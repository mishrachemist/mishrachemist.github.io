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eplplant-my.sharepoint.com/personal/durgesh_mishra_marutisteel_in/Documents/Desktop/"/>
    </mc:Choice>
  </mc:AlternateContent>
  <xr:revisionPtr revIDLastSave="85" documentId="13_ncr:1_{0265A098-E5F4-46DE-B05F-E8DAEBF82727}" xr6:coauthVersionLast="47" xr6:coauthVersionMax="47" xr10:uidLastSave="{B9A55DDF-1019-4B3C-BF30-E62703612C54}"/>
  <bookViews>
    <workbookView xWindow="-120" yWindow="-120" windowWidth="20730" windowHeight="11040" tabRatio="888" firstSheet="1" activeTab="9" xr2:uid="{00000000-000D-0000-FFFF-FFFF00000000}"/>
  </bookViews>
  <sheets>
    <sheet name="Summary" sheetId="1" r:id="rId1"/>
    <sheet name="R.M Billets Reports" sheetId="2" r:id="rId2"/>
    <sheet name="VRKP" sheetId="3" r:id="rId3"/>
    <sheet name="Shree Radhe" sheetId="4" r:id="rId4"/>
    <sheet name="Swadesh" sheetId="5" r:id="rId5"/>
    <sheet name="Shyam Metaliks" sheetId="6" r:id="rId6"/>
    <sheet name="Shyam Metaliks (160)" sheetId="7" r:id="rId7"/>
    <sheet name="MASHIVA" sheetId="8" r:id="rId8"/>
    <sheet name="Akash Sales" sheetId="9" r:id="rId9"/>
    <sheet name="AR Ispat" sheetId="10" r:id="rId10"/>
    <sheet name="Master" sheetId="13" state="hidden" r:id="rId11"/>
    <sheet name="Staging" sheetId="14" state="hidden" r:id="rId12"/>
  </sheets>
  <definedNames>
    <definedName name="_xlnm._FilterDatabase" localSheetId="8" hidden="1">'Akash Sales'!$A$4:$N$304</definedName>
    <definedName name="_xlnm._FilterDatabase" localSheetId="9" hidden="1">'AR Ispat'!$A$4:$N$304</definedName>
    <definedName name="_xlnm._FilterDatabase" localSheetId="3" hidden="1">'Shree Radhe'!$A$4:$N$304</definedName>
    <definedName name="_xlnm._FilterDatabase" localSheetId="5" hidden="1">'Shyam Metaliks'!$A$4:$N$304</definedName>
    <definedName name="_xlnm._FilterDatabase" localSheetId="6" hidden="1">'Shyam Metaliks (160)'!$A$4:$N$304</definedName>
    <definedName name="_xlnm._FilterDatabase" localSheetId="4" hidden="1">Swadesh!$A$4:$N$304</definedName>
    <definedName name="_xlnm._FilterDatabase" localSheetId="2" hidden="1">VRKP!$A$4:$N$304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<sst xmlns="http://schemas.openxmlformats.org/spreadsheetml/2006/main" count="443" uniqueCount="71">
  <si>
    <t>Party-wise Summary (Total Pieces &amp; Total Weight)</t>
  </si>
  <si>
    <t>Party</t>
  </si>
  <si>
    <t>Section</t>
  </si>
  <si>
    <t>Total Pieces</t>
  </si>
  <si>
    <t>Total Weight (MT)</t>
  </si>
  <si>
    <t>Hold Pieces</t>
  </si>
  <si>
    <t>Hold Weight (MT)</t>
  </si>
  <si>
    <t>Accepted Pieces</t>
  </si>
  <si>
    <t>Accepted Weight (MT)</t>
  </si>
  <si>
    <t>VRKP</t>
  </si>
  <si>
    <t>130 X 130</t>
  </si>
  <si>
    <t>NA</t>
  </si>
  <si>
    <t>SHREE RADHE</t>
  </si>
  <si>
    <t>Shree Radhe</t>
  </si>
  <si>
    <t>SWADESH</t>
  </si>
  <si>
    <t>160 X 160</t>
  </si>
  <si>
    <t>Swadesh</t>
  </si>
  <si>
    <t>SHYAM METALLIKS (130x130)</t>
  </si>
  <si>
    <t>Shyam Metaliks</t>
  </si>
  <si>
    <t>SHYAM METALLIKS (160x160)</t>
  </si>
  <si>
    <t>Shyam Metaliks (160)</t>
  </si>
  <si>
    <t>MASHIVA STEEL AND ALLOYS LLP</t>
  </si>
  <si>
    <t>MASHIVA</t>
  </si>
  <si>
    <t>AKASH SALES</t>
  </si>
  <si>
    <t>Akash Sales</t>
  </si>
  <si>
    <t>AR ISPAT</t>
  </si>
  <si>
    <t>AR Ispat</t>
  </si>
  <si>
    <t>TOTAL</t>
  </si>
  <si>
    <t>Select Party (Out-of-Spec Heats):</t>
  </si>
  <si>
    <t>Heat No.</t>
  </si>
  <si>
    <t>Dated</t>
  </si>
  <si>
    <t>Vehicle No</t>
  </si>
  <si>
    <t>C</t>
  </si>
  <si>
    <t>S</t>
  </si>
  <si>
    <t>P</t>
  </si>
  <si>
    <t>Mn</t>
  </si>
  <si>
    <t>N</t>
  </si>
  <si>
    <t>Si</t>
  </si>
  <si>
    <t>VRKP  |  Size: 130 x 130 x 6MTR</t>
  </si>
  <si>
    <t>Vehicle number</t>
  </si>
  <si>
    <t>Parameters</t>
  </si>
  <si>
    <t>Mn/S</t>
  </si>
  <si>
    <t>No. of Pieces</t>
  </si>
  <si>
    <t>Weight (MT)</t>
  </si>
  <si>
    <t>Hold</t>
  </si>
  <si>
    <t>OutOfSpec</t>
  </si>
  <si>
    <t>%</t>
  </si>
  <si>
    <t>ppm</t>
  </si>
  <si>
    <t>SHREE RADHE (SHRI RADHE / SHREE RADHE SHAKTI SPONGE AND POWER PVT. LTD.)  |  Size: 130 x 130 x 6MTR</t>
  </si>
  <si>
    <t>SWADESH  |  Size: 160 x 160 x 6MTR</t>
  </si>
  <si>
    <t>SHYAM METALLIKS  |  Size: 130 x 130 x 6MTR</t>
  </si>
  <si>
    <t>SHYAM METALLIKS (160x160 order)  |  Size: 160 x 160 x 6MTR</t>
  </si>
  <si>
    <t>HOLD</t>
  </si>
  <si>
    <t>MASHIVA STEEL AND ALLOYS LLP  |  Size: 160 x 160 x 6MTR</t>
  </si>
  <si>
    <t>AKASH SALES  |  Size: 130 x 130 x 6MTR</t>
  </si>
  <si>
    <t>AR ISPAT  |  Size: 160 x 160 x 6MTR</t>
  </si>
  <si>
    <t>Date</t>
  </si>
  <si>
    <t>Heat No</t>
  </si>
  <si>
    <t>Pieces</t>
  </si>
  <si>
    <t>Qty(MT)</t>
  </si>
  <si>
    <t>Size</t>
  </si>
  <si>
    <t>_rowptr</t>
  </si>
  <si>
    <t>EffParty</t>
  </si>
  <si>
    <t>EffDate</t>
  </si>
  <si>
    <t>EffVehicle</t>
  </si>
  <si>
    <t>EffHeat</t>
  </si>
  <si>
    <t>Report</t>
  </si>
  <si>
    <t>RawPieces</t>
  </si>
  <si>
    <t>RawQty</t>
  </si>
  <si>
    <t>Qty</t>
  </si>
  <si>
    <t>EffSize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</si>
</sst>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00"/>
    <numFmt numFmtId="165" formatCode="0.00000"/>
    <numFmt numFmtId="166" formatCode="0.0000"/>
    <numFmt numFmtId="167" formatCode="0.000000"/>
    <numFmt numFmtId="168" formatCode="00"/>
    <numFmt numFmtId="169" formatCode="_(* #,##0.0000_);_(* \(#,##0.0000\);_(* &quot;-&quot;??_);_(@_)"/>
    <numFmt numFmtId="170" formatCode=";;;"/>
    <numFmt numFmtId="171" formatCode="_(* #,##0.000_);_(* \(#,##0.000\);_(* &quot;-&quot;??_);_(@_)"/>
  </numFmts>
  <fonts count="2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8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EDEDED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</patternFill>
    </fill>
  </fills>
  <borders count="1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rgb="FF000000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2" fillId="0" borderId="0"/>
    <xf numFmtId="43" fontId="18" fillId="0" borderId="0"/>
  </cellStyleXfs>
  <cellXfs count="464">
    <xf numFmtId="0" fontId="0" fillId="0" borderId="0" xfId="0"/>
    <xf numFmtId="0" fontId="5" fillId="0" borderId="7" xfId="0" applyFont="1" applyBorder="1" applyAlignment="1">
      <alignment horizontal="left" vertical="center"/>
    </xf>
    <xf numFmtId="14" fontId="4" fillId="0" borderId="8" xfId="0" applyNumberFormat="1" applyFont="1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5" fillId="0" borderId="1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7" fillId="0" borderId="3" xfId="0" applyFont="1" applyBorder="1"/>
    <xf numFmtId="0" fontId="7" fillId="0" borderId="6" xfId="0" applyFont="1" applyBorder="1"/>
    <xf numFmtId="0" fontId="7" fillId="0" borderId="12" xfId="0" applyFont="1" applyBorder="1"/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14" xfId="0" applyBorder="1"/>
    <xf numFmtId="0" fontId="5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4" fontId="6" fillId="0" borderId="20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14" fontId="6" fillId="0" borderId="8" xfId="0" applyNumberFormat="1" applyFont="1" applyBorder="1" applyAlignment="1">
      <alignment vertical="center"/>
    </xf>
    <xf numFmtId="2" fontId="6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/>
    </xf>
    <xf numFmtId="0" fontId="9" fillId="0" borderId="9" xfId="0" applyFont="1" applyBorder="1"/>
    <xf numFmtId="0" fontId="10" fillId="0" borderId="9" xfId="0" applyFont="1" applyBorder="1"/>
    <xf numFmtId="0" fontId="10" fillId="0" borderId="10" xfId="0" applyFont="1" applyBorder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0" fillId="0" borderId="27" xfId="0" applyBorder="1"/>
    <xf numFmtId="0" fontId="11" fillId="0" borderId="26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11" fillId="0" borderId="33" xfId="0" applyFont="1" applyBorder="1" applyAlignment="1">
      <alignment vertical="center"/>
    </xf>
    <xf numFmtId="0" fontId="9" fillId="0" borderId="34" xfId="0" applyFont="1" applyBorder="1" applyAlignment="1">
      <alignment horizontal="center" vertical="center"/>
    </xf>
    <xf numFmtId="0" fontId="9" fillId="0" borderId="28" xfId="0" applyFont="1" applyBorder="1" applyAlignment="1">
      <alignment horizontal="right" vertical="center"/>
    </xf>
    <xf numFmtId="0" fontId="0" fillId="0" borderId="32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5" fontId="0" fillId="0" borderId="36" xfId="0" applyNumberFormat="1" applyBorder="1" applyAlignment="1">
      <alignment horizontal="center" vertical="center"/>
    </xf>
    <xf numFmtId="1" fontId="0" fillId="0" borderId="36" xfId="0" applyNumberForma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7" fontId="0" fillId="0" borderId="0" xfId="0" applyNumberFormat="1"/>
    <xf numFmtId="0" fontId="0" fillId="0" borderId="42" xfId="0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5" fontId="12" fillId="0" borderId="36" xfId="0" applyNumberFormat="1" applyFont="1" applyBorder="1" applyAlignment="1">
      <alignment horizontal="center" vertical="center"/>
    </xf>
    <xf numFmtId="0" fontId="13" fillId="0" borderId="0" xfId="1" applyFont="1" applyAlignment="1">
      <alignment horizontal="left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2" fillId="0" borderId="0" xfId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3" xfId="0" applyBorder="1"/>
    <xf numFmtId="2" fontId="13" fillId="0" borderId="42" xfId="1" applyNumberFormat="1" applyFont="1" applyBorder="1" applyAlignment="1">
      <alignment horizontal="center" vertical="center"/>
    </xf>
    <xf numFmtId="0" fontId="13" fillId="0" borderId="42" xfId="1" applyFont="1" applyBorder="1" applyAlignment="1">
      <alignment horizontal="center" vertical="center"/>
    </xf>
    <xf numFmtId="164" fontId="13" fillId="0" borderId="42" xfId="1" applyNumberFormat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2" fillId="0" borderId="0" xfId="1" applyAlignment="1">
      <alignment horizontal="center" vertical="center"/>
    </xf>
    <xf numFmtId="165" fontId="2" fillId="0" borderId="0" xfId="1" applyNumberFormat="1" applyAlignment="1">
      <alignment horizontal="center" vertical="center"/>
    </xf>
    <xf numFmtId="0" fontId="2" fillId="0" borderId="1" xfId="1" applyBorder="1" applyAlignment="1">
      <alignment horizontal="center" vertical="center"/>
    </xf>
    <xf numFmtId="165" fontId="2" fillId="0" borderId="1" xfId="1" applyNumberFormat="1" applyBorder="1" applyAlignment="1">
      <alignment horizontal="center" vertical="center"/>
    </xf>
    <xf numFmtId="168" fontId="2" fillId="0" borderId="1" xfId="1" applyNumberFormat="1" applyBorder="1" applyAlignment="1">
      <alignment horizontal="center" vertical="center"/>
    </xf>
    <xf numFmtId="0" fontId="2" fillId="0" borderId="36" xfId="1" applyBorder="1" applyAlignment="1">
      <alignment horizontal="center" vertical="center"/>
    </xf>
    <xf numFmtId="168" fontId="2" fillId="0" borderId="36" xfId="1" applyNumberForma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2" fillId="0" borderId="1" xfId="1" applyBorder="1" applyAlignment="1">
      <alignment horizontal="center"/>
    </xf>
    <xf numFmtId="2" fontId="2" fillId="0" borderId="42" xfId="1" applyNumberFormat="1" applyBorder="1" applyAlignment="1">
      <alignment horizontal="center" vertical="center"/>
    </xf>
    <xf numFmtId="0" fontId="2" fillId="0" borderId="42" xfId="1" applyBorder="1" applyAlignment="1">
      <alignment horizontal="center" vertical="center"/>
    </xf>
    <xf numFmtId="164" fontId="2" fillId="0" borderId="42" xfId="1" applyNumberForma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2" fontId="15" fillId="0" borderId="41" xfId="0" applyNumberFormat="1" applyFont="1" applyBorder="1" applyAlignment="1">
      <alignment horizontal="center" vertical="center"/>
    </xf>
    <xf numFmtId="0" fontId="2" fillId="0" borderId="41" xfId="1" applyBorder="1" applyAlignment="1">
      <alignment horizontal="center" vertical="center"/>
    </xf>
    <xf numFmtId="168" fontId="2" fillId="0" borderId="41" xfId="1" applyNumberFormat="1" applyBorder="1" applyAlignment="1">
      <alignment horizontal="center" vertical="center"/>
    </xf>
    <xf numFmtId="166" fontId="2" fillId="0" borderId="36" xfId="1" applyNumberFormat="1" applyBorder="1" applyAlignment="1">
      <alignment horizontal="center" vertical="center"/>
    </xf>
    <xf numFmtId="2" fontId="2" fillId="0" borderId="54" xfId="1" applyNumberFormat="1" applyBorder="1" applyAlignment="1">
      <alignment horizontal="center" vertical="center"/>
    </xf>
    <xf numFmtId="164" fontId="2" fillId="0" borderId="1" xfId="1" applyNumberFormat="1" applyBorder="1" applyAlignment="1">
      <alignment horizontal="center" vertical="center"/>
    </xf>
    <xf numFmtId="2" fontId="2" fillId="0" borderId="1" xfId="1" applyNumberForma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168" fontId="1" fillId="0" borderId="1" xfId="1" applyNumberFormat="1" applyFont="1" applyBorder="1" applyAlignment="1">
      <alignment horizontal="center" vertical="center"/>
    </xf>
    <xf numFmtId="164" fontId="2" fillId="0" borderId="41" xfId="1" applyNumberFormat="1" applyBorder="1" applyAlignment="1">
      <alignment horizontal="center" vertical="center"/>
    </xf>
    <xf numFmtId="168" fontId="1" fillId="0" borderId="41" xfId="1" applyNumberFormat="1" applyFont="1" applyBorder="1" applyAlignment="1">
      <alignment horizontal="center" vertical="center"/>
    </xf>
    <xf numFmtId="164" fontId="2" fillId="0" borderId="0" xfId="1" applyNumberFormat="1" applyAlignment="1">
      <alignment horizontal="center" vertical="center"/>
    </xf>
    <xf numFmtId="0" fontId="9" fillId="0" borderId="0" xfId="0" applyFont="1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166" fontId="6" fillId="0" borderId="16" xfId="0" applyNumberFormat="1" applyFont="1" applyBorder="1" applyAlignment="1">
      <alignment horizontal="center" vertical="center"/>
    </xf>
    <xf numFmtId="0" fontId="2" fillId="0" borderId="26" xfId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2" fontId="2" fillId="0" borderId="41" xfId="1" applyNumberForma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165" fontId="14" fillId="0" borderId="36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164" fontId="0" fillId="0" borderId="0" xfId="0" applyNumberFormat="1"/>
    <xf numFmtId="0" fontId="9" fillId="0" borderId="1" xfId="0" applyFont="1" applyBorder="1"/>
    <xf numFmtId="0" fontId="0" fillId="0" borderId="41" xfId="0" applyBorder="1"/>
    <xf numFmtId="0" fontId="0" fillId="0" borderId="44" xfId="0" applyBorder="1"/>
    <xf numFmtId="0" fontId="3" fillId="0" borderId="61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2" fontId="0" fillId="0" borderId="62" xfId="0" applyNumberFormat="1" applyBorder="1" applyAlignment="1">
      <alignment horizontal="center" vertical="center"/>
    </xf>
    <xf numFmtId="164" fontId="0" fillId="0" borderId="62" xfId="0" applyNumberFormat="1" applyBorder="1" applyAlignment="1">
      <alignment horizontal="center" vertical="center"/>
    </xf>
    <xf numFmtId="165" fontId="0" fillId="0" borderId="62" xfId="0" applyNumberFormat="1" applyBorder="1" applyAlignment="1">
      <alignment horizontal="center" vertical="center"/>
    </xf>
    <xf numFmtId="165" fontId="14" fillId="0" borderId="62" xfId="0" applyNumberFormat="1" applyFont="1" applyBorder="1" applyAlignment="1">
      <alignment horizontal="center" vertical="center"/>
    </xf>
    <xf numFmtId="1" fontId="0" fillId="0" borderId="62" xfId="0" applyNumberFormat="1" applyBorder="1" applyAlignment="1">
      <alignment horizontal="center" vertical="center"/>
    </xf>
    <xf numFmtId="164" fontId="14" fillId="0" borderId="62" xfId="0" applyNumberFormat="1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9" fillId="0" borderId="62" xfId="0" applyFont="1" applyBorder="1"/>
    <xf numFmtId="0" fontId="3" fillId="0" borderId="60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1" fontId="0" fillId="0" borderId="0" xfId="0" applyNumberFormat="1"/>
    <xf numFmtId="0" fontId="0" fillId="0" borderId="39" xfId="0" applyBorder="1"/>
    <xf numFmtId="0" fontId="0" fillId="0" borderId="52" xfId="0" applyBorder="1"/>
    <xf numFmtId="0" fontId="3" fillId="0" borderId="32" xfId="0" applyFont="1" applyBorder="1" applyAlignment="1">
      <alignment horizontal="center" vertical="center"/>
    </xf>
    <xf numFmtId="0" fontId="0" fillId="0" borderId="34" xfId="0" applyBorder="1"/>
    <xf numFmtId="0" fontId="0" fillId="0" borderId="78" xfId="0" applyBorder="1"/>
    <xf numFmtId="0" fontId="4" fillId="0" borderId="0" xfId="0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2" fontId="2" fillId="0" borderId="0" xfId="1" applyNumberFormat="1" applyAlignment="1">
      <alignment horizontal="center" vertical="center"/>
    </xf>
    <xf numFmtId="168" fontId="1" fillId="0" borderId="0" xfId="1" applyNumberFormat="1" applyFont="1" applyAlignment="1">
      <alignment horizontal="center" vertical="center"/>
    </xf>
    <xf numFmtId="0" fontId="0" fillId="0" borderId="81" xfId="0" applyBorder="1"/>
    <xf numFmtId="0" fontId="0" fillId="0" borderId="80" xfId="0" applyBorder="1"/>
    <xf numFmtId="169" fontId="0" fillId="0" borderId="0" xfId="0" applyNumberFormat="1"/>
    <xf numFmtId="0" fontId="0" fillId="0" borderId="32" xfId="0" applyBorder="1"/>
    <xf numFmtId="0" fontId="9" fillId="0" borderId="26" xfId="0" applyFont="1" applyBorder="1" applyAlignment="1">
      <alignment horizontal="right" vertical="center"/>
    </xf>
    <xf numFmtId="1" fontId="14" fillId="0" borderId="36" xfId="0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vertical="center"/>
    </xf>
    <xf numFmtId="0" fontId="0" fillId="0" borderId="89" xfId="0" applyBorder="1"/>
    <xf numFmtId="0" fontId="3" fillId="0" borderId="88" xfId="0" applyFont="1" applyBorder="1" applyAlignment="1">
      <alignment horizontal="center" vertical="center"/>
    </xf>
    <xf numFmtId="0" fontId="0" fillId="0" borderId="88" xfId="0" applyBorder="1"/>
    <xf numFmtId="14" fontId="0" fillId="0" borderId="88" xfId="0" applyNumberFormat="1" applyBorder="1"/>
    <xf numFmtId="14" fontId="0" fillId="0" borderId="0" xfId="0" applyNumberFormat="1"/>
    <xf numFmtId="14" fontId="0" fillId="0" borderId="88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1" fillId="0" borderId="87" xfId="0" applyFont="1" applyBorder="1" applyAlignment="1">
      <alignment vertical="center"/>
    </xf>
    <xf numFmtId="0" fontId="9" fillId="0" borderId="87" xfId="0" applyFont="1" applyBorder="1" applyAlignment="1">
      <alignment horizontal="right" vertical="center"/>
    </xf>
    <xf numFmtId="0" fontId="9" fillId="0" borderId="88" xfId="0" applyFont="1" applyBorder="1"/>
    <xf numFmtId="0" fontId="4" fillId="0" borderId="88" xfId="0" applyFont="1" applyBorder="1" applyAlignment="1">
      <alignment horizontal="center" vertical="center"/>
    </xf>
    <xf numFmtId="2" fontId="0" fillId="0" borderId="88" xfId="0" applyNumberFormat="1" applyBorder="1" applyAlignment="1">
      <alignment horizontal="center" vertical="center"/>
    </xf>
    <xf numFmtId="164" fontId="0" fillId="0" borderId="88" xfId="0" applyNumberFormat="1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165" fontId="0" fillId="0" borderId="88" xfId="0" applyNumberFormat="1" applyBorder="1" applyAlignment="1">
      <alignment horizontal="center" vertical="center"/>
    </xf>
    <xf numFmtId="165" fontId="14" fillId="0" borderId="88" xfId="0" applyNumberFormat="1" applyFont="1" applyBorder="1" applyAlignment="1">
      <alignment horizontal="center" vertical="center"/>
    </xf>
    <xf numFmtId="1" fontId="0" fillId="0" borderId="88" xfId="0" applyNumberFormat="1" applyBorder="1" applyAlignment="1">
      <alignment horizontal="center" vertical="center"/>
    </xf>
    <xf numFmtId="164" fontId="14" fillId="0" borderId="88" xfId="0" applyNumberFormat="1" applyFont="1" applyBorder="1" applyAlignment="1">
      <alignment horizontal="center" vertical="center"/>
    </xf>
    <xf numFmtId="165" fontId="12" fillId="0" borderId="88" xfId="0" applyNumberFormat="1" applyFont="1" applyBorder="1" applyAlignment="1">
      <alignment horizontal="center" vertical="center"/>
    </xf>
    <xf numFmtId="1" fontId="14" fillId="0" borderId="88" xfId="0" applyNumberFormat="1" applyFont="1" applyBorder="1" applyAlignment="1">
      <alignment horizontal="center" vertical="center"/>
    </xf>
    <xf numFmtId="2" fontId="14" fillId="0" borderId="88" xfId="0" applyNumberFormat="1" applyFont="1" applyBorder="1" applyAlignment="1">
      <alignment horizontal="center" vertical="center"/>
    </xf>
    <xf numFmtId="164" fontId="2" fillId="0" borderId="88" xfId="1" applyNumberFormat="1" applyBorder="1" applyAlignment="1">
      <alignment horizontal="center" vertical="center"/>
    </xf>
    <xf numFmtId="2" fontId="2" fillId="0" borderId="88" xfId="1" applyNumberFormat="1" applyBorder="1" applyAlignment="1">
      <alignment horizontal="center" vertical="center"/>
    </xf>
    <xf numFmtId="164" fontId="1" fillId="0" borderId="88" xfId="1" applyNumberFormat="1" applyFont="1" applyBorder="1" applyAlignment="1">
      <alignment horizontal="center" vertical="center"/>
    </xf>
    <xf numFmtId="0" fontId="2" fillId="0" borderId="88" xfId="1" applyBorder="1" applyAlignment="1">
      <alignment horizontal="center" vertical="center"/>
    </xf>
    <xf numFmtId="164" fontId="17" fillId="0" borderId="88" xfId="1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left" vertical="center"/>
    </xf>
    <xf numFmtId="14" fontId="4" fillId="0" borderId="79" xfId="0" applyNumberFormat="1" applyFont="1" applyBorder="1" applyAlignment="1">
      <alignment vertical="center"/>
    </xf>
    <xf numFmtId="0" fontId="0" fillId="0" borderId="79" xfId="0" applyBorder="1"/>
    <xf numFmtId="0" fontId="5" fillId="0" borderId="32" xfId="0" applyFont="1" applyBorder="1" applyAlignment="1">
      <alignment horizontal="left" vertical="center"/>
    </xf>
    <xf numFmtId="0" fontId="3" fillId="0" borderId="88" xfId="0" applyFont="1" applyBorder="1" applyAlignment="1">
      <alignment vertical="center"/>
    </xf>
    <xf numFmtId="0" fontId="7" fillId="0" borderId="88" xfId="0" applyFont="1" applyBorder="1"/>
    <xf numFmtId="0" fontId="5" fillId="0" borderId="32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6" fillId="0" borderId="88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0" fillId="0" borderId="82" xfId="0" applyBorder="1" applyAlignment="1">
      <alignment horizontal="center"/>
    </xf>
    <xf numFmtId="2" fontId="13" fillId="0" borderId="85" xfId="1" applyNumberFormat="1" applyFont="1" applyBorder="1" applyAlignment="1">
      <alignment horizontal="center" vertical="center"/>
    </xf>
    <xf numFmtId="0" fontId="13" fillId="0" borderId="85" xfId="1" applyFont="1" applyBorder="1" applyAlignment="1">
      <alignment horizontal="center" vertical="center"/>
    </xf>
    <xf numFmtId="164" fontId="13" fillId="0" borderId="85" xfId="1" applyNumberFormat="1" applyFont="1" applyBorder="1" applyAlignment="1">
      <alignment horizontal="center" vertical="center"/>
    </xf>
    <xf numFmtId="0" fontId="13" fillId="0" borderId="88" xfId="1" applyFont="1" applyBorder="1" applyAlignment="1">
      <alignment horizontal="center" vertical="center"/>
    </xf>
    <xf numFmtId="165" fontId="2" fillId="0" borderId="88" xfId="1" applyNumberFormat="1" applyBorder="1" applyAlignment="1">
      <alignment horizontal="center" vertical="center"/>
    </xf>
    <xf numFmtId="168" fontId="2" fillId="0" borderId="88" xfId="1" applyNumberFormat="1" applyBorder="1" applyAlignment="1">
      <alignment horizontal="center" vertical="center"/>
    </xf>
    <xf numFmtId="2" fontId="15" fillId="0" borderId="88" xfId="0" applyNumberFormat="1" applyFont="1" applyBorder="1" applyAlignment="1">
      <alignment horizontal="center" vertical="center"/>
    </xf>
    <xf numFmtId="168" fontId="1" fillId="0" borderId="88" xfId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90" xfId="0" applyFont="1" applyBorder="1" applyAlignment="1">
      <alignment horizontal="right" vertical="center"/>
    </xf>
    <xf numFmtId="0" fontId="11" fillId="0" borderId="90" xfId="0" applyFont="1" applyBorder="1" applyAlignment="1">
      <alignment vertical="center"/>
    </xf>
    <xf numFmtId="0" fontId="11" fillId="0" borderId="91" xfId="0" applyFont="1" applyBorder="1" applyAlignment="1">
      <alignment vertical="center"/>
    </xf>
    <xf numFmtId="0" fontId="5" fillId="0" borderId="41" xfId="0" applyFont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9" fillId="0" borderId="88" xfId="0" applyFont="1" applyBorder="1" applyAlignment="1">
      <alignment horizontal="left" vertical="center"/>
    </xf>
    <xf numFmtId="0" fontId="9" fillId="0" borderId="88" xfId="0" applyFont="1" applyBorder="1" applyAlignment="1">
      <alignment horizontal="right" vertical="center"/>
    </xf>
    <xf numFmtId="0" fontId="11" fillId="0" borderId="88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14" fontId="9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11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20" fillId="3" borderId="102" xfId="0" applyFont="1" applyFill="1" applyBorder="1" applyAlignment="1">
      <alignment horizontal="center" vertical="center" wrapText="1"/>
    </xf>
    <xf numFmtId="0" fontId="20" fillId="4" borderId="102" xfId="0" applyFont="1" applyFill="1" applyBorder="1" applyAlignment="1">
      <alignment horizontal="center" vertical="center" wrapText="1"/>
    </xf>
    <xf numFmtId="0" fontId="20" fillId="0" borderId="0" xfId="0" applyFont="1"/>
    <xf numFmtId="0" fontId="20" fillId="4" borderId="86" xfId="0" applyFont="1" applyFill="1" applyBorder="1" applyAlignment="1">
      <alignment horizontal="center" vertical="center" wrapText="1"/>
    </xf>
    <xf numFmtId="0" fontId="0" fillId="0" borderId="88" xfId="0" applyBorder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20" fillId="0" borderId="102" xfId="0" applyFont="1" applyBorder="1" applyAlignment="1">
      <alignment horizontal="center" vertical="center"/>
    </xf>
    <xf numFmtId="164" fontId="20" fillId="0" borderId="102" xfId="0" applyNumberFormat="1" applyFont="1" applyBorder="1" applyAlignment="1">
      <alignment horizontal="center" vertical="center"/>
    </xf>
    <xf numFmtId="14" fontId="0" fillId="0" borderId="88" xfId="0" applyNumberFormat="1" applyBorder="1" applyAlignment="1">
      <alignment horizontal="right"/>
    </xf>
    <xf numFmtId="1" fontId="20" fillId="0" borderId="102" xfId="0" applyNumberFormat="1" applyFont="1" applyBorder="1" applyAlignment="1">
      <alignment horizontal="center" vertical="center"/>
    </xf>
    <xf numFmtId="0" fontId="20" fillId="5" borderId="102" xfId="0" applyFont="1" applyFill="1" applyBorder="1" applyAlignment="1">
      <alignment horizontal="center" vertical="center" wrapText="1"/>
    </xf>
    <xf numFmtId="0" fontId="0" fillId="5" borderId="102" xfId="0" applyFill="1" applyBorder="1" applyAlignment="1">
      <alignment horizontal="center" wrapText="1"/>
    </xf>
    <xf numFmtId="0" fontId="20" fillId="7" borderId="102" xfId="0" applyFont="1" applyFill="1" applyBorder="1" applyAlignment="1">
      <alignment horizontal="center" vertical="center" wrapText="1"/>
    </xf>
    <xf numFmtId="0" fontId="0" fillId="0" borderId="87" xfId="0" applyBorder="1"/>
    <xf numFmtId="0" fontId="0" fillId="0" borderId="0" xfId="0" quotePrefix="1" applyAlignment="1">
      <alignment horizontal="right"/>
    </xf>
    <xf numFmtId="2" fontId="14" fillId="0" borderId="0" xfId="0" applyNumberFormat="1" applyFont="1" applyAlignment="1">
      <alignment horizontal="center" vertical="center"/>
    </xf>
    <xf numFmtId="164" fontId="0" fillId="0" borderId="88" xfId="0" applyNumberFormat="1" applyBorder="1"/>
    <xf numFmtId="2" fontId="0" fillId="0" borderId="88" xfId="0" applyNumberFormat="1" applyBorder="1"/>
    <xf numFmtId="43" fontId="0" fillId="0" borderId="0" xfId="2" applyFont="1" applyAlignment="1">
      <alignment vertical="center"/>
    </xf>
    <xf numFmtId="171" fontId="0" fillId="0" borderId="0" xfId="2" applyNumberFormat="1" applyFont="1"/>
    <xf numFmtId="171" fontId="0" fillId="0" borderId="88" xfId="2" applyNumberFormat="1" applyFont="1" applyBorder="1"/>
    <xf numFmtId="0" fontId="0" fillId="0" borderId="99" xfId="0" applyBorder="1" applyAlignment="1">
      <alignment horizontal="center" vertical="center"/>
    </xf>
    <xf numFmtId="2" fontId="14" fillId="0" borderId="99" xfId="0" applyNumberFormat="1" applyFont="1" applyBorder="1" applyAlignment="1">
      <alignment horizontal="center" vertical="center"/>
    </xf>
    <xf numFmtId="164" fontId="14" fillId="0" borderId="99" xfId="0" applyNumberFormat="1" applyFont="1" applyBorder="1" applyAlignment="1">
      <alignment horizontal="center" vertical="center"/>
    </xf>
    <xf numFmtId="165" fontId="14" fillId="0" borderId="99" xfId="0" applyNumberFormat="1" applyFont="1" applyBorder="1" applyAlignment="1">
      <alignment horizontal="center" vertical="center"/>
    </xf>
    <xf numFmtId="2" fontId="0" fillId="0" borderId="41" xfId="0" applyNumberFormat="1" applyBorder="1"/>
    <xf numFmtId="2" fontId="0" fillId="0" borderId="0" xfId="0" applyNumberFormat="1"/>
    <xf numFmtId="0" fontId="22" fillId="0" borderId="102" xfId="0" applyFont="1" applyBorder="1" applyAlignment="1">
      <alignment horizontal="left"/>
    </xf>
    <xf numFmtId="0" fontId="22" fillId="0" borderId="102" xfId="0" applyFont="1" applyBorder="1" applyAlignment="1">
      <alignment horizontal="center"/>
    </xf>
    <xf numFmtId="164" fontId="22" fillId="0" borderId="102" xfId="0" applyNumberFormat="1" applyFont="1" applyBorder="1" applyAlignment="1">
      <alignment horizontal="center"/>
    </xf>
    <xf numFmtId="1" fontId="22" fillId="0" borderId="102" xfId="0" applyNumberFormat="1" applyFont="1" applyBorder="1" applyAlignment="1">
      <alignment horizontal="center"/>
    </xf>
    <xf numFmtId="0" fontId="0" fillId="0" borderId="47" xfId="0" applyBorder="1"/>
    <xf numFmtId="165" fontId="0" fillId="0" borderId="41" xfId="0" applyNumberFormat="1" applyBorder="1" applyAlignment="1">
      <alignment horizontal="center" vertical="center"/>
    </xf>
    <xf numFmtId="165" fontId="14" fillId="0" borderId="41" xfId="0" applyNumberFormat="1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2" fontId="0" fillId="9" borderId="88" xfId="0" applyNumberFormat="1" applyFill="1" applyBorder="1" applyAlignment="1">
      <alignment horizontal="center" vertical="center"/>
    </xf>
    <xf numFmtId="0" fontId="9" fillId="9" borderId="88" xfId="0" applyFont="1" applyFill="1" applyBorder="1" applyAlignment="1">
      <alignment vertical="center" wrapText="1"/>
    </xf>
    <xf numFmtId="164" fontId="9" fillId="9" borderId="44" xfId="0" applyNumberFormat="1" applyFont="1" applyFill="1" applyBorder="1" applyAlignment="1">
      <alignment vertical="center"/>
    </xf>
    <xf numFmtId="0" fontId="0" fillId="6" borderId="88" xfId="0" applyFill="1" applyBorder="1" applyAlignment="1">
      <alignment horizontal="center" vertical="center"/>
    </xf>
    <xf numFmtId="165" fontId="0" fillId="6" borderId="88" xfId="0" applyNumberFormat="1" applyFill="1" applyBorder="1" applyAlignment="1">
      <alignment horizontal="center" vertical="center"/>
    </xf>
    <xf numFmtId="165" fontId="14" fillId="6" borderId="88" xfId="0" applyNumberFormat="1" applyFont="1" applyFill="1" applyBorder="1" applyAlignment="1">
      <alignment horizontal="center" vertical="center"/>
    </xf>
    <xf numFmtId="1" fontId="0" fillId="6" borderId="88" xfId="0" applyNumberFormat="1" applyFill="1" applyBorder="1" applyAlignment="1">
      <alignment horizontal="center" vertical="center"/>
    </xf>
    <xf numFmtId="0" fontId="24" fillId="0" borderId="0" xfId="0" applyFont="1"/>
    <xf numFmtId="0" fontId="24" fillId="10" borderId="0" xfId="0" applyFont="1" applyFill="1"/>
    <xf numFmtId="0" fontId="24" fillId="3" borderId="0" xfId="0" applyFont="1" applyFill="1"/>
    <xf numFmtId="0" fontId="9" fillId="0" borderId="88" xfId="0" applyFont="1" applyBorder="1" applyAlignment="1">
      <alignment horizontal="center" vertical="center" wrapText="1"/>
    </xf>
    <xf numFmtId="0" fontId="9" fillId="0" borderId="99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9" fillId="0" borderId="106" xfId="0" applyFont="1" applyBorder="1" applyAlignment="1">
      <alignment horizontal="center" vertical="center"/>
    </xf>
    <xf numFmtId="165" fontId="12" fillId="0" borderId="41" xfId="0" applyNumberFormat="1" applyFont="1" applyBorder="1" applyAlignment="1">
      <alignment horizontal="center" vertical="center"/>
    </xf>
    <xf numFmtId="165" fontId="12" fillId="6" borderId="88" xfId="0" applyNumberFormat="1" applyFont="1" applyFill="1" applyBorder="1" applyAlignment="1">
      <alignment horizontal="center" vertical="center"/>
    </xf>
    <xf numFmtId="2" fontId="0" fillId="0" borderId="99" xfId="0" applyNumberFormat="1" applyBorder="1" applyAlignment="1">
      <alignment horizontal="center" vertical="center"/>
    </xf>
    <xf numFmtId="164" fontId="0" fillId="0" borderId="99" xfId="0" applyNumberFormat="1" applyBorder="1" applyAlignment="1">
      <alignment horizontal="center" vertical="center"/>
    </xf>
    <xf numFmtId="1" fontId="0" fillId="0" borderId="88" xfId="0" applyNumberFormat="1" applyBorder="1"/>
    <xf numFmtId="1" fontId="20" fillId="0" borderId="13" xfId="0" applyNumberFormat="1" applyFont="1" applyBorder="1" applyAlignment="1">
      <alignment horizontal="center" vertical="center"/>
    </xf>
    <xf numFmtId="170" fontId="0" fillId="8" borderId="110" xfId="0" applyNumberFormat="1" applyFill="1" applyBorder="1" applyAlignment="1">
      <alignment horizontal="center"/>
    </xf>
    <xf numFmtId="0" fontId="21" fillId="0" borderId="0" xfId="0" applyFont="1" applyAlignment="1">
      <alignment vertical="center"/>
    </xf>
    <xf numFmtId="0" fontId="19" fillId="2" borderId="0" xfId="0" applyFont="1" applyFill="1" applyAlignment="1">
      <alignment horizontal="center" vertical="center" wrapText="1"/>
    </xf>
    <xf numFmtId="0" fontId="0" fillId="0" borderId="0" xfId="0"/>
    <xf numFmtId="14" fontId="9" fillId="0" borderId="66" xfId="0" applyNumberFormat="1" applyFont="1" applyBorder="1" applyAlignment="1">
      <alignment horizontal="left" vertical="center"/>
    </xf>
    <xf numFmtId="0" fontId="0" fillId="0" borderId="30" xfId="0" applyBorder="1"/>
    <xf numFmtId="0" fontId="0" fillId="0" borderId="31" xfId="0" applyBorder="1"/>
    <xf numFmtId="0" fontId="9" fillId="0" borderId="88" xfId="0" applyFont="1" applyBorder="1" applyAlignment="1">
      <alignment horizontal="left" vertical="center"/>
    </xf>
    <xf numFmtId="0" fontId="0" fillId="0" borderId="89" xfId="0" applyBorder="1"/>
    <xf numFmtId="0" fontId="9" fillId="0" borderId="88" xfId="0" applyFont="1" applyBorder="1" applyAlignment="1">
      <alignment horizontal="right" vertical="center"/>
    </xf>
    <xf numFmtId="0" fontId="9" fillId="0" borderId="88" xfId="0" applyFont="1" applyBorder="1" applyAlignment="1">
      <alignment horizontal="center" vertical="center"/>
    </xf>
    <xf numFmtId="0" fontId="3" fillId="0" borderId="88" xfId="0" applyFont="1" applyBorder="1" applyAlignment="1">
      <alignment horizontal="center" vertical="center"/>
    </xf>
    <xf numFmtId="0" fontId="0" fillId="0" borderId="28" xfId="0" applyBorder="1"/>
    <xf numFmtId="0" fontId="3" fillId="0" borderId="84" xfId="0" applyFont="1" applyBorder="1" applyAlignment="1">
      <alignment horizontal="center" vertical="center" wrapText="1"/>
    </xf>
    <xf numFmtId="0" fontId="0" fillId="0" borderId="48" xfId="0" applyBorder="1"/>
    <xf numFmtId="0" fontId="0" fillId="0" borderId="85" xfId="0" applyBorder="1"/>
    <xf numFmtId="0" fontId="3" fillId="0" borderId="13" xfId="0" applyFont="1" applyBorder="1" applyAlignment="1">
      <alignment horizontal="center" vertical="center" wrapText="1"/>
    </xf>
    <xf numFmtId="0" fontId="0" fillId="0" borderId="45" xfId="0" applyBorder="1"/>
    <xf numFmtId="0" fontId="0" fillId="0" borderId="65" xfId="0" applyBorder="1"/>
    <xf numFmtId="164" fontId="0" fillId="9" borderId="60" xfId="0" applyNumberFormat="1" applyFill="1" applyBorder="1" applyAlignment="1">
      <alignment horizontal="center" vertical="center"/>
    </xf>
    <xf numFmtId="164" fontId="0" fillId="9" borderId="53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9" xfId="0" applyBorder="1"/>
    <xf numFmtId="0" fontId="0" fillId="0" borderId="99" xfId="0" applyBorder="1"/>
    <xf numFmtId="164" fontId="9" fillId="0" borderId="37" xfId="0" applyNumberFormat="1" applyFont="1" applyBorder="1" applyAlignment="1">
      <alignment horizontal="center" vertical="center"/>
    </xf>
    <xf numFmtId="0" fontId="0" fillId="0" borderId="46" xfId="0" applyBorder="1"/>
    <xf numFmtId="0" fontId="9" fillId="0" borderId="88" xfId="0" applyFont="1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0" fillId="0" borderId="40" xfId="0" applyBorder="1"/>
    <xf numFmtId="0" fontId="9" fillId="0" borderId="107" xfId="0" applyFont="1" applyBorder="1" applyAlignment="1">
      <alignment horizontal="center" vertical="center"/>
    </xf>
    <xf numFmtId="0" fontId="0" fillId="0" borderId="107" xfId="0" applyBorder="1"/>
    <xf numFmtId="0" fontId="9" fillId="9" borderId="67" xfId="0" applyFont="1" applyFill="1" applyBorder="1" applyAlignment="1">
      <alignment horizontal="center" vertical="center"/>
    </xf>
    <xf numFmtId="0" fontId="9" fillId="9" borderId="89" xfId="0" applyFont="1" applyFill="1" applyBorder="1" applyAlignment="1">
      <alignment horizontal="center" vertical="center"/>
    </xf>
    <xf numFmtId="164" fontId="20" fillId="0" borderId="44" xfId="0" applyNumberFormat="1" applyFont="1" applyBorder="1" applyAlignment="1">
      <alignment horizontal="center" vertical="center"/>
    </xf>
    <xf numFmtId="164" fontId="20" fillId="0" borderId="46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42" xfId="0" applyBorder="1"/>
    <xf numFmtId="0" fontId="9" fillId="0" borderId="1" xfId="0" applyFont="1" applyBorder="1" applyAlignment="1">
      <alignment horizontal="center" vertical="center"/>
    </xf>
    <xf numFmtId="0" fontId="0" fillId="0" borderId="63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64" xfId="0" applyBorder="1"/>
    <xf numFmtId="0" fontId="5" fillId="0" borderId="13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0" borderId="8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67" xfId="0" applyBorder="1" applyAlignment="1">
      <alignment horizontal="center" vertical="center"/>
    </xf>
    <xf numFmtId="0" fontId="0" fillId="0" borderId="55" xfId="0" applyBorder="1"/>
    <xf numFmtId="0" fontId="6" fillId="0" borderId="71" xfId="0" applyFont="1" applyBorder="1" applyAlignment="1">
      <alignment horizontal="center" vertical="center"/>
    </xf>
    <xf numFmtId="0" fontId="0" fillId="0" borderId="19" xfId="0" applyBorder="1"/>
    <xf numFmtId="0" fontId="9" fillId="0" borderId="36" xfId="0" applyFont="1" applyBorder="1" applyAlignment="1">
      <alignment horizontal="center" vertical="center" wrapText="1"/>
    </xf>
    <xf numFmtId="0" fontId="0" fillId="0" borderId="43" xfId="0" applyBorder="1"/>
    <xf numFmtId="14" fontId="0" fillId="0" borderId="69" xfId="0" quotePrefix="1" applyNumberFormat="1" applyBorder="1" applyAlignment="1">
      <alignment horizontal="center" vertical="center"/>
    </xf>
    <xf numFmtId="0" fontId="0" fillId="0" borderId="56" xfId="0" applyBorder="1"/>
    <xf numFmtId="0" fontId="8" fillId="0" borderId="15" xfId="0" applyFont="1" applyBorder="1" applyAlignment="1">
      <alignment horizontal="center" vertical="center"/>
    </xf>
    <xf numFmtId="0" fontId="0" fillId="0" borderId="18" xfId="0" applyBorder="1"/>
    <xf numFmtId="0" fontId="9" fillId="0" borderId="8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0" fillId="0" borderId="17" xfId="0" applyBorder="1"/>
    <xf numFmtId="0" fontId="9" fillId="0" borderId="62" xfId="0" applyFont="1" applyBorder="1" applyAlignment="1">
      <alignment horizontal="left" vertical="center"/>
    </xf>
    <xf numFmtId="0" fontId="0" fillId="0" borderId="27" xfId="0" applyBorder="1"/>
    <xf numFmtId="0" fontId="6" fillId="0" borderId="73" xfId="0" applyFont="1" applyBorder="1" applyAlignment="1">
      <alignment horizontal="center" vertical="center"/>
    </xf>
    <xf numFmtId="0" fontId="0" fillId="0" borderId="24" xfId="0" applyBorder="1"/>
    <xf numFmtId="164" fontId="23" fillId="0" borderId="44" xfId="0" applyNumberFormat="1" applyFont="1" applyBorder="1" applyAlignment="1">
      <alignment horizontal="center" vertical="center"/>
    </xf>
    <xf numFmtId="164" fontId="23" fillId="0" borderId="45" xfId="0" applyNumberFormat="1" applyFont="1" applyBorder="1" applyAlignment="1">
      <alignment horizontal="center" vertical="center"/>
    </xf>
    <xf numFmtId="0" fontId="9" fillId="0" borderId="62" xfId="0" applyFont="1" applyBorder="1" applyAlignment="1">
      <alignment horizontal="right" vertical="center"/>
    </xf>
    <xf numFmtId="0" fontId="6" fillId="0" borderId="19" xfId="0" applyFont="1" applyBorder="1" applyAlignment="1">
      <alignment horizontal="center" vertical="center"/>
    </xf>
    <xf numFmtId="164" fontId="6" fillId="0" borderId="72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20" xfId="0" applyBorder="1"/>
    <xf numFmtId="0" fontId="9" fillId="0" borderId="4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5" fillId="0" borderId="88" xfId="0" applyFont="1" applyBorder="1" applyAlignment="1">
      <alignment horizontal="center" vertical="center" wrapText="1"/>
    </xf>
    <xf numFmtId="0" fontId="0" fillId="0" borderId="98" xfId="0" applyBorder="1"/>
    <xf numFmtId="0" fontId="9" fillId="0" borderId="26" xfId="0" applyFont="1" applyBorder="1" applyAlignment="1">
      <alignment horizontal="right" vertical="center"/>
    </xf>
    <xf numFmtId="0" fontId="0" fillId="0" borderId="28" xfId="0" applyBorder="1" applyAlignment="1">
      <alignment horizontal="center" vertical="center"/>
    </xf>
    <xf numFmtId="0" fontId="0" fillId="0" borderId="49" xfId="0" applyBorder="1"/>
    <xf numFmtId="0" fontId="0" fillId="0" borderId="40" xfId="0" applyBorder="1" applyAlignment="1">
      <alignment horizontal="center" vertical="center"/>
    </xf>
    <xf numFmtId="0" fontId="3" fillId="0" borderId="94" xfId="0" applyFont="1" applyBorder="1" applyAlignment="1">
      <alignment horizontal="center" vertical="center" wrapText="1"/>
    </xf>
    <xf numFmtId="0" fontId="0" fillId="0" borderId="95" xfId="0" applyBorder="1"/>
    <xf numFmtId="0" fontId="0" fillId="0" borderId="96" xfId="0" applyBorder="1"/>
    <xf numFmtId="0" fontId="3" fillId="0" borderId="70" xfId="0" applyFont="1" applyBorder="1" applyAlignment="1">
      <alignment horizontal="left" vertical="center"/>
    </xf>
    <xf numFmtId="0" fontId="0" fillId="0" borderId="53" xfId="0" applyBorder="1"/>
    <xf numFmtId="0" fontId="3" fillId="0" borderId="88" xfId="0" applyFont="1" applyBorder="1" applyAlignment="1">
      <alignment horizontal="center" vertical="center" wrapText="1"/>
    </xf>
    <xf numFmtId="164" fontId="9" fillId="0" borderId="44" xfId="0" applyNumberFormat="1" applyFont="1" applyBorder="1" applyAlignment="1">
      <alignment horizontal="center" vertical="center"/>
    </xf>
    <xf numFmtId="164" fontId="9" fillId="0" borderId="65" xfId="0" applyNumberFormat="1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 wrapText="1"/>
    </xf>
    <xf numFmtId="0" fontId="9" fillId="0" borderId="9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0" fillId="0" borderId="23" xfId="0" applyBorder="1"/>
    <xf numFmtId="0" fontId="9" fillId="0" borderId="62" xfId="0" applyFont="1" applyBorder="1" applyAlignment="1">
      <alignment horizontal="center" vertical="center"/>
    </xf>
    <xf numFmtId="164" fontId="3" fillId="0" borderId="37" xfId="0" applyNumberFormat="1" applyFont="1" applyBorder="1" applyAlignment="1">
      <alignment horizontal="center" vertical="center" wrapText="1"/>
    </xf>
    <xf numFmtId="0" fontId="5" fillId="0" borderId="88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 wrapText="1"/>
    </xf>
    <xf numFmtId="0" fontId="0" fillId="0" borderId="57" xfId="0" applyBorder="1"/>
    <xf numFmtId="0" fontId="0" fillId="0" borderId="58" xfId="0" applyBorder="1"/>
    <xf numFmtId="0" fontId="9" fillId="0" borderId="4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 wrapText="1"/>
    </xf>
    <xf numFmtId="0" fontId="0" fillId="0" borderId="77" xfId="0" applyBorder="1"/>
    <xf numFmtId="164" fontId="11" fillId="0" borderId="37" xfId="0" applyNumberFormat="1" applyFont="1" applyBorder="1" applyAlignment="1">
      <alignment horizontal="center" vertical="center"/>
    </xf>
    <xf numFmtId="164" fontId="9" fillId="0" borderId="13" xfId="0" applyNumberFormat="1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14" fontId="9" fillId="0" borderId="79" xfId="0" applyNumberFormat="1" applyFont="1" applyBorder="1" applyAlignment="1">
      <alignment horizontal="left" vertical="center"/>
    </xf>
    <xf numFmtId="0" fontId="0" fillId="0" borderId="101" xfId="0" applyBorder="1"/>
    <xf numFmtId="0" fontId="13" fillId="0" borderId="62" xfId="1" applyFont="1" applyBorder="1" applyAlignment="1">
      <alignment horizontal="center"/>
    </xf>
    <xf numFmtId="0" fontId="3" fillId="0" borderId="6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9" fillId="0" borderId="97" xfId="0" applyFont="1" applyBorder="1" applyAlignment="1">
      <alignment horizontal="center" vertical="center"/>
    </xf>
    <xf numFmtId="0" fontId="0" fillId="0" borderId="93" xfId="0" applyBorder="1"/>
    <xf numFmtId="164" fontId="23" fillId="0" borderId="65" xfId="0" applyNumberFormat="1" applyFont="1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0" borderId="98" xfId="0" applyFont="1" applyBorder="1" applyAlignment="1">
      <alignment horizontal="center" vertical="center" wrapText="1"/>
    </xf>
    <xf numFmtId="14" fontId="9" fillId="0" borderId="92" xfId="0" applyNumberFormat="1" applyFont="1" applyBorder="1" applyAlignment="1">
      <alignment horizontal="center" vertical="center"/>
    </xf>
    <xf numFmtId="0" fontId="9" fillId="0" borderId="83" xfId="0" applyFont="1" applyBorder="1" applyAlignment="1">
      <alignment horizontal="center" vertical="center" wrapText="1"/>
    </xf>
    <xf numFmtId="0" fontId="0" fillId="0" borderId="83" xfId="0" applyBorder="1"/>
    <xf numFmtId="0" fontId="0" fillId="0" borderId="0" xfId="0" applyAlignment="1">
      <alignment horizontal="center"/>
    </xf>
    <xf numFmtId="0" fontId="9" fillId="0" borderId="83" xfId="0" applyFont="1" applyBorder="1" applyAlignment="1">
      <alignment horizontal="center" vertical="center"/>
    </xf>
    <xf numFmtId="164" fontId="9" fillId="0" borderId="46" xfId="0" applyNumberFormat="1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 wrapText="1"/>
    </xf>
    <xf numFmtId="0" fontId="0" fillId="0" borderId="76" xfId="0" applyBorder="1"/>
    <xf numFmtId="0" fontId="0" fillId="0" borderId="75" xfId="0" applyBorder="1" applyAlignment="1">
      <alignment horizontal="center" vertical="center"/>
    </xf>
    <xf numFmtId="0" fontId="0" fillId="0" borderId="52" xfId="0" applyBorder="1"/>
    <xf numFmtId="0" fontId="5" fillId="0" borderId="74" xfId="0" applyFont="1" applyBorder="1" applyAlignment="1">
      <alignment horizontal="center" vertical="center" wrapText="1"/>
    </xf>
    <xf numFmtId="0" fontId="0" fillId="0" borderId="47" xfId="0" applyBorder="1"/>
    <xf numFmtId="0" fontId="4" fillId="0" borderId="71" xfId="0" applyFont="1" applyBorder="1" applyAlignment="1">
      <alignment horizontal="center" vertical="center"/>
    </xf>
    <xf numFmtId="0" fontId="13" fillId="0" borderId="32" xfId="1" applyFont="1" applyBorder="1" applyAlignment="1">
      <alignment horizontal="center"/>
    </xf>
    <xf numFmtId="0" fontId="9" fillId="9" borderId="106" xfId="0" applyFont="1" applyFill="1" applyBorder="1" applyAlignment="1">
      <alignment horizontal="center" vertical="center"/>
    </xf>
    <xf numFmtId="164" fontId="5" fillId="0" borderId="37" xfId="0" applyNumberFormat="1" applyFont="1" applyBorder="1" applyAlignment="1">
      <alignment horizontal="center" vertical="center" wrapText="1"/>
    </xf>
    <xf numFmtId="0" fontId="9" fillId="0" borderId="94" xfId="0" applyFont="1" applyBorder="1" applyAlignment="1">
      <alignment horizontal="center" vertical="center"/>
    </xf>
    <xf numFmtId="164" fontId="0" fillId="9" borderId="61" xfId="0" applyNumberFormat="1" applyFill="1" applyBorder="1" applyAlignment="1">
      <alignment horizontal="center" vertical="center"/>
    </xf>
    <xf numFmtId="0" fontId="0" fillId="0" borderId="100" xfId="0" applyBorder="1"/>
    <xf numFmtId="0" fontId="9" fillId="0" borderId="43" xfId="0" applyFont="1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9" fillId="0" borderId="107" xfId="0" applyFont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0" fontId="20" fillId="3" borderId="102" xfId="0" applyFont="1" applyFill="1" applyBorder="1" applyAlignment="1">
      <alignment horizontal="center" vertical="center" wrapText="1"/>
    </xf>
    <xf numFmtId="0" fontId="0" fillId="0" borderId="103" xfId="0" applyBorder="1"/>
    <xf numFmtId="0" fontId="0" fillId="0" borderId="104" xfId="0" applyBorder="1"/>
    <xf numFmtId="0" fontId="0" fillId="0" borderId="105" xfId="0" applyBorder="1"/>
    <xf numFmtId="0" fontId="0" fillId="0" borderId="108" xfId="0" applyBorder="1"/>
    <xf numFmtId="14" fontId="20" fillId="3" borderId="102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9" fillId="0" borderId="0" xfId="0" applyFont="1" applyFill="1" applyBorder="1" applyAlignment="1">
      <alignment horizontal="center" vertical="center"/>
    </xf>
    <xf numFmtId="14" fontId="9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/>
    <xf numFmtId="0" fontId="9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Border="1"/>
    <xf numFmtId="2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vertical="center"/>
    </xf>
    <xf numFmtId="0" fontId="9" fillId="0" borderId="0" xfId="0" applyFont="1" applyFill="1" applyBorder="1" applyAlignment="1">
      <alignment vertical="center" wrapText="1"/>
    </xf>
    <xf numFmtId="164" fontId="9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2" fontId="14" fillId="0" borderId="0" xfId="0" applyNumberFormat="1" applyFont="1" applyFill="1" applyBorder="1" applyAlignment="1">
      <alignment horizontal="center" vertical="center"/>
    </xf>
    <xf numFmtId="164" fontId="14" fillId="0" borderId="0" xfId="0" applyNumberFormat="1" applyFont="1" applyFill="1" applyBorder="1" applyAlignment="1">
      <alignment horizontal="center" vertical="center"/>
    </xf>
    <xf numFmtId="165" fontId="14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" fontId="14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/>
  </cellXfs>
  <cellStyles count="3">
    <cellStyle name="Comma" xfId="2" builtinId="3"/>
    <cellStyle name="Normal" xfId="0" builtinId="0"/>
    <cellStyle name="Normal 2" xfId="1" xr:uid="{00000000-0005-0000-0000-000001000000}"/>
  </cellStyles>
  <dxfs count="86">
    <dxf>
      <font>
        <color theme="0"/>
      </font>
    </dxf>
    <dxf>
      <font>
        <color theme="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ill>
        <patternFill patternType="solid">
          <fgColor rgb="FFFFF2A6"/>
        </patternFill>
      </fill>
    </dxf>
    <dxf>
      <fill>
        <patternFill patternType="solid">
          <fgColor rgb="FFFFF2A6"/>
        </patternFill>
      </fill>
    </dxf>
    <dxf>
      <fill>
        <patternFill patternType="solid">
          <fgColor rgb="FFFFF2A6"/>
        </patternFill>
      </fill>
    </dxf>
    <dxf>
      <fill>
        <patternFill patternType="solid">
          <fgColor rgb="FFFFF2A6"/>
        </patternFill>
      </fill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ill>
        <patternFill patternType="solid">
          <fgColor rgb="FFFFF2A6"/>
        </patternFill>
      </fill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ill>
        <patternFill patternType="solid">
          <fgColor rgb="FFFFF2A6"/>
        </patternFill>
      </fill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ill>
        <patternFill patternType="solid">
          <fgColor rgb="FFFFF2A6"/>
        </patternFill>
      </fill>
    </dxf>
    <dxf>
      <fill>
        <patternFill patternType="solid">
          <fgColor rgb="FFFFF2A6"/>
        </patternFill>
      </fill>
    </dxf>
    <dxf>
      <fill>
        <patternFill patternType="solid">
          <fgColor rgb="FFFFF2A6"/>
        </patternFill>
      </fill>
    </dxf>
    <dxf>
      <fill>
        <patternFill patternType="solid">
          <fgColor rgb="FFFFF2A6"/>
        </patternFill>
      </fill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ill>
        <patternFill patternType="solid">
          <fgColor rgb="FFFFF2A6"/>
        </patternFill>
      </fill>
    </dxf>
    <dxf>
      <fill>
        <patternFill patternType="solid">
          <fgColor rgb="FFFFF2A6"/>
        </patternFill>
      </fill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ill>
        <patternFill patternType="solid">
          <fgColor rgb="FFFFF2A6"/>
        </patternFill>
      </fill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ill>
        <patternFill patternType="solid">
          <fgColor rgb="FFFFF2A6"/>
        </patternFill>
      </fill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ill>
        <patternFill patternType="solid">
          <fgColor rgb="FFFFF2A6"/>
        </patternFill>
      </fill>
    </dxf>
    <dxf>
      <font>
        <color theme="0"/>
      </font>
    </dxf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  <dxf>
      <fill>
        <patternFill patternType="solid">
          <fgColor rgb="FFFFF2A6"/>
        </patternFill>
      </fill>
    </dxf>
    <dxf>
      <fill>
        <patternFill patternType="solid">
          <fgColor rgb="FFFFF2A6"/>
        </patternFill>
      </fill>
    </dxf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  <dxf>
      <fill>
        <patternFill patternType="solid">
          <fgColor rgb="FFFFF2A6"/>
        </patternFill>
      </fill>
    </dxf>
    <dxf>
      <fill>
        <patternFill patternType="solid">
          <fgColor rgb="FFFFF2A6"/>
        </patternFill>
      </fill>
    </dxf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  <dxf>
      <fill>
        <patternFill patternType="solid">
          <fgColor rgb="FFFFF2A6"/>
        </patternFill>
      </fill>
    </dxf>
    <dxf>
      <fill>
        <patternFill patternType="solid">
          <fgColor rgb="FFFFF2A6"/>
        </patternFill>
      </fill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b/>
        <color rgb="FFCC0000"/>
      </font>
    </dxf>
    <dxf>
      <font>
        <color theme="0"/>
      </font>
    </dxf>
    <dxf>
      <font>
        <color auto="1"/>
      </font>
    </dxf>
    <dxf>
      <font>
        <color theme="0"/>
      </font>
    </dxf>
    <dxf>
      <fill>
        <patternFill patternType="solid">
          <fgColor rgb="FFFFF2A6"/>
        </patternFill>
      </fill>
    </dxf>
    <dxf>
      <fill>
        <patternFill patternType="solid">
          <fgColor rgb="FFFFF2A6"/>
        </patternFill>
      </fill>
    </dxf>
    <dxf>
      <fill>
        <patternFill patternType="solid">
          <fgColor rgb="FFFFF2A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315"/>
  <sheetViews>
    <sheetView workbookViewId="0">
      <selection activeCell="D13" sqref="D13"/>
    </sheetView>
  </sheetViews>
  <sheetFormatPr defaultRowHeight="15" x14ac:dyDescent="0.25"/>
  <cols>
    <col min="1" max="1" width="30" bestFit="1" customWidth="1"/>
    <col min="2" max="2" width="19.5703125" customWidth="1"/>
    <col min="3" max="3" width="12" bestFit="1" customWidth="1"/>
    <col min="4" max="4" width="14.140625" customWidth="1"/>
    <col min="5" max="5" width="6.7109375" bestFit="1" customWidth="1"/>
    <col min="6" max="6" width="12.140625" bestFit="1" customWidth="1"/>
    <col min="7" max="7" width="9.28515625" customWidth="1"/>
    <col min="8" max="8" width="12" bestFit="1" customWidth="1"/>
    <col min="9" max="9" width="8" customWidth="1"/>
    <col min="10" max="10" width="9" bestFit="1" customWidth="1"/>
    <col min="13" max="24" width="13" hidden="1" customWidth="1"/>
    <col min="26" max="26" width="13" hidden="1" customWidth="1"/>
  </cols>
  <sheetData>
    <row r="1" spans="1:26" ht="21.95" customHeight="1" thickTop="1" thickBot="1" x14ac:dyDescent="0.3">
      <c r="A1" s="289" t="s">
        <v>0</v>
      </c>
      <c r="B1" s="290"/>
      <c r="C1" s="290"/>
      <c r="D1" s="290"/>
      <c r="E1" s="290"/>
      <c r="F1" s="290"/>
      <c r="G1" s="290"/>
      <c r="H1" s="290"/>
      <c r="J1" s="288"/>
      <c r="K1" s="287">
        <v>7861</v>
      </c>
      <c r="Z1">
        <f>IFERROR("'"&amp;INDEX($N$3:$N$10,MATCH($D$13,$A$3:$A$10,0))&amp;"'!","")</f>
      </c>
    </row>
    <row r="2" spans="1:26" ht="39.75" customHeight="1" thickTop="1" x14ac:dyDescent="0.25">
      <c r="A2" s="230" t="s">
        <v>1</v>
      </c>
      <c r="B2" s="230" t="s">
        <v>2</v>
      </c>
      <c r="C2" s="230" t="s">
        <v>3</v>
      </c>
      <c r="D2" s="230" t="s">
        <v>4</v>
      </c>
      <c r="E2" s="243" t="s">
        <v>5</v>
      </c>
      <c r="F2" s="243" t="s">
        <v>6</v>
      </c>
      <c r="G2" s="241" t="s">
        <v>7</v>
      </c>
      <c r="H2" s="242" t="s">
        <v>8</v>
      </c>
      <c r="Z2">
        <f>IFERROR(INDEX($O$3:$O$10,MATCH($D$13,$A$3:$A$10,0)),"NA")</f>
      </c>
    </row>
    <row r="3" spans="1:26" x14ac:dyDescent="0.25">
      <c r="A3" s="258" t="s">
        <v>9</v>
      </c>
      <c r="B3" s="259" t="s">
        <v>10</v>
      </c>
      <c r="C3" s="259">
        <f>SUMIF(Master!$A$2:$A$1001,"VRKP",Master!$K$2:$K$1001)</f>
      </c>
      <c r="D3" s="260">
        <f>ROUND(SUMIF(Master!$A$2:$A$1001,"VRKP",Master!$L$2:$L$1001),3)</f>
      </c>
      <c r="E3" s="259">
        <f>SUMIF(VRKP!$N$5:$N$304,"HOLD",VRKP!$L$5:$L$304)</f>
      </c>
      <c r="F3" s="259">
        <f>ROUND(SUMIF(VRKP!$N$5:$N$304,"HOLD",VRKP!$M$5:$M$304),3)</f>
      </c>
      <c r="G3" s="259">
        <f t="shared" ref="G3:H10" si="0">C3-E3</f>
      </c>
      <c r="H3" s="259">
        <f t="shared" si="0"/>
      </c>
      <c r="N3" t="s">
        <v>9</v>
      </c>
      <c r="O3" t="s">
        <v>11</v>
      </c>
      <c r="P3">
        <v>0.12</v>
      </c>
      <c r="Q3">
        <v>0.05</v>
      </c>
      <c r="R3" t="s">
        <v>11</v>
      </c>
      <c r="S3">
        <v>8.5000000000000006E-2</v>
      </c>
      <c r="T3">
        <v>0.5</v>
      </c>
      <c r="U3">
        <v>120</v>
      </c>
      <c r="V3">
        <v>0.08</v>
      </c>
      <c r="W3" t="s">
        <v>11</v>
      </c>
      <c r="X3" t="s">
        <v>11</v>
      </c>
      <c r="Z3">
        <f>IFERROR(INDEX($P$3:$P$10,MATCH($D$13,$A$3:$A$10,0)),"NA")</f>
      </c>
    </row>
    <row r="4" spans="1:26" x14ac:dyDescent="0.25">
      <c r="A4" s="258" t="s">
        <v>12</v>
      </c>
      <c r="B4" s="259" t="s">
        <v>10</v>
      </c>
      <c r="C4" s="259">
        <f>SUMIF(Master!$A$2:$A$1001,"SHREE RADHE",Master!$K$2:$K$1001)</f>
      </c>
      <c r="D4" s="260">
        <f>ROUND(SUMIF(Master!$A$2:$A$1001,"SHREE RADHE",Master!$L$2:$L$1001),3)</f>
      </c>
      <c r="E4" s="259">
        <f>SUMIF('Shree Radhe'!$N$5:$N$304,"HOLD",'Shree Radhe'!$L$5:$L$304)</f>
      </c>
      <c r="F4" s="259">
        <f>ROUND(SUMIF('Shree Radhe'!$N$5:$N$304,"HOLD",'Shree Radhe'!$M$5:$M$304),3)</f>
      </c>
      <c r="G4" s="259">
        <f t="shared" si="0"/>
      </c>
      <c r="H4" s="259">
        <f t="shared" si="0"/>
      </c>
      <c r="N4" t="s">
        <v>13</v>
      </c>
      <c r="O4" t="s">
        <v>11</v>
      </c>
      <c r="P4">
        <v>0.15</v>
      </c>
      <c r="Q4">
        <v>4.4999999999999998E-2</v>
      </c>
      <c r="R4" t="s">
        <v>11</v>
      </c>
      <c r="S4">
        <v>0.08</v>
      </c>
      <c r="T4">
        <v>0.5</v>
      </c>
      <c r="U4" t="s">
        <v>11</v>
      </c>
      <c r="V4">
        <v>0.1</v>
      </c>
      <c r="W4" t="s">
        <v>11</v>
      </c>
      <c r="X4" t="s">
        <v>11</v>
      </c>
      <c r="Z4">
        <f>IFERROR(INDEX($Q$3:$Q$10,MATCH($D$13,$A$3:$A$10,0)),"NA")</f>
      </c>
    </row>
    <row r="5" spans="1:26" x14ac:dyDescent="0.25">
      <c r="A5" s="258" t="s">
        <v>14</v>
      </c>
      <c r="B5" s="259" t="s">
        <v>15</v>
      </c>
      <c r="C5" s="259">
        <f>SUMIF(Master!$A$2:$A$1001,"SWADESH",Master!$K$2:$K$1001)</f>
      </c>
      <c r="D5" s="260">
        <f>ROUND(SUMIF(Master!$A$2:$A$1001,"SWADESH",Master!$L$2:$L$1001),3)</f>
      </c>
      <c r="E5" s="259">
        <f>SUMIF(Swadesh!$N$5:$N$304,"HOLD",Swadesh!$L$5:$L$304)</f>
      </c>
      <c r="F5" s="259">
        <f>ROUND(SUMIF(Swadesh!$N$5:$N$304,"HOLD",Swadesh!$M$5:$M$304),3)</f>
      </c>
      <c r="G5" s="259">
        <f t="shared" si="0"/>
      </c>
      <c r="H5" s="259">
        <f t="shared" si="0"/>
      </c>
      <c r="N5" t="s">
        <v>16</v>
      </c>
      <c r="O5" t="s">
        <v>11</v>
      </c>
      <c r="P5">
        <v>0.15</v>
      </c>
      <c r="Q5">
        <v>4.4999999999999998E-2</v>
      </c>
      <c r="R5" t="s">
        <v>11</v>
      </c>
      <c r="S5">
        <v>0.08</v>
      </c>
      <c r="T5">
        <v>0.5</v>
      </c>
      <c r="U5" t="s">
        <v>11</v>
      </c>
      <c r="V5">
        <v>0.1</v>
      </c>
      <c r="W5" t="s">
        <v>11</v>
      </c>
      <c r="X5" t="s">
        <v>11</v>
      </c>
      <c r="Z5">
        <f>IFERROR(INDEX($R$3:$R$10,MATCH($D$13,$A$3:$A$10,0)),"NA")</f>
      </c>
    </row>
    <row r="6" spans="1:26" x14ac:dyDescent="0.25">
      <c r="A6" s="258" t="s">
        <v>17</v>
      </c>
      <c r="B6" s="259" t="s">
        <v>10</v>
      </c>
      <c r="C6" s="259">
        <f>SUMIFS(Master!$K$2:$K$1001,Master!$A$2:$A$1001,"SHYAM METALLIKS",Master!$M$2:$M$1001,"130 x 130 x 6MTR")</f>
      </c>
      <c r="D6" s="260">
        <f>ROUND(SUMIFS(Master!$L$2:$L$1001,Master!$A$2:$A$1001,"SHYAM METALLIKS",Master!$M$2:$M$1001,"130 x 130 x 6MTR"),3)</f>
      </c>
      <c r="E6" s="259">
        <f>SUMIF('Shyam Metaliks'!$N$5:$N$304,"HOLD",'Shyam Metaliks'!$L$5:$L$304)</f>
      </c>
      <c r="F6" s="259">
        <f>ROUND(SUMIF('Shyam Metaliks'!$N$5:$N$304,"HOLD",'Shyam Metaliks'!$M$5:$M$304),3)</f>
      </c>
      <c r="G6" s="259">
        <f t="shared" si="0"/>
      </c>
      <c r="H6" s="259">
        <f t="shared" si="0"/>
      </c>
      <c r="N6" t="s">
        <v>18</v>
      </c>
      <c r="O6" t="s">
        <v>11</v>
      </c>
      <c r="P6">
        <v>0.18</v>
      </c>
      <c r="Q6">
        <v>4.4999999999999998E-2</v>
      </c>
      <c r="R6" t="s">
        <v>11</v>
      </c>
      <c r="S6">
        <v>0.08</v>
      </c>
      <c r="T6">
        <v>0.4</v>
      </c>
      <c r="U6" t="s">
        <v>11</v>
      </c>
      <c r="V6">
        <v>0.1</v>
      </c>
      <c r="W6" t="s">
        <v>11</v>
      </c>
      <c r="X6">
        <v>0.14000000000000001</v>
      </c>
      <c r="Z6">
        <f>IFERROR(INDEX($S$3:$S$10,MATCH($D$13,$A$3:$A$10,0)),"NA")</f>
      </c>
    </row>
    <row r="7" spans="1:26" x14ac:dyDescent="0.25">
      <c r="A7" s="258" t="s">
        <v>19</v>
      </c>
      <c r="B7" s="259" t="s">
        <v>15</v>
      </c>
      <c r="C7" s="259">
        <f>SUMIFS(Master!$K$2:$K$1001,Master!$A$2:$A$1001,"SHYAM METALLIKS",Master!$M$2:$M$1001,"160 x 160 x 6MTR")</f>
      </c>
      <c r="D7" s="260">
        <f>ROUND(SUMIFS(Master!$L$2:$L$1001,Master!$A$2:$A$1001,"SHYAM METALLIKS",Master!$M$2:$M$1001,"160 x 160 x 6MTR"),3)</f>
      </c>
      <c r="E7" s="259">
        <f>SUMIF('Shyam Metaliks (160)'!$N$5:$N$304,"HOLD",'Shyam Metaliks (160)'!$L$5:$L$304)</f>
      </c>
      <c r="F7" s="260">
        <f>ROUND(SUMIF('Shyam Metaliks (160)'!$N$5:$N$304,"HOLD",'Shyam Metaliks (160)'!$M$5:$M$304),3)</f>
      </c>
      <c r="G7" s="259">
        <f t="shared" si="0"/>
      </c>
      <c r="H7" s="259">
        <f t="shared" si="0"/>
      </c>
      <c r="N7" t="s">
        <v>20</v>
      </c>
      <c r="O7" t="s">
        <v>11</v>
      </c>
      <c r="P7">
        <v>0.18</v>
      </c>
      <c r="Q7" t="s">
        <v>11</v>
      </c>
      <c r="R7" t="s">
        <v>11</v>
      </c>
      <c r="S7" t="s">
        <v>11</v>
      </c>
      <c r="T7">
        <v>0.4</v>
      </c>
      <c r="U7" t="s">
        <v>11</v>
      </c>
      <c r="V7">
        <v>0.1</v>
      </c>
      <c r="W7" t="s">
        <v>11</v>
      </c>
      <c r="X7">
        <v>0.14000000000000001</v>
      </c>
      <c r="Z7">
        <f>IFERROR(INDEX($T$3:$T$10,MATCH($D$13,$A$3:$A$10,0)),"NA")</f>
      </c>
    </row>
    <row r="8" spans="1:26" x14ac:dyDescent="0.25">
      <c r="A8" s="258" t="s">
        <v>21</v>
      </c>
      <c r="B8" s="259" t="s">
        <v>15</v>
      </c>
      <c r="C8" s="259">
        <f>SUMIF(Master!$A$2:$A$1001,"MASHIVA STEEL AND ALLOYS LLP",Master!$K$2:$K$1001)</f>
      </c>
      <c r="D8" s="260">
        <f>ROUND(SUMIF(Master!$A$2:$A$1001,"MASHIVA STEEL AND ALLOYS LLP",Master!$L$2:$L$1001),3)</f>
      </c>
      <c r="E8" s="259">
        <f>SUMIF(MASHIVA!$N$5:$N$304,"HOLD",MASHIVA!$L$5:$L$304)</f>
      </c>
      <c r="F8" s="260">
        <f>ROUND(SUMIF(MASHIVA!$N$5:$N$304,"HOLD",MASHIVA!$M$5:$M$304),3)</f>
      </c>
      <c r="G8" s="261">
        <f t="shared" si="0"/>
      </c>
      <c r="H8" s="260">
        <f t="shared" si="0"/>
      </c>
      <c r="K8" s="122"/>
      <c r="L8" s="122"/>
      <c r="N8" t="s">
        <v>22</v>
      </c>
      <c r="O8" t="s">
        <v>11</v>
      </c>
      <c r="P8">
        <v>0.15</v>
      </c>
      <c r="Q8" t="s">
        <v>11</v>
      </c>
      <c r="R8" t="s">
        <v>11</v>
      </c>
      <c r="S8" t="s">
        <v>11</v>
      </c>
      <c r="T8">
        <v>0.45</v>
      </c>
      <c r="U8" t="s">
        <v>11</v>
      </c>
      <c r="V8">
        <v>0.1</v>
      </c>
      <c r="W8" t="s">
        <v>11</v>
      </c>
      <c r="X8">
        <v>0.15</v>
      </c>
      <c r="Z8">
        <f>IFERROR(INDEX($U$3:$U$10,MATCH($D$13,$A$3:$A$10,0)),"NA")</f>
      </c>
    </row>
    <row r="9" spans="1:26" x14ac:dyDescent="0.25">
      <c r="A9" s="258" t="s">
        <v>23</v>
      </c>
      <c r="B9" s="259" t="s">
        <v>10</v>
      </c>
      <c r="C9" s="259">
        <f>SUMIF(Master!$A$2:$A$1001,"AKASH SALES",Master!$K$2:$K$1001)</f>
      </c>
      <c r="D9" s="260">
        <f>ROUND(SUMIF(Master!$A$2:$A$1001,"AKASH SALES",Master!$L$2:$L$1001),3)</f>
      </c>
      <c r="E9" s="259">
        <f>SUMIF('Akash Sales'!$N$5:$N$304,"HOLD",'Akash Sales'!$L$5:$L$304)</f>
      </c>
      <c r="F9" s="259">
        <f>ROUND(SUMIF('Akash Sales'!$N$5:$N$304,"HOLD",'Akash Sales'!$M$5:$M$304),3)</f>
      </c>
      <c r="G9" s="259">
        <f t="shared" si="0"/>
      </c>
      <c r="H9" s="259">
        <f t="shared" si="0"/>
      </c>
      <c r="N9" t="s">
        <v>24</v>
      </c>
      <c r="O9" t="s">
        <v>11</v>
      </c>
      <c r="P9">
        <v>0.18</v>
      </c>
      <c r="Q9" t="s">
        <v>11</v>
      </c>
      <c r="R9" t="s">
        <v>11</v>
      </c>
      <c r="S9" t="s">
        <v>11</v>
      </c>
      <c r="T9">
        <v>0.45</v>
      </c>
      <c r="U9" t="s">
        <v>11</v>
      </c>
      <c r="V9">
        <v>0.1</v>
      </c>
      <c r="W9" t="s">
        <v>11</v>
      </c>
      <c r="X9">
        <v>0.15</v>
      </c>
      <c r="Z9">
        <f>IFERROR(INDEX($V$3:$V$10,MATCH($D$13,$A$3:$A$10,0)),"NA")</f>
      </c>
    </row>
    <row r="10" spans="1:26" x14ac:dyDescent="0.25">
      <c r="A10" s="258" t="s">
        <v>25</v>
      </c>
      <c r="B10" s="259" t="s">
        <v>15</v>
      </c>
      <c r="C10" s="259">
        <f>SUMIF(Master!$A$2:$A$1001,"AR ISPAT",Master!$K$2:$K$1001)</f>
      </c>
      <c r="D10" s="260">
        <f>ROUND(SUMIF(Master!$A$2:$A$1001,"AR ISPAT",Master!$L$2:$L$1001),3)</f>
      </c>
      <c r="E10" s="259">
        <f>SUMIF('AR Ispat'!$N$5:$N$304,"HOLD",'AR Ispat'!$L$5:$L$304)</f>
      </c>
      <c r="F10" s="260">
        <f>ROUND(SUMIF('AR Ispat'!$N$5:$N$304,"HOLD",'AR Ispat'!$M$5:$M$304),3)</f>
      </c>
      <c r="G10" s="261">
        <f t="shared" si="0"/>
      </c>
      <c r="H10" s="260">
        <f t="shared" si="0"/>
      </c>
      <c r="N10" t="s">
        <v>26</v>
      </c>
      <c r="O10" t="s">
        <v>11</v>
      </c>
      <c r="P10">
        <v>0.18</v>
      </c>
      <c r="Q10" t="s">
        <v>11</v>
      </c>
      <c r="R10" t="s">
        <v>11</v>
      </c>
      <c r="S10" t="s">
        <v>11</v>
      </c>
      <c r="T10">
        <v>0.45</v>
      </c>
      <c r="U10" t="s">
        <v>11</v>
      </c>
      <c r="V10">
        <v>0.1</v>
      </c>
      <c r="W10" t="s">
        <v>11</v>
      </c>
      <c r="X10">
        <v>0.15</v>
      </c>
      <c r="Z10">
        <f>IFERROR(INDEX($W$3:$W$10,MATCH($D$13,$A$3:$A$10,0)),"NA")</f>
      </c>
    </row>
    <row r="11" spans="1:26" x14ac:dyDescent="0.25">
      <c r="A11" s="232" t="s">
        <v>27</v>
      </c>
      <c r="B11" s="232"/>
      <c r="C11" s="237">
        <f>SUM(C3:C10)</f>
      </c>
      <c r="D11" s="238">
        <f>ROUND(SUM(D3:D10),3)</f>
      </c>
      <c r="E11" s="237">
        <f>SUM(E3:E10)</f>
      </c>
      <c r="F11" s="238">
        <f>ROUND(SUM(F3:F10),3)</f>
      </c>
      <c r="G11" s="240">
        <f>ROUND(SUM(G3:G10),3)</f>
      </c>
      <c r="H11" s="238">
        <f>ROUND(SUM(H3:H10),3)</f>
      </c>
      <c r="Z11">
        <f>IFERROR(INDEX($X$3:$X$10,MATCH($D$13,$A$3:$A$10,0)),"NA")</f>
      </c>
    </row>
    <row r="12" spans="1:26" ht="15.75" thickBot="1" x14ac:dyDescent="0.3">
      <c r="A12" s="262"/>
      <c r="B12" s="262"/>
      <c r="C12" s="262"/>
      <c r="D12" s="262"/>
      <c r="E12" s="262"/>
      <c r="F12" s="262"/>
      <c r="G12" s="262"/>
      <c r="H12" s="262"/>
    </row>
    <row r="13" spans="1:26" x14ac:dyDescent="0.25">
      <c r="B13" s="273" t="s">
        <v>28</v>
      </c>
      <c r="D13" s="274" t="s">
        <v>19</v>
      </c>
      <c r="E13" s="274"/>
      <c r="F13" s="274"/>
    </row>
    <row r="15" spans="1:26" x14ac:dyDescent="0.25">
      <c r="B15" s="275" t="s">
        <v>29</v>
      </c>
      <c r="C15" s="275" t="s">
        <v>30</v>
      </c>
      <c r="D15" s="275" t="s">
        <v>31</v>
      </c>
      <c r="E15" s="275" t="s">
        <v>32</v>
      </c>
      <c r="F15" s="275" t="s">
        <v>33</v>
      </c>
      <c r="G15" s="275" t="s">
        <v>34</v>
      </c>
      <c r="H15" s="275" t="s">
        <v>35</v>
      </c>
      <c r="I15" s="275" t="s">
        <v>36</v>
      </c>
      <c r="J15" s="275" t="s">
        <v>37</v>
      </c>
    </row>
    <row r="16" spans="1:26" x14ac:dyDescent="0.25">
      <c r="B16" s="278">
        <f t="shared" ref="B16:B79" ca="1" si="1">IF($M16="","",INDEX(INDIRECT($Z$1&amp;"$A$5:$A$304"),$M16))</f>
      </c>
      <c r="C16" s="279">
        <f t="shared" ref="C16:C79" ca="1" si="2">IF($M16="","",INDEX(INDIRECT($Z$1&amp;"$B$5:$B$304"),$M16))</f>
      </c>
      <c r="D16">
        <f t="shared" ref="D16:D79" ca="1" si="3">IF($M16="","",INDEX(INDIRECT($Z$1&amp;"$C$5:$C$304"),$M16))</f>
      </c>
      <c r="E16" s="257">
        <f t="shared" ref="E16:E79" ca="1" si="4">IF($M16="","",INDEX(INDIRECT($Z$1&amp;"$E$5:$E$304"),$M16))</f>
      </c>
      <c r="F16" s="122">
        <f t="shared" ref="F16:F79" ca="1" si="5">IF($M16="","",INDEX(INDIRECT($Z$1&amp;"$F$5:$F$304"),$M16))</f>
      </c>
      <c r="G16" s="122">
        <f t="shared" ref="G16:G79" ca="1" si="6">IF($M16="","",INDEX(INDIRECT($Z$1&amp;"$G$5:$G$304"),$M16))</f>
      </c>
      <c r="H16" s="257">
        <f t="shared" ref="H16:H79" ca="1" si="7">IF($M16="","",INDEX(INDIRECT($Z$1&amp;"$H$5:$H$304"),$M16))</f>
      </c>
      <c r="I16">
        <f t="shared" ref="I16:I79" ca="1" si="8">IF($M16="","",INDEX(INDIRECT($Z$1&amp;"$I$5:$I$304"),$M16))</f>
      </c>
      <c r="J16" s="257">
        <f t="shared" ref="J16:J79" ca="1" si="9">IF($M16="","",INDEX(INDIRECT($Z$1&amp;"$J$5:$J$304"),$M16))</f>
      </c>
      <c r="M16">
        <f t="array" aca="1" ref="M16" ca="1">IFERROR(SMALL(IF(INDIRECT($Z$1&amp;"$P$5:$P$304")=1,ROW(INDIRECT($Z$1&amp;"$A$5:$A$304"))-ROW(INDIRECT($Z$1&amp;"$A$5"))+1),1),"")</f>
      </c>
    </row>
    <row r="17" spans="2:13" x14ac:dyDescent="0.25">
      <c r="B17" s="278">
        <f t="shared" ca="1" si="1"/>
      </c>
      <c r="C17" s="279">
        <f t="shared" ca="1" si="2"/>
      </c>
      <c r="D17">
        <f t="shared" ca="1" si="3"/>
      </c>
      <c r="E17" s="257">
        <f t="shared" ca="1" si="4"/>
      </c>
      <c r="F17" s="122">
        <f t="shared" ca="1" si="5"/>
      </c>
      <c r="G17" s="122">
        <f t="shared" ca="1" si="6"/>
      </c>
      <c r="H17" s="257">
        <f t="shared" ca="1" si="7"/>
      </c>
      <c r="I17">
        <f t="shared" ca="1" si="8"/>
      </c>
      <c r="J17" s="257">
        <f t="shared" ca="1" si="9"/>
      </c>
      <c r="M17">
        <f t="array" aca="1" ref="M17" ca="1">IFERROR(SMALL(IF(INDIRECT($Z$1&amp;"$P$5:$P$304")=1,ROW(INDIRECT($Z$1&amp;"$A$5:$A$304"))-ROW(INDIRECT($Z$1&amp;"$A$5"))+1),2),"")</f>
      </c>
    </row>
    <row r="18" spans="2:13" x14ac:dyDescent="0.25">
      <c r="B18" s="278">
        <f t="shared" ca="1" si="1"/>
      </c>
      <c r="C18" s="279">
        <f t="shared" ca="1" si="2"/>
      </c>
      <c r="D18">
        <f t="shared" ca="1" si="3"/>
      </c>
      <c r="E18" s="257">
        <f t="shared" ca="1" si="4"/>
      </c>
      <c r="F18" s="122">
        <f t="shared" ca="1" si="5"/>
      </c>
      <c r="G18" s="122">
        <f t="shared" ca="1" si="6"/>
      </c>
      <c r="H18" s="257">
        <f t="shared" ca="1" si="7"/>
      </c>
      <c r="I18">
        <f t="shared" ca="1" si="8"/>
      </c>
      <c r="J18" s="257">
        <f t="shared" ca="1" si="9"/>
      </c>
      <c r="M18">
        <f t="array" aca="1" ref="M18" ca="1">IFERROR(SMALL(IF(INDIRECT($Z$1&amp;"$P$5:$P$304")=1,ROW(INDIRECT($Z$1&amp;"$A$5:$A$304"))-ROW(INDIRECT($Z$1&amp;"$A$5"))+1),3),"")</f>
      </c>
    </row>
    <row r="19" spans="2:13" x14ac:dyDescent="0.25">
      <c r="B19" s="278">
        <f t="shared" ca="1" si="1"/>
      </c>
      <c r="C19" s="279">
        <f t="shared" ca="1" si="2"/>
      </c>
      <c r="D19">
        <f t="shared" ca="1" si="3"/>
      </c>
      <c r="E19" s="257">
        <f t="shared" ca="1" si="4"/>
      </c>
      <c r="F19" s="122">
        <f t="shared" ca="1" si="5"/>
      </c>
      <c r="G19" s="122">
        <f t="shared" ca="1" si="6"/>
      </c>
      <c r="H19" s="257">
        <f t="shared" ca="1" si="7"/>
      </c>
      <c r="I19">
        <f t="shared" ca="1" si="8"/>
      </c>
      <c r="J19" s="257">
        <f t="shared" ca="1" si="9"/>
      </c>
      <c r="M19">
        <f t="array" aca="1" ref="M19" ca="1">IFERROR(SMALL(IF(INDIRECT($Z$1&amp;"$P$5:$P$304")=1,ROW(INDIRECT($Z$1&amp;"$A$5:$A$304"))-ROW(INDIRECT($Z$1&amp;"$A$5"))+1),4),"")</f>
      </c>
    </row>
    <row r="20" spans="2:13" x14ac:dyDescent="0.25">
      <c r="B20" s="278">
        <f t="shared" ca="1" si="1"/>
      </c>
      <c r="C20" s="279">
        <f t="shared" ca="1" si="2"/>
      </c>
      <c r="D20">
        <f t="shared" ca="1" si="3"/>
      </c>
      <c r="E20" s="257">
        <f t="shared" ca="1" si="4"/>
      </c>
      <c r="F20" s="122">
        <f t="shared" ca="1" si="5"/>
      </c>
      <c r="G20" s="122">
        <f t="shared" ca="1" si="6"/>
      </c>
      <c r="H20" s="257">
        <f t="shared" ca="1" si="7"/>
      </c>
      <c r="I20">
        <f t="shared" ca="1" si="8"/>
      </c>
      <c r="J20" s="257">
        <f t="shared" ca="1" si="9"/>
      </c>
      <c r="M20">
        <f t="array" aca="1" ref="M20" ca="1">IFERROR(SMALL(IF(INDIRECT($Z$1&amp;"$P$5:$P$304")=1,ROW(INDIRECT($Z$1&amp;"$A$5:$A$304"))-ROW(INDIRECT($Z$1&amp;"$A$5"))+1),5),"")</f>
      </c>
    </row>
    <row r="21" spans="2:13" x14ac:dyDescent="0.25">
      <c r="B21" s="278">
        <f t="shared" ca="1" si="1"/>
      </c>
      <c r="C21" s="279">
        <f t="shared" ca="1" si="2"/>
      </c>
      <c r="D21">
        <f t="shared" ca="1" si="3"/>
      </c>
      <c r="E21" s="257">
        <f t="shared" ca="1" si="4"/>
      </c>
      <c r="F21" s="122">
        <f t="shared" ca="1" si="5"/>
      </c>
      <c r="G21" s="122">
        <f t="shared" ca="1" si="6"/>
      </c>
      <c r="H21" s="257">
        <f t="shared" ca="1" si="7"/>
      </c>
      <c r="I21">
        <f t="shared" ca="1" si="8"/>
      </c>
      <c r="J21" s="257">
        <f t="shared" ca="1" si="9"/>
      </c>
      <c r="M21">
        <f t="array" aca="1" ref="M21" ca="1">IFERROR(SMALL(IF(INDIRECT($Z$1&amp;"$P$5:$P$304")=1,ROW(INDIRECT($Z$1&amp;"$A$5:$A$304"))-ROW(INDIRECT($Z$1&amp;"$A$5"))+1),6),"")</f>
      </c>
    </row>
    <row r="22" spans="2:13" x14ac:dyDescent="0.25">
      <c r="B22" s="278">
        <f t="shared" ca="1" si="1"/>
      </c>
      <c r="C22" s="279">
        <f t="shared" ca="1" si="2"/>
      </c>
      <c r="D22">
        <f t="shared" ca="1" si="3"/>
      </c>
      <c r="E22" s="257">
        <f t="shared" ca="1" si="4"/>
      </c>
      <c r="F22" s="122">
        <f t="shared" ca="1" si="5"/>
      </c>
      <c r="G22" s="122">
        <f t="shared" ca="1" si="6"/>
      </c>
      <c r="H22" s="257">
        <f t="shared" ca="1" si="7"/>
      </c>
      <c r="I22">
        <f t="shared" ca="1" si="8"/>
      </c>
      <c r="J22" s="257">
        <f t="shared" ca="1" si="9"/>
      </c>
      <c r="M22">
        <f t="array" aca="1" ref="M22" ca="1">IFERROR(SMALL(IF(INDIRECT($Z$1&amp;"$P$5:$P$304")=1,ROW(INDIRECT($Z$1&amp;"$A$5:$A$304"))-ROW(INDIRECT($Z$1&amp;"$A$5"))+1),7),"")</f>
      </c>
    </row>
    <row r="23" spans="2:13" x14ac:dyDescent="0.25">
      <c r="B23" s="278">
        <f t="shared" ca="1" si="1"/>
      </c>
      <c r="C23" s="279">
        <f t="shared" ca="1" si="2"/>
      </c>
      <c r="D23">
        <f t="shared" ca="1" si="3"/>
      </c>
      <c r="E23" s="257">
        <f t="shared" ca="1" si="4"/>
      </c>
      <c r="F23" s="122">
        <f t="shared" ca="1" si="5"/>
      </c>
      <c r="G23" s="122">
        <f t="shared" ca="1" si="6"/>
      </c>
      <c r="H23" s="257">
        <f t="shared" ca="1" si="7"/>
      </c>
      <c r="I23">
        <f t="shared" ca="1" si="8"/>
      </c>
      <c r="J23" s="257">
        <f t="shared" ca="1" si="9"/>
      </c>
      <c r="M23">
        <f t="array" aca="1" ref="M23" ca="1">IFERROR(SMALL(IF(INDIRECT($Z$1&amp;"$P$5:$P$304")=1,ROW(INDIRECT($Z$1&amp;"$A$5:$A$304"))-ROW(INDIRECT($Z$1&amp;"$A$5"))+1),8),"")</f>
      </c>
    </row>
    <row r="24" spans="2:13" x14ac:dyDescent="0.25">
      <c r="B24" s="278">
        <f t="shared" ca="1" si="1"/>
      </c>
      <c r="C24" s="279">
        <f t="shared" ca="1" si="2"/>
      </c>
      <c r="D24">
        <f t="shared" ca="1" si="3"/>
      </c>
      <c r="E24" s="257">
        <f t="shared" ca="1" si="4"/>
      </c>
      <c r="F24" s="122">
        <f t="shared" ca="1" si="5"/>
      </c>
      <c r="G24" s="122">
        <f t="shared" ca="1" si="6"/>
      </c>
      <c r="H24" s="257">
        <f t="shared" ca="1" si="7"/>
      </c>
      <c r="I24">
        <f t="shared" ca="1" si="8"/>
      </c>
      <c r="J24" s="257">
        <f t="shared" ca="1" si="9"/>
      </c>
      <c r="M24">
        <f t="array" aca="1" ref="M24" ca="1">IFERROR(SMALL(IF(INDIRECT($Z$1&amp;"$P$5:$P$304")=1,ROW(INDIRECT($Z$1&amp;"$A$5:$A$304"))-ROW(INDIRECT($Z$1&amp;"$A$5"))+1),9),"")</f>
      </c>
    </row>
    <row r="25" spans="2:13" x14ac:dyDescent="0.25">
      <c r="B25" s="278">
        <f t="shared" ca="1" si="1"/>
      </c>
      <c r="C25" s="279">
        <f t="shared" ca="1" si="2"/>
      </c>
      <c r="D25">
        <f t="shared" ca="1" si="3"/>
      </c>
      <c r="E25" s="257">
        <f t="shared" ca="1" si="4"/>
      </c>
      <c r="F25" s="122">
        <f t="shared" ca="1" si="5"/>
      </c>
      <c r="G25" s="122">
        <f t="shared" ca="1" si="6"/>
      </c>
      <c r="H25" s="257">
        <f t="shared" ca="1" si="7"/>
      </c>
      <c r="I25">
        <f t="shared" ca="1" si="8"/>
      </c>
      <c r="J25" s="257">
        <f t="shared" ca="1" si="9"/>
      </c>
      <c r="M25">
        <f t="array" aca="1" ref="M25" ca="1">IFERROR(SMALL(IF(INDIRECT($Z$1&amp;"$P$5:$P$304")=1,ROW(INDIRECT($Z$1&amp;"$A$5:$A$304"))-ROW(INDIRECT($Z$1&amp;"$A$5"))+1),10),"")</f>
      </c>
    </row>
    <row r="26" spans="2:13" x14ac:dyDescent="0.25">
      <c r="B26" s="278">
        <f t="shared" ca="1" si="1"/>
      </c>
      <c r="C26" s="279">
        <f t="shared" ca="1" si="2"/>
      </c>
      <c r="D26">
        <f t="shared" ca="1" si="3"/>
      </c>
      <c r="E26" s="257">
        <f t="shared" ca="1" si="4"/>
      </c>
      <c r="F26" s="122">
        <f t="shared" ca="1" si="5"/>
      </c>
      <c r="G26" s="122">
        <f t="shared" ca="1" si="6"/>
      </c>
      <c r="H26" s="257">
        <f t="shared" ca="1" si="7"/>
      </c>
      <c r="I26">
        <f t="shared" ca="1" si="8"/>
      </c>
      <c r="J26" s="257">
        <f t="shared" ca="1" si="9"/>
      </c>
      <c r="M26">
        <f t="array" aca="1" ref="M26" ca="1">IFERROR(SMALL(IF(INDIRECT($Z$1&amp;"$P$5:$P$304")=1,ROW(INDIRECT($Z$1&amp;"$A$5:$A$304"))-ROW(INDIRECT($Z$1&amp;"$A$5"))+1),11),"")</f>
      </c>
    </row>
    <row r="27" spans="2:13" x14ac:dyDescent="0.25">
      <c r="B27" s="278">
        <f t="shared" ca="1" si="1"/>
      </c>
      <c r="C27" s="279">
        <f t="shared" ca="1" si="2"/>
      </c>
      <c r="D27">
        <f t="shared" ca="1" si="3"/>
      </c>
      <c r="E27" s="257">
        <f t="shared" ca="1" si="4"/>
      </c>
      <c r="F27" s="122">
        <f t="shared" ca="1" si="5"/>
      </c>
      <c r="G27" s="122">
        <f t="shared" ca="1" si="6"/>
      </c>
      <c r="H27" s="257">
        <f t="shared" ca="1" si="7"/>
      </c>
      <c r="I27">
        <f t="shared" ca="1" si="8"/>
      </c>
      <c r="J27" s="257">
        <f t="shared" ca="1" si="9"/>
      </c>
      <c r="M27">
        <f t="array" aca="1" ref="M27" ca="1">IFERROR(SMALL(IF(INDIRECT($Z$1&amp;"$P$5:$P$304")=1,ROW(INDIRECT($Z$1&amp;"$A$5:$A$304"))-ROW(INDIRECT($Z$1&amp;"$A$5"))+1),12),"")</f>
      </c>
    </row>
    <row r="28" spans="2:13" x14ac:dyDescent="0.25">
      <c r="B28" s="278">
        <f t="shared" ca="1" si="1"/>
      </c>
      <c r="C28" s="279">
        <f t="shared" ca="1" si="2"/>
      </c>
      <c r="D28">
        <f t="shared" ca="1" si="3"/>
      </c>
      <c r="E28" s="257">
        <f t="shared" ca="1" si="4"/>
      </c>
      <c r="F28" s="122">
        <f t="shared" ca="1" si="5"/>
      </c>
      <c r="G28" s="122">
        <f t="shared" ca="1" si="6"/>
      </c>
      <c r="H28" s="257">
        <f t="shared" ca="1" si="7"/>
      </c>
      <c r="I28">
        <f t="shared" ca="1" si="8"/>
      </c>
      <c r="J28" s="257">
        <f t="shared" ca="1" si="9"/>
      </c>
      <c r="M28">
        <f t="array" aca="1" ref="M28" ca="1">IFERROR(SMALL(IF(INDIRECT($Z$1&amp;"$P$5:$P$304")=1,ROW(INDIRECT($Z$1&amp;"$A$5:$A$304"))-ROW(INDIRECT($Z$1&amp;"$A$5"))+1),13),"")</f>
      </c>
    </row>
    <row r="29" spans="2:13" x14ac:dyDescent="0.25">
      <c r="B29" s="278">
        <f t="shared" ca="1" si="1"/>
      </c>
      <c r="C29" s="279">
        <f t="shared" ca="1" si="2"/>
      </c>
      <c r="D29">
        <f t="shared" ca="1" si="3"/>
      </c>
      <c r="E29" s="257">
        <f t="shared" ca="1" si="4"/>
      </c>
      <c r="F29" s="122">
        <f t="shared" ca="1" si="5"/>
      </c>
      <c r="G29" s="122">
        <f t="shared" ca="1" si="6"/>
      </c>
      <c r="H29" s="257">
        <f t="shared" ca="1" si="7"/>
      </c>
      <c r="I29">
        <f t="shared" ca="1" si="8"/>
      </c>
      <c r="J29" s="257">
        <f t="shared" ca="1" si="9"/>
      </c>
      <c r="M29">
        <f t="array" aca="1" ref="M29" ca="1">IFERROR(SMALL(IF(INDIRECT($Z$1&amp;"$P$5:$P$304")=1,ROW(INDIRECT($Z$1&amp;"$A$5:$A$304"))-ROW(INDIRECT($Z$1&amp;"$A$5"))+1),14),"")</f>
      </c>
    </row>
    <row r="30" spans="2:13" x14ac:dyDescent="0.25">
      <c r="B30" s="278">
        <f t="shared" ca="1" si="1"/>
      </c>
      <c r="C30" s="279">
        <f t="shared" ca="1" si="2"/>
      </c>
      <c r="D30">
        <f t="shared" ca="1" si="3"/>
      </c>
      <c r="E30" s="257">
        <f t="shared" ca="1" si="4"/>
      </c>
      <c r="F30" s="122">
        <f t="shared" ca="1" si="5"/>
      </c>
      <c r="G30" s="122">
        <f t="shared" ca="1" si="6"/>
      </c>
      <c r="H30" s="257">
        <f t="shared" ca="1" si="7"/>
      </c>
      <c r="I30">
        <f t="shared" ca="1" si="8"/>
      </c>
      <c r="J30" s="257">
        <f t="shared" ca="1" si="9"/>
      </c>
      <c r="M30">
        <f t="array" aca="1" ref="M30" ca="1">IFERROR(SMALL(IF(INDIRECT($Z$1&amp;"$P$5:$P$304")=1,ROW(INDIRECT($Z$1&amp;"$A$5:$A$304"))-ROW(INDIRECT($Z$1&amp;"$A$5"))+1),15),"")</f>
      </c>
    </row>
    <row r="31" spans="2:13" x14ac:dyDescent="0.25">
      <c r="B31" s="278">
        <f t="shared" ca="1" si="1"/>
      </c>
      <c r="C31" s="279">
        <f t="shared" ca="1" si="2"/>
      </c>
      <c r="D31">
        <f t="shared" ca="1" si="3"/>
      </c>
      <c r="E31" s="257">
        <f t="shared" ca="1" si="4"/>
      </c>
      <c r="F31" s="122">
        <f t="shared" ca="1" si="5"/>
      </c>
      <c r="G31" s="122">
        <f t="shared" ca="1" si="6"/>
      </c>
      <c r="H31" s="257">
        <f t="shared" ca="1" si="7"/>
      </c>
      <c r="I31">
        <f t="shared" ca="1" si="8"/>
      </c>
      <c r="J31" s="257">
        <f t="shared" ca="1" si="9"/>
      </c>
      <c r="M31">
        <f t="array" aca="1" ref="M31" ca="1">IFERROR(SMALL(IF(INDIRECT($Z$1&amp;"$P$5:$P$304")=1,ROW(INDIRECT($Z$1&amp;"$A$5:$A$304"))-ROW(INDIRECT($Z$1&amp;"$A$5"))+1),16),"")</f>
      </c>
    </row>
    <row r="32" spans="2:13" x14ac:dyDescent="0.25">
      <c r="B32" s="278">
        <f t="shared" ca="1" si="1"/>
      </c>
      <c r="C32" s="279">
        <f t="shared" ca="1" si="2"/>
      </c>
      <c r="D32">
        <f t="shared" ca="1" si="3"/>
      </c>
      <c r="E32" s="257">
        <f t="shared" ca="1" si="4"/>
      </c>
      <c r="F32" s="122">
        <f t="shared" ca="1" si="5"/>
      </c>
      <c r="G32" s="122">
        <f t="shared" ca="1" si="6"/>
      </c>
      <c r="H32" s="257">
        <f t="shared" ca="1" si="7"/>
      </c>
      <c r="I32">
        <f t="shared" ca="1" si="8"/>
      </c>
      <c r="J32" s="257">
        <f t="shared" ca="1" si="9"/>
      </c>
      <c r="M32">
        <f t="array" aca="1" ref="M32" ca="1">IFERROR(SMALL(IF(INDIRECT($Z$1&amp;"$P$5:$P$304")=1,ROW(INDIRECT($Z$1&amp;"$A$5:$A$304"))-ROW(INDIRECT($Z$1&amp;"$A$5"))+1),17),"")</f>
      </c>
    </row>
    <row r="33" spans="2:13" x14ac:dyDescent="0.25">
      <c r="B33" s="278">
        <f t="shared" ca="1" si="1"/>
      </c>
      <c r="C33" s="279">
        <f t="shared" ca="1" si="2"/>
      </c>
      <c r="D33">
        <f t="shared" ca="1" si="3"/>
      </c>
      <c r="E33" s="257">
        <f t="shared" ca="1" si="4"/>
      </c>
      <c r="F33" s="122">
        <f t="shared" ca="1" si="5"/>
      </c>
      <c r="G33" s="122">
        <f t="shared" ca="1" si="6"/>
      </c>
      <c r="H33" s="257">
        <f t="shared" ca="1" si="7"/>
      </c>
      <c r="I33">
        <f t="shared" ca="1" si="8"/>
      </c>
      <c r="J33" s="257">
        <f t="shared" ca="1" si="9"/>
      </c>
      <c r="M33">
        <f t="array" aca="1" ref="M33" ca="1">IFERROR(SMALL(IF(INDIRECT($Z$1&amp;"$P$5:$P$304")=1,ROW(INDIRECT($Z$1&amp;"$A$5:$A$304"))-ROW(INDIRECT($Z$1&amp;"$A$5"))+1),18),"")</f>
      </c>
    </row>
    <row r="34" spans="2:13" x14ac:dyDescent="0.25">
      <c r="B34" s="278">
        <f t="shared" ca="1" si="1"/>
      </c>
      <c r="C34" s="279">
        <f t="shared" ca="1" si="2"/>
      </c>
      <c r="D34">
        <f t="shared" ca="1" si="3"/>
      </c>
      <c r="E34" s="257">
        <f t="shared" ca="1" si="4"/>
      </c>
      <c r="F34" s="122">
        <f t="shared" ca="1" si="5"/>
      </c>
      <c r="G34" s="122">
        <f t="shared" ca="1" si="6"/>
      </c>
      <c r="H34" s="257">
        <f t="shared" ca="1" si="7"/>
      </c>
      <c r="I34">
        <f t="shared" ca="1" si="8"/>
      </c>
      <c r="J34" s="257">
        <f t="shared" ca="1" si="9"/>
      </c>
      <c r="M34">
        <f t="array" aca="1" ref="M34" ca="1">IFERROR(SMALL(IF(INDIRECT($Z$1&amp;"$P$5:$P$304")=1,ROW(INDIRECT($Z$1&amp;"$A$5:$A$304"))-ROW(INDIRECT($Z$1&amp;"$A$5"))+1),19),"")</f>
      </c>
    </row>
    <row r="35" spans="2:13" x14ac:dyDescent="0.25">
      <c r="B35" s="278">
        <f t="shared" ca="1" si="1"/>
      </c>
      <c r="C35" s="279">
        <f t="shared" ca="1" si="2"/>
      </c>
      <c r="D35">
        <f t="shared" ca="1" si="3"/>
      </c>
      <c r="E35" s="257">
        <f t="shared" ca="1" si="4"/>
      </c>
      <c r="F35" s="122">
        <f t="shared" ca="1" si="5"/>
      </c>
      <c r="G35" s="122">
        <f t="shared" ca="1" si="6"/>
      </c>
      <c r="H35" s="257">
        <f t="shared" ca="1" si="7"/>
      </c>
      <c r="I35">
        <f t="shared" ca="1" si="8"/>
      </c>
      <c r="J35" s="257">
        <f t="shared" ca="1" si="9"/>
      </c>
      <c r="M35">
        <f t="array" aca="1" ref="M35" ca="1">IFERROR(SMALL(IF(INDIRECT($Z$1&amp;"$P$5:$P$304")=1,ROW(INDIRECT($Z$1&amp;"$A$5:$A$304"))-ROW(INDIRECT($Z$1&amp;"$A$5"))+1),20),"")</f>
      </c>
    </row>
    <row r="36" spans="2:13" x14ac:dyDescent="0.25">
      <c r="B36" s="278">
        <f t="shared" ca="1" si="1"/>
      </c>
      <c r="C36" s="279">
        <f t="shared" ca="1" si="2"/>
      </c>
      <c r="D36">
        <f t="shared" ca="1" si="3"/>
      </c>
      <c r="E36" s="257">
        <f t="shared" ca="1" si="4"/>
      </c>
      <c r="F36" s="122">
        <f t="shared" ca="1" si="5"/>
      </c>
      <c r="G36" s="122">
        <f t="shared" ca="1" si="6"/>
      </c>
      <c r="H36" s="257">
        <f t="shared" ca="1" si="7"/>
      </c>
      <c r="I36">
        <f t="shared" ca="1" si="8"/>
      </c>
      <c r="J36" s="257">
        <f t="shared" ca="1" si="9"/>
      </c>
      <c r="M36">
        <f t="array" aca="1" ref="M36" ca="1">IFERROR(SMALL(IF(INDIRECT($Z$1&amp;"$P$5:$P$304")=1,ROW(INDIRECT($Z$1&amp;"$A$5:$A$304"))-ROW(INDIRECT($Z$1&amp;"$A$5"))+1),21),"")</f>
      </c>
    </row>
    <row r="37" spans="2:13" x14ac:dyDescent="0.25">
      <c r="B37" s="278">
        <f t="shared" ca="1" si="1"/>
      </c>
      <c r="C37" s="279">
        <f t="shared" ca="1" si="2"/>
      </c>
      <c r="D37">
        <f t="shared" ca="1" si="3"/>
      </c>
      <c r="E37" s="257">
        <f t="shared" ca="1" si="4"/>
      </c>
      <c r="F37" s="122">
        <f t="shared" ca="1" si="5"/>
      </c>
      <c r="G37" s="122">
        <f t="shared" ca="1" si="6"/>
      </c>
      <c r="H37" s="257">
        <f t="shared" ca="1" si="7"/>
      </c>
      <c r="I37">
        <f t="shared" ca="1" si="8"/>
      </c>
      <c r="J37" s="257">
        <f t="shared" ca="1" si="9"/>
      </c>
      <c r="M37">
        <f t="array" aca="1" ref="M37" ca="1">IFERROR(SMALL(IF(INDIRECT($Z$1&amp;"$P$5:$P$304")=1,ROW(INDIRECT($Z$1&amp;"$A$5:$A$304"))-ROW(INDIRECT($Z$1&amp;"$A$5"))+1),22),"")</f>
      </c>
    </row>
    <row r="38" spans="2:13" x14ac:dyDescent="0.25">
      <c r="B38" s="278">
        <f t="shared" ca="1" si="1"/>
      </c>
      <c r="C38" s="279">
        <f t="shared" ca="1" si="2"/>
      </c>
      <c r="D38">
        <f t="shared" ca="1" si="3"/>
      </c>
      <c r="E38" s="257">
        <f t="shared" ca="1" si="4"/>
      </c>
      <c r="F38" s="122">
        <f t="shared" ca="1" si="5"/>
      </c>
      <c r="G38" s="122">
        <f t="shared" ca="1" si="6"/>
      </c>
      <c r="H38" s="257">
        <f t="shared" ca="1" si="7"/>
      </c>
      <c r="I38">
        <f t="shared" ca="1" si="8"/>
      </c>
      <c r="J38" s="257">
        <f t="shared" ca="1" si="9"/>
      </c>
      <c r="M38">
        <f t="array" aca="1" ref="M38" ca="1">IFERROR(SMALL(IF(INDIRECT($Z$1&amp;"$P$5:$P$304")=1,ROW(INDIRECT($Z$1&amp;"$A$5:$A$304"))-ROW(INDIRECT($Z$1&amp;"$A$5"))+1),23),"")</f>
      </c>
    </row>
    <row r="39" spans="2:13" x14ac:dyDescent="0.25">
      <c r="B39" s="278">
        <f t="shared" ca="1" si="1"/>
      </c>
      <c r="C39" s="279">
        <f t="shared" ca="1" si="2"/>
      </c>
      <c r="D39">
        <f t="shared" ca="1" si="3"/>
      </c>
      <c r="E39" s="257">
        <f t="shared" ca="1" si="4"/>
      </c>
      <c r="F39" s="122">
        <f t="shared" ca="1" si="5"/>
      </c>
      <c r="G39" s="122">
        <f t="shared" ca="1" si="6"/>
      </c>
      <c r="H39" s="257">
        <f t="shared" ca="1" si="7"/>
      </c>
      <c r="I39">
        <f t="shared" ca="1" si="8"/>
      </c>
      <c r="J39" s="257">
        <f t="shared" ca="1" si="9"/>
      </c>
      <c r="M39">
        <f t="array" aca="1" ref="M39" ca="1">IFERROR(SMALL(IF(INDIRECT($Z$1&amp;"$P$5:$P$304")=1,ROW(INDIRECT($Z$1&amp;"$A$5:$A$304"))-ROW(INDIRECT($Z$1&amp;"$A$5"))+1),24),"")</f>
      </c>
    </row>
    <row r="40" spans="2:13" x14ac:dyDescent="0.25">
      <c r="B40" s="278">
        <f t="shared" ca="1" si="1"/>
      </c>
      <c r="C40" s="279">
        <f t="shared" ca="1" si="2"/>
      </c>
      <c r="D40">
        <f t="shared" ca="1" si="3"/>
      </c>
      <c r="E40" s="257">
        <f t="shared" ca="1" si="4"/>
      </c>
      <c r="F40" s="122">
        <f t="shared" ca="1" si="5"/>
      </c>
      <c r="G40" s="122">
        <f t="shared" ca="1" si="6"/>
      </c>
      <c r="H40" s="257">
        <f t="shared" ca="1" si="7"/>
      </c>
      <c r="I40">
        <f t="shared" ca="1" si="8"/>
      </c>
      <c r="J40" s="257">
        <f t="shared" ca="1" si="9"/>
      </c>
      <c r="M40">
        <f t="array" aca="1" ref="M40" ca="1">IFERROR(SMALL(IF(INDIRECT($Z$1&amp;"$P$5:$P$304")=1,ROW(INDIRECT($Z$1&amp;"$A$5:$A$304"))-ROW(INDIRECT($Z$1&amp;"$A$5"))+1),25),"")</f>
      </c>
    </row>
    <row r="41" spans="2:13" x14ac:dyDescent="0.25">
      <c r="B41" s="278">
        <f t="shared" ca="1" si="1"/>
      </c>
      <c r="C41" s="279">
        <f t="shared" ca="1" si="2"/>
      </c>
      <c r="D41">
        <f t="shared" ca="1" si="3"/>
      </c>
      <c r="E41" s="257">
        <f t="shared" ca="1" si="4"/>
      </c>
      <c r="F41" s="122">
        <f t="shared" ca="1" si="5"/>
      </c>
      <c r="G41" s="122">
        <f t="shared" ca="1" si="6"/>
      </c>
      <c r="H41" s="257">
        <f t="shared" ca="1" si="7"/>
      </c>
      <c r="I41">
        <f t="shared" ca="1" si="8"/>
      </c>
      <c r="J41" s="257">
        <f t="shared" ca="1" si="9"/>
      </c>
      <c r="M41">
        <f t="array" aca="1" ref="M41" ca="1">IFERROR(SMALL(IF(INDIRECT($Z$1&amp;"$P$5:$P$304")=1,ROW(INDIRECT($Z$1&amp;"$A$5:$A$304"))-ROW(INDIRECT($Z$1&amp;"$A$5"))+1),26),"")</f>
      </c>
    </row>
    <row r="42" spans="2:13" x14ac:dyDescent="0.25">
      <c r="B42" s="278">
        <f t="shared" ca="1" si="1"/>
      </c>
      <c r="C42" s="279">
        <f t="shared" ca="1" si="2"/>
      </c>
      <c r="D42">
        <f t="shared" ca="1" si="3"/>
      </c>
      <c r="E42" s="257">
        <f t="shared" ca="1" si="4"/>
      </c>
      <c r="F42" s="122">
        <f t="shared" ca="1" si="5"/>
      </c>
      <c r="G42" s="122">
        <f t="shared" ca="1" si="6"/>
      </c>
      <c r="H42" s="257">
        <f t="shared" ca="1" si="7"/>
      </c>
      <c r="I42">
        <f t="shared" ca="1" si="8"/>
      </c>
      <c r="J42" s="257">
        <f t="shared" ca="1" si="9"/>
      </c>
      <c r="M42">
        <f t="array" aca="1" ref="M42" ca="1">IFERROR(SMALL(IF(INDIRECT($Z$1&amp;"$P$5:$P$304")=1,ROW(INDIRECT($Z$1&amp;"$A$5:$A$304"))-ROW(INDIRECT($Z$1&amp;"$A$5"))+1),27),"")</f>
      </c>
    </row>
    <row r="43" spans="2:13" x14ac:dyDescent="0.25">
      <c r="B43" s="278">
        <f t="shared" ca="1" si="1"/>
      </c>
      <c r="C43" s="279">
        <f t="shared" ca="1" si="2"/>
      </c>
      <c r="D43">
        <f t="shared" ca="1" si="3"/>
      </c>
      <c r="E43" s="257">
        <f t="shared" ca="1" si="4"/>
      </c>
      <c r="F43" s="122">
        <f t="shared" ca="1" si="5"/>
      </c>
      <c r="G43" s="122">
        <f t="shared" ca="1" si="6"/>
      </c>
      <c r="H43" s="257">
        <f t="shared" ca="1" si="7"/>
      </c>
      <c r="I43">
        <f t="shared" ca="1" si="8"/>
      </c>
      <c r="J43" s="257">
        <f t="shared" ca="1" si="9"/>
      </c>
      <c r="M43">
        <f t="array" aca="1" ref="M43" ca="1">IFERROR(SMALL(IF(INDIRECT($Z$1&amp;"$P$5:$P$304")=1,ROW(INDIRECT($Z$1&amp;"$A$5:$A$304"))-ROW(INDIRECT($Z$1&amp;"$A$5"))+1),28),"")</f>
      </c>
    </row>
    <row r="44" spans="2:13" x14ac:dyDescent="0.25">
      <c r="B44" s="278">
        <f t="shared" ca="1" si="1"/>
      </c>
      <c r="C44" s="279">
        <f t="shared" ca="1" si="2"/>
      </c>
      <c r="D44">
        <f t="shared" ca="1" si="3"/>
      </c>
      <c r="E44" s="257">
        <f t="shared" ca="1" si="4"/>
      </c>
      <c r="F44" s="122">
        <f t="shared" ca="1" si="5"/>
      </c>
      <c r="G44" s="122">
        <f t="shared" ca="1" si="6"/>
      </c>
      <c r="H44" s="257">
        <f t="shared" ca="1" si="7"/>
      </c>
      <c r="I44">
        <f t="shared" ca="1" si="8"/>
      </c>
      <c r="J44" s="257">
        <f t="shared" ca="1" si="9"/>
      </c>
      <c r="M44">
        <f t="array" aca="1" ref="M44" ca="1">IFERROR(SMALL(IF(INDIRECT($Z$1&amp;"$P$5:$P$304")=1,ROW(INDIRECT($Z$1&amp;"$A$5:$A$304"))-ROW(INDIRECT($Z$1&amp;"$A$5"))+1),29),"")</f>
      </c>
    </row>
    <row r="45" spans="2:13" x14ac:dyDescent="0.25">
      <c r="B45" s="278">
        <f t="shared" ca="1" si="1"/>
      </c>
      <c r="C45" s="279">
        <f t="shared" ca="1" si="2"/>
      </c>
      <c r="D45">
        <f t="shared" ca="1" si="3"/>
      </c>
      <c r="E45" s="257">
        <f t="shared" ca="1" si="4"/>
      </c>
      <c r="F45" s="122">
        <f t="shared" ca="1" si="5"/>
      </c>
      <c r="G45" s="122">
        <f t="shared" ca="1" si="6"/>
      </c>
      <c r="H45" s="257">
        <f t="shared" ca="1" si="7"/>
      </c>
      <c r="I45">
        <f t="shared" ca="1" si="8"/>
      </c>
      <c r="J45" s="257">
        <f t="shared" ca="1" si="9"/>
      </c>
      <c r="M45">
        <f t="array" aca="1" ref="M45" ca="1">IFERROR(SMALL(IF(INDIRECT($Z$1&amp;"$P$5:$P$304")=1,ROW(INDIRECT($Z$1&amp;"$A$5:$A$304"))-ROW(INDIRECT($Z$1&amp;"$A$5"))+1),30),"")</f>
      </c>
    </row>
    <row r="46" spans="2:13" x14ac:dyDescent="0.25">
      <c r="B46" s="278">
        <f t="shared" ca="1" si="1"/>
      </c>
      <c r="C46" s="279">
        <f t="shared" ca="1" si="2"/>
      </c>
      <c r="D46">
        <f t="shared" ca="1" si="3"/>
      </c>
      <c r="E46" s="257">
        <f t="shared" ca="1" si="4"/>
      </c>
      <c r="F46" s="122">
        <f t="shared" ca="1" si="5"/>
      </c>
      <c r="G46" s="122">
        <f t="shared" ca="1" si="6"/>
      </c>
      <c r="H46" s="257">
        <f t="shared" ca="1" si="7"/>
      </c>
      <c r="I46">
        <f t="shared" ca="1" si="8"/>
      </c>
      <c r="J46" s="257">
        <f t="shared" ca="1" si="9"/>
      </c>
      <c r="M46">
        <f t="array" aca="1" ref="M46" ca="1">IFERROR(SMALL(IF(INDIRECT($Z$1&amp;"$P$5:$P$304")=1,ROW(INDIRECT($Z$1&amp;"$A$5:$A$304"))-ROW(INDIRECT($Z$1&amp;"$A$5"))+1),31),"")</f>
      </c>
    </row>
    <row r="47" spans="2:13" x14ac:dyDescent="0.25">
      <c r="B47" s="278">
        <f t="shared" ca="1" si="1"/>
      </c>
      <c r="C47" s="279">
        <f t="shared" ca="1" si="2"/>
      </c>
      <c r="D47">
        <f t="shared" ca="1" si="3"/>
      </c>
      <c r="E47" s="257">
        <f t="shared" ca="1" si="4"/>
      </c>
      <c r="F47" s="122">
        <f t="shared" ca="1" si="5"/>
      </c>
      <c r="G47" s="122">
        <f t="shared" ca="1" si="6"/>
      </c>
      <c r="H47" s="257">
        <f t="shared" ca="1" si="7"/>
      </c>
      <c r="I47">
        <f t="shared" ca="1" si="8"/>
      </c>
      <c r="J47" s="257">
        <f t="shared" ca="1" si="9"/>
      </c>
      <c r="M47">
        <f t="array" aca="1" ref="M47" ca="1">IFERROR(SMALL(IF(INDIRECT($Z$1&amp;"$P$5:$P$304")=1,ROW(INDIRECT($Z$1&amp;"$A$5:$A$304"))-ROW(INDIRECT($Z$1&amp;"$A$5"))+1),32),"")</f>
      </c>
    </row>
    <row r="48" spans="2:13" x14ac:dyDescent="0.25">
      <c r="B48" s="278">
        <f t="shared" ca="1" si="1"/>
      </c>
      <c r="C48" s="279">
        <f t="shared" ca="1" si="2"/>
      </c>
      <c r="D48">
        <f t="shared" ca="1" si="3"/>
      </c>
      <c r="E48" s="257">
        <f t="shared" ca="1" si="4"/>
      </c>
      <c r="F48" s="122">
        <f t="shared" ca="1" si="5"/>
      </c>
      <c r="G48" s="122">
        <f t="shared" ca="1" si="6"/>
      </c>
      <c r="H48" s="257">
        <f t="shared" ca="1" si="7"/>
      </c>
      <c r="I48">
        <f t="shared" ca="1" si="8"/>
      </c>
      <c r="J48" s="257">
        <f t="shared" ca="1" si="9"/>
      </c>
      <c r="M48">
        <f t="array" aca="1" ref="M48" ca="1">IFERROR(SMALL(IF(INDIRECT($Z$1&amp;"$P$5:$P$304")=1,ROW(INDIRECT($Z$1&amp;"$A$5:$A$304"))-ROW(INDIRECT($Z$1&amp;"$A$5"))+1),33),"")</f>
      </c>
    </row>
    <row r="49" spans="2:13" x14ac:dyDescent="0.25">
      <c r="B49" s="278">
        <f t="shared" ca="1" si="1"/>
      </c>
      <c r="C49" s="279">
        <f t="shared" ca="1" si="2"/>
      </c>
      <c r="D49">
        <f t="shared" ca="1" si="3"/>
      </c>
      <c r="E49" s="257">
        <f t="shared" ca="1" si="4"/>
      </c>
      <c r="F49" s="122">
        <f t="shared" ca="1" si="5"/>
      </c>
      <c r="G49" s="122">
        <f t="shared" ca="1" si="6"/>
      </c>
      <c r="H49" s="257">
        <f t="shared" ca="1" si="7"/>
      </c>
      <c r="I49">
        <f t="shared" ca="1" si="8"/>
      </c>
      <c r="J49" s="257">
        <f t="shared" ca="1" si="9"/>
      </c>
      <c r="M49">
        <f t="array" aca="1" ref="M49" ca="1">IFERROR(SMALL(IF(INDIRECT($Z$1&amp;"$P$5:$P$304")=1,ROW(INDIRECT($Z$1&amp;"$A$5:$A$304"))-ROW(INDIRECT($Z$1&amp;"$A$5"))+1),34),"")</f>
      </c>
    </row>
    <row r="50" spans="2:13" x14ac:dyDescent="0.25">
      <c r="B50" s="278">
        <f t="shared" ca="1" si="1"/>
      </c>
      <c r="C50" s="279">
        <f t="shared" ca="1" si="2"/>
      </c>
      <c r="D50">
        <f t="shared" ca="1" si="3"/>
      </c>
      <c r="E50" s="257">
        <f t="shared" ca="1" si="4"/>
      </c>
      <c r="F50" s="122">
        <f t="shared" ca="1" si="5"/>
      </c>
      <c r="G50" s="122">
        <f t="shared" ca="1" si="6"/>
      </c>
      <c r="H50" s="257">
        <f t="shared" ca="1" si="7"/>
      </c>
      <c r="I50">
        <f t="shared" ca="1" si="8"/>
      </c>
      <c r="J50" s="257">
        <f t="shared" ca="1" si="9"/>
      </c>
      <c r="M50">
        <f t="array" aca="1" ref="M50" ca="1">IFERROR(SMALL(IF(INDIRECT($Z$1&amp;"$P$5:$P$304")=1,ROW(INDIRECT($Z$1&amp;"$A$5:$A$304"))-ROW(INDIRECT($Z$1&amp;"$A$5"))+1),35),"")</f>
      </c>
    </row>
    <row r="51" spans="2:13" x14ac:dyDescent="0.25">
      <c r="B51" s="278">
        <f t="shared" ca="1" si="1"/>
      </c>
      <c r="C51" s="279">
        <f t="shared" ca="1" si="2"/>
      </c>
      <c r="D51">
        <f t="shared" ca="1" si="3"/>
      </c>
      <c r="E51" s="257">
        <f t="shared" ca="1" si="4"/>
      </c>
      <c r="F51" s="122">
        <f t="shared" ca="1" si="5"/>
      </c>
      <c r="G51" s="122">
        <f t="shared" ca="1" si="6"/>
      </c>
      <c r="H51" s="257">
        <f t="shared" ca="1" si="7"/>
      </c>
      <c r="I51">
        <f t="shared" ca="1" si="8"/>
      </c>
      <c r="J51" s="257">
        <f t="shared" ca="1" si="9"/>
      </c>
      <c r="M51">
        <f t="array" aca="1" ref="M51" ca="1">IFERROR(SMALL(IF(INDIRECT($Z$1&amp;"$P$5:$P$304")=1,ROW(INDIRECT($Z$1&amp;"$A$5:$A$304"))-ROW(INDIRECT($Z$1&amp;"$A$5"))+1),36),"")</f>
      </c>
    </row>
    <row r="52" spans="2:13" x14ac:dyDescent="0.25">
      <c r="B52" s="278">
        <f t="shared" ca="1" si="1"/>
      </c>
      <c r="C52" s="279">
        <f t="shared" ca="1" si="2"/>
      </c>
      <c r="D52">
        <f t="shared" ca="1" si="3"/>
      </c>
      <c r="E52" s="257">
        <f t="shared" ca="1" si="4"/>
      </c>
      <c r="F52" s="122">
        <f t="shared" ca="1" si="5"/>
      </c>
      <c r="G52" s="122">
        <f t="shared" ca="1" si="6"/>
      </c>
      <c r="H52" s="257">
        <f t="shared" ca="1" si="7"/>
      </c>
      <c r="I52">
        <f t="shared" ca="1" si="8"/>
      </c>
      <c r="J52" s="257">
        <f t="shared" ca="1" si="9"/>
      </c>
      <c r="M52">
        <f t="array" aca="1" ref="M52" ca="1">IFERROR(SMALL(IF(INDIRECT($Z$1&amp;"$P$5:$P$304")=1,ROW(INDIRECT($Z$1&amp;"$A$5:$A$304"))-ROW(INDIRECT($Z$1&amp;"$A$5"))+1),37),"")</f>
      </c>
    </row>
    <row r="53" spans="2:13" x14ac:dyDescent="0.25">
      <c r="B53" s="278">
        <f t="shared" ca="1" si="1"/>
      </c>
      <c r="C53" s="279">
        <f t="shared" ca="1" si="2"/>
      </c>
      <c r="D53">
        <f t="shared" ca="1" si="3"/>
      </c>
      <c r="E53" s="257">
        <f t="shared" ca="1" si="4"/>
      </c>
      <c r="F53" s="122">
        <f t="shared" ca="1" si="5"/>
      </c>
      <c r="G53" s="122">
        <f t="shared" ca="1" si="6"/>
      </c>
      <c r="H53" s="257">
        <f t="shared" ca="1" si="7"/>
      </c>
      <c r="I53">
        <f t="shared" ca="1" si="8"/>
      </c>
      <c r="J53" s="257">
        <f t="shared" ca="1" si="9"/>
      </c>
      <c r="M53">
        <f t="array" aca="1" ref="M53" ca="1">IFERROR(SMALL(IF(INDIRECT($Z$1&amp;"$P$5:$P$304")=1,ROW(INDIRECT($Z$1&amp;"$A$5:$A$304"))-ROW(INDIRECT($Z$1&amp;"$A$5"))+1),38),"")</f>
      </c>
    </row>
    <row r="54" spans="2:13" x14ac:dyDescent="0.25">
      <c r="B54" s="278">
        <f t="shared" ca="1" si="1"/>
      </c>
      <c r="C54" s="279">
        <f t="shared" ca="1" si="2"/>
      </c>
      <c r="D54">
        <f t="shared" ca="1" si="3"/>
      </c>
      <c r="E54" s="257">
        <f t="shared" ca="1" si="4"/>
      </c>
      <c r="F54" s="122">
        <f t="shared" ca="1" si="5"/>
      </c>
      <c r="G54" s="122">
        <f t="shared" ca="1" si="6"/>
      </c>
      <c r="H54" s="257">
        <f t="shared" ca="1" si="7"/>
      </c>
      <c r="I54">
        <f t="shared" ca="1" si="8"/>
      </c>
      <c r="J54" s="257">
        <f t="shared" ca="1" si="9"/>
      </c>
      <c r="M54">
        <f t="array" aca="1" ref="M54" ca="1">IFERROR(SMALL(IF(INDIRECT($Z$1&amp;"$P$5:$P$304")=1,ROW(INDIRECT($Z$1&amp;"$A$5:$A$304"))-ROW(INDIRECT($Z$1&amp;"$A$5"))+1),39),"")</f>
      </c>
    </row>
    <row r="55" spans="2:13" x14ac:dyDescent="0.25">
      <c r="B55" s="278">
        <f t="shared" ca="1" si="1"/>
      </c>
      <c r="C55" s="279">
        <f t="shared" ca="1" si="2"/>
      </c>
      <c r="D55">
        <f t="shared" ca="1" si="3"/>
      </c>
      <c r="E55" s="257">
        <f t="shared" ca="1" si="4"/>
      </c>
      <c r="F55" s="122">
        <f t="shared" ca="1" si="5"/>
      </c>
      <c r="G55" s="122">
        <f t="shared" ca="1" si="6"/>
      </c>
      <c r="H55" s="257">
        <f t="shared" ca="1" si="7"/>
      </c>
      <c r="I55">
        <f t="shared" ca="1" si="8"/>
      </c>
      <c r="J55" s="257">
        <f t="shared" ca="1" si="9"/>
      </c>
      <c r="M55">
        <f t="array" aca="1" ref="M55" ca="1">IFERROR(SMALL(IF(INDIRECT($Z$1&amp;"$P$5:$P$304")=1,ROW(INDIRECT($Z$1&amp;"$A$5:$A$304"))-ROW(INDIRECT($Z$1&amp;"$A$5"))+1),40),"")</f>
      </c>
    </row>
    <row r="56" spans="2:13" x14ac:dyDescent="0.25">
      <c r="B56" s="278">
        <f t="shared" ca="1" si="1"/>
      </c>
      <c r="C56" s="279">
        <f t="shared" ca="1" si="2"/>
      </c>
      <c r="D56">
        <f t="shared" ca="1" si="3"/>
      </c>
      <c r="E56" s="257">
        <f t="shared" ca="1" si="4"/>
      </c>
      <c r="F56" s="122">
        <f t="shared" ca="1" si="5"/>
      </c>
      <c r="G56" s="122">
        <f t="shared" ca="1" si="6"/>
      </c>
      <c r="H56" s="257">
        <f t="shared" ca="1" si="7"/>
      </c>
      <c r="I56">
        <f t="shared" ca="1" si="8"/>
      </c>
      <c r="J56" s="257">
        <f t="shared" ca="1" si="9"/>
      </c>
      <c r="M56">
        <f t="array" aca="1" ref="M56" ca="1">IFERROR(SMALL(IF(INDIRECT($Z$1&amp;"$P$5:$P$304")=1,ROW(INDIRECT($Z$1&amp;"$A$5:$A$304"))-ROW(INDIRECT($Z$1&amp;"$A$5"))+1),41),"")</f>
      </c>
    </row>
    <row r="57" spans="2:13" x14ac:dyDescent="0.25">
      <c r="B57" s="278">
        <f t="shared" ca="1" si="1"/>
      </c>
      <c r="C57" s="279">
        <f t="shared" ca="1" si="2"/>
      </c>
      <c r="D57">
        <f t="shared" ca="1" si="3"/>
      </c>
      <c r="E57" s="257">
        <f t="shared" ca="1" si="4"/>
      </c>
      <c r="F57" s="122">
        <f t="shared" ca="1" si="5"/>
      </c>
      <c r="G57" s="122">
        <f t="shared" ca="1" si="6"/>
      </c>
      <c r="H57" s="257">
        <f t="shared" ca="1" si="7"/>
      </c>
      <c r="I57">
        <f t="shared" ca="1" si="8"/>
      </c>
      <c r="J57" s="257">
        <f t="shared" ca="1" si="9"/>
      </c>
      <c r="M57">
        <f t="array" aca="1" ref="M57" ca="1">IFERROR(SMALL(IF(INDIRECT($Z$1&amp;"$P$5:$P$304")=1,ROW(INDIRECT($Z$1&amp;"$A$5:$A$304"))-ROW(INDIRECT($Z$1&amp;"$A$5"))+1),42),"")</f>
      </c>
    </row>
    <row r="58" spans="2:13" x14ac:dyDescent="0.25">
      <c r="B58" s="278">
        <f t="shared" ca="1" si="1"/>
      </c>
      <c r="C58" s="279">
        <f t="shared" ca="1" si="2"/>
      </c>
      <c r="D58">
        <f t="shared" ca="1" si="3"/>
      </c>
      <c r="E58" s="257">
        <f t="shared" ca="1" si="4"/>
      </c>
      <c r="F58" s="122">
        <f t="shared" ca="1" si="5"/>
      </c>
      <c r="G58" s="122">
        <f t="shared" ca="1" si="6"/>
      </c>
      <c r="H58" s="257">
        <f t="shared" ca="1" si="7"/>
      </c>
      <c r="I58">
        <f t="shared" ca="1" si="8"/>
      </c>
      <c r="J58" s="257">
        <f t="shared" ca="1" si="9"/>
      </c>
      <c r="M58">
        <f t="array" aca="1" ref="M58" ca="1">IFERROR(SMALL(IF(INDIRECT($Z$1&amp;"$P$5:$P$304")=1,ROW(INDIRECT($Z$1&amp;"$A$5:$A$304"))-ROW(INDIRECT($Z$1&amp;"$A$5"))+1),43),"")</f>
      </c>
    </row>
    <row r="59" spans="2:13" x14ac:dyDescent="0.25">
      <c r="B59" s="278">
        <f t="shared" ca="1" si="1"/>
      </c>
      <c r="C59" s="279">
        <f t="shared" ca="1" si="2"/>
      </c>
      <c r="D59">
        <f t="shared" ca="1" si="3"/>
      </c>
      <c r="E59" s="257">
        <f t="shared" ca="1" si="4"/>
      </c>
      <c r="F59" s="122">
        <f t="shared" ca="1" si="5"/>
      </c>
      <c r="G59" s="122">
        <f t="shared" ca="1" si="6"/>
      </c>
      <c r="H59" s="257">
        <f t="shared" ca="1" si="7"/>
      </c>
      <c r="I59">
        <f t="shared" ca="1" si="8"/>
      </c>
      <c r="J59" s="257">
        <f t="shared" ca="1" si="9"/>
      </c>
      <c r="M59">
        <f t="array" aca="1" ref="M59" ca="1">IFERROR(SMALL(IF(INDIRECT($Z$1&amp;"$P$5:$P$304")=1,ROW(INDIRECT($Z$1&amp;"$A$5:$A$304"))-ROW(INDIRECT($Z$1&amp;"$A$5"))+1),44),"")</f>
      </c>
    </row>
    <row r="60" spans="2:13" x14ac:dyDescent="0.25">
      <c r="B60" s="278">
        <f t="shared" ca="1" si="1"/>
      </c>
      <c r="C60" s="279">
        <f t="shared" ca="1" si="2"/>
      </c>
      <c r="D60">
        <f t="shared" ca="1" si="3"/>
      </c>
      <c r="E60" s="257">
        <f t="shared" ca="1" si="4"/>
      </c>
      <c r="F60" s="122">
        <f t="shared" ca="1" si="5"/>
      </c>
      <c r="G60" s="122">
        <f t="shared" ca="1" si="6"/>
      </c>
      <c r="H60" s="257">
        <f t="shared" ca="1" si="7"/>
      </c>
      <c r="I60">
        <f t="shared" ca="1" si="8"/>
      </c>
      <c r="J60" s="257">
        <f t="shared" ca="1" si="9"/>
      </c>
      <c r="M60">
        <f t="array" aca="1" ref="M60" ca="1">IFERROR(SMALL(IF(INDIRECT($Z$1&amp;"$P$5:$P$304")=1,ROW(INDIRECT($Z$1&amp;"$A$5:$A$304"))-ROW(INDIRECT($Z$1&amp;"$A$5"))+1),45),"")</f>
      </c>
    </row>
    <row r="61" spans="2:13" x14ac:dyDescent="0.25">
      <c r="B61" s="278">
        <f t="shared" ca="1" si="1"/>
      </c>
      <c r="C61" s="279">
        <f t="shared" ca="1" si="2"/>
      </c>
      <c r="D61">
        <f t="shared" ca="1" si="3"/>
      </c>
      <c r="E61" s="257">
        <f t="shared" ca="1" si="4"/>
      </c>
      <c r="F61" s="122">
        <f t="shared" ca="1" si="5"/>
      </c>
      <c r="G61" s="122">
        <f t="shared" ca="1" si="6"/>
      </c>
      <c r="H61" s="257">
        <f t="shared" ca="1" si="7"/>
      </c>
      <c r="I61">
        <f t="shared" ca="1" si="8"/>
      </c>
      <c r="J61" s="257">
        <f t="shared" ca="1" si="9"/>
      </c>
      <c r="M61">
        <f t="array" aca="1" ref="M61" ca="1">IFERROR(SMALL(IF(INDIRECT($Z$1&amp;"$P$5:$P$304")=1,ROW(INDIRECT($Z$1&amp;"$A$5:$A$304"))-ROW(INDIRECT($Z$1&amp;"$A$5"))+1),46),"")</f>
      </c>
    </row>
    <row r="62" spans="2:13" x14ac:dyDescent="0.25">
      <c r="B62" s="278">
        <f t="shared" ca="1" si="1"/>
      </c>
      <c r="C62" s="279">
        <f t="shared" ca="1" si="2"/>
      </c>
      <c r="D62">
        <f t="shared" ca="1" si="3"/>
      </c>
      <c r="E62" s="257">
        <f t="shared" ca="1" si="4"/>
      </c>
      <c r="F62" s="122">
        <f t="shared" ca="1" si="5"/>
      </c>
      <c r="G62" s="122">
        <f t="shared" ca="1" si="6"/>
      </c>
      <c r="H62" s="257">
        <f t="shared" ca="1" si="7"/>
      </c>
      <c r="I62">
        <f t="shared" ca="1" si="8"/>
      </c>
      <c r="J62" s="257">
        <f t="shared" ca="1" si="9"/>
      </c>
      <c r="M62">
        <f t="array" aca="1" ref="M62" ca="1">IFERROR(SMALL(IF(INDIRECT($Z$1&amp;"$P$5:$P$304")=1,ROW(INDIRECT($Z$1&amp;"$A$5:$A$304"))-ROW(INDIRECT($Z$1&amp;"$A$5"))+1),47),"")</f>
      </c>
    </row>
    <row r="63" spans="2:13" x14ac:dyDescent="0.25">
      <c r="B63" s="278">
        <f t="shared" ca="1" si="1"/>
      </c>
      <c r="C63" s="279">
        <f t="shared" ca="1" si="2"/>
      </c>
      <c r="D63">
        <f t="shared" ca="1" si="3"/>
      </c>
      <c r="E63" s="257">
        <f t="shared" ca="1" si="4"/>
      </c>
      <c r="F63" s="122">
        <f t="shared" ca="1" si="5"/>
      </c>
      <c r="G63" s="122">
        <f t="shared" ca="1" si="6"/>
      </c>
      <c r="H63" s="257">
        <f t="shared" ca="1" si="7"/>
      </c>
      <c r="I63">
        <f t="shared" ca="1" si="8"/>
      </c>
      <c r="J63" s="257">
        <f t="shared" ca="1" si="9"/>
      </c>
      <c r="M63">
        <f t="array" aca="1" ref="M63" ca="1">IFERROR(SMALL(IF(INDIRECT($Z$1&amp;"$P$5:$P$304")=1,ROW(INDIRECT($Z$1&amp;"$A$5:$A$304"))-ROW(INDIRECT($Z$1&amp;"$A$5"))+1),48),"")</f>
      </c>
    </row>
    <row r="64" spans="2:13" x14ac:dyDescent="0.25">
      <c r="B64" s="278">
        <f t="shared" ca="1" si="1"/>
      </c>
      <c r="C64" s="279">
        <f t="shared" ca="1" si="2"/>
      </c>
      <c r="D64">
        <f t="shared" ca="1" si="3"/>
      </c>
      <c r="E64" s="257">
        <f t="shared" ca="1" si="4"/>
      </c>
      <c r="F64" s="122">
        <f t="shared" ca="1" si="5"/>
      </c>
      <c r="G64" s="122">
        <f t="shared" ca="1" si="6"/>
      </c>
      <c r="H64" s="257">
        <f t="shared" ca="1" si="7"/>
      </c>
      <c r="I64">
        <f t="shared" ca="1" si="8"/>
      </c>
      <c r="J64" s="257">
        <f t="shared" ca="1" si="9"/>
      </c>
      <c r="M64">
        <f t="array" aca="1" ref="M64" ca="1">IFERROR(SMALL(IF(INDIRECT($Z$1&amp;"$P$5:$P$304")=1,ROW(INDIRECT($Z$1&amp;"$A$5:$A$304"))-ROW(INDIRECT($Z$1&amp;"$A$5"))+1),49),"")</f>
      </c>
    </row>
    <row r="65" spans="2:13" x14ac:dyDescent="0.25">
      <c r="B65" s="278">
        <f t="shared" ca="1" si="1"/>
      </c>
      <c r="C65" s="279">
        <f t="shared" ca="1" si="2"/>
      </c>
      <c r="D65">
        <f t="shared" ca="1" si="3"/>
      </c>
      <c r="E65" s="257">
        <f t="shared" ca="1" si="4"/>
      </c>
      <c r="F65" s="122">
        <f t="shared" ca="1" si="5"/>
      </c>
      <c r="G65" s="122">
        <f t="shared" ca="1" si="6"/>
      </c>
      <c r="H65" s="257">
        <f t="shared" ca="1" si="7"/>
      </c>
      <c r="I65">
        <f t="shared" ca="1" si="8"/>
      </c>
      <c r="J65" s="257">
        <f t="shared" ca="1" si="9"/>
      </c>
      <c r="M65">
        <f t="array" aca="1" ref="M65" ca="1">IFERROR(SMALL(IF(INDIRECT($Z$1&amp;"$P$5:$P$304")=1,ROW(INDIRECT($Z$1&amp;"$A$5:$A$304"))-ROW(INDIRECT($Z$1&amp;"$A$5"))+1),50),"")</f>
      </c>
    </row>
    <row r="66" spans="2:13" x14ac:dyDescent="0.25">
      <c r="B66" s="278">
        <f t="shared" ca="1" si="1"/>
      </c>
      <c r="C66" s="279">
        <f t="shared" ca="1" si="2"/>
      </c>
      <c r="D66">
        <f t="shared" ca="1" si="3"/>
      </c>
      <c r="E66" s="257">
        <f t="shared" ca="1" si="4"/>
      </c>
      <c r="F66" s="122">
        <f t="shared" ca="1" si="5"/>
      </c>
      <c r="G66" s="122">
        <f t="shared" ca="1" si="6"/>
      </c>
      <c r="H66" s="257">
        <f t="shared" ca="1" si="7"/>
      </c>
      <c r="I66">
        <f t="shared" ca="1" si="8"/>
      </c>
      <c r="J66" s="257">
        <f t="shared" ca="1" si="9"/>
      </c>
      <c r="M66">
        <f t="array" aca="1" ref="M66" ca="1">IFERROR(SMALL(IF(INDIRECT($Z$1&amp;"$P$5:$P$304")=1,ROW(INDIRECT($Z$1&amp;"$A$5:$A$304"))-ROW(INDIRECT($Z$1&amp;"$A$5"))+1),51),"")</f>
      </c>
    </row>
    <row r="67" spans="2:13" x14ac:dyDescent="0.25">
      <c r="B67" s="278">
        <f t="shared" ca="1" si="1"/>
      </c>
      <c r="C67" s="279">
        <f t="shared" ca="1" si="2"/>
      </c>
      <c r="D67">
        <f t="shared" ca="1" si="3"/>
      </c>
      <c r="E67" s="257">
        <f t="shared" ca="1" si="4"/>
      </c>
      <c r="F67" s="122">
        <f t="shared" ca="1" si="5"/>
      </c>
      <c r="G67" s="122">
        <f t="shared" ca="1" si="6"/>
      </c>
      <c r="H67" s="257">
        <f t="shared" ca="1" si="7"/>
      </c>
      <c r="I67">
        <f t="shared" ca="1" si="8"/>
      </c>
      <c r="J67" s="257">
        <f t="shared" ca="1" si="9"/>
      </c>
      <c r="M67">
        <f t="array" aca="1" ref="M67" ca="1">IFERROR(SMALL(IF(INDIRECT($Z$1&amp;"$P$5:$P$304")=1,ROW(INDIRECT($Z$1&amp;"$A$5:$A$304"))-ROW(INDIRECT($Z$1&amp;"$A$5"))+1),52),"")</f>
      </c>
    </row>
    <row r="68" spans="2:13" x14ac:dyDescent="0.25">
      <c r="B68" s="278">
        <f t="shared" ca="1" si="1"/>
      </c>
      <c r="C68" s="279">
        <f t="shared" ca="1" si="2"/>
      </c>
      <c r="D68">
        <f t="shared" ca="1" si="3"/>
      </c>
      <c r="E68" s="257">
        <f t="shared" ca="1" si="4"/>
      </c>
      <c r="F68" s="122">
        <f t="shared" ca="1" si="5"/>
      </c>
      <c r="G68" s="122">
        <f t="shared" ca="1" si="6"/>
      </c>
      <c r="H68" s="257">
        <f t="shared" ca="1" si="7"/>
      </c>
      <c r="I68">
        <f t="shared" ca="1" si="8"/>
      </c>
      <c r="J68" s="257">
        <f t="shared" ca="1" si="9"/>
      </c>
      <c r="M68">
        <f t="array" aca="1" ref="M68" ca="1">IFERROR(SMALL(IF(INDIRECT($Z$1&amp;"$P$5:$P$304")=1,ROW(INDIRECT($Z$1&amp;"$A$5:$A$304"))-ROW(INDIRECT($Z$1&amp;"$A$5"))+1),53),"")</f>
      </c>
    </row>
    <row r="69" spans="2:13" x14ac:dyDescent="0.25">
      <c r="B69" s="278">
        <f t="shared" ca="1" si="1"/>
      </c>
      <c r="C69" s="279">
        <f t="shared" ca="1" si="2"/>
      </c>
      <c r="D69">
        <f t="shared" ca="1" si="3"/>
      </c>
      <c r="E69" s="257">
        <f t="shared" ca="1" si="4"/>
      </c>
      <c r="F69" s="122">
        <f t="shared" ca="1" si="5"/>
      </c>
      <c r="G69" s="122">
        <f t="shared" ca="1" si="6"/>
      </c>
      <c r="H69" s="257">
        <f t="shared" ca="1" si="7"/>
      </c>
      <c r="I69">
        <f t="shared" ca="1" si="8"/>
      </c>
      <c r="J69" s="257">
        <f t="shared" ca="1" si="9"/>
      </c>
      <c r="M69">
        <f t="array" aca="1" ref="M69" ca="1">IFERROR(SMALL(IF(INDIRECT($Z$1&amp;"$P$5:$P$304")=1,ROW(INDIRECT($Z$1&amp;"$A$5:$A$304"))-ROW(INDIRECT($Z$1&amp;"$A$5"))+1),54),"")</f>
      </c>
    </row>
    <row r="70" spans="2:13" x14ac:dyDescent="0.25">
      <c r="B70" s="278">
        <f t="shared" ca="1" si="1"/>
      </c>
      <c r="C70" s="279">
        <f t="shared" ca="1" si="2"/>
      </c>
      <c r="D70">
        <f t="shared" ca="1" si="3"/>
      </c>
      <c r="E70" s="257">
        <f t="shared" ca="1" si="4"/>
      </c>
      <c r="F70" s="122">
        <f t="shared" ca="1" si="5"/>
      </c>
      <c r="G70" s="122">
        <f t="shared" ca="1" si="6"/>
      </c>
      <c r="H70" s="257">
        <f t="shared" ca="1" si="7"/>
      </c>
      <c r="I70">
        <f t="shared" ca="1" si="8"/>
      </c>
      <c r="J70" s="257">
        <f t="shared" ca="1" si="9"/>
      </c>
      <c r="M70">
        <f t="array" aca="1" ref="M70" ca="1">IFERROR(SMALL(IF(INDIRECT($Z$1&amp;"$P$5:$P$304")=1,ROW(INDIRECT($Z$1&amp;"$A$5:$A$304"))-ROW(INDIRECT($Z$1&amp;"$A$5"))+1),55),"")</f>
      </c>
    </row>
    <row r="71" spans="2:13" x14ac:dyDescent="0.25">
      <c r="B71" s="278">
        <f t="shared" ca="1" si="1"/>
      </c>
      <c r="C71" s="279">
        <f t="shared" ca="1" si="2"/>
      </c>
      <c r="D71">
        <f t="shared" ca="1" si="3"/>
      </c>
      <c r="E71" s="257">
        <f t="shared" ca="1" si="4"/>
      </c>
      <c r="F71" s="122">
        <f t="shared" ca="1" si="5"/>
      </c>
      <c r="G71" s="122">
        <f t="shared" ca="1" si="6"/>
      </c>
      <c r="H71" s="257">
        <f t="shared" ca="1" si="7"/>
      </c>
      <c r="I71">
        <f t="shared" ca="1" si="8"/>
      </c>
      <c r="J71" s="257">
        <f t="shared" ca="1" si="9"/>
      </c>
      <c r="M71">
        <f t="array" aca="1" ref="M71" ca="1">IFERROR(SMALL(IF(INDIRECT($Z$1&amp;"$P$5:$P$304")=1,ROW(INDIRECT($Z$1&amp;"$A$5:$A$304"))-ROW(INDIRECT($Z$1&amp;"$A$5"))+1),56),"")</f>
      </c>
    </row>
    <row r="72" spans="2:13" x14ac:dyDescent="0.25">
      <c r="B72" s="278">
        <f t="shared" ca="1" si="1"/>
      </c>
      <c r="C72" s="279">
        <f t="shared" ca="1" si="2"/>
      </c>
      <c r="D72">
        <f t="shared" ca="1" si="3"/>
      </c>
      <c r="E72" s="257">
        <f t="shared" ca="1" si="4"/>
      </c>
      <c r="F72" s="122">
        <f t="shared" ca="1" si="5"/>
      </c>
      <c r="G72" s="122">
        <f t="shared" ca="1" si="6"/>
      </c>
      <c r="H72" s="257">
        <f t="shared" ca="1" si="7"/>
      </c>
      <c r="I72">
        <f t="shared" ca="1" si="8"/>
      </c>
      <c r="J72" s="257">
        <f t="shared" ca="1" si="9"/>
      </c>
      <c r="M72">
        <f t="array" aca="1" ref="M72" ca="1">IFERROR(SMALL(IF(INDIRECT($Z$1&amp;"$P$5:$P$304")=1,ROW(INDIRECT($Z$1&amp;"$A$5:$A$304"))-ROW(INDIRECT($Z$1&amp;"$A$5"))+1),57),"")</f>
      </c>
    </row>
    <row r="73" spans="2:13" x14ac:dyDescent="0.25">
      <c r="B73" s="278">
        <f t="shared" ca="1" si="1"/>
      </c>
      <c r="C73" s="279">
        <f t="shared" ca="1" si="2"/>
      </c>
      <c r="D73">
        <f t="shared" ca="1" si="3"/>
      </c>
      <c r="E73" s="257">
        <f t="shared" ca="1" si="4"/>
      </c>
      <c r="F73" s="122">
        <f t="shared" ca="1" si="5"/>
      </c>
      <c r="G73" s="122">
        <f t="shared" ca="1" si="6"/>
      </c>
      <c r="H73" s="257">
        <f t="shared" ca="1" si="7"/>
      </c>
      <c r="I73">
        <f t="shared" ca="1" si="8"/>
      </c>
      <c r="J73" s="257">
        <f t="shared" ca="1" si="9"/>
      </c>
      <c r="M73">
        <f t="array" aca="1" ref="M73" ca="1">IFERROR(SMALL(IF(INDIRECT($Z$1&amp;"$P$5:$P$304")=1,ROW(INDIRECT($Z$1&amp;"$A$5:$A$304"))-ROW(INDIRECT($Z$1&amp;"$A$5"))+1),58),"")</f>
      </c>
    </row>
    <row r="74" spans="2:13" x14ac:dyDescent="0.25">
      <c r="B74" s="278">
        <f t="shared" ca="1" si="1"/>
      </c>
      <c r="C74" s="279">
        <f t="shared" ca="1" si="2"/>
      </c>
      <c r="D74">
        <f t="shared" ca="1" si="3"/>
      </c>
      <c r="E74" s="257">
        <f t="shared" ca="1" si="4"/>
      </c>
      <c r="F74" s="122">
        <f t="shared" ca="1" si="5"/>
      </c>
      <c r="G74" s="122">
        <f t="shared" ca="1" si="6"/>
      </c>
      <c r="H74" s="257">
        <f t="shared" ca="1" si="7"/>
      </c>
      <c r="I74">
        <f t="shared" ca="1" si="8"/>
      </c>
      <c r="J74" s="257">
        <f t="shared" ca="1" si="9"/>
      </c>
      <c r="M74">
        <f t="array" aca="1" ref="M74" ca="1">IFERROR(SMALL(IF(INDIRECT($Z$1&amp;"$P$5:$P$304")=1,ROW(INDIRECT($Z$1&amp;"$A$5:$A$304"))-ROW(INDIRECT($Z$1&amp;"$A$5"))+1),59),"")</f>
      </c>
    </row>
    <row r="75" spans="2:13" x14ac:dyDescent="0.25">
      <c r="B75" s="278">
        <f t="shared" ca="1" si="1"/>
      </c>
      <c r="C75" s="279">
        <f t="shared" ca="1" si="2"/>
      </c>
      <c r="D75">
        <f t="shared" ca="1" si="3"/>
      </c>
      <c r="E75" s="257">
        <f t="shared" ca="1" si="4"/>
      </c>
      <c r="F75" s="122">
        <f t="shared" ca="1" si="5"/>
      </c>
      <c r="G75" s="122">
        <f t="shared" ca="1" si="6"/>
      </c>
      <c r="H75" s="257">
        <f t="shared" ca="1" si="7"/>
      </c>
      <c r="I75">
        <f t="shared" ca="1" si="8"/>
      </c>
      <c r="J75" s="257">
        <f t="shared" ca="1" si="9"/>
      </c>
      <c r="M75">
        <f t="array" aca="1" ref="M75" ca="1">IFERROR(SMALL(IF(INDIRECT($Z$1&amp;"$P$5:$P$304")=1,ROW(INDIRECT($Z$1&amp;"$A$5:$A$304"))-ROW(INDIRECT($Z$1&amp;"$A$5"))+1),60),"")</f>
      </c>
    </row>
    <row r="76" spans="2:13" x14ac:dyDescent="0.25">
      <c r="B76" s="278">
        <f t="shared" ca="1" si="1"/>
      </c>
      <c r="C76" s="279">
        <f t="shared" ca="1" si="2"/>
      </c>
      <c r="D76">
        <f t="shared" ca="1" si="3"/>
      </c>
      <c r="E76" s="257">
        <f t="shared" ca="1" si="4"/>
      </c>
      <c r="F76" s="122">
        <f t="shared" ca="1" si="5"/>
      </c>
      <c r="G76" s="122">
        <f t="shared" ca="1" si="6"/>
      </c>
      <c r="H76" s="257">
        <f t="shared" ca="1" si="7"/>
      </c>
      <c r="I76">
        <f t="shared" ca="1" si="8"/>
      </c>
      <c r="J76" s="257">
        <f t="shared" ca="1" si="9"/>
      </c>
      <c r="M76">
        <f t="array" aca="1" ref="M76" ca="1">IFERROR(SMALL(IF(INDIRECT($Z$1&amp;"$P$5:$P$304")=1,ROW(INDIRECT($Z$1&amp;"$A$5:$A$304"))-ROW(INDIRECT($Z$1&amp;"$A$5"))+1),61),"")</f>
      </c>
    </row>
    <row r="77" spans="2:13" x14ac:dyDescent="0.25">
      <c r="B77" s="278">
        <f t="shared" ca="1" si="1"/>
      </c>
      <c r="C77" s="279">
        <f t="shared" ca="1" si="2"/>
      </c>
      <c r="D77">
        <f t="shared" ca="1" si="3"/>
      </c>
      <c r="E77" s="257">
        <f t="shared" ca="1" si="4"/>
      </c>
      <c r="F77" s="122">
        <f t="shared" ca="1" si="5"/>
      </c>
      <c r="G77" s="122">
        <f t="shared" ca="1" si="6"/>
      </c>
      <c r="H77" s="257">
        <f t="shared" ca="1" si="7"/>
      </c>
      <c r="I77">
        <f t="shared" ca="1" si="8"/>
      </c>
      <c r="J77" s="257">
        <f t="shared" ca="1" si="9"/>
      </c>
      <c r="M77">
        <f t="array" aca="1" ref="M77" ca="1">IFERROR(SMALL(IF(INDIRECT($Z$1&amp;"$P$5:$P$304")=1,ROW(INDIRECT($Z$1&amp;"$A$5:$A$304"))-ROW(INDIRECT($Z$1&amp;"$A$5"))+1),62),"")</f>
      </c>
    </row>
    <row r="78" spans="2:13" x14ac:dyDescent="0.25">
      <c r="B78" s="278">
        <f t="shared" ca="1" si="1"/>
      </c>
      <c r="C78" s="279">
        <f t="shared" ca="1" si="2"/>
      </c>
      <c r="D78">
        <f t="shared" ca="1" si="3"/>
      </c>
      <c r="E78" s="257">
        <f t="shared" ca="1" si="4"/>
      </c>
      <c r="F78" s="122">
        <f t="shared" ca="1" si="5"/>
      </c>
      <c r="G78" s="122">
        <f t="shared" ca="1" si="6"/>
      </c>
      <c r="H78" s="257">
        <f t="shared" ca="1" si="7"/>
      </c>
      <c r="I78">
        <f t="shared" ca="1" si="8"/>
      </c>
      <c r="J78" s="257">
        <f t="shared" ca="1" si="9"/>
      </c>
      <c r="M78">
        <f t="array" aca="1" ref="M78" ca="1">IFERROR(SMALL(IF(INDIRECT($Z$1&amp;"$P$5:$P$304")=1,ROW(INDIRECT($Z$1&amp;"$A$5:$A$304"))-ROW(INDIRECT($Z$1&amp;"$A$5"))+1),63),"")</f>
      </c>
    </row>
    <row r="79" spans="2:13" x14ac:dyDescent="0.25">
      <c r="B79" s="278">
        <f t="shared" ca="1" si="1"/>
      </c>
      <c r="C79" s="279">
        <f t="shared" ca="1" si="2"/>
      </c>
      <c r="D79">
        <f t="shared" ca="1" si="3"/>
      </c>
      <c r="E79" s="257">
        <f t="shared" ca="1" si="4"/>
      </c>
      <c r="F79" s="122">
        <f t="shared" ca="1" si="5"/>
      </c>
      <c r="G79" s="122">
        <f t="shared" ca="1" si="6"/>
      </c>
      <c r="H79" s="257">
        <f t="shared" ca="1" si="7"/>
      </c>
      <c r="I79">
        <f t="shared" ca="1" si="8"/>
      </c>
      <c r="J79" s="257">
        <f t="shared" ca="1" si="9"/>
      </c>
      <c r="M79">
        <f t="array" aca="1" ref="M79" ca="1">IFERROR(SMALL(IF(INDIRECT($Z$1&amp;"$P$5:$P$304")=1,ROW(INDIRECT($Z$1&amp;"$A$5:$A$304"))-ROW(INDIRECT($Z$1&amp;"$A$5"))+1),64),"")</f>
      </c>
    </row>
    <row r="80" spans="2:13" x14ac:dyDescent="0.25">
      <c r="B80" s="278">
        <f t="shared" ref="B80:B143" ca="1" si="10">IF($M80="","",INDEX(INDIRECT($Z$1&amp;"$A$5:$A$304"),$M80))</f>
      </c>
      <c r="C80" s="279">
        <f t="shared" ref="C80:C143" ca="1" si="11">IF($M80="","",INDEX(INDIRECT($Z$1&amp;"$B$5:$B$304"),$M80))</f>
      </c>
      <c r="D80">
        <f t="shared" ref="D80:D143" ca="1" si="12">IF($M80="","",INDEX(INDIRECT($Z$1&amp;"$C$5:$C$304"),$M80))</f>
      </c>
      <c r="E80" s="257">
        <f t="shared" ref="E80:E143" ca="1" si="13">IF($M80="","",INDEX(INDIRECT($Z$1&amp;"$E$5:$E$304"),$M80))</f>
      </c>
      <c r="F80" s="122">
        <f t="shared" ref="F80:F143" ca="1" si="14">IF($M80="","",INDEX(INDIRECT($Z$1&amp;"$F$5:$F$304"),$M80))</f>
      </c>
      <c r="G80" s="122">
        <f t="shared" ref="G80:G143" ca="1" si="15">IF($M80="","",INDEX(INDIRECT($Z$1&amp;"$G$5:$G$304"),$M80))</f>
      </c>
      <c r="H80" s="257">
        <f t="shared" ref="H80:H143" ca="1" si="16">IF($M80="","",INDEX(INDIRECT($Z$1&amp;"$H$5:$H$304"),$M80))</f>
      </c>
      <c r="I80">
        <f t="shared" ref="I80:I143" ca="1" si="17">IF($M80="","",INDEX(INDIRECT($Z$1&amp;"$I$5:$I$304"),$M80))</f>
      </c>
      <c r="J80" s="257">
        <f t="shared" ref="J80:J143" ca="1" si="18">IF($M80="","",INDEX(INDIRECT($Z$1&amp;"$J$5:$J$304"),$M80))</f>
      </c>
      <c r="M80">
        <f t="array" aca="1" ref="M80" ca="1">IFERROR(SMALL(IF(INDIRECT($Z$1&amp;"$P$5:$P$304")=1,ROW(INDIRECT($Z$1&amp;"$A$5:$A$304"))-ROW(INDIRECT($Z$1&amp;"$A$5"))+1),65),"")</f>
      </c>
    </row>
    <row r="81" spans="2:13" x14ac:dyDescent="0.25">
      <c r="B81" s="278">
        <f t="shared" ca="1" si="10"/>
      </c>
      <c r="C81" s="279">
        <f t="shared" ca="1" si="11"/>
      </c>
      <c r="D81">
        <f t="shared" ca="1" si="12"/>
      </c>
      <c r="E81" s="257">
        <f t="shared" ca="1" si="13"/>
      </c>
      <c r="F81" s="122">
        <f t="shared" ca="1" si="14"/>
      </c>
      <c r="G81" s="122">
        <f t="shared" ca="1" si="15"/>
      </c>
      <c r="H81" s="257">
        <f t="shared" ca="1" si="16"/>
      </c>
      <c r="I81">
        <f t="shared" ca="1" si="17"/>
      </c>
      <c r="J81" s="257">
        <f t="shared" ca="1" si="18"/>
      </c>
      <c r="M81">
        <f t="array" aca="1" ref="M81" ca="1">IFERROR(SMALL(IF(INDIRECT($Z$1&amp;"$P$5:$P$304")=1,ROW(INDIRECT($Z$1&amp;"$A$5:$A$304"))-ROW(INDIRECT($Z$1&amp;"$A$5"))+1),66),"")</f>
      </c>
    </row>
    <row r="82" spans="2:13" x14ac:dyDescent="0.25">
      <c r="B82" s="278">
        <f t="shared" ca="1" si="10"/>
      </c>
      <c r="C82" s="279">
        <f t="shared" ca="1" si="11"/>
      </c>
      <c r="D82">
        <f t="shared" ca="1" si="12"/>
      </c>
      <c r="E82" s="257">
        <f t="shared" ca="1" si="13"/>
      </c>
      <c r="F82" s="122">
        <f t="shared" ca="1" si="14"/>
      </c>
      <c r="G82" s="122">
        <f t="shared" ca="1" si="15"/>
      </c>
      <c r="H82" s="257">
        <f t="shared" ca="1" si="16"/>
      </c>
      <c r="I82">
        <f t="shared" ca="1" si="17"/>
      </c>
      <c r="J82" s="257">
        <f t="shared" ca="1" si="18"/>
      </c>
      <c r="M82">
        <f t="array" aca="1" ref="M82" ca="1">IFERROR(SMALL(IF(INDIRECT($Z$1&amp;"$P$5:$P$304")=1,ROW(INDIRECT($Z$1&amp;"$A$5:$A$304"))-ROW(INDIRECT($Z$1&amp;"$A$5"))+1),67),"")</f>
      </c>
    </row>
    <row r="83" spans="2:13" x14ac:dyDescent="0.25">
      <c r="B83" s="278">
        <f t="shared" ca="1" si="10"/>
      </c>
      <c r="C83" s="279">
        <f t="shared" ca="1" si="11"/>
      </c>
      <c r="D83">
        <f t="shared" ca="1" si="12"/>
      </c>
      <c r="E83" s="257">
        <f t="shared" ca="1" si="13"/>
      </c>
      <c r="F83" s="122">
        <f t="shared" ca="1" si="14"/>
      </c>
      <c r="G83" s="122">
        <f t="shared" ca="1" si="15"/>
      </c>
      <c r="H83" s="257">
        <f t="shared" ca="1" si="16"/>
      </c>
      <c r="I83">
        <f t="shared" ca="1" si="17"/>
      </c>
      <c r="J83" s="257">
        <f t="shared" ca="1" si="18"/>
      </c>
      <c r="M83">
        <f t="array" aca="1" ref="M83" ca="1">IFERROR(SMALL(IF(INDIRECT($Z$1&amp;"$P$5:$P$304")=1,ROW(INDIRECT($Z$1&amp;"$A$5:$A$304"))-ROW(INDIRECT($Z$1&amp;"$A$5"))+1),68),"")</f>
      </c>
    </row>
    <row r="84" spans="2:13" x14ac:dyDescent="0.25">
      <c r="B84" s="278">
        <f t="shared" ca="1" si="10"/>
      </c>
      <c r="C84" s="279">
        <f t="shared" ca="1" si="11"/>
      </c>
      <c r="D84">
        <f t="shared" ca="1" si="12"/>
      </c>
      <c r="E84" s="257">
        <f t="shared" ca="1" si="13"/>
      </c>
      <c r="F84" s="122">
        <f t="shared" ca="1" si="14"/>
      </c>
      <c r="G84" s="122">
        <f t="shared" ca="1" si="15"/>
      </c>
      <c r="H84" s="257">
        <f t="shared" ca="1" si="16"/>
      </c>
      <c r="I84">
        <f t="shared" ca="1" si="17"/>
      </c>
      <c r="J84" s="257">
        <f t="shared" ca="1" si="18"/>
      </c>
      <c r="M84">
        <f t="array" aca="1" ref="M84" ca="1">IFERROR(SMALL(IF(INDIRECT($Z$1&amp;"$P$5:$P$304")=1,ROW(INDIRECT($Z$1&amp;"$A$5:$A$304"))-ROW(INDIRECT($Z$1&amp;"$A$5"))+1),69),"")</f>
      </c>
    </row>
    <row r="85" spans="2:13" x14ac:dyDescent="0.25">
      <c r="B85" s="278">
        <f t="shared" ca="1" si="10"/>
      </c>
      <c r="C85" s="279">
        <f t="shared" ca="1" si="11"/>
      </c>
      <c r="D85">
        <f t="shared" ca="1" si="12"/>
      </c>
      <c r="E85" s="257">
        <f t="shared" ca="1" si="13"/>
      </c>
      <c r="F85" s="122">
        <f t="shared" ca="1" si="14"/>
      </c>
      <c r="G85" s="122">
        <f t="shared" ca="1" si="15"/>
      </c>
      <c r="H85" s="257">
        <f t="shared" ca="1" si="16"/>
      </c>
      <c r="I85">
        <f t="shared" ca="1" si="17"/>
      </c>
      <c r="J85" s="257">
        <f t="shared" ca="1" si="18"/>
      </c>
      <c r="M85">
        <f t="array" aca="1" ref="M85" ca="1">IFERROR(SMALL(IF(INDIRECT($Z$1&amp;"$P$5:$P$304")=1,ROW(INDIRECT($Z$1&amp;"$A$5:$A$304"))-ROW(INDIRECT($Z$1&amp;"$A$5"))+1),70),"")</f>
      </c>
    </row>
    <row r="86" spans="2:13" x14ac:dyDescent="0.25">
      <c r="B86" s="278">
        <f t="shared" ca="1" si="10"/>
      </c>
      <c r="C86" s="279">
        <f t="shared" ca="1" si="11"/>
      </c>
      <c r="D86">
        <f t="shared" ca="1" si="12"/>
      </c>
      <c r="E86" s="257">
        <f t="shared" ca="1" si="13"/>
      </c>
      <c r="F86" s="122">
        <f t="shared" ca="1" si="14"/>
      </c>
      <c r="G86" s="122">
        <f t="shared" ca="1" si="15"/>
      </c>
      <c r="H86" s="257">
        <f t="shared" ca="1" si="16"/>
      </c>
      <c r="I86">
        <f t="shared" ca="1" si="17"/>
      </c>
      <c r="J86" s="257">
        <f t="shared" ca="1" si="18"/>
      </c>
      <c r="M86">
        <f t="array" aca="1" ref="M86" ca="1">IFERROR(SMALL(IF(INDIRECT($Z$1&amp;"$P$5:$P$304")=1,ROW(INDIRECT($Z$1&amp;"$A$5:$A$304"))-ROW(INDIRECT($Z$1&amp;"$A$5"))+1),71),"")</f>
      </c>
    </row>
    <row r="87" spans="2:13" x14ac:dyDescent="0.25">
      <c r="B87" s="278">
        <f t="shared" ca="1" si="10"/>
      </c>
      <c r="C87" s="279">
        <f t="shared" ca="1" si="11"/>
      </c>
      <c r="D87">
        <f t="shared" ca="1" si="12"/>
      </c>
      <c r="E87" s="257">
        <f t="shared" ca="1" si="13"/>
      </c>
      <c r="F87" s="122">
        <f t="shared" ca="1" si="14"/>
      </c>
      <c r="G87" s="122">
        <f t="shared" ca="1" si="15"/>
      </c>
      <c r="H87" s="257">
        <f t="shared" ca="1" si="16"/>
      </c>
      <c r="I87">
        <f t="shared" ca="1" si="17"/>
      </c>
      <c r="J87" s="257">
        <f t="shared" ca="1" si="18"/>
      </c>
      <c r="M87">
        <f t="array" aca="1" ref="M87" ca="1">IFERROR(SMALL(IF(INDIRECT($Z$1&amp;"$P$5:$P$304")=1,ROW(INDIRECT($Z$1&amp;"$A$5:$A$304"))-ROW(INDIRECT($Z$1&amp;"$A$5"))+1),72),"")</f>
      </c>
    </row>
    <row r="88" spans="2:13" x14ac:dyDescent="0.25">
      <c r="B88" s="278">
        <f t="shared" ca="1" si="10"/>
      </c>
      <c r="C88" s="279">
        <f t="shared" ca="1" si="11"/>
      </c>
      <c r="D88">
        <f t="shared" ca="1" si="12"/>
      </c>
      <c r="E88" s="257">
        <f t="shared" ca="1" si="13"/>
      </c>
      <c r="F88" s="122">
        <f t="shared" ca="1" si="14"/>
      </c>
      <c r="G88" s="122">
        <f t="shared" ca="1" si="15"/>
      </c>
      <c r="H88" s="257">
        <f t="shared" ca="1" si="16"/>
      </c>
      <c r="I88">
        <f t="shared" ca="1" si="17"/>
      </c>
      <c r="J88" s="257">
        <f t="shared" ca="1" si="18"/>
      </c>
      <c r="M88">
        <f t="array" aca="1" ref="M88" ca="1">IFERROR(SMALL(IF(INDIRECT($Z$1&amp;"$P$5:$P$304")=1,ROW(INDIRECT($Z$1&amp;"$A$5:$A$304"))-ROW(INDIRECT($Z$1&amp;"$A$5"))+1),73),"")</f>
      </c>
    </row>
    <row r="89" spans="2:13" x14ac:dyDescent="0.25">
      <c r="B89" s="278">
        <f t="shared" ca="1" si="10"/>
      </c>
      <c r="C89" s="279">
        <f t="shared" ca="1" si="11"/>
      </c>
      <c r="D89">
        <f t="shared" ca="1" si="12"/>
      </c>
      <c r="E89" s="257">
        <f t="shared" ca="1" si="13"/>
      </c>
      <c r="F89" s="122">
        <f t="shared" ca="1" si="14"/>
      </c>
      <c r="G89" s="122">
        <f t="shared" ca="1" si="15"/>
      </c>
      <c r="H89" s="257">
        <f t="shared" ca="1" si="16"/>
      </c>
      <c r="I89">
        <f t="shared" ca="1" si="17"/>
      </c>
      <c r="J89" s="257">
        <f t="shared" ca="1" si="18"/>
      </c>
      <c r="M89">
        <f t="array" aca="1" ref="M89" ca="1">IFERROR(SMALL(IF(INDIRECT($Z$1&amp;"$P$5:$P$304")=1,ROW(INDIRECT($Z$1&amp;"$A$5:$A$304"))-ROW(INDIRECT($Z$1&amp;"$A$5"))+1),74),"")</f>
      </c>
    </row>
    <row r="90" spans="2:13" x14ac:dyDescent="0.25">
      <c r="B90" s="278">
        <f t="shared" ca="1" si="10"/>
      </c>
      <c r="C90" s="279">
        <f t="shared" ca="1" si="11"/>
      </c>
      <c r="D90">
        <f t="shared" ca="1" si="12"/>
      </c>
      <c r="E90" s="257">
        <f t="shared" ca="1" si="13"/>
      </c>
      <c r="F90" s="122">
        <f t="shared" ca="1" si="14"/>
      </c>
      <c r="G90" s="122">
        <f t="shared" ca="1" si="15"/>
      </c>
      <c r="H90" s="257">
        <f t="shared" ca="1" si="16"/>
      </c>
      <c r="I90">
        <f t="shared" ca="1" si="17"/>
      </c>
      <c r="J90" s="257">
        <f t="shared" ca="1" si="18"/>
      </c>
      <c r="M90">
        <f t="array" aca="1" ref="M90" ca="1">IFERROR(SMALL(IF(INDIRECT($Z$1&amp;"$P$5:$P$304")=1,ROW(INDIRECT($Z$1&amp;"$A$5:$A$304"))-ROW(INDIRECT($Z$1&amp;"$A$5"))+1),75),"")</f>
      </c>
    </row>
    <row r="91" spans="2:13" x14ac:dyDescent="0.25">
      <c r="B91" s="278">
        <f t="shared" ca="1" si="10"/>
      </c>
      <c r="C91" s="279">
        <f t="shared" ca="1" si="11"/>
      </c>
      <c r="D91">
        <f t="shared" ca="1" si="12"/>
      </c>
      <c r="E91" s="257">
        <f t="shared" ca="1" si="13"/>
      </c>
      <c r="F91" s="122">
        <f t="shared" ca="1" si="14"/>
      </c>
      <c r="G91" s="122">
        <f t="shared" ca="1" si="15"/>
      </c>
      <c r="H91" s="257">
        <f t="shared" ca="1" si="16"/>
      </c>
      <c r="I91">
        <f t="shared" ca="1" si="17"/>
      </c>
      <c r="J91" s="257">
        <f t="shared" ca="1" si="18"/>
      </c>
      <c r="M91">
        <f t="array" aca="1" ref="M91" ca="1">IFERROR(SMALL(IF(INDIRECT($Z$1&amp;"$P$5:$P$304")=1,ROW(INDIRECT($Z$1&amp;"$A$5:$A$304"))-ROW(INDIRECT($Z$1&amp;"$A$5"))+1),76),"")</f>
      </c>
    </row>
    <row r="92" spans="2:13" x14ac:dyDescent="0.25">
      <c r="B92" s="278">
        <f t="shared" ca="1" si="10"/>
      </c>
      <c r="C92" s="279">
        <f t="shared" ca="1" si="11"/>
      </c>
      <c r="D92">
        <f t="shared" ca="1" si="12"/>
      </c>
      <c r="E92" s="257">
        <f t="shared" ca="1" si="13"/>
      </c>
      <c r="F92" s="122">
        <f t="shared" ca="1" si="14"/>
      </c>
      <c r="G92" s="122">
        <f t="shared" ca="1" si="15"/>
      </c>
      <c r="H92" s="257">
        <f t="shared" ca="1" si="16"/>
      </c>
      <c r="I92">
        <f t="shared" ca="1" si="17"/>
      </c>
      <c r="J92" s="257">
        <f t="shared" ca="1" si="18"/>
      </c>
      <c r="M92">
        <f t="array" aca="1" ref="M92" ca="1">IFERROR(SMALL(IF(INDIRECT($Z$1&amp;"$P$5:$P$304")=1,ROW(INDIRECT($Z$1&amp;"$A$5:$A$304"))-ROW(INDIRECT($Z$1&amp;"$A$5"))+1),77),"")</f>
      </c>
    </row>
    <row r="93" spans="2:13" x14ac:dyDescent="0.25">
      <c r="B93" s="278">
        <f t="shared" ca="1" si="10"/>
      </c>
      <c r="C93" s="279">
        <f t="shared" ca="1" si="11"/>
      </c>
      <c r="D93">
        <f t="shared" ca="1" si="12"/>
      </c>
      <c r="E93" s="257">
        <f t="shared" ca="1" si="13"/>
      </c>
      <c r="F93" s="122">
        <f t="shared" ca="1" si="14"/>
      </c>
      <c r="G93" s="122">
        <f t="shared" ca="1" si="15"/>
      </c>
      <c r="H93" s="257">
        <f t="shared" ca="1" si="16"/>
      </c>
      <c r="I93">
        <f t="shared" ca="1" si="17"/>
      </c>
      <c r="J93" s="257">
        <f t="shared" ca="1" si="18"/>
      </c>
      <c r="M93">
        <f t="array" aca="1" ref="M93" ca="1">IFERROR(SMALL(IF(INDIRECT($Z$1&amp;"$P$5:$P$304")=1,ROW(INDIRECT($Z$1&amp;"$A$5:$A$304"))-ROW(INDIRECT($Z$1&amp;"$A$5"))+1),78),"")</f>
      </c>
    </row>
    <row r="94" spans="2:13" x14ac:dyDescent="0.25">
      <c r="B94" s="278">
        <f t="shared" ca="1" si="10"/>
      </c>
      <c r="C94" s="279">
        <f t="shared" ca="1" si="11"/>
      </c>
      <c r="D94">
        <f t="shared" ca="1" si="12"/>
      </c>
      <c r="E94" s="257">
        <f t="shared" ca="1" si="13"/>
      </c>
      <c r="F94" s="122">
        <f t="shared" ca="1" si="14"/>
      </c>
      <c r="G94" s="122">
        <f t="shared" ca="1" si="15"/>
      </c>
      <c r="H94" s="257">
        <f t="shared" ca="1" si="16"/>
      </c>
      <c r="I94">
        <f t="shared" ca="1" si="17"/>
      </c>
      <c r="J94" s="257">
        <f t="shared" ca="1" si="18"/>
      </c>
      <c r="M94">
        <f t="array" aca="1" ref="M94" ca="1">IFERROR(SMALL(IF(INDIRECT($Z$1&amp;"$P$5:$P$304")=1,ROW(INDIRECT($Z$1&amp;"$A$5:$A$304"))-ROW(INDIRECT($Z$1&amp;"$A$5"))+1),79),"")</f>
      </c>
    </row>
    <row r="95" spans="2:13" x14ac:dyDescent="0.25">
      <c r="B95" s="278">
        <f t="shared" ca="1" si="10"/>
      </c>
      <c r="C95" s="279">
        <f t="shared" ca="1" si="11"/>
      </c>
      <c r="D95">
        <f t="shared" ca="1" si="12"/>
      </c>
      <c r="E95" s="257">
        <f t="shared" ca="1" si="13"/>
      </c>
      <c r="F95" s="122">
        <f t="shared" ca="1" si="14"/>
      </c>
      <c r="G95" s="122">
        <f t="shared" ca="1" si="15"/>
      </c>
      <c r="H95" s="257">
        <f t="shared" ca="1" si="16"/>
      </c>
      <c r="I95">
        <f t="shared" ca="1" si="17"/>
      </c>
      <c r="J95" s="257">
        <f t="shared" ca="1" si="18"/>
      </c>
      <c r="M95">
        <f t="array" aca="1" ref="M95" ca="1">IFERROR(SMALL(IF(INDIRECT($Z$1&amp;"$P$5:$P$304")=1,ROW(INDIRECT($Z$1&amp;"$A$5:$A$304"))-ROW(INDIRECT($Z$1&amp;"$A$5"))+1),80),"")</f>
      </c>
    </row>
    <row r="96" spans="2:13" x14ac:dyDescent="0.25">
      <c r="B96" s="278">
        <f t="shared" ca="1" si="10"/>
      </c>
      <c r="C96" s="279">
        <f t="shared" ca="1" si="11"/>
      </c>
      <c r="D96">
        <f t="shared" ca="1" si="12"/>
      </c>
      <c r="E96" s="257">
        <f t="shared" ca="1" si="13"/>
      </c>
      <c r="F96" s="122">
        <f t="shared" ca="1" si="14"/>
      </c>
      <c r="G96" s="122">
        <f t="shared" ca="1" si="15"/>
      </c>
      <c r="H96" s="257">
        <f t="shared" ca="1" si="16"/>
      </c>
      <c r="I96">
        <f t="shared" ca="1" si="17"/>
      </c>
      <c r="J96" s="257">
        <f t="shared" ca="1" si="18"/>
      </c>
      <c r="M96">
        <f t="array" aca="1" ref="M96" ca="1">IFERROR(SMALL(IF(INDIRECT($Z$1&amp;"$P$5:$P$304")=1,ROW(INDIRECT($Z$1&amp;"$A$5:$A$304"))-ROW(INDIRECT($Z$1&amp;"$A$5"))+1),81),"")</f>
      </c>
    </row>
    <row r="97" spans="2:13" x14ac:dyDescent="0.25">
      <c r="B97" s="278">
        <f t="shared" ca="1" si="10"/>
      </c>
      <c r="C97" s="279">
        <f t="shared" ca="1" si="11"/>
      </c>
      <c r="D97">
        <f t="shared" ca="1" si="12"/>
      </c>
      <c r="E97" s="257">
        <f t="shared" ca="1" si="13"/>
      </c>
      <c r="F97" s="122">
        <f t="shared" ca="1" si="14"/>
      </c>
      <c r="G97" s="122">
        <f t="shared" ca="1" si="15"/>
      </c>
      <c r="H97" s="257">
        <f t="shared" ca="1" si="16"/>
      </c>
      <c r="I97">
        <f t="shared" ca="1" si="17"/>
      </c>
      <c r="J97" s="257">
        <f t="shared" ca="1" si="18"/>
      </c>
      <c r="M97">
        <f t="array" aca="1" ref="M97" ca="1">IFERROR(SMALL(IF(INDIRECT($Z$1&amp;"$P$5:$P$304")=1,ROW(INDIRECT($Z$1&amp;"$A$5:$A$304"))-ROW(INDIRECT($Z$1&amp;"$A$5"))+1),82),"")</f>
      </c>
    </row>
    <row r="98" spans="2:13" x14ac:dyDescent="0.25">
      <c r="B98" s="278">
        <f t="shared" ca="1" si="10"/>
      </c>
      <c r="C98" s="279">
        <f t="shared" ca="1" si="11"/>
      </c>
      <c r="D98">
        <f t="shared" ca="1" si="12"/>
      </c>
      <c r="E98" s="257">
        <f t="shared" ca="1" si="13"/>
      </c>
      <c r="F98" s="122">
        <f t="shared" ca="1" si="14"/>
      </c>
      <c r="G98" s="122">
        <f t="shared" ca="1" si="15"/>
      </c>
      <c r="H98" s="257">
        <f t="shared" ca="1" si="16"/>
      </c>
      <c r="I98">
        <f t="shared" ca="1" si="17"/>
      </c>
      <c r="J98" s="257">
        <f t="shared" ca="1" si="18"/>
      </c>
      <c r="M98">
        <f t="array" aca="1" ref="M98" ca="1">IFERROR(SMALL(IF(INDIRECT($Z$1&amp;"$P$5:$P$304")=1,ROW(INDIRECT($Z$1&amp;"$A$5:$A$304"))-ROW(INDIRECT($Z$1&amp;"$A$5"))+1),83),"")</f>
      </c>
    </row>
    <row r="99" spans="2:13" x14ac:dyDescent="0.25">
      <c r="B99" s="278">
        <f t="shared" ca="1" si="10"/>
      </c>
      <c r="C99" s="279">
        <f t="shared" ca="1" si="11"/>
      </c>
      <c r="D99">
        <f t="shared" ca="1" si="12"/>
      </c>
      <c r="E99" s="257">
        <f t="shared" ca="1" si="13"/>
      </c>
      <c r="F99" s="122">
        <f t="shared" ca="1" si="14"/>
      </c>
      <c r="G99" s="122">
        <f t="shared" ca="1" si="15"/>
      </c>
      <c r="H99" s="257">
        <f t="shared" ca="1" si="16"/>
      </c>
      <c r="I99">
        <f t="shared" ca="1" si="17"/>
      </c>
      <c r="J99" s="257">
        <f t="shared" ca="1" si="18"/>
      </c>
      <c r="M99">
        <f t="array" aca="1" ref="M99" ca="1">IFERROR(SMALL(IF(INDIRECT($Z$1&amp;"$P$5:$P$304")=1,ROW(INDIRECT($Z$1&amp;"$A$5:$A$304"))-ROW(INDIRECT($Z$1&amp;"$A$5"))+1),84),"")</f>
      </c>
    </row>
    <row r="100" spans="2:13" x14ac:dyDescent="0.25">
      <c r="B100" s="278">
        <f t="shared" ca="1" si="10"/>
      </c>
      <c r="C100" s="279">
        <f t="shared" ca="1" si="11"/>
      </c>
      <c r="D100">
        <f t="shared" ca="1" si="12"/>
      </c>
      <c r="E100" s="257">
        <f t="shared" ca="1" si="13"/>
      </c>
      <c r="F100" s="122">
        <f t="shared" ca="1" si="14"/>
      </c>
      <c r="G100" s="122">
        <f t="shared" ca="1" si="15"/>
      </c>
      <c r="H100" s="257">
        <f t="shared" ca="1" si="16"/>
      </c>
      <c r="I100">
        <f t="shared" ca="1" si="17"/>
      </c>
      <c r="J100" s="257">
        <f t="shared" ca="1" si="18"/>
      </c>
      <c r="M100">
        <f t="array" aca="1" ref="M100" ca="1">IFERROR(SMALL(IF(INDIRECT($Z$1&amp;"$P$5:$P$304")=1,ROW(INDIRECT($Z$1&amp;"$A$5:$A$304"))-ROW(INDIRECT($Z$1&amp;"$A$5"))+1),85),"")</f>
      </c>
    </row>
    <row r="101" spans="2:13" x14ac:dyDescent="0.25">
      <c r="B101" s="278">
        <f t="shared" ca="1" si="10"/>
      </c>
      <c r="C101" s="279">
        <f t="shared" ca="1" si="11"/>
      </c>
      <c r="D101">
        <f t="shared" ca="1" si="12"/>
      </c>
      <c r="E101" s="257">
        <f t="shared" ca="1" si="13"/>
      </c>
      <c r="F101" s="122">
        <f t="shared" ca="1" si="14"/>
      </c>
      <c r="G101" s="122">
        <f t="shared" ca="1" si="15"/>
      </c>
      <c r="H101" s="257">
        <f t="shared" ca="1" si="16"/>
      </c>
      <c r="I101">
        <f t="shared" ca="1" si="17"/>
      </c>
      <c r="J101" s="257">
        <f t="shared" ca="1" si="18"/>
      </c>
      <c r="M101">
        <f t="array" aca="1" ref="M101" ca="1">IFERROR(SMALL(IF(INDIRECT($Z$1&amp;"$P$5:$P$304")=1,ROW(INDIRECT($Z$1&amp;"$A$5:$A$304"))-ROW(INDIRECT($Z$1&amp;"$A$5"))+1),86),"")</f>
      </c>
    </row>
    <row r="102" spans="2:13" x14ac:dyDescent="0.25">
      <c r="B102" s="278">
        <f t="shared" ca="1" si="10"/>
      </c>
      <c r="C102" s="279">
        <f t="shared" ca="1" si="11"/>
      </c>
      <c r="D102">
        <f t="shared" ca="1" si="12"/>
      </c>
      <c r="E102" s="257">
        <f t="shared" ca="1" si="13"/>
      </c>
      <c r="F102" s="122">
        <f t="shared" ca="1" si="14"/>
      </c>
      <c r="G102" s="122">
        <f t="shared" ca="1" si="15"/>
      </c>
      <c r="H102" s="257">
        <f t="shared" ca="1" si="16"/>
      </c>
      <c r="I102">
        <f t="shared" ca="1" si="17"/>
      </c>
      <c r="J102" s="257">
        <f t="shared" ca="1" si="18"/>
      </c>
      <c r="M102">
        <f t="array" aca="1" ref="M102" ca="1">IFERROR(SMALL(IF(INDIRECT($Z$1&amp;"$P$5:$P$304")=1,ROW(INDIRECT($Z$1&amp;"$A$5:$A$304"))-ROW(INDIRECT($Z$1&amp;"$A$5"))+1),87),"")</f>
      </c>
    </row>
    <row r="103" spans="2:13" x14ac:dyDescent="0.25">
      <c r="B103" s="278">
        <f t="shared" ca="1" si="10"/>
      </c>
      <c r="C103" s="279">
        <f t="shared" ca="1" si="11"/>
      </c>
      <c r="D103">
        <f t="shared" ca="1" si="12"/>
      </c>
      <c r="E103" s="257">
        <f t="shared" ca="1" si="13"/>
      </c>
      <c r="F103" s="122">
        <f t="shared" ca="1" si="14"/>
      </c>
      <c r="G103" s="122">
        <f t="shared" ca="1" si="15"/>
      </c>
      <c r="H103" s="257">
        <f t="shared" ca="1" si="16"/>
      </c>
      <c r="I103">
        <f t="shared" ca="1" si="17"/>
      </c>
      <c r="J103" s="257">
        <f t="shared" ca="1" si="18"/>
      </c>
      <c r="M103">
        <f t="array" aca="1" ref="M103" ca="1">IFERROR(SMALL(IF(INDIRECT($Z$1&amp;"$P$5:$P$304")=1,ROW(INDIRECT($Z$1&amp;"$A$5:$A$304"))-ROW(INDIRECT($Z$1&amp;"$A$5"))+1),88),"")</f>
      </c>
    </row>
    <row r="104" spans="2:13" x14ac:dyDescent="0.25">
      <c r="B104" s="278">
        <f t="shared" ca="1" si="10"/>
      </c>
      <c r="C104" s="279">
        <f t="shared" ca="1" si="11"/>
      </c>
      <c r="D104">
        <f t="shared" ca="1" si="12"/>
      </c>
      <c r="E104" s="257">
        <f t="shared" ca="1" si="13"/>
      </c>
      <c r="F104" s="122">
        <f t="shared" ca="1" si="14"/>
      </c>
      <c r="G104" s="122">
        <f t="shared" ca="1" si="15"/>
      </c>
      <c r="H104" s="257">
        <f t="shared" ca="1" si="16"/>
      </c>
      <c r="I104">
        <f t="shared" ca="1" si="17"/>
      </c>
      <c r="J104" s="257">
        <f t="shared" ca="1" si="18"/>
      </c>
      <c r="M104">
        <f t="array" aca="1" ref="M104" ca="1">IFERROR(SMALL(IF(INDIRECT($Z$1&amp;"$P$5:$P$304")=1,ROW(INDIRECT($Z$1&amp;"$A$5:$A$304"))-ROW(INDIRECT($Z$1&amp;"$A$5"))+1),89),"")</f>
      </c>
    </row>
    <row r="105" spans="2:13" x14ac:dyDescent="0.25">
      <c r="B105" s="278">
        <f t="shared" ca="1" si="10"/>
      </c>
      <c r="C105" s="279">
        <f t="shared" ca="1" si="11"/>
      </c>
      <c r="D105">
        <f t="shared" ca="1" si="12"/>
      </c>
      <c r="E105" s="257">
        <f t="shared" ca="1" si="13"/>
      </c>
      <c r="F105" s="122">
        <f t="shared" ca="1" si="14"/>
      </c>
      <c r="G105" s="122">
        <f t="shared" ca="1" si="15"/>
      </c>
      <c r="H105" s="257">
        <f t="shared" ca="1" si="16"/>
      </c>
      <c r="I105">
        <f t="shared" ca="1" si="17"/>
      </c>
      <c r="J105" s="257">
        <f t="shared" ca="1" si="18"/>
      </c>
      <c r="M105">
        <f t="array" aca="1" ref="M105" ca="1">IFERROR(SMALL(IF(INDIRECT($Z$1&amp;"$P$5:$P$304")=1,ROW(INDIRECT($Z$1&amp;"$A$5:$A$304"))-ROW(INDIRECT($Z$1&amp;"$A$5"))+1),90),"")</f>
      </c>
    </row>
    <row r="106" spans="2:13" x14ac:dyDescent="0.25">
      <c r="B106" s="278">
        <f t="shared" ca="1" si="10"/>
      </c>
      <c r="C106" s="279">
        <f t="shared" ca="1" si="11"/>
      </c>
      <c r="D106">
        <f t="shared" ca="1" si="12"/>
      </c>
      <c r="E106" s="257">
        <f t="shared" ca="1" si="13"/>
      </c>
      <c r="F106" s="122">
        <f t="shared" ca="1" si="14"/>
      </c>
      <c r="G106" s="122">
        <f t="shared" ca="1" si="15"/>
      </c>
      <c r="H106" s="257">
        <f t="shared" ca="1" si="16"/>
      </c>
      <c r="I106">
        <f t="shared" ca="1" si="17"/>
      </c>
      <c r="J106" s="257">
        <f t="shared" ca="1" si="18"/>
      </c>
      <c r="M106">
        <f t="array" aca="1" ref="M106" ca="1">IFERROR(SMALL(IF(INDIRECT($Z$1&amp;"$P$5:$P$304")=1,ROW(INDIRECT($Z$1&amp;"$A$5:$A$304"))-ROW(INDIRECT($Z$1&amp;"$A$5"))+1),91),"")</f>
      </c>
    </row>
    <row r="107" spans="2:13" x14ac:dyDescent="0.25">
      <c r="B107" s="278">
        <f t="shared" ca="1" si="10"/>
      </c>
      <c r="C107" s="279">
        <f t="shared" ca="1" si="11"/>
      </c>
      <c r="D107">
        <f t="shared" ca="1" si="12"/>
      </c>
      <c r="E107" s="257">
        <f t="shared" ca="1" si="13"/>
      </c>
      <c r="F107" s="122">
        <f t="shared" ca="1" si="14"/>
      </c>
      <c r="G107" s="122">
        <f t="shared" ca="1" si="15"/>
      </c>
      <c r="H107" s="257">
        <f t="shared" ca="1" si="16"/>
      </c>
      <c r="I107">
        <f t="shared" ca="1" si="17"/>
      </c>
      <c r="J107" s="257">
        <f t="shared" ca="1" si="18"/>
      </c>
      <c r="M107">
        <f t="array" aca="1" ref="M107" ca="1">IFERROR(SMALL(IF(INDIRECT($Z$1&amp;"$P$5:$P$304")=1,ROW(INDIRECT($Z$1&amp;"$A$5:$A$304"))-ROW(INDIRECT($Z$1&amp;"$A$5"))+1),92),"")</f>
      </c>
    </row>
    <row r="108" spans="2:13" x14ac:dyDescent="0.25">
      <c r="B108" s="278">
        <f t="shared" ca="1" si="10"/>
      </c>
      <c r="C108" s="279">
        <f t="shared" ca="1" si="11"/>
      </c>
      <c r="D108">
        <f t="shared" ca="1" si="12"/>
      </c>
      <c r="E108" s="257">
        <f t="shared" ca="1" si="13"/>
      </c>
      <c r="F108" s="122">
        <f t="shared" ca="1" si="14"/>
      </c>
      <c r="G108" s="122">
        <f t="shared" ca="1" si="15"/>
      </c>
      <c r="H108" s="257">
        <f t="shared" ca="1" si="16"/>
      </c>
      <c r="I108">
        <f t="shared" ca="1" si="17"/>
      </c>
      <c r="J108" s="257">
        <f t="shared" ca="1" si="18"/>
      </c>
      <c r="M108">
        <f t="array" aca="1" ref="M108" ca="1">IFERROR(SMALL(IF(INDIRECT($Z$1&amp;"$P$5:$P$304")=1,ROW(INDIRECT($Z$1&amp;"$A$5:$A$304"))-ROW(INDIRECT($Z$1&amp;"$A$5"))+1),93),"")</f>
      </c>
    </row>
    <row r="109" spans="2:13" x14ac:dyDescent="0.25">
      <c r="B109" s="278">
        <f t="shared" ca="1" si="10"/>
      </c>
      <c r="C109" s="279">
        <f t="shared" ca="1" si="11"/>
      </c>
      <c r="D109">
        <f t="shared" ca="1" si="12"/>
      </c>
      <c r="E109" s="257">
        <f t="shared" ca="1" si="13"/>
      </c>
      <c r="F109" s="122">
        <f t="shared" ca="1" si="14"/>
      </c>
      <c r="G109" s="122">
        <f t="shared" ca="1" si="15"/>
      </c>
      <c r="H109" s="257">
        <f t="shared" ca="1" si="16"/>
      </c>
      <c r="I109">
        <f t="shared" ca="1" si="17"/>
      </c>
      <c r="J109" s="257">
        <f t="shared" ca="1" si="18"/>
      </c>
      <c r="M109">
        <f t="array" aca="1" ref="M109" ca="1">IFERROR(SMALL(IF(INDIRECT($Z$1&amp;"$P$5:$P$304")=1,ROW(INDIRECT($Z$1&amp;"$A$5:$A$304"))-ROW(INDIRECT($Z$1&amp;"$A$5"))+1),94),"")</f>
      </c>
    </row>
    <row r="110" spans="2:13" x14ac:dyDescent="0.25">
      <c r="B110" s="278">
        <f t="shared" ca="1" si="10"/>
      </c>
      <c r="C110" s="279">
        <f t="shared" ca="1" si="11"/>
      </c>
      <c r="D110">
        <f t="shared" ca="1" si="12"/>
      </c>
      <c r="E110" s="257">
        <f t="shared" ca="1" si="13"/>
      </c>
      <c r="F110" s="122">
        <f t="shared" ca="1" si="14"/>
      </c>
      <c r="G110" s="122">
        <f t="shared" ca="1" si="15"/>
      </c>
      <c r="H110" s="257">
        <f t="shared" ca="1" si="16"/>
      </c>
      <c r="I110">
        <f t="shared" ca="1" si="17"/>
      </c>
      <c r="J110" s="257">
        <f t="shared" ca="1" si="18"/>
      </c>
      <c r="M110">
        <f t="array" aca="1" ref="M110" ca="1">IFERROR(SMALL(IF(INDIRECT($Z$1&amp;"$P$5:$P$304")=1,ROW(INDIRECT($Z$1&amp;"$A$5:$A$304"))-ROW(INDIRECT($Z$1&amp;"$A$5"))+1),95),"")</f>
      </c>
    </row>
    <row r="111" spans="2:13" x14ac:dyDescent="0.25">
      <c r="B111" s="278">
        <f t="shared" ca="1" si="10"/>
      </c>
      <c r="C111" s="279">
        <f t="shared" ca="1" si="11"/>
      </c>
      <c r="D111">
        <f t="shared" ca="1" si="12"/>
      </c>
      <c r="E111" s="257">
        <f t="shared" ca="1" si="13"/>
      </c>
      <c r="F111" s="122">
        <f t="shared" ca="1" si="14"/>
      </c>
      <c r="G111" s="122">
        <f t="shared" ca="1" si="15"/>
      </c>
      <c r="H111" s="257">
        <f t="shared" ca="1" si="16"/>
      </c>
      <c r="I111">
        <f t="shared" ca="1" si="17"/>
      </c>
      <c r="J111" s="257">
        <f t="shared" ca="1" si="18"/>
      </c>
      <c r="M111">
        <f t="array" aca="1" ref="M111" ca="1">IFERROR(SMALL(IF(INDIRECT($Z$1&amp;"$P$5:$P$304")=1,ROW(INDIRECT($Z$1&amp;"$A$5:$A$304"))-ROW(INDIRECT($Z$1&amp;"$A$5"))+1),96),"")</f>
      </c>
    </row>
    <row r="112" spans="2:13" x14ac:dyDescent="0.25">
      <c r="B112" s="278">
        <f t="shared" ca="1" si="10"/>
      </c>
      <c r="C112" s="279">
        <f t="shared" ca="1" si="11"/>
      </c>
      <c r="D112">
        <f t="shared" ca="1" si="12"/>
      </c>
      <c r="E112" s="257">
        <f t="shared" ca="1" si="13"/>
      </c>
      <c r="F112" s="122">
        <f t="shared" ca="1" si="14"/>
      </c>
      <c r="G112" s="122">
        <f t="shared" ca="1" si="15"/>
      </c>
      <c r="H112" s="257">
        <f t="shared" ca="1" si="16"/>
      </c>
      <c r="I112">
        <f t="shared" ca="1" si="17"/>
      </c>
      <c r="J112" s="257">
        <f t="shared" ca="1" si="18"/>
      </c>
      <c r="M112">
        <f t="array" aca="1" ref="M112" ca="1">IFERROR(SMALL(IF(INDIRECT($Z$1&amp;"$P$5:$P$304")=1,ROW(INDIRECT($Z$1&amp;"$A$5:$A$304"))-ROW(INDIRECT($Z$1&amp;"$A$5"))+1),97),"")</f>
      </c>
    </row>
    <row r="113" spans="2:13" x14ac:dyDescent="0.25">
      <c r="B113" s="278">
        <f t="shared" ca="1" si="10"/>
      </c>
      <c r="C113" s="279">
        <f t="shared" ca="1" si="11"/>
      </c>
      <c r="D113">
        <f t="shared" ca="1" si="12"/>
      </c>
      <c r="E113" s="257">
        <f t="shared" ca="1" si="13"/>
      </c>
      <c r="F113" s="122">
        <f t="shared" ca="1" si="14"/>
      </c>
      <c r="G113" s="122">
        <f t="shared" ca="1" si="15"/>
      </c>
      <c r="H113" s="257">
        <f t="shared" ca="1" si="16"/>
      </c>
      <c r="I113">
        <f t="shared" ca="1" si="17"/>
      </c>
      <c r="J113" s="257">
        <f t="shared" ca="1" si="18"/>
      </c>
      <c r="M113">
        <f t="array" aca="1" ref="M113" ca="1">IFERROR(SMALL(IF(INDIRECT($Z$1&amp;"$P$5:$P$304")=1,ROW(INDIRECT($Z$1&amp;"$A$5:$A$304"))-ROW(INDIRECT($Z$1&amp;"$A$5"))+1),98),"")</f>
      </c>
    </row>
    <row r="114" spans="2:13" x14ac:dyDescent="0.25">
      <c r="B114" s="278">
        <f t="shared" ca="1" si="10"/>
      </c>
      <c r="C114" s="279">
        <f t="shared" ca="1" si="11"/>
      </c>
      <c r="D114">
        <f t="shared" ca="1" si="12"/>
      </c>
      <c r="E114" s="257">
        <f t="shared" ca="1" si="13"/>
      </c>
      <c r="F114" s="122">
        <f t="shared" ca="1" si="14"/>
      </c>
      <c r="G114" s="122">
        <f t="shared" ca="1" si="15"/>
      </c>
      <c r="H114" s="257">
        <f t="shared" ca="1" si="16"/>
      </c>
      <c r="I114">
        <f t="shared" ca="1" si="17"/>
      </c>
      <c r="J114" s="257">
        <f t="shared" ca="1" si="18"/>
      </c>
      <c r="M114">
        <f t="array" aca="1" ref="M114" ca="1">IFERROR(SMALL(IF(INDIRECT($Z$1&amp;"$P$5:$P$304")=1,ROW(INDIRECT($Z$1&amp;"$A$5:$A$304"))-ROW(INDIRECT($Z$1&amp;"$A$5"))+1),99),"")</f>
      </c>
    </row>
    <row r="115" spans="2:13" x14ac:dyDescent="0.25">
      <c r="B115" s="278">
        <f t="shared" ca="1" si="10"/>
      </c>
      <c r="C115" s="279">
        <f t="shared" ca="1" si="11"/>
      </c>
      <c r="D115">
        <f t="shared" ca="1" si="12"/>
      </c>
      <c r="E115" s="257">
        <f t="shared" ca="1" si="13"/>
      </c>
      <c r="F115" s="122">
        <f t="shared" ca="1" si="14"/>
      </c>
      <c r="G115" s="122">
        <f t="shared" ca="1" si="15"/>
      </c>
      <c r="H115" s="257">
        <f t="shared" ca="1" si="16"/>
      </c>
      <c r="I115">
        <f t="shared" ca="1" si="17"/>
      </c>
      <c r="J115" s="257">
        <f t="shared" ca="1" si="18"/>
      </c>
      <c r="M115">
        <f t="array" aca="1" ref="M115" ca="1">IFERROR(SMALL(IF(INDIRECT($Z$1&amp;"$P$5:$P$304")=1,ROW(INDIRECT($Z$1&amp;"$A$5:$A$304"))-ROW(INDIRECT($Z$1&amp;"$A$5"))+1),100),"")</f>
      </c>
    </row>
    <row r="116" spans="2:13" x14ac:dyDescent="0.25">
      <c r="B116" s="278">
        <f t="shared" ca="1" si="10"/>
      </c>
      <c r="C116" s="279">
        <f t="shared" ca="1" si="11"/>
      </c>
      <c r="D116">
        <f t="shared" ca="1" si="12"/>
      </c>
      <c r="E116" s="257">
        <f t="shared" ca="1" si="13"/>
      </c>
      <c r="F116" s="122">
        <f t="shared" ca="1" si="14"/>
      </c>
      <c r="G116" s="122">
        <f t="shared" ca="1" si="15"/>
      </c>
      <c r="H116" s="257">
        <f t="shared" ca="1" si="16"/>
      </c>
      <c r="I116">
        <f t="shared" ca="1" si="17"/>
      </c>
      <c r="J116" s="257">
        <f t="shared" ca="1" si="18"/>
      </c>
      <c r="M116">
        <f t="array" aca="1" ref="M116" ca="1">IFERROR(SMALL(IF(INDIRECT($Z$1&amp;"$P$5:$P$304")=1,ROW(INDIRECT($Z$1&amp;"$A$5:$A$304"))-ROW(INDIRECT($Z$1&amp;"$A$5"))+1),101),"")</f>
      </c>
    </row>
    <row r="117" spans="2:13" x14ac:dyDescent="0.25">
      <c r="B117" s="278">
        <f t="shared" ca="1" si="10"/>
      </c>
      <c r="C117" s="279">
        <f t="shared" ca="1" si="11"/>
      </c>
      <c r="D117">
        <f t="shared" ca="1" si="12"/>
      </c>
      <c r="E117" s="257">
        <f t="shared" ca="1" si="13"/>
      </c>
      <c r="F117" s="122">
        <f t="shared" ca="1" si="14"/>
      </c>
      <c r="G117" s="122">
        <f t="shared" ca="1" si="15"/>
      </c>
      <c r="H117" s="257">
        <f t="shared" ca="1" si="16"/>
      </c>
      <c r="I117">
        <f t="shared" ca="1" si="17"/>
      </c>
      <c r="J117" s="257">
        <f t="shared" ca="1" si="18"/>
      </c>
      <c r="M117">
        <f t="array" aca="1" ref="M117" ca="1">IFERROR(SMALL(IF(INDIRECT($Z$1&amp;"$P$5:$P$304")=1,ROW(INDIRECT($Z$1&amp;"$A$5:$A$304"))-ROW(INDIRECT($Z$1&amp;"$A$5"))+1),102),"")</f>
      </c>
    </row>
    <row r="118" spans="2:13" x14ac:dyDescent="0.25">
      <c r="B118" s="278">
        <f t="shared" ca="1" si="10"/>
      </c>
      <c r="C118" s="279">
        <f t="shared" ca="1" si="11"/>
      </c>
      <c r="D118">
        <f t="shared" ca="1" si="12"/>
      </c>
      <c r="E118" s="257">
        <f t="shared" ca="1" si="13"/>
      </c>
      <c r="F118" s="122">
        <f t="shared" ca="1" si="14"/>
      </c>
      <c r="G118" s="122">
        <f t="shared" ca="1" si="15"/>
      </c>
      <c r="H118" s="257">
        <f t="shared" ca="1" si="16"/>
      </c>
      <c r="I118">
        <f t="shared" ca="1" si="17"/>
      </c>
      <c r="J118" s="257">
        <f t="shared" ca="1" si="18"/>
      </c>
      <c r="M118">
        <f t="array" aca="1" ref="M118" ca="1">IFERROR(SMALL(IF(INDIRECT($Z$1&amp;"$P$5:$P$304")=1,ROW(INDIRECT($Z$1&amp;"$A$5:$A$304"))-ROW(INDIRECT($Z$1&amp;"$A$5"))+1),103),"")</f>
      </c>
    </row>
    <row r="119" spans="2:13" x14ac:dyDescent="0.25">
      <c r="B119" s="278">
        <f t="shared" ca="1" si="10"/>
      </c>
      <c r="C119" s="279">
        <f t="shared" ca="1" si="11"/>
      </c>
      <c r="D119">
        <f t="shared" ca="1" si="12"/>
      </c>
      <c r="E119" s="257">
        <f t="shared" ca="1" si="13"/>
      </c>
      <c r="F119" s="122">
        <f t="shared" ca="1" si="14"/>
      </c>
      <c r="G119" s="122">
        <f t="shared" ca="1" si="15"/>
      </c>
      <c r="H119" s="257">
        <f t="shared" ca="1" si="16"/>
      </c>
      <c r="I119">
        <f t="shared" ca="1" si="17"/>
      </c>
      <c r="J119" s="257">
        <f t="shared" ca="1" si="18"/>
      </c>
      <c r="M119">
        <f t="array" aca="1" ref="M119" ca="1">IFERROR(SMALL(IF(INDIRECT($Z$1&amp;"$P$5:$P$304")=1,ROW(INDIRECT($Z$1&amp;"$A$5:$A$304"))-ROW(INDIRECT($Z$1&amp;"$A$5"))+1),104),"")</f>
      </c>
    </row>
    <row r="120" spans="2:13" x14ac:dyDescent="0.25">
      <c r="B120" s="278">
        <f t="shared" ca="1" si="10"/>
      </c>
      <c r="C120" s="279">
        <f t="shared" ca="1" si="11"/>
      </c>
      <c r="D120">
        <f t="shared" ca="1" si="12"/>
      </c>
      <c r="E120" s="257">
        <f t="shared" ca="1" si="13"/>
      </c>
      <c r="F120" s="122">
        <f t="shared" ca="1" si="14"/>
      </c>
      <c r="G120" s="122">
        <f t="shared" ca="1" si="15"/>
      </c>
      <c r="H120" s="257">
        <f t="shared" ca="1" si="16"/>
      </c>
      <c r="I120">
        <f t="shared" ca="1" si="17"/>
      </c>
      <c r="J120" s="257">
        <f t="shared" ca="1" si="18"/>
      </c>
      <c r="M120">
        <f t="array" aca="1" ref="M120" ca="1">IFERROR(SMALL(IF(INDIRECT($Z$1&amp;"$P$5:$P$304")=1,ROW(INDIRECT($Z$1&amp;"$A$5:$A$304"))-ROW(INDIRECT($Z$1&amp;"$A$5"))+1),105),"")</f>
      </c>
    </row>
    <row r="121" spans="2:13" x14ac:dyDescent="0.25">
      <c r="B121" s="278">
        <f t="shared" ca="1" si="10"/>
      </c>
      <c r="C121" s="279">
        <f t="shared" ca="1" si="11"/>
      </c>
      <c r="D121">
        <f t="shared" ca="1" si="12"/>
      </c>
      <c r="E121" s="257">
        <f t="shared" ca="1" si="13"/>
      </c>
      <c r="F121" s="122">
        <f t="shared" ca="1" si="14"/>
      </c>
      <c r="G121" s="122">
        <f t="shared" ca="1" si="15"/>
      </c>
      <c r="H121" s="257">
        <f t="shared" ca="1" si="16"/>
      </c>
      <c r="I121">
        <f t="shared" ca="1" si="17"/>
      </c>
      <c r="J121" s="257">
        <f t="shared" ca="1" si="18"/>
      </c>
      <c r="M121">
        <f t="array" aca="1" ref="M121" ca="1">IFERROR(SMALL(IF(INDIRECT($Z$1&amp;"$P$5:$P$304")=1,ROW(INDIRECT($Z$1&amp;"$A$5:$A$304"))-ROW(INDIRECT($Z$1&amp;"$A$5"))+1),106),"")</f>
      </c>
    </row>
    <row r="122" spans="2:13" x14ac:dyDescent="0.25">
      <c r="B122" s="278">
        <f t="shared" ca="1" si="10"/>
      </c>
      <c r="C122" s="279">
        <f t="shared" ca="1" si="11"/>
      </c>
      <c r="D122">
        <f t="shared" ca="1" si="12"/>
      </c>
      <c r="E122" s="257">
        <f t="shared" ca="1" si="13"/>
      </c>
      <c r="F122" s="122">
        <f t="shared" ca="1" si="14"/>
      </c>
      <c r="G122" s="122">
        <f t="shared" ca="1" si="15"/>
      </c>
      <c r="H122" s="257">
        <f t="shared" ca="1" si="16"/>
      </c>
      <c r="I122">
        <f t="shared" ca="1" si="17"/>
      </c>
      <c r="J122" s="257">
        <f t="shared" ca="1" si="18"/>
      </c>
      <c r="M122">
        <f t="array" aca="1" ref="M122" ca="1">IFERROR(SMALL(IF(INDIRECT($Z$1&amp;"$P$5:$P$304")=1,ROW(INDIRECT($Z$1&amp;"$A$5:$A$304"))-ROW(INDIRECT($Z$1&amp;"$A$5"))+1),107),"")</f>
      </c>
    </row>
    <row r="123" spans="2:13" x14ac:dyDescent="0.25">
      <c r="B123" s="278">
        <f t="shared" ca="1" si="10"/>
      </c>
      <c r="C123" s="279">
        <f t="shared" ca="1" si="11"/>
      </c>
      <c r="D123">
        <f t="shared" ca="1" si="12"/>
      </c>
      <c r="E123" s="257">
        <f t="shared" ca="1" si="13"/>
      </c>
      <c r="F123" s="122">
        <f t="shared" ca="1" si="14"/>
      </c>
      <c r="G123" s="122">
        <f t="shared" ca="1" si="15"/>
      </c>
      <c r="H123" s="257">
        <f t="shared" ca="1" si="16"/>
      </c>
      <c r="I123">
        <f t="shared" ca="1" si="17"/>
      </c>
      <c r="J123" s="257">
        <f t="shared" ca="1" si="18"/>
      </c>
      <c r="M123">
        <f t="array" aca="1" ref="M123" ca="1">IFERROR(SMALL(IF(INDIRECT($Z$1&amp;"$P$5:$P$304")=1,ROW(INDIRECT($Z$1&amp;"$A$5:$A$304"))-ROW(INDIRECT($Z$1&amp;"$A$5"))+1),108),"")</f>
      </c>
    </row>
    <row r="124" spans="2:13" x14ac:dyDescent="0.25">
      <c r="B124" s="278">
        <f t="shared" ca="1" si="10"/>
      </c>
      <c r="C124" s="279">
        <f t="shared" ca="1" si="11"/>
      </c>
      <c r="D124">
        <f t="shared" ca="1" si="12"/>
      </c>
      <c r="E124" s="257">
        <f t="shared" ca="1" si="13"/>
      </c>
      <c r="F124" s="122">
        <f t="shared" ca="1" si="14"/>
      </c>
      <c r="G124" s="122">
        <f t="shared" ca="1" si="15"/>
      </c>
      <c r="H124" s="257">
        <f t="shared" ca="1" si="16"/>
      </c>
      <c r="I124">
        <f t="shared" ca="1" si="17"/>
      </c>
      <c r="J124" s="257">
        <f t="shared" ca="1" si="18"/>
      </c>
      <c r="M124">
        <f t="array" aca="1" ref="M124" ca="1">IFERROR(SMALL(IF(INDIRECT($Z$1&amp;"$P$5:$P$304")=1,ROW(INDIRECT($Z$1&amp;"$A$5:$A$304"))-ROW(INDIRECT($Z$1&amp;"$A$5"))+1),109),"")</f>
      </c>
    </row>
    <row r="125" spans="2:13" x14ac:dyDescent="0.25">
      <c r="B125" s="278">
        <f t="shared" ca="1" si="10"/>
      </c>
      <c r="C125" s="279">
        <f t="shared" ca="1" si="11"/>
      </c>
      <c r="D125">
        <f t="shared" ca="1" si="12"/>
      </c>
      <c r="E125" s="257">
        <f t="shared" ca="1" si="13"/>
      </c>
      <c r="F125" s="122">
        <f t="shared" ca="1" si="14"/>
      </c>
      <c r="G125" s="122">
        <f t="shared" ca="1" si="15"/>
      </c>
      <c r="H125" s="257">
        <f t="shared" ca="1" si="16"/>
      </c>
      <c r="I125">
        <f t="shared" ca="1" si="17"/>
      </c>
      <c r="J125" s="257">
        <f t="shared" ca="1" si="18"/>
      </c>
      <c r="M125">
        <f t="array" aca="1" ref="M125" ca="1">IFERROR(SMALL(IF(INDIRECT($Z$1&amp;"$P$5:$P$304")=1,ROW(INDIRECT($Z$1&amp;"$A$5:$A$304"))-ROW(INDIRECT($Z$1&amp;"$A$5"))+1),110),"")</f>
      </c>
    </row>
    <row r="126" spans="2:13" x14ac:dyDescent="0.25">
      <c r="B126" s="278">
        <f t="shared" ca="1" si="10"/>
      </c>
      <c r="C126" s="279">
        <f t="shared" ca="1" si="11"/>
      </c>
      <c r="D126">
        <f t="shared" ca="1" si="12"/>
      </c>
      <c r="E126">
        <f t="shared" ca="1" si="13"/>
      </c>
      <c r="F126">
        <f t="shared" ca="1" si="14"/>
      </c>
      <c r="G126" s="122">
        <f t="shared" ca="1" si="15"/>
      </c>
      <c r="H126" s="257">
        <f t="shared" ca="1" si="16"/>
      </c>
      <c r="I126">
        <f t="shared" ca="1" si="17"/>
      </c>
      <c r="J126">
        <f t="shared" ca="1" si="18"/>
      </c>
      <c r="M126">
        <f t="array" aca="1" ref="M126" ca="1">IFERROR(SMALL(IF(INDIRECT($Z$1&amp;"$P$5:$P$304")=1,ROW(INDIRECT($Z$1&amp;"$A$5:$A$304"))-ROW(INDIRECT($Z$1&amp;"$A$5"))+1),111),"")</f>
      </c>
    </row>
    <row r="127" spans="2:13" x14ac:dyDescent="0.25">
      <c r="B127" s="278">
        <f t="shared" ca="1" si="10"/>
      </c>
      <c r="C127" s="279">
        <f t="shared" ca="1" si="11"/>
      </c>
      <c r="D127">
        <f t="shared" ca="1" si="12"/>
      </c>
      <c r="E127">
        <f t="shared" ca="1" si="13"/>
      </c>
      <c r="F127">
        <f t="shared" ca="1" si="14"/>
      </c>
      <c r="G127" s="122">
        <f t="shared" ca="1" si="15"/>
      </c>
      <c r="H127" s="257">
        <f t="shared" ca="1" si="16"/>
      </c>
      <c r="I127">
        <f t="shared" ca="1" si="17"/>
      </c>
      <c r="J127">
        <f t="shared" ca="1" si="18"/>
      </c>
      <c r="M127">
        <f t="array" aca="1" ref="M127" ca="1">IFERROR(SMALL(IF(INDIRECT($Z$1&amp;"$P$5:$P$304")=1,ROW(INDIRECT($Z$1&amp;"$A$5:$A$304"))-ROW(INDIRECT($Z$1&amp;"$A$5"))+1),112),"")</f>
      </c>
    </row>
    <row r="128" spans="2:13" x14ac:dyDescent="0.25">
      <c r="B128" s="278">
        <f t="shared" ca="1" si="10"/>
      </c>
      <c r="C128" s="279">
        <f t="shared" ca="1" si="11"/>
      </c>
      <c r="D128">
        <f t="shared" ca="1" si="12"/>
      </c>
      <c r="E128">
        <f t="shared" ca="1" si="13"/>
      </c>
      <c r="F128">
        <f t="shared" ca="1" si="14"/>
      </c>
      <c r="G128" s="122">
        <f t="shared" ca="1" si="15"/>
      </c>
      <c r="H128" s="257">
        <f t="shared" ca="1" si="16"/>
      </c>
      <c r="I128">
        <f t="shared" ca="1" si="17"/>
      </c>
      <c r="J128">
        <f t="shared" ca="1" si="18"/>
      </c>
      <c r="M128">
        <f t="array" aca="1" ref="M128" ca="1">IFERROR(SMALL(IF(INDIRECT($Z$1&amp;"$P$5:$P$304")=1,ROW(INDIRECT($Z$1&amp;"$A$5:$A$304"))-ROW(INDIRECT($Z$1&amp;"$A$5"))+1),113),"")</f>
      </c>
    </row>
    <row r="129" spans="2:13" x14ac:dyDescent="0.25">
      <c r="B129" s="278">
        <f t="shared" ca="1" si="10"/>
      </c>
      <c r="C129" s="279">
        <f t="shared" ca="1" si="11"/>
      </c>
      <c r="D129">
        <f t="shared" ca="1" si="12"/>
      </c>
      <c r="E129">
        <f t="shared" ca="1" si="13"/>
      </c>
      <c r="F129">
        <f t="shared" ca="1" si="14"/>
      </c>
      <c r="G129" s="122">
        <f t="shared" ca="1" si="15"/>
      </c>
      <c r="H129" s="257">
        <f t="shared" ca="1" si="16"/>
      </c>
      <c r="I129">
        <f t="shared" ca="1" si="17"/>
      </c>
      <c r="J129">
        <f t="shared" ca="1" si="18"/>
      </c>
      <c r="M129">
        <f t="array" aca="1" ref="M129" ca="1">IFERROR(SMALL(IF(INDIRECT($Z$1&amp;"$P$5:$P$304")=1,ROW(INDIRECT($Z$1&amp;"$A$5:$A$304"))-ROW(INDIRECT($Z$1&amp;"$A$5"))+1),114),"")</f>
      </c>
    </row>
    <row r="130" spans="2:13" x14ac:dyDescent="0.25">
      <c r="B130" s="278">
        <f t="shared" ca="1" si="10"/>
      </c>
      <c r="C130" s="279">
        <f t="shared" ca="1" si="11"/>
      </c>
      <c r="D130">
        <f t="shared" ca="1" si="12"/>
      </c>
      <c r="E130">
        <f t="shared" ca="1" si="13"/>
      </c>
      <c r="F130">
        <f t="shared" ca="1" si="14"/>
      </c>
      <c r="G130" s="122">
        <f t="shared" ca="1" si="15"/>
      </c>
      <c r="H130" s="257">
        <f t="shared" ca="1" si="16"/>
      </c>
      <c r="I130">
        <f t="shared" ca="1" si="17"/>
      </c>
      <c r="J130">
        <f t="shared" ca="1" si="18"/>
      </c>
      <c r="M130">
        <f t="array" aca="1" ref="M130" ca="1">IFERROR(SMALL(IF(INDIRECT($Z$1&amp;"$P$5:$P$304")=1,ROW(INDIRECT($Z$1&amp;"$A$5:$A$304"))-ROW(INDIRECT($Z$1&amp;"$A$5"))+1),115),"")</f>
      </c>
    </row>
    <row r="131" spans="2:13" x14ac:dyDescent="0.25">
      <c r="B131" s="278">
        <f t="shared" ca="1" si="10"/>
      </c>
      <c r="C131" s="279">
        <f t="shared" ca="1" si="11"/>
      </c>
      <c r="D131">
        <f t="shared" ca="1" si="12"/>
      </c>
      <c r="E131">
        <f t="shared" ca="1" si="13"/>
      </c>
      <c r="F131">
        <f t="shared" ca="1" si="14"/>
      </c>
      <c r="G131" s="122">
        <f t="shared" ca="1" si="15"/>
      </c>
      <c r="H131" s="257">
        <f t="shared" ca="1" si="16"/>
      </c>
      <c r="I131">
        <f t="shared" ca="1" si="17"/>
      </c>
      <c r="J131">
        <f t="shared" ca="1" si="18"/>
      </c>
      <c r="M131">
        <f t="array" aca="1" ref="M131" ca="1">IFERROR(SMALL(IF(INDIRECT($Z$1&amp;"$P$5:$P$304")=1,ROW(INDIRECT($Z$1&amp;"$A$5:$A$304"))-ROW(INDIRECT($Z$1&amp;"$A$5"))+1),116),"")</f>
      </c>
    </row>
    <row r="132" spans="2:13" x14ac:dyDescent="0.25">
      <c r="B132" s="278">
        <f t="shared" ca="1" si="10"/>
      </c>
      <c r="C132" s="279">
        <f t="shared" ca="1" si="11"/>
      </c>
      <c r="D132">
        <f t="shared" ca="1" si="12"/>
      </c>
      <c r="E132">
        <f t="shared" ca="1" si="13"/>
      </c>
      <c r="F132">
        <f t="shared" ca="1" si="14"/>
      </c>
      <c r="G132" s="122">
        <f t="shared" ca="1" si="15"/>
      </c>
      <c r="H132" s="257">
        <f t="shared" ca="1" si="16"/>
      </c>
      <c r="I132">
        <f t="shared" ca="1" si="17"/>
      </c>
      <c r="J132">
        <f t="shared" ca="1" si="18"/>
      </c>
      <c r="M132">
        <f t="array" aca="1" ref="M132" ca="1">IFERROR(SMALL(IF(INDIRECT($Z$1&amp;"$P$5:$P$304")=1,ROW(INDIRECT($Z$1&amp;"$A$5:$A$304"))-ROW(INDIRECT($Z$1&amp;"$A$5"))+1),117),"")</f>
      </c>
    </row>
    <row r="133" spans="2:13" x14ac:dyDescent="0.25">
      <c r="B133" s="278">
        <f t="shared" ca="1" si="10"/>
      </c>
      <c r="C133" s="279">
        <f t="shared" ca="1" si="11"/>
      </c>
      <c r="D133">
        <f t="shared" ca="1" si="12"/>
      </c>
      <c r="E133">
        <f t="shared" ca="1" si="13"/>
      </c>
      <c r="F133">
        <f t="shared" ca="1" si="14"/>
      </c>
      <c r="G133" s="122">
        <f t="shared" ca="1" si="15"/>
      </c>
      <c r="H133" s="257">
        <f t="shared" ca="1" si="16"/>
      </c>
      <c r="I133">
        <f t="shared" ca="1" si="17"/>
      </c>
      <c r="J133">
        <f t="shared" ca="1" si="18"/>
      </c>
      <c r="M133">
        <f t="array" aca="1" ref="M133" ca="1">IFERROR(SMALL(IF(INDIRECT($Z$1&amp;"$P$5:$P$304")=1,ROW(INDIRECT($Z$1&amp;"$A$5:$A$304"))-ROW(INDIRECT($Z$1&amp;"$A$5"))+1),118),"")</f>
      </c>
    </row>
    <row r="134" spans="2:13" x14ac:dyDescent="0.25">
      <c r="B134" s="278">
        <f t="shared" ca="1" si="10"/>
      </c>
      <c r="C134" s="279">
        <f t="shared" ca="1" si="11"/>
      </c>
      <c r="D134">
        <f t="shared" ca="1" si="12"/>
      </c>
      <c r="E134">
        <f t="shared" ca="1" si="13"/>
      </c>
      <c r="F134">
        <f t="shared" ca="1" si="14"/>
      </c>
      <c r="G134" s="122">
        <f t="shared" ca="1" si="15"/>
      </c>
      <c r="H134" s="257">
        <f t="shared" ca="1" si="16"/>
      </c>
      <c r="I134">
        <f t="shared" ca="1" si="17"/>
      </c>
      <c r="J134">
        <f t="shared" ca="1" si="18"/>
      </c>
      <c r="M134">
        <f t="array" aca="1" ref="M134" ca="1">IFERROR(SMALL(IF(INDIRECT($Z$1&amp;"$P$5:$P$304")=1,ROW(INDIRECT($Z$1&amp;"$A$5:$A$304"))-ROW(INDIRECT($Z$1&amp;"$A$5"))+1),119),"")</f>
      </c>
    </row>
    <row r="135" spans="2:13" x14ac:dyDescent="0.25">
      <c r="B135" s="278">
        <f t="shared" ca="1" si="10"/>
      </c>
      <c r="C135" s="279">
        <f t="shared" ca="1" si="11"/>
      </c>
      <c r="D135">
        <f t="shared" ca="1" si="12"/>
      </c>
      <c r="E135">
        <f t="shared" ca="1" si="13"/>
      </c>
      <c r="F135">
        <f t="shared" ca="1" si="14"/>
      </c>
      <c r="G135" s="122">
        <f t="shared" ca="1" si="15"/>
      </c>
      <c r="H135" s="257">
        <f t="shared" ca="1" si="16"/>
      </c>
      <c r="I135">
        <f t="shared" ca="1" si="17"/>
      </c>
      <c r="J135">
        <f t="shared" ca="1" si="18"/>
      </c>
      <c r="M135">
        <f t="array" aca="1" ref="M135" ca="1">IFERROR(SMALL(IF(INDIRECT($Z$1&amp;"$P$5:$P$304")=1,ROW(INDIRECT($Z$1&amp;"$A$5:$A$304"))-ROW(INDIRECT($Z$1&amp;"$A$5"))+1),120),"")</f>
      </c>
    </row>
    <row r="136" spans="2:13" x14ac:dyDescent="0.25">
      <c r="B136" s="278">
        <f t="shared" ca="1" si="10"/>
      </c>
      <c r="C136" s="279">
        <f t="shared" ca="1" si="11"/>
      </c>
      <c r="D136">
        <f t="shared" ca="1" si="12"/>
      </c>
      <c r="E136">
        <f t="shared" ca="1" si="13"/>
      </c>
      <c r="F136">
        <f t="shared" ca="1" si="14"/>
      </c>
      <c r="G136" s="122">
        <f t="shared" ca="1" si="15"/>
      </c>
      <c r="H136" s="257">
        <f t="shared" ca="1" si="16"/>
      </c>
      <c r="I136">
        <f t="shared" ca="1" si="17"/>
      </c>
      <c r="J136">
        <f t="shared" ca="1" si="18"/>
      </c>
      <c r="M136">
        <f t="array" aca="1" ref="M136" ca="1">IFERROR(SMALL(IF(INDIRECT($Z$1&amp;"$P$5:$P$304")=1,ROW(INDIRECT($Z$1&amp;"$A$5:$A$304"))-ROW(INDIRECT($Z$1&amp;"$A$5"))+1),121),"")</f>
      </c>
    </row>
    <row r="137" spans="2:13" x14ac:dyDescent="0.25">
      <c r="B137" s="278">
        <f t="shared" ca="1" si="10"/>
      </c>
      <c r="C137" s="279">
        <f t="shared" ca="1" si="11"/>
      </c>
      <c r="D137">
        <f t="shared" ca="1" si="12"/>
      </c>
      <c r="E137">
        <f t="shared" ca="1" si="13"/>
      </c>
      <c r="F137">
        <f t="shared" ca="1" si="14"/>
      </c>
      <c r="G137" s="122">
        <f t="shared" ca="1" si="15"/>
      </c>
      <c r="H137" s="257">
        <f t="shared" ca="1" si="16"/>
      </c>
      <c r="I137">
        <f t="shared" ca="1" si="17"/>
      </c>
      <c r="J137">
        <f t="shared" ca="1" si="18"/>
      </c>
      <c r="M137">
        <f t="array" aca="1" ref="M137" ca="1">IFERROR(SMALL(IF(INDIRECT($Z$1&amp;"$P$5:$P$304")=1,ROW(INDIRECT($Z$1&amp;"$A$5:$A$304"))-ROW(INDIRECT($Z$1&amp;"$A$5"))+1),122),"")</f>
      </c>
    </row>
    <row r="138" spans="2:13" x14ac:dyDescent="0.25">
      <c r="B138" s="278">
        <f t="shared" ca="1" si="10"/>
      </c>
      <c r="C138" s="279">
        <f t="shared" ca="1" si="11"/>
      </c>
      <c r="D138">
        <f t="shared" ca="1" si="12"/>
      </c>
      <c r="E138">
        <f t="shared" ca="1" si="13"/>
      </c>
      <c r="F138">
        <f t="shared" ca="1" si="14"/>
      </c>
      <c r="G138" s="122">
        <f t="shared" ca="1" si="15"/>
      </c>
      <c r="H138" s="257">
        <f t="shared" ca="1" si="16"/>
      </c>
      <c r="I138">
        <f t="shared" ca="1" si="17"/>
      </c>
      <c r="J138">
        <f t="shared" ca="1" si="18"/>
      </c>
      <c r="M138">
        <f t="array" aca="1" ref="M138" ca="1">IFERROR(SMALL(IF(INDIRECT($Z$1&amp;"$P$5:$P$304")=1,ROW(INDIRECT($Z$1&amp;"$A$5:$A$304"))-ROW(INDIRECT($Z$1&amp;"$A$5"))+1),123),"")</f>
      </c>
    </row>
    <row r="139" spans="2:13" x14ac:dyDescent="0.25">
      <c r="B139" s="278">
        <f t="shared" ca="1" si="10"/>
      </c>
      <c r="C139" s="279">
        <f t="shared" ca="1" si="11"/>
      </c>
      <c r="D139">
        <f t="shared" ca="1" si="12"/>
      </c>
      <c r="E139">
        <f t="shared" ca="1" si="13"/>
      </c>
      <c r="F139">
        <f t="shared" ca="1" si="14"/>
      </c>
      <c r="G139" s="122">
        <f t="shared" ca="1" si="15"/>
      </c>
      <c r="H139" s="257">
        <f t="shared" ca="1" si="16"/>
      </c>
      <c r="I139">
        <f t="shared" ca="1" si="17"/>
      </c>
      <c r="J139">
        <f t="shared" ca="1" si="18"/>
      </c>
      <c r="M139">
        <f t="array" aca="1" ref="M139" ca="1">IFERROR(SMALL(IF(INDIRECT($Z$1&amp;"$P$5:$P$304")=1,ROW(INDIRECT($Z$1&amp;"$A$5:$A$304"))-ROW(INDIRECT($Z$1&amp;"$A$5"))+1),124),"")</f>
      </c>
    </row>
    <row r="140" spans="2:13" x14ac:dyDescent="0.25">
      <c r="B140" s="278">
        <f t="shared" ca="1" si="10"/>
      </c>
      <c r="C140" s="279">
        <f t="shared" ca="1" si="11"/>
      </c>
      <c r="D140">
        <f t="shared" ca="1" si="12"/>
      </c>
      <c r="E140">
        <f t="shared" ca="1" si="13"/>
      </c>
      <c r="F140">
        <f t="shared" ca="1" si="14"/>
      </c>
      <c r="G140" s="122">
        <f t="shared" ca="1" si="15"/>
      </c>
      <c r="H140">
        <f t="shared" ca="1" si="16"/>
      </c>
      <c r="I140">
        <f t="shared" ca="1" si="17"/>
      </c>
      <c r="J140">
        <f t="shared" ca="1" si="18"/>
      </c>
      <c r="M140">
        <f t="array" aca="1" ref="M140" ca="1">IFERROR(SMALL(IF(INDIRECT($Z$1&amp;"$P$5:$P$304")=1,ROW(INDIRECT($Z$1&amp;"$A$5:$A$304"))-ROW(INDIRECT($Z$1&amp;"$A$5"))+1),125),"")</f>
      </c>
    </row>
    <row r="141" spans="2:13" x14ac:dyDescent="0.25">
      <c r="B141" s="278">
        <f t="shared" ca="1" si="10"/>
      </c>
      <c r="C141" s="279">
        <f t="shared" ca="1" si="11"/>
      </c>
      <c r="D141">
        <f t="shared" ca="1" si="12"/>
      </c>
      <c r="E141">
        <f t="shared" ca="1" si="13"/>
      </c>
      <c r="F141">
        <f t="shared" ca="1" si="14"/>
      </c>
      <c r="G141" s="122">
        <f t="shared" ca="1" si="15"/>
      </c>
      <c r="H141">
        <f t="shared" ca="1" si="16"/>
      </c>
      <c r="I141">
        <f t="shared" ca="1" si="17"/>
      </c>
      <c r="J141">
        <f t="shared" ca="1" si="18"/>
      </c>
      <c r="M141">
        <f t="array" aca="1" ref="M141" ca="1">IFERROR(SMALL(IF(INDIRECT($Z$1&amp;"$P$5:$P$304")=1,ROW(INDIRECT($Z$1&amp;"$A$5:$A$304"))-ROW(INDIRECT($Z$1&amp;"$A$5"))+1),126),"")</f>
      </c>
    </row>
    <row r="142" spans="2:13" x14ac:dyDescent="0.25">
      <c r="B142" s="278">
        <f t="shared" ca="1" si="10"/>
      </c>
      <c r="C142" s="279">
        <f t="shared" ca="1" si="11"/>
      </c>
      <c r="D142">
        <f t="shared" ca="1" si="12"/>
      </c>
      <c r="E142">
        <f t="shared" ca="1" si="13"/>
      </c>
      <c r="F142">
        <f t="shared" ca="1" si="14"/>
      </c>
      <c r="G142" s="122">
        <f t="shared" ca="1" si="15"/>
      </c>
      <c r="H142">
        <f t="shared" ca="1" si="16"/>
      </c>
      <c r="I142">
        <f t="shared" ca="1" si="17"/>
      </c>
      <c r="J142">
        <f t="shared" ca="1" si="18"/>
      </c>
      <c r="M142">
        <f t="array" aca="1" ref="M142" ca="1">IFERROR(SMALL(IF(INDIRECT($Z$1&amp;"$P$5:$P$304")=1,ROW(INDIRECT($Z$1&amp;"$A$5:$A$304"))-ROW(INDIRECT($Z$1&amp;"$A$5"))+1),127),"")</f>
      </c>
    </row>
    <row r="143" spans="2:13" x14ac:dyDescent="0.25">
      <c r="B143" s="278">
        <f t="shared" ca="1" si="10"/>
      </c>
      <c r="C143" s="279">
        <f t="shared" ca="1" si="11"/>
      </c>
      <c r="D143">
        <f t="shared" ca="1" si="12"/>
      </c>
      <c r="E143">
        <f t="shared" ca="1" si="13"/>
      </c>
      <c r="F143">
        <f t="shared" ca="1" si="14"/>
      </c>
      <c r="G143" s="122">
        <f t="shared" ca="1" si="15"/>
      </c>
      <c r="H143">
        <f t="shared" ca="1" si="16"/>
      </c>
      <c r="I143">
        <f t="shared" ca="1" si="17"/>
      </c>
      <c r="J143">
        <f t="shared" ca="1" si="18"/>
      </c>
      <c r="M143">
        <f t="array" aca="1" ref="M143" ca="1">IFERROR(SMALL(IF(INDIRECT($Z$1&amp;"$P$5:$P$304")=1,ROW(INDIRECT($Z$1&amp;"$A$5:$A$304"))-ROW(INDIRECT($Z$1&amp;"$A$5"))+1),128),"")</f>
      </c>
    </row>
    <row r="144" spans="2:13" x14ac:dyDescent="0.25">
      <c r="B144" s="278">
        <f t="shared" ref="B144:B207" ca="1" si="19">IF($M144="","",INDEX(INDIRECT($Z$1&amp;"$A$5:$A$304"),$M144))</f>
      </c>
      <c r="C144" s="279">
        <f t="shared" ref="C144:C207" ca="1" si="20">IF($M144="","",INDEX(INDIRECT($Z$1&amp;"$B$5:$B$304"),$M144))</f>
      </c>
      <c r="D144">
        <f t="shared" ref="D144:D207" ca="1" si="21">IF($M144="","",INDEX(INDIRECT($Z$1&amp;"$C$5:$C$304"),$M144))</f>
      </c>
      <c r="E144">
        <f t="shared" ref="E144:E207" ca="1" si="22">IF($M144="","",INDEX(INDIRECT($Z$1&amp;"$E$5:$E$304"),$M144))</f>
      </c>
      <c r="F144">
        <f t="shared" ref="F144:F207" ca="1" si="23">IF($M144="","",INDEX(INDIRECT($Z$1&amp;"$F$5:$F$304"),$M144))</f>
      </c>
      <c r="G144">
        <f t="shared" ref="G144:G207" ca="1" si="24">IF($M144="","",INDEX(INDIRECT($Z$1&amp;"$G$5:$G$304"),$M144))</f>
      </c>
      <c r="H144">
        <f t="shared" ref="H144:H207" ca="1" si="25">IF($M144="","",INDEX(INDIRECT($Z$1&amp;"$H$5:$H$304"),$M144))</f>
      </c>
      <c r="I144">
        <f t="shared" ref="I144:I207" ca="1" si="26">IF($M144="","",INDEX(INDIRECT($Z$1&amp;"$I$5:$I$304"),$M144))</f>
      </c>
      <c r="J144">
        <f t="shared" ref="J144:J207" ca="1" si="27">IF($M144="","",INDEX(INDIRECT($Z$1&amp;"$J$5:$J$304"),$M144))</f>
      </c>
      <c r="M144">
        <f t="array" aca="1" ref="M144" ca="1">IFERROR(SMALL(IF(INDIRECT($Z$1&amp;"$P$5:$P$304")=1,ROW(INDIRECT($Z$1&amp;"$A$5:$A$304"))-ROW(INDIRECT($Z$1&amp;"$A$5"))+1),129),"")</f>
      </c>
    </row>
    <row r="145" spans="2:13" x14ac:dyDescent="0.25">
      <c r="B145" s="278">
        <f t="shared" ca="1" si="19"/>
      </c>
      <c r="C145" s="279">
        <f t="shared" ca="1" si="20"/>
      </c>
      <c r="D145">
        <f t="shared" ca="1" si="21"/>
      </c>
      <c r="E145">
        <f t="shared" ca="1" si="22"/>
      </c>
      <c r="F145">
        <f t="shared" ca="1" si="23"/>
      </c>
      <c r="G145">
        <f t="shared" ca="1" si="24"/>
      </c>
      <c r="H145">
        <f t="shared" ca="1" si="25"/>
      </c>
      <c r="I145">
        <f t="shared" ca="1" si="26"/>
      </c>
      <c r="J145">
        <f t="shared" ca="1" si="27"/>
      </c>
      <c r="M145">
        <f t="array" aca="1" ref="M145" ca="1">IFERROR(SMALL(IF(INDIRECT($Z$1&amp;"$P$5:$P$304")=1,ROW(INDIRECT($Z$1&amp;"$A$5:$A$304"))-ROW(INDIRECT($Z$1&amp;"$A$5"))+1),130),"")</f>
      </c>
    </row>
    <row r="146" spans="2:13" x14ac:dyDescent="0.25">
      <c r="B146" s="278">
        <f t="shared" ca="1" si="19"/>
      </c>
      <c r="C146" s="279">
        <f t="shared" ca="1" si="20"/>
      </c>
      <c r="D146">
        <f t="shared" ca="1" si="21"/>
      </c>
      <c r="E146">
        <f t="shared" ca="1" si="22"/>
      </c>
      <c r="F146">
        <f t="shared" ca="1" si="23"/>
      </c>
      <c r="G146">
        <f t="shared" ca="1" si="24"/>
      </c>
      <c r="H146">
        <f t="shared" ca="1" si="25"/>
      </c>
      <c r="I146">
        <f t="shared" ca="1" si="26"/>
      </c>
      <c r="J146">
        <f t="shared" ca="1" si="27"/>
      </c>
      <c r="M146">
        <f t="array" aca="1" ref="M146" ca="1">IFERROR(SMALL(IF(INDIRECT($Z$1&amp;"$P$5:$P$304")=1,ROW(INDIRECT($Z$1&amp;"$A$5:$A$304"))-ROW(INDIRECT($Z$1&amp;"$A$5"))+1),131),"")</f>
      </c>
    </row>
    <row r="147" spans="2:13" x14ac:dyDescent="0.25">
      <c r="B147" s="278">
        <f t="shared" ca="1" si="19"/>
      </c>
      <c r="C147" s="279">
        <f t="shared" ca="1" si="20"/>
      </c>
      <c r="D147">
        <f t="shared" ca="1" si="21"/>
      </c>
      <c r="E147">
        <f t="shared" ca="1" si="22"/>
      </c>
      <c r="F147">
        <f t="shared" ca="1" si="23"/>
      </c>
      <c r="G147">
        <f t="shared" ca="1" si="24"/>
      </c>
      <c r="H147">
        <f t="shared" ca="1" si="25"/>
      </c>
      <c r="I147">
        <f t="shared" ca="1" si="26"/>
      </c>
      <c r="J147">
        <f t="shared" ca="1" si="27"/>
      </c>
      <c r="M147">
        <f t="array" aca="1" ref="M147" ca="1">IFERROR(SMALL(IF(INDIRECT($Z$1&amp;"$P$5:$P$304")=1,ROW(INDIRECT($Z$1&amp;"$A$5:$A$304"))-ROW(INDIRECT($Z$1&amp;"$A$5"))+1),132),"")</f>
      </c>
    </row>
    <row r="148" spans="2:13" x14ac:dyDescent="0.25">
      <c r="B148" s="278">
        <f t="shared" ca="1" si="19"/>
      </c>
      <c r="C148" s="279">
        <f t="shared" ca="1" si="20"/>
      </c>
      <c r="D148">
        <f t="shared" ca="1" si="21"/>
      </c>
      <c r="E148">
        <f t="shared" ca="1" si="22"/>
      </c>
      <c r="F148">
        <f t="shared" ca="1" si="23"/>
      </c>
      <c r="G148">
        <f t="shared" ca="1" si="24"/>
      </c>
      <c r="H148">
        <f t="shared" ca="1" si="25"/>
      </c>
      <c r="I148">
        <f t="shared" ca="1" si="26"/>
      </c>
      <c r="J148">
        <f t="shared" ca="1" si="27"/>
      </c>
      <c r="M148">
        <f t="array" aca="1" ref="M148" ca="1">IFERROR(SMALL(IF(INDIRECT($Z$1&amp;"$P$5:$P$304")=1,ROW(INDIRECT($Z$1&amp;"$A$5:$A$304"))-ROW(INDIRECT($Z$1&amp;"$A$5"))+1),133),"")</f>
      </c>
    </row>
    <row r="149" spans="2:13" x14ac:dyDescent="0.25">
      <c r="B149" s="278">
        <f t="shared" ca="1" si="19"/>
      </c>
      <c r="C149" s="279">
        <f t="shared" ca="1" si="20"/>
      </c>
      <c r="D149">
        <f t="shared" ca="1" si="21"/>
      </c>
      <c r="E149">
        <f t="shared" ca="1" si="22"/>
      </c>
      <c r="F149">
        <f t="shared" ca="1" si="23"/>
      </c>
      <c r="G149">
        <f t="shared" ca="1" si="24"/>
      </c>
      <c r="H149">
        <f t="shared" ca="1" si="25"/>
      </c>
      <c r="I149">
        <f t="shared" ca="1" si="26"/>
      </c>
      <c r="J149">
        <f t="shared" ca="1" si="27"/>
      </c>
      <c r="M149">
        <f t="array" aca="1" ref="M149" ca="1">IFERROR(SMALL(IF(INDIRECT($Z$1&amp;"$P$5:$P$304")=1,ROW(INDIRECT($Z$1&amp;"$A$5:$A$304"))-ROW(INDIRECT($Z$1&amp;"$A$5"))+1),134),"")</f>
      </c>
    </row>
    <row r="150" spans="2:13" x14ac:dyDescent="0.25">
      <c r="B150" s="278">
        <f t="shared" ca="1" si="19"/>
      </c>
      <c r="C150" s="279">
        <f t="shared" ca="1" si="20"/>
      </c>
      <c r="D150">
        <f t="shared" ca="1" si="21"/>
      </c>
      <c r="E150">
        <f t="shared" ca="1" si="22"/>
      </c>
      <c r="F150">
        <f t="shared" ca="1" si="23"/>
      </c>
      <c r="G150">
        <f t="shared" ca="1" si="24"/>
      </c>
      <c r="H150">
        <f t="shared" ca="1" si="25"/>
      </c>
      <c r="I150">
        <f t="shared" ca="1" si="26"/>
      </c>
      <c r="J150">
        <f t="shared" ca="1" si="27"/>
      </c>
      <c r="M150">
        <f t="array" aca="1" ref="M150" ca="1">IFERROR(SMALL(IF(INDIRECT($Z$1&amp;"$P$5:$P$304")=1,ROW(INDIRECT($Z$1&amp;"$A$5:$A$304"))-ROW(INDIRECT($Z$1&amp;"$A$5"))+1),135),"")</f>
      </c>
    </row>
    <row r="151" spans="2:13" x14ac:dyDescent="0.25">
      <c r="B151" s="278">
        <f t="shared" ca="1" si="19"/>
      </c>
      <c r="C151" s="279">
        <f t="shared" ca="1" si="20"/>
      </c>
      <c r="D151">
        <f t="shared" ca="1" si="21"/>
      </c>
      <c r="E151">
        <f t="shared" ca="1" si="22"/>
      </c>
      <c r="F151">
        <f t="shared" ca="1" si="23"/>
      </c>
      <c r="G151">
        <f t="shared" ca="1" si="24"/>
      </c>
      <c r="H151">
        <f t="shared" ca="1" si="25"/>
      </c>
      <c r="I151">
        <f t="shared" ca="1" si="26"/>
      </c>
      <c r="J151">
        <f t="shared" ca="1" si="27"/>
      </c>
      <c r="M151">
        <f t="array" aca="1" ref="M151" ca="1">IFERROR(SMALL(IF(INDIRECT($Z$1&amp;"$P$5:$P$304")=1,ROW(INDIRECT($Z$1&amp;"$A$5:$A$304"))-ROW(INDIRECT($Z$1&amp;"$A$5"))+1),136),"")</f>
      </c>
    </row>
    <row r="152" spans="2:13" x14ac:dyDescent="0.25">
      <c r="B152" s="278">
        <f t="shared" ca="1" si="19"/>
      </c>
      <c r="C152" s="279">
        <f t="shared" ca="1" si="20"/>
      </c>
      <c r="D152">
        <f t="shared" ca="1" si="21"/>
      </c>
      <c r="E152">
        <f t="shared" ca="1" si="22"/>
      </c>
      <c r="F152">
        <f t="shared" ca="1" si="23"/>
      </c>
      <c r="G152">
        <f t="shared" ca="1" si="24"/>
      </c>
      <c r="H152">
        <f t="shared" ca="1" si="25"/>
      </c>
      <c r="I152">
        <f t="shared" ca="1" si="26"/>
      </c>
      <c r="J152">
        <f t="shared" ca="1" si="27"/>
      </c>
      <c r="M152">
        <f t="array" aca="1" ref="M152" ca="1">IFERROR(SMALL(IF(INDIRECT($Z$1&amp;"$P$5:$P$304")=1,ROW(INDIRECT($Z$1&amp;"$A$5:$A$304"))-ROW(INDIRECT($Z$1&amp;"$A$5"))+1),137),"")</f>
      </c>
    </row>
    <row r="153" spans="2:13" x14ac:dyDescent="0.25">
      <c r="B153" s="278">
        <f t="shared" ca="1" si="19"/>
      </c>
      <c r="C153" s="279">
        <f t="shared" ca="1" si="20"/>
      </c>
      <c r="D153">
        <f t="shared" ca="1" si="21"/>
      </c>
      <c r="E153">
        <f t="shared" ca="1" si="22"/>
      </c>
      <c r="F153">
        <f t="shared" ca="1" si="23"/>
      </c>
      <c r="G153">
        <f t="shared" ca="1" si="24"/>
      </c>
      <c r="H153">
        <f t="shared" ca="1" si="25"/>
      </c>
      <c r="I153">
        <f t="shared" ca="1" si="26"/>
      </c>
      <c r="J153">
        <f t="shared" ca="1" si="27"/>
      </c>
      <c r="M153">
        <f t="array" aca="1" ref="M153" ca="1">IFERROR(SMALL(IF(INDIRECT($Z$1&amp;"$P$5:$P$304")=1,ROW(INDIRECT($Z$1&amp;"$A$5:$A$304"))-ROW(INDIRECT($Z$1&amp;"$A$5"))+1),138),"")</f>
      </c>
    </row>
    <row r="154" spans="2:13" x14ac:dyDescent="0.25">
      <c r="B154" s="278">
        <f t="shared" ca="1" si="19"/>
      </c>
      <c r="C154" s="279">
        <f t="shared" ca="1" si="20"/>
      </c>
      <c r="D154">
        <f t="shared" ca="1" si="21"/>
      </c>
      <c r="E154">
        <f t="shared" ca="1" si="22"/>
      </c>
      <c r="F154">
        <f t="shared" ca="1" si="23"/>
      </c>
      <c r="G154">
        <f t="shared" ca="1" si="24"/>
      </c>
      <c r="H154">
        <f t="shared" ca="1" si="25"/>
      </c>
      <c r="I154">
        <f t="shared" ca="1" si="26"/>
      </c>
      <c r="J154">
        <f t="shared" ca="1" si="27"/>
      </c>
      <c r="M154">
        <f t="array" aca="1" ref="M154" ca="1">IFERROR(SMALL(IF(INDIRECT($Z$1&amp;"$P$5:$P$304")=1,ROW(INDIRECT($Z$1&amp;"$A$5:$A$304"))-ROW(INDIRECT($Z$1&amp;"$A$5"))+1),139),"")</f>
      </c>
    </row>
    <row r="155" spans="2:13" x14ac:dyDescent="0.25">
      <c r="B155" s="278">
        <f t="shared" ca="1" si="19"/>
      </c>
      <c r="C155" s="279">
        <f t="shared" ca="1" si="20"/>
      </c>
      <c r="D155">
        <f t="shared" ca="1" si="21"/>
      </c>
      <c r="E155">
        <f t="shared" ca="1" si="22"/>
      </c>
      <c r="F155">
        <f t="shared" ca="1" si="23"/>
      </c>
      <c r="G155">
        <f t="shared" ca="1" si="24"/>
      </c>
      <c r="H155">
        <f t="shared" ca="1" si="25"/>
      </c>
      <c r="I155">
        <f t="shared" ca="1" si="26"/>
      </c>
      <c r="J155">
        <f t="shared" ca="1" si="27"/>
      </c>
      <c r="M155">
        <f t="array" aca="1" ref="M155" ca="1">IFERROR(SMALL(IF(INDIRECT($Z$1&amp;"$P$5:$P$304")=1,ROW(INDIRECT($Z$1&amp;"$A$5:$A$304"))-ROW(INDIRECT($Z$1&amp;"$A$5"))+1),140),"")</f>
      </c>
    </row>
    <row r="156" spans="2:13" x14ac:dyDescent="0.25">
      <c r="B156" s="278">
        <f t="shared" ca="1" si="19"/>
      </c>
      <c r="C156" s="279">
        <f t="shared" ca="1" si="20"/>
      </c>
      <c r="D156">
        <f t="shared" ca="1" si="21"/>
      </c>
      <c r="E156">
        <f t="shared" ca="1" si="22"/>
      </c>
      <c r="F156">
        <f t="shared" ca="1" si="23"/>
      </c>
      <c r="G156">
        <f t="shared" ca="1" si="24"/>
      </c>
      <c r="H156">
        <f t="shared" ca="1" si="25"/>
      </c>
      <c r="I156">
        <f t="shared" ca="1" si="26"/>
      </c>
      <c r="J156">
        <f t="shared" ca="1" si="27"/>
      </c>
      <c r="M156">
        <f t="array" aca="1" ref="M156" ca="1">IFERROR(SMALL(IF(INDIRECT($Z$1&amp;"$P$5:$P$304")=1,ROW(INDIRECT($Z$1&amp;"$A$5:$A$304"))-ROW(INDIRECT($Z$1&amp;"$A$5"))+1),141),"")</f>
      </c>
    </row>
    <row r="157" spans="2:13" x14ac:dyDescent="0.25">
      <c r="B157" s="278">
        <f t="shared" ca="1" si="19"/>
      </c>
      <c r="C157" s="279">
        <f t="shared" ca="1" si="20"/>
      </c>
      <c r="D157">
        <f t="shared" ca="1" si="21"/>
      </c>
      <c r="E157">
        <f t="shared" ca="1" si="22"/>
      </c>
      <c r="F157">
        <f t="shared" ca="1" si="23"/>
      </c>
      <c r="G157">
        <f t="shared" ca="1" si="24"/>
      </c>
      <c r="H157">
        <f t="shared" ca="1" si="25"/>
      </c>
      <c r="I157">
        <f t="shared" ca="1" si="26"/>
      </c>
      <c r="J157">
        <f t="shared" ca="1" si="27"/>
      </c>
      <c r="M157">
        <f t="array" aca="1" ref="M157" ca="1">IFERROR(SMALL(IF(INDIRECT($Z$1&amp;"$P$5:$P$304")=1,ROW(INDIRECT($Z$1&amp;"$A$5:$A$304"))-ROW(INDIRECT($Z$1&amp;"$A$5"))+1),142),"")</f>
      </c>
    </row>
    <row r="158" spans="2:13" x14ac:dyDescent="0.25">
      <c r="B158" s="278">
        <f t="shared" ca="1" si="19"/>
      </c>
      <c r="C158" s="279">
        <f t="shared" ca="1" si="20"/>
      </c>
      <c r="D158">
        <f t="shared" ca="1" si="21"/>
      </c>
      <c r="E158">
        <f t="shared" ca="1" si="22"/>
      </c>
      <c r="F158">
        <f t="shared" ca="1" si="23"/>
      </c>
      <c r="G158">
        <f t="shared" ca="1" si="24"/>
      </c>
      <c r="H158">
        <f t="shared" ca="1" si="25"/>
      </c>
      <c r="I158">
        <f t="shared" ca="1" si="26"/>
      </c>
      <c r="J158">
        <f t="shared" ca="1" si="27"/>
      </c>
      <c r="M158">
        <f t="array" aca="1" ref="M158" ca="1">IFERROR(SMALL(IF(INDIRECT($Z$1&amp;"$P$5:$P$304")=1,ROW(INDIRECT($Z$1&amp;"$A$5:$A$304"))-ROW(INDIRECT($Z$1&amp;"$A$5"))+1),143),"")</f>
      </c>
    </row>
    <row r="159" spans="2:13" x14ac:dyDescent="0.25">
      <c r="B159" s="278">
        <f t="shared" ca="1" si="19"/>
      </c>
      <c r="C159" s="279">
        <f t="shared" ca="1" si="20"/>
      </c>
      <c r="D159">
        <f t="shared" ca="1" si="21"/>
      </c>
      <c r="E159">
        <f t="shared" ca="1" si="22"/>
      </c>
      <c r="F159">
        <f t="shared" ca="1" si="23"/>
      </c>
      <c r="G159">
        <f t="shared" ca="1" si="24"/>
      </c>
      <c r="H159">
        <f t="shared" ca="1" si="25"/>
      </c>
      <c r="I159">
        <f t="shared" ca="1" si="26"/>
      </c>
      <c r="J159">
        <f t="shared" ca="1" si="27"/>
      </c>
      <c r="M159">
        <f t="array" aca="1" ref="M159" ca="1">IFERROR(SMALL(IF(INDIRECT($Z$1&amp;"$P$5:$P$304")=1,ROW(INDIRECT($Z$1&amp;"$A$5:$A$304"))-ROW(INDIRECT($Z$1&amp;"$A$5"))+1),144),"")</f>
      </c>
    </row>
    <row r="160" spans="2:13" x14ac:dyDescent="0.25">
      <c r="B160" s="278">
        <f t="shared" ca="1" si="19"/>
      </c>
      <c r="C160" s="279">
        <f t="shared" ca="1" si="20"/>
      </c>
      <c r="D160">
        <f t="shared" ca="1" si="21"/>
      </c>
      <c r="E160">
        <f t="shared" ca="1" si="22"/>
      </c>
      <c r="F160">
        <f t="shared" ca="1" si="23"/>
      </c>
      <c r="G160">
        <f t="shared" ca="1" si="24"/>
      </c>
      <c r="H160">
        <f t="shared" ca="1" si="25"/>
      </c>
      <c r="I160">
        <f t="shared" ca="1" si="26"/>
      </c>
      <c r="J160">
        <f t="shared" ca="1" si="27"/>
      </c>
      <c r="M160">
        <f t="array" aca="1" ref="M160" ca="1">IFERROR(SMALL(IF(INDIRECT($Z$1&amp;"$P$5:$P$304")=1,ROW(INDIRECT($Z$1&amp;"$A$5:$A$304"))-ROW(INDIRECT($Z$1&amp;"$A$5"))+1),145),"")</f>
      </c>
    </row>
    <row r="161" spans="2:13" x14ac:dyDescent="0.25">
      <c r="B161" s="278">
        <f t="shared" ca="1" si="19"/>
      </c>
      <c r="C161" s="279">
        <f t="shared" ca="1" si="20"/>
      </c>
      <c r="D161">
        <f t="shared" ca="1" si="21"/>
      </c>
      <c r="E161">
        <f t="shared" ca="1" si="22"/>
      </c>
      <c r="F161">
        <f t="shared" ca="1" si="23"/>
      </c>
      <c r="G161">
        <f t="shared" ca="1" si="24"/>
      </c>
      <c r="H161">
        <f t="shared" ca="1" si="25"/>
      </c>
      <c r="I161">
        <f t="shared" ca="1" si="26"/>
      </c>
      <c r="J161">
        <f t="shared" ca="1" si="27"/>
      </c>
      <c r="M161">
        <f t="array" aca="1" ref="M161" ca="1">IFERROR(SMALL(IF(INDIRECT($Z$1&amp;"$P$5:$P$304")=1,ROW(INDIRECT($Z$1&amp;"$A$5:$A$304"))-ROW(INDIRECT($Z$1&amp;"$A$5"))+1),146),"")</f>
      </c>
    </row>
    <row r="162" spans="2:13" x14ac:dyDescent="0.25">
      <c r="B162" s="278">
        <f t="shared" ca="1" si="19"/>
      </c>
      <c r="C162" s="279">
        <f t="shared" ca="1" si="20"/>
      </c>
      <c r="D162">
        <f t="shared" ca="1" si="21"/>
      </c>
      <c r="E162">
        <f t="shared" ca="1" si="22"/>
      </c>
      <c r="F162">
        <f t="shared" ca="1" si="23"/>
      </c>
      <c r="G162">
        <f t="shared" ca="1" si="24"/>
      </c>
      <c r="H162">
        <f t="shared" ca="1" si="25"/>
      </c>
      <c r="I162">
        <f t="shared" ca="1" si="26"/>
      </c>
      <c r="J162">
        <f t="shared" ca="1" si="27"/>
      </c>
      <c r="M162">
        <f t="array" aca="1" ref="M162" ca="1">IFERROR(SMALL(IF(INDIRECT($Z$1&amp;"$P$5:$P$304")=1,ROW(INDIRECT($Z$1&amp;"$A$5:$A$304"))-ROW(INDIRECT($Z$1&amp;"$A$5"))+1),147),"")</f>
      </c>
    </row>
    <row r="163" spans="2:13" x14ac:dyDescent="0.25">
      <c r="B163" s="278">
        <f t="shared" ca="1" si="19"/>
      </c>
      <c r="C163" s="279">
        <f t="shared" ca="1" si="20"/>
      </c>
      <c r="D163">
        <f t="shared" ca="1" si="21"/>
      </c>
      <c r="E163">
        <f t="shared" ca="1" si="22"/>
      </c>
      <c r="F163">
        <f t="shared" ca="1" si="23"/>
      </c>
      <c r="G163">
        <f t="shared" ca="1" si="24"/>
      </c>
      <c r="H163">
        <f t="shared" ca="1" si="25"/>
      </c>
      <c r="I163">
        <f t="shared" ca="1" si="26"/>
      </c>
      <c r="J163">
        <f t="shared" ca="1" si="27"/>
      </c>
      <c r="M163">
        <f t="array" aca="1" ref="M163" ca="1">IFERROR(SMALL(IF(INDIRECT($Z$1&amp;"$P$5:$P$304")=1,ROW(INDIRECT($Z$1&amp;"$A$5:$A$304"))-ROW(INDIRECT($Z$1&amp;"$A$5"))+1),148),"")</f>
      </c>
    </row>
    <row r="164" spans="2:13" x14ac:dyDescent="0.25">
      <c r="B164" s="278">
        <f t="shared" ca="1" si="19"/>
      </c>
      <c r="C164" s="279">
        <f t="shared" ca="1" si="20"/>
      </c>
      <c r="D164">
        <f t="shared" ca="1" si="21"/>
      </c>
      <c r="E164">
        <f t="shared" ca="1" si="22"/>
      </c>
      <c r="F164">
        <f t="shared" ca="1" si="23"/>
      </c>
      <c r="G164">
        <f t="shared" ca="1" si="24"/>
      </c>
      <c r="H164">
        <f t="shared" ca="1" si="25"/>
      </c>
      <c r="I164">
        <f t="shared" ca="1" si="26"/>
      </c>
      <c r="J164">
        <f t="shared" ca="1" si="27"/>
      </c>
      <c r="M164">
        <f t="array" aca="1" ref="M164" ca="1">IFERROR(SMALL(IF(INDIRECT($Z$1&amp;"$P$5:$P$304")=1,ROW(INDIRECT($Z$1&amp;"$A$5:$A$304"))-ROW(INDIRECT($Z$1&amp;"$A$5"))+1),149),"")</f>
      </c>
    </row>
    <row r="165" spans="2:13" x14ac:dyDescent="0.25">
      <c r="B165" s="278">
        <f t="shared" ca="1" si="19"/>
      </c>
      <c r="C165" s="279">
        <f t="shared" ca="1" si="20"/>
      </c>
      <c r="D165">
        <f t="shared" ca="1" si="21"/>
      </c>
      <c r="E165">
        <f t="shared" ca="1" si="22"/>
      </c>
      <c r="F165">
        <f t="shared" ca="1" si="23"/>
      </c>
      <c r="G165">
        <f t="shared" ca="1" si="24"/>
      </c>
      <c r="H165">
        <f t="shared" ca="1" si="25"/>
      </c>
      <c r="I165">
        <f t="shared" ca="1" si="26"/>
      </c>
      <c r="J165">
        <f t="shared" ca="1" si="27"/>
      </c>
      <c r="M165">
        <f t="array" aca="1" ref="M165" ca="1">IFERROR(SMALL(IF(INDIRECT($Z$1&amp;"$P$5:$P$304")=1,ROW(INDIRECT($Z$1&amp;"$A$5:$A$304"))-ROW(INDIRECT($Z$1&amp;"$A$5"))+1),150),"")</f>
      </c>
    </row>
    <row r="166" spans="2:13" x14ac:dyDescent="0.25">
      <c r="B166" s="278">
        <f t="shared" ca="1" si="19"/>
      </c>
      <c r="C166" s="278">
        <f t="shared" ca="1" si="20"/>
      </c>
      <c r="D166">
        <f t="shared" ca="1" si="21"/>
      </c>
      <c r="E166">
        <f t="shared" ca="1" si="22"/>
      </c>
      <c r="F166">
        <f t="shared" ca="1" si="23"/>
      </c>
      <c r="G166">
        <f t="shared" ca="1" si="24"/>
      </c>
      <c r="H166">
        <f t="shared" ca="1" si="25"/>
      </c>
      <c r="I166">
        <f t="shared" ca="1" si="26"/>
      </c>
      <c r="J166">
        <f t="shared" ca="1" si="27"/>
      </c>
      <c r="M166">
        <f t="array" aca="1" ref="M166" ca="1">IFERROR(SMALL(IF(INDIRECT($Z$1&amp;"$P$5:$P$304")=1,ROW(INDIRECT($Z$1&amp;"$A$5:$A$304"))-ROW(INDIRECT($Z$1&amp;"$A$5"))+1),151),"")</f>
      </c>
    </row>
    <row r="167" spans="2:13" x14ac:dyDescent="0.25">
      <c r="B167" s="278">
        <f t="shared" ca="1" si="19"/>
      </c>
      <c r="C167" s="278">
        <f t="shared" ca="1" si="20"/>
      </c>
      <c r="D167">
        <f t="shared" ca="1" si="21"/>
      </c>
      <c r="E167">
        <f t="shared" ca="1" si="22"/>
      </c>
      <c r="F167">
        <f t="shared" ca="1" si="23"/>
      </c>
      <c r="G167">
        <f t="shared" ca="1" si="24"/>
      </c>
      <c r="H167">
        <f t="shared" ca="1" si="25"/>
      </c>
      <c r="I167">
        <f t="shared" ca="1" si="26"/>
      </c>
      <c r="J167">
        <f t="shared" ca="1" si="27"/>
      </c>
      <c r="M167">
        <f t="array" aca="1" ref="M167" ca="1">IFERROR(SMALL(IF(INDIRECT($Z$1&amp;"$P$5:$P$304")=1,ROW(INDIRECT($Z$1&amp;"$A$5:$A$304"))-ROW(INDIRECT($Z$1&amp;"$A$5"))+1),152),"")</f>
      </c>
    </row>
    <row r="168" spans="2:13" x14ac:dyDescent="0.25">
      <c r="B168" s="278">
        <f t="shared" ca="1" si="19"/>
      </c>
      <c r="C168" s="278">
        <f t="shared" ca="1" si="20"/>
      </c>
      <c r="D168">
        <f t="shared" ca="1" si="21"/>
      </c>
      <c r="E168">
        <f t="shared" ca="1" si="22"/>
      </c>
      <c r="F168">
        <f t="shared" ca="1" si="23"/>
      </c>
      <c r="G168">
        <f t="shared" ca="1" si="24"/>
      </c>
      <c r="H168">
        <f t="shared" ca="1" si="25"/>
      </c>
      <c r="I168">
        <f t="shared" ca="1" si="26"/>
      </c>
      <c r="J168">
        <f t="shared" ca="1" si="27"/>
      </c>
      <c r="M168">
        <f t="array" aca="1" ref="M168" ca="1">IFERROR(SMALL(IF(INDIRECT($Z$1&amp;"$P$5:$P$304")=1,ROW(INDIRECT($Z$1&amp;"$A$5:$A$304"))-ROW(INDIRECT($Z$1&amp;"$A$5"))+1),153),"")</f>
      </c>
    </row>
    <row r="169" spans="2:13" x14ac:dyDescent="0.25">
      <c r="B169" s="278">
        <f t="shared" ca="1" si="19"/>
      </c>
      <c r="C169" s="278">
        <f t="shared" ca="1" si="20"/>
      </c>
      <c r="D169">
        <f t="shared" ca="1" si="21"/>
      </c>
      <c r="E169">
        <f t="shared" ca="1" si="22"/>
      </c>
      <c r="F169">
        <f t="shared" ca="1" si="23"/>
      </c>
      <c r="G169">
        <f t="shared" ca="1" si="24"/>
      </c>
      <c r="H169">
        <f t="shared" ca="1" si="25"/>
      </c>
      <c r="I169">
        <f t="shared" ca="1" si="26"/>
      </c>
      <c r="J169">
        <f t="shared" ca="1" si="27"/>
      </c>
      <c r="M169">
        <f t="array" aca="1" ref="M169" ca="1">IFERROR(SMALL(IF(INDIRECT($Z$1&amp;"$P$5:$P$304")=1,ROW(INDIRECT($Z$1&amp;"$A$5:$A$304"))-ROW(INDIRECT($Z$1&amp;"$A$5"))+1),154),"")</f>
      </c>
    </row>
    <row r="170" spans="2:13" x14ac:dyDescent="0.25">
      <c r="B170" s="278">
        <f t="shared" ca="1" si="19"/>
      </c>
      <c r="C170" s="278">
        <f t="shared" ca="1" si="20"/>
      </c>
      <c r="D170">
        <f t="shared" ca="1" si="21"/>
      </c>
      <c r="E170">
        <f t="shared" ca="1" si="22"/>
      </c>
      <c r="F170">
        <f t="shared" ca="1" si="23"/>
      </c>
      <c r="G170">
        <f t="shared" ca="1" si="24"/>
      </c>
      <c r="H170">
        <f t="shared" ca="1" si="25"/>
      </c>
      <c r="I170">
        <f t="shared" ca="1" si="26"/>
      </c>
      <c r="J170">
        <f t="shared" ca="1" si="27"/>
      </c>
      <c r="M170">
        <f t="array" aca="1" ref="M170" ca="1">IFERROR(SMALL(IF(INDIRECT($Z$1&amp;"$P$5:$P$304")=1,ROW(INDIRECT($Z$1&amp;"$A$5:$A$304"))-ROW(INDIRECT($Z$1&amp;"$A$5"))+1),155),"")</f>
      </c>
    </row>
    <row r="171" spans="2:13" x14ac:dyDescent="0.25">
      <c r="B171" s="278">
        <f t="shared" ca="1" si="19"/>
      </c>
      <c r="C171" s="278">
        <f t="shared" ca="1" si="20"/>
      </c>
      <c r="D171">
        <f t="shared" ca="1" si="21"/>
      </c>
      <c r="E171">
        <f t="shared" ca="1" si="22"/>
      </c>
      <c r="F171">
        <f t="shared" ca="1" si="23"/>
      </c>
      <c r="G171">
        <f t="shared" ca="1" si="24"/>
      </c>
      <c r="H171">
        <f t="shared" ca="1" si="25"/>
      </c>
      <c r="I171">
        <f t="shared" ca="1" si="26"/>
      </c>
      <c r="J171">
        <f t="shared" ca="1" si="27"/>
      </c>
      <c r="M171">
        <f t="array" aca="1" ref="M171" ca="1">IFERROR(SMALL(IF(INDIRECT($Z$1&amp;"$P$5:$P$304")=1,ROW(INDIRECT($Z$1&amp;"$A$5:$A$304"))-ROW(INDIRECT($Z$1&amp;"$A$5"))+1),156),"")</f>
      </c>
    </row>
    <row r="172" spans="2:13" x14ac:dyDescent="0.25">
      <c r="B172" s="278">
        <f t="shared" ca="1" si="19"/>
      </c>
      <c r="C172" s="278">
        <f t="shared" ca="1" si="20"/>
      </c>
      <c r="D172">
        <f t="shared" ca="1" si="21"/>
      </c>
      <c r="E172">
        <f t="shared" ca="1" si="22"/>
      </c>
      <c r="F172">
        <f t="shared" ca="1" si="23"/>
      </c>
      <c r="G172">
        <f t="shared" ca="1" si="24"/>
      </c>
      <c r="H172">
        <f t="shared" ca="1" si="25"/>
      </c>
      <c r="I172">
        <f t="shared" ca="1" si="26"/>
      </c>
      <c r="J172">
        <f t="shared" ca="1" si="27"/>
      </c>
      <c r="M172">
        <f t="array" aca="1" ref="M172" ca="1">IFERROR(SMALL(IF(INDIRECT($Z$1&amp;"$P$5:$P$304")=1,ROW(INDIRECT($Z$1&amp;"$A$5:$A$304"))-ROW(INDIRECT($Z$1&amp;"$A$5"))+1),157),"")</f>
      </c>
    </row>
    <row r="173" spans="2:13" x14ac:dyDescent="0.25">
      <c r="B173" s="278">
        <f t="shared" ca="1" si="19"/>
      </c>
      <c r="C173" s="278">
        <f t="shared" ca="1" si="20"/>
      </c>
      <c r="D173">
        <f t="shared" ca="1" si="21"/>
      </c>
      <c r="E173">
        <f t="shared" ca="1" si="22"/>
      </c>
      <c r="F173">
        <f t="shared" ca="1" si="23"/>
      </c>
      <c r="G173">
        <f t="shared" ca="1" si="24"/>
      </c>
      <c r="H173">
        <f t="shared" ca="1" si="25"/>
      </c>
      <c r="I173">
        <f t="shared" ca="1" si="26"/>
      </c>
      <c r="J173">
        <f t="shared" ca="1" si="27"/>
      </c>
      <c r="M173">
        <f t="array" aca="1" ref="M173" ca="1">IFERROR(SMALL(IF(INDIRECT($Z$1&amp;"$P$5:$P$304")=1,ROW(INDIRECT($Z$1&amp;"$A$5:$A$304"))-ROW(INDIRECT($Z$1&amp;"$A$5"))+1),158),"")</f>
      </c>
    </row>
    <row r="174" spans="2:13" x14ac:dyDescent="0.25">
      <c r="B174" s="278">
        <f t="shared" ca="1" si="19"/>
      </c>
      <c r="C174" s="278">
        <f t="shared" ca="1" si="20"/>
      </c>
      <c r="D174">
        <f t="shared" ca="1" si="21"/>
      </c>
      <c r="E174">
        <f t="shared" ca="1" si="22"/>
      </c>
      <c r="F174">
        <f t="shared" ca="1" si="23"/>
      </c>
      <c r="G174">
        <f t="shared" ca="1" si="24"/>
      </c>
      <c r="H174">
        <f t="shared" ca="1" si="25"/>
      </c>
      <c r="I174">
        <f t="shared" ca="1" si="26"/>
      </c>
      <c r="J174">
        <f t="shared" ca="1" si="27"/>
      </c>
      <c r="M174">
        <f t="array" aca="1" ref="M174" ca="1">IFERROR(SMALL(IF(INDIRECT($Z$1&amp;"$P$5:$P$304")=1,ROW(INDIRECT($Z$1&amp;"$A$5:$A$304"))-ROW(INDIRECT($Z$1&amp;"$A$5"))+1),159),"")</f>
      </c>
    </row>
    <row r="175" spans="2:13" x14ac:dyDescent="0.25">
      <c r="B175" s="278">
        <f t="shared" ca="1" si="19"/>
      </c>
      <c r="C175" s="278">
        <f t="shared" ca="1" si="20"/>
      </c>
      <c r="D175">
        <f t="shared" ca="1" si="21"/>
      </c>
      <c r="E175">
        <f t="shared" ca="1" si="22"/>
      </c>
      <c r="F175">
        <f t="shared" ca="1" si="23"/>
      </c>
      <c r="G175">
        <f t="shared" ca="1" si="24"/>
      </c>
      <c r="H175">
        <f t="shared" ca="1" si="25"/>
      </c>
      <c r="I175">
        <f t="shared" ca="1" si="26"/>
      </c>
      <c r="J175">
        <f t="shared" ca="1" si="27"/>
      </c>
      <c r="M175">
        <f t="array" aca="1" ref="M175" ca="1">IFERROR(SMALL(IF(INDIRECT($Z$1&amp;"$P$5:$P$304")=1,ROW(INDIRECT($Z$1&amp;"$A$5:$A$304"))-ROW(INDIRECT($Z$1&amp;"$A$5"))+1),160),"")</f>
      </c>
    </row>
    <row r="176" spans="2:13" x14ac:dyDescent="0.25">
      <c r="B176" s="278">
        <f t="shared" ca="1" si="19"/>
      </c>
      <c r="C176" s="278">
        <f t="shared" ca="1" si="20"/>
      </c>
      <c r="D176">
        <f t="shared" ca="1" si="21"/>
      </c>
      <c r="E176">
        <f t="shared" ca="1" si="22"/>
      </c>
      <c r="F176">
        <f t="shared" ca="1" si="23"/>
      </c>
      <c r="G176">
        <f t="shared" ca="1" si="24"/>
      </c>
      <c r="H176">
        <f t="shared" ca="1" si="25"/>
      </c>
      <c r="I176">
        <f t="shared" ca="1" si="26"/>
      </c>
      <c r="J176">
        <f t="shared" ca="1" si="27"/>
      </c>
      <c r="M176">
        <f t="array" aca="1" ref="M176" ca="1">IFERROR(SMALL(IF(INDIRECT($Z$1&amp;"$P$5:$P$304")=1,ROW(INDIRECT($Z$1&amp;"$A$5:$A$304"))-ROW(INDIRECT($Z$1&amp;"$A$5"))+1),161),"")</f>
      </c>
    </row>
    <row r="177" spans="2:13" x14ac:dyDescent="0.25">
      <c r="B177">
        <f t="shared" ca="1" si="19"/>
      </c>
      <c r="C177">
        <f t="shared" ca="1" si="20"/>
      </c>
      <c r="D177">
        <f t="shared" ca="1" si="21"/>
      </c>
      <c r="E177">
        <f t="shared" ca="1" si="22"/>
      </c>
      <c r="F177">
        <f t="shared" ca="1" si="23"/>
      </c>
      <c r="G177">
        <f t="shared" ca="1" si="24"/>
      </c>
      <c r="H177">
        <f t="shared" ca="1" si="25"/>
      </c>
      <c r="I177">
        <f t="shared" ca="1" si="26"/>
      </c>
      <c r="J177">
        <f t="shared" ca="1" si="27"/>
      </c>
      <c r="M177">
        <f t="array" aca="1" ref="M177" ca="1">IFERROR(SMALL(IF(INDIRECT($Z$1&amp;"$P$5:$P$304")=1,ROW(INDIRECT($Z$1&amp;"$A$5:$A$304"))-ROW(INDIRECT($Z$1&amp;"$A$5"))+1),162),"")</f>
      </c>
    </row>
    <row r="178" spans="2:13" x14ac:dyDescent="0.25">
      <c r="B178">
        <f t="shared" ca="1" si="19"/>
      </c>
      <c r="C178">
        <f t="shared" ca="1" si="20"/>
      </c>
      <c r="D178">
        <f t="shared" ca="1" si="21"/>
      </c>
      <c r="E178">
        <f t="shared" ca="1" si="22"/>
      </c>
      <c r="F178">
        <f t="shared" ca="1" si="23"/>
      </c>
      <c r="G178">
        <f t="shared" ca="1" si="24"/>
      </c>
      <c r="H178">
        <f t="shared" ca="1" si="25"/>
      </c>
      <c r="I178">
        <f t="shared" ca="1" si="26"/>
      </c>
      <c r="J178">
        <f t="shared" ca="1" si="27"/>
      </c>
      <c r="M178">
        <f t="array" aca="1" ref="M178" ca="1">IFERROR(SMALL(IF(INDIRECT($Z$1&amp;"$P$5:$P$304")=1,ROW(INDIRECT($Z$1&amp;"$A$5:$A$304"))-ROW(INDIRECT($Z$1&amp;"$A$5"))+1),163),"")</f>
      </c>
    </row>
    <row r="179" spans="2:13" x14ac:dyDescent="0.25">
      <c r="B179">
        <f t="shared" ca="1" si="19"/>
      </c>
      <c r="C179">
        <f t="shared" ca="1" si="20"/>
      </c>
      <c r="D179">
        <f t="shared" ca="1" si="21"/>
      </c>
      <c r="E179">
        <f t="shared" ca="1" si="22"/>
      </c>
      <c r="F179">
        <f t="shared" ca="1" si="23"/>
      </c>
      <c r="G179">
        <f t="shared" ca="1" si="24"/>
      </c>
      <c r="H179">
        <f t="shared" ca="1" si="25"/>
      </c>
      <c r="I179">
        <f t="shared" ca="1" si="26"/>
      </c>
      <c r="J179">
        <f t="shared" ca="1" si="27"/>
      </c>
      <c r="M179">
        <f t="array" aca="1" ref="M179" ca="1">IFERROR(SMALL(IF(INDIRECT($Z$1&amp;"$P$5:$P$304")=1,ROW(INDIRECT($Z$1&amp;"$A$5:$A$304"))-ROW(INDIRECT($Z$1&amp;"$A$5"))+1),164),"")</f>
      </c>
    </row>
    <row r="180" spans="2:13" x14ac:dyDescent="0.25">
      <c r="B180">
        <f t="shared" ca="1" si="19"/>
      </c>
      <c r="C180">
        <f t="shared" ca="1" si="20"/>
      </c>
      <c r="D180">
        <f t="shared" ca="1" si="21"/>
      </c>
      <c r="E180">
        <f t="shared" ca="1" si="22"/>
      </c>
      <c r="F180">
        <f t="shared" ca="1" si="23"/>
      </c>
      <c r="G180">
        <f t="shared" ca="1" si="24"/>
      </c>
      <c r="H180">
        <f t="shared" ca="1" si="25"/>
      </c>
      <c r="I180">
        <f t="shared" ca="1" si="26"/>
      </c>
      <c r="J180">
        <f t="shared" ca="1" si="27"/>
      </c>
      <c r="M180">
        <f t="array" aca="1" ref="M180" ca="1">IFERROR(SMALL(IF(INDIRECT($Z$1&amp;"$P$5:$P$304")=1,ROW(INDIRECT($Z$1&amp;"$A$5:$A$304"))-ROW(INDIRECT($Z$1&amp;"$A$5"))+1),165),"")</f>
      </c>
    </row>
    <row r="181" spans="2:13" x14ac:dyDescent="0.25">
      <c r="B181">
        <f t="shared" ca="1" si="19"/>
      </c>
      <c r="C181">
        <f t="shared" ca="1" si="20"/>
      </c>
      <c r="D181">
        <f t="shared" ca="1" si="21"/>
      </c>
      <c r="E181">
        <f t="shared" ca="1" si="22"/>
      </c>
      <c r="F181">
        <f t="shared" ca="1" si="23"/>
      </c>
      <c r="G181">
        <f t="shared" ca="1" si="24"/>
      </c>
      <c r="H181">
        <f t="shared" ca="1" si="25"/>
      </c>
      <c r="I181">
        <f t="shared" ca="1" si="26"/>
      </c>
      <c r="J181">
        <f t="shared" ca="1" si="27"/>
      </c>
      <c r="M181">
        <f t="array" aca="1" ref="M181" ca="1">IFERROR(SMALL(IF(INDIRECT($Z$1&amp;"$P$5:$P$304")=1,ROW(INDIRECT($Z$1&amp;"$A$5:$A$304"))-ROW(INDIRECT($Z$1&amp;"$A$5"))+1),166),"")</f>
      </c>
    </row>
    <row r="182" spans="2:13" x14ac:dyDescent="0.25">
      <c r="B182">
        <f t="shared" ca="1" si="19"/>
      </c>
      <c r="C182">
        <f t="shared" ca="1" si="20"/>
      </c>
      <c r="D182">
        <f t="shared" ca="1" si="21"/>
      </c>
      <c r="E182">
        <f t="shared" ca="1" si="22"/>
      </c>
      <c r="F182">
        <f t="shared" ca="1" si="23"/>
      </c>
      <c r="G182">
        <f t="shared" ca="1" si="24"/>
      </c>
      <c r="H182">
        <f t="shared" ca="1" si="25"/>
      </c>
      <c r="I182">
        <f t="shared" ca="1" si="26"/>
      </c>
      <c r="J182">
        <f t="shared" ca="1" si="27"/>
      </c>
      <c r="M182">
        <f t="array" aca="1" ref="M182" ca="1">IFERROR(SMALL(IF(INDIRECT($Z$1&amp;"$P$5:$P$304")=1,ROW(INDIRECT($Z$1&amp;"$A$5:$A$304"))-ROW(INDIRECT($Z$1&amp;"$A$5"))+1),167),"")</f>
      </c>
    </row>
    <row r="183" spans="2:13" x14ac:dyDescent="0.25">
      <c r="B183">
        <f t="shared" ca="1" si="19"/>
      </c>
      <c r="C183">
        <f t="shared" ca="1" si="20"/>
      </c>
      <c r="D183">
        <f t="shared" ca="1" si="21"/>
      </c>
      <c r="E183">
        <f t="shared" ca="1" si="22"/>
      </c>
      <c r="F183">
        <f t="shared" ca="1" si="23"/>
      </c>
      <c r="G183">
        <f t="shared" ca="1" si="24"/>
      </c>
      <c r="H183">
        <f t="shared" ca="1" si="25"/>
      </c>
      <c r="I183">
        <f t="shared" ca="1" si="26"/>
      </c>
      <c r="J183">
        <f t="shared" ca="1" si="27"/>
      </c>
      <c r="M183">
        <f t="array" aca="1" ref="M183" ca="1">IFERROR(SMALL(IF(INDIRECT($Z$1&amp;"$P$5:$P$304")=1,ROW(INDIRECT($Z$1&amp;"$A$5:$A$304"))-ROW(INDIRECT($Z$1&amp;"$A$5"))+1),168),"")</f>
      </c>
    </row>
    <row r="184" spans="2:13" x14ac:dyDescent="0.25">
      <c r="B184">
        <f t="shared" ca="1" si="19"/>
      </c>
      <c r="C184">
        <f t="shared" ca="1" si="20"/>
      </c>
      <c r="D184">
        <f t="shared" ca="1" si="21"/>
      </c>
      <c r="E184">
        <f t="shared" ca="1" si="22"/>
      </c>
      <c r="F184">
        <f t="shared" ca="1" si="23"/>
      </c>
      <c r="G184">
        <f t="shared" ca="1" si="24"/>
      </c>
      <c r="H184">
        <f t="shared" ca="1" si="25"/>
      </c>
      <c r="I184">
        <f t="shared" ca="1" si="26"/>
      </c>
      <c r="J184">
        <f t="shared" ca="1" si="27"/>
      </c>
      <c r="M184">
        <f t="array" aca="1" ref="M184" ca="1">IFERROR(SMALL(IF(INDIRECT($Z$1&amp;"$P$5:$P$304")=1,ROW(INDIRECT($Z$1&amp;"$A$5:$A$304"))-ROW(INDIRECT($Z$1&amp;"$A$5"))+1),169),"")</f>
      </c>
    </row>
    <row r="185" spans="2:13" x14ac:dyDescent="0.25">
      <c r="B185">
        <f t="shared" ca="1" si="19"/>
      </c>
      <c r="C185">
        <f t="shared" ca="1" si="20"/>
      </c>
      <c r="D185">
        <f t="shared" ca="1" si="21"/>
      </c>
      <c r="E185">
        <f t="shared" ca="1" si="22"/>
      </c>
      <c r="F185">
        <f t="shared" ca="1" si="23"/>
      </c>
      <c r="G185">
        <f t="shared" ca="1" si="24"/>
      </c>
      <c r="H185">
        <f t="shared" ca="1" si="25"/>
      </c>
      <c r="I185">
        <f t="shared" ca="1" si="26"/>
      </c>
      <c r="J185">
        <f t="shared" ca="1" si="27"/>
      </c>
      <c r="M185">
        <f t="array" aca="1" ref="M185" ca="1">IFERROR(SMALL(IF(INDIRECT($Z$1&amp;"$P$5:$P$304")=1,ROW(INDIRECT($Z$1&amp;"$A$5:$A$304"))-ROW(INDIRECT($Z$1&amp;"$A$5"))+1),170),"")</f>
      </c>
    </row>
    <row r="186" spans="2:13" x14ac:dyDescent="0.25">
      <c r="B186">
        <f t="shared" ca="1" si="19"/>
      </c>
      <c r="C186">
        <f t="shared" ca="1" si="20"/>
      </c>
      <c r="D186">
        <f t="shared" ca="1" si="21"/>
      </c>
      <c r="E186">
        <f t="shared" ca="1" si="22"/>
      </c>
      <c r="F186">
        <f t="shared" ca="1" si="23"/>
      </c>
      <c r="G186">
        <f t="shared" ca="1" si="24"/>
      </c>
      <c r="H186">
        <f t="shared" ca="1" si="25"/>
      </c>
      <c r="I186">
        <f t="shared" ca="1" si="26"/>
      </c>
      <c r="J186">
        <f t="shared" ca="1" si="27"/>
      </c>
      <c r="M186">
        <f t="array" aca="1" ref="M186" ca="1">IFERROR(SMALL(IF(INDIRECT($Z$1&amp;"$P$5:$P$304")=1,ROW(INDIRECT($Z$1&amp;"$A$5:$A$304"))-ROW(INDIRECT($Z$1&amp;"$A$5"))+1),171),"")</f>
      </c>
    </row>
    <row r="187" spans="2:13" x14ac:dyDescent="0.25">
      <c r="B187">
        <f t="shared" ca="1" si="19"/>
      </c>
      <c r="C187">
        <f t="shared" ca="1" si="20"/>
      </c>
      <c r="D187">
        <f t="shared" ca="1" si="21"/>
      </c>
      <c r="E187">
        <f t="shared" ca="1" si="22"/>
      </c>
      <c r="F187">
        <f t="shared" ca="1" si="23"/>
      </c>
      <c r="G187">
        <f t="shared" ca="1" si="24"/>
      </c>
      <c r="H187">
        <f t="shared" ca="1" si="25"/>
      </c>
      <c r="I187">
        <f t="shared" ca="1" si="26"/>
      </c>
      <c r="J187">
        <f t="shared" ca="1" si="27"/>
      </c>
      <c r="M187">
        <f t="array" aca="1" ref="M187" ca="1">IFERROR(SMALL(IF(INDIRECT($Z$1&amp;"$P$5:$P$304")=1,ROW(INDIRECT($Z$1&amp;"$A$5:$A$304"))-ROW(INDIRECT($Z$1&amp;"$A$5"))+1),172),"")</f>
      </c>
    </row>
    <row r="188" spans="2:13" x14ac:dyDescent="0.25">
      <c r="B188">
        <f t="shared" ca="1" si="19"/>
      </c>
      <c r="C188">
        <f t="shared" ca="1" si="20"/>
      </c>
      <c r="D188">
        <f t="shared" ca="1" si="21"/>
      </c>
      <c r="E188">
        <f t="shared" ca="1" si="22"/>
      </c>
      <c r="F188">
        <f t="shared" ca="1" si="23"/>
      </c>
      <c r="G188">
        <f t="shared" ca="1" si="24"/>
      </c>
      <c r="H188">
        <f t="shared" ca="1" si="25"/>
      </c>
      <c r="I188">
        <f t="shared" ca="1" si="26"/>
      </c>
      <c r="J188">
        <f t="shared" ca="1" si="27"/>
      </c>
      <c r="M188">
        <f t="array" aca="1" ref="M188" ca="1">IFERROR(SMALL(IF(INDIRECT($Z$1&amp;"$P$5:$P$304")=1,ROW(INDIRECT($Z$1&amp;"$A$5:$A$304"))-ROW(INDIRECT($Z$1&amp;"$A$5"))+1),173),"")</f>
      </c>
    </row>
    <row r="189" spans="2:13" x14ac:dyDescent="0.25">
      <c r="B189">
        <f t="shared" ca="1" si="19"/>
      </c>
      <c r="C189">
        <f t="shared" ca="1" si="20"/>
      </c>
      <c r="D189">
        <f t="shared" ca="1" si="21"/>
      </c>
      <c r="E189">
        <f t="shared" ca="1" si="22"/>
      </c>
      <c r="F189">
        <f t="shared" ca="1" si="23"/>
      </c>
      <c r="G189">
        <f t="shared" ca="1" si="24"/>
      </c>
      <c r="H189">
        <f t="shared" ca="1" si="25"/>
      </c>
      <c r="I189">
        <f t="shared" ca="1" si="26"/>
      </c>
      <c r="J189">
        <f t="shared" ca="1" si="27"/>
      </c>
      <c r="M189">
        <f t="array" aca="1" ref="M189" ca="1">IFERROR(SMALL(IF(INDIRECT($Z$1&amp;"$P$5:$P$304")=1,ROW(INDIRECT($Z$1&amp;"$A$5:$A$304"))-ROW(INDIRECT($Z$1&amp;"$A$5"))+1),174),"")</f>
      </c>
    </row>
    <row r="190" spans="2:13" x14ac:dyDescent="0.25">
      <c r="B190">
        <f t="shared" ca="1" si="19"/>
      </c>
      <c r="C190">
        <f t="shared" ca="1" si="20"/>
      </c>
      <c r="D190">
        <f t="shared" ca="1" si="21"/>
      </c>
      <c r="E190">
        <f t="shared" ca="1" si="22"/>
      </c>
      <c r="F190">
        <f t="shared" ca="1" si="23"/>
      </c>
      <c r="G190">
        <f t="shared" ca="1" si="24"/>
      </c>
      <c r="H190">
        <f t="shared" ca="1" si="25"/>
      </c>
      <c r="I190">
        <f t="shared" ca="1" si="26"/>
      </c>
      <c r="J190">
        <f t="shared" ca="1" si="27"/>
      </c>
      <c r="M190">
        <f t="array" aca="1" ref="M190" ca="1">IFERROR(SMALL(IF(INDIRECT($Z$1&amp;"$P$5:$P$304")=1,ROW(INDIRECT($Z$1&amp;"$A$5:$A$304"))-ROW(INDIRECT($Z$1&amp;"$A$5"))+1),175),"")</f>
      </c>
    </row>
    <row r="191" spans="2:13" x14ac:dyDescent="0.25">
      <c r="B191">
        <f t="shared" ca="1" si="19"/>
      </c>
      <c r="C191">
        <f t="shared" ca="1" si="20"/>
      </c>
      <c r="D191">
        <f t="shared" ca="1" si="21"/>
      </c>
      <c r="E191">
        <f t="shared" ca="1" si="22"/>
      </c>
      <c r="F191">
        <f t="shared" ca="1" si="23"/>
      </c>
      <c r="G191">
        <f t="shared" ca="1" si="24"/>
      </c>
      <c r="H191">
        <f t="shared" ca="1" si="25"/>
      </c>
      <c r="I191">
        <f t="shared" ca="1" si="26"/>
      </c>
      <c r="J191">
        <f t="shared" ca="1" si="27"/>
      </c>
      <c r="M191">
        <f t="array" aca="1" ref="M191" ca="1">IFERROR(SMALL(IF(INDIRECT($Z$1&amp;"$P$5:$P$304")=1,ROW(INDIRECT($Z$1&amp;"$A$5:$A$304"))-ROW(INDIRECT($Z$1&amp;"$A$5"))+1),176),"")</f>
      </c>
    </row>
    <row r="192" spans="2:13" x14ac:dyDescent="0.25">
      <c r="B192">
        <f t="shared" ca="1" si="19"/>
      </c>
      <c r="C192">
        <f t="shared" ca="1" si="20"/>
      </c>
      <c r="D192">
        <f t="shared" ca="1" si="21"/>
      </c>
      <c r="E192">
        <f t="shared" ca="1" si="22"/>
      </c>
      <c r="F192">
        <f t="shared" ca="1" si="23"/>
      </c>
      <c r="G192">
        <f t="shared" ca="1" si="24"/>
      </c>
      <c r="H192">
        <f t="shared" ca="1" si="25"/>
      </c>
      <c r="I192">
        <f t="shared" ca="1" si="26"/>
      </c>
      <c r="J192">
        <f t="shared" ca="1" si="27"/>
      </c>
      <c r="M192">
        <f t="array" aca="1" ref="M192" ca="1">IFERROR(SMALL(IF(INDIRECT($Z$1&amp;"$P$5:$P$304")=1,ROW(INDIRECT($Z$1&amp;"$A$5:$A$304"))-ROW(INDIRECT($Z$1&amp;"$A$5"))+1),177),"")</f>
      </c>
    </row>
    <row r="193" spans="2:13" x14ac:dyDescent="0.25">
      <c r="B193">
        <f t="shared" ca="1" si="19"/>
      </c>
      <c r="C193">
        <f t="shared" ca="1" si="20"/>
      </c>
      <c r="D193">
        <f t="shared" ca="1" si="21"/>
      </c>
      <c r="E193">
        <f t="shared" ca="1" si="22"/>
      </c>
      <c r="F193">
        <f t="shared" ca="1" si="23"/>
      </c>
      <c r="G193">
        <f t="shared" ca="1" si="24"/>
      </c>
      <c r="H193">
        <f t="shared" ca="1" si="25"/>
      </c>
      <c r="I193">
        <f t="shared" ca="1" si="26"/>
      </c>
      <c r="J193">
        <f t="shared" ca="1" si="27"/>
      </c>
      <c r="M193">
        <f t="array" aca="1" ref="M193" ca="1">IFERROR(SMALL(IF(INDIRECT($Z$1&amp;"$P$5:$P$304")=1,ROW(INDIRECT($Z$1&amp;"$A$5:$A$304"))-ROW(INDIRECT($Z$1&amp;"$A$5"))+1),178),"")</f>
      </c>
    </row>
    <row r="194" spans="2:13" x14ac:dyDescent="0.25">
      <c r="B194">
        <f t="shared" ca="1" si="19"/>
      </c>
      <c r="C194">
        <f t="shared" ca="1" si="20"/>
      </c>
      <c r="D194">
        <f t="shared" ca="1" si="21"/>
      </c>
      <c r="E194">
        <f t="shared" ca="1" si="22"/>
      </c>
      <c r="F194">
        <f t="shared" ca="1" si="23"/>
      </c>
      <c r="G194">
        <f t="shared" ca="1" si="24"/>
      </c>
      <c r="H194">
        <f t="shared" ca="1" si="25"/>
      </c>
      <c r="I194">
        <f t="shared" ca="1" si="26"/>
      </c>
      <c r="J194">
        <f t="shared" ca="1" si="27"/>
      </c>
      <c r="M194">
        <f t="array" aca="1" ref="M194" ca="1">IFERROR(SMALL(IF(INDIRECT($Z$1&amp;"$P$5:$P$304")=1,ROW(INDIRECT($Z$1&amp;"$A$5:$A$304"))-ROW(INDIRECT($Z$1&amp;"$A$5"))+1),179),"")</f>
      </c>
    </row>
    <row r="195" spans="2:13" x14ac:dyDescent="0.25">
      <c r="B195">
        <f t="shared" ca="1" si="19"/>
      </c>
      <c r="C195">
        <f t="shared" ca="1" si="20"/>
      </c>
      <c r="D195">
        <f t="shared" ca="1" si="21"/>
      </c>
      <c r="E195">
        <f t="shared" ca="1" si="22"/>
      </c>
      <c r="F195">
        <f t="shared" ca="1" si="23"/>
      </c>
      <c r="G195">
        <f t="shared" ca="1" si="24"/>
      </c>
      <c r="H195">
        <f t="shared" ca="1" si="25"/>
      </c>
      <c r="I195">
        <f t="shared" ca="1" si="26"/>
      </c>
      <c r="J195">
        <f t="shared" ca="1" si="27"/>
      </c>
      <c r="M195">
        <f t="array" aca="1" ref="M195" ca="1">IFERROR(SMALL(IF(INDIRECT($Z$1&amp;"$P$5:$P$304")=1,ROW(INDIRECT($Z$1&amp;"$A$5:$A$304"))-ROW(INDIRECT($Z$1&amp;"$A$5"))+1),180),"")</f>
      </c>
    </row>
    <row r="196" spans="2:13" x14ac:dyDescent="0.25">
      <c r="B196">
        <f t="shared" ca="1" si="19"/>
      </c>
      <c r="C196">
        <f t="shared" ca="1" si="20"/>
      </c>
      <c r="D196">
        <f t="shared" ca="1" si="21"/>
      </c>
      <c r="E196">
        <f t="shared" ca="1" si="22"/>
      </c>
      <c r="F196">
        <f t="shared" ca="1" si="23"/>
      </c>
      <c r="G196">
        <f t="shared" ca="1" si="24"/>
      </c>
      <c r="H196">
        <f t="shared" ca="1" si="25"/>
      </c>
      <c r="I196">
        <f t="shared" ca="1" si="26"/>
      </c>
      <c r="J196">
        <f t="shared" ca="1" si="27"/>
      </c>
      <c r="M196">
        <f t="array" aca="1" ref="M196" ca="1">IFERROR(SMALL(IF(INDIRECT($Z$1&amp;"$P$5:$P$304")=1,ROW(INDIRECT($Z$1&amp;"$A$5:$A$304"))-ROW(INDIRECT($Z$1&amp;"$A$5"))+1),181),"")</f>
      </c>
    </row>
    <row r="197" spans="2:13" x14ac:dyDescent="0.25">
      <c r="B197">
        <f t="shared" ca="1" si="19"/>
      </c>
      <c r="C197">
        <f t="shared" ca="1" si="20"/>
      </c>
      <c r="D197">
        <f t="shared" ca="1" si="21"/>
      </c>
      <c r="E197">
        <f t="shared" ca="1" si="22"/>
      </c>
      <c r="F197">
        <f t="shared" ca="1" si="23"/>
      </c>
      <c r="G197">
        <f t="shared" ca="1" si="24"/>
      </c>
      <c r="H197">
        <f t="shared" ca="1" si="25"/>
      </c>
      <c r="I197">
        <f t="shared" ca="1" si="26"/>
      </c>
      <c r="J197">
        <f t="shared" ca="1" si="27"/>
      </c>
      <c r="M197">
        <f t="array" aca="1" ref="M197" ca="1">IFERROR(SMALL(IF(INDIRECT($Z$1&amp;"$P$5:$P$304")=1,ROW(INDIRECT($Z$1&amp;"$A$5:$A$304"))-ROW(INDIRECT($Z$1&amp;"$A$5"))+1),182),"")</f>
      </c>
    </row>
    <row r="198" spans="2:13" x14ac:dyDescent="0.25">
      <c r="B198">
        <f t="shared" ca="1" si="19"/>
      </c>
      <c r="C198">
        <f t="shared" ca="1" si="20"/>
      </c>
      <c r="D198">
        <f t="shared" ca="1" si="21"/>
      </c>
      <c r="E198">
        <f t="shared" ca="1" si="22"/>
      </c>
      <c r="F198">
        <f t="shared" ca="1" si="23"/>
      </c>
      <c r="G198">
        <f t="shared" ca="1" si="24"/>
      </c>
      <c r="H198">
        <f t="shared" ca="1" si="25"/>
      </c>
      <c r="I198">
        <f t="shared" ca="1" si="26"/>
      </c>
      <c r="J198">
        <f t="shared" ca="1" si="27"/>
      </c>
      <c r="M198">
        <f t="array" aca="1" ref="M198" ca="1">IFERROR(SMALL(IF(INDIRECT($Z$1&amp;"$P$5:$P$304")=1,ROW(INDIRECT($Z$1&amp;"$A$5:$A$304"))-ROW(INDIRECT($Z$1&amp;"$A$5"))+1),183),"")</f>
      </c>
    </row>
    <row r="199" spans="2:13" x14ac:dyDescent="0.25">
      <c r="B199">
        <f t="shared" ca="1" si="19"/>
      </c>
      <c r="C199">
        <f t="shared" ca="1" si="20"/>
      </c>
      <c r="D199">
        <f t="shared" ca="1" si="21"/>
      </c>
      <c r="E199">
        <f t="shared" ca="1" si="22"/>
      </c>
      <c r="F199">
        <f t="shared" ca="1" si="23"/>
      </c>
      <c r="G199">
        <f t="shared" ca="1" si="24"/>
      </c>
      <c r="H199">
        <f t="shared" ca="1" si="25"/>
      </c>
      <c r="I199">
        <f t="shared" ca="1" si="26"/>
      </c>
      <c r="J199">
        <f t="shared" ca="1" si="27"/>
      </c>
      <c r="M199">
        <f t="array" aca="1" ref="M199" ca="1">IFERROR(SMALL(IF(INDIRECT($Z$1&amp;"$P$5:$P$304")=1,ROW(INDIRECT($Z$1&amp;"$A$5:$A$304"))-ROW(INDIRECT($Z$1&amp;"$A$5"))+1),184),"")</f>
      </c>
    </row>
    <row r="200" spans="2:13" x14ac:dyDescent="0.25">
      <c r="B200">
        <f t="shared" ca="1" si="19"/>
      </c>
      <c r="C200">
        <f t="shared" ca="1" si="20"/>
      </c>
      <c r="D200">
        <f t="shared" ca="1" si="21"/>
      </c>
      <c r="E200">
        <f t="shared" ca="1" si="22"/>
      </c>
      <c r="F200">
        <f t="shared" ca="1" si="23"/>
      </c>
      <c r="G200">
        <f t="shared" ca="1" si="24"/>
      </c>
      <c r="H200">
        <f t="shared" ca="1" si="25"/>
      </c>
      <c r="I200">
        <f t="shared" ca="1" si="26"/>
      </c>
      <c r="J200">
        <f t="shared" ca="1" si="27"/>
      </c>
      <c r="M200">
        <f t="array" aca="1" ref="M200" ca="1">IFERROR(SMALL(IF(INDIRECT($Z$1&amp;"$P$5:$P$304")=1,ROW(INDIRECT($Z$1&amp;"$A$5:$A$304"))-ROW(INDIRECT($Z$1&amp;"$A$5"))+1),185),"")</f>
      </c>
    </row>
    <row r="201" spans="2:13" x14ac:dyDescent="0.25">
      <c r="B201">
        <f t="shared" ca="1" si="19"/>
      </c>
      <c r="C201">
        <f t="shared" ca="1" si="20"/>
      </c>
      <c r="D201">
        <f t="shared" ca="1" si="21"/>
      </c>
      <c r="E201">
        <f t="shared" ca="1" si="22"/>
      </c>
      <c r="F201">
        <f t="shared" ca="1" si="23"/>
      </c>
      <c r="G201">
        <f t="shared" ca="1" si="24"/>
      </c>
      <c r="H201">
        <f t="shared" ca="1" si="25"/>
      </c>
      <c r="I201">
        <f t="shared" ca="1" si="26"/>
      </c>
      <c r="J201">
        <f t="shared" ca="1" si="27"/>
      </c>
      <c r="M201">
        <f t="array" aca="1" ref="M201" ca="1">IFERROR(SMALL(IF(INDIRECT($Z$1&amp;"$P$5:$P$304")=1,ROW(INDIRECT($Z$1&amp;"$A$5:$A$304"))-ROW(INDIRECT($Z$1&amp;"$A$5"))+1),186),"")</f>
      </c>
    </row>
    <row r="202" spans="2:13" x14ac:dyDescent="0.25">
      <c r="B202">
        <f t="shared" ca="1" si="19"/>
      </c>
      <c r="C202">
        <f t="shared" ca="1" si="20"/>
      </c>
      <c r="D202">
        <f t="shared" ca="1" si="21"/>
      </c>
      <c r="E202">
        <f t="shared" ca="1" si="22"/>
      </c>
      <c r="F202">
        <f t="shared" ca="1" si="23"/>
      </c>
      <c r="G202">
        <f t="shared" ca="1" si="24"/>
      </c>
      <c r="H202">
        <f t="shared" ca="1" si="25"/>
      </c>
      <c r="I202">
        <f t="shared" ca="1" si="26"/>
      </c>
      <c r="J202">
        <f t="shared" ca="1" si="27"/>
      </c>
      <c r="M202">
        <f t="array" aca="1" ref="M202" ca="1">IFERROR(SMALL(IF(INDIRECT($Z$1&amp;"$P$5:$P$304")=1,ROW(INDIRECT($Z$1&amp;"$A$5:$A$304"))-ROW(INDIRECT($Z$1&amp;"$A$5"))+1),187),"")</f>
      </c>
    </row>
    <row r="203" spans="2:13" x14ac:dyDescent="0.25">
      <c r="B203">
        <f t="shared" ca="1" si="19"/>
      </c>
      <c r="C203">
        <f t="shared" ca="1" si="20"/>
      </c>
      <c r="D203">
        <f t="shared" ca="1" si="21"/>
      </c>
      <c r="E203">
        <f t="shared" ca="1" si="22"/>
      </c>
      <c r="F203">
        <f t="shared" ca="1" si="23"/>
      </c>
      <c r="G203">
        <f t="shared" ca="1" si="24"/>
      </c>
      <c r="H203">
        <f t="shared" ca="1" si="25"/>
      </c>
      <c r="I203">
        <f t="shared" ca="1" si="26"/>
      </c>
      <c r="J203">
        <f t="shared" ca="1" si="27"/>
      </c>
      <c r="M203">
        <f t="array" aca="1" ref="M203" ca="1">IFERROR(SMALL(IF(INDIRECT($Z$1&amp;"$P$5:$P$304")=1,ROW(INDIRECT($Z$1&amp;"$A$5:$A$304"))-ROW(INDIRECT($Z$1&amp;"$A$5"))+1),188),"")</f>
      </c>
    </row>
    <row r="204" spans="2:13" x14ac:dyDescent="0.25">
      <c r="B204">
        <f t="shared" ca="1" si="19"/>
      </c>
      <c r="C204">
        <f t="shared" ca="1" si="20"/>
      </c>
      <c r="D204">
        <f t="shared" ca="1" si="21"/>
      </c>
      <c r="E204">
        <f t="shared" ca="1" si="22"/>
      </c>
      <c r="F204">
        <f t="shared" ca="1" si="23"/>
      </c>
      <c r="G204">
        <f t="shared" ca="1" si="24"/>
      </c>
      <c r="H204">
        <f t="shared" ca="1" si="25"/>
      </c>
      <c r="I204">
        <f t="shared" ca="1" si="26"/>
      </c>
      <c r="J204">
        <f t="shared" ca="1" si="27"/>
      </c>
      <c r="M204">
        <f t="array" aca="1" ref="M204" ca="1">IFERROR(SMALL(IF(INDIRECT($Z$1&amp;"$P$5:$P$304")=1,ROW(INDIRECT($Z$1&amp;"$A$5:$A$304"))-ROW(INDIRECT($Z$1&amp;"$A$5"))+1),189),"")</f>
      </c>
    </row>
    <row r="205" spans="2:13" x14ac:dyDescent="0.25">
      <c r="B205">
        <f t="shared" ca="1" si="19"/>
      </c>
      <c r="C205">
        <f t="shared" ca="1" si="20"/>
      </c>
      <c r="D205">
        <f t="shared" ca="1" si="21"/>
      </c>
      <c r="E205">
        <f t="shared" ca="1" si="22"/>
      </c>
      <c r="F205">
        <f t="shared" ca="1" si="23"/>
      </c>
      <c r="G205">
        <f t="shared" ca="1" si="24"/>
      </c>
      <c r="H205">
        <f t="shared" ca="1" si="25"/>
      </c>
      <c r="I205">
        <f t="shared" ca="1" si="26"/>
      </c>
      <c r="J205">
        <f t="shared" ca="1" si="27"/>
      </c>
      <c r="M205">
        <f t="array" aca="1" ref="M205" ca="1">IFERROR(SMALL(IF(INDIRECT($Z$1&amp;"$P$5:$P$304")=1,ROW(INDIRECT($Z$1&amp;"$A$5:$A$304"))-ROW(INDIRECT($Z$1&amp;"$A$5"))+1),190),"")</f>
      </c>
    </row>
    <row r="206" spans="2:13" x14ac:dyDescent="0.25">
      <c r="B206">
        <f t="shared" ca="1" si="19"/>
      </c>
      <c r="C206">
        <f t="shared" ca="1" si="20"/>
      </c>
      <c r="D206">
        <f t="shared" ca="1" si="21"/>
      </c>
      <c r="E206">
        <f t="shared" ca="1" si="22"/>
      </c>
      <c r="F206">
        <f t="shared" ca="1" si="23"/>
      </c>
      <c r="G206">
        <f t="shared" ca="1" si="24"/>
      </c>
      <c r="H206">
        <f t="shared" ca="1" si="25"/>
      </c>
      <c r="I206">
        <f t="shared" ca="1" si="26"/>
      </c>
      <c r="J206">
        <f t="shared" ca="1" si="27"/>
      </c>
      <c r="M206">
        <f t="array" aca="1" ref="M206" ca="1">IFERROR(SMALL(IF(INDIRECT($Z$1&amp;"$P$5:$P$304")=1,ROW(INDIRECT($Z$1&amp;"$A$5:$A$304"))-ROW(INDIRECT($Z$1&amp;"$A$5"))+1),191),"")</f>
      </c>
    </row>
    <row r="207" spans="2:13" x14ac:dyDescent="0.25">
      <c r="B207">
        <f t="shared" ca="1" si="19"/>
      </c>
      <c r="C207">
        <f t="shared" ca="1" si="20"/>
      </c>
      <c r="D207">
        <f t="shared" ca="1" si="21"/>
      </c>
      <c r="E207">
        <f t="shared" ca="1" si="22"/>
      </c>
      <c r="F207">
        <f t="shared" ca="1" si="23"/>
      </c>
      <c r="G207">
        <f t="shared" ca="1" si="24"/>
      </c>
      <c r="H207">
        <f t="shared" ca="1" si="25"/>
      </c>
      <c r="I207">
        <f t="shared" ca="1" si="26"/>
      </c>
      <c r="J207">
        <f t="shared" ca="1" si="27"/>
      </c>
      <c r="M207">
        <f t="array" aca="1" ref="M207" ca="1">IFERROR(SMALL(IF(INDIRECT($Z$1&amp;"$P$5:$P$304")=1,ROW(INDIRECT($Z$1&amp;"$A$5:$A$304"))-ROW(INDIRECT($Z$1&amp;"$A$5"))+1),192),"")</f>
      </c>
    </row>
    <row r="208" spans="2:13" x14ac:dyDescent="0.25">
      <c r="B208">
        <f t="shared" ref="B208:B271" ca="1" si="28">IF($M208="","",INDEX(INDIRECT($Z$1&amp;"$A$5:$A$304"),$M208))</f>
      </c>
      <c r="C208">
        <f t="shared" ref="C208:C271" ca="1" si="29">IF($M208="","",INDEX(INDIRECT($Z$1&amp;"$B$5:$B$304"),$M208))</f>
      </c>
      <c r="D208">
        <f t="shared" ref="D208:D271" ca="1" si="30">IF($M208="","",INDEX(INDIRECT($Z$1&amp;"$C$5:$C$304"),$M208))</f>
      </c>
      <c r="E208">
        <f t="shared" ref="E208:E271" ca="1" si="31">IF($M208="","",INDEX(INDIRECT($Z$1&amp;"$E$5:$E$304"),$M208))</f>
      </c>
      <c r="F208">
        <f t="shared" ref="F208:F271" ca="1" si="32">IF($M208="","",INDEX(INDIRECT($Z$1&amp;"$F$5:$F$304"),$M208))</f>
      </c>
      <c r="G208">
        <f t="shared" ref="G208:G271" ca="1" si="33">IF($M208="","",INDEX(INDIRECT($Z$1&amp;"$G$5:$G$304"),$M208))</f>
      </c>
      <c r="H208">
        <f t="shared" ref="H208:H271" ca="1" si="34">IF($M208="","",INDEX(INDIRECT($Z$1&amp;"$H$5:$H$304"),$M208))</f>
      </c>
      <c r="I208">
        <f t="shared" ref="I208:I271" ca="1" si="35">IF($M208="","",INDEX(INDIRECT($Z$1&amp;"$I$5:$I$304"),$M208))</f>
      </c>
      <c r="J208">
        <f t="shared" ref="J208:J271" ca="1" si="36">IF($M208="","",INDEX(INDIRECT($Z$1&amp;"$J$5:$J$304"),$M208))</f>
      </c>
      <c r="M208">
        <f t="array" aca="1" ref="M208" ca="1">IFERROR(SMALL(IF(INDIRECT($Z$1&amp;"$P$5:$P$304")=1,ROW(INDIRECT($Z$1&amp;"$A$5:$A$304"))-ROW(INDIRECT($Z$1&amp;"$A$5"))+1),193),"")</f>
      </c>
    </row>
    <row r="209" spans="2:13" x14ac:dyDescent="0.25">
      <c r="B209">
        <f t="shared" ca="1" si="28"/>
      </c>
      <c r="C209">
        <f t="shared" ca="1" si="29"/>
      </c>
      <c r="D209">
        <f t="shared" ca="1" si="30"/>
      </c>
      <c r="E209">
        <f t="shared" ca="1" si="31"/>
      </c>
      <c r="F209">
        <f t="shared" ca="1" si="32"/>
      </c>
      <c r="G209">
        <f t="shared" ca="1" si="33"/>
      </c>
      <c r="H209">
        <f t="shared" ca="1" si="34"/>
      </c>
      <c r="I209">
        <f t="shared" ca="1" si="35"/>
      </c>
      <c r="J209">
        <f t="shared" ca="1" si="36"/>
      </c>
      <c r="M209">
        <f t="array" aca="1" ref="M209" ca="1">IFERROR(SMALL(IF(INDIRECT($Z$1&amp;"$P$5:$P$304")=1,ROW(INDIRECT($Z$1&amp;"$A$5:$A$304"))-ROW(INDIRECT($Z$1&amp;"$A$5"))+1),194),"")</f>
      </c>
    </row>
    <row r="210" spans="2:13" x14ac:dyDescent="0.25">
      <c r="B210">
        <f t="shared" ca="1" si="28"/>
      </c>
      <c r="C210">
        <f t="shared" ca="1" si="29"/>
      </c>
      <c r="D210">
        <f t="shared" ca="1" si="30"/>
      </c>
      <c r="E210">
        <f t="shared" ca="1" si="31"/>
      </c>
      <c r="F210">
        <f t="shared" ca="1" si="32"/>
      </c>
      <c r="G210">
        <f t="shared" ca="1" si="33"/>
      </c>
      <c r="H210">
        <f t="shared" ca="1" si="34"/>
      </c>
      <c r="I210">
        <f t="shared" ca="1" si="35"/>
      </c>
      <c r="J210">
        <f t="shared" ca="1" si="36"/>
      </c>
      <c r="M210">
        <f t="array" aca="1" ref="M210" ca="1">IFERROR(SMALL(IF(INDIRECT($Z$1&amp;"$P$5:$P$304")=1,ROW(INDIRECT($Z$1&amp;"$A$5:$A$304"))-ROW(INDIRECT($Z$1&amp;"$A$5"))+1),195),"")</f>
      </c>
    </row>
    <row r="211" spans="2:13" x14ac:dyDescent="0.25">
      <c r="B211">
        <f t="shared" ca="1" si="28"/>
      </c>
      <c r="C211">
        <f t="shared" ca="1" si="29"/>
      </c>
      <c r="D211">
        <f t="shared" ca="1" si="30"/>
      </c>
      <c r="E211">
        <f t="shared" ca="1" si="31"/>
      </c>
      <c r="F211">
        <f t="shared" ca="1" si="32"/>
      </c>
      <c r="G211">
        <f t="shared" ca="1" si="33"/>
      </c>
      <c r="H211">
        <f t="shared" ca="1" si="34"/>
      </c>
      <c r="I211">
        <f t="shared" ca="1" si="35"/>
      </c>
      <c r="J211">
        <f t="shared" ca="1" si="36"/>
      </c>
      <c r="M211">
        <f t="array" aca="1" ref="M211" ca="1">IFERROR(SMALL(IF(INDIRECT($Z$1&amp;"$P$5:$P$304")=1,ROW(INDIRECT($Z$1&amp;"$A$5:$A$304"))-ROW(INDIRECT($Z$1&amp;"$A$5"))+1),196),"")</f>
      </c>
    </row>
    <row r="212" spans="2:13" x14ac:dyDescent="0.25">
      <c r="B212">
        <f t="shared" ca="1" si="28"/>
      </c>
      <c r="C212">
        <f t="shared" ca="1" si="29"/>
      </c>
      <c r="D212">
        <f t="shared" ca="1" si="30"/>
      </c>
      <c r="E212">
        <f t="shared" ca="1" si="31"/>
      </c>
      <c r="F212">
        <f t="shared" ca="1" si="32"/>
      </c>
      <c r="G212">
        <f t="shared" ca="1" si="33"/>
      </c>
      <c r="H212">
        <f t="shared" ca="1" si="34"/>
      </c>
      <c r="I212">
        <f t="shared" ca="1" si="35"/>
      </c>
      <c r="J212">
        <f t="shared" ca="1" si="36"/>
      </c>
      <c r="M212">
        <f t="array" aca="1" ref="M212" ca="1">IFERROR(SMALL(IF(INDIRECT($Z$1&amp;"$P$5:$P$304")=1,ROW(INDIRECT($Z$1&amp;"$A$5:$A$304"))-ROW(INDIRECT($Z$1&amp;"$A$5"))+1),197),"")</f>
      </c>
    </row>
    <row r="213" spans="2:13" x14ac:dyDescent="0.25">
      <c r="B213">
        <f t="shared" ca="1" si="28"/>
      </c>
      <c r="C213">
        <f t="shared" ca="1" si="29"/>
      </c>
      <c r="D213">
        <f t="shared" ca="1" si="30"/>
      </c>
      <c r="E213">
        <f t="shared" ca="1" si="31"/>
      </c>
      <c r="F213">
        <f t="shared" ca="1" si="32"/>
      </c>
      <c r="G213">
        <f t="shared" ca="1" si="33"/>
      </c>
      <c r="H213">
        <f t="shared" ca="1" si="34"/>
      </c>
      <c r="I213">
        <f t="shared" ca="1" si="35"/>
      </c>
      <c r="J213">
        <f t="shared" ca="1" si="36"/>
      </c>
      <c r="M213">
        <f t="array" aca="1" ref="M213" ca="1">IFERROR(SMALL(IF(INDIRECT($Z$1&amp;"$P$5:$P$304")=1,ROW(INDIRECT($Z$1&amp;"$A$5:$A$304"))-ROW(INDIRECT($Z$1&amp;"$A$5"))+1),198),"")</f>
      </c>
    </row>
    <row r="214" spans="2:13" x14ac:dyDescent="0.25">
      <c r="B214">
        <f t="shared" ca="1" si="28"/>
      </c>
      <c r="C214">
        <f t="shared" ca="1" si="29"/>
      </c>
      <c r="D214">
        <f t="shared" ca="1" si="30"/>
      </c>
      <c r="E214">
        <f t="shared" ca="1" si="31"/>
      </c>
      <c r="F214">
        <f t="shared" ca="1" si="32"/>
      </c>
      <c r="G214">
        <f t="shared" ca="1" si="33"/>
      </c>
      <c r="H214">
        <f t="shared" ca="1" si="34"/>
      </c>
      <c r="I214">
        <f t="shared" ca="1" si="35"/>
      </c>
      <c r="J214">
        <f t="shared" ca="1" si="36"/>
      </c>
      <c r="M214">
        <f t="array" aca="1" ref="M214" ca="1">IFERROR(SMALL(IF(INDIRECT($Z$1&amp;"$P$5:$P$304")=1,ROW(INDIRECT($Z$1&amp;"$A$5:$A$304"))-ROW(INDIRECT($Z$1&amp;"$A$5"))+1),199),"")</f>
      </c>
    </row>
    <row r="215" spans="2:13" x14ac:dyDescent="0.25">
      <c r="B215">
        <f t="shared" ca="1" si="28"/>
      </c>
      <c r="C215">
        <f t="shared" ca="1" si="29"/>
      </c>
      <c r="D215">
        <f t="shared" ca="1" si="30"/>
      </c>
      <c r="E215">
        <f t="shared" ca="1" si="31"/>
      </c>
      <c r="F215">
        <f t="shared" ca="1" si="32"/>
      </c>
      <c r="G215">
        <f t="shared" ca="1" si="33"/>
      </c>
      <c r="H215">
        <f t="shared" ca="1" si="34"/>
      </c>
      <c r="I215">
        <f t="shared" ca="1" si="35"/>
      </c>
      <c r="J215">
        <f t="shared" ca="1" si="36"/>
      </c>
      <c r="M215">
        <f t="array" aca="1" ref="M215" ca="1">IFERROR(SMALL(IF(INDIRECT($Z$1&amp;"$P$5:$P$304")=1,ROW(INDIRECT($Z$1&amp;"$A$5:$A$304"))-ROW(INDIRECT($Z$1&amp;"$A$5"))+1),200),"")</f>
      </c>
    </row>
    <row r="216" spans="2:13" x14ac:dyDescent="0.25">
      <c r="B216">
        <f t="shared" ca="1" si="28"/>
      </c>
      <c r="C216">
        <f t="shared" ca="1" si="29"/>
      </c>
      <c r="D216">
        <f t="shared" ca="1" si="30"/>
      </c>
      <c r="E216">
        <f t="shared" ca="1" si="31"/>
      </c>
      <c r="F216">
        <f t="shared" ca="1" si="32"/>
      </c>
      <c r="G216">
        <f t="shared" ca="1" si="33"/>
      </c>
      <c r="H216">
        <f t="shared" ca="1" si="34"/>
      </c>
      <c r="I216">
        <f t="shared" ca="1" si="35"/>
      </c>
      <c r="J216">
        <f t="shared" ca="1" si="36"/>
      </c>
      <c r="M216">
        <f t="array" aca="1" ref="M216" ca="1">IFERROR(SMALL(IF(INDIRECT($Z$1&amp;"$P$5:$P$304")=1,ROW(INDIRECT($Z$1&amp;"$A$5:$A$304"))-ROW(INDIRECT($Z$1&amp;"$A$5"))+1),201),"")</f>
      </c>
    </row>
    <row r="217" spans="2:13" x14ac:dyDescent="0.25">
      <c r="B217">
        <f t="shared" ca="1" si="28"/>
      </c>
      <c r="C217">
        <f t="shared" ca="1" si="29"/>
      </c>
      <c r="D217">
        <f t="shared" ca="1" si="30"/>
      </c>
      <c r="E217">
        <f t="shared" ca="1" si="31"/>
      </c>
      <c r="F217">
        <f t="shared" ca="1" si="32"/>
      </c>
      <c r="G217">
        <f t="shared" ca="1" si="33"/>
      </c>
      <c r="H217">
        <f t="shared" ca="1" si="34"/>
      </c>
      <c r="I217">
        <f t="shared" ca="1" si="35"/>
      </c>
      <c r="J217">
        <f t="shared" ca="1" si="36"/>
      </c>
      <c r="M217">
        <f t="array" aca="1" ref="M217" ca="1">IFERROR(SMALL(IF(INDIRECT($Z$1&amp;"$P$5:$P$304")=1,ROW(INDIRECT($Z$1&amp;"$A$5:$A$304"))-ROW(INDIRECT($Z$1&amp;"$A$5"))+1),202),"")</f>
      </c>
    </row>
    <row r="218" spans="2:13" x14ac:dyDescent="0.25">
      <c r="B218">
        <f t="shared" ca="1" si="28"/>
      </c>
      <c r="C218">
        <f t="shared" ca="1" si="29"/>
      </c>
      <c r="D218">
        <f t="shared" ca="1" si="30"/>
      </c>
      <c r="E218">
        <f t="shared" ca="1" si="31"/>
      </c>
      <c r="F218">
        <f t="shared" ca="1" si="32"/>
      </c>
      <c r="G218">
        <f t="shared" ca="1" si="33"/>
      </c>
      <c r="H218">
        <f t="shared" ca="1" si="34"/>
      </c>
      <c r="I218">
        <f t="shared" ca="1" si="35"/>
      </c>
      <c r="J218">
        <f t="shared" ca="1" si="36"/>
      </c>
      <c r="M218">
        <f t="array" aca="1" ref="M218" ca="1">IFERROR(SMALL(IF(INDIRECT($Z$1&amp;"$P$5:$P$304")=1,ROW(INDIRECT($Z$1&amp;"$A$5:$A$304"))-ROW(INDIRECT($Z$1&amp;"$A$5"))+1),203),"")</f>
      </c>
    </row>
    <row r="219" spans="2:13" x14ac:dyDescent="0.25">
      <c r="B219">
        <f t="shared" ca="1" si="28"/>
      </c>
      <c r="C219">
        <f t="shared" ca="1" si="29"/>
      </c>
      <c r="D219">
        <f t="shared" ca="1" si="30"/>
      </c>
      <c r="E219">
        <f t="shared" ca="1" si="31"/>
      </c>
      <c r="F219">
        <f t="shared" ca="1" si="32"/>
      </c>
      <c r="G219">
        <f t="shared" ca="1" si="33"/>
      </c>
      <c r="H219">
        <f t="shared" ca="1" si="34"/>
      </c>
      <c r="I219">
        <f t="shared" ca="1" si="35"/>
      </c>
      <c r="J219">
        <f t="shared" ca="1" si="36"/>
      </c>
      <c r="M219">
        <f t="array" aca="1" ref="M219" ca="1">IFERROR(SMALL(IF(INDIRECT($Z$1&amp;"$P$5:$P$304")=1,ROW(INDIRECT($Z$1&amp;"$A$5:$A$304"))-ROW(INDIRECT($Z$1&amp;"$A$5"))+1),204),"")</f>
      </c>
    </row>
    <row r="220" spans="2:13" x14ac:dyDescent="0.25">
      <c r="B220">
        <f t="shared" ca="1" si="28"/>
      </c>
      <c r="C220">
        <f t="shared" ca="1" si="29"/>
      </c>
      <c r="D220">
        <f t="shared" ca="1" si="30"/>
      </c>
      <c r="E220">
        <f t="shared" ca="1" si="31"/>
      </c>
      <c r="F220">
        <f t="shared" ca="1" si="32"/>
      </c>
      <c r="G220">
        <f t="shared" ca="1" si="33"/>
      </c>
      <c r="H220">
        <f t="shared" ca="1" si="34"/>
      </c>
      <c r="I220">
        <f t="shared" ca="1" si="35"/>
      </c>
      <c r="J220">
        <f t="shared" ca="1" si="36"/>
      </c>
      <c r="M220">
        <f t="array" aca="1" ref="M220" ca="1">IFERROR(SMALL(IF(INDIRECT($Z$1&amp;"$P$5:$P$304")=1,ROW(INDIRECT($Z$1&amp;"$A$5:$A$304"))-ROW(INDIRECT($Z$1&amp;"$A$5"))+1),205),"")</f>
      </c>
    </row>
    <row r="221" spans="2:13" x14ac:dyDescent="0.25">
      <c r="B221">
        <f t="shared" ca="1" si="28"/>
      </c>
      <c r="C221">
        <f t="shared" ca="1" si="29"/>
      </c>
      <c r="D221">
        <f t="shared" ca="1" si="30"/>
      </c>
      <c r="E221">
        <f t="shared" ca="1" si="31"/>
      </c>
      <c r="F221">
        <f t="shared" ca="1" si="32"/>
      </c>
      <c r="G221">
        <f t="shared" ca="1" si="33"/>
      </c>
      <c r="H221">
        <f t="shared" ca="1" si="34"/>
      </c>
      <c r="I221">
        <f t="shared" ca="1" si="35"/>
      </c>
      <c r="J221">
        <f t="shared" ca="1" si="36"/>
      </c>
      <c r="M221">
        <f t="array" aca="1" ref="M221" ca="1">IFERROR(SMALL(IF(INDIRECT($Z$1&amp;"$P$5:$P$304")=1,ROW(INDIRECT($Z$1&amp;"$A$5:$A$304"))-ROW(INDIRECT($Z$1&amp;"$A$5"))+1),206),"")</f>
      </c>
    </row>
    <row r="222" spans="2:13" x14ac:dyDescent="0.25">
      <c r="B222">
        <f t="shared" ca="1" si="28"/>
      </c>
      <c r="C222">
        <f t="shared" ca="1" si="29"/>
      </c>
      <c r="D222">
        <f t="shared" ca="1" si="30"/>
      </c>
      <c r="E222">
        <f t="shared" ca="1" si="31"/>
      </c>
      <c r="F222">
        <f t="shared" ca="1" si="32"/>
      </c>
      <c r="G222">
        <f t="shared" ca="1" si="33"/>
      </c>
      <c r="H222">
        <f t="shared" ca="1" si="34"/>
      </c>
      <c r="I222">
        <f t="shared" ca="1" si="35"/>
      </c>
      <c r="J222">
        <f t="shared" ca="1" si="36"/>
      </c>
      <c r="M222">
        <f t="array" aca="1" ref="M222" ca="1">IFERROR(SMALL(IF(INDIRECT($Z$1&amp;"$P$5:$P$304")=1,ROW(INDIRECT($Z$1&amp;"$A$5:$A$304"))-ROW(INDIRECT($Z$1&amp;"$A$5"))+1),207),"")</f>
      </c>
    </row>
    <row r="223" spans="2:13" x14ac:dyDescent="0.25">
      <c r="B223">
        <f t="shared" ca="1" si="28"/>
      </c>
      <c r="C223">
        <f t="shared" ca="1" si="29"/>
      </c>
      <c r="D223">
        <f t="shared" ca="1" si="30"/>
      </c>
      <c r="E223">
        <f t="shared" ca="1" si="31"/>
      </c>
      <c r="F223">
        <f t="shared" ca="1" si="32"/>
      </c>
      <c r="G223">
        <f t="shared" ca="1" si="33"/>
      </c>
      <c r="H223">
        <f t="shared" ca="1" si="34"/>
      </c>
      <c r="I223">
        <f t="shared" ca="1" si="35"/>
      </c>
      <c r="J223">
        <f t="shared" ca="1" si="36"/>
      </c>
      <c r="M223">
        <f t="array" aca="1" ref="M223" ca="1">IFERROR(SMALL(IF(INDIRECT($Z$1&amp;"$P$5:$P$304")=1,ROW(INDIRECT($Z$1&amp;"$A$5:$A$304"))-ROW(INDIRECT($Z$1&amp;"$A$5"))+1),208),"")</f>
      </c>
    </row>
    <row r="224" spans="2:13" x14ac:dyDescent="0.25">
      <c r="B224">
        <f t="shared" ca="1" si="28"/>
      </c>
      <c r="C224">
        <f t="shared" ca="1" si="29"/>
      </c>
      <c r="D224">
        <f t="shared" ca="1" si="30"/>
      </c>
      <c r="E224">
        <f t="shared" ca="1" si="31"/>
      </c>
      <c r="F224">
        <f t="shared" ca="1" si="32"/>
      </c>
      <c r="G224">
        <f t="shared" ca="1" si="33"/>
      </c>
      <c r="H224">
        <f t="shared" ca="1" si="34"/>
      </c>
      <c r="I224">
        <f t="shared" ca="1" si="35"/>
      </c>
      <c r="J224">
        <f t="shared" ca="1" si="36"/>
      </c>
      <c r="M224">
        <f t="array" aca="1" ref="M224" ca="1">IFERROR(SMALL(IF(INDIRECT($Z$1&amp;"$P$5:$P$304")=1,ROW(INDIRECT($Z$1&amp;"$A$5:$A$304"))-ROW(INDIRECT($Z$1&amp;"$A$5"))+1),209),"")</f>
      </c>
    </row>
    <row r="225" spans="2:13" x14ac:dyDescent="0.25">
      <c r="B225">
        <f t="shared" ca="1" si="28"/>
      </c>
      <c r="C225">
        <f t="shared" ca="1" si="29"/>
      </c>
      <c r="D225">
        <f t="shared" ca="1" si="30"/>
      </c>
      <c r="E225">
        <f t="shared" ca="1" si="31"/>
      </c>
      <c r="F225">
        <f t="shared" ca="1" si="32"/>
      </c>
      <c r="G225">
        <f t="shared" ca="1" si="33"/>
      </c>
      <c r="H225">
        <f t="shared" ca="1" si="34"/>
      </c>
      <c r="I225">
        <f t="shared" ca="1" si="35"/>
      </c>
      <c r="J225">
        <f t="shared" ca="1" si="36"/>
      </c>
      <c r="M225">
        <f t="array" aca="1" ref="M225" ca="1">IFERROR(SMALL(IF(INDIRECT($Z$1&amp;"$P$5:$P$304")=1,ROW(INDIRECT($Z$1&amp;"$A$5:$A$304"))-ROW(INDIRECT($Z$1&amp;"$A$5"))+1),210),"")</f>
      </c>
    </row>
    <row r="226" spans="2:13" x14ac:dyDescent="0.25">
      <c r="B226">
        <f t="shared" ca="1" si="28"/>
      </c>
      <c r="C226">
        <f t="shared" ca="1" si="29"/>
      </c>
      <c r="D226">
        <f t="shared" ca="1" si="30"/>
      </c>
      <c r="E226">
        <f t="shared" ca="1" si="31"/>
      </c>
      <c r="F226">
        <f t="shared" ca="1" si="32"/>
      </c>
      <c r="G226">
        <f t="shared" ca="1" si="33"/>
      </c>
      <c r="H226">
        <f t="shared" ca="1" si="34"/>
      </c>
      <c r="I226">
        <f t="shared" ca="1" si="35"/>
      </c>
      <c r="J226">
        <f t="shared" ca="1" si="36"/>
      </c>
      <c r="M226">
        <f t="array" aca="1" ref="M226" ca="1">IFERROR(SMALL(IF(INDIRECT($Z$1&amp;"$P$5:$P$304")=1,ROW(INDIRECT($Z$1&amp;"$A$5:$A$304"))-ROW(INDIRECT($Z$1&amp;"$A$5"))+1),211),"")</f>
      </c>
    </row>
    <row r="227" spans="2:13" x14ac:dyDescent="0.25">
      <c r="B227">
        <f t="shared" ca="1" si="28"/>
      </c>
      <c r="C227">
        <f t="shared" ca="1" si="29"/>
      </c>
      <c r="D227">
        <f t="shared" ca="1" si="30"/>
      </c>
      <c r="E227">
        <f t="shared" ca="1" si="31"/>
      </c>
      <c r="F227">
        <f t="shared" ca="1" si="32"/>
      </c>
      <c r="G227">
        <f t="shared" ca="1" si="33"/>
      </c>
      <c r="H227">
        <f t="shared" ca="1" si="34"/>
      </c>
      <c r="I227">
        <f t="shared" ca="1" si="35"/>
      </c>
      <c r="J227">
        <f t="shared" ca="1" si="36"/>
      </c>
      <c r="M227">
        <f t="array" aca="1" ref="M227" ca="1">IFERROR(SMALL(IF(INDIRECT($Z$1&amp;"$P$5:$P$304")=1,ROW(INDIRECT($Z$1&amp;"$A$5:$A$304"))-ROW(INDIRECT($Z$1&amp;"$A$5"))+1),212),"")</f>
      </c>
    </row>
    <row r="228" spans="2:13" x14ac:dyDescent="0.25">
      <c r="B228">
        <f t="shared" ca="1" si="28"/>
      </c>
      <c r="C228">
        <f t="shared" ca="1" si="29"/>
      </c>
      <c r="D228">
        <f t="shared" ca="1" si="30"/>
      </c>
      <c r="E228">
        <f t="shared" ca="1" si="31"/>
      </c>
      <c r="F228">
        <f t="shared" ca="1" si="32"/>
      </c>
      <c r="G228">
        <f t="shared" ca="1" si="33"/>
      </c>
      <c r="H228">
        <f t="shared" ca="1" si="34"/>
      </c>
      <c r="I228">
        <f t="shared" ca="1" si="35"/>
      </c>
      <c r="J228">
        <f t="shared" ca="1" si="36"/>
      </c>
      <c r="M228">
        <f t="array" aca="1" ref="M228" ca="1">IFERROR(SMALL(IF(INDIRECT($Z$1&amp;"$P$5:$P$304")=1,ROW(INDIRECT($Z$1&amp;"$A$5:$A$304"))-ROW(INDIRECT($Z$1&amp;"$A$5"))+1),213),"")</f>
      </c>
    </row>
    <row r="229" spans="2:13" x14ac:dyDescent="0.25">
      <c r="B229">
        <f t="shared" ca="1" si="28"/>
      </c>
      <c r="C229">
        <f t="shared" ca="1" si="29"/>
      </c>
      <c r="D229">
        <f t="shared" ca="1" si="30"/>
      </c>
      <c r="E229">
        <f t="shared" ca="1" si="31"/>
      </c>
      <c r="F229">
        <f t="shared" ca="1" si="32"/>
      </c>
      <c r="G229">
        <f t="shared" ca="1" si="33"/>
      </c>
      <c r="H229">
        <f t="shared" ca="1" si="34"/>
      </c>
      <c r="I229">
        <f t="shared" ca="1" si="35"/>
      </c>
      <c r="J229">
        <f t="shared" ca="1" si="36"/>
      </c>
      <c r="M229">
        <f t="array" aca="1" ref="M229" ca="1">IFERROR(SMALL(IF(INDIRECT($Z$1&amp;"$P$5:$P$304")=1,ROW(INDIRECT($Z$1&amp;"$A$5:$A$304"))-ROW(INDIRECT($Z$1&amp;"$A$5"))+1),214),"")</f>
      </c>
    </row>
    <row r="230" spans="2:13" x14ac:dyDescent="0.25">
      <c r="B230">
        <f t="shared" ca="1" si="28"/>
      </c>
      <c r="C230">
        <f t="shared" ca="1" si="29"/>
      </c>
      <c r="D230">
        <f t="shared" ca="1" si="30"/>
      </c>
      <c r="E230">
        <f t="shared" ca="1" si="31"/>
      </c>
      <c r="F230">
        <f t="shared" ca="1" si="32"/>
      </c>
      <c r="G230">
        <f t="shared" ca="1" si="33"/>
      </c>
      <c r="H230">
        <f t="shared" ca="1" si="34"/>
      </c>
      <c r="I230">
        <f t="shared" ca="1" si="35"/>
      </c>
      <c r="J230">
        <f t="shared" ca="1" si="36"/>
      </c>
      <c r="M230">
        <f t="array" aca="1" ref="M230" ca="1">IFERROR(SMALL(IF(INDIRECT($Z$1&amp;"$P$5:$P$304")=1,ROW(INDIRECT($Z$1&amp;"$A$5:$A$304"))-ROW(INDIRECT($Z$1&amp;"$A$5"))+1),215),"")</f>
      </c>
    </row>
    <row r="231" spans="2:13" x14ac:dyDescent="0.25">
      <c r="B231">
        <f t="shared" ca="1" si="28"/>
      </c>
      <c r="C231">
        <f t="shared" ca="1" si="29"/>
      </c>
      <c r="D231">
        <f t="shared" ca="1" si="30"/>
      </c>
      <c r="E231">
        <f t="shared" ca="1" si="31"/>
      </c>
      <c r="F231">
        <f t="shared" ca="1" si="32"/>
      </c>
      <c r="G231">
        <f t="shared" ca="1" si="33"/>
      </c>
      <c r="H231">
        <f t="shared" ca="1" si="34"/>
      </c>
      <c r="I231">
        <f t="shared" ca="1" si="35"/>
      </c>
      <c r="J231">
        <f t="shared" ca="1" si="36"/>
      </c>
      <c r="M231">
        <f t="array" aca="1" ref="M231" ca="1">IFERROR(SMALL(IF(INDIRECT($Z$1&amp;"$P$5:$P$304")=1,ROW(INDIRECT($Z$1&amp;"$A$5:$A$304"))-ROW(INDIRECT($Z$1&amp;"$A$5"))+1),216),"")</f>
      </c>
    </row>
    <row r="232" spans="2:13" x14ac:dyDescent="0.25">
      <c r="B232">
        <f t="shared" ca="1" si="28"/>
      </c>
      <c r="C232">
        <f t="shared" ca="1" si="29"/>
      </c>
      <c r="D232">
        <f t="shared" ca="1" si="30"/>
      </c>
      <c r="E232">
        <f t="shared" ca="1" si="31"/>
      </c>
      <c r="F232">
        <f t="shared" ca="1" si="32"/>
      </c>
      <c r="G232">
        <f t="shared" ca="1" si="33"/>
      </c>
      <c r="H232">
        <f t="shared" ca="1" si="34"/>
      </c>
      <c r="I232">
        <f t="shared" ca="1" si="35"/>
      </c>
      <c r="J232">
        <f t="shared" ca="1" si="36"/>
      </c>
      <c r="M232">
        <f t="array" aca="1" ref="M232" ca="1">IFERROR(SMALL(IF(INDIRECT($Z$1&amp;"$P$5:$P$304")=1,ROW(INDIRECT($Z$1&amp;"$A$5:$A$304"))-ROW(INDIRECT($Z$1&amp;"$A$5"))+1),217),"")</f>
      </c>
    </row>
    <row r="233" spans="2:13" x14ac:dyDescent="0.25">
      <c r="B233">
        <f t="shared" ca="1" si="28"/>
      </c>
      <c r="C233">
        <f t="shared" ca="1" si="29"/>
      </c>
      <c r="D233">
        <f t="shared" ca="1" si="30"/>
      </c>
      <c r="E233">
        <f t="shared" ca="1" si="31"/>
      </c>
      <c r="F233">
        <f t="shared" ca="1" si="32"/>
      </c>
      <c r="G233">
        <f t="shared" ca="1" si="33"/>
      </c>
      <c r="H233">
        <f t="shared" ca="1" si="34"/>
      </c>
      <c r="I233">
        <f t="shared" ca="1" si="35"/>
      </c>
      <c r="J233">
        <f t="shared" ca="1" si="36"/>
      </c>
      <c r="M233">
        <f t="array" aca="1" ref="M233" ca="1">IFERROR(SMALL(IF(INDIRECT($Z$1&amp;"$P$5:$P$304")=1,ROW(INDIRECT($Z$1&amp;"$A$5:$A$304"))-ROW(INDIRECT($Z$1&amp;"$A$5"))+1),218),"")</f>
      </c>
    </row>
    <row r="234" spans="2:13" x14ac:dyDescent="0.25">
      <c r="B234">
        <f t="shared" ca="1" si="28"/>
      </c>
      <c r="C234">
        <f t="shared" ca="1" si="29"/>
      </c>
      <c r="D234">
        <f t="shared" ca="1" si="30"/>
      </c>
      <c r="E234">
        <f t="shared" ca="1" si="31"/>
      </c>
      <c r="F234">
        <f t="shared" ca="1" si="32"/>
      </c>
      <c r="G234">
        <f t="shared" ca="1" si="33"/>
      </c>
      <c r="H234">
        <f t="shared" ca="1" si="34"/>
      </c>
      <c r="I234">
        <f t="shared" ca="1" si="35"/>
      </c>
      <c r="J234">
        <f t="shared" ca="1" si="36"/>
      </c>
      <c r="M234">
        <f t="array" aca="1" ref="M234" ca="1">IFERROR(SMALL(IF(INDIRECT($Z$1&amp;"$P$5:$P$304")=1,ROW(INDIRECT($Z$1&amp;"$A$5:$A$304"))-ROW(INDIRECT($Z$1&amp;"$A$5"))+1),219),"")</f>
      </c>
    </row>
    <row r="235" spans="2:13" x14ac:dyDescent="0.25">
      <c r="B235">
        <f t="shared" ca="1" si="28"/>
      </c>
      <c r="C235">
        <f t="shared" ca="1" si="29"/>
      </c>
      <c r="D235">
        <f t="shared" ca="1" si="30"/>
      </c>
      <c r="E235">
        <f t="shared" ca="1" si="31"/>
      </c>
      <c r="F235">
        <f t="shared" ca="1" si="32"/>
      </c>
      <c r="G235">
        <f t="shared" ca="1" si="33"/>
      </c>
      <c r="H235">
        <f t="shared" ca="1" si="34"/>
      </c>
      <c r="I235">
        <f t="shared" ca="1" si="35"/>
      </c>
      <c r="J235">
        <f t="shared" ca="1" si="36"/>
      </c>
      <c r="M235">
        <f t="array" aca="1" ref="M235" ca="1">IFERROR(SMALL(IF(INDIRECT($Z$1&amp;"$P$5:$P$304")=1,ROW(INDIRECT($Z$1&amp;"$A$5:$A$304"))-ROW(INDIRECT($Z$1&amp;"$A$5"))+1),220),"")</f>
      </c>
    </row>
    <row r="236" spans="2:13" x14ac:dyDescent="0.25">
      <c r="B236">
        <f t="shared" ca="1" si="28"/>
      </c>
      <c r="C236">
        <f t="shared" ca="1" si="29"/>
      </c>
      <c r="D236">
        <f t="shared" ca="1" si="30"/>
      </c>
      <c r="E236">
        <f t="shared" ca="1" si="31"/>
      </c>
      <c r="F236">
        <f t="shared" ca="1" si="32"/>
      </c>
      <c r="G236">
        <f t="shared" ca="1" si="33"/>
      </c>
      <c r="H236">
        <f t="shared" ca="1" si="34"/>
      </c>
      <c r="I236">
        <f t="shared" ca="1" si="35"/>
      </c>
      <c r="J236">
        <f t="shared" ca="1" si="36"/>
      </c>
      <c r="M236">
        <f t="array" aca="1" ref="M236" ca="1">IFERROR(SMALL(IF(INDIRECT($Z$1&amp;"$P$5:$P$304")=1,ROW(INDIRECT($Z$1&amp;"$A$5:$A$304"))-ROW(INDIRECT($Z$1&amp;"$A$5"))+1),221),"")</f>
      </c>
    </row>
    <row r="237" spans="2:13" x14ac:dyDescent="0.25">
      <c r="B237">
        <f t="shared" ca="1" si="28"/>
      </c>
      <c r="C237">
        <f t="shared" ca="1" si="29"/>
      </c>
      <c r="D237">
        <f t="shared" ca="1" si="30"/>
      </c>
      <c r="E237">
        <f t="shared" ca="1" si="31"/>
      </c>
      <c r="F237">
        <f t="shared" ca="1" si="32"/>
      </c>
      <c r="G237">
        <f t="shared" ca="1" si="33"/>
      </c>
      <c r="H237">
        <f t="shared" ca="1" si="34"/>
      </c>
      <c r="I237">
        <f t="shared" ca="1" si="35"/>
      </c>
      <c r="J237">
        <f t="shared" ca="1" si="36"/>
      </c>
      <c r="M237">
        <f t="array" aca="1" ref="M237" ca="1">IFERROR(SMALL(IF(INDIRECT($Z$1&amp;"$P$5:$P$304")=1,ROW(INDIRECT($Z$1&amp;"$A$5:$A$304"))-ROW(INDIRECT($Z$1&amp;"$A$5"))+1),222),"")</f>
      </c>
    </row>
    <row r="238" spans="2:13" x14ac:dyDescent="0.25">
      <c r="B238">
        <f t="shared" ca="1" si="28"/>
      </c>
      <c r="C238">
        <f t="shared" ca="1" si="29"/>
      </c>
      <c r="D238">
        <f t="shared" ca="1" si="30"/>
      </c>
      <c r="E238">
        <f t="shared" ca="1" si="31"/>
      </c>
      <c r="F238">
        <f t="shared" ca="1" si="32"/>
      </c>
      <c r="G238">
        <f t="shared" ca="1" si="33"/>
      </c>
      <c r="H238">
        <f t="shared" ca="1" si="34"/>
      </c>
      <c r="I238">
        <f t="shared" ca="1" si="35"/>
      </c>
      <c r="J238">
        <f t="shared" ca="1" si="36"/>
      </c>
      <c r="M238">
        <f t="array" aca="1" ref="M238" ca="1">IFERROR(SMALL(IF(INDIRECT($Z$1&amp;"$P$5:$P$304")=1,ROW(INDIRECT($Z$1&amp;"$A$5:$A$304"))-ROW(INDIRECT($Z$1&amp;"$A$5"))+1),223),"")</f>
      </c>
    </row>
    <row r="239" spans="2:13" x14ac:dyDescent="0.25">
      <c r="B239">
        <f t="shared" ca="1" si="28"/>
      </c>
      <c r="C239">
        <f t="shared" ca="1" si="29"/>
      </c>
      <c r="D239">
        <f t="shared" ca="1" si="30"/>
      </c>
      <c r="E239">
        <f t="shared" ca="1" si="31"/>
      </c>
      <c r="F239">
        <f t="shared" ca="1" si="32"/>
      </c>
      <c r="G239">
        <f t="shared" ca="1" si="33"/>
      </c>
      <c r="H239">
        <f t="shared" ca="1" si="34"/>
      </c>
      <c r="I239">
        <f t="shared" ca="1" si="35"/>
      </c>
      <c r="J239">
        <f t="shared" ca="1" si="36"/>
      </c>
      <c r="M239">
        <f t="array" aca="1" ref="M239" ca="1">IFERROR(SMALL(IF(INDIRECT($Z$1&amp;"$P$5:$P$304")=1,ROW(INDIRECT($Z$1&amp;"$A$5:$A$304"))-ROW(INDIRECT($Z$1&amp;"$A$5"))+1),224),"")</f>
      </c>
    </row>
    <row r="240" spans="2:13" x14ac:dyDescent="0.25">
      <c r="B240">
        <f t="shared" ca="1" si="28"/>
      </c>
      <c r="C240">
        <f t="shared" ca="1" si="29"/>
      </c>
      <c r="D240">
        <f t="shared" ca="1" si="30"/>
      </c>
      <c r="E240">
        <f t="shared" ca="1" si="31"/>
      </c>
      <c r="F240">
        <f t="shared" ca="1" si="32"/>
      </c>
      <c r="G240">
        <f t="shared" ca="1" si="33"/>
      </c>
      <c r="H240">
        <f t="shared" ca="1" si="34"/>
      </c>
      <c r="I240">
        <f t="shared" ca="1" si="35"/>
      </c>
      <c r="J240">
        <f t="shared" ca="1" si="36"/>
      </c>
      <c r="M240">
        <f t="array" aca="1" ref="M240" ca="1">IFERROR(SMALL(IF(INDIRECT($Z$1&amp;"$P$5:$P$304")=1,ROW(INDIRECT($Z$1&amp;"$A$5:$A$304"))-ROW(INDIRECT($Z$1&amp;"$A$5"))+1),225),"")</f>
      </c>
    </row>
    <row r="241" spans="2:13" x14ac:dyDescent="0.25">
      <c r="B241">
        <f t="shared" ca="1" si="28"/>
      </c>
      <c r="C241">
        <f t="shared" ca="1" si="29"/>
      </c>
      <c r="D241">
        <f t="shared" ca="1" si="30"/>
      </c>
      <c r="E241">
        <f t="shared" ca="1" si="31"/>
      </c>
      <c r="F241">
        <f t="shared" ca="1" si="32"/>
      </c>
      <c r="G241">
        <f t="shared" ca="1" si="33"/>
      </c>
      <c r="H241">
        <f t="shared" ca="1" si="34"/>
      </c>
      <c r="I241">
        <f t="shared" ca="1" si="35"/>
      </c>
      <c r="J241">
        <f t="shared" ca="1" si="36"/>
      </c>
      <c r="M241">
        <f t="array" aca="1" ref="M241" ca="1">IFERROR(SMALL(IF(INDIRECT($Z$1&amp;"$P$5:$P$304")=1,ROW(INDIRECT($Z$1&amp;"$A$5:$A$304"))-ROW(INDIRECT($Z$1&amp;"$A$5"))+1),226),"")</f>
      </c>
    </row>
    <row r="242" spans="2:13" x14ac:dyDescent="0.25">
      <c r="B242">
        <f t="shared" ca="1" si="28"/>
      </c>
      <c r="C242">
        <f t="shared" ca="1" si="29"/>
      </c>
      <c r="D242">
        <f t="shared" ca="1" si="30"/>
      </c>
      <c r="E242">
        <f t="shared" ca="1" si="31"/>
      </c>
      <c r="F242">
        <f t="shared" ca="1" si="32"/>
      </c>
      <c r="G242">
        <f t="shared" ca="1" si="33"/>
      </c>
      <c r="H242">
        <f t="shared" ca="1" si="34"/>
      </c>
      <c r="I242">
        <f t="shared" ca="1" si="35"/>
      </c>
      <c r="J242">
        <f t="shared" ca="1" si="36"/>
      </c>
      <c r="M242">
        <f t="array" aca="1" ref="M242" ca="1">IFERROR(SMALL(IF(INDIRECT($Z$1&amp;"$P$5:$P$304")=1,ROW(INDIRECT($Z$1&amp;"$A$5:$A$304"))-ROW(INDIRECT($Z$1&amp;"$A$5"))+1),227),"")</f>
      </c>
    </row>
    <row r="243" spans="2:13" x14ac:dyDescent="0.25">
      <c r="B243">
        <f t="shared" ca="1" si="28"/>
      </c>
      <c r="C243">
        <f t="shared" ca="1" si="29"/>
      </c>
      <c r="D243">
        <f t="shared" ca="1" si="30"/>
      </c>
      <c r="E243">
        <f t="shared" ca="1" si="31"/>
      </c>
      <c r="F243">
        <f t="shared" ca="1" si="32"/>
      </c>
      <c r="G243">
        <f t="shared" ca="1" si="33"/>
      </c>
      <c r="H243">
        <f t="shared" ca="1" si="34"/>
      </c>
      <c r="I243">
        <f t="shared" ca="1" si="35"/>
      </c>
      <c r="J243">
        <f t="shared" ca="1" si="36"/>
      </c>
      <c r="M243">
        <f t="array" aca="1" ref="M243" ca="1">IFERROR(SMALL(IF(INDIRECT($Z$1&amp;"$P$5:$P$304")=1,ROW(INDIRECT($Z$1&amp;"$A$5:$A$304"))-ROW(INDIRECT($Z$1&amp;"$A$5"))+1),228),"")</f>
      </c>
    </row>
    <row r="244" spans="2:13" x14ac:dyDescent="0.25">
      <c r="B244">
        <f t="shared" ca="1" si="28"/>
      </c>
      <c r="C244">
        <f t="shared" ca="1" si="29"/>
      </c>
      <c r="D244">
        <f t="shared" ca="1" si="30"/>
      </c>
      <c r="E244">
        <f t="shared" ca="1" si="31"/>
      </c>
      <c r="F244">
        <f t="shared" ca="1" si="32"/>
      </c>
      <c r="G244">
        <f t="shared" ca="1" si="33"/>
      </c>
      <c r="H244">
        <f t="shared" ca="1" si="34"/>
      </c>
      <c r="I244">
        <f t="shared" ca="1" si="35"/>
      </c>
      <c r="J244">
        <f t="shared" ca="1" si="36"/>
      </c>
      <c r="M244">
        <f t="array" aca="1" ref="M244" ca="1">IFERROR(SMALL(IF(INDIRECT($Z$1&amp;"$P$5:$P$304")=1,ROW(INDIRECT($Z$1&amp;"$A$5:$A$304"))-ROW(INDIRECT($Z$1&amp;"$A$5"))+1),229),"")</f>
      </c>
    </row>
    <row r="245" spans="2:13" x14ac:dyDescent="0.25">
      <c r="B245">
        <f t="shared" ca="1" si="28"/>
      </c>
      <c r="C245">
        <f t="shared" ca="1" si="29"/>
      </c>
      <c r="D245">
        <f t="shared" ca="1" si="30"/>
      </c>
      <c r="E245">
        <f t="shared" ca="1" si="31"/>
      </c>
      <c r="F245">
        <f t="shared" ca="1" si="32"/>
      </c>
      <c r="G245">
        <f t="shared" ca="1" si="33"/>
      </c>
      <c r="H245">
        <f t="shared" ca="1" si="34"/>
      </c>
      <c r="I245">
        <f t="shared" ca="1" si="35"/>
      </c>
      <c r="J245">
        <f t="shared" ca="1" si="36"/>
      </c>
      <c r="M245">
        <f t="array" aca="1" ref="M245" ca="1">IFERROR(SMALL(IF(INDIRECT($Z$1&amp;"$P$5:$P$304")=1,ROW(INDIRECT($Z$1&amp;"$A$5:$A$304"))-ROW(INDIRECT($Z$1&amp;"$A$5"))+1),230),"")</f>
      </c>
    </row>
    <row r="246" spans="2:13" x14ac:dyDescent="0.25">
      <c r="B246">
        <f t="shared" ca="1" si="28"/>
      </c>
      <c r="C246">
        <f t="shared" ca="1" si="29"/>
      </c>
      <c r="D246">
        <f t="shared" ca="1" si="30"/>
      </c>
      <c r="E246">
        <f t="shared" ca="1" si="31"/>
      </c>
      <c r="F246">
        <f t="shared" ca="1" si="32"/>
      </c>
      <c r="G246">
        <f t="shared" ca="1" si="33"/>
      </c>
      <c r="H246">
        <f t="shared" ca="1" si="34"/>
      </c>
      <c r="I246">
        <f t="shared" ca="1" si="35"/>
      </c>
      <c r="J246">
        <f t="shared" ca="1" si="36"/>
      </c>
      <c r="M246">
        <f t="array" aca="1" ref="M246" ca="1">IFERROR(SMALL(IF(INDIRECT($Z$1&amp;"$P$5:$P$304")=1,ROW(INDIRECT($Z$1&amp;"$A$5:$A$304"))-ROW(INDIRECT($Z$1&amp;"$A$5"))+1),231),"")</f>
      </c>
    </row>
    <row r="247" spans="2:13" x14ac:dyDescent="0.25">
      <c r="B247">
        <f t="shared" ca="1" si="28"/>
      </c>
      <c r="C247">
        <f t="shared" ca="1" si="29"/>
      </c>
      <c r="D247">
        <f t="shared" ca="1" si="30"/>
      </c>
      <c r="E247">
        <f t="shared" ca="1" si="31"/>
      </c>
      <c r="F247">
        <f t="shared" ca="1" si="32"/>
      </c>
      <c r="G247">
        <f t="shared" ca="1" si="33"/>
      </c>
      <c r="H247">
        <f t="shared" ca="1" si="34"/>
      </c>
      <c r="I247">
        <f t="shared" ca="1" si="35"/>
      </c>
      <c r="J247">
        <f t="shared" ca="1" si="36"/>
      </c>
      <c r="M247">
        <f t="array" aca="1" ref="M247" ca="1">IFERROR(SMALL(IF(INDIRECT($Z$1&amp;"$P$5:$P$304")=1,ROW(INDIRECT($Z$1&amp;"$A$5:$A$304"))-ROW(INDIRECT($Z$1&amp;"$A$5"))+1),232),"")</f>
      </c>
    </row>
    <row r="248" spans="2:13" x14ac:dyDescent="0.25">
      <c r="B248">
        <f t="shared" ca="1" si="28"/>
      </c>
      <c r="C248">
        <f t="shared" ca="1" si="29"/>
      </c>
      <c r="D248">
        <f t="shared" ca="1" si="30"/>
      </c>
      <c r="E248">
        <f t="shared" ca="1" si="31"/>
      </c>
      <c r="F248">
        <f t="shared" ca="1" si="32"/>
      </c>
      <c r="G248">
        <f t="shared" ca="1" si="33"/>
      </c>
      <c r="H248">
        <f t="shared" ca="1" si="34"/>
      </c>
      <c r="I248">
        <f t="shared" ca="1" si="35"/>
      </c>
      <c r="J248">
        <f t="shared" ca="1" si="36"/>
      </c>
      <c r="M248">
        <f t="array" aca="1" ref="M248" ca="1">IFERROR(SMALL(IF(INDIRECT($Z$1&amp;"$P$5:$P$304")=1,ROW(INDIRECT($Z$1&amp;"$A$5:$A$304"))-ROW(INDIRECT($Z$1&amp;"$A$5"))+1),233),"")</f>
      </c>
    </row>
    <row r="249" spans="2:13" x14ac:dyDescent="0.25">
      <c r="B249">
        <f t="shared" ca="1" si="28"/>
      </c>
      <c r="C249">
        <f t="shared" ca="1" si="29"/>
      </c>
      <c r="D249">
        <f t="shared" ca="1" si="30"/>
      </c>
      <c r="E249">
        <f t="shared" ca="1" si="31"/>
      </c>
      <c r="F249">
        <f t="shared" ca="1" si="32"/>
      </c>
      <c r="G249">
        <f t="shared" ca="1" si="33"/>
      </c>
      <c r="H249">
        <f t="shared" ca="1" si="34"/>
      </c>
      <c r="I249">
        <f t="shared" ca="1" si="35"/>
      </c>
      <c r="J249">
        <f t="shared" ca="1" si="36"/>
      </c>
      <c r="M249">
        <f t="array" aca="1" ref="M249" ca="1">IFERROR(SMALL(IF(INDIRECT($Z$1&amp;"$P$5:$P$304")=1,ROW(INDIRECT($Z$1&amp;"$A$5:$A$304"))-ROW(INDIRECT($Z$1&amp;"$A$5"))+1),234),"")</f>
      </c>
    </row>
    <row r="250" spans="2:13" x14ac:dyDescent="0.25">
      <c r="B250">
        <f t="shared" ca="1" si="28"/>
      </c>
      <c r="C250">
        <f t="shared" ca="1" si="29"/>
      </c>
      <c r="D250">
        <f t="shared" ca="1" si="30"/>
      </c>
      <c r="E250">
        <f t="shared" ca="1" si="31"/>
      </c>
      <c r="F250">
        <f t="shared" ca="1" si="32"/>
      </c>
      <c r="G250">
        <f t="shared" ca="1" si="33"/>
      </c>
      <c r="H250">
        <f t="shared" ca="1" si="34"/>
      </c>
      <c r="I250">
        <f t="shared" ca="1" si="35"/>
      </c>
      <c r="J250">
        <f t="shared" ca="1" si="36"/>
      </c>
      <c r="M250">
        <f t="array" aca="1" ref="M250" ca="1">IFERROR(SMALL(IF(INDIRECT($Z$1&amp;"$P$5:$P$304")=1,ROW(INDIRECT($Z$1&amp;"$A$5:$A$304"))-ROW(INDIRECT($Z$1&amp;"$A$5"))+1),235),"")</f>
      </c>
    </row>
    <row r="251" spans="2:13" x14ac:dyDescent="0.25">
      <c r="B251">
        <f t="shared" ca="1" si="28"/>
      </c>
      <c r="C251">
        <f t="shared" ca="1" si="29"/>
      </c>
      <c r="D251">
        <f t="shared" ca="1" si="30"/>
      </c>
      <c r="E251">
        <f t="shared" ca="1" si="31"/>
      </c>
      <c r="F251">
        <f t="shared" ca="1" si="32"/>
      </c>
      <c r="G251">
        <f t="shared" ca="1" si="33"/>
      </c>
      <c r="H251">
        <f t="shared" ca="1" si="34"/>
      </c>
      <c r="I251">
        <f t="shared" ca="1" si="35"/>
      </c>
      <c r="J251">
        <f t="shared" ca="1" si="36"/>
      </c>
      <c r="M251">
        <f t="array" aca="1" ref="M251" ca="1">IFERROR(SMALL(IF(INDIRECT($Z$1&amp;"$P$5:$P$304")=1,ROW(INDIRECT($Z$1&amp;"$A$5:$A$304"))-ROW(INDIRECT($Z$1&amp;"$A$5"))+1),236),"")</f>
      </c>
    </row>
    <row r="252" spans="2:13" x14ac:dyDescent="0.25">
      <c r="B252">
        <f t="shared" ca="1" si="28"/>
      </c>
      <c r="C252">
        <f t="shared" ca="1" si="29"/>
      </c>
      <c r="D252">
        <f t="shared" ca="1" si="30"/>
      </c>
      <c r="E252">
        <f t="shared" ca="1" si="31"/>
      </c>
      <c r="F252">
        <f t="shared" ca="1" si="32"/>
      </c>
      <c r="G252">
        <f t="shared" ca="1" si="33"/>
      </c>
      <c r="H252">
        <f t="shared" ca="1" si="34"/>
      </c>
      <c r="I252">
        <f t="shared" ca="1" si="35"/>
      </c>
      <c r="J252">
        <f t="shared" ca="1" si="36"/>
      </c>
      <c r="M252">
        <f t="array" aca="1" ref="M252" ca="1">IFERROR(SMALL(IF(INDIRECT($Z$1&amp;"$P$5:$P$304")=1,ROW(INDIRECT($Z$1&amp;"$A$5:$A$304"))-ROW(INDIRECT($Z$1&amp;"$A$5"))+1),237),"")</f>
      </c>
    </row>
    <row r="253" spans="2:13" x14ac:dyDescent="0.25">
      <c r="B253">
        <f t="shared" ca="1" si="28"/>
      </c>
      <c r="C253">
        <f t="shared" ca="1" si="29"/>
      </c>
      <c r="D253">
        <f t="shared" ca="1" si="30"/>
      </c>
      <c r="E253">
        <f t="shared" ca="1" si="31"/>
      </c>
      <c r="F253">
        <f t="shared" ca="1" si="32"/>
      </c>
      <c r="G253">
        <f t="shared" ca="1" si="33"/>
      </c>
      <c r="H253">
        <f t="shared" ca="1" si="34"/>
      </c>
      <c r="I253">
        <f t="shared" ca="1" si="35"/>
      </c>
      <c r="J253">
        <f t="shared" ca="1" si="36"/>
      </c>
      <c r="M253">
        <f t="array" aca="1" ref="M253" ca="1">IFERROR(SMALL(IF(INDIRECT($Z$1&amp;"$P$5:$P$304")=1,ROW(INDIRECT($Z$1&amp;"$A$5:$A$304"))-ROW(INDIRECT($Z$1&amp;"$A$5"))+1),238),"")</f>
      </c>
    </row>
    <row r="254" spans="2:13" x14ac:dyDescent="0.25">
      <c r="B254">
        <f t="shared" ca="1" si="28"/>
      </c>
      <c r="C254">
        <f t="shared" ca="1" si="29"/>
      </c>
      <c r="D254">
        <f t="shared" ca="1" si="30"/>
      </c>
      <c r="E254">
        <f t="shared" ca="1" si="31"/>
      </c>
      <c r="F254">
        <f t="shared" ca="1" si="32"/>
      </c>
      <c r="G254">
        <f t="shared" ca="1" si="33"/>
      </c>
      <c r="H254">
        <f t="shared" ca="1" si="34"/>
      </c>
      <c r="I254">
        <f t="shared" ca="1" si="35"/>
      </c>
      <c r="J254">
        <f t="shared" ca="1" si="36"/>
      </c>
      <c r="M254">
        <f t="array" aca="1" ref="M254" ca="1">IFERROR(SMALL(IF(INDIRECT($Z$1&amp;"$P$5:$P$304")=1,ROW(INDIRECT($Z$1&amp;"$A$5:$A$304"))-ROW(INDIRECT($Z$1&amp;"$A$5"))+1),239),"")</f>
      </c>
    </row>
    <row r="255" spans="2:13" x14ac:dyDescent="0.25">
      <c r="B255">
        <f t="shared" ca="1" si="28"/>
      </c>
      <c r="C255">
        <f t="shared" ca="1" si="29"/>
      </c>
      <c r="D255">
        <f t="shared" ca="1" si="30"/>
      </c>
      <c r="E255">
        <f t="shared" ca="1" si="31"/>
      </c>
      <c r="F255">
        <f t="shared" ca="1" si="32"/>
      </c>
      <c r="G255">
        <f t="shared" ca="1" si="33"/>
      </c>
      <c r="H255">
        <f t="shared" ca="1" si="34"/>
      </c>
      <c r="I255">
        <f t="shared" ca="1" si="35"/>
      </c>
      <c r="J255">
        <f t="shared" ca="1" si="36"/>
      </c>
      <c r="M255">
        <f t="array" aca="1" ref="M255" ca="1">IFERROR(SMALL(IF(INDIRECT($Z$1&amp;"$P$5:$P$304")=1,ROW(INDIRECT($Z$1&amp;"$A$5:$A$304"))-ROW(INDIRECT($Z$1&amp;"$A$5"))+1),240),"")</f>
      </c>
    </row>
    <row r="256" spans="2:13" x14ac:dyDescent="0.25">
      <c r="B256">
        <f t="shared" ca="1" si="28"/>
      </c>
      <c r="C256">
        <f t="shared" ca="1" si="29"/>
      </c>
      <c r="D256">
        <f t="shared" ca="1" si="30"/>
      </c>
      <c r="E256">
        <f t="shared" ca="1" si="31"/>
      </c>
      <c r="F256">
        <f t="shared" ca="1" si="32"/>
      </c>
      <c r="G256">
        <f t="shared" ca="1" si="33"/>
      </c>
      <c r="H256">
        <f t="shared" ca="1" si="34"/>
      </c>
      <c r="I256">
        <f t="shared" ca="1" si="35"/>
      </c>
      <c r="J256">
        <f t="shared" ca="1" si="36"/>
      </c>
      <c r="M256">
        <f t="array" aca="1" ref="M256" ca="1">IFERROR(SMALL(IF(INDIRECT($Z$1&amp;"$P$5:$P$304")=1,ROW(INDIRECT($Z$1&amp;"$A$5:$A$304"))-ROW(INDIRECT($Z$1&amp;"$A$5"))+1),241),"")</f>
      </c>
    </row>
    <row r="257" spans="2:13" x14ac:dyDescent="0.25">
      <c r="B257">
        <f t="shared" ca="1" si="28"/>
      </c>
      <c r="C257">
        <f t="shared" ca="1" si="29"/>
      </c>
      <c r="D257">
        <f t="shared" ca="1" si="30"/>
      </c>
      <c r="E257">
        <f t="shared" ca="1" si="31"/>
      </c>
      <c r="F257">
        <f t="shared" ca="1" si="32"/>
      </c>
      <c r="G257">
        <f t="shared" ca="1" si="33"/>
      </c>
      <c r="H257">
        <f t="shared" ca="1" si="34"/>
      </c>
      <c r="I257">
        <f t="shared" ca="1" si="35"/>
      </c>
      <c r="J257">
        <f t="shared" ca="1" si="36"/>
      </c>
      <c r="M257">
        <f t="array" aca="1" ref="M257" ca="1">IFERROR(SMALL(IF(INDIRECT($Z$1&amp;"$P$5:$P$304")=1,ROW(INDIRECT($Z$1&amp;"$A$5:$A$304"))-ROW(INDIRECT($Z$1&amp;"$A$5"))+1),242),"")</f>
      </c>
    </row>
    <row r="258" spans="2:13" x14ac:dyDescent="0.25">
      <c r="B258">
        <f t="shared" ca="1" si="28"/>
      </c>
      <c r="C258">
        <f t="shared" ca="1" si="29"/>
      </c>
      <c r="D258">
        <f t="shared" ca="1" si="30"/>
      </c>
      <c r="E258">
        <f t="shared" ca="1" si="31"/>
      </c>
      <c r="F258">
        <f t="shared" ca="1" si="32"/>
      </c>
      <c r="G258">
        <f t="shared" ca="1" si="33"/>
      </c>
      <c r="H258">
        <f t="shared" ca="1" si="34"/>
      </c>
      <c r="I258">
        <f t="shared" ca="1" si="35"/>
      </c>
      <c r="J258">
        <f t="shared" ca="1" si="36"/>
      </c>
      <c r="M258">
        <f t="array" aca="1" ref="M258" ca="1">IFERROR(SMALL(IF(INDIRECT($Z$1&amp;"$P$5:$P$304")=1,ROW(INDIRECT($Z$1&amp;"$A$5:$A$304"))-ROW(INDIRECT($Z$1&amp;"$A$5"))+1),243),"")</f>
      </c>
    </row>
    <row r="259" spans="2:13" x14ac:dyDescent="0.25">
      <c r="B259">
        <f t="shared" ca="1" si="28"/>
      </c>
      <c r="C259">
        <f t="shared" ca="1" si="29"/>
      </c>
      <c r="D259">
        <f t="shared" ca="1" si="30"/>
      </c>
      <c r="E259">
        <f t="shared" ca="1" si="31"/>
      </c>
      <c r="F259">
        <f t="shared" ca="1" si="32"/>
      </c>
      <c r="G259">
        <f t="shared" ca="1" si="33"/>
      </c>
      <c r="H259">
        <f t="shared" ca="1" si="34"/>
      </c>
      <c r="I259">
        <f t="shared" ca="1" si="35"/>
      </c>
      <c r="J259">
        <f t="shared" ca="1" si="36"/>
      </c>
      <c r="M259">
        <f t="array" aca="1" ref="M259" ca="1">IFERROR(SMALL(IF(INDIRECT($Z$1&amp;"$P$5:$P$304")=1,ROW(INDIRECT($Z$1&amp;"$A$5:$A$304"))-ROW(INDIRECT($Z$1&amp;"$A$5"))+1),244),"")</f>
      </c>
    </row>
    <row r="260" spans="2:13" x14ac:dyDescent="0.25">
      <c r="B260">
        <f t="shared" ca="1" si="28"/>
      </c>
      <c r="C260">
        <f t="shared" ca="1" si="29"/>
      </c>
      <c r="D260">
        <f t="shared" ca="1" si="30"/>
      </c>
      <c r="E260">
        <f t="shared" ca="1" si="31"/>
      </c>
      <c r="F260">
        <f t="shared" ca="1" si="32"/>
      </c>
      <c r="G260">
        <f t="shared" ca="1" si="33"/>
      </c>
      <c r="H260">
        <f t="shared" ca="1" si="34"/>
      </c>
      <c r="I260">
        <f t="shared" ca="1" si="35"/>
      </c>
      <c r="J260">
        <f t="shared" ca="1" si="36"/>
      </c>
      <c r="M260">
        <f t="array" aca="1" ref="M260" ca="1">IFERROR(SMALL(IF(INDIRECT($Z$1&amp;"$P$5:$P$304")=1,ROW(INDIRECT($Z$1&amp;"$A$5:$A$304"))-ROW(INDIRECT($Z$1&amp;"$A$5"))+1),245),"")</f>
      </c>
    </row>
    <row r="261" spans="2:13" x14ac:dyDescent="0.25">
      <c r="B261">
        <f t="shared" ca="1" si="28"/>
      </c>
      <c r="C261">
        <f t="shared" ca="1" si="29"/>
      </c>
      <c r="D261">
        <f t="shared" ca="1" si="30"/>
      </c>
      <c r="E261">
        <f t="shared" ca="1" si="31"/>
      </c>
      <c r="F261">
        <f t="shared" ca="1" si="32"/>
      </c>
      <c r="G261">
        <f t="shared" ca="1" si="33"/>
      </c>
      <c r="H261">
        <f t="shared" ca="1" si="34"/>
      </c>
      <c r="I261">
        <f t="shared" ca="1" si="35"/>
      </c>
      <c r="J261">
        <f t="shared" ca="1" si="36"/>
      </c>
      <c r="M261">
        <f t="array" aca="1" ref="M261" ca="1">IFERROR(SMALL(IF(INDIRECT($Z$1&amp;"$P$5:$P$304")=1,ROW(INDIRECT($Z$1&amp;"$A$5:$A$304"))-ROW(INDIRECT($Z$1&amp;"$A$5"))+1),246),"")</f>
      </c>
    </row>
    <row r="262" spans="2:13" x14ac:dyDescent="0.25">
      <c r="B262">
        <f t="shared" ca="1" si="28"/>
      </c>
      <c r="C262">
        <f t="shared" ca="1" si="29"/>
      </c>
      <c r="D262">
        <f t="shared" ca="1" si="30"/>
      </c>
      <c r="E262">
        <f t="shared" ca="1" si="31"/>
      </c>
      <c r="F262">
        <f t="shared" ca="1" si="32"/>
      </c>
      <c r="G262">
        <f t="shared" ca="1" si="33"/>
      </c>
      <c r="H262">
        <f t="shared" ca="1" si="34"/>
      </c>
      <c r="I262">
        <f t="shared" ca="1" si="35"/>
      </c>
      <c r="J262">
        <f t="shared" ca="1" si="36"/>
      </c>
      <c r="M262">
        <f t="array" aca="1" ref="M262" ca="1">IFERROR(SMALL(IF(INDIRECT($Z$1&amp;"$P$5:$P$304")=1,ROW(INDIRECT($Z$1&amp;"$A$5:$A$304"))-ROW(INDIRECT($Z$1&amp;"$A$5"))+1),247),"")</f>
      </c>
    </row>
    <row r="263" spans="2:13" x14ac:dyDescent="0.25">
      <c r="B263">
        <f t="shared" ca="1" si="28"/>
      </c>
      <c r="C263">
        <f t="shared" ca="1" si="29"/>
      </c>
      <c r="D263">
        <f t="shared" ca="1" si="30"/>
      </c>
      <c r="E263">
        <f t="shared" ca="1" si="31"/>
      </c>
      <c r="F263">
        <f t="shared" ca="1" si="32"/>
      </c>
      <c r="G263">
        <f t="shared" ca="1" si="33"/>
      </c>
      <c r="H263">
        <f t="shared" ca="1" si="34"/>
      </c>
      <c r="I263">
        <f t="shared" ca="1" si="35"/>
      </c>
      <c r="J263">
        <f t="shared" ca="1" si="36"/>
      </c>
      <c r="M263">
        <f t="array" aca="1" ref="M263" ca="1">IFERROR(SMALL(IF(INDIRECT($Z$1&amp;"$P$5:$P$304")=1,ROW(INDIRECT($Z$1&amp;"$A$5:$A$304"))-ROW(INDIRECT($Z$1&amp;"$A$5"))+1),248),"")</f>
      </c>
    </row>
    <row r="264" spans="2:13" x14ac:dyDescent="0.25">
      <c r="B264">
        <f t="shared" ca="1" si="28"/>
      </c>
      <c r="C264">
        <f t="shared" ca="1" si="29"/>
      </c>
      <c r="D264">
        <f t="shared" ca="1" si="30"/>
      </c>
      <c r="E264">
        <f t="shared" ca="1" si="31"/>
      </c>
      <c r="F264">
        <f t="shared" ca="1" si="32"/>
      </c>
      <c r="G264">
        <f t="shared" ca="1" si="33"/>
      </c>
      <c r="H264">
        <f t="shared" ca="1" si="34"/>
      </c>
      <c r="I264">
        <f t="shared" ca="1" si="35"/>
      </c>
      <c r="J264">
        <f t="shared" ca="1" si="36"/>
      </c>
      <c r="M264">
        <f t="array" aca="1" ref="M264" ca="1">IFERROR(SMALL(IF(INDIRECT($Z$1&amp;"$P$5:$P$304")=1,ROW(INDIRECT($Z$1&amp;"$A$5:$A$304"))-ROW(INDIRECT($Z$1&amp;"$A$5"))+1),249),"")</f>
      </c>
    </row>
    <row r="265" spans="2:13" x14ac:dyDescent="0.25">
      <c r="B265">
        <f t="shared" ca="1" si="28"/>
      </c>
      <c r="C265">
        <f t="shared" ca="1" si="29"/>
      </c>
      <c r="D265">
        <f t="shared" ca="1" si="30"/>
      </c>
      <c r="E265">
        <f t="shared" ca="1" si="31"/>
      </c>
      <c r="F265">
        <f t="shared" ca="1" si="32"/>
      </c>
      <c r="G265">
        <f t="shared" ca="1" si="33"/>
      </c>
      <c r="H265">
        <f t="shared" ca="1" si="34"/>
      </c>
      <c r="I265">
        <f t="shared" ca="1" si="35"/>
      </c>
      <c r="J265">
        <f t="shared" ca="1" si="36"/>
      </c>
      <c r="M265">
        <f t="array" aca="1" ref="M265" ca="1">IFERROR(SMALL(IF(INDIRECT($Z$1&amp;"$P$5:$P$304")=1,ROW(INDIRECT($Z$1&amp;"$A$5:$A$304"))-ROW(INDIRECT($Z$1&amp;"$A$5"))+1),250),"")</f>
      </c>
    </row>
    <row r="266" spans="2:13" x14ac:dyDescent="0.25">
      <c r="B266">
        <f t="shared" ca="1" si="28"/>
      </c>
      <c r="C266">
        <f t="shared" ca="1" si="29"/>
      </c>
      <c r="D266">
        <f t="shared" ca="1" si="30"/>
      </c>
      <c r="E266">
        <f t="shared" ca="1" si="31"/>
      </c>
      <c r="F266">
        <f t="shared" ca="1" si="32"/>
      </c>
      <c r="G266">
        <f t="shared" ca="1" si="33"/>
      </c>
      <c r="H266">
        <f t="shared" ca="1" si="34"/>
      </c>
      <c r="I266">
        <f t="shared" ca="1" si="35"/>
      </c>
      <c r="J266">
        <f t="shared" ca="1" si="36"/>
      </c>
      <c r="M266">
        <f t="array" aca="1" ref="M266" ca="1">IFERROR(SMALL(IF(INDIRECT($Z$1&amp;"$P$5:$P$304")=1,ROW(INDIRECT($Z$1&amp;"$A$5:$A$304"))-ROW(INDIRECT($Z$1&amp;"$A$5"))+1),251),"")</f>
      </c>
    </row>
    <row r="267" spans="2:13" x14ac:dyDescent="0.25">
      <c r="B267">
        <f t="shared" ca="1" si="28"/>
      </c>
      <c r="C267">
        <f t="shared" ca="1" si="29"/>
      </c>
      <c r="D267">
        <f t="shared" ca="1" si="30"/>
      </c>
      <c r="E267">
        <f t="shared" ca="1" si="31"/>
      </c>
      <c r="F267">
        <f t="shared" ca="1" si="32"/>
      </c>
      <c r="G267">
        <f t="shared" ca="1" si="33"/>
      </c>
      <c r="H267">
        <f t="shared" ca="1" si="34"/>
      </c>
      <c r="I267">
        <f t="shared" ca="1" si="35"/>
      </c>
      <c r="J267">
        <f t="shared" ca="1" si="36"/>
      </c>
      <c r="M267">
        <f t="array" aca="1" ref="M267" ca="1">IFERROR(SMALL(IF(INDIRECT($Z$1&amp;"$P$5:$P$304")=1,ROW(INDIRECT($Z$1&amp;"$A$5:$A$304"))-ROW(INDIRECT($Z$1&amp;"$A$5"))+1),252),"")</f>
      </c>
    </row>
    <row r="268" spans="2:13" x14ac:dyDescent="0.25">
      <c r="B268">
        <f t="shared" ca="1" si="28"/>
      </c>
      <c r="C268">
        <f t="shared" ca="1" si="29"/>
      </c>
      <c r="D268">
        <f t="shared" ca="1" si="30"/>
      </c>
      <c r="E268">
        <f t="shared" ca="1" si="31"/>
      </c>
      <c r="F268">
        <f t="shared" ca="1" si="32"/>
      </c>
      <c r="G268">
        <f t="shared" ca="1" si="33"/>
      </c>
      <c r="H268">
        <f t="shared" ca="1" si="34"/>
      </c>
      <c r="I268">
        <f t="shared" ca="1" si="35"/>
      </c>
      <c r="J268">
        <f t="shared" ca="1" si="36"/>
      </c>
      <c r="M268">
        <f t="array" aca="1" ref="M268" ca="1">IFERROR(SMALL(IF(INDIRECT($Z$1&amp;"$P$5:$P$304")=1,ROW(INDIRECT($Z$1&amp;"$A$5:$A$304"))-ROW(INDIRECT($Z$1&amp;"$A$5"))+1),253),"")</f>
      </c>
    </row>
    <row r="269" spans="2:13" x14ac:dyDescent="0.25">
      <c r="B269">
        <f t="shared" ca="1" si="28"/>
      </c>
      <c r="C269">
        <f t="shared" ca="1" si="29"/>
      </c>
      <c r="D269">
        <f t="shared" ca="1" si="30"/>
      </c>
      <c r="E269">
        <f t="shared" ca="1" si="31"/>
      </c>
      <c r="F269">
        <f t="shared" ca="1" si="32"/>
      </c>
      <c r="G269">
        <f t="shared" ca="1" si="33"/>
      </c>
      <c r="H269">
        <f t="shared" ca="1" si="34"/>
      </c>
      <c r="I269">
        <f t="shared" ca="1" si="35"/>
      </c>
      <c r="J269">
        <f t="shared" ca="1" si="36"/>
      </c>
      <c r="M269">
        <f t="array" aca="1" ref="M269" ca="1">IFERROR(SMALL(IF(INDIRECT($Z$1&amp;"$P$5:$P$304")=1,ROW(INDIRECT($Z$1&amp;"$A$5:$A$304"))-ROW(INDIRECT($Z$1&amp;"$A$5"))+1),254),"")</f>
      </c>
    </row>
    <row r="270" spans="2:13" x14ac:dyDescent="0.25">
      <c r="B270">
        <f t="shared" ca="1" si="28"/>
      </c>
      <c r="C270">
        <f t="shared" ca="1" si="29"/>
      </c>
      <c r="D270">
        <f t="shared" ca="1" si="30"/>
      </c>
      <c r="E270">
        <f t="shared" ca="1" si="31"/>
      </c>
      <c r="F270">
        <f t="shared" ca="1" si="32"/>
      </c>
      <c r="G270">
        <f t="shared" ca="1" si="33"/>
      </c>
      <c r="H270">
        <f t="shared" ca="1" si="34"/>
      </c>
      <c r="I270">
        <f t="shared" ca="1" si="35"/>
      </c>
      <c r="J270">
        <f t="shared" ca="1" si="36"/>
      </c>
      <c r="M270">
        <f t="array" aca="1" ref="M270" ca="1">IFERROR(SMALL(IF(INDIRECT($Z$1&amp;"$P$5:$P$304")=1,ROW(INDIRECT($Z$1&amp;"$A$5:$A$304"))-ROW(INDIRECT($Z$1&amp;"$A$5"))+1),255),"")</f>
      </c>
    </row>
    <row r="271" spans="2:13" x14ac:dyDescent="0.25">
      <c r="B271">
        <f t="shared" ca="1" si="28"/>
      </c>
      <c r="C271">
        <f t="shared" ca="1" si="29"/>
      </c>
      <c r="D271">
        <f t="shared" ca="1" si="30"/>
      </c>
      <c r="E271">
        <f t="shared" ca="1" si="31"/>
      </c>
      <c r="F271">
        <f t="shared" ca="1" si="32"/>
      </c>
      <c r="G271">
        <f t="shared" ca="1" si="33"/>
      </c>
      <c r="H271">
        <f t="shared" ca="1" si="34"/>
      </c>
      <c r="I271">
        <f t="shared" ca="1" si="35"/>
      </c>
      <c r="J271">
        <f t="shared" ca="1" si="36"/>
      </c>
      <c r="M271">
        <f t="array" aca="1" ref="M271" ca="1">IFERROR(SMALL(IF(INDIRECT($Z$1&amp;"$P$5:$P$304")=1,ROW(INDIRECT($Z$1&amp;"$A$5:$A$304"))-ROW(INDIRECT($Z$1&amp;"$A$5"))+1),256),"")</f>
      </c>
    </row>
    <row r="272" spans="2:13" x14ac:dyDescent="0.25">
      <c r="B272">
        <f t="shared" ref="B272:B315" ca="1" si="37">IF($M272="","",INDEX(INDIRECT($Z$1&amp;"$A$5:$A$304"),$M272))</f>
      </c>
      <c r="C272">
        <f t="shared" ref="C272:C315" ca="1" si="38">IF($M272="","",INDEX(INDIRECT($Z$1&amp;"$B$5:$B$304"),$M272))</f>
      </c>
      <c r="D272">
        <f t="shared" ref="D272:D315" ca="1" si="39">IF($M272="","",INDEX(INDIRECT($Z$1&amp;"$C$5:$C$304"),$M272))</f>
      </c>
      <c r="E272">
        <f t="shared" ref="E272:E315" ca="1" si="40">IF($M272="","",INDEX(INDIRECT($Z$1&amp;"$E$5:$E$304"),$M272))</f>
      </c>
      <c r="F272">
        <f t="shared" ref="F272:F315" ca="1" si="41">IF($M272="","",INDEX(INDIRECT($Z$1&amp;"$F$5:$F$304"),$M272))</f>
      </c>
      <c r="G272">
        <f t="shared" ref="G272:G315" ca="1" si="42">IF($M272="","",INDEX(INDIRECT($Z$1&amp;"$G$5:$G$304"),$M272))</f>
      </c>
      <c r="H272">
        <f t="shared" ref="H272:H315" ca="1" si="43">IF($M272="","",INDEX(INDIRECT($Z$1&amp;"$H$5:$H$304"),$M272))</f>
      </c>
      <c r="I272">
        <f t="shared" ref="I272:I315" ca="1" si="44">IF($M272="","",INDEX(INDIRECT($Z$1&amp;"$I$5:$I$304"),$M272))</f>
      </c>
      <c r="J272">
        <f t="shared" ref="J272:J315" ca="1" si="45">IF($M272="","",INDEX(INDIRECT($Z$1&amp;"$J$5:$J$304"),$M272))</f>
      </c>
      <c r="M272">
        <f t="array" aca="1" ref="M272" ca="1">IFERROR(SMALL(IF(INDIRECT($Z$1&amp;"$P$5:$P$304")=1,ROW(INDIRECT($Z$1&amp;"$A$5:$A$304"))-ROW(INDIRECT($Z$1&amp;"$A$5"))+1),257),"")</f>
      </c>
    </row>
    <row r="273" spans="2:13" x14ac:dyDescent="0.25">
      <c r="B273">
        <f t="shared" ca="1" si="37"/>
      </c>
      <c r="C273">
        <f t="shared" ca="1" si="38"/>
      </c>
      <c r="D273">
        <f t="shared" ca="1" si="39"/>
      </c>
      <c r="E273">
        <f t="shared" ca="1" si="40"/>
      </c>
      <c r="F273">
        <f t="shared" ca="1" si="41"/>
      </c>
      <c r="G273">
        <f t="shared" ca="1" si="42"/>
      </c>
      <c r="H273">
        <f t="shared" ca="1" si="43"/>
      </c>
      <c r="I273">
        <f t="shared" ca="1" si="44"/>
      </c>
      <c r="J273">
        <f t="shared" ca="1" si="45"/>
      </c>
      <c r="M273">
        <f t="array" aca="1" ref="M273" ca="1">IFERROR(SMALL(IF(INDIRECT($Z$1&amp;"$P$5:$P$304")=1,ROW(INDIRECT($Z$1&amp;"$A$5:$A$304"))-ROW(INDIRECT($Z$1&amp;"$A$5"))+1),258),"")</f>
      </c>
    </row>
    <row r="274" spans="2:13" x14ac:dyDescent="0.25">
      <c r="B274">
        <f t="shared" ca="1" si="37"/>
      </c>
      <c r="C274">
        <f t="shared" ca="1" si="38"/>
      </c>
      <c r="D274">
        <f t="shared" ca="1" si="39"/>
      </c>
      <c r="E274">
        <f t="shared" ca="1" si="40"/>
      </c>
      <c r="F274">
        <f t="shared" ca="1" si="41"/>
      </c>
      <c r="G274">
        <f t="shared" ca="1" si="42"/>
      </c>
      <c r="H274">
        <f t="shared" ca="1" si="43"/>
      </c>
      <c r="I274">
        <f t="shared" ca="1" si="44"/>
      </c>
      <c r="J274">
        <f t="shared" ca="1" si="45"/>
      </c>
      <c r="M274">
        <f t="array" aca="1" ref="M274" ca="1">IFERROR(SMALL(IF(INDIRECT($Z$1&amp;"$P$5:$P$304")=1,ROW(INDIRECT($Z$1&amp;"$A$5:$A$304"))-ROW(INDIRECT($Z$1&amp;"$A$5"))+1),259),"")</f>
      </c>
    </row>
    <row r="275" spans="2:13" x14ac:dyDescent="0.25">
      <c r="B275">
        <f t="shared" ca="1" si="37"/>
      </c>
      <c r="C275">
        <f t="shared" ca="1" si="38"/>
      </c>
      <c r="D275">
        <f t="shared" ca="1" si="39"/>
      </c>
      <c r="E275">
        <f t="shared" ca="1" si="40"/>
      </c>
      <c r="F275">
        <f t="shared" ca="1" si="41"/>
      </c>
      <c r="G275">
        <f t="shared" ca="1" si="42"/>
      </c>
      <c r="H275">
        <f t="shared" ca="1" si="43"/>
      </c>
      <c r="I275">
        <f t="shared" ca="1" si="44"/>
      </c>
      <c r="J275">
        <f t="shared" ca="1" si="45"/>
      </c>
      <c r="M275">
        <f t="array" aca="1" ref="M275" ca="1">IFERROR(SMALL(IF(INDIRECT($Z$1&amp;"$P$5:$P$304")=1,ROW(INDIRECT($Z$1&amp;"$A$5:$A$304"))-ROW(INDIRECT($Z$1&amp;"$A$5"))+1),260),"")</f>
      </c>
    </row>
    <row r="276" spans="2:13" x14ac:dyDescent="0.25">
      <c r="B276">
        <f t="shared" ca="1" si="37"/>
      </c>
      <c r="C276">
        <f t="shared" ca="1" si="38"/>
      </c>
      <c r="D276">
        <f t="shared" ca="1" si="39"/>
      </c>
      <c r="E276">
        <f t="shared" ca="1" si="40"/>
      </c>
      <c r="F276">
        <f t="shared" ca="1" si="41"/>
      </c>
      <c r="G276">
        <f t="shared" ca="1" si="42"/>
      </c>
      <c r="H276">
        <f t="shared" ca="1" si="43"/>
      </c>
      <c r="I276">
        <f t="shared" ca="1" si="44"/>
      </c>
      <c r="J276">
        <f t="shared" ca="1" si="45"/>
      </c>
      <c r="M276">
        <f t="array" aca="1" ref="M276" ca="1">IFERROR(SMALL(IF(INDIRECT($Z$1&amp;"$P$5:$P$304")=1,ROW(INDIRECT($Z$1&amp;"$A$5:$A$304"))-ROW(INDIRECT($Z$1&amp;"$A$5"))+1),261),"")</f>
      </c>
    </row>
    <row r="277" spans="2:13" x14ac:dyDescent="0.25">
      <c r="B277">
        <f t="shared" ca="1" si="37"/>
      </c>
      <c r="C277">
        <f t="shared" ca="1" si="38"/>
      </c>
      <c r="D277">
        <f t="shared" ca="1" si="39"/>
      </c>
      <c r="E277">
        <f t="shared" ca="1" si="40"/>
      </c>
      <c r="F277">
        <f t="shared" ca="1" si="41"/>
      </c>
      <c r="G277">
        <f t="shared" ca="1" si="42"/>
      </c>
      <c r="H277">
        <f t="shared" ca="1" si="43"/>
      </c>
      <c r="I277">
        <f t="shared" ca="1" si="44"/>
      </c>
      <c r="J277">
        <f t="shared" ca="1" si="45"/>
      </c>
      <c r="M277">
        <f t="array" aca="1" ref="M277" ca="1">IFERROR(SMALL(IF(INDIRECT($Z$1&amp;"$P$5:$P$304")=1,ROW(INDIRECT($Z$1&amp;"$A$5:$A$304"))-ROW(INDIRECT($Z$1&amp;"$A$5"))+1),262),"")</f>
      </c>
    </row>
    <row r="278" spans="2:13" x14ac:dyDescent="0.25">
      <c r="B278">
        <f t="shared" ca="1" si="37"/>
      </c>
      <c r="C278">
        <f t="shared" ca="1" si="38"/>
      </c>
      <c r="D278">
        <f t="shared" ca="1" si="39"/>
      </c>
      <c r="E278">
        <f t="shared" ca="1" si="40"/>
      </c>
      <c r="F278">
        <f t="shared" ca="1" si="41"/>
      </c>
      <c r="G278">
        <f t="shared" ca="1" si="42"/>
      </c>
      <c r="H278">
        <f t="shared" ca="1" si="43"/>
      </c>
      <c r="I278">
        <f t="shared" ca="1" si="44"/>
      </c>
      <c r="J278">
        <f t="shared" ca="1" si="45"/>
      </c>
      <c r="M278">
        <f t="array" aca="1" ref="M278" ca="1">IFERROR(SMALL(IF(INDIRECT($Z$1&amp;"$P$5:$P$304")=1,ROW(INDIRECT($Z$1&amp;"$A$5:$A$304"))-ROW(INDIRECT($Z$1&amp;"$A$5"))+1),263),"")</f>
      </c>
    </row>
    <row r="279" spans="2:13" x14ac:dyDescent="0.25">
      <c r="B279">
        <f t="shared" ca="1" si="37"/>
      </c>
      <c r="C279">
        <f t="shared" ca="1" si="38"/>
      </c>
      <c r="D279">
        <f t="shared" ca="1" si="39"/>
      </c>
      <c r="E279">
        <f t="shared" ca="1" si="40"/>
      </c>
      <c r="F279">
        <f t="shared" ca="1" si="41"/>
      </c>
      <c r="G279">
        <f t="shared" ca="1" si="42"/>
      </c>
      <c r="H279">
        <f t="shared" ca="1" si="43"/>
      </c>
      <c r="I279">
        <f t="shared" ca="1" si="44"/>
      </c>
      <c r="J279">
        <f t="shared" ca="1" si="45"/>
      </c>
      <c r="M279">
        <f t="array" aca="1" ref="M279" ca="1">IFERROR(SMALL(IF(INDIRECT($Z$1&amp;"$P$5:$P$304")=1,ROW(INDIRECT($Z$1&amp;"$A$5:$A$304"))-ROW(INDIRECT($Z$1&amp;"$A$5"))+1),264),"")</f>
      </c>
    </row>
    <row r="280" spans="2:13" x14ac:dyDescent="0.25">
      <c r="B280">
        <f t="shared" ca="1" si="37"/>
      </c>
      <c r="C280">
        <f t="shared" ca="1" si="38"/>
      </c>
      <c r="D280">
        <f t="shared" ca="1" si="39"/>
      </c>
      <c r="E280">
        <f t="shared" ca="1" si="40"/>
      </c>
      <c r="F280">
        <f t="shared" ca="1" si="41"/>
      </c>
      <c r="G280">
        <f t="shared" ca="1" si="42"/>
      </c>
      <c r="H280">
        <f t="shared" ca="1" si="43"/>
      </c>
      <c r="I280">
        <f t="shared" ca="1" si="44"/>
      </c>
      <c r="J280">
        <f t="shared" ca="1" si="45"/>
      </c>
      <c r="M280">
        <f t="array" aca="1" ref="M280" ca="1">IFERROR(SMALL(IF(INDIRECT($Z$1&amp;"$P$5:$P$304")=1,ROW(INDIRECT($Z$1&amp;"$A$5:$A$304"))-ROW(INDIRECT($Z$1&amp;"$A$5"))+1),265),"")</f>
      </c>
    </row>
    <row r="281" spans="2:13" x14ac:dyDescent="0.25">
      <c r="B281">
        <f t="shared" ca="1" si="37"/>
      </c>
      <c r="C281">
        <f t="shared" ca="1" si="38"/>
      </c>
      <c r="D281">
        <f t="shared" ca="1" si="39"/>
      </c>
      <c r="E281">
        <f t="shared" ca="1" si="40"/>
      </c>
      <c r="F281">
        <f t="shared" ca="1" si="41"/>
      </c>
      <c r="G281">
        <f t="shared" ca="1" si="42"/>
      </c>
      <c r="H281">
        <f t="shared" ca="1" si="43"/>
      </c>
      <c r="I281">
        <f t="shared" ca="1" si="44"/>
      </c>
      <c r="J281">
        <f t="shared" ca="1" si="45"/>
      </c>
      <c r="M281">
        <f t="array" aca="1" ref="M281" ca="1">IFERROR(SMALL(IF(INDIRECT($Z$1&amp;"$P$5:$P$304")=1,ROW(INDIRECT($Z$1&amp;"$A$5:$A$304"))-ROW(INDIRECT($Z$1&amp;"$A$5"))+1),266),"")</f>
      </c>
    </row>
    <row r="282" spans="2:13" x14ac:dyDescent="0.25">
      <c r="B282">
        <f t="shared" ca="1" si="37"/>
      </c>
      <c r="C282">
        <f t="shared" ca="1" si="38"/>
      </c>
      <c r="D282">
        <f t="shared" ca="1" si="39"/>
      </c>
      <c r="E282">
        <f t="shared" ca="1" si="40"/>
      </c>
      <c r="F282">
        <f t="shared" ca="1" si="41"/>
      </c>
      <c r="G282">
        <f t="shared" ca="1" si="42"/>
      </c>
      <c r="H282">
        <f t="shared" ca="1" si="43"/>
      </c>
      <c r="I282">
        <f t="shared" ca="1" si="44"/>
      </c>
      <c r="J282">
        <f t="shared" ca="1" si="45"/>
      </c>
      <c r="M282">
        <f t="array" aca="1" ref="M282" ca="1">IFERROR(SMALL(IF(INDIRECT($Z$1&amp;"$P$5:$P$304")=1,ROW(INDIRECT($Z$1&amp;"$A$5:$A$304"))-ROW(INDIRECT($Z$1&amp;"$A$5"))+1),267),"")</f>
      </c>
    </row>
    <row r="283" spans="2:13" x14ac:dyDescent="0.25">
      <c r="B283">
        <f t="shared" ca="1" si="37"/>
      </c>
      <c r="C283">
        <f t="shared" ca="1" si="38"/>
      </c>
      <c r="D283">
        <f t="shared" ca="1" si="39"/>
      </c>
      <c r="E283">
        <f t="shared" ca="1" si="40"/>
      </c>
      <c r="F283">
        <f t="shared" ca="1" si="41"/>
      </c>
      <c r="G283">
        <f t="shared" ca="1" si="42"/>
      </c>
      <c r="H283">
        <f t="shared" ca="1" si="43"/>
      </c>
      <c r="I283">
        <f t="shared" ca="1" si="44"/>
      </c>
      <c r="J283">
        <f t="shared" ca="1" si="45"/>
      </c>
      <c r="M283">
        <f t="array" aca="1" ref="M283" ca="1">IFERROR(SMALL(IF(INDIRECT($Z$1&amp;"$P$5:$P$304")=1,ROW(INDIRECT($Z$1&amp;"$A$5:$A$304"))-ROW(INDIRECT($Z$1&amp;"$A$5"))+1),268),"")</f>
      </c>
    </row>
    <row r="284" spans="2:13" x14ac:dyDescent="0.25">
      <c r="B284">
        <f t="shared" ca="1" si="37"/>
      </c>
      <c r="C284">
        <f t="shared" ca="1" si="38"/>
      </c>
      <c r="D284">
        <f t="shared" ca="1" si="39"/>
      </c>
      <c r="E284">
        <f t="shared" ca="1" si="40"/>
      </c>
      <c r="F284">
        <f t="shared" ca="1" si="41"/>
      </c>
      <c r="G284">
        <f t="shared" ca="1" si="42"/>
      </c>
      <c r="H284">
        <f t="shared" ca="1" si="43"/>
      </c>
      <c r="I284">
        <f t="shared" ca="1" si="44"/>
      </c>
      <c r="J284">
        <f t="shared" ca="1" si="45"/>
      </c>
      <c r="M284">
        <f t="array" aca="1" ref="M284" ca="1">IFERROR(SMALL(IF(INDIRECT($Z$1&amp;"$P$5:$P$304")=1,ROW(INDIRECT($Z$1&amp;"$A$5:$A$304"))-ROW(INDIRECT($Z$1&amp;"$A$5"))+1),269),"")</f>
      </c>
    </row>
    <row r="285" spans="2:13" x14ac:dyDescent="0.25">
      <c r="B285">
        <f t="shared" ca="1" si="37"/>
      </c>
      <c r="C285">
        <f t="shared" ca="1" si="38"/>
      </c>
      <c r="D285">
        <f t="shared" ca="1" si="39"/>
      </c>
      <c r="E285">
        <f t="shared" ca="1" si="40"/>
      </c>
      <c r="F285">
        <f t="shared" ca="1" si="41"/>
      </c>
      <c r="G285">
        <f t="shared" ca="1" si="42"/>
      </c>
      <c r="H285">
        <f t="shared" ca="1" si="43"/>
      </c>
      <c r="I285">
        <f t="shared" ca="1" si="44"/>
      </c>
      <c r="J285">
        <f t="shared" ca="1" si="45"/>
      </c>
      <c r="M285">
        <f t="array" aca="1" ref="M285" ca="1">IFERROR(SMALL(IF(INDIRECT($Z$1&amp;"$P$5:$P$304")=1,ROW(INDIRECT($Z$1&amp;"$A$5:$A$304"))-ROW(INDIRECT($Z$1&amp;"$A$5"))+1),270),"")</f>
      </c>
    </row>
    <row r="286" spans="2:13" x14ac:dyDescent="0.25">
      <c r="B286">
        <f t="shared" ca="1" si="37"/>
      </c>
      <c r="C286">
        <f t="shared" ca="1" si="38"/>
      </c>
      <c r="D286">
        <f t="shared" ca="1" si="39"/>
      </c>
      <c r="E286">
        <f t="shared" ca="1" si="40"/>
      </c>
      <c r="F286">
        <f t="shared" ca="1" si="41"/>
      </c>
      <c r="G286">
        <f t="shared" ca="1" si="42"/>
      </c>
      <c r="H286">
        <f t="shared" ca="1" si="43"/>
      </c>
      <c r="I286">
        <f t="shared" ca="1" si="44"/>
      </c>
      <c r="J286">
        <f t="shared" ca="1" si="45"/>
      </c>
      <c r="M286">
        <f t="array" aca="1" ref="M286" ca="1">IFERROR(SMALL(IF(INDIRECT($Z$1&amp;"$P$5:$P$304")=1,ROW(INDIRECT($Z$1&amp;"$A$5:$A$304"))-ROW(INDIRECT($Z$1&amp;"$A$5"))+1),271),"")</f>
      </c>
    </row>
    <row r="287" spans="2:13" x14ac:dyDescent="0.25">
      <c r="B287">
        <f t="shared" ca="1" si="37"/>
      </c>
      <c r="C287">
        <f t="shared" ca="1" si="38"/>
      </c>
      <c r="D287">
        <f t="shared" ca="1" si="39"/>
      </c>
      <c r="E287">
        <f t="shared" ca="1" si="40"/>
      </c>
      <c r="F287">
        <f t="shared" ca="1" si="41"/>
      </c>
      <c r="G287">
        <f t="shared" ca="1" si="42"/>
      </c>
      <c r="H287">
        <f t="shared" ca="1" si="43"/>
      </c>
      <c r="I287">
        <f t="shared" ca="1" si="44"/>
      </c>
      <c r="J287">
        <f t="shared" ca="1" si="45"/>
      </c>
      <c r="M287">
        <f t="array" aca="1" ref="M287" ca="1">IFERROR(SMALL(IF(INDIRECT($Z$1&amp;"$P$5:$P$304")=1,ROW(INDIRECT($Z$1&amp;"$A$5:$A$304"))-ROW(INDIRECT($Z$1&amp;"$A$5"))+1),272),"")</f>
      </c>
    </row>
    <row r="288" spans="2:13" x14ac:dyDescent="0.25">
      <c r="B288">
        <f t="shared" ca="1" si="37"/>
      </c>
      <c r="C288">
        <f t="shared" ca="1" si="38"/>
      </c>
      <c r="D288">
        <f t="shared" ca="1" si="39"/>
      </c>
      <c r="E288">
        <f t="shared" ca="1" si="40"/>
      </c>
      <c r="F288">
        <f t="shared" ca="1" si="41"/>
      </c>
      <c r="G288">
        <f t="shared" ca="1" si="42"/>
      </c>
      <c r="H288">
        <f t="shared" ca="1" si="43"/>
      </c>
      <c r="I288">
        <f t="shared" ca="1" si="44"/>
      </c>
      <c r="J288">
        <f t="shared" ca="1" si="45"/>
      </c>
      <c r="M288">
        <f t="array" aca="1" ref="M288" ca="1">IFERROR(SMALL(IF(INDIRECT($Z$1&amp;"$P$5:$P$304")=1,ROW(INDIRECT($Z$1&amp;"$A$5:$A$304"))-ROW(INDIRECT($Z$1&amp;"$A$5"))+1),273),"")</f>
      </c>
    </row>
    <row r="289" spans="2:13" x14ac:dyDescent="0.25">
      <c r="B289">
        <f t="shared" ca="1" si="37"/>
      </c>
      <c r="C289">
        <f t="shared" ca="1" si="38"/>
      </c>
      <c r="D289">
        <f t="shared" ca="1" si="39"/>
      </c>
      <c r="E289">
        <f t="shared" ca="1" si="40"/>
      </c>
      <c r="F289">
        <f t="shared" ca="1" si="41"/>
      </c>
      <c r="G289">
        <f t="shared" ca="1" si="42"/>
      </c>
      <c r="H289">
        <f t="shared" ca="1" si="43"/>
      </c>
      <c r="I289">
        <f t="shared" ca="1" si="44"/>
      </c>
      <c r="J289">
        <f t="shared" ca="1" si="45"/>
      </c>
      <c r="M289">
        <f t="array" aca="1" ref="M289" ca="1">IFERROR(SMALL(IF(INDIRECT($Z$1&amp;"$P$5:$P$304")=1,ROW(INDIRECT($Z$1&amp;"$A$5:$A$304"))-ROW(INDIRECT($Z$1&amp;"$A$5"))+1),274),"")</f>
      </c>
    </row>
    <row r="290" spans="2:13" x14ac:dyDescent="0.25">
      <c r="B290">
        <f t="shared" ca="1" si="37"/>
      </c>
      <c r="C290">
        <f t="shared" ca="1" si="38"/>
      </c>
      <c r="D290">
        <f t="shared" ca="1" si="39"/>
      </c>
      <c r="E290">
        <f t="shared" ca="1" si="40"/>
      </c>
      <c r="F290">
        <f t="shared" ca="1" si="41"/>
      </c>
      <c r="G290">
        <f t="shared" ca="1" si="42"/>
      </c>
      <c r="H290">
        <f t="shared" ca="1" si="43"/>
      </c>
      <c r="I290">
        <f t="shared" ca="1" si="44"/>
      </c>
      <c r="J290">
        <f t="shared" ca="1" si="45"/>
      </c>
      <c r="M290">
        <f t="array" aca="1" ref="M290" ca="1">IFERROR(SMALL(IF(INDIRECT($Z$1&amp;"$P$5:$P$304")=1,ROW(INDIRECT($Z$1&amp;"$A$5:$A$304"))-ROW(INDIRECT($Z$1&amp;"$A$5"))+1),275),"")</f>
      </c>
    </row>
    <row r="291" spans="2:13" x14ac:dyDescent="0.25">
      <c r="B291">
        <f t="shared" ca="1" si="37"/>
      </c>
      <c r="C291">
        <f t="shared" ca="1" si="38"/>
      </c>
      <c r="D291">
        <f t="shared" ca="1" si="39"/>
      </c>
      <c r="E291">
        <f t="shared" ca="1" si="40"/>
      </c>
      <c r="F291">
        <f t="shared" ca="1" si="41"/>
      </c>
      <c r="G291">
        <f t="shared" ca="1" si="42"/>
      </c>
      <c r="H291">
        <f t="shared" ca="1" si="43"/>
      </c>
      <c r="I291">
        <f t="shared" ca="1" si="44"/>
      </c>
      <c r="J291">
        <f t="shared" ca="1" si="45"/>
      </c>
      <c r="M291">
        <f t="array" aca="1" ref="M291" ca="1">IFERROR(SMALL(IF(INDIRECT($Z$1&amp;"$P$5:$P$304")=1,ROW(INDIRECT($Z$1&amp;"$A$5:$A$304"))-ROW(INDIRECT($Z$1&amp;"$A$5"))+1),276),"")</f>
      </c>
    </row>
    <row r="292" spans="2:13" x14ac:dyDescent="0.25">
      <c r="B292">
        <f t="shared" ca="1" si="37"/>
      </c>
      <c r="C292">
        <f t="shared" ca="1" si="38"/>
      </c>
      <c r="D292">
        <f t="shared" ca="1" si="39"/>
      </c>
      <c r="E292">
        <f t="shared" ca="1" si="40"/>
      </c>
      <c r="F292">
        <f t="shared" ca="1" si="41"/>
      </c>
      <c r="G292">
        <f t="shared" ca="1" si="42"/>
      </c>
      <c r="H292">
        <f t="shared" ca="1" si="43"/>
      </c>
      <c r="I292">
        <f t="shared" ca="1" si="44"/>
      </c>
      <c r="J292">
        <f t="shared" ca="1" si="45"/>
      </c>
      <c r="M292">
        <f t="array" aca="1" ref="M292" ca="1">IFERROR(SMALL(IF(INDIRECT($Z$1&amp;"$P$5:$P$304")=1,ROW(INDIRECT($Z$1&amp;"$A$5:$A$304"))-ROW(INDIRECT($Z$1&amp;"$A$5"))+1),277),"")</f>
      </c>
    </row>
    <row r="293" spans="2:13" x14ac:dyDescent="0.25">
      <c r="B293">
        <f t="shared" ca="1" si="37"/>
      </c>
      <c r="C293">
        <f t="shared" ca="1" si="38"/>
      </c>
      <c r="D293">
        <f t="shared" ca="1" si="39"/>
      </c>
      <c r="E293">
        <f t="shared" ca="1" si="40"/>
      </c>
      <c r="F293">
        <f t="shared" ca="1" si="41"/>
      </c>
      <c r="G293">
        <f t="shared" ca="1" si="42"/>
      </c>
      <c r="H293">
        <f t="shared" ca="1" si="43"/>
      </c>
      <c r="I293">
        <f t="shared" ca="1" si="44"/>
      </c>
      <c r="J293">
        <f t="shared" ca="1" si="45"/>
      </c>
      <c r="M293">
        <f t="array" aca="1" ref="M293" ca="1">IFERROR(SMALL(IF(INDIRECT($Z$1&amp;"$P$5:$P$304")=1,ROW(INDIRECT($Z$1&amp;"$A$5:$A$304"))-ROW(INDIRECT($Z$1&amp;"$A$5"))+1),278),"")</f>
      </c>
    </row>
    <row r="294" spans="2:13" x14ac:dyDescent="0.25">
      <c r="B294">
        <f t="shared" ca="1" si="37"/>
      </c>
      <c r="C294">
        <f t="shared" ca="1" si="38"/>
      </c>
      <c r="D294">
        <f t="shared" ca="1" si="39"/>
      </c>
      <c r="E294">
        <f t="shared" ca="1" si="40"/>
      </c>
      <c r="F294">
        <f t="shared" ca="1" si="41"/>
      </c>
      <c r="G294">
        <f t="shared" ca="1" si="42"/>
      </c>
      <c r="H294">
        <f t="shared" ca="1" si="43"/>
      </c>
      <c r="I294">
        <f t="shared" ca="1" si="44"/>
      </c>
      <c r="J294">
        <f t="shared" ca="1" si="45"/>
      </c>
      <c r="M294">
        <f t="array" aca="1" ref="M294" ca="1">IFERROR(SMALL(IF(INDIRECT($Z$1&amp;"$P$5:$P$304")=1,ROW(INDIRECT($Z$1&amp;"$A$5:$A$304"))-ROW(INDIRECT($Z$1&amp;"$A$5"))+1),279),"")</f>
      </c>
    </row>
    <row r="295" spans="2:13" x14ac:dyDescent="0.25">
      <c r="B295">
        <f t="shared" ca="1" si="37"/>
      </c>
      <c r="C295">
        <f t="shared" ca="1" si="38"/>
      </c>
      <c r="D295">
        <f t="shared" ca="1" si="39"/>
      </c>
      <c r="E295">
        <f t="shared" ca="1" si="40"/>
      </c>
      <c r="F295">
        <f t="shared" ca="1" si="41"/>
      </c>
      <c r="G295">
        <f t="shared" ca="1" si="42"/>
      </c>
      <c r="H295">
        <f t="shared" ca="1" si="43"/>
      </c>
      <c r="I295">
        <f t="shared" ca="1" si="44"/>
      </c>
      <c r="J295">
        <f t="shared" ca="1" si="45"/>
      </c>
      <c r="M295">
        <f t="array" aca="1" ref="M295" ca="1">IFERROR(SMALL(IF(INDIRECT($Z$1&amp;"$P$5:$P$304")=1,ROW(INDIRECT($Z$1&amp;"$A$5:$A$304"))-ROW(INDIRECT($Z$1&amp;"$A$5"))+1),280),"")</f>
      </c>
    </row>
    <row r="296" spans="2:13" x14ac:dyDescent="0.25">
      <c r="B296">
        <f t="shared" ca="1" si="37"/>
      </c>
      <c r="C296">
        <f t="shared" ca="1" si="38"/>
      </c>
      <c r="D296">
        <f t="shared" ca="1" si="39"/>
      </c>
      <c r="E296">
        <f t="shared" ca="1" si="40"/>
      </c>
      <c r="F296">
        <f t="shared" ca="1" si="41"/>
      </c>
      <c r="G296">
        <f t="shared" ca="1" si="42"/>
      </c>
      <c r="H296">
        <f t="shared" ca="1" si="43"/>
      </c>
      <c r="I296">
        <f t="shared" ca="1" si="44"/>
      </c>
      <c r="J296">
        <f t="shared" ca="1" si="45"/>
      </c>
      <c r="M296">
        <f t="array" aca="1" ref="M296" ca="1">IFERROR(SMALL(IF(INDIRECT($Z$1&amp;"$P$5:$P$304")=1,ROW(INDIRECT($Z$1&amp;"$A$5:$A$304"))-ROW(INDIRECT($Z$1&amp;"$A$5"))+1),281),"")</f>
      </c>
    </row>
    <row r="297" spans="2:13" x14ac:dyDescent="0.25">
      <c r="B297">
        <f t="shared" ca="1" si="37"/>
      </c>
      <c r="C297">
        <f t="shared" ca="1" si="38"/>
      </c>
      <c r="D297">
        <f t="shared" ca="1" si="39"/>
      </c>
      <c r="E297">
        <f t="shared" ca="1" si="40"/>
      </c>
      <c r="F297">
        <f t="shared" ca="1" si="41"/>
      </c>
      <c r="G297">
        <f t="shared" ca="1" si="42"/>
      </c>
      <c r="H297">
        <f t="shared" ca="1" si="43"/>
      </c>
      <c r="I297">
        <f t="shared" ca="1" si="44"/>
      </c>
      <c r="J297">
        <f t="shared" ca="1" si="45"/>
      </c>
      <c r="M297">
        <f t="array" aca="1" ref="M297" ca="1">IFERROR(SMALL(IF(INDIRECT($Z$1&amp;"$P$5:$P$304")=1,ROW(INDIRECT($Z$1&amp;"$A$5:$A$304"))-ROW(INDIRECT($Z$1&amp;"$A$5"))+1),282),"")</f>
      </c>
    </row>
    <row r="298" spans="2:13" x14ac:dyDescent="0.25">
      <c r="B298">
        <f t="shared" ca="1" si="37"/>
      </c>
      <c r="C298">
        <f t="shared" ca="1" si="38"/>
      </c>
      <c r="D298">
        <f t="shared" ca="1" si="39"/>
      </c>
      <c r="E298">
        <f t="shared" ca="1" si="40"/>
      </c>
      <c r="F298">
        <f t="shared" ca="1" si="41"/>
      </c>
      <c r="G298">
        <f t="shared" ca="1" si="42"/>
      </c>
      <c r="H298">
        <f t="shared" ca="1" si="43"/>
      </c>
      <c r="I298">
        <f t="shared" ca="1" si="44"/>
      </c>
      <c r="J298">
        <f t="shared" ca="1" si="45"/>
      </c>
      <c r="M298">
        <f t="array" aca="1" ref="M298" ca="1">IFERROR(SMALL(IF(INDIRECT($Z$1&amp;"$P$5:$P$304")=1,ROW(INDIRECT($Z$1&amp;"$A$5:$A$304"))-ROW(INDIRECT($Z$1&amp;"$A$5"))+1),283),"")</f>
      </c>
    </row>
    <row r="299" spans="2:13" x14ac:dyDescent="0.25">
      <c r="B299">
        <f t="shared" ca="1" si="37"/>
      </c>
      <c r="C299">
        <f t="shared" ca="1" si="38"/>
      </c>
      <c r="D299">
        <f t="shared" ca="1" si="39"/>
      </c>
      <c r="E299">
        <f t="shared" ca="1" si="40"/>
      </c>
      <c r="F299">
        <f t="shared" ca="1" si="41"/>
      </c>
      <c r="G299">
        <f t="shared" ca="1" si="42"/>
      </c>
      <c r="H299">
        <f t="shared" ca="1" si="43"/>
      </c>
      <c r="I299">
        <f t="shared" ca="1" si="44"/>
      </c>
      <c r="J299">
        <f t="shared" ca="1" si="45"/>
      </c>
      <c r="M299">
        <f t="array" aca="1" ref="M299" ca="1">IFERROR(SMALL(IF(INDIRECT($Z$1&amp;"$P$5:$P$304")=1,ROW(INDIRECT($Z$1&amp;"$A$5:$A$304"))-ROW(INDIRECT($Z$1&amp;"$A$5"))+1),284),"")</f>
      </c>
    </row>
    <row r="300" spans="2:13" x14ac:dyDescent="0.25">
      <c r="B300">
        <f t="shared" ca="1" si="37"/>
      </c>
      <c r="C300">
        <f t="shared" ca="1" si="38"/>
      </c>
      <c r="D300">
        <f t="shared" ca="1" si="39"/>
      </c>
      <c r="E300">
        <f t="shared" ca="1" si="40"/>
      </c>
      <c r="F300">
        <f t="shared" ca="1" si="41"/>
      </c>
      <c r="G300">
        <f t="shared" ca="1" si="42"/>
      </c>
      <c r="H300">
        <f t="shared" ca="1" si="43"/>
      </c>
      <c r="I300">
        <f t="shared" ca="1" si="44"/>
      </c>
      <c r="J300">
        <f t="shared" ca="1" si="45"/>
      </c>
      <c r="M300">
        <f t="array" aca="1" ref="M300" ca="1">IFERROR(SMALL(IF(INDIRECT($Z$1&amp;"$P$5:$P$304")=1,ROW(INDIRECT($Z$1&amp;"$A$5:$A$304"))-ROW(INDIRECT($Z$1&amp;"$A$5"))+1),285),"")</f>
      </c>
    </row>
    <row r="301" spans="2:13" x14ac:dyDescent="0.25">
      <c r="B301">
        <f t="shared" ca="1" si="37"/>
      </c>
      <c r="C301">
        <f t="shared" ca="1" si="38"/>
      </c>
      <c r="D301">
        <f t="shared" ca="1" si="39"/>
      </c>
      <c r="E301">
        <f t="shared" ca="1" si="40"/>
      </c>
      <c r="F301">
        <f t="shared" ca="1" si="41"/>
      </c>
      <c r="G301">
        <f t="shared" ca="1" si="42"/>
      </c>
      <c r="H301">
        <f t="shared" ca="1" si="43"/>
      </c>
      <c r="I301">
        <f t="shared" ca="1" si="44"/>
      </c>
      <c r="J301">
        <f t="shared" ca="1" si="45"/>
      </c>
      <c r="M301">
        <f t="array" aca="1" ref="M301" ca="1">IFERROR(SMALL(IF(INDIRECT($Z$1&amp;"$P$5:$P$304")=1,ROW(INDIRECT($Z$1&amp;"$A$5:$A$304"))-ROW(INDIRECT($Z$1&amp;"$A$5"))+1),286),"")</f>
      </c>
    </row>
    <row r="302" spans="2:13" x14ac:dyDescent="0.25">
      <c r="B302">
        <f t="shared" ca="1" si="37"/>
      </c>
      <c r="C302">
        <f t="shared" ca="1" si="38"/>
      </c>
      <c r="D302">
        <f t="shared" ca="1" si="39"/>
      </c>
      <c r="E302">
        <f t="shared" ca="1" si="40"/>
      </c>
      <c r="F302">
        <f t="shared" ca="1" si="41"/>
      </c>
      <c r="G302">
        <f t="shared" ca="1" si="42"/>
      </c>
      <c r="H302">
        <f t="shared" ca="1" si="43"/>
      </c>
      <c r="I302">
        <f t="shared" ca="1" si="44"/>
      </c>
      <c r="J302">
        <f t="shared" ca="1" si="45"/>
      </c>
      <c r="M302">
        <f t="array" aca="1" ref="M302" ca="1">IFERROR(SMALL(IF(INDIRECT($Z$1&amp;"$P$5:$P$304")=1,ROW(INDIRECT($Z$1&amp;"$A$5:$A$304"))-ROW(INDIRECT($Z$1&amp;"$A$5"))+1),287),"")</f>
      </c>
    </row>
    <row r="303" spans="2:13" x14ac:dyDescent="0.25">
      <c r="B303">
        <f t="shared" ca="1" si="37"/>
      </c>
      <c r="C303">
        <f t="shared" ca="1" si="38"/>
      </c>
      <c r="D303">
        <f t="shared" ca="1" si="39"/>
      </c>
      <c r="E303">
        <f t="shared" ca="1" si="40"/>
      </c>
      <c r="F303">
        <f t="shared" ca="1" si="41"/>
      </c>
      <c r="G303">
        <f t="shared" ca="1" si="42"/>
      </c>
      <c r="H303">
        <f t="shared" ca="1" si="43"/>
      </c>
      <c r="I303">
        <f t="shared" ca="1" si="44"/>
      </c>
      <c r="J303">
        <f t="shared" ca="1" si="45"/>
      </c>
      <c r="M303">
        <f t="array" aca="1" ref="M303" ca="1">IFERROR(SMALL(IF(INDIRECT($Z$1&amp;"$P$5:$P$304")=1,ROW(INDIRECT($Z$1&amp;"$A$5:$A$304"))-ROW(INDIRECT($Z$1&amp;"$A$5"))+1),288),"")</f>
      </c>
    </row>
    <row r="304" spans="2:13" x14ac:dyDescent="0.25">
      <c r="B304">
        <f t="shared" ca="1" si="37"/>
      </c>
      <c r="C304">
        <f t="shared" ca="1" si="38"/>
      </c>
      <c r="D304">
        <f t="shared" ca="1" si="39"/>
      </c>
      <c r="E304">
        <f t="shared" ca="1" si="40"/>
      </c>
      <c r="F304">
        <f t="shared" ca="1" si="41"/>
      </c>
      <c r="G304">
        <f t="shared" ca="1" si="42"/>
      </c>
      <c r="H304">
        <f t="shared" ca="1" si="43"/>
      </c>
      <c r="I304">
        <f t="shared" ca="1" si="44"/>
      </c>
      <c r="J304">
        <f t="shared" ca="1" si="45"/>
      </c>
      <c r="M304">
        <f t="array" aca="1" ref="M304" ca="1">IFERROR(SMALL(IF(INDIRECT($Z$1&amp;"$P$5:$P$304")=1,ROW(INDIRECT($Z$1&amp;"$A$5:$A$304"))-ROW(INDIRECT($Z$1&amp;"$A$5"))+1),289),"")</f>
      </c>
    </row>
    <row r="305" spans="2:13" x14ac:dyDescent="0.25">
      <c r="B305">
        <f t="shared" ca="1" si="37"/>
      </c>
      <c r="C305">
        <f t="shared" ca="1" si="38"/>
      </c>
      <c r="D305">
        <f t="shared" ca="1" si="39"/>
      </c>
      <c r="E305">
        <f t="shared" ca="1" si="40"/>
      </c>
      <c r="F305">
        <f t="shared" ca="1" si="41"/>
      </c>
      <c r="G305">
        <f t="shared" ca="1" si="42"/>
      </c>
      <c r="H305">
        <f t="shared" ca="1" si="43"/>
      </c>
      <c r="I305">
        <f t="shared" ca="1" si="44"/>
      </c>
      <c r="J305">
        <f t="shared" ca="1" si="45"/>
      </c>
      <c r="M305">
        <f t="array" aca="1" ref="M305" ca="1">IFERROR(SMALL(IF(INDIRECT($Z$1&amp;"$P$5:$P$304")=1,ROW(INDIRECT($Z$1&amp;"$A$5:$A$304"))-ROW(INDIRECT($Z$1&amp;"$A$5"))+1),290),"")</f>
      </c>
    </row>
    <row r="306" spans="2:13" x14ac:dyDescent="0.25">
      <c r="B306">
        <f t="shared" ca="1" si="37"/>
      </c>
      <c r="C306">
        <f t="shared" ca="1" si="38"/>
      </c>
      <c r="D306">
        <f t="shared" ca="1" si="39"/>
      </c>
      <c r="E306">
        <f t="shared" ca="1" si="40"/>
      </c>
      <c r="F306">
        <f t="shared" ca="1" si="41"/>
      </c>
      <c r="G306">
        <f t="shared" ca="1" si="42"/>
      </c>
      <c r="H306">
        <f t="shared" ca="1" si="43"/>
      </c>
      <c r="I306">
        <f t="shared" ca="1" si="44"/>
      </c>
      <c r="J306">
        <f t="shared" ca="1" si="45"/>
      </c>
      <c r="M306">
        <f t="array" aca="1" ref="M306" ca="1">IFERROR(SMALL(IF(INDIRECT($Z$1&amp;"$P$5:$P$304")=1,ROW(INDIRECT($Z$1&amp;"$A$5:$A$304"))-ROW(INDIRECT($Z$1&amp;"$A$5"))+1),291),"")</f>
      </c>
    </row>
    <row r="307" spans="2:13" x14ac:dyDescent="0.25">
      <c r="B307">
        <f t="shared" ca="1" si="37"/>
      </c>
      <c r="C307">
        <f t="shared" ca="1" si="38"/>
      </c>
      <c r="D307">
        <f t="shared" ca="1" si="39"/>
      </c>
      <c r="E307">
        <f t="shared" ca="1" si="40"/>
      </c>
      <c r="F307">
        <f t="shared" ca="1" si="41"/>
      </c>
      <c r="G307">
        <f t="shared" ca="1" si="42"/>
      </c>
      <c r="H307">
        <f t="shared" ca="1" si="43"/>
      </c>
      <c r="I307">
        <f t="shared" ca="1" si="44"/>
      </c>
      <c r="J307">
        <f t="shared" ca="1" si="45"/>
      </c>
      <c r="M307">
        <f t="array" aca="1" ref="M307" ca="1">IFERROR(SMALL(IF(INDIRECT($Z$1&amp;"$P$5:$P$304")=1,ROW(INDIRECT($Z$1&amp;"$A$5:$A$304"))-ROW(INDIRECT($Z$1&amp;"$A$5"))+1),292),"")</f>
      </c>
    </row>
    <row r="308" spans="2:13" x14ac:dyDescent="0.25">
      <c r="B308">
        <f t="shared" ca="1" si="37"/>
      </c>
      <c r="C308">
        <f t="shared" ca="1" si="38"/>
      </c>
      <c r="D308">
        <f t="shared" ca="1" si="39"/>
      </c>
      <c r="E308">
        <f t="shared" ca="1" si="40"/>
      </c>
      <c r="F308">
        <f t="shared" ca="1" si="41"/>
      </c>
      <c r="G308">
        <f t="shared" ca="1" si="42"/>
      </c>
      <c r="H308">
        <f t="shared" ca="1" si="43"/>
      </c>
      <c r="I308">
        <f t="shared" ca="1" si="44"/>
      </c>
      <c r="J308">
        <f t="shared" ca="1" si="45"/>
      </c>
      <c r="M308">
        <f t="array" aca="1" ref="M308" ca="1">IFERROR(SMALL(IF(INDIRECT($Z$1&amp;"$P$5:$P$304")=1,ROW(INDIRECT($Z$1&amp;"$A$5:$A$304"))-ROW(INDIRECT($Z$1&amp;"$A$5"))+1),293),"")</f>
      </c>
    </row>
    <row r="309" spans="2:13" x14ac:dyDescent="0.25">
      <c r="B309">
        <f t="shared" ca="1" si="37"/>
      </c>
      <c r="C309">
        <f t="shared" ca="1" si="38"/>
      </c>
      <c r="D309">
        <f t="shared" ca="1" si="39"/>
      </c>
      <c r="E309">
        <f t="shared" ca="1" si="40"/>
      </c>
      <c r="F309">
        <f t="shared" ca="1" si="41"/>
      </c>
      <c r="G309">
        <f t="shared" ca="1" si="42"/>
      </c>
      <c r="H309">
        <f t="shared" ca="1" si="43"/>
      </c>
      <c r="I309">
        <f t="shared" ca="1" si="44"/>
      </c>
      <c r="J309">
        <f t="shared" ca="1" si="45"/>
      </c>
      <c r="M309">
        <f t="array" aca="1" ref="M309" ca="1">IFERROR(SMALL(IF(INDIRECT($Z$1&amp;"$P$5:$P$304")=1,ROW(INDIRECT($Z$1&amp;"$A$5:$A$304"))-ROW(INDIRECT($Z$1&amp;"$A$5"))+1),294),"")</f>
      </c>
    </row>
    <row r="310" spans="2:13" x14ac:dyDescent="0.25">
      <c r="B310">
        <f t="shared" ca="1" si="37"/>
      </c>
      <c r="C310">
        <f t="shared" ca="1" si="38"/>
      </c>
      <c r="D310">
        <f t="shared" ca="1" si="39"/>
      </c>
      <c r="E310">
        <f t="shared" ca="1" si="40"/>
      </c>
      <c r="F310">
        <f t="shared" ca="1" si="41"/>
      </c>
      <c r="G310">
        <f t="shared" ca="1" si="42"/>
      </c>
      <c r="H310">
        <f t="shared" ca="1" si="43"/>
      </c>
      <c r="I310">
        <f t="shared" ca="1" si="44"/>
      </c>
      <c r="J310">
        <f t="shared" ca="1" si="45"/>
      </c>
      <c r="M310">
        <f t="array" aca="1" ref="M310" ca="1">IFERROR(SMALL(IF(INDIRECT($Z$1&amp;"$P$5:$P$304")=1,ROW(INDIRECT($Z$1&amp;"$A$5:$A$304"))-ROW(INDIRECT($Z$1&amp;"$A$5"))+1),295),"")</f>
      </c>
    </row>
    <row r="311" spans="2:13" x14ac:dyDescent="0.25">
      <c r="B311">
        <f t="shared" ca="1" si="37"/>
      </c>
      <c r="C311">
        <f t="shared" ca="1" si="38"/>
      </c>
      <c r="D311">
        <f t="shared" ca="1" si="39"/>
      </c>
      <c r="E311">
        <f t="shared" ca="1" si="40"/>
      </c>
      <c r="F311">
        <f t="shared" ca="1" si="41"/>
      </c>
      <c r="G311">
        <f t="shared" ca="1" si="42"/>
      </c>
      <c r="H311">
        <f t="shared" ca="1" si="43"/>
      </c>
      <c r="I311">
        <f t="shared" ca="1" si="44"/>
      </c>
      <c r="J311">
        <f t="shared" ca="1" si="45"/>
      </c>
      <c r="M311">
        <f t="array" aca="1" ref="M311" ca="1">IFERROR(SMALL(IF(INDIRECT($Z$1&amp;"$P$5:$P$304")=1,ROW(INDIRECT($Z$1&amp;"$A$5:$A$304"))-ROW(INDIRECT($Z$1&amp;"$A$5"))+1),296),"")</f>
      </c>
    </row>
    <row r="312" spans="2:13" x14ac:dyDescent="0.25">
      <c r="B312">
        <f t="shared" ca="1" si="37"/>
      </c>
      <c r="C312">
        <f t="shared" ca="1" si="38"/>
      </c>
      <c r="D312">
        <f t="shared" ca="1" si="39"/>
      </c>
      <c r="E312">
        <f t="shared" ca="1" si="40"/>
      </c>
      <c r="F312">
        <f t="shared" ca="1" si="41"/>
      </c>
      <c r="G312">
        <f t="shared" ca="1" si="42"/>
      </c>
      <c r="H312">
        <f t="shared" ca="1" si="43"/>
      </c>
      <c r="I312">
        <f t="shared" ca="1" si="44"/>
      </c>
      <c r="J312">
        <f t="shared" ca="1" si="45"/>
      </c>
      <c r="M312">
        <f t="array" aca="1" ref="M312" ca="1">IFERROR(SMALL(IF(INDIRECT($Z$1&amp;"$P$5:$P$304")=1,ROW(INDIRECT($Z$1&amp;"$A$5:$A$304"))-ROW(INDIRECT($Z$1&amp;"$A$5"))+1),297),"")</f>
      </c>
    </row>
    <row r="313" spans="2:13" x14ac:dyDescent="0.25">
      <c r="B313">
        <f t="shared" ca="1" si="37"/>
      </c>
      <c r="C313">
        <f t="shared" ca="1" si="38"/>
      </c>
      <c r="D313">
        <f t="shared" ca="1" si="39"/>
      </c>
      <c r="E313">
        <f t="shared" ca="1" si="40"/>
      </c>
      <c r="F313">
        <f t="shared" ca="1" si="41"/>
      </c>
      <c r="G313">
        <f t="shared" ca="1" si="42"/>
      </c>
      <c r="H313">
        <f t="shared" ca="1" si="43"/>
      </c>
      <c r="I313">
        <f t="shared" ca="1" si="44"/>
      </c>
      <c r="J313">
        <f t="shared" ca="1" si="45"/>
      </c>
      <c r="M313">
        <f t="array" aca="1" ref="M313" ca="1">IFERROR(SMALL(IF(INDIRECT($Z$1&amp;"$P$5:$P$304")=1,ROW(INDIRECT($Z$1&amp;"$A$5:$A$304"))-ROW(INDIRECT($Z$1&amp;"$A$5"))+1),298),"")</f>
      </c>
    </row>
    <row r="314" spans="2:13" x14ac:dyDescent="0.25">
      <c r="B314">
        <f t="shared" ca="1" si="37"/>
      </c>
      <c r="C314">
        <f t="shared" ca="1" si="38"/>
      </c>
      <c r="D314">
        <f t="shared" ca="1" si="39"/>
      </c>
      <c r="E314">
        <f t="shared" ca="1" si="40"/>
      </c>
      <c r="F314">
        <f t="shared" ca="1" si="41"/>
      </c>
      <c r="G314">
        <f t="shared" ca="1" si="42"/>
      </c>
      <c r="H314">
        <f t="shared" ca="1" si="43"/>
      </c>
      <c r="I314">
        <f t="shared" ca="1" si="44"/>
      </c>
      <c r="J314">
        <f t="shared" ca="1" si="45"/>
      </c>
      <c r="M314">
        <f t="array" aca="1" ref="M314" ca="1">IFERROR(SMALL(IF(INDIRECT($Z$1&amp;"$P$5:$P$304")=1,ROW(INDIRECT($Z$1&amp;"$A$5:$A$304"))-ROW(INDIRECT($Z$1&amp;"$A$5"))+1),299),"")</f>
      </c>
    </row>
    <row r="315" spans="2:13" x14ac:dyDescent="0.25">
      <c r="B315">
        <f t="shared" ca="1" si="37"/>
      </c>
      <c r="C315">
        <f t="shared" ca="1" si="38"/>
      </c>
      <c r="D315">
        <f t="shared" ca="1" si="39"/>
      </c>
      <c r="E315">
        <f t="shared" ca="1" si="40"/>
      </c>
      <c r="F315">
        <f t="shared" ca="1" si="41"/>
      </c>
      <c r="G315">
        <f t="shared" ca="1" si="42"/>
      </c>
      <c r="H315">
        <f t="shared" ca="1" si="43"/>
      </c>
      <c r="I315">
        <f t="shared" ca="1" si="44"/>
      </c>
      <c r="J315">
        <f t="shared" ca="1" si="45"/>
      </c>
      <c r="M315">
        <f t="array" aca="1" ref="M315" ca="1">IFERROR(SMALL(IF(INDIRECT($Z$1&amp;"$P$5:$P$304")=1,ROW(INDIRECT($Z$1&amp;"$A$5:$A$304"))-ROW(INDIRECT($Z$1&amp;"$A$5"))+1),300),"")</f>
      </c>
    </row>
  </sheetData>
  <mergeCells count="1">
    <mergeCell ref="A1:H1"/>
  </mergeCells>
  <conditionalFormatting sqref="E3:F10">
    <cfRule type="expression" dxfId="85" priority="6">
      <formula>$E3&gt;0</formula>
    </cfRule>
  </conditionalFormatting>
  <conditionalFormatting sqref="G3:G10">
    <cfRule type="expression" dxfId="84" priority="5">
      <formula>$E3&gt;0</formula>
    </cfRule>
  </conditionalFormatting>
  <conditionalFormatting sqref="H2:H10">
    <cfRule type="expression" dxfId="83" priority="4">
      <formula>$E2&gt;0</formula>
    </cfRule>
  </conditionalFormatting>
  <conditionalFormatting sqref="A3:H11">
    <cfRule type="expression" dxfId="82" priority="2">
      <formula>$K$1&lt;&gt;7861</formula>
    </cfRule>
    <cfRule type="expression" dxfId="81" priority="3">
      <formula>$K$1=7861</formula>
    </cfRule>
  </conditionalFormatting>
  <conditionalFormatting sqref="E3:H11">
    <cfRule type="cellIs" dxfId="80" priority="1" operator="equal">
      <formula>0</formula>
    </cfRule>
  </conditionalFormatting>
  <conditionalFormatting sqref="E16:E315">
    <cfRule type="expression" dxfId="79" priority="7">
      <formula>AND($E16&lt;&gt;"",OR(AND(ISNUMBER($Z$2),$E16&lt;$Z$2),AND(ISNUMBER($Z$3),$E16&gt;$Z$3)))</formula>
    </cfRule>
  </conditionalFormatting>
  <conditionalFormatting sqref="F16:F315">
    <cfRule type="expression" dxfId="78" priority="8">
      <formula>AND($F16&lt;&gt;"",OR(AND(ISNUMBER($Z$4),$F16&gt;$Z$4),AND(ISNUMBER($Z$11),($F16+$G16)&gt;$Z$11)))</formula>
    </cfRule>
  </conditionalFormatting>
  <conditionalFormatting sqref="G16:G315">
    <cfRule type="expression" dxfId="77" priority="9">
      <formula>AND($G16&lt;&gt;"",OR(AND(ISNUMBER($Z$5),$G16&lt;$Z$5),AND(ISNUMBER($Z$6),$G16&gt;$Z$6),AND(ISNUMBER($Z$11),($F16+$G16)&gt;$Z$11)))</formula>
    </cfRule>
  </conditionalFormatting>
  <conditionalFormatting sqref="H16:H315">
    <cfRule type="expression" dxfId="76" priority="10">
      <formula>AND($H16&lt;&gt;"",ISNUMBER($Z$7),$H16&lt;$Z$7)</formula>
    </cfRule>
  </conditionalFormatting>
  <conditionalFormatting sqref="I16:I315">
    <cfRule type="expression" dxfId="75" priority="11">
      <formula>AND($I16&lt;&gt;"",ISNUMBER($Z$8),$I16&gt;$Z$8)</formula>
    </cfRule>
  </conditionalFormatting>
  <conditionalFormatting sqref="J16:J315">
    <cfRule type="expression" dxfId="74" priority="12">
      <formula>AND($J16&lt;&gt;"",OR(AND(ISNUMBER($Z$9),$J16&lt;$Z$9),AND(ISNUMBER($Z$10),$J16&gt;$Z$10)))</formula>
    </cfRule>
  </conditionalFormatting>
  <dataValidations count="1">
    <dataValidation type="list" sqref="D13" xr:uid="{00000000-0002-0000-0000-000000000000}">
      <formula1>$A$3:$A$10</formula1>
    </dataValidation>
  </dataValidations>
  <pageMargins left="0.75" right="0.75" top="1" bottom="1" header="0.5" footer="0.5"/>
  <pageSetup orientation="landscape"/>
  <ignoredErrors>
    <ignoredError sqref="D11:E1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1"/>
  <sheetViews>
    <sheetView topLeftCell="A1764" zoomScaleNormal="100" workbookViewId="0">
      <selection activeCell="A1762" sqref="A1762:J1782"/>
    </sheetView>
  </sheetViews>
  <sheetFormatPr defaultRowHeight="15" x14ac:dyDescent="0.25"/>
  <cols>
    <col min="1" max="1" width="12.28515625" bestFit="1" customWidth="1"/>
    <col min="3" max="3" width="10.85546875" bestFit="1" customWidth="1"/>
    <col min="4" max="6" width="9.28515625" bestFit="1" customWidth="1"/>
    <col min="7" max="7" width="8" bestFit="1" customWidth="1"/>
    <col min="8" max="8" width="9.28515625" bestFit="1" customWidth="1"/>
    <col min="9" max="9" width="7.85546875" customWidth="1"/>
    <col min="13" max="13" width="12.42578125" bestFit="1" customWidth="1"/>
    <col min="14" max="14" width="11.7109375" bestFit="1" customWidth="1"/>
    <col min="15" max="15" width="11.28515625" bestFit="1" customWidth="1"/>
    <col min="16" max="17" width="7.5703125" customWidth="1"/>
    <col min="18" max="18" width="9.42578125" bestFit="1" customWidth="1"/>
    <col min="19" max="23" width="7.5703125" customWidth="1"/>
  </cols>
  <sheetData/>
  <phoneticPr fontId="25" type="noConversion"/>
  <conditionalFormatting sqref="U4:W5">
    <cfRule type="expression" dxfId="73" priority="18">
      <formula>$N4="HOLD"</formula>
    </cfRule>
  </conditionalFormatting>
  <conditionalFormatting sqref="Q4:T5">
    <cfRule type="expression" dxfId="72" priority="14">
      <formula>$N4="HOLD"</formula>
    </cfRule>
  </conditionalFormatting>
  <conditionalFormatting sqref="Q4:Q5">
    <cfRule type="expression" dxfId="71" priority="15">
      <formula>AND($E4&lt;&gt;"",OR($E4&lt;0.1,$E4&gt;0.15))</formula>
    </cfRule>
  </conditionalFormatting>
  <conditionalFormatting sqref="R4:S5">
    <cfRule type="expression" dxfId="70" priority="16">
      <formula>AND($F4&lt;&gt;"",$G4&lt;&gt;"",($F4+$G4)&gt;0.15)</formula>
    </cfRule>
  </conditionalFormatting>
  <conditionalFormatting sqref="T4:T5">
    <cfRule type="expression" dxfId="69" priority="17">
      <formula>AND($H4&lt;&gt;"",$H4&lt;0.45)</formula>
    </cfRule>
  </conditionalFormatting>
  <conditionalFormatting sqref="U6:W7">
    <cfRule type="expression" dxfId="68" priority="13">
      <formula>$N6="HOLD"</formula>
    </cfRule>
  </conditionalFormatting>
  <conditionalFormatting sqref="Q6:T7">
    <cfRule type="expression" dxfId="67" priority="9">
      <formula>$N6="HOLD"</formula>
    </cfRule>
  </conditionalFormatting>
  <conditionalFormatting sqref="Q6:Q7">
    <cfRule type="expression" dxfId="66" priority="10">
      <formula>AND($E6&lt;&gt;"",OR($E6&lt;0.1,$E6&gt;0.15))</formula>
    </cfRule>
  </conditionalFormatting>
  <conditionalFormatting sqref="R6:S7">
    <cfRule type="expression" dxfId="65" priority="11">
      <formula>AND($F6&lt;&gt;"",$G6&lt;&gt;"",($F6+$G6)&gt;0.15)</formula>
    </cfRule>
  </conditionalFormatting>
  <conditionalFormatting sqref="T6:T7">
    <cfRule type="expression" dxfId="64" priority="12">
      <formula>AND($H6&lt;&gt;"",$H6&lt;0.45)</formula>
    </cfRule>
  </conditionalFormatting>
  <conditionalFormatting sqref="U8:W8">
    <cfRule type="expression" dxfId="63" priority="8">
      <formula>$N8="HOLD"</formula>
    </cfRule>
  </conditionalFormatting>
  <conditionalFormatting sqref="Q8:T8">
    <cfRule type="expression" dxfId="62" priority="4">
      <formula>$N8="HOLD"</formula>
    </cfRule>
  </conditionalFormatting>
  <conditionalFormatting sqref="Q8">
    <cfRule type="expression" dxfId="61" priority="5">
      <formula>AND($E8&lt;&gt;"",OR($E8&lt;0.1,$E8&gt;0.15))</formula>
    </cfRule>
  </conditionalFormatting>
  <conditionalFormatting sqref="R8:S8">
    <cfRule type="expression" dxfId="60" priority="6">
      <formula>AND($F8&lt;&gt;"",$G8&lt;&gt;"",($F8+$G8)&gt;0.15)</formula>
    </cfRule>
  </conditionalFormatting>
  <conditionalFormatting sqref="T8">
    <cfRule type="expression" dxfId="59" priority="7">
      <formula>AND($H8&lt;&gt;"",$H8&lt;0.45)</formula>
    </cfRule>
  </conditionalFormatting>
  <conditionalFormatting sqref="A1:J1754 A1755:I1755 B1757:I1757 A1756:H1756 B1759:I1759 B1758:H1758 B1760:H1760 A1757:A1760 A1761:J1761 A1783:J1048576">
    <cfRule type="cellIs" dxfId="58" priority="3" operator="equal">
      <formula>0</formula>
    </cfRule>
  </conditionalFormatting>
  <conditionalFormatting sqref="M1762:V1782">
    <cfRule type="cellIs" dxfId="1" priority="2" operator="equal">
      <formula>0</formula>
    </cfRule>
  </conditionalFormatting>
  <conditionalFormatting sqref="A1762:J1782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304"/>
  <sheetViews>
    <sheetView workbookViewId="0">
      <pane ySplit="4" topLeftCell="A5" activePane="bottomLeft" state="frozen"/>
      <selection pane="bottomLeft" activeCell="B14" sqref="B14"/>
    </sheetView>
  </sheetViews>
  <sheetFormatPr defaultRowHeight="15" x14ac:dyDescent="0.25"/>
  <cols>
    <col min="1" max="1" width="10" style="235" bestFit="1" customWidth="1"/>
    <col min="2" max="2" width="10.42578125" style="236" bestFit="1" customWidth="1"/>
    <col min="3" max="3" width="15.28515625" bestFit="1" customWidth="1"/>
    <col min="4" max="4" width="5.7109375" bestFit="1" customWidth="1"/>
    <col min="5" max="8" width="8" bestFit="1" customWidth="1"/>
    <col min="9" max="9" width="9.5703125" bestFit="1" customWidth="1"/>
    <col min="10" max="10" width="8" bestFit="1" customWidth="1"/>
    <col min="11" max="11" width="12" bestFit="1" customWidth="1"/>
    <col min="12" max="12" width="12.5703125" bestFit="1" customWidth="1"/>
    <col min="13" max="13" width="12.28515625" bestFit="1" customWidth="1"/>
    <col min="14" max="14" width="5.140625" bestFit="1" customWidth="1"/>
    <col min="15" max="15" width="4" hidden="1" customWidth="1"/>
    <col min="16" max="16" width="13" hidden="1" customWidth="1"/>
  </cols>
  <sheetData>
    <row r="1" spans="1:16" ht="21.95" customHeight="1" x14ac:dyDescent="0.25">
      <c r="A1" s="289" t="s">
        <v>38</v>
      </c>
      <c r="B1" s="433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</row>
    <row r="2" spans="1:16" x14ac:dyDescent="0.25">
      <c r="A2" s="434" t="s">
        <v>29</v>
      </c>
      <c r="B2" s="439" t="s">
        <v>30</v>
      </c>
      <c r="C2" s="434" t="s">
        <v>39</v>
      </c>
      <c r="D2" s="434" t="s">
        <v>1</v>
      </c>
      <c r="E2" s="434" t="s">
        <v>40</v>
      </c>
      <c r="F2" s="435"/>
      <c r="G2" s="435"/>
      <c r="H2" s="435"/>
      <c r="I2" s="435"/>
      <c r="J2" s="436"/>
      <c r="K2" s="434" t="s">
        <v>41</v>
      </c>
      <c r="L2" s="434" t="s">
        <v>42</v>
      </c>
      <c r="M2" s="434" t="s">
        <v>43</v>
      </c>
      <c r="N2" s="434" t="s">
        <v>44</v>
      </c>
      <c r="P2" t="s">
        <v>45</v>
      </c>
    </row>
    <row r="3" spans="1:16" x14ac:dyDescent="0.25">
      <c r="A3" s="437"/>
      <c r="B3" s="437"/>
      <c r="C3" s="437"/>
      <c r="D3" s="437"/>
      <c r="E3" s="231" t="s">
        <v>32</v>
      </c>
      <c r="F3" s="231" t="s">
        <v>33</v>
      </c>
      <c r="G3" s="231" t="s">
        <v>34</v>
      </c>
      <c r="H3" s="231" t="s">
        <v>35</v>
      </c>
      <c r="I3" s="231" t="s">
        <v>36</v>
      </c>
      <c r="J3" s="231" t="s">
        <v>37</v>
      </c>
      <c r="K3" s="437"/>
      <c r="L3" s="437"/>
      <c r="M3" s="437"/>
      <c r="N3" s="437"/>
    </row>
    <row r="4" spans="1:16" x14ac:dyDescent="0.25">
      <c r="A4" s="438"/>
      <c r="B4" s="438"/>
      <c r="C4" s="438"/>
      <c r="D4" s="438"/>
      <c r="E4" s="233" t="s">
        <v>46</v>
      </c>
      <c r="F4" s="233" t="s">
        <v>46</v>
      </c>
      <c r="G4" s="233" t="s">
        <v>46</v>
      </c>
      <c r="H4" s="233" t="s">
        <v>46</v>
      </c>
      <c r="I4" s="233" t="s">
        <v>47</v>
      </c>
      <c r="J4" s="233" t="s">
        <v>46</v>
      </c>
      <c r="K4" s="438"/>
      <c r="L4" s="438"/>
      <c r="M4" s="438"/>
      <c r="N4" s="438"/>
    </row>
    <row r="5" spans="1:16" x14ac:dyDescent="0.25">
      <c r="A5" s="234">
        <f>IF($O5="","",INDEX(Master!$D$2:$D$1001,$O5))</f>
      </c>
      <c r="B5" s="239">
        <f>IF($O5="","",INDEX(Master!$B$2:$B$1001,$O5))</f>
      </c>
      <c r="C5" s="164">
        <f>IF($O5="","",INDEX(Master!$C$2:$C$1001,$O5))</f>
      </c>
      <c r="D5" s="164">
        <f>IF($O5="","",INDEX(Master!$A$2:$A$1001,$O5))</f>
      </c>
      <c r="E5" s="164">
        <f>IF($O5="","",INDEX(Master!$E$2:$E$1001,$O5))</f>
      </c>
      <c r="F5" s="164">
        <f>IF($O5="","",INDEX(Master!$F$2:$F$1001,$O5))</f>
      </c>
      <c r="G5" s="164">
        <f>IF($O5="","",INDEX(Master!$G$2:$G$1001,$O5))</f>
      </c>
      <c r="H5" s="164">
        <f>IF($O5="","",INDEX(Master!$H$2:$H$1001,$O5))</f>
      </c>
      <c r="I5" s="164">
        <f>IF($O5="","",INDEX(Master!$I$2:$I$1001,$O5))</f>
      </c>
      <c r="J5" s="164">
        <f>IF($O5="","",INDEX(Master!$J$2:$J$1001,$O5))</f>
      </c>
      <c r="K5" s="248">
        <f t="shared" ref="K5:K68" si="0">IF(OR($O5="",$F5="",$F5=0),"",$H5/$F5)</f>
      </c>
      <c r="L5" s="164">
        <f>IF($O5="","",INDEX(Master!$K$2:$K$1001,$O5))</f>
      </c>
      <c r="M5" s="164">
        <f>IF($O5="","",INDEX(Master!$L$2:$L$1001,$O5))</f>
      </c>
      <c r="N5" s="164"/>
      <c r="O5">
        <f t="array" ref="O5">IFERROR(SMALL(IF(Master!$A$2:$A$1001="VRKP",ROW(Master!$A$2:$A$1001)-ROW(Master!$A$2)+1),1),"")</f>
      </c>
      <c r="P5">
        <f t="shared" ref="P5:P68" si="1">IF($A5="",0,IF(OR(AND($E5&lt;&gt;"",OR($E5&gt;0.12)),AND($F5&lt;&gt;"",OR($F5&gt;0.05)),AND($G5&lt;&gt;"",OR($G5&gt;0.085)),AND($H5&lt;&gt;"",$H5&lt;0.5),AND($I5&lt;&gt;"",$I5&gt;120),AND($J5&lt;&gt;"",OR($J5&lt;0.08))),1,0))</f>
      </c>
    </row>
    <row r="6" spans="1:16" x14ac:dyDescent="0.25">
      <c r="A6" s="234">
        <f>IF($O6="","",INDEX(Master!$D$2:$D$1001,$O6))</f>
      </c>
      <c r="B6" s="239">
        <f>IF($O6="","",INDEX(Master!$B$2:$B$1001,$O6))</f>
      </c>
      <c r="C6" s="164">
        <f>IF($O6="","",INDEX(Master!$C$2:$C$1001,$O6))</f>
      </c>
      <c r="D6" s="164">
        <f>IF($O6="","",INDEX(Master!$A$2:$A$1001,$O6))</f>
      </c>
      <c r="E6" s="248">
        <f>IF($O6="","",INDEX(Master!$E$2:$E$1001,$O6))</f>
      </c>
      <c r="F6" s="164">
        <f>IF($O6="","",INDEX(Master!$F$2:$F$1001,$O6))</f>
      </c>
      <c r="G6" s="164">
        <f>IF($O6="","",INDEX(Master!$G$2:$G$1001,$O6))</f>
      </c>
      <c r="H6" s="164">
        <f>IF($O6="","",INDEX(Master!$H$2:$H$1001,$O6))</f>
      </c>
      <c r="I6" s="164">
        <f>IF($O6="","",INDEX(Master!$I$2:$I$1001,$O6))</f>
      </c>
      <c r="J6" s="164">
        <f>IF($O6="","",INDEX(Master!$J$2:$J$1001,$O6))</f>
      </c>
      <c r="K6" s="248">
        <f t="shared" si="0"/>
      </c>
      <c r="L6" s="164">
        <f>IF($O6="","",INDEX(Master!$K$2:$K$1001,$O6))</f>
      </c>
      <c r="M6" s="164">
        <f>IF($O6="","",INDEX(Master!$L$2:$L$1001,$O6))</f>
      </c>
      <c r="N6" s="164"/>
      <c r="O6">
        <f t="array" ref="O6">IFERROR(SMALL(IF(Master!$A$2:$A$1001="VRKP",ROW(Master!$A$2:$A$1001)-ROW(Master!$A$2)+1),2),"")</f>
      </c>
      <c r="P6">
        <f t="shared" si="1"/>
      </c>
    </row>
    <row r="7" spans="1:16" x14ac:dyDescent="0.25">
      <c r="A7" s="234">
        <f>IF($O7="","",INDEX(Master!$D$2:$D$1001,$O7))</f>
      </c>
      <c r="B7" s="239">
        <f>IF($O7="","",INDEX(Master!$B$2:$B$1001,$O7))</f>
      </c>
      <c r="C7" s="164">
        <f>IF($O7="","",INDEX(Master!$C$2:$C$1001,$O7))</f>
      </c>
      <c r="D7" s="164">
        <f>IF($O7="","",INDEX(Master!$A$2:$A$1001,$O7))</f>
      </c>
      <c r="E7" s="164">
        <f>IF($O7="","",INDEX(Master!$E$2:$E$1001,$O7))</f>
      </c>
      <c r="F7" s="164">
        <f>IF($O7="","",INDEX(Master!$F$2:$F$1001,$O7))</f>
      </c>
      <c r="G7" s="164">
        <f>IF($O7="","",INDEX(Master!$G$2:$G$1001,$O7))</f>
      </c>
      <c r="H7" s="164">
        <f>IF($O7="","",INDEX(Master!$H$2:$H$1001,$O7))</f>
      </c>
      <c r="I7" s="164">
        <f>IF($O7="","",INDEX(Master!$I$2:$I$1001,$O7))</f>
      </c>
      <c r="J7" s="164">
        <f>IF($O7="","",INDEX(Master!$J$2:$J$1001,$O7))</f>
      </c>
      <c r="K7" s="248">
        <f t="shared" si="0"/>
      </c>
      <c r="L7" s="164">
        <f>IF($O7="","",INDEX(Master!$K$2:$K$1001,$O7))</f>
      </c>
      <c r="M7" s="164">
        <f>IF($O7="","",INDEX(Master!$L$2:$L$1001,$O7))</f>
      </c>
      <c r="N7" s="164"/>
      <c r="O7">
        <f t="array" ref="O7">IFERROR(SMALL(IF(Master!$A$2:$A$1001="VRKP",ROW(Master!$A$2:$A$1001)-ROW(Master!$A$2)+1),3),"")</f>
      </c>
      <c r="P7">
        <f t="shared" si="1"/>
      </c>
    </row>
    <row r="8" spans="1:16" x14ac:dyDescent="0.25">
      <c r="A8" s="234">
        <f>IF($O8="","",INDEX(Master!$D$2:$D$1001,$O8))</f>
      </c>
      <c r="B8" s="239">
        <f>IF($O8="","",INDEX(Master!$B$2:$B$1001,$O8))</f>
      </c>
      <c r="C8" s="164">
        <f>IF($O8="","",INDEX(Master!$C$2:$C$1001,$O8))</f>
      </c>
      <c r="D8" s="164">
        <f>IF($O8="","",INDEX(Master!$A$2:$A$1001,$O8))</f>
      </c>
      <c r="E8" s="164">
        <f>IF($O8="","",INDEX(Master!$E$2:$E$1001,$O8))</f>
      </c>
      <c r="F8" s="164">
        <f>IF($O8="","",INDEX(Master!$F$2:$F$1001,$O8))</f>
      </c>
      <c r="G8" s="164">
        <f>IF($O8="","",INDEX(Master!$G$2:$G$1001,$O8))</f>
      </c>
      <c r="H8" s="164">
        <f>IF($O8="","",INDEX(Master!$H$2:$H$1001,$O8))</f>
      </c>
      <c r="I8" s="164">
        <f>IF($O8="","",INDEX(Master!$I$2:$I$1001,$O8))</f>
      </c>
      <c r="J8" s="164">
        <f>IF($O8="","",INDEX(Master!$J$2:$J$1001,$O8))</f>
      </c>
      <c r="K8" s="248">
        <f t="shared" si="0"/>
      </c>
      <c r="L8" s="164">
        <f>IF($O8="","",INDEX(Master!$K$2:$K$1001,$O8))</f>
      </c>
      <c r="M8" s="164">
        <f>IF($O8="","",INDEX(Master!$L$2:$L$1001,$O8))</f>
      </c>
      <c r="N8" s="164"/>
      <c r="O8">
        <f t="array" ref="O8">IFERROR(SMALL(IF(Master!$A$2:$A$1001="VRKP",ROW(Master!$A$2:$A$1001)-ROW(Master!$A$2)+1),4),"")</f>
      </c>
      <c r="P8">
        <f t="shared" si="1"/>
      </c>
    </row>
    <row r="9" spans="1:16" x14ac:dyDescent="0.25">
      <c r="A9" s="234">
        <f>IF($O9="","",INDEX(Master!$D$2:$D$1001,$O9))</f>
      </c>
      <c r="B9" s="239">
        <f>IF($O9="","",INDEX(Master!$B$2:$B$1001,$O9))</f>
      </c>
      <c r="C9" s="164">
        <f>IF($O9="","",INDEX(Master!$C$2:$C$1001,$O9))</f>
      </c>
      <c r="D9" s="164">
        <f>IF($O9="","",INDEX(Master!$A$2:$A$1001,$O9))</f>
      </c>
      <c r="E9" s="164">
        <f>IF($O9="","",INDEX(Master!$E$2:$E$1001,$O9))</f>
      </c>
      <c r="F9" s="164">
        <f>IF($O9="","",INDEX(Master!$F$2:$F$1001,$O9))</f>
      </c>
      <c r="G9" s="164">
        <f>IF($O9="","",INDEX(Master!$G$2:$G$1001,$O9))</f>
      </c>
      <c r="H9" s="164">
        <f>IF($O9="","",INDEX(Master!$H$2:$H$1001,$O9))</f>
      </c>
      <c r="I9" s="164">
        <f>IF($O9="","",INDEX(Master!$I$2:$I$1001,$O9))</f>
      </c>
      <c r="J9" s="164">
        <f>IF($O9="","",INDEX(Master!$J$2:$J$1001,$O9))</f>
      </c>
      <c r="K9" s="248">
        <f t="shared" si="0"/>
      </c>
      <c r="L9" s="164">
        <f>IF($O9="","",INDEX(Master!$K$2:$K$1001,$O9))</f>
      </c>
      <c r="M9" s="164">
        <f>IF($O9="","",INDEX(Master!$L$2:$L$1001,$O9))</f>
      </c>
      <c r="N9" s="164"/>
      <c r="O9">
        <f t="array" ref="O9">IFERROR(SMALL(IF(Master!$A$2:$A$1001="VRKP",ROW(Master!$A$2:$A$1001)-ROW(Master!$A$2)+1),5),"")</f>
      </c>
      <c r="P9">
        <f t="shared" si="1"/>
      </c>
    </row>
    <row r="10" spans="1:16" x14ac:dyDescent="0.25">
      <c r="A10" s="234">
        <f>IF($O10="","",INDEX(Master!$D$2:$D$1001,$O10))</f>
      </c>
      <c r="B10" s="239">
        <f>IF($O10="","",INDEX(Master!$B$2:$B$1001,$O10))</f>
      </c>
      <c r="C10" s="164">
        <f>IF($O10="","",INDEX(Master!$C$2:$C$1001,$O10))</f>
      </c>
      <c r="D10" s="164">
        <f>IF($O10="","",INDEX(Master!$A$2:$A$1001,$O10))</f>
      </c>
      <c r="E10" s="164">
        <f>IF($O10="","",INDEX(Master!$E$2:$E$1001,$O10))</f>
      </c>
      <c r="F10" s="164">
        <f>IF($O10="","",INDEX(Master!$F$2:$F$1001,$O10))</f>
      </c>
      <c r="G10" s="164">
        <f>IF($O10="","",INDEX(Master!$G$2:$G$1001,$O10))</f>
      </c>
      <c r="H10" s="164">
        <f>IF($O10="","",INDEX(Master!$H$2:$H$1001,$O10))</f>
      </c>
      <c r="I10" s="164">
        <f>IF($O10="","",INDEX(Master!$I$2:$I$1001,$O10))</f>
      </c>
      <c r="J10" s="164">
        <f>IF($O10="","",INDEX(Master!$J$2:$J$1001,$O10))</f>
      </c>
      <c r="K10" s="248">
        <f t="shared" si="0"/>
      </c>
      <c r="L10" s="164">
        <f>IF($O10="","",INDEX(Master!$K$2:$K$1001,$O10))</f>
      </c>
      <c r="M10" s="164">
        <f>IF($O10="","",INDEX(Master!$L$2:$L$1001,$O10))</f>
      </c>
      <c r="N10" s="164"/>
      <c r="O10">
        <f t="array" ref="O10">IFERROR(SMALL(IF(Master!$A$2:$A$1001="VRKP",ROW(Master!$A$2:$A$1001)-ROW(Master!$A$2)+1),6),"")</f>
      </c>
      <c r="P10">
        <f t="shared" si="1"/>
      </c>
    </row>
    <row r="11" spans="1:16" x14ac:dyDescent="0.25">
      <c r="A11" s="234">
        <f>IF($O11="","",INDEX(Master!$D$2:$D$1001,$O11))</f>
      </c>
      <c r="B11" s="239">
        <f>IF($O11="","",INDEX(Master!$B$2:$B$1001,$O11))</f>
      </c>
      <c r="C11" s="164">
        <f>IF($O11="","",INDEX(Master!$C$2:$C$1001,$O11))</f>
      </c>
      <c r="D11" s="164">
        <f>IF($O11="","",INDEX(Master!$A$2:$A$1001,$O11))</f>
      </c>
      <c r="E11" s="164">
        <f>IF($O11="","",INDEX(Master!$E$2:$E$1001,$O11))</f>
      </c>
      <c r="F11" s="164">
        <f>IF($O11="","",INDEX(Master!$F$2:$F$1001,$O11))</f>
      </c>
      <c r="G11" s="164">
        <f>IF($O11="","",INDEX(Master!$G$2:$G$1001,$O11))</f>
      </c>
      <c r="H11" s="164">
        <f>IF($O11="","",INDEX(Master!$H$2:$H$1001,$O11))</f>
      </c>
      <c r="I11" s="164">
        <f>IF($O11="","",INDEX(Master!$I$2:$I$1001,$O11))</f>
      </c>
      <c r="J11" s="164">
        <f>IF($O11="","",INDEX(Master!$J$2:$J$1001,$O11))</f>
      </c>
      <c r="K11" s="248">
        <f t="shared" si="0"/>
      </c>
      <c r="L11" s="164">
        <f>IF($O11="","",INDEX(Master!$K$2:$K$1001,$O11))</f>
      </c>
      <c r="M11" s="164">
        <f>IF($O11="","",INDEX(Master!$L$2:$L$1001,$O11))</f>
      </c>
      <c r="N11" s="164"/>
      <c r="O11">
        <f t="array" ref="O11">IFERROR(SMALL(IF(Master!$A$2:$A$1001="VRKP",ROW(Master!$A$2:$A$1001)-ROW(Master!$A$2)+1),7),"")</f>
      </c>
      <c r="P11">
        <f t="shared" si="1"/>
      </c>
    </row>
    <row r="12" spans="1:16" x14ac:dyDescent="0.25">
      <c r="A12" s="234">
        <f>IF($O12="","",INDEX(Master!$D$2:$D$1001,$O12))</f>
      </c>
      <c r="B12" s="239">
        <f>IF($O12="","",INDEX(Master!$B$2:$B$1001,$O12))</f>
      </c>
      <c r="C12" s="164">
        <f>IF($O12="","",INDEX(Master!$C$2:$C$1001,$O12))</f>
      </c>
      <c r="D12" s="164">
        <f>IF($O12="","",INDEX(Master!$A$2:$A$1001,$O12))</f>
      </c>
      <c r="E12" s="164">
        <f>IF($O12="","",INDEX(Master!$E$2:$E$1001,$O12))</f>
      </c>
      <c r="F12" s="164">
        <f>IF($O12="","",INDEX(Master!$F$2:$F$1001,$O12))</f>
      </c>
      <c r="G12" s="164">
        <f>IF($O12="","",INDEX(Master!$G$2:$G$1001,$O12))</f>
      </c>
      <c r="H12" s="164">
        <f>IF($O12="","",INDEX(Master!$H$2:$H$1001,$O12))</f>
      </c>
      <c r="I12" s="164">
        <f>IF($O12="","",INDEX(Master!$I$2:$I$1001,$O12))</f>
      </c>
      <c r="J12" s="164">
        <f>IF($O12="","",INDEX(Master!$J$2:$J$1001,$O12))</f>
      </c>
      <c r="K12" s="248">
        <f t="shared" si="0"/>
      </c>
      <c r="L12" s="164">
        <f>IF($O12="","",INDEX(Master!$K$2:$K$1001,$O12))</f>
      </c>
      <c r="M12" s="164">
        <f>IF($O12="","",INDEX(Master!$L$2:$L$1001,$O12))</f>
      </c>
      <c r="N12" s="164"/>
      <c r="O12">
        <f t="array" ref="O12">IFERROR(SMALL(IF(Master!$A$2:$A$1001="VRKP",ROW(Master!$A$2:$A$1001)-ROW(Master!$A$2)+1),8),"")</f>
      </c>
      <c r="P12">
        <f t="shared" si="1"/>
      </c>
    </row>
    <row r="13" spans="1:16" x14ac:dyDescent="0.25">
      <c r="A13" s="234">
        <f>IF($O13="","",INDEX(Master!$D$2:$D$1001,$O13))</f>
      </c>
      <c r="B13" s="239">
        <f>IF($O13="","",INDEX(Master!$B$2:$B$1001,$O13))</f>
      </c>
      <c r="C13" s="164">
        <f>IF($O13="","",INDEX(Master!$C$2:$C$1001,$O13))</f>
      </c>
      <c r="D13" s="164">
        <f>IF($O13="","",INDEX(Master!$A$2:$A$1001,$O13))</f>
      </c>
      <c r="E13" s="164">
        <f>IF($O13="","",INDEX(Master!$E$2:$E$1001,$O13))</f>
      </c>
      <c r="F13" s="164">
        <f>IF($O13="","",INDEX(Master!$F$2:$F$1001,$O13))</f>
      </c>
      <c r="G13" s="164">
        <f>IF($O13="","",INDEX(Master!$G$2:$G$1001,$O13))</f>
      </c>
      <c r="H13" s="164">
        <f>IF($O13="","",INDEX(Master!$H$2:$H$1001,$O13))</f>
      </c>
      <c r="I13" s="164">
        <f>IF($O13="","",INDEX(Master!$I$2:$I$1001,$O13))</f>
      </c>
      <c r="J13" s="164">
        <f>IF($O13="","",INDEX(Master!$J$2:$J$1001,$O13))</f>
      </c>
      <c r="K13" s="248">
        <f t="shared" si="0"/>
      </c>
      <c r="L13" s="164">
        <f>IF($O13="","",INDEX(Master!$K$2:$K$1001,$O13))</f>
      </c>
      <c r="M13" s="164">
        <f>IF($O13="","",INDEX(Master!$L$2:$L$1001,$O13))</f>
      </c>
      <c r="N13" s="164"/>
      <c r="O13">
        <f t="array" ref="O13">IFERROR(SMALL(IF(Master!$A$2:$A$1001="VRKP",ROW(Master!$A$2:$A$1001)-ROW(Master!$A$2)+1),9),"")</f>
      </c>
      <c r="P13">
        <f t="shared" si="1"/>
      </c>
    </row>
    <row r="14" spans="1:16" x14ac:dyDescent="0.25">
      <c r="A14" s="234">
        <f>IF($O14="","",INDEX(Master!$D$2:$D$1001,$O14))</f>
      </c>
      <c r="B14" s="239">
        <f>IF($O14="","",INDEX(Master!$B$2:$B$1001,$O14))</f>
      </c>
      <c r="C14" s="164">
        <f>IF($O14="","",INDEX(Master!$C$2:$C$1001,$O14))</f>
      </c>
      <c r="D14" s="164">
        <f>IF($O14="","",INDEX(Master!$A$2:$A$1001,$O14))</f>
      </c>
      <c r="E14" s="164">
        <f>IF($O14="","",INDEX(Master!$E$2:$E$1001,$O14))</f>
      </c>
      <c r="F14" s="164">
        <f>IF($O14="","",INDEX(Master!$F$2:$F$1001,$O14))</f>
      </c>
      <c r="G14" s="164">
        <f>IF($O14="","",INDEX(Master!$G$2:$G$1001,$O14))</f>
      </c>
      <c r="H14" s="164">
        <f>IF($O14="","",INDEX(Master!$H$2:$H$1001,$O14))</f>
      </c>
      <c r="I14" s="164">
        <f>IF($O14="","",INDEX(Master!$I$2:$I$1001,$O14))</f>
      </c>
      <c r="J14" s="164">
        <f>IF($O14="","",INDEX(Master!$J$2:$J$1001,$O14))</f>
      </c>
      <c r="K14" s="248">
        <f t="shared" si="0"/>
      </c>
      <c r="L14" s="164">
        <f>IF($O14="","",INDEX(Master!$K$2:$K$1001,$O14))</f>
      </c>
      <c r="M14" s="164">
        <f>IF($O14="","",INDEX(Master!$L$2:$L$1001,$O14))</f>
      </c>
      <c r="N14" s="164"/>
      <c r="O14">
        <f t="array" ref="O14">IFERROR(SMALL(IF(Master!$A$2:$A$1001="VRKP",ROW(Master!$A$2:$A$1001)-ROW(Master!$A$2)+1),10),"")</f>
      </c>
      <c r="P14">
        <f t="shared" si="1"/>
      </c>
    </row>
    <row r="15" spans="1:16" x14ac:dyDescent="0.25">
      <c r="A15" s="234">
        <f>IF($O15="","",INDEX(Master!$D$2:$D$1001,$O15))</f>
      </c>
      <c r="B15" s="239">
        <f>IF($O15="","",INDEX(Master!$B$2:$B$1001,$O15))</f>
      </c>
      <c r="C15" s="164">
        <f>IF($O15="","",INDEX(Master!$C$2:$C$1001,$O15))</f>
      </c>
      <c r="D15" s="164">
        <f>IF($O15="","",INDEX(Master!$A$2:$A$1001,$O15))</f>
      </c>
      <c r="E15" s="164">
        <f>IF($O15="","",INDEX(Master!$E$2:$E$1001,$O15))</f>
      </c>
      <c r="F15" s="164">
        <f>IF($O15="","",INDEX(Master!$F$2:$F$1001,$O15))</f>
      </c>
      <c r="G15" s="164">
        <f>IF($O15="","",INDEX(Master!$G$2:$G$1001,$O15))</f>
      </c>
      <c r="H15" s="164">
        <f>IF($O15="","",INDEX(Master!$H$2:$H$1001,$O15))</f>
      </c>
      <c r="I15" s="164">
        <f>IF($O15="","",INDEX(Master!$I$2:$I$1001,$O15))</f>
      </c>
      <c r="J15" s="164">
        <f>IF($O15="","",INDEX(Master!$J$2:$J$1001,$O15))</f>
      </c>
      <c r="K15" s="248">
        <f t="shared" si="0"/>
      </c>
      <c r="L15" s="164">
        <f>IF($O15="","",INDEX(Master!$K$2:$K$1001,$O15))</f>
      </c>
      <c r="M15" s="164">
        <f>IF($O15="","",INDEX(Master!$L$2:$L$1001,$O15))</f>
      </c>
      <c r="N15" s="164"/>
      <c r="O15">
        <f t="array" ref="O15">IFERROR(SMALL(IF(Master!$A$2:$A$1001="VRKP",ROW(Master!$A$2:$A$1001)-ROW(Master!$A$2)+1),11),"")</f>
      </c>
      <c r="P15">
        <f t="shared" si="1"/>
      </c>
    </row>
    <row r="16" spans="1:16" x14ac:dyDescent="0.25">
      <c r="A16" s="234">
        <f>IF($O16="","",INDEX(Master!$D$2:$D$1001,$O16))</f>
      </c>
      <c r="B16" s="239">
        <f>IF($O16="","",INDEX(Master!$B$2:$B$1001,$O16))</f>
      </c>
      <c r="C16" s="164">
        <f>IF($O16="","",INDEX(Master!$C$2:$C$1001,$O16))</f>
      </c>
      <c r="D16" s="164">
        <f>IF($O16="","",INDEX(Master!$A$2:$A$1001,$O16))</f>
      </c>
      <c r="E16" s="164">
        <f>IF($O16="","",INDEX(Master!$E$2:$E$1001,$O16))</f>
      </c>
      <c r="F16" s="164">
        <f>IF($O16="","",INDEX(Master!$F$2:$F$1001,$O16))</f>
      </c>
      <c r="G16" s="164">
        <f>IF($O16="","",INDEX(Master!$G$2:$G$1001,$O16))</f>
      </c>
      <c r="H16" s="164">
        <f>IF($O16="","",INDEX(Master!$H$2:$H$1001,$O16))</f>
      </c>
      <c r="I16" s="164">
        <f>IF($O16="","",INDEX(Master!$I$2:$I$1001,$O16))</f>
      </c>
      <c r="J16" s="164">
        <f>IF($O16="","",INDEX(Master!$J$2:$J$1001,$O16))</f>
      </c>
      <c r="K16" s="248">
        <f t="shared" si="0"/>
      </c>
      <c r="L16" s="164">
        <f>IF($O16="","",INDEX(Master!$K$2:$K$1001,$O16))</f>
      </c>
      <c r="M16" s="164">
        <f>IF($O16="","",INDEX(Master!$L$2:$L$1001,$O16))</f>
      </c>
      <c r="N16" s="164"/>
      <c r="O16">
        <f t="array" ref="O16">IFERROR(SMALL(IF(Master!$A$2:$A$1001="VRKP",ROW(Master!$A$2:$A$1001)-ROW(Master!$A$2)+1),12),"")</f>
      </c>
      <c r="P16">
        <f t="shared" si="1"/>
      </c>
    </row>
    <row r="17" spans="1:16" x14ac:dyDescent="0.25">
      <c r="A17" s="234">
        <f>IF($O17="","",INDEX(Master!$D$2:$D$1001,$O17))</f>
      </c>
      <c r="B17" s="239">
        <f>IF($O17="","",INDEX(Master!$B$2:$B$1001,$O17))</f>
      </c>
      <c r="C17" s="164">
        <f>IF($O17="","",INDEX(Master!$C$2:$C$1001,$O17))</f>
      </c>
      <c r="D17" s="164">
        <f>IF($O17="","",INDEX(Master!$A$2:$A$1001,$O17))</f>
      </c>
      <c r="E17" s="164">
        <f>IF($O17="","",INDEX(Master!$E$2:$E$1001,$O17))</f>
      </c>
      <c r="F17" s="164">
        <f>IF($O17="","",INDEX(Master!$F$2:$F$1001,$O17))</f>
      </c>
      <c r="G17" s="164">
        <f>IF($O17="","",INDEX(Master!$G$2:$G$1001,$O17))</f>
      </c>
      <c r="H17" s="164">
        <f>IF($O17="","",INDEX(Master!$H$2:$H$1001,$O17))</f>
      </c>
      <c r="I17" s="164">
        <f>IF($O17="","",INDEX(Master!$I$2:$I$1001,$O17))</f>
      </c>
      <c r="J17" s="164">
        <f>IF($O17="","",INDEX(Master!$J$2:$J$1001,$O17))</f>
      </c>
      <c r="K17" s="248">
        <f t="shared" si="0"/>
      </c>
      <c r="L17" s="164">
        <f>IF($O17="","",INDEX(Master!$K$2:$K$1001,$O17))</f>
      </c>
      <c r="M17" s="164">
        <f>IF($O17="","",INDEX(Master!$L$2:$L$1001,$O17))</f>
      </c>
      <c r="N17" s="164"/>
      <c r="O17">
        <f t="array" ref="O17">IFERROR(SMALL(IF(Master!$A$2:$A$1001="VRKP",ROW(Master!$A$2:$A$1001)-ROW(Master!$A$2)+1),13),"")</f>
      </c>
      <c r="P17">
        <f t="shared" si="1"/>
      </c>
    </row>
    <row r="18" spans="1:16" x14ac:dyDescent="0.25">
      <c r="A18" s="234">
        <f>IF($O18="","",INDEX(Master!$D$2:$D$1001,$O18))</f>
      </c>
      <c r="B18" s="239">
        <f>IF($O18="","",INDEX(Master!$B$2:$B$1001,$O18))</f>
      </c>
      <c r="C18" s="164">
        <f>IF($O18="","",INDEX(Master!$C$2:$C$1001,$O18))</f>
      </c>
      <c r="D18" s="164">
        <f>IF($O18="","",INDEX(Master!$A$2:$A$1001,$O18))</f>
      </c>
      <c r="E18" s="164">
        <f>IF($O18="","",INDEX(Master!$E$2:$E$1001,$O18))</f>
      </c>
      <c r="F18" s="164">
        <f>IF($O18="","",INDEX(Master!$F$2:$F$1001,$O18))</f>
      </c>
      <c r="G18" s="164">
        <f>IF($O18="","",INDEX(Master!$G$2:$G$1001,$O18))</f>
      </c>
      <c r="H18" s="164">
        <f>IF($O18="","",INDEX(Master!$H$2:$H$1001,$O18))</f>
      </c>
      <c r="I18" s="164">
        <f>IF($O18="","",INDEX(Master!$I$2:$I$1001,$O18))</f>
      </c>
      <c r="J18" s="164">
        <f>IF($O18="","",INDEX(Master!$J$2:$J$1001,$O18))</f>
      </c>
      <c r="K18" s="248">
        <f t="shared" si="0"/>
      </c>
      <c r="L18" s="164">
        <f>IF($O18="","",INDEX(Master!$K$2:$K$1001,$O18))</f>
      </c>
      <c r="M18" s="164">
        <f>IF($O18="","",INDEX(Master!$L$2:$L$1001,$O18))</f>
      </c>
      <c r="N18" s="164"/>
      <c r="O18">
        <f t="array" ref="O18">IFERROR(SMALL(IF(Master!$A$2:$A$1001="VRKP",ROW(Master!$A$2:$A$1001)-ROW(Master!$A$2)+1),14),"")</f>
      </c>
      <c r="P18">
        <f t="shared" si="1"/>
      </c>
    </row>
    <row r="19" spans="1:16" x14ac:dyDescent="0.25">
      <c r="A19" s="234">
        <f>IF($O19="","",INDEX(Master!$D$2:$D$1001,$O19))</f>
      </c>
      <c r="B19" s="239">
        <f>IF($O19="","",INDEX(Master!$B$2:$B$1001,$O19))</f>
      </c>
      <c r="C19" s="164">
        <f>IF($O19="","",INDEX(Master!$C$2:$C$1001,$O19))</f>
      </c>
      <c r="D19" s="164">
        <f>IF($O19="","",INDEX(Master!$A$2:$A$1001,$O19))</f>
      </c>
      <c r="E19" s="164">
        <f>IF($O19="","",INDEX(Master!$E$2:$E$1001,$O19))</f>
      </c>
      <c r="F19" s="164">
        <f>IF($O19="","",INDEX(Master!$F$2:$F$1001,$O19))</f>
      </c>
      <c r="G19" s="164">
        <f>IF($O19="","",INDEX(Master!$G$2:$G$1001,$O19))</f>
      </c>
      <c r="H19" s="164">
        <f>IF($O19="","",INDEX(Master!$H$2:$H$1001,$O19))</f>
      </c>
      <c r="I19" s="164">
        <f>IF($O19="","",INDEX(Master!$I$2:$I$1001,$O19))</f>
      </c>
      <c r="J19" s="164">
        <f>IF($O19="","",INDEX(Master!$J$2:$J$1001,$O19))</f>
      </c>
      <c r="K19" s="248">
        <f t="shared" si="0"/>
      </c>
      <c r="L19" s="164">
        <f>IF($O19="","",INDEX(Master!$K$2:$K$1001,$O19))</f>
      </c>
      <c r="M19" s="164">
        <f>IF($O19="","",INDEX(Master!$L$2:$L$1001,$O19))</f>
      </c>
      <c r="N19" s="164"/>
      <c r="O19">
        <f t="array" ref="O19">IFERROR(SMALL(IF(Master!$A$2:$A$1001="VRKP",ROW(Master!$A$2:$A$1001)-ROW(Master!$A$2)+1),15),"")</f>
      </c>
      <c r="P19">
        <f t="shared" si="1"/>
      </c>
    </row>
    <row r="20" spans="1:16" x14ac:dyDescent="0.25">
      <c r="A20" s="234">
        <f>IF($O20="","",INDEX(Master!$D$2:$D$1001,$O20))</f>
      </c>
      <c r="B20" s="239">
        <f>IF($O20="","",INDEX(Master!$B$2:$B$1001,$O20))</f>
      </c>
      <c r="C20" s="164">
        <f>IF($O20="","",INDEX(Master!$C$2:$C$1001,$O20))</f>
      </c>
      <c r="D20" s="164">
        <f>IF($O20="","",INDEX(Master!$A$2:$A$1001,$O20))</f>
      </c>
      <c r="E20" s="164">
        <f>IF($O20="","",INDEX(Master!$E$2:$E$1001,$O20))</f>
      </c>
      <c r="F20" s="164">
        <f>IF($O20="","",INDEX(Master!$F$2:$F$1001,$O20))</f>
      </c>
      <c r="G20" s="164">
        <f>IF($O20="","",INDEX(Master!$G$2:$G$1001,$O20))</f>
      </c>
      <c r="H20" s="164">
        <f>IF($O20="","",INDEX(Master!$H$2:$H$1001,$O20))</f>
      </c>
      <c r="I20" s="164">
        <f>IF($O20="","",INDEX(Master!$I$2:$I$1001,$O20))</f>
      </c>
      <c r="J20" s="164">
        <f>IF($O20="","",INDEX(Master!$J$2:$J$1001,$O20))</f>
      </c>
      <c r="K20" s="248">
        <f t="shared" si="0"/>
      </c>
      <c r="L20" s="164">
        <f>IF($O20="","",INDEX(Master!$K$2:$K$1001,$O20))</f>
      </c>
      <c r="M20" s="164">
        <f>IF($O20="","",INDEX(Master!$L$2:$L$1001,$O20))</f>
      </c>
      <c r="N20" s="164"/>
      <c r="O20">
        <f t="array" ref="O20">IFERROR(SMALL(IF(Master!$A$2:$A$1001="VRKP",ROW(Master!$A$2:$A$1001)-ROW(Master!$A$2)+1),16),"")</f>
      </c>
      <c r="P20">
        <f t="shared" si="1"/>
      </c>
    </row>
    <row r="21" spans="1:16" x14ac:dyDescent="0.25">
      <c r="A21" s="234">
        <f>IF($O21="","",INDEX(Master!$D$2:$D$1001,$O21))</f>
      </c>
      <c r="B21" s="239">
        <f>IF($O21="","",INDEX(Master!$B$2:$B$1001,$O21))</f>
      </c>
      <c r="C21" s="164">
        <f>IF($O21="","",INDEX(Master!$C$2:$C$1001,$O21))</f>
      </c>
      <c r="D21" s="164">
        <f>IF($O21="","",INDEX(Master!$A$2:$A$1001,$O21))</f>
      </c>
      <c r="E21" s="164">
        <f>IF($O21="","",INDEX(Master!$E$2:$E$1001,$O21))</f>
      </c>
      <c r="F21" s="164">
        <f>IF($O21="","",INDEX(Master!$F$2:$F$1001,$O21))</f>
      </c>
      <c r="G21" s="164">
        <f>IF($O21="","",INDEX(Master!$G$2:$G$1001,$O21))</f>
      </c>
      <c r="H21" s="164">
        <f>IF($O21="","",INDEX(Master!$H$2:$H$1001,$O21))</f>
      </c>
      <c r="I21" s="164">
        <f>IF($O21="","",INDEX(Master!$I$2:$I$1001,$O21))</f>
      </c>
      <c r="J21" s="164">
        <f>IF($O21="","",INDEX(Master!$J$2:$J$1001,$O21))</f>
      </c>
      <c r="K21" s="248">
        <f t="shared" si="0"/>
      </c>
      <c r="L21" s="164">
        <f>IF($O21="","",INDEX(Master!$K$2:$K$1001,$O21))</f>
      </c>
      <c r="M21" s="164">
        <f>IF($O21="","",INDEX(Master!$L$2:$L$1001,$O21))</f>
      </c>
      <c r="N21" s="164"/>
      <c r="O21">
        <f t="array" ref="O21">IFERROR(SMALL(IF(Master!$A$2:$A$1001="VRKP",ROW(Master!$A$2:$A$1001)-ROW(Master!$A$2)+1),17),"")</f>
      </c>
      <c r="P21">
        <f t="shared" si="1"/>
      </c>
    </row>
    <row r="22" spans="1:16" x14ac:dyDescent="0.25">
      <c r="A22" s="234">
        <f>IF($O22="","",INDEX(Master!$D$2:$D$1001,$O22))</f>
      </c>
      <c r="B22" s="239">
        <f>IF($O22="","",INDEX(Master!$B$2:$B$1001,$O22))</f>
      </c>
      <c r="C22" s="164">
        <f>IF($O22="","",INDEX(Master!$C$2:$C$1001,$O22))</f>
      </c>
      <c r="D22" s="164">
        <f>IF($O22="","",INDEX(Master!$A$2:$A$1001,$O22))</f>
      </c>
      <c r="E22" s="164">
        <f>IF($O22="","",INDEX(Master!$E$2:$E$1001,$O22))</f>
      </c>
      <c r="F22" s="164">
        <f>IF($O22="","",INDEX(Master!$F$2:$F$1001,$O22))</f>
      </c>
      <c r="G22" s="164">
        <f>IF($O22="","",INDEX(Master!$G$2:$G$1001,$O22))</f>
      </c>
      <c r="H22" s="164">
        <f>IF($O22="","",INDEX(Master!$H$2:$H$1001,$O22))</f>
      </c>
      <c r="I22" s="164">
        <f>IF($O22="","",INDEX(Master!$I$2:$I$1001,$O22))</f>
      </c>
      <c r="J22" s="164">
        <f>IF($O22="","",INDEX(Master!$J$2:$J$1001,$O22))</f>
      </c>
      <c r="K22" s="248">
        <f t="shared" si="0"/>
      </c>
      <c r="L22" s="164">
        <f>IF($O22="","",INDEX(Master!$K$2:$K$1001,$O22))</f>
      </c>
      <c r="M22" s="164">
        <f>IF($O22="","",INDEX(Master!$L$2:$L$1001,$O22))</f>
      </c>
      <c r="N22" s="164"/>
      <c r="O22">
        <f t="array" ref="O22">IFERROR(SMALL(IF(Master!$A$2:$A$1001="VRKP",ROW(Master!$A$2:$A$1001)-ROW(Master!$A$2)+1),18),"")</f>
      </c>
      <c r="P22">
        <f t="shared" si="1"/>
      </c>
    </row>
    <row r="23" spans="1:16" x14ac:dyDescent="0.25">
      <c r="A23" s="234">
        <f>IF($O23="","",INDEX(Master!$D$2:$D$1001,$O23))</f>
      </c>
      <c r="B23" s="239">
        <f>IF($O23="","",INDEX(Master!$B$2:$B$1001,$O23))</f>
      </c>
      <c r="C23" s="164">
        <f>IF($O23="","",INDEX(Master!$C$2:$C$1001,$O23))</f>
      </c>
      <c r="D23" s="164">
        <f>IF($O23="","",INDEX(Master!$A$2:$A$1001,$O23))</f>
      </c>
      <c r="E23" s="164">
        <f>IF($O23="","",INDEX(Master!$E$2:$E$1001,$O23))</f>
      </c>
      <c r="F23" s="164">
        <f>IF($O23="","",INDEX(Master!$F$2:$F$1001,$O23))</f>
      </c>
      <c r="G23" s="164">
        <f>IF($O23="","",INDEX(Master!$G$2:$G$1001,$O23))</f>
      </c>
      <c r="H23" s="164">
        <f>IF($O23="","",INDEX(Master!$H$2:$H$1001,$O23))</f>
      </c>
      <c r="I23" s="164">
        <f>IF($O23="","",INDEX(Master!$I$2:$I$1001,$O23))</f>
      </c>
      <c r="J23" s="164">
        <f>IF($O23="","",INDEX(Master!$J$2:$J$1001,$O23))</f>
      </c>
      <c r="K23" s="248">
        <f t="shared" si="0"/>
      </c>
      <c r="L23" s="164">
        <f>IF($O23="","",INDEX(Master!$K$2:$K$1001,$O23))</f>
      </c>
      <c r="M23" s="164">
        <f>IF($O23="","",INDEX(Master!$L$2:$L$1001,$O23))</f>
      </c>
      <c r="N23" s="164"/>
      <c r="O23">
        <f t="array" ref="O23">IFERROR(SMALL(IF(Master!$A$2:$A$1001="VRKP",ROW(Master!$A$2:$A$1001)-ROW(Master!$A$2)+1),19),"")</f>
      </c>
      <c r="P23">
        <f t="shared" si="1"/>
      </c>
    </row>
    <row r="24" spans="1:16" x14ac:dyDescent="0.25">
      <c r="A24" s="234">
        <f>IF($O24="","",INDEX(Master!$D$2:$D$1001,$O24))</f>
      </c>
      <c r="B24" s="239">
        <f>IF($O24="","",INDEX(Master!$B$2:$B$1001,$O24))</f>
      </c>
      <c r="C24" s="164">
        <f>IF($O24="","",INDEX(Master!$C$2:$C$1001,$O24))</f>
      </c>
      <c r="D24" s="164">
        <f>IF($O24="","",INDEX(Master!$A$2:$A$1001,$O24))</f>
      </c>
      <c r="E24" s="164">
        <f>IF($O24="","",INDEX(Master!$E$2:$E$1001,$O24))</f>
      </c>
      <c r="F24" s="164">
        <f>IF($O24="","",INDEX(Master!$F$2:$F$1001,$O24))</f>
      </c>
      <c r="G24" s="164">
        <f>IF($O24="","",INDEX(Master!$G$2:$G$1001,$O24))</f>
      </c>
      <c r="H24" s="164">
        <f>IF($O24="","",INDEX(Master!$H$2:$H$1001,$O24))</f>
      </c>
      <c r="I24" s="164">
        <f>IF($O24="","",INDEX(Master!$I$2:$I$1001,$O24))</f>
      </c>
      <c r="J24" s="164">
        <f>IF($O24="","",INDEX(Master!$J$2:$J$1001,$O24))</f>
      </c>
      <c r="K24" s="248">
        <f t="shared" si="0"/>
      </c>
      <c r="L24" s="164">
        <f>IF($O24="","",INDEX(Master!$K$2:$K$1001,$O24))</f>
      </c>
      <c r="M24" s="164">
        <f>IF($O24="","",INDEX(Master!$L$2:$L$1001,$O24))</f>
      </c>
      <c r="N24" s="164"/>
      <c r="O24">
        <f t="array" ref="O24">IFERROR(SMALL(IF(Master!$A$2:$A$1001="VRKP",ROW(Master!$A$2:$A$1001)-ROW(Master!$A$2)+1),20),"")</f>
      </c>
      <c r="P24">
        <f t="shared" si="1"/>
      </c>
    </row>
    <row r="25" spans="1:16" x14ac:dyDescent="0.25">
      <c r="A25" s="234">
        <f>IF($O25="","",INDEX(Master!$D$2:$D$1001,$O25))</f>
      </c>
      <c r="B25" s="239">
        <f>IF($O25="","",INDEX(Master!$B$2:$B$1001,$O25))</f>
      </c>
      <c r="C25" s="164">
        <f>IF($O25="","",INDEX(Master!$C$2:$C$1001,$O25))</f>
      </c>
      <c r="D25" s="164">
        <f>IF($O25="","",INDEX(Master!$A$2:$A$1001,$O25))</f>
      </c>
      <c r="E25" s="164">
        <f>IF($O25="","",INDEX(Master!$E$2:$E$1001,$O25))</f>
      </c>
      <c r="F25" s="164">
        <f>IF($O25="","",INDEX(Master!$F$2:$F$1001,$O25))</f>
      </c>
      <c r="G25" s="164">
        <f>IF($O25="","",INDEX(Master!$G$2:$G$1001,$O25))</f>
      </c>
      <c r="H25" s="164">
        <f>IF($O25="","",INDEX(Master!$H$2:$H$1001,$O25))</f>
      </c>
      <c r="I25" s="164">
        <f>IF($O25="","",INDEX(Master!$I$2:$I$1001,$O25))</f>
      </c>
      <c r="J25" s="164">
        <f>IF($O25="","",INDEX(Master!$J$2:$J$1001,$O25))</f>
      </c>
      <c r="K25" s="248">
        <f t="shared" si="0"/>
      </c>
      <c r="L25" s="164">
        <f>IF($O25="","",INDEX(Master!$K$2:$K$1001,$O25))</f>
      </c>
      <c r="M25" s="164">
        <f>IF($O25="","",INDEX(Master!$L$2:$L$1001,$O25))</f>
      </c>
      <c r="N25" s="164"/>
      <c r="O25">
        <f t="array" ref="O25">IFERROR(SMALL(IF(Master!$A$2:$A$1001="VRKP",ROW(Master!$A$2:$A$1001)-ROW(Master!$A$2)+1),21),"")</f>
      </c>
      <c r="P25">
        <f t="shared" si="1"/>
      </c>
    </row>
    <row r="26" spans="1:16" x14ac:dyDescent="0.25">
      <c r="A26" s="234">
        <f>IF($O26="","",INDEX(Master!$D$2:$D$1001,$O26))</f>
      </c>
      <c r="B26" s="239">
        <f>IF($O26="","",INDEX(Master!$B$2:$B$1001,$O26))</f>
      </c>
      <c r="C26" s="164">
        <f>IF($O26="","",INDEX(Master!$C$2:$C$1001,$O26))</f>
      </c>
      <c r="D26" s="164">
        <f>IF($O26="","",INDEX(Master!$A$2:$A$1001,$O26))</f>
      </c>
      <c r="E26" s="164">
        <f>IF($O26="","",INDEX(Master!$E$2:$E$1001,$O26))</f>
      </c>
      <c r="F26" s="164">
        <f>IF($O26="","",INDEX(Master!$F$2:$F$1001,$O26))</f>
      </c>
      <c r="G26" s="164">
        <f>IF($O26="","",INDEX(Master!$G$2:$G$1001,$O26))</f>
      </c>
      <c r="H26" s="164">
        <f>IF($O26="","",INDEX(Master!$H$2:$H$1001,$O26))</f>
      </c>
      <c r="I26" s="164">
        <f>IF($O26="","",INDEX(Master!$I$2:$I$1001,$O26))</f>
      </c>
      <c r="J26" s="164">
        <f>IF($O26="","",INDEX(Master!$J$2:$J$1001,$O26))</f>
      </c>
      <c r="K26" s="248">
        <f t="shared" si="0"/>
      </c>
      <c r="L26" s="164">
        <f>IF($O26="","",INDEX(Master!$K$2:$K$1001,$O26))</f>
      </c>
      <c r="M26" s="164">
        <f>IF($O26="","",INDEX(Master!$L$2:$L$1001,$O26))</f>
      </c>
      <c r="N26" s="164"/>
      <c r="O26">
        <f t="array" ref="O26">IFERROR(SMALL(IF(Master!$A$2:$A$1001="VRKP",ROW(Master!$A$2:$A$1001)-ROW(Master!$A$2)+1),22),"")</f>
      </c>
      <c r="P26">
        <f t="shared" si="1"/>
      </c>
    </row>
    <row r="27" spans="1:16" x14ac:dyDescent="0.25">
      <c r="A27" s="234">
        <f>IF($O27="","",INDEX(Master!$D$2:$D$1001,$O27))</f>
      </c>
      <c r="B27" s="239">
        <f>IF($O27="","",INDEX(Master!$B$2:$B$1001,$O27))</f>
      </c>
      <c r="C27" s="164">
        <f>IF($O27="","",INDEX(Master!$C$2:$C$1001,$O27))</f>
      </c>
      <c r="D27" s="164">
        <f>IF($O27="","",INDEX(Master!$A$2:$A$1001,$O27))</f>
      </c>
      <c r="E27" s="164">
        <f>IF($O27="","",INDEX(Master!$E$2:$E$1001,$O27))</f>
      </c>
      <c r="F27" s="164">
        <f>IF($O27="","",INDEX(Master!$F$2:$F$1001,$O27))</f>
      </c>
      <c r="G27" s="164">
        <f>IF($O27="","",INDEX(Master!$G$2:$G$1001,$O27))</f>
      </c>
      <c r="H27" s="164">
        <f>IF($O27="","",INDEX(Master!$H$2:$H$1001,$O27))</f>
      </c>
      <c r="I27" s="164">
        <f>IF($O27="","",INDEX(Master!$I$2:$I$1001,$O27))</f>
      </c>
      <c r="J27" s="164">
        <f>IF($O27="","",INDEX(Master!$J$2:$J$1001,$O27))</f>
      </c>
      <c r="K27" s="248">
        <f t="shared" si="0"/>
      </c>
      <c r="L27" s="164">
        <f>IF($O27="","",INDEX(Master!$K$2:$K$1001,$O27))</f>
      </c>
      <c r="M27" s="164">
        <f>IF($O27="","",INDEX(Master!$L$2:$L$1001,$O27))</f>
      </c>
      <c r="N27" s="164"/>
      <c r="O27">
        <f t="array" ref="O27">IFERROR(SMALL(IF(Master!$A$2:$A$1001="VRKP",ROW(Master!$A$2:$A$1001)-ROW(Master!$A$2)+1),23),"")</f>
      </c>
      <c r="P27">
        <f t="shared" si="1"/>
      </c>
    </row>
    <row r="28" spans="1:16" x14ac:dyDescent="0.25">
      <c r="A28" s="234">
        <f>IF($O28="","",INDEX(Master!$D$2:$D$1001,$O28))</f>
      </c>
      <c r="B28" s="239">
        <f>IF($O28="","",INDEX(Master!$B$2:$B$1001,$O28))</f>
      </c>
      <c r="C28" s="164">
        <f>IF($O28="","",INDEX(Master!$C$2:$C$1001,$O28))</f>
      </c>
      <c r="D28" s="164">
        <f>IF($O28="","",INDEX(Master!$A$2:$A$1001,$O28))</f>
      </c>
      <c r="E28" s="164">
        <f>IF($O28="","",INDEX(Master!$E$2:$E$1001,$O28))</f>
      </c>
      <c r="F28" s="164">
        <f>IF($O28="","",INDEX(Master!$F$2:$F$1001,$O28))</f>
      </c>
      <c r="G28" s="164">
        <f>IF($O28="","",INDEX(Master!$G$2:$G$1001,$O28))</f>
      </c>
      <c r="H28" s="164">
        <f>IF($O28="","",INDEX(Master!$H$2:$H$1001,$O28))</f>
      </c>
      <c r="I28" s="164">
        <f>IF($O28="","",INDEX(Master!$I$2:$I$1001,$O28))</f>
      </c>
      <c r="J28" s="164">
        <f>IF($O28="","",INDEX(Master!$J$2:$J$1001,$O28))</f>
      </c>
      <c r="K28" s="248">
        <f t="shared" si="0"/>
      </c>
      <c r="L28" s="164">
        <f>IF($O28="","",INDEX(Master!$K$2:$K$1001,$O28))</f>
      </c>
      <c r="M28" s="164">
        <f>IF($O28="","",INDEX(Master!$L$2:$L$1001,$O28))</f>
      </c>
      <c r="N28" s="164"/>
      <c r="O28">
        <f t="array" ref="O28">IFERROR(SMALL(IF(Master!$A$2:$A$1001="VRKP",ROW(Master!$A$2:$A$1001)-ROW(Master!$A$2)+1),24),"")</f>
      </c>
      <c r="P28">
        <f t="shared" si="1"/>
      </c>
    </row>
    <row r="29" spans="1:16" x14ac:dyDescent="0.25">
      <c r="A29" s="234">
        <f>IF($O29="","",INDEX(Master!$D$2:$D$1001,$O29))</f>
      </c>
      <c r="B29" s="239">
        <f>IF($O29="","",INDEX(Master!$B$2:$B$1001,$O29))</f>
      </c>
      <c r="C29" s="164">
        <f>IF($O29="","",INDEX(Master!$C$2:$C$1001,$O29))</f>
      </c>
      <c r="D29" s="164">
        <f>IF($O29="","",INDEX(Master!$A$2:$A$1001,$O29))</f>
      </c>
      <c r="E29" s="164">
        <f>IF($O29="","",INDEX(Master!$E$2:$E$1001,$O29))</f>
      </c>
      <c r="F29" s="164">
        <f>IF($O29="","",INDEX(Master!$F$2:$F$1001,$O29))</f>
      </c>
      <c r="G29" s="164">
        <f>IF($O29="","",INDEX(Master!$G$2:$G$1001,$O29))</f>
      </c>
      <c r="H29" s="164">
        <f>IF($O29="","",INDEX(Master!$H$2:$H$1001,$O29))</f>
      </c>
      <c r="I29" s="164">
        <f>IF($O29="","",INDEX(Master!$I$2:$I$1001,$O29))</f>
      </c>
      <c r="J29" s="164">
        <f>IF($O29="","",INDEX(Master!$J$2:$J$1001,$O29))</f>
      </c>
      <c r="K29" s="248">
        <f t="shared" si="0"/>
      </c>
      <c r="L29" s="164">
        <f>IF($O29="","",INDEX(Master!$K$2:$K$1001,$O29))</f>
      </c>
      <c r="M29" s="164">
        <f>IF($O29="","",INDEX(Master!$L$2:$L$1001,$O29))</f>
      </c>
      <c r="N29" s="164"/>
      <c r="O29">
        <f t="array" ref="O29">IFERROR(SMALL(IF(Master!$A$2:$A$1001="VRKP",ROW(Master!$A$2:$A$1001)-ROW(Master!$A$2)+1),25),"")</f>
      </c>
      <c r="P29">
        <f t="shared" si="1"/>
      </c>
    </row>
    <row r="30" spans="1:16" x14ac:dyDescent="0.25">
      <c r="A30" s="234">
        <f>IF($O30="","",INDEX(Master!$D$2:$D$1001,$O30))</f>
      </c>
      <c r="B30" s="239">
        <f>IF($O30="","",INDEX(Master!$B$2:$B$1001,$O30))</f>
      </c>
      <c r="C30" s="164">
        <f>IF($O30="","",INDEX(Master!$C$2:$C$1001,$O30))</f>
      </c>
      <c r="D30" s="164">
        <f>IF($O30="","",INDEX(Master!$A$2:$A$1001,$O30))</f>
      </c>
      <c r="E30" s="164">
        <f>IF($O30="","",INDEX(Master!$E$2:$E$1001,$O30))</f>
      </c>
      <c r="F30" s="164">
        <f>IF($O30="","",INDEX(Master!$F$2:$F$1001,$O30))</f>
      </c>
      <c r="G30" s="164">
        <f>IF($O30="","",INDEX(Master!$G$2:$G$1001,$O30))</f>
      </c>
      <c r="H30" s="164">
        <f>IF($O30="","",INDEX(Master!$H$2:$H$1001,$O30))</f>
      </c>
      <c r="I30" s="164">
        <f>IF($O30="","",INDEX(Master!$I$2:$I$1001,$O30))</f>
      </c>
      <c r="J30" s="164">
        <f>IF($O30="","",INDEX(Master!$J$2:$J$1001,$O30))</f>
      </c>
      <c r="K30" s="248">
        <f t="shared" si="0"/>
      </c>
      <c r="L30" s="164">
        <f>IF($O30="","",INDEX(Master!$K$2:$K$1001,$O30))</f>
      </c>
      <c r="M30" s="164">
        <f>IF($O30="","",INDEX(Master!$L$2:$L$1001,$O30))</f>
      </c>
      <c r="N30" s="164"/>
      <c r="O30">
        <f t="array" ref="O30">IFERROR(SMALL(IF(Master!$A$2:$A$1001="VRKP",ROW(Master!$A$2:$A$1001)-ROW(Master!$A$2)+1),26),"")</f>
      </c>
      <c r="P30">
        <f t="shared" si="1"/>
      </c>
    </row>
    <row r="31" spans="1:16" x14ac:dyDescent="0.25">
      <c r="A31" s="234">
        <f>IF($O31="","",INDEX(Master!$D$2:$D$1001,$O31))</f>
      </c>
      <c r="B31" s="239">
        <f>IF($O31="","",INDEX(Master!$B$2:$B$1001,$O31))</f>
      </c>
      <c r="C31" s="164">
        <f>IF($O31="","",INDEX(Master!$C$2:$C$1001,$O31))</f>
      </c>
      <c r="D31" s="164">
        <f>IF($O31="","",INDEX(Master!$A$2:$A$1001,$O31))</f>
      </c>
      <c r="E31" s="164">
        <f>IF($O31="","",INDEX(Master!$E$2:$E$1001,$O31))</f>
      </c>
      <c r="F31" s="164">
        <f>IF($O31="","",INDEX(Master!$F$2:$F$1001,$O31))</f>
      </c>
      <c r="G31" s="164">
        <f>IF($O31="","",INDEX(Master!$G$2:$G$1001,$O31))</f>
      </c>
      <c r="H31" s="164">
        <f>IF($O31="","",INDEX(Master!$H$2:$H$1001,$O31))</f>
      </c>
      <c r="I31" s="164">
        <f>IF($O31="","",INDEX(Master!$I$2:$I$1001,$O31))</f>
      </c>
      <c r="J31" s="164">
        <f>IF($O31="","",INDEX(Master!$J$2:$J$1001,$O31))</f>
      </c>
      <c r="K31" s="248">
        <f t="shared" si="0"/>
      </c>
      <c r="L31" s="164">
        <f>IF($O31="","",INDEX(Master!$K$2:$K$1001,$O31))</f>
      </c>
      <c r="M31" s="164">
        <f>IF($O31="","",INDEX(Master!$L$2:$L$1001,$O31))</f>
      </c>
      <c r="N31" s="164"/>
      <c r="O31">
        <f t="array" ref="O31">IFERROR(SMALL(IF(Master!$A$2:$A$1001="VRKP",ROW(Master!$A$2:$A$1001)-ROW(Master!$A$2)+1),27),"")</f>
      </c>
      <c r="P31">
        <f t="shared" si="1"/>
      </c>
    </row>
    <row r="32" spans="1:16" x14ac:dyDescent="0.25">
      <c r="A32" s="234">
        <f>IF($O32="","",INDEX(Master!$D$2:$D$1001,$O32))</f>
      </c>
      <c r="B32" s="239">
        <f>IF($O32="","",INDEX(Master!$B$2:$B$1001,$O32))</f>
      </c>
      <c r="C32" s="164">
        <f>IF($O32="","",INDEX(Master!$C$2:$C$1001,$O32))</f>
      </c>
      <c r="D32" s="164">
        <f>IF($O32="","",INDEX(Master!$A$2:$A$1001,$O32))</f>
      </c>
      <c r="E32" s="164">
        <f>IF($O32="","",INDEX(Master!$E$2:$E$1001,$O32))</f>
      </c>
      <c r="F32" s="164">
        <f>IF($O32="","",INDEX(Master!$F$2:$F$1001,$O32))</f>
      </c>
      <c r="G32" s="164">
        <f>IF($O32="","",INDEX(Master!$G$2:$G$1001,$O32))</f>
      </c>
      <c r="H32" s="164">
        <f>IF($O32="","",INDEX(Master!$H$2:$H$1001,$O32))</f>
      </c>
      <c r="I32" s="164">
        <f>IF($O32="","",INDEX(Master!$I$2:$I$1001,$O32))</f>
      </c>
      <c r="J32" s="164">
        <f>IF($O32="","",INDEX(Master!$J$2:$J$1001,$O32))</f>
      </c>
      <c r="K32" s="248">
        <f t="shared" si="0"/>
      </c>
      <c r="L32" s="164">
        <f>IF($O32="","",INDEX(Master!$K$2:$K$1001,$O32))</f>
      </c>
      <c r="M32" s="164">
        <f>IF($O32="","",INDEX(Master!$L$2:$L$1001,$O32))</f>
      </c>
      <c r="N32" s="164"/>
      <c r="O32">
        <f t="array" ref="O32">IFERROR(SMALL(IF(Master!$A$2:$A$1001="VRKP",ROW(Master!$A$2:$A$1001)-ROW(Master!$A$2)+1),28),"")</f>
      </c>
      <c r="P32">
        <f t="shared" si="1"/>
      </c>
    </row>
    <row r="33" spans="1:16" x14ac:dyDescent="0.25">
      <c r="A33" s="234">
        <f>IF($O33="","",INDEX(Master!$D$2:$D$1001,$O33))</f>
      </c>
      <c r="B33" s="239">
        <f>IF($O33="","",INDEX(Master!$B$2:$B$1001,$O33))</f>
      </c>
      <c r="C33" s="164">
        <f>IF($O33="","",INDEX(Master!$C$2:$C$1001,$O33))</f>
      </c>
      <c r="D33" s="164">
        <f>IF($O33="","",INDEX(Master!$A$2:$A$1001,$O33))</f>
      </c>
      <c r="E33" s="164">
        <f>IF($O33="","",INDEX(Master!$E$2:$E$1001,$O33))</f>
      </c>
      <c r="F33" s="164">
        <f>IF($O33="","",INDEX(Master!$F$2:$F$1001,$O33))</f>
      </c>
      <c r="G33" s="164">
        <f>IF($O33="","",INDEX(Master!$G$2:$G$1001,$O33))</f>
      </c>
      <c r="H33" s="164">
        <f>IF($O33="","",INDEX(Master!$H$2:$H$1001,$O33))</f>
      </c>
      <c r="I33" s="164">
        <f>IF($O33="","",INDEX(Master!$I$2:$I$1001,$O33))</f>
      </c>
      <c r="J33" s="164">
        <f>IF($O33="","",INDEX(Master!$J$2:$J$1001,$O33))</f>
      </c>
      <c r="K33" s="248">
        <f t="shared" si="0"/>
      </c>
      <c r="L33" s="164">
        <f>IF($O33="","",INDEX(Master!$K$2:$K$1001,$O33))</f>
      </c>
      <c r="M33" s="164">
        <f>IF($O33="","",INDEX(Master!$L$2:$L$1001,$O33))</f>
      </c>
      <c r="N33" s="164"/>
      <c r="O33">
        <f t="array" ref="O33">IFERROR(SMALL(IF(Master!$A$2:$A$1001="VRKP",ROW(Master!$A$2:$A$1001)-ROW(Master!$A$2)+1),29),"")</f>
      </c>
      <c r="P33">
        <f t="shared" si="1"/>
      </c>
    </row>
    <row r="34" spans="1:16" x14ac:dyDescent="0.25">
      <c r="A34" s="234">
        <f>IF($O34="","",INDEX(Master!$D$2:$D$1001,$O34))</f>
      </c>
      <c r="B34" s="239">
        <f>IF($O34="","",INDEX(Master!$B$2:$B$1001,$O34))</f>
      </c>
      <c r="C34" s="164">
        <f>IF($O34="","",INDEX(Master!$C$2:$C$1001,$O34))</f>
      </c>
      <c r="D34" s="164">
        <f>IF($O34="","",INDEX(Master!$A$2:$A$1001,$O34))</f>
      </c>
      <c r="E34" s="164">
        <f>IF($O34="","",INDEX(Master!$E$2:$E$1001,$O34))</f>
      </c>
      <c r="F34" s="164">
        <f>IF($O34="","",INDEX(Master!$F$2:$F$1001,$O34))</f>
      </c>
      <c r="G34" s="164">
        <f>IF($O34="","",INDEX(Master!$G$2:$G$1001,$O34))</f>
      </c>
      <c r="H34" s="164">
        <f>IF($O34="","",INDEX(Master!$H$2:$H$1001,$O34))</f>
      </c>
      <c r="I34" s="164">
        <f>IF($O34="","",INDEX(Master!$I$2:$I$1001,$O34))</f>
      </c>
      <c r="J34" s="164">
        <f>IF($O34="","",INDEX(Master!$J$2:$J$1001,$O34))</f>
      </c>
      <c r="K34" s="248">
        <f t="shared" si="0"/>
      </c>
      <c r="L34" s="164">
        <f>IF($O34="","",INDEX(Master!$K$2:$K$1001,$O34))</f>
      </c>
      <c r="M34" s="164">
        <f>IF($O34="","",INDEX(Master!$L$2:$L$1001,$O34))</f>
      </c>
      <c r="N34" s="164"/>
      <c r="O34">
        <f t="array" ref="O34">IFERROR(SMALL(IF(Master!$A$2:$A$1001="VRKP",ROW(Master!$A$2:$A$1001)-ROW(Master!$A$2)+1),30),"")</f>
      </c>
      <c r="P34">
        <f t="shared" si="1"/>
      </c>
    </row>
    <row r="35" spans="1:16" x14ac:dyDescent="0.25">
      <c r="A35" s="234">
        <f>IF($O35="","",INDEX(Master!$D$2:$D$1001,$O35))</f>
      </c>
      <c r="B35" s="239">
        <f>IF($O35="","",INDEX(Master!$B$2:$B$1001,$O35))</f>
      </c>
      <c r="C35" s="164">
        <f>IF($O35="","",INDEX(Master!$C$2:$C$1001,$O35))</f>
      </c>
      <c r="D35" s="164">
        <f>IF($O35="","",INDEX(Master!$A$2:$A$1001,$O35))</f>
      </c>
      <c r="E35" s="164">
        <f>IF($O35="","",INDEX(Master!$E$2:$E$1001,$O35))</f>
      </c>
      <c r="F35" s="164">
        <f>IF($O35="","",INDEX(Master!$F$2:$F$1001,$O35))</f>
      </c>
      <c r="G35" s="164">
        <f>IF($O35="","",INDEX(Master!$G$2:$G$1001,$O35))</f>
      </c>
      <c r="H35" s="164">
        <f>IF($O35="","",INDEX(Master!$H$2:$H$1001,$O35))</f>
      </c>
      <c r="I35" s="164">
        <f>IF($O35="","",INDEX(Master!$I$2:$I$1001,$O35))</f>
      </c>
      <c r="J35" s="164">
        <f>IF($O35="","",INDEX(Master!$J$2:$J$1001,$O35))</f>
      </c>
      <c r="K35" s="248">
        <f t="shared" si="0"/>
      </c>
      <c r="L35" s="164">
        <f>IF($O35="","",INDEX(Master!$K$2:$K$1001,$O35))</f>
      </c>
      <c r="M35" s="164">
        <f>IF($O35="","",INDEX(Master!$L$2:$L$1001,$O35))</f>
      </c>
      <c r="N35" s="164"/>
      <c r="O35">
        <f t="array" ref="O35">IFERROR(SMALL(IF(Master!$A$2:$A$1001="VRKP",ROW(Master!$A$2:$A$1001)-ROW(Master!$A$2)+1),31),"")</f>
      </c>
      <c r="P35">
        <f t="shared" si="1"/>
      </c>
    </row>
    <row r="36" spans="1:16" x14ac:dyDescent="0.25">
      <c r="A36" s="234">
        <f>IF($O36="","",INDEX(Master!$D$2:$D$1001,$O36))</f>
      </c>
      <c r="B36" s="239">
        <f>IF($O36="","",INDEX(Master!$B$2:$B$1001,$O36))</f>
      </c>
      <c r="C36" s="164">
        <f>IF($O36="","",INDEX(Master!$C$2:$C$1001,$O36))</f>
      </c>
      <c r="D36" s="164">
        <f>IF($O36="","",INDEX(Master!$A$2:$A$1001,$O36))</f>
      </c>
      <c r="E36" s="164">
        <f>IF($O36="","",INDEX(Master!$E$2:$E$1001,$O36))</f>
      </c>
      <c r="F36" s="164">
        <f>IF($O36="","",INDEX(Master!$F$2:$F$1001,$O36))</f>
      </c>
      <c r="G36" s="164">
        <f>IF($O36="","",INDEX(Master!$G$2:$G$1001,$O36))</f>
      </c>
      <c r="H36" s="164">
        <f>IF($O36="","",INDEX(Master!$H$2:$H$1001,$O36))</f>
      </c>
      <c r="I36" s="164">
        <f>IF($O36="","",INDEX(Master!$I$2:$I$1001,$O36))</f>
      </c>
      <c r="J36" s="164">
        <f>IF($O36="","",INDEX(Master!$J$2:$J$1001,$O36))</f>
      </c>
      <c r="K36" s="248">
        <f t="shared" si="0"/>
      </c>
      <c r="L36" s="164">
        <f>IF($O36="","",INDEX(Master!$K$2:$K$1001,$O36))</f>
      </c>
      <c r="M36" s="164">
        <f>IF($O36="","",INDEX(Master!$L$2:$L$1001,$O36))</f>
      </c>
      <c r="N36" s="164"/>
      <c r="O36">
        <f t="array" ref="O36">IFERROR(SMALL(IF(Master!$A$2:$A$1001="VRKP",ROW(Master!$A$2:$A$1001)-ROW(Master!$A$2)+1),32),"")</f>
      </c>
      <c r="P36">
        <f t="shared" si="1"/>
      </c>
    </row>
    <row r="37" spans="1:16" x14ac:dyDescent="0.25">
      <c r="A37" s="234">
        <f>IF($O37="","",INDEX(Master!$D$2:$D$1001,$O37))</f>
      </c>
      <c r="B37" s="239">
        <f>IF($O37="","",INDEX(Master!$B$2:$B$1001,$O37))</f>
      </c>
      <c r="C37" s="164">
        <f>IF($O37="","",INDEX(Master!$C$2:$C$1001,$O37))</f>
      </c>
      <c r="D37" s="164">
        <f>IF($O37="","",INDEX(Master!$A$2:$A$1001,$O37))</f>
      </c>
      <c r="E37" s="164">
        <f>IF($O37="","",INDEX(Master!$E$2:$E$1001,$O37))</f>
      </c>
      <c r="F37" s="164">
        <f>IF($O37="","",INDEX(Master!$F$2:$F$1001,$O37))</f>
      </c>
      <c r="G37" s="164">
        <f>IF($O37="","",INDEX(Master!$G$2:$G$1001,$O37))</f>
      </c>
      <c r="H37" s="164">
        <f>IF($O37="","",INDEX(Master!$H$2:$H$1001,$O37))</f>
      </c>
      <c r="I37" s="164">
        <f>IF($O37="","",INDEX(Master!$I$2:$I$1001,$O37))</f>
      </c>
      <c r="J37" s="164">
        <f>IF($O37="","",INDEX(Master!$J$2:$J$1001,$O37))</f>
      </c>
      <c r="K37" s="248">
        <f t="shared" si="0"/>
      </c>
      <c r="L37" s="164">
        <f>IF($O37="","",INDEX(Master!$K$2:$K$1001,$O37))</f>
      </c>
      <c r="M37" s="164">
        <f>IF($O37="","",INDEX(Master!$L$2:$L$1001,$O37))</f>
      </c>
      <c r="N37" s="164"/>
      <c r="O37">
        <f t="array" ref="O37">IFERROR(SMALL(IF(Master!$A$2:$A$1001="VRKP",ROW(Master!$A$2:$A$1001)-ROW(Master!$A$2)+1),33),"")</f>
      </c>
      <c r="P37">
        <f t="shared" si="1"/>
      </c>
    </row>
    <row r="38" spans="1:16" x14ac:dyDescent="0.25">
      <c r="A38" s="234">
        <f>IF($O38="","",INDEX(Master!$D$2:$D$1001,$O38))</f>
      </c>
      <c r="B38" s="239">
        <f>IF($O38="","",INDEX(Master!$B$2:$B$1001,$O38))</f>
      </c>
      <c r="C38" s="164">
        <f>IF($O38="","",INDEX(Master!$C$2:$C$1001,$O38))</f>
      </c>
      <c r="D38" s="164">
        <f>IF($O38="","",INDEX(Master!$A$2:$A$1001,$O38))</f>
      </c>
      <c r="E38" s="164">
        <f>IF($O38="","",INDEX(Master!$E$2:$E$1001,$O38))</f>
      </c>
      <c r="F38" s="164">
        <f>IF($O38="","",INDEX(Master!$F$2:$F$1001,$O38))</f>
      </c>
      <c r="G38" s="164">
        <f>IF($O38="","",INDEX(Master!$G$2:$G$1001,$O38))</f>
      </c>
      <c r="H38" s="164">
        <f>IF($O38="","",INDEX(Master!$H$2:$H$1001,$O38))</f>
      </c>
      <c r="I38" s="164">
        <f>IF($O38="","",INDEX(Master!$I$2:$I$1001,$O38))</f>
      </c>
      <c r="J38" s="164">
        <f>IF($O38="","",INDEX(Master!$J$2:$J$1001,$O38))</f>
      </c>
      <c r="K38" s="248">
        <f t="shared" si="0"/>
      </c>
      <c r="L38" s="164">
        <f>IF($O38="","",INDEX(Master!$K$2:$K$1001,$O38))</f>
      </c>
      <c r="M38" s="164">
        <f>IF($O38="","",INDEX(Master!$L$2:$L$1001,$O38))</f>
      </c>
      <c r="N38" s="164"/>
      <c r="O38">
        <f t="array" ref="O38">IFERROR(SMALL(IF(Master!$A$2:$A$1001="VRKP",ROW(Master!$A$2:$A$1001)-ROW(Master!$A$2)+1),34),"")</f>
      </c>
      <c r="P38">
        <f t="shared" si="1"/>
      </c>
    </row>
    <row r="39" spans="1:16" x14ac:dyDescent="0.25">
      <c r="A39" s="234">
        <f>IF($O39="","",INDEX(Master!$D$2:$D$1001,$O39))</f>
      </c>
      <c r="B39" s="239">
        <f>IF($O39="","",INDEX(Master!$B$2:$B$1001,$O39))</f>
      </c>
      <c r="C39" s="164">
        <f>IF($O39="","",INDEX(Master!$C$2:$C$1001,$O39))</f>
      </c>
      <c r="D39" s="164">
        <f>IF($O39="","",INDEX(Master!$A$2:$A$1001,$O39))</f>
      </c>
      <c r="E39" s="164">
        <f>IF($O39="","",INDEX(Master!$E$2:$E$1001,$O39))</f>
      </c>
      <c r="F39" s="164">
        <f>IF($O39="","",INDEX(Master!$F$2:$F$1001,$O39))</f>
      </c>
      <c r="G39" s="164">
        <f>IF($O39="","",INDEX(Master!$G$2:$G$1001,$O39))</f>
      </c>
      <c r="H39" s="164">
        <f>IF($O39="","",INDEX(Master!$H$2:$H$1001,$O39))</f>
      </c>
      <c r="I39" s="164">
        <f>IF($O39="","",INDEX(Master!$I$2:$I$1001,$O39))</f>
      </c>
      <c r="J39" s="164">
        <f>IF($O39="","",INDEX(Master!$J$2:$J$1001,$O39))</f>
      </c>
      <c r="K39" s="248">
        <f t="shared" si="0"/>
      </c>
      <c r="L39" s="164">
        <f>IF($O39="","",INDEX(Master!$K$2:$K$1001,$O39))</f>
      </c>
      <c r="M39" s="164">
        <f>IF($O39="","",INDEX(Master!$L$2:$L$1001,$O39))</f>
      </c>
      <c r="N39" s="164"/>
      <c r="O39">
        <f t="array" ref="O39">IFERROR(SMALL(IF(Master!$A$2:$A$1001="VRKP",ROW(Master!$A$2:$A$1001)-ROW(Master!$A$2)+1),35),"")</f>
      </c>
      <c r="P39">
        <f t="shared" si="1"/>
      </c>
    </row>
    <row r="40" spans="1:16" x14ac:dyDescent="0.25">
      <c r="A40" s="234">
        <f>IF($O40="","",INDEX(Master!$D$2:$D$1001,$O40))</f>
      </c>
      <c r="B40" s="239">
        <f>IF($O40="","",INDEX(Master!$B$2:$B$1001,$O40))</f>
      </c>
      <c r="C40" s="164">
        <f>IF($O40="","",INDEX(Master!$C$2:$C$1001,$O40))</f>
      </c>
      <c r="D40" s="164">
        <f>IF($O40="","",INDEX(Master!$A$2:$A$1001,$O40))</f>
      </c>
      <c r="E40" s="164">
        <f>IF($O40="","",INDEX(Master!$E$2:$E$1001,$O40))</f>
      </c>
      <c r="F40" s="164">
        <f>IF($O40="","",INDEX(Master!$F$2:$F$1001,$O40))</f>
      </c>
      <c r="G40" s="164">
        <f>IF($O40="","",INDEX(Master!$G$2:$G$1001,$O40))</f>
      </c>
      <c r="H40" s="164">
        <f>IF($O40="","",INDEX(Master!$H$2:$H$1001,$O40))</f>
      </c>
      <c r="I40" s="164">
        <f>IF($O40="","",INDEX(Master!$I$2:$I$1001,$O40))</f>
      </c>
      <c r="J40" s="164">
        <f>IF($O40="","",INDEX(Master!$J$2:$J$1001,$O40))</f>
      </c>
      <c r="K40" s="248">
        <f t="shared" si="0"/>
      </c>
      <c r="L40" s="164">
        <f>IF($O40="","",INDEX(Master!$K$2:$K$1001,$O40))</f>
      </c>
      <c r="M40" s="164">
        <f>IF($O40="","",INDEX(Master!$L$2:$L$1001,$O40))</f>
      </c>
      <c r="N40" s="164"/>
      <c r="O40">
        <f t="array" ref="O40">IFERROR(SMALL(IF(Master!$A$2:$A$1001="VRKP",ROW(Master!$A$2:$A$1001)-ROW(Master!$A$2)+1),36),"")</f>
      </c>
      <c r="P40">
        <f t="shared" si="1"/>
      </c>
    </row>
    <row r="41" spans="1:16" x14ac:dyDescent="0.25">
      <c r="A41" s="234">
        <f>IF($O41="","",INDEX(Master!$D$2:$D$1001,$O41))</f>
      </c>
      <c r="B41" s="239">
        <f>IF($O41="","",INDEX(Master!$B$2:$B$1001,$O41))</f>
      </c>
      <c r="C41" s="164">
        <f>IF($O41="","",INDEX(Master!$C$2:$C$1001,$O41))</f>
      </c>
      <c r="D41" s="164">
        <f>IF($O41="","",INDEX(Master!$A$2:$A$1001,$O41))</f>
      </c>
      <c r="E41" s="164">
        <f>IF($O41="","",INDEX(Master!$E$2:$E$1001,$O41))</f>
      </c>
      <c r="F41" s="164">
        <f>IF($O41="","",INDEX(Master!$F$2:$F$1001,$O41))</f>
      </c>
      <c r="G41" s="164">
        <f>IF($O41="","",INDEX(Master!$G$2:$G$1001,$O41))</f>
      </c>
      <c r="H41" s="164">
        <f>IF($O41="","",INDEX(Master!$H$2:$H$1001,$O41))</f>
      </c>
      <c r="I41" s="164">
        <f>IF($O41="","",INDEX(Master!$I$2:$I$1001,$O41))</f>
      </c>
      <c r="J41" s="164">
        <f>IF($O41="","",INDEX(Master!$J$2:$J$1001,$O41))</f>
      </c>
      <c r="K41" s="248">
        <f t="shared" si="0"/>
      </c>
      <c r="L41" s="164">
        <f>IF($O41="","",INDEX(Master!$K$2:$K$1001,$O41))</f>
      </c>
      <c r="M41" s="164">
        <f>IF($O41="","",INDEX(Master!$L$2:$L$1001,$O41))</f>
      </c>
      <c r="N41" s="164"/>
      <c r="O41">
        <f t="array" ref="O41">IFERROR(SMALL(IF(Master!$A$2:$A$1001="VRKP",ROW(Master!$A$2:$A$1001)-ROW(Master!$A$2)+1),37),"")</f>
      </c>
      <c r="P41">
        <f t="shared" si="1"/>
      </c>
    </row>
    <row r="42" spans="1:16" x14ac:dyDescent="0.25">
      <c r="A42" s="234">
        <f>IF($O42="","",INDEX(Master!$D$2:$D$1001,$O42))</f>
      </c>
      <c r="B42" s="239">
        <f>IF($O42="","",INDEX(Master!$B$2:$B$1001,$O42))</f>
      </c>
      <c r="C42" s="164">
        <f>IF($O42="","",INDEX(Master!$C$2:$C$1001,$O42))</f>
      </c>
      <c r="D42" s="164">
        <f>IF($O42="","",INDEX(Master!$A$2:$A$1001,$O42))</f>
      </c>
      <c r="E42" s="164">
        <f>IF($O42="","",INDEX(Master!$E$2:$E$1001,$O42))</f>
      </c>
      <c r="F42" s="164">
        <f>IF($O42="","",INDEX(Master!$F$2:$F$1001,$O42))</f>
      </c>
      <c r="G42" s="164">
        <f>IF($O42="","",INDEX(Master!$G$2:$G$1001,$O42))</f>
      </c>
      <c r="H42" s="164">
        <f>IF($O42="","",INDEX(Master!$H$2:$H$1001,$O42))</f>
      </c>
      <c r="I42" s="164">
        <f>IF($O42="","",INDEX(Master!$I$2:$I$1001,$O42))</f>
      </c>
      <c r="J42" s="164">
        <f>IF($O42="","",INDEX(Master!$J$2:$J$1001,$O42))</f>
      </c>
      <c r="K42" s="248">
        <f t="shared" si="0"/>
      </c>
      <c r="L42" s="164">
        <f>IF($O42="","",INDEX(Master!$K$2:$K$1001,$O42))</f>
      </c>
      <c r="M42" s="164">
        <f>IF($O42="","",INDEX(Master!$L$2:$L$1001,$O42))</f>
      </c>
      <c r="N42" s="164"/>
      <c r="O42">
        <f t="array" ref="O42">IFERROR(SMALL(IF(Master!$A$2:$A$1001="VRKP",ROW(Master!$A$2:$A$1001)-ROW(Master!$A$2)+1),38),"")</f>
      </c>
      <c r="P42">
        <f t="shared" si="1"/>
      </c>
    </row>
    <row r="43" spans="1:16" x14ac:dyDescent="0.25">
      <c r="A43" s="234">
        <f>IF($O43="","",INDEX(Master!$D$2:$D$1001,$O43))</f>
      </c>
      <c r="B43" s="239">
        <f>IF($O43="","",INDEX(Master!$B$2:$B$1001,$O43))</f>
      </c>
      <c r="C43" s="164">
        <f>IF($O43="","",INDEX(Master!$C$2:$C$1001,$O43))</f>
      </c>
      <c r="D43" s="164">
        <f>IF($O43="","",INDEX(Master!$A$2:$A$1001,$O43))</f>
      </c>
      <c r="E43" s="164">
        <f>IF($O43="","",INDEX(Master!$E$2:$E$1001,$O43))</f>
      </c>
      <c r="F43" s="164">
        <f>IF($O43="","",INDEX(Master!$F$2:$F$1001,$O43))</f>
      </c>
      <c r="G43" s="164">
        <f>IF($O43="","",INDEX(Master!$G$2:$G$1001,$O43))</f>
      </c>
      <c r="H43" s="164">
        <f>IF($O43="","",INDEX(Master!$H$2:$H$1001,$O43))</f>
      </c>
      <c r="I43" s="164">
        <f>IF($O43="","",INDEX(Master!$I$2:$I$1001,$O43))</f>
      </c>
      <c r="J43" s="164">
        <f>IF($O43="","",INDEX(Master!$J$2:$J$1001,$O43))</f>
      </c>
      <c r="K43" s="248">
        <f t="shared" si="0"/>
      </c>
      <c r="L43" s="164">
        <f>IF($O43="","",INDEX(Master!$K$2:$K$1001,$O43))</f>
      </c>
      <c r="M43" s="164">
        <f>IF($O43="","",INDEX(Master!$L$2:$L$1001,$O43))</f>
      </c>
      <c r="N43" s="164"/>
      <c r="O43">
        <f t="array" ref="O43">IFERROR(SMALL(IF(Master!$A$2:$A$1001="VRKP",ROW(Master!$A$2:$A$1001)-ROW(Master!$A$2)+1),39),"")</f>
      </c>
      <c r="P43">
        <f t="shared" si="1"/>
      </c>
    </row>
    <row r="44" spans="1:16" x14ac:dyDescent="0.25">
      <c r="A44" s="234">
        <f>IF($O44="","",INDEX(Master!$D$2:$D$1001,$O44))</f>
      </c>
      <c r="B44" s="239">
        <f>IF($O44="","",INDEX(Master!$B$2:$B$1001,$O44))</f>
      </c>
      <c r="C44" s="164">
        <f>IF($O44="","",INDEX(Master!$C$2:$C$1001,$O44))</f>
      </c>
      <c r="D44" s="164">
        <f>IF($O44="","",INDEX(Master!$A$2:$A$1001,$O44))</f>
      </c>
      <c r="E44" s="164">
        <f>IF($O44="","",INDEX(Master!$E$2:$E$1001,$O44))</f>
      </c>
      <c r="F44" s="164">
        <f>IF($O44="","",INDEX(Master!$F$2:$F$1001,$O44))</f>
      </c>
      <c r="G44" s="164">
        <f>IF($O44="","",INDEX(Master!$G$2:$G$1001,$O44))</f>
      </c>
      <c r="H44" s="164">
        <f>IF($O44="","",INDEX(Master!$H$2:$H$1001,$O44))</f>
      </c>
      <c r="I44" s="164">
        <f>IF($O44="","",INDEX(Master!$I$2:$I$1001,$O44))</f>
      </c>
      <c r="J44" s="164">
        <f>IF($O44="","",INDEX(Master!$J$2:$J$1001,$O44))</f>
      </c>
      <c r="K44" s="248">
        <f t="shared" si="0"/>
      </c>
      <c r="L44" s="164">
        <f>IF($O44="","",INDEX(Master!$K$2:$K$1001,$O44))</f>
      </c>
      <c r="M44" s="164">
        <f>IF($O44="","",INDEX(Master!$L$2:$L$1001,$O44))</f>
      </c>
      <c r="N44" s="164"/>
      <c r="O44">
        <f t="array" ref="O44">IFERROR(SMALL(IF(Master!$A$2:$A$1001="VRKP",ROW(Master!$A$2:$A$1001)-ROW(Master!$A$2)+1),40),"")</f>
      </c>
      <c r="P44">
        <f t="shared" si="1"/>
      </c>
    </row>
    <row r="45" spans="1:16" x14ac:dyDescent="0.25">
      <c r="A45" s="234">
        <f>IF($O45="","",INDEX(Master!$D$2:$D$1001,$O45))</f>
      </c>
      <c r="B45" s="239">
        <f>IF($O45="","",INDEX(Master!$B$2:$B$1001,$O45))</f>
      </c>
      <c r="C45" s="164">
        <f>IF($O45="","",INDEX(Master!$C$2:$C$1001,$O45))</f>
      </c>
      <c r="D45" s="164">
        <f>IF($O45="","",INDEX(Master!$A$2:$A$1001,$O45))</f>
      </c>
      <c r="E45" s="164">
        <f>IF($O45="","",INDEX(Master!$E$2:$E$1001,$O45))</f>
      </c>
      <c r="F45" s="164">
        <f>IF($O45="","",INDEX(Master!$F$2:$F$1001,$O45))</f>
      </c>
      <c r="G45" s="164">
        <f>IF($O45="","",INDEX(Master!$G$2:$G$1001,$O45))</f>
      </c>
      <c r="H45" s="164">
        <f>IF($O45="","",INDEX(Master!$H$2:$H$1001,$O45))</f>
      </c>
      <c r="I45" s="164">
        <f>IF($O45="","",INDEX(Master!$I$2:$I$1001,$O45))</f>
      </c>
      <c r="J45" s="164">
        <f>IF($O45="","",INDEX(Master!$J$2:$J$1001,$O45))</f>
      </c>
      <c r="K45" s="248">
        <f t="shared" si="0"/>
      </c>
      <c r="L45" s="164">
        <f>IF($O45="","",INDEX(Master!$K$2:$K$1001,$O45))</f>
      </c>
      <c r="M45" s="164">
        <f>IF($O45="","",INDEX(Master!$L$2:$L$1001,$O45))</f>
      </c>
      <c r="N45" s="164"/>
      <c r="O45">
        <f t="array" ref="O45">IFERROR(SMALL(IF(Master!$A$2:$A$1001="VRKP",ROW(Master!$A$2:$A$1001)-ROW(Master!$A$2)+1),41),"")</f>
      </c>
      <c r="P45">
        <f t="shared" si="1"/>
      </c>
    </row>
    <row r="46" spans="1:16" x14ac:dyDescent="0.25">
      <c r="A46" s="234">
        <f>IF($O46="","",INDEX(Master!$D$2:$D$1001,$O46))</f>
      </c>
      <c r="B46" s="239">
        <f>IF($O46="","",INDEX(Master!$B$2:$B$1001,$O46))</f>
      </c>
      <c r="C46" s="164">
        <f>IF($O46="","",INDEX(Master!$C$2:$C$1001,$O46))</f>
      </c>
      <c r="D46" s="164">
        <f>IF($O46="","",INDEX(Master!$A$2:$A$1001,$O46))</f>
      </c>
      <c r="E46" s="164">
        <f>IF($O46="","",INDEX(Master!$E$2:$E$1001,$O46))</f>
      </c>
      <c r="F46" s="164">
        <f>IF($O46="","",INDEX(Master!$F$2:$F$1001,$O46))</f>
      </c>
      <c r="G46" s="164">
        <f>IF($O46="","",INDEX(Master!$G$2:$G$1001,$O46))</f>
      </c>
      <c r="H46" s="164">
        <f>IF($O46="","",INDEX(Master!$H$2:$H$1001,$O46))</f>
      </c>
      <c r="I46" s="164">
        <f>IF($O46="","",INDEX(Master!$I$2:$I$1001,$O46))</f>
      </c>
      <c r="J46" s="164">
        <f>IF($O46="","",INDEX(Master!$J$2:$J$1001,$O46))</f>
      </c>
      <c r="K46" s="248">
        <f t="shared" si="0"/>
      </c>
      <c r="L46" s="164">
        <f>IF($O46="","",INDEX(Master!$K$2:$K$1001,$O46))</f>
      </c>
      <c r="M46" s="164">
        <f>IF($O46="","",INDEX(Master!$L$2:$L$1001,$O46))</f>
      </c>
      <c r="N46" s="164"/>
      <c r="O46">
        <f t="array" ref="O46">IFERROR(SMALL(IF(Master!$A$2:$A$1001="VRKP",ROW(Master!$A$2:$A$1001)-ROW(Master!$A$2)+1),42),"")</f>
      </c>
      <c r="P46">
        <f t="shared" si="1"/>
      </c>
    </row>
    <row r="47" spans="1:16" x14ac:dyDescent="0.25">
      <c r="A47" s="234">
        <f>IF($O47="","",INDEX(Master!$D$2:$D$1001,$O47))</f>
      </c>
      <c r="B47" s="239">
        <f>IF($O47="","",INDEX(Master!$B$2:$B$1001,$O47))</f>
      </c>
      <c r="C47" s="164">
        <f>IF($O47="","",INDEX(Master!$C$2:$C$1001,$O47))</f>
      </c>
      <c r="D47" s="164">
        <f>IF($O47="","",INDEX(Master!$A$2:$A$1001,$O47))</f>
      </c>
      <c r="E47" s="164">
        <f>IF($O47="","",INDEX(Master!$E$2:$E$1001,$O47))</f>
      </c>
      <c r="F47" s="164">
        <f>IF($O47="","",INDEX(Master!$F$2:$F$1001,$O47))</f>
      </c>
      <c r="G47" s="164">
        <f>IF($O47="","",INDEX(Master!$G$2:$G$1001,$O47))</f>
      </c>
      <c r="H47" s="164">
        <f>IF($O47="","",INDEX(Master!$H$2:$H$1001,$O47))</f>
      </c>
      <c r="I47" s="164">
        <f>IF($O47="","",INDEX(Master!$I$2:$I$1001,$O47))</f>
      </c>
      <c r="J47" s="164">
        <f>IF($O47="","",INDEX(Master!$J$2:$J$1001,$O47))</f>
      </c>
      <c r="K47" s="248">
        <f t="shared" si="0"/>
      </c>
      <c r="L47" s="164">
        <f>IF($O47="","",INDEX(Master!$K$2:$K$1001,$O47))</f>
      </c>
      <c r="M47" s="164">
        <f>IF($O47="","",INDEX(Master!$L$2:$L$1001,$O47))</f>
      </c>
      <c r="N47" s="164"/>
      <c r="O47">
        <f t="array" ref="O47">IFERROR(SMALL(IF(Master!$A$2:$A$1001="VRKP",ROW(Master!$A$2:$A$1001)-ROW(Master!$A$2)+1),43),"")</f>
      </c>
      <c r="P47">
        <f t="shared" si="1"/>
      </c>
    </row>
    <row r="48" spans="1:16" x14ac:dyDescent="0.25">
      <c r="A48" s="234">
        <f>IF($O48="","",INDEX(Master!$D$2:$D$1001,$O48))</f>
      </c>
      <c r="B48" s="239">
        <f>IF($O48="","",INDEX(Master!$B$2:$B$1001,$O48))</f>
      </c>
      <c r="C48" s="164">
        <f>IF($O48="","",INDEX(Master!$C$2:$C$1001,$O48))</f>
      </c>
      <c r="D48" s="164">
        <f>IF($O48="","",INDEX(Master!$A$2:$A$1001,$O48))</f>
      </c>
      <c r="E48" s="164">
        <f>IF($O48="","",INDEX(Master!$E$2:$E$1001,$O48))</f>
      </c>
      <c r="F48" s="164">
        <f>IF($O48="","",INDEX(Master!$F$2:$F$1001,$O48))</f>
      </c>
      <c r="G48" s="164">
        <f>IF($O48="","",INDEX(Master!$G$2:$G$1001,$O48))</f>
      </c>
      <c r="H48" s="164">
        <f>IF($O48="","",INDEX(Master!$H$2:$H$1001,$O48))</f>
      </c>
      <c r="I48" s="164">
        <f>IF($O48="","",INDEX(Master!$I$2:$I$1001,$O48))</f>
      </c>
      <c r="J48" s="164">
        <f>IF($O48="","",INDEX(Master!$J$2:$J$1001,$O48))</f>
      </c>
      <c r="K48" s="248">
        <f t="shared" si="0"/>
      </c>
      <c r="L48" s="164">
        <f>IF($O48="","",INDEX(Master!$K$2:$K$1001,$O48))</f>
      </c>
      <c r="M48" s="164">
        <f>IF($O48="","",INDEX(Master!$L$2:$L$1001,$O48))</f>
      </c>
      <c r="N48" s="164"/>
      <c r="O48">
        <f t="array" ref="O48">IFERROR(SMALL(IF(Master!$A$2:$A$1001="VRKP",ROW(Master!$A$2:$A$1001)-ROW(Master!$A$2)+1),44),"")</f>
      </c>
      <c r="P48">
        <f t="shared" si="1"/>
      </c>
    </row>
    <row r="49" spans="1:16" x14ac:dyDescent="0.25">
      <c r="A49" s="234">
        <f>IF($O49="","",INDEX(Master!$D$2:$D$1001,$O49))</f>
      </c>
      <c r="B49" s="239">
        <f>IF($O49="","",INDEX(Master!$B$2:$B$1001,$O49))</f>
      </c>
      <c r="C49" s="164">
        <f>IF($O49="","",INDEX(Master!$C$2:$C$1001,$O49))</f>
      </c>
      <c r="D49" s="164">
        <f>IF($O49="","",INDEX(Master!$A$2:$A$1001,$O49))</f>
      </c>
      <c r="E49" s="164">
        <f>IF($O49="","",INDEX(Master!$E$2:$E$1001,$O49))</f>
      </c>
      <c r="F49" s="164">
        <f>IF($O49="","",INDEX(Master!$F$2:$F$1001,$O49))</f>
      </c>
      <c r="G49" s="164">
        <f>IF($O49="","",INDEX(Master!$G$2:$G$1001,$O49))</f>
      </c>
      <c r="H49" s="164">
        <f>IF($O49="","",INDEX(Master!$H$2:$H$1001,$O49))</f>
      </c>
      <c r="I49" s="164">
        <f>IF($O49="","",INDEX(Master!$I$2:$I$1001,$O49))</f>
      </c>
      <c r="J49" s="164">
        <f>IF($O49="","",INDEX(Master!$J$2:$J$1001,$O49))</f>
      </c>
      <c r="K49" s="248">
        <f t="shared" si="0"/>
      </c>
      <c r="L49" s="164">
        <f>IF($O49="","",INDEX(Master!$K$2:$K$1001,$O49))</f>
      </c>
      <c r="M49" s="164">
        <f>IF($O49="","",INDEX(Master!$L$2:$L$1001,$O49))</f>
      </c>
      <c r="N49" s="164"/>
      <c r="O49">
        <f t="array" ref="O49">IFERROR(SMALL(IF(Master!$A$2:$A$1001="VRKP",ROW(Master!$A$2:$A$1001)-ROW(Master!$A$2)+1),45),"")</f>
      </c>
      <c r="P49">
        <f t="shared" si="1"/>
      </c>
    </row>
    <row r="50" spans="1:16" x14ac:dyDescent="0.25">
      <c r="A50" s="234">
        <f>IF($O50="","",INDEX(Master!$D$2:$D$1001,$O50))</f>
      </c>
      <c r="B50" s="239">
        <f>IF($O50="","",INDEX(Master!$B$2:$B$1001,$O50))</f>
      </c>
      <c r="C50" s="164">
        <f>IF($O50="","",INDEX(Master!$C$2:$C$1001,$O50))</f>
      </c>
      <c r="D50" s="164">
        <f>IF($O50="","",INDEX(Master!$A$2:$A$1001,$O50))</f>
      </c>
      <c r="E50" s="164">
        <f>IF($O50="","",INDEX(Master!$E$2:$E$1001,$O50))</f>
      </c>
      <c r="F50" s="164">
        <f>IF($O50="","",INDEX(Master!$F$2:$F$1001,$O50))</f>
      </c>
      <c r="G50" s="164">
        <f>IF($O50="","",INDEX(Master!$G$2:$G$1001,$O50))</f>
      </c>
      <c r="H50" s="164">
        <f>IF($O50="","",INDEX(Master!$H$2:$H$1001,$O50))</f>
      </c>
      <c r="I50" s="164">
        <f>IF($O50="","",INDEX(Master!$I$2:$I$1001,$O50))</f>
      </c>
      <c r="J50" s="164">
        <f>IF($O50="","",INDEX(Master!$J$2:$J$1001,$O50))</f>
      </c>
      <c r="K50" s="248">
        <f t="shared" si="0"/>
      </c>
      <c r="L50" s="164">
        <f>IF($O50="","",INDEX(Master!$K$2:$K$1001,$O50))</f>
      </c>
      <c r="M50" s="164">
        <f>IF($O50="","",INDEX(Master!$L$2:$L$1001,$O50))</f>
      </c>
      <c r="N50" s="164"/>
      <c r="O50">
        <f t="array" ref="O50">IFERROR(SMALL(IF(Master!$A$2:$A$1001="VRKP",ROW(Master!$A$2:$A$1001)-ROW(Master!$A$2)+1),46),"")</f>
      </c>
      <c r="P50">
        <f t="shared" si="1"/>
      </c>
    </row>
    <row r="51" spans="1:16" x14ac:dyDescent="0.25">
      <c r="A51" s="234">
        <f>IF($O51="","",INDEX(Master!$D$2:$D$1001,$O51))</f>
      </c>
      <c r="B51" s="239">
        <f>IF($O51="","",INDEX(Master!$B$2:$B$1001,$O51))</f>
      </c>
      <c r="C51" s="164">
        <f>IF($O51="","",INDEX(Master!$C$2:$C$1001,$O51))</f>
      </c>
      <c r="D51" s="164">
        <f>IF($O51="","",INDEX(Master!$A$2:$A$1001,$O51))</f>
      </c>
      <c r="E51" s="164">
        <f>IF($O51="","",INDEX(Master!$E$2:$E$1001,$O51))</f>
      </c>
      <c r="F51" s="164">
        <f>IF($O51="","",INDEX(Master!$F$2:$F$1001,$O51))</f>
      </c>
      <c r="G51" s="164">
        <f>IF($O51="","",INDEX(Master!$G$2:$G$1001,$O51))</f>
      </c>
      <c r="H51" s="164">
        <f>IF($O51="","",INDEX(Master!$H$2:$H$1001,$O51))</f>
      </c>
      <c r="I51" s="164">
        <f>IF($O51="","",INDEX(Master!$I$2:$I$1001,$O51))</f>
      </c>
      <c r="J51" s="164">
        <f>IF($O51="","",INDEX(Master!$J$2:$J$1001,$O51))</f>
      </c>
      <c r="K51" s="248">
        <f t="shared" si="0"/>
      </c>
      <c r="L51" s="164">
        <f>IF($O51="","",INDEX(Master!$K$2:$K$1001,$O51))</f>
      </c>
      <c r="M51" s="164">
        <f>IF($O51="","",INDEX(Master!$L$2:$L$1001,$O51))</f>
      </c>
      <c r="N51" s="164"/>
      <c r="O51">
        <f t="array" ref="O51">IFERROR(SMALL(IF(Master!$A$2:$A$1001="VRKP",ROW(Master!$A$2:$A$1001)-ROW(Master!$A$2)+1),47),"")</f>
      </c>
      <c r="P51">
        <f t="shared" si="1"/>
      </c>
    </row>
    <row r="52" spans="1:16" x14ac:dyDescent="0.25">
      <c r="A52" s="234">
        <f>IF($O52="","",INDEX(Master!$D$2:$D$1001,$O52))</f>
      </c>
      <c r="B52" s="239">
        <f>IF($O52="","",INDEX(Master!$B$2:$B$1001,$O52))</f>
      </c>
      <c r="C52" s="164">
        <f>IF($O52="","",INDEX(Master!$C$2:$C$1001,$O52))</f>
      </c>
      <c r="D52" s="164">
        <f>IF($O52="","",INDEX(Master!$A$2:$A$1001,$O52))</f>
      </c>
      <c r="E52" s="164">
        <f>IF($O52="","",INDEX(Master!$E$2:$E$1001,$O52))</f>
      </c>
      <c r="F52" s="164">
        <f>IF($O52="","",INDEX(Master!$F$2:$F$1001,$O52))</f>
      </c>
      <c r="G52" s="164">
        <f>IF($O52="","",INDEX(Master!$G$2:$G$1001,$O52))</f>
      </c>
      <c r="H52" s="164">
        <f>IF($O52="","",INDEX(Master!$H$2:$H$1001,$O52))</f>
      </c>
      <c r="I52" s="164">
        <f>IF($O52="","",INDEX(Master!$I$2:$I$1001,$O52))</f>
      </c>
      <c r="J52" s="164">
        <f>IF($O52="","",INDEX(Master!$J$2:$J$1001,$O52))</f>
      </c>
      <c r="K52" s="248">
        <f t="shared" si="0"/>
      </c>
      <c r="L52" s="164">
        <f>IF($O52="","",INDEX(Master!$K$2:$K$1001,$O52))</f>
      </c>
      <c r="M52" s="164">
        <f>IF($O52="","",INDEX(Master!$L$2:$L$1001,$O52))</f>
      </c>
      <c r="N52" s="164"/>
      <c r="O52">
        <f t="array" ref="O52">IFERROR(SMALL(IF(Master!$A$2:$A$1001="VRKP",ROW(Master!$A$2:$A$1001)-ROW(Master!$A$2)+1),48),"")</f>
      </c>
      <c r="P52">
        <f t="shared" si="1"/>
      </c>
    </row>
    <row r="53" spans="1:16" x14ac:dyDescent="0.25">
      <c r="A53" s="234">
        <f>IF($O53="","",INDEX(Master!$D$2:$D$1001,$O53))</f>
      </c>
      <c r="B53" s="239">
        <f>IF($O53="","",INDEX(Master!$B$2:$B$1001,$O53))</f>
      </c>
      <c r="C53" s="164">
        <f>IF($O53="","",INDEX(Master!$C$2:$C$1001,$O53))</f>
      </c>
      <c r="D53" s="164">
        <f>IF($O53="","",INDEX(Master!$A$2:$A$1001,$O53))</f>
      </c>
      <c r="E53" s="164">
        <f>IF($O53="","",INDEX(Master!$E$2:$E$1001,$O53))</f>
      </c>
      <c r="F53" s="164">
        <f>IF($O53="","",INDEX(Master!$F$2:$F$1001,$O53))</f>
      </c>
      <c r="G53" s="164">
        <f>IF($O53="","",INDEX(Master!$G$2:$G$1001,$O53))</f>
      </c>
      <c r="H53" s="164">
        <f>IF($O53="","",INDEX(Master!$H$2:$H$1001,$O53))</f>
      </c>
      <c r="I53" s="164">
        <f>IF($O53="","",INDEX(Master!$I$2:$I$1001,$O53))</f>
      </c>
      <c r="J53" s="164">
        <f>IF($O53="","",INDEX(Master!$J$2:$J$1001,$O53))</f>
      </c>
      <c r="K53" s="248">
        <f t="shared" si="0"/>
      </c>
      <c r="L53" s="164">
        <f>IF($O53="","",INDEX(Master!$K$2:$K$1001,$O53))</f>
      </c>
      <c r="M53" s="164">
        <f>IF($O53="","",INDEX(Master!$L$2:$L$1001,$O53))</f>
      </c>
      <c r="N53" s="164"/>
      <c r="O53">
        <f t="array" ref="O53">IFERROR(SMALL(IF(Master!$A$2:$A$1001="VRKP",ROW(Master!$A$2:$A$1001)-ROW(Master!$A$2)+1),49),"")</f>
      </c>
      <c r="P53">
        <f t="shared" si="1"/>
      </c>
    </row>
    <row r="54" spans="1:16" x14ac:dyDescent="0.25">
      <c r="A54" s="234">
        <f>IF($O54="","",INDEX(Master!$D$2:$D$1001,$O54))</f>
      </c>
      <c r="B54" s="239">
        <f>IF($O54="","",INDEX(Master!$B$2:$B$1001,$O54))</f>
      </c>
      <c r="C54" s="164">
        <f>IF($O54="","",INDEX(Master!$C$2:$C$1001,$O54))</f>
      </c>
      <c r="D54" s="164">
        <f>IF($O54="","",INDEX(Master!$A$2:$A$1001,$O54))</f>
      </c>
      <c r="E54" s="164">
        <f>IF($O54="","",INDEX(Master!$E$2:$E$1001,$O54))</f>
      </c>
      <c r="F54" s="164">
        <f>IF($O54="","",INDEX(Master!$F$2:$F$1001,$O54))</f>
      </c>
      <c r="G54" s="164">
        <f>IF($O54="","",INDEX(Master!$G$2:$G$1001,$O54))</f>
      </c>
      <c r="H54" s="164">
        <f>IF($O54="","",INDEX(Master!$H$2:$H$1001,$O54))</f>
      </c>
      <c r="I54" s="164">
        <f>IF($O54="","",INDEX(Master!$I$2:$I$1001,$O54))</f>
      </c>
      <c r="J54" s="164">
        <f>IF($O54="","",INDEX(Master!$J$2:$J$1001,$O54))</f>
      </c>
      <c r="K54" s="248">
        <f t="shared" si="0"/>
      </c>
      <c r="L54" s="164">
        <f>IF($O54="","",INDEX(Master!$K$2:$K$1001,$O54))</f>
      </c>
      <c r="M54" s="164">
        <f>IF($O54="","",INDEX(Master!$L$2:$L$1001,$O54))</f>
      </c>
      <c r="N54" s="164"/>
      <c r="O54">
        <f t="array" ref="O54">IFERROR(SMALL(IF(Master!$A$2:$A$1001="VRKP",ROW(Master!$A$2:$A$1001)-ROW(Master!$A$2)+1),50),"")</f>
      </c>
      <c r="P54">
        <f t="shared" si="1"/>
      </c>
    </row>
    <row r="55" spans="1:16" x14ac:dyDescent="0.25">
      <c r="A55" s="234">
        <f>IF($O55="","",INDEX(Master!$D$2:$D$1001,$O55))</f>
      </c>
      <c r="B55" s="239">
        <f>IF($O55="","",INDEX(Master!$B$2:$B$1001,$O55))</f>
      </c>
      <c r="C55" s="164">
        <f>IF($O55="","",INDEX(Master!$C$2:$C$1001,$O55))</f>
      </c>
      <c r="D55" s="164">
        <f>IF($O55="","",INDEX(Master!$A$2:$A$1001,$O55))</f>
      </c>
      <c r="E55" s="164">
        <f>IF($O55="","",INDEX(Master!$E$2:$E$1001,$O55))</f>
      </c>
      <c r="F55" s="164">
        <f>IF($O55="","",INDEX(Master!$F$2:$F$1001,$O55))</f>
      </c>
      <c r="G55" s="164">
        <f>IF($O55="","",INDEX(Master!$G$2:$G$1001,$O55))</f>
      </c>
      <c r="H55" s="164">
        <f>IF($O55="","",INDEX(Master!$H$2:$H$1001,$O55))</f>
      </c>
      <c r="I55" s="164">
        <f>IF($O55="","",INDEX(Master!$I$2:$I$1001,$O55))</f>
      </c>
      <c r="J55" s="164">
        <f>IF($O55="","",INDEX(Master!$J$2:$J$1001,$O55))</f>
      </c>
      <c r="K55" s="248">
        <f t="shared" si="0"/>
      </c>
      <c r="L55" s="164">
        <f>IF($O55="","",INDEX(Master!$K$2:$K$1001,$O55))</f>
      </c>
      <c r="M55" s="164">
        <f>IF($O55="","",INDEX(Master!$L$2:$L$1001,$O55))</f>
      </c>
      <c r="N55" s="164"/>
      <c r="O55">
        <f t="array" ref="O55">IFERROR(SMALL(IF(Master!$A$2:$A$1001="VRKP",ROW(Master!$A$2:$A$1001)-ROW(Master!$A$2)+1),51),"")</f>
      </c>
      <c r="P55">
        <f t="shared" si="1"/>
      </c>
    </row>
    <row r="56" spans="1:16" x14ac:dyDescent="0.25">
      <c r="A56" s="234">
        <f>IF($O56="","",INDEX(Master!$D$2:$D$1001,$O56))</f>
      </c>
      <c r="B56" s="239">
        <f>IF($O56="","",INDEX(Master!$B$2:$B$1001,$O56))</f>
      </c>
      <c r="C56" s="164">
        <f>IF($O56="","",INDEX(Master!$C$2:$C$1001,$O56))</f>
      </c>
      <c r="D56" s="164">
        <f>IF($O56="","",INDEX(Master!$A$2:$A$1001,$O56))</f>
      </c>
      <c r="E56" s="164">
        <f>IF($O56="","",INDEX(Master!$E$2:$E$1001,$O56))</f>
      </c>
      <c r="F56" s="164">
        <f>IF($O56="","",INDEX(Master!$F$2:$F$1001,$O56))</f>
      </c>
      <c r="G56" s="164">
        <f>IF($O56="","",INDEX(Master!$G$2:$G$1001,$O56))</f>
      </c>
      <c r="H56" s="164">
        <f>IF($O56="","",INDEX(Master!$H$2:$H$1001,$O56))</f>
      </c>
      <c r="I56" s="164">
        <f>IF($O56="","",INDEX(Master!$I$2:$I$1001,$O56))</f>
      </c>
      <c r="J56" s="164">
        <f>IF($O56="","",INDEX(Master!$J$2:$J$1001,$O56))</f>
      </c>
      <c r="K56" s="248">
        <f t="shared" si="0"/>
      </c>
      <c r="L56" s="164">
        <f>IF($O56="","",INDEX(Master!$K$2:$K$1001,$O56))</f>
      </c>
      <c r="M56" s="164">
        <f>IF($O56="","",INDEX(Master!$L$2:$L$1001,$O56))</f>
      </c>
      <c r="N56" s="164"/>
      <c r="O56">
        <f t="array" ref="O56">IFERROR(SMALL(IF(Master!$A$2:$A$1001="VRKP",ROW(Master!$A$2:$A$1001)-ROW(Master!$A$2)+1),52),"")</f>
      </c>
      <c r="P56">
        <f t="shared" si="1"/>
      </c>
    </row>
    <row r="57" spans="1:16" x14ac:dyDescent="0.25">
      <c r="A57" s="234">
        <f>IF($O57="","",INDEX(Master!$D$2:$D$1001,$O57))</f>
      </c>
      <c r="B57" s="239">
        <f>IF($O57="","",INDEX(Master!$B$2:$B$1001,$O57))</f>
      </c>
      <c r="C57" s="164">
        <f>IF($O57="","",INDEX(Master!$C$2:$C$1001,$O57))</f>
      </c>
      <c r="D57" s="164">
        <f>IF($O57="","",INDEX(Master!$A$2:$A$1001,$O57))</f>
      </c>
      <c r="E57" s="164">
        <f>IF($O57="","",INDEX(Master!$E$2:$E$1001,$O57))</f>
      </c>
      <c r="F57" s="164">
        <f>IF($O57="","",INDEX(Master!$F$2:$F$1001,$O57))</f>
      </c>
      <c r="G57" s="164">
        <f>IF($O57="","",INDEX(Master!$G$2:$G$1001,$O57))</f>
      </c>
      <c r="H57" s="164">
        <f>IF($O57="","",INDEX(Master!$H$2:$H$1001,$O57))</f>
      </c>
      <c r="I57" s="164">
        <f>IF($O57="","",INDEX(Master!$I$2:$I$1001,$O57))</f>
      </c>
      <c r="J57" s="164">
        <f>IF($O57="","",INDEX(Master!$J$2:$J$1001,$O57))</f>
      </c>
      <c r="K57" s="248">
        <f t="shared" si="0"/>
      </c>
      <c r="L57" s="164">
        <f>IF($O57="","",INDEX(Master!$K$2:$K$1001,$O57))</f>
      </c>
      <c r="M57" s="164">
        <f>IF($O57="","",INDEX(Master!$L$2:$L$1001,$O57))</f>
      </c>
      <c r="N57" s="164"/>
      <c r="O57">
        <f t="array" ref="O57">IFERROR(SMALL(IF(Master!$A$2:$A$1001="VRKP",ROW(Master!$A$2:$A$1001)-ROW(Master!$A$2)+1),53),"")</f>
      </c>
      <c r="P57">
        <f t="shared" si="1"/>
      </c>
    </row>
    <row r="58" spans="1:16" x14ac:dyDescent="0.25">
      <c r="A58" s="234">
        <f>IF($O58="","",INDEX(Master!$D$2:$D$1001,$O58))</f>
      </c>
      <c r="B58" s="239">
        <f>IF($O58="","",INDEX(Master!$B$2:$B$1001,$O58))</f>
      </c>
      <c r="C58" s="164">
        <f>IF($O58="","",INDEX(Master!$C$2:$C$1001,$O58))</f>
      </c>
      <c r="D58" s="164">
        <f>IF($O58="","",INDEX(Master!$A$2:$A$1001,$O58))</f>
      </c>
      <c r="E58" s="164">
        <f>IF($O58="","",INDEX(Master!$E$2:$E$1001,$O58))</f>
      </c>
      <c r="F58" s="164">
        <f>IF($O58="","",INDEX(Master!$F$2:$F$1001,$O58))</f>
      </c>
      <c r="G58" s="164">
        <f>IF($O58="","",INDEX(Master!$G$2:$G$1001,$O58))</f>
      </c>
      <c r="H58" s="164">
        <f>IF($O58="","",INDEX(Master!$H$2:$H$1001,$O58))</f>
      </c>
      <c r="I58" s="164">
        <f>IF($O58="","",INDEX(Master!$I$2:$I$1001,$O58))</f>
      </c>
      <c r="J58" s="164">
        <f>IF($O58="","",INDEX(Master!$J$2:$J$1001,$O58))</f>
      </c>
      <c r="K58" s="248">
        <f t="shared" si="0"/>
      </c>
      <c r="L58" s="164">
        <f>IF($O58="","",INDEX(Master!$K$2:$K$1001,$O58))</f>
      </c>
      <c r="M58" s="164">
        <f>IF($O58="","",INDEX(Master!$L$2:$L$1001,$O58))</f>
      </c>
      <c r="N58" s="164"/>
      <c r="O58">
        <f t="array" ref="O58">IFERROR(SMALL(IF(Master!$A$2:$A$1001="VRKP",ROW(Master!$A$2:$A$1001)-ROW(Master!$A$2)+1),54),"")</f>
      </c>
      <c r="P58">
        <f t="shared" si="1"/>
      </c>
    </row>
    <row r="59" spans="1:16" x14ac:dyDescent="0.25">
      <c r="A59" s="234">
        <f>IF($O59="","",INDEX(Master!$D$2:$D$1001,$O59))</f>
      </c>
      <c r="B59" s="239">
        <f>IF($O59="","",INDEX(Master!$B$2:$B$1001,$O59))</f>
      </c>
      <c r="C59" s="164">
        <f>IF($O59="","",INDEX(Master!$C$2:$C$1001,$O59))</f>
      </c>
      <c r="D59" s="164">
        <f>IF($O59="","",INDEX(Master!$A$2:$A$1001,$O59))</f>
      </c>
      <c r="E59" s="164">
        <f>IF($O59="","",INDEX(Master!$E$2:$E$1001,$O59))</f>
      </c>
      <c r="F59" s="164">
        <f>IF($O59="","",INDEX(Master!$F$2:$F$1001,$O59))</f>
      </c>
      <c r="G59" s="164">
        <f>IF($O59="","",INDEX(Master!$G$2:$G$1001,$O59))</f>
      </c>
      <c r="H59" s="164">
        <f>IF($O59="","",INDEX(Master!$H$2:$H$1001,$O59))</f>
      </c>
      <c r="I59" s="164">
        <f>IF($O59="","",INDEX(Master!$I$2:$I$1001,$O59))</f>
      </c>
      <c r="J59" s="164">
        <f>IF($O59="","",INDEX(Master!$J$2:$J$1001,$O59))</f>
      </c>
      <c r="K59" s="248">
        <f t="shared" si="0"/>
      </c>
      <c r="L59" s="164">
        <f>IF($O59="","",INDEX(Master!$K$2:$K$1001,$O59))</f>
      </c>
      <c r="M59" s="164">
        <f>IF($O59="","",INDEX(Master!$L$2:$L$1001,$O59))</f>
      </c>
      <c r="N59" s="164"/>
      <c r="O59">
        <f t="array" ref="O59">IFERROR(SMALL(IF(Master!$A$2:$A$1001="VRKP",ROW(Master!$A$2:$A$1001)-ROW(Master!$A$2)+1),55),"")</f>
      </c>
      <c r="P59">
        <f t="shared" si="1"/>
      </c>
    </row>
    <row r="60" spans="1:16" x14ac:dyDescent="0.25">
      <c r="A60" s="234">
        <f>IF($O60="","",INDEX(Master!$D$2:$D$1001,$O60))</f>
      </c>
      <c r="B60" s="239">
        <f>IF($O60="","",INDEX(Master!$B$2:$B$1001,$O60))</f>
      </c>
      <c r="C60" s="164">
        <f>IF($O60="","",INDEX(Master!$C$2:$C$1001,$O60))</f>
      </c>
      <c r="D60" s="164">
        <f>IF($O60="","",INDEX(Master!$A$2:$A$1001,$O60))</f>
      </c>
      <c r="E60" s="164">
        <f>IF($O60="","",INDEX(Master!$E$2:$E$1001,$O60))</f>
      </c>
      <c r="F60" s="164">
        <f>IF($O60="","",INDEX(Master!$F$2:$F$1001,$O60))</f>
      </c>
      <c r="G60" s="164">
        <f>IF($O60="","",INDEX(Master!$G$2:$G$1001,$O60))</f>
      </c>
      <c r="H60" s="164">
        <f>IF($O60="","",INDEX(Master!$H$2:$H$1001,$O60))</f>
      </c>
      <c r="I60" s="164">
        <f>IF($O60="","",INDEX(Master!$I$2:$I$1001,$O60))</f>
      </c>
      <c r="J60" s="164">
        <f>IF($O60="","",INDEX(Master!$J$2:$J$1001,$O60))</f>
      </c>
      <c r="K60" s="248">
        <f t="shared" si="0"/>
      </c>
      <c r="L60" s="164">
        <f>IF($O60="","",INDEX(Master!$K$2:$K$1001,$O60))</f>
      </c>
      <c r="M60" s="164">
        <f>IF($O60="","",INDEX(Master!$L$2:$L$1001,$O60))</f>
      </c>
      <c r="N60" s="164"/>
      <c r="O60">
        <f t="array" ref="O60">IFERROR(SMALL(IF(Master!$A$2:$A$1001="VRKP",ROW(Master!$A$2:$A$1001)-ROW(Master!$A$2)+1),56),"")</f>
      </c>
      <c r="P60">
        <f t="shared" si="1"/>
      </c>
    </row>
    <row r="61" spans="1:16" x14ac:dyDescent="0.25">
      <c r="A61" s="234">
        <f>IF($O61="","",INDEX(Master!$D$2:$D$1001,$O61))</f>
      </c>
      <c r="B61" s="239">
        <f>IF($O61="","",INDEX(Master!$B$2:$B$1001,$O61))</f>
      </c>
      <c r="C61" s="164">
        <f>IF($O61="","",INDEX(Master!$C$2:$C$1001,$O61))</f>
      </c>
      <c r="D61" s="164">
        <f>IF($O61="","",INDEX(Master!$A$2:$A$1001,$O61))</f>
      </c>
      <c r="E61" s="164">
        <f>IF($O61="","",INDEX(Master!$E$2:$E$1001,$O61))</f>
      </c>
      <c r="F61" s="164">
        <f>IF($O61="","",INDEX(Master!$F$2:$F$1001,$O61))</f>
      </c>
      <c r="G61" s="164">
        <f>IF($O61="","",INDEX(Master!$G$2:$G$1001,$O61))</f>
      </c>
      <c r="H61" s="164">
        <f>IF($O61="","",INDEX(Master!$H$2:$H$1001,$O61))</f>
      </c>
      <c r="I61" s="164">
        <f>IF($O61="","",INDEX(Master!$I$2:$I$1001,$O61))</f>
      </c>
      <c r="J61" s="164">
        <f>IF($O61="","",INDEX(Master!$J$2:$J$1001,$O61))</f>
      </c>
      <c r="K61" s="248">
        <f t="shared" si="0"/>
      </c>
      <c r="L61" s="164">
        <f>IF($O61="","",INDEX(Master!$K$2:$K$1001,$O61))</f>
      </c>
      <c r="M61" s="164">
        <f>IF($O61="","",INDEX(Master!$L$2:$L$1001,$O61))</f>
      </c>
      <c r="N61" s="164"/>
      <c r="O61">
        <f t="array" ref="O61">IFERROR(SMALL(IF(Master!$A$2:$A$1001="VRKP",ROW(Master!$A$2:$A$1001)-ROW(Master!$A$2)+1),57),"")</f>
      </c>
      <c r="P61">
        <f t="shared" si="1"/>
      </c>
    </row>
    <row r="62" spans="1:16" x14ac:dyDescent="0.25">
      <c r="A62" s="234">
        <f>IF($O62="","",INDEX(Master!$D$2:$D$1001,$O62))</f>
      </c>
      <c r="B62" s="239">
        <f>IF($O62="","",INDEX(Master!$B$2:$B$1001,$O62))</f>
      </c>
      <c r="C62" s="164">
        <f>IF($O62="","",INDEX(Master!$C$2:$C$1001,$O62))</f>
      </c>
      <c r="D62" s="164">
        <f>IF($O62="","",INDEX(Master!$A$2:$A$1001,$O62))</f>
      </c>
      <c r="E62" s="164">
        <f>IF($O62="","",INDEX(Master!$E$2:$E$1001,$O62))</f>
      </c>
      <c r="F62" s="164">
        <f>IF($O62="","",INDEX(Master!$F$2:$F$1001,$O62))</f>
      </c>
      <c r="G62" s="164">
        <f>IF($O62="","",INDEX(Master!$G$2:$G$1001,$O62))</f>
      </c>
      <c r="H62" s="164">
        <f>IF($O62="","",INDEX(Master!$H$2:$H$1001,$O62))</f>
      </c>
      <c r="I62" s="164">
        <f>IF($O62="","",INDEX(Master!$I$2:$I$1001,$O62))</f>
      </c>
      <c r="J62" s="164">
        <f>IF($O62="","",INDEX(Master!$J$2:$J$1001,$O62))</f>
      </c>
      <c r="K62" s="248">
        <f t="shared" si="0"/>
      </c>
      <c r="L62" s="164">
        <f>IF($O62="","",INDEX(Master!$K$2:$K$1001,$O62))</f>
      </c>
      <c r="M62" s="164">
        <f>IF($O62="","",INDEX(Master!$L$2:$L$1001,$O62))</f>
      </c>
      <c r="N62" s="164"/>
      <c r="O62">
        <f t="array" ref="O62">IFERROR(SMALL(IF(Master!$A$2:$A$1001="VRKP",ROW(Master!$A$2:$A$1001)-ROW(Master!$A$2)+1),58),"")</f>
      </c>
      <c r="P62">
        <f t="shared" si="1"/>
      </c>
    </row>
    <row r="63" spans="1:16" x14ac:dyDescent="0.25">
      <c r="A63" s="234">
        <f>IF($O63="","",INDEX(Master!$D$2:$D$1001,$O63))</f>
      </c>
      <c r="B63" s="239">
        <f>IF($O63="","",INDEX(Master!$B$2:$B$1001,$O63))</f>
      </c>
      <c r="C63" s="164">
        <f>IF($O63="","",INDEX(Master!$C$2:$C$1001,$O63))</f>
      </c>
      <c r="D63" s="164">
        <f>IF($O63="","",INDEX(Master!$A$2:$A$1001,$O63))</f>
      </c>
      <c r="E63" s="164">
        <f>IF($O63="","",INDEX(Master!$E$2:$E$1001,$O63))</f>
      </c>
      <c r="F63" s="164">
        <f>IF($O63="","",INDEX(Master!$F$2:$F$1001,$O63))</f>
      </c>
      <c r="G63" s="164">
        <f>IF($O63="","",INDEX(Master!$G$2:$G$1001,$O63))</f>
      </c>
      <c r="H63" s="164">
        <f>IF($O63="","",INDEX(Master!$H$2:$H$1001,$O63))</f>
      </c>
      <c r="I63" s="164">
        <f>IF($O63="","",INDEX(Master!$I$2:$I$1001,$O63))</f>
      </c>
      <c r="J63" s="164">
        <f>IF($O63="","",INDEX(Master!$J$2:$J$1001,$O63))</f>
      </c>
      <c r="K63" s="248">
        <f t="shared" si="0"/>
      </c>
      <c r="L63" s="164">
        <f>IF($O63="","",INDEX(Master!$K$2:$K$1001,$O63))</f>
      </c>
      <c r="M63" s="164">
        <f>IF($O63="","",INDEX(Master!$L$2:$L$1001,$O63))</f>
      </c>
      <c r="N63" s="164"/>
      <c r="O63">
        <f t="array" ref="O63">IFERROR(SMALL(IF(Master!$A$2:$A$1001="VRKP",ROW(Master!$A$2:$A$1001)-ROW(Master!$A$2)+1),59),"")</f>
      </c>
      <c r="P63">
        <f t="shared" si="1"/>
      </c>
    </row>
    <row r="64" spans="1:16" x14ac:dyDescent="0.25">
      <c r="A64" s="234">
        <f>IF($O64="","",INDEX(Master!$D$2:$D$1001,$O64))</f>
      </c>
      <c r="B64" s="239">
        <f>IF($O64="","",INDEX(Master!$B$2:$B$1001,$O64))</f>
      </c>
      <c r="C64" s="164">
        <f>IF($O64="","",INDEX(Master!$C$2:$C$1001,$O64))</f>
      </c>
      <c r="D64" s="164">
        <f>IF($O64="","",INDEX(Master!$A$2:$A$1001,$O64))</f>
      </c>
      <c r="E64" s="164">
        <f>IF($O64="","",INDEX(Master!$E$2:$E$1001,$O64))</f>
      </c>
      <c r="F64" s="164">
        <f>IF($O64="","",INDEX(Master!$F$2:$F$1001,$O64))</f>
      </c>
      <c r="G64" s="164">
        <f>IF($O64="","",INDEX(Master!$G$2:$G$1001,$O64))</f>
      </c>
      <c r="H64" s="164">
        <f>IF($O64="","",INDEX(Master!$H$2:$H$1001,$O64))</f>
      </c>
      <c r="I64" s="164">
        <f>IF($O64="","",INDEX(Master!$I$2:$I$1001,$O64))</f>
      </c>
      <c r="J64" s="164">
        <f>IF($O64="","",INDEX(Master!$J$2:$J$1001,$O64))</f>
      </c>
      <c r="K64" s="248">
        <f t="shared" si="0"/>
      </c>
      <c r="L64" s="164">
        <f>IF($O64="","",INDEX(Master!$K$2:$K$1001,$O64))</f>
      </c>
      <c r="M64" s="164">
        <f>IF($O64="","",INDEX(Master!$L$2:$L$1001,$O64))</f>
      </c>
      <c r="N64" s="164"/>
      <c r="O64">
        <f t="array" ref="O64">IFERROR(SMALL(IF(Master!$A$2:$A$1001="VRKP",ROW(Master!$A$2:$A$1001)-ROW(Master!$A$2)+1),60),"")</f>
      </c>
      <c r="P64">
        <f t="shared" si="1"/>
      </c>
    </row>
    <row r="65" spans="1:16" x14ac:dyDescent="0.25">
      <c r="A65" s="234">
        <f>IF($O65="","",INDEX(Master!$D$2:$D$1001,$O65))</f>
      </c>
      <c r="B65" s="239">
        <f>IF($O65="","",INDEX(Master!$B$2:$B$1001,$O65))</f>
      </c>
      <c r="C65" s="164">
        <f>IF($O65="","",INDEX(Master!$C$2:$C$1001,$O65))</f>
      </c>
      <c r="D65" s="164">
        <f>IF($O65="","",INDEX(Master!$A$2:$A$1001,$O65))</f>
      </c>
      <c r="E65" s="164">
        <f>IF($O65="","",INDEX(Master!$E$2:$E$1001,$O65))</f>
      </c>
      <c r="F65" s="164">
        <f>IF($O65="","",INDEX(Master!$F$2:$F$1001,$O65))</f>
      </c>
      <c r="G65" s="164">
        <f>IF($O65="","",INDEX(Master!$G$2:$G$1001,$O65))</f>
      </c>
      <c r="H65" s="164">
        <f>IF($O65="","",INDEX(Master!$H$2:$H$1001,$O65))</f>
      </c>
      <c r="I65" s="164">
        <f>IF($O65="","",INDEX(Master!$I$2:$I$1001,$O65))</f>
      </c>
      <c r="J65" s="164">
        <f>IF($O65="","",INDEX(Master!$J$2:$J$1001,$O65))</f>
      </c>
      <c r="K65" s="248">
        <f t="shared" si="0"/>
      </c>
      <c r="L65" s="164">
        <f>IF($O65="","",INDEX(Master!$K$2:$K$1001,$O65))</f>
      </c>
      <c r="M65" s="164">
        <f>IF($O65="","",INDEX(Master!$L$2:$L$1001,$O65))</f>
      </c>
      <c r="N65" s="164"/>
      <c r="O65">
        <f t="array" ref="O65">IFERROR(SMALL(IF(Master!$A$2:$A$1001="VRKP",ROW(Master!$A$2:$A$1001)-ROW(Master!$A$2)+1),61),"")</f>
      </c>
      <c r="P65">
        <f t="shared" si="1"/>
      </c>
    </row>
    <row r="66" spans="1:16" x14ac:dyDescent="0.25">
      <c r="A66" s="234">
        <f>IF($O66="","",INDEX(Master!$D$2:$D$1001,$O66))</f>
      </c>
      <c r="B66" s="239">
        <f>IF($O66="","",INDEX(Master!$B$2:$B$1001,$O66))</f>
      </c>
      <c r="C66" s="164">
        <f>IF($O66="","",INDEX(Master!$C$2:$C$1001,$O66))</f>
      </c>
      <c r="D66" s="164">
        <f>IF($O66="","",INDEX(Master!$A$2:$A$1001,$O66))</f>
      </c>
      <c r="E66" s="164">
        <f>IF($O66="","",INDEX(Master!$E$2:$E$1001,$O66))</f>
      </c>
      <c r="F66" s="164">
        <f>IF($O66="","",INDEX(Master!$F$2:$F$1001,$O66))</f>
      </c>
      <c r="G66" s="164">
        <f>IF($O66="","",INDEX(Master!$G$2:$G$1001,$O66))</f>
      </c>
      <c r="H66" s="164">
        <f>IF($O66="","",INDEX(Master!$H$2:$H$1001,$O66))</f>
      </c>
      <c r="I66" s="164">
        <f>IF($O66="","",INDEX(Master!$I$2:$I$1001,$O66))</f>
      </c>
      <c r="J66" s="164">
        <f>IF($O66="","",INDEX(Master!$J$2:$J$1001,$O66))</f>
      </c>
      <c r="K66" s="248">
        <f t="shared" si="0"/>
      </c>
      <c r="L66" s="164">
        <f>IF($O66="","",INDEX(Master!$K$2:$K$1001,$O66))</f>
      </c>
      <c r="M66" s="164">
        <f>IF($O66="","",INDEX(Master!$L$2:$L$1001,$O66))</f>
      </c>
      <c r="N66" s="164"/>
      <c r="O66">
        <f t="array" ref="O66">IFERROR(SMALL(IF(Master!$A$2:$A$1001="VRKP",ROW(Master!$A$2:$A$1001)-ROW(Master!$A$2)+1),62),"")</f>
      </c>
      <c r="P66">
        <f t="shared" si="1"/>
      </c>
    </row>
    <row r="67" spans="1:16" x14ac:dyDescent="0.25">
      <c r="A67" s="234">
        <f>IF($O67="","",INDEX(Master!$D$2:$D$1001,$O67))</f>
      </c>
      <c r="B67" s="239">
        <f>IF($O67="","",INDEX(Master!$B$2:$B$1001,$O67))</f>
      </c>
      <c r="C67" s="164">
        <f>IF($O67="","",INDEX(Master!$C$2:$C$1001,$O67))</f>
      </c>
      <c r="D67" s="164">
        <f>IF($O67="","",INDEX(Master!$A$2:$A$1001,$O67))</f>
      </c>
      <c r="E67" s="164">
        <f>IF($O67="","",INDEX(Master!$E$2:$E$1001,$O67))</f>
      </c>
      <c r="F67" s="164">
        <f>IF($O67="","",INDEX(Master!$F$2:$F$1001,$O67))</f>
      </c>
      <c r="G67" s="164">
        <f>IF($O67="","",INDEX(Master!$G$2:$G$1001,$O67))</f>
      </c>
      <c r="H67" s="164">
        <f>IF($O67="","",INDEX(Master!$H$2:$H$1001,$O67))</f>
      </c>
      <c r="I67" s="164">
        <f>IF($O67="","",INDEX(Master!$I$2:$I$1001,$O67))</f>
      </c>
      <c r="J67" s="164">
        <f>IF($O67="","",INDEX(Master!$J$2:$J$1001,$O67))</f>
      </c>
      <c r="K67" s="248">
        <f t="shared" si="0"/>
      </c>
      <c r="L67" s="164">
        <f>IF($O67="","",INDEX(Master!$K$2:$K$1001,$O67))</f>
      </c>
      <c r="M67" s="164">
        <f>IF($O67="","",INDEX(Master!$L$2:$L$1001,$O67))</f>
      </c>
      <c r="N67" s="164"/>
      <c r="O67">
        <f t="array" ref="O67">IFERROR(SMALL(IF(Master!$A$2:$A$1001="VRKP",ROW(Master!$A$2:$A$1001)-ROW(Master!$A$2)+1),63),"")</f>
      </c>
      <c r="P67">
        <f t="shared" si="1"/>
      </c>
    </row>
    <row r="68" spans="1:16" x14ac:dyDescent="0.25">
      <c r="A68" s="234">
        <f>IF($O68="","",INDEX(Master!$D$2:$D$1001,$O68))</f>
      </c>
      <c r="B68" s="239">
        <f>IF($O68="","",INDEX(Master!$B$2:$B$1001,$O68))</f>
      </c>
      <c r="C68" s="164">
        <f>IF($O68="","",INDEX(Master!$C$2:$C$1001,$O68))</f>
      </c>
      <c r="D68" s="164">
        <f>IF($O68="","",INDEX(Master!$A$2:$A$1001,$O68))</f>
      </c>
      <c r="E68" s="164">
        <f>IF($O68="","",INDEX(Master!$E$2:$E$1001,$O68))</f>
      </c>
      <c r="F68" s="164">
        <f>IF($O68="","",INDEX(Master!$F$2:$F$1001,$O68))</f>
      </c>
      <c r="G68" s="164">
        <f>IF($O68="","",INDEX(Master!$G$2:$G$1001,$O68))</f>
      </c>
      <c r="H68" s="164">
        <f>IF($O68="","",INDEX(Master!$H$2:$H$1001,$O68))</f>
      </c>
      <c r="I68" s="164">
        <f>IF($O68="","",INDEX(Master!$I$2:$I$1001,$O68))</f>
      </c>
      <c r="J68" s="164">
        <f>IF($O68="","",INDEX(Master!$J$2:$J$1001,$O68))</f>
      </c>
      <c r="K68" s="248">
        <f t="shared" si="0"/>
      </c>
      <c r="L68" s="164">
        <f>IF($O68="","",INDEX(Master!$K$2:$K$1001,$O68))</f>
      </c>
      <c r="M68" s="164">
        <f>IF($O68="","",INDEX(Master!$L$2:$L$1001,$O68))</f>
      </c>
      <c r="N68" s="164"/>
      <c r="O68">
        <f t="array" ref="O68">IFERROR(SMALL(IF(Master!$A$2:$A$1001="VRKP",ROW(Master!$A$2:$A$1001)-ROW(Master!$A$2)+1),64),"")</f>
      </c>
      <c r="P68">
        <f t="shared" si="1"/>
      </c>
    </row>
    <row r="69" spans="1:16" x14ac:dyDescent="0.25">
      <c r="A69" s="234">
        <f>IF($O69="","",INDEX(Master!$D$2:$D$1001,$O69))</f>
      </c>
      <c r="B69" s="239">
        <f>IF($O69="","",INDEX(Master!$B$2:$B$1001,$O69))</f>
      </c>
      <c r="C69" s="164">
        <f>IF($O69="","",INDEX(Master!$C$2:$C$1001,$O69))</f>
      </c>
      <c r="D69" s="164">
        <f>IF($O69="","",INDEX(Master!$A$2:$A$1001,$O69))</f>
      </c>
      <c r="E69" s="164">
        <f>IF($O69="","",INDEX(Master!$E$2:$E$1001,$O69))</f>
      </c>
      <c r="F69" s="164">
        <f>IF($O69="","",INDEX(Master!$F$2:$F$1001,$O69))</f>
      </c>
      <c r="G69" s="164">
        <f>IF($O69="","",INDEX(Master!$G$2:$G$1001,$O69))</f>
      </c>
      <c r="H69" s="164">
        <f>IF($O69="","",INDEX(Master!$H$2:$H$1001,$O69))</f>
      </c>
      <c r="I69" s="164">
        <f>IF($O69="","",INDEX(Master!$I$2:$I$1001,$O69))</f>
      </c>
      <c r="J69" s="164">
        <f>IF($O69="","",INDEX(Master!$J$2:$J$1001,$O69))</f>
      </c>
      <c r="K69" s="248">
        <f t="shared" ref="K69:K132" si="2">IF(OR($O69="",$F69="",$F69=0),"",$H69/$F69)</f>
      </c>
      <c r="L69" s="164">
        <f>IF($O69="","",INDEX(Master!$K$2:$K$1001,$O69))</f>
      </c>
      <c r="M69" s="164">
        <f>IF($O69="","",INDEX(Master!$L$2:$L$1001,$O69))</f>
      </c>
      <c r="N69" s="164"/>
      <c r="O69">
        <f t="array" ref="O69">IFERROR(SMALL(IF(Master!$A$2:$A$1001="VRKP",ROW(Master!$A$2:$A$1001)-ROW(Master!$A$2)+1),65),"")</f>
      </c>
      <c r="P69">
        <f t="shared" ref="P69:P132" si="3">IF($A69="",0,IF(OR(AND($E69&lt;&gt;"",OR($E69&gt;0.12)),AND($F69&lt;&gt;"",OR($F69&gt;0.05)),AND($G69&lt;&gt;"",OR($G69&gt;0.085)),AND($H69&lt;&gt;"",$H69&lt;0.5),AND($I69&lt;&gt;"",$I69&gt;120),AND($J69&lt;&gt;"",OR($J69&lt;0.08))),1,0))</f>
      </c>
    </row>
    <row r="70" spans="1:16" x14ac:dyDescent="0.25">
      <c r="A70" s="234">
        <f>IF($O70="","",INDEX(Master!$D$2:$D$1001,$O70))</f>
      </c>
      <c r="B70" s="239">
        <f>IF($O70="","",INDEX(Master!$B$2:$B$1001,$O70))</f>
      </c>
      <c r="C70" s="164">
        <f>IF($O70="","",INDEX(Master!$C$2:$C$1001,$O70))</f>
      </c>
      <c r="D70" s="164">
        <f>IF($O70="","",INDEX(Master!$A$2:$A$1001,$O70))</f>
      </c>
      <c r="E70" s="164">
        <f>IF($O70="","",INDEX(Master!$E$2:$E$1001,$O70))</f>
      </c>
      <c r="F70" s="164">
        <f>IF($O70="","",INDEX(Master!$F$2:$F$1001,$O70))</f>
      </c>
      <c r="G70" s="164">
        <f>IF($O70="","",INDEX(Master!$G$2:$G$1001,$O70))</f>
      </c>
      <c r="H70" s="164">
        <f>IF($O70="","",INDEX(Master!$H$2:$H$1001,$O70))</f>
      </c>
      <c r="I70" s="164">
        <f>IF($O70="","",INDEX(Master!$I$2:$I$1001,$O70))</f>
      </c>
      <c r="J70" s="164">
        <f>IF($O70="","",INDEX(Master!$J$2:$J$1001,$O70))</f>
      </c>
      <c r="K70" s="248">
        <f t="shared" si="2"/>
      </c>
      <c r="L70" s="164">
        <f>IF($O70="","",INDEX(Master!$K$2:$K$1001,$O70))</f>
      </c>
      <c r="M70" s="164">
        <f>IF($O70="","",INDEX(Master!$L$2:$L$1001,$O70))</f>
      </c>
      <c r="N70" s="164"/>
      <c r="O70">
        <f t="array" ref="O70">IFERROR(SMALL(IF(Master!$A$2:$A$1001="VRKP",ROW(Master!$A$2:$A$1001)-ROW(Master!$A$2)+1),66),"")</f>
      </c>
      <c r="P70">
        <f t="shared" si="3"/>
      </c>
    </row>
    <row r="71" spans="1:16" x14ac:dyDescent="0.25">
      <c r="A71" s="234">
        <f>IF($O71="","",INDEX(Master!$D$2:$D$1001,$O71))</f>
      </c>
      <c r="B71" s="239">
        <f>IF($O71="","",INDEX(Master!$B$2:$B$1001,$O71))</f>
      </c>
      <c r="C71" s="164">
        <f>IF($O71="","",INDEX(Master!$C$2:$C$1001,$O71))</f>
      </c>
      <c r="D71" s="164">
        <f>IF($O71="","",INDEX(Master!$A$2:$A$1001,$O71))</f>
      </c>
      <c r="E71" s="164">
        <f>IF($O71="","",INDEX(Master!$E$2:$E$1001,$O71))</f>
      </c>
      <c r="F71" s="164">
        <f>IF($O71="","",INDEX(Master!$F$2:$F$1001,$O71))</f>
      </c>
      <c r="G71" s="164">
        <f>IF($O71="","",INDEX(Master!$G$2:$G$1001,$O71))</f>
      </c>
      <c r="H71" s="164">
        <f>IF($O71="","",INDEX(Master!$H$2:$H$1001,$O71))</f>
      </c>
      <c r="I71" s="164">
        <f>IF($O71="","",INDEX(Master!$I$2:$I$1001,$O71))</f>
      </c>
      <c r="J71" s="164">
        <f>IF($O71="","",INDEX(Master!$J$2:$J$1001,$O71))</f>
      </c>
      <c r="K71" s="248">
        <f t="shared" si="2"/>
      </c>
      <c r="L71" s="164">
        <f>IF($O71="","",INDEX(Master!$K$2:$K$1001,$O71))</f>
      </c>
      <c r="M71" s="164">
        <f>IF($O71="","",INDEX(Master!$L$2:$L$1001,$O71))</f>
      </c>
      <c r="N71" s="164"/>
      <c r="O71">
        <f t="array" ref="O71">IFERROR(SMALL(IF(Master!$A$2:$A$1001="VRKP",ROW(Master!$A$2:$A$1001)-ROW(Master!$A$2)+1),67),"")</f>
      </c>
      <c r="P71">
        <f t="shared" si="3"/>
      </c>
    </row>
    <row r="72" spans="1:16" x14ac:dyDescent="0.25">
      <c r="A72" s="234">
        <f>IF($O72="","",INDEX(Master!$D$2:$D$1001,$O72))</f>
      </c>
      <c r="B72" s="239">
        <f>IF($O72="","",INDEX(Master!$B$2:$B$1001,$O72))</f>
      </c>
      <c r="C72" s="164">
        <f>IF($O72="","",INDEX(Master!$C$2:$C$1001,$O72))</f>
      </c>
      <c r="D72" s="164">
        <f>IF($O72="","",INDEX(Master!$A$2:$A$1001,$O72))</f>
      </c>
      <c r="E72" s="164">
        <f>IF($O72="","",INDEX(Master!$E$2:$E$1001,$O72))</f>
      </c>
      <c r="F72" s="164">
        <f>IF($O72="","",INDEX(Master!$F$2:$F$1001,$O72))</f>
      </c>
      <c r="G72" s="164">
        <f>IF($O72="","",INDEX(Master!$G$2:$G$1001,$O72))</f>
      </c>
      <c r="H72" s="164">
        <f>IF($O72="","",INDEX(Master!$H$2:$H$1001,$O72))</f>
      </c>
      <c r="I72" s="164">
        <f>IF($O72="","",INDEX(Master!$I$2:$I$1001,$O72))</f>
      </c>
      <c r="J72" s="164">
        <f>IF($O72="","",INDEX(Master!$J$2:$J$1001,$O72))</f>
      </c>
      <c r="K72" s="248">
        <f t="shared" si="2"/>
      </c>
      <c r="L72" s="164">
        <f>IF($O72="","",INDEX(Master!$K$2:$K$1001,$O72))</f>
      </c>
      <c r="M72" s="164">
        <f>IF($O72="","",INDEX(Master!$L$2:$L$1001,$O72))</f>
      </c>
      <c r="N72" s="164"/>
      <c r="O72">
        <f t="array" ref="O72">IFERROR(SMALL(IF(Master!$A$2:$A$1001="VRKP",ROW(Master!$A$2:$A$1001)-ROW(Master!$A$2)+1),68),"")</f>
      </c>
      <c r="P72">
        <f t="shared" si="3"/>
      </c>
    </row>
    <row r="73" spans="1:16" x14ac:dyDescent="0.25">
      <c r="A73" s="234">
        <f>IF($O73="","",INDEX(Master!$D$2:$D$1001,$O73))</f>
      </c>
      <c r="B73" s="239">
        <f>IF($O73="","",INDEX(Master!$B$2:$B$1001,$O73))</f>
      </c>
      <c r="C73" s="164">
        <f>IF($O73="","",INDEX(Master!$C$2:$C$1001,$O73))</f>
      </c>
      <c r="D73" s="164">
        <f>IF($O73="","",INDEX(Master!$A$2:$A$1001,$O73))</f>
      </c>
      <c r="E73" s="164">
        <f>IF($O73="","",INDEX(Master!$E$2:$E$1001,$O73))</f>
      </c>
      <c r="F73" s="164">
        <f>IF($O73="","",INDEX(Master!$F$2:$F$1001,$O73))</f>
      </c>
      <c r="G73" s="164">
        <f>IF($O73="","",INDEX(Master!$G$2:$G$1001,$O73))</f>
      </c>
      <c r="H73" s="164">
        <f>IF($O73="","",INDEX(Master!$H$2:$H$1001,$O73))</f>
      </c>
      <c r="I73" s="164">
        <f>IF($O73="","",INDEX(Master!$I$2:$I$1001,$O73))</f>
      </c>
      <c r="J73" s="164">
        <f>IF($O73="","",INDEX(Master!$J$2:$J$1001,$O73))</f>
      </c>
      <c r="K73" s="248">
        <f t="shared" si="2"/>
      </c>
      <c r="L73" s="164">
        <f>IF($O73="","",INDEX(Master!$K$2:$K$1001,$O73))</f>
      </c>
      <c r="M73" s="164">
        <f>IF($O73="","",INDEX(Master!$L$2:$L$1001,$O73))</f>
      </c>
      <c r="N73" s="164"/>
      <c r="O73">
        <f t="array" ref="O73">IFERROR(SMALL(IF(Master!$A$2:$A$1001="VRKP",ROW(Master!$A$2:$A$1001)-ROW(Master!$A$2)+1),69),"")</f>
      </c>
      <c r="P73">
        <f t="shared" si="3"/>
      </c>
    </row>
    <row r="74" spans="1:16" x14ac:dyDescent="0.25">
      <c r="A74" s="234">
        <f>IF($O74="","",INDEX(Master!$D$2:$D$1001,$O74))</f>
      </c>
      <c r="B74" s="239">
        <f>IF($O74="","",INDEX(Master!$B$2:$B$1001,$O74))</f>
      </c>
      <c r="C74" s="164">
        <f>IF($O74="","",INDEX(Master!$C$2:$C$1001,$O74))</f>
      </c>
      <c r="D74" s="164">
        <f>IF($O74="","",INDEX(Master!$A$2:$A$1001,$O74))</f>
      </c>
      <c r="E74" s="164">
        <f>IF($O74="","",INDEX(Master!$E$2:$E$1001,$O74))</f>
      </c>
      <c r="F74" s="164">
        <f>IF($O74="","",INDEX(Master!$F$2:$F$1001,$O74))</f>
      </c>
      <c r="G74" s="164">
        <f>IF($O74="","",INDEX(Master!$G$2:$G$1001,$O74))</f>
      </c>
      <c r="H74" s="164">
        <f>IF($O74="","",INDEX(Master!$H$2:$H$1001,$O74))</f>
      </c>
      <c r="I74" s="164">
        <f>IF($O74="","",INDEX(Master!$I$2:$I$1001,$O74))</f>
      </c>
      <c r="J74" s="164">
        <f>IF($O74="","",INDEX(Master!$J$2:$J$1001,$O74))</f>
      </c>
      <c r="K74" s="248">
        <f t="shared" si="2"/>
      </c>
      <c r="L74" s="164">
        <f>IF($O74="","",INDEX(Master!$K$2:$K$1001,$O74))</f>
      </c>
      <c r="M74" s="164">
        <f>IF($O74="","",INDEX(Master!$L$2:$L$1001,$O74))</f>
      </c>
      <c r="N74" s="164"/>
      <c r="O74">
        <f t="array" ref="O74">IFERROR(SMALL(IF(Master!$A$2:$A$1001="VRKP",ROW(Master!$A$2:$A$1001)-ROW(Master!$A$2)+1),70),"")</f>
      </c>
      <c r="P74">
        <f t="shared" si="3"/>
      </c>
    </row>
    <row r="75" spans="1:16" x14ac:dyDescent="0.25">
      <c r="A75" s="234">
        <f>IF($O75="","",INDEX(Master!$D$2:$D$1001,$O75))</f>
      </c>
      <c r="B75" s="239">
        <f>IF($O75="","",INDEX(Master!$B$2:$B$1001,$O75))</f>
      </c>
      <c r="C75" s="164">
        <f>IF($O75="","",INDEX(Master!$C$2:$C$1001,$O75))</f>
      </c>
      <c r="D75" s="164">
        <f>IF($O75="","",INDEX(Master!$A$2:$A$1001,$O75))</f>
      </c>
      <c r="E75" s="164">
        <f>IF($O75="","",INDEX(Master!$E$2:$E$1001,$O75))</f>
      </c>
      <c r="F75" s="164">
        <f>IF($O75="","",INDEX(Master!$F$2:$F$1001,$O75))</f>
      </c>
      <c r="G75" s="164">
        <f>IF($O75="","",INDEX(Master!$G$2:$G$1001,$O75))</f>
      </c>
      <c r="H75" s="164">
        <f>IF($O75="","",INDEX(Master!$H$2:$H$1001,$O75))</f>
      </c>
      <c r="I75" s="164">
        <f>IF($O75="","",INDEX(Master!$I$2:$I$1001,$O75))</f>
      </c>
      <c r="J75" s="164">
        <f>IF($O75="","",INDEX(Master!$J$2:$J$1001,$O75))</f>
      </c>
      <c r="K75" s="248">
        <f t="shared" si="2"/>
      </c>
      <c r="L75" s="164">
        <f>IF($O75="","",INDEX(Master!$K$2:$K$1001,$O75))</f>
      </c>
      <c r="M75" s="164">
        <f>IF($O75="","",INDEX(Master!$L$2:$L$1001,$O75))</f>
      </c>
      <c r="N75" s="164"/>
      <c r="O75">
        <f t="array" ref="O75">IFERROR(SMALL(IF(Master!$A$2:$A$1001="VRKP",ROW(Master!$A$2:$A$1001)-ROW(Master!$A$2)+1),71),"")</f>
      </c>
      <c r="P75">
        <f t="shared" si="3"/>
      </c>
    </row>
    <row r="76" spans="1:16" x14ac:dyDescent="0.25">
      <c r="A76" s="234">
        <f>IF($O76="","",INDEX(Master!$D$2:$D$1001,$O76))</f>
      </c>
      <c r="B76" s="239">
        <f>IF($O76="","",INDEX(Master!$B$2:$B$1001,$O76))</f>
      </c>
      <c r="C76" s="164">
        <f>IF($O76="","",INDEX(Master!$C$2:$C$1001,$O76))</f>
      </c>
      <c r="D76" s="164">
        <f>IF($O76="","",INDEX(Master!$A$2:$A$1001,$O76))</f>
      </c>
      <c r="E76" s="164">
        <f>IF($O76="","",INDEX(Master!$E$2:$E$1001,$O76))</f>
      </c>
      <c r="F76" s="164">
        <f>IF($O76="","",INDEX(Master!$F$2:$F$1001,$O76))</f>
      </c>
      <c r="G76" s="164">
        <f>IF($O76="","",INDEX(Master!$G$2:$G$1001,$O76))</f>
      </c>
      <c r="H76" s="164">
        <f>IF($O76="","",INDEX(Master!$H$2:$H$1001,$O76))</f>
      </c>
      <c r="I76" s="164">
        <f>IF($O76="","",INDEX(Master!$I$2:$I$1001,$O76))</f>
      </c>
      <c r="J76" s="164">
        <f>IF($O76="","",INDEX(Master!$J$2:$J$1001,$O76))</f>
      </c>
      <c r="K76" s="248">
        <f t="shared" si="2"/>
      </c>
      <c r="L76" s="164">
        <f>IF($O76="","",INDEX(Master!$K$2:$K$1001,$O76))</f>
      </c>
      <c r="M76" s="164">
        <f>IF($O76="","",INDEX(Master!$L$2:$L$1001,$O76))</f>
      </c>
      <c r="N76" s="164"/>
      <c r="O76">
        <f t="array" ref="O76">IFERROR(SMALL(IF(Master!$A$2:$A$1001="VRKP",ROW(Master!$A$2:$A$1001)-ROW(Master!$A$2)+1),72),"")</f>
      </c>
      <c r="P76">
        <f t="shared" si="3"/>
      </c>
    </row>
    <row r="77" spans="1:16" x14ac:dyDescent="0.25">
      <c r="A77" s="234">
        <f>IF($O77="","",INDEX(Master!$D$2:$D$1001,$O77))</f>
      </c>
      <c r="B77" s="239">
        <f>IF($O77="","",INDEX(Master!$B$2:$B$1001,$O77))</f>
      </c>
      <c r="C77" s="164">
        <f>IF($O77="","",INDEX(Master!$C$2:$C$1001,$O77))</f>
      </c>
      <c r="D77" s="164">
        <f>IF($O77="","",INDEX(Master!$A$2:$A$1001,$O77))</f>
      </c>
      <c r="E77" s="164">
        <f>IF($O77="","",INDEX(Master!$E$2:$E$1001,$O77))</f>
      </c>
      <c r="F77" s="164">
        <f>IF($O77="","",INDEX(Master!$F$2:$F$1001,$O77))</f>
      </c>
      <c r="G77" s="164">
        <f>IF($O77="","",INDEX(Master!$G$2:$G$1001,$O77))</f>
      </c>
      <c r="H77" s="164">
        <f>IF($O77="","",INDEX(Master!$H$2:$H$1001,$O77))</f>
      </c>
      <c r="I77" s="164">
        <f>IF($O77="","",INDEX(Master!$I$2:$I$1001,$O77))</f>
      </c>
      <c r="J77" s="164">
        <f>IF($O77="","",INDEX(Master!$J$2:$J$1001,$O77))</f>
      </c>
      <c r="K77" s="248">
        <f t="shared" si="2"/>
      </c>
      <c r="L77" s="164">
        <f>IF($O77="","",INDEX(Master!$K$2:$K$1001,$O77))</f>
      </c>
      <c r="M77" s="164">
        <f>IF($O77="","",INDEX(Master!$L$2:$L$1001,$O77))</f>
      </c>
      <c r="N77" s="164"/>
      <c r="O77">
        <f t="array" ref="O77">IFERROR(SMALL(IF(Master!$A$2:$A$1001="VRKP",ROW(Master!$A$2:$A$1001)-ROW(Master!$A$2)+1),73),"")</f>
      </c>
      <c r="P77">
        <f t="shared" si="3"/>
      </c>
    </row>
    <row r="78" spans="1:16" x14ac:dyDescent="0.25">
      <c r="A78" s="234">
        <f>IF($O78="","",INDEX(Master!$D$2:$D$1001,$O78))</f>
      </c>
      <c r="B78" s="239">
        <f>IF($O78="","",INDEX(Master!$B$2:$B$1001,$O78))</f>
      </c>
      <c r="C78" s="164">
        <f>IF($O78="","",INDEX(Master!$C$2:$C$1001,$O78))</f>
      </c>
      <c r="D78" s="164">
        <f>IF($O78="","",INDEX(Master!$A$2:$A$1001,$O78))</f>
      </c>
      <c r="E78" s="164">
        <f>IF($O78="","",INDEX(Master!$E$2:$E$1001,$O78))</f>
      </c>
      <c r="F78" s="164">
        <f>IF($O78="","",INDEX(Master!$F$2:$F$1001,$O78))</f>
      </c>
      <c r="G78" s="164">
        <f>IF($O78="","",INDEX(Master!$G$2:$G$1001,$O78))</f>
      </c>
      <c r="H78" s="164">
        <f>IF($O78="","",INDEX(Master!$H$2:$H$1001,$O78))</f>
      </c>
      <c r="I78" s="164">
        <f>IF($O78="","",INDEX(Master!$I$2:$I$1001,$O78))</f>
      </c>
      <c r="J78" s="164">
        <f>IF($O78="","",INDEX(Master!$J$2:$J$1001,$O78))</f>
      </c>
      <c r="K78" s="248">
        <f t="shared" si="2"/>
      </c>
      <c r="L78" s="164">
        <f>IF($O78="","",INDEX(Master!$K$2:$K$1001,$O78))</f>
      </c>
      <c r="M78" s="164">
        <f>IF($O78="","",INDEX(Master!$L$2:$L$1001,$O78))</f>
      </c>
      <c r="N78" s="164"/>
      <c r="O78">
        <f t="array" ref="O78">IFERROR(SMALL(IF(Master!$A$2:$A$1001="VRKP",ROW(Master!$A$2:$A$1001)-ROW(Master!$A$2)+1),74),"")</f>
      </c>
      <c r="P78">
        <f t="shared" si="3"/>
      </c>
    </row>
    <row r="79" spans="1:16" x14ac:dyDescent="0.25">
      <c r="A79" s="234">
        <f>IF($O79="","",INDEX(Master!$D$2:$D$1001,$O79))</f>
      </c>
      <c r="B79" s="239">
        <f>IF($O79="","",INDEX(Master!$B$2:$B$1001,$O79))</f>
      </c>
      <c r="C79" s="164">
        <f>IF($O79="","",INDEX(Master!$C$2:$C$1001,$O79))</f>
      </c>
      <c r="D79" s="164">
        <f>IF($O79="","",INDEX(Master!$A$2:$A$1001,$O79))</f>
      </c>
      <c r="E79" s="164">
        <f>IF($O79="","",INDEX(Master!$E$2:$E$1001,$O79))</f>
      </c>
      <c r="F79" s="164">
        <f>IF($O79="","",INDEX(Master!$F$2:$F$1001,$O79))</f>
      </c>
      <c r="G79" s="164">
        <f>IF($O79="","",INDEX(Master!$G$2:$G$1001,$O79))</f>
      </c>
      <c r="H79" s="164">
        <f>IF($O79="","",INDEX(Master!$H$2:$H$1001,$O79))</f>
      </c>
      <c r="I79" s="164">
        <f>IF($O79="","",INDEX(Master!$I$2:$I$1001,$O79))</f>
      </c>
      <c r="J79" s="164">
        <f>IF($O79="","",INDEX(Master!$J$2:$J$1001,$O79))</f>
      </c>
      <c r="K79" s="248">
        <f t="shared" si="2"/>
      </c>
      <c r="L79" s="164">
        <f>IF($O79="","",INDEX(Master!$K$2:$K$1001,$O79))</f>
      </c>
      <c r="M79" s="164">
        <f>IF($O79="","",INDEX(Master!$L$2:$L$1001,$O79))</f>
      </c>
      <c r="N79" s="164"/>
      <c r="O79">
        <f t="array" ref="O79">IFERROR(SMALL(IF(Master!$A$2:$A$1001="VRKP",ROW(Master!$A$2:$A$1001)-ROW(Master!$A$2)+1),75),"")</f>
      </c>
      <c r="P79">
        <f t="shared" si="3"/>
      </c>
    </row>
    <row r="80" spans="1:16" x14ac:dyDescent="0.25">
      <c r="A80" s="234">
        <f>IF($O80="","",INDEX(Master!$D$2:$D$1001,$O80))</f>
      </c>
      <c r="B80" s="239">
        <f>IF($O80="","",INDEX(Master!$B$2:$B$1001,$O80))</f>
      </c>
      <c r="C80" s="164">
        <f>IF($O80="","",INDEX(Master!$C$2:$C$1001,$O80))</f>
      </c>
      <c r="D80" s="164">
        <f>IF($O80="","",INDEX(Master!$A$2:$A$1001,$O80))</f>
      </c>
      <c r="E80" s="164">
        <f>IF($O80="","",INDEX(Master!$E$2:$E$1001,$O80))</f>
      </c>
      <c r="F80" s="164">
        <f>IF($O80="","",INDEX(Master!$F$2:$F$1001,$O80))</f>
      </c>
      <c r="G80" s="164">
        <f>IF($O80="","",INDEX(Master!$G$2:$G$1001,$O80))</f>
      </c>
      <c r="H80" s="164">
        <f>IF($O80="","",INDEX(Master!$H$2:$H$1001,$O80))</f>
      </c>
      <c r="I80" s="164">
        <f>IF($O80="","",INDEX(Master!$I$2:$I$1001,$O80))</f>
      </c>
      <c r="J80" s="164">
        <f>IF($O80="","",INDEX(Master!$J$2:$J$1001,$O80))</f>
      </c>
      <c r="K80" s="248">
        <f t="shared" si="2"/>
      </c>
      <c r="L80" s="164">
        <f>IF($O80="","",INDEX(Master!$K$2:$K$1001,$O80))</f>
      </c>
      <c r="M80" s="164">
        <f>IF($O80="","",INDEX(Master!$L$2:$L$1001,$O80))</f>
      </c>
      <c r="N80" s="164"/>
      <c r="O80">
        <f t="array" ref="O80">IFERROR(SMALL(IF(Master!$A$2:$A$1001="VRKP",ROW(Master!$A$2:$A$1001)-ROW(Master!$A$2)+1),76),"")</f>
      </c>
      <c r="P80">
        <f t="shared" si="3"/>
      </c>
    </row>
    <row r="81" spans="1:16" x14ac:dyDescent="0.25">
      <c r="A81" s="234">
        <f>IF($O81="","",INDEX(Master!$D$2:$D$1001,$O81))</f>
      </c>
      <c r="B81" s="239">
        <f>IF($O81="","",INDEX(Master!$B$2:$B$1001,$O81))</f>
      </c>
      <c r="C81" s="164">
        <f>IF($O81="","",INDEX(Master!$C$2:$C$1001,$O81))</f>
      </c>
      <c r="D81" s="164">
        <f>IF($O81="","",INDEX(Master!$A$2:$A$1001,$O81))</f>
      </c>
      <c r="E81" s="164">
        <f>IF($O81="","",INDEX(Master!$E$2:$E$1001,$O81))</f>
      </c>
      <c r="F81" s="164">
        <f>IF($O81="","",INDEX(Master!$F$2:$F$1001,$O81))</f>
      </c>
      <c r="G81" s="164">
        <f>IF($O81="","",INDEX(Master!$G$2:$G$1001,$O81))</f>
      </c>
      <c r="H81" s="164">
        <f>IF($O81="","",INDEX(Master!$H$2:$H$1001,$O81))</f>
      </c>
      <c r="I81" s="164">
        <f>IF($O81="","",INDEX(Master!$I$2:$I$1001,$O81))</f>
      </c>
      <c r="J81" s="164">
        <f>IF($O81="","",INDEX(Master!$J$2:$J$1001,$O81))</f>
      </c>
      <c r="K81" s="248">
        <f t="shared" si="2"/>
      </c>
      <c r="L81" s="164">
        <f>IF($O81="","",INDEX(Master!$K$2:$K$1001,$O81))</f>
      </c>
      <c r="M81" s="164">
        <f>IF($O81="","",INDEX(Master!$L$2:$L$1001,$O81))</f>
      </c>
      <c r="N81" s="164"/>
      <c r="O81">
        <f t="array" ref="O81">IFERROR(SMALL(IF(Master!$A$2:$A$1001="VRKP",ROW(Master!$A$2:$A$1001)-ROW(Master!$A$2)+1),77),"")</f>
      </c>
      <c r="P81">
        <f t="shared" si="3"/>
      </c>
    </row>
    <row r="82" spans="1:16" x14ac:dyDescent="0.25">
      <c r="A82" s="234">
        <f>IF($O82="","",INDEX(Master!$D$2:$D$1001,$O82))</f>
      </c>
      <c r="B82" s="239">
        <f>IF($O82="","",INDEX(Master!$B$2:$B$1001,$O82))</f>
      </c>
      <c r="C82" s="164">
        <f>IF($O82="","",INDEX(Master!$C$2:$C$1001,$O82))</f>
      </c>
      <c r="D82" s="164">
        <f>IF($O82="","",INDEX(Master!$A$2:$A$1001,$O82))</f>
      </c>
      <c r="E82" s="164">
        <f>IF($O82="","",INDEX(Master!$E$2:$E$1001,$O82))</f>
      </c>
      <c r="F82" s="164">
        <f>IF($O82="","",INDEX(Master!$F$2:$F$1001,$O82))</f>
      </c>
      <c r="G82" s="164">
        <f>IF($O82="","",INDEX(Master!$G$2:$G$1001,$O82))</f>
      </c>
      <c r="H82" s="164">
        <f>IF($O82="","",INDEX(Master!$H$2:$H$1001,$O82))</f>
      </c>
      <c r="I82" s="164">
        <f>IF($O82="","",INDEX(Master!$I$2:$I$1001,$O82))</f>
      </c>
      <c r="J82" s="164">
        <f>IF($O82="","",INDEX(Master!$J$2:$J$1001,$O82))</f>
      </c>
      <c r="K82" s="248">
        <f t="shared" si="2"/>
      </c>
      <c r="L82" s="164">
        <f>IF($O82="","",INDEX(Master!$K$2:$K$1001,$O82))</f>
      </c>
      <c r="M82" s="164">
        <f>IF($O82="","",INDEX(Master!$L$2:$L$1001,$O82))</f>
      </c>
      <c r="N82" s="164"/>
      <c r="O82">
        <f t="array" ref="O82">IFERROR(SMALL(IF(Master!$A$2:$A$1001="VRKP",ROW(Master!$A$2:$A$1001)-ROW(Master!$A$2)+1),78),"")</f>
      </c>
      <c r="P82">
        <f t="shared" si="3"/>
      </c>
    </row>
    <row r="83" spans="1:16" x14ac:dyDescent="0.25">
      <c r="A83" s="234">
        <f>IF($O83="","",INDEX(Master!$D$2:$D$1001,$O83))</f>
      </c>
      <c r="B83" s="239">
        <f>IF($O83="","",INDEX(Master!$B$2:$B$1001,$O83))</f>
      </c>
      <c r="C83" s="164">
        <f>IF($O83="","",INDEX(Master!$C$2:$C$1001,$O83))</f>
      </c>
      <c r="D83" s="164">
        <f>IF($O83="","",INDEX(Master!$A$2:$A$1001,$O83))</f>
      </c>
      <c r="E83" s="164">
        <f>IF($O83="","",INDEX(Master!$E$2:$E$1001,$O83))</f>
      </c>
      <c r="F83" s="164">
        <f>IF($O83="","",INDEX(Master!$F$2:$F$1001,$O83))</f>
      </c>
      <c r="G83" s="164">
        <f>IF($O83="","",INDEX(Master!$G$2:$G$1001,$O83))</f>
      </c>
      <c r="H83" s="164">
        <f>IF($O83="","",INDEX(Master!$H$2:$H$1001,$O83))</f>
      </c>
      <c r="I83" s="164">
        <f>IF($O83="","",INDEX(Master!$I$2:$I$1001,$O83))</f>
      </c>
      <c r="J83" s="164">
        <f>IF($O83="","",INDEX(Master!$J$2:$J$1001,$O83))</f>
      </c>
      <c r="K83" s="248">
        <f t="shared" si="2"/>
      </c>
      <c r="L83" s="164">
        <f>IF($O83="","",INDEX(Master!$K$2:$K$1001,$O83))</f>
      </c>
      <c r="M83" s="164">
        <f>IF($O83="","",INDEX(Master!$L$2:$L$1001,$O83))</f>
      </c>
      <c r="N83" s="164"/>
      <c r="O83">
        <f t="array" ref="O83">IFERROR(SMALL(IF(Master!$A$2:$A$1001="VRKP",ROW(Master!$A$2:$A$1001)-ROW(Master!$A$2)+1),79),"")</f>
      </c>
      <c r="P83">
        <f t="shared" si="3"/>
      </c>
    </row>
    <row r="84" spans="1:16" x14ac:dyDescent="0.25">
      <c r="A84" s="234">
        <f>IF($O84="","",INDEX(Master!$D$2:$D$1001,$O84))</f>
      </c>
      <c r="B84" s="239">
        <f>IF($O84="","",INDEX(Master!$B$2:$B$1001,$O84))</f>
      </c>
      <c r="C84" s="164">
        <f>IF($O84="","",INDEX(Master!$C$2:$C$1001,$O84))</f>
      </c>
      <c r="D84" s="164">
        <f>IF($O84="","",INDEX(Master!$A$2:$A$1001,$O84))</f>
      </c>
      <c r="E84" s="164">
        <f>IF($O84="","",INDEX(Master!$E$2:$E$1001,$O84))</f>
      </c>
      <c r="F84" s="164">
        <f>IF($O84="","",INDEX(Master!$F$2:$F$1001,$O84))</f>
      </c>
      <c r="G84" s="164">
        <f>IF($O84="","",INDEX(Master!$G$2:$G$1001,$O84))</f>
      </c>
      <c r="H84" s="164">
        <f>IF($O84="","",INDEX(Master!$H$2:$H$1001,$O84))</f>
      </c>
      <c r="I84" s="164">
        <f>IF($O84="","",INDEX(Master!$I$2:$I$1001,$O84))</f>
      </c>
      <c r="J84" s="164">
        <f>IF($O84="","",INDEX(Master!$J$2:$J$1001,$O84))</f>
      </c>
      <c r="K84" s="248">
        <f t="shared" si="2"/>
      </c>
      <c r="L84" s="164">
        <f>IF($O84="","",INDEX(Master!$K$2:$K$1001,$O84))</f>
      </c>
      <c r="M84" s="164">
        <f>IF($O84="","",INDEX(Master!$L$2:$L$1001,$O84))</f>
      </c>
      <c r="N84" s="164"/>
      <c r="O84">
        <f t="array" ref="O84">IFERROR(SMALL(IF(Master!$A$2:$A$1001="VRKP",ROW(Master!$A$2:$A$1001)-ROW(Master!$A$2)+1),80),"")</f>
      </c>
      <c r="P84">
        <f t="shared" si="3"/>
      </c>
    </row>
    <row r="85" spans="1:16" x14ac:dyDescent="0.25">
      <c r="A85" s="234">
        <f>IF($O85="","",INDEX(Master!$D$2:$D$1001,$O85))</f>
      </c>
      <c r="B85" s="239">
        <f>IF($O85="","",INDEX(Master!$B$2:$B$1001,$O85))</f>
      </c>
      <c r="C85" s="164">
        <f>IF($O85="","",INDEX(Master!$C$2:$C$1001,$O85))</f>
      </c>
      <c r="D85" s="164">
        <f>IF($O85="","",INDEX(Master!$A$2:$A$1001,$O85))</f>
      </c>
      <c r="E85" s="164">
        <f>IF($O85="","",INDEX(Master!$E$2:$E$1001,$O85))</f>
      </c>
      <c r="F85" s="164">
        <f>IF($O85="","",INDEX(Master!$F$2:$F$1001,$O85))</f>
      </c>
      <c r="G85" s="164">
        <f>IF($O85="","",INDEX(Master!$G$2:$G$1001,$O85))</f>
      </c>
      <c r="H85" s="164">
        <f>IF($O85="","",INDEX(Master!$H$2:$H$1001,$O85))</f>
      </c>
      <c r="I85" s="164">
        <f>IF($O85="","",INDEX(Master!$I$2:$I$1001,$O85))</f>
      </c>
      <c r="J85" s="164">
        <f>IF($O85="","",INDEX(Master!$J$2:$J$1001,$O85))</f>
      </c>
      <c r="K85" s="248">
        <f t="shared" si="2"/>
      </c>
      <c r="L85" s="164">
        <f>IF($O85="","",INDEX(Master!$K$2:$K$1001,$O85))</f>
      </c>
      <c r="M85" s="164">
        <f>IF($O85="","",INDEX(Master!$L$2:$L$1001,$O85))</f>
      </c>
      <c r="N85" s="164"/>
      <c r="O85">
        <f t="array" ref="O85">IFERROR(SMALL(IF(Master!$A$2:$A$1001="VRKP",ROW(Master!$A$2:$A$1001)-ROW(Master!$A$2)+1),81),"")</f>
      </c>
      <c r="P85">
        <f t="shared" si="3"/>
      </c>
    </row>
    <row r="86" spans="1:16" x14ac:dyDescent="0.25">
      <c r="A86" s="234">
        <f>IF($O86="","",INDEX(Master!$D$2:$D$1001,$O86))</f>
      </c>
      <c r="B86" s="239">
        <f>IF($O86="","",INDEX(Master!$B$2:$B$1001,$O86))</f>
      </c>
      <c r="C86" s="164">
        <f>IF($O86="","",INDEX(Master!$C$2:$C$1001,$O86))</f>
      </c>
      <c r="D86" s="164">
        <f>IF($O86="","",INDEX(Master!$A$2:$A$1001,$O86))</f>
      </c>
      <c r="E86" s="164">
        <f>IF($O86="","",INDEX(Master!$E$2:$E$1001,$O86))</f>
      </c>
      <c r="F86" s="164">
        <f>IF($O86="","",INDEX(Master!$F$2:$F$1001,$O86))</f>
      </c>
      <c r="G86" s="164">
        <f>IF($O86="","",INDEX(Master!$G$2:$G$1001,$O86))</f>
      </c>
      <c r="H86" s="164">
        <f>IF($O86="","",INDEX(Master!$H$2:$H$1001,$O86))</f>
      </c>
      <c r="I86" s="164">
        <f>IF($O86="","",INDEX(Master!$I$2:$I$1001,$O86))</f>
      </c>
      <c r="J86" s="164">
        <f>IF($O86="","",INDEX(Master!$J$2:$J$1001,$O86))</f>
      </c>
      <c r="K86" s="248">
        <f t="shared" si="2"/>
      </c>
      <c r="L86" s="164">
        <f>IF($O86="","",INDEX(Master!$K$2:$K$1001,$O86))</f>
      </c>
      <c r="M86" s="164">
        <f>IF($O86="","",INDEX(Master!$L$2:$L$1001,$O86))</f>
      </c>
      <c r="N86" s="164"/>
      <c r="O86">
        <f t="array" ref="O86">IFERROR(SMALL(IF(Master!$A$2:$A$1001="VRKP",ROW(Master!$A$2:$A$1001)-ROW(Master!$A$2)+1),82),"")</f>
      </c>
      <c r="P86">
        <f t="shared" si="3"/>
      </c>
    </row>
    <row r="87" spans="1:16" x14ac:dyDescent="0.25">
      <c r="A87" s="234">
        <f>IF($O87="","",INDEX(Master!$D$2:$D$1001,$O87))</f>
      </c>
      <c r="B87" s="239">
        <f>IF($O87="","",INDEX(Master!$B$2:$B$1001,$O87))</f>
      </c>
      <c r="C87" s="164">
        <f>IF($O87="","",INDEX(Master!$C$2:$C$1001,$O87))</f>
      </c>
      <c r="D87" s="164">
        <f>IF($O87="","",INDEX(Master!$A$2:$A$1001,$O87))</f>
      </c>
      <c r="E87" s="164">
        <f>IF($O87="","",INDEX(Master!$E$2:$E$1001,$O87))</f>
      </c>
      <c r="F87" s="164">
        <f>IF($O87="","",INDEX(Master!$F$2:$F$1001,$O87))</f>
      </c>
      <c r="G87" s="164">
        <f>IF($O87="","",INDEX(Master!$G$2:$G$1001,$O87))</f>
      </c>
      <c r="H87" s="164">
        <f>IF($O87="","",INDEX(Master!$H$2:$H$1001,$O87))</f>
      </c>
      <c r="I87" s="164">
        <f>IF($O87="","",INDEX(Master!$I$2:$I$1001,$O87))</f>
      </c>
      <c r="J87" s="164">
        <f>IF($O87="","",INDEX(Master!$J$2:$J$1001,$O87))</f>
      </c>
      <c r="K87" s="248">
        <f t="shared" si="2"/>
      </c>
      <c r="L87" s="164">
        <f>IF($O87="","",INDEX(Master!$K$2:$K$1001,$O87))</f>
      </c>
      <c r="M87" s="164">
        <f>IF($O87="","",INDEX(Master!$L$2:$L$1001,$O87))</f>
      </c>
      <c r="N87" s="164"/>
      <c r="O87">
        <f t="array" ref="O87">IFERROR(SMALL(IF(Master!$A$2:$A$1001="VRKP",ROW(Master!$A$2:$A$1001)-ROW(Master!$A$2)+1),83),"")</f>
      </c>
      <c r="P87">
        <f t="shared" si="3"/>
      </c>
    </row>
    <row r="88" spans="1:16" x14ac:dyDescent="0.25">
      <c r="A88" s="234">
        <f>IF($O88="","",INDEX(Master!$D$2:$D$1001,$O88))</f>
      </c>
      <c r="B88" s="239">
        <f>IF($O88="","",INDEX(Master!$B$2:$B$1001,$O88))</f>
      </c>
      <c r="C88" s="164">
        <f>IF($O88="","",INDEX(Master!$C$2:$C$1001,$O88))</f>
      </c>
      <c r="D88" s="164">
        <f>IF($O88="","",INDEX(Master!$A$2:$A$1001,$O88))</f>
      </c>
      <c r="E88" s="164">
        <f>IF($O88="","",INDEX(Master!$E$2:$E$1001,$O88))</f>
      </c>
      <c r="F88" s="164">
        <f>IF($O88="","",INDEX(Master!$F$2:$F$1001,$O88))</f>
      </c>
      <c r="G88" s="164">
        <f>IF($O88="","",INDEX(Master!$G$2:$G$1001,$O88))</f>
      </c>
      <c r="H88" s="164">
        <f>IF($O88="","",INDEX(Master!$H$2:$H$1001,$O88))</f>
      </c>
      <c r="I88" s="164">
        <f>IF($O88="","",INDEX(Master!$I$2:$I$1001,$O88))</f>
      </c>
      <c r="J88" s="164">
        <f>IF($O88="","",INDEX(Master!$J$2:$J$1001,$O88))</f>
      </c>
      <c r="K88" s="248">
        <f t="shared" si="2"/>
      </c>
      <c r="L88" s="164">
        <f>IF($O88="","",INDEX(Master!$K$2:$K$1001,$O88))</f>
      </c>
      <c r="M88" s="164">
        <f>IF($O88="","",INDEX(Master!$L$2:$L$1001,$O88))</f>
      </c>
      <c r="N88" s="164"/>
      <c r="O88">
        <f t="array" ref="O88">IFERROR(SMALL(IF(Master!$A$2:$A$1001="VRKP",ROW(Master!$A$2:$A$1001)-ROW(Master!$A$2)+1),84),"")</f>
      </c>
      <c r="P88">
        <f t="shared" si="3"/>
      </c>
    </row>
    <row r="89" spans="1:16" x14ac:dyDescent="0.25">
      <c r="A89" s="234">
        <f>IF($O89="","",INDEX(Master!$D$2:$D$1001,$O89))</f>
      </c>
      <c r="B89" s="239">
        <f>IF($O89="","",INDEX(Master!$B$2:$B$1001,$O89))</f>
      </c>
      <c r="C89" s="164">
        <f>IF($O89="","",INDEX(Master!$C$2:$C$1001,$O89))</f>
      </c>
      <c r="D89" s="164">
        <f>IF($O89="","",INDEX(Master!$A$2:$A$1001,$O89))</f>
      </c>
      <c r="E89" s="164">
        <f>IF($O89="","",INDEX(Master!$E$2:$E$1001,$O89))</f>
      </c>
      <c r="F89" s="164">
        <f>IF($O89="","",INDEX(Master!$F$2:$F$1001,$O89))</f>
      </c>
      <c r="G89" s="164">
        <f>IF($O89="","",INDEX(Master!$G$2:$G$1001,$O89))</f>
      </c>
      <c r="H89" s="164">
        <f>IF($O89="","",INDEX(Master!$H$2:$H$1001,$O89))</f>
      </c>
      <c r="I89" s="164">
        <f>IF($O89="","",INDEX(Master!$I$2:$I$1001,$O89))</f>
      </c>
      <c r="J89" s="164">
        <f>IF($O89="","",INDEX(Master!$J$2:$J$1001,$O89))</f>
      </c>
      <c r="K89" s="248">
        <f t="shared" si="2"/>
      </c>
      <c r="L89" s="164">
        <f>IF($O89="","",INDEX(Master!$K$2:$K$1001,$O89))</f>
      </c>
      <c r="M89" s="164">
        <f>IF($O89="","",INDEX(Master!$L$2:$L$1001,$O89))</f>
      </c>
      <c r="N89" s="164"/>
      <c r="O89">
        <f t="array" ref="O89">IFERROR(SMALL(IF(Master!$A$2:$A$1001="VRKP",ROW(Master!$A$2:$A$1001)-ROW(Master!$A$2)+1),85),"")</f>
      </c>
      <c r="P89">
        <f t="shared" si="3"/>
      </c>
    </row>
    <row r="90" spans="1:16" x14ac:dyDescent="0.25">
      <c r="A90" s="234">
        <f>IF($O90="","",INDEX(Master!$D$2:$D$1001,$O90))</f>
      </c>
      <c r="B90" s="239">
        <f>IF($O90="","",INDEX(Master!$B$2:$B$1001,$O90))</f>
      </c>
      <c r="C90" s="164">
        <f>IF($O90="","",INDEX(Master!$C$2:$C$1001,$O90))</f>
      </c>
      <c r="D90" s="164">
        <f>IF($O90="","",INDEX(Master!$A$2:$A$1001,$O90))</f>
      </c>
      <c r="E90" s="164">
        <f>IF($O90="","",INDEX(Master!$E$2:$E$1001,$O90))</f>
      </c>
      <c r="F90" s="164">
        <f>IF($O90="","",INDEX(Master!$F$2:$F$1001,$O90))</f>
      </c>
      <c r="G90" s="164">
        <f>IF($O90="","",INDEX(Master!$G$2:$G$1001,$O90))</f>
      </c>
      <c r="H90" s="164">
        <f>IF($O90="","",INDEX(Master!$H$2:$H$1001,$O90))</f>
      </c>
      <c r="I90" s="164">
        <f>IF($O90="","",INDEX(Master!$I$2:$I$1001,$O90))</f>
      </c>
      <c r="J90" s="164">
        <f>IF($O90="","",INDEX(Master!$J$2:$J$1001,$O90))</f>
      </c>
      <c r="K90" s="248">
        <f t="shared" si="2"/>
      </c>
      <c r="L90" s="164">
        <f>IF($O90="","",INDEX(Master!$K$2:$K$1001,$O90))</f>
      </c>
      <c r="M90" s="164">
        <f>IF($O90="","",INDEX(Master!$L$2:$L$1001,$O90))</f>
      </c>
      <c r="N90" s="164"/>
      <c r="O90">
        <f t="array" ref="O90">IFERROR(SMALL(IF(Master!$A$2:$A$1001="VRKP",ROW(Master!$A$2:$A$1001)-ROW(Master!$A$2)+1),86),"")</f>
      </c>
      <c r="P90">
        <f t="shared" si="3"/>
      </c>
    </row>
    <row r="91" spans="1:16" x14ac:dyDescent="0.25">
      <c r="A91" s="234">
        <f>IF($O91="","",INDEX(Master!$D$2:$D$1001,$O91))</f>
      </c>
      <c r="B91" s="239">
        <f>IF($O91="","",INDEX(Master!$B$2:$B$1001,$O91))</f>
      </c>
      <c r="C91" s="164">
        <f>IF($O91="","",INDEX(Master!$C$2:$C$1001,$O91))</f>
      </c>
      <c r="D91" s="164">
        <f>IF($O91="","",INDEX(Master!$A$2:$A$1001,$O91))</f>
      </c>
      <c r="E91" s="164">
        <f>IF($O91="","",INDEX(Master!$E$2:$E$1001,$O91))</f>
      </c>
      <c r="F91" s="164">
        <f>IF($O91="","",INDEX(Master!$F$2:$F$1001,$O91))</f>
      </c>
      <c r="G91" s="164">
        <f>IF($O91="","",INDEX(Master!$G$2:$G$1001,$O91))</f>
      </c>
      <c r="H91" s="164">
        <f>IF($O91="","",INDEX(Master!$H$2:$H$1001,$O91))</f>
      </c>
      <c r="I91" s="164">
        <f>IF($O91="","",INDEX(Master!$I$2:$I$1001,$O91))</f>
      </c>
      <c r="J91" s="164">
        <f>IF($O91="","",INDEX(Master!$J$2:$J$1001,$O91))</f>
      </c>
      <c r="K91" s="248">
        <f t="shared" si="2"/>
      </c>
      <c r="L91" s="164">
        <f>IF($O91="","",INDEX(Master!$K$2:$K$1001,$O91))</f>
      </c>
      <c r="M91" s="164">
        <f>IF($O91="","",INDEX(Master!$L$2:$L$1001,$O91))</f>
      </c>
      <c r="N91" s="164"/>
      <c r="O91">
        <f t="array" ref="O91">IFERROR(SMALL(IF(Master!$A$2:$A$1001="VRKP",ROW(Master!$A$2:$A$1001)-ROW(Master!$A$2)+1),87),"")</f>
      </c>
      <c r="P91">
        <f t="shared" si="3"/>
      </c>
    </row>
    <row r="92" spans="1:16" x14ac:dyDescent="0.25">
      <c r="A92" s="234">
        <f>IF($O92="","",INDEX(Master!$D$2:$D$1001,$O92))</f>
      </c>
      <c r="B92" s="239">
        <f>IF($O92="","",INDEX(Master!$B$2:$B$1001,$O92))</f>
      </c>
      <c r="C92" s="164">
        <f>IF($O92="","",INDEX(Master!$C$2:$C$1001,$O92))</f>
      </c>
      <c r="D92" s="164">
        <f>IF($O92="","",INDEX(Master!$A$2:$A$1001,$O92))</f>
      </c>
      <c r="E92" s="164">
        <f>IF($O92="","",INDEX(Master!$E$2:$E$1001,$O92))</f>
      </c>
      <c r="F92" s="164">
        <f>IF($O92="","",INDEX(Master!$F$2:$F$1001,$O92))</f>
      </c>
      <c r="G92" s="164">
        <f>IF($O92="","",INDEX(Master!$G$2:$G$1001,$O92))</f>
      </c>
      <c r="H92" s="164">
        <f>IF($O92="","",INDEX(Master!$H$2:$H$1001,$O92))</f>
      </c>
      <c r="I92" s="164">
        <f>IF($O92="","",INDEX(Master!$I$2:$I$1001,$O92))</f>
      </c>
      <c r="J92" s="164">
        <f>IF($O92="","",INDEX(Master!$J$2:$J$1001,$O92))</f>
      </c>
      <c r="K92" s="248">
        <f t="shared" si="2"/>
      </c>
      <c r="L92" s="164">
        <f>IF($O92="","",INDEX(Master!$K$2:$K$1001,$O92))</f>
      </c>
      <c r="M92" s="164">
        <f>IF($O92="","",INDEX(Master!$L$2:$L$1001,$O92))</f>
      </c>
      <c r="N92" s="164"/>
      <c r="O92">
        <f t="array" ref="O92">IFERROR(SMALL(IF(Master!$A$2:$A$1001="VRKP",ROW(Master!$A$2:$A$1001)-ROW(Master!$A$2)+1),88),"")</f>
      </c>
      <c r="P92">
        <f t="shared" si="3"/>
      </c>
    </row>
    <row r="93" spans="1:16" x14ac:dyDescent="0.25">
      <c r="A93" s="234">
        <f>IF($O93="","",INDEX(Master!$D$2:$D$1001,$O93))</f>
      </c>
      <c r="B93" s="239">
        <f>IF($O93="","",INDEX(Master!$B$2:$B$1001,$O93))</f>
      </c>
      <c r="C93" s="164">
        <f>IF($O93="","",INDEX(Master!$C$2:$C$1001,$O93))</f>
      </c>
      <c r="D93" s="164">
        <f>IF($O93="","",INDEX(Master!$A$2:$A$1001,$O93))</f>
      </c>
      <c r="E93" s="164">
        <f>IF($O93="","",INDEX(Master!$E$2:$E$1001,$O93))</f>
      </c>
      <c r="F93" s="164">
        <f>IF($O93="","",INDEX(Master!$F$2:$F$1001,$O93))</f>
      </c>
      <c r="G93" s="164">
        <f>IF($O93="","",INDEX(Master!$G$2:$G$1001,$O93))</f>
      </c>
      <c r="H93" s="164">
        <f>IF($O93="","",INDEX(Master!$H$2:$H$1001,$O93))</f>
      </c>
      <c r="I93" s="164">
        <f>IF($O93="","",INDEX(Master!$I$2:$I$1001,$O93))</f>
      </c>
      <c r="J93" s="164">
        <f>IF($O93="","",INDEX(Master!$J$2:$J$1001,$O93))</f>
      </c>
      <c r="K93" s="248">
        <f t="shared" si="2"/>
      </c>
      <c r="L93" s="164">
        <f>IF($O93="","",INDEX(Master!$K$2:$K$1001,$O93))</f>
      </c>
      <c r="M93" s="164">
        <f>IF($O93="","",INDEX(Master!$L$2:$L$1001,$O93))</f>
      </c>
      <c r="N93" s="164"/>
      <c r="O93">
        <f t="array" ref="O93">IFERROR(SMALL(IF(Master!$A$2:$A$1001="VRKP",ROW(Master!$A$2:$A$1001)-ROW(Master!$A$2)+1),89),"")</f>
      </c>
      <c r="P93">
        <f t="shared" si="3"/>
      </c>
    </row>
    <row r="94" spans="1:16" x14ac:dyDescent="0.25">
      <c r="A94" s="234">
        <f>IF($O94="","",INDEX(Master!$D$2:$D$1001,$O94))</f>
      </c>
      <c r="B94" s="239">
        <f>IF($O94="","",INDEX(Master!$B$2:$B$1001,$O94))</f>
      </c>
      <c r="C94" s="164">
        <f>IF($O94="","",INDEX(Master!$C$2:$C$1001,$O94))</f>
      </c>
      <c r="D94" s="164">
        <f>IF($O94="","",INDEX(Master!$A$2:$A$1001,$O94))</f>
      </c>
      <c r="E94" s="164">
        <f>IF($O94="","",INDEX(Master!$E$2:$E$1001,$O94))</f>
      </c>
      <c r="F94" s="164">
        <f>IF($O94="","",INDEX(Master!$F$2:$F$1001,$O94))</f>
      </c>
      <c r="G94" s="164">
        <f>IF($O94="","",INDEX(Master!$G$2:$G$1001,$O94))</f>
      </c>
      <c r="H94" s="164">
        <f>IF($O94="","",INDEX(Master!$H$2:$H$1001,$O94))</f>
      </c>
      <c r="I94" s="164">
        <f>IF($O94="","",INDEX(Master!$I$2:$I$1001,$O94))</f>
      </c>
      <c r="J94" s="164">
        <f>IF($O94="","",INDEX(Master!$J$2:$J$1001,$O94))</f>
      </c>
      <c r="K94" s="248">
        <f t="shared" si="2"/>
      </c>
      <c r="L94" s="164">
        <f>IF($O94="","",INDEX(Master!$K$2:$K$1001,$O94))</f>
      </c>
      <c r="M94" s="164">
        <f>IF($O94="","",INDEX(Master!$L$2:$L$1001,$O94))</f>
      </c>
      <c r="N94" s="164"/>
      <c r="O94">
        <f t="array" ref="O94">IFERROR(SMALL(IF(Master!$A$2:$A$1001="VRKP",ROW(Master!$A$2:$A$1001)-ROW(Master!$A$2)+1),90),"")</f>
      </c>
      <c r="P94">
        <f t="shared" si="3"/>
      </c>
    </row>
    <row r="95" spans="1:16" x14ac:dyDescent="0.25">
      <c r="A95" s="234">
        <f>IF($O95="","",INDEX(Master!$D$2:$D$1001,$O95))</f>
      </c>
      <c r="B95" s="239">
        <f>IF($O95="","",INDEX(Master!$B$2:$B$1001,$O95))</f>
      </c>
      <c r="C95" s="164">
        <f>IF($O95="","",INDEX(Master!$C$2:$C$1001,$O95))</f>
      </c>
      <c r="D95" s="164">
        <f>IF($O95="","",INDEX(Master!$A$2:$A$1001,$O95))</f>
      </c>
      <c r="E95" s="164">
        <f>IF($O95="","",INDEX(Master!$E$2:$E$1001,$O95))</f>
      </c>
      <c r="F95" s="164">
        <f>IF($O95="","",INDEX(Master!$F$2:$F$1001,$O95))</f>
      </c>
      <c r="G95" s="164">
        <f>IF($O95="","",INDEX(Master!$G$2:$G$1001,$O95))</f>
      </c>
      <c r="H95" s="164">
        <f>IF($O95="","",INDEX(Master!$H$2:$H$1001,$O95))</f>
      </c>
      <c r="I95" s="164">
        <f>IF($O95="","",INDEX(Master!$I$2:$I$1001,$O95))</f>
      </c>
      <c r="J95" s="164">
        <f>IF($O95="","",INDEX(Master!$J$2:$J$1001,$O95))</f>
      </c>
      <c r="K95" s="248">
        <f t="shared" si="2"/>
      </c>
      <c r="L95" s="164">
        <f>IF($O95="","",INDEX(Master!$K$2:$K$1001,$O95))</f>
      </c>
      <c r="M95" s="164">
        <f>IF($O95="","",INDEX(Master!$L$2:$L$1001,$O95))</f>
      </c>
      <c r="N95" s="164"/>
      <c r="O95">
        <f t="array" ref="O95">IFERROR(SMALL(IF(Master!$A$2:$A$1001="VRKP",ROW(Master!$A$2:$A$1001)-ROW(Master!$A$2)+1),91),"")</f>
      </c>
      <c r="P95">
        <f t="shared" si="3"/>
      </c>
    </row>
    <row r="96" spans="1:16" x14ac:dyDescent="0.25">
      <c r="A96" s="234">
        <f>IF($O96="","",INDEX(Master!$D$2:$D$1001,$O96))</f>
      </c>
      <c r="B96" s="239">
        <f>IF($O96="","",INDEX(Master!$B$2:$B$1001,$O96))</f>
      </c>
      <c r="C96" s="164">
        <f>IF($O96="","",INDEX(Master!$C$2:$C$1001,$O96))</f>
      </c>
      <c r="D96" s="164">
        <f>IF($O96="","",INDEX(Master!$A$2:$A$1001,$O96))</f>
      </c>
      <c r="E96" s="164">
        <f>IF($O96="","",INDEX(Master!$E$2:$E$1001,$O96))</f>
      </c>
      <c r="F96" s="164">
        <f>IF($O96="","",INDEX(Master!$F$2:$F$1001,$O96))</f>
      </c>
      <c r="G96" s="164">
        <f>IF($O96="","",INDEX(Master!$G$2:$G$1001,$O96))</f>
      </c>
      <c r="H96" s="164">
        <f>IF($O96="","",INDEX(Master!$H$2:$H$1001,$O96))</f>
      </c>
      <c r="I96" s="164">
        <f>IF($O96="","",INDEX(Master!$I$2:$I$1001,$O96))</f>
      </c>
      <c r="J96" s="164">
        <f>IF($O96="","",INDEX(Master!$J$2:$J$1001,$O96))</f>
      </c>
      <c r="K96" s="248">
        <f t="shared" si="2"/>
      </c>
      <c r="L96" s="164">
        <f>IF($O96="","",INDEX(Master!$K$2:$K$1001,$O96))</f>
      </c>
      <c r="M96" s="164">
        <f>IF($O96="","",INDEX(Master!$L$2:$L$1001,$O96))</f>
      </c>
      <c r="N96" s="164"/>
      <c r="O96">
        <f t="array" ref="O96">IFERROR(SMALL(IF(Master!$A$2:$A$1001="VRKP",ROW(Master!$A$2:$A$1001)-ROW(Master!$A$2)+1),92),"")</f>
      </c>
      <c r="P96">
        <f t="shared" si="3"/>
      </c>
    </row>
    <row r="97" spans="1:16" x14ac:dyDescent="0.25">
      <c r="A97" s="234">
        <f>IF($O97="","",INDEX(Master!$D$2:$D$1001,$O97))</f>
      </c>
      <c r="B97" s="239">
        <f>IF($O97="","",INDEX(Master!$B$2:$B$1001,$O97))</f>
      </c>
      <c r="C97" s="164">
        <f>IF($O97="","",INDEX(Master!$C$2:$C$1001,$O97))</f>
      </c>
      <c r="D97" s="164">
        <f>IF($O97="","",INDEX(Master!$A$2:$A$1001,$O97))</f>
      </c>
      <c r="E97" s="164">
        <f>IF($O97="","",INDEX(Master!$E$2:$E$1001,$O97))</f>
      </c>
      <c r="F97" s="164">
        <f>IF($O97="","",INDEX(Master!$F$2:$F$1001,$O97))</f>
      </c>
      <c r="G97" s="164">
        <f>IF($O97="","",INDEX(Master!$G$2:$G$1001,$O97))</f>
      </c>
      <c r="H97" s="164">
        <f>IF($O97="","",INDEX(Master!$H$2:$H$1001,$O97))</f>
      </c>
      <c r="I97" s="164">
        <f>IF($O97="","",INDEX(Master!$I$2:$I$1001,$O97))</f>
      </c>
      <c r="J97" s="164">
        <f>IF($O97="","",INDEX(Master!$J$2:$J$1001,$O97))</f>
      </c>
      <c r="K97" s="248">
        <f t="shared" si="2"/>
      </c>
      <c r="L97" s="164">
        <f>IF($O97="","",INDEX(Master!$K$2:$K$1001,$O97))</f>
      </c>
      <c r="M97" s="164">
        <f>IF($O97="","",INDEX(Master!$L$2:$L$1001,$O97))</f>
      </c>
      <c r="N97" s="164"/>
      <c r="O97">
        <f t="array" ref="O97">IFERROR(SMALL(IF(Master!$A$2:$A$1001="VRKP",ROW(Master!$A$2:$A$1001)-ROW(Master!$A$2)+1),93),"")</f>
      </c>
      <c r="P97">
        <f t="shared" si="3"/>
      </c>
    </row>
    <row r="98" spans="1:16" x14ac:dyDescent="0.25">
      <c r="A98" s="234">
        <f>IF($O98="","",INDEX(Master!$D$2:$D$1001,$O98))</f>
      </c>
      <c r="B98" s="239">
        <f>IF($O98="","",INDEX(Master!$B$2:$B$1001,$O98))</f>
      </c>
      <c r="C98" s="164">
        <f>IF($O98="","",INDEX(Master!$C$2:$C$1001,$O98))</f>
      </c>
      <c r="D98" s="164">
        <f>IF($O98="","",INDEX(Master!$A$2:$A$1001,$O98))</f>
      </c>
      <c r="E98" s="164">
        <f>IF($O98="","",INDEX(Master!$E$2:$E$1001,$O98))</f>
      </c>
      <c r="F98" s="164">
        <f>IF($O98="","",INDEX(Master!$F$2:$F$1001,$O98))</f>
      </c>
      <c r="G98" s="164">
        <f>IF($O98="","",INDEX(Master!$G$2:$G$1001,$O98))</f>
      </c>
      <c r="H98" s="164">
        <f>IF($O98="","",INDEX(Master!$H$2:$H$1001,$O98))</f>
      </c>
      <c r="I98" s="164">
        <f>IF($O98="","",INDEX(Master!$I$2:$I$1001,$O98))</f>
      </c>
      <c r="J98" s="164">
        <f>IF($O98="","",INDEX(Master!$J$2:$J$1001,$O98))</f>
      </c>
      <c r="K98" s="248">
        <f t="shared" si="2"/>
      </c>
      <c r="L98" s="164">
        <f>IF($O98="","",INDEX(Master!$K$2:$K$1001,$O98))</f>
      </c>
      <c r="M98" s="164">
        <f>IF($O98="","",INDEX(Master!$L$2:$L$1001,$O98))</f>
      </c>
      <c r="N98" s="164"/>
      <c r="O98">
        <f t="array" ref="O98">IFERROR(SMALL(IF(Master!$A$2:$A$1001="VRKP",ROW(Master!$A$2:$A$1001)-ROW(Master!$A$2)+1),94),"")</f>
      </c>
      <c r="P98">
        <f t="shared" si="3"/>
      </c>
    </row>
    <row r="99" spans="1:16" x14ac:dyDescent="0.25">
      <c r="A99" s="234">
        <f>IF($O99="","",INDEX(Master!$D$2:$D$1001,$O99))</f>
      </c>
      <c r="B99" s="239">
        <f>IF($O99="","",INDEX(Master!$B$2:$B$1001,$O99))</f>
      </c>
      <c r="C99" s="164">
        <f>IF($O99="","",INDEX(Master!$C$2:$C$1001,$O99))</f>
      </c>
      <c r="D99" s="164">
        <f>IF($O99="","",INDEX(Master!$A$2:$A$1001,$O99))</f>
      </c>
      <c r="E99" s="164">
        <f>IF($O99="","",INDEX(Master!$E$2:$E$1001,$O99))</f>
      </c>
      <c r="F99" s="164">
        <f>IF($O99="","",INDEX(Master!$F$2:$F$1001,$O99))</f>
      </c>
      <c r="G99" s="164">
        <f>IF($O99="","",INDEX(Master!$G$2:$G$1001,$O99))</f>
      </c>
      <c r="H99" s="164">
        <f>IF($O99="","",INDEX(Master!$H$2:$H$1001,$O99))</f>
      </c>
      <c r="I99" s="164">
        <f>IF($O99="","",INDEX(Master!$I$2:$I$1001,$O99))</f>
      </c>
      <c r="J99" s="164">
        <f>IF($O99="","",INDEX(Master!$J$2:$J$1001,$O99))</f>
      </c>
      <c r="K99" s="248">
        <f t="shared" si="2"/>
      </c>
      <c r="L99" s="164">
        <f>IF($O99="","",INDEX(Master!$K$2:$K$1001,$O99))</f>
      </c>
      <c r="M99" s="164">
        <f>IF($O99="","",INDEX(Master!$L$2:$L$1001,$O99))</f>
      </c>
      <c r="N99" s="164"/>
      <c r="O99">
        <f t="array" ref="O99">IFERROR(SMALL(IF(Master!$A$2:$A$1001="VRKP",ROW(Master!$A$2:$A$1001)-ROW(Master!$A$2)+1),95),"")</f>
      </c>
      <c r="P99">
        <f t="shared" si="3"/>
      </c>
    </row>
    <row r="100" spans="1:16" x14ac:dyDescent="0.25">
      <c r="A100" s="234">
        <f>IF($O100="","",INDEX(Master!$D$2:$D$1001,$O100))</f>
      </c>
      <c r="B100" s="239">
        <f>IF($O100="","",INDEX(Master!$B$2:$B$1001,$O100))</f>
      </c>
      <c r="C100" s="164">
        <f>IF($O100="","",INDEX(Master!$C$2:$C$1001,$O100))</f>
      </c>
      <c r="D100" s="164">
        <f>IF($O100="","",INDEX(Master!$A$2:$A$1001,$O100))</f>
      </c>
      <c r="E100" s="164">
        <f>IF($O100="","",INDEX(Master!$E$2:$E$1001,$O100))</f>
      </c>
      <c r="F100" s="164">
        <f>IF($O100="","",INDEX(Master!$F$2:$F$1001,$O100))</f>
      </c>
      <c r="G100" s="164">
        <f>IF($O100="","",INDEX(Master!$G$2:$G$1001,$O100))</f>
      </c>
      <c r="H100" s="164">
        <f>IF($O100="","",INDEX(Master!$H$2:$H$1001,$O100))</f>
      </c>
      <c r="I100" s="164">
        <f>IF($O100="","",INDEX(Master!$I$2:$I$1001,$O100))</f>
      </c>
      <c r="J100" s="164">
        <f>IF($O100="","",INDEX(Master!$J$2:$J$1001,$O100))</f>
      </c>
      <c r="K100" s="248">
        <f t="shared" si="2"/>
      </c>
      <c r="L100" s="164">
        <f>IF($O100="","",INDEX(Master!$K$2:$K$1001,$O100))</f>
      </c>
      <c r="M100" s="164">
        <f>IF($O100="","",INDEX(Master!$L$2:$L$1001,$O100))</f>
      </c>
      <c r="N100" s="164"/>
      <c r="O100">
        <f t="array" ref="O100">IFERROR(SMALL(IF(Master!$A$2:$A$1001="VRKP",ROW(Master!$A$2:$A$1001)-ROW(Master!$A$2)+1),96),"")</f>
      </c>
      <c r="P100">
        <f t="shared" si="3"/>
      </c>
    </row>
    <row r="101" spans="1:16" x14ac:dyDescent="0.25">
      <c r="A101" s="234">
        <f>IF($O101="","",INDEX(Master!$D$2:$D$1001,$O101))</f>
      </c>
      <c r="B101" s="239">
        <f>IF($O101="","",INDEX(Master!$B$2:$B$1001,$O101))</f>
      </c>
      <c r="C101" s="164">
        <f>IF($O101="","",INDEX(Master!$C$2:$C$1001,$O101))</f>
      </c>
      <c r="D101" s="164">
        <f>IF($O101="","",INDEX(Master!$A$2:$A$1001,$O101))</f>
      </c>
      <c r="E101" s="164">
        <f>IF($O101="","",INDEX(Master!$E$2:$E$1001,$O101))</f>
      </c>
      <c r="F101" s="164">
        <f>IF($O101="","",INDEX(Master!$F$2:$F$1001,$O101))</f>
      </c>
      <c r="G101" s="164">
        <f>IF($O101="","",INDEX(Master!$G$2:$G$1001,$O101))</f>
      </c>
      <c r="H101" s="164">
        <f>IF($O101="","",INDEX(Master!$H$2:$H$1001,$O101))</f>
      </c>
      <c r="I101" s="164">
        <f>IF($O101="","",INDEX(Master!$I$2:$I$1001,$O101))</f>
      </c>
      <c r="J101" s="164">
        <f>IF($O101="","",INDEX(Master!$J$2:$J$1001,$O101))</f>
      </c>
      <c r="K101" s="248">
        <f t="shared" si="2"/>
      </c>
      <c r="L101" s="164">
        <f>IF($O101="","",INDEX(Master!$K$2:$K$1001,$O101))</f>
      </c>
      <c r="M101" s="164">
        <f>IF($O101="","",INDEX(Master!$L$2:$L$1001,$O101))</f>
      </c>
      <c r="N101" s="164"/>
      <c r="O101">
        <f t="array" ref="O101">IFERROR(SMALL(IF(Master!$A$2:$A$1001="VRKP",ROW(Master!$A$2:$A$1001)-ROW(Master!$A$2)+1),97),"")</f>
      </c>
      <c r="P101">
        <f t="shared" si="3"/>
      </c>
    </row>
    <row r="102" spans="1:16" x14ac:dyDescent="0.25">
      <c r="A102" s="234">
        <f>IF($O102="","",INDEX(Master!$D$2:$D$1001,$O102))</f>
      </c>
      <c r="B102" s="239">
        <f>IF($O102="","",INDEX(Master!$B$2:$B$1001,$O102))</f>
      </c>
      <c r="C102" s="164">
        <f>IF($O102="","",INDEX(Master!$C$2:$C$1001,$O102))</f>
      </c>
      <c r="D102" s="164">
        <f>IF($O102="","",INDEX(Master!$A$2:$A$1001,$O102))</f>
      </c>
      <c r="E102" s="164">
        <f>IF($O102="","",INDEX(Master!$E$2:$E$1001,$O102))</f>
      </c>
      <c r="F102" s="164">
        <f>IF($O102="","",INDEX(Master!$F$2:$F$1001,$O102))</f>
      </c>
      <c r="G102" s="164">
        <f>IF($O102="","",INDEX(Master!$G$2:$G$1001,$O102))</f>
      </c>
      <c r="H102" s="164">
        <f>IF($O102="","",INDEX(Master!$H$2:$H$1001,$O102))</f>
      </c>
      <c r="I102" s="164">
        <f>IF($O102="","",INDEX(Master!$I$2:$I$1001,$O102))</f>
      </c>
      <c r="J102" s="164">
        <f>IF($O102="","",INDEX(Master!$J$2:$J$1001,$O102))</f>
      </c>
      <c r="K102" s="248">
        <f t="shared" si="2"/>
      </c>
      <c r="L102" s="164">
        <f>IF($O102="","",INDEX(Master!$K$2:$K$1001,$O102))</f>
      </c>
      <c r="M102" s="164">
        <f>IF($O102="","",INDEX(Master!$L$2:$L$1001,$O102))</f>
      </c>
      <c r="N102" s="164"/>
      <c r="O102">
        <f t="array" ref="O102">IFERROR(SMALL(IF(Master!$A$2:$A$1001="VRKP",ROW(Master!$A$2:$A$1001)-ROW(Master!$A$2)+1),98),"")</f>
      </c>
      <c r="P102">
        <f t="shared" si="3"/>
      </c>
    </row>
    <row r="103" spans="1:16" x14ac:dyDescent="0.25">
      <c r="A103" s="234">
        <f>IF($O103="","",INDEX(Master!$D$2:$D$1001,$O103))</f>
      </c>
      <c r="B103" s="239">
        <f>IF($O103="","",INDEX(Master!$B$2:$B$1001,$O103))</f>
      </c>
      <c r="C103" s="164">
        <f>IF($O103="","",INDEX(Master!$C$2:$C$1001,$O103))</f>
      </c>
      <c r="D103" s="164">
        <f>IF($O103="","",INDEX(Master!$A$2:$A$1001,$O103))</f>
      </c>
      <c r="E103" s="164">
        <f>IF($O103="","",INDEX(Master!$E$2:$E$1001,$O103))</f>
      </c>
      <c r="F103" s="164">
        <f>IF($O103="","",INDEX(Master!$F$2:$F$1001,$O103))</f>
      </c>
      <c r="G103" s="164">
        <f>IF($O103="","",INDEX(Master!$G$2:$G$1001,$O103))</f>
      </c>
      <c r="H103" s="164">
        <f>IF($O103="","",INDEX(Master!$H$2:$H$1001,$O103))</f>
      </c>
      <c r="I103" s="164">
        <f>IF($O103="","",INDEX(Master!$I$2:$I$1001,$O103))</f>
      </c>
      <c r="J103" s="164">
        <f>IF($O103="","",INDEX(Master!$J$2:$J$1001,$O103))</f>
      </c>
      <c r="K103" s="248">
        <f t="shared" si="2"/>
      </c>
      <c r="L103" s="164">
        <f>IF($O103="","",INDEX(Master!$K$2:$K$1001,$O103))</f>
      </c>
      <c r="M103" s="164">
        <f>IF($O103="","",INDEX(Master!$L$2:$L$1001,$O103))</f>
      </c>
      <c r="N103" s="164"/>
      <c r="O103">
        <f t="array" ref="O103">IFERROR(SMALL(IF(Master!$A$2:$A$1001="VRKP",ROW(Master!$A$2:$A$1001)-ROW(Master!$A$2)+1),99),"")</f>
      </c>
      <c r="P103">
        <f t="shared" si="3"/>
      </c>
    </row>
    <row r="104" spans="1:16" x14ac:dyDescent="0.25">
      <c r="A104" s="234">
        <f>IF($O104="","",INDEX(Master!$D$2:$D$1001,$O104))</f>
      </c>
      <c r="B104" s="239">
        <f>IF($O104="","",INDEX(Master!$B$2:$B$1001,$O104))</f>
      </c>
      <c r="C104" s="164">
        <f>IF($O104="","",INDEX(Master!$C$2:$C$1001,$O104))</f>
      </c>
      <c r="D104" s="164">
        <f>IF($O104="","",INDEX(Master!$A$2:$A$1001,$O104))</f>
      </c>
      <c r="E104" s="164">
        <f>IF($O104="","",INDEX(Master!$E$2:$E$1001,$O104))</f>
      </c>
      <c r="F104" s="164">
        <f>IF($O104="","",INDEX(Master!$F$2:$F$1001,$O104))</f>
      </c>
      <c r="G104" s="164">
        <f>IF($O104="","",INDEX(Master!$G$2:$G$1001,$O104))</f>
      </c>
      <c r="H104" s="164">
        <f>IF($O104="","",INDEX(Master!$H$2:$H$1001,$O104))</f>
      </c>
      <c r="I104" s="164">
        <f>IF($O104="","",INDEX(Master!$I$2:$I$1001,$O104))</f>
      </c>
      <c r="J104" s="164">
        <f>IF($O104="","",INDEX(Master!$J$2:$J$1001,$O104))</f>
      </c>
      <c r="K104" s="248">
        <f t="shared" si="2"/>
      </c>
      <c r="L104" s="164">
        <f>IF($O104="","",INDEX(Master!$K$2:$K$1001,$O104))</f>
      </c>
      <c r="M104" s="164">
        <f>IF($O104="","",INDEX(Master!$L$2:$L$1001,$O104))</f>
      </c>
      <c r="N104" s="164"/>
      <c r="O104">
        <f t="array" ref="O104">IFERROR(SMALL(IF(Master!$A$2:$A$1001="VRKP",ROW(Master!$A$2:$A$1001)-ROW(Master!$A$2)+1),100),"")</f>
      </c>
      <c r="P104">
        <f t="shared" si="3"/>
      </c>
    </row>
    <row r="105" spans="1:16" x14ac:dyDescent="0.25">
      <c r="A105" s="234">
        <f>IF($O105="","",INDEX(Master!$D$2:$D$1001,$O105))</f>
      </c>
      <c r="B105" s="239">
        <f>IF($O105="","",INDEX(Master!$B$2:$B$1001,$O105))</f>
      </c>
      <c r="C105" s="164">
        <f>IF($O105="","",INDEX(Master!$C$2:$C$1001,$O105))</f>
      </c>
      <c r="D105" s="164">
        <f>IF($O105="","",INDEX(Master!$A$2:$A$1001,$O105))</f>
      </c>
      <c r="E105" s="164">
        <f>IF($O105="","",INDEX(Master!$E$2:$E$1001,$O105))</f>
      </c>
      <c r="F105" s="164">
        <f>IF($O105="","",INDEX(Master!$F$2:$F$1001,$O105))</f>
      </c>
      <c r="G105" s="164">
        <f>IF($O105="","",INDEX(Master!$G$2:$G$1001,$O105))</f>
      </c>
      <c r="H105" s="164">
        <f>IF($O105="","",INDEX(Master!$H$2:$H$1001,$O105))</f>
      </c>
      <c r="I105" s="164">
        <f>IF($O105="","",INDEX(Master!$I$2:$I$1001,$O105))</f>
      </c>
      <c r="J105" s="164">
        <f>IF($O105="","",INDEX(Master!$J$2:$J$1001,$O105))</f>
      </c>
      <c r="K105" s="248">
        <f t="shared" si="2"/>
      </c>
      <c r="L105" s="164">
        <f>IF($O105="","",INDEX(Master!$K$2:$K$1001,$O105))</f>
      </c>
      <c r="M105" s="164">
        <f>IF($O105="","",INDEX(Master!$L$2:$L$1001,$O105))</f>
      </c>
      <c r="N105" s="164"/>
      <c r="O105">
        <f t="array" ref="O105">IFERROR(SMALL(IF(Master!$A$2:$A$1001="VRKP",ROW(Master!$A$2:$A$1001)-ROW(Master!$A$2)+1),101),"")</f>
      </c>
      <c r="P105">
        <f t="shared" si="3"/>
      </c>
    </row>
    <row r="106" spans="1:16" x14ac:dyDescent="0.25">
      <c r="A106" s="234">
        <f>IF($O106="","",INDEX(Master!$D$2:$D$1001,$O106))</f>
      </c>
      <c r="B106" s="239">
        <f>IF($O106="","",INDEX(Master!$B$2:$B$1001,$O106))</f>
      </c>
      <c r="C106" s="164">
        <f>IF($O106="","",INDEX(Master!$C$2:$C$1001,$O106))</f>
      </c>
      <c r="D106" s="164">
        <f>IF($O106="","",INDEX(Master!$A$2:$A$1001,$O106))</f>
      </c>
      <c r="E106" s="164">
        <f>IF($O106="","",INDEX(Master!$E$2:$E$1001,$O106))</f>
      </c>
      <c r="F106" s="164">
        <f>IF($O106="","",INDEX(Master!$F$2:$F$1001,$O106))</f>
      </c>
      <c r="G106" s="164">
        <f>IF($O106="","",INDEX(Master!$G$2:$G$1001,$O106))</f>
      </c>
      <c r="H106" s="164">
        <f>IF($O106="","",INDEX(Master!$H$2:$H$1001,$O106))</f>
      </c>
      <c r="I106" s="164">
        <f>IF($O106="","",INDEX(Master!$I$2:$I$1001,$O106))</f>
      </c>
      <c r="J106" s="164">
        <f>IF($O106="","",INDEX(Master!$J$2:$J$1001,$O106))</f>
      </c>
      <c r="K106" s="248">
        <f t="shared" si="2"/>
      </c>
      <c r="L106" s="164">
        <f>IF($O106="","",INDEX(Master!$K$2:$K$1001,$O106))</f>
      </c>
      <c r="M106" s="164">
        <f>IF($O106="","",INDEX(Master!$L$2:$L$1001,$O106))</f>
      </c>
      <c r="N106" s="164"/>
      <c r="O106">
        <f t="array" ref="O106">IFERROR(SMALL(IF(Master!$A$2:$A$1001="VRKP",ROW(Master!$A$2:$A$1001)-ROW(Master!$A$2)+1),102),"")</f>
      </c>
      <c r="P106">
        <f t="shared" si="3"/>
      </c>
    </row>
    <row r="107" spans="1:16" x14ac:dyDescent="0.25">
      <c r="A107" s="234">
        <f>IF($O107="","",INDEX(Master!$D$2:$D$1001,$O107))</f>
      </c>
      <c r="B107" s="239">
        <f>IF($O107="","",INDEX(Master!$B$2:$B$1001,$O107))</f>
      </c>
      <c r="C107" s="164">
        <f>IF($O107="","",INDEX(Master!$C$2:$C$1001,$O107))</f>
      </c>
      <c r="D107" s="164">
        <f>IF($O107="","",INDEX(Master!$A$2:$A$1001,$O107))</f>
      </c>
      <c r="E107" s="164">
        <f>IF($O107="","",INDEX(Master!$E$2:$E$1001,$O107))</f>
      </c>
      <c r="F107" s="164">
        <f>IF($O107="","",INDEX(Master!$F$2:$F$1001,$O107))</f>
      </c>
      <c r="G107" s="164">
        <f>IF($O107="","",INDEX(Master!$G$2:$G$1001,$O107))</f>
      </c>
      <c r="H107" s="164">
        <f>IF($O107="","",INDEX(Master!$H$2:$H$1001,$O107))</f>
      </c>
      <c r="I107" s="164">
        <f>IF($O107="","",INDEX(Master!$I$2:$I$1001,$O107))</f>
      </c>
      <c r="J107" s="164">
        <f>IF($O107="","",INDEX(Master!$J$2:$J$1001,$O107))</f>
      </c>
      <c r="K107" s="248">
        <f t="shared" si="2"/>
      </c>
      <c r="L107" s="164">
        <f>IF($O107="","",INDEX(Master!$K$2:$K$1001,$O107))</f>
      </c>
      <c r="M107" s="164">
        <f>IF($O107="","",INDEX(Master!$L$2:$L$1001,$O107))</f>
      </c>
      <c r="N107" s="164"/>
      <c r="O107">
        <f t="array" ref="O107">IFERROR(SMALL(IF(Master!$A$2:$A$1001="VRKP",ROW(Master!$A$2:$A$1001)-ROW(Master!$A$2)+1),103),"")</f>
      </c>
      <c r="P107">
        <f t="shared" si="3"/>
      </c>
    </row>
    <row r="108" spans="1:16" x14ac:dyDescent="0.25">
      <c r="A108" s="234">
        <f>IF($O108="","",INDEX(Master!$D$2:$D$1001,$O108))</f>
      </c>
      <c r="B108" s="239">
        <f>IF($O108="","",INDEX(Master!$B$2:$B$1001,$O108))</f>
      </c>
      <c r="C108" s="164">
        <f>IF($O108="","",INDEX(Master!$C$2:$C$1001,$O108))</f>
      </c>
      <c r="D108" s="164">
        <f>IF($O108="","",INDEX(Master!$A$2:$A$1001,$O108))</f>
      </c>
      <c r="E108" s="164">
        <f>IF($O108="","",INDEX(Master!$E$2:$E$1001,$O108))</f>
      </c>
      <c r="F108" s="164">
        <f>IF($O108="","",INDEX(Master!$F$2:$F$1001,$O108))</f>
      </c>
      <c r="G108" s="164">
        <f>IF($O108="","",INDEX(Master!$G$2:$G$1001,$O108))</f>
      </c>
      <c r="H108" s="164">
        <f>IF($O108="","",INDEX(Master!$H$2:$H$1001,$O108))</f>
      </c>
      <c r="I108" s="164">
        <f>IF($O108="","",INDEX(Master!$I$2:$I$1001,$O108))</f>
      </c>
      <c r="J108" s="164">
        <f>IF($O108="","",INDEX(Master!$J$2:$J$1001,$O108))</f>
      </c>
      <c r="K108" s="248">
        <f t="shared" si="2"/>
      </c>
      <c r="L108" s="164">
        <f>IF($O108="","",INDEX(Master!$K$2:$K$1001,$O108))</f>
      </c>
      <c r="M108" s="164">
        <f>IF($O108="","",INDEX(Master!$L$2:$L$1001,$O108))</f>
      </c>
      <c r="N108" s="164"/>
      <c r="O108">
        <f t="array" ref="O108">IFERROR(SMALL(IF(Master!$A$2:$A$1001="VRKP",ROW(Master!$A$2:$A$1001)-ROW(Master!$A$2)+1),104),"")</f>
      </c>
      <c r="P108">
        <f t="shared" si="3"/>
      </c>
    </row>
    <row r="109" spans="1:16" x14ac:dyDescent="0.25">
      <c r="A109" s="234">
        <f>IF($O109="","",INDEX(Master!$D$2:$D$1001,$O109))</f>
      </c>
      <c r="B109" s="239">
        <f>IF($O109="","",INDEX(Master!$B$2:$B$1001,$O109))</f>
      </c>
      <c r="C109" s="164">
        <f>IF($O109="","",INDEX(Master!$C$2:$C$1001,$O109))</f>
      </c>
      <c r="D109" s="164">
        <f>IF($O109="","",INDEX(Master!$A$2:$A$1001,$O109))</f>
      </c>
      <c r="E109" s="164">
        <f>IF($O109="","",INDEX(Master!$E$2:$E$1001,$O109))</f>
      </c>
      <c r="F109" s="164">
        <f>IF($O109="","",INDEX(Master!$F$2:$F$1001,$O109))</f>
      </c>
      <c r="G109" s="164">
        <f>IF($O109="","",INDEX(Master!$G$2:$G$1001,$O109))</f>
      </c>
      <c r="H109" s="164">
        <f>IF($O109="","",INDEX(Master!$H$2:$H$1001,$O109))</f>
      </c>
      <c r="I109" s="164">
        <f>IF($O109="","",INDEX(Master!$I$2:$I$1001,$O109))</f>
      </c>
      <c r="J109" s="164">
        <f>IF($O109="","",INDEX(Master!$J$2:$J$1001,$O109))</f>
      </c>
      <c r="K109" s="248">
        <f t="shared" si="2"/>
      </c>
      <c r="L109" s="164">
        <f>IF($O109="","",INDEX(Master!$K$2:$K$1001,$O109))</f>
      </c>
      <c r="M109" s="164">
        <f>IF($O109="","",INDEX(Master!$L$2:$L$1001,$O109))</f>
      </c>
      <c r="N109" s="164"/>
      <c r="O109">
        <f t="array" ref="O109">IFERROR(SMALL(IF(Master!$A$2:$A$1001="VRKP",ROW(Master!$A$2:$A$1001)-ROW(Master!$A$2)+1),105),"")</f>
      </c>
      <c r="P109">
        <f t="shared" si="3"/>
      </c>
    </row>
    <row r="110" spans="1:16" x14ac:dyDescent="0.25">
      <c r="A110" s="234">
        <f>IF($O110="","",INDEX(Master!$D$2:$D$1001,$O110))</f>
      </c>
      <c r="B110" s="239">
        <f>IF($O110="","",INDEX(Master!$B$2:$B$1001,$O110))</f>
      </c>
      <c r="C110" s="164">
        <f>IF($O110="","",INDEX(Master!$C$2:$C$1001,$O110))</f>
      </c>
      <c r="D110" s="164">
        <f>IF($O110="","",INDEX(Master!$A$2:$A$1001,$O110))</f>
      </c>
      <c r="E110" s="164">
        <f>IF($O110="","",INDEX(Master!$E$2:$E$1001,$O110))</f>
      </c>
      <c r="F110" s="164">
        <f>IF($O110="","",INDEX(Master!$F$2:$F$1001,$O110))</f>
      </c>
      <c r="G110" s="164">
        <f>IF($O110="","",INDEX(Master!$G$2:$G$1001,$O110))</f>
      </c>
      <c r="H110" s="164">
        <f>IF($O110="","",INDEX(Master!$H$2:$H$1001,$O110))</f>
      </c>
      <c r="I110" s="164">
        <f>IF($O110="","",INDEX(Master!$I$2:$I$1001,$O110))</f>
      </c>
      <c r="J110" s="164">
        <f>IF($O110="","",INDEX(Master!$J$2:$J$1001,$O110))</f>
      </c>
      <c r="K110" s="248">
        <f t="shared" si="2"/>
      </c>
      <c r="L110" s="164">
        <f>IF($O110="","",INDEX(Master!$K$2:$K$1001,$O110))</f>
      </c>
      <c r="M110" s="164">
        <f>IF($O110="","",INDEX(Master!$L$2:$L$1001,$O110))</f>
      </c>
      <c r="N110" s="164"/>
      <c r="O110">
        <f t="array" ref="O110">IFERROR(SMALL(IF(Master!$A$2:$A$1001="VRKP",ROW(Master!$A$2:$A$1001)-ROW(Master!$A$2)+1),106),"")</f>
      </c>
      <c r="P110">
        <f t="shared" si="3"/>
      </c>
    </row>
    <row r="111" spans="1:16" x14ac:dyDescent="0.25">
      <c r="A111" s="234">
        <f>IF($O111="","",INDEX(Master!$D$2:$D$1001,$O111))</f>
      </c>
      <c r="B111" s="239">
        <f>IF($O111="","",INDEX(Master!$B$2:$B$1001,$O111))</f>
      </c>
      <c r="C111" s="164">
        <f>IF($O111="","",INDEX(Master!$C$2:$C$1001,$O111))</f>
      </c>
      <c r="D111" s="164">
        <f>IF($O111="","",INDEX(Master!$A$2:$A$1001,$O111))</f>
      </c>
      <c r="E111" s="164">
        <f>IF($O111="","",INDEX(Master!$E$2:$E$1001,$O111))</f>
      </c>
      <c r="F111" s="164">
        <f>IF($O111="","",INDEX(Master!$F$2:$F$1001,$O111))</f>
      </c>
      <c r="G111" s="164">
        <f>IF($O111="","",INDEX(Master!$G$2:$G$1001,$O111))</f>
      </c>
      <c r="H111" s="164">
        <f>IF($O111="","",INDEX(Master!$H$2:$H$1001,$O111))</f>
      </c>
      <c r="I111" s="164">
        <f>IF($O111="","",INDEX(Master!$I$2:$I$1001,$O111))</f>
      </c>
      <c r="J111" s="164">
        <f>IF($O111="","",INDEX(Master!$J$2:$J$1001,$O111))</f>
      </c>
      <c r="K111" s="248">
        <f t="shared" si="2"/>
      </c>
      <c r="L111" s="164">
        <f>IF($O111="","",INDEX(Master!$K$2:$K$1001,$O111))</f>
      </c>
      <c r="M111" s="164">
        <f>IF($O111="","",INDEX(Master!$L$2:$L$1001,$O111))</f>
      </c>
      <c r="N111" s="164"/>
      <c r="O111">
        <f t="array" ref="O111">IFERROR(SMALL(IF(Master!$A$2:$A$1001="VRKP",ROW(Master!$A$2:$A$1001)-ROW(Master!$A$2)+1),107),"")</f>
      </c>
      <c r="P111">
        <f t="shared" si="3"/>
      </c>
    </row>
    <row r="112" spans="1:16" x14ac:dyDescent="0.25">
      <c r="A112" s="234">
        <f>IF($O112="","",INDEX(Master!$D$2:$D$1001,$O112))</f>
      </c>
      <c r="B112" s="239">
        <f>IF($O112="","",INDEX(Master!$B$2:$B$1001,$O112))</f>
      </c>
      <c r="C112" s="164">
        <f>IF($O112="","",INDEX(Master!$C$2:$C$1001,$O112))</f>
      </c>
      <c r="D112" s="164">
        <f>IF($O112="","",INDEX(Master!$A$2:$A$1001,$O112))</f>
      </c>
      <c r="E112" s="164">
        <f>IF($O112="","",INDEX(Master!$E$2:$E$1001,$O112))</f>
      </c>
      <c r="F112" s="164">
        <f>IF($O112="","",INDEX(Master!$F$2:$F$1001,$O112))</f>
      </c>
      <c r="G112" s="164">
        <f>IF($O112="","",INDEX(Master!$G$2:$G$1001,$O112))</f>
      </c>
      <c r="H112" s="164">
        <f>IF($O112="","",INDEX(Master!$H$2:$H$1001,$O112))</f>
      </c>
      <c r="I112" s="164">
        <f>IF($O112="","",INDEX(Master!$I$2:$I$1001,$O112))</f>
      </c>
      <c r="J112" s="164">
        <f>IF($O112="","",INDEX(Master!$J$2:$J$1001,$O112))</f>
      </c>
      <c r="K112" s="248">
        <f t="shared" si="2"/>
      </c>
      <c r="L112" s="164">
        <f>IF($O112="","",INDEX(Master!$K$2:$K$1001,$O112))</f>
      </c>
      <c r="M112" s="164">
        <f>IF($O112="","",INDEX(Master!$L$2:$L$1001,$O112))</f>
      </c>
      <c r="N112" s="164"/>
      <c r="O112">
        <f t="array" ref="O112">IFERROR(SMALL(IF(Master!$A$2:$A$1001="VRKP",ROW(Master!$A$2:$A$1001)-ROW(Master!$A$2)+1),108),"")</f>
      </c>
      <c r="P112">
        <f t="shared" si="3"/>
      </c>
    </row>
    <row r="113" spans="1:16" x14ac:dyDescent="0.25">
      <c r="A113" s="234">
        <f>IF($O113="","",INDEX(Master!$D$2:$D$1001,$O113))</f>
      </c>
      <c r="B113" s="239">
        <f>IF($O113="","",INDEX(Master!$B$2:$B$1001,$O113))</f>
      </c>
      <c r="C113" s="164">
        <f>IF($O113="","",INDEX(Master!$C$2:$C$1001,$O113))</f>
      </c>
      <c r="D113" s="164">
        <f>IF($O113="","",INDEX(Master!$A$2:$A$1001,$O113))</f>
      </c>
      <c r="E113" s="164">
        <f>IF($O113="","",INDEX(Master!$E$2:$E$1001,$O113))</f>
      </c>
      <c r="F113" s="164">
        <f>IF($O113="","",INDEX(Master!$F$2:$F$1001,$O113))</f>
      </c>
      <c r="G113" s="164">
        <f>IF($O113="","",INDEX(Master!$G$2:$G$1001,$O113))</f>
      </c>
      <c r="H113" s="164">
        <f>IF($O113="","",INDEX(Master!$H$2:$H$1001,$O113))</f>
      </c>
      <c r="I113" s="164">
        <f>IF($O113="","",INDEX(Master!$I$2:$I$1001,$O113))</f>
      </c>
      <c r="J113" s="164">
        <f>IF($O113="","",INDEX(Master!$J$2:$J$1001,$O113))</f>
      </c>
      <c r="K113" s="248">
        <f t="shared" si="2"/>
      </c>
      <c r="L113" s="164">
        <f>IF($O113="","",INDEX(Master!$K$2:$K$1001,$O113))</f>
      </c>
      <c r="M113" s="164">
        <f>IF($O113="","",INDEX(Master!$L$2:$L$1001,$O113))</f>
      </c>
      <c r="N113" s="164"/>
      <c r="O113">
        <f t="array" ref="O113">IFERROR(SMALL(IF(Master!$A$2:$A$1001="VRKP",ROW(Master!$A$2:$A$1001)-ROW(Master!$A$2)+1),109),"")</f>
      </c>
      <c r="P113">
        <f t="shared" si="3"/>
      </c>
    </row>
    <row r="114" spans="1:16" x14ac:dyDescent="0.25">
      <c r="A114" s="234">
        <f>IF($O114="","",INDEX(Master!$D$2:$D$1001,$O114))</f>
      </c>
      <c r="B114" s="239">
        <f>IF($O114="","",INDEX(Master!$B$2:$B$1001,$O114))</f>
      </c>
      <c r="C114" s="164">
        <f>IF($O114="","",INDEX(Master!$C$2:$C$1001,$O114))</f>
      </c>
      <c r="D114" s="164">
        <f>IF($O114="","",INDEX(Master!$A$2:$A$1001,$O114))</f>
      </c>
      <c r="E114" s="164">
        <f>IF($O114="","",INDEX(Master!$E$2:$E$1001,$O114))</f>
      </c>
      <c r="F114" s="164">
        <f>IF($O114="","",INDEX(Master!$F$2:$F$1001,$O114))</f>
      </c>
      <c r="G114" s="164">
        <f>IF($O114="","",INDEX(Master!$G$2:$G$1001,$O114))</f>
      </c>
      <c r="H114" s="164">
        <f>IF($O114="","",INDEX(Master!$H$2:$H$1001,$O114))</f>
      </c>
      <c r="I114" s="164">
        <f>IF($O114="","",INDEX(Master!$I$2:$I$1001,$O114))</f>
      </c>
      <c r="J114" s="164">
        <f>IF($O114="","",INDEX(Master!$J$2:$J$1001,$O114))</f>
      </c>
      <c r="K114" s="248">
        <f t="shared" si="2"/>
      </c>
      <c r="L114" s="164">
        <f>IF($O114="","",INDEX(Master!$K$2:$K$1001,$O114))</f>
      </c>
      <c r="M114" s="164">
        <f>IF($O114="","",INDEX(Master!$L$2:$L$1001,$O114))</f>
      </c>
      <c r="N114" s="164"/>
      <c r="O114">
        <f t="array" ref="O114">IFERROR(SMALL(IF(Master!$A$2:$A$1001="VRKP",ROW(Master!$A$2:$A$1001)-ROW(Master!$A$2)+1),110),"")</f>
      </c>
      <c r="P114">
        <f t="shared" si="3"/>
      </c>
    </row>
    <row r="115" spans="1:16" x14ac:dyDescent="0.25">
      <c r="A115" s="234">
        <f>IF($O115="","",INDEX(Master!$D$2:$D$1001,$O115))</f>
      </c>
      <c r="B115" s="239">
        <f>IF($O115="","",INDEX(Master!$B$2:$B$1001,$O115))</f>
      </c>
      <c r="C115" s="164">
        <f>IF($O115="","",INDEX(Master!$C$2:$C$1001,$O115))</f>
      </c>
      <c r="D115" s="164">
        <f>IF($O115="","",INDEX(Master!$A$2:$A$1001,$O115))</f>
      </c>
      <c r="E115" s="164">
        <f>IF($O115="","",INDEX(Master!$E$2:$E$1001,$O115))</f>
      </c>
      <c r="F115" s="164">
        <f>IF($O115="","",INDEX(Master!$F$2:$F$1001,$O115))</f>
      </c>
      <c r="G115" s="164">
        <f>IF($O115="","",INDEX(Master!$G$2:$G$1001,$O115))</f>
      </c>
      <c r="H115" s="164">
        <f>IF($O115="","",INDEX(Master!$H$2:$H$1001,$O115))</f>
      </c>
      <c r="I115" s="164">
        <f>IF($O115="","",INDEX(Master!$I$2:$I$1001,$O115))</f>
      </c>
      <c r="J115" s="164">
        <f>IF($O115="","",INDEX(Master!$J$2:$J$1001,$O115))</f>
      </c>
      <c r="K115" s="248">
        <f t="shared" si="2"/>
      </c>
      <c r="L115" s="164">
        <f>IF($O115="","",INDEX(Master!$K$2:$K$1001,$O115))</f>
      </c>
      <c r="M115" s="164">
        <f>IF($O115="","",INDEX(Master!$L$2:$L$1001,$O115))</f>
      </c>
      <c r="N115" s="164"/>
      <c r="O115">
        <f t="array" ref="O115">IFERROR(SMALL(IF(Master!$A$2:$A$1001="VRKP",ROW(Master!$A$2:$A$1001)-ROW(Master!$A$2)+1),111),"")</f>
      </c>
      <c r="P115">
        <f t="shared" si="3"/>
      </c>
    </row>
    <row r="116" spans="1:16" x14ac:dyDescent="0.25">
      <c r="A116" s="235">
        <f>IF($O116="","",INDEX(Master!$D$2:$D$1001,$O116))</f>
      </c>
      <c r="B116" s="236">
        <f>IF($O116="","",INDEX(Master!$B$2:$B$1001,$O116))</f>
      </c>
      <c r="C116">
        <f>IF($O116="","",INDEX(Master!$C$2:$C$1001,$O116))</f>
      </c>
      <c r="D116">
        <f>IF($O116="","",INDEX(Master!$A$2:$A$1001,$O116))</f>
      </c>
      <c r="E116">
        <f>IF($O116="","",INDEX(Master!$E$2:$E$1001,$O116))</f>
      </c>
      <c r="F116">
        <f>IF($O116="","",INDEX(Master!$F$2:$F$1001,$O116))</f>
      </c>
      <c r="G116">
        <f>IF($O116="","",INDEX(Master!$G$2:$G$1001,$O116))</f>
      </c>
      <c r="H116">
        <f>IF($O116="","",INDEX(Master!$H$2:$H$1001,$O116))</f>
      </c>
      <c r="I116">
        <f>IF($O116="","",INDEX(Master!$I$2:$I$1001,$O116))</f>
      </c>
      <c r="J116">
        <f>IF($O116="","",INDEX(Master!$J$2:$J$1001,$O116))</f>
      </c>
      <c r="K116" s="257">
        <f t="shared" si="2"/>
      </c>
      <c r="L116">
        <f>IF($O116="","",INDEX(Master!$K$2:$K$1001,$O116))</f>
      </c>
      <c r="M116">
        <f>IF($O116="","",INDEX(Master!$L$2:$L$1001,$O116))</f>
      </c>
      <c r="O116">
        <f t="array" ref="O116">IFERROR(SMALL(IF(Master!$A$2:$A$1001="VRKP",ROW(Master!$A$2:$A$1001)-ROW(Master!$A$2)+1),112),"")</f>
      </c>
      <c r="P116">
        <f t="shared" si="3"/>
      </c>
    </row>
    <row r="117" spans="1:16" x14ac:dyDescent="0.25">
      <c r="A117" s="235">
        <f>IF($O117="","",INDEX(Master!$D$2:$D$1001,$O117))</f>
      </c>
      <c r="B117" s="236">
        <f>IF($O117="","",INDEX(Master!$B$2:$B$1001,$O117))</f>
      </c>
      <c r="C117">
        <f>IF($O117="","",INDEX(Master!$C$2:$C$1001,$O117))</f>
      </c>
      <c r="D117">
        <f>IF($O117="","",INDEX(Master!$A$2:$A$1001,$O117))</f>
      </c>
      <c r="E117">
        <f>IF($O117="","",INDEX(Master!$E$2:$E$1001,$O117))</f>
      </c>
      <c r="F117">
        <f>IF($O117="","",INDEX(Master!$F$2:$F$1001,$O117))</f>
      </c>
      <c r="G117">
        <f>IF($O117="","",INDEX(Master!$G$2:$G$1001,$O117))</f>
      </c>
      <c r="H117">
        <f>IF($O117="","",INDEX(Master!$H$2:$H$1001,$O117))</f>
      </c>
      <c r="I117">
        <f>IF($O117="","",INDEX(Master!$I$2:$I$1001,$O117))</f>
      </c>
      <c r="J117">
        <f>IF($O117="","",INDEX(Master!$J$2:$J$1001,$O117))</f>
      </c>
      <c r="K117" s="257">
        <f t="shared" si="2"/>
      </c>
      <c r="L117">
        <f>IF($O117="","",INDEX(Master!$K$2:$K$1001,$O117))</f>
      </c>
      <c r="M117">
        <f>IF($O117="","",INDEX(Master!$L$2:$L$1001,$O117))</f>
      </c>
      <c r="O117">
        <f t="array" ref="O117">IFERROR(SMALL(IF(Master!$A$2:$A$1001="VRKP",ROW(Master!$A$2:$A$1001)-ROW(Master!$A$2)+1),113),"")</f>
      </c>
      <c r="P117">
        <f t="shared" si="3"/>
      </c>
    </row>
    <row r="118" spans="1:16" x14ac:dyDescent="0.25">
      <c r="A118" s="235">
        <f>IF($O118="","",INDEX(Master!$D$2:$D$1001,$O118))</f>
      </c>
      <c r="B118" s="236">
        <f>IF($O118="","",INDEX(Master!$B$2:$B$1001,$O118))</f>
      </c>
      <c r="C118">
        <f>IF($O118="","",INDEX(Master!$C$2:$C$1001,$O118))</f>
      </c>
      <c r="D118">
        <f>IF($O118="","",INDEX(Master!$A$2:$A$1001,$O118))</f>
      </c>
      <c r="E118">
        <f>IF($O118="","",INDEX(Master!$E$2:$E$1001,$O118))</f>
      </c>
      <c r="F118">
        <f>IF($O118="","",INDEX(Master!$F$2:$F$1001,$O118))</f>
      </c>
      <c r="G118">
        <f>IF($O118="","",INDEX(Master!$G$2:$G$1001,$O118))</f>
      </c>
      <c r="H118">
        <f>IF($O118="","",INDEX(Master!$H$2:$H$1001,$O118))</f>
      </c>
      <c r="I118">
        <f>IF($O118="","",INDEX(Master!$I$2:$I$1001,$O118))</f>
      </c>
      <c r="J118">
        <f>IF($O118="","",INDEX(Master!$J$2:$J$1001,$O118))</f>
      </c>
      <c r="K118" s="257">
        <f t="shared" si="2"/>
      </c>
      <c r="L118">
        <f>IF($O118="","",INDEX(Master!$K$2:$K$1001,$O118))</f>
      </c>
      <c r="M118">
        <f>IF($O118="","",INDEX(Master!$L$2:$L$1001,$O118))</f>
      </c>
      <c r="O118">
        <f t="array" ref="O118">IFERROR(SMALL(IF(Master!$A$2:$A$1001="VRKP",ROW(Master!$A$2:$A$1001)-ROW(Master!$A$2)+1),114),"")</f>
      </c>
      <c r="P118">
        <f t="shared" si="3"/>
      </c>
    </row>
    <row r="119" spans="1:16" x14ac:dyDescent="0.25">
      <c r="A119" s="235">
        <f>IF($O119="","",INDEX(Master!$D$2:$D$1001,$O119))</f>
      </c>
      <c r="B119" s="236">
        <f>IF($O119="","",INDEX(Master!$B$2:$B$1001,$O119))</f>
      </c>
      <c r="C119">
        <f>IF($O119="","",INDEX(Master!$C$2:$C$1001,$O119))</f>
      </c>
      <c r="D119">
        <f>IF($O119="","",INDEX(Master!$A$2:$A$1001,$O119))</f>
      </c>
      <c r="E119">
        <f>IF($O119="","",INDEX(Master!$E$2:$E$1001,$O119))</f>
      </c>
      <c r="F119">
        <f>IF($O119="","",INDEX(Master!$F$2:$F$1001,$O119))</f>
      </c>
      <c r="G119">
        <f>IF($O119="","",INDEX(Master!$G$2:$G$1001,$O119))</f>
      </c>
      <c r="H119">
        <f>IF($O119="","",INDEX(Master!$H$2:$H$1001,$O119))</f>
      </c>
      <c r="I119">
        <f>IF($O119="","",INDEX(Master!$I$2:$I$1001,$O119))</f>
      </c>
      <c r="J119">
        <f>IF($O119="","",INDEX(Master!$J$2:$J$1001,$O119))</f>
      </c>
      <c r="K119" s="257">
        <f t="shared" si="2"/>
      </c>
      <c r="L119">
        <f>IF($O119="","",INDEX(Master!$K$2:$K$1001,$O119))</f>
      </c>
      <c r="M119">
        <f>IF($O119="","",INDEX(Master!$L$2:$L$1001,$O119))</f>
      </c>
      <c r="O119">
        <f t="array" ref="O119">IFERROR(SMALL(IF(Master!$A$2:$A$1001="VRKP",ROW(Master!$A$2:$A$1001)-ROW(Master!$A$2)+1),115),"")</f>
      </c>
      <c r="P119">
        <f t="shared" si="3"/>
      </c>
    </row>
    <row r="120" spans="1:16" x14ac:dyDescent="0.25">
      <c r="A120" s="235">
        <f>IF($O120="","",INDEX(Master!$D$2:$D$1001,$O120))</f>
      </c>
      <c r="B120" s="236">
        <f>IF($O120="","",INDEX(Master!$B$2:$B$1001,$O120))</f>
      </c>
      <c r="C120">
        <f>IF($O120="","",INDEX(Master!$C$2:$C$1001,$O120))</f>
      </c>
      <c r="D120">
        <f>IF($O120="","",INDEX(Master!$A$2:$A$1001,$O120))</f>
      </c>
      <c r="E120">
        <f>IF($O120="","",INDEX(Master!$E$2:$E$1001,$O120))</f>
      </c>
      <c r="F120">
        <f>IF($O120="","",INDEX(Master!$F$2:$F$1001,$O120))</f>
      </c>
      <c r="G120">
        <f>IF($O120="","",INDEX(Master!$G$2:$G$1001,$O120))</f>
      </c>
      <c r="H120">
        <f>IF($O120="","",INDEX(Master!$H$2:$H$1001,$O120))</f>
      </c>
      <c r="I120">
        <f>IF($O120="","",INDEX(Master!$I$2:$I$1001,$O120))</f>
      </c>
      <c r="J120">
        <f>IF($O120="","",INDEX(Master!$J$2:$J$1001,$O120))</f>
      </c>
      <c r="K120" s="257">
        <f t="shared" si="2"/>
      </c>
      <c r="L120">
        <f>IF($O120="","",INDEX(Master!$K$2:$K$1001,$O120))</f>
      </c>
      <c r="M120">
        <f>IF($O120="","",INDEX(Master!$L$2:$L$1001,$O120))</f>
      </c>
      <c r="O120">
        <f t="array" ref="O120">IFERROR(SMALL(IF(Master!$A$2:$A$1001="VRKP",ROW(Master!$A$2:$A$1001)-ROW(Master!$A$2)+1),116),"")</f>
      </c>
      <c r="P120">
        <f t="shared" si="3"/>
      </c>
    </row>
    <row r="121" spans="1:16" x14ac:dyDescent="0.25">
      <c r="A121" s="235">
        <f>IF($O121="","",INDEX(Master!$D$2:$D$1001,$O121))</f>
      </c>
      <c r="B121" s="236">
        <f>IF($O121="","",INDEX(Master!$B$2:$B$1001,$O121))</f>
      </c>
      <c r="C121">
        <f>IF($O121="","",INDEX(Master!$C$2:$C$1001,$O121))</f>
      </c>
      <c r="D121">
        <f>IF($O121="","",INDEX(Master!$A$2:$A$1001,$O121))</f>
      </c>
      <c r="E121">
        <f>IF($O121="","",INDEX(Master!$E$2:$E$1001,$O121))</f>
      </c>
      <c r="F121">
        <f>IF($O121="","",INDEX(Master!$F$2:$F$1001,$O121))</f>
      </c>
      <c r="G121">
        <f>IF($O121="","",INDEX(Master!$G$2:$G$1001,$O121))</f>
      </c>
      <c r="H121">
        <f>IF($O121="","",INDEX(Master!$H$2:$H$1001,$O121))</f>
      </c>
      <c r="I121">
        <f>IF($O121="","",INDEX(Master!$I$2:$I$1001,$O121))</f>
      </c>
      <c r="J121">
        <f>IF($O121="","",INDEX(Master!$J$2:$J$1001,$O121))</f>
      </c>
      <c r="K121" s="257">
        <f t="shared" si="2"/>
      </c>
      <c r="L121">
        <f>IF($O121="","",INDEX(Master!$K$2:$K$1001,$O121))</f>
      </c>
      <c r="M121">
        <f>IF($O121="","",INDEX(Master!$L$2:$L$1001,$O121))</f>
      </c>
      <c r="O121">
        <f t="array" ref="O121">IFERROR(SMALL(IF(Master!$A$2:$A$1001="VRKP",ROW(Master!$A$2:$A$1001)-ROW(Master!$A$2)+1),117),"")</f>
      </c>
      <c r="P121">
        <f t="shared" si="3"/>
      </c>
    </row>
    <row r="122" spans="1:16" x14ac:dyDescent="0.25">
      <c r="A122" s="235">
        <f>IF($O122="","",INDEX(Master!$D$2:$D$1001,$O122))</f>
      </c>
      <c r="B122" s="236">
        <f>IF($O122="","",INDEX(Master!$B$2:$B$1001,$O122))</f>
      </c>
      <c r="C122">
        <f>IF($O122="","",INDEX(Master!$C$2:$C$1001,$O122))</f>
      </c>
      <c r="D122">
        <f>IF($O122="","",INDEX(Master!$A$2:$A$1001,$O122))</f>
      </c>
      <c r="E122">
        <f>IF($O122="","",INDEX(Master!$E$2:$E$1001,$O122))</f>
      </c>
      <c r="F122">
        <f>IF($O122="","",INDEX(Master!$F$2:$F$1001,$O122))</f>
      </c>
      <c r="G122">
        <f>IF($O122="","",INDEX(Master!$G$2:$G$1001,$O122))</f>
      </c>
      <c r="H122">
        <f>IF($O122="","",INDEX(Master!$H$2:$H$1001,$O122))</f>
      </c>
      <c r="I122">
        <f>IF($O122="","",INDEX(Master!$I$2:$I$1001,$O122))</f>
      </c>
      <c r="J122">
        <f>IF($O122="","",INDEX(Master!$J$2:$J$1001,$O122))</f>
      </c>
      <c r="K122" s="257">
        <f t="shared" si="2"/>
      </c>
      <c r="L122">
        <f>IF($O122="","",INDEX(Master!$K$2:$K$1001,$O122))</f>
      </c>
      <c r="M122">
        <f>IF($O122="","",INDEX(Master!$L$2:$L$1001,$O122))</f>
      </c>
      <c r="O122">
        <f t="array" ref="O122">IFERROR(SMALL(IF(Master!$A$2:$A$1001="VRKP",ROW(Master!$A$2:$A$1001)-ROW(Master!$A$2)+1),118),"")</f>
      </c>
      <c r="P122">
        <f t="shared" si="3"/>
      </c>
    </row>
    <row r="123" spans="1:16" x14ac:dyDescent="0.25">
      <c r="A123" s="235">
        <f>IF($O123="","",INDEX(Master!$D$2:$D$1001,$O123))</f>
      </c>
      <c r="B123" s="236">
        <f>IF($O123="","",INDEX(Master!$B$2:$B$1001,$O123))</f>
      </c>
      <c r="C123">
        <f>IF($O123="","",INDEX(Master!$C$2:$C$1001,$O123))</f>
      </c>
      <c r="D123">
        <f>IF($O123="","",INDEX(Master!$A$2:$A$1001,$O123))</f>
      </c>
      <c r="E123">
        <f>IF($O123="","",INDEX(Master!$E$2:$E$1001,$O123))</f>
      </c>
      <c r="F123">
        <f>IF($O123="","",INDEX(Master!$F$2:$F$1001,$O123))</f>
      </c>
      <c r="G123">
        <f>IF($O123="","",INDEX(Master!$G$2:$G$1001,$O123))</f>
      </c>
      <c r="H123">
        <f>IF($O123="","",INDEX(Master!$H$2:$H$1001,$O123))</f>
      </c>
      <c r="I123">
        <f>IF($O123="","",INDEX(Master!$I$2:$I$1001,$O123))</f>
      </c>
      <c r="J123">
        <f>IF($O123="","",INDEX(Master!$J$2:$J$1001,$O123))</f>
      </c>
      <c r="K123" s="257">
        <f t="shared" si="2"/>
      </c>
      <c r="L123">
        <f>IF($O123="","",INDEX(Master!$K$2:$K$1001,$O123))</f>
      </c>
      <c r="M123">
        <f>IF($O123="","",INDEX(Master!$L$2:$L$1001,$O123))</f>
      </c>
      <c r="O123">
        <f t="array" ref="O123">IFERROR(SMALL(IF(Master!$A$2:$A$1001="VRKP",ROW(Master!$A$2:$A$1001)-ROW(Master!$A$2)+1),119),"")</f>
      </c>
      <c r="P123">
        <f t="shared" si="3"/>
      </c>
    </row>
    <row r="124" spans="1:16" x14ac:dyDescent="0.25">
      <c r="A124" s="235">
        <f>IF($O124="","",INDEX(Master!$D$2:$D$1001,$O124))</f>
      </c>
      <c r="B124" s="236">
        <f>IF($O124="","",INDEX(Master!$B$2:$B$1001,$O124))</f>
      </c>
      <c r="C124">
        <f>IF($O124="","",INDEX(Master!$C$2:$C$1001,$O124))</f>
      </c>
      <c r="D124">
        <f>IF($O124="","",INDEX(Master!$A$2:$A$1001,$O124))</f>
      </c>
      <c r="E124">
        <f>IF($O124="","",INDEX(Master!$E$2:$E$1001,$O124))</f>
      </c>
      <c r="F124">
        <f>IF($O124="","",INDEX(Master!$F$2:$F$1001,$O124))</f>
      </c>
      <c r="G124">
        <f>IF($O124="","",INDEX(Master!$G$2:$G$1001,$O124))</f>
      </c>
      <c r="H124">
        <f>IF($O124="","",INDEX(Master!$H$2:$H$1001,$O124))</f>
      </c>
      <c r="I124">
        <f>IF($O124="","",INDEX(Master!$I$2:$I$1001,$O124))</f>
      </c>
      <c r="J124">
        <f>IF($O124="","",INDEX(Master!$J$2:$J$1001,$O124))</f>
      </c>
      <c r="K124" s="257">
        <f t="shared" si="2"/>
      </c>
      <c r="L124">
        <f>IF($O124="","",INDEX(Master!$K$2:$K$1001,$O124))</f>
      </c>
      <c r="M124">
        <f>IF($O124="","",INDEX(Master!$L$2:$L$1001,$O124))</f>
      </c>
      <c r="O124">
        <f t="array" ref="O124">IFERROR(SMALL(IF(Master!$A$2:$A$1001="VRKP",ROW(Master!$A$2:$A$1001)-ROW(Master!$A$2)+1),120),"")</f>
      </c>
      <c r="P124">
        <f t="shared" si="3"/>
      </c>
    </row>
    <row r="125" spans="1:16" x14ac:dyDescent="0.25">
      <c r="A125" s="235">
        <f>IF($O125="","",INDEX(Master!$D$2:$D$1001,$O125))</f>
      </c>
      <c r="B125" s="236">
        <f>IF($O125="","",INDEX(Master!$B$2:$B$1001,$O125))</f>
      </c>
      <c r="C125">
        <f>IF($O125="","",INDEX(Master!$C$2:$C$1001,$O125))</f>
      </c>
      <c r="D125">
        <f>IF($O125="","",INDEX(Master!$A$2:$A$1001,$O125))</f>
      </c>
      <c r="E125">
        <f>IF($O125="","",INDEX(Master!$E$2:$E$1001,$O125))</f>
      </c>
      <c r="F125">
        <f>IF($O125="","",INDEX(Master!$F$2:$F$1001,$O125))</f>
      </c>
      <c r="G125">
        <f>IF($O125="","",INDEX(Master!$G$2:$G$1001,$O125))</f>
      </c>
      <c r="H125">
        <f>IF($O125="","",INDEX(Master!$H$2:$H$1001,$O125))</f>
      </c>
      <c r="I125">
        <f>IF($O125="","",INDEX(Master!$I$2:$I$1001,$O125))</f>
      </c>
      <c r="J125">
        <f>IF($O125="","",INDEX(Master!$J$2:$J$1001,$O125))</f>
      </c>
      <c r="K125" s="257">
        <f t="shared" si="2"/>
      </c>
      <c r="L125">
        <f>IF($O125="","",INDEX(Master!$K$2:$K$1001,$O125))</f>
      </c>
      <c r="M125">
        <f>IF($O125="","",INDEX(Master!$L$2:$L$1001,$O125))</f>
      </c>
      <c r="O125">
        <f t="array" ref="O125">IFERROR(SMALL(IF(Master!$A$2:$A$1001="VRKP",ROW(Master!$A$2:$A$1001)-ROW(Master!$A$2)+1),121),"")</f>
      </c>
      <c r="P125">
        <f t="shared" si="3"/>
      </c>
    </row>
    <row r="126" spans="1:16" x14ac:dyDescent="0.25">
      <c r="A126" s="235">
        <f>IF($O126="","",INDEX(Master!$D$2:$D$1001,$O126))</f>
      </c>
      <c r="B126" s="236">
        <f>IF($O126="","",INDEX(Master!$B$2:$B$1001,$O126))</f>
      </c>
      <c r="C126">
        <f>IF($O126="","",INDEX(Master!$C$2:$C$1001,$O126))</f>
      </c>
      <c r="D126">
        <f>IF($O126="","",INDEX(Master!$A$2:$A$1001,$O126))</f>
      </c>
      <c r="E126">
        <f>IF($O126="","",INDEX(Master!$E$2:$E$1001,$O126))</f>
      </c>
      <c r="F126">
        <f>IF($O126="","",INDEX(Master!$F$2:$F$1001,$O126))</f>
      </c>
      <c r="G126">
        <f>IF($O126="","",INDEX(Master!$G$2:$G$1001,$O126))</f>
      </c>
      <c r="H126">
        <f>IF($O126="","",INDEX(Master!$H$2:$H$1001,$O126))</f>
      </c>
      <c r="I126">
        <f>IF($O126="","",INDEX(Master!$I$2:$I$1001,$O126))</f>
      </c>
      <c r="J126">
        <f>IF($O126="","",INDEX(Master!$J$2:$J$1001,$O126))</f>
      </c>
      <c r="K126" s="257">
        <f t="shared" si="2"/>
      </c>
      <c r="L126">
        <f>IF($O126="","",INDEX(Master!$K$2:$K$1001,$O126))</f>
      </c>
      <c r="M126">
        <f>IF($O126="","",INDEX(Master!$L$2:$L$1001,$O126))</f>
      </c>
      <c r="O126">
        <f t="array" ref="O126">IFERROR(SMALL(IF(Master!$A$2:$A$1001="VRKP",ROW(Master!$A$2:$A$1001)-ROW(Master!$A$2)+1),122),"")</f>
      </c>
      <c r="P126">
        <f t="shared" si="3"/>
      </c>
    </row>
    <row r="127" spans="1:16" x14ac:dyDescent="0.25">
      <c r="A127" s="235">
        <f>IF($O127="","",INDEX(Master!$D$2:$D$1001,$O127))</f>
      </c>
      <c r="B127" s="236">
        <f>IF($O127="","",INDEX(Master!$B$2:$B$1001,$O127))</f>
      </c>
      <c r="C127">
        <f>IF($O127="","",INDEX(Master!$C$2:$C$1001,$O127))</f>
      </c>
      <c r="D127">
        <f>IF($O127="","",INDEX(Master!$A$2:$A$1001,$O127))</f>
      </c>
      <c r="E127">
        <f>IF($O127="","",INDEX(Master!$E$2:$E$1001,$O127))</f>
      </c>
      <c r="F127">
        <f>IF($O127="","",INDEX(Master!$F$2:$F$1001,$O127))</f>
      </c>
      <c r="G127">
        <f>IF($O127="","",INDEX(Master!$G$2:$G$1001,$O127))</f>
      </c>
      <c r="H127">
        <f>IF($O127="","",INDEX(Master!$H$2:$H$1001,$O127))</f>
      </c>
      <c r="I127">
        <f>IF($O127="","",INDEX(Master!$I$2:$I$1001,$O127))</f>
      </c>
      <c r="J127">
        <f>IF($O127="","",INDEX(Master!$J$2:$J$1001,$O127))</f>
      </c>
      <c r="K127" s="257">
        <f t="shared" si="2"/>
      </c>
      <c r="L127">
        <f>IF($O127="","",INDEX(Master!$K$2:$K$1001,$O127))</f>
      </c>
      <c r="M127">
        <f>IF($O127="","",INDEX(Master!$L$2:$L$1001,$O127))</f>
      </c>
      <c r="O127">
        <f t="array" ref="O127">IFERROR(SMALL(IF(Master!$A$2:$A$1001="VRKP",ROW(Master!$A$2:$A$1001)-ROW(Master!$A$2)+1),123),"")</f>
      </c>
      <c r="P127">
        <f t="shared" si="3"/>
      </c>
    </row>
    <row r="128" spans="1:16" x14ac:dyDescent="0.25">
      <c r="A128" s="235">
        <f>IF($O128="","",INDEX(Master!$D$2:$D$1001,$O128))</f>
      </c>
      <c r="B128" s="236">
        <f>IF($O128="","",INDEX(Master!$B$2:$B$1001,$O128))</f>
      </c>
      <c r="C128">
        <f>IF($O128="","",INDEX(Master!$C$2:$C$1001,$O128))</f>
      </c>
      <c r="D128">
        <f>IF($O128="","",INDEX(Master!$A$2:$A$1001,$O128))</f>
      </c>
      <c r="E128">
        <f>IF($O128="","",INDEX(Master!$E$2:$E$1001,$O128))</f>
      </c>
      <c r="F128">
        <f>IF($O128="","",INDEX(Master!$F$2:$F$1001,$O128))</f>
      </c>
      <c r="G128">
        <f>IF($O128="","",INDEX(Master!$G$2:$G$1001,$O128))</f>
      </c>
      <c r="H128">
        <f>IF($O128="","",INDEX(Master!$H$2:$H$1001,$O128))</f>
      </c>
      <c r="I128">
        <f>IF($O128="","",INDEX(Master!$I$2:$I$1001,$O128))</f>
      </c>
      <c r="J128">
        <f>IF($O128="","",INDEX(Master!$J$2:$J$1001,$O128))</f>
      </c>
      <c r="K128" s="257">
        <f t="shared" si="2"/>
      </c>
      <c r="L128">
        <f>IF($O128="","",INDEX(Master!$K$2:$K$1001,$O128))</f>
      </c>
      <c r="M128">
        <f>IF($O128="","",INDEX(Master!$L$2:$L$1001,$O128))</f>
      </c>
      <c r="O128">
        <f t="array" ref="O128">IFERROR(SMALL(IF(Master!$A$2:$A$1001="VRKP",ROW(Master!$A$2:$A$1001)-ROW(Master!$A$2)+1),124),"")</f>
      </c>
      <c r="P128">
        <f t="shared" si="3"/>
      </c>
    </row>
    <row r="129" spans="1:16" x14ac:dyDescent="0.25">
      <c r="A129" s="235">
        <f>IF($O129="","",INDEX(Master!$D$2:$D$1001,$O129))</f>
      </c>
      <c r="B129" s="236">
        <f>IF($O129="","",INDEX(Master!$B$2:$B$1001,$O129))</f>
      </c>
      <c r="C129">
        <f>IF($O129="","",INDEX(Master!$C$2:$C$1001,$O129))</f>
      </c>
      <c r="D129">
        <f>IF($O129="","",INDEX(Master!$A$2:$A$1001,$O129))</f>
      </c>
      <c r="E129">
        <f>IF($O129="","",INDEX(Master!$E$2:$E$1001,$O129))</f>
      </c>
      <c r="F129">
        <f>IF($O129="","",INDEX(Master!$F$2:$F$1001,$O129))</f>
      </c>
      <c r="G129">
        <f>IF($O129="","",INDEX(Master!$G$2:$G$1001,$O129))</f>
      </c>
      <c r="H129">
        <f>IF($O129="","",INDEX(Master!$H$2:$H$1001,$O129))</f>
      </c>
      <c r="I129">
        <f>IF($O129="","",INDEX(Master!$I$2:$I$1001,$O129))</f>
      </c>
      <c r="J129">
        <f>IF($O129="","",INDEX(Master!$J$2:$J$1001,$O129))</f>
      </c>
      <c r="K129" s="257">
        <f t="shared" si="2"/>
      </c>
      <c r="L129">
        <f>IF($O129="","",INDEX(Master!$K$2:$K$1001,$O129))</f>
      </c>
      <c r="M129">
        <f>IF($O129="","",INDEX(Master!$L$2:$L$1001,$O129))</f>
      </c>
      <c r="O129">
        <f t="array" ref="O129">IFERROR(SMALL(IF(Master!$A$2:$A$1001="VRKP",ROW(Master!$A$2:$A$1001)-ROW(Master!$A$2)+1),125),"")</f>
      </c>
      <c r="P129">
        <f t="shared" si="3"/>
      </c>
    </row>
    <row r="130" spans="1:16" x14ac:dyDescent="0.25">
      <c r="A130" s="235">
        <f>IF($O130="","",INDEX(Master!$D$2:$D$1001,$O130))</f>
      </c>
      <c r="B130" s="236">
        <f>IF($O130="","",INDEX(Master!$B$2:$B$1001,$O130))</f>
      </c>
      <c r="C130">
        <f>IF($O130="","",INDEX(Master!$C$2:$C$1001,$O130))</f>
      </c>
      <c r="D130">
        <f>IF($O130="","",INDEX(Master!$A$2:$A$1001,$O130))</f>
      </c>
      <c r="E130">
        <f>IF($O130="","",INDEX(Master!$E$2:$E$1001,$O130))</f>
      </c>
      <c r="F130">
        <f>IF($O130="","",INDEX(Master!$F$2:$F$1001,$O130))</f>
      </c>
      <c r="G130">
        <f>IF($O130="","",INDEX(Master!$G$2:$G$1001,$O130))</f>
      </c>
      <c r="H130">
        <f>IF($O130="","",INDEX(Master!$H$2:$H$1001,$O130))</f>
      </c>
      <c r="I130">
        <f>IF($O130="","",INDEX(Master!$I$2:$I$1001,$O130))</f>
      </c>
      <c r="J130">
        <f>IF($O130="","",INDEX(Master!$J$2:$J$1001,$O130))</f>
      </c>
      <c r="K130" s="257">
        <f t="shared" si="2"/>
      </c>
      <c r="L130">
        <f>IF($O130="","",INDEX(Master!$K$2:$K$1001,$O130))</f>
      </c>
      <c r="M130">
        <f>IF($O130="","",INDEX(Master!$L$2:$L$1001,$O130))</f>
      </c>
      <c r="O130">
        <f t="array" ref="O130">IFERROR(SMALL(IF(Master!$A$2:$A$1001="VRKP",ROW(Master!$A$2:$A$1001)-ROW(Master!$A$2)+1),126),"")</f>
      </c>
      <c r="P130">
        <f t="shared" si="3"/>
      </c>
    </row>
    <row r="131" spans="1:16" x14ac:dyDescent="0.25">
      <c r="A131" s="235">
        <f>IF($O131="","",INDEX(Master!$D$2:$D$1001,$O131))</f>
      </c>
      <c r="B131" s="236">
        <f>IF($O131="","",INDEX(Master!$B$2:$B$1001,$O131))</f>
      </c>
      <c r="C131">
        <f>IF($O131="","",INDEX(Master!$C$2:$C$1001,$O131))</f>
      </c>
      <c r="D131">
        <f>IF($O131="","",INDEX(Master!$A$2:$A$1001,$O131))</f>
      </c>
      <c r="E131">
        <f>IF($O131="","",INDEX(Master!$E$2:$E$1001,$O131))</f>
      </c>
      <c r="F131">
        <f>IF($O131="","",INDEX(Master!$F$2:$F$1001,$O131))</f>
      </c>
      <c r="G131">
        <f>IF($O131="","",INDEX(Master!$G$2:$G$1001,$O131))</f>
      </c>
      <c r="H131">
        <f>IF($O131="","",INDEX(Master!$H$2:$H$1001,$O131))</f>
      </c>
      <c r="I131">
        <f>IF($O131="","",INDEX(Master!$I$2:$I$1001,$O131))</f>
      </c>
      <c r="J131">
        <f>IF($O131="","",INDEX(Master!$J$2:$J$1001,$O131))</f>
      </c>
      <c r="K131" s="257">
        <f t="shared" si="2"/>
      </c>
      <c r="L131">
        <f>IF($O131="","",INDEX(Master!$K$2:$K$1001,$O131))</f>
      </c>
      <c r="M131">
        <f>IF($O131="","",INDEX(Master!$L$2:$L$1001,$O131))</f>
      </c>
      <c r="O131">
        <f t="array" ref="O131">IFERROR(SMALL(IF(Master!$A$2:$A$1001="VRKP",ROW(Master!$A$2:$A$1001)-ROW(Master!$A$2)+1),127),"")</f>
      </c>
      <c r="P131">
        <f t="shared" si="3"/>
      </c>
    </row>
    <row r="132" spans="1:16" x14ac:dyDescent="0.25">
      <c r="A132" s="235">
        <f>IF($O132="","",INDEX(Master!$D$2:$D$1001,$O132))</f>
      </c>
      <c r="B132" s="236">
        <f>IF($O132="","",INDEX(Master!$B$2:$B$1001,$O132))</f>
      </c>
      <c r="C132">
        <f>IF($O132="","",INDEX(Master!$C$2:$C$1001,$O132))</f>
      </c>
      <c r="D132">
        <f>IF($O132="","",INDEX(Master!$A$2:$A$1001,$O132))</f>
      </c>
      <c r="E132">
        <f>IF($O132="","",INDEX(Master!$E$2:$E$1001,$O132))</f>
      </c>
      <c r="F132">
        <f>IF($O132="","",INDEX(Master!$F$2:$F$1001,$O132))</f>
      </c>
      <c r="G132">
        <f>IF($O132="","",INDEX(Master!$G$2:$G$1001,$O132))</f>
      </c>
      <c r="H132">
        <f>IF($O132="","",INDEX(Master!$H$2:$H$1001,$O132))</f>
      </c>
      <c r="I132">
        <f>IF($O132="","",INDEX(Master!$I$2:$I$1001,$O132))</f>
      </c>
      <c r="J132">
        <f>IF($O132="","",INDEX(Master!$J$2:$J$1001,$O132))</f>
      </c>
      <c r="K132" s="257">
        <f t="shared" si="2"/>
      </c>
      <c r="L132">
        <f>IF($O132="","",INDEX(Master!$K$2:$K$1001,$O132))</f>
      </c>
      <c r="M132">
        <f>IF($O132="","",INDEX(Master!$L$2:$L$1001,$O132))</f>
      </c>
      <c r="O132">
        <f t="array" ref="O132">IFERROR(SMALL(IF(Master!$A$2:$A$1001="VRKP",ROW(Master!$A$2:$A$1001)-ROW(Master!$A$2)+1),128),"")</f>
      </c>
      <c r="P132">
        <f t="shared" si="3"/>
      </c>
    </row>
    <row r="133" spans="1:16" x14ac:dyDescent="0.25">
      <c r="A133" s="235">
        <f>IF($O133="","",INDEX(Master!$D$2:$D$1001,$O133))</f>
      </c>
      <c r="B133" s="236">
        <f>IF($O133="","",INDEX(Master!$B$2:$B$1001,$O133))</f>
      </c>
      <c r="C133">
        <f>IF($O133="","",INDEX(Master!$C$2:$C$1001,$O133))</f>
      </c>
      <c r="D133">
        <f>IF($O133="","",INDEX(Master!$A$2:$A$1001,$O133))</f>
      </c>
      <c r="E133">
        <f>IF($O133="","",INDEX(Master!$E$2:$E$1001,$O133))</f>
      </c>
      <c r="F133">
        <f>IF($O133="","",INDEX(Master!$F$2:$F$1001,$O133))</f>
      </c>
      <c r="G133">
        <f>IF($O133="","",INDEX(Master!$G$2:$G$1001,$O133))</f>
      </c>
      <c r="H133">
        <f>IF($O133="","",INDEX(Master!$H$2:$H$1001,$O133))</f>
      </c>
      <c r="I133">
        <f>IF($O133="","",INDEX(Master!$I$2:$I$1001,$O133))</f>
      </c>
      <c r="J133">
        <f>IF($O133="","",INDEX(Master!$J$2:$J$1001,$O133))</f>
      </c>
      <c r="K133" s="257">
        <f t="shared" ref="K133:K196" si="4">IF(OR($O133="",$F133="",$F133=0),"",$H133/$F133)</f>
      </c>
      <c r="L133">
        <f>IF($O133="","",INDEX(Master!$K$2:$K$1001,$O133))</f>
      </c>
      <c r="M133">
        <f>IF($O133="","",INDEX(Master!$L$2:$L$1001,$O133))</f>
      </c>
      <c r="O133">
        <f t="array" ref="O133">IFERROR(SMALL(IF(Master!$A$2:$A$1001="VRKP",ROW(Master!$A$2:$A$1001)-ROW(Master!$A$2)+1),129),"")</f>
      </c>
      <c r="P133">
        <f t="shared" ref="P133:P196" si="5">IF($A133="",0,IF(OR(AND($E133&lt;&gt;"",OR($E133&gt;0.12)),AND($F133&lt;&gt;"",OR($F133&gt;0.05)),AND($G133&lt;&gt;"",OR($G133&gt;0.085)),AND($H133&lt;&gt;"",$H133&lt;0.5),AND($I133&lt;&gt;"",$I133&gt;120),AND($J133&lt;&gt;"",OR($J133&lt;0.08))),1,0))</f>
      </c>
    </row>
    <row r="134" spans="1:16" x14ac:dyDescent="0.25">
      <c r="A134" s="235">
        <f>IF($O134="","",INDEX(Master!$D$2:$D$1001,$O134))</f>
      </c>
      <c r="B134" s="236">
        <f>IF($O134="","",INDEX(Master!$B$2:$B$1001,$O134))</f>
      </c>
      <c r="C134">
        <f>IF($O134="","",INDEX(Master!$C$2:$C$1001,$O134))</f>
      </c>
      <c r="D134">
        <f>IF($O134="","",INDEX(Master!$A$2:$A$1001,$O134))</f>
      </c>
      <c r="E134">
        <f>IF($O134="","",INDEX(Master!$E$2:$E$1001,$O134))</f>
      </c>
      <c r="F134">
        <f>IF($O134="","",INDEX(Master!$F$2:$F$1001,$O134))</f>
      </c>
      <c r="G134">
        <f>IF($O134="","",INDEX(Master!$G$2:$G$1001,$O134))</f>
      </c>
      <c r="H134">
        <f>IF($O134="","",INDEX(Master!$H$2:$H$1001,$O134))</f>
      </c>
      <c r="I134">
        <f>IF($O134="","",INDEX(Master!$I$2:$I$1001,$O134))</f>
      </c>
      <c r="J134">
        <f>IF($O134="","",INDEX(Master!$J$2:$J$1001,$O134))</f>
      </c>
      <c r="K134">
        <f t="shared" si="4"/>
      </c>
      <c r="L134">
        <f>IF($O134="","",INDEX(Master!$K$2:$K$1001,$O134))</f>
      </c>
      <c r="M134">
        <f>IF($O134="","",INDEX(Master!$L$2:$L$1001,$O134))</f>
      </c>
      <c r="O134">
        <f t="array" ref="O134">IFERROR(SMALL(IF(Master!$A$2:$A$1001="VRKP",ROW(Master!$A$2:$A$1001)-ROW(Master!$A$2)+1),130),"")</f>
      </c>
      <c r="P134">
        <f t="shared" si="5"/>
      </c>
    </row>
    <row r="135" spans="1:16" x14ac:dyDescent="0.25">
      <c r="A135" s="235">
        <f>IF($O135="","",INDEX(Master!$D$2:$D$1001,$O135))</f>
      </c>
      <c r="B135" s="236">
        <f>IF($O135="","",INDEX(Master!$B$2:$B$1001,$O135))</f>
      </c>
      <c r="C135">
        <f>IF($O135="","",INDEX(Master!$C$2:$C$1001,$O135))</f>
      </c>
      <c r="D135">
        <f>IF($O135="","",INDEX(Master!$A$2:$A$1001,$O135))</f>
      </c>
      <c r="E135">
        <f>IF($O135="","",INDEX(Master!$E$2:$E$1001,$O135))</f>
      </c>
      <c r="F135">
        <f>IF($O135="","",INDEX(Master!$F$2:$F$1001,$O135))</f>
      </c>
      <c r="G135">
        <f>IF($O135="","",INDEX(Master!$G$2:$G$1001,$O135))</f>
      </c>
      <c r="H135">
        <f>IF($O135="","",INDEX(Master!$H$2:$H$1001,$O135))</f>
      </c>
      <c r="I135">
        <f>IF($O135="","",INDEX(Master!$I$2:$I$1001,$O135))</f>
      </c>
      <c r="J135">
        <f>IF($O135="","",INDEX(Master!$J$2:$J$1001,$O135))</f>
      </c>
      <c r="K135">
        <f t="shared" si="4"/>
      </c>
      <c r="L135">
        <f>IF($O135="","",INDEX(Master!$K$2:$K$1001,$O135))</f>
      </c>
      <c r="M135">
        <f>IF($O135="","",INDEX(Master!$L$2:$L$1001,$O135))</f>
      </c>
      <c r="O135">
        <f t="array" ref="O135">IFERROR(SMALL(IF(Master!$A$2:$A$1001="VRKP",ROW(Master!$A$2:$A$1001)-ROW(Master!$A$2)+1),131),"")</f>
      </c>
      <c r="P135">
        <f t="shared" si="5"/>
      </c>
    </row>
    <row r="136" spans="1:16" x14ac:dyDescent="0.25">
      <c r="A136" s="235">
        <f>IF($O136="","",INDEX(Master!$D$2:$D$1001,$O136))</f>
      </c>
      <c r="B136" s="236">
        <f>IF($O136="","",INDEX(Master!$B$2:$B$1001,$O136))</f>
      </c>
      <c r="C136">
        <f>IF($O136="","",INDEX(Master!$C$2:$C$1001,$O136))</f>
      </c>
      <c r="D136">
        <f>IF($O136="","",INDEX(Master!$A$2:$A$1001,$O136))</f>
      </c>
      <c r="E136">
        <f>IF($O136="","",INDEX(Master!$E$2:$E$1001,$O136))</f>
      </c>
      <c r="F136">
        <f>IF($O136="","",INDEX(Master!$F$2:$F$1001,$O136))</f>
      </c>
      <c r="G136">
        <f>IF($O136="","",INDEX(Master!$G$2:$G$1001,$O136))</f>
      </c>
      <c r="H136">
        <f>IF($O136="","",INDEX(Master!$H$2:$H$1001,$O136))</f>
      </c>
      <c r="I136">
        <f>IF($O136="","",INDEX(Master!$I$2:$I$1001,$O136))</f>
      </c>
      <c r="J136">
        <f>IF($O136="","",INDEX(Master!$J$2:$J$1001,$O136))</f>
      </c>
      <c r="K136">
        <f t="shared" si="4"/>
      </c>
      <c r="L136">
        <f>IF($O136="","",INDEX(Master!$K$2:$K$1001,$O136))</f>
      </c>
      <c r="M136">
        <f>IF($O136="","",INDEX(Master!$L$2:$L$1001,$O136))</f>
      </c>
      <c r="O136">
        <f t="array" ref="O136">IFERROR(SMALL(IF(Master!$A$2:$A$1001="VRKP",ROW(Master!$A$2:$A$1001)-ROW(Master!$A$2)+1),132),"")</f>
      </c>
      <c r="P136">
        <f t="shared" si="5"/>
      </c>
    </row>
    <row r="137" spans="1:16" x14ac:dyDescent="0.25">
      <c r="A137" s="235">
        <f>IF($O137="","",INDEX(Master!$D$2:$D$1001,$O137))</f>
      </c>
      <c r="B137" s="236">
        <f>IF($O137="","",INDEX(Master!$B$2:$B$1001,$O137))</f>
      </c>
      <c r="C137">
        <f>IF($O137="","",INDEX(Master!$C$2:$C$1001,$O137))</f>
      </c>
      <c r="D137">
        <f>IF($O137="","",INDEX(Master!$A$2:$A$1001,$O137))</f>
      </c>
      <c r="E137">
        <f>IF($O137="","",INDEX(Master!$E$2:$E$1001,$O137))</f>
      </c>
      <c r="F137">
        <f>IF($O137="","",INDEX(Master!$F$2:$F$1001,$O137))</f>
      </c>
      <c r="G137">
        <f>IF($O137="","",INDEX(Master!$G$2:$G$1001,$O137))</f>
      </c>
      <c r="H137">
        <f>IF($O137="","",INDEX(Master!$H$2:$H$1001,$O137))</f>
      </c>
      <c r="I137">
        <f>IF($O137="","",INDEX(Master!$I$2:$I$1001,$O137))</f>
      </c>
      <c r="J137">
        <f>IF($O137="","",INDEX(Master!$J$2:$J$1001,$O137))</f>
      </c>
      <c r="K137">
        <f t="shared" si="4"/>
      </c>
      <c r="L137">
        <f>IF($O137="","",INDEX(Master!$K$2:$K$1001,$O137))</f>
      </c>
      <c r="M137">
        <f>IF($O137="","",INDEX(Master!$L$2:$L$1001,$O137))</f>
      </c>
      <c r="O137">
        <f t="array" ref="O137">IFERROR(SMALL(IF(Master!$A$2:$A$1001="VRKP",ROW(Master!$A$2:$A$1001)-ROW(Master!$A$2)+1),133),"")</f>
      </c>
      <c r="P137">
        <f t="shared" si="5"/>
      </c>
    </row>
    <row r="138" spans="1:16" x14ac:dyDescent="0.25">
      <c r="A138" s="235">
        <f>IF($O138="","",INDEX(Master!$D$2:$D$1001,$O138))</f>
      </c>
      <c r="B138" s="236">
        <f>IF($O138="","",INDEX(Master!$B$2:$B$1001,$O138))</f>
      </c>
      <c r="C138">
        <f>IF($O138="","",INDEX(Master!$C$2:$C$1001,$O138))</f>
      </c>
      <c r="D138">
        <f>IF($O138="","",INDEX(Master!$A$2:$A$1001,$O138))</f>
      </c>
      <c r="E138">
        <f>IF($O138="","",INDEX(Master!$E$2:$E$1001,$O138))</f>
      </c>
      <c r="F138">
        <f>IF($O138="","",INDEX(Master!$F$2:$F$1001,$O138))</f>
      </c>
      <c r="G138">
        <f>IF($O138="","",INDEX(Master!$G$2:$G$1001,$O138))</f>
      </c>
      <c r="H138">
        <f>IF($O138="","",INDEX(Master!$H$2:$H$1001,$O138))</f>
      </c>
      <c r="I138">
        <f>IF($O138="","",INDEX(Master!$I$2:$I$1001,$O138))</f>
      </c>
      <c r="J138">
        <f>IF($O138="","",INDEX(Master!$J$2:$J$1001,$O138))</f>
      </c>
      <c r="K138">
        <f t="shared" si="4"/>
      </c>
      <c r="L138">
        <f>IF($O138="","",INDEX(Master!$K$2:$K$1001,$O138))</f>
      </c>
      <c r="M138">
        <f>IF($O138="","",INDEX(Master!$L$2:$L$1001,$O138))</f>
      </c>
      <c r="O138">
        <f t="array" ref="O138">IFERROR(SMALL(IF(Master!$A$2:$A$1001="VRKP",ROW(Master!$A$2:$A$1001)-ROW(Master!$A$2)+1),134),"")</f>
      </c>
      <c r="P138">
        <f t="shared" si="5"/>
      </c>
    </row>
    <row r="139" spans="1:16" x14ac:dyDescent="0.25">
      <c r="A139" s="235">
        <f>IF($O139="","",INDEX(Master!$D$2:$D$1001,$O139))</f>
      </c>
      <c r="B139" s="236">
        <f>IF($O139="","",INDEX(Master!$B$2:$B$1001,$O139))</f>
      </c>
      <c r="C139">
        <f>IF($O139="","",INDEX(Master!$C$2:$C$1001,$O139))</f>
      </c>
      <c r="D139">
        <f>IF($O139="","",INDEX(Master!$A$2:$A$1001,$O139))</f>
      </c>
      <c r="E139">
        <f>IF($O139="","",INDEX(Master!$E$2:$E$1001,$O139))</f>
      </c>
      <c r="F139">
        <f>IF($O139="","",INDEX(Master!$F$2:$F$1001,$O139))</f>
      </c>
      <c r="G139">
        <f>IF($O139="","",INDEX(Master!$G$2:$G$1001,$O139))</f>
      </c>
      <c r="H139">
        <f>IF($O139="","",INDEX(Master!$H$2:$H$1001,$O139))</f>
      </c>
      <c r="I139">
        <f>IF($O139="","",INDEX(Master!$I$2:$I$1001,$O139))</f>
      </c>
      <c r="J139">
        <f>IF($O139="","",INDEX(Master!$J$2:$J$1001,$O139))</f>
      </c>
      <c r="K139">
        <f t="shared" si="4"/>
      </c>
      <c r="L139">
        <f>IF($O139="","",INDEX(Master!$K$2:$K$1001,$O139))</f>
      </c>
      <c r="M139">
        <f>IF($O139="","",INDEX(Master!$L$2:$L$1001,$O139))</f>
      </c>
      <c r="O139">
        <f t="array" ref="O139">IFERROR(SMALL(IF(Master!$A$2:$A$1001="VRKP",ROW(Master!$A$2:$A$1001)-ROW(Master!$A$2)+1),135),"")</f>
      </c>
      <c r="P139">
        <f t="shared" si="5"/>
      </c>
    </row>
    <row r="140" spans="1:16" x14ac:dyDescent="0.25">
      <c r="A140" s="235">
        <f>IF($O140="","",INDEX(Master!$D$2:$D$1001,$O140))</f>
      </c>
      <c r="B140" s="236">
        <f>IF($O140="","",INDEX(Master!$B$2:$B$1001,$O140))</f>
      </c>
      <c r="C140">
        <f>IF($O140="","",INDEX(Master!$C$2:$C$1001,$O140))</f>
      </c>
      <c r="D140">
        <f>IF($O140="","",INDEX(Master!$A$2:$A$1001,$O140))</f>
      </c>
      <c r="E140">
        <f>IF($O140="","",INDEX(Master!$E$2:$E$1001,$O140))</f>
      </c>
      <c r="F140">
        <f>IF($O140="","",INDEX(Master!$F$2:$F$1001,$O140))</f>
      </c>
      <c r="G140">
        <f>IF($O140="","",INDEX(Master!$G$2:$G$1001,$O140))</f>
      </c>
      <c r="H140">
        <f>IF($O140="","",INDEX(Master!$H$2:$H$1001,$O140))</f>
      </c>
      <c r="I140">
        <f>IF($O140="","",INDEX(Master!$I$2:$I$1001,$O140))</f>
      </c>
      <c r="J140">
        <f>IF($O140="","",INDEX(Master!$J$2:$J$1001,$O140))</f>
      </c>
      <c r="K140">
        <f t="shared" si="4"/>
      </c>
      <c r="L140">
        <f>IF($O140="","",INDEX(Master!$K$2:$K$1001,$O140))</f>
      </c>
      <c r="M140">
        <f>IF($O140="","",INDEX(Master!$L$2:$L$1001,$O140))</f>
      </c>
      <c r="O140">
        <f t="array" ref="O140">IFERROR(SMALL(IF(Master!$A$2:$A$1001="VRKP",ROW(Master!$A$2:$A$1001)-ROW(Master!$A$2)+1),136),"")</f>
      </c>
      <c r="P140">
        <f t="shared" si="5"/>
      </c>
    </row>
    <row r="141" spans="1:16" x14ac:dyDescent="0.25">
      <c r="A141" s="235">
        <f>IF($O141="","",INDEX(Master!$D$2:$D$1001,$O141))</f>
      </c>
      <c r="B141" s="236">
        <f>IF($O141="","",INDEX(Master!$B$2:$B$1001,$O141))</f>
      </c>
      <c r="C141">
        <f>IF($O141="","",INDEX(Master!$C$2:$C$1001,$O141))</f>
      </c>
      <c r="D141">
        <f>IF($O141="","",INDEX(Master!$A$2:$A$1001,$O141))</f>
      </c>
      <c r="E141">
        <f>IF($O141="","",INDEX(Master!$E$2:$E$1001,$O141))</f>
      </c>
      <c r="F141">
        <f>IF($O141="","",INDEX(Master!$F$2:$F$1001,$O141))</f>
      </c>
      <c r="G141">
        <f>IF($O141="","",INDEX(Master!$G$2:$G$1001,$O141))</f>
      </c>
      <c r="H141">
        <f>IF($O141="","",INDEX(Master!$H$2:$H$1001,$O141))</f>
      </c>
      <c r="I141">
        <f>IF($O141="","",INDEX(Master!$I$2:$I$1001,$O141))</f>
      </c>
      <c r="J141">
        <f>IF($O141="","",INDEX(Master!$J$2:$J$1001,$O141))</f>
      </c>
      <c r="K141">
        <f t="shared" si="4"/>
      </c>
      <c r="L141">
        <f>IF($O141="","",INDEX(Master!$K$2:$K$1001,$O141))</f>
      </c>
      <c r="M141">
        <f>IF($O141="","",INDEX(Master!$L$2:$L$1001,$O141))</f>
      </c>
      <c r="O141">
        <f t="array" ref="O141">IFERROR(SMALL(IF(Master!$A$2:$A$1001="VRKP",ROW(Master!$A$2:$A$1001)-ROW(Master!$A$2)+1),137),"")</f>
      </c>
      <c r="P141">
        <f t="shared" si="5"/>
      </c>
    </row>
    <row r="142" spans="1:16" x14ac:dyDescent="0.25">
      <c r="A142" s="235">
        <f>IF($O142="","",INDEX(Master!$D$2:$D$1001,$O142))</f>
      </c>
      <c r="B142" s="236">
        <f>IF($O142="","",INDEX(Master!$B$2:$B$1001,$O142))</f>
      </c>
      <c r="C142">
        <f>IF($O142="","",INDEX(Master!$C$2:$C$1001,$O142))</f>
      </c>
      <c r="D142">
        <f>IF($O142="","",INDEX(Master!$A$2:$A$1001,$O142))</f>
      </c>
      <c r="E142">
        <f>IF($O142="","",INDEX(Master!$E$2:$E$1001,$O142))</f>
      </c>
      <c r="F142">
        <f>IF($O142="","",INDEX(Master!$F$2:$F$1001,$O142))</f>
      </c>
      <c r="G142">
        <f>IF($O142="","",INDEX(Master!$G$2:$G$1001,$O142))</f>
      </c>
      <c r="H142">
        <f>IF($O142="","",INDEX(Master!$H$2:$H$1001,$O142))</f>
      </c>
      <c r="I142">
        <f>IF($O142="","",INDEX(Master!$I$2:$I$1001,$O142))</f>
      </c>
      <c r="J142">
        <f>IF($O142="","",INDEX(Master!$J$2:$J$1001,$O142))</f>
      </c>
      <c r="K142">
        <f t="shared" si="4"/>
      </c>
      <c r="L142">
        <f>IF($O142="","",INDEX(Master!$K$2:$K$1001,$O142))</f>
      </c>
      <c r="M142">
        <f>IF($O142="","",INDEX(Master!$L$2:$L$1001,$O142))</f>
      </c>
      <c r="O142">
        <f t="array" ref="O142">IFERROR(SMALL(IF(Master!$A$2:$A$1001="VRKP",ROW(Master!$A$2:$A$1001)-ROW(Master!$A$2)+1),138),"")</f>
      </c>
      <c r="P142">
        <f t="shared" si="5"/>
      </c>
    </row>
    <row r="143" spans="1:16" x14ac:dyDescent="0.25">
      <c r="A143" s="235">
        <f>IF($O143="","",INDEX(Master!$D$2:$D$1001,$O143))</f>
      </c>
      <c r="B143" s="236">
        <f>IF($O143="","",INDEX(Master!$B$2:$B$1001,$O143))</f>
      </c>
      <c r="C143">
        <f>IF($O143="","",INDEX(Master!$C$2:$C$1001,$O143))</f>
      </c>
      <c r="D143">
        <f>IF($O143="","",INDEX(Master!$A$2:$A$1001,$O143))</f>
      </c>
      <c r="E143">
        <f>IF($O143="","",INDEX(Master!$E$2:$E$1001,$O143))</f>
      </c>
      <c r="F143">
        <f>IF($O143="","",INDEX(Master!$F$2:$F$1001,$O143))</f>
      </c>
      <c r="G143">
        <f>IF($O143="","",INDEX(Master!$G$2:$G$1001,$O143))</f>
      </c>
      <c r="H143">
        <f>IF($O143="","",INDEX(Master!$H$2:$H$1001,$O143))</f>
      </c>
      <c r="I143">
        <f>IF($O143="","",INDEX(Master!$I$2:$I$1001,$O143))</f>
      </c>
      <c r="J143">
        <f>IF($O143="","",INDEX(Master!$J$2:$J$1001,$O143))</f>
      </c>
      <c r="K143">
        <f t="shared" si="4"/>
      </c>
      <c r="L143">
        <f>IF($O143="","",INDEX(Master!$K$2:$K$1001,$O143))</f>
      </c>
      <c r="M143">
        <f>IF($O143="","",INDEX(Master!$L$2:$L$1001,$O143))</f>
      </c>
      <c r="O143">
        <f t="array" ref="O143">IFERROR(SMALL(IF(Master!$A$2:$A$1001="VRKP",ROW(Master!$A$2:$A$1001)-ROW(Master!$A$2)+1),139),"")</f>
      </c>
      <c r="P143">
        <f t="shared" si="5"/>
      </c>
    </row>
    <row r="144" spans="1:16" x14ac:dyDescent="0.25">
      <c r="A144" s="235">
        <f>IF($O144="","",INDEX(Master!$D$2:$D$1001,$O144))</f>
      </c>
      <c r="B144" s="236">
        <f>IF($O144="","",INDEX(Master!$B$2:$B$1001,$O144))</f>
      </c>
      <c r="C144">
        <f>IF($O144="","",INDEX(Master!$C$2:$C$1001,$O144))</f>
      </c>
      <c r="D144">
        <f>IF($O144="","",INDEX(Master!$A$2:$A$1001,$O144))</f>
      </c>
      <c r="E144">
        <f>IF($O144="","",INDEX(Master!$E$2:$E$1001,$O144))</f>
      </c>
      <c r="F144">
        <f>IF($O144="","",INDEX(Master!$F$2:$F$1001,$O144))</f>
      </c>
      <c r="G144">
        <f>IF($O144="","",INDEX(Master!$G$2:$G$1001,$O144))</f>
      </c>
      <c r="H144">
        <f>IF($O144="","",INDEX(Master!$H$2:$H$1001,$O144))</f>
      </c>
      <c r="I144">
        <f>IF($O144="","",INDEX(Master!$I$2:$I$1001,$O144))</f>
      </c>
      <c r="J144">
        <f>IF($O144="","",INDEX(Master!$J$2:$J$1001,$O144))</f>
      </c>
      <c r="K144">
        <f t="shared" si="4"/>
      </c>
      <c r="L144">
        <f>IF($O144="","",INDEX(Master!$K$2:$K$1001,$O144))</f>
      </c>
      <c r="M144">
        <f>IF($O144="","",INDEX(Master!$L$2:$L$1001,$O144))</f>
      </c>
      <c r="O144">
        <f t="array" ref="O144">IFERROR(SMALL(IF(Master!$A$2:$A$1001="VRKP",ROW(Master!$A$2:$A$1001)-ROW(Master!$A$2)+1),140),"")</f>
      </c>
      <c r="P144">
        <f t="shared" si="5"/>
      </c>
    </row>
    <row r="145" spans="1:16" x14ac:dyDescent="0.25">
      <c r="A145" s="235">
        <f>IF($O145="","",INDEX(Master!$D$2:$D$1001,$O145))</f>
      </c>
      <c r="B145" s="236">
        <f>IF($O145="","",INDEX(Master!$B$2:$B$1001,$O145))</f>
      </c>
      <c r="C145">
        <f>IF($O145="","",INDEX(Master!$C$2:$C$1001,$O145))</f>
      </c>
      <c r="D145">
        <f>IF($O145="","",INDEX(Master!$A$2:$A$1001,$O145))</f>
      </c>
      <c r="E145">
        <f>IF($O145="","",INDEX(Master!$E$2:$E$1001,$O145))</f>
      </c>
      <c r="F145">
        <f>IF($O145="","",INDEX(Master!$F$2:$F$1001,$O145))</f>
      </c>
      <c r="G145">
        <f>IF($O145="","",INDEX(Master!$G$2:$G$1001,$O145))</f>
      </c>
      <c r="H145">
        <f>IF($O145="","",INDEX(Master!$H$2:$H$1001,$O145))</f>
      </c>
      <c r="I145">
        <f>IF($O145="","",INDEX(Master!$I$2:$I$1001,$O145))</f>
      </c>
      <c r="J145">
        <f>IF($O145="","",INDEX(Master!$J$2:$J$1001,$O145))</f>
      </c>
      <c r="K145">
        <f t="shared" si="4"/>
      </c>
      <c r="L145">
        <f>IF($O145="","",INDEX(Master!$K$2:$K$1001,$O145))</f>
      </c>
      <c r="M145">
        <f>IF($O145="","",INDEX(Master!$L$2:$L$1001,$O145))</f>
      </c>
      <c r="O145">
        <f t="array" ref="O145">IFERROR(SMALL(IF(Master!$A$2:$A$1001="VRKP",ROW(Master!$A$2:$A$1001)-ROW(Master!$A$2)+1),141),"")</f>
      </c>
      <c r="P145">
        <f t="shared" si="5"/>
      </c>
    </row>
    <row r="146" spans="1:16" x14ac:dyDescent="0.25">
      <c r="A146" s="235">
        <f>IF($O146="","",INDEX(Master!$D$2:$D$1001,$O146))</f>
      </c>
      <c r="B146" s="236">
        <f>IF($O146="","",INDEX(Master!$B$2:$B$1001,$O146))</f>
      </c>
      <c r="C146">
        <f>IF($O146="","",INDEX(Master!$C$2:$C$1001,$O146))</f>
      </c>
      <c r="D146">
        <f>IF($O146="","",INDEX(Master!$A$2:$A$1001,$O146))</f>
      </c>
      <c r="E146">
        <f>IF($O146="","",INDEX(Master!$E$2:$E$1001,$O146))</f>
      </c>
      <c r="F146">
        <f>IF($O146="","",INDEX(Master!$F$2:$F$1001,$O146))</f>
      </c>
      <c r="G146">
        <f>IF($O146="","",INDEX(Master!$G$2:$G$1001,$O146))</f>
      </c>
      <c r="H146">
        <f>IF($O146="","",INDEX(Master!$H$2:$H$1001,$O146))</f>
      </c>
      <c r="I146">
        <f>IF($O146="","",INDEX(Master!$I$2:$I$1001,$O146))</f>
      </c>
      <c r="J146">
        <f>IF($O146="","",INDEX(Master!$J$2:$J$1001,$O146))</f>
      </c>
      <c r="K146">
        <f t="shared" si="4"/>
      </c>
      <c r="L146">
        <f>IF($O146="","",INDEX(Master!$K$2:$K$1001,$O146))</f>
      </c>
      <c r="M146">
        <f>IF($O146="","",INDEX(Master!$L$2:$L$1001,$O146))</f>
      </c>
      <c r="O146">
        <f t="array" ref="O146">IFERROR(SMALL(IF(Master!$A$2:$A$1001="VRKP",ROW(Master!$A$2:$A$1001)-ROW(Master!$A$2)+1),142),"")</f>
      </c>
      <c r="P146">
        <f t="shared" si="5"/>
      </c>
    </row>
    <row r="147" spans="1:16" x14ac:dyDescent="0.25">
      <c r="A147" s="235">
        <f>IF($O147="","",INDEX(Master!$D$2:$D$1001,$O147))</f>
      </c>
      <c r="B147" s="236">
        <f>IF($O147="","",INDEX(Master!$B$2:$B$1001,$O147))</f>
      </c>
      <c r="C147">
        <f>IF($O147="","",INDEX(Master!$C$2:$C$1001,$O147))</f>
      </c>
      <c r="D147">
        <f>IF($O147="","",INDEX(Master!$A$2:$A$1001,$O147))</f>
      </c>
      <c r="E147">
        <f>IF($O147="","",INDEX(Master!$E$2:$E$1001,$O147))</f>
      </c>
      <c r="F147">
        <f>IF($O147="","",INDEX(Master!$F$2:$F$1001,$O147))</f>
      </c>
      <c r="G147">
        <f>IF($O147="","",INDEX(Master!$G$2:$G$1001,$O147))</f>
      </c>
      <c r="H147">
        <f>IF($O147="","",INDEX(Master!$H$2:$H$1001,$O147))</f>
      </c>
      <c r="I147">
        <f>IF($O147="","",INDEX(Master!$I$2:$I$1001,$O147))</f>
      </c>
      <c r="J147">
        <f>IF($O147="","",INDEX(Master!$J$2:$J$1001,$O147))</f>
      </c>
      <c r="K147">
        <f t="shared" si="4"/>
      </c>
      <c r="L147">
        <f>IF($O147="","",INDEX(Master!$K$2:$K$1001,$O147))</f>
      </c>
      <c r="M147">
        <f>IF($O147="","",INDEX(Master!$L$2:$L$1001,$O147))</f>
      </c>
      <c r="O147">
        <f t="array" ref="O147">IFERROR(SMALL(IF(Master!$A$2:$A$1001="VRKP",ROW(Master!$A$2:$A$1001)-ROW(Master!$A$2)+1),143),"")</f>
      </c>
      <c r="P147">
        <f t="shared" si="5"/>
      </c>
    </row>
    <row r="148" spans="1:16" x14ac:dyDescent="0.25">
      <c r="A148" s="235">
        <f>IF($O148="","",INDEX(Master!$D$2:$D$1001,$O148))</f>
      </c>
      <c r="B148" s="236">
        <f>IF($O148="","",INDEX(Master!$B$2:$B$1001,$O148))</f>
      </c>
      <c r="C148">
        <f>IF($O148="","",INDEX(Master!$C$2:$C$1001,$O148))</f>
      </c>
      <c r="D148">
        <f>IF($O148="","",INDEX(Master!$A$2:$A$1001,$O148))</f>
      </c>
      <c r="E148">
        <f>IF($O148="","",INDEX(Master!$E$2:$E$1001,$O148))</f>
      </c>
      <c r="F148">
        <f>IF($O148="","",INDEX(Master!$F$2:$F$1001,$O148))</f>
      </c>
      <c r="G148">
        <f>IF($O148="","",INDEX(Master!$G$2:$G$1001,$O148))</f>
      </c>
      <c r="H148">
        <f>IF($O148="","",INDEX(Master!$H$2:$H$1001,$O148))</f>
      </c>
      <c r="I148">
        <f>IF($O148="","",INDEX(Master!$I$2:$I$1001,$O148))</f>
      </c>
      <c r="J148">
        <f>IF($O148="","",INDEX(Master!$J$2:$J$1001,$O148))</f>
      </c>
      <c r="K148">
        <f t="shared" si="4"/>
      </c>
      <c r="L148">
        <f>IF($O148="","",INDEX(Master!$K$2:$K$1001,$O148))</f>
      </c>
      <c r="M148">
        <f>IF($O148="","",INDEX(Master!$L$2:$L$1001,$O148))</f>
      </c>
      <c r="O148">
        <f t="array" ref="O148">IFERROR(SMALL(IF(Master!$A$2:$A$1001="VRKP",ROW(Master!$A$2:$A$1001)-ROW(Master!$A$2)+1),144),"")</f>
      </c>
      <c r="P148">
        <f t="shared" si="5"/>
      </c>
    </row>
    <row r="149" spans="1:16" x14ac:dyDescent="0.25">
      <c r="A149" s="235">
        <f>IF($O149="","",INDEX(Master!$D$2:$D$1001,$O149))</f>
      </c>
      <c r="B149" s="236">
        <f>IF($O149="","",INDEX(Master!$B$2:$B$1001,$O149))</f>
      </c>
      <c r="C149">
        <f>IF($O149="","",INDEX(Master!$C$2:$C$1001,$O149))</f>
      </c>
      <c r="D149">
        <f>IF($O149="","",INDEX(Master!$A$2:$A$1001,$O149))</f>
      </c>
      <c r="E149">
        <f>IF($O149="","",INDEX(Master!$E$2:$E$1001,$O149))</f>
      </c>
      <c r="F149">
        <f>IF($O149="","",INDEX(Master!$F$2:$F$1001,$O149))</f>
      </c>
      <c r="G149">
        <f>IF($O149="","",INDEX(Master!$G$2:$G$1001,$O149))</f>
      </c>
      <c r="H149">
        <f>IF($O149="","",INDEX(Master!$H$2:$H$1001,$O149))</f>
      </c>
      <c r="I149">
        <f>IF($O149="","",INDEX(Master!$I$2:$I$1001,$O149))</f>
      </c>
      <c r="J149">
        <f>IF($O149="","",INDEX(Master!$J$2:$J$1001,$O149))</f>
      </c>
      <c r="K149">
        <f t="shared" si="4"/>
      </c>
      <c r="L149">
        <f>IF($O149="","",INDEX(Master!$K$2:$K$1001,$O149))</f>
      </c>
      <c r="M149">
        <f>IF($O149="","",INDEX(Master!$L$2:$L$1001,$O149))</f>
      </c>
      <c r="O149">
        <f t="array" ref="O149">IFERROR(SMALL(IF(Master!$A$2:$A$1001="VRKP",ROW(Master!$A$2:$A$1001)-ROW(Master!$A$2)+1),145),"")</f>
      </c>
      <c r="P149">
        <f t="shared" si="5"/>
      </c>
    </row>
    <row r="150" spans="1:16" x14ac:dyDescent="0.25">
      <c r="A150" s="235">
        <f>IF($O150="","",INDEX(Master!$D$2:$D$1001,$O150))</f>
      </c>
      <c r="B150" s="236">
        <f>IF($O150="","",INDEX(Master!$B$2:$B$1001,$O150))</f>
      </c>
      <c r="C150">
        <f>IF($O150="","",INDEX(Master!$C$2:$C$1001,$O150))</f>
      </c>
      <c r="D150">
        <f>IF($O150="","",INDEX(Master!$A$2:$A$1001,$O150))</f>
      </c>
      <c r="E150">
        <f>IF($O150="","",INDEX(Master!$E$2:$E$1001,$O150))</f>
      </c>
      <c r="F150">
        <f>IF($O150="","",INDEX(Master!$F$2:$F$1001,$O150))</f>
      </c>
      <c r="G150">
        <f>IF($O150="","",INDEX(Master!$G$2:$G$1001,$O150))</f>
      </c>
      <c r="H150">
        <f>IF($O150="","",INDEX(Master!$H$2:$H$1001,$O150))</f>
      </c>
      <c r="I150">
        <f>IF($O150="","",INDEX(Master!$I$2:$I$1001,$O150))</f>
      </c>
      <c r="J150">
        <f>IF($O150="","",INDEX(Master!$J$2:$J$1001,$O150))</f>
      </c>
      <c r="K150">
        <f t="shared" si="4"/>
      </c>
      <c r="L150">
        <f>IF($O150="","",INDEX(Master!$K$2:$K$1001,$O150))</f>
      </c>
      <c r="M150">
        <f>IF($O150="","",INDEX(Master!$L$2:$L$1001,$O150))</f>
      </c>
      <c r="O150">
        <f t="array" ref="O150">IFERROR(SMALL(IF(Master!$A$2:$A$1001="VRKP",ROW(Master!$A$2:$A$1001)-ROW(Master!$A$2)+1),146),"")</f>
      </c>
      <c r="P150">
        <f t="shared" si="5"/>
      </c>
    </row>
    <row r="151" spans="1:16" x14ac:dyDescent="0.25">
      <c r="A151" s="235">
        <f>IF($O151="","",INDEX(Master!$D$2:$D$1001,$O151))</f>
      </c>
      <c r="B151" s="236">
        <f>IF($O151="","",INDEX(Master!$B$2:$B$1001,$O151))</f>
      </c>
      <c r="C151">
        <f>IF($O151="","",INDEX(Master!$C$2:$C$1001,$O151))</f>
      </c>
      <c r="D151">
        <f>IF($O151="","",INDEX(Master!$A$2:$A$1001,$O151))</f>
      </c>
      <c r="E151">
        <f>IF($O151="","",INDEX(Master!$E$2:$E$1001,$O151))</f>
      </c>
      <c r="F151">
        <f>IF($O151="","",INDEX(Master!$F$2:$F$1001,$O151))</f>
      </c>
      <c r="G151">
        <f>IF($O151="","",INDEX(Master!$G$2:$G$1001,$O151))</f>
      </c>
      <c r="H151">
        <f>IF($O151="","",INDEX(Master!$H$2:$H$1001,$O151))</f>
      </c>
      <c r="I151">
        <f>IF($O151="","",INDEX(Master!$I$2:$I$1001,$O151))</f>
      </c>
      <c r="J151">
        <f>IF($O151="","",INDEX(Master!$J$2:$J$1001,$O151))</f>
      </c>
      <c r="K151">
        <f t="shared" si="4"/>
      </c>
      <c r="L151">
        <f>IF($O151="","",INDEX(Master!$K$2:$K$1001,$O151))</f>
      </c>
      <c r="M151">
        <f>IF($O151="","",INDEX(Master!$L$2:$L$1001,$O151))</f>
      </c>
      <c r="O151">
        <f t="array" ref="O151">IFERROR(SMALL(IF(Master!$A$2:$A$1001="VRKP",ROW(Master!$A$2:$A$1001)-ROW(Master!$A$2)+1),147),"")</f>
      </c>
      <c r="P151">
        <f t="shared" si="5"/>
      </c>
    </row>
    <row r="152" spans="1:16" x14ac:dyDescent="0.25">
      <c r="A152" s="235">
        <f>IF($O152="","",INDEX(Master!$D$2:$D$1001,$O152))</f>
      </c>
      <c r="B152" s="236">
        <f>IF($O152="","",INDEX(Master!$B$2:$B$1001,$O152))</f>
      </c>
      <c r="C152">
        <f>IF($O152="","",INDEX(Master!$C$2:$C$1001,$O152))</f>
      </c>
      <c r="D152">
        <f>IF($O152="","",INDEX(Master!$A$2:$A$1001,$O152))</f>
      </c>
      <c r="E152">
        <f>IF($O152="","",INDEX(Master!$E$2:$E$1001,$O152))</f>
      </c>
      <c r="F152">
        <f>IF($O152="","",INDEX(Master!$F$2:$F$1001,$O152))</f>
      </c>
      <c r="G152">
        <f>IF($O152="","",INDEX(Master!$G$2:$G$1001,$O152))</f>
      </c>
      <c r="H152">
        <f>IF($O152="","",INDEX(Master!$H$2:$H$1001,$O152))</f>
      </c>
      <c r="I152">
        <f>IF($O152="","",INDEX(Master!$I$2:$I$1001,$O152))</f>
      </c>
      <c r="J152">
        <f>IF($O152="","",INDEX(Master!$J$2:$J$1001,$O152))</f>
      </c>
      <c r="K152">
        <f t="shared" si="4"/>
      </c>
      <c r="L152">
        <f>IF($O152="","",INDEX(Master!$K$2:$K$1001,$O152))</f>
      </c>
      <c r="M152">
        <f>IF($O152="","",INDEX(Master!$L$2:$L$1001,$O152))</f>
      </c>
      <c r="O152">
        <f t="array" ref="O152">IFERROR(SMALL(IF(Master!$A$2:$A$1001="VRKP",ROW(Master!$A$2:$A$1001)-ROW(Master!$A$2)+1),148),"")</f>
      </c>
      <c r="P152">
        <f t="shared" si="5"/>
      </c>
    </row>
    <row r="153" spans="1:16" x14ac:dyDescent="0.25">
      <c r="A153" s="235">
        <f>IF($O153="","",INDEX(Master!$D$2:$D$1001,$O153))</f>
      </c>
      <c r="B153" s="236">
        <f>IF($O153="","",INDEX(Master!$B$2:$B$1001,$O153))</f>
      </c>
      <c r="C153">
        <f>IF($O153="","",INDEX(Master!$C$2:$C$1001,$O153))</f>
      </c>
      <c r="D153">
        <f>IF($O153="","",INDEX(Master!$A$2:$A$1001,$O153))</f>
      </c>
      <c r="E153">
        <f>IF($O153="","",INDEX(Master!$E$2:$E$1001,$O153))</f>
      </c>
      <c r="F153">
        <f>IF($O153="","",INDEX(Master!$F$2:$F$1001,$O153))</f>
      </c>
      <c r="G153">
        <f>IF($O153="","",INDEX(Master!$G$2:$G$1001,$O153))</f>
      </c>
      <c r="H153">
        <f>IF($O153="","",INDEX(Master!$H$2:$H$1001,$O153))</f>
      </c>
      <c r="I153">
        <f>IF($O153="","",INDEX(Master!$I$2:$I$1001,$O153))</f>
      </c>
      <c r="J153">
        <f>IF($O153="","",INDEX(Master!$J$2:$J$1001,$O153))</f>
      </c>
      <c r="K153">
        <f t="shared" si="4"/>
      </c>
      <c r="L153">
        <f>IF($O153="","",INDEX(Master!$K$2:$K$1001,$O153))</f>
      </c>
      <c r="M153">
        <f>IF($O153="","",INDEX(Master!$L$2:$L$1001,$O153))</f>
      </c>
      <c r="O153">
        <f t="array" ref="O153">IFERROR(SMALL(IF(Master!$A$2:$A$1001="VRKP",ROW(Master!$A$2:$A$1001)-ROW(Master!$A$2)+1),149),"")</f>
      </c>
      <c r="P153">
        <f t="shared" si="5"/>
      </c>
    </row>
    <row r="154" spans="1:16" x14ac:dyDescent="0.25">
      <c r="A154" s="235">
        <f>IF($O154="","",INDEX(Master!$D$2:$D$1001,$O154))</f>
      </c>
      <c r="B154" s="236">
        <f>IF($O154="","",INDEX(Master!$B$2:$B$1001,$O154))</f>
      </c>
      <c r="C154">
        <f>IF($O154="","",INDEX(Master!$C$2:$C$1001,$O154))</f>
      </c>
      <c r="D154">
        <f>IF($O154="","",INDEX(Master!$A$2:$A$1001,$O154))</f>
      </c>
      <c r="E154">
        <f>IF($O154="","",INDEX(Master!$E$2:$E$1001,$O154))</f>
      </c>
      <c r="F154">
        <f>IF($O154="","",INDEX(Master!$F$2:$F$1001,$O154))</f>
      </c>
      <c r="G154">
        <f>IF($O154="","",INDEX(Master!$G$2:$G$1001,$O154))</f>
      </c>
      <c r="H154">
        <f>IF($O154="","",INDEX(Master!$H$2:$H$1001,$O154))</f>
      </c>
      <c r="I154">
        <f>IF($O154="","",INDEX(Master!$I$2:$I$1001,$O154))</f>
      </c>
      <c r="J154">
        <f>IF($O154="","",INDEX(Master!$J$2:$J$1001,$O154))</f>
      </c>
      <c r="K154">
        <f t="shared" si="4"/>
      </c>
      <c r="L154">
        <f>IF($O154="","",INDEX(Master!$K$2:$K$1001,$O154))</f>
      </c>
      <c r="M154">
        <f>IF($O154="","",INDEX(Master!$L$2:$L$1001,$O154))</f>
      </c>
      <c r="O154">
        <f t="array" ref="O154">IFERROR(SMALL(IF(Master!$A$2:$A$1001="VRKP",ROW(Master!$A$2:$A$1001)-ROW(Master!$A$2)+1),150),"")</f>
      </c>
      <c r="P154">
        <f t="shared" si="5"/>
      </c>
    </row>
    <row r="155" spans="1:16" x14ac:dyDescent="0.25">
      <c r="A155" s="235">
        <f>IF($O155="","",INDEX(Master!$D$2:$D$1001,$O155))</f>
      </c>
      <c r="B155" s="236">
        <f>IF($O155="","",INDEX(Master!$B$2:$B$1001,$O155))</f>
      </c>
      <c r="C155">
        <f>IF($O155="","",INDEX(Master!$C$2:$C$1001,$O155))</f>
      </c>
      <c r="D155">
        <f>IF($O155="","",INDEX(Master!$A$2:$A$1001,$O155))</f>
      </c>
      <c r="E155">
        <f>IF($O155="","",INDEX(Master!$E$2:$E$1001,$O155))</f>
      </c>
      <c r="F155">
        <f>IF($O155="","",INDEX(Master!$F$2:$F$1001,$O155))</f>
      </c>
      <c r="G155">
        <f>IF($O155="","",INDEX(Master!$G$2:$G$1001,$O155))</f>
      </c>
      <c r="H155">
        <f>IF($O155="","",INDEX(Master!$H$2:$H$1001,$O155))</f>
      </c>
      <c r="I155">
        <f>IF($O155="","",INDEX(Master!$I$2:$I$1001,$O155))</f>
      </c>
      <c r="J155">
        <f>IF($O155="","",INDEX(Master!$J$2:$J$1001,$O155))</f>
      </c>
      <c r="K155">
        <f t="shared" si="4"/>
      </c>
      <c r="L155">
        <f>IF($O155="","",INDEX(Master!$K$2:$K$1001,$O155))</f>
      </c>
      <c r="M155">
        <f>IF($O155="","",INDEX(Master!$L$2:$L$1001,$O155))</f>
      </c>
      <c r="O155">
        <f t="array" ref="O155">IFERROR(SMALL(IF(Master!$A$2:$A$1001="VRKP",ROW(Master!$A$2:$A$1001)-ROW(Master!$A$2)+1),151),"")</f>
      </c>
      <c r="P155">
        <f t="shared" si="5"/>
      </c>
    </row>
    <row r="156" spans="1:16" x14ac:dyDescent="0.25">
      <c r="A156" s="235">
        <f>IF($O156="","",INDEX(Master!$D$2:$D$1001,$O156))</f>
      </c>
      <c r="B156" s="236">
        <f>IF($O156="","",INDEX(Master!$B$2:$B$1001,$O156))</f>
      </c>
      <c r="C156">
        <f>IF($O156="","",INDEX(Master!$C$2:$C$1001,$O156))</f>
      </c>
      <c r="D156">
        <f>IF($O156="","",INDEX(Master!$A$2:$A$1001,$O156))</f>
      </c>
      <c r="E156">
        <f>IF($O156="","",INDEX(Master!$E$2:$E$1001,$O156))</f>
      </c>
      <c r="F156">
        <f>IF($O156="","",INDEX(Master!$F$2:$F$1001,$O156))</f>
      </c>
      <c r="G156">
        <f>IF($O156="","",INDEX(Master!$G$2:$G$1001,$O156))</f>
      </c>
      <c r="H156">
        <f>IF($O156="","",INDEX(Master!$H$2:$H$1001,$O156))</f>
      </c>
      <c r="I156">
        <f>IF($O156="","",INDEX(Master!$I$2:$I$1001,$O156))</f>
      </c>
      <c r="J156">
        <f>IF($O156="","",INDEX(Master!$J$2:$J$1001,$O156))</f>
      </c>
      <c r="K156">
        <f t="shared" si="4"/>
      </c>
      <c r="L156">
        <f>IF($O156="","",INDEX(Master!$K$2:$K$1001,$O156))</f>
      </c>
      <c r="M156">
        <f>IF($O156="","",INDEX(Master!$L$2:$L$1001,$O156))</f>
      </c>
      <c r="O156">
        <f t="array" ref="O156">IFERROR(SMALL(IF(Master!$A$2:$A$1001="VRKP",ROW(Master!$A$2:$A$1001)-ROW(Master!$A$2)+1),152),"")</f>
      </c>
      <c r="P156">
        <f t="shared" si="5"/>
      </c>
    </row>
    <row r="157" spans="1:16" x14ac:dyDescent="0.25">
      <c r="A157" s="235">
        <f>IF($O157="","",INDEX(Master!$D$2:$D$1001,$O157))</f>
      </c>
      <c r="B157" s="236">
        <f>IF($O157="","",INDEX(Master!$B$2:$B$1001,$O157))</f>
      </c>
      <c r="C157">
        <f>IF($O157="","",INDEX(Master!$C$2:$C$1001,$O157))</f>
      </c>
      <c r="D157">
        <f>IF($O157="","",INDEX(Master!$A$2:$A$1001,$O157))</f>
      </c>
      <c r="E157">
        <f>IF($O157="","",INDEX(Master!$E$2:$E$1001,$O157))</f>
      </c>
      <c r="F157">
        <f>IF($O157="","",INDEX(Master!$F$2:$F$1001,$O157))</f>
      </c>
      <c r="G157">
        <f>IF($O157="","",INDEX(Master!$G$2:$G$1001,$O157))</f>
      </c>
      <c r="H157">
        <f>IF($O157="","",INDEX(Master!$H$2:$H$1001,$O157))</f>
      </c>
      <c r="I157">
        <f>IF($O157="","",INDEX(Master!$I$2:$I$1001,$O157))</f>
      </c>
      <c r="J157">
        <f>IF($O157="","",INDEX(Master!$J$2:$J$1001,$O157))</f>
      </c>
      <c r="K157">
        <f t="shared" si="4"/>
      </c>
      <c r="L157">
        <f>IF($O157="","",INDEX(Master!$K$2:$K$1001,$O157))</f>
      </c>
      <c r="M157">
        <f>IF($O157="","",INDEX(Master!$L$2:$L$1001,$O157))</f>
      </c>
      <c r="O157">
        <f t="array" ref="O157">IFERROR(SMALL(IF(Master!$A$2:$A$1001="VRKP",ROW(Master!$A$2:$A$1001)-ROW(Master!$A$2)+1),153),"")</f>
      </c>
      <c r="P157">
        <f t="shared" si="5"/>
      </c>
    </row>
    <row r="158" spans="1:16" x14ac:dyDescent="0.25">
      <c r="A158" s="235">
        <f>IF($O158="","",INDEX(Master!$D$2:$D$1001,$O158))</f>
      </c>
      <c r="B158" s="236">
        <f>IF($O158="","",INDEX(Master!$B$2:$B$1001,$O158))</f>
      </c>
      <c r="C158">
        <f>IF($O158="","",INDEX(Master!$C$2:$C$1001,$O158))</f>
      </c>
      <c r="D158">
        <f>IF($O158="","",INDEX(Master!$A$2:$A$1001,$O158))</f>
      </c>
      <c r="E158">
        <f>IF($O158="","",INDEX(Master!$E$2:$E$1001,$O158))</f>
      </c>
      <c r="F158">
        <f>IF($O158="","",INDEX(Master!$F$2:$F$1001,$O158))</f>
      </c>
      <c r="G158">
        <f>IF($O158="","",INDEX(Master!$G$2:$G$1001,$O158))</f>
      </c>
      <c r="H158">
        <f>IF($O158="","",INDEX(Master!$H$2:$H$1001,$O158))</f>
      </c>
      <c r="I158">
        <f>IF($O158="","",INDEX(Master!$I$2:$I$1001,$O158))</f>
      </c>
      <c r="J158">
        <f>IF($O158="","",INDEX(Master!$J$2:$J$1001,$O158))</f>
      </c>
      <c r="K158">
        <f t="shared" si="4"/>
      </c>
      <c r="L158">
        <f>IF($O158="","",INDEX(Master!$K$2:$K$1001,$O158))</f>
      </c>
      <c r="M158">
        <f>IF($O158="","",INDEX(Master!$L$2:$L$1001,$O158))</f>
      </c>
      <c r="O158">
        <f t="array" ref="O158">IFERROR(SMALL(IF(Master!$A$2:$A$1001="VRKP",ROW(Master!$A$2:$A$1001)-ROW(Master!$A$2)+1),154),"")</f>
      </c>
      <c r="P158">
        <f t="shared" si="5"/>
      </c>
    </row>
    <row r="159" spans="1:16" x14ac:dyDescent="0.25">
      <c r="A159" s="235">
        <f>IF($O159="","",INDEX(Master!$D$2:$D$1001,$O159))</f>
      </c>
      <c r="B159" s="236">
        <f>IF($O159="","",INDEX(Master!$B$2:$B$1001,$O159))</f>
      </c>
      <c r="C159">
        <f>IF($O159="","",INDEX(Master!$C$2:$C$1001,$O159))</f>
      </c>
      <c r="D159">
        <f>IF($O159="","",INDEX(Master!$A$2:$A$1001,$O159))</f>
      </c>
      <c r="E159">
        <f>IF($O159="","",INDEX(Master!$E$2:$E$1001,$O159))</f>
      </c>
      <c r="F159">
        <f>IF($O159="","",INDEX(Master!$F$2:$F$1001,$O159))</f>
      </c>
      <c r="G159">
        <f>IF($O159="","",INDEX(Master!$G$2:$G$1001,$O159))</f>
      </c>
      <c r="H159">
        <f>IF($O159="","",INDEX(Master!$H$2:$H$1001,$O159))</f>
      </c>
      <c r="I159">
        <f>IF($O159="","",INDEX(Master!$I$2:$I$1001,$O159))</f>
      </c>
      <c r="J159">
        <f>IF($O159="","",INDEX(Master!$J$2:$J$1001,$O159))</f>
      </c>
      <c r="K159">
        <f t="shared" si="4"/>
      </c>
      <c r="L159">
        <f>IF($O159="","",INDEX(Master!$K$2:$K$1001,$O159))</f>
      </c>
      <c r="M159">
        <f>IF($O159="","",INDEX(Master!$L$2:$L$1001,$O159))</f>
      </c>
      <c r="O159">
        <f t="array" ref="O159">IFERROR(SMALL(IF(Master!$A$2:$A$1001="VRKP",ROW(Master!$A$2:$A$1001)-ROW(Master!$A$2)+1),155),"")</f>
      </c>
      <c r="P159">
        <f t="shared" si="5"/>
      </c>
    </row>
    <row r="160" spans="1:16" x14ac:dyDescent="0.25">
      <c r="A160" s="235">
        <f>IF($O160="","",INDEX(Master!$D$2:$D$1001,$O160))</f>
      </c>
      <c r="B160" s="236">
        <f>IF($O160="","",INDEX(Master!$B$2:$B$1001,$O160))</f>
      </c>
      <c r="C160">
        <f>IF($O160="","",INDEX(Master!$C$2:$C$1001,$O160))</f>
      </c>
      <c r="D160">
        <f>IF($O160="","",INDEX(Master!$A$2:$A$1001,$O160))</f>
      </c>
      <c r="E160">
        <f>IF($O160="","",INDEX(Master!$E$2:$E$1001,$O160))</f>
      </c>
      <c r="F160">
        <f>IF($O160="","",INDEX(Master!$F$2:$F$1001,$O160))</f>
      </c>
      <c r="G160">
        <f>IF($O160="","",INDEX(Master!$G$2:$G$1001,$O160))</f>
      </c>
      <c r="H160">
        <f>IF($O160="","",INDEX(Master!$H$2:$H$1001,$O160))</f>
      </c>
      <c r="I160">
        <f>IF($O160="","",INDEX(Master!$I$2:$I$1001,$O160))</f>
      </c>
      <c r="J160">
        <f>IF($O160="","",INDEX(Master!$J$2:$J$1001,$O160))</f>
      </c>
      <c r="K160">
        <f t="shared" si="4"/>
      </c>
      <c r="L160">
        <f>IF($O160="","",INDEX(Master!$K$2:$K$1001,$O160))</f>
      </c>
      <c r="M160">
        <f>IF($O160="","",INDEX(Master!$L$2:$L$1001,$O160))</f>
      </c>
      <c r="O160">
        <f t="array" ref="O160">IFERROR(SMALL(IF(Master!$A$2:$A$1001="VRKP",ROW(Master!$A$2:$A$1001)-ROW(Master!$A$2)+1),156),"")</f>
      </c>
      <c r="P160">
        <f t="shared" si="5"/>
      </c>
    </row>
    <row r="161" spans="1:16" x14ac:dyDescent="0.25">
      <c r="A161" s="235">
        <f>IF($O161="","",INDEX(Master!$D$2:$D$1001,$O161))</f>
      </c>
      <c r="B161" s="236">
        <f>IF($O161="","",INDEX(Master!$B$2:$B$1001,$O161))</f>
      </c>
      <c r="C161">
        <f>IF($O161="","",INDEX(Master!$C$2:$C$1001,$O161))</f>
      </c>
      <c r="D161">
        <f>IF($O161="","",INDEX(Master!$A$2:$A$1001,$O161))</f>
      </c>
      <c r="E161">
        <f>IF($O161="","",INDEX(Master!$E$2:$E$1001,$O161))</f>
      </c>
      <c r="F161">
        <f>IF($O161="","",INDEX(Master!$F$2:$F$1001,$O161))</f>
      </c>
      <c r="G161">
        <f>IF($O161="","",INDEX(Master!$G$2:$G$1001,$O161))</f>
      </c>
      <c r="H161">
        <f>IF($O161="","",INDEX(Master!$H$2:$H$1001,$O161))</f>
      </c>
      <c r="I161">
        <f>IF($O161="","",INDEX(Master!$I$2:$I$1001,$O161))</f>
      </c>
      <c r="J161">
        <f>IF($O161="","",INDEX(Master!$J$2:$J$1001,$O161))</f>
      </c>
      <c r="K161">
        <f t="shared" si="4"/>
      </c>
      <c r="L161">
        <f>IF($O161="","",INDEX(Master!$K$2:$K$1001,$O161))</f>
      </c>
      <c r="M161">
        <f>IF($O161="","",INDEX(Master!$L$2:$L$1001,$O161))</f>
      </c>
      <c r="O161">
        <f t="array" ref="O161">IFERROR(SMALL(IF(Master!$A$2:$A$1001="VRKP",ROW(Master!$A$2:$A$1001)-ROW(Master!$A$2)+1),157),"")</f>
      </c>
      <c r="P161">
        <f t="shared" si="5"/>
      </c>
    </row>
    <row r="162" spans="1:16" x14ac:dyDescent="0.25">
      <c r="A162" s="235">
        <f>IF($O162="","",INDEX(Master!$D$2:$D$1001,$O162))</f>
      </c>
      <c r="B162" s="236">
        <f>IF($O162="","",INDEX(Master!$B$2:$B$1001,$O162))</f>
      </c>
      <c r="C162">
        <f>IF($O162="","",INDEX(Master!$C$2:$C$1001,$O162))</f>
      </c>
      <c r="D162">
        <f>IF($O162="","",INDEX(Master!$A$2:$A$1001,$O162))</f>
      </c>
      <c r="E162">
        <f>IF($O162="","",INDEX(Master!$E$2:$E$1001,$O162))</f>
      </c>
      <c r="F162">
        <f>IF($O162="","",INDEX(Master!$F$2:$F$1001,$O162))</f>
      </c>
      <c r="G162">
        <f>IF($O162="","",INDEX(Master!$G$2:$G$1001,$O162))</f>
      </c>
      <c r="H162">
        <f>IF($O162="","",INDEX(Master!$H$2:$H$1001,$O162))</f>
      </c>
      <c r="I162">
        <f>IF($O162="","",INDEX(Master!$I$2:$I$1001,$O162))</f>
      </c>
      <c r="J162">
        <f>IF($O162="","",INDEX(Master!$J$2:$J$1001,$O162))</f>
      </c>
      <c r="K162">
        <f t="shared" si="4"/>
      </c>
      <c r="L162">
        <f>IF($O162="","",INDEX(Master!$K$2:$K$1001,$O162))</f>
      </c>
      <c r="M162">
        <f>IF($O162="","",INDEX(Master!$L$2:$L$1001,$O162))</f>
      </c>
      <c r="O162">
        <f t="array" ref="O162">IFERROR(SMALL(IF(Master!$A$2:$A$1001="VRKP",ROW(Master!$A$2:$A$1001)-ROW(Master!$A$2)+1),158),"")</f>
      </c>
      <c r="P162">
        <f t="shared" si="5"/>
      </c>
    </row>
    <row r="163" spans="1:16" x14ac:dyDescent="0.25">
      <c r="A163" s="235">
        <f>IF($O163="","",INDEX(Master!$D$2:$D$1001,$O163))</f>
      </c>
      <c r="B163" s="236">
        <f>IF($O163="","",INDEX(Master!$B$2:$B$1001,$O163))</f>
      </c>
      <c r="C163">
        <f>IF($O163="","",INDEX(Master!$C$2:$C$1001,$O163))</f>
      </c>
      <c r="D163">
        <f>IF($O163="","",INDEX(Master!$A$2:$A$1001,$O163))</f>
      </c>
      <c r="E163">
        <f>IF($O163="","",INDEX(Master!$E$2:$E$1001,$O163))</f>
      </c>
      <c r="F163">
        <f>IF($O163="","",INDEX(Master!$F$2:$F$1001,$O163))</f>
      </c>
      <c r="G163">
        <f>IF($O163="","",INDEX(Master!$G$2:$G$1001,$O163))</f>
      </c>
      <c r="H163">
        <f>IF($O163="","",INDEX(Master!$H$2:$H$1001,$O163))</f>
      </c>
      <c r="I163">
        <f>IF($O163="","",INDEX(Master!$I$2:$I$1001,$O163))</f>
      </c>
      <c r="J163">
        <f>IF($O163="","",INDEX(Master!$J$2:$J$1001,$O163))</f>
      </c>
      <c r="K163">
        <f t="shared" si="4"/>
      </c>
      <c r="L163">
        <f>IF($O163="","",INDEX(Master!$K$2:$K$1001,$O163))</f>
      </c>
      <c r="M163">
        <f>IF($O163="","",INDEX(Master!$L$2:$L$1001,$O163))</f>
      </c>
      <c r="O163">
        <f t="array" ref="O163">IFERROR(SMALL(IF(Master!$A$2:$A$1001="VRKP",ROW(Master!$A$2:$A$1001)-ROW(Master!$A$2)+1),159),"")</f>
      </c>
      <c r="P163">
        <f t="shared" si="5"/>
      </c>
    </row>
    <row r="164" spans="1:16" x14ac:dyDescent="0.25">
      <c r="A164" s="235">
        <f>IF($O164="","",INDEX(Master!$D$2:$D$1001,$O164))</f>
      </c>
      <c r="B164" s="236">
        <f>IF($O164="","",INDEX(Master!$B$2:$B$1001,$O164))</f>
      </c>
      <c r="C164">
        <f>IF($O164="","",INDEX(Master!$C$2:$C$1001,$O164))</f>
      </c>
      <c r="D164">
        <f>IF($O164="","",INDEX(Master!$A$2:$A$1001,$O164))</f>
      </c>
      <c r="E164">
        <f>IF($O164="","",INDEX(Master!$E$2:$E$1001,$O164))</f>
      </c>
      <c r="F164">
        <f>IF($O164="","",INDEX(Master!$F$2:$F$1001,$O164))</f>
      </c>
      <c r="G164">
        <f>IF($O164="","",INDEX(Master!$G$2:$G$1001,$O164))</f>
      </c>
      <c r="H164">
        <f>IF($O164="","",INDEX(Master!$H$2:$H$1001,$O164))</f>
      </c>
      <c r="I164">
        <f>IF($O164="","",INDEX(Master!$I$2:$I$1001,$O164))</f>
      </c>
      <c r="J164">
        <f>IF($O164="","",INDEX(Master!$J$2:$J$1001,$O164))</f>
      </c>
      <c r="K164">
        <f t="shared" si="4"/>
      </c>
      <c r="L164">
        <f>IF($O164="","",INDEX(Master!$K$2:$K$1001,$O164))</f>
      </c>
      <c r="M164">
        <f>IF($O164="","",INDEX(Master!$L$2:$L$1001,$O164))</f>
      </c>
      <c r="O164">
        <f t="array" ref="O164">IFERROR(SMALL(IF(Master!$A$2:$A$1001="VRKP",ROW(Master!$A$2:$A$1001)-ROW(Master!$A$2)+1),160),"")</f>
      </c>
      <c r="P164">
        <f t="shared" si="5"/>
      </c>
    </row>
    <row r="165" spans="1:16" x14ac:dyDescent="0.25">
      <c r="A165" s="235">
        <f>IF($O165="","",INDEX(Master!$D$2:$D$1001,$O165))</f>
      </c>
      <c r="B165" s="236">
        <f>IF($O165="","",INDEX(Master!$B$2:$B$1001,$O165))</f>
      </c>
      <c r="C165">
        <f>IF($O165="","",INDEX(Master!$C$2:$C$1001,$O165))</f>
      </c>
      <c r="D165">
        <f>IF($O165="","",INDEX(Master!$A$2:$A$1001,$O165))</f>
      </c>
      <c r="E165">
        <f>IF($O165="","",INDEX(Master!$E$2:$E$1001,$O165))</f>
      </c>
      <c r="F165">
        <f>IF($O165="","",INDEX(Master!$F$2:$F$1001,$O165))</f>
      </c>
      <c r="G165">
        <f>IF($O165="","",INDEX(Master!$G$2:$G$1001,$O165))</f>
      </c>
      <c r="H165">
        <f>IF($O165="","",INDEX(Master!$H$2:$H$1001,$O165))</f>
      </c>
      <c r="I165">
        <f>IF($O165="","",INDEX(Master!$I$2:$I$1001,$O165))</f>
      </c>
      <c r="J165">
        <f>IF($O165="","",INDEX(Master!$J$2:$J$1001,$O165))</f>
      </c>
      <c r="K165">
        <f t="shared" si="4"/>
      </c>
      <c r="L165">
        <f>IF($O165="","",INDEX(Master!$K$2:$K$1001,$O165))</f>
      </c>
      <c r="M165">
        <f>IF($O165="","",INDEX(Master!$L$2:$L$1001,$O165))</f>
      </c>
      <c r="O165">
        <f t="array" ref="O165">IFERROR(SMALL(IF(Master!$A$2:$A$1001="VRKP",ROW(Master!$A$2:$A$1001)-ROW(Master!$A$2)+1),161),"")</f>
      </c>
      <c r="P165">
        <f t="shared" si="5"/>
      </c>
    </row>
    <row r="166" spans="1:16" x14ac:dyDescent="0.25">
      <c r="A166" s="235">
        <f>IF($O166="","",INDEX(Master!$D$2:$D$1001,$O166))</f>
      </c>
      <c r="B166" s="236">
        <f>IF($O166="","",INDEX(Master!$B$2:$B$1001,$O166))</f>
      </c>
      <c r="C166">
        <f>IF($O166="","",INDEX(Master!$C$2:$C$1001,$O166))</f>
      </c>
      <c r="D166">
        <f>IF($O166="","",INDEX(Master!$A$2:$A$1001,$O166))</f>
      </c>
      <c r="E166">
        <f>IF($O166="","",INDEX(Master!$E$2:$E$1001,$O166))</f>
      </c>
      <c r="F166">
        <f>IF($O166="","",INDEX(Master!$F$2:$F$1001,$O166))</f>
      </c>
      <c r="G166">
        <f>IF($O166="","",INDEX(Master!$G$2:$G$1001,$O166))</f>
      </c>
      <c r="H166">
        <f>IF($O166="","",INDEX(Master!$H$2:$H$1001,$O166))</f>
      </c>
      <c r="I166">
        <f>IF($O166="","",INDEX(Master!$I$2:$I$1001,$O166))</f>
      </c>
      <c r="J166">
        <f>IF($O166="","",INDEX(Master!$J$2:$J$1001,$O166))</f>
      </c>
      <c r="K166">
        <f t="shared" si="4"/>
      </c>
      <c r="L166">
        <f>IF($O166="","",INDEX(Master!$K$2:$K$1001,$O166))</f>
      </c>
      <c r="M166">
        <f>IF($O166="","",INDEX(Master!$L$2:$L$1001,$O166))</f>
      </c>
      <c r="O166">
        <f t="array" ref="O166">IFERROR(SMALL(IF(Master!$A$2:$A$1001="VRKP",ROW(Master!$A$2:$A$1001)-ROW(Master!$A$2)+1),162),"")</f>
      </c>
      <c r="P166">
        <f t="shared" si="5"/>
      </c>
    </row>
    <row r="167" spans="1:16" x14ac:dyDescent="0.25">
      <c r="A167" s="235">
        <f>IF($O167="","",INDEX(Master!$D$2:$D$1001,$O167))</f>
      </c>
      <c r="B167" s="236">
        <f>IF($O167="","",INDEX(Master!$B$2:$B$1001,$O167))</f>
      </c>
      <c r="C167">
        <f>IF($O167="","",INDEX(Master!$C$2:$C$1001,$O167))</f>
      </c>
      <c r="D167">
        <f>IF($O167="","",INDEX(Master!$A$2:$A$1001,$O167))</f>
      </c>
      <c r="E167">
        <f>IF($O167="","",INDEX(Master!$E$2:$E$1001,$O167))</f>
      </c>
      <c r="F167">
        <f>IF($O167="","",INDEX(Master!$F$2:$F$1001,$O167))</f>
      </c>
      <c r="G167">
        <f>IF($O167="","",INDEX(Master!$G$2:$G$1001,$O167))</f>
      </c>
      <c r="H167">
        <f>IF($O167="","",INDEX(Master!$H$2:$H$1001,$O167))</f>
      </c>
      <c r="I167">
        <f>IF($O167="","",INDEX(Master!$I$2:$I$1001,$O167))</f>
      </c>
      <c r="J167">
        <f>IF($O167="","",INDEX(Master!$J$2:$J$1001,$O167))</f>
      </c>
      <c r="K167">
        <f t="shared" si="4"/>
      </c>
      <c r="L167">
        <f>IF($O167="","",INDEX(Master!$K$2:$K$1001,$O167))</f>
      </c>
      <c r="M167">
        <f>IF($O167="","",INDEX(Master!$L$2:$L$1001,$O167))</f>
      </c>
      <c r="O167">
        <f t="array" ref="O167">IFERROR(SMALL(IF(Master!$A$2:$A$1001="VRKP",ROW(Master!$A$2:$A$1001)-ROW(Master!$A$2)+1),163),"")</f>
      </c>
      <c r="P167">
        <f t="shared" si="5"/>
      </c>
    </row>
    <row r="168" spans="1:16" x14ac:dyDescent="0.25">
      <c r="A168" s="235">
        <f>IF($O168="","",INDEX(Master!$D$2:$D$1001,$O168))</f>
      </c>
      <c r="B168" s="236">
        <f>IF($O168="","",INDEX(Master!$B$2:$B$1001,$O168))</f>
      </c>
      <c r="C168">
        <f>IF($O168="","",INDEX(Master!$C$2:$C$1001,$O168))</f>
      </c>
      <c r="D168">
        <f>IF($O168="","",INDEX(Master!$A$2:$A$1001,$O168))</f>
      </c>
      <c r="E168">
        <f>IF($O168="","",INDEX(Master!$E$2:$E$1001,$O168))</f>
      </c>
      <c r="F168">
        <f>IF($O168="","",INDEX(Master!$F$2:$F$1001,$O168))</f>
      </c>
      <c r="G168">
        <f>IF($O168="","",INDEX(Master!$G$2:$G$1001,$O168))</f>
      </c>
      <c r="H168">
        <f>IF($O168="","",INDEX(Master!$H$2:$H$1001,$O168))</f>
      </c>
      <c r="I168">
        <f>IF($O168="","",INDEX(Master!$I$2:$I$1001,$O168))</f>
      </c>
      <c r="J168">
        <f>IF($O168="","",INDEX(Master!$J$2:$J$1001,$O168))</f>
      </c>
      <c r="K168">
        <f t="shared" si="4"/>
      </c>
      <c r="L168">
        <f>IF($O168="","",INDEX(Master!$K$2:$K$1001,$O168))</f>
      </c>
      <c r="M168">
        <f>IF($O168="","",INDEX(Master!$L$2:$L$1001,$O168))</f>
      </c>
      <c r="O168">
        <f t="array" ref="O168">IFERROR(SMALL(IF(Master!$A$2:$A$1001="VRKP",ROW(Master!$A$2:$A$1001)-ROW(Master!$A$2)+1),164),"")</f>
      </c>
      <c r="P168">
        <f t="shared" si="5"/>
      </c>
    </row>
    <row r="169" spans="1:16" x14ac:dyDescent="0.25">
      <c r="A169" s="235">
        <f>IF($O169="","",INDEX(Master!$D$2:$D$1001,$O169))</f>
      </c>
      <c r="B169" s="236">
        <f>IF($O169="","",INDEX(Master!$B$2:$B$1001,$O169))</f>
      </c>
      <c r="C169">
        <f>IF($O169="","",INDEX(Master!$C$2:$C$1001,$O169))</f>
      </c>
      <c r="D169">
        <f>IF($O169="","",INDEX(Master!$A$2:$A$1001,$O169))</f>
      </c>
      <c r="E169">
        <f>IF($O169="","",INDEX(Master!$E$2:$E$1001,$O169))</f>
      </c>
      <c r="F169">
        <f>IF($O169="","",INDEX(Master!$F$2:$F$1001,$O169))</f>
      </c>
      <c r="G169">
        <f>IF($O169="","",INDEX(Master!$G$2:$G$1001,$O169))</f>
      </c>
      <c r="H169">
        <f>IF($O169="","",INDEX(Master!$H$2:$H$1001,$O169))</f>
      </c>
      <c r="I169">
        <f>IF($O169="","",INDEX(Master!$I$2:$I$1001,$O169))</f>
      </c>
      <c r="J169">
        <f>IF($O169="","",INDEX(Master!$J$2:$J$1001,$O169))</f>
      </c>
      <c r="K169">
        <f t="shared" si="4"/>
      </c>
      <c r="L169">
        <f>IF($O169="","",INDEX(Master!$K$2:$K$1001,$O169))</f>
      </c>
      <c r="M169">
        <f>IF($O169="","",INDEX(Master!$L$2:$L$1001,$O169))</f>
      </c>
      <c r="O169">
        <f t="array" ref="O169">IFERROR(SMALL(IF(Master!$A$2:$A$1001="VRKP",ROW(Master!$A$2:$A$1001)-ROW(Master!$A$2)+1),165),"")</f>
      </c>
      <c r="P169">
        <f t="shared" si="5"/>
      </c>
    </row>
    <row r="170" spans="1:16" x14ac:dyDescent="0.25">
      <c r="A170" s="235">
        <f>IF($O170="","",INDEX(Master!$D$2:$D$1001,$O170))</f>
      </c>
      <c r="B170" s="236">
        <f>IF($O170="","",INDEX(Master!$B$2:$B$1001,$O170))</f>
      </c>
      <c r="C170">
        <f>IF($O170="","",INDEX(Master!$C$2:$C$1001,$O170))</f>
      </c>
      <c r="D170">
        <f>IF($O170="","",INDEX(Master!$A$2:$A$1001,$O170))</f>
      </c>
      <c r="E170">
        <f>IF($O170="","",INDEX(Master!$E$2:$E$1001,$O170))</f>
      </c>
      <c r="F170">
        <f>IF($O170="","",INDEX(Master!$F$2:$F$1001,$O170))</f>
      </c>
      <c r="G170">
        <f>IF($O170="","",INDEX(Master!$G$2:$G$1001,$O170))</f>
      </c>
      <c r="H170">
        <f>IF($O170="","",INDEX(Master!$H$2:$H$1001,$O170))</f>
      </c>
      <c r="I170">
        <f>IF($O170="","",INDEX(Master!$I$2:$I$1001,$O170))</f>
      </c>
      <c r="J170">
        <f>IF($O170="","",INDEX(Master!$J$2:$J$1001,$O170))</f>
      </c>
      <c r="K170">
        <f t="shared" si="4"/>
      </c>
      <c r="L170">
        <f>IF($O170="","",INDEX(Master!$K$2:$K$1001,$O170))</f>
      </c>
      <c r="M170">
        <f>IF($O170="","",INDEX(Master!$L$2:$L$1001,$O170))</f>
      </c>
      <c r="O170">
        <f t="array" ref="O170">IFERROR(SMALL(IF(Master!$A$2:$A$1001="VRKP",ROW(Master!$A$2:$A$1001)-ROW(Master!$A$2)+1),166),"")</f>
      </c>
      <c r="P170">
        <f t="shared" si="5"/>
      </c>
    </row>
    <row r="171" spans="1:16" x14ac:dyDescent="0.25">
      <c r="A171" s="235">
        <f>IF($O171="","",INDEX(Master!$D$2:$D$1001,$O171))</f>
      </c>
      <c r="B171" s="236">
        <f>IF($O171="","",INDEX(Master!$B$2:$B$1001,$O171))</f>
      </c>
      <c r="C171">
        <f>IF($O171="","",INDEX(Master!$C$2:$C$1001,$O171))</f>
      </c>
      <c r="D171">
        <f>IF($O171="","",INDEX(Master!$A$2:$A$1001,$O171))</f>
      </c>
      <c r="E171">
        <f>IF($O171="","",INDEX(Master!$E$2:$E$1001,$O171))</f>
      </c>
      <c r="F171">
        <f>IF($O171="","",INDEX(Master!$F$2:$F$1001,$O171))</f>
      </c>
      <c r="G171">
        <f>IF($O171="","",INDEX(Master!$G$2:$G$1001,$O171))</f>
      </c>
      <c r="H171">
        <f>IF($O171="","",INDEX(Master!$H$2:$H$1001,$O171))</f>
      </c>
      <c r="I171">
        <f>IF($O171="","",INDEX(Master!$I$2:$I$1001,$O171))</f>
      </c>
      <c r="J171">
        <f>IF($O171="","",INDEX(Master!$J$2:$J$1001,$O171))</f>
      </c>
      <c r="K171">
        <f t="shared" si="4"/>
      </c>
      <c r="L171">
        <f>IF($O171="","",INDEX(Master!$K$2:$K$1001,$O171))</f>
      </c>
      <c r="M171">
        <f>IF($O171="","",INDEX(Master!$L$2:$L$1001,$O171))</f>
      </c>
      <c r="O171">
        <f t="array" ref="O171">IFERROR(SMALL(IF(Master!$A$2:$A$1001="VRKP",ROW(Master!$A$2:$A$1001)-ROW(Master!$A$2)+1),167),"")</f>
      </c>
      <c r="P171">
        <f t="shared" si="5"/>
      </c>
    </row>
    <row r="172" spans="1:16" x14ac:dyDescent="0.25">
      <c r="A172" s="235">
        <f>IF($O172="","",INDEX(Master!$D$2:$D$1001,$O172))</f>
      </c>
      <c r="B172" s="236">
        <f>IF($O172="","",INDEX(Master!$B$2:$B$1001,$O172))</f>
      </c>
      <c r="C172">
        <f>IF($O172="","",INDEX(Master!$C$2:$C$1001,$O172))</f>
      </c>
      <c r="D172">
        <f>IF($O172="","",INDEX(Master!$A$2:$A$1001,$O172))</f>
      </c>
      <c r="E172">
        <f>IF($O172="","",INDEX(Master!$E$2:$E$1001,$O172))</f>
      </c>
      <c r="F172">
        <f>IF($O172="","",INDEX(Master!$F$2:$F$1001,$O172))</f>
      </c>
      <c r="G172">
        <f>IF($O172="","",INDEX(Master!$G$2:$G$1001,$O172))</f>
      </c>
      <c r="H172">
        <f>IF($O172="","",INDEX(Master!$H$2:$H$1001,$O172))</f>
      </c>
      <c r="I172">
        <f>IF($O172="","",INDEX(Master!$I$2:$I$1001,$O172))</f>
      </c>
      <c r="J172">
        <f>IF($O172="","",INDEX(Master!$J$2:$J$1001,$O172))</f>
      </c>
      <c r="K172">
        <f t="shared" si="4"/>
      </c>
      <c r="L172">
        <f>IF($O172="","",INDEX(Master!$K$2:$K$1001,$O172))</f>
      </c>
      <c r="M172">
        <f>IF($O172="","",INDEX(Master!$L$2:$L$1001,$O172))</f>
      </c>
      <c r="O172">
        <f t="array" ref="O172">IFERROR(SMALL(IF(Master!$A$2:$A$1001="VRKP",ROW(Master!$A$2:$A$1001)-ROW(Master!$A$2)+1),168),"")</f>
      </c>
      <c r="P172">
        <f t="shared" si="5"/>
      </c>
    </row>
    <row r="173" spans="1:16" x14ac:dyDescent="0.25">
      <c r="A173" s="235">
        <f>IF($O173="","",INDEX(Master!$D$2:$D$1001,$O173))</f>
      </c>
      <c r="B173" s="236">
        <f>IF($O173="","",INDEX(Master!$B$2:$B$1001,$O173))</f>
      </c>
      <c r="C173">
        <f>IF($O173="","",INDEX(Master!$C$2:$C$1001,$O173))</f>
      </c>
      <c r="D173">
        <f>IF($O173="","",INDEX(Master!$A$2:$A$1001,$O173))</f>
      </c>
      <c r="E173">
        <f>IF($O173="","",INDEX(Master!$E$2:$E$1001,$O173))</f>
      </c>
      <c r="F173">
        <f>IF($O173="","",INDEX(Master!$F$2:$F$1001,$O173))</f>
      </c>
      <c r="G173">
        <f>IF($O173="","",INDEX(Master!$G$2:$G$1001,$O173))</f>
      </c>
      <c r="H173">
        <f>IF($O173="","",INDEX(Master!$H$2:$H$1001,$O173))</f>
      </c>
      <c r="I173">
        <f>IF($O173="","",INDEX(Master!$I$2:$I$1001,$O173))</f>
      </c>
      <c r="J173">
        <f>IF($O173="","",INDEX(Master!$J$2:$J$1001,$O173))</f>
      </c>
      <c r="K173">
        <f t="shared" si="4"/>
      </c>
      <c r="L173">
        <f>IF($O173="","",INDEX(Master!$K$2:$K$1001,$O173))</f>
      </c>
      <c r="M173">
        <f>IF($O173="","",INDEX(Master!$L$2:$L$1001,$O173))</f>
      </c>
      <c r="O173">
        <f t="array" ref="O173">IFERROR(SMALL(IF(Master!$A$2:$A$1001="VRKP",ROW(Master!$A$2:$A$1001)-ROW(Master!$A$2)+1),169),"")</f>
      </c>
      <c r="P173">
        <f t="shared" si="5"/>
      </c>
    </row>
    <row r="174" spans="1:16" x14ac:dyDescent="0.25">
      <c r="A174" s="235">
        <f>IF($O174="","",INDEX(Master!$D$2:$D$1001,$O174))</f>
      </c>
      <c r="B174" s="236">
        <f>IF($O174="","",INDEX(Master!$B$2:$B$1001,$O174))</f>
      </c>
      <c r="C174">
        <f>IF($O174="","",INDEX(Master!$C$2:$C$1001,$O174))</f>
      </c>
      <c r="D174">
        <f>IF($O174="","",INDEX(Master!$A$2:$A$1001,$O174))</f>
      </c>
      <c r="E174">
        <f>IF($O174="","",INDEX(Master!$E$2:$E$1001,$O174))</f>
      </c>
      <c r="F174">
        <f>IF($O174="","",INDEX(Master!$F$2:$F$1001,$O174))</f>
      </c>
      <c r="G174">
        <f>IF($O174="","",INDEX(Master!$G$2:$G$1001,$O174))</f>
      </c>
      <c r="H174">
        <f>IF($O174="","",INDEX(Master!$H$2:$H$1001,$O174))</f>
      </c>
      <c r="I174">
        <f>IF($O174="","",INDEX(Master!$I$2:$I$1001,$O174))</f>
      </c>
      <c r="J174">
        <f>IF($O174="","",INDEX(Master!$J$2:$J$1001,$O174))</f>
      </c>
      <c r="K174">
        <f t="shared" si="4"/>
      </c>
      <c r="L174">
        <f>IF($O174="","",INDEX(Master!$K$2:$K$1001,$O174))</f>
      </c>
      <c r="M174">
        <f>IF($O174="","",INDEX(Master!$L$2:$L$1001,$O174))</f>
      </c>
      <c r="O174">
        <f t="array" ref="O174">IFERROR(SMALL(IF(Master!$A$2:$A$1001="VRKP",ROW(Master!$A$2:$A$1001)-ROW(Master!$A$2)+1),170),"")</f>
      </c>
      <c r="P174">
        <f t="shared" si="5"/>
      </c>
    </row>
    <row r="175" spans="1:16" x14ac:dyDescent="0.25">
      <c r="A175" s="235">
        <f>IF($O175="","",INDEX(Master!$D$2:$D$1001,$O175))</f>
      </c>
      <c r="B175" s="236">
        <f>IF($O175="","",INDEX(Master!$B$2:$B$1001,$O175))</f>
      </c>
      <c r="C175">
        <f>IF($O175="","",INDEX(Master!$C$2:$C$1001,$O175))</f>
      </c>
      <c r="D175">
        <f>IF($O175="","",INDEX(Master!$A$2:$A$1001,$O175))</f>
      </c>
      <c r="E175">
        <f>IF($O175="","",INDEX(Master!$E$2:$E$1001,$O175))</f>
      </c>
      <c r="F175">
        <f>IF($O175="","",INDEX(Master!$F$2:$F$1001,$O175))</f>
      </c>
      <c r="G175">
        <f>IF($O175="","",INDEX(Master!$G$2:$G$1001,$O175))</f>
      </c>
      <c r="H175">
        <f>IF($O175="","",INDEX(Master!$H$2:$H$1001,$O175))</f>
      </c>
      <c r="I175">
        <f>IF($O175="","",INDEX(Master!$I$2:$I$1001,$O175))</f>
      </c>
      <c r="J175">
        <f>IF($O175="","",INDEX(Master!$J$2:$J$1001,$O175))</f>
      </c>
      <c r="K175">
        <f t="shared" si="4"/>
      </c>
      <c r="L175">
        <f>IF($O175="","",INDEX(Master!$K$2:$K$1001,$O175))</f>
      </c>
      <c r="M175">
        <f>IF($O175="","",INDEX(Master!$L$2:$L$1001,$O175))</f>
      </c>
      <c r="O175">
        <f t="array" ref="O175">IFERROR(SMALL(IF(Master!$A$2:$A$1001="VRKP",ROW(Master!$A$2:$A$1001)-ROW(Master!$A$2)+1),171),"")</f>
      </c>
      <c r="P175">
        <f t="shared" si="5"/>
      </c>
    </row>
    <row r="176" spans="1:16" x14ac:dyDescent="0.25">
      <c r="A176" s="235">
        <f>IF($O176="","",INDEX(Master!$D$2:$D$1001,$O176))</f>
      </c>
      <c r="B176" s="236">
        <f>IF($O176="","",INDEX(Master!$B$2:$B$1001,$O176))</f>
      </c>
      <c r="C176">
        <f>IF($O176="","",INDEX(Master!$C$2:$C$1001,$O176))</f>
      </c>
      <c r="D176">
        <f>IF($O176="","",INDEX(Master!$A$2:$A$1001,$O176))</f>
      </c>
      <c r="E176">
        <f>IF($O176="","",INDEX(Master!$E$2:$E$1001,$O176))</f>
      </c>
      <c r="F176">
        <f>IF($O176="","",INDEX(Master!$F$2:$F$1001,$O176))</f>
      </c>
      <c r="G176">
        <f>IF($O176="","",INDEX(Master!$G$2:$G$1001,$O176))</f>
      </c>
      <c r="H176">
        <f>IF($O176="","",INDEX(Master!$H$2:$H$1001,$O176))</f>
      </c>
      <c r="I176">
        <f>IF($O176="","",INDEX(Master!$I$2:$I$1001,$O176))</f>
      </c>
      <c r="J176">
        <f>IF($O176="","",INDEX(Master!$J$2:$J$1001,$O176))</f>
      </c>
      <c r="K176">
        <f t="shared" si="4"/>
      </c>
      <c r="L176">
        <f>IF($O176="","",INDEX(Master!$K$2:$K$1001,$O176))</f>
      </c>
      <c r="M176">
        <f>IF($O176="","",INDEX(Master!$L$2:$L$1001,$O176))</f>
      </c>
      <c r="O176">
        <f t="array" ref="O176">IFERROR(SMALL(IF(Master!$A$2:$A$1001="VRKP",ROW(Master!$A$2:$A$1001)-ROW(Master!$A$2)+1),172),"")</f>
      </c>
      <c r="P176">
        <f t="shared" si="5"/>
      </c>
    </row>
    <row r="177" spans="1:16" x14ac:dyDescent="0.25">
      <c r="A177" s="235">
        <f>IF($O177="","",INDEX(Master!$D$2:$D$1001,$O177))</f>
      </c>
      <c r="B177" s="236">
        <f>IF($O177="","",INDEX(Master!$B$2:$B$1001,$O177))</f>
      </c>
      <c r="C177">
        <f>IF($O177="","",INDEX(Master!$C$2:$C$1001,$O177))</f>
      </c>
      <c r="D177">
        <f>IF($O177="","",INDEX(Master!$A$2:$A$1001,$O177))</f>
      </c>
      <c r="E177">
        <f>IF($O177="","",INDEX(Master!$E$2:$E$1001,$O177))</f>
      </c>
      <c r="F177">
        <f>IF($O177="","",INDEX(Master!$F$2:$F$1001,$O177))</f>
      </c>
      <c r="G177">
        <f>IF($O177="","",INDEX(Master!$G$2:$G$1001,$O177))</f>
      </c>
      <c r="H177">
        <f>IF($O177="","",INDEX(Master!$H$2:$H$1001,$O177))</f>
      </c>
      <c r="I177">
        <f>IF($O177="","",INDEX(Master!$I$2:$I$1001,$O177))</f>
      </c>
      <c r="J177">
        <f>IF($O177="","",INDEX(Master!$J$2:$J$1001,$O177))</f>
      </c>
      <c r="K177">
        <f t="shared" si="4"/>
      </c>
      <c r="L177">
        <f>IF($O177="","",INDEX(Master!$K$2:$K$1001,$O177))</f>
      </c>
      <c r="M177">
        <f>IF($O177="","",INDEX(Master!$L$2:$L$1001,$O177))</f>
      </c>
      <c r="O177">
        <f t="array" ref="O177">IFERROR(SMALL(IF(Master!$A$2:$A$1001="VRKP",ROW(Master!$A$2:$A$1001)-ROW(Master!$A$2)+1),173),"")</f>
      </c>
      <c r="P177">
        <f t="shared" si="5"/>
      </c>
    </row>
    <row r="178" spans="1:16" x14ac:dyDescent="0.25">
      <c r="A178" s="235">
        <f>IF($O178="","",INDEX(Master!$D$2:$D$1001,$O178))</f>
      </c>
      <c r="B178" s="236">
        <f>IF($O178="","",INDEX(Master!$B$2:$B$1001,$O178))</f>
      </c>
      <c r="C178">
        <f>IF($O178="","",INDEX(Master!$C$2:$C$1001,$O178))</f>
      </c>
      <c r="D178">
        <f>IF($O178="","",INDEX(Master!$A$2:$A$1001,$O178))</f>
      </c>
      <c r="E178">
        <f>IF($O178="","",INDEX(Master!$E$2:$E$1001,$O178))</f>
      </c>
      <c r="F178">
        <f>IF($O178="","",INDEX(Master!$F$2:$F$1001,$O178))</f>
      </c>
      <c r="G178">
        <f>IF($O178="","",INDEX(Master!$G$2:$G$1001,$O178))</f>
      </c>
      <c r="H178">
        <f>IF($O178="","",INDEX(Master!$H$2:$H$1001,$O178))</f>
      </c>
      <c r="I178">
        <f>IF($O178="","",INDEX(Master!$I$2:$I$1001,$O178))</f>
      </c>
      <c r="J178">
        <f>IF($O178="","",INDEX(Master!$J$2:$J$1001,$O178))</f>
      </c>
      <c r="K178">
        <f t="shared" si="4"/>
      </c>
      <c r="L178">
        <f>IF($O178="","",INDEX(Master!$K$2:$K$1001,$O178))</f>
      </c>
      <c r="M178">
        <f>IF($O178="","",INDEX(Master!$L$2:$L$1001,$O178))</f>
      </c>
      <c r="O178">
        <f t="array" ref="O178">IFERROR(SMALL(IF(Master!$A$2:$A$1001="VRKP",ROW(Master!$A$2:$A$1001)-ROW(Master!$A$2)+1),174),"")</f>
      </c>
      <c r="P178">
        <f t="shared" si="5"/>
      </c>
    </row>
    <row r="179" spans="1:16" x14ac:dyDescent="0.25">
      <c r="A179" s="235">
        <f>IF($O179="","",INDEX(Master!$D$2:$D$1001,$O179))</f>
      </c>
      <c r="B179" s="236">
        <f>IF($O179="","",INDEX(Master!$B$2:$B$1001,$O179))</f>
      </c>
      <c r="C179">
        <f>IF($O179="","",INDEX(Master!$C$2:$C$1001,$O179))</f>
      </c>
      <c r="D179">
        <f>IF($O179="","",INDEX(Master!$A$2:$A$1001,$O179))</f>
      </c>
      <c r="E179">
        <f>IF($O179="","",INDEX(Master!$E$2:$E$1001,$O179))</f>
      </c>
      <c r="F179">
        <f>IF($O179="","",INDEX(Master!$F$2:$F$1001,$O179))</f>
      </c>
      <c r="G179">
        <f>IF($O179="","",INDEX(Master!$G$2:$G$1001,$O179))</f>
      </c>
      <c r="H179">
        <f>IF($O179="","",INDEX(Master!$H$2:$H$1001,$O179))</f>
      </c>
      <c r="I179">
        <f>IF($O179="","",INDEX(Master!$I$2:$I$1001,$O179))</f>
      </c>
      <c r="J179">
        <f>IF($O179="","",INDEX(Master!$J$2:$J$1001,$O179))</f>
      </c>
      <c r="K179">
        <f t="shared" si="4"/>
      </c>
      <c r="L179">
        <f>IF($O179="","",INDEX(Master!$K$2:$K$1001,$O179))</f>
      </c>
      <c r="M179">
        <f>IF($O179="","",INDEX(Master!$L$2:$L$1001,$O179))</f>
      </c>
      <c r="O179">
        <f t="array" ref="O179">IFERROR(SMALL(IF(Master!$A$2:$A$1001="VRKP",ROW(Master!$A$2:$A$1001)-ROW(Master!$A$2)+1),175),"")</f>
      </c>
      <c r="P179">
        <f t="shared" si="5"/>
      </c>
    </row>
    <row r="180" spans="1:16" x14ac:dyDescent="0.25">
      <c r="A180" s="235">
        <f>IF($O180="","",INDEX(Master!$D$2:$D$1001,$O180))</f>
      </c>
      <c r="B180" s="236">
        <f>IF($O180="","",INDEX(Master!$B$2:$B$1001,$O180))</f>
      </c>
      <c r="C180">
        <f>IF($O180="","",INDEX(Master!$C$2:$C$1001,$O180))</f>
      </c>
      <c r="D180">
        <f>IF($O180="","",INDEX(Master!$A$2:$A$1001,$O180))</f>
      </c>
      <c r="E180">
        <f>IF($O180="","",INDEX(Master!$E$2:$E$1001,$O180))</f>
      </c>
      <c r="F180">
        <f>IF($O180="","",INDEX(Master!$F$2:$F$1001,$O180))</f>
      </c>
      <c r="G180">
        <f>IF($O180="","",INDEX(Master!$G$2:$G$1001,$O180))</f>
      </c>
      <c r="H180">
        <f>IF($O180="","",INDEX(Master!$H$2:$H$1001,$O180))</f>
      </c>
      <c r="I180">
        <f>IF($O180="","",INDEX(Master!$I$2:$I$1001,$O180))</f>
      </c>
      <c r="J180">
        <f>IF($O180="","",INDEX(Master!$J$2:$J$1001,$O180))</f>
      </c>
      <c r="K180">
        <f t="shared" si="4"/>
      </c>
      <c r="L180">
        <f>IF($O180="","",INDEX(Master!$K$2:$K$1001,$O180))</f>
      </c>
      <c r="M180">
        <f>IF($O180="","",INDEX(Master!$L$2:$L$1001,$O180))</f>
      </c>
      <c r="O180">
        <f t="array" ref="O180">IFERROR(SMALL(IF(Master!$A$2:$A$1001="VRKP",ROW(Master!$A$2:$A$1001)-ROW(Master!$A$2)+1),176),"")</f>
      </c>
      <c r="P180">
        <f t="shared" si="5"/>
      </c>
    </row>
    <row r="181" spans="1:16" x14ac:dyDescent="0.25">
      <c r="A181" s="235">
        <f>IF($O181="","",INDEX(Master!$D$2:$D$1001,$O181))</f>
      </c>
      <c r="B181" s="236">
        <f>IF($O181="","",INDEX(Master!$B$2:$B$1001,$O181))</f>
      </c>
      <c r="C181">
        <f>IF($O181="","",INDEX(Master!$C$2:$C$1001,$O181))</f>
      </c>
      <c r="D181">
        <f>IF($O181="","",INDEX(Master!$A$2:$A$1001,$O181))</f>
      </c>
      <c r="E181">
        <f>IF($O181="","",INDEX(Master!$E$2:$E$1001,$O181))</f>
      </c>
      <c r="F181">
        <f>IF($O181="","",INDEX(Master!$F$2:$F$1001,$O181))</f>
      </c>
      <c r="G181">
        <f>IF($O181="","",INDEX(Master!$G$2:$G$1001,$O181))</f>
      </c>
      <c r="H181">
        <f>IF($O181="","",INDEX(Master!$H$2:$H$1001,$O181))</f>
      </c>
      <c r="I181">
        <f>IF($O181="","",INDEX(Master!$I$2:$I$1001,$O181))</f>
      </c>
      <c r="J181">
        <f>IF($O181="","",INDEX(Master!$J$2:$J$1001,$O181))</f>
      </c>
      <c r="K181">
        <f t="shared" si="4"/>
      </c>
      <c r="L181">
        <f>IF($O181="","",INDEX(Master!$K$2:$K$1001,$O181))</f>
      </c>
      <c r="M181">
        <f>IF($O181="","",INDEX(Master!$L$2:$L$1001,$O181))</f>
      </c>
      <c r="O181">
        <f t="array" ref="O181">IFERROR(SMALL(IF(Master!$A$2:$A$1001="VRKP",ROW(Master!$A$2:$A$1001)-ROW(Master!$A$2)+1),177),"")</f>
      </c>
      <c r="P181">
        <f t="shared" si="5"/>
      </c>
    </row>
    <row r="182" spans="1:16" x14ac:dyDescent="0.25">
      <c r="A182" s="235">
        <f>IF($O182="","",INDEX(Master!$D$2:$D$1001,$O182))</f>
      </c>
      <c r="B182" s="236">
        <f>IF($O182="","",INDEX(Master!$B$2:$B$1001,$O182))</f>
      </c>
      <c r="C182">
        <f>IF($O182="","",INDEX(Master!$C$2:$C$1001,$O182))</f>
      </c>
      <c r="D182">
        <f>IF($O182="","",INDEX(Master!$A$2:$A$1001,$O182))</f>
      </c>
      <c r="E182">
        <f>IF($O182="","",INDEX(Master!$E$2:$E$1001,$O182))</f>
      </c>
      <c r="F182">
        <f>IF($O182="","",INDEX(Master!$F$2:$F$1001,$O182))</f>
      </c>
      <c r="G182">
        <f>IF($O182="","",INDEX(Master!$G$2:$G$1001,$O182))</f>
      </c>
      <c r="H182">
        <f>IF($O182="","",INDEX(Master!$H$2:$H$1001,$O182))</f>
      </c>
      <c r="I182">
        <f>IF($O182="","",INDEX(Master!$I$2:$I$1001,$O182))</f>
      </c>
      <c r="J182">
        <f>IF($O182="","",INDEX(Master!$J$2:$J$1001,$O182))</f>
      </c>
      <c r="K182">
        <f t="shared" si="4"/>
      </c>
      <c r="L182">
        <f>IF($O182="","",INDEX(Master!$K$2:$K$1001,$O182))</f>
      </c>
      <c r="M182">
        <f>IF($O182="","",INDEX(Master!$L$2:$L$1001,$O182))</f>
      </c>
      <c r="O182">
        <f t="array" ref="O182">IFERROR(SMALL(IF(Master!$A$2:$A$1001="VRKP",ROW(Master!$A$2:$A$1001)-ROW(Master!$A$2)+1),178),"")</f>
      </c>
      <c r="P182">
        <f t="shared" si="5"/>
      </c>
    </row>
    <row r="183" spans="1:16" x14ac:dyDescent="0.25">
      <c r="A183" s="235">
        <f>IF($O183="","",INDEX(Master!$D$2:$D$1001,$O183))</f>
      </c>
      <c r="B183" s="236">
        <f>IF($O183="","",INDEX(Master!$B$2:$B$1001,$O183))</f>
      </c>
      <c r="C183">
        <f>IF($O183="","",INDEX(Master!$C$2:$C$1001,$O183))</f>
      </c>
      <c r="D183">
        <f>IF($O183="","",INDEX(Master!$A$2:$A$1001,$O183))</f>
      </c>
      <c r="E183">
        <f>IF($O183="","",INDEX(Master!$E$2:$E$1001,$O183))</f>
      </c>
      <c r="F183">
        <f>IF($O183="","",INDEX(Master!$F$2:$F$1001,$O183))</f>
      </c>
      <c r="G183">
        <f>IF($O183="","",INDEX(Master!$G$2:$G$1001,$O183))</f>
      </c>
      <c r="H183">
        <f>IF($O183="","",INDEX(Master!$H$2:$H$1001,$O183))</f>
      </c>
      <c r="I183">
        <f>IF($O183="","",INDEX(Master!$I$2:$I$1001,$O183))</f>
      </c>
      <c r="J183">
        <f>IF($O183="","",INDEX(Master!$J$2:$J$1001,$O183))</f>
      </c>
      <c r="K183">
        <f t="shared" si="4"/>
      </c>
      <c r="L183">
        <f>IF($O183="","",INDEX(Master!$K$2:$K$1001,$O183))</f>
      </c>
      <c r="M183">
        <f>IF($O183="","",INDEX(Master!$L$2:$L$1001,$O183))</f>
      </c>
      <c r="O183">
        <f t="array" ref="O183">IFERROR(SMALL(IF(Master!$A$2:$A$1001="VRKP",ROW(Master!$A$2:$A$1001)-ROW(Master!$A$2)+1),179),"")</f>
      </c>
      <c r="P183">
        <f t="shared" si="5"/>
      </c>
    </row>
    <row r="184" spans="1:16" x14ac:dyDescent="0.25">
      <c r="A184" s="235">
        <f>IF($O184="","",INDEX(Master!$D$2:$D$1001,$O184))</f>
      </c>
      <c r="B184" s="236">
        <f>IF($O184="","",INDEX(Master!$B$2:$B$1001,$O184))</f>
      </c>
      <c r="C184">
        <f>IF($O184="","",INDEX(Master!$C$2:$C$1001,$O184))</f>
      </c>
      <c r="D184">
        <f>IF($O184="","",INDEX(Master!$A$2:$A$1001,$O184))</f>
      </c>
      <c r="E184">
        <f>IF($O184="","",INDEX(Master!$E$2:$E$1001,$O184))</f>
      </c>
      <c r="F184">
        <f>IF($O184="","",INDEX(Master!$F$2:$F$1001,$O184))</f>
      </c>
      <c r="G184">
        <f>IF($O184="","",INDEX(Master!$G$2:$G$1001,$O184))</f>
      </c>
      <c r="H184">
        <f>IF($O184="","",INDEX(Master!$H$2:$H$1001,$O184))</f>
      </c>
      <c r="I184">
        <f>IF($O184="","",INDEX(Master!$I$2:$I$1001,$O184))</f>
      </c>
      <c r="J184">
        <f>IF($O184="","",INDEX(Master!$J$2:$J$1001,$O184))</f>
      </c>
      <c r="K184">
        <f t="shared" si="4"/>
      </c>
      <c r="L184">
        <f>IF($O184="","",INDEX(Master!$K$2:$K$1001,$O184))</f>
      </c>
      <c r="M184">
        <f>IF($O184="","",INDEX(Master!$L$2:$L$1001,$O184))</f>
      </c>
      <c r="O184">
        <f t="array" ref="O184">IFERROR(SMALL(IF(Master!$A$2:$A$1001="VRKP",ROW(Master!$A$2:$A$1001)-ROW(Master!$A$2)+1),180),"")</f>
      </c>
      <c r="P184">
        <f t="shared" si="5"/>
      </c>
    </row>
    <row r="185" spans="1:16" x14ac:dyDescent="0.25">
      <c r="A185" s="235">
        <f>IF($O185="","",INDEX(Master!$D$2:$D$1001,$O185))</f>
      </c>
      <c r="B185" s="236">
        <f>IF($O185="","",INDEX(Master!$B$2:$B$1001,$O185))</f>
      </c>
      <c r="C185">
        <f>IF($O185="","",INDEX(Master!$C$2:$C$1001,$O185))</f>
      </c>
      <c r="D185">
        <f>IF($O185="","",INDEX(Master!$A$2:$A$1001,$O185))</f>
      </c>
      <c r="E185">
        <f>IF($O185="","",INDEX(Master!$E$2:$E$1001,$O185))</f>
      </c>
      <c r="F185">
        <f>IF($O185="","",INDEX(Master!$F$2:$F$1001,$O185))</f>
      </c>
      <c r="G185">
        <f>IF($O185="","",INDEX(Master!$G$2:$G$1001,$O185))</f>
      </c>
      <c r="H185">
        <f>IF($O185="","",INDEX(Master!$H$2:$H$1001,$O185))</f>
      </c>
      <c r="I185">
        <f>IF($O185="","",INDEX(Master!$I$2:$I$1001,$O185))</f>
      </c>
      <c r="J185">
        <f>IF($O185="","",INDEX(Master!$J$2:$J$1001,$O185))</f>
      </c>
      <c r="K185">
        <f t="shared" si="4"/>
      </c>
      <c r="L185">
        <f>IF($O185="","",INDEX(Master!$K$2:$K$1001,$O185))</f>
      </c>
      <c r="M185">
        <f>IF($O185="","",INDEX(Master!$L$2:$L$1001,$O185))</f>
      </c>
      <c r="O185">
        <f t="array" ref="O185">IFERROR(SMALL(IF(Master!$A$2:$A$1001="VRKP",ROW(Master!$A$2:$A$1001)-ROW(Master!$A$2)+1),181),"")</f>
      </c>
      <c r="P185">
        <f t="shared" si="5"/>
      </c>
    </row>
    <row r="186" spans="1:16" x14ac:dyDescent="0.25">
      <c r="A186" s="235">
        <f>IF($O186="","",INDEX(Master!$D$2:$D$1001,$O186))</f>
      </c>
      <c r="B186" s="236">
        <f>IF($O186="","",INDEX(Master!$B$2:$B$1001,$O186))</f>
      </c>
      <c r="C186">
        <f>IF($O186="","",INDEX(Master!$C$2:$C$1001,$O186))</f>
      </c>
      <c r="D186">
        <f>IF($O186="","",INDEX(Master!$A$2:$A$1001,$O186))</f>
      </c>
      <c r="E186">
        <f>IF($O186="","",INDEX(Master!$E$2:$E$1001,$O186))</f>
      </c>
      <c r="F186">
        <f>IF($O186="","",INDEX(Master!$F$2:$F$1001,$O186))</f>
      </c>
      <c r="G186">
        <f>IF($O186="","",INDEX(Master!$G$2:$G$1001,$O186))</f>
      </c>
      <c r="H186">
        <f>IF($O186="","",INDEX(Master!$H$2:$H$1001,$O186))</f>
      </c>
      <c r="I186">
        <f>IF($O186="","",INDEX(Master!$I$2:$I$1001,$O186))</f>
      </c>
      <c r="J186">
        <f>IF($O186="","",INDEX(Master!$J$2:$J$1001,$O186))</f>
      </c>
      <c r="K186">
        <f t="shared" si="4"/>
      </c>
      <c r="L186">
        <f>IF($O186="","",INDEX(Master!$K$2:$K$1001,$O186))</f>
      </c>
      <c r="M186">
        <f>IF($O186="","",INDEX(Master!$L$2:$L$1001,$O186))</f>
      </c>
      <c r="O186">
        <f t="array" ref="O186">IFERROR(SMALL(IF(Master!$A$2:$A$1001="VRKP",ROW(Master!$A$2:$A$1001)-ROW(Master!$A$2)+1),182),"")</f>
      </c>
      <c r="P186">
        <f t="shared" si="5"/>
      </c>
    </row>
    <row r="187" spans="1:16" x14ac:dyDescent="0.25">
      <c r="A187" s="235">
        <f>IF($O187="","",INDEX(Master!$D$2:$D$1001,$O187))</f>
      </c>
      <c r="B187" s="236">
        <f>IF($O187="","",INDEX(Master!$B$2:$B$1001,$O187))</f>
      </c>
      <c r="C187">
        <f>IF($O187="","",INDEX(Master!$C$2:$C$1001,$O187))</f>
      </c>
      <c r="D187">
        <f>IF($O187="","",INDEX(Master!$A$2:$A$1001,$O187))</f>
      </c>
      <c r="E187">
        <f>IF($O187="","",INDEX(Master!$E$2:$E$1001,$O187))</f>
      </c>
      <c r="F187">
        <f>IF($O187="","",INDEX(Master!$F$2:$F$1001,$O187))</f>
      </c>
      <c r="G187">
        <f>IF($O187="","",INDEX(Master!$G$2:$G$1001,$O187))</f>
      </c>
      <c r="H187">
        <f>IF($O187="","",INDEX(Master!$H$2:$H$1001,$O187))</f>
      </c>
      <c r="I187">
        <f>IF($O187="","",INDEX(Master!$I$2:$I$1001,$O187))</f>
      </c>
      <c r="J187">
        <f>IF($O187="","",INDEX(Master!$J$2:$J$1001,$O187))</f>
      </c>
      <c r="K187">
        <f t="shared" si="4"/>
      </c>
      <c r="L187">
        <f>IF($O187="","",INDEX(Master!$K$2:$K$1001,$O187))</f>
      </c>
      <c r="M187">
        <f>IF($O187="","",INDEX(Master!$L$2:$L$1001,$O187))</f>
      </c>
      <c r="O187">
        <f t="array" ref="O187">IFERROR(SMALL(IF(Master!$A$2:$A$1001="VRKP",ROW(Master!$A$2:$A$1001)-ROW(Master!$A$2)+1),183),"")</f>
      </c>
      <c r="P187">
        <f t="shared" si="5"/>
      </c>
    </row>
    <row r="188" spans="1:16" x14ac:dyDescent="0.25">
      <c r="A188" s="235">
        <f>IF($O188="","",INDEX(Master!$D$2:$D$1001,$O188))</f>
      </c>
      <c r="B188" s="236">
        <f>IF($O188="","",INDEX(Master!$B$2:$B$1001,$O188))</f>
      </c>
      <c r="C188">
        <f>IF($O188="","",INDEX(Master!$C$2:$C$1001,$O188))</f>
      </c>
      <c r="D188">
        <f>IF($O188="","",INDEX(Master!$A$2:$A$1001,$O188))</f>
      </c>
      <c r="E188">
        <f>IF($O188="","",INDEX(Master!$E$2:$E$1001,$O188))</f>
      </c>
      <c r="F188">
        <f>IF($O188="","",INDEX(Master!$F$2:$F$1001,$O188))</f>
      </c>
      <c r="G188">
        <f>IF($O188="","",INDEX(Master!$G$2:$G$1001,$O188))</f>
      </c>
      <c r="H188">
        <f>IF($O188="","",INDEX(Master!$H$2:$H$1001,$O188))</f>
      </c>
      <c r="I188">
        <f>IF($O188="","",INDEX(Master!$I$2:$I$1001,$O188))</f>
      </c>
      <c r="J188">
        <f>IF($O188="","",INDEX(Master!$J$2:$J$1001,$O188))</f>
      </c>
      <c r="K188">
        <f t="shared" si="4"/>
      </c>
      <c r="L188">
        <f>IF($O188="","",INDEX(Master!$K$2:$K$1001,$O188))</f>
      </c>
      <c r="M188">
        <f>IF($O188="","",INDEX(Master!$L$2:$L$1001,$O188))</f>
      </c>
      <c r="O188">
        <f t="array" ref="O188">IFERROR(SMALL(IF(Master!$A$2:$A$1001="VRKP",ROW(Master!$A$2:$A$1001)-ROW(Master!$A$2)+1),184),"")</f>
      </c>
      <c r="P188">
        <f t="shared" si="5"/>
      </c>
    </row>
    <row r="189" spans="1:16" x14ac:dyDescent="0.25">
      <c r="A189" s="235">
        <f>IF($O189="","",INDEX(Master!$D$2:$D$1001,$O189))</f>
      </c>
      <c r="B189" s="236">
        <f>IF($O189="","",INDEX(Master!$B$2:$B$1001,$O189))</f>
      </c>
      <c r="C189">
        <f>IF($O189="","",INDEX(Master!$C$2:$C$1001,$O189))</f>
      </c>
      <c r="D189">
        <f>IF($O189="","",INDEX(Master!$A$2:$A$1001,$O189))</f>
      </c>
      <c r="E189">
        <f>IF($O189="","",INDEX(Master!$E$2:$E$1001,$O189))</f>
      </c>
      <c r="F189">
        <f>IF($O189="","",INDEX(Master!$F$2:$F$1001,$O189))</f>
      </c>
      <c r="G189">
        <f>IF($O189="","",INDEX(Master!$G$2:$G$1001,$O189))</f>
      </c>
      <c r="H189">
        <f>IF($O189="","",INDEX(Master!$H$2:$H$1001,$O189))</f>
      </c>
      <c r="I189">
        <f>IF($O189="","",INDEX(Master!$I$2:$I$1001,$O189))</f>
      </c>
      <c r="J189">
        <f>IF($O189="","",INDEX(Master!$J$2:$J$1001,$O189))</f>
      </c>
      <c r="K189">
        <f t="shared" si="4"/>
      </c>
      <c r="L189">
        <f>IF($O189="","",INDEX(Master!$K$2:$K$1001,$O189))</f>
      </c>
      <c r="M189">
        <f>IF($O189="","",INDEX(Master!$L$2:$L$1001,$O189))</f>
      </c>
      <c r="O189">
        <f t="array" ref="O189">IFERROR(SMALL(IF(Master!$A$2:$A$1001="VRKP",ROW(Master!$A$2:$A$1001)-ROW(Master!$A$2)+1),185),"")</f>
      </c>
      <c r="P189">
        <f t="shared" si="5"/>
      </c>
    </row>
    <row r="190" spans="1:16" x14ac:dyDescent="0.25">
      <c r="A190" s="235">
        <f>IF($O190="","",INDEX(Master!$D$2:$D$1001,$O190))</f>
      </c>
      <c r="B190" s="236">
        <f>IF($O190="","",INDEX(Master!$B$2:$B$1001,$O190))</f>
      </c>
      <c r="C190">
        <f>IF($O190="","",INDEX(Master!$C$2:$C$1001,$O190))</f>
      </c>
      <c r="D190">
        <f>IF($O190="","",INDEX(Master!$A$2:$A$1001,$O190))</f>
      </c>
      <c r="E190">
        <f>IF($O190="","",INDEX(Master!$E$2:$E$1001,$O190))</f>
      </c>
      <c r="F190">
        <f>IF($O190="","",INDEX(Master!$F$2:$F$1001,$O190))</f>
      </c>
      <c r="G190">
        <f>IF($O190="","",INDEX(Master!$G$2:$G$1001,$O190))</f>
      </c>
      <c r="H190">
        <f>IF($O190="","",INDEX(Master!$H$2:$H$1001,$O190))</f>
      </c>
      <c r="I190">
        <f>IF($O190="","",INDEX(Master!$I$2:$I$1001,$O190))</f>
      </c>
      <c r="J190">
        <f>IF($O190="","",INDEX(Master!$J$2:$J$1001,$O190))</f>
      </c>
      <c r="K190">
        <f t="shared" si="4"/>
      </c>
      <c r="L190">
        <f>IF($O190="","",INDEX(Master!$K$2:$K$1001,$O190))</f>
      </c>
      <c r="M190">
        <f>IF($O190="","",INDEX(Master!$L$2:$L$1001,$O190))</f>
      </c>
      <c r="O190">
        <f t="array" ref="O190">IFERROR(SMALL(IF(Master!$A$2:$A$1001="VRKP",ROW(Master!$A$2:$A$1001)-ROW(Master!$A$2)+1),186),"")</f>
      </c>
      <c r="P190">
        <f t="shared" si="5"/>
      </c>
    </row>
    <row r="191" spans="1:16" x14ac:dyDescent="0.25">
      <c r="A191" s="235">
        <f>IF($O191="","",INDEX(Master!$D$2:$D$1001,$O191))</f>
      </c>
      <c r="B191" s="236">
        <f>IF($O191="","",INDEX(Master!$B$2:$B$1001,$O191))</f>
      </c>
      <c r="C191">
        <f>IF($O191="","",INDEX(Master!$C$2:$C$1001,$O191))</f>
      </c>
      <c r="D191">
        <f>IF($O191="","",INDEX(Master!$A$2:$A$1001,$O191))</f>
      </c>
      <c r="E191">
        <f>IF($O191="","",INDEX(Master!$E$2:$E$1001,$O191))</f>
      </c>
      <c r="F191">
        <f>IF($O191="","",INDEX(Master!$F$2:$F$1001,$O191))</f>
      </c>
      <c r="G191">
        <f>IF($O191="","",INDEX(Master!$G$2:$G$1001,$O191))</f>
      </c>
      <c r="H191">
        <f>IF($O191="","",INDEX(Master!$H$2:$H$1001,$O191))</f>
      </c>
      <c r="I191">
        <f>IF($O191="","",INDEX(Master!$I$2:$I$1001,$O191))</f>
      </c>
      <c r="J191">
        <f>IF($O191="","",INDEX(Master!$J$2:$J$1001,$O191))</f>
      </c>
      <c r="K191">
        <f t="shared" si="4"/>
      </c>
      <c r="L191">
        <f>IF($O191="","",INDEX(Master!$K$2:$K$1001,$O191))</f>
      </c>
      <c r="M191">
        <f>IF($O191="","",INDEX(Master!$L$2:$L$1001,$O191))</f>
      </c>
      <c r="O191">
        <f t="array" ref="O191">IFERROR(SMALL(IF(Master!$A$2:$A$1001="VRKP",ROW(Master!$A$2:$A$1001)-ROW(Master!$A$2)+1),187),"")</f>
      </c>
      <c r="P191">
        <f t="shared" si="5"/>
      </c>
    </row>
    <row r="192" spans="1:16" x14ac:dyDescent="0.25">
      <c r="A192" s="235">
        <f>IF($O192="","",INDEX(Master!$D$2:$D$1001,$O192))</f>
      </c>
      <c r="B192" s="236">
        <f>IF($O192="","",INDEX(Master!$B$2:$B$1001,$O192))</f>
      </c>
      <c r="C192">
        <f>IF($O192="","",INDEX(Master!$C$2:$C$1001,$O192))</f>
      </c>
      <c r="D192">
        <f>IF($O192="","",INDEX(Master!$A$2:$A$1001,$O192))</f>
      </c>
      <c r="E192">
        <f>IF($O192="","",INDEX(Master!$E$2:$E$1001,$O192))</f>
      </c>
      <c r="F192">
        <f>IF($O192="","",INDEX(Master!$F$2:$F$1001,$O192))</f>
      </c>
      <c r="G192">
        <f>IF($O192="","",INDEX(Master!$G$2:$G$1001,$O192))</f>
      </c>
      <c r="H192">
        <f>IF($O192="","",INDEX(Master!$H$2:$H$1001,$O192))</f>
      </c>
      <c r="I192">
        <f>IF($O192="","",INDEX(Master!$I$2:$I$1001,$O192))</f>
      </c>
      <c r="J192">
        <f>IF($O192="","",INDEX(Master!$J$2:$J$1001,$O192))</f>
      </c>
      <c r="K192">
        <f t="shared" si="4"/>
      </c>
      <c r="L192">
        <f>IF($O192="","",INDEX(Master!$K$2:$K$1001,$O192))</f>
      </c>
      <c r="M192">
        <f>IF($O192="","",INDEX(Master!$L$2:$L$1001,$O192))</f>
      </c>
      <c r="O192">
        <f t="array" ref="O192">IFERROR(SMALL(IF(Master!$A$2:$A$1001="VRKP",ROW(Master!$A$2:$A$1001)-ROW(Master!$A$2)+1),188),"")</f>
      </c>
      <c r="P192">
        <f t="shared" si="5"/>
      </c>
    </row>
    <row r="193" spans="1:16" x14ac:dyDescent="0.25">
      <c r="A193" s="235">
        <f>IF($O193="","",INDEX(Master!$D$2:$D$1001,$O193))</f>
      </c>
      <c r="B193" s="236">
        <f>IF($O193="","",INDEX(Master!$B$2:$B$1001,$O193))</f>
      </c>
      <c r="C193">
        <f>IF($O193="","",INDEX(Master!$C$2:$C$1001,$O193))</f>
      </c>
      <c r="D193">
        <f>IF($O193="","",INDEX(Master!$A$2:$A$1001,$O193))</f>
      </c>
      <c r="E193">
        <f>IF($O193="","",INDEX(Master!$E$2:$E$1001,$O193))</f>
      </c>
      <c r="F193">
        <f>IF($O193="","",INDEX(Master!$F$2:$F$1001,$O193))</f>
      </c>
      <c r="G193">
        <f>IF($O193="","",INDEX(Master!$G$2:$G$1001,$O193))</f>
      </c>
      <c r="H193">
        <f>IF($O193="","",INDEX(Master!$H$2:$H$1001,$O193))</f>
      </c>
      <c r="I193">
        <f>IF($O193="","",INDEX(Master!$I$2:$I$1001,$O193))</f>
      </c>
      <c r="J193">
        <f>IF($O193="","",INDEX(Master!$J$2:$J$1001,$O193))</f>
      </c>
      <c r="K193">
        <f t="shared" si="4"/>
      </c>
      <c r="L193">
        <f>IF($O193="","",INDEX(Master!$K$2:$K$1001,$O193))</f>
      </c>
      <c r="M193">
        <f>IF($O193="","",INDEX(Master!$L$2:$L$1001,$O193))</f>
      </c>
      <c r="O193">
        <f t="array" ref="O193">IFERROR(SMALL(IF(Master!$A$2:$A$1001="VRKP",ROW(Master!$A$2:$A$1001)-ROW(Master!$A$2)+1),189),"")</f>
      </c>
      <c r="P193">
        <f t="shared" si="5"/>
      </c>
    </row>
    <row r="194" spans="1:16" x14ac:dyDescent="0.25">
      <c r="A194" s="235">
        <f>IF($O194="","",INDEX(Master!$D$2:$D$1001,$O194))</f>
      </c>
      <c r="B194" s="236">
        <f>IF($O194="","",INDEX(Master!$B$2:$B$1001,$O194))</f>
      </c>
      <c r="C194">
        <f>IF($O194="","",INDEX(Master!$C$2:$C$1001,$O194))</f>
      </c>
      <c r="D194">
        <f>IF($O194="","",INDEX(Master!$A$2:$A$1001,$O194))</f>
      </c>
      <c r="E194">
        <f>IF($O194="","",INDEX(Master!$E$2:$E$1001,$O194))</f>
      </c>
      <c r="F194">
        <f>IF($O194="","",INDEX(Master!$F$2:$F$1001,$O194))</f>
      </c>
      <c r="G194">
        <f>IF($O194="","",INDEX(Master!$G$2:$G$1001,$O194))</f>
      </c>
      <c r="H194">
        <f>IF($O194="","",INDEX(Master!$H$2:$H$1001,$O194))</f>
      </c>
      <c r="I194">
        <f>IF($O194="","",INDEX(Master!$I$2:$I$1001,$O194))</f>
      </c>
      <c r="J194">
        <f>IF($O194="","",INDEX(Master!$J$2:$J$1001,$O194))</f>
      </c>
      <c r="K194">
        <f t="shared" si="4"/>
      </c>
      <c r="L194">
        <f>IF($O194="","",INDEX(Master!$K$2:$K$1001,$O194))</f>
      </c>
      <c r="M194">
        <f>IF($O194="","",INDEX(Master!$L$2:$L$1001,$O194))</f>
      </c>
      <c r="O194">
        <f t="array" ref="O194">IFERROR(SMALL(IF(Master!$A$2:$A$1001="VRKP",ROW(Master!$A$2:$A$1001)-ROW(Master!$A$2)+1),190),"")</f>
      </c>
      <c r="P194">
        <f t="shared" si="5"/>
      </c>
    </row>
    <row r="195" spans="1:16" x14ac:dyDescent="0.25">
      <c r="A195" s="235">
        <f>IF($O195="","",INDEX(Master!$D$2:$D$1001,$O195))</f>
      </c>
      <c r="B195" s="236">
        <f>IF($O195="","",INDEX(Master!$B$2:$B$1001,$O195))</f>
      </c>
      <c r="C195">
        <f>IF($O195="","",INDEX(Master!$C$2:$C$1001,$O195))</f>
      </c>
      <c r="D195">
        <f>IF($O195="","",INDEX(Master!$A$2:$A$1001,$O195))</f>
      </c>
      <c r="E195">
        <f>IF($O195="","",INDEX(Master!$E$2:$E$1001,$O195))</f>
      </c>
      <c r="F195">
        <f>IF($O195="","",INDEX(Master!$F$2:$F$1001,$O195))</f>
      </c>
      <c r="G195">
        <f>IF($O195="","",INDEX(Master!$G$2:$G$1001,$O195))</f>
      </c>
      <c r="H195">
        <f>IF($O195="","",INDEX(Master!$H$2:$H$1001,$O195))</f>
      </c>
      <c r="I195">
        <f>IF($O195="","",INDEX(Master!$I$2:$I$1001,$O195))</f>
      </c>
      <c r="J195">
        <f>IF($O195="","",INDEX(Master!$J$2:$J$1001,$O195))</f>
      </c>
      <c r="K195">
        <f t="shared" si="4"/>
      </c>
      <c r="L195">
        <f>IF($O195="","",INDEX(Master!$K$2:$K$1001,$O195))</f>
      </c>
      <c r="M195">
        <f>IF($O195="","",INDEX(Master!$L$2:$L$1001,$O195))</f>
      </c>
      <c r="O195">
        <f t="array" ref="O195">IFERROR(SMALL(IF(Master!$A$2:$A$1001="VRKP",ROW(Master!$A$2:$A$1001)-ROW(Master!$A$2)+1),191),"")</f>
      </c>
      <c r="P195">
        <f t="shared" si="5"/>
      </c>
    </row>
    <row r="196" spans="1:16" x14ac:dyDescent="0.25">
      <c r="A196" s="235">
        <f>IF($O196="","",INDEX(Master!$D$2:$D$1001,$O196))</f>
      </c>
      <c r="B196" s="236">
        <f>IF($O196="","",INDEX(Master!$B$2:$B$1001,$O196))</f>
      </c>
      <c r="C196">
        <f>IF($O196="","",INDEX(Master!$C$2:$C$1001,$O196))</f>
      </c>
      <c r="D196">
        <f>IF($O196="","",INDEX(Master!$A$2:$A$1001,$O196))</f>
      </c>
      <c r="E196">
        <f>IF($O196="","",INDEX(Master!$E$2:$E$1001,$O196))</f>
      </c>
      <c r="F196">
        <f>IF($O196="","",INDEX(Master!$F$2:$F$1001,$O196))</f>
      </c>
      <c r="G196">
        <f>IF($O196="","",INDEX(Master!$G$2:$G$1001,$O196))</f>
      </c>
      <c r="H196">
        <f>IF($O196="","",INDEX(Master!$H$2:$H$1001,$O196))</f>
      </c>
      <c r="I196">
        <f>IF($O196="","",INDEX(Master!$I$2:$I$1001,$O196))</f>
      </c>
      <c r="J196">
        <f>IF($O196="","",INDEX(Master!$J$2:$J$1001,$O196))</f>
      </c>
      <c r="K196">
        <f t="shared" si="4"/>
      </c>
      <c r="L196">
        <f>IF($O196="","",INDEX(Master!$K$2:$K$1001,$O196))</f>
      </c>
      <c r="M196">
        <f>IF($O196="","",INDEX(Master!$L$2:$L$1001,$O196))</f>
      </c>
      <c r="O196">
        <f t="array" ref="O196">IFERROR(SMALL(IF(Master!$A$2:$A$1001="VRKP",ROW(Master!$A$2:$A$1001)-ROW(Master!$A$2)+1),192),"")</f>
      </c>
      <c r="P196">
        <f t="shared" si="5"/>
      </c>
    </row>
    <row r="197" spans="1:16" x14ac:dyDescent="0.25">
      <c r="A197" s="235">
        <f>IF($O197="","",INDEX(Master!$D$2:$D$1001,$O197))</f>
      </c>
      <c r="B197" s="236">
        <f>IF($O197="","",INDEX(Master!$B$2:$B$1001,$O197))</f>
      </c>
      <c r="C197">
        <f>IF($O197="","",INDEX(Master!$C$2:$C$1001,$O197))</f>
      </c>
      <c r="D197">
        <f>IF($O197="","",INDEX(Master!$A$2:$A$1001,$O197))</f>
      </c>
      <c r="E197">
        <f>IF($O197="","",INDEX(Master!$E$2:$E$1001,$O197))</f>
      </c>
      <c r="F197">
        <f>IF($O197="","",INDEX(Master!$F$2:$F$1001,$O197))</f>
      </c>
      <c r="G197">
        <f>IF($O197="","",INDEX(Master!$G$2:$G$1001,$O197))</f>
      </c>
      <c r="H197">
        <f>IF($O197="","",INDEX(Master!$H$2:$H$1001,$O197))</f>
      </c>
      <c r="I197">
        <f>IF($O197="","",INDEX(Master!$I$2:$I$1001,$O197))</f>
      </c>
      <c r="J197">
        <f>IF($O197="","",INDEX(Master!$J$2:$J$1001,$O197))</f>
      </c>
      <c r="K197">
        <f t="shared" ref="K197:K260" si="6">IF(OR($O197="",$F197="",$F197=0),"",$H197/$F197)</f>
      </c>
      <c r="L197">
        <f>IF($O197="","",INDEX(Master!$K$2:$K$1001,$O197))</f>
      </c>
      <c r="M197">
        <f>IF($O197="","",INDEX(Master!$L$2:$L$1001,$O197))</f>
      </c>
      <c r="O197">
        <f t="array" ref="O197">IFERROR(SMALL(IF(Master!$A$2:$A$1001="VRKP",ROW(Master!$A$2:$A$1001)-ROW(Master!$A$2)+1),193),"")</f>
      </c>
      <c r="P197">
        <f t="shared" ref="P197:P260" si="7">IF($A197="",0,IF(OR(AND($E197&lt;&gt;"",OR($E197&gt;0.12)),AND($F197&lt;&gt;"",OR($F197&gt;0.05)),AND($G197&lt;&gt;"",OR($G197&gt;0.085)),AND($H197&lt;&gt;"",$H197&lt;0.5),AND($I197&lt;&gt;"",$I197&gt;120),AND($J197&lt;&gt;"",OR($J197&lt;0.08))),1,0))</f>
      </c>
    </row>
    <row r="198" spans="1:16" x14ac:dyDescent="0.25">
      <c r="A198" s="235">
        <f>IF($O198="","",INDEX(Master!$D$2:$D$1001,$O198))</f>
      </c>
      <c r="B198" s="236">
        <f>IF($O198="","",INDEX(Master!$B$2:$B$1001,$O198))</f>
      </c>
      <c r="C198">
        <f>IF($O198="","",INDEX(Master!$C$2:$C$1001,$O198))</f>
      </c>
      <c r="D198">
        <f>IF($O198="","",INDEX(Master!$A$2:$A$1001,$O198))</f>
      </c>
      <c r="E198">
        <f>IF($O198="","",INDEX(Master!$E$2:$E$1001,$O198))</f>
      </c>
      <c r="F198">
        <f>IF($O198="","",INDEX(Master!$F$2:$F$1001,$O198))</f>
      </c>
      <c r="G198">
        <f>IF($O198="","",INDEX(Master!$G$2:$G$1001,$O198))</f>
      </c>
      <c r="H198">
        <f>IF($O198="","",INDEX(Master!$H$2:$H$1001,$O198))</f>
      </c>
      <c r="I198">
        <f>IF($O198="","",INDEX(Master!$I$2:$I$1001,$O198))</f>
      </c>
      <c r="J198">
        <f>IF($O198="","",INDEX(Master!$J$2:$J$1001,$O198))</f>
      </c>
      <c r="K198">
        <f t="shared" si="6"/>
      </c>
      <c r="L198">
        <f>IF($O198="","",INDEX(Master!$K$2:$K$1001,$O198))</f>
      </c>
      <c r="M198">
        <f>IF($O198="","",INDEX(Master!$L$2:$L$1001,$O198))</f>
      </c>
      <c r="O198">
        <f t="array" ref="O198">IFERROR(SMALL(IF(Master!$A$2:$A$1001="VRKP",ROW(Master!$A$2:$A$1001)-ROW(Master!$A$2)+1),194),"")</f>
      </c>
      <c r="P198">
        <f t="shared" si="7"/>
      </c>
    </row>
    <row r="199" spans="1:16" x14ac:dyDescent="0.25">
      <c r="A199" s="235">
        <f>IF($O199="","",INDEX(Master!$D$2:$D$1001,$O199))</f>
      </c>
      <c r="B199" s="236">
        <f>IF($O199="","",INDEX(Master!$B$2:$B$1001,$O199))</f>
      </c>
      <c r="C199">
        <f>IF($O199="","",INDEX(Master!$C$2:$C$1001,$O199))</f>
      </c>
      <c r="D199">
        <f>IF($O199="","",INDEX(Master!$A$2:$A$1001,$O199))</f>
      </c>
      <c r="E199">
        <f>IF($O199="","",INDEX(Master!$E$2:$E$1001,$O199))</f>
      </c>
      <c r="F199">
        <f>IF($O199="","",INDEX(Master!$F$2:$F$1001,$O199))</f>
      </c>
      <c r="G199">
        <f>IF($O199="","",INDEX(Master!$G$2:$G$1001,$O199))</f>
      </c>
      <c r="H199">
        <f>IF($O199="","",INDEX(Master!$H$2:$H$1001,$O199))</f>
      </c>
      <c r="I199">
        <f>IF($O199="","",INDEX(Master!$I$2:$I$1001,$O199))</f>
      </c>
      <c r="J199">
        <f>IF($O199="","",INDEX(Master!$J$2:$J$1001,$O199))</f>
      </c>
      <c r="K199">
        <f t="shared" si="6"/>
      </c>
      <c r="L199">
        <f>IF($O199="","",INDEX(Master!$K$2:$K$1001,$O199))</f>
      </c>
      <c r="M199">
        <f>IF($O199="","",INDEX(Master!$L$2:$L$1001,$O199))</f>
      </c>
      <c r="O199">
        <f t="array" ref="O199">IFERROR(SMALL(IF(Master!$A$2:$A$1001="VRKP",ROW(Master!$A$2:$A$1001)-ROW(Master!$A$2)+1),195),"")</f>
      </c>
      <c r="P199">
        <f t="shared" si="7"/>
      </c>
    </row>
    <row r="200" spans="1:16" x14ac:dyDescent="0.25">
      <c r="A200" s="235">
        <f>IF($O200="","",INDEX(Master!$D$2:$D$1001,$O200))</f>
      </c>
      <c r="B200" s="236">
        <f>IF($O200="","",INDEX(Master!$B$2:$B$1001,$O200))</f>
      </c>
      <c r="C200">
        <f>IF($O200="","",INDEX(Master!$C$2:$C$1001,$O200))</f>
      </c>
      <c r="D200">
        <f>IF($O200="","",INDEX(Master!$A$2:$A$1001,$O200))</f>
      </c>
      <c r="E200">
        <f>IF($O200="","",INDEX(Master!$E$2:$E$1001,$O200))</f>
      </c>
      <c r="F200">
        <f>IF($O200="","",INDEX(Master!$F$2:$F$1001,$O200))</f>
      </c>
      <c r="G200">
        <f>IF($O200="","",INDEX(Master!$G$2:$G$1001,$O200))</f>
      </c>
      <c r="H200">
        <f>IF($O200="","",INDEX(Master!$H$2:$H$1001,$O200))</f>
      </c>
      <c r="I200">
        <f>IF($O200="","",INDEX(Master!$I$2:$I$1001,$O200))</f>
      </c>
      <c r="J200">
        <f>IF($O200="","",INDEX(Master!$J$2:$J$1001,$O200))</f>
      </c>
      <c r="K200">
        <f t="shared" si="6"/>
      </c>
      <c r="L200">
        <f>IF($O200="","",INDEX(Master!$K$2:$K$1001,$O200))</f>
      </c>
      <c r="M200">
        <f>IF($O200="","",INDEX(Master!$L$2:$L$1001,$O200))</f>
      </c>
      <c r="O200">
        <f t="array" ref="O200">IFERROR(SMALL(IF(Master!$A$2:$A$1001="VRKP",ROW(Master!$A$2:$A$1001)-ROW(Master!$A$2)+1),196),"")</f>
      </c>
      <c r="P200">
        <f t="shared" si="7"/>
      </c>
    </row>
    <row r="201" spans="1:16" x14ac:dyDescent="0.25">
      <c r="A201" s="235">
        <f>IF($O201="","",INDEX(Master!$D$2:$D$1001,$O201))</f>
      </c>
      <c r="B201" s="236">
        <f>IF($O201="","",INDEX(Master!$B$2:$B$1001,$O201))</f>
      </c>
      <c r="C201">
        <f>IF($O201="","",INDEX(Master!$C$2:$C$1001,$O201))</f>
      </c>
      <c r="D201">
        <f>IF($O201="","",INDEX(Master!$A$2:$A$1001,$O201))</f>
      </c>
      <c r="E201">
        <f>IF($O201="","",INDEX(Master!$E$2:$E$1001,$O201))</f>
      </c>
      <c r="F201">
        <f>IF($O201="","",INDEX(Master!$F$2:$F$1001,$O201))</f>
      </c>
      <c r="G201">
        <f>IF($O201="","",INDEX(Master!$G$2:$G$1001,$O201))</f>
      </c>
      <c r="H201">
        <f>IF($O201="","",INDEX(Master!$H$2:$H$1001,$O201))</f>
      </c>
      <c r="I201">
        <f>IF($O201="","",INDEX(Master!$I$2:$I$1001,$O201))</f>
      </c>
      <c r="J201">
        <f>IF($O201="","",INDEX(Master!$J$2:$J$1001,$O201))</f>
      </c>
      <c r="K201">
        <f t="shared" si="6"/>
      </c>
      <c r="L201">
        <f>IF($O201="","",INDEX(Master!$K$2:$K$1001,$O201))</f>
      </c>
      <c r="M201">
        <f>IF($O201="","",INDEX(Master!$L$2:$L$1001,$O201))</f>
      </c>
      <c r="O201">
        <f t="array" ref="O201">IFERROR(SMALL(IF(Master!$A$2:$A$1001="VRKP",ROW(Master!$A$2:$A$1001)-ROW(Master!$A$2)+1),197),"")</f>
      </c>
      <c r="P201">
        <f t="shared" si="7"/>
      </c>
    </row>
    <row r="202" spans="1:16" x14ac:dyDescent="0.25">
      <c r="A202" s="235">
        <f>IF($O202="","",INDEX(Master!$D$2:$D$1001,$O202))</f>
      </c>
      <c r="B202" s="236">
        <f>IF($O202="","",INDEX(Master!$B$2:$B$1001,$O202))</f>
      </c>
      <c r="C202">
        <f>IF($O202="","",INDEX(Master!$C$2:$C$1001,$O202))</f>
      </c>
      <c r="D202">
        <f>IF($O202="","",INDEX(Master!$A$2:$A$1001,$O202))</f>
      </c>
      <c r="E202">
        <f>IF($O202="","",INDEX(Master!$E$2:$E$1001,$O202))</f>
      </c>
      <c r="F202">
        <f>IF($O202="","",INDEX(Master!$F$2:$F$1001,$O202))</f>
      </c>
      <c r="G202">
        <f>IF($O202="","",INDEX(Master!$G$2:$G$1001,$O202))</f>
      </c>
      <c r="H202">
        <f>IF($O202="","",INDEX(Master!$H$2:$H$1001,$O202))</f>
      </c>
      <c r="I202">
        <f>IF($O202="","",INDEX(Master!$I$2:$I$1001,$O202))</f>
      </c>
      <c r="J202">
        <f>IF($O202="","",INDEX(Master!$J$2:$J$1001,$O202))</f>
      </c>
      <c r="K202">
        <f t="shared" si="6"/>
      </c>
      <c r="L202">
        <f>IF($O202="","",INDEX(Master!$K$2:$K$1001,$O202))</f>
      </c>
      <c r="M202">
        <f>IF($O202="","",INDEX(Master!$L$2:$L$1001,$O202))</f>
      </c>
      <c r="O202">
        <f t="array" ref="O202">IFERROR(SMALL(IF(Master!$A$2:$A$1001="VRKP",ROW(Master!$A$2:$A$1001)-ROW(Master!$A$2)+1),198),"")</f>
      </c>
      <c r="P202">
        <f t="shared" si="7"/>
      </c>
    </row>
    <row r="203" spans="1:16" x14ac:dyDescent="0.25">
      <c r="A203" s="235">
        <f>IF($O203="","",INDEX(Master!$D$2:$D$1001,$O203))</f>
      </c>
      <c r="B203" s="236">
        <f>IF($O203="","",INDEX(Master!$B$2:$B$1001,$O203))</f>
      </c>
      <c r="C203">
        <f>IF($O203="","",INDEX(Master!$C$2:$C$1001,$O203))</f>
      </c>
      <c r="D203">
        <f>IF($O203="","",INDEX(Master!$A$2:$A$1001,$O203))</f>
      </c>
      <c r="E203">
        <f>IF($O203="","",INDEX(Master!$E$2:$E$1001,$O203))</f>
      </c>
      <c r="F203">
        <f>IF($O203="","",INDEX(Master!$F$2:$F$1001,$O203))</f>
      </c>
      <c r="G203">
        <f>IF($O203="","",INDEX(Master!$G$2:$G$1001,$O203))</f>
      </c>
      <c r="H203">
        <f>IF($O203="","",INDEX(Master!$H$2:$H$1001,$O203))</f>
      </c>
      <c r="I203">
        <f>IF($O203="","",INDEX(Master!$I$2:$I$1001,$O203))</f>
      </c>
      <c r="J203">
        <f>IF($O203="","",INDEX(Master!$J$2:$J$1001,$O203))</f>
      </c>
      <c r="K203">
        <f t="shared" si="6"/>
      </c>
      <c r="L203">
        <f>IF($O203="","",INDEX(Master!$K$2:$K$1001,$O203))</f>
      </c>
      <c r="M203">
        <f>IF($O203="","",INDEX(Master!$L$2:$L$1001,$O203))</f>
      </c>
      <c r="O203">
        <f t="array" ref="O203">IFERROR(SMALL(IF(Master!$A$2:$A$1001="VRKP",ROW(Master!$A$2:$A$1001)-ROW(Master!$A$2)+1),199),"")</f>
      </c>
      <c r="P203">
        <f t="shared" si="7"/>
      </c>
    </row>
    <row r="204" spans="1:16" x14ac:dyDescent="0.25">
      <c r="A204" s="235">
        <f>IF($O204="","",INDEX(Master!$D$2:$D$1001,$O204))</f>
      </c>
      <c r="B204" s="236">
        <f>IF($O204="","",INDEX(Master!$B$2:$B$1001,$O204))</f>
      </c>
      <c r="C204">
        <f>IF($O204="","",INDEX(Master!$C$2:$C$1001,$O204))</f>
      </c>
      <c r="D204">
        <f>IF($O204="","",INDEX(Master!$A$2:$A$1001,$O204))</f>
      </c>
      <c r="E204">
        <f>IF($O204="","",INDEX(Master!$E$2:$E$1001,$O204))</f>
      </c>
      <c r="F204">
        <f>IF($O204="","",INDEX(Master!$F$2:$F$1001,$O204))</f>
      </c>
      <c r="G204">
        <f>IF($O204="","",INDEX(Master!$G$2:$G$1001,$O204))</f>
      </c>
      <c r="H204">
        <f>IF($O204="","",INDEX(Master!$H$2:$H$1001,$O204))</f>
      </c>
      <c r="I204">
        <f>IF($O204="","",INDEX(Master!$I$2:$I$1001,$O204))</f>
      </c>
      <c r="J204">
        <f>IF($O204="","",INDEX(Master!$J$2:$J$1001,$O204))</f>
      </c>
      <c r="K204">
        <f t="shared" si="6"/>
      </c>
      <c r="L204">
        <f>IF($O204="","",INDEX(Master!$K$2:$K$1001,$O204))</f>
      </c>
      <c r="M204">
        <f>IF($O204="","",INDEX(Master!$L$2:$L$1001,$O204))</f>
      </c>
      <c r="O204">
        <f t="array" ref="O204">IFERROR(SMALL(IF(Master!$A$2:$A$1001="VRKP",ROW(Master!$A$2:$A$1001)-ROW(Master!$A$2)+1),200),"")</f>
      </c>
      <c r="P204">
        <f t="shared" si="7"/>
      </c>
    </row>
    <row r="205" spans="1:16" x14ac:dyDescent="0.25">
      <c r="A205" s="235">
        <f>IF($O205="","",INDEX(Master!$D$2:$D$1001,$O205))</f>
      </c>
      <c r="B205" s="236">
        <f>IF($O205="","",INDEX(Master!$B$2:$B$1001,$O205))</f>
      </c>
      <c r="C205">
        <f>IF($O205="","",INDEX(Master!$C$2:$C$1001,$O205))</f>
      </c>
      <c r="D205">
        <f>IF($O205="","",INDEX(Master!$A$2:$A$1001,$O205))</f>
      </c>
      <c r="E205">
        <f>IF($O205="","",INDEX(Master!$E$2:$E$1001,$O205))</f>
      </c>
      <c r="F205">
        <f>IF($O205="","",INDEX(Master!$F$2:$F$1001,$O205))</f>
      </c>
      <c r="G205">
        <f>IF($O205="","",INDEX(Master!$G$2:$G$1001,$O205))</f>
      </c>
      <c r="H205">
        <f>IF($O205="","",INDEX(Master!$H$2:$H$1001,$O205))</f>
      </c>
      <c r="I205">
        <f>IF($O205="","",INDEX(Master!$I$2:$I$1001,$O205))</f>
      </c>
      <c r="J205">
        <f>IF($O205="","",INDEX(Master!$J$2:$J$1001,$O205))</f>
      </c>
      <c r="K205">
        <f t="shared" si="6"/>
      </c>
      <c r="L205">
        <f>IF($O205="","",INDEX(Master!$K$2:$K$1001,$O205))</f>
      </c>
      <c r="M205">
        <f>IF($O205="","",INDEX(Master!$L$2:$L$1001,$O205))</f>
      </c>
      <c r="O205">
        <f t="array" ref="O205">IFERROR(SMALL(IF(Master!$A$2:$A$1001="VRKP",ROW(Master!$A$2:$A$1001)-ROW(Master!$A$2)+1),201),"")</f>
      </c>
      <c r="P205">
        <f t="shared" si="7"/>
      </c>
    </row>
    <row r="206" spans="1:16" x14ac:dyDescent="0.25">
      <c r="A206" s="235">
        <f>IF($O206="","",INDEX(Master!$D$2:$D$1001,$O206))</f>
      </c>
      <c r="B206" s="236">
        <f>IF($O206="","",INDEX(Master!$B$2:$B$1001,$O206))</f>
      </c>
      <c r="C206">
        <f>IF($O206="","",INDEX(Master!$C$2:$C$1001,$O206))</f>
      </c>
      <c r="D206">
        <f>IF($O206="","",INDEX(Master!$A$2:$A$1001,$O206))</f>
      </c>
      <c r="E206">
        <f>IF($O206="","",INDEX(Master!$E$2:$E$1001,$O206))</f>
      </c>
      <c r="F206">
        <f>IF($O206="","",INDEX(Master!$F$2:$F$1001,$O206))</f>
      </c>
      <c r="G206">
        <f>IF($O206="","",INDEX(Master!$G$2:$G$1001,$O206))</f>
      </c>
      <c r="H206">
        <f>IF($O206="","",INDEX(Master!$H$2:$H$1001,$O206))</f>
      </c>
      <c r="I206">
        <f>IF($O206="","",INDEX(Master!$I$2:$I$1001,$O206))</f>
      </c>
      <c r="J206">
        <f>IF($O206="","",INDEX(Master!$J$2:$J$1001,$O206))</f>
      </c>
      <c r="K206">
        <f t="shared" si="6"/>
      </c>
      <c r="L206">
        <f>IF($O206="","",INDEX(Master!$K$2:$K$1001,$O206))</f>
      </c>
      <c r="M206">
        <f>IF($O206="","",INDEX(Master!$L$2:$L$1001,$O206))</f>
      </c>
      <c r="O206">
        <f t="array" ref="O206">IFERROR(SMALL(IF(Master!$A$2:$A$1001="VRKP",ROW(Master!$A$2:$A$1001)-ROW(Master!$A$2)+1),202),"")</f>
      </c>
      <c r="P206">
        <f t="shared" si="7"/>
      </c>
    </row>
    <row r="207" spans="1:16" x14ac:dyDescent="0.25">
      <c r="A207" s="235">
        <f>IF($O207="","",INDEX(Master!$D$2:$D$1001,$O207))</f>
      </c>
      <c r="B207" s="236">
        <f>IF($O207="","",INDEX(Master!$B$2:$B$1001,$O207))</f>
      </c>
      <c r="C207">
        <f>IF($O207="","",INDEX(Master!$C$2:$C$1001,$O207))</f>
      </c>
      <c r="D207">
        <f>IF($O207="","",INDEX(Master!$A$2:$A$1001,$O207))</f>
      </c>
      <c r="E207">
        <f>IF($O207="","",INDEX(Master!$E$2:$E$1001,$O207))</f>
      </c>
      <c r="F207">
        <f>IF($O207="","",INDEX(Master!$F$2:$F$1001,$O207))</f>
      </c>
      <c r="G207">
        <f>IF($O207="","",INDEX(Master!$G$2:$G$1001,$O207))</f>
      </c>
      <c r="H207">
        <f>IF($O207="","",INDEX(Master!$H$2:$H$1001,$O207))</f>
      </c>
      <c r="I207">
        <f>IF($O207="","",INDEX(Master!$I$2:$I$1001,$O207))</f>
      </c>
      <c r="J207">
        <f>IF($O207="","",INDEX(Master!$J$2:$J$1001,$O207))</f>
      </c>
      <c r="K207">
        <f t="shared" si="6"/>
      </c>
      <c r="L207">
        <f>IF($O207="","",INDEX(Master!$K$2:$K$1001,$O207))</f>
      </c>
      <c r="M207">
        <f>IF($O207="","",INDEX(Master!$L$2:$L$1001,$O207))</f>
      </c>
      <c r="O207">
        <f t="array" ref="O207">IFERROR(SMALL(IF(Master!$A$2:$A$1001="VRKP",ROW(Master!$A$2:$A$1001)-ROW(Master!$A$2)+1),203),"")</f>
      </c>
      <c r="P207">
        <f t="shared" si="7"/>
      </c>
    </row>
    <row r="208" spans="1:16" x14ac:dyDescent="0.25">
      <c r="A208" s="235">
        <f>IF($O208="","",INDEX(Master!$D$2:$D$1001,$O208))</f>
      </c>
      <c r="B208" s="236">
        <f>IF($O208="","",INDEX(Master!$B$2:$B$1001,$O208))</f>
      </c>
      <c r="C208">
        <f>IF($O208="","",INDEX(Master!$C$2:$C$1001,$O208))</f>
      </c>
      <c r="D208">
        <f>IF($O208="","",INDEX(Master!$A$2:$A$1001,$O208))</f>
      </c>
      <c r="E208">
        <f>IF($O208="","",INDEX(Master!$E$2:$E$1001,$O208))</f>
      </c>
      <c r="F208">
        <f>IF($O208="","",INDEX(Master!$F$2:$F$1001,$O208))</f>
      </c>
      <c r="G208">
        <f>IF($O208="","",INDEX(Master!$G$2:$G$1001,$O208))</f>
      </c>
      <c r="H208">
        <f>IF($O208="","",INDEX(Master!$H$2:$H$1001,$O208))</f>
      </c>
      <c r="I208">
        <f>IF($O208="","",INDEX(Master!$I$2:$I$1001,$O208))</f>
      </c>
      <c r="J208">
        <f>IF($O208="","",INDEX(Master!$J$2:$J$1001,$O208))</f>
      </c>
      <c r="K208">
        <f t="shared" si="6"/>
      </c>
      <c r="L208">
        <f>IF($O208="","",INDEX(Master!$K$2:$K$1001,$O208))</f>
      </c>
      <c r="M208">
        <f>IF($O208="","",INDEX(Master!$L$2:$L$1001,$O208))</f>
      </c>
      <c r="O208">
        <f t="array" ref="O208">IFERROR(SMALL(IF(Master!$A$2:$A$1001="VRKP",ROW(Master!$A$2:$A$1001)-ROW(Master!$A$2)+1),204),"")</f>
      </c>
      <c r="P208">
        <f t="shared" si="7"/>
      </c>
    </row>
    <row r="209" spans="1:16" x14ac:dyDescent="0.25">
      <c r="A209" s="235">
        <f>IF($O209="","",INDEX(Master!$D$2:$D$1001,$O209))</f>
      </c>
      <c r="B209" s="236">
        <f>IF($O209="","",INDEX(Master!$B$2:$B$1001,$O209))</f>
      </c>
      <c r="C209">
        <f>IF($O209="","",INDEX(Master!$C$2:$C$1001,$O209))</f>
      </c>
      <c r="D209">
        <f>IF($O209="","",INDEX(Master!$A$2:$A$1001,$O209))</f>
      </c>
      <c r="E209">
        <f>IF($O209="","",INDEX(Master!$E$2:$E$1001,$O209))</f>
      </c>
      <c r="F209">
        <f>IF($O209="","",INDEX(Master!$F$2:$F$1001,$O209))</f>
      </c>
      <c r="G209">
        <f>IF($O209="","",INDEX(Master!$G$2:$G$1001,$O209))</f>
      </c>
      <c r="H209">
        <f>IF($O209="","",INDEX(Master!$H$2:$H$1001,$O209))</f>
      </c>
      <c r="I209">
        <f>IF($O209="","",INDEX(Master!$I$2:$I$1001,$O209))</f>
      </c>
      <c r="J209">
        <f>IF($O209="","",INDEX(Master!$J$2:$J$1001,$O209))</f>
      </c>
      <c r="K209">
        <f t="shared" si="6"/>
      </c>
      <c r="L209">
        <f>IF($O209="","",INDEX(Master!$K$2:$K$1001,$O209))</f>
      </c>
      <c r="M209">
        <f>IF($O209="","",INDEX(Master!$L$2:$L$1001,$O209))</f>
      </c>
      <c r="O209">
        <f t="array" ref="O209">IFERROR(SMALL(IF(Master!$A$2:$A$1001="VRKP",ROW(Master!$A$2:$A$1001)-ROW(Master!$A$2)+1),205),"")</f>
      </c>
      <c r="P209">
        <f t="shared" si="7"/>
      </c>
    </row>
    <row r="210" spans="1:16" x14ac:dyDescent="0.25">
      <c r="A210" s="235">
        <f>IF($O210="","",INDEX(Master!$D$2:$D$1001,$O210))</f>
      </c>
      <c r="B210" s="236">
        <f>IF($O210="","",INDEX(Master!$B$2:$B$1001,$O210))</f>
      </c>
      <c r="C210">
        <f>IF($O210="","",INDEX(Master!$C$2:$C$1001,$O210))</f>
      </c>
      <c r="D210">
        <f>IF($O210="","",INDEX(Master!$A$2:$A$1001,$O210))</f>
      </c>
      <c r="E210">
        <f>IF($O210="","",INDEX(Master!$E$2:$E$1001,$O210))</f>
      </c>
      <c r="F210">
        <f>IF($O210="","",INDEX(Master!$F$2:$F$1001,$O210))</f>
      </c>
      <c r="G210">
        <f>IF($O210="","",INDEX(Master!$G$2:$G$1001,$O210))</f>
      </c>
      <c r="H210">
        <f>IF($O210="","",INDEX(Master!$H$2:$H$1001,$O210))</f>
      </c>
      <c r="I210">
        <f>IF($O210="","",INDEX(Master!$I$2:$I$1001,$O210))</f>
      </c>
      <c r="J210">
        <f>IF($O210="","",INDEX(Master!$J$2:$J$1001,$O210))</f>
      </c>
      <c r="K210">
        <f t="shared" si="6"/>
      </c>
      <c r="L210">
        <f>IF($O210="","",INDEX(Master!$K$2:$K$1001,$O210))</f>
      </c>
      <c r="M210">
        <f>IF($O210="","",INDEX(Master!$L$2:$L$1001,$O210))</f>
      </c>
      <c r="O210">
        <f t="array" ref="O210">IFERROR(SMALL(IF(Master!$A$2:$A$1001="VRKP",ROW(Master!$A$2:$A$1001)-ROW(Master!$A$2)+1),206),"")</f>
      </c>
      <c r="P210">
        <f t="shared" si="7"/>
      </c>
    </row>
    <row r="211" spans="1:16" x14ac:dyDescent="0.25">
      <c r="A211" s="235">
        <f>IF($O211="","",INDEX(Master!$D$2:$D$1001,$O211))</f>
      </c>
      <c r="B211" s="236">
        <f>IF($O211="","",INDEX(Master!$B$2:$B$1001,$O211))</f>
      </c>
      <c r="C211">
        <f>IF($O211="","",INDEX(Master!$C$2:$C$1001,$O211))</f>
      </c>
      <c r="D211">
        <f>IF($O211="","",INDEX(Master!$A$2:$A$1001,$O211))</f>
      </c>
      <c r="E211">
        <f>IF($O211="","",INDEX(Master!$E$2:$E$1001,$O211))</f>
      </c>
      <c r="F211">
        <f>IF($O211="","",INDEX(Master!$F$2:$F$1001,$O211))</f>
      </c>
      <c r="G211">
        <f>IF($O211="","",INDEX(Master!$G$2:$G$1001,$O211))</f>
      </c>
      <c r="H211">
        <f>IF($O211="","",INDEX(Master!$H$2:$H$1001,$O211))</f>
      </c>
      <c r="I211">
        <f>IF($O211="","",INDEX(Master!$I$2:$I$1001,$O211))</f>
      </c>
      <c r="J211">
        <f>IF($O211="","",INDEX(Master!$J$2:$J$1001,$O211))</f>
      </c>
      <c r="K211">
        <f t="shared" si="6"/>
      </c>
      <c r="L211">
        <f>IF($O211="","",INDEX(Master!$K$2:$K$1001,$O211))</f>
      </c>
      <c r="M211">
        <f>IF($O211="","",INDEX(Master!$L$2:$L$1001,$O211))</f>
      </c>
      <c r="O211">
        <f t="array" ref="O211">IFERROR(SMALL(IF(Master!$A$2:$A$1001="VRKP",ROW(Master!$A$2:$A$1001)-ROW(Master!$A$2)+1),207),"")</f>
      </c>
      <c r="P211">
        <f t="shared" si="7"/>
      </c>
    </row>
    <row r="212" spans="1:16" x14ac:dyDescent="0.25">
      <c r="A212" s="235">
        <f>IF($O212="","",INDEX(Master!$D$2:$D$1001,$O212))</f>
      </c>
      <c r="B212" s="236">
        <f>IF($O212="","",INDEX(Master!$B$2:$B$1001,$O212))</f>
      </c>
      <c r="C212">
        <f>IF($O212="","",INDEX(Master!$C$2:$C$1001,$O212))</f>
      </c>
      <c r="D212">
        <f>IF($O212="","",INDEX(Master!$A$2:$A$1001,$O212))</f>
      </c>
      <c r="E212">
        <f>IF($O212="","",INDEX(Master!$E$2:$E$1001,$O212))</f>
      </c>
      <c r="F212">
        <f>IF($O212="","",INDEX(Master!$F$2:$F$1001,$O212))</f>
      </c>
      <c r="G212">
        <f>IF($O212="","",INDEX(Master!$G$2:$G$1001,$O212))</f>
      </c>
      <c r="H212">
        <f>IF($O212="","",INDEX(Master!$H$2:$H$1001,$O212))</f>
      </c>
      <c r="I212">
        <f>IF($O212="","",INDEX(Master!$I$2:$I$1001,$O212))</f>
      </c>
      <c r="J212">
        <f>IF($O212="","",INDEX(Master!$J$2:$J$1001,$O212))</f>
      </c>
      <c r="K212">
        <f t="shared" si="6"/>
      </c>
      <c r="L212">
        <f>IF($O212="","",INDEX(Master!$K$2:$K$1001,$O212))</f>
      </c>
      <c r="M212">
        <f>IF($O212="","",INDEX(Master!$L$2:$L$1001,$O212))</f>
      </c>
      <c r="O212">
        <f t="array" ref="O212">IFERROR(SMALL(IF(Master!$A$2:$A$1001="VRKP",ROW(Master!$A$2:$A$1001)-ROW(Master!$A$2)+1),208),"")</f>
      </c>
      <c r="P212">
        <f t="shared" si="7"/>
      </c>
    </row>
    <row r="213" spans="1:16" x14ac:dyDescent="0.25">
      <c r="A213" s="235">
        <f>IF($O213="","",INDEX(Master!$D$2:$D$1001,$O213))</f>
      </c>
      <c r="B213" s="236">
        <f>IF($O213="","",INDEX(Master!$B$2:$B$1001,$O213))</f>
      </c>
      <c r="C213">
        <f>IF($O213="","",INDEX(Master!$C$2:$C$1001,$O213))</f>
      </c>
      <c r="D213">
        <f>IF($O213="","",INDEX(Master!$A$2:$A$1001,$O213))</f>
      </c>
      <c r="E213">
        <f>IF($O213="","",INDEX(Master!$E$2:$E$1001,$O213))</f>
      </c>
      <c r="F213">
        <f>IF($O213="","",INDEX(Master!$F$2:$F$1001,$O213))</f>
      </c>
      <c r="G213">
        <f>IF($O213="","",INDEX(Master!$G$2:$G$1001,$O213))</f>
      </c>
      <c r="H213">
        <f>IF($O213="","",INDEX(Master!$H$2:$H$1001,$O213))</f>
      </c>
      <c r="I213">
        <f>IF($O213="","",INDEX(Master!$I$2:$I$1001,$O213))</f>
      </c>
      <c r="J213">
        <f>IF($O213="","",INDEX(Master!$J$2:$J$1001,$O213))</f>
      </c>
      <c r="K213">
        <f t="shared" si="6"/>
      </c>
      <c r="L213">
        <f>IF($O213="","",INDEX(Master!$K$2:$K$1001,$O213))</f>
      </c>
      <c r="M213">
        <f>IF($O213="","",INDEX(Master!$L$2:$L$1001,$O213))</f>
      </c>
      <c r="O213">
        <f t="array" ref="O213">IFERROR(SMALL(IF(Master!$A$2:$A$1001="VRKP",ROW(Master!$A$2:$A$1001)-ROW(Master!$A$2)+1),209),"")</f>
      </c>
      <c r="P213">
        <f t="shared" si="7"/>
      </c>
    </row>
    <row r="214" spans="1:16" x14ac:dyDescent="0.25">
      <c r="A214" s="235">
        <f>IF($O214="","",INDEX(Master!$D$2:$D$1001,$O214))</f>
      </c>
      <c r="B214" s="236">
        <f>IF($O214="","",INDEX(Master!$B$2:$B$1001,$O214))</f>
      </c>
      <c r="C214">
        <f>IF($O214="","",INDEX(Master!$C$2:$C$1001,$O214))</f>
      </c>
      <c r="D214">
        <f>IF($O214="","",INDEX(Master!$A$2:$A$1001,$O214))</f>
      </c>
      <c r="E214">
        <f>IF($O214="","",INDEX(Master!$E$2:$E$1001,$O214))</f>
      </c>
      <c r="F214">
        <f>IF($O214="","",INDEX(Master!$F$2:$F$1001,$O214))</f>
      </c>
      <c r="G214">
        <f>IF($O214="","",INDEX(Master!$G$2:$G$1001,$O214))</f>
      </c>
      <c r="H214">
        <f>IF($O214="","",INDEX(Master!$H$2:$H$1001,$O214))</f>
      </c>
      <c r="I214">
        <f>IF($O214="","",INDEX(Master!$I$2:$I$1001,$O214))</f>
      </c>
      <c r="J214">
        <f>IF($O214="","",INDEX(Master!$J$2:$J$1001,$O214))</f>
      </c>
      <c r="K214">
        <f t="shared" si="6"/>
      </c>
      <c r="L214">
        <f>IF($O214="","",INDEX(Master!$K$2:$K$1001,$O214))</f>
      </c>
      <c r="M214">
        <f>IF($O214="","",INDEX(Master!$L$2:$L$1001,$O214))</f>
      </c>
      <c r="O214">
        <f t="array" ref="O214">IFERROR(SMALL(IF(Master!$A$2:$A$1001="VRKP",ROW(Master!$A$2:$A$1001)-ROW(Master!$A$2)+1),210),"")</f>
      </c>
      <c r="P214">
        <f t="shared" si="7"/>
      </c>
    </row>
    <row r="215" spans="1:16" x14ac:dyDescent="0.25">
      <c r="A215" s="235">
        <f>IF($O215="","",INDEX(Master!$D$2:$D$1001,$O215))</f>
      </c>
      <c r="B215" s="236">
        <f>IF($O215="","",INDEX(Master!$B$2:$B$1001,$O215))</f>
      </c>
      <c r="C215">
        <f>IF($O215="","",INDEX(Master!$C$2:$C$1001,$O215))</f>
      </c>
      <c r="D215">
        <f>IF($O215="","",INDEX(Master!$A$2:$A$1001,$O215))</f>
      </c>
      <c r="E215">
        <f>IF($O215="","",INDEX(Master!$E$2:$E$1001,$O215))</f>
      </c>
      <c r="F215">
        <f>IF($O215="","",INDEX(Master!$F$2:$F$1001,$O215))</f>
      </c>
      <c r="G215">
        <f>IF($O215="","",INDEX(Master!$G$2:$G$1001,$O215))</f>
      </c>
      <c r="H215">
        <f>IF($O215="","",INDEX(Master!$H$2:$H$1001,$O215))</f>
      </c>
      <c r="I215">
        <f>IF($O215="","",INDEX(Master!$I$2:$I$1001,$O215))</f>
      </c>
      <c r="J215">
        <f>IF($O215="","",INDEX(Master!$J$2:$J$1001,$O215))</f>
      </c>
      <c r="K215">
        <f t="shared" si="6"/>
      </c>
      <c r="L215">
        <f>IF($O215="","",INDEX(Master!$K$2:$K$1001,$O215))</f>
      </c>
      <c r="M215">
        <f>IF($O215="","",INDEX(Master!$L$2:$L$1001,$O215))</f>
      </c>
      <c r="O215">
        <f t="array" ref="O215">IFERROR(SMALL(IF(Master!$A$2:$A$1001="VRKP",ROW(Master!$A$2:$A$1001)-ROW(Master!$A$2)+1),211),"")</f>
      </c>
      <c r="P215">
        <f t="shared" si="7"/>
      </c>
    </row>
    <row r="216" spans="1:16" x14ac:dyDescent="0.25">
      <c r="A216" s="235">
        <f>IF($O216="","",INDEX(Master!$D$2:$D$1001,$O216))</f>
      </c>
      <c r="B216" s="236">
        <f>IF($O216="","",INDEX(Master!$B$2:$B$1001,$O216))</f>
      </c>
      <c r="C216">
        <f>IF($O216="","",INDEX(Master!$C$2:$C$1001,$O216))</f>
      </c>
      <c r="D216">
        <f>IF($O216="","",INDEX(Master!$A$2:$A$1001,$O216))</f>
      </c>
      <c r="E216">
        <f>IF($O216="","",INDEX(Master!$E$2:$E$1001,$O216))</f>
      </c>
      <c r="F216">
        <f>IF($O216="","",INDEX(Master!$F$2:$F$1001,$O216))</f>
      </c>
      <c r="G216">
        <f>IF($O216="","",INDEX(Master!$G$2:$G$1001,$O216))</f>
      </c>
      <c r="H216">
        <f>IF($O216="","",INDEX(Master!$H$2:$H$1001,$O216))</f>
      </c>
      <c r="I216">
        <f>IF($O216="","",INDEX(Master!$I$2:$I$1001,$O216))</f>
      </c>
      <c r="J216">
        <f>IF($O216="","",INDEX(Master!$J$2:$J$1001,$O216))</f>
      </c>
      <c r="K216">
        <f t="shared" si="6"/>
      </c>
      <c r="L216">
        <f>IF($O216="","",INDEX(Master!$K$2:$K$1001,$O216))</f>
      </c>
      <c r="M216">
        <f>IF($O216="","",INDEX(Master!$L$2:$L$1001,$O216))</f>
      </c>
      <c r="O216">
        <f t="array" ref="O216">IFERROR(SMALL(IF(Master!$A$2:$A$1001="VRKP",ROW(Master!$A$2:$A$1001)-ROW(Master!$A$2)+1),212),"")</f>
      </c>
      <c r="P216">
        <f t="shared" si="7"/>
      </c>
    </row>
    <row r="217" spans="1:16" x14ac:dyDescent="0.25">
      <c r="A217" s="235">
        <f>IF($O217="","",INDEX(Master!$D$2:$D$1001,$O217))</f>
      </c>
      <c r="B217" s="236">
        <f>IF($O217="","",INDEX(Master!$B$2:$B$1001,$O217))</f>
      </c>
      <c r="C217">
        <f>IF($O217="","",INDEX(Master!$C$2:$C$1001,$O217))</f>
      </c>
      <c r="D217">
        <f>IF($O217="","",INDEX(Master!$A$2:$A$1001,$O217))</f>
      </c>
      <c r="E217">
        <f>IF($O217="","",INDEX(Master!$E$2:$E$1001,$O217))</f>
      </c>
      <c r="F217">
        <f>IF($O217="","",INDEX(Master!$F$2:$F$1001,$O217))</f>
      </c>
      <c r="G217">
        <f>IF($O217="","",INDEX(Master!$G$2:$G$1001,$O217))</f>
      </c>
      <c r="H217">
        <f>IF($O217="","",INDEX(Master!$H$2:$H$1001,$O217))</f>
      </c>
      <c r="I217">
        <f>IF($O217="","",INDEX(Master!$I$2:$I$1001,$O217))</f>
      </c>
      <c r="J217">
        <f>IF($O217="","",INDEX(Master!$J$2:$J$1001,$O217))</f>
      </c>
      <c r="K217">
        <f t="shared" si="6"/>
      </c>
      <c r="L217">
        <f>IF($O217="","",INDEX(Master!$K$2:$K$1001,$O217))</f>
      </c>
      <c r="M217">
        <f>IF($O217="","",INDEX(Master!$L$2:$L$1001,$O217))</f>
      </c>
      <c r="O217">
        <f t="array" ref="O217">IFERROR(SMALL(IF(Master!$A$2:$A$1001="VRKP",ROW(Master!$A$2:$A$1001)-ROW(Master!$A$2)+1),213),"")</f>
      </c>
      <c r="P217">
        <f t="shared" si="7"/>
      </c>
    </row>
    <row r="218" spans="1:16" x14ac:dyDescent="0.25">
      <c r="A218" s="235">
        <f>IF($O218="","",INDEX(Master!$D$2:$D$1001,$O218))</f>
      </c>
      <c r="B218" s="236">
        <f>IF($O218="","",INDEX(Master!$B$2:$B$1001,$O218))</f>
      </c>
      <c r="C218">
        <f>IF($O218="","",INDEX(Master!$C$2:$C$1001,$O218))</f>
      </c>
      <c r="D218">
        <f>IF($O218="","",INDEX(Master!$A$2:$A$1001,$O218))</f>
      </c>
      <c r="E218">
        <f>IF($O218="","",INDEX(Master!$E$2:$E$1001,$O218))</f>
      </c>
      <c r="F218">
        <f>IF($O218="","",INDEX(Master!$F$2:$F$1001,$O218))</f>
      </c>
      <c r="G218">
        <f>IF($O218="","",INDEX(Master!$G$2:$G$1001,$O218))</f>
      </c>
      <c r="H218">
        <f>IF($O218="","",INDEX(Master!$H$2:$H$1001,$O218))</f>
      </c>
      <c r="I218">
        <f>IF($O218="","",INDEX(Master!$I$2:$I$1001,$O218))</f>
      </c>
      <c r="J218">
        <f>IF($O218="","",INDEX(Master!$J$2:$J$1001,$O218))</f>
      </c>
      <c r="K218">
        <f t="shared" si="6"/>
      </c>
      <c r="L218">
        <f>IF($O218="","",INDEX(Master!$K$2:$K$1001,$O218))</f>
      </c>
      <c r="M218">
        <f>IF($O218="","",INDEX(Master!$L$2:$L$1001,$O218))</f>
      </c>
      <c r="O218">
        <f t="array" ref="O218">IFERROR(SMALL(IF(Master!$A$2:$A$1001="VRKP",ROW(Master!$A$2:$A$1001)-ROW(Master!$A$2)+1),214),"")</f>
      </c>
      <c r="P218">
        <f t="shared" si="7"/>
      </c>
    </row>
    <row r="219" spans="1:16" x14ac:dyDescent="0.25">
      <c r="A219" s="235">
        <f>IF($O219="","",INDEX(Master!$D$2:$D$1001,$O219))</f>
      </c>
      <c r="B219" s="236">
        <f>IF($O219="","",INDEX(Master!$B$2:$B$1001,$O219))</f>
      </c>
      <c r="C219">
        <f>IF($O219="","",INDEX(Master!$C$2:$C$1001,$O219))</f>
      </c>
      <c r="D219">
        <f>IF($O219="","",INDEX(Master!$A$2:$A$1001,$O219))</f>
      </c>
      <c r="E219">
        <f>IF($O219="","",INDEX(Master!$E$2:$E$1001,$O219))</f>
      </c>
      <c r="F219">
        <f>IF($O219="","",INDEX(Master!$F$2:$F$1001,$O219))</f>
      </c>
      <c r="G219">
        <f>IF($O219="","",INDEX(Master!$G$2:$G$1001,$O219))</f>
      </c>
      <c r="H219">
        <f>IF($O219="","",INDEX(Master!$H$2:$H$1001,$O219))</f>
      </c>
      <c r="I219">
        <f>IF($O219="","",INDEX(Master!$I$2:$I$1001,$O219))</f>
      </c>
      <c r="J219">
        <f>IF($O219="","",INDEX(Master!$J$2:$J$1001,$O219))</f>
      </c>
      <c r="K219">
        <f t="shared" si="6"/>
      </c>
      <c r="L219">
        <f>IF($O219="","",INDEX(Master!$K$2:$K$1001,$O219))</f>
      </c>
      <c r="M219">
        <f>IF($O219="","",INDEX(Master!$L$2:$L$1001,$O219))</f>
      </c>
      <c r="O219">
        <f t="array" ref="O219">IFERROR(SMALL(IF(Master!$A$2:$A$1001="VRKP",ROW(Master!$A$2:$A$1001)-ROW(Master!$A$2)+1),215),"")</f>
      </c>
      <c r="P219">
        <f t="shared" si="7"/>
      </c>
    </row>
    <row r="220" spans="1:16" x14ac:dyDescent="0.25">
      <c r="A220" s="235">
        <f>IF($O220="","",INDEX(Master!$D$2:$D$1001,$O220))</f>
      </c>
      <c r="B220" s="236">
        <f>IF($O220="","",INDEX(Master!$B$2:$B$1001,$O220))</f>
      </c>
      <c r="C220">
        <f>IF($O220="","",INDEX(Master!$C$2:$C$1001,$O220))</f>
      </c>
      <c r="D220">
        <f>IF($O220="","",INDEX(Master!$A$2:$A$1001,$O220))</f>
      </c>
      <c r="E220">
        <f>IF($O220="","",INDEX(Master!$E$2:$E$1001,$O220))</f>
      </c>
      <c r="F220">
        <f>IF($O220="","",INDEX(Master!$F$2:$F$1001,$O220))</f>
      </c>
      <c r="G220">
        <f>IF($O220="","",INDEX(Master!$G$2:$G$1001,$O220))</f>
      </c>
      <c r="H220">
        <f>IF($O220="","",INDEX(Master!$H$2:$H$1001,$O220))</f>
      </c>
      <c r="I220">
        <f>IF($O220="","",INDEX(Master!$I$2:$I$1001,$O220))</f>
      </c>
      <c r="J220">
        <f>IF($O220="","",INDEX(Master!$J$2:$J$1001,$O220))</f>
      </c>
      <c r="K220">
        <f t="shared" si="6"/>
      </c>
      <c r="L220">
        <f>IF($O220="","",INDEX(Master!$K$2:$K$1001,$O220))</f>
      </c>
      <c r="M220">
        <f>IF($O220="","",INDEX(Master!$L$2:$L$1001,$O220))</f>
      </c>
      <c r="O220">
        <f t="array" ref="O220">IFERROR(SMALL(IF(Master!$A$2:$A$1001="VRKP",ROW(Master!$A$2:$A$1001)-ROW(Master!$A$2)+1),216),"")</f>
      </c>
      <c r="P220">
        <f t="shared" si="7"/>
      </c>
    </row>
    <row r="221" spans="1:16" x14ac:dyDescent="0.25">
      <c r="A221" s="235">
        <f>IF($O221="","",INDEX(Master!$D$2:$D$1001,$O221))</f>
      </c>
      <c r="B221" s="236">
        <f>IF($O221="","",INDEX(Master!$B$2:$B$1001,$O221))</f>
      </c>
      <c r="C221">
        <f>IF($O221="","",INDEX(Master!$C$2:$C$1001,$O221))</f>
      </c>
      <c r="D221">
        <f>IF($O221="","",INDEX(Master!$A$2:$A$1001,$O221))</f>
      </c>
      <c r="E221">
        <f>IF($O221="","",INDEX(Master!$E$2:$E$1001,$O221))</f>
      </c>
      <c r="F221">
        <f>IF($O221="","",INDEX(Master!$F$2:$F$1001,$O221))</f>
      </c>
      <c r="G221">
        <f>IF($O221="","",INDEX(Master!$G$2:$G$1001,$O221))</f>
      </c>
      <c r="H221">
        <f>IF($O221="","",INDEX(Master!$H$2:$H$1001,$O221))</f>
      </c>
      <c r="I221">
        <f>IF($O221="","",INDEX(Master!$I$2:$I$1001,$O221))</f>
      </c>
      <c r="J221">
        <f>IF($O221="","",INDEX(Master!$J$2:$J$1001,$O221))</f>
      </c>
      <c r="K221">
        <f t="shared" si="6"/>
      </c>
      <c r="L221">
        <f>IF($O221="","",INDEX(Master!$K$2:$K$1001,$O221))</f>
      </c>
      <c r="M221">
        <f>IF($O221="","",INDEX(Master!$L$2:$L$1001,$O221))</f>
      </c>
      <c r="O221">
        <f t="array" ref="O221">IFERROR(SMALL(IF(Master!$A$2:$A$1001="VRKP",ROW(Master!$A$2:$A$1001)-ROW(Master!$A$2)+1),217),"")</f>
      </c>
      <c r="P221">
        <f t="shared" si="7"/>
      </c>
    </row>
    <row r="222" spans="1:16" x14ac:dyDescent="0.25">
      <c r="A222" s="235">
        <f>IF($O222="","",INDEX(Master!$D$2:$D$1001,$O222))</f>
      </c>
      <c r="B222" s="236">
        <f>IF($O222="","",INDEX(Master!$B$2:$B$1001,$O222))</f>
      </c>
      <c r="C222">
        <f>IF($O222="","",INDEX(Master!$C$2:$C$1001,$O222))</f>
      </c>
      <c r="D222">
        <f>IF($O222="","",INDEX(Master!$A$2:$A$1001,$O222))</f>
      </c>
      <c r="E222">
        <f>IF($O222="","",INDEX(Master!$E$2:$E$1001,$O222))</f>
      </c>
      <c r="F222">
        <f>IF($O222="","",INDEX(Master!$F$2:$F$1001,$O222))</f>
      </c>
      <c r="G222">
        <f>IF($O222="","",INDEX(Master!$G$2:$G$1001,$O222))</f>
      </c>
      <c r="H222">
        <f>IF($O222="","",INDEX(Master!$H$2:$H$1001,$O222))</f>
      </c>
      <c r="I222">
        <f>IF($O222="","",INDEX(Master!$I$2:$I$1001,$O222))</f>
      </c>
      <c r="J222">
        <f>IF($O222="","",INDEX(Master!$J$2:$J$1001,$O222))</f>
      </c>
      <c r="K222">
        <f t="shared" si="6"/>
      </c>
      <c r="L222">
        <f>IF($O222="","",INDEX(Master!$K$2:$K$1001,$O222))</f>
      </c>
      <c r="M222">
        <f>IF($O222="","",INDEX(Master!$L$2:$L$1001,$O222))</f>
      </c>
      <c r="O222">
        <f t="array" ref="O222">IFERROR(SMALL(IF(Master!$A$2:$A$1001="VRKP",ROW(Master!$A$2:$A$1001)-ROW(Master!$A$2)+1),218),"")</f>
      </c>
      <c r="P222">
        <f t="shared" si="7"/>
      </c>
    </row>
    <row r="223" spans="1:16" x14ac:dyDescent="0.25">
      <c r="A223" s="235">
        <f>IF($O223="","",INDEX(Master!$D$2:$D$1001,$O223))</f>
      </c>
      <c r="B223" s="236">
        <f>IF($O223="","",INDEX(Master!$B$2:$B$1001,$O223))</f>
      </c>
      <c r="C223">
        <f>IF($O223="","",INDEX(Master!$C$2:$C$1001,$O223))</f>
      </c>
      <c r="D223">
        <f>IF($O223="","",INDEX(Master!$A$2:$A$1001,$O223))</f>
      </c>
      <c r="E223">
        <f>IF($O223="","",INDEX(Master!$E$2:$E$1001,$O223))</f>
      </c>
      <c r="F223">
        <f>IF($O223="","",INDEX(Master!$F$2:$F$1001,$O223))</f>
      </c>
      <c r="G223">
        <f>IF($O223="","",INDEX(Master!$G$2:$G$1001,$O223))</f>
      </c>
      <c r="H223">
        <f>IF($O223="","",INDEX(Master!$H$2:$H$1001,$O223))</f>
      </c>
      <c r="I223">
        <f>IF($O223="","",INDEX(Master!$I$2:$I$1001,$O223))</f>
      </c>
      <c r="J223">
        <f>IF($O223="","",INDEX(Master!$J$2:$J$1001,$O223))</f>
      </c>
      <c r="K223">
        <f t="shared" si="6"/>
      </c>
      <c r="L223">
        <f>IF($O223="","",INDEX(Master!$K$2:$K$1001,$O223))</f>
      </c>
      <c r="M223">
        <f>IF($O223="","",INDEX(Master!$L$2:$L$1001,$O223))</f>
      </c>
      <c r="O223">
        <f t="array" ref="O223">IFERROR(SMALL(IF(Master!$A$2:$A$1001="VRKP",ROW(Master!$A$2:$A$1001)-ROW(Master!$A$2)+1),219),"")</f>
      </c>
      <c r="P223">
        <f t="shared" si="7"/>
      </c>
    </row>
    <row r="224" spans="1:16" x14ac:dyDescent="0.25">
      <c r="A224" s="235">
        <f>IF($O224="","",INDEX(Master!$D$2:$D$1001,$O224))</f>
      </c>
      <c r="B224" s="236">
        <f>IF($O224="","",INDEX(Master!$B$2:$B$1001,$O224))</f>
      </c>
      <c r="C224">
        <f>IF($O224="","",INDEX(Master!$C$2:$C$1001,$O224))</f>
      </c>
      <c r="D224">
        <f>IF($O224="","",INDEX(Master!$A$2:$A$1001,$O224))</f>
      </c>
      <c r="E224">
        <f>IF($O224="","",INDEX(Master!$E$2:$E$1001,$O224))</f>
      </c>
      <c r="F224">
        <f>IF($O224="","",INDEX(Master!$F$2:$F$1001,$O224))</f>
      </c>
      <c r="G224">
        <f>IF($O224="","",INDEX(Master!$G$2:$G$1001,$O224))</f>
      </c>
      <c r="H224">
        <f>IF($O224="","",INDEX(Master!$H$2:$H$1001,$O224))</f>
      </c>
      <c r="I224">
        <f>IF($O224="","",INDEX(Master!$I$2:$I$1001,$O224))</f>
      </c>
      <c r="J224">
        <f>IF($O224="","",INDEX(Master!$J$2:$J$1001,$O224))</f>
      </c>
      <c r="K224">
        <f t="shared" si="6"/>
      </c>
      <c r="L224">
        <f>IF($O224="","",INDEX(Master!$K$2:$K$1001,$O224))</f>
      </c>
      <c r="M224">
        <f>IF($O224="","",INDEX(Master!$L$2:$L$1001,$O224))</f>
      </c>
      <c r="O224">
        <f t="array" ref="O224">IFERROR(SMALL(IF(Master!$A$2:$A$1001="VRKP",ROW(Master!$A$2:$A$1001)-ROW(Master!$A$2)+1),220),"")</f>
      </c>
      <c r="P224">
        <f t="shared" si="7"/>
      </c>
    </row>
    <row r="225" spans="1:16" x14ac:dyDescent="0.25">
      <c r="A225" s="235">
        <f>IF($O225="","",INDEX(Master!$D$2:$D$1001,$O225))</f>
      </c>
      <c r="B225" s="236">
        <f>IF($O225="","",INDEX(Master!$B$2:$B$1001,$O225))</f>
      </c>
      <c r="C225">
        <f>IF($O225="","",INDEX(Master!$C$2:$C$1001,$O225))</f>
      </c>
      <c r="D225">
        <f>IF($O225="","",INDEX(Master!$A$2:$A$1001,$O225))</f>
      </c>
      <c r="E225">
        <f>IF($O225="","",INDEX(Master!$E$2:$E$1001,$O225))</f>
      </c>
      <c r="F225">
        <f>IF($O225="","",INDEX(Master!$F$2:$F$1001,$O225))</f>
      </c>
      <c r="G225">
        <f>IF($O225="","",INDEX(Master!$G$2:$G$1001,$O225))</f>
      </c>
      <c r="H225">
        <f>IF($O225="","",INDEX(Master!$H$2:$H$1001,$O225))</f>
      </c>
      <c r="I225">
        <f>IF($O225="","",INDEX(Master!$I$2:$I$1001,$O225))</f>
      </c>
      <c r="J225">
        <f>IF($O225="","",INDEX(Master!$J$2:$J$1001,$O225))</f>
      </c>
      <c r="K225">
        <f t="shared" si="6"/>
      </c>
      <c r="L225">
        <f>IF($O225="","",INDEX(Master!$K$2:$K$1001,$O225))</f>
      </c>
      <c r="M225">
        <f>IF($O225="","",INDEX(Master!$L$2:$L$1001,$O225))</f>
      </c>
      <c r="O225">
        <f t="array" ref="O225">IFERROR(SMALL(IF(Master!$A$2:$A$1001="VRKP",ROW(Master!$A$2:$A$1001)-ROW(Master!$A$2)+1),221),"")</f>
      </c>
      <c r="P225">
        <f t="shared" si="7"/>
      </c>
    </row>
    <row r="226" spans="1:16" x14ac:dyDescent="0.25">
      <c r="A226" s="235">
        <f>IF($O226="","",INDEX(Master!$D$2:$D$1001,$O226))</f>
      </c>
      <c r="B226" s="236">
        <f>IF($O226="","",INDEX(Master!$B$2:$B$1001,$O226))</f>
      </c>
      <c r="C226">
        <f>IF($O226="","",INDEX(Master!$C$2:$C$1001,$O226))</f>
      </c>
      <c r="D226">
        <f>IF($O226="","",INDEX(Master!$A$2:$A$1001,$O226))</f>
      </c>
      <c r="E226">
        <f>IF($O226="","",INDEX(Master!$E$2:$E$1001,$O226))</f>
      </c>
      <c r="F226">
        <f>IF($O226="","",INDEX(Master!$F$2:$F$1001,$O226))</f>
      </c>
      <c r="G226">
        <f>IF($O226="","",INDEX(Master!$G$2:$G$1001,$O226))</f>
      </c>
      <c r="H226">
        <f>IF($O226="","",INDEX(Master!$H$2:$H$1001,$O226))</f>
      </c>
      <c r="I226">
        <f>IF($O226="","",INDEX(Master!$I$2:$I$1001,$O226))</f>
      </c>
      <c r="J226">
        <f>IF($O226="","",INDEX(Master!$J$2:$J$1001,$O226))</f>
      </c>
      <c r="K226">
        <f t="shared" si="6"/>
      </c>
      <c r="L226">
        <f>IF($O226="","",INDEX(Master!$K$2:$K$1001,$O226))</f>
      </c>
      <c r="M226">
        <f>IF($O226="","",INDEX(Master!$L$2:$L$1001,$O226))</f>
      </c>
      <c r="O226">
        <f t="array" ref="O226">IFERROR(SMALL(IF(Master!$A$2:$A$1001="VRKP",ROW(Master!$A$2:$A$1001)-ROW(Master!$A$2)+1),222),"")</f>
      </c>
      <c r="P226">
        <f t="shared" si="7"/>
      </c>
    </row>
    <row r="227" spans="1:16" x14ac:dyDescent="0.25">
      <c r="A227" s="235">
        <f>IF($O227="","",INDEX(Master!$D$2:$D$1001,$O227))</f>
      </c>
      <c r="B227" s="236">
        <f>IF($O227="","",INDEX(Master!$B$2:$B$1001,$O227))</f>
      </c>
      <c r="C227">
        <f>IF($O227="","",INDEX(Master!$C$2:$C$1001,$O227))</f>
      </c>
      <c r="D227">
        <f>IF($O227="","",INDEX(Master!$A$2:$A$1001,$O227))</f>
      </c>
      <c r="E227">
        <f>IF($O227="","",INDEX(Master!$E$2:$E$1001,$O227))</f>
      </c>
      <c r="F227">
        <f>IF($O227="","",INDEX(Master!$F$2:$F$1001,$O227))</f>
      </c>
      <c r="G227">
        <f>IF($O227="","",INDEX(Master!$G$2:$G$1001,$O227))</f>
      </c>
      <c r="H227">
        <f>IF($O227="","",INDEX(Master!$H$2:$H$1001,$O227))</f>
      </c>
      <c r="I227">
        <f>IF($O227="","",INDEX(Master!$I$2:$I$1001,$O227))</f>
      </c>
      <c r="J227">
        <f>IF($O227="","",INDEX(Master!$J$2:$J$1001,$O227))</f>
      </c>
      <c r="K227">
        <f t="shared" si="6"/>
      </c>
      <c r="L227">
        <f>IF($O227="","",INDEX(Master!$K$2:$K$1001,$O227))</f>
      </c>
      <c r="M227">
        <f>IF($O227="","",INDEX(Master!$L$2:$L$1001,$O227))</f>
      </c>
      <c r="O227">
        <f t="array" ref="O227">IFERROR(SMALL(IF(Master!$A$2:$A$1001="VRKP",ROW(Master!$A$2:$A$1001)-ROW(Master!$A$2)+1),223),"")</f>
      </c>
      <c r="P227">
        <f t="shared" si="7"/>
      </c>
    </row>
    <row r="228" spans="1:16" x14ac:dyDescent="0.25">
      <c r="A228" s="235">
        <f>IF($O228="","",INDEX(Master!$D$2:$D$1001,$O228))</f>
      </c>
      <c r="B228" s="236">
        <f>IF($O228="","",INDEX(Master!$B$2:$B$1001,$O228))</f>
      </c>
      <c r="C228">
        <f>IF($O228="","",INDEX(Master!$C$2:$C$1001,$O228))</f>
      </c>
      <c r="D228">
        <f>IF($O228="","",INDEX(Master!$A$2:$A$1001,$O228))</f>
      </c>
      <c r="E228">
        <f>IF($O228="","",INDEX(Master!$E$2:$E$1001,$O228))</f>
      </c>
      <c r="F228">
        <f>IF($O228="","",INDEX(Master!$F$2:$F$1001,$O228))</f>
      </c>
      <c r="G228">
        <f>IF($O228="","",INDEX(Master!$G$2:$G$1001,$O228))</f>
      </c>
      <c r="H228">
        <f>IF($O228="","",INDEX(Master!$H$2:$H$1001,$O228))</f>
      </c>
      <c r="I228">
        <f>IF($O228="","",INDEX(Master!$I$2:$I$1001,$O228))</f>
      </c>
      <c r="J228">
        <f>IF($O228="","",INDEX(Master!$J$2:$J$1001,$O228))</f>
      </c>
      <c r="K228">
        <f t="shared" si="6"/>
      </c>
      <c r="L228">
        <f>IF($O228="","",INDEX(Master!$K$2:$K$1001,$O228))</f>
      </c>
      <c r="M228">
        <f>IF($O228="","",INDEX(Master!$L$2:$L$1001,$O228))</f>
      </c>
      <c r="O228">
        <f t="array" ref="O228">IFERROR(SMALL(IF(Master!$A$2:$A$1001="VRKP",ROW(Master!$A$2:$A$1001)-ROW(Master!$A$2)+1),224),"")</f>
      </c>
      <c r="P228">
        <f t="shared" si="7"/>
      </c>
    </row>
    <row r="229" spans="1:16" x14ac:dyDescent="0.25">
      <c r="A229" s="235">
        <f>IF($O229="","",INDEX(Master!$D$2:$D$1001,$O229))</f>
      </c>
      <c r="B229" s="236">
        <f>IF($O229="","",INDEX(Master!$B$2:$B$1001,$O229))</f>
      </c>
      <c r="C229">
        <f>IF($O229="","",INDEX(Master!$C$2:$C$1001,$O229))</f>
      </c>
      <c r="D229">
        <f>IF($O229="","",INDEX(Master!$A$2:$A$1001,$O229))</f>
      </c>
      <c r="E229">
        <f>IF($O229="","",INDEX(Master!$E$2:$E$1001,$O229))</f>
      </c>
      <c r="F229">
        <f>IF($O229="","",INDEX(Master!$F$2:$F$1001,$O229))</f>
      </c>
      <c r="G229">
        <f>IF($O229="","",INDEX(Master!$G$2:$G$1001,$O229))</f>
      </c>
      <c r="H229">
        <f>IF($O229="","",INDEX(Master!$H$2:$H$1001,$O229))</f>
      </c>
      <c r="I229">
        <f>IF($O229="","",INDEX(Master!$I$2:$I$1001,$O229))</f>
      </c>
      <c r="J229">
        <f>IF($O229="","",INDEX(Master!$J$2:$J$1001,$O229))</f>
      </c>
      <c r="K229">
        <f t="shared" si="6"/>
      </c>
      <c r="L229">
        <f>IF($O229="","",INDEX(Master!$K$2:$K$1001,$O229))</f>
      </c>
      <c r="M229">
        <f>IF($O229="","",INDEX(Master!$L$2:$L$1001,$O229))</f>
      </c>
      <c r="O229">
        <f t="array" ref="O229">IFERROR(SMALL(IF(Master!$A$2:$A$1001="VRKP",ROW(Master!$A$2:$A$1001)-ROW(Master!$A$2)+1),225),"")</f>
      </c>
      <c r="P229">
        <f t="shared" si="7"/>
      </c>
    </row>
    <row r="230" spans="1:16" x14ac:dyDescent="0.25">
      <c r="A230" s="235">
        <f>IF($O230="","",INDEX(Master!$D$2:$D$1001,$O230))</f>
      </c>
      <c r="B230" s="236">
        <f>IF($O230="","",INDEX(Master!$B$2:$B$1001,$O230))</f>
      </c>
      <c r="C230">
        <f>IF($O230="","",INDEX(Master!$C$2:$C$1001,$O230))</f>
      </c>
      <c r="D230">
        <f>IF($O230="","",INDEX(Master!$A$2:$A$1001,$O230))</f>
      </c>
      <c r="E230">
        <f>IF($O230="","",INDEX(Master!$E$2:$E$1001,$O230))</f>
      </c>
      <c r="F230">
        <f>IF($O230="","",INDEX(Master!$F$2:$F$1001,$O230))</f>
      </c>
      <c r="G230">
        <f>IF($O230="","",INDEX(Master!$G$2:$G$1001,$O230))</f>
      </c>
      <c r="H230">
        <f>IF($O230="","",INDEX(Master!$H$2:$H$1001,$O230))</f>
      </c>
      <c r="I230">
        <f>IF($O230="","",INDEX(Master!$I$2:$I$1001,$O230))</f>
      </c>
      <c r="J230">
        <f>IF($O230="","",INDEX(Master!$J$2:$J$1001,$O230))</f>
      </c>
      <c r="K230">
        <f t="shared" si="6"/>
      </c>
      <c r="L230">
        <f>IF($O230="","",INDEX(Master!$K$2:$K$1001,$O230))</f>
      </c>
      <c r="M230">
        <f>IF($O230="","",INDEX(Master!$L$2:$L$1001,$O230))</f>
      </c>
      <c r="O230">
        <f t="array" ref="O230">IFERROR(SMALL(IF(Master!$A$2:$A$1001="VRKP",ROW(Master!$A$2:$A$1001)-ROW(Master!$A$2)+1),226),"")</f>
      </c>
      <c r="P230">
        <f t="shared" si="7"/>
      </c>
    </row>
    <row r="231" spans="1:16" x14ac:dyDescent="0.25">
      <c r="A231" s="235">
        <f>IF($O231="","",INDEX(Master!$D$2:$D$1001,$O231))</f>
      </c>
      <c r="B231" s="236">
        <f>IF($O231="","",INDEX(Master!$B$2:$B$1001,$O231))</f>
      </c>
      <c r="C231">
        <f>IF($O231="","",INDEX(Master!$C$2:$C$1001,$O231))</f>
      </c>
      <c r="D231">
        <f>IF($O231="","",INDEX(Master!$A$2:$A$1001,$O231))</f>
      </c>
      <c r="E231">
        <f>IF($O231="","",INDEX(Master!$E$2:$E$1001,$O231))</f>
      </c>
      <c r="F231">
        <f>IF($O231="","",INDEX(Master!$F$2:$F$1001,$O231))</f>
      </c>
      <c r="G231">
        <f>IF($O231="","",INDEX(Master!$G$2:$G$1001,$O231))</f>
      </c>
      <c r="H231">
        <f>IF($O231="","",INDEX(Master!$H$2:$H$1001,$O231))</f>
      </c>
      <c r="I231">
        <f>IF($O231="","",INDEX(Master!$I$2:$I$1001,$O231))</f>
      </c>
      <c r="J231">
        <f>IF($O231="","",INDEX(Master!$J$2:$J$1001,$O231))</f>
      </c>
      <c r="K231">
        <f t="shared" si="6"/>
      </c>
      <c r="L231">
        <f>IF($O231="","",INDEX(Master!$K$2:$K$1001,$O231))</f>
      </c>
      <c r="M231">
        <f>IF($O231="","",INDEX(Master!$L$2:$L$1001,$O231))</f>
      </c>
      <c r="O231">
        <f t="array" ref="O231">IFERROR(SMALL(IF(Master!$A$2:$A$1001="VRKP",ROW(Master!$A$2:$A$1001)-ROW(Master!$A$2)+1),227),"")</f>
      </c>
      <c r="P231">
        <f t="shared" si="7"/>
      </c>
    </row>
    <row r="232" spans="1:16" x14ac:dyDescent="0.25">
      <c r="A232" s="235">
        <f>IF($O232="","",INDEX(Master!$D$2:$D$1001,$O232))</f>
      </c>
      <c r="B232" s="236">
        <f>IF($O232="","",INDEX(Master!$B$2:$B$1001,$O232))</f>
      </c>
      <c r="C232">
        <f>IF($O232="","",INDEX(Master!$C$2:$C$1001,$O232))</f>
      </c>
      <c r="D232">
        <f>IF($O232="","",INDEX(Master!$A$2:$A$1001,$O232))</f>
      </c>
      <c r="E232">
        <f>IF($O232="","",INDEX(Master!$E$2:$E$1001,$O232))</f>
      </c>
      <c r="F232">
        <f>IF($O232="","",INDEX(Master!$F$2:$F$1001,$O232))</f>
      </c>
      <c r="G232">
        <f>IF($O232="","",INDEX(Master!$G$2:$G$1001,$O232))</f>
      </c>
      <c r="H232">
        <f>IF($O232="","",INDEX(Master!$H$2:$H$1001,$O232))</f>
      </c>
      <c r="I232">
        <f>IF($O232="","",INDEX(Master!$I$2:$I$1001,$O232))</f>
      </c>
      <c r="J232">
        <f>IF($O232="","",INDEX(Master!$J$2:$J$1001,$O232))</f>
      </c>
      <c r="K232">
        <f t="shared" si="6"/>
      </c>
      <c r="L232">
        <f>IF($O232="","",INDEX(Master!$K$2:$K$1001,$O232))</f>
      </c>
      <c r="M232">
        <f>IF($O232="","",INDEX(Master!$L$2:$L$1001,$O232))</f>
      </c>
      <c r="O232">
        <f t="array" ref="O232">IFERROR(SMALL(IF(Master!$A$2:$A$1001="VRKP",ROW(Master!$A$2:$A$1001)-ROW(Master!$A$2)+1),228),"")</f>
      </c>
      <c r="P232">
        <f t="shared" si="7"/>
      </c>
    </row>
    <row r="233" spans="1:16" x14ac:dyDescent="0.25">
      <c r="A233" s="235">
        <f>IF($O233="","",INDEX(Master!$D$2:$D$1001,$O233))</f>
      </c>
      <c r="B233" s="236">
        <f>IF($O233="","",INDEX(Master!$B$2:$B$1001,$O233))</f>
      </c>
      <c r="C233">
        <f>IF($O233="","",INDEX(Master!$C$2:$C$1001,$O233))</f>
      </c>
      <c r="D233">
        <f>IF($O233="","",INDEX(Master!$A$2:$A$1001,$O233))</f>
      </c>
      <c r="E233">
        <f>IF($O233="","",INDEX(Master!$E$2:$E$1001,$O233))</f>
      </c>
      <c r="F233">
        <f>IF($O233="","",INDEX(Master!$F$2:$F$1001,$O233))</f>
      </c>
      <c r="G233">
        <f>IF($O233="","",INDEX(Master!$G$2:$G$1001,$O233))</f>
      </c>
      <c r="H233">
        <f>IF($O233="","",INDEX(Master!$H$2:$H$1001,$O233))</f>
      </c>
      <c r="I233">
        <f>IF($O233="","",INDEX(Master!$I$2:$I$1001,$O233))</f>
      </c>
      <c r="J233">
        <f>IF($O233="","",INDEX(Master!$J$2:$J$1001,$O233))</f>
      </c>
      <c r="K233">
        <f t="shared" si="6"/>
      </c>
      <c r="L233">
        <f>IF($O233="","",INDEX(Master!$K$2:$K$1001,$O233))</f>
      </c>
      <c r="M233">
        <f>IF($O233="","",INDEX(Master!$L$2:$L$1001,$O233))</f>
      </c>
      <c r="O233">
        <f t="array" ref="O233">IFERROR(SMALL(IF(Master!$A$2:$A$1001="VRKP",ROW(Master!$A$2:$A$1001)-ROW(Master!$A$2)+1),229),"")</f>
      </c>
      <c r="P233">
        <f t="shared" si="7"/>
      </c>
    </row>
    <row r="234" spans="1:16" x14ac:dyDescent="0.25">
      <c r="A234" s="235">
        <f>IF($O234="","",INDEX(Master!$D$2:$D$1001,$O234))</f>
      </c>
      <c r="B234" s="236">
        <f>IF($O234="","",INDEX(Master!$B$2:$B$1001,$O234))</f>
      </c>
      <c r="C234">
        <f>IF($O234="","",INDEX(Master!$C$2:$C$1001,$O234))</f>
      </c>
      <c r="D234">
        <f>IF($O234="","",INDEX(Master!$A$2:$A$1001,$O234))</f>
      </c>
      <c r="E234">
        <f>IF($O234="","",INDEX(Master!$E$2:$E$1001,$O234))</f>
      </c>
      <c r="F234">
        <f>IF($O234="","",INDEX(Master!$F$2:$F$1001,$O234))</f>
      </c>
      <c r="G234">
        <f>IF($O234="","",INDEX(Master!$G$2:$G$1001,$O234))</f>
      </c>
      <c r="H234">
        <f>IF($O234="","",INDEX(Master!$H$2:$H$1001,$O234))</f>
      </c>
      <c r="I234">
        <f>IF($O234="","",INDEX(Master!$I$2:$I$1001,$O234))</f>
      </c>
      <c r="J234">
        <f>IF($O234="","",INDEX(Master!$J$2:$J$1001,$O234))</f>
      </c>
      <c r="K234">
        <f t="shared" si="6"/>
      </c>
      <c r="L234">
        <f>IF($O234="","",INDEX(Master!$K$2:$K$1001,$O234))</f>
      </c>
      <c r="M234">
        <f>IF($O234="","",INDEX(Master!$L$2:$L$1001,$O234))</f>
      </c>
      <c r="O234">
        <f t="array" ref="O234">IFERROR(SMALL(IF(Master!$A$2:$A$1001="VRKP",ROW(Master!$A$2:$A$1001)-ROW(Master!$A$2)+1),230),"")</f>
      </c>
      <c r="P234">
        <f t="shared" si="7"/>
      </c>
    </row>
    <row r="235" spans="1:16" x14ac:dyDescent="0.25">
      <c r="A235" s="235">
        <f>IF($O235="","",INDEX(Master!$D$2:$D$1001,$O235))</f>
      </c>
      <c r="B235" s="236">
        <f>IF($O235="","",INDEX(Master!$B$2:$B$1001,$O235))</f>
      </c>
      <c r="C235">
        <f>IF($O235="","",INDEX(Master!$C$2:$C$1001,$O235))</f>
      </c>
      <c r="D235">
        <f>IF($O235="","",INDEX(Master!$A$2:$A$1001,$O235))</f>
      </c>
      <c r="E235">
        <f>IF($O235="","",INDEX(Master!$E$2:$E$1001,$O235))</f>
      </c>
      <c r="F235">
        <f>IF($O235="","",INDEX(Master!$F$2:$F$1001,$O235))</f>
      </c>
      <c r="G235">
        <f>IF($O235="","",INDEX(Master!$G$2:$G$1001,$O235))</f>
      </c>
      <c r="H235">
        <f>IF($O235="","",INDEX(Master!$H$2:$H$1001,$O235))</f>
      </c>
      <c r="I235">
        <f>IF($O235="","",INDEX(Master!$I$2:$I$1001,$O235))</f>
      </c>
      <c r="J235">
        <f>IF($O235="","",INDEX(Master!$J$2:$J$1001,$O235))</f>
      </c>
      <c r="K235">
        <f t="shared" si="6"/>
      </c>
      <c r="L235">
        <f>IF($O235="","",INDEX(Master!$K$2:$K$1001,$O235))</f>
      </c>
      <c r="M235">
        <f>IF($O235="","",INDEX(Master!$L$2:$L$1001,$O235))</f>
      </c>
      <c r="O235">
        <f t="array" ref="O235">IFERROR(SMALL(IF(Master!$A$2:$A$1001="VRKP",ROW(Master!$A$2:$A$1001)-ROW(Master!$A$2)+1),231),"")</f>
      </c>
      <c r="P235">
        <f t="shared" si="7"/>
      </c>
    </row>
    <row r="236" spans="1:16" x14ac:dyDescent="0.25">
      <c r="A236" s="235">
        <f>IF($O236="","",INDEX(Master!$D$2:$D$1001,$O236))</f>
      </c>
      <c r="B236" s="236">
        <f>IF($O236="","",INDEX(Master!$B$2:$B$1001,$O236))</f>
      </c>
      <c r="C236">
        <f>IF($O236="","",INDEX(Master!$C$2:$C$1001,$O236))</f>
      </c>
      <c r="D236">
        <f>IF($O236="","",INDEX(Master!$A$2:$A$1001,$O236))</f>
      </c>
      <c r="E236">
        <f>IF($O236="","",INDEX(Master!$E$2:$E$1001,$O236))</f>
      </c>
      <c r="F236">
        <f>IF($O236="","",INDEX(Master!$F$2:$F$1001,$O236))</f>
      </c>
      <c r="G236">
        <f>IF($O236="","",INDEX(Master!$G$2:$G$1001,$O236))</f>
      </c>
      <c r="H236">
        <f>IF($O236="","",INDEX(Master!$H$2:$H$1001,$O236))</f>
      </c>
      <c r="I236">
        <f>IF($O236="","",INDEX(Master!$I$2:$I$1001,$O236))</f>
      </c>
      <c r="J236">
        <f>IF($O236="","",INDEX(Master!$J$2:$J$1001,$O236))</f>
      </c>
      <c r="K236">
        <f t="shared" si="6"/>
      </c>
      <c r="L236">
        <f>IF($O236="","",INDEX(Master!$K$2:$K$1001,$O236))</f>
      </c>
      <c r="M236">
        <f>IF($O236="","",INDEX(Master!$L$2:$L$1001,$O236))</f>
      </c>
      <c r="O236">
        <f t="array" ref="O236">IFERROR(SMALL(IF(Master!$A$2:$A$1001="VRKP",ROW(Master!$A$2:$A$1001)-ROW(Master!$A$2)+1),232),"")</f>
      </c>
      <c r="P236">
        <f t="shared" si="7"/>
      </c>
    </row>
    <row r="237" spans="1:16" x14ac:dyDescent="0.25">
      <c r="A237" s="235">
        <f>IF($O237="","",INDEX(Master!$D$2:$D$1001,$O237))</f>
      </c>
      <c r="B237" s="236">
        <f>IF($O237="","",INDEX(Master!$B$2:$B$1001,$O237))</f>
      </c>
      <c r="C237">
        <f>IF($O237="","",INDEX(Master!$C$2:$C$1001,$O237))</f>
      </c>
      <c r="D237">
        <f>IF($O237="","",INDEX(Master!$A$2:$A$1001,$O237))</f>
      </c>
      <c r="E237">
        <f>IF($O237="","",INDEX(Master!$E$2:$E$1001,$O237))</f>
      </c>
      <c r="F237">
        <f>IF($O237="","",INDEX(Master!$F$2:$F$1001,$O237))</f>
      </c>
      <c r="G237">
        <f>IF($O237="","",INDEX(Master!$G$2:$G$1001,$O237))</f>
      </c>
      <c r="H237">
        <f>IF($O237="","",INDEX(Master!$H$2:$H$1001,$O237))</f>
      </c>
      <c r="I237">
        <f>IF($O237="","",INDEX(Master!$I$2:$I$1001,$O237))</f>
      </c>
      <c r="J237">
        <f>IF($O237="","",INDEX(Master!$J$2:$J$1001,$O237))</f>
      </c>
      <c r="K237">
        <f t="shared" si="6"/>
      </c>
      <c r="L237">
        <f>IF($O237="","",INDEX(Master!$K$2:$K$1001,$O237))</f>
      </c>
      <c r="M237">
        <f>IF($O237="","",INDEX(Master!$L$2:$L$1001,$O237))</f>
      </c>
      <c r="O237">
        <f t="array" ref="O237">IFERROR(SMALL(IF(Master!$A$2:$A$1001="VRKP",ROW(Master!$A$2:$A$1001)-ROW(Master!$A$2)+1),233),"")</f>
      </c>
      <c r="P237">
        <f t="shared" si="7"/>
      </c>
    </row>
    <row r="238" spans="1:16" x14ac:dyDescent="0.25">
      <c r="A238" s="235">
        <f>IF($O238="","",INDEX(Master!$D$2:$D$1001,$O238))</f>
      </c>
      <c r="B238" s="236">
        <f>IF($O238="","",INDEX(Master!$B$2:$B$1001,$O238))</f>
      </c>
      <c r="C238">
        <f>IF($O238="","",INDEX(Master!$C$2:$C$1001,$O238))</f>
      </c>
      <c r="D238">
        <f>IF($O238="","",INDEX(Master!$A$2:$A$1001,$O238))</f>
      </c>
      <c r="E238">
        <f>IF($O238="","",INDEX(Master!$E$2:$E$1001,$O238))</f>
      </c>
      <c r="F238">
        <f>IF($O238="","",INDEX(Master!$F$2:$F$1001,$O238))</f>
      </c>
      <c r="G238">
        <f>IF($O238="","",INDEX(Master!$G$2:$G$1001,$O238))</f>
      </c>
      <c r="H238">
        <f>IF($O238="","",INDEX(Master!$H$2:$H$1001,$O238))</f>
      </c>
      <c r="I238">
        <f>IF($O238="","",INDEX(Master!$I$2:$I$1001,$O238))</f>
      </c>
      <c r="J238">
        <f>IF($O238="","",INDEX(Master!$J$2:$J$1001,$O238))</f>
      </c>
      <c r="K238">
        <f t="shared" si="6"/>
      </c>
      <c r="L238">
        <f>IF($O238="","",INDEX(Master!$K$2:$K$1001,$O238))</f>
      </c>
      <c r="M238">
        <f>IF($O238="","",INDEX(Master!$L$2:$L$1001,$O238))</f>
      </c>
      <c r="O238">
        <f t="array" ref="O238">IFERROR(SMALL(IF(Master!$A$2:$A$1001="VRKP",ROW(Master!$A$2:$A$1001)-ROW(Master!$A$2)+1),234),"")</f>
      </c>
      <c r="P238">
        <f t="shared" si="7"/>
      </c>
    </row>
    <row r="239" spans="1:16" x14ac:dyDescent="0.25">
      <c r="A239" s="235">
        <f>IF($O239="","",INDEX(Master!$D$2:$D$1001,$O239))</f>
      </c>
      <c r="B239" s="236">
        <f>IF($O239="","",INDEX(Master!$B$2:$B$1001,$O239))</f>
      </c>
      <c r="C239">
        <f>IF($O239="","",INDEX(Master!$C$2:$C$1001,$O239))</f>
      </c>
      <c r="D239">
        <f>IF($O239="","",INDEX(Master!$A$2:$A$1001,$O239))</f>
      </c>
      <c r="E239">
        <f>IF($O239="","",INDEX(Master!$E$2:$E$1001,$O239))</f>
      </c>
      <c r="F239">
        <f>IF($O239="","",INDEX(Master!$F$2:$F$1001,$O239))</f>
      </c>
      <c r="G239">
        <f>IF($O239="","",INDEX(Master!$G$2:$G$1001,$O239))</f>
      </c>
      <c r="H239">
        <f>IF($O239="","",INDEX(Master!$H$2:$H$1001,$O239))</f>
      </c>
      <c r="I239">
        <f>IF($O239="","",INDEX(Master!$I$2:$I$1001,$O239))</f>
      </c>
      <c r="J239">
        <f>IF($O239="","",INDEX(Master!$J$2:$J$1001,$O239))</f>
      </c>
      <c r="K239">
        <f t="shared" si="6"/>
      </c>
      <c r="L239">
        <f>IF($O239="","",INDEX(Master!$K$2:$K$1001,$O239))</f>
      </c>
      <c r="M239">
        <f>IF($O239="","",INDEX(Master!$L$2:$L$1001,$O239))</f>
      </c>
      <c r="O239">
        <f t="array" ref="O239">IFERROR(SMALL(IF(Master!$A$2:$A$1001="VRKP",ROW(Master!$A$2:$A$1001)-ROW(Master!$A$2)+1),235),"")</f>
      </c>
      <c r="P239">
        <f t="shared" si="7"/>
      </c>
    </row>
    <row r="240" spans="1:16" x14ac:dyDescent="0.25">
      <c r="A240" s="235">
        <f>IF($O240="","",INDEX(Master!$D$2:$D$1001,$O240))</f>
      </c>
      <c r="B240" s="236">
        <f>IF($O240="","",INDEX(Master!$B$2:$B$1001,$O240))</f>
      </c>
      <c r="C240">
        <f>IF($O240="","",INDEX(Master!$C$2:$C$1001,$O240))</f>
      </c>
      <c r="D240">
        <f>IF($O240="","",INDEX(Master!$A$2:$A$1001,$O240))</f>
      </c>
      <c r="E240">
        <f>IF($O240="","",INDEX(Master!$E$2:$E$1001,$O240))</f>
      </c>
      <c r="F240">
        <f>IF($O240="","",INDEX(Master!$F$2:$F$1001,$O240))</f>
      </c>
      <c r="G240">
        <f>IF($O240="","",INDEX(Master!$G$2:$G$1001,$O240))</f>
      </c>
      <c r="H240">
        <f>IF($O240="","",INDEX(Master!$H$2:$H$1001,$O240))</f>
      </c>
      <c r="I240">
        <f>IF($O240="","",INDEX(Master!$I$2:$I$1001,$O240))</f>
      </c>
      <c r="J240">
        <f>IF($O240="","",INDEX(Master!$J$2:$J$1001,$O240))</f>
      </c>
      <c r="K240">
        <f t="shared" si="6"/>
      </c>
      <c r="L240">
        <f>IF($O240="","",INDEX(Master!$K$2:$K$1001,$O240))</f>
      </c>
      <c r="M240">
        <f>IF($O240="","",INDEX(Master!$L$2:$L$1001,$O240))</f>
      </c>
      <c r="O240">
        <f t="array" ref="O240">IFERROR(SMALL(IF(Master!$A$2:$A$1001="VRKP",ROW(Master!$A$2:$A$1001)-ROW(Master!$A$2)+1),236),"")</f>
      </c>
      <c r="P240">
        <f t="shared" si="7"/>
      </c>
    </row>
    <row r="241" spans="1:16" x14ac:dyDescent="0.25">
      <c r="A241" s="235">
        <f>IF($O241="","",INDEX(Master!$D$2:$D$1001,$O241))</f>
      </c>
      <c r="B241" s="236">
        <f>IF($O241="","",INDEX(Master!$B$2:$B$1001,$O241))</f>
      </c>
      <c r="C241">
        <f>IF($O241="","",INDEX(Master!$C$2:$C$1001,$O241))</f>
      </c>
      <c r="D241">
        <f>IF($O241="","",INDEX(Master!$A$2:$A$1001,$O241))</f>
      </c>
      <c r="E241">
        <f>IF($O241="","",INDEX(Master!$E$2:$E$1001,$O241))</f>
      </c>
      <c r="F241">
        <f>IF($O241="","",INDEX(Master!$F$2:$F$1001,$O241))</f>
      </c>
      <c r="G241">
        <f>IF($O241="","",INDEX(Master!$G$2:$G$1001,$O241))</f>
      </c>
      <c r="H241">
        <f>IF($O241="","",INDEX(Master!$H$2:$H$1001,$O241))</f>
      </c>
      <c r="I241">
        <f>IF($O241="","",INDEX(Master!$I$2:$I$1001,$O241))</f>
      </c>
      <c r="J241">
        <f>IF($O241="","",INDEX(Master!$J$2:$J$1001,$O241))</f>
      </c>
      <c r="K241">
        <f t="shared" si="6"/>
      </c>
      <c r="L241">
        <f>IF($O241="","",INDEX(Master!$K$2:$K$1001,$O241))</f>
      </c>
      <c r="M241">
        <f>IF($O241="","",INDEX(Master!$L$2:$L$1001,$O241))</f>
      </c>
      <c r="O241">
        <f t="array" ref="O241">IFERROR(SMALL(IF(Master!$A$2:$A$1001="VRKP",ROW(Master!$A$2:$A$1001)-ROW(Master!$A$2)+1),237),"")</f>
      </c>
      <c r="P241">
        <f t="shared" si="7"/>
      </c>
    </row>
    <row r="242" spans="1:16" x14ac:dyDescent="0.25">
      <c r="A242" s="235">
        <f>IF($O242="","",INDEX(Master!$D$2:$D$1001,$O242))</f>
      </c>
      <c r="B242" s="236">
        <f>IF($O242="","",INDEX(Master!$B$2:$B$1001,$O242))</f>
      </c>
      <c r="C242">
        <f>IF($O242="","",INDEX(Master!$C$2:$C$1001,$O242))</f>
      </c>
      <c r="D242">
        <f>IF($O242="","",INDEX(Master!$A$2:$A$1001,$O242))</f>
      </c>
      <c r="E242">
        <f>IF($O242="","",INDEX(Master!$E$2:$E$1001,$O242))</f>
      </c>
      <c r="F242">
        <f>IF($O242="","",INDEX(Master!$F$2:$F$1001,$O242))</f>
      </c>
      <c r="G242">
        <f>IF($O242="","",INDEX(Master!$G$2:$G$1001,$O242))</f>
      </c>
      <c r="H242">
        <f>IF($O242="","",INDEX(Master!$H$2:$H$1001,$O242))</f>
      </c>
      <c r="I242">
        <f>IF($O242="","",INDEX(Master!$I$2:$I$1001,$O242))</f>
      </c>
      <c r="J242">
        <f>IF($O242="","",INDEX(Master!$J$2:$J$1001,$O242))</f>
      </c>
      <c r="K242">
        <f t="shared" si="6"/>
      </c>
      <c r="L242">
        <f>IF($O242="","",INDEX(Master!$K$2:$K$1001,$O242))</f>
      </c>
      <c r="M242">
        <f>IF($O242="","",INDEX(Master!$L$2:$L$1001,$O242))</f>
      </c>
      <c r="O242">
        <f t="array" ref="O242">IFERROR(SMALL(IF(Master!$A$2:$A$1001="VRKP",ROW(Master!$A$2:$A$1001)-ROW(Master!$A$2)+1),238),"")</f>
      </c>
      <c r="P242">
        <f t="shared" si="7"/>
      </c>
    </row>
    <row r="243" spans="1:16" x14ac:dyDescent="0.25">
      <c r="A243" s="235">
        <f>IF($O243="","",INDEX(Master!$D$2:$D$1001,$O243))</f>
      </c>
      <c r="B243" s="236">
        <f>IF($O243="","",INDEX(Master!$B$2:$B$1001,$O243))</f>
      </c>
      <c r="C243">
        <f>IF($O243="","",INDEX(Master!$C$2:$C$1001,$O243))</f>
      </c>
      <c r="D243">
        <f>IF($O243="","",INDEX(Master!$A$2:$A$1001,$O243))</f>
      </c>
      <c r="E243">
        <f>IF($O243="","",INDEX(Master!$E$2:$E$1001,$O243))</f>
      </c>
      <c r="F243">
        <f>IF($O243="","",INDEX(Master!$F$2:$F$1001,$O243))</f>
      </c>
      <c r="G243">
        <f>IF($O243="","",INDEX(Master!$G$2:$G$1001,$O243))</f>
      </c>
      <c r="H243">
        <f>IF($O243="","",INDEX(Master!$H$2:$H$1001,$O243))</f>
      </c>
      <c r="I243">
        <f>IF($O243="","",INDEX(Master!$I$2:$I$1001,$O243))</f>
      </c>
      <c r="J243">
        <f>IF($O243="","",INDEX(Master!$J$2:$J$1001,$O243))</f>
      </c>
      <c r="K243">
        <f t="shared" si="6"/>
      </c>
      <c r="L243">
        <f>IF($O243="","",INDEX(Master!$K$2:$K$1001,$O243))</f>
      </c>
      <c r="M243">
        <f>IF($O243="","",INDEX(Master!$L$2:$L$1001,$O243))</f>
      </c>
      <c r="O243">
        <f t="array" ref="O243">IFERROR(SMALL(IF(Master!$A$2:$A$1001="VRKP",ROW(Master!$A$2:$A$1001)-ROW(Master!$A$2)+1),239),"")</f>
      </c>
      <c r="P243">
        <f t="shared" si="7"/>
      </c>
    </row>
    <row r="244" spans="1:16" x14ac:dyDescent="0.25">
      <c r="A244" s="235">
        <f>IF($O244="","",INDEX(Master!$D$2:$D$1001,$O244))</f>
      </c>
      <c r="B244" s="236">
        <f>IF($O244="","",INDEX(Master!$B$2:$B$1001,$O244))</f>
      </c>
      <c r="C244">
        <f>IF($O244="","",INDEX(Master!$C$2:$C$1001,$O244))</f>
      </c>
      <c r="D244">
        <f>IF($O244="","",INDEX(Master!$A$2:$A$1001,$O244))</f>
      </c>
      <c r="E244">
        <f>IF($O244="","",INDEX(Master!$E$2:$E$1001,$O244))</f>
      </c>
      <c r="F244">
        <f>IF($O244="","",INDEX(Master!$F$2:$F$1001,$O244))</f>
      </c>
      <c r="G244">
        <f>IF($O244="","",INDEX(Master!$G$2:$G$1001,$O244))</f>
      </c>
      <c r="H244">
        <f>IF($O244="","",INDEX(Master!$H$2:$H$1001,$O244))</f>
      </c>
      <c r="I244">
        <f>IF($O244="","",INDEX(Master!$I$2:$I$1001,$O244))</f>
      </c>
      <c r="J244">
        <f>IF($O244="","",INDEX(Master!$J$2:$J$1001,$O244))</f>
      </c>
      <c r="K244">
        <f t="shared" si="6"/>
      </c>
      <c r="L244">
        <f>IF($O244="","",INDEX(Master!$K$2:$K$1001,$O244))</f>
      </c>
      <c r="M244">
        <f>IF($O244="","",INDEX(Master!$L$2:$L$1001,$O244))</f>
      </c>
      <c r="O244">
        <f t="array" ref="O244">IFERROR(SMALL(IF(Master!$A$2:$A$1001="VRKP",ROW(Master!$A$2:$A$1001)-ROW(Master!$A$2)+1),240),"")</f>
      </c>
      <c r="P244">
        <f t="shared" si="7"/>
      </c>
    </row>
    <row r="245" spans="1:16" x14ac:dyDescent="0.25">
      <c r="A245" s="235">
        <f>IF($O245="","",INDEX(Master!$D$2:$D$1001,$O245))</f>
      </c>
      <c r="B245" s="236">
        <f>IF($O245="","",INDEX(Master!$B$2:$B$1001,$O245))</f>
      </c>
      <c r="C245">
        <f>IF($O245="","",INDEX(Master!$C$2:$C$1001,$O245))</f>
      </c>
      <c r="D245">
        <f>IF($O245="","",INDEX(Master!$A$2:$A$1001,$O245))</f>
      </c>
      <c r="E245">
        <f>IF($O245="","",INDEX(Master!$E$2:$E$1001,$O245))</f>
      </c>
      <c r="F245">
        <f>IF($O245="","",INDEX(Master!$F$2:$F$1001,$O245))</f>
      </c>
      <c r="G245">
        <f>IF($O245="","",INDEX(Master!$G$2:$G$1001,$O245))</f>
      </c>
      <c r="H245">
        <f>IF($O245="","",INDEX(Master!$H$2:$H$1001,$O245))</f>
      </c>
      <c r="I245">
        <f>IF($O245="","",INDEX(Master!$I$2:$I$1001,$O245))</f>
      </c>
      <c r="J245">
        <f>IF($O245="","",INDEX(Master!$J$2:$J$1001,$O245))</f>
      </c>
      <c r="K245">
        <f t="shared" si="6"/>
      </c>
      <c r="L245">
        <f>IF($O245="","",INDEX(Master!$K$2:$K$1001,$O245))</f>
      </c>
      <c r="M245">
        <f>IF($O245="","",INDEX(Master!$L$2:$L$1001,$O245))</f>
      </c>
      <c r="O245">
        <f t="array" ref="O245">IFERROR(SMALL(IF(Master!$A$2:$A$1001="VRKP",ROW(Master!$A$2:$A$1001)-ROW(Master!$A$2)+1),241),"")</f>
      </c>
      <c r="P245">
        <f t="shared" si="7"/>
      </c>
    </row>
    <row r="246" spans="1:16" x14ac:dyDescent="0.25">
      <c r="A246" s="235">
        <f>IF($O246="","",INDEX(Master!$D$2:$D$1001,$O246))</f>
      </c>
      <c r="B246" s="236">
        <f>IF($O246="","",INDEX(Master!$B$2:$B$1001,$O246))</f>
      </c>
      <c r="C246">
        <f>IF($O246="","",INDEX(Master!$C$2:$C$1001,$O246))</f>
      </c>
      <c r="D246">
        <f>IF($O246="","",INDEX(Master!$A$2:$A$1001,$O246))</f>
      </c>
      <c r="E246">
        <f>IF($O246="","",INDEX(Master!$E$2:$E$1001,$O246))</f>
      </c>
      <c r="F246">
        <f>IF($O246="","",INDEX(Master!$F$2:$F$1001,$O246))</f>
      </c>
      <c r="G246">
        <f>IF($O246="","",INDEX(Master!$G$2:$G$1001,$O246))</f>
      </c>
      <c r="H246">
        <f>IF($O246="","",INDEX(Master!$H$2:$H$1001,$O246))</f>
      </c>
      <c r="I246">
        <f>IF($O246="","",INDEX(Master!$I$2:$I$1001,$O246))</f>
      </c>
      <c r="J246">
        <f>IF($O246="","",INDEX(Master!$J$2:$J$1001,$O246))</f>
      </c>
      <c r="K246">
        <f t="shared" si="6"/>
      </c>
      <c r="L246">
        <f>IF($O246="","",INDEX(Master!$K$2:$K$1001,$O246))</f>
      </c>
      <c r="M246">
        <f>IF($O246="","",INDEX(Master!$L$2:$L$1001,$O246))</f>
      </c>
      <c r="O246">
        <f t="array" ref="O246">IFERROR(SMALL(IF(Master!$A$2:$A$1001="VRKP",ROW(Master!$A$2:$A$1001)-ROW(Master!$A$2)+1),242),"")</f>
      </c>
      <c r="P246">
        <f t="shared" si="7"/>
      </c>
    </row>
    <row r="247" spans="1:16" x14ac:dyDescent="0.25">
      <c r="A247" s="235">
        <f>IF($O247="","",INDEX(Master!$D$2:$D$1001,$O247))</f>
      </c>
      <c r="B247" s="236">
        <f>IF($O247="","",INDEX(Master!$B$2:$B$1001,$O247))</f>
      </c>
      <c r="C247">
        <f>IF($O247="","",INDEX(Master!$C$2:$C$1001,$O247))</f>
      </c>
      <c r="D247">
        <f>IF($O247="","",INDEX(Master!$A$2:$A$1001,$O247))</f>
      </c>
      <c r="E247">
        <f>IF($O247="","",INDEX(Master!$E$2:$E$1001,$O247))</f>
      </c>
      <c r="F247">
        <f>IF($O247="","",INDEX(Master!$F$2:$F$1001,$O247))</f>
      </c>
      <c r="G247">
        <f>IF($O247="","",INDEX(Master!$G$2:$G$1001,$O247))</f>
      </c>
      <c r="H247">
        <f>IF($O247="","",INDEX(Master!$H$2:$H$1001,$O247))</f>
      </c>
      <c r="I247">
        <f>IF($O247="","",INDEX(Master!$I$2:$I$1001,$O247))</f>
      </c>
      <c r="J247">
        <f>IF($O247="","",INDEX(Master!$J$2:$J$1001,$O247))</f>
      </c>
      <c r="K247">
        <f t="shared" si="6"/>
      </c>
      <c r="L247">
        <f>IF($O247="","",INDEX(Master!$K$2:$K$1001,$O247))</f>
      </c>
      <c r="M247">
        <f>IF($O247="","",INDEX(Master!$L$2:$L$1001,$O247))</f>
      </c>
      <c r="O247">
        <f t="array" ref="O247">IFERROR(SMALL(IF(Master!$A$2:$A$1001="VRKP",ROW(Master!$A$2:$A$1001)-ROW(Master!$A$2)+1),243),"")</f>
      </c>
      <c r="P247">
        <f t="shared" si="7"/>
      </c>
    </row>
    <row r="248" spans="1:16" x14ac:dyDescent="0.25">
      <c r="A248" s="235">
        <f>IF($O248="","",INDEX(Master!$D$2:$D$1001,$O248))</f>
      </c>
      <c r="B248" s="236">
        <f>IF($O248="","",INDEX(Master!$B$2:$B$1001,$O248))</f>
      </c>
      <c r="C248">
        <f>IF($O248="","",INDEX(Master!$C$2:$C$1001,$O248))</f>
      </c>
      <c r="D248">
        <f>IF($O248="","",INDEX(Master!$A$2:$A$1001,$O248))</f>
      </c>
      <c r="E248">
        <f>IF($O248="","",INDEX(Master!$E$2:$E$1001,$O248))</f>
      </c>
      <c r="F248">
        <f>IF($O248="","",INDEX(Master!$F$2:$F$1001,$O248))</f>
      </c>
      <c r="G248">
        <f>IF($O248="","",INDEX(Master!$G$2:$G$1001,$O248))</f>
      </c>
      <c r="H248">
        <f>IF($O248="","",INDEX(Master!$H$2:$H$1001,$O248))</f>
      </c>
      <c r="I248">
        <f>IF($O248="","",INDEX(Master!$I$2:$I$1001,$O248))</f>
      </c>
      <c r="J248">
        <f>IF($O248="","",INDEX(Master!$J$2:$J$1001,$O248))</f>
      </c>
      <c r="K248">
        <f t="shared" si="6"/>
      </c>
      <c r="L248">
        <f>IF($O248="","",INDEX(Master!$K$2:$K$1001,$O248))</f>
      </c>
      <c r="M248">
        <f>IF($O248="","",INDEX(Master!$L$2:$L$1001,$O248))</f>
      </c>
      <c r="O248">
        <f t="array" ref="O248">IFERROR(SMALL(IF(Master!$A$2:$A$1001="VRKP",ROW(Master!$A$2:$A$1001)-ROW(Master!$A$2)+1),244),"")</f>
      </c>
      <c r="P248">
        <f t="shared" si="7"/>
      </c>
    </row>
    <row r="249" spans="1:16" x14ac:dyDescent="0.25">
      <c r="A249" s="235">
        <f>IF($O249="","",INDEX(Master!$D$2:$D$1001,$O249))</f>
      </c>
      <c r="B249" s="236">
        <f>IF($O249="","",INDEX(Master!$B$2:$B$1001,$O249))</f>
      </c>
      <c r="C249">
        <f>IF($O249="","",INDEX(Master!$C$2:$C$1001,$O249))</f>
      </c>
      <c r="D249">
        <f>IF($O249="","",INDEX(Master!$A$2:$A$1001,$O249))</f>
      </c>
      <c r="E249">
        <f>IF($O249="","",INDEX(Master!$E$2:$E$1001,$O249))</f>
      </c>
      <c r="F249">
        <f>IF($O249="","",INDEX(Master!$F$2:$F$1001,$O249))</f>
      </c>
      <c r="G249">
        <f>IF($O249="","",INDEX(Master!$G$2:$G$1001,$O249))</f>
      </c>
      <c r="H249">
        <f>IF($O249="","",INDEX(Master!$H$2:$H$1001,$O249))</f>
      </c>
      <c r="I249">
        <f>IF($O249="","",INDEX(Master!$I$2:$I$1001,$O249))</f>
      </c>
      <c r="J249">
        <f>IF($O249="","",INDEX(Master!$J$2:$J$1001,$O249))</f>
      </c>
      <c r="K249">
        <f t="shared" si="6"/>
      </c>
      <c r="L249">
        <f>IF($O249="","",INDEX(Master!$K$2:$K$1001,$O249))</f>
      </c>
      <c r="M249">
        <f>IF($O249="","",INDEX(Master!$L$2:$L$1001,$O249))</f>
      </c>
      <c r="O249">
        <f t="array" ref="O249">IFERROR(SMALL(IF(Master!$A$2:$A$1001="VRKP",ROW(Master!$A$2:$A$1001)-ROW(Master!$A$2)+1),245),"")</f>
      </c>
      <c r="P249">
        <f t="shared" si="7"/>
      </c>
    </row>
    <row r="250" spans="1:16" x14ac:dyDescent="0.25">
      <c r="A250" s="235">
        <f>IF($O250="","",INDEX(Master!$D$2:$D$1001,$O250))</f>
      </c>
      <c r="B250" s="236">
        <f>IF($O250="","",INDEX(Master!$B$2:$B$1001,$O250))</f>
      </c>
      <c r="C250">
        <f>IF($O250="","",INDEX(Master!$C$2:$C$1001,$O250))</f>
      </c>
      <c r="D250">
        <f>IF($O250="","",INDEX(Master!$A$2:$A$1001,$O250))</f>
      </c>
      <c r="E250">
        <f>IF($O250="","",INDEX(Master!$E$2:$E$1001,$O250))</f>
      </c>
      <c r="F250">
        <f>IF($O250="","",INDEX(Master!$F$2:$F$1001,$O250))</f>
      </c>
      <c r="G250">
        <f>IF($O250="","",INDEX(Master!$G$2:$G$1001,$O250))</f>
      </c>
      <c r="H250">
        <f>IF($O250="","",INDEX(Master!$H$2:$H$1001,$O250))</f>
      </c>
      <c r="I250">
        <f>IF($O250="","",INDEX(Master!$I$2:$I$1001,$O250))</f>
      </c>
      <c r="J250">
        <f>IF($O250="","",INDEX(Master!$J$2:$J$1001,$O250))</f>
      </c>
      <c r="K250">
        <f t="shared" si="6"/>
      </c>
      <c r="L250">
        <f>IF($O250="","",INDEX(Master!$K$2:$K$1001,$O250))</f>
      </c>
      <c r="M250">
        <f>IF($O250="","",INDEX(Master!$L$2:$L$1001,$O250))</f>
      </c>
      <c r="O250">
        <f t="array" ref="O250">IFERROR(SMALL(IF(Master!$A$2:$A$1001="VRKP",ROW(Master!$A$2:$A$1001)-ROW(Master!$A$2)+1),246),"")</f>
      </c>
      <c r="P250">
        <f t="shared" si="7"/>
      </c>
    </row>
    <row r="251" spans="1:16" x14ac:dyDescent="0.25">
      <c r="A251" s="235">
        <f>IF($O251="","",INDEX(Master!$D$2:$D$1001,$O251))</f>
      </c>
      <c r="B251" s="236">
        <f>IF($O251="","",INDEX(Master!$B$2:$B$1001,$O251))</f>
      </c>
      <c r="C251">
        <f>IF($O251="","",INDEX(Master!$C$2:$C$1001,$O251))</f>
      </c>
      <c r="D251">
        <f>IF($O251="","",INDEX(Master!$A$2:$A$1001,$O251))</f>
      </c>
      <c r="E251">
        <f>IF($O251="","",INDEX(Master!$E$2:$E$1001,$O251))</f>
      </c>
      <c r="F251">
        <f>IF($O251="","",INDEX(Master!$F$2:$F$1001,$O251))</f>
      </c>
      <c r="G251">
        <f>IF($O251="","",INDEX(Master!$G$2:$G$1001,$O251))</f>
      </c>
      <c r="H251">
        <f>IF($O251="","",INDEX(Master!$H$2:$H$1001,$O251))</f>
      </c>
      <c r="I251">
        <f>IF($O251="","",INDEX(Master!$I$2:$I$1001,$O251))</f>
      </c>
      <c r="J251">
        <f>IF($O251="","",INDEX(Master!$J$2:$J$1001,$O251))</f>
      </c>
      <c r="K251">
        <f t="shared" si="6"/>
      </c>
      <c r="L251">
        <f>IF($O251="","",INDEX(Master!$K$2:$K$1001,$O251))</f>
      </c>
      <c r="M251">
        <f>IF($O251="","",INDEX(Master!$L$2:$L$1001,$O251))</f>
      </c>
      <c r="O251">
        <f t="array" ref="O251">IFERROR(SMALL(IF(Master!$A$2:$A$1001="VRKP",ROW(Master!$A$2:$A$1001)-ROW(Master!$A$2)+1),247),"")</f>
      </c>
      <c r="P251">
        <f t="shared" si="7"/>
      </c>
    </row>
    <row r="252" spans="1:16" x14ac:dyDescent="0.25">
      <c r="A252" s="235">
        <f>IF($O252="","",INDEX(Master!$D$2:$D$1001,$O252))</f>
      </c>
      <c r="B252" s="236">
        <f>IF($O252="","",INDEX(Master!$B$2:$B$1001,$O252))</f>
      </c>
      <c r="C252">
        <f>IF($O252="","",INDEX(Master!$C$2:$C$1001,$O252))</f>
      </c>
      <c r="D252">
        <f>IF($O252="","",INDEX(Master!$A$2:$A$1001,$O252))</f>
      </c>
      <c r="E252">
        <f>IF($O252="","",INDEX(Master!$E$2:$E$1001,$O252))</f>
      </c>
      <c r="F252">
        <f>IF($O252="","",INDEX(Master!$F$2:$F$1001,$O252))</f>
      </c>
      <c r="G252">
        <f>IF($O252="","",INDEX(Master!$G$2:$G$1001,$O252))</f>
      </c>
      <c r="H252">
        <f>IF($O252="","",INDEX(Master!$H$2:$H$1001,$O252))</f>
      </c>
      <c r="I252">
        <f>IF($O252="","",INDEX(Master!$I$2:$I$1001,$O252))</f>
      </c>
      <c r="J252">
        <f>IF($O252="","",INDEX(Master!$J$2:$J$1001,$O252))</f>
      </c>
      <c r="K252">
        <f t="shared" si="6"/>
      </c>
      <c r="L252">
        <f>IF($O252="","",INDEX(Master!$K$2:$K$1001,$O252))</f>
      </c>
      <c r="M252">
        <f>IF($O252="","",INDEX(Master!$L$2:$L$1001,$O252))</f>
      </c>
      <c r="O252">
        <f t="array" ref="O252">IFERROR(SMALL(IF(Master!$A$2:$A$1001="VRKP",ROW(Master!$A$2:$A$1001)-ROW(Master!$A$2)+1),248),"")</f>
      </c>
      <c r="P252">
        <f t="shared" si="7"/>
      </c>
    </row>
    <row r="253" spans="1:16" x14ac:dyDescent="0.25">
      <c r="A253" s="235">
        <f>IF($O253="","",INDEX(Master!$D$2:$D$1001,$O253))</f>
      </c>
      <c r="B253" s="236">
        <f>IF($O253="","",INDEX(Master!$B$2:$B$1001,$O253))</f>
      </c>
      <c r="C253">
        <f>IF($O253="","",INDEX(Master!$C$2:$C$1001,$O253))</f>
      </c>
      <c r="D253">
        <f>IF($O253="","",INDEX(Master!$A$2:$A$1001,$O253))</f>
      </c>
      <c r="E253">
        <f>IF($O253="","",INDEX(Master!$E$2:$E$1001,$O253))</f>
      </c>
      <c r="F253">
        <f>IF($O253="","",INDEX(Master!$F$2:$F$1001,$O253))</f>
      </c>
      <c r="G253">
        <f>IF($O253="","",INDEX(Master!$G$2:$G$1001,$O253))</f>
      </c>
      <c r="H253">
        <f>IF($O253="","",INDEX(Master!$H$2:$H$1001,$O253))</f>
      </c>
      <c r="I253">
        <f>IF($O253="","",INDEX(Master!$I$2:$I$1001,$O253))</f>
      </c>
      <c r="J253">
        <f>IF($O253="","",INDEX(Master!$J$2:$J$1001,$O253))</f>
      </c>
      <c r="K253">
        <f t="shared" si="6"/>
      </c>
      <c r="L253">
        <f>IF($O253="","",INDEX(Master!$K$2:$K$1001,$O253))</f>
      </c>
      <c r="M253">
        <f>IF($O253="","",INDEX(Master!$L$2:$L$1001,$O253))</f>
      </c>
      <c r="O253">
        <f t="array" ref="O253">IFERROR(SMALL(IF(Master!$A$2:$A$1001="VRKP",ROW(Master!$A$2:$A$1001)-ROW(Master!$A$2)+1),249),"")</f>
      </c>
      <c r="P253">
        <f t="shared" si="7"/>
      </c>
    </row>
    <row r="254" spans="1:16" x14ac:dyDescent="0.25">
      <c r="A254" s="235">
        <f>IF($O254="","",INDEX(Master!$D$2:$D$1001,$O254))</f>
      </c>
      <c r="B254" s="236">
        <f>IF($O254="","",INDEX(Master!$B$2:$B$1001,$O254))</f>
      </c>
      <c r="C254">
        <f>IF($O254="","",INDEX(Master!$C$2:$C$1001,$O254))</f>
      </c>
      <c r="D254">
        <f>IF($O254="","",INDEX(Master!$A$2:$A$1001,$O254))</f>
      </c>
      <c r="E254">
        <f>IF($O254="","",INDEX(Master!$E$2:$E$1001,$O254))</f>
      </c>
      <c r="F254">
        <f>IF($O254="","",INDEX(Master!$F$2:$F$1001,$O254))</f>
      </c>
      <c r="G254">
        <f>IF($O254="","",INDEX(Master!$G$2:$G$1001,$O254))</f>
      </c>
      <c r="H254">
        <f>IF($O254="","",INDEX(Master!$H$2:$H$1001,$O254))</f>
      </c>
      <c r="I254">
        <f>IF($O254="","",INDEX(Master!$I$2:$I$1001,$O254))</f>
      </c>
      <c r="J254">
        <f>IF($O254="","",INDEX(Master!$J$2:$J$1001,$O254))</f>
      </c>
      <c r="K254">
        <f t="shared" si="6"/>
      </c>
      <c r="L254">
        <f>IF($O254="","",INDEX(Master!$K$2:$K$1001,$O254))</f>
      </c>
      <c r="M254">
        <f>IF($O254="","",INDEX(Master!$L$2:$L$1001,$O254))</f>
      </c>
      <c r="O254">
        <f t="array" ref="O254">IFERROR(SMALL(IF(Master!$A$2:$A$1001="VRKP",ROW(Master!$A$2:$A$1001)-ROW(Master!$A$2)+1),250),"")</f>
      </c>
      <c r="P254">
        <f t="shared" si="7"/>
      </c>
    </row>
    <row r="255" spans="1:16" x14ac:dyDescent="0.25">
      <c r="A255" s="235">
        <f>IF($O255="","",INDEX(Master!$D$2:$D$1001,$O255))</f>
      </c>
      <c r="B255" s="236">
        <f>IF($O255="","",INDEX(Master!$B$2:$B$1001,$O255))</f>
      </c>
      <c r="C255">
        <f>IF($O255="","",INDEX(Master!$C$2:$C$1001,$O255))</f>
      </c>
      <c r="D255">
        <f>IF($O255="","",INDEX(Master!$A$2:$A$1001,$O255))</f>
      </c>
      <c r="E255">
        <f>IF($O255="","",INDEX(Master!$E$2:$E$1001,$O255))</f>
      </c>
      <c r="F255">
        <f>IF($O255="","",INDEX(Master!$F$2:$F$1001,$O255))</f>
      </c>
      <c r="G255">
        <f>IF($O255="","",INDEX(Master!$G$2:$G$1001,$O255))</f>
      </c>
      <c r="H255">
        <f>IF($O255="","",INDEX(Master!$H$2:$H$1001,$O255))</f>
      </c>
      <c r="I255">
        <f>IF($O255="","",INDEX(Master!$I$2:$I$1001,$O255))</f>
      </c>
      <c r="J255">
        <f>IF($O255="","",INDEX(Master!$J$2:$J$1001,$O255))</f>
      </c>
      <c r="K255">
        <f t="shared" si="6"/>
      </c>
      <c r="L255">
        <f>IF($O255="","",INDEX(Master!$K$2:$K$1001,$O255))</f>
      </c>
      <c r="M255">
        <f>IF($O255="","",INDEX(Master!$L$2:$L$1001,$O255))</f>
      </c>
      <c r="O255">
        <f t="array" ref="O255">IFERROR(SMALL(IF(Master!$A$2:$A$1001="VRKP",ROW(Master!$A$2:$A$1001)-ROW(Master!$A$2)+1),251),"")</f>
      </c>
      <c r="P255">
        <f t="shared" si="7"/>
      </c>
    </row>
    <row r="256" spans="1:16" x14ac:dyDescent="0.25">
      <c r="A256" s="235">
        <f>IF($O256="","",INDEX(Master!$D$2:$D$1001,$O256))</f>
      </c>
      <c r="B256" s="236">
        <f>IF($O256="","",INDEX(Master!$B$2:$B$1001,$O256))</f>
      </c>
      <c r="C256">
        <f>IF($O256="","",INDEX(Master!$C$2:$C$1001,$O256))</f>
      </c>
      <c r="D256">
        <f>IF($O256="","",INDEX(Master!$A$2:$A$1001,$O256))</f>
      </c>
      <c r="E256">
        <f>IF($O256="","",INDEX(Master!$E$2:$E$1001,$O256))</f>
      </c>
      <c r="F256">
        <f>IF($O256="","",INDEX(Master!$F$2:$F$1001,$O256))</f>
      </c>
      <c r="G256">
        <f>IF($O256="","",INDEX(Master!$G$2:$G$1001,$O256))</f>
      </c>
      <c r="H256">
        <f>IF($O256="","",INDEX(Master!$H$2:$H$1001,$O256))</f>
      </c>
      <c r="I256">
        <f>IF($O256="","",INDEX(Master!$I$2:$I$1001,$O256))</f>
      </c>
      <c r="J256">
        <f>IF($O256="","",INDEX(Master!$J$2:$J$1001,$O256))</f>
      </c>
      <c r="K256">
        <f t="shared" si="6"/>
      </c>
      <c r="L256">
        <f>IF($O256="","",INDEX(Master!$K$2:$K$1001,$O256))</f>
      </c>
      <c r="M256">
        <f>IF($O256="","",INDEX(Master!$L$2:$L$1001,$O256))</f>
      </c>
      <c r="O256">
        <f t="array" ref="O256">IFERROR(SMALL(IF(Master!$A$2:$A$1001="VRKP",ROW(Master!$A$2:$A$1001)-ROW(Master!$A$2)+1),252),"")</f>
      </c>
      <c r="P256">
        <f t="shared" si="7"/>
      </c>
    </row>
    <row r="257" spans="1:16" x14ac:dyDescent="0.25">
      <c r="A257" s="235">
        <f>IF($O257="","",INDEX(Master!$D$2:$D$1001,$O257))</f>
      </c>
      <c r="B257" s="236">
        <f>IF($O257="","",INDEX(Master!$B$2:$B$1001,$O257))</f>
      </c>
      <c r="C257">
        <f>IF($O257="","",INDEX(Master!$C$2:$C$1001,$O257))</f>
      </c>
      <c r="D257">
        <f>IF($O257="","",INDEX(Master!$A$2:$A$1001,$O257))</f>
      </c>
      <c r="E257">
        <f>IF($O257="","",INDEX(Master!$E$2:$E$1001,$O257))</f>
      </c>
      <c r="F257">
        <f>IF($O257="","",INDEX(Master!$F$2:$F$1001,$O257))</f>
      </c>
      <c r="G257">
        <f>IF($O257="","",INDEX(Master!$G$2:$G$1001,$O257))</f>
      </c>
      <c r="H257">
        <f>IF($O257="","",INDEX(Master!$H$2:$H$1001,$O257))</f>
      </c>
      <c r="I257">
        <f>IF($O257="","",INDEX(Master!$I$2:$I$1001,$O257))</f>
      </c>
      <c r="J257">
        <f>IF($O257="","",INDEX(Master!$J$2:$J$1001,$O257))</f>
      </c>
      <c r="K257">
        <f t="shared" si="6"/>
      </c>
      <c r="L257">
        <f>IF($O257="","",INDEX(Master!$K$2:$K$1001,$O257))</f>
      </c>
      <c r="M257">
        <f>IF($O257="","",INDEX(Master!$L$2:$L$1001,$O257))</f>
      </c>
      <c r="O257">
        <f t="array" ref="O257">IFERROR(SMALL(IF(Master!$A$2:$A$1001="VRKP",ROW(Master!$A$2:$A$1001)-ROW(Master!$A$2)+1),253),"")</f>
      </c>
      <c r="P257">
        <f t="shared" si="7"/>
      </c>
    </row>
    <row r="258" spans="1:16" x14ac:dyDescent="0.25">
      <c r="A258" s="235">
        <f>IF($O258="","",INDEX(Master!$D$2:$D$1001,$O258))</f>
      </c>
      <c r="B258" s="236">
        <f>IF($O258="","",INDEX(Master!$B$2:$B$1001,$O258))</f>
      </c>
      <c r="C258">
        <f>IF($O258="","",INDEX(Master!$C$2:$C$1001,$O258))</f>
      </c>
      <c r="D258">
        <f>IF($O258="","",INDEX(Master!$A$2:$A$1001,$O258))</f>
      </c>
      <c r="E258">
        <f>IF($O258="","",INDEX(Master!$E$2:$E$1001,$O258))</f>
      </c>
      <c r="F258">
        <f>IF($O258="","",INDEX(Master!$F$2:$F$1001,$O258))</f>
      </c>
      <c r="G258">
        <f>IF($O258="","",INDEX(Master!$G$2:$G$1001,$O258))</f>
      </c>
      <c r="H258">
        <f>IF($O258="","",INDEX(Master!$H$2:$H$1001,$O258))</f>
      </c>
      <c r="I258">
        <f>IF($O258="","",INDEX(Master!$I$2:$I$1001,$O258))</f>
      </c>
      <c r="J258">
        <f>IF($O258="","",INDEX(Master!$J$2:$J$1001,$O258))</f>
      </c>
      <c r="K258">
        <f t="shared" si="6"/>
      </c>
      <c r="L258">
        <f>IF($O258="","",INDEX(Master!$K$2:$K$1001,$O258))</f>
      </c>
      <c r="M258">
        <f>IF($O258="","",INDEX(Master!$L$2:$L$1001,$O258))</f>
      </c>
      <c r="O258">
        <f t="array" ref="O258">IFERROR(SMALL(IF(Master!$A$2:$A$1001="VRKP",ROW(Master!$A$2:$A$1001)-ROW(Master!$A$2)+1),254),"")</f>
      </c>
      <c r="P258">
        <f t="shared" si="7"/>
      </c>
    </row>
    <row r="259" spans="1:16" x14ac:dyDescent="0.25">
      <c r="A259" s="235">
        <f>IF($O259="","",INDEX(Master!$D$2:$D$1001,$O259))</f>
      </c>
      <c r="B259" s="236">
        <f>IF($O259="","",INDEX(Master!$B$2:$B$1001,$O259))</f>
      </c>
      <c r="C259">
        <f>IF($O259="","",INDEX(Master!$C$2:$C$1001,$O259))</f>
      </c>
      <c r="D259">
        <f>IF($O259="","",INDEX(Master!$A$2:$A$1001,$O259))</f>
      </c>
      <c r="E259">
        <f>IF($O259="","",INDEX(Master!$E$2:$E$1001,$O259))</f>
      </c>
      <c r="F259">
        <f>IF($O259="","",INDEX(Master!$F$2:$F$1001,$O259))</f>
      </c>
      <c r="G259">
        <f>IF($O259="","",INDEX(Master!$G$2:$G$1001,$O259))</f>
      </c>
      <c r="H259">
        <f>IF($O259="","",INDEX(Master!$H$2:$H$1001,$O259))</f>
      </c>
      <c r="I259">
        <f>IF($O259="","",INDEX(Master!$I$2:$I$1001,$O259))</f>
      </c>
      <c r="J259">
        <f>IF($O259="","",INDEX(Master!$J$2:$J$1001,$O259))</f>
      </c>
      <c r="K259">
        <f t="shared" si="6"/>
      </c>
      <c r="L259">
        <f>IF($O259="","",INDEX(Master!$K$2:$K$1001,$O259))</f>
      </c>
      <c r="M259">
        <f>IF($O259="","",INDEX(Master!$L$2:$L$1001,$O259))</f>
      </c>
      <c r="O259">
        <f t="array" ref="O259">IFERROR(SMALL(IF(Master!$A$2:$A$1001="VRKP",ROW(Master!$A$2:$A$1001)-ROW(Master!$A$2)+1),255),"")</f>
      </c>
      <c r="P259">
        <f t="shared" si="7"/>
      </c>
    </row>
    <row r="260" spans="1:16" x14ac:dyDescent="0.25">
      <c r="A260" s="235">
        <f>IF($O260="","",INDEX(Master!$D$2:$D$1001,$O260))</f>
      </c>
      <c r="B260" s="236">
        <f>IF($O260="","",INDEX(Master!$B$2:$B$1001,$O260))</f>
      </c>
      <c r="C260">
        <f>IF($O260="","",INDEX(Master!$C$2:$C$1001,$O260))</f>
      </c>
      <c r="D260">
        <f>IF($O260="","",INDEX(Master!$A$2:$A$1001,$O260))</f>
      </c>
      <c r="E260">
        <f>IF($O260="","",INDEX(Master!$E$2:$E$1001,$O260))</f>
      </c>
      <c r="F260">
        <f>IF($O260="","",INDEX(Master!$F$2:$F$1001,$O260))</f>
      </c>
      <c r="G260">
        <f>IF($O260="","",INDEX(Master!$G$2:$G$1001,$O260))</f>
      </c>
      <c r="H260">
        <f>IF($O260="","",INDEX(Master!$H$2:$H$1001,$O260))</f>
      </c>
      <c r="I260">
        <f>IF($O260="","",INDEX(Master!$I$2:$I$1001,$O260))</f>
      </c>
      <c r="J260">
        <f>IF($O260="","",INDEX(Master!$J$2:$J$1001,$O260))</f>
      </c>
      <c r="K260">
        <f t="shared" si="6"/>
      </c>
      <c r="L260">
        <f>IF($O260="","",INDEX(Master!$K$2:$K$1001,$O260))</f>
      </c>
      <c r="M260">
        <f>IF($O260="","",INDEX(Master!$L$2:$L$1001,$O260))</f>
      </c>
      <c r="O260">
        <f t="array" ref="O260">IFERROR(SMALL(IF(Master!$A$2:$A$1001="VRKP",ROW(Master!$A$2:$A$1001)-ROW(Master!$A$2)+1),256),"")</f>
      </c>
      <c r="P260">
        <f t="shared" si="7"/>
      </c>
    </row>
    <row r="261" spans="1:16" x14ac:dyDescent="0.25">
      <c r="A261" s="235">
        <f>IF($O261="","",INDEX(Master!$D$2:$D$1001,$O261))</f>
      </c>
      <c r="B261" s="236">
        <f>IF($O261="","",INDEX(Master!$B$2:$B$1001,$O261))</f>
      </c>
      <c r="C261">
        <f>IF($O261="","",INDEX(Master!$C$2:$C$1001,$O261))</f>
      </c>
      <c r="D261">
        <f>IF($O261="","",INDEX(Master!$A$2:$A$1001,$O261))</f>
      </c>
      <c r="E261">
        <f>IF($O261="","",INDEX(Master!$E$2:$E$1001,$O261))</f>
      </c>
      <c r="F261">
        <f>IF($O261="","",INDEX(Master!$F$2:$F$1001,$O261))</f>
      </c>
      <c r="G261">
        <f>IF($O261="","",INDEX(Master!$G$2:$G$1001,$O261))</f>
      </c>
      <c r="H261">
        <f>IF($O261="","",INDEX(Master!$H$2:$H$1001,$O261))</f>
      </c>
      <c r="I261">
        <f>IF($O261="","",INDEX(Master!$I$2:$I$1001,$O261))</f>
      </c>
      <c r="J261">
        <f>IF($O261="","",INDEX(Master!$J$2:$J$1001,$O261))</f>
      </c>
      <c r="K261">
        <f t="shared" ref="K261:K304" si="8">IF(OR($O261="",$F261="",$F261=0),"",$H261/$F261)</f>
      </c>
      <c r="L261">
        <f>IF($O261="","",INDEX(Master!$K$2:$K$1001,$O261))</f>
      </c>
      <c r="M261">
        <f>IF($O261="","",INDEX(Master!$L$2:$L$1001,$O261))</f>
      </c>
      <c r="O261">
        <f t="array" ref="O261">IFERROR(SMALL(IF(Master!$A$2:$A$1001="VRKP",ROW(Master!$A$2:$A$1001)-ROW(Master!$A$2)+1),257),"")</f>
      </c>
      <c r="P261">
        <f t="shared" ref="P261:P304" si="9">IF($A261="",0,IF(OR(AND($E261&lt;&gt;"",OR($E261&gt;0.12)),AND($F261&lt;&gt;"",OR($F261&gt;0.05)),AND($G261&lt;&gt;"",OR($G261&gt;0.085)),AND($H261&lt;&gt;"",$H261&lt;0.5),AND($I261&lt;&gt;"",$I261&gt;120),AND($J261&lt;&gt;"",OR($J261&lt;0.08))),1,0))</f>
      </c>
    </row>
    <row r="262" spans="1:16" x14ac:dyDescent="0.25">
      <c r="A262" s="235">
        <f>IF($O262="","",INDEX(Master!$D$2:$D$1001,$O262))</f>
      </c>
      <c r="B262" s="236">
        <f>IF($O262="","",INDEX(Master!$B$2:$B$1001,$O262))</f>
      </c>
      <c r="C262">
        <f>IF($O262="","",INDEX(Master!$C$2:$C$1001,$O262))</f>
      </c>
      <c r="D262">
        <f>IF($O262="","",INDEX(Master!$A$2:$A$1001,$O262))</f>
      </c>
      <c r="E262">
        <f>IF($O262="","",INDEX(Master!$E$2:$E$1001,$O262))</f>
      </c>
      <c r="F262">
        <f>IF($O262="","",INDEX(Master!$F$2:$F$1001,$O262))</f>
      </c>
      <c r="G262">
        <f>IF($O262="","",INDEX(Master!$G$2:$G$1001,$O262))</f>
      </c>
      <c r="H262">
        <f>IF($O262="","",INDEX(Master!$H$2:$H$1001,$O262))</f>
      </c>
      <c r="I262">
        <f>IF($O262="","",INDEX(Master!$I$2:$I$1001,$O262))</f>
      </c>
      <c r="J262">
        <f>IF($O262="","",INDEX(Master!$J$2:$J$1001,$O262))</f>
      </c>
      <c r="K262">
        <f t="shared" si="8"/>
      </c>
      <c r="L262">
        <f>IF($O262="","",INDEX(Master!$K$2:$K$1001,$O262))</f>
      </c>
      <c r="M262">
        <f>IF($O262="","",INDEX(Master!$L$2:$L$1001,$O262))</f>
      </c>
      <c r="O262">
        <f t="array" ref="O262">IFERROR(SMALL(IF(Master!$A$2:$A$1001="VRKP",ROW(Master!$A$2:$A$1001)-ROW(Master!$A$2)+1),258),"")</f>
      </c>
      <c r="P262">
        <f t="shared" si="9"/>
      </c>
    </row>
    <row r="263" spans="1:16" x14ac:dyDescent="0.25">
      <c r="A263" s="235">
        <f>IF($O263="","",INDEX(Master!$D$2:$D$1001,$O263))</f>
      </c>
      <c r="B263" s="236">
        <f>IF($O263="","",INDEX(Master!$B$2:$B$1001,$O263))</f>
      </c>
      <c r="C263">
        <f>IF($O263="","",INDEX(Master!$C$2:$C$1001,$O263))</f>
      </c>
      <c r="D263">
        <f>IF($O263="","",INDEX(Master!$A$2:$A$1001,$O263))</f>
      </c>
      <c r="E263">
        <f>IF($O263="","",INDEX(Master!$E$2:$E$1001,$O263))</f>
      </c>
      <c r="F263">
        <f>IF($O263="","",INDEX(Master!$F$2:$F$1001,$O263))</f>
      </c>
      <c r="G263">
        <f>IF($O263="","",INDEX(Master!$G$2:$G$1001,$O263))</f>
      </c>
      <c r="H263">
        <f>IF($O263="","",INDEX(Master!$H$2:$H$1001,$O263))</f>
      </c>
      <c r="I263">
        <f>IF($O263="","",INDEX(Master!$I$2:$I$1001,$O263))</f>
      </c>
      <c r="J263">
        <f>IF($O263="","",INDEX(Master!$J$2:$J$1001,$O263))</f>
      </c>
      <c r="K263">
        <f t="shared" si="8"/>
      </c>
      <c r="L263">
        <f>IF($O263="","",INDEX(Master!$K$2:$K$1001,$O263))</f>
      </c>
      <c r="M263">
        <f>IF($O263="","",INDEX(Master!$L$2:$L$1001,$O263))</f>
      </c>
      <c r="O263">
        <f t="array" ref="O263">IFERROR(SMALL(IF(Master!$A$2:$A$1001="VRKP",ROW(Master!$A$2:$A$1001)-ROW(Master!$A$2)+1),259),"")</f>
      </c>
      <c r="P263">
        <f t="shared" si="9"/>
      </c>
    </row>
    <row r="264" spans="1:16" x14ac:dyDescent="0.25">
      <c r="A264" s="235">
        <f>IF($O264="","",INDEX(Master!$D$2:$D$1001,$O264))</f>
      </c>
      <c r="B264" s="236">
        <f>IF($O264="","",INDEX(Master!$B$2:$B$1001,$O264))</f>
      </c>
      <c r="C264">
        <f>IF($O264="","",INDEX(Master!$C$2:$C$1001,$O264))</f>
      </c>
      <c r="D264">
        <f>IF($O264="","",INDEX(Master!$A$2:$A$1001,$O264))</f>
      </c>
      <c r="E264">
        <f>IF($O264="","",INDEX(Master!$E$2:$E$1001,$O264))</f>
      </c>
      <c r="F264">
        <f>IF($O264="","",INDEX(Master!$F$2:$F$1001,$O264))</f>
      </c>
      <c r="G264">
        <f>IF($O264="","",INDEX(Master!$G$2:$G$1001,$O264))</f>
      </c>
      <c r="H264">
        <f>IF($O264="","",INDEX(Master!$H$2:$H$1001,$O264))</f>
      </c>
      <c r="I264">
        <f>IF($O264="","",INDEX(Master!$I$2:$I$1001,$O264))</f>
      </c>
      <c r="J264">
        <f>IF($O264="","",INDEX(Master!$J$2:$J$1001,$O264))</f>
      </c>
      <c r="K264">
        <f t="shared" si="8"/>
      </c>
      <c r="L264">
        <f>IF($O264="","",INDEX(Master!$K$2:$K$1001,$O264))</f>
      </c>
      <c r="M264">
        <f>IF($O264="","",INDEX(Master!$L$2:$L$1001,$O264))</f>
      </c>
      <c r="O264">
        <f t="array" ref="O264">IFERROR(SMALL(IF(Master!$A$2:$A$1001="VRKP",ROW(Master!$A$2:$A$1001)-ROW(Master!$A$2)+1),260),"")</f>
      </c>
      <c r="P264">
        <f t="shared" si="9"/>
      </c>
    </row>
    <row r="265" spans="1:16" x14ac:dyDescent="0.25">
      <c r="A265" s="235">
        <f>IF($O265="","",INDEX(Master!$D$2:$D$1001,$O265))</f>
      </c>
      <c r="B265" s="236">
        <f>IF($O265="","",INDEX(Master!$B$2:$B$1001,$O265))</f>
      </c>
      <c r="C265">
        <f>IF($O265="","",INDEX(Master!$C$2:$C$1001,$O265))</f>
      </c>
      <c r="D265">
        <f>IF($O265="","",INDEX(Master!$A$2:$A$1001,$O265))</f>
      </c>
      <c r="E265">
        <f>IF($O265="","",INDEX(Master!$E$2:$E$1001,$O265))</f>
      </c>
      <c r="F265">
        <f>IF($O265="","",INDEX(Master!$F$2:$F$1001,$O265))</f>
      </c>
      <c r="G265">
        <f>IF($O265="","",INDEX(Master!$G$2:$G$1001,$O265))</f>
      </c>
      <c r="H265">
        <f>IF($O265="","",INDEX(Master!$H$2:$H$1001,$O265))</f>
      </c>
      <c r="I265">
        <f>IF($O265="","",INDEX(Master!$I$2:$I$1001,$O265))</f>
      </c>
      <c r="J265">
        <f>IF($O265="","",INDEX(Master!$J$2:$J$1001,$O265))</f>
      </c>
      <c r="K265">
        <f t="shared" si="8"/>
      </c>
      <c r="L265">
        <f>IF($O265="","",INDEX(Master!$K$2:$K$1001,$O265))</f>
      </c>
      <c r="M265">
        <f>IF($O265="","",INDEX(Master!$L$2:$L$1001,$O265))</f>
      </c>
      <c r="O265">
        <f t="array" ref="O265">IFERROR(SMALL(IF(Master!$A$2:$A$1001="VRKP",ROW(Master!$A$2:$A$1001)-ROW(Master!$A$2)+1),261),"")</f>
      </c>
      <c r="P265">
        <f t="shared" si="9"/>
      </c>
    </row>
    <row r="266" spans="1:16" x14ac:dyDescent="0.25">
      <c r="A266" s="235">
        <f>IF($O266="","",INDEX(Master!$D$2:$D$1001,$O266))</f>
      </c>
      <c r="B266" s="236">
        <f>IF($O266="","",INDEX(Master!$B$2:$B$1001,$O266))</f>
      </c>
      <c r="C266">
        <f>IF($O266="","",INDEX(Master!$C$2:$C$1001,$O266))</f>
      </c>
      <c r="D266">
        <f>IF($O266="","",INDEX(Master!$A$2:$A$1001,$O266))</f>
      </c>
      <c r="E266">
        <f>IF($O266="","",INDEX(Master!$E$2:$E$1001,$O266))</f>
      </c>
      <c r="F266">
        <f>IF($O266="","",INDEX(Master!$F$2:$F$1001,$O266))</f>
      </c>
      <c r="G266">
        <f>IF($O266="","",INDEX(Master!$G$2:$G$1001,$O266))</f>
      </c>
      <c r="H266">
        <f>IF($O266="","",INDEX(Master!$H$2:$H$1001,$O266))</f>
      </c>
      <c r="I266">
        <f>IF($O266="","",INDEX(Master!$I$2:$I$1001,$O266))</f>
      </c>
      <c r="J266">
        <f>IF($O266="","",INDEX(Master!$J$2:$J$1001,$O266))</f>
      </c>
      <c r="K266">
        <f t="shared" si="8"/>
      </c>
      <c r="L266">
        <f>IF($O266="","",INDEX(Master!$K$2:$K$1001,$O266))</f>
      </c>
      <c r="M266">
        <f>IF($O266="","",INDEX(Master!$L$2:$L$1001,$O266))</f>
      </c>
      <c r="O266">
        <f t="array" ref="O266">IFERROR(SMALL(IF(Master!$A$2:$A$1001="VRKP",ROW(Master!$A$2:$A$1001)-ROW(Master!$A$2)+1),262),"")</f>
      </c>
      <c r="P266">
        <f t="shared" si="9"/>
      </c>
    </row>
    <row r="267" spans="1:16" x14ac:dyDescent="0.25">
      <c r="A267" s="235">
        <f>IF($O267="","",INDEX(Master!$D$2:$D$1001,$O267))</f>
      </c>
      <c r="B267" s="236">
        <f>IF($O267="","",INDEX(Master!$B$2:$B$1001,$O267))</f>
      </c>
      <c r="C267">
        <f>IF($O267="","",INDEX(Master!$C$2:$C$1001,$O267))</f>
      </c>
      <c r="D267">
        <f>IF($O267="","",INDEX(Master!$A$2:$A$1001,$O267))</f>
      </c>
      <c r="E267">
        <f>IF($O267="","",INDEX(Master!$E$2:$E$1001,$O267))</f>
      </c>
      <c r="F267">
        <f>IF($O267="","",INDEX(Master!$F$2:$F$1001,$O267))</f>
      </c>
      <c r="G267">
        <f>IF($O267="","",INDEX(Master!$G$2:$G$1001,$O267))</f>
      </c>
      <c r="H267">
        <f>IF($O267="","",INDEX(Master!$H$2:$H$1001,$O267))</f>
      </c>
      <c r="I267">
        <f>IF($O267="","",INDEX(Master!$I$2:$I$1001,$O267))</f>
      </c>
      <c r="J267">
        <f>IF($O267="","",INDEX(Master!$J$2:$J$1001,$O267))</f>
      </c>
      <c r="K267">
        <f t="shared" si="8"/>
      </c>
      <c r="L267">
        <f>IF($O267="","",INDEX(Master!$K$2:$K$1001,$O267))</f>
      </c>
      <c r="M267">
        <f>IF($O267="","",INDEX(Master!$L$2:$L$1001,$O267))</f>
      </c>
      <c r="O267">
        <f t="array" ref="O267">IFERROR(SMALL(IF(Master!$A$2:$A$1001="VRKP",ROW(Master!$A$2:$A$1001)-ROW(Master!$A$2)+1),263),"")</f>
      </c>
      <c r="P267">
        <f t="shared" si="9"/>
      </c>
    </row>
    <row r="268" spans="1:16" x14ac:dyDescent="0.25">
      <c r="A268" s="235">
        <f>IF($O268="","",INDEX(Master!$D$2:$D$1001,$O268))</f>
      </c>
      <c r="B268" s="236">
        <f>IF($O268="","",INDEX(Master!$B$2:$B$1001,$O268))</f>
      </c>
      <c r="C268">
        <f>IF($O268="","",INDEX(Master!$C$2:$C$1001,$O268))</f>
      </c>
      <c r="D268">
        <f>IF($O268="","",INDEX(Master!$A$2:$A$1001,$O268))</f>
      </c>
      <c r="E268">
        <f>IF($O268="","",INDEX(Master!$E$2:$E$1001,$O268))</f>
      </c>
      <c r="F268">
        <f>IF($O268="","",INDEX(Master!$F$2:$F$1001,$O268))</f>
      </c>
      <c r="G268">
        <f>IF($O268="","",INDEX(Master!$G$2:$G$1001,$O268))</f>
      </c>
      <c r="H268">
        <f>IF($O268="","",INDEX(Master!$H$2:$H$1001,$O268))</f>
      </c>
      <c r="I268">
        <f>IF($O268="","",INDEX(Master!$I$2:$I$1001,$O268))</f>
      </c>
      <c r="J268">
        <f>IF($O268="","",INDEX(Master!$J$2:$J$1001,$O268))</f>
      </c>
      <c r="K268">
        <f t="shared" si="8"/>
      </c>
      <c r="L268">
        <f>IF($O268="","",INDEX(Master!$K$2:$K$1001,$O268))</f>
      </c>
      <c r="M268">
        <f>IF($O268="","",INDEX(Master!$L$2:$L$1001,$O268))</f>
      </c>
      <c r="O268">
        <f t="array" ref="O268">IFERROR(SMALL(IF(Master!$A$2:$A$1001="VRKP",ROW(Master!$A$2:$A$1001)-ROW(Master!$A$2)+1),264),"")</f>
      </c>
      <c r="P268">
        <f t="shared" si="9"/>
      </c>
    </row>
    <row r="269" spans="1:16" x14ac:dyDescent="0.25">
      <c r="A269" s="235">
        <f>IF($O269="","",INDEX(Master!$D$2:$D$1001,$O269))</f>
      </c>
      <c r="B269" s="236">
        <f>IF($O269="","",INDEX(Master!$B$2:$B$1001,$O269))</f>
      </c>
      <c r="C269">
        <f>IF($O269="","",INDEX(Master!$C$2:$C$1001,$O269))</f>
      </c>
      <c r="D269">
        <f>IF($O269="","",INDEX(Master!$A$2:$A$1001,$O269))</f>
      </c>
      <c r="E269">
        <f>IF($O269="","",INDEX(Master!$E$2:$E$1001,$O269))</f>
      </c>
      <c r="F269">
        <f>IF($O269="","",INDEX(Master!$F$2:$F$1001,$O269))</f>
      </c>
      <c r="G269">
        <f>IF($O269="","",INDEX(Master!$G$2:$G$1001,$O269))</f>
      </c>
      <c r="H269">
        <f>IF($O269="","",INDEX(Master!$H$2:$H$1001,$O269))</f>
      </c>
      <c r="I269">
        <f>IF($O269="","",INDEX(Master!$I$2:$I$1001,$O269))</f>
      </c>
      <c r="J269">
        <f>IF($O269="","",INDEX(Master!$J$2:$J$1001,$O269))</f>
      </c>
      <c r="K269">
        <f t="shared" si="8"/>
      </c>
      <c r="L269">
        <f>IF($O269="","",INDEX(Master!$K$2:$K$1001,$O269))</f>
      </c>
      <c r="M269">
        <f>IF($O269="","",INDEX(Master!$L$2:$L$1001,$O269))</f>
      </c>
      <c r="O269">
        <f t="array" ref="O269">IFERROR(SMALL(IF(Master!$A$2:$A$1001="VRKP",ROW(Master!$A$2:$A$1001)-ROW(Master!$A$2)+1),265),"")</f>
      </c>
      <c r="P269">
        <f t="shared" si="9"/>
      </c>
    </row>
    <row r="270" spans="1:16" x14ac:dyDescent="0.25">
      <c r="A270" s="235">
        <f>IF($O270="","",INDEX(Master!$D$2:$D$1001,$O270))</f>
      </c>
      <c r="B270" s="236">
        <f>IF($O270="","",INDEX(Master!$B$2:$B$1001,$O270))</f>
      </c>
      <c r="C270">
        <f>IF($O270="","",INDEX(Master!$C$2:$C$1001,$O270))</f>
      </c>
      <c r="D270">
        <f>IF($O270="","",INDEX(Master!$A$2:$A$1001,$O270))</f>
      </c>
      <c r="E270">
        <f>IF($O270="","",INDEX(Master!$E$2:$E$1001,$O270))</f>
      </c>
      <c r="F270">
        <f>IF($O270="","",INDEX(Master!$F$2:$F$1001,$O270))</f>
      </c>
      <c r="G270">
        <f>IF($O270="","",INDEX(Master!$G$2:$G$1001,$O270))</f>
      </c>
      <c r="H270">
        <f>IF($O270="","",INDEX(Master!$H$2:$H$1001,$O270))</f>
      </c>
      <c r="I270">
        <f>IF($O270="","",INDEX(Master!$I$2:$I$1001,$O270))</f>
      </c>
      <c r="J270">
        <f>IF($O270="","",INDEX(Master!$J$2:$J$1001,$O270))</f>
      </c>
      <c r="K270">
        <f t="shared" si="8"/>
      </c>
      <c r="L270">
        <f>IF($O270="","",INDEX(Master!$K$2:$K$1001,$O270))</f>
      </c>
      <c r="M270">
        <f>IF($O270="","",INDEX(Master!$L$2:$L$1001,$O270))</f>
      </c>
      <c r="O270">
        <f t="array" ref="O270">IFERROR(SMALL(IF(Master!$A$2:$A$1001="VRKP",ROW(Master!$A$2:$A$1001)-ROW(Master!$A$2)+1),266),"")</f>
      </c>
      <c r="P270">
        <f t="shared" si="9"/>
      </c>
    </row>
    <row r="271" spans="1:16" x14ac:dyDescent="0.25">
      <c r="A271" s="235">
        <f>IF($O271="","",INDEX(Master!$D$2:$D$1001,$O271))</f>
      </c>
      <c r="B271" s="236">
        <f>IF($O271="","",INDEX(Master!$B$2:$B$1001,$O271))</f>
      </c>
      <c r="C271">
        <f>IF($O271="","",INDEX(Master!$C$2:$C$1001,$O271))</f>
      </c>
      <c r="D271">
        <f>IF($O271="","",INDEX(Master!$A$2:$A$1001,$O271))</f>
      </c>
      <c r="E271">
        <f>IF($O271="","",INDEX(Master!$E$2:$E$1001,$O271))</f>
      </c>
      <c r="F271">
        <f>IF($O271="","",INDEX(Master!$F$2:$F$1001,$O271))</f>
      </c>
      <c r="G271">
        <f>IF($O271="","",INDEX(Master!$G$2:$G$1001,$O271))</f>
      </c>
      <c r="H271">
        <f>IF($O271="","",INDEX(Master!$H$2:$H$1001,$O271))</f>
      </c>
      <c r="I271">
        <f>IF($O271="","",INDEX(Master!$I$2:$I$1001,$O271))</f>
      </c>
      <c r="J271">
        <f>IF($O271="","",INDEX(Master!$J$2:$J$1001,$O271))</f>
      </c>
      <c r="K271">
        <f t="shared" si="8"/>
      </c>
      <c r="L271">
        <f>IF($O271="","",INDEX(Master!$K$2:$K$1001,$O271))</f>
      </c>
      <c r="M271">
        <f>IF($O271="","",INDEX(Master!$L$2:$L$1001,$O271))</f>
      </c>
      <c r="O271">
        <f t="array" ref="O271">IFERROR(SMALL(IF(Master!$A$2:$A$1001="VRKP",ROW(Master!$A$2:$A$1001)-ROW(Master!$A$2)+1),267),"")</f>
      </c>
      <c r="P271">
        <f t="shared" si="9"/>
      </c>
    </row>
    <row r="272" spans="1:16" x14ac:dyDescent="0.25">
      <c r="A272" s="235">
        <f>IF($O272="","",INDEX(Master!$D$2:$D$1001,$O272))</f>
      </c>
      <c r="B272" s="236">
        <f>IF($O272="","",INDEX(Master!$B$2:$B$1001,$O272))</f>
      </c>
      <c r="C272">
        <f>IF($O272="","",INDEX(Master!$C$2:$C$1001,$O272))</f>
      </c>
      <c r="D272">
        <f>IF($O272="","",INDEX(Master!$A$2:$A$1001,$O272))</f>
      </c>
      <c r="E272">
        <f>IF($O272="","",INDEX(Master!$E$2:$E$1001,$O272))</f>
      </c>
      <c r="F272">
        <f>IF($O272="","",INDEX(Master!$F$2:$F$1001,$O272))</f>
      </c>
      <c r="G272">
        <f>IF($O272="","",INDEX(Master!$G$2:$G$1001,$O272))</f>
      </c>
      <c r="H272">
        <f>IF($O272="","",INDEX(Master!$H$2:$H$1001,$O272))</f>
      </c>
      <c r="I272">
        <f>IF($O272="","",INDEX(Master!$I$2:$I$1001,$O272))</f>
      </c>
      <c r="J272">
        <f>IF($O272="","",INDEX(Master!$J$2:$J$1001,$O272))</f>
      </c>
      <c r="K272">
        <f t="shared" si="8"/>
      </c>
      <c r="L272">
        <f>IF($O272="","",INDEX(Master!$K$2:$K$1001,$O272))</f>
      </c>
      <c r="M272">
        <f>IF($O272="","",INDEX(Master!$L$2:$L$1001,$O272))</f>
      </c>
      <c r="O272">
        <f t="array" ref="O272">IFERROR(SMALL(IF(Master!$A$2:$A$1001="VRKP",ROW(Master!$A$2:$A$1001)-ROW(Master!$A$2)+1),268),"")</f>
      </c>
      <c r="P272">
        <f t="shared" si="9"/>
      </c>
    </row>
    <row r="273" spans="1:16" x14ac:dyDescent="0.25">
      <c r="A273" s="235">
        <f>IF($O273="","",INDEX(Master!$D$2:$D$1001,$O273))</f>
      </c>
      <c r="B273" s="236">
        <f>IF($O273="","",INDEX(Master!$B$2:$B$1001,$O273))</f>
      </c>
      <c r="C273">
        <f>IF($O273="","",INDEX(Master!$C$2:$C$1001,$O273))</f>
      </c>
      <c r="D273">
        <f>IF($O273="","",INDEX(Master!$A$2:$A$1001,$O273))</f>
      </c>
      <c r="E273">
        <f>IF($O273="","",INDEX(Master!$E$2:$E$1001,$O273))</f>
      </c>
      <c r="F273">
        <f>IF($O273="","",INDEX(Master!$F$2:$F$1001,$O273))</f>
      </c>
      <c r="G273">
        <f>IF($O273="","",INDEX(Master!$G$2:$G$1001,$O273))</f>
      </c>
      <c r="H273">
        <f>IF($O273="","",INDEX(Master!$H$2:$H$1001,$O273))</f>
      </c>
      <c r="I273">
        <f>IF($O273="","",INDEX(Master!$I$2:$I$1001,$O273))</f>
      </c>
      <c r="J273">
        <f>IF($O273="","",INDEX(Master!$J$2:$J$1001,$O273))</f>
      </c>
      <c r="K273">
        <f t="shared" si="8"/>
      </c>
      <c r="L273">
        <f>IF($O273="","",INDEX(Master!$K$2:$K$1001,$O273))</f>
      </c>
      <c r="M273">
        <f>IF($O273="","",INDEX(Master!$L$2:$L$1001,$O273))</f>
      </c>
      <c r="O273">
        <f t="array" ref="O273">IFERROR(SMALL(IF(Master!$A$2:$A$1001="VRKP",ROW(Master!$A$2:$A$1001)-ROW(Master!$A$2)+1),269),"")</f>
      </c>
      <c r="P273">
        <f t="shared" si="9"/>
      </c>
    </row>
    <row r="274" spans="1:16" x14ac:dyDescent="0.25">
      <c r="A274" s="235">
        <f>IF($O274="","",INDEX(Master!$D$2:$D$1001,$O274))</f>
      </c>
      <c r="B274" s="236">
        <f>IF($O274="","",INDEX(Master!$B$2:$B$1001,$O274))</f>
      </c>
      <c r="C274">
        <f>IF($O274="","",INDEX(Master!$C$2:$C$1001,$O274))</f>
      </c>
      <c r="D274">
        <f>IF($O274="","",INDEX(Master!$A$2:$A$1001,$O274))</f>
      </c>
      <c r="E274">
        <f>IF($O274="","",INDEX(Master!$E$2:$E$1001,$O274))</f>
      </c>
      <c r="F274">
        <f>IF($O274="","",INDEX(Master!$F$2:$F$1001,$O274))</f>
      </c>
      <c r="G274">
        <f>IF($O274="","",INDEX(Master!$G$2:$G$1001,$O274))</f>
      </c>
      <c r="H274">
        <f>IF($O274="","",INDEX(Master!$H$2:$H$1001,$O274))</f>
      </c>
      <c r="I274">
        <f>IF($O274="","",INDEX(Master!$I$2:$I$1001,$O274))</f>
      </c>
      <c r="J274">
        <f>IF($O274="","",INDEX(Master!$J$2:$J$1001,$O274))</f>
      </c>
      <c r="K274">
        <f t="shared" si="8"/>
      </c>
      <c r="L274">
        <f>IF($O274="","",INDEX(Master!$K$2:$K$1001,$O274))</f>
      </c>
      <c r="M274">
        <f>IF($O274="","",INDEX(Master!$L$2:$L$1001,$O274))</f>
      </c>
      <c r="O274">
        <f t="array" ref="O274">IFERROR(SMALL(IF(Master!$A$2:$A$1001="VRKP",ROW(Master!$A$2:$A$1001)-ROW(Master!$A$2)+1),270),"")</f>
      </c>
      <c r="P274">
        <f t="shared" si="9"/>
      </c>
    </row>
    <row r="275" spans="1:16" x14ac:dyDescent="0.25">
      <c r="A275" s="235">
        <f>IF($O275="","",INDEX(Master!$D$2:$D$1001,$O275))</f>
      </c>
      <c r="B275" s="236">
        <f>IF($O275="","",INDEX(Master!$B$2:$B$1001,$O275))</f>
      </c>
      <c r="C275">
        <f>IF($O275="","",INDEX(Master!$C$2:$C$1001,$O275))</f>
      </c>
      <c r="D275">
        <f>IF($O275="","",INDEX(Master!$A$2:$A$1001,$O275))</f>
      </c>
      <c r="E275">
        <f>IF($O275="","",INDEX(Master!$E$2:$E$1001,$O275))</f>
      </c>
      <c r="F275">
        <f>IF($O275="","",INDEX(Master!$F$2:$F$1001,$O275))</f>
      </c>
      <c r="G275">
        <f>IF($O275="","",INDEX(Master!$G$2:$G$1001,$O275))</f>
      </c>
      <c r="H275">
        <f>IF($O275="","",INDEX(Master!$H$2:$H$1001,$O275))</f>
      </c>
      <c r="I275">
        <f>IF($O275="","",INDEX(Master!$I$2:$I$1001,$O275))</f>
      </c>
      <c r="J275">
        <f>IF($O275="","",INDEX(Master!$J$2:$J$1001,$O275))</f>
      </c>
      <c r="K275">
        <f t="shared" si="8"/>
      </c>
      <c r="L275">
        <f>IF($O275="","",INDEX(Master!$K$2:$K$1001,$O275))</f>
      </c>
      <c r="M275">
        <f>IF($O275="","",INDEX(Master!$L$2:$L$1001,$O275))</f>
      </c>
      <c r="O275">
        <f t="array" ref="O275">IFERROR(SMALL(IF(Master!$A$2:$A$1001="VRKP",ROW(Master!$A$2:$A$1001)-ROW(Master!$A$2)+1),271),"")</f>
      </c>
      <c r="P275">
        <f t="shared" si="9"/>
      </c>
    </row>
    <row r="276" spans="1:16" x14ac:dyDescent="0.25">
      <c r="A276" s="235">
        <f>IF($O276="","",INDEX(Master!$D$2:$D$1001,$O276))</f>
      </c>
      <c r="B276" s="236">
        <f>IF($O276="","",INDEX(Master!$B$2:$B$1001,$O276))</f>
      </c>
      <c r="C276">
        <f>IF($O276="","",INDEX(Master!$C$2:$C$1001,$O276))</f>
      </c>
      <c r="D276">
        <f>IF($O276="","",INDEX(Master!$A$2:$A$1001,$O276))</f>
      </c>
      <c r="E276">
        <f>IF($O276="","",INDEX(Master!$E$2:$E$1001,$O276))</f>
      </c>
      <c r="F276">
        <f>IF($O276="","",INDEX(Master!$F$2:$F$1001,$O276))</f>
      </c>
      <c r="G276">
        <f>IF($O276="","",INDEX(Master!$G$2:$G$1001,$O276))</f>
      </c>
      <c r="H276">
        <f>IF($O276="","",INDEX(Master!$H$2:$H$1001,$O276))</f>
      </c>
      <c r="I276">
        <f>IF($O276="","",INDEX(Master!$I$2:$I$1001,$O276))</f>
      </c>
      <c r="J276">
        <f>IF($O276="","",INDEX(Master!$J$2:$J$1001,$O276))</f>
      </c>
      <c r="K276">
        <f t="shared" si="8"/>
      </c>
      <c r="L276">
        <f>IF($O276="","",INDEX(Master!$K$2:$K$1001,$O276))</f>
      </c>
      <c r="M276">
        <f>IF($O276="","",INDEX(Master!$L$2:$L$1001,$O276))</f>
      </c>
      <c r="O276">
        <f t="array" ref="O276">IFERROR(SMALL(IF(Master!$A$2:$A$1001="VRKP",ROW(Master!$A$2:$A$1001)-ROW(Master!$A$2)+1),272),"")</f>
      </c>
      <c r="P276">
        <f t="shared" si="9"/>
      </c>
    </row>
    <row r="277" spans="1:16" x14ac:dyDescent="0.25">
      <c r="A277" s="235">
        <f>IF($O277="","",INDEX(Master!$D$2:$D$1001,$O277))</f>
      </c>
      <c r="B277" s="236">
        <f>IF($O277="","",INDEX(Master!$B$2:$B$1001,$O277))</f>
      </c>
      <c r="C277">
        <f>IF($O277="","",INDEX(Master!$C$2:$C$1001,$O277))</f>
      </c>
      <c r="D277">
        <f>IF($O277="","",INDEX(Master!$A$2:$A$1001,$O277))</f>
      </c>
      <c r="E277">
        <f>IF($O277="","",INDEX(Master!$E$2:$E$1001,$O277))</f>
      </c>
      <c r="F277">
        <f>IF($O277="","",INDEX(Master!$F$2:$F$1001,$O277))</f>
      </c>
      <c r="G277">
        <f>IF($O277="","",INDEX(Master!$G$2:$G$1001,$O277))</f>
      </c>
      <c r="H277">
        <f>IF($O277="","",INDEX(Master!$H$2:$H$1001,$O277))</f>
      </c>
      <c r="I277">
        <f>IF($O277="","",INDEX(Master!$I$2:$I$1001,$O277))</f>
      </c>
      <c r="J277">
        <f>IF($O277="","",INDEX(Master!$J$2:$J$1001,$O277))</f>
      </c>
      <c r="K277">
        <f t="shared" si="8"/>
      </c>
      <c r="L277">
        <f>IF($O277="","",INDEX(Master!$K$2:$K$1001,$O277))</f>
      </c>
      <c r="M277">
        <f>IF($O277="","",INDEX(Master!$L$2:$L$1001,$O277))</f>
      </c>
      <c r="O277">
        <f t="array" ref="O277">IFERROR(SMALL(IF(Master!$A$2:$A$1001="VRKP",ROW(Master!$A$2:$A$1001)-ROW(Master!$A$2)+1),273),"")</f>
      </c>
      <c r="P277">
        <f t="shared" si="9"/>
      </c>
    </row>
    <row r="278" spans="1:16" x14ac:dyDescent="0.25">
      <c r="A278" s="235">
        <f>IF($O278="","",INDEX(Master!$D$2:$D$1001,$O278))</f>
      </c>
      <c r="B278" s="236">
        <f>IF($O278="","",INDEX(Master!$B$2:$B$1001,$O278))</f>
      </c>
      <c r="C278">
        <f>IF($O278="","",INDEX(Master!$C$2:$C$1001,$O278))</f>
      </c>
      <c r="D278">
        <f>IF($O278="","",INDEX(Master!$A$2:$A$1001,$O278))</f>
      </c>
      <c r="E278">
        <f>IF($O278="","",INDEX(Master!$E$2:$E$1001,$O278))</f>
      </c>
      <c r="F278">
        <f>IF($O278="","",INDEX(Master!$F$2:$F$1001,$O278))</f>
      </c>
      <c r="G278">
        <f>IF($O278="","",INDEX(Master!$G$2:$G$1001,$O278))</f>
      </c>
      <c r="H278">
        <f>IF($O278="","",INDEX(Master!$H$2:$H$1001,$O278))</f>
      </c>
      <c r="I278">
        <f>IF($O278="","",INDEX(Master!$I$2:$I$1001,$O278))</f>
      </c>
      <c r="J278">
        <f>IF($O278="","",INDEX(Master!$J$2:$J$1001,$O278))</f>
      </c>
      <c r="K278">
        <f t="shared" si="8"/>
      </c>
      <c r="L278">
        <f>IF($O278="","",INDEX(Master!$K$2:$K$1001,$O278))</f>
      </c>
      <c r="M278">
        <f>IF($O278="","",INDEX(Master!$L$2:$L$1001,$O278))</f>
      </c>
      <c r="O278">
        <f t="array" ref="O278">IFERROR(SMALL(IF(Master!$A$2:$A$1001="VRKP",ROW(Master!$A$2:$A$1001)-ROW(Master!$A$2)+1),274),"")</f>
      </c>
      <c r="P278">
        <f t="shared" si="9"/>
      </c>
    </row>
    <row r="279" spans="1:16" x14ac:dyDescent="0.25">
      <c r="A279" s="235">
        <f>IF($O279="","",INDEX(Master!$D$2:$D$1001,$O279))</f>
      </c>
      <c r="B279" s="236">
        <f>IF($O279="","",INDEX(Master!$B$2:$B$1001,$O279))</f>
      </c>
      <c r="C279">
        <f>IF($O279="","",INDEX(Master!$C$2:$C$1001,$O279))</f>
      </c>
      <c r="D279">
        <f>IF($O279="","",INDEX(Master!$A$2:$A$1001,$O279))</f>
      </c>
      <c r="E279">
        <f>IF($O279="","",INDEX(Master!$E$2:$E$1001,$O279))</f>
      </c>
      <c r="F279">
        <f>IF($O279="","",INDEX(Master!$F$2:$F$1001,$O279))</f>
      </c>
      <c r="G279">
        <f>IF($O279="","",INDEX(Master!$G$2:$G$1001,$O279))</f>
      </c>
      <c r="H279">
        <f>IF($O279="","",INDEX(Master!$H$2:$H$1001,$O279))</f>
      </c>
      <c r="I279">
        <f>IF($O279="","",INDEX(Master!$I$2:$I$1001,$O279))</f>
      </c>
      <c r="J279">
        <f>IF($O279="","",INDEX(Master!$J$2:$J$1001,$O279))</f>
      </c>
      <c r="K279">
        <f t="shared" si="8"/>
      </c>
      <c r="L279">
        <f>IF($O279="","",INDEX(Master!$K$2:$K$1001,$O279))</f>
      </c>
      <c r="M279">
        <f>IF($O279="","",INDEX(Master!$L$2:$L$1001,$O279))</f>
      </c>
      <c r="O279">
        <f t="array" ref="O279">IFERROR(SMALL(IF(Master!$A$2:$A$1001="VRKP",ROW(Master!$A$2:$A$1001)-ROW(Master!$A$2)+1),275),"")</f>
      </c>
      <c r="P279">
        <f t="shared" si="9"/>
      </c>
    </row>
    <row r="280" spans="1:16" x14ac:dyDescent="0.25">
      <c r="A280" s="235">
        <f>IF($O280="","",INDEX(Master!$D$2:$D$1001,$O280))</f>
      </c>
      <c r="B280" s="236">
        <f>IF($O280="","",INDEX(Master!$B$2:$B$1001,$O280))</f>
      </c>
      <c r="C280">
        <f>IF($O280="","",INDEX(Master!$C$2:$C$1001,$O280))</f>
      </c>
      <c r="D280">
        <f>IF($O280="","",INDEX(Master!$A$2:$A$1001,$O280))</f>
      </c>
      <c r="E280">
        <f>IF($O280="","",INDEX(Master!$E$2:$E$1001,$O280))</f>
      </c>
      <c r="F280">
        <f>IF($O280="","",INDEX(Master!$F$2:$F$1001,$O280))</f>
      </c>
      <c r="G280">
        <f>IF($O280="","",INDEX(Master!$G$2:$G$1001,$O280))</f>
      </c>
      <c r="H280">
        <f>IF($O280="","",INDEX(Master!$H$2:$H$1001,$O280))</f>
      </c>
      <c r="I280">
        <f>IF($O280="","",INDEX(Master!$I$2:$I$1001,$O280))</f>
      </c>
      <c r="J280">
        <f>IF($O280="","",INDEX(Master!$J$2:$J$1001,$O280))</f>
      </c>
      <c r="K280">
        <f t="shared" si="8"/>
      </c>
      <c r="L280">
        <f>IF($O280="","",INDEX(Master!$K$2:$K$1001,$O280))</f>
      </c>
      <c r="M280">
        <f>IF($O280="","",INDEX(Master!$L$2:$L$1001,$O280))</f>
      </c>
      <c r="O280">
        <f t="array" ref="O280">IFERROR(SMALL(IF(Master!$A$2:$A$1001="VRKP",ROW(Master!$A$2:$A$1001)-ROW(Master!$A$2)+1),276),"")</f>
      </c>
      <c r="P280">
        <f t="shared" si="9"/>
      </c>
    </row>
    <row r="281" spans="1:16" x14ac:dyDescent="0.25">
      <c r="A281" s="235">
        <f>IF($O281="","",INDEX(Master!$D$2:$D$1001,$O281))</f>
      </c>
      <c r="B281" s="236">
        <f>IF($O281="","",INDEX(Master!$B$2:$B$1001,$O281))</f>
      </c>
      <c r="C281">
        <f>IF($O281="","",INDEX(Master!$C$2:$C$1001,$O281))</f>
      </c>
      <c r="D281">
        <f>IF($O281="","",INDEX(Master!$A$2:$A$1001,$O281))</f>
      </c>
      <c r="E281">
        <f>IF($O281="","",INDEX(Master!$E$2:$E$1001,$O281))</f>
      </c>
      <c r="F281">
        <f>IF($O281="","",INDEX(Master!$F$2:$F$1001,$O281))</f>
      </c>
      <c r="G281">
        <f>IF($O281="","",INDEX(Master!$G$2:$G$1001,$O281))</f>
      </c>
      <c r="H281">
        <f>IF($O281="","",INDEX(Master!$H$2:$H$1001,$O281))</f>
      </c>
      <c r="I281">
        <f>IF($O281="","",INDEX(Master!$I$2:$I$1001,$O281))</f>
      </c>
      <c r="J281">
        <f>IF($O281="","",INDEX(Master!$J$2:$J$1001,$O281))</f>
      </c>
      <c r="K281">
        <f t="shared" si="8"/>
      </c>
      <c r="L281">
        <f>IF($O281="","",INDEX(Master!$K$2:$K$1001,$O281))</f>
      </c>
      <c r="M281">
        <f>IF($O281="","",INDEX(Master!$L$2:$L$1001,$O281))</f>
      </c>
      <c r="O281">
        <f t="array" ref="O281">IFERROR(SMALL(IF(Master!$A$2:$A$1001="VRKP",ROW(Master!$A$2:$A$1001)-ROW(Master!$A$2)+1),277),"")</f>
      </c>
      <c r="P281">
        <f t="shared" si="9"/>
      </c>
    </row>
    <row r="282" spans="1:16" x14ac:dyDescent="0.25">
      <c r="A282" s="235">
        <f>IF($O282="","",INDEX(Master!$D$2:$D$1001,$O282))</f>
      </c>
      <c r="B282" s="236">
        <f>IF($O282="","",INDEX(Master!$B$2:$B$1001,$O282))</f>
      </c>
      <c r="C282">
        <f>IF($O282="","",INDEX(Master!$C$2:$C$1001,$O282))</f>
      </c>
      <c r="D282">
        <f>IF($O282="","",INDEX(Master!$A$2:$A$1001,$O282))</f>
      </c>
      <c r="E282">
        <f>IF($O282="","",INDEX(Master!$E$2:$E$1001,$O282))</f>
      </c>
      <c r="F282">
        <f>IF($O282="","",INDEX(Master!$F$2:$F$1001,$O282))</f>
      </c>
      <c r="G282">
        <f>IF($O282="","",INDEX(Master!$G$2:$G$1001,$O282))</f>
      </c>
      <c r="H282">
        <f>IF($O282="","",INDEX(Master!$H$2:$H$1001,$O282))</f>
      </c>
      <c r="I282">
        <f>IF($O282="","",INDEX(Master!$I$2:$I$1001,$O282))</f>
      </c>
      <c r="J282">
        <f>IF($O282="","",INDEX(Master!$J$2:$J$1001,$O282))</f>
      </c>
      <c r="K282">
        <f t="shared" si="8"/>
      </c>
      <c r="L282">
        <f>IF($O282="","",INDEX(Master!$K$2:$K$1001,$O282))</f>
      </c>
      <c r="M282">
        <f>IF($O282="","",INDEX(Master!$L$2:$L$1001,$O282))</f>
      </c>
      <c r="O282">
        <f t="array" ref="O282">IFERROR(SMALL(IF(Master!$A$2:$A$1001="VRKP",ROW(Master!$A$2:$A$1001)-ROW(Master!$A$2)+1),278),"")</f>
      </c>
      <c r="P282">
        <f t="shared" si="9"/>
      </c>
    </row>
    <row r="283" spans="1:16" x14ac:dyDescent="0.25">
      <c r="A283" s="235">
        <f>IF($O283="","",INDEX(Master!$D$2:$D$1001,$O283))</f>
      </c>
      <c r="B283" s="236">
        <f>IF($O283="","",INDEX(Master!$B$2:$B$1001,$O283))</f>
      </c>
      <c r="C283">
        <f>IF($O283="","",INDEX(Master!$C$2:$C$1001,$O283))</f>
      </c>
      <c r="D283">
        <f>IF($O283="","",INDEX(Master!$A$2:$A$1001,$O283))</f>
      </c>
      <c r="E283">
        <f>IF($O283="","",INDEX(Master!$E$2:$E$1001,$O283))</f>
      </c>
      <c r="F283">
        <f>IF($O283="","",INDEX(Master!$F$2:$F$1001,$O283))</f>
      </c>
      <c r="G283">
        <f>IF($O283="","",INDEX(Master!$G$2:$G$1001,$O283))</f>
      </c>
      <c r="H283">
        <f>IF($O283="","",INDEX(Master!$H$2:$H$1001,$O283))</f>
      </c>
      <c r="I283">
        <f>IF($O283="","",INDEX(Master!$I$2:$I$1001,$O283))</f>
      </c>
      <c r="J283">
        <f>IF($O283="","",INDEX(Master!$J$2:$J$1001,$O283))</f>
      </c>
      <c r="K283">
        <f t="shared" si="8"/>
      </c>
      <c r="L283">
        <f>IF($O283="","",INDEX(Master!$K$2:$K$1001,$O283))</f>
      </c>
      <c r="M283">
        <f>IF($O283="","",INDEX(Master!$L$2:$L$1001,$O283))</f>
      </c>
      <c r="O283">
        <f t="array" ref="O283">IFERROR(SMALL(IF(Master!$A$2:$A$1001="VRKP",ROW(Master!$A$2:$A$1001)-ROW(Master!$A$2)+1),279),"")</f>
      </c>
      <c r="P283">
        <f t="shared" si="9"/>
      </c>
    </row>
    <row r="284" spans="1:16" x14ac:dyDescent="0.25">
      <c r="A284" s="235">
        <f>IF($O284="","",INDEX(Master!$D$2:$D$1001,$O284))</f>
      </c>
      <c r="B284" s="236">
        <f>IF($O284="","",INDEX(Master!$B$2:$B$1001,$O284))</f>
      </c>
      <c r="C284">
        <f>IF($O284="","",INDEX(Master!$C$2:$C$1001,$O284))</f>
      </c>
      <c r="D284">
        <f>IF($O284="","",INDEX(Master!$A$2:$A$1001,$O284))</f>
      </c>
      <c r="E284">
        <f>IF($O284="","",INDEX(Master!$E$2:$E$1001,$O284))</f>
      </c>
      <c r="F284">
        <f>IF($O284="","",INDEX(Master!$F$2:$F$1001,$O284))</f>
      </c>
      <c r="G284">
        <f>IF($O284="","",INDEX(Master!$G$2:$G$1001,$O284))</f>
      </c>
      <c r="H284">
        <f>IF($O284="","",INDEX(Master!$H$2:$H$1001,$O284))</f>
      </c>
      <c r="I284">
        <f>IF($O284="","",INDEX(Master!$I$2:$I$1001,$O284))</f>
      </c>
      <c r="J284">
        <f>IF($O284="","",INDEX(Master!$J$2:$J$1001,$O284))</f>
      </c>
      <c r="K284">
        <f t="shared" si="8"/>
      </c>
      <c r="L284">
        <f>IF($O284="","",INDEX(Master!$K$2:$K$1001,$O284))</f>
      </c>
      <c r="M284">
        <f>IF($O284="","",INDEX(Master!$L$2:$L$1001,$O284))</f>
      </c>
      <c r="O284">
        <f t="array" ref="O284">IFERROR(SMALL(IF(Master!$A$2:$A$1001="VRKP",ROW(Master!$A$2:$A$1001)-ROW(Master!$A$2)+1),280),"")</f>
      </c>
      <c r="P284">
        <f t="shared" si="9"/>
      </c>
    </row>
    <row r="285" spans="1:16" x14ac:dyDescent="0.25">
      <c r="A285" s="235">
        <f>IF($O285="","",INDEX(Master!$D$2:$D$1001,$O285))</f>
      </c>
      <c r="B285" s="236">
        <f>IF($O285="","",INDEX(Master!$B$2:$B$1001,$O285))</f>
      </c>
      <c r="C285">
        <f>IF($O285="","",INDEX(Master!$C$2:$C$1001,$O285))</f>
      </c>
      <c r="D285">
        <f>IF($O285="","",INDEX(Master!$A$2:$A$1001,$O285))</f>
      </c>
      <c r="E285">
        <f>IF($O285="","",INDEX(Master!$E$2:$E$1001,$O285))</f>
      </c>
      <c r="F285">
        <f>IF($O285="","",INDEX(Master!$F$2:$F$1001,$O285))</f>
      </c>
      <c r="G285">
        <f>IF($O285="","",INDEX(Master!$G$2:$G$1001,$O285))</f>
      </c>
      <c r="H285">
        <f>IF($O285="","",INDEX(Master!$H$2:$H$1001,$O285))</f>
      </c>
      <c r="I285">
        <f>IF($O285="","",INDEX(Master!$I$2:$I$1001,$O285))</f>
      </c>
      <c r="J285">
        <f>IF($O285="","",INDEX(Master!$J$2:$J$1001,$O285))</f>
      </c>
      <c r="K285">
        <f t="shared" si="8"/>
      </c>
      <c r="L285">
        <f>IF($O285="","",INDEX(Master!$K$2:$K$1001,$O285))</f>
      </c>
      <c r="M285">
        <f>IF($O285="","",INDEX(Master!$L$2:$L$1001,$O285))</f>
      </c>
      <c r="O285">
        <f t="array" ref="O285">IFERROR(SMALL(IF(Master!$A$2:$A$1001="VRKP",ROW(Master!$A$2:$A$1001)-ROW(Master!$A$2)+1),281),"")</f>
      </c>
      <c r="P285">
        <f t="shared" si="9"/>
      </c>
    </row>
    <row r="286" spans="1:16" x14ac:dyDescent="0.25">
      <c r="A286" s="235">
        <f>IF($O286="","",INDEX(Master!$D$2:$D$1001,$O286))</f>
      </c>
      <c r="B286" s="236">
        <f>IF($O286="","",INDEX(Master!$B$2:$B$1001,$O286))</f>
      </c>
      <c r="C286">
        <f>IF($O286="","",INDEX(Master!$C$2:$C$1001,$O286))</f>
      </c>
      <c r="D286">
        <f>IF($O286="","",INDEX(Master!$A$2:$A$1001,$O286))</f>
      </c>
      <c r="E286">
        <f>IF($O286="","",INDEX(Master!$E$2:$E$1001,$O286))</f>
      </c>
      <c r="F286">
        <f>IF($O286="","",INDEX(Master!$F$2:$F$1001,$O286))</f>
      </c>
      <c r="G286">
        <f>IF($O286="","",INDEX(Master!$G$2:$G$1001,$O286))</f>
      </c>
      <c r="H286">
        <f>IF($O286="","",INDEX(Master!$H$2:$H$1001,$O286))</f>
      </c>
      <c r="I286">
        <f>IF($O286="","",INDEX(Master!$I$2:$I$1001,$O286))</f>
      </c>
      <c r="J286">
        <f>IF($O286="","",INDEX(Master!$J$2:$J$1001,$O286))</f>
      </c>
      <c r="K286">
        <f t="shared" si="8"/>
      </c>
      <c r="L286">
        <f>IF($O286="","",INDEX(Master!$K$2:$K$1001,$O286))</f>
      </c>
      <c r="M286">
        <f>IF($O286="","",INDEX(Master!$L$2:$L$1001,$O286))</f>
      </c>
      <c r="O286">
        <f t="array" ref="O286">IFERROR(SMALL(IF(Master!$A$2:$A$1001="VRKP",ROW(Master!$A$2:$A$1001)-ROW(Master!$A$2)+1),282),"")</f>
      </c>
      <c r="P286">
        <f t="shared" si="9"/>
      </c>
    </row>
    <row r="287" spans="1:16" x14ac:dyDescent="0.25">
      <c r="A287" s="235">
        <f>IF($O287="","",INDEX(Master!$D$2:$D$1001,$O287))</f>
      </c>
      <c r="B287" s="236">
        <f>IF($O287="","",INDEX(Master!$B$2:$B$1001,$O287))</f>
      </c>
      <c r="C287">
        <f>IF($O287="","",INDEX(Master!$C$2:$C$1001,$O287))</f>
      </c>
      <c r="D287">
        <f>IF($O287="","",INDEX(Master!$A$2:$A$1001,$O287))</f>
      </c>
      <c r="E287">
        <f>IF($O287="","",INDEX(Master!$E$2:$E$1001,$O287))</f>
      </c>
      <c r="F287">
        <f>IF($O287="","",INDEX(Master!$F$2:$F$1001,$O287))</f>
      </c>
      <c r="G287">
        <f>IF($O287="","",INDEX(Master!$G$2:$G$1001,$O287))</f>
      </c>
      <c r="H287">
        <f>IF($O287="","",INDEX(Master!$H$2:$H$1001,$O287))</f>
      </c>
      <c r="I287">
        <f>IF($O287="","",INDEX(Master!$I$2:$I$1001,$O287))</f>
      </c>
      <c r="J287">
        <f>IF($O287="","",INDEX(Master!$J$2:$J$1001,$O287))</f>
      </c>
      <c r="K287">
        <f t="shared" si="8"/>
      </c>
      <c r="L287">
        <f>IF($O287="","",INDEX(Master!$K$2:$K$1001,$O287))</f>
      </c>
      <c r="M287">
        <f>IF($O287="","",INDEX(Master!$L$2:$L$1001,$O287))</f>
      </c>
      <c r="O287">
        <f t="array" ref="O287">IFERROR(SMALL(IF(Master!$A$2:$A$1001="VRKP",ROW(Master!$A$2:$A$1001)-ROW(Master!$A$2)+1),283),"")</f>
      </c>
      <c r="P287">
        <f t="shared" si="9"/>
      </c>
    </row>
    <row r="288" spans="1:16" x14ac:dyDescent="0.25">
      <c r="A288" s="235">
        <f>IF($O288="","",INDEX(Master!$D$2:$D$1001,$O288))</f>
      </c>
      <c r="B288" s="236">
        <f>IF($O288="","",INDEX(Master!$B$2:$B$1001,$O288))</f>
      </c>
      <c r="C288">
        <f>IF($O288="","",INDEX(Master!$C$2:$C$1001,$O288))</f>
      </c>
      <c r="D288">
        <f>IF($O288="","",INDEX(Master!$A$2:$A$1001,$O288))</f>
      </c>
      <c r="E288">
        <f>IF($O288="","",INDEX(Master!$E$2:$E$1001,$O288))</f>
      </c>
      <c r="F288">
        <f>IF($O288="","",INDEX(Master!$F$2:$F$1001,$O288))</f>
      </c>
      <c r="G288">
        <f>IF($O288="","",INDEX(Master!$G$2:$G$1001,$O288))</f>
      </c>
      <c r="H288">
        <f>IF($O288="","",INDEX(Master!$H$2:$H$1001,$O288))</f>
      </c>
      <c r="I288">
        <f>IF($O288="","",INDEX(Master!$I$2:$I$1001,$O288))</f>
      </c>
      <c r="J288">
        <f>IF($O288="","",INDEX(Master!$J$2:$J$1001,$O288))</f>
      </c>
      <c r="K288">
        <f t="shared" si="8"/>
      </c>
      <c r="L288">
        <f>IF($O288="","",INDEX(Master!$K$2:$K$1001,$O288))</f>
      </c>
      <c r="M288">
        <f>IF($O288="","",INDEX(Master!$L$2:$L$1001,$O288))</f>
      </c>
      <c r="O288">
        <f t="array" ref="O288">IFERROR(SMALL(IF(Master!$A$2:$A$1001="VRKP",ROW(Master!$A$2:$A$1001)-ROW(Master!$A$2)+1),284),"")</f>
      </c>
      <c r="P288">
        <f t="shared" si="9"/>
      </c>
    </row>
    <row r="289" spans="1:16" x14ac:dyDescent="0.25">
      <c r="A289" s="235">
        <f>IF($O289="","",INDEX(Master!$D$2:$D$1001,$O289))</f>
      </c>
      <c r="B289" s="236">
        <f>IF($O289="","",INDEX(Master!$B$2:$B$1001,$O289))</f>
      </c>
      <c r="C289">
        <f>IF($O289="","",INDEX(Master!$C$2:$C$1001,$O289))</f>
      </c>
      <c r="D289">
        <f>IF($O289="","",INDEX(Master!$A$2:$A$1001,$O289))</f>
      </c>
      <c r="E289">
        <f>IF($O289="","",INDEX(Master!$E$2:$E$1001,$O289))</f>
      </c>
      <c r="F289">
        <f>IF($O289="","",INDEX(Master!$F$2:$F$1001,$O289))</f>
      </c>
      <c r="G289">
        <f>IF($O289="","",INDEX(Master!$G$2:$G$1001,$O289))</f>
      </c>
      <c r="H289">
        <f>IF($O289="","",INDEX(Master!$H$2:$H$1001,$O289))</f>
      </c>
      <c r="I289">
        <f>IF($O289="","",INDEX(Master!$I$2:$I$1001,$O289))</f>
      </c>
      <c r="J289">
        <f>IF($O289="","",INDEX(Master!$J$2:$J$1001,$O289))</f>
      </c>
      <c r="K289">
        <f t="shared" si="8"/>
      </c>
      <c r="L289">
        <f>IF($O289="","",INDEX(Master!$K$2:$K$1001,$O289))</f>
      </c>
      <c r="M289">
        <f>IF($O289="","",INDEX(Master!$L$2:$L$1001,$O289))</f>
      </c>
      <c r="O289">
        <f t="array" ref="O289">IFERROR(SMALL(IF(Master!$A$2:$A$1001="VRKP",ROW(Master!$A$2:$A$1001)-ROW(Master!$A$2)+1),285),"")</f>
      </c>
      <c r="P289">
        <f t="shared" si="9"/>
      </c>
    </row>
    <row r="290" spans="1:16" x14ac:dyDescent="0.25">
      <c r="A290" s="235">
        <f>IF($O290="","",INDEX(Master!$D$2:$D$1001,$O290))</f>
      </c>
      <c r="B290" s="236">
        <f>IF($O290="","",INDEX(Master!$B$2:$B$1001,$O290))</f>
      </c>
      <c r="C290">
        <f>IF($O290="","",INDEX(Master!$C$2:$C$1001,$O290))</f>
      </c>
      <c r="D290">
        <f>IF($O290="","",INDEX(Master!$A$2:$A$1001,$O290))</f>
      </c>
      <c r="E290">
        <f>IF($O290="","",INDEX(Master!$E$2:$E$1001,$O290))</f>
      </c>
      <c r="F290">
        <f>IF($O290="","",INDEX(Master!$F$2:$F$1001,$O290))</f>
      </c>
      <c r="G290">
        <f>IF($O290="","",INDEX(Master!$G$2:$G$1001,$O290))</f>
      </c>
      <c r="H290">
        <f>IF($O290="","",INDEX(Master!$H$2:$H$1001,$O290))</f>
      </c>
      <c r="I290">
        <f>IF($O290="","",INDEX(Master!$I$2:$I$1001,$O290))</f>
      </c>
      <c r="J290">
        <f>IF($O290="","",INDEX(Master!$J$2:$J$1001,$O290))</f>
      </c>
      <c r="K290">
        <f t="shared" si="8"/>
      </c>
      <c r="L290">
        <f>IF($O290="","",INDEX(Master!$K$2:$K$1001,$O290))</f>
      </c>
      <c r="M290">
        <f>IF($O290="","",INDEX(Master!$L$2:$L$1001,$O290))</f>
      </c>
      <c r="O290">
        <f t="array" ref="O290">IFERROR(SMALL(IF(Master!$A$2:$A$1001="VRKP",ROW(Master!$A$2:$A$1001)-ROW(Master!$A$2)+1),286),"")</f>
      </c>
      <c r="P290">
        <f t="shared" si="9"/>
      </c>
    </row>
    <row r="291" spans="1:16" x14ac:dyDescent="0.25">
      <c r="A291" s="235">
        <f>IF($O291="","",INDEX(Master!$D$2:$D$1001,$O291))</f>
      </c>
      <c r="B291" s="236">
        <f>IF($O291="","",INDEX(Master!$B$2:$B$1001,$O291))</f>
      </c>
      <c r="C291">
        <f>IF($O291="","",INDEX(Master!$C$2:$C$1001,$O291))</f>
      </c>
      <c r="D291">
        <f>IF($O291="","",INDEX(Master!$A$2:$A$1001,$O291))</f>
      </c>
      <c r="E291">
        <f>IF($O291="","",INDEX(Master!$E$2:$E$1001,$O291))</f>
      </c>
      <c r="F291">
        <f>IF($O291="","",INDEX(Master!$F$2:$F$1001,$O291))</f>
      </c>
      <c r="G291">
        <f>IF($O291="","",INDEX(Master!$G$2:$G$1001,$O291))</f>
      </c>
      <c r="H291">
        <f>IF($O291="","",INDEX(Master!$H$2:$H$1001,$O291))</f>
      </c>
      <c r="I291">
        <f>IF($O291="","",INDEX(Master!$I$2:$I$1001,$O291))</f>
      </c>
      <c r="J291">
        <f>IF($O291="","",INDEX(Master!$J$2:$J$1001,$O291))</f>
      </c>
      <c r="K291">
        <f t="shared" si="8"/>
      </c>
      <c r="L291">
        <f>IF($O291="","",INDEX(Master!$K$2:$K$1001,$O291))</f>
      </c>
      <c r="M291">
        <f>IF($O291="","",INDEX(Master!$L$2:$L$1001,$O291))</f>
      </c>
      <c r="O291">
        <f t="array" ref="O291">IFERROR(SMALL(IF(Master!$A$2:$A$1001="VRKP",ROW(Master!$A$2:$A$1001)-ROW(Master!$A$2)+1),287),"")</f>
      </c>
      <c r="P291">
        <f t="shared" si="9"/>
      </c>
    </row>
    <row r="292" spans="1:16" x14ac:dyDescent="0.25">
      <c r="A292" s="235">
        <f>IF($O292="","",INDEX(Master!$D$2:$D$1001,$O292))</f>
      </c>
      <c r="B292" s="236">
        <f>IF($O292="","",INDEX(Master!$B$2:$B$1001,$O292))</f>
      </c>
      <c r="C292">
        <f>IF($O292="","",INDEX(Master!$C$2:$C$1001,$O292))</f>
      </c>
      <c r="D292">
        <f>IF($O292="","",INDEX(Master!$A$2:$A$1001,$O292))</f>
      </c>
      <c r="E292">
        <f>IF($O292="","",INDEX(Master!$E$2:$E$1001,$O292))</f>
      </c>
      <c r="F292">
        <f>IF($O292="","",INDEX(Master!$F$2:$F$1001,$O292))</f>
      </c>
      <c r="G292">
        <f>IF($O292="","",INDEX(Master!$G$2:$G$1001,$O292))</f>
      </c>
      <c r="H292">
        <f>IF($O292="","",INDEX(Master!$H$2:$H$1001,$O292))</f>
      </c>
      <c r="I292">
        <f>IF($O292="","",INDEX(Master!$I$2:$I$1001,$O292))</f>
      </c>
      <c r="J292">
        <f>IF($O292="","",INDEX(Master!$J$2:$J$1001,$O292))</f>
      </c>
      <c r="K292">
        <f t="shared" si="8"/>
      </c>
      <c r="L292">
        <f>IF($O292="","",INDEX(Master!$K$2:$K$1001,$O292))</f>
      </c>
      <c r="M292">
        <f>IF($O292="","",INDEX(Master!$L$2:$L$1001,$O292))</f>
      </c>
      <c r="O292">
        <f t="array" ref="O292">IFERROR(SMALL(IF(Master!$A$2:$A$1001="VRKP",ROW(Master!$A$2:$A$1001)-ROW(Master!$A$2)+1),288),"")</f>
      </c>
      <c r="P292">
        <f t="shared" si="9"/>
      </c>
    </row>
    <row r="293" spans="1:16" x14ac:dyDescent="0.25">
      <c r="A293" s="235">
        <f>IF($O293="","",INDEX(Master!$D$2:$D$1001,$O293))</f>
      </c>
      <c r="B293" s="236">
        <f>IF($O293="","",INDEX(Master!$B$2:$B$1001,$O293))</f>
      </c>
      <c r="C293">
        <f>IF($O293="","",INDEX(Master!$C$2:$C$1001,$O293))</f>
      </c>
      <c r="D293">
        <f>IF($O293="","",INDEX(Master!$A$2:$A$1001,$O293))</f>
      </c>
      <c r="E293">
        <f>IF($O293="","",INDEX(Master!$E$2:$E$1001,$O293))</f>
      </c>
      <c r="F293">
        <f>IF($O293="","",INDEX(Master!$F$2:$F$1001,$O293))</f>
      </c>
      <c r="G293">
        <f>IF($O293="","",INDEX(Master!$G$2:$G$1001,$O293))</f>
      </c>
      <c r="H293">
        <f>IF($O293="","",INDEX(Master!$H$2:$H$1001,$O293))</f>
      </c>
      <c r="I293">
        <f>IF($O293="","",INDEX(Master!$I$2:$I$1001,$O293))</f>
      </c>
      <c r="J293">
        <f>IF($O293="","",INDEX(Master!$J$2:$J$1001,$O293))</f>
      </c>
      <c r="K293">
        <f t="shared" si="8"/>
      </c>
      <c r="L293">
        <f>IF($O293="","",INDEX(Master!$K$2:$K$1001,$O293))</f>
      </c>
      <c r="M293">
        <f>IF($O293="","",INDEX(Master!$L$2:$L$1001,$O293))</f>
      </c>
      <c r="O293">
        <f t="array" ref="O293">IFERROR(SMALL(IF(Master!$A$2:$A$1001="VRKP",ROW(Master!$A$2:$A$1001)-ROW(Master!$A$2)+1),289),"")</f>
      </c>
      <c r="P293">
        <f t="shared" si="9"/>
      </c>
    </row>
    <row r="294" spans="1:16" x14ac:dyDescent="0.25">
      <c r="A294" s="235">
        <f>IF($O294="","",INDEX(Master!$D$2:$D$1001,$O294))</f>
      </c>
      <c r="B294" s="236">
        <f>IF($O294="","",INDEX(Master!$B$2:$B$1001,$O294))</f>
      </c>
      <c r="C294">
        <f>IF($O294="","",INDEX(Master!$C$2:$C$1001,$O294))</f>
      </c>
      <c r="D294">
        <f>IF($O294="","",INDEX(Master!$A$2:$A$1001,$O294))</f>
      </c>
      <c r="E294">
        <f>IF($O294="","",INDEX(Master!$E$2:$E$1001,$O294))</f>
      </c>
      <c r="F294">
        <f>IF($O294="","",INDEX(Master!$F$2:$F$1001,$O294))</f>
      </c>
      <c r="G294">
        <f>IF($O294="","",INDEX(Master!$G$2:$G$1001,$O294))</f>
      </c>
      <c r="H294">
        <f>IF($O294="","",INDEX(Master!$H$2:$H$1001,$O294))</f>
      </c>
      <c r="I294">
        <f>IF($O294="","",INDEX(Master!$I$2:$I$1001,$O294))</f>
      </c>
      <c r="J294">
        <f>IF($O294="","",INDEX(Master!$J$2:$J$1001,$O294))</f>
      </c>
      <c r="K294">
        <f t="shared" si="8"/>
      </c>
      <c r="L294">
        <f>IF($O294="","",INDEX(Master!$K$2:$K$1001,$O294))</f>
      </c>
      <c r="M294">
        <f>IF($O294="","",INDEX(Master!$L$2:$L$1001,$O294))</f>
      </c>
      <c r="O294">
        <f t="array" ref="O294">IFERROR(SMALL(IF(Master!$A$2:$A$1001="VRKP",ROW(Master!$A$2:$A$1001)-ROW(Master!$A$2)+1),290),"")</f>
      </c>
      <c r="P294">
        <f t="shared" si="9"/>
      </c>
    </row>
    <row r="295" spans="1:16" x14ac:dyDescent="0.25">
      <c r="A295" s="235">
        <f>IF($O295="","",INDEX(Master!$D$2:$D$1001,$O295))</f>
      </c>
      <c r="B295" s="236">
        <f>IF($O295="","",INDEX(Master!$B$2:$B$1001,$O295))</f>
      </c>
      <c r="C295">
        <f>IF($O295="","",INDEX(Master!$C$2:$C$1001,$O295))</f>
      </c>
      <c r="D295">
        <f>IF($O295="","",INDEX(Master!$A$2:$A$1001,$O295))</f>
      </c>
      <c r="E295">
        <f>IF($O295="","",INDEX(Master!$E$2:$E$1001,$O295))</f>
      </c>
      <c r="F295">
        <f>IF($O295="","",INDEX(Master!$F$2:$F$1001,$O295))</f>
      </c>
      <c r="G295">
        <f>IF($O295="","",INDEX(Master!$G$2:$G$1001,$O295))</f>
      </c>
      <c r="H295">
        <f>IF($O295="","",INDEX(Master!$H$2:$H$1001,$O295))</f>
      </c>
      <c r="I295">
        <f>IF($O295="","",INDEX(Master!$I$2:$I$1001,$O295))</f>
      </c>
      <c r="J295">
        <f>IF($O295="","",INDEX(Master!$J$2:$J$1001,$O295))</f>
      </c>
      <c r="K295">
        <f t="shared" si="8"/>
      </c>
      <c r="L295">
        <f>IF($O295="","",INDEX(Master!$K$2:$K$1001,$O295))</f>
      </c>
      <c r="M295">
        <f>IF($O295="","",INDEX(Master!$L$2:$L$1001,$O295))</f>
      </c>
      <c r="O295">
        <f t="array" ref="O295">IFERROR(SMALL(IF(Master!$A$2:$A$1001="VRKP",ROW(Master!$A$2:$A$1001)-ROW(Master!$A$2)+1),291),"")</f>
      </c>
      <c r="P295">
        <f t="shared" si="9"/>
      </c>
    </row>
    <row r="296" spans="1:16" x14ac:dyDescent="0.25">
      <c r="A296" s="235">
        <f>IF($O296="","",INDEX(Master!$D$2:$D$1001,$O296))</f>
      </c>
      <c r="B296" s="236">
        <f>IF($O296="","",INDEX(Master!$B$2:$B$1001,$O296))</f>
      </c>
      <c r="C296">
        <f>IF($O296="","",INDEX(Master!$C$2:$C$1001,$O296))</f>
      </c>
      <c r="D296">
        <f>IF($O296="","",INDEX(Master!$A$2:$A$1001,$O296))</f>
      </c>
      <c r="E296">
        <f>IF($O296="","",INDEX(Master!$E$2:$E$1001,$O296))</f>
      </c>
      <c r="F296">
        <f>IF($O296="","",INDEX(Master!$F$2:$F$1001,$O296))</f>
      </c>
      <c r="G296">
        <f>IF($O296="","",INDEX(Master!$G$2:$G$1001,$O296))</f>
      </c>
      <c r="H296">
        <f>IF($O296="","",INDEX(Master!$H$2:$H$1001,$O296))</f>
      </c>
      <c r="I296">
        <f>IF($O296="","",INDEX(Master!$I$2:$I$1001,$O296))</f>
      </c>
      <c r="J296">
        <f>IF($O296="","",INDEX(Master!$J$2:$J$1001,$O296))</f>
      </c>
      <c r="K296">
        <f t="shared" si="8"/>
      </c>
      <c r="L296">
        <f>IF($O296="","",INDEX(Master!$K$2:$K$1001,$O296))</f>
      </c>
      <c r="M296">
        <f>IF($O296="","",INDEX(Master!$L$2:$L$1001,$O296))</f>
      </c>
      <c r="O296">
        <f t="array" ref="O296">IFERROR(SMALL(IF(Master!$A$2:$A$1001="VRKP",ROW(Master!$A$2:$A$1001)-ROW(Master!$A$2)+1),292),"")</f>
      </c>
      <c r="P296">
        <f t="shared" si="9"/>
      </c>
    </row>
    <row r="297" spans="1:16" x14ac:dyDescent="0.25">
      <c r="A297" s="235">
        <f>IF($O297="","",INDEX(Master!$D$2:$D$1001,$O297))</f>
      </c>
      <c r="B297" s="236">
        <f>IF($O297="","",INDEX(Master!$B$2:$B$1001,$O297))</f>
      </c>
      <c r="C297">
        <f>IF($O297="","",INDEX(Master!$C$2:$C$1001,$O297))</f>
      </c>
      <c r="D297">
        <f>IF($O297="","",INDEX(Master!$A$2:$A$1001,$O297))</f>
      </c>
      <c r="E297">
        <f>IF($O297="","",INDEX(Master!$E$2:$E$1001,$O297))</f>
      </c>
      <c r="F297">
        <f>IF($O297="","",INDEX(Master!$F$2:$F$1001,$O297))</f>
      </c>
      <c r="G297">
        <f>IF($O297="","",INDEX(Master!$G$2:$G$1001,$O297))</f>
      </c>
      <c r="H297">
        <f>IF($O297="","",INDEX(Master!$H$2:$H$1001,$O297))</f>
      </c>
      <c r="I297">
        <f>IF($O297="","",INDEX(Master!$I$2:$I$1001,$O297))</f>
      </c>
      <c r="J297">
        <f>IF($O297="","",INDEX(Master!$J$2:$J$1001,$O297))</f>
      </c>
      <c r="K297">
        <f t="shared" si="8"/>
      </c>
      <c r="L297">
        <f>IF($O297="","",INDEX(Master!$K$2:$K$1001,$O297))</f>
      </c>
      <c r="M297">
        <f>IF($O297="","",INDEX(Master!$L$2:$L$1001,$O297))</f>
      </c>
      <c r="O297">
        <f t="array" ref="O297">IFERROR(SMALL(IF(Master!$A$2:$A$1001="VRKP",ROW(Master!$A$2:$A$1001)-ROW(Master!$A$2)+1),293),"")</f>
      </c>
      <c r="P297">
        <f t="shared" si="9"/>
      </c>
    </row>
    <row r="298" spans="1:16" x14ac:dyDescent="0.25">
      <c r="A298" s="235">
        <f>IF($O298="","",INDEX(Master!$D$2:$D$1001,$O298))</f>
      </c>
      <c r="B298" s="236">
        <f>IF($O298="","",INDEX(Master!$B$2:$B$1001,$O298))</f>
      </c>
      <c r="C298">
        <f>IF($O298="","",INDEX(Master!$C$2:$C$1001,$O298))</f>
      </c>
      <c r="D298">
        <f>IF($O298="","",INDEX(Master!$A$2:$A$1001,$O298))</f>
      </c>
      <c r="E298">
        <f>IF($O298="","",INDEX(Master!$E$2:$E$1001,$O298))</f>
      </c>
      <c r="F298">
        <f>IF($O298="","",INDEX(Master!$F$2:$F$1001,$O298))</f>
      </c>
      <c r="G298">
        <f>IF($O298="","",INDEX(Master!$G$2:$G$1001,$O298))</f>
      </c>
      <c r="H298">
        <f>IF($O298="","",INDEX(Master!$H$2:$H$1001,$O298))</f>
      </c>
      <c r="I298">
        <f>IF($O298="","",INDEX(Master!$I$2:$I$1001,$O298))</f>
      </c>
      <c r="J298">
        <f>IF($O298="","",INDEX(Master!$J$2:$J$1001,$O298))</f>
      </c>
      <c r="K298">
        <f t="shared" si="8"/>
      </c>
      <c r="L298">
        <f>IF($O298="","",INDEX(Master!$K$2:$K$1001,$O298))</f>
      </c>
      <c r="M298">
        <f>IF($O298="","",INDEX(Master!$L$2:$L$1001,$O298))</f>
      </c>
      <c r="O298">
        <f t="array" ref="O298">IFERROR(SMALL(IF(Master!$A$2:$A$1001="VRKP",ROW(Master!$A$2:$A$1001)-ROW(Master!$A$2)+1),294),"")</f>
      </c>
      <c r="P298">
        <f t="shared" si="9"/>
      </c>
    </row>
    <row r="299" spans="1:16" x14ac:dyDescent="0.25">
      <c r="A299" s="235">
        <f>IF($O299="","",INDEX(Master!$D$2:$D$1001,$O299))</f>
      </c>
      <c r="B299" s="236">
        <f>IF($O299="","",INDEX(Master!$B$2:$B$1001,$O299))</f>
      </c>
      <c r="C299">
        <f>IF($O299="","",INDEX(Master!$C$2:$C$1001,$O299))</f>
      </c>
      <c r="D299">
        <f>IF($O299="","",INDEX(Master!$A$2:$A$1001,$O299))</f>
      </c>
      <c r="E299">
        <f>IF($O299="","",INDEX(Master!$E$2:$E$1001,$O299))</f>
      </c>
      <c r="F299">
        <f>IF($O299="","",INDEX(Master!$F$2:$F$1001,$O299))</f>
      </c>
      <c r="G299">
        <f>IF($O299="","",INDEX(Master!$G$2:$G$1001,$O299))</f>
      </c>
      <c r="H299">
        <f>IF($O299="","",INDEX(Master!$H$2:$H$1001,$O299))</f>
      </c>
      <c r="I299">
        <f>IF($O299="","",INDEX(Master!$I$2:$I$1001,$O299))</f>
      </c>
      <c r="J299">
        <f>IF($O299="","",INDEX(Master!$J$2:$J$1001,$O299))</f>
      </c>
      <c r="K299">
        <f t="shared" si="8"/>
      </c>
      <c r="L299">
        <f>IF($O299="","",INDEX(Master!$K$2:$K$1001,$O299))</f>
      </c>
      <c r="M299">
        <f>IF($O299="","",INDEX(Master!$L$2:$L$1001,$O299))</f>
      </c>
      <c r="O299">
        <f t="array" ref="O299">IFERROR(SMALL(IF(Master!$A$2:$A$1001="VRKP",ROW(Master!$A$2:$A$1001)-ROW(Master!$A$2)+1),295),"")</f>
      </c>
      <c r="P299">
        <f t="shared" si="9"/>
      </c>
    </row>
    <row r="300" spans="1:16" x14ac:dyDescent="0.25">
      <c r="A300" s="235">
        <f>IF($O300="","",INDEX(Master!$D$2:$D$1001,$O300))</f>
      </c>
      <c r="B300" s="236">
        <f>IF($O300="","",INDEX(Master!$B$2:$B$1001,$O300))</f>
      </c>
      <c r="C300">
        <f>IF($O300="","",INDEX(Master!$C$2:$C$1001,$O300))</f>
      </c>
      <c r="D300">
        <f>IF($O300="","",INDEX(Master!$A$2:$A$1001,$O300))</f>
      </c>
      <c r="E300">
        <f>IF($O300="","",INDEX(Master!$E$2:$E$1001,$O300))</f>
      </c>
      <c r="F300">
        <f>IF($O300="","",INDEX(Master!$F$2:$F$1001,$O300))</f>
      </c>
      <c r="G300">
        <f>IF($O300="","",INDEX(Master!$G$2:$G$1001,$O300))</f>
      </c>
      <c r="H300">
        <f>IF($O300="","",INDEX(Master!$H$2:$H$1001,$O300))</f>
      </c>
      <c r="I300">
        <f>IF($O300="","",INDEX(Master!$I$2:$I$1001,$O300))</f>
      </c>
      <c r="J300">
        <f>IF($O300="","",INDEX(Master!$J$2:$J$1001,$O300))</f>
      </c>
      <c r="K300">
        <f t="shared" si="8"/>
      </c>
      <c r="L300">
        <f>IF($O300="","",INDEX(Master!$K$2:$K$1001,$O300))</f>
      </c>
      <c r="M300">
        <f>IF($O300="","",INDEX(Master!$L$2:$L$1001,$O300))</f>
      </c>
      <c r="O300">
        <f t="array" ref="O300">IFERROR(SMALL(IF(Master!$A$2:$A$1001="VRKP",ROW(Master!$A$2:$A$1001)-ROW(Master!$A$2)+1),296),"")</f>
      </c>
      <c r="P300">
        <f t="shared" si="9"/>
      </c>
    </row>
    <row r="301" spans="1:16" x14ac:dyDescent="0.25">
      <c r="A301" s="235">
        <f>IF($O301="","",INDEX(Master!$D$2:$D$1001,$O301))</f>
      </c>
      <c r="B301" s="236">
        <f>IF($O301="","",INDEX(Master!$B$2:$B$1001,$O301))</f>
      </c>
      <c r="C301">
        <f>IF($O301="","",INDEX(Master!$C$2:$C$1001,$O301))</f>
      </c>
      <c r="D301">
        <f>IF($O301="","",INDEX(Master!$A$2:$A$1001,$O301))</f>
      </c>
      <c r="E301">
        <f>IF($O301="","",INDEX(Master!$E$2:$E$1001,$O301))</f>
      </c>
      <c r="F301">
        <f>IF($O301="","",INDEX(Master!$F$2:$F$1001,$O301))</f>
      </c>
      <c r="G301">
        <f>IF($O301="","",INDEX(Master!$G$2:$G$1001,$O301))</f>
      </c>
      <c r="H301">
        <f>IF($O301="","",INDEX(Master!$H$2:$H$1001,$O301))</f>
      </c>
      <c r="I301">
        <f>IF($O301="","",INDEX(Master!$I$2:$I$1001,$O301))</f>
      </c>
      <c r="J301">
        <f>IF($O301="","",INDEX(Master!$J$2:$J$1001,$O301))</f>
      </c>
      <c r="K301">
        <f t="shared" si="8"/>
      </c>
      <c r="L301">
        <f>IF($O301="","",INDEX(Master!$K$2:$K$1001,$O301))</f>
      </c>
      <c r="M301">
        <f>IF($O301="","",INDEX(Master!$L$2:$L$1001,$O301))</f>
      </c>
      <c r="O301">
        <f t="array" ref="O301">IFERROR(SMALL(IF(Master!$A$2:$A$1001="VRKP",ROW(Master!$A$2:$A$1001)-ROW(Master!$A$2)+1),297),"")</f>
      </c>
      <c r="P301">
        <f t="shared" si="9"/>
      </c>
    </row>
    <row r="302" spans="1:16" x14ac:dyDescent="0.25">
      <c r="A302" s="235">
        <f>IF($O302="","",INDEX(Master!$D$2:$D$1001,$O302))</f>
      </c>
      <c r="B302" s="236">
        <f>IF($O302="","",INDEX(Master!$B$2:$B$1001,$O302))</f>
      </c>
      <c r="C302">
        <f>IF($O302="","",INDEX(Master!$C$2:$C$1001,$O302))</f>
      </c>
      <c r="D302">
        <f>IF($O302="","",INDEX(Master!$A$2:$A$1001,$O302))</f>
      </c>
      <c r="E302">
        <f>IF($O302="","",INDEX(Master!$E$2:$E$1001,$O302))</f>
      </c>
      <c r="F302">
        <f>IF($O302="","",INDEX(Master!$F$2:$F$1001,$O302))</f>
      </c>
      <c r="G302">
        <f>IF($O302="","",INDEX(Master!$G$2:$G$1001,$O302))</f>
      </c>
      <c r="H302">
        <f>IF($O302="","",INDEX(Master!$H$2:$H$1001,$O302))</f>
      </c>
      <c r="I302">
        <f>IF($O302="","",INDEX(Master!$I$2:$I$1001,$O302))</f>
      </c>
      <c r="J302">
        <f>IF($O302="","",INDEX(Master!$J$2:$J$1001,$O302))</f>
      </c>
      <c r="K302">
        <f t="shared" si="8"/>
      </c>
      <c r="L302">
        <f>IF($O302="","",INDEX(Master!$K$2:$K$1001,$O302))</f>
      </c>
      <c r="M302">
        <f>IF($O302="","",INDEX(Master!$L$2:$L$1001,$O302))</f>
      </c>
      <c r="O302">
        <f t="array" ref="O302">IFERROR(SMALL(IF(Master!$A$2:$A$1001="VRKP",ROW(Master!$A$2:$A$1001)-ROW(Master!$A$2)+1),298),"")</f>
      </c>
      <c r="P302">
        <f t="shared" si="9"/>
      </c>
    </row>
    <row r="303" spans="1:16" x14ac:dyDescent="0.25">
      <c r="A303" s="235">
        <f>IF($O303="","",INDEX(Master!$D$2:$D$1001,$O303))</f>
      </c>
      <c r="B303" s="236">
        <f>IF($O303="","",INDEX(Master!$B$2:$B$1001,$O303))</f>
      </c>
      <c r="C303">
        <f>IF($O303="","",INDEX(Master!$C$2:$C$1001,$O303))</f>
      </c>
      <c r="D303">
        <f>IF($O303="","",INDEX(Master!$A$2:$A$1001,$O303))</f>
      </c>
      <c r="E303">
        <f>IF($O303="","",INDEX(Master!$E$2:$E$1001,$O303))</f>
      </c>
      <c r="F303">
        <f>IF($O303="","",INDEX(Master!$F$2:$F$1001,$O303))</f>
      </c>
      <c r="G303">
        <f>IF($O303="","",INDEX(Master!$G$2:$G$1001,$O303))</f>
      </c>
      <c r="H303">
        <f>IF($O303="","",INDEX(Master!$H$2:$H$1001,$O303))</f>
      </c>
      <c r="I303">
        <f>IF($O303="","",INDEX(Master!$I$2:$I$1001,$O303))</f>
      </c>
      <c r="J303">
        <f>IF($O303="","",INDEX(Master!$J$2:$J$1001,$O303))</f>
      </c>
      <c r="K303">
        <f t="shared" si="8"/>
      </c>
      <c r="L303">
        <f>IF($O303="","",INDEX(Master!$K$2:$K$1001,$O303))</f>
      </c>
      <c r="M303">
        <f>IF($O303="","",INDEX(Master!$L$2:$L$1001,$O303))</f>
      </c>
      <c r="O303">
        <f t="array" ref="O303">IFERROR(SMALL(IF(Master!$A$2:$A$1001="VRKP",ROW(Master!$A$2:$A$1001)-ROW(Master!$A$2)+1),299),"")</f>
      </c>
      <c r="P303">
        <f t="shared" si="9"/>
      </c>
    </row>
    <row r="304" spans="1:16" x14ac:dyDescent="0.25">
      <c r="A304" s="235">
        <f>IF($O304="","",INDEX(Master!$D$2:$D$1001,$O304))</f>
      </c>
      <c r="B304" s="236">
        <f>IF($O304="","",INDEX(Master!$B$2:$B$1001,$O304))</f>
      </c>
      <c r="C304">
        <f>IF($O304="","",INDEX(Master!$C$2:$C$1001,$O304))</f>
      </c>
      <c r="D304">
        <f>IF($O304="","",INDEX(Master!$A$2:$A$1001,$O304))</f>
      </c>
      <c r="E304">
        <f>IF($O304="","",INDEX(Master!$E$2:$E$1001,$O304))</f>
      </c>
      <c r="F304">
        <f>IF($O304="","",INDEX(Master!$F$2:$F$1001,$O304))</f>
      </c>
      <c r="G304">
        <f>IF($O304="","",INDEX(Master!$G$2:$G$1001,$O304))</f>
      </c>
      <c r="H304">
        <f>IF($O304="","",INDEX(Master!$H$2:$H$1001,$O304))</f>
      </c>
      <c r="I304">
        <f>IF($O304="","",INDEX(Master!$I$2:$I$1001,$O304))</f>
      </c>
      <c r="J304">
        <f>IF($O304="","",INDEX(Master!$J$2:$J$1001,$O304))</f>
      </c>
      <c r="K304">
        <f t="shared" si="8"/>
      </c>
      <c r="L304">
        <f>IF($O304="","",INDEX(Master!$K$2:$K$1001,$O304))</f>
      </c>
      <c r="M304">
        <f>IF($O304="","",INDEX(Master!$L$2:$L$1001,$O304))</f>
      </c>
      <c r="O304">
        <f t="array" ref="O304">IFERROR(SMALL(IF(Master!$A$2:$A$1001="VRKP",ROW(Master!$A$2:$A$1001)-ROW(Master!$A$2)+1),300),"")</f>
      </c>
      <c r="P304">
        <f t="shared" si="9"/>
      </c>
    </row>
  </sheetData>
  <autoFilter ref="A4:N304" xr:uid="{00000000-0009-0000-0000-000002000000}"/>
  <mergeCells count="10">
    <mergeCell ref="A1:N1"/>
    <mergeCell ref="E2:J2"/>
    <mergeCell ref="A2:A4"/>
    <mergeCell ref="C2:C4"/>
    <mergeCell ref="K2:K4"/>
    <mergeCell ref="N2:N4"/>
    <mergeCell ref="L2:L4"/>
    <mergeCell ref="M2:M4"/>
    <mergeCell ref="B2:B4"/>
    <mergeCell ref="D2:D4"/>
  </mergeCells>
  <conditionalFormatting sqref="A5:N304">
    <cfRule type="expression" dxfId="57" priority="1">
      <formula>$N5="HOLD"</formula>
    </cfRule>
  </conditionalFormatting>
  <conditionalFormatting sqref="E5:E304">
    <cfRule type="expression" dxfId="56" priority="2">
      <formula>AND($E5&lt;&gt;"",OR($E5&gt;0.12))</formula>
    </cfRule>
  </conditionalFormatting>
  <conditionalFormatting sqref="F5:F304">
    <cfRule type="expression" dxfId="55" priority="3">
      <formula>AND($F5&lt;&gt;"",OR($F5&gt;0.05))</formula>
    </cfRule>
  </conditionalFormatting>
  <conditionalFormatting sqref="G5:G304">
    <cfRule type="expression" dxfId="54" priority="4">
      <formula>AND($G5&lt;&gt;"",OR($G5&gt;0.085))</formula>
    </cfRule>
  </conditionalFormatting>
  <conditionalFormatting sqref="H5:H304">
    <cfRule type="expression" dxfId="53" priority="5">
      <formula>AND($H5&lt;&gt;"",$H5&lt;0.5)</formula>
    </cfRule>
  </conditionalFormatting>
  <conditionalFormatting sqref="I5:I304">
    <cfRule type="expression" dxfId="52" priority="6">
      <formula>AND($I5&lt;&gt;"",$I5&gt;120)</formula>
    </cfRule>
  </conditionalFormatting>
  <conditionalFormatting sqref="J5:J304">
    <cfRule type="expression" dxfId="51" priority="7">
      <formula>AND($J5&lt;&gt;"",OR($J5&lt;0.08))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304"/>
  <sheetViews>
    <sheetView workbookViewId="0">
      <pane ySplit="4" topLeftCell="A5" activePane="bottomLeft" state="frozen"/>
      <selection pane="bottomLeft" activeCell="K5" sqref="K5:K19"/>
    </sheetView>
  </sheetViews>
  <sheetFormatPr defaultRowHeight="15" x14ac:dyDescent="0.25"/>
  <cols>
    <col min="1" max="1" width="8.7109375" bestFit="1" customWidth="1"/>
    <col min="2" max="2" width="9.7109375" style="236" bestFit="1" customWidth="1"/>
    <col min="3" max="3" width="15.28515625" bestFit="1" customWidth="1"/>
    <col min="4" max="4" width="12.85546875" bestFit="1" customWidth="1"/>
    <col min="5" max="8" width="8" bestFit="1" customWidth="1"/>
    <col min="9" max="9" width="9.5703125" bestFit="1" customWidth="1"/>
    <col min="10" max="10" width="8" bestFit="1" customWidth="1"/>
    <col min="11" max="11" width="12" bestFit="1" customWidth="1"/>
    <col min="12" max="12" width="12.5703125" bestFit="1" customWidth="1"/>
    <col min="13" max="13" width="12.28515625" bestFit="1" customWidth="1"/>
    <col min="14" max="14" width="5.140625" bestFit="1" customWidth="1"/>
    <col min="15" max="15" width="4" hidden="1" customWidth="1"/>
    <col min="16" max="16" width="13" hidden="1" customWidth="1"/>
  </cols>
  <sheetData>
    <row r="1" spans="1:16" ht="21.95" customHeight="1" x14ac:dyDescent="0.25">
      <c r="A1" s="289" t="s">
        <v>48</v>
      </c>
      <c r="B1" s="433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</row>
    <row r="2" spans="1:16" x14ac:dyDescent="0.25">
      <c r="A2" s="434" t="s">
        <v>29</v>
      </c>
      <c r="B2" s="439" t="s">
        <v>30</v>
      </c>
      <c r="C2" s="434" t="s">
        <v>39</v>
      </c>
      <c r="D2" s="434" t="s">
        <v>1</v>
      </c>
      <c r="E2" s="434" t="s">
        <v>40</v>
      </c>
      <c r="F2" s="435"/>
      <c r="G2" s="435"/>
      <c r="H2" s="435"/>
      <c r="I2" s="435"/>
      <c r="J2" s="436"/>
      <c r="K2" s="434" t="s">
        <v>41</v>
      </c>
      <c r="L2" s="434" t="s">
        <v>42</v>
      </c>
      <c r="M2" s="434" t="s">
        <v>43</v>
      </c>
      <c r="N2" s="434" t="s">
        <v>44</v>
      </c>
      <c r="P2" t="s">
        <v>45</v>
      </c>
    </row>
    <row r="3" spans="1:16" x14ac:dyDescent="0.25">
      <c r="A3" s="437"/>
      <c r="B3" s="437"/>
      <c r="C3" s="437"/>
      <c r="D3" s="437"/>
      <c r="E3" s="231" t="s">
        <v>32</v>
      </c>
      <c r="F3" s="231" t="s">
        <v>33</v>
      </c>
      <c r="G3" s="231" t="s">
        <v>34</v>
      </c>
      <c r="H3" s="231" t="s">
        <v>35</v>
      </c>
      <c r="I3" s="231" t="s">
        <v>36</v>
      </c>
      <c r="J3" s="231" t="s">
        <v>37</v>
      </c>
      <c r="K3" s="437"/>
      <c r="L3" s="437"/>
      <c r="M3" s="437"/>
      <c r="N3" s="437"/>
    </row>
    <row r="4" spans="1:16" x14ac:dyDescent="0.25">
      <c r="A4" s="438"/>
      <c r="B4" s="438"/>
      <c r="C4" s="438"/>
      <c r="D4" s="438"/>
      <c r="E4" s="233" t="s">
        <v>46</v>
      </c>
      <c r="F4" s="233" t="s">
        <v>46</v>
      </c>
      <c r="G4" s="233" t="s">
        <v>46</v>
      </c>
      <c r="H4" s="233" t="s">
        <v>46</v>
      </c>
      <c r="I4" s="233" t="s">
        <v>47</v>
      </c>
      <c r="J4" s="233" t="s">
        <v>46</v>
      </c>
      <c r="K4" s="438"/>
      <c r="L4" s="438"/>
      <c r="M4" s="438"/>
      <c r="N4" s="438"/>
    </row>
    <row r="5" spans="1:16" x14ac:dyDescent="0.25">
      <c r="A5" s="164">
        <f>IF($O5="","",INDEX(Master!$D$2:$D$1001,$O5))</f>
      </c>
      <c r="B5" s="167">
        <f>IF($O5="","",INDEX(Master!$B$2:$B$1001,$O5))</f>
      </c>
      <c r="C5" s="164">
        <f>IF($O5="","",INDEX(Master!$C$2:$C$1001,$O5))</f>
      </c>
      <c r="D5" s="164">
        <f>IF($O5="","",INDEX(Master!$A$2:$A$1001,$O5))</f>
      </c>
      <c r="E5" s="164">
        <f>IF($O5="","",INDEX(Master!$E$2:$E$1001,$O5))</f>
      </c>
      <c r="F5" s="164">
        <f>IF($O5="","",INDEX(Master!$F$2:$F$1001,$O5))</f>
      </c>
      <c r="G5" s="164">
        <f>IF($O5="","",INDEX(Master!$G$2:$G$1001,$O5))</f>
      </c>
      <c r="H5" s="164">
        <f>IF($O5="","",INDEX(Master!$H$2:$H$1001,$O5))</f>
      </c>
      <c r="I5" s="164">
        <f>IF($O5="","",INDEX(Master!$I$2:$I$1001,$O5))</f>
      </c>
      <c r="J5" s="164">
        <f>IF($O5="","",INDEX(Master!$J$2:$J$1001,$O5))</f>
      </c>
      <c r="K5" s="248">
        <f t="shared" ref="K5:K68" si="0">IF(OR($O5="",$F5="",$F5=0),"",$H5/$F5)</f>
      </c>
      <c r="L5" s="164">
        <f>IF($O5="","",INDEX(Master!$K$2:$K$1001,$O5))</f>
      </c>
      <c r="M5" s="164">
        <f>IF($O5="","",INDEX(Master!$L$2:$L$1001,$O5))</f>
      </c>
      <c r="N5" s="164"/>
      <c r="O5">
        <f t="array" ref="O5">IFERROR(SMALL(IF(Master!$A$2:$A$1001="SHREE RADHE",ROW(Master!$A$2:$A$1001)-ROW(Master!$A$2)+1),1),"")</f>
      </c>
      <c r="P5">
        <f t="shared" ref="P5:P68" si="1">IF($A5="",0,IF(OR(AND($E5&lt;&gt;"",OR($E5&gt;0.15)),AND($F5&lt;&gt;"",OR($F5&gt;0.045)),AND($G5&lt;&gt;"",OR($G5&gt;0.08)),AND($H5&lt;&gt;"",$H5&lt;0.5),AND($J5&lt;&gt;"",OR($J5&lt;0.1))),1,0))</f>
      </c>
    </row>
    <row r="6" spans="1:16" x14ac:dyDescent="0.25">
      <c r="A6" s="164">
        <f>IF($O6="","",INDEX(Master!$D$2:$D$1001,$O6))</f>
      </c>
      <c r="B6" s="167">
        <f>IF($O6="","",INDEX(Master!$B$2:$B$1001,$O6))</f>
      </c>
      <c r="C6" s="164">
        <f>IF($O6="","",INDEX(Master!$C$2:$C$1001,$O6))</f>
      </c>
      <c r="D6" s="164">
        <f>IF($O6="","",INDEX(Master!$A$2:$A$1001,$O6))</f>
      </c>
      <c r="E6" s="164">
        <f>IF($O6="","",INDEX(Master!$E$2:$E$1001,$O6))</f>
      </c>
      <c r="F6" s="164">
        <f>IF($O6="","",INDEX(Master!$F$2:$F$1001,$O6))</f>
      </c>
      <c r="G6" s="164">
        <f>IF($O6="","",INDEX(Master!$G$2:$G$1001,$O6))</f>
      </c>
      <c r="H6" s="164">
        <f>IF($O6="","",INDEX(Master!$H$2:$H$1001,$O6))</f>
      </c>
      <c r="I6" s="164">
        <f>IF($O6="","",INDEX(Master!$I$2:$I$1001,$O6))</f>
      </c>
      <c r="J6" s="164">
        <f>IF($O6="","",INDEX(Master!$J$2:$J$1001,$O6))</f>
      </c>
      <c r="K6" s="248">
        <f t="shared" si="0"/>
      </c>
      <c r="L6" s="164">
        <f>IF($O6="","",INDEX(Master!$K$2:$K$1001,$O6))</f>
      </c>
      <c r="M6" s="164">
        <f>IF($O6="","",INDEX(Master!$L$2:$L$1001,$O6))</f>
      </c>
      <c r="N6" s="164"/>
      <c r="O6">
        <f t="array" ref="O6">IFERROR(SMALL(IF(Master!$A$2:$A$1001="SHREE RADHE",ROW(Master!$A$2:$A$1001)-ROW(Master!$A$2)+1),2),"")</f>
      </c>
      <c r="P6">
        <f t="shared" si="1"/>
      </c>
    </row>
    <row r="7" spans="1:16" x14ac:dyDescent="0.25">
      <c r="A7" s="164">
        <f>IF($O7="","",INDEX(Master!$D$2:$D$1001,$O7))</f>
      </c>
      <c r="B7" s="167">
        <f>IF($O7="","",INDEX(Master!$B$2:$B$1001,$O7))</f>
      </c>
      <c r="C7" s="164">
        <f>IF($O7="","",INDEX(Master!$C$2:$C$1001,$O7))</f>
      </c>
      <c r="D7" s="164">
        <f>IF($O7="","",INDEX(Master!$A$2:$A$1001,$O7))</f>
      </c>
      <c r="E7" s="164">
        <f>IF($O7="","",INDEX(Master!$E$2:$E$1001,$O7))</f>
      </c>
      <c r="F7" s="164">
        <f>IF($O7="","",INDEX(Master!$F$2:$F$1001,$O7))</f>
      </c>
      <c r="G7" s="164">
        <f>IF($O7="","",INDEX(Master!$G$2:$G$1001,$O7))</f>
      </c>
      <c r="H7" s="164">
        <f>IF($O7="","",INDEX(Master!$H$2:$H$1001,$O7))</f>
      </c>
      <c r="I7" s="164">
        <f>IF($O7="","",INDEX(Master!$I$2:$I$1001,$O7))</f>
      </c>
      <c r="J7" s="164">
        <f>IF($O7="","",INDEX(Master!$J$2:$J$1001,$O7))</f>
      </c>
      <c r="K7" s="248">
        <f t="shared" si="0"/>
      </c>
      <c r="L7" s="164">
        <f>IF($O7="","",INDEX(Master!$K$2:$K$1001,$O7))</f>
      </c>
      <c r="M7" s="164">
        <f>IF($O7="","",INDEX(Master!$L$2:$L$1001,$O7))</f>
      </c>
      <c r="N7" s="164"/>
      <c r="O7">
        <f t="array" ref="O7">IFERROR(SMALL(IF(Master!$A$2:$A$1001="SHREE RADHE",ROW(Master!$A$2:$A$1001)-ROW(Master!$A$2)+1),3),"")</f>
      </c>
      <c r="P7">
        <f t="shared" si="1"/>
      </c>
    </row>
    <row r="8" spans="1:16" x14ac:dyDescent="0.25">
      <c r="A8" s="164">
        <f>IF($O8="","",INDEX(Master!$D$2:$D$1001,$O8))</f>
      </c>
      <c r="B8" s="167">
        <f>IF($O8="","",INDEX(Master!$B$2:$B$1001,$O8))</f>
      </c>
      <c r="C8" s="164">
        <f>IF($O8="","",INDEX(Master!$C$2:$C$1001,$O8))</f>
      </c>
      <c r="D8" s="164">
        <f>IF($O8="","",INDEX(Master!$A$2:$A$1001,$O8))</f>
      </c>
      <c r="E8" s="164">
        <f>IF($O8="","",INDEX(Master!$E$2:$E$1001,$O8))</f>
      </c>
      <c r="F8" s="164">
        <f>IF($O8="","",INDEX(Master!$F$2:$F$1001,$O8))</f>
      </c>
      <c r="G8" s="164">
        <f>IF($O8="","",INDEX(Master!$G$2:$G$1001,$O8))</f>
      </c>
      <c r="H8" s="164">
        <f>IF($O8="","",INDEX(Master!$H$2:$H$1001,$O8))</f>
      </c>
      <c r="I8" s="164">
        <f>IF($O8="","",INDEX(Master!$I$2:$I$1001,$O8))</f>
      </c>
      <c r="J8" s="164">
        <f>IF($O8="","",INDEX(Master!$J$2:$J$1001,$O8))</f>
      </c>
      <c r="K8" s="248">
        <f t="shared" si="0"/>
      </c>
      <c r="L8" s="164">
        <f>IF($O8="","",INDEX(Master!$K$2:$K$1001,$O8))</f>
      </c>
      <c r="M8" s="164">
        <f>IF($O8="","",INDEX(Master!$L$2:$L$1001,$O8))</f>
      </c>
      <c r="N8" s="164"/>
      <c r="O8">
        <f t="array" ref="O8">IFERROR(SMALL(IF(Master!$A$2:$A$1001="SHREE RADHE",ROW(Master!$A$2:$A$1001)-ROW(Master!$A$2)+1),4),"")</f>
      </c>
      <c r="P8">
        <f t="shared" si="1"/>
      </c>
    </row>
    <row r="9" spans="1:16" x14ac:dyDescent="0.25">
      <c r="A9" s="164">
        <f>IF($O9="","",INDEX(Master!$D$2:$D$1001,$O9))</f>
      </c>
      <c r="B9" s="167">
        <f>IF($O9="","",INDEX(Master!$B$2:$B$1001,$O9))</f>
      </c>
      <c r="C9" s="164">
        <f>IF($O9="","",INDEX(Master!$C$2:$C$1001,$O9))</f>
      </c>
      <c r="D9" s="164">
        <f>IF($O9="","",INDEX(Master!$A$2:$A$1001,$O9))</f>
      </c>
      <c r="E9" s="164">
        <f>IF($O9="","",INDEX(Master!$E$2:$E$1001,$O9))</f>
      </c>
      <c r="F9" s="164">
        <f>IF($O9="","",INDEX(Master!$F$2:$F$1001,$O9))</f>
      </c>
      <c r="G9" s="164">
        <f>IF($O9="","",INDEX(Master!$G$2:$G$1001,$O9))</f>
      </c>
      <c r="H9" s="164">
        <f>IF($O9="","",INDEX(Master!$H$2:$H$1001,$O9))</f>
      </c>
      <c r="I9" s="164">
        <f>IF($O9="","",INDEX(Master!$I$2:$I$1001,$O9))</f>
      </c>
      <c r="J9" s="164">
        <f>IF($O9="","",INDEX(Master!$J$2:$J$1001,$O9))</f>
      </c>
      <c r="K9" s="248">
        <f t="shared" si="0"/>
      </c>
      <c r="L9" s="164">
        <f>IF($O9="","",INDEX(Master!$K$2:$K$1001,$O9))</f>
      </c>
      <c r="M9" s="164">
        <f>IF($O9="","",INDEX(Master!$L$2:$L$1001,$O9))</f>
      </c>
      <c r="N9" s="164"/>
      <c r="O9">
        <f t="array" ref="O9">IFERROR(SMALL(IF(Master!$A$2:$A$1001="SHREE RADHE",ROW(Master!$A$2:$A$1001)-ROW(Master!$A$2)+1),5),"")</f>
      </c>
      <c r="P9">
        <f t="shared" si="1"/>
      </c>
    </row>
    <row r="10" spans="1:16" x14ac:dyDescent="0.25">
      <c r="A10" s="164">
        <f>IF($O10="","",INDEX(Master!$D$2:$D$1001,$O10))</f>
      </c>
      <c r="B10" s="167">
        <f>IF($O10="","",INDEX(Master!$B$2:$B$1001,$O10))</f>
      </c>
      <c r="C10" s="164">
        <f>IF($O10="","",INDEX(Master!$C$2:$C$1001,$O10))</f>
      </c>
      <c r="D10" s="164">
        <f>IF($O10="","",INDEX(Master!$A$2:$A$1001,$O10))</f>
      </c>
      <c r="E10" s="164">
        <f>IF($O10="","",INDEX(Master!$E$2:$E$1001,$O10))</f>
      </c>
      <c r="F10" s="164">
        <f>IF($O10="","",INDEX(Master!$F$2:$F$1001,$O10))</f>
      </c>
      <c r="G10" s="164">
        <f>IF($O10="","",INDEX(Master!$G$2:$G$1001,$O10))</f>
      </c>
      <c r="H10" s="164">
        <f>IF($O10="","",INDEX(Master!$H$2:$H$1001,$O10))</f>
      </c>
      <c r="I10" s="164">
        <f>IF($O10="","",INDEX(Master!$I$2:$I$1001,$O10))</f>
      </c>
      <c r="J10" s="164">
        <f>IF($O10="","",INDEX(Master!$J$2:$J$1001,$O10))</f>
      </c>
      <c r="K10" s="248">
        <f t="shared" si="0"/>
      </c>
      <c r="L10" s="164">
        <f>IF($O10="","",INDEX(Master!$K$2:$K$1001,$O10))</f>
      </c>
      <c r="M10" s="164">
        <f>IF($O10="","",INDEX(Master!$L$2:$L$1001,$O10))</f>
      </c>
      <c r="N10" s="164"/>
      <c r="O10">
        <f t="array" ref="O10">IFERROR(SMALL(IF(Master!$A$2:$A$1001="SHREE RADHE",ROW(Master!$A$2:$A$1001)-ROW(Master!$A$2)+1),6),"")</f>
      </c>
      <c r="P10">
        <f t="shared" si="1"/>
      </c>
    </row>
    <row r="11" spans="1:16" x14ac:dyDescent="0.25">
      <c r="A11" s="164">
        <f>IF($O11="","",INDEX(Master!$D$2:$D$1001,$O11))</f>
      </c>
      <c r="B11" s="167">
        <f>IF($O11="","",INDEX(Master!$B$2:$B$1001,$O11))</f>
      </c>
      <c r="C11" s="164">
        <f>IF($O11="","",INDEX(Master!$C$2:$C$1001,$O11))</f>
      </c>
      <c r="D11" s="164">
        <f>IF($O11="","",INDEX(Master!$A$2:$A$1001,$O11))</f>
      </c>
      <c r="E11" s="164">
        <f>IF($O11="","",INDEX(Master!$E$2:$E$1001,$O11))</f>
      </c>
      <c r="F11" s="164">
        <f>IF($O11="","",INDEX(Master!$F$2:$F$1001,$O11))</f>
      </c>
      <c r="G11" s="164">
        <f>IF($O11="","",INDEX(Master!$G$2:$G$1001,$O11))</f>
      </c>
      <c r="H11" s="164">
        <f>IF($O11="","",INDEX(Master!$H$2:$H$1001,$O11))</f>
      </c>
      <c r="I11" s="164">
        <f>IF($O11="","",INDEX(Master!$I$2:$I$1001,$O11))</f>
      </c>
      <c r="J11" s="164">
        <f>IF($O11="","",INDEX(Master!$J$2:$J$1001,$O11))</f>
      </c>
      <c r="K11" s="248">
        <f t="shared" si="0"/>
      </c>
      <c r="L11" s="164">
        <f>IF($O11="","",INDEX(Master!$K$2:$K$1001,$O11))</f>
      </c>
      <c r="M11" s="164">
        <f>IF($O11="","",INDEX(Master!$L$2:$L$1001,$O11))</f>
      </c>
      <c r="N11" s="164"/>
      <c r="O11">
        <f t="array" ref="O11">IFERROR(SMALL(IF(Master!$A$2:$A$1001="SHREE RADHE",ROW(Master!$A$2:$A$1001)-ROW(Master!$A$2)+1),7),"")</f>
      </c>
      <c r="P11">
        <f t="shared" si="1"/>
      </c>
    </row>
    <row r="12" spans="1:16" x14ac:dyDescent="0.25">
      <c r="A12" s="164">
        <f>IF($O12="","",INDEX(Master!$D$2:$D$1001,$O12))</f>
      </c>
      <c r="B12" s="167">
        <f>IF($O12="","",INDEX(Master!$B$2:$B$1001,$O12))</f>
      </c>
      <c r="C12" s="164">
        <f>IF($O12="","",INDEX(Master!$C$2:$C$1001,$O12))</f>
      </c>
      <c r="D12" s="164">
        <f>IF($O12="","",INDEX(Master!$A$2:$A$1001,$O12))</f>
      </c>
      <c r="E12" s="164">
        <f>IF($O12="","",INDEX(Master!$E$2:$E$1001,$O12))</f>
      </c>
      <c r="F12" s="164">
        <f>IF($O12="","",INDEX(Master!$F$2:$F$1001,$O12))</f>
      </c>
      <c r="G12" s="164">
        <f>IF($O12="","",INDEX(Master!$G$2:$G$1001,$O12))</f>
      </c>
      <c r="H12" s="164">
        <f>IF($O12="","",INDEX(Master!$H$2:$H$1001,$O12))</f>
      </c>
      <c r="I12" s="164">
        <f>IF($O12="","",INDEX(Master!$I$2:$I$1001,$O12))</f>
      </c>
      <c r="J12" s="164">
        <f>IF($O12="","",INDEX(Master!$J$2:$J$1001,$O12))</f>
      </c>
      <c r="K12" s="248">
        <f t="shared" si="0"/>
      </c>
      <c r="L12" s="164">
        <f>IF($O12="","",INDEX(Master!$K$2:$K$1001,$O12))</f>
      </c>
      <c r="M12" s="164">
        <f>IF($O12="","",INDEX(Master!$L$2:$L$1001,$O12))</f>
      </c>
      <c r="N12" s="164"/>
      <c r="O12">
        <f t="array" ref="O12">IFERROR(SMALL(IF(Master!$A$2:$A$1001="SHREE RADHE",ROW(Master!$A$2:$A$1001)-ROW(Master!$A$2)+1),8),"")</f>
      </c>
      <c r="P12">
        <f t="shared" si="1"/>
      </c>
    </row>
    <row r="13" spans="1:16" x14ac:dyDescent="0.25">
      <c r="A13" s="164">
        <f>IF($O13="","",INDEX(Master!$D$2:$D$1001,$O13))</f>
      </c>
      <c r="B13" s="167">
        <f>IF($O13="","",INDEX(Master!$B$2:$B$1001,$O13))</f>
      </c>
      <c r="C13" s="164">
        <f>IF($O13="","",INDEX(Master!$C$2:$C$1001,$O13))</f>
      </c>
      <c r="D13" s="164">
        <f>IF($O13="","",INDEX(Master!$A$2:$A$1001,$O13))</f>
      </c>
      <c r="E13" s="164">
        <f>IF($O13="","",INDEX(Master!$E$2:$E$1001,$O13))</f>
      </c>
      <c r="F13" s="164">
        <f>IF($O13="","",INDEX(Master!$F$2:$F$1001,$O13))</f>
      </c>
      <c r="G13" s="164">
        <f>IF($O13="","",INDEX(Master!$G$2:$G$1001,$O13))</f>
      </c>
      <c r="H13" s="164">
        <f>IF($O13="","",INDEX(Master!$H$2:$H$1001,$O13))</f>
      </c>
      <c r="I13" s="164">
        <f>IF($O13="","",INDEX(Master!$I$2:$I$1001,$O13))</f>
      </c>
      <c r="J13" s="164">
        <f>IF($O13="","",INDEX(Master!$J$2:$J$1001,$O13))</f>
      </c>
      <c r="K13" s="248">
        <f t="shared" si="0"/>
      </c>
      <c r="L13" s="164">
        <f>IF($O13="","",INDEX(Master!$K$2:$K$1001,$O13))</f>
      </c>
      <c r="M13" s="164">
        <f>IF($O13="","",INDEX(Master!$L$2:$L$1001,$O13))</f>
      </c>
      <c r="N13" s="164"/>
      <c r="O13">
        <f t="array" ref="O13">IFERROR(SMALL(IF(Master!$A$2:$A$1001="SHREE RADHE",ROW(Master!$A$2:$A$1001)-ROW(Master!$A$2)+1),9),"")</f>
      </c>
      <c r="P13">
        <f t="shared" si="1"/>
      </c>
    </row>
    <row r="14" spans="1:16" x14ac:dyDescent="0.25">
      <c r="A14" s="164">
        <f>IF($O14="","",INDEX(Master!$D$2:$D$1001,$O14))</f>
      </c>
      <c r="B14" s="167">
        <f>IF($O14="","",INDEX(Master!$B$2:$B$1001,$O14))</f>
      </c>
      <c r="C14" s="164">
        <f>IF($O14="","",INDEX(Master!$C$2:$C$1001,$O14))</f>
      </c>
      <c r="D14" s="164">
        <f>IF($O14="","",INDEX(Master!$A$2:$A$1001,$O14))</f>
      </c>
      <c r="E14" s="164">
        <f>IF($O14="","",INDEX(Master!$E$2:$E$1001,$O14))</f>
      </c>
      <c r="F14" s="164">
        <f>IF($O14="","",INDEX(Master!$F$2:$F$1001,$O14))</f>
      </c>
      <c r="G14" s="164">
        <f>IF($O14="","",INDEX(Master!$G$2:$G$1001,$O14))</f>
      </c>
      <c r="H14" s="164">
        <f>IF($O14="","",INDEX(Master!$H$2:$H$1001,$O14))</f>
      </c>
      <c r="I14" s="164">
        <f>IF($O14="","",INDEX(Master!$I$2:$I$1001,$O14))</f>
      </c>
      <c r="J14" s="164">
        <f>IF($O14="","",INDEX(Master!$J$2:$J$1001,$O14))</f>
      </c>
      <c r="K14" s="248">
        <f t="shared" si="0"/>
      </c>
      <c r="L14" s="164">
        <f>IF($O14="","",INDEX(Master!$K$2:$K$1001,$O14))</f>
      </c>
      <c r="M14" s="164">
        <f>IF($O14="","",INDEX(Master!$L$2:$L$1001,$O14))</f>
      </c>
      <c r="N14" s="164"/>
      <c r="O14">
        <f t="array" ref="O14">IFERROR(SMALL(IF(Master!$A$2:$A$1001="SHREE RADHE",ROW(Master!$A$2:$A$1001)-ROW(Master!$A$2)+1),10),"")</f>
      </c>
      <c r="P14">
        <f t="shared" si="1"/>
      </c>
    </row>
    <row r="15" spans="1:16" x14ac:dyDescent="0.25">
      <c r="A15" s="164">
        <f>IF($O15="","",INDEX(Master!$D$2:$D$1001,$O15))</f>
      </c>
      <c r="B15" s="167">
        <f>IF($O15="","",INDEX(Master!$B$2:$B$1001,$O15))</f>
      </c>
      <c r="C15" s="164">
        <f>IF($O15="","",INDEX(Master!$C$2:$C$1001,$O15))</f>
      </c>
      <c r="D15" s="164">
        <f>IF($O15="","",INDEX(Master!$A$2:$A$1001,$O15))</f>
      </c>
      <c r="E15" s="164">
        <f>IF($O15="","",INDEX(Master!$E$2:$E$1001,$O15))</f>
      </c>
      <c r="F15" s="164">
        <f>IF($O15="","",INDEX(Master!$F$2:$F$1001,$O15))</f>
      </c>
      <c r="G15" s="164">
        <f>IF($O15="","",INDEX(Master!$G$2:$G$1001,$O15))</f>
      </c>
      <c r="H15" s="164">
        <f>IF($O15="","",INDEX(Master!$H$2:$H$1001,$O15))</f>
      </c>
      <c r="I15" s="164">
        <f>IF($O15="","",INDEX(Master!$I$2:$I$1001,$O15))</f>
      </c>
      <c r="J15" s="164">
        <f>IF($O15="","",INDEX(Master!$J$2:$J$1001,$O15))</f>
      </c>
      <c r="K15" s="248">
        <f t="shared" si="0"/>
      </c>
      <c r="L15" s="164">
        <f>IF($O15="","",INDEX(Master!$K$2:$K$1001,$O15))</f>
      </c>
      <c r="M15" s="164">
        <f>IF($O15="","",INDEX(Master!$L$2:$L$1001,$O15))</f>
      </c>
      <c r="N15" s="164"/>
      <c r="O15">
        <f t="array" ref="O15">IFERROR(SMALL(IF(Master!$A$2:$A$1001="SHREE RADHE",ROW(Master!$A$2:$A$1001)-ROW(Master!$A$2)+1),11),"")</f>
      </c>
      <c r="P15">
        <f t="shared" si="1"/>
      </c>
    </row>
    <row r="16" spans="1:16" x14ac:dyDescent="0.25">
      <c r="A16" s="164">
        <f>IF($O16="","",INDEX(Master!$D$2:$D$1001,$O16))</f>
      </c>
      <c r="B16" s="167">
        <f>IF($O16="","",INDEX(Master!$B$2:$B$1001,$O16))</f>
      </c>
      <c r="C16" s="164">
        <f>IF($O16="","",INDEX(Master!$C$2:$C$1001,$O16))</f>
      </c>
      <c r="D16" s="164">
        <f>IF($O16="","",INDEX(Master!$A$2:$A$1001,$O16))</f>
      </c>
      <c r="E16" s="164">
        <f>IF($O16="","",INDEX(Master!$E$2:$E$1001,$O16))</f>
      </c>
      <c r="F16" s="164">
        <f>IF($O16="","",INDEX(Master!$F$2:$F$1001,$O16))</f>
      </c>
      <c r="G16" s="164">
        <f>IF($O16="","",INDEX(Master!$G$2:$G$1001,$O16))</f>
      </c>
      <c r="H16" s="164">
        <f>IF($O16="","",INDEX(Master!$H$2:$H$1001,$O16))</f>
      </c>
      <c r="I16" s="164">
        <f>IF($O16="","",INDEX(Master!$I$2:$I$1001,$O16))</f>
      </c>
      <c r="J16" s="164">
        <f>IF($O16="","",INDEX(Master!$J$2:$J$1001,$O16))</f>
      </c>
      <c r="K16" s="248">
        <f t="shared" si="0"/>
      </c>
      <c r="L16" s="164">
        <f>IF($O16="","",INDEX(Master!$K$2:$K$1001,$O16))</f>
      </c>
      <c r="M16" s="164">
        <f>IF($O16="","",INDEX(Master!$L$2:$L$1001,$O16))</f>
      </c>
      <c r="N16" s="164"/>
      <c r="O16">
        <f t="array" ref="O16">IFERROR(SMALL(IF(Master!$A$2:$A$1001="SHREE RADHE",ROW(Master!$A$2:$A$1001)-ROW(Master!$A$2)+1),12),"")</f>
      </c>
      <c r="P16">
        <f t="shared" si="1"/>
      </c>
    </row>
    <row r="17" spans="1:16" x14ac:dyDescent="0.25">
      <c r="A17" s="164">
        <f>IF($O17="","",INDEX(Master!$D$2:$D$1001,$O17))</f>
      </c>
      <c r="B17" s="167">
        <f>IF($O17="","",INDEX(Master!$B$2:$B$1001,$O17))</f>
      </c>
      <c r="C17" s="164">
        <f>IF($O17="","",INDEX(Master!$C$2:$C$1001,$O17))</f>
      </c>
      <c r="D17" s="164">
        <f>IF($O17="","",INDEX(Master!$A$2:$A$1001,$O17))</f>
      </c>
      <c r="E17" s="164">
        <f>IF($O17="","",INDEX(Master!$E$2:$E$1001,$O17))</f>
      </c>
      <c r="F17" s="164">
        <f>IF($O17="","",INDEX(Master!$F$2:$F$1001,$O17))</f>
      </c>
      <c r="G17" s="164">
        <f>IF($O17="","",INDEX(Master!$G$2:$G$1001,$O17))</f>
      </c>
      <c r="H17" s="164">
        <f>IF($O17="","",INDEX(Master!$H$2:$H$1001,$O17))</f>
      </c>
      <c r="I17" s="164">
        <f>IF($O17="","",INDEX(Master!$I$2:$I$1001,$O17))</f>
      </c>
      <c r="J17" s="164">
        <f>IF($O17="","",INDEX(Master!$J$2:$J$1001,$O17))</f>
      </c>
      <c r="K17" s="248">
        <f t="shared" si="0"/>
      </c>
      <c r="L17" s="164">
        <f>IF($O17="","",INDEX(Master!$K$2:$K$1001,$O17))</f>
      </c>
      <c r="M17" s="164">
        <f>IF($O17="","",INDEX(Master!$L$2:$L$1001,$O17))</f>
      </c>
      <c r="N17" s="164"/>
      <c r="O17">
        <f t="array" ref="O17">IFERROR(SMALL(IF(Master!$A$2:$A$1001="SHREE RADHE",ROW(Master!$A$2:$A$1001)-ROW(Master!$A$2)+1),13),"")</f>
      </c>
      <c r="P17">
        <f t="shared" si="1"/>
      </c>
    </row>
    <row r="18" spans="1:16" x14ac:dyDescent="0.25">
      <c r="A18" s="164">
        <f>IF($O18="","",INDEX(Master!$D$2:$D$1001,$O18))</f>
      </c>
      <c r="B18" s="167">
        <f>IF($O18="","",INDEX(Master!$B$2:$B$1001,$O18))</f>
      </c>
      <c r="C18" s="164">
        <f>IF($O18="","",INDEX(Master!$C$2:$C$1001,$O18))</f>
      </c>
      <c r="D18" s="164">
        <f>IF($O18="","",INDEX(Master!$A$2:$A$1001,$O18))</f>
      </c>
      <c r="E18" s="164">
        <f>IF($O18="","",INDEX(Master!$E$2:$E$1001,$O18))</f>
      </c>
      <c r="F18" s="164">
        <f>IF($O18="","",INDEX(Master!$F$2:$F$1001,$O18))</f>
      </c>
      <c r="G18" s="164">
        <f>IF($O18="","",INDEX(Master!$G$2:$G$1001,$O18))</f>
      </c>
      <c r="H18" s="164">
        <f>IF($O18="","",INDEX(Master!$H$2:$H$1001,$O18))</f>
      </c>
      <c r="I18" s="164">
        <f>IF($O18="","",INDEX(Master!$I$2:$I$1001,$O18))</f>
      </c>
      <c r="J18" s="164">
        <f>IF($O18="","",INDEX(Master!$J$2:$J$1001,$O18))</f>
      </c>
      <c r="K18" s="248">
        <f t="shared" si="0"/>
      </c>
      <c r="L18" s="164">
        <f>IF($O18="","",INDEX(Master!$K$2:$K$1001,$O18))</f>
      </c>
      <c r="M18" s="164">
        <f>IF($O18="","",INDEX(Master!$L$2:$L$1001,$O18))</f>
      </c>
      <c r="N18" s="164"/>
      <c r="O18">
        <f t="array" ref="O18">IFERROR(SMALL(IF(Master!$A$2:$A$1001="SHREE RADHE",ROW(Master!$A$2:$A$1001)-ROW(Master!$A$2)+1),14),"")</f>
      </c>
      <c r="P18">
        <f t="shared" si="1"/>
      </c>
    </row>
    <row r="19" spans="1:16" x14ac:dyDescent="0.25">
      <c r="A19" s="164">
        <f>IF($O19="","",INDEX(Master!$D$2:$D$1001,$O19))</f>
      </c>
      <c r="B19" s="167">
        <f>IF($O19="","",INDEX(Master!$B$2:$B$1001,$O19))</f>
      </c>
      <c r="C19" s="164">
        <f>IF($O19="","",INDEX(Master!$C$2:$C$1001,$O19))</f>
      </c>
      <c r="D19" s="164">
        <f>IF($O19="","",INDEX(Master!$A$2:$A$1001,$O19))</f>
      </c>
      <c r="E19" s="164">
        <f>IF($O19="","",INDEX(Master!$E$2:$E$1001,$O19))</f>
      </c>
      <c r="F19" s="164">
        <f>IF($O19="","",INDEX(Master!$F$2:$F$1001,$O19))</f>
      </c>
      <c r="G19" s="164">
        <f>IF($O19="","",INDEX(Master!$G$2:$G$1001,$O19))</f>
      </c>
      <c r="H19" s="164">
        <f>IF($O19="","",INDEX(Master!$H$2:$H$1001,$O19))</f>
      </c>
      <c r="I19" s="164">
        <f>IF($O19="","",INDEX(Master!$I$2:$I$1001,$O19))</f>
      </c>
      <c r="J19" s="164">
        <f>IF($O19="","",INDEX(Master!$J$2:$J$1001,$O19))</f>
      </c>
      <c r="K19" s="248">
        <f t="shared" si="0"/>
      </c>
      <c r="L19" s="164">
        <f>IF($O19="","",INDEX(Master!$K$2:$K$1001,$O19))</f>
      </c>
      <c r="M19" s="164">
        <f>IF($O19="","",INDEX(Master!$L$2:$L$1001,$O19))</f>
      </c>
      <c r="N19" s="164"/>
      <c r="O19">
        <f t="array" ref="O19">IFERROR(SMALL(IF(Master!$A$2:$A$1001="SHREE RADHE",ROW(Master!$A$2:$A$1001)-ROW(Master!$A$2)+1),15),"")</f>
      </c>
      <c r="P19">
        <f t="shared" si="1"/>
      </c>
    </row>
    <row r="20" spans="1:16" x14ac:dyDescent="0.25">
      <c r="A20">
        <f>IF($O20="","",INDEX(Master!$D$2:$D$1001,$O20))</f>
      </c>
      <c r="B20" s="236">
        <f>IF($O20="","",INDEX(Master!$B$2:$B$1001,$O20))</f>
      </c>
      <c r="C20">
        <f>IF($O20="","",INDEX(Master!$C$2:$C$1001,$O20))</f>
      </c>
      <c r="D20">
        <f>IF($O20="","",INDEX(Master!$A$2:$A$1001,$O20))</f>
      </c>
      <c r="E20">
        <f>IF($O20="","",INDEX(Master!$E$2:$E$1001,$O20))</f>
      </c>
      <c r="F20">
        <f>IF($O20="","",INDEX(Master!$F$2:$F$1001,$O20))</f>
      </c>
      <c r="G20">
        <f>IF($O20="","",INDEX(Master!$G$2:$G$1001,$O20))</f>
      </c>
      <c r="H20">
        <f>IF($O20="","",INDEX(Master!$H$2:$H$1001,$O20))</f>
      </c>
      <c r="I20">
        <f>IF($O20="","",INDEX(Master!$I$2:$I$1001,$O20))</f>
      </c>
      <c r="J20">
        <f>IF($O20="","",INDEX(Master!$J$2:$J$1001,$O20))</f>
      </c>
      <c r="K20">
        <f t="shared" si="0"/>
      </c>
      <c r="L20">
        <f>IF($O20="","",INDEX(Master!$K$2:$K$1001,$O20))</f>
      </c>
      <c r="M20">
        <f>IF($O20="","",INDEX(Master!$L$2:$L$1001,$O20))</f>
      </c>
      <c r="O20">
        <f t="array" ref="O20">IFERROR(SMALL(IF(Master!$A$2:$A$1001="SHREE RADHE",ROW(Master!$A$2:$A$1001)-ROW(Master!$A$2)+1),16),"")</f>
      </c>
      <c r="P20">
        <f t="shared" si="1"/>
      </c>
    </row>
    <row r="21" spans="1:16" x14ac:dyDescent="0.25">
      <c r="A21">
        <f>IF($O21="","",INDEX(Master!$D$2:$D$1001,$O21))</f>
      </c>
      <c r="B21" s="236">
        <f>IF($O21="","",INDEX(Master!$B$2:$B$1001,$O21))</f>
      </c>
      <c r="C21">
        <f>IF($O21="","",INDEX(Master!$C$2:$C$1001,$O21))</f>
      </c>
      <c r="D21">
        <f>IF($O21="","",INDEX(Master!$A$2:$A$1001,$O21))</f>
      </c>
      <c r="E21">
        <f>IF($O21="","",INDEX(Master!$E$2:$E$1001,$O21))</f>
      </c>
      <c r="F21">
        <f>IF($O21="","",INDEX(Master!$F$2:$F$1001,$O21))</f>
      </c>
      <c r="G21">
        <f>IF($O21="","",INDEX(Master!$G$2:$G$1001,$O21))</f>
      </c>
      <c r="H21">
        <f>IF($O21="","",INDEX(Master!$H$2:$H$1001,$O21))</f>
      </c>
      <c r="I21">
        <f>IF($O21="","",INDEX(Master!$I$2:$I$1001,$O21))</f>
      </c>
      <c r="J21">
        <f>IF($O21="","",INDEX(Master!$J$2:$J$1001,$O21))</f>
      </c>
      <c r="K21">
        <f t="shared" si="0"/>
      </c>
      <c r="L21">
        <f>IF($O21="","",INDEX(Master!$K$2:$K$1001,$O21))</f>
      </c>
      <c r="M21">
        <f>IF($O21="","",INDEX(Master!$L$2:$L$1001,$O21))</f>
      </c>
      <c r="O21">
        <f t="array" ref="O21">IFERROR(SMALL(IF(Master!$A$2:$A$1001="SHREE RADHE",ROW(Master!$A$2:$A$1001)-ROW(Master!$A$2)+1),17),"")</f>
      </c>
      <c r="P21">
        <f t="shared" si="1"/>
      </c>
    </row>
    <row r="22" spans="1:16" x14ac:dyDescent="0.25">
      <c r="A22">
        <f>IF($O22="","",INDEX(Master!$D$2:$D$1001,$O22))</f>
      </c>
      <c r="B22" s="236">
        <f>IF($O22="","",INDEX(Master!$B$2:$B$1001,$O22))</f>
      </c>
      <c r="C22">
        <f>IF($O22="","",INDEX(Master!$C$2:$C$1001,$O22))</f>
      </c>
      <c r="D22">
        <f>IF($O22="","",INDEX(Master!$A$2:$A$1001,$O22))</f>
      </c>
      <c r="E22">
        <f>IF($O22="","",INDEX(Master!$E$2:$E$1001,$O22))</f>
      </c>
      <c r="F22">
        <f>IF($O22="","",INDEX(Master!$F$2:$F$1001,$O22))</f>
      </c>
      <c r="G22">
        <f>IF($O22="","",INDEX(Master!$G$2:$G$1001,$O22))</f>
      </c>
      <c r="H22">
        <f>IF($O22="","",INDEX(Master!$H$2:$H$1001,$O22))</f>
      </c>
      <c r="I22">
        <f>IF($O22="","",INDEX(Master!$I$2:$I$1001,$O22))</f>
      </c>
      <c r="J22">
        <f>IF($O22="","",INDEX(Master!$J$2:$J$1001,$O22))</f>
      </c>
      <c r="K22">
        <f t="shared" si="0"/>
      </c>
      <c r="L22">
        <f>IF($O22="","",INDEX(Master!$K$2:$K$1001,$O22))</f>
      </c>
      <c r="M22">
        <f>IF($O22="","",INDEX(Master!$L$2:$L$1001,$O22))</f>
      </c>
      <c r="O22">
        <f t="array" ref="O22">IFERROR(SMALL(IF(Master!$A$2:$A$1001="SHREE RADHE",ROW(Master!$A$2:$A$1001)-ROW(Master!$A$2)+1),18),"")</f>
      </c>
      <c r="P22">
        <f t="shared" si="1"/>
      </c>
    </row>
    <row r="23" spans="1:16" x14ac:dyDescent="0.25">
      <c r="A23">
        <f>IF($O23="","",INDEX(Master!$D$2:$D$1001,$O23))</f>
      </c>
      <c r="B23" s="236">
        <f>IF($O23="","",INDEX(Master!$B$2:$B$1001,$O23))</f>
      </c>
      <c r="C23">
        <f>IF($O23="","",INDEX(Master!$C$2:$C$1001,$O23))</f>
      </c>
      <c r="D23">
        <f>IF($O23="","",INDEX(Master!$A$2:$A$1001,$O23))</f>
      </c>
      <c r="E23">
        <f>IF($O23="","",INDEX(Master!$E$2:$E$1001,$O23))</f>
      </c>
      <c r="F23">
        <f>IF($O23="","",INDEX(Master!$F$2:$F$1001,$O23))</f>
      </c>
      <c r="G23">
        <f>IF($O23="","",INDEX(Master!$G$2:$G$1001,$O23))</f>
      </c>
      <c r="H23">
        <f>IF($O23="","",INDEX(Master!$H$2:$H$1001,$O23))</f>
      </c>
      <c r="I23">
        <f>IF($O23="","",INDEX(Master!$I$2:$I$1001,$O23))</f>
      </c>
      <c r="J23">
        <f>IF($O23="","",INDEX(Master!$J$2:$J$1001,$O23))</f>
      </c>
      <c r="K23">
        <f t="shared" si="0"/>
      </c>
      <c r="L23">
        <f>IF($O23="","",INDEX(Master!$K$2:$K$1001,$O23))</f>
      </c>
      <c r="M23">
        <f>IF($O23="","",INDEX(Master!$L$2:$L$1001,$O23))</f>
      </c>
      <c r="O23">
        <f t="array" ref="O23">IFERROR(SMALL(IF(Master!$A$2:$A$1001="SHREE RADHE",ROW(Master!$A$2:$A$1001)-ROW(Master!$A$2)+1),19),"")</f>
      </c>
      <c r="P23">
        <f t="shared" si="1"/>
      </c>
    </row>
    <row r="24" spans="1:16" x14ac:dyDescent="0.25">
      <c r="A24">
        <f>IF($O24="","",INDEX(Master!$D$2:$D$1001,$O24))</f>
      </c>
      <c r="B24" s="236">
        <f>IF($O24="","",INDEX(Master!$B$2:$B$1001,$O24))</f>
      </c>
      <c r="C24">
        <f>IF($O24="","",INDEX(Master!$C$2:$C$1001,$O24))</f>
      </c>
      <c r="D24">
        <f>IF($O24="","",INDEX(Master!$A$2:$A$1001,$O24))</f>
      </c>
      <c r="E24">
        <f>IF($O24="","",INDEX(Master!$E$2:$E$1001,$O24))</f>
      </c>
      <c r="F24">
        <f>IF($O24="","",INDEX(Master!$F$2:$F$1001,$O24))</f>
      </c>
      <c r="G24">
        <f>IF($O24="","",INDEX(Master!$G$2:$G$1001,$O24))</f>
      </c>
      <c r="H24">
        <f>IF($O24="","",INDEX(Master!$H$2:$H$1001,$O24))</f>
      </c>
      <c r="I24">
        <f>IF($O24="","",INDEX(Master!$I$2:$I$1001,$O24))</f>
      </c>
      <c r="J24">
        <f>IF($O24="","",INDEX(Master!$J$2:$J$1001,$O24))</f>
      </c>
      <c r="K24">
        <f t="shared" si="0"/>
      </c>
      <c r="L24">
        <f>IF($O24="","",INDEX(Master!$K$2:$K$1001,$O24))</f>
      </c>
      <c r="M24">
        <f>IF($O24="","",INDEX(Master!$L$2:$L$1001,$O24))</f>
      </c>
      <c r="O24">
        <f t="array" ref="O24">IFERROR(SMALL(IF(Master!$A$2:$A$1001="SHREE RADHE",ROW(Master!$A$2:$A$1001)-ROW(Master!$A$2)+1),20),"")</f>
      </c>
      <c r="P24">
        <f t="shared" si="1"/>
      </c>
    </row>
    <row r="25" spans="1:16" x14ac:dyDescent="0.25">
      <c r="A25">
        <f>IF($O25="","",INDEX(Master!$D$2:$D$1001,$O25))</f>
      </c>
      <c r="B25" s="236">
        <f>IF($O25="","",INDEX(Master!$B$2:$B$1001,$O25))</f>
      </c>
      <c r="C25">
        <f>IF($O25="","",INDEX(Master!$C$2:$C$1001,$O25))</f>
      </c>
      <c r="D25">
        <f>IF($O25="","",INDEX(Master!$A$2:$A$1001,$O25))</f>
      </c>
      <c r="E25">
        <f>IF($O25="","",INDEX(Master!$E$2:$E$1001,$O25))</f>
      </c>
      <c r="F25">
        <f>IF($O25="","",INDEX(Master!$F$2:$F$1001,$O25))</f>
      </c>
      <c r="G25">
        <f>IF($O25="","",INDEX(Master!$G$2:$G$1001,$O25))</f>
      </c>
      <c r="H25">
        <f>IF($O25="","",INDEX(Master!$H$2:$H$1001,$O25))</f>
      </c>
      <c r="I25">
        <f>IF($O25="","",INDEX(Master!$I$2:$I$1001,$O25))</f>
      </c>
      <c r="J25">
        <f>IF($O25="","",INDEX(Master!$J$2:$J$1001,$O25))</f>
      </c>
      <c r="K25">
        <f t="shared" si="0"/>
      </c>
      <c r="L25">
        <f>IF($O25="","",INDEX(Master!$K$2:$K$1001,$O25))</f>
      </c>
      <c r="M25">
        <f>IF($O25="","",INDEX(Master!$L$2:$L$1001,$O25))</f>
      </c>
      <c r="O25">
        <f t="array" ref="O25">IFERROR(SMALL(IF(Master!$A$2:$A$1001="SHREE RADHE",ROW(Master!$A$2:$A$1001)-ROW(Master!$A$2)+1),21),"")</f>
      </c>
      <c r="P25">
        <f t="shared" si="1"/>
      </c>
    </row>
    <row r="26" spans="1:16" x14ac:dyDescent="0.25">
      <c r="A26">
        <f>IF($O26="","",INDEX(Master!$D$2:$D$1001,$O26))</f>
      </c>
      <c r="B26" s="236">
        <f>IF($O26="","",INDEX(Master!$B$2:$B$1001,$O26))</f>
      </c>
      <c r="C26">
        <f>IF($O26="","",INDEX(Master!$C$2:$C$1001,$O26))</f>
      </c>
      <c r="D26">
        <f>IF($O26="","",INDEX(Master!$A$2:$A$1001,$O26))</f>
      </c>
      <c r="E26">
        <f>IF($O26="","",INDEX(Master!$E$2:$E$1001,$O26))</f>
      </c>
      <c r="F26">
        <f>IF($O26="","",INDEX(Master!$F$2:$F$1001,$O26))</f>
      </c>
      <c r="G26">
        <f>IF($O26="","",INDEX(Master!$G$2:$G$1001,$O26))</f>
      </c>
      <c r="H26">
        <f>IF($O26="","",INDEX(Master!$H$2:$H$1001,$O26))</f>
      </c>
      <c r="I26">
        <f>IF($O26="","",INDEX(Master!$I$2:$I$1001,$O26))</f>
      </c>
      <c r="J26">
        <f>IF($O26="","",INDEX(Master!$J$2:$J$1001,$O26))</f>
      </c>
      <c r="K26">
        <f t="shared" si="0"/>
      </c>
      <c r="L26">
        <f>IF($O26="","",INDEX(Master!$K$2:$K$1001,$O26))</f>
      </c>
      <c r="M26">
        <f>IF($O26="","",INDEX(Master!$L$2:$L$1001,$O26))</f>
      </c>
      <c r="O26">
        <f t="array" ref="O26">IFERROR(SMALL(IF(Master!$A$2:$A$1001="SHREE RADHE",ROW(Master!$A$2:$A$1001)-ROW(Master!$A$2)+1),22),"")</f>
      </c>
      <c r="P26">
        <f t="shared" si="1"/>
      </c>
    </row>
    <row r="27" spans="1:16" x14ac:dyDescent="0.25">
      <c r="A27">
        <f>IF($O27="","",INDEX(Master!$D$2:$D$1001,$O27))</f>
      </c>
      <c r="B27" s="236">
        <f>IF($O27="","",INDEX(Master!$B$2:$B$1001,$O27))</f>
      </c>
      <c r="C27">
        <f>IF($O27="","",INDEX(Master!$C$2:$C$1001,$O27))</f>
      </c>
      <c r="D27">
        <f>IF($O27="","",INDEX(Master!$A$2:$A$1001,$O27))</f>
      </c>
      <c r="E27">
        <f>IF($O27="","",INDEX(Master!$E$2:$E$1001,$O27))</f>
      </c>
      <c r="F27">
        <f>IF($O27="","",INDEX(Master!$F$2:$F$1001,$O27))</f>
      </c>
      <c r="G27">
        <f>IF($O27="","",INDEX(Master!$G$2:$G$1001,$O27))</f>
      </c>
      <c r="H27">
        <f>IF($O27="","",INDEX(Master!$H$2:$H$1001,$O27))</f>
      </c>
      <c r="I27">
        <f>IF($O27="","",INDEX(Master!$I$2:$I$1001,$O27))</f>
      </c>
      <c r="J27">
        <f>IF($O27="","",INDEX(Master!$J$2:$J$1001,$O27))</f>
      </c>
      <c r="K27">
        <f t="shared" si="0"/>
      </c>
      <c r="L27">
        <f>IF($O27="","",INDEX(Master!$K$2:$K$1001,$O27))</f>
      </c>
      <c r="M27">
        <f>IF($O27="","",INDEX(Master!$L$2:$L$1001,$O27))</f>
      </c>
      <c r="O27">
        <f t="array" ref="O27">IFERROR(SMALL(IF(Master!$A$2:$A$1001="SHREE RADHE",ROW(Master!$A$2:$A$1001)-ROW(Master!$A$2)+1),23),"")</f>
      </c>
      <c r="P27">
        <f t="shared" si="1"/>
      </c>
    </row>
    <row r="28" spans="1:16" x14ac:dyDescent="0.25">
      <c r="A28">
        <f>IF($O28="","",INDEX(Master!$D$2:$D$1001,$O28))</f>
      </c>
      <c r="B28" s="236">
        <f>IF($O28="","",INDEX(Master!$B$2:$B$1001,$O28))</f>
      </c>
      <c r="C28">
        <f>IF($O28="","",INDEX(Master!$C$2:$C$1001,$O28))</f>
      </c>
      <c r="D28">
        <f>IF($O28="","",INDEX(Master!$A$2:$A$1001,$O28))</f>
      </c>
      <c r="E28">
        <f>IF($O28="","",INDEX(Master!$E$2:$E$1001,$O28))</f>
      </c>
      <c r="F28">
        <f>IF($O28="","",INDEX(Master!$F$2:$F$1001,$O28))</f>
      </c>
      <c r="G28">
        <f>IF($O28="","",INDEX(Master!$G$2:$G$1001,$O28))</f>
      </c>
      <c r="H28">
        <f>IF($O28="","",INDEX(Master!$H$2:$H$1001,$O28))</f>
      </c>
      <c r="I28">
        <f>IF($O28="","",INDEX(Master!$I$2:$I$1001,$O28))</f>
      </c>
      <c r="J28">
        <f>IF($O28="","",INDEX(Master!$J$2:$J$1001,$O28))</f>
      </c>
      <c r="K28">
        <f t="shared" si="0"/>
      </c>
      <c r="L28">
        <f>IF($O28="","",INDEX(Master!$K$2:$K$1001,$O28))</f>
      </c>
      <c r="M28">
        <f>IF($O28="","",INDEX(Master!$L$2:$L$1001,$O28))</f>
      </c>
      <c r="O28">
        <f t="array" ref="O28">IFERROR(SMALL(IF(Master!$A$2:$A$1001="SHREE RADHE",ROW(Master!$A$2:$A$1001)-ROW(Master!$A$2)+1),24),"")</f>
      </c>
      <c r="P28">
        <f t="shared" si="1"/>
      </c>
    </row>
    <row r="29" spans="1:16" x14ac:dyDescent="0.25">
      <c r="A29">
        <f>IF($O29="","",INDEX(Master!$D$2:$D$1001,$O29))</f>
      </c>
      <c r="B29" s="236">
        <f>IF($O29="","",INDEX(Master!$B$2:$B$1001,$O29))</f>
      </c>
      <c r="C29">
        <f>IF($O29="","",INDEX(Master!$C$2:$C$1001,$O29))</f>
      </c>
      <c r="D29">
        <f>IF($O29="","",INDEX(Master!$A$2:$A$1001,$O29))</f>
      </c>
      <c r="E29">
        <f>IF($O29="","",INDEX(Master!$E$2:$E$1001,$O29))</f>
      </c>
      <c r="F29">
        <f>IF($O29="","",INDEX(Master!$F$2:$F$1001,$O29))</f>
      </c>
      <c r="G29">
        <f>IF($O29="","",INDEX(Master!$G$2:$G$1001,$O29))</f>
      </c>
      <c r="H29">
        <f>IF($O29="","",INDEX(Master!$H$2:$H$1001,$O29))</f>
      </c>
      <c r="I29">
        <f>IF($O29="","",INDEX(Master!$I$2:$I$1001,$O29))</f>
      </c>
      <c r="J29">
        <f>IF($O29="","",INDEX(Master!$J$2:$J$1001,$O29))</f>
      </c>
      <c r="K29">
        <f t="shared" si="0"/>
      </c>
      <c r="L29">
        <f>IF($O29="","",INDEX(Master!$K$2:$K$1001,$O29))</f>
      </c>
      <c r="M29">
        <f>IF($O29="","",INDEX(Master!$L$2:$L$1001,$O29))</f>
      </c>
      <c r="O29">
        <f t="array" ref="O29">IFERROR(SMALL(IF(Master!$A$2:$A$1001="SHREE RADHE",ROW(Master!$A$2:$A$1001)-ROW(Master!$A$2)+1),25),"")</f>
      </c>
      <c r="P29">
        <f t="shared" si="1"/>
      </c>
    </row>
    <row r="30" spans="1:16" x14ac:dyDescent="0.25">
      <c r="A30">
        <f>IF($O30="","",INDEX(Master!$D$2:$D$1001,$O30))</f>
      </c>
      <c r="B30" s="236">
        <f>IF($O30="","",INDEX(Master!$B$2:$B$1001,$O30))</f>
      </c>
      <c r="C30">
        <f>IF($O30="","",INDEX(Master!$C$2:$C$1001,$O30))</f>
      </c>
      <c r="D30">
        <f>IF($O30="","",INDEX(Master!$A$2:$A$1001,$O30))</f>
      </c>
      <c r="E30">
        <f>IF($O30="","",INDEX(Master!$E$2:$E$1001,$O30))</f>
      </c>
      <c r="F30">
        <f>IF($O30="","",INDEX(Master!$F$2:$F$1001,$O30))</f>
      </c>
      <c r="G30">
        <f>IF($O30="","",INDEX(Master!$G$2:$G$1001,$O30))</f>
      </c>
      <c r="H30">
        <f>IF($O30="","",INDEX(Master!$H$2:$H$1001,$O30))</f>
      </c>
      <c r="I30">
        <f>IF($O30="","",INDEX(Master!$I$2:$I$1001,$O30))</f>
      </c>
      <c r="J30">
        <f>IF($O30="","",INDEX(Master!$J$2:$J$1001,$O30))</f>
      </c>
      <c r="K30">
        <f t="shared" si="0"/>
      </c>
      <c r="L30">
        <f>IF($O30="","",INDEX(Master!$K$2:$K$1001,$O30))</f>
      </c>
      <c r="M30">
        <f>IF($O30="","",INDEX(Master!$L$2:$L$1001,$O30))</f>
      </c>
      <c r="O30">
        <f t="array" ref="O30">IFERROR(SMALL(IF(Master!$A$2:$A$1001="SHREE RADHE",ROW(Master!$A$2:$A$1001)-ROW(Master!$A$2)+1),26),"")</f>
      </c>
      <c r="P30">
        <f t="shared" si="1"/>
      </c>
    </row>
    <row r="31" spans="1:16" x14ac:dyDescent="0.25">
      <c r="A31">
        <f>IF($O31="","",INDEX(Master!$D$2:$D$1001,$O31))</f>
      </c>
      <c r="B31" s="236">
        <f>IF($O31="","",INDEX(Master!$B$2:$B$1001,$O31))</f>
      </c>
      <c r="C31">
        <f>IF($O31="","",INDEX(Master!$C$2:$C$1001,$O31))</f>
      </c>
      <c r="D31">
        <f>IF($O31="","",INDEX(Master!$A$2:$A$1001,$O31))</f>
      </c>
      <c r="E31">
        <f>IF($O31="","",INDEX(Master!$E$2:$E$1001,$O31))</f>
      </c>
      <c r="F31">
        <f>IF($O31="","",INDEX(Master!$F$2:$F$1001,$O31))</f>
      </c>
      <c r="G31">
        <f>IF($O31="","",INDEX(Master!$G$2:$G$1001,$O31))</f>
      </c>
      <c r="H31">
        <f>IF($O31="","",INDEX(Master!$H$2:$H$1001,$O31))</f>
      </c>
      <c r="I31">
        <f>IF($O31="","",INDEX(Master!$I$2:$I$1001,$O31))</f>
      </c>
      <c r="J31">
        <f>IF($O31="","",INDEX(Master!$J$2:$J$1001,$O31))</f>
      </c>
      <c r="K31">
        <f t="shared" si="0"/>
      </c>
      <c r="L31">
        <f>IF($O31="","",INDEX(Master!$K$2:$K$1001,$O31))</f>
      </c>
      <c r="M31">
        <f>IF($O31="","",INDEX(Master!$L$2:$L$1001,$O31))</f>
      </c>
      <c r="O31">
        <f t="array" ref="O31">IFERROR(SMALL(IF(Master!$A$2:$A$1001="SHREE RADHE",ROW(Master!$A$2:$A$1001)-ROW(Master!$A$2)+1),27),"")</f>
      </c>
      <c r="P31">
        <f t="shared" si="1"/>
      </c>
    </row>
    <row r="32" spans="1:16" x14ac:dyDescent="0.25">
      <c r="A32">
        <f>IF($O32="","",INDEX(Master!$D$2:$D$1001,$O32))</f>
      </c>
      <c r="B32" s="236">
        <f>IF($O32="","",INDEX(Master!$B$2:$B$1001,$O32))</f>
      </c>
      <c r="C32">
        <f>IF($O32="","",INDEX(Master!$C$2:$C$1001,$O32))</f>
      </c>
      <c r="D32">
        <f>IF($O32="","",INDEX(Master!$A$2:$A$1001,$O32))</f>
      </c>
      <c r="E32">
        <f>IF($O32="","",INDEX(Master!$E$2:$E$1001,$O32))</f>
      </c>
      <c r="F32">
        <f>IF($O32="","",INDEX(Master!$F$2:$F$1001,$O32))</f>
      </c>
      <c r="G32">
        <f>IF($O32="","",INDEX(Master!$G$2:$G$1001,$O32))</f>
      </c>
      <c r="H32">
        <f>IF($O32="","",INDEX(Master!$H$2:$H$1001,$O32))</f>
      </c>
      <c r="I32">
        <f>IF($O32="","",INDEX(Master!$I$2:$I$1001,$O32))</f>
      </c>
      <c r="J32">
        <f>IF($O32="","",INDEX(Master!$J$2:$J$1001,$O32))</f>
      </c>
      <c r="K32">
        <f t="shared" si="0"/>
      </c>
      <c r="L32">
        <f>IF($O32="","",INDEX(Master!$K$2:$K$1001,$O32))</f>
      </c>
      <c r="M32">
        <f>IF($O32="","",INDEX(Master!$L$2:$L$1001,$O32))</f>
      </c>
      <c r="O32">
        <f t="array" ref="O32">IFERROR(SMALL(IF(Master!$A$2:$A$1001="SHREE RADHE",ROW(Master!$A$2:$A$1001)-ROW(Master!$A$2)+1),28),"")</f>
      </c>
      <c r="P32">
        <f t="shared" si="1"/>
      </c>
    </row>
    <row r="33" spans="1:16" x14ac:dyDescent="0.25">
      <c r="A33">
        <f>IF($O33="","",INDEX(Master!$D$2:$D$1001,$O33))</f>
      </c>
      <c r="B33" s="236">
        <f>IF($O33="","",INDEX(Master!$B$2:$B$1001,$O33))</f>
      </c>
      <c r="C33">
        <f>IF($O33="","",INDEX(Master!$C$2:$C$1001,$O33))</f>
      </c>
      <c r="D33">
        <f>IF($O33="","",INDEX(Master!$A$2:$A$1001,$O33))</f>
      </c>
      <c r="E33">
        <f>IF($O33="","",INDEX(Master!$E$2:$E$1001,$O33))</f>
      </c>
      <c r="F33">
        <f>IF($O33="","",INDEX(Master!$F$2:$F$1001,$O33))</f>
      </c>
      <c r="G33">
        <f>IF($O33="","",INDEX(Master!$G$2:$G$1001,$O33))</f>
      </c>
      <c r="H33">
        <f>IF($O33="","",INDEX(Master!$H$2:$H$1001,$O33))</f>
      </c>
      <c r="I33">
        <f>IF($O33="","",INDEX(Master!$I$2:$I$1001,$O33))</f>
      </c>
      <c r="J33">
        <f>IF($O33="","",INDEX(Master!$J$2:$J$1001,$O33))</f>
      </c>
      <c r="K33">
        <f t="shared" si="0"/>
      </c>
      <c r="L33">
        <f>IF($O33="","",INDEX(Master!$K$2:$K$1001,$O33))</f>
      </c>
      <c r="M33">
        <f>IF($O33="","",INDEX(Master!$L$2:$L$1001,$O33))</f>
      </c>
      <c r="O33">
        <f t="array" ref="O33">IFERROR(SMALL(IF(Master!$A$2:$A$1001="SHREE RADHE",ROW(Master!$A$2:$A$1001)-ROW(Master!$A$2)+1),29),"")</f>
      </c>
      <c r="P33">
        <f t="shared" si="1"/>
      </c>
    </row>
    <row r="34" spans="1:16" x14ac:dyDescent="0.25">
      <c r="A34">
        <f>IF($O34="","",INDEX(Master!$D$2:$D$1001,$O34))</f>
      </c>
      <c r="B34" s="236">
        <f>IF($O34="","",INDEX(Master!$B$2:$B$1001,$O34))</f>
      </c>
      <c r="C34">
        <f>IF($O34="","",INDEX(Master!$C$2:$C$1001,$O34))</f>
      </c>
      <c r="D34">
        <f>IF($O34="","",INDEX(Master!$A$2:$A$1001,$O34))</f>
      </c>
      <c r="E34">
        <f>IF($O34="","",INDEX(Master!$E$2:$E$1001,$O34))</f>
      </c>
      <c r="F34">
        <f>IF($O34="","",INDEX(Master!$F$2:$F$1001,$O34))</f>
      </c>
      <c r="G34">
        <f>IF($O34="","",INDEX(Master!$G$2:$G$1001,$O34))</f>
      </c>
      <c r="H34">
        <f>IF($O34="","",INDEX(Master!$H$2:$H$1001,$O34))</f>
      </c>
      <c r="I34">
        <f>IF($O34="","",INDEX(Master!$I$2:$I$1001,$O34))</f>
      </c>
      <c r="J34">
        <f>IF($O34="","",INDEX(Master!$J$2:$J$1001,$O34))</f>
      </c>
      <c r="K34">
        <f t="shared" si="0"/>
      </c>
      <c r="L34">
        <f>IF($O34="","",INDEX(Master!$K$2:$K$1001,$O34))</f>
      </c>
      <c r="M34">
        <f>IF($O34="","",INDEX(Master!$L$2:$L$1001,$O34))</f>
      </c>
      <c r="O34">
        <f t="array" ref="O34">IFERROR(SMALL(IF(Master!$A$2:$A$1001="SHREE RADHE",ROW(Master!$A$2:$A$1001)-ROW(Master!$A$2)+1),30),"")</f>
      </c>
      <c r="P34">
        <f t="shared" si="1"/>
      </c>
    </row>
    <row r="35" spans="1:16" x14ac:dyDescent="0.25">
      <c r="A35">
        <f>IF($O35="","",INDEX(Master!$D$2:$D$1001,$O35))</f>
      </c>
      <c r="B35" s="236">
        <f>IF($O35="","",INDEX(Master!$B$2:$B$1001,$O35))</f>
      </c>
      <c r="C35">
        <f>IF($O35="","",INDEX(Master!$C$2:$C$1001,$O35))</f>
      </c>
      <c r="D35">
        <f>IF($O35="","",INDEX(Master!$A$2:$A$1001,$O35))</f>
      </c>
      <c r="E35">
        <f>IF($O35="","",INDEX(Master!$E$2:$E$1001,$O35))</f>
      </c>
      <c r="F35">
        <f>IF($O35="","",INDEX(Master!$F$2:$F$1001,$O35))</f>
      </c>
      <c r="G35">
        <f>IF($O35="","",INDEX(Master!$G$2:$G$1001,$O35))</f>
      </c>
      <c r="H35">
        <f>IF($O35="","",INDEX(Master!$H$2:$H$1001,$O35))</f>
      </c>
      <c r="I35">
        <f>IF($O35="","",INDEX(Master!$I$2:$I$1001,$O35))</f>
      </c>
      <c r="J35">
        <f>IF($O35="","",INDEX(Master!$J$2:$J$1001,$O35))</f>
      </c>
      <c r="K35">
        <f t="shared" si="0"/>
      </c>
      <c r="L35">
        <f>IF($O35="","",INDEX(Master!$K$2:$K$1001,$O35))</f>
      </c>
      <c r="M35">
        <f>IF($O35="","",INDEX(Master!$L$2:$L$1001,$O35))</f>
      </c>
      <c r="O35">
        <f t="array" ref="O35">IFERROR(SMALL(IF(Master!$A$2:$A$1001="SHREE RADHE",ROW(Master!$A$2:$A$1001)-ROW(Master!$A$2)+1),31),"")</f>
      </c>
      <c r="P35">
        <f t="shared" si="1"/>
      </c>
    </row>
    <row r="36" spans="1:16" x14ac:dyDescent="0.25">
      <c r="A36">
        <f>IF($O36="","",INDEX(Master!$D$2:$D$1001,$O36))</f>
      </c>
      <c r="B36" s="236">
        <f>IF($O36="","",INDEX(Master!$B$2:$B$1001,$O36))</f>
      </c>
      <c r="C36">
        <f>IF($O36="","",INDEX(Master!$C$2:$C$1001,$O36))</f>
      </c>
      <c r="D36">
        <f>IF($O36="","",INDEX(Master!$A$2:$A$1001,$O36))</f>
      </c>
      <c r="E36">
        <f>IF($O36="","",INDEX(Master!$E$2:$E$1001,$O36))</f>
      </c>
      <c r="F36">
        <f>IF($O36="","",INDEX(Master!$F$2:$F$1001,$O36))</f>
      </c>
      <c r="G36">
        <f>IF($O36="","",INDEX(Master!$G$2:$G$1001,$O36))</f>
      </c>
      <c r="H36">
        <f>IF($O36="","",INDEX(Master!$H$2:$H$1001,$O36))</f>
      </c>
      <c r="I36">
        <f>IF($O36="","",INDEX(Master!$I$2:$I$1001,$O36))</f>
      </c>
      <c r="J36">
        <f>IF($O36="","",INDEX(Master!$J$2:$J$1001,$O36))</f>
      </c>
      <c r="K36">
        <f t="shared" si="0"/>
      </c>
      <c r="L36">
        <f>IF($O36="","",INDEX(Master!$K$2:$K$1001,$O36))</f>
      </c>
      <c r="M36">
        <f>IF($O36="","",INDEX(Master!$L$2:$L$1001,$O36))</f>
      </c>
      <c r="O36">
        <f t="array" ref="O36">IFERROR(SMALL(IF(Master!$A$2:$A$1001="SHREE RADHE",ROW(Master!$A$2:$A$1001)-ROW(Master!$A$2)+1),32),"")</f>
      </c>
      <c r="P36">
        <f t="shared" si="1"/>
      </c>
    </row>
    <row r="37" spans="1:16" x14ac:dyDescent="0.25">
      <c r="A37">
        <f>IF($O37="","",INDEX(Master!$D$2:$D$1001,$O37))</f>
      </c>
      <c r="B37" s="236">
        <f>IF($O37="","",INDEX(Master!$B$2:$B$1001,$O37))</f>
      </c>
      <c r="C37">
        <f>IF($O37="","",INDEX(Master!$C$2:$C$1001,$O37))</f>
      </c>
      <c r="D37">
        <f>IF($O37="","",INDEX(Master!$A$2:$A$1001,$O37))</f>
      </c>
      <c r="E37">
        <f>IF($O37="","",INDEX(Master!$E$2:$E$1001,$O37))</f>
      </c>
      <c r="F37">
        <f>IF($O37="","",INDEX(Master!$F$2:$F$1001,$O37))</f>
      </c>
      <c r="G37">
        <f>IF($O37="","",INDEX(Master!$G$2:$G$1001,$O37))</f>
      </c>
      <c r="H37">
        <f>IF($O37="","",INDEX(Master!$H$2:$H$1001,$O37))</f>
      </c>
      <c r="I37">
        <f>IF($O37="","",INDEX(Master!$I$2:$I$1001,$O37))</f>
      </c>
      <c r="J37">
        <f>IF($O37="","",INDEX(Master!$J$2:$J$1001,$O37))</f>
      </c>
      <c r="K37">
        <f t="shared" si="0"/>
      </c>
      <c r="L37">
        <f>IF($O37="","",INDEX(Master!$K$2:$K$1001,$O37))</f>
      </c>
      <c r="M37">
        <f>IF($O37="","",INDEX(Master!$L$2:$L$1001,$O37))</f>
      </c>
      <c r="O37">
        <f t="array" ref="O37">IFERROR(SMALL(IF(Master!$A$2:$A$1001="SHREE RADHE",ROW(Master!$A$2:$A$1001)-ROW(Master!$A$2)+1),33),"")</f>
      </c>
      <c r="P37">
        <f t="shared" si="1"/>
      </c>
    </row>
    <row r="38" spans="1:16" x14ac:dyDescent="0.25">
      <c r="A38">
        <f>IF($O38="","",INDEX(Master!$D$2:$D$1001,$O38))</f>
      </c>
      <c r="B38" s="236">
        <f>IF($O38="","",INDEX(Master!$B$2:$B$1001,$O38))</f>
      </c>
      <c r="C38">
        <f>IF($O38="","",INDEX(Master!$C$2:$C$1001,$O38))</f>
      </c>
      <c r="D38">
        <f>IF($O38="","",INDEX(Master!$A$2:$A$1001,$O38))</f>
      </c>
      <c r="E38">
        <f>IF($O38="","",INDEX(Master!$E$2:$E$1001,$O38))</f>
      </c>
      <c r="F38">
        <f>IF($O38="","",INDEX(Master!$F$2:$F$1001,$O38))</f>
      </c>
      <c r="G38">
        <f>IF($O38="","",INDEX(Master!$G$2:$G$1001,$O38))</f>
      </c>
      <c r="H38">
        <f>IF($O38="","",INDEX(Master!$H$2:$H$1001,$O38))</f>
      </c>
      <c r="I38">
        <f>IF($O38="","",INDEX(Master!$I$2:$I$1001,$O38))</f>
      </c>
      <c r="J38">
        <f>IF($O38="","",INDEX(Master!$J$2:$J$1001,$O38))</f>
      </c>
      <c r="K38">
        <f t="shared" si="0"/>
      </c>
      <c r="L38">
        <f>IF($O38="","",INDEX(Master!$K$2:$K$1001,$O38))</f>
      </c>
      <c r="M38">
        <f>IF($O38="","",INDEX(Master!$L$2:$L$1001,$O38))</f>
      </c>
      <c r="O38">
        <f t="array" ref="O38">IFERROR(SMALL(IF(Master!$A$2:$A$1001="SHREE RADHE",ROW(Master!$A$2:$A$1001)-ROW(Master!$A$2)+1),34),"")</f>
      </c>
      <c r="P38">
        <f t="shared" si="1"/>
      </c>
    </row>
    <row r="39" spans="1:16" x14ac:dyDescent="0.25">
      <c r="A39">
        <f>IF($O39="","",INDEX(Master!$D$2:$D$1001,$O39))</f>
      </c>
      <c r="B39" s="236">
        <f>IF($O39="","",INDEX(Master!$B$2:$B$1001,$O39))</f>
      </c>
      <c r="C39">
        <f>IF($O39="","",INDEX(Master!$C$2:$C$1001,$O39))</f>
      </c>
      <c r="D39">
        <f>IF($O39="","",INDEX(Master!$A$2:$A$1001,$O39))</f>
      </c>
      <c r="E39">
        <f>IF($O39="","",INDEX(Master!$E$2:$E$1001,$O39))</f>
      </c>
      <c r="F39">
        <f>IF($O39="","",INDEX(Master!$F$2:$F$1001,$O39))</f>
      </c>
      <c r="G39">
        <f>IF($O39="","",INDEX(Master!$G$2:$G$1001,$O39))</f>
      </c>
      <c r="H39">
        <f>IF($O39="","",INDEX(Master!$H$2:$H$1001,$O39))</f>
      </c>
      <c r="I39">
        <f>IF($O39="","",INDEX(Master!$I$2:$I$1001,$O39))</f>
      </c>
      <c r="J39">
        <f>IF($O39="","",INDEX(Master!$J$2:$J$1001,$O39))</f>
      </c>
      <c r="K39">
        <f t="shared" si="0"/>
      </c>
      <c r="L39">
        <f>IF($O39="","",INDEX(Master!$K$2:$K$1001,$O39))</f>
      </c>
      <c r="M39">
        <f>IF($O39="","",INDEX(Master!$L$2:$L$1001,$O39))</f>
      </c>
      <c r="O39">
        <f t="array" ref="O39">IFERROR(SMALL(IF(Master!$A$2:$A$1001="SHREE RADHE",ROW(Master!$A$2:$A$1001)-ROW(Master!$A$2)+1),35),"")</f>
      </c>
      <c r="P39">
        <f t="shared" si="1"/>
      </c>
    </row>
    <row r="40" spans="1:16" x14ac:dyDescent="0.25">
      <c r="A40">
        <f>IF($O40="","",INDEX(Master!$D$2:$D$1001,$O40))</f>
      </c>
      <c r="B40" s="236">
        <f>IF($O40="","",INDEX(Master!$B$2:$B$1001,$O40))</f>
      </c>
      <c r="C40">
        <f>IF($O40="","",INDEX(Master!$C$2:$C$1001,$O40))</f>
      </c>
      <c r="D40">
        <f>IF($O40="","",INDEX(Master!$A$2:$A$1001,$O40))</f>
      </c>
      <c r="E40">
        <f>IF($O40="","",INDEX(Master!$E$2:$E$1001,$O40))</f>
      </c>
      <c r="F40">
        <f>IF($O40="","",INDEX(Master!$F$2:$F$1001,$O40))</f>
      </c>
      <c r="G40">
        <f>IF($O40="","",INDEX(Master!$G$2:$G$1001,$O40))</f>
      </c>
      <c r="H40">
        <f>IF($O40="","",INDEX(Master!$H$2:$H$1001,$O40))</f>
      </c>
      <c r="I40">
        <f>IF($O40="","",INDEX(Master!$I$2:$I$1001,$O40))</f>
      </c>
      <c r="J40">
        <f>IF($O40="","",INDEX(Master!$J$2:$J$1001,$O40))</f>
      </c>
      <c r="K40">
        <f t="shared" si="0"/>
      </c>
      <c r="L40">
        <f>IF($O40="","",INDEX(Master!$K$2:$K$1001,$O40))</f>
      </c>
      <c r="M40">
        <f>IF($O40="","",INDEX(Master!$L$2:$L$1001,$O40))</f>
      </c>
      <c r="O40">
        <f t="array" ref="O40">IFERROR(SMALL(IF(Master!$A$2:$A$1001="SHREE RADHE",ROW(Master!$A$2:$A$1001)-ROW(Master!$A$2)+1),36),"")</f>
      </c>
      <c r="P40">
        <f t="shared" si="1"/>
      </c>
    </row>
    <row r="41" spans="1:16" x14ac:dyDescent="0.25">
      <c r="A41">
        <f>IF($O41="","",INDEX(Master!$D$2:$D$1001,$O41))</f>
      </c>
      <c r="B41" s="236">
        <f>IF($O41="","",INDEX(Master!$B$2:$B$1001,$O41))</f>
      </c>
      <c r="C41">
        <f>IF($O41="","",INDEX(Master!$C$2:$C$1001,$O41))</f>
      </c>
      <c r="D41">
        <f>IF($O41="","",INDEX(Master!$A$2:$A$1001,$O41))</f>
      </c>
      <c r="E41">
        <f>IF($O41="","",INDEX(Master!$E$2:$E$1001,$O41))</f>
      </c>
      <c r="F41">
        <f>IF($O41="","",INDEX(Master!$F$2:$F$1001,$O41))</f>
      </c>
      <c r="G41">
        <f>IF($O41="","",INDEX(Master!$G$2:$G$1001,$O41))</f>
      </c>
      <c r="H41">
        <f>IF($O41="","",INDEX(Master!$H$2:$H$1001,$O41))</f>
      </c>
      <c r="I41">
        <f>IF($O41="","",INDEX(Master!$I$2:$I$1001,$O41))</f>
      </c>
      <c r="J41">
        <f>IF($O41="","",INDEX(Master!$J$2:$J$1001,$O41))</f>
      </c>
      <c r="K41">
        <f t="shared" si="0"/>
      </c>
      <c r="L41">
        <f>IF($O41="","",INDEX(Master!$K$2:$K$1001,$O41))</f>
      </c>
      <c r="M41">
        <f>IF($O41="","",INDEX(Master!$L$2:$L$1001,$O41))</f>
      </c>
      <c r="O41">
        <f t="array" ref="O41">IFERROR(SMALL(IF(Master!$A$2:$A$1001="SHREE RADHE",ROW(Master!$A$2:$A$1001)-ROW(Master!$A$2)+1),37),"")</f>
      </c>
      <c r="P41">
        <f t="shared" si="1"/>
      </c>
    </row>
    <row r="42" spans="1:16" x14ac:dyDescent="0.25">
      <c r="A42">
        <f>IF($O42="","",INDEX(Master!$D$2:$D$1001,$O42))</f>
      </c>
      <c r="B42" s="236">
        <f>IF($O42="","",INDEX(Master!$B$2:$B$1001,$O42))</f>
      </c>
      <c r="C42">
        <f>IF($O42="","",INDEX(Master!$C$2:$C$1001,$O42))</f>
      </c>
      <c r="D42">
        <f>IF($O42="","",INDEX(Master!$A$2:$A$1001,$O42))</f>
      </c>
      <c r="E42">
        <f>IF($O42="","",INDEX(Master!$E$2:$E$1001,$O42))</f>
      </c>
      <c r="F42">
        <f>IF($O42="","",INDEX(Master!$F$2:$F$1001,$O42))</f>
      </c>
      <c r="G42">
        <f>IF($O42="","",INDEX(Master!$G$2:$G$1001,$O42))</f>
      </c>
      <c r="H42">
        <f>IF($O42="","",INDEX(Master!$H$2:$H$1001,$O42))</f>
      </c>
      <c r="I42">
        <f>IF($O42="","",INDEX(Master!$I$2:$I$1001,$O42))</f>
      </c>
      <c r="J42">
        <f>IF($O42="","",INDEX(Master!$J$2:$J$1001,$O42))</f>
      </c>
      <c r="K42">
        <f t="shared" si="0"/>
      </c>
      <c r="L42">
        <f>IF($O42="","",INDEX(Master!$K$2:$K$1001,$O42))</f>
      </c>
      <c r="M42">
        <f>IF($O42="","",INDEX(Master!$L$2:$L$1001,$O42))</f>
      </c>
      <c r="O42">
        <f t="array" ref="O42">IFERROR(SMALL(IF(Master!$A$2:$A$1001="SHREE RADHE",ROW(Master!$A$2:$A$1001)-ROW(Master!$A$2)+1),38),"")</f>
      </c>
      <c r="P42">
        <f t="shared" si="1"/>
      </c>
    </row>
    <row r="43" spans="1:16" x14ac:dyDescent="0.25">
      <c r="A43">
        <f>IF($O43="","",INDEX(Master!$D$2:$D$1001,$O43))</f>
      </c>
      <c r="B43" s="236">
        <f>IF($O43="","",INDEX(Master!$B$2:$B$1001,$O43))</f>
      </c>
      <c r="C43">
        <f>IF($O43="","",INDEX(Master!$C$2:$C$1001,$O43))</f>
      </c>
      <c r="D43">
        <f>IF($O43="","",INDEX(Master!$A$2:$A$1001,$O43))</f>
      </c>
      <c r="E43">
        <f>IF($O43="","",INDEX(Master!$E$2:$E$1001,$O43))</f>
      </c>
      <c r="F43">
        <f>IF($O43="","",INDEX(Master!$F$2:$F$1001,$O43))</f>
      </c>
      <c r="G43">
        <f>IF($O43="","",INDEX(Master!$G$2:$G$1001,$O43))</f>
      </c>
      <c r="H43">
        <f>IF($O43="","",INDEX(Master!$H$2:$H$1001,$O43))</f>
      </c>
      <c r="I43">
        <f>IF($O43="","",INDEX(Master!$I$2:$I$1001,$O43))</f>
      </c>
      <c r="J43">
        <f>IF($O43="","",INDEX(Master!$J$2:$J$1001,$O43))</f>
      </c>
      <c r="K43">
        <f t="shared" si="0"/>
      </c>
      <c r="L43">
        <f>IF($O43="","",INDEX(Master!$K$2:$K$1001,$O43))</f>
      </c>
      <c r="M43">
        <f>IF($O43="","",INDEX(Master!$L$2:$L$1001,$O43))</f>
      </c>
      <c r="O43">
        <f t="array" ref="O43">IFERROR(SMALL(IF(Master!$A$2:$A$1001="SHREE RADHE",ROW(Master!$A$2:$A$1001)-ROW(Master!$A$2)+1),39),"")</f>
      </c>
      <c r="P43">
        <f t="shared" si="1"/>
      </c>
    </row>
    <row r="44" spans="1:16" x14ac:dyDescent="0.25">
      <c r="A44">
        <f>IF($O44="","",INDEX(Master!$D$2:$D$1001,$O44))</f>
      </c>
      <c r="B44" s="236">
        <f>IF($O44="","",INDEX(Master!$B$2:$B$1001,$O44))</f>
      </c>
      <c r="C44">
        <f>IF($O44="","",INDEX(Master!$C$2:$C$1001,$O44))</f>
      </c>
      <c r="D44">
        <f>IF($O44="","",INDEX(Master!$A$2:$A$1001,$O44))</f>
      </c>
      <c r="E44">
        <f>IF($O44="","",INDEX(Master!$E$2:$E$1001,$O44))</f>
      </c>
      <c r="F44">
        <f>IF($O44="","",INDEX(Master!$F$2:$F$1001,$O44))</f>
      </c>
      <c r="G44">
        <f>IF($O44="","",INDEX(Master!$G$2:$G$1001,$O44))</f>
      </c>
      <c r="H44">
        <f>IF($O44="","",INDEX(Master!$H$2:$H$1001,$O44))</f>
      </c>
      <c r="I44">
        <f>IF($O44="","",INDEX(Master!$I$2:$I$1001,$O44))</f>
      </c>
      <c r="J44">
        <f>IF($O44="","",INDEX(Master!$J$2:$J$1001,$O44))</f>
      </c>
      <c r="K44">
        <f t="shared" si="0"/>
      </c>
      <c r="L44">
        <f>IF($O44="","",INDEX(Master!$K$2:$K$1001,$O44))</f>
      </c>
      <c r="M44">
        <f>IF($O44="","",INDEX(Master!$L$2:$L$1001,$O44))</f>
      </c>
      <c r="O44">
        <f t="array" ref="O44">IFERROR(SMALL(IF(Master!$A$2:$A$1001="SHREE RADHE",ROW(Master!$A$2:$A$1001)-ROW(Master!$A$2)+1),40),"")</f>
      </c>
      <c r="P44">
        <f t="shared" si="1"/>
      </c>
    </row>
    <row r="45" spans="1:16" x14ac:dyDescent="0.25">
      <c r="A45">
        <f>IF($O45="","",INDEX(Master!$D$2:$D$1001,$O45))</f>
      </c>
      <c r="B45" s="236">
        <f>IF($O45="","",INDEX(Master!$B$2:$B$1001,$O45))</f>
      </c>
      <c r="C45">
        <f>IF($O45="","",INDEX(Master!$C$2:$C$1001,$O45))</f>
      </c>
      <c r="D45">
        <f>IF($O45="","",INDEX(Master!$A$2:$A$1001,$O45))</f>
      </c>
      <c r="E45">
        <f>IF($O45="","",INDEX(Master!$E$2:$E$1001,$O45))</f>
      </c>
      <c r="F45">
        <f>IF($O45="","",INDEX(Master!$F$2:$F$1001,$O45))</f>
      </c>
      <c r="G45">
        <f>IF($O45="","",INDEX(Master!$G$2:$G$1001,$O45))</f>
      </c>
      <c r="H45">
        <f>IF($O45="","",INDEX(Master!$H$2:$H$1001,$O45))</f>
      </c>
      <c r="I45">
        <f>IF($O45="","",INDEX(Master!$I$2:$I$1001,$O45))</f>
      </c>
      <c r="J45">
        <f>IF($O45="","",INDEX(Master!$J$2:$J$1001,$O45))</f>
      </c>
      <c r="K45">
        <f t="shared" si="0"/>
      </c>
      <c r="L45">
        <f>IF($O45="","",INDEX(Master!$K$2:$K$1001,$O45))</f>
      </c>
      <c r="M45">
        <f>IF($O45="","",INDEX(Master!$L$2:$L$1001,$O45))</f>
      </c>
      <c r="O45">
        <f t="array" ref="O45">IFERROR(SMALL(IF(Master!$A$2:$A$1001="SHREE RADHE",ROW(Master!$A$2:$A$1001)-ROW(Master!$A$2)+1),41),"")</f>
      </c>
      <c r="P45">
        <f t="shared" si="1"/>
      </c>
    </row>
    <row r="46" spans="1:16" x14ac:dyDescent="0.25">
      <c r="A46">
        <f>IF($O46="","",INDEX(Master!$D$2:$D$1001,$O46))</f>
      </c>
      <c r="B46" s="236">
        <f>IF($O46="","",INDEX(Master!$B$2:$B$1001,$O46))</f>
      </c>
      <c r="C46">
        <f>IF($O46="","",INDEX(Master!$C$2:$C$1001,$O46))</f>
      </c>
      <c r="D46">
        <f>IF($O46="","",INDEX(Master!$A$2:$A$1001,$O46))</f>
      </c>
      <c r="E46">
        <f>IF($O46="","",INDEX(Master!$E$2:$E$1001,$O46))</f>
      </c>
      <c r="F46">
        <f>IF($O46="","",INDEX(Master!$F$2:$F$1001,$O46))</f>
      </c>
      <c r="G46">
        <f>IF($O46="","",INDEX(Master!$G$2:$G$1001,$O46))</f>
      </c>
      <c r="H46">
        <f>IF($O46="","",INDEX(Master!$H$2:$H$1001,$O46))</f>
      </c>
      <c r="I46">
        <f>IF($O46="","",INDEX(Master!$I$2:$I$1001,$O46))</f>
      </c>
      <c r="J46">
        <f>IF($O46="","",INDEX(Master!$J$2:$J$1001,$O46))</f>
      </c>
      <c r="K46">
        <f t="shared" si="0"/>
      </c>
      <c r="L46">
        <f>IF($O46="","",INDEX(Master!$K$2:$K$1001,$O46))</f>
      </c>
      <c r="M46">
        <f>IF($O46="","",INDEX(Master!$L$2:$L$1001,$O46))</f>
      </c>
      <c r="O46">
        <f t="array" ref="O46">IFERROR(SMALL(IF(Master!$A$2:$A$1001="SHREE RADHE",ROW(Master!$A$2:$A$1001)-ROW(Master!$A$2)+1),42),"")</f>
      </c>
      <c r="P46">
        <f t="shared" si="1"/>
      </c>
    </row>
    <row r="47" spans="1:16" x14ac:dyDescent="0.25">
      <c r="A47">
        <f>IF($O47="","",INDEX(Master!$D$2:$D$1001,$O47))</f>
      </c>
      <c r="B47" s="236">
        <f>IF($O47="","",INDEX(Master!$B$2:$B$1001,$O47))</f>
      </c>
      <c r="C47">
        <f>IF($O47="","",INDEX(Master!$C$2:$C$1001,$O47))</f>
      </c>
      <c r="D47">
        <f>IF($O47="","",INDEX(Master!$A$2:$A$1001,$O47))</f>
      </c>
      <c r="E47">
        <f>IF($O47="","",INDEX(Master!$E$2:$E$1001,$O47))</f>
      </c>
      <c r="F47">
        <f>IF($O47="","",INDEX(Master!$F$2:$F$1001,$O47))</f>
      </c>
      <c r="G47">
        <f>IF($O47="","",INDEX(Master!$G$2:$G$1001,$O47))</f>
      </c>
      <c r="H47">
        <f>IF($O47="","",INDEX(Master!$H$2:$H$1001,$O47))</f>
      </c>
      <c r="I47">
        <f>IF($O47="","",INDEX(Master!$I$2:$I$1001,$O47))</f>
      </c>
      <c r="J47">
        <f>IF($O47="","",INDEX(Master!$J$2:$J$1001,$O47))</f>
      </c>
      <c r="K47">
        <f t="shared" si="0"/>
      </c>
      <c r="L47">
        <f>IF($O47="","",INDEX(Master!$K$2:$K$1001,$O47))</f>
      </c>
      <c r="M47">
        <f>IF($O47="","",INDEX(Master!$L$2:$L$1001,$O47))</f>
      </c>
      <c r="O47">
        <f t="array" ref="O47">IFERROR(SMALL(IF(Master!$A$2:$A$1001="SHREE RADHE",ROW(Master!$A$2:$A$1001)-ROW(Master!$A$2)+1),43),"")</f>
      </c>
      <c r="P47">
        <f t="shared" si="1"/>
      </c>
    </row>
    <row r="48" spans="1:16" x14ac:dyDescent="0.25">
      <c r="A48">
        <f>IF($O48="","",INDEX(Master!$D$2:$D$1001,$O48))</f>
      </c>
      <c r="B48" s="236">
        <f>IF($O48="","",INDEX(Master!$B$2:$B$1001,$O48))</f>
      </c>
      <c r="C48">
        <f>IF($O48="","",INDEX(Master!$C$2:$C$1001,$O48))</f>
      </c>
      <c r="D48">
        <f>IF($O48="","",INDEX(Master!$A$2:$A$1001,$O48))</f>
      </c>
      <c r="E48">
        <f>IF($O48="","",INDEX(Master!$E$2:$E$1001,$O48))</f>
      </c>
      <c r="F48">
        <f>IF($O48="","",INDEX(Master!$F$2:$F$1001,$O48))</f>
      </c>
      <c r="G48">
        <f>IF($O48="","",INDEX(Master!$G$2:$G$1001,$O48))</f>
      </c>
      <c r="H48">
        <f>IF($O48="","",INDEX(Master!$H$2:$H$1001,$O48))</f>
      </c>
      <c r="I48">
        <f>IF($O48="","",INDEX(Master!$I$2:$I$1001,$O48))</f>
      </c>
      <c r="J48">
        <f>IF($O48="","",INDEX(Master!$J$2:$J$1001,$O48))</f>
      </c>
      <c r="K48">
        <f t="shared" si="0"/>
      </c>
      <c r="L48">
        <f>IF($O48="","",INDEX(Master!$K$2:$K$1001,$O48))</f>
      </c>
      <c r="M48">
        <f>IF($O48="","",INDEX(Master!$L$2:$L$1001,$O48))</f>
      </c>
      <c r="O48">
        <f t="array" ref="O48">IFERROR(SMALL(IF(Master!$A$2:$A$1001="SHREE RADHE",ROW(Master!$A$2:$A$1001)-ROW(Master!$A$2)+1),44),"")</f>
      </c>
      <c r="P48">
        <f t="shared" si="1"/>
      </c>
    </row>
    <row r="49" spans="1:16" x14ac:dyDescent="0.25">
      <c r="A49">
        <f>IF($O49="","",INDEX(Master!$D$2:$D$1001,$O49))</f>
      </c>
      <c r="B49" s="236">
        <f>IF($O49="","",INDEX(Master!$B$2:$B$1001,$O49))</f>
      </c>
      <c r="C49">
        <f>IF($O49="","",INDEX(Master!$C$2:$C$1001,$O49))</f>
      </c>
      <c r="D49">
        <f>IF($O49="","",INDEX(Master!$A$2:$A$1001,$O49))</f>
      </c>
      <c r="E49">
        <f>IF($O49="","",INDEX(Master!$E$2:$E$1001,$O49))</f>
      </c>
      <c r="F49">
        <f>IF($O49="","",INDEX(Master!$F$2:$F$1001,$O49))</f>
      </c>
      <c r="G49">
        <f>IF($O49="","",INDEX(Master!$G$2:$G$1001,$O49))</f>
      </c>
      <c r="H49">
        <f>IF($O49="","",INDEX(Master!$H$2:$H$1001,$O49))</f>
      </c>
      <c r="I49">
        <f>IF($O49="","",INDEX(Master!$I$2:$I$1001,$O49))</f>
      </c>
      <c r="J49">
        <f>IF($O49="","",INDEX(Master!$J$2:$J$1001,$O49))</f>
      </c>
      <c r="K49">
        <f t="shared" si="0"/>
      </c>
      <c r="L49">
        <f>IF($O49="","",INDEX(Master!$K$2:$K$1001,$O49))</f>
      </c>
      <c r="M49">
        <f>IF($O49="","",INDEX(Master!$L$2:$L$1001,$O49))</f>
      </c>
      <c r="O49">
        <f t="array" ref="O49">IFERROR(SMALL(IF(Master!$A$2:$A$1001="SHREE RADHE",ROW(Master!$A$2:$A$1001)-ROW(Master!$A$2)+1),45),"")</f>
      </c>
      <c r="P49">
        <f t="shared" si="1"/>
      </c>
    </row>
    <row r="50" spans="1:16" x14ac:dyDescent="0.25">
      <c r="A50">
        <f>IF($O50="","",INDEX(Master!$D$2:$D$1001,$O50))</f>
      </c>
      <c r="B50" s="236">
        <f>IF($O50="","",INDEX(Master!$B$2:$B$1001,$O50))</f>
      </c>
      <c r="C50">
        <f>IF($O50="","",INDEX(Master!$C$2:$C$1001,$O50))</f>
      </c>
      <c r="D50">
        <f>IF($O50="","",INDEX(Master!$A$2:$A$1001,$O50))</f>
      </c>
      <c r="E50">
        <f>IF($O50="","",INDEX(Master!$E$2:$E$1001,$O50))</f>
      </c>
      <c r="F50">
        <f>IF($O50="","",INDEX(Master!$F$2:$F$1001,$O50))</f>
      </c>
      <c r="G50">
        <f>IF($O50="","",INDEX(Master!$G$2:$G$1001,$O50))</f>
      </c>
      <c r="H50">
        <f>IF($O50="","",INDEX(Master!$H$2:$H$1001,$O50))</f>
      </c>
      <c r="I50">
        <f>IF($O50="","",INDEX(Master!$I$2:$I$1001,$O50))</f>
      </c>
      <c r="J50">
        <f>IF($O50="","",INDEX(Master!$J$2:$J$1001,$O50))</f>
      </c>
      <c r="K50">
        <f t="shared" si="0"/>
      </c>
      <c r="L50">
        <f>IF($O50="","",INDEX(Master!$K$2:$K$1001,$O50))</f>
      </c>
      <c r="M50">
        <f>IF($O50="","",INDEX(Master!$L$2:$L$1001,$O50))</f>
      </c>
      <c r="O50">
        <f t="array" ref="O50">IFERROR(SMALL(IF(Master!$A$2:$A$1001="SHREE RADHE",ROW(Master!$A$2:$A$1001)-ROW(Master!$A$2)+1),46),"")</f>
      </c>
      <c r="P50">
        <f t="shared" si="1"/>
      </c>
    </row>
    <row r="51" spans="1:16" x14ac:dyDescent="0.25">
      <c r="A51">
        <f>IF($O51="","",INDEX(Master!$D$2:$D$1001,$O51))</f>
      </c>
      <c r="B51" s="236">
        <f>IF($O51="","",INDEX(Master!$B$2:$B$1001,$O51))</f>
      </c>
      <c r="C51">
        <f>IF($O51="","",INDEX(Master!$C$2:$C$1001,$O51))</f>
      </c>
      <c r="D51">
        <f>IF($O51="","",INDEX(Master!$A$2:$A$1001,$O51))</f>
      </c>
      <c r="E51">
        <f>IF($O51="","",INDEX(Master!$E$2:$E$1001,$O51))</f>
      </c>
      <c r="F51">
        <f>IF($O51="","",INDEX(Master!$F$2:$F$1001,$O51))</f>
      </c>
      <c r="G51">
        <f>IF($O51="","",INDEX(Master!$G$2:$G$1001,$O51))</f>
      </c>
      <c r="H51">
        <f>IF($O51="","",INDEX(Master!$H$2:$H$1001,$O51))</f>
      </c>
      <c r="I51">
        <f>IF($O51="","",INDEX(Master!$I$2:$I$1001,$O51))</f>
      </c>
      <c r="J51">
        <f>IF($O51="","",INDEX(Master!$J$2:$J$1001,$O51))</f>
      </c>
      <c r="K51">
        <f t="shared" si="0"/>
      </c>
      <c r="L51">
        <f>IF($O51="","",INDEX(Master!$K$2:$K$1001,$O51))</f>
      </c>
      <c r="M51">
        <f>IF($O51="","",INDEX(Master!$L$2:$L$1001,$O51))</f>
      </c>
      <c r="O51">
        <f t="array" ref="O51">IFERROR(SMALL(IF(Master!$A$2:$A$1001="SHREE RADHE",ROW(Master!$A$2:$A$1001)-ROW(Master!$A$2)+1),47),"")</f>
      </c>
      <c r="P51">
        <f t="shared" si="1"/>
      </c>
    </row>
    <row r="52" spans="1:16" x14ac:dyDescent="0.25">
      <c r="A52">
        <f>IF($O52="","",INDEX(Master!$D$2:$D$1001,$O52))</f>
      </c>
      <c r="B52" s="236">
        <f>IF($O52="","",INDEX(Master!$B$2:$B$1001,$O52))</f>
      </c>
      <c r="C52">
        <f>IF($O52="","",INDEX(Master!$C$2:$C$1001,$O52))</f>
      </c>
      <c r="D52">
        <f>IF($O52="","",INDEX(Master!$A$2:$A$1001,$O52))</f>
      </c>
      <c r="E52">
        <f>IF($O52="","",INDEX(Master!$E$2:$E$1001,$O52))</f>
      </c>
      <c r="F52">
        <f>IF($O52="","",INDEX(Master!$F$2:$F$1001,$O52))</f>
      </c>
      <c r="G52">
        <f>IF($O52="","",INDEX(Master!$G$2:$G$1001,$O52))</f>
      </c>
      <c r="H52">
        <f>IF($O52="","",INDEX(Master!$H$2:$H$1001,$O52))</f>
      </c>
      <c r="I52">
        <f>IF($O52="","",INDEX(Master!$I$2:$I$1001,$O52))</f>
      </c>
      <c r="J52">
        <f>IF($O52="","",INDEX(Master!$J$2:$J$1001,$O52))</f>
      </c>
      <c r="K52">
        <f t="shared" si="0"/>
      </c>
      <c r="L52">
        <f>IF($O52="","",INDEX(Master!$K$2:$K$1001,$O52))</f>
      </c>
      <c r="M52">
        <f>IF($O52="","",INDEX(Master!$L$2:$L$1001,$O52))</f>
      </c>
      <c r="O52">
        <f t="array" ref="O52">IFERROR(SMALL(IF(Master!$A$2:$A$1001="SHREE RADHE",ROW(Master!$A$2:$A$1001)-ROW(Master!$A$2)+1),48),"")</f>
      </c>
      <c r="P52">
        <f t="shared" si="1"/>
      </c>
    </row>
    <row r="53" spans="1:16" x14ac:dyDescent="0.25">
      <c r="A53">
        <f>IF($O53="","",INDEX(Master!$D$2:$D$1001,$O53))</f>
      </c>
      <c r="B53" s="236">
        <f>IF($O53="","",INDEX(Master!$B$2:$B$1001,$O53))</f>
      </c>
      <c r="C53">
        <f>IF($O53="","",INDEX(Master!$C$2:$C$1001,$O53))</f>
      </c>
      <c r="D53">
        <f>IF($O53="","",INDEX(Master!$A$2:$A$1001,$O53))</f>
      </c>
      <c r="E53">
        <f>IF($O53="","",INDEX(Master!$E$2:$E$1001,$O53))</f>
      </c>
      <c r="F53">
        <f>IF($O53="","",INDEX(Master!$F$2:$F$1001,$O53))</f>
      </c>
      <c r="G53">
        <f>IF($O53="","",INDEX(Master!$G$2:$G$1001,$O53))</f>
      </c>
      <c r="H53">
        <f>IF($O53="","",INDEX(Master!$H$2:$H$1001,$O53))</f>
      </c>
      <c r="I53">
        <f>IF($O53="","",INDEX(Master!$I$2:$I$1001,$O53))</f>
      </c>
      <c r="J53">
        <f>IF($O53="","",INDEX(Master!$J$2:$J$1001,$O53))</f>
      </c>
      <c r="K53">
        <f t="shared" si="0"/>
      </c>
      <c r="L53">
        <f>IF($O53="","",INDEX(Master!$K$2:$K$1001,$O53))</f>
      </c>
      <c r="M53">
        <f>IF($O53="","",INDEX(Master!$L$2:$L$1001,$O53))</f>
      </c>
      <c r="O53">
        <f t="array" ref="O53">IFERROR(SMALL(IF(Master!$A$2:$A$1001="SHREE RADHE",ROW(Master!$A$2:$A$1001)-ROW(Master!$A$2)+1),49),"")</f>
      </c>
      <c r="P53">
        <f t="shared" si="1"/>
      </c>
    </row>
    <row r="54" spans="1:16" x14ac:dyDescent="0.25">
      <c r="A54">
        <f>IF($O54="","",INDEX(Master!$D$2:$D$1001,$O54))</f>
      </c>
      <c r="B54" s="236">
        <f>IF($O54="","",INDEX(Master!$B$2:$B$1001,$O54))</f>
      </c>
      <c r="C54">
        <f>IF($O54="","",INDEX(Master!$C$2:$C$1001,$O54))</f>
      </c>
      <c r="D54">
        <f>IF($O54="","",INDEX(Master!$A$2:$A$1001,$O54))</f>
      </c>
      <c r="E54">
        <f>IF($O54="","",INDEX(Master!$E$2:$E$1001,$O54))</f>
      </c>
      <c r="F54">
        <f>IF($O54="","",INDEX(Master!$F$2:$F$1001,$O54))</f>
      </c>
      <c r="G54">
        <f>IF($O54="","",INDEX(Master!$G$2:$G$1001,$O54))</f>
      </c>
      <c r="H54">
        <f>IF($O54="","",INDEX(Master!$H$2:$H$1001,$O54))</f>
      </c>
      <c r="I54">
        <f>IF($O54="","",INDEX(Master!$I$2:$I$1001,$O54))</f>
      </c>
      <c r="J54">
        <f>IF($O54="","",INDEX(Master!$J$2:$J$1001,$O54))</f>
      </c>
      <c r="K54">
        <f t="shared" si="0"/>
      </c>
      <c r="L54">
        <f>IF($O54="","",INDEX(Master!$K$2:$K$1001,$O54))</f>
      </c>
      <c r="M54">
        <f>IF($O54="","",INDEX(Master!$L$2:$L$1001,$O54))</f>
      </c>
      <c r="O54">
        <f t="array" ref="O54">IFERROR(SMALL(IF(Master!$A$2:$A$1001="SHREE RADHE",ROW(Master!$A$2:$A$1001)-ROW(Master!$A$2)+1),50),"")</f>
      </c>
      <c r="P54">
        <f t="shared" si="1"/>
      </c>
    </row>
    <row r="55" spans="1:16" x14ac:dyDescent="0.25">
      <c r="A55">
        <f>IF($O55="","",INDEX(Master!$D$2:$D$1001,$O55))</f>
      </c>
      <c r="B55" s="236">
        <f>IF($O55="","",INDEX(Master!$B$2:$B$1001,$O55))</f>
      </c>
      <c r="C55">
        <f>IF($O55="","",INDEX(Master!$C$2:$C$1001,$O55))</f>
      </c>
      <c r="D55">
        <f>IF($O55="","",INDEX(Master!$A$2:$A$1001,$O55))</f>
      </c>
      <c r="E55">
        <f>IF($O55="","",INDEX(Master!$E$2:$E$1001,$O55))</f>
      </c>
      <c r="F55">
        <f>IF($O55="","",INDEX(Master!$F$2:$F$1001,$O55))</f>
      </c>
      <c r="G55">
        <f>IF($O55="","",INDEX(Master!$G$2:$G$1001,$O55))</f>
      </c>
      <c r="H55">
        <f>IF($O55="","",INDEX(Master!$H$2:$H$1001,$O55))</f>
      </c>
      <c r="I55">
        <f>IF($O55="","",INDEX(Master!$I$2:$I$1001,$O55))</f>
      </c>
      <c r="J55">
        <f>IF($O55="","",INDEX(Master!$J$2:$J$1001,$O55))</f>
      </c>
      <c r="K55">
        <f t="shared" si="0"/>
      </c>
      <c r="L55">
        <f>IF($O55="","",INDEX(Master!$K$2:$K$1001,$O55))</f>
      </c>
      <c r="M55">
        <f>IF($O55="","",INDEX(Master!$L$2:$L$1001,$O55))</f>
      </c>
      <c r="O55">
        <f t="array" ref="O55">IFERROR(SMALL(IF(Master!$A$2:$A$1001="SHREE RADHE",ROW(Master!$A$2:$A$1001)-ROW(Master!$A$2)+1),51),"")</f>
      </c>
      <c r="P55">
        <f t="shared" si="1"/>
      </c>
    </row>
    <row r="56" spans="1:16" x14ac:dyDescent="0.25">
      <c r="A56">
        <f>IF($O56="","",INDEX(Master!$D$2:$D$1001,$O56))</f>
      </c>
      <c r="B56" s="236">
        <f>IF($O56="","",INDEX(Master!$B$2:$B$1001,$O56))</f>
      </c>
      <c r="C56">
        <f>IF($O56="","",INDEX(Master!$C$2:$C$1001,$O56))</f>
      </c>
      <c r="D56">
        <f>IF($O56="","",INDEX(Master!$A$2:$A$1001,$O56))</f>
      </c>
      <c r="E56">
        <f>IF($O56="","",INDEX(Master!$E$2:$E$1001,$O56))</f>
      </c>
      <c r="F56">
        <f>IF($O56="","",INDEX(Master!$F$2:$F$1001,$O56))</f>
      </c>
      <c r="G56">
        <f>IF($O56="","",INDEX(Master!$G$2:$G$1001,$O56))</f>
      </c>
      <c r="H56">
        <f>IF($O56="","",INDEX(Master!$H$2:$H$1001,$O56))</f>
      </c>
      <c r="I56">
        <f>IF($O56="","",INDEX(Master!$I$2:$I$1001,$O56))</f>
      </c>
      <c r="J56">
        <f>IF($O56="","",INDEX(Master!$J$2:$J$1001,$O56))</f>
      </c>
      <c r="K56">
        <f t="shared" si="0"/>
      </c>
      <c r="L56">
        <f>IF($O56="","",INDEX(Master!$K$2:$K$1001,$O56))</f>
      </c>
      <c r="M56">
        <f>IF($O56="","",INDEX(Master!$L$2:$L$1001,$O56))</f>
      </c>
      <c r="O56">
        <f t="array" ref="O56">IFERROR(SMALL(IF(Master!$A$2:$A$1001="SHREE RADHE",ROW(Master!$A$2:$A$1001)-ROW(Master!$A$2)+1),52),"")</f>
      </c>
      <c r="P56">
        <f t="shared" si="1"/>
      </c>
    </row>
    <row r="57" spans="1:16" x14ac:dyDescent="0.25">
      <c r="A57">
        <f>IF($O57="","",INDEX(Master!$D$2:$D$1001,$O57))</f>
      </c>
      <c r="B57" s="236">
        <f>IF($O57="","",INDEX(Master!$B$2:$B$1001,$O57))</f>
      </c>
      <c r="C57">
        <f>IF($O57="","",INDEX(Master!$C$2:$C$1001,$O57))</f>
      </c>
      <c r="D57">
        <f>IF($O57="","",INDEX(Master!$A$2:$A$1001,$O57))</f>
      </c>
      <c r="E57">
        <f>IF($O57="","",INDEX(Master!$E$2:$E$1001,$O57))</f>
      </c>
      <c r="F57">
        <f>IF($O57="","",INDEX(Master!$F$2:$F$1001,$O57))</f>
      </c>
      <c r="G57">
        <f>IF($O57="","",INDEX(Master!$G$2:$G$1001,$O57))</f>
      </c>
      <c r="H57">
        <f>IF($O57="","",INDEX(Master!$H$2:$H$1001,$O57))</f>
      </c>
      <c r="I57">
        <f>IF($O57="","",INDEX(Master!$I$2:$I$1001,$O57))</f>
      </c>
      <c r="J57">
        <f>IF($O57="","",INDEX(Master!$J$2:$J$1001,$O57))</f>
      </c>
      <c r="K57">
        <f t="shared" si="0"/>
      </c>
      <c r="L57">
        <f>IF($O57="","",INDEX(Master!$K$2:$K$1001,$O57))</f>
      </c>
      <c r="M57">
        <f>IF($O57="","",INDEX(Master!$L$2:$L$1001,$O57))</f>
      </c>
      <c r="O57">
        <f t="array" ref="O57">IFERROR(SMALL(IF(Master!$A$2:$A$1001="SHREE RADHE",ROW(Master!$A$2:$A$1001)-ROW(Master!$A$2)+1),53),"")</f>
      </c>
      <c r="P57">
        <f t="shared" si="1"/>
      </c>
    </row>
    <row r="58" spans="1:16" x14ac:dyDescent="0.25">
      <c r="A58">
        <f>IF($O58="","",INDEX(Master!$D$2:$D$1001,$O58))</f>
      </c>
      <c r="B58" s="236">
        <f>IF($O58="","",INDEX(Master!$B$2:$B$1001,$O58))</f>
      </c>
      <c r="C58">
        <f>IF($O58="","",INDEX(Master!$C$2:$C$1001,$O58))</f>
      </c>
      <c r="D58">
        <f>IF($O58="","",INDEX(Master!$A$2:$A$1001,$O58))</f>
      </c>
      <c r="E58">
        <f>IF($O58="","",INDEX(Master!$E$2:$E$1001,$O58))</f>
      </c>
      <c r="F58">
        <f>IF($O58="","",INDEX(Master!$F$2:$F$1001,$O58))</f>
      </c>
      <c r="G58">
        <f>IF($O58="","",INDEX(Master!$G$2:$G$1001,$O58))</f>
      </c>
      <c r="H58">
        <f>IF($O58="","",INDEX(Master!$H$2:$H$1001,$O58))</f>
      </c>
      <c r="I58">
        <f>IF($O58="","",INDEX(Master!$I$2:$I$1001,$O58))</f>
      </c>
      <c r="J58">
        <f>IF($O58="","",INDEX(Master!$J$2:$J$1001,$O58))</f>
      </c>
      <c r="K58">
        <f t="shared" si="0"/>
      </c>
      <c r="L58">
        <f>IF($O58="","",INDEX(Master!$K$2:$K$1001,$O58))</f>
      </c>
      <c r="M58">
        <f>IF($O58="","",INDEX(Master!$L$2:$L$1001,$O58))</f>
      </c>
      <c r="O58">
        <f t="array" ref="O58">IFERROR(SMALL(IF(Master!$A$2:$A$1001="SHREE RADHE",ROW(Master!$A$2:$A$1001)-ROW(Master!$A$2)+1),54),"")</f>
      </c>
      <c r="P58">
        <f t="shared" si="1"/>
      </c>
    </row>
    <row r="59" spans="1:16" x14ac:dyDescent="0.25">
      <c r="A59">
        <f>IF($O59="","",INDEX(Master!$D$2:$D$1001,$O59))</f>
      </c>
      <c r="B59" s="236">
        <f>IF($O59="","",INDEX(Master!$B$2:$B$1001,$O59))</f>
      </c>
      <c r="C59">
        <f>IF($O59="","",INDEX(Master!$C$2:$C$1001,$O59))</f>
      </c>
      <c r="D59">
        <f>IF($O59="","",INDEX(Master!$A$2:$A$1001,$O59))</f>
      </c>
      <c r="E59">
        <f>IF($O59="","",INDEX(Master!$E$2:$E$1001,$O59))</f>
      </c>
      <c r="F59">
        <f>IF($O59="","",INDEX(Master!$F$2:$F$1001,$O59))</f>
      </c>
      <c r="G59">
        <f>IF($O59="","",INDEX(Master!$G$2:$G$1001,$O59))</f>
      </c>
      <c r="H59">
        <f>IF($O59="","",INDEX(Master!$H$2:$H$1001,$O59))</f>
      </c>
      <c r="I59">
        <f>IF($O59="","",INDEX(Master!$I$2:$I$1001,$O59))</f>
      </c>
      <c r="J59">
        <f>IF($O59="","",INDEX(Master!$J$2:$J$1001,$O59))</f>
      </c>
      <c r="K59">
        <f t="shared" si="0"/>
      </c>
      <c r="L59">
        <f>IF($O59="","",INDEX(Master!$K$2:$K$1001,$O59))</f>
      </c>
      <c r="M59">
        <f>IF($O59="","",INDEX(Master!$L$2:$L$1001,$O59))</f>
      </c>
      <c r="O59">
        <f t="array" ref="O59">IFERROR(SMALL(IF(Master!$A$2:$A$1001="SHREE RADHE",ROW(Master!$A$2:$A$1001)-ROW(Master!$A$2)+1),55),"")</f>
      </c>
      <c r="P59">
        <f t="shared" si="1"/>
      </c>
    </row>
    <row r="60" spans="1:16" x14ac:dyDescent="0.25">
      <c r="A60">
        <f>IF($O60="","",INDEX(Master!$D$2:$D$1001,$O60))</f>
      </c>
      <c r="B60" s="236">
        <f>IF($O60="","",INDEX(Master!$B$2:$B$1001,$O60))</f>
      </c>
      <c r="C60">
        <f>IF($O60="","",INDEX(Master!$C$2:$C$1001,$O60))</f>
      </c>
      <c r="D60">
        <f>IF($O60="","",INDEX(Master!$A$2:$A$1001,$O60))</f>
      </c>
      <c r="E60">
        <f>IF($O60="","",INDEX(Master!$E$2:$E$1001,$O60))</f>
      </c>
      <c r="F60">
        <f>IF($O60="","",INDEX(Master!$F$2:$F$1001,$O60))</f>
      </c>
      <c r="G60">
        <f>IF($O60="","",INDEX(Master!$G$2:$G$1001,$O60))</f>
      </c>
      <c r="H60">
        <f>IF($O60="","",INDEX(Master!$H$2:$H$1001,$O60))</f>
      </c>
      <c r="I60">
        <f>IF($O60="","",INDEX(Master!$I$2:$I$1001,$O60))</f>
      </c>
      <c r="J60">
        <f>IF($O60="","",INDEX(Master!$J$2:$J$1001,$O60))</f>
      </c>
      <c r="K60">
        <f t="shared" si="0"/>
      </c>
      <c r="L60">
        <f>IF($O60="","",INDEX(Master!$K$2:$K$1001,$O60))</f>
      </c>
      <c r="M60">
        <f>IF($O60="","",INDEX(Master!$L$2:$L$1001,$O60))</f>
      </c>
      <c r="O60">
        <f t="array" ref="O60">IFERROR(SMALL(IF(Master!$A$2:$A$1001="SHREE RADHE",ROW(Master!$A$2:$A$1001)-ROW(Master!$A$2)+1),56),"")</f>
      </c>
      <c r="P60">
        <f t="shared" si="1"/>
      </c>
    </row>
    <row r="61" spans="1:16" x14ac:dyDescent="0.25">
      <c r="A61">
        <f>IF($O61="","",INDEX(Master!$D$2:$D$1001,$O61))</f>
      </c>
      <c r="B61" s="236">
        <f>IF($O61="","",INDEX(Master!$B$2:$B$1001,$O61))</f>
      </c>
      <c r="C61">
        <f>IF($O61="","",INDEX(Master!$C$2:$C$1001,$O61))</f>
      </c>
      <c r="D61">
        <f>IF($O61="","",INDEX(Master!$A$2:$A$1001,$O61))</f>
      </c>
      <c r="E61">
        <f>IF($O61="","",INDEX(Master!$E$2:$E$1001,$O61))</f>
      </c>
      <c r="F61">
        <f>IF($O61="","",INDEX(Master!$F$2:$F$1001,$O61))</f>
      </c>
      <c r="G61">
        <f>IF($O61="","",INDEX(Master!$G$2:$G$1001,$O61))</f>
      </c>
      <c r="H61">
        <f>IF($O61="","",INDEX(Master!$H$2:$H$1001,$O61))</f>
      </c>
      <c r="I61">
        <f>IF($O61="","",INDEX(Master!$I$2:$I$1001,$O61))</f>
      </c>
      <c r="J61">
        <f>IF($O61="","",INDEX(Master!$J$2:$J$1001,$O61))</f>
      </c>
      <c r="K61">
        <f t="shared" si="0"/>
      </c>
      <c r="L61">
        <f>IF($O61="","",INDEX(Master!$K$2:$K$1001,$O61))</f>
      </c>
      <c r="M61">
        <f>IF($O61="","",INDEX(Master!$L$2:$L$1001,$O61))</f>
      </c>
      <c r="O61">
        <f t="array" ref="O61">IFERROR(SMALL(IF(Master!$A$2:$A$1001="SHREE RADHE",ROW(Master!$A$2:$A$1001)-ROW(Master!$A$2)+1),57),"")</f>
      </c>
      <c r="P61">
        <f t="shared" si="1"/>
      </c>
    </row>
    <row r="62" spans="1:16" x14ac:dyDescent="0.25">
      <c r="A62">
        <f>IF($O62="","",INDEX(Master!$D$2:$D$1001,$O62))</f>
      </c>
      <c r="B62" s="236">
        <f>IF($O62="","",INDEX(Master!$B$2:$B$1001,$O62))</f>
      </c>
      <c r="C62">
        <f>IF($O62="","",INDEX(Master!$C$2:$C$1001,$O62))</f>
      </c>
      <c r="D62">
        <f>IF($O62="","",INDEX(Master!$A$2:$A$1001,$O62))</f>
      </c>
      <c r="E62">
        <f>IF($O62="","",INDEX(Master!$E$2:$E$1001,$O62))</f>
      </c>
      <c r="F62">
        <f>IF($O62="","",INDEX(Master!$F$2:$F$1001,$O62))</f>
      </c>
      <c r="G62">
        <f>IF($O62="","",INDEX(Master!$G$2:$G$1001,$O62))</f>
      </c>
      <c r="H62">
        <f>IF($O62="","",INDEX(Master!$H$2:$H$1001,$O62))</f>
      </c>
      <c r="I62">
        <f>IF($O62="","",INDEX(Master!$I$2:$I$1001,$O62))</f>
      </c>
      <c r="J62">
        <f>IF($O62="","",INDEX(Master!$J$2:$J$1001,$O62))</f>
      </c>
      <c r="K62">
        <f t="shared" si="0"/>
      </c>
      <c r="L62">
        <f>IF($O62="","",INDEX(Master!$K$2:$K$1001,$O62))</f>
      </c>
      <c r="M62">
        <f>IF($O62="","",INDEX(Master!$L$2:$L$1001,$O62))</f>
      </c>
      <c r="O62">
        <f t="array" ref="O62">IFERROR(SMALL(IF(Master!$A$2:$A$1001="SHREE RADHE",ROW(Master!$A$2:$A$1001)-ROW(Master!$A$2)+1),58),"")</f>
      </c>
      <c r="P62">
        <f t="shared" si="1"/>
      </c>
    </row>
    <row r="63" spans="1:16" x14ac:dyDescent="0.25">
      <c r="A63">
        <f>IF($O63="","",INDEX(Master!$D$2:$D$1001,$O63))</f>
      </c>
      <c r="B63" s="236">
        <f>IF($O63="","",INDEX(Master!$B$2:$B$1001,$O63))</f>
      </c>
      <c r="C63">
        <f>IF($O63="","",INDEX(Master!$C$2:$C$1001,$O63))</f>
      </c>
      <c r="D63">
        <f>IF($O63="","",INDEX(Master!$A$2:$A$1001,$O63))</f>
      </c>
      <c r="E63">
        <f>IF($O63="","",INDEX(Master!$E$2:$E$1001,$O63))</f>
      </c>
      <c r="F63">
        <f>IF($O63="","",INDEX(Master!$F$2:$F$1001,$O63))</f>
      </c>
      <c r="G63">
        <f>IF($O63="","",INDEX(Master!$G$2:$G$1001,$O63))</f>
      </c>
      <c r="H63">
        <f>IF($O63="","",INDEX(Master!$H$2:$H$1001,$O63))</f>
      </c>
      <c r="I63">
        <f>IF($O63="","",INDEX(Master!$I$2:$I$1001,$O63))</f>
      </c>
      <c r="J63">
        <f>IF($O63="","",INDEX(Master!$J$2:$J$1001,$O63))</f>
      </c>
      <c r="K63">
        <f t="shared" si="0"/>
      </c>
      <c r="L63">
        <f>IF($O63="","",INDEX(Master!$K$2:$K$1001,$O63))</f>
      </c>
      <c r="M63">
        <f>IF($O63="","",INDEX(Master!$L$2:$L$1001,$O63))</f>
      </c>
      <c r="O63">
        <f t="array" ref="O63">IFERROR(SMALL(IF(Master!$A$2:$A$1001="SHREE RADHE",ROW(Master!$A$2:$A$1001)-ROW(Master!$A$2)+1),59),"")</f>
      </c>
      <c r="P63">
        <f t="shared" si="1"/>
      </c>
    </row>
    <row r="64" spans="1:16" x14ac:dyDescent="0.25">
      <c r="A64">
        <f>IF($O64="","",INDEX(Master!$D$2:$D$1001,$O64))</f>
      </c>
      <c r="B64" s="236">
        <f>IF($O64="","",INDEX(Master!$B$2:$B$1001,$O64))</f>
      </c>
      <c r="C64">
        <f>IF($O64="","",INDEX(Master!$C$2:$C$1001,$O64))</f>
      </c>
      <c r="D64">
        <f>IF($O64="","",INDEX(Master!$A$2:$A$1001,$O64))</f>
      </c>
      <c r="E64">
        <f>IF($O64="","",INDEX(Master!$E$2:$E$1001,$O64))</f>
      </c>
      <c r="F64">
        <f>IF($O64="","",INDEX(Master!$F$2:$F$1001,$O64))</f>
      </c>
      <c r="G64">
        <f>IF($O64="","",INDEX(Master!$G$2:$G$1001,$O64))</f>
      </c>
      <c r="H64">
        <f>IF($O64="","",INDEX(Master!$H$2:$H$1001,$O64))</f>
      </c>
      <c r="I64">
        <f>IF($O64="","",INDEX(Master!$I$2:$I$1001,$O64))</f>
      </c>
      <c r="J64">
        <f>IF($O64="","",INDEX(Master!$J$2:$J$1001,$O64))</f>
      </c>
      <c r="K64">
        <f t="shared" si="0"/>
      </c>
      <c r="L64">
        <f>IF($O64="","",INDEX(Master!$K$2:$K$1001,$O64))</f>
      </c>
      <c r="M64">
        <f>IF($O64="","",INDEX(Master!$L$2:$L$1001,$O64))</f>
      </c>
      <c r="O64">
        <f t="array" ref="O64">IFERROR(SMALL(IF(Master!$A$2:$A$1001="SHREE RADHE",ROW(Master!$A$2:$A$1001)-ROW(Master!$A$2)+1),60),"")</f>
      </c>
      <c r="P64">
        <f t="shared" si="1"/>
      </c>
    </row>
    <row r="65" spans="1:16" x14ac:dyDescent="0.25">
      <c r="A65">
        <f>IF($O65="","",INDEX(Master!$D$2:$D$1001,$O65))</f>
      </c>
      <c r="B65" s="236">
        <f>IF($O65="","",INDEX(Master!$B$2:$B$1001,$O65))</f>
      </c>
      <c r="C65">
        <f>IF($O65="","",INDEX(Master!$C$2:$C$1001,$O65))</f>
      </c>
      <c r="D65">
        <f>IF($O65="","",INDEX(Master!$A$2:$A$1001,$O65))</f>
      </c>
      <c r="E65">
        <f>IF($O65="","",INDEX(Master!$E$2:$E$1001,$O65))</f>
      </c>
      <c r="F65">
        <f>IF($O65="","",INDEX(Master!$F$2:$F$1001,$O65))</f>
      </c>
      <c r="G65">
        <f>IF($O65="","",INDEX(Master!$G$2:$G$1001,$O65))</f>
      </c>
      <c r="H65">
        <f>IF($O65="","",INDEX(Master!$H$2:$H$1001,$O65))</f>
      </c>
      <c r="I65">
        <f>IF($O65="","",INDEX(Master!$I$2:$I$1001,$O65))</f>
      </c>
      <c r="J65">
        <f>IF($O65="","",INDEX(Master!$J$2:$J$1001,$O65))</f>
      </c>
      <c r="K65">
        <f t="shared" si="0"/>
      </c>
      <c r="L65">
        <f>IF($O65="","",INDEX(Master!$K$2:$K$1001,$O65))</f>
      </c>
      <c r="M65">
        <f>IF($O65="","",INDEX(Master!$L$2:$L$1001,$O65))</f>
      </c>
      <c r="O65">
        <f t="array" ref="O65">IFERROR(SMALL(IF(Master!$A$2:$A$1001="SHREE RADHE",ROW(Master!$A$2:$A$1001)-ROW(Master!$A$2)+1),61),"")</f>
      </c>
      <c r="P65">
        <f t="shared" si="1"/>
      </c>
    </row>
    <row r="66" spans="1:16" x14ac:dyDescent="0.25">
      <c r="A66">
        <f>IF($O66="","",INDEX(Master!$D$2:$D$1001,$O66))</f>
      </c>
      <c r="B66" s="236">
        <f>IF($O66="","",INDEX(Master!$B$2:$B$1001,$O66))</f>
      </c>
      <c r="C66">
        <f>IF($O66="","",INDEX(Master!$C$2:$C$1001,$O66))</f>
      </c>
      <c r="D66">
        <f>IF($O66="","",INDEX(Master!$A$2:$A$1001,$O66))</f>
      </c>
      <c r="E66">
        <f>IF($O66="","",INDEX(Master!$E$2:$E$1001,$O66))</f>
      </c>
      <c r="F66">
        <f>IF($O66="","",INDEX(Master!$F$2:$F$1001,$O66))</f>
      </c>
      <c r="G66">
        <f>IF($O66="","",INDEX(Master!$G$2:$G$1001,$O66))</f>
      </c>
      <c r="H66">
        <f>IF($O66="","",INDEX(Master!$H$2:$H$1001,$O66))</f>
      </c>
      <c r="I66">
        <f>IF($O66="","",INDEX(Master!$I$2:$I$1001,$O66))</f>
      </c>
      <c r="J66">
        <f>IF($O66="","",INDEX(Master!$J$2:$J$1001,$O66))</f>
      </c>
      <c r="K66">
        <f t="shared" si="0"/>
      </c>
      <c r="L66">
        <f>IF($O66="","",INDEX(Master!$K$2:$K$1001,$O66))</f>
      </c>
      <c r="M66">
        <f>IF($O66="","",INDEX(Master!$L$2:$L$1001,$O66))</f>
      </c>
      <c r="O66">
        <f t="array" ref="O66">IFERROR(SMALL(IF(Master!$A$2:$A$1001="SHREE RADHE",ROW(Master!$A$2:$A$1001)-ROW(Master!$A$2)+1),62),"")</f>
      </c>
      <c r="P66">
        <f t="shared" si="1"/>
      </c>
    </row>
    <row r="67" spans="1:16" x14ac:dyDescent="0.25">
      <c r="A67">
        <f>IF($O67="","",INDEX(Master!$D$2:$D$1001,$O67))</f>
      </c>
      <c r="B67" s="236">
        <f>IF($O67="","",INDEX(Master!$B$2:$B$1001,$O67))</f>
      </c>
      <c r="C67">
        <f>IF($O67="","",INDEX(Master!$C$2:$C$1001,$O67))</f>
      </c>
      <c r="D67">
        <f>IF($O67="","",INDEX(Master!$A$2:$A$1001,$O67))</f>
      </c>
      <c r="E67">
        <f>IF($O67="","",INDEX(Master!$E$2:$E$1001,$O67))</f>
      </c>
      <c r="F67">
        <f>IF($O67="","",INDEX(Master!$F$2:$F$1001,$O67))</f>
      </c>
      <c r="G67">
        <f>IF($O67="","",INDEX(Master!$G$2:$G$1001,$O67))</f>
      </c>
      <c r="H67">
        <f>IF($O67="","",INDEX(Master!$H$2:$H$1001,$O67))</f>
      </c>
      <c r="I67">
        <f>IF($O67="","",INDEX(Master!$I$2:$I$1001,$O67))</f>
      </c>
      <c r="J67">
        <f>IF($O67="","",INDEX(Master!$J$2:$J$1001,$O67))</f>
      </c>
      <c r="K67">
        <f t="shared" si="0"/>
      </c>
      <c r="L67">
        <f>IF($O67="","",INDEX(Master!$K$2:$K$1001,$O67))</f>
      </c>
      <c r="M67">
        <f>IF($O67="","",INDEX(Master!$L$2:$L$1001,$O67))</f>
      </c>
      <c r="O67">
        <f t="array" ref="O67">IFERROR(SMALL(IF(Master!$A$2:$A$1001="SHREE RADHE",ROW(Master!$A$2:$A$1001)-ROW(Master!$A$2)+1),63),"")</f>
      </c>
      <c r="P67">
        <f t="shared" si="1"/>
      </c>
    </row>
    <row r="68" spans="1:16" x14ac:dyDescent="0.25">
      <c r="A68">
        <f>IF($O68="","",INDEX(Master!$D$2:$D$1001,$O68))</f>
      </c>
      <c r="B68" s="236">
        <f>IF($O68="","",INDEX(Master!$B$2:$B$1001,$O68))</f>
      </c>
      <c r="C68">
        <f>IF($O68="","",INDEX(Master!$C$2:$C$1001,$O68))</f>
      </c>
      <c r="D68">
        <f>IF($O68="","",INDEX(Master!$A$2:$A$1001,$O68))</f>
      </c>
      <c r="E68">
        <f>IF($O68="","",INDEX(Master!$E$2:$E$1001,$O68))</f>
      </c>
      <c r="F68">
        <f>IF($O68="","",INDEX(Master!$F$2:$F$1001,$O68))</f>
      </c>
      <c r="G68">
        <f>IF($O68="","",INDEX(Master!$G$2:$G$1001,$O68))</f>
      </c>
      <c r="H68">
        <f>IF($O68="","",INDEX(Master!$H$2:$H$1001,$O68))</f>
      </c>
      <c r="I68">
        <f>IF($O68="","",INDEX(Master!$I$2:$I$1001,$O68))</f>
      </c>
      <c r="J68">
        <f>IF($O68="","",INDEX(Master!$J$2:$J$1001,$O68))</f>
      </c>
      <c r="K68">
        <f t="shared" si="0"/>
      </c>
      <c r="L68">
        <f>IF($O68="","",INDEX(Master!$K$2:$K$1001,$O68))</f>
      </c>
      <c r="M68">
        <f>IF($O68="","",INDEX(Master!$L$2:$L$1001,$O68))</f>
      </c>
      <c r="O68">
        <f t="array" ref="O68">IFERROR(SMALL(IF(Master!$A$2:$A$1001="SHREE RADHE",ROW(Master!$A$2:$A$1001)-ROW(Master!$A$2)+1),64),"")</f>
      </c>
      <c r="P68">
        <f t="shared" si="1"/>
      </c>
    </row>
    <row r="69" spans="1:16" x14ac:dyDescent="0.25">
      <c r="A69">
        <f>IF($O69="","",INDEX(Master!$D$2:$D$1001,$O69))</f>
      </c>
      <c r="B69" s="236">
        <f>IF($O69="","",INDEX(Master!$B$2:$B$1001,$O69))</f>
      </c>
      <c r="C69">
        <f>IF($O69="","",INDEX(Master!$C$2:$C$1001,$O69))</f>
      </c>
      <c r="D69">
        <f>IF($O69="","",INDEX(Master!$A$2:$A$1001,$O69))</f>
      </c>
      <c r="E69">
        <f>IF($O69="","",INDEX(Master!$E$2:$E$1001,$O69))</f>
      </c>
      <c r="F69">
        <f>IF($O69="","",INDEX(Master!$F$2:$F$1001,$O69))</f>
      </c>
      <c r="G69">
        <f>IF($O69="","",INDEX(Master!$G$2:$G$1001,$O69))</f>
      </c>
      <c r="H69">
        <f>IF($O69="","",INDEX(Master!$H$2:$H$1001,$O69))</f>
      </c>
      <c r="I69">
        <f>IF($O69="","",INDEX(Master!$I$2:$I$1001,$O69))</f>
      </c>
      <c r="J69">
        <f>IF($O69="","",INDEX(Master!$J$2:$J$1001,$O69))</f>
      </c>
      <c r="K69">
        <f t="shared" ref="K69:K132" si="2">IF(OR($O69="",$F69="",$F69=0),"",$H69/$F69)</f>
      </c>
      <c r="L69">
        <f>IF($O69="","",INDEX(Master!$K$2:$K$1001,$O69))</f>
      </c>
      <c r="M69">
        <f>IF($O69="","",INDEX(Master!$L$2:$L$1001,$O69))</f>
      </c>
      <c r="O69">
        <f t="array" ref="O69">IFERROR(SMALL(IF(Master!$A$2:$A$1001="SHREE RADHE",ROW(Master!$A$2:$A$1001)-ROW(Master!$A$2)+1),65),"")</f>
      </c>
      <c r="P69">
        <f t="shared" ref="P69:P132" si="3">IF($A69="",0,IF(OR(AND($E69&lt;&gt;"",OR($E69&gt;0.15)),AND($F69&lt;&gt;"",OR($F69&gt;0.045)),AND($G69&lt;&gt;"",OR($G69&gt;0.08)),AND($H69&lt;&gt;"",$H69&lt;0.5),AND($J69&lt;&gt;"",OR($J69&lt;0.1))),1,0))</f>
      </c>
    </row>
    <row r="70" spans="1:16" x14ac:dyDescent="0.25">
      <c r="A70">
        <f>IF($O70="","",INDEX(Master!$D$2:$D$1001,$O70))</f>
      </c>
      <c r="B70" s="236">
        <f>IF($O70="","",INDEX(Master!$B$2:$B$1001,$O70))</f>
      </c>
      <c r="C70">
        <f>IF($O70="","",INDEX(Master!$C$2:$C$1001,$O70))</f>
      </c>
      <c r="D70">
        <f>IF($O70="","",INDEX(Master!$A$2:$A$1001,$O70))</f>
      </c>
      <c r="E70">
        <f>IF($O70="","",INDEX(Master!$E$2:$E$1001,$O70))</f>
      </c>
      <c r="F70">
        <f>IF($O70="","",INDEX(Master!$F$2:$F$1001,$O70))</f>
      </c>
      <c r="G70">
        <f>IF($O70="","",INDEX(Master!$G$2:$G$1001,$O70))</f>
      </c>
      <c r="H70">
        <f>IF($O70="","",INDEX(Master!$H$2:$H$1001,$O70))</f>
      </c>
      <c r="I70">
        <f>IF($O70="","",INDEX(Master!$I$2:$I$1001,$O70))</f>
      </c>
      <c r="J70">
        <f>IF($O70="","",INDEX(Master!$J$2:$J$1001,$O70))</f>
      </c>
      <c r="K70">
        <f t="shared" si="2"/>
      </c>
      <c r="L70">
        <f>IF($O70="","",INDEX(Master!$K$2:$K$1001,$O70))</f>
      </c>
      <c r="M70">
        <f>IF($O70="","",INDEX(Master!$L$2:$L$1001,$O70))</f>
      </c>
      <c r="O70">
        <f t="array" ref="O70">IFERROR(SMALL(IF(Master!$A$2:$A$1001="SHREE RADHE",ROW(Master!$A$2:$A$1001)-ROW(Master!$A$2)+1),66),"")</f>
      </c>
      <c r="P70">
        <f t="shared" si="3"/>
      </c>
    </row>
    <row r="71" spans="1:16" x14ac:dyDescent="0.25">
      <c r="A71">
        <f>IF($O71="","",INDEX(Master!$D$2:$D$1001,$O71))</f>
      </c>
      <c r="B71" s="236">
        <f>IF($O71="","",INDEX(Master!$B$2:$B$1001,$O71))</f>
      </c>
      <c r="C71">
        <f>IF($O71="","",INDEX(Master!$C$2:$C$1001,$O71))</f>
      </c>
      <c r="D71">
        <f>IF($O71="","",INDEX(Master!$A$2:$A$1001,$O71))</f>
      </c>
      <c r="E71">
        <f>IF($O71="","",INDEX(Master!$E$2:$E$1001,$O71))</f>
      </c>
      <c r="F71">
        <f>IF($O71="","",INDEX(Master!$F$2:$F$1001,$O71))</f>
      </c>
      <c r="G71">
        <f>IF($O71="","",INDEX(Master!$G$2:$G$1001,$O71))</f>
      </c>
      <c r="H71">
        <f>IF($O71="","",INDEX(Master!$H$2:$H$1001,$O71))</f>
      </c>
      <c r="I71">
        <f>IF($O71="","",INDEX(Master!$I$2:$I$1001,$O71))</f>
      </c>
      <c r="J71">
        <f>IF($O71="","",INDEX(Master!$J$2:$J$1001,$O71))</f>
      </c>
      <c r="K71">
        <f t="shared" si="2"/>
      </c>
      <c r="L71">
        <f>IF($O71="","",INDEX(Master!$K$2:$K$1001,$O71))</f>
      </c>
      <c r="M71">
        <f>IF($O71="","",INDEX(Master!$L$2:$L$1001,$O71))</f>
      </c>
      <c r="O71">
        <f t="array" ref="O71">IFERROR(SMALL(IF(Master!$A$2:$A$1001="SHREE RADHE",ROW(Master!$A$2:$A$1001)-ROW(Master!$A$2)+1),67),"")</f>
      </c>
      <c r="P71">
        <f t="shared" si="3"/>
      </c>
    </row>
    <row r="72" spans="1:16" x14ac:dyDescent="0.25">
      <c r="A72">
        <f>IF($O72="","",INDEX(Master!$D$2:$D$1001,$O72))</f>
      </c>
      <c r="B72" s="236">
        <f>IF($O72="","",INDEX(Master!$B$2:$B$1001,$O72))</f>
      </c>
      <c r="C72">
        <f>IF($O72="","",INDEX(Master!$C$2:$C$1001,$O72))</f>
      </c>
      <c r="D72">
        <f>IF($O72="","",INDEX(Master!$A$2:$A$1001,$O72))</f>
      </c>
      <c r="E72">
        <f>IF($O72="","",INDEX(Master!$E$2:$E$1001,$O72))</f>
      </c>
      <c r="F72">
        <f>IF($O72="","",INDEX(Master!$F$2:$F$1001,$O72))</f>
      </c>
      <c r="G72">
        <f>IF($O72="","",INDEX(Master!$G$2:$G$1001,$O72))</f>
      </c>
      <c r="H72">
        <f>IF($O72="","",INDEX(Master!$H$2:$H$1001,$O72))</f>
      </c>
      <c r="I72">
        <f>IF($O72="","",INDEX(Master!$I$2:$I$1001,$O72))</f>
      </c>
      <c r="J72">
        <f>IF($O72="","",INDEX(Master!$J$2:$J$1001,$O72))</f>
      </c>
      <c r="K72">
        <f t="shared" si="2"/>
      </c>
      <c r="L72">
        <f>IF($O72="","",INDEX(Master!$K$2:$K$1001,$O72))</f>
      </c>
      <c r="M72">
        <f>IF($O72="","",INDEX(Master!$L$2:$L$1001,$O72))</f>
      </c>
      <c r="O72">
        <f t="array" ref="O72">IFERROR(SMALL(IF(Master!$A$2:$A$1001="SHREE RADHE",ROW(Master!$A$2:$A$1001)-ROW(Master!$A$2)+1),68),"")</f>
      </c>
      <c r="P72">
        <f t="shared" si="3"/>
      </c>
    </row>
    <row r="73" spans="1:16" x14ac:dyDescent="0.25">
      <c r="A73">
        <f>IF($O73="","",INDEX(Master!$D$2:$D$1001,$O73))</f>
      </c>
      <c r="B73" s="236">
        <f>IF($O73="","",INDEX(Master!$B$2:$B$1001,$O73))</f>
      </c>
      <c r="C73">
        <f>IF($O73="","",INDEX(Master!$C$2:$C$1001,$O73))</f>
      </c>
      <c r="D73">
        <f>IF($O73="","",INDEX(Master!$A$2:$A$1001,$O73))</f>
      </c>
      <c r="E73">
        <f>IF($O73="","",INDEX(Master!$E$2:$E$1001,$O73))</f>
      </c>
      <c r="F73">
        <f>IF($O73="","",INDEX(Master!$F$2:$F$1001,$O73))</f>
      </c>
      <c r="G73">
        <f>IF($O73="","",INDEX(Master!$G$2:$G$1001,$O73))</f>
      </c>
      <c r="H73">
        <f>IF($O73="","",INDEX(Master!$H$2:$H$1001,$O73))</f>
      </c>
      <c r="I73">
        <f>IF($O73="","",INDEX(Master!$I$2:$I$1001,$O73))</f>
      </c>
      <c r="J73">
        <f>IF($O73="","",INDEX(Master!$J$2:$J$1001,$O73))</f>
      </c>
      <c r="K73">
        <f t="shared" si="2"/>
      </c>
      <c r="L73">
        <f>IF($O73="","",INDEX(Master!$K$2:$K$1001,$O73))</f>
      </c>
      <c r="M73">
        <f>IF($O73="","",INDEX(Master!$L$2:$L$1001,$O73))</f>
      </c>
      <c r="O73">
        <f t="array" ref="O73">IFERROR(SMALL(IF(Master!$A$2:$A$1001="SHREE RADHE",ROW(Master!$A$2:$A$1001)-ROW(Master!$A$2)+1),69),"")</f>
      </c>
      <c r="P73">
        <f t="shared" si="3"/>
      </c>
    </row>
    <row r="74" spans="1:16" x14ac:dyDescent="0.25">
      <c r="A74">
        <f>IF($O74="","",INDEX(Master!$D$2:$D$1001,$O74))</f>
      </c>
      <c r="B74" s="236">
        <f>IF($O74="","",INDEX(Master!$B$2:$B$1001,$O74))</f>
      </c>
      <c r="C74">
        <f>IF($O74="","",INDEX(Master!$C$2:$C$1001,$O74))</f>
      </c>
      <c r="D74">
        <f>IF($O74="","",INDEX(Master!$A$2:$A$1001,$O74))</f>
      </c>
      <c r="E74">
        <f>IF($O74="","",INDEX(Master!$E$2:$E$1001,$O74))</f>
      </c>
      <c r="F74">
        <f>IF($O74="","",INDEX(Master!$F$2:$F$1001,$O74))</f>
      </c>
      <c r="G74">
        <f>IF($O74="","",INDEX(Master!$G$2:$G$1001,$O74))</f>
      </c>
      <c r="H74">
        <f>IF($O74="","",INDEX(Master!$H$2:$H$1001,$O74))</f>
      </c>
      <c r="I74">
        <f>IF($O74="","",INDEX(Master!$I$2:$I$1001,$O74))</f>
      </c>
      <c r="J74">
        <f>IF($O74="","",INDEX(Master!$J$2:$J$1001,$O74))</f>
      </c>
      <c r="K74">
        <f t="shared" si="2"/>
      </c>
      <c r="L74">
        <f>IF($O74="","",INDEX(Master!$K$2:$K$1001,$O74))</f>
      </c>
      <c r="M74">
        <f>IF($O74="","",INDEX(Master!$L$2:$L$1001,$O74))</f>
      </c>
      <c r="O74">
        <f t="array" ref="O74">IFERROR(SMALL(IF(Master!$A$2:$A$1001="SHREE RADHE",ROW(Master!$A$2:$A$1001)-ROW(Master!$A$2)+1),70),"")</f>
      </c>
      <c r="P74">
        <f t="shared" si="3"/>
      </c>
    </row>
    <row r="75" spans="1:16" x14ac:dyDescent="0.25">
      <c r="A75">
        <f>IF($O75="","",INDEX(Master!$D$2:$D$1001,$O75))</f>
      </c>
      <c r="B75" s="236">
        <f>IF($O75="","",INDEX(Master!$B$2:$B$1001,$O75))</f>
      </c>
      <c r="C75">
        <f>IF($O75="","",INDEX(Master!$C$2:$C$1001,$O75))</f>
      </c>
      <c r="D75">
        <f>IF($O75="","",INDEX(Master!$A$2:$A$1001,$O75))</f>
      </c>
      <c r="E75">
        <f>IF($O75="","",INDEX(Master!$E$2:$E$1001,$O75))</f>
      </c>
      <c r="F75">
        <f>IF($O75="","",INDEX(Master!$F$2:$F$1001,$O75))</f>
      </c>
      <c r="G75">
        <f>IF($O75="","",INDEX(Master!$G$2:$G$1001,$O75))</f>
      </c>
      <c r="H75">
        <f>IF($O75="","",INDEX(Master!$H$2:$H$1001,$O75))</f>
      </c>
      <c r="I75">
        <f>IF($O75="","",INDEX(Master!$I$2:$I$1001,$O75))</f>
      </c>
      <c r="J75">
        <f>IF($O75="","",INDEX(Master!$J$2:$J$1001,$O75))</f>
      </c>
      <c r="K75">
        <f t="shared" si="2"/>
      </c>
      <c r="L75">
        <f>IF($O75="","",INDEX(Master!$K$2:$K$1001,$O75))</f>
      </c>
      <c r="M75">
        <f>IF($O75="","",INDEX(Master!$L$2:$L$1001,$O75))</f>
      </c>
      <c r="O75">
        <f t="array" ref="O75">IFERROR(SMALL(IF(Master!$A$2:$A$1001="SHREE RADHE",ROW(Master!$A$2:$A$1001)-ROW(Master!$A$2)+1),71),"")</f>
      </c>
      <c r="P75">
        <f t="shared" si="3"/>
      </c>
    </row>
    <row r="76" spans="1:16" x14ac:dyDescent="0.25">
      <c r="A76">
        <f>IF($O76="","",INDEX(Master!$D$2:$D$1001,$O76))</f>
      </c>
      <c r="B76" s="236">
        <f>IF($O76="","",INDEX(Master!$B$2:$B$1001,$O76))</f>
      </c>
      <c r="C76">
        <f>IF($O76="","",INDEX(Master!$C$2:$C$1001,$O76))</f>
      </c>
      <c r="D76">
        <f>IF($O76="","",INDEX(Master!$A$2:$A$1001,$O76))</f>
      </c>
      <c r="E76">
        <f>IF($O76="","",INDEX(Master!$E$2:$E$1001,$O76))</f>
      </c>
      <c r="F76">
        <f>IF($O76="","",INDEX(Master!$F$2:$F$1001,$O76))</f>
      </c>
      <c r="G76">
        <f>IF($O76="","",INDEX(Master!$G$2:$G$1001,$O76))</f>
      </c>
      <c r="H76">
        <f>IF($O76="","",INDEX(Master!$H$2:$H$1001,$O76))</f>
      </c>
      <c r="I76">
        <f>IF($O76="","",INDEX(Master!$I$2:$I$1001,$O76))</f>
      </c>
      <c r="J76">
        <f>IF($O76="","",INDEX(Master!$J$2:$J$1001,$O76))</f>
      </c>
      <c r="K76">
        <f t="shared" si="2"/>
      </c>
      <c r="L76">
        <f>IF($O76="","",INDEX(Master!$K$2:$K$1001,$O76))</f>
      </c>
      <c r="M76">
        <f>IF($O76="","",INDEX(Master!$L$2:$L$1001,$O76))</f>
      </c>
      <c r="O76">
        <f t="array" ref="O76">IFERROR(SMALL(IF(Master!$A$2:$A$1001="SHREE RADHE",ROW(Master!$A$2:$A$1001)-ROW(Master!$A$2)+1),72),"")</f>
      </c>
      <c r="P76">
        <f t="shared" si="3"/>
      </c>
    </row>
    <row r="77" spans="1:16" x14ac:dyDescent="0.25">
      <c r="A77">
        <f>IF($O77="","",INDEX(Master!$D$2:$D$1001,$O77))</f>
      </c>
      <c r="B77" s="236">
        <f>IF($O77="","",INDEX(Master!$B$2:$B$1001,$O77))</f>
      </c>
      <c r="C77">
        <f>IF($O77="","",INDEX(Master!$C$2:$C$1001,$O77))</f>
      </c>
      <c r="D77">
        <f>IF($O77="","",INDEX(Master!$A$2:$A$1001,$O77))</f>
      </c>
      <c r="E77">
        <f>IF($O77="","",INDEX(Master!$E$2:$E$1001,$O77))</f>
      </c>
      <c r="F77">
        <f>IF($O77="","",INDEX(Master!$F$2:$F$1001,$O77))</f>
      </c>
      <c r="G77">
        <f>IF($O77="","",INDEX(Master!$G$2:$G$1001,$O77))</f>
      </c>
      <c r="H77">
        <f>IF($O77="","",INDEX(Master!$H$2:$H$1001,$O77))</f>
      </c>
      <c r="I77">
        <f>IF($O77="","",INDEX(Master!$I$2:$I$1001,$O77))</f>
      </c>
      <c r="J77">
        <f>IF($O77="","",INDEX(Master!$J$2:$J$1001,$O77))</f>
      </c>
      <c r="K77">
        <f t="shared" si="2"/>
      </c>
      <c r="L77">
        <f>IF($O77="","",INDEX(Master!$K$2:$K$1001,$O77))</f>
      </c>
      <c r="M77">
        <f>IF($O77="","",INDEX(Master!$L$2:$L$1001,$O77))</f>
      </c>
      <c r="O77">
        <f t="array" ref="O77">IFERROR(SMALL(IF(Master!$A$2:$A$1001="SHREE RADHE",ROW(Master!$A$2:$A$1001)-ROW(Master!$A$2)+1),73),"")</f>
      </c>
      <c r="P77">
        <f t="shared" si="3"/>
      </c>
    </row>
    <row r="78" spans="1:16" x14ac:dyDescent="0.25">
      <c r="A78">
        <f>IF($O78="","",INDEX(Master!$D$2:$D$1001,$O78))</f>
      </c>
      <c r="B78" s="236">
        <f>IF($O78="","",INDEX(Master!$B$2:$B$1001,$O78))</f>
      </c>
      <c r="C78">
        <f>IF($O78="","",INDEX(Master!$C$2:$C$1001,$O78))</f>
      </c>
      <c r="D78">
        <f>IF($O78="","",INDEX(Master!$A$2:$A$1001,$O78))</f>
      </c>
      <c r="E78">
        <f>IF($O78="","",INDEX(Master!$E$2:$E$1001,$O78))</f>
      </c>
      <c r="F78">
        <f>IF($O78="","",INDEX(Master!$F$2:$F$1001,$O78))</f>
      </c>
      <c r="G78">
        <f>IF($O78="","",INDEX(Master!$G$2:$G$1001,$O78))</f>
      </c>
      <c r="H78">
        <f>IF($O78="","",INDEX(Master!$H$2:$H$1001,$O78))</f>
      </c>
      <c r="I78">
        <f>IF($O78="","",INDEX(Master!$I$2:$I$1001,$O78))</f>
      </c>
      <c r="J78">
        <f>IF($O78="","",INDEX(Master!$J$2:$J$1001,$O78))</f>
      </c>
      <c r="K78">
        <f t="shared" si="2"/>
      </c>
      <c r="L78">
        <f>IF($O78="","",INDEX(Master!$K$2:$K$1001,$O78))</f>
      </c>
      <c r="M78">
        <f>IF($O78="","",INDEX(Master!$L$2:$L$1001,$O78))</f>
      </c>
      <c r="O78">
        <f t="array" ref="O78">IFERROR(SMALL(IF(Master!$A$2:$A$1001="SHREE RADHE",ROW(Master!$A$2:$A$1001)-ROW(Master!$A$2)+1),74),"")</f>
      </c>
      <c r="P78">
        <f t="shared" si="3"/>
      </c>
    </row>
    <row r="79" spans="1:16" x14ac:dyDescent="0.25">
      <c r="A79">
        <f>IF($O79="","",INDEX(Master!$D$2:$D$1001,$O79))</f>
      </c>
      <c r="B79" s="236">
        <f>IF($O79="","",INDEX(Master!$B$2:$B$1001,$O79))</f>
      </c>
      <c r="C79">
        <f>IF($O79="","",INDEX(Master!$C$2:$C$1001,$O79))</f>
      </c>
      <c r="D79">
        <f>IF($O79="","",INDEX(Master!$A$2:$A$1001,$O79))</f>
      </c>
      <c r="E79">
        <f>IF($O79="","",INDEX(Master!$E$2:$E$1001,$O79))</f>
      </c>
      <c r="F79">
        <f>IF($O79="","",INDEX(Master!$F$2:$F$1001,$O79))</f>
      </c>
      <c r="G79">
        <f>IF($O79="","",INDEX(Master!$G$2:$G$1001,$O79))</f>
      </c>
      <c r="H79">
        <f>IF($O79="","",INDEX(Master!$H$2:$H$1001,$O79))</f>
      </c>
      <c r="I79">
        <f>IF($O79="","",INDEX(Master!$I$2:$I$1001,$O79))</f>
      </c>
      <c r="J79">
        <f>IF($O79="","",INDEX(Master!$J$2:$J$1001,$O79))</f>
      </c>
      <c r="K79">
        <f t="shared" si="2"/>
      </c>
      <c r="L79">
        <f>IF($O79="","",INDEX(Master!$K$2:$K$1001,$O79))</f>
      </c>
      <c r="M79">
        <f>IF($O79="","",INDEX(Master!$L$2:$L$1001,$O79))</f>
      </c>
      <c r="O79">
        <f t="array" ref="O79">IFERROR(SMALL(IF(Master!$A$2:$A$1001="SHREE RADHE",ROW(Master!$A$2:$A$1001)-ROW(Master!$A$2)+1),75),"")</f>
      </c>
      <c r="P79">
        <f t="shared" si="3"/>
      </c>
    </row>
    <row r="80" spans="1:16" x14ac:dyDescent="0.25">
      <c r="A80">
        <f>IF($O80="","",INDEX(Master!$D$2:$D$1001,$O80))</f>
      </c>
      <c r="B80" s="236">
        <f>IF($O80="","",INDEX(Master!$B$2:$B$1001,$O80))</f>
      </c>
      <c r="C80">
        <f>IF($O80="","",INDEX(Master!$C$2:$C$1001,$O80))</f>
      </c>
      <c r="D80">
        <f>IF($O80="","",INDEX(Master!$A$2:$A$1001,$O80))</f>
      </c>
      <c r="E80">
        <f>IF($O80="","",INDEX(Master!$E$2:$E$1001,$O80))</f>
      </c>
      <c r="F80">
        <f>IF($O80="","",INDEX(Master!$F$2:$F$1001,$O80))</f>
      </c>
      <c r="G80">
        <f>IF($O80="","",INDEX(Master!$G$2:$G$1001,$O80))</f>
      </c>
      <c r="H80">
        <f>IF($O80="","",INDEX(Master!$H$2:$H$1001,$O80))</f>
      </c>
      <c r="I80">
        <f>IF($O80="","",INDEX(Master!$I$2:$I$1001,$O80))</f>
      </c>
      <c r="J80">
        <f>IF($O80="","",INDEX(Master!$J$2:$J$1001,$O80))</f>
      </c>
      <c r="K80">
        <f t="shared" si="2"/>
      </c>
      <c r="L80">
        <f>IF($O80="","",INDEX(Master!$K$2:$K$1001,$O80))</f>
      </c>
      <c r="M80">
        <f>IF($O80="","",INDEX(Master!$L$2:$L$1001,$O80))</f>
      </c>
      <c r="O80">
        <f t="array" ref="O80">IFERROR(SMALL(IF(Master!$A$2:$A$1001="SHREE RADHE",ROW(Master!$A$2:$A$1001)-ROW(Master!$A$2)+1),76),"")</f>
      </c>
      <c r="P80">
        <f t="shared" si="3"/>
      </c>
    </row>
    <row r="81" spans="1:16" x14ac:dyDescent="0.25">
      <c r="A81">
        <f>IF($O81="","",INDEX(Master!$D$2:$D$1001,$O81))</f>
      </c>
      <c r="B81" s="236">
        <f>IF($O81="","",INDEX(Master!$B$2:$B$1001,$O81))</f>
      </c>
      <c r="C81">
        <f>IF($O81="","",INDEX(Master!$C$2:$C$1001,$O81))</f>
      </c>
      <c r="D81">
        <f>IF($O81="","",INDEX(Master!$A$2:$A$1001,$O81))</f>
      </c>
      <c r="E81">
        <f>IF($O81="","",INDEX(Master!$E$2:$E$1001,$O81))</f>
      </c>
      <c r="F81">
        <f>IF($O81="","",INDEX(Master!$F$2:$F$1001,$O81))</f>
      </c>
      <c r="G81">
        <f>IF($O81="","",INDEX(Master!$G$2:$G$1001,$O81))</f>
      </c>
      <c r="H81">
        <f>IF($O81="","",INDEX(Master!$H$2:$H$1001,$O81))</f>
      </c>
      <c r="I81">
        <f>IF($O81="","",INDEX(Master!$I$2:$I$1001,$O81))</f>
      </c>
      <c r="J81">
        <f>IF($O81="","",INDEX(Master!$J$2:$J$1001,$O81))</f>
      </c>
      <c r="K81">
        <f t="shared" si="2"/>
      </c>
      <c r="L81">
        <f>IF($O81="","",INDEX(Master!$K$2:$K$1001,$O81))</f>
      </c>
      <c r="M81">
        <f>IF($O81="","",INDEX(Master!$L$2:$L$1001,$O81))</f>
      </c>
      <c r="O81">
        <f t="array" ref="O81">IFERROR(SMALL(IF(Master!$A$2:$A$1001="SHREE RADHE",ROW(Master!$A$2:$A$1001)-ROW(Master!$A$2)+1),77),"")</f>
      </c>
      <c r="P81">
        <f t="shared" si="3"/>
      </c>
    </row>
    <row r="82" spans="1:16" x14ac:dyDescent="0.25">
      <c r="A82">
        <f>IF($O82="","",INDEX(Master!$D$2:$D$1001,$O82))</f>
      </c>
      <c r="B82" s="236">
        <f>IF($O82="","",INDEX(Master!$B$2:$B$1001,$O82))</f>
      </c>
      <c r="C82">
        <f>IF($O82="","",INDEX(Master!$C$2:$C$1001,$O82))</f>
      </c>
      <c r="D82">
        <f>IF($O82="","",INDEX(Master!$A$2:$A$1001,$O82))</f>
      </c>
      <c r="E82">
        <f>IF($O82="","",INDEX(Master!$E$2:$E$1001,$O82))</f>
      </c>
      <c r="F82">
        <f>IF($O82="","",INDEX(Master!$F$2:$F$1001,$O82))</f>
      </c>
      <c r="G82">
        <f>IF($O82="","",INDEX(Master!$G$2:$G$1001,$O82))</f>
      </c>
      <c r="H82">
        <f>IF($O82="","",INDEX(Master!$H$2:$H$1001,$O82))</f>
      </c>
      <c r="I82">
        <f>IF($O82="","",INDEX(Master!$I$2:$I$1001,$O82))</f>
      </c>
      <c r="J82">
        <f>IF($O82="","",INDEX(Master!$J$2:$J$1001,$O82))</f>
      </c>
      <c r="K82">
        <f t="shared" si="2"/>
      </c>
      <c r="L82">
        <f>IF($O82="","",INDEX(Master!$K$2:$K$1001,$O82))</f>
      </c>
      <c r="M82">
        <f>IF($O82="","",INDEX(Master!$L$2:$L$1001,$O82))</f>
      </c>
      <c r="O82">
        <f t="array" ref="O82">IFERROR(SMALL(IF(Master!$A$2:$A$1001="SHREE RADHE",ROW(Master!$A$2:$A$1001)-ROW(Master!$A$2)+1),78),"")</f>
      </c>
      <c r="P82">
        <f t="shared" si="3"/>
      </c>
    </row>
    <row r="83" spans="1:16" x14ac:dyDescent="0.25">
      <c r="A83">
        <f>IF($O83="","",INDEX(Master!$D$2:$D$1001,$O83))</f>
      </c>
      <c r="B83" s="236">
        <f>IF($O83="","",INDEX(Master!$B$2:$B$1001,$O83))</f>
      </c>
      <c r="C83">
        <f>IF($O83="","",INDEX(Master!$C$2:$C$1001,$O83))</f>
      </c>
      <c r="D83">
        <f>IF($O83="","",INDEX(Master!$A$2:$A$1001,$O83))</f>
      </c>
      <c r="E83">
        <f>IF($O83="","",INDEX(Master!$E$2:$E$1001,$O83))</f>
      </c>
      <c r="F83">
        <f>IF($O83="","",INDEX(Master!$F$2:$F$1001,$O83))</f>
      </c>
      <c r="G83">
        <f>IF($O83="","",INDEX(Master!$G$2:$G$1001,$O83))</f>
      </c>
      <c r="H83">
        <f>IF($O83="","",INDEX(Master!$H$2:$H$1001,$O83))</f>
      </c>
      <c r="I83">
        <f>IF($O83="","",INDEX(Master!$I$2:$I$1001,$O83))</f>
      </c>
      <c r="J83">
        <f>IF($O83="","",INDEX(Master!$J$2:$J$1001,$O83))</f>
      </c>
      <c r="K83">
        <f t="shared" si="2"/>
      </c>
      <c r="L83">
        <f>IF($O83="","",INDEX(Master!$K$2:$K$1001,$O83))</f>
      </c>
      <c r="M83">
        <f>IF($O83="","",INDEX(Master!$L$2:$L$1001,$O83))</f>
      </c>
      <c r="O83">
        <f t="array" ref="O83">IFERROR(SMALL(IF(Master!$A$2:$A$1001="SHREE RADHE",ROW(Master!$A$2:$A$1001)-ROW(Master!$A$2)+1),79),"")</f>
      </c>
      <c r="P83">
        <f t="shared" si="3"/>
      </c>
    </row>
    <row r="84" spans="1:16" x14ac:dyDescent="0.25">
      <c r="A84">
        <f>IF($O84="","",INDEX(Master!$D$2:$D$1001,$O84))</f>
      </c>
      <c r="B84" s="236">
        <f>IF($O84="","",INDEX(Master!$B$2:$B$1001,$O84))</f>
      </c>
      <c r="C84">
        <f>IF($O84="","",INDEX(Master!$C$2:$C$1001,$O84))</f>
      </c>
      <c r="D84">
        <f>IF($O84="","",INDEX(Master!$A$2:$A$1001,$O84))</f>
      </c>
      <c r="E84">
        <f>IF($O84="","",INDEX(Master!$E$2:$E$1001,$O84))</f>
      </c>
      <c r="F84">
        <f>IF($O84="","",INDEX(Master!$F$2:$F$1001,$O84))</f>
      </c>
      <c r="G84">
        <f>IF($O84="","",INDEX(Master!$G$2:$G$1001,$O84))</f>
      </c>
      <c r="H84">
        <f>IF($O84="","",INDEX(Master!$H$2:$H$1001,$O84))</f>
      </c>
      <c r="I84">
        <f>IF($O84="","",INDEX(Master!$I$2:$I$1001,$O84))</f>
      </c>
      <c r="J84">
        <f>IF($O84="","",INDEX(Master!$J$2:$J$1001,$O84))</f>
      </c>
      <c r="K84">
        <f t="shared" si="2"/>
      </c>
      <c r="L84">
        <f>IF($O84="","",INDEX(Master!$K$2:$K$1001,$O84))</f>
      </c>
      <c r="M84">
        <f>IF($O84="","",INDEX(Master!$L$2:$L$1001,$O84))</f>
      </c>
      <c r="O84">
        <f t="array" ref="O84">IFERROR(SMALL(IF(Master!$A$2:$A$1001="SHREE RADHE",ROW(Master!$A$2:$A$1001)-ROW(Master!$A$2)+1),80),"")</f>
      </c>
      <c r="P84">
        <f t="shared" si="3"/>
      </c>
    </row>
    <row r="85" spans="1:16" x14ac:dyDescent="0.25">
      <c r="A85">
        <f>IF($O85="","",INDEX(Master!$D$2:$D$1001,$O85))</f>
      </c>
      <c r="B85" s="236">
        <f>IF($O85="","",INDEX(Master!$B$2:$B$1001,$O85))</f>
      </c>
      <c r="C85">
        <f>IF($O85="","",INDEX(Master!$C$2:$C$1001,$O85))</f>
      </c>
      <c r="D85">
        <f>IF($O85="","",INDEX(Master!$A$2:$A$1001,$O85))</f>
      </c>
      <c r="E85">
        <f>IF($O85="","",INDEX(Master!$E$2:$E$1001,$O85))</f>
      </c>
      <c r="F85">
        <f>IF($O85="","",INDEX(Master!$F$2:$F$1001,$O85))</f>
      </c>
      <c r="G85">
        <f>IF($O85="","",INDEX(Master!$G$2:$G$1001,$O85))</f>
      </c>
      <c r="H85">
        <f>IF($O85="","",INDEX(Master!$H$2:$H$1001,$O85))</f>
      </c>
      <c r="I85">
        <f>IF($O85="","",INDEX(Master!$I$2:$I$1001,$O85))</f>
      </c>
      <c r="J85">
        <f>IF($O85="","",INDEX(Master!$J$2:$J$1001,$O85))</f>
      </c>
      <c r="K85">
        <f t="shared" si="2"/>
      </c>
      <c r="L85">
        <f>IF($O85="","",INDEX(Master!$K$2:$K$1001,$O85))</f>
      </c>
      <c r="M85">
        <f>IF($O85="","",INDEX(Master!$L$2:$L$1001,$O85))</f>
      </c>
      <c r="O85">
        <f t="array" ref="O85">IFERROR(SMALL(IF(Master!$A$2:$A$1001="SHREE RADHE",ROW(Master!$A$2:$A$1001)-ROW(Master!$A$2)+1),81),"")</f>
      </c>
      <c r="P85">
        <f t="shared" si="3"/>
      </c>
    </row>
    <row r="86" spans="1:16" x14ac:dyDescent="0.25">
      <c r="A86">
        <f>IF($O86="","",INDEX(Master!$D$2:$D$1001,$O86))</f>
      </c>
      <c r="B86" s="236">
        <f>IF($O86="","",INDEX(Master!$B$2:$B$1001,$O86))</f>
      </c>
      <c r="C86">
        <f>IF($O86="","",INDEX(Master!$C$2:$C$1001,$O86))</f>
      </c>
      <c r="D86">
        <f>IF($O86="","",INDEX(Master!$A$2:$A$1001,$O86))</f>
      </c>
      <c r="E86">
        <f>IF($O86="","",INDEX(Master!$E$2:$E$1001,$O86))</f>
      </c>
      <c r="F86">
        <f>IF($O86="","",INDEX(Master!$F$2:$F$1001,$O86))</f>
      </c>
      <c r="G86">
        <f>IF($O86="","",INDEX(Master!$G$2:$G$1001,$O86))</f>
      </c>
      <c r="H86">
        <f>IF($O86="","",INDEX(Master!$H$2:$H$1001,$O86))</f>
      </c>
      <c r="I86">
        <f>IF($O86="","",INDEX(Master!$I$2:$I$1001,$O86))</f>
      </c>
      <c r="J86">
        <f>IF($O86="","",INDEX(Master!$J$2:$J$1001,$O86))</f>
      </c>
      <c r="K86">
        <f t="shared" si="2"/>
      </c>
      <c r="L86">
        <f>IF($O86="","",INDEX(Master!$K$2:$K$1001,$O86))</f>
      </c>
      <c r="M86">
        <f>IF($O86="","",INDEX(Master!$L$2:$L$1001,$O86))</f>
      </c>
      <c r="O86">
        <f t="array" ref="O86">IFERROR(SMALL(IF(Master!$A$2:$A$1001="SHREE RADHE",ROW(Master!$A$2:$A$1001)-ROW(Master!$A$2)+1),82),"")</f>
      </c>
      <c r="P86">
        <f t="shared" si="3"/>
      </c>
    </row>
    <row r="87" spans="1:16" x14ac:dyDescent="0.25">
      <c r="A87">
        <f>IF($O87="","",INDEX(Master!$D$2:$D$1001,$O87))</f>
      </c>
      <c r="B87" s="236">
        <f>IF($O87="","",INDEX(Master!$B$2:$B$1001,$O87))</f>
      </c>
      <c r="C87">
        <f>IF($O87="","",INDEX(Master!$C$2:$C$1001,$O87))</f>
      </c>
      <c r="D87">
        <f>IF($O87="","",INDEX(Master!$A$2:$A$1001,$O87))</f>
      </c>
      <c r="E87">
        <f>IF($O87="","",INDEX(Master!$E$2:$E$1001,$O87))</f>
      </c>
      <c r="F87">
        <f>IF($O87="","",INDEX(Master!$F$2:$F$1001,$O87))</f>
      </c>
      <c r="G87">
        <f>IF($O87="","",INDEX(Master!$G$2:$G$1001,$O87))</f>
      </c>
      <c r="H87">
        <f>IF($O87="","",INDEX(Master!$H$2:$H$1001,$O87))</f>
      </c>
      <c r="I87">
        <f>IF($O87="","",INDEX(Master!$I$2:$I$1001,$O87))</f>
      </c>
      <c r="J87">
        <f>IF($O87="","",INDEX(Master!$J$2:$J$1001,$O87))</f>
      </c>
      <c r="K87">
        <f t="shared" si="2"/>
      </c>
      <c r="L87">
        <f>IF($O87="","",INDEX(Master!$K$2:$K$1001,$O87))</f>
      </c>
      <c r="M87">
        <f>IF($O87="","",INDEX(Master!$L$2:$L$1001,$O87))</f>
      </c>
      <c r="O87">
        <f t="array" ref="O87">IFERROR(SMALL(IF(Master!$A$2:$A$1001="SHREE RADHE",ROW(Master!$A$2:$A$1001)-ROW(Master!$A$2)+1),83),"")</f>
      </c>
      <c r="P87">
        <f t="shared" si="3"/>
      </c>
    </row>
    <row r="88" spans="1:16" x14ac:dyDescent="0.25">
      <c r="A88">
        <f>IF($O88="","",INDEX(Master!$D$2:$D$1001,$O88))</f>
      </c>
      <c r="B88" s="236">
        <f>IF($O88="","",INDEX(Master!$B$2:$B$1001,$O88))</f>
      </c>
      <c r="C88">
        <f>IF($O88="","",INDEX(Master!$C$2:$C$1001,$O88))</f>
      </c>
      <c r="D88">
        <f>IF($O88="","",INDEX(Master!$A$2:$A$1001,$O88))</f>
      </c>
      <c r="E88">
        <f>IF($O88="","",INDEX(Master!$E$2:$E$1001,$O88))</f>
      </c>
      <c r="F88">
        <f>IF($O88="","",INDEX(Master!$F$2:$F$1001,$O88))</f>
      </c>
      <c r="G88">
        <f>IF($O88="","",INDEX(Master!$G$2:$G$1001,$O88))</f>
      </c>
      <c r="H88">
        <f>IF($O88="","",INDEX(Master!$H$2:$H$1001,$O88))</f>
      </c>
      <c r="I88">
        <f>IF($O88="","",INDEX(Master!$I$2:$I$1001,$O88))</f>
      </c>
      <c r="J88">
        <f>IF($O88="","",INDEX(Master!$J$2:$J$1001,$O88))</f>
      </c>
      <c r="K88">
        <f t="shared" si="2"/>
      </c>
      <c r="L88">
        <f>IF($O88="","",INDEX(Master!$K$2:$K$1001,$O88))</f>
      </c>
      <c r="M88">
        <f>IF($O88="","",INDEX(Master!$L$2:$L$1001,$O88))</f>
      </c>
      <c r="O88">
        <f t="array" ref="O88">IFERROR(SMALL(IF(Master!$A$2:$A$1001="SHREE RADHE",ROW(Master!$A$2:$A$1001)-ROW(Master!$A$2)+1),84),"")</f>
      </c>
      <c r="P88">
        <f t="shared" si="3"/>
      </c>
    </row>
    <row r="89" spans="1:16" x14ac:dyDescent="0.25">
      <c r="A89">
        <f>IF($O89="","",INDEX(Master!$D$2:$D$1001,$O89))</f>
      </c>
      <c r="B89" s="236">
        <f>IF($O89="","",INDEX(Master!$B$2:$B$1001,$O89))</f>
      </c>
      <c r="C89">
        <f>IF($O89="","",INDEX(Master!$C$2:$C$1001,$O89))</f>
      </c>
      <c r="D89">
        <f>IF($O89="","",INDEX(Master!$A$2:$A$1001,$O89))</f>
      </c>
      <c r="E89">
        <f>IF($O89="","",INDEX(Master!$E$2:$E$1001,$O89))</f>
      </c>
      <c r="F89">
        <f>IF($O89="","",INDEX(Master!$F$2:$F$1001,$O89))</f>
      </c>
      <c r="G89">
        <f>IF($O89="","",INDEX(Master!$G$2:$G$1001,$O89))</f>
      </c>
      <c r="H89">
        <f>IF($O89="","",INDEX(Master!$H$2:$H$1001,$O89))</f>
      </c>
      <c r="I89">
        <f>IF($O89="","",INDEX(Master!$I$2:$I$1001,$O89))</f>
      </c>
      <c r="J89">
        <f>IF($O89="","",INDEX(Master!$J$2:$J$1001,$O89))</f>
      </c>
      <c r="K89">
        <f t="shared" si="2"/>
      </c>
      <c r="L89">
        <f>IF($O89="","",INDEX(Master!$K$2:$K$1001,$O89))</f>
      </c>
      <c r="M89">
        <f>IF($O89="","",INDEX(Master!$L$2:$L$1001,$O89))</f>
      </c>
      <c r="O89">
        <f t="array" ref="O89">IFERROR(SMALL(IF(Master!$A$2:$A$1001="SHREE RADHE",ROW(Master!$A$2:$A$1001)-ROW(Master!$A$2)+1),85),"")</f>
      </c>
      <c r="P89">
        <f t="shared" si="3"/>
      </c>
    </row>
    <row r="90" spans="1:16" x14ac:dyDescent="0.25">
      <c r="A90">
        <f>IF($O90="","",INDEX(Master!$D$2:$D$1001,$O90))</f>
      </c>
      <c r="B90" s="236">
        <f>IF($O90="","",INDEX(Master!$B$2:$B$1001,$O90))</f>
      </c>
      <c r="C90">
        <f>IF($O90="","",INDEX(Master!$C$2:$C$1001,$O90))</f>
      </c>
      <c r="D90">
        <f>IF($O90="","",INDEX(Master!$A$2:$A$1001,$O90))</f>
      </c>
      <c r="E90">
        <f>IF($O90="","",INDEX(Master!$E$2:$E$1001,$O90))</f>
      </c>
      <c r="F90">
        <f>IF($O90="","",INDEX(Master!$F$2:$F$1001,$O90))</f>
      </c>
      <c r="G90">
        <f>IF($O90="","",INDEX(Master!$G$2:$G$1001,$O90))</f>
      </c>
      <c r="H90">
        <f>IF($O90="","",INDEX(Master!$H$2:$H$1001,$O90))</f>
      </c>
      <c r="I90">
        <f>IF($O90="","",INDEX(Master!$I$2:$I$1001,$O90))</f>
      </c>
      <c r="J90">
        <f>IF($O90="","",INDEX(Master!$J$2:$J$1001,$O90))</f>
      </c>
      <c r="K90">
        <f t="shared" si="2"/>
      </c>
      <c r="L90">
        <f>IF($O90="","",INDEX(Master!$K$2:$K$1001,$O90))</f>
      </c>
      <c r="M90">
        <f>IF($O90="","",INDEX(Master!$L$2:$L$1001,$O90))</f>
      </c>
      <c r="O90">
        <f t="array" ref="O90">IFERROR(SMALL(IF(Master!$A$2:$A$1001="SHREE RADHE",ROW(Master!$A$2:$A$1001)-ROW(Master!$A$2)+1),86),"")</f>
      </c>
      <c r="P90">
        <f t="shared" si="3"/>
      </c>
    </row>
    <row r="91" spans="1:16" x14ac:dyDescent="0.25">
      <c r="A91">
        <f>IF($O91="","",INDEX(Master!$D$2:$D$1001,$O91))</f>
      </c>
      <c r="B91" s="236">
        <f>IF($O91="","",INDEX(Master!$B$2:$B$1001,$O91))</f>
      </c>
      <c r="C91">
        <f>IF($O91="","",INDEX(Master!$C$2:$C$1001,$O91))</f>
      </c>
      <c r="D91">
        <f>IF($O91="","",INDEX(Master!$A$2:$A$1001,$O91))</f>
      </c>
      <c r="E91">
        <f>IF($O91="","",INDEX(Master!$E$2:$E$1001,$O91))</f>
      </c>
      <c r="F91">
        <f>IF($O91="","",INDEX(Master!$F$2:$F$1001,$O91))</f>
      </c>
      <c r="G91">
        <f>IF($O91="","",INDEX(Master!$G$2:$G$1001,$O91))</f>
      </c>
      <c r="H91">
        <f>IF($O91="","",INDEX(Master!$H$2:$H$1001,$O91))</f>
      </c>
      <c r="I91">
        <f>IF($O91="","",INDEX(Master!$I$2:$I$1001,$O91))</f>
      </c>
      <c r="J91">
        <f>IF($O91="","",INDEX(Master!$J$2:$J$1001,$O91))</f>
      </c>
      <c r="K91">
        <f t="shared" si="2"/>
      </c>
      <c r="L91">
        <f>IF($O91="","",INDEX(Master!$K$2:$K$1001,$O91))</f>
      </c>
      <c r="M91">
        <f>IF($O91="","",INDEX(Master!$L$2:$L$1001,$O91))</f>
      </c>
      <c r="O91">
        <f t="array" ref="O91">IFERROR(SMALL(IF(Master!$A$2:$A$1001="SHREE RADHE",ROW(Master!$A$2:$A$1001)-ROW(Master!$A$2)+1),87),"")</f>
      </c>
      <c r="P91">
        <f t="shared" si="3"/>
      </c>
    </row>
    <row r="92" spans="1:16" x14ac:dyDescent="0.25">
      <c r="A92">
        <f>IF($O92="","",INDEX(Master!$D$2:$D$1001,$O92))</f>
      </c>
      <c r="B92" s="236">
        <f>IF($O92="","",INDEX(Master!$B$2:$B$1001,$O92))</f>
      </c>
      <c r="C92">
        <f>IF($O92="","",INDEX(Master!$C$2:$C$1001,$O92))</f>
      </c>
      <c r="D92">
        <f>IF($O92="","",INDEX(Master!$A$2:$A$1001,$O92))</f>
      </c>
      <c r="E92">
        <f>IF($O92="","",INDEX(Master!$E$2:$E$1001,$O92))</f>
      </c>
      <c r="F92">
        <f>IF($O92="","",INDEX(Master!$F$2:$F$1001,$O92))</f>
      </c>
      <c r="G92">
        <f>IF($O92="","",INDEX(Master!$G$2:$G$1001,$O92))</f>
      </c>
      <c r="H92">
        <f>IF($O92="","",INDEX(Master!$H$2:$H$1001,$O92))</f>
      </c>
      <c r="I92">
        <f>IF($O92="","",INDEX(Master!$I$2:$I$1001,$O92))</f>
      </c>
      <c r="J92">
        <f>IF($O92="","",INDEX(Master!$J$2:$J$1001,$O92))</f>
      </c>
      <c r="K92">
        <f t="shared" si="2"/>
      </c>
      <c r="L92">
        <f>IF($O92="","",INDEX(Master!$K$2:$K$1001,$O92))</f>
      </c>
      <c r="M92">
        <f>IF($O92="","",INDEX(Master!$L$2:$L$1001,$O92))</f>
      </c>
      <c r="O92">
        <f t="array" ref="O92">IFERROR(SMALL(IF(Master!$A$2:$A$1001="SHREE RADHE",ROW(Master!$A$2:$A$1001)-ROW(Master!$A$2)+1),88),"")</f>
      </c>
      <c r="P92">
        <f t="shared" si="3"/>
      </c>
    </row>
    <row r="93" spans="1:16" x14ac:dyDescent="0.25">
      <c r="A93">
        <f>IF($O93="","",INDEX(Master!$D$2:$D$1001,$O93))</f>
      </c>
      <c r="B93" s="236">
        <f>IF($O93="","",INDEX(Master!$B$2:$B$1001,$O93))</f>
      </c>
      <c r="C93">
        <f>IF($O93="","",INDEX(Master!$C$2:$C$1001,$O93))</f>
      </c>
      <c r="D93">
        <f>IF($O93="","",INDEX(Master!$A$2:$A$1001,$O93))</f>
      </c>
      <c r="E93">
        <f>IF($O93="","",INDEX(Master!$E$2:$E$1001,$O93))</f>
      </c>
      <c r="F93">
        <f>IF($O93="","",INDEX(Master!$F$2:$F$1001,$O93))</f>
      </c>
      <c r="G93">
        <f>IF($O93="","",INDEX(Master!$G$2:$G$1001,$O93))</f>
      </c>
      <c r="H93">
        <f>IF($O93="","",INDEX(Master!$H$2:$H$1001,$O93))</f>
      </c>
      <c r="I93">
        <f>IF($O93="","",INDEX(Master!$I$2:$I$1001,$O93))</f>
      </c>
      <c r="J93">
        <f>IF($O93="","",INDEX(Master!$J$2:$J$1001,$O93))</f>
      </c>
      <c r="K93">
        <f t="shared" si="2"/>
      </c>
      <c r="L93">
        <f>IF($O93="","",INDEX(Master!$K$2:$K$1001,$O93))</f>
      </c>
      <c r="M93">
        <f>IF($O93="","",INDEX(Master!$L$2:$L$1001,$O93))</f>
      </c>
      <c r="O93">
        <f t="array" ref="O93">IFERROR(SMALL(IF(Master!$A$2:$A$1001="SHREE RADHE",ROW(Master!$A$2:$A$1001)-ROW(Master!$A$2)+1),89),"")</f>
      </c>
      <c r="P93">
        <f t="shared" si="3"/>
      </c>
    </row>
    <row r="94" spans="1:16" x14ac:dyDescent="0.25">
      <c r="A94">
        <f>IF($O94="","",INDEX(Master!$D$2:$D$1001,$O94))</f>
      </c>
      <c r="B94" s="236">
        <f>IF($O94="","",INDEX(Master!$B$2:$B$1001,$O94))</f>
      </c>
      <c r="C94">
        <f>IF($O94="","",INDEX(Master!$C$2:$C$1001,$O94))</f>
      </c>
      <c r="D94">
        <f>IF($O94="","",INDEX(Master!$A$2:$A$1001,$O94))</f>
      </c>
      <c r="E94">
        <f>IF($O94="","",INDEX(Master!$E$2:$E$1001,$O94))</f>
      </c>
      <c r="F94">
        <f>IF($O94="","",INDEX(Master!$F$2:$F$1001,$O94))</f>
      </c>
      <c r="G94">
        <f>IF($O94="","",INDEX(Master!$G$2:$G$1001,$O94))</f>
      </c>
      <c r="H94">
        <f>IF($O94="","",INDEX(Master!$H$2:$H$1001,$O94))</f>
      </c>
      <c r="I94">
        <f>IF($O94="","",INDEX(Master!$I$2:$I$1001,$O94))</f>
      </c>
      <c r="J94">
        <f>IF($O94="","",INDEX(Master!$J$2:$J$1001,$O94))</f>
      </c>
      <c r="K94">
        <f t="shared" si="2"/>
      </c>
      <c r="L94">
        <f>IF($O94="","",INDEX(Master!$K$2:$K$1001,$O94))</f>
      </c>
      <c r="M94">
        <f>IF($O94="","",INDEX(Master!$L$2:$L$1001,$O94))</f>
      </c>
      <c r="O94">
        <f t="array" ref="O94">IFERROR(SMALL(IF(Master!$A$2:$A$1001="SHREE RADHE",ROW(Master!$A$2:$A$1001)-ROW(Master!$A$2)+1),90),"")</f>
      </c>
      <c r="P94">
        <f t="shared" si="3"/>
      </c>
    </row>
    <row r="95" spans="1:16" x14ac:dyDescent="0.25">
      <c r="A95">
        <f>IF($O95="","",INDEX(Master!$D$2:$D$1001,$O95))</f>
      </c>
      <c r="B95" s="236">
        <f>IF($O95="","",INDEX(Master!$B$2:$B$1001,$O95))</f>
      </c>
      <c r="C95">
        <f>IF($O95="","",INDEX(Master!$C$2:$C$1001,$O95))</f>
      </c>
      <c r="D95">
        <f>IF($O95="","",INDEX(Master!$A$2:$A$1001,$O95))</f>
      </c>
      <c r="E95">
        <f>IF($O95="","",INDEX(Master!$E$2:$E$1001,$O95))</f>
      </c>
      <c r="F95">
        <f>IF($O95="","",INDEX(Master!$F$2:$F$1001,$O95))</f>
      </c>
      <c r="G95">
        <f>IF($O95="","",INDEX(Master!$G$2:$G$1001,$O95))</f>
      </c>
      <c r="H95">
        <f>IF($O95="","",INDEX(Master!$H$2:$H$1001,$O95))</f>
      </c>
      <c r="I95">
        <f>IF($O95="","",INDEX(Master!$I$2:$I$1001,$O95))</f>
      </c>
      <c r="J95">
        <f>IF($O95="","",INDEX(Master!$J$2:$J$1001,$O95))</f>
      </c>
      <c r="K95">
        <f t="shared" si="2"/>
      </c>
      <c r="L95">
        <f>IF($O95="","",INDEX(Master!$K$2:$K$1001,$O95))</f>
      </c>
      <c r="M95">
        <f>IF($O95="","",INDEX(Master!$L$2:$L$1001,$O95))</f>
      </c>
      <c r="O95">
        <f t="array" ref="O95">IFERROR(SMALL(IF(Master!$A$2:$A$1001="SHREE RADHE",ROW(Master!$A$2:$A$1001)-ROW(Master!$A$2)+1),91),"")</f>
      </c>
      <c r="P95">
        <f t="shared" si="3"/>
      </c>
    </row>
    <row r="96" spans="1:16" x14ac:dyDescent="0.25">
      <c r="A96">
        <f>IF($O96="","",INDEX(Master!$D$2:$D$1001,$O96))</f>
      </c>
      <c r="B96" s="236">
        <f>IF($O96="","",INDEX(Master!$B$2:$B$1001,$O96))</f>
      </c>
      <c r="C96">
        <f>IF($O96="","",INDEX(Master!$C$2:$C$1001,$O96))</f>
      </c>
      <c r="D96">
        <f>IF($O96="","",INDEX(Master!$A$2:$A$1001,$O96))</f>
      </c>
      <c r="E96">
        <f>IF($O96="","",INDEX(Master!$E$2:$E$1001,$O96))</f>
      </c>
      <c r="F96">
        <f>IF($O96="","",INDEX(Master!$F$2:$F$1001,$O96))</f>
      </c>
      <c r="G96">
        <f>IF($O96="","",INDEX(Master!$G$2:$G$1001,$O96))</f>
      </c>
      <c r="H96">
        <f>IF($O96="","",INDEX(Master!$H$2:$H$1001,$O96))</f>
      </c>
      <c r="I96">
        <f>IF($O96="","",INDEX(Master!$I$2:$I$1001,$O96))</f>
      </c>
      <c r="J96">
        <f>IF($O96="","",INDEX(Master!$J$2:$J$1001,$O96))</f>
      </c>
      <c r="K96">
        <f t="shared" si="2"/>
      </c>
      <c r="L96">
        <f>IF($O96="","",INDEX(Master!$K$2:$K$1001,$O96))</f>
      </c>
      <c r="M96">
        <f>IF($O96="","",INDEX(Master!$L$2:$L$1001,$O96))</f>
      </c>
      <c r="O96">
        <f t="array" ref="O96">IFERROR(SMALL(IF(Master!$A$2:$A$1001="SHREE RADHE",ROW(Master!$A$2:$A$1001)-ROW(Master!$A$2)+1),92),"")</f>
      </c>
      <c r="P96">
        <f t="shared" si="3"/>
      </c>
    </row>
    <row r="97" spans="1:16" x14ac:dyDescent="0.25">
      <c r="A97">
        <f>IF($O97="","",INDEX(Master!$D$2:$D$1001,$O97))</f>
      </c>
      <c r="B97" s="236">
        <f>IF($O97="","",INDEX(Master!$B$2:$B$1001,$O97))</f>
      </c>
      <c r="C97">
        <f>IF($O97="","",INDEX(Master!$C$2:$C$1001,$O97))</f>
      </c>
      <c r="D97">
        <f>IF($O97="","",INDEX(Master!$A$2:$A$1001,$O97))</f>
      </c>
      <c r="E97">
        <f>IF($O97="","",INDEX(Master!$E$2:$E$1001,$O97))</f>
      </c>
      <c r="F97">
        <f>IF($O97="","",INDEX(Master!$F$2:$F$1001,$O97))</f>
      </c>
      <c r="G97">
        <f>IF($O97="","",INDEX(Master!$G$2:$G$1001,$O97))</f>
      </c>
      <c r="H97">
        <f>IF($O97="","",INDEX(Master!$H$2:$H$1001,$O97))</f>
      </c>
      <c r="I97">
        <f>IF($O97="","",INDEX(Master!$I$2:$I$1001,$O97))</f>
      </c>
      <c r="J97">
        <f>IF($O97="","",INDEX(Master!$J$2:$J$1001,$O97))</f>
      </c>
      <c r="K97">
        <f t="shared" si="2"/>
      </c>
      <c r="L97">
        <f>IF($O97="","",INDEX(Master!$K$2:$K$1001,$O97))</f>
      </c>
      <c r="M97">
        <f>IF($O97="","",INDEX(Master!$L$2:$L$1001,$O97))</f>
      </c>
      <c r="O97">
        <f t="array" ref="O97">IFERROR(SMALL(IF(Master!$A$2:$A$1001="SHREE RADHE",ROW(Master!$A$2:$A$1001)-ROW(Master!$A$2)+1),93),"")</f>
      </c>
      <c r="P97">
        <f t="shared" si="3"/>
      </c>
    </row>
    <row r="98" spans="1:16" x14ac:dyDescent="0.25">
      <c r="A98">
        <f>IF($O98="","",INDEX(Master!$D$2:$D$1001,$O98))</f>
      </c>
      <c r="B98" s="236">
        <f>IF($O98="","",INDEX(Master!$B$2:$B$1001,$O98))</f>
      </c>
      <c r="C98">
        <f>IF($O98="","",INDEX(Master!$C$2:$C$1001,$O98))</f>
      </c>
      <c r="D98">
        <f>IF($O98="","",INDEX(Master!$A$2:$A$1001,$O98))</f>
      </c>
      <c r="E98">
        <f>IF($O98="","",INDEX(Master!$E$2:$E$1001,$O98))</f>
      </c>
      <c r="F98">
        <f>IF($O98="","",INDEX(Master!$F$2:$F$1001,$O98))</f>
      </c>
      <c r="G98">
        <f>IF($O98="","",INDEX(Master!$G$2:$G$1001,$O98))</f>
      </c>
      <c r="H98">
        <f>IF($O98="","",INDEX(Master!$H$2:$H$1001,$O98))</f>
      </c>
      <c r="I98">
        <f>IF($O98="","",INDEX(Master!$I$2:$I$1001,$O98))</f>
      </c>
      <c r="J98">
        <f>IF($O98="","",INDEX(Master!$J$2:$J$1001,$O98))</f>
      </c>
      <c r="K98">
        <f t="shared" si="2"/>
      </c>
      <c r="L98">
        <f>IF($O98="","",INDEX(Master!$K$2:$K$1001,$O98))</f>
      </c>
      <c r="M98">
        <f>IF($O98="","",INDEX(Master!$L$2:$L$1001,$O98))</f>
      </c>
      <c r="O98">
        <f t="array" ref="O98">IFERROR(SMALL(IF(Master!$A$2:$A$1001="SHREE RADHE",ROW(Master!$A$2:$A$1001)-ROW(Master!$A$2)+1),94),"")</f>
      </c>
      <c r="P98">
        <f t="shared" si="3"/>
      </c>
    </row>
    <row r="99" spans="1:16" x14ac:dyDescent="0.25">
      <c r="A99">
        <f>IF($O99="","",INDEX(Master!$D$2:$D$1001,$O99))</f>
      </c>
      <c r="B99" s="236">
        <f>IF($O99="","",INDEX(Master!$B$2:$B$1001,$O99))</f>
      </c>
      <c r="C99">
        <f>IF($O99="","",INDEX(Master!$C$2:$C$1001,$O99))</f>
      </c>
      <c r="D99">
        <f>IF($O99="","",INDEX(Master!$A$2:$A$1001,$O99))</f>
      </c>
      <c r="E99">
        <f>IF($O99="","",INDEX(Master!$E$2:$E$1001,$O99))</f>
      </c>
      <c r="F99">
        <f>IF($O99="","",INDEX(Master!$F$2:$F$1001,$O99))</f>
      </c>
      <c r="G99">
        <f>IF($O99="","",INDEX(Master!$G$2:$G$1001,$O99))</f>
      </c>
      <c r="H99">
        <f>IF($O99="","",INDEX(Master!$H$2:$H$1001,$O99))</f>
      </c>
      <c r="I99">
        <f>IF($O99="","",INDEX(Master!$I$2:$I$1001,$O99))</f>
      </c>
      <c r="J99">
        <f>IF($O99="","",INDEX(Master!$J$2:$J$1001,$O99))</f>
      </c>
      <c r="K99">
        <f t="shared" si="2"/>
      </c>
      <c r="L99">
        <f>IF($O99="","",INDEX(Master!$K$2:$K$1001,$O99))</f>
      </c>
      <c r="M99">
        <f>IF($O99="","",INDEX(Master!$L$2:$L$1001,$O99))</f>
      </c>
      <c r="O99">
        <f t="array" ref="O99">IFERROR(SMALL(IF(Master!$A$2:$A$1001="SHREE RADHE",ROW(Master!$A$2:$A$1001)-ROW(Master!$A$2)+1),95),"")</f>
      </c>
      <c r="P99">
        <f t="shared" si="3"/>
      </c>
    </row>
    <row r="100" spans="1:16" x14ac:dyDescent="0.25">
      <c r="A100">
        <f>IF($O100="","",INDEX(Master!$D$2:$D$1001,$O100))</f>
      </c>
      <c r="B100" s="236">
        <f>IF($O100="","",INDEX(Master!$B$2:$B$1001,$O100))</f>
      </c>
      <c r="C100">
        <f>IF($O100="","",INDEX(Master!$C$2:$C$1001,$O100))</f>
      </c>
      <c r="D100">
        <f>IF($O100="","",INDEX(Master!$A$2:$A$1001,$O100))</f>
      </c>
      <c r="E100">
        <f>IF($O100="","",INDEX(Master!$E$2:$E$1001,$O100))</f>
      </c>
      <c r="F100">
        <f>IF($O100="","",INDEX(Master!$F$2:$F$1001,$O100))</f>
      </c>
      <c r="G100">
        <f>IF($O100="","",INDEX(Master!$G$2:$G$1001,$O100))</f>
      </c>
      <c r="H100">
        <f>IF($O100="","",INDEX(Master!$H$2:$H$1001,$O100))</f>
      </c>
      <c r="I100">
        <f>IF($O100="","",INDEX(Master!$I$2:$I$1001,$O100))</f>
      </c>
      <c r="J100">
        <f>IF($O100="","",INDEX(Master!$J$2:$J$1001,$O100))</f>
      </c>
      <c r="K100">
        <f t="shared" si="2"/>
      </c>
      <c r="L100">
        <f>IF($O100="","",INDEX(Master!$K$2:$K$1001,$O100))</f>
      </c>
      <c r="M100">
        <f>IF($O100="","",INDEX(Master!$L$2:$L$1001,$O100))</f>
      </c>
      <c r="O100">
        <f t="array" ref="O100">IFERROR(SMALL(IF(Master!$A$2:$A$1001="SHREE RADHE",ROW(Master!$A$2:$A$1001)-ROW(Master!$A$2)+1),96),"")</f>
      </c>
      <c r="P100">
        <f t="shared" si="3"/>
      </c>
    </row>
    <row r="101" spans="1:16" x14ac:dyDescent="0.25">
      <c r="A101">
        <f>IF($O101="","",INDEX(Master!$D$2:$D$1001,$O101))</f>
      </c>
      <c r="B101" s="236">
        <f>IF($O101="","",INDEX(Master!$B$2:$B$1001,$O101))</f>
      </c>
      <c r="C101">
        <f>IF($O101="","",INDEX(Master!$C$2:$C$1001,$O101))</f>
      </c>
      <c r="D101">
        <f>IF($O101="","",INDEX(Master!$A$2:$A$1001,$O101))</f>
      </c>
      <c r="E101">
        <f>IF($O101="","",INDEX(Master!$E$2:$E$1001,$O101))</f>
      </c>
      <c r="F101">
        <f>IF($O101="","",INDEX(Master!$F$2:$F$1001,$O101))</f>
      </c>
      <c r="G101">
        <f>IF($O101="","",INDEX(Master!$G$2:$G$1001,$O101))</f>
      </c>
      <c r="H101">
        <f>IF($O101="","",INDEX(Master!$H$2:$H$1001,$O101))</f>
      </c>
      <c r="I101">
        <f>IF($O101="","",INDEX(Master!$I$2:$I$1001,$O101))</f>
      </c>
      <c r="J101">
        <f>IF($O101="","",INDEX(Master!$J$2:$J$1001,$O101))</f>
      </c>
      <c r="K101">
        <f t="shared" si="2"/>
      </c>
      <c r="L101">
        <f>IF($O101="","",INDEX(Master!$K$2:$K$1001,$O101))</f>
      </c>
      <c r="M101">
        <f>IF($O101="","",INDEX(Master!$L$2:$L$1001,$O101))</f>
      </c>
      <c r="O101">
        <f t="array" ref="O101">IFERROR(SMALL(IF(Master!$A$2:$A$1001="SHREE RADHE",ROW(Master!$A$2:$A$1001)-ROW(Master!$A$2)+1),97),"")</f>
      </c>
      <c r="P101">
        <f t="shared" si="3"/>
      </c>
    </row>
    <row r="102" spans="1:16" x14ac:dyDescent="0.25">
      <c r="A102">
        <f>IF($O102="","",INDEX(Master!$D$2:$D$1001,$O102))</f>
      </c>
      <c r="B102" s="236">
        <f>IF($O102="","",INDEX(Master!$B$2:$B$1001,$O102))</f>
      </c>
      <c r="C102">
        <f>IF($O102="","",INDEX(Master!$C$2:$C$1001,$O102))</f>
      </c>
      <c r="D102">
        <f>IF($O102="","",INDEX(Master!$A$2:$A$1001,$O102))</f>
      </c>
      <c r="E102">
        <f>IF($O102="","",INDEX(Master!$E$2:$E$1001,$O102))</f>
      </c>
      <c r="F102">
        <f>IF($O102="","",INDEX(Master!$F$2:$F$1001,$O102))</f>
      </c>
      <c r="G102">
        <f>IF($O102="","",INDEX(Master!$G$2:$G$1001,$O102))</f>
      </c>
      <c r="H102">
        <f>IF($O102="","",INDEX(Master!$H$2:$H$1001,$O102))</f>
      </c>
      <c r="I102">
        <f>IF($O102="","",INDEX(Master!$I$2:$I$1001,$O102))</f>
      </c>
      <c r="J102">
        <f>IF($O102="","",INDEX(Master!$J$2:$J$1001,$O102))</f>
      </c>
      <c r="K102">
        <f t="shared" si="2"/>
      </c>
      <c r="L102">
        <f>IF($O102="","",INDEX(Master!$K$2:$K$1001,$O102))</f>
      </c>
      <c r="M102">
        <f>IF($O102="","",INDEX(Master!$L$2:$L$1001,$O102))</f>
      </c>
      <c r="O102">
        <f t="array" ref="O102">IFERROR(SMALL(IF(Master!$A$2:$A$1001="SHREE RADHE",ROW(Master!$A$2:$A$1001)-ROW(Master!$A$2)+1),98),"")</f>
      </c>
      <c r="P102">
        <f t="shared" si="3"/>
      </c>
    </row>
    <row r="103" spans="1:16" x14ac:dyDescent="0.25">
      <c r="A103">
        <f>IF($O103="","",INDEX(Master!$D$2:$D$1001,$O103))</f>
      </c>
      <c r="B103" s="236">
        <f>IF($O103="","",INDEX(Master!$B$2:$B$1001,$O103))</f>
      </c>
      <c r="C103">
        <f>IF($O103="","",INDEX(Master!$C$2:$C$1001,$O103))</f>
      </c>
      <c r="D103">
        <f>IF($O103="","",INDEX(Master!$A$2:$A$1001,$O103))</f>
      </c>
      <c r="E103">
        <f>IF($O103="","",INDEX(Master!$E$2:$E$1001,$O103))</f>
      </c>
      <c r="F103">
        <f>IF($O103="","",INDEX(Master!$F$2:$F$1001,$O103))</f>
      </c>
      <c r="G103">
        <f>IF($O103="","",INDEX(Master!$G$2:$G$1001,$O103))</f>
      </c>
      <c r="H103">
        <f>IF($O103="","",INDEX(Master!$H$2:$H$1001,$O103))</f>
      </c>
      <c r="I103">
        <f>IF($O103="","",INDEX(Master!$I$2:$I$1001,$O103))</f>
      </c>
      <c r="J103">
        <f>IF($O103="","",INDEX(Master!$J$2:$J$1001,$O103))</f>
      </c>
      <c r="K103">
        <f t="shared" si="2"/>
      </c>
      <c r="L103">
        <f>IF($O103="","",INDEX(Master!$K$2:$K$1001,$O103))</f>
      </c>
      <c r="M103">
        <f>IF($O103="","",INDEX(Master!$L$2:$L$1001,$O103))</f>
      </c>
      <c r="O103">
        <f t="array" ref="O103">IFERROR(SMALL(IF(Master!$A$2:$A$1001="SHREE RADHE",ROW(Master!$A$2:$A$1001)-ROW(Master!$A$2)+1),99),"")</f>
      </c>
      <c r="P103">
        <f t="shared" si="3"/>
      </c>
    </row>
    <row r="104" spans="1:16" x14ac:dyDescent="0.25">
      <c r="A104">
        <f>IF($O104="","",INDEX(Master!$D$2:$D$1001,$O104))</f>
      </c>
      <c r="B104" s="236">
        <f>IF($O104="","",INDEX(Master!$B$2:$B$1001,$O104))</f>
      </c>
      <c r="C104">
        <f>IF($O104="","",INDEX(Master!$C$2:$C$1001,$O104))</f>
      </c>
      <c r="D104">
        <f>IF($O104="","",INDEX(Master!$A$2:$A$1001,$O104))</f>
      </c>
      <c r="E104">
        <f>IF($O104="","",INDEX(Master!$E$2:$E$1001,$O104))</f>
      </c>
      <c r="F104">
        <f>IF($O104="","",INDEX(Master!$F$2:$F$1001,$O104))</f>
      </c>
      <c r="G104">
        <f>IF($O104="","",INDEX(Master!$G$2:$G$1001,$O104))</f>
      </c>
      <c r="H104">
        <f>IF($O104="","",INDEX(Master!$H$2:$H$1001,$O104))</f>
      </c>
      <c r="I104">
        <f>IF($O104="","",INDEX(Master!$I$2:$I$1001,$O104))</f>
      </c>
      <c r="J104">
        <f>IF($O104="","",INDEX(Master!$J$2:$J$1001,$O104))</f>
      </c>
      <c r="K104">
        <f t="shared" si="2"/>
      </c>
      <c r="L104">
        <f>IF($O104="","",INDEX(Master!$K$2:$K$1001,$O104))</f>
      </c>
      <c r="M104">
        <f>IF($O104="","",INDEX(Master!$L$2:$L$1001,$O104))</f>
      </c>
      <c r="O104">
        <f t="array" ref="O104">IFERROR(SMALL(IF(Master!$A$2:$A$1001="SHREE RADHE",ROW(Master!$A$2:$A$1001)-ROW(Master!$A$2)+1),100),"")</f>
      </c>
      <c r="P104">
        <f t="shared" si="3"/>
      </c>
    </row>
    <row r="105" spans="1:16" x14ac:dyDescent="0.25">
      <c r="A105">
        <f>IF($O105="","",INDEX(Master!$D$2:$D$1001,$O105))</f>
      </c>
      <c r="B105" s="236">
        <f>IF($O105="","",INDEX(Master!$B$2:$B$1001,$O105))</f>
      </c>
      <c r="C105">
        <f>IF($O105="","",INDEX(Master!$C$2:$C$1001,$O105))</f>
      </c>
      <c r="D105">
        <f>IF($O105="","",INDEX(Master!$A$2:$A$1001,$O105))</f>
      </c>
      <c r="E105">
        <f>IF($O105="","",INDEX(Master!$E$2:$E$1001,$O105))</f>
      </c>
      <c r="F105">
        <f>IF($O105="","",INDEX(Master!$F$2:$F$1001,$O105))</f>
      </c>
      <c r="G105">
        <f>IF($O105="","",INDEX(Master!$G$2:$G$1001,$O105))</f>
      </c>
      <c r="H105">
        <f>IF($O105="","",INDEX(Master!$H$2:$H$1001,$O105))</f>
      </c>
      <c r="I105">
        <f>IF($O105="","",INDEX(Master!$I$2:$I$1001,$O105))</f>
      </c>
      <c r="J105">
        <f>IF($O105="","",INDEX(Master!$J$2:$J$1001,$O105))</f>
      </c>
      <c r="K105">
        <f t="shared" si="2"/>
      </c>
      <c r="L105">
        <f>IF($O105="","",INDEX(Master!$K$2:$K$1001,$O105))</f>
      </c>
      <c r="M105">
        <f>IF($O105="","",INDEX(Master!$L$2:$L$1001,$O105))</f>
      </c>
      <c r="O105">
        <f t="array" ref="O105">IFERROR(SMALL(IF(Master!$A$2:$A$1001="SHREE RADHE",ROW(Master!$A$2:$A$1001)-ROW(Master!$A$2)+1),101),"")</f>
      </c>
      <c r="P105">
        <f t="shared" si="3"/>
      </c>
    </row>
    <row r="106" spans="1:16" x14ac:dyDescent="0.25">
      <c r="A106">
        <f>IF($O106="","",INDEX(Master!$D$2:$D$1001,$O106))</f>
      </c>
      <c r="B106" s="236">
        <f>IF($O106="","",INDEX(Master!$B$2:$B$1001,$O106))</f>
      </c>
      <c r="C106">
        <f>IF($O106="","",INDEX(Master!$C$2:$C$1001,$O106))</f>
      </c>
      <c r="D106">
        <f>IF($O106="","",INDEX(Master!$A$2:$A$1001,$O106))</f>
      </c>
      <c r="E106">
        <f>IF($O106="","",INDEX(Master!$E$2:$E$1001,$O106))</f>
      </c>
      <c r="F106">
        <f>IF($O106="","",INDEX(Master!$F$2:$F$1001,$O106))</f>
      </c>
      <c r="G106">
        <f>IF($O106="","",INDEX(Master!$G$2:$G$1001,$O106))</f>
      </c>
      <c r="H106">
        <f>IF($O106="","",INDEX(Master!$H$2:$H$1001,$O106))</f>
      </c>
      <c r="I106">
        <f>IF($O106="","",INDEX(Master!$I$2:$I$1001,$O106))</f>
      </c>
      <c r="J106">
        <f>IF($O106="","",INDEX(Master!$J$2:$J$1001,$O106))</f>
      </c>
      <c r="K106">
        <f t="shared" si="2"/>
      </c>
      <c r="L106">
        <f>IF($O106="","",INDEX(Master!$K$2:$K$1001,$O106))</f>
      </c>
      <c r="M106">
        <f>IF($O106="","",INDEX(Master!$L$2:$L$1001,$O106))</f>
      </c>
      <c r="O106">
        <f t="array" ref="O106">IFERROR(SMALL(IF(Master!$A$2:$A$1001="SHREE RADHE",ROW(Master!$A$2:$A$1001)-ROW(Master!$A$2)+1),102),"")</f>
      </c>
      <c r="P106">
        <f t="shared" si="3"/>
      </c>
    </row>
    <row r="107" spans="1:16" x14ac:dyDescent="0.25">
      <c r="A107">
        <f>IF($O107="","",INDEX(Master!$D$2:$D$1001,$O107))</f>
      </c>
      <c r="B107" s="236">
        <f>IF($O107="","",INDEX(Master!$B$2:$B$1001,$O107))</f>
      </c>
      <c r="C107">
        <f>IF($O107="","",INDEX(Master!$C$2:$C$1001,$O107))</f>
      </c>
      <c r="D107">
        <f>IF($O107="","",INDEX(Master!$A$2:$A$1001,$O107))</f>
      </c>
      <c r="E107">
        <f>IF($O107="","",INDEX(Master!$E$2:$E$1001,$O107))</f>
      </c>
      <c r="F107">
        <f>IF($O107="","",INDEX(Master!$F$2:$F$1001,$O107))</f>
      </c>
      <c r="G107">
        <f>IF($O107="","",INDEX(Master!$G$2:$G$1001,$O107))</f>
      </c>
      <c r="H107">
        <f>IF($O107="","",INDEX(Master!$H$2:$H$1001,$O107))</f>
      </c>
      <c r="I107">
        <f>IF($O107="","",INDEX(Master!$I$2:$I$1001,$O107))</f>
      </c>
      <c r="J107">
        <f>IF($O107="","",INDEX(Master!$J$2:$J$1001,$O107))</f>
      </c>
      <c r="K107">
        <f t="shared" si="2"/>
      </c>
      <c r="L107">
        <f>IF($O107="","",INDEX(Master!$K$2:$K$1001,$O107))</f>
      </c>
      <c r="M107">
        <f>IF($O107="","",INDEX(Master!$L$2:$L$1001,$O107))</f>
      </c>
      <c r="O107">
        <f t="array" ref="O107">IFERROR(SMALL(IF(Master!$A$2:$A$1001="SHREE RADHE",ROW(Master!$A$2:$A$1001)-ROW(Master!$A$2)+1),103),"")</f>
      </c>
      <c r="P107">
        <f t="shared" si="3"/>
      </c>
    </row>
    <row r="108" spans="1:16" x14ac:dyDescent="0.25">
      <c r="A108">
        <f>IF($O108="","",INDEX(Master!$D$2:$D$1001,$O108))</f>
      </c>
      <c r="B108" s="236">
        <f>IF($O108="","",INDEX(Master!$B$2:$B$1001,$O108))</f>
      </c>
      <c r="C108">
        <f>IF($O108="","",INDEX(Master!$C$2:$C$1001,$O108))</f>
      </c>
      <c r="D108">
        <f>IF($O108="","",INDEX(Master!$A$2:$A$1001,$O108))</f>
      </c>
      <c r="E108">
        <f>IF($O108="","",INDEX(Master!$E$2:$E$1001,$O108))</f>
      </c>
      <c r="F108">
        <f>IF($O108="","",INDEX(Master!$F$2:$F$1001,$O108))</f>
      </c>
      <c r="G108">
        <f>IF($O108="","",INDEX(Master!$G$2:$G$1001,$O108))</f>
      </c>
      <c r="H108">
        <f>IF($O108="","",INDEX(Master!$H$2:$H$1001,$O108))</f>
      </c>
      <c r="I108">
        <f>IF($O108="","",INDEX(Master!$I$2:$I$1001,$O108))</f>
      </c>
      <c r="J108">
        <f>IF($O108="","",INDEX(Master!$J$2:$J$1001,$O108))</f>
      </c>
      <c r="K108">
        <f t="shared" si="2"/>
      </c>
      <c r="L108">
        <f>IF($O108="","",INDEX(Master!$K$2:$K$1001,$O108))</f>
      </c>
      <c r="M108">
        <f>IF($O108="","",INDEX(Master!$L$2:$L$1001,$O108))</f>
      </c>
      <c r="O108">
        <f t="array" ref="O108">IFERROR(SMALL(IF(Master!$A$2:$A$1001="SHREE RADHE",ROW(Master!$A$2:$A$1001)-ROW(Master!$A$2)+1),104),"")</f>
      </c>
      <c r="P108">
        <f t="shared" si="3"/>
      </c>
    </row>
    <row r="109" spans="1:16" x14ac:dyDescent="0.25">
      <c r="A109">
        <f>IF($O109="","",INDEX(Master!$D$2:$D$1001,$O109))</f>
      </c>
      <c r="B109" s="236">
        <f>IF($O109="","",INDEX(Master!$B$2:$B$1001,$O109))</f>
      </c>
      <c r="C109">
        <f>IF($O109="","",INDEX(Master!$C$2:$C$1001,$O109))</f>
      </c>
      <c r="D109">
        <f>IF($O109="","",INDEX(Master!$A$2:$A$1001,$O109))</f>
      </c>
      <c r="E109">
        <f>IF($O109="","",INDEX(Master!$E$2:$E$1001,$O109))</f>
      </c>
      <c r="F109">
        <f>IF($O109="","",INDEX(Master!$F$2:$F$1001,$O109))</f>
      </c>
      <c r="G109">
        <f>IF($O109="","",INDEX(Master!$G$2:$G$1001,$O109))</f>
      </c>
      <c r="H109">
        <f>IF($O109="","",INDEX(Master!$H$2:$H$1001,$O109))</f>
      </c>
      <c r="I109">
        <f>IF($O109="","",INDEX(Master!$I$2:$I$1001,$O109))</f>
      </c>
      <c r="J109">
        <f>IF($O109="","",INDEX(Master!$J$2:$J$1001,$O109))</f>
      </c>
      <c r="K109">
        <f t="shared" si="2"/>
      </c>
      <c r="L109">
        <f>IF($O109="","",INDEX(Master!$K$2:$K$1001,$O109))</f>
      </c>
      <c r="M109">
        <f>IF($O109="","",INDEX(Master!$L$2:$L$1001,$O109))</f>
      </c>
      <c r="O109">
        <f t="array" ref="O109">IFERROR(SMALL(IF(Master!$A$2:$A$1001="SHREE RADHE",ROW(Master!$A$2:$A$1001)-ROW(Master!$A$2)+1),105),"")</f>
      </c>
      <c r="P109">
        <f t="shared" si="3"/>
      </c>
    </row>
    <row r="110" spans="1:16" x14ac:dyDescent="0.25">
      <c r="A110">
        <f>IF($O110="","",INDEX(Master!$D$2:$D$1001,$O110))</f>
      </c>
      <c r="B110" s="236">
        <f>IF($O110="","",INDEX(Master!$B$2:$B$1001,$O110))</f>
      </c>
      <c r="C110">
        <f>IF($O110="","",INDEX(Master!$C$2:$C$1001,$O110))</f>
      </c>
      <c r="D110">
        <f>IF($O110="","",INDEX(Master!$A$2:$A$1001,$O110))</f>
      </c>
      <c r="E110">
        <f>IF($O110="","",INDEX(Master!$E$2:$E$1001,$O110))</f>
      </c>
      <c r="F110">
        <f>IF($O110="","",INDEX(Master!$F$2:$F$1001,$O110))</f>
      </c>
      <c r="G110">
        <f>IF($O110="","",INDEX(Master!$G$2:$G$1001,$O110))</f>
      </c>
      <c r="H110">
        <f>IF($O110="","",INDEX(Master!$H$2:$H$1001,$O110))</f>
      </c>
      <c r="I110">
        <f>IF($O110="","",INDEX(Master!$I$2:$I$1001,$O110))</f>
      </c>
      <c r="J110">
        <f>IF($O110="","",INDEX(Master!$J$2:$J$1001,$O110))</f>
      </c>
      <c r="K110">
        <f t="shared" si="2"/>
      </c>
      <c r="L110">
        <f>IF($O110="","",INDEX(Master!$K$2:$K$1001,$O110))</f>
      </c>
      <c r="M110">
        <f>IF($O110="","",INDEX(Master!$L$2:$L$1001,$O110))</f>
      </c>
      <c r="O110">
        <f t="array" ref="O110">IFERROR(SMALL(IF(Master!$A$2:$A$1001="SHREE RADHE",ROW(Master!$A$2:$A$1001)-ROW(Master!$A$2)+1),106),"")</f>
      </c>
      <c r="P110">
        <f t="shared" si="3"/>
      </c>
    </row>
    <row r="111" spans="1:16" x14ac:dyDescent="0.25">
      <c r="A111">
        <f>IF($O111="","",INDEX(Master!$D$2:$D$1001,$O111))</f>
      </c>
      <c r="B111" s="236">
        <f>IF($O111="","",INDEX(Master!$B$2:$B$1001,$O111))</f>
      </c>
      <c r="C111">
        <f>IF($O111="","",INDEX(Master!$C$2:$C$1001,$O111))</f>
      </c>
      <c r="D111">
        <f>IF($O111="","",INDEX(Master!$A$2:$A$1001,$O111))</f>
      </c>
      <c r="E111">
        <f>IF($O111="","",INDEX(Master!$E$2:$E$1001,$O111))</f>
      </c>
      <c r="F111">
        <f>IF($O111="","",INDEX(Master!$F$2:$F$1001,$O111))</f>
      </c>
      <c r="G111">
        <f>IF($O111="","",INDEX(Master!$G$2:$G$1001,$O111))</f>
      </c>
      <c r="H111">
        <f>IF($O111="","",INDEX(Master!$H$2:$H$1001,$O111))</f>
      </c>
      <c r="I111">
        <f>IF($O111="","",INDEX(Master!$I$2:$I$1001,$O111))</f>
      </c>
      <c r="J111">
        <f>IF($O111="","",INDEX(Master!$J$2:$J$1001,$O111))</f>
      </c>
      <c r="K111">
        <f t="shared" si="2"/>
      </c>
      <c r="L111">
        <f>IF($O111="","",INDEX(Master!$K$2:$K$1001,$O111))</f>
      </c>
      <c r="M111">
        <f>IF($O111="","",INDEX(Master!$L$2:$L$1001,$O111))</f>
      </c>
      <c r="O111">
        <f t="array" ref="O111">IFERROR(SMALL(IF(Master!$A$2:$A$1001="SHREE RADHE",ROW(Master!$A$2:$A$1001)-ROW(Master!$A$2)+1),107),"")</f>
      </c>
      <c r="P111">
        <f t="shared" si="3"/>
      </c>
    </row>
    <row r="112" spans="1:16" x14ac:dyDescent="0.25">
      <c r="A112">
        <f>IF($O112="","",INDEX(Master!$D$2:$D$1001,$O112))</f>
      </c>
      <c r="B112" s="236">
        <f>IF($O112="","",INDEX(Master!$B$2:$B$1001,$O112))</f>
      </c>
      <c r="C112">
        <f>IF($O112="","",INDEX(Master!$C$2:$C$1001,$O112))</f>
      </c>
      <c r="D112">
        <f>IF($O112="","",INDEX(Master!$A$2:$A$1001,$O112))</f>
      </c>
      <c r="E112">
        <f>IF($O112="","",INDEX(Master!$E$2:$E$1001,$O112))</f>
      </c>
      <c r="F112">
        <f>IF($O112="","",INDEX(Master!$F$2:$F$1001,$O112))</f>
      </c>
      <c r="G112">
        <f>IF($O112="","",INDEX(Master!$G$2:$G$1001,$O112))</f>
      </c>
      <c r="H112">
        <f>IF($O112="","",INDEX(Master!$H$2:$H$1001,$O112))</f>
      </c>
      <c r="I112">
        <f>IF($O112="","",INDEX(Master!$I$2:$I$1001,$O112))</f>
      </c>
      <c r="J112">
        <f>IF($O112="","",INDEX(Master!$J$2:$J$1001,$O112))</f>
      </c>
      <c r="K112">
        <f t="shared" si="2"/>
      </c>
      <c r="L112">
        <f>IF($O112="","",INDEX(Master!$K$2:$K$1001,$O112))</f>
      </c>
      <c r="M112">
        <f>IF($O112="","",INDEX(Master!$L$2:$L$1001,$O112))</f>
      </c>
      <c r="O112">
        <f t="array" ref="O112">IFERROR(SMALL(IF(Master!$A$2:$A$1001="SHREE RADHE",ROW(Master!$A$2:$A$1001)-ROW(Master!$A$2)+1),108),"")</f>
      </c>
      <c r="P112">
        <f t="shared" si="3"/>
      </c>
    </row>
    <row r="113" spans="1:16" x14ac:dyDescent="0.25">
      <c r="A113">
        <f>IF($O113="","",INDEX(Master!$D$2:$D$1001,$O113))</f>
      </c>
      <c r="B113" s="236">
        <f>IF($O113="","",INDEX(Master!$B$2:$B$1001,$O113))</f>
      </c>
      <c r="C113">
        <f>IF($O113="","",INDEX(Master!$C$2:$C$1001,$O113))</f>
      </c>
      <c r="D113">
        <f>IF($O113="","",INDEX(Master!$A$2:$A$1001,$O113))</f>
      </c>
      <c r="E113">
        <f>IF($O113="","",INDEX(Master!$E$2:$E$1001,$O113))</f>
      </c>
      <c r="F113">
        <f>IF($O113="","",INDEX(Master!$F$2:$F$1001,$O113))</f>
      </c>
      <c r="G113">
        <f>IF($O113="","",INDEX(Master!$G$2:$G$1001,$O113))</f>
      </c>
      <c r="H113">
        <f>IF($O113="","",INDEX(Master!$H$2:$H$1001,$O113))</f>
      </c>
      <c r="I113">
        <f>IF($O113="","",INDEX(Master!$I$2:$I$1001,$O113))</f>
      </c>
      <c r="J113">
        <f>IF($O113="","",INDEX(Master!$J$2:$J$1001,$O113))</f>
      </c>
      <c r="K113">
        <f t="shared" si="2"/>
      </c>
      <c r="L113">
        <f>IF($O113="","",INDEX(Master!$K$2:$K$1001,$O113))</f>
      </c>
      <c r="M113">
        <f>IF($O113="","",INDEX(Master!$L$2:$L$1001,$O113))</f>
      </c>
      <c r="O113">
        <f t="array" ref="O113">IFERROR(SMALL(IF(Master!$A$2:$A$1001="SHREE RADHE",ROW(Master!$A$2:$A$1001)-ROW(Master!$A$2)+1),109),"")</f>
      </c>
      <c r="P113">
        <f t="shared" si="3"/>
      </c>
    </row>
    <row r="114" spans="1:16" x14ac:dyDescent="0.25">
      <c r="A114">
        <f>IF($O114="","",INDEX(Master!$D$2:$D$1001,$O114))</f>
      </c>
      <c r="B114" s="236">
        <f>IF($O114="","",INDEX(Master!$B$2:$B$1001,$O114))</f>
      </c>
      <c r="C114">
        <f>IF($O114="","",INDEX(Master!$C$2:$C$1001,$O114))</f>
      </c>
      <c r="D114">
        <f>IF($O114="","",INDEX(Master!$A$2:$A$1001,$O114))</f>
      </c>
      <c r="E114">
        <f>IF($O114="","",INDEX(Master!$E$2:$E$1001,$O114))</f>
      </c>
      <c r="F114">
        <f>IF($O114="","",INDEX(Master!$F$2:$F$1001,$O114))</f>
      </c>
      <c r="G114">
        <f>IF($O114="","",INDEX(Master!$G$2:$G$1001,$O114))</f>
      </c>
      <c r="H114">
        <f>IF($O114="","",INDEX(Master!$H$2:$H$1001,$O114))</f>
      </c>
      <c r="I114">
        <f>IF($O114="","",INDEX(Master!$I$2:$I$1001,$O114))</f>
      </c>
      <c r="J114">
        <f>IF($O114="","",INDEX(Master!$J$2:$J$1001,$O114))</f>
      </c>
      <c r="K114">
        <f t="shared" si="2"/>
      </c>
      <c r="L114">
        <f>IF($O114="","",INDEX(Master!$K$2:$K$1001,$O114))</f>
      </c>
      <c r="M114">
        <f>IF($O114="","",INDEX(Master!$L$2:$L$1001,$O114))</f>
      </c>
      <c r="O114">
        <f t="array" ref="O114">IFERROR(SMALL(IF(Master!$A$2:$A$1001="SHREE RADHE",ROW(Master!$A$2:$A$1001)-ROW(Master!$A$2)+1),110),"")</f>
      </c>
      <c r="P114">
        <f t="shared" si="3"/>
      </c>
    </row>
    <row r="115" spans="1:16" x14ac:dyDescent="0.25">
      <c r="A115">
        <f>IF($O115="","",INDEX(Master!$D$2:$D$1001,$O115))</f>
      </c>
      <c r="B115" s="236">
        <f>IF($O115="","",INDEX(Master!$B$2:$B$1001,$O115))</f>
      </c>
      <c r="C115">
        <f>IF($O115="","",INDEX(Master!$C$2:$C$1001,$O115))</f>
      </c>
      <c r="D115">
        <f>IF($O115="","",INDEX(Master!$A$2:$A$1001,$O115))</f>
      </c>
      <c r="E115">
        <f>IF($O115="","",INDEX(Master!$E$2:$E$1001,$O115))</f>
      </c>
      <c r="F115">
        <f>IF($O115="","",INDEX(Master!$F$2:$F$1001,$O115))</f>
      </c>
      <c r="G115">
        <f>IF($O115="","",INDEX(Master!$G$2:$G$1001,$O115))</f>
      </c>
      <c r="H115">
        <f>IF($O115="","",INDEX(Master!$H$2:$H$1001,$O115))</f>
      </c>
      <c r="I115">
        <f>IF($O115="","",INDEX(Master!$I$2:$I$1001,$O115))</f>
      </c>
      <c r="J115">
        <f>IF($O115="","",INDEX(Master!$J$2:$J$1001,$O115))</f>
      </c>
      <c r="K115">
        <f t="shared" si="2"/>
      </c>
      <c r="L115">
        <f>IF($O115="","",INDEX(Master!$K$2:$K$1001,$O115))</f>
      </c>
      <c r="M115">
        <f>IF($O115="","",INDEX(Master!$L$2:$L$1001,$O115))</f>
      </c>
      <c r="O115">
        <f t="array" ref="O115">IFERROR(SMALL(IF(Master!$A$2:$A$1001="SHREE RADHE",ROW(Master!$A$2:$A$1001)-ROW(Master!$A$2)+1),111),"")</f>
      </c>
      <c r="P115">
        <f t="shared" si="3"/>
      </c>
    </row>
    <row r="116" spans="1:16" x14ac:dyDescent="0.25">
      <c r="A116">
        <f>IF($O116="","",INDEX(Master!$D$2:$D$1001,$O116))</f>
      </c>
      <c r="B116" s="236">
        <f>IF($O116="","",INDEX(Master!$B$2:$B$1001,$O116))</f>
      </c>
      <c r="C116">
        <f>IF($O116="","",INDEX(Master!$C$2:$C$1001,$O116))</f>
      </c>
      <c r="D116">
        <f>IF($O116="","",INDEX(Master!$A$2:$A$1001,$O116))</f>
      </c>
      <c r="E116">
        <f>IF($O116="","",INDEX(Master!$E$2:$E$1001,$O116))</f>
      </c>
      <c r="F116">
        <f>IF($O116="","",INDEX(Master!$F$2:$F$1001,$O116))</f>
      </c>
      <c r="G116">
        <f>IF($O116="","",INDEX(Master!$G$2:$G$1001,$O116))</f>
      </c>
      <c r="H116">
        <f>IF($O116="","",INDEX(Master!$H$2:$H$1001,$O116))</f>
      </c>
      <c r="I116">
        <f>IF($O116="","",INDEX(Master!$I$2:$I$1001,$O116))</f>
      </c>
      <c r="J116">
        <f>IF($O116="","",INDEX(Master!$J$2:$J$1001,$O116))</f>
      </c>
      <c r="K116">
        <f t="shared" si="2"/>
      </c>
      <c r="L116">
        <f>IF($O116="","",INDEX(Master!$K$2:$K$1001,$O116))</f>
      </c>
      <c r="M116">
        <f>IF($O116="","",INDEX(Master!$L$2:$L$1001,$O116))</f>
      </c>
      <c r="O116">
        <f t="array" ref="O116">IFERROR(SMALL(IF(Master!$A$2:$A$1001="SHREE RADHE",ROW(Master!$A$2:$A$1001)-ROW(Master!$A$2)+1),112),"")</f>
      </c>
      <c r="P116">
        <f t="shared" si="3"/>
      </c>
    </row>
    <row r="117" spans="1:16" x14ac:dyDescent="0.25">
      <c r="A117">
        <f>IF($O117="","",INDEX(Master!$D$2:$D$1001,$O117))</f>
      </c>
      <c r="B117" s="236">
        <f>IF($O117="","",INDEX(Master!$B$2:$B$1001,$O117))</f>
      </c>
      <c r="C117">
        <f>IF($O117="","",INDEX(Master!$C$2:$C$1001,$O117))</f>
      </c>
      <c r="D117">
        <f>IF($O117="","",INDEX(Master!$A$2:$A$1001,$O117))</f>
      </c>
      <c r="E117">
        <f>IF($O117="","",INDEX(Master!$E$2:$E$1001,$O117))</f>
      </c>
      <c r="F117">
        <f>IF($O117="","",INDEX(Master!$F$2:$F$1001,$O117))</f>
      </c>
      <c r="G117">
        <f>IF($O117="","",INDEX(Master!$G$2:$G$1001,$O117))</f>
      </c>
      <c r="H117">
        <f>IF($O117="","",INDEX(Master!$H$2:$H$1001,$O117))</f>
      </c>
      <c r="I117">
        <f>IF($O117="","",INDEX(Master!$I$2:$I$1001,$O117))</f>
      </c>
      <c r="J117">
        <f>IF($O117="","",INDEX(Master!$J$2:$J$1001,$O117))</f>
      </c>
      <c r="K117">
        <f t="shared" si="2"/>
      </c>
      <c r="L117">
        <f>IF($O117="","",INDEX(Master!$K$2:$K$1001,$O117))</f>
      </c>
      <c r="M117">
        <f>IF($O117="","",INDEX(Master!$L$2:$L$1001,$O117))</f>
      </c>
      <c r="O117">
        <f t="array" ref="O117">IFERROR(SMALL(IF(Master!$A$2:$A$1001="SHREE RADHE",ROW(Master!$A$2:$A$1001)-ROW(Master!$A$2)+1),113),"")</f>
      </c>
      <c r="P117">
        <f t="shared" si="3"/>
      </c>
    </row>
    <row r="118" spans="1:16" x14ac:dyDescent="0.25">
      <c r="A118">
        <f>IF($O118="","",INDEX(Master!$D$2:$D$1001,$O118))</f>
      </c>
      <c r="B118" s="236">
        <f>IF($O118="","",INDEX(Master!$B$2:$B$1001,$O118))</f>
      </c>
      <c r="C118">
        <f>IF($O118="","",INDEX(Master!$C$2:$C$1001,$O118))</f>
      </c>
      <c r="D118">
        <f>IF($O118="","",INDEX(Master!$A$2:$A$1001,$O118))</f>
      </c>
      <c r="E118">
        <f>IF($O118="","",INDEX(Master!$E$2:$E$1001,$O118))</f>
      </c>
      <c r="F118">
        <f>IF($O118="","",INDEX(Master!$F$2:$F$1001,$O118))</f>
      </c>
      <c r="G118">
        <f>IF($O118="","",INDEX(Master!$G$2:$G$1001,$O118))</f>
      </c>
      <c r="H118">
        <f>IF($O118="","",INDEX(Master!$H$2:$H$1001,$O118))</f>
      </c>
      <c r="I118">
        <f>IF($O118="","",INDEX(Master!$I$2:$I$1001,$O118))</f>
      </c>
      <c r="J118">
        <f>IF($O118="","",INDEX(Master!$J$2:$J$1001,$O118))</f>
      </c>
      <c r="K118">
        <f t="shared" si="2"/>
      </c>
      <c r="L118">
        <f>IF($O118="","",INDEX(Master!$K$2:$K$1001,$O118))</f>
      </c>
      <c r="M118">
        <f>IF($O118="","",INDEX(Master!$L$2:$L$1001,$O118))</f>
      </c>
      <c r="O118">
        <f t="array" ref="O118">IFERROR(SMALL(IF(Master!$A$2:$A$1001="SHREE RADHE",ROW(Master!$A$2:$A$1001)-ROW(Master!$A$2)+1),114),"")</f>
      </c>
      <c r="P118">
        <f t="shared" si="3"/>
      </c>
    </row>
    <row r="119" spans="1:16" x14ac:dyDescent="0.25">
      <c r="A119">
        <f>IF($O119="","",INDEX(Master!$D$2:$D$1001,$O119))</f>
      </c>
      <c r="B119" s="236">
        <f>IF($O119="","",INDEX(Master!$B$2:$B$1001,$O119))</f>
      </c>
      <c r="C119">
        <f>IF($O119="","",INDEX(Master!$C$2:$C$1001,$O119))</f>
      </c>
      <c r="D119">
        <f>IF($O119="","",INDEX(Master!$A$2:$A$1001,$O119))</f>
      </c>
      <c r="E119">
        <f>IF($O119="","",INDEX(Master!$E$2:$E$1001,$O119))</f>
      </c>
      <c r="F119">
        <f>IF($O119="","",INDEX(Master!$F$2:$F$1001,$O119))</f>
      </c>
      <c r="G119">
        <f>IF($O119="","",INDEX(Master!$G$2:$G$1001,$O119))</f>
      </c>
      <c r="H119">
        <f>IF($O119="","",INDEX(Master!$H$2:$H$1001,$O119))</f>
      </c>
      <c r="I119">
        <f>IF($O119="","",INDEX(Master!$I$2:$I$1001,$O119))</f>
      </c>
      <c r="J119">
        <f>IF($O119="","",INDEX(Master!$J$2:$J$1001,$O119))</f>
      </c>
      <c r="K119">
        <f t="shared" si="2"/>
      </c>
      <c r="L119">
        <f>IF($O119="","",INDEX(Master!$K$2:$K$1001,$O119))</f>
      </c>
      <c r="M119">
        <f>IF($O119="","",INDEX(Master!$L$2:$L$1001,$O119))</f>
      </c>
      <c r="O119">
        <f t="array" ref="O119">IFERROR(SMALL(IF(Master!$A$2:$A$1001="SHREE RADHE",ROW(Master!$A$2:$A$1001)-ROW(Master!$A$2)+1),115),"")</f>
      </c>
      <c r="P119">
        <f t="shared" si="3"/>
      </c>
    </row>
    <row r="120" spans="1:16" x14ac:dyDescent="0.25">
      <c r="A120">
        <f>IF($O120="","",INDEX(Master!$D$2:$D$1001,$O120))</f>
      </c>
      <c r="B120" s="236">
        <f>IF($O120="","",INDEX(Master!$B$2:$B$1001,$O120))</f>
      </c>
      <c r="C120">
        <f>IF($O120="","",INDEX(Master!$C$2:$C$1001,$O120))</f>
      </c>
      <c r="D120">
        <f>IF($O120="","",INDEX(Master!$A$2:$A$1001,$O120))</f>
      </c>
      <c r="E120">
        <f>IF($O120="","",INDEX(Master!$E$2:$E$1001,$O120))</f>
      </c>
      <c r="F120">
        <f>IF($O120="","",INDEX(Master!$F$2:$F$1001,$O120))</f>
      </c>
      <c r="G120">
        <f>IF($O120="","",INDEX(Master!$G$2:$G$1001,$O120))</f>
      </c>
      <c r="H120">
        <f>IF($O120="","",INDEX(Master!$H$2:$H$1001,$O120))</f>
      </c>
      <c r="I120">
        <f>IF($O120="","",INDEX(Master!$I$2:$I$1001,$O120))</f>
      </c>
      <c r="J120">
        <f>IF($O120="","",INDEX(Master!$J$2:$J$1001,$O120))</f>
      </c>
      <c r="K120">
        <f t="shared" si="2"/>
      </c>
      <c r="L120">
        <f>IF($O120="","",INDEX(Master!$K$2:$K$1001,$O120))</f>
      </c>
      <c r="M120">
        <f>IF($O120="","",INDEX(Master!$L$2:$L$1001,$O120))</f>
      </c>
      <c r="O120">
        <f t="array" ref="O120">IFERROR(SMALL(IF(Master!$A$2:$A$1001="SHREE RADHE",ROW(Master!$A$2:$A$1001)-ROW(Master!$A$2)+1),116),"")</f>
      </c>
      <c r="P120">
        <f t="shared" si="3"/>
      </c>
    </row>
    <row r="121" spans="1:16" x14ac:dyDescent="0.25">
      <c r="A121">
        <f>IF($O121="","",INDEX(Master!$D$2:$D$1001,$O121))</f>
      </c>
      <c r="B121" s="236">
        <f>IF($O121="","",INDEX(Master!$B$2:$B$1001,$O121))</f>
      </c>
      <c r="C121">
        <f>IF($O121="","",INDEX(Master!$C$2:$C$1001,$O121))</f>
      </c>
      <c r="D121">
        <f>IF($O121="","",INDEX(Master!$A$2:$A$1001,$O121))</f>
      </c>
      <c r="E121">
        <f>IF($O121="","",INDEX(Master!$E$2:$E$1001,$O121))</f>
      </c>
      <c r="F121">
        <f>IF($O121="","",INDEX(Master!$F$2:$F$1001,$O121))</f>
      </c>
      <c r="G121">
        <f>IF($O121="","",INDEX(Master!$G$2:$G$1001,$O121))</f>
      </c>
      <c r="H121">
        <f>IF($O121="","",INDEX(Master!$H$2:$H$1001,$O121))</f>
      </c>
      <c r="I121">
        <f>IF($O121="","",INDEX(Master!$I$2:$I$1001,$O121))</f>
      </c>
      <c r="J121">
        <f>IF($O121="","",INDEX(Master!$J$2:$J$1001,$O121))</f>
      </c>
      <c r="K121">
        <f t="shared" si="2"/>
      </c>
      <c r="L121">
        <f>IF($O121="","",INDEX(Master!$K$2:$K$1001,$O121))</f>
      </c>
      <c r="M121">
        <f>IF($O121="","",INDEX(Master!$L$2:$L$1001,$O121))</f>
      </c>
      <c r="O121">
        <f t="array" ref="O121">IFERROR(SMALL(IF(Master!$A$2:$A$1001="SHREE RADHE",ROW(Master!$A$2:$A$1001)-ROW(Master!$A$2)+1),117),"")</f>
      </c>
      <c r="P121">
        <f t="shared" si="3"/>
      </c>
    </row>
    <row r="122" spans="1:16" x14ac:dyDescent="0.25">
      <c r="A122">
        <f>IF($O122="","",INDEX(Master!$D$2:$D$1001,$O122))</f>
      </c>
      <c r="B122" s="236">
        <f>IF($O122="","",INDEX(Master!$B$2:$B$1001,$O122))</f>
      </c>
      <c r="C122">
        <f>IF($O122="","",INDEX(Master!$C$2:$C$1001,$O122))</f>
      </c>
      <c r="D122">
        <f>IF($O122="","",INDEX(Master!$A$2:$A$1001,$O122))</f>
      </c>
      <c r="E122">
        <f>IF($O122="","",INDEX(Master!$E$2:$E$1001,$O122))</f>
      </c>
      <c r="F122">
        <f>IF($O122="","",INDEX(Master!$F$2:$F$1001,$O122))</f>
      </c>
      <c r="G122">
        <f>IF($O122="","",INDEX(Master!$G$2:$G$1001,$O122))</f>
      </c>
      <c r="H122">
        <f>IF($O122="","",INDEX(Master!$H$2:$H$1001,$O122))</f>
      </c>
      <c r="I122">
        <f>IF($O122="","",INDEX(Master!$I$2:$I$1001,$O122))</f>
      </c>
      <c r="J122">
        <f>IF($O122="","",INDEX(Master!$J$2:$J$1001,$O122))</f>
      </c>
      <c r="K122">
        <f t="shared" si="2"/>
      </c>
      <c r="L122">
        <f>IF($O122="","",INDEX(Master!$K$2:$K$1001,$O122))</f>
      </c>
      <c r="M122">
        <f>IF($O122="","",INDEX(Master!$L$2:$L$1001,$O122))</f>
      </c>
      <c r="O122">
        <f t="array" ref="O122">IFERROR(SMALL(IF(Master!$A$2:$A$1001="SHREE RADHE",ROW(Master!$A$2:$A$1001)-ROW(Master!$A$2)+1),118),"")</f>
      </c>
      <c r="P122">
        <f t="shared" si="3"/>
      </c>
    </row>
    <row r="123" spans="1:16" x14ac:dyDescent="0.25">
      <c r="A123">
        <f>IF($O123="","",INDEX(Master!$D$2:$D$1001,$O123))</f>
      </c>
      <c r="B123" s="236">
        <f>IF($O123="","",INDEX(Master!$B$2:$B$1001,$O123))</f>
      </c>
      <c r="C123">
        <f>IF($O123="","",INDEX(Master!$C$2:$C$1001,$O123))</f>
      </c>
      <c r="D123">
        <f>IF($O123="","",INDEX(Master!$A$2:$A$1001,$O123))</f>
      </c>
      <c r="E123">
        <f>IF($O123="","",INDEX(Master!$E$2:$E$1001,$O123))</f>
      </c>
      <c r="F123">
        <f>IF($O123="","",INDEX(Master!$F$2:$F$1001,$O123))</f>
      </c>
      <c r="G123">
        <f>IF($O123="","",INDEX(Master!$G$2:$G$1001,$O123))</f>
      </c>
      <c r="H123">
        <f>IF($O123="","",INDEX(Master!$H$2:$H$1001,$O123))</f>
      </c>
      <c r="I123">
        <f>IF($O123="","",INDEX(Master!$I$2:$I$1001,$O123))</f>
      </c>
      <c r="J123">
        <f>IF($O123="","",INDEX(Master!$J$2:$J$1001,$O123))</f>
      </c>
      <c r="K123">
        <f t="shared" si="2"/>
      </c>
      <c r="L123">
        <f>IF($O123="","",INDEX(Master!$K$2:$K$1001,$O123))</f>
      </c>
      <c r="M123">
        <f>IF($O123="","",INDEX(Master!$L$2:$L$1001,$O123))</f>
      </c>
      <c r="O123">
        <f t="array" ref="O123">IFERROR(SMALL(IF(Master!$A$2:$A$1001="SHREE RADHE",ROW(Master!$A$2:$A$1001)-ROW(Master!$A$2)+1),119),"")</f>
      </c>
      <c r="P123">
        <f t="shared" si="3"/>
      </c>
    </row>
    <row r="124" spans="1:16" x14ac:dyDescent="0.25">
      <c r="A124">
        <f>IF($O124="","",INDEX(Master!$D$2:$D$1001,$O124))</f>
      </c>
      <c r="B124" s="236">
        <f>IF($O124="","",INDEX(Master!$B$2:$B$1001,$O124))</f>
      </c>
      <c r="C124">
        <f>IF($O124="","",INDEX(Master!$C$2:$C$1001,$O124))</f>
      </c>
      <c r="D124">
        <f>IF($O124="","",INDEX(Master!$A$2:$A$1001,$O124))</f>
      </c>
      <c r="E124">
        <f>IF($O124="","",INDEX(Master!$E$2:$E$1001,$O124))</f>
      </c>
      <c r="F124">
        <f>IF($O124="","",INDEX(Master!$F$2:$F$1001,$O124))</f>
      </c>
      <c r="G124">
        <f>IF($O124="","",INDEX(Master!$G$2:$G$1001,$O124))</f>
      </c>
      <c r="H124">
        <f>IF($O124="","",INDEX(Master!$H$2:$H$1001,$O124))</f>
      </c>
      <c r="I124">
        <f>IF($O124="","",INDEX(Master!$I$2:$I$1001,$O124))</f>
      </c>
      <c r="J124">
        <f>IF($O124="","",INDEX(Master!$J$2:$J$1001,$O124))</f>
      </c>
      <c r="K124">
        <f t="shared" si="2"/>
      </c>
      <c r="L124">
        <f>IF($O124="","",INDEX(Master!$K$2:$K$1001,$O124))</f>
      </c>
      <c r="M124">
        <f>IF($O124="","",INDEX(Master!$L$2:$L$1001,$O124))</f>
      </c>
      <c r="O124">
        <f t="array" ref="O124">IFERROR(SMALL(IF(Master!$A$2:$A$1001="SHREE RADHE",ROW(Master!$A$2:$A$1001)-ROW(Master!$A$2)+1),120),"")</f>
      </c>
      <c r="P124">
        <f t="shared" si="3"/>
      </c>
    </row>
    <row r="125" spans="1:16" x14ac:dyDescent="0.25">
      <c r="A125">
        <f>IF($O125="","",INDEX(Master!$D$2:$D$1001,$O125))</f>
      </c>
      <c r="B125" s="236">
        <f>IF($O125="","",INDEX(Master!$B$2:$B$1001,$O125))</f>
      </c>
      <c r="C125">
        <f>IF($O125="","",INDEX(Master!$C$2:$C$1001,$O125))</f>
      </c>
      <c r="D125">
        <f>IF($O125="","",INDEX(Master!$A$2:$A$1001,$O125))</f>
      </c>
      <c r="E125">
        <f>IF($O125="","",INDEX(Master!$E$2:$E$1001,$O125))</f>
      </c>
      <c r="F125">
        <f>IF($O125="","",INDEX(Master!$F$2:$F$1001,$O125))</f>
      </c>
      <c r="G125">
        <f>IF($O125="","",INDEX(Master!$G$2:$G$1001,$O125))</f>
      </c>
      <c r="H125">
        <f>IF($O125="","",INDEX(Master!$H$2:$H$1001,$O125))</f>
      </c>
      <c r="I125">
        <f>IF($O125="","",INDEX(Master!$I$2:$I$1001,$O125))</f>
      </c>
      <c r="J125">
        <f>IF($O125="","",INDEX(Master!$J$2:$J$1001,$O125))</f>
      </c>
      <c r="K125">
        <f t="shared" si="2"/>
      </c>
      <c r="L125">
        <f>IF($O125="","",INDEX(Master!$K$2:$K$1001,$O125))</f>
      </c>
      <c r="M125">
        <f>IF($O125="","",INDEX(Master!$L$2:$L$1001,$O125))</f>
      </c>
      <c r="O125">
        <f t="array" ref="O125">IFERROR(SMALL(IF(Master!$A$2:$A$1001="SHREE RADHE",ROW(Master!$A$2:$A$1001)-ROW(Master!$A$2)+1),121),"")</f>
      </c>
      <c r="P125">
        <f t="shared" si="3"/>
      </c>
    </row>
    <row r="126" spans="1:16" x14ac:dyDescent="0.25">
      <c r="A126">
        <f>IF($O126="","",INDEX(Master!$D$2:$D$1001,$O126))</f>
      </c>
      <c r="B126" s="236">
        <f>IF($O126="","",INDEX(Master!$B$2:$B$1001,$O126))</f>
      </c>
      <c r="C126">
        <f>IF($O126="","",INDEX(Master!$C$2:$C$1001,$O126))</f>
      </c>
      <c r="D126">
        <f>IF($O126="","",INDEX(Master!$A$2:$A$1001,$O126))</f>
      </c>
      <c r="E126">
        <f>IF($O126="","",INDEX(Master!$E$2:$E$1001,$O126))</f>
      </c>
      <c r="F126">
        <f>IF($O126="","",INDEX(Master!$F$2:$F$1001,$O126))</f>
      </c>
      <c r="G126">
        <f>IF($O126="","",INDEX(Master!$G$2:$G$1001,$O126))</f>
      </c>
      <c r="H126">
        <f>IF($O126="","",INDEX(Master!$H$2:$H$1001,$O126))</f>
      </c>
      <c r="I126">
        <f>IF($O126="","",INDEX(Master!$I$2:$I$1001,$O126))</f>
      </c>
      <c r="J126">
        <f>IF($O126="","",INDEX(Master!$J$2:$J$1001,$O126))</f>
      </c>
      <c r="K126">
        <f t="shared" si="2"/>
      </c>
      <c r="L126">
        <f>IF($O126="","",INDEX(Master!$K$2:$K$1001,$O126))</f>
      </c>
      <c r="M126">
        <f>IF($O126="","",INDEX(Master!$L$2:$L$1001,$O126))</f>
      </c>
      <c r="O126">
        <f t="array" ref="O126">IFERROR(SMALL(IF(Master!$A$2:$A$1001="SHREE RADHE",ROW(Master!$A$2:$A$1001)-ROW(Master!$A$2)+1),122),"")</f>
      </c>
      <c r="P126">
        <f t="shared" si="3"/>
      </c>
    </row>
    <row r="127" spans="1:16" x14ac:dyDescent="0.25">
      <c r="A127">
        <f>IF($O127="","",INDEX(Master!$D$2:$D$1001,$O127))</f>
      </c>
      <c r="B127" s="236">
        <f>IF($O127="","",INDEX(Master!$B$2:$B$1001,$O127))</f>
      </c>
      <c r="C127">
        <f>IF($O127="","",INDEX(Master!$C$2:$C$1001,$O127))</f>
      </c>
      <c r="D127">
        <f>IF($O127="","",INDEX(Master!$A$2:$A$1001,$O127))</f>
      </c>
      <c r="E127">
        <f>IF($O127="","",INDEX(Master!$E$2:$E$1001,$O127))</f>
      </c>
      <c r="F127">
        <f>IF($O127="","",INDEX(Master!$F$2:$F$1001,$O127))</f>
      </c>
      <c r="G127">
        <f>IF($O127="","",INDEX(Master!$G$2:$G$1001,$O127))</f>
      </c>
      <c r="H127">
        <f>IF($O127="","",INDEX(Master!$H$2:$H$1001,$O127))</f>
      </c>
      <c r="I127">
        <f>IF($O127="","",INDEX(Master!$I$2:$I$1001,$O127))</f>
      </c>
      <c r="J127">
        <f>IF($O127="","",INDEX(Master!$J$2:$J$1001,$O127))</f>
      </c>
      <c r="K127">
        <f t="shared" si="2"/>
      </c>
      <c r="L127">
        <f>IF($O127="","",INDEX(Master!$K$2:$K$1001,$O127))</f>
      </c>
      <c r="M127">
        <f>IF($O127="","",INDEX(Master!$L$2:$L$1001,$O127))</f>
      </c>
      <c r="O127">
        <f t="array" ref="O127">IFERROR(SMALL(IF(Master!$A$2:$A$1001="SHREE RADHE",ROW(Master!$A$2:$A$1001)-ROW(Master!$A$2)+1),123),"")</f>
      </c>
      <c r="P127">
        <f t="shared" si="3"/>
      </c>
    </row>
    <row r="128" spans="1:16" x14ac:dyDescent="0.25">
      <c r="A128">
        <f>IF($O128="","",INDEX(Master!$D$2:$D$1001,$O128))</f>
      </c>
      <c r="B128" s="236">
        <f>IF($O128="","",INDEX(Master!$B$2:$B$1001,$O128))</f>
      </c>
      <c r="C128">
        <f>IF($O128="","",INDEX(Master!$C$2:$C$1001,$O128))</f>
      </c>
      <c r="D128">
        <f>IF($O128="","",INDEX(Master!$A$2:$A$1001,$O128))</f>
      </c>
      <c r="E128">
        <f>IF($O128="","",INDEX(Master!$E$2:$E$1001,$O128))</f>
      </c>
      <c r="F128">
        <f>IF($O128="","",INDEX(Master!$F$2:$F$1001,$O128))</f>
      </c>
      <c r="G128">
        <f>IF($O128="","",INDEX(Master!$G$2:$G$1001,$O128))</f>
      </c>
      <c r="H128">
        <f>IF($O128="","",INDEX(Master!$H$2:$H$1001,$O128))</f>
      </c>
      <c r="I128">
        <f>IF($O128="","",INDEX(Master!$I$2:$I$1001,$O128))</f>
      </c>
      <c r="J128">
        <f>IF($O128="","",INDEX(Master!$J$2:$J$1001,$O128))</f>
      </c>
      <c r="K128">
        <f t="shared" si="2"/>
      </c>
      <c r="L128">
        <f>IF($O128="","",INDEX(Master!$K$2:$K$1001,$O128))</f>
      </c>
      <c r="M128">
        <f>IF($O128="","",INDEX(Master!$L$2:$L$1001,$O128))</f>
      </c>
      <c r="O128">
        <f t="array" ref="O128">IFERROR(SMALL(IF(Master!$A$2:$A$1001="SHREE RADHE",ROW(Master!$A$2:$A$1001)-ROW(Master!$A$2)+1),124),"")</f>
      </c>
      <c r="P128">
        <f t="shared" si="3"/>
      </c>
    </row>
    <row r="129" spans="1:16" x14ac:dyDescent="0.25">
      <c r="A129">
        <f>IF($O129="","",INDEX(Master!$D$2:$D$1001,$O129))</f>
      </c>
      <c r="B129" s="236">
        <f>IF($O129="","",INDEX(Master!$B$2:$B$1001,$O129))</f>
      </c>
      <c r="C129">
        <f>IF($O129="","",INDEX(Master!$C$2:$C$1001,$O129))</f>
      </c>
      <c r="D129">
        <f>IF($O129="","",INDEX(Master!$A$2:$A$1001,$O129))</f>
      </c>
      <c r="E129">
        <f>IF($O129="","",INDEX(Master!$E$2:$E$1001,$O129))</f>
      </c>
      <c r="F129">
        <f>IF($O129="","",INDEX(Master!$F$2:$F$1001,$O129))</f>
      </c>
      <c r="G129">
        <f>IF($O129="","",INDEX(Master!$G$2:$G$1001,$O129))</f>
      </c>
      <c r="H129">
        <f>IF($O129="","",INDEX(Master!$H$2:$H$1001,$O129))</f>
      </c>
      <c r="I129">
        <f>IF($O129="","",INDEX(Master!$I$2:$I$1001,$O129))</f>
      </c>
      <c r="J129">
        <f>IF($O129="","",INDEX(Master!$J$2:$J$1001,$O129))</f>
      </c>
      <c r="K129">
        <f t="shared" si="2"/>
      </c>
      <c r="L129">
        <f>IF($O129="","",INDEX(Master!$K$2:$K$1001,$O129))</f>
      </c>
      <c r="M129">
        <f>IF($O129="","",INDEX(Master!$L$2:$L$1001,$O129))</f>
      </c>
      <c r="O129">
        <f t="array" ref="O129">IFERROR(SMALL(IF(Master!$A$2:$A$1001="SHREE RADHE",ROW(Master!$A$2:$A$1001)-ROW(Master!$A$2)+1),125),"")</f>
      </c>
      <c r="P129">
        <f t="shared" si="3"/>
      </c>
    </row>
    <row r="130" spans="1:16" x14ac:dyDescent="0.25">
      <c r="A130">
        <f>IF($O130="","",INDEX(Master!$D$2:$D$1001,$O130))</f>
      </c>
      <c r="B130" s="236">
        <f>IF($O130="","",INDEX(Master!$B$2:$B$1001,$O130))</f>
      </c>
      <c r="C130">
        <f>IF($O130="","",INDEX(Master!$C$2:$C$1001,$O130))</f>
      </c>
      <c r="D130">
        <f>IF($O130="","",INDEX(Master!$A$2:$A$1001,$O130))</f>
      </c>
      <c r="E130">
        <f>IF($O130="","",INDEX(Master!$E$2:$E$1001,$O130))</f>
      </c>
      <c r="F130">
        <f>IF($O130="","",INDEX(Master!$F$2:$F$1001,$O130))</f>
      </c>
      <c r="G130">
        <f>IF($O130="","",INDEX(Master!$G$2:$G$1001,$O130))</f>
      </c>
      <c r="H130">
        <f>IF($O130="","",INDEX(Master!$H$2:$H$1001,$O130))</f>
      </c>
      <c r="I130">
        <f>IF($O130="","",INDEX(Master!$I$2:$I$1001,$O130))</f>
      </c>
      <c r="J130">
        <f>IF($O130="","",INDEX(Master!$J$2:$J$1001,$O130))</f>
      </c>
      <c r="K130">
        <f t="shared" si="2"/>
      </c>
      <c r="L130">
        <f>IF($O130="","",INDEX(Master!$K$2:$K$1001,$O130))</f>
      </c>
      <c r="M130">
        <f>IF($O130="","",INDEX(Master!$L$2:$L$1001,$O130))</f>
      </c>
      <c r="O130">
        <f t="array" ref="O130">IFERROR(SMALL(IF(Master!$A$2:$A$1001="SHREE RADHE",ROW(Master!$A$2:$A$1001)-ROW(Master!$A$2)+1),126),"")</f>
      </c>
      <c r="P130">
        <f t="shared" si="3"/>
      </c>
    </row>
    <row r="131" spans="1:16" x14ac:dyDescent="0.25">
      <c r="A131">
        <f>IF($O131="","",INDEX(Master!$D$2:$D$1001,$O131))</f>
      </c>
      <c r="B131" s="236">
        <f>IF($O131="","",INDEX(Master!$B$2:$B$1001,$O131))</f>
      </c>
      <c r="C131">
        <f>IF($O131="","",INDEX(Master!$C$2:$C$1001,$O131))</f>
      </c>
      <c r="D131">
        <f>IF($O131="","",INDEX(Master!$A$2:$A$1001,$O131))</f>
      </c>
      <c r="E131">
        <f>IF($O131="","",INDEX(Master!$E$2:$E$1001,$O131))</f>
      </c>
      <c r="F131">
        <f>IF($O131="","",INDEX(Master!$F$2:$F$1001,$O131))</f>
      </c>
      <c r="G131">
        <f>IF($O131="","",INDEX(Master!$G$2:$G$1001,$O131))</f>
      </c>
      <c r="H131">
        <f>IF($O131="","",INDEX(Master!$H$2:$H$1001,$O131))</f>
      </c>
      <c r="I131">
        <f>IF($O131="","",INDEX(Master!$I$2:$I$1001,$O131))</f>
      </c>
      <c r="J131">
        <f>IF($O131="","",INDEX(Master!$J$2:$J$1001,$O131))</f>
      </c>
      <c r="K131">
        <f t="shared" si="2"/>
      </c>
      <c r="L131">
        <f>IF($O131="","",INDEX(Master!$K$2:$K$1001,$O131))</f>
      </c>
      <c r="M131">
        <f>IF($O131="","",INDEX(Master!$L$2:$L$1001,$O131))</f>
      </c>
      <c r="O131">
        <f t="array" ref="O131">IFERROR(SMALL(IF(Master!$A$2:$A$1001="SHREE RADHE",ROW(Master!$A$2:$A$1001)-ROW(Master!$A$2)+1),127),"")</f>
      </c>
      <c r="P131">
        <f t="shared" si="3"/>
      </c>
    </row>
    <row r="132" spans="1:16" x14ac:dyDescent="0.25">
      <c r="A132">
        <f>IF($O132="","",INDEX(Master!$D$2:$D$1001,$O132))</f>
      </c>
      <c r="B132" s="236">
        <f>IF($O132="","",INDEX(Master!$B$2:$B$1001,$O132))</f>
      </c>
      <c r="C132">
        <f>IF($O132="","",INDEX(Master!$C$2:$C$1001,$O132))</f>
      </c>
      <c r="D132">
        <f>IF($O132="","",INDEX(Master!$A$2:$A$1001,$O132))</f>
      </c>
      <c r="E132">
        <f>IF($O132="","",INDEX(Master!$E$2:$E$1001,$O132))</f>
      </c>
      <c r="F132">
        <f>IF($O132="","",INDEX(Master!$F$2:$F$1001,$O132))</f>
      </c>
      <c r="G132">
        <f>IF($O132="","",INDEX(Master!$G$2:$G$1001,$O132))</f>
      </c>
      <c r="H132">
        <f>IF($O132="","",INDEX(Master!$H$2:$H$1001,$O132))</f>
      </c>
      <c r="I132">
        <f>IF($O132="","",INDEX(Master!$I$2:$I$1001,$O132))</f>
      </c>
      <c r="J132">
        <f>IF($O132="","",INDEX(Master!$J$2:$J$1001,$O132))</f>
      </c>
      <c r="K132">
        <f t="shared" si="2"/>
      </c>
      <c r="L132">
        <f>IF($O132="","",INDEX(Master!$K$2:$K$1001,$O132))</f>
      </c>
      <c r="M132">
        <f>IF($O132="","",INDEX(Master!$L$2:$L$1001,$O132))</f>
      </c>
      <c r="O132">
        <f t="array" ref="O132">IFERROR(SMALL(IF(Master!$A$2:$A$1001="SHREE RADHE",ROW(Master!$A$2:$A$1001)-ROW(Master!$A$2)+1),128),"")</f>
      </c>
      <c r="P132">
        <f t="shared" si="3"/>
      </c>
    </row>
    <row r="133" spans="1:16" x14ac:dyDescent="0.25">
      <c r="A133">
        <f>IF($O133="","",INDEX(Master!$D$2:$D$1001,$O133))</f>
      </c>
      <c r="B133" s="236">
        <f>IF($O133="","",INDEX(Master!$B$2:$B$1001,$O133))</f>
      </c>
      <c r="C133">
        <f>IF($O133="","",INDEX(Master!$C$2:$C$1001,$O133))</f>
      </c>
      <c r="D133">
        <f>IF($O133="","",INDEX(Master!$A$2:$A$1001,$O133))</f>
      </c>
      <c r="E133">
        <f>IF($O133="","",INDEX(Master!$E$2:$E$1001,$O133))</f>
      </c>
      <c r="F133">
        <f>IF($O133="","",INDEX(Master!$F$2:$F$1001,$O133))</f>
      </c>
      <c r="G133">
        <f>IF($O133="","",INDEX(Master!$G$2:$G$1001,$O133))</f>
      </c>
      <c r="H133">
        <f>IF($O133="","",INDEX(Master!$H$2:$H$1001,$O133))</f>
      </c>
      <c r="I133">
        <f>IF($O133="","",INDEX(Master!$I$2:$I$1001,$O133))</f>
      </c>
      <c r="J133">
        <f>IF($O133="","",INDEX(Master!$J$2:$J$1001,$O133))</f>
      </c>
      <c r="K133">
        <f t="shared" ref="K133:K196" si="4">IF(OR($O133="",$F133="",$F133=0),"",$H133/$F133)</f>
      </c>
      <c r="L133">
        <f>IF($O133="","",INDEX(Master!$K$2:$K$1001,$O133))</f>
      </c>
      <c r="M133">
        <f>IF($O133="","",INDEX(Master!$L$2:$L$1001,$O133))</f>
      </c>
      <c r="O133">
        <f t="array" ref="O133">IFERROR(SMALL(IF(Master!$A$2:$A$1001="SHREE RADHE",ROW(Master!$A$2:$A$1001)-ROW(Master!$A$2)+1),129),"")</f>
      </c>
      <c r="P133">
        <f t="shared" ref="P133:P196" si="5">IF($A133="",0,IF(OR(AND($E133&lt;&gt;"",OR($E133&gt;0.15)),AND($F133&lt;&gt;"",OR($F133&gt;0.045)),AND($G133&lt;&gt;"",OR($G133&gt;0.08)),AND($H133&lt;&gt;"",$H133&lt;0.5),AND($J133&lt;&gt;"",OR($J133&lt;0.1))),1,0))</f>
      </c>
    </row>
    <row r="134" spans="1:16" x14ac:dyDescent="0.25">
      <c r="A134">
        <f>IF($O134="","",INDEX(Master!$D$2:$D$1001,$O134))</f>
      </c>
      <c r="B134" s="236">
        <f>IF($O134="","",INDEX(Master!$B$2:$B$1001,$O134))</f>
      </c>
      <c r="C134">
        <f>IF($O134="","",INDEX(Master!$C$2:$C$1001,$O134))</f>
      </c>
      <c r="D134">
        <f>IF($O134="","",INDEX(Master!$A$2:$A$1001,$O134))</f>
      </c>
      <c r="E134">
        <f>IF($O134="","",INDEX(Master!$E$2:$E$1001,$O134))</f>
      </c>
      <c r="F134">
        <f>IF($O134="","",INDEX(Master!$F$2:$F$1001,$O134))</f>
      </c>
      <c r="G134">
        <f>IF($O134="","",INDEX(Master!$G$2:$G$1001,$O134))</f>
      </c>
      <c r="H134">
        <f>IF($O134="","",INDEX(Master!$H$2:$H$1001,$O134))</f>
      </c>
      <c r="I134">
        <f>IF($O134="","",INDEX(Master!$I$2:$I$1001,$O134))</f>
      </c>
      <c r="J134">
        <f>IF($O134="","",INDEX(Master!$J$2:$J$1001,$O134))</f>
      </c>
      <c r="K134">
        <f t="shared" si="4"/>
      </c>
      <c r="L134">
        <f>IF($O134="","",INDEX(Master!$K$2:$K$1001,$O134))</f>
      </c>
      <c r="M134">
        <f>IF($O134="","",INDEX(Master!$L$2:$L$1001,$O134))</f>
      </c>
      <c r="O134">
        <f t="array" ref="O134">IFERROR(SMALL(IF(Master!$A$2:$A$1001="SHREE RADHE",ROW(Master!$A$2:$A$1001)-ROW(Master!$A$2)+1),130),"")</f>
      </c>
      <c r="P134">
        <f t="shared" si="5"/>
      </c>
    </row>
    <row r="135" spans="1:16" x14ac:dyDescent="0.25">
      <c r="A135">
        <f>IF($O135="","",INDEX(Master!$D$2:$D$1001,$O135))</f>
      </c>
      <c r="B135" s="236">
        <f>IF($O135="","",INDEX(Master!$B$2:$B$1001,$O135))</f>
      </c>
      <c r="C135">
        <f>IF($O135="","",INDEX(Master!$C$2:$C$1001,$O135))</f>
      </c>
      <c r="D135">
        <f>IF($O135="","",INDEX(Master!$A$2:$A$1001,$O135))</f>
      </c>
      <c r="E135">
        <f>IF($O135="","",INDEX(Master!$E$2:$E$1001,$O135))</f>
      </c>
      <c r="F135">
        <f>IF($O135="","",INDEX(Master!$F$2:$F$1001,$O135))</f>
      </c>
      <c r="G135">
        <f>IF($O135="","",INDEX(Master!$G$2:$G$1001,$O135))</f>
      </c>
      <c r="H135">
        <f>IF($O135="","",INDEX(Master!$H$2:$H$1001,$O135))</f>
      </c>
      <c r="I135">
        <f>IF($O135="","",INDEX(Master!$I$2:$I$1001,$O135))</f>
      </c>
      <c r="J135">
        <f>IF($O135="","",INDEX(Master!$J$2:$J$1001,$O135))</f>
      </c>
      <c r="K135">
        <f t="shared" si="4"/>
      </c>
      <c r="L135">
        <f>IF($O135="","",INDEX(Master!$K$2:$K$1001,$O135))</f>
      </c>
      <c r="M135">
        <f>IF($O135="","",INDEX(Master!$L$2:$L$1001,$O135))</f>
      </c>
      <c r="O135">
        <f t="array" ref="O135">IFERROR(SMALL(IF(Master!$A$2:$A$1001="SHREE RADHE",ROW(Master!$A$2:$A$1001)-ROW(Master!$A$2)+1),131),"")</f>
      </c>
      <c r="P135">
        <f t="shared" si="5"/>
      </c>
    </row>
    <row r="136" spans="1:16" x14ac:dyDescent="0.25">
      <c r="A136">
        <f>IF($O136="","",INDEX(Master!$D$2:$D$1001,$O136))</f>
      </c>
      <c r="B136" s="236">
        <f>IF($O136="","",INDEX(Master!$B$2:$B$1001,$O136))</f>
      </c>
      <c r="C136">
        <f>IF($O136="","",INDEX(Master!$C$2:$C$1001,$O136))</f>
      </c>
      <c r="D136">
        <f>IF($O136="","",INDEX(Master!$A$2:$A$1001,$O136))</f>
      </c>
      <c r="E136">
        <f>IF($O136="","",INDEX(Master!$E$2:$E$1001,$O136))</f>
      </c>
      <c r="F136">
        <f>IF($O136="","",INDEX(Master!$F$2:$F$1001,$O136))</f>
      </c>
      <c r="G136">
        <f>IF($O136="","",INDEX(Master!$G$2:$G$1001,$O136))</f>
      </c>
      <c r="H136">
        <f>IF($O136="","",INDEX(Master!$H$2:$H$1001,$O136))</f>
      </c>
      <c r="I136">
        <f>IF($O136="","",INDEX(Master!$I$2:$I$1001,$O136))</f>
      </c>
      <c r="J136">
        <f>IF($O136="","",INDEX(Master!$J$2:$J$1001,$O136))</f>
      </c>
      <c r="K136">
        <f t="shared" si="4"/>
      </c>
      <c r="L136">
        <f>IF($O136="","",INDEX(Master!$K$2:$K$1001,$O136))</f>
      </c>
      <c r="M136">
        <f>IF($O136="","",INDEX(Master!$L$2:$L$1001,$O136))</f>
      </c>
      <c r="O136">
        <f t="array" ref="O136">IFERROR(SMALL(IF(Master!$A$2:$A$1001="SHREE RADHE",ROW(Master!$A$2:$A$1001)-ROW(Master!$A$2)+1),132),"")</f>
      </c>
      <c r="P136">
        <f t="shared" si="5"/>
      </c>
    </row>
    <row r="137" spans="1:16" x14ac:dyDescent="0.25">
      <c r="A137">
        <f>IF($O137="","",INDEX(Master!$D$2:$D$1001,$O137))</f>
      </c>
      <c r="B137" s="236">
        <f>IF($O137="","",INDEX(Master!$B$2:$B$1001,$O137))</f>
      </c>
      <c r="C137">
        <f>IF($O137="","",INDEX(Master!$C$2:$C$1001,$O137))</f>
      </c>
      <c r="D137">
        <f>IF($O137="","",INDEX(Master!$A$2:$A$1001,$O137))</f>
      </c>
      <c r="E137">
        <f>IF($O137="","",INDEX(Master!$E$2:$E$1001,$O137))</f>
      </c>
      <c r="F137">
        <f>IF($O137="","",INDEX(Master!$F$2:$F$1001,$O137))</f>
      </c>
      <c r="G137">
        <f>IF($O137="","",INDEX(Master!$G$2:$G$1001,$O137))</f>
      </c>
      <c r="H137">
        <f>IF($O137="","",INDEX(Master!$H$2:$H$1001,$O137))</f>
      </c>
      <c r="I137">
        <f>IF($O137="","",INDEX(Master!$I$2:$I$1001,$O137))</f>
      </c>
      <c r="J137">
        <f>IF($O137="","",INDEX(Master!$J$2:$J$1001,$O137))</f>
      </c>
      <c r="K137">
        <f t="shared" si="4"/>
      </c>
      <c r="L137">
        <f>IF($O137="","",INDEX(Master!$K$2:$K$1001,$O137))</f>
      </c>
      <c r="M137">
        <f>IF($O137="","",INDEX(Master!$L$2:$L$1001,$O137))</f>
      </c>
      <c r="O137">
        <f t="array" ref="O137">IFERROR(SMALL(IF(Master!$A$2:$A$1001="SHREE RADHE",ROW(Master!$A$2:$A$1001)-ROW(Master!$A$2)+1),133),"")</f>
      </c>
      <c r="P137">
        <f t="shared" si="5"/>
      </c>
    </row>
    <row r="138" spans="1:16" x14ac:dyDescent="0.25">
      <c r="A138">
        <f>IF($O138="","",INDEX(Master!$D$2:$D$1001,$O138))</f>
      </c>
      <c r="B138" s="236">
        <f>IF($O138="","",INDEX(Master!$B$2:$B$1001,$O138))</f>
      </c>
      <c r="C138">
        <f>IF($O138="","",INDEX(Master!$C$2:$C$1001,$O138))</f>
      </c>
      <c r="D138">
        <f>IF($O138="","",INDEX(Master!$A$2:$A$1001,$O138))</f>
      </c>
      <c r="E138">
        <f>IF($O138="","",INDEX(Master!$E$2:$E$1001,$O138))</f>
      </c>
      <c r="F138">
        <f>IF($O138="","",INDEX(Master!$F$2:$F$1001,$O138))</f>
      </c>
      <c r="G138">
        <f>IF($O138="","",INDEX(Master!$G$2:$G$1001,$O138))</f>
      </c>
      <c r="H138">
        <f>IF($O138="","",INDEX(Master!$H$2:$H$1001,$O138))</f>
      </c>
      <c r="I138">
        <f>IF($O138="","",INDEX(Master!$I$2:$I$1001,$O138))</f>
      </c>
      <c r="J138">
        <f>IF($O138="","",INDEX(Master!$J$2:$J$1001,$O138))</f>
      </c>
      <c r="K138">
        <f t="shared" si="4"/>
      </c>
      <c r="L138">
        <f>IF($O138="","",INDEX(Master!$K$2:$K$1001,$O138))</f>
      </c>
      <c r="M138">
        <f>IF($O138="","",INDEX(Master!$L$2:$L$1001,$O138))</f>
      </c>
      <c r="O138">
        <f t="array" ref="O138">IFERROR(SMALL(IF(Master!$A$2:$A$1001="SHREE RADHE",ROW(Master!$A$2:$A$1001)-ROW(Master!$A$2)+1),134),"")</f>
      </c>
      <c r="P138">
        <f t="shared" si="5"/>
      </c>
    </row>
    <row r="139" spans="1:16" x14ac:dyDescent="0.25">
      <c r="A139">
        <f>IF($O139="","",INDEX(Master!$D$2:$D$1001,$O139))</f>
      </c>
      <c r="B139" s="236">
        <f>IF($O139="","",INDEX(Master!$B$2:$B$1001,$O139))</f>
      </c>
      <c r="C139">
        <f>IF($O139="","",INDEX(Master!$C$2:$C$1001,$O139))</f>
      </c>
      <c r="D139">
        <f>IF($O139="","",INDEX(Master!$A$2:$A$1001,$O139))</f>
      </c>
      <c r="E139">
        <f>IF($O139="","",INDEX(Master!$E$2:$E$1001,$O139))</f>
      </c>
      <c r="F139">
        <f>IF($O139="","",INDEX(Master!$F$2:$F$1001,$O139))</f>
      </c>
      <c r="G139">
        <f>IF($O139="","",INDEX(Master!$G$2:$G$1001,$O139))</f>
      </c>
      <c r="H139">
        <f>IF($O139="","",INDEX(Master!$H$2:$H$1001,$O139))</f>
      </c>
      <c r="I139">
        <f>IF($O139="","",INDEX(Master!$I$2:$I$1001,$O139))</f>
      </c>
      <c r="J139">
        <f>IF($O139="","",INDEX(Master!$J$2:$J$1001,$O139))</f>
      </c>
      <c r="K139">
        <f t="shared" si="4"/>
      </c>
      <c r="L139">
        <f>IF($O139="","",INDEX(Master!$K$2:$K$1001,$O139))</f>
      </c>
      <c r="M139">
        <f>IF($O139="","",INDEX(Master!$L$2:$L$1001,$O139))</f>
      </c>
      <c r="O139">
        <f t="array" ref="O139">IFERROR(SMALL(IF(Master!$A$2:$A$1001="SHREE RADHE",ROW(Master!$A$2:$A$1001)-ROW(Master!$A$2)+1),135),"")</f>
      </c>
      <c r="P139">
        <f t="shared" si="5"/>
      </c>
    </row>
    <row r="140" spans="1:16" x14ac:dyDescent="0.25">
      <c r="A140">
        <f>IF($O140="","",INDEX(Master!$D$2:$D$1001,$O140))</f>
      </c>
      <c r="B140" s="236">
        <f>IF($O140="","",INDEX(Master!$B$2:$B$1001,$O140))</f>
      </c>
      <c r="C140">
        <f>IF($O140="","",INDEX(Master!$C$2:$C$1001,$O140))</f>
      </c>
      <c r="D140">
        <f>IF($O140="","",INDEX(Master!$A$2:$A$1001,$O140))</f>
      </c>
      <c r="E140">
        <f>IF($O140="","",INDEX(Master!$E$2:$E$1001,$O140))</f>
      </c>
      <c r="F140">
        <f>IF($O140="","",INDEX(Master!$F$2:$F$1001,$O140))</f>
      </c>
      <c r="G140">
        <f>IF($O140="","",INDEX(Master!$G$2:$G$1001,$O140))</f>
      </c>
      <c r="H140">
        <f>IF($O140="","",INDEX(Master!$H$2:$H$1001,$O140))</f>
      </c>
      <c r="I140">
        <f>IF($O140="","",INDEX(Master!$I$2:$I$1001,$O140))</f>
      </c>
      <c r="J140">
        <f>IF($O140="","",INDEX(Master!$J$2:$J$1001,$O140))</f>
      </c>
      <c r="K140">
        <f t="shared" si="4"/>
      </c>
      <c r="L140">
        <f>IF($O140="","",INDEX(Master!$K$2:$K$1001,$O140))</f>
      </c>
      <c r="M140">
        <f>IF($O140="","",INDEX(Master!$L$2:$L$1001,$O140))</f>
      </c>
      <c r="O140">
        <f t="array" ref="O140">IFERROR(SMALL(IF(Master!$A$2:$A$1001="SHREE RADHE",ROW(Master!$A$2:$A$1001)-ROW(Master!$A$2)+1),136),"")</f>
      </c>
      <c r="P140">
        <f t="shared" si="5"/>
      </c>
    </row>
    <row r="141" spans="1:16" x14ac:dyDescent="0.25">
      <c r="A141">
        <f>IF($O141="","",INDEX(Master!$D$2:$D$1001,$O141))</f>
      </c>
      <c r="B141" s="236">
        <f>IF($O141="","",INDEX(Master!$B$2:$B$1001,$O141))</f>
      </c>
      <c r="C141">
        <f>IF($O141="","",INDEX(Master!$C$2:$C$1001,$O141))</f>
      </c>
      <c r="D141">
        <f>IF($O141="","",INDEX(Master!$A$2:$A$1001,$O141))</f>
      </c>
      <c r="E141">
        <f>IF($O141="","",INDEX(Master!$E$2:$E$1001,$O141))</f>
      </c>
      <c r="F141">
        <f>IF($O141="","",INDEX(Master!$F$2:$F$1001,$O141))</f>
      </c>
      <c r="G141">
        <f>IF($O141="","",INDEX(Master!$G$2:$G$1001,$O141))</f>
      </c>
      <c r="H141">
        <f>IF($O141="","",INDEX(Master!$H$2:$H$1001,$O141))</f>
      </c>
      <c r="I141">
        <f>IF($O141="","",INDEX(Master!$I$2:$I$1001,$O141))</f>
      </c>
      <c r="J141">
        <f>IF($O141="","",INDEX(Master!$J$2:$J$1001,$O141))</f>
      </c>
      <c r="K141">
        <f t="shared" si="4"/>
      </c>
      <c r="L141">
        <f>IF($O141="","",INDEX(Master!$K$2:$K$1001,$O141))</f>
      </c>
      <c r="M141">
        <f>IF($O141="","",INDEX(Master!$L$2:$L$1001,$O141))</f>
      </c>
      <c r="O141">
        <f t="array" ref="O141">IFERROR(SMALL(IF(Master!$A$2:$A$1001="SHREE RADHE",ROW(Master!$A$2:$A$1001)-ROW(Master!$A$2)+1),137),"")</f>
      </c>
      <c r="P141">
        <f t="shared" si="5"/>
      </c>
    </row>
    <row r="142" spans="1:16" x14ac:dyDescent="0.25">
      <c r="A142">
        <f>IF($O142="","",INDEX(Master!$D$2:$D$1001,$O142))</f>
      </c>
      <c r="B142" s="236">
        <f>IF($O142="","",INDEX(Master!$B$2:$B$1001,$O142))</f>
      </c>
      <c r="C142">
        <f>IF($O142="","",INDEX(Master!$C$2:$C$1001,$O142))</f>
      </c>
      <c r="D142">
        <f>IF($O142="","",INDEX(Master!$A$2:$A$1001,$O142))</f>
      </c>
      <c r="E142">
        <f>IF($O142="","",INDEX(Master!$E$2:$E$1001,$O142))</f>
      </c>
      <c r="F142">
        <f>IF($O142="","",INDEX(Master!$F$2:$F$1001,$O142))</f>
      </c>
      <c r="G142">
        <f>IF($O142="","",INDEX(Master!$G$2:$G$1001,$O142))</f>
      </c>
      <c r="H142">
        <f>IF($O142="","",INDEX(Master!$H$2:$H$1001,$O142))</f>
      </c>
      <c r="I142">
        <f>IF($O142="","",INDEX(Master!$I$2:$I$1001,$O142))</f>
      </c>
      <c r="J142">
        <f>IF($O142="","",INDEX(Master!$J$2:$J$1001,$O142))</f>
      </c>
      <c r="K142">
        <f t="shared" si="4"/>
      </c>
      <c r="L142">
        <f>IF($O142="","",INDEX(Master!$K$2:$K$1001,$O142))</f>
      </c>
      <c r="M142">
        <f>IF($O142="","",INDEX(Master!$L$2:$L$1001,$O142))</f>
      </c>
      <c r="O142">
        <f t="array" ref="O142">IFERROR(SMALL(IF(Master!$A$2:$A$1001="SHREE RADHE",ROW(Master!$A$2:$A$1001)-ROW(Master!$A$2)+1),138),"")</f>
      </c>
      <c r="P142">
        <f t="shared" si="5"/>
      </c>
    </row>
    <row r="143" spans="1:16" x14ac:dyDescent="0.25">
      <c r="A143">
        <f>IF($O143="","",INDEX(Master!$D$2:$D$1001,$O143))</f>
      </c>
      <c r="B143" s="236">
        <f>IF($O143="","",INDEX(Master!$B$2:$B$1001,$O143))</f>
      </c>
      <c r="C143">
        <f>IF($O143="","",INDEX(Master!$C$2:$C$1001,$O143))</f>
      </c>
      <c r="D143">
        <f>IF($O143="","",INDEX(Master!$A$2:$A$1001,$O143))</f>
      </c>
      <c r="E143">
        <f>IF($O143="","",INDEX(Master!$E$2:$E$1001,$O143))</f>
      </c>
      <c r="F143">
        <f>IF($O143="","",INDEX(Master!$F$2:$F$1001,$O143))</f>
      </c>
      <c r="G143">
        <f>IF($O143="","",INDEX(Master!$G$2:$G$1001,$O143))</f>
      </c>
      <c r="H143">
        <f>IF($O143="","",INDEX(Master!$H$2:$H$1001,$O143))</f>
      </c>
      <c r="I143">
        <f>IF($O143="","",INDEX(Master!$I$2:$I$1001,$O143))</f>
      </c>
      <c r="J143">
        <f>IF($O143="","",INDEX(Master!$J$2:$J$1001,$O143))</f>
      </c>
      <c r="K143">
        <f t="shared" si="4"/>
      </c>
      <c r="L143">
        <f>IF($O143="","",INDEX(Master!$K$2:$K$1001,$O143))</f>
      </c>
      <c r="M143">
        <f>IF($O143="","",INDEX(Master!$L$2:$L$1001,$O143))</f>
      </c>
      <c r="O143">
        <f t="array" ref="O143">IFERROR(SMALL(IF(Master!$A$2:$A$1001="SHREE RADHE",ROW(Master!$A$2:$A$1001)-ROW(Master!$A$2)+1),139),"")</f>
      </c>
      <c r="P143">
        <f t="shared" si="5"/>
      </c>
    </row>
    <row r="144" spans="1:16" x14ac:dyDescent="0.25">
      <c r="A144">
        <f>IF($O144="","",INDEX(Master!$D$2:$D$1001,$O144))</f>
      </c>
      <c r="B144" s="236">
        <f>IF($O144="","",INDEX(Master!$B$2:$B$1001,$O144))</f>
      </c>
      <c r="C144">
        <f>IF($O144="","",INDEX(Master!$C$2:$C$1001,$O144))</f>
      </c>
      <c r="D144">
        <f>IF($O144="","",INDEX(Master!$A$2:$A$1001,$O144))</f>
      </c>
      <c r="E144">
        <f>IF($O144="","",INDEX(Master!$E$2:$E$1001,$O144))</f>
      </c>
      <c r="F144">
        <f>IF($O144="","",INDEX(Master!$F$2:$F$1001,$O144))</f>
      </c>
      <c r="G144">
        <f>IF($O144="","",INDEX(Master!$G$2:$G$1001,$O144))</f>
      </c>
      <c r="H144">
        <f>IF($O144="","",INDEX(Master!$H$2:$H$1001,$O144))</f>
      </c>
      <c r="I144">
        <f>IF($O144="","",INDEX(Master!$I$2:$I$1001,$O144))</f>
      </c>
      <c r="J144">
        <f>IF($O144="","",INDEX(Master!$J$2:$J$1001,$O144))</f>
      </c>
      <c r="K144">
        <f t="shared" si="4"/>
      </c>
      <c r="L144">
        <f>IF($O144="","",INDEX(Master!$K$2:$K$1001,$O144))</f>
      </c>
      <c r="M144">
        <f>IF($O144="","",INDEX(Master!$L$2:$L$1001,$O144))</f>
      </c>
      <c r="O144">
        <f t="array" ref="O144">IFERROR(SMALL(IF(Master!$A$2:$A$1001="SHREE RADHE",ROW(Master!$A$2:$A$1001)-ROW(Master!$A$2)+1),140),"")</f>
      </c>
      <c r="P144">
        <f t="shared" si="5"/>
      </c>
    </row>
    <row r="145" spans="1:16" x14ac:dyDescent="0.25">
      <c r="A145">
        <f>IF($O145="","",INDEX(Master!$D$2:$D$1001,$O145))</f>
      </c>
      <c r="B145" s="236">
        <f>IF($O145="","",INDEX(Master!$B$2:$B$1001,$O145))</f>
      </c>
      <c r="C145">
        <f>IF($O145="","",INDEX(Master!$C$2:$C$1001,$O145))</f>
      </c>
      <c r="D145">
        <f>IF($O145="","",INDEX(Master!$A$2:$A$1001,$O145))</f>
      </c>
      <c r="E145">
        <f>IF($O145="","",INDEX(Master!$E$2:$E$1001,$O145))</f>
      </c>
      <c r="F145">
        <f>IF($O145="","",INDEX(Master!$F$2:$F$1001,$O145))</f>
      </c>
      <c r="G145">
        <f>IF($O145="","",INDEX(Master!$G$2:$G$1001,$O145))</f>
      </c>
      <c r="H145">
        <f>IF($O145="","",INDEX(Master!$H$2:$H$1001,$O145))</f>
      </c>
      <c r="I145">
        <f>IF($O145="","",INDEX(Master!$I$2:$I$1001,$O145))</f>
      </c>
      <c r="J145">
        <f>IF($O145="","",INDEX(Master!$J$2:$J$1001,$O145))</f>
      </c>
      <c r="K145">
        <f t="shared" si="4"/>
      </c>
      <c r="L145">
        <f>IF($O145="","",INDEX(Master!$K$2:$K$1001,$O145))</f>
      </c>
      <c r="M145">
        <f>IF($O145="","",INDEX(Master!$L$2:$L$1001,$O145))</f>
      </c>
      <c r="O145">
        <f t="array" ref="O145">IFERROR(SMALL(IF(Master!$A$2:$A$1001="SHREE RADHE",ROW(Master!$A$2:$A$1001)-ROW(Master!$A$2)+1),141),"")</f>
      </c>
      <c r="P145">
        <f t="shared" si="5"/>
      </c>
    </row>
    <row r="146" spans="1:16" x14ac:dyDescent="0.25">
      <c r="A146">
        <f>IF($O146="","",INDEX(Master!$D$2:$D$1001,$O146))</f>
      </c>
      <c r="B146" s="236">
        <f>IF($O146="","",INDEX(Master!$B$2:$B$1001,$O146))</f>
      </c>
      <c r="C146">
        <f>IF($O146="","",INDEX(Master!$C$2:$C$1001,$O146))</f>
      </c>
      <c r="D146">
        <f>IF($O146="","",INDEX(Master!$A$2:$A$1001,$O146))</f>
      </c>
      <c r="E146">
        <f>IF($O146="","",INDEX(Master!$E$2:$E$1001,$O146))</f>
      </c>
      <c r="F146">
        <f>IF($O146="","",INDEX(Master!$F$2:$F$1001,$O146))</f>
      </c>
      <c r="G146">
        <f>IF($O146="","",INDEX(Master!$G$2:$G$1001,$O146))</f>
      </c>
      <c r="H146">
        <f>IF($O146="","",INDEX(Master!$H$2:$H$1001,$O146))</f>
      </c>
      <c r="I146">
        <f>IF($O146="","",INDEX(Master!$I$2:$I$1001,$O146))</f>
      </c>
      <c r="J146">
        <f>IF($O146="","",INDEX(Master!$J$2:$J$1001,$O146))</f>
      </c>
      <c r="K146">
        <f t="shared" si="4"/>
      </c>
      <c r="L146">
        <f>IF($O146="","",INDEX(Master!$K$2:$K$1001,$O146))</f>
      </c>
      <c r="M146">
        <f>IF($O146="","",INDEX(Master!$L$2:$L$1001,$O146))</f>
      </c>
      <c r="O146">
        <f t="array" ref="O146">IFERROR(SMALL(IF(Master!$A$2:$A$1001="SHREE RADHE",ROW(Master!$A$2:$A$1001)-ROW(Master!$A$2)+1),142),"")</f>
      </c>
      <c r="P146">
        <f t="shared" si="5"/>
      </c>
    </row>
    <row r="147" spans="1:16" x14ac:dyDescent="0.25">
      <c r="A147">
        <f>IF($O147="","",INDEX(Master!$D$2:$D$1001,$O147))</f>
      </c>
      <c r="B147" s="236">
        <f>IF($O147="","",INDEX(Master!$B$2:$B$1001,$O147))</f>
      </c>
      <c r="C147">
        <f>IF($O147="","",INDEX(Master!$C$2:$C$1001,$O147))</f>
      </c>
      <c r="D147">
        <f>IF($O147="","",INDEX(Master!$A$2:$A$1001,$O147))</f>
      </c>
      <c r="E147">
        <f>IF($O147="","",INDEX(Master!$E$2:$E$1001,$O147))</f>
      </c>
      <c r="F147">
        <f>IF($O147="","",INDEX(Master!$F$2:$F$1001,$O147))</f>
      </c>
      <c r="G147">
        <f>IF($O147="","",INDEX(Master!$G$2:$G$1001,$O147))</f>
      </c>
      <c r="H147">
        <f>IF($O147="","",INDEX(Master!$H$2:$H$1001,$O147))</f>
      </c>
      <c r="I147">
        <f>IF($O147="","",INDEX(Master!$I$2:$I$1001,$O147))</f>
      </c>
      <c r="J147">
        <f>IF($O147="","",INDEX(Master!$J$2:$J$1001,$O147))</f>
      </c>
      <c r="K147">
        <f t="shared" si="4"/>
      </c>
      <c r="L147">
        <f>IF($O147="","",INDEX(Master!$K$2:$K$1001,$O147))</f>
      </c>
      <c r="M147">
        <f>IF($O147="","",INDEX(Master!$L$2:$L$1001,$O147))</f>
      </c>
      <c r="O147">
        <f t="array" ref="O147">IFERROR(SMALL(IF(Master!$A$2:$A$1001="SHREE RADHE",ROW(Master!$A$2:$A$1001)-ROW(Master!$A$2)+1),143),"")</f>
      </c>
      <c r="P147">
        <f t="shared" si="5"/>
      </c>
    </row>
    <row r="148" spans="1:16" x14ac:dyDescent="0.25">
      <c r="A148">
        <f>IF($O148="","",INDEX(Master!$D$2:$D$1001,$O148))</f>
      </c>
      <c r="B148" s="236">
        <f>IF($O148="","",INDEX(Master!$B$2:$B$1001,$O148))</f>
      </c>
      <c r="C148">
        <f>IF($O148="","",INDEX(Master!$C$2:$C$1001,$O148))</f>
      </c>
      <c r="D148">
        <f>IF($O148="","",INDEX(Master!$A$2:$A$1001,$O148))</f>
      </c>
      <c r="E148">
        <f>IF($O148="","",INDEX(Master!$E$2:$E$1001,$O148))</f>
      </c>
      <c r="F148">
        <f>IF($O148="","",INDEX(Master!$F$2:$F$1001,$O148))</f>
      </c>
      <c r="G148">
        <f>IF($O148="","",INDEX(Master!$G$2:$G$1001,$O148))</f>
      </c>
      <c r="H148">
        <f>IF($O148="","",INDEX(Master!$H$2:$H$1001,$O148))</f>
      </c>
      <c r="I148">
        <f>IF($O148="","",INDEX(Master!$I$2:$I$1001,$O148))</f>
      </c>
      <c r="J148">
        <f>IF($O148="","",INDEX(Master!$J$2:$J$1001,$O148))</f>
      </c>
      <c r="K148">
        <f t="shared" si="4"/>
      </c>
      <c r="L148">
        <f>IF($O148="","",INDEX(Master!$K$2:$K$1001,$O148))</f>
      </c>
      <c r="M148">
        <f>IF($O148="","",INDEX(Master!$L$2:$L$1001,$O148))</f>
      </c>
      <c r="O148">
        <f t="array" ref="O148">IFERROR(SMALL(IF(Master!$A$2:$A$1001="SHREE RADHE",ROW(Master!$A$2:$A$1001)-ROW(Master!$A$2)+1),144),"")</f>
      </c>
      <c r="P148">
        <f t="shared" si="5"/>
      </c>
    </row>
    <row r="149" spans="1:16" x14ac:dyDescent="0.25">
      <c r="A149">
        <f>IF($O149="","",INDEX(Master!$D$2:$D$1001,$O149))</f>
      </c>
      <c r="B149" s="236">
        <f>IF($O149="","",INDEX(Master!$B$2:$B$1001,$O149))</f>
      </c>
      <c r="C149">
        <f>IF($O149="","",INDEX(Master!$C$2:$C$1001,$O149))</f>
      </c>
      <c r="D149">
        <f>IF($O149="","",INDEX(Master!$A$2:$A$1001,$O149))</f>
      </c>
      <c r="E149">
        <f>IF($O149="","",INDEX(Master!$E$2:$E$1001,$O149))</f>
      </c>
      <c r="F149">
        <f>IF($O149="","",INDEX(Master!$F$2:$F$1001,$O149))</f>
      </c>
      <c r="G149">
        <f>IF($O149="","",INDEX(Master!$G$2:$G$1001,$O149))</f>
      </c>
      <c r="H149">
        <f>IF($O149="","",INDEX(Master!$H$2:$H$1001,$O149))</f>
      </c>
      <c r="I149">
        <f>IF($O149="","",INDEX(Master!$I$2:$I$1001,$O149))</f>
      </c>
      <c r="J149">
        <f>IF($O149="","",INDEX(Master!$J$2:$J$1001,$O149))</f>
      </c>
      <c r="K149">
        <f t="shared" si="4"/>
      </c>
      <c r="L149">
        <f>IF($O149="","",INDEX(Master!$K$2:$K$1001,$O149))</f>
      </c>
      <c r="M149">
        <f>IF($O149="","",INDEX(Master!$L$2:$L$1001,$O149))</f>
      </c>
      <c r="O149">
        <f t="array" ref="O149">IFERROR(SMALL(IF(Master!$A$2:$A$1001="SHREE RADHE",ROW(Master!$A$2:$A$1001)-ROW(Master!$A$2)+1),145),"")</f>
      </c>
      <c r="P149">
        <f t="shared" si="5"/>
      </c>
    </row>
    <row r="150" spans="1:16" x14ac:dyDescent="0.25">
      <c r="A150">
        <f>IF($O150="","",INDEX(Master!$D$2:$D$1001,$O150))</f>
      </c>
      <c r="B150" s="236">
        <f>IF($O150="","",INDEX(Master!$B$2:$B$1001,$O150))</f>
      </c>
      <c r="C150">
        <f>IF($O150="","",INDEX(Master!$C$2:$C$1001,$O150))</f>
      </c>
      <c r="D150">
        <f>IF($O150="","",INDEX(Master!$A$2:$A$1001,$O150))</f>
      </c>
      <c r="E150">
        <f>IF($O150="","",INDEX(Master!$E$2:$E$1001,$O150))</f>
      </c>
      <c r="F150">
        <f>IF($O150="","",INDEX(Master!$F$2:$F$1001,$O150))</f>
      </c>
      <c r="G150">
        <f>IF($O150="","",INDEX(Master!$G$2:$G$1001,$O150))</f>
      </c>
      <c r="H150">
        <f>IF($O150="","",INDEX(Master!$H$2:$H$1001,$O150))</f>
      </c>
      <c r="I150">
        <f>IF($O150="","",INDEX(Master!$I$2:$I$1001,$O150))</f>
      </c>
      <c r="J150">
        <f>IF($O150="","",INDEX(Master!$J$2:$J$1001,$O150))</f>
      </c>
      <c r="K150">
        <f t="shared" si="4"/>
      </c>
      <c r="L150">
        <f>IF($O150="","",INDEX(Master!$K$2:$K$1001,$O150))</f>
      </c>
      <c r="M150">
        <f>IF($O150="","",INDEX(Master!$L$2:$L$1001,$O150))</f>
      </c>
      <c r="O150">
        <f t="array" ref="O150">IFERROR(SMALL(IF(Master!$A$2:$A$1001="SHREE RADHE",ROW(Master!$A$2:$A$1001)-ROW(Master!$A$2)+1),146),"")</f>
      </c>
      <c r="P150">
        <f t="shared" si="5"/>
      </c>
    </row>
    <row r="151" spans="1:16" x14ac:dyDescent="0.25">
      <c r="A151">
        <f>IF($O151="","",INDEX(Master!$D$2:$D$1001,$O151))</f>
      </c>
      <c r="B151" s="236">
        <f>IF($O151="","",INDEX(Master!$B$2:$B$1001,$O151))</f>
      </c>
      <c r="C151">
        <f>IF($O151="","",INDEX(Master!$C$2:$C$1001,$O151))</f>
      </c>
      <c r="D151">
        <f>IF($O151="","",INDEX(Master!$A$2:$A$1001,$O151))</f>
      </c>
      <c r="E151">
        <f>IF($O151="","",INDEX(Master!$E$2:$E$1001,$O151))</f>
      </c>
      <c r="F151">
        <f>IF($O151="","",INDEX(Master!$F$2:$F$1001,$O151))</f>
      </c>
      <c r="G151">
        <f>IF($O151="","",INDEX(Master!$G$2:$G$1001,$O151))</f>
      </c>
      <c r="H151">
        <f>IF($O151="","",INDEX(Master!$H$2:$H$1001,$O151))</f>
      </c>
      <c r="I151">
        <f>IF($O151="","",INDEX(Master!$I$2:$I$1001,$O151))</f>
      </c>
      <c r="J151">
        <f>IF($O151="","",INDEX(Master!$J$2:$J$1001,$O151))</f>
      </c>
      <c r="K151">
        <f t="shared" si="4"/>
      </c>
      <c r="L151">
        <f>IF($O151="","",INDEX(Master!$K$2:$K$1001,$O151))</f>
      </c>
      <c r="M151">
        <f>IF($O151="","",INDEX(Master!$L$2:$L$1001,$O151))</f>
      </c>
      <c r="O151">
        <f t="array" ref="O151">IFERROR(SMALL(IF(Master!$A$2:$A$1001="SHREE RADHE",ROW(Master!$A$2:$A$1001)-ROW(Master!$A$2)+1),147),"")</f>
      </c>
      <c r="P151">
        <f t="shared" si="5"/>
      </c>
    </row>
    <row r="152" spans="1:16" x14ac:dyDescent="0.25">
      <c r="A152">
        <f>IF($O152="","",INDEX(Master!$D$2:$D$1001,$O152))</f>
      </c>
      <c r="B152" s="236">
        <f>IF($O152="","",INDEX(Master!$B$2:$B$1001,$O152))</f>
      </c>
      <c r="C152">
        <f>IF($O152="","",INDEX(Master!$C$2:$C$1001,$O152))</f>
      </c>
      <c r="D152">
        <f>IF($O152="","",INDEX(Master!$A$2:$A$1001,$O152))</f>
      </c>
      <c r="E152">
        <f>IF($O152="","",INDEX(Master!$E$2:$E$1001,$O152))</f>
      </c>
      <c r="F152">
        <f>IF($O152="","",INDEX(Master!$F$2:$F$1001,$O152))</f>
      </c>
      <c r="G152">
        <f>IF($O152="","",INDEX(Master!$G$2:$G$1001,$O152))</f>
      </c>
      <c r="H152">
        <f>IF($O152="","",INDEX(Master!$H$2:$H$1001,$O152))</f>
      </c>
      <c r="I152">
        <f>IF($O152="","",INDEX(Master!$I$2:$I$1001,$O152))</f>
      </c>
      <c r="J152">
        <f>IF($O152="","",INDEX(Master!$J$2:$J$1001,$O152))</f>
      </c>
      <c r="K152">
        <f t="shared" si="4"/>
      </c>
      <c r="L152">
        <f>IF($O152="","",INDEX(Master!$K$2:$K$1001,$O152))</f>
      </c>
      <c r="M152">
        <f>IF($O152="","",INDEX(Master!$L$2:$L$1001,$O152))</f>
      </c>
      <c r="O152">
        <f t="array" ref="O152">IFERROR(SMALL(IF(Master!$A$2:$A$1001="SHREE RADHE",ROW(Master!$A$2:$A$1001)-ROW(Master!$A$2)+1),148),"")</f>
      </c>
      <c r="P152">
        <f t="shared" si="5"/>
      </c>
    </row>
    <row r="153" spans="1:16" x14ac:dyDescent="0.25">
      <c r="A153">
        <f>IF($O153="","",INDEX(Master!$D$2:$D$1001,$O153))</f>
      </c>
      <c r="B153" s="236">
        <f>IF($O153="","",INDEX(Master!$B$2:$B$1001,$O153))</f>
      </c>
      <c r="C153">
        <f>IF($O153="","",INDEX(Master!$C$2:$C$1001,$O153))</f>
      </c>
      <c r="D153">
        <f>IF($O153="","",INDEX(Master!$A$2:$A$1001,$O153))</f>
      </c>
      <c r="E153">
        <f>IF($O153="","",INDEX(Master!$E$2:$E$1001,$O153))</f>
      </c>
      <c r="F153">
        <f>IF($O153="","",INDEX(Master!$F$2:$F$1001,$O153))</f>
      </c>
      <c r="G153">
        <f>IF($O153="","",INDEX(Master!$G$2:$G$1001,$O153))</f>
      </c>
      <c r="H153">
        <f>IF($O153="","",INDEX(Master!$H$2:$H$1001,$O153))</f>
      </c>
      <c r="I153">
        <f>IF($O153="","",INDEX(Master!$I$2:$I$1001,$O153))</f>
      </c>
      <c r="J153">
        <f>IF($O153="","",INDEX(Master!$J$2:$J$1001,$O153))</f>
      </c>
      <c r="K153">
        <f t="shared" si="4"/>
      </c>
      <c r="L153">
        <f>IF($O153="","",INDEX(Master!$K$2:$K$1001,$O153))</f>
      </c>
      <c r="M153">
        <f>IF($O153="","",INDEX(Master!$L$2:$L$1001,$O153))</f>
      </c>
      <c r="O153">
        <f t="array" ref="O153">IFERROR(SMALL(IF(Master!$A$2:$A$1001="SHREE RADHE",ROW(Master!$A$2:$A$1001)-ROW(Master!$A$2)+1),149),"")</f>
      </c>
      <c r="P153">
        <f t="shared" si="5"/>
      </c>
    </row>
    <row r="154" spans="1:16" x14ac:dyDescent="0.25">
      <c r="A154">
        <f>IF($O154="","",INDEX(Master!$D$2:$D$1001,$O154))</f>
      </c>
      <c r="B154" s="236">
        <f>IF($O154="","",INDEX(Master!$B$2:$B$1001,$O154))</f>
      </c>
      <c r="C154">
        <f>IF($O154="","",INDEX(Master!$C$2:$C$1001,$O154))</f>
      </c>
      <c r="D154">
        <f>IF($O154="","",INDEX(Master!$A$2:$A$1001,$O154))</f>
      </c>
      <c r="E154">
        <f>IF($O154="","",INDEX(Master!$E$2:$E$1001,$O154))</f>
      </c>
      <c r="F154">
        <f>IF($O154="","",INDEX(Master!$F$2:$F$1001,$O154))</f>
      </c>
      <c r="G154">
        <f>IF($O154="","",INDEX(Master!$G$2:$G$1001,$O154))</f>
      </c>
      <c r="H154">
        <f>IF($O154="","",INDEX(Master!$H$2:$H$1001,$O154))</f>
      </c>
      <c r="I154">
        <f>IF($O154="","",INDEX(Master!$I$2:$I$1001,$O154))</f>
      </c>
      <c r="J154">
        <f>IF($O154="","",INDEX(Master!$J$2:$J$1001,$O154))</f>
      </c>
      <c r="K154">
        <f t="shared" si="4"/>
      </c>
      <c r="L154">
        <f>IF($O154="","",INDEX(Master!$K$2:$K$1001,$O154))</f>
      </c>
      <c r="M154">
        <f>IF($O154="","",INDEX(Master!$L$2:$L$1001,$O154))</f>
      </c>
      <c r="O154">
        <f t="array" ref="O154">IFERROR(SMALL(IF(Master!$A$2:$A$1001="SHREE RADHE",ROW(Master!$A$2:$A$1001)-ROW(Master!$A$2)+1),150),"")</f>
      </c>
      <c r="P154">
        <f t="shared" si="5"/>
      </c>
    </row>
    <row r="155" spans="1:16" x14ac:dyDescent="0.25">
      <c r="A155">
        <f>IF($O155="","",INDEX(Master!$D$2:$D$1001,$O155))</f>
      </c>
      <c r="B155" s="236">
        <f>IF($O155="","",INDEX(Master!$B$2:$B$1001,$O155))</f>
      </c>
      <c r="C155">
        <f>IF($O155="","",INDEX(Master!$C$2:$C$1001,$O155))</f>
      </c>
      <c r="D155">
        <f>IF($O155="","",INDEX(Master!$A$2:$A$1001,$O155))</f>
      </c>
      <c r="E155">
        <f>IF($O155="","",INDEX(Master!$E$2:$E$1001,$O155))</f>
      </c>
      <c r="F155">
        <f>IF($O155="","",INDEX(Master!$F$2:$F$1001,$O155))</f>
      </c>
      <c r="G155">
        <f>IF($O155="","",INDEX(Master!$G$2:$G$1001,$O155))</f>
      </c>
      <c r="H155">
        <f>IF($O155="","",INDEX(Master!$H$2:$H$1001,$O155))</f>
      </c>
      <c r="I155">
        <f>IF($O155="","",INDEX(Master!$I$2:$I$1001,$O155))</f>
      </c>
      <c r="J155">
        <f>IF($O155="","",INDEX(Master!$J$2:$J$1001,$O155))</f>
      </c>
      <c r="K155">
        <f t="shared" si="4"/>
      </c>
      <c r="L155">
        <f>IF($O155="","",INDEX(Master!$K$2:$K$1001,$O155))</f>
      </c>
      <c r="M155">
        <f>IF($O155="","",INDEX(Master!$L$2:$L$1001,$O155))</f>
      </c>
      <c r="O155">
        <f t="array" ref="O155">IFERROR(SMALL(IF(Master!$A$2:$A$1001="SHREE RADHE",ROW(Master!$A$2:$A$1001)-ROW(Master!$A$2)+1),151),"")</f>
      </c>
      <c r="P155">
        <f t="shared" si="5"/>
      </c>
    </row>
    <row r="156" spans="1:16" x14ac:dyDescent="0.25">
      <c r="A156">
        <f>IF($O156="","",INDEX(Master!$D$2:$D$1001,$O156))</f>
      </c>
      <c r="B156" s="236">
        <f>IF($O156="","",INDEX(Master!$B$2:$B$1001,$O156))</f>
      </c>
      <c r="C156">
        <f>IF($O156="","",INDEX(Master!$C$2:$C$1001,$O156))</f>
      </c>
      <c r="D156">
        <f>IF($O156="","",INDEX(Master!$A$2:$A$1001,$O156))</f>
      </c>
      <c r="E156">
        <f>IF($O156="","",INDEX(Master!$E$2:$E$1001,$O156))</f>
      </c>
      <c r="F156">
        <f>IF($O156="","",INDEX(Master!$F$2:$F$1001,$O156))</f>
      </c>
      <c r="G156">
        <f>IF($O156="","",INDEX(Master!$G$2:$G$1001,$O156))</f>
      </c>
      <c r="H156">
        <f>IF($O156="","",INDEX(Master!$H$2:$H$1001,$O156))</f>
      </c>
      <c r="I156">
        <f>IF($O156="","",INDEX(Master!$I$2:$I$1001,$O156))</f>
      </c>
      <c r="J156">
        <f>IF($O156="","",INDEX(Master!$J$2:$J$1001,$O156))</f>
      </c>
      <c r="K156">
        <f t="shared" si="4"/>
      </c>
      <c r="L156">
        <f>IF($O156="","",INDEX(Master!$K$2:$K$1001,$O156))</f>
      </c>
      <c r="M156">
        <f>IF($O156="","",INDEX(Master!$L$2:$L$1001,$O156))</f>
      </c>
      <c r="O156">
        <f t="array" ref="O156">IFERROR(SMALL(IF(Master!$A$2:$A$1001="SHREE RADHE",ROW(Master!$A$2:$A$1001)-ROW(Master!$A$2)+1),152),"")</f>
      </c>
      <c r="P156">
        <f t="shared" si="5"/>
      </c>
    </row>
    <row r="157" spans="1:16" x14ac:dyDescent="0.25">
      <c r="A157">
        <f>IF($O157="","",INDEX(Master!$D$2:$D$1001,$O157))</f>
      </c>
      <c r="B157" s="236">
        <f>IF($O157="","",INDEX(Master!$B$2:$B$1001,$O157))</f>
      </c>
      <c r="C157">
        <f>IF($O157="","",INDEX(Master!$C$2:$C$1001,$O157))</f>
      </c>
      <c r="D157">
        <f>IF($O157="","",INDEX(Master!$A$2:$A$1001,$O157))</f>
      </c>
      <c r="E157">
        <f>IF($O157="","",INDEX(Master!$E$2:$E$1001,$O157))</f>
      </c>
      <c r="F157">
        <f>IF($O157="","",INDEX(Master!$F$2:$F$1001,$O157))</f>
      </c>
      <c r="G157">
        <f>IF($O157="","",INDEX(Master!$G$2:$G$1001,$O157))</f>
      </c>
      <c r="H157">
        <f>IF($O157="","",INDEX(Master!$H$2:$H$1001,$O157))</f>
      </c>
      <c r="I157">
        <f>IF($O157="","",INDEX(Master!$I$2:$I$1001,$O157))</f>
      </c>
      <c r="J157">
        <f>IF($O157="","",INDEX(Master!$J$2:$J$1001,$O157))</f>
      </c>
      <c r="K157">
        <f t="shared" si="4"/>
      </c>
      <c r="L157">
        <f>IF($O157="","",INDEX(Master!$K$2:$K$1001,$O157))</f>
      </c>
      <c r="M157">
        <f>IF($O157="","",INDEX(Master!$L$2:$L$1001,$O157))</f>
      </c>
      <c r="O157">
        <f t="array" ref="O157">IFERROR(SMALL(IF(Master!$A$2:$A$1001="SHREE RADHE",ROW(Master!$A$2:$A$1001)-ROW(Master!$A$2)+1),153),"")</f>
      </c>
      <c r="P157">
        <f t="shared" si="5"/>
      </c>
    </row>
    <row r="158" spans="1:16" x14ac:dyDescent="0.25">
      <c r="A158">
        <f>IF($O158="","",INDEX(Master!$D$2:$D$1001,$O158))</f>
      </c>
      <c r="B158" s="236">
        <f>IF($O158="","",INDEX(Master!$B$2:$B$1001,$O158))</f>
      </c>
      <c r="C158">
        <f>IF($O158="","",INDEX(Master!$C$2:$C$1001,$O158))</f>
      </c>
      <c r="D158">
        <f>IF($O158="","",INDEX(Master!$A$2:$A$1001,$O158))</f>
      </c>
      <c r="E158">
        <f>IF($O158="","",INDEX(Master!$E$2:$E$1001,$O158))</f>
      </c>
      <c r="F158">
        <f>IF($O158="","",INDEX(Master!$F$2:$F$1001,$O158))</f>
      </c>
      <c r="G158">
        <f>IF($O158="","",INDEX(Master!$G$2:$G$1001,$O158))</f>
      </c>
      <c r="H158">
        <f>IF($O158="","",INDEX(Master!$H$2:$H$1001,$O158))</f>
      </c>
      <c r="I158">
        <f>IF($O158="","",INDEX(Master!$I$2:$I$1001,$O158))</f>
      </c>
      <c r="J158">
        <f>IF($O158="","",INDEX(Master!$J$2:$J$1001,$O158))</f>
      </c>
      <c r="K158">
        <f t="shared" si="4"/>
      </c>
      <c r="L158">
        <f>IF($O158="","",INDEX(Master!$K$2:$K$1001,$O158))</f>
      </c>
      <c r="M158">
        <f>IF($O158="","",INDEX(Master!$L$2:$L$1001,$O158))</f>
      </c>
      <c r="O158">
        <f t="array" ref="O158">IFERROR(SMALL(IF(Master!$A$2:$A$1001="SHREE RADHE",ROW(Master!$A$2:$A$1001)-ROW(Master!$A$2)+1),154),"")</f>
      </c>
      <c r="P158">
        <f t="shared" si="5"/>
      </c>
    </row>
    <row r="159" spans="1:16" x14ac:dyDescent="0.25">
      <c r="A159">
        <f>IF($O159="","",INDEX(Master!$D$2:$D$1001,$O159))</f>
      </c>
      <c r="B159" s="236">
        <f>IF($O159="","",INDEX(Master!$B$2:$B$1001,$O159))</f>
      </c>
      <c r="C159">
        <f>IF($O159="","",INDEX(Master!$C$2:$C$1001,$O159))</f>
      </c>
      <c r="D159">
        <f>IF($O159="","",INDEX(Master!$A$2:$A$1001,$O159))</f>
      </c>
      <c r="E159">
        <f>IF($O159="","",INDEX(Master!$E$2:$E$1001,$O159))</f>
      </c>
      <c r="F159">
        <f>IF($O159="","",INDEX(Master!$F$2:$F$1001,$O159))</f>
      </c>
      <c r="G159">
        <f>IF($O159="","",INDEX(Master!$G$2:$G$1001,$O159))</f>
      </c>
      <c r="H159">
        <f>IF($O159="","",INDEX(Master!$H$2:$H$1001,$O159))</f>
      </c>
      <c r="I159">
        <f>IF($O159="","",INDEX(Master!$I$2:$I$1001,$O159))</f>
      </c>
      <c r="J159">
        <f>IF($O159="","",INDEX(Master!$J$2:$J$1001,$O159))</f>
      </c>
      <c r="K159">
        <f t="shared" si="4"/>
      </c>
      <c r="L159">
        <f>IF($O159="","",INDEX(Master!$K$2:$K$1001,$O159))</f>
      </c>
      <c r="M159">
        <f>IF($O159="","",INDEX(Master!$L$2:$L$1001,$O159))</f>
      </c>
      <c r="O159">
        <f t="array" ref="O159">IFERROR(SMALL(IF(Master!$A$2:$A$1001="SHREE RADHE",ROW(Master!$A$2:$A$1001)-ROW(Master!$A$2)+1),155),"")</f>
      </c>
      <c r="P159">
        <f t="shared" si="5"/>
      </c>
    </row>
    <row r="160" spans="1:16" x14ac:dyDescent="0.25">
      <c r="A160">
        <f>IF($O160="","",INDEX(Master!$D$2:$D$1001,$O160))</f>
      </c>
      <c r="B160" s="236">
        <f>IF($O160="","",INDEX(Master!$B$2:$B$1001,$O160))</f>
      </c>
      <c r="C160">
        <f>IF($O160="","",INDEX(Master!$C$2:$C$1001,$O160))</f>
      </c>
      <c r="D160">
        <f>IF($O160="","",INDEX(Master!$A$2:$A$1001,$O160))</f>
      </c>
      <c r="E160">
        <f>IF($O160="","",INDEX(Master!$E$2:$E$1001,$O160))</f>
      </c>
      <c r="F160">
        <f>IF($O160="","",INDEX(Master!$F$2:$F$1001,$O160))</f>
      </c>
      <c r="G160">
        <f>IF($O160="","",INDEX(Master!$G$2:$G$1001,$O160))</f>
      </c>
      <c r="H160">
        <f>IF($O160="","",INDEX(Master!$H$2:$H$1001,$O160))</f>
      </c>
      <c r="I160">
        <f>IF($O160="","",INDEX(Master!$I$2:$I$1001,$O160))</f>
      </c>
      <c r="J160">
        <f>IF($O160="","",INDEX(Master!$J$2:$J$1001,$O160))</f>
      </c>
      <c r="K160">
        <f t="shared" si="4"/>
      </c>
      <c r="L160">
        <f>IF($O160="","",INDEX(Master!$K$2:$K$1001,$O160))</f>
      </c>
      <c r="M160">
        <f>IF($O160="","",INDEX(Master!$L$2:$L$1001,$O160))</f>
      </c>
      <c r="O160">
        <f t="array" ref="O160">IFERROR(SMALL(IF(Master!$A$2:$A$1001="SHREE RADHE",ROW(Master!$A$2:$A$1001)-ROW(Master!$A$2)+1),156),"")</f>
      </c>
      <c r="P160">
        <f t="shared" si="5"/>
      </c>
    </row>
    <row r="161" spans="1:16" x14ac:dyDescent="0.25">
      <c r="A161">
        <f>IF($O161="","",INDEX(Master!$D$2:$D$1001,$O161))</f>
      </c>
      <c r="B161" s="236">
        <f>IF($O161="","",INDEX(Master!$B$2:$B$1001,$O161))</f>
      </c>
      <c r="C161">
        <f>IF($O161="","",INDEX(Master!$C$2:$C$1001,$O161))</f>
      </c>
      <c r="D161">
        <f>IF($O161="","",INDEX(Master!$A$2:$A$1001,$O161))</f>
      </c>
      <c r="E161">
        <f>IF($O161="","",INDEX(Master!$E$2:$E$1001,$O161))</f>
      </c>
      <c r="F161">
        <f>IF($O161="","",INDEX(Master!$F$2:$F$1001,$O161))</f>
      </c>
      <c r="G161">
        <f>IF($O161="","",INDEX(Master!$G$2:$G$1001,$O161))</f>
      </c>
      <c r="H161">
        <f>IF($O161="","",INDEX(Master!$H$2:$H$1001,$O161))</f>
      </c>
      <c r="I161">
        <f>IF($O161="","",INDEX(Master!$I$2:$I$1001,$O161))</f>
      </c>
      <c r="J161">
        <f>IF($O161="","",INDEX(Master!$J$2:$J$1001,$O161))</f>
      </c>
      <c r="K161">
        <f t="shared" si="4"/>
      </c>
      <c r="L161">
        <f>IF($O161="","",INDEX(Master!$K$2:$K$1001,$O161))</f>
      </c>
      <c r="M161">
        <f>IF($O161="","",INDEX(Master!$L$2:$L$1001,$O161))</f>
      </c>
      <c r="O161">
        <f t="array" ref="O161">IFERROR(SMALL(IF(Master!$A$2:$A$1001="SHREE RADHE",ROW(Master!$A$2:$A$1001)-ROW(Master!$A$2)+1),157),"")</f>
      </c>
      <c r="P161">
        <f t="shared" si="5"/>
      </c>
    </row>
    <row r="162" spans="1:16" x14ac:dyDescent="0.25">
      <c r="A162">
        <f>IF($O162="","",INDEX(Master!$D$2:$D$1001,$O162))</f>
      </c>
      <c r="B162" s="236">
        <f>IF($O162="","",INDEX(Master!$B$2:$B$1001,$O162))</f>
      </c>
      <c r="C162">
        <f>IF($O162="","",INDEX(Master!$C$2:$C$1001,$O162))</f>
      </c>
      <c r="D162">
        <f>IF($O162="","",INDEX(Master!$A$2:$A$1001,$O162))</f>
      </c>
      <c r="E162">
        <f>IF($O162="","",INDEX(Master!$E$2:$E$1001,$O162))</f>
      </c>
      <c r="F162">
        <f>IF($O162="","",INDEX(Master!$F$2:$F$1001,$O162))</f>
      </c>
      <c r="G162">
        <f>IF($O162="","",INDEX(Master!$G$2:$G$1001,$O162))</f>
      </c>
      <c r="H162">
        <f>IF($O162="","",INDEX(Master!$H$2:$H$1001,$O162))</f>
      </c>
      <c r="I162">
        <f>IF($O162="","",INDEX(Master!$I$2:$I$1001,$O162))</f>
      </c>
      <c r="J162">
        <f>IF($O162="","",INDEX(Master!$J$2:$J$1001,$O162))</f>
      </c>
      <c r="K162">
        <f t="shared" si="4"/>
      </c>
      <c r="L162">
        <f>IF($O162="","",INDEX(Master!$K$2:$K$1001,$O162))</f>
      </c>
      <c r="M162">
        <f>IF($O162="","",INDEX(Master!$L$2:$L$1001,$O162))</f>
      </c>
      <c r="O162">
        <f t="array" ref="O162">IFERROR(SMALL(IF(Master!$A$2:$A$1001="SHREE RADHE",ROW(Master!$A$2:$A$1001)-ROW(Master!$A$2)+1),158),"")</f>
      </c>
      <c r="P162">
        <f t="shared" si="5"/>
      </c>
    </row>
    <row r="163" spans="1:16" x14ac:dyDescent="0.25">
      <c r="A163">
        <f>IF($O163="","",INDEX(Master!$D$2:$D$1001,$O163))</f>
      </c>
      <c r="B163" s="236">
        <f>IF($O163="","",INDEX(Master!$B$2:$B$1001,$O163))</f>
      </c>
      <c r="C163">
        <f>IF($O163="","",INDEX(Master!$C$2:$C$1001,$O163))</f>
      </c>
      <c r="D163">
        <f>IF($O163="","",INDEX(Master!$A$2:$A$1001,$O163))</f>
      </c>
      <c r="E163">
        <f>IF($O163="","",INDEX(Master!$E$2:$E$1001,$O163))</f>
      </c>
      <c r="F163">
        <f>IF($O163="","",INDEX(Master!$F$2:$F$1001,$O163))</f>
      </c>
      <c r="G163">
        <f>IF($O163="","",INDEX(Master!$G$2:$G$1001,$O163))</f>
      </c>
      <c r="H163">
        <f>IF($O163="","",INDEX(Master!$H$2:$H$1001,$O163))</f>
      </c>
      <c r="I163">
        <f>IF($O163="","",INDEX(Master!$I$2:$I$1001,$O163))</f>
      </c>
      <c r="J163">
        <f>IF($O163="","",INDEX(Master!$J$2:$J$1001,$O163))</f>
      </c>
      <c r="K163">
        <f t="shared" si="4"/>
      </c>
      <c r="L163">
        <f>IF($O163="","",INDEX(Master!$K$2:$K$1001,$O163))</f>
      </c>
      <c r="M163">
        <f>IF($O163="","",INDEX(Master!$L$2:$L$1001,$O163))</f>
      </c>
      <c r="O163">
        <f t="array" ref="O163">IFERROR(SMALL(IF(Master!$A$2:$A$1001="SHREE RADHE",ROW(Master!$A$2:$A$1001)-ROW(Master!$A$2)+1),159),"")</f>
      </c>
      <c r="P163">
        <f t="shared" si="5"/>
      </c>
    </row>
    <row r="164" spans="1:16" x14ac:dyDescent="0.25">
      <c r="A164">
        <f>IF($O164="","",INDEX(Master!$D$2:$D$1001,$O164))</f>
      </c>
      <c r="B164" s="236">
        <f>IF($O164="","",INDEX(Master!$B$2:$B$1001,$O164))</f>
      </c>
      <c r="C164">
        <f>IF($O164="","",INDEX(Master!$C$2:$C$1001,$O164))</f>
      </c>
      <c r="D164">
        <f>IF($O164="","",INDEX(Master!$A$2:$A$1001,$O164))</f>
      </c>
      <c r="E164">
        <f>IF($O164="","",INDEX(Master!$E$2:$E$1001,$O164))</f>
      </c>
      <c r="F164">
        <f>IF($O164="","",INDEX(Master!$F$2:$F$1001,$O164))</f>
      </c>
      <c r="G164">
        <f>IF($O164="","",INDEX(Master!$G$2:$G$1001,$O164))</f>
      </c>
      <c r="H164">
        <f>IF($O164="","",INDEX(Master!$H$2:$H$1001,$O164))</f>
      </c>
      <c r="I164">
        <f>IF($O164="","",INDEX(Master!$I$2:$I$1001,$O164))</f>
      </c>
      <c r="J164">
        <f>IF($O164="","",INDEX(Master!$J$2:$J$1001,$O164))</f>
      </c>
      <c r="K164">
        <f t="shared" si="4"/>
      </c>
      <c r="L164">
        <f>IF($O164="","",INDEX(Master!$K$2:$K$1001,$O164))</f>
      </c>
      <c r="M164">
        <f>IF($O164="","",INDEX(Master!$L$2:$L$1001,$O164))</f>
      </c>
      <c r="O164">
        <f t="array" ref="O164">IFERROR(SMALL(IF(Master!$A$2:$A$1001="SHREE RADHE",ROW(Master!$A$2:$A$1001)-ROW(Master!$A$2)+1),160),"")</f>
      </c>
      <c r="P164">
        <f t="shared" si="5"/>
      </c>
    </row>
    <row r="165" spans="1:16" x14ac:dyDescent="0.25">
      <c r="A165">
        <f>IF($O165="","",INDEX(Master!$D$2:$D$1001,$O165))</f>
      </c>
      <c r="B165" s="236">
        <f>IF($O165="","",INDEX(Master!$B$2:$B$1001,$O165))</f>
      </c>
      <c r="C165">
        <f>IF($O165="","",INDEX(Master!$C$2:$C$1001,$O165))</f>
      </c>
      <c r="D165">
        <f>IF($O165="","",INDEX(Master!$A$2:$A$1001,$O165))</f>
      </c>
      <c r="E165">
        <f>IF($O165="","",INDEX(Master!$E$2:$E$1001,$O165))</f>
      </c>
      <c r="F165">
        <f>IF($O165="","",INDEX(Master!$F$2:$F$1001,$O165))</f>
      </c>
      <c r="G165">
        <f>IF($O165="","",INDEX(Master!$G$2:$G$1001,$O165))</f>
      </c>
      <c r="H165">
        <f>IF($O165="","",INDEX(Master!$H$2:$H$1001,$O165))</f>
      </c>
      <c r="I165">
        <f>IF($O165="","",INDEX(Master!$I$2:$I$1001,$O165))</f>
      </c>
      <c r="J165">
        <f>IF($O165="","",INDEX(Master!$J$2:$J$1001,$O165))</f>
      </c>
      <c r="K165">
        <f t="shared" si="4"/>
      </c>
      <c r="L165">
        <f>IF($O165="","",INDEX(Master!$K$2:$K$1001,$O165))</f>
      </c>
      <c r="M165">
        <f>IF($O165="","",INDEX(Master!$L$2:$L$1001,$O165))</f>
      </c>
      <c r="O165">
        <f t="array" ref="O165">IFERROR(SMALL(IF(Master!$A$2:$A$1001="SHREE RADHE",ROW(Master!$A$2:$A$1001)-ROW(Master!$A$2)+1),161),"")</f>
      </c>
      <c r="P165">
        <f t="shared" si="5"/>
      </c>
    </row>
    <row r="166" spans="1:16" x14ac:dyDescent="0.25">
      <c r="A166">
        <f>IF($O166="","",INDEX(Master!$D$2:$D$1001,$O166))</f>
      </c>
      <c r="B166" s="236">
        <f>IF($O166="","",INDEX(Master!$B$2:$B$1001,$O166))</f>
      </c>
      <c r="C166">
        <f>IF($O166="","",INDEX(Master!$C$2:$C$1001,$O166))</f>
      </c>
      <c r="D166">
        <f>IF($O166="","",INDEX(Master!$A$2:$A$1001,$O166))</f>
      </c>
      <c r="E166">
        <f>IF($O166="","",INDEX(Master!$E$2:$E$1001,$O166))</f>
      </c>
      <c r="F166">
        <f>IF($O166="","",INDEX(Master!$F$2:$F$1001,$O166))</f>
      </c>
      <c r="G166">
        <f>IF($O166="","",INDEX(Master!$G$2:$G$1001,$O166))</f>
      </c>
      <c r="H166">
        <f>IF($O166="","",INDEX(Master!$H$2:$H$1001,$O166))</f>
      </c>
      <c r="I166">
        <f>IF($O166="","",INDEX(Master!$I$2:$I$1001,$O166))</f>
      </c>
      <c r="J166">
        <f>IF($O166="","",INDEX(Master!$J$2:$J$1001,$O166))</f>
      </c>
      <c r="K166">
        <f t="shared" si="4"/>
      </c>
      <c r="L166">
        <f>IF($O166="","",INDEX(Master!$K$2:$K$1001,$O166))</f>
      </c>
      <c r="M166">
        <f>IF($O166="","",INDEX(Master!$L$2:$L$1001,$O166))</f>
      </c>
      <c r="O166">
        <f t="array" ref="O166">IFERROR(SMALL(IF(Master!$A$2:$A$1001="SHREE RADHE",ROW(Master!$A$2:$A$1001)-ROW(Master!$A$2)+1),162),"")</f>
      </c>
      <c r="P166">
        <f t="shared" si="5"/>
      </c>
    </row>
    <row r="167" spans="1:16" x14ac:dyDescent="0.25">
      <c r="A167">
        <f>IF($O167="","",INDEX(Master!$D$2:$D$1001,$O167))</f>
      </c>
      <c r="B167" s="236">
        <f>IF($O167="","",INDEX(Master!$B$2:$B$1001,$O167))</f>
      </c>
      <c r="C167">
        <f>IF($O167="","",INDEX(Master!$C$2:$C$1001,$O167))</f>
      </c>
      <c r="D167">
        <f>IF($O167="","",INDEX(Master!$A$2:$A$1001,$O167))</f>
      </c>
      <c r="E167">
        <f>IF($O167="","",INDEX(Master!$E$2:$E$1001,$O167))</f>
      </c>
      <c r="F167">
        <f>IF($O167="","",INDEX(Master!$F$2:$F$1001,$O167))</f>
      </c>
      <c r="G167">
        <f>IF($O167="","",INDEX(Master!$G$2:$G$1001,$O167))</f>
      </c>
      <c r="H167">
        <f>IF($O167="","",INDEX(Master!$H$2:$H$1001,$O167))</f>
      </c>
      <c r="I167">
        <f>IF($O167="","",INDEX(Master!$I$2:$I$1001,$O167))</f>
      </c>
      <c r="J167">
        <f>IF($O167="","",INDEX(Master!$J$2:$J$1001,$O167))</f>
      </c>
      <c r="K167">
        <f t="shared" si="4"/>
      </c>
      <c r="L167">
        <f>IF($O167="","",INDEX(Master!$K$2:$K$1001,$O167))</f>
      </c>
      <c r="M167">
        <f>IF($O167="","",INDEX(Master!$L$2:$L$1001,$O167))</f>
      </c>
      <c r="O167">
        <f t="array" ref="O167">IFERROR(SMALL(IF(Master!$A$2:$A$1001="SHREE RADHE",ROW(Master!$A$2:$A$1001)-ROW(Master!$A$2)+1),163),"")</f>
      </c>
      <c r="P167">
        <f t="shared" si="5"/>
      </c>
    </row>
    <row r="168" spans="1:16" x14ac:dyDescent="0.25">
      <c r="A168">
        <f>IF($O168="","",INDEX(Master!$D$2:$D$1001,$O168))</f>
      </c>
      <c r="B168" s="236">
        <f>IF($O168="","",INDEX(Master!$B$2:$B$1001,$O168))</f>
      </c>
      <c r="C168">
        <f>IF($O168="","",INDEX(Master!$C$2:$C$1001,$O168))</f>
      </c>
      <c r="D168">
        <f>IF($O168="","",INDEX(Master!$A$2:$A$1001,$O168))</f>
      </c>
      <c r="E168">
        <f>IF($O168="","",INDEX(Master!$E$2:$E$1001,$O168))</f>
      </c>
      <c r="F168">
        <f>IF($O168="","",INDEX(Master!$F$2:$F$1001,$O168))</f>
      </c>
      <c r="G168">
        <f>IF($O168="","",INDEX(Master!$G$2:$G$1001,$O168))</f>
      </c>
      <c r="H168">
        <f>IF($O168="","",INDEX(Master!$H$2:$H$1001,$O168))</f>
      </c>
      <c r="I168">
        <f>IF($O168="","",INDEX(Master!$I$2:$I$1001,$O168))</f>
      </c>
      <c r="J168">
        <f>IF($O168="","",INDEX(Master!$J$2:$J$1001,$O168))</f>
      </c>
      <c r="K168">
        <f t="shared" si="4"/>
      </c>
      <c r="L168">
        <f>IF($O168="","",INDEX(Master!$K$2:$K$1001,$O168))</f>
      </c>
      <c r="M168">
        <f>IF($O168="","",INDEX(Master!$L$2:$L$1001,$O168))</f>
      </c>
      <c r="O168">
        <f t="array" ref="O168">IFERROR(SMALL(IF(Master!$A$2:$A$1001="SHREE RADHE",ROW(Master!$A$2:$A$1001)-ROW(Master!$A$2)+1),164),"")</f>
      </c>
      <c r="P168">
        <f t="shared" si="5"/>
      </c>
    </row>
    <row r="169" spans="1:16" x14ac:dyDescent="0.25">
      <c r="A169">
        <f>IF($O169="","",INDEX(Master!$D$2:$D$1001,$O169))</f>
      </c>
      <c r="B169" s="236">
        <f>IF($O169="","",INDEX(Master!$B$2:$B$1001,$O169))</f>
      </c>
      <c r="C169">
        <f>IF($O169="","",INDEX(Master!$C$2:$C$1001,$O169))</f>
      </c>
      <c r="D169">
        <f>IF($O169="","",INDEX(Master!$A$2:$A$1001,$O169))</f>
      </c>
      <c r="E169">
        <f>IF($O169="","",INDEX(Master!$E$2:$E$1001,$O169))</f>
      </c>
      <c r="F169">
        <f>IF($O169="","",INDEX(Master!$F$2:$F$1001,$O169))</f>
      </c>
      <c r="G169">
        <f>IF($O169="","",INDEX(Master!$G$2:$G$1001,$O169))</f>
      </c>
      <c r="H169">
        <f>IF($O169="","",INDEX(Master!$H$2:$H$1001,$O169))</f>
      </c>
      <c r="I169">
        <f>IF($O169="","",INDEX(Master!$I$2:$I$1001,$O169))</f>
      </c>
      <c r="J169">
        <f>IF($O169="","",INDEX(Master!$J$2:$J$1001,$O169))</f>
      </c>
      <c r="K169">
        <f t="shared" si="4"/>
      </c>
      <c r="L169">
        <f>IF($O169="","",INDEX(Master!$K$2:$K$1001,$O169))</f>
      </c>
      <c r="M169">
        <f>IF($O169="","",INDEX(Master!$L$2:$L$1001,$O169))</f>
      </c>
      <c r="O169">
        <f t="array" ref="O169">IFERROR(SMALL(IF(Master!$A$2:$A$1001="SHREE RADHE",ROW(Master!$A$2:$A$1001)-ROW(Master!$A$2)+1),165),"")</f>
      </c>
      <c r="P169">
        <f t="shared" si="5"/>
      </c>
    </row>
    <row r="170" spans="1:16" x14ac:dyDescent="0.25">
      <c r="A170">
        <f>IF($O170="","",INDEX(Master!$D$2:$D$1001,$O170))</f>
      </c>
      <c r="B170" s="236">
        <f>IF($O170="","",INDEX(Master!$B$2:$B$1001,$O170))</f>
      </c>
      <c r="C170">
        <f>IF($O170="","",INDEX(Master!$C$2:$C$1001,$O170))</f>
      </c>
      <c r="D170">
        <f>IF($O170="","",INDEX(Master!$A$2:$A$1001,$O170))</f>
      </c>
      <c r="E170">
        <f>IF($O170="","",INDEX(Master!$E$2:$E$1001,$O170))</f>
      </c>
      <c r="F170">
        <f>IF($O170="","",INDEX(Master!$F$2:$F$1001,$O170))</f>
      </c>
      <c r="G170">
        <f>IF($O170="","",INDEX(Master!$G$2:$G$1001,$O170))</f>
      </c>
      <c r="H170">
        <f>IF($O170="","",INDEX(Master!$H$2:$H$1001,$O170))</f>
      </c>
      <c r="I170">
        <f>IF($O170="","",INDEX(Master!$I$2:$I$1001,$O170))</f>
      </c>
      <c r="J170">
        <f>IF($O170="","",INDEX(Master!$J$2:$J$1001,$O170))</f>
      </c>
      <c r="K170">
        <f t="shared" si="4"/>
      </c>
      <c r="L170">
        <f>IF($O170="","",INDEX(Master!$K$2:$K$1001,$O170))</f>
      </c>
      <c r="M170">
        <f>IF($O170="","",INDEX(Master!$L$2:$L$1001,$O170))</f>
      </c>
      <c r="O170">
        <f t="array" ref="O170">IFERROR(SMALL(IF(Master!$A$2:$A$1001="SHREE RADHE",ROW(Master!$A$2:$A$1001)-ROW(Master!$A$2)+1),166),"")</f>
      </c>
      <c r="P170">
        <f t="shared" si="5"/>
      </c>
    </row>
    <row r="171" spans="1:16" x14ac:dyDescent="0.25">
      <c r="A171">
        <f>IF($O171="","",INDEX(Master!$D$2:$D$1001,$O171))</f>
      </c>
      <c r="B171" s="236">
        <f>IF($O171="","",INDEX(Master!$B$2:$B$1001,$O171))</f>
      </c>
      <c r="C171">
        <f>IF($O171="","",INDEX(Master!$C$2:$C$1001,$O171))</f>
      </c>
      <c r="D171">
        <f>IF($O171="","",INDEX(Master!$A$2:$A$1001,$O171))</f>
      </c>
      <c r="E171">
        <f>IF($O171="","",INDEX(Master!$E$2:$E$1001,$O171))</f>
      </c>
      <c r="F171">
        <f>IF($O171="","",INDEX(Master!$F$2:$F$1001,$O171))</f>
      </c>
      <c r="G171">
        <f>IF($O171="","",INDEX(Master!$G$2:$G$1001,$O171))</f>
      </c>
      <c r="H171">
        <f>IF($O171="","",INDEX(Master!$H$2:$H$1001,$O171))</f>
      </c>
      <c r="I171">
        <f>IF($O171="","",INDEX(Master!$I$2:$I$1001,$O171))</f>
      </c>
      <c r="J171">
        <f>IF($O171="","",INDEX(Master!$J$2:$J$1001,$O171))</f>
      </c>
      <c r="K171">
        <f t="shared" si="4"/>
      </c>
      <c r="L171">
        <f>IF($O171="","",INDEX(Master!$K$2:$K$1001,$O171))</f>
      </c>
      <c r="M171">
        <f>IF($O171="","",INDEX(Master!$L$2:$L$1001,$O171))</f>
      </c>
      <c r="O171">
        <f t="array" ref="O171">IFERROR(SMALL(IF(Master!$A$2:$A$1001="SHREE RADHE",ROW(Master!$A$2:$A$1001)-ROW(Master!$A$2)+1),167),"")</f>
      </c>
      <c r="P171">
        <f t="shared" si="5"/>
      </c>
    </row>
    <row r="172" spans="1:16" x14ac:dyDescent="0.25">
      <c r="A172">
        <f>IF($O172="","",INDEX(Master!$D$2:$D$1001,$O172))</f>
      </c>
      <c r="B172" s="236">
        <f>IF($O172="","",INDEX(Master!$B$2:$B$1001,$O172))</f>
      </c>
      <c r="C172">
        <f>IF($O172="","",INDEX(Master!$C$2:$C$1001,$O172))</f>
      </c>
      <c r="D172">
        <f>IF($O172="","",INDEX(Master!$A$2:$A$1001,$O172))</f>
      </c>
      <c r="E172">
        <f>IF($O172="","",INDEX(Master!$E$2:$E$1001,$O172))</f>
      </c>
      <c r="F172">
        <f>IF($O172="","",INDEX(Master!$F$2:$F$1001,$O172))</f>
      </c>
      <c r="G172">
        <f>IF($O172="","",INDEX(Master!$G$2:$G$1001,$O172))</f>
      </c>
      <c r="H172">
        <f>IF($O172="","",INDEX(Master!$H$2:$H$1001,$O172))</f>
      </c>
      <c r="I172">
        <f>IF($O172="","",INDEX(Master!$I$2:$I$1001,$O172))</f>
      </c>
      <c r="J172">
        <f>IF($O172="","",INDEX(Master!$J$2:$J$1001,$O172))</f>
      </c>
      <c r="K172">
        <f t="shared" si="4"/>
      </c>
      <c r="L172">
        <f>IF($O172="","",INDEX(Master!$K$2:$K$1001,$O172))</f>
      </c>
      <c r="M172">
        <f>IF($O172="","",INDEX(Master!$L$2:$L$1001,$O172))</f>
      </c>
      <c r="O172">
        <f t="array" ref="O172">IFERROR(SMALL(IF(Master!$A$2:$A$1001="SHREE RADHE",ROW(Master!$A$2:$A$1001)-ROW(Master!$A$2)+1),168),"")</f>
      </c>
      <c r="P172">
        <f t="shared" si="5"/>
      </c>
    </row>
    <row r="173" spans="1:16" x14ac:dyDescent="0.25">
      <c r="A173">
        <f>IF($O173="","",INDEX(Master!$D$2:$D$1001,$O173))</f>
      </c>
      <c r="B173" s="236">
        <f>IF($O173="","",INDEX(Master!$B$2:$B$1001,$O173))</f>
      </c>
      <c r="C173">
        <f>IF($O173="","",INDEX(Master!$C$2:$C$1001,$O173))</f>
      </c>
      <c r="D173">
        <f>IF($O173="","",INDEX(Master!$A$2:$A$1001,$O173))</f>
      </c>
      <c r="E173">
        <f>IF($O173="","",INDEX(Master!$E$2:$E$1001,$O173))</f>
      </c>
      <c r="F173">
        <f>IF($O173="","",INDEX(Master!$F$2:$F$1001,$O173))</f>
      </c>
      <c r="G173">
        <f>IF($O173="","",INDEX(Master!$G$2:$G$1001,$O173))</f>
      </c>
      <c r="H173">
        <f>IF($O173="","",INDEX(Master!$H$2:$H$1001,$O173))</f>
      </c>
      <c r="I173">
        <f>IF($O173="","",INDEX(Master!$I$2:$I$1001,$O173))</f>
      </c>
      <c r="J173">
        <f>IF($O173="","",INDEX(Master!$J$2:$J$1001,$O173))</f>
      </c>
      <c r="K173">
        <f t="shared" si="4"/>
      </c>
      <c r="L173">
        <f>IF($O173="","",INDEX(Master!$K$2:$K$1001,$O173))</f>
      </c>
      <c r="M173">
        <f>IF($O173="","",INDEX(Master!$L$2:$L$1001,$O173))</f>
      </c>
      <c r="O173">
        <f t="array" ref="O173">IFERROR(SMALL(IF(Master!$A$2:$A$1001="SHREE RADHE",ROW(Master!$A$2:$A$1001)-ROW(Master!$A$2)+1),169),"")</f>
      </c>
      <c r="P173">
        <f t="shared" si="5"/>
      </c>
    </row>
    <row r="174" spans="1:16" x14ac:dyDescent="0.25">
      <c r="A174">
        <f>IF($O174="","",INDEX(Master!$D$2:$D$1001,$O174))</f>
      </c>
      <c r="B174" s="236">
        <f>IF($O174="","",INDEX(Master!$B$2:$B$1001,$O174))</f>
      </c>
      <c r="C174">
        <f>IF($O174="","",INDEX(Master!$C$2:$C$1001,$O174))</f>
      </c>
      <c r="D174">
        <f>IF($O174="","",INDEX(Master!$A$2:$A$1001,$O174))</f>
      </c>
      <c r="E174">
        <f>IF($O174="","",INDEX(Master!$E$2:$E$1001,$O174))</f>
      </c>
      <c r="F174">
        <f>IF($O174="","",INDEX(Master!$F$2:$F$1001,$O174))</f>
      </c>
      <c r="G174">
        <f>IF($O174="","",INDEX(Master!$G$2:$G$1001,$O174))</f>
      </c>
      <c r="H174">
        <f>IF($O174="","",INDEX(Master!$H$2:$H$1001,$O174))</f>
      </c>
      <c r="I174">
        <f>IF($O174="","",INDEX(Master!$I$2:$I$1001,$O174))</f>
      </c>
      <c r="J174">
        <f>IF($O174="","",INDEX(Master!$J$2:$J$1001,$O174))</f>
      </c>
      <c r="K174">
        <f t="shared" si="4"/>
      </c>
      <c r="L174">
        <f>IF($O174="","",INDEX(Master!$K$2:$K$1001,$O174))</f>
      </c>
      <c r="M174">
        <f>IF($O174="","",INDEX(Master!$L$2:$L$1001,$O174))</f>
      </c>
      <c r="O174">
        <f t="array" ref="O174">IFERROR(SMALL(IF(Master!$A$2:$A$1001="SHREE RADHE",ROW(Master!$A$2:$A$1001)-ROW(Master!$A$2)+1),170),"")</f>
      </c>
      <c r="P174">
        <f t="shared" si="5"/>
      </c>
    </row>
    <row r="175" spans="1:16" x14ac:dyDescent="0.25">
      <c r="A175">
        <f>IF($O175="","",INDEX(Master!$D$2:$D$1001,$O175))</f>
      </c>
      <c r="B175" s="236">
        <f>IF($O175="","",INDEX(Master!$B$2:$B$1001,$O175))</f>
      </c>
      <c r="C175">
        <f>IF($O175="","",INDEX(Master!$C$2:$C$1001,$O175))</f>
      </c>
      <c r="D175">
        <f>IF($O175="","",INDEX(Master!$A$2:$A$1001,$O175))</f>
      </c>
      <c r="E175">
        <f>IF($O175="","",INDEX(Master!$E$2:$E$1001,$O175))</f>
      </c>
      <c r="F175">
        <f>IF($O175="","",INDEX(Master!$F$2:$F$1001,$O175))</f>
      </c>
      <c r="G175">
        <f>IF($O175="","",INDEX(Master!$G$2:$G$1001,$O175))</f>
      </c>
      <c r="H175">
        <f>IF($O175="","",INDEX(Master!$H$2:$H$1001,$O175))</f>
      </c>
      <c r="I175">
        <f>IF($O175="","",INDEX(Master!$I$2:$I$1001,$O175))</f>
      </c>
      <c r="J175">
        <f>IF($O175="","",INDEX(Master!$J$2:$J$1001,$O175))</f>
      </c>
      <c r="K175">
        <f t="shared" si="4"/>
      </c>
      <c r="L175">
        <f>IF($O175="","",INDEX(Master!$K$2:$K$1001,$O175))</f>
      </c>
      <c r="M175">
        <f>IF($O175="","",INDEX(Master!$L$2:$L$1001,$O175))</f>
      </c>
      <c r="O175">
        <f t="array" ref="O175">IFERROR(SMALL(IF(Master!$A$2:$A$1001="SHREE RADHE",ROW(Master!$A$2:$A$1001)-ROW(Master!$A$2)+1),171),"")</f>
      </c>
      <c r="P175">
        <f t="shared" si="5"/>
      </c>
    </row>
    <row r="176" spans="1:16" x14ac:dyDescent="0.25">
      <c r="A176">
        <f>IF($O176="","",INDEX(Master!$D$2:$D$1001,$O176))</f>
      </c>
      <c r="B176" s="236">
        <f>IF($O176="","",INDEX(Master!$B$2:$B$1001,$O176))</f>
      </c>
      <c r="C176">
        <f>IF($O176="","",INDEX(Master!$C$2:$C$1001,$O176))</f>
      </c>
      <c r="D176">
        <f>IF($O176="","",INDEX(Master!$A$2:$A$1001,$O176))</f>
      </c>
      <c r="E176">
        <f>IF($O176="","",INDEX(Master!$E$2:$E$1001,$O176))</f>
      </c>
      <c r="F176">
        <f>IF($O176="","",INDEX(Master!$F$2:$F$1001,$O176))</f>
      </c>
      <c r="G176">
        <f>IF($O176="","",INDEX(Master!$G$2:$G$1001,$O176))</f>
      </c>
      <c r="H176">
        <f>IF($O176="","",INDEX(Master!$H$2:$H$1001,$O176))</f>
      </c>
      <c r="I176">
        <f>IF($O176="","",INDEX(Master!$I$2:$I$1001,$O176))</f>
      </c>
      <c r="J176">
        <f>IF($O176="","",INDEX(Master!$J$2:$J$1001,$O176))</f>
      </c>
      <c r="K176">
        <f t="shared" si="4"/>
      </c>
      <c r="L176">
        <f>IF($O176="","",INDEX(Master!$K$2:$K$1001,$O176))</f>
      </c>
      <c r="M176">
        <f>IF($O176="","",INDEX(Master!$L$2:$L$1001,$O176))</f>
      </c>
      <c r="O176">
        <f t="array" ref="O176">IFERROR(SMALL(IF(Master!$A$2:$A$1001="SHREE RADHE",ROW(Master!$A$2:$A$1001)-ROW(Master!$A$2)+1),172),"")</f>
      </c>
      <c r="P176">
        <f t="shared" si="5"/>
      </c>
    </row>
    <row r="177" spans="1:16" x14ac:dyDescent="0.25">
      <c r="A177">
        <f>IF($O177="","",INDEX(Master!$D$2:$D$1001,$O177))</f>
      </c>
      <c r="B177" s="236">
        <f>IF($O177="","",INDEX(Master!$B$2:$B$1001,$O177))</f>
      </c>
      <c r="C177">
        <f>IF($O177="","",INDEX(Master!$C$2:$C$1001,$O177))</f>
      </c>
      <c r="D177">
        <f>IF($O177="","",INDEX(Master!$A$2:$A$1001,$O177))</f>
      </c>
      <c r="E177">
        <f>IF($O177="","",INDEX(Master!$E$2:$E$1001,$O177))</f>
      </c>
      <c r="F177">
        <f>IF($O177="","",INDEX(Master!$F$2:$F$1001,$O177))</f>
      </c>
      <c r="G177">
        <f>IF($O177="","",INDEX(Master!$G$2:$G$1001,$O177))</f>
      </c>
      <c r="H177">
        <f>IF($O177="","",INDEX(Master!$H$2:$H$1001,$O177))</f>
      </c>
      <c r="I177">
        <f>IF($O177="","",INDEX(Master!$I$2:$I$1001,$O177))</f>
      </c>
      <c r="J177">
        <f>IF($O177="","",INDEX(Master!$J$2:$J$1001,$O177))</f>
      </c>
      <c r="K177">
        <f t="shared" si="4"/>
      </c>
      <c r="L177">
        <f>IF($O177="","",INDEX(Master!$K$2:$K$1001,$O177))</f>
      </c>
      <c r="M177">
        <f>IF($O177="","",INDEX(Master!$L$2:$L$1001,$O177))</f>
      </c>
      <c r="O177">
        <f t="array" ref="O177">IFERROR(SMALL(IF(Master!$A$2:$A$1001="SHREE RADHE",ROW(Master!$A$2:$A$1001)-ROW(Master!$A$2)+1),173),"")</f>
      </c>
      <c r="P177">
        <f t="shared" si="5"/>
      </c>
    </row>
    <row r="178" spans="1:16" x14ac:dyDescent="0.25">
      <c r="A178">
        <f>IF($O178="","",INDEX(Master!$D$2:$D$1001,$O178))</f>
      </c>
      <c r="B178" s="236">
        <f>IF($O178="","",INDEX(Master!$B$2:$B$1001,$O178))</f>
      </c>
      <c r="C178">
        <f>IF($O178="","",INDEX(Master!$C$2:$C$1001,$O178))</f>
      </c>
      <c r="D178">
        <f>IF($O178="","",INDEX(Master!$A$2:$A$1001,$O178))</f>
      </c>
      <c r="E178">
        <f>IF($O178="","",INDEX(Master!$E$2:$E$1001,$O178))</f>
      </c>
      <c r="F178">
        <f>IF($O178="","",INDEX(Master!$F$2:$F$1001,$O178))</f>
      </c>
      <c r="G178">
        <f>IF($O178="","",INDEX(Master!$G$2:$G$1001,$O178))</f>
      </c>
      <c r="H178">
        <f>IF($O178="","",INDEX(Master!$H$2:$H$1001,$O178))</f>
      </c>
      <c r="I178">
        <f>IF($O178="","",INDEX(Master!$I$2:$I$1001,$O178))</f>
      </c>
      <c r="J178">
        <f>IF($O178="","",INDEX(Master!$J$2:$J$1001,$O178))</f>
      </c>
      <c r="K178">
        <f t="shared" si="4"/>
      </c>
      <c r="L178">
        <f>IF($O178="","",INDEX(Master!$K$2:$K$1001,$O178))</f>
      </c>
      <c r="M178">
        <f>IF($O178="","",INDEX(Master!$L$2:$L$1001,$O178))</f>
      </c>
      <c r="O178">
        <f t="array" ref="O178">IFERROR(SMALL(IF(Master!$A$2:$A$1001="SHREE RADHE",ROW(Master!$A$2:$A$1001)-ROW(Master!$A$2)+1),174),"")</f>
      </c>
      <c r="P178">
        <f t="shared" si="5"/>
      </c>
    </row>
    <row r="179" spans="1:16" x14ac:dyDescent="0.25">
      <c r="A179">
        <f>IF($O179="","",INDEX(Master!$D$2:$D$1001,$O179))</f>
      </c>
      <c r="B179" s="236">
        <f>IF($O179="","",INDEX(Master!$B$2:$B$1001,$O179))</f>
      </c>
      <c r="C179">
        <f>IF($O179="","",INDEX(Master!$C$2:$C$1001,$O179))</f>
      </c>
      <c r="D179">
        <f>IF($O179="","",INDEX(Master!$A$2:$A$1001,$O179))</f>
      </c>
      <c r="E179">
        <f>IF($O179="","",INDEX(Master!$E$2:$E$1001,$O179))</f>
      </c>
      <c r="F179">
        <f>IF($O179="","",INDEX(Master!$F$2:$F$1001,$O179))</f>
      </c>
      <c r="G179">
        <f>IF($O179="","",INDEX(Master!$G$2:$G$1001,$O179))</f>
      </c>
      <c r="H179">
        <f>IF($O179="","",INDEX(Master!$H$2:$H$1001,$O179))</f>
      </c>
      <c r="I179">
        <f>IF($O179="","",INDEX(Master!$I$2:$I$1001,$O179))</f>
      </c>
      <c r="J179">
        <f>IF($O179="","",INDEX(Master!$J$2:$J$1001,$O179))</f>
      </c>
      <c r="K179">
        <f t="shared" si="4"/>
      </c>
      <c r="L179">
        <f>IF($O179="","",INDEX(Master!$K$2:$K$1001,$O179))</f>
      </c>
      <c r="M179">
        <f>IF($O179="","",INDEX(Master!$L$2:$L$1001,$O179))</f>
      </c>
      <c r="O179">
        <f t="array" ref="O179">IFERROR(SMALL(IF(Master!$A$2:$A$1001="SHREE RADHE",ROW(Master!$A$2:$A$1001)-ROW(Master!$A$2)+1),175),"")</f>
      </c>
      <c r="P179">
        <f t="shared" si="5"/>
      </c>
    </row>
    <row r="180" spans="1:16" x14ac:dyDescent="0.25">
      <c r="A180">
        <f>IF($O180="","",INDEX(Master!$D$2:$D$1001,$O180))</f>
      </c>
      <c r="B180" s="236">
        <f>IF($O180="","",INDEX(Master!$B$2:$B$1001,$O180))</f>
      </c>
      <c r="C180">
        <f>IF($O180="","",INDEX(Master!$C$2:$C$1001,$O180))</f>
      </c>
      <c r="D180">
        <f>IF($O180="","",INDEX(Master!$A$2:$A$1001,$O180))</f>
      </c>
      <c r="E180">
        <f>IF($O180="","",INDEX(Master!$E$2:$E$1001,$O180))</f>
      </c>
      <c r="F180">
        <f>IF($O180="","",INDEX(Master!$F$2:$F$1001,$O180))</f>
      </c>
      <c r="G180">
        <f>IF($O180="","",INDEX(Master!$G$2:$G$1001,$O180))</f>
      </c>
      <c r="H180">
        <f>IF($O180="","",INDEX(Master!$H$2:$H$1001,$O180))</f>
      </c>
      <c r="I180">
        <f>IF($O180="","",INDEX(Master!$I$2:$I$1001,$O180))</f>
      </c>
      <c r="J180">
        <f>IF($O180="","",INDEX(Master!$J$2:$J$1001,$O180))</f>
      </c>
      <c r="K180">
        <f t="shared" si="4"/>
      </c>
      <c r="L180">
        <f>IF($O180="","",INDEX(Master!$K$2:$K$1001,$O180))</f>
      </c>
      <c r="M180">
        <f>IF($O180="","",INDEX(Master!$L$2:$L$1001,$O180))</f>
      </c>
      <c r="O180">
        <f t="array" ref="O180">IFERROR(SMALL(IF(Master!$A$2:$A$1001="SHREE RADHE",ROW(Master!$A$2:$A$1001)-ROW(Master!$A$2)+1),176),"")</f>
      </c>
      <c r="P180">
        <f t="shared" si="5"/>
      </c>
    </row>
    <row r="181" spans="1:16" x14ac:dyDescent="0.25">
      <c r="A181">
        <f>IF($O181="","",INDEX(Master!$D$2:$D$1001,$O181))</f>
      </c>
      <c r="B181" s="236">
        <f>IF($O181="","",INDEX(Master!$B$2:$B$1001,$O181))</f>
      </c>
      <c r="C181">
        <f>IF($O181="","",INDEX(Master!$C$2:$C$1001,$O181))</f>
      </c>
      <c r="D181">
        <f>IF($O181="","",INDEX(Master!$A$2:$A$1001,$O181))</f>
      </c>
      <c r="E181">
        <f>IF($O181="","",INDEX(Master!$E$2:$E$1001,$O181))</f>
      </c>
      <c r="F181">
        <f>IF($O181="","",INDEX(Master!$F$2:$F$1001,$O181))</f>
      </c>
      <c r="G181">
        <f>IF($O181="","",INDEX(Master!$G$2:$G$1001,$O181))</f>
      </c>
      <c r="H181">
        <f>IF($O181="","",INDEX(Master!$H$2:$H$1001,$O181))</f>
      </c>
      <c r="I181">
        <f>IF($O181="","",INDEX(Master!$I$2:$I$1001,$O181))</f>
      </c>
      <c r="J181">
        <f>IF($O181="","",INDEX(Master!$J$2:$J$1001,$O181))</f>
      </c>
      <c r="K181">
        <f t="shared" si="4"/>
      </c>
      <c r="L181">
        <f>IF($O181="","",INDEX(Master!$K$2:$K$1001,$O181))</f>
      </c>
      <c r="M181">
        <f>IF($O181="","",INDEX(Master!$L$2:$L$1001,$O181))</f>
      </c>
      <c r="O181">
        <f t="array" ref="O181">IFERROR(SMALL(IF(Master!$A$2:$A$1001="SHREE RADHE",ROW(Master!$A$2:$A$1001)-ROW(Master!$A$2)+1),177),"")</f>
      </c>
      <c r="P181">
        <f t="shared" si="5"/>
      </c>
    </row>
    <row r="182" spans="1:16" x14ac:dyDescent="0.25">
      <c r="A182">
        <f>IF($O182="","",INDEX(Master!$D$2:$D$1001,$O182))</f>
      </c>
      <c r="B182" s="236">
        <f>IF($O182="","",INDEX(Master!$B$2:$B$1001,$O182))</f>
      </c>
      <c r="C182">
        <f>IF($O182="","",INDEX(Master!$C$2:$C$1001,$O182))</f>
      </c>
      <c r="D182">
        <f>IF($O182="","",INDEX(Master!$A$2:$A$1001,$O182))</f>
      </c>
      <c r="E182">
        <f>IF($O182="","",INDEX(Master!$E$2:$E$1001,$O182))</f>
      </c>
      <c r="F182">
        <f>IF($O182="","",INDEX(Master!$F$2:$F$1001,$O182))</f>
      </c>
      <c r="G182">
        <f>IF($O182="","",INDEX(Master!$G$2:$G$1001,$O182))</f>
      </c>
      <c r="H182">
        <f>IF($O182="","",INDEX(Master!$H$2:$H$1001,$O182))</f>
      </c>
      <c r="I182">
        <f>IF($O182="","",INDEX(Master!$I$2:$I$1001,$O182))</f>
      </c>
      <c r="J182">
        <f>IF($O182="","",INDEX(Master!$J$2:$J$1001,$O182))</f>
      </c>
      <c r="K182">
        <f t="shared" si="4"/>
      </c>
      <c r="L182">
        <f>IF($O182="","",INDEX(Master!$K$2:$K$1001,$O182))</f>
      </c>
      <c r="M182">
        <f>IF($O182="","",INDEX(Master!$L$2:$L$1001,$O182))</f>
      </c>
      <c r="O182">
        <f t="array" ref="O182">IFERROR(SMALL(IF(Master!$A$2:$A$1001="SHREE RADHE",ROW(Master!$A$2:$A$1001)-ROW(Master!$A$2)+1),178),"")</f>
      </c>
      <c r="P182">
        <f t="shared" si="5"/>
      </c>
    </row>
    <row r="183" spans="1:16" x14ac:dyDescent="0.25">
      <c r="A183">
        <f>IF($O183="","",INDEX(Master!$D$2:$D$1001,$O183))</f>
      </c>
      <c r="B183" s="236">
        <f>IF($O183="","",INDEX(Master!$B$2:$B$1001,$O183))</f>
      </c>
      <c r="C183">
        <f>IF($O183="","",INDEX(Master!$C$2:$C$1001,$O183))</f>
      </c>
      <c r="D183">
        <f>IF($O183="","",INDEX(Master!$A$2:$A$1001,$O183))</f>
      </c>
      <c r="E183">
        <f>IF($O183="","",INDEX(Master!$E$2:$E$1001,$O183))</f>
      </c>
      <c r="F183">
        <f>IF($O183="","",INDEX(Master!$F$2:$F$1001,$O183))</f>
      </c>
      <c r="G183">
        <f>IF($O183="","",INDEX(Master!$G$2:$G$1001,$O183))</f>
      </c>
      <c r="H183">
        <f>IF($O183="","",INDEX(Master!$H$2:$H$1001,$O183))</f>
      </c>
      <c r="I183">
        <f>IF($O183="","",INDEX(Master!$I$2:$I$1001,$O183))</f>
      </c>
      <c r="J183">
        <f>IF($O183="","",INDEX(Master!$J$2:$J$1001,$O183))</f>
      </c>
      <c r="K183">
        <f t="shared" si="4"/>
      </c>
      <c r="L183">
        <f>IF($O183="","",INDEX(Master!$K$2:$K$1001,$O183))</f>
      </c>
      <c r="M183">
        <f>IF($O183="","",INDEX(Master!$L$2:$L$1001,$O183))</f>
      </c>
      <c r="O183">
        <f t="array" ref="O183">IFERROR(SMALL(IF(Master!$A$2:$A$1001="SHREE RADHE",ROW(Master!$A$2:$A$1001)-ROW(Master!$A$2)+1),179),"")</f>
      </c>
      <c r="P183">
        <f t="shared" si="5"/>
      </c>
    </row>
    <row r="184" spans="1:16" x14ac:dyDescent="0.25">
      <c r="A184">
        <f>IF($O184="","",INDEX(Master!$D$2:$D$1001,$O184))</f>
      </c>
      <c r="B184" s="236">
        <f>IF($O184="","",INDEX(Master!$B$2:$B$1001,$O184))</f>
      </c>
      <c r="C184">
        <f>IF($O184="","",INDEX(Master!$C$2:$C$1001,$O184))</f>
      </c>
      <c r="D184">
        <f>IF($O184="","",INDEX(Master!$A$2:$A$1001,$O184))</f>
      </c>
      <c r="E184">
        <f>IF($O184="","",INDEX(Master!$E$2:$E$1001,$O184))</f>
      </c>
      <c r="F184">
        <f>IF($O184="","",INDEX(Master!$F$2:$F$1001,$O184))</f>
      </c>
      <c r="G184">
        <f>IF($O184="","",INDEX(Master!$G$2:$G$1001,$O184))</f>
      </c>
      <c r="H184">
        <f>IF($O184="","",INDEX(Master!$H$2:$H$1001,$O184))</f>
      </c>
      <c r="I184">
        <f>IF($O184="","",INDEX(Master!$I$2:$I$1001,$O184))</f>
      </c>
      <c r="J184">
        <f>IF($O184="","",INDEX(Master!$J$2:$J$1001,$O184))</f>
      </c>
      <c r="K184">
        <f t="shared" si="4"/>
      </c>
      <c r="L184">
        <f>IF($O184="","",INDEX(Master!$K$2:$K$1001,$O184))</f>
      </c>
      <c r="M184">
        <f>IF($O184="","",INDEX(Master!$L$2:$L$1001,$O184))</f>
      </c>
      <c r="O184">
        <f t="array" ref="O184">IFERROR(SMALL(IF(Master!$A$2:$A$1001="SHREE RADHE",ROW(Master!$A$2:$A$1001)-ROW(Master!$A$2)+1),180),"")</f>
      </c>
      <c r="P184">
        <f t="shared" si="5"/>
      </c>
    </row>
    <row r="185" spans="1:16" x14ac:dyDescent="0.25">
      <c r="A185">
        <f>IF($O185="","",INDEX(Master!$D$2:$D$1001,$O185))</f>
      </c>
      <c r="B185" s="236">
        <f>IF($O185="","",INDEX(Master!$B$2:$B$1001,$O185))</f>
      </c>
      <c r="C185">
        <f>IF($O185="","",INDEX(Master!$C$2:$C$1001,$O185))</f>
      </c>
      <c r="D185">
        <f>IF($O185="","",INDEX(Master!$A$2:$A$1001,$O185))</f>
      </c>
      <c r="E185">
        <f>IF($O185="","",INDEX(Master!$E$2:$E$1001,$O185))</f>
      </c>
      <c r="F185">
        <f>IF($O185="","",INDEX(Master!$F$2:$F$1001,$O185))</f>
      </c>
      <c r="G185">
        <f>IF($O185="","",INDEX(Master!$G$2:$G$1001,$O185))</f>
      </c>
      <c r="H185">
        <f>IF($O185="","",INDEX(Master!$H$2:$H$1001,$O185))</f>
      </c>
      <c r="I185">
        <f>IF($O185="","",INDEX(Master!$I$2:$I$1001,$O185))</f>
      </c>
      <c r="J185">
        <f>IF($O185="","",INDEX(Master!$J$2:$J$1001,$O185))</f>
      </c>
      <c r="K185">
        <f t="shared" si="4"/>
      </c>
      <c r="L185">
        <f>IF($O185="","",INDEX(Master!$K$2:$K$1001,$O185))</f>
      </c>
      <c r="M185">
        <f>IF($O185="","",INDEX(Master!$L$2:$L$1001,$O185))</f>
      </c>
      <c r="O185">
        <f t="array" ref="O185">IFERROR(SMALL(IF(Master!$A$2:$A$1001="SHREE RADHE",ROW(Master!$A$2:$A$1001)-ROW(Master!$A$2)+1),181),"")</f>
      </c>
      <c r="P185">
        <f t="shared" si="5"/>
      </c>
    </row>
    <row r="186" spans="1:16" x14ac:dyDescent="0.25">
      <c r="A186">
        <f>IF($O186="","",INDEX(Master!$D$2:$D$1001,$O186))</f>
      </c>
      <c r="B186" s="236">
        <f>IF($O186="","",INDEX(Master!$B$2:$B$1001,$O186))</f>
      </c>
      <c r="C186">
        <f>IF($O186="","",INDEX(Master!$C$2:$C$1001,$O186))</f>
      </c>
      <c r="D186">
        <f>IF($O186="","",INDEX(Master!$A$2:$A$1001,$O186))</f>
      </c>
      <c r="E186">
        <f>IF($O186="","",INDEX(Master!$E$2:$E$1001,$O186))</f>
      </c>
      <c r="F186">
        <f>IF($O186="","",INDEX(Master!$F$2:$F$1001,$O186))</f>
      </c>
      <c r="G186">
        <f>IF($O186="","",INDEX(Master!$G$2:$G$1001,$O186))</f>
      </c>
      <c r="H186">
        <f>IF($O186="","",INDEX(Master!$H$2:$H$1001,$O186))</f>
      </c>
      <c r="I186">
        <f>IF($O186="","",INDEX(Master!$I$2:$I$1001,$O186))</f>
      </c>
      <c r="J186">
        <f>IF($O186="","",INDEX(Master!$J$2:$J$1001,$O186))</f>
      </c>
      <c r="K186">
        <f t="shared" si="4"/>
      </c>
      <c r="L186">
        <f>IF($O186="","",INDEX(Master!$K$2:$K$1001,$O186))</f>
      </c>
      <c r="M186">
        <f>IF($O186="","",INDEX(Master!$L$2:$L$1001,$O186))</f>
      </c>
      <c r="O186">
        <f t="array" ref="O186">IFERROR(SMALL(IF(Master!$A$2:$A$1001="SHREE RADHE",ROW(Master!$A$2:$A$1001)-ROW(Master!$A$2)+1),182),"")</f>
      </c>
      <c r="P186">
        <f t="shared" si="5"/>
      </c>
    </row>
    <row r="187" spans="1:16" x14ac:dyDescent="0.25">
      <c r="A187">
        <f>IF($O187="","",INDEX(Master!$D$2:$D$1001,$O187))</f>
      </c>
      <c r="B187" s="236">
        <f>IF($O187="","",INDEX(Master!$B$2:$B$1001,$O187))</f>
      </c>
      <c r="C187">
        <f>IF($O187="","",INDEX(Master!$C$2:$C$1001,$O187))</f>
      </c>
      <c r="D187">
        <f>IF($O187="","",INDEX(Master!$A$2:$A$1001,$O187))</f>
      </c>
      <c r="E187">
        <f>IF($O187="","",INDEX(Master!$E$2:$E$1001,$O187))</f>
      </c>
      <c r="F187">
        <f>IF($O187="","",INDEX(Master!$F$2:$F$1001,$O187))</f>
      </c>
      <c r="G187">
        <f>IF($O187="","",INDEX(Master!$G$2:$G$1001,$O187))</f>
      </c>
      <c r="H187">
        <f>IF($O187="","",INDEX(Master!$H$2:$H$1001,$O187))</f>
      </c>
      <c r="I187">
        <f>IF($O187="","",INDEX(Master!$I$2:$I$1001,$O187))</f>
      </c>
      <c r="J187">
        <f>IF($O187="","",INDEX(Master!$J$2:$J$1001,$O187))</f>
      </c>
      <c r="K187">
        <f t="shared" si="4"/>
      </c>
      <c r="L187">
        <f>IF($O187="","",INDEX(Master!$K$2:$K$1001,$O187))</f>
      </c>
      <c r="M187">
        <f>IF($O187="","",INDEX(Master!$L$2:$L$1001,$O187))</f>
      </c>
      <c r="O187">
        <f t="array" ref="O187">IFERROR(SMALL(IF(Master!$A$2:$A$1001="SHREE RADHE",ROW(Master!$A$2:$A$1001)-ROW(Master!$A$2)+1),183),"")</f>
      </c>
      <c r="P187">
        <f t="shared" si="5"/>
      </c>
    </row>
    <row r="188" spans="1:16" x14ac:dyDescent="0.25">
      <c r="A188">
        <f>IF($O188="","",INDEX(Master!$D$2:$D$1001,$O188))</f>
      </c>
      <c r="B188" s="236">
        <f>IF($O188="","",INDEX(Master!$B$2:$B$1001,$O188))</f>
      </c>
      <c r="C188">
        <f>IF($O188="","",INDEX(Master!$C$2:$C$1001,$O188))</f>
      </c>
      <c r="D188">
        <f>IF($O188="","",INDEX(Master!$A$2:$A$1001,$O188))</f>
      </c>
      <c r="E188">
        <f>IF($O188="","",INDEX(Master!$E$2:$E$1001,$O188))</f>
      </c>
      <c r="F188">
        <f>IF($O188="","",INDEX(Master!$F$2:$F$1001,$O188))</f>
      </c>
      <c r="G188">
        <f>IF($O188="","",INDEX(Master!$G$2:$G$1001,$O188))</f>
      </c>
      <c r="H188">
        <f>IF($O188="","",INDEX(Master!$H$2:$H$1001,$O188))</f>
      </c>
      <c r="I188">
        <f>IF($O188="","",INDEX(Master!$I$2:$I$1001,$O188))</f>
      </c>
      <c r="J188">
        <f>IF($O188="","",INDEX(Master!$J$2:$J$1001,$O188))</f>
      </c>
      <c r="K188">
        <f t="shared" si="4"/>
      </c>
      <c r="L188">
        <f>IF($O188="","",INDEX(Master!$K$2:$K$1001,$O188))</f>
      </c>
      <c r="M188">
        <f>IF($O188="","",INDEX(Master!$L$2:$L$1001,$O188))</f>
      </c>
      <c r="O188">
        <f t="array" ref="O188">IFERROR(SMALL(IF(Master!$A$2:$A$1001="SHREE RADHE",ROW(Master!$A$2:$A$1001)-ROW(Master!$A$2)+1),184),"")</f>
      </c>
      <c r="P188">
        <f t="shared" si="5"/>
      </c>
    </row>
    <row r="189" spans="1:16" x14ac:dyDescent="0.25">
      <c r="A189">
        <f>IF($O189="","",INDEX(Master!$D$2:$D$1001,$O189))</f>
      </c>
      <c r="B189" s="236">
        <f>IF($O189="","",INDEX(Master!$B$2:$B$1001,$O189))</f>
      </c>
      <c r="C189">
        <f>IF($O189="","",INDEX(Master!$C$2:$C$1001,$O189))</f>
      </c>
      <c r="D189">
        <f>IF($O189="","",INDEX(Master!$A$2:$A$1001,$O189))</f>
      </c>
      <c r="E189">
        <f>IF($O189="","",INDEX(Master!$E$2:$E$1001,$O189))</f>
      </c>
      <c r="F189">
        <f>IF($O189="","",INDEX(Master!$F$2:$F$1001,$O189))</f>
      </c>
      <c r="G189">
        <f>IF($O189="","",INDEX(Master!$G$2:$G$1001,$O189))</f>
      </c>
      <c r="H189">
        <f>IF($O189="","",INDEX(Master!$H$2:$H$1001,$O189))</f>
      </c>
      <c r="I189">
        <f>IF($O189="","",INDEX(Master!$I$2:$I$1001,$O189))</f>
      </c>
      <c r="J189">
        <f>IF($O189="","",INDEX(Master!$J$2:$J$1001,$O189))</f>
      </c>
      <c r="K189">
        <f t="shared" si="4"/>
      </c>
      <c r="L189">
        <f>IF($O189="","",INDEX(Master!$K$2:$K$1001,$O189))</f>
      </c>
      <c r="M189">
        <f>IF($O189="","",INDEX(Master!$L$2:$L$1001,$O189))</f>
      </c>
      <c r="O189">
        <f t="array" ref="O189">IFERROR(SMALL(IF(Master!$A$2:$A$1001="SHREE RADHE",ROW(Master!$A$2:$A$1001)-ROW(Master!$A$2)+1),185),"")</f>
      </c>
      <c r="P189">
        <f t="shared" si="5"/>
      </c>
    </row>
    <row r="190" spans="1:16" x14ac:dyDescent="0.25">
      <c r="A190">
        <f>IF($O190="","",INDEX(Master!$D$2:$D$1001,$O190))</f>
      </c>
      <c r="B190" s="236">
        <f>IF($O190="","",INDEX(Master!$B$2:$B$1001,$O190))</f>
      </c>
      <c r="C190">
        <f>IF($O190="","",INDEX(Master!$C$2:$C$1001,$O190))</f>
      </c>
      <c r="D190">
        <f>IF($O190="","",INDEX(Master!$A$2:$A$1001,$O190))</f>
      </c>
      <c r="E190">
        <f>IF($O190="","",INDEX(Master!$E$2:$E$1001,$O190))</f>
      </c>
      <c r="F190">
        <f>IF($O190="","",INDEX(Master!$F$2:$F$1001,$O190))</f>
      </c>
      <c r="G190">
        <f>IF($O190="","",INDEX(Master!$G$2:$G$1001,$O190))</f>
      </c>
      <c r="H190">
        <f>IF($O190="","",INDEX(Master!$H$2:$H$1001,$O190))</f>
      </c>
      <c r="I190">
        <f>IF($O190="","",INDEX(Master!$I$2:$I$1001,$O190))</f>
      </c>
      <c r="J190">
        <f>IF($O190="","",INDEX(Master!$J$2:$J$1001,$O190))</f>
      </c>
      <c r="K190">
        <f t="shared" si="4"/>
      </c>
      <c r="L190">
        <f>IF($O190="","",INDEX(Master!$K$2:$K$1001,$O190))</f>
      </c>
      <c r="M190">
        <f>IF($O190="","",INDEX(Master!$L$2:$L$1001,$O190))</f>
      </c>
      <c r="O190">
        <f t="array" ref="O190">IFERROR(SMALL(IF(Master!$A$2:$A$1001="SHREE RADHE",ROW(Master!$A$2:$A$1001)-ROW(Master!$A$2)+1),186),"")</f>
      </c>
      <c r="P190">
        <f t="shared" si="5"/>
      </c>
    </row>
    <row r="191" spans="1:16" x14ac:dyDescent="0.25">
      <c r="A191">
        <f>IF($O191="","",INDEX(Master!$D$2:$D$1001,$O191))</f>
      </c>
      <c r="B191" s="236">
        <f>IF($O191="","",INDEX(Master!$B$2:$B$1001,$O191))</f>
      </c>
      <c r="C191">
        <f>IF($O191="","",INDEX(Master!$C$2:$C$1001,$O191))</f>
      </c>
      <c r="D191">
        <f>IF($O191="","",INDEX(Master!$A$2:$A$1001,$O191))</f>
      </c>
      <c r="E191">
        <f>IF($O191="","",INDEX(Master!$E$2:$E$1001,$O191))</f>
      </c>
      <c r="F191">
        <f>IF($O191="","",INDEX(Master!$F$2:$F$1001,$O191))</f>
      </c>
      <c r="G191">
        <f>IF($O191="","",INDEX(Master!$G$2:$G$1001,$O191))</f>
      </c>
      <c r="H191">
        <f>IF($O191="","",INDEX(Master!$H$2:$H$1001,$O191))</f>
      </c>
      <c r="I191">
        <f>IF($O191="","",INDEX(Master!$I$2:$I$1001,$O191))</f>
      </c>
      <c r="J191">
        <f>IF($O191="","",INDEX(Master!$J$2:$J$1001,$O191))</f>
      </c>
      <c r="K191">
        <f t="shared" si="4"/>
      </c>
      <c r="L191">
        <f>IF($O191="","",INDEX(Master!$K$2:$K$1001,$O191))</f>
      </c>
      <c r="M191">
        <f>IF($O191="","",INDEX(Master!$L$2:$L$1001,$O191))</f>
      </c>
      <c r="O191">
        <f t="array" ref="O191">IFERROR(SMALL(IF(Master!$A$2:$A$1001="SHREE RADHE",ROW(Master!$A$2:$A$1001)-ROW(Master!$A$2)+1),187),"")</f>
      </c>
      <c r="P191">
        <f t="shared" si="5"/>
      </c>
    </row>
    <row r="192" spans="1:16" x14ac:dyDescent="0.25">
      <c r="A192">
        <f>IF($O192="","",INDEX(Master!$D$2:$D$1001,$O192))</f>
      </c>
      <c r="B192" s="236">
        <f>IF($O192="","",INDEX(Master!$B$2:$B$1001,$O192))</f>
      </c>
      <c r="C192">
        <f>IF($O192="","",INDEX(Master!$C$2:$C$1001,$O192))</f>
      </c>
      <c r="D192">
        <f>IF($O192="","",INDEX(Master!$A$2:$A$1001,$O192))</f>
      </c>
      <c r="E192">
        <f>IF($O192="","",INDEX(Master!$E$2:$E$1001,$O192))</f>
      </c>
      <c r="F192">
        <f>IF($O192="","",INDEX(Master!$F$2:$F$1001,$O192))</f>
      </c>
      <c r="G192">
        <f>IF($O192="","",INDEX(Master!$G$2:$G$1001,$O192))</f>
      </c>
      <c r="H192">
        <f>IF($O192="","",INDEX(Master!$H$2:$H$1001,$O192))</f>
      </c>
      <c r="I192">
        <f>IF($O192="","",INDEX(Master!$I$2:$I$1001,$O192))</f>
      </c>
      <c r="J192">
        <f>IF($O192="","",INDEX(Master!$J$2:$J$1001,$O192))</f>
      </c>
      <c r="K192">
        <f t="shared" si="4"/>
      </c>
      <c r="L192">
        <f>IF($O192="","",INDEX(Master!$K$2:$K$1001,$O192))</f>
      </c>
      <c r="M192">
        <f>IF($O192="","",INDEX(Master!$L$2:$L$1001,$O192))</f>
      </c>
      <c r="O192">
        <f t="array" ref="O192">IFERROR(SMALL(IF(Master!$A$2:$A$1001="SHREE RADHE",ROW(Master!$A$2:$A$1001)-ROW(Master!$A$2)+1),188),"")</f>
      </c>
      <c r="P192">
        <f t="shared" si="5"/>
      </c>
    </row>
    <row r="193" spans="1:16" x14ac:dyDescent="0.25">
      <c r="A193">
        <f>IF($O193="","",INDEX(Master!$D$2:$D$1001,$O193))</f>
      </c>
      <c r="B193" s="236">
        <f>IF($O193="","",INDEX(Master!$B$2:$B$1001,$O193))</f>
      </c>
      <c r="C193">
        <f>IF($O193="","",INDEX(Master!$C$2:$C$1001,$O193))</f>
      </c>
      <c r="D193">
        <f>IF($O193="","",INDEX(Master!$A$2:$A$1001,$O193))</f>
      </c>
      <c r="E193">
        <f>IF($O193="","",INDEX(Master!$E$2:$E$1001,$O193))</f>
      </c>
      <c r="F193">
        <f>IF($O193="","",INDEX(Master!$F$2:$F$1001,$O193))</f>
      </c>
      <c r="G193">
        <f>IF($O193="","",INDEX(Master!$G$2:$G$1001,$O193))</f>
      </c>
      <c r="H193">
        <f>IF($O193="","",INDEX(Master!$H$2:$H$1001,$O193))</f>
      </c>
      <c r="I193">
        <f>IF($O193="","",INDEX(Master!$I$2:$I$1001,$O193))</f>
      </c>
      <c r="J193">
        <f>IF($O193="","",INDEX(Master!$J$2:$J$1001,$O193))</f>
      </c>
      <c r="K193">
        <f t="shared" si="4"/>
      </c>
      <c r="L193">
        <f>IF($O193="","",INDEX(Master!$K$2:$K$1001,$O193))</f>
      </c>
      <c r="M193">
        <f>IF($O193="","",INDEX(Master!$L$2:$L$1001,$O193))</f>
      </c>
      <c r="O193">
        <f t="array" ref="O193">IFERROR(SMALL(IF(Master!$A$2:$A$1001="SHREE RADHE",ROW(Master!$A$2:$A$1001)-ROW(Master!$A$2)+1),189),"")</f>
      </c>
      <c r="P193">
        <f t="shared" si="5"/>
      </c>
    </row>
    <row r="194" spans="1:16" x14ac:dyDescent="0.25">
      <c r="A194">
        <f>IF($O194="","",INDEX(Master!$D$2:$D$1001,$O194))</f>
      </c>
      <c r="B194" s="236">
        <f>IF($O194="","",INDEX(Master!$B$2:$B$1001,$O194))</f>
      </c>
      <c r="C194">
        <f>IF($O194="","",INDEX(Master!$C$2:$C$1001,$O194))</f>
      </c>
      <c r="D194">
        <f>IF($O194="","",INDEX(Master!$A$2:$A$1001,$O194))</f>
      </c>
      <c r="E194">
        <f>IF($O194="","",INDEX(Master!$E$2:$E$1001,$O194))</f>
      </c>
      <c r="F194">
        <f>IF($O194="","",INDEX(Master!$F$2:$F$1001,$O194))</f>
      </c>
      <c r="G194">
        <f>IF($O194="","",INDEX(Master!$G$2:$G$1001,$O194))</f>
      </c>
      <c r="H194">
        <f>IF($O194="","",INDEX(Master!$H$2:$H$1001,$O194))</f>
      </c>
      <c r="I194">
        <f>IF($O194="","",INDEX(Master!$I$2:$I$1001,$O194))</f>
      </c>
      <c r="J194">
        <f>IF($O194="","",INDEX(Master!$J$2:$J$1001,$O194))</f>
      </c>
      <c r="K194">
        <f t="shared" si="4"/>
      </c>
      <c r="L194">
        <f>IF($O194="","",INDEX(Master!$K$2:$K$1001,$O194))</f>
      </c>
      <c r="M194">
        <f>IF($O194="","",INDEX(Master!$L$2:$L$1001,$O194))</f>
      </c>
      <c r="O194">
        <f t="array" ref="O194">IFERROR(SMALL(IF(Master!$A$2:$A$1001="SHREE RADHE",ROW(Master!$A$2:$A$1001)-ROW(Master!$A$2)+1),190),"")</f>
      </c>
      <c r="P194">
        <f t="shared" si="5"/>
      </c>
    </row>
    <row r="195" spans="1:16" x14ac:dyDescent="0.25">
      <c r="A195">
        <f>IF($O195="","",INDEX(Master!$D$2:$D$1001,$O195))</f>
      </c>
      <c r="B195" s="236">
        <f>IF($O195="","",INDEX(Master!$B$2:$B$1001,$O195))</f>
      </c>
      <c r="C195">
        <f>IF($O195="","",INDEX(Master!$C$2:$C$1001,$O195))</f>
      </c>
      <c r="D195">
        <f>IF($O195="","",INDEX(Master!$A$2:$A$1001,$O195))</f>
      </c>
      <c r="E195">
        <f>IF($O195="","",INDEX(Master!$E$2:$E$1001,$O195))</f>
      </c>
      <c r="F195">
        <f>IF($O195="","",INDEX(Master!$F$2:$F$1001,$O195))</f>
      </c>
      <c r="G195">
        <f>IF($O195="","",INDEX(Master!$G$2:$G$1001,$O195))</f>
      </c>
      <c r="H195">
        <f>IF($O195="","",INDEX(Master!$H$2:$H$1001,$O195))</f>
      </c>
      <c r="I195">
        <f>IF($O195="","",INDEX(Master!$I$2:$I$1001,$O195))</f>
      </c>
      <c r="J195">
        <f>IF($O195="","",INDEX(Master!$J$2:$J$1001,$O195))</f>
      </c>
      <c r="K195">
        <f t="shared" si="4"/>
      </c>
      <c r="L195">
        <f>IF($O195="","",INDEX(Master!$K$2:$K$1001,$O195))</f>
      </c>
      <c r="M195">
        <f>IF($O195="","",INDEX(Master!$L$2:$L$1001,$O195))</f>
      </c>
      <c r="O195">
        <f t="array" ref="O195">IFERROR(SMALL(IF(Master!$A$2:$A$1001="SHREE RADHE",ROW(Master!$A$2:$A$1001)-ROW(Master!$A$2)+1),191),"")</f>
      </c>
      <c r="P195">
        <f t="shared" si="5"/>
      </c>
    </row>
    <row r="196" spans="1:16" x14ac:dyDescent="0.25">
      <c r="A196">
        <f>IF($O196="","",INDEX(Master!$D$2:$D$1001,$O196))</f>
      </c>
      <c r="B196" s="236">
        <f>IF($O196="","",INDEX(Master!$B$2:$B$1001,$O196))</f>
      </c>
      <c r="C196">
        <f>IF($O196="","",INDEX(Master!$C$2:$C$1001,$O196))</f>
      </c>
      <c r="D196">
        <f>IF($O196="","",INDEX(Master!$A$2:$A$1001,$O196))</f>
      </c>
      <c r="E196">
        <f>IF($O196="","",INDEX(Master!$E$2:$E$1001,$O196))</f>
      </c>
      <c r="F196">
        <f>IF($O196="","",INDEX(Master!$F$2:$F$1001,$O196))</f>
      </c>
      <c r="G196">
        <f>IF($O196="","",INDEX(Master!$G$2:$G$1001,$O196))</f>
      </c>
      <c r="H196">
        <f>IF($O196="","",INDEX(Master!$H$2:$H$1001,$O196))</f>
      </c>
      <c r="I196">
        <f>IF($O196="","",INDEX(Master!$I$2:$I$1001,$O196))</f>
      </c>
      <c r="J196">
        <f>IF($O196="","",INDEX(Master!$J$2:$J$1001,$O196))</f>
      </c>
      <c r="K196">
        <f t="shared" si="4"/>
      </c>
      <c r="L196">
        <f>IF($O196="","",INDEX(Master!$K$2:$K$1001,$O196))</f>
      </c>
      <c r="M196">
        <f>IF($O196="","",INDEX(Master!$L$2:$L$1001,$O196))</f>
      </c>
      <c r="O196">
        <f t="array" ref="O196">IFERROR(SMALL(IF(Master!$A$2:$A$1001="SHREE RADHE",ROW(Master!$A$2:$A$1001)-ROW(Master!$A$2)+1),192),"")</f>
      </c>
      <c r="P196">
        <f t="shared" si="5"/>
      </c>
    </row>
    <row r="197" spans="1:16" x14ac:dyDescent="0.25">
      <c r="A197">
        <f>IF($O197="","",INDEX(Master!$D$2:$D$1001,$O197))</f>
      </c>
      <c r="B197" s="236">
        <f>IF($O197="","",INDEX(Master!$B$2:$B$1001,$O197))</f>
      </c>
      <c r="C197">
        <f>IF($O197="","",INDEX(Master!$C$2:$C$1001,$O197))</f>
      </c>
      <c r="D197">
        <f>IF($O197="","",INDEX(Master!$A$2:$A$1001,$O197))</f>
      </c>
      <c r="E197">
        <f>IF($O197="","",INDEX(Master!$E$2:$E$1001,$O197))</f>
      </c>
      <c r="F197">
        <f>IF($O197="","",INDEX(Master!$F$2:$F$1001,$O197))</f>
      </c>
      <c r="G197">
        <f>IF($O197="","",INDEX(Master!$G$2:$G$1001,$O197))</f>
      </c>
      <c r="H197">
        <f>IF($O197="","",INDEX(Master!$H$2:$H$1001,$O197))</f>
      </c>
      <c r="I197">
        <f>IF($O197="","",INDEX(Master!$I$2:$I$1001,$O197))</f>
      </c>
      <c r="J197">
        <f>IF($O197="","",INDEX(Master!$J$2:$J$1001,$O197))</f>
      </c>
      <c r="K197">
        <f t="shared" ref="K197:K260" si="6">IF(OR($O197="",$F197="",$F197=0),"",$H197/$F197)</f>
      </c>
      <c r="L197">
        <f>IF($O197="","",INDEX(Master!$K$2:$K$1001,$O197))</f>
      </c>
      <c r="M197">
        <f>IF($O197="","",INDEX(Master!$L$2:$L$1001,$O197))</f>
      </c>
      <c r="O197">
        <f t="array" ref="O197">IFERROR(SMALL(IF(Master!$A$2:$A$1001="SHREE RADHE",ROW(Master!$A$2:$A$1001)-ROW(Master!$A$2)+1),193),"")</f>
      </c>
      <c r="P197">
        <f t="shared" ref="P197:P260" si="7">IF($A197="",0,IF(OR(AND($E197&lt;&gt;"",OR($E197&gt;0.15)),AND($F197&lt;&gt;"",OR($F197&gt;0.045)),AND($G197&lt;&gt;"",OR($G197&gt;0.08)),AND($H197&lt;&gt;"",$H197&lt;0.5),AND($J197&lt;&gt;"",OR($J197&lt;0.1))),1,0))</f>
      </c>
    </row>
    <row r="198" spans="1:16" x14ac:dyDescent="0.25">
      <c r="A198">
        <f>IF($O198="","",INDEX(Master!$D$2:$D$1001,$O198))</f>
      </c>
      <c r="B198" s="236">
        <f>IF($O198="","",INDEX(Master!$B$2:$B$1001,$O198))</f>
      </c>
      <c r="C198">
        <f>IF($O198="","",INDEX(Master!$C$2:$C$1001,$O198))</f>
      </c>
      <c r="D198">
        <f>IF($O198="","",INDEX(Master!$A$2:$A$1001,$O198))</f>
      </c>
      <c r="E198">
        <f>IF($O198="","",INDEX(Master!$E$2:$E$1001,$O198))</f>
      </c>
      <c r="F198">
        <f>IF($O198="","",INDEX(Master!$F$2:$F$1001,$O198))</f>
      </c>
      <c r="G198">
        <f>IF($O198="","",INDEX(Master!$G$2:$G$1001,$O198))</f>
      </c>
      <c r="H198">
        <f>IF($O198="","",INDEX(Master!$H$2:$H$1001,$O198))</f>
      </c>
      <c r="I198">
        <f>IF($O198="","",INDEX(Master!$I$2:$I$1001,$O198))</f>
      </c>
      <c r="J198">
        <f>IF($O198="","",INDEX(Master!$J$2:$J$1001,$O198))</f>
      </c>
      <c r="K198">
        <f t="shared" si="6"/>
      </c>
      <c r="L198">
        <f>IF($O198="","",INDEX(Master!$K$2:$K$1001,$O198))</f>
      </c>
      <c r="M198">
        <f>IF($O198="","",INDEX(Master!$L$2:$L$1001,$O198))</f>
      </c>
      <c r="O198">
        <f t="array" ref="O198">IFERROR(SMALL(IF(Master!$A$2:$A$1001="SHREE RADHE",ROW(Master!$A$2:$A$1001)-ROW(Master!$A$2)+1),194),"")</f>
      </c>
      <c r="P198">
        <f t="shared" si="7"/>
      </c>
    </row>
    <row r="199" spans="1:16" x14ac:dyDescent="0.25">
      <c r="A199">
        <f>IF($O199="","",INDEX(Master!$D$2:$D$1001,$O199))</f>
      </c>
      <c r="B199" s="236">
        <f>IF($O199="","",INDEX(Master!$B$2:$B$1001,$O199))</f>
      </c>
      <c r="C199">
        <f>IF($O199="","",INDEX(Master!$C$2:$C$1001,$O199))</f>
      </c>
      <c r="D199">
        <f>IF($O199="","",INDEX(Master!$A$2:$A$1001,$O199))</f>
      </c>
      <c r="E199">
        <f>IF($O199="","",INDEX(Master!$E$2:$E$1001,$O199))</f>
      </c>
      <c r="F199">
        <f>IF($O199="","",INDEX(Master!$F$2:$F$1001,$O199))</f>
      </c>
      <c r="G199">
        <f>IF($O199="","",INDEX(Master!$G$2:$G$1001,$O199))</f>
      </c>
      <c r="H199">
        <f>IF($O199="","",INDEX(Master!$H$2:$H$1001,$O199))</f>
      </c>
      <c r="I199">
        <f>IF($O199="","",INDEX(Master!$I$2:$I$1001,$O199))</f>
      </c>
      <c r="J199">
        <f>IF($O199="","",INDEX(Master!$J$2:$J$1001,$O199))</f>
      </c>
      <c r="K199">
        <f t="shared" si="6"/>
      </c>
      <c r="L199">
        <f>IF($O199="","",INDEX(Master!$K$2:$K$1001,$O199))</f>
      </c>
      <c r="M199">
        <f>IF($O199="","",INDEX(Master!$L$2:$L$1001,$O199))</f>
      </c>
      <c r="O199">
        <f t="array" ref="O199">IFERROR(SMALL(IF(Master!$A$2:$A$1001="SHREE RADHE",ROW(Master!$A$2:$A$1001)-ROW(Master!$A$2)+1),195),"")</f>
      </c>
      <c r="P199">
        <f t="shared" si="7"/>
      </c>
    </row>
    <row r="200" spans="1:16" x14ac:dyDescent="0.25">
      <c r="A200">
        <f>IF($O200="","",INDEX(Master!$D$2:$D$1001,$O200))</f>
      </c>
      <c r="B200" s="236">
        <f>IF($O200="","",INDEX(Master!$B$2:$B$1001,$O200))</f>
      </c>
      <c r="C200">
        <f>IF($O200="","",INDEX(Master!$C$2:$C$1001,$O200))</f>
      </c>
      <c r="D200">
        <f>IF($O200="","",INDEX(Master!$A$2:$A$1001,$O200))</f>
      </c>
      <c r="E200">
        <f>IF($O200="","",INDEX(Master!$E$2:$E$1001,$O200))</f>
      </c>
      <c r="F200">
        <f>IF($O200="","",INDEX(Master!$F$2:$F$1001,$O200))</f>
      </c>
      <c r="G200">
        <f>IF($O200="","",INDEX(Master!$G$2:$G$1001,$O200))</f>
      </c>
      <c r="H200">
        <f>IF($O200="","",INDEX(Master!$H$2:$H$1001,$O200))</f>
      </c>
      <c r="I200">
        <f>IF($O200="","",INDEX(Master!$I$2:$I$1001,$O200))</f>
      </c>
      <c r="J200">
        <f>IF($O200="","",INDEX(Master!$J$2:$J$1001,$O200))</f>
      </c>
      <c r="K200">
        <f t="shared" si="6"/>
      </c>
      <c r="L200">
        <f>IF($O200="","",INDEX(Master!$K$2:$K$1001,$O200))</f>
      </c>
      <c r="M200">
        <f>IF($O200="","",INDEX(Master!$L$2:$L$1001,$O200))</f>
      </c>
      <c r="O200">
        <f t="array" ref="O200">IFERROR(SMALL(IF(Master!$A$2:$A$1001="SHREE RADHE",ROW(Master!$A$2:$A$1001)-ROW(Master!$A$2)+1),196),"")</f>
      </c>
      <c r="P200">
        <f t="shared" si="7"/>
      </c>
    </row>
    <row r="201" spans="1:16" x14ac:dyDescent="0.25">
      <c r="A201">
        <f>IF($O201="","",INDEX(Master!$D$2:$D$1001,$O201))</f>
      </c>
      <c r="B201" s="236">
        <f>IF($O201="","",INDEX(Master!$B$2:$B$1001,$O201))</f>
      </c>
      <c r="C201">
        <f>IF($O201="","",INDEX(Master!$C$2:$C$1001,$O201))</f>
      </c>
      <c r="D201">
        <f>IF($O201="","",INDEX(Master!$A$2:$A$1001,$O201))</f>
      </c>
      <c r="E201">
        <f>IF($O201="","",INDEX(Master!$E$2:$E$1001,$O201))</f>
      </c>
      <c r="F201">
        <f>IF($O201="","",INDEX(Master!$F$2:$F$1001,$O201))</f>
      </c>
      <c r="G201">
        <f>IF($O201="","",INDEX(Master!$G$2:$G$1001,$O201))</f>
      </c>
      <c r="H201">
        <f>IF($O201="","",INDEX(Master!$H$2:$H$1001,$O201))</f>
      </c>
      <c r="I201">
        <f>IF($O201="","",INDEX(Master!$I$2:$I$1001,$O201))</f>
      </c>
      <c r="J201">
        <f>IF($O201="","",INDEX(Master!$J$2:$J$1001,$O201))</f>
      </c>
      <c r="K201">
        <f t="shared" si="6"/>
      </c>
      <c r="L201">
        <f>IF($O201="","",INDEX(Master!$K$2:$K$1001,$O201))</f>
      </c>
      <c r="M201">
        <f>IF($O201="","",INDEX(Master!$L$2:$L$1001,$O201))</f>
      </c>
      <c r="O201">
        <f t="array" ref="O201">IFERROR(SMALL(IF(Master!$A$2:$A$1001="SHREE RADHE",ROW(Master!$A$2:$A$1001)-ROW(Master!$A$2)+1),197),"")</f>
      </c>
      <c r="P201">
        <f t="shared" si="7"/>
      </c>
    </row>
    <row r="202" spans="1:16" x14ac:dyDescent="0.25">
      <c r="A202">
        <f>IF($O202="","",INDEX(Master!$D$2:$D$1001,$O202))</f>
      </c>
      <c r="B202" s="236">
        <f>IF($O202="","",INDEX(Master!$B$2:$B$1001,$O202))</f>
      </c>
      <c r="C202">
        <f>IF($O202="","",INDEX(Master!$C$2:$C$1001,$O202))</f>
      </c>
      <c r="D202">
        <f>IF($O202="","",INDEX(Master!$A$2:$A$1001,$O202))</f>
      </c>
      <c r="E202">
        <f>IF($O202="","",INDEX(Master!$E$2:$E$1001,$O202))</f>
      </c>
      <c r="F202">
        <f>IF($O202="","",INDEX(Master!$F$2:$F$1001,$O202))</f>
      </c>
      <c r="G202">
        <f>IF($O202="","",INDEX(Master!$G$2:$G$1001,$O202))</f>
      </c>
      <c r="H202">
        <f>IF($O202="","",INDEX(Master!$H$2:$H$1001,$O202))</f>
      </c>
      <c r="I202">
        <f>IF($O202="","",INDEX(Master!$I$2:$I$1001,$O202))</f>
      </c>
      <c r="J202">
        <f>IF($O202="","",INDEX(Master!$J$2:$J$1001,$O202))</f>
      </c>
      <c r="K202">
        <f t="shared" si="6"/>
      </c>
      <c r="L202">
        <f>IF($O202="","",INDEX(Master!$K$2:$K$1001,$O202))</f>
      </c>
      <c r="M202">
        <f>IF($O202="","",INDEX(Master!$L$2:$L$1001,$O202))</f>
      </c>
      <c r="O202">
        <f t="array" ref="O202">IFERROR(SMALL(IF(Master!$A$2:$A$1001="SHREE RADHE",ROW(Master!$A$2:$A$1001)-ROW(Master!$A$2)+1),198),"")</f>
      </c>
      <c r="P202">
        <f t="shared" si="7"/>
      </c>
    </row>
    <row r="203" spans="1:16" x14ac:dyDescent="0.25">
      <c r="A203">
        <f>IF($O203="","",INDEX(Master!$D$2:$D$1001,$O203))</f>
      </c>
      <c r="B203" s="236">
        <f>IF($O203="","",INDEX(Master!$B$2:$B$1001,$O203))</f>
      </c>
      <c r="C203">
        <f>IF($O203="","",INDEX(Master!$C$2:$C$1001,$O203))</f>
      </c>
      <c r="D203">
        <f>IF($O203="","",INDEX(Master!$A$2:$A$1001,$O203))</f>
      </c>
      <c r="E203">
        <f>IF($O203="","",INDEX(Master!$E$2:$E$1001,$O203))</f>
      </c>
      <c r="F203">
        <f>IF($O203="","",INDEX(Master!$F$2:$F$1001,$O203))</f>
      </c>
      <c r="G203">
        <f>IF($O203="","",INDEX(Master!$G$2:$G$1001,$O203))</f>
      </c>
      <c r="H203">
        <f>IF($O203="","",INDEX(Master!$H$2:$H$1001,$O203))</f>
      </c>
      <c r="I203">
        <f>IF($O203="","",INDEX(Master!$I$2:$I$1001,$O203))</f>
      </c>
      <c r="J203">
        <f>IF($O203="","",INDEX(Master!$J$2:$J$1001,$O203))</f>
      </c>
      <c r="K203">
        <f t="shared" si="6"/>
      </c>
      <c r="L203">
        <f>IF($O203="","",INDEX(Master!$K$2:$K$1001,$O203))</f>
      </c>
      <c r="M203">
        <f>IF($O203="","",INDEX(Master!$L$2:$L$1001,$O203))</f>
      </c>
      <c r="O203">
        <f t="array" ref="O203">IFERROR(SMALL(IF(Master!$A$2:$A$1001="SHREE RADHE",ROW(Master!$A$2:$A$1001)-ROW(Master!$A$2)+1),199),"")</f>
      </c>
      <c r="P203">
        <f t="shared" si="7"/>
      </c>
    </row>
    <row r="204" spans="1:16" x14ac:dyDescent="0.25">
      <c r="A204">
        <f>IF($O204="","",INDEX(Master!$D$2:$D$1001,$O204))</f>
      </c>
      <c r="B204" s="236">
        <f>IF($O204="","",INDEX(Master!$B$2:$B$1001,$O204))</f>
      </c>
      <c r="C204">
        <f>IF($O204="","",INDEX(Master!$C$2:$C$1001,$O204))</f>
      </c>
      <c r="D204">
        <f>IF($O204="","",INDEX(Master!$A$2:$A$1001,$O204))</f>
      </c>
      <c r="E204">
        <f>IF($O204="","",INDEX(Master!$E$2:$E$1001,$O204))</f>
      </c>
      <c r="F204">
        <f>IF($O204="","",INDEX(Master!$F$2:$F$1001,$O204))</f>
      </c>
      <c r="G204">
        <f>IF($O204="","",INDEX(Master!$G$2:$G$1001,$O204))</f>
      </c>
      <c r="H204">
        <f>IF($O204="","",INDEX(Master!$H$2:$H$1001,$O204))</f>
      </c>
      <c r="I204">
        <f>IF($O204="","",INDEX(Master!$I$2:$I$1001,$O204))</f>
      </c>
      <c r="J204">
        <f>IF($O204="","",INDEX(Master!$J$2:$J$1001,$O204))</f>
      </c>
      <c r="K204">
        <f t="shared" si="6"/>
      </c>
      <c r="L204">
        <f>IF($O204="","",INDEX(Master!$K$2:$K$1001,$O204))</f>
      </c>
      <c r="M204">
        <f>IF($O204="","",INDEX(Master!$L$2:$L$1001,$O204))</f>
      </c>
      <c r="O204">
        <f t="array" ref="O204">IFERROR(SMALL(IF(Master!$A$2:$A$1001="SHREE RADHE",ROW(Master!$A$2:$A$1001)-ROW(Master!$A$2)+1),200),"")</f>
      </c>
      <c r="P204">
        <f t="shared" si="7"/>
      </c>
    </row>
    <row r="205" spans="1:16" x14ac:dyDescent="0.25">
      <c r="A205">
        <f>IF($O205="","",INDEX(Master!$D$2:$D$1001,$O205))</f>
      </c>
      <c r="B205" s="236">
        <f>IF($O205="","",INDEX(Master!$B$2:$B$1001,$O205))</f>
      </c>
      <c r="C205">
        <f>IF($O205="","",INDEX(Master!$C$2:$C$1001,$O205))</f>
      </c>
      <c r="D205">
        <f>IF($O205="","",INDEX(Master!$A$2:$A$1001,$O205))</f>
      </c>
      <c r="E205">
        <f>IF($O205="","",INDEX(Master!$E$2:$E$1001,$O205))</f>
      </c>
      <c r="F205">
        <f>IF($O205="","",INDEX(Master!$F$2:$F$1001,$O205))</f>
      </c>
      <c r="G205">
        <f>IF($O205="","",INDEX(Master!$G$2:$G$1001,$O205))</f>
      </c>
      <c r="H205">
        <f>IF($O205="","",INDEX(Master!$H$2:$H$1001,$O205))</f>
      </c>
      <c r="I205">
        <f>IF($O205="","",INDEX(Master!$I$2:$I$1001,$O205))</f>
      </c>
      <c r="J205">
        <f>IF($O205="","",INDEX(Master!$J$2:$J$1001,$O205))</f>
      </c>
      <c r="K205">
        <f t="shared" si="6"/>
      </c>
      <c r="L205">
        <f>IF($O205="","",INDEX(Master!$K$2:$K$1001,$O205))</f>
      </c>
      <c r="M205">
        <f>IF($O205="","",INDEX(Master!$L$2:$L$1001,$O205))</f>
      </c>
      <c r="O205">
        <f t="array" ref="O205">IFERROR(SMALL(IF(Master!$A$2:$A$1001="SHREE RADHE",ROW(Master!$A$2:$A$1001)-ROW(Master!$A$2)+1),201),"")</f>
      </c>
      <c r="P205">
        <f t="shared" si="7"/>
      </c>
    </row>
    <row r="206" spans="1:16" x14ac:dyDescent="0.25">
      <c r="A206">
        <f>IF($O206="","",INDEX(Master!$D$2:$D$1001,$O206))</f>
      </c>
      <c r="B206" s="236">
        <f>IF($O206="","",INDEX(Master!$B$2:$B$1001,$O206))</f>
      </c>
      <c r="C206">
        <f>IF($O206="","",INDEX(Master!$C$2:$C$1001,$O206))</f>
      </c>
      <c r="D206">
        <f>IF($O206="","",INDEX(Master!$A$2:$A$1001,$O206))</f>
      </c>
      <c r="E206">
        <f>IF($O206="","",INDEX(Master!$E$2:$E$1001,$O206))</f>
      </c>
      <c r="F206">
        <f>IF($O206="","",INDEX(Master!$F$2:$F$1001,$O206))</f>
      </c>
      <c r="G206">
        <f>IF($O206="","",INDEX(Master!$G$2:$G$1001,$O206))</f>
      </c>
      <c r="H206">
        <f>IF($O206="","",INDEX(Master!$H$2:$H$1001,$O206))</f>
      </c>
      <c r="I206">
        <f>IF($O206="","",INDEX(Master!$I$2:$I$1001,$O206))</f>
      </c>
      <c r="J206">
        <f>IF($O206="","",INDEX(Master!$J$2:$J$1001,$O206))</f>
      </c>
      <c r="K206">
        <f t="shared" si="6"/>
      </c>
      <c r="L206">
        <f>IF($O206="","",INDEX(Master!$K$2:$K$1001,$O206))</f>
      </c>
      <c r="M206">
        <f>IF($O206="","",INDEX(Master!$L$2:$L$1001,$O206))</f>
      </c>
      <c r="O206">
        <f t="array" ref="O206">IFERROR(SMALL(IF(Master!$A$2:$A$1001="SHREE RADHE",ROW(Master!$A$2:$A$1001)-ROW(Master!$A$2)+1),202),"")</f>
      </c>
      <c r="P206">
        <f t="shared" si="7"/>
      </c>
    </row>
    <row r="207" spans="1:16" x14ac:dyDescent="0.25">
      <c r="A207">
        <f>IF($O207="","",INDEX(Master!$D$2:$D$1001,$O207))</f>
      </c>
      <c r="B207" s="236">
        <f>IF($O207="","",INDEX(Master!$B$2:$B$1001,$O207))</f>
      </c>
      <c r="C207">
        <f>IF($O207="","",INDEX(Master!$C$2:$C$1001,$O207))</f>
      </c>
      <c r="D207">
        <f>IF($O207="","",INDEX(Master!$A$2:$A$1001,$O207))</f>
      </c>
      <c r="E207">
        <f>IF($O207="","",INDEX(Master!$E$2:$E$1001,$O207))</f>
      </c>
      <c r="F207">
        <f>IF($O207="","",INDEX(Master!$F$2:$F$1001,$O207))</f>
      </c>
      <c r="G207">
        <f>IF($O207="","",INDEX(Master!$G$2:$G$1001,$O207))</f>
      </c>
      <c r="H207">
        <f>IF($O207="","",INDEX(Master!$H$2:$H$1001,$O207))</f>
      </c>
      <c r="I207">
        <f>IF($O207="","",INDEX(Master!$I$2:$I$1001,$O207))</f>
      </c>
      <c r="J207">
        <f>IF($O207="","",INDEX(Master!$J$2:$J$1001,$O207))</f>
      </c>
      <c r="K207">
        <f t="shared" si="6"/>
      </c>
      <c r="L207">
        <f>IF($O207="","",INDEX(Master!$K$2:$K$1001,$O207))</f>
      </c>
      <c r="M207">
        <f>IF($O207="","",INDEX(Master!$L$2:$L$1001,$O207))</f>
      </c>
      <c r="O207">
        <f t="array" ref="O207">IFERROR(SMALL(IF(Master!$A$2:$A$1001="SHREE RADHE",ROW(Master!$A$2:$A$1001)-ROW(Master!$A$2)+1),203),"")</f>
      </c>
      <c r="P207">
        <f t="shared" si="7"/>
      </c>
    </row>
    <row r="208" spans="1:16" x14ac:dyDescent="0.25">
      <c r="A208">
        <f>IF($O208="","",INDEX(Master!$D$2:$D$1001,$O208))</f>
      </c>
      <c r="B208" s="236">
        <f>IF($O208="","",INDEX(Master!$B$2:$B$1001,$O208))</f>
      </c>
      <c r="C208">
        <f>IF($O208="","",INDEX(Master!$C$2:$C$1001,$O208))</f>
      </c>
      <c r="D208">
        <f>IF($O208="","",INDEX(Master!$A$2:$A$1001,$O208))</f>
      </c>
      <c r="E208">
        <f>IF($O208="","",INDEX(Master!$E$2:$E$1001,$O208))</f>
      </c>
      <c r="F208">
        <f>IF($O208="","",INDEX(Master!$F$2:$F$1001,$O208))</f>
      </c>
      <c r="G208">
        <f>IF($O208="","",INDEX(Master!$G$2:$G$1001,$O208))</f>
      </c>
      <c r="H208">
        <f>IF($O208="","",INDEX(Master!$H$2:$H$1001,$O208))</f>
      </c>
      <c r="I208">
        <f>IF($O208="","",INDEX(Master!$I$2:$I$1001,$O208))</f>
      </c>
      <c r="J208">
        <f>IF($O208="","",INDEX(Master!$J$2:$J$1001,$O208))</f>
      </c>
      <c r="K208">
        <f t="shared" si="6"/>
      </c>
      <c r="L208">
        <f>IF($O208="","",INDEX(Master!$K$2:$K$1001,$O208))</f>
      </c>
      <c r="M208">
        <f>IF($O208="","",INDEX(Master!$L$2:$L$1001,$O208))</f>
      </c>
      <c r="O208">
        <f t="array" ref="O208">IFERROR(SMALL(IF(Master!$A$2:$A$1001="SHREE RADHE",ROW(Master!$A$2:$A$1001)-ROW(Master!$A$2)+1),204),"")</f>
      </c>
      <c r="P208">
        <f t="shared" si="7"/>
      </c>
    </row>
    <row r="209" spans="1:16" x14ac:dyDescent="0.25">
      <c r="A209">
        <f>IF($O209="","",INDEX(Master!$D$2:$D$1001,$O209))</f>
      </c>
      <c r="B209" s="236">
        <f>IF($O209="","",INDEX(Master!$B$2:$B$1001,$O209))</f>
      </c>
      <c r="C209">
        <f>IF($O209="","",INDEX(Master!$C$2:$C$1001,$O209))</f>
      </c>
      <c r="D209">
        <f>IF($O209="","",INDEX(Master!$A$2:$A$1001,$O209))</f>
      </c>
      <c r="E209">
        <f>IF($O209="","",INDEX(Master!$E$2:$E$1001,$O209))</f>
      </c>
      <c r="F209">
        <f>IF($O209="","",INDEX(Master!$F$2:$F$1001,$O209))</f>
      </c>
      <c r="G209">
        <f>IF($O209="","",INDEX(Master!$G$2:$G$1001,$O209))</f>
      </c>
      <c r="H209">
        <f>IF($O209="","",INDEX(Master!$H$2:$H$1001,$O209))</f>
      </c>
      <c r="I209">
        <f>IF($O209="","",INDEX(Master!$I$2:$I$1001,$O209))</f>
      </c>
      <c r="J209">
        <f>IF($O209="","",INDEX(Master!$J$2:$J$1001,$O209))</f>
      </c>
      <c r="K209">
        <f t="shared" si="6"/>
      </c>
      <c r="L209">
        <f>IF($O209="","",INDEX(Master!$K$2:$K$1001,$O209))</f>
      </c>
      <c r="M209">
        <f>IF($O209="","",INDEX(Master!$L$2:$L$1001,$O209))</f>
      </c>
      <c r="O209">
        <f t="array" ref="O209">IFERROR(SMALL(IF(Master!$A$2:$A$1001="SHREE RADHE",ROW(Master!$A$2:$A$1001)-ROW(Master!$A$2)+1),205),"")</f>
      </c>
      <c r="P209">
        <f t="shared" si="7"/>
      </c>
    </row>
    <row r="210" spans="1:16" x14ac:dyDescent="0.25">
      <c r="A210">
        <f>IF($O210="","",INDEX(Master!$D$2:$D$1001,$O210))</f>
      </c>
      <c r="B210" s="236">
        <f>IF($O210="","",INDEX(Master!$B$2:$B$1001,$O210))</f>
      </c>
      <c r="C210">
        <f>IF($O210="","",INDEX(Master!$C$2:$C$1001,$O210))</f>
      </c>
      <c r="D210">
        <f>IF($O210="","",INDEX(Master!$A$2:$A$1001,$O210))</f>
      </c>
      <c r="E210">
        <f>IF($O210="","",INDEX(Master!$E$2:$E$1001,$O210))</f>
      </c>
      <c r="F210">
        <f>IF($O210="","",INDEX(Master!$F$2:$F$1001,$O210))</f>
      </c>
      <c r="G210">
        <f>IF($O210="","",INDEX(Master!$G$2:$G$1001,$O210))</f>
      </c>
      <c r="H210">
        <f>IF($O210="","",INDEX(Master!$H$2:$H$1001,$O210))</f>
      </c>
      <c r="I210">
        <f>IF($O210="","",INDEX(Master!$I$2:$I$1001,$O210))</f>
      </c>
      <c r="J210">
        <f>IF($O210="","",INDEX(Master!$J$2:$J$1001,$O210))</f>
      </c>
      <c r="K210">
        <f t="shared" si="6"/>
      </c>
      <c r="L210">
        <f>IF($O210="","",INDEX(Master!$K$2:$K$1001,$O210))</f>
      </c>
      <c r="M210">
        <f>IF($O210="","",INDEX(Master!$L$2:$L$1001,$O210))</f>
      </c>
      <c r="O210">
        <f t="array" ref="O210">IFERROR(SMALL(IF(Master!$A$2:$A$1001="SHREE RADHE",ROW(Master!$A$2:$A$1001)-ROW(Master!$A$2)+1),206),"")</f>
      </c>
      <c r="P210">
        <f t="shared" si="7"/>
      </c>
    </row>
    <row r="211" spans="1:16" x14ac:dyDescent="0.25">
      <c r="A211">
        <f>IF($O211="","",INDEX(Master!$D$2:$D$1001,$O211))</f>
      </c>
      <c r="B211" s="236">
        <f>IF($O211="","",INDEX(Master!$B$2:$B$1001,$O211))</f>
      </c>
      <c r="C211">
        <f>IF($O211="","",INDEX(Master!$C$2:$C$1001,$O211))</f>
      </c>
      <c r="D211">
        <f>IF($O211="","",INDEX(Master!$A$2:$A$1001,$O211))</f>
      </c>
      <c r="E211">
        <f>IF($O211="","",INDEX(Master!$E$2:$E$1001,$O211))</f>
      </c>
      <c r="F211">
        <f>IF($O211="","",INDEX(Master!$F$2:$F$1001,$O211))</f>
      </c>
      <c r="G211">
        <f>IF($O211="","",INDEX(Master!$G$2:$G$1001,$O211))</f>
      </c>
      <c r="H211">
        <f>IF($O211="","",INDEX(Master!$H$2:$H$1001,$O211))</f>
      </c>
      <c r="I211">
        <f>IF($O211="","",INDEX(Master!$I$2:$I$1001,$O211))</f>
      </c>
      <c r="J211">
        <f>IF($O211="","",INDEX(Master!$J$2:$J$1001,$O211))</f>
      </c>
      <c r="K211">
        <f t="shared" si="6"/>
      </c>
      <c r="L211">
        <f>IF($O211="","",INDEX(Master!$K$2:$K$1001,$O211))</f>
      </c>
      <c r="M211">
        <f>IF($O211="","",INDEX(Master!$L$2:$L$1001,$O211))</f>
      </c>
      <c r="O211">
        <f t="array" ref="O211">IFERROR(SMALL(IF(Master!$A$2:$A$1001="SHREE RADHE",ROW(Master!$A$2:$A$1001)-ROW(Master!$A$2)+1),207),"")</f>
      </c>
      <c r="P211">
        <f t="shared" si="7"/>
      </c>
    </row>
    <row r="212" spans="1:16" x14ac:dyDescent="0.25">
      <c r="A212">
        <f>IF($O212="","",INDEX(Master!$D$2:$D$1001,$O212))</f>
      </c>
      <c r="B212" s="236">
        <f>IF($O212="","",INDEX(Master!$B$2:$B$1001,$O212))</f>
      </c>
      <c r="C212">
        <f>IF($O212="","",INDEX(Master!$C$2:$C$1001,$O212))</f>
      </c>
      <c r="D212">
        <f>IF($O212="","",INDEX(Master!$A$2:$A$1001,$O212))</f>
      </c>
      <c r="E212">
        <f>IF($O212="","",INDEX(Master!$E$2:$E$1001,$O212))</f>
      </c>
      <c r="F212">
        <f>IF($O212="","",INDEX(Master!$F$2:$F$1001,$O212))</f>
      </c>
      <c r="G212">
        <f>IF($O212="","",INDEX(Master!$G$2:$G$1001,$O212))</f>
      </c>
      <c r="H212">
        <f>IF($O212="","",INDEX(Master!$H$2:$H$1001,$O212))</f>
      </c>
      <c r="I212">
        <f>IF($O212="","",INDEX(Master!$I$2:$I$1001,$O212))</f>
      </c>
      <c r="J212">
        <f>IF($O212="","",INDEX(Master!$J$2:$J$1001,$O212))</f>
      </c>
      <c r="K212">
        <f t="shared" si="6"/>
      </c>
      <c r="L212">
        <f>IF($O212="","",INDEX(Master!$K$2:$K$1001,$O212))</f>
      </c>
      <c r="M212">
        <f>IF($O212="","",INDEX(Master!$L$2:$L$1001,$O212))</f>
      </c>
      <c r="O212">
        <f t="array" ref="O212">IFERROR(SMALL(IF(Master!$A$2:$A$1001="SHREE RADHE",ROW(Master!$A$2:$A$1001)-ROW(Master!$A$2)+1),208),"")</f>
      </c>
      <c r="P212">
        <f t="shared" si="7"/>
      </c>
    </row>
    <row r="213" spans="1:16" x14ac:dyDescent="0.25">
      <c r="A213">
        <f>IF($O213="","",INDEX(Master!$D$2:$D$1001,$O213))</f>
      </c>
      <c r="B213" s="236">
        <f>IF($O213="","",INDEX(Master!$B$2:$B$1001,$O213))</f>
      </c>
      <c r="C213">
        <f>IF($O213="","",INDEX(Master!$C$2:$C$1001,$O213))</f>
      </c>
      <c r="D213">
        <f>IF($O213="","",INDEX(Master!$A$2:$A$1001,$O213))</f>
      </c>
      <c r="E213">
        <f>IF($O213="","",INDEX(Master!$E$2:$E$1001,$O213))</f>
      </c>
      <c r="F213">
        <f>IF($O213="","",INDEX(Master!$F$2:$F$1001,$O213))</f>
      </c>
      <c r="G213">
        <f>IF($O213="","",INDEX(Master!$G$2:$G$1001,$O213))</f>
      </c>
      <c r="H213">
        <f>IF($O213="","",INDEX(Master!$H$2:$H$1001,$O213))</f>
      </c>
      <c r="I213">
        <f>IF($O213="","",INDEX(Master!$I$2:$I$1001,$O213))</f>
      </c>
      <c r="J213">
        <f>IF($O213="","",INDEX(Master!$J$2:$J$1001,$O213))</f>
      </c>
      <c r="K213">
        <f t="shared" si="6"/>
      </c>
      <c r="L213">
        <f>IF($O213="","",INDEX(Master!$K$2:$K$1001,$O213))</f>
      </c>
      <c r="M213">
        <f>IF($O213="","",INDEX(Master!$L$2:$L$1001,$O213))</f>
      </c>
      <c r="O213">
        <f t="array" ref="O213">IFERROR(SMALL(IF(Master!$A$2:$A$1001="SHREE RADHE",ROW(Master!$A$2:$A$1001)-ROW(Master!$A$2)+1),209),"")</f>
      </c>
      <c r="P213">
        <f t="shared" si="7"/>
      </c>
    </row>
    <row r="214" spans="1:16" x14ac:dyDescent="0.25">
      <c r="A214">
        <f>IF($O214="","",INDEX(Master!$D$2:$D$1001,$O214))</f>
      </c>
      <c r="B214" s="236">
        <f>IF($O214="","",INDEX(Master!$B$2:$B$1001,$O214))</f>
      </c>
      <c r="C214">
        <f>IF($O214="","",INDEX(Master!$C$2:$C$1001,$O214))</f>
      </c>
      <c r="D214">
        <f>IF($O214="","",INDEX(Master!$A$2:$A$1001,$O214))</f>
      </c>
      <c r="E214">
        <f>IF($O214="","",INDEX(Master!$E$2:$E$1001,$O214))</f>
      </c>
      <c r="F214">
        <f>IF($O214="","",INDEX(Master!$F$2:$F$1001,$O214))</f>
      </c>
      <c r="G214">
        <f>IF($O214="","",INDEX(Master!$G$2:$G$1001,$O214))</f>
      </c>
      <c r="H214">
        <f>IF($O214="","",INDEX(Master!$H$2:$H$1001,$O214))</f>
      </c>
      <c r="I214">
        <f>IF($O214="","",INDEX(Master!$I$2:$I$1001,$O214))</f>
      </c>
      <c r="J214">
        <f>IF($O214="","",INDEX(Master!$J$2:$J$1001,$O214))</f>
      </c>
      <c r="K214">
        <f t="shared" si="6"/>
      </c>
      <c r="L214">
        <f>IF($O214="","",INDEX(Master!$K$2:$K$1001,$O214))</f>
      </c>
      <c r="M214">
        <f>IF($O214="","",INDEX(Master!$L$2:$L$1001,$O214))</f>
      </c>
      <c r="O214">
        <f t="array" ref="O214">IFERROR(SMALL(IF(Master!$A$2:$A$1001="SHREE RADHE",ROW(Master!$A$2:$A$1001)-ROW(Master!$A$2)+1),210),"")</f>
      </c>
      <c r="P214">
        <f t="shared" si="7"/>
      </c>
    </row>
    <row r="215" spans="1:16" x14ac:dyDescent="0.25">
      <c r="A215">
        <f>IF($O215="","",INDEX(Master!$D$2:$D$1001,$O215))</f>
      </c>
      <c r="B215" s="236">
        <f>IF($O215="","",INDEX(Master!$B$2:$B$1001,$O215))</f>
      </c>
      <c r="C215">
        <f>IF($O215="","",INDEX(Master!$C$2:$C$1001,$O215))</f>
      </c>
      <c r="D215">
        <f>IF($O215="","",INDEX(Master!$A$2:$A$1001,$O215))</f>
      </c>
      <c r="E215">
        <f>IF($O215="","",INDEX(Master!$E$2:$E$1001,$O215))</f>
      </c>
      <c r="F215">
        <f>IF($O215="","",INDEX(Master!$F$2:$F$1001,$O215))</f>
      </c>
      <c r="G215">
        <f>IF($O215="","",INDEX(Master!$G$2:$G$1001,$O215))</f>
      </c>
      <c r="H215">
        <f>IF($O215="","",INDEX(Master!$H$2:$H$1001,$O215))</f>
      </c>
      <c r="I215">
        <f>IF($O215="","",INDEX(Master!$I$2:$I$1001,$O215))</f>
      </c>
      <c r="J215">
        <f>IF($O215="","",INDEX(Master!$J$2:$J$1001,$O215))</f>
      </c>
      <c r="K215">
        <f t="shared" si="6"/>
      </c>
      <c r="L215">
        <f>IF($O215="","",INDEX(Master!$K$2:$K$1001,$O215))</f>
      </c>
      <c r="M215">
        <f>IF($O215="","",INDEX(Master!$L$2:$L$1001,$O215))</f>
      </c>
      <c r="O215">
        <f t="array" ref="O215">IFERROR(SMALL(IF(Master!$A$2:$A$1001="SHREE RADHE",ROW(Master!$A$2:$A$1001)-ROW(Master!$A$2)+1),211),"")</f>
      </c>
      <c r="P215">
        <f t="shared" si="7"/>
      </c>
    </row>
    <row r="216" spans="1:16" x14ac:dyDescent="0.25">
      <c r="A216">
        <f>IF($O216="","",INDEX(Master!$D$2:$D$1001,$O216))</f>
      </c>
      <c r="B216" s="236">
        <f>IF($O216="","",INDEX(Master!$B$2:$B$1001,$O216))</f>
      </c>
      <c r="C216">
        <f>IF($O216="","",INDEX(Master!$C$2:$C$1001,$O216))</f>
      </c>
      <c r="D216">
        <f>IF($O216="","",INDEX(Master!$A$2:$A$1001,$O216))</f>
      </c>
      <c r="E216">
        <f>IF($O216="","",INDEX(Master!$E$2:$E$1001,$O216))</f>
      </c>
      <c r="F216">
        <f>IF($O216="","",INDEX(Master!$F$2:$F$1001,$O216))</f>
      </c>
      <c r="G216">
        <f>IF($O216="","",INDEX(Master!$G$2:$G$1001,$O216))</f>
      </c>
      <c r="H216">
        <f>IF($O216="","",INDEX(Master!$H$2:$H$1001,$O216))</f>
      </c>
      <c r="I216">
        <f>IF($O216="","",INDEX(Master!$I$2:$I$1001,$O216))</f>
      </c>
      <c r="J216">
        <f>IF($O216="","",INDEX(Master!$J$2:$J$1001,$O216))</f>
      </c>
      <c r="K216">
        <f t="shared" si="6"/>
      </c>
      <c r="L216">
        <f>IF($O216="","",INDEX(Master!$K$2:$K$1001,$O216))</f>
      </c>
      <c r="M216">
        <f>IF($O216="","",INDEX(Master!$L$2:$L$1001,$O216))</f>
      </c>
      <c r="O216">
        <f t="array" ref="O216">IFERROR(SMALL(IF(Master!$A$2:$A$1001="SHREE RADHE",ROW(Master!$A$2:$A$1001)-ROW(Master!$A$2)+1),212),"")</f>
      </c>
      <c r="P216">
        <f t="shared" si="7"/>
      </c>
    </row>
    <row r="217" spans="1:16" x14ac:dyDescent="0.25">
      <c r="A217">
        <f>IF($O217="","",INDEX(Master!$D$2:$D$1001,$O217))</f>
      </c>
      <c r="B217" s="236">
        <f>IF($O217="","",INDEX(Master!$B$2:$B$1001,$O217))</f>
      </c>
      <c r="C217">
        <f>IF($O217="","",INDEX(Master!$C$2:$C$1001,$O217))</f>
      </c>
      <c r="D217">
        <f>IF($O217="","",INDEX(Master!$A$2:$A$1001,$O217))</f>
      </c>
      <c r="E217">
        <f>IF($O217="","",INDEX(Master!$E$2:$E$1001,$O217))</f>
      </c>
      <c r="F217">
        <f>IF($O217="","",INDEX(Master!$F$2:$F$1001,$O217))</f>
      </c>
      <c r="G217">
        <f>IF($O217="","",INDEX(Master!$G$2:$G$1001,$O217))</f>
      </c>
      <c r="H217">
        <f>IF($O217="","",INDEX(Master!$H$2:$H$1001,$O217))</f>
      </c>
      <c r="I217">
        <f>IF($O217="","",INDEX(Master!$I$2:$I$1001,$O217))</f>
      </c>
      <c r="J217">
        <f>IF($O217="","",INDEX(Master!$J$2:$J$1001,$O217))</f>
      </c>
      <c r="K217">
        <f t="shared" si="6"/>
      </c>
      <c r="L217">
        <f>IF($O217="","",INDEX(Master!$K$2:$K$1001,$O217))</f>
      </c>
      <c r="M217">
        <f>IF($O217="","",INDEX(Master!$L$2:$L$1001,$O217))</f>
      </c>
      <c r="O217">
        <f t="array" ref="O217">IFERROR(SMALL(IF(Master!$A$2:$A$1001="SHREE RADHE",ROW(Master!$A$2:$A$1001)-ROW(Master!$A$2)+1),213),"")</f>
      </c>
      <c r="P217">
        <f t="shared" si="7"/>
      </c>
    </row>
    <row r="218" spans="1:16" x14ac:dyDescent="0.25">
      <c r="A218">
        <f>IF($O218="","",INDEX(Master!$D$2:$D$1001,$O218))</f>
      </c>
      <c r="B218" s="236">
        <f>IF($O218="","",INDEX(Master!$B$2:$B$1001,$O218))</f>
      </c>
      <c r="C218">
        <f>IF($O218="","",INDEX(Master!$C$2:$C$1001,$O218))</f>
      </c>
      <c r="D218">
        <f>IF($O218="","",INDEX(Master!$A$2:$A$1001,$O218))</f>
      </c>
      <c r="E218">
        <f>IF($O218="","",INDEX(Master!$E$2:$E$1001,$O218))</f>
      </c>
      <c r="F218">
        <f>IF($O218="","",INDEX(Master!$F$2:$F$1001,$O218))</f>
      </c>
      <c r="G218">
        <f>IF($O218="","",INDEX(Master!$G$2:$G$1001,$O218))</f>
      </c>
      <c r="H218">
        <f>IF($O218="","",INDEX(Master!$H$2:$H$1001,$O218))</f>
      </c>
      <c r="I218">
        <f>IF($O218="","",INDEX(Master!$I$2:$I$1001,$O218))</f>
      </c>
      <c r="J218">
        <f>IF($O218="","",INDEX(Master!$J$2:$J$1001,$O218))</f>
      </c>
      <c r="K218">
        <f t="shared" si="6"/>
      </c>
      <c r="L218">
        <f>IF($O218="","",INDEX(Master!$K$2:$K$1001,$O218))</f>
      </c>
      <c r="M218">
        <f>IF($O218="","",INDEX(Master!$L$2:$L$1001,$O218))</f>
      </c>
      <c r="O218">
        <f t="array" ref="O218">IFERROR(SMALL(IF(Master!$A$2:$A$1001="SHREE RADHE",ROW(Master!$A$2:$A$1001)-ROW(Master!$A$2)+1),214),"")</f>
      </c>
      <c r="P218">
        <f t="shared" si="7"/>
      </c>
    </row>
    <row r="219" spans="1:16" x14ac:dyDescent="0.25">
      <c r="A219">
        <f>IF($O219="","",INDEX(Master!$D$2:$D$1001,$O219))</f>
      </c>
      <c r="B219" s="236">
        <f>IF($O219="","",INDEX(Master!$B$2:$B$1001,$O219))</f>
      </c>
      <c r="C219">
        <f>IF($O219="","",INDEX(Master!$C$2:$C$1001,$O219))</f>
      </c>
      <c r="D219">
        <f>IF($O219="","",INDEX(Master!$A$2:$A$1001,$O219))</f>
      </c>
      <c r="E219">
        <f>IF($O219="","",INDEX(Master!$E$2:$E$1001,$O219))</f>
      </c>
      <c r="F219">
        <f>IF($O219="","",INDEX(Master!$F$2:$F$1001,$O219))</f>
      </c>
      <c r="G219">
        <f>IF($O219="","",INDEX(Master!$G$2:$G$1001,$O219))</f>
      </c>
      <c r="H219">
        <f>IF($O219="","",INDEX(Master!$H$2:$H$1001,$O219))</f>
      </c>
      <c r="I219">
        <f>IF($O219="","",INDEX(Master!$I$2:$I$1001,$O219))</f>
      </c>
      <c r="J219">
        <f>IF($O219="","",INDEX(Master!$J$2:$J$1001,$O219))</f>
      </c>
      <c r="K219">
        <f t="shared" si="6"/>
      </c>
      <c r="L219">
        <f>IF($O219="","",INDEX(Master!$K$2:$K$1001,$O219))</f>
      </c>
      <c r="M219">
        <f>IF($O219="","",INDEX(Master!$L$2:$L$1001,$O219))</f>
      </c>
      <c r="O219">
        <f t="array" ref="O219">IFERROR(SMALL(IF(Master!$A$2:$A$1001="SHREE RADHE",ROW(Master!$A$2:$A$1001)-ROW(Master!$A$2)+1),215),"")</f>
      </c>
      <c r="P219">
        <f t="shared" si="7"/>
      </c>
    </row>
    <row r="220" spans="1:16" x14ac:dyDescent="0.25">
      <c r="A220">
        <f>IF($O220="","",INDEX(Master!$D$2:$D$1001,$O220))</f>
      </c>
      <c r="B220" s="236">
        <f>IF($O220="","",INDEX(Master!$B$2:$B$1001,$O220))</f>
      </c>
      <c r="C220">
        <f>IF($O220="","",INDEX(Master!$C$2:$C$1001,$O220))</f>
      </c>
      <c r="D220">
        <f>IF($O220="","",INDEX(Master!$A$2:$A$1001,$O220))</f>
      </c>
      <c r="E220">
        <f>IF($O220="","",INDEX(Master!$E$2:$E$1001,$O220))</f>
      </c>
      <c r="F220">
        <f>IF($O220="","",INDEX(Master!$F$2:$F$1001,$O220))</f>
      </c>
      <c r="G220">
        <f>IF($O220="","",INDEX(Master!$G$2:$G$1001,$O220))</f>
      </c>
      <c r="H220">
        <f>IF($O220="","",INDEX(Master!$H$2:$H$1001,$O220))</f>
      </c>
      <c r="I220">
        <f>IF($O220="","",INDEX(Master!$I$2:$I$1001,$O220))</f>
      </c>
      <c r="J220">
        <f>IF($O220="","",INDEX(Master!$J$2:$J$1001,$O220))</f>
      </c>
      <c r="K220">
        <f t="shared" si="6"/>
      </c>
      <c r="L220">
        <f>IF($O220="","",INDEX(Master!$K$2:$K$1001,$O220))</f>
      </c>
      <c r="M220">
        <f>IF($O220="","",INDEX(Master!$L$2:$L$1001,$O220))</f>
      </c>
      <c r="O220">
        <f t="array" ref="O220">IFERROR(SMALL(IF(Master!$A$2:$A$1001="SHREE RADHE",ROW(Master!$A$2:$A$1001)-ROW(Master!$A$2)+1),216),"")</f>
      </c>
      <c r="P220">
        <f t="shared" si="7"/>
      </c>
    </row>
    <row r="221" spans="1:16" x14ac:dyDescent="0.25">
      <c r="A221">
        <f>IF($O221="","",INDEX(Master!$D$2:$D$1001,$O221))</f>
      </c>
      <c r="B221" s="236">
        <f>IF($O221="","",INDEX(Master!$B$2:$B$1001,$O221))</f>
      </c>
      <c r="C221">
        <f>IF($O221="","",INDEX(Master!$C$2:$C$1001,$O221))</f>
      </c>
      <c r="D221">
        <f>IF($O221="","",INDEX(Master!$A$2:$A$1001,$O221))</f>
      </c>
      <c r="E221">
        <f>IF($O221="","",INDEX(Master!$E$2:$E$1001,$O221))</f>
      </c>
      <c r="F221">
        <f>IF($O221="","",INDEX(Master!$F$2:$F$1001,$O221))</f>
      </c>
      <c r="G221">
        <f>IF($O221="","",INDEX(Master!$G$2:$G$1001,$O221))</f>
      </c>
      <c r="H221">
        <f>IF($O221="","",INDEX(Master!$H$2:$H$1001,$O221))</f>
      </c>
      <c r="I221">
        <f>IF($O221="","",INDEX(Master!$I$2:$I$1001,$O221))</f>
      </c>
      <c r="J221">
        <f>IF($O221="","",INDEX(Master!$J$2:$J$1001,$O221))</f>
      </c>
      <c r="K221">
        <f t="shared" si="6"/>
      </c>
      <c r="L221">
        <f>IF($O221="","",INDEX(Master!$K$2:$K$1001,$O221))</f>
      </c>
      <c r="M221">
        <f>IF($O221="","",INDEX(Master!$L$2:$L$1001,$O221))</f>
      </c>
      <c r="O221">
        <f t="array" ref="O221">IFERROR(SMALL(IF(Master!$A$2:$A$1001="SHREE RADHE",ROW(Master!$A$2:$A$1001)-ROW(Master!$A$2)+1),217),"")</f>
      </c>
      <c r="P221">
        <f t="shared" si="7"/>
      </c>
    </row>
    <row r="222" spans="1:16" x14ac:dyDescent="0.25">
      <c r="A222">
        <f>IF($O222="","",INDEX(Master!$D$2:$D$1001,$O222))</f>
      </c>
      <c r="B222" s="236">
        <f>IF($O222="","",INDEX(Master!$B$2:$B$1001,$O222))</f>
      </c>
      <c r="C222">
        <f>IF($O222="","",INDEX(Master!$C$2:$C$1001,$O222))</f>
      </c>
      <c r="D222">
        <f>IF($O222="","",INDEX(Master!$A$2:$A$1001,$O222))</f>
      </c>
      <c r="E222">
        <f>IF($O222="","",INDEX(Master!$E$2:$E$1001,$O222))</f>
      </c>
      <c r="F222">
        <f>IF($O222="","",INDEX(Master!$F$2:$F$1001,$O222))</f>
      </c>
      <c r="G222">
        <f>IF($O222="","",INDEX(Master!$G$2:$G$1001,$O222))</f>
      </c>
      <c r="H222">
        <f>IF($O222="","",INDEX(Master!$H$2:$H$1001,$O222))</f>
      </c>
      <c r="I222">
        <f>IF($O222="","",INDEX(Master!$I$2:$I$1001,$O222))</f>
      </c>
      <c r="J222">
        <f>IF($O222="","",INDEX(Master!$J$2:$J$1001,$O222))</f>
      </c>
      <c r="K222">
        <f t="shared" si="6"/>
      </c>
      <c r="L222">
        <f>IF($O222="","",INDEX(Master!$K$2:$K$1001,$O222))</f>
      </c>
      <c r="M222">
        <f>IF($O222="","",INDEX(Master!$L$2:$L$1001,$O222))</f>
      </c>
      <c r="O222">
        <f t="array" ref="O222">IFERROR(SMALL(IF(Master!$A$2:$A$1001="SHREE RADHE",ROW(Master!$A$2:$A$1001)-ROW(Master!$A$2)+1),218),"")</f>
      </c>
      <c r="P222">
        <f t="shared" si="7"/>
      </c>
    </row>
    <row r="223" spans="1:16" x14ac:dyDescent="0.25">
      <c r="A223">
        <f>IF($O223="","",INDEX(Master!$D$2:$D$1001,$O223))</f>
      </c>
      <c r="B223" s="236">
        <f>IF($O223="","",INDEX(Master!$B$2:$B$1001,$O223))</f>
      </c>
      <c r="C223">
        <f>IF($O223="","",INDEX(Master!$C$2:$C$1001,$O223))</f>
      </c>
      <c r="D223">
        <f>IF($O223="","",INDEX(Master!$A$2:$A$1001,$O223))</f>
      </c>
      <c r="E223">
        <f>IF($O223="","",INDEX(Master!$E$2:$E$1001,$O223))</f>
      </c>
      <c r="F223">
        <f>IF($O223="","",INDEX(Master!$F$2:$F$1001,$O223))</f>
      </c>
      <c r="G223">
        <f>IF($O223="","",INDEX(Master!$G$2:$G$1001,$O223))</f>
      </c>
      <c r="H223">
        <f>IF($O223="","",INDEX(Master!$H$2:$H$1001,$O223))</f>
      </c>
      <c r="I223">
        <f>IF($O223="","",INDEX(Master!$I$2:$I$1001,$O223))</f>
      </c>
      <c r="J223">
        <f>IF($O223="","",INDEX(Master!$J$2:$J$1001,$O223))</f>
      </c>
      <c r="K223">
        <f t="shared" si="6"/>
      </c>
      <c r="L223">
        <f>IF($O223="","",INDEX(Master!$K$2:$K$1001,$O223))</f>
      </c>
      <c r="M223">
        <f>IF($O223="","",INDEX(Master!$L$2:$L$1001,$O223))</f>
      </c>
      <c r="O223">
        <f t="array" ref="O223">IFERROR(SMALL(IF(Master!$A$2:$A$1001="SHREE RADHE",ROW(Master!$A$2:$A$1001)-ROW(Master!$A$2)+1),219),"")</f>
      </c>
      <c r="P223">
        <f t="shared" si="7"/>
      </c>
    </row>
    <row r="224" spans="1:16" x14ac:dyDescent="0.25">
      <c r="A224">
        <f>IF($O224="","",INDEX(Master!$D$2:$D$1001,$O224))</f>
      </c>
      <c r="B224" s="236">
        <f>IF($O224="","",INDEX(Master!$B$2:$B$1001,$O224))</f>
      </c>
      <c r="C224">
        <f>IF($O224="","",INDEX(Master!$C$2:$C$1001,$O224))</f>
      </c>
      <c r="D224">
        <f>IF($O224="","",INDEX(Master!$A$2:$A$1001,$O224))</f>
      </c>
      <c r="E224">
        <f>IF($O224="","",INDEX(Master!$E$2:$E$1001,$O224))</f>
      </c>
      <c r="F224">
        <f>IF($O224="","",INDEX(Master!$F$2:$F$1001,$O224))</f>
      </c>
      <c r="G224">
        <f>IF($O224="","",INDEX(Master!$G$2:$G$1001,$O224))</f>
      </c>
      <c r="H224">
        <f>IF($O224="","",INDEX(Master!$H$2:$H$1001,$O224))</f>
      </c>
      <c r="I224">
        <f>IF($O224="","",INDEX(Master!$I$2:$I$1001,$O224))</f>
      </c>
      <c r="J224">
        <f>IF($O224="","",INDEX(Master!$J$2:$J$1001,$O224))</f>
      </c>
      <c r="K224">
        <f t="shared" si="6"/>
      </c>
      <c r="L224">
        <f>IF($O224="","",INDEX(Master!$K$2:$K$1001,$O224))</f>
      </c>
      <c r="M224">
        <f>IF($O224="","",INDEX(Master!$L$2:$L$1001,$O224))</f>
      </c>
      <c r="O224">
        <f t="array" ref="O224">IFERROR(SMALL(IF(Master!$A$2:$A$1001="SHREE RADHE",ROW(Master!$A$2:$A$1001)-ROW(Master!$A$2)+1),220),"")</f>
      </c>
      <c r="P224">
        <f t="shared" si="7"/>
      </c>
    </row>
    <row r="225" spans="1:16" x14ac:dyDescent="0.25">
      <c r="A225">
        <f>IF($O225="","",INDEX(Master!$D$2:$D$1001,$O225))</f>
      </c>
      <c r="B225" s="236">
        <f>IF($O225="","",INDEX(Master!$B$2:$B$1001,$O225))</f>
      </c>
      <c r="C225">
        <f>IF($O225="","",INDEX(Master!$C$2:$C$1001,$O225))</f>
      </c>
      <c r="D225">
        <f>IF($O225="","",INDEX(Master!$A$2:$A$1001,$O225))</f>
      </c>
      <c r="E225">
        <f>IF($O225="","",INDEX(Master!$E$2:$E$1001,$O225))</f>
      </c>
      <c r="F225">
        <f>IF($O225="","",INDEX(Master!$F$2:$F$1001,$O225))</f>
      </c>
      <c r="G225">
        <f>IF($O225="","",INDEX(Master!$G$2:$G$1001,$O225))</f>
      </c>
      <c r="H225">
        <f>IF($O225="","",INDEX(Master!$H$2:$H$1001,$O225))</f>
      </c>
      <c r="I225">
        <f>IF($O225="","",INDEX(Master!$I$2:$I$1001,$O225))</f>
      </c>
      <c r="J225">
        <f>IF($O225="","",INDEX(Master!$J$2:$J$1001,$O225))</f>
      </c>
      <c r="K225">
        <f t="shared" si="6"/>
      </c>
      <c r="L225">
        <f>IF($O225="","",INDEX(Master!$K$2:$K$1001,$O225))</f>
      </c>
      <c r="M225">
        <f>IF($O225="","",INDEX(Master!$L$2:$L$1001,$O225))</f>
      </c>
      <c r="O225">
        <f t="array" ref="O225">IFERROR(SMALL(IF(Master!$A$2:$A$1001="SHREE RADHE",ROW(Master!$A$2:$A$1001)-ROW(Master!$A$2)+1),221),"")</f>
      </c>
      <c r="P225">
        <f t="shared" si="7"/>
      </c>
    </row>
    <row r="226" spans="1:16" x14ac:dyDescent="0.25">
      <c r="A226">
        <f>IF($O226="","",INDEX(Master!$D$2:$D$1001,$O226))</f>
      </c>
      <c r="B226" s="236">
        <f>IF($O226="","",INDEX(Master!$B$2:$B$1001,$O226))</f>
      </c>
      <c r="C226">
        <f>IF($O226="","",INDEX(Master!$C$2:$C$1001,$O226))</f>
      </c>
      <c r="D226">
        <f>IF($O226="","",INDEX(Master!$A$2:$A$1001,$O226))</f>
      </c>
      <c r="E226">
        <f>IF($O226="","",INDEX(Master!$E$2:$E$1001,$O226))</f>
      </c>
      <c r="F226">
        <f>IF($O226="","",INDEX(Master!$F$2:$F$1001,$O226))</f>
      </c>
      <c r="G226">
        <f>IF($O226="","",INDEX(Master!$G$2:$G$1001,$O226))</f>
      </c>
      <c r="H226">
        <f>IF($O226="","",INDEX(Master!$H$2:$H$1001,$O226))</f>
      </c>
      <c r="I226">
        <f>IF($O226="","",INDEX(Master!$I$2:$I$1001,$O226))</f>
      </c>
      <c r="J226">
        <f>IF($O226="","",INDEX(Master!$J$2:$J$1001,$O226))</f>
      </c>
      <c r="K226">
        <f t="shared" si="6"/>
      </c>
      <c r="L226">
        <f>IF($O226="","",INDEX(Master!$K$2:$K$1001,$O226))</f>
      </c>
      <c r="M226">
        <f>IF($O226="","",INDEX(Master!$L$2:$L$1001,$O226))</f>
      </c>
      <c r="O226">
        <f t="array" ref="O226">IFERROR(SMALL(IF(Master!$A$2:$A$1001="SHREE RADHE",ROW(Master!$A$2:$A$1001)-ROW(Master!$A$2)+1),222),"")</f>
      </c>
      <c r="P226">
        <f t="shared" si="7"/>
      </c>
    </row>
    <row r="227" spans="1:16" x14ac:dyDescent="0.25">
      <c r="A227">
        <f>IF($O227="","",INDEX(Master!$D$2:$D$1001,$O227))</f>
      </c>
      <c r="B227" s="236">
        <f>IF($O227="","",INDEX(Master!$B$2:$B$1001,$O227))</f>
      </c>
      <c r="C227">
        <f>IF($O227="","",INDEX(Master!$C$2:$C$1001,$O227))</f>
      </c>
      <c r="D227">
        <f>IF($O227="","",INDEX(Master!$A$2:$A$1001,$O227))</f>
      </c>
      <c r="E227">
        <f>IF($O227="","",INDEX(Master!$E$2:$E$1001,$O227))</f>
      </c>
      <c r="F227">
        <f>IF($O227="","",INDEX(Master!$F$2:$F$1001,$O227))</f>
      </c>
      <c r="G227">
        <f>IF($O227="","",INDEX(Master!$G$2:$G$1001,$O227))</f>
      </c>
      <c r="H227">
        <f>IF($O227="","",INDEX(Master!$H$2:$H$1001,$O227))</f>
      </c>
      <c r="I227">
        <f>IF($O227="","",INDEX(Master!$I$2:$I$1001,$O227))</f>
      </c>
      <c r="J227">
        <f>IF($O227="","",INDEX(Master!$J$2:$J$1001,$O227))</f>
      </c>
      <c r="K227">
        <f t="shared" si="6"/>
      </c>
      <c r="L227">
        <f>IF($O227="","",INDEX(Master!$K$2:$K$1001,$O227))</f>
      </c>
      <c r="M227">
        <f>IF($O227="","",INDEX(Master!$L$2:$L$1001,$O227))</f>
      </c>
      <c r="O227">
        <f t="array" ref="O227">IFERROR(SMALL(IF(Master!$A$2:$A$1001="SHREE RADHE",ROW(Master!$A$2:$A$1001)-ROW(Master!$A$2)+1),223),"")</f>
      </c>
      <c r="P227">
        <f t="shared" si="7"/>
      </c>
    </row>
    <row r="228" spans="1:16" x14ac:dyDescent="0.25">
      <c r="A228">
        <f>IF($O228="","",INDEX(Master!$D$2:$D$1001,$O228))</f>
      </c>
      <c r="B228" s="236">
        <f>IF($O228="","",INDEX(Master!$B$2:$B$1001,$O228))</f>
      </c>
      <c r="C228">
        <f>IF($O228="","",INDEX(Master!$C$2:$C$1001,$O228))</f>
      </c>
      <c r="D228">
        <f>IF($O228="","",INDEX(Master!$A$2:$A$1001,$O228))</f>
      </c>
      <c r="E228">
        <f>IF($O228="","",INDEX(Master!$E$2:$E$1001,$O228))</f>
      </c>
      <c r="F228">
        <f>IF($O228="","",INDEX(Master!$F$2:$F$1001,$O228))</f>
      </c>
      <c r="G228">
        <f>IF($O228="","",INDEX(Master!$G$2:$G$1001,$O228))</f>
      </c>
      <c r="H228">
        <f>IF($O228="","",INDEX(Master!$H$2:$H$1001,$O228))</f>
      </c>
      <c r="I228">
        <f>IF($O228="","",INDEX(Master!$I$2:$I$1001,$O228))</f>
      </c>
      <c r="J228">
        <f>IF($O228="","",INDEX(Master!$J$2:$J$1001,$O228))</f>
      </c>
      <c r="K228">
        <f t="shared" si="6"/>
      </c>
      <c r="L228">
        <f>IF($O228="","",INDEX(Master!$K$2:$K$1001,$O228))</f>
      </c>
      <c r="M228">
        <f>IF($O228="","",INDEX(Master!$L$2:$L$1001,$O228))</f>
      </c>
      <c r="O228">
        <f t="array" ref="O228">IFERROR(SMALL(IF(Master!$A$2:$A$1001="SHREE RADHE",ROW(Master!$A$2:$A$1001)-ROW(Master!$A$2)+1),224),"")</f>
      </c>
      <c r="P228">
        <f t="shared" si="7"/>
      </c>
    </row>
    <row r="229" spans="1:16" x14ac:dyDescent="0.25">
      <c r="A229">
        <f>IF($O229="","",INDEX(Master!$D$2:$D$1001,$O229))</f>
      </c>
      <c r="B229" s="236">
        <f>IF($O229="","",INDEX(Master!$B$2:$B$1001,$O229))</f>
      </c>
      <c r="C229">
        <f>IF($O229="","",INDEX(Master!$C$2:$C$1001,$O229))</f>
      </c>
      <c r="D229">
        <f>IF($O229="","",INDEX(Master!$A$2:$A$1001,$O229))</f>
      </c>
      <c r="E229">
        <f>IF($O229="","",INDEX(Master!$E$2:$E$1001,$O229))</f>
      </c>
      <c r="F229">
        <f>IF($O229="","",INDEX(Master!$F$2:$F$1001,$O229))</f>
      </c>
      <c r="G229">
        <f>IF($O229="","",INDEX(Master!$G$2:$G$1001,$O229))</f>
      </c>
      <c r="H229">
        <f>IF($O229="","",INDEX(Master!$H$2:$H$1001,$O229))</f>
      </c>
      <c r="I229">
        <f>IF($O229="","",INDEX(Master!$I$2:$I$1001,$O229))</f>
      </c>
      <c r="J229">
        <f>IF($O229="","",INDEX(Master!$J$2:$J$1001,$O229))</f>
      </c>
      <c r="K229">
        <f t="shared" si="6"/>
      </c>
      <c r="L229">
        <f>IF($O229="","",INDEX(Master!$K$2:$K$1001,$O229))</f>
      </c>
      <c r="M229">
        <f>IF($O229="","",INDEX(Master!$L$2:$L$1001,$O229))</f>
      </c>
      <c r="O229">
        <f t="array" ref="O229">IFERROR(SMALL(IF(Master!$A$2:$A$1001="SHREE RADHE",ROW(Master!$A$2:$A$1001)-ROW(Master!$A$2)+1),225),"")</f>
      </c>
      <c r="P229">
        <f t="shared" si="7"/>
      </c>
    </row>
    <row r="230" spans="1:16" x14ac:dyDescent="0.25">
      <c r="A230">
        <f>IF($O230="","",INDEX(Master!$D$2:$D$1001,$O230))</f>
      </c>
      <c r="B230" s="236">
        <f>IF($O230="","",INDEX(Master!$B$2:$B$1001,$O230))</f>
      </c>
      <c r="C230">
        <f>IF($O230="","",INDEX(Master!$C$2:$C$1001,$O230))</f>
      </c>
      <c r="D230">
        <f>IF($O230="","",INDEX(Master!$A$2:$A$1001,$O230))</f>
      </c>
      <c r="E230">
        <f>IF($O230="","",INDEX(Master!$E$2:$E$1001,$O230))</f>
      </c>
      <c r="F230">
        <f>IF($O230="","",INDEX(Master!$F$2:$F$1001,$O230))</f>
      </c>
      <c r="G230">
        <f>IF($O230="","",INDEX(Master!$G$2:$G$1001,$O230))</f>
      </c>
      <c r="H230">
        <f>IF($O230="","",INDEX(Master!$H$2:$H$1001,$O230))</f>
      </c>
      <c r="I230">
        <f>IF($O230="","",INDEX(Master!$I$2:$I$1001,$O230))</f>
      </c>
      <c r="J230">
        <f>IF($O230="","",INDEX(Master!$J$2:$J$1001,$O230))</f>
      </c>
      <c r="K230">
        <f t="shared" si="6"/>
      </c>
      <c r="L230">
        <f>IF($O230="","",INDEX(Master!$K$2:$K$1001,$O230))</f>
      </c>
      <c r="M230">
        <f>IF($O230="","",INDEX(Master!$L$2:$L$1001,$O230))</f>
      </c>
      <c r="O230">
        <f t="array" ref="O230">IFERROR(SMALL(IF(Master!$A$2:$A$1001="SHREE RADHE",ROW(Master!$A$2:$A$1001)-ROW(Master!$A$2)+1),226),"")</f>
      </c>
      <c r="P230">
        <f t="shared" si="7"/>
      </c>
    </row>
    <row r="231" spans="1:16" x14ac:dyDescent="0.25">
      <c r="A231">
        <f>IF($O231="","",INDEX(Master!$D$2:$D$1001,$O231))</f>
      </c>
      <c r="B231" s="236">
        <f>IF($O231="","",INDEX(Master!$B$2:$B$1001,$O231))</f>
      </c>
      <c r="C231">
        <f>IF($O231="","",INDEX(Master!$C$2:$C$1001,$O231))</f>
      </c>
      <c r="D231">
        <f>IF($O231="","",INDEX(Master!$A$2:$A$1001,$O231))</f>
      </c>
      <c r="E231">
        <f>IF($O231="","",INDEX(Master!$E$2:$E$1001,$O231))</f>
      </c>
      <c r="F231">
        <f>IF($O231="","",INDEX(Master!$F$2:$F$1001,$O231))</f>
      </c>
      <c r="G231">
        <f>IF($O231="","",INDEX(Master!$G$2:$G$1001,$O231))</f>
      </c>
      <c r="H231">
        <f>IF($O231="","",INDEX(Master!$H$2:$H$1001,$O231))</f>
      </c>
      <c r="I231">
        <f>IF($O231="","",INDEX(Master!$I$2:$I$1001,$O231))</f>
      </c>
      <c r="J231">
        <f>IF($O231="","",INDEX(Master!$J$2:$J$1001,$O231))</f>
      </c>
      <c r="K231">
        <f t="shared" si="6"/>
      </c>
      <c r="L231">
        <f>IF($O231="","",INDEX(Master!$K$2:$K$1001,$O231))</f>
      </c>
      <c r="M231">
        <f>IF($O231="","",INDEX(Master!$L$2:$L$1001,$O231))</f>
      </c>
      <c r="O231">
        <f t="array" ref="O231">IFERROR(SMALL(IF(Master!$A$2:$A$1001="SHREE RADHE",ROW(Master!$A$2:$A$1001)-ROW(Master!$A$2)+1),227),"")</f>
      </c>
      <c r="P231">
        <f t="shared" si="7"/>
      </c>
    </row>
    <row r="232" spans="1:16" x14ac:dyDescent="0.25">
      <c r="A232">
        <f>IF($O232="","",INDEX(Master!$D$2:$D$1001,$O232))</f>
      </c>
      <c r="B232" s="236">
        <f>IF($O232="","",INDEX(Master!$B$2:$B$1001,$O232))</f>
      </c>
      <c r="C232">
        <f>IF($O232="","",INDEX(Master!$C$2:$C$1001,$O232))</f>
      </c>
      <c r="D232">
        <f>IF($O232="","",INDEX(Master!$A$2:$A$1001,$O232))</f>
      </c>
      <c r="E232">
        <f>IF($O232="","",INDEX(Master!$E$2:$E$1001,$O232))</f>
      </c>
      <c r="F232">
        <f>IF($O232="","",INDEX(Master!$F$2:$F$1001,$O232))</f>
      </c>
      <c r="G232">
        <f>IF($O232="","",INDEX(Master!$G$2:$G$1001,$O232))</f>
      </c>
      <c r="H232">
        <f>IF($O232="","",INDEX(Master!$H$2:$H$1001,$O232))</f>
      </c>
      <c r="I232">
        <f>IF($O232="","",INDEX(Master!$I$2:$I$1001,$O232))</f>
      </c>
      <c r="J232">
        <f>IF($O232="","",INDEX(Master!$J$2:$J$1001,$O232))</f>
      </c>
      <c r="K232">
        <f t="shared" si="6"/>
      </c>
      <c r="L232">
        <f>IF($O232="","",INDEX(Master!$K$2:$K$1001,$O232))</f>
      </c>
      <c r="M232">
        <f>IF($O232="","",INDEX(Master!$L$2:$L$1001,$O232))</f>
      </c>
      <c r="O232">
        <f t="array" ref="O232">IFERROR(SMALL(IF(Master!$A$2:$A$1001="SHREE RADHE",ROW(Master!$A$2:$A$1001)-ROW(Master!$A$2)+1),228),"")</f>
      </c>
      <c r="P232">
        <f t="shared" si="7"/>
      </c>
    </row>
    <row r="233" spans="1:16" x14ac:dyDescent="0.25">
      <c r="A233">
        <f>IF($O233="","",INDEX(Master!$D$2:$D$1001,$O233))</f>
      </c>
      <c r="B233" s="236">
        <f>IF($O233="","",INDEX(Master!$B$2:$B$1001,$O233))</f>
      </c>
      <c r="C233">
        <f>IF($O233="","",INDEX(Master!$C$2:$C$1001,$O233))</f>
      </c>
      <c r="D233">
        <f>IF($O233="","",INDEX(Master!$A$2:$A$1001,$O233))</f>
      </c>
      <c r="E233">
        <f>IF($O233="","",INDEX(Master!$E$2:$E$1001,$O233))</f>
      </c>
      <c r="F233">
        <f>IF($O233="","",INDEX(Master!$F$2:$F$1001,$O233))</f>
      </c>
      <c r="G233">
        <f>IF($O233="","",INDEX(Master!$G$2:$G$1001,$O233))</f>
      </c>
      <c r="H233">
        <f>IF($O233="","",INDEX(Master!$H$2:$H$1001,$O233))</f>
      </c>
      <c r="I233">
        <f>IF($O233="","",INDEX(Master!$I$2:$I$1001,$O233))</f>
      </c>
      <c r="J233">
        <f>IF($O233="","",INDEX(Master!$J$2:$J$1001,$O233))</f>
      </c>
      <c r="K233">
        <f t="shared" si="6"/>
      </c>
      <c r="L233">
        <f>IF($O233="","",INDEX(Master!$K$2:$K$1001,$O233))</f>
      </c>
      <c r="M233">
        <f>IF($O233="","",INDEX(Master!$L$2:$L$1001,$O233))</f>
      </c>
      <c r="O233">
        <f t="array" ref="O233">IFERROR(SMALL(IF(Master!$A$2:$A$1001="SHREE RADHE",ROW(Master!$A$2:$A$1001)-ROW(Master!$A$2)+1),229),"")</f>
      </c>
      <c r="P233">
        <f t="shared" si="7"/>
      </c>
    </row>
    <row r="234" spans="1:16" x14ac:dyDescent="0.25">
      <c r="A234">
        <f>IF($O234="","",INDEX(Master!$D$2:$D$1001,$O234))</f>
      </c>
      <c r="B234" s="236">
        <f>IF($O234="","",INDEX(Master!$B$2:$B$1001,$O234))</f>
      </c>
      <c r="C234">
        <f>IF($O234="","",INDEX(Master!$C$2:$C$1001,$O234))</f>
      </c>
      <c r="D234">
        <f>IF($O234="","",INDEX(Master!$A$2:$A$1001,$O234))</f>
      </c>
      <c r="E234">
        <f>IF($O234="","",INDEX(Master!$E$2:$E$1001,$O234))</f>
      </c>
      <c r="F234">
        <f>IF($O234="","",INDEX(Master!$F$2:$F$1001,$O234))</f>
      </c>
      <c r="G234">
        <f>IF($O234="","",INDEX(Master!$G$2:$G$1001,$O234))</f>
      </c>
      <c r="H234">
        <f>IF($O234="","",INDEX(Master!$H$2:$H$1001,$O234))</f>
      </c>
      <c r="I234">
        <f>IF($O234="","",INDEX(Master!$I$2:$I$1001,$O234))</f>
      </c>
      <c r="J234">
        <f>IF($O234="","",INDEX(Master!$J$2:$J$1001,$O234))</f>
      </c>
      <c r="K234">
        <f t="shared" si="6"/>
      </c>
      <c r="L234">
        <f>IF($O234="","",INDEX(Master!$K$2:$K$1001,$O234))</f>
      </c>
      <c r="M234">
        <f>IF($O234="","",INDEX(Master!$L$2:$L$1001,$O234))</f>
      </c>
      <c r="O234">
        <f t="array" ref="O234">IFERROR(SMALL(IF(Master!$A$2:$A$1001="SHREE RADHE",ROW(Master!$A$2:$A$1001)-ROW(Master!$A$2)+1),230),"")</f>
      </c>
      <c r="P234">
        <f t="shared" si="7"/>
      </c>
    </row>
    <row r="235" spans="1:16" x14ac:dyDescent="0.25">
      <c r="A235">
        <f>IF($O235="","",INDEX(Master!$D$2:$D$1001,$O235))</f>
      </c>
      <c r="B235" s="236">
        <f>IF($O235="","",INDEX(Master!$B$2:$B$1001,$O235))</f>
      </c>
      <c r="C235">
        <f>IF($O235="","",INDEX(Master!$C$2:$C$1001,$O235))</f>
      </c>
      <c r="D235">
        <f>IF($O235="","",INDEX(Master!$A$2:$A$1001,$O235))</f>
      </c>
      <c r="E235">
        <f>IF($O235="","",INDEX(Master!$E$2:$E$1001,$O235))</f>
      </c>
      <c r="F235">
        <f>IF($O235="","",INDEX(Master!$F$2:$F$1001,$O235))</f>
      </c>
      <c r="G235">
        <f>IF($O235="","",INDEX(Master!$G$2:$G$1001,$O235))</f>
      </c>
      <c r="H235">
        <f>IF($O235="","",INDEX(Master!$H$2:$H$1001,$O235))</f>
      </c>
      <c r="I235">
        <f>IF($O235="","",INDEX(Master!$I$2:$I$1001,$O235))</f>
      </c>
      <c r="J235">
        <f>IF($O235="","",INDEX(Master!$J$2:$J$1001,$O235))</f>
      </c>
      <c r="K235">
        <f t="shared" si="6"/>
      </c>
      <c r="L235">
        <f>IF($O235="","",INDEX(Master!$K$2:$K$1001,$O235))</f>
      </c>
      <c r="M235">
        <f>IF($O235="","",INDEX(Master!$L$2:$L$1001,$O235))</f>
      </c>
      <c r="O235">
        <f t="array" ref="O235">IFERROR(SMALL(IF(Master!$A$2:$A$1001="SHREE RADHE",ROW(Master!$A$2:$A$1001)-ROW(Master!$A$2)+1),231),"")</f>
      </c>
      <c r="P235">
        <f t="shared" si="7"/>
      </c>
    </row>
    <row r="236" spans="1:16" x14ac:dyDescent="0.25">
      <c r="A236">
        <f>IF($O236="","",INDEX(Master!$D$2:$D$1001,$O236))</f>
      </c>
      <c r="B236" s="236">
        <f>IF($O236="","",INDEX(Master!$B$2:$B$1001,$O236))</f>
      </c>
      <c r="C236">
        <f>IF($O236="","",INDEX(Master!$C$2:$C$1001,$O236))</f>
      </c>
      <c r="D236">
        <f>IF($O236="","",INDEX(Master!$A$2:$A$1001,$O236))</f>
      </c>
      <c r="E236">
        <f>IF($O236="","",INDEX(Master!$E$2:$E$1001,$O236))</f>
      </c>
      <c r="F236">
        <f>IF($O236="","",INDEX(Master!$F$2:$F$1001,$O236))</f>
      </c>
      <c r="G236">
        <f>IF($O236="","",INDEX(Master!$G$2:$G$1001,$O236))</f>
      </c>
      <c r="H236">
        <f>IF($O236="","",INDEX(Master!$H$2:$H$1001,$O236))</f>
      </c>
      <c r="I236">
        <f>IF($O236="","",INDEX(Master!$I$2:$I$1001,$O236))</f>
      </c>
      <c r="J236">
        <f>IF($O236="","",INDEX(Master!$J$2:$J$1001,$O236))</f>
      </c>
      <c r="K236">
        <f t="shared" si="6"/>
      </c>
      <c r="L236">
        <f>IF($O236="","",INDEX(Master!$K$2:$K$1001,$O236))</f>
      </c>
      <c r="M236">
        <f>IF($O236="","",INDEX(Master!$L$2:$L$1001,$O236))</f>
      </c>
      <c r="O236">
        <f t="array" ref="O236">IFERROR(SMALL(IF(Master!$A$2:$A$1001="SHREE RADHE",ROW(Master!$A$2:$A$1001)-ROW(Master!$A$2)+1),232),"")</f>
      </c>
      <c r="P236">
        <f t="shared" si="7"/>
      </c>
    </row>
    <row r="237" spans="1:16" x14ac:dyDescent="0.25">
      <c r="A237">
        <f>IF($O237="","",INDEX(Master!$D$2:$D$1001,$O237))</f>
      </c>
      <c r="B237" s="236">
        <f>IF($O237="","",INDEX(Master!$B$2:$B$1001,$O237))</f>
      </c>
      <c r="C237">
        <f>IF($O237="","",INDEX(Master!$C$2:$C$1001,$O237))</f>
      </c>
      <c r="D237">
        <f>IF($O237="","",INDEX(Master!$A$2:$A$1001,$O237))</f>
      </c>
      <c r="E237">
        <f>IF($O237="","",INDEX(Master!$E$2:$E$1001,$O237))</f>
      </c>
      <c r="F237">
        <f>IF($O237="","",INDEX(Master!$F$2:$F$1001,$O237))</f>
      </c>
      <c r="G237">
        <f>IF($O237="","",INDEX(Master!$G$2:$G$1001,$O237))</f>
      </c>
      <c r="H237">
        <f>IF($O237="","",INDEX(Master!$H$2:$H$1001,$O237))</f>
      </c>
      <c r="I237">
        <f>IF($O237="","",INDEX(Master!$I$2:$I$1001,$O237))</f>
      </c>
      <c r="J237">
        <f>IF($O237="","",INDEX(Master!$J$2:$J$1001,$O237))</f>
      </c>
      <c r="K237">
        <f t="shared" si="6"/>
      </c>
      <c r="L237">
        <f>IF($O237="","",INDEX(Master!$K$2:$K$1001,$O237))</f>
      </c>
      <c r="M237">
        <f>IF($O237="","",INDEX(Master!$L$2:$L$1001,$O237))</f>
      </c>
      <c r="O237">
        <f t="array" ref="O237">IFERROR(SMALL(IF(Master!$A$2:$A$1001="SHREE RADHE",ROW(Master!$A$2:$A$1001)-ROW(Master!$A$2)+1),233),"")</f>
      </c>
      <c r="P237">
        <f t="shared" si="7"/>
      </c>
    </row>
    <row r="238" spans="1:16" x14ac:dyDescent="0.25">
      <c r="A238">
        <f>IF($O238="","",INDEX(Master!$D$2:$D$1001,$O238))</f>
      </c>
      <c r="B238" s="236">
        <f>IF($O238="","",INDEX(Master!$B$2:$B$1001,$O238))</f>
      </c>
      <c r="C238">
        <f>IF($O238="","",INDEX(Master!$C$2:$C$1001,$O238))</f>
      </c>
      <c r="D238">
        <f>IF($O238="","",INDEX(Master!$A$2:$A$1001,$O238))</f>
      </c>
      <c r="E238">
        <f>IF($O238="","",INDEX(Master!$E$2:$E$1001,$O238))</f>
      </c>
      <c r="F238">
        <f>IF($O238="","",INDEX(Master!$F$2:$F$1001,$O238))</f>
      </c>
      <c r="G238">
        <f>IF($O238="","",INDEX(Master!$G$2:$G$1001,$O238))</f>
      </c>
      <c r="H238">
        <f>IF($O238="","",INDEX(Master!$H$2:$H$1001,$O238))</f>
      </c>
      <c r="I238">
        <f>IF($O238="","",INDEX(Master!$I$2:$I$1001,$O238))</f>
      </c>
      <c r="J238">
        <f>IF($O238="","",INDEX(Master!$J$2:$J$1001,$O238))</f>
      </c>
      <c r="K238">
        <f t="shared" si="6"/>
      </c>
      <c r="L238">
        <f>IF($O238="","",INDEX(Master!$K$2:$K$1001,$O238))</f>
      </c>
      <c r="M238">
        <f>IF($O238="","",INDEX(Master!$L$2:$L$1001,$O238))</f>
      </c>
      <c r="O238">
        <f t="array" ref="O238">IFERROR(SMALL(IF(Master!$A$2:$A$1001="SHREE RADHE",ROW(Master!$A$2:$A$1001)-ROW(Master!$A$2)+1),234),"")</f>
      </c>
      <c r="P238">
        <f t="shared" si="7"/>
      </c>
    </row>
    <row r="239" spans="1:16" x14ac:dyDescent="0.25">
      <c r="A239">
        <f>IF($O239="","",INDEX(Master!$D$2:$D$1001,$O239))</f>
      </c>
      <c r="B239" s="236">
        <f>IF($O239="","",INDEX(Master!$B$2:$B$1001,$O239))</f>
      </c>
      <c r="C239">
        <f>IF($O239="","",INDEX(Master!$C$2:$C$1001,$O239))</f>
      </c>
      <c r="D239">
        <f>IF($O239="","",INDEX(Master!$A$2:$A$1001,$O239))</f>
      </c>
      <c r="E239">
        <f>IF($O239="","",INDEX(Master!$E$2:$E$1001,$O239))</f>
      </c>
      <c r="F239">
        <f>IF($O239="","",INDEX(Master!$F$2:$F$1001,$O239))</f>
      </c>
      <c r="G239">
        <f>IF($O239="","",INDEX(Master!$G$2:$G$1001,$O239))</f>
      </c>
      <c r="H239">
        <f>IF($O239="","",INDEX(Master!$H$2:$H$1001,$O239))</f>
      </c>
      <c r="I239">
        <f>IF($O239="","",INDEX(Master!$I$2:$I$1001,$O239))</f>
      </c>
      <c r="J239">
        <f>IF($O239="","",INDEX(Master!$J$2:$J$1001,$O239))</f>
      </c>
      <c r="K239">
        <f t="shared" si="6"/>
      </c>
      <c r="L239">
        <f>IF($O239="","",INDEX(Master!$K$2:$K$1001,$O239))</f>
      </c>
      <c r="M239">
        <f>IF($O239="","",INDEX(Master!$L$2:$L$1001,$O239))</f>
      </c>
      <c r="O239">
        <f t="array" ref="O239">IFERROR(SMALL(IF(Master!$A$2:$A$1001="SHREE RADHE",ROW(Master!$A$2:$A$1001)-ROW(Master!$A$2)+1),235),"")</f>
      </c>
      <c r="P239">
        <f t="shared" si="7"/>
      </c>
    </row>
    <row r="240" spans="1:16" x14ac:dyDescent="0.25">
      <c r="A240">
        <f>IF($O240="","",INDEX(Master!$D$2:$D$1001,$O240))</f>
      </c>
      <c r="B240" s="236">
        <f>IF($O240="","",INDEX(Master!$B$2:$B$1001,$O240))</f>
      </c>
      <c r="C240">
        <f>IF($O240="","",INDEX(Master!$C$2:$C$1001,$O240))</f>
      </c>
      <c r="D240">
        <f>IF($O240="","",INDEX(Master!$A$2:$A$1001,$O240))</f>
      </c>
      <c r="E240">
        <f>IF($O240="","",INDEX(Master!$E$2:$E$1001,$O240))</f>
      </c>
      <c r="F240">
        <f>IF($O240="","",INDEX(Master!$F$2:$F$1001,$O240))</f>
      </c>
      <c r="G240">
        <f>IF($O240="","",INDEX(Master!$G$2:$G$1001,$O240))</f>
      </c>
      <c r="H240">
        <f>IF($O240="","",INDEX(Master!$H$2:$H$1001,$O240))</f>
      </c>
      <c r="I240">
        <f>IF($O240="","",INDEX(Master!$I$2:$I$1001,$O240))</f>
      </c>
      <c r="J240">
        <f>IF($O240="","",INDEX(Master!$J$2:$J$1001,$O240))</f>
      </c>
      <c r="K240">
        <f t="shared" si="6"/>
      </c>
      <c r="L240">
        <f>IF($O240="","",INDEX(Master!$K$2:$K$1001,$O240))</f>
      </c>
      <c r="M240">
        <f>IF($O240="","",INDEX(Master!$L$2:$L$1001,$O240))</f>
      </c>
      <c r="O240">
        <f t="array" ref="O240">IFERROR(SMALL(IF(Master!$A$2:$A$1001="SHREE RADHE",ROW(Master!$A$2:$A$1001)-ROW(Master!$A$2)+1),236),"")</f>
      </c>
      <c r="P240">
        <f t="shared" si="7"/>
      </c>
    </row>
    <row r="241" spans="1:16" x14ac:dyDescent="0.25">
      <c r="A241">
        <f>IF($O241="","",INDEX(Master!$D$2:$D$1001,$O241))</f>
      </c>
      <c r="B241" s="236">
        <f>IF($O241="","",INDEX(Master!$B$2:$B$1001,$O241))</f>
      </c>
      <c r="C241">
        <f>IF($O241="","",INDEX(Master!$C$2:$C$1001,$O241))</f>
      </c>
      <c r="D241">
        <f>IF($O241="","",INDEX(Master!$A$2:$A$1001,$O241))</f>
      </c>
      <c r="E241">
        <f>IF($O241="","",INDEX(Master!$E$2:$E$1001,$O241))</f>
      </c>
      <c r="F241">
        <f>IF($O241="","",INDEX(Master!$F$2:$F$1001,$O241))</f>
      </c>
      <c r="G241">
        <f>IF($O241="","",INDEX(Master!$G$2:$G$1001,$O241))</f>
      </c>
      <c r="H241">
        <f>IF($O241="","",INDEX(Master!$H$2:$H$1001,$O241))</f>
      </c>
      <c r="I241">
        <f>IF($O241="","",INDEX(Master!$I$2:$I$1001,$O241))</f>
      </c>
      <c r="J241">
        <f>IF($O241="","",INDEX(Master!$J$2:$J$1001,$O241))</f>
      </c>
      <c r="K241">
        <f t="shared" si="6"/>
      </c>
      <c r="L241">
        <f>IF($O241="","",INDEX(Master!$K$2:$K$1001,$O241))</f>
      </c>
      <c r="M241">
        <f>IF($O241="","",INDEX(Master!$L$2:$L$1001,$O241))</f>
      </c>
      <c r="O241">
        <f t="array" ref="O241">IFERROR(SMALL(IF(Master!$A$2:$A$1001="SHREE RADHE",ROW(Master!$A$2:$A$1001)-ROW(Master!$A$2)+1),237),"")</f>
      </c>
      <c r="P241">
        <f t="shared" si="7"/>
      </c>
    </row>
    <row r="242" spans="1:16" x14ac:dyDescent="0.25">
      <c r="A242">
        <f>IF($O242="","",INDEX(Master!$D$2:$D$1001,$O242))</f>
      </c>
      <c r="B242" s="236">
        <f>IF($O242="","",INDEX(Master!$B$2:$B$1001,$O242))</f>
      </c>
      <c r="C242">
        <f>IF($O242="","",INDEX(Master!$C$2:$C$1001,$O242))</f>
      </c>
      <c r="D242">
        <f>IF($O242="","",INDEX(Master!$A$2:$A$1001,$O242))</f>
      </c>
      <c r="E242">
        <f>IF($O242="","",INDEX(Master!$E$2:$E$1001,$O242))</f>
      </c>
      <c r="F242">
        <f>IF($O242="","",INDEX(Master!$F$2:$F$1001,$O242))</f>
      </c>
      <c r="G242">
        <f>IF($O242="","",INDEX(Master!$G$2:$G$1001,$O242))</f>
      </c>
      <c r="H242">
        <f>IF($O242="","",INDEX(Master!$H$2:$H$1001,$O242))</f>
      </c>
      <c r="I242">
        <f>IF($O242="","",INDEX(Master!$I$2:$I$1001,$O242))</f>
      </c>
      <c r="J242">
        <f>IF($O242="","",INDEX(Master!$J$2:$J$1001,$O242))</f>
      </c>
      <c r="K242">
        <f t="shared" si="6"/>
      </c>
      <c r="L242">
        <f>IF($O242="","",INDEX(Master!$K$2:$K$1001,$O242))</f>
      </c>
      <c r="M242">
        <f>IF($O242="","",INDEX(Master!$L$2:$L$1001,$O242))</f>
      </c>
      <c r="O242">
        <f t="array" ref="O242">IFERROR(SMALL(IF(Master!$A$2:$A$1001="SHREE RADHE",ROW(Master!$A$2:$A$1001)-ROW(Master!$A$2)+1),238),"")</f>
      </c>
      <c r="P242">
        <f t="shared" si="7"/>
      </c>
    </row>
    <row r="243" spans="1:16" x14ac:dyDescent="0.25">
      <c r="A243">
        <f>IF($O243="","",INDEX(Master!$D$2:$D$1001,$O243))</f>
      </c>
      <c r="B243" s="236">
        <f>IF($O243="","",INDEX(Master!$B$2:$B$1001,$O243))</f>
      </c>
      <c r="C243">
        <f>IF($O243="","",INDEX(Master!$C$2:$C$1001,$O243))</f>
      </c>
      <c r="D243">
        <f>IF($O243="","",INDEX(Master!$A$2:$A$1001,$O243))</f>
      </c>
      <c r="E243">
        <f>IF($O243="","",INDEX(Master!$E$2:$E$1001,$O243))</f>
      </c>
      <c r="F243">
        <f>IF($O243="","",INDEX(Master!$F$2:$F$1001,$O243))</f>
      </c>
      <c r="G243">
        <f>IF($O243="","",INDEX(Master!$G$2:$G$1001,$O243))</f>
      </c>
      <c r="H243">
        <f>IF($O243="","",INDEX(Master!$H$2:$H$1001,$O243))</f>
      </c>
      <c r="I243">
        <f>IF($O243="","",INDEX(Master!$I$2:$I$1001,$O243))</f>
      </c>
      <c r="J243">
        <f>IF($O243="","",INDEX(Master!$J$2:$J$1001,$O243))</f>
      </c>
      <c r="K243">
        <f t="shared" si="6"/>
      </c>
      <c r="L243">
        <f>IF($O243="","",INDEX(Master!$K$2:$K$1001,$O243))</f>
      </c>
      <c r="M243">
        <f>IF($O243="","",INDEX(Master!$L$2:$L$1001,$O243))</f>
      </c>
      <c r="O243">
        <f t="array" ref="O243">IFERROR(SMALL(IF(Master!$A$2:$A$1001="SHREE RADHE",ROW(Master!$A$2:$A$1001)-ROW(Master!$A$2)+1),239),"")</f>
      </c>
      <c r="P243">
        <f t="shared" si="7"/>
      </c>
    </row>
    <row r="244" spans="1:16" x14ac:dyDescent="0.25">
      <c r="A244">
        <f>IF($O244="","",INDEX(Master!$D$2:$D$1001,$O244))</f>
      </c>
      <c r="B244" s="236">
        <f>IF($O244="","",INDEX(Master!$B$2:$B$1001,$O244))</f>
      </c>
      <c r="C244">
        <f>IF($O244="","",INDEX(Master!$C$2:$C$1001,$O244))</f>
      </c>
      <c r="D244">
        <f>IF($O244="","",INDEX(Master!$A$2:$A$1001,$O244))</f>
      </c>
      <c r="E244">
        <f>IF($O244="","",INDEX(Master!$E$2:$E$1001,$O244))</f>
      </c>
      <c r="F244">
        <f>IF($O244="","",INDEX(Master!$F$2:$F$1001,$O244))</f>
      </c>
      <c r="G244">
        <f>IF($O244="","",INDEX(Master!$G$2:$G$1001,$O244))</f>
      </c>
      <c r="H244">
        <f>IF($O244="","",INDEX(Master!$H$2:$H$1001,$O244))</f>
      </c>
      <c r="I244">
        <f>IF($O244="","",INDEX(Master!$I$2:$I$1001,$O244))</f>
      </c>
      <c r="J244">
        <f>IF($O244="","",INDEX(Master!$J$2:$J$1001,$O244))</f>
      </c>
      <c r="K244">
        <f t="shared" si="6"/>
      </c>
      <c r="L244">
        <f>IF($O244="","",INDEX(Master!$K$2:$K$1001,$O244))</f>
      </c>
      <c r="M244">
        <f>IF($O244="","",INDEX(Master!$L$2:$L$1001,$O244))</f>
      </c>
      <c r="O244">
        <f t="array" ref="O244">IFERROR(SMALL(IF(Master!$A$2:$A$1001="SHREE RADHE",ROW(Master!$A$2:$A$1001)-ROW(Master!$A$2)+1),240),"")</f>
      </c>
      <c r="P244">
        <f t="shared" si="7"/>
      </c>
    </row>
    <row r="245" spans="1:16" x14ac:dyDescent="0.25">
      <c r="A245">
        <f>IF($O245="","",INDEX(Master!$D$2:$D$1001,$O245))</f>
      </c>
      <c r="B245" s="236">
        <f>IF($O245="","",INDEX(Master!$B$2:$B$1001,$O245))</f>
      </c>
      <c r="C245">
        <f>IF($O245="","",INDEX(Master!$C$2:$C$1001,$O245))</f>
      </c>
      <c r="D245">
        <f>IF($O245="","",INDEX(Master!$A$2:$A$1001,$O245))</f>
      </c>
      <c r="E245">
        <f>IF($O245="","",INDEX(Master!$E$2:$E$1001,$O245))</f>
      </c>
      <c r="F245">
        <f>IF($O245="","",INDEX(Master!$F$2:$F$1001,$O245))</f>
      </c>
      <c r="G245">
        <f>IF($O245="","",INDEX(Master!$G$2:$G$1001,$O245))</f>
      </c>
      <c r="H245">
        <f>IF($O245="","",INDEX(Master!$H$2:$H$1001,$O245))</f>
      </c>
      <c r="I245">
        <f>IF($O245="","",INDEX(Master!$I$2:$I$1001,$O245))</f>
      </c>
      <c r="J245">
        <f>IF($O245="","",INDEX(Master!$J$2:$J$1001,$O245))</f>
      </c>
      <c r="K245">
        <f t="shared" si="6"/>
      </c>
      <c r="L245">
        <f>IF($O245="","",INDEX(Master!$K$2:$K$1001,$O245))</f>
      </c>
      <c r="M245">
        <f>IF($O245="","",INDEX(Master!$L$2:$L$1001,$O245))</f>
      </c>
      <c r="O245">
        <f t="array" ref="O245">IFERROR(SMALL(IF(Master!$A$2:$A$1001="SHREE RADHE",ROW(Master!$A$2:$A$1001)-ROW(Master!$A$2)+1),241),"")</f>
      </c>
      <c r="P245">
        <f t="shared" si="7"/>
      </c>
    </row>
    <row r="246" spans="1:16" x14ac:dyDescent="0.25">
      <c r="A246">
        <f>IF($O246="","",INDEX(Master!$D$2:$D$1001,$O246))</f>
      </c>
      <c r="B246" s="236">
        <f>IF($O246="","",INDEX(Master!$B$2:$B$1001,$O246))</f>
      </c>
      <c r="C246">
        <f>IF($O246="","",INDEX(Master!$C$2:$C$1001,$O246))</f>
      </c>
      <c r="D246">
        <f>IF($O246="","",INDEX(Master!$A$2:$A$1001,$O246))</f>
      </c>
      <c r="E246">
        <f>IF($O246="","",INDEX(Master!$E$2:$E$1001,$O246))</f>
      </c>
      <c r="F246">
        <f>IF($O246="","",INDEX(Master!$F$2:$F$1001,$O246))</f>
      </c>
      <c r="G246">
        <f>IF($O246="","",INDEX(Master!$G$2:$G$1001,$O246))</f>
      </c>
      <c r="H246">
        <f>IF($O246="","",INDEX(Master!$H$2:$H$1001,$O246))</f>
      </c>
      <c r="I246">
        <f>IF($O246="","",INDEX(Master!$I$2:$I$1001,$O246))</f>
      </c>
      <c r="J246">
        <f>IF($O246="","",INDEX(Master!$J$2:$J$1001,$O246))</f>
      </c>
      <c r="K246">
        <f t="shared" si="6"/>
      </c>
      <c r="L246">
        <f>IF($O246="","",INDEX(Master!$K$2:$K$1001,$O246))</f>
      </c>
      <c r="M246">
        <f>IF($O246="","",INDEX(Master!$L$2:$L$1001,$O246))</f>
      </c>
      <c r="O246">
        <f t="array" ref="O246">IFERROR(SMALL(IF(Master!$A$2:$A$1001="SHREE RADHE",ROW(Master!$A$2:$A$1001)-ROW(Master!$A$2)+1),242),"")</f>
      </c>
      <c r="P246">
        <f t="shared" si="7"/>
      </c>
    </row>
    <row r="247" spans="1:16" x14ac:dyDescent="0.25">
      <c r="A247">
        <f>IF($O247="","",INDEX(Master!$D$2:$D$1001,$O247))</f>
      </c>
      <c r="B247" s="236">
        <f>IF($O247="","",INDEX(Master!$B$2:$B$1001,$O247))</f>
      </c>
      <c r="C247">
        <f>IF($O247="","",INDEX(Master!$C$2:$C$1001,$O247))</f>
      </c>
      <c r="D247">
        <f>IF($O247="","",INDEX(Master!$A$2:$A$1001,$O247))</f>
      </c>
      <c r="E247">
        <f>IF($O247="","",INDEX(Master!$E$2:$E$1001,$O247))</f>
      </c>
      <c r="F247">
        <f>IF($O247="","",INDEX(Master!$F$2:$F$1001,$O247))</f>
      </c>
      <c r="G247">
        <f>IF($O247="","",INDEX(Master!$G$2:$G$1001,$O247))</f>
      </c>
      <c r="H247">
        <f>IF($O247="","",INDEX(Master!$H$2:$H$1001,$O247))</f>
      </c>
      <c r="I247">
        <f>IF($O247="","",INDEX(Master!$I$2:$I$1001,$O247))</f>
      </c>
      <c r="J247">
        <f>IF($O247="","",INDEX(Master!$J$2:$J$1001,$O247))</f>
      </c>
      <c r="K247">
        <f t="shared" si="6"/>
      </c>
      <c r="L247">
        <f>IF($O247="","",INDEX(Master!$K$2:$K$1001,$O247))</f>
      </c>
      <c r="M247">
        <f>IF($O247="","",INDEX(Master!$L$2:$L$1001,$O247))</f>
      </c>
      <c r="O247">
        <f t="array" ref="O247">IFERROR(SMALL(IF(Master!$A$2:$A$1001="SHREE RADHE",ROW(Master!$A$2:$A$1001)-ROW(Master!$A$2)+1),243),"")</f>
      </c>
      <c r="P247">
        <f t="shared" si="7"/>
      </c>
    </row>
    <row r="248" spans="1:16" x14ac:dyDescent="0.25">
      <c r="A248">
        <f>IF($O248="","",INDEX(Master!$D$2:$D$1001,$O248))</f>
      </c>
      <c r="B248" s="236">
        <f>IF($O248="","",INDEX(Master!$B$2:$B$1001,$O248))</f>
      </c>
      <c r="C248">
        <f>IF($O248="","",INDEX(Master!$C$2:$C$1001,$O248))</f>
      </c>
      <c r="D248">
        <f>IF($O248="","",INDEX(Master!$A$2:$A$1001,$O248))</f>
      </c>
      <c r="E248">
        <f>IF($O248="","",INDEX(Master!$E$2:$E$1001,$O248))</f>
      </c>
      <c r="F248">
        <f>IF($O248="","",INDEX(Master!$F$2:$F$1001,$O248))</f>
      </c>
      <c r="G248">
        <f>IF($O248="","",INDEX(Master!$G$2:$G$1001,$O248))</f>
      </c>
      <c r="H248">
        <f>IF($O248="","",INDEX(Master!$H$2:$H$1001,$O248))</f>
      </c>
      <c r="I248">
        <f>IF($O248="","",INDEX(Master!$I$2:$I$1001,$O248))</f>
      </c>
      <c r="J248">
        <f>IF($O248="","",INDEX(Master!$J$2:$J$1001,$O248))</f>
      </c>
      <c r="K248">
        <f t="shared" si="6"/>
      </c>
      <c r="L248">
        <f>IF($O248="","",INDEX(Master!$K$2:$K$1001,$O248))</f>
      </c>
      <c r="M248">
        <f>IF($O248="","",INDEX(Master!$L$2:$L$1001,$O248))</f>
      </c>
      <c r="O248">
        <f t="array" ref="O248">IFERROR(SMALL(IF(Master!$A$2:$A$1001="SHREE RADHE",ROW(Master!$A$2:$A$1001)-ROW(Master!$A$2)+1),244),"")</f>
      </c>
      <c r="P248">
        <f t="shared" si="7"/>
      </c>
    </row>
    <row r="249" spans="1:16" x14ac:dyDescent="0.25">
      <c r="A249">
        <f>IF($O249="","",INDEX(Master!$D$2:$D$1001,$O249))</f>
      </c>
      <c r="B249" s="236">
        <f>IF($O249="","",INDEX(Master!$B$2:$B$1001,$O249))</f>
      </c>
      <c r="C249">
        <f>IF($O249="","",INDEX(Master!$C$2:$C$1001,$O249))</f>
      </c>
      <c r="D249">
        <f>IF($O249="","",INDEX(Master!$A$2:$A$1001,$O249))</f>
      </c>
      <c r="E249">
        <f>IF($O249="","",INDEX(Master!$E$2:$E$1001,$O249))</f>
      </c>
      <c r="F249">
        <f>IF($O249="","",INDEX(Master!$F$2:$F$1001,$O249))</f>
      </c>
      <c r="G249">
        <f>IF($O249="","",INDEX(Master!$G$2:$G$1001,$O249))</f>
      </c>
      <c r="H249">
        <f>IF($O249="","",INDEX(Master!$H$2:$H$1001,$O249))</f>
      </c>
      <c r="I249">
        <f>IF($O249="","",INDEX(Master!$I$2:$I$1001,$O249))</f>
      </c>
      <c r="J249">
        <f>IF($O249="","",INDEX(Master!$J$2:$J$1001,$O249))</f>
      </c>
      <c r="K249">
        <f t="shared" si="6"/>
      </c>
      <c r="L249">
        <f>IF($O249="","",INDEX(Master!$K$2:$K$1001,$O249))</f>
      </c>
      <c r="M249">
        <f>IF($O249="","",INDEX(Master!$L$2:$L$1001,$O249))</f>
      </c>
      <c r="O249">
        <f t="array" ref="O249">IFERROR(SMALL(IF(Master!$A$2:$A$1001="SHREE RADHE",ROW(Master!$A$2:$A$1001)-ROW(Master!$A$2)+1),245),"")</f>
      </c>
      <c r="P249">
        <f t="shared" si="7"/>
      </c>
    </row>
    <row r="250" spans="1:16" x14ac:dyDescent="0.25">
      <c r="A250">
        <f>IF($O250="","",INDEX(Master!$D$2:$D$1001,$O250))</f>
      </c>
      <c r="B250" s="236">
        <f>IF($O250="","",INDEX(Master!$B$2:$B$1001,$O250))</f>
      </c>
      <c r="C250">
        <f>IF($O250="","",INDEX(Master!$C$2:$C$1001,$O250))</f>
      </c>
      <c r="D250">
        <f>IF($O250="","",INDEX(Master!$A$2:$A$1001,$O250))</f>
      </c>
      <c r="E250">
        <f>IF($O250="","",INDEX(Master!$E$2:$E$1001,$O250))</f>
      </c>
      <c r="F250">
        <f>IF($O250="","",INDEX(Master!$F$2:$F$1001,$O250))</f>
      </c>
      <c r="G250">
        <f>IF($O250="","",INDEX(Master!$G$2:$G$1001,$O250))</f>
      </c>
      <c r="H250">
        <f>IF($O250="","",INDEX(Master!$H$2:$H$1001,$O250))</f>
      </c>
      <c r="I250">
        <f>IF($O250="","",INDEX(Master!$I$2:$I$1001,$O250))</f>
      </c>
      <c r="J250">
        <f>IF($O250="","",INDEX(Master!$J$2:$J$1001,$O250))</f>
      </c>
      <c r="K250">
        <f t="shared" si="6"/>
      </c>
      <c r="L250">
        <f>IF($O250="","",INDEX(Master!$K$2:$K$1001,$O250))</f>
      </c>
      <c r="M250">
        <f>IF($O250="","",INDEX(Master!$L$2:$L$1001,$O250))</f>
      </c>
      <c r="O250">
        <f t="array" ref="O250">IFERROR(SMALL(IF(Master!$A$2:$A$1001="SHREE RADHE",ROW(Master!$A$2:$A$1001)-ROW(Master!$A$2)+1),246),"")</f>
      </c>
      <c r="P250">
        <f t="shared" si="7"/>
      </c>
    </row>
    <row r="251" spans="1:16" x14ac:dyDescent="0.25">
      <c r="A251">
        <f>IF($O251="","",INDEX(Master!$D$2:$D$1001,$O251))</f>
      </c>
      <c r="B251" s="236">
        <f>IF($O251="","",INDEX(Master!$B$2:$B$1001,$O251))</f>
      </c>
      <c r="C251">
        <f>IF($O251="","",INDEX(Master!$C$2:$C$1001,$O251))</f>
      </c>
      <c r="D251">
        <f>IF($O251="","",INDEX(Master!$A$2:$A$1001,$O251))</f>
      </c>
      <c r="E251">
        <f>IF($O251="","",INDEX(Master!$E$2:$E$1001,$O251))</f>
      </c>
      <c r="F251">
        <f>IF($O251="","",INDEX(Master!$F$2:$F$1001,$O251))</f>
      </c>
      <c r="G251">
        <f>IF($O251="","",INDEX(Master!$G$2:$G$1001,$O251))</f>
      </c>
      <c r="H251">
        <f>IF($O251="","",INDEX(Master!$H$2:$H$1001,$O251))</f>
      </c>
      <c r="I251">
        <f>IF($O251="","",INDEX(Master!$I$2:$I$1001,$O251))</f>
      </c>
      <c r="J251">
        <f>IF($O251="","",INDEX(Master!$J$2:$J$1001,$O251))</f>
      </c>
      <c r="K251">
        <f t="shared" si="6"/>
      </c>
      <c r="L251">
        <f>IF($O251="","",INDEX(Master!$K$2:$K$1001,$O251))</f>
      </c>
      <c r="M251">
        <f>IF($O251="","",INDEX(Master!$L$2:$L$1001,$O251))</f>
      </c>
      <c r="O251">
        <f t="array" ref="O251">IFERROR(SMALL(IF(Master!$A$2:$A$1001="SHREE RADHE",ROW(Master!$A$2:$A$1001)-ROW(Master!$A$2)+1),247),"")</f>
      </c>
      <c r="P251">
        <f t="shared" si="7"/>
      </c>
    </row>
    <row r="252" spans="1:16" x14ac:dyDescent="0.25">
      <c r="A252">
        <f>IF($O252="","",INDEX(Master!$D$2:$D$1001,$O252))</f>
      </c>
      <c r="B252" s="236">
        <f>IF($O252="","",INDEX(Master!$B$2:$B$1001,$O252))</f>
      </c>
      <c r="C252">
        <f>IF($O252="","",INDEX(Master!$C$2:$C$1001,$O252))</f>
      </c>
      <c r="D252">
        <f>IF($O252="","",INDEX(Master!$A$2:$A$1001,$O252))</f>
      </c>
      <c r="E252">
        <f>IF($O252="","",INDEX(Master!$E$2:$E$1001,$O252))</f>
      </c>
      <c r="F252">
        <f>IF($O252="","",INDEX(Master!$F$2:$F$1001,$O252))</f>
      </c>
      <c r="G252">
        <f>IF($O252="","",INDEX(Master!$G$2:$G$1001,$O252))</f>
      </c>
      <c r="H252">
        <f>IF($O252="","",INDEX(Master!$H$2:$H$1001,$O252))</f>
      </c>
      <c r="I252">
        <f>IF($O252="","",INDEX(Master!$I$2:$I$1001,$O252))</f>
      </c>
      <c r="J252">
        <f>IF($O252="","",INDEX(Master!$J$2:$J$1001,$O252))</f>
      </c>
      <c r="K252">
        <f t="shared" si="6"/>
      </c>
      <c r="L252">
        <f>IF($O252="","",INDEX(Master!$K$2:$K$1001,$O252))</f>
      </c>
      <c r="M252">
        <f>IF($O252="","",INDEX(Master!$L$2:$L$1001,$O252))</f>
      </c>
      <c r="O252">
        <f t="array" ref="O252">IFERROR(SMALL(IF(Master!$A$2:$A$1001="SHREE RADHE",ROW(Master!$A$2:$A$1001)-ROW(Master!$A$2)+1),248),"")</f>
      </c>
      <c r="P252">
        <f t="shared" si="7"/>
      </c>
    </row>
    <row r="253" spans="1:16" x14ac:dyDescent="0.25">
      <c r="A253">
        <f>IF($O253="","",INDEX(Master!$D$2:$D$1001,$O253))</f>
      </c>
      <c r="B253" s="236">
        <f>IF($O253="","",INDEX(Master!$B$2:$B$1001,$O253))</f>
      </c>
      <c r="C253">
        <f>IF($O253="","",INDEX(Master!$C$2:$C$1001,$O253))</f>
      </c>
      <c r="D253">
        <f>IF($O253="","",INDEX(Master!$A$2:$A$1001,$O253))</f>
      </c>
      <c r="E253">
        <f>IF($O253="","",INDEX(Master!$E$2:$E$1001,$O253))</f>
      </c>
      <c r="F253">
        <f>IF($O253="","",INDEX(Master!$F$2:$F$1001,$O253))</f>
      </c>
      <c r="G253">
        <f>IF($O253="","",INDEX(Master!$G$2:$G$1001,$O253))</f>
      </c>
      <c r="H253">
        <f>IF($O253="","",INDEX(Master!$H$2:$H$1001,$O253))</f>
      </c>
      <c r="I253">
        <f>IF($O253="","",INDEX(Master!$I$2:$I$1001,$O253))</f>
      </c>
      <c r="J253">
        <f>IF($O253="","",INDEX(Master!$J$2:$J$1001,$O253))</f>
      </c>
      <c r="K253">
        <f t="shared" si="6"/>
      </c>
      <c r="L253">
        <f>IF($O253="","",INDEX(Master!$K$2:$K$1001,$O253))</f>
      </c>
      <c r="M253">
        <f>IF($O253="","",INDEX(Master!$L$2:$L$1001,$O253))</f>
      </c>
      <c r="O253">
        <f t="array" ref="O253">IFERROR(SMALL(IF(Master!$A$2:$A$1001="SHREE RADHE",ROW(Master!$A$2:$A$1001)-ROW(Master!$A$2)+1),249),"")</f>
      </c>
      <c r="P253">
        <f t="shared" si="7"/>
      </c>
    </row>
    <row r="254" spans="1:16" x14ac:dyDescent="0.25">
      <c r="A254">
        <f>IF($O254="","",INDEX(Master!$D$2:$D$1001,$O254))</f>
      </c>
      <c r="B254" s="236">
        <f>IF($O254="","",INDEX(Master!$B$2:$B$1001,$O254))</f>
      </c>
      <c r="C254">
        <f>IF($O254="","",INDEX(Master!$C$2:$C$1001,$O254))</f>
      </c>
      <c r="D254">
        <f>IF($O254="","",INDEX(Master!$A$2:$A$1001,$O254))</f>
      </c>
      <c r="E254">
        <f>IF($O254="","",INDEX(Master!$E$2:$E$1001,$O254))</f>
      </c>
      <c r="F254">
        <f>IF($O254="","",INDEX(Master!$F$2:$F$1001,$O254))</f>
      </c>
      <c r="G254">
        <f>IF($O254="","",INDEX(Master!$G$2:$G$1001,$O254))</f>
      </c>
      <c r="H254">
        <f>IF($O254="","",INDEX(Master!$H$2:$H$1001,$O254))</f>
      </c>
      <c r="I254">
        <f>IF($O254="","",INDEX(Master!$I$2:$I$1001,$O254))</f>
      </c>
      <c r="J254">
        <f>IF($O254="","",INDEX(Master!$J$2:$J$1001,$O254))</f>
      </c>
      <c r="K254">
        <f t="shared" si="6"/>
      </c>
      <c r="L254">
        <f>IF($O254="","",INDEX(Master!$K$2:$K$1001,$O254))</f>
      </c>
      <c r="M254">
        <f>IF($O254="","",INDEX(Master!$L$2:$L$1001,$O254))</f>
      </c>
      <c r="O254">
        <f t="array" ref="O254">IFERROR(SMALL(IF(Master!$A$2:$A$1001="SHREE RADHE",ROW(Master!$A$2:$A$1001)-ROW(Master!$A$2)+1),250),"")</f>
      </c>
      <c r="P254">
        <f t="shared" si="7"/>
      </c>
    </row>
    <row r="255" spans="1:16" x14ac:dyDescent="0.25">
      <c r="A255">
        <f>IF($O255="","",INDEX(Master!$D$2:$D$1001,$O255))</f>
      </c>
      <c r="B255" s="236">
        <f>IF($O255="","",INDEX(Master!$B$2:$B$1001,$O255))</f>
      </c>
      <c r="C255">
        <f>IF($O255="","",INDEX(Master!$C$2:$C$1001,$O255))</f>
      </c>
      <c r="D255">
        <f>IF($O255="","",INDEX(Master!$A$2:$A$1001,$O255))</f>
      </c>
      <c r="E255">
        <f>IF($O255="","",INDEX(Master!$E$2:$E$1001,$O255))</f>
      </c>
      <c r="F255">
        <f>IF($O255="","",INDEX(Master!$F$2:$F$1001,$O255))</f>
      </c>
      <c r="G255">
        <f>IF($O255="","",INDEX(Master!$G$2:$G$1001,$O255))</f>
      </c>
      <c r="H255">
        <f>IF($O255="","",INDEX(Master!$H$2:$H$1001,$O255))</f>
      </c>
      <c r="I255">
        <f>IF($O255="","",INDEX(Master!$I$2:$I$1001,$O255))</f>
      </c>
      <c r="J255">
        <f>IF($O255="","",INDEX(Master!$J$2:$J$1001,$O255))</f>
      </c>
      <c r="K255">
        <f t="shared" si="6"/>
      </c>
      <c r="L255">
        <f>IF($O255="","",INDEX(Master!$K$2:$K$1001,$O255))</f>
      </c>
      <c r="M255">
        <f>IF($O255="","",INDEX(Master!$L$2:$L$1001,$O255))</f>
      </c>
      <c r="O255">
        <f t="array" ref="O255">IFERROR(SMALL(IF(Master!$A$2:$A$1001="SHREE RADHE",ROW(Master!$A$2:$A$1001)-ROW(Master!$A$2)+1),251),"")</f>
      </c>
      <c r="P255">
        <f t="shared" si="7"/>
      </c>
    </row>
    <row r="256" spans="1:16" x14ac:dyDescent="0.25">
      <c r="A256">
        <f>IF($O256="","",INDEX(Master!$D$2:$D$1001,$O256))</f>
      </c>
      <c r="B256" s="236">
        <f>IF($O256="","",INDEX(Master!$B$2:$B$1001,$O256))</f>
      </c>
      <c r="C256">
        <f>IF($O256="","",INDEX(Master!$C$2:$C$1001,$O256))</f>
      </c>
      <c r="D256">
        <f>IF($O256="","",INDEX(Master!$A$2:$A$1001,$O256))</f>
      </c>
      <c r="E256">
        <f>IF($O256="","",INDEX(Master!$E$2:$E$1001,$O256))</f>
      </c>
      <c r="F256">
        <f>IF($O256="","",INDEX(Master!$F$2:$F$1001,$O256))</f>
      </c>
      <c r="G256">
        <f>IF($O256="","",INDEX(Master!$G$2:$G$1001,$O256))</f>
      </c>
      <c r="H256">
        <f>IF($O256="","",INDEX(Master!$H$2:$H$1001,$O256))</f>
      </c>
      <c r="I256">
        <f>IF($O256="","",INDEX(Master!$I$2:$I$1001,$O256))</f>
      </c>
      <c r="J256">
        <f>IF($O256="","",INDEX(Master!$J$2:$J$1001,$O256))</f>
      </c>
      <c r="K256">
        <f t="shared" si="6"/>
      </c>
      <c r="L256">
        <f>IF($O256="","",INDEX(Master!$K$2:$K$1001,$O256))</f>
      </c>
      <c r="M256">
        <f>IF($O256="","",INDEX(Master!$L$2:$L$1001,$O256))</f>
      </c>
      <c r="O256">
        <f t="array" ref="O256">IFERROR(SMALL(IF(Master!$A$2:$A$1001="SHREE RADHE",ROW(Master!$A$2:$A$1001)-ROW(Master!$A$2)+1),252),"")</f>
      </c>
      <c r="P256">
        <f t="shared" si="7"/>
      </c>
    </row>
    <row r="257" spans="1:16" x14ac:dyDescent="0.25">
      <c r="A257">
        <f>IF($O257="","",INDEX(Master!$D$2:$D$1001,$O257))</f>
      </c>
      <c r="B257" s="236">
        <f>IF($O257="","",INDEX(Master!$B$2:$B$1001,$O257))</f>
      </c>
      <c r="C257">
        <f>IF($O257="","",INDEX(Master!$C$2:$C$1001,$O257))</f>
      </c>
      <c r="D257">
        <f>IF($O257="","",INDEX(Master!$A$2:$A$1001,$O257))</f>
      </c>
      <c r="E257">
        <f>IF($O257="","",INDEX(Master!$E$2:$E$1001,$O257))</f>
      </c>
      <c r="F257">
        <f>IF($O257="","",INDEX(Master!$F$2:$F$1001,$O257))</f>
      </c>
      <c r="G257">
        <f>IF($O257="","",INDEX(Master!$G$2:$G$1001,$O257))</f>
      </c>
      <c r="H257">
        <f>IF($O257="","",INDEX(Master!$H$2:$H$1001,$O257))</f>
      </c>
      <c r="I257">
        <f>IF($O257="","",INDEX(Master!$I$2:$I$1001,$O257))</f>
      </c>
      <c r="J257">
        <f>IF($O257="","",INDEX(Master!$J$2:$J$1001,$O257))</f>
      </c>
      <c r="K257">
        <f t="shared" si="6"/>
      </c>
      <c r="L257">
        <f>IF($O257="","",INDEX(Master!$K$2:$K$1001,$O257))</f>
      </c>
      <c r="M257">
        <f>IF($O257="","",INDEX(Master!$L$2:$L$1001,$O257))</f>
      </c>
      <c r="O257">
        <f t="array" ref="O257">IFERROR(SMALL(IF(Master!$A$2:$A$1001="SHREE RADHE",ROW(Master!$A$2:$A$1001)-ROW(Master!$A$2)+1),253),"")</f>
      </c>
      <c r="P257">
        <f t="shared" si="7"/>
      </c>
    </row>
    <row r="258" spans="1:16" x14ac:dyDescent="0.25">
      <c r="A258">
        <f>IF($O258="","",INDEX(Master!$D$2:$D$1001,$O258))</f>
      </c>
      <c r="B258" s="236">
        <f>IF($O258="","",INDEX(Master!$B$2:$B$1001,$O258))</f>
      </c>
      <c r="C258">
        <f>IF($O258="","",INDEX(Master!$C$2:$C$1001,$O258))</f>
      </c>
      <c r="D258">
        <f>IF($O258="","",INDEX(Master!$A$2:$A$1001,$O258))</f>
      </c>
      <c r="E258">
        <f>IF($O258="","",INDEX(Master!$E$2:$E$1001,$O258))</f>
      </c>
      <c r="F258">
        <f>IF($O258="","",INDEX(Master!$F$2:$F$1001,$O258))</f>
      </c>
      <c r="G258">
        <f>IF($O258="","",INDEX(Master!$G$2:$G$1001,$O258))</f>
      </c>
      <c r="H258">
        <f>IF($O258="","",INDEX(Master!$H$2:$H$1001,$O258))</f>
      </c>
      <c r="I258">
        <f>IF($O258="","",INDEX(Master!$I$2:$I$1001,$O258))</f>
      </c>
      <c r="J258">
        <f>IF($O258="","",INDEX(Master!$J$2:$J$1001,$O258))</f>
      </c>
      <c r="K258">
        <f t="shared" si="6"/>
      </c>
      <c r="L258">
        <f>IF($O258="","",INDEX(Master!$K$2:$K$1001,$O258))</f>
      </c>
      <c r="M258">
        <f>IF($O258="","",INDEX(Master!$L$2:$L$1001,$O258))</f>
      </c>
      <c r="O258">
        <f t="array" ref="O258">IFERROR(SMALL(IF(Master!$A$2:$A$1001="SHREE RADHE",ROW(Master!$A$2:$A$1001)-ROW(Master!$A$2)+1),254),"")</f>
      </c>
      <c r="P258">
        <f t="shared" si="7"/>
      </c>
    </row>
    <row r="259" spans="1:16" x14ac:dyDescent="0.25">
      <c r="A259">
        <f>IF($O259="","",INDEX(Master!$D$2:$D$1001,$O259))</f>
      </c>
      <c r="B259" s="236">
        <f>IF($O259="","",INDEX(Master!$B$2:$B$1001,$O259))</f>
      </c>
      <c r="C259">
        <f>IF($O259="","",INDEX(Master!$C$2:$C$1001,$O259))</f>
      </c>
      <c r="D259">
        <f>IF($O259="","",INDEX(Master!$A$2:$A$1001,$O259))</f>
      </c>
      <c r="E259">
        <f>IF($O259="","",INDEX(Master!$E$2:$E$1001,$O259))</f>
      </c>
      <c r="F259">
        <f>IF($O259="","",INDEX(Master!$F$2:$F$1001,$O259))</f>
      </c>
      <c r="G259">
        <f>IF($O259="","",INDEX(Master!$G$2:$G$1001,$O259))</f>
      </c>
      <c r="H259">
        <f>IF($O259="","",INDEX(Master!$H$2:$H$1001,$O259))</f>
      </c>
      <c r="I259">
        <f>IF($O259="","",INDEX(Master!$I$2:$I$1001,$O259))</f>
      </c>
      <c r="J259">
        <f>IF($O259="","",INDEX(Master!$J$2:$J$1001,$O259))</f>
      </c>
      <c r="K259">
        <f t="shared" si="6"/>
      </c>
      <c r="L259">
        <f>IF($O259="","",INDEX(Master!$K$2:$K$1001,$O259))</f>
      </c>
      <c r="M259">
        <f>IF($O259="","",INDEX(Master!$L$2:$L$1001,$O259))</f>
      </c>
      <c r="O259">
        <f t="array" ref="O259">IFERROR(SMALL(IF(Master!$A$2:$A$1001="SHREE RADHE",ROW(Master!$A$2:$A$1001)-ROW(Master!$A$2)+1),255),"")</f>
      </c>
      <c r="P259">
        <f t="shared" si="7"/>
      </c>
    </row>
    <row r="260" spans="1:16" x14ac:dyDescent="0.25">
      <c r="A260">
        <f>IF($O260="","",INDEX(Master!$D$2:$D$1001,$O260))</f>
      </c>
      <c r="B260" s="236">
        <f>IF($O260="","",INDEX(Master!$B$2:$B$1001,$O260))</f>
      </c>
      <c r="C260">
        <f>IF($O260="","",INDEX(Master!$C$2:$C$1001,$O260))</f>
      </c>
      <c r="D260">
        <f>IF($O260="","",INDEX(Master!$A$2:$A$1001,$O260))</f>
      </c>
      <c r="E260">
        <f>IF($O260="","",INDEX(Master!$E$2:$E$1001,$O260))</f>
      </c>
      <c r="F260">
        <f>IF($O260="","",INDEX(Master!$F$2:$F$1001,$O260))</f>
      </c>
      <c r="G260">
        <f>IF($O260="","",INDEX(Master!$G$2:$G$1001,$O260))</f>
      </c>
      <c r="H260">
        <f>IF($O260="","",INDEX(Master!$H$2:$H$1001,$O260))</f>
      </c>
      <c r="I260">
        <f>IF($O260="","",INDEX(Master!$I$2:$I$1001,$O260))</f>
      </c>
      <c r="J260">
        <f>IF($O260="","",INDEX(Master!$J$2:$J$1001,$O260))</f>
      </c>
      <c r="K260">
        <f t="shared" si="6"/>
      </c>
      <c r="L260">
        <f>IF($O260="","",INDEX(Master!$K$2:$K$1001,$O260))</f>
      </c>
      <c r="M260">
        <f>IF($O260="","",INDEX(Master!$L$2:$L$1001,$O260))</f>
      </c>
      <c r="O260">
        <f t="array" ref="O260">IFERROR(SMALL(IF(Master!$A$2:$A$1001="SHREE RADHE",ROW(Master!$A$2:$A$1001)-ROW(Master!$A$2)+1),256),"")</f>
      </c>
      <c r="P260">
        <f t="shared" si="7"/>
      </c>
    </row>
    <row r="261" spans="1:16" x14ac:dyDescent="0.25">
      <c r="A261">
        <f>IF($O261="","",INDEX(Master!$D$2:$D$1001,$O261))</f>
      </c>
      <c r="B261" s="236">
        <f>IF($O261="","",INDEX(Master!$B$2:$B$1001,$O261))</f>
      </c>
      <c r="C261">
        <f>IF($O261="","",INDEX(Master!$C$2:$C$1001,$O261))</f>
      </c>
      <c r="D261">
        <f>IF($O261="","",INDEX(Master!$A$2:$A$1001,$O261))</f>
      </c>
      <c r="E261">
        <f>IF($O261="","",INDEX(Master!$E$2:$E$1001,$O261))</f>
      </c>
      <c r="F261">
        <f>IF($O261="","",INDEX(Master!$F$2:$F$1001,$O261))</f>
      </c>
      <c r="G261">
        <f>IF($O261="","",INDEX(Master!$G$2:$G$1001,$O261))</f>
      </c>
      <c r="H261">
        <f>IF($O261="","",INDEX(Master!$H$2:$H$1001,$O261))</f>
      </c>
      <c r="I261">
        <f>IF($O261="","",INDEX(Master!$I$2:$I$1001,$O261))</f>
      </c>
      <c r="J261">
        <f>IF($O261="","",INDEX(Master!$J$2:$J$1001,$O261))</f>
      </c>
      <c r="K261">
        <f t="shared" ref="K261:K304" si="8">IF(OR($O261="",$F261="",$F261=0),"",$H261/$F261)</f>
      </c>
      <c r="L261">
        <f>IF($O261="","",INDEX(Master!$K$2:$K$1001,$O261))</f>
      </c>
      <c r="M261">
        <f>IF($O261="","",INDEX(Master!$L$2:$L$1001,$O261))</f>
      </c>
      <c r="O261">
        <f t="array" ref="O261">IFERROR(SMALL(IF(Master!$A$2:$A$1001="SHREE RADHE",ROW(Master!$A$2:$A$1001)-ROW(Master!$A$2)+1),257),"")</f>
      </c>
      <c r="P261">
        <f t="shared" ref="P261:P304" si="9">IF($A261="",0,IF(OR(AND($E261&lt;&gt;"",OR($E261&gt;0.15)),AND($F261&lt;&gt;"",OR($F261&gt;0.045)),AND($G261&lt;&gt;"",OR($G261&gt;0.08)),AND($H261&lt;&gt;"",$H261&lt;0.5),AND($J261&lt;&gt;"",OR($J261&lt;0.1))),1,0))</f>
      </c>
    </row>
    <row r="262" spans="1:16" x14ac:dyDescent="0.25">
      <c r="A262">
        <f>IF($O262="","",INDEX(Master!$D$2:$D$1001,$O262))</f>
      </c>
      <c r="B262" s="236">
        <f>IF($O262="","",INDEX(Master!$B$2:$B$1001,$O262))</f>
      </c>
      <c r="C262">
        <f>IF($O262="","",INDEX(Master!$C$2:$C$1001,$O262))</f>
      </c>
      <c r="D262">
        <f>IF($O262="","",INDEX(Master!$A$2:$A$1001,$O262))</f>
      </c>
      <c r="E262">
        <f>IF($O262="","",INDEX(Master!$E$2:$E$1001,$O262))</f>
      </c>
      <c r="F262">
        <f>IF($O262="","",INDEX(Master!$F$2:$F$1001,$O262))</f>
      </c>
      <c r="G262">
        <f>IF($O262="","",INDEX(Master!$G$2:$G$1001,$O262))</f>
      </c>
      <c r="H262">
        <f>IF($O262="","",INDEX(Master!$H$2:$H$1001,$O262))</f>
      </c>
      <c r="I262">
        <f>IF($O262="","",INDEX(Master!$I$2:$I$1001,$O262))</f>
      </c>
      <c r="J262">
        <f>IF($O262="","",INDEX(Master!$J$2:$J$1001,$O262))</f>
      </c>
      <c r="K262">
        <f t="shared" si="8"/>
      </c>
      <c r="L262">
        <f>IF($O262="","",INDEX(Master!$K$2:$K$1001,$O262))</f>
      </c>
      <c r="M262">
        <f>IF($O262="","",INDEX(Master!$L$2:$L$1001,$O262))</f>
      </c>
      <c r="O262">
        <f t="array" ref="O262">IFERROR(SMALL(IF(Master!$A$2:$A$1001="SHREE RADHE",ROW(Master!$A$2:$A$1001)-ROW(Master!$A$2)+1),258),"")</f>
      </c>
      <c r="P262">
        <f t="shared" si="9"/>
      </c>
    </row>
    <row r="263" spans="1:16" x14ac:dyDescent="0.25">
      <c r="A263">
        <f>IF($O263="","",INDEX(Master!$D$2:$D$1001,$O263))</f>
      </c>
      <c r="B263" s="236">
        <f>IF($O263="","",INDEX(Master!$B$2:$B$1001,$O263))</f>
      </c>
      <c r="C263">
        <f>IF($O263="","",INDEX(Master!$C$2:$C$1001,$O263))</f>
      </c>
      <c r="D263">
        <f>IF($O263="","",INDEX(Master!$A$2:$A$1001,$O263))</f>
      </c>
      <c r="E263">
        <f>IF($O263="","",INDEX(Master!$E$2:$E$1001,$O263))</f>
      </c>
      <c r="F263">
        <f>IF($O263="","",INDEX(Master!$F$2:$F$1001,$O263))</f>
      </c>
      <c r="G263">
        <f>IF($O263="","",INDEX(Master!$G$2:$G$1001,$O263))</f>
      </c>
      <c r="H263">
        <f>IF($O263="","",INDEX(Master!$H$2:$H$1001,$O263))</f>
      </c>
      <c r="I263">
        <f>IF($O263="","",INDEX(Master!$I$2:$I$1001,$O263))</f>
      </c>
      <c r="J263">
        <f>IF($O263="","",INDEX(Master!$J$2:$J$1001,$O263))</f>
      </c>
      <c r="K263">
        <f t="shared" si="8"/>
      </c>
      <c r="L263">
        <f>IF($O263="","",INDEX(Master!$K$2:$K$1001,$O263))</f>
      </c>
      <c r="M263">
        <f>IF($O263="","",INDEX(Master!$L$2:$L$1001,$O263))</f>
      </c>
      <c r="O263">
        <f t="array" ref="O263">IFERROR(SMALL(IF(Master!$A$2:$A$1001="SHREE RADHE",ROW(Master!$A$2:$A$1001)-ROW(Master!$A$2)+1),259),"")</f>
      </c>
      <c r="P263">
        <f t="shared" si="9"/>
      </c>
    </row>
    <row r="264" spans="1:16" x14ac:dyDescent="0.25">
      <c r="A264">
        <f>IF($O264="","",INDEX(Master!$D$2:$D$1001,$O264))</f>
      </c>
      <c r="B264" s="236">
        <f>IF($O264="","",INDEX(Master!$B$2:$B$1001,$O264))</f>
      </c>
      <c r="C264">
        <f>IF($O264="","",INDEX(Master!$C$2:$C$1001,$O264))</f>
      </c>
      <c r="D264">
        <f>IF($O264="","",INDEX(Master!$A$2:$A$1001,$O264))</f>
      </c>
      <c r="E264">
        <f>IF($O264="","",INDEX(Master!$E$2:$E$1001,$O264))</f>
      </c>
      <c r="F264">
        <f>IF($O264="","",INDEX(Master!$F$2:$F$1001,$O264))</f>
      </c>
      <c r="G264">
        <f>IF($O264="","",INDEX(Master!$G$2:$G$1001,$O264))</f>
      </c>
      <c r="H264">
        <f>IF($O264="","",INDEX(Master!$H$2:$H$1001,$O264))</f>
      </c>
      <c r="I264">
        <f>IF($O264="","",INDEX(Master!$I$2:$I$1001,$O264))</f>
      </c>
      <c r="J264">
        <f>IF($O264="","",INDEX(Master!$J$2:$J$1001,$O264))</f>
      </c>
      <c r="K264">
        <f t="shared" si="8"/>
      </c>
      <c r="L264">
        <f>IF($O264="","",INDEX(Master!$K$2:$K$1001,$O264))</f>
      </c>
      <c r="M264">
        <f>IF($O264="","",INDEX(Master!$L$2:$L$1001,$O264))</f>
      </c>
      <c r="O264">
        <f t="array" ref="O264">IFERROR(SMALL(IF(Master!$A$2:$A$1001="SHREE RADHE",ROW(Master!$A$2:$A$1001)-ROW(Master!$A$2)+1),260),"")</f>
      </c>
      <c r="P264">
        <f t="shared" si="9"/>
      </c>
    </row>
    <row r="265" spans="1:16" x14ac:dyDescent="0.25">
      <c r="A265">
        <f>IF($O265="","",INDEX(Master!$D$2:$D$1001,$O265))</f>
      </c>
      <c r="B265" s="236">
        <f>IF($O265="","",INDEX(Master!$B$2:$B$1001,$O265))</f>
      </c>
      <c r="C265">
        <f>IF($O265="","",INDEX(Master!$C$2:$C$1001,$O265))</f>
      </c>
      <c r="D265">
        <f>IF($O265="","",INDEX(Master!$A$2:$A$1001,$O265))</f>
      </c>
      <c r="E265">
        <f>IF($O265="","",INDEX(Master!$E$2:$E$1001,$O265))</f>
      </c>
      <c r="F265">
        <f>IF($O265="","",INDEX(Master!$F$2:$F$1001,$O265))</f>
      </c>
      <c r="G265">
        <f>IF($O265="","",INDEX(Master!$G$2:$G$1001,$O265))</f>
      </c>
      <c r="H265">
        <f>IF($O265="","",INDEX(Master!$H$2:$H$1001,$O265))</f>
      </c>
      <c r="I265">
        <f>IF($O265="","",INDEX(Master!$I$2:$I$1001,$O265))</f>
      </c>
      <c r="J265">
        <f>IF($O265="","",INDEX(Master!$J$2:$J$1001,$O265))</f>
      </c>
      <c r="K265">
        <f t="shared" si="8"/>
      </c>
      <c r="L265">
        <f>IF($O265="","",INDEX(Master!$K$2:$K$1001,$O265))</f>
      </c>
      <c r="M265">
        <f>IF($O265="","",INDEX(Master!$L$2:$L$1001,$O265))</f>
      </c>
      <c r="O265">
        <f t="array" ref="O265">IFERROR(SMALL(IF(Master!$A$2:$A$1001="SHREE RADHE",ROW(Master!$A$2:$A$1001)-ROW(Master!$A$2)+1),261),"")</f>
      </c>
      <c r="P265">
        <f t="shared" si="9"/>
      </c>
    </row>
    <row r="266" spans="1:16" x14ac:dyDescent="0.25">
      <c r="A266">
        <f>IF($O266="","",INDEX(Master!$D$2:$D$1001,$O266))</f>
      </c>
      <c r="B266" s="236">
        <f>IF($O266="","",INDEX(Master!$B$2:$B$1001,$O266))</f>
      </c>
      <c r="C266">
        <f>IF($O266="","",INDEX(Master!$C$2:$C$1001,$O266))</f>
      </c>
      <c r="D266">
        <f>IF($O266="","",INDEX(Master!$A$2:$A$1001,$O266))</f>
      </c>
      <c r="E266">
        <f>IF($O266="","",INDEX(Master!$E$2:$E$1001,$O266))</f>
      </c>
      <c r="F266">
        <f>IF($O266="","",INDEX(Master!$F$2:$F$1001,$O266))</f>
      </c>
      <c r="G266">
        <f>IF($O266="","",INDEX(Master!$G$2:$G$1001,$O266))</f>
      </c>
      <c r="H266">
        <f>IF($O266="","",INDEX(Master!$H$2:$H$1001,$O266))</f>
      </c>
      <c r="I266">
        <f>IF($O266="","",INDEX(Master!$I$2:$I$1001,$O266))</f>
      </c>
      <c r="J266">
        <f>IF($O266="","",INDEX(Master!$J$2:$J$1001,$O266))</f>
      </c>
      <c r="K266">
        <f t="shared" si="8"/>
      </c>
      <c r="L266">
        <f>IF($O266="","",INDEX(Master!$K$2:$K$1001,$O266))</f>
      </c>
      <c r="M266">
        <f>IF($O266="","",INDEX(Master!$L$2:$L$1001,$O266))</f>
      </c>
      <c r="O266">
        <f t="array" ref="O266">IFERROR(SMALL(IF(Master!$A$2:$A$1001="SHREE RADHE",ROW(Master!$A$2:$A$1001)-ROW(Master!$A$2)+1),262),"")</f>
      </c>
      <c r="P266">
        <f t="shared" si="9"/>
      </c>
    </row>
    <row r="267" spans="1:16" x14ac:dyDescent="0.25">
      <c r="A267">
        <f>IF($O267="","",INDEX(Master!$D$2:$D$1001,$O267))</f>
      </c>
      <c r="B267" s="236">
        <f>IF($O267="","",INDEX(Master!$B$2:$B$1001,$O267))</f>
      </c>
      <c r="C267">
        <f>IF($O267="","",INDEX(Master!$C$2:$C$1001,$O267))</f>
      </c>
      <c r="D267">
        <f>IF($O267="","",INDEX(Master!$A$2:$A$1001,$O267))</f>
      </c>
      <c r="E267">
        <f>IF($O267="","",INDEX(Master!$E$2:$E$1001,$O267))</f>
      </c>
      <c r="F267">
        <f>IF($O267="","",INDEX(Master!$F$2:$F$1001,$O267))</f>
      </c>
      <c r="G267">
        <f>IF($O267="","",INDEX(Master!$G$2:$G$1001,$O267))</f>
      </c>
      <c r="H267">
        <f>IF($O267="","",INDEX(Master!$H$2:$H$1001,$O267))</f>
      </c>
      <c r="I267">
        <f>IF($O267="","",INDEX(Master!$I$2:$I$1001,$O267))</f>
      </c>
      <c r="J267">
        <f>IF($O267="","",INDEX(Master!$J$2:$J$1001,$O267))</f>
      </c>
      <c r="K267">
        <f t="shared" si="8"/>
      </c>
      <c r="L267">
        <f>IF($O267="","",INDEX(Master!$K$2:$K$1001,$O267))</f>
      </c>
      <c r="M267">
        <f>IF($O267="","",INDEX(Master!$L$2:$L$1001,$O267))</f>
      </c>
      <c r="O267">
        <f t="array" ref="O267">IFERROR(SMALL(IF(Master!$A$2:$A$1001="SHREE RADHE",ROW(Master!$A$2:$A$1001)-ROW(Master!$A$2)+1),263),"")</f>
      </c>
      <c r="P267">
        <f t="shared" si="9"/>
      </c>
    </row>
    <row r="268" spans="1:16" x14ac:dyDescent="0.25">
      <c r="A268">
        <f>IF($O268="","",INDEX(Master!$D$2:$D$1001,$O268))</f>
      </c>
      <c r="B268" s="236">
        <f>IF($O268="","",INDEX(Master!$B$2:$B$1001,$O268))</f>
      </c>
      <c r="C268">
        <f>IF($O268="","",INDEX(Master!$C$2:$C$1001,$O268))</f>
      </c>
      <c r="D268">
        <f>IF($O268="","",INDEX(Master!$A$2:$A$1001,$O268))</f>
      </c>
      <c r="E268">
        <f>IF($O268="","",INDEX(Master!$E$2:$E$1001,$O268))</f>
      </c>
      <c r="F268">
        <f>IF($O268="","",INDEX(Master!$F$2:$F$1001,$O268))</f>
      </c>
      <c r="G268">
        <f>IF($O268="","",INDEX(Master!$G$2:$G$1001,$O268))</f>
      </c>
      <c r="H268">
        <f>IF($O268="","",INDEX(Master!$H$2:$H$1001,$O268))</f>
      </c>
      <c r="I268">
        <f>IF($O268="","",INDEX(Master!$I$2:$I$1001,$O268))</f>
      </c>
      <c r="J268">
        <f>IF($O268="","",INDEX(Master!$J$2:$J$1001,$O268))</f>
      </c>
      <c r="K268">
        <f t="shared" si="8"/>
      </c>
      <c r="L268">
        <f>IF($O268="","",INDEX(Master!$K$2:$K$1001,$O268))</f>
      </c>
      <c r="M268">
        <f>IF($O268="","",INDEX(Master!$L$2:$L$1001,$O268))</f>
      </c>
      <c r="O268">
        <f t="array" ref="O268">IFERROR(SMALL(IF(Master!$A$2:$A$1001="SHREE RADHE",ROW(Master!$A$2:$A$1001)-ROW(Master!$A$2)+1),264),"")</f>
      </c>
      <c r="P268">
        <f t="shared" si="9"/>
      </c>
    </row>
    <row r="269" spans="1:16" x14ac:dyDescent="0.25">
      <c r="A269">
        <f>IF($O269="","",INDEX(Master!$D$2:$D$1001,$O269))</f>
      </c>
      <c r="B269" s="236">
        <f>IF($O269="","",INDEX(Master!$B$2:$B$1001,$O269))</f>
      </c>
      <c r="C269">
        <f>IF($O269="","",INDEX(Master!$C$2:$C$1001,$O269))</f>
      </c>
      <c r="D269">
        <f>IF($O269="","",INDEX(Master!$A$2:$A$1001,$O269))</f>
      </c>
      <c r="E269">
        <f>IF($O269="","",INDEX(Master!$E$2:$E$1001,$O269))</f>
      </c>
      <c r="F269">
        <f>IF($O269="","",INDEX(Master!$F$2:$F$1001,$O269))</f>
      </c>
      <c r="G269">
        <f>IF($O269="","",INDEX(Master!$G$2:$G$1001,$O269))</f>
      </c>
      <c r="H269">
        <f>IF($O269="","",INDEX(Master!$H$2:$H$1001,$O269))</f>
      </c>
      <c r="I269">
        <f>IF($O269="","",INDEX(Master!$I$2:$I$1001,$O269))</f>
      </c>
      <c r="J269">
        <f>IF($O269="","",INDEX(Master!$J$2:$J$1001,$O269))</f>
      </c>
      <c r="K269">
        <f t="shared" si="8"/>
      </c>
      <c r="L269">
        <f>IF($O269="","",INDEX(Master!$K$2:$K$1001,$O269))</f>
      </c>
      <c r="M269">
        <f>IF($O269="","",INDEX(Master!$L$2:$L$1001,$O269))</f>
      </c>
      <c r="O269">
        <f t="array" ref="O269">IFERROR(SMALL(IF(Master!$A$2:$A$1001="SHREE RADHE",ROW(Master!$A$2:$A$1001)-ROW(Master!$A$2)+1),265),"")</f>
      </c>
      <c r="P269">
        <f t="shared" si="9"/>
      </c>
    </row>
    <row r="270" spans="1:16" x14ac:dyDescent="0.25">
      <c r="A270">
        <f>IF($O270="","",INDEX(Master!$D$2:$D$1001,$O270))</f>
      </c>
      <c r="B270" s="236">
        <f>IF($O270="","",INDEX(Master!$B$2:$B$1001,$O270))</f>
      </c>
      <c r="C270">
        <f>IF($O270="","",INDEX(Master!$C$2:$C$1001,$O270))</f>
      </c>
      <c r="D270">
        <f>IF($O270="","",INDEX(Master!$A$2:$A$1001,$O270))</f>
      </c>
      <c r="E270">
        <f>IF($O270="","",INDEX(Master!$E$2:$E$1001,$O270))</f>
      </c>
      <c r="F270">
        <f>IF($O270="","",INDEX(Master!$F$2:$F$1001,$O270))</f>
      </c>
      <c r="G270">
        <f>IF($O270="","",INDEX(Master!$G$2:$G$1001,$O270))</f>
      </c>
      <c r="H270">
        <f>IF($O270="","",INDEX(Master!$H$2:$H$1001,$O270))</f>
      </c>
      <c r="I270">
        <f>IF($O270="","",INDEX(Master!$I$2:$I$1001,$O270))</f>
      </c>
      <c r="J270">
        <f>IF($O270="","",INDEX(Master!$J$2:$J$1001,$O270))</f>
      </c>
      <c r="K270">
        <f t="shared" si="8"/>
      </c>
      <c r="L270">
        <f>IF($O270="","",INDEX(Master!$K$2:$K$1001,$O270))</f>
      </c>
      <c r="M270">
        <f>IF($O270="","",INDEX(Master!$L$2:$L$1001,$O270))</f>
      </c>
      <c r="O270">
        <f t="array" ref="O270">IFERROR(SMALL(IF(Master!$A$2:$A$1001="SHREE RADHE",ROW(Master!$A$2:$A$1001)-ROW(Master!$A$2)+1),266),"")</f>
      </c>
      <c r="P270">
        <f t="shared" si="9"/>
      </c>
    </row>
    <row r="271" spans="1:16" x14ac:dyDescent="0.25">
      <c r="A271">
        <f>IF($O271="","",INDEX(Master!$D$2:$D$1001,$O271))</f>
      </c>
      <c r="B271" s="236">
        <f>IF($O271="","",INDEX(Master!$B$2:$B$1001,$O271))</f>
      </c>
      <c r="C271">
        <f>IF($O271="","",INDEX(Master!$C$2:$C$1001,$O271))</f>
      </c>
      <c r="D271">
        <f>IF($O271="","",INDEX(Master!$A$2:$A$1001,$O271))</f>
      </c>
      <c r="E271">
        <f>IF($O271="","",INDEX(Master!$E$2:$E$1001,$O271))</f>
      </c>
      <c r="F271">
        <f>IF($O271="","",INDEX(Master!$F$2:$F$1001,$O271))</f>
      </c>
      <c r="G271">
        <f>IF($O271="","",INDEX(Master!$G$2:$G$1001,$O271))</f>
      </c>
      <c r="H271">
        <f>IF($O271="","",INDEX(Master!$H$2:$H$1001,$O271))</f>
      </c>
      <c r="I271">
        <f>IF($O271="","",INDEX(Master!$I$2:$I$1001,$O271))</f>
      </c>
      <c r="J271">
        <f>IF($O271="","",INDEX(Master!$J$2:$J$1001,$O271))</f>
      </c>
      <c r="K271">
        <f t="shared" si="8"/>
      </c>
      <c r="L271">
        <f>IF($O271="","",INDEX(Master!$K$2:$K$1001,$O271))</f>
      </c>
      <c r="M271">
        <f>IF($O271="","",INDEX(Master!$L$2:$L$1001,$O271))</f>
      </c>
      <c r="O271">
        <f t="array" ref="O271">IFERROR(SMALL(IF(Master!$A$2:$A$1001="SHREE RADHE",ROW(Master!$A$2:$A$1001)-ROW(Master!$A$2)+1),267),"")</f>
      </c>
      <c r="P271">
        <f t="shared" si="9"/>
      </c>
    </row>
    <row r="272" spans="1:16" x14ac:dyDescent="0.25">
      <c r="A272">
        <f>IF($O272="","",INDEX(Master!$D$2:$D$1001,$O272))</f>
      </c>
      <c r="B272" s="236">
        <f>IF($O272="","",INDEX(Master!$B$2:$B$1001,$O272))</f>
      </c>
      <c r="C272">
        <f>IF($O272="","",INDEX(Master!$C$2:$C$1001,$O272))</f>
      </c>
      <c r="D272">
        <f>IF($O272="","",INDEX(Master!$A$2:$A$1001,$O272))</f>
      </c>
      <c r="E272">
        <f>IF($O272="","",INDEX(Master!$E$2:$E$1001,$O272))</f>
      </c>
      <c r="F272">
        <f>IF($O272="","",INDEX(Master!$F$2:$F$1001,$O272))</f>
      </c>
      <c r="G272">
        <f>IF($O272="","",INDEX(Master!$G$2:$G$1001,$O272))</f>
      </c>
      <c r="H272">
        <f>IF($O272="","",INDEX(Master!$H$2:$H$1001,$O272))</f>
      </c>
      <c r="I272">
        <f>IF($O272="","",INDEX(Master!$I$2:$I$1001,$O272))</f>
      </c>
      <c r="J272">
        <f>IF($O272="","",INDEX(Master!$J$2:$J$1001,$O272))</f>
      </c>
      <c r="K272">
        <f t="shared" si="8"/>
      </c>
      <c r="L272">
        <f>IF($O272="","",INDEX(Master!$K$2:$K$1001,$O272))</f>
      </c>
      <c r="M272">
        <f>IF($O272="","",INDEX(Master!$L$2:$L$1001,$O272))</f>
      </c>
      <c r="O272">
        <f t="array" ref="O272">IFERROR(SMALL(IF(Master!$A$2:$A$1001="SHREE RADHE",ROW(Master!$A$2:$A$1001)-ROW(Master!$A$2)+1),268),"")</f>
      </c>
      <c r="P272">
        <f t="shared" si="9"/>
      </c>
    </row>
    <row r="273" spans="1:16" x14ac:dyDescent="0.25">
      <c r="A273">
        <f>IF($O273="","",INDEX(Master!$D$2:$D$1001,$O273))</f>
      </c>
      <c r="B273" s="236">
        <f>IF($O273="","",INDEX(Master!$B$2:$B$1001,$O273))</f>
      </c>
      <c r="C273">
        <f>IF($O273="","",INDEX(Master!$C$2:$C$1001,$O273))</f>
      </c>
      <c r="D273">
        <f>IF($O273="","",INDEX(Master!$A$2:$A$1001,$O273))</f>
      </c>
      <c r="E273">
        <f>IF($O273="","",INDEX(Master!$E$2:$E$1001,$O273))</f>
      </c>
      <c r="F273">
        <f>IF($O273="","",INDEX(Master!$F$2:$F$1001,$O273))</f>
      </c>
      <c r="G273">
        <f>IF($O273="","",INDEX(Master!$G$2:$G$1001,$O273))</f>
      </c>
      <c r="H273">
        <f>IF($O273="","",INDEX(Master!$H$2:$H$1001,$O273))</f>
      </c>
      <c r="I273">
        <f>IF($O273="","",INDEX(Master!$I$2:$I$1001,$O273))</f>
      </c>
      <c r="J273">
        <f>IF($O273="","",INDEX(Master!$J$2:$J$1001,$O273))</f>
      </c>
      <c r="K273">
        <f t="shared" si="8"/>
      </c>
      <c r="L273">
        <f>IF($O273="","",INDEX(Master!$K$2:$K$1001,$O273))</f>
      </c>
      <c r="M273">
        <f>IF($O273="","",INDEX(Master!$L$2:$L$1001,$O273))</f>
      </c>
      <c r="O273">
        <f t="array" ref="O273">IFERROR(SMALL(IF(Master!$A$2:$A$1001="SHREE RADHE",ROW(Master!$A$2:$A$1001)-ROW(Master!$A$2)+1),269),"")</f>
      </c>
      <c r="P273">
        <f t="shared" si="9"/>
      </c>
    </row>
    <row r="274" spans="1:16" x14ac:dyDescent="0.25">
      <c r="A274">
        <f>IF($O274="","",INDEX(Master!$D$2:$D$1001,$O274))</f>
      </c>
      <c r="B274" s="236">
        <f>IF($O274="","",INDEX(Master!$B$2:$B$1001,$O274))</f>
      </c>
      <c r="C274">
        <f>IF($O274="","",INDEX(Master!$C$2:$C$1001,$O274))</f>
      </c>
      <c r="D274">
        <f>IF($O274="","",INDEX(Master!$A$2:$A$1001,$O274))</f>
      </c>
      <c r="E274">
        <f>IF($O274="","",INDEX(Master!$E$2:$E$1001,$O274))</f>
      </c>
      <c r="F274">
        <f>IF($O274="","",INDEX(Master!$F$2:$F$1001,$O274))</f>
      </c>
      <c r="G274">
        <f>IF($O274="","",INDEX(Master!$G$2:$G$1001,$O274))</f>
      </c>
      <c r="H274">
        <f>IF($O274="","",INDEX(Master!$H$2:$H$1001,$O274))</f>
      </c>
      <c r="I274">
        <f>IF($O274="","",INDEX(Master!$I$2:$I$1001,$O274))</f>
      </c>
      <c r="J274">
        <f>IF($O274="","",INDEX(Master!$J$2:$J$1001,$O274))</f>
      </c>
      <c r="K274">
        <f t="shared" si="8"/>
      </c>
      <c r="L274">
        <f>IF($O274="","",INDEX(Master!$K$2:$K$1001,$O274))</f>
      </c>
      <c r="M274">
        <f>IF($O274="","",INDEX(Master!$L$2:$L$1001,$O274))</f>
      </c>
      <c r="O274">
        <f t="array" ref="O274">IFERROR(SMALL(IF(Master!$A$2:$A$1001="SHREE RADHE",ROW(Master!$A$2:$A$1001)-ROW(Master!$A$2)+1),270),"")</f>
      </c>
      <c r="P274">
        <f t="shared" si="9"/>
      </c>
    </row>
    <row r="275" spans="1:16" x14ac:dyDescent="0.25">
      <c r="A275">
        <f>IF($O275="","",INDEX(Master!$D$2:$D$1001,$O275))</f>
      </c>
      <c r="B275" s="236">
        <f>IF($O275="","",INDEX(Master!$B$2:$B$1001,$O275))</f>
      </c>
      <c r="C275">
        <f>IF($O275="","",INDEX(Master!$C$2:$C$1001,$O275))</f>
      </c>
      <c r="D275">
        <f>IF($O275="","",INDEX(Master!$A$2:$A$1001,$O275))</f>
      </c>
      <c r="E275">
        <f>IF($O275="","",INDEX(Master!$E$2:$E$1001,$O275))</f>
      </c>
      <c r="F275">
        <f>IF($O275="","",INDEX(Master!$F$2:$F$1001,$O275))</f>
      </c>
      <c r="G275">
        <f>IF($O275="","",INDEX(Master!$G$2:$G$1001,$O275))</f>
      </c>
      <c r="H275">
        <f>IF($O275="","",INDEX(Master!$H$2:$H$1001,$O275))</f>
      </c>
      <c r="I275">
        <f>IF($O275="","",INDEX(Master!$I$2:$I$1001,$O275))</f>
      </c>
      <c r="J275">
        <f>IF($O275="","",INDEX(Master!$J$2:$J$1001,$O275))</f>
      </c>
      <c r="K275">
        <f t="shared" si="8"/>
      </c>
      <c r="L275">
        <f>IF($O275="","",INDEX(Master!$K$2:$K$1001,$O275))</f>
      </c>
      <c r="M275">
        <f>IF($O275="","",INDEX(Master!$L$2:$L$1001,$O275))</f>
      </c>
      <c r="O275">
        <f t="array" ref="O275">IFERROR(SMALL(IF(Master!$A$2:$A$1001="SHREE RADHE",ROW(Master!$A$2:$A$1001)-ROW(Master!$A$2)+1),271),"")</f>
      </c>
      <c r="P275">
        <f t="shared" si="9"/>
      </c>
    </row>
    <row r="276" spans="1:16" x14ac:dyDescent="0.25">
      <c r="A276">
        <f>IF($O276="","",INDEX(Master!$D$2:$D$1001,$O276))</f>
      </c>
      <c r="B276" s="236">
        <f>IF($O276="","",INDEX(Master!$B$2:$B$1001,$O276))</f>
      </c>
      <c r="C276">
        <f>IF($O276="","",INDEX(Master!$C$2:$C$1001,$O276))</f>
      </c>
      <c r="D276">
        <f>IF($O276="","",INDEX(Master!$A$2:$A$1001,$O276))</f>
      </c>
      <c r="E276">
        <f>IF($O276="","",INDEX(Master!$E$2:$E$1001,$O276))</f>
      </c>
      <c r="F276">
        <f>IF($O276="","",INDEX(Master!$F$2:$F$1001,$O276))</f>
      </c>
      <c r="G276">
        <f>IF($O276="","",INDEX(Master!$G$2:$G$1001,$O276))</f>
      </c>
      <c r="H276">
        <f>IF($O276="","",INDEX(Master!$H$2:$H$1001,$O276))</f>
      </c>
      <c r="I276">
        <f>IF($O276="","",INDEX(Master!$I$2:$I$1001,$O276))</f>
      </c>
      <c r="J276">
        <f>IF($O276="","",INDEX(Master!$J$2:$J$1001,$O276))</f>
      </c>
      <c r="K276">
        <f t="shared" si="8"/>
      </c>
      <c r="L276">
        <f>IF($O276="","",INDEX(Master!$K$2:$K$1001,$O276))</f>
      </c>
      <c r="M276">
        <f>IF($O276="","",INDEX(Master!$L$2:$L$1001,$O276))</f>
      </c>
      <c r="O276">
        <f t="array" ref="O276">IFERROR(SMALL(IF(Master!$A$2:$A$1001="SHREE RADHE",ROW(Master!$A$2:$A$1001)-ROW(Master!$A$2)+1),272),"")</f>
      </c>
      <c r="P276">
        <f t="shared" si="9"/>
      </c>
    </row>
    <row r="277" spans="1:16" x14ac:dyDescent="0.25">
      <c r="A277">
        <f>IF($O277="","",INDEX(Master!$D$2:$D$1001,$O277))</f>
      </c>
      <c r="B277" s="236">
        <f>IF($O277="","",INDEX(Master!$B$2:$B$1001,$O277))</f>
      </c>
      <c r="C277">
        <f>IF($O277="","",INDEX(Master!$C$2:$C$1001,$O277))</f>
      </c>
      <c r="D277">
        <f>IF($O277="","",INDEX(Master!$A$2:$A$1001,$O277))</f>
      </c>
      <c r="E277">
        <f>IF($O277="","",INDEX(Master!$E$2:$E$1001,$O277))</f>
      </c>
      <c r="F277">
        <f>IF($O277="","",INDEX(Master!$F$2:$F$1001,$O277))</f>
      </c>
      <c r="G277">
        <f>IF($O277="","",INDEX(Master!$G$2:$G$1001,$O277))</f>
      </c>
      <c r="H277">
        <f>IF($O277="","",INDEX(Master!$H$2:$H$1001,$O277))</f>
      </c>
      <c r="I277">
        <f>IF($O277="","",INDEX(Master!$I$2:$I$1001,$O277))</f>
      </c>
      <c r="J277">
        <f>IF($O277="","",INDEX(Master!$J$2:$J$1001,$O277))</f>
      </c>
      <c r="K277">
        <f t="shared" si="8"/>
      </c>
      <c r="L277">
        <f>IF($O277="","",INDEX(Master!$K$2:$K$1001,$O277))</f>
      </c>
      <c r="M277">
        <f>IF($O277="","",INDEX(Master!$L$2:$L$1001,$O277))</f>
      </c>
      <c r="O277">
        <f t="array" ref="O277">IFERROR(SMALL(IF(Master!$A$2:$A$1001="SHREE RADHE",ROW(Master!$A$2:$A$1001)-ROW(Master!$A$2)+1),273),"")</f>
      </c>
      <c r="P277">
        <f t="shared" si="9"/>
      </c>
    </row>
    <row r="278" spans="1:16" x14ac:dyDescent="0.25">
      <c r="A278">
        <f>IF($O278="","",INDEX(Master!$D$2:$D$1001,$O278))</f>
      </c>
      <c r="B278" s="236">
        <f>IF($O278="","",INDEX(Master!$B$2:$B$1001,$O278))</f>
      </c>
      <c r="C278">
        <f>IF($O278="","",INDEX(Master!$C$2:$C$1001,$O278))</f>
      </c>
      <c r="D278">
        <f>IF($O278="","",INDEX(Master!$A$2:$A$1001,$O278))</f>
      </c>
      <c r="E278">
        <f>IF($O278="","",INDEX(Master!$E$2:$E$1001,$O278))</f>
      </c>
      <c r="F278">
        <f>IF($O278="","",INDEX(Master!$F$2:$F$1001,$O278))</f>
      </c>
      <c r="G278">
        <f>IF($O278="","",INDEX(Master!$G$2:$G$1001,$O278))</f>
      </c>
      <c r="H278">
        <f>IF($O278="","",INDEX(Master!$H$2:$H$1001,$O278))</f>
      </c>
      <c r="I278">
        <f>IF($O278="","",INDEX(Master!$I$2:$I$1001,$O278))</f>
      </c>
      <c r="J278">
        <f>IF($O278="","",INDEX(Master!$J$2:$J$1001,$O278))</f>
      </c>
      <c r="K278">
        <f t="shared" si="8"/>
      </c>
      <c r="L278">
        <f>IF($O278="","",INDEX(Master!$K$2:$K$1001,$O278))</f>
      </c>
      <c r="M278">
        <f>IF($O278="","",INDEX(Master!$L$2:$L$1001,$O278))</f>
      </c>
      <c r="O278">
        <f t="array" ref="O278">IFERROR(SMALL(IF(Master!$A$2:$A$1001="SHREE RADHE",ROW(Master!$A$2:$A$1001)-ROW(Master!$A$2)+1),274),"")</f>
      </c>
      <c r="P278">
        <f t="shared" si="9"/>
      </c>
    </row>
    <row r="279" spans="1:16" x14ac:dyDescent="0.25">
      <c r="A279">
        <f>IF($O279="","",INDEX(Master!$D$2:$D$1001,$O279))</f>
      </c>
      <c r="B279" s="236">
        <f>IF($O279="","",INDEX(Master!$B$2:$B$1001,$O279))</f>
      </c>
      <c r="C279">
        <f>IF($O279="","",INDEX(Master!$C$2:$C$1001,$O279))</f>
      </c>
      <c r="D279">
        <f>IF($O279="","",INDEX(Master!$A$2:$A$1001,$O279))</f>
      </c>
      <c r="E279">
        <f>IF($O279="","",INDEX(Master!$E$2:$E$1001,$O279))</f>
      </c>
      <c r="F279">
        <f>IF($O279="","",INDEX(Master!$F$2:$F$1001,$O279))</f>
      </c>
      <c r="G279">
        <f>IF($O279="","",INDEX(Master!$G$2:$G$1001,$O279))</f>
      </c>
      <c r="H279">
        <f>IF($O279="","",INDEX(Master!$H$2:$H$1001,$O279))</f>
      </c>
      <c r="I279">
        <f>IF($O279="","",INDEX(Master!$I$2:$I$1001,$O279))</f>
      </c>
      <c r="J279">
        <f>IF($O279="","",INDEX(Master!$J$2:$J$1001,$O279))</f>
      </c>
      <c r="K279">
        <f t="shared" si="8"/>
      </c>
      <c r="L279">
        <f>IF($O279="","",INDEX(Master!$K$2:$K$1001,$O279))</f>
      </c>
      <c r="M279">
        <f>IF($O279="","",INDEX(Master!$L$2:$L$1001,$O279))</f>
      </c>
      <c r="O279">
        <f t="array" ref="O279">IFERROR(SMALL(IF(Master!$A$2:$A$1001="SHREE RADHE",ROW(Master!$A$2:$A$1001)-ROW(Master!$A$2)+1),275),"")</f>
      </c>
      <c r="P279">
        <f t="shared" si="9"/>
      </c>
    </row>
    <row r="280" spans="1:16" x14ac:dyDescent="0.25">
      <c r="A280">
        <f>IF($O280="","",INDEX(Master!$D$2:$D$1001,$O280))</f>
      </c>
      <c r="B280" s="236">
        <f>IF($O280="","",INDEX(Master!$B$2:$B$1001,$O280))</f>
      </c>
      <c r="C280">
        <f>IF($O280="","",INDEX(Master!$C$2:$C$1001,$O280))</f>
      </c>
      <c r="D280">
        <f>IF($O280="","",INDEX(Master!$A$2:$A$1001,$O280))</f>
      </c>
      <c r="E280">
        <f>IF($O280="","",INDEX(Master!$E$2:$E$1001,$O280))</f>
      </c>
      <c r="F280">
        <f>IF($O280="","",INDEX(Master!$F$2:$F$1001,$O280))</f>
      </c>
      <c r="G280">
        <f>IF($O280="","",INDEX(Master!$G$2:$G$1001,$O280))</f>
      </c>
      <c r="H280">
        <f>IF($O280="","",INDEX(Master!$H$2:$H$1001,$O280))</f>
      </c>
      <c r="I280">
        <f>IF($O280="","",INDEX(Master!$I$2:$I$1001,$O280))</f>
      </c>
      <c r="J280">
        <f>IF($O280="","",INDEX(Master!$J$2:$J$1001,$O280))</f>
      </c>
      <c r="K280">
        <f t="shared" si="8"/>
      </c>
      <c r="L280">
        <f>IF($O280="","",INDEX(Master!$K$2:$K$1001,$O280))</f>
      </c>
      <c r="M280">
        <f>IF($O280="","",INDEX(Master!$L$2:$L$1001,$O280))</f>
      </c>
      <c r="O280">
        <f t="array" ref="O280">IFERROR(SMALL(IF(Master!$A$2:$A$1001="SHREE RADHE",ROW(Master!$A$2:$A$1001)-ROW(Master!$A$2)+1),276),"")</f>
      </c>
      <c r="P280">
        <f t="shared" si="9"/>
      </c>
    </row>
    <row r="281" spans="1:16" x14ac:dyDescent="0.25">
      <c r="A281">
        <f>IF($O281="","",INDEX(Master!$D$2:$D$1001,$O281))</f>
      </c>
      <c r="B281" s="236">
        <f>IF($O281="","",INDEX(Master!$B$2:$B$1001,$O281))</f>
      </c>
      <c r="C281">
        <f>IF($O281="","",INDEX(Master!$C$2:$C$1001,$O281))</f>
      </c>
      <c r="D281">
        <f>IF($O281="","",INDEX(Master!$A$2:$A$1001,$O281))</f>
      </c>
      <c r="E281">
        <f>IF($O281="","",INDEX(Master!$E$2:$E$1001,$O281))</f>
      </c>
      <c r="F281">
        <f>IF($O281="","",INDEX(Master!$F$2:$F$1001,$O281))</f>
      </c>
      <c r="G281">
        <f>IF($O281="","",INDEX(Master!$G$2:$G$1001,$O281))</f>
      </c>
      <c r="H281">
        <f>IF($O281="","",INDEX(Master!$H$2:$H$1001,$O281))</f>
      </c>
      <c r="I281">
        <f>IF($O281="","",INDEX(Master!$I$2:$I$1001,$O281))</f>
      </c>
      <c r="J281">
        <f>IF($O281="","",INDEX(Master!$J$2:$J$1001,$O281))</f>
      </c>
      <c r="K281">
        <f t="shared" si="8"/>
      </c>
      <c r="L281">
        <f>IF($O281="","",INDEX(Master!$K$2:$K$1001,$O281))</f>
      </c>
      <c r="M281">
        <f>IF($O281="","",INDEX(Master!$L$2:$L$1001,$O281))</f>
      </c>
      <c r="O281">
        <f t="array" ref="O281">IFERROR(SMALL(IF(Master!$A$2:$A$1001="SHREE RADHE",ROW(Master!$A$2:$A$1001)-ROW(Master!$A$2)+1),277),"")</f>
      </c>
      <c r="P281">
        <f t="shared" si="9"/>
      </c>
    </row>
    <row r="282" spans="1:16" x14ac:dyDescent="0.25">
      <c r="A282">
        <f>IF($O282="","",INDEX(Master!$D$2:$D$1001,$O282))</f>
      </c>
      <c r="B282" s="236">
        <f>IF($O282="","",INDEX(Master!$B$2:$B$1001,$O282))</f>
      </c>
      <c r="C282">
        <f>IF($O282="","",INDEX(Master!$C$2:$C$1001,$O282))</f>
      </c>
      <c r="D282">
        <f>IF($O282="","",INDEX(Master!$A$2:$A$1001,$O282))</f>
      </c>
      <c r="E282">
        <f>IF($O282="","",INDEX(Master!$E$2:$E$1001,$O282))</f>
      </c>
      <c r="F282">
        <f>IF($O282="","",INDEX(Master!$F$2:$F$1001,$O282))</f>
      </c>
      <c r="G282">
        <f>IF($O282="","",INDEX(Master!$G$2:$G$1001,$O282))</f>
      </c>
      <c r="H282">
        <f>IF($O282="","",INDEX(Master!$H$2:$H$1001,$O282))</f>
      </c>
      <c r="I282">
        <f>IF($O282="","",INDEX(Master!$I$2:$I$1001,$O282))</f>
      </c>
      <c r="J282">
        <f>IF($O282="","",INDEX(Master!$J$2:$J$1001,$O282))</f>
      </c>
      <c r="K282">
        <f t="shared" si="8"/>
      </c>
      <c r="L282">
        <f>IF($O282="","",INDEX(Master!$K$2:$K$1001,$O282))</f>
      </c>
      <c r="M282">
        <f>IF($O282="","",INDEX(Master!$L$2:$L$1001,$O282))</f>
      </c>
      <c r="O282">
        <f t="array" ref="O282">IFERROR(SMALL(IF(Master!$A$2:$A$1001="SHREE RADHE",ROW(Master!$A$2:$A$1001)-ROW(Master!$A$2)+1),278),"")</f>
      </c>
      <c r="P282">
        <f t="shared" si="9"/>
      </c>
    </row>
    <row r="283" spans="1:16" x14ac:dyDescent="0.25">
      <c r="A283">
        <f>IF($O283="","",INDEX(Master!$D$2:$D$1001,$O283))</f>
      </c>
      <c r="B283" s="236">
        <f>IF($O283="","",INDEX(Master!$B$2:$B$1001,$O283))</f>
      </c>
      <c r="C283">
        <f>IF($O283="","",INDEX(Master!$C$2:$C$1001,$O283))</f>
      </c>
      <c r="D283">
        <f>IF($O283="","",INDEX(Master!$A$2:$A$1001,$O283))</f>
      </c>
      <c r="E283">
        <f>IF($O283="","",INDEX(Master!$E$2:$E$1001,$O283))</f>
      </c>
      <c r="F283">
        <f>IF($O283="","",INDEX(Master!$F$2:$F$1001,$O283))</f>
      </c>
      <c r="G283">
        <f>IF($O283="","",INDEX(Master!$G$2:$G$1001,$O283))</f>
      </c>
      <c r="H283">
        <f>IF($O283="","",INDEX(Master!$H$2:$H$1001,$O283))</f>
      </c>
      <c r="I283">
        <f>IF($O283="","",INDEX(Master!$I$2:$I$1001,$O283))</f>
      </c>
      <c r="J283">
        <f>IF($O283="","",INDEX(Master!$J$2:$J$1001,$O283))</f>
      </c>
      <c r="K283">
        <f t="shared" si="8"/>
      </c>
      <c r="L283">
        <f>IF($O283="","",INDEX(Master!$K$2:$K$1001,$O283))</f>
      </c>
      <c r="M283">
        <f>IF($O283="","",INDEX(Master!$L$2:$L$1001,$O283))</f>
      </c>
      <c r="O283">
        <f t="array" ref="O283">IFERROR(SMALL(IF(Master!$A$2:$A$1001="SHREE RADHE",ROW(Master!$A$2:$A$1001)-ROW(Master!$A$2)+1),279),"")</f>
      </c>
      <c r="P283">
        <f t="shared" si="9"/>
      </c>
    </row>
    <row r="284" spans="1:16" x14ac:dyDescent="0.25">
      <c r="A284">
        <f>IF($O284="","",INDEX(Master!$D$2:$D$1001,$O284))</f>
      </c>
      <c r="B284" s="236">
        <f>IF($O284="","",INDEX(Master!$B$2:$B$1001,$O284))</f>
      </c>
      <c r="C284">
        <f>IF($O284="","",INDEX(Master!$C$2:$C$1001,$O284))</f>
      </c>
      <c r="D284">
        <f>IF($O284="","",INDEX(Master!$A$2:$A$1001,$O284))</f>
      </c>
      <c r="E284">
        <f>IF($O284="","",INDEX(Master!$E$2:$E$1001,$O284))</f>
      </c>
      <c r="F284">
        <f>IF($O284="","",INDEX(Master!$F$2:$F$1001,$O284))</f>
      </c>
      <c r="G284">
        <f>IF($O284="","",INDEX(Master!$G$2:$G$1001,$O284))</f>
      </c>
      <c r="H284">
        <f>IF($O284="","",INDEX(Master!$H$2:$H$1001,$O284))</f>
      </c>
      <c r="I284">
        <f>IF($O284="","",INDEX(Master!$I$2:$I$1001,$O284))</f>
      </c>
      <c r="J284">
        <f>IF($O284="","",INDEX(Master!$J$2:$J$1001,$O284))</f>
      </c>
      <c r="K284">
        <f t="shared" si="8"/>
      </c>
      <c r="L284">
        <f>IF($O284="","",INDEX(Master!$K$2:$K$1001,$O284))</f>
      </c>
      <c r="M284">
        <f>IF($O284="","",INDEX(Master!$L$2:$L$1001,$O284))</f>
      </c>
      <c r="O284">
        <f t="array" ref="O284">IFERROR(SMALL(IF(Master!$A$2:$A$1001="SHREE RADHE",ROW(Master!$A$2:$A$1001)-ROW(Master!$A$2)+1),280),"")</f>
      </c>
      <c r="P284">
        <f t="shared" si="9"/>
      </c>
    </row>
    <row r="285" spans="1:16" x14ac:dyDescent="0.25">
      <c r="A285">
        <f>IF($O285="","",INDEX(Master!$D$2:$D$1001,$O285))</f>
      </c>
      <c r="B285" s="236">
        <f>IF($O285="","",INDEX(Master!$B$2:$B$1001,$O285))</f>
      </c>
      <c r="C285">
        <f>IF($O285="","",INDEX(Master!$C$2:$C$1001,$O285))</f>
      </c>
      <c r="D285">
        <f>IF($O285="","",INDEX(Master!$A$2:$A$1001,$O285))</f>
      </c>
      <c r="E285">
        <f>IF($O285="","",INDEX(Master!$E$2:$E$1001,$O285))</f>
      </c>
      <c r="F285">
        <f>IF($O285="","",INDEX(Master!$F$2:$F$1001,$O285))</f>
      </c>
      <c r="G285">
        <f>IF($O285="","",INDEX(Master!$G$2:$G$1001,$O285))</f>
      </c>
      <c r="H285">
        <f>IF($O285="","",INDEX(Master!$H$2:$H$1001,$O285))</f>
      </c>
      <c r="I285">
        <f>IF($O285="","",INDEX(Master!$I$2:$I$1001,$O285))</f>
      </c>
      <c r="J285">
        <f>IF($O285="","",INDEX(Master!$J$2:$J$1001,$O285))</f>
      </c>
      <c r="K285">
        <f t="shared" si="8"/>
      </c>
      <c r="L285">
        <f>IF($O285="","",INDEX(Master!$K$2:$K$1001,$O285))</f>
      </c>
      <c r="M285">
        <f>IF($O285="","",INDEX(Master!$L$2:$L$1001,$O285))</f>
      </c>
      <c r="O285">
        <f t="array" ref="O285">IFERROR(SMALL(IF(Master!$A$2:$A$1001="SHREE RADHE",ROW(Master!$A$2:$A$1001)-ROW(Master!$A$2)+1),281),"")</f>
      </c>
      <c r="P285">
        <f t="shared" si="9"/>
      </c>
    </row>
    <row r="286" spans="1:16" x14ac:dyDescent="0.25">
      <c r="A286">
        <f>IF($O286="","",INDEX(Master!$D$2:$D$1001,$O286))</f>
      </c>
      <c r="B286" s="236">
        <f>IF($O286="","",INDEX(Master!$B$2:$B$1001,$O286))</f>
      </c>
      <c r="C286">
        <f>IF($O286="","",INDEX(Master!$C$2:$C$1001,$O286))</f>
      </c>
      <c r="D286">
        <f>IF($O286="","",INDEX(Master!$A$2:$A$1001,$O286))</f>
      </c>
      <c r="E286">
        <f>IF($O286="","",INDEX(Master!$E$2:$E$1001,$O286))</f>
      </c>
      <c r="F286">
        <f>IF($O286="","",INDEX(Master!$F$2:$F$1001,$O286))</f>
      </c>
      <c r="G286">
        <f>IF($O286="","",INDEX(Master!$G$2:$G$1001,$O286))</f>
      </c>
      <c r="H286">
        <f>IF($O286="","",INDEX(Master!$H$2:$H$1001,$O286))</f>
      </c>
      <c r="I286">
        <f>IF($O286="","",INDEX(Master!$I$2:$I$1001,$O286))</f>
      </c>
      <c r="J286">
        <f>IF($O286="","",INDEX(Master!$J$2:$J$1001,$O286))</f>
      </c>
      <c r="K286">
        <f t="shared" si="8"/>
      </c>
      <c r="L286">
        <f>IF($O286="","",INDEX(Master!$K$2:$K$1001,$O286))</f>
      </c>
      <c r="M286">
        <f>IF($O286="","",INDEX(Master!$L$2:$L$1001,$O286))</f>
      </c>
      <c r="O286">
        <f t="array" ref="O286">IFERROR(SMALL(IF(Master!$A$2:$A$1001="SHREE RADHE",ROW(Master!$A$2:$A$1001)-ROW(Master!$A$2)+1),282),"")</f>
      </c>
      <c r="P286">
        <f t="shared" si="9"/>
      </c>
    </row>
    <row r="287" spans="1:16" x14ac:dyDescent="0.25">
      <c r="A287">
        <f>IF($O287="","",INDEX(Master!$D$2:$D$1001,$O287))</f>
      </c>
      <c r="B287" s="236">
        <f>IF($O287="","",INDEX(Master!$B$2:$B$1001,$O287))</f>
      </c>
      <c r="C287">
        <f>IF($O287="","",INDEX(Master!$C$2:$C$1001,$O287))</f>
      </c>
      <c r="D287">
        <f>IF($O287="","",INDEX(Master!$A$2:$A$1001,$O287))</f>
      </c>
      <c r="E287">
        <f>IF($O287="","",INDEX(Master!$E$2:$E$1001,$O287))</f>
      </c>
      <c r="F287">
        <f>IF($O287="","",INDEX(Master!$F$2:$F$1001,$O287))</f>
      </c>
      <c r="G287">
        <f>IF($O287="","",INDEX(Master!$G$2:$G$1001,$O287))</f>
      </c>
      <c r="H287">
        <f>IF($O287="","",INDEX(Master!$H$2:$H$1001,$O287))</f>
      </c>
      <c r="I287">
        <f>IF($O287="","",INDEX(Master!$I$2:$I$1001,$O287))</f>
      </c>
      <c r="J287">
        <f>IF($O287="","",INDEX(Master!$J$2:$J$1001,$O287))</f>
      </c>
      <c r="K287">
        <f t="shared" si="8"/>
      </c>
      <c r="L287">
        <f>IF($O287="","",INDEX(Master!$K$2:$K$1001,$O287))</f>
      </c>
      <c r="M287">
        <f>IF($O287="","",INDEX(Master!$L$2:$L$1001,$O287))</f>
      </c>
      <c r="O287">
        <f t="array" ref="O287">IFERROR(SMALL(IF(Master!$A$2:$A$1001="SHREE RADHE",ROW(Master!$A$2:$A$1001)-ROW(Master!$A$2)+1),283),"")</f>
      </c>
      <c r="P287">
        <f t="shared" si="9"/>
      </c>
    </row>
    <row r="288" spans="1:16" x14ac:dyDescent="0.25">
      <c r="A288">
        <f>IF($O288="","",INDEX(Master!$D$2:$D$1001,$O288))</f>
      </c>
      <c r="B288" s="236">
        <f>IF($O288="","",INDEX(Master!$B$2:$B$1001,$O288))</f>
      </c>
      <c r="C288">
        <f>IF($O288="","",INDEX(Master!$C$2:$C$1001,$O288))</f>
      </c>
      <c r="D288">
        <f>IF($O288="","",INDEX(Master!$A$2:$A$1001,$O288))</f>
      </c>
      <c r="E288">
        <f>IF($O288="","",INDEX(Master!$E$2:$E$1001,$O288))</f>
      </c>
      <c r="F288">
        <f>IF($O288="","",INDEX(Master!$F$2:$F$1001,$O288))</f>
      </c>
      <c r="G288">
        <f>IF($O288="","",INDEX(Master!$G$2:$G$1001,$O288))</f>
      </c>
      <c r="H288">
        <f>IF($O288="","",INDEX(Master!$H$2:$H$1001,$O288))</f>
      </c>
      <c r="I288">
        <f>IF($O288="","",INDEX(Master!$I$2:$I$1001,$O288))</f>
      </c>
      <c r="J288">
        <f>IF($O288="","",INDEX(Master!$J$2:$J$1001,$O288))</f>
      </c>
      <c r="K288">
        <f t="shared" si="8"/>
      </c>
      <c r="L288">
        <f>IF($O288="","",INDEX(Master!$K$2:$K$1001,$O288))</f>
      </c>
      <c r="M288">
        <f>IF($O288="","",INDEX(Master!$L$2:$L$1001,$O288))</f>
      </c>
      <c r="O288">
        <f t="array" ref="O288">IFERROR(SMALL(IF(Master!$A$2:$A$1001="SHREE RADHE",ROW(Master!$A$2:$A$1001)-ROW(Master!$A$2)+1),284),"")</f>
      </c>
      <c r="P288">
        <f t="shared" si="9"/>
      </c>
    </row>
    <row r="289" spans="1:16" x14ac:dyDescent="0.25">
      <c r="A289">
        <f>IF($O289="","",INDEX(Master!$D$2:$D$1001,$O289))</f>
      </c>
      <c r="B289" s="236">
        <f>IF($O289="","",INDEX(Master!$B$2:$B$1001,$O289))</f>
      </c>
      <c r="C289">
        <f>IF($O289="","",INDEX(Master!$C$2:$C$1001,$O289))</f>
      </c>
      <c r="D289">
        <f>IF($O289="","",INDEX(Master!$A$2:$A$1001,$O289))</f>
      </c>
      <c r="E289">
        <f>IF($O289="","",INDEX(Master!$E$2:$E$1001,$O289))</f>
      </c>
      <c r="F289">
        <f>IF($O289="","",INDEX(Master!$F$2:$F$1001,$O289))</f>
      </c>
      <c r="G289">
        <f>IF($O289="","",INDEX(Master!$G$2:$G$1001,$O289))</f>
      </c>
      <c r="H289">
        <f>IF($O289="","",INDEX(Master!$H$2:$H$1001,$O289))</f>
      </c>
      <c r="I289">
        <f>IF($O289="","",INDEX(Master!$I$2:$I$1001,$O289))</f>
      </c>
      <c r="J289">
        <f>IF($O289="","",INDEX(Master!$J$2:$J$1001,$O289))</f>
      </c>
      <c r="K289">
        <f t="shared" si="8"/>
      </c>
      <c r="L289">
        <f>IF($O289="","",INDEX(Master!$K$2:$K$1001,$O289))</f>
      </c>
      <c r="M289">
        <f>IF($O289="","",INDEX(Master!$L$2:$L$1001,$O289))</f>
      </c>
      <c r="O289">
        <f t="array" ref="O289">IFERROR(SMALL(IF(Master!$A$2:$A$1001="SHREE RADHE",ROW(Master!$A$2:$A$1001)-ROW(Master!$A$2)+1),285),"")</f>
      </c>
      <c r="P289">
        <f t="shared" si="9"/>
      </c>
    </row>
    <row r="290" spans="1:16" x14ac:dyDescent="0.25">
      <c r="A290">
        <f>IF($O290="","",INDEX(Master!$D$2:$D$1001,$O290))</f>
      </c>
      <c r="B290" s="236">
        <f>IF($O290="","",INDEX(Master!$B$2:$B$1001,$O290))</f>
      </c>
      <c r="C290">
        <f>IF($O290="","",INDEX(Master!$C$2:$C$1001,$O290))</f>
      </c>
      <c r="D290">
        <f>IF($O290="","",INDEX(Master!$A$2:$A$1001,$O290))</f>
      </c>
      <c r="E290">
        <f>IF($O290="","",INDEX(Master!$E$2:$E$1001,$O290))</f>
      </c>
      <c r="F290">
        <f>IF($O290="","",INDEX(Master!$F$2:$F$1001,$O290))</f>
      </c>
      <c r="G290">
        <f>IF($O290="","",INDEX(Master!$G$2:$G$1001,$O290))</f>
      </c>
      <c r="H290">
        <f>IF($O290="","",INDEX(Master!$H$2:$H$1001,$O290))</f>
      </c>
      <c r="I290">
        <f>IF($O290="","",INDEX(Master!$I$2:$I$1001,$O290))</f>
      </c>
      <c r="J290">
        <f>IF($O290="","",INDEX(Master!$J$2:$J$1001,$O290))</f>
      </c>
      <c r="K290">
        <f t="shared" si="8"/>
      </c>
      <c r="L290">
        <f>IF($O290="","",INDEX(Master!$K$2:$K$1001,$O290))</f>
      </c>
      <c r="M290">
        <f>IF($O290="","",INDEX(Master!$L$2:$L$1001,$O290))</f>
      </c>
      <c r="O290">
        <f t="array" ref="O290">IFERROR(SMALL(IF(Master!$A$2:$A$1001="SHREE RADHE",ROW(Master!$A$2:$A$1001)-ROW(Master!$A$2)+1),286),"")</f>
      </c>
      <c r="P290">
        <f t="shared" si="9"/>
      </c>
    </row>
    <row r="291" spans="1:16" x14ac:dyDescent="0.25">
      <c r="A291">
        <f>IF($O291="","",INDEX(Master!$D$2:$D$1001,$O291))</f>
      </c>
      <c r="B291" s="236">
        <f>IF($O291="","",INDEX(Master!$B$2:$B$1001,$O291))</f>
      </c>
      <c r="C291">
        <f>IF($O291="","",INDEX(Master!$C$2:$C$1001,$O291))</f>
      </c>
      <c r="D291">
        <f>IF($O291="","",INDEX(Master!$A$2:$A$1001,$O291))</f>
      </c>
      <c r="E291">
        <f>IF($O291="","",INDEX(Master!$E$2:$E$1001,$O291))</f>
      </c>
      <c r="F291">
        <f>IF($O291="","",INDEX(Master!$F$2:$F$1001,$O291))</f>
      </c>
      <c r="G291">
        <f>IF($O291="","",INDEX(Master!$G$2:$G$1001,$O291))</f>
      </c>
      <c r="H291">
        <f>IF($O291="","",INDEX(Master!$H$2:$H$1001,$O291))</f>
      </c>
      <c r="I291">
        <f>IF($O291="","",INDEX(Master!$I$2:$I$1001,$O291))</f>
      </c>
      <c r="J291">
        <f>IF($O291="","",INDEX(Master!$J$2:$J$1001,$O291))</f>
      </c>
      <c r="K291">
        <f t="shared" si="8"/>
      </c>
      <c r="L291">
        <f>IF($O291="","",INDEX(Master!$K$2:$K$1001,$O291))</f>
      </c>
      <c r="M291">
        <f>IF($O291="","",INDEX(Master!$L$2:$L$1001,$O291))</f>
      </c>
      <c r="O291">
        <f t="array" ref="O291">IFERROR(SMALL(IF(Master!$A$2:$A$1001="SHREE RADHE",ROW(Master!$A$2:$A$1001)-ROW(Master!$A$2)+1),287),"")</f>
      </c>
      <c r="P291">
        <f t="shared" si="9"/>
      </c>
    </row>
    <row r="292" spans="1:16" x14ac:dyDescent="0.25">
      <c r="A292">
        <f>IF($O292="","",INDEX(Master!$D$2:$D$1001,$O292))</f>
      </c>
      <c r="B292" s="236">
        <f>IF($O292="","",INDEX(Master!$B$2:$B$1001,$O292))</f>
      </c>
      <c r="C292">
        <f>IF($O292="","",INDEX(Master!$C$2:$C$1001,$O292))</f>
      </c>
      <c r="D292">
        <f>IF($O292="","",INDEX(Master!$A$2:$A$1001,$O292))</f>
      </c>
      <c r="E292">
        <f>IF($O292="","",INDEX(Master!$E$2:$E$1001,$O292))</f>
      </c>
      <c r="F292">
        <f>IF($O292="","",INDEX(Master!$F$2:$F$1001,$O292))</f>
      </c>
      <c r="G292">
        <f>IF($O292="","",INDEX(Master!$G$2:$G$1001,$O292))</f>
      </c>
      <c r="H292">
        <f>IF($O292="","",INDEX(Master!$H$2:$H$1001,$O292))</f>
      </c>
      <c r="I292">
        <f>IF($O292="","",INDEX(Master!$I$2:$I$1001,$O292))</f>
      </c>
      <c r="J292">
        <f>IF($O292="","",INDEX(Master!$J$2:$J$1001,$O292))</f>
      </c>
      <c r="K292">
        <f t="shared" si="8"/>
      </c>
      <c r="L292">
        <f>IF($O292="","",INDEX(Master!$K$2:$K$1001,$O292))</f>
      </c>
      <c r="M292">
        <f>IF($O292="","",INDEX(Master!$L$2:$L$1001,$O292))</f>
      </c>
      <c r="O292">
        <f t="array" ref="O292">IFERROR(SMALL(IF(Master!$A$2:$A$1001="SHREE RADHE",ROW(Master!$A$2:$A$1001)-ROW(Master!$A$2)+1),288),"")</f>
      </c>
      <c r="P292">
        <f t="shared" si="9"/>
      </c>
    </row>
    <row r="293" spans="1:16" x14ac:dyDescent="0.25">
      <c r="A293">
        <f>IF($O293="","",INDEX(Master!$D$2:$D$1001,$O293))</f>
      </c>
      <c r="B293" s="236">
        <f>IF($O293="","",INDEX(Master!$B$2:$B$1001,$O293))</f>
      </c>
      <c r="C293">
        <f>IF($O293="","",INDEX(Master!$C$2:$C$1001,$O293))</f>
      </c>
      <c r="D293">
        <f>IF($O293="","",INDEX(Master!$A$2:$A$1001,$O293))</f>
      </c>
      <c r="E293">
        <f>IF($O293="","",INDEX(Master!$E$2:$E$1001,$O293))</f>
      </c>
      <c r="F293">
        <f>IF($O293="","",INDEX(Master!$F$2:$F$1001,$O293))</f>
      </c>
      <c r="G293">
        <f>IF($O293="","",INDEX(Master!$G$2:$G$1001,$O293))</f>
      </c>
      <c r="H293">
        <f>IF($O293="","",INDEX(Master!$H$2:$H$1001,$O293))</f>
      </c>
      <c r="I293">
        <f>IF($O293="","",INDEX(Master!$I$2:$I$1001,$O293))</f>
      </c>
      <c r="J293">
        <f>IF($O293="","",INDEX(Master!$J$2:$J$1001,$O293))</f>
      </c>
      <c r="K293">
        <f t="shared" si="8"/>
      </c>
      <c r="L293">
        <f>IF($O293="","",INDEX(Master!$K$2:$K$1001,$O293))</f>
      </c>
      <c r="M293">
        <f>IF($O293="","",INDEX(Master!$L$2:$L$1001,$O293))</f>
      </c>
      <c r="O293">
        <f t="array" ref="O293">IFERROR(SMALL(IF(Master!$A$2:$A$1001="SHREE RADHE",ROW(Master!$A$2:$A$1001)-ROW(Master!$A$2)+1),289),"")</f>
      </c>
      <c r="P293">
        <f t="shared" si="9"/>
      </c>
    </row>
    <row r="294" spans="1:16" x14ac:dyDescent="0.25">
      <c r="A294">
        <f>IF($O294="","",INDEX(Master!$D$2:$D$1001,$O294))</f>
      </c>
      <c r="B294" s="236">
        <f>IF($O294="","",INDEX(Master!$B$2:$B$1001,$O294))</f>
      </c>
      <c r="C294">
        <f>IF($O294="","",INDEX(Master!$C$2:$C$1001,$O294))</f>
      </c>
      <c r="D294">
        <f>IF($O294="","",INDEX(Master!$A$2:$A$1001,$O294))</f>
      </c>
      <c r="E294">
        <f>IF($O294="","",INDEX(Master!$E$2:$E$1001,$O294))</f>
      </c>
      <c r="F294">
        <f>IF($O294="","",INDEX(Master!$F$2:$F$1001,$O294))</f>
      </c>
      <c r="G294">
        <f>IF($O294="","",INDEX(Master!$G$2:$G$1001,$O294))</f>
      </c>
      <c r="H294">
        <f>IF($O294="","",INDEX(Master!$H$2:$H$1001,$O294))</f>
      </c>
      <c r="I294">
        <f>IF($O294="","",INDEX(Master!$I$2:$I$1001,$O294))</f>
      </c>
      <c r="J294">
        <f>IF($O294="","",INDEX(Master!$J$2:$J$1001,$O294))</f>
      </c>
      <c r="K294">
        <f t="shared" si="8"/>
      </c>
      <c r="L294">
        <f>IF($O294="","",INDEX(Master!$K$2:$K$1001,$O294))</f>
      </c>
      <c r="M294">
        <f>IF($O294="","",INDEX(Master!$L$2:$L$1001,$O294))</f>
      </c>
      <c r="O294">
        <f t="array" ref="O294">IFERROR(SMALL(IF(Master!$A$2:$A$1001="SHREE RADHE",ROW(Master!$A$2:$A$1001)-ROW(Master!$A$2)+1),290),"")</f>
      </c>
      <c r="P294">
        <f t="shared" si="9"/>
      </c>
    </row>
    <row r="295" spans="1:16" x14ac:dyDescent="0.25">
      <c r="A295">
        <f>IF($O295="","",INDEX(Master!$D$2:$D$1001,$O295))</f>
      </c>
      <c r="B295" s="236">
        <f>IF($O295="","",INDEX(Master!$B$2:$B$1001,$O295))</f>
      </c>
      <c r="C295">
        <f>IF($O295="","",INDEX(Master!$C$2:$C$1001,$O295))</f>
      </c>
      <c r="D295">
        <f>IF($O295="","",INDEX(Master!$A$2:$A$1001,$O295))</f>
      </c>
      <c r="E295">
        <f>IF($O295="","",INDEX(Master!$E$2:$E$1001,$O295))</f>
      </c>
      <c r="F295">
        <f>IF($O295="","",INDEX(Master!$F$2:$F$1001,$O295))</f>
      </c>
      <c r="G295">
        <f>IF($O295="","",INDEX(Master!$G$2:$G$1001,$O295))</f>
      </c>
      <c r="H295">
        <f>IF($O295="","",INDEX(Master!$H$2:$H$1001,$O295))</f>
      </c>
      <c r="I295">
        <f>IF($O295="","",INDEX(Master!$I$2:$I$1001,$O295))</f>
      </c>
      <c r="J295">
        <f>IF($O295="","",INDEX(Master!$J$2:$J$1001,$O295))</f>
      </c>
      <c r="K295">
        <f t="shared" si="8"/>
      </c>
      <c r="L295">
        <f>IF($O295="","",INDEX(Master!$K$2:$K$1001,$O295))</f>
      </c>
      <c r="M295">
        <f>IF($O295="","",INDEX(Master!$L$2:$L$1001,$O295))</f>
      </c>
      <c r="O295">
        <f t="array" ref="O295">IFERROR(SMALL(IF(Master!$A$2:$A$1001="SHREE RADHE",ROW(Master!$A$2:$A$1001)-ROW(Master!$A$2)+1),291),"")</f>
      </c>
      <c r="P295">
        <f t="shared" si="9"/>
      </c>
    </row>
    <row r="296" spans="1:16" x14ac:dyDescent="0.25">
      <c r="A296">
        <f>IF($O296="","",INDEX(Master!$D$2:$D$1001,$O296))</f>
      </c>
      <c r="B296" s="236">
        <f>IF($O296="","",INDEX(Master!$B$2:$B$1001,$O296))</f>
      </c>
      <c r="C296">
        <f>IF($O296="","",INDEX(Master!$C$2:$C$1001,$O296))</f>
      </c>
      <c r="D296">
        <f>IF($O296="","",INDEX(Master!$A$2:$A$1001,$O296))</f>
      </c>
      <c r="E296">
        <f>IF($O296="","",INDEX(Master!$E$2:$E$1001,$O296))</f>
      </c>
      <c r="F296">
        <f>IF($O296="","",INDEX(Master!$F$2:$F$1001,$O296))</f>
      </c>
      <c r="G296">
        <f>IF($O296="","",INDEX(Master!$G$2:$G$1001,$O296))</f>
      </c>
      <c r="H296">
        <f>IF($O296="","",INDEX(Master!$H$2:$H$1001,$O296))</f>
      </c>
      <c r="I296">
        <f>IF($O296="","",INDEX(Master!$I$2:$I$1001,$O296))</f>
      </c>
      <c r="J296">
        <f>IF($O296="","",INDEX(Master!$J$2:$J$1001,$O296))</f>
      </c>
      <c r="K296">
        <f t="shared" si="8"/>
      </c>
      <c r="L296">
        <f>IF($O296="","",INDEX(Master!$K$2:$K$1001,$O296))</f>
      </c>
      <c r="M296">
        <f>IF($O296="","",INDEX(Master!$L$2:$L$1001,$O296))</f>
      </c>
      <c r="O296">
        <f t="array" ref="O296">IFERROR(SMALL(IF(Master!$A$2:$A$1001="SHREE RADHE",ROW(Master!$A$2:$A$1001)-ROW(Master!$A$2)+1),292),"")</f>
      </c>
      <c r="P296">
        <f t="shared" si="9"/>
      </c>
    </row>
    <row r="297" spans="1:16" x14ac:dyDescent="0.25">
      <c r="A297">
        <f>IF($O297="","",INDEX(Master!$D$2:$D$1001,$O297))</f>
      </c>
      <c r="B297" s="236">
        <f>IF($O297="","",INDEX(Master!$B$2:$B$1001,$O297))</f>
      </c>
      <c r="C297">
        <f>IF($O297="","",INDEX(Master!$C$2:$C$1001,$O297))</f>
      </c>
      <c r="D297">
        <f>IF($O297="","",INDEX(Master!$A$2:$A$1001,$O297))</f>
      </c>
      <c r="E297">
        <f>IF($O297="","",INDEX(Master!$E$2:$E$1001,$O297))</f>
      </c>
      <c r="F297">
        <f>IF($O297="","",INDEX(Master!$F$2:$F$1001,$O297))</f>
      </c>
      <c r="G297">
        <f>IF($O297="","",INDEX(Master!$G$2:$G$1001,$O297))</f>
      </c>
      <c r="H297">
        <f>IF($O297="","",INDEX(Master!$H$2:$H$1001,$O297))</f>
      </c>
      <c r="I297">
        <f>IF($O297="","",INDEX(Master!$I$2:$I$1001,$O297))</f>
      </c>
      <c r="J297">
        <f>IF($O297="","",INDEX(Master!$J$2:$J$1001,$O297))</f>
      </c>
      <c r="K297">
        <f t="shared" si="8"/>
      </c>
      <c r="L297">
        <f>IF($O297="","",INDEX(Master!$K$2:$K$1001,$O297))</f>
      </c>
      <c r="M297">
        <f>IF($O297="","",INDEX(Master!$L$2:$L$1001,$O297))</f>
      </c>
      <c r="O297">
        <f t="array" ref="O297">IFERROR(SMALL(IF(Master!$A$2:$A$1001="SHREE RADHE",ROW(Master!$A$2:$A$1001)-ROW(Master!$A$2)+1),293),"")</f>
      </c>
      <c r="P297">
        <f t="shared" si="9"/>
      </c>
    </row>
    <row r="298" spans="1:16" x14ac:dyDescent="0.25">
      <c r="A298">
        <f>IF($O298="","",INDEX(Master!$D$2:$D$1001,$O298))</f>
      </c>
      <c r="B298" s="236">
        <f>IF($O298="","",INDEX(Master!$B$2:$B$1001,$O298))</f>
      </c>
      <c r="C298">
        <f>IF($O298="","",INDEX(Master!$C$2:$C$1001,$O298))</f>
      </c>
      <c r="D298">
        <f>IF($O298="","",INDEX(Master!$A$2:$A$1001,$O298))</f>
      </c>
      <c r="E298">
        <f>IF($O298="","",INDEX(Master!$E$2:$E$1001,$O298))</f>
      </c>
      <c r="F298">
        <f>IF($O298="","",INDEX(Master!$F$2:$F$1001,$O298))</f>
      </c>
      <c r="G298">
        <f>IF($O298="","",INDEX(Master!$G$2:$G$1001,$O298))</f>
      </c>
      <c r="H298">
        <f>IF($O298="","",INDEX(Master!$H$2:$H$1001,$O298))</f>
      </c>
      <c r="I298">
        <f>IF($O298="","",INDEX(Master!$I$2:$I$1001,$O298))</f>
      </c>
      <c r="J298">
        <f>IF($O298="","",INDEX(Master!$J$2:$J$1001,$O298))</f>
      </c>
      <c r="K298">
        <f t="shared" si="8"/>
      </c>
      <c r="L298">
        <f>IF($O298="","",INDEX(Master!$K$2:$K$1001,$O298))</f>
      </c>
      <c r="M298">
        <f>IF($O298="","",INDEX(Master!$L$2:$L$1001,$O298))</f>
      </c>
      <c r="O298">
        <f t="array" ref="O298">IFERROR(SMALL(IF(Master!$A$2:$A$1001="SHREE RADHE",ROW(Master!$A$2:$A$1001)-ROW(Master!$A$2)+1),294),"")</f>
      </c>
      <c r="P298">
        <f t="shared" si="9"/>
      </c>
    </row>
    <row r="299" spans="1:16" x14ac:dyDescent="0.25">
      <c r="A299">
        <f>IF($O299="","",INDEX(Master!$D$2:$D$1001,$O299))</f>
      </c>
      <c r="B299" s="236">
        <f>IF($O299="","",INDEX(Master!$B$2:$B$1001,$O299))</f>
      </c>
      <c r="C299">
        <f>IF($O299="","",INDEX(Master!$C$2:$C$1001,$O299))</f>
      </c>
      <c r="D299">
        <f>IF($O299="","",INDEX(Master!$A$2:$A$1001,$O299))</f>
      </c>
      <c r="E299">
        <f>IF($O299="","",INDEX(Master!$E$2:$E$1001,$O299))</f>
      </c>
      <c r="F299">
        <f>IF($O299="","",INDEX(Master!$F$2:$F$1001,$O299))</f>
      </c>
      <c r="G299">
        <f>IF($O299="","",INDEX(Master!$G$2:$G$1001,$O299))</f>
      </c>
      <c r="H299">
        <f>IF($O299="","",INDEX(Master!$H$2:$H$1001,$O299))</f>
      </c>
      <c r="I299">
        <f>IF($O299="","",INDEX(Master!$I$2:$I$1001,$O299))</f>
      </c>
      <c r="J299">
        <f>IF($O299="","",INDEX(Master!$J$2:$J$1001,$O299))</f>
      </c>
      <c r="K299">
        <f t="shared" si="8"/>
      </c>
      <c r="L299">
        <f>IF($O299="","",INDEX(Master!$K$2:$K$1001,$O299))</f>
      </c>
      <c r="M299">
        <f>IF($O299="","",INDEX(Master!$L$2:$L$1001,$O299))</f>
      </c>
      <c r="O299">
        <f t="array" ref="O299">IFERROR(SMALL(IF(Master!$A$2:$A$1001="SHREE RADHE",ROW(Master!$A$2:$A$1001)-ROW(Master!$A$2)+1),295),"")</f>
      </c>
      <c r="P299">
        <f t="shared" si="9"/>
      </c>
    </row>
    <row r="300" spans="1:16" x14ac:dyDescent="0.25">
      <c r="A300">
        <f>IF($O300="","",INDEX(Master!$D$2:$D$1001,$O300))</f>
      </c>
      <c r="B300" s="236">
        <f>IF($O300="","",INDEX(Master!$B$2:$B$1001,$O300))</f>
      </c>
      <c r="C300">
        <f>IF($O300="","",INDEX(Master!$C$2:$C$1001,$O300))</f>
      </c>
      <c r="D300">
        <f>IF($O300="","",INDEX(Master!$A$2:$A$1001,$O300))</f>
      </c>
      <c r="E300">
        <f>IF($O300="","",INDEX(Master!$E$2:$E$1001,$O300))</f>
      </c>
      <c r="F300">
        <f>IF($O300="","",INDEX(Master!$F$2:$F$1001,$O300))</f>
      </c>
      <c r="G300">
        <f>IF($O300="","",INDEX(Master!$G$2:$G$1001,$O300))</f>
      </c>
      <c r="H300">
        <f>IF($O300="","",INDEX(Master!$H$2:$H$1001,$O300))</f>
      </c>
      <c r="I300">
        <f>IF($O300="","",INDEX(Master!$I$2:$I$1001,$O300))</f>
      </c>
      <c r="J300">
        <f>IF($O300="","",INDEX(Master!$J$2:$J$1001,$O300))</f>
      </c>
      <c r="K300">
        <f t="shared" si="8"/>
      </c>
      <c r="L300">
        <f>IF($O300="","",INDEX(Master!$K$2:$K$1001,$O300))</f>
      </c>
      <c r="M300">
        <f>IF($O300="","",INDEX(Master!$L$2:$L$1001,$O300))</f>
      </c>
      <c r="O300">
        <f t="array" ref="O300">IFERROR(SMALL(IF(Master!$A$2:$A$1001="SHREE RADHE",ROW(Master!$A$2:$A$1001)-ROW(Master!$A$2)+1),296),"")</f>
      </c>
      <c r="P300">
        <f t="shared" si="9"/>
      </c>
    </row>
    <row r="301" spans="1:16" x14ac:dyDescent="0.25">
      <c r="A301">
        <f>IF($O301="","",INDEX(Master!$D$2:$D$1001,$O301))</f>
      </c>
      <c r="B301" s="236">
        <f>IF($O301="","",INDEX(Master!$B$2:$B$1001,$O301))</f>
      </c>
      <c r="C301">
        <f>IF($O301="","",INDEX(Master!$C$2:$C$1001,$O301))</f>
      </c>
      <c r="D301">
        <f>IF($O301="","",INDEX(Master!$A$2:$A$1001,$O301))</f>
      </c>
      <c r="E301">
        <f>IF($O301="","",INDEX(Master!$E$2:$E$1001,$O301))</f>
      </c>
      <c r="F301">
        <f>IF($O301="","",INDEX(Master!$F$2:$F$1001,$O301))</f>
      </c>
      <c r="G301">
        <f>IF($O301="","",INDEX(Master!$G$2:$G$1001,$O301))</f>
      </c>
      <c r="H301">
        <f>IF($O301="","",INDEX(Master!$H$2:$H$1001,$O301))</f>
      </c>
      <c r="I301">
        <f>IF($O301="","",INDEX(Master!$I$2:$I$1001,$O301))</f>
      </c>
      <c r="J301">
        <f>IF($O301="","",INDEX(Master!$J$2:$J$1001,$O301))</f>
      </c>
      <c r="K301">
        <f t="shared" si="8"/>
      </c>
      <c r="L301">
        <f>IF($O301="","",INDEX(Master!$K$2:$K$1001,$O301))</f>
      </c>
      <c r="M301">
        <f>IF($O301="","",INDEX(Master!$L$2:$L$1001,$O301))</f>
      </c>
      <c r="O301">
        <f t="array" ref="O301">IFERROR(SMALL(IF(Master!$A$2:$A$1001="SHREE RADHE",ROW(Master!$A$2:$A$1001)-ROW(Master!$A$2)+1),297),"")</f>
      </c>
      <c r="P301">
        <f t="shared" si="9"/>
      </c>
    </row>
    <row r="302" spans="1:16" x14ac:dyDescent="0.25">
      <c r="A302">
        <f>IF($O302="","",INDEX(Master!$D$2:$D$1001,$O302))</f>
      </c>
      <c r="B302" s="236">
        <f>IF($O302="","",INDEX(Master!$B$2:$B$1001,$O302))</f>
      </c>
      <c r="C302">
        <f>IF($O302="","",INDEX(Master!$C$2:$C$1001,$O302))</f>
      </c>
      <c r="D302">
        <f>IF($O302="","",INDEX(Master!$A$2:$A$1001,$O302))</f>
      </c>
      <c r="E302">
        <f>IF($O302="","",INDEX(Master!$E$2:$E$1001,$O302))</f>
      </c>
      <c r="F302">
        <f>IF($O302="","",INDEX(Master!$F$2:$F$1001,$O302))</f>
      </c>
      <c r="G302">
        <f>IF($O302="","",INDEX(Master!$G$2:$G$1001,$O302))</f>
      </c>
      <c r="H302">
        <f>IF($O302="","",INDEX(Master!$H$2:$H$1001,$O302))</f>
      </c>
      <c r="I302">
        <f>IF($O302="","",INDEX(Master!$I$2:$I$1001,$O302))</f>
      </c>
      <c r="J302">
        <f>IF($O302="","",INDEX(Master!$J$2:$J$1001,$O302))</f>
      </c>
      <c r="K302">
        <f t="shared" si="8"/>
      </c>
      <c r="L302">
        <f>IF($O302="","",INDEX(Master!$K$2:$K$1001,$O302))</f>
      </c>
      <c r="M302">
        <f>IF($O302="","",INDEX(Master!$L$2:$L$1001,$O302))</f>
      </c>
      <c r="O302">
        <f t="array" ref="O302">IFERROR(SMALL(IF(Master!$A$2:$A$1001="SHREE RADHE",ROW(Master!$A$2:$A$1001)-ROW(Master!$A$2)+1),298),"")</f>
      </c>
      <c r="P302">
        <f t="shared" si="9"/>
      </c>
    </row>
    <row r="303" spans="1:16" x14ac:dyDescent="0.25">
      <c r="A303">
        <f>IF($O303="","",INDEX(Master!$D$2:$D$1001,$O303))</f>
      </c>
      <c r="B303" s="236">
        <f>IF($O303="","",INDEX(Master!$B$2:$B$1001,$O303))</f>
      </c>
      <c r="C303">
        <f>IF($O303="","",INDEX(Master!$C$2:$C$1001,$O303))</f>
      </c>
      <c r="D303">
        <f>IF($O303="","",INDEX(Master!$A$2:$A$1001,$O303))</f>
      </c>
      <c r="E303">
        <f>IF($O303="","",INDEX(Master!$E$2:$E$1001,$O303))</f>
      </c>
      <c r="F303">
        <f>IF($O303="","",INDEX(Master!$F$2:$F$1001,$O303))</f>
      </c>
      <c r="G303">
        <f>IF($O303="","",INDEX(Master!$G$2:$G$1001,$O303))</f>
      </c>
      <c r="H303">
        <f>IF($O303="","",INDEX(Master!$H$2:$H$1001,$O303))</f>
      </c>
      <c r="I303">
        <f>IF($O303="","",INDEX(Master!$I$2:$I$1001,$O303))</f>
      </c>
      <c r="J303">
        <f>IF($O303="","",INDEX(Master!$J$2:$J$1001,$O303))</f>
      </c>
      <c r="K303">
        <f t="shared" si="8"/>
      </c>
      <c r="L303">
        <f>IF($O303="","",INDEX(Master!$K$2:$K$1001,$O303))</f>
      </c>
      <c r="M303">
        <f>IF($O303="","",INDEX(Master!$L$2:$L$1001,$O303))</f>
      </c>
      <c r="O303">
        <f t="array" ref="O303">IFERROR(SMALL(IF(Master!$A$2:$A$1001="SHREE RADHE",ROW(Master!$A$2:$A$1001)-ROW(Master!$A$2)+1),299),"")</f>
      </c>
      <c r="P303">
        <f t="shared" si="9"/>
      </c>
    </row>
    <row r="304" spans="1:16" x14ac:dyDescent="0.25">
      <c r="A304">
        <f>IF($O304="","",INDEX(Master!$D$2:$D$1001,$O304))</f>
      </c>
      <c r="B304" s="236">
        <f>IF($O304="","",INDEX(Master!$B$2:$B$1001,$O304))</f>
      </c>
      <c r="C304">
        <f>IF($O304="","",INDEX(Master!$C$2:$C$1001,$O304))</f>
      </c>
      <c r="D304">
        <f>IF($O304="","",INDEX(Master!$A$2:$A$1001,$O304))</f>
      </c>
      <c r="E304">
        <f>IF($O304="","",INDEX(Master!$E$2:$E$1001,$O304))</f>
      </c>
      <c r="F304">
        <f>IF($O304="","",INDEX(Master!$F$2:$F$1001,$O304))</f>
      </c>
      <c r="G304">
        <f>IF($O304="","",INDEX(Master!$G$2:$G$1001,$O304))</f>
      </c>
      <c r="H304">
        <f>IF($O304="","",INDEX(Master!$H$2:$H$1001,$O304))</f>
      </c>
      <c r="I304">
        <f>IF($O304="","",INDEX(Master!$I$2:$I$1001,$O304))</f>
      </c>
      <c r="J304">
        <f>IF($O304="","",INDEX(Master!$J$2:$J$1001,$O304))</f>
      </c>
      <c r="K304">
        <f t="shared" si="8"/>
      </c>
      <c r="L304">
        <f>IF($O304="","",INDEX(Master!$K$2:$K$1001,$O304))</f>
      </c>
      <c r="M304">
        <f>IF($O304="","",INDEX(Master!$L$2:$L$1001,$O304))</f>
      </c>
      <c r="O304">
        <f t="array" ref="O304">IFERROR(SMALL(IF(Master!$A$2:$A$1001="SHREE RADHE",ROW(Master!$A$2:$A$1001)-ROW(Master!$A$2)+1),300),"")</f>
      </c>
      <c r="P304">
        <f t="shared" si="9"/>
      </c>
    </row>
  </sheetData>
  <autoFilter ref="A4:N304" xr:uid="{00000000-0009-0000-0000-000003000000}"/>
  <mergeCells count="10">
    <mergeCell ref="A1:N1"/>
    <mergeCell ref="E2:J2"/>
    <mergeCell ref="A2:A4"/>
    <mergeCell ref="C2:C4"/>
    <mergeCell ref="K2:K4"/>
    <mergeCell ref="N2:N4"/>
    <mergeCell ref="L2:L4"/>
    <mergeCell ref="M2:M4"/>
    <mergeCell ref="B2:B4"/>
    <mergeCell ref="D2:D4"/>
  </mergeCells>
  <conditionalFormatting sqref="A5:N304">
    <cfRule type="expression" dxfId="50" priority="1">
      <formula>$N5="HOLD"</formula>
    </cfRule>
  </conditionalFormatting>
  <conditionalFormatting sqref="E5:E304">
    <cfRule type="expression" dxfId="49" priority="2">
      <formula>AND($E5&lt;&gt;"",OR($E5&gt;0.15))</formula>
    </cfRule>
  </conditionalFormatting>
  <conditionalFormatting sqref="F5:F304">
    <cfRule type="expression" dxfId="48" priority="3">
      <formula>AND($F5&lt;&gt;"",OR($F5&gt;0.045))</formula>
    </cfRule>
  </conditionalFormatting>
  <conditionalFormatting sqref="G5:G304">
    <cfRule type="expression" dxfId="47" priority="4">
      <formula>AND($G5&lt;&gt;"",OR($G5&gt;0.08))</formula>
    </cfRule>
  </conditionalFormatting>
  <conditionalFormatting sqref="H5:H304">
    <cfRule type="expression" dxfId="46" priority="5">
      <formula>AND($H5&lt;&gt;"",$H5&lt;0.5)</formula>
    </cfRule>
  </conditionalFormatting>
  <conditionalFormatting sqref="J5:J304">
    <cfRule type="expression" dxfId="45" priority="6">
      <formula>AND($J5&lt;&gt;"",OR($J5&lt;0.1))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304"/>
  <sheetViews>
    <sheetView workbookViewId="0">
      <pane ySplit="4" topLeftCell="A5" activePane="bottomLeft" state="frozen"/>
      <selection pane="bottomLeft" activeCell="E10" sqref="E10:J10"/>
    </sheetView>
  </sheetViews>
  <sheetFormatPr defaultRowHeight="15" x14ac:dyDescent="0.25"/>
  <cols>
    <col min="1" max="1" width="8.7109375" bestFit="1" customWidth="1"/>
    <col min="2" max="2" width="9.7109375" style="166" bestFit="1" customWidth="1"/>
    <col min="3" max="3" width="15.28515625" bestFit="1" customWidth="1"/>
    <col min="4" max="4" width="9.7109375" bestFit="1" customWidth="1"/>
    <col min="5" max="8" width="8" bestFit="1" customWidth="1"/>
    <col min="9" max="9" width="9.5703125" bestFit="1" customWidth="1"/>
    <col min="10" max="10" width="8" bestFit="1" customWidth="1"/>
    <col min="11" max="11" width="12" bestFit="1" customWidth="1"/>
    <col min="12" max="12" width="12.5703125" bestFit="1" customWidth="1"/>
    <col min="13" max="13" width="12.28515625" bestFit="1" customWidth="1"/>
    <col min="14" max="14" width="5.140625" bestFit="1" customWidth="1"/>
    <col min="15" max="15" width="4" hidden="1" customWidth="1"/>
    <col min="16" max="16" width="13" hidden="1" customWidth="1"/>
  </cols>
  <sheetData>
    <row r="1" spans="1:16" ht="21.95" customHeight="1" x14ac:dyDescent="0.25">
      <c r="A1" s="289" t="s">
        <v>49</v>
      </c>
      <c r="B1" s="44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</row>
    <row r="2" spans="1:16" x14ac:dyDescent="0.25">
      <c r="A2" s="434" t="s">
        <v>29</v>
      </c>
      <c r="B2" s="439" t="s">
        <v>30</v>
      </c>
      <c r="C2" s="434" t="s">
        <v>39</v>
      </c>
      <c r="D2" s="434" t="s">
        <v>1</v>
      </c>
      <c r="E2" s="434" t="s">
        <v>40</v>
      </c>
      <c r="F2" s="435"/>
      <c r="G2" s="435"/>
      <c r="H2" s="435"/>
      <c r="I2" s="435"/>
      <c r="J2" s="436"/>
      <c r="K2" s="434" t="s">
        <v>41</v>
      </c>
      <c r="L2" s="434" t="s">
        <v>42</v>
      </c>
      <c r="M2" s="434" t="s">
        <v>43</v>
      </c>
      <c r="N2" s="434" t="s">
        <v>44</v>
      </c>
      <c r="P2" t="s">
        <v>45</v>
      </c>
    </row>
    <row r="3" spans="1:16" x14ac:dyDescent="0.25">
      <c r="A3" s="437"/>
      <c r="B3" s="437"/>
      <c r="C3" s="437"/>
      <c r="D3" s="437"/>
      <c r="E3" s="231" t="s">
        <v>32</v>
      </c>
      <c r="F3" s="231" t="s">
        <v>33</v>
      </c>
      <c r="G3" s="231" t="s">
        <v>34</v>
      </c>
      <c r="H3" s="231" t="s">
        <v>35</v>
      </c>
      <c r="I3" s="231" t="s">
        <v>36</v>
      </c>
      <c r="J3" s="231" t="s">
        <v>37</v>
      </c>
      <c r="K3" s="437"/>
      <c r="L3" s="437"/>
      <c r="M3" s="437"/>
      <c r="N3" s="437"/>
    </row>
    <row r="4" spans="1:16" x14ac:dyDescent="0.25">
      <c r="A4" s="438"/>
      <c r="B4" s="438"/>
      <c r="C4" s="438"/>
      <c r="D4" s="438"/>
      <c r="E4" s="233" t="s">
        <v>46</v>
      </c>
      <c r="F4" s="233" t="s">
        <v>46</v>
      </c>
      <c r="G4" s="233" t="s">
        <v>46</v>
      </c>
      <c r="H4" s="233" t="s">
        <v>46</v>
      </c>
      <c r="I4" s="233" t="s">
        <v>47</v>
      </c>
      <c r="J4" s="233" t="s">
        <v>46</v>
      </c>
      <c r="K4" s="438"/>
      <c r="L4" s="438"/>
      <c r="M4" s="438"/>
      <c r="N4" s="438"/>
    </row>
    <row r="5" spans="1:16" x14ac:dyDescent="0.25">
      <c r="A5" s="164">
        <f>IF($O5="","",INDEX(Master!$D$2:$D$1001,$O5))</f>
      </c>
      <c r="B5" s="165">
        <f>IF($O5="","",INDEX(Master!$B$2:$B$1001,$O5))</f>
      </c>
      <c r="C5" s="164">
        <f>IF($O5="","",INDEX(Master!$C$2:$C$1001,$O5))</f>
      </c>
      <c r="D5" s="164">
        <f>IF($O5="","",INDEX(Master!$A$2:$A$1001,$O5))</f>
      </c>
      <c r="E5" s="164">
        <f>IF($O5="","",INDEX(Master!$E$2:$E$1001,$O5))</f>
      </c>
      <c r="F5" s="164">
        <f>IF($O5="","",INDEX(Master!$F$2:$F$1001,$O5))</f>
      </c>
      <c r="G5" s="164">
        <f>IF($O5="","",INDEX(Master!$G$2:$G$1001,$O5))</f>
      </c>
      <c r="H5" s="164">
        <f>IF($O5="","",INDEX(Master!$H$2:$H$1001,$O5))</f>
      </c>
      <c r="I5" s="164">
        <f>IF($O5="","",INDEX(Master!$I$2:$I$1001,$O5))</f>
      </c>
      <c r="J5" s="164">
        <f>IF($O5="","",INDEX(Master!$J$2:$J$1001,$O5))</f>
      </c>
      <c r="K5" s="248">
        <f t="shared" ref="K5:K68" si="0">IF(OR($O5="",$F5="",$F5=0),"",$H5/$F5)</f>
      </c>
      <c r="L5" s="164">
        <f>IF($O5="","",INDEX(Master!$K$2:$K$1001,$O5))</f>
      </c>
      <c r="M5" s="164">
        <f>IF($O5="","",INDEX(Master!$L$2:$L$1001,$O5))</f>
      </c>
      <c r="N5" s="164"/>
      <c r="O5">
        <f t="array" ref="O5">IFERROR(SMALL(IF(Master!$A$2:$A$1001="SWADESH",ROW(Master!$A$2:$A$1001)-ROW(Master!$A$2)+1),1),"")</f>
      </c>
      <c r="P5">
        <f t="shared" ref="P5:P68" si="1">IF($A5="",0,IF(OR(AND($E5&lt;&gt;"",OR($E5&gt;0.15)),AND($F5&lt;&gt;"",OR($F5&gt;0.045)),AND($G5&lt;&gt;"",OR($G5&gt;0.08)),AND($H5&lt;&gt;"",$H5&lt;0.5),AND($J5&lt;&gt;"",OR($J5&lt;0.1))),1,0))</f>
      </c>
    </row>
    <row r="6" spans="1:16" x14ac:dyDescent="0.25">
      <c r="A6" s="164">
        <f>IF($O6="","",INDEX(Master!$D$2:$D$1001,$O6))</f>
      </c>
      <c r="B6" s="165">
        <f>IF($O6="","",INDEX(Master!$B$2:$B$1001,$O6))</f>
      </c>
      <c r="C6" s="164">
        <f>IF($O6="","",INDEX(Master!$C$2:$C$1001,$O6))</f>
      </c>
      <c r="D6" s="164">
        <f>IF($O6="","",INDEX(Master!$A$2:$A$1001,$O6))</f>
      </c>
      <c r="E6" s="164">
        <f>IF($O6="","",INDEX(Master!$E$2:$E$1001,$O6))</f>
      </c>
      <c r="F6" s="164">
        <f>IF($O6="","",INDEX(Master!$F$2:$F$1001,$O6))</f>
      </c>
      <c r="G6" s="164">
        <f>IF($O6="","",INDEX(Master!$G$2:$G$1001,$O6))</f>
      </c>
      <c r="H6" s="164">
        <f>IF($O6="","",INDEX(Master!$H$2:$H$1001,$O6))</f>
      </c>
      <c r="I6" s="164">
        <f>IF($O6="","",INDEX(Master!$I$2:$I$1001,$O6))</f>
      </c>
      <c r="J6" s="164">
        <f>IF($O6="","",INDEX(Master!$J$2:$J$1001,$O6))</f>
      </c>
      <c r="K6" s="248">
        <f t="shared" si="0"/>
      </c>
      <c r="L6" s="164">
        <f>IF($O6="","",INDEX(Master!$K$2:$K$1001,$O6))</f>
      </c>
      <c r="M6" s="164">
        <f>IF($O6="","",INDEX(Master!$L$2:$L$1001,$O6))</f>
      </c>
      <c r="N6" s="164"/>
      <c r="O6">
        <f t="array" ref="O6">IFERROR(SMALL(IF(Master!$A$2:$A$1001="SWADESH",ROW(Master!$A$2:$A$1001)-ROW(Master!$A$2)+1),2),"")</f>
      </c>
      <c r="P6">
        <f t="shared" si="1"/>
      </c>
    </row>
    <row r="7" spans="1:16" x14ac:dyDescent="0.25">
      <c r="A7" s="164">
        <f>IF($O7="","",INDEX(Master!$D$2:$D$1001,$O7))</f>
      </c>
      <c r="B7" s="165">
        <f>IF($O7="","",INDEX(Master!$B$2:$B$1001,$O7))</f>
      </c>
      <c r="C7" s="164">
        <f>IF($O7="","",INDEX(Master!$C$2:$C$1001,$O7))</f>
      </c>
      <c r="D7" s="164">
        <f>IF($O7="","",INDEX(Master!$A$2:$A$1001,$O7))</f>
      </c>
      <c r="E7" s="164">
        <f>IF($O7="","",INDEX(Master!$E$2:$E$1001,$O7))</f>
      </c>
      <c r="F7" s="164">
        <f>IF($O7="","",INDEX(Master!$F$2:$F$1001,$O7))</f>
      </c>
      <c r="G7" s="164">
        <f>IF($O7="","",INDEX(Master!$G$2:$G$1001,$O7))</f>
      </c>
      <c r="H7" s="164">
        <f>IF($O7="","",INDEX(Master!$H$2:$H$1001,$O7))</f>
      </c>
      <c r="I7" s="164">
        <f>IF($O7="","",INDEX(Master!$I$2:$I$1001,$O7))</f>
      </c>
      <c r="J7" s="164">
        <f>IF($O7="","",INDEX(Master!$J$2:$J$1001,$O7))</f>
      </c>
      <c r="K7" s="248">
        <f t="shared" si="0"/>
      </c>
      <c r="L7" s="164">
        <f>IF($O7="","",INDEX(Master!$K$2:$K$1001,$O7))</f>
      </c>
      <c r="M7" s="164">
        <f>IF($O7="","",INDEX(Master!$L$2:$L$1001,$O7))</f>
      </c>
      <c r="N7" s="164"/>
      <c r="O7">
        <f t="array" ref="O7">IFERROR(SMALL(IF(Master!$A$2:$A$1001="SWADESH",ROW(Master!$A$2:$A$1001)-ROW(Master!$A$2)+1),3),"")</f>
      </c>
      <c r="P7">
        <f t="shared" si="1"/>
      </c>
    </row>
    <row r="8" spans="1:16" x14ac:dyDescent="0.25">
      <c r="A8" s="164">
        <f>IF($O8="","",INDEX(Master!$D$2:$D$1001,$O8))</f>
      </c>
      <c r="B8" s="165">
        <f>IF($O8="","",INDEX(Master!$B$2:$B$1001,$O8))</f>
      </c>
      <c r="C8" s="164">
        <f>IF($O8="","",INDEX(Master!$C$2:$C$1001,$O8))</f>
      </c>
      <c r="D8" s="164">
        <f>IF($O8="","",INDEX(Master!$A$2:$A$1001,$O8))</f>
      </c>
      <c r="E8" s="164">
        <f>IF($O8="","",INDEX(Master!$E$2:$E$1001,$O8))</f>
      </c>
      <c r="F8" s="164">
        <f>IF($O8="","",INDEX(Master!$F$2:$F$1001,$O8))</f>
      </c>
      <c r="G8" s="164">
        <f>IF($O8="","",INDEX(Master!$G$2:$G$1001,$O8))</f>
      </c>
      <c r="H8" s="164">
        <f>IF($O8="","",INDEX(Master!$H$2:$H$1001,$O8))</f>
      </c>
      <c r="I8" s="164">
        <f>IF($O8="","",INDEX(Master!$I$2:$I$1001,$O8))</f>
      </c>
      <c r="J8" s="164">
        <f>IF($O8="","",INDEX(Master!$J$2:$J$1001,$O8))</f>
      </c>
      <c r="K8" s="248">
        <f t="shared" si="0"/>
      </c>
      <c r="L8" s="164">
        <f>IF($O8="","",INDEX(Master!$K$2:$K$1001,$O8))</f>
      </c>
      <c r="M8" s="164">
        <f>IF($O8="","",INDEX(Master!$L$2:$L$1001,$O8))</f>
      </c>
      <c r="N8" s="164"/>
      <c r="O8">
        <f t="array" ref="O8">IFERROR(SMALL(IF(Master!$A$2:$A$1001="SWADESH",ROW(Master!$A$2:$A$1001)-ROW(Master!$A$2)+1),4),"")</f>
      </c>
      <c r="P8">
        <f t="shared" si="1"/>
      </c>
    </row>
    <row r="9" spans="1:16" x14ac:dyDescent="0.25">
      <c r="A9" s="164">
        <f>IF($O9="","",INDEX(Master!$D$2:$D$1001,$O9))</f>
      </c>
      <c r="B9" s="165">
        <f>IF($O9="","",INDEX(Master!$B$2:$B$1001,$O9))</f>
      </c>
      <c r="C9" s="164">
        <f>IF($O9="","",INDEX(Master!$C$2:$C$1001,$O9))</f>
      </c>
      <c r="D9" s="164">
        <f>IF($O9="","",INDEX(Master!$A$2:$A$1001,$O9))</f>
      </c>
      <c r="E9" s="164">
        <f>IF($O9="","",INDEX(Master!$E$2:$E$1001,$O9))</f>
      </c>
      <c r="F9" s="164">
        <f>IF($O9="","",INDEX(Master!$F$2:$F$1001,$O9))</f>
      </c>
      <c r="G9" s="164">
        <f>IF($O9="","",INDEX(Master!$G$2:$G$1001,$O9))</f>
      </c>
      <c r="H9" s="164">
        <f>IF($O9="","",INDEX(Master!$H$2:$H$1001,$O9))</f>
      </c>
      <c r="I9" s="164">
        <f>IF($O9="","",INDEX(Master!$I$2:$I$1001,$O9))</f>
      </c>
      <c r="J9" s="164">
        <f>IF($O9="","",INDEX(Master!$J$2:$J$1001,$O9))</f>
      </c>
      <c r="K9" s="248">
        <f t="shared" si="0"/>
      </c>
      <c r="L9" s="164">
        <f>IF($O9="","",INDEX(Master!$K$2:$K$1001,$O9))</f>
      </c>
      <c r="M9" s="164">
        <f>IF($O9="","",INDEX(Master!$L$2:$L$1001,$O9))</f>
      </c>
      <c r="N9" s="164"/>
      <c r="O9">
        <f t="array" ref="O9">IFERROR(SMALL(IF(Master!$A$2:$A$1001="SWADESH",ROW(Master!$A$2:$A$1001)-ROW(Master!$A$2)+1),5),"")</f>
      </c>
      <c r="P9">
        <f t="shared" si="1"/>
      </c>
    </row>
    <row r="10" spans="1:16" x14ac:dyDescent="0.25">
      <c r="A10" s="164">
        <f>IF($O10="","",INDEX(Master!$D$2:$D$1001,$O10))</f>
      </c>
      <c r="B10" s="165">
        <f>IF($O10="","",INDEX(Master!$B$2:$B$1001,$O10))</f>
      </c>
      <c r="C10" s="164">
        <f>IF($O10="","",INDEX(Master!$C$2:$C$1001,$O10))</f>
      </c>
      <c r="D10" s="164">
        <f>IF($O10="","",INDEX(Master!$A$2:$A$1001,$O10))</f>
      </c>
      <c r="E10" s="164">
        <f>IF($O10="","",INDEX(Master!$E$2:$E$1001,$O10))</f>
      </c>
      <c r="F10" s="164">
        <f>IF($O10="","",INDEX(Master!$F$2:$F$1001,$O10))</f>
      </c>
      <c r="G10" s="164">
        <f>IF($O10="","",INDEX(Master!$G$2:$G$1001,$O10))</f>
      </c>
      <c r="H10" s="164">
        <f>IF($O10="","",INDEX(Master!$H$2:$H$1001,$O10))</f>
      </c>
      <c r="I10" s="164">
        <f>IF($O10="","",INDEX(Master!$I$2:$I$1001,$O10))</f>
      </c>
      <c r="J10" s="164">
        <f>IF($O10="","",INDEX(Master!$J$2:$J$1001,$O10))</f>
      </c>
      <c r="K10" s="248">
        <f t="shared" si="0"/>
      </c>
      <c r="L10" s="164">
        <f>IF($O10="","",INDEX(Master!$K$2:$K$1001,$O10))</f>
      </c>
      <c r="M10" s="164">
        <f>IF($O10="","",INDEX(Master!$L$2:$L$1001,$O10))</f>
      </c>
      <c r="N10" s="164"/>
      <c r="O10">
        <f t="array" ref="O10">IFERROR(SMALL(IF(Master!$A$2:$A$1001="SWADESH",ROW(Master!$A$2:$A$1001)-ROW(Master!$A$2)+1),6),"")</f>
      </c>
      <c r="P10">
        <f t="shared" si="1"/>
      </c>
    </row>
    <row r="11" spans="1:16" x14ac:dyDescent="0.25">
      <c r="A11" s="164">
        <f>IF($O11="","",INDEX(Master!$D$2:$D$1001,$O11))</f>
      </c>
      <c r="B11" s="165">
        <f>IF($O11="","",INDEX(Master!$B$2:$B$1001,$O11))</f>
      </c>
      <c r="C11" s="164">
        <f>IF($O11="","",INDEX(Master!$C$2:$C$1001,$O11))</f>
      </c>
      <c r="D11" s="164">
        <f>IF($O11="","",INDEX(Master!$A$2:$A$1001,$O11))</f>
      </c>
      <c r="E11" s="164">
        <f>IF($O11="","",INDEX(Master!$E$2:$E$1001,$O11))</f>
      </c>
      <c r="F11" s="164">
        <f>IF($O11="","",INDEX(Master!$F$2:$F$1001,$O11))</f>
      </c>
      <c r="G11" s="164">
        <f>IF($O11="","",INDEX(Master!$G$2:$G$1001,$O11))</f>
      </c>
      <c r="H11" s="164">
        <f>IF($O11="","",INDEX(Master!$H$2:$H$1001,$O11))</f>
      </c>
      <c r="I11" s="164">
        <f>IF($O11="","",INDEX(Master!$I$2:$I$1001,$O11))</f>
      </c>
      <c r="J11" s="164">
        <f>IF($O11="","",INDEX(Master!$J$2:$J$1001,$O11))</f>
      </c>
      <c r="K11" s="248">
        <f t="shared" si="0"/>
      </c>
      <c r="L11" s="164">
        <f>IF($O11="","",INDEX(Master!$K$2:$K$1001,$O11))</f>
      </c>
      <c r="M11" s="164">
        <f>IF($O11="","",INDEX(Master!$L$2:$L$1001,$O11))</f>
      </c>
      <c r="N11" s="164"/>
      <c r="O11">
        <f t="array" ref="O11">IFERROR(SMALL(IF(Master!$A$2:$A$1001="SWADESH",ROW(Master!$A$2:$A$1001)-ROW(Master!$A$2)+1),7),"")</f>
      </c>
      <c r="P11">
        <f t="shared" si="1"/>
      </c>
    </row>
    <row r="12" spans="1:16" x14ac:dyDescent="0.25">
      <c r="A12" s="164">
        <f>IF($O12="","",INDEX(Master!$D$2:$D$1001,$O12))</f>
      </c>
      <c r="B12" s="165">
        <f>IF($O12="","",INDEX(Master!$B$2:$B$1001,$O12))</f>
      </c>
      <c r="C12" s="164">
        <f>IF($O12="","",INDEX(Master!$C$2:$C$1001,$O12))</f>
      </c>
      <c r="D12" s="164">
        <f>IF($O12="","",INDEX(Master!$A$2:$A$1001,$O12))</f>
      </c>
      <c r="E12" s="164">
        <f>IF($O12="","",INDEX(Master!$E$2:$E$1001,$O12))</f>
      </c>
      <c r="F12" s="164">
        <f>IF($O12="","",INDEX(Master!$F$2:$F$1001,$O12))</f>
      </c>
      <c r="G12" s="164">
        <f>IF($O12="","",INDEX(Master!$G$2:$G$1001,$O12))</f>
      </c>
      <c r="H12" s="164">
        <f>IF($O12="","",INDEX(Master!$H$2:$H$1001,$O12))</f>
      </c>
      <c r="I12" s="164">
        <f>IF($O12="","",INDEX(Master!$I$2:$I$1001,$O12))</f>
      </c>
      <c r="J12" s="164">
        <f>IF($O12="","",INDEX(Master!$J$2:$J$1001,$O12))</f>
      </c>
      <c r="K12" s="248">
        <f t="shared" si="0"/>
      </c>
      <c r="L12" s="164">
        <f>IF($O12="","",INDEX(Master!$K$2:$K$1001,$O12))</f>
      </c>
      <c r="M12" s="164">
        <f>IF($O12="","",INDEX(Master!$L$2:$L$1001,$O12))</f>
      </c>
      <c r="N12" s="164"/>
      <c r="O12">
        <f t="array" ref="O12">IFERROR(SMALL(IF(Master!$A$2:$A$1001="SWADESH",ROW(Master!$A$2:$A$1001)-ROW(Master!$A$2)+1),8),"")</f>
      </c>
      <c r="P12">
        <f t="shared" si="1"/>
      </c>
    </row>
    <row r="13" spans="1:16" x14ac:dyDescent="0.25">
      <c r="A13" s="164">
        <f>IF($O13="","",INDEX(Master!$D$2:$D$1001,$O13))</f>
      </c>
      <c r="B13" s="165">
        <f>IF($O13="","",INDEX(Master!$B$2:$B$1001,$O13))</f>
      </c>
      <c r="C13" s="164">
        <f>IF($O13="","",INDEX(Master!$C$2:$C$1001,$O13))</f>
      </c>
      <c r="D13" s="164">
        <f>IF($O13="","",INDEX(Master!$A$2:$A$1001,$O13))</f>
      </c>
      <c r="E13" s="164">
        <f>IF($O13="","",INDEX(Master!$E$2:$E$1001,$O13))</f>
      </c>
      <c r="F13" s="164">
        <f>IF($O13="","",INDEX(Master!$F$2:$F$1001,$O13))</f>
      </c>
      <c r="G13" s="164">
        <f>IF($O13="","",INDEX(Master!$G$2:$G$1001,$O13))</f>
      </c>
      <c r="H13" s="164">
        <f>IF($O13="","",INDEX(Master!$H$2:$H$1001,$O13))</f>
      </c>
      <c r="I13" s="164">
        <f>IF($O13="","",INDEX(Master!$I$2:$I$1001,$O13))</f>
      </c>
      <c r="J13" s="164">
        <f>IF($O13="","",INDEX(Master!$J$2:$J$1001,$O13))</f>
      </c>
      <c r="K13" s="248">
        <f t="shared" si="0"/>
      </c>
      <c r="L13" s="164">
        <f>IF($O13="","",INDEX(Master!$K$2:$K$1001,$O13))</f>
      </c>
      <c r="M13" s="164">
        <f>IF($O13="","",INDEX(Master!$L$2:$L$1001,$O13))</f>
      </c>
      <c r="N13" s="164"/>
      <c r="O13">
        <f t="array" ref="O13">IFERROR(SMALL(IF(Master!$A$2:$A$1001="SWADESH",ROW(Master!$A$2:$A$1001)-ROW(Master!$A$2)+1),9),"")</f>
      </c>
      <c r="P13">
        <f t="shared" si="1"/>
      </c>
    </row>
    <row r="14" spans="1:16" x14ac:dyDescent="0.25">
      <c r="A14" s="164">
        <f>IF($O14="","",INDEX(Master!$D$2:$D$1001,$O14))</f>
      </c>
      <c r="B14" s="165">
        <f>IF($O14="","",INDEX(Master!$B$2:$B$1001,$O14))</f>
      </c>
      <c r="C14" s="164">
        <f>IF($O14="","",INDEX(Master!$C$2:$C$1001,$O14))</f>
      </c>
      <c r="D14" s="164">
        <f>IF($O14="","",INDEX(Master!$A$2:$A$1001,$O14))</f>
      </c>
      <c r="E14" s="164">
        <f>IF($O14="","",INDEX(Master!$E$2:$E$1001,$O14))</f>
      </c>
      <c r="F14" s="164">
        <f>IF($O14="","",INDEX(Master!$F$2:$F$1001,$O14))</f>
      </c>
      <c r="G14" s="164">
        <f>IF($O14="","",INDEX(Master!$G$2:$G$1001,$O14))</f>
      </c>
      <c r="H14" s="164">
        <f>IF($O14="","",INDEX(Master!$H$2:$H$1001,$O14))</f>
      </c>
      <c r="I14" s="164">
        <f>IF($O14="","",INDEX(Master!$I$2:$I$1001,$O14))</f>
      </c>
      <c r="J14" s="164">
        <f>IF($O14="","",INDEX(Master!$J$2:$J$1001,$O14))</f>
      </c>
      <c r="K14" s="248">
        <f t="shared" si="0"/>
      </c>
      <c r="L14" s="164">
        <f>IF($O14="","",INDEX(Master!$K$2:$K$1001,$O14))</f>
      </c>
      <c r="M14" s="164">
        <f>IF($O14="","",INDEX(Master!$L$2:$L$1001,$O14))</f>
      </c>
      <c r="N14" s="164"/>
      <c r="O14">
        <f t="array" ref="O14">IFERROR(SMALL(IF(Master!$A$2:$A$1001="SWADESH",ROW(Master!$A$2:$A$1001)-ROW(Master!$A$2)+1),10),"")</f>
      </c>
      <c r="P14">
        <f t="shared" si="1"/>
      </c>
    </row>
    <row r="15" spans="1:16" x14ac:dyDescent="0.25">
      <c r="A15" s="164">
        <f>IF($O15="","",INDEX(Master!$D$2:$D$1001,$O15))</f>
      </c>
      <c r="B15" s="165">
        <f>IF($O15="","",INDEX(Master!$B$2:$B$1001,$O15))</f>
      </c>
      <c r="C15" s="164">
        <f>IF($O15="","",INDEX(Master!$C$2:$C$1001,$O15))</f>
      </c>
      <c r="D15" s="164">
        <f>IF($O15="","",INDEX(Master!$A$2:$A$1001,$O15))</f>
      </c>
      <c r="E15" s="164">
        <f>IF($O15="","",INDEX(Master!$E$2:$E$1001,$O15))</f>
      </c>
      <c r="F15" s="164">
        <f>IF($O15="","",INDEX(Master!$F$2:$F$1001,$O15))</f>
      </c>
      <c r="G15" s="164">
        <f>IF($O15="","",INDEX(Master!$G$2:$G$1001,$O15))</f>
      </c>
      <c r="H15" s="164">
        <f>IF($O15="","",INDEX(Master!$H$2:$H$1001,$O15))</f>
      </c>
      <c r="I15" s="164">
        <f>IF($O15="","",INDEX(Master!$I$2:$I$1001,$O15))</f>
      </c>
      <c r="J15" s="164">
        <f>IF($O15="","",INDEX(Master!$J$2:$J$1001,$O15))</f>
      </c>
      <c r="K15" s="248">
        <f t="shared" si="0"/>
      </c>
      <c r="L15" s="164">
        <f>IF($O15="","",INDEX(Master!$K$2:$K$1001,$O15))</f>
      </c>
      <c r="M15" s="164">
        <f>IF($O15="","",INDEX(Master!$L$2:$L$1001,$O15))</f>
      </c>
      <c r="N15" s="164"/>
      <c r="O15">
        <f t="array" ref="O15">IFERROR(SMALL(IF(Master!$A$2:$A$1001="SWADESH",ROW(Master!$A$2:$A$1001)-ROW(Master!$A$2)+1),11),"")</f>
      </c>
      <c r="P15">
        <f t="shared" si="1"/>
      </c>
    </row>
    <row r="16" spans="1:16" x14ac:dyDescent="0.25">
      <c r="A16">
        <f>IF($O16="","",INDEX(Master!$D$2:$D$1001,$O16))</f>
      </c>
      <c r="B16" s="166">
        <f>IF($O16="","",INDEX(Master!$B$2:$B$1001,$O16))</f>
      </c>
      <c r="C16">
        <f>IF($O16="","",INDEX(Master!$C$2:$C$1001,$O16))</f>
      </c>
      <c r="D16">
        <f>IF($O16="","",INDEX(Master!$A$2:$A$1001,$O16))</f>
      </c>
      <c r="E16">
        <f>IF($O16="","",INDEX(Master!$E$2:$E$1001,$O16))</f>
      </c>
      <c r="F16">
        <f>IF($O16="","",INDEX(Master!$F$2:$F$1001,$O16))</f>
      </c>
      <c r="G16">
        <f>IF($O16="","",INDEX(Master!$G$2:$G$1001,$O16))</f>
      </c>
      <c r="H16">
        <f>IF($O16="","",INDEX(Master!$H$2:$H$1001,$O16))</f>
      </c>
      <c r="I16">
        <f>IF($O16="","",INDEX(Master!$I$2:$I$1001,$O16))</f>
      </c>
      <c r="J16">
        <f>IF($O16="","",INDEX(Master!$J$2:$J$1001,$O16))</f>
      </c>
      <c r="K16">
        <f t="shared" si="0"/>
      </c>
      <c r="L16">
        <f>IF($O16="","",INDEX(Master!$K$2:$K$1001,$O16))</f>
      </c>
      <c r="M16">
        <f>IF($O16="","",INDEX(Master!$L$2:$L$1001,$O16))</f>
      </c>
      <c r="O16">
        <f t="array" ref="O16">IFERROR(SMALL(IF(Master!$A$2:$A$1001="SWADESH",ROW(Master!$A$2:$A$1001)-ROW(Master!$A$2)+1),12),"")</f>
      </c>
      <c r="P16">
        <f t="shared" si="1"/>
      </c>
    </row>
    <row r="17" spans="1:16" x14ac:dyDescent="0.25">
      <c r="A17">
        <f>IF($O17="","",INDEX(Master!$D$2:$D$1001,$O17))</f>
      </c>
      <c r="B17" s="166">
        <f>IF($O17="","",INDEX(Master!$B$2:$B$1001,$O17))</f>
      </c>
      <c r="C17">
        <f>IF($O17="","",INDEX(Master!$C$2:$C$1001,$O17))</f>
      </c>
      <c r="D17">
        <f>IF($O17="","",INDEX(Master!$A$2:$A$1001,$O17))</f>
      </c>
      <c r="E17">
        <f>IF($O17="","",INDEX(Master!$E$2:$E$1001,$O17))</f>
      </c>
      <c r="F17">
        <f>IF($O17="","",INDEX(Master!$F$2:$F$1001,$O17))</f>
      </c>
      <c r="G17">
        <f>IF($O17="","",INDEX(Master!$G$2:$G$1001,$O17))</f>
      </c>
      <c r="H17">
        <f>IF($O17="","",INDEX(Master!$H$2:$H$1001,$O17))</f>
      </c>
      <c r="I17">
        <f>IF($O17="","",INDEX(Master!$I$2:$I$1001,$O17))</f>
      </c>
      <c r="J17">
        <f>IF($O17="","",INDEX(Master!$J$2:$J$1001,$O17))</f>
      </c>
      <c r="K17">
        <f t="shared" si="0"/>
      </c>
      <c r="L17">
        <f>IF($O17="","",INDEX(Master!$K$2:$K$1001,$O17))</f>
      </c>
      <c r="M17">
        <f>IF($O17="","",INDEX(Master!$L$2:$L$1001,$O17))</f>
      </c>
      <c r="O17">
        <f t="array" ref="O17">IFERROR(SMALL(IF(Master!$A$2:$A$1001="SWADESH",ROW(Master!$A$2:$A$1001)-ROW(Master!$A$2)+1),13),"")</f>
      </c>
      <c r="P17">
        <f t="shared" si="1"/>
      </c>
    </row>
    <row r="18" spans="1:16" x14ac:dyDescent="0.25">
      <c r="A18">
        <f>IF($O18="","",INDEX(Master!$D$2:$D$1001,$O18))</f>
      </c>
      <c r="B18" s="166">
        <f>IF($O18="","",INDEX(Master!$B$2:$B$1001,$O18))</f>
      </c>
      <c r="C18">
        <f>IF($O18="","",INDEX(Master!$C$2:$C$1001,$O18))</f>
      </c>
      <c r="D18">
        <f>IF($O18="","",INDEX(Master!$A$2:$A$1001,$O18))</f>
      </c>
      <c r="E18">
        <f>IF($O18="","",INDEX(Master!$E$2:$E$1001,$O18))</f>
      </c>
      <c r="F18">
        <f>IF($O18="","",INDEX(Master!$F$2:$F$1001,$O18))</f>
      </c>
      <c r="H18">
        <f>IF($O18="","",INDEX(Master!$H$2:$H$1001,$O18))</f>
      </c>
      <c r="I18">
        <f>IF($O18="","",INDEX(Master!$I$2:$I$1001,$O18))</f>
      </c>
      <c r="J18">
        <f>IF($O18="","",INDEX(Master!$J$2:$J$1001,$O18))</f>
      </c>
      <c r="K18">
        <f t="shared" si="0"/>
      </c>
      <c r="L18">
        <f>IF($O18="","",INDEX(Master!$K$2:$K$1001,$O18))</f>
      </c>
      <c r="M18">
        <f>IF($O18="","",INDEX(Master!$L$2:$L$1001,$O18))</f>
      </c>
      <c r="O18">
        <f t="array" ref="O18">IFERROR(SMALL(IF(Master!$A$2:$A$1001="SWADESH",ROW(Master!$A$2:$A$1001)-ROW(Master!$A$2)+1),14),"")</f>
      </c>
      <c r="P18">
        <f t="shared" si="1"/>
      </c>
    </row>
    <row r="19" spans="1:16" x14ac:dyDescent="0.25">
      <c r="A19">
        <f>IF($O19="","",INDEX(Master!$D$2:$D$1001,$O19))</f>
      </c>
      <c r="B19" s="166">
        <f>IF($O19="","",INDEX(Master!$B$2:$B$1001,$O19))</f>
      </c>
      <c r="C19">
        <f>IF($O19="","",INDEX(Master!$C$2:$C$1001,$O19))</f>
      </c>
      <c r="D19">
        <f>IF($O19="","",INDEX(Master!$A$2:$A$1001,$O19))</f>
      </c>
      <c r="E19">
        <f>IF($O19="","",INDEX(Master!$E$2:$E$1001,$O19))</f>
      </c>
      <c r="F19">
        <f>IF($O19="","",INDEX(Master!$F$2:$F$1001,$O19))</f>
      </c>
      <c r="G19">
        <f>IF($O19="","",INDEX(Master!$G$2:$G$1001,$O19))</f>
      </c>
      <c r="H19">
        <f>IF($O19="","",INDEX(Master!$H$2:$H$1001,$O19))</f>
      </c>
      <c r="I19">
        <f>IF($O19="","",INDEX(Master!$I$2:$I$1001,$O19))</f>
      </c>
      <c r="J19">
        <f>IF($O19="","",INDEX(Master!$J$2:$J$1001,$O19))</f>
      </c>
      <c r="K19">
        <f t="shared" si="0"/>
      </c>
      <c r="L19">
        <f>IF($O19="","",INDEX(Master!$K$2:$K$1001,$O19))</f>
      </c>
      <c r="M19">
        <f>IF($O19="","",INDEX(Master!$L$2:$L$1001,$O19))</f>
      </c>
      <c r="O19">
        <f t="array" ref="O19">IFERROR(SMALL(IF(Master!$A$2:$A$1001="SWADESH",ROW(Master!$A$2:$A$1001)-ROW(Master!$A$2)+1),15),"")</f>
      </c>
      <c r="P19">
        <f t="shared" si="1"/>
      </c>
    </row>
    <row r="20" spans="1:16" x14ac:dyDescent="0.25">
      <c r="A20">
        <f>IF($O20="","",INDEX(Master!$D$2:$D$1001,$O20))</f>
      </c>
      <c r="B20" s="166">
        <f>IF($O20="","",INDEX(Master!$B$2:$B$1001,$O20))</f>
      </c>
      <c r="C20">
        <f>IF($O20="","",INDEX(Master!$C$2:$C$1001,$O20))</f>
      </c>
      <c r="D20">
        <f>IF($O20="","",INDEX(Master!$A$2:$A$1001,$O20))</f>
      </c>
      <c r="E20">
        <f>IF($O20="","",INDEX(Master!$E$2:$E$1001,$O20))</f>
      </c>
      <c r="F20">
        <f>IF($O20="","",INDEX(Master!$F$2:$F$1001,$O20))</f>
      </c>
      <c r="G20">
        <f>IF($O20="","",INDEX(Master!$G$2:$G$1001,$O20))</f>
      </c>
      <c r="H20">
        <f>IF($O20="","",INDEX(Master!$H$2:$H$1001,$O20))</f>
      </c>
      <c r="I20">
        <f>IF($O20="","",INDEX(Master!$I$2:$I$1001,$O20))</f>
      </c>
      <c r="J20">
        <f>IF($O20="","",INDEX(Master!$J$2:$J$1001,$O20))</f>
      </c>
      <c r="K20">
        <f t="shared" si="0"/>
      </c>
      <c r="L20">
        <f>IF($O20="","",INDEX(Master!$K$2:$K$1001,$O20))</f>
      </c>
      <c r="M20">
        <f>IF($O20="","",INDEX(Master!$L$2:$L$1001,$O20))</f>
      </c>
      <c r="O20">
        <f t="array" ref="O20">IFERROR(SMALL(IF(Master!$A$2:$A$1001="SWADESH",ROW(Master!$A$2:$A$1001)-ROW(Master!$A$2)+1),16),"")</f>
      </c>
      <c r="P20">
        <f t="shared" si="1"/>
      </c>
    </row>
    <row r="21" spans="1:16" x14ac:dyDescent="0.25">
      <c r="A21">
        <f>IF($O21="","",INDEX(Master!$D$2:$D$1001,$O21))</f>
      </c>
      <c r="B21" s="166">
        <f>IF($O21="","",INDEX(Master!$B$2:$B$1001,$O21))</f>
      </c>
      <c r="C21">
        <f>IF($O21="","",INDEX(Master!$C$2:$C$1001,$O21))</f>
      </c>
      <c r="D21">
        <f>IF($O21="","",INDEX(Master!$A$2:$A$1001,$O21))</f>
      </c>
      <c r="E21">
        <f>IF($O21="","",INDEX(Master!$E$2:$E$1001,$O21))</f>
      </c>
      <c r="F21">
        <f>IF($O21="","",INDEX(Master!$F$2:$F$1001,$O21))</f>
      </c>
      <c r="G21">
        <f>IF($O21="","",INDEX(Master!$G$2:$G$1001,$O21))</f>
      </c>
      <c r="H21">
        <f>IF($O21="","",INDEX(Master!$H$2:$H$1001,$O21))</f>
      </c>
      <c r="I21">
        <f>IF($O21="","",INDEX(Master!$I$2:$I$1001,$O21))</f>
      </c>
      <c r="J21">
        <f>IF($O21="","",INDEX(Master!$J$2:$J$1001,$O21))</f>
      </c>
      <c r="K21">
        <f t="shared" si="0"/>
      </c>
      <c r="L21">
        <f>IF($O21="","",INDEX(Master!$K$2:$K$1001,$O21))</f>
      </c>
      <c r="M21">
        <f>IF($O21="","",INDEX(Master!$L$2:$L$1001,$O21))</f>
      </c>
      <c r="O21">
        <f t="array" ref="O21">IFERROR(SMALL(IF(Master!$A$2:$A$1001="SWADESH",ROW(Master!$A$2:$A$1001)-ROW(Master!$A$2)+1),17),"")</f>
      </c>
      <c r="P21">
        <f t="shared" si="1"/>
      </c>
    </row>
    <row r="22" spans="1:16" x14ac:dyDescent="0.25">
      <c r="A22">
        <f>IF($O22="","",INDEX(Master!$D$2:$D$1001,$O22))</f>
      </c>
      <c r="B22" s="166">
        <f>IF($O22="","",INDEX(Master!$B$2:$B$1001,$O22))</f>
      </c>
      <c r="C22">
        <f>IF($O22="","",INDEX(Master!$C$2:$C$1001,$O22))</f>
      </c>
      <c r="D22">
        <f>IF($O22="","",INDEX(Master!$A$2:$A$1001,$O22))</f>
      </c>
      <c r="E22">
        <f>IF($O22="","",INDEX(Master!$E$2:$E$1001,$O22))</f>
      </c>
      <c r="F22">
        <f>IF($O22="","",INDEX(Master!$F$2:$F$1001,$O22))</f>
      </c>
      <c r="G22">
        <f>IF($O22="","",INDEX(Master!$G$2:$G$1001,$O22))</f>
      </c>
      <c r="H22">
        <f>IF($O22="","",INDEX(Master!$H$2:$H$1001,$O22))</f>
      </c>
      <c r="I22">
        <f>IF($O22="","",INDEX(Master!$I$2:$I$1001,$O22))</f>
      </c>
      <c r="J22">
        <f>IF($O22="","",INDEX(Master!$J$2:$J$1001,$O22))</f>
      </c>
      <c r="K22">
        <f t="shared" si="0"/>
      </c>
      <c r="L22">
        <f>IF($O22="","",INDEX(Master!$K$2:$K$1001,$O22))</f>
      </c>
      <c r="M22">
        <f>IF($O22="","",INDEX(Master!$L$2:$L$1001,$O22))</f>
      </c>
      <c r="O22">
        <f t="array" ref="O22">IFERROR(SMALL(IF(Master!$A$2:$A$1001="SWADESH",ROW(Master!$A$2:$A$1001)-ROW(Master!$A$2)+1),18),"")</f>
      </c>
      <c r="P22">
        <f t="shared" si="1"/>
      </c>
    </row>
    <row r="23" spans="1:16" x14ac:dyDescent="0.25">
      <c r="A23">
        <f>IF($O23="","",INDEX(Master!$D$2:$D$1001,$O23))</f>
      </c>
      <c r="B23" s="166">
        <f>IF($O23="","",INDEX(Master!$B$2:$B$1001,$O23))</f>
      </c>
      <c r="C23">
        <f>IF($O23="","",INDEX(Master!$C$2:$C$1001,$O23))</f>
      </c>
      <c r="D23">
        <f>IF($O23="","",INDEX(Master!$A$2:$A$1001,$O23))</f>
      </c>
      <c r="E23">
        <f>IF($O23="","",INDEX(Master!$E$2:$E$1001,$O23))</f>
      </c>
      <c r="F23">
        <f>IF($O23="","",INDEX(Master!$F$2:$F$1001,$O23))</f>
      </c>
      <c r="G23">
        <f>IF($O23="","",INDEX(Master!$G$2:$G$1001,$O23))</f>
      </c>
      <c r="H23">
        <f>IF($O23="","",INDEX(Master!$H$2:$H$1001,$O23))</f>
      </c>
      <c r="I23">
        <f>IF($O23="","",INDEX(Master!$I$2:$I$1001,$O23))</f>
      </c>
      <c r="J23">
        <f>IF($O23="","",INDEX(Master!$J$2:$J$1001,$O23))</f>
      </c>
      <c r="K23">
        <f t="shared" si="0"/>
      </c>
      <c r="L23">
        <f>IF($O23="","",INDEX(Master!$K$2:$K$1001,$O23))</f>
      </c>
      <c r="M23">
        <f>IF($O23="","",INDEX(Master!$L$2:$L$1001,$O23))</f>
      </c>
      <c r="O23">
        <f t="array" ref="O23">IFERROR(SMALL(IF(Master!$A$2:$A$1001="SWADESH",ROW(Master!$A$2:$A$1001)-ROW(Master!$A$2)+1),19),"")</f>
      </c>
      <c r="P23">
        <f t="shared" si="1"/>
      </c>
    </row>
    <row r="24" spans="1:16" x14ac:dyDescent="0.25">
      <c r="A24">
        <f>IF($O24="","",INDEX(Master!$D$2:$D$1001,$O24))</f>
      </c>
      <c r="B24" s="166">
        <f>IF($O24="","",INDEX(Master!$B$2:$B$1001,$O24))</f>
      </c>
      <c r="C24">
        <f>IF($O24="","",INDEX(Master!$C$2:$C$1001,$O24))</f>
      </c>
      <c r="D24">
        <f>IF($O24="","",INDEX(Master!$A$2:$A$1001,$O24))</f>
      </c>
      <c r="E24">
        <f>IF($O24="","",INDEX(Master!$E$2:$E$1001,$O24))</f>
      </c>
      <c r="F24">
        <f>IF($O24="","",INDEX(Master!$F$2:$F$1001,$O24))</f>
      </c>
      <c r="G24">
        <f>IF($O24="","",INDEX(Master!$G$2:$G$1001,$O24))</f>
      </c>
      <c r="H24">
        <f>IF($O24="","",INDEX(Master!$H$2:$H$1001,$O24))</f>
      </c>
      <c r="I24">
        <f>IF($O24="","",INDEX(Master!$I$2:$I$1001,$O24))</f>
      </c>
      <c r="J24">
        <f>IF($O24="","",INDEX(Master!$J$2:$J$1001,$O24))</f>
      </c>
      <c r="K24">
        <f t="shared" si="0"/>
      </c>
      <c r="L24">
        <f>IF($O24="","",INDEX(Master!$K$2:$K$1001,$O24))</f>
      </c>
      <c r="M24">
        <f>IF($O24="","",INDEX(Master!$L$2:$L$1001,$O24))</f>
      </c>
      <c r="O24">
        <f t="array" ref="O24">IFERROR(SMALL(IF(Master!$A$2:$A$1001="SWADESH",ROW(Master!$A$2:$A$1001)-ROW(Master!$A$2)+1),20),"")</f>
      </c>
      <c r="P24">
        <f t="shared" si="1"/>
      </c>
    </row>
    <row r="25" spans="1:16" x14ac:dyDescent="0.25">
      <c r="A25">
        <f>IF($O25="","",INDEX(Master!$D$2:$D$1001,$O25))</f>
      </c>
      <c r="B25" s="166">
        <f>IF($O25="","",INDEX(Master!$B$2:$B$1001,$O25))</f>
      </c>
      <c r="C25">
        <f>IF($O25="","",INDEX(Master!$C$2:$C$1001,$O25))</f>
      </c>
      <c r="D25">
        <f>IF($O25="","",INDEX(Master!$A$2:$A$1001,$O25))</f>
      </c>
      <c r="E25">
        <f>IF($O25="","",INDEX(Master!$E$2:$E$1001,$O25))</f>
      </c>
      <c r="F25">
        <f>IF($O25="","",INDEX(Master!$F$2:$F$1001,$O25))</f>
      </c>
      <c r="G25">
        <f>IF($O25="","",INDEX(Master!$G$2:$G$1001,$O25))</f>
      </c>
      <c r="H25">
        <f>IF($O25="","",INDEX(Master!$H$2:$H$1001,$O25))</f>
      </c>
      <c r="I25">
        <f>IF($O25="","",INDEX(Master!$I$2:$I$1001,$O25))</f>
      </c>
      <c r="J25">
        <f>IF($O25="","",INDEX(Master!$J$2:$J$1001,$O25))</f>
      </c>
      <c r="K25">
        <f t="shared" si="0"/>
      </c>
      <c r="L25">
        <f>IF($O25="","",INDEX(Master!$K$2:$K$1001,$O25))</f>
      </c>
      <c r="M25">
        <f>IF($O25="","",INDEX(Master!$L$2:$L$1001,$O25))</f>
      </c>
      <c r="O25">
        <f t="array" ref="O25">IFERROR(SMALL(IF(Master!$A$2:$A$1001="SWADESH",ROW(Master!$A$2:$A$1001)-ROW(Master!$A$2)+1),21),"")</f>
      </c>
      <c r="P25">
        <f t="shared" si="1"/>
      </c>
    </row>
    <row r="26" spans="1:16" x14ac:dyDescent="0.25">
      <c r="A26">
        <f>IF($O26="","",INDEX(Master!$D$2:$D$1001,$O26))</f>
      </c>
      <c r="B26" s="166">
        <f>IF($O26="","",INDEX(Master!$B$2:$B$1001,$O26))</f>
      </c>
      <c r="C26">
        <f>IF($O26="","",INDEX(Master!$C$2:$C$1001,$O26))</f>
      </c>
      <c r="D26">
        <f>IF($O26="","",INDEX(Master!$A$2:$A$1001,$O26))</f>
      </c>
      <c r="E26">
        <f>IF($O26="","",INDEX(Master!$E$2:$E$1001,$O26))</f>
      </c>
      <c r="F26">
        <f>IF($O26="","",INDEX(Master!$F$2:$F$1001,$O26))</f>
      </c>
      <c r="G26">
        <f>IF($O26="","",INDEX(Master!$G$2:$G$1001,$O26))</f>
      </c>
      <c r="H26">
        <f>IF($O26="","",INDEX(Master!$H$2:$H$1001,$O26))</f>
      </c>
      <c r="I26">
        <f>IF($O26="","",INDEX(Master!$I$2:$I$1001,$O26))</f>
      </c>
      <c r="J26">
        <f>IF($O26="","",INDEX(Master!$J$2:$J$1001,$O26))</f>
      </c>
      <c r="K26">
        <f t="shared" si="0"/>
      </c>
      <c r="L26">
        <f>IF($O26="","",INDEX(Master!$K$2:$K$1001,$O26))</f>
      </c>
      <c r="M26">
        <f>IF($O26="","",INDEX(Master!$L$2:$L$1001,$O26))</f>
      </c>
      <c r="O26">
        <f t="array" ref="O26">IFERROR(SMALL(IF(Master!$A$2:$A$1001="SWADESH",ROW(Master!$A$2:$A$1001)-ROW(Master!$A$2)+1),22),"")</f>
      </c>
      <c r="P26">
        <f t="shared" si="1"/>
      </c>
    </row>
    <row r="27" spans="1:16" x14ac:dyDescent="0.25">
      <c r="A27">
        <f>IF($O27="","",INDEX(Master!$D$2:$D$1001,$O27))</f>
      </c>
      <c r="B27" s="166">
        <f>IF($O27="","",INDEX(Master!$B$2:$B$1001,$O27))</f>
      </c>
      <c r="C27">
        <f>IF($O27="","",INDEX(Master!$C$2:$C$1001,$O27))</f>
      </c>
      <c r="D27">
        <f>IF($O27="","",INDEX(Master!$A$2:$A$1001,$O27))</f>
      </c>
      <c r="E27">
        <f>IF($O27="","",INDEX(Master!$E$2:$E$1001,$O27))</f>
      </c>
      <c r="F27">
        <f>IF($O27="","",INDEX(Master!$F$2:$F$1001,$O27))</f>
      </c>
      <c r="G27">
        <f>IF($O27="","",INDEX(Master!$G$2:$G$1001,$O27))</f>
      </c>
      <c r="H27">
        <f>IF($O27="","",INDEX(Master!$H$2:$H$1001,$O27))</f>
      </c>
      <c r="I27">
        <f>IF($O27="","",INDEX(Master!$I$2:$I$1001,$O27))</f>
      </c>
      <c r="J27">
        <f>IF($O27="","",INDEX(Master!$J$2:$J$1001,$O27))</f>
      </c>
      <c r="K27">
        <f t="shared" si="0"/>
      </c>
      <c r="L27">
        <f>IF($O27="","",INDEX(Master!$K$2:$K$1001,$O27))</f>
      </c>
      <c r="M27">
        <f>IF($O27="","",INDEX(Master!$L$2:$L$1001,$O27))</f>
      </c>
      <c r="O27">
        <f t="array" ref="O27">IFERROR(SMALL(IF(Master!$A$2:$A$1001="SWADESH",ROW(Master!$A$2:$A$1001)-ROW(Master!$A$2)+1),23),"")</f>
      </c>
      <c r="P27">
        <f t="shared" si="1"/>
      </c>
    </row>
    <row r="28" spans="1:16" x14ac:dyDescent="0.25">
      <c r="A28">
        <f>IF($O28="","",INDEX(Master!$D$2:$D$1001,$O28))</f>
      </c>
      <c r="B28" s="166">
        <f>IF($O28="","",INDEX(Master!$B$2:$B$1001,$O28))</f>
      </c>
      <c r="C28">
        <f>IF($O28="","",INDEX(Master!$C$2:$C$1001,$O28))</f>
      </c>
      <c r="D28">
        <f>IF($O28="","",INDEX(Master!$A$2:$A$1001,$O28))</f>
      </c>
      <c r="E28">
        <f>IF($O28="","",INDEX(Master!$E$2:$E$1001,$O28))</f>
      </c>
      <c r="F28">
        <f>IF($O28="","",INDEX(Master!$F$2:$F$1001,$O28))</f>
      </c>
      <c r="G28">
        <f>IF($O28="","",INDEX(Master!$G$2:$G$1001,$O28))</f>
      </c>
      <c r="H28">
        <f>IF($O28="","",INDEX(Master!$H$2:$H$1001,$O28))</f>
      </c>
      <c r="I28">
        <f>IF($O28="","",INDEX(Master!$I$2:$I$1001,$O28))</f>
      </c>
      <c r="J28">
        <f>IF($O28="","",INDEX(Master!$J$2:$J$1001,$O28))</f>
      </c>
      <c r="K28">
        <f t="shared" si="0"/>
      </c>
      <c r="L28">
        <f>IF($O28="","",INDEX(Master!$K$2:$K$1001,$O28))</f>
      </c>
      <c r="M28">
        <f>IF($O28="","",INDEX(Master!$L$2:$L$1001,$O28))</f>
      </c>
      <c r="O28">
        <f t="array" ref="O28">IFERROR(SMALL(IF(Master!$A$2:$A$1001="SWADESH",ROW(Master!$A$2:$A$1001)-ROW(Master!$A$2)+1),24),"")</f>
      </c>
      <c r="P28">
        <f t="shared" si="1"/>
      </c>
    </row>
    <row r="29" spans="1:16" x14ac:dyDescent="0.25">
      <c r="A29">
        <f>IF($O29="","",INDEX(Master!$D$2:$D$1001,$O29))</f>
      </c>
      <c r="B29" s="166">
        <f>IF($O29="","",INDEX(Master!$B$2:$B$1001,$O29))</f>
      </c>
      <c r="C29">
        <f>IF($O29="","",INDEX(Master!$C$2:$C$1001,$O29))</f>
      </c>
      <c r="D29">
        <f>IF($O29="","",INDEX(Master!$A$2:$A$1001,$O29))</f>
      </c>
      <c r="E29">
        <f>IF($O29="","",INDEX(Master!$E$2:$E$1001,$O29))</f>
      </c>
      <c r="F29">
        <f>IF($O29="","",INDEX(Master!$F$2:$F$1001,$O29))</f>
      </c>
      <c r="G29">
        <f>IF($O29="","",INDEX(Master!$G$2:$G$1001,$O29))</f>
      </c>
      <c r="H29">
        <f>IF($O29="","",INDEX(Master!$H$2:$H$1001,$O29))</f>
      </c>
      <c r="I29">
        <f>IF($O29="","",INDEX(Master!$I$2:$I$1001,$O29))</f>
      </c>
      <c r="J29">
        <f>IF($O29="","",INDEX(Master!$J$2:$J$1001,$O29))</f>
      </c>
      <c r="K29">
        <f t="shared" si="0"/>
      </c>
      <c r="L29">
        <f>IF($O29="","",INDEX(Master!$K$2:$K$1001,$O29))</f>
      </c>
      <c r="M29">
        <f>IF($O29="","",INDEX(Master!$L$2:$L$1001,$O29))</f>
      </c>
      <c r="O29">
        <f t="array" ref="O29">IFERROR(SMALL(IF(Master!$A$2:$A$1001="SWADESH",ROW(Master!$A$2:$A$1001)-ROW(Master!$A$2)+1),25),"")</f>
      </c>
      <c r="P29">
        <f t="shared" si="1"/>
      </c>
    </row>
    <row r="30" spans="1:16" x14ac:dyDescent="0.25">
      <c r="A30">
        <f>IF($O30="","",INDEX(Master!$D$2:$D$1001,$O30))</f>
      </c>
      <c r="B30" s="166">
        <f>IF($O30="","",INDEX(Master!$B$2:$B$1001,$O30))</f>
      </c>
      <c r="C30">
        <f>IF($O30="","",INDEX(Master!$C$2:$C$1001,$O30))</f>
      </c>
      <c r="D30">
        <f>IF($O30="","",INDEX(Master!$A$2:$A$1001,$O30))</f>
      </c>
      <c r="E30">
        <f>IF($O30="","",INDEX(Master!$E$2:$E$1001,$O30))</f>
      </c>
      <c r="F30">
        <f>IF($O30="","",INDEX(Master!$F$2:$F$1001,$O30))</f>
      </c>
      <c r="G30">
        <f>IF($O30="","",INDEX(Master!$G$2:$G$1001,$O30))</f>
      </c>
      <c r="H30">
        <f>IF($O30="","",INDEX(Master!$H$2:$H$1001,$O30))</f>
      </c>
      <c r="I30">
        <f>IF($O30="","",INDEX(Master!$I$2:$I$1001,$O30))</f>
      </c>
      <c r="J30">
        <f>IF($O30="","",INDEX(Master!$J$2:$J$1001,$O30))</f>
      </c>
      <c r="K30">
        <f t="shared" si="0"/>
      </c>
      <c r="L30">
        <f>IF($O30="","",INDEX(Master!$K$2:$K$1001,$O30))</f>
      </c>
      <c r="M30">
        <f>IF($O30="","",INDEX(Master!$L$2:$L$1001,$O30))</f>
      </c>
      <c r="O30">
        <f t="array" ref="O30">IFERROR(SMALL(IF(Master!$A$2:$A$1001="SWADESH",ROW(Master!$A$2:$A$1001)-ROW(Master!$A$2)+1),26),"")</f>
      </c>
      <c r="P30">
        <f t="shared" si="1"/>
      </c>
    </row>
    <row r="31" spans="1:16" x14ac:dyDescent="0.25">
      <c r="A31">
        <f>IF($O31="","",INDEX(Master!$D$2:$D$1001,$O31))</f>
      </c>
      <c r="B31" s="166">
        <f>IF($O31="","",INDEX(Master!$B$2:$B$1001,$O31))</f>
      </c>
      <c r="C31">
        <f>IF($O31="","",INDEX(Master!$C$2:$C$1001,$O31))</f>
      </c>
      <c r="D31">
        <f>IF($O31="","",INDEX(Master!$A$2:$A$1001,$O31))</f>
      </c>
      <c r="E31">
        <f>IF($O31="","",INDEX(Master!$E$2:$E$1001,$O31))</f>
      </c>
      <c r="F31">
        <f>IF($O31="","",INDEX(Master!$F$2:$F$1001,$O31))</f>
      </c>
      <c r="G31">
        <f>IF($O31="","",INDEX(Master!$G$2:$G$1001,$O31))</f>
      </c>
      <c r="H31">
        <f>IF($O31="","",INDEX(Master!$H$2:$H$1001,$O31))</f>
      </c>
      <c r="I31">
        <f>IF($O31="","",INDEX(Master!$I$2:$I$1001,$O31))</f>
      </c>
      <c r="J31">
        <f>IF($O31="","",INDEX(Master!$J$2:$J$1001,$O31))</f>
      </c>
      <c r="K31">
        <f t="shared" si="0"/>
      </c>
      <c r="L31">
        <f>IF($O31="","",INDEX(Master!$K$2:$K$1001,$O31))</f>
      </c>
      <c r="M31">
        <f>IF($O31="","",INDEX(Master!$L$2:$L$1001,$O31))</f>
      </c>
      <c r="O31">
        <f t="array" ref="O31">IFERROR(SMALL(IF(Master!$A$2:$A$1001="SWADESH",ROW(Master!$A$2:$A$1001)-ROW(Master!$A$2)+1),27),"")</f>
      </c>
      <c r="P31">
        <f t="shared" si="1"/>
      </c>
    </row>
    <row r="32" spans="1:16" x14ac:dyDescent="0.25">
      <c r="A32">
        <f>IF($O32="","",INDEX(Master!$D$2:$D$1001,$O32))</f>
      </c>
      <c r="B32" s="166">
        <f>IF($O32="","",INDEX(Master!$B$2:$B$1001,$O32))</f>
      </c>
      <c r="C32">
        <f>IF($O32="","",INDEX(Master!$C$2:$C$1001,$O32))</f>
      </c>
      <c r="D32">
        <f>IF($O32="","",INDEX(Master!$A$2:$A$1001,$O32))</f>
      </c>
      <c r="E32">
        <f>IF($O32="","",INDEX(Master!$E$2:$E$1001,$O32))</f>
      </c>
      <c r="F32">
        <f>IF($O32="","",INDEX(Master!$F$2:$F$1001,$O32))</f>
      </c>
      <c r="G32">
        <f>IF($O32="","",INDEX(Master!$G$2:$G$1001,$O32))</f>
      </c>
      <c r="H32">
        <f>IF($O32="","",INDEX(Master!$H$2:$H$1001,$O32))</f>
      </c>
      <c r="I32">
        <f>IF($O32="","",INDEX(Master!$I$2:$I$1001,$O32))</f>
      </c>
      <c r="J32">
        <f>IF($O32="","",INDEX(Master!$J$2:$J$1001,$O32))</f>
      </c>
      <c r="K32">
        <f t="shared" si="0"/>
      </c>
      <c r="L32">
        <f>IF($O32="","",INDEX(Master!$K$2:$K$1001,$O32))</f>
      </c>
      <c r="M32">
        <f>IF($O32="","",INDEX(Master!$L$2:$L$1001,$O32))</f>
      </c>
      <c r="O32">
        <f t="array" ref="O32">IFERROR(SMALL(IF(Master!$A$2:$A$1001="SWADESH",ROW(Master!$A$2:$A$1001)-ROW(Master!$A$2)+1),28),"")</f>
      </c>
      <c r="P32">
        <f t="shared" si="1"/>
      </c>
    </row>
    <row r="33" spans="1:16" x14ac:dyDescent="0.25">
      <c r="A33">
        <f>IF($O33="","",INDEX(Master!$D$2:$D$1001,$O33))</f>
      </c>
      <c r="B33" s="166">
        <f>IF($O33="","",INDEX(Master!$B$2:$B$1001,$O33))</f>
      </c>
      <c r="C33">
        <f>IF($O33="","",INDEX(Master!$C$2:$C$1001,$O33))</f>
      </c>
      <c r="D33">
        <f>IF($O33="","",INDEX(Master!$A$2:$A$1001,$O33))</f>
      </c>
      <c r="E33">
        <f>IF($O33="","",INDEX(Master!$E$2:$E$1001,$O33))</f>
      </c>
      <c r="F33">
        <f>IF($O33="","",INDEX(Master!$F$2:$F$1001,$O33))</f>
      </c>
      <c r="G33">
        <f>IF($O33="","",INDEX(Master!$G$2:$G$1001,$O33))</f>
      </c>
      <c r="H33">
        <f>IF($O33="","",INDEX(Master!$H$2:$H$1001,$O33))</f>
      </c>
      <c r="I33">
        <f>IF($O33="","",INDEX(Master!$I$2:$I$1001,$O33))</f>
      </c>
      <c r="J33">
        <f>IF($O33="","",INDEX(Master!$J$2:$J$1001,$O33))</f>
      </c>
      <c r="K33">
        <f t="shared" si="0"/>
      </c>
      <c r="L33">
        <f>IF($O33="","",INDEX(Master!$K$2:$K$1001,$O33))</f>
      </c>
      <c r="M33">
        <f>IF($O33="","",INDEX(Master!$L$2:$L$1001,$O33))</f>
      </c>
      <c r="O33">
        <f t="array" ref="O33">IFERROR(SMALL(IF(Master!$A$2:$A$1001="SWADESH",ROW(Master!$A$2:$A$1001)-ROW(Master!$A$2)+1),29),"")</f>
      </c>
      <c r="P33">
        <f t="shared" si="1"/>
      </c>
    </row>
    <row r="34" spans="1:16" x14ac:dyDescent="0.25">
      <c r="A34">
        <f>IF($O34="","",INDEX(Master!$D$2:$D$1001,$O34))</f>
      </c>
      <c r="B34" s="166">
        <f>IF($O34="","",INDEX(Master!$B$2:$B$1001,$O34))</f>
      </c>
      <c r="C34">
        <f>IF($O34="","",INDEX(Master!$C$2:$C$1001,$O34))</f>
      </c>
      <c r="D34">
        <f>IF($O34="","",INDEX(Master!$A$2:$A$1001,$O34))</f>
      </c>
      <c r="E34">
        <f>IF($O34="","",INDEX(Master!$E$2:$E$1001,$O34))</f>
      </c>
      <c r="F34">
        <f>IF($O34="","",INDEX(Master!$F$2:$F$1001,$O34))</f>
      </c>
      <c r="G34">
        <f>IF($O34="","",INDEX(Master!$G$2:$G$1001,$O34))</f>
      </c>
      <c r="H34">
        <f>IF($O34="","",INDEX(Master!$H$2:$H$1001,$O34))</f>
      </c>
      <c r="I34">
        <f>IF($O34="","",INDEX(Master!$I$2:$I$1001,$O34))</f>
      </c>
      <c r="J34">
        <f>IF($O34="","",INDEX(Master!$J$2:$J$1001,$O34))</f>
      </c>
      <c r="K34">
        <f t="shared" si="0"/>
      </c>
      <c r="L34">
        <f>IF($O34="","",INDEX(Master!$K$2:$K$1001,$O34))</f>
      </c>
      <c r="M34">
        <f>IF($O34="","",INDEX(Master!$L$2:$L$1001,$O34))</f>
      </c>
      <c r="O34">
        <f t="array" ref="O34">IFERROR(SMALL(IF(Master!$A$2:$A$1001="SWADESH",ROW(Master!$A$2:$A$1001)-ROW(Master!$A$2)+1),30),"")</f>
      </c>
      <c r="P34">
        <f t="shared" si="1"/>
      </c>
    </row>
    <row r="35" spans="1:16" x14ac:dyDescent="0.25">
      <c r="A35">
        <f>IF($O35="","",INDEX(Master!$D$2:$D$1001,$O35))</f>
      </c>
      <c r="B35" s="166">
        <f>IF($O35="","",INDEX(Master!$B$2:$B$1001,$O35))</f>
      </c>
      <c r="C35">
        <f>IF($O35="","",INDEX(Master!$C$2:$C$1001,$O35))</f>
      </c>
      <c r="D35">
        <f>IF($O35="","",INDEX(Master!$A$2:$A$1001,$O35))</f>
      </c>
      <c r="E35">
        <f>IF($O35="","",INDEX(Master!$E$2:$E$1001,$O35))</f>
      </c>
      <c r="F35">
        <f>IF($O35="","",INDEX(Master!$F$2:$F$1001,$O35))</f>
      </c>
      <c r="G35">
        <f>IF($O35="","",INDEX(Master!$G$2:$G$1001,$O35))</f>
      </c>
      <c r="H35">
        <f>IF($O35="","",INDEX(Master!$H$2:$H$1001,$O35))</f>
      </c>
      <c r="I35">
        <f>IF($O35="","",INDEX(Master!$I$2:$I$1001,$O35))</f>
      </c>
      <c r="J35">
        <f>IF($O35="","",INDEX(Master!$J$2:$J$1001,$O35))</f>
      </c>
      <c r="K35">
        <f t="shared" si="0"/>
      </c>
      <c r="L35">
        <f>IF($O35="","",INDEX(Master!$K$2:$K$1001,$O35))</f>
      </c>
      <c r="M35">
        <f>IF($O35="","",INDEX(Master!$L$2:$L$1001,$O35))</f>
      </c>
      <c r="O35">
        <f t="array" ref="O35">IFERROR(SMALL(IF(Master!$A$2:$A$1001="SWADESH",ROW(Master!$A$2:$A$1001)-ROW(Master!$A$2)+1),31),"")</f>
      </c>
      <c r="P35">
        <f t="shared" si="1"/>
      </c>
    </row>
    <row r="36" spans="1:16" x14ac:dyDescent="0.25">
      <c r="A36">
        <f>IF($O36="","",INDEX(Master!$D$2:$D$1001,$O36))</f>
      </c>
      <c r="B36" s="166">
        <f>IF($O36="","",INDEX(Master!$B$2:$B$1001,$O36))</f>
      </c>
      <c r="C36">
        <f>IF($O36="","",INDEX(Master!$C$2:$C$1001,$O36))</f>
      </c>
      <c r="D36">
        <f>IF($O36="","",INDEX(Master!$A$2:$A$1001,$O36))</f>
      </c>
      <c r="E36">
        <f>IF($O36="","",INDEX(Master!$E$2:$E$1001,$O36))</f>
      </c>
      <c r="F36">
        <f>IF($O36="","",INDEX(Master!$F$2:$F$1001,$O36))</f>
      </c>
      <c r="G36">
        <f>IF($O36="","",INDEX(Master!$G$2:$G$1001,$O36))</f>
      </c>
      <c r="H36">
        <f>IF($O36="","",INDEX(Master!$H$2:$H$1001,$O36))</f>
      </c>
      <c r="I36">
        <f>IF($O36="","",INDEX(Master!$I$2:$I$1001,$O36))</f>
      </c>
      <c r="J36">
        <f>IF($O36="","",INDEX(Master!$J$2:$J$1001,$O36))</f>
      </c>
      <c r="K36">
        <f t="shared" si="0"/>
      </c>
      <c r="L36">
        <f>IF($O36="","",INDEX(Master!$K$2:$K$1001,$O36))</f>
      </c>
      <c r="M36">
        <f>IF($O36="","",INDEX(Master!$L$2:$L$1001,$O36))</f>
      </c>
      <c r="O36">
        <f t="array" ref="O36">IFERROR(SMALL(IF(Master!$A$2:$A$1001="SWADESH",ROW(Master!$A$2:$A$1001)-ROW(Master!$A$2)+1),32),"")</f>
      </c>
      <c r="P36">
        <f t="shared" si="1"/>
      </c>
    </row>
    <row r="37" spans="1:16" x14ac:dyDescent="0.25">
      <c r="A37">
        <f>IF($O37="","",INDEX(Master!$D$2:$D$1001,$O37))</f>
      </c>
      <c r="B37" s="166">
        <f>IF($O37="","",INDEX(Master!$B$2:$B$1001,$O37))</f>
      </c>
      <c r="C37">
        <f>IF($O37="","",INDEX(Master!$C$2:$C$1001,$O37))</f>
      </c>
      <c r="D37">
        <f>IF($O37="","",INDEX(Master!$A$2:$A$1001,$O37))</f>
      </c>
      <c r="E37">
        <f>IF($O37="","",INDEX(Master!$E$2:$E$1001,$O37))</f>
      </c>
      <c r="F37">
        <f>IF($O37="","",INDEX(Master!$F$2:$F$1001,$O37))</f>
      </c>
      <c r="G37">
        <f>IF($O37="","",INDEX(Master!$G$2:$G$1001,$O37))</f>
      </c>
      <c r="H37">
        <f>IF($O37="","",INDEX(Master!$H$2:$H$1001,$O37))</f>
      </c>
      <c r="I37">
        <f>IF($O37="","",INDEX(Master!$I$2:$I$1001,$O37))</f>
      </c>
      <c r="J37">
        <f>IF($O37="","",INDEX(Master!$J$2:$J$1001,$O37))</f>
      </c>
      <c r="K37">
        <f t="shared" si="0"/>
      </c>
      <c r="L37">
        <f>IF($O37="","",INDEX(Master!$K$2:$K$1001,$O37))</f>
      </c>
      <c r="M37">
        <f>IF($O37="","",INDEX(Master!$L$2:$L$1001,$O37))</f>
      </c>
      <c r="O37">
        <f t="array" ref="O37">IFERROR(SMALL(IF(Master!$A$2:$A$1001="SWADESH",ROW(Master!$A$2:$A$1001)-ROW(Master!$A$2)+1),33),"")</f>
      </c>
      <c r="P37">
        <f t="shared" si="1"/>
      </c>
    </row>
    <row r="38" spans="1:16" x14ac:dyDescent="0.25">
      <c r="A38">
        <f>IF($O38="","",INDEX(Master!$D$2:$D$1001,$O38))</f>
      </c>
      <c r="B38" s="166">
        <f>IF($O38="","",INDEX(Master!$B$2:$B$1001,$O38))</f>
      </c>
      <c r="C38">
        <f>IF($O38="","",INDEX(Master!$C$2:$C$1001,$O38))</f>
      </c>
      <c r="D38">
        <f>IF($O38="","",INDEX(Master!$A$2:$A$1001,$O38))</f>
      </c>
      <c r="E38">
        <f>IF($O38="","",INDEX(Master!$E$2:$E$1001,$O38))</f>
      </c>
      <c r="F38">
        <f>IF($O38="","",INDEX(Master!$F$2:$F$1001,$O38))</f>
      </c>
      <c r="G38">
        <f>IF($O38="","",INDEX(Master!$G$2:$G$1001,$O38))</f>
      </c>
      <c r="H38">
        <f>IF($O38="","",INDEX(Master!$H$2:$H$1001,$O38))</f>
      </c>
      <c r="I38">
        <f>IF($O38="","",INDEX(Master!$I$2:$I$1001,$O38))</f>
      </c>
      <c r="J38">
        <f>IF($O38="","",INDEX(Master!$J$2:$J$1001,$O38))</f>
      </c>
      <c r="K38">
        <f t="shared" si="0"/>
      </c>
      <c r="L38">
        <f>IF($O38="","",INDEX(Master!$K$2:$K$1001,$O38))</f>
      </c>
      <c r="M38">
        <f>IF($O38="","",INDEX(Master!$L$2:$L$1001,$O38))</f>
      </c>
      <c r="O38">
        <f t="array" ref="O38">IFERROR(SMALL(IF(Master!$A$2:$A$1001="SWADESH",ROW(Master!$A$2:$A$1001)-ROW(Master!$A$2)+1),34),"")</f>
      </c>
      <c r="P38">
        <f t="shared" si="1"/>
      </c>
    </row>
    <row r="39" spans="1:16" x14ac:dyDescent="0.25">
      <c r="A39">
        <f>IF($O39="","",INDEX(Master!$D$2:$D$1001,$O39))</f>
      </c>
      <c r="B39" s="166">
        <f>IF($O39="","",INDEX(Master!$B$2:$B$1001,$O39))</f>
      </c>
      <c r="C39">
        <f>IF($O39="","",INDEX(Master!$C$2:$C$1001,$O39))</f>
      </c>
      <c r="D39">
        <f>IF($O39="","",INDEX(Master!$A$2:$A$1001,$O39))</f>
      </c>
      <c r="E39">
        <f>IF($O39="","",INDEX(Master!$E$2:$E$1001,$O39))</f>
      </c>
      <c r="F39">
        <f>IF($O39="","",INDEX(Master!$F$2:$F$1001,$O39))</f>
      </c>
      <c r="G39">
        <f>IF($O39="","",INDEX(Master!$G$2:$G$1001,$O39))</f>
      </c>
      <c r="H39">
        <f>IF($O39="","",INDEX(Master!$H$2:$H$1001,$O39))</f>
      </c>
      <c r="I39">
        <f>IF($O39="","",INDEX(Master!$I$2:$I$1001,$O39))</f>
      </c>
      <c r="J39">
        <f>IF($O39="","",INDEX(Master!$J$2:$J$1001,$O39))</f>
      </c>
      <c r="K39">
        <f t="shared" si="0"/>
      </c>
      <c r="L39">
        <f>IF($O39="","",INDEX(Master!$K$2:$K$1001,$O39))</f>
      </c>
      <c r="M39">
        <f>IF($O39="","",INDEX(Master!$L$2:$L$1001,$O39))</f>
      </c>
      <c r="O39">
        <f t="array" ref="O39">IFERROR(SMALL(IF(Master!$A$2:$A$1001="SWADESH",ROW(Master!$A$2:$A$1001)-ROW(Master!$A$2)+1),35),"")</f>
      </c>
      <c r="P39">
        <f t="shared" si="1"/>
      </c>
    </row>
    <row r="40" spans="1:16" x14ac:dyDescent="0.25">
      <c r="A40">
        <f>IF($O40="","",INDEX(Master!$D$2:$D$1001,$O40))</f>
      </c>
      <c r="B40" s="166">
        <f>IF($O40="","",INDEX(Master!$B$2:$B$1001,$O40))</f>
      </c>
      <c r="C40">
        <f>IF($O40="","",INDEX(Master!$C$2:$C$1001,$O40))</f>
      </c>
      <c r="D40">
        <f>IF($O40="","",INDEX(Master!$A$2:$A$1001,$O40))</f>
      </c>
      <c r="E40">
        <f>IF($O40="","",INDEX(Master!$E$2:$E$1001,$O40))</f>
      </c>
      <c r="F40">
        <f>IF($O40="","",INDEX(Master!$F$2:$F$1001,$O40))</f>
      </c>
      <c r="G40">
        <f>IF($O40="","",INDEX(Master!$G$2:$G$1001,$O40))</f>
      </c>
      <c r="H40">
        <f>IF($O40="","",INDEX(Master!$H$2:$H$1001,$O40))</f>
      </c>
      <c r="I40">
        <f>IF($O40="","",INDEX(Master!$I$2:$I$1001,$O40))</f>
      </c>
      <c r="J40">
        <f>IF($O40="","",INDEX(Master!$J$2:$J$1001,$O40))</f>
      </c>
      <c r="K40">
        <f t="shared" si="0"/>
      </c>
      <c r="L40">
        <f>IF($O40="","",INDEX(Master!$K$2:$K$1001,$O40))</f>
      </c>
      <c r="M40">
        <f>IF($O40="","",INDEX(Master!$L$2:$L$1001,$O40))</f>
      </c>
      <c r="O40">
        <f t="array" ref="O40">IFERROR(SMALL(IF(Master!$A$2:$A$1001="SWADESH",ROW(Master!$A$2:$A$1001)-ROW(Master!$A$2)+1),36),"")</f>
      </c>
      <c r="P40">
        <f t="shared" si="1"/>
      </c>
    </row>
    <row r="41" spans="1:16" x14ac:dyDescent="0.25">
      <c r="A41">
        <f>IF($O41="","",INDEX(Master!$D$2:$D$1001,$O41))</f>
      </c>
      <c r="B41" s="166">
        <f>IF($O41="","",INDEX(Master!$B$2:$B$1001,$O41))</f>
      </c>
      <c r="C41">
        <f>IF($O41="","",INDEX(Master!$C$2:$C$1001,$O41))</f>
      </c>
      <c r="D41">
        <f>IF($O41="","",INDEX(Master!$A$2:$A$1001,$O41))</f>
      </c>
      <c r="E41">
        <f>IF($O41="","",INDEX(Master!$E$2:$E$1001,$O41))</f>
      </c>
      <c r="F41">
        <f>IF($O41="","",INDEX(Master!$F$2:$F$1001,$O41))</f>
      </c>
      <c r="G41">
        <f>IF($O41="","",INDEX(Master!$G$2:$G$1001,$O41))</f>
      </c>
      <c r="H41">
        <f>IF($O41="","",INDEX(Master!$H$2:$H$1001,$O41))</f>
      </c>
      <c r="I41">
        <f>IF($O41="","",INDEX(Master!$I$2:$I$1001,$O41))</f>
      </c>
      <c r="J41">
        <f>IF($O41="","",INDEX(Master!$J$2:$J$1001,$O41))</f>
      </c>
      <c r="K41">
        <f t="shared" si="0"/>
      </c>
      <c r="L41">
        <f>IF($O41="","",INDEX(Master!$K$2:$K$1001,$O41))</f>
      </c>
      <c r="M41">
        <f>IF($O41="","",INDEX(Master!$L$2:$L$1001,$O41))</f>
      </c>
      <c r="O41">
        <f t="array" ref="O41">IFERROR(SMALL(IF(Master!$A$2:$A$1001="SWADESH",ROW(Master!$A$2:$A$1001)-ROW(Master!$A$2)+1),37),"")</f>
      </c>
      <c r="P41">
        <f t="shared" si="1"/>
      </c>
    </row>
    <row r="42" spans="1:16" x14ac:dyDescent="0.25">
      <c r="A42">
        <f>IF($O42="","",INDEX(Master!$D$2:$D$1001,$O42))</f>
      </c>
      <c r="B42" s="166">
        <f>IF($O42="","",INDEX(Master!$B$2:$B$1001,$O42))</f>
      </c>
      <c r="C42">
        <f>IF($O42="","",INDEX(Master!$C$2:$C$1001,$O42))</f>
      </c>
      <c r="D42">
        <f>IF($O42="","",INDEX(Master!$A$2:$A$1001,$O42))</f>
      </c>
      <c r="E42">
        <f>IF($O42="","",INDEX(Master!$E$2:$E$1001,$O42))</f>
      </c>
      <c r="F42">
        <f>IF($O42="","",INDEX(Master!$F$2:$F$1001,$O42))</f>
      </c>
      <c r="G42">
        <f>IF($O42="","",INDEX(Master!$G$2:$G$1001,$O42))</f>
      </c>
      <c r="H42">
        <f>IF($O42="","",INDEX(Master!$H$2:$H$1001,$O42))</f>
      </c>
      <c r="I42">
        <f>IF($O42="","",INDEX(Master!$I$2:$I$1001,$O42))</f>
      </c>
      <c r="J42">
        <f>IF($O42="","",INDEX(Master!$J$2:$J$1001,$O42))</f>
      </c>
      <c r="K42">
        <f t="shared" si="0"/>
      </c>
      <c r="L42">
        <f>IF($O42="","",INDEX(Master!$K$2:$K$1001,$O42))</f>
      </c>
      <c r="M42">
        <f>IF($O42="","",INDEX(Master!$L$2:$L$1001,$O42))</f>
      </c>
      <c r="O42">
        <f t="array" ref="O42">IFERROR(SMALL(IF(Master!$A$2:$A$1001="SWADESH",ROW(Master!$A$2:$A$1001)-ROW(Master!$A$2)+1),38),"")</f>
      </c>
      <c r="P42">
        <f t="shared" si="1"/>
      </c>
    </row>
    <row r="43" spans="1:16" x14ac:dyDescent="0.25">
      <c r="A43">
        <f>IF($O43="","",INDEX(Master!$D$2:$D$1001,$O43))</f>
      </c>
      <c r="B43" s="166">
        <f>IF($O43="","",INDEX(Master!$B$2:$B$1001,$O43))</f>
      </c>
      <c r="C43">
        <f>IF($O43="","",INDEX(Master!$C$2:$C$1001,$O43))</f>
      </c>
      <c r="D43">
        <f>IF($O43="","",INDEX(Master!$A$2:$A$1001,$O43))</f>
      </c>
      <c r="E43">
        <f>IF($O43="","",INDEX(Master!$E$2:$E$1001,$O43))</f>
      </c>
      <c r="F43">
        <f>IF($O43="","",INDEX(Master!$F$2:$F$1001,$O43))</f>
      </c>
      <c r="G43">
        <f>IF($O43="","",INDEX(Master!$G$2:$G$1001,$O43))</f>
      </c>
      <c r="H43">
        <f>IF($O43="","",INDEX(Master!$H$2:$H$1001,$O43))</f>
      </c>
      <c r="I43">
        <f>IF($O43="","",INDEX(Master!$I$2:$I$1001,$O43))</f>
      </c>
      <c r="J43">
        <f>IF($O43="","",INDEX(Master!$J$2:$J$1001,$O43))</f>
      </c>
      <c r="K43">
        <f t="shared" si="0"/>
      </c>
      <c r="L43">
        <f>IF($O43="","",INDEX(Master!$K$2:$K$1001,$O43))</f>
      </c>
      <c r="M43">
        <f>IF($O43="","",INDEX(Master!$L$2:$L$1001,$O43))</f>
      </c>
      <c r="O43">
        <f t="array" ref="O43">IFERROR(SMALL(IF(Master!$A$2:$A$1001="SWADESH",ROW(Master!$A$2:$A$1001)-ROW(Master!$A$2)+1),39),"")</f>
      </c>
      <c r="P43">
        <f t="shared" si="1"/>
      </c>
    </row>
    <row r="44" spans="1:16" x14ac:dyDescent="0.25">
      <c r="A44">
        <f>IF($O44="","",INDEX(Master!$D$2:$D$1001,$O44))</f>
      </c>
      <c r="B44" s="166">
        <f>IF($O44="","",INDEX(Master!$B$2:$B$1001,$O44))</f>
      </c>
      <c r="C44">
        <f>IF($O44="","",INDEX(Master!$C$2:$C$1001,$O44))</f>
      </c>
      <c r="D44">
        <f>IF($O44="","",INDEX(Master!$A$2:$A$1001,$O44))</f>
      </c>
      <c r="E44">
        <f>IF($O44="","",INDEX(Master!$E$2:$E$1001,$O44))</f>
      </c>
      <c r="F44">
        <f>IF($O44="","",INDEX(Master!$F$2:$F$1001,$O44))</f>
      </c>
      <c r="G44">
        <f>IF($O44="","",INDEX(Master!$G$2:$G$1001,$O44))</f>
      </c>
      <c r="H44">
        <f>IF($O44="","",INDEX(Master!$H$2:$H$1001,$O44))</f>
      </c>
      <c r="I44">
        <f>IF($O44="","",INDEX(Master!$I$2:$I$1001,$O44))</f>
      </c>
      <c r="J44">
        <f>IF($O44="","",INDEX(Master!$J$2:$J$1001,$O44))</f>
      </c>
      <c r="K44">
        <f t="shared" si="0"/>
      </c>
      <c r="L44">
        <f>IF($O44="","",INDEX(Master!$K$2:$K$1001,$O44))</f>
      </c>
      <c r="M44">
        <f>IF($O44="","",INDEX(Master!$L$2:$L$1001,$O44))</f>
      </c>
      <c r="O44">
        <f t="array" ref="O44">IFERROR(SMALL(IF(Master!$A$2:$A$1001="SWADESH",ROW(Master!$A$2:$A$1001)-ROW(Master!$A$2)+1),40),"")</f>
      </c>
      <c r="P44">
        <f t="shared" si="1"/>
      </c>
    </row>
    <row r="45" spans="1:16" x14ac:dyDescent="0.25">
      <c r="A45">
        <f>IF($O45="","",INDEX(Master!$D$2:$D$1001,$O45))</f>
      </c>
      <c r="B45" s="166">
        <f>IF($O45="","",INDEX(Master!$B$2:$B$1001,$O45))</f>
      </c>
      <c r="C45">
        <f>IF($O45="","",INDEX(Master!$C$2:$C$1001,$O45))</f>
      </c>
      <c r="D45">
        <f>IF($O45="","",INDEX(Master!$A$2:$A$1001,$O45))</f>
      </c>
      <c r="E45">
        <f>IF($O45="","",INDEX(Master!$E$2:$E$1001,$O45))</f>
      </c>
      <c r="F45">
        <f>IF($O45="","",INDEX(Master!$F$2:$F$1001,$O45))</f>
      </c>
      <c r="G45">
        <f>IF($O45="","",INDEX(Master!$G$2:$G$1001,$O45))</f>
      </c>
      <c r="H45">
        <f>IF($O45="","",INDEX(Master!$H$2:$H$1001,$O45))</f>
      </c>
      <c r="I45">
        <f>IF($O45="","",INDEX(Master!$I$2:$I$1001,$O45))</f>
      </c>
      <c r="J45">
        <f>IF($O45="","",INDEX(Master!$J$2:$J$1001,$O45))</f>
      </c>
      <c r="K45">
        <f t="shared" si="0"/>
      </c>
      <c r="L45">
        <f>IF($O45="","",INDEX(Master!$K$2:$K$1001,$O45))</f>
      </c>
      <c r="M45">
        <f>IF($O45="","",INDEX(Master!$L$2:$L$1001,$O45))</f>
      </c>
      <c r="O45">
        <f t="array" ref="O45">IFERROR(SMALL(IF(Master!$A$2:$A$1001="SWADESH",ROW(Master!$A$2:$A$1001)-ROW(Master!$A$2)+1),41),"")</f>
      </c>
      <c r="P45">
        <f t="shared" si="1"/>
      </c>
    </row>
    <row r="46" spans="1:16" x14ac:dyDescent="0.25">
      <c r="A46">
        <f>IF($O46="","",INDEX(Master!$D$2:$D$1001,$O46))</f>
      </c>
      <c r="B46" s="166">
        <f>IF($O46="","",INDEX(Master!$B$2:$B$1001,$O46))</f>
      </c>
      <c r="C46">
        <f>IF($O46="","",INDEX(Master!$C$2:$C$1001,$O46))</f>
      </c>
      <c r="D46">
        <f>IF($O46="","",INDEX(Master!$A$2:$A$1001,$O46))</f>
      </c>
      <c r="E46">
        <f>IF($O46="","",INDEX(Master!$E$2:$E$1001,$O46))</f>
      </c>
      <c r="F46">
        <f>IF($O46="","",INDEX(Master!$F$2:$F$1001,$O46))</f>
      </c>
      <c r="G46">
        <f>IF($O46="","",INDEX(Master!$G$2:$G$1001,$O46))</f>
      </c>
      <c r="H46">
        <f>IF($O46="","",INDEX(Master!$H$2:$H$1001,$O46))</f>
      </c>
      <c r="I46">
        <f>IF($O46="","",INDEX(Master!$I$2:$I$1001,$O46))</f>
      </c>
      <c r="J46">
        <f>IF($O46="","",INDEX(Master!$J$2:$J$1001,$O46))</f>
      </c>
      <c r="K46">
        <f t="shared" si="0"/>
      </c>
      <c r="L46">
        <f>IF($O46="","",INDEX(Master!$K$2:$K$1001,$O46))</f>
      </c>
      <c r="M46">
        <f>IF($O46="","",INDEX(Master!$L$2:$L$1001,$O46))</f>
      </c>
      <c r="O46">
        <f t="array" ref="O46">IFERROR(SMALL(IF(Master!$A$2:$A$1001="SWADESH",ROW(Master!$A$2:$A$1001)-ROW(Master!$A$2)+1),42),"")</f>
      </c>
      <c r="P46">
        <f t="shared" si="1"/>
      </c>
    </row>
    <row r="47" spans="1:16" x14ac:dyDescent="0.25">
      <c r="A47">
        <f>IF($O47="","",INDEX(Master!$D$2:$D$1001,$O47))</f>
      </c>
      <c r="B47" s="166">
        <f>IF($O47="","",INDEX(Master!$B$2:$B$1001,$O47))</f>
      </c>
      <c r="C47">
        <f>IF($O47="","",INDEX(Master!$C$2:$C$1001,$O47))</f>
      </c>
      <c r="D47">
        <f>IF($O47="","",INDEX(Master!$A$2:$A$1001,$O47))</f>
      </c>
      <c r="E47">
        <f>IF($O47="","",INDEX(Master!$E$2:$E$1001,$O47))</f>
      </c>
      <c r="F47">
        <f>IF($O47="","",INDEX(Master!$F$2:$F$1001,$O47))</f>
      </c>
      <c r="G47">
        <f>IF($O47="","",INDEX(Master!$G$2:$G$1001,$O47))</f>
      </c>
      <c r="H47">
        <f>IF($O47="","",INDEX(Master!$H$2:$H$1001,$O47))</f>
      </c>
      <c r="I47">
        <f>IF($O47="","",INDEX(Master!$I$2:$I$1001,$O47))</f>
      </c>
      <c r="J47">
        <f>IF($O47="","",INDEX(Master!$J$2:$J$1001,$O47))</f>
      </c>
      <c r="K47">
        <f t="shared" si="0"/>
      </c>
      <c r="L47">
        <f>IF($O47="","",INDEX(Master!$K$2:$K$1001,$O47))</f>
      </c>
      <c r="M47">
        <f>IF($O47="","",INDEX(Master!$L$2:$L$1001,$O47))</f>
      </c>
      <c r="O47">
        <f t="array" ref="O47">IFERROR(SMALL(IF(Master!$A$2:$A$1001="SWADESH",ROW(Master!$A$2:$A$1001)-ROW(Master!$A$2)+1),43),"")</f>
      </c>
      <c r="P47">
        <f t="shared" si="1"/>
      </c>
    </row>
    <row r="48" spans="1:16" x14ac:dyDescent="0.25">
      <c r="A48">
        <f>IF($O48="","",INDEX(Master!$D$2:$D$1001,$O48))</f>
      </c>
      <c r="B48" s="166">
        <f>IF($O48="","",INDEX(Master!$B$2:$B$1001,$O48))</f>
      </c>
      <c r="C48">
        <f>IF($O48="","",INDEX(Master!$C$2:$C$1001,$O48))</f>
      </c>
      <c r="D48">
        <f>IF($O48="","",INDEX(Master!$A$2:$A$1001,$O48))</f>
      </c>
      <c r="E48">
        <f>IF($O48="","",INDEX(Master!$E$2:$E$1001,$O48))</f>
      </c>
      <c r="F48">
        <f>IF($O48="","",INDEX(Master!$F$2:$F$1001,$O48))</f>
      </c>
      <c r="G48">
        <f>IF($O48="","",INDEX(Master!$G$2:$G$1001,$O48))</f>
      </c>
      <c r="H48">
        <f>IF($O48="","",INDEX(Master!$H$2:$H$1001,$O48))</f>
      </c>
      <c r="I48">
        <f>IF($O48="","",INDEX(Master!$I$2:$I$1001,$O48))</f>
      </c>
      <c r="J48">
        <f>IF($O48="","",INDEX(Master!$J$2:$J$1001,$O48))</f>
      </c>
      <c r="K48">
        <f t="shared" si="0"/>
      </c>
      <c r="L48">
        <f>IF($O48="","",INDEX(Master!$K$2:$K$1001,$O48))</f>
      </c>
      <c r="M48">
        <f>IF($O48="","",INDEX(Master!$L$2:$L$1001,$O48))</f>
      </c>
      <c r="O48">
        <f t="array" ref="O48">IFERROR(SMALL(IF(Master!$A$2:$A$1001="SWADESH",ROW(Master!$A$2:$A$1001)-ROW(Master!$A$2)+1),44),"")</f>
      </c>
      <c r="P48">
        <f t="shared" si="1"/>
      </c>
    </row>
    <row r="49" spans="1:16" x14ac:dyDescent="0.25">
      <c r="A49">
        <f>IF($O49="","",INDEX(Master!$D$2:$D$1001,$O49))</f>
      </c>
      <c r="B49" s="166">
        <f>IF($O49="","",INDEX(Master!$B$2:$B$1001,$O49))</f>
      </c>
      <c r="C49">
        <f>IF($O49="","",INDEX(Master!$C$2:$C$1001,$O49))</f>
      </c>
      <c r="D49">
        <f>IF($O49="","",INDEX(Master!$A$2:$A$1001,$O49))</f>
      </c>
      <c r="E49">
        <f>IF($O49="","",INDEX(Master!$E$2:$E$1001,$O49))</f>
      </c>
      <c r="F49">
        <f>IF($O49="","",INDEX(Master!$F$2:$F$1001,$O49))</f>
      </c>
      <c r="G49">
        <f>IF($O49="","",INDEX(Master!$G$2:$G$1001,$O49))</f>
      </c>
      <c r="H49">
        <f>IF($O49="","",INDEX(Master!$H$2:$H$1001,$O49))</f>
      </c>
      <c r="I49">
        <f>IF($O49="","",INDEX(Master!$I$2:$I$1001,$O49))</f>
      </c>
      <c r="J49">
        <f>IF($O49="","",INDEX(Master!$J$2:$J$1001,$O49))</f>
      </c>
      <c r="K49">
        <f t="shared" si="0"/>
      </c>
      <c r="L49">
        <f>IF($O49="","",INDEX(Master!$K$2:$K$1001,$O49))</f>
      </c>
      <c r="M49">
        <f>IF($O49="","",INDEX(Master!$L$2:$L$1001,$O49))</f>
      </c>
      <c r="O49">
        <f t="array" ref="O49">IFERROR(SMALL(IF(Master!$A$2:$A$1001="SWADESH",ROW(Master!$A$2:$A$1001)-ROW(Master!$A$2)+1),45),"")</f>
      </c>
      <c r="P49">
        <f t="shared" si="1"/>
      </c>
    </row>
    <row r="50" spans="1:16" x14ac:dyDescent="0.25">
      <c r="A50">
        <f>IF($O50="","",INDEX(Master!$D$2:$D$1001,$O50))</f>
      </c>
      <c r="B50" s="166">
        <f>IF($O50="","",INDEX(Master!$B$2:$B$1001,$O50))</f>
      </c>
      <c r="C50">
        <f>IF($O50="","",INDEX(Master!$C$2:$C$1001,$O50))</f>
      </c>
      <c r="D50">
        <f>IF($O50="","",INDEX(Master!$A$2:$A$1001,$O50))</f>
      </c>
      <c r="E50">
        <f>IF($O50="","",INDEX(Master!$E$2:$E$1001,$O50))</f>
      </c>
      <c r="F50">
        <f>IF($O50="","",INDEX(Master!$F$2:$F$1001,$O50))</f>
      </c>
      <c r="G50">
        <f>IF($O50="","",INDEX(Master!$G$2:$G$1001,$O50))</f>
      </c>
      <c r="H50">
        <f>IF($O50="","",INDEX(Master!$H$2:$H$1001,$O50))</f>
      </c>
      <c r="I50">
        <f>IF($O50="","",INDEX(Master!$I$2:$I$1001,$O50))</f>
      </c>
      <c r="J50">
        <f>IF($O50="","",INDEX(Master!$J$2:$J$1001,$O50))</f>
      </c>
      <c r="K50">
        <f t="shared" si="0"/>
      </c>
      <c r="L50">
        <f>IF($O50="","",INDEX(Master!$K$2:$K$1001,$O50))</f>
      </c>
      <c r="M50">
        <f>IF($O50="","",INDEX(Master!$L$2:$L$1001,$O50))</f>
      </c>
      <c r="O50">
        <f t="array" ref="O50">IFERROR(SMALL(IF(Master!$A$2:$A$1001="SWADESH",ROW(Master!$A$2:$A$1001)-ROW(Master!$A$2)+1),46),"")</f>
      </c>
      <c r="P50">
        <f t="shared" si="1"/>
      </c>
    </row>
    <row r="51" spans="1:16" x14ac:dyDescent="0.25">
      <c r="A51">
        <f>IF($O51="","",INDEX(Master!$D$2:$D$1001,$O51))</f>
      </c>
      <c r="B51" s="166">
        <f>IF($O51="","",INDEX(Master!$B$2:$B$1001,$O51))</f>
      </c>
      <c r="C51">
        <f>IF($O51="","",INDEX(Master!$C$2:$C$1001,$O51))</f>
      </c>
      <c r="D51">
        <f>IF($O51="","",INDEX(Master!$A$2:$A$1001,$O51))</f>
      </c>
      <c r="E51">
        <f>IF($O51="","",INDEX(Master!$E$2:$E$1001,$O51))</f>
      </c>
      <c r="F51">
        <f>IF($O51="","",INDEX(Master!$F$2:$F$1001,$O51))</f>
      </c>
      <c r="G51">
        <f>IF($O51="","",INDEX(Master!$G$2:$G$1001,$O51))</f>
      </c>
      <c r="H51">
        <f>IF($O51="","",INDEX(Master!$H$2:$H$1001,$O51))</f>
      </c>
      <c r="I51">
        <f>IF($O51="","",INDEX(Master!$I$2:$I$1001,$O51))</f>
      </c>
      <c r="J51">
        <f>IF($O51="","",INDEX(Master!$J$2:$J$1001,$O51))</f>
      </c>
      <c r="K51">
        <f t="shared" si="0"/>
      </c>
      <c r="L51">
        <f>IF($O51="","",INDEX(Master!$K$2:$K$1001,$O51))</f>
      </c>
      <c r="M51">
        <f>IF($O51="","",INDEX(Master!$L$2:$L$1001,$O51))</f>
      </c>
      <c r="O51">
        <f t="array" ref="O51">IFERROR(SMALL(IF(Master!$A$2:$A$1001="SWADESH",ROW(Master!$A$2:$A$1001)-ROW(Master!$A$2)+1),47),"")</f>
      </c>
      <c r="P51">
        <f t="shared" si="1"/>
      </c>
    </row>
    <row r="52" spans="1:16" x14ac:dyDescent="0.25">
      <c r="A52">
        <f>IF($O52="","",INDEX(Master!$D$2:$D$1001,$O52))</f>
      </c>
      <c r="B52" s="166">
        <f>IF($O52="","",INDEX(Master!$B$2:$B$1001,$O52))</f>
      </c>
      <c r="C52">
        <f>IF($O52="","",INDEX(Master!$C$2:$C$1001,$O52))</f>
      </c>
      <c r="D52">
        <f>IF($O52="","",INDEX(Master!$A$2:$A$1001,$O52))</f>
      </c>
      <c r="E52">
        <f>IF($O52="","",INDEX(Master!$E$2:$E$1001,$O52))</f>
      </c>
      <c r="F52">
        <f>IF($O52="","",INDEX(Master!$F$2:$F$1001,$O52))</f>
      </c>
      <c r="G52">
        <f>IF($O52="","",INDEX(Master!$G$2:$G$1001,$O52))</f>
      </c>
      <c r="H52">
        <f>IF($O52="","",INDEX(Master!$H$2:$H$1001,$O52))</f>
      </c>
      <c r="I52">
        <f>IF($O52="","",INDEX(Master!$I$2:$I$1001,$O52))</f>
      </c>
      <c r="J52">
        <f>IF($O52="","",INDEX(Master!$J$2:$J$1001,$O52))</f>
      </c>
      <c r="K52">
        <f t="shared" si="0"/>
      </c>
      <c r="L52">
        <f>IF($O52="","",INDEX(Master!$K$2:$K$1001,$O52))</f>
      </c>
      <c r="M52">
        <f>IF($O52="","",INDEX(Master!$L$2:$L$1001,$O52))</f>
      </c>
      <c r="O52">
        <f t="array" ref="O52">IFERROR(SMALL(IF(Master!$A$2:$A$1001="SWADESH",ROW(Master!$A$2:$A$1001)-ROW(Master!$A$2)+1),48),"")</f>
      </c>
      <c r="P52">
        <f t="shared" si="1"/>
      </c>
    </row>
    <row r="53" spans="1:16" x14ac:dyDescent="0.25">
      <c r="A53">
        <f>IF($O53="","",INDEX(Master!$D$2:$D$1001,$O53))</f>
      </c>
      <c r="B53" s="166">
        <f>IF($O53="","",INDEX(Master!$B$2:$B$1001,$O53))</f>
      </c>
      <c r="C53">
        <f>IF($O53="","",INDEX(Master!$C$2:$C$1001,$O53))</f>
      </c>
      <c r="D53">
        <f>IF($O53="","",INDEX(Master!$A$2:$A$1001,$O53))</f>
      </c>
      <c r="E53">
        <f>IF($O53="","",INDEX(Master!$E$2:$E$1001,$O53))</f>
      </c>
      <c r="F53">
        <f>IF($O53="","",INDEX(Master!$F$2:$F$1001,$O53))</f>
      </c>
      <c r="G53">
        <f>IF($O53="","",INDEX(Master!$G$2:$G$1001,$O53))</f>
      </c>
      <c r="H53">
        <f>IF($O53="","",INDEX(Master!$H$2:$H$1001,$O53))</f>
      </c>
      <c r="I53">
        <f>IF($O53="","",INDEX(Master!$I$2:$I$1001,$O53))</f>
      </c>
      <c r="J53">
        <f>IF($O53="","",INDEX(Master!$J$2:$J$1001,$O53))</f>
      </c>
      <c r="K53">
        <f t="shared" si="0"/>
      </c>
      <c r="L53">
        <f>IF($O53="","",INDEX(Master!$K$2:$K$1001,$O53))</f>
      </c>
      <c r="M53">
        <f>IF($O53="","",INDEX(Master!$L$2:$L$1001,$O53))</f>
      </c>
      <c r="O53">
        <f t="array" ref="O53">IFERROR(SMALL(IF(Master!$A$2:$A$1001="SWADESH",ROW(Master!$A$2:$A$1001)-ROW(Master!$A$2)+1),49),"")</f>
      </c>
      <c r="P53">
        <f t="shared" si="1"/>
      </c>
    </row>
    <row r="54" spans="1:16" x14ac:dyDescent="0.25">
      <c r="A54">
        <f>IF($O54="","",INDEX(Master!$D$2:$D$1001,$O54))</f>
      </c>
      <c r="B54" s="166">
        <f>IF($O54="","",INDEX(Master!$B$2:$B$1001,$O54))</f>
      </c>
      <c r="C54">
        <f>IF($O54="","",INDEX(Master!$C$2:$C$1001,$O54))</f>
      </c>
      <c r="D54">
        <f>IF($O54="","",INDEX(Master!$A$2:$A$1001,$O54))</f>
      </c>
      <c r="E54">
        <f>IF($O54="","",INDEX(Master!$E$2:$E$1001,$O54))</f>
      </c>
      <c r="F54">
        <f>IF($O54="","",INDEX(Master!$F$2:$F$1001,$O54))</f>
      </c>
      <c r="G54">
        <f>IF($O54="","",INDEX(Master!$G$2:$G$1001,$O54))</f>
      </c>
      <c r="H54">
        <f>IF($O54="","",INDEX(Master!$H$2:$H$1001,$O54))</f>
      </c>
      <c r="I54">
        <f>IF($O54="","",INDEX(Master!$I$2:$I$1001,$O54))</f>
      </c>
      <c r="J54">
        <f>IF($O54="","",INDEX(Master!$J$2:$J$1001,$O54))</f>
      </c>
      <c r="K54">
        <f t="shared" si="0"/>
      </c>
      <c r="L54">
        <f>IF($O54="","",INDEX(Master!$K$2:$K$1001,$O54))</f>
      </c>
      <c r="M54">
        <f>IF($O54="","",INDEX(Master!$L$2:$L$1001,$O54))</f>
      </c>
      <c r="O54">
        <f t="array" ref="O54">IFERROR(SMALL(IF(Master!$A$2:$A$1001="SWADESH",ROW(Master!$A$2:$A$1001)-ROW(Master!$A$2)+1),50),"")</f>
      </c>
      <c r="P54">
        <f t="shared" si="1"/>
      </c>
    </row>
    <row r="55" spans="1:16" x14ac:dyDescent="0.25">
      <c r="A55">
        <f>IF($O55="","",INDEX(Master!$D$2:$D$1001,$O55))</f>
      </c>
      <c r="B55" s="166">
        <f>IF($O55="","",INDEX(Master!$B$2:$B$1001,$O55))</f>
      </c>
      <c r="C55">
        <f>IF($O55="","",INDEX(Master!$C$2:$C$1001,$O55))</f>
      </c>
      <c r="D55">
        <f>IF($O55="","",INDEX(Master!$A$2:$A$1001,$O55))</f>
      </c>
      <c r="E55">
        <f>IF($O55="","",INDEX(Master!$E$2:$E$1001,$O55))</f>
      </c>
      <c r="F55">
        <f>IF($O55="","",INDEX(Master!$F$2:$F$1001,$O55))</f>
      </c>
      <c r="G55">
        <f>IF($O55="","",INDEX(Master!$G$2:$G$1001,$O55))</f>
      </c>
      <c r="H55">
        <f>IF($O55="","",INDEX(Master!$H$2:$H$1001,$O55))</f>
      </c>
      <c r="I55">
        <f>IF($O55="","",INDEX(Master!$I$2:$I$1001,$O55))</f>
      </c>
      <c r="J55">
        <f>IF($O55="","",INDEX(Master!$J$2:$J$1001,$O55))</f>
      </c>
      <c r="K55">
        <f t="shared" si="0"/>
      </c>
      <c r="L55">
        <f>IF($O55="","",INDEX(Master!$K$2:$K$1001,$O55))</f>
      </c>
      <c r="M55">
        <f>IF($O55="","",INDEX(Master!$L$2:$L$1001,$O55))</f>
      </c>
      <c r="O55">
        <f t="array" ref="O55">IFERROR(SMALL(IF(Master!$A$2:$A$1001="SWADESH",ROW(Master!$A$2:$A$1001)-ROW(Master!$A$2)+1),51),"")</f>
      </c>
      <c r="P55">
        <f t="shared" si="1"/>
      </c>
    </row>
    <row r="56" spans="1:16" x14ac:dyDescent="0.25">
      <c r="A56">
        <f>IF($O56="","",INDEX(Master!$D$2:$D$1001,$O56))</f>
      </c>
      <c r="B56" s="166">
        <f>IF($O56="","",INDEX(Master!$B$2:$B$1001,$O56))</f>
      </c>
      <c r="C56">
        <f>IF($O56="","",INDEX(Master!$C$2:$C$1001,$O56))</f>
      </c>
      <c r="D56">
        <f>IF($O56="","",INDEX(Master!$A$2:$A$1001,$O56))</f>
      </c>
      <c r="E56">
        <f>IF($O56="","",INDEX(Master!$E$2:$E$1001,$O56))</f>
      </c>
      <c r="F56">
        <f>IF($O56="","",INDEX(Master!$F$2:$F$1001,$O56))</f>
      </c>
      <c r="G56">
        <f>IF($O56="","",INDEX(Master!$G$2:$G$1001,$O56))</f>
      </c>
      <c r="H56">
        <f>IF($O56="","",INDEX(Master!$H$2:$H$1001,$O56))</f>
      </c>
      <c r="I56">
        <f>IF($O56="","",INDEX(Master!$I$2:$I$1001,$O56))</f>
      </c>
      <c r="J56">
        <f>IF($O56="","",INDEX(Master!$J$2:$J$1001,$O56))</f>
      </c>
      <c r="K56">
        <f t="shared" si="0"/>
      </c>
      <c r="L56">
        <f>IF($O56="","",INDEX(Master!$K$2:$K$1001,$O56))</f>
      </c>
      <c r="M56">
        <f>IF($O56="","",INDEX(Master!$L$2:$L$1001,$O56))</f>
      </c>
      <c r="O56">
        <f t="array" ref="O56">IFERROR(SMALL(IF(Master!$A$2:$A$1001="SWADESH",ROW(Master!$A$2:$A$1001)-ROW(Master!$A$2)+1),52),"")</f>
      </c>
      <c r="P56">
        <f t="shared" si="1"/>
      </c>
    </row>
    <row r="57" spans="1:16" x14ac:dyDescent="0.25">
      <c r="A57">
        <f>IF($O57="","",INDEX(Master!$D$2:$D$1001,$O57))</f>
      </c>
      <c r="B57" s="166">
        <f>IF($O57="","",INDEX(Master!$B$2:$B$1001,$O57))</f>
      </c>
      <c r="C57">
        <f>IF($O57="","",INDEX(Master!$C$2:$C$1001,$O57))</f>
      </c>
      <c r="D57">
        <f>IF($O57="","",INDEX(Master!$A$2:$A$1001,$O57))</f>
      </c>
      <c r="E57">
        <f>IF($O57="","",INDEX(Master!$E$2:$E$1001,$O57))</f>
      </c>
      <c r="F57">
        <f>IF($O57="","",INDEX(Master!$F$2:$F$1001,$O57))</f>
      </c>
      <c r="G57">
        <f>IF($O57="","",INDEX(Master!$G$2:$G$1001,$O57))</f>
      </c>
      <c r="H57">
        <f>IF($O57="","",INDEX(Master!$H$2:$H$1001,$O57))</f>
      </c>
      <c r="I57">
        <f>IF($O57="","",INDEX(Master!$I$2:$I$1001,$O57))</f>
      </c>
      <c r="J57">
        <f>IF($O57="","",INDEX(Master!$J$2:$J$1001,$O57))</f>
      </c>
      <c r="K57">
        <f t="shared" si="0"/>
      </c>
      <c r="L57">
        <f>IF($O57="","",INDEX(Master!$K$2:$K$1001,$O57))</f>
      </c>
      <c r="M57">
        <f>IF($O57="","",INDEX(Master!$L$2:$L$1001,$O57))</f>
      </c>
      <c r="O57">
        <f t="array" ref="O57">IFERROR(SMALL(IF(Master!$A$2:$A$1001="SWADESH",ROW(Master!$A$2:$A$1001)-ROW(Master!$A$2)+1),53),"")</f>
      </c>
      <c r="P57">
        <f t="shared" si="1"/>
      </c>
    </row>
    <row r="58" spans="1:16" x14ac:dyDescent="0.25">
      <c r="A58">
        <f>IF($O58="","",INDEX(Master!$D$2:$D$1001,$O58))</f>
      </c>
      <c r="B58" s="166">
        <f>IF($O58="","",INDEX(Master!$B$2:$B$1001,$O58))</f>
      </c>
      <c r="C58">
        <f>IF($O58="","",INDEX(Master!$C$2:$C$1001,$O58))</f>
      </c>
      <c r="D58">
        <f>IF($O58="","",INDEX(Master!$A$2:$A$1001,$O58))</f>
      </c>
      <c r="E58">
        <f>IF($O58="","",INDEX(Master!$E$2:$E$1001,$O58))</f>
      </c>
      <c r="F58">
        <f>IF($O58="","",INDEX(Master!$F$2:$F$1001,$O58))</f>
      </c>
      <c r="G58">
        <f>IF($O58="","",INDEX(Master!$G$2:$G$1001,$O58))</f>
      </c>
      <c r="H58">
        <f>IF($O58="","",INDEX(Master!$H$2:$H$1001,$O58))</f>
      </c>
      <c r="I58">
        <f>IF($O58="","",INDEX(Master!$I$2:$I$1001,$O58))</f>
      </c>
      <c r="J58">
        <f>IF($O58="","",INDEX(Master!$J$2:$J$1001,$O58))</f>
      </c>
      <c r="K58">
        <f t="shared" si="0"/>
      </c>
      <c r="L58">
        <f>IF($O58="","",INDEX(Master!$K$2:$K$1001,$O58))</f>
      </c>
      <c r="M58">
        <f>IF($O58="","",INDEX(Master!$L$2:$L$1001,$O58))</f>
      </c>
      <c r="O58">
        <f t="array" ref="O58">IFERROR(SMALL(IF(Master!$A$2:$A$1001="SWADESH",ROW(Master!$A$2:$A$1001)-ROW(Master!$A$2)+1),54),"")</f>
      </c>
      <c r="P58">
        <f t="shared" si="1"/>
      </c>
    </row>
    <row r="59" spans="1:16" x14ac:dyDescent="0.25">
      <c r="A59">
        <f>IF($O59="","",INDEX(Master!$D$2:$D$1001,$O59))</f>
      </c>
      <c r="B59" s="166">
        <f>IF($O59="","",INDEX(Master!$B$2:$B$1001,$O59))</f>
      </c>
      <c r="C59">
        <f>IF($O59="","",INDEX(Master!$C$2:$C$1001,$O59))</f>
      </c>
      <c r="D59">
        <f>IF($O59="","",INDEX(Master!$A$2:$A$1001,$O59))</f>
      </c>
      <c r="E59">
        <f>IF($O59="","",INDEX(Master!$E$2:$E$1001,$O59))</f>
      </c>
      <c r="F59">
        <f>IF($O59="","",INDEX(Master!$F$2:$F$1001,$O59))</f>
      </c>
      <c r="G59">
        <f>IF($O59="","",INDEX(Master!$G$2:$G$1001,$O59))</f>
      </c>
      <c r="H59">
        <f>IF($O59="","",INDEX(Master!$H$2:$H$1001,$O59))</f>
      </c>
      <c r="I59">
        <f>IF($O59="","",INDEX(Master!$I$2:$I$1001,$O59))</f>
      </c>
      <c r="J59">
        <f>IF($O59="","",INDEX(Master!$J$2:$J$1001,$O59))</f>
      </c>
      <c r="K59">
        <f t="shared" si="0"/>
      </c>
      <c r="L59">
        <f>IF($O59="","",INDEX(Master!$K$2:$K$1001,$O59))</f>
      </c>
      <c r="M59">
        <f>IF($O59="","",INDEX(Master!$L$2:$L$1001,$O59))</f>
      </c>
      <c r="O59">
        <f t="array" ref="O59">IFERROR(SMALL(IF(Master!$A$2:$A$1001="SWADESH",ROW(Master!$A$2:$A$1001)-ROW(Master!$A$2)+1),55),"")</f>
      </c>
      <c r="P59">
        <f t="shared" si="1"/>
      </c>
    </row>
    <row r="60" spans="1:16" x14ac:dyDescent="0.25">
      <c r="A60">
        <f>IF($O60="","",INDEX(Master!$D$2:$D$1001,$O60))</f>
      </c>
      <c r="B60" s="166">
        <f>IF($O60="","",INDEX(Master!$B$2:$B$1001,$O60))</f>
      </c>
      <c r="C60">
        <f>IF($O60="","",INDEX(Master!$C$2:$C$1001,$O60))</f>
      </c>
      <c r="D60">
        <f>IF($O60="","",INDEX(Master!$A$2:$A$1001,$O60))</f>
      </c>
      <c r="E60">
        <f>IF($O60="","",INDEX(Master!$E$2:$E$1001,$O60))</f>
      </c>
      <c r="F60">
        <f>IF($O60="","",INDEX(Master!$F$2:$F$1001,$O60))</f>
      </c>
      <c r="G60">
        <f>IF($O60="","",INDEX(Master!$G$2:$G$1001,$O60))</f>
      </c>
      <c r="H60">
        <f>IF($O60="","",INDEX(Master!$H$2:$H$1001,$O60))</f>
      </c>
      <c r="I60">
        <f>IF($O60="","",INDEX(Master!$I$2:$I$1001,$O60))</f>
      </c>
      <c r="J60">
        <f>IF($O60="","",INDEX(Master!$J$2:$J$1001,$O60))</f>
      </c>
      <c r="K60">
        <f t="shared" si="0"/>
      </c>
      <c r="L60">
        <f>IF($O60="","",INDEX(Master!$K$2:$K$1001,$O60))</f>
      </c>
      <c r="M60">
        <f>IF($O60="","",INDEX(Master!$L$2:$L$1001,$O60))</f>
      </c>
      <c r="O60">
        <f t="array" ref="O60">IFERROR(SMALL(IF(Master!$A$2:$A$1001="SWADESH",ROW(Master!$A$2:$A$1001)-ROW(Master!$A$2)+1),56),"")</f>
      </c>
      <c r="P60">
        <f t="shared" si="1"/>
      </c>
    </row>
    <row r="61" spans="1:16" x14ac:dyDescent="0.25">
      <c r="A61">
        <f>IF($O61="","",INDEX(Master!$D$2:$D$1001,$O61))</f>
      </c>
      <c r="B61" s="166">
        <f>IF($O61="","",INDEX(Master!$B$2:$B$1001,$O61))</f>
      </c>
      <c r="C61">
        <f>IF($O61="","",INDEX(Master!$C$2:$C$1001,$O61))</f>
      </c>
      <c r="D61">
        <f>IF($O61="","",INDEX(Master!$A$2:$A$1001,$O61))</f>
      </c>
      <c r="E61">
        <f>IF($O61="","",INDEX(Master!$E$2:$E$1001,$O61))</f>
      </c>
      <c r="F61">
        <f>IF($O61="","",INDEX(Master!$F$2:$F$1001,$O61))</f>
      </c>
      <c r="G61">
        <f>IF($O61="","",INDEX(Master!$G$2:$G$1001,$O61))</f>
      </c>
      <c r="H61">
        <f>IF($O61="","",INDEX(Master!$H$2:$H$1001,$O61))</f>
      </c>
      <c r="I61">
        <f>IF($O61="","",INDEX(Master!$I$2:$I$1001,$O61))</f>
      </c>
      <c r="J61">
        <f>IF($O61="","",INDEX(Master!$J$2:$J$1001,$O61))</f>
      </c>
      <c r="K61">
        <f t="shared" si="0"/>
      </c>
      <c r="L61">
        <f>IF($O61="","",INDEX(Master!$K$2:$K$1001,$O61))</f>
      </c>
      <c r="M61">
        <f>IF($O61="","",INDEX(Master!$L$2:$L$1001,$O61))</f>
      </c>
      <c r="O61">
        <f t="array" ref="O61">IFERROR(SMALL(IF(Master!$A$2:$A$1001="SWADESH",ROW(Master!$A$2:$A$1001)-ROW(Master!$A$2)+1),57),"")</f>
      </c>
      <c r="P61">
        <f t="shared" si="1"/>
      </c>
    </row>
    <row r="62" spans="1:16" x14ac:dyDescent="0.25">
      <c r="A62">
        <f>IF($O62="","",INDEX(Master!$D$2:$D$1001,$O62))</f>
      </c>
      <c r="B62" s="166">
        <f>IF($O62="","",INDEX(Master!$B$2:$B$1001,$O62))</f>
      </c>
      <c r="C62">
        <f>IF($O62="","",INDEX(Master!$C$2:$C$1001,$O62))</f>
      </c>
      <c r="D62">
        <f>IF($O62="","",INDEX(Master!$A$2:$A$1001,$O62))</f>
      </c>
      <c r="E62">
        <f>IF($O62="","",INDEX(Master!$E$2:$E$1001,$O62))</f>
      </c>
      <c r="F62">
        <f>IF($O62="","",INDEX(Master!$F$2:$F$1001,$O62))</f>
      </c>
      <c r="G62">
        <f>IF($O62="","",INDEX(Master!$G$2:$G$1001,$O62))</f>
      </c>
      <c r="H62">
        <f>IF($O62="","",INDEX(Master!$H$2:$H$1001,$O62))</f>
      </c>
      <c r="I62">
        <f>IF($O62="","",INDEX(Master!$I$2:$I$1001,$O62))</f>
      </c>
      <c r="J62">
        <f>IF($O62="","",INDEX(Master!$J$2:$J$1001,$O62))</f>
      </c>
      <c r="K62">
        <f t="shared" si="0"/>
      </c>
      <c r="L62">
        <f>IF($O62="","",INDEX(Master!$K$2:$K$1001,$O62))</f>
      </c>
      <c r="M62">
        <f>IF($O62="","",INDEX(Master!$L$2:$L$1001,$O62))</f>
      </c>
      <c r="O62">
        <f t="array" ref="O62">IFERROR(SMALL(IF(Master!$A$2:$A$1001="SWADESH",ROW(Master!$A$2:$A$1001)-ROW(Master!$A$2)+1),58),"")</f>
      </c>
      <c r="P62">
        <f t="shared" si="1"/>
      </c>
    </row>
    <row r="63" spans="1:16" x14ac:dyDescent="0.25">
      <c r="A63">
        <f>IF($O63="","",INDEX(Master!$D$2:$D$1001,$O63))</f>
      </c>
      <c r="B63" s="166">
        <f>IF($O63="","",INDEX(Master!$B$2:$B$1001,$O63))</f>
      </c>
      <c r="C63">
        <f>IF($O63="","",INDEX(Master!$C$2:$C$1001,$O63))</f>
      </c>
      <c r="D63">
        <f>IF($O63="","",INDEX(Master!$A$2:$A$1001,$O63))</f>
      </c>
      <c r="E63">
        <f>IF($O63="","",INDEX(Master!$E$2:$E$1001,$O63))</f>
      </c>
      <c r="F63">
        <f>IF($O63="","",INDEX(Master!$F$2:$F$1001,$O63))</f>
      </c>
      <c r="G63">
        <f>IF($O63="","",INDEX(Master!$G$2:$G$1001,$O63))</f>
      </c>
      <c r="H63">
        <f>IF($O63="","",INDEX(Master!$H$2:$H$1001,$O63))</f>
      </c>
      <c r="I63">
        <f>IF($O63="","",INDEX(Master!$I$2:$I$1001,$O63))</f>
      </c>
      <c r="J63">
        <f>IF($O63="","",INDEX(Master!$J$2:$J$1001,$O63))</f>
      </c>
      <c r="K63">
        <f t="shared" si="0"/>
      </c>
      <c r="L63">
        <f>IF($O63="","",INDEX(Master!$K$2:$K$1001,$O63))</f>
      </c>
      <c r="M63">
        <f>IF($O63="","",INDEX(Master!$L$2:$L$1001,$O63))</f>
      </c>
      <c r="O63">
        <f t="array" ref="O63">IFERROR(SMALL(IF(Master!$A$2:$A$1001="SWADESH",ROW(Master!$A$2:$A$1001)-ROW(Master!$A$2)+1),59),"")</f>
      </c>
      <c r="P63">
        <f t="shared" si="1"/>
      </c>
    </row>
    <row r="64" spans="1:16" x14ac:dyDescent="0.25">
      <c r="A64">
        <f>IF($O64="","",INDEX(Master!$D$2:$D$1001,$O64))</f>
      </c>
      <c r="B64" s="166">
        <f>IF($O64="","",INDEX(Master!$B$2:$B$1001,$O64))</f>
      </c>
      <c r="C64">
        <f>IF($O64="","",INDEX(Master!$C$2:$C$1001,$O64))</f>
      </c>
      <c r="D64">
        <f>IF($O64="","",INDEX(Master!$A$2:$A$1001,$O64))</f>
      </c>
      <c r="E64">
        <f>IF($O64="","",INDEX(Master!$E$2:$E$1001,$O64))</f>
      </c>
      <c r="F64">
        <f>IF($O64="","",INDEX(Master!$F$2:$F$1001,$O64))</f>
      </c>
      <c r="G64">
        <f>IF($O64="","",INDEX(Master!$G$2:$G$1001,$O64))</f>
      </c>
      <c r="H64">
        <f>IF($O64="","",INDEX(Master!$H$2:$H$1001,$O64))</f>
      </c>
      <c r="I64">
        <f>IF($O64="","",INDEX(Master!$I$2:$I$1001,$O64))</f>
      </c>
      <c r="J64">
        <f>IF($O64="","",INDEX(Master!$J$2:$J$1001,$O64))</f>
      </c>
      <c r="K64">
        <f t="shared" si="0"/>
      </c>
      <c r="L64">
        <f>IF($O64="","",INDEX(Master!$K$2:$K$1001,$O64))</f>
      </c>
      <c r="M64">
        <f>IF($O64="","",INDEX(Master!$L$2:$L$1001,$O64))</f>
      </c>
      <c r="O64">
        <f t="array" ref="O64">IFERROR(SMALL(IF(Master!$A$2:$A$1001="SWADESH",ROW(Master!$A$2:$A$1001)-ROW(Master!$A$2)+1),60),"")</f>
      </c>
      <c r="P64">
        <f t="shared" si="1"/>
      </c>
    </row>
    <row r="65" spans="1:16" x14ac:dyDescent="0.25">
      <c r="A65">
        <f>IF($O65="","",INDEX(Master!$D$2:$D$1001,$O65))</f>
      </c>
      <c r="B65" s="166">
        <f>IF($O65="","",INDEX(Master!$B$2:$B$1001,$O65))</f>
      </c>
      <c r="C65">
        <f>IF($O65="","",INDEX(Master!$C$2:$C$1001,$O65))</f>
      </c>
      <c r="D65">
        <f>IF($O65="","",INDEX(Master!$A$2:$A$1001,$O65))</f>
      </c>
      <c r="E65">
        <f>IF($O65="","",INDEX(Master!$E$2:$E$1001,$O65))</f>
      </c>
      <c r="F65">
        <f>IF($O65="","",INDEX(Master!$F$2:$F$1001,$O65))</f>
      </c>
      <c r="G65">
        <f>IF($O65="","",INDEX(Master!$G$2:$G$1001,$O65))</f>
      </c>
      <c r="H65">
        <f>IF($O65="","",INDEX(Master!$H$2:$H$1001,$O65))</f>
      </c>
      <c r="I65">
        <f>IF($O65="","",INDEX(Master!$I$2:$I$1001,$O65))</f>
      </c>
      <c r="J65">
        <f>IF($O65="","",INDEX(Master!$J$2:$J$1001,$O65))</f>
      </c>
      <c r="K65">
        <f t="shared" si="0"/>
      </c>
      <c r="L65">
        <f>IF($O65="","",INDEX(Master!$K$2:$K$1001,$O65))</f>
      </c>
      <c r="M65">
        <f>IF($O65="","",INDEX(Master!$L$2:$L$1001,$O65))</f>
      </c>
      <c r="O65">
        <f t="array" ref="O65">IFERROR(SMALL(IF(Master!$A$2:$A$1001="SWADESH",ROW(Master!$A$2:$A$1001)-ROW(Master!$A$2)+1),61),"")</f>
      </c>
      <c r="P65">
        <f t="shared" si="1"/>
      </c>
    </row>
    <row r="66" spans="1:16" x14ac:dyDescent="0.25">
      <c r="A66">
        <f>IF($O66="","",INDEX(Master!$D$2:$D$1001,$O66))</f>
      </c>
      <c r="B66" s="166">
        <f>IF($O66="","",INDEX(Master!$B$2:$B$1001,$O66))</f>
      </c>
      <c r="C66">
        <f>IF($O66="","",INDEX(Master!$C$2:$C$1001,$O66))</f>
      </c>
      <c r="D66">
        <f>IF($O66="","",INDEX(Master!$A$2:$A$1001,$O66))</f>
      </c>
      <c r="E66">
        <f>IF($O66="","",INDEX(Master!$E$2:$E$1001,$O66))</f>
      </c>
      <c r="F66">
        <f>IF($O66="","",INDEX(Master!$F$2:$F$1001,$O66))</f>
      </c>
      <c r="G66">
        <f>IF($O66="","",INDEX(Master!$G$2:$G$1001,$O66))</f>
      </c>
      <c r="H66">
        <f>IF($O66="","",INDEX(Master!$H$2:$H$1001,$O66))</f>
      </c>
      <c r="I66">
        <f>IF($O66="","",INDEX(Master!$I$2:$I$1001,$O66))</f>
      </c>
      <c r="J66">
        <f>IF($O66="","",INDEX(Master!$J$2:$J$1001,$O66))</f>
      </c>
      <c r="K66">
        <f t="shared" si="0"/>
      </c>
      <c r="L66">
        <f>IF($O66="","",INDEX(Master!$K$2:$K$1001,$O66))</f>
      </c>
      <c r="M66">
        <f>IF($O66="","",INDEX(Master!$L$2:$L$1001,$O66))</f>
      </c>
      <c r="O66">
        <f t="array" ref="O66">IFERROR(SMALL(IF(Master!$A$2:$A$1001="SWADESH",ROW(Master!$A$2:$A$1001)-ROW(Master!$A$2)+1),62),"")</f>
      </c>
      <c r="P66">
        <f t="shared" si="1"/>
      </c>
    </row>
    <row r="67" spans="1:16" x14ac:dyDescent="0.25">
      <c r="A67">
        <f>IF($O67="","",INDEX(Master!$D$2:$D$1001,$O67))</f>
      </c>
      <c r="B67" s="166">
        <f>IF($O67="","",INDEX(Master!$B$2:$B$1001,$O67))</f>
      </c>
      <c r="C67">
        <f>IF($O67="","",INDEX(Master!$C$2:$C$1001,$O67))</f>
      </c>
      <c r="D67">
        <f>IF($O67="","",INDEX(Master!$A$2:$A$1001,$O67))</f>
      </c>
      <c r="E67">
        <f>IF($O67="","",INDEX(Master!$E$2:$E$1001,$O67))</f>
      </c>
      <c r="F67">
        <f>IF($O67="","",INDEX(Master!$F$2:$F$1001,$O67))</f>
      </c>
      <c r="G67">
        <f>IF($O67="","",INDEX(Master!$G$2:$G$1001,$O67))</f>
      </c>
      <c r="H67">
        <f>IF($O67="","",INDEX(Master!$H$2:$H$1001,$O67))</f>
      </c>
      <c r="I67">
        <f>IF($O67="","",INDEX(Master!$I$2:$I$1001,$O67))</f>
      </c>
      <c r="J67">
        <f>IF($O67="","",INDEX(Master!$J$2:$J$1001,$O67))</f>
      </c>
      <c r="K67">
        <f t="shared" si="0"/>
      </c>
      <c r="L67">
        <f>IF($O67="","",INDEX(Master!$K$2:$K$1001,$O67))</f>
      </c>
      <c r="M67">
        <f>IF($O67="","",INDEX(Master!$L$2:$L$1001,$O67))</f>
      </c>
      <c r="O67">
        <f t="array" ref="O67">IFERROR(SMALL(IF(Master!$A$2:$A$1001="SWADESH",ROW(Master!$A$2:$A$1001)-ROW(Master!$A$2)+1),63),"")</f>
      </c>
      <c r="P67">
        <f t="shared" si="1"/>
      </c>
    </row>
    <row r="68" spans="1:16" x14ac:dyDescent="0.25">
      <c r="A68">
        <f>IF($O68="","",INDEX(Master!$D$2:$D$1001,$O68))</f>
      </c>
      <c r="B68" s="166">
        <f>IF($O68="","",INDEX(Master!$B$2:$B$1001,$O68))</f>
      </c>
      <c r="C68">
        <f>IF($O68="","",INDEX(Master!$C$2:$C$1001,$O68))</f>
      </c>
      <c r="D68">
        <f>IF($O68="","",INDEX(Master!$A$2:$A$1001,$O68))</f>
      </c>
      <c r="E68">
        <f>IF($O68="","",INDEX(Master!$E$2:$E$1001,$O68))</f>
      </c>
      <c r="F68">
        <f>IF($O68="","",INDEX(Master!$F$2:$F$1001,$O68))</f>
      </c>
      <c r="G68">
        <f>IF($O68="","",INDEX(Master!$G$2:$G$1001,$O68))</f>
      </c>
      <c r="H68">
        <f>IF($O68="","",INDEX(Master!$H$2:$H$1001,$O68))</f>
      </c>
      <c r="I68">
        <f>IF($O68="","",INDEX(Master!$I$2:$I$1001,$O68))</f>
      </c>
      <c r="J68">
        <f>IF($O68="","",INDEX(Master!$J$2:$J$1001,$O68))</f>
      </c>
      <c r="K68">
        <f t="shared" si="0"/>
      </c>
      <c r="L68">
        <f>IF($O68="","",INDEX(Master!$K$2:$K$1001,$O68))</f>
      </c>
      <c r="M68">
        <f>IF($O68="","",INDEX(Master!$L$2:$L$1001,$O68))</f>
      </c>
      <c r="O68">
        <f t="array" ref="O68">IFERROR(SMALL(IF(Master!$A$2:$A$1001="SWADESH",ROW(Master!$A$2:$A$1001)-ROW(Master!$A$2)+1),64),"")</f>
      </c>
      <c r="P68">
        <f t="shared" si="1"/>
      </c>
    </row>
    <row r="69" spans="1:16" x14ac:dyDescent="0.25">
      <c r="A69">
        <f>IF($O69="","",INDEX(Master!$D$2:$D$1001,$O69))</f>
      </c>
      <c r="B69" s="166">
        <f>IF($O69="","",INDEX(Master!$B$2:$B$1001,$O69))</f>
      </c>
      <c r="C69">
        <f>IF($O69="","",INDEX(Master!$C$2:$C$1001,$O69))</f>
      </c>
      <c r="D69">
        <f>IF($O69="","",INDEX(Master!$A$2:$A$1001,$O69))</f>
      </c>
      <c r="E69">
        <f>IF($O69="","",INDEX(Master!$E$2:$E$1001,$O69))</f>
      </c>
      <c r="F69">
        <f>IF($O69="","",INDEX(Master!$F$2:$F$1001,$O69))</f>
      </c>
      <c r="G69">
        <f>IF($O69="","",INDEX(Master!$G$2:$G$1001,$O69))</f>
      </c>
      <c r="H69">
        <f>IF($O69="","",INDEX(Master!$H$2:$H$1001,$O69))</f>
      </c>
      <c r="I69">
        <f>IF($O69="","",INDEX(Master!$I$2:$I$1001,$O69))</f>
      </c>
      <c r="J69">
        <f>IF($O69="","",INDEX(Master!$J$2:$J$1001,$O69))</f>
      </c>
      <c r="K69">
        <f t="shared" ref="K69:K132" si="2">IF(OR($O69="",$F69="",$F69=0),"",$H69/$F69)</f>
      </c>
      <c r="L69">
        <f>IF($O69="","",INDEX(Master!$K$2:$K$1001,$O69))</f>
      </c>
      <c r="M69">
        <f>IF($O69="","",INDEX(Master!$L$2:$L$1001,$O69))</f>
      </c>
      <c r="O69">
        <f t="array" ref="O69">IFERROR(SMALL(IF(Master!$A$2:$A$1001="SWADESH",ROW(Master!$A$2:$A$1001)-ROW(Master!$A$2)+1),65),"")</f>
      </c>
      <c r="P69">
        <f t="shared" ref="P69:P132" si="3">IF($A69="",0,IF(OR(AND($E69&lt;&gt;"",OR($E69&gt;0.15)),AND($F69&lt;&gt;"",OR($F69&gt;0.045)),AND($G69&lt;&gt;"",OR($G69&gt;0.08)),AND($H69&lt;&gt;"",$H69&lt;0.5),AND($J69&lt;&gt;"",OR($J69&lt;0.1))),1,0))</f>
      </c>
    </row>
    <row r="70" spans="1:16" x14ac:dyDescent="0.25">
      <c r="A70">
        <f>IF($O70="","",INDEX(Master!$D$2:$D$1001,$O70))</f>
      </c>
      <c r="B70" s="166">
        <f>IF($O70="","",INDEX(Master!$B$2:$B$1001,$O70))</f>
      </c>
      <c r="C70">
        <f>IF($O70="","",INDEX(Master!$C$2:$C$1001,$O70))</f>
      </c>
      <c r="D70">
        <f>IF($O70="","",INDEX(Master!$A$2:$A$1001,$O70))</f>
      </c>
      <c r="E70">
        <f>IF($O70="","",INDEX(Master!$E$2:$E$1001,$O70))</f>
      </c>
      <c r="F70">
        <f>IF($O70="","",INDEX(Master!$F$2:$F$1001,$O70))</f>
      </c>
      <c r="G70">
        <f>IF($O70="","",INDEX(Master!$G$2:$G$1001,$O70))</f>
      </c>
      <c r="H70">
        <f>IF($O70="","",INDEX(Master!$H$2:$H$1001,$O70))</f>
      </c>
      <c r="I70">
        <f>IF($O70="","",INDEX(Master!$I$2:$I$1001,$O70))</f>
      </c>
      <c r="J70">
        <f>IF($O70="","",INDEX(Master!$J$2:$J$1001,$O70))</f>
      </c>
      <c r="K70">
        <f t="shared" si="2"/>
      </c>
      <c r="L70">
        <f>IF($O70="","",INDEX(Master!$K$2:$K$1001,$O70))</f>
      </c>
      <c r="M70">
        <f>IF($O70="","",INDEX(Master!$L$2:$L$1001,$O70))</f>
      </c>
      <c r="O70">
        <f t="array" ref="O70">IFERROR(SMALL(IF(Master!$A$2:$A$1001="SWADESH",ROW(Master!$A$2:$A$1001)-ROW(Master!$A$2)+1),66),"")</f>
      </c>
      <c r="P70">
        <f t="shared" si="3"/>
      </c>
    </row>
    <row r="71" spans="1:16" x14ac:dyDescent="0.25">
      <c r="A71">
        <f>IF($O71="","",INDEX(Master!$D$2:$D$1001,$O71))</f>
      </c>
      <c r="B71" s="166">
        <f>IF($O71="","",INDEX(Master!$B$2:$B$1001,$O71))</f>
      </c>
      <c r="C71">
        <f>IF($O71="","",INDEX(Master!$C$2:$C$1001,$O71))</f>
      </c>
      <c r="D71">
        <f>IF($O71="","",INDEX(Master!$A$2:$A$1001,$O71))</f>
      </c>
      <c r="E71">
        <f>IF($O71="","",INDEX(Master!$E$2:$E$1001,$O71))</f>
      </c>
      <c r="F71">
        <f>IF($O71="","",INDEX(Master!$F$2:$F$1001,$O71))</f>
      </c>
      <c r="G71">
        <f>IF($O71="","",INDEX(Master!$G$2:$G$1001,$O71))</f>
      </c>
      <c r="H71">
        <f>IF($O71="","",INDEX(Master!$H$2:$H$1001,$O71))</f>
      </c>
      <c r="I71">
        <f>IF($O71="","",INDEX(Master!$I$2:$I$1001,$O71))</f>
      </c>
      <c r="J71">
        <f>IF($O71="","",INDEX(Master!$J$2:$J$1001,$O71))</f>
      </c>
      <c r="K71">
        <f t="shared" si="2"/>
      </c>
      <c r="L71">
        <f>IF($O71="","",INDEX(Master!$K$2:$K$1001,$O71))</f>
      </c>
      <c r="M71">
        <f>IF($O71="","",INDEX(Master!$L$2:$L$1001,$O71))</f>
      </c>
      <c r="O71">
        <f t="array" ref="O71">IFERROR(SMALL(IF(Master!$A$2:$A$1001="SWADESH",ROW(Master!$A$2:$A$1001)-ROW(Master!$A$2)+1),67),"")</f>
      </c>
      <c r="P71">
        <f t="shared" si="3"/>
      </c>
    </row>
    <row r="72" spans="1:16" x14ac:dyDescent="0.25">
      <c r="A72">
        <f>IF($O72="","",INDEX(Master!$D$2:$D$1001,$O72))</f>
      </c>
      <c r="B72" s="166">
        <f>IF($O72="","",INDEX(Master!$B$2:$B$1001,$O72))</f>
      </c>
      <c r="C72">
        <f>IF($O72="","",INDEX(Master!$C$2:$C$1001,$O72))</f>
      </c>
      <c r="D72">
        <f>IF($O72="","",INDEX(Master!$A$2:$A$1001,$O72))</f>
      </c>
      <c r="E72">
        <f>IF($O72="","",INDEX(Master!$E$2:$E$1001,$O72))</f>
      </c>
      <c r="F72">
        <f>IF($O72="","",INDEX(Master!$F$2:$F$1001,$O72))</f>
      </c>
      <c r="G72">
        <f>IF($O72="","",INDEX(Master!$G$2:$G$1001,$O72))</f>
      </c>
      <c r="H72">
        <f>IF($O72="","",INDEX(Master!$H$2:$H$1001,$O72))</f>
      </c>
      <c r="I72">
        <f>IF($O72="","",INDEX(Master!$I$2:$I$1001,$O72))</f>
      </c>
      <c r="J72">
        <f>IF($O72="","",INDEX(Master!$J$2:$J$1001,$O72))</f>
      </c>
      <c r="K72">
        <f t="shared" si="2"/>
      </c>
      <c r="L72">
        <f>IF($O72="","",INDEX(Master!$K$2:$K$1001,$O72))</f>
      </c>
      <c r="M72">
        <f>IF($O72="","",INDEX(Master!$L$2:$L$1001,$O72))</f>
      </c>
      <c r="O72">
        <f t="array" ref="O72">IFERROR(SMALL(IF(Master!$A$2:$A$1001="SWADESH",ROW(Master!$A$2:$A$1001)-ROW(Master!$A$2)+1),68),"")</f>
      </c>
      <c r="P72">
        <f t="shared" si="3"/>
      </c>
    </row>
    <row r="73" spans="1:16" x14ac:dyDescent="0.25">
      <c r="A73">
        <f>IF($O73="","",INDEX(Master!$D$2:$D$1001,$O73))</f>
      </c>
      <c r="B73" s="166">
        <f>IF($O73="","",INDEX(Master!$B$2:$B$1001,$O73))</f>
      </c>
      <c r="C73">
        <f>IF($O73="","",INDEX(Master!$C$2:$C$1001,$O73))</f>
      </c>
      <c r="D73">
        <f>IF($O73="","",INDEX(Master!$A$2:$A$1001,$O73))</f>
      </c>
      <c r="E73">
        <f>IF($O73="","",INDEX(Master!$E$2:$E$1001,$O73))</f>
      </c>
      <c r="F73">
        <f>IF($O73="","",INDEX(Master!$F$2:$F$1001,$O73))</f>
      </c>
      <c r="G73">
        <f>IF($O73="","",INDEX(Master!$G$2:$G$1001,$O73))</f>
      </c>
      <c r="H73">
        <f>IF($O73="","",INDEX(Master!$H$2:$H$1001,$O73))</f>
      </c>
      <c r="I73">
        <f>IF($O73="","",INDEX(Master!$I$2:$I$1001,$O73))</f>
      </c>
      <c r="J73">
        <f>IF($O73="","",INDEX(Master!$J$2:$J$1001,$O73))</f>
      </c>
      <c r="K73">
        <f t="shared" si="2"/>
      </c>
      <c r="L73">
        <f>IF($O73="","",INDEX(Master!$K$2:$K$1001,$O73))</f>
      </c>
      <c r="M73">
        <f>IF($O73="","",INDEX(Master!$L$2:$L$1001,$O73))</f>
      </c>
      <c r="O73">
        <f t="array" ref="O73">IFERROR(SMALL(IF(Master!$A$2:$A$1001="SWADESH",ROW(Master!$A$2:$A$1001)-ROW(Master!$A$2)+1),69),"")</f>
      </c>
      <c r="P73">
        <f t="shared" si="3"/>
      </c>
    </row>
    <row r="74" spans="1:16" x14ac:dyDescent="0.25">
      <c r="A74">
        <f>IF($O74="","",INDEX(Master!$D$2:$D$1001,$O74))</f>
      </c>
      <c r="B74" s="166">
        <f>IF($O74="","",INDEX(Master!$B$2:$B$1001,$O74))</f>
      </c>
      <c r="C74">
        <f>IF($O74="","",INDEX(Master!$C$2:$C$1001,$O74))</f>
      </c>
      <c r="D74">
        <f>IF($O74="","",INDEX(Master!$A$2:$A$1001,$O74))</f>
      </c>
      <c r="E74">
        <f>IF($O74="","",INDEX(Master!$E$2:$E$1001,$O74))</f>
      </c>
      <c r="F74">
        <f>IF($O74="","",INDEX(Master!$F$2:$F$1001,$O74))</f>
      </c>
      <c r="G74">
        <f>IF($O74="","",INDEX(Master!$G$2:$G$1001,$O74))</f>
      </c>
      <c r="H74">
        <f>IF($O74="","",INDEX(Master!$H$2:$H$1001,$O74))</f>
      </c>
      <c r="I74">
        <f>IF($O74="","",INDEX(Master!$I$2:$I$1001,$O74))</f>
      </c>
      <c r="J74">
        <f>IF($O74="","",INDEX(Master!$J$2:$J$1001,$O74))</f>
      </c>
      <c r="K74">
        <f t="shared" si="2"/>
      </c>
      <c r="L74">
        <f>IF($O74="","",INDEX(Master!$K$2:$K$1001,$O74))</f>
      </c>
      <c r="M74">
        <f>IF($O74="","",INDEX(Master!$L$2:$L$1001,$O74))</f>
      </c>
      <c r="O74">
        <f t="array" ref="O74">IFERROR(SMALL(IF(Master!$A$2:$A$1001="SWADESH",ROW(Master!$A$2:$A$1001)-ROW(Master!$A$2)+1),70),"")</f>
      </c>
      <c r="P74">
        <f t="shared" si="3"/>
      </c>
    </row>
    <row r="75" spans="1:16" x14ac:dyDescent="0.25">
      <c r="A75">
        <f>IF($O75="","",INDEX(Master!$D$2:$D$1001,$O75))</f>
      </c>
      <c r="B75" s="166">
        <f>IF($O75="","",INDEX(Master!$B$2:$B$1001,$O75))</f>
      </c>
      <c r="C75">
        <f>IF($O75="","",INDEX(Master!$C$2:$C$1001,$O75))</f>
      </c>
      <c r="D75">
        <f>IF($O75="","",INDEX(Master!$A$2:$A$1001,$O75))</f>
      </c>
      <c r="E75">
        <f>IF($O75="","",INDEX(Master!$E$2:$E$1001,$O75))</f>
      </c>
      <c r="F75">
        <f>IF($O75="","",INDEX(Master!$F$2:$F$1001,$O75))</f>
      </c>
      <c r="G75">
        <f>IF($O75="","",INDEX(Master!$G$2:$G$1001,$O75))</f>
      </c>
      <c r="H75">
        <f>IF($O75="","",INDEX(Master!$H$2:$H$1001,$O75))</f>
      </c>
      <c r="I75">
        <f>IF($O75="","",INDEX(Master!$I$2:$I$1001,$O75))</f>
      </c>
      <c r="J75">
        <f>IF($O75="","",INDEX(Master!$J$2:$J$1001,$O75))</f>
      </c>
      <c r="K75">
        <f t="shared" si="2"/>
      </c>
      <c r="L75">
        <f>IF($O75="","",INDEX(Master!$K$2:$K$1001,$O75))</f>
      </c>
      <c r="M75">
        <f>IF($O75="","",INDEX(Master!$L$2:$L$1001,$O75))</f>
      </c>
      <c r="O75">
        <f t="array" ref="O75">IFERROR(SMALL(IF(Master!$A$2:$A$1001="SWADESH",ROW(Master!$A$2:$A$1001)-ROW(Master!$A$2)+1),71),"")</f>
      </c>
      <c r="P75">
        <f t="shared" si="3"/>
      </c>
    </row>
    <row r="76" spans="1:16" x14ac:dyDescent="0.25">
      <c r="A76">
        <f>IF($O76="","",INDEX(Master!$D$2:$D$1001,$O76))</f>
      </c>
      <c r="B76" s="166">
        <f>IF($O76="","",INDEX(Master!$B$2:$B$1001,$O76))</f>
      </c>
      <c r="C76">
        <f>IF($O76="","",INDEX(Master!$C$2:$C$1001,$O76))</f>
      </c>
      <c r="D76">
        <f>IF($O76="","",INDEX(Master!$A$2:$A$1001,$O76))</f>
      </c>
      <c r="E76">
        <f>IF($O76="","",INDEX(Master!$E$2:$E$1001,$O76))</f>
      </c>
      <c r="F76">
        <f>IF($O76="","",INDEX(Master!$F$2:$F$1001,$O76))</f>
      </c>
      <c r="G76">
        <f>IF($O76="","",INDEX(Master!$G$2:$G$1001,$O76))</f>
      </c>
      <c r="H76">
        <f>IF($O76="","",INDEX(Master!$H$2:$H$1001,$O76))</f>
      </c>
      <c r="I76">
        <f>IF($O76="","",INDEX(Master!$I$2:$I$1001,$O76))</f>
      </c>
      <c r="J76">
        <f>IF($O76="","",INDEX(Master!$J$2:$J$1001,$O76))</f>
      </c>
      <c r="K76">
        <f t="shared" si="2"/>
      </c>
      <c r="L76">
        <f>IF($O76="","",INDEX(Master!$K$2:$K$1001,$O76))</f>
      </c>
      <c r="M76">
        <f>IF($O76="","",INDEX(Master!$L$2:$L$1001,$O76))</f>
      </c>
      <c r="O76">
        <f t="array" ref="O76">IFERROR(SMALL(IF(Master!$A$2:$A$1001="SWADESH",ROW(Master!$A$2:$A$1001)-ROW(Master!$A$2)+1),72),"")</f>
      </c>
      <c r="P76">
        <f t="shared" si="3"/>
      </c>
    </row>
    <row r="77" spans="1:16" x14ac:dyDescent="0.25">
      <c r="A77">
        <f>IF($O77="","",INDEX(Master!$D$2:$D$1001,$O77))</f>
      </c>
      <c r="B77" s="166">
        <f>IF($O77="","",INDEX(Master!$B$2:$B$1001,$O77))</f>
      </c>
      <c r="C77">
        <f>IF($O77="","",INDEX(Master!$C$2:$C$1001,$O77))</f>
      </c>
      <c r="D77">
        <f>IF($O77="","",INDEX(Master!$A$2:$A$1001,$O77))</f>
      </c>
      <c r="E77">
        <f>IF($O77="","",INDEX(Master!$E$2:$E$1001,$O77))</f>
      </c>
      <c r="F77">
        <f>IF($O77="","",INDEX(Master!$F$2:$F$1001,$O77))</f>
      </c>
      <c r="G77">
        <f>IF($O77="","",INDEX(Master!$G$2:$G$1001,$O77))</f>
      </c>
      <c r="H77">
        <f>IF($O77="","",INDEX(Master!$H$2:$H$1001,$O77))</f>
      </c>
      <c r="I77">
        <f>IF($O77="","",INDEX(Master!$I$2:$I$1001,$O77))</f>
      </c>
      <c r="J77">
        <f>IF($O77="","",INDEX(Master!$J$2:$J$1001,$O77))</f>
      </c>
      <c r="K77">
        <f t="shared" si="2"/>
      </c>
      <c r="L77">
        <f>IF($O77="","",INDEX(Master!$K$2:$K$1001,$O77))</f>
      </c>
      <c r="M77">
        <f>IF($O77="","",INDEX(Master!$L$2:$L$1001,$O77))</f>
      </c>
      <c r="O77">
        <f t="array" ref="O77">IFERROR(SMALL(IF(Master!$A$2:$A$1001="SWADESH",ROW(Master!$A$2:$A$1001)-ROW(Master!$A$2)+1),73),"")</f>
      </c>
      <c r="P77">
        <f t="shared" si="3"/>
      </c>
    </row>
    <row r="78" spans="1:16" x14ac:dyDescent="0.25">
      <c r="A78">
        <f>IF($O78="","",INDEX(Master!$D$2:$D$1001,$O78))</f>
      </c>
      <c r="B78" s="166">
        <f>IF($O78="","",INDEX(Master!$B$2:$B$1001,$O78))</f>
      </c>
      <c r="C78">
        <f>IF($O78="","",INDEX(Master!$C$2:$C$1001,$O78))</f>
      </c>
      <c r="D78">
        <f>IF($O78="","",INDEX(Master!$A$2:$A$1001,$O78))</f>
      </c>
      <c r="E78">
        <f>IF($O78="","",INDEX(Master!$E$2:$E$1001,$O78))</f>
      </c>
      <c r="F78">
        <f>IF($O78="","",INDEX(Master!$F$2:$F$1001,$O78))</f>
      </c>
      <c r="G78">
        <f>IF($O78="","",INDEX(Master!$G$2:$G$1001,$O78))</f>
      </c>
      <c r="H78">
        <f>IF($O78="","",INDEX(Master!$H$2:$H$1001,$O78))</f>
      </c>
      <c r="I78">
        <f>IF($O78="","",INDEX(Master!$I$2:$I$1001,$O78))</f>
      </c>
      <c r="J78">
        <f>IF($O78="","",INDEX(Master!$J$2:$J$1001,$O78))</f>
      </c>
      <c r="K78">
        <f t="shared" si="2"/>
      </c>
      <c r="L78">
        <f>IF($O78="","",INDEX(Master!$K$2:$K$1001,$O78))</f>
      </c>
      <c r="M78">
        <f>IF($O78="","",INDEX(Master!$L$2:$L$1001,$O78))</f>
      </c>
      <c r="O78">
        <f t="array" ref="O78">IFERROR(SMALL(IF(Master!$A$2:$A$1001="SWADESH",ROW(Master!$A$2:$A$1001)-ROW(Master!$A$2)+1),74),"")</f>
      </c>
      <c r="P78">
        <f t="shared" si="3"/>
      </c>
    </row>
    <row r="79" spans="1:16" x14ac:dyDescent="0.25">
      <c r="A79">
        <f>IF($O79="","",INDEX(Master!$D$2:$D$1001,$O79))</f>
      </c>
      <c r="B79" s="166">
        <f>IF($O79="","",INDEX(Master!$B$2:$B$1001,$O79))</f>
      </c>
      <c r="C79">
        <f>IF($O79="","",INDEX(Master!$C$2:$C$1001,$O79))</f>
      </c>
      <c r="D79">
        <f>IF($O79="","",INDEX(Master!$A$2:$A$1001,$O79))</f>
      </c>
      <c r="E79">
        <f>IF($O79="","",INDEX(Master!$E$2:$E$1001,$O79))</f>
      </c>
      <c r="F79">
        <f>IF($O79="","",INDEX(Master!$F$2:$F$1001,$O79))</f>
      </c>
      <c r="G79">
        <f>IF($O79="","",INDEX(Master!$G$2:$G$1001,$O79))</f>
      </c>
      <c r="H79">
        <f>IF($O79="","",INDEX(Master!$H$2:$H$1001,$O79))</f>
      </c>
      <c r="I79">
        <f>IF($O79="","",INDEX(Master!$I$2:$I$1001,$O79))</f>
      </c>
      <c r="J79">
        <f>IF($O79="","",INDEX(Master!$J$2:$J$1001,$O79))</f>
      </c>
      <c r="K79">
        <f t="shared" si="2"/>
      </c>
      <c r="L79">
        <f>IF($O79="","",INDEX(Master!$K$2:$K$1001,$O79))</f>
      </c>
      <c r="M79">
        <f>IF($O79="","",INDEX(Master!$L$2:$L$1001,$O79))</f>
      </c>
      <c r="O79">
        <f t="array" ref="O79">IFERROR(SMALL(IF(Master!$A$2:$A$1001="SWADESH",ROW(Master!$A$2:$A$1001)-ROW(Master!$A$2)+1),75),"")</f>
      </c>
      <c r="P79">
        <f t="shared" si="3"/>
      </c>
    </row>
    <row r="80" spans="1:16" x14ac:dyDescent="0.25">
      <c r="A80">
        <f>IF($O80="","",INDEX(Master!$D$2:$D$1001,$O80))</f>
      </c>
      <c r="B80" s="166">
        <f>IF($O80="","",INDEX(Master!$B$2:$B$1001,$O80))</f>
      </c>
      <c r="C80">
        <f>IF($O80="","",INDEX(Master!$C$2:$C$1001,$O80))</f>
      </c>
      <c r="D80">
        <f>IF($O80="","",INDEX(Master!$A$2:$A$1001,$O80))</f>
      </c>
      <c r="E80">
        <f>IF($O80="","",INDEX(Master!$E$2:$E$1001,$O80))</f>
      </c>
      <c r="F80">
        <f>IF($O80="","",INDEX(Master!$F$2:$F$1001,$O80))</f>
      </c>
      <c r="G80">
        <f>IF($O80="","",INDEX(Master!$G$2:$G$1001,$O80))</f>
      </c>
      <c r="H80">
        <f>IF($O80="","",INDEX(Master!$H$2:$H$1001,$O80))</f>
      </c>
      <c r="I80">
        <f>IF($O80="","",INDEX(Master!$I$2:$I$1001,$O80))</f>
      </c>
      <c r="J80">
        <f>IF($O80="","",INDEX(Master!$J$2:$J$1001,$O80))</f>
      </c>
      <c r="K80">
        <f t="shared" si="2"/>
      </c>
      <c r="L80">
        <f>IF($O80="","",INDEX(Master!$K$2:$K$1001,$O80))</f>
      </c>
      <c r="M80">
        <f>IF($O80="","",INDEX(Master!$L$2:$L$1001,$O80))</f>
      </c>
      <c r="O80">
        <f t="array" ref="O80">IFERROR(SMALL(IF(Master!$A$2:$A$1001="SWADESH",ROW(Master!$A$2:$A$1001)-ROW(Master!$A$2)+1),76),"")</f>
      </c>
      <c r="P80">
        <f t="shared" si="3"/>
      </c>
    </row>
    <row r="81" spans="1:16" x14ac:dyDescent="0.25">
      <c r="A81">
        <f>IF($O81="","",INDEX(Master!$D$2:$D$1001,$O81))</f>
      </c>
      <c r="B81" s="166">
        <f>IF($O81="","",INDEX(Master!$B$2:$B$1001,$O81))</f>
      </c>
      <c r="C81">
        <f>IF($O81="","",INDEX(Master!$C$2:$C$1001,$O81))</f>
      </c>
      <c r="D81">
        <f>IF($O81="","",INDEX(Master!$A$2:$A$1001,$O81))</f>
      </c>
      <c r="E81">
        <f>IF($O81="","",INDEX(Master!$E$2:$E$1001,$O81))</f>
      </c>
      <c r="F81">
        <f>IF($O81="","",INDEX(Master!$F$2:$F$1001,$O81))</f>
      </c>
      <c r="G81">
        <f>IF($O81="","",INDEX(Master!$G$2:$G$1001,$O81))</f>
      </c>
      <c r="H81">
        <f>IF($O81="","",INDEX(Master!$H$2:$H$1001,$O81))</f>
      </c>
      <c r="I81">
        <f>IF($O81="","",INDEX(Master!$I$2:$I$1001,$O81))</f>
      </c>
      <c r="J81">
        <f>IF($O81="","",INDEX(Master!$J$2:$J$1001,$O81))</f>
      </c>
      <c r="K81">
        <f t="shared" si="2"/>
      </c>
      <c r="L81">
        <f>IF($O81="","",INDEX(Master!$K$2:$K$1001,$O81))</f>
      </c>
      <c r="M81">
        <f>IF($O81="","",INDEX(Master!$L$2:$L$1001,$O81))</f>
      </c>
      <c r="O81">
        <f t="array" ref="O81">IFERROR(SMALL(IF(Master!$A$2:$A$1001="SWADESH",ROW(Master!$A$2:$A$1001)-ROW(Master!$A$2)+1),77),"")</f>
      </c>
      <c r="P81">
        <f t="shared" si="3"/>
      </c>
    </row>
    <row r="82" spans="1:16" x14ac:dyDescent="0.25">
      <c r="A82">
        <f>IF($O82="","",INDEX(Master!$D$2:$D$1001,$O82))</f>
      </c>
      <c r="B82" s="166">
        <f>IF($O82="","",INDEX(Master!$B$2:$B$1001,$O82))</f>
      </c>
      <c r="C82">
        <f>IF($O82="","",INDEX(Master!$C$2:$C$1001,$O82))</f>
      </c>
      <c r="D82">
        <f>IF($O82="","",INDEX(Master!$A$2:$A$1001,$O82))</f>
      </c>
      <c r="E82">
        <f>IF($O82="","",INDEX(Master!$E$2:$E$1001,$O82))</f>
      </c>
      <c r="F82">
        <f>IF($O82="","",INDEX(Master!$F$2:$F$1001,$O82))</f>
      </c>
      <c r="G82">
        <f>IF($O82="","",INDEX(Master!$G$2:$G$1001,$O82))</f>
      </c>
      <c r="H82">
        <f>IF($O82="","",INDEX(Master!$H$2:$H$1001,$O82))</f>
      </c>
      <c r="I82">
        <f>IF($O82="","",INDEX(Master!$I$2:$I$1001,$O82))</f>
      </c>
      <c r="J82">
        <f>IF($O82="","",INDEX(Master!$J$2:$J$1001,$O82))</f>
      </c>
      <c r="K82">
        <f t="shared" si="2"/>
      </c>
      <c r="L82">
        <f>IF($O82="","",INDEX(Master!$K$2:$K$1001,$O82))</f>
      </c>
      <c r="M82">
        <f>IF($O82="","",INDEX(Master!$L$2:$L$1001,$O82))</f>
      </c>
      <c r="O82">
        <f t="array" ref="O82">IFERROR(SMALL(IF(Master!$A$2:$A$1001="SWADESH",ROW(Master!$A$2:$A$1001)-ROW(Master!$A$2)+1),78),"")</f>
      </c>
      <c r="P82">
        <f t="shared" si="3"/>
      </c>
    </row>
    <row r="83" spans="1:16" x14ac:dyDescent="0.25">
      <c r="A83">
        <f>IF($O83="","",INDEX(Master!$D$2:$D$1001,$O83))</f>
      </c>
      <c r="B83" s="166">
        <f>IF($O83="","",INDEX(Master!$B$2:$B$1001,$O83))</f>
      </c>
      <c r="C83">
        <f>IF($O83="","",INDEX(Master!$C$2:$C$1001,$O83))</f>
      </c>
      <c r="D83">
        <f>IF($O83="","",INDEX(Master!$A$2:$A$1001,$O83))</f>
      </c>
      <c r="E83">
        <f>IF($O83="","",INDEX(Master!$E$2:$E$1001,$O83))</f>
      </c>
      <c r="F83">
        <f>IF($O83="","",INDEX(Master!$F$2:$F$1001,$O83))</f>
      </c>
      <c r="G83">
        <f>IF($O83="","",INDEX(Master!$G$2:$G$1001,$O83))</f>
      </c>
      <c r="H83">
        <f>IF($O83="","",INDEX(Master!$H$2:$H$1001,$O83))</f>
      </c>
      <c r="I83">
        <f>IF($O83="","",INDEX(Master!$I$2:$I$1001,$O83))</f>
      </c>
      <c r="J83">
        <f>IF($O83="","",INDEX(Master!$J$2:$J$1001,$O83))</f>
      </c>
      <c r="K83">
        <f t="shared" si="2"/>
      </c>
      <c r="L83">
        <f>IF($O83="","",INDEX(Master!$K$2:$K$1001,$O83))</f>
      </c>
      <c r="M83">
        <f>IF($O83="","",INDEX(Master!$L$2:$L$1001,$O83))</f>
      </c>
      <c r="O83">
        <f t="array" ref="O83">IFERROR(SMALL(IF(Master!$A$2:$A$1001="SWADESH",ROW(Master!$A$2:$A$1001)-ROW(Master!$A$2)+1),79),"")</f>
      </c>
      <c r="P83">
        <f t="shared" si="3"/>
      </c>
    </row>
    <row r="84" spans="1:16" x14ac:dyDescent="0.25">
      <c r="A84">
        <f>IF($O84="","",INDEX(Master!$D$2:$D$1001,$O84))</f>
      </c>
      <c r="B84" s="166">
        <f>IF($O84="","",INDEX(Master!$B$2:$B$1001,$O84))</f>
      </c>
      <c r="C84">
        <f>IF($O84="","",INDEX(Master!$C$2:$C$1001,$O84))</f>
      </c>
      <c r="D84">
        <f>IF($O84="","",INDEX(Master!$A$2:$A$1001,$O84))</f>
      </c>
      <c r="E84">
        <f>IF($O84="","",INDEX(Master!$E$2:$E$1001,$O84))</f>
      </c>
      <c r="F84">
        <f>IF($O84="","",INDEX(Master!$F$2:$F$1001,$O84))</f>
      </c>
      <c r="G84">
        <f>IF($O84="","",INDEX(Master!$G$2:$G$1001,$O84))</f>
      </c>
      <c r="H84">
        <f>IF($O84="","",INDEX(Master!$H$2:$H$1001,$O84))</f>
      </c>
      <c r="I84">
        <f>IF($O84="","",INDEX(Master!$I$2:$I$1001,$O84))</f>
      </c>
      <c r="J84">
        <f>IF($O84="","",INDEX(Master!$J$2:$J$1001,$O84))</f>
      </c>
      <c r="K84">
        <f t="shared" si="2"/>
      </c>
      <c r="L84">
        <f>IF($O84="","",INDEX(Master!$K$2:$K$1001,$O84))</f>
      </c>
      <c r="M84">
        <f>IF($O84="","",INDEX(Master!$L$2:$L$1001,$O84))</f>
      </c>
      <c r="O84">
        <f t="array" ref="O84">IFERROR(SMALL(IF(Master!$A$2:$A$1001="SWADESH",ROW(Master!$A$2:$A$1001)-ROW(Master!$A$2)+1),80),"")</f>
      </c>
      <c r="P84">
        <f t="shared" si="3"/>
      </c>
    </row>
    <row r="85" spans="1:16" x14ac:dyDescent="0.25">
      <c r="A85">
        <f>IF($O85="","",INDEX(Master!$D$2:$D$1001,$O85))</f>
      </c>
      <c r="B85" s="166">
        <f>IF($O85="","",INDEX(Master!$B$2:$B$1001,$O85))</f>
      </c>
      <c r="C85">
        <f>IF($O85="","",INDEX(Master!$C$2:$C$1001,$O85))</f>
      </c>
      <c r="D85">
        <f>IF($O85="","",INDEX(Master!$A$2:$A$1001,$O85))</f>
      </c>
      <c r="E85">
        <f>IF($O85="","",INDEX(Master!$E$2:$E$1001,$O85))</f>
      </c>
      <c r="F85">
        <f>IF($O85="","",INDEX(Master!$F$2:$F$1001,$O85))</f>
      </c>
      <c r="G85">
        <f>IF($O85="","",INDEX(Master!$G$2:$G$1001,$O85))</f>
      </c>
      <c r="H85">
        <f>IF($O85="","",INDEX(Master!$H$2:$H$1001,$O85))</f>
      </c>
      <c r="I85">
        <f>IF($O85="","",INDEX(Master!$I$2:$I$1001,$O85))</f>
      </c>
      <c r="J85">
        <f>IF($O85="","",INDEX(Master!$J$2:$J$1001,$O85))</f>
      </c>
      <c r="K85">
        <f t="shared" si="2"/>
      </c>
      <c r="L85">
        <f>IF($O85="","",INDEX(Master!$K$2:$K$1001,$O85))</f>
      </c>
      <c r="M85">
        <f>IF($O85="","",INDEX(Master!$L$2:$L$1001,$O85))</f>
      </c>
      <c r="O85">
        <f t="array" ref="O85">IFERROR(SMALL(IF(Master!$A$2:$A$1001="SWADESH",ROW(Master!$A$2:$A$1001)-ROW(Master!$A$2)+1),81),"")</f>
      </c>
      <c r="P85">
        <f t="shared" si="3"/>
      </c>
    </row>
    <row r="86" spans="1:16" x14ac:dyDescent="0.25">
      <c r="A86">
        <f>IF($O86="","",INDEX(Master!$D$2:$D$1001,$O86))</f>
      </c>
      <c r="B86" s="166">
        <f>IF($O86="","",INDEX(Master!$B$2:$B$1001,$O86))</f>
      </c>
      <c r="C86">
        <f>IF($O86="","",INDEX(Master!$C$2:$C$1001,$O86))</f>
      </c>
      <c r="D86">
        <f>IF($O86="","",INDEX(Master!$A$2:$A$1001,$O86))</f>
      </c>
      <c r="E86">
        <f>IF($O86="","",INDEX(Master!$E$2:$E$1001,$O86))</f>
      </c>
      <c r="F86">
        <f>IF($O86="","",INDEX(Master!$F$2:$F$1001,$O86))</f>
      </c>
      <c r="G86">
        <f>IF($O86="","",INDEX(Master!$G$2:$G$1001,$O86))</f>
      </c>
      <c r="H86">
        <f>IF($O86="","",INDEX(Master!$H$2:$H$1001,$O86))</f>
      </c>
      <c r="I86">
        <f>IF($O86="","",INDEX(Master!$I$2:$I$1001,$O86))</f>
      </c>
      <c r="J86">
        <f>IF($O86="","",INDEX(Master!$J$2:$J$1001,$O86))</f>
      </c>
      <c r="K86">
        <f t="shared" si="2"/>
      </c>
      <c r="L86">
        <f>IF($O86="","",INDEX(Master!$K$2:$K$1001,$O86))</f>
      </c>
      <c r="M86">
        <f>IF($O86="","",INDEX(Master!$L$2:$L$1001,$O86))</f>
      </c>
      <c r="O86">
        <f t="array" ref="O86">IFERROR(SMALL(IF(Master!$A$2:$A$1001="SWADESH",ROW(Master!$A$2:$A$1001)-ROW(Master!$A$2)+1),82),"")</f>
      </c>
      <c r="P86">
        <f t="shared" si="3"/>
      </c>
    </row>
    <row r="87" spans="1:16" x14ac:dyDescent="0.25">
      <c r="A87">
        <f>IF($O87="","",INDEX(Master!$D$2:$D$1001,$O87))</f>
      </c>
      <c r="B87" s="166">
        <f>IF($O87="","",INDEX(Master!$B$2:$B$1001,$O87))</f>
      </c>
      <c r="C87">
        <f>IF($O87="","",INDEX(Master!$C$2:$C$1001,$O87))</f>
      </c>
      <c r="D87">
        <f>IF($O87="","",INDEX(Master!$A$2:$A$1001,$O87))</f>
      </c>
      <c r="E87">
        <f>IF($O87="","",INDEX(Master!$E$2:$E$1001,$O87))</f>
      </c>
      <c r="F87">
        <f>IF($O87="","",INDEX(Master!$F$2:$F$1001,$O87))</f>
      </c>
      <c r="G87">
        <f>IF($O87="","",INDEX(Master!$G$2:$G$1001,$O87))</f>
      </c>
      <c r="H87">
        <f>IF($O87="","",INDEX(Master!$H$2:$H$1001,$O87))</f>
      </c>
      <c r="I87">
        <f>IF($O87="","",INDEX(Master!$I$2:$I$1001,$O87))</f>
      </c>
      <c r="J87">
        <f>IF($O87="","",INDEX(Master!$J$2:$J$1001,$O87))</f>
      </c>
      <c r="K87">
        <f t="shared" si="2"/>
      </c>
      <c r="L87">
        <f>IF($O87="","",INDEX(Master!$K$2:$K$1001,$O87))</f>
      </c>
      <c r="M87">
        <f>IF($O87="","",INDEX(Master!$L$2:$L$1001,$O87))</f>
      </c>
      <c r="O87">
        <f t="array" ref="O87">IFERROR(SMALL(IF(Master!$A$2:$A$1001="SWADESH",ROW(Master!$A$2:$A$1001)-ROW(Master!$A$2)+1),83),"")</f>
      </c>
      <c r="P87">
        <f t="shared" si="3"/>
      </c>
    </row>
    <row r="88" spans="1:16" x14ac:dyDescent="0.25">
      <c r="A88">
        <f>IF($O88="","",INDEX(Master!$D$2:$D$1001,$O88))</f>
      </c>
      <c r="B88" s="166">
        <f>IF($O88="","",INDEX(Master!$B$2:$B$1001,$O88))</f>
      </c>
      <c r="C88">
        <f>IF($O88="","",INDEX(Master!$C$2:$C$1001,$O88))</f>
      </c>
      <c r="D88">
        <f>IF($O88="","",INDEX(Master!$A$2:$A$1001,$O88))</f>
      </c>
      <c r="E88">
        <f>IF($O88="","",INDEX(Master!$E$2:$E$1001,$O88))</f>
      </c>
      <c r="F88">
        <f>IF($O88="","",INDEX(Master!$F$2:$F$1001,$O88))</f>
      </c>
      <c r="G88">
        <f>IF($O88="","",INDEX(Master!$G$2:$G$1001,$O88))</f>
      </c>
      <c r="H88">
        <f>IF($O88="","",INDEX(Master!$H$2:$H$1001,$O88))</f>
      </c>
      <c r="I88">
        <f>IF($O88="","",INDEX(Master!$I$2:$I$1001,$O88))</f>
      </c>
      <c r="J88">
        <f>IF($O88="","",INDEX(Master!$J$2:$J$1001,$O88))</f>
      </c>
      <c r="K88">
        <f t="shared" si="2"/>
      </c>
      <c r="L88">
        <f>IF($O88="","",INDEX(Master!$K$2:$K$1001,$O88))</f>
      </c>
      <c r="M88">
        <f>IF($O88="","",INDEX(Master!$L$2:$L$1001,$O88))</f>
      </c>
      <c r="O88">
        <f t="array" ref="O88">IFERROR(SMALL(IF(Master!$A$2:$A$1001="SWADESH",ROW(Master!$A$2:$A$1001)-ROW(Master!$A$2)+1),84),"")</f>
      </c>
      <c r="P88">
        <f t="shared" si="3"/>
      </c>
    </row>
    <row r="89" spans="1:16" x14ac:dyDescent="0.25">
      <c r="A89">
        <f>IF($O89="","",INDEX(Master!$D$2:$D$1001,$O89))</f>
      </c>
      <c r="B89" s="166">
        <f>IF($O89="","",INDEX(Master!$B$2:$B$1001,$O89))</f>
      </c>
      <c r="C89">
        <f>IF($O89="","",INDEX(Master!$C$2:$C$1001,$O89))</f>
      </c>
      <c r="D89">
        <f>IF($O89="","",INDEX(Master!$A$2:$A$1001,$O89))</f>
      </c>
      <c r="E89">
        <f>IF($O89="","",INDEX(Master!$E$2:$E$1001,$O89))</f>
      </c>
      <c r="F89">
        <f>IF($O89="","",INDEX(Master!$F$2:$F$1001,$O89))</f>
      </c>
      <c r="G89">
        <f>IF($O89="","",INDEX(Master!$G$2:$G$1001,$O89))</f>
      </c>
      <c r="H89">
        <f>IF($O89="","",INDEX(Master!$H$2:$H$1001,$O89))</f>
      </c>
      <c r="I89">
        <f>IF($O89="","",INDEX(Master!$I$2:$I$1001,$O89))</f>
      </c>
      <c r="J89">
        <f>IF($O89="","",INDEX(Master!$J$2:$J$1001,$O89))</f>
      </c>
      <c r="K89">
        <f t="shared" si="2"/>
      </c>
      <c r="L89">
        <f>IF($O89="","",INDEX(Master!$K$2:$K$1001,$O89))</f>
      </c>
      <c r="M89">
        <f>IF($O89="","",INDEX(Master!$L$2:$L$1001,$O89))</f>
      </c>
      <c r="O89">
        <f t="array" ref="O89">IFERROR(SMALL(IF(Master!$A$2:$A$1001="SWADESH",ROW(Master!$A$2:$A$1001)-ROW(Master!$A$2)+1),85),"")</f>
      </c>
      <c r="P89">
        <f t="shared" si="3"/>
      </c>
    </row>
    <row r="90" spans="1:16" x14ac:dyDescent="0.25">
      <c r="A90">
        <f>IF($O90="","",INDEX(Master!$D$2:$D$1001,$O90))</f>
      </c>
      <c r="B90" s="166">
        <f>IF($O90="","",INDEX(Master!$B$2:$B$1001,$O90))</f>
      </c>
      <c r="C90">
        <f>IF($O90="","",INDEX(Master!$C$2:$C$1001,$O90))</f>
      </c>
      <c r="D90">
        <f>IF($O90="","",INDEX(Master!$A$2:$A$1001,$O90))</f>
      </c>
      <c r="E90">
        <f>IF($O90="","",INDEX(Master!$E$2:$E$1001,$O90))</f>
      </c>
      <c r="F90">
        <f>IF($O90="","",INDEX(Master!$F$2:$F$1001,$O90))</f>
      </c>
      <c r="G90">
        <f>IF($O90="","",INDEX(Master!$G$2:$G$1001,$O90))</f>
      </c>
      <c r="H90">
        <f>IF($O90="","",INDEX(Master!$H$2:$H$1001,$O90))</f>
      </c>
      <c r="I90">
        <f>IF($O90="","",INDEX(Master!$I$2:$I$1001,$O90))</f>
      </c>
      <c r="J90">
        <f>IF($O90="","",INDEX(Master!$J$2:$J$1001,$O90))</f>
      </c>
      <c r="K90">
        <f t="shared" si="2"/>
      </c>
      <c r="L90">
        <f>IF($O90="","",INDEX(Master!$K$2:$K$1001,$O90))</f>
      </c>
      <c r="M90">
        <f>IF($O90="","",INDEX(Master!$L$2:$L$1001,$O90))</f>
      </c>
      <c r="O90">
        <f t="array" ref="O90">IFERROR(SMALL(IF(Master!$A$2:$A$1001="SWADESH",ROW(Master!$A$2:$A$1001)-ROW(Master!$A$2)+1),86),"")</f>
      </c>
      <c r="P90">
        <f t="shared" si="3"/>
      </c>
    </row>
    <row r="91" spans="1:16" x14ac:dyDescent="0.25">
      <c r="A91">
        <f>IF($O91="","",INDEX(Master!$D$2:$D$1001,$O91))</f>
      </c>
      <c r="B91" s="166">
        <f>IF($O91="","",INDEX(Master!$B$2:$B$1001,$O91))</f>
      </c>
      <c r="C91">
        <f>IF($O91="","",INDEX(Master!$C$2:$C$1001,$O91))</f>
      </c>
      <c r="D91">
        <f>IF($O91="","",INDEX(Master!$A$2:$A$1001,$O91))</f>
      </c>
      <c r="E91">
        <f>IF($O91="","",INDEX(Master!$E$2:$E$1001,$O91))</f>
      </c>
      <c r="F91">
        <f>IF($O91="","",INDEX(Master!$F$2:$F$1001,$O91))</f>
      </c>
      <c r="G91">
        <f>IF($O91="","",INDEX(Master!$G$2:$G$1001,$O91))</f>
      </c>
      <c r="H91">
        <f>IF($O91="","",INDEX(Master!$H$2:$H$1001,$O91))</f>
      </c>
      <c r="I91">
        <f>IF($O91="","",INDEX(Master!$I$2:$I$1001,$O91))</f>
      </c>
      <c r="J91">
        <f>IF($O91="","",INDEX(Master!$J$2:$J$1001,$O91))</f>
      </c>
      <c r="K91">
        <f t="shared" si="2"/>
      </c>
      <c r="L91">
        <f>IF($O91="","",INDEX(Master!$K$2:$K$1001,$O91))</f>
      </c>
      <c r="M91">
        <f>IF($O91="","",INDEX(Master!$L$2:$L$1001,$O91))</f>
      </c>
      <c r="O91">
        <f t="array" ref="O91">IFERROR(SMALL(IF(Master!$A$2:$A$1001="SWADESH",ROW(Master!$A$2:$A$1001)-ROW(Master!$A$2)+1),87),"")</f>
      </c>
      <c r="P91">
        <f t="shared" si="3"/>
      </c>
    </row>
    <row r="92" spans="1:16" x14ac:dyDescent="0.25">
      <c r="A92">
        <f>IF($O92="","",INDEX(Master!$D$2:$D$1001,$O92))</f>
      </c>
      <c r="B92" s="166">
        <f>IF($O92="","",INDEX(Master!$B$2:$B$1001,$O92))</f>
      </c>
      <c r="C92">
        <f>IF($O92="","",INDEX(Master!$C$2:$C$1001,$O92))</f>
      </c>
      <c r="D92">
        <f>IF($O92="","",INDEX(Master!$A$2:$A$1001,$O92))</f>
      </c>
      <c r="E92">
        <f>IF($O92="","",INDEX(Master!$E$2:$E$1001,$O92))</f>
      </c>
      <c r="F92">
        <f>IF($O92="","",INDEX(Master!$F$2:$F$1001,$O92))</f>
      </c>
      <c r="G92">
        <f>IF($O92="","",INDEX(Master!$G$2:$G$1001,$O92))</f>
      </c>
      <c r="H92">
        <f>IF($O92="","",INDEX(Master!$H$2:$H$1001,$O92))</f>
      </c>
      <c r="I92">
        <f>IF($O92="","",INDEX(Master!$I$2:$I$1001,$O92))</f>
      </c>
      <c r="J92">
        <f>IF($O92="","",INDEX(Master!$J$2:$J$1001,$O92))</f>
      </c>
      <c r="K92">
        <f t="shared" si="2"/>
      </c>
      <c r="L92">
        <f>IF($O92="","",INDEX(Master!$K$2:$K$1001,$O92))</f>
      </c>
      <c r="M92">
        <f>IF($O92="","",INDEX(Master!$L$2:$L$1001,$O92))</f>
      </c>
      <c r="O92">
        <f t="array" ref="O92">IFERROR(SMALL(IF(Master!$A$2:$A$1001="SWADESH",ROW(Master!$A$2:$A$1001)-ROW(Master!$A$2)+1),88),"")</f>
      </c>
      <c r="P92">
        <f t="shared" si="3"/>
      </c>
    </row>
    <row r="93" spans="1:16" x14ac:dyDescent="0.25">
      <c r="A93">
        <f>IF($O93="","",INDEX(Master!$D$2:$D$1001,$O93))</f>
      </c>
      <c r="B93" s="166">
        <f>IF($O93="","",INDEX(Master!$B$2:$B$1001,$O93))</f>
      </c>
      <c r="C93">
        <f>IF($O93="","",INDEX(Master!$C$2:$C$1001,$O93))</f>
      </c>
      <c r="D93">
        <f>IF($O93="","",INDEX(Master!$A$2:$A$1001,$O93))</f>
      </c>
      <c r="E93">
        <f>IF($O93="","",INDEX(Master!$E$2:$E$1001,$O93))</f>
      </c>
      <c r="F93">
        <f>IF($O93="","",INDEX(Master!$F$2:$F$1001,$O93))</f>
      </c>
      <c r="G93">
        <f>IF($O93="","",INDEX(Master!$G$2:$G$1001,$O93))</f>
      </c>
      <c r="H93">
        <f>IF($O93="","",INDEX(Master!$H$2:$H$1001,$O93))</f>
      </c>
      <c r="I93">
        <f>IF($O93="","",INDEX(Master!$I$2:$I$1001,$O93))</f>
      </c>
      <c r="J93">
        <f>IF($O93="","",INDEX(Master!$J$2:$J$1001,$O93))</f>
      </c>
      <c r="K93">
        <f t="shared" si="2"/>
      </c>
      <c r="L93">
        <f>IF($O93="","",INDEX(Master!$K$2:$K$1001,$O93))</f>
      </c>
      <c r="M93">
        <f>IF($O93="","",INDEX(Master!$L$2:$L$1001,$O93))</f>
      </c>
      <c r="O93">
        <f t="array" ref="O93">IFERROR(SMALL(IF(Master!$A$2:$A$1001="SWADESH",ROW(Master!$A$2:$A$1001)-ROW(Master!$A$2)+1),89),"")</f>
      </c>
      <c r="P93">
        <f t="shared" si="3"/>
      </c>
    </row>
    <row r="94" spans="1:16" x14ac:dyDescent="0.25">
      <c r="A94">
        <f>IF($O94="","",INDEX(Master!$D$2:$D$1001,$O94))</f>
      </c>
      <c r="B94" s="166">
        <f>IF($O94="","",INDEX(Master!$B$2:$B$1001,$O94))</f>
      </c>
      <c r="C94">
        <f>IF($O94="","",INDEX(Master!$C$2:$C$1001,$O94))</f>
      </c>
      <c r="D94">
        <f>IF($O94="","",INDEX(Master!$A$2:$A$1001,$O94))</f>
      </c>
      <c r="E94">
        <f>IF($O94="","",INDEX(Master!$E$2:$E$1001,$O94))</f>
      </c>
      <c r="F94">
        <f>IF($O94="","",INDEX(Master!$F$2:$F$1001,$O94))</f>
      </c>
      <c r="G94">
        <f>IF($O94="","",INDEX(Master!$G$2:$G$1001,$O94))</f>
      </c>
      <c r="H94">
        <f>IF($O94="","",INDEX(Master!$H$2:$H$1001,$O94))</f>
      </c>
      <c r="I94">
        <f>IF($O94="","",INDEX(Master!$I$2:$I$1001,$O94))</f>
      </c>
      <c r="J94">
        <f>IF($O94="","",INDEX(Master!$J$2:$J$1001,$O94))</f>
      </c>
      <c r="K94">
        <f t="shared" si="2"/>
      </c>
      <c r="L94">
        <f>IF($O94="","",INDEX(Master!$K$2:$K$1001,$O94))</f>
      </c>
      <c r="M94">
        <f>IF($O94="","",INDEX(Master!$L$2:$L$1001,$O94))</f>
      </c>
      <c r="O94">
        <f t="array" ref="O94">IFERROR(SMALL(IF(Master!$A$2:$A$1001="SWADESH",ROW(Master!$A$2:$A$1001)-ROW(Master!$A$2)+1),90),"")</f>
      </c>
      <c r="P94">
        <f t="shared" si="3"/>
      </c>
    </row>
    <row r="95" spans="1:16" x14ac:dyDescent="0.25">
      <c r="A95">
        <f>IF($O95="","",INDEX(Master!$D$2:$D$1001,$O95))</f>
      </c>
      <c r="B95" s="166">
        <f>IF($O95="","",INDEX(Master!$B$2:$B$1001,$O95))</f>
      </c>
      <c r="C95">
        <f>IF($O95="","",INDEX(Master!$C$2:$C$1001,$O95))</f>
      </c>
      <c r="D95">
        <f>IF($O95="","",INDEX(Master!$A$2:$A$1001,$O95))</f>
      </c>
      <c r="E95">
        <f>IF($O95="","",INDEX(Master!$E$2:$E$1001,$O95))</f>
      </c>
      <c r="F95">
        <f>IF($O95="","",INDEX(Master!$F$2:$F$1001,$O95))</f>
      </c>
      <c r="G95">
        <f>IF($O95="","",INDEX(Master!$G$2:$G$1001,$O95))</f>
      </c>
      <c r="H95">
        <f>IF($O95="","",INDEX(Master!$H$2:$H$1001,$O95))</f>
      </c>
      <c r="I95">
        <f>IF($O95="","",INDEX(Master!$I$2:$I$1001,$O95))</f>
      </c>
      <c r="J95">
        <f>IF($O95="","",INDEX(Master!$J$2:$J$1001,$O95))</f>
      </c>
      <c r="K95">
        <f t="shared" si="2"/>
      </c>
      <c r="L95">
        <f>IF($O95="","",INDEX(Master!$K$2:$K$1001,$O95))</f>
      </c>
      <c r="M95">
        <f>IF($O95="","",INDEX(Master!$L$2:$L$1001,$O95))</f>
      </c>
      <c r="O95">
        <f t="array" ref="O95">IFERROR(SMALL(IF(Master!$A$2:$A$1001="SWADESH",ROW(Master!$A$2:$A$1001)-ROW(Master!$A$2)+1),91),"")</f>
      </c>
      <c r="P95">
        <f t="shared" si="3"/>
      </c>
    </row>
    <row r="96" spans="1:16" x14ac:dyDescent="0.25">
      <c r="A96">
        <f>IF($O96="","",INDEX(Master!$D$2:$D$1001,$O96))</f>
      </c>
      <c r="B96" s="166">
        <f>IF($O96="","",INDEX(Master!$B$2:$B$1001,$O96))</f>
      </c>
      <c r="C96">
        <f>IF($O96="","",INDEX(Master!$C$2:$C$1001,$O96))</f>
      </c>
      <c r="D96">
        <f>IF($O96="","",INDEX(Master!$A$2:$A$1001,$O96))</f>
      </c>
      <c r="E96">
        <f>IF($O96="","",INDEX(Master!$E$2:$E$1001,$O96))</f>
      </c>
      <c r="F96">
        <f>IF($O96="","",INDEX(Master!$F$2:$F$1001,$O96))</f>
      </c>
      <c r="G96">
        <f>IF($O96="","",INDEX(Master!$G$2:$G$1001,$O96))</f>
      </c>
      <c r="H96">
        <f>IF($O96="","",INDEX(Master!$H$2:$H$1001,$O96))</f>
      </c>
      <c r="I96">
        <f>IF($O96="","",INDEX(Master!$I$2:$I$1001,$O96))</f>
      </c>
      <c r="J96">
        <f>IF($O96="","",INDEX(Master!$J$2:$J$1001,$O96))</f>
      </c>
      <c r="K96">
        <f t="shared" si="2"/>
      </c>
      <c r="L96">
        <f>IF($O96="","",INDEX(Master!$K$2:$K$1001,$O96))</f>
      </c>
      <c r="M96">
        <f>IF($O96="","",INDEX(Master!$L$2:$L$1001,$O96))</f>
      </c>
      <c r="O96">
        <f t="array" ref="O96">IFERROR(SMALL(IF(Master!$A$2:$A$1001="SWADESH",ROW(Master!$A$2:$A$1001)-ROW(Master!$A$2)+1),92),"")</f>
      </c>
      <c r="P96">
        <f t="shared" si="3"/>
      </c>
    </row>
    <row r="97" spans="1:16" x14ac:dyDescent="0.25">
      <c r="A97">
        <f>IF($O97="","",INDEX(Master!$D$2:$D$1001,$O97))</f>
      </c>
      <c r="B97" s="166">
        <f>IF($O97="","",INDEX(Master!$B$2:$B$1001,$O97))</f>
      </c>
      <c r="C97">
        <f>IF($O97="","",INDEX(Master!$C$2:$C$1001,$O97))</f>
      </c>
      <c r="D97">
        <f>IF($O97="","",INDEX(Master!$A$2:$A$1001,$O97))</f>
      </c>
      <c r="E97">
        <f>IF($O97="","",INDEX(Master!$E$2:$E$1001,$O97))</f>
      </c>
      <c r="F97">
        <f>IF($O97="","",INDEX(Master!$F$2:$F$1001,$O97))</f>
      </c>
      <c r="G97">
        <f>IF($O97="","",INDEX(Master!$G$2:$G$1001,$O97))</f>
      </c>
      <c r="H97">
        <f>IF($O97="","",INDEX(Master!$H$2:$H$1001,$O97))</f>
      </c>
      <c r="I97">
        <f>IF($O97="","",INDEX(Master!$I$2:$I$1001,$O97))</f>
      </c>
      <c r="J97">
        <f>IF($O97="","",INDEX(Master!$J$2:$J$1001,$O97))</f>
      </c>
      <c r="K97">
        <f t="shared" si="2"/>
      </c>
      <c r="L97">
        <f>IF($O97="","",INDEX(Master!$K$2:$K$1001,$O97))</f>
      </c>
      <c r="M97">
        <f>IF($O97="","",INDEX(Master!$L$2:$L$1001,$O97))</f>
      </c>
      <c r="O97">
        <f t="array" ref="O97">IFERROR(SMALL(IF(Master!$A$2:$A$1001="SWADESH",ROW(Master!$A$2:$A$1001)-ROW(Master!$A$2)+1),93),"")</f>
      </c>
      <c r="P97">
        <f t="shared" si="3"/>
      </c>
    </row>
    <row r="98" spans="1:16" x14ac:dyDescent="0.25">
      <c r="A98">
        <f>IF($O98="","",INDEX(Master!$D$2:$D$1001,$O98))</f>
      </c>
      <c r="B98" s="166">
        <f>IF($O98="","",INDEX(Master!$B$2:$B$1001,$O98))</f>
      </c>
      <c r="C98">
        <f>IF($O98="","",INDEX(Master!$C$2:$C$1001,$O98))</f>
      </c>
      <c r="D98">
        <f>IF($O98="","",INDEX(Master!$A$2:$A$1001,$O98))</f>
      </c>
      <c r="E98">
        <f>IF($O98="","",INDEX(Master!$E$2:$E$1001,$O98))</f>
      </c>
      <c r="F98">
        <f>IF($O98="","",INDEX(Master!$F$2:$F$1001,$O98))</f>
      </c>
      <c r="G98">
        <f>IF($O98="","",INDEX(Master!$G$2:$G$1001,$O98))</f>
      </c>
      <c r="H98">
        <f>IF($O98="","",INDEX(Master!$H$2:$H$1001,$O98))</f>
      </c>
      <c r="I98">
        <f>IF($O98="","",INDEX(Master!$I$2:$I$1001,$O98))</f>
      </c>
      <c r="J98">
        <f>IF($O98="","",INDEX(Master!$J$2:$J$1001,$O98))</f>
      </c>
      <c r="K98">
        <f t="shared" si="2"/>
      </c>
      <c r="L98">
        <f>IF($O98="","",INDEX(Master!$K$2:$K$1001,$O98))</f>
      </c>
      <c r="M98">
        <f>IF($O98="","",INDEX(Master!$L$2:$L$1001,$O98))</f>
      </c>
      <c r="O98">
        <f t="array" ref="O98">IFERROR(SMALL(IF(Master!$A$2:$A$1001="SWADESH",ROW(Master!$A$2:$A$1001)-ROW(Master!$A$2)+1),94),"")</f>
      </c>
      <c r="P98">
        <f t="shared" si="3"/>
      </c>
    </row>
    <row r="99" spans="1:16" x14ac:dyDescent="0.25">
      <c r="A99">
        <f>IF($O99="","",INDEX(Master!$D$2:$D$1001,$O99))</f>
      </c>
      <c r="B99" s="166">
        <f>IF($O99="","",INDEX(Master!$B$2:$B$1001,$O99))</f>
      </c>
      <c r="C99">
        <f>IF($O99="","",INDEX(Master!$C$2:$C$1001,$O99))</f>
      </c>
      <c r="D99">
        <f>IF($O99="","",INDEX(Master!$A$2:$A$1001,$O99))</f>
      </c>
      <c r="E99">
        <f>IF($O99="","",INDEX(Master!$E$2:$E$1001,$O99))</f>
      </c>
      <c r="F99">
        <f>IF($O99="","",INDEX(Master!$F$2:$F$1001,$O99))</f>
      </c>
      <c r="G99">
        <f>IF($O99="","",INDEX(Master!$G$2:$G$1001,$O99))</f>
      </c>
      <c r="H99">
        <f>IF($O99="","",INDEX(Master!$H$2:$H$1001,$O99))</f>
      </c>
      <c r="I99">
        <f>IF($O99="","",INDEX(Master!$I$2:$I$1001,$O99))</f>
      </c>
      <c r="J99">
        <f>IF($O99="","",INDEX(Master!$J$2:$J$1001,$O99))</f>
      </c>
      <c r="K99">
        <f t="shared" si="2"/>
      </c>
      <c r="L99">
        <f>IF($O99="","",INDEX(Master!$K$2:$K$1001,$O99))</f>
      </c>
      <c r="M99">
        <f>IF($O99="","",INDEX(Master!$L$2:$L$1001,$O99))</f>
      </c>
      <c r="O99">
        <f t="array" ref="O99">IFERROR(SMALL(IF(Master!$A$2:$A$1001="SWADESH",ROW(Master!$A$2:$A$1001)-ROW(Master!$A$2)+1),95),"")</f>
      </c>
      <c r="P99">
        <f t="shared" si="3"/>
      </c>
    </row>
    <row r="100" spans="1:16" x14ac:dyDescent="0.25">
      <c r="A100">
        <f>IF($O100="","",INDEX(Master!$D$2:$D$1001,$O100))</f>
      </c>
      <c r="B100" s="166">
        <f>IF($O100="","",INDEX(Master!$B$2:$B$1001,$O100))</f>
      </c>
      <c r="C100">
        <f>IF($O100="","",INDEX(Master!$C$2:$C$1001,$O100))</f>
      </c>
      <c r="D100">
        <f>IF($O100="","",INDEX(Master!$A$2:$A$1001,$O100))</f>
      </c>
      <c r="E100">
        <f>IF($O100="","",INDEX(Master!$E$2:$E$1001,$O100))</f>
      </c>
      <c r="F100">
        <f>IF($O100="","",INDEX(Master!$F$2:$F$1001,$O100))</f>
      </c>
      <c r="G100">
        <f>IF($O100="","",INDEX(Master!$G$2:$G$1001,$O100))</f>
      </c>
      <c r="H100">
        <f>IF($O100="","",INDEX(Master!$H$2:$H$1001,$O100))</f>
      </c>
      <c r="I100">
        <f>IF($O100="","",INDEX(Master!$I$2:$I$1001,$O100))</f>
      </c>
      <c r="J100">
        <f>IF($O100="","",INDEX(Master!$J$2:$J$1001,$O100))</f>
      </c>
      <c r="K100">
        <f t="shared" si="2"/>
      </c>
      <c r="L100">
        <f>IF($O100="","",INDEX(Master!$K$2:$K$1001,$O100))</f>
      </c>
      <c r="M100">
        <f>IF($O100="","",INDEX(Master!$L$2:$L$1001,$O100))</f>
      </c>
      <c r="O100">
        <f t="array" ref="O100">IFERROR(SMALL(IF(Master!$A$2:$A$1001="SWADESH",ROW(Master!$A$2:$A$1001)-ROW(Master!$A$2)+1),96),"")</f>
      </c>
      <c r="P100">
        <f t="shared" si="3"/>
      </c>
    </row>
    <row r="101" spans="1:16" x14ac:dyDescent="0.25">
      <c r="A101">
        <f>IF($O101="","",INDEX(Master!$D$2:$D$1001,$O101))</f>
      </c>
      <c r="B101" s="166">
        <f>IF($O101="","",INDEX(Master!$B$2:$B$1001,$O101))</f>
      </c>
      <c r="C101">
        <f>IF($O101="","",INDEX(Master!$C$2:$C$1001,$O101))</f>
      </c>
      <c r="D101">
        <f>IF($O101="","",INDEX(Master!$A$2:$A$1001,$O101))</f>
      </c>
      <c r="E101">
        <f>IF($O101="","",INDEX(Master!$E$2:$E$1001,$O101))</f>
      </c>
      <c r="F101">
        <f>IF($O101="","",INDEX(Master!$F$2:$F$1001,$O101))</f>
      </c>
      <c r="G101">
        <f>IF($O101="","",INDEX(Master!$G$2:$G$1001,$O101))</f>
      </c>
      <c r="H101">
        <f>IF($O101="","",INDEX(Master!$H$2:$H$1001,$O101))</f>
      </c>
      <c r="I101">
        <f>IF($O101="","",INDEX(Master!$I$2:$I$1001,$O101))</f>
      </c>
      <c r="J101">
        <f>IF($O101="","",INDEX(Master!$J$2:$J$1001,$O101))</f>
      </c>
      <c r="K101">
        <f t="shared" si="2"/>
      </c>
      <c r="L101">
        <f>IF($O101="","",INDEX(Master!$K$2:$K$1001,$O101))</f>
      </c>
      <c r="M101">
        <f>IF($O101="","",INDEX(Master!$L$2:$L$1001,$O101))</f>
      </c>
      <c r="O101">
        <f t="array" ref="O101">IFERROR(SMALL(IF(Master!$A$2:$A$1001="SWADESH",ROW(Master!$A$2:$A$1001)-ROW(Master!$A$2)+1),97),"")</f>
      </c>
      <c r="P101">
        <f t="shared" si="3"/>
      </c>
    </row>
    <row r="102" spans="1:16" x14ac:dyDescent="0.25">
      <c r="A102">
        <f>IF($O102="","",INDEX(Master!$D$2:$D$1001,$O102))</f>
      </c>
      <c r="B102" s="166">
        <f>IF($O102="","",INDEX(Master!$B$2:$B$1001,$O102))</f>
      </c>
      <c r="C102">
        <f>IF($O102="","",INDEX(Master!$C$2:$C$1001,$O102))</f>
      </c>
      <c r="D102">
        <f>IF($O102="","",INDEX(Master!$A$2:$A$1001,$O102))</f>
      </c>
      <c r="E102">
        <f>IF($O102="","",INDEX(Master!$E$2:$E$1001,$O102))</f>
      </c>
      <c r="F102">
        <f>IF($O102="","",INDEX(Master!$F$2:$F$1001,$O102))</f>
      </c>
      <c r="G102">
        <f>IF($O102="","",INDEX(Master!$G$2:$G$1001,$O102))</f>
      </c>
      <c r="H102">
        <f>IF($O102="","",INDEX(Master!$H$2:$H$1001,$O102))</f>
      </c>
      <c r="I102">
        <f>IF($O102="","",INDEX(Master!$I$2:$I$1001,$O102))</f>
      </c>
      <c r="J102">
        <f>IF($O102="","",INDEX(Master!$J$2:$J$1001,$O102))</f>
      </c>
      <c r="K102">
        <f t="shared" si="2"/>
      </c>
      <c r="L102">
        <f>IF($O102="","",INDEX(Master!$K$2:$K$1001,$O102))</f>
      </c>
      <c r="M102">
        <f>IF($O102="","",INDEX(Master!$L$2:$L$1001,$O102))</f>
      </c>
      <c r="O102">
        <f t="array" ref="O102">IFERROR(SMALL(IF(Master!$A$2:$A$1001="SWADESH",ROW(Master!$A$2:$A$1001)-ROW(Master!$A$2)+1),98),"")</f>
      </c>
      <c r="P102">
        <f t="shared" si="3"/>
      </c>
    </row>
    <row r="103" spans="1:16" x14ac:dyDescent="0.25">
      <c r="A103">
        <f>IF($O103="","",INDEX(Master!$D$2:$D$1001,$O103))</f>
      </c>
      <c r="B103" s="166">
        <f>IF($O103="","",INDEX(Master!$B$2:$B$1001,$O103))</f>
      </c>
      <c r="C103">
        <f>IF($O103="","",INDEX(Master!$C$2:$C$1001,$O103))</f>
      </c>
      <c r="D103">
        <f>IF($O103="","",INDEX(Master!$A$2:$A$1001,$O103))</f>
      </c>
      <c r="E103">
        <f>IF($O103="","",INDEX(Master!$E$2:$E$1001,$O103))</f>
      </c>
      <c r="F103">
        <f>IF($O103="","",INDEX(Master!$F$2:$F$1001,$O103))</f>
      </c>
      <c r="G103">
        <f>IF($O103="","",INDEX(Master!$G$2:$G$1001,$O103))</f>
      </c>
      <c r="H103">
        <f>IF($O103="","",INDEX(Master!$H$2:$H$1001,$O103))</f>
      </c>
      <c r="I103">
        <f>IF($O103="","",INDEX(Master!$I$2:$I$1001,$O103))</f>
      </c>
      <c r="J103">
        <f>IF($O103="","",INDEX(Master!$J$2:$J$1001,$O103))</f>
      </c>
      <c r="K103">
        <f t="shared" si="2"/>
      </c>
      <c r="L103">
        <f>IF($O103="","",INDEX(Master!$K$2:$K$1001,$O103))</f>
      </c>
      <c r="M103">
        <f>IF($O103="","",INDEX(Master!$L$2:$L$1001,$O103))</f>
      </c>
      <c r="O103">
        <f t="array" ref="O103">IFERROR(SMALL(IF(Master!$A$2:$A$1001="SWADESH",ROW(Master!$A$2:$A$1001)-ROW(Master!$A$2)+1),99),"")</f>
      </c>
      <c r="P103">
        <f t="shared" si="3"/>
      </c>
    </row>
    <row r="104" spans="1:16" x14ac:dyDescent="0.25">
      <c r="A104">
        <f>IF($O104="","",INDEX(Master!$D$2:$D$1001,$O104))</f>
      </c>
      <c r="B104" s="166">
        <f>IF($O104="","",INDEX(Master!$B$2:$B$1001,$O104))</f>
      </c>
      <c r="C104">
        <f>IF($O104="","",INDEX(Master!$C$2:$C$1001,$O104))</f>
      </c>
      <c r="D104">
        <f>IF($O104="","",INDEX(Master!$A$2:$A$1001,$O104))</f>
      </c>
      <c r="E104">
        <f>IF($O104="","",INDEX(Master!$E$2:$E$1001,$O104))</f>
      </c>
      <c r="F104">
        <f>IF($O104="","",INDEX(Master!$F$2:$F$1001,$O104))</f>
      </c>
      <c r="G104">
        <f>IF($O104="","",INDEX(Master!$G$2:$G$1001,$O104))</f>
      </c>
      <c r="H104">
        <f>IF($O104="","",INDEX(Master!$H$2:$H$1001,$O104))</f>
      </c>
      <c r="I104">
        <f>IF($O104="","",INDEX(Master!$I$2:$I$1001,$O104))</f>
      </c>
      <c r="J104">
        <f>IF($O104="","",INDEX(Master!$J$2:$J$1001,$O104))</f>
      </c>
      <c r="K104">
        <f t="shared" si="2"/>
      </c>
      <c r="L104">
        <f>IF($O104="","",INDEX(Master!$K$2:$K$1001,$O104))</f>
      </c>
      <c r="M104">
        <f>IF($O104="","",INDEX(Master!$L$2:$L$1001,$O104))</f>
      </c>
      <c r="O104">
        <f t="array" ref="O104">IFERROR(SMALL(IF(Master!$A$2:$A$1001="SWADESH",ROW(Master!$A$2:$A$1001)-ROW(Master!$A$2)+1),100),"")</f>
      </c>
      <c r="P104">
        <f t="shared" si="3"/>
      </c>
    </row>
    <row r="105" spans="1:16" x14ac:dyDescent="0.25">
      <c r="A105">
        <f>IF($O105="","",INDEX(Master!$D$2:$D$1001,$O105))</f>
      </c>
      <c r="B105" s="166">
        <f>IF($O105="","",INDEX(Master!$B$2:$B$1001,$O105))</f>
      </c>
      <c r="C105">
        <f>IF($O105="","",INDEX(Master!$C$2:$C$1001,$O105))</f>
      </c>
      <c r="D105">
        <f>IF($O105="","",INDEX(Master!$A$2:$A$1001,$O105))</f>
      </c>
      <c r="E105">
        <f>IF($O105="","",INDEX(Master!$E$2:$E$1001,$O105))</f>
      </c>
      <c r="F105">
        <f>IF($O105="","",INDEX(Master!$F$2:$F$1001,$O105))</f>
      </c>
      <c r="G105">
        <f>IF($O105="","",INDEX(Master!$G$2:$G$1001,$O105))</f>
      </c>
      <c r="H105">
        <f>IF($O105="","",INDEX(Master!$H$2:$H$1001,$O105))</f>
      </c>
      <c r="I105">
        <f>IF($O105="","",INDEX(Master!$I$2:$I$1001,$O105))</f>
      </c>
      <c r="J105">
        <f>IF($O105="","",INDEX(Master!$J$2:$J$1001,$O105))</f>
      </c>
      <c r="K105">
        <f t="shared" si="2"/>
      </c>
      <c r="L105">
        <f>IF($O105="","",INDEX(Master!$K$2:$K$1001,$O105))</f>
      </c>
      <c r="M105">
        <f>IF($O105="","",INDEX(Master!$L$2:$L$1001,$O105))</f>
      </c>
      <c r="O105">
        <f t="array" ref="O105">IFERROR(SMALL(IF(Master!$A$2:$A$1001="SWADESH",ROW(Master!$A$2:$A$1001)-ROW(Master!$A$2)+1),101),"")</f>
      </c>
      <c r="P105">
        <f t="shared" si="3"/>
      </c>
    </row>
    <row r="106" spans="1:16" x14ac:dyDescent="0.25">
      <c r="A106">
        <f>IF($O106="","",INDEX(Master!$D$2:$D$1001,$O106))</f>
      </c>
      <c r="B106" s="166">
        <f>IF($O106="","",INDEX(Master!$B$2:$B$1001,$O106))</f>
      </c>
      <c r="C106">
        <f>IF($O106="","",INDEX(Master!$C$2:$C$1001,$O106))</f>
      </c>
      <c r="D106">
        <f>IF($O106="","",INDEX(Master!$A$2:$A$1001,$O106))</f>
      </c>
      <c r="E106">
        <f>IF($O106="","",INDEX(Master!$E$2:$E$1001,$O106))</f>
      </c>
      <c r="F106">
        <f>IF($O106="","",INDEX(Master!$F$2:$F$1001,$O106))</f>
      </c>
      <c r="G106">
        <f>IF($O106="","",INDEX(Master!$G$2:$G$1001,$O106))</f>
      </c>
      <c r="H106">
        <f>IF($O106="","",INDEX(Master!$H$2:$H$1001,$O106))</f>
      </c>
      <c r="I106">
        <f>IF($O106="","",INDEX(Master!$I$2:$I$1001,$O106))</f>
      </c>
      <c r="J106">
        <f>IF($O106="","",INDEX(Master!$J$2:$J$1001,$O106))</f>
      </c>
      <c r="K106">
        <f t="shared" si="2"/>
      </c>
      <c r="L106">
        <f>IF($O106="","",INDEX(Master!$K$2:$K$1001,$O106))</f>
      </c>
      <c r="M106">
        <f>IF($O106="","",INDEX(Master!$L$2:$L$1001,$O106))</f>
      </c>
      <c r="O106">
        <f t="array" ref="O106">IFERROR(SMALL(IF(Master!$A$2:$A$1001="SWADESH",ROW(Master!$A$2:$A$1001)-ROW(Master!$A$2)+1),102),"")</f>
      </c>
      <c r="P106">
        <f t="shared" si="3"/>
      </c>
    </row>
    <row r="107" spans="1:16" x14ac:dyDescent="0.25">
      <c r="A107">
        <f>IF($O107="","",INDEX(Master!$D$2:$D$1001,$O107))</f>
      </c>
      <c r="B107" s="166">
        <f>IF($O107="","",INDEX(Master!$B$2:$B$1001,$O107))</f>
      </c>
      <c r="C107">
        <f>IF($O107="","",INDEX(Master!$C$2:$C$1001,$O107))</f>
      </c>
      <c r="D107">
        <f>IF($O107="","",INDEX(Master!$A$2:$A$1001,$O107))</f>
      </c>
      <c r="E107">
        <f>IF($O107="","",INDEX(Master!$E$2:$E$1001,$O107))</f>
      </c>
      <c r="F107">
        <f>IF($O107="","",INDEX(Master!$F$2:$F$1001,$O107))</f>
      </c>
      <c r="G107">
        <f>IF($O107="","",INDEX(Master!$G$2:$G$1001,$O107))</f>
      </c>
      <c r="H107">
        <f>IF($O107="","",INDEX(Master!$H$2:$H$1001,$O107))</f>
      </c>
      <c r="I107">
        <f>IF($O107="","",INDEX(Master!$I$2:$I$1001,$O107))</f>
      </c>
      <c r="J107">
        <f>IF($O107="","",INDEX(Master!$J$2:$J$1001,$O107))</f>
      </c>
      <c r="K107">
        <f t="shared" si="2"/>
      </c>
      <c r="L107">
        <f>IF($O107="","",INDEX(Master!$K$2:$K$1001,$O107))</f>
      </c>
      <c r="M107">
        <f>IF($O107="","",INDEX(Master!$L$2:$L$1001,$O107))</f>
      </c>
      <c r="O107">
        <f t="array" ref="O107">IFERROR(SMALL(IF(Master!$A$2:$A$1001="SWADESH",ROW(Master!$A$2:$A$1001)-ROW(Master!$A$2)+1),103),"")</f>
      </c>
      <c r="P107">
        <f t="shared" si="3"/>
      </c>
    </row>
    <row r="108" spans="1:16" x14ac:dyDescent="0.25">
      <c r="A108">
        <f>IF($O108="","",INDEX(Master!$D$2:$D$1001,$O108))</f>
      </c>
      <c r="B108" s="166">
        <f>IF($O108="","",INDEX(Master!$B$2:$B$1001,$O108))</f>
      </c>
      <c r="C108">
        <f>IF($O108="","",INDEX(Master!$C$2:$C$1001,$O108))</f>
      </c>
      <c r="D108">
        <f>IF($O108="","",INDEX(Master!$A$2:$A$1001,$O108))</f>
      </c>
      <c r="E108">
        <f>IF($O108="","",INDEX(Master!$E$2:$E$1001,$O108))</f>
      </c>
      <c r="F108">
        <f>IF($O108="","",INDEX(Master!$F$2:$F$1001,$O108))</f>
      </c>
      <c r="G108">
        <f>IF($O108="","",INDEX(Master!$G$2:$G$1001,$O108))</f>
      </c>
      <c r="H108">
        <f>IF($O108="","",INDEX(Master!$H$2:$H$1001,$O108))</f>
      </c>
      <c r="I108">
        <f>IF($O108="","",INDEX(Master!$I$2:$I$1001,$O108))</f>
      </c>
      <c r="J108">
        <f>IF($O108="","",INDEX(Master!$J$2:$J$1001,$O108))</f>
      </c>
      <c r="K108">
        <f t="shared" si="2"/>
      </c>
      <c r="L108">
        <f>IF($O108="","",INDEX(Master!$K$2:$K$1001,$O108))</f>
      </c>
      <c r="M108">
        <f>IF($O108="","",INDEX(Master!$L$2:$L$1001,$O108))</f>
      </c>
      <c r="O108">
        <f t="array" ref="O108">IFERROR(SMALL(IF(Master!$A$2:$A$1001="SWADESH",ROW(Master!$A$2:$A$1001)-ROW(Master!$A$2)+1),104),"")</f>
      </c>
      <c r="P108">
        <f t="shared" si="3"/>
      </c>
    </row>
    <row r="109" spans="1:16" x14ac:dyDescent="0.25">
      <c r="A109">
        <f>IF($O109="","",INDEX(Master!$D$2:$D$1001,$O109))</f>
      </c>
      <c r="B109" s="166">
        <f>IF($O109="","",INDEX(Master!$B$2:$B$1001,$O109))</f>
      </c>
      <c r="C109">
        <f>IF($O109="","",INDEX(Master!$C$2:$C$1001,$O109))</f>
      </c>
      <c r="D109">
        <f>IF($O109="","",INDEX(Master!$A$2:$A$1001,$O109))</f>
      </c>
      <c r="E109">
        <f>IF($O109="","",INDEX(Master!$E$2:$E$1001,$O109))</f>
      </c>
      <c r="F109">
        <f>IF($O109="","",INDEX(Master!$F$2:$F$1001,$O109))</f>
      </c>
      <c r="G109">
        <f>IF($O109="","",INDEX(Master!$G$2:$G$1001,$O109))</f>
      </c>
      <c r="H109">
        <f>IF($O109="","",INDEX(Master!$H$2:$H$1001,$O109))</f>
      </c>
      <c r="I109">
        <f>IF($O109="","",INDEX(Master!$I$2:$I$1001,$O109))</f>
      </c>
      <c r="J109">
        <f>IF($O109="","",INDEX(Master!$J$2:$J$1001,$O109))</f>
      </c>
      <c r="K109">
        <f t="shared" si="2"/>
      </c>
      <c r="L109">
        <f>IF($O109="","",INDEX(Master!$K$2:$K$1001,$O109))</f>
      </c>
      <c r="M109">
        <f>IF($O109="","",INDEX(Master!$L$2:$L$1001,$O109))</f>
      </c>
      <c r="O109">
        <f t="array" ref="O109">IFERROR(SMALL(IF(Master!$A$2:$A$1001="SWADESH",ROW(Master!$A$2:$A$1001)-ROW(Master!$A$2)+1),105),"")</f>
      </c>
      <c r="P109">
        <f t="shared" si="3"/>
      </c>
    </row>
    <row r="110" spans="1:16" x14ac:dyDescent="0.25">
      <c r="A110">
        <f>IF($O110="","",INDEX(Master!$D$2:$D$1001,$O110))</f>
      </c>
      <c r="B110" s="166">
        <f>IF($O110="","",INDEX(Master!$B$2:$B$1001,$O110))</f>
      </c>
      <c r="C110">
        <f>IF($O110="","",INDEX(Master!$C$2:$C$1001,$O110))</f>
      </c>
      <c r="D110">
        <f>IF($O110="","",INDEX(Master!$A$2:$A$1001,$O110))</f>
      </c>
      <c r="E110">
        <f>IF($O110="","",INDEX(Master!$E$2:$E$1001,$O110))</f>
      </c>
      <c r="F110">
        <f>IF($O110="","",INDEX(Master!$F$2:$F$1001,$O110))</f>
      </c>
      <c r="G110">
        <f>IF($O110="","",INDEX(Master!$G$2:$G$1001,$O110))</f>
      </c>
      <c r="H110">
        <f>IF($O110="","",INDEX(Master!$H$2:$H$1001,$O110))</f>
      </c>
      <c r="I110">
        <f>IF($O110="","",INDEX(Master!$I$2:$I$1001,$O110))</f>
      </c>
      <c r="J110">
        <f>IF($O110="","",INDEX(Master!$J$2:$J$1001,$O110))</f>
      </c>
      <c r="K110">
        <f t="shared" si="2"/>
      </c>
      <c r="L110">
        <f>IF($O110="","",INDEX(Master!$K$2:$K$1001,$O110))</f>
      </c>
      <c r="M110">
        <f>IF($O110="","",INDEX(Master!$L$2:$L$1001,$O110))</f>
      </c>
      <c r="O110">
        <f t="array" ref="O110">IFERROR(SMALL(IF(Master!$A$2:$A$1001="SWADESH",ROW(Master!$A$2:$A$1001)-ROW(Master!$A$2)+1),106),"")</f>
      </c>
      <c r="P110">
        <f t="shared" si="3"/>
      </c>
    </row>
    <row r="111" spans="1:16" x14ac:dyDescent="0.25">
      <c r="A111">
        <f>IF($O111="","",INDEX(Master!$D$2:$D$1001,$O111))</f>
      </c>
      <c r="B111" s="166">
        <f>IF($O111="","",INDEX(Master!$B$2:$B$1001,$O111))</f>
      </c>
      <c r="C111">
        <f>IF($O111="","",INDEX(Master!$C$2:$C$1001,$O111))</f>
      </c>
      <c r="D111">
        <f>IF($O111="","",INDEX(Master!$A$2:$A$1001,$O111))</f>
      </c>
      <c r="E111">
        <f>IF($O111="","",INDEX(Master!$E$2:$E$1001,$O111))</f>
      </c>
      <c r="F111">
        <f>IF($O111="","",INDEX(Master!$F$2:$F$1001,$O111))</f>
      </c>
      <c r="G111">
        <f>IF($O111="","",INDEX(Master!$G$2:$G$1001,$O111))</f>
      </c>
      <c r="H111">
        <f>IF($O111="","",INDEX(Master!$H$2:$H$1001,$O111))</f>
      </c>
      <c r="I111">
        <f>IF($O111="","",INDEX(Master!$I$2:$I$1001,$O111))</f>
      </c>
      <c r="J111">
        <f>IF($O111="","",INDEX(Master!$J$2:$J$1001,$O111))</f>
      </c>
      <c r="K111">
        <f t="shared" si="2"/>
      </c>
      <c r="L111">
        <f>IF($O111="","",INDEX(Master!$K$2:$K$1001,$O111))</f>
      </c>
      <c r="M111">
        <f>IF($O111="","",INDEX(Master!$L$2:$L$1001,$O111))</f>
      </c>
      <c r="O111">
        <f t="array" ref="O111">IFERROR(SMALL(IF(Master!$A$2:$A$1001="SWADESH",ROW(Master!$A$2:$A$1001)-ROW(Master!$A$2)+1),107),"")</f>
      </c>
      <c r="P111">
        <f t="shared" si="3"/>
      </c>
    </row>
    <row r="112" spans="1:16" x14ac:dyDescent="0.25">
      <c r="A112">
        <f>IF($O112="","",INDEX(Master!$D$2:$D$1001,$O112))</f>
      </c>
      <c r="B112" s="166">
        <f>IF($O112="","",INDEX(Master!$B$2:$B$1001,$O112))</f>
      </c>
      <c r="C112">
        <f>IF($O112="","",INDEX(Master!$C$2:$C$1001,$O112))</f>
      </c>
      <c r="D112">
        <f>IF($O112="","",INDEX(Master!$A$2:$A$1001,$O112))</f>
      </c>
      <c r="E112">
        <f>IF($O112="","",INDEX(Master!$E$2:$E$1001,$O112))</f>
      </c>
      <c r="F112">
        <f>IF($O112="","",INDEX(Master!$F$2:$F$1001,$O112))</f>
      </c>
      <c r="G112">
        <f>IF($O112="","",INDEX(Master!$G$2:$G$1001,$O112))</f>
      </c>
      <c r="H112">
        <f>IF($O112="","",INDEX(Master!$H$2:$H$1001,$O112))</f>
      </c>
      <c r="I112">
        <f>IF($O112="","",INDEX(Master!$I$2:$I$1001,$O112))</f>
      </c>
      <c r="J112">
        <f>IF($O112="","",INDEX(Master!$J$2:$J$1001,$O112))</f>
      </c>
      <c r="K112">
        <f t="shared" si="2"/>
      </c>
      <c r="L112">
        <f>IF($O112="","",INDEX(Master!$K$2:$K$1001,$O112))</f>
      </c>
      <c r="M112">
        <f>IF($O112="","",INDEX(Master!$L$2:$L$1001,$O112))</f>
      </c>
      <c r="O112">
        <f t="array" ref="O112">IFERROR(SMALL(IF(Master!$A$2:$A$1001="SWADESH",ROW(Master!$A$2:$A$1001)-ROW(Master!$A$2)+1),108),"")</f>
      </c>
      <c r="P112">
        <f t="shared" si="3"/>
      </c>
    </row>
    <row r="113" spans="1:16" x14ac:dyDescent="0.25">
      <c r="A113">
        <f>IF($O113="","",INDEX(Master!$D$2:$D$1001,$O113))</f>
      </c>
      <c r="B113" s="166">
        <f>IF($O113="","",INDEX(Master!$B$2:$B$1001,$O113))</f>
      </c>
      <c r="C113">
        <f>IF($O113="","",INDEX(Master!$C$2:$C$1001,$O113))</f>
      </c>
      <c r="D113">
        <f>IF($O113="","",INDEX(Master!$A$2:$A$1001,$O113))</f>
      </c>
      <c r="E113">
        <f>IF($O113="","",INDEX(Master!$E$2:$E$1001,$O113))</f>
      </c>
      <c r="F113">
        <f>IF($O113="","",INDEX(Master!$F$2:$F$1001,$O113))</f>
      </c>
      <c r="G113">
        <f>IF($O113="","",INDEX(Master!$G$2:$G$1001,$O113))</f>
      </c>
      <c r="H113">
        <f>IF($O113="","",INDEX(Master!$H$2:$H$1001,$O113))</f>
      </c>
      <c r="I113">
        <f>IF($O113="","",INDEX(Master!$I$2:$I$1001,$O113))</f>
      </c>
      <c r="J113">
        <f>IF($O113="","",INDEX(Master!$J$2:$J$1001,$O113))</f>
      </c>
      <c r="K113">
        <f t="shared" si="2"/>
      </c>
      <c r="L113">
        <f>IF($O113="","",INDEX(Master!$K$2:$K$1001,$O113))</f>
      </c>
      <c r="M113">
        <f>IF($O113="","",INDEX(Master!$L$2:$L$1001,$O113))</f>
      </c>
      <c r="O113">
        <f t="array" ref="O113">IFERROR(SMALL(IF(Master!$A$2:$A$1001="SWADESH",ROW(Master!$A$2:$A$1001)-ROW(Master!$A$2)+1),109),"")</f>
      </c>
      <c r="P113">
        <f t="shared" si="3"/>
      </c>
    </row>
    <row r="114" spans="1:16" x14ac:dyDescent="0.25">
      <c r="A114">
        <f>IF($O114="","",INDEX(Master!$D$2:$D$1001,$O114))</f>
      </c>
      <c r="B114" s="166">
        <f>IF($O114="","",INDEX(Master!$B$2:$B$1001,$O114))</f>
      </c>
      <c r="C114">
        <f>IF($O114="","",INDEX(Master!$C$2:$C$1001,$O114))</f>
      </c>
      <c r="D114">
        <f>IF($O114="","",INDEX(Master!$A$2:$A$1001,$O114))</f>
      </c>
      <c r="E114">
        <f>IF($O114="","",INDEX(Master!$E$2:$E$1001,$O114))</f>
      </c>
      <c r="F114">
        <f>IF($O114="","",INDEX(Master!$F$2:$F$1001,$O114))</f>
      </c>
      <c r="G114">
        <f>IF($O114="","",INDEX(Master!$G$2:$G$1001,$O114))</f>
      </c>
      <c r="H114">
        <f>IF($O114="","",INDEX(Master!$H$2:$H$1001,$O114))</f>
      </c>
      <c r="I114">
        <f>IF($O114="","",INDEX(Master!$I$2:$I$1001,$O114))</f>
      </c>
      <c r="J114">
        <f>IF($O114="","",INDEX(Master!$J$2:$J$1001,$O114))</f>
      </c>
      <c r="K114">
        <f t="shared" si="2"/>
      </c>
      <c r="L114">
        <f>IF($O114="","",INDEX(Master!$K$2:$K$1001,$O114))</f>
      </c>
      <c r="M114">
        <f>IF($O114="","",INDEX(Master!$L$2:$L$1001,$O114))</f>
      </c>
      <c r="O114">
        <f t="array" ref="O114">IFERROR(SMALL(IF(Master!$A$2:$A$1001="SWADESH",ROW(Master!$A$2:$A$1001)-ROW(Master!$A$2)+1),110),"")</f>
      </c>
      <c r="P114">
        <f t="shared" si="3"/>
      </c>
    </row>
    <row r="115" spans="1:16" x14ac:dyDescent="0.25">
      <c r="A115">
        <f>IF($O115="","",INDEX(Master!$D$2:$D$1001,$O115))</f>
      </c>
      <c r="B115" s="166">
        <f>IF($O115="","",INDEX(Master!$B$2:$B$1001,$O115))</f>
      </c>
      <c r="C115">
        <f>IF($O115="","",INDEX(Master!$C$2:$C$1001,$O115))</f>
      </c>
      <c r="D115">
        <f>IF($O115="","",INDEX(Master!$A$2:$A$1001,$O115))</f>
      </c>
      <c r="E115">
        <f>IF($O115="","",INDEX(Master!$E$2:$E$1001,$O115))</f>
      </c>
      <c r="F115">
        <f>IF($O115="","",INDEX(Master!$F$2:$F$1001,$O115))</f>
      </c>
      <c r="G115">
        <f>IF($O115="","",INDEX(Master!$G$2:$G$1001,$O115))</f>
      </c>
      <c r="H115">
        <f>IF($O115="","",INDEX(Master!$H$2:$H$1001,$O115))</f>
      </c>
      <c r="I115">
        <f>IF($O115="","",INDEX(Master!$I$2:$I$1001,$O115))</f>
      </c>
      <c r="J115">
        <f>IF($O115="","",INDEX(Master!$J$2:$J$1001,$O115))</f>
      </c>
      <c r="K115">
        <f t="shared" si="2"/>
      </c>
      <c r="L115">
        <f>IF($O115="","",INDEX(Master!$K$2:$K$1001,$O115))</f>
      </c>
      <c r="M115">
        <f>IF($O115="","",INDEX(Master!$L$2:$L$1001,$O115))</f>
      </c>
      <c r="O115">
        <f t="array" ref="O115">IFERROR(SMALL(IF(Master!$A$2:$A$1001="SWADESH",ROW(Master!$A$2:$A$1001)-ROW(Master!$A$2)+1),111),"")</f>
      </c>
      <c r="P115">
        <f t="shared" si="3"/>
      </c>
    </row>
    <row r="116" spans="1:16" x14ac:dyDescent="0.25">
      <c r="A116">
        <f>IF($O116="","",INDEX(Master!$D$2:$D$1001,$O116))</f>
      </c>
      <c r="B116" s="166">
        <f>IF($O116="","",INDEX(Master!$B$2:$B$1001,$O116))</f>
      </c>
      <c r="C116">
        <f>IF($O116="","",INDEX(Master!$C$2:$C$1001,$O116))</f>
      </c>
      <c r="D116">
        <f>IF($O116="","",INDEX(Master!$A$2:$A$1001,$O116))</f>
      </c>
      <c r="E116">
        <f>IF($O116="","",INDEX(Master!$E$2:$E$1001,$O116))</f>
      </c>
      <c r="F116">
        <f>IF($O116="","",INDEX(Master!$F$2:$F$1001,$O116))</f>
      </c>
      <c r="G116">
        <f>IF($O116="","",INDEX(Master!$G$2:$G$1001,$O116))</f>
      </c>
      <c r="H116">
        <f>IF($O116="","",INDEX(Master!$H$2:$H$1001,$O116))</f>
      </c>
      <c r="I116">
        <f>IF($O116="","",INDEX(Master!$I$2:$I$1001,$O116))</f>
      </c>
      <c r="J116">
        <f>IF($O116="","",INDEX(Master!$J$2:$J$1001,$O116))</f>
      </c>
      <c r="K116">
        <f t="shared" si="2"/>
      </c>
      <c r="L116">
        <f>IF($O116="","",INDEX(Master!$K$2:$K$1001,$O116))</f>
      </c>
      <c r="M116">
        <f>IF($O116="","",INDEX(Master!$L$2:$L$1001,$O116))</f>
      </c>
      <c r="O116">
        <f t="array" ref="O116">IFERROR(SMALL(IF(Master!$A$2:$A$1001="SWADESH",ROW(Master!$A$2:$A$1001)-ROW(Master!$A$2)+1),112),"")</f>
      </c>
      <c r="P116">
        <f t="shared" si="3"/>
      </c>
    </row>
    <row r="117" spans="1:16" x14ac:dyDescent="0.25">
      <c r="A117">
        <f>IF($O117="","",INDEX(Master!$D$2:$D$1001,$O117))</f>
      </c>
      <c r="B117" s="166">
        <f>IF($O117="","",INDEX(Master!$B$2:$B$1001,$O117))</f>
      </c>
      <c r="C117">
        <f>IF($O117="","",INDEX(Master!$C$2:$C$1001,$O117))</f>
      </c>
      <c r="D117">
        <f>IF($O117="","",INDEX(Master!$A$2:$A$1001,$O117))</f>
      </c>
      <c r="E117">
        <f>IF($O117="","",INDEX(Master!$E$2:$E$1001,$O117))</f>
      </c>
      <c r="F117">
        <f>IF($O117="","",INDEX(Master!$F$2:$F$1001,$O117))</f>
      </c>
      <c r="G117">
        <f>IF($O117="","",INDEX(Master!$G$2:$G$1001,$O117))</f>
      </c>
      <c r="H117">
        <f>IF($O117="","",INDEX(Master!$H$2:$H$1001,$O117))</f>
      </c>
      <c r="I117">
        <f>IF($O117="","",INDEX(Master!$I$2:$I$1001,$O117))</f>
      </c>
      <c r="J117">
        <f>IF($O117="","",INDEX(Master!$J$2:$J$1001,$O117))</f>
      </c>
      <c r="K117">
        <f t="shared" si="2"/>
      </c>
      <c r="L117">
        <f>IF($O117="","",INDEX(Master!$K$2:$K$1001,$O117))</f>
      </c>
      <c r="M117">
        <f>IF($O117="","",INDEX(Master!$L$2:$L$1001,$O117))</f>
      </c>
      <c r="O117">
        <f t="array" ref="O117">IFERROR(SMALL(IF(Master!$A$2:$A$1001="SWADESH",ROW(Master!$A$2:$A$1001)-ROW(Master!$A$2)+1),113),"")</f>
      </c>
      <c r="P117">
        <f t="shared" si="3"/>
      </c>
    </row>
    <row r="118" spans="1:16" x14ac:dyDescent="0.25">
      <c r="A118">
        <f>IF($O118="","",INDEX(Master!$D$2:$D$1001,$O118))</f>
      </c>
      <c r="B118" s="166">
        <f>IF($O118="","",INDEX(Master!$B$2:$B$1001,$O118))</f>
      </c>
      <c r="C118">
        <f>IF($O118="","",INDEX(Master!$C$2:$C$1001,$O118))</f>
      </c>
      <c r="D118">
        <f>IF($O118="","",INDEX(Master!$A$2:$A$1001,$O118))</f>
      </c>
      <c r="E118">
        <f>IF($O118="","",INDEX(Master!$E$2:$E$1001,$O118))</f>
      </c>
      <c r="F118">
        <f>IF($O118="","",INDEX(Master!$F$2:$F$1001,$O118))</f>
      </c>
      <c r="G118">
        <f>IF($O118="","",INDEX(Master!$G$2:$G$1001,$O118))</f>
      </c>
      <c r="H118">
        <f>IF($O118="","",INDEX(Master!$H$2:$H$1001,$O118))</f>
      </c>
      <c r="I118">
        <f>IF($O118="","",INDEX(Master!$I$2:$I$1001,$O118))</f>
      </c>
      <c r="J118">
        <f>IF($O118="","",INDEX(Master!$J$2:$J$1001,$O118))</f>
      </c>
      <c r="K118">
        <f t="shared" si="2"/>
      </c>
      <c r="L118">
        <f>IF($O118="","",INDEX(Master!$K$2:$K$1001,$O118))</f>
      </c>
      <c r="M118">
        <f>IF($O118="","",INDEX(Master!$L$2:$L$1001,$O118))</f>
      </c>
      <c r="O118">
        <f t="array" ref="O118">IFERROR(SMALL(IF(Master!$A$2:$A$1001="SWADESH",ROW(Master!$A$2:$A$1001)-ROW(Master!$A$2)+1),114),"")</f>
      </c>
      <c r="P118">
        <f t="shared" si="3"/>
      </c>
    </row>
    <row r="119" spans="1:16" x14ac:dyDescent="0.25">
      <c r="A119">
        <f>IF($O119="","",INDEX(Master!$D$2:$D$1001,$O119))</f>
      </c>
      <c r="B119" s="166">
        <f>IF($O119="","",INDEX(Master!$B$2:$B$1001,$O119))</f>
      </c>
      <c r="C119">
        <f>IF($O119="","",INDEX(Master!$C$2:$C$1001,$O119))</f>
      </c>
      <c r="D119">
        <f>IF($O119="","",INDEX(Master!$A$2:$A$1001,$O119))</f>
      </c>
      <c r="E119">
        <f>IF($O119="","",INDEX(Master!$E$2:$E$1001,$O119))</f>
      </c>
      <c r="F119">
        <f>IF($O119="","",INDEX(Master!$F$2:$F$1001,$O119))</f>
      </c>
      <c r="G119">
        <f>IF($O119="","",INDEX(Master!$G$2:$G$1001,$O119))</f>
      </c>
      <c r="H119">
        <f>IF($O119="","",INDEX(Master!$H$2:$H$1001,$O119))</f>
      </c>
      <c r="I119">
        <f>IF($O119="","",INDEX(Master!$I$2:$I$1001,$O119))</f>
      </c>
      <c r="J119">
        <f>IF($O119="","",INDEX(Master!$J$2:$J$1001,$O119))</f>
      </c>
      <c r="K119">
        <f t="shared" si="2"/>
      </c>
      <c r="L119">
        <f>IF($O119="","",INDEX(Master!$K$2:$K$1001,$O119))</f>
      </c>
      <c r="M119">
        <f>IF($O119="","",INDEX(Master!$L$2:$L$1001,$O119))</f>
      </c>
      <c r="O119">
        <f t="array" ref="O119">IFERROR(SMALL(IF(Master!$A$2:$A$1001="SWADESH",ROW(Master!$A$2:$A$1001)-ROW(Master!$A$2)+1),115),"")</f>
      </c>
      <c r="P119">
        <f t="shared" si="3"/>
      </c>
    </row>
    <row r="120" spans="1:16" x14ac:dyDescent="0.25">
      <c r="A120">
        <f>IF($O120="","",INDEX(Master!$D$2:$D$1001,$O120))</f>
      </c>
      <c r="B120" s="166">
        <f>IF($O120="","",INDEX(Master!$B$2:$B$1001,$O120))</f>
      </c>
      <c r="C120">
        <f>IF($O120="","",INDEX(Master!$C$2:$C$1001,$O120))</f>
      </c>
      <c r="D120">
        <f>IF($O120="","",INDEX(Master!$A$2:$A$1001,$O120))</f>
      </c>
      <c r="E120">
        <f>IF($O120="","",INDEX(Master!$E$2:$E$1001,$O120))</f>
      </c>
      <c r="F120">
        <f>IF($O120="","",INDEX(Master!$F$2:$F$1001,$O120))</f>
      </c>
      <c r="G120">
        <f>IF($O120="","",INDEX(Master!$G$2:$G$1001,$O120))</f>
      </c>
      <c r="H120">
        <f>IF($O120="","",INDEX(Master!$H$2:$H$1001,$O120))</f>
      </c>
      <c r="I120">
        <f>IF($O120="","",INDEX(Master!$I$2:$I$1001,$O120))</f>
      </c>
      <c r="J120">
        <f>IF($O120="","",INDEX(Master!$J$2:$J$1001,$O120))</f>
      </c>
      <c r="K120">
        <f t="shared" si="2"/>
      </c>
      <c r="L120">
        <f>IF($O120="","",INDEX(Master!$K$2:$K$1001,$O120))</f>
      </c>
      <c r="M120">
        <f>IF($O120="","",INDEX(Master!$L$2:$L$1001,$O120))</f>
      </c>
      <c r="O120">
        <f t="array" ref="O120">IFERROR(SMALL(IF(Master!$A$2:$A$1001="SWADESH",ROW(Master!$A$2:$A$1001)-ROW(Master!$A$2)+1),116),"")</f>
      </c>
      <c r="P120">
        <f t="shared" si="3"/>
      </c>
    </row>
    <row r="121" spans="1:16" x14ac:dyDescent="0.25">
      <c r="A121">
        <f>IF($O121="","",INDEX(Master!$D$2:$D$1001,$O121))</f>
      </c>
      <c r="B121" s="166">
        <f>IF($O121="","",INDEX(Master!$B$2:$B$1001,$O121))</f>
      </c>
      <c r="C121">
        <f>IF($O121="","",INDEX(Master!$C$2:$C$1001,$O121))</f>
      </c>
      <c r="D121">
        <f>IF($O121="","",INDEX(Master!$A$2:$A$1001,$O121))</f>
      </c>
      <c r="E121">
        <f>IF($O121="","",INDEX(Master!$E$2:$E$1001,$O121))</f>
      </c>
      <c r="F121">
        <f>IF($O121="","",INDEX(Master!$F$2:$F$1001,$O121))</f>
      </c>
      <c r="G121">
        <f>IF($O121="","",INDEX(Master!$G$2:$G$1001,$O121))</f>
      </c>
      <c r="H121">
        <f>IF($O121="","",INDEX(Master!$H$2:$H$1001,$O121))</f>
      </c>
      <c r="I121">
        <f>IF($O121="","",INDEX(Master!$I$2:$I$1001,$O121))</f>
      </c>
      <c r="J121">
        <f>IF($O121="","",INDEX(Master!$J$2:$J$1001,$O121))</f>
      </c>
      <c r="K121">
        <f t="shared" si="2"/>
      </c>
      <c r="L121">
        <f>IF($O121="","",INDEX(Master!$K$2:$K$1001,$O121))</f>
      </c>
      <c r="M121">
        <f>IF($O121="","",INDEX(Master!$L$2:$L$1001,$O121))</f>
      </c>
      <c r="O121">
        <f t="array" ref="O121">IFERROR(SMALL(IF(Master!$A$2:$A$1001="SWADESH",ROW(Master!$A$2:$A$1001)-ROW(Master!$A$2)+1),117),"")</f>
      </c>
      <c r="P121">
        <f t="shared" si="3"/>
      </c>
    </row>
    <row r="122" spans="1:16" x14ac:dyDescent="0.25">
      <c r="A122">
        <f>IF($O122="","",INDEX(Master!$D$2:$D$1001,$O122))</f>
      </c>
      <c r="B122" s="166">
        <f>IF($O122="","",INDEX(Master!$B$2:$B$1001,$O122))</f>
      </c>
      <c r="C122">
        <f>IF($O122="","",INDEX(Master!$C$2:$C$1001,$O122))</f>
      </c>
      <c r="D122">
        <f>IF($O122="","",INDEX(Master!$A$2:$A$1001,$O122))</f>
      </c>
      <c r="E122">
        <f>IF($O122="","",INDEX(Master!$E$2:$E$1001,$O122))</f>
      </c>
      <c r="F122">
        <f>IF($O122="","",INDEX(Master!$F$2:$F$1001,$O122))</f>
      </c>
      <c r="G122">
        <f>IF($O122="","",INDEX(Master!$G$2:$G$1001,$O122))</f>
      </c>
      <c r="H122">
        <f>IF($O122="","",INDEX(Master!$H$2:$H$1001,$O122))</f>
      </c>
      <c r="I122">
        <f>IF($O122="","",INDEX(Master!$I$2:$I$1001,$O122))</f>
      </c>
      <c r="J122">
        <f>IF($O122="","",INDEX(Master!$J$2:$J$1001,$O122))</f>
      </c>
      <c r="K122">
        <f t="shared" si="2"/>
      </c>
      <c r="L122">
        <f>IF($O122="","",INDEX(Master!$K$2:$K$1001,$O122))</f>
      </c>
      <c r="M122">
        <f>IF($O122="","",INDEX(Master!$L$2:$L$1001,$O122))</f>
      </c>
      <c r="O122">
        <f t="array" ref="O122">IFERROR(SMALL(IF(Master!$A$2:$A$1001="SWADESH",ROW(Master!$A$2:$A$1001)-ROW(Master!$A$2)+1),118),"")</f>
      </c>
      <c r="P122">
        <f t="shared" si="3"/>
      </c>
    </row>
    <row r="123" spans="1:16" x14ac:dyDescent="0.25">
      <c r="A123">
        <f>IF($O123="","",INDEX(Master!$D$2:$D$1001,$O123))</f>
      </c>
      <c r="B123" s="166">
        <f>IF($O123="","",INDEX(Master!$B$2:$B$1001,$O123))</f>
      </c>
      <c r="C123">
        <f>IF($O123="","",INDEX(Master!$C$2:$C$1001,$O123))</f>
      </c>
      <c r="D123">
        <f>IF($O123="","",INDEX(Master!$A$2:$A$1001,$O123))</f>
      </c>
      <c r="E123">
        <f>IF($O123="","",INDEX(Master!$E$2:$E$1001,$O123))</f>
      </c>
      <c r="F123">
        <f>IF($O123="","",INDEX(Master!$F$2:$F$1001,$O123))</f>
      </c>
      <c r="G123">
        <f>IF($O123="","",INDEX(Master!$G$2:$G$1001,$O123))</f>
      </c>
      <c r="H123">
        <f>IF($O123="","",INDEX(Master!$H$2:$H$1001,$O123))</f>
      </c>
      <c r="I123">
        <f>IF($O123="","",INDEX(Master!$I$2:$I$1001,$O123))</f>
      </c>
      <c r="J123">
        <f>IF($O123="","",INDEX(Master!$J$2:$J$1001,$O123))</f>
      </c>
      <c r="K123">
        <f t="shared" si="2"/>
      </c>
      <c r="L123">
        <f>IF($O123="","",INDEX(Master!$K$2:$K$1001,$O123))</f>
      </c>
      <c r="M123">
        <f>IF($O123="","",INDEX(Master!$L$2:$L$1001,$O123))</f>
      </c>
      <c r="O123">
        <f t="array" ref="O123">IFERROR(SMALL(IF(Master!$A$2:$A$1001="SWADESH",ROW(Master!$A$2:$A$1001)-ROW(Master!$A$2)+1),119),"")</f>
      </c>
      <c r="P123">
        <f t="shared" si="3"/>
      </c>
    </row>
    <row r="124" spans="1:16" x14ac:dyDescent="0.25">
      <c r="A124">
        <f>IF($O124="","",INDEX(Master!$D$2:$D$1001,$O124))</f>
      </c>
      <c r="B124" s="166">
        <f>IF($O124="","",INDEX(Master!$B$2:$B$1001,$O124))</f>
      </c>
      <c r="C124">
        <f>IF($O124="","",INDEX(Master!$C$2:$C$1001,$O124))</f>
      </c>
      <c r="D124">
        <f>IF($O124="","",INDEX(Master!$A$2:$A$1001,$O124))</f>
      </c>
      <c r="E124">
        <f>IF($O124="","",INDEX(Master!$E$2:$E$1001,$O124))</f>
      </c>
      <c r="F124">
        <f>IF($O124="","",INDEX(Master!$F$2:$F$1001,$O124))</f>
      </c>
      <c r="G124">
        <f>IF($O124="","",INDEX(Master!$G$2:$G$1001,$O124))</f>
      </c>
      <c r="H124">
        <f>IF($O124="","",INDEX(Master!$H$2:$H$1001,$O124))</f>
      </c>
      <c r="I124">
        <f>IF($O124="","",INDEX(Master!$I$2:$I$1001,$O124))</f>
      </c>
      <c r="J124">
        <f>IF($O124="","",INDEX(Master!$J$2:$J$1001,$O124))</f>
      </c>
      <c r="K124">
        <f t="shared" si="2"/>
      </c>
      <c r="L124">
        <f>IF($O124="","",INDEX(Master!$K$2:$K$1001,$O124))</f>
      </c>
      <c r="M124">
        <f>IF($O124="","",INDEX(Master!$L$2:$L$1001,$O124))</f>
      </c>
      <c r="O124">
        <f t="array" ref="O124">IFERROR(SMALL(IF(Master!$A$2:$A$1001="SWADESH",ROW(Master!$A$2:$A$1001)-ROW(Master!$A$2)+1),120),"")</f>
      </c>
      <c r="P124">
        <f t="shared" si="3"/>
      </c>
    </row>
    <row r="125" spans="1:16" x14ac:dyDescent="0.25">
      <c r="A125">
        <f>IF($O125="","",INDEX(Master!$D$2:$D$1001,$O125))</f>
      </c>
      <c r="B125" s="166">
        <f>IF($O125="","",INDEX(Master!$B$2:$B$1001,$O125))</f>
      </c>
      <c r="C125">
        <f>IF($O125="","",INDEX(Master!$C$2:$C$1001,$O125))</f>
      </c>
      <c r="D125">
        <f>IF($O125="","",INDEX(Master!$A$2:$A$1001,$O125))</f>
      </c>
      <c r="E125">
        <f>IF($O125="","",INDEX(Master!$E$2:$E$1001,$O125))</f>
      </c>
      <c r="F125">
        <f>IF($O125="","",INDEX(Master!$F$2:$F$1001,$O125))</f>
      </c>
      <c r="G125">
        <f>IF($O125="","",INDEX(Master!$G$2:$G$1001,$O125))</f>
      </c>
      <c r="H125">
        <f>IF($O125="","",INDEX(Master!$H$2:$H$1001,$O125))</f>
      </c>
      <c r="I125">
        <f>IF($O125="","",INDEX(Master!$I$2:$I$1001,$O125))</f>
      </c>
      <c r="J125">
        <f>IF($O125="","",INDEX(Master!$J$2:$J$1001,$O125))</f>
      </c>
      <c r="K125">
        <f t="shared" si="2"/>
      </c>
      <c r="L125">
        <f>IF($O125="","",INDEX(Master!$K$2:$K$1001,$O125))</f>
      </c>
      <c r="M125">
        <f>IF($O125="","",INDEX(Master!$L$2:$L$1001,$O125))</f>
      </c>
      <c r="O125">
        <f t="array" ref="O125">IFERROR(SMALL(IF(Master!$A$2:$A$1001="SWADESH",ROW(Master!$A$2:$A$1001)-ROW(Master!$A$2)+1),121),"")</f>
      </c>
      <c r="P125">
        <f t="shared" si="3"/>
      </c>
    </row>
    <row r="126" spans="1:16" x14ac:dyDescent="0.25">
      <c r="A126">
        <f>IF($O126="","",INDEX(Master!$D$2:$D$1001,$O126))</f>
      </c>
      <c r="B126" s="166">
        <f>IF($O126="","",INDEX(Master!$B$2:$B$1001,$O126))</f>
      </c>
      <c r="C126">
        <f>IF($O126="","",INDEX(Master!$C$2:$C$1001,$O126))</f>
      </c>
      <c r="D126">
        <f>IF($O126="","",INDEX(Master!$A$2:$A$1001,$O126))</f>
      </c>
      <c r="E126">
        <f>IF($O126="","",INDEX(Master!$E$2:$E$1001,$O126))</f>
      </c>
      <c r="F126">
        <f>IF($O126="","",INDEX(Master!$F$2:$F$1001,$O126))</f>
      </c>
      <c r="G126">
        <f>IF($O126="","",INDEX(Master!$G$2:$G$1001,$O126))</f>
      </c>
      <c r="H126">
        <f>IF($O126="","",INDEX(Master!$H$2:$H$1001,$O126))</f>
      </c>
      <c r="I126">
        <f>IF($O126="","",INDEX(Master!$I$2:$I$1001,$O126))</f>
      </c>
      <c r="J126">
        <f>IF($O126="","",INDEX(Master!$J$2:$J$1001,$O126))</f>
      </c>
      <c r="K126">
        <f t="shared" si="2"/>
      </c>
      <c r="L126">
        <f>IF($O126="","",INDEX(Master!$K$2:$K$1001,$O126))</f>
      </c>
      <c r="M126">
        <f>IF($O126="","",INDEX(Master!$L$2:$L$1001,$O126))</f>
      </c>
      <c r="O126">
        <f t="array" ref="O126">IFERROR(SMALL(IF(Master!$A$2:$A$1001="SWADESH",ROW(Master!$A$2:$A$1001)-ROW(Master!$A$2)+1),122),"")</f>
      </c>
      <c r="P126">
        <f t="shared" si="3"/>
      </c>
    </row>
    <row r="127" spans="1:16" x14ac:dyDescent="0.25">
      <c r="A127">
        <f>IF($O127="","",INDEX(Master!$D$2:$D$1001,$O127))</f>
      </c>
      <c r="B127" s="166">
        <f>IF($O127="","",INDEX(Master!$B$2:$B$1001,$O127))</f>
      </c>
      <c r="C127">
        <f>IF($O127="","",INDEX(Master!$C$2:$C$1001,$O127))</f>
      </c>
      <c r="D127">
        <f>IF($O127="","",INDEX(Master!$A$2:$A$1001,$O127))</f>
      </c>
      <c r="E127">
        <f>IF($O127="","",INDEX(Master!$E$2:$E$1001,$O127))</f>
      </c>
      <c r="F127">
        <f>IF($O127="","",INDEX(Master!$F$2:$F$1001,$O127))</f>
      </c>
      <c r="G127">
        <f>IF($O127="","",INDEX(Master!$G$2:$G$1001,$O127))</f>
      </c>
      <c r="H127">
        <f>IF($O127="","",INDEX(Master!$H$2:$H$1001,$O127))</f>
      </c>
      <c r="I127">
        <f>IF($O127="","",INDEX(Master!$I$2:$I$1001,$O127))</f>
      </c>
      <c r="J127">
        <f>IF($O127="","",INDEX(Master!$J$2:$J$1001,$O127))</f>
      </c>
      <c r="K127">
        <f t="shared" si="2"/>
      </c>
      <c r="L127">
        <f>IF($O127="","",INDEX(Master!$K$2:$K$1001,$O127))</f>
      </c>
      <c r="M127">
        <f>IF($O127="","",INDEX(Master!$L$2:$L$1001,$O127))</f>
      </c>
      <c r="O127">
        <f t="array" ref="O127">IFERROR(SMALL(IF(Master!$A$2:$A$1001="SWADESH",ROW(Master!$A$2:$A$1001)-ROW(Master!$A$2)+1),123),"")</f>
      </c>
      <c r="P127">
        <f t="shared" si="3"/>
      </c>
    </row>
    <row r="128" spans="1:16" x14ac:dyDescent="0.25">
      <c r="A128">
        <f>IF($O128="","",INDEX(Master!$D$2:$D$1001,$O128))</f>
      </c>
      <c r="B128" s="166">
        <f>IF($O128="","",INDEX(Master!$B$2:$B$1001,$O128))</f>
      </c>
      <c r="C128">
        <f>IF($O128="","",INDEX(Master!$C$2:$C$1001,$O128))</f>
      </c>
      <c r="D128">
        <f>IF($O128="","",INDEX(Master!$A$2:$A$1001,$O128))</f>
      </c>
      <c r="E128">
        <f>IF($O128="","",INDEX(Master!$E$2:$E$1001,$O128))</f>
      </c>
      <c r="F128">
        <f>IF($O128="","",INDEX(Master!$F$2:$F$1001,$O128))</f>
      </c>
      <c r="G128">
        <f>IF($O128="","",INDEX(Master!$G$2:$G$1001,$O128))</f>
      </c>
      <c r="H128">
        <f>IF($O128="","",INDEX(Master!$H$2:$H$1001,$O128))</f>
      </c>
      <c r="I128">
        <f>IF($O128="","",INDEX(Master!$I$2:$I$1001,$O128))</f>
      </c>
      <c r="J128">
        <f>IF($O128="","",INDEX(Master!$J$2:$J$1001,$O128))</f>
      </c>
      <c r="K128">
        <f t="shared" si="2"/>
      </c>
      <c r="L128">
        <f>IF($O128="","",INDEX(Master!$K$2:$K$1001,$O128))</f>
      </c>
      <c r="M128">
        <f>IF($O128="","",INDEX(Master!$L$2:$L$1001,$O128))</f>
      </c>
      <c r="O128">
        <f t="array" ref="O128">IFERROR(SMALL(IF(Master!$A$2:$A$1001="SWADESH",ROW(Master!$A$2:$A$1001)-ROW(Master!$A$2)+1),124),"")</f>
      </c>
      <c r="P128">
        <f t="shared" si="3"/>
      </c>
    </row>
    <row r="129" spans="1:16" x14ac:dyDescent="0.25">
      <c r="A129">
        <f>IF($O129="","",INDEX(Master!$D$2:$D$1001,$O129))</f>
      </c>
      <c r="B129" s="166">
        <f>IF($O129="","",INDEX(Master!$B$2:$B$1001,$O129))</f>
      </c>
      <c r="C129">
        <f>IF($O129="","",INDEX(Master!$C$2:$C$1001,$O129))</f>
      </c>
      <c r="D129">
        <f>IF($O129="","",INDEX(Master!$A$2:$A$1001,$O129))</f>
      </c>
      <c r="E129">
        <f>IF($O129="","",INDEX(Master!$E$2:$E$1001,$O129))</f>
      </c>
      <c r="F129">
        <f>IF($O129="","",INDEX(Master!$F$2:$F$1001,$O129))</f>
      </c>
      <c r="G129">
        <f>IF($O129="","",INDEX(Master!$G$2:$G$1001,$O129))</f>
      </c>
      <c r="H129">
        <f>IF($O129="","",INDEX(Master!$H$2:$H$1001,$O129))</f>
      </c>
      <c r="I129">
        <f>IF($O129="","",INDEX(Master!$I$2:$I$1001,$O129))</f>
      </c>
      <c r="J129">
        <f>IF($O129="","",INDEX(Master!$J$2:$J$1001,$O129))</f>
      </c>
      <c r="K129">
        <f t="shared" si="2"/>
      </c>
      <c r="L129">
        <f>IF($O129="","",INDEX(Master!$K$2:$K$1001,$O129))</f>
      </c>
      <c r="M129">
        <f>IF($O129="","",INDEX(Master!$L$2:$L$1001,$O129))</f>
      </c>
      <c r="O129">
        <f t="array" ref="O129">IFERROR(SMALL(IF(Master!$A$2:$A$1001="SWADESH",ROW(Master!$A$2:$A$1001)-ROW(Master!$A$2)+1),125),"")</f>
      </c>
      <c r="P129">
        <f t="shared" si="3"/>
      </c>
    </row>
    <row r="130" spans="1:16" x14ac:dyDescent="0.25">
      <c r="A130">
        <f>IF($O130="","",INDEX(Master!$D$2:$D$1001,$O130))</f>
      </c>
      <c r="B130" s="166">
        <f>IF($O130="","",INDEX(Master!$B$2:$B$1001,$O130))</f>
      </c>
      <c r="C130">
        <f>IF($O130="","",INDEX(Master!$C$2:$C$1001,$O130))</f>
      </c>
      <c r="D130">
        <f>IF($O130="","",INDEX(Master!$A$2:$A$1001,$O130))</f>
      </c>
      <c r="E130">
        <f>IF($O130="","",INDEX(Master!$E$2:$E$1001,$O130))</f>
      </c>
      <c r="F130">
        <f>IF($O130="","",INDEX(Master!$F$2:$F$1001,$O130))</f>
      </c>
      <c r="G130">
        <f>IF($O130="","",INDEX(Master!$G$2:$G$1001,$O130))</f>
      </c>
      <c r="H130">
        <f>IF($O130="","",INDEX(Master!$H$2:$H$1001,$O130))</f>
      </c>
      <c r="I130">
        <f>IF($O130="","",INDEX(Master!$I$2:$I$1001,$O130))</f>
      </c>
      <c r="J130">
        <f>IF($O130="","",INDEX(Master!$J$2:$J$1001,$O130))</f>
      </c>
      <c r="K130">
        <f t="shared" si="2"/>
      </c>
      <c r="L130">
        <f>IF($O130="","",INDEX(Master!$K$2:$K$1001,$O130))</f>
      </c>
      <c r="M130">
        <f>IF($O130="","",INDEX(Master!$L$2:$L$1001,$O130))</f>
      </c>
      <c r="O130">
        <f t="array" ref="O130">IFERROR(SMALL(IF(Master!$A$2:$A$1001="SWADESH",ROW(Master!$A$2:$A$1001)-ROW(Master!$A$2)+1),126),"")</f>
      </c>
      <c r="P130">
        <f t="shared" si="3"/>
      </c>
    </row>
    <row r="131" spans="1:16" x14ac:dyDescent="0.25">
      <c r="A131">
        <f>IF($O131="","",INDEX(Master!$D$2:$D$1001,$O131))</f>
      </c>
      <c r="B131" s="166">
        <f>IF($O131="","",INDEX(Master!$B$2:$B$1001,$O131))</f>
      </c>
      <c r="C131">
        <f>IF($O131="","",INDEX(Master!$C$2:$C$1001,$O131))</f>
      </c>
      <c r="D131">
        <f>IF($O131="","",INDEX(Master!$A$2:$A$1001,$O131))</f>
      </c>
      <c r="E131">
        <f>IF($O131="","",INDEX(Master!$E$2:$E$1001,$O131))</f>
      </c>
      <c r="F131">
        <f>IF($O131="","",INDEX(Master!$F$2:$F$1001,$O131))</f>
      </c>
      <c r="G131">
        <f>IF($O131="","",INDEX(Master!$G$2:$G$1001,$O131))</f>
      </c>
      <c r="H131">
        <f>IF($O131="","",INDEX(Master!$H$2:$H$1001,$O131))</f>
      </c>
      <c r="I131">
        <f>IF($O131="","",INDEX(Master!$I$2:$I$1001,$O131))</f>
      </c>
      <c r="J131">
        <f>IF($O131="","",INDEX(Master!$J$2:$J$1001,$O131))</f>
      </c>
      <c r="K131">
        <f t="shared" si="2"/>
      </c>
      <c r="L131">
        <f>IF($O131="","",INDEX(Master!$K$2:$K$1001,$O131))</f>
      </c>
      <c r="M131">
        <f>IF($O131="","",INDEX(Master!$L$2:$L$1001,$O131))</f>
      </c>
      <c r="O131">
        <f t="array" ref="O131">IFERROR(SMALL(IF(Master!$A$2:$A$1001="SWADESH",ROW(Master!$A$2:$A$1001)-ROW(Master!$A$2)+1),127),"")</f>
      </c>
      <c r="P131">
        <f t="shared" si="3"/>
      </c>
    </row>
    <row r="132" spans="1:16" x14ac:dyDescent="0.25">
      <c r="A132">
        <f>IF($O132="","",INDEX(Master!$D$2:$D$1001,$O132))</f>
      </c>
      <c r="B132" s="166">
        <f>IF($O132="","",INDEX(Master!$B$2:$B$1001,$O132))</f>
      </c>
      <c r="C132">
        <f>IF($O132="","",INDEX(Master!$C$2:$C$1001,$O132))</f>
      </c>
      <c r="D132">
        <f>IF($O132="","",INDEX(Master!$A$2:$A$1001,$O132))</f>
      </c>
      <c r="E132">
        <f>IF($O132="","",INDEX(Master!$E$2:$E$1001,$O132))</f>
      </c>
      <c r="F132">
        <f>IF($O132="","",INDEX(Master!$F$2:$F$1001,$O132))</f>
      </c>
      <c r="G132">
        <f>IF($O132="","",INDEX(Master!$G$2:$G$1001,$O132))</f>
      </c>
      <c r="H132">
        <f>IF($O132="","",INDEX(Master!$H$2:$H$1001,$O132))</f>
      </c>
      <c r="I132">
        <f>IF($O132="","",INDEX(Master!$I$2:$I$1001,$O132))</f>
      </c>
      <c r="J132">
        <f>IF($O132="","",INDEX(Master!$J$2:$J$1001,$O132))</f>
      </c>
      <c r="K132">
        <f t="shared" si="2"/>
      </c>
      <c r="L132">
        <f>IF($O132="","",INDEX(Master!$K$2:$K$1001,$O132))</f>
      </c>
      <c r="M132">
        <f>IF($O132="","",INDEX(Master!$L$2:$L$1001,$O132))</f>
      </c>
      <c r="O132">
        <f t="array" ref="O132">IFERROR(SMALL(IF(Master!$A$2:$A$1001="SWADESH",ROW(Master!$A$2:$A$1001)-ROW(Master!$A$2)+1),128),"")</f>
      </c>
      <c r="P132">
        <f t="shared" si="3"/>
      </c>
    </row>
    <row r="133" spans="1:16" x14ac:dyDescent="0.25">
      <c r="A133">
        <f>IF($O133="","",INDEX(Master!$D$2:$D$1001,$O133))</f>
      </c>
      <c r="B133" s="166">
        <f>IF($O133="","",INDEX(Master!$B$2:$B$1001,$O133))</f>
      </c>
      <c r="C133">
        <f>IF($O133="","",INDEX(Master!$C$2:$C$1001,$O133))</f>
      </c>
      <c r="D133">
        <f>IF($O133="","",INDEX(Master!$A$2:$A$1001,$O133))</f>
      </c>
      <c r="E133">
        <f>IF($O133="","",INDEX(Master!$E$2:$E$1001,$O133))</f>
      </c>
      <c r="F133">
        <f>IF($O133="","",INDEX(Master!$F$2:$F$1001,$O133))</f>
      </c>
      <c r="G133">
        <f>IF($O133="","",INDEX(Master!$G$2:$G$1001,$O133))</f>
      </c>
      <c r="H133">
        <f>IF($O133="","",INDEX(Master!$H$2:$H$1001,$O133))</f>
      </c>
      <c r="I133">
        <f>IF($O133="","",INDEX(Master!$I$2:$I$1001,$O133))</f>
      </c>
      <c r="J133">
        <f>IF($O133="","",INDEX(Master!$J$2:$J$1001,$O133))</f>
      </c>
      <c r="K133">
        <f t="shared" ref="K133:K196" si="4">IF(OR($O133="",$F133="",$F133=0),"",$H133/$F133)</f>
      </c>
      <c r="L133">
        <f>IF($O133="","",INDEX(Master!$K$2:$K$1001,$O133))</f>
      </c>
      <c r="M133">
        <f>IF($O133="","",INDEX(Master!$L$2:$L$1001,$O133))</f>
      </c>
      <c r="O133">
        <f t="array" ref="O133">IFERROR(SMALL(IF(Master!$A$2:$A$1001="SWADESH",ROW(Master!$A$2:$A$1001)-ROW(Master!$A$2)+1),129),"")</f>
      </c>
      <c r="P133">
        <f t="shared" ref="P133:P196" si="5">IF($A133="",0,IF(OR(AND($E133&lt;&gt;"",OR($E133&gt;0.15)),AND($F133&lt;&gt;"",OR($F133&gt;0.045)),AND($G133&lt;&gt;"",OR($G133&gt;0.08)),AND($H133&lt;&gt;"",$H133&lt;0.5),AND($J133&lt;&gt;"",OR($J133&lt;0.1))),1,0))</f>
      </c>
    </row>
    <row r="134" spans="1:16" x14ac:dyDescent="0.25">
      <c r="A134">
        <f>IF($O134="","",INDEX(Master!$D$2:$D$1001,$O134))</f>
      </c>
      <c r="B134" s="166">
        <f>IF($O134="","",INDEX(Master!$B$2:$B$1001,$O134))</f>
      </c>
      <c r="C134">
        <f>IF($O134="","",INDEX(Master!$C$2:$C$1001,$O134))</f>
      </c>
      <c r="D134">
        <f>IF($O134="","",INDEX(Master!$A$2:$A$1001,$O134))</f>
      </c>
      <c r="E134">
        <f>IF($O134="","",INDEX(Master!$E$2:$E$1001,$O134))</f>
      </c>
      <c r="F134">
        <f>IF($O134="","",INDEX(Master!$F$2:$F$1001,$O134))</f>
      </c>
      <c r="G134">
        <f>IF($O134="","",INDEX(Master!$G$2:$G$1001,$O134))</f>
      </c>
      <c r="H134">
        <f>IF($O134="","",INDEX(Master!$H$2:$H$1001,$O134))</f>
      </c>
      <c r="I134">
        <f>IF($O134="","",INDEX(Master!$I$2:$I$1001,$O134))</f>
      </c>
      <c r="J134">
        <f>IF($O134="","",INDEX(Master!$J$2:$J$1001,$O134))</f>
      </c>
      <c r="K134">
        <f t="shared" si="4"/>
      </c>
      <c r="L134">
        <f>IF($O134="","",INDEX(Master!$K$2:$K$1001,$O134))</f>
      </c>
      <c r="M134">
        <f>IF($O134="","",INDEX(Master!$L$2:$L$1001,$O134))</f>
      </c>
      <c r="O134">
        <f t="array" ref="O134">IFERROR(SMALL(IF(Master!$A$2:$A$1001="SWADESH",ROW(Master!$A$2:$A$1001)-ROW(Master!$A$2)+1),130),"")</f>
      </c>
      <c r="P134">
        <f t="shared" si="5"/>
      </c>
    </row>
    <row r="135" spans="1:16" x14ac:dyDescent="0.25">
      <c r="A135">
        <f>IF($O135="","",INDEX(Master!$D$2:$D$1001,$O135))</f>
      </c>
      <c r="B135" s="166">
        <f>IF($O135="","",INDEX(Master!$B$2:$B$1001,$O135))</f>
      </c>
      <c r="C135">
        <f>IF($O135="","",INDEX(Master!$C$2:$C$1001,$O135))</f>
      </c>
      <c r="D135">
        <f>IF($O135="","",INDEX(Master!$A$2:$A$1001,$O135))</f>
      </c>
      <c r="E135">
        <f>IF($O135="","",INDEX(Master!$E$2:$E$1001,$O135))</f>
      </c>
      <c r="F135">
        <f>IF($O135="","",INDEX(Master!$F$2:$F$1001,$O135))</f>
      </c>
      <c r="G135">
        <f>IF($O135="","",INDEX(Master!$G$2:$G$1001,$O135))</f>
      </c>
      <c r="H135">
        <f>IF($O135="","",INDEX(Master!$H$2:$H$1001,$O135))</f>
      </c>
      <c r="I135">
        <f>IF($O135="","",INDEX(Master!$I$2:$I$1001,$O135))</f>
      </c>
      <c r="J135">
        <f>IF($O135="","",INDEX(Master!$J$2:$J$1001,$O135))</f>
      </c>
      <c r="K135">
        <f t="shared" si="4"/>
      </c>
      <c r="L135">
        <f>IF($O135="","",INDEX(Master!$K$2:$K$1001,$O135))</f>
      </c>
      <c r="M135">
        <f>IF($O135="","",INDEX(Master!$L$2:$L$1001,$O135))</f>
      </c>
      <c r="O135">
        <f t="array" ref="O135">IFERROR(SMALL(IF(Master!$A$2:$A$1001="SWADESH",ROW(Master!$A$2:$A$1001)-ROW(Master!$A$2)+1),131),"")</f>
      </c>
      <c r="P135">
        <f t="shared" si="5"/>
      </c>
    </row>
    <row r="136" spans="1:16" x14ac:dyDescent="0.25">
      <c r="A136">
        <f>IF($O136="","",INDEX(Master!$D$2:$D$1001,$O136))</f>
      </c>
      <c r="B136" s="166">
        <f>IF($O136="","",INDEX(Master!$B$2:$B$1001,$O136))</f>
      </c>
      <c r="C136">
        <f>IF($O136="","",INDEX(Master!$C$2:$C$1001,$O136))</f>
      </c>
      <c r="D136">
        <f>IF($O136="","",INDEX(Master!$A$2:$A$1001,$O136))</f>
      </c>
      <c r="E136">
        <f>IF($O136="","",INDEX(Master!$E$2:$E$1001,$O136))</f>
      </c>
      <c r="F136">
        <f>IF($O136="","",INDEX(Master!$F$2:$F$1001,$O136))</f>
      </c>
      <c r="G136">
        <f>IF($O136="","",INDEX(Master!$G$2:$G$1001,$O136))</f>
      </c>
      <c r="H136">
        <f>IF($O136="","",INDEX(Master!$H$2:$H$1001,$O136))</f>
      </c>
      <c r="I136">
        <f>IF($O136="","",INDEX(Master!$I$2:$I$1001,$O136))</f>
      </c>
      <c r="J136">
        <f>IF($O136="","",INDEX(Master!$J$2:$J$1001,$O136))</f>
      </c>
      <c r="K136">
        <f t="shared" si="4"/>
      </c>
      <c r="L136">
        <f>IF($O136="","",INDEX(Master!$K$2:$K$1001,$O136))</f>
      </c>
      <c r="M136">
        <f>IF($O136="","",INDEX(Master!$L$2:$L$1001,$O136))</f>
      </c>
      <c r="O136">
        <f t="array" ref="O136">IFERROR(SMALL(IF(Master!$A$2:$A$1001="SWADESH",ROW(Master!$A$2:$A$1001)-ROW(Master!$A$2)+1),132),"")</f>
      </c>
      <c r="P136">
        <f t="shared" si="5"/>
      </c>
    </row>
    <row r="137" spans="1:16" x14ac:dyDescent="0.25">
      <c r="A137">
        <f>IF($O137="","",INDEX(Master!$D$2:$D$1001,$O137))</f>
      </c>
      <c r="B137" s="166">
        <f>IF($O137="","",INDEX(Master!$B$2:$B$1001,$O137))</f>
      </c>
      <c r="C137">
        <f>IF($O137="","",INDEX(Master!$C$2:$C$1001,$O137))</f>
      </c>
      <c r="D137">
        <f>IF($O137="","",INDEX(Master!$A$2:$A$1001,$O137))</f>
      </c>
      <c r="E137">
        <f>IF($O137="","",INDEX(Master!$E$2:$E$1001,$O137))</f>
      </c>
      <c r="F137">
        <f>IF($O137="","",INDEX(Master!$F$2:$F$1001,$O137))</f>
      </c>
      <c r="G137">
        <f>IF($O137="","",INDEX(Master!$G$2:$G$1001,$O137))</f>
      </c>
      <c r="H137">
        <f>IF($O137="","",INDEX(Master!$H$2:$H$1001,$O137))</f>
      </c>
      <c r="I137">
        <f>IF($O137="","",INDEX(Master!$I$2:$I$1001,$O137))</f>
      </c>
      <c r="J137">
        <f>IF($O137="","",INDEX(Master!$J$2:$J$1001,$O137))</f>
      </c>
      <c r="K137">
        <f t="shared" si="4"/>
      </c>
      <c r="L137">
        <f>IF($O137="","",INDEX(Master!$K$2:$K$1001,$O137))</f>
      </c>
      <c r="M137">
        <f>IF($O137="","",INDEX(Master!$L$2:$L$1001,$O137))</f>
      </c>
      <c r="O137">
        <f t="array" ref="O137">IFERROR(SMALL(IF(Master!$A$2:$A$1001="SWADESH",ROW(Master!$A$2:$A$1001)-ROW(Master!$A$2)+1),133),"")</f>
      </c>
      <c r="P137">
        <f t="shared" si="5"/>
      </c>
    </row>
    <row r="138" spans="1:16" x14ac:dyDescent="0.25">
      <c r="A138">
        <f>IF($O138="","",INDEX(Master!$D$2:$D$1001,$O138))</f>
      </c>
      <c r="B138" s="166">
        <f>IF($O138="","",INDEX(Master!$B$2:$B$1001,$O138))</f>
      </c>
      <c r="C138">
        <f>IF($O138="","",INDEX(Master!$C$2:$C$1001,$O138))</f>
      </c>
      <c r="D138">
        <f>IF($O138="","",INDEX(Master!$A$2:$A$1001,$O138))</f>
      </c>
      <c r="E138">
        <f>IF($O138="","",INDEX(Master!$E$2:$E$1001,$O138))</f>
      </c>
      <c r="F138">
        <f>IF($O138="","",INDEX(Master!$F$2:$F$1001,$O138))</f>
      </c>
      <c r="G138">
        <f>IF($O138="","",INDEX(Master!$G$2:$G$1001,$O138))</f>
      </c>
      <c r="H138">
        <f>IF($O138="","",INDEX(Master!$H$2:$H$1001,$O138))</f>
      </c>
      <c r="I138">
        <f>IF($O138="","",INDEX(Master!$I$2:$I$1001,$O138))</f>
      </c>
      <c r="J138">
        <f>IF($O138="","",INDEX(Master!$J$2:$J$1001,$O138))</f>
      </c>
      <c r="K138">
        <f t="shared" si="4"/>
      </c>
      <c r="L138">
        <f>IF($O138="","",INDEX(Master!$K$2:$K$1001,$O138))</f>
      </c>
      <c r="M138">
        <f>IF($O138="","",INDEX(Master!$L$2:$L$1001,$O138))</f>
      </c>
      <c r="O138">
        <f t="array" ref="O138">IFERROR(SMALL(IF(Master!$A$2:$A$1001="SWADESH",ROW(Master!$A$2:$A$1001)-ROW(Master!$A$2)+1),134),"")</f>
      </c>
      <c r="P138">
        <f t="shared" si="5"/>
      </c>
    </row>
    <row r="139" spans="1:16" x14ac:dyDescent="0.25">
      <c r="A139">
        <f>IF($O139="","",INDEX(Master!$D$2:$D$1001,$O139))</f>
      </c>
      <c r="B139" s="166">
        <f>IF($O139="","",INDEX(Master!$B$2:$B$1001,$O139))</f>
      </c>
      <c r="C139">
        <f>IF($O139="","",INDEX(Master!$C$2:$C$1001,$O139))</f>
      </c>
      <c r="D139">
        <f>IF($O139="","",INDEX(Master!$A$2:$A$1001,$O139))</f>
      </c>
      <c r="E139">
        <f>IF($O139="","",INDEX(Master!$E$2:$E$1001,$O139))</f>
      </c>
      <c r="F139">
        <f>IF($O139="","",INDEX(Master!$F$2:$F$1001,$O139))</f>
      </c>
      <c r="G139">
        <f>IF($O139="","",INDEX(Master!$G$2:$G$1001,$O139))</f>
      </c>
      <c r="H139">
        <f>IF($O139="","",INDEX(Master!$H$2:$H$1001,$O139))</f>
      </c>
      <c r="I139">
        <f>IF($O139="","",INDEX(Master!$I$2:$I$1001,$O139))</f>
      </c>
      <c r="J139">
        <f>IF($O139="","",INDEX(Master!$J$2:$J$1001,$O139))</f>
      </c>
      <c r="K139">
        <f t="shared" si="4"/>
      </c>
      <c r="L139">
        <f>IF($O139="","",INDEX(Master!$K$2:$K$1001,$O139))</f>
      </c>
      <c r="M139">
        <f>IF($O139="","",INDEX(Master!$L$2:$L$1001,$O139))</f>
      </c>
      <c r="O139">
        <f t="array" ref="O139">IFERROR(SMALL(IF(Master!$A$2:$A$1001="SWADESH",ROW(Master!$A$2:$A$1001)-ROW(Master!$A$2)+1),135),"")</f>
      </c>
      <c r="P139">
        <f t="shared" si="5"/>
      </c>
    </row>
    <row r="140" spans="1:16" x14ac:dyDescent="0.25">
      <c r="A140">
        <f>IF($O140="","",INDEX(Master!$D$2:$D$1001,$O140))</f>
      </c>
      <c r="B140" s="166">
        <f>IF($O140="","",INDEX(Master!$B$2:$B$1001,$O140))</f>
      </c>
      <c r="C140">
        <f>IF($O140="","",INDEX(Master!$C$2:$C$1001,$O140))</f>
      </c>
      <c r="D140">
        <f>IF($O140="","",INDEX(Master!$A$2:$A$1001,$O140))</f>
      </c>
      <c r="E140">
        <f>IF($O140="","",INDEX(Master!$E$2:$E$1001,$O140))</f>
      </c>
      <c r="F140">
        <f>IF($O140="","",INDEX(Master!$F$2:$F$1001,$O140))</f>
      </c>
      <c r="G140">
        <f>IF($O140="","",INDEX(Master!$G$2:$G$1001,$O140))</f>
      </c>
      <c r="H140">
        <f>IF($O140="","",INDEX(Master!$H$2:$H$1001,$O140))</f>
      </c>
      <c r="I140">
        <f>IF($O140="","",INDEX(Master!$I$2:$I$1001,$O140))</f>
      </c>
      <c r="J140">
        <f>IF($O140="","",INDEX(Master!$J$2:$J$1001,$O140))</f>
      </c>
      <c r="K140">
        <f t="shared" si="4"/>
      </c>
      <c r="L140">
        <f>IF($O140="","",INDEX(Master!$K$2:$K$1001,$O140))</f>
      </c>
      <c r="M140">
        <f>IF($O140="","",INDEX(Master!$L$2:$L$1001,$O140))</f>
      </c>
      <c r="O140">
        <f t="array" ref="O140">IFERROR(SMALL(IF(Master!$A$2:$A$1001="SWADESH",ROW(Master!$A$2:$A$1001)-ROW(Master!$A$2)+1),136),"")</f>
      </c>
      <c r="P140">
        <f t="shared" si="5"/>
      </c>
    </row>
    <row r="141" spans="1:16" x14ac:dyDescent="0.25">
      <c r="A141">
        <f>IF($O141="","",INDEX(Master!$D$2:$D$1001,$O141))</f>
      </c>
      <c r="B141" s="166">
        <f>IF($O141="","",INDEX(Master!$B$2:$B$1001,$O141))</f>
      </c>
      <c r="C141">
        <f>IF($O141="","",INDEX(Master!$C$2:$C$1001,$O141))</f>
      </c>
      <c r="D141">
        <f>IF($O141="","",INDEX(Master!$A$2:$A$1001,$O141))</f>
      </c>
      <c r="E141">
        <f>IF($O141="","",INDEX(Master!$E$2:$E$1001,$O141))</f>
      </c>
      <c r="F141">
        <f>IF($O141="","",INDEX(Master!$F$2:$F$1001,$O141))</f>
      </c>
      <c r="G141">
        <f>IF($O141="","",INDEX(Master!$G$2:$G$1001,$O141))</f>
      </c>
      <c r="H141">
        <f>IF($O141="","",INDEX(Master!$H$2:$H$1001,$O141))</f>
      </c>
      <c r="I141">
        <f>IF($O141="","",INDEX(Master!$I$2:$I$1001,$O141))</f>
      </c>
      <c r="J141">
        <f>IF($O141="","",INDEX(Master!$J$2:$J$1001,$O141))</f>
      </c>
      <c r="K141">
        <f t="shared" si="4"/>
      </c>
      <c r="L141">
        <f>IF($O141="","",INDEX(Master!$K$2:$K$1001,$O141))</f>
      </c>
      <c r="M141">
        <f>IF($O141="","",INDEX(Master!$L$2:$L$1001,$O141))</f>
      </c>
      <c r="O141">
        <f t="array" ref="O141">IFERROR(SMALL(IF(Master!$A$2:$A$1001="SWADESH",ROW(Master!$A$2:$A$1001)-ROW(Master!$A$2)+1),137),"")</f>
      </c>
      <c r="P141">
        <f t="shared" si="5"/>
      </c>
    </row>
    <row r="142" spans="1:16" x14ac:dyDescent="0.25">
      <c r="A142">
        <f>IF($O142="","",INDEX(Master!$D$2:$D$1001,$O142))</f>
      </c>
      <c r="B142" s="166">
        <f>IF($O142="","",INDEX(Master!$B$2:$B$1001,$O142))</f>
      </c>
      <c r="C142">
        <f>IF($O142="","",INDEX(Master!$C$2:$C$1001,$O142))</f>
      </c>
      <c r="D142">
        <f>IF($O142="","",INDEX(Master!$A$2:$A$1001,$O142))</f>
      </c>
      <c r="E142">
        <f>IF($O142="","",INDEX(Master!$E$2:$E$1001,$O142))</f>
      </c>
      <c r="F142">
        <f>IF($O142="","",INDEX(Master!$F$2:$F$1001,$O142))</f>
      </c>
      <c r="G142">
        <f>IF($O142="","",INDEX(Master!$G$2:$G$1001,$O142))</f>
      </c>
      <c r="H142">
        <f>IF($O142="","",INDEX(Master!$H$2:$H$1001,$O142))</f>
      </c>
      <c r="I142">
        <f>IF($O142="","",INDEX(Master!$I$2:$I$1001,$O142))</f>
      </c>
      <c r="J142">
        <f>IF($O142="","",INDEX(Master!$J$2:$J$1001,$O142))</f>
      </c>
      <c r="K142">
        <f t="shared" si="4"/>
      </c>
      <c r="L142">
        <f>IF($O142="","",INDEX(Master!$K$2:$K$1001,$O142))</f>
      </c>
      <c r="M142">
        <f>IF($O142="","",INDEX(Master!$L$2:$L$1001,$O142))</f>
      </c>
      <c r="O142">
        <f t="array" ref="O142">IFERROR(SMALL(IF(Master!$A$2:$A$1001="SWADESH",ROW(Master!$A$2:$A$1001)-ROW(Master!$A$2)+1),138),"")</f>
      </c>
      <c r="P142">
        <f t="shared" si="5"/>
      </c>
    </row>
    <row r="143" spans="1:16" x14ac:dyDescent="0.25">
      <c r="A143">
        <f>IF($O143="","",INDEX(Master!$D$2:$D$1001,$O143))</f>
      </c>
      <c r="B143" s="166">
        <f>IF($O143="","",INDEX(Master!$B$2:$B$1001,$O143))</f>
      </c>
      <c r="C143">
        <f>IF($O143="","",INDEX(Master!$C$2:$C$1001,$O143))</f>
      </c>
      <c r="D143">
        <f>IF($O143="","",INDEX(Master!$A$2:$A$1001,$O143))</f>
      </c>
      <c r="E143">
        <f>IF($O143="","",INDEX(Master!$E$2:$E$1001,$O143))</f>
      </c>
      <c r="F143">
        <f>IF($O143="","",INDEX(Master!$F$2:$F$1001,$O143))</f>
      </c>
      <c r="G143">
        <f>IF($O143="","",INDEX(Master!$G$2:$G$1001,$O143))</f>
      </c>
      <c r="H143">
        <f>IF($O143="","",INDEX(Master!$H$2:$H$1001,$O143))</f>
      </c>
      <c r="I143">
        <f>IF($O143="","",INDEX(Master!$I$2:$I$1001,$O143))</f>
      </c>
      <c r="J143">
        <f>IF($O143="","",INDEX(Master!$J$2:$J$1001,$O143))</f>
      </c>
      <c r="K143">
        <f t="shared" si="4"/>
      </c>
      <c r="L143">
        <f>IF($O143="","",INDEX(Master!$K$2:$K$1001,$O143))</f>
      </c>
      <c r="M143">
        <f>IF($O143="","",INDEX(Master!$L$2:$L$1001,$O143))</f>
      </c>
      <c r="O143">
        <f t="array" ref="O143">IFERROR(SMALL(IF(Master!$A$2:$A$1001="SWADESH",ROW(Master!$A$2:$A$1001)-ROW(Master!$A$2)+1),139),"")</f>
      </c>
      <c r="P143">
        <f t="shared" si="5"/>
      </c>
    </row>
    <row r="144" spans="1:16" x14ac:dyDescent="0.25">
      <c r="A144">
        <f>IF($O144="","",INDEX(Master!$D$2:$D$1001,$O144))</f>
      </c>
      <c r="B144" s="166">
        <f>IF($O144="","",INDEX(Master!$B$2:$B$1001,$O144))</f>
      </c>
      <c r="C144">
        <f>IF($O144="","",INDEX(Master!$C$2:$C$1001,$O144))</f>
      </c>
      <c r="D144">
        <f>IF($O144="","",INDEX(Master!$A$2:$A$1001,$O144))</f>
      </c>
      <c r="E144">
        <f>IF($O144="","",INDEX(Master!$E$2:$E$1001,$O144))</f>
      </c>
      <c r="F144">
        <f>IF($O144="","",INDEX(Master!$F$2:$F$1001,$O144))</f>
      </c>
      <c r="G144">
        <f>IF($O144="","",INDEX(Master!$G$2:$G$1001,$O144))</f>
      </c>
      <c r="H144">
        <f>IF($O144="","",INDEX(Master!$H$2:$H$1001,$O144))</f>
      </c>
      <c r="I144">
        <f>IF($O144="","",INDEX(Master!$I$2:$I$1001,$O144))</f>
      </c>
      <c r="J144">
        <f>IF($O144="","",INDEX(Master!$J$2:$J$1001,$O144))</f>
      </c>
      <c r="K144">
        <f t="shared" si="4"/>
      </c>
      <c r="L144">
        <f>IF($O144="","",INDEX(Master!$K$2:$K$1001,$O144))</f>
      </c>
      <c r="M144">
        <f>IF($O144="","",INDEX(Master!$L$2:$L$1001,$O144))</f>
      </c>
      <c r="O144">
        <f t="array" ref="O144">IFERROR(SMALL(IF(Master!$A$2:$A$1001="SWADESH",ROW(Master!$A$2:$A$1001)-ROW(Master!$A$2)+1),140),"")</f>
      </c>
      <c r="P144">
        <f t="shared" si="5"/>
      </c>
    </row>
    <row r="145" spans="1:16" x14ac:dyDescent="0.25">
      <c r="A145">
        <f>IF($O145="","",INDEX(Master!$D$2:$D$1001,$O145))</f>
      </c>
      <c r="B145" s="166">
        <f>IF($O145="","",INDEX(Master!$B$2:$B$1001,$O145))</f>
      </c>
      <c r="C145">
        <f>IF($O145="","",INDEX(Master!$C$2:$C$1001,$O145))</f>
      </c>
      <c r="D145">
        <f>IF($O145="","",INDEX(Master!$A$2:$A$1001,$O145))</f>
      </c>
      <c r="E145">
        <f>IF($O145="","",INDEX(Master!$E$2:$E$1001,$O145))</f>
      </c>
      <c r="F145">
        <f>IF($O145="","",INDEX(Master!$F$2:$F$1001,$O145))</f>
      </c>
      <c r="G145">
        <f>IF($O145="","",INDEX(Master!$G$2:$G$1001,$O145))</f>
      </c>
      <c r="H145">
        <f>IF($O145="","",INDEX(Master!$H$2:$H$1001,$O145))</f>
      </c>
      <c r="I145">
        <f>IF($O145="","",INDEX(Master!$I$2:$I$1001,$O145))</f>
      </c>
      <c r="J145">
        <f>IF($O145="","",INDEX(Master!$J$2:$J$1001,$O145))</f>
      </c>
      <c r="K145">
        <f t="shared" si="4"/>
      </c>
      <c r="L145">
        <f>IF($O145="","",INDEX(Master!$K$2:$K$1001,$O145))</f>
      </c>
      <c r="M145">
        <f>IF($O145="","",INDEX(Master!$L$2:$L$1001,$O145))</f>
      </c>
      <c r="O145">
        <f t="array" ref="O145">IFERROR(SMALL(IF(Master!$A$2:$A$1001="SWADESH",ROW(Master!$A$2:$A$1001)-ROW(Master!$A$2)+1),141),"")</f>
      </c>
      <c r="P145">
        <f t="shared" si="5"/>
      </c>
    </row>
    <row r="146" spans="1:16" x14ac:dyDescent="0.25">
      <c r="A146">
        <f>IF($O146="","",INDEX(Master!$D$2:$D$1001,$O146))</f>
      </c>
      <c r="B146" s="166">
        <f>IF($O146="","",INDEX(Master!$B$2:$B$1001,$O146))</f>
      </c>
      <c r="C146">
        <f>IF($O146="","",INDEX(Master!$C$2:$C$1001,$O146))</f>
      </c>
      <c r="D146">
        <f>IF($O146="","",INDEX(Master!$A$2:$A$1001,$O146))</f>
      </c>
      <c r="E146">
        <f>IF($O146="","",INDEX(Master!$E$2:$E$1001,$O146))</f>
      </c>
      <c r="F146">
        <f>IF($O146="","",INDEX(Master!$F$2:$F$1001,$O146))</f>
      </c>
      <c r="G146">
        <f>IF($O146="","",INDEX(Master!$G$2:$G$1001,$O146))</f>
      </c>
      <c r="H146">
        <f>IF($O146="","",INDEX(Master!$H$2:$H$1001,$O146))</f>
      </c>
      <c r="I146">
        <f>IF($O146="","",INDEX(Master!$I$2:$I$1001,$O146))</f>
      </c>
      <c r="J146">
        <f>IF($O146="","",INDEX(Master!$J$2:$J$1001,$O146))</f>
      </c>
      <c r="K146">
        <f t="shared" si="4"/>
      </c>
      <c r="L146">
        <f>IF($O146="","",INDEX(Master!$K$2:$K$1001,$O146))</f>
      </c>
      <c r="M146">
        <f>IF($O146="","",INDEX(Master!$L$2:$L$1001,$O146))</f>
      </c>
      <c r="O146">
        <f t="array" ref="O146">IFERROR(SMALL(IF(Master!$A$2:$A$1001="SWADESH",ROW(Master!$A$2:$A$1001)-ROW(Master!$A$2)+1),142),"")</f>
      </c>
      <c r="P146">
        <f t="shared" si="5"/>
      </c>
    </row>
    <row r="147" spans="1:16" x14ac:dyDescent="0.25">
      <c r="A147">
        <f>IF($O147="","",INDEX(Master!$D$2:$D$1001,$O147))</f>
      </c>
      <c r="B147" s="166">
        <f>IF($O147="","",INDEX(Master!$B$2:$B$1001,$O147))</f>
      </c>
      <c r="C147">
        <f>IF($O147="","",INDEX(Master!$C$2:$C$1001,$O147))</f>
      </c>
      <c r="D147">
        <f>IF($O147="","",INDEX(Master!$A$2:$A$1001,$O147))</f>
      </c>
      <c r="E147">
        <f>IF($O147="","",INDEX(Master!$E$2:$E$1001,$O147))</f>
      </c>
      <c r="F147">
        <f>IF($O147="","",INDEX(Master!$F$2:$F$1001,$O147))</f>
      </c>
      <c r="G147">
        <f>IF($O147="","",INDEX(Master!$G$2:$G$1001,$O147))</f>
      </c>
      <c r="H147">
        <f>IF($O147="","",INDEX(Master!$H$2:$H$1001,$O147))</f>
      </c>
      <c r="I147">
        <f>IF($O147="","",INDEX(Master!$I$2:$I$1001,$O147))</f>
      </c>
      <c r="J147">
        <f>IF($O147="","",INDEX(Master!$J$2:$J$1001,$O147))</f>
      </c>
      <c r="K147">
        <f t="shared" si="4"/>
      </c>
      <c r="L147">
        <f>IF($O147="","",INDEX(Master!$K$2:$K$1001,$O147))</f>
      </c>
      <c r="M147">
        <f>IF($O147="","",INDEX(Master!$L$2:$L$1001,$O147))</f>
      </c>
      <c r="O147">
        <f t="array" ref="O147">IFERROR(SMALL(IF(Master!$A$2:$A$1001="SWADESH",ROW(Master!$A$2:$A$1001)-ROW(Master!$A$2)+1),143),"")</f>
      </c>
      <c r="P147">
        <f t="shared" si="5"/>
      </c>
    </row>
    <row r="148" spans="1:16" x14ac:dyDescent="0.25">
      <c r="A148">
        <f>IF($O148="","",INDEX(Master!$D$2:$D$1001,$O148))</f>
      </c>
      <c r="B148" s="166">
        <f>IF($O148="","",INDEX(Master!$B$2:$B$1001,$O148))</f>
      </c>
      <c r="C148">
        <f>IF($O148="","",INDEX(Master!$C$2:$C$1001,$O148))</f>
      </c>
      <c r="D148">
        <f>IF($O148="","",INDEX(Master!$A$2:$A$1001,$O148))</f>
      </c>
      <c r="E148">
        <f>IF($O148="","",INDEX(Master!$E$2:$E$1001,$O148))</f>
      </c>
      <c r="F148">
        <f>IF($O148="","",INDEX(Master!$F$2:$F$1001,$O148))</f>
      </c>
      <c r="G148">
        <f>IF($O148="","",INDEX(Master!$G$2:$G$1001,$O148))</f>
      </c>
      <c r="H148">
        <f>IF($O148="","",INDEX(Master!$H$2:$H$1001,$O148))</f>
      </c>
      <c r="I148">
        <f>IF($O148="","",INDEX(Master!$I$2:$I$1001,$O148))</f>
      </c>
      <c r="J148">
        <f>IF($O148="","",INDEX(Master!$J$2:$J$1001,$O148))</f>
      </c>
      <c r="K148">
        <f t="shared" si="4"/>
      </c>
      <c r="L148">
        <f>IF($O148="","",INDEX(Master!$K$2:$K$1001,$O148))</f>
      </c>
      <c r="M148">
        <f>IF($O148="","",INDEX(Master!$L$2:$L$1001,$O148))</f>
      </c>
      <c r="O148">
        <f t="array" ref="O148">IFERROR(SMALL(IF(Master!$A$2:$A$1001="SWADESH",ROW(Master!$A$2:$A$1001)-ROW(Master!$A$2)+1),144),"")</f>
      </c>
      <c r="P148">
        <f t="shared" si="5"/>
      </c>
    </row>
    <row r="149" spans="1:16" x14ac:dyDescent="0.25">
      <c r="A149">
        <f>IF($O149="","",INDEX(Master!$D$2:$D$1001,$O149))</f>
      </c>
      <c r="B149" s="166">
        <f>IF($O149="","",INDEX(Master!$B$2:$B$1001,$O149))</f>
      </c>
      <c r="C149">
        <f>IF($O149="","",INDEX(Master!$C$2:$C$1001,$O149))</f>
      </c>
      <c r="D149">
        <f>IF($O149="","",INDEX(Master!$A$2:$A$1001,$O149))</f>
      </c>
      <c r="E149">
        <f>IF($O149="","",INDEX(Master!$E$2:$E$1001,$O149))</f>
      </c>
      <c r="F149">
        <f>IF($O149="","",INDEX(Master!$F$2:$F$1001,$O149))</f>
      </c>
      <c r="G149">
        <f>IF($O149="","",INDEX(Master!$G$2:$G$1001,$O149))</f>
      </c>
      <c r="H149">
        <f>IF($O149="","",INDEX(Master!$H$2:$H$1001,$O149))</f>
      </c>
      <c r="I149">
        <f>IF($O149="","",INDEX(Master!$I$2:$I$1001,$O149))</f>
      </c>
      <c r="J149">
        <f>IF($O149="","",INDEX(Master!$J$2:$J$1001,$O149))</f>
      </c>
      <c r="K149">
        <f t="shared" si="4"/>
      </c>
      <c r="L149">
        <f>IF($O149="","",INDEX(Master!$K$2:$K$1001,$O149))</f>
      </c>
      <c r="M149">
        <f>IF($O149="","",INDEX(Master!$L$2:$L$1001,$O149))</f>
      </c>
      <c r="O149">
        <f t="array" ref="O149">IFERROR(SMALL(IF(Master!$A$2:$A$1001="SWADESH",ROW(Master!$A$2:$A$1001)-ROW(Master!$A$2)+1),145),"")</f>
      </c>
      <c r="P149">
        <f t="shared" si="5"/>
      </c>
    </row>
    <row r="150" spans="1:16" x14ac:dyDescent="0.25">
      <c r="A150">
        <f>IF($O150="","",INDEX(Master!$D$2:$D$1001,$O150))</f>
      </c>
      <c r="B150" s="166">
        <f>IF($O150="","",INDEX(Master!$B$2:$B$1001,$O150))</f>
      </c>
      <c r="C150">
        <f>IF($O150="","",INDEX(Master!$C$2:$C$1001,$O150))</f>
      </c>
      <c r="D150">
        <f>IF($O150="","",INDEX(Master!$A$2:$A$1001,$O150))</f>
      </c>
      <c r="E150">
        <f>IF($O150="","",INDEX(Master!$E$2:$E$1001,$O150))</f>
      </c>
      <c r="F150">
        <f>IF($O150="","",INDEX(Master!$F$2:$F$1001,$O150))</f>
      </c>
      <c r="G150">
        <f>IF($O150="","",INDEX(Master!$G$2:$G$1001,$O150))</f>
      </c>
      <c r="H150">
        <f>IF($O150="","",INDEX(Master!$H$2:$H$1001,$O150))</f>
      </c>
      <c r="I150">
        <f>IF($O150="","",INDEX(Master!$I$2:$I$1001,$O150))</f>
      </c>
      <c r="J150">
        <f>IF($O150="","",INDEX(Master!$J$2:$J$1001,$O150))</f>
      </c>
      <c r="K150">
        <f t="shared" si="4"/>
      </c>
      <c r="L150">
        <f>IF($O150="","",INDEX(Master!$K$2:$K$1001,$O150))</f>
      </c>
      <c r="M150">
        <f>IF($O150="","",INDEX(Master!$L$2:$L$1001,$O150))</f>
      </c>
      <c r="O150">
        <f t="array" ref="O150">IFERROR(SMALL(IF(Master!$A$2:$A$1001="SWADESH",ROW(Master!$A$2:$A$1001)-ROW(Master!$A$2)+1),146),"")</f>
      </c>
      <c r="P150">
        <f t="shared" si="5"/>
      </c>
    </row>
    <row r="151" spans="1:16" x14ac:dyDescent="0.25">
      <c r="A151">
        <f>IF($O151="","",INDEX(Master!$D$2:$D$1001,$O151))</f>
      </c>
      <c r="B151" s="166">
        <f>IF($O151="","",INDEX(Master!$B$2:$B$1001,$O151))</f>
      </c>
      <c r="C151">
        <f>IF($O151="","",INDEX(Master!$C$2:$C$1001,$O151))</f>
      </c>
      <c r="D151">
        <f>IF($O151="","",INDEX(Master!$A$2:$A$1001,$O151))</f>
      </c>
      <c r="E151">
        <f>IF($O151="","",INDEX(Master!$E$2:$E$1001,$O151))</f>
      </c>
      <c r="F151">
        <f>IF($O151="","",INDEX(Master!$F$2:$F$1001,$O151))</f>
      </c>
      <c r="G151">
        <f>IF($O151="","",INDEX(Master!$G$2:$G$1001,$O151))</f>
      </c>
      <c r="H151">
        <f>IF($O151="","",INDEX(Master!$H$2:$H$1001,$O151))</f>
      </c>
      <c r="I151">
        <f>IF($O151="","",INDEX(Master!$I$2:$I$1001,$O151))</f>
      </c>
      <c r="J151">
        <f>IF($O151="","",INDEX(Master!$J$2:$J$1001,$O151))</f>
      </c>
      <c r="K151">
        <f t="shared" si="4"/>
      </c>
      <c r="L151">
        <f>IF($O151="","",INDEX(Master!$K$2:$K$1001,$O151))</f>
      </c>
      <c r="M151">
        <f>IF($O151="","",INDEX(Master!$L$2:$L$1001,$O151))</f>
      </c>
      <c r="O151">
        <f t="array" ref="O151">IFERROR(SMALL(IF(Master!$A$2:$A$1001="SWADESH",ROW(Master!$A$2:$A$1001)-ROW(Master!$A$2)+1),147),"")</f>
      </c>
      <c r="P151">
        <f t="shared" si="5"/>
      </c>
    </row>
    <row r="152" spans="1:16" x14ac:dyDescent="0.25">
      <c r="A152">
        <f>IF($O152="","",INDEX(Master!$D$2:$D$1001,$O152))</f>
      </c>
      <c r="B152" s="166">
        <f>IF($O152="","",INDEX(Master!$B$2:$B$1001,$O152))</f>
      </c>
      <c r="C152">
        <f>IF($O152="","",INDEX(Master!$C$2:$C$1001,$O152))</f>
      </c>
      <c r="D152">
        <f>IF($O152="","",INDEX(Master!$A$2:$A$1001,$O152))</f>
      </c>
      <c r="E152">
        <f>IF($O152="","",INDEX(Master!$E$2:$E$1001,$O152))</f>
      </c>
      <c r="F152">
        <f>IF($O152="","",INDEX(Master!$F$2:$F$1001,$O152))</f>
      </c>
      <c r="G152">
        <f>IF($O152="","",INDEX(Master!$G$2:$G$1001,$O152))</f>
      </c>
      <c r="H152">
        <f>IF($O152="","",INDEX(Master!$H$2:$H$1001,$O152))</f>
      </c>
      <c r="I152">
        <f>IF($O152="","",INDEX(Master!$I$2:$I$1001,$O152))</f>
      </c>
      <c r="J152">
        <f>IF($O152="","",INDEX(Master!$J$2:$J$1001,$O152))</f>
      </c>
      <c r="K152">
        <f t="shared" si="4"/>
      </c>
      <c r="L152">
        <f>IF($O152="","",INDEX(Master!$K$2:$K$1001,$O152))</f>
      </c>
      <c r="M152">
        <f>IF($O152="","",INDEX(Master!$L$2:$L$1001,$O152))</f>
      </c>
      <c r="O152">
        <f t="array" ref="O152">IFERROR(SMALL(IF(Master!$A$2:$A$1001="SWADESH",ROW(Master!$A$2:$A$1001)-ROW(Master!$A$2)+1),148),"")</f>
      </c>
      <c r="P152">
        <f t="shared" si="5"/>
      </c>
    </row>
    <row r="153" spans="1:16" x14ac:dyDescent="0.25">
      <c r="A153">
        <f>IF($O153="","",INDEX(Master!$D$2:$D$1001,$O153))</f>
      </c>
      <c r="B153" s="166">
        <f>IF($O153="","",INDEX(Master!$B$2:$B$1001,$O153))</f>
      </c>
      <c r="C153">
        <f>IF($O153="","",INDEX(Master!$C$2:$C$1001,$O153))</f>
      </c>
      <c r="D153">
        <f>IF($O153="","",INDEX(Master!$A$2:$A$1001,$O153))</f>
      </c>
      <c r="E153">
        <f>IF($O153="","",INDEX(Master!$E$2:$E$1001,$O153))</f>
      </c>
      <c r="F153">
        <f>IF($O153="","",INDEX(Master!$F$2:$F$1001,$O153))</f>
      </c>
      <c r="G153">
        <f>IF($O153="","",INDEX(Master!$G$2:$G$1001,$O153))</f>
      </c>
      <c r="H153">
        <f>IF($O153="","",INDEX(Master!$H$2:$H$1001,$O153))</f>
      </c>
      <c r="I153">
        <f>IF($O153="","",INDEX(Master!$I$2:$I$1001,$O153))</f>
      </c>
      <c r="J153">
        <f>IF($O153="","",INDEX(Master!$J$2:$J$1001,$O153))</f>
      </c>
      <c r="K153">
        <f t="shared" si="4"/>
      </c>
      <c r="L153">
        <f>IF($O153="","",INDEX(Master!$K$2:$K$1001,$O153))</f>
      </c>
      <c r="M153">
        <f>IF($O153="","",INDEX(Master!$L$2:$L$1001,$O153))</f>
      </c>
      <c r="O153">
        <f t="array" ref="O153">IFERROR(SMALL(IF(Master!$A$2:$A$1001="SWADESH",ROW(Master!$A$2:$A$1001)-ROW(Master!$A$2)+1),149),"")</f>
      </c>
      <c r="P153">
        <f t="shared" si="5"/>
      </c>
    </row>
    <row r="154" spans="1:16" x14ac:dyDescent="0.25">
      <c r="A154">
        <f>IF($O154="","",INDEX(Master!$D$2:$D$1001,$O154))</f>
      </c>
      <c r="B154" s="166">
        <f>IF($O154="","",INDEX(Master!$B$2:$B$1001,$O154))</f>
      </c>
      <c r="C154">
        <f>IF($O154="","",INDEX(Master!$C$2:$C$1001,$O154))</f>
      </c>
      <c r="D154">
        <f>IF($O154="","",INDEX(Master!$A$2:$A$1001,$O154))</f>
      </c>
      <c r="E154">
        <f>IF($O154="","",INDEX(Master!$E$2:$E$1001,$O154))</f>
      </c>
      <c r="F154">
        <f>IF($O154="","",INDEX(Master!$F$2:$F$1001,$O154))</f>
      </c>
      <c r="G154">
        <f>IF($O154="","",INDEX(Master!$G$2:$G$1001,$O154))</f>
      </c>
      <c r="H154">
        <f>IF($O154="","",INDEX(Master!$H$2:$H$1001,$O154))</f>
      </c>
      <c r="I154">
        <f>IF($O154="","",INDEX(Master!$I$2:$I$1001,$O154))</f>
      </c>
      <c r="J154">
        <f>IF($O154="","",INDEX(Master!$J$2:$J$1001,$O154))</f>
      </c>
      <c r="K154">
        <f t="shared" si="4"/>
      </c>
      <c r="L154">
        <f>IF($O154="","",INDEX(Master!$K$2:$K$1001,$O154))</f>
      </c>
      <c r="M154">
        <f>IF($O154="","",INDEX(Master!$L$2:$L$1001,$O154))</f>
      </c>
      <c r="O154">
        <f t="array" ref="O154">IFERROR(SMALL(IF(Master!$A$2:$A$1001="SWADESH",ROW(Master!$A$2:$A$1001)-ROW(Master!$A$2)+1),150),"")</f>
      </c>
      <c r="P154">
        <f t="shared" si="5"/>
      </c>
    </row>
    <row r="155" spans="1:16" x14ac:dyDescent="0.25">
      <c r="A155">
        <f>IF($O155="","",INDEX(Master!$D$2:$D$1001,$O155))</f>
      </c>
      <c r="B155" s="166">
        <f>IF($O155="","",INDEX(Master!$B$2:$B$1001,$O155))</f>
      </c>
      <c r="C155">
        <f>IF($O155="","",INDEX(Master!$C$2:$C$1001,$O155))</f>
      </c>
      <c r="D155">
        <f>IF($O155="","",INDEX(Master!$A$2:$A$1001,$O155))</f>
      </c>
      <c r="E155">
        <f>IF($O155="","",INDEX(Master!$E$2:$E$1001,$O155))</f>
      </c>
      <c r="F155">
        <f>IF($O155="","",INDEX(Master!$F$2:$F$1001,$O155))</f>
      </c>
      <c r="G155">
        <f>IF($O155="","",INDEX(Master!$G$2:$G$1001,$O155))</f>
      </c>
      <c r="H155">
        <f>IF($O155="","",INDEX(Master!$H$2:$H$1001,$O155))</f>
      </c>
      <c r="I155">
        <f>IF($O155="","",INDEX(Master!$I$2:$I$1001,$O155))</f>
      </c>
      <c r="J155">
        <f>IF($O155="","",INDEX(Master!$J$2:$J$1001,$O155))</f>
      </c>
      <c r="K155">
        <f t="shared" si="4"/>
      </c>
      <c r="L155">
        <f>IF($O155="","",INDEX(Master!$K$2:$K$1001,$O155))</f>
      </c>
      <c r="M155">
        <f>IF($O155="","",INDEX(Master!$L$2:$L$1001,$O155))</f>
      </c>
      <c r="O155">
        <f t="array" ref="O155">IFERROR(SMALL(IF(Master!$A$2:$A$1001="SWADESH",ROW(Master!$A$2:$A$1001)-ROW(Master!$A$2)+1),151),"")</f>
      </c>
      <c r="P155">
        <f t="shared" si="5"/>
      </c>
    </row>
    <row r="156" spans="1:16" x14ac:dyDescent="0.25">
      <c r="A156">
        <f>IF($O156="","",INDEX(Master!$D$2:$D$1001,$O156))</f>
      </c>
      <c r="B156" s="166">
        <f>IF($O156="","",INDEX(Master!$B$2:$B$1001,$O156))</f>
      </c>
      <c r="C156">
        <f>IF($O156="","",INDEX(Master!$C$2:$C$1001,$O156))</f>
      </c>
      <c r="D156">
        <f>IF($O156="","",INDEX(Master!$A$2:$A$1001,$O156))</f>
      </c>
      <c r="E156">
        <f>IF($O156="","",INDEX(Master!$E$2:$E$1001,$O156))</f>
      </c>
      <c r="F156">
        <f>IF($O156="","",INDEX(Master!$F$2:$F$1001,$O156))</f>
      </c>
      <c r="G156">
        <f>IF($O156="","",INDEX(Master!$G$2:$G$1001,$O156))</f>
      </c>
      <c r="H156">
        <f>IF($O156="","",INDEX(Master!$H$2:$H$1001,$O156))</f>
      </c>
      <c r="I156">
        <f>IF($O156="","",INDEX(Master!$I$2:$I$1001,$O156))</f>
      </c>
      <c r="J156">
        <f>IF($O156="","",INDEX(Master!$J$2:$J$1001,$O156))</f>
      </c>
      <c r="K156">
        <f t="shared" si="4"/>
      </c>
      <c r="L156">
        <f>IF($O156="","",INDEX(Master!$K$2:$K$1001,$O156))</f>
      </c>
      <c r="M156">
        <f>IF($O156="","",INDEX(Master!$L$2:$L$1001,$O156))</f>
      </c>
      <c r="O156">
        <f t="array" ref="O156">IFERROR(SMALL(IF(Master!$A$2:$A$1001="SWADESH",ROW(Master!$A$2:$A$1001)-ROW(Master!$A$2)+1),152),"")</f>
      </c>
      <c r="P156">
        <f t="shared" si="5"/>
      </c>
    </row>
    <row r="157" spans="1:16" x14ac:dyDescent="0.25">
      <c r="A157">
        <f>IF($O157="","",INDEX(Master!$D$2:$D$1001,$O157))</f>
      </c>
      <c r="B157" s="166">
        <f>IF($O157="","",INDEX(Master!$B$2:$B$1001,$O157))</f>
      </c>
      <c r="C157">
        <f>IF($O157="","",INDEX(Master!$C$2:$C$1001,$O157))</f>
      </c>
      <c r="D157">
        <f>IF($O157="","",INDEX(Master!$A$2:$A$1001,$O157))</f>
      </c>
      <c r="E157">
        <f>IF($O157="","",INDEX(Master!$E$2:$E$1001,$O157))</f>
      </c>
      <c r="F157">
        <f>IF($O157="","",INDEX(Master!$F$2:$F$1001,$O157))</f>
      </c>
      <c r="G157">
        <f>IF($O157="","",INDEX(Master!$G$2:$G$1001,$O157))</f>
      </c>
      <c r="H157">
        <f>IF($O157="","",INDEX(Master!$H$2:$H$1001,$O157))</f>
      </c>
      <c r="I157">
        <f>IF($O157="","",INDEX(Master!$I$2:$I$1001,$O157))</f>
      </c>
      <c r="J157">
        <f>IF($O157="","",INDEX(Master!$J$2:$J$1001,$O157))</f>
      </c>
      <c r="K157">
        <f t="shared" si="4"/>
      </c>
      <c r="L157">
        <f>IF($O157="","",INDEX(Master!$K$2:$K$1001,$O157))</f>
      </c>
      <c r="M157">
        <f>IF($O157="","",INDEX(Master!$L$2:$L$1001,$O157))</f>
      </c>
      <c r="O157">
        <f t="array" ref="O157">IFERROR(SMALL(IF(Master!$A$2:$A$1001="SWADESH",ROW(Master!$A$2:$A$1001)-ROW(Master!$A$2)+1),153),"")</f>
      </c>
      <c r="P157">
        <f t="shared" si="5"/>
      </c>
    </row>
    <row r="158" spans="1:16" x14ac:dyDescent="0.25">
      <c r="A158">
        <f>IF($O158="","",INDEX(Master!$D$2:$D$1001,$O158))</f>
      </c>
      <c r="B158" s="166">
        <f>IF($O158="","",INDEX(Master!$B$2:$B$1001,$O158))</f>
      </c>
      <c r="C158">
        <f>IF($O158="","",INDEX(Master!$C$2:$C$1001,$O158))</f>
      </c>
      <c r="D158">
        <f>IF($O158="","",INDEX(Master!$A$2:$A$1001,$O158))</f>
      </c>
      <c r="E158">
        <f>IF($O158="","",INDEX(Master!$E$2:$E$1001,$O158))</f>
      </c>
      <c r="F158">
        <f>IF($O158="","",INDEX(Master!$F$2:$F$1001,$O158))</f>
      </c>
      <c r="G158">
        <f>IF($O158="","",INDEX(Master!$G$2:$G$1001,$O158))</f>
      </c>
      <c r="H158">
        <f>IF($O158="","",INDEX(Master!$H$2:$H$1001,$O158))</f>
      </c>
      <c r="I158">
        <f>IF($O158="","",INDEX(Master!$I$2:$I$1001,$O158))</f>
      </c>
      <c r="J158">
        <f>IF($O158="","",INDEX(Master!$J$2:$J$1001,$O158))</f>
      </c>
      <c r="K158">
        <f t="shared" si="4"/>
      </c>
      <c r="L158">
        <f>IF($O158="","",INDEX(Master!$K$2:$K$1001,$O158))</f>
      </c>
      <c r="M158">
        <f>IF($O158="","",INDEX(Master!$L$2:$L$1001,$O158))</f>
      </c>
      <c r="O158">
        <f t="array" ref="O158">IFERROR(SMALL(IF(Master!$A$2:$A$1001="SWADESH",ROW(Master!$A$2:$A$1001)-ROW(Master!$A$2)+1),154),"")</f>
      </c>
      <c r="P158">
        <f t="shared" si="5"/>
      </c>
    </row>
    <row r="159" spans="1:16" x14ac:dyDescent="0.25">
      <c r="A159">
        <f>IF($O159="","",INDEX(Master!$D$2:$D$1001,$O159))</f>
      </c>
      <c r="B159" s="166">
        <f>IF($O159="","",INDEX(Master!$B$2:$B$1001,$O159))</f>
      </c>
      <c r="C159">
        <f>IF($O159="","",INDEX(Master!$C$2:$C$1001,$O159))</f>
      </c>
      <c r="D159">
        <f>IF($O159="","",INDEX(Master!$A$2:$A$1001,$O159))</f>
      </c>
      <c r="E159">
        <f>IF($O159="","",INDEX(Master!$E$2:$E$1001,$O159))</f>
      </c>
      <c r="F159">
        <f>IF($O159="","",INDEX(Master!$F$2:$F$1001,$O159))</f>
      </c>
      <c r="G159">
        <f>IF($O159="","",INDEX(Master!$G$2:$G$1001,$O159))</f>
      </c>
      <c r="H159">
        <f>IF($O159="","",INDEX(Master!$H$2:$H$1001,$O159))</f>
      </c>
      <c r="I159">
        <f>IF($O159="","",INDEX(Master!$I$2:$I$1001,$O159))</f>
      </c>
      <c r="J159">
        <f>IF($O159="","",INDEX(Master!$J$2:$J$1001,$O159))</f>
      </c>
      <c r="K159">
        <f t="shared" si="4"/>
      </c>
      <c r="L159">
        <f>IF($O159="","",INDEX(Master!$K$2:$K$1001,$O159))</f>
      </c>
      <c r="M159">
        <f>IF($O159="","",INDEX(Master!$L$2:$L$1001,$O159))</f>
      </c>
      <c r="O159">
        <f t="array" ref="O159">IFERROR(SMALL(IF(Master!$A$2:$A$1001="SWADESH",ROW(Master!$A$2:$A$1001)-ROW(Master!$A$2)+1),155),"")</f>
      </c>
      <c r="P159">
        <f t="shared" si="5"/>
      </c>
    </row>
    <row r="160" spans="1:16" x14ac:dyDescent="0.25">
      <c r="A160">
        <f>IF($O160="","",INDEX(Master!$D$2:$D$1001,$O160))</f>
      </c>
      <c r="B160" s="166">
        <f>IF($O160="","",INDEX(Master!$B$2:$B$1001,$O160))</f>
      </c>
      <c r="C160">
        <f>IF($O160="","",INDEX(Master!$C$2:$C$1001,$O160))</f>
      </c>
      <c r="D160">
        <f>IF($O160="","",INDEX(Master!$A$2:$A$1001,$O160))</f>
      </c>
      <c r="E160">
        <f>IF($O160="","",INDEX(Master!$E$2:$E$1001,$O160))</f>
      </c>
      <c r="F160">
        <f>IF($O160="","",INDEX(Master!$F$2:$F$1001,$O160))</f>
      </c>
      <c r="G160">
        <f>IF($O160="","",INDEX(Master!$G$2:$G$1001,$O160))</f>
      </c>
      <c r="H160">
        <f>IF($O160="","",INDEX(Master!$H$2:$H$1001,$O160))</f>
      </c>
      <c r="I160">
        <f>IF($O160="","",INDEX(Master!$I$2:$I$1001,$O160))</f>
      </c>
      <c r="J160">
        <f>IF($O160="","",INDEX(Master!$J$2:$J$1001,$O160))</f>
      </c>
      <c r="K160">
        <f t="shared" si="4"/>
      </c>
      <c r="L160">
        <f>IF($O160="","",INDEX(Master!$K$2:$K$1001,$O160))</f>
      </c>
      <c r="M160">
        <f>IF($O160="","",INDEX(Master!$L$2:$L$1001,$O160))</f>
      </c>
      <c r="O160">
        <f t="array" ref="O160">IFERROR(SMALL(IF(Master!$A$2:$A$1001="SWADESH",ROW(Master!$A$2:$A$1001)-ROW(Master!$A$2)+1),156),"")</f>
      </c>
      <c r="P160">
        <f t="shared" si="5"/>
      </c>
    </row>
    <row r="161" spans="1:16" x14ac:dyDescent="0.25">
      <c r="A161">
        <f>IF($O161="","",INDEX(Master!$D$2:$D$1001,$O161))</f>
      </c>
      <c r="B161" s="166">
        <f>IF($O161="","",INDEX(Master!$B$2:$B$1001,$O161))</f>
      </c>
      <c r="C161">
        <f>IF($O161="","",INDEX(Master!$C$2:$C$1001,$O161))</f>
      </c>
      <c r="D161">
        <f>IF($O161="","",INDEX(Master!$A$2:$A$1001,$O161))</f>
      </c>
      <c r="E161">
        <f>IF($O161="","",INDEX(Master!$E$2:$E$1001,$O161))</f>
      </c>
      <c r="F161">
        <f>IF($O161="","",INDEX(Master!$F$2:$F$1001,$O161))</f>
      </c>
      <c r="G161">
        <f>IF($O161="","",INDEX(Master!$G$2:$G$1001,$O161))</f>
      </c>
      <c r="H161">
        <f>IF($O161="","",INDEX(Master!$H$2:$H$1001,$O161))</f>
      </c>
      <c r="I161">
        <f>IF($O161="","",INDEX(Master!$I$2:$I$1001,$O161))</f>
      </c>
      <c r="J161">
        <f>IF($O161="","",INDEX(Master!$J$2:$J$1001,$O161))</f>
      </c>
      <c r="K161">
        <f t="shared" si="4"/>
      </c>
      <c r="L161">
        <f>IF($O161="","",INDEX(Master!$K$2:$K$1001,$O161))</f>
      </c>
      <c r="M161">
        <f>IF($O161="","",INDEX(Master!$L$2:$L$1001,$O161))</f>
      </c>
      <c r="O161">
        <f t="array" ref="O161">IFERROR(SMALL(IF(Master!$A$2:$A$1001="SWADESH",ROW(Master!$A$2:$A$1001)-ROW(Master!$A$2)+1),157),"")</f>
      </c>
      <c r="P161">
        <f t="shared" si="5"/>
      </c>
    </row>
    <row r="162" spans="1:16" x14ac:dyDescent="0.25">
      <c r="A162">
        <f>IF($O162="","",INDEX(Master!$D$2:$D$1001,$O162))</f>
      </c>
      <c r="B162" s="166">
        <f>IF($O162="","",INDEX(Master!$B$2:$B$1001,$O162))</f>
      </c>
      <c r="C162">
        <f>IF($O162="","",INDEX(Master!$C$2:$C$1001,$O162))</f>
      </c>
      <c r="D162">
        <f>IF($O162="","",INDEX(Master!$A$2:$A$1001,$O162))</f>
      </c>
      <c r="E162">
        <f>IF($O162="","",INDEX(Master!$E$2:$E$1001,$O162))</f>
      </c>
      <c r="F162">
        <f>IF($O162="","",INDEX(Master!$F$2:$F$1001,$O162))</f>
      </c>
      <c r="G162">
        <f>IF($O162="","",INDEX(Master!$G$2:$G$1001,$O162))</f>
      </c>
      <c r="H162">
        <f>IF($O162="","",INDEX(Master!$H$2:$H$1001,$O162))</f>
      </c>
      <c r="I162">
        <f>IF($O162="","",INDEX(Master!$I$2:$I$1001,$O162))</f>
      </c>
      <c r="J162">
        <f>IF($O162="","",INDEX(Master!$J$2:$J$1001,$O162))</f>
      </c>
      <c r="K162">
        <f t="shared" si="4"/>
      </c>
      <c r="L162">
        <f>IF($O162="","",INDEX(Master!$K$2:$K$1001,$O162))</f>
      </c>
      <c r="M162">
        <f>IF($O162="","",INDEX(Master!$L$2:$L$1001,$O162))</f>
      </c>
      <c r="O162">
        <f t="array" ref="O162">IFERROR(SMALL(IF(Master!$A$2:$A$1001="SWADESH",ROW(Master!$A$2:$A$1001)-ROW(Master!$A$2)+1),158),"")</f>
      </c>
      <c r="P162">
        <f t="shared" si="5"/>
      </c>
    </row>
    <row r="163" spans="1:16" x14ac:dyDescent="0.25">
      <c r="A163">
        <f>IF($O163="","",INDEX(Master!$D$2:$D$1001,$O163))</f>
      </c>
      <c r="B163" s="166">
        <f>IF($O163="","",INDEX(Master!$B$2:$B$1001,$O163))</f>
      </c>
      <c r="C163">
        <f>IF($O163="","",INDEX(Master!$C$2:$C$1001,$O163))</f>
      </c>
      <c r="D163">
        <f>IF($O163="","",INDEX(Master!$A$2:$A$1001,$O163))</f>
      </c>
      <c r="E163">
        <f>IF($O163="","",INDEX(Master!$E$2:$E$1001,$O163))</f>
      </c>
      <c r="F163">
        <f>IF($O163="","",INDEX(Master!$F$2:$F$1001,$O163))</f>
      </c>
      <c r="G163">
        <f>IF($O163="","",INDEX(Master!$G$2:$G$1001,$O163))</f>
      </c>
      <c r="H163">
        <f>IF($O163="","",INDEX(Master!$H$2:$H$1001,$O163))</f>
      </c>
      <c r="I163">
        <f>IF($O163="","",INDEX(Master!$I$2:$I$1001,$O163))</f>
      </c>
      <c r="J163">
        <f>IF($O163="","",INDEX(Master!$J$2:$J$1001,$O163))</f>
      </c>
      <c r="K163">
        <f t="shared" si="4"/>
      </c>
      <c r="L163">
        <f>IF($O163="","",INDEX(Master!$K$2:$K$1001,$O163))</f>
      </c>
      <c r="M163">
        <f>IF($O163="","",INDEX(Master!$L$2:$L$1001,$O163))</f>
      </c>
      <c r="O163">
        <f t="array" ref="O163">IFERROR(SMALL(IF(Master!$A$2:$A$1001="SWADESH",ROW(Master!$A$2:$A$1001)-ROW(Master!$A$2)+1),159),"")</f>
      </c>
      <c r="P163">
        <f t="shared" si="5"/>
      </c>
    </row>
    <row r="164" spans="1:16" x14ac:dyDescent="0.25">
      <c r="A164">
        <f>IF($O164="","",INDEX(Master!$D$2:$D$1001,$O164))</f>
      </c>
      <c r="B164" s="166">
        <f>IF($O164="","",INDEX(Master!$B$2:$B$1001,$O164))</f>
      </c>
      <c r="C164">
        <f>IF($O164="","",INDEX(Master!$C$2:$C$1001,$O164))</f>
      </c>
      <c r="D164">
        <f>IF($O164="","",INDEX(Master!$A$2:$A$1001,$O164))</f>
      </c>
      <c r="E164">
        <f>IF($O164="","",INDEX(Master!$E$2:$E$1001,$O164))</f>
      </c>
      <c r="F164">
        <f>IF($O164="","",INDEX(Master!$F$2:$F$1001,$O164))</f>
      </c>
      <c r="G164">
        <f>IF($O164="","",INDEX(Master!$G$2:$G$1001,$O164))</f>
      </c>
      <c r="H164">
        <f>IF($O164="","",INDEX(Master!$H$2:$H$1001,$O164))</f>
      </c>
      <c r="I164">
        <f>IF($O164="","",INDEX(Master!$I$2:$I$1001,$O164))</f>
      </c>
      <c r="J164">
        <f>IF($O164="","",INDEX(Master!$J$2:$J$1001,$O164))</f>
      </c>
      <c r="K164">
        <f t="shared" si="4"/>
      </c>
      <c r="L164">
        <f>IF($O164="","",INDEX(Master!$K$2:$K$1001,$O164))</f>
      </c>
      <c r="M164">
        <f>IF($O164="","",INDEX(Master!$L$2:$L$1001,$O164))</f>
      </c>
      <c r="O164">
        <f t="array" ref="O164">IFERROR(SMALL(IF(Master!$A$2:$A$1001="SWADESH",ROW(Master!$A$2:$A$1001)-ROW(Master!$A$2)+1),160),"")</f>
      </c>
      <c r="P164">
        <f t="shared" si="5"/>
      </c>
    </row>
    <row r="165" spans="1:16" x14ac:dyDescent="0.25">
      <c r="A165">
        <f>IF($O165="","",INDEX(Master!$D$2:$D$1001,$O165))</f>
      </c>
      <c r="B165" s="166">
        <f>IF($O165="","",INDEX(Master!$B$2:$B$1001,$O165))</f>
      </c>
      <c r="C165">
        <f>IF($O165="","",INDEX(Master!$C$2:$C$1001,$O165))</f>
      </c>
      <c r="D165">
        <f>IF($O165="","",INDEX(Master!$A$2:$A$1001,$O165))</f>
      </c>
      <c r="E165">
        <f>IF($O165="","",INDEX(Master!$E$2:$E$1001,$O165))</f>
      </c>
      <c r="F165">
        <f>IF($O165="","",INDEX(Master!$F$2:$F$1001,$O165))</f>
      </c>
      <c r="G165">
        <f>IF($O165="","",INDEX(Master!$G$2:$G$1001,$O165))</f>
      </c>
      <c r="H165">
        <f>IF($O165="","",INDEX(Master!$H$2:$H$1001,$O165))</f>
      </c>
      <c r="I165">
        <f>IF($O165="","",INDEX(Master!$I$2:$I$1001,$O165))</f>
      </c>
      <c r="J165">
        <f>IF($O165="","",INDEX(Master!$J$2:$J$1001,$O165))</f>
      </c>
      <c r="K165">
        <f t="shared" si="4"/>
      </c>
      <c r="L165">
        <f>IF($O165="","",INDEX(Master!$K$2:$K$1001,$O165))</f>
      </c>
      <c r="M165">
        <f>IF($O165="","",INDEX(Master!$L$2:$L$1001,$O165))</f>
      </c>
      <c r="O165">
        <f t="array" ref="O165">IFERROR(SMALL(IF(Master!$A$2:$A$1001="SWADESH",ROW(Master!$A$2:$A$1001)-ROW(Master!$A$2)+1),161),"")</f>
      </c>
      <c r="P165">
        <f t="shared" si="5"/>
      </c>
    </row>
    <row r="166" spans="1:16" x14ac:dyDescent="0.25">
      <c r="A166">
        <f>IF($O166="","",INDEX(Master!$D$2:$D$1001,$O166))</f>
      </c>
      <c r="B166" s="166">
        <f>IF($O166="","",INDEX(Master!$B$2:$B$1001,$O166))</f>
      </c>
      <c r="C166">
        <f>IF($O166="","",INDEX(Master!$C$2:$C$1001,$O166))</f>
      </c>
      <c r="D166">
        <f>IF($O166="","",INDEX(Master!$A$2:$A$1001,$O166))</f>
      </c>
      <c r="E166">
        <f>IF($O166="","",INDEX(Master!$E$2:$E$1001,$O166))</f>
      </c>
      <c r="F166">
        <f>IF($O166="","",INDEX(Master!$F$2:$F$1001,$O166))</f>
      </c>
      <c r="G166">
        <f>IF($O166="","",INDEX(Master!$G$2:$G$1001,$O166))</f>
      </c>
      <c r="H166">
        <f>IF($O166="","",INDEX(Master!$H$2:$H$1001,$O166))</f>
      </c>
      <c r="I166">
        <f>IF($O166="","",INDEX(Master!$I$2:$I$1001,$O166))</f>
      </c>
      <c r="J166">
        <f>IF($O166="","",INDEX(Master!$J$2:$J$1001,$O166))</f>
      </c>
      <c r="K166">
        <f t="shared" si="4"/>
      </c>
      <c r="L166">
        <f>IF($O166="","",INDEX(Master!$K$2:$K$1001,$O166))</f>
      </c>
      <c r="M166">
        <f>IF($O166="","",INDEX(Master!$L$2:$L$1001,$O166))</f>
      </c>
      <c r="O166">
        <f t="array" ref="O166">IFERROR(SMALL(IF(Master!$A$2:$A$1001="SWADESH",ROW(Master!$A$2:$A$1001)-ROW(Master!$A$2)+1),162),"")</f>
      </c>
      <c r="P166">
        <f t="shared" si="5"/>
      </c>
    </row>
    <row r="167" spans="1:16" x14ac:dyDescent="0.25">
      <c r="A167">
        <f>IF($O167="","",INDEX(Master!$D$2:$D$1001,$O167))</f>
      </c>
      <c r="B167" s="166">
        <f>IF($O167="","",INDEX(Master!$B$2:$B$1001,$O167))</f>
      </c>
      <c r="C167">
        <f>IF($O167="","",INDEX(Master!$C$2:$C$1001,$O167))</f>
      </c>
      <c r="D167">
        <f>IF($O167="","",INDEX(Master!$A$2:$A$1001,$O167))</f>
      </c>
      <c r="E167">
        <f>IF($O167="","",INDEX(Master!$E$2:$E$1001,$O167))</f>
      </c>
      <c r="F167">
        <f>IF($O167="","",INDEX(Master!$F$2:$F$1001,$O167))</f>
      </c>
      <c r="G167">
        <f>IF($O167="","",INDEX(Master!$G$2:$G$1001,$O167))</f>
      </c>
      <c r="H167">
        <f>IF($O167="","",INDEX(Master!$H$2:$H$1001,$O167))</f>
      </c>
      <c r="I167">
        <f>IF($O167="","",INDEX(Master!$I$2:$I$1001,$O167))</f>
      </c>
      <c r="J167">
        <f>IF($O167="","",INDEX(Master!$J$2:$J$1001,$O167))</f>
      </c>
      <c r="K167">
        <f t="shared" si="4"/>
      </c>
      <c r="L167">
        <f>IF($O167="","",INDEX(Master!$K$2:$K$1001,$O167))</f>
      </c>
      <c r="M167">
        <f>IF($O167="","",INDEX(Master!$L$2:$L$1001,$O167))</f>
      </c>
      <c r="O167">
        <f t="array" ref="O167">IFERROR(SMALL(IF(Master!$A$2:$A$1001="SWADESH",ROW(Master!$A$2:$A$1001)-ROW(Master!$A$2)+1),163),"")</f>
      </c>
      <c r="P167">
        <f t="shared" si="5"/>
      </c>
    </row>
    <row r="168" spans="1:16" x14ac:dyDescent="0.25">
      <c r="A168">
        <f>IF($O168="","",INDEX(Master!$D$2:$D$1001,$O168))</f>
      </c>
      <c r="B168" s="166">
        <f>IF($O168="","",INDEX(Master!$B$2:$B$1001,$O168))</f>
      </c>
      <c r="C168">
        <f>IF($O168="","",INDEX(Master!$C$2:$C$1001,$O168))</f>
      </c>
      <c r="D168">
        <f>IF($O168="","",INDEX(Master!$A$2:$A$1001,$O168))</f>
      </c>
      <c r="E168">
        <f>IF($O168="","",INDEX(Master!$E$2:$E$1001,$O168))</f>
      </c>
      <c r="F168">
        <f>IF($O168="","",INDEX(Master!$F$2:$F$1001,$O168))</f>
      </c>
      <c r="G168">
        <f>IF($O168="","",INDEX(Master!$G$2:$G$1001,$O168))</f>
      </c>
      <c r="H168">
        <f>IF($O168="","",INDEX(Master!$H$2:$H$1001,$O168))</f>
      </c>
      <c r="I168">
        <f>IF($O168="","",INDEX(Master!$I$2:$I$1001,$O168))</f>
      </c>
      <c r="J168">
        <f>IF($O168="","",INDEX(Master!$J$2:$J$1001,$O168))</f>
      </c>
      <c r="K168">
        <f t="shared" si="4"/>
      </c>
      <c r="L168">
        <f>IF($O168="","",INDEX(Master!$K$2:$K$1001,$O168))</f>
      </c>
      <c r="M168">
        <f>IF($O168="","",INDEX(Master!$L$2:$L$1001,$O168))</f>
      </c>
      <c r="O168">
        <f t="array" ref="O168">IFERROR(SMALL(IF(Master!$A$2:$A$1001="SWADESH",ROW(Master!$A$2:$A$1001)-ROW(Master!$A$2)+1),164),"")</f>
      </c>
      <c r="P168">
        <f t="shared" si="5"/>
      </c>
    </row>
    <row r="169" spans="1:16" x14ac:dyDescent="0.25">
      <c r="A169">
        <f>IF($O169="","",INDEX(Master!$D$2:$D$1001,$O169))</f>
      </c>
      <c r="B169" s="166">
        <f>IF($O169="","",INDEX(Master!$B$2:$B$1001,$O169))</f>
      </c>
      <c r="C169">
        <f>IF($O169="","",INDEX(Master!$C$2:$C$1001,$O169))</f>
      </c>
      <c r="D169">
        <f>IF($O169="","",INDEX(Master!$A$2:$A$1001,$O169))</f>
      </c>
      <c r="E169">
        <f>IF($O169="","",INDEX(Master!$E$2:$E$1001,$O169))</f>
      </c>
      <c r="F169">
        <f>IF($O169="","",INDEX(Master!$F$2:$F$1001,$O169))</f>
      </c>
      <c r="G169">
        <f>IF($O169="","",INDEX(Master!$G$2:$G$1001,$O169))</f>
      </c>
      <c r="H169">
        <f>IF($O169="","",INDEX(Master!$H$2:$H$1001,$O169))</f>
      </c>
      <c r="I169">
        <f>IF($O169="","",INDEX(Master!$I$2:$I$1001,$O169))</f>
      </c>
      <c r="J169">
        <f>IF($O169="","",INDEX(Master!$J$2:$J$1001,$O169))</f>
      </c>
      <c r="K169">
        <f t="shared" si="4"/>
      </c>
      <c r="L169">
        <f>IF($O169="","",INDEX(Master!$K$2:$K$1001,$O169))</f>
      </c>
      <c r="M169">
        <f>IF($O169="","",INDEX(Master!$L$2:$L$1001,$O169))</f>
      </c>
      <c r="O169">
        <f t="array" ref="O169">IFERROR(SMALL(IF(Master!$A$2:$A$1001="SWADESH",ROW(Master!$A$2:$A$1001)-ROW(Master!$A$2)+1),165),"")</f>
      </c>
      <c r="P169">
        <f t="shared" si="5"/>
      </c>
    </row>
    <row r="170" spans="1:16" x14ac:dyDescent="0.25">
      <c r="A170">
        <f>IF($O170="","",INDEX(Master!$D$2:$D$1001,$O170))</f>
      </c>
      <c r="B170" s="166">
        <f>IF($O170="","",INDEX(Master!$B$2:$B$1001,$O170))</f>
      </c>
      <c r="C170">
        <f>IF($O170="","",INDEX(Master!$C$2:$C$1001,$O170))</f>
      </c>
      <c r="D170">
        <f>IF($O170="","",INDEX(Master!$A$2:$A$1001,$O170))</f>
      </c>
      <c r="E170">
        <f>IF($O170="","",INDEX(Master!$E$2:$E$1001,$O170))</f>
      </c>
      <c r="F170">
        <f>IF($O170="","",INDEX(Master!$F$2:$F$1001,$O170))</f>
      </c>
      <c r="G170">
        <f>IF($O170="","",INDEX(Master!$G$2:$G$1001,$O170))</f>
      </c>
      <c r="H170">
        <f>IF($O170="","",INDEX(Master!$H$2:$H$1001,$O170))</f>
      </c>
      <c r="I170">
        <f>IF($O170="","",INDEX(Master!$I$2:$I$1001,$O170))</f>
      </c>
      <c r="J170">
        <f>IF($O170="","",INDEX(Master!$J$2:$J$1001,$O170))</f>
      </c>
      <c r="K170">
        <f t="shared" si="4"/>
      </c>
      <c r="L170">
        <f>IF($O170="","",INDEX(Master!$K$2:$K$1001,$O170))</f>
      </c>
      <c r="M170">
        <f>IF($O170="","",INDEX(Master!$L$2:$L$1001,$O170))</f>
      </c>
      <c r="O170">
        <f t="array" ref="O170">IFERROR(SMALL(IF(Master!$A$2:$A$1001="SWADESH",ROW(Master!$A$2:$A$1001)-ROW(Master!$A$2)+1),166),"")</f>
      </c>
      <c r="P170">
        <f t="shared" si="5"/>
      </c>
    </row>
    <row r="171" spans="1:16" x14ac:dyDescent="0.25">
      <c r="A171">
        <f>IF($O171="","",INDEX(Master!$D$2:$D$1001,$O171))</f>
      </c>
      <c r="B171" s="166">
        <f>IF($O171="","",INDEX(Master!$B$2:$B$1001,$O171))</f>
      </c>
      <c r="C171">
        <f>IF($O171="","",INDEX(Master!$C$2:$C$1001,$O171))</f>
      </c>
      <c r="D171">
        <f>IF($O171="","",INDEX(Master!$A$2:$A$1001,$O171))</f>
      </c>
      <c r="E171">
        <f>IF($O171="","",INDEX(Master!$E$2:$E$1001,$O171))</f>
      </c>
      <c r="F171">
        <f>IF($O171="","",INDEX(Master!$F$2:$F$1001,$O171))</f>
      </c>
      <c r="G171">
        <f>IF($O171="","",INDEX(Master!$G$2:$G$1001,$O171))</f>
      </c>
      <c r="H171">
        <f>IF($O171="","",INDEX(Master!$H$2:$H$1001,$O171))</f>
      </c>
      <c r="I171">
        <f>IF($O171="","",INDEX(Master!$I$2:$I$1001,$O171))</f>
      </c>
      <c r="J171">
        <f>IF($O171="","",INDEX(Master!$J$2:$J$1001,$O171))</f>
      </c>
      <c r="K171">
        <f t="shared" si="4"/>
      </c>
      <c r="L171">
        <f>IF($O171="","",INDEX(Master!$K$2:$K$1001,$O171))</f>
      </c>
      <c r="M171">
        <f>IF($O171="","",INDEX(Master!$L$2:$L$1001,$O171))</f>
      </c>
      <c r="O171">
        <f t="array" ref="O171">IFERROR(SMALL(IF(Master!$A$2:$A$1001="SWADESH",ROW(Master!$A$2:$A$1001)-ROW(Master!$A$2)+1),167),"")</f>
      </c>
      <c r="P171">
        <f t="shared" si="5"/>
      </c>
    </row>
    <row r="172" spans="1:16" x14ac:dyDescent="0.25">
      <c r="A172">
        <f>IF($O172="","",INDEX(Master!$D$2:$D$1001,$O172))</f>
      </c>
      <c r="B172" s="166">
        <f>IF($O172="","",INDEX(Master!$B$2:$B$1001,$O172))</f>
      </c>
      <c r="C172">
        <f>IF($O172="","",INDEX(Master!$C$2:$C$1001,$O172))</f>
      </c>
      <c r="D172">
        <f>IF($O172="","",INDEX(Master!$A$2:$A$1001,$O172))</f>
      </c>
      <c r="E172">
        <f>IF($O172="","",INDEX(Master!$E$2:$E$1001,$O172))</f>
      </c>
      <c r="F172">
        <f>IF($O172="","",INDEX(Master!$F$2:$F$1001,$O172))</f>
      </c>
      <c r="G172">
        <f>IF($O172="","",INDEX(Master!$G$2:$G$1001,$O172))</f>
      </c>
      <c r="H172">
        <f>IF($O172="","",INDEX(Master!$H$2:$H$1001,$O172))</f>
      </c>
      <c r="I172">
        <f>IF($O172="","",INDEX(Master!$I$2:$I$1001,$O172))</f>
      </c>
      <c r="J172">
        <f>IF($O172="","",INDEX(Master!$J$2:$J$1001,$O172))</f>
      </c>
      <c r="K172">
        <f t="shared" si="4"/>
      </c>
      <c r="L172">
        <f>IF($O172="","",INDEX(Master!$K$2:$K$1001,$O172))</f>
      </c>
      <c r="M172">
        <f>IF($O172="","",INDEX(Master!$L$2:$L$1001,$O172))</f>
      </c>
      <c r="O172">
        <f t="array" ref="O172">IFERROR(SMALL(IF(Master!$A$2:$A$1001="SWADESH",ROW(Master!$A$2:$A$1001)-ROW(Master!$A$2)+1),168),"")</f>
      </c>
      <c r="P172">
        <f t="shared" si="5"/>
      </c>
    </row>
    <row r="173" spans="1:16" x14ac:dyDescent="0.25">
      <c r="A173">
        <f>IF($O173="","",INDEX(Master!$D$2:$D$1001,$O173))</f>
      </c>
      <c r="B173" s="166">
        <f>IF($O173="","",INDEX(Master!$B$2:$B$1001,$O173))</f>
      </c>
      <c r="C173">
        <f>IF($O173="","",INDEX(Master!$C$2:$C$1001,$O173))</f>
      </c>
      <c r="D173">
        <f>IF($O173="","",INDEX(Master!$A$2:$A$1001,$O173))</f>
      </c>
      <c r="E173">
        <f>IF($O173="","",INDEX(Master!$E$2:$E$1001,$O173))</f>
      </c>
      <c r="F173">
        <f>IF($O173="","",INDEX(Master!$F$2:$F$1001,$O173))</f>
      </c>
      <c r="G173">
        <f>IF($O173="","",INDEX(Master!$G$2:$G$1001,$O173))</f>
      </c>
      <c r="H173">
        <f>IF($O173="","",INDEX(Master!$H$2:$H$1001,$O173))</f>
      </c>
      <c r="I173">
        <f>IF($O173="","",INDEX(Master!$I$2:$I$1001,$O173))</f>
      </c>
      <c r="J173">
        <f>IF($O173="","",INDEX(Master!$J$2:$J$1001,$O173))</f>
      </c>
      <c r="K173">
        <f t="shared" si="4"/>
      </c>
      <c r="L173">
        <f>IF($O173="","",INDEX(Master!$K$2:$K$1001,$O173))</f>
      </c>
      <c r="M173">
        <f>IF($O173="","",INDEX(Master!$L$2:$L$1001,$O173))</f>
      </c>
      <c r="O173">
        <f t="array" ref="O173">IFERROR(SMALL(IF(Master!$A$2:$A$1001="SWADESH",ROW(Master!$A$2:$A$1001)-ROW(Master!$A$2)+1),169),"")</f>
      </c>
      <c r="P173">
        <f t="shared" si="5"/>
      </c>
    </row>
    <row r="174" spans="1:16" x14ac:dyDescent="0.25">
      <c r="A174">
        <f>IF($O174="","",INDEX(Master!$D$2:$D$1001,$O174))</f>
      </c>
      <c r="B174" s="166">
        <f>IF($O174="","",INDEX(Master!$B$2:$B$1001,$O174))</f>
      </c>
      <c r="C174">
        <f>IF($O174="","",INDEX(Master!$C$2:$C$1001,$O174))</f>
      </c>
      <c r="D174">
        <f>IF($O174="","",INDEX(Master!$A$2:$A$1001,$O174))</f>
      </c>
      <c r="E174">
        <f>IF($O174="","",INDEX(Master!$E$2:$E$1001,$O174))</f>
      </c>
      <c r="F174">
        <f>IF($O174="","",INDEX(Master!$F$2:$F$1001,$O174))</f>
      </c>
      <c r="G174">
        <f>IF($O174="","",INDEX(Master!$G$2:$G$1001,$O174))</f>
      </c>
      <c r="H174">
        <f>IF($O174="","",INDEX(Master!$H$2:$H$1001,$O174))</f>
      </c>
      <c r="I174">
        <f>IF($O174="","",INDEX(Master!$I$2:$I$1001,$O174))</f>
      </c>
      <c r="J174">
        <f>IF($O174="","",INDEX(Master!$J$2:$J$1001,$O174))</f>
      </c>
      <c r="K174">
        <f t="shared" si="4"/>
      </c>
      <c r="L174">
        <f>IF($O174="","",INDEX(Master!$K$2:$K$1001,$O174))</f>
      </c>
      <c r="M174">
        <f>IF($O174="","",INDEX(Master!$L$2:$L$1001,$O174))</f>
      </c>
      <c r="O174">
        <f t="array" ref="O174">IFERROR(SMALL(IF(Master!$A$2:$A$1001="SWADESH",ROW(Master!$A$2:$A$1001)-ROW(Master!$A$2)+1),170),"")</f>
      </c>
      <c r="P174">
        <f t="shared" si="5"/>
      </c>
    </row>
    <row r="175" spans="1:16" x14ac:dyDescent="0.25">
      <c r="A175">
        <f>IF($O175="","",INDEX(Master!$D$2:$D$1001,$O175))</f>
      </c>
      <c r="B175" s="166">
        <f>IF($O175="","",INDEX(Master!$B$2:$B$1001,$O175))</f>
      </c>
      <c r="C175">
        <f>IF($O175="","",INDEX(Master!$C$2:$C$1001,$O175))</f>
      </c>
      <c r="D175">
        <f>IF($O175="","",INDEX(Master!$A$2:$A$1001,$O175))</f>
      </c>
      <c r="E175">
        <f>IF($O175="","",INDEX(Master!$E$2:$E$1001,$O175))</f>
      </c>
      <c r="F175">
        <f>IF($O175="","",INDEX(Master!$F$2:$F$1001,$O175))</f>
      </c>
      <c r="G175">
        <f>IF($O175="","",INDEX(Master!$G$2:$G$1001,$O175))</f>
      </c>
      <c r="H175">
        <f>IF($O175="","",INDEX(Master!$H$2:$H$1001,$O175))</f>
      </c>
      <c r="I175">
        <f>IF($O175="","",INDEX(Master!$I$2:$I$1001,$O175))</f>
      </c>
      <c r="J175">
        <f>IF($O175="","",INDEX(Master!$J$2:$J$1001,$O175))</f>
      </c>
      <c r="K175">
        <f t="shared" si="4"/>
      </c>
      <c r="L175">
        <f>IF($O175="","",INDEX(Master!$K$2:$K$1001,$O175))</f>
      </c>
      <c r="M175">
        <f>IF($O175="","",INDEX(Master!$L$2:$L$1001,$O175))</f>
      </c>
      <c r="O175">
        <f t="array" ref="O175">IFERROR(SMALL(IF(Master!$A$2:$A$1001="SWADESH",ROW(Master!$A$2:$A$1001)-ROW(Master!$A$2)+1),171),"")</f>
      </c>
      <c r="P175">
        <f t="shared" si="5"/>
      </c>
    </row>
    <row r="176" spans="1:16" x14ac:dyDescent="0.25">
      <c r="A176">
        <f>IF($O176="","",INDEX(Master!$D$2:$D$1001,$O176))</f>
      </c>
      <c r="B176" s="166">
        <f>IF($O176="","",INDEX(Master!$B$2:$B$1001,$O176))</f>
      </c>
      <c r="C176">
        <f>IF($O176="","",INDEX(Master!$C$2:$C$1001,$O176))</f>
      </c>
      <c r="D176">
        <f>IF($O176="","",INDEX(Master!$A$2:$A$1001,$O176))</f>
      </c>
      <c r="E176">
        <f>IF($O176="","",INDEX(Master!$E$2:$E$1001,$O176))</f>
      </c>
      <c r="F176">
        <f>IF($O176="","",INDEX(Master!$F$2:$F$1001,$O176))</f>
      </c>
      <c r="G176">
        <f>IF($O176="","",INDEX(Master!$G$2:$G$1001,$O176))</f>
      </c>
      <c r="H176">
        <f>IF($O176="","",INDEX(Master!$H$2:$H$1001,$O176))</f>
      </c>
      <c r="I176">
        <f>IF($O176="","",INDEX(Master!$I$2:$I$1001,$O176))</f>
      </c>
      <c r="J176">
        <f>IF($O176="","",INDEX(Master!$J$2:$J$1001,$O176))</f>
      </c>
      <c r="K176">
        <f t="shared" si="4"/>
      </c>
      <c r="L176">
        <f>IF($O176="","",INDEX(Master!$K$2:$K$1001,$O176))</f>
      </c>
      <c r="M176">
        <f>IF($O176="","",INDEX(Master!$L$2:$L$1001,$O176))</f>
      </c>
      <c r="O176">
        <f t="array" ref="O176">IFERROR(SMALL(IF(Master!$A$2:$A$1001="SWADESH",ROW(Master!$A$2:$A$1001)-ROW(Master!$A$2)+1),172),"")</f>
      </c>
      <c r="P176">
        <f t="shared" si="5"/>
      </c>
    </row>
    <row r="177" spans="1:16" x14ac:dyDescent="0.25">
      <c r="A177">
        <f>IF($O177="","",INDEX(Master!$D$2:$D$1001,$O177))</f>
      </c>
      <c r="B177" s="166">
        <f>IF($O177="","",INDEX(Master!$B$2:$B$1001,$O177))</f>
      </c>
      <c r="C177">
        <f>IF($O177="","",INDEX(Master!$C$2:$C$1001,$O177))</f>
      </c>
      <c r="D177">
        <f>IF($O177="","",INDEX(Master!$A$2:$A$1001,$O177))</f>
      </c>
      <c r="E177">
        <f>IF($O177="","",INDEX(Master!$E$2:$E$1001,$O177))</f>
      </c>
      <c r="F177">
        <f>IF($O177="","",INDEX(Master!$F$2:$F$1001,$O177))</f>
      </c>
      <c r="G177">
        <f>IF($O177="","",INDEX(Master!$G$2:$G$1001,$O177))</f>
      </c>
      <c r="H177">
        <f>IF($O177="","",INDEX(Master!$H$2:$H$1001,$O177))</f>
      </c>
      <c r="I177">
        <f>IF($O177="","",INDEX(Master!$I$2:$I$1001,$O177))</f>
      </c>
      <c r="J177">
        <f>IF($O177="","",INDEX(Master!$J$2:$J$1001,$O177))</f>
      </c>
      <c r="K177">
        <f t="shared" si="4"/>
      </c>
      <c r="L177">
        <f>IF($O177="","",INDEX(Master!$K$2:$K$1001,$O177))</f>
      </c>
      <c r="M177">
        <f>IF($O177="","",INDEX(Master!$L$2:$L$1001,$O177))</f>
      </c>
      <c r="O177">
        <f t="array" ref="O177">IFERROR(SMALL(IF(Master!$A$2:$A$1001="SWADESH",ROW(Master!$A$2:$A$1001)-ROW(Master!$A$2)+1),173),"")</f>
      </c>
      <c r="P177">
        <f t="shared" si="5"/>
      </c>
    </row>
    <row r="178" spans="1:16" x14ac:dyDescent="0.25">
      <c r="A178">
        <f>IF($O178="","",INDEX(Master!$D$2:$D$1001,$O178))</f>
      </c>
      <c r="B178" s="166">
        <f>IF($O178="","",INDEX(Master!$B$2:$B$1001,$O178))</f>
      </c>
      <c r="C178">
        <f>IF($O178="","",INDEX(Master!$C$2:$C$1001,$O178))</f>
      </c>
      <c r="D178">
        <f>IF($O178="","",INDEX(Master!$A$2:$A$1001,$O178))</f>
      </c>
      <c r="E178">
        <f>IF($O178="","",INDEX(Master!$E$2:$E$1001,$O178))</f>
      </c>
      <c r="F178">
        <f>IF($O178="","",INDEX(Master!$F$2:$F$1001,$O178))</f>
      </c>
      <c r="G178">
        <f>IF($O178="","",INDEX(Master!$G$2:$G$1001,$O178))</f>
      </c>
      <c r="H178">
        <f>IF($O178="","",INDEX(Master!$H$2:$H$1001,$O178))</f>
      </c>
      <c r="I178">
        <f>IF($O178="","",INDEX(Master!$I$2:$I$1001,$O178))</f>
      </c>
      <c r="J178">
        <f>IF($O178="","",INDEX(Master!$J$2:$J$1001,$O178))</f>
      </c>
      <c r="K178">
        <f t="shared" si="4"/>
      </c>
      <c r="L178">
        <f>IF($O178="","",INDEX(Master!$K$2:$K$1001,$O178))</f>
      </c>
      <c r="M178">
        <f>IF($O178="","",INDEX(Master!$L$2:$L$1001,$O178))</f>
      </c>
      <c r="O178">
        <f t="array" ref="O178">IFERROR(SMALL(IF(Master!$A$2:$A$1001="SWADESH",ROW(Master!$A$2:$A$1001)-ROW(Master!$A$2)+1),174),"")</f>
      </c>
      <c r="P178">
        <f t="shared" si="5"/>
      </c>
    </row>
    <row r="179" spans="1:16" x14ac:dyDescent="0.25">
      <c r="A179">
        <f>IF($O179="","",INDEX(Master!$D$2:$D$1001,$O179))</f>
      </c>
      <c r="B179" s="166">
        <f>IF($O179="","",INDEX(Master!$B$2:$B$1001,$O179))</f>
      </c>
      <c r="C179">
        <f>IF($O179="","",INDEX(Master!$C$2:$C$1001,$O179))</f>
      </c>
      <c r="D179">
        <f>IF($O179="","",INDEX(Master!$A$2:$A$1001,$O179))</f>
      </c>
      <c r="E179">
        <f>IF($O179="","",INDEX(Master!$E$2:$E$1001,$O179))</f>
      </c>
      <c r="F179">
        <f>IF($O179="","",INDEX(Master!$F$2:$F$1001,$O179))</f>
      </c>
      <c r="G179">
        <f>IF($O179="","",INDEX(Master!$G$2:$G$1001,$O179))</f>
      </c>
      <c r="H179">
        <f>IF($O179="","",INDEX(Master!$H$2:$H$1001,$O179))</f>
      </c>
      <c r="I179">
        <f>IF($O179="","",INDEX(Master!$I$2:$I$1001,$O179))</f>
      </c>
      <c r="J179">
        <f>IF($O179="","",INDEX(Master!$J$2:$J$1001,$O179))</f>
      </c>
      <c r="K179">
        <f t="shared" si="4"/>
      </c>
      <c r="L179">
        <f>IF($O179="","",INDEX(Master!$K$2:$K$1001,$O179))</f>
      </c>
      <c r="M179">
        <f>IF($O179="","",INDEX(Master!$L$2:$L$1001,$O179))</f>
      </c>
      <c r="O179">
        <f t="array" ref="O179">IFERROR(SMALL(IF(Master!$A$2:$A$1001="SWADESH",ROW(Master!$A$2:$A$1001)-ROW(Master!$A$2)+1),175),"")</f>
      </c>
      <c r="P179">
        <f t="shared" si="5"/>
      </c>
    </row>
    <row r="180" spans="1:16" x14ac:dyDescent="0.25">
      <c r="A180">
        <f>IF($O180="","",INDEX(Master!$D$2:$D$1001,$O180))</f>
      </c>
      <c r="B180" s="166">
        <f>IF($O180="","",INDEX(Master!$B$2:$B$1001,$O180))</f>
      </c>
      <c r="C180">
        <f>IF($O180="","",INDEX(Master!$C$2:$C$1001,$O180))</f>
      </c>
      <c r="D180">
        <f>IF($O180="","",INDEX(Master!$A$2:$A$1001,$O180))</f>
      </c>
      <c r="E180">
        <f>IF($O180="","",INDEX(Master!$E$2:$E$1001,$O180))</f>
      </c>
      <c r="F180">
        <f>IF($O180="","",INDEX(Master!$F$2:$F$1001,$O180))</f>
      </c>
      <c r="G180">
        <f>IF($O180="","",INDEX(Master!$G$2:$G$1001,$O180))</f>
      </c>
      <c r="H180">
        <f>IF($O180="","",INDEX(Master!$H$2:$H$1001,$O180))</f>
      </c>
      <c r="I180">
        <f>IF($O180="","",INDEX(Master!$I$2:$I$1001,$O180))</f>
      </c>
      <c r="J180">
        <f>IF($O180="","",INDEX(Master!$J$2:$J$1001,$O180))</f>
      </c>
      <c r="K180">
        <f t="shared" si="4"/>
      </c>
      <c r="L180">
        <f>IF($O180="","",INDEX(Master!$K$2:$K$1001,$O180))</f>
      </c>
      <c r="M180">
        <f>IF($O180="","",INDEX(Master!$L$2:$L$1001,$O180))</f>
      </c>
      <c r="O180">
        <f t="array" ref="O180">IFERROR(SMALL(IF(Master!$A$2:$A$1001="SWADESH",ROW(Master!$A$2:$A$1001)-ROW(Master!$A$2)+1),176),"")</f>
      </c>
      <c r="P180">
        <f t="shared" si="5"/>
      </c>
    </row>
    <row r="181" spans="1:16" x14ac:dyDescent="0.25">
      <c r="A181">
        <f>IF($O181="","",INDEX(Master!$D$2:$D$1001,$O181))</f>
      </c>
      <c r="B181" s="166">
        <f>IF($O181="","",INDEX(Master!$B$2:$B$1001,$O181))</f>
      </c>
      <c r="C181">
        <f>IF($O181="","",INDEX(Master!$C$2:$C$1001,$O181))</f>
      </c>
      <c r="D181">
        <f>IF($O181="","",INDEX(Master!$A$2:$A$1001,$O181))</f>
      </c>
      <c r="E181">
        <f>IF($O181="","",INDEX(Master!$E$2:$E$1001,$O181))</f>
      </c>
      <c r="F181">
        <f>IF($O181="","",INDEX(Master!$F$2:$F$1001,$O181))</f>
      </c>
      <c r="G181">
        <f>IF($O181="","",INDEX(Master!$G$2:$G$1001,$O181))</f>
      </c>
      <c r="H181">
        <f>IF($O181="","",INDEX(Master!$H$2:$H$1001,$O181))</f>
      </c>
      <c r="I181">
        <f>IF($O181="","",INDEX(Master!$I$2:$I$1001,$O181))</f>
      </c>
      <c r="J181">
        <f>IF($O181="","",INDEX(Master!$J$2:$J$1001,$O181))</f>
      </c>
      <c r="K181">
        <f t="shared" si="4"/>
      </c>
      <c r="L181">
        <f>IF($O181="","",INDEX(Master!$K$2:$K$1001,$O181))</f>
      </c>
      <c r="M181">
        <f>IF($O181="","",INDEX(Master!$L$2:$L$1001,$O181))</f>
      </c>
      <c r="O181">
        <f t="array" ref="O181">IFERROR(SMALL(IF(Master!$A$2:$A$1001="SWADESH",ROW(Master!$A$2:$A$1001)-ROW(Master!$A$2)+1),177),"")</f>
      </c>
      <c r="P181">
        <f t="shared" si="5"/>
      </c>
    </row>
    <row r="182" spans="1:16" x14ac:dyDescent="0.25">
      <c r="A182">
        <f>IF($O182="","",INDEX(Master!$D$2:$D$1001,$O182))</f>
      </c>
      <c r="B182" s="166">
        <f>IF($O182="","",INDEX(Master!$B$2:$B$1001,$O182))</f>
      </c>
      <c r="C182">
        <f>IF($O182="","",INDEX(Master!$C$2:$C$1001,$O182))</f>
      </c>
      <c r="D182">
        <f>IF($O182="","",INDEX(Master!$A$2:$A$1001,$O182))</f>
      </c>
      <c r="E182">
        <f>IF($O182="","",INDEX(Master!$E$2:$E$1001,$O182))</f>
      </c>
      <c r="F182">
        <f>IF($O182="","",INDEX(Master!$F$2:$F$1001,$O182))</f>
      </c>
      <c r="G182">
        <f>IF($O182="","",INDEX(Master!$G$2:$G$1001,$O182))</f>
      </c>
      <c r="H182">
        <f>IF($O182="","",INDEX(Master!$H$2:$H$1001,$O182))</f>
      </c>
      <c r="I182">
        <f>IF($O182="","",INDEX(Master!$I$2:$I$1001,$O182))</f>
      </c>
      <c r="J182">
        <f>IF($O182="","",INDEX(Master!$J$2:$J$1001,$O182))</f>
      </c>
      <c r="K182">
        <f t="shared" si="4"/>
      </c>
      <c r="L182">
        <f>IF($O182="","",INDEX(Master!$K$2:$K$1001,$O182))</f>
      </c>
      <c r="M182">
        <f>IF($O182="","",INDEX(Master!$L$2:$L$1001,$O182))</f>
      </c>
      <c r="O182">
        <f t="array" ref="O182">IFERROR(SMALL(IF(Master!$A$2:$A$1001="SWADESH",ROW(Master!$A$2:$A$1001)-ROW(Master!$A$2)+1),178),"")</f>
      </c>
      <c r="P182">
        <f t="shared" si="5"/>
      </c>
    </row>
    <row r="183" spans="1:16" x14ac:dyDescent="0.25">
      <c r="A183">
        <f>IF($O183="","",INDEX(Master!$D$2:$D$1001,$O183))</f>
      </c>
      <c r="B183" s="166">
        <f>IF($O183="","",INDEX(Master!$B$2:$B$1001,$O183))</f>
      </c>
      <c r="C183">
        <f>IF($O183="","",INDEX(Master!$C$2:$C$1001,$O183))</f>
      </c>
      <c r="D183">
        <f>IF($O183="","",INDEX(Master!$A$2:$A$1001,$O183))</f>
      </c>
      <c r="E183">
        <f>IF($O183="","",INDEX(Master!$E$2:$E$1001,$O183))</f>
      </c>
      <c r="F183">
        <f>IF($O183="","",INDEX(Master!$F$2:$F$1001,$O183))</f>
      </c>
      <c r="G183">
        <f>IF($O183="","",INDEX(Master!$G$2:$G$1001,$O183))</f>
      </c>
      <c r="H183">
        <f>IF($O183="","",INDEX(Master!$H$2:$H$1001,$O183))</f>
      </c>
      <c r="I183">
        <f>IF($O183="","",INDEX(Master!$I$2:$I$1001,$O183))</f>
      </c>
      <c r="J183">
        <f>IF($O183="","",INDEX(Master!$J$2:$J$1001,$O183))</f>
      </c>
      <c r="K183">
        <f t="shared" si="4"/>
      </c>
      <c r="L183">
        <f>IF($O183="","",INDEX(Master!$K$2:$K$1001,$O183))</f>
      </c>
      <c r="M183">
        <f>IF($O183="","",INDEX(Master!$L$2:$L$1001,$O183))</f>
      </c>
      <c r="O183">
        <f t="array" ref="O183">IFERROR(SMALL(IF(Master!$A$2:$A$1001="SWADESH",ROW(Master!$A$2:$A$1001)-ROW(Master!$A$2)+1),179),"")</f>
      </c>
      <c r="P183">
        <f t="shared" si="5"/>
      </c>
    </row>
    <row r="184" spans="1:16" x14ac:dyDescent="0.25">
      <c r="A184">
        <f>IF($O184="","",INDEX(Master!$D$2:$D$1001,$O184))</f>
      </c>
      <c r="B184" s="166">
        <f>IF($O184="","",INDEX(Master!$B$2:$B$1001,$O184))</f>
      </c>
      <c r="C184">
        <f>IF($O184="","",INDEX(Master!$C$2:$C$1001,$O184))</f>
      </c>
      <c r="D184">
        <f>IF($O184="","",INDEX(Master!$A$2:$A$1001,$O184))</f>
      </c>
      <c r="E184">
        <f>IF($O184="","",INDEX(Master!$E$2:$E$1001,$O184))</f>
      </c>
      <c r="F184">
        <f>IF($O184="","",INDEX(Master!$F$2:$F$1001,$O184))</f>
      </c>
      <c r="G184">
        <f>IF($O184="","",INDEX(Master!$G$2:$G$1001,$O184))</f>
      </c>
      <c r="H184">
        <f>IF($O184="","",INDEX(Master!$H$2:$H$1001,$O184))</f>
      </c>
      <c r="I184">
        <f>IF($O184="","",INDEX(Master!$I$2:$I$1001,$O184))</f>
      </c>
      <c r="J184">
        <f>IF($O184="","",INDEX(Master!$J$2:$J$1001,$O184))</f>
      </c>
      <c r="K184">
        <f t="shared" si="4"/>
      </c>
      <c r="L184">
        <f>IF($O184="","",INDEX(Master!$K$2:$K$1001,$O184))</f>
      </c>
      <c r="M184">
        <f>IF($O184="","",INDEX(Master!$L$2:$L$1001,$O184))</f>
      </c>
      <c r="O184">
        <f t="array" ref="O184">IFERROR(SMALL(IF(Master!$A$2:$A$1001="SWADESH",ROW(Master!$A$2:$A$1001)-ROW(Master!$A$2)+1),180),"")</f>
      </c>
      <c r="P184">
        <f t="shared" si="5"/>
      </c>
    </row>
    <row r="185" spans="1:16" x14ac:dyDescent="0.25">
      <c r="A185">
        <f>IF($O185="","",INDEX(Master!$D$2:$D$1001,$O185))</f>
      </c>
      <c r="B185" s="166">
        <f>IF($O185="","",INDEX(Master!$B$2:$B$1001,$O185))</f>
      </c>
      <c r="C185">
        <f>IF($O185="","",INDEX(Master!$C$2:$C$1001,$O185))</f>
      </c>
      <c r="D185">
        <f>IF($O185="","",INDEX(Master!$A$2:$A$1001,$O185))</f>
      </c>
      <c r="E185">
        <f>IF($O185="","",INDEX(Master!$E$2:$E$1001,$O185))</f>
      </c>
      <c r="F185">
        <f>IF($O185="","",INDEX(Master!$F$2:$F$1001,$O185))</f>
      </c>
      <c r="G185">
        <f>IF($O185="","",INDEX(Master!$G$2:$G$1001,$O185))</f>
      </c>
      <c r="H185">
        <f>IF($O185="","",INDEX(Master!$H$2:$H$1001,$O185))</f>
      </c>
      <c r="I185">
        <f>IF($O185="","",INDEX(Master!$I$2:$I$1001,$O185))</f>
      </c>
      <c r="J185">
        <f>IF($O185="","",INDEX(Master!$J$2:$J$1001,$O185))</f>
      </c>
      <c r="K185">
        <f t="shared" si="4"/>
      </c>
      <c r="L185">
        <f>IF($O185="","",INDEX(Master!$K$2:$K$1001,$O185))</f>
      </c>
      <c r="M185">
        <f>IF($O185="","",INDEX(Master!$L$2:$L$1001,$O185))</f>
      </c>
      <c r="O185">
        <f t="array" ref="O185">IFERROR(SMALL(IF(Master!$A$2:$A$1001="SWADESH",ROW(Master!$A$2:$A$1001)-ROW(Master!$A$2)+1),181),"")</f>
      </c>
      <c r="P185">
        <f t="shared" si="5"/>
      </c>
    </row>
    <row r="186" spans="1:16" x14ac:dyDescent="0.25">
      <c r="A186">
        <f>IF($O186="","",INDEX(Master!$D$2:$D$1001,$O186))</f>
      </c>
      <c r="B186" s="166">
        <f>IF($O186="","",INDEX(Master!$B$2:$B$1001,$O186))</f>
      </c>
      <c r="C186">
        <f>IF($O186="","",INDEX(Master!$C$2:$C$1001,$O186))</f>
      </c>
      <c r="D186">
        <f>IF($O186="","",INDEX(Master!$A$2:$A$1001,$O186))</f>
      </c>
      <c r="E186">
        <f>IF($O186="","",INDEX(Master!$E$2:$E$1001,$O186))</f>
      </c>
      <c r="F186">
        <f>IF($O186="","",INDEX(Master!$F$2:$F$1001,$O186))</f>
      </c>
      <c r="G186">
        <f>IF($O186="","",INDEX(Master!$G$2:$G$1001,$O186))</f>
      </c>
      <c r="H186">
        <f>IF($O186="","",INDEX(Master!$H$2:$H$1001,$O186))</f>
      </c>
      <c r="I186">
        <f>IF($O186="","",INDEX(Master!$I$2:$I$1001,$O186))</f>
      </c>
      <c r="J186">
        <f>IF($O186="","",INDEX(Master!$J$2:$J$1001,$O186))</f>
      </c>
      <c r="K186">
        <f t="shared" si="4"/>
      </c>
      <c r="L186">
        <f>IF($O186="","",INDEX(Master!$K$2:$K$1001,$O186))</f>
      </c>
      <c r="M186">
        <f>IF($O186="","",INDEX(Master!$L$2:$L$1001,$O186))</f>
      </c>
      <c r="O186">
        <f t="array" ref="O186">IFERROR(SMALL(IF(Master!$A$2:$A$1001="SWADESH",ROW(Master!$A$2:$A$1001)-ROW(Master!$A$2)+1),182),"")</f>
      </c>
      <c r="P186">
        <f t="shared" si="5"/>
      </c>
    </row>
    <row r="187" spans="1:16" x14ac:dyDescent="0.25">
      <c r="A187">
        <f>IF($O187="","",INDEX(Master!$D$2:$D$1001,$O187))</f>
      </c>
      <c r="B187" s="166">
        <f>IF($O187="","",INDEX(Master!$B$2:$B$1001,$O187))</f>
      </c>
      <c r="C187">
        <f>IF($O187="","",INDEX(Master!$C$2:$C$1001,$O187))</f>
      </c>
      <c r="D187">
        <f>IF($O187="","",INDEX(Master!$A$2:$A$1001,$O187))</f>
      </c>
      <c r="E187">
        <f>IF($O187="","",INDEX(Master!$E$2:$E$1001,$O187))</f>
      </c>
      <c r="F187">
        <f>IF($O187="","",INDEX(Master!$F$2:$F$1001,$O187))</f>
      </c>
      <c r="G187">
        <f>IF($O187="","",INDEX(Master!$G$2:$G$1001,$O187))</f>
      </c>
      <c r="H187">
        <f>IF($O187="","",INDEX(Master!$H$2:$H$1001,$O187))</f>
      </c>
      <c r="I187">
        <f>IF($O187="","",INDEX(Master!$I$2:$I$1001,$O187))</f>
      </c>
      <c r="J187">
        <f>IF($O187="","",INDEX(Master!$J$2:$J$1001,$O187))</f>
      </c>
      <c r="K187">
        <f t="shared" si="4"/>
      </c>
      <c r="L187">
        <f>IF($O187="","",INDEX(Master!$K$2:$K$1001,$O187))</f>
      </c>
      <c r="M187">
        <f>IF($O187="","",INDEX(Master!$L$2:$L$1001,$O187))</f>
      </c>
      <c r="O187">
        <f t="array" ref="O187">IFERROR(SMALL(IF(Master!$A$2:$A$1001="SWADESH",ROW(Master!$A$2:$A$1001)-ROW(Master!$A$2)+1),183),"")</f>
      </c>
      <c r="P187">
        <f t="shared" si="5"/>
      </c>
    </row>
    <row r="188" spans="1:16" x14ac:dyDescent="0.25">
      <c r="A188">
        <f>IF($O188="","",INDEX(Master!$D$2:$D$1001,$O188))</f>
      </c>
      <c r="B188" s="166">
        <f>IF($O188="","",INDEX(Master!$B$2:$B$1001,$O188))</f>
      </c>
      <c r="C188">
        <f>IF($O188="","",INDEX(Master!$C$2:$C$1001,$O188))</f>
      </c>
      <c r="D188">
        <f>IF($O188="","",INDEX(Master!$A$2:$A$1001,$O188))</f>
      </c>
      <c r="E188">
        <f>IF($O188="","",INDEX(Master!$E$2:$E$1001,$O188))</f>
      </c>
      <c r="F188">
        <f>IF($O188="","",INDEX(Master!$F$2:$F$1001,$O188))</f>
      </c>
      <c r="G188">
        <f>IF($O188="","",INDEX(Master!$G$2:$G$1001,$O188))</f>
      </c>
      <c r="H188">
        <f>IF($O188="","",INDEX(Master!$H$2:$H$1001,$O188))</f>
      </c>
      <c r="I188">
        <f>IF($O188="","",INDEX(Master!$I$2:$I$1001,$O188))</f>
      </c>
      <c r="J188">
        <f>IF($O188="","",INDEX(Master!$J$2:$J$1001,$O188))</f>
      </c>
      <c r="K188">
        <f t="shared" si="4"/>
      </c>
      <c r="L188">
        <f>IF($O188="","",INDEX(Master!$K$2:$K$1001,$O188))</f>
      </c>
      <c r="M188">
        <f>IF($O188="","",INDEX(Master!$L$2:$L$1001,$O188))</f>
      </c>
      <c r="O188">
        <f t="array" ref="O188">IFERROR(SMALL(IF(Master!$A$2:$A$1001="SWADESH",ROW(Master!$A$2:$A$1001)-ROW(Master!$A$2)+1),184),"")</f>
      </c>
      <c r="P188">
        <f t="shared" si="5"/>
      </c>
    </row>
    <row r="189" spans="1:16" x14ac:dyDescent="0.25">
      <c r="A189">
        <f>IF($O189="","",INDEX(Master!$D$2:$D$1001,$O189))</f>
      </c>
      <c r="B189" s="166">
        <f>IF($O189="","",INDEX(Master!$B$2:$B$1001,$O189))</f>
      </c>
      <c r="C189">
        <f>IF($O189="","",INDEX(Master!$C$2:$C$1001,$O189))</f>
      </c>
      <c r="D189">
        <f>IF($O189="","",INDEX(Master!$A$2:$A$1001,$O189))</f>
      </c>
      <c r="E189">
        <f>IF($O189="","",INDEX(Master!$E$2:$E$1001,$O189))</f>
      </c>
      <c r="F189">
        <f>IF($O189="","",INDEX(Master!$F$2:$F$1001,$O189))</f>
      </c>
      <c r="G189">
        <f>IF($O189="","",INDEX(Master!$G$2:$G$1001,$O189))</f>
      </c>
      <c r="H189">
        <f>IF($O189="","",INDEX(Master!$H$2:$H$1001,$O189))</f>
      </c>
      <c r="I189">
        <f>IF($O189="","",INDEX(Master!$I$2:$I$1001,$O189))</f>
      </c>
      <c r="J189">
        <f>IF($O189="","",INDEX(Master!$J$2:$J$1001,$O189))</f>
      </c>
      <c r="K189">
        <f t="shared" si="4"/>
      </c>
      <c r="L189">
        <f>IF($O189="","",INDEX(Master!$K$2:$K$1001,$O189))</f>
      </c>
      <c r="M189">
        <f>IF($O189="","",INDEX(Master!$L$2:$L$1001,$O189))</f>
      </c>
      <c r="O189">
        <f t="array" ref="O189">IFERROR(SMALL(IF(Master!$A$2:$A$1001="SWADESH",ROW(Master!$A$2:$A$1001)-ROW(Master!$A$2)+1),185),"")</f>
      </c>
      <c r="P189">
        <f t="shared" si="5"/>
      </c>
    </row>
    <row r="190" spans="1:16" x14ac:dyDescent="0.25">
      <c r="A190">
        <f>IF($O190="","",INDEX(Master!$D$2:$D$1001,$O190))</f>
      </c>
      <c r="B190" s="166">
        <f>IF($O190="","",INDEX(Master!$B$2:$B$1001,$O190))</f>
      </c>
      <c r="C190">
        <f>IF($O190="","",INDEX(Master!$C$2:$C$1001,$O190))</f>
      </c>
      <c r="D190">
        <f>IF($O190="","",INDEX(Master!$A$2:$A$1001,$O190))</f>
      </c>
      <c r="E190">
        <f>IF($O190="","",INDEX(Master!$E$2:$E$1001,$O190))</f>
      </c>
      <c r="F190">
        <f>IF($O190="","",INDEX(Master!$F$2:$F$1001,$O190))</f>
      </c>
      <c r="G190">
        <f>IF($O190="","",INDEX(Master!$G$2:$G$1001,$O190))</f>
      </c>
      <c r="H190">
        <f>IF($O190="","",INDEX(Master!$H$2:$H$1001,$O190))</f>
      </c>
      <c r="I190">
        <f>IF($O190="","",INDEX(Master!$I$2:$I$1001,$O190))</f>
      </c>
      <c r="J190">
        <f>IF($O190="","",INDEX(Master!$J$2:$J$1001,$O190))</f>
      </c>
      <c r="K190">
        <f t="shared" si="4"/>
      </c>
      <c r="L190">
        <f>IF($O190="","",INDEX(Master!$K$2:$K$1001,$O190))</f>
      </c>
      <c r="M190">
        <f>IF($O190="","",INDEX(Master!$L$2:$L$1001,$O190))</f>
      </c>
      <c r="O190">
        <f t="array" ref="O190">IFERROR(SMALL(IF(Master!$A$2:$A$1001="SWADESH",ROW(Master!$A$2:$A$1001)-ROW(Master!$A$2)+1),186),"")</f>
      </c>
      <c r="P190">
        <f t="shared" si="5"/>
      </c>
    </row>
    <row r="191" spans="1:16" x14ac:dyDescent="0.25">
      <c r="A191">
        <f>IF($O191="","",INDEX(Master!$D$2:$D$1001,$O191))</f>
      </c>
      <c r="B191" s="166">
        <f>IF($O191="","",INDEX(Master!$B$2:$B$1001,$O191))</f>
      </c>
      <c r="C191">
        <f>IF($O191="","",INDEX(Master!$C$2:$C$1001,$O191))</f>
      </c>
      <c r="D191">
        <f>IF($O191="","",INDEX(Master!$A$2:$A$1001,$O191))</f>
      </c>
      <c r="E191">
        <f>IF($O191="","",INDEX(Master!$E$2:$E$1001,$O191))</f>
      </c>
      <c r="F191">
        <f>IF($O191="","",INDEX(Master!$F$2:$F$1001,$O191))</f>
      </c>
      <c r="G191">
        <f>IF($O191="","",INDEX(Master!$G$2:$G$1001,$O191))</f>
      </c>
      <c r="H191">
        <f>IF($O191="","",INDEX(Master!$H$2:$H$1001,$O191))</f>
      </c>
      <c r="I191">
        <f>IF($O191="","",INDEX(Master!$I$2:$I$1001,$O191))</f>
      </c>
      <c r="J191">
        <f>IF($O191="","",INDEX(Master!$J$2:$J$1001,$O191))</f>
      </c>
      <c r="K191">
        <f t="shared" si="4"/>
      </c>
      <c r="L191">
        <f>IF($O191="","",INDEX(Master!$K$2:$K$1001,$O191))</f>
      </c>
      <c r="M191">
        <f>IF($O191="","",INDEX(Master!$L$2:$L$1001,$O191))</f>
      </c>
      <c r="O191">
        <f t="array" ref="O191">IFERROR(SMALL(IF(Master!$A$2:$A$1001="SWADESH",ROW(Master!$A$2:$A$1001)-ROW(Master!$A$2)+1),187),"")</f>
      </c>
      <c r="P191">
        <f t="shared" si="5"/>
      </c>
    </row>
    <row r="192" spans="1:16" x14ac:dyDescent="0.25">
      <c r="A192">
        <f>IF($O192="","",INDEX(Master!$D$2:$D$1001,$O192))</f>
      </c>
      <c r="B192" s="166">
        <f>IF($O192="","",INDEX(Master!$B$2:$B$1001,$O192))</f>
      </c>
      <c r="C192">
        <f>IF($O192="","",INDEX(Master!$C$2:$C$1001,$O192))</f>
      </c>
      <c r="D192">
        <f>IF($O192="","",INDEX(Master!$A$2:$A$1001,$O192))</f>
      </c>
      <c r="E192">
        <f>IF($O192="","",INDEX(Master!$E$2:$E$1001,$O192))</f>
      </c>
      <c r="F192">
        <f>IF($O192="","",INDEX(Master!$F$2:$F$1001,$O192))</f>
      </c>
      <c r="G192">
        <f>IF($O192="","",INDEX(Master!$G$2:$G$1001,$O192))</f>
      </c>
      <c r="H192">
        <f>IF($O192="","",INDEX(Master!$H$2:$H$1001,$O192))</f>
      </c>
      <c r="I192">
        <f>IF($O192="","",INDEX(Master!$I$2:$I$1001,$O192))</f>
      </c>
      <c r="J192">
        <f>IF($O192="","",INDEX(Master!$J$2:$J$1001,$O192))</f>
      </c>
      <c r="K192">
        <f t="shared" si="4"/>
      </c>
      <c r="L192">
        <f>IF($O192="","",INDEX(Master!$K$2:$K$1001,$O192))</f>
      </c>
      <c r="M192">
        <f>IF($O192="","",INDEX(Master!$L$2:$L$1001,$O192))</f>
      </c>
      <c r="O192">
        <f t="array" ref="O192">IFERROR(SMALL(IF(Master!$A$2:$A$1001="SWADESH",ROW(Master!$A$2:$A$1001)-ROW(Master!$A$2)+1),188),"")</f>
      </c>
      <c r="P192">
        <f t="shared" si="5"/>
      </c>
    </row>
    <row r="193" spans="1:16" x14ac:dyDescent="0.25">
      <c r="A193">
        <f>IF($O193="","",INDEX(Master!$D$2:$D$1001,$O193))</f>
      </c>
      <c r="B193" s="166">
        <f>IF($O193="","",INDEX(Master!$B$2:$B$1001,$O193))</f>
      </c>
      <c r="C193">
        <f>IF($O193="","",INDEX(Master!$C$2:$C$1001,$O193))</f>
      </c>
      <c r="D193">
        <f>IF($O193="","",INDEX(Master!$A$2:$A$1001,$O193))</f>
      </c>
      <c r="E193">
        <f>IF($O193="","",INDEX(Master!$E$2:$E$1001,$O193))</f>
      </c>
      <c r="F193">
        <f>IF($O193="","",INDEX(Master!$F$2:$F$1001,$O193))</f>
      </c>
      <c r="G193">
        <f>IF($O193="","",INDEX(Master!$G$2:$G$1001,$O193))</f>
      </c>
      <c r="H193">
        <f>IF($O193="","",INDEX(Master!$H$2:$H$1001,$O193))</f>
      </c>
      <c r="I193">
        <f>IF($O193="","",INDEX(Master!$I$2:$I$1001,$O193))</f>
      </c>
      <c r="J193">
        <f>IF($O193="","",INDEX(Master!$J$2:$J$1001,$O193))</f>
      </c>
      <c r="K193">
        <f t="shared" si="4"/>
      </c>
      <c r="L193">
        <f>IF($O193="","",INDEX(Master!$K$2:$K$1001,$O193))</f>
      </c>
      <c r="M193">
        <f>IF($O193="","",INDEX(Master!$L$2:$L$1001,$O193))</f>
      </c>
      <c r="O193">
        <f t="array" ref="O193">IFERROR(SMALL(IF(Master!$A$2:$A$1001="SWADESH",ROW(Master!$A$2:$A$1001)-ROW(Master!$A$2)+1),189),"")</f>
      </c>
      <c r="P193">
        <f t="shared" si="5"/>
      </c>
    </row>
    <row r="194" spans="1:16" x14ac:dyDescent="0.25">
      <c r="A194">
        <f>IF($O194="","",INDEX(Master!$D$2:$D$1001,$O194))</f>
      </c>
      <c r="B194" s="166">
        <f>IF($O194="","",INDEX(Master!$B$2:$B$1001,$O194))</f>
      </c>
      <c r="C194">
        <f>IF($O194="","",INDEX(Master!$C$2:$C$1001,$O194))</f>
      </c>
      <c r="D194">
        <f>IF($O194="","",INDEX(Master!$A$2:$A$1001,$O194))</f>
      </c>
      <c r="E194">
        <f>IF($O194="","",INDEX(Master!$E$2:$E$1001,$O194))</f>
      </c>
      <c r="F194">
        <f>IF($O194="","",INDEX(Master!$F$2:$F$1001,$O194))</f>
      </c>
      <c r="G194">
        <f>IF($O194="","",INDEX(Master!$G$2:$G$1001,$O194))</f>
      </c>
      <c r="H194">
        <f>IF($O194="","",INDEX(Master!$H$2:$H$1001,$O194))</f>
      </c>
      <c r="I194">
        <f>IF($O194="","",INDEX(Master!$I$2:$I$1001,$O194))</f>
      </c>
      <c r="J194">
        <f>IF($O194="","",INDEX(Master!$J$2:$J$1001,$O194))</f>
      </c>
      <c r="K194">
        <f t="shared" si="4"/>
      </c>
      <c r="L194">
        <f>IF($O194="","",INDEX(Master!$K$2:$K$1001,$O194))</f>
      </c>
      <c r="M194">
        <f>IF($O194="","",INDEX(Master!$L$2:$L$1001,$O194))</f>
      </c>
      <c r="O194">
        <f t="array" ref="O194">IFERROR(SMALL(IF(Master!$A$2:$A$1001="SWADESH",ROW(Master!$A$2:$A$1001)-ROW(Master!$A$2)+1),190),"")</f>
      </c>
      <c r="P194">
        <f t="shared" si="5"/>
      </c>
    </row>
    <row r="195" spans="1:16" x14ac:dyDescent="0.25">
      <c r="A195">
        <f>IF($O195="","",INDEX(Master!$D$2:$D$1001,$O195))</f>
      </c>
      <c r="B195" s="166">
        <f>IF($O195="","",INDEX(Master!$B$2:$B$1001,$O195))</f>
      </c>
      <c r="C195">
        <f>IF($O195="","",INDEX(Master!$C$2:$C$1001,$O195))</f>
      </c>
      <c r="D195">
        <f>IF($O195="","",INDEX(Master!$A$2:$A$1001,$O195))</f>
      </c>
      <c r="E195">
        <f>IF($O195="","",INDEX(Master!$E$2:$E$1001,$O195))</f>
      </c>
      <c r="F195">
        <f>IF($O195="","",INDEX(Master!$F$2:$F$1001,$O195))</f>
      </c>
      <c r="G195">
        <f>IF($O195="","",INDEX(Master!$G$2:$G$1001,$O195))</f>
      </c>
      <c r="H195">
        <f>IF($O195="","",INDEX(Master!$H$2:$H$1001,$O195))</f>
      </c>
      <c r="I195">
        <f>IF($O195="","",INDEX(Master!$I$2:$I$1001,$O195))</f>
      </c>
      <c r="J195">
        <f>IF($O195="","",INDEX(Master!$J$2:$J$1001,$O195))</f>
      </c>
      <c r="K195">
        <f t="shared" si="4"/>
      </c>
      <c r="L195">
        <f>IF($O195="","",INDEX(Master!$K$2:$K$1001,$O195))</f>
      </c>
      <c r="M195">
        <f>IF($O195="","",INDEX(Master!$L$2:$L$1001,$O195))</f>
      </c>
      <c r="O195">
        <f t="array" ref="O195">IFERROR(SMALL(IF(Master!$A$2:$A$1001="SWADESH",ROW(Master!$A$2:$A$1001)-ROW(Master!$A$2)+1),191),"")</f>
      </c>
      <c r="P195">
        <f t="shared" si="5"/>
      </c>
    </row>
    <row r="196" spans="1:16" x14ac:dyDescent="0.25">
      <c r="A196">
        <f>IF($O196="","",INDEX(Master!$D$2:$D$1001,$O196))</f>
      </c>
      <c r="B196" s="166">
        <f>IF($O196="","",INDEX(Master!$B$2:$B$1001,$O196))</f>
      </c>
      <c r="C196">
        <f>IF($O196="","",INDEX(Master!$C$2:$C$1001,$O196))</f>
      </c>
      <c r="D196">
        <f>IF($O196="","",INDEX(Master!$A$2:$A$1001,$O196))</f>
      </c>
      <c r="E196">
        <f>IF($O196="","",INDEX(Master!$E$2:$E$1001,$O196))</f>
      </c>
      <c r="F196">
        <f>IF($O196="","",INDEX(Master!$F$2:$F$1001,$O196))</f>
      </c>
      <c r="G196">
        <f>IF($O196="","",INDEX(Master!$G$2:$G$1001,$O196))</f>
      </c>
      <c r="H196">
        <f>IF($O196="","",INDEX(Master!$H$2:$H$1001,$O196))</f>
      </c>
      <c r="I196">
        <f>IF($O196="","",INDEX(Master!$I$2:$I$1001,$O196))</f>
      </c>
      <c r="J196">
        <f>IF($O196="","",INDEX(Master!$J$2:$J$1001,$O196))</f>
      </c>
      <c r="K196">
        <f t="shared" si="4"/>
      </c>
      <c r="L196">
        <f>IF($O196="","",INDEX(Master!$K$2:$K$1001,$O196))</f>
      </c>
      <c r="M196">
        <f>IF($O196="","",INDEX(Master!$L$2:$L$1001,$O196))</f>
      </c>
      <c r="O196">
        <f t="array" ref="O196">IFERROR(SMALL(IF(Master!$A$2:$A$1001="SWADESH",ROW(Master!$A$2:$A$1001)-ROW(Master!$A$2)+1),192),"")</f>
      </c>
      <c r="P196">
        <f t="shared" si="5"/>
      </c>
    </row>
    <row r="197" spans="1:16" x14ac:dyDescent="0.25">
      <c r="A197">
        <f>IF($O197="","",INDEX(Master!$D$2:$D$1001,$O197))</f>
      </c>
      <c r="B197" s="166">
        <f>IF($O197="","",INDEX(Master!$B$2:$B$1001,$O197))</f>
      </c>
      <c r="C197">
        <f>IF($O197="","",INDEX(Master!$C$2:$C$1001,$O197))</f>
      </c>
      <c r="D197">
        <f>IF($O197="","",INDEX(Master!$A$2:$A$1001,$O197))</f>
      </c>
      <c r="E197">
        <f>IF($O197="","",INDEX(Master!$E$2:$E$1001,$O197))</f>
      </c>
      <c r="F197">
        <f>IF($O197="","",INDEX(Master!$F$2:$F$1001,$O197))</f>
      </c>
      <c r="G197">
        <f>IF($O197="","",INDEX(Master!$G$2:$G$1001,$O197))</f>
      </c>
      <c r="H197">
        <f>IF($O197="","",INDEX(Master!$H$2:$H$1001,$O197))</f>
      </c>
      <c r="I197">
        <f>IF($O197="","",INDEX(Master!$I$2:$I$1001,$O197))</f>
      </c>
      <c r="J197">
        <f>IF($O197="","",INDEX(Master!$J$2:$J$1001,$O197))</f>
      </c>
      <c r="K197">
        <f t="shared" ref="K197:K260" si="6">IF(OR($O197="",$F197="",$F197=0),"",$H197/$F197)</f>
      </c>
      <c r="L197">
        <f>IF($O197="","",INDEX(Master!$K$2:$K$1001,$O197))</f>
      </c>
      <c r="M197">
        <f>IF($O197="","",INDEX(Master!$L$2:$L$1001,$O197))</f>
      </c>
      <c r="O197">
        <f t="array" ref="O197">IFERROR(SMALL(IF(Master!$A$2:$A$1001="SWADESH",ROW(Master!$A$2:$A$1001)-ROW(Master!$A$2)+1),193),"")</f>
      </c>
      <c r="P197">
        <f t="shared" ref="P197:P260" si="7">IF($A197="",0,IF(OR(AND($E197&lt;&gt;"",OR($E197&gt;0.15)),AND($F197&lt;&gt;"",OR($F197&gt;0.045)),AND($G197&lt;&gt;"",OR($G197&gt;0.08)),AND($H197&lt;&gt;"",$H197&lt;0.5),AND($J197&lt;&gt;"",OR($J197&lt;0.1))),1,0))</f>
      </c>
    </row>
    <row r="198" spans="1:16" x14ac:dyDescent="0.25">
      <c r="A198">
        <f>IF($O198="","",INDEX(Master!$D$2:$D$1001,$O198))</f>
      </c>
      <c r="B198" s="166">
        <f>IF($O198="","",INDEX(Master!$B$2:$B$1001,$O198))</f>
      </c>
      <c r="C198">
        <f>IF($O198="","",INDEX(Master!$C$2:$C$1001,$O198))</f>
      </c>
      <c r="D198">
        <f>IF($O198="","",INDEX(Master!$A$2:$A$1001,$O198))</f>
      </c>
      <c r="E198">
        <f>IF($O198="","",INDEX(Master!$E$2:$E$1001,$O198))</f>
      </c>
      <c r="F198">
        <f>IF($O198="","",INDEX(Master!$F$2:$F$1001,$O198))</f>
      </c>
      <c r="G198">
        <f>IF($O198="","",INDEX(Master!$G$2:$G$1001,$O198))</f>
      </c>
      <c r="H198">
        <f>IF($O198="","",INDEX(Master!$H$2:$H$1001,$O198))</f>
      </c>
      <c r="I198">
        <f>IF($O198="","",INDEX(Master!$I$2:$I$1001,$O198))</f>
      </c>
      <c r="J198">
        <f>IF($O198="","",INDEX(Master!$J$2:$J$1001,$O198))</f>
      </c>
      <c r="K198">
        <f t="shared" si="6"/>
      </c>
      <c r="L198">
        <f>IF($O198="","",INDEX(Master!$K$2:$K$1001,$O198))</f>
      </c>
      <c r="M198">
        <f>IF($O198="","",INDEX(Master!$L$2:$L$1001,$O198))</f>
      </c>
      <c r="O198">
        <f t="array" ref="O198">IFERROR(SMALL(IF(Master!$A$2:$A$1001="SWADESH",ROW(Master!$A$2:$A$1001)-ROW(Master!$A$2)+1),194),"")</f>
      </c>
      <c r="P198">
        <f t="shared" si="7"/>
      </c>
    </row>
    <row r="199" spans="1:16" x14ac:dyDescent="0.25">
      <c r="A199">
        <f>IF($O199="","",INDEX(Master!$D$2:$D$1001,$O199))</f>
      </c>
      <c r="B199" s="166">
        <f>IF($O199="","",INDEX(Master!$B$2:$B$1001,$O199))</f>
      </c>
      <c r="C199">
        <f>IF($O199="","",INDEX(Master!$C$2:$C$1001,$O199))</f>
      </c>
      <c r="D199">
        <f>IF($O199="","",INDEX(Master!$A$2:$A$1001,$O199))</f>
      </c>
      <c r="E199">
        <f>IF($O199="","",INDEX(Master!$E$2:$E$1001,$O199))</f>
      </c>
      <c r="F199">
        <f>IF($O199="","",INDEX(Master!$F$2:$F$1001,$O199))</f>
      </c>
      <c r="G199">
        <f>IF($O199="","",INDEX(Master!$G$2:$G$1001,$O199))</f>
      </c>
      <c r="H199">
        <f>IF($O199="","",INDEX(Master!$H$2:$H$1001,$O199))</f>
      </c>
      <c r="I199">
        <f>IF($O199="","",INDEX(Master!$I$2:$I$1001,$O199))</f>
      </c>
      <c r="J199">
        <f>IF($O199="","",INDEX(Master!$J$2:$J$1001,$O199))</f>
      </c>
      <c r="K199">
        <f t="shared" si="6"/>
      </c>
      <c r="L199">
        <f>IF($O199="","",INDEX(Master!$K$2:$K$1001,$O199))</f>
      </c>
      <c r="M199">
        <f>IF($O199="","",INDEX(Master!$L$2:$L$1001,$O199))</f>
      </c>
      <c r="O199">
        <f t="array" ref="O199">IFERROR(SMALL(IF(Master!$A$2:$A$1001="SWADESH",ROW(Master!$A$2:$A$1001)-ROW(Master!$A$2)+1),195),"")</f>
      </c>
      <c r="P199">
        <f t="shared" si="7"/>
      </c>
    </row>
    <row r="200" spans="1:16" x14ac:dyDescent="0.25">
      <c r="A200">
        <f>IF($O200="","",INDEX(Master!$D$2:$D$1001,$O200))</f>
      </c>
      <c r="B200" s="166">
        <f>IF($O200="","",INDEX(Master!$B$2:$B$1001,$O200))</f>
      </c>
      <c r="C200">
        <f>IF($O200="","",INDEX(Master!$C$2:$C$1001,$O200))</f>
      </c>
      <c r="D200">
        <f>IF($O200="","",INDEX(Master!$A$2:$A$1001,$O200))</f>
      </c>
      <c r="E200">
        <f>IF($O200="","",INDEX(Master!$E$2:$E$1001,$O200))</f>
      </c>
      <c r="F200">
        <f>IF($O200="","",INDEX(Master!$F$2:$F$1001,$O200))</f>
      </c>
      <c r="G200">
        <f>IF($O200="","",INDEX(Master!$G$2:$G$1001,$O200))</f>
      </c>
      <c r="H200">
        <f>IF($O200="","",INDEX(Master!$H$2:$H$1001,$O200))</f>
      </c>
      <c r="I200">
        <f>IF($O200="","",INDEX(Master!$I$2:$I$1001,$O200))</f>
      </c>
      <c r="J200">
        <f>IF($O200="","",INDEX(Master!$J$2:$J$1001,$O200))</f>
      </c>
      <c r="K200">
        <f t="shared" si="6"/>
      </c>
      <c r="L200">
        <f>IF($O200="","",INDEX(Master!$K$2:$K$1001,$O200))</f>
      </c>
      <c r="M200">
        <f>IF($O200="","",INDEX(Master!$L$2:$L$1001,$O200))</f>
      </c>
      <c r="O200">
        <f t="array" ref="O200">IFERROR(SMALL(IF(Master!$A$2:$A$1001="SWADESH",ROW(Master!$A$2:$A$1001)-ROW(Master!$A$2)+1),196),"")</f>
      </c>
      <c r="P200">
        <f t="shared" si="7"/>
      </c>
    </row>
    <row r="201" spans="1:16" x14ac:dyDescent="0.25">
      <c r="A201">
        <f>IF($O201="","",INDEX(Master!$D$2:$D$1001,$O201))</f>
      </c>
      <c r="B201" s="166">
        <f>IF($O201="","",INDEX(Master!$B$2:$B$1001,$O201))</f>
      </c>
      <c r="C201">
        <f>IF($O201="","",INDEX(Master!$C$2:$C$1001,$O201))</f>
      </c>
      <c r="D201">
        <f>IF($O201="","",INDEX(Master!$A$2:$A$1001,$O201))</f>
      </c>
      <c r="E201">
        <f>IF($O201="","",INDEX(Master!$E$2:$E$1001,$O201))</f>
      </c>
      <c r="F201">
        <f>IF($O201="","",INDEX(Master!$F$2:$F$1001,$O201))</f>
      </c>
      <c r="G201">
        <f>IF($O201="","",INDEX(Master!$G$2:$G$1001,$O201))</f>
      </c>
      <c r="H201">
        <f>IF($O201="","",INDEX(Master!$H$2:$H$1001,$O201))</f>
      </c>
      <c r="I201">
        <f>IF($O201="","",INDEX(Master!$I$2:$I$1001,$O201))</f>
      </c>
      <c r="J201">
        <f>IF($O201="","",INDEX(Master!$J$2:$J$1001,$O201))</f>
      </c>
      <c r="K201">
        <f t="shared" si="6"/>
      </c>
      <c r="L201">
        <f>IF($O201="","",INDEX(Master!$K$2:$K$1001,$O201))</f>
      </c>
      <c r="M201">
        <f>IF($O201="","",INDEX(Master!$L$2:$L$1001,$O201))</f>
      </c>
      <c r="O201">
        <f t="array" ref="O201">IFERROR(SMALL(IF(Master!$A$2:$A$1001="SWADESH",ROW(Master!$A$2:$A$1001)-ROW(Master!$A$2)+1),197),"")</f>
      </c>
      <c r="P201">
        <f t="shared" si="7"/>
      </c>
    </row>
    <row r="202" spans="1:16" x14ac:dyDescent="0.25">
      <c r="A202">
        <f>IF($O202="","",INDEX(Master!$D$2:$D$1001,$O202))</f>
      </c>
      <c r="B202" s="166">
        <f>IF($O202="","",INDEX(Master!$B$2:$B$1001,$O202))</f>
      </c>
      <c r="C202">
        <f>IF($O202="","",INDEX(Master!$C$2:$C$1001,$O202))</f>
      </c>
      <c r="D202">
        <f>IF($O202="","",INDEX(Master!$A$2:$A$1001,$O202))</f>
      </c>
      <c r="E202">
        <f>IF($O202="","",INDEX(Master!$E$2:$E$1001,$O202))</f>
      </c>
      <c r="F202">
        <f>IF($O202="","",INDEX(Master!$F$2:$F$1001,$O202))</f>
      </c>
      <c r="G202">
        <f>IF($O202="","",INDEX(Master!$G$2:$G$1001,$O202))</f>
      </c>
      <c r="H202">
        <f>IF($O202="","",INDEX(Master!$H$2:$H$1001,$O202))</f>
      </c>
      <c r="I202">
        <f>IF($O202="","",INDEX(Master!$I$2:$I$1001,$O202))</f>
      </c>
      <c r="J202">
        <f>IF($O202="","",INDEX(Master!$J$2:$J$1001,$O202))</f>
      </c>
      <c r="K202">
        <f t="shared" si="6"/>
      </c>
      <c r="L202">
        <f>IF($O202="","",INDEX(Master!$K$2:$K$1001,$O202))</f>
      </c>
      <c r="M202">
        <f>IF($O202="","",INDEX(Master!$L$2:$L$1001,$O202))</f>
      </c>
      <c r="O202">
        <f t="array" ref="O202">IFERROR(SMALL(IF(Master!$A$2:$A$1001="SWADESH",ROW(Master!$A$2:$A$1001)-ROW(Master!$A$2)+1),198),"")</f>
      </c>
      <c r="P202">
        <f t="shared" si="7"/>
      </c>
    </row>
    <row r="203" spans="1:16" x14ac:dyDescent="0.25">
      <c r="A203">
        <f>IF($O203="","",INDEX(Master!$D$2:$D$1001,$O203))</f>
      </c>
      <c r="B203" s="166">
        <f>IF($O203="","",INDEX(Master!$B$2:$B$1001,$O203))</f>
      </c>
      <c r="C203">
        <f>IF($O203="","",INDEX(Master!$C$2:$C$1001,$O203))</f>
      </c>
      <c r="D203">
        <f>IF($O203="","",INDEX(Master!$A$2:$A$1001,$O203))</f>
      </c>
      <c r="E203">
        <f>IF($O203="","",INDEX(Master!$E$2:$E$1001,$O203))</f>
      </c>
      <c r="F203">
        <f>IF($O203="","",INDEX(Master!$F$2:$F$1001,$O203))</f>
      </c>
      <c r="G203">
        <f>IF($O203="","",INDEX(Master!$G$2:$G$1001,$O203))</f>
      </c>
      <c r="H203">
        <f>IF($O203="","",INDEX(Master!$H$2:$H$1001,$O203))</f>
      </c>
      <c r="I203">
        <f>IF($O203="","",INDEX(Master!$I$2:$I$1001,$O203))</f>
      </c>
      <c r="J203">
        <f>IF($O203="","",INDEX(Master!$J$2:$J$1001,$O203))</f>
      </c>
      <c r="K203">
        <f t="shared" si="6"/>
      </c>
      <c r="L203">
        <f>IF($O203="","",INDEX(Master!$K$2:$K$1001,$O203))</f>
      </c>
      <c r="M203">
        <f>IF($O203="","",INDEX(Master!$L$2:$L$1001,$O203))</f>
      </c>
      <c r="O203">
        <f t="array" ref="O203">IFERROR(SMALL(IF(Master!$A$2:$A$1001="SWADESH",ROW(Master!$A$2:$A$1001)-ROW(Master!$A$2)+1),199),"")</f>
      </c>
      <c r="P203">
        <f t="shared" si="7"/>
      </c>
    </row>
    <row r="204" spans="1:16" x14ac:dyDescent="0.25">
      <c r="A204">
        <f>IF($O204="","",INDEX(Master!$D$2:$D$1001,$O204))</f>
      </c>
      <c r="B204" s="166">
        <f>IF($O204="","",INDEX(Master!$B$2:$B$1001,$O204))</f>
      </c>
      <c r="C204">
        <f>IF($O204="","",INDEX(Master!$C$2:$C$1001,$O204))</f>
      </c>
      <c r="D204">
        <f>IF($O204="","",INDEX(Master!$A$2:$A$1001,$O204))</f>
      </c>
      <c r="E204">
        <f>IF($O204="","",INDEX(Master!$E$2:$E$1001,$O204))</f>
      </c>
      <c r="F204">
        <f>IF($O204="","",INDEX(Master!$F$2:$F$1001,$O204))</f>
      </c>
      <c r="G204">
        <f>IF($O204="","",INDEX(Master!$G$2:$G$1001,$O204))</f>
      </c>
      <c r="H204">
        <f>IF($O204="","",INDEX(Master!$H$2:$H$1001,$O204))</f>
      </c>
      <c r="I204">
        <f>IF($O204="","",INDEX(Master!$I$2:$I$1001,$O204))</f>
      </c>
      <c r="J204">
        <f>IF($O204="","",INDEX(Master!$J$2:$J$1001,$O204))</f>
      </c>
      <c r="K204">
        <f t="shared" si="6"/>
      </c>
      <c r="L204">
        <f>IF($O204="","",INDEX(Master!$K$2:$K$1001,$O204))</f>
      </c>
      <c r="M204">
        <f>IF($O204="","",INDEX(Master!$L$2:$L$1001,$O204))</f>
      </c>
      <c r="O204">
        <f t="array" ref="O204">IFERROR(SMALL(IF(Master!$A$2:$A$1001="SWADESH",ROW(Master!$A$2:$A$1001)-ROW(Master!$A$2)+1),200),"")</f>
      </c>
      <c r="P204">
        <f t="shared" si="7"/>
      </c>
    </row>
    <row r="205" spans="1:16" x14ac:dyDescent="0.25">
      <c r="A205">
        <f>IF($O205="","",INDEX(Master!$D$2:$D$1001,$O205))</f>
      </c>
      <c r="B205" s="166">
        <f>IF($O205="","",INDEX(Master!$B$2:$B$1001,$O205))</f>
      </c>
      <c r="C205">
        <f>IF($O205="","",INDEX(Master!$C$2:$C$1001,$O205))</f>
      </c>
      <c r="D205">
        <f>IF($O205="","",INDEX(Master!$A$2:$A$1001,$O205))</f>
      </c>
      <c r="E205">
        <f>IF($O205="","",INDEX(Master!$E$2:$E$1001,$O205))</f>
      </c>
      <c r="F205">
        <f>IF($O205="","",INDEX(Master!$F$2:$F$1001,$O205))</f>
      </c>
      <c r="G205">
        <f>IF($O205="","",INDEX(Master!$G$2:$G$1001,$O205))</f>
      </c>
      <c r="H205">
        <f>IF($O205="","",INDEX(Master!$H$2:$H$1001,$O205))</f>
      </c>
      <c r="I205">
        <f>IF($O205="","",INDEX(Master!$I$2:$I$1001,$O205))</f>
      </c>
      <c r="J205">
        <f>IF($O205="","",INDEX(Master!$J$2:$J$1001,$O205))</f>
      </c>
      <c r="K205">
        <f t="shared" si="6"/>
      </c>
      <c r="L205">
        <f>IF($O205="","",INDEX(Master!$K$2:$K$1001,$O205))</f>
      </c>
      <c r="M205">
        <f>IF($O205="","",INDEX(Master!$L$2:$L$1001,$O205))</f>
      </c>
      <c r="O205">
        <f t="array" ref="O205">IFERROR(SMALL(IF(Master!$A$2:$A$1001="SWADESH",ROW(Master!$A$2:$A$1001)-ROW(Master!$A$2)+1),201),"")</f>
      </c>
      <c r="P205">
        <f t="shared" si="7"/>
      </c>
    </row>
    <row r="206" spans="1:16" x14ac:dyDescent="0.25">
      <c r="A206">
        <f>IF($O206="","",INDEX(Master!$D$2:$D$1001,$O206))</f>
      </c>
      <c r="B206" s="166">
        <f>IF($O206="","",INDEX(Master!$B$2:$B$1001,$O206))</f>
      </c>
      <c r="C206">
        <f>IF($O206="","",INDEX(Master!$C$2:$C$1001,$O206))</f>
      </c>
      <c r="D206">
        <f>IF($O206="","",INDEX(Master!$A$2:$A$1001,$O206))</f>
      </c>
      <c r="E206">
        <f>IF($O206="","",INDEX(Master!$E$2:$E$1001,$O206))</f>
      </c>
      <c r="F206">
        <f>IF($O206="","",INDEX(Master!$F$2:$F$1001,$O206))</f>
      </c>
      <c r="G206">
        <f>IF($O206="","",INDEX(Master!$G$2:$G$1001,$O206))</f>
      </c>
      <c r="H206">
        <f>IF($O206="","",INDEX(Master!$H$2:$H$1001,$O206))</f>
      </c>
      <c r="I206">
        <f>IF($O206="","",INDEX(Master!$I$2:$I$1001,$O206))</f>
      </c>
      <c r="J206">
        <f>IF($O206="","",INDEX(Master!$J$2:$J$1001,$O206))</f>
      </c>
      <c r="K206">
        <f t="shared" si="6"/>
      </c>
      <c r="L206">
        <f>IF($O206="","",INDEX(Master!$K$2:$K$1001,$O206))</f>
      </c>
      <c r="M206">
        <f>IF($O206="","",INDEX(Master!$L$2:$L$1001,$O206))</f>
      </c>
      <c r="O206">
        <f t="array" ref="O206">IFERROR(SMALL(IF(Master!$A$2:$A$1001="SWADESH",ROW(Master!$A$2:$A$1001)-ROW(Master!$A$2)+1),202),"")</f>
      </c>
      <c r="P206">
        <f t="shared" si="7"/>
      </c>
    </row>
    <row r="207" spans="1:16" x14ac:dyDescent="0.25">
      <c r="A207">
        <f>IF($O207="","",INDEX(Master!$D$2:$D$1001,$O207))</f>
      </c>
      <c r="B207" s="166">
        <f>IF($O207="","",INDEX(Master!$B$2:$B$1001,$O207))</f>
      </c>
      <c r="C207">
        <f>IF($O207="","",INDEX(Master!$C$2:$C$1001,$O207))</f>
      </c>
      <c r="D207">
        <f>IF($O207="","",INDEX(Master!$A$2:$A$1001,$O207))</f>
      </c>
      <c r="E207">
        <f>IF($O207="","",INDEX(Master!$E$2:$E$1001,$O207))</f>
      </c>
      <c r="F207">
        <f>IF($O207="","",INDEX(Master!$F$2:$F$1001,$O207))</f>
      </c>
      <c r="G207">
        <f>IF($O207="","",INDEX(Master!$G$2:$G$1001,$O207))</f>
      </c>
      <c r="H207">
        <f>IF($O207="","",INDEX(Master!$H$2:$H$1001,$O207))</f>
      </c>
      <c r="I207">
        <f>IF($O207="","",INDEX(Master!$I$2:$I$1001,$O207))</f>
      </c>
      <c r="J207">
        <f>IF($O207="","",INDEX(Master!$J$2:$J$1001,$O207))</f>
      </c>
      <c r="K207">
        <f t="shared" si="6"/>
      </c>
      <c r="L207">
        <f>IF($O207="","",INDEX(Master!$K$2:$K$1001,$O207))</f>
      </c>
      <c r="M207">
        <f>IF($O207="","",INDEX(Master!$L$2:$L$1001,$O207))</f>
      </c>
      <c r="O207">
        <f t="array" ref="O207">IFERROR(SMALL(IF(Master!$A$2:$A$1001="SWADESH",ROW(Master!$A$2:$A$1001)-ROW(Master!$A$2)+1),203),"")</f>
      </c>
      <c r="P207">
        <f t="shared" si="7"/>
      </c>
    </row>
    <row r="208" spans="1:16" x14ac:dyDescent="0.25">
      <c r="A208">
        <f>IF($O208="","",INDEX(Master!$D$2:$D$1001,$O208))</f>
      </c>
      <c r="B208" s="166">
        <f>IF($O208="","",INDEX(Master!$B$2:$B$1001,$O208))</f>
      </c>
      <c r="C208">
        <f>IF($O208="","",INDEX(Master!$C$2:$C$1001,$O208))</f>
      </c>
      <c r="D208">
        <f>IF($O208="","",INDEX(Master!$A$2:$A$1001,$O208))</f>
      </c>
      <c r="E208">
        <f>IF($O208="","",INDEX(Master!$E$2:$E$1001,$O208))</f>
      </c>
      <c r="F208">
        <f>IF($O208="","",INDEX(Master!$F$2:$F$1001,$O208))</f>
      </c>
      <c r="G208">
        <f>IF($O208="","",INDEX(Master!$G$2:$G$1001,$O208))</f>
      </c>
      <c r="H208">
        <f>IF($O208="","",INDEX(Master!$H$2:$H$1001,$O208))</f>
      </c>
      <c r="I208">
        <f>IF($O208="","",INDEX(Master!$I$2:$I$1001,$O208))</f>
      </c>
      <c r="J208">
        <f>IF($O208="","",INDEX(Master!$J$2:$J$1001,$O208))</f>
      </c>
      <c r="K208">
        <f t="shared" si="6"/>
      </c>
      <c r="L208">
        <f>IF($O208="","",INDEX(Master!$K$2:$K$1001,$O208))</f>
      </c>
      <c r="M208">
        <f>IF($O208="","",INDEX(Master!$L$2:$L$1001,$O208))</f>
      </c>
      <c r="O208">
        <f t="array" ref="O208">IFERROR(SMALL(IF(Master!$A$2:$A$1001="SWADESH",ROW(Master!$A$2:$A$1001)-ROW(Master!$A$2)+1),204),"")</f>
      </c>
      <c r="P208">
        <f t="shared" si="7"/>
      </c>
    </row>
    <row r="209" spans="1:16" x14ac:dyDescent="0.25">
      <c r="A209">
        <f>IF($O209="","",INDEX(Master!$D$2:$D$1001,$O209))</f>
      </c>
      <c r="B209" s="166">
        <f>IF($O209="","",INDEX(Master!$B$2:$B$1001,$O209))</f>
      </c>
      <c r="C209">
        <f>IF($O209="","",INDEX(Master!$C$2:$C$1001,$O209))</f>
      </c>
      <c r="D209">
        <f>IF($O209="","",INDEX(Master!$A$2:$A$1001,$O209))</f>
      </c>
      <c r="E209">
        <f>IF($O209="","",INDEX(Master!$E$2:$E$1001,$O209))</f>
      </c>
      <c r="F209">
        <f>IF($O209="","",INDEX(Master!$F$2:$F$1001,$O209))</f>
      </c>
      <c r="G209">
        <f>IF($O209="","",INDEX(Master!$G$2:$G$1001,$O209))</f>
      </c>
      <c r="H209">
        <f>IF($O209="","",INDEX(Master!$H$2:$H$1001,$O209))</f>
      </c>
      <c r="I209">
        <f>IF($O209="","",INDEX(Master!$I$2:$I$1001,$O209))</f>
      </c>
      <c r="J209">
        <f>IF($O209="","",INDEX(Master!$J$2:$J$1001,$O209))</f>
      </c>
      <c r="K209">
        <f t="shared" si="6"/>
      </c>
      <c r="L209">
        <f>IF($O209="","",INDEX(Master!$K$2:$K$1001,$O209))</f>
      </c>
      <c r="M209">
        <f>IF($O209="","",INDEX(Master!$L$2:$L$1001,$O209))</f>
      </c>
      <c r="O209">
        <f t="array" ref="O209">IFERROR(SMALL(IF(Master!$A$2:$A$1001="SWADESH",ROW(Master!$A$2:$A$1001)-ROW(Master!$A$2)+1),205),"")</f>
      </c>
      <c r="P209">
        <f t="shared" si="7"/>
      </c>
    </row>
    <row r="210" spans="1:16" x14ac:dyDescent="0.25">
      <c r="A210">
        <f>IF($O210="","",INDEX(Master!$D$2:$D$1001,$O210))</f>
      </c>
      <c r="B210" s="166">
        <f>IF($O210="","",INDEX(Master!$B$2:$B$1001,$O210))</f>
      </c>
      <c r="C210">
        <f>IF($O210="","",INDEX(Master!$C$2:$C$1001,$O210))</f>
      </c>
      <c r="D210">
        <f>IF($O210="","",INDEX(Master!$A$2:$A$1001,$O210))</f>
      </c>
      <c r="E210">
        <f>IF($O210="","",INDEX(Master!$E$2:$E$1001,$O210))</f>
      </c>
      <c r="F210">
        <f>IF($O210="","",INDEX(Master!$F$2:$F$1001,$O210))</f>
      </c>
      <c r="G210">
        <f>IF($O210="","",INDEX(Master!$G$2:$G$1001,$O210))</f>
      </c>
      <c r="H210">
        <f>IF($O210="","",INDEX(Master!$H$2:$H$1001,$O210))</f>
      </c>
      <c r="I210">
        <f>IF($O210="","",INDEX(Master!$I$2:$I$1001,$O210))</f>
      </c>
      <c r="J210">
        <f>IF($O210="","",INDEX(Master!$J$2:$J$1001,$O210))</f>
      </c>
      <c r="K210">
        <f t="shared" si="6"/>
      </c>
      <c r="L210">
        <f>IF($O210="","",INDEX(Master!$K$2:$K$1001,$O210))</f>
      </c>
      <c r="M210">
        <f>IF($O210="","",INDEX(Master!$L$2:$L$1001,$O210))</f>
      </c>
      <c r="O210">
        <f t="array" ref="O210">IFERROR(SMALL(IF(Master!$A$2:$A$1001="SWADESH",ROW(Master!$A$2:$A$1001)-ROW(Master!$A$2)+1),206),"")</f>
      </c>
      <c r="P210">
        <f t="shared" si="7"/>
      </c>
    </row>
    <row r="211" spans="1:16" x14ac:dyDescent="0.25">
      <c r="A211">
        <f>IF($O211="","",INDEX(Master!$D$2:$D$1001,$O211))</f>
      </c>
      <c r="B211" s="166">
        <f>IF($O211="","",INDEX(Master!$B$2:$B$1001,$O211))</f>
      </c>
      <c r="C211">
        <f>IF($O211="","",INDEX(Master!$C$2:$C$1001,$O211))</f>
      </c>
      <c r="D211">
        <f>IF($O211="","",INDEX(Master!$A$2:$A$1001,$O211))</f>
      </c>
      <c r="E211">
        <f>IF($O211="","",INDEX(Master!$E$2:$E$1001,$O211))</f>
      </c>
      <c r="F211">
        <f>IF($O211="","",INDEX(Master!$F$2:$F$1001,$O211))</f>
      </c>
      <c r="G211">
        <f>IF($O211="","",INDEX(Master!$G$2:$G$1001,$O211))</f>
      </c>
      <c r="H211">
        <f>IF($O211="","",INDEX(Master!$H$2:$H$1001,$O211))</f>
      </c>
      <c r="I211">
        <f>IF($O211="","",INDEX(Master!$I$2:$I$1001,$O211))</f>
      </c>
      <c r="J211">
        <f>IF($O211="","",INDEX(Master!$J$2:$J$1001,$O211))</f>
      </c>
      <c r="K211">
        <f t="shared" si="6"/>
      </c>
      <c r="L211">
        <f>IF($O211="","",INDEX(Master!$K$2:$K$1001,$O211))</f>
      </c>
      <c r="M211">
        <f>IF($O211="","",INDEX(Master!$L$2:$L$1001,$O211))</f>
      </c>
      <c r="O211">
        <f t="array" ref="O211">IFERROR(SMALL(IF(Master!$A$2:$A$1001="SWADESH",ROW(Master!$A$2:$A$1001)-ROW(Master!$A$2)+1),207),"")</f>
      </c>
      <c r="P211">
        <f t="shared" si="7"/>
      </c>
    </row>
    <row r="212" spans="1:16" x14ac:dyDescent="0.25">
      <c r="A212">
        <f>IF($O212="","",INDEX(Master!$D$2:$D$1001,$O212))</f>
      </c>
      <c r="B212" s="166">
        <f>IF($O212="","",INDEX(Master!$B$2:$B$1001,$O212))</f>
      </c>
      <c r="C212">
        <f>IF($O212="","",INDEX(Master!$C$2:$C$1001,$O212))</f>
      </c>
      <c r="D212">
        <f>IF($O212="","",INDEX(Master!$A$2:$A$1001,$O212))</f>
      </c>
      <c r="E212">
        <f>IF($O212="","",INDEX(Master!$E$2:$E$1001,$O212))</f>
      </c>
      <c r="F212">
        <f>IF($O212="","",INDEX(Master!$F$2:$F$1001,$O212))</f>
      </c>
      <c r="G212">
        <f>IF($O212="","",INDEX(Master!$G$2:$G$1001,$O212))</f>
      </c>
      <c r="H212">
        <f>IF($O212="","",INDEX(Master!$H$2:$H$1001,$O212))</f>
      </c>
      <c r="I212">
        <f>IF($O212="","",INDEX(Master!$I$2:$I$1001,$O212))</f>
      </c>
      <c r="J212">
        <f>IF($O212="","",INDEX(Master!$J$2:$J$1001,$O212))</f>
      </c>
      <c r="K212">
        <f t="shared" si="6"/>
      </c>
      <c r="L212">
        <f>IF($O212="","",INDEX(Master!$K$2:$K$1001,$O212))</f>
      </c>
      <c r="M212">
        <f>IF($O212="","",INDEX(Master!$L$2:$L$1001,$O212))</f>
      </c>
      <c r="O212">
        <f t="array" ref="O212">IFERROR(SMALL(IF(Master!$A$2:$A$1001="SWADESH",ROW(Master!$A$2:$A$1001)-ROW(Master!$A$2)+1),208),"")</f>
      </c>
      <c r="P212">
        <f t="shared" si="7"/>
      </c>
    </row>
    <row r="213" spans="1:16" x14ac:dyDescent="0.25">
      <c r="A213">
        <f>IF($O213="","",INDEX(Master!$D$2:$D$1001,$O213))</f>
      </c>
      <c r="B213" s="166">
        <f>IF($O213="","",INDEX(Master!$B$2:$B$1001,$O213))</f>
      </c>
      <c r="C213">
        <f>IF($O213="","",INDEX(Master!$C$2:$C$1001,$O213))</f>
      </c>
      <c r="D213">
        <f>IF($O213="","",INDEX(Master!$A$2:$A$1001,$O213))</f>
      </c>
      <c r="E213">
        <f>IF($O213="","",INDEX(Master!$E$2:$E$1001,$O213))</f>
      </c>
      <c r="F213">
        <f>IF($O213="","",INDEX(Master!$F$2:$F$1001,$O213))</f>
      </c>
      <c r="G213">
        <f>IF($O213="","",INDEX(Master!$G$2:$G$1001,$O213))</f>
      </c>
      <c r="H213">
        <f>IF($O213="","",INDEX(Master!$H$2:$H$1001,$O213))</f>
      </c>
      <c r="I213">
        <f>IF($O213="","",INDEX(Master!$I$2:$I$1001,$O213))</f>
      </c>
      <c r="J213">
        <f>IF($O213="","",INDEX(Master!$J$2:$J$1001,$O213))</f>
      </c>
      <c r="K213">
        <f t="shared" si="6"/>
      </c>
      <c r="L213">
        <f>IF($O213="","",INDEX(Master!$K$2:$K$1001,$O213))</f>
      </c>
      <c r="M213">
        <f>IF($O213="","",INDEX(Master!$L$2:$L$1001,$O213))</f>
      </c>
      <c r="O213">
        <f t="array" ref="O213">IFERROR(SMALL(IF(Master!$A$2:$A$1001="SWADESH",ROW(Master!$A$2:$A$1001)-ROW(Master!$A$2)+1),209),"")</f>
      </c>
      <c r="P213">
        <f t="shared" si="7"/>
      </c>
    </row>
    <row r="214" spans="1:16" x14ac:dyDescent="0.25">
      <c r="A214">
        <f>IF($O214="","",INDEX(Master!$D$2:$D$1001,$O214))</f>
      </c>
      <c r="B214" s="166">
        <f>IF($O214="","",INDEX(Master!$B$2:$B$1001,$O214))</f>
      </c>
      <c r="C214">
        <f>IF($O214="","",INDEX(Master!$C$2:$C$1001,$O214))</f>
      </c>
      <c r="D214">
        <f>IF($O214="","",INDEX(Master!$A$2:$A$1001,$O214))</f>
      </c>
      <c r="E214">
        <f>IF($O214="","",INDEX(Master!$E$2:$E$1001,$O214))</f>
      </c>
      <c r="F214">
        <f>IF($O214="","",INDEX(Master!$F$2:$F$1001,$O214))</f>
      </c>
      <c r="G214">
        <f>IF($O214="","",INDEX(Master!$G$2:$G$1001,$O214))</f>
      </c>
      <c r="H214">
        <f>IF($O214="","",INDEX(Master!$H$2:$H$1001,$O214))</f>
      </c>
      <c r="I214">
        <f>IF($O214="","",INDEX(Master!$I$2:$I$1001,$O214))</f>
      </c>
      <c r="J214">
        <f>IF($O214="","",INDEX(Master!$J$2:$J$1001,$O214))</f>
      </c>
      <c r="K214">
        <f t="shared" si="6"/>
      </c>
      <c r="L214">
        <f>IF($O214="","",INDEX(Master!$K$2:$K$1001,$O214))</f>
      </c>
      <c r="M214">
        <f>IF($O214="","",INDEX(Master!$L$2:$L$1001,$O214))</f>
      </c>
      <c r="O214">
        <f t="array" ref="O214">IFERROR(SMALL(IF(Master!$A$2:$A$1001="SWADESH",ROW(Master!$A$2:$A$1001)-ROW(Master!$A$2)+1),210),"")</f>
      </c>
      <c r="P214">
        <f t="shared" si="7"/>
      </c>
    </row>
    <row r="215" spans="1:16" x14ac:dyDescent="0.25">
      <c r="A215">
        <f>IF($O215="","",INDEX(Master!$D$2:$D$1001,$O215))</f>
      </c>
      <c r="B215" s="166">
        <f>IF($O215="","",INDEX(Master!$B$2:$B$1001,$O215))</f>
      </c>
      <c r="C215">
        <f>IF($O215="","",INDEX(Master!$C$2:$C$1001,$O215))</f>
      </c>
      <c r="D215">
        <f>IF($O215="","",INDEX(Master!$A$2:$A$1001,$O215))</f>
      </c>
      <c r="E215">
        <f>IF($O215="","",INDEX(Master!$E$2:$E$1001,$O215))</f>
      </c>
      <c r="F215">
        <f>IF($O215="","",INDEX(Master!$F$2:$F$1001,$O215))</f>
      </c>
      <c r="G215">
        <f>IF($O215="","",INDEX(Master!$G$2:$G$1001,$O215))</f>
      </c>
      <c r="H215">
        <f>IF($O215="","",INDEX(Master!$H$2:$H$1001,$O215))</f>
      </c>
      <c r="I215">
        <f>IF($O215="","",INDEX(Master!$I$2:$I$1001,$O215))</f>
      </c>
      <c r="J215">
        <f>IF($O215="","",INDEX(Master!$J$2:$J$1001,$O215))</f>
      </c>
      <c r="K215">
        <f t="shared" si="6"/>
      </c>
      <c r="L215">
        <f>IF($O215="","",INDEX(Master!$K$2:$K$1001,$O215))</f>
      </c>
      <c r="M215">
        <f>IF($O215="","",INDEX(Master!$L$2:$L$1001,$O215))</f>
      </c>
      <c r="O215">
        <f t="array" ref="O215">IFERROR(SMALL(IF(Master!$A$2:$A$1001="SWADESH",ROW(Master!$A$2:$A$1001)-ROW(Master!$A$2)+1),211),"")</f>
      </c>
      <c r="P215">
        <f t="shared" si="7"/>
      </c>
    </row>
    <row r="216" spans="1:16" x14ac:dyDescent="0.25">
      <c r="A216">
        <f>IF($O216="","",INDEX(Master!$D$2:$D$1001,$O216))</f>
      </c>
      <c r="B216" s="166">
        <f>IF($O216="","",INDEX(Master!$B$2:$B$1001,$O216))</f>
      </c>
      <c r="C216">
        <f>IF($O216="","",INDEX(Master!$C$2:$C$1001,$O216))</f>
      </c>
      <c r="D216">
        <f>IF($O216="","",INDEX(Master!$A$2:$A$1001,$O216))</f>
      </c>
      <c r="E216">
        <f>IF($O216="","",INDEX(Master!$E$2:$E$1001,$O216))</f>
      </c>
      <c r="F216">
        <f>IF($O216="","",INDEX(Master!$F$2:$F$1001,$O216))</f>
      </c>
      <c r="G216">
        <f>IF($O216="","",INDEX(Master!$G$2:$G$1001,$O216))</f>
      </c>
      <c r="H216">
        <f>IF($O216="","",INDEX(Master!$H$2:$H$1001,$O216))</f>
      </c>
      <c r="I216">
        <f>IF($O216="","",INDEX(Master!$I$2:$I$1001,$O216))</f>
      </c>
      <c r="J216">
        <f>IF($O216="","",INDEX(Master!$J$2:$J$1001,$O216))</f>
      </c>
      <c r="K216">
        <f t="shared" si="6"/>
      </c>
      <c r="L216">
        <f>IF($O216="","",INDEX(Master!$K$2:$K$1001,$O216))</f>
      </c>
      <c r="M216">
        <f>IF($O216="","",INDEX(Master!$L$2:$L$1001,$O216))</f>
      </c>
      <c r="O216">
        <f t="array" ref="O216">IFERROR(SMALL(IF(Master!$A$2:$A$1001="SWADESH",ROW(Master!$A$2:$A$1001)-ROW(Master!$A$2)+1),212),"")</f>
      </c>
      <c r="P216">
        <f t="shared" si="7"/>
      </c>
    </row>
    <row r="217" spans="1:16" x14ac:dyDescent="0.25">
      <c r="A217">
        <f>IF($O217="","",INDEX(Master!$D$2:$D$1001,$O217))</f>
      </c>
      <c r="B217" s="166">
        <f>IF($O217="","",INDEX(Master!$B$2:$B$1001,$O217))</f>
      </c>
      <c r="C217">
        <f>IF($O217="","",INDEX(Master!$C$2:$C$1001,$O217))</f>
      </c>
      <c r="D217">
        <f>IF($O217="","",INDEX(Master!$A$2:$A$1001,$O217))</f>
      </c>
      <c r="E217">
        <f>IF($O217="","",INDEX(Master!$E$2:$E$1001,$O217))</f>
      </c>
      <c r="F217">
        <f>IF($O217="","",INDEX(Master!$F$2:$F$1001,$O217))</f>
      </c>
      <c r="G217">
        <f>IF($O217="","",INDEX(Master!$G$2:$G$1001,$O217))</f>
      </c>
      <c r="H217">
        <f>IF($O217="","",INDEX(Master!$H$2:$H$1001,$O217))</f>
      </c>
      <c r="I217">
        <f>IF($O217="","",INDEX(Master!$I$2:$I$1001,$O217))</f>
      </c>
      <c r="J217">
        <f>IF($O217="","",INDEX(Master!$J$2:$J$1001,$O217))</f>
      </c>
      <c r="K217">
        <f t="shared" si="6"/>
      </c>
      <c r="L217">
        <f>IF($O217="","",INDEX(Master!$K$2:$K$1001,$O217))</f>
      </c>
      <c r="M217">
        <f>IF($O217="","",INDEX(Master!$L$2:$L$1001,$O217))</f>
      </c>
      <c r="O217">
        <f t="array" ref="O217">IFERROR(SMALL(IF(Master!$A$2:$A$1001="SWADESH",ROW(Master!$A$2:$A$1001)-ROW(Master!$A$2)+1),213),"")</f>
      </c>
      <c r="P217">
        <f t="shared" si="7"/>
      </c>
    </row>
    <row r="218" spans="1:16" x14ac:dyDescent="0.25">
      <c r="A218">
        <f>IF($O218="","",INDEX(Master!$D$2:$D$1001,$O218))</f>
      </c>
      <c r="B218" s="166">
        <f>IF($O218="","",INDEX(Master!$B$2:$B$1001,$O218))</f>
      </c>
      <c r="C218">
        <f>IF($O218="","",INDEX(Master!$C$2:$C$1001,$O218))</f>
      </c>
      <c r="D218">
        <f>IF($O218="","",INDEX(Master!$A$2:$A$1001,$O218))</f>
      </c>
      <c r="E218">
        <f>IF($O218="","",INDEX(Master!$E$2:$E$1001,$O218))</f>
      </c>
      <c r="F218">
        <f>IF($O218="","",INDEX(Master!$F$2:$F$1001,$O218))</f>
      </c>
      <c r="G218">
        <f>IF($O218="","",INDEX(Master!$G$2:$G$1001,$O218))</f>
      </c>
      <c r="H218">
        <f>IF($O218="","",INDEX(Master!$H$2:$H$1001,$O218))</f>
      </c>
      <c r="I218">
        <f>IF($O218="","",INDEX(Master!$I$2:$I$1001,$O218))</f>
      </c>
      <c r="J218">
        <f>IF($O218="","",INDEX(Master!$J$2:$J$1001,$O218))</f>
      </c>
      <c r="K218">
        <f t="shared" si="6"/>
      </c>
      <c r="L218">
        <f>IF($O218="","",INDEX(Master!$K$2:$K$1001,$O218))</f>
      </c>
      <c r="M218">
        <f>IF($O218="","",INDEX(Master!$L$2:$L$1001,$O218))</f>
      </c>
      <c r="O218">
        <f t="array" ref="O218">IFERROR(SMALL(IF(Master!$A$2:$A$1001="SWADESH",ROW(Master!$A$2:$A$1001)-ROW(Master!$A$2)+1),214),"")</f>
      </c>
      <c r="P218">
        <f t="shared" si="7"/>
      </c>
    </row>
    <row r="219" spans="1:16" x14ac:dyDescent="0.25">
      <c r="A219">
        <f>IF($O219="","",INDEX(Master!$D$2:$D$1001,$O219))</f>
      </c>
      <c r="B219" s="166">
        <f>IF($O219="","",INDEX(Master!$B$2:$B$1001,$O219))</f>
      </c>
      <c r="C219">
        <f>IF($O219="","",INDEX(Master!$C$2:$C$1001,$O219))</f>
      </c>
      <c r="D219">
        <f>IF($O219="","",INDEX(Master!$A$2:$A$1001,$O219))</f>
      </c>
      <c r="E219">
        <f>IF($O219="","",INDEX(Master!$E$2:$E$1001,$O219))</f>
      </c>
      <c r="F219">
        <f>IF($O219="","",INDEX(Master!$F$2:$F$1001,$O219))</f>
      </c>
      <c r="G219">
        <f>IF($O219="","",INDEX(Master!$G$2:$G$1001,$O219))</f>
      </c>
      <c r="H219">
        <f>IF($O219="","",INDEX(Master!$H$2:$H$1001,$O219))</f>
      </c>
      <c r="I219">
        <f>IF($O219="","",INDEX(Master!$I$2:$I$1001,$O219))</f>
      </c>
      <c r="J219">
        <f>IF($O219="","",INDEX(Master!$J$2:$J$1001,$O219))</f>
      </c>
      <c r="K219">
        <f t="shared" si="6"/>
      </c>
      <c r="L219">
        <f>IF($O219="","",INDEX(Master!$K$2:$K$1001,$O219))</f>
      </c>
      <c r="M219">
        <f>IF($O219="","",INDEX(Master!$L$2:$L$1001,$O219))</f>
      </c>
      <c r="O219">
        <f t="array" ref="O219">IFERROR(SMALL(IF(Master!$A$2:$A$1001="SWADESH",ROW(Master!$A$2:$A$1001)-ROW(Master!$A$2)+1),215),"")</f>
      </c>
      <c r="P219">
        <f t="shared" si="7"/>
      </c>
    </row>
    <row r="220" spans="1:16" x14ac:dyDescent="0.25">
      <c r="A220">
        <f>IF($O220="","",INDEX(Master!$D$2:$D$1001,$O220))</f>
      </c>
      <c r="B220" s="166">
        <f>IF($O220="","",INDEX(Master!$B$2:$B$1001,$O220))</f>
      </c>
      <c r="C220">
        <f>IF($O220="","",INDEX(Master!$C$2:$C$1001,$O220))</f>
      </c>
      <c r="D220">
        <f>IF($O220="","",INDEX(Master!$A$2:$A$1001,$O220))</f>
      </c>
      <c r="E220">
        <f>IF($O220="","",INDEX(Master!$E$2:$E$1001,$O220))</f>
      </c>
      <c r="F220">
        <f>IF($O220="","",INDEX(Master!$F$2:$F$1001,$O220))</f>
      </c>
      <c r="G220">
        <f>IF($O220="","",INDEX(Master!$G$2:$G$1001,$O220))</f>
      </c>
      <c r="H220">
        <f>IF($O220="","",INDEX(Master!$H$2:$H$1001,$O220))</f>
      </c>
      <c r="I220">
        <f>IF($O220="","",INDEX(Master!$I$2:$I$1001,$O220))</f>
      </c>
      <c r="J220">
        <f>IF($O220="","",INDEX(Master!$J$2:$J$1001,$O220))</f>
      </c>
      <c r="K220">
        <f t="shared" si="6"/>
      </c>
      <c r="L220">
        <f>IF($O220="","",INDEX(Master!$K$2:$K$1001,$O220))</f>
      </c>
      <c r="M220">
        <f>IF($O220="","",INDEX(Master!$L$2:$L$1001,$O220))</f>
      </c>
      <c r="O220">
        <f t="array" ref="O220">IFERROR(SMALL(IF(Master!$A$2:$A$1001="SWADESH",ROW(Master!$A$2:$A$1001)-ROW(Master!$A$2)+1),216),"")</f>
      </c>
      <c r="P220">
        <f t="shared" si="7"/>
      </c>
    </row>
    <row r="221" spans="1:16" x14ac:dyDescent="0.25">
      <c r="A221">
        <f>IF($O221="","",INDEX(Master!$D$2:$D$1001,$O221))</f>
      </c>
      <c r="B221" s="166">
        <f>IF($O221="","",INDEX(Master!$B$2:$B$1001,$O221))</f>
      </c>
      <c r="C221">
        <f>IF($O221="","",INDEX(Master!$C$2:$C$1001,$O221))</f>
      </c>
      <c r="D221">
        <f>IF($O221="","",INDEX(Master!$A$2:$A$1001,$O221))</f>
      </c>
      <c r="E221">
        <f>IF($O221="","",INDEX(Master!$E$2:$E$1001,$O221))</f>
      </c>
      <c r="F221">
        <f>IF($O221="","",INDEX(Master!$F$2:$F$1001,$O221))</f>
      </c>
      <c r="G221">
        <f>IF($O221="","",INDEX(Master!$G$2:$G$1001,$O221))</f>
      </c>
      <c r="H221">
        <f>IF($O221="","",INDEX(Master!$H$2:$H$1001,$O221))</f>
      </c>
      <c r="I221">
        <f>IF($O221="","",INDEX(Master!$I$2:$I$1001,$O221))</f>
      </c>
      <c r="J221">
        <f>IF($O221="","",INDEX(Master!$J$2:$J$1001,$O221))</f>
      </c>
      <c r="K221">
        <f t="shared" si="6"/>
      </c>
      <c r="L221">
        <f>IF($O221="","",INDEX(Master!$K$2:$K$1001,$O221))</f>
      </c>
      <c r="M221">
        <f>IF($O221="","",INDEX(Master!$L$2:$L$1001,$O221))</f>
      </c>
      <c r="O221">
        <f t="array" ref="O221">IFERROR(SMALL(IF(Master!$A$2:$A$1001="SWADESH",ROW(Master!$A$2:$A$1001)-ROW(Master!$A$2)+1),217),"")</f>
      </c>
      <c r="P221">
        <f t="shared" si="7"/>
      </c>
    </row>
    <row r="222" spans="1:16" x14ac:dyDescent="0.25">
      <c r="A222">
        <f>IF($O222="","",INDEX(Master!$D$2:$D$1001,$O222))</f>
      </c>
      <c r="B222" s="166">
        <f>IF($O222="","",INDEX(Master!$B$2:$B$1001,$O222))</f>
      </c>
      <c r="C222">
        <f>IF($O222="","",INDEX(Master!$C$2:$C$1001,$O222))</f>
      </c>
      <c r="D222">
        <f>IF($O222="","",INDEX(Master!$A$2:$A$1001,$O222))</f>
      </c>
      <c r="E222">
        <f>IF($O222="","",INDEX(Master!$E$2:$E$1001,$O222))</f>
      </c>
      <c r="F222">
        <f>IF($O222="","",INDEX(Master!$F$2:$F$1001,$O222))</f>
      </c>
      <c r="G222">
        <f>IF($O222="","",INDEX(Master!$G$2:$G$1001,$O222))</f>
      </c>
      <c r="H222">
        <f>IF($O222="","",INDEX(Master!$H$2:$H$1001,$O222))</f>
      </c>
      <c r="I222">
        <f>IF($O222="","",INDEX(Master!$I$2:$I$1001,$O222))</f>
      </c>
      <c r="J222">
        <f>IF($O222="","",INDEX(Master!$J$2:$J$1001,$O222))</f>
      </c>
      <c r="K222">
        <f t="shared" si="6"/>
      </c>
      <c r="L222">
        <f>IF($O222="","",INDEX(Master!$K$2:$K$1001,$O222))</f>
      </c>
      <c r="M222">
        <f>IF($O222="","",INDEX(Master!$L$2:$L$1001,$O222))</f>
      </c>
      <c r="O222">
        <f t="array" ref="O222">IFERROR(SMALL(IF(Master!$A$2:$A$1001="SWADESH",ROW(Master!$A$2:$A$1001)-ROW(Master!$A$2)+1),218),"")</f>
      </c>
      <c r="P222">
        <f t="shared" si="7"/>
      </c>
    </row>
    <row r="223" spans="1:16" x14ac:dyDescent="0.25">
      <c r="A223">
        <f>IF($O223="","",INDEX(Master!$D$2:$D$1001,$O223))</f>
      </c>
      <c r="B223" s="166">
        <f>IF($O223="","",INDEX(Master!$B$2:$B$1001,$O223))</f>
      </c>
      <c r="C223">
        <f>IF($O223="","",INDEX(Master!$C$2:$C$1001,$O223))</f>
      </c>
      <c r="D223">
        <f>IF($O223="","",INDEX(Master!$A$2:$A$1001,$O223))</f>
      </c>
      <c r="E223">
        <f>IF($O223="","",INDEX(Master!$E$2:$E$1001,$O223))</f>
      </c>
      <c r="F223">
        <f>IF($O223="","",INDEX(Master!$F$2:$F$1001,$O223))</f>
      </c>
      <c r="G223">
        <f>IF($O223="","",INDEX(Master!$G$2:$G$1001,$O223))</f>
      </c>
      <c r="H223">
        <f>IF($O223="","",INDEX(Master!$H$2:$H$1001,$O223))</f>
      </c>
      <c r="I223">
        <f>IF($O223="","",INDEX(Master!$I$2:$I$1001,$O223))</f>
      </c>
      <c r="J223">
        <f>IF($O223="","",INDEX(Master!$J$2:$J$1001,$O223))</f>
      </c>
      <c r="K223">
        <f t="shared" si="6"/>
      </c>
      <c r="L223">
        <f>IF($O223="","",INDEX(Master!$K$2:$K$1001,$O223))</f>
      </c>
      <c r="M223">
        <f>IF($O223="","",INDEX(Master!$L$2:$L$1001,$O223))</f>
      </c>
      <c r="O223">
        <f t="array" ref="O223">IFERROR(SMALL(IF(Master!$A$2:$A$1001="SWADESH",ROW(Master!$A$2:$A$1001)-ROW(Master!$A$2)+1),219),"")</f>
      </c>
      <c r="P223">
        <f t="shared" si="7"/>
      </c>
    </row>
    <row r="224" spans="1:16" x14ac:dyDescent="0.25">
      <c r="A224">
        <f>IF($O224="","",INDEX(Master!$D$2:$D$1001,$O224))</f>
      </c>
      <c r="B224" s="166">
        <f>IF($O224="","",INDEX(Master!$B$2:$B$1001,$O224))</f>
      </c>
      <c r="C224">
        <f>IF($O224="","",INDEX(Master!$C$2:$C$1001,$O224))</f>
      </c>
      <c r="D224">
        <f>IF($O224="","",INDEX(Master!$A$2:$A$1001,$O224))</f>
      </c>
      <c r="E224">
        <f>IF($O224="","",INDEX(Master!$E$2:$E$1001,$O224))</f>
      </c>
      <c r="F224">
        <f>IF($O224="","",INDEX(Master!$F$2:$F$1001,$O224))</f>
      </c>
      <c r="G224">
        <f>IF($O224="","",INDEX(Master!$G$2:$G$1001,$O224))</f>
      </c>
      <c r="H224">
        <f>IF($O224="","",INDEX(Master!$H$2:$H$1001,$O224))</f>
      </c>
      <c r="I224">
        <f>IF($O224="","",INDEX(Master!$I$2:$I$1001,$O224))</f>
      </c>
      <c r="J224">
        <f>IF($O224="","",INDEX(Master!$J$2:$J$1001,$O224))</f>
      </c>
      <c r="K224">
        <f t="shared" si="6"/>
      </c>
      <c r="L224">
        <f>IF($O224="","",INDEX(Master!$K$2:$K$1001,$O224))</f>
      </c>
      <c r="M224">
        <f>IF($O224="","",INDEX(Master!$L$2:$L$1001,$O224))</f>
      </c>
      <c r="O224">
        <f t="array" ref="O224">IFERROR(SMALL(IF(Master!$A$2:$A$1001="SWADESH",ROW(Master!$A$2:$A$1001)-ROW(Master!$A$2)+1),220),"")</f>
      </c>
      <c r="P224">
        <f t="shared" si="7"/>
      </c>
    </row>
    <row r="225" spans="1:16" x14ac:dyDescent="0.25">
      <c r="A225">
        <f>IF($O225="","",INDEX(Master!$D$2:$D$1001,$O225))</f>
      </c>
      <c r="B225" s="166">
        <f>IF($O225="","",INDEX(Master!$B$2:$B$1001,$O225))</f>
      </c>
      <c r="C225">
        <f>IF($O225="","",INDEX(Master!$C$2:$C$1001,$O225))</f>
      </c>
      <c r="D225">
        <f>IF($O225="","",INDEX(Master!$A$2:$A$1001,$O225))</f>
      </c>
      <c r="E225">
        <f>IF($O225="","",INDEX(Master!$E$2:$E$1001,$O225))</f>
      </c>
      <c r="F225">
        <f>IF($O225="","",INDEX(Master!$F$2:$F$1001,$O225))</f>
      </c>
      <c r="G225">
        <f>IF($O225="","",INDEX(Master!$G$2:$G$1001,$O225))</f>
      </c>
      <c r="H225">
        <f>IF($O225="","",INDEX(Master!$H$2:$H$1001,$O225))</f>
      </c>
      <c r="I225">
        <f>IF($O225="","",INDEX(Master!$I$2:$I$1001,$O225))</f>
      </c>
      <c r="J225">
        <f>IF($O225="","",INDEX(Master!$J$2:$J$1001,$O225))</f>
      </c>
      <c r="K225">
        <f t="shared" si="6"/>
      </c>
      <c r="L225">
        <f>IF($O225="","",INDEX(Master!$K$2:$K$1001,$O225))</f>
      </c>
      <c r="M225">
        <f>IF($O225="","",INDEX(Master!$L$2:$L$1001,$O225))</f>
      </c>
      <c r="O225">
        <f t="array" ref="O225">IFERROR(SMALL(IF(Master!$A$2:$A$1001="SWADESH",ROW(Master!$A$2:$A$1001)-ROW(Master!$A$2)+1),221),"")</f>
      </c>
      <c r="P225">
        <f t="shared" si="7"/>
      </c>
    </row>
    <row r="226" spans="1:16" x14ac:dyDescent="0.25">
      <c r="A226">
        <f>IF($O226="","",INDEX(Master!$D$2:$D$1001,$O226))</f>
      </c>
      <c r="B226" s="166">
        <f>IF($O226="","",INDEX(Master!$B$2:$B$1001,$O226))</f>
      </c>
      <c r="C226">
        <f>IF($O226="","",INDEX(Master!$C$2:$C$1001,$O226))</f>
      </c>
      <c r="D226">
        <f>IF($O226="","",INDEX(Master!$A$2:$A$1001,$O226))</f>
      </c>
      <c r="E226">
        <f>IF($O226="","",INDEX(Master!$E$2:$E$1001,$O226))</f>
      </c>
      <c r="F226">
        <f>IF($O226="","",INDEX(Master!$F$2:$F$1001,$O226))</f>
      </c>
      <c r="G226">
        <f>IF($O226="","",INDEX(Master!$G$2:$G$1001,$O226))</f>
      </c>
      <c r="H226">
        <f>IF($O226="","",INDEX(Master!$H$2:$H$1001,$O226))</f>
      </c>
      <c r="I226">
        <f>IF($O226="","",INDEX(Master!$I$2:$I$1001,$O226))</f>
      </c>
      <c r="J226">
        <f>IF($O226="","",INDEX(Master!$J$2:$J$1001,$O226))</f>
      </c>
      <c r="K226">
        <f t="shared" si="6"/>
      </c>
      <c r="L226">
        <f>IF($O226="","",INDEX(Master!$K$2:$K$1001,$O226))</f>
      </c>
      <c r="M226">
        <f>IF($O226="","",INDEX(Master!$L$2:$L$1001,$O226))</f>
      </c>
      <c r="O226">
        <f t="array" ref="O226">IFERROR(SMALL(IF(Master!$A$2:$A$1001="SWADESH",ROW(Master!$A$2:$A$1001)-ROW(Master!$A$2)+1),222),"")</f>
      </c>
      <c r="P226">
        <f t="shared" si="7"/>
      </c>
    </row>
    <row r="227" spans="1:16" x14ac:dyDescent="0.25">
      <c r="A227">
        <f>IF($O227="","",INDEX(Master!$D$2:$D$1001,$O227))</f>
      </c>
      <c r="B227" s="166">
        <f>IF($O227="","",INDEX(Master!$B$2:$B$1001,$O227))</f>
      </c>
      <c r="C227">
        <f>IF($O227="","",INDEX(Master!$C$2:$C$1001,$O227))</f>
      </c>
      <c r="D227">
        <f>IF($O227="","",INDEX(Master!$A$2:$A$1001,$O227))</f>
      </c>
      <c r="E227">
        <f>IF($O227="","",INDEX(Master!$E$2:$E$1001,$O227))</f>
      </c>
      <c r="F227">
        <f>IF($O227="","",INDEX(Master!$F$2:$F$1001,$O227))</f>
      </c>
      <c r="G227">
        <f>IF($O227="","",INDEX(Master!$G$2:$G$1001,$O227))</f>
      </c>
      <c r="H227">
        <f>IF($O227="","",INDEX(Master!$H$2:$H$1001,$O227))</f>
      </c>
      <c r="I227">
        <f>IF($O227="","",INDEX(Master!$I$2:$I$1001,$O227))</f>
      </c>
      <c r="J227">
        <f>IF($O227="","",INDEX(Master!$J$2:$J$1001,$O227))</f>
      </c>
      <c r="K227">
        <f t="shared" si="6"/>
      </c>
      <c r="L227">
        <f>IF($O227="","",INDEX(Master!$K$2:$K$1001,$O227))</f>
      </c>
      <c r="M227">
        <f>IF($O227="","",INDEX(Master!$L$2:$L$1001,$O227))</f>
      </c>
      <c r="O227">
        <f t="array" ref="O227">IFERROR(SMALL(IF(Master!$A$2:$A$1001="SWADESH",ROW(Master!$A$2:$A$1001)-ROW(Master!$A$2)+1),223),"")</f>
      </c>
      <c r="P227">
        <f t="shared" si="7"/>
      </c>
    </row>
    <row r="228" spans="1:16" x14ac:dyDescent="0.25">
      <c r="A228">
        <f>IF($O228="","",INDEX(Master!$D$2:$D$1001,$O228))</f>
      </c>
      <c r="B228" s="166">
        <f>IF($O228="","",INDEX(Master!$B$2:$B$1001,$O228))</f>
      </c>
      <c r="C228">
        <f>IF($O228="","",INDEX(Master!$C$2:$C$1001,$O228))</f>
      </c>
      <c r="D228">
        <f>IF($O228="","",INDEX(Master!$A$2:$A$1001,$O228))</f>
      </c>
      <c r="E228">
        <f>IF($O228="","",INDEX(Master!$E$2:$E$1001,$O228))</f>
      </c>
      <c r="F228">
        <f>IF($O228="","",INDEX(Master!$F$2:$F$1001,$O228))</f>
      </c>
      <c r="G228">
        <f>IF($O228="","",INDEX(Master!$G$2:$G$1001,$O228))</f>
      </c>
      <c r="H228">
        <f>IF($O228="","",INDEX(Master!$H$2:$H$1001,$O228))</f>
      </c>
      <c r="I228">
        <f>IF($O228="","",INDEX(Master!$I$2:$I$1001,$O228))</f>
      </c>
      <c r="J228">
        <f>IF($O228="","",INDEX(Master!$J$2:$J$1001,$O228))</f>
      </c>
      <c r="K228">
        <f t="shared" si="6"/>
      </c>
      <c r="L228">
        <f>IF($O228="","",INDEX(Master!$K$2:$K$1001,$O228))</f>
      </c>
      <c r="M228">
        <f>IF($O228="","",INDEX(Master!$L$2:$L$1001,$O228))</f>
      </c>
      <c r="O228">
        <f t="array" ref="O228">IFERROR(SMALL(IF(Master!$A$2:$A$1001="SWADESH",ROW(Master!$A$2:$A$1001)-ROW(Master!$A$2)+1),224),"")</f>
      </c>
      <c r="P228">
        <f t="shared" si="7"/>
      </c>
    </row>
    <row r="229" spans="1:16" x14ac:dyDescent="0.25">
      <c r="A229">
        <f>IF($O229="","",INDEX(Master!$D$2:$D$1001,$O229))</f>
      </c>
      <c r="B229" s="166">
        <f>IF($O229="","",INDEX(Master!$B$2:$B$1001,$O229))</f>
      </c>
      <c r="C229">
        <f>IF($O229="","",INDEX(Master!$C$2:$C$1001,$O229))</f>
      </c>
      <c r="D229">
        <f>IF($O229="","",INDEX(Master!$A$2:$A$1001,$O229))</f>
      </c>
      <c r="E229">
        <f>IF($O229="","",INDEX(Master!$E$2:$E$1001,$O229))</f>
      </c>
      <c r="F229">
        <f>IF($O229="","",INDEX(Master!$F$2:$F$1001,$O229))</f>
      </c>
      <c r="G229">
        <f>IF($O229="","",INDEX(Master!$G$2:$G$1001,$O229))</f>
      </c>
      <c r="H229">
        <f>IF($O229="","",INDEX(Master!$H$2:$H$1001,$O229))</f>
      </c>
      <c r="I229">
        <f>IF($O229="","",INDEX(Master!$I$2:$I$1001,$O229))</f>
      </c>
      <c r="J229">
        <f>IF($O229="","",INDEX(Master!$J$2:$J$1001,$O229))</f>
      </c>
      <c r="K229">
        <f t="shared" si="6"/>
      </c>
      <c r="L229">
        <f>IF($O229="","",INDEX(Master!$K$2:$K$1001,$O229))</f>
      </c>
      <c r="M229">
        <f>IF($O229="","",INDEX(Master!$L$2:$L$1001,$O229))</f>
      </c>
      <c r="O229">
        <f t="array" ref="O229">IFERROR(SMALL(IF(Master!$A$2:$A$1001="SWADESH",ROW(Master!$A$2:$A$1001)-ROW(Master!$A$2)+1),225),"")</f>
      </c>
      <c r="P229">
        <f t="shared" si="7"/>
      </c>
    </row>
    <row r="230" spans="1:16" x14ac:dyDescent="0.25">
      <c r="A230">
        <f>IF($O230="","",INDEX(Master!$D$2:$D$1001,$O230))</f>
      </c>
      <c r="B230" s="166">
        <f>IF($O230="","",INDEX(Master!$B$2:$B$1001,$O230))</f>
      </c>
      <c r="C230">
        <f>IF($O230="","",INDEX(Master!$C$2:$C$1001,$O230))</f>
      </c>
      <c r="D230">
        <f>IF($O230="","",INDEX(Master!$A$2:$A$1001,$O230))</f>
      </c>
      <c r="E230">
        <f>IF($O230="","",INDEX(Master!$E$2:$E$1001,$O230))</f>
      </c>
      <c r="F230">
        <f>IF($O230="","",INDEX(Master!$F$2:$F$1001,$O230))</f>
      </c>
      <c r="G230">
        <f>IF($O230="","",INDEX(Master!$G$2:$G$1001,$O230))</f>
      </c>
      <c r="H230">
        <f>IF($O230="","",INDEX(Master!$H$2:$H$1001,$O230))</f>
      </c>
      <c r="I230">
        <f>IF($O230="","",INDEX(Master!$I$2:$I$1001,$O230))</f>
      </c>
      <c r="J230">
        <f>IF($O230="","",INDEX(Master!$J$2:$J$1001,$O230))</f>
      </c>
      <c r="K230">
        <f t="shared" si="6"/>
      </c>
      <c r="L230">
        <f>IF($O230="","",INDEX(Master!$K$2:$K$1001,$O230))</f>
      </c>
      <c r="M230">
        <f>IF($O230="","",INDEX(Master!$L$2:$L$1001,$O230))</f>
      </c>
      <c r="O230">
        <f t="array" ref="O230">IFERROR(SMALL(IF(Master!$A$2:$A$1001="SWADESH",ROW(Master!$A$2:$A$1001)-ROW(Master!$A$2)+1),226),"")</f>
      </c>
      <c r="P230">
        <f t="shared" si="7"/>
      </c>
    </row>
    <row r="231" spans="1:16" x14ac:dyDescent="0.25">
      <c r="A231">
        <f>IF($O231="","",INDEX(Master!$D$2:$D$1001,$O231))</f>
      </c>
      <c r="B231" s="166">
        <f>IF($O231="","",INDEX(Master!$B$2:$B$1001,$O231))</f>
      </c>
      <c r="C231">
        <f>IF($O231="","",INDEX(Master!$C$2:$C$1001,$O231))</f>
      </c>
      <c r="D231">
        <f>IF($O231="","",INDEX(Master!$A$2:$A$1001,$O231))</f>
      </c>
      <c r="E231">
        <f>IF($O231="","",INDEX(Master!$E$2:$E$1001,$O231))</f>
      </c>
      <c r="F231">
        <f>IF($O231="","",INDEX(Master!$F$2:$F$1001,$O231))</f>
      </c>
      <c r="G231">
        <f>IF($O231="","",INDEX(Master!$G$2:$G$1001,$O231))</f>
      </c>
      <c r="H231">
        <f>IF($O231="","",INDEX(Master!$H$2:$H$1001,$O231))</f>
      </c>
      <c r="I231">
        <f>IF($O231="","",INDEX(Master!$I$2:$I$1001,$O231))</f>
      </c>
      <c r="J231">
        <f>IF($O231="","",INDEX(Master!$J$2:$J$1001,$O231))</f>
      </c>
      <c r="K231">
        <f t="shared" si="6"/>
      </c>
      <c r="L231">
        <f>IF($O231="","",INDEX(Master!$K$2:$K$1001,$O231))</f>
      </c>
      <c r="M231">
        <f>IF($O231="","",INDEX(Master!$L$2:$L$1001,$O231))</f>
      </c>
      <c r="O231">
        <f t="array" ref="O231">IFERROR(SMALL(IF(Master!$A$2:$A$1001="SWADESH",ROW(Master!$A$2:$A$1001)-ROW(Master!$A$2)+1),227),"")</f>
      </c>
      <c r="P231">
        <f t="shared" si="7"/>
      </c>
    </row>
    <row r="232" spans="1:16" x14ac:dyDescent="0.25">
      <c r="A232">
        <f>IF($O232="","",INDEX(Master!$D$2:$D$1001,$O232))</f>
      </c>
      <c r="B232" s="166">
        <f>IF($O232="","",INDEX(Master!$B$2:$B$1001,$O232))</f>
      </c>
      <c r="C232">
        <f>IF($O232="","",INDEX(Master!$C$2:$C$1001,$O232))</f>
      </c>
      <c r="D232">
        <f>IF($O232="","",INDEX(Master!$A$2:$A$1001,$O232))</f>
      </c>
      <c r="E232">
        <f>IF($O232="","",INDEX(Master!$E$2:$E$1001,$O232))</f>
      </c>
      <c r="F232">
        <f>IF($O232="","",INDEX(Master!$F$2:$F$1001,$O232))</f>
      </c>
      <c r="G232">
        <f>IF($O232="","",INDEX(Master!$G$2:$G$1001,$O232))</f>
      </c>
      <c r="H232">
        <f>IF($O232="","",INDEX(Master!$H$2:$H$1001,$O232))</f>
      </c>
      <c r="I232">
        <f>IF($O232="","",INDEX(Master!$I$2:$I$1001,$O232))</f>
      </c>
      <c r="J232">
        <f>IF($O232="","",INDEX(Master!$J$2:$J$1001,$O232))</f>
      </c>
      <c r="K232">
        <f t="shared" si="6"/>
      </c>
      <c r="L232">
        <f>IF($O232="","",INDEX(Master!$K$2:$K$1001,$O232))</f>
      </c>
      <c r="M232">
        <f>IF($O232="","",INDEX(Master!$L$2:$L$1001,$O232))</f>
      </c>
      <c r="O232">
        <f t="array" ref="O232">IFERROR(SMALL(IF(Master!$A$2:$A$1001="SWADESH",ROW(Master!$A$2:$A$1001)-ROW(Master!$A$2)+1),228),"")</f>
      </c>
      <c r="P232">
        <f t="shared" si="7"/>
      </c>
    </row>
    <row r="233" spans="1:16" x14ac:dyDescent="0.25">
      <c r="A233">
        <f>IF($O233="","",INDEX(Master!$D$2:$D$1001,$O233))</f>
      </c>
      <c r="B233" s="166">
        <f>IF($O233="","",INDEX(Master!$B$2:$B$1001,$O233))</f>
      </c>
      <c r="C233">
        <f>IF($O233="","",INDEX(Master!$C$2:$C$1001,$O233))</f>
      </c>
      <c r="D233">
        <f>IF($O233="","",INDEX(Master!$A$2:$A$1001,$O233))</f>
      </c>
      <c r="E233">
        <f>IF($O233="","",INDEX(Master!$E$2:$E$1001,$O233))</f>
      </c>
      <c r="F233">
        <f>IF($O233="","",INDEX(Master!$F$2:$F$1001,$O233))</f>
      </c>
      <c r="G233">
        <f>IF($O233="","",INDEX(Master!$G$2:$G$1001,$O233))</f>
      </c>
      <c r="H233">
        <f>IF($O233="","",INDEX(Master!$H$2:$H$1001,$O233))</f>
      </c>
      <c r="I233">
        <f>IF($O233="","",INDEX(Master!$I$2:$I$1001,$O233))</f>
      </c>
      <c r="J233">
        <f>IF($O233="","",INDEX(Master!$J$2:$J$1001,$O233))</f>
      </c>
      <c r="K233">
        <f t="shared" si="6"/>
      </c>
      <c r="L233">
        <f>IF($O233="","",INDEX(Master!$K$2:$K$1001,$O233))</f>
      </c>
      <c r="M233">
        <f>IF($O233="","",INDEX(Master!$L$2:$L$1001,$O233))</f>
      </c>
      <c r="O233">
        <f t="array" ref="O233">IFERROR(SMALL(IF(Master!$A$2:$A$1001="SWADESH",ROW(Master!$A$2:$A$1001)-ROW(Master!$A$2)+1),229),"")</f>
      </c>
      <c r="P233">
        <f t="shared" si="7"/>
      </c>
    </row>
    <row r="234" spans="1:16" x14ac:dyDescent="0.25">
      <c r="A234">
        <f>IF($O234="","",INDEX(Master!$D$2:$D$1001,$O234))</f>
      </c>
      <c r="B234" s="166">
        <f>IF($O234="","",INDEX(Master!$B$2:$B$1001,$O234))</f>
      </c>
      <c r="C234">
        <f>IF($O234="","",INDEX(Master!$C$2:$C$1001,$O234))</f>
      </c>
      <c r="D234">
        <f>IF($O234="","",INDEX(Master!$A$2:$A$1001,$O234))</f>
      </c>
      <c r="E234">
        <f>IF($O234="","",INDEX(Master!$E$2:$E$1001,$O234))</f>
      </c>
      <c r="F234">
        <f>IF($O234="","",INDEX(Master!$F$2:$F$1001,$O234))</f>
      </c>
      <c r="G234">
        <f>IF($O234="","",INDEX(Master!$G$2:$G$1001,$O234))</f>
      </c>
      <c r="H234">
        <f>IF($O234="","",INDEX(Master!$H$2:$H$1001,$O234))</f>
      </c>
      <c r="I234">
        <f>IF($O234="","",INDEX(Master!$I$2:$I$1001,$O234))</f>
      </c>
      <c r="J234">
        <f>IF($O234="","",INDEX(Master!$J$2:$J$1001,$O234))</f>
      </c>
      <c r="K234">
        <f t="shared" si="6"/>
      </c>
      <c r="L234">
        <f>IF($O234="","",INDEX(Master!$K$2:$K$1001,$O234))</f>
      </c>
      <c r="M234">
        <f>IF($O234="","",INDEX(Master!$L$2:$L$1001,$O234))</f>
      </c>
      <c r="O234">
        <f t="array" ref="O234">IFERROR(SMALL(IF(Master!$A$2:$A$1001="SWADESH",ROW(Master!$A$2:$A$1001)-ROW(Master!$A$2)+1),230),"")</f>
      </c>
      <c r="P234">
        <f t="shared" si="7"/>
      </c>
    </row>
    <row r="235" spans="1:16" x14ac:dyDescent="0.25">
      <c r="A235">
        <f>IF($O235="","",INDEX(Master!$D$2:$D$1001,$O235))</f>
      </c>
      <c r="B235" s="166">
        <f>IF($O235="","",INDEX(Master!$B$2:$B$1001,$O235))</f>
      </c>
      <c r="C235">
        <f>IF($O235="","",INDEX(Master!$C$2:$C$1001,$O235))</f>
      </c>
      <c r="D235">
        <f>IF($O235="","",INDEX(Master!$A$2:$A$1001,$O235))</f>
      </c>
      <c r="E235">
        <f>IF($O235="","",INDEX(Master!$E$2:$E$1001,$O235))</f>
      </c>
      <c r="F235">
        <f>IF($O235="","",INDEX(Master!$F$2:$F$1001,$O235))</f>
      </c>
      <c r="G235">
        <f>IF($O235="","",INDEX(Master!$G$2:$G$1001,$O235))</f>
      </c>
      <c r="H235">
        <f>IF($O235="","",INDEX(Master!$H$2:$H$1001,$O235))</f>
      </c>
      <c r="I235">
        <f>IF($O235="","",INDEX(Master!$I$2:$I$1001,$O235))</f>
      </c>
      <c r="J235">
        <f>IF($O235="","",INDEX(Master!$J$2:$J$1001,$O235))</f>
      </c>
      <c r="K235">
        <f t="shared" si="6"/>
      </c>
      <c r="L235">
        <f>IF($O235="","",INDEX(Master!$K$2:$K$1001,$O235))</f>
      </c>
      <c r="M235">
        <f>IF($O235="","",INDEX(Master!$L$2:$L$1001,$O235))</f>
      </c>
      <c r="O235">
        <f t="array" ref="O235">IFERROR(SMALL(IF(Master!$A$2:$A$1001="SWADESH",ROW(Master!$A$2:$A$1001)-ROW(Master!$A$2)+1),231),"")</f>
      </c>
      <c r="P235">
        <f t="shared" si="7"/>
      </c>
    </row>
    <row r="236" spans="1:16" x14ac:dyDescent="0.25">
      <c r="A236">
        <f>IF($O236="","",INDEX(Master!$D$2:$D$1001,$O236))</f>
      </c>
      <c r="B236" s="166">
        <f>IF($O236="","",INDEX(Master!$B$2:$B$1001,$O236))</f>
      </c>
      <c r="C236">
        <f>IF($O236="","",INDEX(Master!$C$2:$C$1001,$O236))</f>
      </c>
      <c r="D236">
        <f>IF($O236="","",INDEX(Master!$A$2:$A$1001,$O236))</f>
      </c>
      <c r="E236">
        <f>IF($O236="","",INDEX(Master!$E$2:$E$1001,$O236))</f>
      </c>
      <c r="F236">
        <f>IF($O236="","",INDEX(Master!$F$2:$F$1001,$O236))</f>
      </c>
      <c r="G236">
        <f>IF($O236="","",INDEX(Master!$G$2:$G$1001,$O236))</f>
      </c>
      <c r="H236">
        <f>IF($O236="","",INDEX(Master!$H$2:$H$1001,$O236))</f>
      </c>
      <c r="I236">
        <f>IF($O236="","",INDEX(Master!$I$2:$I$1001,$O236))</f>
      </c>
      <c r="J236">
        <f>IF($O236="","",INDEX(Master!$J$2:$J$1001,$O236))</f>
      </c>
      <c r="K236">
        <f t="shared" si="6"/>
      </c>
      <c r="L236">
        <f>IF($O236="","",INDEX(Master!$K$2:$K$1001,$O236))</f>
      </c>
      <c r="M236">
        <f>IF($O236="","",INDEX(Master!$L$2:$L$1001,$O236))</f>
      </c>
      <c r="O236">
        <f t="array" ref="O236">IFERROR(SMALL(IF(Master!$A$2:$A$1001="SWADESH",ROW(Master!$A$2:$A$1001)-ROW(Master!$A$2)+1),232),"")</f>
      </c>
      <c r="P236">
        <f t="shared" si="7"/>
      </c>
    </row>
    <row r="237" spans="1:16" x14ac:dyDescent="0.25">
      <c r="A237">
        <f>IF($O237="","",INDEX(Master!$D$2:$D$1001,$O237))</f>
      </c>
      <c r="B237" s="166">
        <f>IF($O237="","",INDEX(Master!$B$2:$B$1001,$O237))</f>
      </c>
      <c r="C237">
        <f>IF($O237="","",INDEX(Master!$C$2:$C$1001,$O237))</f>
      </c>
      <c r="D237">
        <f>IF($O237="","",INDEX(Master!$A$2:$A$1001,$O237))</f>
      </c>
      <c r="E237">
        <f>IF($O237="","",INDEX(Master!$E$2:$E$1001,$O237))</f>
      </c>
      <c r="F237">
        <f>IF($O237="","",INDEX(Master!$F$2:$F$1001,$O237))</f>
      </c>
      <c r="G237">
        <f>IF($O237="","",INDEX(Master!$G$2:$G$1001,$O237))</f>
      </c>
      <c r="H237">
        <f>IF($O237="","",INDEX(Master!$H$2:$H$1001,$O237))</f>
      </c>
      <c r="I237">
        <f>IF($O237="","",INDEX(Master!$I$2:$I$1001,$O237))</f>
      </c>
      <c r="J237">
        <f>IF($O237="","",INDEX(Master!$J$2:$J$1001,$O237))</f>
      </c>
      <c r="K237">
        <f t="shared" si="6"/>
      </c>
      <c r="L237">
        <f>IF($O237="","",INDEX(Master!$K$2:$K$1001,$O237))</f>
      </c>
      <c r="M237">
        <f>IF($O237="","",INDEX(Master!$L$2:$L$1001,$O237))</f>
      </c>
      <c r="O237">
        <f t="array" ref="O237">IFERROR(SMALL(IF(Master!$A$2:$A$1001="SWADESH",ROW(Master!$A$2:$A$1001)-ROW(Master!$A$2)+1),233),"")</f>
      </c>
      <c r="P237">
        <f t="shared" si="7"/>
      </c>
    </row>
    <row r="238" spans="1:16" x14ac:dyDescent="0.25">
      <c r="A238">
        <f>IF($O238="","",INDEX(Master!$D$2:$D$1001,$O238))</f>
      </c>
      <c r="B238" s="166">
        <f>IF($O238="","",INDEX(Master!$B$2:$B$1001,$O238))</f>
      </c>
      <c r="C238">
        <f>IF($O238="","",INDEX(Master!$C$2:$C$1001,$O238))</f>
      </c>
      <c r="D238">
        <f>IF($O238="","",INDEX(Master!$A$2:$A$1001,$O238))</f>
      </c>
      <c r="E238">
        <f>IF($O238="","",INDEX(Master!$E$2:$E$1001,$O238))</f>
      </c>
      <c r="F238">
        <f>IF($O238="","",INDEX(Master!$F$2:$F$1001,$O238))</f>
      </c>
      <c r="G238">
        <f>IF($O238="","",INDEX(Master!$G$2:$G$1001,$O238))</f>
      </c>
      <c r="H238">
        <f>IF($O238="","",INDEX(Master!$H$2:$H$1001,$O238))</f>
      </c>
      <c r="I238">
        <f>IF($O238="","",INDEX(Master!$I$2:$I$1001,$O238))</f>
      </c>
      <c r="J238">
        <f>IF($O238="","",INDEX(Master!$J$2:$J$1001,$O238))</f>
      </c>
      <c r="K238">
        <f t="shared" si="6"/>
      </c>
      <c r="L238">
        <f>IF($O238="","",INDEX(Master!$K$2:$K$1001,$O238))</f>
      </c>
      <c r="M238">
        <f>IF($O238="","",INDEX(Master!$L$2:$L$1001,$O238))</f>
      </c>
      <c r="O238">
        <f t="array" ref="O238">IFERROR(SMALL(IF(Master!$A$2:$A$1001="SWADESH",ROW(Master!$A$2:$A$1001)-ROW(Master!$A$2)+1),234),"")</f>
      </c>
      <c r="P238">
        <f t="shared" si="7"/>
      </c>
    </row>
    <row r="239" spans="1:16" x14ac:dyDescent="0.25">
      <c r="A239">
        <f>IF($O239="","",INDEX(Master!$D$2:$D$1001,$O239))</f>
      </c>
      <c r="B239" s="166">
        <f>IF($O239="","",INDEX(Master!$B$2:$B$1001,$O239))</f>
      </c>
      <c r="C239">
        <f>IF($O239="","",INDEX(Master!$C$2:$C$1001,$O239))</f>
      </c>
      <c r="D239">
        <f>IF($O239="","",INDEX(Master!$A$2:$A$1001,$O239))</f>
      </c>
      <c r="E239">
        <f>IF($O239="","",INDEX(Master!$E$2:$E$1001,$O239))</f>
      </c>
      <c r="F239">
        <f>IF($O239="","",INDEX(Master!$F$2:$F$1001,$O239))</f>
      </c>
      <c r="G239">
        <f>IF($O239="","",INDEX(Master!$G$2:$G$1001,$O239))</f>
      </c>
      <c r="H239">
        <f>IF($O239="","",INDEX(Master!$H$2:$H$1001,$O239))</f>
      </c>
      <c r="I239">
        <f>IF($O239="","",INDEX(Master!$I$2:$I$1001,$O239))</f>
      </c>
      <c r="J239">
        <f>IF($O239="","",INDEX(Master!$J$2:$J$1001,$O239))</f>
      </c>
      <c r="K239">
        <f t="shared" si="6"/>
      </c>
      <c r="L239">
        <f>IF($O239="","",INDEX(Master!$K$2:$K$1001,$O239))</f>
      </c>
      <c r="M239">
        <f>IF($O239="","",INDEX(Master!$L$2:$L$1001,$O239))</f>
      </c>
      <c r="O239">
        <f t="array" ref="O239">IFERROR(SMALL(IF(Master!$A$2:$A$1001="SWADESH",ROW(Master!$A$2:$A$1001)-ROW(Master!$A$2)+1),235),"")</f>
      </c>
      <c r="P239">
        <f t="shared" si="7"/>
      </c>
    </row>
    <row r="240" spans="1:16" x14ac:dyDescent="0.25">
      <c r="A240">
        <f>IF($O240="","",INDEX(Master!$D$2:$D$1001,$O240))</f>
      </c>
      <c r="B240" s="166">
        <f>IF($O240="","",INDEX(Master!$B$2:$B$1001,$O240))</f>
      </c>
      <c r="C240">
        <f>IF($O240="","",INDEX(Master!$C$2:$C$1001,$O240))</f>
      </c>
      <c r="D240">
        <f>IF($O240="","",INDEX(Master!$A$2:$A$1001,$O240))</f>
      </c>
      <c r="E240">
        <f>IF($O240="","",INDEX(Master!$E$2:$E$1001,$O240))</f>
      </c>
      <c r="F240">
        <f>IF($O240="","",INDEX(Master!$F$2:$F$1001,$O240))</f>
      </c>
      <c r="G240">
        <f>IF($O240="","",INDEX(Master!$G$2:$G$1001,$O240))</f>
      </c>
      <c r="H240">
        <f>IF($O240="","",INDEX(Master!$H$2:$H$1001,$O240))</f>
      </c>
      <c r="I240">
        <f>IF($O240="","",INDEX(Master!$I$2:$I$1001,$O240))</f>
      </c>
      <c r="J240">
        <f>IF($O240="","",INDEX(Master!$J$2:$J$1001,$O240))</f>
      </c>
      <c r="K240">
        <f t="shared" si="6"/>
      </c>
      <c r="L240">
        <f>IF($O240="","",INDEX(Master!$K$2:$K$1001,$O240))</f>
      </c>
      <c r="M240">
        <f>IF($O240="","",INDEX(Master!$L$2:$L$1001,$O240))</f>
      </c>
      <c r="O240">
        <f t="array" ref="O240">IFERROR(SMALL(IF(Master!$A$2:$A$1001="SWADESH",ROW(Master!$A$2:$A$1001)-ROW(Master!$A$2)+1),236),"")</f>
      </c>
      <c r="P240">
        <f t="shared" si="7"/>
      </c>
    </row>
    <row r="241" spans="1:16" x14ac:dyDescent="0.25">
      <c r="A241">
        <f>IF($O241="","",INDEX(Master!$D$2:$D$1001,$O241))</f>
      </c>
      <c r="B241" s="166">
        <f>IF($O241="","",INDEX(Master!$B$2:$B$1001,$O241))</f>
      </c>
      <c r="C241">
        <f>IF($O241="","",INDEX(Master!$C$2:$C$1001,$O241))</f>
      </c>
      <c r="D241">
        <f>IF($O241="","",INDEX(Master!$A$2:$A$1001,$O241))</f>
      </c>
      <c r="E241">
        <f>IF($O241="","",INDEX(Master!$E$2:$E$1001,$O241))</f>
      </c>
      <c r="F241">
        <f>IF($O241="","",INDEX(Master!$F$2:$F$1001,$O241))</f>
      </c>
      <c r="G241">
        <f>IF($O241="","",INDEX(Master!$G$2:$G$1001,$O241))</f>
      </c>
      <c r="H241">
        <f>IF($O241="","",INDEX(Master!$H$2:$H$1001,$O241))</f>
      </c>
      <c r="I241">
        <f>IF($O241="","",INDEX(Master!$I$2:$I$1001,$O241))</f>
      </c>
      <c r="J241">
        <f>IF($O241="","",INDEX(Master!$J$2:$J$1001,$O241))</f>
      </c>
      <c r="K241">
        <f t="shared" si="6"/>
      </c>
      <c r="L241">
        <f>IF($O241="","",INDEX(Master!$K$2:$K$1001,$O241))</f>
      </c>
      <c r="M241">
        <f>IF($O241="","",INDEX(Master!$L$2:$L$1001,$O241))</f>
      </c>
      <c r="O241">
        <f t="array" ref="O241">IFERROR(SMALL(IF(Master!$A$2:$A$1001="SWADESH",ROW(Master!$A$2:$A$1001)-ROW(Master!$A$2)+1),237),"")</f>
      </c>
      <c r="P241">
        <f t="shared" si="7"/>
      </c>
    </row>
    <row r="242" spans="1:16" x14ac:dyDescent="0.25">
      <c r="A242">
        <f>IF($O242="","",INDEX(Master!$D$2:$D$1001,$O242))</f>
      </c>
      <c r="B242" s="166">
        <f>IF($O242="","",INDEX(Master!$B$2:$B$1001,$O242))</f>
      </c>
      <c r="C242">
        <f>IF($O242="","",INDEX(Master!$C$2:$C$1001,$O242))</f>
      </c>
      <c r="D242">
        <f>IF($O242="","",INDEX(Master!$A$2:$A$1001,$O242))</f>
      </c>
      <c r="E242">
        <f>IF($O242="","",INDEX(Master!$E$2:$E$1001,$O242))</f>
      </c>
      <c r="F242">
        <f>IF($O242="","",INDEX(Master!$F$2:$F$1001,$O242))</f>
      </c>
      <c r="G242">
        <f>IF($O242="","",INDEX(Master!$G$2:$G$1001,$O242))</f>
      </c>
      <c r="H242">
        <f>IF($O242="","",INDEX(Master!$H$2:$H$1001,$O242))</f>
      </c>
      <c r="I242">
        <f>IF($O242="","",INDEX(Master!$I$2:$I$1001,$O242))</f>
      </c>
      <c r="J242">
        <f>IF($O242="","",INDEX(Master!$J$2:$J$1001,$O242))</f>
      </c>
      <c r="K242">
        <f t="shared" si="6"/>
      </c>
      <c r="L242">
        <f>IF($O242="","",INDEX(Master!$K$2:$K$1001,$O242))</f>
      </c>
      <c r="M242">
        <f>IF($O242="","",INDEX(Master!$L$2:$L$1001,$O242))</f>
      </c>
      <c r="O242">
        <f t="array" ref="O242">IFERROR(SMALL(IF(Master!$A$2:$A$1001="SWADESH",ROW(Master!$A$2:$A$1001)-ROW(Master!$A$2)+1),238),"")</f>
      </c>
      <c r="P242">
        <f t="shared" si="7"/>
      </c>
    </row>
    <row r="243" spans="1:16" x14ac:dyDescent="0.25">
      <c r="A243">
        <f>IF($O243="","",INDEX(Master!$D$2:$D$1001,$O243))</f>
      </c>
      <c r="B243" s="166">
        <f>IF($O243="","",INDEX(Master!$B$2:$B$1001,$O243))</f>
      </c>
      <c r="C243">
        <f>IF($O243="","",INDEX(Master!$C$2:$C$1001,$O243))</f>
      </c>
      <c r="D243">
        <f>IF($O243="","",INDEX(Master!$A$2:$A$1001,$O243))</f>
      </c>
      <c r="E243">
        <f>IF($O243="","",INDEX(Master!$E$2:$E$1001,$O243))</f>
      </c>
      <c r="F243">
        <f>IF($O243="","",INDEX(Master!$F$2:$F$1001,$O243))</f>
      </c>
      <c r="G243">
        <f>IF($O243="","",INDEX(Master!$G$2:$G$1001,$O243))</f>
      </c>
      <c r="H243">
        <f>IF($O243="","",INDEX(Master!$H$2:$H$1001,$O243))</f>
      </c>
      <c r="I243">
        <f>IF($O243="","",INDEX(Master!$I$2:$I$1001,$O243))</f>
      </c>
      <c r="J243">
        <f>IF($O243="","",INDEX(Master!$J$2:$J$1001,$O243))</f>
      </c>
      <c r="K243">
        <f t="shared" si="6"/>
      </c>
      <c r="L243">
        <f>IF($O243="","",INDEX(Master!$K$2:$K$1001,$O243))</f>
      </c>
      <c r="M243">
        <f>IF($O243="","",INDEX(Master!$L$2:$L$1001,$O243))</f>
      </c>
      <c r="O243">
        <f t="array" ref="O243">IFERROR(SMALL(IF(Master!$A$2:$A$1001="SWADESH",ROW(Master!$A$2:$A$1001)-ROW(Master!$A$2)+1),239),"")</f>
      </c>
      <c r="P243">
        <f t="shared" si="7"/>
      </c>
    </row>
    <row r="244" spans="1:16" x14ac:dyDescent="0.25">
      <c r="A244">
        <f>IF($O244="","",INDEX(Master!$D$2:$D$1001,$O244))</f>
      </c>
      <c r="B244" s="166">
        <f>IF($O244="","",INDEX(Master!$B$2:$B$1001,$O244))</f>
      </c>
      <c r="C244">
        <f>IF($O244="","",INDEX(Master!$C$2:$C$1001,$O244))</f>
      </c>
      <c r="D244">
        <f>IF($O244="","",INDEX(Master!$A$2:$A$1001,$O244))</f>
      </c>
      <c r="E244">
        <f>IF($O244="","",INDEX(Master!$E$2:$E$1001,$O244))</f>
      </c>
      <c r="F244">
        <f>IF($O244="","",INDEX(Master!$F$2:$F$1001,$O244))</f>
      </c>
      <c r="G244">
        <f>IF($O244="","",INDEX(Master!$G$2:$G$1001,$O244))</f>
      </c>
      <c r="H244">
        <f>IF($O244="","",INDEX(Master!$H$2:$H$1001,$O244))</f>
      </c>
      <c r="I244">
        <f>IF($O244="","",INDEX(Master!$I$2:$I$1001,$O244))</f>
      </c>
      <c r="J244">
        <f>IF($O244="","",INDEX(Master!$J$2:$J$1001,$O244))</f>
      </c>
      <c r="K244">
        <f t="shared" si="6"/>
      </c>
      <c r="L244">
        <f>IF($O244="","",INDEX(Master!$K$2:$K$1001,$O244))</f>
      </c>
      <c r="M244">
        <f>IF($O244="","",INDEX(Master!$L$2:$L$1001,$O244))</f>
      </c>
      <c r="O244">
        <f t="array" ref="O244">IFERROR(SMALL(IF(Master!$A$2:$A$1001="SWADESH",ROW(Master!$A$2:$A$1001)-ROW(Master!$A$2)+1),240),"")</f>
      </c>
      <c r="P244">
        <f t="shared" si="7"/>
      </c>
    </row>
    <row r="245" spans="1:16" x14ac:dyDescent="0.25">
      <c r="A245">
        <f>IF($O245="","",INDEX(Master!$D$2:$D$1001,$O245))</f>
      </c>
      <c r="B245" s="166">
        <f>IF($O245="","",INDEX(Master!$B$2:$B$1001,$O245))</f>
      </c>
      <c r="C245">
        <f>IF($O245="","",INDEX(Master!$C$2:$C$1001,$O245))</f>
      </c>
      <c r="D245">
        <f>IF($O245="","",INDEX(Master!$A$2:$A$1001,$O245))</f>
      </c>
      <c r="E245">
        <f>IF($O245="","",INDEX(Master!$E$2:$E$1001,$O245))</f>
      </c>
      <c r="F245">
        <f>IF($O245="","",INDEX(Master!$F$2:$F$1001,$O245))</f>
      </c>
      <c r="G245">
        <f>IF($O245="","",INDEX(Master!$G$2:$G$1001,$O245))</f>
      </c>
      <c r="H245">
        <f>IF($O245="","",INDEX(Master!$H$2:$H$1001,$O245))</f>
      </c>
      <c r="I245">
        <f>IF($O245="","",INDEX(Master!$I$2:$I$1001,$O245))</f>
      </c>
      <c r="J245">
        <f>IF($O245="","",INDEX(Master!$J$2:$J$1001,$O245))</f>
      </c>
      <c r="K245">
        <f t="shared" si="6"/>
      </c>
      <c r="L245">
        <f>IF($O245="","",INDEX(Master!$K$2:$K$1001,$O245))</f>
      </c>
      <c r="M245">
        <f>IF($O245="","",INDEX(Master!$L$2:$L$1001,$O245))</f>
      </c>
      <c r="O245">
        <f t="array" ref="O245">IFERROR(SMALL(IF(Master!$A$2:$A$1001="SWADESH",ROW(Master!$A$2:$A$1001)-ROW(Master!$A$2)+1),241),"")</f>
      </c>
      <c r="P245">
        <f t="shared" si="7"/>
      </c>
    </row>
    <row r="246" spans="1:16" x14ac:dyDescent="0.25">
      <c r="A246">
        <f>IF($O246="","",INDEX(Master!$D$2:$D$1001,$O246))</f>
      </c>
      <c r="B246" s="166">
        <f>IF($O246="","",INDEX(Master!$B$2:$B$1001,$O246))</f>
      </c>
      <c r="C246">
        <f>IF($O246="","",INDEX(Master!$C$2:$C$1001,$O246))</f>
      </c>
      <c r="D246">
        <f>IF($O246="","",INDEX(Master!$A$2:$A$1001,$O246))</f>
      </c>
      <c r="E246">
        <f>IF($O246="","",INDEX(Master!$E$2:$E$1001,$O246))</f>
      </c>
      <c r="F246">
        <f>IF($O246="","",INDEX(Master!$F$2:$F$1001,$O246))</f>
      </c>
      <c r="G246">
        <f>IF($O246="","",INDEX(Master!$G$2:$G$1001,$O246))</f>
      </c>
      <c r="H246">
        <f>IF($O246="","",INDEX(Master!$H$2:$H$1001,$O246))</f>
      </c>
      <c r="I246">
        <f>IF($O246="","",INDEX(Master!$I$2:$I$1001,$O246))</f>
      </c>
      <c r="J246">
        <f>IF($O246="","",INDEX(Master!$J$2:$J$1001,$O246))</f>
      </c>
      <c r="K246">
        <f t="shared" si="6"/>
      </c>
      <c r="L246">
        <f>IF($O246="","",INDEX(Master!$K$2:$K$1001,$O246))</f>
      </c>
      <c r="M246">
        <f>IF($O246="","",INDEX(Master!$L$2:$L$1001,$O246))</f>
      </c>
      <c r="O246">
        <f t="array" ref="O246">IFERROR(SMALL(IF(Master!$A$2:$A$1001="SWADESH",ROW(Master!$A$2:$A$1001)-ROW(Master!$A$2)+1),242),"")</f>
      </c>
      <c r="P246">
        <f t="shared" si="7"/>
      </c>
    </row>
    <row r="247" spans="1:16" x14ac:dyDescent="0.25">
      <c r="A247">
        <f>IF($O247="","",INDEX(Master!$D$2:$D$1001,$O247))</f>
      </c>
      <c r="B247" s="166">
        <f>IF($O247="","",INDEX(Master!$B$2:$B$1001,$O247))</f>
      </c>
      <c r="C247">
        <f>IF($O247="","",INDEX(Master!$C$2:$C$1001,$O247))</f>
      </c>
      <c r="D247">
        <f>IF($O247="","",INDEX(Master!$A$2:$A$1001,$O247))</f>
      </c>
      <c r="E247">
        <f>IF($O247="","",INDEX(Master!$E$2:$E$1001,$O247))</f>
      </c>
      <c r="F247">
        <f>IF($O247="","",INDEX(Master!$F$2:$F$1001,$O247))</f>
      </c>
      <c r="G247">
        <f>IF($O247="","",INDEX(Master!$G$2:$G$1001,$O247))</f>
      </c>
      <c r="H247">
        <f>IF($O247="","",INDEX(Master!$H$2:$H$1001,$O247))</f>
      </c>
      <c r="I247">
        <f>IF($O247="","",INDEX(Master!$I$2:$I$1001,$O247))</f>
      </c>
      <c r="J247">
        <f>IF($O247="","",INDEX(Master!$J$2:$J$1001,$O247))</f>
      </c>
      <c r="K247">
        <f t="shared" si="6"/>
      </c>
      <c r="L247">
        <f>IF($O247="","",INDEX(Master!$K$2:$K$1001,$O247))</f>
      </c>
      <c r="M247">
        <f>IF($O247="","",INDEX(Master!$L$2:$L$1001,$O247))</f>
      </c>
      <c r="O247">
        <f t="array" ref="O247">IFERROR(SMALL(IF(Master!$A$2:$A$1001="SWADESH",ROW(Master!$A$2:$A$1001)-ROW(Master!$A$2)+1),243),"")</f>
      </c>
      <c r="P247">
        <f t="shared" si="7"/>
      </c>
    </row>
    <row r="248" spans="1:16" x14ac:dyDescent="0.25">
      <c r="A248">
        <f>IF($O248="","",INDEX(Master!$D$2:$D$1001,$O248))</f>
      </c>
      <c r="B248" s="166">
        <f>IF($O248="","",INDEX(Master!$B$2:$B$1001,$O248))</f>
      </c>
      <c r="C248">
        <f>IF($O248="","",INDEX(Master!$C$2:$C$1001,$O248))</f>
      </c>
      <c r="D248">
        <f>IF($O248="","",INDEX(Master!$A$2:$A$1001,$O248))</f>
      </c>
      <c r="E248">
        <f>IF($O248="","",INDEX(Master!$E$2:$E$1001,$O248))</f>
      </c>
      <c r="F248">
        <f>IF($O248="","",INDEX(Master!$F$2:$F$1001,$O248))</f>
      </c>
      <c r="G248">
        <f>IF($O248="","",INDEX(Master!$G$2:$G$1001,$O248))</f>
      </c>
      <c r="H248">
        <f>IF($O248="","",INDEX(Master!$H$2:$H$1001,$O248))</f>
      </c>
      <c r="I248">
        <f>IF($O248="","",INDEX(Master!$I$2:$I$1001,$O248))</f>
      </c>
      <c r="J248">
        <f>IF($O248="","",INDEX(Master!$J$2:$J$1001,$O248))</f>
      </c>
      <c r="K248">
        <f t="shared" si="6"/>
      </c>
      <c r="L248">
        <f>IF($O248="","",INDEX(Master!$K$2:$K$1001,$O248))</f>
      </c>
      <c r="M248">
        <f>IF($O248="","",INDEX(Master!$L$2:$L$1001,$O248))</f>
      </c>
      <c r="O248">
        <f t="array" ref="O248">IFERROR(SMALL(IF(Master!$A$2:$A$1001="SWADESH",ROW(Master!$A$2:$A$1001)-ROW(Master!$A$2)+1),244),"")</f>
      </c>
      <c r="P248">
        <f t="shared" si="7"/>
      </c>
    </row>
    <row r="249" spans="1:16" x14ac:dyDescent="0.25">
      <c r="A249">
        <f>IF($O249="","",INDEX(Master!$D$2:$D$1001,$O249))</f>
      </c>
      <c r="B249" s="166">
        <f>IF($O249="","",INDEX(Master!$B$2:$B$1001,$O249))</f>
      </c>
      <c r="C249">
        <f>IF($O249="","",INDEX(Master!$C$2:$C$1001,$O249))</f>
      </c>
      <c r="D249">
        <f>IF($O249="","",INDEX(Master!$A$2:$A$1001,$O249))</f>
      </c>
      <c r="E249">
        <f>IF($O249="","",INDEX(Master!$E$2:$E$1001,$O249))</f>
      </c>
      <c r="F249">
        <f>IF($O249="","",INDEX(Master!$F$2:$F$1001,$O249))</f>
      </c>
      <c r="G249">
        <f>IF($O249="","",INDEX(Master!$G$2:$G$1001,$O249))</f>
      </c>
      <c r="H249">
        <f>IF($O249="","",INDEX(Master!$H$2:$H$1001,$O249))</f>
      </c>
      <c r="I249">
        <f>IF($O249="","",INDEX(Master!$I$2:$I$1001,$O249))</f>
      </c>
      <c r="J249">
        <f>IF($O249="","",INDEX(Master!$J$2:$J$1001,$O249))</f>
      </c>
      <c r="K249">
        <f t="shared" si="6"/>
      </c>
      <c r="L249">
        <f>IF($O249="","",INDEX(Master!$K$2:$K$1001,$O249))</f>
      </c>
      <c r="M249">
        <f>IF($O249="","",INDEX(Master!$L$2:$L$1001,$O249))</f>
      </c>
      <c r="O249">
        <f t="array" ref="O249">IFERROR(SMALL(IF(Master!$A$2:$A$1001="SWADESH",ROW(Master!$A$2:$A$1001)-ROW(Master!$A$2)+1),245),"")</f>
      </c>
      <c r="P249">
        <f t="shared" si="7"/>
      </c>
    </row>
    <row r="250" spans="1:16" x14ac:dyDescent="0.25">
      <c r="A250">
        <f>IF($O250="","",INDEX(Master!$D$2:$D$1001,$O250))</f>
      </c>
      <c r="B250" s="166">
        <f>IF($O250="","",INDEX(Master!$B$2:$B$1001,$O250))</f>
      </c>
      <c r="C250">
        <f>IF($O250="","",INDEX(Master!$C$2:$C$1001,$O250))</f>
      </c>
      <c r="D250">
        <f>IF($O250="","",INDEX(Master!$A$2:$A$1001,$O250))</f>
      </c>
      <c r="E250">
        <f>IF($O250="","",INDEX(Master!$E$2:$E$1001,$O250))</f>
      </c>
      <c r="F250">
        <f>IF($O250="","",INDEX(Master!$F$2:$F$1001,$O250))</f>
      </c>
      <c r="G250">
        <f>IF($O250="","",INDEX(Master!$G$2:$G$1001,$O250))</f>
      </c>
      <c r="H250">
        <f>IF($O250="","",INDEX(Master!$H$2:$H$1001,$O250))</f>
      </c>
      <c r="I250">
        <f>IF($O250="","",INDEX(Master!$I$2:$I$1001,$O250))</f>
      </c>
      <c r="J250">
        <f>IF($O250="","",INDEX(Master!$J$2:$J$1001,$O250))</f>
      </c>
      <c r="K250">
        <f t="shared" si="6"/>
      </c>
      <c r="L250">
        <f>IF($O250="","",INDEX(Master!$K$2:$K$1001,$O250))</f>
      </c>
      <c r="M250">
        <f>IF($O250="","",INDEX(Master!$L$2:$L$1001,$O250))</f>
      </c>
      <c r="O250">
        <f t="array" ref="O250">IFERROR(SMALL(IF(Master!$A$2:$A$1001="SWADESH",ROW(Master!$A$2:$A$1001)-ROW(Master!$A$2)+1),246),"")</f>
      </c>
      <c r="P250">
        <f t="shared" si="7"/>
      </c>
    </row>
    <row r="251" spans="1:16" x14ac:dyDescent="0.25">
      <c r="A251">
        <f>IF($O251="","",INDEX(Master!$D$2:$D$1001,$O251))</f>
      </c>
      <c r="B251" s="166">
        <f>IF($O251="","",INDEX(Master!$B$2:$B$1001,$O251))</f>
      </c>
      <c r="C251">
        <f>IF($O251="","",INDEX(Master!$C$2:$C$1001,$O251))</f>
      </c>
      <c r="D251">
        <f>IF($O251="","",INDEX(Master!$A$2:$A$1001,$O251))</f>
      </c>
      <c r="E251">
        <f>IF($O251="","",INDEX(Master!$E$2:$E$1001,$O251))</f>
      </c>
      <c r="F251">
        <f>IF($O251="","",INDEX(Master!$F$2:$F$1001,$O251))</f>
      </c>
      <c r="G251">
        <f>IF($O251="","",INDEX(Master!$G$2:$G$1001,$O251))</f>
      </c>
      <c r="H251">
        <f>IF($O251="","",INDEX(Master!$H$2:$H$1001,$O251))</f>
      </c>
      <c r="I251">
        <f>IF($O251="","",INDEX(Master!$I$2:$I$1001,$O251))</f>
      </c>
      <c r="J251">
        <f>IF($O251="","",INDEX(Master!$J$2:$J$1001,$O251))</f>
      </c>
      <c r="K251">
        <f t="shared" si="6"/>
      </c>
      <c r="L251">
        <f>IF($O251="","",INDEX(Master!$K$2:$K$1001,$O251))</f>
      </c>
      <c r="M251">
        <f>IF($O251="","",INDEX(Master!$L$2:$L$1001,$O251))</f>
      </c>
      <c r="O251">
        <f t="array" ref="O251">IFERROR(SMALL(IF(Master!$A$2:$A$1001="SWADESH",ROW(Master!$A$2:$A$1001)-ROW(Master!$A$2)+1),247),"")</f>
      </c>
      <c r="P251">
        <f t="shared" si="7"/>
      </c>
    </row>
    <row r="252" spans="1:16" x14ac:dyDescent="0.25">
      <c r="A252">
        <f>IF($O252="","",INDEX(Master!$D$2:$D$1001,$O252))</f>
      </c>
      <c r="B252" s="166">
        <f>IF($O252="","",INDEX(Master!$B$2:$B$1001,$O252))</f>
      </c>
      <c r="C252">
        <f>IF($O252="","",INDEX(Master!$C$2:$C$1001,$O252))</f>
      </c>
      <c r="D252">
        <f>IF($O252="","",INDEX(Master!$A$2:$A$1001,$O252))</f>
      </c>
      <c r="E252">
        <f>IF($O252="","",INDEX(Master!$E$2:$E$1001,$O252))</f>
      </c>
      <c r="F252">
        <f>IF($O252="","",INDEX(Master!$F$2:$F$1001,$O252))</f>
      </c>
      <c r="G252">
        <f>IF($O252="","",INDEX(Master!$G$2:$G$1001,$O252))</f>
      </c>
      <c r="H252">
        <f>IF($O252="","",INDEX(Master!$H$2:$H$1001,$O252))</f>
      </c>
      <c r="I252">
        <f>IF($O252="","",INDEX(Master!$I$2:$I$1001,$O252))</f>
      </c>
      <c r="J252">
        <f>IF($O252="","",INDEX(Master!$J$2:$J$1001,$O252))</f>
      </c>
      <c r="K252">
        <f t="shared" si="6"/>
      </c>
      <c r="L252">
        <f>IF($O252="","",INDEX(Master!$K$2:$K$1001,$O252))</f>
      </c>
      <c r="M252">
        <f>IF($O252="","",INDEX(Master!$L$2:$L$1001,$O252))</f>
      </c>
      <c r="O252">
        <f t="array" ref="O252">IFERROR(SMALL(IF(Master!$A$2:$A$1001="SWADESH",ROW(Master!$A$2:$A$1001)-ROW(Master!$A$2)+1),248),"")</f>
      </c>
      <c r="P252">
        <f t="shared" si="7"/>
      </c>
    </row>
    <row r="253" spans="1:16" x14ac:dyDescent="0.25">
      <c r="A253">
        <f>IF($O253="","",INDEX(Master!$D$2:$D$1001,$O253))</f>
      </c>
      <c r="B253" s="166">
        <f>IF($O253="","",INDEX(Master!$B$2:$B$1001,$O253))</f>
      </c>
      <c r="C253">
        <f>IF($O253="","",INDEX(Master!$C$2:$C$1001,$O253))</f>
      </c>
      <c r="D253">
        <f>IF($O253="","",INDEX(Master!$A$2:$A$1001,$O253))</f>
      </c>
      <c r="E253">
        <f>IF($O253="","",INDEX(Master!$E$2:$E$1001,$O253))</f>
      </c>
      <c r="F253">
        <f>IF($O253="","",INDEX(Master!$F$2:$F$1001,$O253))</f>
      </c>
      <c r="G253">
        <f>IF($O253="","",INDEX(Master!$G$2:$G$1001,$O253))</f>
      </c>
      <c r="H253">
        <f>IF($O253="","",INDEX(Master!$H$2:$H$1001,$O253))</f>
      </c>
      <c r="I253">
        <f>IF($O253="","",INDEX(Master!$I$2:$I$1001,$O253))</f>
      </c>
      <c r="J253">
        <f>IF($O253="","",INDEX(Master!$J$2:$J$1001,$O253))</f>
      </c>
      <c r="K253">
        <f t="shared" si="6"/>
      </c>
      <c r="L253">
        <f>IF($O253="","",INDEX(Master!$K$2:$K$1001,$O253))</f>
      </c>
      <c r="M253">
        <f>IF($O253="","",INDEX(Master!$L$2:$L$1001,$O253))</f>
      </c>
      <c r="O253">
        <f t="array" ref="O253">IFERROR(SMALL(IF(Master!$A$2:$A$1001="SWADESH",ROW(Master!$A$2:$A$1001)-ROW(Master!$A$2)+1),249),"")</f>
      </c>
      <c r="P253">
        <f t="shared" si="7"/>
      </c>
    </row>
    <row r="254" spans="1:16" x14ac:dyDescent="0.25">
      <c r="A254">
        <f>IF($O254="","",INDEX(Master!$D$2:$D$1001,$O254))</f>
      </c>
      <c r="B254" s="166">
        <f>IF($O254="","",INDEX(Master!$B$2:$B$1001,$O254))</f>
      </c>
      <c r="C254">
        <f>IF($O254="","",INDEX(Master!$C$2:$C$1001,$O254))</f>
      </c>
      <c r="D254">
        <f>IF($O254="","",INDEX(Master!$A$2:$A$1001,$O254))</f>
      </c>
      <c r="E254">
        <f>IF($O254="","",INDEX(Master!$E$2:$E$1001,$O254))</f>
      </c>
      <c r="F254">
        <f>IF($O254="","",INDEX(Master!$F$2:$F$1001,$O254))</f>
      </c>
      <c r="G254">
        <f>IF($O254="","",INDEX(Master!$G$2:$G$1001,$O254))</f>
      </c>
      <c r="H254">
        <f>IF($O254="","",INDEX(Master!$H$2:$H$1001,$O254))</f>
      </c>
      <c r="I254">
        <f>IF($O254="","",INDEX(Master!$I$2:$I$1001,$O254))</f>
      </c>
      <c r="J254">
        <f>IF($O254="","",INDEX(Master!$J$2:$J$1001,$O254))</f>
      </c>
      <c r="K254">
        <f t="shared" si="6"/>
      </c>
      <c r="L254">
        <f>IF($O254="","",INDEX(Master!$K$2:$K$1001,$O254))</f>
      </c>
      <c r="M254">
        <f>IF($O254="","",INDEX(Master!$L$2:$L$1001,$O254))</f>
      </c>
      <c r="O254">
        <f t="array" ref="O254">IFERROR(SMALL(IF(Master!$A$2:$A$1001="SWADESH",ROW(Master!$A$2:$A$1001)-ROW(Master!$A$2)+1),250),"")</f>
      </c>
      <c r="P254">
        <f t="shared" si="7"/>
      </c>
    </row>
    <row r="255" spans="1:16" x14ac:dyDescent="0.25">
      <c r="A255">
        <f>IF($O255="","",INDEX(Master!$D$2:$D$1001,$O255))</f>
      </c>
      <c r="B255" s="166">
        <f>IF($O255="","",INDEX(Master!$B$2:$B$1001,$O255))</f>
      </c>
      <c r="C255">
        <f>IF($O255="","",INDEX(Master!$C$2:$C$1001,$O255))</f>
      </c>
      <c r="D255">
        <f>IF($O255="","",INDEX(Master!$A$2:$A$1001,$O255))</f>
      </c>
      <c r="E255">
        <f>IF($O255="","",INDEX(Master!$E$2:$E$1001,$O255))</f>
      </c>
      <c r="F255">
        <f>IF($O255="","",INDEX(Master!$F$2:$F$1001,$O255))</f>
      </c>
      <c r="G255">
        <f>IF($O255="","",INDEX(Master!$G$2:$G$1001,$O255))</f>
      </c>
      <c r="H255">
        <f>IF($O255="","",INDEX(Master!$H$2:$H$1001,$O255))</f>
      </c>
      <c r="I255">
        <f>IF($O255="","",INDEX(Master!$I$2:$I$1001,$O255))</f>
      </c>
      <c r="J255">
        <f>IF($O255="","",INDEX(Master!$J$2:$J$1001,$O255))</f>
      </c>
      <c r="K255">
        <f t="shared" si="6"/>
      </c>
      <c r="L255">
        <f>IF($O255="","",INDEX(Master!$K$2:$K$1001,$O255))</f>
      </c>
      <c r="M255">
        <f>IF($O255="","",INDEX(Master!$L$2:$L$1001,$O255))</f>
      </c>
      <c r="O255">
        <f t="array" ref="O255">IFERROR(SMALL(IF(Master!$A$2:$A$1001="SWADESH",ROW(Master!$A$2:$A$1001)-ROW(Master!$A$2)+1),251),"")</f>
      </c>
      <c r="P255">
        <f t="shared" si="7"/>
      </c>
    </row>
    <row r="256" spans="1:16" x14ac:dyDescent="0.25">
      <c r="A256">
        <f>IF($O256="","",INDEX(Master!$D$2:$D$1001,$O256))</f>
      </c>
      <c r="B256" s="166">
        <f>IF($O256="","",INDEX(Master!$B$2:$B$1001,$O256))</f>
      </c>
      <c r="C256">
        <f>IF($O256="","",INDEX(Master!$C$2:$C$1001,$O256))</f>
      </c>
      <c r="D256">
        <f>IF($O256="","",INDEX(Master!$A$2:$A$1001,$O256))</f>
      </c>
      <c r="E256">
        <f>IF($O256="","",INDEX(Master!$E$2:$E$1001,$O256))</f>
      </c>
      <c r="F256">
        <f>IF($O256="","",INDEX(Master!$F$2:$F$1001,$O256))</f>
      </c>
      <c r="G256">
        <f>IF($O256="","",INDEX(Master!$G$2:$G$1001,$O256))</f>
      </c>
      <c r="H256">
        <f>IF($O256="","",INDEX(Master!$H$2:$H$1001,$O256))</f>
      </c>
      <c r="I256">
        <f>IF($O256="","",INDEX(Master!$I$2:$I$1001,$O256))</f>
      </c>
      <c r="J256">
        <f>IF($O256="","",INDEX(Master!$J$2:$J$1001,$O256))</f>
      </c>
      <c r="K256">
        <f t="shared" si="6"/>
      </c>
      <c r="L256">
        <f>IF($O256="","",INDEX(Master!$K$2:$K$1001,$O256))</f>
      </c>
      <c r="M256">
        <f>IF($O256="","",INDEX(Master!$L$2:$L$1001,$O256))</f>
      </c>
      <c r="O256">
        <f t="array" ref="O256">IFERROR(SMALL(IF(Master!$A$2:$A$1001="SWADESH",ROW(Master!$A$2:$A$1001)-ROW(Master!$A$2)+1),252),"")</f>
      </c>
      <c r="P256">
        <f t="shared" si="7"/>
      </c>
    </row>
    <row r="257" spans="1:16" x14ac:dyDescent="0.25">
      <c r="A257">
        <f>IF($O257="","",INDEX(Master!$D$2:$D$1001,$O257))</f>
      </c>
      <c r="B257" s="166">
        <f>IF($O257="","",INDEX(Master!$B$2:$B$1001,$O257))</f>
      </c>
      <c r="C257">
        <f>IF($O257="","",INDEX(Master!$C$2:$C$1001,$O257))</f>
      </c>
      <c r="D257">
        <f>IF($O257="","",INDEX(Master!$A$2:$A$1001,$O257))</f>
      </c>
      <c r="E257">
        <f>IF($O257="","",INDEX(Master!$E$2:$E$1001,$O257))</f>
      </c>
      <c r="F257">
        <f>IF($O257="","",INDEX(Master!$F$2:$F$1001,$O257))</f>
      </c>
      <c r="G257">
        <f>IF($O257="","",INDEX(Master!$G$2:$G$1001,$O257))</f>
      </c>
      <c r="H257">
        <f>IF($O257="","",INDEX(Master!$H$2:$H$1001,$O257))</f>
      </c>
      <c r="I257">
        <f>IF($O257="","",INDEX(Master!$I$2:$I$1001,$O257))</f>
      </c>
      <c r="J257">
        <f>IF($O257="","",INDEX(Master!$J$2:$J$1001,$O257))</f>
      </c>
      <c r="K257">
        <f t="shared" si="6"/>
      </c>
      <c r="L257">
        <f>IF($O257="","",INDEX(Master!$K$2:$K$1001,$O257))</f>
      </c>
      <c r="M257">
        <f>IF($O257="","",INDEX(Master!$L$2:$L$1001,$O257))</f>
      </c>
      <c r="O257">
        <f t="array" ref="O257">IFERROR(SMALL(IF(Master!$A$2:$A$1001="SWADESH",ROW(Master!$A$2:$A$1001)-ROW(Master!$A$2)+1),253),"")</f>
      </c>
      <c r="P257">
        <f t="shared" si="7"/>
      </c>
    </row>
    <row r="258" spans="1:16" x14ac:dyDescent="0.25">
      <c r="A258">
        <f>IF($O258="","",INDEX(Master!$D$2:$D$1001,$O258))</f>
      </c>
      <c r="B258" s="166">
        <f>IF($O258="","",INDEX(Master!$B$2:$B$1001,$O258))</f>
      </c>
      <c r="C258">
        <f>IF($O258="","",INDEX(Master!$C$2:$C$1001,$O258))</f>
      </c>
      <c r="D258">
        <f>IF($O258="","",INDEX(Master!$A$2:$A$1001,$O258))</f>
      </c>
      <c r="E258">
        <f>IF($O258="","",INDEX(Master!$E$2:$E$1001,$O258))</f>
      </c>
      <c r="F258">
        <f>IF($O258="","",INDEX(Master!$F$2:$F$1001,$O258))</f>
      </c>
      <c r="G258">
        <f>IF($O258="","",INDEX(Master!$G$2:$G$1001,$O258))</f>
      </c>
      <c r="H258">
        <f>IF($O258="","",INDEX(Master!$H$2:$H$1001,$O258))</f>
      </c>
      <c r="I258">
        <f>IF($O258="","",INDEX(Master!$I$2:$I$1001,$O258))</f>
      </c>
      <c r="J258">
        <f>IF($O258="","",INDEX(Master!$J$2:$J$1001,$O258))</f>
      </c>
      <c r="K258">
        <f t="shared" si="6"/>
      </c>
      <c r="L258">
        <f>IF($O258="","",INDEX(Master!$K$2:$K$1001,$O258))</f>
      </c>
      <c r="M258">
        <f>IF($O258="","",INDEX(Master!$L$2:$L$1001,$O258))</f>
      </c>
      <c r="O258">
        <f t="array" ref="O258">IFERROR(SMALL(IF(Master!$A$2:$A$1001="SWADESH",ROW(Master!$A$2:$A$1001)-ROW(Master!$A$2)+1),254),"")</f>
      </c>
      <c r="P258">
        <f t="shared" si="7"/>
      </c>
    </row>
    <row r="259" spans="1:16" x14ac:dyDescent="0.25">
      <c r="A259">
        <f>IF($O259="","",INDEX(Master!$D$2:$D$1001,$O259))</f>
      </c>
      <c r="B259" s="166">
        <f>IF($O259="","",INDEX(Master!$B$2:$B$1001,$O259))</f>
      </c>
      <c r="C259">
        <f>IF($O259="","",INDEX(Master!$C$2:$C$1001,$O259))</f>
      </c>
      <c r="D259">
        <f>IF($O259="","",INDEX(Master!$A$2:$A$1001,$O259))</f>
      </c>
      <c r="E259">
        <f>IF($O259="","",INDEX(Master!$E$2:$E$1001,$O259))</f>
      </c>
      <c r="F259">
        <f>IF($O259="","",INDEX(Master!$F$2:$F$1001,$O259))</f>
      </c>
      <c r="G259">
        <f>IF($O259="","",INDEX(Master!$G$2:$G$1001,$O259))</f>
      </c>
      <c r="H259">
        <f>IF($O259="","",INDEX(Master!$H$2:$H$1001,$O259))</f>
      </c>
      <c r="I259">
        <f>IF($O259="","",INDEX(Master!$I$2:$I$1001,$O259))</f>
      </c>
      <c r="J259">
        <f>IF($O259="","",INDEX(Master!$J$2:$J$1001,$O259))</f>
      </c>
      <c r="K259">
        <f t="shared" si="6"/>
      </c>
      <c r="L259">
        <f>IF($O259="","",INDEX(Master!$K$2:$K$1001,$O259))</f>
      </c>
      <c r="M259">
        <f>IF($O259="","",INDEX(Master!$L$2:$L$1001,$O259))</f>
      </c>
      <c r="O259">
        <f t="array" ref="O259">IFERROR(SMALL(IF(Master!$A$2:$A$1001="SWADESH",ROW(Master!$A$2:$A$1001)-ROW(Master!$A$2)+1),255),"")</f>
      </c>
      <c r="P259">
        <f t="shared" si="7"/>
      </c>
    </row>
    <row r="260" spans="1:16" x14ac:dyDescent="0.25">
      <c r="A260">
        <f>IF($O260="","",INDEX(Master!$D$2:$D$1001,$O260))</f>
      </c>
      <c r="B260" s="166">
        <f>IF($O260="","",INDEX(Master!$B$2:$B$1001,$O260))</f>
      </c>
      <c r="C260">
        <f>IF($O260="","",INDEX(Master!$C$2:$C$1001,$O260))</f>
      </c>
      <c r="D260">
        <f>IF($O260="","",INDEX(Master!$A$2:$A$1001,$O260))</f>
      </c>
      <c r="E260">
        <f>IF($O260="","",INDEX(Master!$E$2:$E$1001,$O260))</f>
      </c>
      <c r="F260">
        <f>IF($O260="","",INDEX(Master!$F$2:$F$1001,$O260))</f>
      </c>
      <c r="G260">
        <f>IF($O260="","",INDEX(Master!$G$2:$G$1001,$O260))</f>
      </c>
      <c r="H260">
        <f>IF($O260="","",INDEX(Master!$H$2:$H$1001,$O260))</f>
      </c>
      <c r="I260">
        <f>IF($O260="","",INDEX(Master!$I$2:$I$1001,$O260))</f>
      </c>
      <c r="J260">
        <f>IF($O260="","",INDEX(Master!$J$2:$J$1001,$O260))</f>
      </c>
      <c r="K260">
        <f t="shared" si="6"/>
      </c>
      <c r="L260">
        <f>IF($O260="","",INDEX(Master!$K$2:$K$1001,$O260))</f>
      </c>
      <c r="M260">
        <f>IF($O260="","",INDEX(Master!$L$2:$L$1001,$O260))</f>
      </c>
      <c r="O260">
        <f t="array" ref="O260">IFERROR(SMALL(IF(Master!$A$2:$A$1001="SWADESH",ROW(Master!$A$2:$A$1001)-ROW(Master!$A$2)+1),256),"")</f>
      </c>
      <c r="P260">
        <f t="shared" si="7"/>
      </c>
    </row>
    <row r="261" spans="1:16" x14ac:dyDescent="0.25">
      <c r="A261">
        <f>IF($O261="","",INDEX(Master!$D$2:$D$1001,$O261))</f>
      </c>
      <c r="B261" s="166">
        <f>IF($O261="","",INDEX(Master!$B$2:$B$1001,$O261))</f>
      </c>
      <c r="C261">
        <f>IF($O261="","",INDEX(Master!$C$2:$C$1001,$O261))</f>
      </c>
      <c r="D261">
        <f>IF($O261="","",INDEX(Master!$A$2:$A$1001,$O261))</f>
      </c>
      <c r="E261">
        <f>IF($O261="","",INDEX(Master!$E$2:$E$1001,$O261))</f>
      </c>
      <c r="F261">
        <f>IF($O261="","",INDEX(Master!$F$2:$F$1001,$O261))</f>
      </c>
      <c r="G261">
        <f>IF($O261="","",INDEX(Master!$G$2:$G$1001,$O261))</f>
      </c>
      <c r="H261">
        <f>IF($O261="","",INDEX(Master!$H$2:$H$1001,$O261))</f>
      </c>
      <c r="I261">
        <f>IF($O261="","",INDEX(Master!$I$2:$I$1001,$O261))</f>
      </c>
      <c r="J261">
        <f>IF($O261="","",INDEX(Master!$J$2:$J$1001,$O261))</f>
      </c>
      <c r="K261">
        <f t="shared" ref="K261:K304" si="8">IF(OR($O261="",$F261="",$F261=0),"",$H261/$F261)</f>
      </c>
      <c r="L261">
        <f>IF($O261="","",INDEX(Master!$K$2:$K$1001,$O261))</f>
      </c>
      <c r="M261">
        <f>IF($O261="","",INDEX(Master!$L$2:$L$1001,$O261))</f>
      </c>
      <c r="O261">
        <f t="array" ref="O261">IFERROR(SMALL(IF(Master!$A$2:$A$1001="SWADESH",ROW(Master!$A$2:$A$1001)-ROW(Master!$A$2)+1),257),"")</f>
      </c>
      <c r="P261">
        <f t="shared" ref="P261:P304" si="9">IF($A261="",0,IF(OR(AND($E261&lt;&gt;"",OR($E261&gt;0.15)),AND($F261&lt;&gt;"",OR($F261&gt;0.045)),AND($G261&lt;&gt;"",OR($G261&gt;0.08)),AND($H261&lt;&gt;"",$H261&lt;0.5),AND($J261&lt;&gt;"",OR($J261&lt;0.1))),1,0))</f>
      </c>
    </row>
    <row r="262" spans="1:16" x14ac:dyDescent="0.25">
      <c r="A262">
        <f>IF($O262="","",INDEX(Master!$D$2:$D$1001,$O262))</f>
      </c>
      <c r="B262" s="166">
        <f>IF($O262="","",INDEX(Master!$B$2:$B$1001,$O262))</f>
      </c>
      <c r="C262">
        <f>IF($O262="","",INDEX(Master!$C$2:$C$1001,$O262))</f>
      </c>
      <c r="D262">
        <f>IF($O262="","",INDEX(Master!$A$2:$A$1001,$O262))</f>
      </c>
      <c r="E262">
        <f>IF($O262="","",INDEX(Master!$E$2:$E$1001,$O262))</f>
      </c>
      <c r="F262">
        <f>IF($O262="","",INDEX(Master!$F$2:$F$1001,$O262))</f>
      </c>
      <c r="G262">
        <f>IF($O262="","",INDEX(Master!$G$2:$G$1001,$O262))</f>
      </c>
      <c r="H262">
        <f>IF($O262="","",INDEX(Master!$H$2:$H$1001,$O262))</f>
      </c>
      <c r="I262">
        <f>IF($O262="","",INDEX(Master!$I$2:$I$1001,$O262))</f>
      </c>
      <c r="J262">
        <f>IF($O262="","",INDEX(Master!$J$2:$J$1001,$O262))</f>
      </c>
      <c r="K262">
        <f t="shared" si="8"/>
      </c>
      <c r="L262">
        <f>IF($O262="","",INDEX(Master!$K$2:$K$1001,$O262))</f>
      </c>
      <c r="M262">
        <f>IF($O262="","",INDEX(Master!$L$2:$L$1001,$O262))</f>
      </c>
      <c r="O262">
        <f t="array" ref="O262">IFERROR(SMALL(IF(Master!$A$2:$A$1001="SWADESH",ROW(Master!$A$2:$A$1001)-ROW(Master!$A$2)+1),258),"")</f>
      </c>
      <c r="P262">
        <f t="shared" si="9"/>
      </c>
    </row>
    <row r="263" spans="1:16" x14ac:dyDescent="0.25">
      <c r="A263">
        <f>IF($O263="","",INDEX(Master!$D$2:$D$1001,$O263))</f>
      </c>
      <c r="B263" s="166">
        <f>IF($O263="","",INDEX(Master!$B$2:$B$1001,$O263))</f>
      </c>
      <c r="C263">
        <f>IF($O263="","",INDEX(Master!$C$2:$C$1001,$O263))</f>
      </c>
      <c r="D263">
        <f>IF($O263="","",INDEX(Master!$A$2:$A$1001,$O263))</f>
      </c>
      <c r="E263">
        <f>IF($O263="","",INDEX(Master!$E$2:$E$1001,$O263))</f>
      </c>
      <c r="F263">
        <f>IF($O263="","",INDEX(Master!$F$2:$F$1001,$O263))</f>
      </c>
      <c r="G263">
        <f>IF($O263="","",INDEX(Master!$G$2:$G$1001,$O263))</f>
      </c>
      <c r="H263">
        <f>IF($O263="","",INDEX(Master!$H$2:$H$1001,$O263))</f>
      </c>
      <c r="I263">
        <f>IF($O263="","",INDEX(Master!$I$2:$I$1001,$O263))</f>
      </c>
      <c r="J263">
        <f>IF($O263="","",INDEX(Master!$J$2:$J$1001,$O263))</f>
      </c>
      <c r="K263">
        <f t="shared" si="8"/>
      </c>
      <c r="L263">
        <f>IF($O263="","",INDEX(Master!$K$2:$K$1001,$O263))</f>
      </c>
      <c r="M263">
        <f>IF($O263="","",INDEX(Master!$L$2:$L$1001,$O263))</f>
      </c>
      <c r="O263">
        <f t="array" ref="O263">IFERROR(SMALL(IF(Master!$A$2:$A$1001="SWADESH",ROW(Master!$A$2:$A$1001)-ROW(Master!$A$2)+1),259),"")</f>
      </c>
      <c r="P263">
        <f t="shared" si="9"/>
      </c>
    </row>
    <row r="264" spans="1:16" x14ac:dyDescent="0.25">
      <c r="A264">
        <f>IF($O264="","",INDEX(Master!$D$2:$D$1001,$O264))</f>
      </c>
      <c r="B264" s="166">
        <f>IF($O264="","",INDEX(Master!$B$2:$B$1001,$O264))</f>
      </c>
      <c r="C264">
        <f>IF($O264="","",INDEX(Master!$C$2:$C$1001,$O264))</f>
      </c>
      <c r="D264">
        <f>IF($O264="","",INDEX(Master!$A$2:$A$1001,$O264))</f>
      </c>
      <c r="E264">
        <f>IF($O264="","",INDEX(Master!$E$2:$E$1001,$O264))</f>
      </c>
      <c r="F264">
        <f>IF($O264="","",INDEX(Master!$F$2:$F$1001,$O264))</f>
      </c>
      <c r="G264">
        <f>IF($O264="","",INDEX(Master!$G$2:$G$1001,$O264))</f>
      </c>
      <c r="H264">
        <f>IF($O264="","",INDEX(Master!$H$2:$H$1001,$O264))</f>
      </c>
      <c r="I264">
        <f>IF($O264="","",INDEX(Master!$I$2:$I$1001,$O264))</f>
      </c>
      <c r="J264">
        <f>IF($O264="","",INDEX(Master!$J$2:$J$1001,$O264))</f>
      </c>
      <c r="K264">
        <f t="shared" si="8"/>
      </c>
      <c r="L264">
        <f>IF($O264="","",INDEX(Master!$K$2:$K$1001,$O264))</f>
      </c>
      <c r="M264">
        <f>IF($O264="","",INDEX(Master!$L$2:$L$1001,$O264))</f>
      </c>
      <c r="O264">
        <f t="array" ref="O264">IFERROR(SMALL(IF(Master!$A$2:$A$1001="SWADESH",ROW(Master!$A$2:$A$1001)-ROW(Master!$A$2)+1),260),"")</f>
      </c>
      <c r="P264">
        <f t="shared" si="9"/>
      </c>
    </row>
    <row r="265" spans="1:16" x14ac:dyDescent="0.25">
      <c r="A265">
        <f>IF($O265="","",INDEX(Master!$D$2:$D$1001,$O265))</f>
      </c>
      <c r="B265" s="166">
        <f>IF($O265="","",INDEX(Master!$B$2:$B$1001,$O265))</f>
      </c>
      <c r="C265">
        <f>IF($O265="","",INDEX(Master!$C$2:$C$1001,$O265))</f>
      </c>
      <c r="D265">
        <f>IF($O265="","",INDEX(Master!$A$2:$A$1001,$O265))</f>
      </c>
      <c r="E265">
        <f>IF($O265="","",INDEX(Master!$E$2:$E$1001,$O265))</f>
      </c>
      <c r="F265">
        <f>IF($O265="","",INDEX(Master!$F$2:$F$1001,$O265))</f>
      </c>
      <c r="G265">
        <f>IF($O265="","",INDEX(Master!$G$2:$G$1001,$O265))</f>
      </c>
      <c r="H265">
        <f>IF($O265="","",INDEX(Master!$H$2:$H$1001,$O265))</f>
      </c>
      <c r="I265">
        <f>IF($O265="","",INDEX(Master!$I$2:$I$1001,$O265))</f>
      </c>
      <c r="J265">
        <f>IF($O265="","",INDEX(Master!$J$2:$J$1001,$O265))</f>
      </c>
      <c r="K265">
        <f t="shared" si="8"/>
      </c>
      <c r="L265">
        <f>IF($O265="","",INDEX(Master!$K$2:$K$1001,$O265))</f>
      </c>
      <c r="M265">
        <f>IF($O265="","",INDEX(Master!$L$2:$L$1001,$O265))</f>
      </c>
      <c r="O265">
        <f t="array" ref="O265">IFERROR(SMALL(IF(Master!$A$2:$A$1001="SWADESH",ROW(Master!$A$2:$A$1001)-ROW(Master!$A$2)+1),261),"")</f>
      </c>
      <c r="P265">
        <f t="shared" si="9"/>
      </c>
    </row>
    <row r="266" spans="1:16" x14ac:dyDescent="0.25">
      <c r="A266">
        <f>IF($O266="","",INDEX(Master!$D$2:$D$1001,$O266))</f>
      </c>
      <c r="B266" s="166">
        <f>IF($O266="","",INDEX(Master!$B$2:$B$1001,$O266))</f>
      </c>
      <c r="C266">
        <f>IF($O266="","",INDEX(Master!$C$2:$C$1001,$O266))</f>
      </c>
      <c r="D266">
        <f>IF($O266="","",INDEX(Master!$A$2:$A$1001,$O266))</f>
      </c>
      <c r="E266">
        <f>IF($O266="","",INDEX(Master!$E$2:$E$1001,$O266))</f>
      </c>
      <c r="F266">
        <f>IF($O266="","",INDEX(Master!$F$2:$F$1001,$O266))</f>
      </c>
      <c r="G266">
        <f>IF($O266="","",INDEX(Master!$G$2:$G$1001,$O266))</f>
      </c>
      <c r="H266">
        <f>IF($O266="","",INDEX(Master!$H$2:$H$1001,$O266))</f>
      </c>
      <c r="I266">
        <f>IF($O266="","",INDEX(Master!$I$2:$I$1001,$O266))</f>
      </c>
      <c r="J266">
        <f>IF($O266="","",INDEX(Master!$J$2:$J$1001,$O266))</f>
      </c>
      <c r="K266">
        <f t="shared" si="8"/>
      </c>
      <c r="L266">
        <f>IF($O266="","",INDEX(Master!$K$2:$K$1001,$O266))</f>
      </c>
      <c r="M266">
        <f>IF($O266="","",INDEX(Master!$L$2:$L$1001,$O266))</f>
      </c>
      <c r="O266">
        <f t="array" ref="O266">IFERROR(SMALL(IF(Master!$A$2:$A$1001="SWADESH",ROW(Master!$A$2:$A$1001)-ROW(Master!$A$2)+1),262),"")</f>
      </c>
      <c r="P266">
        <f t="shared" si="9"/>
      </c>
    </row>
    <row r="267" spans="1:16" x14ac:dyDescent="0.25">
      <c r="A267">
        <f>IF($O267="","",INDEX(Master!$D$2:$D$1001,$O267))</f>
      </c>
      <c r="B267" s="166">
        <f>IF($O267="","",INDEX(Master!$B$2:$B$1001,$O267))</f>
      </c>
      <c r="C267">
        <f>IF($O267="","",INDEX(Master!$C$2:$C$1001,$O267))</f>
      </c>
      <c r="D267">
        <f>IF($O267="","",INDEX(Master!$A$2:$A$1001,$O267))</f>
      </c>
      <c r="E267">
        <f>IF($O267="","",INDEX(Master!$E$2:$E$1001,$O267))</f>
      </c>
      <c r="F267">
        <f>IF($O267="","",INDEX(Master!$F$2:$F$1001,$O267))</f>
      </c>
      <c r="G267">
        <f>IF($O267="","",INDEX(Master!$G$2:$G$1001,$O267))</f>
      </c>
      <c r="H267">
        <f>IF($O267="","",INDEX(Master!$H$2:$H$1001,$O267))</f>
      </c>
      <c r="I267">
        <f>IF($O267="","",INDEX(Master!$I$2:$I$1001,$O267))</f>
      </c>
      <c r="J267">
        <f>IF($O267="","",INDEX(Master!$J$2:$J$1001,$O267))</f>
      </c>
      <c r="K267">
        <f t="shared" si="8"/>
      </c>
      <c r="L267">
        <f>IF($O267="","",INDEX(Master!$K$2:$K$1001,$O267))</f>
      </c>
      <c r="M267">
        <f>IF($O267="","",INDEX(Master!$L$2:$L$1001,$O267))</f>
      </c>
      <c r="O267">
        <f t="array" ref="O267">IFERROR(SMALL(IF(Master!$A$2:$A$1001="SWADESH",ROW(Master!$A$2:$A$1001)-ROW(Master!$A$2)+1),263),"")</f>
      </c>
      <c r="P267">
        <f t="shared" si="9"/>
      </c>
    </row>
    <row r="268" spans="1:16" x14ac:dyDescent="0.25">
      <c r="A268">
        <f>IF($O268="","",INDEX(Master!$D$2:$D$1001,$O268))</f>
      </c>
      <c r="B268" s="166">
        <f>IF($O268="","",INDEX(Master!$B$2:$B$1001,$O268))</f>
      </c>
      <c r="C268">
        <f>IF($O268="","",INDEX(Master!$C$2:$C$1001,$O268))</f>
      </c>
      <c r="D268">
        <f>IF($O268="","",INDEX(Master!$A$2:$A$1001,$O268))</f>
      </c>
      <c r="E268">
        <f>IF($O268="","",INDEX(Master!$E$2:$E$1001,$O268))</f>
      </c>
      <c r="F268">
        <f>IF($O268="","",INDEX(Master!$F$2:$F$1001,$O268))</f>
      </c>
      <c r="G268">
        <f>IF($O268="","",INDEX(Master!$G$2:$G$1001,$O268))</f>
      </c>
      <c r="H268">
        <f>IF($O268="","",INDEX(Master!$H$2:$H$1001,$O268))</f>
      </c>
      <c r="I268">
        <f>IF($O268="","",INDEX(Master!$I$2:$I$1001,$O268))</f>
      </c>
      <c r="J268">
        <f>IF($O268="","",INDEX(Master!$J$2:$J$1001,$O268))</f>
      </c>
      <c r="K268">
        <f t="shared" si="8"/>
      </c>
      <c r="L268">
        <f>IF($O268="","",INDEX(Master!$K$2:$K$1001,$O268))</f>
      </c>
      <c r="M268">
        <f>IF($O268="","",INDEX(Master!$L$2:$L$1001,$O268))</f>
      </c>
      <c r="O268">
        <f t="array" ref="O268">IFERROR(SMALL(IF(Master!$A$2:$A$1001="SWADESH",ROW(Master!$A$2:$A$1001)-ROW(Master!$A$2)+1),264),"")</f>
      </c>
      <c r="P268">
        <f t="shared" si="9"/>
      </c>
    </row>
    <row r="269" spans="1:16" x14ac:dyDescent="0.25">
      <c r="A269">
        <f>IF($O269="","",INDEX(Master!$D$2:$D$1001,$O269))</f>
      </c>
      <c r="B269" s="166">
        <f>IF($O269="","",INDEX(Master!$B$2:$B$1001,$O269))</f>
      </c>
      <c r="C269">
        <f>IF($O269="","",INDEX(Master!$C$2:$C$1001,$O269))</f>
      </c>
      <c r="D269">
        <f>IF($O269="","",INDEX(Master!$A$2:$A$1001,$O269))</f>
      </c>
      <c r="E269">
        <f>IF($O269="","",INDEX(Master!$E$2:$E$1001,$O269))</f>
      </c>
      <c r="F269">
        <f>IF($O269="","",INDEX(Master!$F$2:$F$1001,$O269))</f>
      </c>
      <c r="G269">
        <f>IF($O269="","",INDEX(Master!$G$2:$G$1001,$O269))</f>
      </c>
      <c r="H269">
        <f>IF($O269="","",INDEX(Master!$H$2:$H$1001,$O269))</f>
      </c>
      <c r="I269">
        <f>IF($O269="","",INDEX(Master!$I$2:$I$1001,$O269))</f>
      </c>
      <c r="J269">
        <f>IF($O269="","",INDEX(Master!$J$2:$J$1001,$O269))</f>
      </c>
      <c r="K269">
        <f t="shared" si="8"/>
      </c>
      <c r="L269">
        <f>IF($O269="","",INDEX(Master!$K$2:$K$1001,$O269))</f>
      </c>
      <c r="M269">
        <f>IF($O269="","",INDEX(Master!$L$2:$L$1001,$O269))</f>
      </c>
      <c r="O269">
        <f t="array" ref="O269">IFERROR(SMALL(IF(Master!$A$2:$A$1001="SWADESH",ROW(Master!$A$2:$A$1001)-ROW(Master!$A$2)+1),265),"")</f>
      </c>
      <c r="P269">
        <f t="shared" si="9"/>
      </c>
    </row>
    <row r="270" spans="1:16" x14ac:dyDescent="0.25">
      <c r="A270">
        <f>IF($O270="","",INDEX(Master!$D$2:$D$1001,$O270))</f>
      </c>
      <c r="B270" s="166">
        <f>IF($O270="","",INDEX(Master!$B$2:$B$1001,$O270))</f>
      </c>
      <c r="C270">
        <f>IF($O270="","",INDEX(Master!$C$2:$C$1001,$O270))</f>
      </c>
      <c r="D270">
        <f>IF($O270="","",INDEX(Master!$A$2:$A$1001,$O270))</f>
      </c>
      <c r="E270">
        <f>IF($O270="","",INDEX(Master!$E$2:$E$1001,$O270))</f>
      </c>
      <c r="F270">
        <f>IF($O270="","",INDEX(Master!$F$2:$F$1001,$O270))</f>
      </c>
      <c r="G270">
        <f>IF($O270="","",INDEX(Master!$G$2:$G$1001,$O270))</f>
      </c>
      <c r="H270">
        <f>IF($O270="","",INDEX(Master!$H$2:$H$1001,$O270))</f>
      </c>
      <c r="I270">
        <f>IF($O270="","",INDEX(Master!$I$2:$I$1001,$O270))</f>
      </c>
      <c r="J270">
        <f>IF($O270="","",INDEX(Master!$J$2:$J$1001,$O270))</f>
      </c>
      <c r="K270">
        <f t="shared" si="8"/>
      </c>
      <c r="L270">
        <f>IF($O270="","",INDEX(Master!$K$2:$K$1001,$O270))</f>
      </c>
      <c r="M270">
        <f>IF($O270="","",INDEX(Master!$L$2:$L$1001,$O270))</f>
      </c>
      <c r="O270">
        <f t="array" ref="O270">IFERROR(SMALL(IF(Master!$A$2:$A$1001="SWADESH",ROW(Master!$A$2:$A$1001)-ROW(Master!$A$2)+1),266),"")</f>
      </c>
      <c r="P270">
        <f t="shared" si="9"/>
      </c>
    </row>
    <row r="271" spans="1:16" x14ac:dyDescent="0.25">
      <c r="A271">
        <f>IF($O271="","",INDEX(Master!$D$2:$D$1001,$O271))</f>
      </c>
      <c r="B271" s="166">
        <f>IF($O271="","",INDEX(Master!$B$2:$B$1001,$O271))</f>
      </c>
      <c r="C271">
        <f>IF($O271="","",INDEX(Master!$C$2:$C$1001,$O271))</f>
      </c>
      <c r="D271">
        <f>IF($O271="","",INDEX(Master!$A$2:$A$1001,$O271))</f>
      </c>
      <c r="E271">
        <f>IF($O271="","",INDEX(Master!$E$2:$E$1001,$O271))</f>
      </c>
      <c r="F271">
        <f>IF($O271="","",INDEX(Master!$F$2:$F$1001,$O271))</f>
      </c>
      <c r="G271">
        <f>IF($O271="","",INDEX(Master!$G$2:$G$1001,$O271))</f>
      </c>
      <c r="H271">
        <f>IF($O271="","",INDEX(Master!$H$2:$H$1001,$O271))</f>
      </c>
      <c r="I271">
        <f>IF($O271="","",INDEX(Master!$I$2:$I$1001,$O271))</f>
      </c>
      <c r="J271">
        <f>IF($O271="","",INDEX(Master!$J$2:$J$1001,$O271))</f>
      </c>
      <c r="K271">
        <f t="shared" si="8"/>
      </c>
      <c r="L271">
        <f>IF($O271="","",INDEX(Master!$K$2:$K$1001,$O271))</f>
      </c>
      <c r="M271">
        <f>IF($O271="","",INDEX(Master!$L$2:$L$1001,$O271))</f>
      </c>
      <c r="O271">
        <f t="array" ref="O271">IFERROR(SMALL(IF(Master!$A$2:$A$1001="SWADESH",ROW(Master!$A$2:$A$1001)-ROW(Master!$A$2)+1),267),"")</f>
      </c>
      <c r="P271">
        <f t="shared" si="9"/>
      </c>
    </row>
    <row r="272" spans="1:16" x14ac:dyDescent="0.25">
      <c r="A272">
        <f>IF($O272="","",INDEX(Master!$D$2:$D$1001,$O272))</f>
      </c>
      <c r="B272" s="166">
        <f>IF($O272="","",INDEX(Master!$B$2:$B$1001,$O272))</f>
      </c>
      <c r="C272">
        <f>IF($O272="","",INDEX(Master!$C$2:$C$1001,$O272))</f>
      </c>
      <c r="D272">
        <f>IF($O272="","",INDEX(Master!$A$2:$A$1001,$O272))</f>
      </c>
      <c r="E272">
        <f>IF($O272="","",INDEX(Master!$E$2:$E$1001,$O272))</f>
      </c>
      <c r="F272">
        <f>IF($O272="","",INDEX(Master!$F$2:$F$1001,$O272))</f>
      </c>
      <c r="G272">
        <f>IF($O272="","",INDEX(Master!$G$2:$G$1001,$O272))</f>
      </c>
      <c r="H272">
        <f>IF($O272="","",INDEX(Master!$H$2:$H$1001,$O272))</f>
      </c>
      <c r="I272">
        <f>IF($O272="","",INDEX(Master!$I$2:$I$1001,$O272))</f>
      </c>
      <c r="J272">
        <f>IF($O272="","",INDEX(Master!$J$2:$J$1001,$O272))</f>
      </c>
      <c r="K272">
        <f t="shared" si="8"/>
      </c>
      <c r="L272">
        <f>IF($O272="","",INDEX(Master!$K$2:$K$1001,$O272))</f>
      </c>
      <c r="M272">
        <f>IF($O272="","",INDEX(Master!$L$2:$L$1001,$O272))</f>
      </c>
      <c r="O272">
        <f t="array" ref="O272">IFERROR(SMALL(IF(Master!$A$2:$A$1001="SWADESH",ROW(Master!$A$2:$A$1001)-ROW(Master!$A$2)+1),268),"")</f>
      </c>
      <c r="P272">
        <f t="shared" si="9"/>
      </c>
    </row>
    <row r="273" spans="1:16" x14ac:dyDescent="0.25">
      <c r="A273">
        <f>IF($O273="","",INDEX(Master!$D$2:$D$1001,$O273))</f>
      </c>
      <c r="B273" s="166">
        <f>IF($O273="","",INDEX(Master!$B$2:$B$1001,$O273))</f>
      </c>
      <c r="C273">
        <f>IF($O273="","",INDEX(Master!$C$2:$C$1001,$O273))</f>
      </c>
      <c r="D273">
        <f>IF($O273="","",INDEX(Master!$A$2:$A$1001,$O273))</f>
      </c>
      <c r="E273">
        <f>IF($O273="","",INDEX(Master!$E$2:$E$1001,$O273))</f>
      </c>
      <c r="F273">
        <f>IF($O273="","",INDEX(Master!$F$2:$F$1001,$O273))</f>
      </c>
      <c r="G273">
        <f>IF($O273="","",INDEX(Master!$G$2:$G$1001,$O273))</f>
      </c>
      <c r="H273">
        <f>IF($O273="","",INDEX(Master!$H$2:$H$1001,$O273))</f>
      </c>
      <c r="I273">
        <f>IF($O273="","",INDEX(Master!$I$2:$I$1001,$O273))</f>
      </c>
      <c r="J273">
        <f>IF($O273="","",INDEX(Master!$J$2:$J$1001,$O273))</f>
      </c>
      <c r="K273">
        <f t="shared" si="8"/>
      </c>
      <c r="L273">
        <f>IF($O273="","",INDEX(Master!$K$2:$K$1001,$O273))</f>
      </c>
      <c r="M273">
        <f>IF($O273="","",INDEX(Master!$L$2:$L$1001,$O273))</f>
      </c>
      <c r="O273">
        <f t="array" ref="O273">IFERROR(SMALL(IF(Master!$A$2:$A$1001="SWADESH",ROW(Master!$A$2:$A$1001)-ROW(Master!$A$2)+1),269),"")</f>
      </c>
      <c r="P273">
        <f t="shared" si="9"/>
      </c>
    </row>
    <row r="274" spans="1:16" x14ac:dyDescent="0.25">
      <c r="A274">
        <f>IF($O274="","",INDEX(Master!$D$2:$D$1001,$O274))</f>
      </c>
      <c r="B274" s="166">
        <f>IF($O274="","",INDEX(Master!$B$2:$B$1001,$O274))</f>
      </c>
      <c r="C274">
        <f>IF($O274="","",INDEX(Master!$C$2:$C$1001,$O274))</f>
      </c>
      <c r="D274">
        <f>IF($O274="","",INDEX(Master!$A$2:$A$1001,$O274))</f>
      </c>
      <c r="E274">
        <f>IF($O274="","",INDEX(Master!$E$2:$E$1001,$O274))</f>
      </c>
      <c r="F274">
        <f>IF($O274="","",INDEX(Master!$F$2:$F$1001,$O274))</f>
      </c>
      <c r="G274">
        <f>IF($O274="","",INDEX(Master!$G$2:$G$1001,$O274))</f>
      </c>
      <c r="H274">
        <f>IF($O274="","",INDEX(Master!$H$2:$H$1001,$O274))</f>
      </c>
      <c r="I274">
        <f>IF($O274="","",INDEX(Master!$I$2:$I$1001,$O274))</f>
      </c>
      <c r="J274">
        <f>IF($O274="","",INDEX(Master!$J$2:$J$1001,$O274))</f>
      </c>
      <c r="K274">
        <f t="shared" si="8"/>
      </c>
      <c r="L274">
        <f>IF($O274="","",INDEX(Master!$K$2:$K$1001,$O274))</f>
      </c>
      <c r="M274">
        <f>IF($O274="","",INDEX(Master!$L$2:$L$1001,$O274))</f>
      </c>
      <c r="O274">
        <f t="array" ref="O274">IFERROR(SMALL(IF(Master!$A$2:$A$1001="SWADESH",ROW(Master!$A$2:$A$1001)-ROW(Master!$A$2)+1),270),"")</f>
      </c>
      <c r="P274">
        <f t="shared" si="9"/>
      </c>
    </row>
    <row r="275" spans="1:16" x14ac:dyDescent="0.25">
      <c r="A275">
        <f>IF($O275="","",INDEX(Master!$D$2:$D$1001,$O275))</f>
      </c>
      <c r="B275" s="166">
        <f>IF($O275="","",INDEX(Master!$B$2:$B$1001,$O275))</f>
      </c>
      <c r="C275">
        <f>IF($O275="","",INDEX(Master!$C$2:$C$1001,$O275))</f>
      </c>
      <c r="D275">
        <f>IF($O275="","",INDEX(Master!$A$2:$A$1001,$O275))</f>
      </c>
      <c r="E275">
        <f>IF($O275="","",INDEX(Master!$E$2:$E$1001,$O275))</f>
      </c>
      <c r="F275">
        <f>IF($O275="","",INDEX(Master!$F$2:$F$1001,$O275))</f>
      </c>
      <c r="G275">
        <f>IF($O275="","",INDEX(Master!$G$2:$G$1001,$O275))</f>
      </c>
      <c r="H275">
        <f>IF($O275="","",INDEX(Master!$H$2:$H$1001,$O275))</f>
      </c>
      <c r="I275">
        <f>IF($O275="","",INDEX(Master!$I$2:$I$1001,$O275))</f>
      </c>
      <c r="J275">
        <f>IF($O275="","",INDEX(Master!$J$2:$J$1001,$O275))</f>
      </c>
      <c r="K275">
        <f t="shared" si="8"/>
      </c>
      <c r="L275">
        <f>IF($O275="","",INDEX(Master!$K$2:$K$1001,$O275))</f>
      </c>
      <c r="M275">
        <f>IF($O275="","",INDEX(Master!$L$2:$L$1001,$O275))</f>
      </c>
      <c r="O275">
        <f t="array" ref="O275">IFERROR(SMALL(IF(Master!$A$2:$A$1001="SWADESH",ROW(Master!$A$2:$A$1001)-ROW(Master!$A$2)+1),271),"")</f>
      </c>
      <c r="P275">
        <f t="shared" si="9"/>
      </c>
    </row>
    <row r="276" spans="1:16" x14ac:dyDescent="0.25">
      <c r="A276">
        <f>IF($O276="","",INDEX(Master!$D$2:$D$1001,$O276))</f>
      </c>
      <c r="B276" s="166">
        <f>IF($O276="","",INDEX(Master!$B$2:$B$1001,$O276))</f>
      </c>
      <c r="C276">
        <f>IF($O276="","",INDEX(Master!$C$2:$C$1001,$O276))</f>
      </c>
      <c r="D276">
        <f>IF($O276="","",INDEX(Master!$A$2:$A$1001,$O276))</f>
      </c>
      <c r="E276">
        <f>IF($O276="","",INDEX(Master!$E$2:$E$1001,$O276))</f>
      </c>
      <c r="F276">
        <f>IF($O276="","",INDEX(Master!$F$2:$F$1001,$O276))</f>
      </c>
      <c r="G276">
        <f>IF($O276="","",INDEX(Master!$G$2:$G$1001,$O276))</f>
      </c>
      <c r="H276">
        <f>IF($O276="","",INDEX(Master!$H$2:$H$1001,$O276))</f>
      </c>
      <c r="I276">
        <f>IF($O276="","",INDEX(Master!$I$2:$I$1001,$O276))</f>
      </c>
      <c r="J276">
        <f>IF($O276="","",INDEX(Master!$J$2:$J$1001,$O276))</f>
      </c>
      <c r="K276">
        <f t="shared" si="8"/>
      </c>
      <c r="L276">
        <f>IF($O276="","",INDEX(Master!$K$2:$K$1001,$O276))</f>
      </c>
      <c r="M276">
        <f>IF($O276="","",INDEX(Master!$L$2:$L$1001,$O276))</f>
      </c>
      <c r="O276">
        <f t="array" ref="O276">IFERROR(SMALL(IF(Master!$A$2:$A$1001="SWADESH",ROW(Master!$A$2:$A$1001)-ROW(Master!$A$2)+1),272),"")</f>
      </c>
      <c r="P276">
        <f t="shared" si="9"/>
      </c>
    </row>
    <row r="277" spans="1:16" x14ac:dyDescent="0.25">
      <c r="A277">
        <f>IF($O277="","",INDEX(Master!$D$2:$D$1001,$O277))</f>
      </c>
      <c r="B277" s="166">
        <f>IF($O277="","",INDEX(Master!$B$2:$B$1001,$O277))</f>
      </c>
      <c r="C277">
        <f>IF($O277="","",INDEX(Master!$C$2:$C$1001,$O277))</f>
      </c>
      <c r="D277">
        <f>IF($O277="","",INDEX(Master!$A$2:$A$1001,$O277))</f>
      </c>
      <c r="E277">
        <f>IF($O277="","",INDEX(Master!$E$2:$E$1001,$O277))</f>
      </c>
      <c r="F277">
        <f>IF($O277="","",INDEX(Master!$F$2:$F$1001,$O277))</f>
      </c>
      <c r="G277">
        <f>IF($O277="","",INDEX(Master!$G$2:$G$1001,$O277))</f>
      </c>
      <c r="H277">
        <f>IF($O277="","",INDEX(Master!$H$2:$H$1001,$O277))</f>
      </c>
      <c r="I277">
        <f>IF($O277="","",INDEX(Master!$I$2:$I$1001,$O277))</f>
      </c>
      <c r="J277">
        <f>IF($O277="","",INDEX(Master!$J$2:$J$1001,$O277))</f>
      </c>
      <c r="K277">
        <f t="shared" si="8"/>
      </c>
      <c r="L277">
        <f>IF($O277="","",INDEX(Master!$K$2:$K$1001,$O277))</f>
      </c>
      <c r="M277">
        <f>IF($O277="","",INDEX(Master!$L$2:$L$1001,$O277))</f>
      </c>
      <c r="O277">
        <f t="array" ref="O277">IFERROR(SMALL(IF(Master!$A$2:$A$1001="SWADESH",ROW(Master!$A$2:$A$1001)-ROW(Master!$A$2)+1),273),"")</f>
      </c>
      <c r="P277">
        <f t="shared" si="9"/>
      </c>
    </row>
    <row r="278" spans="1:16" x14ac:dyDescent="0.25">
      <c r="A278">
        <f>IF($O278="","",INDEX(Master!$D$2:$D$1001,$O278))</f>
      </c>
      <c r="B278" s="166">
        <f>IF($O278="","",INDEX(Master!$B$2:$B$1001,$O278))</f>
      </c>
      <c r="C278">
        <f>IF($O278="","",INDEX(Master!$C$2:$C$1001,$O278))</f>
      </c>
      <c r="D278">
        <f>IF($O278="","",INDEX(Master!$A$2:$A$1001,$O278))</f>
      </c>
      <c r="E278">
        <f>IF($O278="","",INDEX(Master!$E$2:$E$1001,$O278))</f>
      </c>
      <c r="F278">
        <f>IF($O278="","",INDEX(Master!$F$2:$F$1001,$O278))</f>
      </c>
      <c r="G278">
        <f>IF($O278="","",INDEX(Master!$G$2:$G$1001,$O278))</f>
      </c>
      <c r="H278">
        <f>IF($O278="","",INDEX(Master!$H$2:$H$1001,$O278))</f>
      </c>
      <c r="I278">
        <f>IF($O278="","",INDEX(Master!$I$2:$I$1001,$O278))</f>
      </c>
      <c r="J278">
        <f>IF($O278="","",INDEX(Master!$J$2:$J$1001,$O278))</f>
      </c>
      <c r="K278">
        <f t="shared" si="8"/>
      </c>
      <c r="L278">
        <f>IF($O278="","",INDEX(Master!$K$2:$K$1001,$O278))</f>
      </c>
      <c r="M278">
        <f>IF($O278="","",INDEX(Master!$L$2:$L$1001,$O278))</f>
      </c>
      <c r="O278">
        <f t="array" ref="O278">IFERROR(SMALL(IF(Master!$A$2:$A$1001="SWADESH",ROW(Master!$A$2:$A$1001)-ROW(Master!$A$2)+1),274),"")</f>
      </c>
      <c r="P278">
        <f t="shared" si="9"/>
      </c>
    </row>
    <row r="279" spans="1:16" x14ac:dyDescent="0.25">
      <c r="A279">
        <f>IF($O279="","",INDEX(Master!$D$2:$D$1001,$O279))</f>
      </c>
      <c r="B279" s="166">
        <f>IF($O279="","",INDEX(Master!$B$2:$B$1001,$O279))</f>
      </c>
      <c r="C279">
        <f>IF($O279="","",INDEX(Master!$C$2:$C$1001,$O279))</f>
      </c>
      <c r="D279">
        <f>IF($O279="","",INDEX(Master!$A$2:$A$1001,$O279))</f>
      </c>
      <c r="E279">
        <f>IF($O279="","",INDEX(Master!$E$2:$E$1001,$O279))</f>
      </c>
      <c r="F279">
        <f>IF($O279="","",INDEX(Master!$F$2:$F$1001,$O279))</f>
      </c>
      <c r="G279">
        <f>IF($O279="","",INDEX(Master!$G$2:$G$1001,$O279))</f>
      </c>
      <c r="H279">
        <f>IF($O279="","",INDEX(Master!$H$2:$H$1001,$O279))</f>
      </c>
      <c r="I279">
        <f>IF($O279="","",INDEX(Master!$I$2:$I$1001,$O279))</f>
      </c>
      <c r="J279">
        <f>IF($O279="","",INDEX(Master!$J$2:$J$1001,$O279))</f>
      </c>
      <c r="K279">
        <f t="shared" si="8"/>
      </c>
      <c r="L279">
        <f>IF($O279="","",INDEX(Master!$K$2:$K$1001,$O279))</f>
      </c>
      <c r="M279">
        <f>IF($O279="","",INDEX(Master!$L$2:$L$1001,$O279))</f>
      </c>
      <c r="O279">
        <f t="array" ref="O279">IFERROR(SMALL(IF(Master!$A$2:$A$1001="SWADESH",ROW(Master!$A$2:$A$1001)-ROW(Master!$A$2)+1),275),"")</f>
      </c>
      <c r="P279">
        <f t="shared" si="9"/>
      </c>
    </row>
    <row r="280" spans="1:16" x14ac:dyDescent="0.25">
      <c r="A280">
        <f>IF($O280="","",INDEX(Master!$D$2:$D$1001,$O280))</f>
      </c>
      <c r="B280" s="166">
        <f>IF($O280="","",INDEX(Master!$B$2:$B$1001,$O280))</f>
      </c>
      <c r="C280">
        <f>IF($O280="","",INDEX(Master!$C$2:$C$1001,$O280))</f>
      </c>
      <c r="D280">
        <f>IF($O280="","",INDEX(Master!$A$2:$A$1001,$O280))</f>
      </c>
      <c r="E280">
        <f>IF($O280="","",INDEX(Master!$E$2:$E$1001,$O280))</f>
      </c>
      <c r="F280">
        <f>IF($O280="","",INDEX(Master!$F$2:$F$1001,$O280))</f>
      </c>
      <c r="G280">
        <f>IF($O280="","",INDEX(Master!$G$2:$G$1001,$O280))</f>
      </c>
      <c r="H280">
        <f>IF($O280="","",INDEX(Master!$H$2:$H$1001,$O280))</f>
      </c>
      <c r="I280">
        <f>IF($O280="","",INDEX(Master!$I$2:$I$1001,$O280))</f>
      </c>
      <c r="J280">
        <f>IF($O280="","",INDEX(Master!$J$2:$J$1001,$O280))</f>
      </c>
      <c r="K280">
        <f t="shared" si="8"/>
      </c>
      <c r="L280">
        <f>IF($O280="","",INDEX(Master!$K$2:$K$1001,$O280))</f>
      </c>
      <c r="M280">
        <f>IF($O280="","",INDEX(Master!$L$2:$L$1001,$O280))</f>
      </c>
      <c r="O280">
        <f t="array" ref="O280">IFERROR(SMALL(IF(Master!$A$2:$A$1001="SWADESH",ROW(Master!$A$2:$A$1001)-ROW(Master!$A$2)+1),276),"")</f>
      </c>
      <c r="P280">
        <f t="shared" si="9"/>
      </c>
    </row>
    <row r="281" spans="1:16" x14ac:dyDescent="0.25">
      <c r="A281">
        <f>IF($O281="","",INDEX(Master!$D$2:$D$1001,$O281))</f>
      </c>
      <c r="B281" s="166">
        <f>IF($O281="","",INDEX(Master!$B$2:$B$1001,$O281))</f>
      </c>
      <c r="C281">
        <f>IF($O281="","",INDEX(Master!$C$2:$C$1001,$O281))</f>
      </c>
      <c r="D281">
        <f>IF($O281="","",INDEX(Master!$A$2:$A$1001,$O281))</f>
      </c>
      <c r="E281">
        <f>IF($O281="","",INDEX(Master!$E$2:$E$1001,$O281))</f>
      </c>
      <c r="F281">
        <f>IF($O281="","",INDEX(Master!$F$2:$F$1001,$O281))</f>
      </c>
      <c r="G281">
        <f>IF($O281="","",INDEX(Master!$G$2:$G$1001,$O281))</f>
      </c>
      <c r="H281">
        <f>IF($O281="","",INDEX(Master!$H$2:$H$1001,$O281))</f>
      </c>
      <c r="I281">
        <f>IF($O281="","",INDEX(Master!$I$2:$I$1001,$O281))</f>
      </c>
      <c r="J281">
        <f>IF($O281="","",INDEX(Master!$J$2:$J$1001,$O281))</f>
      </c>
      <c r="K281">
        <f t="shared" si="8"/>
      </c>
      <c r="L281">
        <f>IF($O281="","",INDEX(Master!$K$2:$K$1001,$O281))</f>
      </c>
      <c r="M281">
        <f>IF($O281="","",INDEX(Master!$L$2:$L$1001,$O281))</f>
      </c>
      <c r="O281">
        <f t="array" ref="O281">IFERROR(SMALL(IF(Master!$A$2:$A$1001="SWADESH",ROW(Master!$A$2:$A$1001)-ROW(Master!$A$2)+1),277),"")</f>
      </c>
      <c r="P281">
        <f t="shared" si="9"/>
      </c>
    </row>
    <row r="282" spans="1:16" x14ac:dyDescent="0.25">
      <c r="A282">
        <f>IF($O282="","",INDEX(Master!$D$2:$D$1001,$O282))</f>
      </c>
      <c r="B282" s="166">
        <f>IF($O282="","",INDEX(Master!$B$2:$B$1001,$O282))</f>
      </c>
      <c r="C282">
        <f>IF($O282="","",INDEX(Master!$C$2:$C$1001,$O282))</f>
      </c>
      <c r="D282">
        <f>IF($O282="","",INDEX(Master!$A$2:$A$1001,$O282))</f>
      </c>
      <c r="E282">
        <f>IF($O282="","",INDEX(Master!$E$2:$E$1001,$O282))</f>
      </c>
      <c r="F282">
        <f>IF($O282="","",INDEX(Master!$F$2:$F$1001,$O282))</f>
      </c>
      <c r="G282">
        <f>IF($O282="","",INDEX(Master!$G$2:$G$1001,$O282))</f>
      </c>
      <c r="H282">
        <f>IF($O282="","",INDEX(Master!$H$2:$H$1001,$O282))</f>
      </c>
      <c r="I282">
        <f>IF($O282="","",INDEX(Master!$I$2:$I$1001,$O282))</f>
      </c>
      <c r="J282">
        <f>IF($O282="","",INDEX(Master!$J$2:$J$1001,$O282))</f>
      </c>
      <c r="K282">
        <f t="shared" si="8"/>
      </c>
      <c r="L282">
        <f>IF($O282="","",INDEX(Master!$K$2:$K$1001,$O282))</f>
      </c>
      <c r="M282">
        <f>IF($O282="","",INDEX(Master!$L$2:$L$1001,$O282))</f>
      </c>
      <c r="O282">
        <f t="array" ref="O282">IFERROR(SMALL(IF(Master!$A$2:$A$1001="SWADESH",ROW(Master!$A$2:$A$1001)-ROW(Master!$A$2)+1),278),"")</f>
      </c>
      <c r="P282">
        <f t="shared" si="9"/>
      </c>
    </row>
    <row r="283" spans="1:16" x14ac:dyDescent="0.25">
      <c r="A283">
        <f>IF($O283="","",INDEX(Master!$D$2:$D$1001,$O283))</f>
      </c>
      <c r="B283" s="166">
        <f>IF($O283="","",INDEX(Master!$B$2:$B$1001,$O283))</f>
      </c>
      <c r="C283">
        <f>IF($O283="","",INDEX(Master!$C$2:$C$1001,$O283))</f>
      </c>
      <c r="D283">
        <f>IF($O283="","",INDEX(Master!$A$2:$A$1001,$O283))</f>
      </c>
      <c r="E283">
        <f>IF($O283="","",INDEX(Master!$E$2:$E$1001,$O283))</f>
      </c>
      <c r="F283">
        <f>IF($O283="","",INDEX(Master!$F$2:$F$1001,$O283))</f>
      </c>
      <c r="G283">
        <f>IF($O283="","",INDEX(Master!$G$2:$G$1001,$O283))</f>
      </c>
      <c r="H283">
        <f>IF($O283="","",INDEX(Master!$H$2:$H$1001,$O283))</f>
      </c>
      <c r="I283">
        <f>IF($O283="","",INDEX(Master!$I$2:$I$1001,$O283))</f>
      </c>
      <c r="J283">
        <f>IF($O283="","",INDEX(Master!$J$2:$J$1001,$O283))</f>
      </c>
      <c r="K283">
        <f t="shared" si="8"/>
      </c>
      <c r="L283">
        <f>IF($O283="","",INDEX(Master!$K$2:$K$1001,$O283))</f>
      </c>
      <c r="M283">
        <f>IF($O283="","",INDEX(Master!$L$2:$L$1001,$O283))</f>
      </c>
      <c r="O283">
        <f t="array" ref="O283">IFERROR(SMALL(IF(Master!$A$2:$A$1001="SWADESH",ROW(Master!$A$2:$A$1001)-ROW(Master!$A$2)+1),279),"")</f>
      </c>
      <c r="P283">
        <f t="shared" si="9"/>
      </c>
    </row>
    <row r="284" spans="1:16" x14ac:dyDescent="0.25">
      <c r="A284">
        <f>IF($O284="","",INDEX(Master!$D$2:$D$1001,$O284))</f>
      </c>
      <c r="B284" s="166">
        <f>IF($O284="","",INDEX(Master!$B$2:$B$1001,$O284))</f>
      </c>
      <c r="C284">
        <f>IF($O284="","",INDEX(Master!$C$2:$C$1001,$O284))</f>
      </c>
      <c r="D284">
        <f>IF($O284="","",INDEX(Master!$A$2:$A$1001,$O284))</f>
      </c>
      <c r="E284">
        <f>IF($O284="","",INDEX(Master!$E$2:$E$1001,$O284))</f>
      </c>
      <c r="F284">
        <f>IF($O284="","",INDEX(Master!$F$2:$F$1001,$O284))</f>
      </c>
      <c r="G284">
        <f>IF($O284="","",INDEX(Master!$G$2:$G$1001,$O284))</f>
      </c>
      <c r="H284">
        <f>IF($O284="","",INDEX(Master!$H$2:$H$1001,$O284))</f>
      </c>
      <c r="I284">
        <f>IF($O284="","",INDEX(Master!$I$2:$I$1001,$O284))</f>
      </c>
      <c r="J284">
        <f>IF($O284="","",INDEX(Master!$J$2:$J$1001,$O284))</f>
      </c>
      <c r="K284">
        <f t="shared" si="8"/>
      </c>
      <c r="L284">
        <f>IF($O284="","",INDEX(Master!$K$2:$K$1001,$O284))</f>
      </c>
      <c r="M284">
        <f>IF($O284="","",INDEX(Master!$L$2:$L$1001,$O284))</f>
      </c>
      <c r="O284">
        <f t="array" ref="O284">IFERROR(SMALL(IF(Master!$A$2:$A$1001="SWADESH",ROW(Master!$A$2:$A$1001)-ROW(Master!$A$2)+1),280),"")</f>
      </c>
      <c r="P284">
        <f t="shared" si="9"/>
      </c>
    </row>
    <row r="285" spans="1:16" x14ac:dyDescent="0.25">
      <c r="A285">
        <f>IF($O285="","",INDEX(Master!$D$2:$D$1001,$O285))</f>
      </c>
      <c r="B285" s="166">
        <f>IF($O285="","",INDEX(Master!$B$2:$B$1001,$O285))</f>
      </c>
      <c r="C285">
        <f>IF($O285="","",INDEX(Master!$C$2:$C$1001,$O285))</f>
      </c>
      <c r="D285">
        <f>IF($O285="","",INDEX(Master!$A$2:$A$1001,$O285))</f>
      </c>
      <c r="E285">
        <f>IF($O285="","",INDEX(Master!$E$2:$E$1001,$O285))</f>
      </c>
      <c r="F285">
        <f>IF($O285="","",INDEX(Master!$F$2:$F$1001,$O285))</f>
      </c>
      <c r="G285">
        <f>IF($O285="","",INDEX(Master!$G$2:$G$1001,$O285))</f>
      </c>
      <c r="H285">
        <f>IF($O285="","",INDEX(Master!$H$2:$H$1001,$O285))</f>
      </c>
      <c r="I285">
        <f>IF($O285="","",INDEX(Master!$I$2:$I$1001,$O285))</f>
      </c>
      <c r="J285">
        <f>IF($O285="","",INDEX(Master!$J$2:$J$1001,$O285))</f>
      </c>
      <c r="K285">
        <f t="shared" si="8"/>
      </c>
      <c r="L285">
        <f>IF($O285="","",INDEX(Master!$K$2:$K$1001,$O285))</f>
      </c>
      <c r="M285">
        <f>IF($O285="","",INDEX(Master!$L$2:$L$1001,$O285))</f>
      </c>
      <c r="O285">
        <f t="array" ref="O285">IFERROR(SMALL(IF(Master!$A$2:$A$1001="SWADESH",ROW(Master!$A$2:$A$1001)-ROW(Master!$A$2)+1),281),"")</f>
      </c>
      <c r="P285">
        <f t="shared" si="9"/>
      </c>
    </row>
    <row r="286" spans="1:16" x14ac:dyDescent="0.25">
      <c r="A286">
        <f>IF($O286="","",INDEX(Master!$D$2:$D$1001,$O286))</f>
      </c>
      <c r="B286" s="166">
        <f>IF($O286="","",INDEX(Master!$B$2:$B$1001,$O286))</f>
      </c>
      <c r="C286">
        <f>IF($O286="","",INDEX(Master!$C$2:$C$1001,$O286))</f>
      </c>
      <c r="D286">
        <f>IF($O286="","",INDEX(Master!$A$2:$A$1001,$O286))</f>
      </c>
      <c r="E286">
        <f>IF($O286="","",INDEX(Master!$E$2:$E$1001,$O286))</f>
      </c>
      <c r="F286">
        <f>IF($O286="","",INDEX(Master!$F$2:$F$1001,$O286))</f>
      </c>
      <c r="G286">
        <f>IF($O286="","",INDEX(Master!$G$2:$G$1001,$O286))</f>
      </c>
      <c r="H286">
        <f>IF($O286="","",INDEX(Master!$H$2:$H$1001,$O286))</f>
      </c>
      <c r="I286">
        <f>IF($O286="","",INDEX(Master!$I$2:$I$1001,$O286))</f>
      </c>
      <c r="J286">
        <f>IF($O286="","",INDEX(Master!$J$2:$J$1001,$O286))</f>
      </c>
      <c r="K286">
        <f t="shared" si="8"/>
      </c>
      <c r="L286">
        <f>IF($O286="","",INDEX(Master!$K$2:$K$1001,$O286))</f>
      </c>
      <c r="M286">
        <f>IF($O286="","",INDEX(Master!$L$2:$L$1001,$O286))</f>
      </c>
      <c r="O286">
        <f t="array" ref="O286">IFERROR(SMALL(IF(Master!$A$2:$A$1001="SWADESH",ROW(Master!$A$2:$A$1001)-ROW(Master!$A$2)+1),282),"")</f>
      </c>
      <c r="P286">
        <f t="shared" si="9"/>
      </c>
    </row>
    <row r="287" spans="1:16" x14ac:dyDescent="0.25">
      <c r="A287">
        <f>IF($O287="","",INDEX(Master!$D$2:$D$1001,$O287))</f>
      </c>
      <c r="B287" s="166">
        <f>IF($O287="","",INDEX(Master!$B$2:$B$1001,$O287))</f>
      </c>
      <c r="C287">
        <f>IF($O287="","",INDEX(Master!$C$2:$C$1001,$O287))</f>
      </c>
      <c r="D287">
        <f>IF($O287="","",INDEX(Master!$A$2:$A$1001,$O287))</f>
      </c>
      <c r="E287">
        <f>IF($O287="","",INDEX(Master!$E$2:$E$1001,$O287))</f>
      </c>
      <c r="F287">
        <f>IF($O287="","",INDEX(Master!$F$2:$F$1001,$O287))</f>
      </c>
      <c r="G287">
        <f>IF($O287="","",INDEX(Master!$G$2:$G$1001,$O287))</f>
      </c>
      <c r="H287">
        <f>IF($O287="","",INDEX(Master!$H$2:$H$1001,$O287))</f>
      </c>
      <c r="I287">
        <f>IF($O287="","",INDEX(Master!$I$2:$I$1001,$O287))</f>
      </c>
      <c r="J287">
        <f>IF($O287="","",INDEX(Master!$J$2:$J$1001,$O287))</f>
      </c>
      <c r="K287">
        <f t="shared" si="8"/>
      </c>
      <c r="L287">
        <f>IF($O287="","",INDEX(Master!$K$2:$K$1001,$O287))</f>
      </c>
      <c r="M287">
        <f>IF($O287="","",INDEX(Master!$L$2:$L$1001,$O287))</f>
      </c>
      <c r="O287">
        <f t="array" ref="O287">IFERROR(SMALL(IF(Master!$A$2:$A$1001="SWADESH",ROW(Master!$A$2:$A$1001)-ROW(Master!$A$2)+1),283),"")</f>
      </c>
      <c r="P287">
        <f t="shared" si="9"/>
      </c>
    </row>
    <row r="288" spans="1:16" x14ac:dyDescent="0.25">
      <c r="A288">
        <f>IF($O288="","",INDEX(Master!$D$2:$D$1001,$O288))</f>
      </c>
      <c r="B288" s="166">
        <f>IF($O288="","",INDEX(Master!$B$2:$B$1001,$O288))</f>
      </c>
      <c r="C288">
        <f>IF($O288="","",INDEX(Master!$C$2:$C$1001,$O288))</f>
      </c>
      <c r="D288">
        <f>IF($O288="","",INDEX(Master!$A$2:$A$1001,$O288))</f>
      </c>
      <c r="E288">
        <f>IF($O288="","",INDEX(Master!$E$2:$E$1001,$O288))</f>
      </c>
      <c r="F288">
        <f>IF($O288="","",INDEX(Master!$F$2:$F$1001,$O288))</f>
      </c>
      <c r="G288">
        <f>IF($O288="","",INDEX(Master!$G$2:$G$1001,$O288))</f>
      </c>
      <c r="H288">
        <f>IF($O288="","",INDEX(Master!$H$2:$H$1001,$O288))</f>
      </c>
      <c r="I288">
        <f>IF($O288="","",INDEX(Master!$I$2:$I$1001,$O288))</f>
      </c>
      <c r="J288">
        <f>IF($O288="","",INDEX(Master!$J$2:$J$1001,$O288))</f>
      </c>
      <c r="K288">
        <f t="shared" si="8"/>
      </c>
      <c r="L288">
        <f>IF($O288="","",INDEX(Master!$K$2:$K$1001,$O288))</f>
      </c>
      <c r="M288">
        <f>IF($O288="","",INDEX(Master!$L$2:$L$1001,$O288))</f>
      </c>
      <c r="O288">
        <f t="array" ref="O288">IFERROR(SMALL(IF(Master!$A$2:$A$1001="SWADESH",ROW(Master!$A$2:$A$1001)-ROW(Master!$A$2)+1),284),"")</f>
      </c>
      <c r="P288">
        <f t="shared" si="9"/>
      </c>
    </row>
    <row r="289" spans="1:16" x14ac:dyDescent="0.25">
      <c r="A289">
        <f>IF($O289="","",INDEX(Master!$D$2:$D$1001,$O289))</f>
      </c>
      <c r="B289" s="166">
        <f>IF($O289="","",INDEX(Master!$B$2:$B$1001,$O289))</f>
      </c>
      <c r="C289">
        <f>IF($O289="","",INDEX(Master!$C$2:$C$1001,$O289))</f>
      </c>
      <c r="D289">
        <f>IF($O289="","",INDEX(Master!$A$2:$A$1001,$O289))</f>
      </c>
      <c r="E289">
        <f>IF($O289="","",INDEX(Master!$E$2:$E$1001,$O289))</f>
      </c>
      <c r="F289">
        <f>IF($O289="","",INDEX(Master!$F$2:$F$1001,$O289))</f>
      </c>
      <c r="G289">
        <f>IF($O289="","",INDEX(Master!$G$2:$G$1001,$O289))</f>
      </c>
      <c r="H289">
        <f>IF($O289="","",INDEX(Master!$H$2:$H$1001,$O289))</f>
      </c>
      <c r="I289">
        <f>IF($O289="","",INDEX(Master!$I$2:$I$1001,$O289))</f>
      </c>
      <c r="J289">
        <f>IF($O289="","",INDEX(Master!$J$2:$J$1001,$O289))</f>
      </c>
      <c r="K289">
        <f t="shared" si="8"/>
      </c>
      <c r="L289">
        <f>IF($O289="","",INDEX(Master!$K$2:$K$1001,$O289))</f>
      </c>
      <c r="M289">
        <f>IF($O289="","",INDEX(Master!$L$2:$L$1001,$O289))</f>
      </c>
      <c r="O289">
        <f t="array" ref="O289">IFERROR(SMALL(IF(Master!$A$2:$A$1001="SWADESH",ROW(Master!$A$2:$A$1001)-ROW(Master!$A$2)+1),285),"")</f>
      </c>
      <c r="P289">
        <f t="shared" si="9"/>
      </c>
    </row>
    <row r="290" spans="1:16" x14ac:dyDescent="0.25">
      <c r="A290">
        <f>IF($O290="","",INDEX(Master!$D$2:$D$1001,$O290))</f>
      </c>
      <c r="B290" s="166">
        <f>IF($O290="","",INDEX(Master!$B$2:$B$1001,$O290))</f>
      </c>
      <c r="C290">
        <f>IF($O290="","",INDEX(Master!$C$2:$C$1001,$O290))</f>
      </c>
      <c r="D290">
        <f>IF($O290="","",INDEX(Master!$A$2:$A$1001,$O290))</f>
      </c>
      <c r="E290">
        <f>IF($O290="","",INDEX(Master!$E$2:$E$1001,$O290))</f>
      </c>
      <c r="F290">
        <f>IF($O290="","",INDEX(Master!$F$2:$F$1001,$O290))</f>
      </c>
      <c r="G290">
        <f>IF($O290="","",INDEX(Master!$G$2:$G$1001,$O290))</f>
      </c>
      <c r="H290">
        <f>IF($O290="","",INDEX(Master!$H$2:$H$1001,$O290))</f>
      </c>
      <c r="I290">
        <f>IF($O290="","",INDEX(Master!$I$2:$I$1001,$O290))</f>
      </c>
      <c r="J290">
        <f>IF($O290="","",INDEX(Master!$J$2:$J$1001,$O290))</f>
      </c>
      <c r="K290">
        <f t="shared" si="8"/>
      </c>
      <c r="L290">
        <f>IF($O290="","",INDEX(Master!$K$2:$K$1001,$O290))</f>
      </c>
      <c r="M290">
        <f>IF($O290="","",INDEX(Master!$L$2:$L$1001,$O290))</f>
      </c>
      <c r="O290">
        <f t="array" ref="O290">IFERROR(SMALL(IF(Master!$A$2:$A$1001="SWADESH",ROW(Master!$A$2:$A$1001)-ROW(Master!$A$2)+1),286),"")</f>
      </c>
      <c r="P290">
        <f t="shared" si="9"/>
      </c>
    </row>
    <row r="291" spans="1:16" x14ac:dyDescent="0.25">
      <c r="A291">
        <f>IF($O291="","",INDEX(Master!$D$2:$D$1001,$O291))</f>
      </c>
      <c r="B291" s="166">
        <f>IF($O291="","",INDEX(Master!$B$2:$B$1001,$O291))</f>
      </c>
      <c r="C291">
        <f>IF($O291="","",INDEX(Master!$C$2:$C$1001,$O291))</f>
      </c>
      <c r="D291">
        <f>IF($O291="","",INDEX(Master!$A$2:$A$1001,$O291))</f>
      </c>
      <c r="E291">
        <f>IF($O291="","",INDEX(Master!$E$2:$E$1001,$O291))</f>
      </c>
      <c r="F291">
        <f>IF($O291="","",INDEX(Master!$F$2:$F$1001,$O291))</f>
      </c>
      <c r="G291">
        <f>IF($O291="","",INDEX(Master!$G$2:$G$1001,$O291))</f>
      </c>
      <c r="H291">
        <f>IF($O291="","",INDEX(Master!$H$2:$H$1001,$O291))</f>
      </c>
      <c r="I291">
        <f>IF($O291="","",INDEX(Master!$I$2:$I$1001,$O291))</f>
      </c>
      <c r="J291">
        <f>IF($O291="","",INDEX(Master!$J$2:$J$1001,$O291))</f>
      </c>
      <c r="K291">
        <f t="shared" si="8"/>
      </c>
      <c r="L291">
        <f>IF($O291="","",INDEX(Master!$K$2:$K$1001,$O291))</f>
      </c>
      <c r="M291">
        <f>IF($O291="","",INDEX(Master!$L$2:$L$1001,$O291))</f>
      </c>
      <c r="O291">
        <f t="array" ref="O291">IFERROR(SMALL(IF(Master!$A$2:$A$1001="SWADESH",ROW(Master!$A$2:$A$1001)-ROW(Master!$A$2)+1),287),"")</f>
      </c>
      <c r="P291">
        <f t="shared" si="9"/>
      </c>
    </row>
    <row r="292" spans="1:16" x14ac:dyDescent="0.25">
      <c r="A292">
        <f>IF($O292="","",INDEX(Master!$D$2:$D$1001,$O292))</f>
      </c>
      <c r="B292" s="166">
        <f>IF($O292="","",INDEX(Master!$B$2:$B$1001,$O292))</f>
      </c>
      <c r="C292">
        <f>IF($O292="","",INDEX(Master!$C$2:$C$1001,$O292))</f>
      </c>
      <c r="D292">
        <f>IF($O292="","",INDEX(Master!$A$2:$A$1001,$O292))</f>
      </c>
      <c r="E292">
        <f>IF($O292="","",INDEX(Master!$E$2:$E$1001,$O292))</f>
      </c>
      <c r="F292">
        <f>IF($O292="","",INDEX(Master!$F$2:$F$1001,$O292))</f>
      </c>
      <c r="G292">
        <f>IF($O292="","",INDEX(Master!$G$2:$G$1001,$O292))</f>
      </c>
      <c r="H292">
        <f>IF($O292="","",INDEX(Master!$H$2:$H$1001,$O292))</f>
      </c>
      <c r="I292">
        <f>IF($O292="","",INDEX(Master!$I$2:$I$1001,$O292))</f>
      </c>
      <c r="J292">
        <f>IF($O292="","",INDEX(Master!$J$2:$J$1001,$O292))</f>
      </c>
      <c r="K292">
        <f t="shared" si="8"/>
      </c>
      <c r="L292">
        <f>IF($O292="","",INDEX(Master!$K$2:$K$1001,$O292))</f>
      </c>
      <c r="M292">
        <f>IF($O292="","",INDEX(Master!$L$2:$L$1001,$O292))</f>
      </c>
      <c r="O292">
        <f t="array" ref="O292">IFERROR(SMALL(IF(Master!$A$2:$A$1001="SWADESH",ROW(Master!$A$2:$A$1001)-ROW(Master!$A$2)+1),288),"")</f>
      </c>
      <c r="P292">
        <f t="shared" si="9"/>
      </c>
    </row>
    <row r="293" spans="1:16" x14ac:dyDescent="0.25">
      <c r="A293">
        <f>IF($O293="","",INDEX(Master!$D$2:$D$1001,$O293))</f>
      </c>
      <c r="B293" s="166">
        <f>IF($O293="","",INDEX(Master!$B$2:$B$1001,$O293))</f>
      </c>
      <c r="C293">
        <f>IF($O293="","",INDEX(Master!$C$2:$C$1001,$O293))</f>
      </c>
      <c r="D293">
        <f>IF($O293="","",INDEX(Master!$A$2:$A$1001,$O293))</f>
      </c>
      <c r="E293">
        <f>IF($O293="","",INDEX(Master!$E$2:$E$1001,$O293))</f>
      </c>
      <c r="F293">
        <f>IF($O293="","",INDEX(Master!$F$2:$F$1001,$O293))</f>
      </c>
      <c r="G293">
        <f>IF($O293="","",INDEX(Master!$G$2:$G$1001,$O293))</f>
      </c>
      <c r="H293">
        <f>IF($O293="","",INDEX(Master!$H$2:$H$1001,$O293))</f>
      </c>
      <c r="I293">
        <f>IF($O293="","",INDEX(Master!$I$2:$I$1001,$O293))</f>
      </c>
      <c r="J293">
        <f>IF($O293="","",INDEX(Master!$J$2:$J$1001,$O293))</f>
      </c>
      <c r="K293">
        <f t="shared" si="8"/>
      </c>
      <c r="L293">
        <f>IF($O293="","",INDEX(Master!$K$2:$K$1001,$O293))</f>
      </c>
      <c r="M293">
        <f>IF($O293="","",INDEX(Master!$L$2:$L$1001,$O293))</f>
      </c>
      <c r="O293">
        <f t="array" ref="O293">IFERROR(SMALL(IF(Master!$A$2:$A$1001="SWADESH",ROW(Master!$A$2:$A$1001)-ROW(Master!$A$2)+1),289),"")</f>
      </c>
      <c r="P293">
        <f t="shared" si="9"/>
      </c>
    </row>
    <row r="294" spans="1:16" x14ac:dyDescent="0.25">
      <c r="A294">
        <f>IF($O294="","",INDEX(Master!$D$2:$D$1001,$O294))</f>
      </c>
      <c r="B294" s="166">
        <f>IF($O294="","",INDEX(Master!$B$2:$B$1001,$O294))</f>
      </c>
      <c r="C294">
        <f>IF($O294="","",INDEX(Master!$C$2:$C$1001,$O294))</f>
      </c>
      <c r="D294">
        <f>IF($O294="","",INDEX(Master!$A$2:$A$1001,$O294))</f>
      </c>
      <c r="E294">
        <f>IF($O294="","",INDEX(Master!$E$2:$E$1001,$O294))</f>
      </c>
      <c r="F294">
        <f>IF($O294="","",INDEX(Master!$F$2:$F$1001,$O294))</f>
      </c>
      <c r="G294">
        <f>IF($O294="","",INDEX(Master!$G$2:$G$1001,$O294))</f>
      </c>
      <c r="H294">
        <f>IF($O294="","",INDEX(Master!$H$2:$H$1001,$O294))</f>
      </c>
      <c r="I294">
        <f>IF($O294="","",INDEX(Master!$I$2:$I$1001,$O294))</f>
      </c>
      <c r="J294">
        <f>IF($O294="","",INDEX(Master!$J$2:$J$1001,$O294))</f>
      </c>
      <c r="K294">
        <f t="shared" si="8"/>
      </c>
      <c r="L294">
        <f>IF($O294="","",INDEX(Master!$K$2:$K$1001,$O294))</f>
      </c>
      <c r="M294">
        <f>IF($O294="","",INDEX(Master!$L$2:$L$1001,$O294))</f>
      </c>
      <c r="O294">
        <f t="array" ref="O294">IFERROR(SMALL(IF(Master!$A$2:$A$1001="SWADESH",ROW(Master!$A$2:$A$1001)-ROW(Master!$A$2)+1),290),"")</f>
      </c>
      <c r="P294">
        <f t="shared" si="9"/>
      </c>
    </row>
    <row r="295" spans="1:16" x14ac:dyDescent="0.25">
      <c r="A295">
        <f>IF($O295="","",INDEX(Master!$D$2:$D$1001,$O295))</f>
      </c>
      <c r="B295" s="166">
        <f>IF($O295="","",INDEX(Master!$B$2:$B$1001,$O295))</f>
      </c>
      <c r="C295">
        <f>IF($O295="","",INDEX(Master!$C$2:$C$1001,$O295))</f>
      </c>
      <c r="D295">
        <f>IF($O295="","",INDEX(Master!$A$2:$A$1001,$O295))</f>
      </c>
      <c r="E295">
        <f>IF($O295="","",INDEX(Master!$E$2:$E$1001,$O295))</f>
      </c>
      <c r="F295">
        <f>IF($O295="","",INDEX(Master!$F$2:$F$1001,$O295))</f>
      </c>
      <c r="G295">
        <f>IF($O295="","",INDEX(Master!$G$2:$G$1001,$O295))</f>
      </c>
      <c r="H295">
        <f>IF($O295="","",INDEX(Master!$H$2:$H$1001,$O295))</f>
      </c>
      <c r="I295">
        <f>IF($O295="","",INDEX(Master!$I$2:$I$1001,$O295))</f>
      </c>
      <c r="J295">
        <f>IF($O295="","",INDEX(Master!$J$2:$J$1001,$O295))</f>
      </c>
      <c r="K295">
        <f t="shared" si="8"/>
      </c>
      <c r="L295">
        <f>IF($O295="","",INDEX(Master!$K$2:$K$1001,$O295))</f>
      </c>
      <c r="M295">
        <f>IF($O295="","",INDEX(Master!$L$2:$L$1001,$O295))</f>
      </c>
      <c r="O295">
        <f t="array" ref="O295">IFERROR(SMALL(IF(Master!$A$2:$A$1001="SWADESH",ROW(Master!$A$2:$A$1001)-ROW(Master!$A$2)+1),291),"")</f>
      </c>
      <c r="P295">
        <f t="shared" si="9"/>
      </c>
    </row>
    <row r="296" spans="1:16" x14ac:dyDescent="0.25">
      <c r="A296">
        <f>IF($O296="","",INDEX(Master!$D$2:$D$1001,$O296))</f>
      </c>
      <c r="B296" s="166">
        <f>IF($O296="","",INDEX(Master!$B$2:$B$1001,$O296))</f>
      </c>
      <c r="C296">
        <f>IF($O296="","",INDEX(Master!$C$2:$C$1001,$O296))</f>
      </c>
      <c r="D296">
        <f>IF($O296="","",INDEX(Master!$A$2:$A$1001,$O296))</f>
      </c>
      <c r="E296">
        <f>IF($O296="","",INDEX(Master!$E$2:$E$1001,$O296))</f>
      </c>
      <c r="F296">
        <f>IF($O296="","",INDEX(Master!$F$2:$F$1001,$O296))</f>
      </c>
      <c r="G296">
        <f>IF($O296="","",INDEX(Master!$G$2:$G$1001,$O296))</f>
      </c>
      <c r="H296">
        <f>IF($O296="","",INDEX(Master!$H$2:$H$1001,$O296))</f>
      </c>
      <c r="I296">
        <f>IF($O296="","",INDEX(Master!$I$2:$I$1001,$O296))</f>
      </c>
      <c r="J296">
        <f>IF($O296="","",INDEX(Master!$J$2:$J$1001,$O296))</f>
      </c>
      <c r="K296">
        <f t="shared" si="8"/>
      </c>
      <c r="L296">
        <f>IF($O296="","",INDEX(Master!$K$2:$K$1001,$O296))</f>
      </c>
      <c r="M296">
        <f>IF($O296="","",INDEX(Master!$L$2:$L$1001,$O296))</f>
      </c>
      <c r="O296">
        <f t="array" ref="O296">IFERROR(SMALL(IF(Master!$A$2:$A$1001="SWADESH",ROW(Master!$A$2:$A$1001)-ROW(Master!$A$2)+1),292),"")</f>
      </c>
      <c r="P296">
        <f t="shared" si="9"/>
      </c>
    </row>
    <row r="297" spans="1:16" x14ac:dyDescent="0.25">
      <c r="A297">
        <f>IF($O297="","",INDEX(Master!$D$2:$D$1001,$O297))</f>
      </c>
      <c r="B297" s="166">
        <f>IF($O297="","",INDEX(Master!$B$2:$B$1001,$O297))</f>
      </c>
      <c r="C297">
        <f>IF($O297="","",INDEX(Master!$C$2:$C$1001,$O297))</f>
      </c>
      <c r="D297">
        <f>IF($O297="","",INDEX(Master!$A$2:$A$1001,$O297))</f>
      </c>
      <c r="E297">
        <f>IF($O297="","",INDEX(Master!$E$2:$E$1001,$O297))</f>
      </c>
      <c r="F297">
        <f>IF($O297="","",INDEX(Master!$F$2:$F$1001,$O297))</f>
      </c>
      <c r="G297">
        <f>IF($O297="","",INDEX(Master!$G$2:$G$1001,$O297))</f>
      </c>
      <c r="H297">
        <f>IF($O297="","",INDEX(Master!$H$2:$H$1001,$O297))</f>
      </c>
      <c r="I297">
        <f>IF($O297="","",INDEX(Master!$I$2:$I$1001,$O297))</f>
      </c>
      <c r="J297">
        <f>IF($O297="","",INDEX(Master!$J$2:$J$1001,$O297))</f>
      </c>
      <c r="K297">
        <f t="shared" si="8"/>
      </c>
      <c r="L297">
        <f>IF($O297="","",INDEX(Master!$K$2:$K$1001,$O297))</f>
      </c>
      <c r="M297">
        <f>IF($O297="","",INDEX(Master!$L$2:$L$1001,$O297))</f>
      </c>
      <c r="O297">
        <f t="array" ref="O297">IFERROR(SMALL(IF(Master!$A$2:$A$1001="SWADESH",ROW(Master!$A$2:$A$1001)-ROW(Master!$A$2)+1),293),"")</f>
      </c>
      <c r="P297">
        <f t="shared" si="9"/>
      </c>
    </row>
    <row r="298" spans="1:16" x14ac:dyDescent="0.25">
      <c r="A298">
        <f>IF($O298="","",INDEX(Master!$D$2:$D$1001,$O298))</f>
      </c>
      <c r="B298" s="166">
        <f>IF($O298="","",INDEX(Master!$B$2:$B$1001,$O298))</f>
      </c>
      <c r="C298">
        <f>IF($O298="","",INDEX(Master!$C$2:$C$1001,$O298))</f>
      </c>
      <c r="D298">
        <f>IF($O298="","",INDEX(Master!$A$2:$A$1001,$O298))</f>
      </c>
      <c r="E298">
        <f>IF($O298="","",INDEX(Master!$E$2:$E$1001,$O298))</f>
      </c>
      <c r="F298">
        <f>IF($O298="","",INDEX(Master!$F$2:$F$1001,$O298))</f>
      </c>
      <c r="G298">
        <f>IF($O298="","",INDEX(Master!$G$2:$G$1001,$O298))</f>
      </c>
      <c r="H298">
        <f>IF($O298="","",INDEX(Master!$H$2:$H$1001,$O298))</f>
      </c>
      <c r="I298">
        <f>IF($O298="","",INDEX(Master!$I$2:$I$1001,$O298))</f>
      </c>
      <c r="J298">
        <f>IF($O298="","",INDEX(Master!$J$2:$J$1001,$O298))</f>
      </c>
      <c r="K298">
        <f t="shared" si="8"/>
      </c>
      <c r="L298">
        <f>IF($O298="","",INDEX(Master!$K$2:$K$1001,$O298))</f>
      </c>
      <c r="M298">
        <f>IF($O298="","",INDEX(Master!$L$2:$L$1001,$O298))</f>
      </c>
      <c r="O298">
        <f t="array" ref="O298">IFERROR(SMALL(IF(Master!$A$2:$A$1001="SWADESH",ROW(Master!$A$2:$A$1001)-ROW(Master!$A$2)+1),294),"")</f>
      </c>
      <c r="P298">
        <f t="shared" si="9"/>
      </c>
    </row>
    <row r="299" spans="1:16" x14ac:dyDescent="0.25">
      <c r="A299">
        <f>IF($O299="","",INDEX(Master!$D$2:$D$1001,$O299))</f>
      </c>
      <c r="B299" s="166">
        <f>IF($O299="","",INDEX(Master!$B$2:$B$1001,$O299))</f>
      </c>
      <c r="C299">
        <f>IF($O299="","",INDEX(Master!$C$2:$C$1001,$O299))</f>
      </c>
      <c r="D299">
        <f>IF($O299="","",INDEX(Master!$A$2:$A$1001,$O299))</f>
      </c>
      <c r="E299">
        <f>IF($O299="","",INDEX(Master!$E$2:$E$1001,$O299))</f>
      </c>
      <c r="F299">
        <f>IF($O299="","",INDEX(Master!$F$2:$F$1001,$O299))</f>
      </c>
      <c r="G299">
        <f>IF($O299="","",INDEX(Master!$G$2:$G$1001,$O299))</f>
      </c>
      <c r="H299">
        <f>IF($O299="","",INDEX(Master!$H$2:$H$1001,$O299))</f>
      </c>
      <c r="I299">
        <f>IF($O299="","",INDEX(Master!$I$2:$I$1001,$O299))</f>
      </c>
      <c r="J299">
        <f>IF($O299="","",INDEX(Master!$J$2:$J$1001,$O299))</f>
      </c>
      <c r="K299">
        <f t="shared" si="8"/>
      </c>
      <c r="L299">
        <f>IF($O299="","",INDEX(Master!$K$2:$K$1001,$O299))</f>
      </c>
      <c r="M299">
        <f>IF($O299="","",INDEX(Master!$L$2:$L$1001,$O299))</f>
      </c>
      <c r="O299">
        <f t="array" ref="O299">IFERROR(SMALL(IF(Master!$A$2:$A$1001="SWADESH",ROW(Master!$A$2:$A$1001)-ROW(Master!$A$2)+1),295),"")</f>
      </c>
      <c r="P299">
        <f t="shared" si="9"/>
      </c>
    </row>
    <row r="300" spans="1:16" x14ac:dyDescent="0.25">
      <c r="A300">
        <f>IF($O300="","",INDEX(Master!$D$2:$D$1001,$O300))</f>
      </c>
      <c r="B300" s="166">
        <f>IF($O300="","",INDEX(Master!$B$2:$B$1001,$O300))</f>
      </c>
      <c r="C300">
        <f>IF($O300="","",INDEX(Master!$C$2:$C$1001,$O300))</f>
      </c>
      <c r="D300">
        <f>IF($O300="","",INDEX(Master!$A$2:$A$1001,$O300))</f>
      </c>
      <c r="E300">
        <f>IF($O300="","",INDEX(Master!$E$2:$E$1001,$O300))</f>
      </c>
      <c r="F300">
        <f>IF($O300="","",INDEX(Master!$F$2:$F$1001,$O300))</f>
      </c>
      <c r="G300">
        <f>IF($O300="","",INDEX(Master!$G$2:$G$1001,$O300))</f>
      </c>
      <c r="H300">
        <f>IF($O300="","",INDEX(Master!$H$2:$H$1001,$O300))</f>
      </c>
      <c r="I300">
        <f>IF($O300="","",INDEX(Master!$I$2:$I$1001,$O300))</f>
      </c>
      <c r="J300">
        <f>IF($O300="","",INDEX(Master!$J$2:$J$1001,$O300))</f>
      </c>
      <c r="K300">
        <f t="shared" si="8"/>
      </c>
      <c r="L300">
        <f>IF($O300="","",INDEX(Master!$K$2:$K$1001,$O300))</f>
      </c>
      <c r="M300">
        <f>IF($O300="","",INDEX(Master!$L$2:$L$1001,$O300))</f>
      </c>
      <c r="O300">
        <f t="array" ref="O300">IFERROR(SMALL(IF(Master!$A$2:$A$1001="SWADESH",ROW(Master!$A$2:$A$1001)-ROW(Master!$A$2)+1),296),"")</f>
      </c>
      <c r="P300">
        <f t="shared" si="9"/>
      </c>
    </row>
    <row r="301" spans="1:16" x14ac:dyDescent="0.25">
      <c r="A301">
        <f>IF($O301="","",INDEX(Master!$D$2:$D$1001,$O301))</f>
      </c>
      <c r="B301" s="166">
        <f>IF($O301="","",INDEX(Master!$B$2:$B$1001,$O301))</f>
      </c>
      <c r="C301">
        <f>IF($O301="","",INDEX(Master!$C$2:$C$1001,$O301))</f>
      </c>
      <c r="D301">
        <f>IF($O301="","",INDEX(Master!$A$2:$A$1001,$O301))</f>
      </c>
      <c r="E301">
        <f>IF($O301="","",INDEX(Master!$E$2:$E$1001,$O301))</f>
      </c>
      <c r="F301">
        <f>IF($O301="","",INDEX(Master!$F$2:$F$1001,$O301))</f>
      </c>
      <c r="G301">
        <f>IF($O301="","",INDEX(Master!$G$2:$G$1001,$O301))</f>
      </c>
      <c r="H301">
        <f>IF($O301="","",INDEX(Master!$H$2:$H$1001,$O301))</f>
      </c>
      <c r="I301">
        <f>IF($O301="","",INDEX(Master!$I$2:$I$1001,$O301))</f>
      </c>
      <c r="J301">
        <f>IF($O301="","",INDEX(Master!$J$2:$J$1001,$O301))</f>
      </c>
      <c r="K301">
        <f t="shared" si="8"/>
      </c>
      <c r="L301">
        <f>IF($O301="","",INDEX(Master!$K$2:$K$1001,$O301))</f>
      </c>
      <c r="M301">
        <f>IF($O301="","",INDEX(Master!$L$2:$L$1001,$O301))</f>
      </c>
      <c r="O301">
        <f t="array" ref="O301">IFERROR(SMALL(IF(Master!$A$2:$A$1001="SWADESH",ROW(Master!$A$2:$A$1001)-ROW(Master!$A$2)+1),297),"")</f>
      </c>
      <c r="P301">
        <f t="shared" si="9"/>
      </c>
    </row>
    <row r="302" spans="1:16" x14ac:dyDescent="0.25">
      <c r="A302">
        <f>IF($O302="","",INDEX(Master!$D$2:$D$1001,$O302))</f>
      </c>
      <c r="B302" s="166">
        <f>IF($O302="","",INDEX(Master!$B$2:$B$1001,$O302))</f>
      </c>
      <c r="C302">
        <f>IF($O302="","",INDEX(Master!$C$2:$C$1001,$O302))</f>
      </c>
      <c r="D302">
        <f>IF($O302="","",INDEX(Master!$A$2:$A$1001,$O302))</f>
      </c>
      <c r="E302">
        <f>IF($O302="","",INDEX(Master!$E$2:$E$1001,$O302))</f>
      </c>
      <c r="F302">
        <f>IF($O302="","",INDEX(Master!$F$2:$F$1001,$O302))</f>
      </c>
      <c r="G302">
        <f>IF($O302="","",INDEX(Master!$G$2:$G$1001,$O302))</f>
      </c>
      <c r="H302">
        <f>IF($O302="","",INDEX(Master!$H$2:$H$1001,$O302))</f>
      </c>
      <c r="I302">
        <f>IF($O302="","",INDEX(Master!$I$2:$I$1001,$O302))</f>
      </c>
      <c r="J302">
        <f>IF($O302="","",INDEX(Master!$J$2:$J$1001,$O302))</f>
      </c>
      <c r="K302">
        <f t="shared" si="8"/>
      </c>
      <c r="L302">
        <f>IF($O302="","",INDEX(Master!$K$2:$K$1001,$O302))</f>
      </c>
      <c r="M302">
        <f>IF($O302="","",INDEX(Master!$L$2:$L$1001,$O302))</f>
      </c>
      <c r="O302">
        <f t="array" ref="O302">IFERROR(SMALL(IF(Master!$A$2:$A$1001="SWADESH",ROW(Master!$A$2:$A$1001)-ROW(Master!$A$2)+1),298),"")</f>
      </c>
      <c r="P302">
        <f t="shared" si="9"/>
      </c>
    </row>
    <row r="303" spans="1:16" x14ac:dyDescent="0.25">
      <c r="A303">
        <f>IF($O303="","",INDEX(Master!$D$2:$D$1001,$O303))</f>
      </c>
      <c r="B303" s="166">
        <f>IF($O303="","",INDEX(Master!$B$2:$B$1001,$O303))</f>
      </c>
      <c r="C303">
        <f>IF($O303="","",INDEX(Master!$C$2:$C$1001,$O303))</f>
      </c>
      <c r="D303">
        <f>IF($O303="","",INDEX(Master!$A$2:$A$1001,$O303))</f>
      </c>
      <c r="E303">
        <f>IF($O303="","",INDEX(Master!$E$2:$E$1001,$O303))</f>
      </c>
      <c r="F303">
        <f>IF($O303="","",INDEX(Master!$F$2:$F$1001,$O303))</f>
      </c>
      <c r="G303">
        <f>IF($O303="","",INDEX(Master!$G$2:$G$1001,$O303))</f>
      </c>
      <c r="H303">
        <f>IF($O303="","",INDEX(Master!$H$2:$H$1001,$O303))</f>
      </c>
      <c r="I303">
        <f>IF($O303="","",INDEX(Master!$I$2:$I$1001,$O303))</f>
      </c>
      <c r="J303">
        <f>IF($O303="","",INDEX(Master!$J$2:$J$1001,$O303))</f>
      </c>
      <c r="K303">
        <f t="shared" si="8"/>
      </c>
      <c r="L303">
        <f>IF($O303="","",INDEX(Master!$K$2:$K$1001,$O303))</f>
      </c>
      <c r="M303">
        <f>IF($O303="","",INDEX(Master!$L$2:$L$1001,$O303))</f>
      </c>
      <c r="O303">
        <f t="array" ref="O303">IFERROR(SMALL(IF(Master!$A$2:$A$1001="SWADESH",ROW(Master!$A$2:$A$1001)-ROW(Master!$A$2)+1),299),"")</f>
      </c>
      <c r="P303">
        <f t="shared" si="9"/>
      </c>
    </row>
    <row r="304" spans="1:16" x14ac:dyDescent="0.25">
      <c r="A304">
        <f>IF($O304="","",INDEX(Master!$D$2:$D$1001,$O304))</f>
      </c>
      <c r="B304" s="166">
        <f>IF($O304="","",INDEX(Master!$B$2:$B$1001,$O304))</f>
      </c>
      <c r="C304">
        <f>IF($O304="","",INDEX(Master!$C$2:$C$1001,$O304))</f>
      </c>
      <c r="D304">
        <f>IF($O304="","",INDEX(Master!$A$2:$A$1001,$O304))</f>
      </c>
      <c r="E304">
        <f>IF($O304="","",INDEX(Master!$E$2:$E$1001,$O304))</f>
      </c>
      <c r="F304">
        <f>IF($O304="","",INDEX(Master!$F$2:$F$1001,$O304))</f>
      </c>
      <c r="G304">
        <f>IF($O304="","",INDEX(Master!$G$2:$G$1001,$O304))</f>
      </c>
      <c r="H304">
        <f>IF($O304="","",INDEX(Master!$H$2:$H$1001,$O304))</f>
      </c>
      <c r="I304">
        <f>IF($O304="","",INDEX(Master!$I$2:$I$1001,$O304))</f>
      </c>
      <c r="J304">
        <f>IF($O304="","",INDEX(Master!$J$2:$J$1001,$O304))</f>
      </c>
      <c r="K304">
        <f t="shared" si="8"/>
      </c>
      <c r="L304">
        <f>IF($O304="","",INDEX(Master!$K$2:$K$1001,$O304))</f>
      </c>
      <c r="M304">
        <f>IF($O304="","",INDEX(Master!$L$2:$L$1001,$O304))</f>
      </c>
      <c r="O304">
        <f t="array" ref="O304">IFERROR(SMALL(IF(Master!$A$2:$A$1001="SWADESH",ROW(Master!$A$2:$A$1001)-ROW(Master!$A$2)+1),300),"")</f>
      </c>
      <c r="P304">
        <f t="shared" si="9"/>
      </c>
    </row>
  </sheetData>
  <autoFilter ref="A4:N304" xr:uid="{00000000-0009-0000-0000-000004000000}"/>
  <mergeCells count="10">
    <mergeCell ref="A1:N1"/>
    <mergeCell ref="E2:J2"/>
    <mergeCell ref="A2:A4"/>
    <mergeCell ref="C2:C4"/>
    <mergeCell ref="K2:K4"/>
    <mergeCell ref="N2:N4"/>
    <mergeCell ref="L2:L4"/>
    <mergeCell ref="M2:M4"/>
    <mergeCell ref="B2:B4"/>
    <mergeCell ref="D2:D4"/>
  </mergeCells>
  <conditionalFormatting sqref="A5:N304">
    <cfRule type="expression" dxfId="44" priority="1">
      <formula>$N5="HOLD"</formula>
    </cfRule>
  </conditionalFormatting>
  <conditionalFormatting sqref="E5:E304">
    <cfRule type="expression" dxfId="43" priority="2">
      <formula>AND($E5&lt;&gt;"",OR($E5&gt;0.15))</formula>
    </cfRule>
  </conditionalFormatting>
  <conditionalFormatting sqref="F5:F304">
    <cfRule type="expression" dxfId="42" priority="3">
      <formula>AND($F5&lt;&gt;"",OR($F5&gt;0.045))</formula>
    </cfRule>
  </conditionalFormatting>
  <conditionalFormatting sqref="G5:G304">
    <cfRule type="expression" dxfId="41" priority="4">
      <formula>AND($G5&lt;&gt;"",OR($G5&gt;0.08))</formula>
    </cfRule>
  </conditionalFormatting>
  <conditionalFormatting sqref="H5:H304">
    <cfRule type="expression" dxfId="40" priority="5">
      <formula>AND($H5&lt;&gt;"",$H5&lt;0.5)</formula>
    </cfRule>
  </conditionalFormatting>
  <conditionalFormatting sqref="J5:J304">
    <cfRule type="expression" dxfId="39" priority="6">
      <formula>AND($J5&lt;&gt;"",OR($J5&lt;0.1))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304"/>
  <sheetViews>
    <sheetView workbookViewId="0">
      <pane ySplit="4" topLeftCell="A5" activePane="bottomLeft" state="frozen"/>
      <selection pane="bottomLeft" activeCell="K5" sqref="K5:K114"/>
    </sheetView>
  </sheetViews>
  <sheetFormatPr defaultRowHeight="15" x14ac:dyDescent="0.25"/>
  <cols>
    <col min="1" max="1" width="8.7109375" style="235" bestFit="1" customWidth="1"/>
    <col min="2" max="2" width="9.7109375" style="166" bestFit="1" customWidth="1"/>
    <col min="3" max="3" width="15.28515625" bestFit="1" customWidth="1"/>
    <col min="4" max="4" width="17.42578125" bestFit="1" customWidth="1"/>
    <col min="5" max="8" width="8" bestFit="1" customWidth="1"/>
    <col min="9" max="9" width="9.5703125" bestFit="1" customWidth="1"/>
    <col min="10" max="10" width="8" bestFit="1" customWidth="1"/>
    <col min="11" max="11" width="12" bestFit="1" customWidth="1"/>
    <col min="12" max="12" width="12.5703125" bestFit="1" customWidth="1"/>
    <col min="13" max="13" width="12.28515625" bestFit="1" customWidth="1"/>
    <col min="14" max="14" width="5.140625" bestFit="1" customWidth="1"/>
    <col min="15" max="15" width="4" hidden="1" customWidth="1"/>
    <col min="16" max="16" width="13" hidden="1" customWidth="1"/>
  </cols>
  <sheetData>
    <row r="1" spans="1:16" ht="21.95" customHeight="1" x14ac:dyDescent="0.25">
      <c r="A1" s="289" t="s">
        <v>50</v>
      </c>
      <c r="B1" s="44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</row>
    <row r="2" spans="1:16" x14ac:dyDescent="0.25">
      <c r="A2" s="434" t="s">
        <v>29</v>
      </c>
      <c r="B2" s="439" t="s">
        <v>30</v>
      </c>
      <c r="C2" s="434" t="s">
        <v>39</v>
      </c>
      <c r="D2" s="434" t="s">
        <v>1</v>
      </c>
      <c r="E2" s="434" t="s">
        <v>40</v>
      </c>
      <c r="F2" s="435"/>
      <c r="G2" s="435"/>
      <c r="H2" s="435"/>
      <c r="I2" s="435"/>
      <c r="J2" s="436"/>
      <c r="K2" s="434" t="s">
        <v>41</v>
      </c>
      <c r="L2" s="434" t="s">
        <v>42</v>
      </c>
      <c r="M2" s="434" t="s">
        <v>43</v>
      </c>
      <c r="N2" s="434" t="s">
        <v>44</v>
      </c>
      <c r="P2" t="s">
        <v>45</v>
      </c>
    </row>
    <row r="3" spans="1:16" x14ac:dyDescent="0.25">
      <c r="A3" s="437"/>
      <c r="B3" s="437"/>
      <c r="C3" s="437"/>
      <c r="D3" s="437"/>
      <c r="E3" s="231" t="s">
        <v>32</v>
      </c>
      <c r="F3" s="231" t="s">
        <v>33</v>
      </c>
      <c r="G3" s="231" t="s">
        <v>34</v>
      </c>
      <c r="H3" s="231" t="s">
        <v>35</v>
      </c>
      <c r="I3" s="231" t="s">
        <v>36</v>
      </c>
      <c r="J3" s="231" t="s">
        <v>37</v>
      </c>
      <c r="K3" s="437"/>
      <c r="L3" s="437"/>
      <c r="M3" s="437"/>
      <c r="N3" s="437"/>
    </row>
    <row r="4" spans="1:16" x14ac:dyDescent="0.25">
      <c r="A4" s="438"/>
      <c r="B4" s="438"/>
      <c r="C4" s="438"/>
      <c r="D4" s="438"/>
      <c r="E4" s="233" t="s">
        <v>46</v>
      </c>
      <c r="F4" s="233" t="s">
        <v>46</v>
      </c>
      <c r="G4" s="233" t="s">
        <v>46</v>
      </c>
      <c r="H4" s="233" t="s">
        <v>46</v>
      </c>
      <c r="I4" s="233" t="s">
        <v>47</v>
      </c>
      <c r="J4" s="233" t="s">
        <v>46</v>
      </c>
      <c r="K4" s="438"/>
      <c r="L4" s="438"/>
      <c r="M4" s="438"/>
      <c r="N4" s="438"/>
    </row>
    <row r="5" spans="1:16" x14ac:dyDescent="0.25">
      <c r="A5" s="234">
        <f>IF($O5="","",INDEX(Master!$D$2:$D$1001,$O5))</f>
      </c>
      <c r="B5" s="165">
        <f>IF($O5="","",INDEX(Master!$B$2:$B$1001,$O5))</f>
      </c>
      <c r="C5" s="164">
        <f>IF($O5="","",INDEX(Master!$C$2:$C$1001,$O5))</f>
      </c>
      <c r="D5" s="164">
        <f>IF($O5="","",INDEX(Master!$A$2:$A$1001,$O5))</f>
      </c>
      <c r="E5" s="164">
        <f>IF($O5="","",INDEX(Master!$E$2:$E$1001,$O5))</f>
      </c>
      <c r="F5" s="164">
        <f>IF($O5="","",INDEX(Master!$F$2:$F$1001,$O5))</f>
      </c>
      <c r="G5" s="164">
        <f>IF($O5="","",INDEX(Master!$G$2:$G$1001,$O5))</f>
      </c>
      <c r="H5" s="164">
        <f>IF($O5="","",INDEX(Master!$H$2:$H$1001,$O5))</f>
      </c>
      <c r="I5" s="164">
        <f>IF($O5="","",INDEX(Master!$I$2:$I$1001,$O5))</f>
      </c>
      <c r="J5" s="164">
        <f>IF($O5="","",INDEX(Master!$J$2:$J$1001,$O5))</f>
      </c>
      <c r="K5" s="248">
        <f t="shared" ref="K5:K68" si="0">IF(OR($O5="",$F5="",$F5=0),"",$H5/$F5)</f>
      </c>
      <c r="L5" s="164">
        <f>IF($O5="","",INDEX(Master!$K$2:$K$1001,$O5))</f>
      </c>
      <c r="M5" s="164">
        <f>IF($O5="","",INDEX(Master!$L$2:$L$1001,$O5))</f>
      </c>
      <c r="N5" s="164"/>
      <c r="O5">
        <f t="array" ref="O5">IFERROR(SMALL(IF((Master!$A$2:$A$1001="SHYAM METALLIKS")*(Master!$M$2:$M$1001="130 x 130 x 6MTR"),ROW(Master!$A$2:$A$1001)-ROW(Master!$A$2)+1),1),"")</f>
      </c>
      <c r="P5">
        <f t="shared" ref="P5:P68" si="1">IF($A5="",0,IF(OR(AND($E5&lt;&gt;"",OR($E5&gt;0.18)),AND($F5&lt;&gt;"",OR($F5&gt;0.045,($F5+$G5)&gt;0.14)),AND($G5&lt;&gt;"",OR($G5&gt;0.08,($F5+$G5)&gt;0.14)),AND($H5&lt;&gt;"",$H5&lt;0.4),AND($J5&lt;&gt;"",OR($J5&lt;0.1))),1,0))</f>
      </c>
    </row>
    <row r="6" spans="1:16" x14ac:dyDescent="0.25">
      <c r="A6" s="234">
        <f>IF($O6="","",INDEX(Master!$D$2:$D$1001,$O6))</f>
      </c>
      <c r="B6" s="165">
        <f>IF($O6="","",INDEX(Master!$B$2:$B$1001,$O6))</f>
      </c>
      <c r="C6" s="164">
        <f>IF($O6="","",INDEX(Master!$C$2:$C$1001,$O6))</f>
      </c>
      <c r="D6" s="164">
        <f>IF($O6="","",INDEX(Master!$A$2:$A$1001,$O6))</f>
      </c>
      <c r="E6" s="164">
        <f>IF($O6="","",INDEX(Master!$E$2:$E$1001,$O6))</f>
      </c>
      <c r="F6" s="164">
        <f>IF($O6="","",INDEX(Master!$F$2:$F$1001,$O6))</f>
      </c>
      <c r="G6" s="164">
        <f>IF($O6="","",INDEX(Master!$G$2:$G$1001,$O6))</f>
      </c>
      <c r="H6" s="164">
        <f>IF($O6="","",INDEX(Master!$H$2:$H$1001,$O6))</f>
      </c>
      <c r="I6" s="164">
        <f>IF($O6="","",INDEX(Master!$I$2:$I$1001,$O6))</f>
      </c>
      <c r="J6" s="164">
        <f>IF($O6="","",INDEX(Master!$J$2:$J$1001,$O6))</f>
      </c>
      <c r="K6" s="248">
        <f t="shared" si="0"/>
      </c>
      <c r="L6" s="164">
        <f>IF($O6="","",INDEX(Master!$K$2:$K$1001,$O6))</f>
      </c>
      <c r="M6" s="164">
        <f>IF($O6="","",INDEX(Master!$L$2:$L$1001,$O6))</f>
      </c>
      <c r="N6" s="164"/>
      <c r="O6">
        <f t="array" ref="O6">IFERROR(SMALL(IF((Master!$A$2:$A$1001="SHYAM METALLIKS")*(Master!$M$2:$M$1001="130 x 130 x 6MTR"),ROW(Master!$A$2:$A$1001)-ROW(Master!$A$2)+1),2),"")</f>
      </c>
      <c r="P6">
        <f t="shared" si="1"/>
      </c>
    </row>
    <row r="7" spans="1:16" x14ac:dyDescent="0.25">
      <c r="A7" s="234">
        <f>IF($O7="","",INDEX(Master!$D$2:$D$1001,$O7))</f>
      </c>
      <c r="B7" s="165">
        <f>IF($O7="","",INDEX(Master!$B$2:$B$1001,$O7))</f>
      </c>
      <c r="C7" s="164">
        <f>IF($O7="","",INDEX(Master!$C$2:$C$1001,$O7))</f>
      </c>
      <c r="D7" s="164">
        <f>IF($O7="","",INDEX(Master!$A$2:$A$1001,$O7))</f>
      </c>
      <c r="E7" s="164">
        <f>IF($O7="","",INDEX(Master!$E$2:$E$1001,$O7))</f>
      </c>
      <c r="F7" s="164">
        <f>IF($O7="","",INDEX(Master!$F$2:$F$1001,$O7))</f>
      </c>
      <c r="G7" s="164">
        <f>IF($O7="","",INDEX(Master!$G$2:$G$1001,$O7))</f>
      </c>
      <c r="H7" s="164">
        <f>IF($O7="","",INDEX(Master!$H$2:$H$1001,$O7))</f>
      </c>
      <c r="I7" s="164">
        <f>IF($O7="","",INDEX(Master!$I$2:$I$1001,$O7))</f>
      </c>
      <c r="J7" s="164">
        <f>IF($O7="","",INDEX(Master!$J$2:$J$1001,$O7))</f>
      </c>
      <c r="K7" s="248">
        <f t="shared" si="0"/>
      </c>
      <c r="L7" s="164">
        <f>IF($O7="","",INDEX(Master!$K$2:$K$1001,$O7))</f>
      </c>
      <c r="M7" s="164">
        <f>IF($O7="","",INDEX(Master!$L$2:$L$1001,$O7))</f>
      </c>
      <c r="N7" s="164"/>
      <c r="O7">
        <f t="array" ref="O7">IFERROR(SMALL(IF((Master!$A$2:$A$1001="SHYAM METALLIKS")*(Master!$M$2:$M$1001="130 x 130 x 6MTR"),ROW(Master!$A$2:$A$1001)-ROW(Master!$A$2)+1),3),"")</f>
      </c>
      <c r="P7">
        <f t="shared" si="1"/>
      </c>
    </row>
    <row r="8" spans="1:16" x14ac:dyDescent="0.25">
      <c r="A8" s="234">
        <f>IF($O8="","",INDEX(Master!$D$2:$D$1001,$O8))</f>
      </c>
      <c r="B8" s="165">
        <f>IF($O8="","",INDEX(Master!$B$2:$B$1001,$O8))</f>
      </c>
      <c r="C8" s="164">
        <f>IF($O8="","",INDEX(Master!$C$2:$C$1001,$O8))</f>
      </c>
      <c r="D8" s="164">
        <f>IF($O8="","",INDEX(Master!$A$2:$A$1001,$O8))</f>
      </c>
      <c r="E8" s="164">
        <f>IF($O8="","",INDEX(Master!$E$2:$E$1001,$O8))</f>
      </c>
      <c r="F8" s="164">
        <f>IF($O8="","",INDEX(Master!$F$2:$F$1001,$O8))</f>
      </c>
      <c r="G8" s="164">
        <f>IF($O8="","",INDEX(Master!$G$2:$G$1001,$O8))</f>
      </c>
      <c r="H8" s="164">
        <f>IF($O8="","",INDEX(Master!$H$2:$H$1001,$O8))</f>
      </c>
      <c r="I8" s="164">
        <f>IF($O8="","",INDEX(Master!$I$2:$I$1001,$O8))</f>
      </c>
      <c r="J8" s="164">
        <f>IF($O8="","",INDEX(Master!$J$2:$J$1001,$O8))</f>
      </c>
      <c r="K8" s="248">
        <f t="shared" si="0"/>
      </c>
      <c r="L8" s="164">
        <f>IF($O8="","",INDEX(Master!$K$2:$K$1001,$O8))</f>
      </c>
      <c r="M8" s="164">
        <f>IF($O8="","",INDEX(Master!$L$2:$L$1001,$O8))</f>
      </c>
      <c r="N8" s="164"/>
      <c r="O8">
        <f t="array" ref="O8">IFERROR(SMALL(IF((Master!$A$2:$A$1001="SHYAM METALLIKS")*(Master!$M$2:$M$1001="130 x 130 x 6MTR"),ROW(Master!$A$2:$A$1001)-ROW(Master!$A$2)+1),4),"")</f>
      </c>
      <c r="P8">
        <f t="shared" si="1"/>
      </c>
    </row>
    <row r="9" spans="1:16" x14ac:dyDescent="0.25">
      <c r="A9" s="234">
        <f>IF($O9="","",INDEX(Master!$D$2:$D$1001,$O9))</f>
      </c>
      <c r="B9" s="165">
        <f>IF($O9="","",INDEX(Master!$B$2:$B$1001,$O9))</f>
      </c>
      <c r="C9" s="164">
        <f>IF($O9="","",INDEX(Master!$C$2:$C$1001,$O9))</f>
      </c>
      <c r="D9" s="164">
        <f>IF($O9="","",INDEX(Master!$A$2:$A$1001,$O9))</f>
      </c>
      <c r="E9" s="164">
        <f>IF($O9="","",INDEX(Master!$E$2:$E$1001,$O9))</f>
      </c>
      <c r="F9" s="164">
        <f>IF($O9="","",INDEX(Master!$F$2:$F$1001,$O9))</f>
      </c>
      <c r="G9" s="164">
        <f>IF($O9="","",INDEX(Master!$G$2:$G$1001,$O9))</f>
      </c>
      <c r="H9" s="164">
        <f>IF($O9="","",INDEX(Master!$H$2:$H$1001,$O9))</f>
      </c>
      <c r="I9" s="164">
        <f>IF($O9="","",INDEX(Master!$I$2:$I$1001,$O9))</f>
      </c>
      <c r="J9" s="164">
        <f>IF($O9="","",INDEX(Master!$J$2:$J$1001,$O9))</f>
      </c>
      <c r="K9" s="248">
        <f t="shared" si="0"/>
      </c>
      <c r="L9" s="164">
        <f>IF($O9="","",INDEX(Master!$K$2:$K$1001,$O9))</f>
      </c>
      <c r="M9" s="164">
        <f>IF($O9="","",INDEX(Master!$L$2:$L$1001,$O9))</f>
      </c>
      <c r="N9" s="164"/>
      <c r="O9">
        <f t="array" ref="O9">IFERROR(SMALL(IF((Master!$A$2:$A$1001="SHYAM METALLIKS")*(Master!$M$2:$M$1001="130 x 130 x 6MTR"),ROW(Master!$A$2:$A$1001)-ROW(Master!$A$2)+1),5),"")</f>
      </c>
      <c r="P9">
        <f t="shared" si="1"/>
      </c>
    </row>
    <row r="10" spans="1:16" x14ac:dyDescent="0.25">
      <c r="A10" s="234">
        <f>IF($O10="","",INDEX(Master!$D$2:$D$1001,$O10))</f>
      </c>
      <c r="B10" s="165">
        <f>IF($O10="","",INDEX(Master!$B$2:$B$1001,$O10))</f>
      </c>
      <c r="C10" s="164">
        <f>IF($O10="","",INDEX(Master!$C$2:$C$1001,$O10))</f>
      </c>
      <c r="D10" s="164">
        <f>IF($O10="","",INDEX(Master!$A$2:$A$1001,$O10))</f>
      </c>
      <c r="E10" s="164">
        <f>IF($O10="","",INDEX(Master!$E$2:$E$1001,$O10))</f>
      </c>
      <c r="F10" s="164">
        <f>IF($O10="","",INDEX(Master!$F$2:$F$1001,$O10))</f>
      </c>
      <c r="G10" s="164">
        <f>IF($O10="","",INDEX(Master!$G$2:$G$1001,$O10))</f>
      </c>
      <c r="H10" s="164">
        <f>IF($O10="","",INDEX(Master!$H$2:$H$1001,$O10))</f>
      </c>
      <c r="I10" s="164">
        <f>IF($O10="","",INDEX(Master!$I$2:$I$1001,$O10))</f>
      </c>
      <c r="J10" s="164">
        <f>IF($O10="","",INDEX(Master!$J$2:$J$1001,$O10))</f>
      </c>
      <c r="K10" s="248">
        <f t="shared" si="0"/>
      </c>
      <c r="L10" s="164">
        <f>IF($O10="","",INDEX(Master!$K$2:$K$1001,$O10))</f>
      </c>
      <c r="M10" s="164">
        <f>IF($O10="","",INDEX(Master!$L$2:$L$1001,$O10))</f>
      </c>
      <c r="N10" s="164"/>
      <c r="O10">
        <f t="array" ref="O10">IFERROR(SMALL(IF((Master!$A$2:$A$1001="SHYAM METALLIKS")*(Master!$M$2:$M$1001="130 x 130 x 6MTR"),ROW(Master!$A$2:$A$1001)-ROW(Master!$A$2)+1),6),"")</f>
      </c>
      <c r="P10">
        <f t="shared" si="1"/>
      </c>
    </row>
    <row r="11" spans="1:16" x14ac:dyDescent="0.25">
      <c r="A11" s="234">
        <f>IF($O11="","",INDEX(Master!$D$2:$D$1001,$O11))</f>
      </c>
      <c r="B11" s="165">
        <f>IF($O11="","",INDEX(Master!$B$2:$B$1001,$O11))</f>
      </c>
      <c r="C11" s="164">
        <f>IF($O11="","",INDEX(Master!$C$2:$C$1001,$O11))</f>
      </c>
      <c r="D11" s="164">
        <f>IF($O11="","",INDEX(Master!$A$2:$A$1001,$O11))</f>
      </c>
      <c r="E11" s="164">
        <f>IF($O11="","",INDEX(Master!$E$2:$E$1001,$O11))</f>
      </c>
      <c r="F11" s="164">
        <f>IF($O11="","",INDEX(Master!$F$2:$F$1001,$O11))</f>
      </c>
      <c r="G11" s="164">
        <f>IF($O11="","",INDEX(Master!$G$2:$G$1001,$O11))</f>
      </c>
      <c r="H11" s="164">
        <f>IF($O11="","",INDEX(Master!$H$2:$H$1001,$O11))</f>
      </c>
      <c r="I11" s="164">
        <f>IF($O11="","",INDEX(Master!$I$2:$I$1001,$O11))</f>
      </c>
      <c r="J11" s="164">
        <f>IF($O11="","",INDEX(Master!$J$2:$J$1001,$O11))</f>
      </c>
      <c r="K11" s="248">
        <f t="shared" si="0"/>
      </c>
      <c r="L11" s="164">
        <f>IF($O11="","",INDEX(Master!$K$2:$K$1001,$O11))</f>
      </c>
      <c r="M11" s="164">
        <f>IF($O11="","",INDEX(Master!$L$2:$L$1001,$O11))</f>
      </c>
      <c r="N11" s="164"/>
      <c r="O11">
        <f t="array" ref="O11">IFERROR(SMALL(IF((Master!$A$2:$A$1001="SHYAM METALLIKS")*(Master!$M$2:$M$1001="130 x 130 x 6MTR"),ROW(Master!$A$2:$A$1001)-ROW(Master!$A$2)+1),7),"")</f>
      </c>
      <c r="P11">
        <f t="shared" si="1"/>
      </c>
    </row>
    <row r="12" spans="1:16" x14ac:dyDescent="0.25">
      <c r="A12" s="234">
        <f>IF($O12="","",INDEX(Master!$D$2:$D$1001,$O12))</f>
      </c>
      <c r="B12" s="165">
        <f>IF($O12="","",INDEX(Master!$B$2:$B$1001,$O12))</f>
      </c>
      <c r="C12" s="164">
        <f>IF($O12="","",INDEX(Master!$C$2:$C$1001,$O12))</f>
      </c>
      <c r="D12" s="164">
        <f>IF($O12="","",INDEX(Master!$A$2:$A$1001,$O12))</f>
      </c>
      <c r="E12" s="164">
        <f>IF($O12="","",INDEX(Master!$E$2:$E$1001,$O12))</f>
      </c>
      <c r="F12" s="164">
        <f>IF($O12="","",INDEX(Master!$F$2:$F$1001,$O12))</f>
      </c>
      <c r="G12" s="164">
        <f>IF($O12="","",INDEX(Master!$G$2:$G$1001,$O12))</f>
      </c>
      <c r="H12" s="164">
        <f>IF($O12="","",INDEX(Master!$H$2:$H$1001,$O12))</f>
      </c>
      <c r="I12" s="164">
        <f>IF($O12="","",INDEX(Master!$I$2:$I$1001,$O12))</f>
      </c>
      <c r="J12" s="164">
        <f>IF($O12="","",INDEX(Master!$J$2:$J$1001,$O12))</f>
      </c>
      <c r="K12" s="248">
        <f t="shared" si="0"/>
      </c>
      <c r="L12" s="164">
        <f>IF($O12="","",INDEX(Master!$K$2:$K$1001,$O12))</f>
      </c>
      <c r="M12" s="164">
        <f>IF($O12="","",INDEX(Master!$L$2:$L$1001,$O12))</f>
      </c>
      <c r="N12" s="164"/>
      <c r="O12">
        <f t="array" ref="O12">IFERROR(SMALL(IF((Master!$A$2:$A$1001="SHYAM METALLIKS")*(Master!$M$2:$M$1001="130 x 130 x 6MTR"),ROW(Master!$A$2:$A$1001)-ROW(Master!$A$2)+1),8),"")</f>
      </c>
      <c r="P12">
        <f t="shared" si="1"/>
      </c>
    </row>
    <row r="13" spans="1:16" x14ac:dyDescent="0.25">
      <c r="A13" s="234">
        <f>IF($O13="","",INDEX(Master!$D$2:$D$1001,$O13))</f>
      </c>
      <c r="B13" s="165">
        <f>IF($O13="","",INDEX(Master!$B$2:$B$1001,$O13))</f>
      </c>
      <c r="C13" s="164">
        <f>IF($O13="","",INDEX(Master!$C$2:$C$1001,$O13))</f>
      </c>
      <c r="D13" s="164">
        <f>IF($O13="","",INDEX(Master!$A$2:$A$1001,$O13))</f>
      </c>
      <c r="E13" s="164">
        <f>IF($O13="","",INDEX(Master!$E$2:$E$1001,$O13))</f>
      </c>
      <c r="F13" s="164">
        <f>IF($O13="","",INDEX(Master!$F$2:$F$1001,$O13))</f>
      </c>
      <c r="G13" s="164">
        <f>IF($O13="","",INDEX(Master!$G$2:$G$1001,$O13))</f>
      </c>
      <c r="H13" s="164">
        <f>IF($O13="","",INDEX(Master!$H$2:$H$1001,$O13))</f>
      </c>
      <c r="I13" s="164">
        <f>IF($O13="","",INDEX(Master!$I$2:$I$1001,$O13))</f>
      </c>
      <c r="J13" s="164">
        <f>IF($O13="","",INDEX(Master!$J$2:$J$1001,$O13))</f>
      </c>
      <c r="K13" s="248">
        <f t="shared" si="0"/>
      </c>
      <c r="L13" s="164">
        <f>IF($O13="","",INDEX(Master!$K$2:$K$1001,$O13))</f>
      </c>
      <c r="M13" s="164">
        <f>IF($O13="","",INDEX(Master!$L$2:$L$1001,$O13))</f>
      </c>
      <c r="N13" s="164"/>
      <c r="O13">
        <f t="array" ref="O13">IFERROR(SMALL(IF((Master!$A$2:$A$1001="SHYAM METALLIKS")*(Master!$M$2:$M$1001="130 x 130 x 6MTR"),ROW(Master!$A$2:$A$1001)-ROW(Master!$A$2)+1),9),"")</f>
      </c>
      <c r="P13">
        <f t="shared" si="1"/>
      </c>
    </row>
    <row r="14" spans="1:16" x14ac:dyDescent="0.25">
      <c r="A14" s="234">
        <f>IF($O14="","",INDEX(Master!$D$2:$D$1001,$O14))</f>
      </c>
      <c r="B14" s="165">
        <f>IF($O14="","",INDEX(Master!$B$2:$B$1001,$O14))</f>
      </c>
      <c r="C14" s="164">
        <f>IF($O14="","",INDEX(Master!$C$2:$C$1001,$O14))</f>
      </c>
      <c r="D14" s="164">
        <f>IF($O14="","",INDEX(Master!$A$2:$A$1001,$O14))</f>
      </c>
      <c r="E14" s="164">
        <f>IF($O14="","",INDEX(Master!$E$2:$E$1001,$O14))</f>
      </c>
      <c r="F14" s="164">
        <f>IF($O14="","",INDEX(Master!$F$2:$F$1001,$O14))</f>
      </c>
      <c r="G14" s="164">
        <f>IF($O14="","",INDEX(Master!$G$2:$G$1001,$O14))</f>
      </c>
      <c r="H14" s="164">
        <f>IF($O14="","",INDEX(Master!$H$2:$H$1001,$O14))</f>
      </c>
      <c r="I14" s="164">
        <f>IF($O14="","",INDEX(Master!$I$2:$I$1001,$O14))</f>
      </c>
      <c r="J14" s="164">
        <f>IF($O14="","",INDEX(Master!$J$2:$J$1001,$O14))</f>
      </c>
      <c r="K14" s="248">
        <f t="shared" si="0"/>
      </c>
      <c r="L14" s="164">
        <f>IF($O14="","",INDEX(Master!$K$2:$K$1001,$O14))</f>
      </c>
      <c r="M14" s="164">
        <f>IF($O14="","",INDEX(Master!$L$2:$L$1001,$O14))</f>
      </c>
      <c r="N14" s="164"/>
      <c r="O14">
        <f t="array" ref="O14">IFERROR(SMALL(IF((Master!$A$2:$A$1001="SHYAM METALLIKS")*(Master!$M$2:$M$1001="130 x 130 x 6MTR"),ROW(Master!$A$2:$A$1001)-ROW(Master!$A$2)+1),10),"")</f>
      </c>
      <c r="P14">
        <f t="shared" si="1"/>
      </c>
    </row>
    <row r="15" spans="1:16" x14ac:dyDescent="0.25">
      <c r="A15" s="234">
        <f>IF($O15="","",INDEX(Master!$D$2:$D$1001,$O15))</f>
      </c>
      <c r="B15" s="165">
        <f>IF($O15="","",INDEX(Master!$B$2:$B$1001,$O15))</f>
      </c>
      <c r="C15" s="164">
        <f>IF($O15="","",INDEX(Master!$C$2:$C$1001,$O15))</f>
      </c>
      <c r="D15" s="164">
        <f>IF($O15="","",INDEX(Master!$A$2:$A$1001,$O15))</f>
      </c>
      <c r="E15" s="164">
        <f>IF($O15="","",INDEX(Master!$E$2:$E$1001,$O15))</f>
      </c>
      <c r="F15" s="164">
        <f>IF($O15="","",INDEX(Master!$F$2:$F$1001,$O15))</f>
      </c>
      <c r="G15" s="164">
        <f>IF($O15="","",INDEX(Master!$G$2:$G$1001,$O15))</f>
      </c>
      <c r="H15" s="164">
        <f>IF($O15="","",INDEX(Master!$H$2:$H$1001,$O15))</f>
      </c>
      <c r="I15" s="164">
        <f>IF($O15="","",INDEX(Master!$I$2:$I$1001,$O15))</f>
      </c>
      <c r="J15" s="164">
        <f>IF($O15="","",INDEX(Master!$J$2:$J$1001,$O15))</f>
      </c>
      <c r="K15" s="248">
        <f t="shared" si="0"/>
      </c>
      <c r="L15" s="164">
        <f>IF($O15="","",INDEX(Master!$K$2:$K$1001,$O15))</f>
      </c>
      <c r="M15" s="164">
        <f>IF($O15="","",INDEX(Master!$L$2:$L$1001,$O15))</f>
      </c>
      <c r="N15" s="164"/>
      <c r="O15">
        <f t="array" ref="O15">IFERROR(SMALL(IF((Master!$A$2:$A$1001="SHYAM METALLIKS")*(Master!$M$2:$M$1001="130 x 130 x 6MTR"),ROW(Master!$A$2:$A$1001)-ROW(Master!$A$2)+1),11),"")</f>
      </c>
      <c r="P15">
        <f t="shared" si="1"/>
      </c>
    </row>
    <row r="16" spans="1:16" x14ac:dyDescent="0.25">
      <c r="A16" s="234">
        <f>IF($O16="","",INDEX(Master!$D$2:$D$1001,$O16))</f>
      </c>
      <c r="B16" s="165">
        <f>IF($O16="","",INDEX(Master!$B$2:$B$1001,$O16))</f>
      </c>
      <c r="C16" s="164">
        <f>IF($O16="","",INDEX(Master!$C$2:$C$1001,$O16))</f>
      </c>
      <c r="D16" s="164">
        <f>IF($O16="","",INDEX(Master!$A$2:$A$1001,$O16))</f>
      </c>
      <c r="E16" s="164">
        <f>IF($O16="","",INDEX(Master!$E$2:$E$1001,$O16))</f>
      </c>
      <c r="F16" s="164">
        <f>IF($O16="","",INDEX(Master!$F$2:$F$1001,$O16))</f>
      </c>
      <c r="G16" s="164">
        <f>IF($O16="","",INDEX(Master!$G$2:$G$1001,$O16))</f>
      </c>
      <c r="H16" s="164">
        <f>IF($O16="","",INDEX(Master!$H$2:$H$1001,$O16))</f>
      </c>
      <c r="I16" s="164">
        <f>IF($O16="","",INDEX(Master!$I$2:$I$1001,$O16))</f>
      </c>
      <c r="J16" s="164">
        <f>IF($O16="","",INDEX(Master!$J$2:$J$1001,$O16))</f>
      </c>
      <c r="K16" s="248">
        <f t="shared" si="0"/>
      </c>
      <c r="L16" s="164">
        <f>IF($O16="","",INDEX(Master!$K$2:$K$1001,$O16))</f>
      </c>
      <c r="M16" s="164">
        <f>IF($O16="","",INDEX(Master!$L$2:$L$1001,$O16))</f>
      </c>
      <c r="N16" s="164"/>
      <c r="O16">
        <f t="array" ref="O16">IFERROR(SMALL(IF((Master!$A$2:$A$1001="SHYAM METALLIKS")*(Master!$M$2:$M$1001="130 x 130 x 6MTR"),ROW(Master!$A$2:$A$1001)-ROW(Master!$A$2)+1),12),"")</f>
      </c>
      <c r="P16">
        <f t="shared" si="1"/>
      </c>
    </row>
    <row r="17" spans="1:16" x14ac:dyDescent="0.25">
      <c r="A17" s="234">
        <f>IF($O17="","",INDEX(Master!$D$2:$D$1001,$O17))</f>
      </c>
      <c r="B17" s="165">
        <f>IF($O17="","",INDEX(Master!$B$2:$B$1001,$O17))</f>
      </c>
      <c r="C17" s="164">
        <f>IF($O17="","",INDEX(Master!$C$2:$C$1001,$O17))</f>
      </c>
      <c r="D17" s="164">
        <f>IF($O17="","",INDEX(Master!$A$2:$A$1001,$O17))</f>
      </c>
      <c r="E17" s="164">
        <f>IF($O17="","",INDEX(Master!$E$2:$E$1001,$O17))</f>
      </c>
      <c r="F17" s="164">
        <f>IF($O17="","",INDEX(Master!$F$2:$F$1001,$O17))</f>
      </c>
      <c r="G17" s="164">
        <f>IF($O17="","",INDEX(Master!$G$2:$G$1001,$O17))</f>
      </c>
      <c r="H17" s="164">
        <f>IF($O17="","",INDEX(Master!$H$2:$H$1001,$O17))</f>
      </c>
      <c r="I17" s="164">
        <f>IF($O17="","",INDEX(Master!$I$2:$I$1001,$O17))</f>
      </c>
      <c r="J17" s="164">
        <f>IF($O17="","",INDEX(Master!$J$2:$J$1001,$O17))</f>
      </c>
      <c r="K17" s="248">
        <f t="shared" si="0"/>
      </c>
      <c r="L17" s="164">
        <f>IF($O17="","",INDEX(Master!$K$2:$K$1001,$O17))</f>
      </c>
      <c r="M17" s="164">
        <f>IF($O17="","",INDEX(Master!$L$2:$L$1001,$O17))</f>
      </c>
      <c r="N17" s="164"/>
      <c r="O17">
        <f t="array" ref="O17">IFERROR(SMALL(IF((Master!$A$2:$A$1001="SHYAM METALLIKS")*(Master!$M$2:$M$1001="130 x 130 x 6MTR"),ROW(Master!$A$2:$A$1001)-ROW(Master!$A$2)+1),13),"")</f>
      </c>
      <c r="P17">
        <f t="shared" si="1"/>
      </c>
    </row>
    <row r="18" spans="1:16" x14ac:dyDescent="0.25">
      <c r="A18" s="234">
        <f>IF($O18="","",INDEX(Master!$D$2:$D$1001,$O18))</f>
      </c>
      <c r="B18" s="165">
        <f>IF($O18="","",INDEX(Master!$B$2:$B$1001,$O18))</f>
      </c>
      <c r="C18" s="164">
        <f>IF($O18="","",INDEX(Master!$C$2:$C$1001,$O18))</f>
      </c>
      <c r="D18" s="164">
        <f>IF($O18="","",INDEX(Master!$A$2:$A$1001,$O18))</f>
      </c>
      <c r="E18" s="164">
        <f>IF($O18="","",INDEX(Master!$E$2:$E$1001,$O18))</f>
      </c>
      <c r="F18" s="164">
        <f>IF($O18="","",INDEX(Master!$F$2:$F$1001,$O18))</f>
      </c>
      <c r="G18" s="164">
        <f>IF($O18="","",INDEX(Master!$G$2:$G$1001,$O18))</f>
      </c>
      <c r="H18" s="164">
        <f>IF($O18="","",INDEX(Master!$H$2:$H$1001,$O18))</f>
      </c>
      <c r="I18" s="164">
        <f>IF($O18="","",INDEX(Master!$I$2:$I$1001,$O18))</f>
      </c>
      <c r="J18" s="164">
        <f>IF($O18="","",INDEX(Master!$J$2:$J$1001,$O18))</f>
      </c>
      <c r="K18" s="248">
        <f t="shared" si="0"/>
      </c>
      <c r="L18" s="164">
        <f>IF($O18="","",INDEX(Master!$K$2:$K$1001,$O18))</f>
      </c>
      <c r="M18" s="164">
        <f>IF($O18="","",INDEX(Master!$L$2:$L$1001,$O18))</f>
      </c>
      <c r="N18" s="164"/>
      <c r="O18">
        <f t="array" ref="O18">IFERROR(SMALL(IF((Master!$A$2:$A$1001="SHYAM METALLIKS")*(Master!$M$2:$M$1001="130 x 130 x 6MTR"),ROW(Master!$A$2:$A$1001)-ROW(Master!$A$2)+1),14),"")</f>
      </c>
      <c r="P18">
        <f t="shared" si="1"/>
      </c>
    </row>
    <row r="19" spans="1:16" x14ac:dyDescent="0.25">
      <c r="A19" s="234">
        <f>IF($O19="","",INDEX(Master!$D$2:$D$1001,$O19))</f>
      </c>
      <c r="B19" s="165">
        <f>IF($O19="","",INDEX(Master!$B$2:$B$1001,$O19))</f>
      </c>
      <c r="C19" s="164">
        <f>IF($O19="","",INDEX(Master!$C$2:$C$1001,$O19))</f>
      </c>
      <c r="D19" s="164">
        <f>IF($O19="","",INDEX(Master!$A$2:$A$1001,$O19))</f>
      </c>
      <c r="E19" s="164">
        <f>IF($O19="","",INDEX(Master!$E$2:$E$1001,$O19))</f>
      </c>
      <c r="F19" s="164">
        <f>IF($O19="","",INDEX(Master!$F$2:$F$1001,$O19))</f>
      </c>
      <c r="G19" s="164">
        <f>IF($O19="","",INDEX(Master!$G$2:$G$1001,$O19))</f>
      </c>
      <c r="H19" s="164">
        <f>IF($O19="","",INDEX(Master!$H$2:$H$1001,$O19))</f>
      </c>
      <c r="I19" s="164">
        <f>IF($O19="","",INDEX(Master!$I$2:$I$1001,$O19))</f>
      </c>
      <c r="J19" s="164">
        <f>IF($O19="","",INDEX(Master!$J$2:$J$1001,$O19))</f>
      </c>
      <c r="K19" s="248">
        <f t="shared" si="0"/>
      </c>
      <c r="L19" s="164">
        <f>IF($O19="","",INDEX(Master!$K$2:$K$1001,$O19))</f>
      </c>
      <c r="M19" s="164">
        <f>IF($O19="","",INDEX(Master!$L$2:$L$1001,$O19))</f>
      </c>
      <c r="N19" s="164"/>
      <c r="O19">
        <f t="array" ref="O19">IFERROR(SMALL(IF((Master!$A$2:$A$1001="SHYAM METALLIKS")*(Master!$M$2:$M$1001="130 x 130 x 6MTR"),ROW(Master!$A$2:$A$1001)-ROW(Master!$A$2)+1),15),"")</f>
      </c>
      <c r="P19">
        <f t="shared" si="1"/>
      </c>
    </row>
    <row r="20" spans="1:16" x14ac:dyDescent="0.25">
      <c r="A20" s="234">
        <f>IF($O20="","",INDEX(Master!$D$2:$D$1001,$O20))</f>
      </c>
      <c r="B20" s="165">
        <f>IF($O20="","",INDEX(Master!$B$2:$B$1001,$O20))</f>
      </c>
      <c r="C20" s="164">
        <f>IF($O20="","",INDEX(Master!$C$2:$C$1001,$O20))</f>
      </c>
      <c r="D20" s="164">
        <f>IF($O20="","",INDEX(Master!$A$2:$A$1001,$O20))</f>
      </c>
      <c r="E20" s="164">
        <f>IF($O20="","",INDEX(Master!$E$2:$E$1001,$O20))</f>
      </c>
      <c r="F20" s="164">
        <f>IF($O20="","",INDEX(Master!$F$2:$F$1001,$O20))</f>
      </c>
      <c r="G20" s="164">
        <f>IF($O20="","",INDEX(Master!$G$2:$G$1001,$O20))</f>
      </c>
      <c r="H20" s="164">
        <f>IF($O20="","",INDEX(Master!$H$2:$H$1001,$O20))</f>
      </c>
      <c r="I20" s="164">
        <f>IF($O20="","",INDEX(Master!$I$2:$I$1001,$O20))</f>
      </c>
      <c r="J20" s="164">
        <f>IF($O20="","",INDEX(Master!$J$2:$J$1001,$O20))</f>
      </c>
      <c r="K20" s="248">
        <f t="shared" si="0"/>
      </c>
      <c r="L20" s="164">
        <f>IF($O20="","",INDEX(Master!$K$2:$K$1001,$O20))</f>
      </c>
      <c r="M20" s="164">
        <f>IF($O20="","",INDEX(Master!$L$2:$L$1001,$O20))</f>
      </c>
      <c r="N20" s="164"/>
      <c r="O20">
        <f t="array" ref="O20">IFERROR(SMALL(IF((Master!$A$2:$A$1001="SHYAM METALLIKS")*(Master!$M$2:$M$1001="130 x 130 x 6MTR"),ROW(Master!$A$2:$A$1001)-ROW(Master!$A$2)+1),16),"")</f>
      </c>
      <c r="P20">
        <f t="shared" si="1"/>
      </c>
    </row>
    <row r="21" spans="1:16" x14ac:dyDescent="0.25">
      <c r="A21" s="234">
        <f>IF($O21="","",INDEX(Master!$D$2:$D$1001,$O21))</f>
      </c>
      <c r="B21" s="165">
        <f>IF($O21="","",INDEX(Master!$B$2:$B$1001,$O21))</f>
      </c>
      <c r="C21" s="164">
        <f>IF($O21="","",INDEX(Master!$C$2:$C$1001,$O21))</f>
      </c>
      <c r="D21" s="164">
        <f>IF($O21="","",INDEX(Master!$A$2:$A$1001,$O21))</f>
      </c>
      <c r="E21" s="164">
        <f>IF($O21="","",INDEX(Master!$E$2:$E$1001,$O21))</f>
      </c>
      <c r="F21" s="164">
        <f>IF($O21="","",INDEX(Master!$F$2:$F$1001,$O21))</f>
      </c>
      <c r="G21" s="164">
        <f>IF($O21="","",INDEX(Master!$G$2:$G$1001,$O21))</f>
      </c>
      <c r="H21" s="164">
        <f>IF($O21="","",INDEX(Master!$H$2:$H$1001,$O21))</f>
      </c>
      <c r="I21" s="164">
        <f>IF($O21="","",INDEX(Master!$I$2:$I$1001,$O21))</f>
      </c>
      <c r="J21" s="164">
        <f>IF($O21="","",INDEX(Master!$J$2:$J$1001,$O21))</f>
      </c>
      <c r="K21" s="248">
        <f t="shared" si="0"/>
      </c>
      <c r="L21" s="164">
        <f>IF($O21="","",INDEX(Master!$K$2:$K$1001,$O21))</f>
      </c>
      <c r="M21" s="164">
        <f>IF($O21="","",INDEX(Master!$L$2:$L$1001,$O21))</f>
      </c>
      <c r="N21" s="164"/>
      <c r="O21">
        <f t="array" ref="O21">IFERROR(SMALL(IF((Master!$A$2:$A$1001="SHYAM METALLIKS")*(Master!$M$2:$M$1001="130 x 130 x 6MTR"),ROW(Master!$A$2:$A$1001)-ROW(Master!$A$2)+1),17),"")</f>
      </c>
      <c r="P21">
        <f t="shared" si="1"/>
      </c>
    </row>
    <row r="22" spans="1:16" x14ac:dyDescent="0.25">
      <c r="A22" s="234">
        <f>IF($O22="","",INDEX(Master!$D$2:$D$1001,$O22))</f>
      </c>
      <c r="B22" s="165">
        <f>IF($O22="","",INDEX(Master!$B$2:$B$1001,$O22))</f>
      </c>
      <c r="C22" s="164">
        <f>IF($O22="","",INDEX(Master!$C$2:$C$1001,$O22))</f>
      </c>
      <c r="D22" s="164">
        <f>IF($O22="","",INDEX(Master!$A$2:$A$1001,$O22))</f>
      </c>
      <c r="E22" s="164">
        <f>IF($O22="","",INDEX(Master!$E$2:$E$1001,$O22))</f>
      </c>
      <c r="F22" s="164">
        <f>IF($O22="","",INDEX(Master!$F$2:$F$1001,$O22))</f>
      </c>
      <c r="G22" s="164">
        <f>IF($O22="","",INDEX(Master!$G$2:$G$1001,$O22))</f>
      </c>
      <c r="H22" s="164">
        <f>IF($O22="","",INDEX(Master!$H$2:$H$1001,$O22))</f>
      </c>
      <c r="I22" s="164">
        <f>IF($O22="","",INDEX(Master!$I$2:$I$1001,$O22))</f>
      </c>
      <c r="J22" s="164">
        <f>IF($O22="","",INDEX(Master!$J$2:$J$1001,$O22))</f>
      </c>
      <c r="K22" s="248">
        <f t="shared" si="0"/>
      </c>
      <c r="L22" s="164">
        <f>IF($O22="","",INDEX(Master!$K$2:$K$1001,$O22))</f>
      </c>
      <c r="M22" s="164">
        <f>IF($O22="","",INDEX(Master!$L$2:$L$1001,$O22))</f>
      </c>
      <c r="N22" s="164"/>
      <c r="O22">
        <f t="array" ref="O22">IFERROR(SMALL(IF((Master!$A$2:$A$1001="SHYAM METALLIKS")*(Master!$M$2:$M$1001="130 x 130 x 6MTR"),ROW(Master!$A$2:$A$1001)-ROW(Master!$A$2)+1),18),"")</f>
      </c>
      <c r="P22">
        <f t="shared" si="1"/>
      </c>
    </row>
    <row r="23" spans="1:16" x14ac:dyDescent="0.25">
      <c r="A23" s="234">
        <f>IF($O23="","",INDEX(Master!$D$2:$D$1001,$O23))</f>
      </c>
      <c r="B23" s="165">
        <f>IF($O23="","",INDEX(Master!$B$2:$B$1001,$O23))</f>
      </c>
      <c r="C23" s="164">
        <f>IF($O23="","",INDEX(Master!$C$2:$C$1001,$O23))</f>
      </c>
      <c r="D23" s="164">
        <f>IF($O23="","",INDEX(Master!$A$2:$A$1001,$O23))</f>
      </c>
      <c r="E23" s="164">
        <f>IF($O23="","",INDEX(Master!$E$2:$E$1001,$O23))</f>
      </c>
      <c r="F23" s="164">
        <f>IF($O23="","",INDEX(Master!$F$2:$F$1001,$O23))</f>
      </c>
      <c r="G23" s="164">
        <f>IF($O23="","",INDEX(Master!$G$2:$G$1001,$O23))</f>
      </c>
      <c r="H23" s="164">
        <f>IF($O23="","",INDEX(Master!$H$2:$H$1001,$O23))</f>
      </c>
      <c r="I23" s="164">
        <f>IF($O23="","",INDEX(Master!$I$2:$I$1001,$O23))</f>
      </c>
      <c r="J23" s="164">
        <f>IF($O23="","",INDEX(Master!$J$2:$J$1001,$O23))</f>
      </c>
      <c r="K23" s="248">
        <f t="shared" si="0"/>
      </c>
      <c r="L23" s="164">
        <f>IF($O23="","",INDEX(Master!$K$2:$K$1001,$O23))</f>
      </c>
      <c r="M23" s="164">
        <f>IF($O23="","",INDEX(Master!$L$2:$L$1001,$O23))</f>
      </c>
      <c r="N23" s="164"/>
      <c r="O23">
        <f t="array" ref="O23">IFERROR(SMALL(IF((Master!$A$2:$A$1001="SHYAM METALLIKS")*(Master!$M$2:$M$1001="130 x 130 x 6MTR"),ROW(Master!$A$2:$A$1001)-ROW(Master!$A$2)+1),19),"")</f>
      </c>
      <c r="P23">
        <f t="shared" si="1"/>
      </c>
    </row>
    <row r="24" spans="1:16" x14ac:dyDescent="0.25">
      <c r="A24" s="234">
        <f>IF($O24="","",INDEX(Master!$D$2:$D$1001,$O24))</f>
      </c>
      <c r="B24" s="165">
        <f>IF($O24="","",INDEX(Master!$B$2:$B$1001,$O24))</f>
      </c>
      <c r="C24" s="164">
        <f>IF($O24="","",INDEX(Master!$C$2:$C$1001,$O24))</f>
      </c>
      <c r="D24" s="164">
        <f>IF($O24="","",INDEX(Master!$A$2:$A$1001,$O24))</f>
      </c>
      <c r="E24" s="164">
        <f>IF($O24="","",INDEX(Master!$E$2:$E$1001,$O24))</f>
      </c>
      <c r="F24" s="164">
        <f>IF($O24="","",INDEX(Master!$F$2:$F$1001,$O24))</f>
      </c>
      <c r="G24" s="164">
        <f>IF($O24="","",INDEX(Master!$G$2:$G$1001,$O24))</f>
      </c>
      <c r="H24" s="164">
        <f>IF($O24="","",INDEX(Master!$H$2:$H$1001,$O24))</f>
      </c>
      <c r="I24" s="164">
        <f>IF($O24="","",INDEX(Master!$I$2:$I$1001,$O24))</f>
      </c>
      <c r="J24" s="164">
        <f>IF($O24="","",INDEX(Master!$J$2:$J$1001,$O24))</f>
      </c>
      <c r="K24" s="248">
        <f t="shared" si="0"/>
      </c>
      <c r="L24" s="164">
        <f>IF($O24="","",INDEX(Master!$K$2:$K$1001,$O24))</f>
      </c>
      <c r="M24" s="164">
        <f>IF($O24="","",INDEX(Master!$L$2:$L$1001,$O24))</f>
      </c>
      <c r="N24" s="164"/>
      <c r="O24">
        <f t="array" ref="O24">IFERROR(SMALL(IF((Master!$A$2:$A$1001="SHYAM METALLIKS")*(Master!$M$2:$M$1001="130 x 130 x 6MTR"),ROW(Master!$A$2:$A$1001)-ROW(Master!$A$2)+1),20),"")</f>
      </c>
      <c r="P24">
        <f t="shared" si="1"/>
      </c>
    </row>
    <row r="25" spans="1:16" x14ac:dyDescent="0.25">
      <c r="A25" s="234">
        <f>IF($O25="","",INDEX(Master!$D$2:$D$1001,$O25))</f>
      </c>
      <c r="B25" s="165">
        <f>IF($O25="","",INDEX(Master!$B$2:$B$1001,$O25))</f>
      </c>
      <c r="C25" s="164">
        <f>IF($O25="","",INDEX(Master!$C$2:$C$1001,$O25))</f>
      </c>
      <c r="D25" s="164">
        <f>IF($O25="","",INDEX(Master!$A$2:$A$1001,$O25))</f>
      </c>
      <c r="E25" s="164">
        <f>IF($O25="","",INDEX(Master!$E$2:$E$1001,$O25))</f>
      </c>
      <c r="F25" s="164">
        <f>IF($O25="","",INDEX(Master!$F$2:$F$1001,$O25))</f>
      </c>
      <c r="G25" s="164">
        <f>IF($O25="","",INDEX(Master!$G$2:$G$1001,$O25))</f>
      </c>
      <c r="H25" s="164">
        <f>IF($O25="","",INDEX(Master!$H$2:$H$1001,$O25))</f>
      </c>
      <c r="I25" s="164">
        <f>IF($O25="","",INDEX(Master!$I$2:$I$1001,$O25))</f>
      </c>
      <c r="J25" s="164">
        <f>IF($O25="","",INDEX(Master!$J$2:$J$1001,$O25))</f>
      </c>
      <c r="K25" s="248">
        <f t="shared" si="0"/>
      </c>
      <c r="L25" s="164">
        <f>IF($O25="","",INDEX(Master!$K$2:$K$1001,$O25))</f>
      </c>
      <c r="M25" s="164">
        <f>IF($O25="","",INDEX(Master!$L$2:$L$1001,$O25))</f>
      </c>
      <c r="N25" s="164"/>
      <c r="O25">
        <f t="array" ref="O25">IFERROR(SMALL(IF((Master!$A$2:$A$1001="SHYAM METALLIKS")*(Master!$M$2:$M$1001="130 x 130 x 6MTR"),ROW(Master!$A$2:$A$1001)-ROW(Master!$A$2)+1),21),"")</f>
      </c>
      <c r="P25">
        <f t="shared" si="1"/>
      </c>
    </row>
    <row r="26" spans="1:16" x14ac:dyDescent="0.25">
      <c r="A26" s="234">
        <f>IF($O26="","",INDEX(Master!$D$2:$D$1001,$O26))</f>
      </c>
      <c r="B26" s="165">
        <f>IF($O26="","",INDEX(Master!$B$2:$B$1001,$O26))</f>
      </c>
      <c r="C26" s="164">
        <f>IF($O26="","",INDEX(Master!$C$2:$C$1001,$O26))</f>
      </c>
      <c r="D26" s="164">
        <f>IF($O26="","",INDEX(Master!$A$2:$A$1001,$O26))</f>
      </c>
      <c r="E26" s="164">
        <f>IF($O26="","",INDEX(Master!$E$2:$E$1001,$O26))</f>
      </c>
      <c r="F26" s="164">
        <f>IF($O26="","",INDEX(Master!$F$2:$F$1001,$O26))</f>
      </c>
      <c r="G26" s="164">
        <f>IF($O26="","",INDEX(Master!$G$2:$G$1001,$O26))</f>
      </c>
      <c r="H26" s="164">
        <f>IF($O26="","",INDEX(Master!$H$2:$H$1001,$O26))</f>
      </c>
      <c r="I26" s="164">
        <f>IF($O26="","",INDEX(Master!$I$2:$I$1001,$O26))</f>
      </c>
      <c r="J26" s="164">
        <f>IF($O26="","",INDEX(Master!$J$2:$J$1001,$O26))</f>
      </c>
      <c r="K26" s="248">
        <f t="shared" si="0"/>
      </c>
      <c r="L26" s="164">
        <f>IF($O26="","",INDEX(Master!$K$2:$K$1001,$O26))</f>
      </c>
      <c r="M26" s="164">
        <f>IF($O26="","",INDEX(Master!$L$2:$L$1001,$O26))</f>
      </c>
      <c r="N26" s="164"/>
      <c r="O26">
        <f t="array" ref="O26">IFERROR(SMALL(IF((Master!$A$2:$A$1001="SHYAM METALLIKS")*(Master!$M$2:$M$1001="130 x 130 x 6MTR"),ROW(Master!$A$2:$A$1001)-ROW(Master!$A$2)+1),22),"")</f>
      </c>
      <c r="P26">
        <f t="shared" si="1"/>
      </c>
    </row>
    <row r="27" spans="1:16" x14ac:dyDescent="0.25">
      <c r="A27" s="234">
        <f>IF($O27="","",INDEX(Master!$D$2:$D$1001,$O27))</f>
      </c>
      <c r="B27" s="165">
        <f>IF($O27="","",INDEX(Master!$B$2:$B$1001,$O27))</f>
      </c>
      <c r="C27" s="164">
        <f>IF($O27="","",INDEX(Master!$C$2:$C$1001,$O27))</f>
      </c>
      <c r="D27" s="164">
        <f>IF($O27="","",INDEX(Master!$A$2:$A$1001,$O27))</f>
      </c>
      <c r="E27" s="164">
        <f>IF($O27="","",INDEX(Master!$E$2:$E$1001,$O27))</f>
      </c>
      <c r="F27" s="164">
        <f>IF($O27="","",INDEX(Master!$F$2:$F$1001,$O27))</f>
      </c>
      <c r="G27" s="164">
        <f>IF($O27="","",INDEX(Master!$G$2:$G$1001,$O27))</f>
      </c>
      <c r="H27" s="164">
        <f>IF($O27="","",INDEX(Master!$H$2:$H$1001,$O27))</f>
      </c>
      <c r="I27" s="164">
        <f>IF($O27="","",INDEX(Master!$I$2:$I$1001,$O27))</f>
      </c>
      <c r="J27" s="164">
        <f>IF($O27="","",INDEX(Master!$J$2:$J$1001,$O27))</f>
      </c>
      <c r="K27" s="248">
        <f t="shared" si="0"/>
      </c>
      <c r="L27" s="164">
        <f>IF($O27="","",INDEX(Master!$K$2:$K$1001,$O27))</f>
      </c>
      <c r="M27" s="164">
        <f>IF($O27="","",INDEX(Master!$L$2:$L$1001,$O27))</f>
      </c>
      <c r="N27" s="164"/>
      <c r="O27">
        <f t="array" ref="O27">IFERROR(SMALL(IF((Master!$A$2:$A$1001="SHYAM METALLIKS")*(Master!$M$2:$M$1001="130 x 130 x 6MTR"),ROW(Master!$A$2:$A$1001)-ROW(Master!$A$2)+1),23),"")</f>
      </c>
      <c r="P27">
        <f t="shared" si="1"/>
      </c>
    </row>
    <row r="28" spans="1:16" x14ac:dyDescent="0.25">
      <c r="A28" s="234">
        <f>IF($O28="","",INDEX(Master!$D$2:$D$1001,$O28))</f>
      </c>
      <c r="B28" s="165">
        <f>IF($O28="","",INDEX(Master!$B$2:$B$1001,$O28))</f>
      </c>
      <c r="C28" s="164">
        <f>IF($O28="","",INDEX(Master!$C$2:$C$1001,$O28))</f>
      </c>
      <c r="D28" s="164">
        <f>IF($O28="","",INDEX(Master!$A$2:$A$1001,$O28))</f>
      </c>
      <c r="E28" s="164">
        <f>IF($O28="","",INDEX(Master!$E$2:$E$1001,$O28))</f>
      </c>
      <c r="F28" s="164">
        <f>IF($O28="","",INDEX(Master!$F$2:$F$1001,$O28))</f>
      </c>
      <c r="G28" s="164">
        <f>IF($O28="","",INDEX(Master!$G$2:$G$1001,$O28))</f>
      </c>
      <c r="H28" s="164">
        <f>IF($O28="","",INDEX(Master!$H$2:$H$1001,$O28))</f>
      </c>
      <c r="I28" s="164">
        <f>IF($O28="","",INDEX(Master!$I$2:$I$1001,$O28))</f>
      </c>
      <c r="J28" s="164">
        <f>IF($O28="","",INDEX(Master!$J$2:$J$1001,$O28))</f>
      </c>
      <c r="K28" s="248">
        <f t="shared" si="0"/>
      </c>
      <c r="L28" s="164">
        <f>IF($O28="","",INDEX(Master!$K$2:$K$1001,$O28))</f>
      </c>
      <c r="M28" s="164">
        <f>IF($O28="","",INDEX(Master!$L$2:$L$1001,$O28))</f>
      </c>
      <c r="N28" s="164"/>
      <c r="O28">
        <f t="array" ref="O28">IFERROR(SMALL(IF((Master!$A$2:$A$1001="SHYAM METALLIKS")*(Master!$M$2:$M$1001="130 x 130 x 6MTR"),ROW(Master!$A$2:$A$1001)-ROW(Master!$A$2)+1),24),"")</f>
      </c>
      <c r="P28">
        <f t="shared" si="1"/>
      </c>
    </row>
    <row r="29" spans="1:16" x14ac:dyDescent="0.25">
      <c r="A29" s="234">
        <f>IF($O29="","",INDEX(Master!$D$2:$D$1001,$O29))</f>
      </c>
      <c r="B29" s="165">
        <f>IF($O29="","",INDEX(Master!$B$2:$B$1001,$O29))</f>
      </c>
      <c r="C29" s="164">
        <f>IF($O29="","",INDEX(Master!$C$2:$C$1001,$O29))</f>
      </c>
      <c r="D29" s="164">
        <f>IF($O29="","",INDEX(Master!$A$2:$A$1001,$O29))</f>
      </c>
      <c r="E29" s="164">
        <f>IF($O29="","",INDEX(Master!$E$2:$E$1001,$O29))</f>
      </c>
      <c r="F29" s="164">
        <f>IF($O29="","",INDEX(Master!$F$2:$F$1001,$O29))</f>
      </c>
      <c r="G29" s="164">
        <f>IF($O29="","",INDEX(Master!$G$2:$G$1001,$O29))</f>
      </c>
      <c r="H29" s="164">
        <f>IF($O29="","",INDEX(Master!$H$2:$H$1001,$O29))</f>
      </c>
      <c r="I29" s="164">
        <f>IF($O29="","",INDEX(Master!$I$2:$I$1001,$O29))</f>
      </c>
      <c r="J29" s="164">
        <f>IF($O29="","",INDEX(Master!$J$2:$J$1001,$O29))</f>
      </c>
      <c r="K29" s="248">
        <f t="shared" si="0"/>
      </c>
      <c r="L29" s="164">
        <f>IF($O29="","",INDEX(Master!$K$2:$K$1001,$O29))</f>
      </c>
      <c r="M29" s="164">
        <f>IF($O29="","",INDEX(Master!$L$2:$L$1001,$O29))</f>
      </c>
      <c r="N29" s="164"/>
      <c r="O29">
        <f t="array" ref="O29">IFERROR(SMALL(IF((Master!$A$2:$A$1001="SHYAM METALLIKS")*(Master!$M$2:$M$1001="130 x 130 x 6MTR"),ROW(Master!$A$2:$A$1001)-ROW(Master!$A$2)+1),25),"")</f>
      </c>
      <c r="P29">
        <f t="shared" si="1"/>
      </c>
    </row>
    <row r="30" spans="1:16" x14ac:dyDescent="0.25">
      <c r="A30" s="234">
        <f>IF($O30="","",INDEX(Master!$D$2:$D$1001,$O30))</f>
      </c>
      <c r="B30" s="165">
        <f>IF($O30="","",INDEX(Master!$B$2:$B$1001,$O30))</f>
      </c>
      <c r="C30" s="164">
        <f>IF($O30="","",INDEX(Master!$C$2:$C$1001,$O30))</f>
      </c>
      <c r="D30" s="164">
        <f>IF($O30="","",INDEX(Master!$A$2:$A$1001,$O30))</f>
      </c>
      <c r="E30" s="164">
        <f>IF($O30="","",INDEX(Master!$E$2:$E$1001,$O30))</f>
      </c>
      <c r="F30" s="164">
        <f>IF($O30="","",INDEX(Master!$F$2:$F$1001,$O30))</f>
      </c>
      <c r="G30" s="164">
        <f>IF($O30="","",INDEX(Master!$G$2:$G$1001,$O30))</f>
      </c>
      <c r="H30" s="164">
        <f>IF($O30="","",INDEX(Master!$H$2:$H$1001,$O30))</f>
      </c>
      <c r="I30" s="164">
        <f>IF($O30="","",INDEX(Master!$I$2:$I$1001,$O30))</f>
      </c>
      <c r="J30" s="164">
        <f>IF($O30="","",INDEX(Master!$J$2:$J$1001,$O30))</f>
      </c>
      <c r="K30" s="248">
        <f t="shared" si="0"/>
      </c>
      <c r="L30" s="164">
        <f>IF($O30="","",INDEX(Master!$K$2:$K$1001,$O30))</f>
      </c>
      <c r="M30" s="164">
        <f>IF($O30="","",INDEX(Master!$L$2:$L$1001,$O30))</f>
      </c>
      <c r="N30" s="164"/>
      <c r="O30">
        <f t="array" ref="O30">IFERROR(SMALL(IF((Master!$A$2:$A$1001="SHYAM METALLIKS")*(Master!$M$2:$M$1001="130 x 130 x 6MTR"),ROW(Master!$A$2:$A$1001)-ROW(Master!$A$2)+1),26),"")</f>
      </c>
      <c r="P30">
        <f t="shared" si="1"/>
      </c>
    </row>
    <row r="31" spans="1:16" x14ac:dyDescent="0.25">
      <c r="A31" s="234">
        <f>IF($O31="","",INDEX(Master!$D$2:$D$1001,$O31))</f>
      </c>
      <c r="B31" s="165">
        <f>IF($O31="","",INDEX(Master!$B$2:$B$1001,$O31))</f>
      </c>
      <c r="C31" s="164">
        <f>IF($O31="","",INDEX(Master!$C$2:$C$1001,$O31))</f>
      </c>
      <c r="D31" s="164">
        <f>IF($O31="","",INDEX(Master!$A$2:$A$1001,$O31))</f>
      </c>
      <c r="E31" s="164">
        <f>IF($O31="","",INDEX(Master!$E$2:$E$1001,$O31))</f>
      </c>
      <c r="F31" s="164">
        <f>IF($O31="","",INDEX(Master!$F$2:$F$1001,$O31))</f>
      </c>
      <c r="G31" s="164">
        <f>IF($O31="","",INDEX(Master!$G$2:$G$1001,$O31))</f>
      </c>
      <c r="H31" s="164">
        <f>IF($O31="","",INDEX(Master!$H$2:$H$1001,$O31))</f>
      </c>
      <c r="I31" s="164">
        <f>IF($O31="","",INDEX(Master!$I$2:$I$1001,$O31))</f>
      </c>
      <c r="J31" s="164">
        <f>IF($O31="","",INDEX(Master!$J$2:$J$1001,$O31))</f>
      </c>
      <c r="K31" s="248">
        <f t="shared" si="0"/>
      </c>
      <c r="L31" s="164">
        <f>IF($O31="","",INDEX(Master!$K$2:$K$1001,$O31))</f>
      </c>
      <c r="M31" s="164">
        <f>IF($O31="","",INDEX(Master!$L$2:$L$1001,$O31))</f>
      </c>
      <c r="N31" s="164"/>
      <c r="O31">
        <f t="array" ref="O31">IFERROR(SMALL(IF((Master!$A$2:$A$1001="SHYAM METALLIKS")*(Master!$M$2:$M$1001="130 x 130 x 6MTR"),ROW(Master!$A$2:$A$1001)-ROW(Master!$A$2)+1),27),"")</f>
      </c>
      <c r="P31">
        <f t="shared" si="1"/>
      </c>
    </row>
    <row r="32" spans="1:16" x14ac:dyDescent="0.25">
      <c r="A32" s="234">
        <f>IF($O32="","",INDEX(Master!$D$2:$D$1001,$O32))</f>
      </c>
      <c r="B32" s="165">
        <f>IF($O32="","",INDEX(Master!$B$2:$B$1001,$O32))</f>
      </c>
      <c r="C32" s="164">
        <f>IF($O32="","",INDEX(Master!$C$2:$C$1001,$O32))</f>
      </c>
      <c r="D32" s="164">
        <f>IF($O32="","",INDEX(Master!$A$2:$A$1001,$O32))</f>
      </c>
      <c r="E32" s="164">
        <f>IF($O32="","",INDEX(Master!$E$2:$E$1001,$O32))</f>
      </c>
      <c r="F32" s="164">
        <f>IF($O32="","",INDEX(Master!$F$2:$F$1001,$O32))</f>
      </c>
      <c r="G32" s="164">
        <f>IF($O32="","",INDEX(Master!$G$2:$G$1001,$O32))</f>
      </c>
      <c r="H32" s="164">
        <f>IF($O32="","",INDEX(Master!$H$2:$H$1001,$O32))</f>
      </c>
      <c r="I32" s="164">
        <f>IF($O32="","",INDEX(Master!$I$2:$I$1001,$O32))</f>
      </c>
      <c r="J32" s="164">
        <f>IF($O32="","",INDEX(Master!$J$2:$J$1001,$O32))</f>
      </c>
      <c r="K32" s="248">
        <f t="shared" si="0"/>
      </c>
      <c r="L32" s="164">
        <f>IF($O32="","",INDEX(Master!$K$2:$K$1001,$O32))</f>
      </c>
      <c r="M32" s="164">
        <f>IF($O32="","",INDEX(Master!$L$2:$L$1001,$O32))</f>
      </c>
      <c r="N32" s="164"/>
      <c r="O32">
        <f t="array" ref="O32">IFERROR(SMALL(IF((Master!$A$2:$A$1001="SHYAM METALLIKS")*(Master!$M$2:$M$1001="130 x 130 x 6MTR"),ROW(Master!$A$2:$A$1001)-ROW(Master!$A$2)+1),28),"")</f>
      </c>
      <c r="P32">
        <f t="shared" si="1"/>
      </c>
    </row>
    <row r="33" spans="1:16" x14ac:dyDescent="0.25">
      <c r="A33" s="234">
        <f>IF($O33="","",INDEX(Master!$D$2:$D$1001,$O33))</f>
      </c>
      <c r="B33" s="165">
        <f>IF($O33="","",INDEX(Master!$B$2:$B$1001,$O33))</f>
      </c>
      <c r="C33" s="164">
        <f>IF($O33="","",INDEX(Master!$C$2:$C$1001,$O33))</f>
      </c>
      <c r="D33" s="164">
        <f>IF($O33="","",INDEX(Master!$A$2:$A$1001,$O33))</f>
      </c>
      <c r="E33" s="164">
        <f>IF($O33="","",INDEX(Master!$E$2:$E$1001,$O33))</f>
      </c>
      <c r="F33" s="164">
        <f>IF($O33="","",INDEX(Master!$F$2:$F$1001,$O33))</f>
      </c>
      <c r="G33" s="164">
        <f>IF($O33="","",INDEX(Master!$G$2:$G$1001,$O33))</f>
      </c>
      <c r="H33" s="164">
        <f>IF($O33="","",INDEX(Master!$H$2:$H$1001,$O33))</f>
      </c>
      <c r="I33" s="164">
        <f>IF($O33="","",INDEX(Master!$I$2:$I$1001,$O33))</f>
      </c>
      <c r="J33" s="164">
        <f>IF($O33="","",INDEX(Master!$J$2:$J$1001,$O33))</f>
      </c>
      <c r="K33" s="248">
        <f t="shared" si="0"/>
      </c>
      <c r="L33" s="164">
        <f>IF($O33="","",INDEX(Master!$K$2:$K$1001,$O33))</f>
      </c>
      <c r="M33" s="164">
        <f>IF($O33="","",INDEX(Master!$L$2:$L$1001,$O33))</f>
      </c>
      <c r="N33" s="164"/>
      <c r="O33">
        <f t="array" ref="O33">IFERROR(SMALL(IF((Master!$A$2:$A$1001="SHYAM METALLIKS")*(Master!$M$2:$M$1001="130 x 130 x 6MTR"),ROW(Master!$A$2:$A$1001)-ROW(Master!$A$2)+1),29),"")</f>
      </c>
      <c r="P33">
        <f t="shared" si="1"/>
      </c>
    </row>
    <row r="34" spans="1:16" x14ac:dyDescent="0.25">
      <c r="A34" s="234">
        <f>IF($O34="","",INDEX(Master!$D$2:$D$1001,$O34))</f>
      </c>
      <c r="B34" s="165">
        <f>IF($O34="","",INDEX(Master!$B$2:$B$1001,$O34))</f>
      </c>
      <c r="C34" s="164">
        <f>IF($O34="","",INDEX(Master!$C$2:$C$1001,$O34))</f>
      </c>
      <c r="D34" s="164">
        <f>IF($O34="","",INDEX(Master!$A$2:$A$1001,$O34))</f>
      </c>
      <c r="E34" s="164">
        <f>IF($O34="","",INDEX(Master!$E$2:$E$1001,$O34))</f>
      </c>
      <c r="F34" s="164">
        <f>IF($O34="","",INDEX(Master!$F$2:$F$1001,$O34))</f>
      </c>
      <c r="G34" s="164">
        <f>IF($O34="","",INDEX(Master!$G$2:$G$1001,$O34))</f>
      </c>
      <c r="H34" s="164">
        <f>IF($O34="","",INDEX(Master!$H$2:$H$1001,$O34))</f>
      </c>
      <c r="I34" s="164">
        <f>IF($O34="","",INDEX(Master!$I$2:$I$1001,$O34))</f>
      </c>
      <c r="J34" s="164">
        <f>IF($O34="","",INDEX(Master!$J$2:$J$1001,$O34))</f>
      </c>
      <c r="K34" s="248">
        <f t="shared" si="0"/>
      </c>
      <c r="L34" s="164">
        <f>IF($O34="","",INDEX(Master!$K$2:$K$1001,$O34))</f>
      </c>
      <c r="M34" s="164">
        <f>IF($O34="","",INDEX(Master!$L$2:$L$1001,$O34))</f>
      </c>
      <c r="N34" s="164"/>
      <c r="O34">
        <f t="array" ref="O34">IFERROR(SMALL(IF((Master!$A$2:$A$1001="SHYAM METALLIKS")*(Master!$M$2:$M$1001="130 x 130 x 6MTR"),ROW(Master!$A$2:$A$1001)-ROW(Master!$A$2)+1),30),"")</f>
      </c>
      <c r="P34">
        <f t="shared" si="1"/>
      </c>
    </row>
    <row r="35" spans="1:16" x14ac:dyDescent="0.25">
      <c r="A35" s="234">
        <f>IF($O35="","",INDEX(Master!$D$2:$D$1001,$O35))</f>
      </c>
      <c r="B35" s="165">
        <f>IF($O35="","",INDEX(Master!$B$2:$B$1001,$O35))</f>
      </c>
      <c r="C35" s="164">
        <f>IF($O35="","",INDEX(Master!$C$2:$C$1001,$O35))</f>
      </c>
      <c r="D35" s="164">
        <f>IF($O35="","",INDEX(Master!$A$2:$A$1001,$O35))</f>
      </c>
      <c r="E35" s="164">
        <f>IF($O35="","",INDEX(Master!$E$2:$E$1001,$O35))</f>
      </c>
      <c r="F35" s="164">
        <f>IF($O35="","",INDEX(Master!$F$2:$F$1001,$O35))</f>
      </c>
      <c r="G35" s="164">
        <f>IF($O35="","",INDEX(Master!$G$2:$G$1001,$O35))</f>
      </c>
      <c r="H35" s="164">
        <f>IF($O35="","",INDEX(Master!$H$2:$H$1001,$O35))</f>
      </c>
      <c r="I35" s="164">
        <f>IF($O35="","",INDEX(Master!$I$2:$I$1001,$O35))</f>
      </c>
      <c r="J35" s="164">
        <f>IF($O35="","",INDEX(Master!$J$2:$J$1001,$O35))</f>
      </c>
      <c r="K35" s="248">
        <f t="shared" si="0"/>
      </c>
      <c r="L35" s="164">
        <f>IF($O35="","",INDEX(Master!$K$2:$K$1001,$O35))</f>
      </c>
      <c r="M35" s="164">
        <f>IF($O35="","",INDEX(Master!$L$2:$L$1001,$O35))</f>
      </c>
      <c r="N35" s="164"/>
      <c r="O35">
        <f t="array" ref="O35">IFERROR(SMALL(IF((Master!$A$2:$A$1001="SHYAM METALLIKS")*(Master!$M$2:$M$1001="130 x 130 x 6MTR"),ROW(Master!$A$2:$A$1001)-ROW(Master!$A$2)+1),31),"")</f>
      </c>
      <c r="P35">
        <f t="shared" si="1"/>
      </c>
    </row>
    <row r="36" spans="1:16" x14ac:dyDescent="0.25">
      <c r="A36" s="234">
        <f>IF($O36="","",INDEX(Master!$D$2:$D$1001,$O36))</f>
      </c>
      <c r="B36" s="165">
        <f>IF($O36="","",INDEX(Master!$B$2:$B$1001,$O36))</f>
      </c>
      <c r="C36" s="164">
        <f>IF($O36="","",INDEX(Master!$C$2:$C$1001,$O36))</f>
      </c>
      <c r="D36" s="164">
        <f>IF($O36="","",INDEX(Master!$A$2:$A$1001,$O36))</f>
      </c>
      <c r="E36" s="164">
        <f>IF($O36="","",INDEX(Master!$E$2:$E$1001,$O36))</f>
      </c>
      <c r="F36" s="164">
        <f>IF($O36="","",INDEX(Master!$F$2:$F$1001,$O36))</f>
      </c>
      <c r="G36" s="164">
        <f>IF($O36="","",INDEX(Master!$G$2:$G$1001,$O36))</f>
      </c>
      <c r="H36" s="164">
        <f>IF($O36="","",INDEX(Master!$H$2:$H$1001,$O36))</f>
      </c>
      <c r="I36" s="164">
        <f>IF($O36="","",INDEX(Master!$I$2:$I$1001,$O36))</f>
      </c>
      <c r="J36" s="164">
        <f>IF($O36="","",INDEX(Master!$J$2:$J$1001,$O36))</f>
      </c>
      <c r="K36" s="248">
        <f t="shared" si="0"/>
      </c>
      <c r="L36" s="164">
        <f>IF($O36="","",INDEX(Master!$K$2:$K$1001,$O36))</f>
      </c>
      <c r="M36" s="164">
        <f>IF($O36="","",INDEX(Master!$L$2:$L$1001,$O36))</f>
      </c>
      <c r="N36" s="164"/>
      <c r="O36">
        <f t="array" ref="O36">IFERROR(SMALL(IF((Master!$A$2:$A$1001="SHYAM METALLIKS")*(Master!$M$2:$M$1001="130 x 130 x 6MTR"),ROW(Master!$A$2:$A$1001)-ROW(Master!$A$2)+1),32),"")</f>
      </c>
      <c r="P36">
        <f t="shared" si="1"/>
      </c>
    </row>
    <row r="37" spans="1:16" x14ac:dyDescent="0.25">
      <c r="A37" s="234">
        <f>IF($O37="","",INDEX(Master!$D$2:$D$1001,$O37))</f>
      </c>
      <c r="B37" s="165">
        <f>IF($O37="","",INDEX(Master!$B$2:$B$1001,$O37))</f>
      </c>
      <c r="C37" s="164">
        <f>IF($O37="","",INDEX(Master!$C$2:$C$1001,$O37))</f>
      </c>
      <c r="D37" s="164">
        <f>IF($O37="","",INDEX(Master!$A$2:$A$1001,$O37))</f>
      </c>
      <c r="E37" s="164">
        <f>IF($O37="","",INDEX(Master!$E$2:$E$1001,$O37))</f>
      </c>
      <c r="F37" s="164">
        <f>IF($O37="","",INDEX(Master!$F$2:$F$1001,$O37))</f>
      </c>
      <c r="G37" s="164">
        <f>IF($O37="","",INDEX(Master!$G$2:$G$1001,$O37))</f>
      </c>
      <c r="H37" s="164">
        <f>IF($O37="","",INDEX(Master!$H$2:$H$1001,$O37))</f>
      </c>
      <c r="I37" s="164">
        <f>IF($O37="","",INDEX(Master!$I$2:$I$1001,$O37))</f>
      </c>
      <c r="J37" s="164">
        <f>IF($O37="","",INDEX(Master!$J$2:$J$1001,$O37))</f>
      </c>
      <c r="K37" s="248">
        <f t="shared" si="0"/>
      </c>
      <c r="L37" s="164">
        <f>IF($O37="","",INDEX(Master!$K$2:$K$1001,$O37))</f>
      </c>
      <c r="M37" s="164">
        <f>IF($O37="","",INDEX(Master!$L$2:$L$1001,$O37))</f>
      </c>
      <c r="N37" s="164"/>
      <c r="O37">
        <f t="array" ref="O37">IFERROR(SMALL(IF((Master!$A$2:$A$1001="SHYAM METALLIKS")*(Master!$M$2:$M$1001="130 x 130 x 6MTR"),ROW(Master!$A$2:$A$1001)-ROW(Master!$A$2)+1),33),"")</f>
      </c>
      <c r="P37">
        <f t="shared" si="1"/>
      </c>
    </row>
    <row r="38" spans="1:16" x14ac:dyDescent="0.25">
      <c r="A38" s="234">
        <f>IF($O38="","",INDEX(Master!$D$2:$D$1001,$O38))</f>
      </c>
      <c r="B38" s="165">
        <f>IF($O38="","",INDEX(Master!$B$2:$B$1001,$O38))</f>
      </c>
      <c r="C38" s="164">
        <f>IF($O38="","",INDEX(Master!$C$2:$C$1001,$O38))</f>
      </c>
      <c r="D38" s="164">
        <f>IF($O38="","",INDEX(Master!$A$2:$A$1001,$O38))</f>
      </c>
      <c r="E38" s="164">
        <f>IF($O38="","",INDEX(Master!$E$2:$E$1001,$O38))</f>
      </c>
      <c r="F38" s="164">
        <f>IF($O38="","",INDEX(Master!$F$2:$F$1001,$O38))</f>
      </c>
      <c r="G38" s="164">
        <f>IF($O38="","",INDEX(Master!$G$2:$G$1001,$O38))</f>
      </c>
      <c r="H38" s="164">
        <f>IF($O38="","",INDEX(Master!$H$2:$H$1001,$O38))</f>
      </c>
      <c r="I38" s="164">
        <f>IF($O38="","",INDEX(Master!$I$2:$I$1001,$O38))</f>
      </c>
      <c r="J38" s="164">
        <f>IF($O38="","",INDEX(Master!$J$2:$J$1001,$O38))</f>
      </c>
      <c r="K38" s="248">
        <f t="shared" si="0"/>
      </c>
      <c r="L38" s="164">
        <f>IF($O38="","",INDEX(Master!$K$2:$K$1001,$O38))</f>
      </c>
      <c r="M38" s="164">
        <f>IF($O38="","",INDEX(Master!$L$2:$L$1001,$O38))</f>
      </c>
      <c r="N38" s="164"/>
      <c r="O38">
        <f t="array" ref="O38">IFERROR(SMALL(IF((Master!$A$2:$A$1001="SHYAM METALLIKS")*(Master!$M$2:$M$1001="130 x 130 x 6MTR"),ROW(Master!$A$2:$A$1001)-ROW(Master!$A$2)+1),34),"")</f>
      </c>
      <c r="P38">
        <f t="shared" si="1"/>
      </c>
    </row>
    <row r="39" spans="1:16" x14ac:dyDescent="0.25">
      <c r="A39" s="234">
        <f>IF($O39="","",INDEX(Master!$D$2:$D$1001,$O39))</f>
      </c>
      <c r="B39" s="165">
        <f>IF($O39="","",INDEX(Master!$B$2:$B$1001,$O39))</f>
      </c>
      <c r="C39" s="164">
        <f>IF($O39="","",INDEX(Master!$C$2:$C$1001,$O39))</f>
      </c>
      <c r="D39" s="164">
        <f>IF($O39="","",INDEX(Master!$A$2:$A$1001,$O39))</f>
      </c>
      <c r="E39" s="164">
        <f>IF($O39="","",INDEX(Master!$E$2:$E$1001,$O39))</f>
      </c>
      <c r="F39" s="164">
        <f>IF($O39="","",INDEX(Master!$F$2:$F$1001,$O39))</f>
      </c>
      <c r="G39" s="164">
        <f>IF($O39="","",INDEX(Master!$G$2:$G$1001,$O39))</f>
      </c>
      <c r="H39" s="164">
        <f>IF($O39="","",INDEX(Master!$H$2:$H$1001,$O39))</f>
      </c>
      <c r="I39" s="164">
        <f>IF($O39="","",INDEX(Master!$I$2:$I$1001,$O39))</f>
      </c>
      <c r="J39" s="164">
        <f>IF($O39="","",INDEX(Master!$J$2:$J$1001,$O39))</f>
      </c>
      <c r="K39" s="248">
        <f t="shared" si="0"/>
      </c>
      <c r="L39" s="164">
        <f>IF($O39="","",INDEX(Master!$K$2:$K$1001,$O39))</f>
      </c>
      <c r="M39" s="164">
        <f>IF($O39="","",INDEX(Master!$L$2:$L$1001,$O39))</f>
      </c>
      <c r="N39" s="164"/>
      <c r="O39">
        <f t="array" ref="O39">IFERROR(SMALL(IF((Master!$A$2:$A$1001="SHYAM METALLIKS")*(Master!$M$2:$M$1001="130 x 130 x 6MTR"),ROW(Master!$A$2:$A$1001)-ROW(Master!$A$2)+1),35),"")</f>
      </c>
      <c r="P39">
        <f t="shared" si="1"/>
      </c>
    </row>
    <row r="40" spans="1:16" x14ac:dyDescent="0.25">
      <c r="A40" s="234">
        <f>IF($O40="","",INDEX(Master!$D$2:$D$1001,$O40))</f>
      </c>
      <c r="B40" s="165">
        <f>IF($O40="","",INDEX(Master!$B$2:$B$1001,$O40))</f>
      </c>
      <c r="C40" s="164">
        <f>IF($O40="","",INDEX(Master!$C$2:$C$1001,$O40))</f>
      </c>
      <c r="D40" s="164">
        <f>IF($O40="","",INDEX(Master!$A$2:$A$1001,$O40))</f>
      </c>
      <c r="E40" s="164">
        <f>IF($O40="","",INDEX(Master!$E$2:$E$1001,$O40))</f>
      </c>
      <c r="F40" s="164">
        <f>IF($O40="","",INDEX(Master!$F$2:$F$1001,$O40))</f>
      </c>
      <c r="G40" s="164">
        <f>IF($O40="","",INDEX(Master!$G$2:$G$1001,$O40))</f>
      </c>
      <c r="H40" s="164">
        <f>IF($O40="","",INDEX(Master!$H$2:$H$1001,$O40))</f>
      </c>
      <c r="I40" s="164">
        <f>IF($O40="","",INDEX(Master!$I$2:$I$1001,$O40))</f>
      </c>
      <c r="J40" s="164">
        <f>IF($O40="","",INDEX(Master!$J$2:$J$1001,$O40))</f>
      </c>
      <c r="K40" s="248">
        <f t="shared" si="0"/>
      </c>
      <c r="L40" s="164">
        <f>IF($O40="","",INDEX(Master!$K$2:$K$1001,$O40))</f>
      </c>
      <c r="M40" s="164">
        <f>IF($O40="","",INDEX(Master!$L$2:$L$1001,$O40))</f>
      </c>
      <c r="N40" s="164"/>
      <c r="O40">
        <f t="array" ref="O40">IFERROR(SMALL(IF((Master!$A$2:$A$1001="SHYAM METALLIKS")*(Master!$M$2:$M$1001="130 x 130 x 6MTR"),ROW(Master!$A$2:$A$1001)-ROW(Master!$A$2)+1),36),"")</f>
      </c>
      <c r="P40">
        <f t="shared" si="1"/>
      </c>
    </row>
    <row r="41" spans="1:16" x14ac:dyDescent="0.25">
      <c r="A41" s="234">
        <f>IF($O41="","",INDEX(Master!$D$2:$D$1001,$O41))</f>
      </c>
      <c r="B41" s="165">
        <f>IF($O41="","",INDEX(Master!$B$2:$B$1001,$O41))</f>
      </c>
      <c r="C41" s="164">
        <f>IF($O41="","",INDEX(Master!$C$2:$C$1001,$O41))</f>
      </c>
      <c r="D41" s="164">
        <f>IF($O41="","",INDEX(Master!$A$2:$A$1001,$O41))</f>
      </c>
      <c r="E41" s="164">
        <f>IF($O41="","",INDEX(Master!$E$2:$E$1001,$O41))</f>
      </c>
      <c r="F41" s="164">
        <f>IF($O41="","",INDEX(Master!$F$2:$F$1001,$O41))</f>
      </c>
      <c r="G41" s="164">
        <f>IF($O41="","",INDEX(Master!$G$2:$G$1001,$O41))</f>
      </c>
      <c r="H41" s="164">
        <f>IF($O41="","",INDEX(Master!$H$2:$H$1001,$O41))</f>
      </c>
      <c r="I41" s="164">
        <f>IF($O41="","",INDEX(Master!$I$2:$I$1001,$O41))</f>
      </c>
      <c r="J41" s="164">
        <f>IF($O41="","",INDEX(Master!$J$2:$J$1001,$O41))</f>
      </c>
      <c r="K41" s="248">
        <f t="shared" si="0"/>
      </c>
      <c r="L41" s="164">
        <f>IF($O41="","",INDEX(Master!$K$2:$K$1001,$O41))</f>
      </c>
      <c r="M41" s="164">
        <f>IF($O41="","",INDEX(Master!$L$2:$L$1001,$O41))</f>
      </c>
      <c r="N41" s="164"/>
      <c r="O41">
        <f t="array" ref="O41">IFERROR(SMALL(IF((Master!$A$2:$A$1001="SHYAM METALLIKS")*(Master!$M$2:$M$1001="130 x 130 x 6MTR"),ROW(Master!$A$2:$A$1001)-ROW(Master!$A$2)+1),37),"")</f>
      </c>
      <c r="P41">
        <f t="shared" si="1"/>
      </c>
    </row>
    <row r="42" spans="1:16" x14ac:dyDescent="0.25">
      <c r="A42" s="234">
        <f>IF($O42="","",INDEX(Master!$D$2:$D$1001,$O42))</f>
      </c>
      <c r="B42" s="165">
        <f>IF($O42="","",INDEX(Master!$B$2:$B$1001,$O42))</f>
      </c>
      <c r="C42" s="164">
        <f>IF($O42="","",INDEX(Master!$C$2:$C$1001,$O42))</f>
      </c>
      <c r="D42" s="164">
        <f>IF($O42="","",INDEX(Master!$A$2:$A$1001,$O42))</f>
      </c>
      <c r="E42" s="164">
        <f>IF($O42="","",INDEX(Master!$E$2:$E$1001,$O42))</f>
      </c>
      <c r="F42" s="164">
        <f>IF($O42="","",INDEX(Master!$F$2:$F$1001,$O42))</f>
      </c>
      <c r="G42" s="164">
        <f>IF($O42="","",INDEX(Master!$G$2:$G$1001,$O42))</f>
      </c>
      <c r="H42" s="164">
        <f>IF($O42="","",INDEX(Master!$H$2:$H$1001,$O42))</f>
      </c>
      <c r="I42" s="164">
        <f>IF($O42="","",INDEX(Master!$I$2:$I$1001,$O42))</f>
      </c>
      <c r="J42" s="164">
        <f>IF($O42="","",INDEX(Master!$J$2:$J$1001,$O42))</f>
      </c>
      <c r="K42" s="248">
        <f t="shared" si="0"/>
      </c>
      <c r="L42" s="164">
        <f>IF($O42="","",INDEX(Master!$K$2:$K$1001,$O42))</f>
      </c>
      <c r="M42" s="164">
        <f>IF($O42="","",INDEX(Master!$L$2:$L$1001,$O42))</f>
      </c>
      <c r="N42" s="164"/>
      <c r="O42">
        <f t="array" ref="O42">IFERROR(SMALL(IF((Master!$A$2:$A$1001="SHYAM METALLIKS")*(Master!$M$2:$M$1001="130 x 130 x 6MTR"),ROW(Master!$A$2:$A$1001)-ROW(Master!$A$2)+1),38),"")</f>
      </c>
      <c r="P42">
        <f t="shared" si="1"/>
      </c>
    </row>
    <row r="43" spans="1:16" x14ac:dyDescent="0.25">
      <c r="A43" s="234">
        <f>IF($O43="","",INDEX(Master!$D$2:$D$1001,$O43))</f>
      </c>
      <c r="B43" s="165">
        <f>IF($O43="","",INDEX(Master!$B$2:$B$1001,$O43))</f>
      </c>
      <c r="C43" s="164">
        <f>IF($O43="","",INDEX(Master!$C$2:$C$1001,$O43))</f>
      </c>
      <c r="D43" s="164">
        <f>IF($O43="","",INDEX(Master!$A$2:$A$1001,$O43))</f>
      </c>
      <c r="E43" s="164">
        <f>IF($O43="","",INDEX(Master!$E$2:$E$1001,$O43))</f>
      </c>
      <c r="F43" s="164">
        <f>IF($O43="","",INDEX(Master!$F$2:$F$1001,$O43))</f>
      </c>
      <c r="G43" s="164">
        <f>IF($O43="","",INDEX(Master!$G$2:$G$1001,$O43))</f>
      </c>
      <c r="H43" s="164">
        <f>IF($O43="","",INDEX(Master!$H$2:$H$1001,$O43))</f>
      </c>
      <c r="I43" s="164">
        <f>IF($O43="","",INDEX(Master!$I$2:$I$1001,$O43))</f>
      </c>
      <c r="J43" s="164">
        <f>IF($O43="","",INDEX(Master!$J$2:$J$1001,$O43))</f>
      </c>
      <c r="K43" s="248">
        <f t="shared" si="0"/>
      </c>
      <c r="L43" s="164">
        <f>IF($O43="","",INDEX(Master!$K$2:$K$1001,$O43))</f>
      </c>
      <c r="M43" s="164">
        <f>IF($O43="","",INDEX(Master!$L$2:$L$1001,$O43))</f>
      </c>
      <c r="N43" s="164"/>
      <c r="O43">
        <f t="array" ref="O43">IFERROR(SMALL(IF((Master!$A$2:$A$1001="SHYAM METALLIKS")*(Master!$M$2:$M$1001="130 x 130 x 6MTR"),ROW(Master!$A$2:$A$1001)-ROW(Master!$A$2)+1),39),"")</f>
      </c>
      <c r="P43">
        <f t="shared" si="1"/>
      </c>
    </row>
    <row r="44" spans="1:16" x14ac:dyDescent="0.25">
      <c r="A44" s="234">
        <f>IF($O44="","",INDEX(Master!$D$2:$D$1001,$O44))</f>
      </c>
      <c r="B44" s="165">
        <f>IF($O44="","",INDEX(Master!$B$2:$B$1001,$O44))</f>
      </c>
      <c r="C44" s="164">
        <f>IF($O44="","",INDEX(Master!$C$2:$C$1001,$O44))</f>
      </c>
      <c r="D44" s="164">
        <f>IF($O44="","",INDEX(Master!$A$2:$A$1001,$O44))</f>
      </c>
      <c r="E44" s="164">
        <f>IF($O44="","",INDEX(Master!$E$2:$E$1001,$O44))</f>
      </c>
      <c r="F44" s="164">
        <f>IF($O44="","",INDEX(Master!$F$2:$F$1001,$O44))</f>
      </c>
      <c r="G44" s="164">
        <f>IF($O44="","",INDEX(Master!$G$2:$G$1001,$O44))</f>
      </c>
      <c r="H44" s="164">
        <f>IF($O44="","",INDEX(Master!$H$2:$H$1001,$O44))</f>
      </c>
      <c r="I44" s="164">
        <f>IF($O44="","",INDEX(Master!$I$2:$I$1001,$O44))</f>
      </c>
      <c r="J44" s="164">
        <f>IF($O44="","",INDEX(Master!$J$2:$J$1001,$O44))</f>
      </c>
      <c r="K44" s="248">
        <f t="shared" si="0"/>
      </c>
      <c r="L44" s="164">
        <f>IF($O44="","",INDEX(Master!$K$2:$K$1001,$O44))</f>
      </c>
      <c r="M44" s="164">
        <f>IF($O44="","",INDEX(Master!$L$2:$L$1001,$O44))</f>
      </c>
      <c r="N44" s="164"/>
      <c r="O44">
        <f t="array" ref="O44">IFERROR(SMALL(IF((Master!$A$2:$A$1001="SHYAM METALLIKS")*(Master!$M$2:$M$1001="130 x 130 x 6MTR"),ROW(Master!$A$2:$A$1001)-ROW(Master!$A$2)+1),40),"")</f>
      </c>
      <c r="P44">
        <f t="shared" si="1"/>
      </c>
    </row>
    <row r="45" spans="1:16" x14ac:dyDescent="0.25">
      <c r="A45" s="234">
        <f>IF($O45="","",INDEX(Master!$D$2:$D$1001,$O45))</f>
      </c>
      <c r="B45" s="165">
        <f>IF($O45="","",INDEX(Master!$B$2:$B$1001,$O45))</f>
      </c>
      <c r="C45" s="164">
        <f>IF($O45="","",INDEX(Master!$C$2:$C$1001,$O45))</f>
      </c>
      <c r="D45" s="164">
        <f>IF($O45="","",INDEX(Master!$A$2:$A$1001,$O45))</f>
      </c>
      <c r="E45" s="164">
        <f>IF($O45="","",INDEX(Master!$E$2:$E$1001,$O45))</f>
      </c>
      <c r="F45" s="164">
        <f>IF($O45="","",INDEX(Master!$F$2:$F$1001,$O45))</f>
      </c>
      <c r="G45" s="164">
        <f>IF($O45="","",INDEX(Master!$G$2:$G$1001,$O45))</f>
      </c>
      <c r="H45" s="164">
        <f>IF($O45="","",INDEX(Master!$H$2:$H$1001,$O45))</f>
      </c>
      <c r="I45" s="164">
        <f>IF($O45="","",INDEX(Master!$I$2:$I$1001,$O45))</f>
      </c>
      <c r="J45" s="164">
        <f>IF($O45="","",INDEX(Master!$J$2:$J$1001,$O45))</f>
      </c>
      <c r="K45" s="248">
        <f t="shared" si="0"/>
      </c>
      <c r="L45" s="164">
        <f>IF($O45="","",INDEX(Master!$K$2:$K$1001,$O45))</f>
      </c>
      <c r="M45" s="164">
        <f>IF($O45="","",INDEX(Master!$L$2:$L$1001,$O45))</f>
      </c>
      <c r="N45" s="164"/>
      <c r="O45">
        <f t="array" ref="O45">IFERROR(SMALL(IF((Master!$A$2:$A$1001="SHYAM METALLIKS")*(Master!$M$2:$M$1001="130 x 130 x 6MTR"),ROW(Master!$A$2:$A$1001)-ROW(Master!$A$2)+1),41),"")</f>
      </c>
      <c r="P45">
        <f t="shared" si="1"/>
      </c>
    </row>
    <row r="46" spans="1:16" x14ac:dyDescent="0.25">
      <c r="A46" s="234">
        <f>IF($O46="","",INDEX(Master!$D$2:$D$1001,$O46))</f>
      </c>
      <c r="B46" s="165">
        <f>IF($O46="","",INDEX(Master!$B$2:$B$1001,$O46))</f>
      </c>
      <c r="C46" s="164">
        <f>IF($O46="","",INDEX(Master!$C$2:$C$1001,$O46))</f>
      </c>
      <c r="D46" s="164">
        <f>IF($O46="","",INDEX(Master!$A$2:$A$1001,$O46))</f>
      </c>
      <c r="E46" s="164">
        <f>IF($O46="","",INDEX(Master!$E$2:$E$1001,$O46))</f>
      </c>
      <c r="F46" s="164">
        <f>IF($O46="","",INDEX(Master!$F$2:$F$1001,$O46))</f>
      </c>
      <c r="G46" s="164">
        <f>IF($O46="","",INDEX(Master!$G$2:$G$1001,$O46))</f>
      </c>
      <c r="H46" s="164">
        <f>IF($O46="","",INDEX(Master!$H$2:$H$1001,$O46))</f>
      </c>
      <c r="I46" s="164">
        <f>IF($O46="","",INDEX(Master!$I$2:$I$1001,$O46))</f>
      </c>
      <c r="J46" s="164">
        <f>IF($O46="","",INDEX(Master!$J$2:$J$1001,$O46))</f>
      </c>
      <c r="K46" s="248">
        <f t="shared" si="0"/>
      </c>
      <c r="L46" s="164">
        <f>IF($O46="","",INDEX(Master!$K$2:$K$1001,$O46))</f>
      </c>
      <c r="M46" s="164">
        <f>IF($O46="","",INDEX(Master!$L$2:$L$1001,$O46))</f>
      </c>
      <c r="N46" s="164"/>
      <c r="O46">
        <f t="array" ref="O46">IFERROR(SMALL(IF((Master!$A$2:$A$1001="SHYAM METALLIKS")*(Master!$M$2:$M$1001="130 x 130 x 6MTR"),ROW(Master!$A$2:$A$1001)-ROW(Master!$A$2)+1),42),"")</f>
      </c>
      <c r="P46">
        <f t="shared" si="1"/>
      </c>
    </row>
    <row r="47" spans="1:16" x14ac:dyDescent="0.25">
      <c r="A47" s="234">
        <f>IF($O47="","",INDEX(Master!$D$2:$D$1001,$O47))</f>
      </c>
      <c r="B47" s="165">
        <f>IF($O47="","",INDEX(Master!$B$2:$B$1001,$O47))</f>
      </c>
      <c r="C47" s="164">
        <f>IF($O47="","",INDEX(Master!$C$2:$C$1001,$O47))</f>
      </c>
      <c r="D47" s="164">
        <f>IF($O47="","",INDEX(Master!$A$2:$A$1001,$O47))</f>
      </c>
      <c r="E47" s="164">
        <f>IF($O47="","",INDEX(Master!$E$2:$E$1001,$O47))</f>
      </c>
      <c r="F47" s="164">
        <f>IF($O47="","",INDEX(Master!$F$2:$F$1001,$O47))</f>
      </c>
      <c r="G47" s="164">
        <f>IF($O47="","",INDEX(Master!$G$2:$G$1001,$O47))</f>
      </c>
      <c r="H47" s="164">
        <f>IF($O47="","",INDEX(Master!$H$2:$H$1001,$O47))</f>
      </c>
      <c r="I47" s="164">
        <f>IF($O47="","",INDEX(Master!$I$2:$I$1001,$O47))</f>
      </c>
      <c r="J47" s="164">
        <f>IF($O47="","",INDEX(Master!$J$2:$J$1001,$O47))</f>
      </c>
      <c r="K47" s="248">
        <f t="shared" si="0"/>
      </c>
      <c r="L47" s="164">
        <f>IF($O47="","",INDEX(Master!$K$2:$K$1001,$O47))</f>
      </c>
      <c r="M47" s="164">
        <f>IF($O47="","",INDEX(Master!$L$2:$L$1001,$O47))</f>
      </c>
      <c r="N47" s="164"/>
      <c r="O47">
        <f t="array" ref="O47">IFERROR(SMALL(IF((Master!$A$2:$A$1001="SHYAM METALLIKS")*(Master!$M$2:$M$1001="130 x 130 x 6MTR"),ROW(Master!$A$2:$A$1001)-ROW(Master!$A$2)+1),43),"")</f>
      </c>
      <c r="P47">
        <f t="shared" si="1"/>
      </c>
    </row>
    <row r="48" spans="1:16" x14ac:dyDescent="0.25">
      <c r="A48" s="234">
        <f>IF($O48="","",INDEX(Master!$D$2:$D$1001,$O48))</f>
      </c>
      <c r="B48" s="165">
        <f>IF($O48="","",INDEX(Master!$B$2:$B$1001,$O48))</f>
      </c>
      <c r="C48" s="164">
        <f>IF($O48="","",INDEX(Master!$C$2:$C$1001,$O48))</f>
      </c>
      <c r="D48" s="164">
        <f>IF($O48="","",INDEX(Master!$A$2:$A$1001,$O48))</f>
      </c>
      <c r="E48" s="164">
        <f>IF($O48="","",INDEX(Master!$E$2:$E$1001,$O48))</f>
      </c>
      <c r="F48" s="164">
        <f>IF($O48="","",INDEX(Master!$F$2:$F$1001,$O48))</f>
      </c>
      <c r="G48" s="164">
        <f>IF($O48="","",INDEX(Master!$G$2:$G$1001,$O48))</f>
      </c>
      <c r="H48" s="164">
        <f>IF($O48="","",INDEX(Master!$H$2:$H$1001,$O48))</f>
      </c>
      <c r="I48" s="164">
        <f>IF($O48="","",INDEX(Master!$I$2:$I$1001,$O48))</f>
      </c>
      <c r="J48" s="164">
        <f>IF($O48="","",INDEX(Master!$J$2:$J$1001,$O48))</f>
      </c>
      <c r="K48" s="248">
        <f t="shared" si="0"/>
      </c>
      <c r="L48" s="164">
        <f>IF($O48="","",INDEX(Master!$K$2:$K$1001,$O48))</f>
      </c>
      <c r="M48" s="164">
        <f>IF($O48="","",INDEX(Master!$L$2:$L$1001,$O48))</f>
      </c>
      <c r="N48" s="164"/>
      <c r="O48">
        <f t="array" ref="O48">IFERROR(SMALL(IF((Master!$A$2:$A$1001="SHYAM METALLIKS")*(Master!$M$2:$M$1001="130 x 130 x 6MTR"),ROW(Master!$A$2:$A$1001)-ROW(Master!$A$2)+1),44),"")</f>
      </c>
      <c r="P48">
        <f t="shared" si="1"/>
      </c>
    </row>
    <row r="49" spans="1:16" x14ac:dyDescent="0.25">
      <c r="A49" s="234">
        <f>IF($O49="","",INDEX(Master!$D$2:$D$1001,$O49))</f>
      </c>
      <c r="B49" s="165">
        <f>IF($O49="","",INDEX(Master!$B$2:$B$1001,$O49))</f>
      </c>
      <c r="C49" s="164">
        <f>IF($O49="","",INDEX(Master!$C$2:$C$1001,$O49))</f>
      </c>
      <c r="D49" s="164">
        <f>IF($O49="","",INDEX(Master!$A$2:$A$1001,$O49))</f>
      </c>
      <c r="E49" s="164">
        <f>IF($O49="","",INDEX(Master!$E$2:$E$1001,$O49))</f>
      </c>
      <c r="F49" s="164">
        <f>IF($O49="","",INDEX(Master!$F$2:$F$1001,$O49))</f>
      </c>
      <c r="G49" s="164">
        <f>IF($O49="","",INDEX(Master!$G$2:$G$1001,$O49))</f>
      </c>
      <c r="H49" s="164">
        <f>IF($O49="","",INDEX(Master!$H$2:$H$1001,$O49))</f>
      </c>
      <c r="I49" s="164">
        <f>IF($O49="","",INDEX(Master!$I$2:$I$1001,$O49))</f>
      </c>
      <c r="J49" s="164">
        <f>IF($O49="","",INDEX(Master!$J$2:$J$1001,$O49))</f>
      </c>
      <c r="K49" s="248">
        <f t="shared" si="0"/>
      </c>
      <c r="L49" s="164">
        <f>IF($O49="","",INDEX(Master!$K$2:$K$1001,$O49))</f>
      </c>
      <c r="M49" s="164">
        <f>IF($O49="","",INDEX(Master!$L$2:$L$1001,$O49))</f>
      </c>
      <c r="N49" s="164"/>
      <c r="O49">
        <f t="array" ref="O49">IFERROR(SMALL(IF((Master!$A$2:$A$1001="SHYAM METALLIKS")*(Master!$M$2:$M$1001="130 x 130 x 6MTR"),ROW(Master!$A$2:$A$1001)-ROW(Master!$A$2)+1),45),"")</f>
      </c>
      <c r="P49">
        <f t="shared" si="1"/>
      </c>
    </row>
    <row r="50" spans="1:16" x14ac:dyDescent="0.25">
      <c r="A50" s="234">
        <f>IF($O50="","",INDEX(Master!$D$2:$D$1001,$O50))</f>
      </c>
      <c r="B50" s="165">
        <f>IF($O50="","",INDEX(Master!$B$2:$B$1001,$O50))</f>
      </c>
      <c r="C50" s="164">
        <f>IF($O50="","",INDEX(Master!$C$2:$C$1001,$O50))</f>
      </c>
      <c r="D50" s="164">
        <f>IF($O50="","",INDEX(Master!$A$2:$A$1001,$O50))</f>
      </c>
      <c r="E50" s="164">
        <f>IF($O50="","",INDEX(Master!$E$2:$E$1001,$O50))</f>
      </c>
      <c r="F50" s="164">
        <f>IF($O50="","",INDEX(Master!$F$2:$F$1001,$O50))</f>
      </c>
      <c r="G50" s="164">
        <f>IF($O50="","",INDEX(Master!$G$2:$G$1001,$O50))</f>
      </c>
      <c r="H50" s="164">
        <f>IF($O50="","",INDEX(Master!$H$2:$H$1001,$O50))</f>
      </c>
      <c r="I50" s="164">
        <f>IF($O50="","",INDEX(Master!$I$2:$I$1001,$O50))</f>
      </c>
      <c r="J50" s="164">
        <f>IF($O50="","",INDEX(Master!$J$2:$J$1001,$O50))</f>
      </c>
      <c r="K50" s="248">
        <f t="shared" si="0"/>
      </c>
      <c r="L50" s="164">
        <f>IF($O50="","",INDEX(Master!$K$2:$K$1001,$O50))</f>
      </c>
      <c r="M50" s="164">
        <f>IF($O50="","",INDEX(Master!$L$2:$L$1001,$O50))</f>
      </c>
      <c r="N50" s="164"/>
      <c r="O50">
        <f t="array" ref="O50">IFERROR(SMALL(IF((Master!$A$2:$A$1001="SHYAM METALLIKS")*(Master!$M$2:$M$1001="130 x 130 x 6MTR"),ROW(Master!$A$2:$A$1001)-ROW(Master!$A$2)+1),46),"")</f>
      </c>
      <c r="P50">
        <f t="shared" si="1"/>
      </c>
    </row>
    <row r="51" spans="1:16" x14ac:dyDescent="0.25">
      <c r="A51" s="234">
        <f>IF($O51="","",INDEX(Master!$D$2:$D$1001,$O51))</f>
      </c>
      <c r="B51" s="165">
        <f>IF($O51="","",INDEX(Master!$B$2:$B$1001,$O51))</f>
      </c>
      <c r="C51" s="164">
        <f>IF($O51="","",INDEX(Master!$C$2:$C$1001,$O51))</f>
      </c>
      <c r="D51" s="164">
        <f>IF($O51="","",INDEX(Master!$A$2:$A$1001,$O51))</f>
      </c>
      <c r="E51" s="164">
        <f>IF($O51="","",INDEX(Master!$E$2:$E$1001,$O51))</f>
      </c>
      <c r="F51" s="164">
        <f>IF($O51="","",INDEX(Master!$F$2:$F$1001,$O51))</f>
      </c>
      <c r="G51" s="164">
        <f>IF($O51="","",INDEX(Master!$G$2:$G$1001,$O51))</f>
      </c>
      <c r="H51" s="164">
        <f>IF($O51="","",INDEX(Master!$H$2:$H$1001,$O51))</f>
      </c>
      <c r="I51" s="164">
        <f>IF($O51="","",INDEX(Master!$I$2:$I$1001,$O51))</f>
      </c>
      <c r="J51" s="164">
        <f>IF($O51="","",INDEX(Master!$J$2:$J$1001,$O51))</f>
      </c>
      <c r="K51" s="248">
        <f t="shared" si="0"/>
      </c>
      <c r="L51" s="164">
        <f>IF($O51="","",INDEX(Master!$K$2:$K$1001,$O51))</f>
      </c>
      <c r="M51" s="164">
        <f>IF($O51="","",INDEX(Master!$L$2:$L$1001,$O51))</f>
      </c>
      <c r="N51" s="164"/>
      <c r="O51">
        <f t="array" ref="O51">IFERROR(SMALL(IF((Master!$A$2:$A$1001="SHYAM METALLIKS")*(Master!$M$2:$M$1001="130 x 130 x 6MTR"),ROW(Master!$A$2:$A$1001)-ROW(Master!$A$2)+1),47),"")</f>
      </c>
      <c r="P51">
        <f t="shared" si="1"/>
      </c>
    </row>
    <row r="52" spans="1:16" x14ac:dyDescent="0.25">
      <c r="A52" s="234">
        <f>IF($O52="","",INDEX(Master!$D$2:$D$1001,$O52))</f>
      </c>
      <c r="B52" s="165">
        <f>IF($O52="","",INDEX(Master!$B$2:$B$1001,$O52))</f>
      </c>
      <c r="C52" s="164">
        <f>IF($O52="","",INDEX(Master!$C$2:$C$1001,$O52))</f>
      </c>
      <c r="D52" s="164">
        <f>IF($O52="","",INDEX(Master!$A$2:$A$1001,$O52))</f>
      </c>
      <c r="E52" s="164">
        <f>IF($O52="","",INDEX(Master!$E$2:$E$1001,$O52))</f>
      </c>
      <c r="F52" s="164">
        <f>IF($O52="","",INDEX(Master!$F$2:$F$1001,$O52))</f>
      </c>
      <c r="G52" s="164">
        <f>IF($O52="","",INDEX(Master!$G$2:$G$1001,$O52))</f>
      </c>
      <c r="H52" s="164">
        <f>IF($O52="","",INDEX(Master!$H$2:$H$1001,$O52))</f>
      </c>
      <c r="I52" s="164">
        <f>IF($O52="","",INDEX(Master!$I$2:$I$1001,$O52))</f>
      </c>
      <c r="J52" s="164">
        <f>IF($O52="","",INDEX(Master!$J$2:$J$1001,$O52))</f>
      </c>
      <c r="K52" s="248">
        <f t="shared" si="0"/>
      </c>
      <c r="L52" s="164">
        <f>IF($O52="","",INDEX(Master!$K$2:$K$1001,$O52))</f>
      </c>
      <c r="M52" s="164">
        <f>IF($O52="","",INDEX(Master!$L$2:$L$1001,$O52))</f>
      </c>
      <c r="N52" s="164"/>
      <c r="O52">
        <f t="array" ref="O52">IFERROR(SMALL(IF((Master!$A$2:$A$1001="SHYAM METALLIKS")*(Master!$M$2:$M$1001="130 x 130 x 6MTR"),ROW(Master!$A$2:$A$1001)-ROW(Master!$A$2)+1),48),"")</f>
      </c>
      <c r="P52">
        <f t="shared" si="1"/>
      </c>
    </row>
    <row r="53" spans="1:16" x14ac:dyDescent="0.25">
      <c r="A53" s="234">
        <f>IF($O53="","",INDEX(Master!$D$2:$D$1001,$O53))</f>
      </c>
      <c r="B53" s="165">
        <f>IF($O53="","",INDEX(Master!$B$2:$B$1001,$O53))</f>
      </c>
      <c r="C53" s="164">
        <f>IF($O53="","",INDEX(Master!$C$2:$C$1001,$O53))</f>
      </c>
      <c r="D53" s="164">
        <f>IF($O53="","",INDEX(Master!$A$2:$A$1001,$O53))</f>
      </c>
      <c r="E53" s="164">
        <f>IF($O53="","",INDEX(Master!$E$2:$E$1001,$O53))</f>
      </c>
      <c r="F53" s="164">
        <f>IF($O53="","",INDEX(Master!$F$2:$F$1001,$O53))</f>
      </c>
      <c r="G53" s="164">
        <f>IF($O53="","",INDEX(Master!$G$2:$G$1001,$O53))</f>
      </c>
      <c r="H53" s="164">
        <f>IF($O53="","",INDEX(Master!$H$2:$H$1001,$O53))</f>
      </c>
      <c r="I53" s="164">
        <f>IF($O53="","",INDEX(Master!$I$2:$I$1001,$O53))</f>
      </c>
      <c r="J53" s="164">
        <f>IF($O53="","",INDEX(Master!$J$2:$J$1001,$O53))</f>
      </c>
      <c r="K53" s="248">
        <f t="shared" si="0"/>
      </c>
      <c r="L53" s="164">
        <f>IF($O53="","",INDEX(Master!$K$2:$K$1001,$O53))</f>
      </c>
      <c r="M53" s="164">
        <f>IF($O53="","",INDEX(Master!$L$2:$L$1001,$O53))</f>
      </c>
      <c r="N53" s="164"/>
      <c r="O53">
        <f t="array" ref="O53">IFERROR(SMALL(IF((Master!$A$2:$A$1001="SHYAM METALLIKS")*(Master!$M$2:$M$1001="130 x 130 x 6MTR"),ROW(Master!$A$2:$A$1001)-ROW(Master!$A$2)+1),49),"")</f>
      </c>
      <c r="P53">
        <f t="shared" si="1"/>
      </c>
    </row>
    <row r="54" spans="1:16" x14ac:dyDescent="0.25">
      <c r="A54" s="234">
        <f>IF($O54="","",INDEX(Master!$D$2:$D$1001,$O54))</f>
      </c>
      <c r="B54" s="165">
        <f>IF($O54="","",INDEX(Master!$B$2:$B$1001,$O54))</f>
      </c>
      <c r="C54" s="164">
        <f>IF($O54="","",INDEX(Master!$C$2:$C$1001,$O54))</f>
      </c>
      <c r="D54" s="164">
        <f>IF($O54="","",INDEX(Master!$A$2:$A$1001,$O54))</f>
      </c>
      <c r="E54" s="164">
        <f>IF($O54="","",INDEX(Master!$E$2:$E$1001,$O54))</f>
      </c>
      <c r="F54" s="164">
        <f>IF($O54="","",INDEX(Master!$F$2:$F$1001,$O54))</f>
      </c>
      <c r="G54" s="164">
        <f>IF($O54="","",INDEX(Master!$G$2:$G$1001,$O54))</f>
      </c>
      <c r="H54" s="164">
        <f>IF($O54="","",INDEX(Master!$H$2:$H$1001,$O54))</f>
      </c>
      <c r="I54" s="164">
        <f>IF($O54="","",INDEX(Master!$I$2:$I$1001,$O54))</f>
      </c>
      <c r="J54" s="164">
        <f>IF($O54="","",INDEX(Master!$J$2:$J$1001,$O54))</f>
      </c>
      <c r="K54" s="248">
        <f t="shared" si="0"/>
      </c>
      <c r="L54" s="164">
        <f>IF($O54="","",INDEX(Master!$K$2:$K$1001,$O54))</f>
      </c>
      <c r="M54" s="164">
        <f>IF($O54="","",INDEX(Master!$L$2:$L$1001,$O54))</f>
      </c>
      <c r="N54" s="164"/>
      <c r="O54">
        <f t="array" ref="O54">IFERROR(SMALL(IF((Master!$A$2:$A$1001="SHYAM METALLIKS")*(Master!$M$2:$M$1001="130 x 130 x 6MTR"),ROW(Master!$A$2:$A$1001)-ROW(Master!$A$2)+1),50),"")</f>
      </c>
      <c r="P54">
        <f t="shared" si="1"/>
      </c>
    </row>
    <row r="55" spans="1:16" x14ac:dyDescent="0.25">
      <c r="A55" s="234">
        <f>IF($O55="","",INDEX(Master!$D$2:$D$1001,$O55))</f>
      </c>
      <c r="B55" s="165">
        <f>IF($O55="","",INDEX(Master!$B$2:$B$1001,$O55))</f>
      </c>
      <c r="C55" s="164">
        <f>IF($O55="","",INDEX(Master!$C$2:$C$1001,$O55))</f>
      </c>
      <c r="D55" s="164">
        <f>IF($O55="","",INDEX(Master!$A$2:$A$1001,$O55))</f>
      </c>
      <c r="E55" s="164">
        <f>IF($O55="","",INDEX(Master!$E$2:$E$1001,$O55))</f>
      </c>
      <c r="F55" s="164">
        <f>IF($O55="","",INDEX(Master!$F$2:$F$1001,$O55))</f>
      </c>
      <c r="G55" s="164">
        <f>IF($O55="","",INDEX(Master!$G$2:$G$1001,$O55))</f>
      </c>
      <c r="H55" s="164">
        <f>IF($O55="","",INDEX(Master!$H$2:$H$1001,$O55))</f>
      </c>
      <c r="I55" s="164">
        <f>IF($O55="","",INDEX(Master!$I$2:$I$1001,$O55))</f>
      </c>
      <c r="J55" s="164">
        <f>IF($O55="","",INDEX(Master!$J$2:$J$1001,$O55))</f>
      </c>
      <c r="K55" s="248">
        <f t="shared" si="0"/>
      </c>
      <c r="L55" s="164">
        <f>IF($O55="","",INDEX(Master!$K$2:$K$1001,$O55))</f>
      </c>
      <c r="M55" s="164">
        <f>IF($O55="","",INDEX(Master!$L$2:$L$1001,$O55))</f>
      </c>
      <c r="N55" s="164"/>
      <c r="O55">
        <f t="array" ref="O55">IFERROR(SMALL(IF((Master!$A$2:$A$1001="SHYAM METALLIKS")*(Master!$M$2:$M$1001="130 x 130 x 6MTR"),ROW(Master!$A$2:$A$1001)-ROW(Master!$A$2)+1),51),"")</f>
      </c>
      <c r="P55">
        <f t="shared" si="1"/>
      </c>
    </row>
    <row r="56" spans="1:16" x14ac:dyDescent="0.25">
      <c r="A56" s="234">
        <f>IF($O56="","",INDEX(Master!$D$2:$D$1001,$O56))</f>
      </c>
      <c r="B56" s="165">
        <f>IF($O56="","",INDEX(Master!$B$2:$B$1001,$O56))</f>
      </c>
      <c r="C56" s="164">
        <f>IF($O56="","",INDEX(Master!$C$2:$C$1001,$O56))</f>
      </c>
      <c r="D56" s="164">
        <f>IF($O56="","",INDEX(Master!$A$2:$A$1001,$O56))</f>
      </c>
      <c r="E56" s="164">
        <f>IF($O56="","",INDEX(Master!$E$2:$E$1001,$O56))</f>
      </c>
      <c r="F56" s="164">
        <f>IF($O56="","",INDEX(Master!$F$2:$F$1001,$O56))</f>
      </c>
      <c r="G56" s="164">
        <f>IF($O56="","",INDEX(Master!$G$2:$G$1001,$O56))</f>
      </c>
      <c r="H56" s="164">
        <f>IF($O56="","",INDEX(Master!$H$2:$H$1001,$O56))</f>
      </c>
      <c r="I56" s="164">
        <f>IF($O56="","",INDEX(Master!$I$2:$I$1001,$O56))</f>
      </c>
      <c r="J56" s="164">
        <f>IF($O56="","",INDEX(Master!$J$2:$J$1001,$O56))</f>
      </c>
      <c r="K56" s="248">
        <f t="shared" si="0"/>
      </c>
      <c r="L56" s="164">
        <f>IF($O56="","",INDEX(Master!$K$2:$K$1001,$O56))</f>
      </c>
      <c r="M56" s="164">
        <f>IF($O56="","",INDEX(Master!$L$2:$L$1001,$O56))</f>
      </c>
      <c r="N56" s="164"/>
      <c r="O56">
        <f t="array" ref="O56">IFERROR(SMALL(IF((Master!$A$2:$A$1001="SHYAM METALLIKS")*(Master!$M$2:$M$1001="130 x 130 x 6MTR"),ROW(Master!$A$2:$A$1001)-ROW(Master!$A$2)+1),52),"")</f>
      </c>
      <c r="P56">
        <f t="shared" si="1"/>
      </c>
    </row>
    <row r="57" spans="1:16" x14ac:dyDescent="0.25">
      <c r="A57" s="234">
        <f>IF($O57="","",INDEX(Master!$D$2:$D$1001,$O57))</f>
      </c>
      <c r="B57" s="165">
        <f>IF($O57="","",INDEX(Master!$B$2:$B$1001,$O57))</f>
      </c>
      <c r="C57" s="164">
        <f>IF($O57="","",INDEX(Master!$C$2:$C$1001,$O57))</f>
      </c>
      <c r="D57" s="164">
        <f>IF($O57="","",INDEX(Master!$A$2:$A$1001,$O57))</f>
      </c>
      <c r="E57" s="164">
        <f>IF($O57="","",INDEX(Master!$E$2:$E$1001,$O57))</f>
      </c>
      <c r="F57" s="164">
        <f>IF($O57="","",INDEX(Master!$F$2:$F$1001,$O57))</f>
      </c>
      <c r="G57" s="164">
        <f>IF($O57="","",INDEX(Master!$G$2:$G$1001,$O57))</f>
      </c>
      <c r="H57" s="164">
        <f>IF($O57="","",INDEX(Master!$H$2:$H$1001,$O57))</f>
      </c>
      <c r="I57" s="164">
        <f>IF($O57="","",INDEX(Master!$I$2:$I$1001,$O57))</f>
      </c>
      <c r="J57" s="164">
        <f>IF($O57="","",INDEX(Master!$J$2:$J$1001,$O57))</f>
      </c>
      <c r="K57" s="248">
        <f t="shared" si="0"/>
      </c>
      <c r="L57" s="164">
        <f>IF($O57="","",INDEX(Master!$K$2:$K$1001,$O57))</f>
      </c>
      <c r="M57" s="164">
        <f>IF($O57="","",INDEX(Master!$L$2:$L$1001,$O57))</f>
      </c>
      <c r="N57" s="164"/>
      <c r="O57">
        <f t="array" ref="O57">IFERROR(SMALL(IF((Master!$A$2:$A$1001="SHYAM METALLIKS")*(Master!$M$2:$M$1001="130 x 130 x 6MTR"),ROW(Master!$A$2:$A$1001)-ROW(Master!$A$2)+1),53),"")</f>
      </c>
      <c r="P57">
        <f t="shared" si="1"/>
      </c>
    </row>
    <row r="58" spans="1:16" x14ac:dyDescent="0.25">
      <c r="A58" s="234">
        <f>IF($O58="","",INDEX(Master!$D$2:$D$1001,$O58))</f>
      </c>
      <c r="B58" s="165">
        <f>IF($O58="","",INDEX(Master!$B$2:$B$1001,$O58))</f>
      </c>
      <c r="C58" s="164">
        <f>IF($O58="","",INDEX(Master!$C$2:$C$1001,$O58))</f>
      </c>
      <c r="D58" s="164">
        <f>IF($O58="","",INDEX(Master!$A$2:$A$1001,$O58))</f>
      </c>
      <c r="E58" s="164">
        <f>IF($O58="","",INDEX(Master!$E$2:$E$1001,$O58))</f>
      </c>
      <c r="F58" s="164">
        <f>IF($O58="","",INDEX(Master!$F$2:$F$1001,$O58))</f>
      </c>
      <c r="G58" s="164">
        <f>IF($O58="","",INDEX(Master!$G$2:$G$1001,$O58))</f>
      </c>
      <c r="H58" s="164">
        <f>IF($O58="","",INDEX(Master!$H$2:$H$1001,$O58))</f>
      </c>
      <c r="I58" s="164">
        <f>IF($O58="","",INDEX(Master!$I$2:$I$1001,$O58))</f>
      </c>
      <c r="J58" s="164">
        <f>IF($O58="","",INDEX(Master!$J$2:$J$1001,$O58))</f>
      </c>
      <c r="K58" s="248">
        <f t="shared" si="0"/>
      </c>
      <c r="L58" s="164">
        <f>IF($O58="","",INDEX(Master!$K$2:$K$1001,$O58))</f>
      </c>
      <c r="M58" s="164">
        <f>IF($O58="","",INDEX(Master!$L$2:$L$1001,$O58))</f>
      </c>
      <c r="N58" s="164"/>
      <c r="O58">
        <f t="array" ref="O58">IFERROR(SMALL(IF((Master!$A$2:$A$1001="SHYAM METALLIKS")*(Master!$M$2:$M$1001="130 x 130 x 6MTR"),ROW(Master!$A$2:$A$1001)-ROW(Master!$A$2)+1),54),"")</f>
      </c>
      <c r="P58">
        <f t="shared" si="1"/>
      </c>
    </row>
    <row r="59" spans="1:16" x14ac:dyDescent="0.25">
      <c r="A59" s="234">
        <f>IF($O59="","",INDEX(Master!$D$2:$D$1001,$O59))</f>
      </c>
      <c r="B59" s="165">
        <f>IF($O59="","",INDEX(Master!$B$2:$B$1001,$O59))</f>
      </c>
      <c r="C59" s="164">
        <f>IF($O59="","",INDEX(Master!$C$2:$C$1001,$O59))</f>
      </c>
      <c r="D59" s="164">
        <f>IF($O59="","",INDEX(Master!$A$2:$A$1001,$O59))</f>
      </c>
      <c r="E59" s="164">
        <f>IF($O59="","",INDEX(Master!$E$2:$E$1001,$O59))</f>
      </c>
      <c r="F59" s="164">
        <f>IF($O59="","",INDEX(Master!$F$2:$F$1001,$O59))</f>
      </c>
      <c r="G59" s="164">
        <f>IF($O59="","",INDEX(Master!$G$2:$G$1001,$O59))</f>
      </c>
      <c r="H59" s="164">
        <f>IF($O59="","",INDEX(Master!$H$2:$H$1001,$O59))</f>
      </c>
      <c r="I59" s="164">
        <f>IF($O59="","",INDEX(Master!$I$2:$I$1001,$O59))</f>
      </c>
      <c r="J59" s="164">
        <f>IF($O59="","",INDEX(Master!$J$2:$J$1001,$O59))</f>
      </c>
      <c r="K59" s="248">
        <f t="shared" si="0"/>
      </c>
      <c r="L59" s="164">
        <f>IF($O59="","",INDEX(Master!$K$2:$K$1001,$O59))</f>
      </c>
      <c r="M59" s="164">
        <f>IF($O59="","",INDEX(Master!$L$2:$L$1001,$O59))</f>
      </c>
      <c r="N59" s="164"/>
      <c r="O59">
        <f t="array" ref="O59">IFERROR(SMALL(IF((Master!$A$2:$A$1001="SHYAM METALLIKS")*(Master!$M$2:$M$1001="130 x 130 x 6MTR"),ROW(Master!$A$2:$A$1001)-ROW(Master!$A$2)+1),55),"")</f>
      </c>
      <c r="P59">
        <f t="shared" si="1"/>
      </c>
    </row>
    <row r="60" spans="1:16" x14ac:dyDescent="0.25">
      <c r="A60" s="234">
        <f>IF($O60="","",INDEX(Master!$D$2:$D$1001,$O60))</f>
      </c>
      <c r="B60" s="165">
        <f>IF($O60="","",INDEX(Master!$B$2:$B$1001,$O60))</f>
      </c>
      <c r="C60" s="164">
        <f>IF($O60="","",INDEX(Master!$C$2:$C$1001,$O60))</f>
      </c>
      <c r="D60" s="164">
        <f>IF($O60="","",INDEX(Master!$A$2:$A$1001,$O60))</f>
      </c>
      <c r="E60" s="164">
        <f>IF($O60="","",INDEX(Master!$E$2:$E$1001,$O60))</f>
      </c>
      <c r="F60" s="164">
        <f>IF($O60="","",INDEX(Master!$F$2:$F$1001,$O60))</f>
      </c>
      <c r="G60" s="164">
        <f>IF($O60="","",INDEX(Master!$G$2:$G$1001,$O60))</f>
      </c>
      <c r="H60" s="164">
        <f>IF($O60="","",INDEX(Master!$H$2:$H$1001,$O60))</f>
      </c>
      <c r="I60" s="164">
        <f>IF($O60="","",INDEX(Master!$I$2:$I$1001,$O60))</f>
      </c>
      <c r="J60" s="164">
        <f>IF($O60="","",INDEX(Master!$J$2:$J$1001,$O60))</f>
      </c>
      <c r="K60" s="248">
        <f t="shared" si="0"/>
      </c>
      <c r="L60" s="164">
        <f>IF($O60="","",INDEX(Master!$K$2:$K$1001,$O60))</f>
      </c>
      <c r="M60" s="164">
        <f>IF($O60="","",INDEX(Master!$L$2:$L$1001,$O60))</f>
      </c>
      <c r="N60" s="164"/>
      <c r="O60">
        <f t="array" ref="O60">IFERROR(SMALL(IF((Master!$A$2:$A$1001="SHYAM METALLIKS")*(Master!$M$2:$M$1001="130 x 130 x 6MTR"),ROW(Master!$A$2:$A$1001)-ROW(Master!$A$2)+1),56),"")</f>
      </c>
      <c r="P60">
        <f t="shared" si="1"/>
      </c>
    </row>
    <row r="61" spans="1:16" x14ac:dyDescent="0.25">
      <c r="A61" s="234">
        <f>IF($O61="","",INDEX(Master!$D$2:$D$1001,$O61))</f>
      </c>
      <c r="B61" s="165">
        <f>IF($O61="","",INDEX(Master!$B$2:$B$1001,$O61))</f>
      </c>
      <c r="C61" s="164">
        <f>IF($O61="","",INDEX(Master!$C$2:$C$1001,$O61))</f>
      </c>
      <c r="D61" s="164">
        <f>IF($O61="","",INDEX(Master!$A$2:$A$1001,$O61))</f>
      </c>
      <c r="E61" s="164">
        <f>IF($O61="","",INDEX(Master!$E$2:$E$1001,$O61))</f>
      </c>
      <c r="F61" s="164">
        <f>IF($O61="","",INDEX(Master!$F$2:$F$1001,$O61))</f>
      </c>
      <c r="G61" s="164">
        <f>IF($O61="","",INDEX(Master!$G$2:$G$1001,$O61))</f>
      </c>
      <c r="H61" s="164">
        <f>IF($O61="","",INDEX(Master!$H$2:$H$1001,$O61))</f>
      </c>
      <c r="I61" s="164">
        <f>IF($O61="","",INDEX(Master!$I$2:$I$1001,$O61))</f>
      </c>
      <c r="J61" s="164">
        <f>IF($O61="","",INDEX(Master!$J$2:$J$1001,$O61))</f>
      </c>
      <c r="K61" s="248">
        <f t="shared" si="0"/>
      </c>
      <c r="L61" s="164">
        <f>IF($O61="","",INDEX(Master!$K$2:$K$1001,$O61))</f>
      </c>
      <c r="M61" s="164">
        <f>IF($O61="","",INDEX(Master!$L$2:$L$1001,$O61))</f>
      </c>
      <c r="N61" s="164"/>
      <c r="O61">
        <f t="array" ref="O61">IFERROR(SMALL(IF((Master!$A$2:$A$1001="SHYAM METALLIKS")*(Master!$M$2:$M$1001="130 x 130 x 6MTR"),ROW(Master!$A$2:$A$1001)-ROW(Master!$A$2)+1),57),"")</f>
      </c>
      <c r="P61">
        <f t="shared" si="1"/>
      </c>
    </row>
    <row r="62" spans="1:16" x14ac:dyDescent="0.25">
      <c r="A62" s="234">
        <f>IF($O62="","",INDEX(Master!$D$2:$D$1001,$O62))</f>
      </c>
      <c r="B62" s="165">
        <f>IF($O62="","",INDEX(Master!$B$2:$B$1001,$O62))</f>
      </c>
      <c r="C62" s="164">
        <f>IF($O62="","",INDEX(Master!$C$2:$C$1001,$O62))</f>
      </c>
      <c r="D62" s="164">
        <f>IF($O62="","",INDEX(Master!$A$2:$A$1001,$O62))</f>
      </c>
      <c r="E62" s="164">
        <f>IF($O62="","",INDEX(Master!$E$2:$E$1001,$O62))</f>
      </c>
      <c r="F62" s="164">
        <f>IF($O62="","",INDEX(Master!$F$2:$F$1001,$O62))</f>
      </c>
      <c r="G62" s="164">
        <f>IF($O62="","",INDEX(Master!$G$2:$G$1001,$O62))</f>
      </c>
      <c r="H62" s="164">
        <f>IF($O62="","",INDEX(Master!$H$2:$H$1001,$O62))</f>
      </c>
      <c r="I62" s="164">
        <f>IF($O62="","",INDEX(Master!$I$2:$I$1001,$O62))</f>
      </c>
      <c r="J62" s="164">
        <f>IF($O62="","",INDEX(Master!$J$2:$J$1001,$O62))</f>
      </c>
      <c r="K62" s="248">
        <f t="shared" si="0"/>
      </c>
      <c r="L62" s="164">
        <f>IF($O62="","",INDEX(Master!$K$2:$K$1001,$O62))</f>
      </c>
      <c r="M62" s="164">
        <f>IF($O62="","",INDEX(Master!$L$2:$L$1001,$O62))</f>
      </c>
      <c r="N62" s="164"/>
      <c r="O62">
        <f t="array" ref="O62">IFERROR(SMALL(IF((Master!$A$2:$A$1001="SHYAM METALLIKS")*(Master!$M$2:$M$1001="130 x 130 x 6MTR"),ROW(Master!$A$2:$A$1001)-ROW(Master!$A$2)+1),58),"")</f>
      </c>
      <c r="P62">
        <f t="shared" si="1"/>
      </c>
    </row>
    <row r="63" spans="1:16" x14ac:dyDescent="0.25">
      <c r="A63" s="234">
        <f>IF($O63="","",INDEX(Master!$D$2:$D$1001,$O63))</f>
      </c>
      <c r="B63" s="165">
        <f>IF($O63="","",INDEX(Master!$B$2:$B$1001,$O63))</f>
      </c>
      <c r="C63" s="164">
        <f>IF($O63="","",INDEX(Master!$C$2:$C$1001,$O63))</f>
      </c>
      <c r="D63" s="164">
        <f>IF($O63="","",INDEX(Master!$A$2:$A$1001,$O63))</f>
      </c>
      <c r="E63" s="164">
        <f>IF($O63="","",INDEX(Master!$E$2:$E$1001,$O63))</f>
      </c>
      <c r="F63" s="164">
        <f>IF($O63="","",INDEX(Master!$F$2:$F$1001,$O63))</f>
      </c>
      <c r="G63" s="164">
        <f>IF($O63="","",INDEX(Master!$G$2:$G$1001,$O63))</f>
      </c>
      <c r="H63" s="164">
        <f>IF($O63="","",INDEX(Master!$H$2:$H$1001,$O63))</f>
      </c>
      <c r="I63" s="164">
        <f>IF($O63="","",INDEX(Master!$I$2:$I$1001,$O63))</f>
      </c>
      <c r="J63" s="164">
        <f>IF($O63="","",INDEX(Master!$J$2:$J$1001,$O63))</f>
      </c>
      <c r="K63" s="248">
        <f t="shared" si="0"/>
      </c>
      <c r="L63" s="164">
        <f>IF($O63="","",INDEX(Master!$K$2:$K$1001,$O63))</f>
      </c>
      <c r="M63" s="164">
        <f>IF($O63="","",INDEX(Master!$L$2:$L$1001,$O63))</f>
      </c>
      <c r="N63" s="164"/>
      <c r="O63">
        <f t="array" ref="O63">IFERROR(SMALL(IF((Master!$A$2:$A$1001="SHYAM METALLIKS")*(Master!$M$2:$M$1001="130 x 130 x 6MTR"),ROW(Master!$A$2:$A$1001)-ROW(Master!$A$2)+1),59),"")</f>
      </c>
      <c r="P63">
        <f t="shared" si="1"/>
      </c>
    </row>
    <row r="64" spans="1:16" x14ac:dyDescent="0.25">
      <c r="A64" s="234">
        <f>IF($O64="","",INDEX(Master!$D$2:$D$1001,$O64))</f>
      </c>
      <c r="B64" s="165">
        <f>IF($O64="","",INDEX(Master!$B$2:$B$1001,$O64))</f>
      </c>
      <c r="C64" s="164">
        <f>IF($O64="","",INDEX(Master!$C$2:$C$1001,$O64))</f>
      </c>
      <c r="D64" s="164">
        <f>IF($O64="","",INDEX(Master!$A$2:$A$1001,$O64))</f>
      </c>
      <c r="E64" s="164">
        <f>IF($O64="","",INDEX(Master!$E$2:$E$1001,$O64))</f>
      </c>
      <c r="F64" s="164">
        <f>IF($O64="","",INDEX(Master!$F$2:$F$1001,$O64))</f>
      </c>
      <c r="G64" s="164">
        <f>IF($O64="","",INDEX(Master!$G$2:$G$1001,$O64))</f>
      </c>
      <c r="H64" s="164">
        <f>IF($O64="","",INDEX(Master!$H$2:$H$1001,$O64))</f>
      </c>
      <c r="I64" s="164">
        <f>IF($O64="","",INDEX(Master!$I$2:$I$1001,$O64))</f>
      </c>
      <c r="J64" s="164">
        <f>IF($O64="","",INDEX(Master!$J$2:$J$1001,$O64))</f>
      </c>
      <c r="K64" s="248">
        <f t="shared" si="0"/>
      </c>
      <c r="L64" s="164">
        <f>IF($O64="","",INDEX(Master!$K$2:$K$1001,$O64))</f>
      </c>
      <c r="M64" s="164">
        <f>IF($O64="","",INDEX(Master!$L$2:$L$1001,$O64))</f>
      </c>
      <c r="N64" s="164"/>
      <c r="O64">
        <f t="array" ref="O64">IFERROR(SMALL(IF((Master!$A$2:$A$1001="SHYAM METALLIKS")*(Master!$M$2:$M$1001="130 x 130 x 6MTR"),ROW(Master!$A$2:$A$1001)-ROW(Master!$A$2)+1),60),"")</f>
      </c>
      <c r="P64">
        <f t="shared" si="1"/>
      </c>
    </row>
    <row r="65" spans="1:16" x14ac:dyDescent="0.25">
      <c r="A65" s="234">
        <f>IF($O65="","",INDEX(Master!$D$2:$D$1001,$O65))</f>
      </c>
      <c r="B65" s="165">
        <f>IF($O65="","",INDEX(Master!$B$2:$B$1001,$O65))</f>
      </c>
      <c r="C65" s="164">
        <f>IF($O65="","",INDEX(Master!$C$2:$C$1001,$O65))</f>
      </c>
      <c r="D65" s="164">
        <f>IF($O65="","",INDEX(Master!$A$2:$A$1001,$O65))</f>
      </c>
      <c r="E65" s="164">
        <f>IF($O65="","",INDEX(Master!$E$2:$E$1001,$O65))</f>
      </c>
      <c r="F65" s="164">
        <f>IF($O65="","",INDEX(Master!$F$2:$F$1001,$O65))</f>
      </c>
      <c r="G65" s="164">
        <f>IF($O65="","",INDEX(Master!$G$2:$G$1001,$O65))</f>
      </c>
      <c r="H65" s="164">
        <f>IF($O65="","",INDEX(Master!$H$2:$H$1001,$O65))</f>
      </c>
      <c r="I65" s="164">
        <f>IF($O65="","",INDEX(Master!$I$2:$I$1001,$O65))</f>
      </c>
      <c r="J65" s="164">
        <f>IF($O65="","",INDEX(Master!$J$2:$J$1001,$O65))</f>
      </c>
      <c r="K65" s="248">
        <f t="shared" si="0"/>
      </c>
      <c r="L65" s="164">
        <f>IF($O65="","",INDEX(Master!$K$2:$K$1001,$O65))</f>
      </c>
      <c r="M65" s="164">
        <f>IF($O65="","",INDEX(Master!$L$2:$L$1001,$O65))</f>
      </c>
      <c r="N65" s="164"/>
      <c r="O65">
        <f t="array" ref="O65">IFERROR(SMALL(IF((Master!$A$2:$A$1001="SHYAM METALLIKS")*(Master!$M$2:$M$1001="130 x 130 x 6MTR"),ROW(Master!$A$2:$A$1001)-ROW(Master!$A$2)+1),61),"")</f>
      </c>
      <c r="P65">
        <f t="shared" si="1"/>
      </c>
    </row>
    <row r="66" spans="1:16" x14ac:dyDescent="0.25">
      <c r="A66" s="234">
        <f>IF($O66="","",INDEX(Master!$D$2:$D$1001,$O66))</f>
      </c>
      <c r="B66" s="165">
        <f>IF($O66="","",INDEX(Master!$B$2:$B$1001,$O66))</f>
      </c>
      <c r="C66" s="164">
        <f>IF($O66="","",INDEX(Master!$C$2:$C$1001,$O66))</f>
      </c>
      <c r="D66" s="164">
        <f>IF($O66="","",INDEX(Master!$A$2:$A$1001,$O66))</f>
      </c>
      <c r="E66" s="164">
        <f>IF($O66="","",INDEX(Master!$E$2:$E$1001,$O66))</f>
      </c>
      <c r="F66" s="164">
        <f>IF($O66="","",INDEX(Master!$F$2:$F$1001,$O66))</f>
      </c>
      <c r="G66" s="164">
        <f>IF($O66="","",INDEX(Master!$G$2:$G$1001,$O66))</f>
      </c>
      <c r="H66" s="164">
        <f>IF($O66="","",INDEX(Master!$H$2:$H$1001,$O66))</f>
      </c>
      <c r="I66" s="164">
        <f>IF($O66="","",INDEX(Master!$I$2:$I$1001,$O66))</f>
      </c>
      <c r="J66" s="164">
        <f>IF($O66="","",INDEX(Master!$J$2:$J$1001,$O66))</f>
      </c>
      <c r="K66" s="248">
        <f t="shared" si="0"/>
      </c>
      <c r="L66" s="164">
        <f>IF($O66="","",INDEX(Master!$K$2:$K$1001,$O66))</f>
      </c>
      <c r="M66" s="164">
        <f>IF($O66="","",INDEX(Master!$L$2:$L$1001,$O66))</f>
      </c>
      <c r="N66" s="164"/>
      <c r="O66">
        <f t="array" ref="O66">IFERROR(SMALL(IF((Master!$A$2:$A$1001="SHYAM METALLIKS")*(Master!$M$2:$M$1001="130 x 130 x 6MTR"),ROW(Master!$A$2:$A$1001)-ROW(Master!$A$2)+1),62),"")</f>
      </c>
      <c r="P66">
        <f t="shared" si="1"/>
      </c>
    </row>
    <row r="67" spans="1:16" x14ac:dyDescent="0.25">
      <c r="A67" s="234">
        <f>IF($O67="","",INDEX(Master!$D$2:$D$1001,$O67))</f>
      </c>
      <c r="B67" s="165">
        <f>IF($O67="","",INDEX(Master!$B$2:$B$1001,$O67))</f>
      </c>
      <c r="C67" s="164">
        <f>IF($O67="","",INDEX(Master!$C$2:$C$1001,$O67))</f>
      </c>
      <c r="D67" s="164">
        <f>IF($O67="","",INDEX(Master!$A$2:$A$1001,$O67))</f>
      </c>
      <c r="E67" s="164">
        <f>IF($O67="","",INDEX(Master!$E$2:$E$1001,$O67))</f>
      </c>
      <c r="F67" s="164">
        <f>IF($O67="","",INDEX(Master!$F$2:$F$1001,$O67))</f>
      </c>
      <c r="G67" s="164">
        <f>IF($O67="","",INDEX(Master!$G$2:$G$1001,$O67))</f>
      </c>
      <c r="H67" s="164">
        <f>IF($O67="","",INDEX(Master!$H$2:$H$1001,$O67))</f>
      </c>
      <c r="I67" s="164">
        <f>IF($O67="","",INDEX(Master!$I$2:$I$1001,$O67))</f>
      </c>
      <c r="J67" s="164">
        <f>IF($O67="","",INDEX(Master!$J$2:$J$1001,$O67))</f>
      </c>
      <c r="K67" s="248">
        <f t="shared" si="0"/>
      </c>
      <c r="L67" s="164">
        <f>IF($O67="","",INDEX(Master!$K$2:$K$1001,$O67))</f>
      </c>
      <c r="M67" s="164">
        <f>IF($O67="","",INDEX(Master!$L$2:$L$1001,$O67))</f>
      </c>
      <c r="N67" s="164"/>
      <c r="O67">
        <f t="array" ref="O67">IFERROR(SMALL(IF((Master!$A$2:$A$1001="SHYAM METALLIKS")*(Master!$M$2:$M$1001="130 x 130 x 6MTR"),ROW(Master!$A$2:$A$1001)-ROW(Master!$A$2)+1),63),"")</f>
      </c>
      <c r="P67">
        <f t="shared" si="1"/>
      </c>
    </row>
    <row r="68" spans="1:16" x14ac:dyDescent="0.25">
      <c r="A68" s="234">
        <f>IF($O68="","",INDEX(Master!$D$2:$D$1001,$O68))</f>
      </c>
      <c r="B68" s="165">
        <f>IF($O68="","",INDEX(Master!$B$2:$B$1001,$O68))</f>
      </c>
      <c r="C68" s="164">
        <f>IF($O68="","",INDEX(Master!$C$2:$C$1001,$O68))</f>
      </c>
      <c r="D68" s="164">
        <f>IF($O68="","",INDEX(Master!$A$2:$A$1001,$O68))</f>
      </c>
      <c r="E68" s="164">
        <f>IF($O68="","",INDEX(Master!$E$2:$E$1001,$O68))</f>
      </c>
      <c r="F68" s="164">
        <f>IF($O68="","",INDEX(Master!$F$2:$F$1001,$O68))</f>
      </c>
      <c r="G68" s="164">
        <f>IF($O68="","",INDEX(Master!$G$2:$G$1001,$O68))</f>
      </c>
      <c r="H68" s="164">
        <f>IF($O68="","",INDEX(Master!$H$2:$H$1001,$O68))</f>
      </c>
      <c r="I68" s="164">
        <f>IF($O68="","",INDEX(Master!$I$2:$I$1001,$O68))</f>
      </c>
      <c r="J68" s="164">
        <f>IF($O68="","",INDEX(Master!$J$2:$J$1001,$O68))</f>
      </c>
      <c r="K68" s="248">
        <f t="shared" si="0"/>
      </c>
      <c r="L68" s="164">
        <f>IF($O68="","",INDEX(Master!$K$2:$K$1001,$O68))</f>
      </c>
      <c r="M68" s="164">
        <f>IF($O68="","",INDEX(Master!$L$2:$L$1001,$O68))</f>
      </c>
      <c r="N68" s="164"/>
      <c r="O68">
        <f t="array" ref="O68">IFERROR(SMALL(IF((Master!$A$2:$A$1001="SHYAM METALLIKS")*(Master!$M$2:$M$1001="130 x 130 x 6MTR"),ROW(Master!$A$2:$A$1001)-ROW(Master!$A$2)+1),64),"")</f>
      </c>
      <c r="P68">
        <f t="shared" si="1"/>
      </c>
    </row>
    <row r="69" spans="1:16" x14ac:dyDescent="0.25">
      <c r="A69" s="234">
        <f>IF($O69="","",INDEX(Master!$D$2:$D$1001,$O69))</f>
      </c>
      <c r="B69" s="165">
        <f>IF($O69="","",INDEX(Master!$B$2:$B$1001,$O69))</f>
      </c>
      <c r="C69" s="164">
        <f>IF($O69="","",INDEX(Master!$C$2:$C$1001,$O69))</f>
      </c>
      <c r="D69" s="164">
        <f>IF($O69="","",INDEX(Master!$A$2:$A$1001,$O69))</f>
      </c>
      <c r="E69" s="164">
        <f>IF($O69="","",INDEX(Master!$E$2:$E$1001,$O69))</f>
      </c>
      <c r="F69" s="164">
        <f>IF($O69="","",INDEX(Master!$F$2:$F$1001,$O69))</f>
      </c>
      <c r="G69" s="164">
        <f>IF($O69="","",INDEX(Master!$G$2:$G$1001,$O69))</f>
      </c>
      <c r="H69" s="164">
        <f>IF($O69="","",INDEX(Master!$H$2:$H$1001,$O69))</f>
      </c>
      <c r="I69" s="164">
        <f>IF($O69="","",INDEX(Master!$I$2:$I$1001,$O69))</f>
      </c>
      <c r="J69" s="164">
        <f>IF($O69="","",INDEX(Master!$J$2:$J$1001,$O69))</f>
      </c>
      <c r="K69" s="248">
        <f t="shared" ref="K69:K132" si="2">IF(OR($O69="",$F69="",$F69=0),"",$H69/$F69)</f>
      </c>
      <c r="L69" s="164">
        <f>IF($O69="","",INDEX(Master!$K$2:$K$1001,$O69))</f>
      </c>
      <c r="M69" s="164">
        <f>IF($O69="","",INDEX(Master!$L$2:$L$1001,$O69))</f>
      </c>
      <c r="N69" s="164"/>
      <c r="O69">
        <f t="array" ref="O69">IFERROR(SMALL(IF((Master!$A$2:$A$1001="SHYAM METALLIKS")*(Master!$M$2:$M$1001="130 x 130 x 6MTR"),ROW(Master!$A$2:$A$1001)-ROW(Master!$A$2)+1),65),"")</f>
      </c>
      <c r="P69">
        <f t="shared" ref="P69:P132" si="3">IF($A69="",0,IF(OR(AND($E69&lt;&gt;"",OR($E69&gt;0.18)),AND($F69&lt;&gt;"",OR($F69&gt;0.045,($F69+$G69)&gt;0.14)),AND($G69&lt;&gt;"",OR($G69&gt;0.08,($F69+$G69)&gt;0.14)),AND($H69&lt;&gt;"",$H69&lt;0.4),AND($J69&lt;&gt;"",OR($J69&lt;0.1))),1,0))</f>
      </c>
    </row>
    <row r="70" spans="1:16" x14ac:dyDescent="0.25">
      <c r="A70" s="234">
        <f>IF($O70="","",INDEX(Master!$D$2:$D$1001,$O70))</f>
      </c>
      <c r="B70" s="165">
        <f>IF($O70="","",INDEX(Master!$B$2:$B$1001,$O70))</f>
      </c>
      <c r="C70" s="164">
        <f>IF($O70="","",INDEX(Master!$C$2:$C$1001,$O70))</f>
      </c>
      <c r="D70" s="164">
        <f>IF($O70="","",INDEX(Master!$A$2:$A$1001,$O70))</f>
      </c>
      <c r="E70" s="164">
        <f>IF($O70="","",INDEX(Master!$E$2:$E$1001,$O70))</f>
      </c>
      <c r="F70" s="164">
        <f>IF($O70="","",INDEX(Master!$F$2:$F$1001,$O70))</f>
      </c>
      <c r="G70" s="164">
        <f>IF($O70="","",INDEX(Master!$G$2:$G$1001,$O70))</f>
      </c>
      <c r="H70" s="164">
        <f>IF($O70="","",INDEX(Master!$H$2:$H$1001,$O70))</f>
      </c>
      <c r="I70" s="164">
        <f>IF($O70="","",INDEX(Master!$I$2:$I$1001,$O70))</f>
      </c>
      <c r="J70" s="164">
        <f>IF($O70="","",INDEX(Master!$J$2:$J$1001,$O70))</f>
      </c>
      <c r="K70" s="248">
        <f t="shared" si="2"/>
      </c>
      <c r="L70" s="164">
        <f>IF($O70="","",INDEX(Master!$K$2:$K$1001,$O70))</f>
      </c>
      <c r="M70" s="164">
        <f>IF($O70="","",INDEX(Master!$L$2:$L$1001,$O70))</f>
      </c>
      <c r="N70" s="164"/>
      <c r="O70">
        <f t="array" ref="O70">IFERROR(SMALL(IF((Master!$A$2:$A$1001="SHYAM METALLIKS")*(Master!$M$2:$M$1001="130 x 130 x 6MTR"),ROW(Master!$A$2:$A$1001)-ROW(Master!$A$2)+1),66),"")</f>
      </c>
      <c r="P70">
        <f t="shared" si="3"/>
      </c>
    </row>
    <row r="71" spans="1:16" x14ac:dyDescent="0.25">
      <c r="A71" s="234">
        <f>IF($O71="","",INDEX(Master!$D$2:$D$1001,$O71))</f>
      </c>
      <c r="B71" s="165">
        <f>IF($O71="","",INDEX(Master!$B$2:$B$1001,$O71))</f>
      </c>
      <c r="C71" s="164">
        <f>IF($O71="","",INDEX(Master!$C$2:$C$1001,$O71))</f>
      </c>
      <c r="D71" s="164">
        <f>IF($O71="","",INDEX(Master!$A$2:$A$1001,$O71))</f>
      </c>
      <c r="E71" s="164">
        <f>IF($O71="","",INDEX(Master!$E$2:$E$1001,$O71))</f>
      </c>
      <c r="F71" s="164">
        <f>IF($O71="","",INDEX(Master!$F$2:$F$1001,$O71))</f>
      </c>
      <c r="G71" s="164">
        <f>IF($O71="","",INDEX(Master!$G$2:$G$1001,$O71))</f>
      </c>
      <c r="H71" s="164">
        <f>IF($O71="","",INDEX(Master!$H$2:$H$1001,$O71))</f>
      </c>
      <c r="I71" s="164">
        <f>IF($O71="","",INDEX(Master!$I$2:$I$1001,$O71))</f>
      </c>
      <c r="J71" s="164">
        <f>IF($O71="","",INDEX(Master!$J$2:$J$1001,$O71))</f>
      </c>
      <c r="K71" s="248">
        <f t="shared" si="2"/>
      </c>
      <c r="L71" s="164">
        <f>IF($O71="","",INDEX(Master!$K$2:$K$1001,$O71))</f>
      </c>
      <c r="M71" s="164">
        <f>IF($O71="","",INDEX(Master!$L$2:$L$1001,$O71))</f>
      </c>
      <c r="N71" s="164"/>
      <c r="O71">
        <f t="array" ref="O71">IFERROR(SMALL(IF((Master!$A$2:$A$1001="SHYAM METALLIKS")*(Master!$M$2:$M$1001="130 x 130 x 6MTR"),ROW(Master!$A$2:$A$1001)-ROW(Master!$A$2)+1),67),"")</f>
      </c>
      <c r="P71">
        <f t="shared" si="3"/>
      </c>
    </row>
    <row r="72" spans="1:16" x14ac:dyDescent="0.25">
      <c r="A72" s="234">
        <f>IF($O72="","",INDEX(Master!$D$2:$D$1001,$O72))</f>
      </c>
      <c r="B72" s="165">
        <f>IF($O72="","",INDEX(Master!$B$2:$B$1001,$O72))</f>
      </c>
      <c r="C72" s="164">
        <f>IF($O72="","",INDEX(Master!$C$2:$C$1001,$O72))</f>
      </c>
      <c r="D72" s="164">
        <f>IF($O72="","",INDEX(Master!$A$2:$A$1001,$O72))</f>
      </c>
      <c r="E72" s="164">
        <f>IF($O72="","",INDEX(Master!$E$2:$E$1001,$O72))</f>
      </c>
      <c r="F72" s="164">
        <f>IF($O72="","",INDEX(Master!$F$2:$F$1001,$O72))</f>
      </c>
      <c r="G72" s="164">
        <f>IF($O72="","",INDEX(Master!$G$2:$G$1001,$O72))</f>
      </c>
      <c r="H72" s="164">
        <f>IF($O72="","",INDEX(Master!$H$2:$H$1001,$O72))</f>
      </c>
      <c r="I72" s="164">
        <f>IF($O72="","",INDEX(Master!$I$2:$I$1001,$O72))</f>
      </c>
      <c r="J72" s="164">
        <f>IF($O72="","",INDEX(Master!$J$2:$J$1001,$O72))</f>
      </c>
      <c r="K72" s="248">
        <f t="shared" si="2"/>
      </c>
      <c r="L72" s="164">
        <f>IF($O72="","",INDEX(Master!$K$2:$K$1001,$O72))</f>
      </c>
      <c r="M72" s="164">
        <f>IF($O72="","",INDEX(Master!$L$2:$L$1001,$O72))</f>
      </c>
      <c r="N72" s="164"/>
      <c r="O72">
        <f t="array" ref="O72">IFERROR(SMALL(IF((Master!$A$2:$A$1001="SHYAM METALLIKS")*(Master!$M$2:$M$1001="130 x 130 x 6MTR"),ROW(Master!$A$2:$A$1001)-ROW(Master!$A$2)+1),68),"")</f>
      </c>
      <c r="P72">
        <f t="shared" si="3"/>
      </c>
    </row>
    <row r="73" spans="1:16" x14ac:dyDescent="0.25">
      <c r="A73" s="234">
        <f>IF($O73="","",INDEX(Master!$D$2:$D$1001,$O73))</f>
      </c>
      <c r="B73" s="165">
        <f>IF($O73="","",INDEX(Master!$B$2:$B$1001,$O73))</f>
      </c>
      <c r="C73" s="164">
        <f>IF($O73="","",INDEX(Master!$C$2:$C$1001,$O73))</f>
      </c>
      <c r="D73" s="164">
        <f>IF($O73="","",INDEX(Master!$A$2:$A$1001,$O73))</f>
      </c>
      <c r="E73" s="164">
        <f>IF($O73="","",INDEX(Master!$E$2:$E$1001,$O73))</f>
      </c>
      <c r="F73" s="164">
        <f>IF($O73="","",INDEX(Master!$F$2:$F$1001,$O73))</f>
      </c>
      <c r="G73" s="164">
        <f>IF($O73="","",INDEX(Master!$G$2:$G$1001,$O73))</f>
      </c>
      <c r="H73" s="164">
        <f>IF($O73="","",INDEX(Master!$H$2:$H$1001,$O73))</f>
      </c>
      <c r="I73" s="164">
        <f>IF($O73="","",INDEX(Master!$I$2:$I$1001,$O73))</f>
      </c>
      <c r="J73" s="164">
        <f>IF($O73="","",INDEX(Master!$J$2:$J$1001,$O73))</f>
      </c>
      <c r="K73" s="248">
        <f t="shared" si="2"/>
      </c>
      <c r="L73" s="164">
        <f>IF($O73="","",INDEX(Master!$K$2:$K$1001,$O73))</f>
      </c>
      <c r="M73" s="164">
        <f>IF($O73="","",INDEX(Master!$L$2:$L$1001,$O73))</f>
      </c>
      <c r="N73" s="164"/>
      <c r="O73">
        <f t="array" ref="O73">IFERROR(SMALL(IF((Master!$A$2:$A$1001="SHYAM METALLIKS")*(Master!$M$2:$M$1001="130 x 130 x 6MTR"),ROW(Master!$A$2:$A$1001)-ROW(Master!$A$2)+1),69),"")</f>
      </c>
      <c r="P73">
        <f t="shared" si="3"/>
      </c>
    </row>
    <row r="74" spans="1:16" x14ac:dyDescent="0.25">
      <c r="A74" s="234">
        <f>IF($O74="","",INDEX(Master!$D$2:$D$1001,$O74))</f>
      </c>
      <c r="B74" s="165">
        <f>IF($O74="","",INDEX(Master!$B$2:$B$1001,$O74))</f>
      </c>
      <c r="C74" s="164">
        <f>IF($O74="","",INDEX(Master!$C$2:$C$1001,$O74))</f>
      </c>
      <c r="D74" s="164">
        <f>IF($O74="","",INDEX(Master!$A$2:$A$1001,$O74))</f>
      </c>
      <c r="E74" s="164">
        <f>IF($O74="","",INDEX(Master!$E$2:$E$1001,$O74))</f>
      </c>
      <c r="F74" s="164">
        <f>IF($O74="","",INDEX(Master!$F$2:$F$1001,$O74))</f>
      </c>
      <c r="G74" s="164">
        <f>IF($O74="","",INDEX(Master!$G$2:$G$1001,$O74))</f>
      </c>
      <c r="H74" s="164">
        <f>IF($O74="","",INDEX(Master!$H$2:$H$1001,$O74))</f>
      </c>
      <c r="I74" s="164">
        <f>IF($O74="","",INDEX(Master!$I$2:$I$1001,$O74))</f>
      </c>
      <c r="J74" s="164">
        <f>IF($O74="","",INDEX(Master!$J$2:$J$1001,$O74))</f>
      </c>
      <c r="K74" s="248">
        <f t="shared" si="2"/>
      </c>
      <c r="L74" s="164">
        <f>IF($O74="","",INDEX(Master!$K$2:$K$1001,$O74))</f>
      </c>
      <c r="M74" s="164">
        <f>IF($O74="","",INDEX(Master!$L$2:$L$1001,$O74))</f>
      </c>
      <c r="N74" s="164"/>
      <c r="O74">
        <f t="array" ref="O74">IFERROR(SMALL(IF((Master!$A$2:$A$1001="SHYAM METALLIKS")*(Master!$M$2:$M$1001="130 x 130 x 6MTR"),ROW(Master!$A$2:$A$1001)-ROW(Master!$A$2)+1),70),"")</f>
      </c>
      <c r="P74">
        <f t="shared" si="3"/>
      </c>
    </row>
    <row r="75" spans="1:16" x14ac:dyDescent="0.25">
      <c r="A75" s="234">
        <f>IF($O75="","",INDEX(Master!$D$2:$D$1001,$O75))</f>
      </c>
      <c r="B75" s="165">
        <f>IF($O75="","",INDEX(Master!$B$2:$B$1001,$O75))</f>
      </c>
      <c r="C75" s="164">
        <f>IF($O75="","",INDEX(Master!$C$2:$C$1001,$O75))</f>
      </c>
      <c r="D75" s="164">
        <f>IF($O75="","",INDEX(Master!$A$2:$A$1001,$O75))</f>
      </c>
      <c r="E75" s="164">
        <f>IF($O75="","",INDEX(Master!$E$2:$E$1001,$O75))</f>
      </c>
      <c r="F75" s="164">
        <f>IF($O75="","",INDEX(Master!$F$2:$F$1001,$O75))</f>
      </c>
      <c r="G75" s="164">
        <f>IF($O75="","",INDEX(Master!$G$2:$G$1001,$O75))</f>
      </c>
      <c r="H75" s="164">
        <f>IF($O75="","",INDEX(Master!$H$2:$H$1001,$O75))</f>
      </c>
      <c r="I75" s="164">
        <f>IF($O75="","",INDEX(Master!$I$2:$I$1001,$O75))</f>
      </c>
      <c r="J75" s="164">
        <f>IF($O75="","",INDEX(Master!$J$2:$J$1001,$O75))</f>
      </c>
      <c r="K75" s="248">
        <f t="shared" si="2"/>
      </c>
      <c r="L75" s="164">
        <f>IF($O75="","",INDEX(Master!$K$2:$K$1001,$O75))</f>
      </c>
      <c r="M75" s="164">
        <f>IF($O75="","",INDEX(Master!$L$2:$L$1001,$O75))</f>
      </c>
      <c r="N75" s="164"/>
      <c r="O75">
        <f t="array" ref="O75">IFERROR(SMALL(IF((Master!$A$2:$A$1001="SHYAM METALLIKS")*(Master!$M$2:$M$1001="130 x 130 x 6MTR"),ROW(Master!$A$2:$A$1001)-ROW(Master!$A$2)+1),71),"")</f>
      </c>
      <c r="P75">
        <f t="shared" si="3"/>
      </c>
    </row>
    <row r="76" spans="1:16" x14ac:dyDescent="0.25">
      <c r="A76" s="234">
        <f>IF($O76="","",INDEX(Master!$D$2:$D$1001,$O76))</f>
      </c>
      <c r="B76" s="165">
        <f>IF($O76="","",INDEX(Master!$B$2:$B$1001,$O76))</f>
      </c>
      <c r="C76" s="164">
        <f>IF($O76="","",INDEX(Master!$C$2:$C$1001,$O76))</f>
      </c>
      <c r="D76" s="164">
        <f>IF($O76="","",INDEX(Master!$A$2:$A$1001,$O76))</f>
      </c>
      <c r="E76" s="164">
        <f>IF($O76="","",INDEX(Master!$E$2:$E$1001,$O76))</f>
      </c>
      <c r="F76" s="164">
        <f>IF($O76="","",INDEX(Master!$F$2:$F$1001,$O76))</f>
      </c>
      <c r="G76" s="164">
        <f>IF($O76="","",INDEX(Master!$G$2:$G$1001,$O76))</f>
      </c>
      <c r="H76" s="164">
        <f>IF($O76="","",INDEX(Master!$H$2:$H$1001,$O76))</f>
      </c>
      <c r="I76" s="164">
        <f>IF($O76="","",INDEX(Master!$I$2:$I$1001,$O76))</f>
      </c>
      <c r="J76" s="164">
        <f>IF($O76="","",INDEX(Master!$J$2:$J$1001,$O76))</f>
      </c>
      <c r="K76" s="248">
        <f t="shared" si="2"/>
      </c>
      <c r="L76" s="164">
        <f>IF($O76="","",INDEX(Master!$K$2:$K$1001,$O76))</f>
      </c>
      <c r="M76" s="164">
        <f>IF($O76="","",INDEX(Master!$L$2:$L$1001,$O76))</f>
      </c>
      <c r="N76" s="164"/>
      <c r="O76">
        <f t="array" ref="O76">IFERROR(SMALL(IF((Master!$A$2:$A$1001="SHYAM METALLIKS")*(Master!$M$2:$M$1001="130 x 130 x 6MTR"),ROW(Master!$A$2:$A$1001)-ROW(Master!$A$2)+1),72),"")</f>
      </c>
      <c r="P76">
        <f t="shared" si="3"/>
      </c>
    </row>
    <row r="77" spans="1:16" x14ac:dyDescent="0.25">
      <c r="A77" s="234">
        <f>IF($O77="","",INDEX(Master!$D$2:$D$1001,$O77))</f>
      </c>
      <c r="B77" s="165">
        <f>IF($O77="","",INDEX(Master!$B$2:$B$1001,$O77))</f>
      </c>
      <c r="C77" s="164">
        <f>IF($O77="","",INDEX(Master!$C$2:$C$1001,$O77))</f>
      </c>
      <c r="D77" s="164">
        <f>IF($O77="","",INDEX(Master!$A$2:$A$1001,$O77))</f>
      </c>
      <c r="E77" s="164">
        <f>IF($O77="","",INDEX(Master!$E$2:$E$1001,$O77))</f>
      </c>
      <c r="F77" s="164">
        <f>IF($O77="","",INDEX(Master!$F$2:$F$1001,$O77))</f>
      </c>
      <c r="G77" s="164">
        <f>IF($O77="","",INDEX(Master!$G$2:$G$1001,$O77))</f>
      </c>
      <c r="H77" s="164">
        <f>IF($O77="","",INDEX(Master!$H$2:$H$1001,$O77))</f>
      </c>
      <c r="I77" s="164">
        <f>IF($O77="","",INDEX(Master!$I$2:$I$1001,$O77))</f>
      </c>
      <c r="J77" s="164">
        <f>IF($O77="","",INDEX(Master!$J$2:$J$1001,$O77))</f>
      </c>
      <c r="K77" s="248">
        <f t="shared" si="2"/>
      </c>
      <c r="L77" s="164">
        <f>IF($O77="","",INDEX(Master!$K$2:$K$1001,$O77))</f>
      </c>
      <c r="M77" s="164">
        <f>IF($O77="","",INDEX(Master!$L$2:$L$1001,$O77))</f>
      </c>
      <c r="N77" s="164"/>
      <c r="O77">
        <f t="array" ref="O77">IFERROR(SMALL(IF((Master!$A$2:$A$1001="SHYAM METALLIKS")*(Master!$M$2:$M$1001="130 x 130 x 6MTR"),ROW(Master!$A$2:$A$1001)-ROW(Master!$A$2)+1),73),"")</f>
      </c>
      <c r="P77">
        <f t="shared" si="3"/>
      </c>
    </row>
    <row r="78" spans="1:16" x14ac:dyDescent="0.25">
      <c r="A78" s="234">
        <f>IF($O78="","",INDEX(Master!$D$2:$D$1001,$O78))</f>
      </c>
      <c r="B78" s="165">
        <f>IF($O78="","",INDEX(Master!$B$2:$B$1001,$O78))</f>
      </c>
      <c r="C78" s="164">
        <f>IF($O78="","",INDEX(Master!$C$2:$C$1001,$O78))</f>
      </c>
      <c r="D78" s="164">
        <f>IF($O78="","",INDEX(Master!$A$2:$A$1001,$O78))</f>
      </c>
      <c r="E78" s="164">
        <f>IF($O78="","",INDEX(Master!$E$2:$E$1001,$O78))</f>
      </c>
      <c r="F78" s="164">
        <f>IF($O78="","",INDEX(Master!$F$2:$F$1001,$O78))</f>
      </c>
      <c r="G78" s="164">
        <f>IF($O78="","",INDEX(Master!$G$2:$G$1001,$O78))</f>
      </c>
      <c r="H78" s="164">
        <f>IF($O78="","",INDEX(Master!$H$2:$H$1001,$O78))</f>
      </c>
      <c r="I78" s="164">
        <f>IF($O78="","",INDEX(Master!$I$2:$I$1001,$O78))</f>
      </c>
      <c r="J78" s="164">
        <f>IF($O78="","",INDEX(Master!$J$2:$J$1001,$O78))</f>
      </c>
      <c r="K78" s="248">
        <f t="shared" si="2"/>
      </c>
      <c r="L78" s="164">
        <f>IF($O78="","",INDEX(Master!$K$2:$K$1001,$O78))</f>
      </c>
      <c r="M78" s="164">
        <f>IF($O78="","",INDEX(Master!$L$2:$L$1001,$O78))</f>
      </c>
      <c r="N78" s="164"/>
      <c r="O78">
        <f t="array" ref="O78">IFERROR(SMALL(IF((Master!$A$2:$A$1001="SHYAM METALLIKS")*(Master!$M$2:$M$1001="130 x 130 x 6MTR"),ROW(Master!$A$2:$A$1001)-ROW(Master!$A$2)+1),74),"")</f>
      </c>
      <c r="P78">
        <f t="shared" si="3"/>
      </c>
    </row>
    <row r="79" spans="1:16" x14ac:dyDescent="0.25">
      <c r="A79" s="234">
        <f>IF($O79="","",INDEX(Master!$D$2:$D$1001,$O79))</f>
      </c>
      <c r="B79" s="165">
        <f>IF($O79="","",INDEX(Master!$B$2:$B$1001,$O79))</f>
      </c>
      <c r="C79" s="164">
        <f>IF($O79="","",INDEX(Master!$C$2:$C$1001,$O79))</f>
      </c>
      <c r="D79" s="164">
        <f>IF($O79="","",INDEX(Master!$A$2:$A$1001,$O79))</f>
      </c>
      <c r="E79" s="164">
        <f>IF($O79="","",INDEX(Master!$E$2:$E$1001,$O79))</f>
      </c>
      <c r="F79" s="164">
        <f>IF($O79="","",INDEX(Master!$F$2:$F$1001,$O79))</f>
      </c>
      <c r="G79" s="164">
        <f>IF($O79="","",INDEX(Master!$G$2:$G$1001,$O79))</f>
      </c>
      <c r="H79" s="164">
        <f>IF($O79="","",INDEX(Master!$H$2:$H$1001,$O79))</f>
      </c>
      <c r="I79" s="164">
        <f>IF($O79="","",INDEX(Master!$I$2:$I$1001,$O79))</f>
      </c>
      <c r="J79" s="164">
        <f>IF($O79="","",INDEX(Master!$J$2:$J$1001,$O79))</f>
      </c>
      <c r="K79" s="248">
        <f t="shared" si="2"/>
      </c>
      <c r="L79" s="164">
        <f>IF($O79="","",INDEX(Master!$K$2:$K$1001,$O79))</f>
      </c>
      <c r="M79" s="164">
        <f>IF($O79="","",INDEX(Master!$L$2:$L$1001,$O79))</f>
      </c>
      <c r="N79" s="164"/>
      <c r="O79">
        <f t="array" ref="O79">IFERROR(SMALL(IF((Master!$A$2:$A$1001="SHYAM METALLIKS")*(Master!$M$2:$M$1001="130 x 130 x 6MTR"),ROW(Master!$A$2:$A$1001)-ROW(Master!$A$2)+1),75),"")</f>
      </c>
      <c r="P79">
        <f t="shared" si="3"/>
      </c>
    </row>
    <row r="80" spans="1:16" x14ac:dyDescent="0.25">
      <c r="A80" s="234">
        <f>IF($O80="","",INDEX(Master!$D$2:$D$1001,$O80))</f>
      </c>
      <c r="B80" s="165">
        <f>IF($O80="","",INDEX(Master!$B$2:$B$1001,$O80))</f>
      </c>
      <c r="C80" s="164">
        <f>IF($O80="","",INDEX(Master!$C$2:$C$1001,$O80))</f>
      </c>
      <c r="D80" s="164">
        <f>IF($O80="","",INDEX(Master!$A$2:$A$1001,$O80))</f>
      </c>
      <c r="E80" s="164">
        <f>IF($O80="","",INDEX(Master!$E$2:$E$1001,$O80))</f>
      </c>
      <c r="F80" s="164">
        <f>IF($O80="","",INDEX(Master!$F$2:$F$1001,$O80))</f>
      </c>
      <c r="G80" s="164">
        <f>IF($O80="","",INDEX(Master!$G$2:$G$1001,$O80))</f>
      </c>
      <c r="H80" s="164">
        <f>IF($O80="","",INDEX(Master!$H$2:$H$1001,$O80))</f>
      </c>
      <c r="I80" s="164">
        <f>IF($O80="","",INDEX(Master!$I$2:$I$1001,$O80))</f>
      </c>
      <c r="J80" s="164">
        <f>IF($O80="","",INDEX(Master!$J$2:$J$1001,$O80))</f>
      </c>
      <c r="K80" s="248">
        <f t="shared" si="2"/>
      </c>
      <c r="L80" s="164">
        <f>IF($O80="","",INDEX(Master!$K$2:$K$1001,$O80))</f>
      </c>
      <c r="M80" s="164">
        <f>IF($O80="","",INDEX(Master!$L$2:$L$1001,$O80))</f>
      </c>
      <c r="N80" s="164"/>
      <c r="O80">
        <f t="array" ref="O80">IFERROR(SMALL(IF((Master!$A$2:$A$1001="SHYAM METALLIKS")*(Master!$M$2:$M$1001="130 x 130 x 6MTR"),ROW(Master!$A$2:$A$1001)-ROW(Master!$A$2)+1),76),"")</f>
      </c>
      <c r="P80">
        <f t="shared" si="3"/>
      </c>
    </row>
    <row r="81" spans="1:16" x14ac:dyDescent="0.25">
      <c r="A81" s="234">
        <f>IF($O81="","",INDEX(Master!$D$2:$D$1001,$O81))</f>
      </c>
      <c r="B81" s="165">
        <f>IF($O81="","",INDEX(Master!$B$2:$B$1001,$O81))</f>
      </c>
      <c r="C81" s="164">
        <f>IF($O81="","",INDEX(Master!$C$2:$C$1001,$O81))</f>
      </c>
      <c r="D81" s="164">
        <f>IF($O81="","",INDEX(Master!$A$2:$A$1001,$O81))</f>
      </c>
      <c r="E81" s="164">
        <f>IF($O81="","",INDEX(Master!$E$2:$E$1001,$O81))</f>
      </c>
      <c r="F81" s="164">
        <f>IF($O81="","",INDEX(Master!$F$2:$F$1001,$O81))</f>
      </c>
      <c r="G81" s="164">
        <f>IF($O81="","",INDEX(Master!$G$2:$G$1001,$O81))</f>
      </c>
      <c r="H81" s="164">
        <f>IF($O81="","",INDEX(Master!$H$2:$H$1001,$O81))</f>
      </c>
      <c r="I81" s="164">
        <f>IF($O81="","",INDEX(Master!$I$2:$I$1001,$O81))</f>
      </c>
      <c r="J81" s="164">
        <f>IF($O81="","",INDEX(Master!$J$2:$J$1001,$O81))</f>
      </c>
      <c r="K81" s="248">
        <f t="shared" si="2"/>
      </c>
      <c r="L81" s="164">
        <f>IF($O81="","",INDEX(Master!$K$2:$K$1001,$O81))</f>
      </c>
      <c r="M81" s="164">
        <f>IF($O81="","",INDEX(Master!$L$2:$L$1001,$O81))</f>
      </c>
      <c r="N81" s="164"/>
      <c r="O81">
        <f t="array" ref="O81">IFERROR(SMALL(IF((Master!$A$2:$A$1001="SHYAM METALLIKS")*(Master!$M$2:$M$1001="130 x 130 x 6MTR"),ROW(Master!$A$2:$A$1001)-ROW(Master!$A$2)+1),77),"")</f>
      </c>
      <c r="P81">
        <f t="shared" si="3"/>
      </c>
    </row>
    <row r="82" spans="1:16" x14ac:dyDescent="0.25">
      <c r="A82" s="234">
        <f>IF($O82="","",INDEX(Master!$D$2:$D$1001,$O82))</f>
      </c>
      <c r="B82" s="165">
        <f>IF($O82="","",INDEX(Master!$B$2:$B$1001,$O82))</f>
      </c>
      <c r="C82" s="164">
        <f>IF($O82="","",INDEX(Master!$C$2:$C$1001,$O82))</f>
      </c>
      <c r="D82" s="164">
        <f>IF($O82="","",INDEX(Master!$A$2:$A$1001,$O82))</f>
      </c>
      <c r="E82" s="164">
        <f>IF($O82="","",INDEX(Master!$E$2:$E$1001,$O82))</f>
      </c>
      <c r="F82" s="164">
        <f>IF($O82="","",INDEX(Master!$F$2:$F$1001,$O82))</f>
      </c>
      <c r="G82" s="164">
        <f>IF($O82="","",INDEX(Master!$G$2:$G$1001,$O82))</f>
      </c>
      <c r="H82" s="164">
        <f>IF($O82="","",INDEX(Master!$H$2:$H$1001,$O82))</f>
      </c>
      <c r="I82" s="164">
        <f>IF($O82="","",INDEX(Master!$I$2:$I$1001,$O82))</f>
      </c>
      <c r="J82" s="164">
        <f>IF($O82="","",INDEX(Master!$J$2:$J$1001,$O82))</f>
      </c>
      <c r="K82" s="248">
        <f t="shared" si="2"/>
      </c>
      <c r="L82" s="164">
        <f>IF($O82="","",INDEX(Master!$K$2:$K$1001,$O82))</f>
      </c>
      <c r="M82" s="164">
        <f>IF($O82="","",INDEX(Master!$L$2:$L$1001,$O82))</f>
      </c>
      <c r="N82" s="164"/>
      <c r="O82">
        <f t="array" ref="O82">IFERROR(SMALL(IF((Master!$A$2:$A$1001="SHYAM METALLIKS")*(Master!$M$2:$M$1001="130 x 130 x 6MTR"),ROW(Master!$A$2:$A$1001)-ROW(Master!$A$2)+1),78),"")</f>
      </c>
      <c r="P82">
        <f t="shared" si="3"/>
      </c>
    </row>
    <row r="83" spans="1:16" x14ac:dyDescent="0.25">
      <c r="A83" s="234">
        <f>IF($O83="","",INDEX(Master!$D$2:$D$1001,$O83))</f>
      </c>
      <c r="B83" s="165">
        <f>IF($O83="","",INDEX(Master!$B$2:$B$1001,$O83))</f>
      </c>
      <c r="C83" s="164">
        <f>IF($O83="","",INDEX(Master!$C$2:$C$1001,$O83))</f>
      </c>
      <c r="D83" s="164">
        <f>IF($O83="","",INDEX(Master!$A$2:$A$1001,$O83))</f>
      </c>
      <c r="E83" s="164">
        <f>IF($O83="","",INDEX(Master!$E$2:$E$1001,$O83))</f>
      </c>
      <c r="F83" s="164">
        <f>IF($O83="","",INDEX(Master!$F$2:$F$1001,$O83))</f>
      </c>
      <c r="G83" s="164">
        <f>IF($O83="","",INDEX(Master!$G$2:$G$1001,$O83))</f>
      </c>
      <c r="H83" s="164">
        <f>IF($O83="","",INDEX(Master!$H$2:$H$1001,$O83))</f>
      </c>
      <c r="I83" s="164">
        <f>IF($O83="","",INDEX(Master!$I$2:$I$1001,$O83))</f>
      </c>
      <c r="J83" s="164">
        <f>IF($O83="","",INDEX(Master!$J$2:$J$1001,$O83))</f>
      </c>
      <c r="K83" s="248">
        <f t="shared" si="2"/>
      </c>
      <c r="L83" s="164">
        <f>IF($O83="","",INDEX(Master!$K$2:$K$1001,$O83))</f>
      </c>
      <c r="M83" s="164">
        <f>IF($O83="","",INDEX(Master!$L$2:$L$1001,$O83))</f>
      </c>
      <c r="N83" s="164"/>
      <c r="O83">
        <f t="array" ref="O83">IFERROR(SMALL(IF((Master!$A$2:$A$1001="SHYAM METALLIKS")*(Master!$M$2:$M$1001="130 x 130 x 6MTR"),ROW(Master!$A$2:$A$1001)-ROW(Master!$A$2)+1),79),"")</f>
      </c>
      <c r="P83">
        <f t="shared" si="3"/>
      </c>
    </row>
    <row r="84" spans="1:16" x14ac:dyDescent="0.25">
      <c r="A84" s="234">
        <f>IF($O84="","",INDEX(Master!$D$2:$D$1001,$O84))</f>
      </c>
      <c r="B84" s="165">
        <f>IF($O84="","",INDEX(Master!$B$2:$B$1001,$O84))</f>
      </c>
      <c r="C84" s="164">
        <f>IF($O84="","",INDEX(Master!$C$2:$C$1001,$O84))</f>
      </c>
      <c r="D84" s="164">
        <f>IF($O84="","",INDEX(Master!$A$2:$A$1001,$O84))</f>
      </c>
      <c r="E84" s="164">
        <f>IF($O84="","",INDEX(Master!$E$2:$E$1001,$O84))</f>
      </c>
      <c r="F84" s="164">
        <f>IF($O84="","",INDEX(Master!$F$2:$F$1001,$O84))</f>
      </c>
      <c r="G84" s="164">
        <f>IF($O84="","",INDEX(Master!$G$2:$G$1001,$O84))</f>
      </c>
      <c r="H84" s="164">
        <f>IF($O84="","",INDEX(Master!$H$2:$H$1001,$O84))</f>
      </c>
      <c r="I84" s="164">
        <f>IF($O84="","",INDEX(Master!$I$2:$I$1001,$O84))</f>
      </c>
      <c r="J84" s="164">
        <f>IF($O84="","",INDEX(Master!$J$2:$J$1001,$O84))</f>
      </c>
      <c r="K84" s="248">
        <f t="shared" si="2"/>
      </c>
      <c r="L84" s="164">
        <f>IF($O84="","",INDEX(Master!$K$2:$K$1001,$O84))</f>
      </c>
      <c r="M84" s="164">
        <f>IF($O84="","",INDEX(Master!$L$2:$L$1001,$O84))</f>
      </c>
      <c r="N84" s="164"/>
      <c r="O84">
        <f t="array" ref="O84">IFERROR(SMALL(IF((Master!$A$2:$A$1001="SHYAM METALLIKS")*(Master!$M$2:$M$1001="130 x 130 x 6MTR"),ROW(Master!$A$2:$A$1001)-ROW(Master!$A$2)+1),80),"")</f>
      </c>
      <c r="P84">
        <f t="shared" si="3"/>
      </c>
    </row>
    <row r="85" spans="1:16" x14ac:dyDescent="0.25">
      <c r="A85" s="234">
        <f>IF($O85="","",INDEX(Master!$D$2:$D$1001,$O85))</f>
      </c>
      <c r="B85" s="165">
        <f>IF($O85="","",INDEX(Master!$B$2:$B$1001,$O85))</f>
      </c>
      <c r="C85" s="164">
        <f>IF($O85="","",INDEX(Master!$C$2:$C$1001,$O85))</f>
      </c>
      <c r="D85" s="164">
        <f>IF($O85="","",INDEX(Master!$A$2:$A$1001,$O85))</f>
      </c>
      <c r="E85" s="164">
        <f>IF($O85="","",INDEX(Master!$E$2:$E$1001,$O85))</f>
      </c>
      <c r="F85" s="164">
        <f>IF($O85="","",INDEX(Master!$F$2:$F$1001,$O85))</f>
      </c>
      <c r="G85" s="164">
        <f>IF($O85="","",INDEX(Master!$G$2:$G$1001,$O85))</f>
      </c>
      <c r="H85" s="164">
        <f>IF($O85="","",INDEX(Master!$H$2:$H$1001,$O85))</f>
      </c>
      <c r="I85" s="164">
        <f>IF($O85="","",INDEX(Master!$I$2:$I$1001,$O85))</f>
      </c>
      <c r="J85" s="164">
        <f>IF($O85="","",INDEX(Master!$J$2:$J$1001,$O85))</f>
      </c>
      <c r="K85" s="248">
        <f t="shared" si="2"/>
      </c>
      <c r="L85" s="164">
        <f>IF($O85="","",INDEX(Master!$K$2:$K$1001,$O85))</f>
      </c>
      <c r="M85" s="164">
        <f>IF($O85="","",INDEX(Master!$L$2:$L$1001,$O85))</f>
      </c>
      <c r="N85" s="164"/>
      <c r="O85">
        <f t="array" ref="O85">IFERROR(SMALL(IF((Master!$A$2:$A$1001="SHYAM METALLIKS")*(Master!$M$2:$M$1001="130 x 130 x 6MTR"),ROW(Master!$A$2:$A$1001)-ROW(Master!$A$2)+1),81),"")</f>
      </c>
      <c r="P85">
        <f t="shared" si="3"/>
      </c>
    </row>
    <row r="86" spans="1:16" x14ac:dyDescent="0.25">
      <c r="A86" s="234">
        <f>IF($O86="","",INDEX(Master!$D$2:$D$1001,$O86))</f>
      </c>
      <c r="B86" s="165">
        <f>IF($O86="","",INDEX(Master!$B$2:$B$1001,$O86))</f>
      </c>
      <c r="C86" s="164">
        <f>IF($O86="","",INDEX(Master!$C$2:$C$1001,$O86))</f>
      </c>
      <c r="D86" s="164">
        <f>IF($O86="","",INDEX(Master!$A$2:$A$1001,$O86))</f>
      </c>
      <c r="E86" s="164">
        <f>IF($O86="","",INDEX(Master!$E$2:$E$1001,$O86))</f>
      </c>
      <c r="F86" s="164">
        <f>IF($O86="","",INDEX(Master!$F$2:$F$1001,$O86))</f>
      </c>
      <c r="G86" s="164">
        <f>IF($O86="","",INDEX(Master!$G$2:$G$1001,$O86))</f>
      </c>
      <c r="H86" s="164">
        <f>IF($O86="","",INDEX(Master!$H$2:$H$1001,$O86))</f>
      </c>
      <c r="I86" s="164">
        <f>IF($O86="","",INDEX(Master!$I$2:$I$1001,$O86))</f>
      </c>
      <c r="J86" s="164">
        <f>IF($O86="","",INDEX(Master!$J$2:$J$1001,$O86))</f>
      </c>
      <c r="K86" s="248">
        <f t="shared" si="2"/>
      </c>
      <c r="L86" s="164">
        <f>IF($O86="","",INDEX(Master!$K$2:$K$1001,$O86))</f>
      </c>
      <c r="M86" s="164">
        <f>IF($O86="","",INDEX(Master!$L$2:$L$1001,$O86))</f>
      </c>
      <c r="N86" s="164"/>
      <c r="O86">
        <f t="array" ref="O86">IFERROR(SMALL(IF((Master!$A$2:$A$1001="SHYAM METALLIKS")*(Master!$M$2:$M$1001="130 x 130 x 6MTR"),ROW(Master!$A$2:$A$1001)-ROW(Master!$A$2)+1),82),"")</f>
      </c>
      <c r="P86">
        <f t="shared" si="3"/>
      </c>
    </row>
    <row r="87" spans="1:16" x14ac:dyDescent="0.25">
      <c r="A87" s="234">
        <f>IF($O87="","",INDEX(Master!$D$2:$D$1001,$O87))</f>
      </c>
      <c r="B87" s="165">
        <f>IF($O87="","",INDEX(Master!$B$2:$B$1001,$O87))</f>
      </c>
      <c r="C87" s="164">
        <f>IF($O87="","",INDEX(Master!$C$2:$C$1001,$O87))</f>
      </c>
      <c r="D87" s="164">
        <f>IF($O87="","",INDEX(Master!$A$2:$A$1001,$O87))</f>
      </c>
      <c r="E87" s="164">
        <f>IF($O87="","",INDEX(Master!$E$2:$E$1001,$O87))</f>
      </c>
      <c r="F87" s="164">
        <f>IF($O87="","",INDEX(Master!$F$2:$F$1001,$O87))</f>
      </c>
      <c r="G87" s="164">
        <f>IF($O87="","",INDEX(Master!$G$2:$G$1001,$O87))</f>
      </c>
      <c r="H87" s="164">
        <f>IF($O87="","",INDEX(Master!$H$2:$H$1001,$O87))</f>
      </c>
      <c r="I87" s="164">
        <f>IF($O87="","",INDEX(Master!$I$2:$I$1001,$O87))</f>
      </c>
      <c r="J87" s="164">
        <f>IF($O87="","",INDEX(Master!$J$2:$J$1001,$O87))</f>
      </c>
      <c r="K87" s="248">
        <f t="shared" si="2"/>
      </c>
      <c r="L87" s="164">
        <f>IF($O87="","",INDEX(Master!$K$2:$K$1001,$O87))</f>
      </c>
      <c r="M87" s="164">
        <f>IF($O87="","",INDEX(Master!$L$2:$L$1001,$O87))</f>
      </c>
      <c r="N87" s="164"/>
      <c r="O87">
        <f t="array" ref="O87">IFERROR(SMALL(IF((Master!$A$2:$A$1001="SHYAM METALLIKS")*(Master!$M$2:$M$1001="130 x 130 x 6MTR"),ROW(Master!$A$2:$A$1001)-ROW(Master!$A$2)+1),83),"")</f>
      </c>
      <c r="P87">
        <f t="shared" si="3"/>
      </c>
    </row>
    <row r="88" spans="1:16" x14ac:dyDescent="0.25">
      <c r="A88" s="234">
        <f>IF($O88="","",INDEX(Master!$D$2:$D$1001,$O88))</f>
      </c>
      <c r="B88" s="165">
        <f>IF($O88="","",INDEX(Master!$B$2:$B$1001,$O88))</f>
      </c>
      <c r="C88" s="164">
        <f>IF($O88="","",INDEX(Master!$C$2:$C$1001,$O88))</f>
      </c>
      <c r="D88" s="164">
        <f>IF($O88="","",INDEX(Master!$A$2:$A$1001,$O88))</f>
      </c>
      <c r="E88" s="164">
        <f>IF($O88="","",INDEX(Master!$E$2:$E$1001,$O88))</f>
      </c>
      <c r="F88" s="164">
        <f>IF($O88="","",INDEX(Master!$F$2:$F$1001,$O88))</f>
      </c>
      <c r="G88" s="164">
        <f>IF($O88="","",INDEX(Master!$G$2:$G$1001,$O88))</f>
      </c>
      <c r="H88" s="164">
        <f>IF($O88="","",INDEX(Master!$H$2:$H$1001,$O88))</f>
      </c>
      <c r="I88" s="164">
        <f>IF($O88="","",INDEX(Master!$I$2:$I$1001,$O88))</f>
      </c>
      <c r="J88" s="164">
        <f>IF($O88="","",INDEX(Master!$J$2:$J$1001,$O88))</f>
      </c>
      <c r="K88" s="248">
        <f t="shared" si="2"/>
      </c>
      <c r="L88" s="164">
        <f>IF($O88="","",INDEX(Master!$K$2:$K$1001,$O88))</f>
      </c>
      <c r="M88" s="164">
        <f>IF($O88="","",INDEX(Master!$L$2:$L$1001,$O88))</f>
      </c>
      <c r="N88" s="164"/>
      <c r="O88">
        <f t="array" ref="O88">IFERROR(SMALL(IF((Master!$A$2:$A$1001="SHYAM METALLIKS")*(Master!$M$2:$M$1001="130 x 130 x 6MTR"),ROW(Master!$A$2:$A$1001)-ROW(Master!$A$2)+1),84),"")</f>
      </c>
      <c r="P88">
        <f t="shared" si="3"/>
      </c>
    </row>
    <row r="89" spans="1:16" x14ac:dyDescent="0.25">
      <c r="A89" s="234">
        <f>IF($O89="","",INDEX(Master!$D$2:$D$1001,$O89))</f>
      </c>
      <c r="B89" s="165">
        <f>IF($O89="","",INDEX(Master!$B$2:$B$1001,$O89))</f>
      </c>
      <c r="C89" s="164">
        <f>IF($O89="","",INDEX(Master!$C$2:$C$1001,$O89))</f>
      </c>
      <c r="D89" s="164">
        <f>IF($O89="","",INDEX(Master!$A$2:$A$1001,$O89))</f>
      </c>
      <c r="E89" s="164">
        <f>IF($O89="","",INDEX(Master!$E$2:$E$1001,$O89))</f>
      </c>
      <c r="F89" s="164">
        <f>IF($O89="","",INDEX(Master!$F$2:$F$1001,$O89))</f>
      </c>
      <c r="G89" s="164">
        <f>IF($O89="","",INDEX(Master!$G$2:$G$1001,$O89))</f>
      </c>
      <c r="H89" s="164">
        <f>IF($O89="","",INDEX(Master!$H$2:$H$1001,$O89))</f>
      </c>
      <c r="I89" s="164">
        <f>IF($O89="","",INDEX(Master!$I$2:$I$1001,$O89))</f>
      </c>
      <c r="J89" s="164">
        <f>IF($O89="","",INDEX(Master!$J$2:$J$1001,$O89))</f>
      </c>
      <c r="K89" s="248">
        <f t="shared" si="2"/>
      </c>
      <c r="L89" s="164">
        <f>IF($O89="","",INDEX(Master!$K$2:$K$1001,$O89))</f>
      </c>
      <c r="M89" s="164">
        <f>IF($O89="","",INDEX(Master!$L$2:$L$1001,$O89))</f>
      </c>
      <c r="N89" s="164"/>
      <c r="O89">
        <f t="array" ref="O89">IFERROR(SMALL(IF((Master!$A$2:$A$1001="SHYAM METALLIKS")*(Master!$M$2:$M$1001="130 x 130 x 6MTR"),ROW(Master!$A$2:$A$1001)-ROW(Master!$A$2)+1),85),"")</f>
      </c>
      <c r="P89">
        <f t="shared" si="3"/>
      </c>
    </row>
    <row r="90" spans="1:16" x14ac:dyDescent="0.25">
      <c r="A90" s="234">
        <f>IF($O90="","",INDEX(Master!$D$2:$D$1001,$O90))</f>
      </c>
      <c r="B90" s="165">
        <f>IF($O90="","",INDEX(Master!$B$2:$B$1001,$O90))</f>
      </c>
      <c r="C90" s="164">
        <f>IF($O90="","",INDEX(Master!$C$2:$C$1001,$O90))</f>
      </c>
      <c r="D90" s="164">
        <f>IF($O90="","",INDEX(Master!$A$2:$A$1001,$O90))</f>
      </c>
      <c r="E90" s="164">
        <f>IF($O90="","",INDEX(Master!$E$2:$E$1001,$O90))</f>
      </c>
      <c r="F90" s="164">
        <f>IF($O90="","",INDEX(Master!$F$2:$F$1001,$O90))</f>
      </c>
      <c r="G90" s="164">
        <f>IF($O90="","",INDEX(Master!$G$2:$G$1001,$O90))</f>
      </c>
      <c r="H90" s="164">
        <f>IF($O90="","",INDEX(Master!$H$2:$H$1001,$O90))</f>
      </c>
      <c r="I90" s="164">
        <f>IF($O90="","",INDEX(Master!$I$2:$I$1001,$O90))</f>
      </c>
      <c r="J90" s="164">
        <f>IF($O90="","",INDEX(Master!$J$2:$J$1001,$O90))</f>
      </c>
      <c r="K90" s="248">
        <f t="shared" si="2"/>
      </c>
      <c r="L90" s="164">
        <f>IF($O90="","",INDEX(Master!$K$2:$K$1001,$O90))</f>
      </c>
      <c r="M90" s="164">
        <f>IF($O90="","",INDEX(Master!$L$2:$L$1001,$O90))</f>
      </c>
      <c r="N90" s="164"/>
      <c r="O90">
        <f t="array" ref="O90">IFERROR(SMALL(IF((Master!$A$2:$A$1001="SHYAM METALLIKS")*(Master!$M$2:$M$1001="130 x 130 x 6MTR"),ROW(Master!$A$2:$A$1001)-ROW(Master!$A$2)+1),86),"")</f>
      </c>
      <c r="P90">
        <f t="shared" si="3"/>
      </c>
    </row>
    <row r="91" spans="1:16" x14ac:dyDescent="0.25">
      <c r="A91" s="234">
        <f>IF($O91="","",INDEX(Master!$D$2:$D$1001,$O91))</f>
      </c>
      <c r="B91" s="165">
        <f>IF($O91="","",INDEX(Master!$B$2:$B$1001,$O91))</f>
      </c>
      <c r="C91" s="164">
        <f>IF($O91="","",INDEX(Master!$C$2:$C$1001,$O91))</f>
      </c>
      <c r="D91" s="164">
        <f>IF($O91="","",INDEX(Master!$A$2:$A$1001,$O91))</f>
      </c>
      <c r="E91" s="164">
        <f>IF($O91="","",INDEX(Master!$E$2:$E$1001,$O91))</f>
      </c>
      <c r="F91" s="164">
        <f>IF($O91="","",INDEX(Master!$F$2:$F$1001,$O91))</f>
      </c>
      <c r="G91" s="164">
        <f>IF($O91="","",INDEX(Master!$G$2:$G$1001,$O91))</f>
      </c>
      <c r="H91" s="164">
        <f>IF($O91="","",INDEX(Master!$H$2:$H$1001,$O91))</f>
      </c>
      <c r="I91" s="164">
        <f>IF($O91="","",INDEX(Master!$I$2:$I$1001,$O91))</f>
      </c>
      <c r="J91" s="164">
        <f>IF($O91="","",INDEX(Master!$J$2:$J$1001,$O91))</f>
      </c>
      <c r="K91" s="248">
        <f t="shared" si="2"/>
      </c>
      <c r="L91" s="164">
        <f>IF($O91="","",INDEX(Master!$K$2:$K$1001,$O91))</f>
      </c>
      <c r="M91" s="164">
        <f>IF($O91="","",INDEX(Master!$L$2:$L$1001,$O91))</f>
      </c>
      <c r="N91" s="164"/>
      <c r="O91">
        <f t="array" ref="O91">IFERROR(SMALL(IF((Master!$A$2:$A$1001="SHYAM METALLIKS")*(Master!$M$2:$M$1001="130 x 130 x 6MTR"),ROW(Master!$A$2:$A$1001)-ROW(Master!$A$2)+1),87),"")</f>
      </c>
      <c r="P91">
        <f t="shared" si="3"/>
      </c>
    </row>
    <row r="92" spans="1:16" x14ac:dyDescent="0.25">
      <c r="A92" s="234">
        <f>IF($O92="","",INDEX(Master!$D$2:$D$1001,$O92))</f>
      </c>
      <c r="B92" s="165">
        <f>IF($O92="","",INDEX(Master!$B$2:$B$1001,$O92))</f>
      </c>
      <c r="C92" s="164">
        <f>IF($O92="","",INDEX(Master!$C$2:$C$1001,$O92))</f>
      </c>
      <c r="D92" s="164">
        <f>IF($O92="","",INDEX(Master!$A$2:$A$1001,$O92))</f>
      </c>
      <c r="E92" s="164">
        <f>IF($O92="","",INDEX(Master!$E$2:$E$1001,$O92))</f>
      </c>
      <c r="F92" s="164">
        <f>IF($O92="","",INDEX(Master!$F$2:$F$1001,$O92))</f>
      </c>
      <c r="G92" s="164">
        <f>IF($O92="","",INDEX(Master!$G$2:$G$1001,$O92))</f>
      </c>
      <c r="H92" s="164">
        <f>IF($O92="","",INDEX(Master!$H$2:$H$1001,$O92))</f>
      </c>
      <c r="I92" s="164">
        <f>IF($O92="","",INDEX(Master!$I$2:$I$1001,$O92))</f>
      </c>
      <c r="J92" s="164">
        <f>IF($O92="","",INDEX(Master!$J$2:$J$1001,$O92))</f>
      </c>
      <c r="K92" s="248">
        <f t="shared" si="2"/>
      </c>
      <c r="L92" s="164">
        <f>IF($O92="","",INDEX(Master!$K$2:$K$1001,$O92))</f>
      </c>
      <c r="M92" s="164">
        <f>IF($O92="","",INDEX(Master!$L$2:$L$1001,$O92))</f>
      </c>
      <c r="N92" s="164"/>
      <c r="O92">
        <f t="array" ref="O92">IFERROR(SMALL(IF((Master!$A$2:$A$1001="SHYAM METALLIKS")*(Master!$M$2:$M$1001="130 x 130 x 6MTR"),ROW(Master!$A$2:$A$1001)-ROW(Master!$A$2)+1),88),"")</f>
      </c>
      <c r="P92">
        <f t="shared" si="3"/>
      </c>
    </row>
    <row r="93" spans="1:16" x14ac:dyDescent="0.25">
      <c r="A93" s="234">
        <f>IF($O93="","",INDEX(Master!$D$2:$D$1001,$O93))</f>
      </c>
      <c r="B93" s="165">
        <f>IF($O93="","",INDEX(Master!$B$2:$B$1001,$O93))</f>
      </c>
      <c r="C93" s="164">
        <f>IF($O93="","",INDEX(Master!$C$2:$C$1001,$O93))</f>
      </c>
      <c r="D93" s="164">
        <f>IF($O93="","",INDEX(Master!$A$2:$A$1001,$O93))</f>
      </c>
      <c r="E93" s="164">
        <f>IF($O93="","",INDEX(Master!$E$2:$E$1001,$O93))</f>
      </c>
      <c r="F93" s="164">
        <f>IF($O93="","",INDEX(Master!$F$2:$F$1001,$O93))</f>
      </c>
      <c r="G93" s="164">
        <f>IF($O93="","",INDEX(Master!$G$2:$G$1001,$O93))</f>
      </c>
      <c r="H93" s="164">
        <f>IF($O93="","",INDEX(Master!$H$2:$H$1001,$O93))</f>
      </c>
      <c r="I93" s="164">
        <f>IF($O93="","",INDEX(Master!$I$2:$I$1001,$O93))</f>
      </c>
      <c r="J93" s="164">
        <f>IF($O93="","",INDEX(Master!$J$2:$J$1001,$O93))</f>
      </c>
      <c r="K93" s="248">
        <f t="shared" si="2"/>
      </c>
      <c r="L93" s="164">
        <f>IF($O93="","",INDEX(Master!$K$2:$K$1001,$O93))</f>
      </c>
      <c r="M93" s="164">
        <f>IF($O93="","",INDEX(Master!$L$2:$L$1001,$O93))</f>
      </c>
      <c r="N93" s="164"/>
      <c r="O93">
        <f t="array" ref="O93">IFERROR(SMALL(IF((Master!$A$2:$A$1001="SHYAM METALLIKS")*(Master!$M$2:$M$1001="130 x 130 x 6MTR"),ROW(Master!$A$2:$A$1001)-ROW(Master!$A$2)+1),89),"")</f>
      </c>
      <c r="P93">
        <f t="shared" si="3"/>
      </c>
    </row>
    <row r="94" spans="1:16" x14ac:dyDescent="0.25">
      <c r="A94" s="234">
        <f>IF($O94="","",INDEX(Master!$D$2:$D$1001,$O94))</f>
      </c>
      <c r="B94" s="165">
        <f>IF($O94="","",INDEX(Master!$B$2:$B$1001,$O94))</f>
      </c>
      <c r="C94" s="164">
        <f>IF($O94="","",INDEX(Master!$C$2:$C$1001,$O94))</f>
      </c>
      <c r="D94" s="164">
        <f>IF($O94="","",INDEX(Master!$A$2:$A$1001,$O94))</f>
      </c>
      <c r="E94" s="164">
        <f>IF($O94="","",INDEX(Master!$E$2:$E$1001,$O94))</f>
      </c>
      <c r="F94" s="164">
        <f>IF($O94="","",INDEX(Master!$F$2:$F$1001,$O94))</f>
      </c>
      <c r="G94" s="164">
        <f>IF($O94="","",INDEX(Master!$G$2:$G$1001,$O94))</f>
      </c>
      <c r="H94" s="164">
        <f>IF($O94="","",INDEX(Master!$H$2:$H$1001,$O94))</f>
      </c>
      <c r="I94" s="164">
        <f>IF($O94="","",INDEX(Master!$I$2:$I$1001,$O94))</f>
      </c>
      <c r="J94" s="164">
        <f>IF($O94="","",INDEX(Master!$J$2:$J$1001,$O94))</f>
      </c>
      <c r="K94" s="248">
        <f t="shared" si="2"/>
      </c>
      <c r="L94" s="164">
        <f>IF($O94="","",INDEX(Master!$K$2:$K$1001,$O94))</f>
      </c>
      <c r="M94" s="164">
        <f>IF($O94="","",INDEX(Master!$L$2:$L$1001,$O94))</f>
      </c>
      <c r="N94" s="164"/>
      <c r="O94">
        <f t="array" ref="O94">IFERROR(SMALL(IF((Master!$A$2:$A$1001="SHYAM METALLIKS")*(Master!$M$2:$M$1001="130 x 130 x 6MTR"),ROW(Master!$A$2:$A$1001)-ROW(Master!$A$2)+1),90),"")</f>
      </c>
      <c r="P94">
        <f t="shared" si="3"/>
      </c>
    </row>
    <row r="95" spans="1:16" x14ac:dyDescent="0.25">
      <c r="A95" s="234">
        <f>IF($O95="","",INDEX(Master!$D$2:$D$1001,$O95))</f>
      </c>
      <c r="B95" s="165">
        <f>IF($O95="","",INDEX(Master!$B$2:$B$1001,$O95))</f>
      </c>
      <c r="C95" s="164">
        <f>IF($O95="","",INDEX(Master!$C$2:$C$1001,$O95))</f>
      </c>
      <c r="D95" s="164">
        <f>IF($O95="","",INDEX(Master!$A$2:$A$1001,$O95))</f>
      </c>
      <c r="E95" s="164">
        <f>IF($O95="","",INDEX(Master!$E$2:$E$1001,$O95))</f>
      </c>
      <c r="F95" s="164">
        <f>IF($O95="","",INDEX(Master!$F$2:$F$1001,$O95))</f>
      </c>
      <c r="G95" s="164">
        <f>IF($O95="","",INDEX(Master!$G$2:$G$1001,$O95))</f>
      </c>
      <c r="H95" s="164">
        <f>IF($O95="","",INDEX(Master!$H$2:$H$1001,$O95))</f>
      </c>
      <c r="I95" s="164">
        <f>IF($O95="","",INDEX(Master!$I$2:$I$1001,$O95))</f>
      </c>
      <c r="J95" s="164">
        <f>IF($O95="","",INDEX(Master!$J$2:$J$1001,$O95))</f>
      </c>
      <c r="K95" s="248">
        <f t="shared" si="2"/>
      </c>
      <c r="L95" s="164">
        <f>IF($O95="","",INDEX(Master!$K$2:$K$1001,$O95))</f>
      </c>
      <c r="M95" s="164">
        <f>IF($O95="","",INDEX(Master!$L$2:$L$1001,$O95))</f>
      </c>
      <c r="N95" s="164"/>
      <c r="O95">
        <f t="array" ref="O95">IFERROR(SMALL(IF((Master!$A$2:$A$1001="SHYAM METALLIKS")*(Master!$M$2:$M$1001="130 x 130 x 6MTR"),ROW(Master!$A$2:$A$1001)-ROW(Master!$A$2)+1),91),"")</f>
      </c>
      <c r="P95">
        <f t="shared" si="3"/>
      </c>
    </row>
    <row r="96" spans="1:16" x14ac:dyDescent="0.25">
      <c r="A96" s="234">
        <f>IF($O96="","",INDEX(Master!$D$2:$D$1001,$O96))</f>
      </c>
      <c r="B96" s="165">
        <f>IF($O96="","",INDEX(Master!$B$2:$B$1001,$O96))</f>
      </c>
      <c r="C96" s="164">
        <f>IF($O96="","",INDEX(Master!$C$2:$C$1001,$O96))</f>
      </c>
      <c r="D96" s="164">
        <f>IF($O96="","",INDEX(Master!$A$2:$A$1001,$O96))</f>
      </c>
      <c r="E96" s="164">
        <f>IF($O96="","",INDEX(Master!$E$2:$E$1001,$O96))</f>
      </c>
      <c r="F96" s="164">
        <f>IF($O96="","",INDEX(Master!$F$2:$F$1001,$O96))</f>
      </c>
      <c r="G96" s="164">
        <f>IF($O96="","",INDEX(Master!$G$2:$G$1001,$O96))</f>
      </c>
      <c r="H96" s="164">
        <f>IF($O96="","",INDEX(Master!$H$2:$H$1001,$O96))</f>
      </c>
      <c r="I96" s="164">
        <f>IF($O96="","",INDEX(Master!$I$2:$I$1001,$O96))</f>
      </c>
      <c r="J96" s="164">
        <f>IF($O96="","",INDEX(Master!$J$2:$J$1001,$O96))</f>
      </c>
      <c r="K96" s="248">
        <f t="shared" si="2"/>
      </c>
      <c r="L96" s="164">
        <f>IF($O96="","",INDEX(Master!$K$2:$K$1001,$O96))</f>
      </c>
      <c r="M96" s="164">
        <f>IF($O96="","",INDEX(Master!$L$2:$L$1001,$O96))</f>
      </c>
      <c r="N96" s="164"/>
      <c r="O96">
        <f t="array" ref="O96">IFERROR(SMALL(IF((Master!$A$2:$A$1001="SHYAM METALLIKS")*(Master!$M$2:$M$1001="130 x 130 x 6MTR"),ROW(Master!$A$2:$A$1001)-ROW(Master!$A$2)+1),92),"")</f>
      </c>
      <c r="P96">
        <f t="shared" si="3"/>
      </c>
    </row>
    <row r="97" spans="1:16" x14ac:dyDescent="0.25">
      <c r="A97" s="234">
        <f>IF($O97="","",INDEX(Master!$D$2:$D$1001,$O97))</f>
      </c>
      <c r="B97" s="165">
        <f>IF($O97="","",INDEX(Master!$B$2:$B$1001,$O97))</f>
      </c>
      <c r="C97" s="164">
        <f>IF($O97="","",INDEX(Master!$C$2:$C$1001,$O97))</f>
      </c>
      <c r="D97" s="164">
        <f>IF($O97="","",INDEX(Master!$A$2:$A$1001,$O97))</f>
      </c>
      <c r="E97" s="164">
        <f>IF($O97="","",INDEX(Master!$E$2:$E$1001,$O97))</f>
      </c>
      <c r="F97" s="164">
        <f>IF($O97="","",INDEX(Master!$F$2:$F$1001,$O97))</f>
      </c>
      <c r="G97" s="164">
        <f>IF($O97="","",INDEX(Master!$G$2:$G$1001,$O97))</f>
      </c>
      <c r="H97" s="164">
        <f>IF($O97="","",INDEX(Master!$H$2:$H$1001,$O97))</f>
      </c>
      <c r="I97" s="164">
        <f>IF($O97="","",INDEX(Master!$I$2:$I$1001,$O97))</f>
      </c>
      <c r="J97" s="164">
        <f>IF($O97="","",INDEX(Master!$J$2:$J$1001,$O97))</f>
      </c>
      <c r="K97" s="248">
        <f t="shared" si="2"/>
      </c>
      <c r="L97" s="164">
        <f>IF($O97="","",INDEX(Master!$K$2:$K$1001,$O97))</f>
      </c>
      <c r="M97" s="164">
        <f>IF($O97="","",INDEX(Master!$L$2:$L$1001,$O97))</f>
      </c>
      <c r="N97" s="164"/>
      <c r="O97">
        <f t="array" ref="O97">IFERROR(SMALL(IF((Master!$A$2:$A$1001="SHYAM METALLIKS")*(Master!$M$2:$M$1001="130 x 130 x 6MTR"),ROW(Master!$A$2:$A$1001)-ROW(Master!$A$2)+1),93),"")</f>
      </c>
      <c r="P97">
        <f t="shared" si="3"/>
      </c>
    </row>
    <row r="98" spans="1:16" x14ac:dyDescent="0.25">
      <c r="A98" s="234">
        <f>IF($O98="","",INDEX(Master!$D$2:$D$1001,$O98))</f>
      </c>
      <c r="B98" s="165">
        <f>IF($O98="","",INDEX(Master!$B$2:$B$1001,$O98))</f>
      </c>
      <c r="C98" s="164">
        <f>IF($O98="","",INDEX(Master!$C$2:$C$1001,$O98))</f>
      </c>
      <c r="D98" s="164">
        <f>IF($O98="","",INDEX(Master!$A$2:$A$1001,$O98))</f>
      </c>
      <c r="E98" s="164">
        <f>IF($O98="","",INDEX(Master!$E$2:$E$1001,$O98))</f>
      </c>
      <c r="F98" s="164">
        <f>IF($O98="","",INDEX(Master!$F$2:$F$1001,$O98))</f>
      </c>
      <c r="G98" s="164">
        <f>IF($O98="","",INDEX(Master!$G$2:$G$1001,$O98))</f>
      </c>
      <c r="H98" s="164">
        <f>IF($O98="","",INDEX(Master!$H$2:$H$1001,$O98))</f>
      </c>
      <c r="I98" s="164">
        <f>IF($O98="","",INDEX(Master!$I$2:$I$1001,$O98))</f>
      </c>
      <c r="J98" s="164">
        <f>IF($O98="","",INDEX(Master!$J$2:$J$1001,$O98))</f>
      </c>
      <c r="K98" s="248">
        <f t="shared" si="2"/>
      </c>
      <c r="L98" s="164">
        <f>IF($O98="","",INDEX(Master!$K$2:$K$1001,$O98))</f>
      </c>
      <c r="M98" s="164">
        <f>IF($O98="","",INDEX(Master!$L$2:$L$1001,$O98))</f>
      </c>
      <c r="N98" s="164"/>
      <c r="O98">
        <f t="array" ref="O98">IFERROR(SMALL(IF((Master!$A$2:$A$1001="SHYAM METALLIKS")*(Master!$M$2:$M$1001="130 x 130 x 6MTR"),ROW(Master!$A$2:$A$1001)-ROW(Master!$A$2)+1),94),"")</f>
      </c>
      <c r="P98">
        <f t="shared" si="3"/>
      </c>
    </row>
    <row r="99" spans="1:16" x14ac:dyDescent="0.25">
      <c r="A99" s="234">
        <f>IF($O99="","",INDEX(Master!$D$2:$D$1001,$O99))</f>
      </c>
      <c r="B99" s="165">
        <f>IF($O99="","",INDEX(Master!$B$2:$B$1001,$O99))</f>
      </c>
      <c r="C99" s="164">
        <f>IF($O99="","",INDEX(Master!$C$2:$C$1001,$O99))</f>
      </c>
      <c r="D99" s="164">
        <f>IF($O99="","",INDEX(Master!$A$2:$A$1001,$O99))</f>
      </c>
      <c r="E99" s="164">
        <f>IF($O99="","",INDEX(Master!$E$2:$E$1001,$O99))</f>
      </c>
      <c r="F99" s="164">
        <f>IF($O99="","",INDEX(Master!$F$2:$F$1001,$O99))</f>
      </c>
      <c r="G99" s="164">
        <f>IF($O99="","",INDEX(Master!$G$2:$G$1001,$O99))</f>
      </c>
      <c r="H99" s="164">
        <f>IF($O99="","",INDEX(Master!$H$2:$H$1001,$O99))</f>
      </c>
      <c r="I99" s="164">
        <f>IF($O99="","",INDEX(Master!$I$2:$I$1001,$O99))</f>
      </c>
      <c r="J99" s="164">
        <f>IF($O99="","",INDEX(Master!$J$2:$J$1001,$O99))</f>
      </c>
      <c r="K99" s="248">
        <f t="shared" si="2"/>
      </c>
      <c r="L99" s="164">
        <f>IF($O99="","",INDEX(Master!$K$2:$K$1001,$O99))</f>
      </c>
      <c r="M99" s="164">
        <f>IF($O99="","",INDEX(Master!$L$2:$L$1001,$O99))</f>
      </c>
      <c r="N99" s="164"/>
      <c r="O99">
        <f t="array" ref="O99">IFERROR(SMALL(IF((Master!$A$2:$A$1001="SHYAM METALLIKS")*(Master!$M$2:$M$1001="130 x 130 x 6MTR"),ROW(Master!$A$2:$A$1001)-ROW(Master!$A$2)+1),95),"")</f>
      </c>
      <c r="P99">
        <f t="shared" si="3"/>
      </c>
    </row>
    <row r="100" spans="1:16" x14ac:dyDescent="0.25">
      <c r="A100" s="234">
        <f>IF($O100="","",INDEX(Master!$D$2:$D$1001,$O100))</f>
      </c>
      <c r="B100" s="165">
        <f>IF($O100="","",INDEX(Master!$B$2:$B$1001,$O100))</f>
      </c>
      <c r="C100" s="164">
        <f>IF($O100="","",INDEX(Master!$C$2:$C$1001,$O100))</f>
      </c>
      <c r="D100" s="164">
        <f>IF($O100="","",INDEX(Master!$A$2:$A$1001,$O100))</f>
      </c>
      <c r="E100" s="164">
        <f>IF($O100="","",INDEX(Master!$E$2:$E$1001,$O100))</f>
      </c>
      <c r="F100" s="164">
        <f>IF($O100="","",INDEX(Master!$F$2:$F$1001,$O100))</f>
      </c>
      <c r="G100" s="164">
        <f>IF($O100="","",INDEX(Master!$G$2:$G$1001,$O100))</f>
      </c>
      <c r="H100" s="164">
        <f>IF($O100="","",INDEX(Master!$H$2:$H$1001,$O100))</f>
      </c>
      <c r="I100" s="164">
        <f>IF($O100="","",INDEX(Master!$I$2:$I$1001,$O100))</f>
      </c>
      <c r="J100" s="164">
        <f>IF($O100="","",INDEX(Master!$J$2:$J$1001,$O100))</f>
      </c>
      <c r="K100" s="248">
        <f t="shared" si="2"/>
      </c>
      <c r="L100" s="164">
        <f>IF($O100="","",INDEX(Master!$K$2:$K$1001,$O100))</f>
      </c>
      <c r="M100" s="164">
        <f>IF($O100="","",INDEX(Master!$L$2:$L$1001,$O100))</f>
      </c>
      <c r="N100" s="164"/>
      <c r="O100">
        <f t="array" ref="O100">IFERROR(SMALL(IF((Master!$A$2:$A$1001="SHYAM METALLIKS")*(Master!$M$2:$M$1001="130 x 130 x 6MTR"),ROW(Master!$A$2:$A$1001)-ROW(Master!$A$2)+1),96),"")</f>
      </c>
      <c r="P100">
        <f t="shared" si="3"/>
      </c>
    </row>
    <row r="101" spans="1:16" x14ac:dyDescent="0.25">
      <c r="A101" s="234">
        <f>IF($O101="","",INDEX(Master!$D$2:$D$1001,$O101))</f>
      </c>
      <c r="B101" s="165">
        <f>IF($O101="","",INDEX(Master!$B$2:$B$1001,$O101))</f>
      </c>
      <c r="C101" s="164">
        <f>IF($O101="","",INDEX(Master!$C$2:$C$1001,$O101))</f>
      </c>
      <c r="D101" s="164">
        <f>IF($O101="","",INDEX(Master!$A$2:$A$1001,$O101))</f>
      </c>
      <c r="E101" s="164">
        <f>IF($O101="","",INDEX(Master!$E$2:$E$1001,$O101))</f>
      </c>
      <c r="F101" s="164">
        <f>IF($O101="","",INDEX(Master!$F$2:$F$1001,$O101))</f>
      </c>
      <c r="G101" s="164">
        <f>IF($O101="","",INDEX(Master!$G$2:$G$1001,$O101))</f>
      </c>
      <c r="H101" s="164">
        <f>IF($O101="","",INDEX(Master!$H$2:$H$1001,$O101))</f>
      </c>
      <c r="I101" s="164">
        <f>IF($O101="","",INDEX(Master!$I$2:$I$1001,$O101))</f>
      </c>
      <c r="J101" s="164">
        <f>IF($O101="","",INDEX(Master!$J$2:$J$1001,$O101))</f>
      </c>
      <c r="K101" s="248">
        <f t="shared" si="2"/>
      </c>
      <c r="L101" s="164">
        <f>IF($O101="","",INDEX(Master!$K$2:$K$1001,$O101))</f>
      </c>
      <c r="M101" s="164">
        <f>IF($O101="","",INDEX(Master!$L$2:$L$1001,$O101))</f>
      </c>
      <c r="N101" s="164"/>
      <c r="O101">
        <f t="array" ref="O101">IFERROR(SMALL(IF((Master!$A$2:$A$1001="SHYAM METALLIKS")*(Master!$M$2:$M$1001="130 x 130 x 6MTR"),ROW(Master!$A$2:$A$1001)-ROW(Master!$A$2)+1),97),"")</f>
      </c>
      <c r="P101">
        <f t="shared" si="3"/>
      </c>
    </row>
    <row r="102" spans="1:16" x14ac:dyDescent="0.25">
      <c r="A102" s="234">
        <f>IF($O102="","",INDEX(Master!$D$2:$D$1001,$O102))</f>
      </c>
      <c r="B102" s="165">
        <f>IF($O102="","",INDEX(Master!$B$2:$B$1001,$O102))</f>
      </c>
      <c r="C102" s="164">
        <f>IF($O102="","",INDEX(Master!$C$2:$C$1001,$O102))</f>
      </c>
      <c r="D102" s="164">
        <f>IF($O102="","",INDEX(Master!$A$2:$A$1001,$O102))</f>
      </c>
      <c r="E102" s="164">
        <f>IF($O102="","",INDEX(Master!$E$2:$E$1001,$O102))</f>
      </c>
      <c r="F102" s="164">
        <f>IF($O102="","",INDEX(Master!$F$2:$F$1001,$O102))</f>
      </c>
      <c r="G102" s="164">
        <f>IF($O102="","",INDEX(Master!$G$2:$G$1001,$O102))</f>
      </c>
      <c r="H102" s="164">
        <f>IF($O102="","",INDEX(Master!$H$2:$H$1001,$O102))</f>
      </c>
      <c r="I102" s="164">
        <f>IF($O102="","",INDEX(Master!$I$2:$I$1001,$O102))</f>
      </c>
      <c r="J102" s="164">
        <f>IF($O102="","",INDEX(Master!$J$2:$J$1001,$O102))</f>
      </c>
      <c r="K102" s="248">
        <f t="shared" si="2"/>
      </c>
      <c r="L102" s="164">
        <f>IF($O102="","",INDEX(Master!$K$2:$K$1001,$O102))</f>
      </c>
      <c r="M102" s="164">
        <f>IF($O102="","",INDEX(Master!$L$2:$L$1001,$O102))</f>
      </c>
      <c r="N102" s="164"/>
      <c r="O102">
        <f t="array" ref="O102">IFERROR(SMALL(IF((Master!$A$2:$A$1001="SHYAM METALLIKS")*(Master!$M$2:$M$1001="130 x 130 x 6MTR"),ROW(Master!$A$2:$A$1001)-ROW(Master!$A$2)+1),98),"")</f>
      </c>
      <c r="P102">
        <f t="shared" si="3"/>
      </c>
    </row>
    <row r="103" spans="1:16" x14ac:dyDescent="0.25">
      <c r="A103" s="234">
        <f>IF($O103="","",INDEX(Master!$D$2:$D$1001,$O103))</f>
      </c>
      <c r="B103" s="165">
        <f>IF($O103="","",INDEX(Master!$B$2:$B$1001,$O103))</f>
      </c>
      <c r="C103" s="164">
        <f>IF($O103="","",INDEX(Master!$C$2:$C$1001,$O103))</f>
      </c>
      <c r="D103" s="164">
        <f>IF($O103="","",INDEX(Master!$A$2:$A$1001,$O103))</f>
      </c>
      <c r="E103" s="164">
        <f>IF($O103="","",INDEX(Master!$E$2:$E$1001,$O103))</f>
      </c>
      <c r="F103" s="164">
        <f>IF($O103="","",INDEX(Master!$F$2:$F$1001,$O103))</f>
      </c>
      <c r="G103" s="164">
        <f>IF($O103="","",INDEX(Master!$G$2:$G$1001,$O103))</f>
      </c>
      <c r="H103" s="164">
        <f>IF($O103="","",INDEX(Master!$H$2:$H$1001,$O103))</f>
      </c>
      <c r="I103" s="164">
        <f>IF($O103="","",INDEX(Master!$I$2:$I$1001,$O103))</f>
      </c>
      <c r="J103" s="164">
        <f>IF($O103="","",INDEX(Master!$J$2:$J$1001,$O103))</f>
      </c>
      <c r="K103" s="248">
        <f t="shared" si="2"/>
      </c>
      <c r="L103" s="164">
        <f>IF($O103="","",INDEX(Master!$K$2:$K$1001,$O103))</f>
      </c>
      <c r="M103" s="164">
        <f>IF($O103="","",INDEX(Master!$L$2:$L$1001,$O103))</f>
      </c>
      <c r="N103" s="164"/>
      <c r="O103">
        <f t="array" ref="O103">IFERROR(SMALL(IF((Master!$A$2:$A$1001="SHYAM METALLIKS")*(Master!$M$2:$M$1001="130 x 130 x 6MTR"),ROW(Master!$A$2:$A$1001)-ROW(Master!$A$2)+1),99),"")</f>
      </c>
      <c r="P103">
        <f t="shared" si="3"/>
      </c>
    </row>
    <row r="104" spans="1:16" x14ac:dyDescent="0.25">
      <c r="A104" s="234">
        <f>IF($O104="","",INDEX(Master!$D$2:$D$1001,$O104))</f>
      </c>
      <c r="B104" s="165">
        <f>IF($O104="","",INDEX(Master!$B$2:$B$1001,$O104))</f>
      </c>
      <c r="C104" s="164">
        <f>IF($O104="","",INDEX(Master!$C$2:$C$1001,$O104))</f>
      </c>
      <c r="D104" s="164">
        <f>IF($O104="","",INDEX(Master!$A$2:$A$1001,$O104))</f>
      </c>
      <c r="E104" s="164">
        <f>IF($O104="","",INDEX(Master!$E$2:$E$1001,$O104))</f>
      </c>
      <c r="F104" s="164">
        <f>IF($O104="","",INDEX(Master!$F$2:$F$1001,$O104))</f>
      </c>
      <c r="G104" s="164">
        <f>IF($O104="","",INDEX(Master!$G$2:$G$1001,$O104))</f>
      </c>
      <c r="H104" s="164">
        <f>IF($O104="","",INDEX(Master!$H$2:$H$1001,$O104))</f>
      </c>
      <c r="I104" s="164">
        <f>IF($O104="","",INDEX(Master!$I$2:$I$1001,$O104))</f>
      </c>
      <c r="J104" s="164">
        <f>IF($O104="","",INDEX(Master!$J$2:$J$1001,$O104))</f>
      </c>
      <c r="K104" s="248">
        <f t="shared" si="2"/>
      </c>
      <c r="L104" s="164">
        <f>IF($O104="","",INDEX(Master!$K$2:$K$1001,$O104))</f>
      </c>
      <c r="M104" s="164">
        <f>IF($O104="","",INDEX(Master!$L$2:$L$1001,$O104))</f>
      </c>
      <c r="N104" s="164"/>
      <c r="O104">
        <f t="array" ref="O104">IFERROR(SMALL(IF((Master!$A$2:$A$1001="SHYAM METALLIKS")*(Master!$M$2:$M$1001="130 x 130 x 6MTR"),ROW(Master!$A$2:$A$1001)-ROW(Master!$A$2)+1),100),"")</f>
      </c>
      <c r="P104">
        <f t="shared" si="3"/>
      </c>
    </row>
    <row r="105" spans="1:16" x14ac:dyDescent="0.25">
      <c r="A105" s="234">
        <f>IF($O105="","",INDEX(Master!$D$2:$D$1001,$O105))</f>
      </c>
      <c r="B105" s="165">
        <f>IF($O105="","",INDEX(Master!$B$2:$B$1001,$O105))</f>
      </c>
      <c r="C105" s="164">
        <f>IF($O105="","",INDEX(Master!$C$2:$C$1001,$O105))</f>
      </c>
      <c r="D105" s="164">
        <f>IF($O105="","",INDEX(Master!$A$2:$A$1001,$O105))</f>
      </c>
      <c r="E105" s="164">
        <f>IF($O105="","",INDEX(Master!$E$2:$E$1001,$O105))</f>
      </c>
      <c r="F105" s="164">
        <f>IF($O105="","",INDEX(Master!$F$2:$F$1001,$O105))</f>
      </c>
      <c r="G105" s="164">
        <f>IF($O105="","",INDEX(Master!$G$2:$G$1001,$O105))</f>
      </c>
      <c r="H105" s="164">
        <f>IF($O105="","",INDEX(Master!$H$2:$H$1001,$O105))</f>
      </c>
      <c r="I105" s="164">
        <f>IF($O105="","",INDEX(Master!$I$2:$I$1001,$O105))</f>
      </c>
      <c r="J105" s="164">
        <f>IF($O105="","",INDEX(Master!$J$2:$J$1001,$O105))</f>
      </c>
      <c r="K105" s="248">
        <f t="shared" si="2"/>
      </c>
      <c r="L105" s="164">
        <f>IF($O105="","",INDEX(Master!$K$2:$K$1001,$O105))</f>
      </c>
      <c r="M105" s="164">
        <f>IF($O105="","",INDEX(Master!$L$2:$L$1001,$O105))</f>
      </c>
      <c r="N105" s="164"/>
      <c r="O105">
        <f t="array" ref="O105">IFERROR(SMALL(IF((Master!$A$2:$A$1001="SHYAM METALLIKS")*(Master!$M$2:$M$1001="130 x 130 x 6MTR"),ROW(Master!$A$2:$A$1001)-ROW(Master!$A$2)+1),101),"")</f>
      </c>
      <c r="P105">
        <f t="shared" si="3"/>
      </c>
    </row>
    <row r="106" spans="1:16" x14ac:dyDescent="0.25">
      <c r="A106" s="234">
        <f>IF($O106="","",INDEX(Master!$D$2:$D$1001,$O106))</f>
      </c>
      <c r="B106" s="165">
        <f>IF($O106="","",INDEX(Master!$B$2:$B$1001,$O106))</f>
      </c>
      <c r="C106" s="164">
        <f>IF($O106="","",INDEX(Master!$C$2:$C$1001,$O106))</f>
      </c>
      <c r="D106" s="164">
        <f>IF($O106="","",INDEX(Master!$A$2:$A$1001,$O106))</f>
      </c>
      <c r="E106" s="164">
        <f>IF($O106="","",INDEX(Master!$E$2:$E$1001,$O106))</f>
      </c>
      <c r="F106" s="164">
        <f>IF($O106="","",INDEX(Master!$F$2:$F$1001,$O106))</f>
      </c>
      <c r="G106" s="164">
        <f>IF($O106="","",INDEX(Master!$G$2:$G$1001,$O106))</f>
      </c>
      <c r="H106" s="164">
        <f>IF($O106="","",INDEX(Master!$H$2:$H$1001,$O106))</f>
      </c>
      <c r="I106" s="164">
        <f>IF($O106="","",INDEX(Master!$I$2:$I$1001,$O106))</f>
      </c>
      <c r="J106" s="164">
        <f>IF($O106="","",INDEX(Master!$J$2:$J$1001,$O106))</f>
      </c>
      <c r="K106" s="248">
        <f t="shared" si="2"/>
      </c>
      <c r="L106" s="164">
        <f>IF($O106="","",INDEX(Master!$K$2:$K$1001,$O106))</f>
      </c>
      <c r="M106" s="164">
        <f>IF($O106="","",INDEX(Master!$L$2:$L$1001,$O106))</f>
      </c>
      <c r="N106" s="164"/>
      <c r="O106">
        <f t="array" ref="O106">IFERROR(SMALL(IF((Master!$A$2:$A$1001="SHYAM METALLIKS")*(Master!$M$2:$M$1001="130 x 130 x 6MTR"),ROW(Master!$A$2:$A$1001)-ROW(Master!$A$2)+1),102),"")</f>
      </c>
      <c r="P106">
        <f t="shared" si="3"/>
      </c>
    </row>
    <row r="107" spans="1:16" x14ac:dyDescent="0.25">
      <c r="A107" s="234">
        <f>IF($O107="","",INDEX(Master!$D$2:$D$1001,$O107))</f>
      </c>
      <c r="B107" s="165">
        <f>IF($O107="","",INDEX(Master!$B$2:$B$1001,$O107))</f>
      </c>
      <c r="C107" s="164">
        <f>IF($O107="","",INDEX(Master!$C$2:$C$1001,$O107))</f>
      </c>
      <c r="D107" s="164">
        <f>IF($O107="","",INDEX(Master!$A$2:$A$1001,$O107))</f>
      </c>
      <c r="E107" s="164">
        <f>IF($O107="","",INDEX(Master!$E$2:$E$1001,$O107))</f>
      </c>
      <c r="F107" s="164">
        <f>IF($O107="","",INDEX(Master!$F$2:$F$1001,$O107))</f>
      </c>
      <c r="G107" s="164">
        <f>IF($O107="","",INDEX(Master!$G$2:$G$1001,$O107))</f>
      </c>
      <c r="H107" s="164">
        <f>IF($O107="","",INDEX(Master!$H$2:$H$1001,$O107))</f>
      </c>
      <c r="I107" s="164">
        <f>IF($O107="","",INDEX(Master!$I$2:$I$1001,$O107))</f>
      </c>
      <c r="J107" s="164">
        <f>IF($O107="","",INDEX(Master!$J$2:$J$1001,$O107))</f>
      </c>
      <c r="K107" s="248">
        <f t="shared" si="2"/>
      </c>
      <c r="L107" s="164">
        <f>IF($O107="","",INDEX(Master!$K$2:$K$1001,$O107))</f>
      </c>
      <c r="M107" s="164">
        <f>IF($O107="","",INDEX(Master!$L$2:$L$1001,$O107))</f>
      </c>
      <c r="N107" s="164"/>
      <c r="O107">
        <f t="array" ref="O107">IFERROR(SMALL(IF((Master!$A$2:$A$1001="SHYAM METALLIKS")*(Master!$M$2:$M$1001="130 x 130 x 6MTR"),ROW(Master!$A$2:$A$1001)-ROW(Master!$A$2)+1),103),"")</f>
      </c>
      <c r="P107">
        <f t="shared" si="3"/>
      </c>
    </row>
    <row r="108" spans="1:16" x14ac:dyDescent="0.25">
      <c r="A108" s="234">
        <f>IF($O108="","",INDEX(Master!$D$2:$D$1001,$O108))</f>
      </c>
      <c r="B108" s="165">
        <f>IF($O108="","",INDEX(Master!$B$2:$B$1001,$O108))</f>
      </c>
      <c r="C108" s="164">
        <f>IF($O108="","",INDEX(Master!$C$2:$C$1001,$O108))</f>
      </c>
      <c r="D108" s="164">
        <f>IF($O108="","",INDEX(Master!$A$2:$A$1001,$O108))</f>
      </c>
      <c r="E108" s="164">
        <f>IF($O108="","",INDEX(Master!$E$2:$E$1001,$O108))</f>
      </c>
      <c r="F108" s="164">
        <f>IF($O108="","",INDEX(Master!$F$2:$F$1001,$O108))</f>
      </c>
      <c r="G108" s="164">
        <f>IF($O108="","",INDEX(Master!$G$2:$G$1001,$O108))</f>
      </c>
      <c r="H108" s="164">
        <f>IF($O108="","",INDEX(Master!$H$2:$H$1001,$O108))</f>
      </c>
      <c r="I108" s="164">
        <f>IF($O108="","",INDEX(Master!$I$2:$I$1001,$O108))</f>
      </c>
      <c r="J108" s="164">
        <f>IF($O108="","",INDEX(Master!$J$2:$J$1001,$O108))</f>
      </c>
      <c r="K108" s="248">
        <f t="shared" si="2"/>
      </c>
      <c r="L108" s="164">
        <f>IF($O108="","",INDEX(Master!$K$2:$K$1001,$O108))</f>
      </c>
      <c r="M108" s="164">
        <f>IF($O108="","",INDEX(Master!$L$2:$L$1001,$O108))</f>
      </c>
      <c r="N108" s="164"/>
      <c r="O108">
        <f t="array" ref="O108">IFERROR(SMALL(IF((Master!$A$2:$A$1001="SHYAM METALLIKS")*(Master!$M$2:$M$1001="130 x 130 x 6MTR"),ROW(Master!$A$2:$A$1001)-ROW(Master!$A$2)+1),104),"")</f>
      </c>
      <c r="P108">
        <f t="shared" si="3"/>
      </c>
    </row>
    <row r="109" spans="1:16" x14ac:dyDescent="0.25">
      <c r="A109" s="234">
        <f>IF($O109="","",INDEX(Master!$D$2:$D$1001,$O109))</f>
      </c>
      <c r="B109" s="165">
        <f>IF($O109="","",INDEX(Master!$B$2:$B$1001,$O109))</f>
      </c>
      <c r="C109" s="164">
        <f>IF($O109="","",INDEX(Master!$C$2:$C$1001,$O109))</f>
      </c>
      <c r="D109" s="164">
        <f>IF($O109="","",INDEX(Master!$A$2:$A$1001,$O109))</f>
      </c>
      <c r="E109" s="164">
        <f>IF($O109="","",INDEX(Master!$E$2:$E$1001,$O109))</f>
      </c>
      <c r="F109" s="164">
        <f>IF($O109="","",INDEX(Master!$F$2:$F$1001,$O109))</f>
      </c>
      <c r="G109" s="164">
        <f>IF($O109="","",INDEX(Master!$G$2:$G$1001,$O109))</f>
      </c>
      <c r="H109" s="164">
        <f>IF($O109="","",INDEX(Master!$H$2:$H$1001,$O109))</f>
      </c>
      <c r="I109" s="164">
        <f>IF($O109="","",INDEX(Master!$I$2:$I$1001,$O109))</f>
      </c>
      <c r="J109" s="164">
        <f>IF($O109="","",INDEX(Master!$J$2:$J$1001,$O109))</f>
      </c>
      <c r="K109" s="248">
        <f t="shared" si="2"/>
      </c>
      <c r="L109" s="164">
        <f>IF($O109="","",INDEX(Master!$K$2:$K$1001,$O109))</f>
      </c>
      <c r="M109" s="164">
        <f>IF($O109="","",INDEX(Master!$L$2:$L$1001,$O109))</f>
      </c>
      <c r="N109" s="164"/>
      <c r="O109">
        <f t="array" ref="O109">IFERROR(SMALL(IF((Master!$A$2:$A$1001="SHYAM METALLIKS")*(Master!$M$2:$M$1001="130 x 130 x 6MTR"),ROW(Master!$A$2:$A$1001)-ROW(Master!$A$2)+1),105),"")</f>
      </c>
      <c r="P109">
        <f t="shared" si="3"/>
      </c>
    </row>
    <row r="110" spans="1:16" x14ac:dyDescent="0.25">
      <c r="A110" s="234">
        <f>IF($O110="","",INDEX(Master!$D$2:$D$1001,$O110))</f>
      </c>
      <c r="B110" s="165">
        <f>IF($O110="","",INDEX(Master!$B$2:$B$1001,$O110))</f>
      </c>
      <c r="C110" s="164">
        <f>IF($O110="","",INDEX(Master!$C$2:$C$1001,$O110))</f>
      </c>
      <c r="D110" s="164">
        <f>IF($O110="","",INDEX(Master!$A$2:$A$1001,$O110))</f>
      </c>
      <c r="E110" s="164">
        <f>IF($O110="","",INDEX(Master!$E$2:$E$1001,$O110))</f>
      </c>
      <c r="F110" s="164">
        <f>IF($O110="","",INDEX(Master!$F$2:$F$1001,$O110))</f>
      </c>
      <c r="G110" s="164">
        <f>IF($O110="","",INDEX(Master!$G$2:$G$1001,$O110))</f>
      </c>
      <c r="H110" s="164">
        <f>IF($O110="","",INDEX(Master!$H$2:$H$1001,$O110))</f>
      </c>
      <c r="I110" s="164">
        <f>IF($O110="","",INDEX(Master!$I$2:$I$1001,$O110))</f>
      </c>
      <c r="J110" s="164">
        <f>IF($O110="","",INDEX(Master!$J$2:$J$1001,$O110))</f>
      </c>
      <c r="K110" s="248">
        <f t="shared" si="2"/>
      </c>
      <c r="L110" s="164">
        <f>IF($O110="","",INDEX(Master!$K$2:$K$1001,$O110))</f>
      </c>
      <c r="M110" s="164">
        <f>IF($O110="","",INDEX(Master!$L$2:$L$1001,$O110))</f>
      </c>
      <c r="N110" s="164"/>
      <c r="O110">
        <f t="array" ref="O110">IFERROR(SMALL(IF((Master!$A$2:$A$1001="SHYAM METALLIKS")*(Master!$M$2:$M$1001="130 x 130 x 6MTR"),ROW(Master!$A$2:$A$1001)-ROW(Master!$A$2)+1),106),"")</f>
      </c>
      <c r="P110">
        <f t="shared" si="3"/>
      </c>
    </row>
    <row r="111" spans="1:16" x14ac:dyDescent="0.25">
      <c r="A111" s="234">
        <f>IF($O111="","",INDEX(Master!$D$2:$D$1001,$O111))</f>
      </c>
      <c r="B111" s="165">
        <f>IF($O111="","",INDEX(Master!$B$2:$B$1001,$O111))</f>
      </c>
      <c r="C111" s="164">
        <f>IF($O111="","",INDEX(Master!$C$2:$C$1001,$O111))</f>
      </c>
      <c r="D111" s="164">
        <f>IF($O111="","",INDEX(Master!$A$2:$A$1001,$O111))</f>
      </c>
      <c r="E111" s="164">
        <f>IF($O111="","",INDEX(Master!$E$2:$E$1001,$O111))</f>
      </c>
      <c r="F111" s="164">
        <f>IF($O111="","",INDEX(Master!$F$2:$F$1001,$O111))</f>
      </c>
      <c r="G111" s="164">
        <f>IF($O111="","",INDEX(Master!$G$2:$G$1001,$O111))</f>
      </c>
      <c r="H111" s="164">
        <f>IF($O111="","",INDEX(Master!$H$2:$H$1001,$O111))</f>
      </c>
      <c r="I111" s="164">
        <f>IF($O111="","",INDEX(Master!$I$2:$I$1001,$O111))</f>
      </c>
      <c r="J111" s="164">
        <f>IF($O111="","",INDEX(Master!$J$2:$J$1001,$O111))</f>
      </c>
      <c r="K111" s="248">
        <f t="shared" si="2"/>
      </c>
      <c r="L111" s="164">
        <f>IF($O111="","",INDEX(Master!$K$2:$K$1001,$O111))</f>
      </c>
      <c r="M111" s="164">
        <f>IF($O111="","",INDEX(Master!$L$2:$L$1001,$O111))</f>
      </c>
      <c r="N111" s="164"/>
      <c r="O111">
        <f t="array" ref="O111">IFERROR(SMALL(IF((Master!$A$2:$A$1001="SHYAM METALLIKS")*(Master!$M$2:$M$1001="130 x 130 x 6MTR"),ROW(Master!$A$2:$A$1001)-ROW(Master!$A$2)+1),107),"")</f>
      </c>
      <c r="P111">
        <f t="shared" si="3"/>
      </c>
    </row>
    <row r="112" spans="1:16" x14ac:dyDescent="0.25">
      <c r="A112" s="234">
        <f>IF($O112="","",INDEX(Master!$D$2:$D$1001,$O112))</f>
      </c>
      <c r="B112" s="165">
        <f>IF($O112="","",INDEX(Master!$B$2:$B$1001,$O112))</f>
      </c>
      <c r="C112" s="164">
        <f>IF($O112="","",INDEX(Master!$C$2:$C$1001,$O112))</f>
      </c>
      <c r="D112" s="164">
        <f>IF($O112="","",INDEX(Master!$A$2:$A$1001,$O112))</f>
      </c>
      <c r="E112" s="164">
        <f>IF($O112="","",INDEX(Master!$E$2:$E$1001,$O112))</f>
      </c>
      <c r="F112" s="164">
        <f>IF($O112="","",INDEX(Master!$F$2:$F$1001,$O112))</f>
      </c>
      <c r="G112" s="164">
        <f>IF($O112="","",INDEX(Master!$G$2:$G$1001,$O112))</f>
      </c>
      <c r="H112" s="164">
        <f>IF($O112="","",INDEX(Master!$H$2:$H$1001,$O112))</f>
      </c>
      <c r="I112" s="164">
        <f>IF($O112="","",INDEX(Master!$I$2:$I$1001,$O112))</f>
      </c>
      <c r="J112" s="164">
        <f>IF($O112="","",INDEX(Master!$J$2:$J$1001,$O112))</f>
      </c>
      <c r="K112" s="248">
        <f t="shared" si="2"/>
      </c>
      <c r="L112" s="164">
        <f>IF($O112="","",INDEX(Master!$K$2:$K$1001,$O112))</f>
      </c>
      <c r="M112" s="164">
        <f>IF($O112="","",INDEX(Master!$L$2:$L$1001,$O112))</f>
      </c>
      <c r="N112" s="164"/>
      <c r="O112">
        <f t="array" ref="O112">IFERROR(SMALL(IF((Master!$A$2:$A$1001="SHYAM METALLIKS")*(Master!$M$2:$M$1001="130 x 130 x 6MTR"),ROW(Master!$A$2:$A$1001)-ROW(Master!$A$2)+1),108),"")</f>
      </c>
      <c r="P112">
        <f t="shared" si="3"/>
      </c>
    </row>
    <row r="113" spans="1:16" x14ac:dyDescent="0.25">
      <c r="A113" s="234">
        <f>IF($O113="","",INDEX(Master!$D$2:$D$1001,$O113))</f>
      </c>
      <c r="B113" s="165">
        <f>IF($O113="","",INDEX(Master!$B$2:$B$1001,$O113))</f>
      </c>
      <c r="C113" s="164">
        <f>IF($O113="","",INDEX(Master!$C$2:$C$1001,$O113))</f>
      </c>
      <c r="D113" s="164">
        <f>IF($O113="","",INDEX(Master!$A$2:$A$1001,$O113))</f>
      </c>
      <c r="E113" s="164">
        <f>IF($O113="","",INDEX(Master!$E$2:$E$1001,$O113))</f>
      </c>
      <c r="F113" s="164">
        <f>IF($O113="","",INDEX(Master!$F$2:$F$1001,$O113))</f>
      </c>
      <c r="G113" s="164">
        <f>IF($O113="","",INDEX(Master!$G$2:$G$1001,$O113))</f>
      </c>
      <c r="H113" s="164">
        <f>IF($O113="","",INDEX(Master!$H$2:$H$1001,$O113))</f>
      </c>
      <c r="I113" s="164">
        <f>IF($O113="","",INDEX(Master!$I$2:$I$1001,$O113))</f>
      </c>
      <c r="J113" s="164">
        <f>IF($O113="","",INDEX(Master!$J$2:$J$1001,$O113))</f>
      </c>
      <c r="K113" s="248">
        <f t="shared" si="2"/>
      </c>
      <c r="L113" s="164">
        <f>IF($O113="","",INDEX(Master!$K$2:$K$1001,$O113))</f>
      </c>
      <c r="M113" s="164">
        <f>IF($O113="","",INDEX(Master!$L$2:$L$1001,$O113))</f>
      </c>
      <c r="N113" s="164"/>
      <c r="O113">
        <f t="array" ref="O113">IFERROR(SMALL(IF((Master!$A$2:$A$1001="SHYAM METALLIKS")*(Master!$M$2:$M$1001="130 x 130 x 6MTR"),ROW(Master!$A$2:$A$1001)-ROW(Master!$A$2)+1),109),"")</f>
      </c>
      <c r="P113">
        <f t="shared" si="3"/>
      </c>
    </row>
    <row r="114" spans="1:16" x14ac:dyDescent="0.25">
      <c r="A114" s="234">
        <f>IF($O114="","",INDEX(Master!$D$2:$D$1001,$O114))</f>
      </c>
      <c r="B114" s="165">
        <f>IF($O114="","",INDEX(Master!$B$2:$B$1001,$O114))</f>
      </c>
      <c r="C114" s="164">
        <f>IF($O114="","",INDEX(Master!$C$2:$C$1001,$O114))</f>
      </c>
      <c r="D114" s="164">
        <f>IF($O114="","",INDEX(Master!$A$2:$A$1001,$O114))</f>
      </c>
      <c r="E114" s="164">
        <f>IF($O114="","",INDEX(Master!$E$2:$E$1001,$O114))</f>
      </c>
      <c r="F114" s="164">
        <f>IF($O114="","",INDEX(Master!$F$2:$F$1001,$O114))</f>
      </c>
      <c r="G114" s="164">
        <f>IF($O114="","",INDEX(Master!$G$2:$G$1001,$O114))</f>
      </c>
      <c r="H114" s="164">
        <f>IF($O114="","",INDEX(Master!$H$2:$H$1001,$O114))</f>
      </c>
      <c r="I114" s="164">
        <f>IF($O114="","",INDEX(Master!$I$2:$I$1001,$O114))</f>
      </c>
      <c r="J114" s="164">
        <f>IF($O114="","",INDEX(Master!$J$2:$J$1001,$O114))</f>
      </c>
      <c r="K114" s="248">
        <f t="shared" si="2"/>
      </c>
      <c r="L114" s="164">
        <f>IF($O114="","",INDEX(Master!$K$2:$K$1001,$O114))</f>
      </c>
      <c r="M114" s="164">
        <f>IF($O114="","",INDEX(Master!$L$2:$L$1001,$O114))</f>
      </c>
      <c r="N114" s="164"/>
      <c r="O114">
        <f t="array" ref="O114">IFERROR(SMALL(IF((Master!$A$2:$A$1001="SHYAM METALLIKS")*(Master!$M$2:$M$1001="130 x 130 x 6MTR"),ROW(Master!$A$2:$A$1001)-ROW(Master!$A$2)+1),110),"")</f>
      </c>
      <c r="P114">
        <f t="shared" si="3"/>
      </c>
    </row>
    <row r="115" spans="1:16" x14ac:dyDescent="0.25">
      <c r="A115" s="235">
        <f>IF($O115="","",INDEX(Master!$D$2:$D$1001,$O115))</f>
      </c>
      <c r="B115" s="166">
        <f>IF($O115="","",INDEX(Master!$B$2:$B$1001,$O115))</f>
      </c>
      <c r="C115">
        <f>IF($O115="","",INDEX(Master!$C$2:$C$1001,$O115))</f>
      </c>
      <c r="D115">
        <f>IF($O115="","",INDEX(Master!$A$2:$A$1001,$O115))</f>
      </c>
      <c r="E115">
        <f>IF($O115="","",INDEX(Master!$E$2:$E$1001,$O115))</f>
      </c>
      <c r="F115">
        <f>IF($O115="","",INDEX(Master!$F$2:$F$1001,$O115))</f>
      </c>
      <c r="G115">
        <f>IF($O115="","",INDEX(Master!$G$2:$G$1001,$O115))</f>
      </c>
      <c r="H115">
        <f>IF($O115="","",INDEX(Master!$H$2:$H$1001,$O115))</f>
      </c>
      <c r="I115">
        <f>IF($O115="","",INDEX(Master!$I$2:$I$1001,$O115))</f>
      </c>
      <c r="J115">
        <f>IF($O115="","",INDEX(Master!$J$2:$J$1001,$O115))</f>
      </c>
      <c r="K115">
        <f t="shared" si="2"/>
      </c>
      <c r="L115">
        <f>IF($O115="","",INDEX(Master!$K$2:$K$1001,$O115))</f>
      </c>
      <c r="M115">
        <f>IF($O115="","",INDEX(Master!$L$2:$L$1001,$O115))</f>
      </c>
      <c r="O115">
        <f t="array" ref="O115">IFERROR(SMALL(IF((Master!$A$2:$A$1001="SHYAM METALLIKS")*(Master!$M$2:$M$1001="130 x 130 x 6MTR"),ROW(Master!$A$2:$A$1001)-ROW(Master!$A$2)+1),111),"")</f>
      </c>
      <c r="P115">
        <f t="shared" si="3"/>
      </c>
    </row>
    <row r="116" spans="1:16" x14ac:dyDescent="0.25">
      <c r="A116" s="235">
        <f>IF($O116="","",INDEX(Master!$D$2:$D$1001,$O116))</f>
      </c>
      <c r="B116" s="166">
        <f>IF($O116="","",INDEX(Master!$B$2:$B$1001,$O116))</f>
      </c>
      <c r="C116">
        <f>IF($O116="","",INDEX(Master!$C$2:$C$1001,$O116))</f>
      </c>
      <c r="D116">
        <f>IF($O116="","",INDEX(Master!$A$2:$A$1001,$O116))</f>
      </c>
      <c r="E116">
        <f>IF($O116="","",INDEX(Master!$E$2:$E$1001,$O116))</f>
      </c>
      <c r="F116">
        <f>IF($O116="","",INDEX(Master!$F$2:$F$1001,$O116))</f>
      </c>
      <c r="G116">
        <f>IF($O116="","",INDEX(Master!$G$2:$G$1001,$O116))</f>
      </c>
      <c r="H116">
        <f>IF($O116="","",INDEX(Master!$H$2:$H$1001,$O116))</f>
      </c>
      <c r="I116">
        <f>IF($O116="","",INDEX(Master!$I$2:$I$1001,$O116))</f>
      </c>
      <c r="J116">
        <f>IF($O116="","",INDEX(Master!$J$2:$J$1001,$O116))</f>
      </c>
      <c r="K116">
        <f t="shared" si="2"/>
      </c>
      <c r="L116">
        <f>IF($O116="","",INDEX(Master!$K$2:$K$1001,$O116))</f>
      </c>
      <c r="M116">
        <f>IF($O116="","",INDEX(Master!$L$2:$L$1001,$O116))</f>
      </c>
      <c r="O116">
        <f t="array" ref="O116">IFERROR(SMALL(IF((Master!$A$2:$A$1001="SHYAM METALLIKS")*(Master!$M$2:$M$1001="130 x 130 x 6MTR"),ROW(Master!$A$2:$A$1001)-ROW(Master!$A$2)+1),112),"")</f>
      </c>
      <c r="P116">
        <f t="shared" si="3"/>
      </c>
    </row>
    <row r="117" spans="1:16" x14ac:dyDescent="0.25">
      <c r="A117" s="235">
        <f>IF($O117="","",INDEX(Master!$D$2:$D$1001,$O117))</f>
      </c>
      <c r="B117" s="166">
        <f>IF($O117="","",INDEX(Master!$B$2:$B$1001,$O117))</f>
      </c>
      <c r="C117">
        <f>IF($O117="","",INDEX(Master!$C$2:$C$1001,$O117))</f>
      </c>
      <c r="D117">
        <f>IF($O117="","",INDEX(Master!$A$2:$A$1001,$O117))</f>
      </c>
      <c r="E117">
        <f>IF($O117="","",INDEX(Master!$E$2:$E$1001,$O117))</f>
      </c>
      <c r="F117">
        <f>IF($O117="","",INDEX(Master!$F$2:$F$1001,$O117))</f>
      </c>
      <c r="G117">
        <f>IF($O117="","",INDEX(Master!$G$2:$G$1001,$O117))</f>
      </c>
      <c r="H117">
        <f>IF($O117="","",INDEX(Master!$H$2:$H$1001,$O117))</f>
      </c>
      <c r="I117">
        <f>IF($O117="","",INDEX(Master!$I$2:$I$1001,$O117))</f>
      </c>
      <c r="J117">
        <f>IF($O117="","",INDEX(Master!$J$2:$J$1001,$O117))</f>
      </c>
      <c r="K117">
        <f t="shared" si="2"/>
      </c>
      <c r="L117">
        <f>IF($O117="","",INDEX(Master!$K$2:$K$1001,$O117))</f>
      </c>
      <c r="M117">
        <f>IF($O117="","",INDEX(Master!$L$2:$L$1001,$O117))</f>
      </c>
      <c r="O117">
        <f t="array" ref="O117">IFERROR(SMALL(IF((Master!$A$2:$A$1001="SHYAM METALLIKS")*(Master!$M$2:$M$1001="130 x 130 x 6MTR"),ROW(Master!$A$2:$A$1001)-ROW(Master!$A$2)+1),113),"")</f>
      </c>
      <c r="P117">
        <f t="shared" si="3"/>
      </c>
    </row>
    <row r="118" spans="1:16" x14ac:dyDescent="0.25">
      <c r="A118" s="235">
        <f>IF($O118="","",INDEX(Master!$D$2:$D$1001,$O118))</f>
      </c>
      <c r="B118" s="166">
        <f>IF($O118="","",INDEX(Master!$B$2:$B$1001,$O118))</f>
      </c>
      <c r="C118">
        <f>IF($O118="","",INDEX(Master!$C$2:$C$1001,$O118))</f>
      </c>
      <c r="D118">
        <f>IF($O118="","",INDEX(Master!$A$2:$A$1001,$O118))</f>
      </c>
      <c r="E118">
        <f>IF($O118="","",INDEX(Master!$E$2:$E$1001,$O118))</f>
      </c>
      <c r="F118">
        <f>IF($O118="","",INDEX(Master!$F$2:$F$1001,$O118))</f>
      </c>
      <c r="G118">
        <f>IF($O118="","",INDEX(Master!$G$2:$G$1001,$O118))</f>
      </c>
      <c r="H118">
        <f>IF($O118="","",INDEX(Master!$H$2:$H$1001,$O118))</f>
      </c>
      <c r="I118">
        <f>IF($O118="","",INDEX(Master!$I$2:$I$1001,$O118))</f>
      </c>
      <c r="J118">
        <f>IF($O118="","",INDEX(Master!$J$2:$J$1001,$O118))</f>
      </c>
      <c r="K118">
        <f t="shared" si="2"/>
      </c>
      <c r="L118">
        <f>IF($O118="","",INDEX(Master!$K$2:$K$1001,$O118))</f>
      </c>
      <c r="M118">
        <f>IF($O118="","",INDEX(Master!$L$2:$L$1001,$O118))</f>
      </c>
      <c r="O118">
        <f t="array" ref="O118">IFERROR(SMALL(IF((Master!$A$2:$A$1001="SHYAM METALLIKS")*(Master!$M$2:$M$1001="130 x 130 x 6MTR"),ROW(Master!$A$2:$A$1001)-ROW(Master!$A$2)+1),114),"")</f>
      </c>
      <c r="P118">
        <f t="shared" si="3"/>
      </c>
    </row>
    <row r="119" spans="1:16" x14ac:dyDescent="0.25">
      <c r="A119" s="235">
        <f>IF($O119="","",INDEX(Master!$D$2:$D$1001,$O119))</f>
      </c>
      <c r="B119" s="166">
        <f>IF($O119="","",INDEX(Master!$B$2:$B$1001,$O119))</f>
      </c>
      <c r="C119">
        <f>IF($O119="","",INDEX(Master!$C$2:$C$1001,$O119))</f>
      </c>
      <c r="D119">
        <f>IF($O119="","",INDEX(Master!$A$2:$A$1001,$O119))</f>
      </c>
      <c r="E119">
        <f>IF($O119="","",INDEX(Master!$E$2:$E$1001,$O119))</f>
      </c>
      <c r="F119">
        <f>IF($O119="","",INDEX(Master!$F$2:$F$1001,$O119))</f>
      </c>
      <c r="G119">
        <f>IF($O119="","",INDEX(Master!$G$2:$G$1001,$O119))</f>
      </c>
      <c r="H119">
        <f>IF($O119="","",INDEX(Master!$H$2:$H$1001,$O119))</f>
      </c>
      <c r="I119">
        <f>IF($O119="","",INDEX(Master!$I$2:$I$1001,$O119))</f>
      </c>
      <c r="J119">
        <f>IF($O119="","",INDEX(Master!$J$2:$J$1001,$O119))</f>
      </c>
      <c r="K119">
        <f t="shared" si="2"/>
      </c>
      <c r="L119">
        <f>IF($O119="","",INDEX(Master!$K$2:$K$1001,$O119))</f>
      </c>
      <c r="M119">
        <f>IF($O119="","",INDEX(Master!$L$2:$L$1001,$O119))</f>
      </c>
      <c r="O119">
        <f t="array" ref="O119">IFERROR(SMALL(IF((Master!$A$2:$A$1001="SHYAM METALLIKS")*(Master!$M$2:$M$1001="130 x 130 x 6MTR"),ROW(Master!$A$2:$A$1001)-ROW(Master!$A$2)+1),115),"")</f>
      </c>
      <c r="P119">
        <f t="shared" si="3"/>
      </c>
    </row>
    <row r="120" spans="1:16" x14ac:dyDescent="0.25">
      <c r="A120" s="235">
        <f>IF($O120="","",INDEX(Master!$D$2:$D$1001,$O120))</f>
      </c>
      <c r="B120" s="166">
        <f>IF($O120="","",INDEX(Master!$B$2:$B$1001,$O120))</f>
      </c>
      <c r="C120">
        <f>IF($O120="","",INDEX(Master!$C$2:$C$1001,$O120))</f>
      </c>
      <c r="D120">
        <f>IF($O120="","",INDEX(Master!$A$2:$A$1001,$O120))</f>
      </c>
      <c r="E120">
        <f>IF($O120="","",INDEX(Master!$E$2:$E$1001,$O120))</f>
      </c>
      <c r="F120">
        <f>IF($O120="","",INDEX(Master!$F$2:$F$1001,$O120))</f>
      </c>
      <c r="G120">
        <f>IF($O120="","",INDEX(Master!$G$2:$G$1001,$O120))</f>
      </c>
      <c r="H120">
        <f>IF($O120="","",INDEX(Master!$H$2:$H$1001,$O120))</f>
      </c>
      <c r="I120">
        <f>IF($O120="","",INDEX(Master!$I$2:$I$1001,$O120))</f>
      </c>
      <c r="J120">
        <f>IF($O120="","",INDEX(Master!$J$2:$J$1001,$O120))</f>
      </c>
      <c r="K120">
        <f t="shared" si="2"/>
      </c>
      <c r="L120">
        <f>IF($O120="","",INDEX(Master!$K$2:$K$1001,$O120))</f>
      </c>
      <c r="M120">
        <f>IF($O120="","",INDEX(Master!$L$2:$L$1001,$O120))</f>
      </c>
      <c r="O120">
        <f t="array" ref="O120">IFERROR(SMALL(IF((Master!$A$2:$A$1001="SHYAM METALLIKS")*(Master!$M$2:$M$1001="130 x 130 x 6MTR"),ROW(Master!$A$2:$A$1001)-ROW(Master!$A$2)+1),116),"")</f>
      </c>
      <c r="P120">
        <f t="shared" si="3"/>
      </c>
    </row>
    <row r="121" spans="1:16" x14ac:dyDescent="0.25">
      <c r="A121" s="235">
        <f>IF($O121="","",INDEX(Master!$D$2:$D$1001,$O121))</f>
      </c>
      <c r="B121" s="166">
        <f>IF($O121="","",INDEX(Master!$B$2:$B$1001,$O121))</f>
      </c>
      <c r="C121">
        <f>IF($O121="","",INDEX(Master!$C$2:$C$1001,$O121))</f>
      </c>
      <c r="D121">
        <f>IF($O121="","",INDEX(Master!$A$2:$A$1001,$O121))</f>
      </c>
      <c r="E121">
        <f>IF($O121="","",INDEX(Master!$E$2:$E$1001,$O121))</f>
      </c>
      <c r="F121">
        <f>IF($O121="","",INDEX(Master!$F$2:$F$1001,$O121))</f>
      </c>
      <c r="G121">
        <f>IF($O121="","",INDEX(Master!$G$2:$G$1001,$O121))</f>
      </c>
      <c r="H121">
        <f>IF($O121="","",INDEX(Master!$H$2:$H$1001,$O121))</f>
      </c>
      <c r="I121">
        <f>IF($O121="","",INDEX(Master!$I$2:$I$1001,$O121))</f>
      </c>
      <c r="J121">
        <f>IF($O121="","",INDEX(Master!$J$2:$J$1001,$O121))</f>
      </c>
      <c r="K121">
        <f t="shared" si="2"/>
      </c>
      <c r="L121">
        <f>IF($O121="","",INDEX(Master!$K$2:$K$1001,$O121))</f>
      </c>
      <c r="M121">
        <f>IF($O121="","",INDEX(Master!$L$2:$L$1001,$O121))</f>
      </c>
      <c r="O121">
        <f t="array" ref="O121">IFERROR(SMALL(IF((Master!$A$2:$A$1001="SHYAM METALLIKS")*(Master!$M$2:$M$1001="130 x 130 x 6MTR"),ROW(Master!$A$2:$A$1001)-ROW(Master!$A$2)+1),117),"")</f>
      </c>
      <c r="P121">
        <f t="shared" si="3"/>
      </c>
    </row>
    <row r="122" spans="1:16" x14ac:dyDescent="0.25">
      <c r="A122" s="235">
        <f>IF($O122="","",INDEX(Master!$D$2:$D$1001,$O122))</f>
      </c>
      <c r="B122" s="166">
        <f>IF($O122="","",INDEX(Master!$B$2:$B$1001,$O122))</f>
      </c>
      <c r="C122">
        <f>IF($O122="","",INDEX(Master!$C$2:$C$1001,$O122))</f>
      </c>
      <c r="D122">
        <f>IF($O122="","",INDEX(Master!$A$2:$A$1001,$O122))</f>
      </c>
      <c r="E122">
        <f>IF($O122="","",INDEX(Master!$E$2:$E$1001,$O122))</f>
      </c>
      <c r="F122">
        <f>IF($O122="","",INDEX(Master!$F$2:$F$1001,$O122))</f>
      </c>
      <c r="G122">
        <f>IF($O122="","",INDEX(Master!$G$2:$G$1001,$O122))</f>
      </c>
      <c r="H122">
        <f>IF($O122="","",INDEX(Master!$H$2:$H$1001,$O122))</f>
      </c>
      <c r="I122">
        <f>IF($O122="","",INDEX(Master!$I$2:$I$1001,$O122))</f>
      </c>
      <c r="J122">
        <f>IF($O122="","",INDEX(Master!$J$2:$J$1001,$O122))</f>
      </c>
      <c r="K122">
        <f t="shared" si="2"/>
      </c>
      <c r="L122">
        <f>IF($O122="","",INDEX(Master!$K$2:$K$1001,$O122))</f>
      </c>
      <c r="M122">
        <f>IF($O122="","",INDEX(Master!$L$2:$L$1001,$O122))</f>
      </c>
      <c r="O122">
        <f t="array" ref="O122">IFERROR(SMALL(IF((Master!$A$2:$A$1001="SHYAM METALLIKS")*(Master!$M$2:$M$1001="130 x 130 x 6MTR"),ROW(Master!$A$2:$A$1001)-ROW(Master!$A$2)+1),118),"")</f>
      </c>
      <c r="P122">
        <f t="shared" si="3"/>
      </c>
    </row>
    <row r="123" spans="1:16" x14ac:dyDescent="0.25">
      <c r="A123" s="235">
        <f>IF($O123="","",INDEX(Master!$D$2:$D$1001,$O123))</f>
      </c>
      <c r="B123" s="166">
        <f>IF($O123="","",INDEX(Master!$B$2:$B$1001,$O123))</f>
      </c>
      <c r="C123">
        <f>IF($O123="","",INDEX(Master!$C$2:$C$1001,$O123))</f>
      </c>
      <c r="D123">
        <f>IF($O123="","",INDEX(Master!$A$2:$A$1001,$O123))</f>
      </c>
      <c r="E123">
        <f>IF($O123="","",INDEX(Master!$E$2:$E$1001,$O123))</f>
      </c>
      <c r="F123">
        <f>IF($O123="","",INDEX(Master!$F$2:$F$1001,$O123))</f>
      </c>
      <c r="G123">
        <f>IF($O123="","",INDEX(Master!$G$2:$G$1001,$O123))</f>
      </c>
      <c r="H123">
        <f>IF($O123="","",INDEX(Master!$H$2:$H$1001,$O123))</f>
      </c>
      <c r="I123">
        <f>IF($O123="","",INDEX(Master!$I$2:$I$1001,$O123))</f>
      </c>
      <c r="J123">
        <f>IF($O123="","",INDEX(Master!$J$2:$J$1001,$O123))</f>
      </c>
      <c r="K123">
        <f t="shared" si="2"/>
      </c>
      <c r="L123">
        <f>IF($O123="","",INDEX(Master!$K$2:$K$1001,$O123))</f>
      </c>
      <c r="M123">
        <f>IF($O123="","",INDEX(Master!$L$2:$L$1001,$O123))</f>
      </c>
      <c r="O123">
        <f t="array" ref="O123">IFERROR(SMALL(IF((Master!$A$2:$A$1001="SHYAM METALLIKS")*(Master!$M$2:$M$1001="130 x 130 x 6MTR"),ROW(Master!$A$2:$A$1001)-ROW(Master!$A$2)+1),119),"")</f>
      </c>
      <c r="P123">
        <f t="shared" si="3"/>
      </c>
    </row>
    <row r="124" spans="1:16" x14ac:dyDescent="0.25">
      <c r="A124" s="235">
        <f>IF($O124="","",INDEX(Master!$D$2:$D$1001,$O124))</f>
      </c>
      <c r="B124" s="166">
        <f>IF($O124="","",INDEX(Master!$B$2:$B$1001,$O124))</f>
      </c>
      <c r="C124">
        <f>IF($O124="","",INDEX(Master!$C$2:$C$1001,$O124))</f>
      </c>
      <c r="D124">
        <f>IF($O124="","",INDEX(Master!$A$2:$A$1001,$O124))</f>
      </c>
      <c r="E124">
        <f>IF($O124="","",INDEX(Master!$E$2:$E$1001,$O124))</f>
      </c>
      <c r="F124">
        <f>IF($O124="","",INDEX(Master!$F$2:$F$1001,$O124))</f>
      </c>
      <c r="G124">
        <f>IF($O124="","",INDEX(Master!$G$2:$G$1001,$O124))</f>
      </c>
      <c r="H124">
        <f>IF($O124="","",INDEX(Master!$H$2:$H$1001,$O124))</f>
      </c>
      <c r="I124">
        <f>IF($O124="","",INDEX(Master!$I$2:$I$1001,$O124))</f>
      </c>
      <c r="J124">
        <f>IF($O124="","",INDEX(Master!$J$2:$J$1001,$O124))</f>
      </c>
      <c r="K124">
        <f t="shared" si="2"/>
      </c>
      <c r="L124">
        <f>IF($O124="","",INDEX(Master!$K$2:$K$1001,$O124))</f>
      </c>
      <c r="M124">
        <f>IF($O124="","",INDEX(Master!$L$2:$L$1001,$O124))</f>
      </c>
      <c r="O124">
        <f t="array" ref="O124">IFERROR(SMALL(IF((Master!$A$2:$A$1001="SHYAM METALLIKS")*(Master!$M$2:$M$1001="130 x 130 x 6MTR"),ROW(Master!$A$2:$A$1001)-ROW(Master!$A$2)+1),120),"")</f>
      </c>
      <c r="P124">
        <f t="shared" si="3"/>
      </c>
    </row>
    <row r="125" spans="1:16" x14ac:dyDescent="0.25">
      <c r="A125" s="235">
        <f>IF($O125="","",INDEX(Master!$D$2:$D$1001,$O125))</f>
      </c>
      <c r="B125" s="166">
        <f>IF($O125="","",INDEX(Master!$B$2:$B$1001,$O125))</f>
      </c>
      <c r="C125">
        <f>IF($O125="","",INDEX(Master!$C$2:$C$1001,$O125))</f>
      </c>
      <c r="D125">
        <f>IF($O125="","",INDEX(Master!$A$2:$A$1001,$O125))</f>
      </c>
      <c r="E125">
        <f>IF($O125="","",INDEX(Master!$E$2:$E$1001,$O125))</f>
      </c>
      <c r="F125">
        <f>IF($O125="","",INDEX(Master!$F$2:$F$1001,$O125))</f>
      </c>
      <c r="G125">
        <f>IF($O125="","",INDEX(Master!$G$2:$G$1001,$O125))</f>
      </c>
      <c r="H125">
        <f>IF($O125="","",INDEX(Master!$H$2:$H$1001,$O125))</f>
      </c>
      <c r="I125">
        <f>IF($O125="","",INDEX(Master!$I$2:$I$1001,$O125))</f>
      </c>
      <c r="J125">
        <f>IF($O125="","",INDEX(Master!$J$2:$J$1001,$O125))</f>
      </c>
      <c r="K125">
        <f t="shared" si="2"/>
      </c>
      <c r="L125">
        <f>IF($O125="","",INDEX(Master!$K$2:$K$1001,$O125))</f>
      </c>
      <c r="M125">
        <f>IF($O125="","",INDEX(Master!$L$2:$L$1001,$O125))</f>
      </c>
      <c r="O125">
        <f t="array" ref="O125">IFERROR(SMALL(IF((Master!$A$2:$A$1001="SHYAM METALLIKS")*(Master!$M$2:$M$1001="130 x 130 x 6MTR"),ROW(Master!$A$2:$A$1001)-ROW(Master!$A$2)+1),121),"")</f>
      </c>
      <c r="P125">
        <f t="shared" si="3"/>
      </c>
    </row>
    <row r="126" spans="1:16" x14ac:dyDescent="0.25">
      <c r="A126" s="235">
        <f>IF($O126="","",INDEX(Master!$D$2:$D$1001,$O126))</f>
      </c>
      <c r="B126" s="166">
        <f>IF($O126="","",INDEX(Master!$B$2:$B$1001,$O126))</f>
      </c>
      <c r="C126">
        <f>IF($O126="","",INDEX(Master!$C$2:$C$1001,$O126))</f>
      </c>
      <c r="D126">
        <f>IF($O126="","",INDEX(Master!$A$2:$A$1001,$O126))</f>
      </c>
      <c r="E126">
        <f>IF($O126="","",INDEX(Master!$E$2:$E$1001,$O126))</f>
      </c>
      <c r="F126">
        <f>IF($O126="","",INDEX(Master!$F$2:$F$1001,$O126))</f>
      </c>
      <c r="G126">
        <f>IF($O126="","",INDEX(Master!$G$2:$G$1001,$O126))</f>
      </c>
      <c r="H126">
        <f>IF($O126="","",INDEX(Master!$H$2:$H$1001,$O126))</f>
      </c>
      <c r="I126">
        <f>IF($O126="","",INDEX(Master!$I$2:$I$1001,$O126))</f>
      </c>
      <c r="J126">
        <f>IF($O126="","",INDEX(Master!$J$2:$J$1001,$O126))</f>
      </c>
      <c r="K126">
        <f t="shared" si="2"/>
      </c>
      <c r="L126">
        <f>IF($O126="","",INDEX(Master!$K$2:$K$1001,$O126))</f>
      </c>
      <c r="M126">
        <f>IF($O126="","",INDEX(Master!$L$2:$L$1001,$O126))</f>
      </c>
      <c r="O126">
        <f t="array" ref="O126">IFERROR(SMALL(IF((Master!$A$2:$A$1001="SHYAM METALLIKS")*(Master!$M$2:$M$1001="130 x 130 x 6MTR"),ROW(Master!$A$2:$A$1001)-ROW(Master!$A$2)+1),122),"")</f>
      </c>
      <c r="P126">
        <f t="shared" si="3"/>
      </c>
    </row>
    <row r="127" spans="1:16" x14ac:dyDescent="0.25">
      <c r="A127" s="235">
        <f>IF($O127="","",INDEX(Master!$D$2:$D$1001,$O127))</f>
      </c>
      <c r="B127" s="166">
        <f>IF($O127="","",INDEX(Master!$B$2:$B$1001,$O127))</f>
      </c>
      <c r="C127">
        <f>IF($O127="","",INDEX(Master!$C$2:$C$1001,$O127))</f>
      </c>
      <c r="D127">
        <f>IF($O127="","",INDEX(Master!$A$2:$A$1001,$O127))</f>
      </c>
      <c r="E127">
        <f>IF($O127="","",INDEX(Master!$E$2:$E$1001,$O127))</f>
      </c>
      <c r="F127">
        <f>IF($O127="","",INDEX(Master!$F$2:$F$1001,$O127))</f>
      </c>
      <c r="G127">
        <f>IF($O127="","",INDEX(Master!$G$2:$G$1001,$O127))</f>
      </c>
      <c r="H127">
        <f>IF($O127="","",INDEX(Master!$H$2:$H$1001,$O127))</f>
      </c>
      <c r="I127">
        <f>IF($O127="","",INDEX(Master!$I$2:$I$1001,$O127))</f>
      </c>
      <c r="J127">
        <f>IF($O127="","",INDEX(Master!$J$2:$J$1001,$O127))</f>
      </c>
      <c r="K127">
        <f t="shared" si="2"/>
      </c>
      <c r="L127">
        <f>IF($O127="","",INDEX(Master!$K$2:$K$1001,$O127))</f>
      </c>
      <c r="M127">
        <f>IF($O127="","",INDEX(Master!$L$2:$L$1001,$O127))</f>
      </c>
      <c r="O127">
        <f t="array" ref="O127">IFERROR(SMALL(IF((Master!$A$2:$A$1001="SHYAM METALLIKS")*(Master!$M$2:$M$1001="130 x 130 x 6MTR"),ROW(Master!$A$2:$A$1001)-ROW(Master!$A$2)+1),123),"")</f>
      </c>
      <c r="P127">
        <f t="shared" si="3"/>
      </c>
    </row>
    <row r="128" spans="1:16" x14ac:dyDescent="0.25">
      <c r="A128" s="235">
        <f>IF($O128="","",INDEX(Master!$D$2:$D$1001,$O128))</f>
      </c>
      <c r="B128" s="166">
        <f>IF($O128="","",INDEX(Master!$B$2:$B$1001,$O128))</f>
      </c>
      <c r="C128">
        <f>IF($O128="","",INDEX(Master!$C$2:$C$1001,$O128))</f>
      </c>
      <c r="D128">
        <f>IF($O128="","",INDEX(Master!$A$2:$A$1001,$O128))</f>
      </c>
      <c r="E128">
        <f>IF($O128="","",INDEX(Master!$E$2:$E$1001,$O128))</f>
      </c>
      <c r="F128">
        <f>IF($O128="","",INDEX(Master!$F$2:$F$1001,$O128))</f>
      </c>
      <c r="G128">
        <f>IF($O128="","",INDEX(Master!$G$2:$G$1001,$O128))</f>
      </c>
      <c r="H128">
        <f>IF($O128="","",INDEX(Master!$H$2:$H$1001,$O128))</f>
      </c>
      <c r="I128">
        <f>IF($O128="","",INDEX(Master!$I$2:$I$1001,$O128))</f>
      </c>
      <c r="J128">
        <f>IF($O128="","",INDEX(Master!$J$2:$J$1001,$O128))</f>
      </c>
      <c r="K128">
        <f t="shared" si="2"/>
      </c>
      <c r="L128">
        <f>IF($O128="","",INDEX(Master!$K$2:$K$1001,$O128))</f>
      </c>
      <c r="M128">
        <f>IF($O128="","",INDEX(Master!$L$2:$L$1001,$O128))</f>
      </c>
      <c r="O128">
        <f t="array" ref="O128">IFERROR(SMALL(IF((Master!$A$2:$A$1001="SHYAM METALLIKS")*(Master!$M$2:$M$1001="130 x 130 x 6MTR"),ROW(Master!$A$2:$A$1001)-ROW(Master!$A$2)+1),124),"")</f>
      </c>
      <c r="P128">
        <f t="shared" si="3"/>
      </c>
    </row>
    <row r="129" spans="1:16" x14ac:dyDescent="0.25">
      <c r="A129" s="235">
        <f>IF($O129="","",INDEX(Master!$D$2:$D$1001,$O129))</f>
      </c>
      <c r="B129" s="166">
        <f>IF($O129="","",INDEX(Master!$B$2:$B$1001,$O129))</f>
      </c>
      <c r="C129">
        <f>IF($O129="","",INDEX(Master!$C$2:$C$1001,$O129))</f>
      </c>
      <c r="D129">
        <f>IF($O129="","",INDEX(Master!$A$2:$A$1001,$O129))</f>
      </c>
      <c r="E129">
        <f>IF($O129="","",INDEX(Master!$E$2:$E$1001,$O129))</f>
      </c>
      <c r="F129">
        <f>IF($O129="","",INDEX(Master!$F$2:$F$1001,$O129))</f>
      </c>
      <c r="G129">
        <f>IF($O129="","",INDEX(Master!$G$2:$G$1001,$O129))</f>
      </c>
      <c r="H129">
        <f>IF($O129="","",INDEX(Master!$H$2:$H$1001,$O129))</f>
      </c>
      <c r="I129">
        <f>IF($O129="","",INDEX(Master!$I$2:$I$1001,$O129))</f>
      </c>
      <c r="J129">
        <f>IF($O129="","",INDEX(Master!$J$2:$J$1001,$O129))</f>
      </c>
      <c r="K129">
        <f t="shared" si="2"/>
      </c>
      <c r="L129">
        <f>IF($O129="","",INDEX(Master!$K$2:$K$1001,$O129))</f>
      </c>
      <c r="M129">
        <f>IF($O129="","",INDEX(Master!$L$2:$L$1001,$O129))</f>
      </c>
      <c r="O129">
        <f t="array" ref="O129">IFERROR(SMALL(IF((Master!$A$2:$A$1001="SHYAM METALLIKS")*(Master!$M$2:$M$1001="130 x 130 x 6MTR"),ROW(Master!$A$2:$A$1001)-ROW(Master!$A$2)+1),125),"")</f>
      </c>
      <c r="P129">
        <f t="shared" si="3"/>
      </c>
    </row>
    <row r="130" spans="1:16" x14ac:dyDescent="0.25">
      <c r="A130" s="235">
        <f>IF($O130="","",INDEX(Master!$D$2:$D$1001,$O130))</f>
      </c>
      <c r="B130" s="166">
        <f>IF($O130="","",INDEX(Master!$B$2:$B$1001,$O130))</f>
      </c>
      <c r="C130">
        <f>IF($O130="","",INDEX(Master!$C$2:$C$1001,$O130))</f>
      </c>
      <c r="D130">
        <f>IF($O130="","",INDEX(Master!$A$2:$A$1001,$O130))</f>
      </c>
      <c r="E130">
        <f>IF($O130="","",INDEX(Master!$E$2:$E$1001,$O130))</f>
      </c>
      <c r="F130">
        <f>IF($O130="","",INDEX(Master!$F$2:$F$1001,$O130))</f>
      </c>
      <c r="G130">
        <f>IF($O130="","",INDEX(Master!$G$2:$G$1001,$O130))</f>
      </c>
      <c r="H130">
        <f>IF($O130="","",INDEX(Master!$H$2:$H$1001,$O130))</f>
      </c>
      <c r="I130">
        <f>IF($O130="","",INDEX(Master!$I$2:$I$1001,$O130))</f>
      </c>
      <c r="J130">
        <f>IF($O130="","",INDEX(Master!$J$2:$J$1001,$O130))</f>
      </c>
      <c r="K130">
        <f t="shared" si="2"/>
      </c>
      <c r="L130">
        <f>IF($O130="","",INDEX(Master!$K$2:$K$1001,$O130))</f>
      </c>
      <c r="M130">
        <f>IF($O130="","",INDEX(Master!$L$2:$L$1001,$O130))</f>
      </c>
      <c r="O130">
        <f t="array" ref="O130">IFERROR(SMALL(IF((Master!$A$2:$A$1001="SHYAM METALLIKS")*(Master!$M$2:$M$1001="130 x 130 x 6MTR"),ROW(Master!$A$2:$A$1001)-ROW(Master!$A$2)+1),126),"")</f>
      </c>
      <c r="P130">
        <f t="shared" si="3"/>
      </c>
    </row>
    <row r="131" spans="1:16" x14ac:dyDescent="0.25">
      <c r="A131" s="235">
        <f>IF($O131="","",INDEX(Master!$D$2:$D$1001,$O131))</f>
      </c>
      <c r="B131" s="166">
        <f>IF($O131="","",INDEX(Master!$B$2:$B$1001,$O131))</f>
      </c>
      <c r="C131">
        <f>IF($O131="","",INDEX(Master!$C$2:$C$1001,$O131))</f>
      </c>
      <c r="D131">
        <f>IF($O131="","",INDEX(Master!$A$2:$A$1001,$O131))</f>
      </c>
      <c r="E131">
        <f>IF($O131="","",INDEX(Master!$E$2:$E$1001,$O131))</f>
      </c>
      <c r="F131">
        <f>IF($O131="","",INDEX(Master!$F$2:$F$1001,$O131))</f>
      </c>
      <c r="G131">
        <f>IF($O131="","",INDEX(Master!$G$2:$G$1001,$O131))</f>
      </c>
      <c r="H131">
        <f>IF($O131="","",INDEX(Master!$H$2:$H$1001,$O131))</f>
      </c>
      <c r="I131">
        <f>IF($O131="","",INDEX(Master!$I$2:$I$1001,$O131))</f>
      </c>
      <c r="J131">
        <f>IF($O131="","",INDEX(Master!$J$2:$J$1001,$O131))</f>
      </c>
      <c r="K131">
        <f t="shared" si="2"/>
      </c>
      <c r="L131">
        <f>IF($O131="","",INDEX(Master!$K$2:$K$1001,$O131))</f>
      </c>
      <c r="M131">
        <f>IF($O131="","",INDEX(Master!$L$2:$L$1001,$O131))</f>
      </c>
      <c r="O131">
        <f t="array" ref="O131">IFERROR(SMALL(IF((Master!$A$2:$A$1001="SHYAM METALLIKS")*(Master!$M$2:$M$1001="130 x 130 x 6MTR"),ROW(Master!$A$2:$A$1001)-ROW(Master!$A$2)+1),127),"")</f>
      </c>
      <c r="P131">
        <f t="shared" si="3"/>
      </c>
    </row>
    <row r="132" spans="1:16" x14ac:dyDescent="0.25">
      <c r="A132" s="235">
        <f>IF($O132="","",INDEX(Master!$D$2:$D$1001,$O132))</f>
      </c>
      <c r="B132" s="166">
        <f>IF($O132="","",INDEX(Master!$B$2:$B$1001,$O132))</f>
      </c>
      <c r="C132">
        <f>IF($O132="","",INDEX(Master!$C$2:$C$1001,$O132))</f>
      </c>
      <c r="D132">
        <f>IF($O132="","",INDEX(Master!$A$2:$A$1001,$O132))</f>
      </c>
      <c r="E132">
        <f>IF($O132="","",INDEX(Master!$E$2:$E$1001,$O132))</f>
      </c>
      <c r="F132">
        <f>IF($O132="","",INDEX(Master!$F$2:$F$1001,$O132))</f>
      </c>
      <c r="G132">
        <f>IF($O132="","",INDEX(Master!$G$2:$G$1001,$O132))</f>
      </c>
      <c r="H132">
        <f>IF($O132="","",INDEX(Master!$H$2:$H$1001,$O132))</f>
      </c>
      <c r="I132">
        <f>IF($O132="","",INDEX(Master!$I$2:$I$1001,$O132))</f>
      </c>
      <c r="J132">
        <f>IF($O132="","",INDEX(Master!$J$2:$J$1001,$O132))</f>
      </c>
      <c r="K132">
        <f t="shared" si="2"/>
      </c>
      <c r="L132">
        <f>IF($O132="","",INDEX(Master!$K$2:$K$1001,$O132))</f>
      </c>
      <c r="M132">
        <f>IF($O132="","",INDEX(Master!$L$2:$L$1001,$O132))</f>
      </c>
      <c r="O132">
        <f t="array" ref="O132">IFERROR(SMALL(IF((Master!$A$2:$A$1001="SHYAM METALLIKS")*(Master!$M$2:$M$1001="130 x 130 x 6MTR"),ROW(Master!$A$2:$A$1001)-ROW(Master!$A$2)+1),128),"")</f>
      </c>
      <c r="P132">
        <f t="shared" si="3"/>
      </c>
    </row>
    <row r="133" spans="1:16" x14ac:dyDescent="0.25">
      <c r="A133" s="235">
        <f>IF($O133="","",INDEX(Master!$D$2:$D$1001,$O133))</f>
      </c>
      <c r="B133" s="166">
        <f>IF($O133="","",INDEX(Master!$B$2:$B$1001,$O133))</f>
      </c>
      <c r="C133">
        <f>IF($O133="","",INDEX(Master!$C$2:$C$1001,$O133))</f>
      </c>
      <c r="D133">
        <f>IF($O133="","",INDEX(Master!$A$2:$A$1001,$O133))</f>
      </c>
      <c r="E133">
        <f>IF($O133="","",INDEX(Master!$E$2:$E$1001,$O133))</f>
      </c>
      <c r="F133">
        <f>IF($O133="","",INDEX(Master!$F$2:$F$1001,$O133))</f>
      </c>
      <c r="G133">
        <f>IF($O133="","",INDEX(Master!$G$2:$G$1001,$O133))</f>
      </c>
      <c r="H133">
        <f>IF($O133="","",INDEX(Master!$H$2:$H$1001,$O133))</f>
      </c>
      <c r="I133">
        <f>IF($O133="","",INDEX(Master!$I$2:$I$1001,$O133))</f>
      </c>
      <c r="J133">
        <f>IF($O133="","",INDEX(Master!$J$2:$J$1001,$O133))</f>
      </c>
      <c r="K133">
        <f t="shared" ref="K133:K196" si="4">IF(OR($O133="",$F133="",$F133=0),"",$H133/$F133)</f>
      </c>
      <c r="L133">
        <f>IF($O133="","",INDEX(Master!$K$2:$K$1001,$O133))</f>
      </c>
      <c r="M133">
        <f>IF($O133="","",INDEX(Master!$L$2:$L$1001,$O133))</f>
      </c>
      <c r="O133">
        <f t="array" ref="O133">IFERROR(SMALL(IF((Master!$A$2:$A$1001="SHYAM METALLIKS")*(Master!$M$2:$M$1001="130 x 130 x 6MTR"),ROW(Master!$A$2:$A$1001)-ROW(Master!$A$2)+1),129),"")</f>
      </c>
      <c r="P133">
        <f t="shared" ref="P133:P196" si="5">IF($A133="",0,IF(OR(AND($E133&lt;&gt;"",OR($E133&gt;0.18)),AND($F133&lt;&gt;"",OR($F133&gt;0.045,($F133+$G133)&gt;0.14)),AND($G133&lt;&gt;"",OR($G133&gt;0.08,($F133+$G133)&gt;0.14)),AND($H133&lt;&gt;"",$H133&lt;0.4),AND($J133&lt;&gt;"",OR($J133&lt;0.1))),1,0))</f>
      </c>
    </row>
    <row r="134" spans="1:16" x14ac:dyDescent="0.25">
      <c r="A134" s="235">
        <f>IF($O134="","",INDEX(Master!$D$2:$D$1001,$O134))</f>
      </c>
      <c r="B134" s="166">
        <f>IF($O134="","",INDEX(Master!$B$2:$B$1001,$O134))</f>
      </c>
      <c r="C134">
        <f>IF($O134="","",INDEX(Master!$C$2:$C$1001,$O134))</f>
      </c>
      <c r="D134">
        <f>IF($O134="","",INDEX(Master!$A$2:$A$1001,$O134))</f>
      </c>
      <c r="E134">
        <f>IF($O134="","",INDEX(Master!$E$2:$E$1001,$O134))</f>
      </c>
      <c r="F134">
        <f>IF($O134="","",INDEX(Master!$F$2:$F$1001,$O134))</f>
      </c>
      <c r="G134">
        <f>IF($O134="","",INDEX(Master!$G$2:$G$1001,$O134))</f>
      </c>
      <c r="H134">
        <f>IF($O134="","",INDEX(Master!$H$2:$H$1001,$O134))</f>
      </c>
      <c r="I134">
        <f>IF($O134="","",INDEX(Master!$I$2:$I$1001,$O134))</f>
      </c>
      <c r="J134">
        <f>IF($O134="","",INDEX(Master!$J$2:$J$1001,$O134))</f>
      </c>
      <c r="K134">
        <f t="shared" si="4"/>
      </c>
      <c r="L134">
        <f>IF($O134="","",INDEX(Master!$K$2:$K$1001,$O134))</f>
      </c>
      <c r="M134">
        <f>IF($O134="","",INDEX(Master!$L$2:$L$1001,$O134))</f>
      </c>
      <c r="O134">
        <f t="array" ref="O134">IFERROR(SMALL(IF((Master!$A$2:$A$1001="SHYAM METALLIKS")*(Master!$M$2:$M$1001="130 x 130 x 6MTR"),ROW(Master!$A$2:$A$1001)-ROW(Master!$A$2)+1),130),"")</f>
      </c>
      <c r="P134">
        <f t="shared" si="5"/>
      </c>
    </row>
    <row r="135" spans="1:16" x14ac:dyDescent="0.25">
      <c r="A135" s="235">
        <f>IF($O135="","",INDEX(Master!$D$2:$D$1001,$O135))</f>
      </c>
      <c r="B135" s="166">
        <f>IF($O135="","",INDEX(Master!$B$2:$B$1001,$O135))</f>
      </c>
      <c r="C135">
        <f>IF($O135="","",INDEX(Master!$C$2:$C$1001,$O135))</f>
      </c>
      <c r="D135">
        <f>IF($O135="","",INDEX(Master!$A$2:$A$1001,$O135))</f>
      </c>
      <c r="E135">
        <f>IF($O135="","",INDEX(Master!$E$2:$E$1001,$O135))</f>
      </c>
      <c r="F135">
        <f>IF($O135="","",INDEX(Master!$F$2:$F$1001,$O135))</f>
      </c>
      <c r="G135">
        <f>IF($O135="","",INDEX(Master!$G$2:$G$1001,$O135))</f>
      </c>
      <c r="H135">
        <f>IF($O135="","",INDEX(Master!$H$2:$H$1001,$O135))</f>
      </c>
      <c r="I135">
        <f>IF($O135="","",INDEX(Master!$I$2:$I$1001,$O135))</f>
      </c>
      <c r="J135">
        <f>IF($O135="","",INDEX(Master!$J$2:$J$1001,$O135))</f>
      </c>
      <c r="K135">
        <f t="shared" si="4"/>
      </c>
      <c r="L135">
        <f>IF($O135="","",INDEX(Master!$K$2:$K$1001,$O135))</f>
      </c>
      <c r="M135">
        <f>IF($O135="","",INDEX(Master!$L$2:$L$1001,$O135))</f>
      </c>
      <c r="O135">
        <f t="array" ref="O135">IFERROR(SMALL(IF((Master!$A$2:$A$1001="SHYAM METALLIKS")*(Master!$M$2:$M$1001="130 x 130 x 6MTR"),ROW(Master!$A$2:$A$1001)-ROW(Master!$A$2)+1),131),"")</f>
      </c>
      <c r="P135">
        <f t="shared" si="5"/>
      </c>
    </row>
    <row r="136" spans="1:16" x14ac:dyDescent="0.25">
      <c r="A136" s="235">
        <f>IF($O136="","",INDEX(Master!$D$2:$D$1001,$O136))</f>
      </c>
      <c r="B136" s="166">
        <f>IF($O136="","",INDEX(Master!$B$2:$B$1001,$O136))</f>
      </c>
      <c r="C136">
        <f>IF($O136="","",INDEX(Master!$C$2:$C$1001,$O136))</f>
      </c>
      <c r="D136">
        <f>IF($O136="","",INDEX(Master!$A$2:$A$1001,$O136))</f>
      </c>
      <c r="E136">
        <f>IF($O136="","",INDEX(Master!$E$2:$E$1001,$O136))</f>
      </c>
      <c r="F136">
        <f>IF($O136="","",INDEX(Master!$F$2:$F$1001,$O136))</f>
      </c>
      <c r="G136">
        <f>IF($O136="","",INDEX(Master!$G$2:$G$1001,$O136))</f>
      </c>
      <c r="H136">
        <f>IF($O136="","",INDEX(Master!$H$2:$H$1001,$O136))</f>
      </c>
      <c r="I136">
        <f>IF($O136="","",INDEX(Master!$I$2:$I$1001,$O136))</f>
      </c>
      <c r="J136">
        <f>IF($O136="","",INDEX(Master!$J$2:$J$1001,$O136))</f>
      </c>
      <c r="K136">
        <f t="shared" si="4"/>
      </c>
      <c r="L136">
        <f>IF($O136="","",INDEX(Master!$K$2:$K$1001,$O136))</f>
      </c>
      <c r="M136">
        <f>IF($O136="","",INDEX(Master!$L$2:$L$1001,$O136))</f>
      </c>
      <c r="O136">
        <f t="array" ref="O136">IFERROR(SMALL(IF((Master!$A$2:$A$1001="SHYAM METALLIKS")*(Master!$M$2:$M$1001="130 x 130 x 6MTR"),ROW(Master!$A$2:$A$1001)-ROW(Master!$A$2)+1),132),"")</f>
      </c>
      <c r="P136">
        <f t="shared" si="5"/>
      </c>
    </row>
    <row r="137" spans="1:16" x14ac:dyDescent="0.25">
      <c r="A137" s="235">
        <f>IF($O137="","",INDEX(Master!$D$2:$D$1001,$O137))</f>
      </c>
      <c r="B137" s="166">
        <f>IF($O137="","",INDEX(Master!$B$2:$B$1001,$O137))</f>
      </c>
      <c r="C137">
        <f>IF($O137="","",INDEX(Master!$C$2:$C$1001,$O137))</f>
      </c>
      <c r="D137">
        <f>IF($O137="","",INDEX(Master!$A$2:$A$1001,$O137))</f>
      </c>
      <c r="E137">
        <f>IF($O137="","",INDEX(Master!$E$2:$E$1001,$O137))</f>
      </c>
      <c r="F137">
        <f>IF($O137="","",INDEX(Master!$F$2:$F$1001,$O137))</f>
      </c>
      <c r="G137">
        <f>IF($O137="","",INDEX(Master!$G$2:$G$1001,$O137))</f>
      </c>
      <c r="H137">
        <f>IF($O137="","",INDEX(Master!$H$2:$H$1001,$O137))</f>
      </c>
      <c r="I137">
        <f>IF($O137="","",INDEX(Master!$I$2:$I$1001,$O137))</f>
      </c>
      <c r="J137">
        <f>IF($O137="","",INDEX(Master!$J$2:$J$1001,$O137))</f>
      </c>
      <c r="K137">
        <f t="shared" si="4"/>
      </c>
      <c r="L137">
        <f>IF($O137="","",INDEX(Master!$K$2:$K$1001,$O137))</f>
      </c>
      <c r="M137">
        <f>IF($O137="","",INDEX(Master!$L$2:$L$1001,$O137))</f>
      </c>
      <c r="O137">
        <f t="array" ref="O137">IFERROR(SMALL(IF((Master!$A$2:$A$1001="SHYAM METALLIKS")*(Master!$M$2:$M$1001="130 x 130 x 6MTR"),ROW(Master!$A$2:$A$1001)-ROW(Master!$A$2)+1),133),"")</f>
      </c>
      <c r="P137">
        <f t="shared" si="5"/>
      </c>
    </row>
    <row r="138" spans="1:16" x14ac:dyDescent="0.25">
      <c r="A138" s="235">
        <f>IF($O138="","",INDEX(Master!$D$2:$D$1001,$O138))</f>
      </c>
      <c r="B138" s="166">
        <f>IF($O138="","",INDEX(Master!$B$2:$B$1001,$O138))</f>
      </c>
      <c r="C138">
        <f>IF($O138="","",INDEX(Master!$C$2:$C$1001,$O138))</f>
      </c>
      <c r="D138">
        <f>IF($O138="","",INDEX(Master!$A$2:$A$1001,$O138))</f>
      </c>
      <c r="E138">
        <f>IF($O138="","",INDEX(Master!$E$2:$E$1001,$O138))</f>
      </c>
      <c r="F138">
        <f>IF($O138="","",INDEX(Master!$F$2:$F$1001,$O138))</f>
      </c>
      <c r="G138">
        <f>IF($O138="","",INDEX(Master!$G$2:$G$1001,$O138))</f>
      </c>
      <c r="H138">
        <f>IF($O138="","",INDEX(Master!$H$2:$H$1001,$O138))</f>
      </c>
      <c r="I138">
        <f>IF($O138="","",INDEX(Master!$I$2:$I$1001,$O138))</f>
      </c>
      <c r="J138">
        <f>IF($O138="","",INDEX(Master!$J$2:$J$1001,$O138))</f>
      </c>
      <c r="K138">
        <f t="shared" si="4"/>
      </c>
      <c r="L138">
        <f>IF($O138="","",INDEX(Master!$K$2:$K$1001,$O138))</f>
      </c>
      <c r="M138">
        <f>IF($O138="","",INDEX(Master!$L$2:$L$1001,$O138))</f>
      </c>
      <c r="O138">
        <f t="array" ref="O138">IFERROR(SMALL(IF((Master!$A$2:$A$1001="SHYAM METALLIKS")*(Master!$M$2:$M$1001="130 x 130 x 6MTR"),ROW(Master!$A$2:$A$1001)-ROW(Master!$A$2)+1),134),"")</f>
      </c>
      <c r="P138">
        <f t="shared" si="5"/>
      </c>
    </row>
    <row r="139" spans="1:16" x14ac:dyDescent="0.25">
      <c r="A139" s="235">
        <f>IF($O139="","",INDEX(Master!$D$2:$D$1001,$O139))</f>
      </c>
      <c r="B139" s="166">
        <f>IF($O139="","",INDEX(Master!$B$2:$B$1001,$O139))</f>
      </c>
      <c r="C139">
        <f>IF($O139="","",INDEX(Master!$C$2:$C$1001,$O139))</f>
      </c>
      <c r="D139">
        <f>IF($O139="","",INDEX(Master!$A$2:$A$1001,$O139))</f>
      </c>
      <c r="E139">
        <f>IF($O139="","",INDEX(Master!$E$2:$E$1001,$O139))</f>
      </c>
      <c r="F139">
        <f>IF($O139="","",INDEX(Master!$F$2:$F$1001,$O139))</f>
      </c>
      <c r="G139">
        <f>IF($O139="","",INDEX(Master!$G$2:$G$1001,$O139))</f>
      </c>
      <c r="H139">
        <f>IF($O139="","",INDEX(Master!$H$2:$H$1001,$O139))</f>
      </c>
      <c r="I139">
        <f>IF($O139="","",INDEX(Master!$I$2:$I$1001,$O139))</f>
      </c>
      <c r="J139">
        <f>IF($O139="","",INDEX(Master!$J$2:$J$1001,$O139))</f>
      </c>
      <c r="K139">
        <f t="shared" si="4"/>
      </c>
      <c r="L139">
        <f>IF($O139="","",INDEX(Master!$K$2:$K$1001,$O139))</f>
      </c>
      <c r="M139">
        <f>IF($O139="","",INDEX(Master!$L$2:$L$1001,$O139))</f>
      </c>
      <c r="O139">
        <f t="array" ref="O139">IFERROR(SMALL(IF((Master!$A$2:$A$1001="SHYAM METALLIKS")*(Master!$M$2:$M$1001="130 x 130 x 6MTR"),ROW(Master!$A$2:$A$1001)-ROW(Master!$A$2)+1),135),"")</f>
      </c>
      <c r="P139">
        <f t="shared" si="5"/>
      </c>
    </row>
    <row r="140" spans="1:16" x14ac:dyDescent="0.25">
      <c r="A140" s="235">
        <f>IF($O140="","",INDEX(Master!$D$2:$D$1001,$O140))</f>
      </c>
      <c r="B140" s="166">
        <f>IF($O140="","",INDEX(Master!$B$2:$B$1001,$O140))</f>
      </c>
      <c r="C140">
        <f>IF($O140="","",INDEX(Master!$C$2:$C$1001,$O140))</f>
      </c>
      <c r="D140">
        <f>IF($O140="","",INDEX(Master!$A$2:$A$1001,$O140))</f>
      </c>
      <c r="E140">
        <f>IF($O140="","",INDEX(Master!$E$2:$E$1001,$O140))</f>
      </c>
      <c r="F140">
        <f>IF($O140="","",INDEX(Master!$F$2:$F$1001,$O140))</f>
      </c>
      <c r="G140">
        <f>IF($O140="","",INDEX(Master!$G$2:$G$1001,$O140))</f>
      </c>
      <c r="H140">
        <f>IF($O140="","",INDEX(Master!$H$2:$H$1001,$O140))</f>
      </c>
      <c r="I140">
        <f>IF($O140="","",INDEX(Master!$I$2:$I$1001,$O140))</f>
      </c>
      <c r="J140">
        <f>IF($O140="","",INDEX(Master!$J$2:$J$1001,$O140))</f>
      </c>
      <c r="K140">
        <f t="shared" si="4"/>
      </c>
      <c r="L140">
        <f>IF($O140="","",INDEX(Master!$K$2:$K$1001,$O140))</f>
      </c>
      <c r="M140">
        <f>IF($O140="","",INDEX(Master!$L$2:$L$1001,$O140))</f>
      </c>
      <c r="O140">
        <f t="array" ref="O140">IFERROR(SMALL(IF((Master!$A$2:$A$1001="SHYAM METALLIKS")*(Master!$M$2:$M$1001="130 x 130 x 6MTR"),ROW(Master!$A$2:$A$1001)-ROW(Master!$A$2)+1),136),"")</f>
      </c>
      <c r="P140">
        <f t="shared" si="5"/>
      </c>
    </row>
    <row r="141" spans="1:16" x14ac:dyDescent="0.25">
      <c r="A141" s="235">
        <f>IF($O141="","",INDEX(Master!$D$2:$D$1001,$O141))</f>
      </c>
      <c r="B141" s="166">
        <f>IF($O141="","",INDEX(Master!$B$2:$B$1001,$O141))</f>
      </c>
      <c r="C141">
        <f>IF($O141="","",INDEX(Master!$C$2:$C$1001,$O141))</f>
      </c>
      <c r="D141">
        <f>IF($O141="","",INDEX(Master!$A$2:$A$1001,$O141))</f>
      </c>
      <c r="E141">
        <f>IF($O141="","",INDEX(Master!$E$2:$E$1001,$O141))</f>
      </c>
      <c r="F141">
        <f>IF($O141="","",INDEX(Master!$F$2:$F$1001,$O141))</f>
      </c>
      <c r="G141">
        <f>IF($O141="","",INDEX(Master!$G$2:$G$1001,$O141))</f>
      </c>
      <c r="H141">
        <f>IF($O141="","",INDEX(Master!$H$2:$H$1001,$O141))</f>
      </c>
      <c r="I141">
        <f>IF($O141="","",INDEX(Master!$I$2:$I$1001,$O141))</f>
      </c>
      <c r="J141">
        <f>IF($O141="","",INDEX(Master!$J$2:$J$1001,$O141))</f>
      </c>
      <c r="K141">
        <f t="shared" si="4"/>
      </c>
      <c r="L141">
        <f>IF($O141="","",INDEX(Master!$K$2:$K$1001,$O141))</f>
      </c>
      <c r="M141">
        <f>IF($O141="","",INDEX(Master!$L$2:$L$1001,$O141))</f>
      </c>
      <c r="O141">
        <f t="array" ref="O141">IFERROR(SMALL(IF((Master!$A$2:$A$1001="SHYAM METALLIKS")*(Master!$M$2:$M$1001="130 x 130 x 6MTR"),ROW(Master!$A$2:$A$1001)-ROW(Master!$A$2)+1),137),"")</f>
      </c>
      <c r="P141">
        <f t="shared" si="5"/>
      </c>
    </row>
    <row r="142" spans="1:16" x14ac:dyDescent="0.25">
      <c r="A142" s="235">
        <f>IF($O142="","",INDEX(Master!$D$2:$D$1001,$O142))</f>
      </c>
      <c r="B142" s="166">
        <f>IF($O142="","",INDEX(Master!$B$2:$B$1001,$O142))</f>
      </c>
      <c r="C142">
        <f>IF($O142="","",INDEX(Master!$C$2:$C$1001,$O142))</f>
      </c>
      <c r="D142">
        <f>IF($O142="","",INDEX(Master!$A$2:$A$1001,$O142))</f>
      </c>
      <c r="E142">
        <f>IF($O142="","",INDEX(Master!$E$2:$E$1001,$O142))</f>
      </c>
      <c r="F142">
        <f>IF($O142="","",INDEX(Master!$F$2:$F$1001,$O142))</f>
      </c>
      <c r="G142">
        <f>IF($O142="","",INDEX(Master!$G$2:$G$1001,$O142))</f>
      </c>
      <c r="H142">
        <f>IF($O142="","",INDEX(Master!$H$2:$H$1001,$O142))</f>
      </c>
      <c r="I142">
        <f>IF($O142="","",INDEX(Master!$I$2:$I$1001,$O142))</f>
      </c>
      <c r="J142">
        <f>IF($O142="","",INDEX(Master!$J$2:$J$1001,$O142))</f>
      </c>
      <c r="K142">
        <f t="shared" si="4"/>
      </c>
      <c r="L142">
        <f>IF($O142="","",INDEX(Master!$K$2:$K$1001,$O142))</f>
      </c>
      <c r="M142">
        <f>IF($O142="","",INDEX(Master!$L$2:$L$1001,$O142))</f>
      </c>
      <c r="O142">
        <f t="array" ref="O142">IFERROR(SMALL(IF((Master!$A$2:$A$1001="SHYAM METALLIKS")*(Master!$M$2:$M$1001="130 x 130 x 6MTR"),ROW(Master!$A$2:$A$1001)-ROW(Master!$A$2)+1),138),"")</f>
      </c>
      <c r="P142">
        <f t="shared" si="5"/>
      </c>
    </row>
    <row r="143" spans="1:16" x14ac:dyDescent="0.25">
      <c r="A143" s="235">
        <f>IF($O143="","",INDEX(Master!$D$2:$D$1001,$O143))</f>
      </c>
      <c r="B143" s="166">
        <f>IF($O143="","",INDEX(Master!$B$2:$B$1001,$O143))</f>
      </c>
      <c r="C143">
        <f>IF($O143="","",INDEX(Master!$C$2:$C$1001,$O143))</f>
      </c>
      <c r="D143">
        <f>IF($O143="","",INDEX(Master!$A$2:$A$1001,$O143))</f>
      </c>
      <c r="E143">
        <f>IF($O143="","",INDEX(Master!$E$2:$E$1001,$O143))</f>
      </c>
      <c r="F143">
        <f>IF($O143="","",INDEX(Master!$F$2:$F$1001,$O143))</f>
      </c>
      <c r="G143">
        <f>IF($O143="","",INDEX(Master!$G$2:$G$1001,$O143))</f>
      </c>
      <c r="H143">
        <f>IF($O143="","",INDEX(Master!$H$2:$H$1001,$O143))</f>
      </c>
      <c r="I143">
        <f>IF($O143="","",INDEX(Master!$I$2:$I$1001,$O143))</f>
      </c>
      <c r="J143">
        <f>IF($O143="","",INDEX(Master!$J$2:$J$1001,$O143))</f>
      </c>
      <c r="K143">
        <f t="shared" si="4"/>
      </c>
      <c r="L143">
        <f>IF($O143="","",INDEX(Master!$K$2:$K$1001,$O143))</f>
      </c>
      <c r="M143">
        <f>IF($O143="","",INDEX(Master!$L$2:$L$1001,$O143))</f>
      </c>
      <c r="O143">
        <f t="array" ref="O143">IFERROR(SMALL(IF((Master!$A$2:$A$1001="SHYAM METALLIKS")*(Master!$M$2:$M$1001="130 x 130 x 6MTR"),ROW(Master!$A$2:$A$1001)-ROW(Master!$A$2)+1),139),"")</f>
      </c>
      <c r="P143">
        <f t="shared" si="5"/>
      </c>
    </row>
    <row r="144" spans="1:16" x14ac:dyDescent="0.25">
      <c r="A144" s="235">
        <f>IF($O144="","",INDEX(Master!$D$2:$D$1001,$O144))</f>
      </c>
      <c r="B144" s="166">
        <f>IF($O144="","",INDEX(Master!$B$2:$B$1001,$O144))</f>
      </c>
      <c r="C144">
        <f>IF($O144="","",INDEX(Master!$C$2:$C$1001,$O144))</f>
      </c>
      <c r="D144">
        <f>IF($O144="","",INDEX(Master!$A$2:$A$1001,$O144))</f>
      </c>
      <c r="E144">
        <f>IF($O144="","",INDEX(Master!$E$2:$E$1001,$O144))</f>
      </c>
      <c r="F144">
        <f>IF($O144="","",INDEX(Master!$F$2:$F$1001,$O144))</f>
      </c>
      <c r="G144">
        <f>IF($O144="","",INDEX(Master!$G$2:$G$1001,$O144))</f>
      </c>
      <c r="H144">
        <f>IF($O144="","",INDEX(Master!$H$2:$H$1001,$O144))</f>
      </c>
      <c r="I144">
        <f>IF($O144="","",INDEX(Master!$I$2:$I$1001,$O144))</f>
      </c>
      <c r="J144">
        <f>IF($O144="","",INDEX(Master!$J$2:$J$1001,$O144))</f>
      </c>
      <c r="K144">
        <f t="shared" si="4"/>
      </c>
      <c r="L144">
        <f>IF($O144="","",INDEX(Master!$K$2:$K$1001,$O144))</f>
      </c>
      <c r="M144">
        <f>IF($O144="","",INDEX(Master!$L$2:$L$1001,$O144))</f>
      </c>
      <c r="O144">
        <f t="array" ref="O144">IFERROR(SMALL(IF((Master!$A$2:$A$1001="SHYAM METALLIKS")*(Master!$M$2:$M$1001="130 x 130 x 6MTR"),ROW(Master!$A$2:$A$1001)-ROW(Master!$A$2)+1),140),"")</f>
      </c>
      <c r="P144">
        <f t="shared" si="5"/>
      </c>
    </row>
    <row r="145" spans="1:16" x14ac:dyDescent="0.25">
      <c r="A145" s="235">
        <f>IF($O145="","",INDEX(Master!$D$2:$D$1001,$O145))</f>
      </c>
      <c r="B145" s="166">
        <f>IF($O145="","",INDEX(Master!$B$2:$B$1001,$O145))</f>
      </c>
      <c r="C145">
        <f>IF($O145="","",INDEX(Master!$C$2:$C$1001,$O145))</f>
      </c>
      <c r="D145">
        <f>IF($O145="","",INDEX(Master!$A$2:$A$1001,$O145))</f>
      </c>
      <c r="E145">
        <f>IF($O145="","",INDEX(Master!$E$2:$E$1001,$O145))</f>
      </c>
      <c r="F145">
        <f>IF($O145="","",INDEX(Master!$F$2:$F$1001,$O145))</f>
      </c>
      <c r="G145">
        <f>IF($O145="","",INDEX(Master!$G$2:$G$1001,$O145))</f>
      </c>
      <c r="H145">
        <f>IF($O145="","",INDEX(Master!$H$2:$H$1001,$O145))</f>
      </c>
      <c r="I145">
        <f>IF($O145="","",INDEX(Master!$I$2:$I$1001,$O145))</f>
      </c>
      <c r="J145">
        <f>IF($O145="","",INDEX(Master!$J$2:$J$1001,$O145))</f>
      </c>
      <c r="K145">
        <f t="shared" si="4"/>
      </c>
      <c r="L145">
        <f>IF($O145="","",INDEX(Master!$K$2:$K$1001,$O145))</f>
      </c>
      <c r="M145">
        <f>IF($O145="","",INDEX(Master!$L$2:$L$1001,$O145))</f>
      </c>
      <c r="O145">
        <f t="array" ref="O145">IFERROR(SMALL(IF((Master!$A$2:$A$1001="SHYAM METALLIKS")*(Master!$M$2:$M$1001="130 x 130 x 6MTR"),ROW(Master!$A$2:$A$1001)-ROW(Master!$A$2)+1),141),"")</f>
      </c>
      <c r="P145">
        <f t="shared" si="5"/>
      </c>
    </row>
    <row r="146" spans="1:16" x14ac:dyDescent="0.25">
      <c r="A146" s="235">
        <f>IF($O146="","",INDEX(Master!$D$2:$D$1001,$O146))</f>
      </c>
      <c r="B146" s="166">
        <f>IF($O146="","",INDEX(Master!$B$2:$B$1001,$O146))</f>
      </c>
      <c r="C146">
        <f>IF($O146="","",INDEX(Master!$C$2:$C$1001,$O146))</f>
      </c>
      <c r="D146">
        <f>IF($O146="","",INDEX(Master!$A$2:$A$1001,$O146))</f>
      </c>
      <c r="E146">
        <f>IF($O146="","",INDEX(Master!$E$2:$E$1001,$O146))</f>
      </c>
      <c r="F146">
        <f>IF($O146="","",INDEX(Master!$F$2:$F$1001,$O146))</f>
      </c>
      <c r="G146">
        <f>IF($O146="","",INDEX(Master!$G$2:$G$1001,$O146))</f>
      </c>
      <c r="H146">
        <f>IF($O146="","",INDEX(Master!$H$2:$H$1001,$O146))</f>
      </c>
      <c r="I146">
        <f>IF($O146="","",INDEX(Master!$I$2:$I$1001,$O146))</f>
      </c>
      <c r="J146">
        <f>IF($O146="","",INDEX(Master!$J$2:$J$1001,$O146))</f>
      </c>
      <c r="K146">
        <f t="shared" si="4"/>
      </c>
      <c r="L146">
        <f>IF($O146="","",INDEX(Master!$K$2:$K$1001,$O146))</f>
      </c>
      <c r="M146">
        <f>IF($O146="","",INDEX(Master!$L$2:$L$1001,$O146))</f>
      </c>
      <c r="O146">
        <f t="array" ref="O146">IFERROR(SMALL(IF((Master!$A$2:$A$1001="SHYAM METALLIKS")*(Master!$M$2:$M$1001="130 x 130 x 6MTR"),ROW(Master!$A$2:$A$1001)-ROW(Master!$A$2)+1),142),"")</f>
      </c>
      <c r="P146">
        <f t="shared" si="5"/>
      </c>
    </row>
    <row r="147" spans="1:16" x14ac:dyDescent="0.25">
      <c r="A147" s="235">
        <f>IF($O147="","",INDEX(Master!$D$2:$D$1001,$O147))</f>
      </c>
      <c r="B147" s="166">
        <f>IF($O147="","",INDEX(Master!$B$2:$B$1001,$O147))</f>
      </c>
      <c r="C147">
        <f>IF($O147="","",INDEX(Master!$C$2:$C$1001,$O147))</f>
      </c>
      <c r="D147">
        <f>IF($O147="","",INDEX(Master!$A$2:$A$1001,$O147))</f>
      </c>
      <c r="E147">
        <f>IF($O147="","",INDEX(Master!$E$2:$E$1001,$O147))</f>
      </c>
      <c r="F147">
        <f>IF($O147="","",INDEX(Master!$F$2:$F$1001,$O147))</f>
      </c>
      <c r="G147">
        <f>IF($O147="","",INDEX(Master!$G$2:$G$1001,$O147))</f>
      </c>
      <c r="H147">
        <f>IF($O147="","",INDEX(Master!$H$2:$H$1001,$O147))</f>
      </c>
      <c r="I147">
        <f>IF($O147="","",INDEX(Master!$I$2:$I$1001,$O147))</f>
      </c>
      <c r="J147">
        <f>IF($O147="","",INDEX(Master!$J$2:$J$1001,$O147))</f>
      </c>
      <c r="K147">
        <f t="shared" si="4"/>
      </c>
      <c r="L147">
        <f>IF($O147="","",INDEX(Master!$K$2:$K$1001,$O147))</f>
      </c>
      <c r="M147">
        <f>IF($O147="","",INDEX(Master!$L$2:$L$1001,$O147))</f>
      </c>
      <c r="O147">
        <f t="array" ref="O147">IFERROR(SMALL(IF((Master!$A$2:$A$1001="SHYAM METALLIKS")*(Master!$M$2:$M$1001="130 x 130 x 6MTR"),ROW(Master!$A$2:$A$1001)-ROW(Master!$A$2)+1),143),"")</f>
      </c>
      <c r="P147">
        <f t="shared" si="5"/>
      </c>
    </row>
    <row r="148" spans="1:16" x14ac:dyDescent="0.25">
      <c r="A148" s="235">
        <f>IF($O148="","",INDEX(Master!$D$2:$D$1001,$O148))</f>
      </c>
      <c r="B148" s="166">
        <f>IF($O148="","",INDEX(Master!$B$2:$B$1001,$O148))</f>
      </c>
      <c r="C148">
        <f>IF($O148="","",INDEX(Master!$C$2:$C$1001,$O148))</f>
      </c>
      <c r="D148">
        <f>IF($O148="","",INDEX(Master!$A$2:$A$1001,$O148))</f>
      </c>
      <c r="E148">
        <f>IF($O148="","",INDEX(Master!$E$2:$E$1001,$O148))</f>
      </c>
      <c r="F148">
        <f>IF($O148="","",INDEX(Master!$F$2:$F$1001,$O148))</f>
      </c>
      <c r="G148">
        <f>IF($O148="","",INDEX(Master!$G$2:$G$1001,$O148))</f>
      </c>
      <c r="H148">
        <f>IF($O148="","",INDEX(Master!$H$2:$H$1001,$O148))</f>
      </c>
      <c r="I148">
        <f>IF($O148="","",INDEX(Master!$I$2:$I$1001,$O148))</f>
      </c>
      <c r="J148">
        <f>IF($O148="","",INDEX(Master!$J$2:$J$1001,$O148))</f>
      </c>
      <c r="K148">
        <f t="shared" si="4"/>
      </c>
      <c r="L148">
        <f>IF($O148="","",INDEX(Master!$K$2:$K$1001,$O148))</f>
      </c>
      <c r="M148">
        <f>IF($O148="","",INDEX(Master!$L$2:$L$1001,$O148))</f>
      </c>
      <c r="O148">
        <f t="array" ref="O148">IFERROR(SMALL(IF((Master!$A$2:$A$1001="SHYAM METALLIKS")*(Master!$M$2:$M$1001="130 x 130 x 6MTR"),ROW(Master!$A$2:$A$1001)-ROW(Master!$A$2)+1),144),"")</f>
      </c>
      <c r="P148">
        <f t="shared" si="5"/>
      </c>
    </row>
    <row r="149" spans="1:16" x14ac:dyDescent="0.25">
      <c r="A149" s="235">
        <f>IF($O149="","",INDEX(Master!$D$2:$D$1001,$O149))</f>
      </c>
      <c r="B149" s="166">
        <f>IF($O149="","",INDEX(Master!$B$2:$B$1001,$O149))</f>
      </c>
      <c r="C149">
        <f>IF($O149="","",INDEX(Master!$C$2:$C$1001,$O149))</f>
      </c>
      <c r="D149">
        <f>IF($O149="","",INDEX(Master!$A$2:$A$1001,$O149))</f>
      </c>
      <c r="E149">
        <f>IF($O149="","",INDEX(Master!$E$2:$E$1001,$O149))</f>
      </c>
      <c r="F149">
        <f>IF($O149="","",INDEX(Master!$F$2:$F$1001,$O149))</f>
      </c>
      <c r="G149">
        <f>IF($O149="","",INDEX(Master!$G$2:$G$1001,$O149))</f>
      </c>
      <c r="H149">
        <f>IF($O149="","",INDEX(Master!$H$2:$H$1001,$O149))</f>
      </c>
      <c r="I149">
        <f>IF($O149="","",INDEX(Master!$I$2:$I$1001,$O149))</f>
      </c>
      <c r="J149">
        <f>IF($O149="","",INDEX(Master!$J$2:$J$1001,$O149))</f>
      </c>
      <c r="K149">
        <f t="shared" si="4"/>
      </c>
      <c r="L149">
        <f>IF($O149="","",INDEX(Master!$K$2:$K$1001,$O149))</f>
      </c>
      <c r="M149">
        <f>IF($O149="","",INDEX(Master!$L$2:$L$1001,$O149))</f>
      </c>
      <c r="O149">
        <f t="array" ref="O149">IFERROR(SMALL(IF((Master!$A$2:$A$1001="SHYAM METALLIKS")*(Master!$M$2:$M$1001="130 x 130 x 6MTR"),ROW(Master!$A$2:$A$1001)-ROW(Master!$A$2)+1),145),"")</f>
      </c>
      <c r="P149">
        <f t="shared" si="5"/>
      </c>
    </row>
    <row r="150" spans="1:16" x14ac:dyDescent="0.25">
      <c r="A150" s="235">
        <f>IF($O150="","",INDEX(Master!$D$2:$D$1001,$O150))</f>
      </c>
      <c r="B150" s="166">
        <f>IF($O150="","",INDEX(Master!$B$2:$B$1001,$O150))</f>
      </c>
      <c r="C150">
        <f>IF($O150="","",INDEX(Master!$C$2:$C$1001,$O150))</f>
      </c>
      <c r="D150">
        <f>IF($O150="","",INDEX(Master!$A$2:$A$1001,$O150))</f>
      </c>
      <c r="E150">
        <f>IF($O150="","",INDEX(Master!$E$2:$E$1001,$O150))</f>
      </c>
      <c r="F150">
        <f>IF($O150="","",INDEX(Master!$F$2:$F$1001,$O150))</f>
      </c>
      <c r="G150">
        <f>IF($O150="","",INDEX(Master!$G$2:$G$1001,$O150))</f>
      </c>
      <c r="H150">
        <f>IF($O150="","",INDEX(Master!$H$2:$H$1001,$O150))</f>
      </c>
      <c r="I150">
        <f>IF($O150="","",INDEX(Master!$I$2:$I$1001,$O150))</f>
      </c>
      <c r="J150">
        <f>IF($O150="","",INDEX(Master!$J$2:$J$1001,$O150))</f>
      </c>
      <c r="K150">
        <f t="shared" si="4"/>
      </c>
      <c r="L150">
        <f>IF($O150="","",INDEX(Master!$K$2:$K$1001,$O150))</f>
      </c>
      <c r="M150">
        <f>IF($O150="","",INDEX(Master!$L$2:$L$1001,$O150))</f>
      </c>
      <c r="O150">
        <f t="array" ref="O150">IFERROR(SMALL(IF((Master!$A$2:$A$1001="SHYAM METALLIKS")*(Master!$M$2:$M$1001="130 x 130 x 6MTR"),ROW(Master!$A$2:$A$1001)-ROW(Master!$A$2)+1),146),"")</f>
      </c>
      <c r="P150">
        <f t="shared" si="5"/>
      </c>
    </row>
    <row r="151" spans="1:16" x14ac:dyDescent="0.25">
      <c r="A151" s="235">
        <f>IF($O151="","",INDEX(Master!$D$2:$D$1001,$O151))</f>
      </c>
      <c r="B151" s="166">
        <f>IF($O151="","",INDEX(Master!$B$2:$B$1001,$O151))</f>
      </c>
      <c r="C151">
        <f>IF($O151="","",INDEX(Master!$C$2:$C$1001,$O151))</f>
      </c>
      <c r="D151">
        <f>IF($O151="","",INDEX(Master!$A$2:$A$1001,$O151))</f>
      </c>
      <c r="E151">
        <f>IF($O151="","",INDEX(Master!$E$2:$E$1001,$O151))</f>
      </c>
      <c r="F151">
        <f>IF($O151="","",INDEX(Master!$F$2:$F$1001,$O151))</f>
      </c>
      <c r="G151">
        <f>IF($O151="","",INDEX(Master!$G$2:$G$1001,$O151))</f>
      </c>
      <c r="H151">
        <f>IF($O151="","",INDEX(Master!$H$2:$H$1001,$O151))</f>
      </c>
      <c r="I151">
        <f>IF($O151="","",INDEX(Master!$I$2:$I$1001,$O151))</f>
      </c>
      <c r="J151">
        <f>IF($O151="","",INDEX(Master!$J$2:$J$1001,$O151))</f>
      </c>
      <c r="K151">
        <f t="shared" si="4"/>
      </c>
      <c r="L151">
        <f>IF($O151="","",INDEX(Master!$K$2:$K$1001,$O151))</f>
      </c>
      <c r="M151">
        <f>IF($O151="","",INDEX(Master!$L$2:$L$1001,$O151))</f>
      </c>
      <c r="O151">
        <f t="array" ref="O151">IFERROR(SMALL(IF((Master!$A$2:$A$1001="SHYAM METALLIKS")*(Master!$M$2:$M$1001="130 x 130 x 6MTR"),ROW(Master!$A$2:$A$1001)-ROW(Master!$A$2)+1),147),"")</f>
      </c>
      <c r="P151">
        <f t="shared" si="5"/>
      </c>
    </row>
    <row r="152" spans="1:16" x14ac:dyDescent="0.25">
      <c r="A152" s="235">
        <f>IF($O152="","",INDEX(Master!$D$2:$D$1001,$O152))</f>
      </c>
      <c r="B152" s="166">
        <f>IF($O152="","",INDEX(Master!$B$2:$B$1001,$O152))</f>
      </c>
      <c r="C152">
        <f>IF($O152="","",INDEX(Master!$C$2:$C$1001,$O152))</f>
      </c>
      <c r="D152">
        <f>IF($O152="","",INDEX(Master!$A$2:$A$1001,$O152))</f>
      </c>
      <c r="E152">
        <f>IF($O152="","",INDEX(Master!$E$2:$E$1001,$O152))</f>
      </c>
      <c r="F152">
        <f>IF($O152="","",INDEX(Master!$F$2:$F$1001,$O152))</f>
      </c>
      <c r="G152">
        <f>IF($O152="","",INDEX(Master!$G$2:$G$1001,$O152))</f>
      </c>
      <c r="H152">
        <f>IF($O152="","",INDEX(Master!$H$2:$H$1001,$O152))</f>
      </c>
      <c r="I152">
        <f>IF($O152="","",INDEX(Master!$I$2:$I$1001,$O152))</f>
      </c>
      <c r="J152">
        <f>IF($O152="","",INDEX(Master!$J$2:$J$1001,$O152))</f>
      </c>
      <c r="K152">
        <f t="shared" si="4"/>
      </c>
      <c r="L152">
        <f>IF($O152="","",INDEX(Master!$K$2:$K$1001,$O152))</f>
      </c>
      <c r="M152">
        <f>IF($O152="","",INDEX(Master!$L$2:$L$1001,$O152))</f>
      </c>
      <c r="O152">
        <f t="array" ref="O152">IFERROR(SMALL(IF((Master!$A$2:$A$1001="SHYAM METALLIKS")*(Master!$M$2:$M$1001="130 x 130 x 6MTR"),ROW(Master!$A$2:$A$1001)-ROW(Master!$A$2)+1),148),"")</f>
      </c>
      <c r="P152">
        <f t="shared" si="5"/>
      </c>
    </row>
    <row r="153" spans="1:16" x14ac:dyDescent="0.25">
      <c r="A153" s="235">
        <f>IF($O153="","",INDEX(Master!$D$2:$D$1001,$O153))</f>
      </c>
      <c r="B153" s="166">
        <f>IF($O153="","",INDEX(Master!$B$2:$B$1001,$O153))</f>
      </c>
      <c r="C153">
        <f>IF($O153="","",INDEX(Master!$C$2:$C$1001,$O153))</f>
      </c>
      <c r="D153">
        <f>IF($O153="","",INDEX(Master!$A$2:$A$1001,$O153))</f>
      </c>
      <c r="E153">
        <f>IF($O153="","",INDEX(Master!$E$2:$E$1001,$O153))</f>
      </c>
      <c r="F153">
        <f>IF($O153="","",INDEX(Master!$F$2:$F$1001,$O153))</f>
      </c>
      <c r="G153">
        <f>IF($O153="","",INDEX(Master!$G$2:$G$1001,$O153))</f>
      </c>
      <c r="H153">
        <f>IF($O153="","",INDEX(Master!$H$2:$H$1001,$O153))</f>
      </c>
      <c r="I153">
        <f>IF($O153="","",INDEX(Master!$I$2:$I$1001,$O153))</f>
      </c>
      <c r="J153">
        <f>IF($O153="","",INDEX(Master!$J$2:$J$1001,$O153))</f>
      </c>
      <c r="K153">
        <f t="shared" si="4"/>
      </c>
      <c r="L153">
        <f>IF($O153="","",INDEX(Master!$K$2:$K$1001,$O153))</f>
      </c>
      <c r="M153">
        <f>IF($O153="","",INDEX(Master!$L$2:$L$1001,$O153))</f>
      </c>
      <c r="O153">
        <f t="array" ref="O153">IFERROR(SMALL(IF((Master!$A$2:$A$1001="SHYAM METALLIKS")*(Master!$M$2:$M$1001="130 x 130 x 6MTR"),ROW(Master!$A$2:$A$1001)-ROW(Master!$A$2)+1),149),"")</f>
      </c>
      <c r="P153">
        <f t="shared" si="5"/>
      </c>
    </row>
    <row r="154" spans="1:16" x14ac:dyDescent="0.25">
      <c r="A154" s="235">
        <f>IF($O154="","",INDEX(Master!$D$2:$D$1001,$O154))</f>
      </c>
      <c r="B154" s="166">
        <f>IF($O154="","",INDEX(Master!$B$2:$B$1001,$O154))</f>
      </c>
      <c r="C154">
        <f>IF($O154="","",INDEX(Master!$C$2:$C$1001,$O154))</f>
      </c>
      <c r="D154">
        <f>IF($O154="","",INDEX(Master!$A$2:$A$1001,$O154))</f>
      </c>
      <c r="E154">
        <f>IF($O154="","",INDEX(Master!$E$2:$E$1001,$O154))</f>
      </c>
      <c r="F154">
        <f>IF($O154="","",INDEX(Master!$F$2:$F$1001,$O154))</f>
      </c>
      <c r="G154">
        <f>IF($O154="","",INDEX(Master!$G$2:$G$1001,$O154))</f>
      </c>
      <c r="H154">
        <f>IF($O154="","",INDEX(Master!$H$2:$H$1001,$O154))</f>
      </c>
      <c r="I154">
        <f>IF($O154="","",INDEX(Master!$I$2:$I$1001,$O154))</f>
      </c>
      <c r="J154">
        <f>IF($O154="","",INDEX(Master!$J$2:$J$1001,$O154))</f>
      </c>
      <c r="K154">
        <f t="shared" si="4"/>
      </c>
      <c r="L154">
        <f>IF($O154="","",INDEX(Master!$K$2:$K$1001,$O154))</f>
      </c>
      <c r="M154">
        <f>IF($O154="","",INDEX(Master!$L$2:$L$1001,$O154))</f>
      </c>
      <c r="O154">
        <f t="array" ref="O154">IFERROR(SMALL(IF((Master!$A$2:$A$1001="SHYAM METALLIKS")*(Master!$M$2:$M$1001="130 x 130 x 6MTR"),ROW(Master!$A$2:$A$1001)-ROW(Master!$A$2)+1),150),"")</f>
      </c>
      <c r="P154">
        <f t="shared" si="5"/>
      </c>
    </row>
    <row r="155" spans="1:16" x14ac:dyDescent="0.25">
      <c r="A155" s="235">
        <f>IF($O155="","",INDEX(Master!$D$2:$D$1001,$O155))</f>
      </c>
      <c r="B155" s="166">
        <f>IF($O155="","",INDEX(Master!$B$2:$B$1001,$O155))</f>
      </c>
      <c r="C155">
        <f>IF($O155="","",INDEX(Master!$C$2:$C$1001,$O155))</f>
      </c>
      <c r="D155">
        <f>IF($O155="","",INDEX(Master!$A$2:$A$1001,$O155))</f>
      </c>
      <c r="E155">
        <f>IF($O155="","",INDEX(Master!$E$2:$E$1001,$O155))</f>
      </c>
      <c r="F155">
        <f>IF($O155="","",INDEX(Master!$F$2:$F$1001,$O155))</f>
      </c>
      <c r="G155">
        <f>IF($O155="","",INDEX(Master!$G$2:$G$1001,$O155))</f>
      </c>
      <c r="H155">
        <f>IF($O155="","",INDEX(Master!$H$2:$H$1001,$O155))</f>
      </c>
      <c r="I155">
        <f>IF($O155="","",INDEX(Master!$I$2:$I$1001,$O155))</f>
      </c>
      <c r="J155">
        <f>IF($O155="","",INDEX(Master!$J$2:$J$1001,$O155))</f>
      </c>
      <c r="K155">
        <f t="shared" si="4"/>
      </c>
      <c r="L155">
        <f>IF($O155="","",INDEX(Master!$K$2:$K$1001,$O155))</f>
      </c>
      <c r="M155">
        <f>IF($O155="","",INDEX(Master!$L$2:$L$1001,$O155))</f>
      </c>
      <c r="O155">
        <f t="array" ref="O155">IFERROR(SMALL(IF((Master!$A$2:$A$1001="SHYAM METALLIKS")*(Master!$M$2:$M$1001="130 x 130 x 6MTR"),ROW(Master!$A$2:$A$1001)-ROW(Master!$A$2)+1),151),"")</f>
      </c>
      <c r="P155">
        <f t="shared" si="5"/>
      </c>
    </row>
    <row r="156" spans="1:16" x14ac:dyDescent="0.25">
      <c r="A156" s="235">
        <f>IF($O156="","",INDEX(Master!$D$2:$D$1001,$O156))</f>
      </c>
      <c r="B156" s="166">
        <f>IF($O156="","",INDEX(Master!$B$2:$B$1001,$O156))</f>
      </c>
      <c r="C156">
        <f>IF($O156="","",INDEX(Master!$C$2:$C$1001,$O156))</f>
      </c>
      <c r="D156">
        <f>IF($O156="","",INDEX(Master!$A$2:$A$1001,$O156))</f>
      </c>
      <c r="E156">
        <f>IF($O156="","",INDEX(Master!$E$2:$E$1001,$O156))</f>
      </c>
      <c r="F156">
        <f>IF($O156="","",INDEX(Master!$F$2:$F$1001,$O156))</f>
      </c>
      <c r="G156">
        <f>IF($O156="","",INDEX(Master!$G$2:$G$1001,$O156))</f>
      </c>
      <c r="H156">
        <f>IF($O156="","",INDEX(Master!$H$2:$H$1001,$O156))</f>
      </c>
      <c r="I156">
        <f>IF($O156="","",INDEX(Master!$I$2:$I$1001,$O156))</f>
      </c>
      <c r="J156">
        <f>IF($O156="","",INDEX(Master!$J$2:$J$1001,$O156))</f>
      </c>
      <c r="K156">
        <f t="shared" si="4"/>
      </c>
      <c r="L156">
        <f>IF($O156="","",INDEX(Master!$K$2:$K$1001,$O156))</f>
      </c>
      <c r="M156">
        <f>IF($O156="","",INDEX(Master!$L$2:$L$1001,$O156))</f>
      </c>
      <c r="O156">
        <f t="array" ref="O156">IFERROR(SMALL(IF((Master!$A$2:$A$1001="SHYAM METALLIKS")*(Master!$M$2:$M$1001="130 x 130 x 6MTR"),ROW(Master!$A$2:$A$1001)-ROW(Master!$A$2)+1),152),"")</f>
      </c>
      <c r="P156">
        <f t="shared" si="5"/>
      </c>
    </row>
    <row r="157" spans="1:16" x14ac:dyDescent="0.25">
      <c r="A157" s="235">
        <f>IF($O157="","",INDEX(Master!$D$2:$D$1001,$O157))</f>
      </c>
      <c r="B157" s="166">
        <f>IF($O157="","",INDEX(Master!$B$2:$B$1001,$O157))</f>
      </c>
      <c r="C157">
        <f>IF($O157="","",INDEX(Master!$C$2:$C$1001,$O157))</f>
      </c>
      <c r="D157">
        <f>IF($O157="","",INDEX(Master!$A$2:$A$1001,$O157))</f>
      </c>
      <c r="E157">
        <f>IF($O157="","",INDEX(Master!$E$2:$E$1001,$O157))</f>
      </c>
      <c r="F157">
        <f>IF($O157="","",INDEX(Master!$F$2:$F$1001,$O157))</f>
      </c>
      <c r="G157">
        <f>IF($O157="","",INDEX(Master!$G$2:$G$1001,$O157))</f>
      </c>
      <c r="H157">
        <f>IF($O157="","",INDEX(Master!$H$2:$H$1001,$O157))</f>
      </c>
      <c r="I157">
        <f>IF($O157="","",INDEX(Master!$I$2:$I$1001,$O157))</f>
      </c>
      <c r="J157">
        <f>IF($O157="","",INDEX(Master!$J$2:$J$1001,$O157))</f>
      </c>
      <c r="K157">
        <f t="shared" si="4"/>
      </c>
      <c r="L157">
        <f>IF($O157="","",INDEX(Master!$K$2:$K$1001,$O157))</f>
      </c>
      <c r="M157">
        <f>IF($O157="","",INDEX(Master!$L$2:$L$1001,$O157))</f>
      </c>
      <c r="O157">
        <f t="array" ref="O157">IFERROR(SMALL(IF((Master!$A$2:$A$1001="SHYAM METALLIKS")*(Master!$M$2:$M$1001="130 x 130 x 6MTR"),ROW(Master!$A$2:$A$1001)-ROW(Master!$A$2)+1),153),"")</f>
      </c>
      <c r="P157">
        <f t="shared" si="5"/>
      </c>
    </row>
    <row r="158" spans="1:16" x14ac:dyDescent="0.25">
      <c r="A158" s="235">
        <f>IF($O158="","",INDEX(Master!$D$2:$D$1001,$O158))</f>
      </c>
      <c r="B158" s="166">
        <f>IF($O158="","",INDEX(Master!$B$2:$B$1001,$O158))</f>
      </c>
      <c r="C158">
        <f>IF($O158="","",INDEX(Master!$C$2:$C$1001,$O158))</f>
      </c>
      <c r="D158">
        <f>IF($O158="","",INDEX(Master!$A$2:$A$1001,$O158))</f>
      </c>
      <c r="E158">
        <f>IF($O158="","",INDEX(Master!$E$2:$E$1001,$O158))</f>
      </c>
      <c r="F158">
        <f>IF($O158="","",INDEX(Master!$F$2:$F$1001,$O158))</f>
      </c>
      <c r="G158">
        <f>IF($O158="","",INDEX(Master!$G$2:$G$1001,$O158))</f>
      </c>
      <c r="H158">
        <f>IF($O158="","",INDEX(Master!$H$2:$H$1001,$O158))</f>
      </c>
      <c r="I158">
        <f>IF($O158="","",INDEX(Master!$I$2:$I$1001,$O158))</f>
      </c>
      <c r="J158">
        <f>IF($O158="","",INDEX(Master!$J$2:$J$1001,$O158))</f>
      </c>
      <c r="K158">
        <f t="shared" si="4"/>
      </c>
      <c r="L158">
        <f>IF($O158="","",INDEX(Master!$K$2:$K$1001,$O158))</f>
      </c>
      <c r="M158">
        <f>IF($O158="","",INDEX(Master!$L$2:$L$1001,$O158))</f>
      </c>
      <c r="O158">
        <f t="array" ref="O158">IFERROR(SMALL(IF((Master!$A$2:$A$1001="SHYAM METALLIKS")*(Master!$M$2:$M$1001="130 x 130 x 6MTR"),ROW(Master!$A$2:$A$1001)-ROW(Master!$A$2)+1),154),"")</f>
      </c>
      <c r="P158">
        <f t="shared" si="5"/>
      </c>
    </row>
    <row r="159" spans="1:16" x14ac:dyDescent="0.25">
      <c r="A159" s="235">
        <f>IF($O159="","",INDEX(Master!$D$2:$D$1001,$O159))</f>
      </c>
      <c r="B159" s="166">
        <f>IF($O159="","",INDEX(Master!$B$2:$B$1001,$O159))</f>
      </c>
      <c r="C159">
        <f>IF($O159="","",INDEX(Master!$C$2:$C$1001,$O159))</f>
      </c>
      <c r="D159">
        <f>IF($O159="","",INDEX(Master!$A$2:$A$1001,$O159))</f>
      </c>
      <c r="E159">
        <f>IF($O159="","",INDEX(Master!$E$2:$E$1001,$O159))</f>
      </c>
      <c r="F159">
        <f>IF($O159="","",INDEX(Master!$F$2:$F$1001,$O159))</f>
      </c>
      <c r="G159">
        <f>IF($O159="","",INDEX(Master!$G$2:$G$1001,$O159))</f>
      </c>
      <c r="H159">
        <f>IF($O159="","",INDEX(Master!$H$2:$H$1001,$O159))</f>
      </c>
      <c r="I159">
        <f>IF($O159="","",INDEX(Master!$I$2:$I$1001,$O159))</f>
      </c>
      <c r="J159">
        <f>IF($O159="","",INDEX(Master!$J$2:$J$1001,$O159))</f>
      </c>
      <c r="K159">
        <f t="shared" si="4"/>
      </c>
      <c r="L159">
        <f>IF($O159="","",INDEX(Master!$K$2:$K$1001,$O159))</f>
      </c>
      <c r="M159">
        <f>IF($O159="","",INDEX(Master!$L$2:$L$1001,$O159))</f>
      </c>
      <c r="O159">
        <f t="array" ref="O159">IFERROR(SMALL(IF((Master!$A$2:$A$1001="SHYAM METALLIKS")*(Master!$M$2:$M$1001="130 x 130 x 6MTR"),ROW(Master!$A$2:$A$1001)-ROW(Master!$A$2)+1),155),"")</f>
      </c>
      <c r="P159">
        <f t="shared" si="5"/>
      </c>
    </row>
    <row r="160" spans="1:16" x14ac:dyDescent="0.25">
      <c r="A160" s="235">
        <f>IF($O160="","",INDEX(Master!$D$2:$D$1001,$O160))</f>
      </c>
      <c r="B160" s="166">
        <f>IF($O160="","",INDEX(Master!$B$2:$B$1001,$O160))</f>
      </c>
      <c r="C160">
        <f>IF($O160="","",INDEX(Master!$C$2:$C$1001,$O160))</f>
      </c>
      <c r="D160">
        <f>IF($O160="","",INDEX(Master!$A$2:$A$1001,$O160))</f>
      </c>
      <c r="E160">
        <f>IF($O160="","",INDEX(Master!$E$2:$E$1001,$O160))</f>
      </c>
      <c r="F160">
        <f>IF($O160="","",INDEX(Master!$F$2:$F$1001,$O160))</f>
      </c>
      <c r="G160">
        <f>IF($O160="","",INDEX(Master!$G$2:$G$1001,$O160))</f>
      </c>
      <c r="H160">
        <f>IF($O160="","",INDEX(Master!$H$2:$H$1001,$O160))</f>
      </c>
      <c r="I160">
        <f>IF($O160="","",INDEX(Master!$I$2:$I$1001,$O160))</f>
      </c>
      <c r="J160">
        <f>IF($O160="","",INDEX(Master!$J$2:$J$1001,$O160))</f>
      </c>
      <c r="K160">
        <f t="shared" si="4"/>
      </c>
      <c r="L160">
        <f>IF($O160="","",INDEX(Master!$K$2:$K$1001,$O160))</f>
      </c>
      <c r="M160">
        <f>IF($O160="","",INDEX(Master!$L$2:$L$1001,$O160))</f>
      </c>
      <c r="O160">
        <f t="array" ref="O160">IFERROR(SMALL(IF((Master!$A$2:$A$1001="SHYAM METALLIKS")*(Master!$M$2:$M$1001="130 x 130 x 6MTR"),ROW(Master!$A$2:$A$1001)-ROW(Master!$A$2)+1),156),"")</f>
      </c>
      <c r="P160">
        <f t="shared" si="5"/>
      </c>
    </row>
    <row r="161" spans="1:16" x14ac:dyDescent="0.25">
      <c r="A161" s="235">
        <f>IF($O161="","",INDEX(Master!$D$2:$D$1001,$O161))</f>
      </c>
      <c r="B161" s="166">
        <f>IF($O161="","",INDEX(Master!$B$2:$B$1001,$O161))</f>
      </c>
      <c r="C161">
        <f>IF($O161="","",INDEX(Master!$C$2:$C$1001,$O161))</f>
      </c>
      <c r="D161">
        <f>IF($O161="","",INDEX(Master!$A$2:$A$1001,$O161))</f>
      </c>
      <c r="E161">
        <f>IF($O161="","",INDEX(Master!$E$2:$E$1001,$O161))</f>
      </c>
      <c r="F161">
        <f>IF($O161="","",INDEX(Master!$F$2:$F$1001,$O161))</f>
      </c>
      <c r="G161">
        <f>IF($O161="","",INDEX(Master!$G$2:$G$1001,$O161))</f>
      </c>
      <c r="H161">
        <f>IF($O161="","",INDEX(Master!$H$2:$H$1001,$O161))</f>
      </c>
      <c r="I161">
        <f>IF($O161="","",INDEX(Master!$I$2:$I$1001,$O161))</f>
      </c>
      <c r="J161">
        <f>IF($O161="","",INDEX(Master!$J$2:$J$1001,$O161))</f>
      </c>
      <c r="K161">
        <f t="shared" si="4"/>
      </c>
      <c r="L161">
        <f>IF($O161="","",INDEX(Master!$K$2:$K$1001,$O161))</f>
      </c>
      <c r="M161">
        <f>IF($O161="","",INDEX(Master!$L$2:$L$1001,$O161))</f>
      </c>
      <c r="O161">
        <f t="array" ref="O161">IFERROR(SMALL(IF((Master!$A$2:$A$1001="SHYAM METALLIKS")*(Master!$M$2:$M$1001="130 x 130 x 6MTR"),ROW(Master!$A$2:$A$1001)-ROW(Master!$A$2)+1),157),"")</f>
      </c>
      <c r="P161">
        <f t="shared" si="5"/>
      </c>
    </row>
    <row r="162" spans="1:16" x14ac:dyDescent="0.25">
      <c r="A162" s="235">
        <f>IF($O162="","",INDEX(Master!$D$2:$D$1001,$O162))</f>
      </c>
      <c r="B162" s="166">
        <f>IF($O162="","",INDEX(Master!$B$2:$B$1001,$O162))</f>
      </c>
      <c r="C162">
        <f>IF($O162="","",INDEX(Master!$C$2:$C$1001,$O162))</f>
      </c>
      <c r="D162">
        <f>IF($O162="","",INDEX(Master!$A$2:$A$1001,$O162))</f>
      </c>
      <c r="E162">
        <f>IF($O162="","",INDEX(Master!$E$2:$E$1001,$O162))</f>
      </c>
      <c r="F162">
        <f>IF($O162="","",INDEX(Master!$F$2:$F$1001,$O162))</f>
      </c>
      <c r="G162">
        <f>IF($O162="","",INDEX(Master!$G$2:$G$1001,$O162))</f>
      </c>
      <c r="H162">
        <f>IF($O162="","",INDEX(Master!$H$2:$H$1001,$O162))</f>
      </c>
      <c r="I162">
        <f>IF($O162="","",INDEX(Master!$I$2:$I$1001,$O162))</f>
      </c>
      <c r="J162">
        <f>IF($O162="","",INDEX(Master!$J$2:$J$1001,$O162))</f>
      </c>
      <c r="K162">
        <f t="shared" si="4"/>
      </c>
      <c r="L162">
        <f>IF($O162="","",INDEX(Master!$K$2:$K$1001,$O162))</f>
      </c>
      <c r="M162">
        <f>IF($O162="","",INDEX(Master!$L$2:$L$1001,$O162))</f>
      </c>
      <c r="O162">
        <f t="array" ref="O162">IFERROR(SMALL(IF((Master!$A$2:$A$1001="SHYAM METALLIKS")*(Master!$M$2:$M$1001="130 x 130 x 6MTR"),ROW(Master!$A$2:$A$1001)-ROW(Master!$A$2)+1),158),"")</f>
      </c>
      <c r="P162">
        <f t="shared" si="5"/>
      </c>
    </row>
    <row r="163" spans="1:16" x14ac:dyDescent="0.25">
      <c r="A163" s="235">
        <f>IF($O163="","",INDEX(Master!$D$2:$D$1001,$O163))</f>
      </c>
      <c r="B163" s="166">
        <f>IF($O163="","",INDEX(Master!$B$2:$B$1001,$O163))</f>
      </c>
      <c r="C163">
        <f>IF($O163="","",INDEX(Master!$C$2:$C$1001,$O163))</f>
      </c>
      <c r="D163">
        <f>IF($O163="","",INDEX(Master!$A$2:$A$1001,$O163))</f>
      </c>
      <c r="E163">
        <f>IF($O163="","",INDEX(Master!$E$2:$E$1001,$O163))</f>
      </c>
      <c r="F163">
        <f>IF($O163="","",INDEX(Master!$F$2:$F$1001,$O163))</f>
      </c>
      <c r="G163">
        <f>IF($O163="","",INDEX(Master!$G$2:$G$1001,$O163))</f>
      </c>
      <c r="H163">
        <f>IF($O163="","",INDEX(Master!$H$2:$H$1001,$O163))</f>
      </c>
      <c r="I163">
        <f>IF($O163="","",INDEX(Master!$I$2:$I$1001,$O163))</f>
      </c>
      <c r="J163">
        <f>IF($O163="","",INDEX(Master!$J$2:$J$1001,$O163))</f>
      </c>
      <c r="K163">
        <f t="shared" si="4"/>
      </c>
      <c r="L163">
        <f>IF($O163="","",INDEX(Master!$K$2:$K$1001,$O163))</f>
      </c>
      <c r="M163">
        <f>IF($O163="","",INDEX(Master!$L$2:$L$1001,$O163))</f>
      </c>
      <c r="O163">
        <f t="array" ref="O163">IFERROR(SMALL(IF((Master!$A$2:$A$1001="SHYAM METALLIKS")*(Master!$M$2:$M$1001="130 x 130 x 6MTR"),ROW(Master!$A$2:$A$1001)-ROW(Master!$A$2)+1),159),"")</f>
      </c>
      <c r="P163">
        <f t="shared" si="5"/>
      </c>
    </row>
    <row r="164" spans="1:16" x14ac:dyDescent="0.25">
      <c r="A164" s="235">
        <f>IF($O164="","",INDEX(Master!$D$2:$D$1001,$O164))</f>
      </c>
      <c r="B164" s="166">
        <f>IF($O164="","",INDEX(Master!$B$2:$B$1001,$O164))</f>
      </c>
      <c r="C164">
        <f>IF($O164="","",INDEX(Master!$C$2:$C$1001,$O164))</f>
      </c>
      <c r="D164">
        <f>IF($O164="","",INDEX(Master!$A$2:$A$1001,$O164))</f>
      </c>
      <c r="E164">
        <f>IF($O164="","",INDEX(Master!$E$2:$E$1001,$O164))</f>
      </c>
      <c r="F164">
        <f>IF($O164="","",INDEX(Master!$F$2:$F$1001,$O164))</f>
      </c>
      <c r="G164">
        <f>IF($O164="","",INDEX(Master!$G$2:$G$1001,$O164))</f>
      </c>
      <c r="H164">
        <f>IF($O164="","",INDEX(Master!$H$2:$H$1001,$O164))</f>
      </c>
      <c r="I164">
        <f>IF($O164="","",INDEX(Master!$I$2:$I$1001,$O164))</f>
      </c>
      <c r="J164">
        <f>IF($O164="","",INDEX(Master!$J$2:$J$1001,$O164))</f>
      </c>
      <c r="K164">
        <f t="shared" si="4"/>
      </c>
      <c r="L164">
        <f>IF($O164="","",INDEX(Master!$K$2:$K$1001,$O164))</f>
      </c>
      <c r="M164">
        <f>IF($O164="","",INDEX(Master!$L$2:$L$1001,$O164))</f>
      </c>
      <c r="O164">
        <f t="array" ref="O164">IFERROR(SMALL(IF((Master!$A$2:$A$1001="SHYAM METALLIKS")*(Master!$M$2:$M$1001="130 x 130 x 6MTR"),ROW(Master!$A$2:$A$1001)-ROW(Master!$A$2)+1),160),"")</f>
      </c>
      <c r="P164">
        <f t="shared" si="5"/>
      </c>
    </row>
    <row r="165" spans="1:16" x14ac:dyDescent="0.25">
      <c r="A165" s="235">
        <f>IF($O165="","",INDEX(Master!$D$2:$D$1001,$O165))</f>
      </c>
      <c r="B165" s="166">
        <f>IF($O165="","",INDEX(Master!$B$2:$B$1001,$O165))</f>
      </c>
      <c r="C165">
        <f>IF($O165="","",INDEX(Master!$C$2:$C$1001,$O165))</f>
      </c>
      <c r="D165">
        <f>IF($O165="","",INDEX(Master!$A$2:$A$1001,$O165))</f>
      </c>
      <c r="E165">
        <f>IF($O165="","",INDEX(Master!$E$2:$E$1001,$O165))</f>
      </c>
      <c r="F165">
        <f>IF($O165="","",INDEX(Master!$F$2:$F$1001,$O165))</f>
      </c>
      <c r="G165">
        <f>IF($O165="","",INDEX(Master!$G$2:$G$1001,$O165))</f>
      </c>
      <c r="H165">
        <f>IF($O165="","",INDEX(Master!$H$2:$H$1001,$O165))</f>
      </c>
      <c r="I165">
        <f>IF($O165="","",INDEX(Master!$I$2:$I$1001,$O165))</f>
      </c>
      <c r="J165">
        <f>IF($O165="","",INDEX(Master!$J$2:$J$1001,$O165))</f>
      </c>
      <c r="K165">
        <f t="shared" si="4"/>
      </c>
      <c r="L165">
        <f>IF($O165="","",INDEX(Master!$K$2:$K$1001,$O165))</f>
      </c>
      <c r="M165">
        <f>IF($O165="","",INDEX(Master!$L$2:$L$1001,$O165))</f>
      </c>
      <c r="O165">
        <f t="array" ref="O165">IFERROR(SMALL(IF((Master!$A$2:$A$1001="SHYAM METALLIKS")*(Master!$M$2:$M$1001="130 x 130 x 6MTR"),ROW(Master!$A$2:$A$1001)-ROW(Master!$A$2)+1),161),"")</f>
      </c>
      <c r="P165">
        <f t="shared" si="5"/>
      </c>
    </row>
    <row r="166" spans="1:16" x14ac:dyDescent="0.25">
      <c r="A166" s="235">
        <f>IF($O166="","",INDEX(Master!$D$2:$D$1001,$O166))</f>
      </c>
      <c r="B166" s="166">
        <f>IF($O166="","",INDEX(Master!$B$2:$B$1001,$O166))</f>
      </c>
      <c r="C166">
        <f>IF($O166="","",INDEX(Master!$C$2:$C$1001,$O166))</f>
      </c>
      <c r="D166">
        <f>IF($O166="","",INDEX(Master!$A$2:$A$1001,$O166))</f>
      </c>
      <c r="E166">
        <f>IF($O166="","",INDEX(Master!$E$2:$E$1001,$O166))</f>
      </c>
      <c r="F166">
        <f>IF($O166="","",INDEX(Master!$F$2:$F$1001,$O166))</f>
      </c>
      <c r="G166">
        <f>IF($O166="","",INDEX(Master!$G$2:$G$1001,$O166))</f>
      </c>
      <c r="H166">
        <f>IF($O166="","",INDEX(Master!$H$2:$H$1001,$O166))</f>
      </c>
      <c r="I166">
        <f>IF($O166="","",INDEX(Master!$I$2:$I$1001,$O166))</f>
      </c>
      <c r="J166">
        <f>IF($O166="","",INDEX(Master!$J$2:$J$1001,$O166))</f>
      </c>
      <c r="K166">
        <f t="shared" si="4"/>
      </c>
      <c r="L166">
        <f>IF($O166="","",INDEX(Master!$K$2:$K$1001,$O166))</f>
      </c>
      <c r="M166">
        <f>IF($O166="","",INDEX(Master!$L$2:$L$1001,$O166))</f>
      </c>
      <c r="O166">
        <f t="array" ref="O166">IFERROR(SMALL(IF((Master!$A$2:$A$1001="SHYAM METALLIKS")*(Master!$M$2:$M$1001="130 x 130 x 6MTR"),ROW(Master!$A$2:$A$1001)-ROW(Master!$A$2)+1),162),"")</f>
      </c>
      <c r="P166">
        <f t="shared" si="5"/>
      </c>
    </row>
    <row r="167" spans="1:16" x14ac:dyDescent="0.25">
      <c r="A167" s="235">
        <f>IF($O167="","",INDEX(Master!$D$2:$D$1001,$O167))</f>
      </c>
      <c r="B167" s="166">
        <f>IF($O167="","",INDEX(Master!$B$2:$B$1001,$O167))</f>
      </c>
      <c r="C167">
        <f>IF($O167="","",INDEX(Master!$C$2:$C$1001,$O167))</f>
      </c>
      <c r="D167">
        <f>IF($O167="","",INDEX(Master!$A$2:$A$1001,$O167))</f>
      </c>
      <c r="E167">
        <f>IF($O167="","",INDEX(Master!$E$2:$E$1001,$O167))</f>
      </c>
      <c r="F167">
        <f>IF($O167="","",INDEX(Master!$F$2:$F$1001,$O167))</f>
      </c>
      <c r="G167">
        <f>IF($O167="","",INDEX(Master!$G$2:$G$1001,$O167))</f>
      </c>
      <c r="H167">
        <f>IF($O167="","",INDEX(Master!$H$2:$H$1001,$O167))</f>
      </c>
      <c r="I167">
        <f>IF($O167="","",INDEX(Master!$I$2:$I$1001,$O167))</f>
      </c>
      <c r="J167">
        <f>IF($O167="","",INDEX(Master!$J$2:$J$1001,$O167))</f>
      </c>
      <c r="K167">
        <f t="shared" si="4"/>
      </c>
      <c r="L167">
        <f>IF($O167="","",INDEX(Master!$K$2:$K$1001,$O167))</f>
      </c>
      <c r="M167">
        <f>IF($O167="","",INDEX(Master!$L$2:$L$1001,$O167))</f>
      </c>
      <c r="O167">
        <f t="array" ref="O167">IFERROR(SMALL(IF((Master!$A$2:$A$1001="SHYAM METALLIKS")*(Master!$M$2:$M$1001="130 x 130 x 6MTR"),ROW(Master!$A$2:$A$1001)-ROW(Master!$A$2)+1),163),"")</f>
      </c>
      <c r="P167">
        <f t="shared" si="5"/>
      </c>
    </row>
    <row r="168" spans="1:16" x14ac:dyDescent="0.25">
      <c r="A168" s="235">
        <f>IF($O168="","",INDEX(Master!$D$2:$D$1001,$O168))</f>
      </c>
      <c r="B168" s="166">
        <f>IF($O168="","",INDEX(Master!$B$2:$B$1001,$O168))</f>
      </c>
      <c r="C168">
        <f>IF($O168="","",INDEX(Master!$C$2:$C$1001,$O168))</f>
      </c>
      <c r="D168">
        <f>IF($O168="","",INDEX(Master!$A$2:$A$1001,$O168))</f>
      </c>
      <c r="E168">
        <f>IF($O168="","",INDEX(Master!$E$2:$E$1001,$O168))</f>
      </c>
      <c r="F168">
        <f>IF($O168="","",INDEX(Master!$F$2:$F$1001,$O168))</f>
      </c>
      <c r="G168">
        <f>IF($O168="","",INDEX(Master!$G$2:$G$1001,$O168))</f>
      </c>
      <c r="H168">
        <f>IF($O168="","",INDEX(Master!$H$2:$H$1001,$O168))</f>
      </c>
      <c r="I168">
        <f>IF($O168="","",INDEX(Master!$I$2:$I$1001,$O168))</f>
      </c>
      <c r="J168">
        <f>IF($O168="","",INDEX(Master!$J$2:$J$1001,$O168))</f>
      </c>
      <c r="K168">
        <f t="shared" si="4"/>
      </c>
      <c r="L168">
        <f>IF($O168="","",INDEX(Master!$K$2:$K$1001,$O168))</f>
      </c>
      <c r="M168">
        <f>IF($O168="","",INDEX(Master!$L$2:$L$1001,$O168))</f>
      </c>
      <c r="O168">
        <f t="array" ref="O168">IFERROR(SMALL(IF((Master!$A$2:$A$1001="SHYAM METALLIKS")*(Master!$M$2:$M$1001="130 x 130 x 6MTR"),ROW(Master!$A$2:$A$1001)-ROW(Master!$A$2)+1),164),"")</f>
      </c>
      <c r="P168">
        <f t="shared" si="5"/>
      </c>
    </row>
    <row r="169" spans="1:16" x14ac:dyDescent="0.25">
      <c r="A169" s="235">
        <f>IF($O169="","",INDEX(Master!$D$2:$D$1001,$O169))</f>
      </c>
      <c r="B169" s="166">
        <f>IF($O169="","",INDEX(Master!$B$2:$B$1001,$O169))</f>
      </c>
      <c r="C169">
        <f>IF($O169="","",INDEX(Master!$C$2:$C$1001,$O169))</f>
      </c>
      <c r="D169">
        <f>IF($O169="","",INDEX(Master!$A$2:$A$1001,$O169))</f>
      </c>
      <c r="E169">
        <f>IF($O169="","",INDEX(Master!$E$2:$E$1001,$O169))</f>
      </c>
      <c r="F169">
        <f>IF($O169="","",INDEX(Master!$F$2:$F$1001,$O169))</f>
      </c>
      <c r="G169">
        <f>IF($O169="","",INDEX(Master!$G$2:$G$1001,$O169))</f>
      </c>
      <c r="H169">
        <f>IF($O169="","",INDEX(Master!$H$2:$H$1001,$O169))</f>
      </c>
      <c r="I169">
        <f>IF($O169="","",INDEX(Master!$I$2:$I$1001,$O169))</f>
      </c>
      <c r="J169">
        <f>IF($O169="","",INDEX(Master!$J$2:$J$1001,$O169))</f>
      </c>
      <c r="K169">
        <f t="shared" si="4"/>
      </c>
      <c r="L169">
        <f>IF($O169="","",INDEX(Master!$K$2:$K$1001,$O169))</f>
      </c>
      <c r="M169">
        <f>IF($O169="","",INDEX(Master!$L$2:$L$1001,$O169))</f>
      </c>
      <c r="O169">
        <f t="array" ref="O169">IFERROR(SMALL(IF((Master!$A$2:$A$1001="SHYAM METALLIKS")*(Master!$M$2:$M$1001="130 x 130 x 6MTR"),ROW(Master!$A$2:$A$1001)-ROW(Master!$A$2)+1),165),"")</f>
      </c>
      <c r="P169">
        <f t="shared" si="5"/>
      </c>
    </row>
    <row r="170" spans="1:16" x14ac:dyDescent="0.25">
      <c r="A170" s="235">
        <f>IF($O170="","",INDEX(Master!$D$2:$D$1001,$O170))</f>
      </c>
      <c r="B170" s="166">
        <f>IF($O170="","",INDEX(Master!$B$2:$B$1001,$O170))</f>
      </c>
      <c r="C170">
        <f>IF($O170="","",INDEX(Master!$C$2:$C$1001,$O170))</f>
      </c>
      <c r="D170">
        <f>IF($O170="","",INDEX(Master!$A$2:$A$1001,$O170))</f>
      </c>
      <c r="E170">
        <f>IF($O170="","",INDEX(Master!$E$2:$E$1001,$O170))</f>
      </c>
      <c r="F170">
        <f>IF($O170="","",INDEX(Master!$F$2:$F$1001,$O170))</f>
      </c>
      <c r="G170">
        <f>IF($O170="","",INDEX(Master!$G$2:$G$1001,$O170))</f>
      </c>
      <c r="H170">
        <f>IF($O170="","",INDEX(Master!$H$2:$H$1001,$O170))</f>
      </c>
      <c r="I170">
        <f>IF($O170="","",INDEX(Master!$I$2:$I$1001,$O170))</f>
      </c>
      <c r="J170">
        <f>IF($O170="","",INDEX(Master!$J$2:$J$1001,$O170))</f>
      </c>
      <c r="K170">
        <f t="shared" si="4"/>
      </c>
      <c r="L170">
        <f>IF($O170="","",INDEX(Master!$K$2:$K$1001,$O170))</f>
      </c>
      <c r="M170">
        <f>IF($O170="","",INDEX(Master!$L$2:$L$1001,$O170))</f>
      </c>
      <c r="O170">
        <f t="array" ref="O170">IFERROR(SMALL(IF((Master!$A$2:$A$1001="SHYAM METALLIKS")*(Master!$M$2:$M$1001="130 x 130 x 6MTR"),ROW(Master!$A$2:$A$1001)-ROW(Master!$A$2)+1),166),"")</f>
      </c>
      <c r="P170">
        <f t="shared" si="5"/>
      </c>
    </row>
    <row r="171" spans="1:16" x14ac:dyDescent="0.25">
      <c r="A171" s="235">
        <f>IF($O171="","",INDEX(Master!$D$2:$D$1001,$O171))</f>
      </c>
      <c r="B171" s="166">
        <f>IF($O171="","",INDEX(Master!$B$2:$B$1001,$O171))</f>
      </c>
      <c r="C171">
        <f>IF($O171="","",INDEX(Master!$C$2:$C$1001,$O171))</f>
      </c>
      <c r="D171">
        <f>IF($O171="","",INDEX(Master!$A$2:$A$1001,$O171))</f>
      </c>
      <c r="E171">
        <f>IF($O171="","",INDEX(Master!$E$2:$E$1001,$O171))</f>
      </c>
      <c r="F171">
        <f>IF($O171="","",INDEX(Master!$F$2:$F$1001,$O171))</f>
      </c>
      <c r="G171">
        <f>IF($O171="","",INDEX(Master!$G$2:$G$1001,$O171))</f>
      </c>
      <c r="H171">
        <f>IF($O171="","",INDEX(Master!$H$2:$H$1001,$O171))</f>
      </c>
      <c r="I171">
        <f>IF($O171="","",INDEX(Master!$I$2:$I$1001,$O171))</f>
      </c>
      <c r="J171">
        <f>IF($O171="","",INDEX(Master!$J$2:$J$1001,$O171))</f>
      </c>
      <c r="K171">
        <f t="shared" si="4"/>
      </c>
      <c r="L171">
        <f>IF($O171="","",INDEX(Master!$K$2:$K$1001,$O171))</f>
      </c>
      <c r="M171">
        <f>IF($O171="","",INDEX(Master!$L$2:$L$1001,$O171))</f>
      </c>
      <c r="O171">
        <f t="array" ref="O171">IFERROR(SMALL(IF((Master!$A$2:$A$1001="SHYAM METALLIKS")*(Master!$M$2:$M$1001="130 x 130 x 6MTR"),ROW(Master!$A$2:$A$1001)-ROW(Master!$A$2)+1),167),"")</f>
      </c>
      <c r="P171">
        <f t="shared" si="5"/>
      </c>
    </row>
    <row r="172" spans="1:16" x14ac:dyDescent="0.25">
      <c r="A172" s="235">
        <f>IF($O172="","",INDEX(Master!$D$2:$D$1001,$O172))</f>
      </c>
      <c r="B172" s="166">
        <f>IF($O172="","",INDEX(Master!$B$2:$B$1001,$O172))</f>
      </c>
      <c r="C172">
        <f>IF($O172="","",INDEX(Master!$C$2:$C$1001,$O172))</f>
      </c>
      <c r="D172">
        <f>IF($O172="","",INDEX(Master!$A$2:$A$1001,$O172))</f>
      </c>
      <c r="E172">
        <f>IF($O172="","",INDEX(Master!$E$2:$E$1001,$O172))</f>
      </c>
      <c r="F172">
        <f>IF($O172="","",INDEX(Master!$F$2:$F$1001,$O172))</f>
      </c>
      <c r="G172">
        <f>IF($O172="","",INDEX(Master!$G$2:$G$1001,$O172))</f>
      </c>
      <c r="H172">
        <f>IF($O172="","",INDEX(Master!$H$2:$H$1001,$O172))</f>
      </c>
      <c r="I172">
        <f>IF($O172="","",INDEX(Master!$I$2:$I$1001,$O172))</f>
      </c>
      <c r="J172">
        <f>IF($O172="","",INDEX(Master!$J$2:$J$1001,$O172))</f>
      </c>
      <c r="K172">
        <f t="shared" si="4"/>
      </c>
      <c r="L172">
        <f>IF($O172="","",INDEX(Master!$K$2:$K$1001,$O172))</f>
      </c>
      <c r="M172">
        <f>IF($O172="","",INDEX(Master!$L$2:$L$1001,$O172))</f>
      </c>
      <c r="O172">
        <f t="array" ref="O172">IFERROR(SMALL(IF((Master!$A$2:$A$1001="SHYAM METALLIKS")*(Master!$M$2:$M$1001="130 x 130 x 6MTR"),ROW(Master!$A$2:$A$1001)-ROW(Master!$A$2)+1),168),"")</f>
      </c>
      <c r="P172">
        <f t="shared" si="5"/>
      </c>
    </row>
    <row r="173" spans="1:16" x14ac:dyDescent="0.25">
      <c r="A173" s="235">
        <f>IF($O173="","",INDEX(Master!$D$2:$D$1001,$O173))</f>
      </c>
      <c r="B173" s="166">
        <f>IF($O173="","",INDEX(Master!$B$2:$B$1001,$O173))</f>
      </c>
      <c r="C173">
        <f>IF($O173="","",INDEX(Master!$C$2:$C$1001,$O173))</f>
      </c>
      <c r="D173">
        <f>IF($O173="","",INDEX(Master!$A$2:$A$1001,$O173))</f>
      </c>
      <c r="E173">
        <f>IF($O173="","",INDEX(Master!$E$2:$E$1001,$O173))</f>
      </c>
      <c r="F173">
        <f>IF($O173="","",INDEX(Master!$F$2:$F$1001,$O173))</f>
      </c>
      <c r="G173">
        <f>IF($O173="","",INDEX(Master!$G$2:$G$1001,$O173))</f>
      </c>
      <c r="H173">
        <f>IF($O173="","",INDEX(Master!$H$2:$H$1001,$O173))</f>
      </c>
      <c r="I173">
        <f>IF($O173="","",INDEX(Master!$I$2:$I$1001,$O173))</f>
      </c>
      <c r="J173">
        <f>IF($O173="","",INDEX(Master!$J$2:$J$1001,$O173))</f>
      </c>
      <c r="K173">
        <f t="shared" si="4"/>
      </c>
      <c r="L173">
        <f>IF($O173="","",INDEX(Master!$K$2:$K$1001,$O173))</f>
      </c>
      <c r="M173">
        <f>IF($O173="","",INDEX(Master!$L$2:$L$1001,$O173))</f>
      </c>
      <c r="O173">
        <f t="array" ref="O173">IFERROR(SMALL(IF((Master!$A$2:$A$1001="SHYAM METALLIKS")*(Master!$M$2:$M$1001="130 x 130 x 6MTR"),ROW(Master!$A$2:$A$1001)-ROW(Master!$A$2)+1),169),"")</f>
      </c>
      <c r="P173">
        <f t="shared" si="5"/>
      </c>
    </row>
    <row r="174" spans="1:16" x14ac:dyDescent="0.25">
      <c r="A174" s="235">
        <f>IF($O174="","",INDEX(Master!$D$2:$D$1001,$O174))</f>
      </c>
      <c r="B174" s="166">
        <f>IF($O174="","",INDEX(Master!$B$2:$B$1001,$O174))</f>
      </c>
      <c r="C174">
        <f>IF($O174="","",INDEX(Master!$C$2:$C$1001,$O174))</f>
      </c>
      <c r="D174">
        <f>IF($O174="","",INDEX(Master!$A$2:$A$1001,$O174))</f>
      </c>
      <c r="E174">
        <f>IF($O174="","",INDEX(Master!$E$2:$E$1001,$O174))</f>
      </c>
      <c r="F174">
        <f>IF($O174="","",INDEX(Master!$F$2:$F$1001,$O174))</f>
      </c>
      <c r="G174">
        <f>IF($O174="","",INDEX(Master!$G$2:$G$1001,$O174))</f>
      </c>
      <c r="H174">
        <f>IF($O174="","",INDEX(Master!$H$2:$H$1001,$O174))</f>
      </c>
      <c r="I174">
        <f>IF($O174="","",INDEX(Master!$I$2:$I$1001,$O174))</f>
      </c>
      <c r="J174">
        <f>IF($O174="","",INDEX(Master!$J$2:$J$1001,$O174))</f>
      </c>
      <c r="K174">
        <f t="shared" si="4"/>
      </c>
      <c r="L174">
        <f>IF($O174="","",INDEX(Master!$K$2:$K$1001,$O174))</f>
      </c>
      <c r="M174">
        <f>IF($O174="","",INDEX(Master!$L$2:$L$1001,$O174))</f>
      </c>
      <c r="O174">
        <f t="array" ref="O174">IFERROR(SMALL(IF((Master!$A$2:$A$1001="SHYAM METALLIKS")*(Master!$M$2:$M$1001="130 x 130 x 6MTR"),ROW(Master!$A$2:$A$1001)-ROW(Master!$A$2)+1),170),"")</f>
      </c>
      <c r="P174">
        <f t="shared" si="5"/>
      </c>
    </row>
    <row r="175" spans="1:16" x14ac:dyDescent="0.25">
      <c r="A175" s="235">
        <f>IF($O175="","",INDEX(Master!$D$2:$D$1001,$O175))</f>
      </c>
      <c r="B175" s="166">
        <f>IF($O175="","",INDEX(Master!$B$2:$B$1001,$O175))</f>
      </c>
      <c r="C175">
        <f>IF($O175="","",INDEX(Master!$C$2:$C$1001,$O175))</f>
      </c>
      <c r="D175">
        <f>IF($O175="","",INDEX(Master!$A$2:$A$1001,$O175))</f>
      </c>
      <c r="E175">
        <f>IF($O175="","",INDEX(Master!$E$2:$E$1001,$O175))</f>
      </c>
      <c r="F175">
        <f>IF($O175="","",INDEX(Master!$F$2:$F$1001,$O175))</f>
      </c>
      <c r="G175">
        <f>IF($O175="","",INDEX(Master!$G$2:$G$1001,$O175))</f>
      </c>
      <c r="H175">
        <f>IF($O175="","",INDEX(Master!$H$2:$H$1001,$O175))</f>
      </c>
      <c r="I175">
        <f>IF($O175="","",INDEX(Master!$I$2:$I$1001,$O175))</f>
      </c>
      <c r="J175">
        <f>IF($O175="","",INDEX(Master!$J$2:$J$1001,$O175))</f>
      </c>
      <c r="K175">
        <f t="shared" si="4"/>
      </c>
      <c r="L175">
        <f>IF($O175="","",INDEX(Master!$K$2:$K$1001,$O175))</f>
      </c>
      <c r="M175">
        <f>IF($O175="","",INDEX(Master!$L$2:$L$1001,$O175))</f>
      </c>
      <c r="O175">
        <f t="array" ref="O175">IFERROR(SMALL(IF((Master!$A$2:$A$1001="SHYAM METALLIKS")*(Master!$M$2:$M$1001="130 x 130 x 6MTR"),ROW(Master!$A$2:$A$1001)-ROW(Master!$A$2)+1),171),"")</f>
      </c>
      <c r="P175">
        <f t="shared" si="5"/>
      </c>
    </row>
    <row r="176" spans="1:16" x14ac:dyDescent="0.25">
      <c r="A176" s="235">
        <f>IF($O176="","",INDEX(Master!$D$2:$D$1001,$O176))</f>
      </c>
      <c r="B176" s="166">
        <f>IF($O176="","",INDEX(Master!$B$2:$B$1001,$O176))</f>
      </c>
      <c r="C176">
        <f>IF($O176="","",INDEX(Master!$C$2:$C$1001,$O176))</f>
      </c>
      <c r="D176">
        <f>IF($O176="","",INDEX(Master!$A$2:$A$1001,$O176))</f>
      </c>
      <c r="E176">
        <f>IF($O176="","",INDEX(Master!$E$2:$E$1001,$O176))</f>
      </c>
      <c r="F176">
        <f>IF($O176="","",INDEX(Master!$F$2:$F$1001,$O176))</f>
      </c>
      <c r="G176">
        <f>IF($O176="","",INDEX(Master!$G$2:$G$1001,$O176))</f>
      </c>
      <c r="H176">
        <f>IF($O176="","",INDEX(Master!$H$2:$H$1001,$O176))</f>
      </c>
      <c r="I176">
        <f>IF($O176="","",INDEX(Master!$I$2:$I$1001,$O176))</f>
      </c>
      <c r="J176">
        <f>IF($O176="","",INDEX(Master!$J$2:$J$1001,$O176))</f>
      </c>
      <c r="K176">
        <f t="shared" si="4"/>
      </c>
      <c r="L176">
        <f>IF($O176="","",INDEX(Master!$K$2:$K$1001,$O176))</f>
      </c>
      <c r="M176">
        <f>IF($O176="","",INDEX(Master!$L$2:$L$1001,$O176))</f>
      </c>
      <c r="O176">
        <f t="array" ref="O176">IFERROR(SMALL(IF((Master!$A$2:$A$1001="SHYAM METALLIKS")*(Master!$M$2:$M$1001="130 x 130 x 6MTR"),ROW(Master!$A$2:$A$1001)-ROW(Master!$A$2)+1),172),"")</f>
      </c>
      <c r="P176">
        <f t="shared" si="5"/>
      </c>
    </row>
    <row r="177" spans="1:16" x14ac:dyDescent="0.25">
      <c r="A177" s="235">
        <f>IF($O177="","",INDEX(Master!$D$2:$D$1001,$O177))</f>
      </c>
      <c r="B177" s="166">
        <f>IF($O177="","",INDEX(Master!$B$2:$B$1001,$O177))</f>
      </c>
      <c r="C177">
        <f>IF($O177="","",INDEX(Master!$C$2:$C$1001,$O177))</f>
      </c>
      <c r="D177">
        <f>IF($O177="","",INDEX(Master!$A$2:$A$1001,$O177))</f>
      </c>
      <c r="E177">
        <f>IF($O177="","",INDEX(Master!$E$2:$E$1001,$O177))</f>
      </c>
      <c r="F177">
        <f>IF($O177="","",INDEX(Master!$F$2:$F$1001,$O177))</f>
      </c>
      <c r="G177">
        <f>IF($O177="","",INDEX(Master!$G$2:$G$1001,$O177))</f>
      </c>
      <c r="H177">
        <f>IF($O177="","",INDEX(Master!$H$2:$H$1001,$O177))</f>
      </c>
      <c r="I177">
        <f>IF($O177="","",INDEX(Master!$I$2:$I$1001,$O177))</f>
      </c>
      <c r="J177">
        <f>IF($O177="","",INDEX(Master!$J$2:$J$1001,$O177))</f>
      </c>
      <c r="K177">
        <f t="shared" si="4"/>
      </c>
      <c r="L177">
        <f>IF($O177="","",INDEX(Master!$K$2:$K$1001,$O177))</f>
      </c>
      <c r="M177">
        <f>IF($O177="","",INDEX(Master!$L$2:$L$1001,$O177))</f>
      </c>
      <c r="O177">
        <f t="array" ref="O177">IFERROR(SMALL(IF((Master!$A$2:$A$1001="SHYAM METALLIKS")*(Master!$M$2:$M$1001="130 x 130 x 6MTR"),ROW(Master!$A$2:$A$1001)-ROW(Master!$A$2)+1),173),"")</f>
      </c>
      <c r="P177">
        <f t="shared" si="5"/>
      </c>
    </row>
    <row r="178" spans="1:16" x14ac:dyDescent="0.25">
      <c r="A178" s="235">
        <f>IF($O178="","",INDEX(Master!$D$2:$D$1001,$O178))</f>
      </c>
      <c r="B178" s="166">
        <f>IF($O178="","",INDEX(Master!$B$2:$B$1001,$O178))</f>
      </c>
      <c r="C178">
        <f>IF($O178="","",INDEX(Master!$C$2:$C$1001,$O178))</f>
      </c>
      <c r="D178">
        <f>IF($O178="","",INDEX(Master!$A$2:$A$1001,$O178))</f>
      </c>
      <c r="E178">
        <f>IF($O178="","",INDEX(Master!$E$2:$E$1001,$O178))</f>
      </c>
      <c r="F178">
        <f>IF($O178="","",INDEX(Master!$F$2:$F$1001,$O178))</f>
      </c>
      <c r="G178">
        <f>IF($O178="","",INDEX(Master!$G$2:$G$1001,$O178))</f>
      </c>
      <c r="H178">
        <f>IF($O178="","",INDEX(Master!$H$2:$H$1001,$O178))</f>
      </c>
      <c r="I178">
        <f>IF($O178="","",INDEX(Master!$I$2:$I$1001,$O178))</f>
      </c>
      <c r="J178">
        <f>IF($O178="","",INDEX(Master!$J$2:$J$1001,$O178))</f>
      </c>
      <c r="K178">
        <f t="shared" si="4"/>
      </c>
      <c r="L178">
        <f>IF($O178="","",INDEX(Master!$K$2:$K$1001,$O178))</f>
      </c>
      <c r="M178">
        <f>IF($O178="","",INDEX(Master!$L$2:$L$1001,$O178))</f>
      </c>
      <c r="O178">
        <f t="array" ref="O178">IFERROR(SMALL(IF((Master!$A$2:$A$1001="SHYAM METALLIKS")*(Master!$M$2:$M$1001="130 x 130 x 6MTR"),ROW(Master!$A$2:$A$1001)-ROW(Master!$A$2)+1),174),"")</f>
      </c>
      <c r="P178">
        <f t="shared" si="5"/>
      </c>
    </row>
    <row r="179" spans="1:16" x14ac:dyDescent="0.25">
      <c r="A179" s="235">
        <f>IF($O179="","",INDEX(Master!$D$2:$D$1001,$O179))</f>
      </c>
      <c r="B179" s="166">
        <f>IF($O179="","",INDEX(Master!$B$2:$B$1001,$O179))</f>
      </c>
      <c r="C179">
        <f>IF($O179="","",INDEX(Master!$C$2:$C$1001,$O179))</f>
      </c>
      <c r="D179">
        <f>IF($O179="","",INDEX(Master!$A$2:$A$1001,$O179))</f>
      </c>
      <c r="E179">
        <f>IF($O179="","",INDEX(Master!$E$2:$E$1001,$O179))</f>
      </c>
      <c r="F179">
        <f>IF($O179="","",INDEX(Master!$F$2:$F$1001,$O179))</f>
      </c>
      <c r="G179">
        <f>IF($O179="","",INDEX(Master!$G$2:$G$1001,$O179))</f>
      </c>
      <c r="H179">
        <f>IF($O179="","",INDEX(Master!$H$2:$H$1001,$O179))</f>
      </c>
      <c r="I179">
        <f>IF($O179="","",INDEX(Master!$I$2:$I$1001,$O179))</f>
      </c>
      <c r="J179">
        <f>IF($O179="","",INDEX(Master!$J$2:$J$1001,$O179))</f>
      </c>
      <c r="K179">
        <f t="shared" si="4"/>
      </c>
      <c r="L179">
        <f>IF($O179="","",INDEX(Master!$K$2:$K$1001,$O179))</f>
      </c>
      <c r="M179">
        <f>IF($O179="","",INDEX(Master!$L$2:$L$1001,$O179))</f>
      </c>
      <c r="O179">
        <f t="array" ref="O179">IFERROR(SMALL(IF((Master!$A$2:$A$1001="SHYAM METALLIKS")*(Master!$M$2:$M$1001="130 x 130 x 6MTR"),ROW(Master!$A$2:$A$1001)-ROW(Master!$A$2)+1),175),"")</f>
      </c>
      <c r="P179">
        <f t="shared" si="5"/>
      </c>
    </row>
    <row r="180" spans="1:16" x14ac:dyDescent="0.25">
      <c r="A180" s="235">
        <f>IF($O180="","",INDEX(Master!$D$2:$D$1001,$O180))</f>
      </c>
      <c r="B180" s="166">
        <f>IF($O180="","",INDEX(Master!$B$2:$B$1001,$O180))</f>
      </c>
      <c r="C180">
        <f>IF($O180="","",INDEX(Master!$C$2:$C$1001,$O180))</f>
      </c>
      <c r="D180">
        <f>IF($O180="","",INDEX(Master!$A$2:$A$1001,$O180))</f>
      </c>
      <c r="E180">
        <f>IF($O180="","",INDEX(Master!$E$2:$E$1001,$O180))</f>
      </c>
      <c r="F180">
        <f>IF($O180="","",INDEX(Master!$F$2:$F$1001,$O180))</f>
      </c>
      <c r="G180">
        <f>IF($O180="","",INDEX(Master!$G$2:$G$1001,$O180))</f>
      </c>
      <c r="H180">
        <f>IF($O180="","",INDEX(Master!$H$2:$H$1001,$O180))</f>
      </c>
      <c r="I180">
        <f>IF($O180="","",INDEX(Master!$I$2:$I$1001,$O180))</f>
      </c>
      <c r="J180">
        <f>IF($O180="","",INDEX(Master!$J$2:$J$1001,$O180))</f>
      </c>
      <c r="K180">
        <f t="shared" si="4"/>
      </c>
      <c r="L180">
        <f>IF($O180="","",INDEX(Master!$K$2:$K$1001,$O180))</f>
      </c>
      <c r="M180">
        <f>IF($O180="","",INDEX(Master!$L$2:$L$1001,$O180))</f>
      </c>
      <c r="O180">
        <f t="array" ref="O180">IFERROR(SMALL(IF((Master!$A$2:$A$1001="SHYAM METALLIKS")*(Master!$M$2:$M$1001="130 x 130 x 6MTR"),ROW(Master!$A$2:$A$1001)-ROW(Master!$A$2)+1),176),"")</f>
      </c>
      <c r="P180">
        <f t="shared" si="5"/>
      </c>
    </row>
    <row r="181" spans="1:16" x14ac:dyDescent="0.25">
      <c r="A181" s="235">
        <f>IF($O181="","",INDEX(Master!$D$2:$D$1001,$O181))</f>
      </c>
      <c r="B181" s="166">
        <f>IF($O181="","",INDEX(Master!$B$2:$B$1001,$O181))</f>
      </c>
      <c r="C181">
        <f>IF($O181="","",INDEX(Master!$C$2:$C$1001,$O181))</f>
      </c>
      <c r="D181">
        <f>IF($O181="","",INDEX(Master!$A$2:$A$1001,$O181))</f>
      </c>
      <c r="E181">
        <f>IF($O181="","",INDEX(Master!$E$2:$E$1001,$O181))</f>
      </c>
      <c r="F181">
        <f>IF($O181="","",INDEX(Master!$F$2:$F$1001,$O181))</f>
      </c>
      <c r="G181">
        <f>IF($O181="","",INDEX(Master!$G$2:$G$1001,$O181))</f>
      </c>
      <c r="H181">
        <f>IF($O181="","",INDEX(Master!$H$2:$H$1001,$O181))</f>
      </c>
      <c r="I181">
        <f>IF($O181="","",INDEX(Master!$I$2:$I$1001,$O181))</f>
      </c>
      <c r="J181">
        <f>IF($O181="","",INDEX(Master!$J$2:$J$1001,$O181))</f>
      </c>
      <c r="K181">
        <f t="shared" si="4"/>
      </c>
      <c r="L181">
        <f>IF($O181="","",INDEX(Master!$K$2:$K$1001,$O181))</f>
      </c>
      <c r="M181">
        <f>IF($O181="","",INDEX(Master!$L$2:$L$1001,$O181))</f>
      </c>
      <c r="O181">
        <f t="array" ref="O181">IFERROR(SMALL(IF((Master!$A$2:$A$1001="SHYAM METALLIKS")*(Master!$M$2:$M$1001="130 x 130 x 6MTR"),ROW(Master!$A$2:$A$1001)-ROW(Master!$A$2)+1),177),"")</f>
      </c>
      <c r="P181">
        <f t="shared" si="5"/>
      </c>
    </row>
    <row r="182" spans="1:16" x14ac:dyDescent="0.25">
      <c r="A182" s="235">
        <f>IF($O182="","",INDEX(Master!$D$2:$D$1001,$O182))</f>
      </c>
      <c r="B182" s="166">
        <f>IF($O182="","",INDEX(Master!$B$2:$B$1001,$O182))</f>
      </c>
      <c r="C182">
        <f>IF($O182="","",INDEX(Master!$C$2:$C$1001,$O182))</f>
      </c>
      <c r="D182">
        <f>IF($O182="","",INDEX(Master!$A$2:$A$1001,$O182))</f>
      </c>
      <c r="E182">
        <f>IF($O182="","",INDEX(Master!$E$2:$E$1001,$O182))</f>
      </c>
      <c r="F182">
        <f>IF($O182="","",INDEX(Master!$F$2:$F$1001,$O182))</f>
      </c>
      <c r="G182">
        <f>IF($O182="","",INDEX(Master!$G$2:$G$1001,$O182))</f>
      </c>
      <c r="H182">
        <f>IF($O182="","",INDEX(Master!$H$2:$H$1001,$O182))</f>
      </c>
      <c r="I182">
        <f>IF($O182="","",INDEX(Master!$I$2:$I$1001,$O182))</f>
      </c>
      <c r="J182">
        <f>IF($O182="","",INDEX(Master!$J$2:$J$1001,$O182))</f>
      </c>
      <c r="K182">
        <f t="shared" si="4"/>
      </c>
      <c r="L182">
        <f>IF($O182="","",INDEX(Master!$K$2:$K$1001,$O182))</f>
      </c>
      <c r="M182">
        <f>IF($O182="","",INDEX(Master!$L$2:$L$1001,$O182))</f>
      </c>
      <c r="O182">
        <f t="array" ref="O182">IFERROR(SMALL(IF((Master!$A$2:$A$1001="SHYAM METALLIKS")*(Master!$M$2:$M$1001="130 x 130 x 6MTR"),ROW(Master!$A$2:$A$1001)-ROW(Master!$A$2)+1),178),"")</f>
      </c>
      <c r="P182">
        <f t="shared" si="5"/>
      </c>
    </row>
    <row r="183" spans="1:16" x14ac:dyDescent="0.25">
      <c r="A183" s="235">
        <f>IF($O183="","",INDEX(Master!$D$2:$D$1001,$O183))</f>
      </c>
      <c r="B183" s="166">
        <f>IF($O183="","",INDEX(Master!$B$2:$B$1001,$O183))</f>
      </c>
      <c r="C183">
        <f>IF($O183="","",INDEX(Master!$C$2:$C$1001,$O183))</f>
      </c>
      <c r="D183">
        <f>IF($O183="","",INDEX(Master!$A$2:$A$1001,$O183))</f>
      </c>
      <c r="E183">
        <f>IF($O183="","",INDEX(Master!$E$2:$E$1001,$O183))</f>
      </c>
      <c r="F183">
        <f>IF($O183="","",INDEX(Master!$F$2:$F$1001,$O183))</f>
      </c>
      <c r="G183">
        <f>IF($O183="","",INDEX(Master!$G$2:$G$1001,$O183))</f>
      </c>
      <c r="H183">
        <f>IF($O183="","",INDEX(Master!$H$2:$H$1001,$O183))</f>
      </c>
      <c r="I183">
        <f>IF($O183="","",INDEX(Master!$I$2:$I$1001,$O183))</f>
      </c>
      <c r="J183">
        <f>IF($O183="","",INDEX(Master!$J$2:$J$1001,$O183))</f>
      </c>
      <c r="K183">
        <f t="shared" si="4"/>
      </c>
      <c r="L183">
        <f>IF($O183="","",INDEX(Master!$K$2:$K$1001,$O183))</f>
      </c>
      <c r="M183">
        <f>IF($O183="","",INDEX(Master!$L$2:$L$1001,$O183))</f>
      </c>
      <c r="O183">
        <f t="array" ref="O183">IFERROR(SMALL(IF((Master!$A$2:$A$1001="SHYAM METALLIKS")*(Master!$M$2:$M$1001="130 x 130 x 6MTR"),ROW(Master!$A$2:$A$1001)-ROW(Master!$A$2)+1),179),"")</f>
      </c>
      <c r="P183">
        <f t="shared" si="5"/>
      </c>
    </row>
    <row r="184" spans="1:16" x14ac:dyDescent="0.25">
      <c r="A184" s="235">
        <f>IF($O184="","",INDEX(Master!$D$2:$D$1001,$O184))</f>
      </c>
      <c r="B184" s="166">
        <f>IF($O184="","",INDEX(Master!$B$2:$B$1001,$O184))</f>
      </c>
      <c r="C184">
        <f>IF($O184="","",INDEX(Master!$C$2:$C$1001,$O184))</f>
      </c>
      <c r="D184">
        <f>IF($O184="","",INDEX(Master!$A$2:$A$1001,$O184))</f>
      </c>
      <c r="E184">
        <f>IF($O184="","",INDEX(Master!$E$2:$E$1001,$O184))</f>
      </c>
      <c r="F184">
        <f>IF($O184="","",INDEX(Master!$F$2:$F$1001,$O184))</f>
      </c>
      <c r="G184">
        <f>IF($O184="","",INDEX(Master!$G$2:$G$1001,$O184))</f>
      </c>
      <c r="H184">
        <f>IF($O184="","",INDEX(Master!$H$2:$H$1001,$O184))</f>
      </c>
      <c r="I184">
        <f>IF($O184="","",INDEX(Master!$I$2:$I$1001,$O184))</f>
      </c>
      <c r="J184">
        <f>IF($O184="","",INDEX(Master!$J$2:$J$1001,$O184))</f>
      </c>
      <c r="K184">
        <f t="shared" si="4"/>
      </c>
      <c r="L184">
        <f>IF($O184="","",INDEX(Master!$K$2:$K$1001,$O184))</f>
      </c>
      <c r="M184">
        <f>IF($O184="","",INDEX(Master!$L$2:$L$1001,$O184))</f>
      </c>
      <c r="O184">
        <f t="array" ref="O184">IFERROR(SMALL(IF((Master!$A$2:$A$1001="SHYAM METALLIKS")*(Master!$M$2:$M$1001="130 x 130 x 6MTR"),ROW(Master!$A$2:$A$1001)-ROW(Master!$A$2)+1),180),"")</f>
      </c>
      <c r="P184">
        <f t="shared" si="5"/>
      </c>
    </row>
    <row r="185" spans="1:16" x14ac:dyDescent="0.25">
      <c r="A185" s="235">
        <f>IF($O185="","",INDEX(Master!$D$2:$D$1001,$O185))</f>
      </c>
      <c r="B185" s="166">
        <f>IF($O185="","",INDEX(Master!$B$2:$B$1001,$O185))</f>
      </c>
      <c r="C185">
        <f>IF($O185="","",INDEX(Master!$C$2:$C$1001,$O185))</f>
      </c>
      <c r="D185">
        <f>IF($O185="","",INDEX(Master!$A$2:$A$1001,$O185))</f>
      </c>
      <c r="E185">
        <f>IF($O185="","",INDEX(Master!$E$2:$E$1001,$O185))</f>
      </c>
      <c r="F185">
        <f>IF($O185="","",INDEX(Master!$F$2:$F$1001,$O185))</f>
      </c>
      <c r="G185">
        <f>IF($O185="","",INDEX(Master!$G$2:$G$1001,$O185))</f>
      </c>
      <c r="H185">
        <f>IF($O185="","",INDEX(Master!$H$2:$H$1001,$O185))</f>
      </c>
      <c r="I185">
        <f>IF($O185="","",INDEX(Master!$I$2:$I$1001,$O185))</f>
      </c>
      <c r="J185">
        <f>IF($O185="","",INDEX(Master!$J$2:$J$1001,$O185))</f>
      </c>
      <c r="K185">
        <f t="shared" si="4"/>
      </c>
      <c r="L185">
        <f>IF($O185="","",INDEX(Master!$K$2:$K$1001,$O185))</f>
      </c>
      <c r="M185">
        <f>IF($O185="","",INDEX(Master!$L$2:$L$1001,$O185))</f>
      </c>
      <c r="O185">
        <f t="array" ref="O185">IFERROR(SMALL(IF((Master!$A$2:$A$1001="SHYAM METALLIKS")*(Master!$M$2:$M$1001="130 x 130 x 6MTR"),ROW(Master!$A$2:$A$1001)-ROW(Master!$A$2)+1),181),"")</f>
      </c>
      <c r="P185">
        <f t="shared" si="5"/>
      </c>
    </row>
    <row r="186" spans="1:16" x14ac:dyDescent="0.25">
      <c r="A186" s="235">
        <f>IF($O186="","",INDEX(Master!$D$2:$D$1001,$O186))</f>
      </c>
      <c r="B186" s="166">
        <f>IF($O186="","",INDEX(Master!$B$2:$B$1001,$O186))</f>
      </c>
      <c r="C186">
        <f>IF($O186="","",INDEX(Master!$C$2:$C$1001,$O186))</f>
      </c>
      <c r="D186">
        <f>IF($O186="","",INDEX(Master!$A$2:$A$1001,$O186))</f>
      </c>
      <c r="E186">
        <f>IF($O186="","",INDEX(Master!$E$2:$E$1001,$O186))</f>
      </c>
      <c r="F186">
        <f>IF($O186="","",INDEX(Master!$F$2:$F$1001,$O186))</f>
      </c>
      <c r="G186">
        <f>IF($O186="","",INDEX(Master!$G$2:$G$1001,$O186))</f>
      </c>
      <c r="H186">
        <f>IF($O186="","",INDEX(Master!$H$2:$H$1001,$O186))</f>
      </c>
      <c r="I186">
        <f>IF($O186="","",INDEX(Master!$I$2:$I$1001,$O186))</f>
      </c>
      <c r="J186">
        <f>IF($O186="","",INDEX(Master!$J$2:$J$1001,$O186))</f>
      </c>
      <c r="K186">
        <f t="shared" si="4"/>
      </c>
      <c r="L186">
        <f>IF($O186="","",INDEX(Master!$K$2:$K$1001,$O186))</f>
      </c>
      <c r="M186">
        <f>IF($O186="","",INDEX(Master!$L$2:$L$1001,$O186))</f>
      </c>
      <c r="O186">
        <f t="array" ref="O186">IFERROR(SMALL(IF((Master!$A$2:$A$1001="SHYAM METALLIKS")*(Master!$M$2:$M$1001="130 x 130 x 6MTR"),ROW(Master!$A$2:$A$1001)-ROW(Master!$A$2)+1),182),"")</f>
      </c>
      <c r="P186">
        <f t="shared" si="5"/>
      </c>
    </row>
    <row r="187" spans="1:16" x14ac:dyDescent="0.25">
      <c r="A187" s="235">
        <f>IF($O187="","",INDEX(Master!$D$2:$D$1001,$O187))</f>
      </c>
      <c r="B187" s="166">
        <f>IF($O187="","",INDEX(Master!$B$2:$B$1001,$O187))</f>
      </c>
      <c r="C187">
        <f>IF($O187="","",INDEX(Master!$C$2:$C$1001,$O187))</f>
      </c>
      <c r="D187">
        <f>IF($O187="","",INDEX(Master!$A$2:$A$1001,$O187))</f>
      </c>
      <c r="E187">
        <f>IF($O187="","",INDEX(Master!$E$2:$E$1001,$O187))</f>
      </c>
      <c r="F187">
        <f>IF($O187="","",INDEX(Master!$F$2:$F$1001,$O187))</f>
      </c>
      <c r="G187">
        <f>IF($O187="","",INDEX(Master!$G$2:$G$1001,$O187))</f>
      </c>
      <c r="H187">
        <f>IF($O187="","",INDEX(Master!$H$2:$H$1001,$O187))</f>
      </c>
      <c r="I187">
        <f>IF($O187="","",INDEX(Master!$I$2:$I$1001,$O187))</f>
      </c>
      <c r="J187">
        <f>IF($O187="","",INDEX(Master!$J$2:$J$1001,$O187))</f>
      </c>
      <c r="K187">
        <f t="shared" si="4"/>
      </c>
      <c r="L187">
        <f>IF($O187="","",INDEX(Master!$K$2:$K$1001,$O187))</f>
      </c>
      <c r="M187">
        <f>IF($O187="","",INDEX(Master!$L$2:$L$1001,$O187))</f>
      </c>
      <c r="O187">
        <f t="array" ref="O187">IFERROR(SMALL(IF((Master!$A$2:$A$1001="SHYAM METALLIKS")*(Master!$M$2:$M$1001="130 x 130 x 6MTR"),ROW(Master!$A$2:$A$1001)-ROW(Master!$A$2)+1),183),"")</f>
      </c>
      <c r="P187">
        <f t="shared" si="5"/>
      </c>
    </row>
    <row r="188" spans="1:16" x14ac:dyDescent="0.25">
      <c r="A188" s="235">
        <f>IF($O188="","",INDEX(Master!$D$2:$D$1001,$O188))</f>
      </c>
      <c r="B188" s="166">
        <f>IF($O188="","",INDEX(Master!$B$2:$B$1001,$O188))</f>
      </c>
      <c r="C188">
        <f>IF($O188="","",INDEX(Master!$C$2:$C$1001,$O188))</f>
      </c>
      <c r="D188">
        <f>IF($O188="","",INDEX(Master!$A$2:$A$1001,$O188))</f>
      </c>
      <c r="E188">
        <f>IF($O188="","",INDEX(Master!$E$2:$E$1001,$O188))</f>
      </c>
      <c r="F188">
        <f>IF($O188="","",INDEX(Master!$F$2:$F$1001,$O188))</f>
      </c>
      <c r="G188">
        <f>IF($O188="","",INDEX(Master!$G$2:$G$1001,$O188))</f>
      </c>
      <c r="H188">
        <f>IF($O188="","",INDEX(Master!$H$2:$H$1001,$O188))</f>
      </c>
      <c r="I188">
        <f>IF($O188="","",INDEX(Master!$I$2:$I$1001,$O188))</f>
      </c>
      <c r="J188">
        <f>IF($O188="","",INDEX(Master!$J$2:$J$1001,$O188))</f>
      </c>
      <c r="K188">
        <f t="shared" si="4"/>
      </c>
      <c r="L188">
        <f>IF($O188="","",INDEX(Master!$K$2:$K$1001,$O188))</f>
      </c>
      <c r="M188">
        <f>IF($O188="","",INDEX(Master!$L$2:$L$1001,$O188))</f>
      </c>
      <c r="O188">
        <f t="array" ref="O188">IFERROR(SMALL(IF((Master!$A$2:$A$1001="SHYAM METALLIKS")*(Master!$M$2:$M$1001="130 x 130 x 6MTR"),ROW(Master!$A$2:$A$1001)-ROW(Master!$A$2)+1),184),"")</f>
      </c>
      <c r="P188">
        <f t="shared" si="5"/>
      </c>
    </row>
    <row r="189" spans="1:16" x14ac:dyDescent="0.25">
      <c r="A189" s="235">
        <f>IF($O189="","",INDEX(Master!$D$2:$D$1001,$O189))</f>
      </c>
      <c r="B189" s="166">
        <f>IF($O189="","",INDEX(Master!$B$2:$B$1001,$O189))</f>
      </c>
      <c r="C189">
        <f>IF($O189="","",INDEX(Master!$C$2:$C$1001,$O189))</f>
      </c>
      <c r="D189">
        <f>IF($O189="","",INDEX(Master!$A$2:$A$1001,$O189))</f>
      </c>
      <c r="E189">
        <f>IF($O189="","",INDEX(Master!$E$2:$E$1001,$O189))</f>
      </c>
      <c r="F189">
        <f>IF($O189="","",INDEX(Master!$F$2:$F$1001,$O189))</f>
      </c>
      <c r="G189">
        <f>IF($O189="","",INDEX(Master!$G$2:$G$1001,$O189))</f>
      </c>
      <c r="H189">
        <f>IF($O189="","",INDEX(Master!$H$2:$H$1001,$O189))</f>
      </c>
      <c r="I189">
        <f>IF($O189="","",INDEX(Master!$I$2:$I$1001,$O189))</f>
      </c>
      <c r="J189">
        <f>IF($O189="","",INDEX(Master!$J$2:$J$1001,$O189))</f>
      </c>
      <c r="K189">
        <f t="shared" si="4"/>
      </c>
      <c r="L189">
        <f>IF($O189="","",INDEX(Master!$K$2:$K$1001,$O189))</f>
      </c>
      <c r="M189">
        <f>IF($O189="","",INDEX(Master!$L$2:$L$1001,$O189))</f>
      </c>
      <c r="O189">
        <f t="array" ref="O189">IFERROR(SMALL(IF((Master!$A$2:$A$1001="SHYAM METALLIKS")*(Master!$M$2:$M$1001="130 x 130 x 6MTR"),ROW(Master!$A$2:$A$1001)-ROW(Master!$A$2)+1),185),"")</f>
      </c>
      <c r="P189">
        <f t="shared" si="5"/>
      </c>
    </row>
    <row r="190" spans="1:16" x14ac:dyDescent="0.25">
      <c r="A190" s="235">
        <f>IF($O190="","",INDEX(Master!$D$2:$D$1001,$O190))</f>
      </c>
      <c r="B190" s="166">
        <f>IF($O190="","",INDEX(Master!$B$2:$B$1001,$O190))</f>
      </c>
      <c r="C190">
        <f>IF($O190="","",INDEX(Master!$C$2:$C$1001,$O190))</f>
      </c>
      <c r="D190">
        <f>IF($O190="","",INDEX(Master!$A$2:$A$1001,$O190))</f>
      </c>
      <c r="E190">
        <f>IF($O190="","",INDEX(Master!$E$2:$E$1001,$O190))</f>
      </c>
      <c r="F190">
        <f>IF($O190="","",INDEX(Master!$F$2:$F$1001,$O190))</f>
      </c>
      <c r="G190">
        <f>IF($O190="","",INDEX(Master!$G$2:$G$1001,$O190))</f>
      </c>
      <c r="H190">
        <f>IF($O190="","",INDEX(Master!$H$2:$H$1001,$O190))</f>
      </c>
      <c r="I190">
        <f>IF($O190="","",INDEX(Master!$I$2:$I$1001,$O190))</f>
      </c>
      <c r="J190">
        <f>IF($O190="","",INDEX(Master!$J$2:$J$1001,$O190))</f>
      </c>
      <c r="K190">
        <f t="shared" si="4"/>
      </c>
      <c r="L190">
        <f>IF($O190="","",INDEX(Master!$K$2:$K$1001,$O190))</f>
      </c>
      <c r="M190">
        <f>IF($O190="","",INDEX(Master!$L$2:$L$1001,$O190))</f>
      </c>
      <c r="O190">
        <f t="array" ref="O190">IFERROR(SMALL(IF((Master!$A$2:$A$1001="SHYAM METALLIKS")*(Master!$M$2:$M$1001="130 x 130 x 6MTR"),ROW(Master!$A$2:$A$1001)-ROW(Master!$A$2)+1),186),"")</f>
      </c>
      <c r="P190">
        <f t="shared" si="5"/>
      </c>
    </row>
    <row r="191" spans="1:16" x14ac:dyDescent="0.25">
      <c r="A191" s="235">
        <f>IF($O191="","",INDEX(Master!$D$2:$D$1001,$O191))</f>
      </c>
      <c r="B191" s="166">
        <f>IF($O191="","",INDEX(Master!$B$2:$B$1001,$O191))</f>
      </c>
      <c r="C191">
        <f>IF($O191="","",INDEX(Master!$C$2:$C$1001,$O191))</f>
      </c>
      <c r="D191">
        <f>IF($O191="","",INDEX(Master!$A$2:$A$1001,$O191))</f>
      </c>
      <c r="E191">
        <f>IF($O191="","",INDEX(Master!$E$2:$E$1001,$O191))</f>
      </c>
      <c r="F191">
        <f>IF($O191="","",INDEX(Master!$F$2:$F$1001,$O191))</f>
      </c>
      <c r="G191">
        <f>IF($O191="","",INDEX(Master!$G$2:$G$1001,$O191))</f>
      </c>
      <c r="H191">
        <f>IF($O191="","",INDEX(Master!$H$2:$H$1001,$O191))</f>
      </c>
      <c r="I191">
        <f>IF($O191="","",INDEX(Master!$I$2:$I$1001,$O191))</f>
      </c>
      <c r="J191">
        <f>IF($O191="","",INDEX(Master!$J$2:$J$1001,$O191))</f>
      </c>
      <c r="K191">
        <f t="shared" si="4"/>
      </c>
      <c r="L191">
        <f>IF($O191="","",INDEX(Master!$K$2:$K$1001,$O191))</f>
      </c>
      <c r="M191">
        <f>IF($O191="","",INDEX(Master!$L$2:$L$1001,$O191))</f>
      </c>
      <c r="O191">
        <f t="array" ref="O191">IFERROR(SMALL(IF((Master!$A$2:$A$1001="SHYAM METALLIKS")*(Master!$M$2:$M$1001="130 x 130 x 6MTR"),ROW(Master!$A$2:$A$1001)-ROW(Master!$A$2)+1),187),"")</f>
      </c>
      <c r="P191">
        <f t="shared" si="5"/>
      </c>
    </row>
    <row r="192" spans="1:16" x14ac:dyDescent="0.25">
      <c r="A192" s="235">
        <f>IF($O192="","",INDEX(Master!$D$2:$D$1001,$O192))</f>
      </c>
      <c r="B192" s="166">
        <f>IF($O192="","",INDEX(Master!$B$2:$B$1001,$O192))</f>
      </c>
      <c r="C192">
        <f>IF($O192="","",INDEX(Master!$C$2:$C$1001,$O192))</f>
      </c>
      <c r="D192">
        <f>IF($O192="","",INDEX(Master!$A$2:$A$1001,$O192))</f>
      </c>
      <c r="E192">
        <f>IF($O192="","",INDEX(Master!$E$2:$E$1001,$O192))</f>
      </c>
      <c r="F192">
        <f>IF($O192="","",INDEX(Master!$F$2:$F$1001,$O192))</f>
      </c>
      <c r="G192">
        <f>IF($O192="","",INDEX(Master!$G$2:$G$1001,$O192))</f>
      </c>
      <c r="H192">
        <f>IF($O192="","",INDEX(Master!$H$2:$H$1001,$O192))</f>
      </c>
      <c r="I192">
        <f>IF($O192="","",INDEX(Master!$I$2:$I$1001,$O192))</f>
      </c>
      <c r="J192">
        <f>IF($O192="","",INDEX(Master!$J$2:$J$1001,$O192))</f>
      </c>
      <c r="K192">
        <f t="shared" si="4"/>
      </c>
      <c r="L192">
        <f>IF($O192="","",INDEX(Master!$K$2:$K$1001,$O192))</f>
      </c>
      <c r="M192">
        <f>IF($O192="","",INDEX(Master!$L$2:$L$1001,$O192))</f>
      </c>
      <c r="O192">
        <f t="array" ref="O192">IFERROR(SMALL(IF((Master!$A$2:$A$1001="SHYAM METALLIKS")*(Master!$M$2:$M$1001="130 x 130 x 6MTR"),ROW(Master!$A$2:$A$1001)-ROW(Master!$A$2)+1),188),"")</f>
      </c>
      <c r="P192">
        <f t="shared" si="5"/>
      </c>
    </row>
    <row r="193" spans="1:16" x14ac:dyDescent="0.25">
      <c r="A193" s="235">
        <f>IF($O193="","",INDEX(Master!$D$2:$D$1001,$O193))</f>
      </c>
      <c r="B193" s="166">
        <f>IF($O193="","",INDEX(Master!$B$2:$B$1001,$O193))</f>
      </c>
      <c r="C193">
        <f>IF($O193="","",INDEX(Master!$C$2:$C$1001,$O193))</f>
      </c>
      <c r="D193">
        <f>IF($O193="","",INDEX(Master!$A$2:$A$1001,$O193))</f>
      </c>
      <c r="E193">
        <f>IF($O193="","",INDEX(Master!$E$2:$E$1001,$O193))</f>
      </c>
      <c r="F193">
        <f>IF($O193="","",INDEX(Master!$F$2:$F$1001,$O193))</f>
      </c>
      <c r="G193">
        <f>IF($O193="","",INDEX(Master!$G$2:$G$1001,$O193))</f>
      </c>
      <c r="H193">
        <f>IF($O193="","",INDEX(Master!$H$2:$H$1001,$O193))</f>
      </c>
      <c r="I193">
        <f>IF($O193="","",INDEX(Master!$I$2:$I$1001,$O193))</f>
      </c>
      <c r="J193">
        <f>IF($O193="","",INDEX(Master!$J$2:$J$1001,$O193))</f>
      </c>
      <c r="K193">
        <f t="shared" si="4"/>
      </c>
      <c r="L193">
        <f>IF($O193="","",INDEX(Master!$K$2:$K$1001,$O193))</f>
      </c>
      <c r="M193">
        <f>IF($O193="","",INDEX(Master!$L$2:$L$1001,$O193))</f>
      </c>
      <c r="O193">
        <f t="array" ref="O193">IFERROR(SMALL(IF((Master!$A$2:$A$1001="SHYAM METALLIKS")*(Master!$M$2:$M$1001="130 x 130 x 6MTR"),ROW(Master!$A$2:$A$1001)-ROW(Master!$A$2)+1),189),"")</f>
      </c>
      <c r="P193">
        <f t="shared" si="5"/>
      </c>
    </row>
    <row r="194" spans="1:16" x14ac:dyDescent="0.25">
      <c r="A194" s="235">
        <f>IF($O194="","",INDEX(Master!$D$2:$D$1001,$O194))</f>
      </c>
      <c r="B194" s="166">
        <f>IF($O194="","",INDEX(Master!$B$2:$B$1001,$O194))</f>
      </c>
      <c r="C194">
        <f>IF($O194="","",INDEX(Master!$C$2:$C$1001,$O194))</f>
      </c>
      <c r="D194">
        <f>IF($O194="","",INDEX(Master!$A$2:$A$1001,$O194))</f>
      </c>
      <c r="E194">
        <f>IF($O194="","",INDEX(Master!$E$2:$E$1001,$O194))</f>
      </c>
      <c r="F194">
        <f>IF($O194="","",INDEX(Master!$F$2:$F$1001,$O194))</f>
      </c>
      <c r="G194">
        <f>IF($O194="","",INDEX(Master!$G$2:$G$1001,$O194))</f>
      </c>
      <c r="H194">
        <f>IF($O194="","",INDEX(Master!$H$2:$H$1001,$O194))</f>
      </c>
      <c r="I194">
        <f>IF($O194="","",INDEX(Master!$I$2:$I$1001,$O194))</f>
      </c>
      <c r="J194">
        <f>IF($O194="","",INDEX(Master!$J$2:$J$1001,$O194))</f>
      </c>
      <c r="K194">
        <f t="shared" si="4"/>
      </c>
      <c r="L194">
        <f>IF($O194="","",INDEX(Master!$K$2:$K$1001,$O194))</f>
      </c>
      <c r="M194">
        <f>IF($O194="","",INDEX(Master!$L$2:$L$1001,$O194))</f>
      </c>
      <c r="O194">
        <f t="array" ref="O194">IFERROR(SMALL(IF((Master!$A$2:$A$1001="SHYAM METALLIKS")*(Master!$M$2:$M$1001="130 x 130 x 6MTR"),ROW(Master!$A$2:$A$1001)-ROW(Master!$A$2)+1),190),"")</f>
      </c>
      <c r="P194">
        <f t="shared" si="5"/>
      </c>
    </row>
    <row r="195" spans="1:16" x14ac:dyDescent="0.25">
      <c r="A195" s="235">
        <f>IF($O195="","",INDEX(Master!$D$2:$D$1001,$O195))</f>
      </c>
      <c r="B195" s="166">
        <f>IF($O195="","",INDEX(Master!$B$2:$B$1001,$O195))</f>
      </c>
      <c r="C195">
        <f>IF($O195="","",INDEX(Master!$C$2:$C$1001,$O195))</f>
      </c>
      <c r="D195">
        <f>IF($O195="","",INDEX(Master!$A$2:$A$1001,$O195))</f>
      </c>
      <c r="E195">
        <f>IF($O195="","",INDEX(Master!$E$2:$E$1001,$O195))</f>
      </c>
      <c r="F195">
        <f>IF($O195="","",INDEX(Master!$F$2:$F$1001,$O195))</f>
      </c>
      <c r="G195">
        <f>IF($O195="","",INDEX(Master!$G$2:$G$1001,$O195))</f>
      </c>
      <c r="H195">
        <f>IF($O195="","",INDEX(Master!$H$2:$H$1001,$O195))</f>
      </c>
      <c r="I195">
        <f>IF($O195="","",INDEX(Master!$I$2:$I$1001,$O195))</f>
      </c>
      <c r="J195">
        <f>IF($O195="","",INDEX(Master!$J$2:$J$1001,$O195))</f>
      </c>
      <c r="K195">
        <f t="shared" si="4"/>
      </c>
      <c r="L195">
        <f>IF($O195="","",INDEX(Master!$K$2:$K$1001,$O195))</f>
      </c>
      <c r="M195">
        <f>IF($O195="","",INDEX(Master!$L$2:$L$1001,$O195))</f>
      </c>
      <c r="O195">
        <f t="array" ref="O195">IFERROR(SMALL(IF((Master!$A$2:$A$1001="SHYAM METALLIKS")*(Master!$M$2:$M$1001="130 x 130 x 6MTR"),ROW(Master!$A$2:$A$1001)-ROW(Master!$A$2)+1),191),"")</f>
      </c>
      <c r="P195">
        <f t="shared" si="5"/>
      </c>
    </row>
    <row r="196" spans="1:16" x14ac:dyDescent="0.25">
      <c r="A196" s="235">
        <f>IF($O196="","",INDEX(Master!$D$2:$D$1001,$O196))</f>
      </c>
      <c r="B196" s="166">
        <f>IF($O196="","",INDEX(Master!$B$2:$B$1001,$O196))</f>
      </c>
      <c r="C196">
        <f>IF($O196="","",INDEX(Master!$C$2:$C$1001,$O196))</f>
      </c>
      <c r="D196">
        <f>IF($O196="","",INDEX(Master!$A$2:$A$1001,$O196))</f>
      </c>
      <c r="E196">
        <f>IF($O196="","",INDEX(Master!$E$2:$E$1001,$O196))</f>
      </c>
      <c r="F196">
        <f>IF($O196="","",INDEX(Master!$F$2:$F$1001,$O196))</f>
      </c>
      <c r="G196">
        <f>IF($O196="","",INDEX(Master!$G$2:$G$1001,$O196))</f>
      </c>
      <c r="H196">
        <f>IF($O196="","",INDEX(Master!$H$2:$H$1001,$O196))</f>
      </c>
      <c r="I196">
        <f>IF($O196="","",INDEX(Master!$I$2:$I$1001,$O196))</f>
      </c>
      <c r="J196">
        <f>IF($O196="","",INDEX(Master!$J$2:$J$1001,$O196))</f>
      </c>
      <c r="K196">
        <f t="shared" si="4"/>
      </c>
      <c r="L196">
        <f>IF($O196="","",INDEX(Master!$K$2:$K$1001,$O196))</f>
      </c>
      <c r="M196">
        <f>IF($O196="","",INDEX(Master!$L$2:$L$1001,$O196))</f>
      </c>
      <c r="O196">
        <f t="array" ref="O196">IFERROR(SMALL(IF((Master!$A$2:$A$1001="SHYAM METALLIKS")*(Master!$M$2:$M$1001="130 x 130 x 6MTR"),ROW(Master!$A$2:$A$1001)-ROW(Master!$A$2)+1),192),"")</f>
      </c>
      <c r="P196">
        <f t="shared" si="5"/>
      </c>
    </row>
    <row r="197" spans="1:16" x14ac:dyDescent="0.25">
      <c r="A197" s="235">
        <f>IF($O197="","",INDEX(Master!$D$2:$D$1001,$O197))</f>
      </c>
      <c r="B197" s="166">
        <f>IF($O197="","",INDEX(Master!$B$2:$B$1001,$O197))</f>
      </c>
      <c r="C197">
        <f>IF($O197="","",INDEX(Master!$C$2:$C$1001,$O197))</f>
      </c>
      <c r="D197">
        <f>IF($O197="","",INDEX(Master!$A$2:$A$1001,$O197))</f>
      </c>
      <c r="E197">
        <f>IF($O197="","",INDEX(Master!$E$2:$E$1001,$O197))</f>
      </c>
      <c r="F197">
        <f>IF($O197="","",INDEX(Master!$F$2:$F$1001,$O197))</f>
      </c>
      <c r="G197">
        <f>IF($O197="","",INDEX(Master!$G$2:$G$1001,$O197))</f>
      </c>
      <c r="H197">
        <f>IF($O197="","",INDEX(Master!$H$2:$H$1001,$O197))</f>
      </c>
      <c r="I197">
        <f>IF($O197="","",INDEX(Master!$I$2:$I$1001,$O197))</f>
      </c>
      <c r="J197">
        <f>IF($O197="","",INDEX(Master!$J$2:$J$1001,$O197))</f>
      </c>
      <c r="K197">
        <f t="shared" ref="K197:K260" si="6">IF(OR($O197="",$F197="",$F197=0),"",$H197/$F197)</f>
      </c>
      <c r="L197">
        <f>IF($O197="","",INDEX(Master!$K$2:$K$1001,$O197))</f>
      </c>
      <c r="M197">
        <f>IF($O197="","",INDEX(Master!$L$2:$L$1001,$O197))</f>
      </c>
      <c r="O197">
        <f t="array" ref="O197">IFERROR(SMALL(IF((Master!$A$2:$A$1001="SHYAM METALLIKS")*(Master!$M$2:$M$1001="130 x 130 x 6MTR"),ROW(Master!$A$2:$A$1001)-ROW(Master!$A$2)+1),193),"")</f>
      </c>
      <c r="P197">
        <f t="shared" ref="P197:P260" si="7">IF($A197="",0,IF(OR(AND($E197&lt;&gt;"",OR($E197&gt;0.18)),AND($F197&lt;&gt;"",OR($F197&gt;0.045,($F197+$G197)&gt;0.14)),AND($G197&lt;&gt;"",OR($G197&gt;0.08,($F197+$G197)&gt;0.14)),AND($H197&lt;&gt;"",$H197&lt;0.4),AND($J197&lt;&gt;"",OR($J197&lt;0.1))),1,0))</f>
      </c>
    </row>
    <row r="198" spans="1:16" x14ac:dyDescent="0.25">
      <c r="A198" s="235">
        <f>IF($O198="","",INDEX(Master!$D$2:$D$1001,$O198))</f>
      </c>
      <c r="B198" s="166">
        <f>IF($O198="","",INDEX(Master!$B$2:$B$1001,$O198))</f>
      </c>
      <c r="C198">
        <f>IF($O198="","",INDEX(Master!$C$2:$C$1001,$O198))</f>
      </c>
      <c r="D198">
        <f>IF($O198="","",INDEX(Master!$A$2:$A$1001,$O198))</f>
      </c>
      <c r="E198">
        <f>IF($O198="","",INDEX(Master!$E$2:$E$1001,$O198))</f>
      </c>
      <c r="F198">
        <f>IF($O198="","",INDEX(Master!$F$2:$F$1001,$O198))</f>
      </c>
      <c r="G198">
        <f>IF($O198="","",INDEX(Master!$G$2:$G$1001,$O198))</f>
      </c>
      <c r="H198">
        <f>IF($O198="","",INDEX(Master!$H$2:$H$1001,$O198))</f>
      </c>
      <c r="I198">
        <f>IF($O198="","",INDEX(Master!$I$2:$I$1001,$O198))</f>
      </c>
      <c r="J198">
        <f>IF($O198="","",INDEX(Master!$J$2:$J$1001,$O198))</f>
      </c>
      <c r="K198">
        <f t="shared" si="6"/>
      </c>
      <c r="L198">
        <f>IF($O198="","",INDEX(Master!$K$2:$K$1001,$O198))</f>
      </c>
      <c r="M198">
        <f>IF($O198="","",INDEX(Master!$L$2:$L$1001,$O198))</f>
      </c>
      <c r="O198">
        <f t="array" ref="O198">IFERROR(SMALL(IF((Master!$A$2:$A$1001="SHYAM METALLIKS")*(Master!$M$2:$M$1001="130 x 130 x 6MTR"),ROW(Master!$A$2:$A$1001)-ROW(Master!$A$2)+1),194),"")</f>
      </c>
      <c r="P198">
        <f t="shared" si="7"/>
      </c>
    </row>
    <row r="199" spans="1:16" x14ac:dyDescent="0.25">
      <c r="A199" s="235">
        <f>IF($O199="","",INDEX(Master!$D$2:$D$1001,$O199))</f>
      </c>
      <c r="B199" s="166">
        <f>IF($O199="","",INDEX(Master!$B$2:$B$1001,$O199))</f>
      </c>
      <c r="C199">
        <f>IF($O199="","",INDEX(Master!$C$2:$C$1001,$O199))</f>
      </c>
      <c r="D199">
        <f>IF($O199="","",INDEX(Master!$A$2:$A$1001,$O199))</f>
      </c>
      <c r="E199">
        <f>IF($O199="","",INDEX(Master!$E$2:$E$1001,$O199))</f>
      </c>
      <c r="F199">
        <f>IF($O199="","",INDEX(Master!$F$2:$F$1001,$O199))</f>
      </c>
      <c r="G199">
        <f>IF($O199="","",INDEX(Master!$G$2:$G$1001,$O199))</f>
      </c>
      <c r="H199">
        <f>IF($O199="","",INDEX(Master!$H$2:$H$1001,$O199))</f>
      </c>
      <c r="I199">
        <f>IF($O199="","",INDEX(Master!$I$2:$I$1001,$O199))</f>
      </c>
      <c r="J199">
        <f>IF($O199="","",INDEX(Master!$J$2:$J$1001,$O199))</f>
      </c>
      <c r="K199">
        <f t="shared" si="6"/>
      </c>
      <c r="L199">
        <f>IF($O199="","",INDEX(Master!$K$2:$K$1001,$O199))</f>
      </c>
      <c r="M199">
        <f>IF($O199="","",INDEX(Master!$L$2:$L$1001,$O199))</f>
      </c>
      <c r="O199">
        <f t="array" ref="O199">IFERROR(SMALL(IF((Master!$A$2:$A$1001="SHYAM METALLIKS")*(Master!$M$2:$M$1001="130 x 130 x 6MTR"),ROW(Master!$A$2:$A$1001)-ROW(Master!$A$2)+1),195),"")</f>
      </c>
      <c r="P199">
        <f t="shared" si="7"/>
      </c>
    </row>
    <row r="200" spans="1:16" x14ac:dyDescent="0.25">
      <c r="A200" s="235">
        <f>IF($O200="","",INDEX(Master!$D$2:$D$1001,$O200))</f>
      </c>
      <c r="B200" s="166">
        <f>IF($O200="","",INDEX(Master!$B$2:$B$1001,$O200))</f>
      </c>
      <c r="C200">
        <f>IF($O200="","",INDEX(Master!$C$2:$C$1001,$O200))</f>
      </c>
      <c r="D200">
        <f>IF($O200="","",INDEX(Master!$A$2:$A$1001,$O200))</f>
      </c>
      <c r="E200">
        <f>IF($O200="","",INDEX(Master!$E$2:$E$1001,$O200))</f>
      </c>
      <c r="F200">
        <f>IF($O200="","",INDEX(Master!$F$2:$F$1001,$O200))</f>
      </c>
      <c r="G200">
        <f>IF($O200="","",INDEX(Master!$G$2:$G$1001,$O200))</f>
      </c>
      <c r="H200">
        <f>IF($O200="","",INDEX(Master!$H$2:$H$1001,$O200))</f>
      </c>
      <c r="I200">
        <f>IF($O200="","",INDEX(Master!$I$2:$I$1001,$O200))</f>
      </c>
      <c r="J200">
        <f>IF($O200="","",INDEX(Master!$J$2:$J$1001,$O200))</f>
      </c>
      <c r="K200">
        <f t="shared" si="6"/>
      </c>
      <c r="L200">
        <f>IF($O200="","",INDEX(Master!$K$2:$K$1001,$O200))</f>
      </c>
      <c r="M200">
        <f>IF($O200="","",INDEX(Master!$L$2:$L$1001,$O200))</f>
      </c>
      <c r="O200">
        <f t="array" ref="O200">IFERROR(SMALL(IF((Master!$A$2:$A$1001="SHYAM METALLIKS")*(Master!$M$2:$M$1001="130 x 130 x 6MTR"),ROW(Master!$A$2:$A$1001)-ROW(Master!$A$2)+1),196),"")</f>
      </c>
      <c r="P200">
        <f t="shared" si="7"/>
      </c>
    </row>
    <row r="201" spans="1:16" x14ac:dyDescent="0.25">
      <c r="A201" s="235">
        <f>IF($O201="","",INDEX(Master!$D$2:$D$1001,$O201))</f>
      </c>
      <c r="B201" s="166">
        <f>IF($O201="","",INDEX(Master!$B$2:$B$1001,$O201))</f>
      </c>
      <c r="C201">
        <f>IF($O201="","",INDEX(Master!$C$2:$C$1001,$O201))</f>
      </c>
      <c r="D201">
        <f>IF($O201="","",INDEX(Master!$A$2:$A$1001,$O201))</f>
      </c>
      <c r="E201">
        <f>IF($O201="","",INDEX(Master!$E$2:$E$1001,$O201))</f>
      </c>
      <c r="F201">
        <f>IF($O201="","",INDEX(Master!$F$2:$F$1001,$O201))</f>
      </c>
      <c r="G201">
        <f>IF($O201="","",INDEX(Master!$G$2:$G$1001,$O201))</f>
      </c>
      <c r="H201">
        <f>IF($O201="","",INDEX(Master!$H$2:$H$1001,$O201))</f>
      </c>
      <c r="I201">
        <f>IF($O201="","",INDEX(Master!$I$2:$I$1001,$O201))</f>
      </c>
      <c r="J201">
        <f>IF($O201="","",INDEX(Master!$J$2:$J$1001,$O201))</f>
      </c>
      <c r="K201">
        <f t="shared" si="6"/>
      </c>
      <c r="L201">
        <f>IF($O201="","",INDEX(Master!$K$2:$K$1001,$O201))</f>
      </c>
      <c r="M201">
        <f>IF($O201="","",INDEX(Master!$L$2:$L$1001,$O201))</f>
      </c>
      <c r="O201">
        <f t="array" ref="O201">IFERROR(SMALL(IF((Master!$A$2:$A$1001="SHYAM METALLIKS")*(Master!$M$2:$M$1001="130 x 130 x 6MTR"),ROW(Master!$A$2:$A$1001)-ROW(Master!$A$2)+1),197),"")</f>
      </c>
      <c r="P201">
        <f t="shared" si="7"/>
      </c>
    </row>
    <row r="202" spans="1:16" x14ac:dyDescent="0.25">
      <c r="A202" s="235">
        <f>IF($O202="","",INDEX(Master!$D$2:$D$1001,$O202))</f>
      </c>
      <c r="B202" s="166">
        <f>IF($O202="","",INDEX(Master!$B$2:$B$1001,$O202))</f>
      </c>
      <c r="C202">
        <f>IF($O202="","",INDEX(Master!$C$2:$C$1001,$O202))</f>
      </c>
      <c r="D202">
        <f>IF($O202="","",INDEX(Master!$A$2:$A$1001,$O202))</f>
      </c>
      <c r="E202">
        <f>IF($O202="","",INDEX(Master!$E$2:$E$1001,$O202))</f>
      </c>
      <c r="F202">
        <f>IF($O202="","",INDEX(Master!$F$2:$F$1001,$O202))</f>
      </c>
      <c r="G202">
        <f>IF($O202="","",INDEX(Master!$G$2:$G$1001,$O202))</f>
      </c>
      <c r="H202">
        <f>IF($O202="","",INDEX(Master!$H$2:$H$1001,$O202))</f>
      </c>
      <c r="I202">
        <f>IF($O202="","",INDEX(Master!$I$2:$I$1001,$O202))</f>
      </c>
      <c r="J202">
        <f>IF($O202="","",INDEX(Master!$J$2:$J$1001,$O202))</f>
      </c>
      <c r="K202">
        <f t="shared" si="6"/>
      </c>
      <c r="L202">
        <f>IF($O202="","",INDEX(Master!$K$2:$K$1001,$O202))</f>
      </c>
      <c r="M202">
        <f>IF($O202="","",INDEX(Master!$L$2:$L$1001,$O202))</f>
      </c>
      <c r="O202">
        <f t="array" ref="O202">IFERROR(SMALL(IF((Master!$A$2:$A$1001="SHYAM METALLIKS")*(Master!$M$2:$M$1001="130 x 130 x 6MTR"),ROW(Master!$A$2:$A$1001)-ROW(Master!$A$2)+1),198),"")</f>
      </c>
      <c r="P202">
        <f t="shared" si="7"/>
      </c>
    </row>
    <row r="203" spans="1:16" x14ac:dyDescent="0.25">
      <c r="A203" s="235">
        <f>IF($O203="","",INDEX(Master!$D$2:$D$1001,$O203))</f>
      </c>
      <c r="B203" s="166">
        <f>IF($O203="","",INDEX(Master!$B$2:$B$1001,$O203))</f>
      </c>
      <c r="C203">
        <f>IF($O203="","",INDEX(Master!$C$2:$C$1001,$O203))</f>
      </c>
      <c r="D203">
        <f>IF($O203="","",INDEX(Master!$A$2:$A$1001,$O203))</f>
      </c>
      <c r="E203">
        <f>IF($O203="","",INDEX(Master!$E$2:$E$1001,$O203))</f>
      </c>
      <c r="F203">
        <f>IF($O203="","",INDEX(Master!$F$2:$F$1001,$O203))</f>
      </c>
      <c r="G203">
        <f>IF($O203="","",INDEX(Master!$G$2:$G$1001,$O203))</f>
      </c>
      <c r="H203">
        <f>IF($O203="","",INDEX(Master!$H$2:$H$1001,$O203))</f>
      </c>
      <c r="I203">
        <f>IF($O203="","",INDEX(Master!$I$2:$I$1001,$O203))</f>
      </c>
      <c r="J203">
        <f>IF($O203="","",INDEX(Master!$J$2:$J$1001,$O203))</f>
      </c>
      <c r="K203">
        <f t="shared" si="6"/>
      </c>
      <c r="L203">
        <f>IF($O203="","",INDEX(Master!$K$2:$K$1001,$O203))</f>
      </c>
      <c r="M203">
        <f>IF($O203="","",INDEX(Master!$L$2:$L$1001,$O203))</f>
      </c>
      <c r="O203">
        <f t="array" ref="O203">IFERROR(SMALL(IF((Master!$A$2:$A$1001="SHYAM METALLIKS")*(Master!$M$2:$M$1001="130 x 130 x 6MTR"),ROW(Master!$A$2:$A$1001)-ROW(Master!$A$2)+1),199),"")</f>
      </c>
      <c r="P203">
        <f t="shared" si="7"/>
      </c>
    </row>
    <row r="204" spans="1:16" x14ac:dyDescent="0.25">
      <c r="A204" s="235">
        <f>IF($O204="","",INDEX(Master!$D$2:$D$1001,$O204))</f>
      </c>
      <c r="B204" s="166">
        <f>IF($O204="","",INDEX(Master!$B$2:$B$1001,$O204))</f>
      </c>
      <c r="C204">
        <f>IF($O204="","",INDEX(Master!$C$2:$C$1001,$O204))</f>
      </c>
      <c r="D204">
        <f>IF($O204="","",INDEX(Master!$A$2:$A$1001,$O204))</f>
      </c>
      <c r="E204">
        <f>IF($O204="","",INDEX(Master!$E$2:$E$1001,$O204))</f>
      </c>
      <c r="F204">
        <f>IF($O204="","",INDEX(Master!$F$2:$F$1001,$O204))</f>
      </c>
      <c r="G204">
        <f>IF($O204="","",INDEX(Master!$G$2:$G$1001,$O204))</f>
      </c>
      <c r="H204">
        <f>IF($O204="","",INDEX(Master!$H$2:$H$1001,$O204))</f>
      </c>
      <c r="I204">
        <f>IF($O204="","",INDEX(Master!$I$2:$I$1001,$O204))</f>
      </c>
      <c r="J204">
        <f>IF($O204="","",INDEX(Master!$J$2:$J$1001,$O204))</f>
      </c>
      <c r="K204">
        <f t="shared" si="6"/>
      </c>
      <c r="L204">
        <f>IF($O204="","",INDEX(Master!$K$2:$K$1001,$O204))</f>
      </c>
      <c r="M204">
        <f>IF($O204="","",INDEX(Master!$L$2:$L$1001,$O204))</f>
      </c>
      <c r="O204">
        <f t="array" ref="O204">IFERROR(SMALL(IF((Master!$A$2:$A$1001="SHYAM METALLIKS")*(Master!$M$2:$M$1001="130 x 130 x 6MTR"),ROW(Master!$A$2:$A$1001)-ROW(Master!$A$2)+1),200),"")</f>
      </c>
      <c r="P204">
        <f t="shared" si="7"/>
      </c>
    </row>
    <row r="205" spans="1:16" x14ac:dyDescent="0.25">
      <c r="A205" s="235">
        <f>IF($O205="","",INDEX(Master!$D$2:$D$1001,$O205))</f>
      </c>
      <c r="B205" s="166">
        <f>IF($O205="","",INDEX(Master!$B$2:$B$1001,$O205))</f>
      </c>
      <c r="C205">
        <f>IF($O205="","",INDEX(Master!$C$2:$C$1001,$O205))</f>
      </c>
      <c r="D205">
        <f>IF($O205="","",INDEX(Master!$A$2:$A$1001,$O205))</f>
      </c>
      <c r="E205">
        <f>IF($O205="","",INDEX(Master!$E$2:$E$1001,$O205))</f>
      </c>
      <c r="F205">
        <f>IF($O205="","",INDEX(Master!$F$2:$F$1001,$O205))</f>
      </c>
      <c r="G205">
        <f>IF($O205="","",INDEX(Master!$G$2:$G$1001,$O205))</f>
      </c>
      <c r="H205">
        <f>IF($O205="","",INDEX(Master!$H$2:$H$1001,$O205))</f>
      </c>
      <c r="I205">
        <f>IF($O205="","",INDEX(Master!$I$2:$I$1001,$O205))</f>
      </c>
      <c r="J205">
        <f>IF($O205="","",INDEX(Master!$J$2:$J$1001,$O205))</f>
      </c>
      <c r="K205">
        <f t="shared" si="6"/>
      </c>
      <c r="L205">
        <f>IF($O205="","",INDEX(Master!$K$2:$K$1001,$O205))</f>
      </c>
      <c r="M205">
        <f>IF($O205="","",INDEX(Master!$L$2:$L$1001,$O205))</f>
      </c>
      <c r="O205">
        <f t="array" ref="O205">IFERROR(SMALL(IF((Master!$A$2:$A$1001="SHYAM METALLIKS")*(Master!$M$2:$M$1001="130 x 130 x 6MTR"),ROW(Master!$A$2:$A$1001)-ROW(Master!$A$2)+1),201),"")</f>
      </c>
      <c r="P205">
        <f t="shared" si="7"/>
      </c>
    </row>
    <row r="206" spans="1:16" x14ac:dyDescent="0.25">
      <c r="A206" s="235">
        <f>IF($O206="","",INDEX(Master!$D$2:$D$1001,$O206))</f>
      </c>
      <c r="B206" s="166">
        <f>IF($O206="","",INDEX(Master!$B$2:$B$1001,$O206))</f>
      </c>
      <c r="C206">
        <f>IF($O206="","",INDEX(Master!$C$2:$C$1001,$O206))</f>
      </c>
      <c r="D206">
        <f>IF($O206="","",INDEX(Master!$A$2:$A$1001,$O206))</f>
      </c>
      <c r="E206">
        <f>IF($O206="","",INDEX(Master!$E$2:$E$1001,$O206))</f>
      </c>
      <c r="F206">
        <f>IF($O206="","",INDEX(Master!$F$2:$F$1001,$O206))</f>
      </c>
      <c r="G206">
        <f>IF($O206="","",INDEX(Master!$G$2:$G$1001,$O206))</f>
      </c>
      <c r="H206">
        <f>IF($O206="","",INDEX(Master!$H$2:$H$1001,$O206))</f>
      </c>
      <c r="I206">
        <f>IF($O206="","",INDEX(Master!$I$2:$I$1001,$O206))</f>
      </c>
      <c r="J206">
        <f>IF($O206="","",INDEX(Master!$J$2:$J$1001,$O206))</f>
      </c>
      <c r="K206">
        <f t="shared" si="6"/>
      </c>
      <c r="L206">
        <f>IF($O206="","",INDEX(Master!$K$2:$K$1001,$O206))</f>
      </c>
      <c r="M206">
        <f>IF($O206="","",INDEX(Master!$L$2:$L$1001,$O206))</f>
      </c>
      <c r="O206">
        <f t="array" ref="O206">IFERROR(SMALL(IF((Master!$A$2:$A$1001="SHYAM METALLIKS")*(Master!$M$2:$M$1001="130 x 130 x 6MTR"),ROW(Master!$A$2:$A$1001)-ROW(Master!$A$2)+1),202),"")</f>
      </c>
      <c r="P206">
        <f t="shared" si="7"/>
      </c>
    </row>
    <row r="207" spans="1:16" x14ac:dyDescent="0.25">
      <c r="A207" s="235">
        <f>IF($O207="","",INDEX(Master!$D$2:$D$1001,$O207))</f>
      </c>
      <c r="B207" s="166">
        <f>IF($O207="","",INDEX(Master!$B$2:$B$1001,$O207))</f>
      </c>
      <c r="C207">
        <f>IF($O207="","",INDEX(Master!$C$2:$C$1001,$O207))</f>
      </c>
      <c r="D207">
        <f>IF($O207="","",INDEX(Master!$A$2:$A$1001,$O207))</f>
      </c>
      <c r="E207">
        <f>IF($O207="","",INDEX(Master!$E$2:$E$1001,$O207))</f>
      </c>
      <c r="F207">
        <f>IF($O207="","",INDEX(Master!$F$2:$F$1001,$O207))</f>
      </c>
      <c r="G207">
        <f>IF($O207="","",INDEX(Master!$G$2:$G$1001,$O207))</f>
      </c>
      <c r="H207">
        <f>IF($O207="","",INDEX(Master!$H$2:$H$1001,$O207))</f>
      </c>
      <c r="I207">
        <f>IF($O207="","",INDEX(Master!$I$2:$I$1001,$O207))</f>
      </c>
      <c r="J207">
        <f>IF($O207="","",INDEX(Master!$J$2:$J$1001,$O207))</f>
      </c>
      <c r="K207">
        <f t="shared" si="6"/>
      </c>
      <c r="L207">
        <f>IF($O207="","",INDEX(Master!$K$2:$K$1001,$O207))</f>
      </c>
      <c r="M207">
        <f>IF($O207="","",INDEX(Master!$L$2:$L$1001,$O207))</f>
      </c>
      <c r="O207">
        <f t="array" ref="O207">IFERROR(SMALL(IF((Master!$A$2:$A$1001="SHYAM METALLIKS")*(Master!$M$2:$M$1001="130 x 130 x 6MTR"),ROW(Master!$A$2:$A$1001)-ROW(Master!$A$2)+1),203),"")</f>
      </c>
      <c r="P207">
        <f t="shared" si="7"/>
      </c>
    </row>
    <row r="208" spans="1:16" x14ac:dyDescent="0.25">
      <c r="A208" s="235">
        <f>IF($O208="","",INDEX(Master!$D$2:$D$1001,$O208))</f>
      </c>
      <c r="B208" s="166">
        <f>IF($O208="","",INDEX(Master!$B$2:$B$1001,$O208))</f>
      </c>
      <c r="C208">
        <f>IF($O208="","",INDEX(Master!$C$2:$C$1001,$O208))</f>
      </c>
      <c r="D208">
        <f>IF($O208="","",INDEX(Master!$A$2:$A$1001,$O208))</f>
      </c>
      <c r="E208">
        <f>IF($O208="","",INDEX(Master!$E$2:$E$1001,$O208))</f>
      </c>
      <c r="F208">
        <f>IF($O208="","",INDEX(Master!$F$2:$F$1001,$O208))</f>
      </c>
      <c r="G208">
        <f>IF($O208="","",INDEX(Master!$G$2:$G$1001,$O208))</f>
      </c>
      <c r="H208">
        <f>IF($O208="","",INDEX(Master!$H$2:$H$1001,$O208))</f>
      </c>
      <c r="I208">
        <f>IF($O208="","",INDEX(Master!$I$2:$I$1001,$O208))</f>
      </c>
      <c r="J208">
        <f>IF($O208="","",INDEX(Master!$J$2:$J$1001,$O208))</f>
      </c>
      <c r="K208">
        <f t="shared" si="6"/>
      </c>
      <c r="L208">
        <f>IF($O208="","",INDEX(Master!$K$2:$K$1001,$O208))</f>
      </c>
      <c r="M208">
        <f>IF($O208="","",INDEX(Master!$L$2:$L$1001,$O208))</f>
      </c>
      <c r="O208">
        <f t="array" ref="O208">IFERROR(SMALL(IF((Master!$A$2:$A$1001="SHYAM METALLIKS")*(Master!$M$2:$M$1001="130 x 130 x 6MTR"),ROW(Master!$A$2:$A$1001)-ROW(Master!$A$2)+1),204),"")</f>
      </c>
      <c r="P208">
        <f t="shared" si="7"/>
      </c>
    </row>
    <row r="209" spans="1:16" x14ac:dyDescent="0.25">
      <c r="A209" s="235">
        <f>IF($O209="","",INDEX(Master!$D$2:$D$1001,$O209))</f>
      </c>
      <c r="B209" s="166">
        <f>IF($O209="","",INDEX(Master!$B$2:$B$1001,$O209))</f>
      </c>
      <c r="C209">
        <f>IF($O209="","",INDEX(Master!$C$2:$C$1001,$O209))</f>
      </c>
      <c r="D209">
        <f>IF($O209="","",INDEX(Master!$A$2:$A$1001,$O209))</f>
      </c>
      <c r="E209">
        <f>IF($O209="","",INDEX(Master!$E$2:$E$1001,$O209))</f>
      </c>
      <c r="F209">
        <f>IF($O209="","",INDEX(Master!$F$2:$F$1001,$O209))</f>
      </c>
      <c r="G209">
        <f>IF($O209="","",INDEX(Master!$G$2:$G$1001,$O209))</f>
      </c>
      <c r="H209">
        <f>IF($O209="","",INDEX(Master!$H$2:$H$1001,$O209))</f>
      </c>
      <c r="I209">
        <f>IF($O209="","",INDEX(Master!$I$2:$I$1001,$O209))</f>
      </c>
      <c r="J209">
        <f>IF($O209="","",INDEX(Master!$J$2:$J$1001,$O209))</f>
      </c>
      <c r="K209">
        <f t="shared" si="6"/>
      </c>
      <c r="L209">
        <f>IF($O209="","",INDEX(Master!$K$2:$K$1001,$O209))</f>
      </c>
      <c r="M209">
        <f>IF($O209="","",INDEX(Master!$L$2:$L$1001,$O209))</f>
      </c>
      <c r="O209">
        <f t="array" ref="O209">IFERROR(SMALL(IF((Master!$A$2:$A$1001="SHYAM METALLIKS")*(Master!$M$2:$M$1001="130 x 130 x 6MTR"),ROW(Master!$A$2:$A$1001)-ROW(Master!$A$2)+1),205),"")</f>
      </c>
      <c r="P209">
        <f t="shared" si="7"/>
      </c>
    </row>
    <row r="210" spans="1:16" x14ac:dyDescent="0.25">
      <c r="A210" s="235">
        <f>IF($O210="","",INDEX(Master!$D$2:$D$1001,$O210))</f>
      </c>
      <c r="B210" s="166">
        <f>IF($O210="","",INDEX(Master!$B$2:$B$1001,$O210))</f>
      </c>
      <c r="C210">
        <f>IF($O210="","",INDEX(Master!$C$2:$C$1001,$O210))</f>
      </c>
      <c r="D210">
        <f>IF($O210="","",INDEX(Master!$A$2:$A$1001,$O210))</f>
      </c>
      <c r="E210">
        <f>IF($O210="","",INDEX(Master!$E$2:$E$1001,$O210))</f>
      </c>
      <c r="F210">
        <f>IF($O210="","",INDEX(Master!$F$2:$F$1001,$O210))</f>
      </c>
      <c r="G210">
        <f>IF($O210="","",INDEX(Master!$G$2:$G$1001,$O210))</f>
      </c>
      <c r="H210">
        <f>IF($O210="","",INDEX(Master!$H$2:$H$1001,$O210))</f>
      </c>
      <c r="I210">
        <f>IF($O210="","",INDEX(Master!$I$2:$I$1001,$O210))</f>
      </c>
      <c r="J210">
        <f>IF($O210="","",INDEX(Master!$J$2:$J$1001,$O210))</f>
      </c>
      <c r="K210">
        <f t="shared" si="6"/>
      </c>
      <c r="L210">
        <f>IF($O210="","",INDEX(Master!$K$2:$K$1001,$O210))</f>
      </c>
      <c r="M210">
        <f>IF($O210="","",INDEX(Master!$L$2:$L$1001,$O210))</f>
      </c>
      <c r="O210">
        <f t="array" ref="O210">IFERROR(SMALL(IF((Master!$A$2:$A$1001="SHYAM METALLIKS")*(Master!$M$2:$M$1001="130 x 130 x 6MTR"),ROW(Master!$A$2:$A$1001)-ROW(Master!$A$2)+1),206),"")</f>
      </c>
      <c r="P210">
        <f t="shared" si="7"/>
      </c>
    </row>
    <row r="211" spans="1:16" x14ac:dyDescent="0.25">
      <c r="A211" s="235">
        <f>IF($O211="","",INDEX(Master!$D$2:$D$1001,$O211))</f>
      </c>
      <c r="B211" s="166">
        <f>IF($O211="","",INDEX(Master!$B$2:$B$1001,$O211))</f>
      </c>
      <c r="C211">
        <f>IF($O211="","",INDEX(Master!$C$2:$C$1001,$O211))</f>
      </c>
      <c r="D211">
        <f>IF($O211="","",INDEX(Master!$A$2:$A$1001,$O211))</f>
      </c>
      <c r="E211">
        <f>IF($O211="","",INDEX(Master!$E$2:$E$1001,$O211))</f>
      </c>
      <c r="F211">
        <f>IF($O211="","",INDEX(Master!$F$2:$F$1001,$O211))</f>
      </c>
      <c r="G211">
        <f>IF($O211="","",INDEX(Master!$G$2:$G$1001,$O211))</f>
      </c>
      <c r="H211">
        <f>IF($O211="","",INDEX(Master!$H$2:$H$1001,$O211))</f>
      </c>
      <c r="I211">
        <f>IF($O211="","",INDEX(Master!$I$2:$I$1001,$O211))</f>
      </c>
      <c r="J211">
        <f>IF($O211="","",INDEX(Master!$J$2:$J$1001,$O211))</f>
      </c>
      <c r="K211">
        <f t="shared" si="6"/>
      </c>
      <c r="L211">
        <f>IF($O211="","",INDEX(Master!$K$2:$K$1001,$O211))</f>
      </c>
      <c r="M211">
        <f>IF($O211="","",INDEX(Master!$L$2:$L$1001,$O211))</f>
      </c>
      <c r="O211">
        <f t="array" ref="O211">IFERROR(SMALL(IF((Master!$A$2:$A$1001="SHYAM METALLIKS")*(Master!$M$2:$M$1001="130 x 130 x 6MTR"),ROW(Master!$A$2:$A$1001)-ROW(Master!$A$2)+1),207),"")</f>
      </c>
      <c r="P211">
        <f t="shared" si="7"/>
      </c>
    </row>
    <row r="212" spans="1:16" x14ac:dyDescent="0.25">
      <c r="A212" s="235">
        <f>IF($O212="","",INDEX(Master!$D$2:$D$1001,$O212))</f>
      </c>
      <c r="B212" s="166">
        <f>IF($O212="","",INDEX(Master!$B$2:$B$1001,$O212))</f>
      </c>
      <c r="C212">
        <f>IF($O212="","",INDEX(Master!$C$2:$C$1001,$O212))</f>
      </c>
      <c r="D212">
        <f>IF($O212="","",INDEX(Master!$A$2:$A$1001,$O212))</f>
      </c>
      <c r="E212">
        <f>IF($O212="","",INDEX(Master!$E$2:$E$1001,$O212))</f>
      </c>
      <c r="F212">
        <f>IF($O212="","",INDEX(Master!$F$2:$F$1001,$O212))</f>
      </c>
      <c r="G212">
        <f>IF($O212="","",INDEX(Master!$G$2:$G$1001,$O212))</f>
      </c>
      <c r="H212">
        <f>IF($O212="","",INDEX(Master!$H$2:$H$1001,$O212))</f>
      </c>
      <c r="I212">
        <f>IF($O212="","",INDEX(Master!$I$2:$I$1001,$O212))</f>
      </c>
      <c r="J212">
        <f>IF($O212="","",INDEX(Master!$J$2:$J$1001,$O212))</f>
      </c>
      <c r="K212">
        <f t="shared" si="6"/>
      </c>
      <c r="L212">
        <f>IF($O212="","",INDEX(Master!$K$2:$K$1001,$O212))</f>
      </c>
      <c r="M212">
        <f>IF($O212="","",INDEX(Master!$L$2:$L$1001,$O212))</f>
      </c>
      <c r="O212">
        <f t="array" ref="O212">IFERROR(SMALL(IF((Master!$A$2:$A$1001="SHYAM METALLIKS")*(Master!$M$2:$M$1001="130 x 130 x 6MTR"),ROW(Master!$A$2:$A$1001)-ROW(Master!$A$2)+1),208),"")</f>
      </c>
      <c r="P212">
        <f t="shared" si="7"/>
      </c>
    </row>
    <row r="213" spans="1:16" x14ac:dyDescent="0.25">
      <c r="A213" s="235">
        <f>IF($O213="","",INDEX(Master!$D$2:$D$1001,$O213))</f>
      </c>
      <c r="B213" s="166">
        <f>IF($O213="","",INDEX(Master!$B$2:$B$1001,$O213))</f>
      </c>
      <c r="C213">
        <f>IF($O213="","",INDEX(Master!$C$2:$C$1001,$O213))</f>
      </c>
      <c r="D213">
        <f>IF($O213="","",INDEX(Master!$A$2:$A$1001,$O213))</f>
      </c>
      <c r="E213">
        <f>IF($O213="","",INDEX(Master!$E$2:$E$1001,$O213))</f>
      </c>
      <c r="F213">
        <f>IF($O213="","",INDEX(Master!$F$2:$F$1001,$O213))</f>
      </c>
      <c r="G213">
        <f>IF($O213="","",INDEX(Master!$G$2:$G$1001,$O213))</f>
      </c>
      <c r="H213">
        <f>IF($O213="","",INDEX(Master!$H$2:$H$1001,$O213))</f>
      </c>
      <c r="I213">
        <f>IF($O213="","",INDEX(Master!$I$2:$I$1001,$O213))</f>
      </c>
      <c r="J213">
        <f>IF($O213="","",INDEX(Master!$J$2:$J$1001,$O213))</f>
      </c>
      <c r="K213">
        <f t="shared" si="6"/>
      </c>
      <c r="L213">
        <f>IF($O213="","",INDEX(Master!$K$2:$K$1001,$O213))</f>
      </c>
      <c r="M213">
        <f>IF($O213="","",INDEX(Master!$L$2:$L$1001,$O213))</f>
      </c>
      <c r="O213">
        <f t="array" ref="O213">IFERROR(SMALL(IF((Master!$A$2:$A$1001="SHYAM METALLIKS")*(Master!$M$2:$M$1001="130 x 130 x 6MTR"),ROW(Master!$A$2:$A$1001)-ROW(Master!$A$2)+1),209),"")</f>
      </c>
      <c r="P213">
        <f t="shared" si="7"/>
      </c>
    </row>
    <row r="214" spans="1:16" x14ac:dyDescent="0.25">
      <c r="A214" s="235">
        <f>IF($O214="","",INDEX(Master!$D$2:$D$1001,$O214))</f>
      </c>
      <c r="B214" s="166">
        <f>IF($O214="","",INDEX(Master!$B$2:$B$1001,$O214))</f>
      </c>
      <c r="C214">
        <f>IF($O214="","",INDEX(Master!$C$2:$C$1001,$O214))</f>
      </c>
      <c r="D214">
        <f>IF($O214="","",INDEX(Master!$A$2:$A$1001,$O214))</f>
      </c>
      <c r="E214">
        <f>IF($O214="","",INDEX(Master!$E$2:$E$1001,$O214))</f>
      </c>
      <c r="F214">
        <f>IF($O214="","",INDEX(Master!$F$2:$F$1001,$O214))</f>
      </c>
      <c r="G214">
        <f>IF($O214="","",INDEX(Master!$G$2:$G$1001,$O214))</f>
      </c>
      <c r="H214">
        <f>IF($O214="","",INDEX(Master!$H$2:$H$1001,$O214))</f>
      </c>
      <c r="I214">
        <f>IF($O214="","",INDEX(Master!$I$2:$I$1001,$O214))</f>
      </c>
      <c r="J214">
        <f>IF($O214="","",INDEX(Master!$J$2:$J$1001,$O214))</f>
      </c>
      <c r="K214">
        <f t="shared" si="6"/>
      </c>
      <c r="L214">
        <f>IF($O214="","",INDEX(Master!$K$2:$K$1001,$O214))</f>
      </c>
      <c r="M214">
        <f>IF($O214="","",INDEX(Master!$L$2:$L$1001,$O214))</f>
      </c>
      <c r="O214">
        <f t="array" ref="O214">IFERROR(SMALL(IF((Master!$A$2:$A$1001="SHYAM METALLIKS")*(Master!$M$2:$M$1001="130 x 130 x 6MTR"),ROW(Master!$A$2:$A$1001)-ROW(Master!$A$2)+1),210),"")</f>
      </c>
      <c r="P214">
        <f t="shared" si="7"/>
      </c>
    </row>
    <row r="215" spans="1:16" x14ac:dyDescent="0.25">
      <c r="A215" s="235">
        <f>IF($O215="","",INDEX(Master!$D$2:$D$1001,$O215))</f>
      </c>
      <c r="B215" s="166">
        <f>IF($O215="","",INDEX(Master!$B$2:$B$1001,$O215))</f>
      </c>
      <c r="C215">
        <f>IF($O215="","",INDEX(Master!$C$2:$C$1001,$O215))</f>
      </c>
      <c r="D215">
        <f>IF($O215="","",INDEX(Master!$A$2:$A$1001,$O215))</f>
      </c>
      <c r="E215">
        <f>IF($O215="","",INDEX(Master!$E$2:$E$1001,$O215))</f>
      </c>
      <c r="F215">
        <f>IF($O215="","",INDEX(Master!$F$2:$F$1001,$O215))</f>
      </c>
      <c r="G215">
        <f>IF($O215="","",INDEX(Master!$G$2:$G$1001,$O215))</f>
      </c>
      <c r="H215">
        <f>IF($O215="","",INDEX(Master!$H$2:$H$1001,$O215))</f>
      </c>
      <c r="I215">
        <f>IF($O215="","",INDEX(Master!$I$2:$I$1001,$O215))</f>
      </c>
      <c r="J215">
        <f>IF($O215="","",INDEX(Master!$J$2:$J$1001,$O215))</f>
      </c>
      <c r="K215">
        <f t="shared" si="6"/>
      </c>
      <c r="L215">
        <f>IF($O215="","",INDEX(Master!$K$2:$K$1001,$O215))</f>
      </c>
      <c r="M215">
        <f>IF($O215="","",INDEX(Master!$L$2:$L$1001,$O215))</f>
      </c>
      <c r="O215">
        <f t="array" ref="O215">IFERROR(SMALL(IF((Master!$A$2:$A$1001="SHYAM METALLIKS")*(Master!$M$2:$M$1001="130 x 130 x 6MTR"),ROW(Master!$A$2:$A$1001)-ROW(Master!$A$2)+1),211),"")</f>
      </c>
      <c r="P215">
        <f t="shared" si="7"/>
      </c>
    </row>
    <row r="216" spans="1:16" x14ac:dyDescent="0.25">
      <c r="A216" s="235">
        <f>IF($O216="","",INDEX(Master!$D$2:$D$1001,$O216))</f>
      </c>
      <c r="B216" s="166">
        <f>IF($O216="","",INDEX(Master!$B$2:$B$1001,$O216))</f>
      </c>
      <c r="C216">
        <f>IF($O216="","",INDEX(Master!$C$2:$C$1001,$O216))</f>
      </c>
      <c r="D216">
        <f>IF($O216="","",INDEX(Master!$A$2:$A$1001,$O216))</f>
      </c>
      <c r="E216">
        <f>IF($O216="","",INDEX(Master!$E$2:$E$1001,$O216))</f>
      </c>
      <c r="F216">
        <f>IF($O216="","",INDEX(Master!$F$2:$F$1001,$O216))</f>
      </c>
      <c r="G216">
        <f>IF($O216="","",INDEX(Master!$G$2:$G$1001,$O216))</f>
      </c>
      <c r="H216">
        <f>IF($O216="","",INDEX(Master!$H$2:$H$1001,$O216))</f>
      </c>
      <c r="I216">
        <f>IF($O216="","",INDEX(Master!$I$2:$I$1001,$O216))</f>
      </c>
      <c r="J216">
        <f>IF($O216="","",INDEX(Master!$J$2:$J$1001,$O216))</f>
      </c>
      <c r="K216">
        <f t="shared" si="6"/>
      </c>
      <c r="L216">
        <f>IF($O216="","",INDEX(Master!$K$2:$K$1001,$O216))</f>
      </c>
      <c r="M216">
        <f>IF($O216="","",INDEX(Master!$L$2:$L$1001,$O216))</f>
      </c>
      <c r="O216">
        <f t="array" ref="O216">IFERROR(SMALL(IF((Master!$A$2:$A$1001="SHYAM METALLIKS")*(Master!$M$2:$M$1001="130 x 130 x 6MTR"),ROW(Master!$A$2:$A$1001)-ROW(Master!$A$2)+1),212),"")</f>
      </c>
      <c r="P216">
        <f t="shared" si="7"/>
      </c>
    </row>
    <row r="217" spans="1:16" x14ac:dyDescent="0.25">
      <c r="A217" s="235">
        <f>IF($O217="","",INDEX(Master!$D$2:$D$1001,$O217))</f>
      </c>
      <c r="B217" s="166">
        <f>IF($O217="","",INDEX(Master!$B$2:$B$1001,$O217))</f>
      </c>
      <c r="C217">
        <f>IF($O217="","",INDEX(Master!$C$2:$C$1001,$O217))</f>
      </c>
      <c r="D217">
        <f>IF($O217="","",INDEX(Master!$A$2:$A$1001,$O217))</f>
      </c>
      <c r="E217">
        <f>IF($O217="","",INDEX(Master!$E$2:$E$1001,$O217))</f>
      </c>
      <c r="F217">
        <f>IF($O217="","",INDEX(Master!$F$2:$F$1001,$O217))</f>
      </c>
      <c r="G217">
        <f>IF($O217="","",INDEX(Master!$G$2:$G$1001,$O217))</f>
      </c>
      <c r="H217">
        <f>IF($O217="","",INDEX(Master!$H$2:$H$1001,$O217))</f>
      </c>
      <c r="I217">
        <f>IF($O217="","",INDEX(Master!$I$2:$I$1001,$O217))</f>
      </c>
      <c r="J217">
        <f>IF($O217="","",INDEX(Master!$J$2:$J$1001,$O217))</f>
      </c>
      <c r="K217">
        <f t="shared" si="6"/>
      </c>
      <c r="L217">
        <f>IF($O217="","",INDEX(Master!$K$2:$K$1001,$O217))</f>
      </c>
      <c r="M217">
        <f>IF($O217="","",INDEX(Master!$L$2:$L$1001,$O217))</f>
      </c>
      <c r="O217">
        <f t="array" ref="O217">IFERROR(SMALL(IF((Master!$A$2:$A$1001="SHYAM METALLIKS")*(Master!$M$2:$M$1001="130 x 130 x 6MTR"),ROW(Master!$A$2:$A$1001)-ROW(Master!$A$2)+1),213),"")</f>
      </c>
      <c r="P217">
        <f t="shared" si="7"/>
      </c>
    </row>
    <row r="218" spans="1:16" x14ac:dyDescent="0.25">
      <c r="A218" s="235">
        <f>IF($O218="","",INDEX(Master!$D$2:$D$1001,$O218))</f>
      </c>
      <c r="B218" s="166">
        <f>IF($O218="","",INDEX(Master!$B$2:$B$1001,$O218))</f>
      </c>
      <c r="C218">
        <f>IF($O218="","",INDEX(Master!$C$2:$C$1001,$O218))</f>
      </c>
      <c r="D218">
        <f>IF($O218="","",INDEX(Master!$A$2:$A$1001,$O218))</f>
      </c>
      <c r="E218">
        <f>IF($O218="","",INDEX(Master!$E$2:$E$1001,$O218))</f>
      </c>
      <c r="F218">
        <f>IF($O218="","",INDEX(Master!$F$2:$F$1001,$O218))</f>
      </c>
      <c r="G218">
        <f>IF($O218="","",INDEX(Master!$G$2:$G$1001,$O218))</f>
      </c>
      <c r="H218">
        <f>IF($O218="","",INDEX(Master!$H$2:$H$1001,$O218))</f>
      </c>
      <c r="I218">
        <f>IF($O218="","",INDEX(Master!$I$2:$I$1001,$O218))</f>
      </c>
      <c r="J218">
        <f>IF($O218="","",INDEX(Master!$J$2:$J$1001,$O218))</f>
      </c>
      <c r="K218">
        <f t="shared" si="6"/>
      </c>
      <c r="L218">
        <f>IF($O218="","",INDEX(Master!$K$2:$K$1001,$O218))</f>
      </c>
      <c r="M218">
        <f>IF($O218="","",INDEX(Master!$L$2:$L$1001,$O218))</f>
      </c>
      <c r="O218">
        <f t="array" ref="O218">IFERROR(SMALL(IF((Master!$A$2:$A$1001="SHYAM METALLIKS")*(Master!$M$2:$M$1001="130 x 130 x 6MTR"),ROW(Master!$A$2:$A$1001)-ROW(Master!$A$2)+1),214),"")</f>
      </c>
      <c r="P218">
        <f t="shared" si="7"/>
      </c>
    </row>
    <row r="219" spans="1:16" x14ac:dyDescent="0.25">
      <c r="A219" s="235">
        <f>IF($O219="","",INDEX(Master!$D$2:$D$1001,$O219))</f>
      </c>
      <c r="B219" s="166">
        <f>IF($O219="","",INDEX(Master!$B$2:$B$1001,$O219))</f>
      </c>
      <c r="C219">
        <f>IF($O219="","",INDEX(Master!$C$2:$C$1001,$O219))</f>
      </c>
      <c r="D219">
        <f>IF($O219="","",INDEX(Master!$A$2:$A$1001,$O219))</f>
      </c>
      <c r="E219">
        <f>IF($O219="","",INDEX(Master!$E$2:$E$1001,$O219))</f>
      </c>
      <c r="F219">
        <f>IF($O219="","",INDEX(Master!$F$2:$F$1001,$O219))</f>
      </c>
      <c r="G219">
        <f>IF($O219="","",INDEX(Master!$G$2:$G$1001,$O219))</f>
      </c>
      <c r="H219">
        <f>IF($O219="","",INDEX(Master!$H$2:$H$1001,$O219))</f>
      </c>
      <c r="I219">
        <f>IF($O219="","",INDEX(Master!$I$2:$I$1001,$O219))</f>
      </c>
      <c r="J219">
        <f>IF($O219="","",INDEX(Master!$J$2:$J$1001,$O219))</f>
      </c>
      <c r="K219">
        <f t="shared" si="6"/>
      </c>
      <c r="L219">
        <f>IF($O219="","",INDEX(Master!$K$2:$K$1001,$O219))</f>
      </c>
      <c r="M219">
        <f>IF($O219="","",INDEX(Master!$L$2:$L$1001,$O219))</f>
      </c>
      <c r="O219">
        <f t="array" ref="O219">IFERROR(SMALL(IF((Master!$A$2:$A$1001="SHYAM METALLIKS")*(Master!$M$2:$M$1001="130 x 130 x 6MTR"),ROW(Master!$A$2:$A$1001)-ROW(Master!$A$2)+1),215),"")</f>
      </c>
      <c r="P219">
        <f t="shared" si="7"/>
      </c>
    </row>
    <row r="220" spans="1:16" x14ac:dyDescent="0.25">
      <c r="A220" s="235">
        <f>IF($O220="","",INDEX(Master!$D$2:$D$1001,$O220))</f>
      </c>
      <c r="B220" s="166">
        <f>IF($O220="","",INDEX(Master!$B$2:$B$1001,$O220))</f>
      </c>
      <c r="C220">
        <f>IF($O220="","",INDEX(Master!$C$2:$C$1001,$O220))</f>
      </c>
      <c r="D220">
        <f>IF($O220="","",INDEX(Master!$A$2:$A$1001,$O220))</f>
      </c>
      <c r="E220">
        <f>IF($O220="","",INDEX(Master!$E$2:$E$1001,$O220))</f>
      </c>
      <c r="F220">
        <f>IF($O220="","",INDEX(Master!$F$2:$F$1001,$O220))</f>
      </c>
      <c r="G220">
        <f>IF($O220="","",INDEX(Master!$G$2:$G$1001,$O220))</f>
      </c>
      <c r="H220">
        <f>IF($O220="","",INDEX(Master!$H$2:$H$1001,$O220))</f>
      </c>
      <c r="I220">
        <f>IF($O220="","",INDEX(Master!$I$2:$I$1001,$O220))</f>
      </c>
      <c r="J220">
        <f>IF($O220="","",INDEX(Master!$J$2:$J$1001,$O220))</f>
      </c>
      <c r="K220">
        <f t="shared" si="6"/>
      </c>
      <c r="L220">
        <f>IF($O220="","",INDEX(Master!$K$2:$K$1001,$O220))</f>
      </c>
      <c r="M220">
        <f>IF($O220="","",INDEX(Master!$L$2:$L$1001,$O220))</f>
      </c>
      <c r="O220">
        <f t="array" ref="O220">IFERROR(SMALL(IF((Master!$A$2:$A$1001="SHYAM METALLIKS")*(Master!$M$2:$M$1001="130 x 130 x 6MTR"),ROW(Master!$A$2:$A$1001)-ROW(Master!$A$2)+1),216),"")</f>
      </c>
      <c r="P220">
        <f t="shared" si="7"/>
      </c>
    </row>
    <row r="221" spans="1:16" x14ac:dyDescent="0.25">
      <c r="A221" s="235">
        <f>IF($O221="","",INDEX(Master!$D$2:$D$1001,$O221))</f>
      </c>
      <c r="B221" s="166">
        <f>IF($O221="","",INDEX(Master!$B$2:$B$1001,$O221))</f>
      </c>
      <c r="C221">
        <f>IF($O221="","",INDEX(Master!$C$2:$C$1001,$O221))</f>
      </c>
      <c r="D221">
        <f>IF($O221="","",INDEX(Master!$A$2:$A$1001,$O221))</f>
      </c>
      <c r="E221">
        <f>IF($O221="","",INDEX(Master!$E$2:$E$1001,$O221))</f>
      </c>
      <c r="F221">
        <f>IF($O221="","",INDEX(Master!$F$2:$F$1001,$O221))</f>
      </c>
      <c r="G221">
        <f>IF($O221="","",INDEX(Master!$G$2:$G$1001,$O221))</f>
      </c>
      <c r="H221">
        <f>IF($O221="","",INDEX(Master!$H$2:$H$1001,$O221))</f>
      </c>
      <c r="I221">
        <f>IF($O221="","",INDEX(Master!$I$2:$I$1001,$O221))</f>
      </c>
      <c r="J221">
        <f>IF($O221="","",INDEX(Master!$J$2:$J$1001,$O221))</f>
      </c>
      <c r="K221">
        <f t="shared" si="6"/>
      </c>
      <c r="L221">
        <f>IF($O221="","",INDEX(Master!$K$2:$K$1001,$O221))</f>
      </c>
      <c r="M221">
        <f>IF($O221="","",INDEX(Master!$L$2:$L$1001,$O221))</f>
      </c>
      <c r="O221">
        <f t="array" ref="O221">IFERROR(SMALL(IF((Master!$A$2:$A$1001="SHYAM METALLIKS")*(Master!$M$2:$M$1001="130 x 130 x 6MTR"),ROW(Master!$A$2:$A$1001)-ROW(Master!$A$2)+1),217),"")</f>
      </c>
      <c r="P221">
        <f t="shared" si="7"/>
      </c>
    </row>
    <row r="222" spans="1:16" x14ac:dyDescent="0.25">
      <c r="A222" s="235">
        <f>IF($O222="","",INDEX(Master!$D$2:$D$1001,$O222))</f>
      </c>
      <c r="B222" s="166">
        <f>IF($O222="","",INDEX(Master!$B$2:$B$1001,$O222))</f>
      </c>
      <c r="C222">
        <f>IF($O222="","",INDEX(Master!$C$2:$C$1001,$O222))</f>
      </c>
      <c r="D222">
        <f>IF($O222="","",INDEX(Master!$A$2:$A$1001,$O222))</f>
      </c>
      <c r="E222">
        <f>IF($O222="","",INDEX(Master!$E$2:$E$1001,$O222))</f>
      </c>
      <c r="F222">
        <f>IF($O222="","",INDEX(Master!$F$2:$F$1001,$O222))</f>
      </c>
      <c r="G222">
        <f>IF($O222="","",INDEX(Master!$G$2:$G$1001,$O222))</f>
      </c>
      <c r="H222">
        <f>IF($O222="","",INDEX(Master!$H$2:$H$1001,$O222))</f>
      </c>
      <c r="I222">
        <f>IF($O222="","",INDEX(Master!$I$2:$I$1001,$O222))</f>
      </c>
      <c r="J222">
        <f>IF($O222="","",INDEX(Master!$J$2:$J$1001,$O222))</f>
      </c>
      <c r="K222">
        <f t="shared" si="6"/>
      </c>
      <c r="L222">
        <f>IF($O222="","",INDEX(Master!$K$2:$K$1001,$O222))</f>
      </c>
      <c r="M222">
        <f>IF($O222="","",INDEX(Master!$L$2:$L$1001,$O222))</f>
      </c>
      <c r="O222">
        <f t="array" ref="O222">IFERROR(SMALL(IF((Master!$A$2:$A$1001="SHYAM METALLIKS")*(Master!$M$2:$M$1001="130 x 130 x 6MTR"),ROW(Master!$A$2:$A$1001)-ROW(Master!$A$2)+1),218),"")</f>
      </c>
      <c r="P222">
        <f t="shared" si="7"/>
      </c>
    </row>
    <row r="223" spans="1:16" x14ac:dyDescent="0.25">
      <c r="A223" s="235">
        <f>IF($O223="","",INDEX(Master!$D$2:$D$1001,$O223))</f>
      </c>
      <c r="B223" s="166">
        <f>IF($O223="","",INDEX(Master!$B$2:$B$1001,$O223))</f>
      </c>
      <c r="C223">
        <f>IF($O223="","",INDEX(Master!$C$2:$C$1001,$O223))</f>
      </c>
      <c r="D223">
        <f>IF($O223="","",INDEX(Master!$A$2:$A$1001,$O223))</f>
      </c>
      <c r="E223">
        <f>IF($O223="","",INDEX(Master!$E$2:$E$1001,$O223))</f>
      </c>
      <c r="F223">
        <f>IF($O223="","",INDEX(Master!$F$2:$F$1001,$O223))</f>
      </c>
      <c r="G223">
        <f>IF($O223="","",INDEX(Master!$G$2:$G$1001,$O223))</f>
      </c>
      <c r="H223">
        <f>IF($O223="","",INDEX(Master!$H$2:$H$1001,$O223))</f>
      </c>
      <c r="I223">
        <f>IF($O223="","",INDEX(Master!$I$2:$I$1001,$O223))</f>
      </c>
      <c r="J223">
        <f>IF($O223="","",INDEX(Master!$J$2:$J$1001,$O223))</f>
      </c>
      <c r="K223">
        <f t="shared" si="6"/>
      </c>
      <c r="L223">
        <f>IF($O223="","",INDEX(Master!$K$2:$K$1001,$O223))</f>
      </c>
      <c r="M223">
        <f>IF($O223="","",INDEX(Master!$L$2:$L$1001,$O223))</f>
      </c>
      <c r="O223">
        <f t="array" ref="O223">IFERROR(SMALL(IF((Master!$A$2:$A$1001="SHYAM METALLIKS")*(Master!$M$2:$M$1001="130 x 130 x 6MTR"),ROW(Master!$A$2:$A$1001)-ROW(Master!$A$2)+1),219),"")</f>
      </c>
      <c r="P223">
        <f t="shared" si="7"/>
      </c>
    </row>
    <row r="224" spans="1:16" x14ac:dyDescent="0.25">
      <c r="A224" s="235">
        <f>IF($O224="","",INDEX(Master!$D$2:$D$1001,$O224))</f>
      </c>
      <c r="B224" s="166">
        <f>IF($O224="","",INDEX(Master!$B$2:$B$1001,$O224))</f>
      </c>
      <c r="C224">
        <f>IF($O224="","",INDEX(Master!$C$2:$C$1001,$O224))</f>
      </c>
      <c r="D224">
        <f>IF($O224="","",INDEX(Master!$A$2:$A$1001,$O224))</f>
      </c>
      <c r="E224">
        <f>IF($O224="","",INDEX(Master!$E$2:$E$1001,$O224))</f>
      </c>
      <c r="F224">
        <f>IF($O224="","",INDEX(Master!$F$2:$F$1001,$O224))</f>
      </c>
      <c r="G224">
        <f>IF($O224="","",INDEX(Master!$G$2:$G$1001,$O224))</f>
      </c>
      <c r="H224">
        <f>IF($O224="","",INDEX(Master!$H$2:$H$1001,$O224))</f>
      </c>
      <c r="I224">
        <f>IF($O224="","",INDEX(Master!$I$2:$I$1001,$O224))</f>
      </c>
      <c r="J224">
        <f>IF($O224="","",INDEX(Master!$J$2:$J$1001,$O224))</f>
      </c>
      <c r="K224">
        <f t="shared" si="6"/>
      </c>
      <c r="L224">
        <f>IF($O224="","",INDEX(Master!$K$2:$K$1001,$O224))</f>
      </c>
      <c r="M224">
        <f>IF($O224="","",INDEX(Master!$L$2:$L$1001,$O224))</f>
      </c>
      <c r="O224">
        <f t="array" ref="O224">IFERROR(SMALL(IF((Master!$A$2:$A$1001="SHYAM METALLIKS")*(Master!$M$2:$M$1001="130 x 130 x 6MTR"),ROW(Master!$A$2:$A$1001)-ROW(Master!$A$2)+1),220),"")</f>
      </c>
      <c r="P224">
        <f t="shared" si="7"/>
      </c>
    </row>
    <row r="225" spans="1:16" x14ac:dyDescent="0.25">
      <c r="A225" s="235">
        <f>IF($O225="","",INDEX(Master!$D$2:$D$1001,$O225))</f>
      </c>
      <c r="B225" s="166">
        <f>IF($O225="","",INDEX(Master!$B$2:$B$1001,$O225))</f>
      </c>
      <c r="C225">
        <f>IF($O225="","",INDEX(Master!$C$2:$C$1001,$O225))</f>
      </c>
      <c r="D225">
        <f>IF($O225="","",INDEX(Master!$A$2:$A$1001,$O225))</f>
      </c>
      <c r="E225">
        <f>IF($O225="","",INDEX(Master!$E$2:$E$1001,$O225))</f>
      </c>
      <c r="F225">
        <f>IF($O225="","",INDEX(Master!$F$2:$F$1001,$O225))</f>
      </c>
      <c r="G225">
        <f>IF($O225="","",INDEX(Master!$G$2:$G$1001,$O225))</f>
      </c>
      <c r="H225">
        <f>IF($O225="","",INDEX(Master!$H$2:$H$1001,$O225))</f>
      </c>
      <c r="I225">
        <f>IF($O225="","",INDEX(Master!$I$2:$I$1001,$O225))</f>
      </c>
      <c r="J225">
        <f>IF($O225="","",INDEX(Master!$J$2:$J$1001,$O225))</f>
      </c>
      <c r="K225">
        <f t="shared" si="6"/>
      </c>
      <c r="L225">
        <f>IF($O225="","",INDEX(Master!$K$2:$K$1001,$O225))</f>
      </c>
      <c r="M225">
        <f>IF($O225="","",INDEX(Master!$L$2:$L$1001,$O225))</f>
      </c>
      <c r="O225">
        <f t="array" ref="O225">IFERROR(SMALL(IF((Master!$A$2:$A$1001="SHYAM METALLIKS")*(Master!$M$2:$M$1001="130 x 130 x 6MTR"),ROW(Master!$A$2:$A$1001)-ROW(Master!$A$2)+1),221),"")</f>
      </c>
      <c r="P225">
        <f t="shared" si="7"/>
      </c>
    </row>
    <row r="226" spans="1:16" x14ac:dyDescent="0.25">
      <c r="A226" s="235">
        <f>IF($O226="","",INDEX(Master!$D$2:$D$1001,$O226))</f>
      </c>
      <c r="B226" s="166">
        <f>IF($O226="","",INDEX(Master!$B$2:$B$1001,$O226))</f>
      </c>
      <c r="C226">
        <f>IF($O226="","",INDEX(Master!$C$2:$C$1001,$O226))</f>
      </c>
      <c r="D226">
        <f>IF($O226="","",INDEX(Master!$A$2:$A$1001,$O226))</f>
      </c>
      <c r="E226">
        <f>IF($O226="","",INDEX(Master!$E$2:$E$1001,$O226))</f>
      </c>
      <c r="F226">
        <f>IF($O226="","",INDEX(Master!$F$2:$F$1001,$O226))</f>
      </c>
      <c r="G226">
        <f>IF($O226="","",INDEX(Master!$G$2:$G$1001,$O226))</f>
      </c>
      <c r="H226">
        <f>IF($O226="","",INDEX(Master!$H$2:$H$1001,$O226))</f>
      </c>
      <c r="I226">
        <f>IF($O226="","",INDEX(Master!$I$2:$I$1001,$O226))</f>
      </c>
      <c r="J226">
        <f>IF($O226="","",INDEX(Master!$J$2:$J$1001,$O226))</f>
      </c>
      <c r="K226">
        <f t="shared" si="6"/>
      </c>
      <c r="L226">
        <f>IF($O226="","",INDEX(Master!$K$2:$K$1001,$O226))</f>
      </c>
      <c r="M226">
        <f>IF($O226="","",INDEX(Master!$L$2:$L$1001,$O226))</f>
      </c>
      <c r="O226">
        <f t="array" ref="O226">IFERROR(SMALL(IF((Master!$A$2:$A$1001="SHYAM METALLIKS")*(Master!$M$2:$M$1001="130 x 130 x 6MTR"),ROW(Master!$A$2:$A$1001)-ROW(Master!$A$2)+1),222),"")</f>
      </c>
      <c r="P226">
        <f t="shared" si="7"/>
      </c>
    </row>
    <row r="227" spans="1:16" x14ac:dyDescent="0.25">
      <c r="A227" s="235">
        <f>IF($O227="","",INDEX(Master!$D$2:$D$1001,$O227))</f>
      </c>
      <c r="B227" s="166">
        <f>IF($O227="","",INDEX(Master!$B$2:$B$1001,$O227))</f>
      </c>
      <c r="C227">
        <f>IF($O227="","",INDEX(Master!$C$2:$C$1001,$O227))</f>
      </c>
      <c r="D227">
        <f>IF($O227="","",INDEX(Master!$A$2:$A$1001,$O227))</f>
      </c>
      <c r="E227">
        <f>IF($O227="","",INDEX(Master!$E$2:$E$1001,$O227))</f>
      </c>
      <c r="F227">
        <f>IF($O227="","",INDEX(Master!$F$2:$F$1001,$O227))</f>
      </c>
      <c r="G227">
        <f>IF($O227="","",INDEX(Master!$G$2:$G$1001,$O227))</f>
      </c>
      <c r="H227">
        <f>IF($O227="","",INDEX(Master!$H$2:$H$1001,$O227))</f>
      </c>
      <c r="I227">
        <f>IF($O227="","",INDEX(Master!$I$2:$I$1001,$O227))</f>
      </c>
      <c r="J227">
        <f>IF($O227="","",INDEX(Master!$J$2:$J$1001,$O227))</f>
      </c>
      <c r="K227">
        <f t="shared" si="6"/>
      </c>
      <c r="L227">
        <f>IF($O227="","",INDEX(Master!$K$2:$K$1001,$O227))</f>
      </c>
      <c r="M227">
        <f>IF($O227="","",INDEX(Master!$L$2:$L$1001,$O227))</f>
      </c>
      <c r="O227">
        <f t="array" ref="O227">IFERROR(SMALL(IF((Master!$A$2:$A$1001="SHYAM METALLIKS")*(Master!$M$2:$M$1001="130 x 130 x 6MTR"),ROW(Master!$A$2:$A$1001)-ROW(Master!$A$2)+1),223),"")</f>
      </c>
      <c r="P227">
        <f t="shared" si="7"/>
      </c>
    </row>
    <row r="228" spans="1:16" x14ac:dyDescent="0.25">
      <c r="A228" s="235">
        <f>IF($O228="","",INDEX(Master!$D$2:$D$1001,$O228))</f>
      </c>
      <c r="B228" s="166">
        <f>IF($O228="","",INDEX(Master!$B$2:$B$1001,$O228))</f>
      </c>
      <c r="C228">
        <f>IF($O228="","",INDEX(Master!$C$2:$C$1001,$O228))</f>
      </c>
      <c r="D228">
        <f>IF($O228="","",INDEX(Master!$A$2:$A$1001,$O228))</f>
      </c>
      <c r="E228">
        <f>IF($O228="","",INDEX(Master!$E$2:$E$1001,$O228))</f>
      </c>
      <c r="F228">
        <f>IF($O228="","",INDEX(Master!$F$2:$F$1001,$O228))</f>
      </c>
      <c r="G228">
        <f>IF($O228="","",INDEX(Master!$G$2:$G$1001,$O228))</f>
      </c>
      <c r="H228">
        <f>IF($O228="","",INDEX(Master!$H$2:$H$1001,$O228))</f>
      </c>
      <c r="I228">
        <f>IF($O228="","",INDEX(Master!$I$2:$I$1001,$O228))</f>
      </c>
      <c r="J228">
        <f>IF($O228="","",INDEX(Master!$J$2:$J$1001,$O228))</f>
      </c>
      <c r="K228">
        <f t="shared" si="6"/>
      </c>
      <c r="L228">
        <f>IF($O228="","",INDEX(Master!$K$2:$K$1001,$O228))</f>
      </c>
      <c r="M228">
        <f>IF($O228="","",INDEX(Master!$L$2:$L$1001,$O228))</f>
      </c>
      <c r="O228">
        <f t="array" ref="O228">IFERROR(SMALL(IF((Master!$A$2:$A$1001="SHYAM METALLIKS")*(Master!$M$2:$M$1001="130 x 130 x 6MTR"),ROW(Master!$A$2:$A$1001)-ROW(Master!$A$2)+1),224),"")</f>
      </c>
      <c r="P228">
        <f t="shared" si="7"/>
      </c>
    </row>
    <row r="229" spans="1:16" x14ac:dyDescent="0.25">
      <c r="A229" s="235">
        <f>IF($O229="","",INDEX(Master!$D$2:$D$1001,$O229))</f>
      </c>
      <c r="B229" s="166">
        <f>IF($O229="","",INDEX(Master!$B$2:$B$1001,$O229))</f>
      </c>
      <c r="C229">
        <f>IF($O229="","",INDEX(Master!$C$2:$C$1001,$O229))</f>
      </c>
      <c r="D229">
        <f>IF($O229="","",INDEX(Master!$A$2:$A$1001,$O229))</f>
      </c>
      <c r="E229">
        <f>IF($O229="","",INDEX(Master!$E$2:$E$1001,$O229))</f>
      </c>
      <c r="F229">
        <f>IF($O229="","",INDEX(Master!$F$2:$F$1001,$O229))</f>
      </c>
      <c r="G229">
        <f>IF($O229="","",INDEX(Master!$G$2:$G$1001,$O229))</f>
      </c>
      <c r="H229">
        <f>IF($O229="","",INDEX(Master!$H$2:$H$1001,$O229))</f>
      </c>
      <c r="I229">
        <f>IF($O229="","",INDEX(Master!$I$2:$I$1001,$O229))</f>
      </c>
      <c r="J229">
        <f>IF($O229="","",INDEX(Master!$J$2:$J$1001,$O229))</f>
      </c>
      <c r="K229">
        <f t="shared" si="6"/>
      </c>
      <c r="L229">
        <f>IF($O229="","",INDEX(Master!$K$2:$K$1001,$O229))</f>
      </c>
      <c r="M229">
        <f>IF($O229="","",INDEX(Master!$L$2:$L$1001,$O229))</f>
      </c>
      <c r="O229">
        <f t="array" ref="O229">IFERROR(SMALL(IF((Master!$A$2:$A$1001="SHYAM METALLIKS")*(Master!$M$2:$M$1001="130 x 130 x 6MTR"),ROW(Master!$A$2:$A$1001)-ROW(Master!$A$2)+1),225),"")</f>
      </c>
      <c r="P229">
        <f t="shared" si="7"/>
      </c>
    </row>
    <row r="230" spans="1:16" x14ac:dyDescent="0.25">
      <c r="A230" s="235">
        <f>IF($O230="","",INDEX(Master!$D$2:$D$1001,$O230))</f>
      </c>
      <c r="B230" s="166">
        <f>IF($O230="","",INDEX(Master!$B$2:$B$1001,$O230))</f>
      </c>
      <c r="C230">
        <f>IF($O230="","",INDEX(Master!$C$2:$C$1001,$O230))</f>
      </c>
      <c r="D230">
        <f>IF($O230="","",INDEX(Master!$A$2:$A$1001,$O230))</f>
      </c>
      <c r="E230">
        <f>IF($O230="","",INDEX(Master!$E$2:$E$1001,$O230))</f>
      </c>
      <c r="F230">
        <f>IF($O230="","",INDEX(Master!$F$2:$F$1001,$O230))</f>
      </c>
      <c r="G230">
        <f>IF($O230="","",INDEX(Master!$G$2:$G$1001,$O230))</f>
      </c>
      <c r="H230">
        <f>IF($O230="","",INDEX(Master!$H$2:$H$1001,$O230))</f>
      </c>
      <c r="I230">
        <f>IF($O230="","",INDEX(Master!$I$2:$I$1001,$O230))</f>
      </c>
      <c r="J230">
        <f>IF($O230="","",INDEX(Master!$J$2:$J$1001,$O230))</f>
      </c>
      <c r="K230">
        <f t="shared" si="6"/>
      </c>
      <c r="L230">
        <f>IF($O230="","",INDEX(Master!$K$2:$K$1001,$O230))</f>
      </c>
      <c r="M230">
        <f>IF($O230="","",INDEX(Master!$L$2:$L$1001,$O230))</f>
      </c>
      <c r="O230">
        <f t="array" ref="O230">IFERROR(SMALL(IF((Master!$A$2:$A$1001="SHYAM METALLIKS")*(Master!$M$2:$M$1001="130 x 130 x 6MTR"),ROW(Master!$A$2:$A$1001)-ROW(Master!$A$2)+1),226),"")</f>
      </c>
      <c r="P230">
        <f t="shared" si="7"/>
      </c>
    </row>
    <row r="231" spans="1:16" x14ac:dyDescent="0.25">
      <c r="A231" s="235">
        <f>IF($O231="","",INDEX(Master!$D$2:$D$1001,$O231))</f>
      </c>
      <c r="B231" s="166">
        <f>IF($O231="","",INDEX(Master!$B$2:$B$1001,$O231))</f>
      </c>
      <c r="C231">
        <f>IF($O231="","",INDEX(Master!$C$2:$C$1001,$O231))</f>
      </c>
      <c r="D231">
        <f>IF($O231="","",INDEX(Master!$A$2:$A$1001,$O231))</f>
      </c>
      <c r="E231">
        <f>IF($O231="","",INDEX(Master!$E$2:$E$1001,$O231))</f>
      </c>
      <c r="F231">
        <f>IF($O231="","",INDEX(Master!$F$2:$F$1001,$O231))</f>
      </c>
      <c r="G231">
        <f>IF($O231="","",INDEX(Master!$G$2:$G$1001,$O231))</f>
      </c>
      <c r="H231">
        <f>IF($O231="","",INDEX(Master!$H$2:$H$1001,$O231))</f>
      </c>
      <c r="I231">
        <f>IF($O231="","",INDEX(Master!$I$2:$I$1001,$O231))</f>
      </c>
      <c r="J231">
        <f>IF($O231="","",INDEX(Master!$J$2:$J$1001,$O231))</f>
      </c>
      <c r="K231">
        <f t="shared" si="6"/>
      </c>
      <c r="L231">
        <f>IF($O231="","",INDEX(Master!$K$2:$K$1001,$O231))</f>
      </c>
      <c r="M231">
        <f>IF($O231="","",INDEX(Master!$L$2:$L$1001,$O231))</f>
      </c>
      <c r="O231">
        <f t="array" ref="O231">IFERROR(SMALL(IF((Master!$A$2:$A$1001="SHYAM METALLIKS")*(Master!$M$2:$M$1001="130 x 130 x 6MTR"),ROW(Master!$A$2:$A$1001)-ROW(Master!$A$2)+1),227),"")</f>
      </c>
      <c r="P231">
        <f t="shared" si="7"/>
      </c>
    </row>
    <row r="232" spans="1:16" x14ac:dyDescent="0.25">
      <c r="A232" s="235">
        <f>IF($O232="","",INDEX(Master!$D$2:$D$1001,$O232))</f>
      </c>
      <c r="B232" s="166">
        <f>IF($O232="","",INDEX(Master!$B$2:$B$1001,$O232))</f>
      </c>
      <c r="C232">
        <f>IF($O232="","",INDEX(Master!$C$2:$C$1001,$O232))</f>
      </c>
      <c r="D232">
        <f>IF($O232="","",INDEX(Master!$A$2:$A$1001,$O232))</f>
      </c>
      <c r="E232">
        <f>IF($O232="","",INDEX(Master!$E$2:$E$1001,$O232))</f>
      </c>
      <c r="F232">
        <f>IF($O232="","",INDEX(Master!$F$2:$F$1001,$O232))</f>
      </c>
      <c r="G232">
        <f>IF($O232="","",INDEX(Master!$G$2:$G$1001,$O232))</f>
      </c>
      <c r="H232">
        <f>IF($O232="","",INDEX(Master!$H$2:$H$1001,$O232))</f>
      </c>
      <c r="I232">
        <f>IF($O232="","",INDEX(Master!$I$2:$I$1001,$O232))</f>
      </c>
      <c r="J232">
        <f>IF($O232="","",INDEX(Master!$J$2:$J$1001,$O232))</f>
      </c>
      <c r="K232">
        <f t="shared" si="6"/>
      </c>
      <c r="L232">
        <f>IF($O232="","",INDEX(Master!$K$2:$K$1001,$O232))</f>
      </c>
      <c r="M232">
        <f>IF($O232="","",INDEX(Master!$L$2:$L$1001,$O232))</f>
      </c>
      <c r="O232">
        <f t="array" ref="O232">IFERROR(SMALL(IF((Master!$A$2:$A$1001="SHYAM METALLIKS")*(Master!$M$2:$M$1001="130 x 130 x 6MTR"),ROW(Master!$A$2:$A$1001)-ROW(Master!$A$2)+1),228),"")</f>
      </c>
      <c r="P232">
        <f t="shared" si="7"/>
      </c>
    </row>
    <row r="233" spans="1:16" x14ac:dyDescent="0.25">
      <c r="A233" s="235">
        <f>IF($O233="","",INDEX(Master!$D$2:$D$1001,$O233))</f>
      </c>
      <c r="B233" s="166">
        <f>IF($O233="","",INDEX(Master!$B$2:$B$1001,$O233))</f>
      </c>
      <c r="C233">
        <f>IF($O233="","",INDEX(Master!$C$2:$C$1001,$O233))</f>
      </c>
      <c r="D233">
        <f>IF($O233="","",INDEX(Master!$A$2:$A$1001,$O233))</f>
      </c>
      <c r="E233">
        <f>IF($O233="","",INDEX(Master!$E$2:$E$1001,$O233))</f>
      </c>
      <c r="F233">
        <f>IF($O233="","",INDEX(Master!$F$2:$F$1001,$O233))</f>
      </c>
      <c r="G233">
        <f>IF($O233="","",INDEX(Master!$G$2:$G$1001,$O233))</f>
      </c>
      <c r="H233">
        <f>IF($O233="","",INDEX(Master!$H$2:$H$1001,$O233))</f>
      </c>
      <c r="I233">
        <f>IF($O233="","",INDEX(Master!$I$2:$I$1001,$O233))</f>
      </c>
      <c r="J233">
        <f>IF($O233="","",INDEX(Master!$J$2:$J$1001,$O233))</f>
      </c>
      <c r="K233">
        <f t="shared" si="6"/>
      </c>
      <c r="L233">
        <f>IF($O233="","",INDEX(Master!$K$2:$K$1001,$O233))</f>
      </c>
      <c r="M233">
        <f>IF($O233="","",INDEX(Master!$L$2:$L$1001,$O233))</f>
      </c>
      <c r="O233">
        <f t="array" ref="O233">IFERROR(SMALL(IF((Master!$A$2:$A$1001="SHYAM METALLIKS")*(Master!$M$2:$M$1001="130 x 130 x 6MTR"),ROW(Master!$A$2:$A$1001)-ROW(Master!$A$2)+1),229),"")</f>
      </c>
      <c r="P233">
        <f t="shared" si="7"/>
      </c>
    </row>
    <row r="234" spans="1:16" x14ac:dyDescent="0.25">
      <c r="A234" s="235">
        <f>IF($O234="","",INDEX(Master!$D$2:$D$1001,$O234))</f>
      </c>
      <c r="B234" s="166">
        <f>IF($O234="","",INDEX(Master!$B$2:$B$1001,$O234))</f>
      </c>
      <c r="C234">
        <f>IF($O234="","",INDEX(Master!$C$2:$C$1001,$O234))</f>
      </c>
      <c r="D234">
        <f>IF($O234="","",INDEX(Master!$A$2:$A$1001,$O234))</f>
      </c>
      <c r="E234">
        <f>IF($O234="","",INDEX(Master!$E$2:$E$1001,$O234))</f>
      </c>
      <c r="F234">
        <f>IF($O234="","",INDEX(Master!$F$2:$F$1001,$O234))</f>
      </c>
      <c r="G234">
        <f>IF($O234="","",INDEX(Master!$G$2:$G$1001,$O234))</f>
      </c>
      <c r="H234">
        <f>IF($O234="","",INDEX(Master!$H$2:$H$1001,$O234))</f>
      </c>
      <c r="I234">
        <f>IF($O234="","",INDEX(Master!$I$2:$I$1001,$O234))</f>
      </c>
      <c r="J234">
        <f>IF($O234="","",INDEX(Master!$J$2:$J$1001,$O234))</f>
      </c>
      <c r="K234">
        <f t="shared" si="6"/>
      </c>
      <c r="L234">
        <f>IF($O234="","",INDEX(Master!$K$2:$K$1001,$O234))</f>
      </c>
      <c r="M234">
        <f>IF($O234="","",INDEX(Master!$L$2:$L$1001,$O234))</f>
      </c>
      <c r="O234">
        <f t="array" ref="O234">IFERROR(SMALL(IF((Master!$A$2:$A$1001="SHYAM METALLIKS")*(Master!$M$2:$M$1001="130 x 130 x 6MTR"),ROW(Master!$A$2:$A$1001)-ROW(Master!$A$2)+1),230),"")</f>
      </c>
      <c r="P234">
        <f t="shared" si="7"/>
      </c>
    </row>
    <row r="235" spans="1:16" x14ac:dyDescent="0.25">
      <c r="A235" s="235">
        <f>IF($O235="","",INDEX(Master!$D$2:$D$1001,$O235))</f>
      </c>
      <c r="B235" s="166">
        <f>IF($O235="","",INDEX(Master!$B$2:$B$1001,$O235))</f>
      </c>
      <c r="C235">
        <f>IF($O235="","",INDEX(Master!$C$2:$C$1001,$O235))</f>
      </c>
      <c r="D235">
        <f>IF($O235="","",INDEX(Master!$A$2:$A$1001,$O235))</f>
      </c>
      <c r="E235">
        <f>IF($O235="","",INDEX(Master!$E$2:$E$1001,$O235))</f>
      </c>
      <c r="F235">
        <f>IF($O235="","",INDEX(Master!$F$2:$F$1001,$O235))</f>
      </c>
      <c r="G235">
        <f>IF($O235="","",INDEX(Master!$G$2:$G$1001,$O235))</f>
      </c>
      <c r="H235">
        <f>IF($O235="","",INDEX(Master!$H$2:$H$1001,$O235))</f>
      </c>
      <c r="I235">
        <f>IF($O235="","",INDEX(Master!$I$2:$I$1001,$O235))</f>
      </c>
      <c r="J235">
        <f>IF($O235="","",INDEX(Master!$J$2:$J$1001,$O235))</f>
      </c>
      <c r="K235">
        <f t="shared" si="6"/>
      </c>
      <c r="L235">
        <f>IF($O235="","",INDEX(Master!$K$2:$K$1001,$O235))</f>
      </c>
      <c r="M235">
        <f>IF($O235="","",INDEX(Master!$L$2:$L$1001,$O235))</f>
      </c>
      <c r="O235">
        <f t="array" ref="O235">IFERROR(SMALL(IF((Master!$A$2:$A$1001="SHYAM METALLIKS")*(Master!$M$2:$M$1001="130 x 130 x 6MTR"),ROW(Master!$A$2:$A$1001)-ROW(Master!$A$2)+1),231),"")</f>
      </c>
      <c r="P235">
        <f t="shared" si="7"/>
      </c>
    </row>
    <row r="236" spans="1:16" x14ac:dyDescent="0.25">
      <c r="A236" s="235">
        <f>IF($O236="","",INDEX(Master!$D$2:$D$1001,$O236))</f>
      </c>
      <c r="B236" s="166">
        <f>IF($O236="","",INDEX(Master!$B$2:$B$1001,$O236))</f>
      </c>
      <c r="C236">
        <f>IF($O236="","",INDEX(Master!$C$2:$C$1001,$O236))</f>
      </c>
      <c r="D236">
        <f>IF($O236="","",INDEX(Master!$A$2:$A$1001,$O236))</f>
      </c>
      <c r="E236">
        <f>IF($O236="","",INDEX(Master!$E$2:$E$1001,$O236))</f>
      </c>
      <c r="F236">
        <f>IF($O236="","",INDEX(Master!$F$2:$F$1001,$O236))</f>
      </c>
      <c r="G236">
        <f>IF($O236="","",INDEX(Master!$G$2:$G$1001,$O236))</f>
      </c>
      <c r="H236">
        <f>IF($O236="","",INDEX(Master!$H$2:$H$1001,$O236))</f>
      </c>
      <c r="I236">
        <f>IF($O236="","",INDEX(Master!$I$2:$I$1001,$O236))</f>
      </c>
      <c r="J236">
        <f>IF($O236="","",INDEX(Master!$J$2:$J$1001,$O236))</f>
      </c>
      <c r="K236">
        <f t="shared" si="6"/>
      </c>
      <c r="L236">
        <f>IF($O236="","",INDEX(Master!$K$2:$K$1001,$O236))</f>
      </c>
      <c r="M236">
        <f>IF($O236="","",INDEX(Master!$L$2:$L$1001,$O236))</f>
      </c>
      <c r="O236">
        <f t="array" ref="O236">IFERROR(SMALL(IF((Master!$A$2:$A$1001="SHYAM METALLIKS")*(Master!$M$2:$M$1001="130 x 130 x 6MTR"),ROW(Master!$A$2:$A$1001)-ROW(Master!$A$2)+1),232),"")</f>
      </c>
      <c r="P236">
        <f t="shared" si="7"/>
      </c>
    </row>
    <row r="237" spans="1:16" x14ac:dyDescent="0.25">
      <c r="A237" s="235">
        <f>IF($O237="","",INDEX(Master!$D$2:$D$1001,$O237))</f>
      </c>
      <c r="B237" s="166">
        <f>IF($O237="","",INDEX(Master!$B$2:$B$1001,$O237))</f>
      </c>
      <c r="C237">
        <f>IF($O237="","",INDEX(Master!$C$2:$C$1001,$O237))</f>
      </c>
      <c r="D237">
        <f>IF($O237="","",INDEX(Master!$A$2:$A$1001,$O237))</f>
      </c>
      <c r="E237">
        <f>IF($O237="","",INDEX(Master!$E$2:$E$1001,$O237))</f>
      </c>
      <c r="F237">
        <f>IF($O237="","",INDEX(Master!$F$2:$F$1001,$O237))</f>
      </c>
      <c r="G237">
        <f>IF($O237="","",INDEX(Master!$G$2:$G$1001,$O237))</f>
      </c>
      <c r="H237">
        <f>IF($O237="","",INDEX(Master!$H$2:$H$1001,$O237))</f>
      </c>
      <c r="I237">
        <f>IF($O237="","",INDEX(Master!$I$2:$I$1001,$O237))</f>
      </c>
      <c r="J237">
        <f>IF($O237="","",INDEX(Master!$J$2:$J$1001,$O237))</f>
      </c>
      <c r="K237">
        <f t="shared" si="6"/>
      </c>
      <c r="L237">
        <f>IF($O237="","",INDEX(Master!$K$2:$K$1001,$O237))</f>
      </c>
      <c r="M237">
        <f>IF($O237="","",INDEX(Master!$L$2:$L$1001,$O237))</f>
      </c>
      <c r="O237">
        <f t="array" ref="O237">IFERROR(SMALL(IF((Master!$A$2:$A$1001="SHYAM METALLIKS")*(Master!$M$2:$M$1001="130 x 130 x 6MTR"),ROW(Master!$A$2:$A$1001)-ROW(Master!$A$2)+1),233),"")</f>
      </c>
      <c r="P237">
        <f t="shared" si="7"/>
      </c>
    </row>
    <row r="238" spans="1:16" x14ac:dyDescent="0.25">
      <c r="A238" s="235">
        <f>IF($O238="","",INDEX(Master!$D$2:$D$1001,$O238))</f>
      </c>
      <c r="B238" s="166">
        <f>IF($O238="","",INDEX(Master!$B$2:$B$1001,$O238))</f>
      </c>
      <c r="C238">
        <f>IF($O238="","",INDEX(Master!$C$2:$C$1001,$O238))</f>
      </c>
      <c r="D238">
        <f>IF($O238="","",INDEX(Master!$A$2:$A$1001,$O238))</f>
      </c>
      <c r="E238">
        <f>IF($O238="","",INDEX(Master!$E$2:$E$1001,$O238))</f>
      </c>
      <c r="F238">
        <f>IF($O238="","",INDEX(Master!$F$2:$F$1001,$O238))</f>
      </c>
      <c r="G238">
        <f>IF($O238="","",INDEX(Master!$G$2:$G$1001,$O238))</f>
      </c>
      <c r="H238">
        <f>IF($O238="","",INDEX(Master!$H$2:$H$1001,$O238))</f>
      </c>
      <c r="I238">
        <f>IF($O238="","",INDEX(Master!$I$2:$I$1001,$O238))</f>
      </c>
      <c r="J238">
        <f>IF($O238="","",INDEX(Master!$J$2:$J$1001,$O238))</f>
      </c>
      <c r="K238">
        <f t="shared" si="6"/>
      </c>
      <c r="L238">
        <f>IF($O238="","",INDEX(Master!$K$2:$K$1001,$O238))</f>
      </c>
      <c r="M238">
        <f>IF($O238="","",INDEX(Master!$L$2:$L$1001,$O238))</f>
      </c>
      <c r="O238">
        <f t="array" ref="O238">IFERROR(SMALL(IF((Master!$A$2:$A$1001="SHYAM METALLIKS")*(Master!$M$2:$M$1001="130 x 130 x 6MTR"),ROW(Master!$A$2:$A$1001)-ROW(Master!$A$2)+1),234),"")</f>
      </c>
      <c r="P238">
        <f t="shared" si="7"/>
      </c>
    </row>
    <row r="239" spans="1:16" x14ac:dyDescent="0.25">
      <c r="A239" s="235">
        <f>IF($O239="","",INDEX(Master!$D$2:$D$1001,$O239))</f>
      </c>
      <c r="B239" s="166">
        <f>IF($O239="","",INDEX(Master!$B$2:$B$1001,$O239))</f>
      </c>
      <c r="C239">
        <f>IF($O239="","",INDEX(Master!$C$2:$C$1001,$O239))</f>
      </c>
      <c r="D239">
        <f>IF($O239="","",INDEX(Master!$A$2:$A$1001,$O239))</f>
      </c>
      <c r="E239">
        <f>IF($O239="","",INDEX(Master!$E$2:$E$1001,$O239))</f>
      </c>
      <c r="F239">
        <f>IF($O239="","",INDEX(Master!$F$2:$F$1001,$O239))</f>
      </c>
      <c r="G239">
        <f>IF($O239="","",INDEX(Master!$G$2:$G$1001,$O239))</f>
      </c>
      <c r="H239">
        <f>IF($O239="","",INDEX(Master!$H$2:$H$1001,$O239))</f>
      </c>
      <c r="I239">
        <f>IF($O239="","",INDEX(Master!$I$2:$I$1001,$O239))</f>
      </c>
      <c r="J239">
        <f>IF($O239="","",INDEX(Master!$J$2:$J$1001,$O239))</f>
      </c>
      <c r="K239">
        <f t="shared" si="6"/>
      </c>
      <c r="L239">
        <f>IF($O239="","",INDEX(Master!$K$2:$K$1001,$O239))</f>
      </c>
      <c r="M239">
        <f>IF($O239="","",INDEX(Master!$L$2:$L$1001,$O239))</f>
      </c>
      <c r="O239">
        <f t="array" ref="O239">IFERROR(SMALL(IF((Master!$A$2:$A$1001="SHYAM METALLIKS")*(Master!$M$2:$M$1001="130 x 130 x 6MTR"),ROW(Master!$A$2:$A$1001)-ROW(Master!$A$2)+1),235),"")</f>
      </c>
      <c r="P239">
        <f t="shared" si="7"/>
      </c>
    </row>
    <row r="240" spans="1:16" x14ac:dyDescent="0.25">
      <c r="A240" s="235">
        <f>IF($O240="","",INDEX(Master!$D$2:$D$1001,$O240))</f>
      </c>
      <c r="B240" s="166">
        <f>IF($O240="","",INDEX(Master!$B$2:$B$1001,$O240))</f>
      </c>
      <c r="C240">
        <f>IF($O240="","",INDEX(Master!$C$2:$C$1001,$O240))</f>
      </c>
      <c r="D240">
        <f>IF($O240="","",INDEX(Master!$A$2:$A$1001,$O240))</f>
      </c>
      <c r="E240">
        <f>IF($O240="","",INDEX(Master!$E$2:$E$1001,$O240))</f>
      </c>
      <c r="F240">
        <f>IF($O240="","",INDEX(Master!$F$2:$F$1001,$O240))</f>
      </c>
      <c r="G240">
        <f>IF($O240="","",INDEX(Master!$G$2:$G$1001,$O240))</f>
      </c>
      <c r="H240">
        <f>IF($O240="","",INDEX(Master!$H$2:$H$1001,$O240))</f>
      </c>
      <c r="I240">
        <f>IF($O240="","",INDEX(Master!$I$2:$I$1001,$O240))</f>
      </c>
      <c r="J240">
        <f>IF($O240="","",INDEX(Master!$J$2:$J$1001,$O240))</f>
      </c>
      <c r="K240">
        <f t="shared" si="6"/>
      </c>
      <c r="L240">
        <f>IF($O240="","",INDEX(Master!$K$2:$K$1001,$O240))</f>
      </c>
      <c r="M240">
        <f>IF($O240="","",INDEX(Master!$L$2:$L$1001,$O240))</f>
      </c>
      <c r="O240">
        <f t="array" ref="O240">IFERROR(SMALL(IF((Master!$A$2:$A$1001="SHYAM METALLIKS")*(Master!$M$2:$M$1001="130 x 130 x 6MTR"),ROW(Master!$A$2:$A$1001)-ROW(Master!$A$2)+1),236),"")</f>
      </c>
      <c r="P240">
        <f t="shared" si="7"/>
      </c>
    </row>
    <row r="241" spans="1:16" x14ac:dyDescent="0.25">
      <c r="A241" s="235">
        <f>IF($O241="","",INDEX(Master!$D$2:$D$1001,$O241))</f>
      </c>
      <c r="B241" s="166">
        <f>IF($O241="","",INDEX(Master!$B$2:$B$1001,$O241))</f>
      </c>
      <c r="C241">
        <f>IF($O241="","",INDEX(Master!$C$2:$C$1001,$O241))</f>
      </c>
      <c r="D241">
        <f>IF($O241="","",INDEX(Master!$A$2:$A$1001,$O241))</f>
      </c>
      <c r="E241">
        <f>IF($O241="","",INDEX(Master!$E$2:$E$1001,$O241))</f>
      </c>
      <c r="F241">
        <f>IF($O241="","",INDEX(Master!$F$2:$F$1001,$O241))</f>
      </c>
      <c r="G241">
        <f>IF($O241="","",INDEX(Master!$G$2:$G$1001,$O241))</f>
      </c>
      <c r="H241">
        <f>IF($O241="","",INDEX(Master!$H$2:$H$1001,$O241))</f>
      </c>
      <c r="I241">
        <f>IF($O241="","",INDEX(Master!$I$2:$I$1001,$O241))</f>
      </c>
      <c r="J241">
        <f>IF($O241="","",INDEX(Master!$J$2:$J$1001,$O241))</f>
      </c>
      <c r="K241">
        <f t="shared" si="6"/>
      </c>
      <c r="L241">
        <f>IF($O241="","",INDEX(Master!$K$2:$K$1001,$O241))</f>
      </c>
      <c r="M241">
        <f>IF($O241="","",INDEX(Master!$L$2:$L$1001,$O241))</f>
      </c>
      <c r="O241">
        <f t="array" ref="O241">IFERROR(SMALL(IF((Master!$A$2:$A$1001="SHYAM METALLIKS")*(Master!$M$2:$M$1001="130 x 130 x 6MTR"),ROW(Master!$A$2:$A$1001)-ROW(Master!$A$2)+1),237),"")</f>
      </c>
      <c r="P241">
        <f t="shared" si="7"/>
      </c>
    </row>
    <row r="242" spans="1:16" x14ac:dyDescent="0.25">
      <c r="A242" s="235">
        <f>IF($O242="","",INDEX(Master!$D$2:$D$1001,$O242))</f>
      </c>
      <c r="B242" s="166">
        <f>IF($O242="","",INDEX(Master!$B$2:$B$1001,$O242))</f>
      </c>
      <c r="C242">
        <f>IF($O242="","",INDEX(Master!$C$2:$C$1001,$O242))</f>
      </c>
      <c r="D242">
        <f>IF($O242="","",INDEX(Master!$A$2:$A$1001,$O242))</f>
      </c>
      <c r="E242">
        <f>IF($O242="","",INDEX(Master!$E$2:$E$1001,$O242))</f>
      </c>
      <c r="F242">
        <f>IF($O242="","",INDEX(Master!$F$2:$F$1001,$O242))</f>
      </c>
      <c r="G242">
        <f>IF($O242="","",INDEX(Master!$G$2:$G$1001,$O242))</f>
      </c>
      <c r="H242">
        <f>IF($O242="","",INDEX(Master!$H$2:$H$1001,$O242))</f>
      </c>
      <c r="I242">
        <f>IF($O242="","",INDEX(Master!$I$2:$I$1001,$O242))</f>
      </c>
      <c r="J242">
        <f>IF($O242="","",INDEX(Master!$J$2:$J$1001,$O242))</f>
      </c>
      <c r="K242">
        <f t="shared" si="6"/>
      </c>
      <c r="L242">
        <f>IF($O242="","",INDEX(Master!$K$2:$K$1001,$O242))</f>
      </c>
      <c r="M242">
        <f>IF($O242="","",INDEX(Master!$L$2:$L$1001,$O242))</f>
      </c>
      <c r="O242">
        <f t="array" ref="O242">IFERROR(SMALL(IF((Master!$A$2:$A$1001="SHYAM METALLIKS")*(Master!$M$2:$M$1001="130 x 130 x 6MTR"),ROW(Master!$A$2:$A$1001)-ROW(Master!$A$2)+1),238),"")</f>
      </c>
      <c r="P242">
        <f t="shared" si="7"/>
      </c>
    </row>
    <row r="243" spans="1:16" x14ac:dyDescent="0.25">
      <c r="A243" s="235">
        <f>IF($O243="","",INDEX(Master!$D$2:$D$1001,$O243))</f>
      </c>
      <c r="B243" s="166">
        <f>IF($O243="","",INDEX(Master!$B$2:$B$1001,$O243))</f>
      </c>
      <c r="C243">
        <f>IF($O243="","",INDEX(Master!$C$2:$C$1001,$O243))</f>
      </c>
      <c r="D243">
        <f>IF($O243="","",INDEX(Master!$A$2:$A$1001,$O243))</f>
      </c>
      <c r="E243">
        <f>IF($O243="","",INDEX(Master!$E$2:$E$1001,$O243))</f>
      </c>
      <c r="F243">
        <f>IF($O243="","",INDEX(Master!$F$2:$F$1001,$O243))</f>
      </c>
      <c r="G243">
        <f>IF($O243="","",INDEX(Master!$G$2:$G$1001,$O243))</f>
      </c>
      <c r="H243">
        <f>IF($O243="","",INDEX(Master!$H$2:$H$1001,$O243))</f>
      </c>
      <c r="I243">
        <f>IF($O243="","",INDEX(Master!$I$2:$I$1001,$O243))</f>
      </c>
      <c r="J243">
        <f>IF($O243="","",INDEX(Master!$J$2:$J$1001,$O243))</f>
      </c>
      <c r="K243">
        <f t="shared" si="6"/>
      </c>
      <c r="L243">
        <f>IF($O243="","",INDEX(Master!$K$2:$K$1001,$O243))</f>
      </c>
      <c r="M243">
        <f>IF($O243="","",INDEX(Master!$L$2:$L$1001,$O243))</f>
      </c>
      <c r="O243">
        <f t="array" ref="O243">IFERROR(SMALL(IF((Master!$A$2:$A$1001="SHYAM METALLIKS")*(Master!$M$2:$M$1001="130 x 130 x 6MTR"),ROW(Master!$A$2:$A$1001)-ROW(Master!$A$2)+1),239),"")</f>
      </c>
      <c r="P243">
        <f t="shared" si="7"/>
      </c>
    </row>
    <row r="244" spans="1:16" x14ac:dyDescent="0.25">
      <c r="A244" s="235">
        <f>IF($O244="","",INDEX(Master!$D$2:$D$1001,$O244))</f>
      </c>
      <c r="B244" s="166">
        <f>IF($O244="","",INDEX(Master!$B$2:$B$1001,$O244))</f>
      </c>
      <c r="C244">
        <f>IF($O244="","",INDEX(Master!$C$2:$C$1001,$O244))</f>
      </c>
      <c r="D244">
        <f>IF($O244="","",INDEX(Master!$A$2:$A$1001,$O244))</f>
      </c>
      <c r="E244">
        <f>IF($O244="","",INDEX(Master!$E$2:$E$1001,$O244))</f>
      </c>
      <c r="F244">
        <f>IF($O244="","",INDEX(Master!$F$2:$F$1001,$O244))</f>
      </c>
      <c r="G244">
        <f>IF($O244="","",INDEX(Master!$G$2:$G$1001,$O244))</f>
      </c>
      <c r="H244">
        <f>IF($O244="","",INDEX(Master!$H$2:$H$1001,$O244))</f>
      </c>
      <c r="I244">
        <f>IF($O244="","",INDEX(Master!$I$2:$I$1001,$O244))</f>
      </c>
      <c r="J244">
        <f>IF($O244="","",INDEX(Master!$J$2:$J$1001,$O244))</f>
      </c>
      <c r="K244">
        <f t="shared" si="6"/>
      </c>
      <c r="L244">
        <f>IF($O244="","",INDEX(Master!$K$2:$K$1001,$O244))</f>
      </c>
      <c r="M244">
        <f>IF($O244="","",INDEX(Master!$L$2:$L$1001,$O244))</f>
      </c>
      <c r="O244">
        <f t="array" ref="O244">IFERROR(SMALL(IF((Master!$A$2:$A$1001="SHYAM METALLIKS")*(Master!$M$2:$M$1001="130 x 130 x 6MTR"),ROW(Master!$A$2:$A$1001)-ROW(Master!$A$2)+1),240),"")</f>
      </c>
      <c r="P244">
        <f t="shared" si="7"/>
      </c>
    </row>
    <row r="245" spans="1:16" x14ac:dyDescent="0.25">
      <c r="A245" s="235">
        <f>IF($O245="","",INDEX(Master!$D$2:$D$1001,$O245))</f>
      </c>
      <c r="B245" s="166">
        <f>IF($O245="","",INDEX(Master!$B$2:$B$1001,$O245))</f>
      </c>
      <c r="C245">
        <f>IF($O245="","",INDEX(Master!$C$2:$C$1001,$O245))</f>
      </c>
      <c r="D245">
        <f>IF($O245="","",INDEX(Master!$A$2:$A$1001,$O245))</f>
      </c>
      <c r="E245">
        <f>IF($O245="","",INDEX(Master!$E$2:$E$1001,$O245))</f>
      </c>
      <c r="F245">
        <f>IF($O245="","",INDEX(Master!$F$2:$F$1001,$O245))</f>
      </c>
      <c r="G245">
        <f>IF($O245="","",INDEX(Master!$G$2:$G$1001,$O245))</f>
      </c>
      <c r="H245">
        <f>IF($O245="","",INDEX(Master!$H$2:$H$1001,$O245))</f>
      </c>
      <c r="I245">
        <f>IF($O245="","",INDEX(Master!$I$2:$I$1001,$O245))</f>
      </c>
      <c r="J245">
        <f>IF($O245="","",INDEX(Master!$J$2:$J$1001,$O245))</f>
      </c>
      <c r="K245">
        <f t="shared" si="6"/>
      </c>
      <c r="L245">
        <f>IF($O245="","",INDEX(Master!$K$2:$K$1001,$O245))</f>
      </c>
      <c r="M245">
        <f>IF($O245="","",INDEX(Master!$L$2:$L$1001,$O245))</f>
      </c>
      <c r="O245">
        <f t="array" ref="O245">IFERROR(SMALL(IF((Master!$A$2:$A$1001="SHYAM METALLIKS")*(Master!$M$2:$M$1001="130 x 130 x 6MTR"),ROW(Master!$A$2:$A$1001)-ROW(Master!$A$2)+1),241),"")</f>
      </c>
      <c r="P245">
        <f t="shared" si="7"/>
      </c>
    </row>
    <row r="246" spans="1:16" x14ac:dyDescent="0.25">
      <c r="A246" s="235">
        <f>IF($O246="","",INDEX(Master!$D$2:$D$1001,$O246))</f>
      </c>
      <c r="B246" s="166">
        <f>IF($O246="","",INDEX(Master!$B$2:$B$1001,$O246))</f>
      </c>
      <c r="C246">
        <f>IF($O246="","",INDEX(Master!$C$2:$C$1001,$O246))</f>
      </c>
      <c r="D246">
        <f>IF($O246="","",INDEX(Master!$A$2:$A$1001,$O246))</f>
      </c>
      <c r="E246">
        <f>IF($O246="","",INDEX(Master!$E$2:$E$1001,$O246))</f>
      </c>
      <c r="F246">
        <f>IF($O246="","",INDEX(Master!$F$2:$F$1001,$O246))</f>
      </c>
      <c r="G246">
        <f>IF($O246="","",INDEX(Master!$G$2:$G$1001,$O246))</f>
      </c>
      <c r="H246">
        <f>IF($O246="","",INDEX(Master!$H$2:$H$1001,$O246))</f>
      </c>
      <c r="I246">
        <f>IF($O246="","",INDEX(Master!$I$2:$I$1001,$O246))</f>
      </c>
      <c r="J246">
        <f>IF($O246="","",INDEX(Master!$J$2:$J$1001,$O246))</f>
      </c>
      <c r="K246">
        <f t="shared" si="6"/>
      </c>
      <c r="L246">
        <f>IF($O246="","",INDEX(Master!$K$2:$K$1001,$O246))</f>
      </c>
      <c r="M246">
        <f>IF($O246="","",INDEX(Master!$L$2:$L$1001,$O246))</f>
      </c>
      <c r="O246">
        <f t="array" ref="O246">IFERROR(SMALL(IF((Master!$A$2:$A$1001="SHYAM METALLIKS")*(Master!$M$2:$M$1001="130 x 130 x 6MTR"),ROW(Master!$A$2:$A$1001)-ROW(Master!$A$2)+1),242),"")</f>
      </c>
      <c r="P246">
        <f t="shared" si="7"/>
      </c>
    </row>
    <row r="247" spans="1:16" x14ac:dyDescent="0.25">
      <c r="A247" s="235">
        <f>IF($O247="","",INDEX(Master!$D$2:$D$1001,$O247))</f>
      </c>
      <c r="B247" s="166">
        <f>IF($O247="","",INDEX(Master!$B$2:$B$1001,$O247))</f>
      </c>
      <c r="C247">
        <f>IF($O247="","",INDEX(Master!$C$2:$C$1001,$O247))</f>
      </c>
      <c r="D247">
        <f>IF($O247="","",INDEX(Master!$A$2:$A$1001,$O247))</f>
      </c>
      <c r="E247">
        <f>IF($O247="","",INDEX(Master!$E$2:$E$1001,$O247))</f>
      </c>
      <c r="F247">
        <f>IF($O247="","",INDEX(Master!$F$2:$F$1001,$O247))</f>
      </c>
      <c r="G247">
        <f>IF($O247="","",INDEX(Master!$G$2:$G$1001,$O247))</f>
      </c>
      <c r="H247">
        <f>IF($O247="","",INDEX(Master!$H$2:$H$1001,$O247))</f>
      </c>
      <c r="I247">
        <f>IF($O247="","",INDEX(Master!$I$2:$I$1001,$O247))</f>
      </c>
      <c r="J247">
        <f>IF($O247="","",INDEX(Master!$J$2:$J$1001,$O247))</f>
      </c>
      <c r="K247">
        <f t="shared" si="6"/>
      </c>
      <c r="L247">
        <f>IF($O247="","",INDEX(Master!$K$2:$K$1001,$O247))</f>
      </c>
      <c r="M247">
        <f>IF($O247="","",INDEX(Master!$L$2:$L$1001,$O247))</f>
      </c>
      <c r="O247">
        <f t="array" ref="O247">IFERROR(SMALL(IF((Master!$A$2:$A$1001="SHYAM METALLIKS")*(Master!$M$2:$M$1001="130 x 130 x 6MTR"),ROW(Master!$A$2:$A$1001)-ROW(Master!$A$2)+1),243),"")</f>
      </c>
      <c r="P247">
        <f t="shared" si="7"/>
      </c>
    </row>
    <row r="248" spans="1:16" x14ac:dyDescent="0.25">
      <c r="A248" s="235">
        <f>IF($O248="","",INDEX(Master!$D$2:$D$1001,$O248))</f>
      </c>
      <c r="B248" s="166">
        <f>IF($O248="","",INDEX(Master!$B$2:$B$1001,$O248))</f>
      </c>
      <c r="C248">
        <f>IF($O248="","",INDEX(Master!$C$2:$C$1001,$O248))</f>
      </c>
      <c r="D248">
        <f>IF($O248="","",INDEX(Master!$A$2:$A$1001,$O248))</f>
      </c>
      <c r="E248">
        <f>IF($O248="","",INDEX(Master!$E$2:$E$1001,$O248))</f>
      </c>
      <c r="F248">
        <f>IF($O248="","",INDEX(Master!$F$2:$F$1001,$O248))</f>
      </c>
      <c r="G248">
        <f>IF($O248="","",INDEX(Master!$G$2:$G$1001,$O248))</f>
      </c>
      <c r="H248">
        <f>IF($O248="","",INDEX(Master!$H$2:$H$1001,$O248))</f>
      </c>
      <c r="I248">
        <f>IF($O248="","",INDEX(Master!$I$2:$I$1001,$O248))</f>
      </c>
      <c r="J248">
        <f>IF($O248="","",INDEX(Master!$J$2:$J$1001,$O248))</f>
      </c>
      <c r="K248">
        <f t="shared" si="6"/>
      </c>
      <c r="L248">
        <f>IF($O248="","",INDEX(Master!$K$2:$K$1001,$O248))</f>
      </c>
      <c r="M248">
        <f>IF($O248="","",INDEX(Master!$L$2:$L$1001,$O248))</f>
      </c>
      <c r="O248">
        <f t="array" ref="O248">IFERROR(SMALL(IF((Master!$A$2:$A$1001="SHYAM METALLIKS")*(Master!$M$2:$M$1001="130 x 130 x 6MTR"),ROW(Master!$A$2:$A$1001)-ROW(Master!$A$2)+1),244),"")</f>
      </c>
      <c r="P248">
        <f t="shared" si="7"/>
      </c>
    </row>
    <row r="249" spans="1:16" x14ac:dyDescent="0.25">
      <c r="A249" s="235">
        <f>IF($O249="","",INDEX(Master!$D$2:$D$1001,$O249))</f>
      </c>
      <c r="B249" s="166">
        <f>IF($O249="","",INDEX(Master!$B$2:$B$1001,$O249))</f>
      </c>
      <c r="C249">
        <f>IF($O249="","",INDEX(Master!$C$2:$C$1001,$O249))</f>
      </c>
      <c r="D249">
        <f>IF($O249="","",INDEX(Master!$A$2:$A$1001,$O249))</f>
      </c>
      <c r="E249">
        <f>IF($O249="","",INDEX(Master!$E$2:$E$1001,$O249))</f>
      </c>
      <c r="F249">
        <f>IF($O249="","",INDEX(Master!$F$2:$F$1001,$O249))</f>
      </c>
      <c r="G249">
        <f>IF($O249="","",INDEX(Master!$G$2:$G$1001,$O249))</f>
      </c>
      <c r="H249">
        <f>IF($O249="","",INDEX(Master!$H$2:$H$1001,$O249))</f>
      </c>
      <c r="I249">
        <f>IF($O249="","",INDEX(Master!$I$2:$I$1001,$O249))</f>
      </c>
      <c r="J249">
        <f>IF($O249="","",INDEX(Master!$J$2:$J$1001,$O249))</f>
      </c>
      <c r="K249">
        <f t="shared" si="6"/>
      </c>
      <c r="L249">
        <f>IF($O249="","",INDEX(Master!$K$2:$K$1001,$O249))</f>
      </c>
      <c r="M249">
        <f>IF($O249="","",INDEX(Master!$L$2:$L$1001,$O249))</f>
      </c>
      <c r="O249">
        <f t="array" ref="O249">IFERROR(SMALL(IF((Master!$A$2:$A$1001="SHYAM METALLIKS")*(Master!$M$2:$M$1001="130 x 130 x 6MTR"),ROW(Master!$A$2:$A$1001)-ROW(Master!$A$2)+1),245),"")</f>
      </c>
      <c r="P249">
        <f t="shared" si="7"/>
      </c>
    </row>
    <row r="250" spans="1:16" x14ac:dyDescent="0.25">
      <c r="A250" s="235">
        <f>IF($O250="","",INDEX(Master!$D$2:$D$1001,$O250))</f>
      </c>
      <c r="B250" s="166">
        <f>IF($O250="","",INDEX(Master!$B$2:$B$1001,$O250))</f>
      </c>
      <c r="C250">
        <f>IF($O250="","",INDEX(Master!$C$2:$C$1001,$O250))</f>
      </c>
      <c r="D250">
        <f>IF($O250="","",INDEX(Master!$A$2:$A$1001,$O250))</f>
      </c>
      <c r="E250">
        <f>IF($O250="","",INDEX(Master!$E$2:$E$1001,$O250))</f>
      </c>
      <c r="F250">
        <f>IF($O250="","",INDEX(Master!$F$2:$F$1001,$O250))</f>
      </c>
      <c r="G250">
        <f>IF($O250="","",INDEX(Master!$G$2:$G$1001,$O250))</f>
      </c>
      <c r="H250">
        <f>IF($O250="","",INDEX(Master!$H$2:$H$1001,$O250))</f>
      </c>
      <c r="I250">
        <f>IF($O250="","",INDEX(Master!$I$2:$I$1001,$O250))</f>
      </c>
      <c r="J250">
        <f>IF($O250="","",INDEX(Master!$J$2:$J$1001,$O250))</f>
      </c>
      <c r="K250">
        <f t="shared" si="6"/>
      </c>
      <c r="L250">
        <f>IF($O250="","",INDEX(Master!$K$2:$K$1001,$O250))</f>
      </c>
      <c r="M250">
        <f>IF($O250="","",INDEX(Master!$L$2:$L$1001,$O250))</f>
      </c>
      <c r="O250">
        <f t="array" ref="O250">IFERROR(SMALL(IF((Master!$A$2:$A$1001="SHYAM METALLIKS")*(Master!$M$2:$M$1001="130 x 130 x 6MTR"),ROW(Master!$A$2:$A$1001)-ROW(Master!$A$2)+1),246),"")</f>
      </c>
      <c r="P250">
        <f t="shared" si="7"/>
      </c>
    </row>
    <row r="251" spans="1:16" x14ac:dyDescent="0.25">
      <c r="A251" s="235">
        <f>IF($O251="","",INDEX(Master!$D$2:$D$1001,$O251))</f>
      </c>
      <c r="B251" s="166">
        <f>IF($O251="","",INDEX(Master!$B$2:$B$1001,$O251))</f>
      </c>
      <c r="C251">
        <f>IF($O251="","",INDEX(Master!$C$2:$C$1001,$O251))</f>
      </c>
      <c r="D251">
        <f>IF($O251="","",INDEX(Master!$A$2:$A$1001,$O251))</f>
      </c>
      <c r="E251">
        <f>IF($O251="","",INDEX(Master!$E$2:$E$1001,$O251))</f>
      </c>
      <c r="F251">
        <f>IF($O251="","",INDEX(Master!$F$2:$F$1001,$O251))</f>
      </c>
      <c r="G251">
        <f>IF($O251="","",INDEX(Master!$G$2:$G$1001,$O251))</f>
      </c>
      <c r="H251">
        <f>IF($O251="","",INDEX(Master!$H$2:$H$1001,$O251))</f>
      </c>
      <c r="I251">
        <f>IF($O251="","",INDEX(Master!$I$2:$I$1001,$O251))</f>
      </c>
      <c r="J251">
        <f>IF($O251="","",INDEX(Master!$J$2:$J$1001,$O251))</f>
      </c>
      <c r="K251">
        <f t="shared" si="6"/>
      </c>
      <c r="L251">
        <f>IF($O251="","",INDEX(Master!$K$2:$K$1001,$O251))</f>
      </c>
      <c r="M251">
        <f>IF($O251="","",INDEX(Master!$L$2:$L$1001,$O251))</f>
      </c>
      <c r="O251">
        <f t="array" ref="O251">IFERROR(SMALL(IF((Master!$A$2:$A$1001="SHYAM METALLIKS")*(Master!$M$2:$M$1001="130 x 130 x 6MTR"),ROW(Master!$A$2:$A$1001)-ROW(Master!$A$2)+1),247),"")</f>
      </c>
      <c r="P251">
        <f t="shared" si="7"/>
      </c>
    </row>
    <row r="252" spans="1:16" x14ac:dyDescent="0.25">
      <c r="A252" s="235">
        <f>IF($O252="","",INDEX(Master!$D$2:$D$1001,$O252))</f>
      </c>
      <c r="B252" s="166">
        <f>IF($O252="","",INDEX(Master!$B$2:$B$1001,$O252))</f>
      </c>
      <c r="C252">
        <f>IF($O252="","",INDEX(Master!$C$2:$C$1001,$O252))</f>
      </c>
      <c r="D252">
        <f>IF($O252="","",INDEX(Master!$A$2:$A$1001,$O252))</f>
      </c>
      <c r="E252">
        <f>IF($O252="","",INDEX(Master!$E$2:$E$1001,$O252))</f>
      </c>
      <c r="F252">
        <f>IF($O252="","",INDEX(Master!$F$2:$F$1001,$O252))</f>
      </c>
      <c r="G252">
        <f>IF($O252="","",INDEX(Master!$G$2:$G$1001,$O252))</f>
      </c>
      <c r="H252">
        <f>IF($O252="","",INDEX(Master!$H$2:$H$1001,$O252))</f>
      </c>
      <c r="I252">
        <f>IF($O252="","",INDEX(Master!$I$2:$I$1001,$O252))</f>
      </c>
      <c r="J252">
        <f>IF($O252="","",INDEX(Master!$J$2:$J$1001,$O252))</f>
      </c>
      <c r="K252">
        <f t="shared" si="6"/>
      </c>
      <c r="L252">
        <f>IF($O252="","",INDEX(Master!$K$2:$K$1001,$O252))</f>
      </c>
      <c r="M252">
        <f>IF($O252="","",INDEX(Master!$L$2:$L$1001,$O252))</f>
      </c>
      <c r="O252">
        <f t="array" ref="O252">IFERROR(SMALL(IF((Master!$A$2:$A$1001="SHYAM METALLIKS")*(Master!$M$2:$M$1001="130 x 130 x 6MTR"),ROW(Master!$A$2:$A$1001)-ROW(Master!$A$2)+1),248),"")</f>
      </c>
      <c r="P252">
        <f t="shared" si="7"/>
      </c>
    </row>
    <row r="253" spans="1:16" x14ac:dyDescent="0.25">
      <c r="A253" s="235">
        <f>IF($O253="","",INDEX(Master!$D$2:$D$1001,$O253))</f>
      </c>
      <c r="B253" s="166">
        <f>IF($O253="","",INDEX(Master!$B$2:$B$1001,$O253))</f>
      </c>
      <c r="C253">
        <f>IF($O253="","",INDEX(Master!$C$2:$C$1001,$O253))</f>
      </c>
      <c r="D253">
        <f>IF($O253="","",INDEX(Master!$A$2:$A$1001,$O253))</f>
      </c>
      <c r="E253">
        <f>IF($O253="","",INDEX(Master!$E$2:$E$1001,$O253))</f>
      </c>
      <c r="F253">
        <f>IF($O253="","",INDEX(Master!$F$2:$F$1001,$O253))</f>
      </c>
      <c r="G253">
        <f>IF($O253="","",INDEX(Master!$G$2:$G$1001,$O253))</f>
      </c>
      <c r="H253">
        <f>IF($O253="","",INDEX(Master!$H$2:$H$1001,$O253))</f>
      </c>
      <c r="I253">
        <f>IF($O253="","",INDEX(Master!$I$2:$I$1001,$O253))</f>
      </c>
      <c r="J253">
        <f>IF($O253="","",INDEX(Master!$J$2:$J$1001,$O253))</f>
      </c>
      <c r="K253">
        <f t="shared" si="6"/>
      </c>
      <c r="L253">
        <f>IF($O253="","",INDEX(Master!$K$2:$K$1001,$O253))</f>
      </c>
      <c r="M253">
        <f>IF($O253="","",INDEX(Master!$L$2:$L$1001,$O253))</f>
      </c>
      <c r="O253">
        <f t="array" ref="O253">IFERROR(SMALL(IF((Master!$A$2:$A$1001="SHYAM METALLIKS")*(Master!$M$2:$M$1001="130 x 130 x 6MTR"),ROW(Master!$A$2:$A$1001)-ROW(Master!$A$2)+1),249),"")</f>
      </c>
      <c r="P253">
        <f t="shared" si="7"/>
      </c>
    </row>
    <row r="254" spans="1:16" x14ac:dyDescent="0.25">
      <c r="A254" s="235">
        <f>IF($O254="","",INDEX(Master!$D$2:$D$1001,$O254))</f>
      </c>
      <c r="B254" s="166">
        <f>IF($O254="","",INDEX(Master!$B$2:$B$1001,$O254))</f>
      </c>
      <c r="C254">
        <f>IF($O254="","",INDEX(Master!$C$2:$C$1001,$O254))</f>
      </c>
      <c r="D254">
        <f>IF($O254="","",INDEX(Master!$A$2:$A$1001,$O254))</f>
      </c>
      <c r="E254">
        <f>IF($O254="","",INDEX(Master!$E$2:$E$1001,$O254))</f>
      </c>
      <c r="F254">
        <f>IF($O254="","",INDEX(Master!$F$2:$F$1001,$O254))</f>
      </c>
      <c r="G254">
        <f>IF($O254="","",INDEX(Master!$G$2:$G$1001,$O254))</f>
      </c>
      <c r="H254">
        <f>IF($O254="","",INDEX(Master!$H$2:$H$1001,$O254))</f>
      </c>
      <c r="I254">
        <f>IF($O254="","",INDEX(Master!$I$2:$I$1001,$O254))</f>
      </c>
      <c r="J254">
        <f>IF($O254="","",INDEX(Master!$J$2:$J$1001,$O254))</f>
      </c>
      <c r="K254">
        <f t="shared" si="6"/>
      </c>
      <c r="L254">
        <f>IF($O254="","",INDEX(Master!$K$2:$K$1001,$O254))</f>
      </c>
      <c r="M254">
        <f>IF($O254="","",INDEX(Master!$L$2:$L$1001,$O254))</f>
      </c>
      <c r="O254">
        <f t="array" ref="O254">IFERROR(SMALL(IF((Master!$A$2:$A$1001="SHYAM METALLIKS")*(Master!$M$2:$M$1001="130 x 130 x 6MTR"),ROW(Master!$A$2:$A$1001)-ROW(Master!$A$2)+1),250),"")</f>
      </c>
      <c r="P254">
        <f t="shared" si="7"/>
      </c>
    </row>
    <row r="255" spans="1:16" x14ac:dyDescent="0.25">
      <c r="A255" s="235">
        <f>IF($O255="","",INDEX(Master!$D$2:$D$1001,$O255))</f>
      </c>
      <c r="B255" s="166">
        <f>IF($O255="","",INDEX(Master!$B$2:$B$1001,$O255))</f>
      </c>
      <c r="C255">
        <f>IF($O255="","",INDEX(Master!$C$2:$C$1001,$O255))</f>
      </c>
      <c r="D255">
        <f>IF($O255="","",INDEX(Master!$A$2:$A$1001,$O255))</f>
      </c>
      <c r="E255">
        <f>IF($O255="","",INDEX(Master!$E$2:$E$1001,$O255))</f>
      </c>
      <c r="F255">
        <f>IF($O255="","",INDEX(Master!$F$2:$F$1001,$O255))</f>
      </c>
      <c r="G255">
        <f>IF($O255="","",INDEX(Master!$G$2:$G$1001,$O255))</f>
      </c>
      <c r="H255">
        <f>IF($O255="","",INDEX(Master!$H$2:$H$1001,$O255))</f>
      </c>
      <c r="I255">
        <f>IF($O255="","",INDEX(Master!$I$2:$I$1001,$O255))</f>
      </c>
      <c r="J255">
        <f>IF($O255="","",INDEX(Master!$J$2:$J$1001,$O255))</f>
      </c>
      <c r="K255">
        <f t="shared" si="6"/>
      </c>
      <c r="L255">
        <f>IF($O255="","",INDEX(Master!$K$2:$K$1001,$O255))</f>
      </c>
      <c r="M255">
        <f>IF($O255="","",INDEX(Master!$L$2:$L$1001,$O255))</f>
      </c>
      <c r="O255">
        <f t="array" ref="O255">IFERROR(SMALL(IF((Master!$A$2:$A$1001="SHYAM METALLIKS")*(Master!$M$2:$M$1001="130 x 130 x 6MTR"),ROW(Master!$A$2:$A$1001)-ROW(Master!$A$2)+1),251),"")</f>
      </c>
      <c r="P255">
        <f t="shared" si="7"/>
      </c>
    </row>
    <row r="256" spans="1:16" x14ac:dyDescent="0.25">
      <c r="A256" s="235">
        <f>IF($O256="","",INDEX(Master!$D$2:$D$1001,$O256))</f>
      </c>
      <c r="B256" s="166">
        <f>IF($O256="","",INDEX(Master!$B$2:$B$1001,$O256))</f>
      </c>
      <c r="C256">
        <f>IF($O256="","",INDEX(Master!$C$2:$C$1001,$O256))</f>
      </c>
      <c r="D256">
        <f>IF($O256="","",INDEX(Master!$A$2:$A$1001,$O256))</f>
      </c>
      <c r="E256">
        <f>IF($O256="","",INDEX(Master!$E$2:$E$1001,$O256))</f>
      </c>
      <c r="F256">
        <f>IF($O256="","",INDEX(Master!$F$2:$F$1001,$O256))</f>
      </c>
      <c r="G256">
        <f>IF($O256="","",INDEX(Master!$G$2:$G$1001,$O256))</f>
      </c>
      <c r="H256">
        <f>IF($O256="","",INDEX(Master!$H$2:$H$1001,$O256))</f>
      </c>
      <c r="I256">
        <f>IF($O256="","",INDEX(Master!$I$2:$I$1001,$O256))</f>
      </c>
      <c r="J256">
        <f>IF($O256="","",INDEX(Master!$J$2:$J$1001,$O256))</f>
      </c>
      <c r="K256">
        <f t="shared" si="6"/>
      </c>
      <c r="L256">
        <f>IF($O256="","",INDEX(Master!$K$2:$K$1001,$O256))</f>
      </c>
      <c r="M256">
        <f>IF($O256="","",INDEX(Master!$L$2:$L$1001,$O256))</f>
      </c>
      <c r="O256">
        <f t="array" ref="O256">IFERROR(SMALL(IF((Master!$A$2:$A$1001="SHYAM METALLIKS")*(Master!$M$2:$M$1001="130 x 130 x 6MTR"),ROW(Master!$A$2:$A$1001)-ROW(Master!$A$2)+1),252),"")</f>
      </c>
      <c r="P256">
        <f t="shared" si="7"/>
      </c>
    </row>
    <row r="257" spans="1:16" x14ac:dyDescent="0.25">
      <c r="A257" s="235">
        <f>IF($O257="","",INDEX(Master!$D$2:$D$1001,$O257))</f>
      </c>
      <c r="B257" s="166">
        <f>IF($O257="","",INDEX(Master!$B$2:$B$1001,$O257))</f>
      </c>
      <c r="C257">
        <f>IF($O257="","",INDEX(Master!$C$2:$C$1001,$O257))</f>
      </c>
      <c r="D257">
        <f>IF($O257="","",INDEX(Master!$A$2:$A$1001,$O257))</f>
      </c>
      <c r="E257">
        <f>IF($O257="","",INDEX(Master!$E$2:$E$1001,$O257))</f>
      </c>
      <c r="F257">
        <f>IF($O257="","",INDEX(Master!$F$2:$F$1001,$O257))</f>
      </c>
      <c r="G257">
        <f>IF($O257="","",INDEX(Master!$G$2:$G$1001,$O257))</f>
      </c>
      <c r="H257">
        <f>IF($O257="","",INDEX(Master!$H$2:$H$1001,$O257))</f>
      </c>
      <c r="I257">
        <f>IF($O257="","",INDEX(Master!$I$2:$I$1001,$O257))</f>
      </c>
      <c r="J257">
        <f>IF($O257="","",INDEX(Master!$J$2:$J$1001,$O257))</f>
      </c>
      <c r="K257">
        <f t="shared" si="6"/>
      </c>
      <c r="L257">
        <f>IF($O257="","",INDEX(Master!$K$2:$K$1001,$O257))</f>
      </c>
      <c r="M257">
        <f>IF($O257="","",INDEX(Master!$L$2:$L$1001,$O257))</f>
      </c>
      <c r="O257">
        <f t="array" ref="O257">IFERROR(SMALL(IF((Master!$A$2:$A$1001="SHYAM METALLIKS")*(Master!$M$2:$M$1001="130 x 130 x 6MTR"),ROW(Master!$A$2:$A$1001)-ROW(Master!$A$2)+1),253),"")</f>
      </c>
      <c r="P257">
        <f t="shared" si="7"/>
      </c>
    </row>
    <row r="258" spans="1:16" x14ac:dyDescent="0.25">
      <c r="A258" s="235">
        <f>IF($O258="","",INDEX(Master!$D$2:$D$1001,$O258))</f>
      </c>
      <c r="B258" s="166">
        <f>IF($O258="","",INDEX(Master!$B$2:$B$1001,$O258))</f>
      </c>
      <c r="C258">
        <f>IF($O258="","",INDEX(Master!$C$2:$C$1001,$O258))</f>
      </c>
      <c r="D258">
        <f>IF($O258="","",INDEX(Master!$A$2:$A$1001,$O258))</f>
      </c>
      <c r="E258">
        <f>IF($O258="","",INDEX(Master!$E$2:$E$1001,$O258))</f>
      </c>
      <c r="F258">
        <f>IF($O258="","",INDEX(Master!$F$2:$F$1001,$O258))</f>
      </c>
      <c r="G258">
        <f>IF($O258="","",INDEX(Master!$G$2:$G$1001,$O258))</f>
      </c>
      <c r="H258">
        <f>IF($O258="","",INDEX(Master!$H$2:$H$1001,$O258))</f>
      </c>
      <c r="I258">
        <f>IF($O258="","",INDEX(Master!$I$2:$I$1001,$O258))</f>
      </c>
      <c r="J258">
        <f>IF($O258="","",INDEX(Master!$J$2:$J$1001,$O258))</f>
      </c>
      <c r="K258">
        <f t="shared" si="6"/>
      </c>
      <c r="L258">
        <f>IF($O258="","",INDEX(Master!$K$2:$K$1001,$O258))</f>
      </c>
      <c r="M258">
        <f>IF($O258="","",INDEX(Master!$L$2:$L$1001,$O258))</f>
      </c>
      <c r="O258">
        <f t="array" ref="O258">IFERROR(SMALL(IF((Master!$A$2:$A$1001="SHYAM METALLIKS")*(Master!$M$2:$M$1001="130 x 130 x 6MTR"),ROW(Master!$A$2:$A$1001)-ROW(Master!$A$2)+1),254),"")</f>
      </c>
      <c r="P258">
        <f t="shared" si="7"/>
      </c>
    </row>
    <row r="259" spans="1:16" x14ac:dyDescent="0.25">
      <c r="A259" s="235">
        <f>IF($O259="","",INDEX(Master!$D$2:$D$1001,$O259))</f>
      </c>
      <c r="B259" s="166">
        <f>IF($O259="","",INDEX(Master!$B$2:$B$1001,$O259))</f>
      </c>
      <c r="C259">
        <f>IF($O259="","",INDEX(Master!$C$2:$C$1001,$O259))</f>
      </c>
      <c r="D259">
        <f>IF($O259="","",INDEX(Master!$A$2:$A$1001,$O259))</f>
      </c>
      <c r="E259">
        <f>IF($O259="","",INDEX(Master!$E$2:$E$1001,$O259))</f>
      </c>
      <c r="F259">
        <f>IF($O259="","",INDEX(Master!$F$2:$F$1001,$O259))</f>
      </c>
      <c r="G259">
        <f>IF($O259="","",INDEX(Master!$G$2:$G$1001,$O259))</f>
      </c>
      <c r="H259">
        <f>IF($O259="","",INDEX(Master!$H$2:$H$1001,$O259))</f>
      </c>
      <c r="I259">
        <f>IF($O259="","",INDEX(Master!$I$2:$I$1001,$O259))</f>
      </c>
      <c r="J259">
        <f>IF($O259="","",INDEX(Master!$J$2:$J$1001,$O259))</f>
      </c>
      <c r="K259">
        <f t="shared" si="6"/>
      </c>
      <c r="L259">
        <f>IF($O259="","",INDEX(Master!$K$2:$K$1001,$O259))</f>
      </c>
      <c r="M259">
        <f>IF($O259="","",INDEX(Master!$L$2:$L$1001,$O259))</f>
      </c>
      <c r="O259">
        <f t="array" ref="O259">IFERROR(SMALL(IF((Master!$A$2:$A$1001="SHYAM METALLIKS")*(Master!$M$2:$M$1001="130 x 130 x 6MTR"),ROW(Master!$A$2:$A$1001)-ROW(Master!$A$2)+1),255),"")</f>
      </c>
      <c r="P259">
        <f t="shared" si="7"/>
      </c>
    </row>
    <row r="260" spans="1:16" x14ac:dyDescent="0.25">
      <c r="A260" s="235">
        <f>IF($O260="","",INDEX(Master!$D$2:$D$1001,$O260))</f>
      </c>
      <c r="B260" s="166">
        <f>IF($O260="","",INDEX(Master!$B$2:$B$1001,$O260))</f>
      </c>
      <c r="C260">
        <f>IF($O260="","",INDEX(Master!$C$2:$C$1001,$O260))</f>
      </c>
      <c r="D260">
        <f>IF($O260="","",INDEX(Master!$A$2:$A$1001,$O260))</f>
      </c>
      <c r="E260">
        <f>IF($O260="","",INDEX(Master!$E$2:$E$1001,$O260))</f>
      </c>
      <c r="F260">
        <f>IF($O260="","",INDEX(Master!$F$2:$F$1001,$O260))</f>
      </c>
      <c r="G260">
        <f>IF($O260="","",INDEX(Master!$G$2:$G$1001,$O260))</f>
      </c>
      <c r="H260">
        <f>IF($O260="","",INDEX(Master!$H$2:$H$1001,$O260))</f>
      </c>
      <c r="I260">
        <f>IF($O260="","",INDEX(Master!$I$2:$I$1001,$O260))</f>
      </c>
      <c r="J260">
        <f>IF($O260="","",INDEX(Master!$J$2:$J$1001,$O260))</f>
      </c>
      <c r="K260">
        <f t="shared" si="6"/>
      </c>
      <c r="L260">
        <f>IF($O260="","",INDEX(Master!$K$2:$K$1001,$O260))</f>
      </c>
      <c r="M260">
        <f>IF($O260="","",INDEX(Master!$L$2:$L$1001,$O260))</f>
      </c>
      <c r="O260">
        <f t="array" ref="O260">IFERROR(SMALL(IF((Master!$A$2:$A$1001="SHYAM METALLIKS")*(Master!$M$2:$M$1001="130 x 130 x 6MTR"),ROW(Master!$A$2:$A$1001)-ROW(Master!$A$2)+1),256),"")</f>
      </c>
      <c r="P260">
        <f t="shared" si="7"/>
      </c>
    </row>
    <row r="261" spans="1:16" x14ac:dyDescent="0.25">
      <c r="A261" s="235">
        <f>IF($O261="","",INDEX(Master!$D$2:$D$1001,$O261))</f>
      </c>
      <c r="B261" s="166">
        <f>IF($O261="","",INDEX(Master!$B$2:$B$1001,$O261))</f>
      </c>
      <c r="C261">
        <f>IF($O261="","",INDEX(Master!$C$2:$C$1001,$O261))</f>
      </c>
      <c r="D261">
        <f>IF($O261="","",INDEX(Master!$A$2:$A$1001,$O261))</f>
      </c>
      <c r="E261">
        <f>IF($O261="","",INDEX(Master!$E$2:$E$1001,$O261))</f>
      </c>
      <c r="F261">
        <f>IF($O261="","",INDEX(Master!$F$2:$F$1001,$O261))</f>
      </c>
      <c r="G261">
        <f>IF($O261="","",INDEX(Master!$G$2:$G$1001,$O261))</f>
      </c>
      <c r="H261">
        <f>IF($O261="","",INDEX(Master!$H$2:$H$1001,$O261))</f>
      </c>
      <c r="I261">
        <f>IF($O261="","",INDEX(Master!$I$2:$I$1001,$O261))</f>
      </c>
      <c r="J261">
        <f>IF($O261="","",INDEX(Master!$J$2:$J$1001,$O261))</f>
      </c>
      <c r="K261">
        <f t="shared" ref="K261:K304" si="8">IF(OR($O261="",$F261="",$F261=0),"",$H261/$F261)</f>
      </c>
      <c r="L261">
        <f>IF($O261="","",INDEX(Master!$K$2:$K$1001,$O261))</f>
      </c>
      <c r="M261">
        <f>IF($O261="","",INDEX(Master!$L$2:$L$1001,$O261))</f>
      </c>
      <c r="O261">
        <f t="array" ref="O261">IFERROR(SMALL(IF((Master!$A$2:$A$1001="SHYAM METALLIKS")*(Master!$M$2:$M$1001="130 x 130 x 6MTR"),ROW(Master!$A$2:$A$1001)-ROW(Master!$A$2)+1),257),"")</f>
      </c>
      <c r="P261">
        <f t="shared" ref="P261:P304" si="9">IF($A261="",0,IF(OR(AND($E261&lt;&gt;"",OR($E261&gt;0.18)),AND($F261&lt;&gt;"",OR($F261&gt;0.045,($F261+$G261)&gt;0.14)),AND($G261&lt;&gt;"",OR($G261&gt;0.08,($F261+$G261)&gt;0.14)),AND($H261&lt;&gt;"",$H261&lt;0.4),AND($J261&lt;&gt;"",OR($J261&lt;0.1))),1,0))</f>
      </c>
    </row>
    <row r="262" spans="1:16" x14ac:dyDescent="0.25">
      <c r="A262" s="235">
        <f>IF($O262="","",INDEX(Master!$D$2:$D$1001,$O262))</f>
      </c>
      <c r="B262" s="166">
        <f>IF($O262="","",INDEX(Master!$B$2:$B$1001,$O262))</f>
      </c>
      <c r="C262">
        <f>IF($O262="","",INDEX(Master!$C$2:$C$1001,$O262))</f>
      </c>
      <c r="D262">
        <f>IF($O262="","",INDEX(Master!$A$2:$A$1001,$O262))</f>
      </c>
      <c r="E262">
        <f>IF($O262="","",INDEX(Master!$E$2:$E$1001,$O262))</f>
      </c>
      <c r="F262">
        <f>IF($O262="","",INDEX(Master!$F$2:$F$1001,$O262))</f>
      </c>
      <c r="G262">
        <f>IF($O262="","",INDEX(Master!$G$2:$G$1001,$O262))</f>
      </c>
      <c r="H262">
        <f>IF($O262="","",INDEX(Master!$H$2:$H$1001,$O262))</f>
      </c>
      <c r="I262">
        <f>IF($O262="","",INDEX(Master!$I$2:$I$1001,$O262))</f>
      </c>
      <c r="J262">
        <f>IF($O262="","",INDEX(Master!$J$2:$J$1001,$O262))</f>
      </c>
      <c r="K262">
        <f t="shared" si="8"/>
      </c>
      <c r="L262">
        <f>IF($O262="","",INDEX(Master!$K$2:$K$1001,$O262))</f>
      </c>
      <c r="M262">
        <f>IF($O262="","",INDEX(Master!$L$2:$L$1001,$O262))</f>
      </c>
      <c r="O262">
        <f t="array" ref="O262">IFERROR(SMALL(IF((Master!$A$2:$A$1001="SHYAM METALLIKS")*(Master!$M$2:$M$1001="130 x 130 x 6MTR"),ROW(Master!$A$2:$A$1001)-ROW(Master!$A$2)+1),258),"")</f>
      </c>
      <c r="P262">
        <f t="shared" si="9"/>
      </c>
    </row>
    <row r="263" spans="1:16" x14ac:dyDescent="0.25">
      <c r="A263" s="235">
        <f>IF($O263="","",INDEX(Master!$D$2:$D$1001,$O263))</f>
      </c>
      <c r="B263" s="166">
        <f>IF($O263="","",INDEX(Master!$B$2:$B$1001,$O263))</f>
      </c>
      <c r="C263">
        <f>IF($O263="","",INDEX(Master!$C$2:$C$1001,$O263))</f>
      </c>
      <c r="D263">
        <f>IF($O263="","",INDEX(Master!$A$2:$A$1001,$O263))</f>
      </c>
      <c r="E263">
        <f>IF($O263="","",INDEX(Master!$E$2:$E$1001,$O263))</f>
      </c>
      <c r="F263">
        <f>IF($O263="","",INDEX(Master!$F$2:$F$1001,$O263))</f>
      </c>
      <c r="G263">
        <f>IF($O263="","",INDEX(Master!$G$2:$G$1001,$O263))</f>
      </c>
      <c r="H263">
        <f>IF($O263="","",INDEX(Master!$H$2:$H$1001,$O263))</f>
      </c>
      <c r="I263">
        <f>IF($O263="","",INDEX(Master!$I$2:$I$1001,$O263))</f>
      </c>
      <c r="J263">
        <f>IF($O263="","",INDEX(Master!$J$2:$J$1001,$O263))</f>
      </c>
      <c r="K263">
        <f t="shared" si="8"/>
      </c>
      <c r="L263">
        <f>IF($O263="","",INDEX(Master!$K$2:$K$1001,$O263))</f>
      </c>
      <c r="M263">
        <f>IF($O263="","",INDEX(Master!$L$2:$L$1001,$O263))</f>
      </c>
      <c r="O263">
        <f t="array" ref="O263">IFERROR(SMALL(IF((Master!$A$2:$A$1001="SHYAM METALLIKS")*(Master!$M$2:$M$1001="130 x 130 x 6MTR"),ROW(Master!$A$2:$A$1001)-ROW(Master!$A$2)+1),259),"")</f>
      </c>
      <c r="P263">
        <f t="shared" si="9"/>
      </c>
    </row>
    <row r="264" spans="1:16" x14ac:dyDescent="0.25">
      <c r="A264" s="235">
        <f>IF($O264="","",INDEX(Master!$D$2:$D$1001,$O264))</f>
      </c>
      <c r="B264" s="166">
        <f>IF($O264="","",INDEX(Master!$B$2:$B$1001,$O264))</f>
      </c>
      <c r="C264">
        <f>IF($O264="","",INDEX(Master!$C$2:$C$1001,$O264))</f>
      </c>
      <c r="D264">
        <f>IF($O264="","",INDEX(Master!$A$2:$A$1001,$O264))</f>
      </c>
      <c r="E264">
        <f>IF($O264="","",INDEX(Master!$E$2:$E$1001,$O264))</f>
      </c>
      <c r="F264">
        <f>IF($O264="","",INDEX(Master!$F$2:$F$1001,$O264))</f>
      </c>
      <c r="G264">
        <f>IF($O264="","",INDEX(Master!$G$2:$G$1001,$O264))</f>
      </c>
      <c r="H264">
        <f>IF($O264="","",INDEX(Master!$H$2:$H$1001,$O264))</f>
      </c>
      <c r="I264">
        <f>IF($O264="","",INDEX(Master!$I$2:$I$1001,$O264))</f>
      </c>
      <c r="J264">
        <f>IF($O264="","",INDEX(Master!$J$2:$J$1001,$O264))</f>
      </c>
      <c r="K264">
        <f t="shared" si="8"/>
      </c>
      <c r="L264">
        <f>IF($O264="","",INDEX(Master!$K$2:$K$1001,$O264))</f>
      </c>
      <c r="M264">
        <f>IF($O264="","",INDEX(Master!$L$2:$L$1001,$O264))</f>
      </c>
      <c r="O264">
        <f t="array" ref="O264">IFERROR(SMALL(IF((Master!$A$2:$A$1001="SHYAM METALLIKS")*(Master!$M$2:$M$1001="130 x 130 x 6MTR"),ROW(Master!$A$2:$A$1001)-ROW(Master!$A$2)+1),260),"")</f>
      </c>
      <c r="P264">
        <f t="shared" si="9"/>
      </c>
    </row>
    <row r="265" spans="1:16" x14ac:dyDescent="0.25">
      <c r="A265" s="235">
        <f>IF($O265="","",INDEX(Master!$D$2:$D$1001,$O265))</f>
      </c>
      <c r="B265" s="166">
        <f>IF($O265="","",INDEX(Master!$B$2:$B$1001,$O265))</f>
      </c>
      <c r="C265">
        <f>IF($O265="","",INDEX(Master!$C$2:$C$1001,$O265))</f>
      </c>
      <c r="D265">
        <f>IF($O265="","",INDEX(Master!$A$2:$A$1001,$O265))</f>
      </c>
      <c r="E265">
        <f>IF($O265="","",INDEX(Master!$E$2:$E$1001,$O265))</f>
      </c>
      <c r="F265">
        <f>IF($O265="","",INDEX(Master!$F$2:$F$1001,$O265))</f>
      </c>
      <c r="G265">
        <f>IF($O265="","",INDEX(Master!$G$2:$G$1001,$O265))</f>
      </c>
      <c r="H265">
        <f>IF($O265="","",INDEX(Master!$H$2:$H$1001,$O265))</f>
      </c>
      <c r="I265">
        <f>IF($O265="","",INDEX(Master!$I$2:$I$1001,$O265))</f>
      </c>
      <c r="J265">
        <f>IF($O265="","",INDEX(Master!$J$2:$J$1001,$O265))</f>
      </c>
      <c r="K265">
        <f t="shared" si="8"/>
      </c>
      <c r="L265">
        <f>IF($O265="","",INDEX(Master!$K$2:$K$1001,$O265))</f>
      </c>
      <c r="M265">
        <f>IF($O265="","",INDEX(Master!$L$2:$L$1001,$O265))</f>
      </c>
      <c r="O265">
        <f t="array" ref="O265">IFERROR(SMALL(IF((Master!$A$2:$A$1001="SHYAM METALLIKS")*(Master!$M$2:$M$1001="130 x 130 x 6MTR"),ROW(Master!$A$2:$A$1001)-ROW(Master!$A$2)+1),261),"")</f>
      </c>
      <c r="P265">
        <f t="shared" si="9"/>
      </c>
    </row>
    <row r="266" spans="1:16" x14ac:dyDescent="0.25">
      <c r="A266" s="235">
        <f>IF($O266="","",INDEX(Master!$D$2:$D$1001,$O266))</f>
      </c>
      <c r="B266" s="166">
        <f>IF($O266="","",INDEX(Master!$B$2:$B$1001,$O266))</f>
      </c>
      <c r="C266">
        <f>IF($O266="","",INDEX(Master!$C$2:$C$1001,$O266))</f>
      </c>
      <c r="D266">
        <f>IF($O266="","",INDEX(Master!$A$2:$A$1001,$O266))</f>
      </c>
      <c r="E266">
        <f>IF($O266="","",INDEX(Master!$E$2:$E$1001,$O266))</f>
      </c>
      <c r="F266">
        <f>IF($O266="","",INDEX(Master!$F$2:$F$1001,$O266))</f>
      </c>
      <c r="G266">
        <f>IF($O266="","",INDEX(Master!$G$2:$G$1001,$O266))</f>
      </c>
      <c r="H266">
        <f>IF($O266="","",INDEX(Master!$H$2:$H$1001,$O266))</f>
      </c>
      <c r="I266">
        <f>IF($O266="","",INDEX(Master!$I$2:$I$1001,$O266))</f>
      </c>
      <c r="J266">
        <f>IF($O266="","",INDEX(Master!$J$2:$J$1001,$O266))</f>
      </c>
      <c r="K266">
        <f t="shared" si="8"/>
      </c>
      <c r="L266">
        <f>IF($O266="","",INDEX(Master!$K$2:$K$1001,$O266))</f>
      </c>
      <c r="M266">
        <f>IF($O266="","",INDEX(Master!$L$2:$L$1001,$O266))</f>
      </c>
      <c r="O266">
        <f t="array" ref="O266">IFERROR(SMALL(IF((Master!$A$2:$A$1001="SHYAM METALLIKS")*(Master!$M$2:$M$1001="130 x 130 x 6MTR"),ROW(Master!$A$2:$A$1001)-ROW(Master!$A$2)+1),262),"")</f>
      </c>
      <c r="P266">
        <f t="shared" si="9"/>
      </c>
    </row>
    <row r="267" spans="1:16" x14ac:dyDescent="0.25">
      <c r="A267" s="235">
        <f>IF($O267="","",INDEX(Master!$D$2:$D$1001,$O267))</f>
      </c>
      <c r="B267" s="166">
        <f>IF($O267="","",INDEX(Master!$B$2:$B$1001,$O267))</f>
      </c>
      <c r="C267">
        <f>IF($O267="","",INDEX(Master!$C$2:$C$1001,$O267))</f>
      </c>
      <c r="D267">
        <f>IF($O267="","",INDEX(Master!$A$2:$A$1001,$O267))</f>
      </c>
      <c r="E267">
        <f>IF($O267="","",INDEX(Master!$E$2:$E$1001,$O267))</f>
      </c>
      <c r="F267">
        <f>IF($O267="","",INDEX(Master!$F$2:$F$1001,$O267))</f>
      </c>
      <c r="G267">
        <f>IF($O267="","",INDEX(Master!$G$2:$G$1001,$O267))</f>
      </c>
      <c r="H267">
        <f>IF($O267="","",INDEX(Master!$H$2:$H$1001,$O267))</f>
      </c>
      <c r="I267">
        <f>IF($O267="","",INDEX(Master!$I$2:$I$1001,$O267))</f>
      </c>
      <c r="J267">
        <f>IF($O267="","",INDEX(Master!$J$2:$J$1001,$O267))</f>
      </c>
      <c r="K267">
        <f t="shared" si="8"/>
      </c>
      <c r="L267">
        <f>IF($O267="","",INDEX(Master!$K$2:$K$1001,$O267))</f>
      </c>
      <c r="M267">
        <f>IF($O267="","",INDEX(Master!$L$2:$L$1001,$O267))</f>
      </c>
      <c r="O267">
        <f t="array" ref="O267">IFERROR(SMALL(IF((Master!$A$2:$A$1001="SHYAM METALLIKS")*(Master!$M$2:$M$1001="130 x 130 x 6MTR"),ROW(Master!$A$2:$A$1001)-ROW(Master!$A$2)+1),263),"")</f>
      </c>
      <c r="P267">
        <f t="shared" si="9"/>
      </c>
    </row>
    <row r="268" spans="1:16" x14ac:dyDescent="0.25">
      <c r="A268" s="235">
        <f>IF($O268="","",INDEX(Master!$D$2:$D$1001,$O268))</f>
      </c>
      <c r="B268" s="166">
        <f>IF($O268="","",INDEX(Master!$B$2:$B$1001,$O268))</f>
      </c>
      <c r="C268">
        <f>IF($O268="","",INDEX(Master!$C$2:$C$1001,$O268))</f>
      </c>
      <c r="D268">
        <f>IF($O268="","",INDEX(Master!$A$2:$A$1001,$O268))</f>
      </c>
      <c r="E268">
        <f>IF($O268="","",INDEX(Master!$E$2:$E$1001,$O268))</f>
      </c>
      <c r="F268">
        <f>IF($O268="","",INDEX(Master!$F$2:$F$1001,$O268))</f>
      </c>
      <c r="G268">
        <f>IF($O268="","",INDEX(Master!$G$2:$G$1001,$O268))</f>
      </c>
      <c r="H268">
        <f>IF($O268="","",INDEX(Master!$H$2:$H$1001,$O268))</f>
      </c>
      <c r="I268">
        <f>IF($O268="","",INDEX(Master!$I$2:$I$1001,$O268))</f>
      </c>
      <c r="J268">
        <f>IF($O268="","",INDEX(Master!$J$2:$J$1001,$O268))</f>
      </c>
      <c r="K268">
        <f t="shared" si="8"/>
      </c>
      <c r="L268">
        <f>IF($O268="","",INDEX(Master!$K$2:$K$1001,$O268))</f>
      </c>
      <c r="M268">
        <f>IF($O268="","",INDEX(Master!$L$2:$L$1001,$O268))</f>
      </c>
      <c r="O268">
        <f t="array" ref="O268">IFERROR(SMALL(IF((Master!$A$2:$A$1001="SHYAM METALLIKS")*(Master!$M$2:$M$1001="130 x 130 x 6MTR"),ROW(Master!$A$2:$A$1001)-ROW(Master!$A$2)+1),264),"")</f>
      </c>
      <c r="P268">
        <f t="shared" si="9"/>
      </c>
    </row>
    <row r="269" spans="1:16" x14ac:dyDescent="0.25">
      <c r="A269" s="235">
        <f>IF($O269="","",INDEX(Master!$D$2:$D$1001,$O269))</f>
      </c>
      <c r="B269" s="166">
        <f>IF($O269="","",INDEX(Master!$B$2:$B$1001,$O269))</f>
      </c>
      <c r="C269">
        <f>IF($O269="","",INDEX(Master!$C$2:$C$1001,$O269))</f>
      </c>
      <c r="D269">
        <f>IF($O269="","",INDEX(Master!$A$2:$A$1001,$O269))</f>
      </c>
      <c r="E269">
        <f>IF($O269="","",INDEX(Master!$E$2:$E$1001,$O269))</f>
      </c>
      <c r="F269">
        <f>IF($O269="","",INDEX(Master!$F$2:$F$1001,$O269))</f>
      </c>
      <c r="G269">
        <f>IF($O269="","",INDEX(Master!$G$2:$G$1001,$O269))</f>
      </c>
      <c r="H269">
        <f>IF($O269="","",INDEX(Master!$H$2:$H$1001,$O269))</f>
      </c>
      <c r="I269">
        <f>IF($O269="","",INDEX(Master!$I$2:$I$1001,$O269))</f>
      </c>
      <c r="J269">
        <f>IF($O269="","",INDEX(Master!$J$2:$J$1001,$O269))</f>
      </c>
      <c r="K269">
        <f t="shared" si="8"/>
      </c>
      <c r="L269">
        <f>IF($O269="","",INDEX(Master!$K$2:$K$1001,$O269))</f>
      </c>
      <c r="M269">
        <f>IF($O269="","",INDEX(Master!$L$2:$L$1001,$O269))</f>
      </c>
      <c r="O269">
        <f t="array" ref="O269">IFERROR(SMALL(IF((Master!$A$2:$A$1001="SHYAM METALLIKS")*(Master!$M$2:$M$1001="130 x 130 x 6MTR"),ROW(Master!$A$2:$A$1001)-ROW(Master!$A$2)+1),265),"")</f>
      </c>
      <c r="P269">
        <f t="shared" si="9"/>
      </c>
    </row>
    <row r="270" spans="1:16" x14ac:dyDescent="0.25">
      <c r="A270" s="235">
        <f>IF($O270="","",INDEX(Master!$D$2:$D$1001,$O270))</f>
      </c>
      <c r="B270" s="166">
        <f>IF($O270="","",INDEX(Master!$B$2:$B$1001,$O270))</f>
      </c>
      <c r="C270">
        <f>IF($O270="","",INDEX(Master!$C$2:$C$1001,$O270))</f>
      </c>
      <c r="D270">
        <f>IF($O270="","",INDEX(Master!$A$2:$A$1001,$O270))</f>
      </c>
      <c r="E270">
        <f>IF($O270="","",INDEX(Master!$E$2:$E$1001,$O270))</f>
      </c>
      <c r="F270">
        <f>IF($O270="","",INDEX(Master!$F$2:$F$1001,$O270))</f>
      </c>
      <c r="G270">
        <f>IF($O270="","",INDEX(Master!$G$2:$G$1001,$O270))</f>
      </c>
      <c r="H270">
        <f>IF($O270="","",INDEX(Master!$H$2:$H$1001,$O270))</f>
      </c>
      <c r="I270">
        <f>IF($O270="","",INDEX(Master!$I$2:$I$1001,$O270))</f>
      </c>
      <c r="J270">
        <f>IF($O270="","",INDEX(Master!$J$2:$J$1001,$O270))</f>
      </c>
      <c r="K270">
        <f t="shared" si="8"/>
      </c>
      <c r="L270">
        <f>IF($O270="","",INDEX(Master!$K$2:$K$1001,$O270))</f>
      </c>
      <c r="M270">
        <f>IF($O270="","",INDEX(Master!$L$2:$L$1001,$O270))</f>
      </c>
      <c r="O270">
        <f t="array" ref="O270">IFERROR(SMALL(IF((Master!$A$2:$A$1001="SHYAM METALLIKS")*(Master!$M$2:$M$1001="130 x 130 x 6MTR"),ROW(Master!$A$2:$A$1001)-ROW(Master!$A$2)+1),266),"")</f>
      </c>
      <c r="P270">
        <f t="shared" si="9"/>
      </c>
    </row>
    <row r="271" spans="1:16" x14ac:dyDescent="0.25">
      <c r="A271" s="235">
        <f>IF($O271="","",INDEX(Master!$D$2:$D$1001,$O271))</f>
      </c>
      <c r="B271" s="166">
        <f>IF($O271="","",INDEX(Master!$B$2:$B$1001,$O271))</f>
      </c>
      <c r="C271">
        <f>IF($O271="","",INDEX(Master!$C$2:$C$1001,$O271))</f>
      </c>
      <c r="D271">
        <f>IF($O271="","",INDEX(Master!$A$2:$A$1001,$O271))</f>
      </c>
      <c r="E271">
        <f>IF($O271="","",INDEX(Master!$E$2:$E$1001,$O271))</f>
      </c>
      <c r="F271">
        <f>IF($O271="","",INDEX(Master!$F$2:$F$1001,$O271))</f>
      </c>
      <c r="G271">
        <f>IF($O271="","",INDEX(Master!$G$2:$G$1001,$O271))</f>
      </c>
      <c r="H271">
        <f>IF($O271="","",INDEX(Master!$H$2:$H$1001,$O271))</f>
      </c>
      <c r="I271">
        <f>IF($O271="","",INDEX(Master!$I$2:$I$1001,$O271))</f>
      </c>
      <c r="J271">
        <f>IF($O271="","",INDEX(Master!$J$2:$J$1001,$O271))</f>
      </c>
      <c r="K271">
        <f t="shared" si="8"/>
      </c>
      <c r="L271">
        <f>IF($O271="","",INDEX(Master!$K$2:$K$1001,$O271))</f>
      </c>
      <c r="M271">
        <f>IF($O271="","",INDEX(Master!$L$2:$L$1001,$O271))</f>
      </c>
      <c r="O271">
        <f t="array" ref="O271">IFERROR(SMALL(IF((Master!$A$2:$A$1001="SHYAM METALLIKS")*(Master!$M$2:$M$1001="130 x 130 x 6MTR"),ROW(Master!$A$2:$A$1001)-ROW(Master!$A$2)+1),267),"")</f>
      </c>
      <c r="P271">
        <f t="shared" si="9"/>
      </c>
    </row>
    <row r="272" spans="1:16" x14ac:dyDescent="0.25">
      <c r="A272" s="235">
        <f>IF($O272="","",INDEX(Master!$D$2:$D$1001,$O272))</f>
      </c>
      <c r="B272" s="166">
        <f>IF($O272="","",INDEX(Master!$B$2:$B$1001,$O272))</f>
      </c>
      <c r="C272">
        <f>IF($O272="","",INDEX(Master!$C$2:$C$1001,$O272))</f>
      </c>
      <c r="D272">
        <f>IF($O272="","",INDEX(Master!$A$2:$A$1001,$O272))</f>
      </c>
      <c r="E272">
        <f>IF($O272="","",INDEX(Master!$E$2:$E$1001,$O272))</f>
      </c>
      <c r="F272">
        <f>IF($O272="","",INDEX(Master!$F$2:$F$1001,$O272))</f>
      </c>
      <c r="G272">
        <f>IF($O272="","",INDEX(Master!$G$2:$G$1001,$O272))</f>
      </c>
      <c r="H272">
        <f>IF($O272="","",INDEX(Master!$H$2:$H$1001,$O272))</f>
      </c>
      <c r="I272">
        <f>IF($O272="","",INDEX(Master!$I$2:$I$1001,$O272))</f>
      </c>
      <c r="J272">
        <f>IF($O272="","",INDEX(Master!$J$2:$J$1001,$O272))</f>
      </c>
      <c r="K272">
        <f t="shared" si="8"/>
      </c>
      <c r="L272">
        <f>IF($O272="","",INDEX(Master!$K$2:$K$1001,$O272))</f>
      </c>
      <c r="M272">
        <f>IF($O272="","",INDEX(Master!$L$2:$L$1001,$O272))</f>
      </c>
      <c r="O272">
        <f t="array" ref="O272">IFERROR(SMALL(IF((Master!$A$2:$A$1001="SHYAM METALLIKS")*(Master!$M$2:$M$1001="130 x 130 x 6MTR"),ROW(Master!$A$2:$A$1001)-ROW(Master!$A$2)+1),268),"")</f>
      </c>
      <c r="P272">
        <f t="shared" si="9"/>
      </c>
    </row>
    <row r="273" spans="1:16" x14ac:dyDescent="0.25">
      <c r="A273" s="235">
        <f>IF($O273="","",INDEX(Master!$D$2:$D$1001,$O273))</f>
      </c>
      <c r="B273" s="166">
        <f>IF($O273="","",INDEX(Master!$B$2:$B$1001,$O273))</f>
      </c>
      <c r="C273">
        <f>IF($O273="","",INDEX(Master!$C$2:$C$1001,$O273))</f>
      </c>
      <c r="D273">
        <f>IF($O273="","",INDEX(Master!$A$2:$A$1001,$O273))</f>
      </c>
      <c r="E273">
        <f>IF($O273="","",INDEX(Master!$E$2:$E$1001,$O273))</f>
      </c>
      <c r="F273">
        <f>IF($O273="","",INDEX(Master!$F$2:$F$1001,$O273))</f>
      </c>
      <c r="G273">
        <f>IF($O273="","",INDEX(Master!$G$2:$G$1001,$O273))</f>
      </c>
      <c r="H273">
        <f>IF($O273="","",INDEX(Master!$H$2:$H$1001,$O273))</f>
      </c>
      <c r="I273">
        <f>IF($O273="","",INDEX(Master!$I$2:$I$1001,$O273))</f>
      </c>
      <c r="J273">
        <f>IF($O273="","",INDEX(Master!$J$2:$J$1001,$O273))</f>
      </c>
      <c r="K273">
        <f t="shared" si="8"/>
      </c>
      <c r="L273">
        <f>IF($O273="","",INDEX(Master!$K$2:$K$1001,$O273))</f>
      </c>
      <c r="M273">
        <f>IF($O273="","",INDEX(Master!$L$2:$L$1001,$O273))</f>
      </c>
      <c r="O273">
        <f t="array" ref="O273">IFERROR(SMALL(IF((Master!$A$2:$A$1001="SHYAM METALLIKS")*(Master!$M$2:$M$1001="130 x 130 x 6MTR"),ROW(Master!$A$2:$A$1001)-ROW(Master!$A$2)+1),269),"")</f>
      </c>
      <c r="P273">
        <f t="shared" si="9"/>
      </c>
    </row>
    <row r="274" spans="1:16" x14ac:dyDescent="0.25">
      <c r="A274" s="235">
        <f>IF($O274="","",INDEX(Master!$D$2:$D$1001,$O274))</f>
      </c>
      <c r="B274" s="166">
        <f>IF($O274="","",INDEX(Master!$B$2:$B$1001,$O274))</f>
      </c>
      <c r="C274">
        <f>IF($O274="","",INDEX(Master!$C$2:$C$1001,$O274))</f>
      </c>
      <c r="D274">
        <f>IF($O274="","",INDEX(Master!$A$2:$A$1001,$O274))</f>
      </c>
      <c r="E274">
        <f>IF($O274="","",INDEX(Master!$E$2:$E$1001,$O274))</f>
      </c>
      <c r="F274">
        <f>IF($O274="","",INDEX(Master!$F$2:$F$1001,$O274))</f>
      </c>
      <c r="G274">
        <f>IF($O274="","",INDEX(Master!$G$2:$G$1001,$O274))</f>
      </c>
      <c r="H274">
        <f>IF($O274="","",INDEX(Master!$H$2:$H$1001,$O274))</f>
      </c>
      <c r="I274">
        <f>IF($O274="","",INDEX(Master!$I$2:$I$1001,$O274))</f>
      </c>
      <c r="J274">
        <f>IF($O274="","",INDEX(Master!$J$2:$J$1001,$O274))</f>
      </c>
      <c r="K274">
        <f t="shared" si="8"/>
      </c>
      <c r="L274">
        <f>IF($O274="","",INDEX(Master!$K$2:$K$1001,$O274))</f>
      </c>
      <c r="M274">
        <f>IF($O274="","",INDEX(Master!$L$2:$L$1001,$O274))</f>
      </c>
      <c r="O274">
        <f t="array" ref="O274">IFERROR(SMALL(IF((Master!$A$2:$A$1001="SHYAM METALLIKS")*(Master!$M$2:$M$1001="130 x 130 x 6MTR"),ROW(Master!$A$2:$A$1001)-ROW(Master!$A$2)+1),270),"")</f>
      </c>
      <c r="P274">
        <f t="shared" si="9"/>
      </c>
    </row>
    <row r="275" spans="1:16" x14ac:dyDescent="0.25">
      <c r="A275" s="235">
        <f>IF($O275="","",INDEX(Master!$D$2:$D$1001,$O275))</f>
      </c>
      <c r="B275" s="166">
        <f>IF($O275="","",INDEX(Master!$B$2:$B$1001,$O275))</f>
      </c>
      <c r="C275">
        <f>IF($O275="","",INDEX(Master!$C$2:$C$1001,$O275))</f>
      </c>
      <c r="D275">
        <f>IF($O275="","",INDEX(Master!$A$2:$A$1001,$O275))</f>
      </c>
      <c r="E275">
        <f>IF($O275="","",INDEX(Master!$E$2:$E$1001,$O275))</f>
      </c>
      <c r="F275">
        <f>IF($O275="","",INDEX(Master!$F$2:$F$1001,$O275))</f>
      </c>
      <c r="G275">
        <f>IF($O275="","",INDEX(Master!$G$2:$G$1001,$O275))</f>
      </c>
      <c r="H275">
        <f>IF($O275="","",INDEX(Master!$H$2:$H$1001,$O275))</f>
      </c>
      <c r="I275">
        <f>IF($O275="","",INDEX(Master!$I$2:$I$1001,$O275))</f>
      </c>
      <c r="J275">
        <f>IF($O275="","",INDEX(Master!$J$2:$J$1001,$O275))</f>
      </c>
      <c r="K275">
        <f t="shared" si="8"/>
      </c>
      <c r="L275">
        <f>IF($O275="","",INDEX(Master!$K$2:$K$1001,$O275))</f>
      </c>
      <c r="M275">
        <f>IF($O275="","",INDEX(Master!$L$2:$L$1001,$O275))</f>
      </c>
      <c r="O275">
        <f t="array" ref="O275">IFERROR(SMALL(IF((Master!$A$2:$A$1001="SHYAM METALLIKS")*(Master!$M$2:$M$1001="130 x 130 x 6MTR"),ROW(Master!$A$2:$A$1001)-ROW(Master!$A$2)+1),271),"")</f>
      </c>
      <c r="P275">
        <f t="shared" si="9"/>
      </c>
    </row>
    <row r="276" spans="1:16" x14ac:dyDescent="0.25">
      <c r="A276" s="235">
        <f>IF($O276="","",INDEX(Master!$D$2:$D$1001,$O276))</f>
      </c>
      <c r="B276" s="166">
        <f>IF($O276="","",INDEX(Master!$B$2:$B$1001,$O276))</f>
      </c>
      <c r="C276">
        <f>IF($O276="","",INDEX(Master!$C$2:$C$1001,$O276))</f>
      </c>
      <c r="D276">
        <f>IF($O276="","",INDEX(Master!$A$2:$A$1001,$O276))</f>
      </c>
      <c r="E276">
        <f>IF($O276="","",INDEX(Master!$E$2:$E$1001,$O276))</f>
      </c>
      <c r="F276">
        <f>IF($O276="","",INDEX(Master!$F$2:$F$1001,$O276))</f>
      </c>
      <c r="G276">
        <f>IF($O276="","",INDEX(Master!$G$2:$G$1001,$O276))</f>
      </c>
      <c r="H276">
        <f>IF($O276="","",INDEX(Master!$H$2:$H$1001,$O276))</f>
      </c>
      <c r="I276">
        <f>IF($O276="","",INDEX(Master!$I$2:$I$1001,$O276))</f>
      </c>
      <c r="J276">
        <f>IF($O276="","",INDEX(Master!$J$2:$J$1001,$O276))</f>
      </c>
      <c r="K276">
        <f t="shared" si="8"/>
      </c>
      <c r="L276">
        <f>IF($O276="","",INDEX(Master!$K$2:$K$1001,$O276))</f>
      </c>
      <c r="M276">
        <f>IF($O276="","",INDEX(Master!$L$2:$L$1001,$O276))</f>
      </c>
      <c r="O276">
        <f t="array" ref="O276">IFERROR(SMALL(IF((Master!$A$2:$A$1001="SHYAM METALLIKS")*(Master!$M$2:$M$1001="130 x 130 x 6MTR"),ROW(Master!$A$2:$A$1001)-ROW(Master!$A$2)+1),272),"")</f>
      </c>
      <c r="P276">
        <f t="shared" si="9"/>
      </c>
    </row>
    <row r="277" spans="1:16" x14ac:dyDescent="0.25">
      <c r="A277" s="235">
        <f>IF($O277="","",INDEX(Master!$D$2:$D$1001,$O277))</f>
      </c>
      <c r="B277" s="166">
        <f>IF($O277="","",INDEX(Master!$B$2:$B$1001,$O277))</f>
      </c>
      <c r="C277">
        <f>IF($O277="","",INDEX(Master!$C$2:$C$1001,$O277))</f>
      </c>
      <c r="D277">
        <f>IF($O277="","",INDEX(Master!$A$2:$A$1001,$O277))</f>
      </c>
      <c r="E277">
        <f>IF($O277="","",INDEX(Master!$E$2:$E$1001,$O277))</f>
      </c>
      <c r="F277">
        <f>IF($O277="","",INDEX(Master!$F$2:$F$1001,$O277))</f>
      </c>
      <c r="G277">
        <f>IF($O277="","",INDEX(Master!$G$2:$G$1001,$O277))</f>
      </c>
      <c r="H277">
        <f>IF($O277="","",INDEX(Master!$H$2:$H$1001,$O277))</f>
      </c>
      <c r="I277">
        <f>IF($O277="","",INDEX(Master!$I$2:$I$1001,$O277))</f>
      </c>
      <c r="J277">
        <f>IF($O277="","",INDEX(Master!$J$2:$J$1001,$O277))</f>
      </c>
      <c r="K277">
        <f t="shared" si="8"/>
      </c>
      <c r="L277">
        <f>IF($O277="","",INDEX(Master!$K$2:$K$1001,$O277))</f>
      </c>
      <c r="M277">
        <f>IF($O277="","",INDEX(Master!$L$2:$L$1001,$O277))</f>
      </c>
      <c r="O277">
        <f t="array" ref="O277">IFERROR(SMALL(IF((Master!$A$2:$A$1001="SHYAM METALLIKS")*(Master!$M$2:$M$1001="130 x 130 x 6MTR"),ROW(Master!$A$2:$A$1001)-ROW(Master!$A$2)+1),273),"")</f>
      </c>
      <c r="P277">
        <f t="shared" si="9"/>
      </c>
    </row>
    <row r="278" spans="1:16" x14ac:dyDescent="0.25">
      <c r="A278" s="235">
        <f>IF($O278="","",INDEX(Master!$D$2:$D$1001,$O278))</f>
      </c>
      <c r="B278" s="166">
        <f>IF($O278="","",INDEX(Master!$B$2:$B$1001,$O278))</f>
      </c>
      <c r="C278">
        <f>IF($O278="","",INDEX(Master!$C$2:$C$1001,$O278))</f>
      </c>
      <c r="D278">
        <f>IF($O278="","",INDEX(Master!$A$2:$A$1001,$O278))</f>
      </c>
      <c r="E278">
        <f>IF($O278="","",INDEX(Master!$E$2:$E$1001,$O278))</f>
      </c>
      <c r="F278">
        <f>IF($O278="","",INDEX(Master!$F$2:$F$1001,$O278))</f>
      </c>
      <c r="G278">
        <f>IF($O278="","",INDEX(Master!$G$2:$G$1001,$O278))</f>
      </c>
      <c r="H278">
        <f>IF($O278="","",INDEX(Master!$H$2:$H$1001,$O278))</f>
      </c>
      <c r="I278">
        <f>IF($O278="","",INDEX(Master!$I$2:$I$1001,$O278))</f>
      </c>
      <c r="J278">
        <f>IF($O278="","",INDEX(Master!$J$2:$J$1001,$O278))</f>
      </c>
      <c r="K278">
        <f t="shared" si="8"/>
      </c>
      <c r="L278">
        <f>IF($O278="","",INDEX(Master!$K$2:$K$1001,$O278))</f>
      </c>
      <c r="M278">
        <f>IF($O278="","",INDEX(Master!$L$2:$L$1001,$O278))</f>
      </c>
      <c r="O278">
        <f t="array" ref="O278">IFERROR(SMALL(IF((Master!$A$2:$A$1001="SHYAM METALLIKS")*(Master!$M$2:$M$1001="130 x 130 x 6MTR"),ROW(Master!$A$2:$A$1001)-ROW(Master!$A$2)+1),274),"")</f>
      </c>
      <c r="P278">
        <f t="shared" si="9"/>
      </c>
    </row>
    <row r="279" spans="1:16" x14ac:dyDescent="0.25">
      <c r="A279" s="235">
        <f>IF($O279="","",INDEX(Master!$D$2:$D$1001,$O279))</f>
      </c>
      <c r="B279" s="166">
        <f>IF($O279="","",INDEX(Master!$B$2:$B$1001,$O279))</f>
      </c>
      <c r="C279">
        <f>IF($O279="","",INDEX(Master!$C$2:$C$1001,$O279))</f>
      </c>
      <c r="D279">
        <f>IF($O279="","",INDEX(Master!$A$2:$A$1001,$O279))</f>
      </c>
      <c r="E279">
        <f>IF($O279="","",INDEX(Master!$E$2:$E$1001,$O279))</f>
      </c>
      <c r="F279">
        <f>IF($O279="","",INDEX(Master!$F$2:$F$1001,$O279))</f>
      </c>
      <c r="G279">
        <f>IF($O279="","",INDEX(Master!$G$2:$G$1001,$O279))</f>
      </c>
      <c r="H279">
        <f>IF($O279="","",INDEX(Master!$H$2:$H$1001,$O279))</f>
      </c>
      <c r="I279">
        <f>IF($O279="","",INDEX(Master!$I$2:$I$1001,$O279))</f>
      </c>
      <c r="J279">
        <f>IF($O279="","",INDEX(Master!$J$2:$J$1001,$O279))</f>
      </c>
      <c r="K279">
        <f t="shared" si="8"/>
      </c>
      <c r="L279">
        <f>IF($O279="","",INDEX(Master!$K$2:$K$1001,$O279))</f>
      </c>
      <c r="M279">
        <f>IF($O279="","",INDEX(Master!$L$2:$L$1001,$O279))</f>
      </c>
      <c r="O279">
        <f t="array" ref="O279">IFERROR(SMALL(IF((Master!$A$2:$A$1001="SHYAM METALLIKS")*(Master!$M$2:$M$1001="130 x 130 x 6MTR"),ROW(Master!$A$2:$A$1001)-ROW(Master!$A$2)+1),275),"")</f>
      </c>
      <c r="P279">
        <f t="shared" si="9"/>
      </c>
    </row>
    <row r="280" spans="1:16" x14ac:dyDescent="0.25">
      <c r="A280" s="235">
        <f>IF($O280="","",INDEX(Master!$D$2:$D$1001,$O280))</f>
      </c>
      <c r="B280" s="166">
        <f>IF($O280="","",INDEX(Master!$B$2:$B$1001,$O280))</f>
      </c>
      <c r="C280">
        <f>IF($O280="","",INDEX(Master!$C$2:$C$1001,$O280))</f>
      </c>
      <c r="D280">
        <f>IF($O280="","",INDEX(Master!$A$2:$A$1001,$O280))</f>
      </c>
      <c r="E280">
        <f>IF($O280="","",INDEX(Master!$E$2:$E$1001,$O280))</f>
      </c>
      <c r="F280">
        <f>IF($O280="","",INDEX(Master!$F$2:$F$1001,$O280))</f>
      </c>
      <c r="G280">
        <f>IF($O280="","",INDEX(Master!$G$2:$G$1001,$O280))</f>
      </c>
      <c r="H280">
        <f>IF($O280="","",INDEX(Master!$H$2:$H$1001,$O280))</f>
      </c>
      <c r="I280">
        <f>IF($O280="","",INDEX(Master!$I$2:$I$1001,$O280))</f>
      </c>
      <c r="J280">
        <f>IF($O280="","",INDEX(Master!$J$2:$J$1001,$O280))</f>
      </c>
      <c r="K280">
        <f t="shared" si="8"/>
      </c>
      <c r="L280">
        <f>IF($O280="","",INDEX(Master!$K$2:$K$1001,$O280))</f>
      </c>
      <c r="M280">
        <f>IF($O280="","",INDEX(Master!$L$2:$L$1001,$O280))</f>
      </c>
      <c r="O280">
        <f t="array" ref="O280">IFERROR(SMALL(IF((Master!$A$2:$A$1001="SHYAM METALLIKS")*(Master!$M$2:$M$1001="130 x 130 x 6MTR"),ROW(Master!$A$2:$A$1001)-ROW(Master!$A$2)+1),276),"")</f>
      </c>
      <c r="P280">
        <f t="shared" si="9"/>
      </c>
    </row>
    <row r="281" spans="1:16" x14ac:dyDescent="0.25">
      <c r="A281" s="235">
        <f>IF($O281="","",INDEX(Master!$D$2:$D$1001,$O281))</f>
      </c>
      <c r="B281" s="166">
        <f>IF($O281="","",INDEX(Master!$B$2:$B$1001,$O281))</f>
      </c>
      <c r="C281">
        <f>IF($O281="","",INDEX(Master!$C$2:$C$1001,$O281))</f>
      </c>
      <c r="D281">
        <f>IF($O281="","",INDEX(Master!$A$2:$A$1001,$O281))</f>
      </c>
      <c r="E281">
        <f>IF($O281="","",INDEX(Master!$E$2:$E$1001,$O281))</f>
      </c>
      <c r="F281">
        <f>IF($O281="","",INDEX(Master!$F$2:$F$1001,$O281))</f>
      </c>
      <c r="G281">
        <f>IF($O281="","",INDEX(Master!$G$2:$G$1001,$O281))</f>
      </c>
      <c r="H281">
        <f>IF($O281="","",INDEX(Master!$H$2:$H$1001,$O281))</f>
      </c>
      <c r="I281">
        <f>IF($O281="","",INDEX(Master!$I$2:$I$1001,$O281))</f>
      </c>
      <c r="J281">
        <f>IF($O281="","",INDEX(Master!$J$2:$J$1001,$O281))</f>
      </c>
      <c r="K281">
        <f t="shared" si="8"/>
      </c>
      <c r="L281">
        <f>IF($O281="","",INDEX(Master!$K$2:$K$1001,$O281))</f>
      </c>
      <c r="M281">
        <f>IF($O281="","",INDEX(Master!$L$2:$L$1001,$O281))</f>
      </c>
      <c r="O281">
        <f t="array" ref="O281">IFERROR(SMALL(IF((Master!$A$2:$A$1001="SHYAM METALLIKS")*(Master!$M$2:$M$1001="130 x 130 x 6MTR"),ROW(Master!$A$2:$A$1001)-ROW(Master!$A$2)+1),277),"")</f>
      </c>
      <c r="P281">
        <f t="shared" si="9"/>
      </c>
    </row>
    <row r="282" spans="1:16" x14ac:dyDescent="0.25">
      <c r="A282" s="235">
        <f>IF($O282="","",INDEX(Master!$D$2:$D$1001,$O282))</f>
      </c>
      <c r="B282" s="166">
        <f>IF($O282="","",INDEX(Master!$B$2:$B$1001,$O282))</f>
      </c>
      <c r="C282">
        <f>IF($O282="","",INDEX(Master!$C$2:$C$1001,$O282))</f>
      </c>
      <c r="D282">
        <f>IF($O282="","",INDEX(Master!$A$2:$A$1001,$O282))</f>
      </c>
      <c r="E282">
        <f>IF($O282="","",INDEX(Master!$E$2:$E$1001,$O282))</f>
      </c>
      <c r="F282">
        <f>IF($O282="","",INDEX(Master!$F$2:$F$1001,$O282))</f>
      </c>
      <c r="G282">
        <f>IF($O282="","",INDEX(Master!$G$2:$G$1001,$O282))</f>
      </c>
      <c r="H282">
        <f>IF($O282="","",INDEX(Master!$H$2:$H$1001,$O282))</f>
      </c>
      <c r="I282">
        <f>IF($O282="","",INDEX(Master!$I$2:$I$1001,$O282))</f>
      </c>
      <c r="J282">
        <f>IF($O282="","",INDEX(Master!$J$2:$J$1001,$O282))</f>
      </c>
      <c r="K282">
        <f t="shared" si="8"/>
      </c>
      <c r="L282">
        <f>IF($O282="","",INDEX(Master!$K$2:$K$1001,$O282))</f>
      </c>
      <c r="M282">
        <f>IF($O282="","",INDEX(Master!$L$2:$L$1001,$O282))</f>
      </c>
      <c r="O282">
        <f t="array" ref="O282">IFERROR(SMALL(IF((Master!$A$2:$A$1001="SHYAM METALLIKS")*(Master!$M$2:$M$1001="130 x 130 x 6MTR"),ROW(Master!$A$2:$A$1001)-ROW(Master!$A$2)+1),278),"")</f>
      </c>
      <c r="P282">
        <f t="shared" si="9"/>
      </c>
    </row>
    <row r="283" spans="1:16" x14ac:dyDescent="0.25">
      <c r="A283" s="235">
        <f>IF($O283="","",INDEX(Master!$D$2:$D$1001,$O283))</f>
      </c>
      <c r="B283" s="166">
        <f>IF($O283="","",INDEX(Master!$B$2:$B$1001,$O283))</f>
      </c>
      <c r="C283">
        <f>IF($O283="","",INDEX(Master!$C$2:$C$1001,$O283))</f>
      </c>
      <c r="D283">
        <f>IF($O283="","",INDEX(Master!$A$2:$A$1001,$O283))</f>
      </c>
      <c r="E283">
        <f>IF($O283="","",INDEX(Master!$E$2:$E$1001,$O283))</f>
      </c>
      <c r="F283">
        <f>IF($O283="","",INDEX(Master!$F$2:$F$1001,$O283))</f>
      </c>
      <c r="G283">
        <f>IF($O283="","",INDEX(Master!$G$2:$G$1001,$O283))</f>
      </c>
      <c r="H283">
        <f>IF($O283="","",INDEX(Master!$H$2:$H$1001,$O283))</f>
      </c>
      <c r="I283">
        <f>IF($O283="","",INDEX(Master!$I$2:$I$1001,$O283))</f>
      </c>
      <c r="J283">
        <f>IF($O283="","",INDEX(Master!$J$2:$J$1001,$O283))</f>
      </c>
      <c r="K283">
        <f t="shared" si="8"/>
      </c>
      <c r="L283">
        <f>IF($O283="","",INDEX(Master!$K$2:$K$1001,$O283))</f>
      </c>
      <c r="M283">
        <f>IF($O283="","",INDEX(Master!$L$2:$L$1001,$O283))</f>
      </c>
      <c r="O283">
        <f t="array" ref="O283">IFERROR(SMALL(IF((Master!$A$2:$A$1001="SHYAM METALLIKS")*(Master!$M$2:$M$1001="130 x 130 x 6MTR"),ROW(Master!$A$2:$A$1001)-ROW(Master!$A$2)+1),279),"")</f>
      </c>
      <c r="P283">
        <f t="shared" si="9"/>
      </c>
    </row>
    <row r="284" spans="1:16" x14ac:dyDescent="0.25">
      <c r="A284" s="235">
        <f>IF($O284="","",INDEX(Master!$D$2:$D$1001,$O284))</f>
      </c>
      <c r="B284" s="166">
        <f>IF($O284="","",INDEX(Master!$B$2:$B$1001,$O284))</f>
      </c>
      <c r="C284">
        <f>IF($O284="","",INDEX(Master!$C$2:$C$1001,$O284))</f>
      </c>
      <c r="D284">
        <f>IF($O284="","",INDEX(Master!$A$2:$A$1001,$O284))</f>
      </c>
      <c r="E284">
        <f>IF($O284="","",INDEX(Master!$E$2:$E$1001,$O284))</f>
      </c>
      <c r="F284">
        <f>IF($O284="","",INDEX(Master!$F$2:$F$1001,$O284))</f>
      </c>
      <c r="G284">
        <f>IF($O284="","",INDEX(Master!$G$2:$G$1001,$O284))</f>
      </c>
      <c r="H284">
        <f>IF($O284="","",INDEX(Master!$H$2:$H$1001,$O284))</f>
      </c>
      <c r="I284">
        <f>IF($O284="","",INDEX(Master!$I$2:$I$1001,$O284))</f>
      </c>
      <c r="J284">
        <f>IF($O284="","",INDEX(Master!$J$2:$J$1001,$O284))</f>
      </c>
      <c r="K284">
        <f t="shared" si="8"/>
      </c>
      <c r="L284">
        <f>IF($O284="","",INDEX(Master!$K$2:$K$1001,$O284))</f>
      </c>
      <c r="M284">
        <f>IF($O284="","",INDEX(Master!$L$2:$L$1001,$O284))</f>
      </c>
      <c r="O284">
        <f t="array" ref="O284">IFERROR(SMALL(IF((Master!$A$2:$A$1001="SHYAM METALLIKS")*(Master!$M$2:$M$1001="130 x 130 x 6MTR"),ROW(Master!$A$2:$A$1001)-ROW(Master!$A$2)+1),280),"")</f>
      </c>
      <c r="P284">
        <f t="shared" si="9"/>
      </c>
    </row>
    <row r="285" spans="1:16" x14ac:dyDescent="0.25">
      <c r="A285" s="235">
        <f>IF($O285="","",INDEX(Master!$D$2:$D$1001,$O285))</f>
      </c>
      <c r="B285" s="166">
        <f>IF($O285="","",INDEX(Master!$B$2:$B$1001,$O285))</f>
      </c>
      <c r="C285">
        <f>IF($O285="","",INDEX(Master!$C$2:$C$1001,$O285))</f>
      </c>
      <c r="D285">
        <f>IF($O285="","",INDEX(Master!$A$2:$A$1001,$O285))</f>
      </c>
      <c r="E285">
        <f>IF($O285="","",INDEX(Master!$E$2:$E$1001,$O285))</f>
      </c>
      <c r="F285">
        <f>IF($O285="","",INDEX(Master!$F$2:$F$1001,$O285))</f>
      </c>
      <c r="G285">
        <f>IF($O285="","",INDEX(Master!$G$2:$G$1001,$O285))</f>
      </c>
      <c r="H285">
        <f>IF($O285="","",INDEX(Master!$H$2:$H$1001,$O285))</f>
      </c>
      <c r="I285">
        <f>IF($O285="","",INDEX(Master!$I$2:$I$1001,$O285))</f>
      </c>
      <c r="J285">
        <f>IF($O285="","",INDEX(Master!$J$2:$J$1001,$O285))</f>
      </c>
      <c r="K285">
        <f t="shared" si="8"/>
      </c>
      <c r="L285">
        <f>IF($O285="","",INDEX(Master!$K$2:$K$1001,$O285))</f>
      </c>
      <c r="M285">
        <f>IF($O285="","",INDEX(Master!$L$2:$L$1001,$O285))</f>
      </c>
      <c r="O285">
        <f t="array" ref="O285">IFERROR(SMALL(IF((Master!$A$2:$A$1001="SHYAM METALLIKS")*(Master!$M$2:$M$1001="130 x 130 x 6MTR"),ROW(Master!$A$2:$A$1001)-ROW(Master!$A$2)+1),281),"")</f>
      </c>
      <c r="P285">
        <f t="shared" si="9"/>
      </c>
    </row>
    <row r="286" spans="1:16" x14ac:dyDescent="0.25">
      <c r="A286" s="235">
        <f>IF($O286="","",INDEX(Master!$D$2:$D$1001,$O286))</f>
      </c>
      <c r="B286" s="166">
        <f>IF($O286="","",INDEX(Master!$B$2:$B$1001,$O286))</f>
      </c>
      <c r="C286">
        <f>IF($O286="","",INDEX(Master!$C$2:$C$1001,$O286))</f>
      </c>
      <c r="D286">
        <f>IF($O286="","",INDEX(Master!$A$2:$A$1001,$O286))</f>
      </c>
      <c r="E286">
        <f>IF($O286="","",INDEX(Master!$E$2:$E$1001,$O286))</f>
      </c>
      <c r="F286">
        <f>IF($O286="","",INDEX(Master!$F$2:$F$1001,$O286))</f>
      </c>
      <c r="G286">
        <f>IF($O286="","",INDEX(Master!$G$2:$G$1001,$O286))</f>
      </c>
      <c r="H286">
        <f>IF($O286="","",INDEX(Master!$H$2:$H$1001,$O286))</f>
      </c>
      <c r="I286">
        <f>IF($O286="","",INDEX(Master!$I$2:$I$1001,$O286))</f>
      </c>
      <c r="J286">
        <f>IF($O286="","",INDEX(Master!$J$2:$J$1001,$O286))</f>
      </c>
      <c r="K286">
        <f t="shared" si="8"/>
      </c>
      <c r="L286">
        <f>IF($O286="","",INDEX(Master!$K$2:$K$1001,$O286))</f>
      </c>
      <c r="M286">
        <f>IF($O286="","",INDEX(Master!$L$2:$L$1001,$O286))</f>
      </c>
      <c r="O286">
        <f t="array" ref="O286">IFERROR(SMALL(IF((Master!$A$2:$A$1001="SHYAM METALLIKS")*(Master!$M$2:$M$1001="130 x 130 x 6MTR"),ROW(Master!$A$2:$A$1001)-ROW(Master!$A$2)+1),282),"")</f>
      </c>
      <c r="P286">
        <f t="shared" si="9"/>
      </c>
    </row>
    <row r="287" spans="1:16" x14ac:dyDescent="0.25">
      <c r="A287" s="235">
        <f>IF($O287="","",INDEX(Master!$D$2:$D$1001,$O287))</f>
      </c>
      <c r="B287" s="166">
        <f>IF($O287="","",INDEX(Master!$B$2:$B$1001,$O287))</f>
      </c>
      <c r="C287">
        <f>IF($O287="","",INDEX(Master!$C$2:$C$1001,$O287))</f>
      </c>
      <c r="D287">
        <f>IF($O287="","",INDEX(Master!$A$2:$A$1001,$O287))</f>
      </c>
      <c r="E287">
        <f>IF($O287="","",INDEX(Master!$E$2:$E$1001,$O287))</f>
      </c>
      <c r="F287">
        <f>IF($O287="","",INDEX(Master!$F$2:$F$1001,$O287))</f>
      </c>
      <c r="G287">
        <f>IF($O287="","",INDEX(Master!$G$2:$G$1001,$O287))</f>
      </c>
      <c r="H287">
        <f>IF($O287="","",INDEX(Master!$H$2:$H$1001,$O287))</f>
      </c>
      <c r="I287">
        <f>IF($O287="","",INDEX(Master!$I$2:$I$1001,$O287))</f>
      </c>
      <c r="J287">
        <f>IF($O287="","",INDEX(Master!$J$2:$J$1001,$O287))</f>
      </c>
      <c r="K287">
        <f t="shared" si="8"/>
      </c>
      <c r="L287">
        <f>IF($O287="","",INDEX(Master!$K$2:$K$1001,$O287))</f>
      </c>
      <c r="M287">
        <f>IF($O287="","",INDEX(Master!$L$2:$L$1001,$O287))</f>
      </c>
      <c r="O287">
        <f t="array" ref="O287">IFERROR(SMALL(IF((Master!$A$2:$A$1001="SHYAM METALLIKS")*(Master!$M$2:$M$1001="130 x 130 x 6MTR"),ROW(Master!$A$2:$A$1001)-ROW(Master!$A$2)+1),283),"")</f>
      </c>
      <c r="P287">
        <f t="shared" si="9"/>
      </c>
    </row>
    <row r="288" spans="1:16" x14ac:dyDescent="0.25">
      <c r="A288" s="235">
        <f>IF($O288="","",INDEX(Master!$D$2:$D$1001,$O288))</f>
      </c>
      <c r="B288" s="166">
        <f>IF($O288="","",INDEX(Master!$B$2:$B$1001,$O288))</f>
      </c>
      <c r="C288">
        <f>IF($O288="","",INDEX(Master!$C$2:$C$1001,$O288))</f>
      </c>
      <c r="D288">
        <f>IF($O288="","",INDEX(Master!$A$2:$A$1001,$O288))</f>
      </c>
      <c r="E288">
        <f>IF($O288="","",INDEX(Master!$E$2:$E$1001,$O288))</f>
      </c>
      <c r="F288">
        <f>IF($O288="","",INDEX(Master!$F$2:$F$1001,$O288))</f>
      </c>
      <c r="G288">
        <f>IF($O288="","",INDEX(Master!$G$2:$G$1001,$O288))</f>
      </c>
      <c r="H288">
        <f>IF($O288="","",INDEX(Master!$H$2:$H$1001,$O288))</f>
      </c>
      <c r="I288">
        <f>IF($O288="","",INDEX(Master!$I$2:$I$1001,$O288))</f>
      </c>
      <c r="J288">
        <f>IF($O288="","",INDEX(Master!$J$2:$J$1001,$O288))</f>
      </c>
      <c r="K288">
        <f t="shared" si="8"/>
      </c>
      <c r="L288">
        <f>IF($O288="","",INDEX(Master!$K$2:$K$1001,$O288))</f>
      </c>
      <c r="M288">
        <f>IF($O288="","",INDEX(Master!$L$2:$L$1001,$O288))</f>
      </c>
      <c r="O288">
        <f t="array" ref="O288">IFERROR(SMALL(IF((Master!$A$2:$A$1001="SHYAM METALLIKS")*(Master!$M$2:$M$1001="130 x 130 x 6MTR"),ROW(Master!$A$2:$A$1001)-ROW(Master!$A$2)+1),284),"")</f>
      </c>
      <c r="P288">
        <f t="shared" si="9"/>
      </c>
    </row>
    <row r="289" spans="1:16" x14ac:dyDescent="0.25">
      <c r="A289" s="235">
        <f>IF($O289="","",INDEX(Master!$D$2:$D$1001,$O289))</f>
      </c>
      <c r="B289" s="166">
        <f>IF($O289="","",INDEX(Master!$B$2:$B$1001,$O289))</f>
      </c>
      <c r="C289">
        <f>IF($O289="","",INDEX(Master!$C$2:$C$1001,$O289))</f>
      </c>
      <c r="D289">
        <f>IF($O289="","",INDEX(Master!$A$2:$A$1001,$O289))</f>
      </c>
      <c r="E289">
        <f>IF($O289="","",INDEX(Master!$E$2:$E$1001,$O289))</f>
      </c>
      <c r="F289">
        <f>IF($O289="","",INDEX(Master!$F$2:$F$1001,$O289))</f>
      </c>
      <c r="G289">
        <f>IF($O289="","",INDEX(Master!$G$2:$G$1001,$O289))</f>
      </c>
      <c r="H289">
        <f>IF($O289="","",INDEX(Master!$H$2:$H$1001,$O289))</f>
      </c>
      <c r="I289">
        <f>IF($O289="","",INDEX(Master!$I$2:$I$1001,$O289))</f>
      </c>
      <c r="J289">
        <f>IF($O289="","",INDEX(Master!$J$2:$J$1001,$O289))</f>
      </c>
      <c r="K289">
        <f t="shared" si="8"/>
      </c>
      <c r="L289">
        <f>IF($O289="","",INDEX(Master!$K$2:$K$1001,$O289))</f>
      </c>
      <c r="M289">
        <f>IF($O289="","",INDEX(Master!$L$2:$L$1001,$O289))</f>
      </c>
      <c r="O289">
        <f t="array" ref="O289">IFERROR(SMALL(IF((Master!$A$2:$A$1001="SHYAM METALLIKS")*(Master!$M$2:$M$1001="130 x 130 x 6MTR"),ROW(Master!$A$2:$A$1001)-ROW(Master!$A$2)+1),285),"")</f>
      </c>
      <c r="P289">
        <f t="shared" si="9"/>
      </c>
    </row>
    <row r="290" spans="1:16" x14ac:dyDescent="0.25">
      <c r="A290" s="235">
        <f>IF($O290="","",INDEX(Master!$D$2:$D$1001,$O290))</f>
      </c>
      <c r="B290" s="166">
        <f>IF($O290="","",INDEX(Master!$B$2:$B$1001,$O290))</f>
      </c>
      <c r="C290">
        <f>IF($O290="","",INDEX(Master!$C$2:$C$1001,$O290))</f>
      </c>
      <c r="D290">
        <f>IF($O290="","",INDEX(Master!$A$2:$A$1001,$O290))</f>
      </c>
      <c r="E290">
        <f>IF($O290="","",INDEX(Master!$E$2:$E$1001,$O290))</f>
      </c>
      <c r="F290">
        <f>IF($O290="","",INDEX(Master!$F$2:$F$1001,$O290))</f>
      </c>
      <c r="G290">
        <f>IF($O290="","",INDEX(Master!$G$2:$G$1001,$O290))</f>
      </c>
      <c r="H290">
        <f>IF($O290="","",INDEX(Master!$H$2:$H$1001,$O290))</f>
      </c>
      <c r="I290">
        <f>IF($O290="","",INDEX(Master!$I$2:$I$1001,$O290))</f>
      </c>
      <c r="J290">
        <f>IF($O290="","",INDEX(Master!$J$2:$J$1001,$O290))</f>
      </c>
      <c r="K290">
        <f t="shared" si="8"/>
      </c>
      <c r="L290">
        <f>IF($O290="","",INDEX(Master!$K$2:$K$1001,$O290))</f>
      </c>
      <c r="M290">
        <f>IF($O290="","",INDEX(Master!$L$2:$L$1001,$O290))</f>
      </c>
      <c r="O290">
        <f t="array" ref="O290">IFERROR(SMALL(IF((Master!$A$2:$A$1001="SHYAM METALLIKS")*(Master!$M$2:$M$1001="130 x 130 x 6MTR"),ROW(Master!$A$2:$A$1001)-ROW(Master!$A$2)+1),286),"")</f>
      </c>
      <c r="P290">
        <f t="shared" si="9"/>
      </c>
    </row>
    <row r="291" spans="1:16" x14ac:dyDescent="0.25">
      <c r="A291" s="235">
        <f>IF($O291="","",INDEX(Master!$D$2:$D$1001,$O291))</f>
      </c>
      <c r="B291" s="166">
        <f>IF($O291="","",INDEX(Master!$B$2:$B$1001,$O291))</f>
      </c>
      <c r="C291">
        <f>IF($O291="","",INDEX(Master!$C$2:$C$1001,$O291))</f>
      </c>
      <c r="D291">
        <f>IF($O291="","",INDEX(Master!$A$2:$A$1001,$O291))</f>
      </c>
      <c r="E291">
        <f>IF($O291="","",INDEX(Master!$E$2:$E$1001,$O291))</f>
      </c>
      <c r="F291">
        <f>IF($O291="","",INDEX(Master!$F$2:$F$1001,$O291))</f>
      </c>
      <c r="G291">
        <f>IF($O291="","",INDEX(Master!$G$2:$G$1001,$O291))</f>
      </c>
      <c r="H291">
        <f>IF($O291="","",INDEX(Master!$H$2:$H$1001,$O291))</f>
      </c>
      <c r="I291">
        <f>IF($O291="","",INDEX(Master!$I$2:$I$1001,$O291))</f>
      </c>
      <c r="J291">
        <f>IF($O291="","",INDEX(Master!$J$2:$J$1001,$O291))</f>
      </c>
      <c r="K291">
        <f t="shared" si="8"/>
      </c>
      <c r="L291">
        <f>IF($O291="","",INDEX(Master!$K$2:$K$1001,$O291))</f>
      </c>
      <c r="M291">
        <f>IF($O291="","",INDEX(Master!$L$2:$L$1001,$O291))</f>
      </c>
      <c r="O291">
        <f t="array" ref="O291">IFERROR(SMALL(IF((Master!$A$2:$A$1001="SHYAM METALLIKS")*(Master!$M$2:$M$1001="130 x 130 x 6MTR"),ROW(Master!$A$2:$A$1001)-ROW(Master!$A$2)+1),287),"")</f>
      </c>
      <c r="P291">
        <f t="shared" si="9"/>
      </c>
    </row>
    <row r="292" spans="1:16" x14ac:dyDescent="0.25">
      <c r="A292" s="235">
        <f>IF($O292="","",INDEX(Master!$D$2:$D$1001,$O292))</f>
      </c>
      <c r="B292" s="166">
        <f>IF($O292="","",INDEX(Master!$B$2:$B$1001,$O292))</f>
      </c>
      <c r="C292">
        <f>IF($O292="","",INDEX(Master!$C$2:$C$1001,$O292))</f>
      </c>
      <c r="D292">
        <f>IF($O292="","",INDEX(Master!$A$2:$A$1001,$O292))</f>
      </c>
      <c r="E292">
        <f>IF($O292="","",INDEX(Master!$E$2:$E$1001,$O292))</f>
      </c>
      <c r="F292">
        <f>IF($O292="","",INDEX(Master!$F$2:$F$1001,$O292))</f>
      </c>
      <c r="G292">
        <f>IF($O292="","",INDEX(Master!$G$2:$G$1001,$O292))</f>
      </c>
      <c r="H292">
        <f>IF($O292="","",INDEX(Master!$H$2:$H$1001,$O292))</f>
      </c>
      <c r="I292">
        <f>IF($O292="","",INDEX(Master!$I$2:$I$1001,$O292))</f>
      </c>
      <c r="J292">
        <f>IF($O292="","",INDEX(Master!$J$2:$J$1001,$O292))</f>
      </c>
      <c r="K292">
        <f t="shared" si="8"/>
      </c>
      <c r="L292">
        <f>IF($O292="","",INDEX(Master!$K$2:$K$1001,$O292))</f>
      </c>
      <c r="M292">
        <f>IF($O292="","",INDEX(Master!$L$2:$L$1001,$O292))</f>
      </c>
      <c r="O292">
        <f t="array" ref="O292">IFERROR(SMALL(IF((Master!$A$2:$A$1001="SHYAM METALLIKS")*(Master!$M$2:$M$1001="130 x 130 x 6MTR"),ROW(Master!$A$2:$A$1001)-ROW(Master!$A$2)+1),288),"")</f>
      </c>
      <c r="P292">
        <f t="shared" si="9"/>
      </c>
    </row>
    <row r="293" spans="1:16" x14ac:dyDescent="0.25">
      <c r="A293" s="235">
        <f>IF($O293="","",INDEX(Master!$D$2:$D$1001,$O293))</f>
      </c>
      <c r="B293" s="166">
        <f>IF($O293="","",INDEX(Master!$B$2:$B$1001,$O293))</f>
      </c>
      <c r="C293">
        <f>IF($O293="","",INDEX(Master!$C$2:$C$1001,$O293))</f>
      </c>
      <c r="D293">
        <f>IF($O293="","",INDEX(Master!$A$2:$A$1001,$O293))</f>
      </c>
      <c r="E293">
        <f>IF($O293="","",INDEX(Master!$E$2:$E$1001,$O293))</f>
      </c>
      <c r="F293">
        <f>IF($O293="","",INDEX(Master!$F$2:$F$1001,$O293))</f>
      </c>
      <c r="G293">
        <f>IF($O293="","",INDEX(Master!$G$2:$G$1001,$O293))</f>
      </c>
      <c r="H293">
        <f>IF($O293="","",INDEX(Master!$H$2:$H$1001,$O293))</f>
      </c>
      <c r="I293">
        <f>IF($O293="","",INDEX(Master!$I$2:$I$1001,$O293))</f>
      </c>
      <c r="J293">
        <f>IF($O293="","",INDEX(Master!$J$2:$J$1001,$O293))</f>
      </c>
      <c r="K293">
        <f t="shared" si="8"/>
      </c>
      <c r="L293">
        <f>IF($O293="","",INDEX(Master!$K$2:$K$1001,$O293))</f>
      </c>
      <c r="M293">
        <f>IF($O293="","",INDEX(Master!$L$2:$L$1001,$O293))</f>
      </c>
      <c r="O293">
        <f t="array" ref="O293">IFERROR(SMALL(IF((Master!$A$2:$A$1001="SHYAM METALLIKS")*(Master!$M$2:$M$1001="130 x 130 x 6MTR"),ROW(Master!$A$2:$A$1001)-ROW(Master!$A$2)+1),289),"")</f>
      </c>
      <c r="P293">
        <f t="shared" si="9"/>
      </c>
    </row>
    <row r="294" spans="1:16" x14ac:dyDescent="0.25">
      <c r="A294" s="235">
        <f>IF($O294="","",INDEX(Master!$D$2:$D$1001,$O294))</f>
      </c>
      <c r="B294" s="166">
        <f>IF($O294="","",INDEX(Master!$B$2:$B$1001,$O294))</f>
      </c>
      <c r="C294">
        <f>IF($O294="","",INDEX(Master!$C$2:$C$1001,$O294))</f>
      </c>
      <c r="D294">
        <f>IF($O294="","",INDEX(Master!$A$2:$A$1001,$O294))</f>
      </c>
      <c r="E294">
        <f>IF($O294="","",INDEX(Master!$E$2:$E$1001,$O294))</f>
      </c>
      <c r="F294">
        <f>IF($O294="","",INDEX(Master!$F$2:$F$1001,$O294))</f>
      </c>
      <c r="G294">
        <f>IF($O294="","",INDEX(Master!$G$2:$G$1001,$O294))</f>
      </c>
      <c r="H294">
        <f>IF($O294="","",INDEX(Master!$H$2:$H$1001,$O294))</f>
      </c>
      <c r="I294">
        <f>IF($O294="","",INDEX(Master!$I$2:$I$1001,$O294))</f>
      </c>
      <c r="J294">
        <f>IF($O294="","",INDEX(Master!$J$2:$J$1001,$O294))</f>
      </c>
      <c r="K294">
        <f t="shared" si="8"/>
      </c>
      <c r="L294">
        <f>IF($O294="","",INDEX(Master!$K$2:$K$1001,$O294))</f>
      </c>
      <c r="M294">
        <f>IF($O294="","",INDEX(Master!$L$2:$L$1001,$O294))</f>
      </c>
      <c r="O294">
        <f t="array" ref="O294">IFERROR(SMALL(IF((Master!$A$2:$A$1001="SHYAM METALLIKS")*(Master!$M$2:$M$1001="130 x 130 x 6MTR"),ROW(Master!$A$2:$A$1001)-ROW(Master!$A$2)+1),290),"")</f>
      </c>
      <c r="P294">
        <f t="shared" si="9"/>
      </c>
    </row>
    <row r="295" spans="1:16" x14ac:dyDescent="0.25">
      <c r="A295" s="235">
        <f>IF($O295="","",INDEX(Master!$D$2:$D$1001,$O295))</f>
      </c>
      <c r="B295" s="166">
        <f>IF($O295="","",INDEX(Master!$B$2:$B$1001,$O295))</f>
      </c>
      <c r="C295">
        <f>IF($O295="","",INDEX(Master!$C$2:$C$1001,$O295))</f>
      </c>
      <c r="D295">
        <f>IF($O295="","",INDEX(Master!$A$2:$A$1001,$O295))</f>
      </c>
      <c r="E295">
        <f>IF($O295="","",INDEX(Master!$E$2:$E$1001,$O295))</f>
      </c>
      <c r="F295">
        <f>IF($O295="","",INDEX(Master!$F$2:$F$1001,$O295))</f>
      </c>
      <c r="G295">
        <f>IF($O295="","",INDEX(Master!$G$2:$G$1001,$O295))</f>
      </c>
      <c r="H295">
        <f>IF($O295="","",INDEX(Master!$H$2:$H$1001,$O295))</f>
      </c>
      <c r="I295">
        <f>IF($O295="","",INDEX(Master!$I$2:$I$1001,$O295))</f>
      </c>
      <c r="J295">
        <f>IF($O295="","",INDEX(Master!$J$2:$J$1001,$O295))</f>
      </c>
      <c r="K295">
        <f t="shared" si="8"/>
      </c>
      <c r="L295">
        <f>IF($O295="","",INDEX(Master!$K$2:$K$1001,$O295))</f>
      </c>
      <c r="M295">
        <f>IF($O295="","",INDEX(Master!$L$2:$L$1001,$O295))</f>
      </c>
      <c r="O295">
        <f t="array" ref="O295">IFERROR(SMALL(IF((Master!$A$2:$A$1001="SHYAM METALLIKS")*(Master!$M$2:$M$1001="130 x 130 x 6MTR"),ROW(Master!$A$2:$A$1001)-ROW(Master!$A$2)+1),291),"")</f>
      </c>
      <c r="P295">
        <f t="shared" si="9"/>
      </c>
    </row>
    <row r="296" spans="1:16" x14ac:dyDescent="0.25">
      <c r="A296" s="235">
        <f>IF($O296="","",INDEX(Master!$D$2:$D$1001,$O296))</f>
      </c>
      <c r="B296" s="166">
        <f>IF($O296="","",INDEX(Master!$B$2:$B$1001,$O296))</f>
      </c>
      <c r="C296">
        <f>IF($O296="","",INDEX(Master!$C$2:$C$1001,$O296))</f>
      </c>
      <c r="D296">
        <f>IF($O296="","",INDEX(Master!$A$2:$A$1001,$O296))</f>
      </c>
      <c r="E296">
        <f>IF($O296="","",INDEX(Master!$E$2:$E$1001,$O296))</f>
      </c>
      <c r="F296">
        <f>IF($O296="","",INDEX(Master!$F$2:$F$1001,$O296))</f>
      </c>
      <c r="G296">
        <f>IF($O296="","",INDEX(Master!$G$2:$G$1001,$O296))</f>
      </c>
      <c r="H296">
        <f>IF($O296="","",INDEX(Master!$H$2:$H$1001,$O296))</f>
      </c>
      <c r="I296">
        <f>IF($O296="","",INDEX(Master!$I$2:$I$1001,$O296))</f>
      </c>
      <c r="J296">
        <f>IF($O296="","",INDEX(Master!$J$2:$J$1001,$O296))</f>
      </c>
      <c r="K296">
        <f t="shared" si="8"/>
      </c>
      <c r="L296">
        <f>IF($O296="","",INDEX(Master!$K$2:$K$1001,$O296))</f>
      </c>
      <c r="M296">
        <f>IF($O296="","",INDEX(Master!$L$2:$L$1001,$O296))</f>
      </c>
      <c r="O296">
        <f t="array" ref="O296">IFERROR(SMALL(IF((Master!$A$2:$A$1001="SHYAM METALLIKS")*(Master!$M$2:$M$1001="130 x 130 x 6MTR"),ROW(Master!$A$2:$A$1001)-ROW(Master!$A$2)+1),292),"")</f>
      </c>
      <c r="P296">
        <f t="shared" si="9"/>
      </c>
    </row>
    <row r="297" spans="1:16" x14ac:dyDescent="0.25">
      <c r="A297" s="235">
        <f>IF($O297="","",INDEX(Master!$D$2:$D$1001,$O297))</f>
      </c>
      <c r="B297" s="166">
        <f>IF($O297="","",INDEX(Master!$B$2:$B$1001,$O297))</f>
      </c>
      <c r="C297">
        <f>IF($O297="","",INDEX(Master!$C$2:$C$1001,$O297))</f>
      </c>
      <c r="D297">
        <f>IF($O297="","",INDEX(Master!$A$2:$A$1001,$O297))</f>
      </c>
      <c r="E297">
        <f>IF($O297="","",INDEX(Master!$E$2:$E$1001,$O297))</f>
      </c>
      <c r="F297">
        <f>IF($O297="","",INDEX(Master!$F$2:$F$1001,$O297))</f>
      </c>
      <c r="G297">
        <f>IF($O297="","",INDEX(Master!$G$2:$G$1001,$O297))</f>
      </c>
      <c r="H297">
        <f>IF($O297="","",INDEX(Master!$H$2:$H$1001,$O297))</f>
      </c>
      <c r="I297">
        <f>IF($O297="","",INDEX(Master!$I$2:$I$1001,$O297))</f>
      </c>
      <c r="J297">
        <f>IF($O297="","",INDEX(Master!$J$2:$J$1001,$O297))</f>
      </c>
      <c r="K297">
        <f t="shared" si="8"/>
      </c>
      <c r="L297">
        <f>IF($O297="","",INDEX(Master!$K$2:$K$1001,$O297))</f>
      </c>
      <c r="M297">
        <f>IF($O297="","",INDEX(Master!$L$2:$L$1001,$O297))</f>
      </c>
      <c r="O297">
        <f t="array" ref="O297">IFERROR(SMALL(IF((Master!$A$2:$A$1001="SHYAM METALLIKS")*(Master!$M$2:$M$1001="130 x 130 x 6MTR"),ROW(Master!$A$2:$A$1001)-ROW(Master!$A$2)+1),293),"")</f>
      </c>
      <c r="P297">
        <f t="shared" si="9"/>
      </c>
    </row>
    <row r="298" spans="1:16" x14ac:dyDescent="0.25">
      <c r="A298" s="235">
        <f>IF($O298="","",INDEX(Master!$D$2:$D$1001,$O298))</f>
      </c>
      <c r="B298" s="166">
        <f>IF($O298="","",INDEX(Master!$B$2:$B$1001,$O298))</f>
      </c>
      <c r="C298">
        <f>IF($O298="","",INDEX(Master!$C$2:$C$1001,$O298))</f>
      </c>
      <c r="D298">
        <f>IF($O298="","",INDEX(Master!$A$2:$A$1001,$O298))</f>
      </c>
      <c r="E298">
        <f>IF($O298="","",INDEX(Master!$E$2:$E$1001,$O298))</f>
      </c>
      <c r="F298">
        <f>IF($O298="","",INDEX(Master!$F$2:$F$1001,$O298))</f>
      </c>
      <c r="G298">
        <f>IF($O298="","",INDEX(Master!$G$2:$G$1001,$O298))</f>
      </c>
      <c r="H298">
        <f>IF($O298="","",INDEX(Master!$H$2:$H$1001,$O298))</f>
      </c>
      <c r="I298">
        <f>IF($O298="","",INDEX(Master!$I$2:$I$1001,$O298))</f>
      </c>
      <c r="J298">
        <f>IF($O298="","",INDEX(Master!$J$2:$J$1001,$O298))</f>
      </c>
      <c r="K298">
        <f t="shared" si="8"/>
      </c>
      <c r="L298">
        <f>IF($O298="","",INDEX(Master!$K$2:$K$1001,$O298))</f>
      </c>
      <c r="M298">
        <f>IF($O298="","",INDEX(Master!$L$2:$L$1001,$O298))</f>
      </c>
      <c r="O298">
        <f t="array" ref="O298">IFERROR(SMALL(IF((Master!$A$2:$A$1001="SHYAM METALLIKS")*(Master!$M$2:$M$1001="130 x 130 x 6MTR"),ROW(Master!$A$2:$A$1001)-ROW(Master!$A$2)+1),294),"")</f>
      </c>
      <c r="P298">
        <f t="shared" si="9"/>
      </c>
    </row>
    <row r="299" spans="1:16" x14ac:dyDescent="0.25">
      <c r="A299" s="235">
        <f>IF($O299="","",INDEX(Master!$D$2:$D$1001,$O299))</f>
      </c>
      <c r="B299" s="166">
        <f>IF($O299="","",INDEX(Master!$B$2:$B$1001,$O299))</f>
      </c>
      <c r="C299">
        <f>IF($O299="","",INDEX(Master!$C$2:$C$1001,$O299))</f>
      </c>
      <c r="D299">
        <f>IF($O299="","",INDEX(Master!$A$2:$A$1001,$O299))</f>
      </c>
      <c r="E299">
        <f>IF($O299="","",INDEX(Master!$E$2:$E$1001,$O299))</f>
      </c>
      <c r="F299">
        <f>IF($O299="","",INDEX(Master!$F$2:$F$1001,$O299))</f>
      </c>
      <c r="G299">
        <f>IF($O299="","",INDEX(Master!$G$2:$G$1001,$O299))</f>
      </c>
      <c r="H299">
        <f>IF($O299="","",INDEX(Master!$H$2:$H$1001,$O299))</f>
      </c>
      <c r="I299">
        <f>IF($O299="","",INDEX(Master!$I$2:$I$1001,$O299))</f>
      </c>
      <c r="J299">
        <f>IF($O299="","",INDEX(Master!$J$2:$J$1001,$O299))</f>
      </c>
      <c r="K299">
        <f t="shared" si="8"/>
      </c>
      <c r="L299">
        <f>IF($O299="","",INDEX(Master!$K$2:$K$1001,$O299))</f>
      </c>
      <c r="M299">
        <f>IF($O299="","",INDEX(Master!$L$2:$L$1001,$O299))</f>
      </c>
      <c r="O299">
        <f t="array" ref="O299">IFERROR(SMALL(IF((Master!$A$2:$A$1001="SHYAM METALLIKS")*(Master!$M$2:$M$1001="130 x 130 x 6MTR"),ROW(Master!$A$2:$A$1001)-ROW(Master!$A$2)+1),295),"")</f>
      </c>
      <c r="P299">
        <f t="shared" si="9"/>
      </c>
    </row>
    <row r="300" spans="1:16" x14ac:dyDescent="0.25">
      <c r="A300" s="235">
        <f>IF($O300="","",INDEX(Master!$D$2:$D$1001,$O300))</f>
      </c>
      <c r="B300" s="166">
        <f>IF($O300="","",INDEX(Master!$B$2:$B$1001,$O300))</f>
      </c>
      <c r="C300">
        <f>IF($O300="","",INDEX(Master!$C$2:$C$1001,$O300))</f>
      </c>
      <c r="D300">
        <f>IF($O300="","",INDEX(Master!$A$2:$A$1001,$O300))</f>
      </c>
      <c r="E300">
        <f>IF($O300="","",INDEX(Master!$E$2:$E$1001,$O300))</f>
      </c>
      <c r="F300">
        <f>IF($O300="","",INDEX(Master!$F$2:$F$1001,$O300))</f>
      </c>
      <c r="G300">
        <f>IF($O300="","",INDEX(Master!$G$2:$G$1001,$O300))</f>
      </c>
      <c r="H300">
        <f>IF($O300="","",INDEX(Master!$H$2:$H$1001,$O300))</f>
      </c>
      <c r="I300">
        <f>IF($O300="","",INDEX(Master!$I$2:$I$1001,$O300))</f>
      </c>
      <c r="J300">
        <f>IF($O300="","",INDEX(Master!$J$2:$J$1001,$O300))</f>
      </c>
      <c r="K300">
        <f t="shared" si="8"/>
      </c>
      <c r="L300">
        <f>IF($O300="","",INDEX(Master!$K$2:$K$1001,$O300))</f>
      </c>
      <c r="M300">
        <f>IF($O300="","",INDEX(Master!$L$2:$L$1001,$O300))</f>
      </c>
      <c r="O300">
        <f t="array" ref="O300">IFERROR(SMALL(IF((Master!$A$2:$A$1001="SHYAM METALLIKS")*(Master!$M$2:$M$1001="130 x 130 x 6MTR"),ROW(Master!$A$2:$A$1001)-ROW(Master!$A$2)+1),296),"")</f>
      </c>
      <c r="P300">
        <f t="shared" si="9"/>
      </c>
    </row>
    <row r="301" spans="1:16" x14ac:dyDescent="0.25">
      <c r="A301" s="235">
        <f>IF($O301="","",INDEX(Master!$D$2:$D$1001,$O301))</f>
      </c>
      <c r="B301" s="166">
        <f>IF($O301="","",INDEX(Master!$B$2:$B$1001,$O301))</f>
      </c>
      <c r="C301">
        <f>IF($O301="","",INDEX(Master!$C$2:$C$1001,$O301))</f>
      </c>
      <c r="D301">
        <f>IF($O301="","",INDEX(Master!$A$2:$A$1001,$O301))</f>
      </c>
      <c r="E301">
        <f>IF($O301="","",INDEX(Master!$E$2:$E$1001,$O301))</f>
      </c>
      <c r="F301">
        <f>IF($O301="","",INDEX(Master!$F$2:$F$1001,$O301))</f>
      </c>
      <c r="G301">
        <f>IF($O301="","",INDEX(Master!$G$2:$G$1001,$O301))</f>
      </c>
      <c r="H301">
        <f>IF($O301="","",INDEX(Master!$H$2:$H$1001,$O301))</f>
      </c>
      <c r="I301">
        <f>IF($O301="","",INDEX(Master!$I$2:$I$1001,$O301))</f>
      </c>
      <c r="J301">
        <f>IF($O301="","",INDEX(Master!$J$2:$J$1001,$O301))</f>
      </c>
      <c r="K301">
        <f t="shared" si="8"/>
      </c>
      <c r="L301">
        <f>IF($O301="","",INDEX(Master!$K$2:$K$1001,$O301))</f>
      </c>
      <c r="M301">
        <f>IF($O301="","",INDEX(Master!$L$2:$L$1001,$O301))</f>
      </c>
      <c r="O301">
        <f t="array" ref="O301">IFERROR(SMALL(IF((Master!$A$2:$A$1001="SHYAM METALLIKS")*(Master!$M$2:$M$1001="130 x 130 x 6MTR"),ROW(Master!$A$2:$A$1001)-ROW(Master!$A$2)+1),297),"")</f>
      </c>
      <c r="P301">
        <f t="shared" si="9"/>
      </c>
    </row>
    <row r="302" spans="1:16" x14ac:dyDescent="0.25">
      <c r="A302" s="235">
        <f>IF($O302="","",INDEX(Master!$D$2:$D$1001,$O302))</f>
      </c>
      <c r="B302" s="166">
        <f>IF($O302="","",INDEX(Master!$B$2:$B$1001,$O302))</f>
      </c>
      <c r="C302">
        <f>IF($O302="","",INDEX(Master!$C$2:$C$1001,$O302))</f>
      </c>
      <c r="D302">
        <f>IF($O302="","",INDEX(Master!$A$2:$A$1001,$O302))</f>
      </c>
      <c r="E302">
        <f>IF($O302="","",INDEX(Master!$E$2:$E$1001,$O302))</f>
      </c>
      <c r="F302">
        <f>IF($O302="","",INDEX(Master!$F$2:$F$1001,$O302))</f>
      </c>
      <c r="G302">
        <f>IF($O302="","",INDEX(Master!$G$2:$G$1001,$O302))</f>
      </c>
      <c r="H302">
        <f>IF($O302="","",INDEX(Master!$H$2:$H$1001,$O302))</f>
      </c>
      <c r="I302">
        <f>IF($O302="","",INDEX(Master!$I$2:$I$1001,$O302))</f>
      </c>
      <c r="J302">
        <f>IF($O302="","",INDEX(Master!$J$2:$J$1001,$O302))</f>
      </c>
      <c r="K302">
        <f t="shared" si="8"/>
      </c>
      <c r="L302">
        <f>IF($O302="","",INDEX(Master!$K$2:$K$1001,$O302))</f>
      </c>
      <c r="M302">
        <f>IF($O302="","",INDEX(Master!$L$2:$L$1001,$O302))</f>
      </c>
      <c r="O302">
        <f t="array" ref="O302">IFERROR(SMALL(IF((Master!$A$2:$A$1001="SHYAM METALLIKS")*(Master!$M$2:$M$1001="130 x 130 x 6MTR"),ROW(Master!$A$2:$A$1001)-ROW(Master!$A$2)+1),298),"")</f>
      </c>
      <c r="P302">
        <f t="shared" si="9"/>
      </c>
    </row>
    <row r="303" spans="1:16" x14ac:dyDescent="0.25">
      <c r="A303" s="235">
        <f>IF($O303="","",INDEX(Master!$D$2:$D$1001,$O303))</f>
      </c>
      <c r="B303" s="166">
        <f>IF($O303="","",INDEX(Master!$B$2:$B$1001,$O303))</f>
      </c>
      <c r="C303">
        <f>IF($O303="","",INDEX(Master!$C$2:$C$1001,$O303))</f>
      </c>
      <c r="D303">
        <f>IF($O303="","",INDEX(Master!$A$2:$A$1001,$O303))</f>
      </c>
      <c r="E303">
        <f>IF($O303="","",INDEX(Master!$E$2:$E$1001,$O303))</f>
      </c>
      <c r="F303">
        <f>IF($O303="","",INDEX(Master!$F$2:$F$1001,$O303))</f>
      </c>
      <c r="G303">
        <f>IF($O303="","",INDEX(Master!$G$2:$G$1001,$O303))</f>
      </c>
      <c r="H303">
        <f>IF($O303="","",INDEX(Master!$H$2:$H$1001,$O303))</f>
      </c>
      <c r="I303">
        <f>IF($O303="","",INDEX(Master!$I$2:$I$1001,$O303))</f>
      </c>
      <c r="J303">
        <f>IF($O303="","",INDEX(Master!$J$2:$J$1001,$O303))</f>
      </c>
      <c r="K303">
        <f t="shared" si="8"/>
      </c>
      <c r="L303">
        <f>IF($O303="","",INDEX(Master!$K$2:$K$1001,$O303))</f>
      </c>
      <c r="M303">
        <f>IF($O303="","",INDEX(Master!$L$2:$L$1001,$O303))</f>
      </c>
      <c r="O303">
        <f t="array" ref="O303">IFERROR(SMALL(IF((Master!$A$2:$A$1001="SHYAM METALLIKS")*(Master!$M$2:$M$1001="130 x 130 x 6MTR"),ROW(Master!$A$2:$A$1001)-ROW(Master!$A$2)+1),299),"")</f>
      </c>
      <c r="P303">
        <f t="shared" si="9"/>
      </c>
    </row>
    <row r="304" spans="1:16" x14ac:dyDescent="0.25">
      <c r="A304" s="235">
        <f>IF($O304="","",INDEX(Master!$D$2:$D$1001,$O304))</f>
      </c>
      <c r="B304" s="166">
        <f>IF($O304="","",INDEX(Master!$B$2:$B$1001,$O304))</f>
      </c>
      <c r="C304">
        <f>IF($O304="","",INDEX(Master!$C$2:$C$1001,$O304))</f>
      </c>
      <c r="D304">
        <f>IF($O304="","",INDEX(Master!$A$2:$A$1001,$O304))</f>
      </c>
      <c r="E304">
        <f>IF($O304="","",INDEX(Master!$E$2:$E$1001,$O304))</f>
      </c>
      <c r="F304">
        <f>IF($O304="","",INDEX(Master!$F$2:$F$1001,$O304))</f>
      </c>
      <c r="G304">
        <f>IF($O304="","",INDEX(Master!$G$2:$G$1001,$O304))</f>
      </c>
      <c r="H304">
        <f>IF($O304="","",INDEX(Master!$H$2:$H$1001,$O304))</f>
      </c>
      <c r="I304">
        <f>IF($O304="","",INDEX(Master!$I$2:$I$1001,$O304))</f>
      </c>
      <c r="J304">
        <f>IF($O304="","",INDEX(Master!$J$2:$J$1001,$O304))</f>
      </c>
      <c r="K304">
        <f t="shared" si="8"/>
      </c>
      <c r="L304">
        <f>IF($O304="","",INDEX(Master!$K$2:$K$1001,$O304))</f>
      </c>
      <c r="M304">
        <f>IF($O304="","",INDEX(Master!$L$2:$L$1001,$O304))</f>
      </c>
      <c r="O304">
        <f t="array" ref="O304">IFERROR(SMALL(IF((Master!$A$2:$A$1001="SHYAM METALLIKS")*(Master!$M$2:$M$1001="130 x 130 x 6MTR"),ROW(Master!$A$2:$A$1001)-ROW(Master!$A$2)+1),300),"")</f>
      </c>
      <c r="P304">
        <f t="shared" si="9"/>
      </c>
    </row>
  </sheetData>
  <autoFilter ref="A4:N304" xr:uid="{00000000-0009-0000-0000-000005000000}"/>
  <mergeCells count="10">
    <mergeCell ref="A1:N1"/>
    <mergeCell ref="E2:J2"/>
    <mergeCell ref="A2:A4"/>
    <mergeCell ref="C2:C4"/>
    <mergeCell ref="K2:K4"/>
    <mergeCell ref="N2:N4"/>
    <mergeCell ref="L2:L4"/>
    <mergeCell ref="M2:M4"/>
    <mergeCell ref="B2:B4"/>
    <mergeCell ref="D2:D4"/>
  </mergeCells>
  <conditionalFormatting sqref="A5:D114 A115:N304 I5:N114">
    <cfRule type="expression" dxfId="38" priority="5">
      <formula>$N5="HOLD"</formula>
    </cfRule>
  </conditionalFormatting>
  <conditionalFormatting sqref="E5:H114">
    <cfRule type="expression" dxfId="37" priority="1">
      <formula>$N5="HOLD"</formula>
    </cfRule>
  </conditionalFormatting>
  <conditionalFormatting sqref="E5:E304">
    <cfRule type="expression" dxfId="36" priority="3">
      <formula>AND($E5&lt;&gt;"",OR($E5&gt;0.18))</formula>
    </cfRule>
  </conditionalFormatting>
  <conditionalFormatting sqref="F5:F304">
    <cfRule type="expression" dxfId="35" priority="4">
      <formula>AND($F5&lt;&gt;"",OR($F5&gt;0.045,($F5+$G5)&gt;0.14))</formula>
    </cfRule>
  </conditionalFormatting>
  <conditionalFormatting sqref="G5:G304">
    <cfRule type="expression" dxfId="34" priority="6">
      <formula>AND($G5&lt;&gt;"",OR($G5&gt;0.08,($F5+$G5)&gt;0.14))</formula>
    </cfRule>
  </conditionalFormatting>
  <conditionalFormatting sqref="H5:H304">
    <cfRule type="expression" dxfId="33" priority="7">
      <formula>AND($H5&lt;&gt;"",$H5&lt;0.4)</formula>
    </cfRule>
  </conditionalFormatting>
  <conditionalFormatting sqref="J5:J304">
    <cfRule type="expression" dxfId="32" priority="8">
      <formula>AND($J5&lt;&gt;"",OR($J5&lt;0.1))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P304"/>
  <sheetViews>
    <sheetView workbookViewId="0">
      <pane ySplit="4" topLeftCell="A47" activePane="bottomLeft" state="frozen"/>
      <selection pane="bottomLeft" activeCell="M39" sqref="M39:M54"/>
    </sheetView>
  </sheetViews>
  <sheetFormatPr defaultRowHeight="15" x14ac:dyDescent="0.25"/>
  <cols>
    <col min="1" max="1" width="8.7109375" bestFit="1" customWidth="1"/>
    <col min="2" max="2" width="10.7109375" bestFit="1" customWidth="1"/>
    <col min="3" max="3" width="15.28515625" bestFit="1" customWidth="1"/>
    <col min="4" max="4" width="17.42578125" bestFit="1" customWidth="1"/>
    <col min="5" max="8" width="8" bestFit="1" customWidth="1"/>
    <col min="9" max="9" width="9.5703125" bestFit="1" customWidth="1"/>
    <col min="10" max="10" width="8" bestFit="1" customWidth="1"/>
    <col min="11" max="11" width="12" bestFit="1" customWidth="1"/>
    <col min="12" max="12" width="12.5703125" bestFit="1" customWidth="1"/>
    <col min="13" max="13" width="12.28515625" bestFit="1" customWidth="1"/>
    <col min="14" max="14" width="5.85546875" bestFit="1" customWidth="1"/>
    <col min="15" max="15" width="4" hidden="1" customWidth="1"/>
    <col min="16" max="16" width="13" hidden="1" customWidth="1"/>
  </cols>
  <sheetData>
    <row r="1" spans="1:16" ht="21.95" customHeight="1" x14ac:dyDescent="0.25">
      <c r="A1" s="289" t="s">
        <v>51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</row>
    <row r="2" spans="1:16" x14ac:dyDescent="0.25">
      <c r="A2" s="434" t="s">
        <v>29</v>
      </c>
      <c r="B2" s="434" t="s">
        <v>30</v>
      </c>
      <c r="C2" s="434" t="s">
        <v>39</v>
      </c>
      <c r="D2" s="434" t="s">
        <v>1</v>
      </c>
      <c r="E2" s="434" t="s">
        <v>40</v>
      </c>
      <c r="F2" s="435"/>
      <c r="G2" s="435"/>
      <c r="H2" s="435"/>
      <c r="I2" s="435"/>
      <c r="J2" s="436"/>
      <c r="K2" s="434" t="s">
        <v>41</v>
      </c>
      <c r="L2" s="434" t="s">
        <v>42</v>
      </c>
      <c r="M2" s="434" t="s">
        <v>43</v>
      </c>
      <c r="N2" s="434" t="s">
        <v>44</v>
      </c>
      <c r="P2" t="s">
        <v>45</v>
      </c>
    </row>
    <row r="3" spans="1:16" x14ac:dyDescent="0.25">
      <c r="A3" s="437"/>
      <c r="B3" s="437"/>
      <c r="C3" s="437"/>
      <c r="D3" s="437"/>
      <c r="E3" s="231" t="s">
        <v>32</v>
      </c>
      <c r="F3" s="231" t="s">
        <v>33</v>
      </c>
      <c r="G3" s="231" t="s">
        <v>34</v>
      </c>
      <c r="H3" s="231" t="s">
        <v>35</v>
      </c>
      <c r="I3" s="231" t="s">
        <v>36</v>
      </c>
      <c r="J3" s="231" t="s">
        <v>37</v>
      </c>
      <c r="K3" s="437"/>
      <c r="L3" s="437"/>
      <c r="M3" s="437"/>
      <c r="N3" s="437"/>
    </row>
    <row r="4" spans="1:16" x14ac:dyDescent="0.25">
      <c r="A4" s="438"/>
      <c r="B4" s="438"/>
      <c r="C4" s="438"/>
      <c r="D4" s="438"/>
      <c r="E4" s="233" t="s">
        <v>46</v>
      </c>
      <c r="F4" s="233" t="s">
        <v>46</v>
      </c>
      <c r="G4" s="233" t="s">
        <v>46</v>
      </c>
      <c r="H4" s="233" t="s">
        <v>46</v>
      </c>
      <c r="I4" s="233" t="s">
        <v>47</v>
      </c>
      <c r="J4" s="233" t="s">
        <v>46</v>
      </c>
      <c r="K4" s="438"/>
      <c r="L4" s="438"/>
      <c r="M4" s="438"/>
      <c r="N4" s="438"/>
    </row>
    <row r="5" spans="1:16" x14ac:dyDescent="0.25">
      <c r="A5" s="164">
        <f>IF($O5="","",INDEX(Master!$D$2:$D$1001,$O5))</f>
      </c>
      <c r="B5" s="164">
        <f>IF($O5="","",INDEX(Master!$B$2:$B$1001,$O5))</f>
      </c>
      <c r="C5" s="164">
        <f>IF($O5="","",INDEX(Master!$C$2:$C$1001,$O5))</f>
      </c>
      <c r="D5" s="164">
        <f>IF($O5="","",INDEX(Master!$A$2:$A$1001,$O5))</f>
      </c>
      <c r="E5" s="164">
        <f>IF($O5="","",INDEX(Master!$E$2:$E$1001,$O5))</f>
      </c>
      <c r="F5" s="164">
        <f>IF($O5="","",INDEX(Master!$F$2:$F$1001,$O5))</f>
      </c>
      <c r="G5" s="164">
        <f>IF($O5="","",INDEX(Master!$G$2:$G$1001,$O5))</f>
      </c>
      <c r="H5" s="164">
        <f>IF($O5="","",INDEX(Master!$H$2:$H$1001,$O5))</f>
      </c>
      <c r="I5" s="164">
        <f>IF($O5="","",INDEX(Master!$I$2:$I$1001,$O5))</f>
      </c>
      <c r="J5" s="248">
        <f>IF($O5="","",INDEX(Master!$J$2:$J$1001,$O5))</f>
      </c>
      <c r="K5" s="248">
        <f t="shared" ref="K5:K68" si="0">IF(OR($O5="",$F5="",$F5=0),"",$H5/$F5)</f>
      </c>
      <c r="L5" s="164">
        <f>IF($O5="","",INDEX(Master!$K$2:$K$1001,$O5))</f>
      </c>
      <c r="M5" s="247">
        <f>IF($O5="","",INDEX(Master!$L$2:$L$1001,$O5))</f>
      </c>
      <c r="N5" s="164"/>
      <c r="O5">
        <f t="array" ref="O5">IFERROR(SMALL(IF((Master!$A$2:$A$1001="SHYAM METALLIKS")*(Master!$M$2:$M$1001="160 x 160 x 6MTR"),ROW(Master!$A$2:$A$1001)-ROW(Master!$A$2)+1),1),"")</f>
      </c>
      <c r="P5">
        <f t="shared" ref="P5:P68" si="1">IF($A5="",0,IF(OR(AND($E5&lt;&gt;"",OR($E5&gt;0.18)),AND($F5&lt;&gt;"",OR(($F5+$G5)&gt;0.14)),AND($G5&lt;&gt;"",OR(($F5+$G5)&gt;0.14)),AND($H5&lt;&gt;"",$H5&lt;0.4),AND($J5&lt;&gt;"",OR($J5&lt;0.1))),1,0))</f>
      </c>
    </row>
    <row r="6" spans="1:16" x14ac:dyDescent="0.25">
      <c r="A6" s="164">
        <f>IF($O6="","",INDEX(Master!$D$2:$D$1001,$O6))</f>
      </c>
      <c r="B6" s="164">
        <f>IF($O6="","",INDEX(Master!$B$2:$B$1001,$O6))</f>
      </c>
      <c r="C6" s="164">
        <f>IF($O6="","",INDEX(Master!$C$2:$C$1001,$O6))</f>
      </c>
      <c r="D6" s="164">
        <f>IF($O6="","",INDEX(Master!$A$2:$A$1001,$O6))</f>
      </c>
      <c r="E6" s="164">
        <f>IF($O6="","",INDEX(Master!$E$2:$E$1001,$O6))</f>
      </c>
      <c r="F6" s="164">
        <f>IF($O6="","",INDEX(Master!$F$2:$F$1001,$O6))</f>
      </c>
      <c r="G6" s="164">
        <f>IF($O6="","",INDEX(Master!$G$2:$G$1001,$O6))</f>
      </c>
      <c r="H6" s="164">
        <f>IF($O6="","",INDEX(Master!$H$2:$H$1001,$O6))</f>
      </c>
      <c r="I6" s="164">
        <f>IF($O6="","",INDEX(Master!$I$2:$I$1001,$O6))</f>
      </c>
      <c r="J6" s="248">
        <f>IF($O6="","",INDEX(Master!$J$2:$J$1001,$O6))</f>
      </c>
      <c r="K6" s="248">
        <f t="shared" si="0"/>
      </c>
      <c r="L6" s="164">
        <f>IF($O6="","",INDEX(Master!$K$2:$K$1001,$O6))</f>
      </c>
      <c r="M6" s="164">
        <f>IF($O6="","",INDEX(Master!$L$2:$L$1001,$O6))</f>
      </c>
      <c r="N6" s="164"/>
      <c r="O6">
        <f t="array" ref="O6">IFERROR(SMALL(IF((Master!$A$2:$A$1001="SHYAM METALLIKS")*(Master!$M$2:$M$1001="160 x 160 x 6MTR"),ROW(Master!$A$2:$A$1001)-ROW(Master!$A$2)+1),2),"")</f>
      </c>
      <c r="P6">
        <f t="shared" si="1"/>
      </c>
    </row>
    <row r="7" spans="1:16" x14ac:dyDescent="0.25">
      <c r="A7" s="164">
        <f>IF($O7="","",INDEX(Master!$D$2:$D$1001,$O7))</f>
      </c>
      <c r="B7" s="164">
        <f>IF($O7="","",INDEX(Master!$B$2:$B$1001,$O7))</f>
      </c>
      <c r="C7" s="164">
        <f>IF($O7="","",INDEX(Master!$C$2:$C$1001,$O7))</f>
      </c>
      <c r="D7" s="164">
        <f>IF($O7="","",INDEX(Master!$A$2:$A$1001,$O7))</f>
      </c>
      <c r="E7" s="164">
        <f>IF($O7="","",INDEX(Master!$E$2:$E$1001,$O7))</f>
      </c>
      <c r="F7" s="164">
        <f>IF($O7="","",INDEX(Master!$F$2:$F$1001,$O7))</f>
      </c>
      <c r="G7" s="164">
        <f>IF($O7="","",INDEX(Master!$G$2:$G$1001,$O7))</f>
      </c>
      <c r="H7" s="164">
        <f>IF($O7="","",INDEX(Master!$H$2:$H$1001,$O7))</f>
      </c>
      <c r="I7" s="164">
        <f>IF($O7="","",INDEX(Master!$I$2:$I$1001,$O7))</f>
      </c>
      <c r="J7" s="248">
        <f>IF($O7="","",INDEX(Master!$J$2:$J$1001,$O7))</f>
      </c>
      <c r="K7" s="248">
        <f t="shared" si="0"/>
      </c>
      <c r="L7" s="164">
        <f>IF($O7="","",INDEX(Master!$K$2:$K$1001,$O7))</f>
      </c>
      <c r="M7" s="164">
        <f>IF($O7="","",INDEX(Master!$L$2:$L$1001,$O7))</f>
      </c>
      <c r="N7" s="164"/>
      <c r="O7">
        <f t="array" ref="O7">IFERROR(SMALL(IF((Master!$A$2:$A$1001="SHYAM METALLIKS")*(Master!$M$2:$M$1001="160 x 160 x 6MTR"),ROW(Master!$A$2:$A$1001)-ROW(Master!$A$2)+1),3),"")</f>
      </c>
      <c r="P7">
        <f t="shared" si="1"/>
      </c>
    </row>
    <row r="8" spans="1:16" x14ac:dyDescent="0.25">
      <c r="A8" s="164">
        <f>IF($O8="","",INDEX(Master!$D$2:$D$1001,$O8))</f>
      </c>
      <c r="B8" s="164">
        <f>IF($O8="","",INDEX(Master!$B$2:$B$1001,$O8))</f>
      </c>
      <c r="C8" s="164">
        <f>IF($O8="","",INDEX(Master!$C$2:$C$1001,$O8))</f>
      </c>
      <c r="D8" s="164">
        <f>IF($O8="","",INDEX(Master!$A$2:$A$1001,$O8))</f>
      </c>
      <c r="E8" s="164">
        <f>IF($O8="","",INDEX(Master!$E$2:$E$1001,$O8))</f>
      </c>
      <c r="F8" s="164">
        <f>IF($O8="","",INDEX(Master!$F$2:$F$1001,$O8))</f>
      </c>
      <c r="G8" s="164">
        <f>IF($O8="","",INDEX(Master!$G$2:$G$1001,$O8))</f>
      </c>
      <c r="H8" s="164">
        <f>IF($O8="","",INDEX(Master!$H$2:$H$1001,$O8))</f>
      </c>
      <c r="I8" s="164">
        <f>IF($O8="","",INDEX(Master!$I$2:$I$1001,$O8))</f>
      </c>
      <c r="J8" s="248">
        <f>IF($O8="","",INDEX(Master!$J$2:$J$1001,$O8))</f>
      </c>
      <c r="K8" s="248">
        <f t="shared" si="0"/>
      </c>
      <c r="L8" s="164">
        <f>IF($O8="","",INDEX(Master!$K$2:$K$1001,$O8))</f>
      </c>
      <c r="M8" s="164">
        <f>IF($O8="","",INDEX(Master!$L$2:$L$1001,$O8))</f>
      </c>
      <c r="N8" s="164"/>
      <c r="O8">
        <f t="array" ref="O8">IFERROR(SMALL(IF((Master!$A$2:$A$1001="SHYAM METALLIKS")*(Master!$M$2:$M$1001="160 x 160 x 6MTR"),ROW(Master!$A$2:$A$1001)-ROW(Master!$A$2)+1),4),"")</f>
      </c>
      <c r="P8">
        <f t="shared" si="1"/>
      </c>
    </row>
    <row r="9" spans="1:16" x14ac:dyDescent="0.25">
      <c r="A9" s="164">
        <f>IF($O9="","",INDEX(Master!$D$2:$D$1001,$O9))</f>
      </c>
      <c r="B9" s="164">
        <f>IF($O9="","",INDEX(Master!$B$2:$B$1001,$O9))</f>
      </c>
      <c r="C9" s="164">
        <f>IF($O9="","",INDEX(Master!$C$2:$C$1001,$O9))</f>
      </c>
      <c r="D9" s="164">
        <f>IF($O9="","",INDEX(Master!$A$2:$A$1001,$O9))</f>
      </c>
      <c r="E9" s="164">
        <f>IF($O9="","",INDEX(Master!$E$2:$E$1001,$O9))</f>
      </c>
      <c r="F9" s="164">
        <f>IF($O9="","",INDEX(Master!$F$2:$F$1001,$O9))</f>
      </c>
      <c r="G9" s="164">
        <f>IF($O9="","",INDEX(Master!$G$2:$G$1001,$O9))</f>
      </c>
      <c r="H9" s="164">
        <f>IF($O9="","",INDEX(Master!$H$2:$H$1001,$O9))</f>
      </c>
      <c r="I9" s="164">
        <f>IF($O9="","",INDEX(Master!$I$2:$I$1001,$O9))</f>
      </c>
      <c r="J9" s="248">
        <f>IF($O9="","",INDEX(Master!$J$2:$J$1001,$O9))</f>
      </c>
      <c r="K9" s="248">
        <f t="shared" si="0"/>
      </c>
      <c r="L9" s="164">
        <f>IF($O9="","",INDEX(Master!$K$2:$K$1001,$O9))</f>
      </c>
      <c r="M9" s="164">
        <f>IF($O9="","",INDEX(Master!$L$2:$L$1001,$O9))</f>
      </c>
      <c r="N9" s="164"/>
      <c r="O9">
        <f t="array" ref="O9">IFERROR(SMALL(IF((Master!$A$2:$A$1001="SHYAM METALLIKS")*(Master!$M$2:$M$1001="160 x 160 x 6MTR"),ROW(Master!$A$2:$A$1001)-ROW(Master!$A$2)+1),5),"")</f>
      </c>
      <c r="P9">
        <f t="shared" si="1"/>
      </c>
    </row>
    <row r="10" spans="1:16" x14ac:dyDescent="0.25">
      <c r="A10" s="164">
        <f>IF($O10="","",INDEX(Master!$D$2:$D$1001,$O10))</f>
      </c>
      <c r="B10" s="164">
        <f>IF($O10="","",INDEX(Master!$B$2:$B$1001,$O10))</f>
      </c>
      <c r="C10" s="164">
        <f>IF($O10="","",INDEX(Master!$C$2:$C$1001,$O10))</f>
      </c>
      <c r="D10" s="164">
        <f>IF($O10="","",INDEX(Master!$A$2:$A$1001,$O10))</f>
      </c>
      <c r="E10" s="164">
        <f>IF($O10="","",INDEX(Master!$E$2:$E$1001,$O10))</f>
      </c>
      <c r="F10" s="164">
        <f>IF($O10="","",INDEX(Master!$F$2:$F$1001,$O10))</f>
      </c>
      <c r="G10" s="164">
        <f>IF($O10="","",INDEX(Master!$G$2:$G$1001,$O10))</f>
      </c>
      <c r="H10" s="164">
        <f>IF($O10="","",INDEX(Master!$H$2:$H$1001,$O10))</f>
      </c>
      <c r="I10" s="164">
        <f>IF($O10="","",INDEX(Master!$I$2:$I$1001,$O10))</f>
      </c>
      <c r="J10" s="248">
        <f>IF($O10="","",INDEX(Master!$J$2:$J$1001,$O10))</f>
      </c>
      <c r="K10" s="248">
        <f t="shared" si="0"/>
      </c>
      <c r="L10" s="164">
        <f>IF($O10="","",INDEX(Master!$K$2:$K$1001,$O10))</f>
      </c>
      <c r="M10" s="164">
        <f>IF($O10="","",INDEX(Master!$L$2:$L$1001,$O10))</f>
      </c>
      <c r="N10" s="164"/>
      <c r="O10">
        <f t="array" ref="O10">IFERROR(SMALL(IF((Master!$A$2:$A$1001="SHYAM METALLIKS")*(Master!$M$2:$M$1001="160 x 160 x 6MTR"),ROW(Master!$A$2:$A$1001)-ROW(Master!$A$2)+1),6),"")</f>
      </c>
      <c r="P10">
        <f t="shared" si="1"/>
      </c>
    </row>
    <row r="11" spans="1:16" x14ac:dyDescent="0.25">
      <c r="A11" s="164">
        <f>IF($O11="","",INDEX(Master!$D$2:$D$1001,$O11))</f>
      </c>
      <c r="B11" s="164">
        <f>IF($O11="","",INDEX(Master!$B$2:$B$1001,$O11))</f>
      </c>
      <c r="C11" s="164">
        <f>IF($O11="","",INDEX(Master!$C$2:$C$1001,$O11))</f>
      </c>
      <c r="D11" s="164">
        <f>IF($O11="","",INDEX(Master!$A$2:$A$1001,$O11))</f>
      </c>
      <c r="E11" s="164">
        <f>IF($O11="","",INDEX(Master!$E$2:$E$1001,$O11))</f>
      </c>
      <c r="F11" s="164">
        <f>IF($O11="","",INDEX(Master!$F$2:$F$1001,$O11))</f>
      </c>
      <c r="G11" s="164">
        <f>IF($O11="","",INDEX(Master!$G$2:$G$1001,$O11))</f>
      </c>
      <c r="H11" s="164">
        <f>IF($O11="","",INDEX(Master!$H$2:$H$1001,$O11))</f>
      </c>
      <c r="I11" s="164">
        <f>IF($O11="","",INDEX(Master!$I$2:$I$1001,$O11))</f>
      </c>
      <c r="J11" s="248">
        <f>IF($O11="","",INDEX(Master!$J$2:$J$1001,$O11))</f>
      </c>
      <c r="K11" s="248">
        <f t="shared" si="0"/>
      </c>
      <c r="L11" s="164">
        <f>IF($O11="","",INDEX(Master!$K$2:$K$1001,$O11))</f>
      </c>
      <c r="M11" s="164">
        <f>IF($O11="","",INDEX(Master!$L$2:$L$1001,$O11))</f>
      </c>
      <c r="N11" s="164"/>
      <c r="O11">
        <f t="array" ref="O11">IFERROR(SMALL(IF((Master!$A$2:$A$1001="SHYAM METALLIKS")*(Master!$M$2:$M$1001="160 x 160 x 6MTR"),ROW(Master!$A$2:$A$1001)-ROW(Master!$A$2)+1),7),"")</f>
      </c>
      <c r="P11">
        <f t="shared" si="1"/>
      </c>
    </row>
    <row r="12" spans="1:16" x14ac:dyDescent="0.25">
      <c r="A12" s="164">
        <f>IF($O12="","",INDEX(Master!$D$2:$D$1001,$O12))</f>
      </c>
      <c r="B12" s="164">
        <f>IF($O12="","",INDEX(Master!$B$2:$B$1001,$O12))</f>
      </c>
      <c r="C12" s="164">
        <f>IF($O12="","",INDEX(Master!$C$2:$C$1001,$O12))</f>
      </c>
      <c r="D12" s="164">
        <f>IF($O12="","",INDEX(Master!$A$2:$A$1001,$O12))</f>
      </c>
      <c r="E12" s="164">
        <f>IF($O12="","",INDEX(Master!$E$2:$E$1001,$O12))</f>
      </c>
      <c r="F12" s="164">
        <f>IF($O12="","",INDEX(Master!$F$2:$F$1001,$O12))</f>
      </c>
      <c r="G12" s="164">
        <f>IF($O12="","",INDEX(Master!$G$2:$G$1001,$O12))</f>
      </c>
      <c r="H12" s="164">
        <f>IF($O12="","",INDEX(Master!$H$2:$H$1001,$O12))</f>
      </c>
      <c r="I12" s="164">
        <f>IF($O12="","",INDEX(Master!$I$2:$I$1001,$O12))</f>
      </c>
      <c r="J12" s="248">
        <f>IF($O12="","",INDEX(Master!$J$2:$J$1001,$O12))</f>
      </c>
      <c r="K12" s="248">
        <f t="shared" si="0"/>
      </c>
      <c r="L12" s="164">
        <f>IF($O12="","",INDEX(Master!$K$2:$K$1001,$O12))</f>
      </c>
      <c r="M12" s="164">
        <f>IF($O12="","",INDEX(Master!$L$2:$L$1001,$O12))</f>
      </c>
      <c r="N12" s="164"/>
      <c r="O12">
        <f t="array" ref="O12">IFERROR(SMALL(IF((Master!$A$2:$A$1001="SHYAM METALLIKS")*(Master!$M$2:$M$1001="160 x 160 x 6MTR"),ROW(Master!$A$2:$A$1001)-ROW(Master!$A$2)+1),8),"")</f>
      </c>
      <c r="P12">
        <f t="shared" si="1"/>
      </c>
    </row>
    <row r="13" spans="1:16" x14ac:dyDescent="0.25">
      <c r="A13" s="164">
        <f>IF($O13="","",INDEX(Master!$D$2:$D$1001,$O13))</f>
      </c>
      <c r="B13" s="164">
        <f>IF($O13="","",INDEX(Master!$B$2:$B$1001,$O13))</f>
      </c>
      <c r="C13" s="164">
        <f>IF($O13="","",INDEX(Master!$C$2:$C$1001,$O13))</f>
      </c>
      <c r="D13" s="164">
        <f>IF($O13="","",INDEX(Master!$A$2:$A$1001,$O13))</f>
      </c>
      <c r="E13" s="164">
        <f>IF($O13="","",INDEX(Master!$E$2:$E$1001,$O13))</f>
      </c>
      <c r="F13" s="164">
        <f>IF($O13="","",INDEX(Master!$F$2:$F$1001,$O13))</f>
      </c>
      <c r="G13" s="164">
        <f>IF($O13="","",INDEX(Master!$G$2:$G$1001,$O13))</f>
      </c>
      <c r="H13" s="164">
        <f>IF($O13="","",INDEX(Master!$H$2:$H$1001,$O13))</f>
      </c>
      <c r="I13" s="164">
        <f>IF($O13="","",INDEX(Master!$I$2:$I$1001,$O13))</f>
      </c>
      <c r="J13" s="248">
        <f>IF($O13="","",INDEX(Master!$J$2:$J$1001,$O13))</f>
      </c>
      <c r="K13" s="248">
        <f t="shared" si="0"/>
      </c>
      <c r="L13" s="164">
        <f>IF($O13="","",INDEX(Master!$K$2:$K$1001,$O13))</f>
      </c>
      <c r="M13" s="164">
        <f>IF($O13="","",INDEX(Master!$L$2:$L$1001,$O13))</f>
      </c>
      <c r="N13" s="164"/>
      <c r="O13">
        <f t="array" ref="O13">IFERROR(SMALL(IF((Master!$A$2:$A$1001="SHYAM METALLIKS")*(Master!$M$2:$M$1001="160 x 160 x 6MTR"),ROW(Master!$A$2:$A$1001)-ROW(Master!$A$2)+1),9),"")</f>
      </c>
      <c r="P13">
        <f t="shared" si="1"/>
      </c>
    </row>
    <row r="14" spans="1:16" x14ac:dyDescent="0.25">
      <c r="A14" s="164">
        <f>IF($O14="","",INDEX(Master!$D$2:$D$1001,$O14))</f>
      </c>
      <c r="B14" s="164">
        <f>IF($O14="","",INDEX(Master!$B$2:$B$1001,$O14))</f>
      </c>
      <c r="C14" s="164">
        <f>IF($O14="","",INDEX(Master!$C$2:$C$1001,$O14))</f>
      </c>
      <c r="D14" s="164">
        <f>IF($O14="","",INDEX(Master!$A$2:$A$1001,$O14))</f>
      </c>
      <c r="E14" s="164">
        <f>IF($O14="","",INDEX(Master!$E$2:$E$1001,$O14))</f>
      </c>
      <c r="F14" s="164">
        <f>IF($O14="","",INDEX(Master!$F$2:$F$1001,$O14))</f>
      </c>
      <c r="G14" s="164">
        <f>IF($O14="","",INDEX(Master!$G$2:$G$1001,$O14))</f>
      </c>
      <c r="H14" s="164">
        <f>IF($O14="","",INDEX(Master!$H$2:$H$1001,$O14))</f>
      </c>
      <c r="I14" s="164">
        <f>IF($O14="","",INDEX(Master!$I$2:$I$1001,$O14))</f>
      </c>
      <c r="J14" s="248">
        <f>IF($O14="","",INDEX(Master!$J$2:$J$1001,$O14))</f>
      </c>
      <c r="K14" s="248">
        <f t="shared" si="0"/>
      </c>
      <c r="L14" s="164">
        <f>IF($O14="","",INDEX(Master!$K$2:$K$1001,$O14))</f>
      </c>
      <c r="M14" s="247">
        <f>IF($O14="","",INDEX(Master!$L$2:$L$1001,$O14))</f>
      </c>
      <c r="N14" s="164"/>
      <c r="O14">
        <f t="array" ref="O14">IFERROR(SMALL(IF((Master!$A$2:$A$1001="SHYAM METALLIKS")*(Master!$M$2:$M$1001="160 x 160 x 6MTR"),ROW(Master!$A$2:$A$1001)-ROW(Master!$A$2)+1),10),"")</f>
      </c>
      <c r="P14">
        <f t="shared" si="1"/>
      </c>
    </row>
    <row r="15" spans="1:16" x14ac:dyDescent="0.25">
      <c r="A15" s="164">
        <f>IF($O15="","",INDEX(Master!$D$2:$D$1001,$O15))</f>
      </c>
      <c r="B15" s="164">
        <f>IF($O15="","",INDEX(Master!$B$2:$B$1001,$O15))</f>
      </c>
      <c r="C15" s="164">
        <f>IF($O15="","",INDEX(Master!$C$2:$C$1001,$O15))</f>
      </c>
      <c r="D15" s="164">
        <f>IF($O15="","",INDEX(Master!$A$2:$A$1001,$O15))</f>
      </c>
      <c r="E15" s="164">
        <f>IF($O15="","",INDEX(Master!$E$2:$E$1001,$O15))</f>
      </c>
      <c r="F15" s="164">
        <f>IF($O15="","",INDEX(Master!$F$2:$F$1001,$O15))</f>
      </c>
      <c r="G15" s="164">
        <f>IF($O15="","",INDEX(Master!$G$2:$G$1001,$O15))</f>
      </c>
      <c r="H15" s="164">
        <f>IF($O15="","",INDEX(Master!$H$2:$H$1001,$O15))</f>
      </c>
      <c r="I15" s="164">
        <f>IF($O15="","",INDEX(Master!$I$2:$I$1001,$O15))</f>
      </c>
      <c r="J15" s="248">
        <f>IF($O15="","",INDEX(Master!$J$2:$J$1001,$O15))</f>
      </c>
      <c r="K15" s="248">
        <f t="shared" si="0"/>
      </c>
      <c r="L15" s="164">
        <f>IF($O15="","",INDEX(Master!$K$2:$K$1001,$O15))</f>
      </c>
      <c r="M15" s="164">
        <f>IF($O15="","",INDEX(Master!$L$2:$L$1001,$O15))</f>
      </c>
      <c r="N15" s="164"/>
      <c r="O15">
        <f t="array" ref="O15">IFERROR(SMALL(IF((Master!$A$2:$A$1001="SHYAM METALLIKS")*(Master!$M$2:$M$1001="160 x 160 x 6MTR"),ROW(Master!$A$2:$A$1001)-ROW(Master!$A$2)+1),11),"")</f>
      </c>
      <c r="P15">
        <f t="shared" si="1"/>
      </c>
    </row>
    <row r="16" spans="1:16" x14ac:dyDescent="0.25">
      <c r="A16" s="164">
        <f>IF($O16="","",INDEX(Master!$D$2:$D$1001,$O16))</f>
      </c>
      <c r="B16" s="164">
        <f>IF($O16="","",INDEX(Master!$B$2:$B$1001,$O16))</f>
      </c>
      <c r="C16" s="164">
        <f>IF($O16="","",INDEX(Master!$C$2:$C$1001,$O16))</f>
      </c>
      <c r="D16" s="164">
        <f>IF($O16="","",INDEX(Master!$A$2:$A$1001,$O16))</f>
      </c>
      <c r="E16" s="164">
        <f>IF($O16="","",INDEX(Master!$E$2:$E$1001,$O16))</f>
      </c>
      <c r="F16" s="164">
        <f>IF($O16="","",INDEX(Master!$F$2:$F$1001,$O16))</f>
      </c>
      <c r="G16" s="164">
        <f>IF($O16="","",INDEX(Master!$G$2:$G$1001,$O16))</f>
      </c>
      <c r="H16" s="164">
        <f>IF($O16="","",INDEX(Master!$H$2:$H$1001,$O16))</f>
      </c>
      <c r="I16" s="164">
        <f>IF($O16="","",INDEX(Master!$I$2:$I$1001,$O16))</f>
      </c>
      <c r="J16" s="248">
        <f>IF($O16="","",INDEX(Master!$J$2:$J$1001,$O16))</f>
      </c>
      <c r="K16" s="248">
        <f t="shared" si="0"/>
      </c>
      <c r="L16" s="164">
        <f>IF($O16="","",INDEX(Master!$K$2:$K$1001,$O16))</f>
      </c>
      <c r="M16" s="164">
        <f>IF($O16="","",INDEX(Master!$L$2:$L$1001,$O16))</f>
      </c>
      <c r="N16" s="164"/>
      <c r="O16">
        <f t="array" ref="O16">IFERROR(SMALL(IF((Master!$A$2:$A$1001="SHYAM METALLIKS")*(Master!$M$2:$M$1001="160 x 160 x 6MTR"),ROW(Master!$A$2:$A$1001)-ROW(Master!$A$2)+1),12),"")</f>
      </c>
      <c r="P16">
        <f t="shared" si="1"/>
      </c>
    </row>
    <row r="17" spans="1:16" x14ac:dyDescent="0.25">
      <c r="A17" s="164">
        <f>IF($O17="","",INDEX(Master!$D$2:$D$1001,$O17))</f>
      </c>
      <c r="B17" s="164">
        <f>IF($O17="","",INDEX(Master!$B$2:$B$1001,$O17))</f>
      </c>
      <c r="C17" s="164">
        <f>IF($O17="","",INDEX(Master!$C$2:$C$1001,$O17))</f>
      </c>
      <c r="D17" s="164">
        <f>IF($O17="","",INDEX(Master!$A$2:$A$1001,$O17))</f>
      </c>
      <c r="E17" s="164">
        <f>IF($O17="","",INDEX(Master!$E$2:$E$1001,$O17))</f>
      </c>
      <c r="F17" s="164">
        <f>IF($O17="","",INDEX(Master!$F$2:$F$1001,$O17))</f>
      </c>
      <c r="G17" s="164">
        <f>IF($O17="","",INDEX(Master!$G$2:$G$1001,$O17))</f>
      </c>
      <c r="H17" s="164">
        <f>IF($O17="","",INDEX(Master!$H$2:$H$1001,$O17))</f>
      </c>
      <c r="I17" s="164">
        <f>IF($O17="","",INDEX(Master!$I$2:$I$1001,$O17))</f>
      </c>
      <c r="J17" s="248">
        <f>IF($O17="","",INDEX(Master!$J$2:$J$1001,$O17))</f>
      </c>
      <c r="K17" s="248">
        <f t="shared" si="0"/>
      </c>
      <c r="L17" s="164">
        <f>IF($O17="","",INDEX(Master!$K$2:$K$1001,$O17))</f>
      </c>
      <c r="M17" s="164">
        <f>IF($O17="","",INDEX(Master!$L$2:$L$1001,$O17))</f>
      </c>
      <c r="N17" s="164"/>
      <c r="O17">
        <f t="array" ref="O17">IFERROR(SMALL(IF((Master!$A$2:$A$1001="SHYAM METALLIKS")*(Master!$M$2:$M$1001="160 x 160 x 6MTR"),ROW(Master!$A$2:$A$1001)-ROW(Master!$A$2)+1),13),"")</f>
      </c>
      <c r="P17">
        <f t="shared" si="1"/>
      </c>
    </row>
    <row r="18" spans="1:16" x14ac:dyDescent="0.25">
      <c r="A18" s="164">
        <f>IF($O18="","",INDEX(Master!$D$2:$D$1001,$O18))</f>
      </c>
      <c r="B18" s="164">
        <f>IF($O18="","",INDEX(Master!$B$2:$B$1001,$O18))</f>
      </c>
      <c r="C18" s="164">
        <f>IF($O18="","",INDEX(Master!$C$2:$C$1001,$O18))</f>
      </c>
      <c r="D18" s="164">
        <f>IF($O18="","",INDEX(Master!$A$2:$A$1001,$O18))</f>
      </c>
      <c r="E18" s="164">
        <f>IF($O18="","",INDEX(Master!$E$2:$E$1001,$O18))</f>
      </c>
      <c r="F18" s="164">
        <f>IF($O18="","",INDEX(Master!$F$2:$F$1001,$O18))</f>
      </c>
      <c r="G18" s="164">
        <f>IF($O18="","",INDEX(Master!$G$2:$G$1001,$O18))</f>
      </c>
      <c r="H18" s="164">
        <f>IF($O18="","",INDEX(Master!$H$2:$H$1001,$O18))</f>
      </c>
      <c r="I18" s="164">
        <f>IF($O18="","",INDEX(Master!$I$2:$I$1001,$O18))</f>
      </c>
      <c r="J18" s="248">
        <f>IF($O18="","",INDEX(Master!$J$2:$J$1001,$O18))</f>
      </c>
      <c r="K18" s="248">
        <f t="shared" si="0"/>
      </c>
      <c r="L18" s="164">
        <f>IF($O18="","",INDEX(Master!$K$2:$K$1001,$O18))</f>
      </c>
      <c r="M18" s="164">
        <f>IF($O18="","",INDEX(Master!$L$2:$L$1001,$O18))</f>
      </c>
      <c r="N18" s="164"/>
      <c r="O18">
        <f t="array" ref="O18">IFERROR(SMALL(IF((Master!$A$2:$A$1001="SHYAM METALLIKS")*(Master!$M$2:$M$1001="160 x 160 x 6MTR"),ROW(Master!$A$2:$A$1001)-ROW(Master!$A$2)+1),14),"")</f>
      </c>
      <c r="P18">
        <f t="shared" si="1"/>
      </c>
    </row>
    <row r="19" spans="1:16" x14ac:dyDescent="0.25">
      <c r="A19" s="164">
        <f>IF($O19="","",INDEX(Master!$D$2:$D$1001,$O19))</f>
      </c>
      <c r="B19" s="164">
        <f>IF($O19="","",INDEX(Master!$B$2:$B$1001,$O19))</f>
      </c>
      <c r="C19" s="164">
        <f>IF($O19="","",INDEX(Master!$C$2:$C$1001,$O19))</f>
      </c>
      <c r="D19" s="164">
        <f>IF($O19="","",INDEX(Master!$A$2:$A$1001,$O19))</f>
      </c>
      <c r="E19" s="164">
        <f>IF($O19="","",INDEX(Master!$E$2:$E$1001,$O19))</f>
      </c>
      <c r="F19" s="164">
        <f>IF($O19="","",INDEX(Master!$F$2:$F$1001,$O19))</f>
      </c>
      <c r="G19" s="164">
        <f>IF($O19="","",INDEX(Master!$G$2:$G$1001,$O19))</f>
      </c>
      <c r="H19" s="164">
        <f>IF($O19="","",INDEX(Master!$H$2:$H$1001,$O19))</f>
      </c>
      <c r="I19" s="164">
        <f>IF($O19="","",INDEX(Master!$I$2:$I$1001,$O19))</f>
      </c>
      <c r="J19" s="248">
        <f>IF($O19="","",INDEX(Master!$J$2:$J$1001,$O19))</f>
      </c>
      <c r="K19" s="248">
        <f t="shared" si="0"/>
      </c>
      <c r="L19" s="164">
        <f>IF($O19="","",INDEX(Master!$K$2:$K$1001,$O19))</f>
      </c>
      <c r="M19" s="164">
        <f>IF($O19="","",INDEX(Master!$L$2:$L$1001,$O19))</f>
      </c>
      <c r="N19" s="164"/>
      <c r="O19">
        <f t="array" ref="O19">IFERROR(SMALL(IF((Master!$A$2:$A$1001="SHYAM METALLIKS")*(Master!$M$2:$M$1001="160 x 160 x 6MTR"),ROW(Master!$A$2:$A$1001)-ROW(Master!$A$2)+1),15),"")</f>
      </c>
      <c r="P19">
        <f t="shared" si="1"/>
      </c>
    </row>
    <row r="20" spans="1:16" x14ac:dyDescent="0.25">
      <c r="A20" s="164">
        <f>IF($O20="","",INDEX(Master!$D$2:$D$1001,$O20))</f>
      </c>
      <c r="B20" s="164">
        <f>IF($O20="","",INDEX(Master!$B$2:$B$1001,$O20))</f>
      </c>
      <c r="C20" s="164">
        <f>IF($O20="","",INDEX(Master!$C$2:$C$1001,$O20))</f>
      </c>
      <c r="D20" s="164">
        <f>IF($O20="","",INDEX(Master!$A$2:$A$1001,$O20))</f>
      </c>
      <c r="E20" s="164">
        <f>IF($O20="","",INDEX(Master!$E$2:$E$1001,$O20))</f>
      </c>
      <c r="F20" s="164">
        <f>IF($O20="","",INDEX(Master!$F$2:$F$1001,$O20))</f>
      </c>
      <c r="G20" s="164">
        <f>IF($O20="","",INDEX(Master!$G$2:$G$1001,$O20))</f>
      </c>
      <c r="H20" s="164">
        <f>IF($O20="","",INDEX(Master!$H$2:$H$1001,$O20))</f>
      </c>
      <c r="I20" s="164">
        <f>IF($O20="","",INDEX(Master!$I$2:$I$1001,$O20))</f>
      </c>
      <c r="J20" s="248">
        <f>IF($O20="","",INDEX(Master!$J$2:$J$1001,$O20))</f>
      </c>
      <c r="K20" s="248">
        <f t="shared" si="0"/>
      </c>
      <c r="L20" s="164">
        <f>IF($O20="","",INDEX(Master!$K$2:$K$1001,$O20))</f>
      </c>
      <c r="M20" s="164">
        <f>IF($O20="","",INDEX(Master!$L$2:$L$1001,$O20))</f>
      </c>
      <c r="N20" s="164"/>
      <c r="O20">
        <f t="array" ref="O20">IFERROR(SMALL(IF((Master!$A$2:$A$1001="SHYAM METALLIKS")*(Master!$M$2:$M$1001="160 x 160 x 6MTR"),ROW(Master!$A$2:$A$1001)-ROW(Master!$A$2)+1),16),"")</f>
      </c>
      <c r="P20">
        <f t="shared" si="1"/>
      </c>
    </row>
    <row r="21" spans="1:16" x14ac:dyDescent="0.25">
      <c r="A21" s="164">
        <f>IF($O21="","",INDEX(Master!$D$2:$D$1001,$O21))</f>
      </c>
      <c r="B21" s="164">
        <f>IF($O21="","",INDEX(Master!$B$2:$B$1001,$O21))</f>
      </c>
      <c r="C21" s="164">
        <f>IF($O21="","",INDEX(Master!$C$2:$C$1001,$O21))</f>
      </c>
      <c r="D21" s="164">
        <f>IF($O21="","",INDEX(Master!$A$2:$A$1001,$O21))</f>
      </c>
      <c r="E21" s="164">
        <f>IF($O21="","",INDEX(Master!$E$2:$E$1001,$O21))</f>
      </c>
      <c r="F21" s="164">
        <f>IF($O21="","",INDEX(Master!$F$2:$F$1001,$O21))</f>
      </c>
      <c r="G21" s="164">
        <f>IF($O21="","",INDEX(Master!$G$2:$G$1001,$O21))</f>
      </c>
      <c r="H21" s="164">
        <f>IF($O21="","",INDEX(Master!$H$2:$H$1001,$O21))</f>
      </c>
      <c r="I21" s="164">
        <f>IF($O21="","",INDEX(Master!$I$2:$I$1001,$O21))</f>
      </c>
      <c r="J21" s="248">
        <f>IF($O21="","",INDEX(Master!$J$2:$J$1001,$O21))</f>
      </c>
      <c r="K21" s="248">
        <f t="shared" si="0"/>
      </c>
      <c r="L21" s="164">
        <f>IF($O21="","",INDEX(Master!$K$2:$K$1001,$O21))</f>
      </c>
      <c r="M21" s="164">
        <f>IF($O21="","",INDEX(Master!$L$2:$L$1001,$O21))</f>
      </c>
      <c r="N21" s="164"/>
      <c r="O21">
        <f t="array" ref="O21">IFERROR(SMALL(IF((Master!$A$2:$A$1001="SHYAM METALLIKS")*(Master!$M$2:$M$1001="160 x 160 x 6MTR"),ROW(Master!$A$2:$A$1001)-ROW(Master!$A$2)+1),17),"")</f>
      </c>
      <c r="P21">
        <f t="shared" si="1"/>
      </c>
    </row>
    <row r="22" spans="1:16" x14ac:dyDescent="0.25">
      <c r="A22" s="164">
        <f>IF($O22="","",INDEX(Master!$D$2:$D$1001,$O22))</f>
      </c>
      <c r="B22" s="164">
        <f>IF($O22="","",INDEX(Master!$B$2:$B$1001,$O22))</f>
      </c>
      <c r="C22" s="164">
        <f>IF($O22="","",INDEX(Master!$C$2:$C$1001,$O22))</f>
      </c>
      <c r="D22" s="164">
        <f>IF($O22="","",INDEX(Master!$A$2:$A$1001,$O22))</f>
      </c>
      <c r="E22" s="164">
        <f>IF($O22="","",INDEX(Master!$E$2:$E$1001,$O22))</f>
      </c>
      <c r="F22" s="164">
        <f>IF($O22="","",INDEX(Master!$F$2:$F$1001,$O22))</f>
      </c>
      <c r="G22" s="164">
        <f>IF($O22="","",INDEX(Master!$G$2:$G$1001,$O22))</f>
      </c>
      <c r="H22" s="164">
        <f>IF($O22="","",INDEX(Master!$H$2:$H$1001,$O22))</f>
      </c>
      <c r="I22" s="164">
        <f>IF($O22="","",INDEX(Master!$I$2:$I$1001,$O22))</f>
      </c>
      <c r="J22" s="248">
        <f>IF($O22="","",INDEX(Master!$J$2:$J$1001,$O22))</f>
      </c>
      <c r="K22" s="248">
        <f t="shared" si="0"/>
      </c>
      <c r="L22" s="164">
        <f>IF($O22="","",INDEX(Master!$K$2:$K$1001,$O22))</f>
      </c>
      <c r="M22" s="164">
        <f>IF($O22="","",INDEX(Master!$L$2:$L$1001,$O22))</f>
      </c>
      <c r="N22" s="164"/>
      <c r="O22">
        <f t="array" ref="O22">IFERROR(SMALL(IF((Master!$A$2:$A$1001="SHYAM METALLIKS")*(Master!$M$2:$M$1001="160 x 160 x 6MTR"),ROW(Master!$A$2:$A$1001)-ROW(Master!$A$2)+1),18),"")</f>
      </c>
      <c r="P22">
        <f t="shared" si="1"/>
      </c>
    </row>
    <row r="23" spans="1:16" x14ac:dyDescent="0.25">
      <c r="A23" s="164">
        <f>IF($O23="","",INDEX(Master!$D$2:$D$1001,$O23))</f>
      </c>
      <c r="B23" s="164">
        <f>IF($O23="","",INDEX(Master!$B$2:$B$1001,$O23))</f>
      </c>
      <c r="C23" s="164">
        <f>IF($O23="","",INDEX(Master!$C$2:$C$1001,$O23))</f>
      </c>
      <c r="D23" s="164">
        <f>IF($O23="","",INDEX(Master!$A$2:$A$1001,$O23))</f>
      </c>
      <c r="E23" s="164">
        <f>IF($O23="","",INDEX(Master!$E$2:$E$1001,$O23))</f>
      </c>
      <c r="F23" s="164">
        <f>IF($O23="","",INDEX(Master!$F$2:$F$1001,$O23))</f>
      </c>
      <c r="G23" s="164">
        <f>IF($O23="","",INDEX(Master!$G$2:$G$1001,$O23))</f>
      </c>
      <c r="H23" s="164">
        <f>IF($O23="","",INDEX(Master!$H$2:$H$1001,$O23))</f>
      </c>
      <c r="I23" s="164">
        <f>IF($O23="","",INDEX(Master!$I$2:$I$1001,$O23))</f>
      </c>
      <c r="J23" s="248">
        <f>IF($O23="","",INDEX(Master!$J$2:$J$1001,$O23))</f>
      </c>
      <c r="K23" s="248">
        <f t="shared" si="0"/>
      </c>
      <c r="L23" s="164">
        <f>IF($O23="","",INDEX(Master!$K$2:$K$1001,$O23))</f>
      </c>
      <c r="M23" s="164">
        <f>IF($O23="","",INDEX(Master!$L$2:$L$1001,$O23))</f>
      </c>
      <c r="N23" s="164"/>
      <c r="O23">
        <f t="array" ref="O23">IFERROR(SMALL(IF((Master!$A$2:$A$1001="SHYAM METALLIKS")*(Master!$M$2:$M$1001="160 x 160 x 6MTR"),ROW(Master!$A$2:$A$1001)-ROW(Master!$A$2)+1),19),"")</f>
      </c>
      <c r="P23">
        <f t="shared" si="1"/>
      </c>
    </row>
    <row r="24" spans="1:16" x14ac:dyDescent="0.25">
      <c r="A24" s="124">
        <f>IF($O24="","",INDEX(Master!$D$2:$D$1001,$O24))</f>
      </c>
      <c r="B24" s="124">
        <f>IF($O24="","",INDEX(Master!$B$2:$B$1001,$O24))</f>
      </c>
      <c r="C24" s="124">
        <f>IF($O24="","",INDEX(Master!$C$2:$C$1001,$O24))</f>
      </c>
      <c r="D24" s="124">
        <f>IF($O24="","",INDEX(Master!$A$2:$A$1001,$O24))</f>
      </c>
      <c r="E24" s="164">
        <f>IF($O24="","",INDEX(Master!$E$2:$E$1001,$O24))</f>
      </c>
      <c r="F24" s="164">
        <f>IF($O24="","",INDEX(Master!$F$2:$F$1001,$O24))</f>
      </c>
      <c r="G24" s="164">
        <f>IF($O24="","",INDEX(Master!$G$2:$G$1001,$O24))</f>
      </c>
      <c r="H24" s="164">
        <f>IF($O24="","",INDEX(Master!$H$2:$H$1001,$O24))</f>
      </c>
      <c r="I24" s="124">
        <f>IF($O24="","",INDEX(Master!$I$2:$I$1001,$O24))</f>
      </c>
      <c r="J24" s="256">
        <f>IF($O24="","",INDEX(Master!$J$2:$J$1001,$O24))</f>
      </c>
      <c r="K24" s="256">
        <f t="shared" si="0"/>
      </c>
      <c r="L24" s="124">
        <f>IF($O24="","",INDEX(Master!$K$2:$K$1001,$O24))</f>
      </c>
      <c r="M24" s="124">
        <f>IF($O24="","",INDEX(Master!$L$2:$L$1001,$O24))</f>
      </c>
      <c r="N24" s="124"/>
      <c r="O24">
        <f t="array" ref="O24">IFERROR(SMALL(IF((Master!$A$2:$A$1001="SHYAM METALLIKS")*(Master!$M$2:$M$1001="160 x 160 x 6MTR"),ROW(Master!$A$2:$A$1001)-ROW(Master!$A$2)+1),20),"")</f>
      </c>
      <c r="P24">
        <f t="shared" si="1"/>
      </c>
    </row>
    <row r="25" spans="1:16" x14ac:dyDescent="0.25">
      <c r="A25" s="164">
        <f>IF($O25="","",INDEX(Master!$D$2:$D$1001,$O25))</f>
      </c>
      <c r="B25" s="165">
        <f>IF($O25="","",INDEX(Master!$B$2:$B$1001,$O25))</f>
      </c>
      <c r="C25" s="164">
        <f>IF($O25="","",INDEX(Master!$C$2:$C$1001,$O25))</f>
      </c>
      <c r="D25" s="164">
        <f>IF($O25="","",INDEX(Master!$A$2:$A$1001,$O25))</f>
      </c>
      <c r="E25" s="164">
        <f>IF($O25="","",INDEX(Master!$E$2:$E$1001,$O25))</f>
      </c>
      <c r="F25" s="164">
        <f>IF($O25="","",INDEX(Master!$F$2:$F$1001,$O25))</f>
      </c>
      <c r="G25" s="164">
        <f>IF($O25="","",INDEX(Master!$G$2:$G$1001,$O25))</f>
      </c>
      <c r="H25" s="164">
        <f>IF($O25="","",INDEX(Master!$H$2:$H$1001,$O25))</f>
      </c>
      <c r="I25" s="164">
        <f>IF($O25="","",INDEX(Master!$I$2:$I$1001,$O25))</f>
      </c>
      <c r="J25" s="248">
        <f>IF($O25="","",INDEX(Master!$J$2:$J$1001,$O25))</f>
      </c>
      <c r="K25" s="256">
        <f t="shared" si="0"/>
      </c>
      <c r="L25" s="164">
        <f>IF($O25="","",INDEX(Master!$K$2:$K$1001,$O25))</f>
      </c>
      <c r="M25" s="164">
        <f>IF($O25="","",INDEX(Master!$L$2:$L$1001,$O25))</f>
      </c>
      <c r="N25" s="164"/>
      <c r="O25">
        <f t="array" ref="O25">IFERROR(SMALL(IF((Master!$A$2:$A$1001="SHYAM METALLIKS")*(Master!$M$2:$M$1001="160 x 160 x 6MTR"),ROW(Master!$A$2:$A$1001)-ROW(Master!$A$2)+1),21),"")</f>
      </c>
      <c r="P25">
        <f t="shared" si="1"/>
      </c>
    </row>
    <row r="26" spans="1:16" x14ac:dyDescent="0.25">
      <c r="A26" s="164">
        <f>IF($O26="","",INDEX(Master!$D$2:$D$1001,$O26))</f>
      </c>
      <c r="B26" s="165">
        <f>IF($O26="","",INDEX(Master!$B$2:$B$1001,$O26))</f>
      </c>
      <c r="C26" s="164">
        <f>IF($O26="","",INDEX(Master!$C$2:$C$1001,$O26))</f>
      </c>
      <c r="D26" s="164">
        <f>IF($O26="","",INDEX(Master!$A$2:$A$1001,$O26))</f>
      </c>
      <c r="E26" s="164">
        <f>IF($O26="","",INDEX(Master!$E$2:$E$1001,$O26))</f>
      </c>
      <c r="F26" s="164">
        <f>IF($O26="","",INDEX(Master!$F$2:$F$1001,$O26))</f>
      </c>
      <c r="G26" s="164">
        <f>IF($O26="","",INDEX(Master!$G$2:$G$1001,$O26))</f>
      </c>
      <c r="H26" s="164">
        <f>IF($O26="","",INDEX(Master!$H$2:$H$1001,$O26))</f>
      </c>
      <c r="I26" s="164">
        <f>IF($O26="","",INDEX(Master!$I$2:$I$1001,$O26))</f>
      </c>
      <c r="J26" s="248">
        <f>IF($O26="","",INDEX(Master!$J$2:$J$1001,$O26))</f>
      </c>
      <c r="K26" s="256">
        <f t="shared" si="0"/>
      </c>
      <c r="L26" s="164">
        <f>IF($O26="","",INDEX(Master!$K$2:$K$1001,$O26))</f>
      </c>
      <c r="M26" s="164">
        <f>IF($O26="","",INDEX(Master!$L$2:$L$1001,$O26))</f>
      </c>
      <c r="N26" s="164"/>
      <c r="O26">
        <f t="array" ref="O26">IFERROR(SMALL(IF((Master!$A$2:$A$1001="SHYAM METALLIKS")*(Master!$M$2:$M$1001="160 x 160 x 6MTR"),ROW(Master!$A$2:$A$1001)-ROW(Master!$A$2)+1),22),"")</f>
      </c>
      <c r="P26">
        <f t="shared" si="1"/>
      </c>
    </row>
    <row r="27" spans="1:16" x14ac:dyDescent="0.25">
      <c r="A27" s="164">
        <f>IF($O27="","",INDEX(Master!$D$2:$D$1001,$O27))</f>
      </c>
      <c r="B27" s="165">
        <f>IF($O27="","",INDEX(Master!$B$2:$B$1001,$O27))</f>
      </c>
      <c r="C27" s="164">
        <f>IF($O27="","",INDEX(Master!$C$2:$C$1001,$O27))</f>
      </c>
      <c r="D27" s="164">
        <f>IF($O27="","",INDEX(Master!$A$2:$A$1001,$O27))</f>
      </c>
      <c r="E27" s="164">
        <f>IF($O27="","",INDEX(Master!$E$2:$E$1001,$O27))</f>
      </c>
      <c r="F27" s="164">
        <f>IF($O27="","",INDEX(Master!$F$2:$F$1001,$O27))</f>
      </c>
      <c r="G27" s="164">
        <f>IF($O27="","",INDEX(Master!$G$2:$G$1001,$O27))</f>
      </c>
      <c r="H27" s="164">
        <f>IF($O27="","",INDEX(Master!$H$2:$H$1001,$O27))</f>
      </c>
      <c r="I27" s="164">
        <f>IF($O27="","",INDEX(Master!$I$2:$I$1001,$O27))</f>
      </c>
      <c r="J27" s="248">
        <f>IF($O27="","",INDEX(Master!$J$2:$J$1001,$O27))</f>
      </c>
      <c r="K27" s="256">
        <f t="shared" si="0"/>
      </c>
      <c r="L27" s="164">
        <f>IF($O27="","",INDEX(Master!$K$2:$K$1001,$O27))</f>
      </c>
      <c r="M27" s="164">
        <f>IF($O27="","",INDEX(Master!$L$2:$L$1001,$O27))</f>
      </c>
      <c r="N27" s="164"/>
      <c r="O27">
        <f t="array" ref="O27">IFERROR(SMALL(IF((Master!$A$2:$A$1001="SHYAM METALLIKS")*(Master!$M$2:$M$1001="160 x 160 x 6MTR"),ROW(Master!$A$2:$A$1001)-ROW(Master!$A$2)+1),23),"")</f>
      </c>
      <c r="P27">
        <f t="shared" si="1"/>
      </c>
    </row>
    <row r="28" spans="1:16" x14ac:dyDescent="0.25">
      <c r="A28" s="164">
        <f>IF($O28="","",INDEX(Master!$D$2:$D$1001,$O28))</f>
      </c>
      <c r="B28" s="165">
        <f>IF($O28="","",INDEX(Master!$B$2:$B$1001,$O28))</f>
      </c>
      <c r="C28" s="164">
        <f>IF($O28="","",INDEX(Master!$C$2:$C$1001,$O28))</f>
      </c>
      <c r="D28" s="164">
        <f>IF($O28="","",INDEX(Master!$A$2:$A$1001,$O28))</f>
      </c>
      <c r="E28" s="164">
        <f>IF($O28="","",INDEX(Master!$E$2:$E$1001,$O28))</f>
      </c>
      <c r="F28" s="164">
        <f>IF($O28="","",INDEX(Master!$F$2:$F$1001,$O28))</f>
      </c>
      <c r="G28" s="164">
        <f>IF($O28="","",INDEX(Master!$G$2:$G$1001,$O28))</f>
      </c>
      <c r="H28" s="164">
        <f>IF($O28="","",INDEX(Master!$H$2:$H$1001,$O28))</f>
      </c>
      <c r="I28" s="164">
        <f>IF($O28="","",INDEX(Master!$I$2:$I$1001,$O28))</f>
      </c>
      <c r="J28" s="248">
        <f>IF($O28="","",INDEX(Master!$J$2:$J$1001,$O28))</f>
      </c>
      <c r="K28" s="256">
        <f t="shared" si="0"/>
      </c>
      <c r="L28" s="164">
        <f>IF($O28="","",INDEX(Master!$K$2:$K$1001,$O28))</f>
      </c>
      <c r="M28" s="164">
        <f>IF($O28="","",INDEX(Master!$L$2:$L$1001,$O28))</f>
      </c>
      <c r="N28" s="164"/>
      <c r="O28">
        <f t="array" ref="O28">IFERROR(SMALL(IF((Master!$A$2:$A$1001="SHYAM METALLIKS")*(Master!$M$2:$M$1001="160 x 160 x 6MTR"),ROW(Master!$A$2:$A$1001)-ROW(Master!$A$2)+1),24),"")</f>
      </c>
      <c r="P28">
        <f t="shared" si="1"/>
      </c>
    </row>
    <row r="29" spans="1:16" x14ac:dyDescent="0.25">
      <c r="A29" s="164">
        <f>IF($O29="","",INDEX(Master!$D$2:$D$1001,$O29))</f>
      </c>
      <c r="B29" s="165">
        <f>IF($O29="","",INDEX(Master!$B$2:$B$1001,$O29))</f>
      </c>
      <c r="C29" s="164">
        <f>IF($O29="","",INDEX(Master!$C$2:$C$1001,$O29))</f>
      </c>
      <c r="D29" s="164">
        <f>IF($O29="","",INDEX(Master!$A$2:$A$1001,$O29))</f>
      </c>
      <c r="E29" s="164">
        <f>IF($O29="","",INDEX(Master!$E$2:$E$1001,$O29))</f>
      </c>
      <c r="F29" s="164">
        <f>IF($O29="","",INDEX(Master!$F$2:$F$1001,$O29))</f>
      </c>
      <c r="G29" s="164">
        <f>IF($O29="","",INDEX(Master!$G$2:$G$1001,$O29))</f>
      </c>
      <c r="H29" s="164">
        <f>IF($O29="","",INDEX(Master!$H$2:$H$1001,$O29))</f>
      </c>
      <c r="I29" s="164">
        <f>IF($O29="","",INDEX(Master!$I$2:$I$1001,$O29))</f>
      </c>
      <c r="J29" s="248">
        <f>IF($O29="","",INDEX(Master!$J$2:$J$1001,$O29))</f>
      </c>
      <c r="K29" s="256">
        <f t="shared" si="0"/>
      </c>
      <c r="L29" s="164">
        <f>IF($O29="","",INDEX(Master!$K$2:$K$1001,$O29))</f>
      </c>
      <c r="M29" s="164">
        <f>IF($O29="","",INDEX(Master!$L$2:$L$1001,$O29))</f>
      </c>
      <c r="N29" s="164"/>
      <c r="O29">
        <f t="array" ref="O29">IFERROR(SMALL(IF((Master!$A$2:$A$1001="SHYAM METALLIKS")*(Master!$M$2:$M$1001="160 x 160 x 6MTR"),ROW(Master!$A$2:$A$1001)-ROW(Master!$A$2)+1),25),"")</f>
      </c>
      <c r="P29">
        <f t="shared" si="1"/>
      </c>
    </row>
    <row r="30" spans="1:16" x14ac:dyDescent="0.25">
      <c r="A30" s="164">
        <f>IF($O30="","",INDEX(Master!$D$2:$D$1001,$O30))</f>
      </c>
      <c r="B30" s="165">
        <f>IF($O30="","",INDEX(Master!$B$2:$B$1001,$O30))</f>
      </c>
      <c r="C30" s="164">
        <f>IF($O30="","",INDEX(Master!$C$2:$C$1001,$O30))</f>
      </c>
      <c r="D30" s="164">
        <f>IF($O30="","",INDEX(Master!$A$2:$A$1001,$O30))</f>
      </c>
      <c r="E30" s="164">
        <f>IF($O30="","",INDEX(Master!$E$2:$E$1001,$O30))</f>
      </c>
      <c r="F30" s="164">
        <f>IF($O30="","",INDEX(Master!$F$2:$F$1001,$O30))</f>
      </c>
      <c r="G30" s="164">
        <f>IF($O30="","",INDEX(Master!$G$2:$G$1001,$O30))</f>
      </c>
      <c r="H30" s="164">
        <f>IF($O30="","",INDEX(Master!$H$2:$H$1001,$O30))</f>
      </c>
      <c r="I30" s="164">
        <f>IF($O30="","",INDEX(Master!$I$2:$I$1001,$O30))</f>
      </c>
      <c r="J30" s="248">
        <f>IF($O30="","",INDEX(Master!$J$2:$J$1001,$O30))</f>
      </c>
      <c r="K30" s="256">
        <f t="shared" si="0"/>
      </c>
      <c r="L30" s="164">
        <f>IF($O30="","",INDEX(Master!$K$2:$K$1001,$O30))</f>
      </c>
      <c r="M30" s="164">
        <f>IF($O30="","",INDEX(Master!$L$2:$L$1001,$O30))</f>
      </c>
      <c r="N30" s="164"/>
      <c r="O30">
        <f t="array" ref="O30">IFERROR(SMALL(IF((Master!$A$2:$A$1001="SHYAM METALLIKS")*(Master!$M$2:$M$1001="160 x 160 x 6MTR"),ROW(Master!$A$2:$A$1001)-ROW(Master!$A$2)+1),26),"")</f>
      </c>
      <c r="P30">
        <f t="shared" si="1"/>
      </c>
    </row>
    <row r="31" spans="1:16" x14ac:dyDescent="0.25">
      <c r="A31" s="164">
        <f>IF($O31="","",INDEX(Master!$D$2:$D$1001,$O31))</f>
      </c>
      <c r="B31" s="165">
        <f>IF($O31="","",INDEX(Master!$B$2:$B$1001,$O31))</f>
      </c>
      <c r="C31" s="164">
        <f>IF($O31="","",INDEX(Master!$C$2:$C$1001,$O31))</f>
      </c>
      <c r="D31" s="164">
        <f>IF($O31="","",INDEX(Master!$A$2:$A$1001,$O31))</f>
      </c>
      <c r="E31" s="164">
        <f>IF($O31="","",INDEX(Master!$E$2:$E$1001,$O31))</f>
      </c>
      <c r="F31" s="164">
        <f>IF($O31="","",INDEX(Master!$F$2:$F$1001,$O31))</f>
      </c>
      <c r="G31" s="164">
        <f>IF($O31="","",INDEX(Master!$G$2:$G$1001,$O31))</f>
      </c>
      <c r="H31" s="164">
        <f>IF($O31="","",INDEX(Master!$H$2:$H$1001,$O31))</f>
      </c>
      <c r="I31" s="164">
        <f>IF($O31="","",INDEX(Master!$I$2:$I$1001,$O31))</f>
      </c>
      <c r="J31" s="248">
        <f>IF($O31="","",INDEX(Master!$J$2:$J$1001,$O31))</f>
      </c>
      <c r="K31" s="256">
        <f t="shared" si="0"/>
      </c>
      <c r="L31" s="164">
        <f>IF($O31="","",INDEX(Master!$K$2:$K$1001,$O31))</f>
      </c>
      <c r="M31" s="164">
        <f>IF($O31="","",INDEX(Master!$L$2:$L$1001,$O31))</f>
      </c>
      <c r="N31" s="164"/>
      <c r="O31">
        <f t="array" ref="O31">IFERROR(SMALL(IF((Master!$A$2:$A$1001="SHYAM METALLIKS")*(Master!$M$2:$M$1001="160 x 160 x 6MTR"),ROW(Master!$A$2:$A$1001)-ROW(Master!$A$2)+1),27),"")</f>
      </c>
      <c r="P31">
        <f t="shared" si="1"/>
      </c>
    </row>
    <row r="32" spans="1:16" x14ac:dyDescent="0.25">
      <c r="A32" s="164">
        <f>IF($O32="","",INDEX(Master!$D$2:$D$1001,$O32))</f>
      </c>
      <c r="B32" s="165">
        <f>IF($O32="","",INDEX(Master!$B$2:$B$1001,$O32))</f>
      </c>
      <c r="C32" s="164">
        <f>IF($O32="","",INDEX(Master!$C$2:$C$1001,$O32))</f>
      </c>
      <c r="D32" s="164">
        <f>IF($O32="","",INDEX(Master!$A$2:$A$1001,$O32))</f>
      </c>
      <c r="E32" s="164">
        <f>IF($O32="","",INDEX(Master!$E$2:$E$1001,$O32))</f>
      </c>
      <c r="F32" s="164">
        <f>IF($O32="","",INDEX(Master!$F$2:$F$1001,$O32))</f>
      </c>
      <c r="G32" s="164">
        <f>IF($O32="","",INDEX(Master!$G$2:$G$1001,$O32))</f>
      </c>
      <c r="H32" s="164">
        <f>IF($O32="","",INDEX(Master!$H$2:$H$1001,$O32))</f>
      </c>
      <c r="I32" s="164">
        <f>IF($O32="","",INDEX(Master!$I$2:$I$1001,$O32))</f>
      </c>
      <c r="J32" s="248">
        <f>IF($O32="","",INDEX(Master!$J$2:$J$1001,$O32))</f>
      </c>
      <c r="K32" s="256">
        <f t="shared" si="0"/>
      </c>
      <c r="L32" s="164">
        <f>IF($O32="","",INDEX(Master!$K$2:$K$1001,$O32))</f>
      </c>
      <c r="M32" s="164">
        <f>IF($O32="","",INDEX(Master!$L$2:$L$1001,$O32))</f>
      </c>
      <c r="N32" s="164"/>
      <c r="O32">
        <f t="array" ref="O32">IFERROR(SMALL(IF((Master!$A$2:$A$1001="SHYAM METALLIKS")*(Master!$M$2:$M$1001="160 x 160 x 6MTR"),ROW(Master!$A$2:$A$1001)-ROW(Master!$A$2)+1),28),"")</f>
      </c>
      <c r="P32">
        <f t="shared" si="1"/>
      </c>
    </row>
    <row r="33" spans="1:16" x14ac:dyDescent="0.25">
      <c r="A33" s="164">
        <f>IF($O33="","",INDEX(Master!$D$2:$D$1001,$O33))</f>
      </c>
      <c r="B33" s="165">
        <f>IF($O33="","",INDEX(Master!$B$2:$B$1001,$O33))</f>
      </c>
      <c r="C33" s="164">
        <f>IF($O33="","",INDEX(Master!$C$2:$C$1001,$O33))</f>
      </c>
      <c r="D33" s="164">
        <f>IF($O33="","",INDEX(Master!$A$2:$A$1001,$O33))</f>
      </c>
      <c r="E33" s="164">
        <f>IF($O33="","",INDEX(Master!$E$2:$E$1001,$O33))</f>
      </c>
      <c r="F33" s="164">
        <f>IF($O33="","",INDEX(Master!$F$2:$F$1001,$O33))</f>
      </c>
      <c r="G33" s="164">
        <f>IF($O33="","",INDEX(Master!$G$2:$G$1001,$O33))</f>
      </c>
      <c r="H33" s="164">
        <f>IF($O33="","",INDEX(Master!$H$2:$H$1001,$O33))</f>
      </c>
      <c r="I33" s="164">
        <f>IF($O33="","",INDEX(Master!$I$2:$I$1001,$O33))</f>
      </c>
      <c r="J33" s="248">
        <f>IF($O33="","",INDEX(Master!$J$2:$J$1001,$O33))</f>
      </c>
      <c r="K33" s="256">
        <f t="shared" si="0"/>
      </c>
      <c r="L33" s="164">
        <f>IF($O33="","",INDEX(Master!$K$2:$K$1001,$O33))</f>
      </c>
      <c r="M33" s="164">
        <f>IF($O33="","",INDEX(Master!$L$2:$L$1001,$O33))</f>
      </c>
      <c r="N33" s="164"/>
      <c r="O33">
        <f t="array" ref="O33">IFERROR(SMALL(IF((Master!$A$2:$A$1001="SHYAM METALLIKS")*(Master!$M$2:$M$1001="160 x 160 x 6MTR"),ROW(Master!$A$2:$A$1001)-ROW(Master!$A$2)+1),29),"")</f>
      </c>
      <c r="P33">
        <f t="shared" si="1"/>
      </c>
    </row>
    <row r="34" spans="1:16" x14ac:dyDescent="0.25">
      <c r="A34" s="164">
        <f>IF($O34="","",INDEX(Master!$D$2:$D$1001,$O34))</f>
      </c>
      <c r="B34" s="165">
        <f>IF($O34="","",INDEX(Master!$B$2:$B$1001,$O34))</f>
      </c>
      <c r="C34" s="164">
        <f>IF($O34="","",INDEX(Master!$C$2:$C$1001,$O34))</f>
      </c>
      <c r="D34" s="164">
        <f>IF($O34="","",INDEX(Master!$A$2:$A$1001,$O34))</f>
      </c>
      <c r="E34" s="164">
        <f>IF($O34="","",INDEX(Master!$E$2:$E$1001,$O34))</f>
      </c>
      <c r="F34" s="164">
        <f>IF($O34="","",INDEX(Master!$F$2:$F$1001,$O34))</f>
      </c>
      <c r="G34" s="164">
        <f>IF($O34="","",INDEX(Master!$G$2:$G$1001,$O34))</f>
      </c>
      <c r="H34" s="164">
        <f>IF($O34="","",INDEX(Master!$H$2:$H$1001,$O34))</f>
      </c>
      <c r="I34" s="164">
        <f>IF($O34="","",INDEX(Master!$I$2:$I$1001,$O34))</f>
      </c>
      <c r="J34" s="248">
        <f>IF($O34="","",INDEX(Master!$J$2:$J$1001,$O34))</f>
      </c>
      <c r="K34" s="256">
        <f t="shared" si="0"/>
      </c>
      <c r="L34" s="164">
        <f>IF($O34="","",INDEX(Master!$K$2:$K$1001,$O34))</f>
      </c>
      <c r="M34" s="164">
        <f>IF($O34="","",INDEX(Master!$L$2:$L$1001,$O34))</f>
      </c>
      <c r="N34" s="164"/>
      <c r="O34">
        <f t="array" ref="O34">IFERROR(SMALL(IF((Master!$A$2:$A$1001="SHYAM METALLIKS")*(Master!$M$2:$M$1001="160 x 160 x 6MTR"),ROW(Master!$A$2:$A$1001)-ROW(Master!$A$2)+1),30),"")</f>
      </c>
      <c r="P34">
        <f t="shared" si="1"/>
      </c>
    </row>
    <row r="35" spans="1:16" x14ac:dyDescent="0.25">
      <c r="A35" s="164">
        <f>IF($O35="","",INDEX(Master!$D$2:$D$1001,$O35))</f>
      </c>
      <c r="B35" s="165">
        <f>IF($O35="","",INDEX(Master!$B$2:$B$1001,$O35))</f>
      </c>
      <c r="C35" s="164">
        <f>IF($O35="","",INDEX(Master!$C$2:$C$1001,$O35))</f>
      </c>
      <c r="D35" s="164">
        <f>IF($O35="","",INDEX(Master!$A$2:$A$1001,$O35))</f>
      </c>
      <c r="E35" s="164">
        <f>IF($O35="","",INDEX(Master!$E$2:$E$1001,$O35))</f>
      </c>
      <c r="F35" s="164">
        <f>IF($O35="","",INDEX(Master!$F$2:$F$1001,$O35))</f>
      </c>
      <c r="G35" s="164">
        <f>IF($O35="","",INDEX(Master!$G$2:$G$1001,$O35))</f>
      </c>
      <c r="H35" s="164">
        <f>IF($O35="","",INDEX(Master!$H$2:$H$1001,$O35))</f>
      </c>
      <c r="I35" s="164">
        <f>IF($O35="","",INDEX(Master!$I$2:$I$1001,$O35))</f>
      </c>
      <c r="J35" s="248">
        <f>IF($O35="","",INDEX(Master!$J$2:$J$1001,$O35))</f>
      </c>
      <c r="K35" s="256">
        <f t="shared" si="0"/>
      </c>
      <c r="L35" s="164">
        <f>IF($O35="","",INDEX(Master!$K$2:$K$1001,$O35))</f>
      </c>
      <c r="M35" s="164">
        <f>IF($O35="","",INDEX(Master!$L$2:$L$1001,$O35))</f>
      </c>
      <c r="N35" s="164"/>
      <c r="O35">
        <f t="array" ref="O35">IFERROR(SMALL(IF((Master!$A$2:$A$1001="SHYAM METALLIKS")*(Master!$M$2:$M$1001="160 x 160 x 6MTR"),ROW(Master!$A$2:$A$1001)-ROW(Master!$A$2)+1),31),"")</f>
      </c>
      <c r="P35">
        <f t="shared" si="1"/>
      </c>
    </row>
    <row r="36" spans="1:16" x14ac:dyDescent="0.25">
      <c r="A36" s="164">
        <f>IF($O36="","",INDEX(Master!$D$2:$D$1001,$O36))</f>
      </c>
      <c r="B36" s="165">
        <f>IF($O36="","",INDEX(Master!$B$2:$B$1001,$O36))</f>
      </c>
      <c r="C36" s="164">
        <f>IF($O36="","",INDEX(Master!$C$2:$C$1001,$O36))</f>
      </c>
      <c r="D36" s="164">
        <f>IF($O36="","",INDEX(Master!$A$2:$A$1001,$O36))</f>
      </c>
      <c r="E36" s="164">
        <f>IF($O36="","",INDEX(Master!$E$2:$E$1001,$O36))</f>
      </c>
      <c r="F36" s="164">
        <f>IF($O36="","",INDEX(Master!$F$2:$F$1001,$O36))</f>
      </c>
      <c r="G36" s="164">
        <f>IF($O36="","",INDEX(Master!$G$2:$G$1001,$O36))</f>
      </c>
      <c r="H36" s="164">
        <f>IF($O36="","",INDEX(Master!$H$2:$H$1001,$O36))</f>
      </c>
      <c r="I36" s="164">
        <f>IF($O36="","",INDEX(Master!$I$2:$I$1001,$O36))</f>
      </c>
      <c r="J36" s="248">
        <f>IF($O36="","",INDEX(Master!$J$2:$J$1001,$O36))</f>
      </c>
      <c r="K36" s="256">
        <f t="shared" si="0"/>
      </c>
      <c r="L36" s="164">
        <f>IF($O36="","",INDEX(Master!$K$2:$K$1001,$O36))</f>
      </c>
      <c r="M36" s="164">
        <f>IF($O36="","",INDEX(Master!$L$2:$L$1001,$O36))</f>
      </c>
      <c r="N36" s="164"/>
      <c r="O36">
        <f t="array" ref="O36">IFERROR(SMALL(IF((Master!$A$2:$A$1001="SHYAM METALLIKS")*(Master!$M$2:$M$1001="160 x 160 x 6MTR"),ROW(Master!$A$2:$A$1001)-ROW(Master!$A$2)+1),32),"")</f>
      </c>
      <c r="P36">
        <f t="shared" si="1"/>
      </c>
    </row>
    <row r="37" spans="1:16" x14ac:dyDescent="0.25">
      <c r="A37" s="164">
        <f>IF($O37="","",INDEX(Master!$D$2:$D$1001,$O37))</f>
      </c>
      <c r="B37" s="165">
        <f>IF($O37="","",INDEX(Master!$B$2:$B$1001,$O37))</f>
      </c>
      <c r="C37" s="164">
        <f>IF($O37="","",INDEX(Master!$C$2:$C$1001,$O37))</f>
      </c>
      <c r="D37" s="164">
        <f>IF($O37="","",INDEX(Master!$A$2:$A$1001,$O37))</f>
      </c>
      <c r="E37" s="164">
        <f>IF($O37="","",INDEX(Master!$E$2:$E$1001,$O37))</f>
      </c>
      <c r="F37" s="164">
        <f>IF($O37="","",INDEX(Master!$F$2:$F$1001,$O37))</f>
      </c>
      <c r="G37" s="164">
        <f>IF($O37="","",INDEX(Master!$G$2:$G$1001,$O37))</f>
      </c>
      <c r="H37" s="164">
        <f>IF($O37="","",INDEX(Master!$H$2:$H$1001,$O37))</f>
      </c>
      <c r="I37" s="164">
        <f>IF($O37="","",INDEX(Master!$I$2:$I$1001,$O37))</f>
      </c>
      <c r="J37" s="248">
        <f>IF($O37="","",INDEX(Master!$J$2:$J$1001,$O37))</f>
      </c>
      <c r="K37" s="256">
        <f t="shared" si="0"/>
      </c>
      <c r="L37" s="164">
        <f>IF($O37="","",INDEX(Master!$K$2:$K$1001,$O37))</f>
      </c>
      <c r="M37" s="164">
        <f>IF($O37="","",INDEX(Master!$L$2:$L$1001,$O37))</f>
      </c>
      <c r="N37" s="164"/>
      <c r="O37">
        <f t="array" ref="O37">IFERROR(SMALL(IF((Master!$A$2:$A$1001="SHYAM METALLIKS")*(Master!$M$2:$M$1001="160 x 160 x 6MTR"),ROW(Master!$A$2:$A$1001)-ROW(Master!$A$2)+1),33),"")</f>
      </c>
      <c r="P37">
        <f t="shared" si="1"/>
      </c>
    </row>
    <row r="38" spans="1:16" x14ac:dyDescent="0.25">
      <c r="A38" s="164">
        <f>IF($O38="","",INDEX(Master!$D$2:$D$1001,$O38))</f>
      </c>
      <c r="B38" s="165">
        <f>IF($O38="","",INDEX(Master!$B$2:$B$1001,$O38))</f>
      </c>
      <c r="C38" s="164">
        <f>IF($O38="","",INDEX(Master!$C$2:$C$1001,$O38))</f>
      </c>
      <c r="D38" s="164">
        <f>IF($O38="","",INDEX(Master!$A$2:$A$1001,$O38))</f>
      </c>
      <c r="E38" s="164">
        <f>IF($O38="","",INDEX(Master!$E$2:$E$1001,$O38))</f>
      </c>
      <c r="F38" s="164">
        <f>IF($O38="","",INDEX(Master!$F$2:$F$1001,$O38))</f>
      </c>
      <c r="G38" s="164">
        <f>IF($O38="","",INDEX(Master!$G$2:$G$1001,$O38))</f>
      </c>
      <c r="H38" s="164">
        <f>IF($O38="","",INDEX(Master!$H$2:$H$1001,$O38))</f>
      </c>
      <c r="I38" s="164">
        <f>IF($O38="","",INDEX(Master!$I$2:$I$1001,$O38))</f>
      </c>
      <c r="J38" s="248">
        <f>IF($O38="","",INDEX(Master!$J$2:$J$1001,$O38))</f>
      </c>
      <c r="K38" s="248">
        <f t="shared" si="0"/>
      </c>
      <c r="L38" s="164">
        <f>IF($O38="","",INDEX(Master!$K$2:$K$1001,$O38))</f>
      </c>
      <c r="M38" s="164">
        <f>IF($O38="","",INDEX(Master!$L$2:$L$1001,$O38))</f>
      </c>
      <c r="N38" s="164"/>
      <c r="O38">
        <f t="array" ref="O38">IFERROR(SMALL(IF((Master!$A$2:$A$1001="SHYAM METALLIKS")*(Master!$M$2:$M$1001="160 x 160 x 6MTR"),ROW(Master!$A$2:$A$1001)-ROW(Master!$A$2)+1),34),"")</f>
      </c>
      <c r="P38">
        <f t="shared" si="1"/>
      </c>
    </row>
    <row r="39" spans="1:16" x14ac:dyDescent="0.25">
      <c r="A39" s="164">
        <f>IF($O39="","",INDEX(Master!$D$2:$D$1001,$O39))</f>
      </c>
      <c r="B39" s="165">
        <f>IF($O39="","",INDEX(Master!$B$2:$B$1001,$O39))</f>
      </c>
      <c r="C39" s="164">
        <f>IF($O39="","",INDEX(Master!$C$2:$C$1001,$O39))</f>
      </c>
      <c r="D39" s="164">
        <f>IF($O39="","",INDEX(Master!$A$2:$A$1001,$O39))</f>
      </c>
      <c r="E39" s="164">
        <f>IF($O39="","",INDEX(Master!$E$2:$E$1001,$O39))</f>
      </c>
      <c r="F39" s="164">
        <f>IF($O39="","",INDEX(Master!$F$2:$F$1001,$O39))</f>
      </c>
      <c r="G39" s="164">
        <f>IF($O39="","",INDEX(Master!$G$2:$G$1001,$O39))</f>
      </c>
      <c r="H39" s="164">
        <f>IF($O39="","",INDEX(Master!$H$2:$H$1001,$O39))</f>
      </c>
      <c r="I39" s="164">
        <f>IF($O39="","",INDEX(Master!$I$2:$I$1001,$O39))</f>
      </c>
      <c r="J39" s="248">
        <f>IF($O39="","",INDEX(Master!$J$2:$J$1001,$O39))</f>
      </c>
      <c r="K39" s="248">
        <f t="shared" si="0"/>
      </c>
      <c r="L39" s="164">
        <f>IF($O39="","",INDEX(Master!$K$2:$K$1001,$O39))</f>
      </c>
      <c r="M39" s="247">
        <f>IF($O39="","",INDEX(Master!$L$2:$L$1001,$O39))</f>
      </c>
      <c r="N39" s="164"/>
      <c r="O39">
        <f t="array" ref="O39">IFERROR(SMALL(IF((Master!$A$2:$A$1001="SHYAM METALLIKS")*(Master!$M$2:$M$1001="160 x 160 x 6MTR"),ROW(Master!$A$2:$A$1001)-ROW(Master!$A$2)+1),35),"")</f>
      </c>
      <c r="P39">
        <f t="shared" si="1"/>
      </c>
    </row>
    <row r="40" spans="1:16" x14ac:dyDescent="0.25">
      <c r="A40" s="164">
        <f>IF($O40="","",INDEX(Master!$D$2:$D$1001,$O40))</f>
      </c>
      <c r="B40" s="165">
        <f>IF($O40="","",INDEX(Master!$B$2:$B$1001,$O40))</f>
      </c>
      <c r="C40" s="164">
        <f>IF($O40="","",INDEX(Master!$C$2:$C$1001,$O40))</f>
      </c>
      <c r="D40" s="164">
        <f>IF($O40="","",INDEX(Master!$A$2:$A$1001,$O40))</f>
      </c>
      <c r="E40" s="164">
        <f>IF($O40="","",INDEX(Master!$E$2:$E$1001,$O40))</f>
      </c>
      <c r="F40" s="164">
        <f>IF($O40="","",INDEX(Master!$F$2:$F$1001,$O40))</f>
      </c>
      <c r="G40" s="164">
        <f>IF($O40="","",INDEX(Master!$G$2:$G$1001,$O40))</f>
      </c>
      <c r="H40" s="164">
        <f>IF($O40="","",INDEX(Master!$H$2:$H$1001,$O40))</f>
      </c>
      <c r="I40" s="164">
        <f>IF($O40="","",INDEX(Master!$I$2:$I$1001,$O40))</f>
      </c>
      <c r="J40" s="248">
        <f>IF($O40="","",INDEX(Master!$J$2:$J$1001,$O40))</f>
      </c>
      <c r="K40" s="248">
        <f t="shared" si="0"/>
      </c>
      <c r="L40" s="164">
        <f>IF($O40="","",INDEX(Master!$K$2:$K$1001,$O40))</f>
      </c>
      <c r="M40" s="247">
        <f>IF($O40="","",INDEX(Master!$L$2:$L$1001,$O40))</f>
      </c>
      <c r="N40" s="164"/>
      <c r="O40">
        <f t="array" ref="O40">IFERROR(SMALL(IF((Master!$A$2:$A$1001="SHYAM METALLIKS")*(Master!$M$2:$M$1001="160 x 160 x 6MTR"),ROW(Master!$A$2:$A$1001)-ROW(Master!$A$2)+1),36),"")</f>
      </c>
      <c r="P40">
        <f t="shared" si="1"/>
      </c>
    </row>
    <row r="41" spans="1:16" x14ac:dyDescent="0.25">
      <c r="A41" s="164">
        <f>IF($O41="","",INDEX(Master!$D$2:$D$1001,$O41))</f>
      </c>
      <c r="B41" s="165">
        <f>IF($O41="","",INDEX(Master!$B$2:$B$1001,$O41))</f>
      </c>
      <c r="C41" s="164">
        <f>IF($O41="","",INDEX(Master!$C$2:$C$1001,$O41))</f>
      </c>
      <c r="D41" s="164">
        <f>IF($O41="","",INDEX(Master!$A$2:$A$1001,$O41))</f>
      </c>
      <c r="E41" s="164">
        <f>IF($O41="","",INDEX(Master!$E$2:$E$1001,$O41))</f>
      </c>
      <c r="F41" s="164">
        <f>IF($O41="","",INDEX(Master!$F$2:$F$1001,$O41))</f>
      </c>
      <c r="G41" s="164">
        <f>IF($O41="","",INDEX(Master!$G$2:$G$1001,$O41))</f>
      </c>
      <c r="H41" s="164">
        <f>IF($O41="","",INDEX(Master!$H$2:$H$1001,$O41))</f>
      </c>
      <c r="I41" s="164">
        <f>IF($O41="","",INDEX(Master!$I$2:$I$1001,$O41))</f>
      </c>
      <c r="J41" s="248">
        <f>IF($O41="","",INDEX(Master!$J$2:$J$1001,$O41))</f>
      </c>
      <c r="K41" s="248">
        <f t="shared" si="0"/>
      </c>
      <c r="L41" s="164">
        <f>IF($O41="","",INDEX(Master!$K$2:$K$1001,$O41))</f>
      </c>
      <c r="M41" s="247">
        <f>IF($O41="","",INDEX(Master!$L$2:$L$1001,$O41))</f>
      </c>
      <c r="N41" s="164"/>
      <c r="O41">
        <f t="array" ref="O41">IFERROR(SMALL(IF((Master!$A$2:$A$1001="SHYAM METALLIKS")*(Master!$M$2:$M$1001="160 x 160 x 6MTR"),ROW(Master!$A$2:$A$1001)-ROW(Master!$A$2)+1),37),"")</f>
      </c>
      <c r="P41">
        <f t="shared" si="1"/>
      </c>
    </row>
    <row r="42" spans="1:16" x14ac:dyDescent="0.25">
      <c r="A42" s="164">
        <f>IF($O42="","",INDEX(Master!$D$2:$D$1001,$O42))</f>
      </c>
      <c r="B42" s="165">
        <f>IF($O42="","",INDEX(Master!$B$2:$B$1001,$O42))</f>
      </c>
      <c r="C42" s="164">
        <f>IF($O42="","",INDEX(Master!$C$2:$C$1001,$O42))</f>
      </c>
      <c r="D42" s="164">
        <f>IF($O42="","",INDEX(Master!$A$2:$A$1001,$O42))</f>
      </c>
      <c r="E42" s="164">
        <f>IF($O42="","",INDEX(Master!$E$2:$E$1001,$O42))</f>
      </c>
      <c r="F42" s="164">
        <f>IF($O42="","",INDEX(Master!$F$2:$F$1001,$O42))</f>
      </c>
      <c r="G42" s="164">
        <f>IF($O42="","",INDEX(Master!$G$2:$G$1001,$O42))</f>
      </c>
      <c r="H42" s="164">
        <f>IF($O42="","",INDEX(Master!$H$2:$H$1001,$O42))</f>
      </c>
      <c r="I42" s="164">
        <f>IF($O42="","",INDEX(Master!$I$2:$I$1001,$O42))</f>
      </c>
      <c r="J42" s="248">
        <f>IF($O42="","",INDEX(Master!$J$2:$J$1001,$O42))</f>
      </c>
      <c r="K42" s="248">
        <f t="shared" si="0"/>
      </c>
      <c r="L42" s="164">
        <f>IF($O42="","",INDEX(Master!$K$2:$K$1001,$O42))</f>
      </c>
      <c r="M42" s="247">
        <f>IF($O42="","",INDEX(Master!$L$2:$L$1001,$O42))</f>
      </c>
      <c r="N42" s="164"/>
      <c r="O42">
        <f t="array" ref="O42">IFERROR(SMALL(IF((Master!$A$2:$A$1001="SHYAM METALLIKS")*(Master!$M$2:$M$1001="160 x 160 x 6MTR"),ROW(Master!$A$2:$A$1001)-ROW(Master!$A$2)+1),38),"")</f>
      </c>
      <c r="P42">
        <f t="shared" si="1"/>
      </c>
    </row>
    <row r="43" spans="1:16" x14ac:dyDescent="0.25">
      <c r="A43" s="164">
        <f>IF($O43="","",INDEX(Master!$D$2:$D$1001,$O43))</f>
      </c>
      <c r="B43" s="165">
        <f>IF($O43="","",INDEX(Master!$B$2:$B$1001,$O43))</f>
      </c>
      <c r="C43" s="164">
        <f>IF($O43="","",INDEX(Master!$C$2:$C$1001,$O43))</f>
      </c>
      <c r="D43" s="164">
        <f>IF($O43="","",INDEX(Master!$A$2:$A$1001,$O43))</f>
      </c>
      <c r="E43" s="164">
        <f>IF($O43="","",INDEX(Master!$E$2:$E$1001,$O43))</f>
      </c>
      <c r="F43" s="164">
        <f>IF($O43="","",INDEX(Master!$F$2:$F$1001,$O43))</f>
      </c>
      <c r="G43" s="164">
        <f>IF($O43="","",INDEX(Master!$G$2:$G$1001,$O43))</f>
      </c>
      <c r="H43" s="164">
        <f>IF($O43="","",INDEX(Master!$H$2:$H$1001,$O43))</f>
      </c>
      <c r="I43" s="164">
        <f>IF($O43="","",INDEX(Master!$I$2:$I$1001,$O43))</f>
      </c>
      <c r="J43" s="248">
        <f>IF($O43="","",INDEX(Master!$J$2:$J$1001,$O43))</f>
      </c>
      <c r="K43" s="248">
        <f t="shared" si="0"/>
      </c>
      <c r="L43" s="164">
        <f>IF($O43="","",INDEX(Master!$K$2:$K$1001,$O43))</f>
      </c>
      <c r="M43" s="247">
        <f>IF($O43="","",INDEX(Master!$L$2:$L$1001,$O43))</f>
      </c>
      <c r="N43" s="164"/>
      <c r="O43">
        <f t="array" ref="O43">IFERROR(SMALL(IF((Master!$A$2:$A$1001="SHYAM METALLIKS")*(Master!$M$2:$M$1001="160 x 160 x 6MTR"),ROW(Master!$A$2:$A$1001)-ROW(Master!$A$2)+1),39),"")</f>
      </c>
      <c r="P43">
        <f t="shared" si="1"/>
      </c>
    </row>
    <row r="44" spans="1:16" x14ac:dyDescent="0.25">
      <c r="A44" s="164">
        <f>IF($O44="","",INDEX(Master!$D$2:$D$1001,$O44))</f>
      </c>
      <c r="B44" s="165">
        <f>IF($O44="","",INDEX(Master!$B$2:$B$1001,$O44))</f>
      </c>
      <c r="C44" s="164">
        <f>IF($O44="","",INDEX(Master!$C$2:$C$1001,$O44))</f>
      </c>
      <c r="D44" s="164">
        <f>IF($O44="","",INDEX(Master!$A$2:$A$1001,$O44))</f>
      </c>
      <c r="E44" s="164">
        <f>IF($O44="","",INDEX(Master!$E$2:$E$1001,$O44))</f>
      </c>
      <c r="F44" s="164">
        <f>IF($O44="","",INDEX(Master!$F$2:$F$1001,$O44))</f>
      </c>
      <c r="G44" s="164">
        <f>IF($O44="","",INDEX(Master!$G$2:$G$1001,$O44))</f>
      </c>
      <c r="H44" s="164">
        <f>IF($O44="","",INDEX(Master!$H$2:$H$1001,$O44))</f>
      </c>
      <c r="I44" s="164">
        <f>IF($O44="","",INDEX(Master!$I$2:$I$1001,$O44))</f>
      </c>
      <c r="J44" s="248">
        <f>IF($O44="","",INDEX(Master!$J$2:$J$1001,$O44))</f>
      </c>
      <c r="K44" s="248">
        <f t="shared" si="0"/>
      </c>
      <c r="L44" s="164">
        <f>IF($O44="","",INDEX(Master!$K$2:$K$1001,$O44))</f>
      </c>
      <c r="M44" s="247">
        <f>IF($O44="","",INDEX(Master!$L$2:$L$1001,$O44))</f>
      </c>
      <c r="N44" s="164" t="s">
        <v>52</v>
      </c>
      <c r="O44">
        <f t="array" ref="O44">IFERROR(SMALL(IF((Master!$A$2:$A$1001="SHYAM METALLIKS")*(Master!$M$2:$M$1001="160 x 160 x 6MTR"),ROW(Master!$A$2:$A$1001)-ROW(Master!$A$2)+1),40),"")</f>
      </c>
      <c r="P44">
        <f t="shared" si="1"/>
      </c>
    </row>
    <row r="45" spans="1:16" x14ac:dyDescent="0.25">
      <c r="A45" s="164">
        <f>IF($O45="","",INDEX(Master!$D$2:$D$1001,$O45))</f>
      </c>
      <c r="B45" s="165">
        <f>IF($O45="","",INDEX(Master!$B$2:$B$1001,$O45))</f>
      </c>
      <c r="C45" s="164">
        <f>IF($O45="","",INDEX(Master!$C$2:$C$1001,$O45))</f>
      </c>
      <c r="D45" s="164">
        <f>IF($O45="","",INDEX(Master!$A$2:$A$1001,$O45))</f>
      </c>
      <c r="E45" s="164">
        <f>IF($O45="","",INDEX(Master!$E$2:$E$1001,$O45))</f>
      </c>
      <c r="F45" s="164">
        <f>IF($O45="","",INDEX(Master!$F$2:$F$1001,$O45))</f>
      </c>
      <c r="G45" s="164">
        <f>IF($O45="","",INDEX(Master!$G$2:$G$1001,$O45))</f>
      </c>
      <c r="H45" s="164">
        <f>IF($O45="","",INDEX(Master!$H$2:$H$1001,$O45))</f>
      </c>
      <c r="I45" s="164">
        <f>IF($O45="","",INDEX(Master!$I$2:$I$1001,$O45))</f>
      </c>
      <c r="J45" s="248">
        <f>IF($O45="","",INDEX(Master!$J$2:$J$1001,$O45))</f>
      </c>
      <c r="K45" s="248">
        <f t="shared" si="0"/>
      </c>
      <c r="L45" s="164">
        <f>IF($O45="","",INDEX(Master!$K$2:$K$1001,$O45))</f>
      </c>
      <c r="M45" s="247">
        <f>IF($O45="","",INDEX(Master!$L$2:$L$1001,$O45))</f>
      </c>
      <c r="N45" s="164"/>
      <c r="O45">
        <f t="array" ref="O45">IFERROR(SMALL(IF((Master!$A$2:$A$1001="SHYAM METALLIKS")*(Master!$M$2:$M$1001="160 x 160 x 6MTR"),ROW(Master!$A$2:$A$1001)-ROW(Master!$A$2)+1),41),"")</f>
      </c>
      <c r="P45">
        <f t="shared" si="1"/>
      </c>
    </row>
    <row r="46" spans="1:16" x14ac:dyDescent="0.25">
      <c r="A46" s="164">
        <f>IF($O46="","",INDEX(Master!$D$2:$D$1001,$O46))</f>
      </c>
      <c r="B46" s="164">
        <f>IF($O46="","",INDEX(Master!$B$2:$B$1001,$O46))</f>
      </c>
      <c r="C46" s="164">
        <f>IF($O46="","",INDEX(Master!$C$2:$C$1001,$O46))</f>
      </c>
      <c r="D46" s="164">
        <f>IF($O46="","",INDEX(Master!$A$2:$A$1001,$O46))</f>
      </c>
      <c r="E46" s="164">
        <f>IF($O46="","",INDEX(Master!$E$2:$E$1001,$O46))</f>
      </c>
      <c r="F46" s="164">
        <f>IF($O46="","",INDEX(Master!$F$2:$F$1001,$O46))</f>
      </c>
      <c r="G46" s="164">
        <f>IF($O46="","",INDEX(Master!$G$2:$G$1001,$O46))</f>
      </c>
      <c r="H46" s="164">
        <f>IF($O46="","",INDEX(Master!$H$2:$H$1001,$O46))</f>
      </c>
      <c r="I46" s="164">
        <f>IF($O46="","",INDEX(Master!$I$2:$I$1001,$O46))</f>
      </c>
      <c r="J46" s="248">
        <f>IF($O46="","",INDEX(Master!$J$2:$J$1001,$O46))</f>
      </c>
      <c r="K46" s="248">
        <f t="shared" si="0"/>
      </c>
      <c r="L46" s="164">
        <f>IF($O46="","",INDEX(Master!$K$2:$K$1001,$O46))</f>
      </c>
      <c r="M46" s="247">
        <f>IF($O46="","",INDEX(Master!$L$2:$L$1001,$O46))</f>
      </c>
      <c r="N46" s="164" t="s">
        <v>52</v>
      </c>
      <c r="O46">
        <f t="array" ref="O46">IFERROR(SMALL(IF((Master!$A$2:$A$1001="SHYAM METALLIKS")*(Master!$M$2:$M$1001="160 x 160 x 6MTR"),ROW(Master!$A$2:$A$1001)-ROW(Master!$A$2)+1),42),"")</f>
      </c>
      <c r="P46">
        <f t="shared" si="1"/>
      </c>
    </row>
    <row r="47" spans="1:16" x14ac:dyDescent="0.25">
      <c r="A47" s="164">
        <f>IF($O47="","",INDEX(Master!$D$2:$D$1001,$O47))</f>
      </c>
      <c r="B47" s="164">
        <f>IF($O47="","",INDEX(Master!$B$2:$B$1001,$O47))</f>
      </c>
      <c r="C47" s="164">
        <f>IF($O47="","",INDEX(Master!$C$2:$C$1001,$O47))</f>
      </c>
      <c r="D47" s="164">
        <f>IF($O47="","",INDEX(Master!$A$2:$A$1001,$O47))</f>
      </c>
      <c r="E47" s="164">
        <f>IF($O47="","",INDEX(Master!$E$2:$E$1001,$O47))</f>
      </c>
      <c r="F47" s="164">
        <f>IF($O47="","",INDEX(Master!$F$2:$F$1001,$O47))</f>
      </c>
      <c r="G47" s="164">
        <f>IF($O47="","",INDEX(Master!$G$2:$G$1001,$O47))</f>
      </c>
      <c r="H47" s="164">
        <f>IF($O47="","",INDEX(Master!$H$2:$H$1001,$O47))</f>
      </c>
      <c r="I47" s="164">
        <f>IF($O47="","",INDEX(Master!$I$2:$I$1001,$O47))</f>
      </c>
      <c r="J47" s="248">
        <f>IF($O47="","",INDEX(Master!$J$2:$J$1001,$O47))</f>
      </c>
      <c r="K47" s="248">
        <f t="shared" si="0"/>
      </c>
      <c r="L47" s="164">
        <f>IF($O47="","",INDEX(Master!$K$2:$K$1001,$O47))</f>
      </c>
      <c r="M47" s="285">
        <f>IF($O47="","",INDEX(Master!$L$2:$L$1001,$O47))</f>
      </c>
      <c r="N47" s="164"/>
      <c r="O47">
        <f t="array" ref="O47">IFERROR(SMALL(IF((Master!$A$2:$A$1001="SHYAM METALLIKS")*(Master!$M$2:$M$1001="160 x 160 x 6MTR"),ROW(Master!$A$2:$A$1001)-ROW(Master!$A$2)+1),43),"")</f>
      </c>
      <c r="P47">
        <f t="shared" si="1"/>
      </c>
    </row>
    <row r="48" spans="1:16" x14ac:dyDescent="0.25">
      <c r="A48" s="164">
        <f>IF($O48="","",INDEX(Master!$D$2:$D$1001,$O48))</f>
      </c>
      <c r="B48" s="164">
        <f>IF($O48="","",INDEX(Master!$B$2:$B$1001,$O48))</f>
      </c>
      <c r="C48" s="164">
        <f>IF($O48="","",INDEX(Master!$C$2:$C$1001,$O48))</f>
      </c>
      <c r="D48" s="164">
        <f>IF($O48="","",INDEX(Master!$A$2:$A$1001,$O48))</f>
      </c>
      <c r="E48" s="164">
        <f>IF($O48="","",INDEX(Master!$E$2:$E$1001,$O48))</f>
      </c>
      <c r="F48" s="164">
        <f>IF($O48="","",INDEX(Master!$F$2:$F$1001,$O48))</f>
      </c>
      <c r="G48" s="164">
        <f>IF($O48="","",INDEX(Master!$G$2:$G$1001,$O48))</f>
      </c>
      <c r="H48" s="164">
        <f>IF($O48="","",INDEX(Master!$H$2:$H$1001,$O48))</f>
      </c>
      <c r="I48" s="164">
        <f>IF($O48="","",INDEX(Master!$I$2:$I$1001,$O48))</f>
      </c>
      <c r="J48" s="248">
        <f>IF($O48="","",INDEX(Master!$J$2:$J$1001,$O48))</f>
      </c>
      <c r="K48" s="248">
        <f t="shared" si="0"/>
      </c>
      <c r="L48" s="164">
        <f>IF($O48="","",INDEX(Master!$K$2:$K$1001,$O48))</f>
      </c>
      <c r="M48" s="247">
        <f>IF($O48="","",INDEX(Master!$L$2:$L$1001,$O48))</f>
      </c>
      <c r="N48" s="164" t="s">
        <v>52</v>
      </c>
      <c r="O48">
        <f t="array" ref="O48">IFERROR(SMALL(IF((Master!$A$2:$A$1001="SHYAM METALLIKS")*(Master!$M$2:$M$1001="160 x 160 x 6MTR"),ROW(Master!$A$2:$A$1001)-ROW(Master!$A$2)+1),44),"")</f>
      </c>
      <c r="P48">
        <f t="shared" si="1"/>
      </c>
    </row>
    <row r="49" spans="1:16" x14ac:dyDescent="0.25">
      <c r="A49" s="164">
        <f>IF($O49="","",INDEX(Master!$D$2:$D$1001,$O49))</f>
      </c>
      <c r="B49" s="164">
        <f>IF($O49="","",INDEX(Master!$B$2:$B$1001,$O49))</f>
      </c>
      <c r="C49" s="164">
        <f>IF($O49="","",INDEX(Master!$C$2:$C$1001,$O49))</f>
      </c>
      <c r="D49" s="164">
        <f>IF($O49="","",INDEX(Master!$A$2:$A$1001,$O49))</f>
      </c>
      <c r="E49" s="164">
        <f>IF($O49="","",INDEX(Master!$E$2:$E$1001,$O49))</f>
      </c>
      <c r="F49" s="164">
        <f>IF($O49="","",INDEX(Master!$F$2:$F$1001,$O49))</f>
      </c>
      <c r="G49" s="164">
        <f>IF($O49="","",INDEX(Master!$G$2:$G$1001,$O49))</f>
      </c>
      <c r="H49" s="164">
        <f>IF($O49="","",INDEX(Master!$H$2:$H$1001,$O49))</f>
      </c>
      <c r="I49" s="164">
        <f>IF($O49="","",INDEX(Master!$I$2:$I$1001,$O49))</f>
      </c>
      <c r="J49" s="248">
        <f>IF($O49="","",INDEX(Master!$J$2:$J$1001,$O49))</f>
      </c>
      <c r="K49" s="248">
        <f t="shared" si="0"/>
      </c>
      <c r="L49" s="164">
        <f>IF($O49="","",INDEX(Master!$K$2:$K$1001,$O49))</f>
      </c>
      <c r="M49" s="285">
        <f>IF($O49="","",INDEX(Master!$L$2:$L$1001,$O49))</f>
      </c>
      <c r="N49" s="164"/>
      <c r="O49">
        <f t="array" ref="O49">IFERROR(SMALL(IF((Master!$A$2:$A$1001="SHYAM METALLIKS")*(Master!$M$2:$M$1001="160 x 160 x 6MTR"),ROW(Master!$A$2:$A$1001)-ROW(Master!$A$2)+1),45),"")</f>
      </c>
      <c r="P49">
        <f t="shared" si="1"/>
      </c>
    </row>
    <row r="50" spans="1:16" x14ac:dyDescent="0.25">
      <c r="A50" s="164">
        <f>IF($O50="","",INDEX(Master!$D$2:$D$1001,$O50))</f>
      </c>
      <c r="B50" s="164">
        <f>IF($O50="","",INDEX(Master!$B$2:$B$1001,$O50))</f>
      </c>
      <c r="C50" s="164">
        <f>IF($O50="","",INDEX(Master!$C$2:$C$1001,$O50))</f>
      </c>
      <c r="D50" s="164">
        <f>IF($O50="","",INDEX(Master!$A$2:$A$1001,$O50))</f>
      </c>
      <c r="E50" s="164">
        <f>IF($O50="","",INDEX(Master!$E$2:$E$1001,$O50))</f>
      </c>
      <c r="F50" s="164">
        <f>IF($O50="","",INDEX(Master!$F$2:$F$1001,$O50))</f>
      </c>
      <c r="G50" s="164">
        <f>IF($O50="","",INDEX(Master!$G$2:$G$1001,$O50))</f>
      </c>
      <c r="H50" s="164">
        <f>IF($O50="","",INDEX(Master!$H$2:$H$1001,$O50))</f>
      </c>
      <c r="I50" s="164">
        <f>IF($O50="","",INDEX(Master!$I$2:$I$1001,$O50))</f>
      </c>
      <c r="J50" s="248">
        <f>IF($O50="","",INDEX(Master!$J$2:$J$1001,$O50))</f>
      </c>
      <c r="K50" s="248">
        <f t="shared" si="0"/>
      </c>
      <c r="L50" s="164">
        <f>IF($O50="","",INDEX(Master!$K$2:$K$1001,$O50))</f>
      </c>
      <c r="M50" s="247">
        <f>IF($O50="","",INDEX(Master!$L$2:$L$1001,$O50))</f>
      </c>
      <c r="N50" s="164" t="s">
        <v>52</v>
      </c>
      <c r="O50">
        <f t="array" ref="O50">IFERROR(SMALL(IF((Master!$A$2:$A$1001="SHYAM METALLIKS")*(Master!$M$2:$M$1001="160 x 160 x 6MTR"),ROW(Master!$A$2:$A$1001)-ROW(Master!$A$2)+1),46),"")</f>
      </c>
      <c r="P50">
        <f t="shared" si="1"/>
      </c>
    </row>
    <row r="51" spans="1:16" x14ac:dyDescent="0.25">
      <c r="A51" s="164">
        <f>IF($O51="","",INDEX(Master!$D$2:$D$1001,$O51))</f>
      </c>
      <c r="B51" s="164">
        <f>IF($O51="","",INDEX(Master!$B$2:$B$1001,$O51))</f>
      </c>
      <c r="C51" s="164">
        <f>IF($O51="","",INDEX(Master!$C$2:$C$1001,$O51))</f>
      </c>
      <c r="D51" s="164">
        <f>IF($O51="","",INDEX(Master!$A$2:$A$1001,$O51))</f>
      </c>
      <c r="E51" s="164">
        <f>IF($O51="","",INDEX(Master!$E$2:$E$1001,$O51))</f>
      </c>
      <c r="F51" s="164">
        <f>IF($O51="","",INDEX(Master!$F$2:$F$1001,$O51))</f>
      </c>
      <c r="G51" s="164">
        <f>IF($O51="","",INDEX(Master!$G$2:$G$1001,$O51))</f>
      </c>
      <c r="H51" s="164">
        <f>IF($O51="","",INDEX(Master!$H$2:$H$1001,$O51))</f>
      </c>
      <c r="I51" s="164">
        <f>IF($O51="","",INDEX(Master!$I$2:$I$1001,$O51))</f>
      </c>
      <c r="J51" s="248">
        <f>IF($O51="","",INDEX(Master!$J$2:$J$1001,$O51))</f>
      </c>
      <c r="K51" s="248">
        <f t="shared" si="0"/>
      </c>
      <c r="L51" s="164">
        <f>IF($O51="","",INDEX(Master!$K$2:$K$1001,$O51))</f>
      </c>
      <c r="M51" s="247">
        <f>IF($O51="","",INDEX(Master!$L$2:$L$1001,$O51))</f>
      </c>
      <c r="N51" s="164"/>
      <c r="O51">
        <f t="array" ref="O51">IFERROR(SMALL(IF((Master!$A$2:$A$1001="SHYAM METALLIKS")*(Master!$M$2:$M$1001="160 x 160 x 6MTR"),ROW(Master!$A$2:$A$1001)-ROW(Master!$A$2)+1),47),"")</f>
      </c>
      <c r="P51">
        <f t="shared" si="1"/>
      </c>
    </row>
    <row r="52" spans="1:16" x14ac:dyDescent="0.25">
      <c r="A52" s="164">
        <f>IF($O52="","",INDEX(Master!$D$2:$D$1001,$O52))</f>
      </c>
      <c r="B52" s="164">
        <f>IF($O52="","",INDEX(Master!$B$2:$B$1001,$O52))</f>
      </c>
      <c r="C52" s="164">
        <f>IF($O52="","",INDEX(Master!$C$2:$C$1001,$O52))</f>
      </c>
      <c r="D52" s="164">
        <f>IF($O52="","",INDEX(Master!$A$2:$A$1001,$O52))</f>
      </c>
      <c r="E52" s="164">
        <f>IF($O52="","",INDEX(Master!$E$2:$E$1001,$O52))</f>
      </c>
      <c r="F52" s="164">
        <f>IF($O52="","",INDEX(Master!$F$2:$F$1001,$O52))</f>
      </c>
      <c r="G52" s="164">
        <f>IF($O52="","",INDEX(Master!$G$2:$G$1001,$O52))</f>
      </c>
      <c r="H52" s="164">
        <f>IF($O52="","",INDEX(Master!$H$2:$H$1001,$O52))</f>
      </c>
      <c r="I52" s="164">
        <f>IF($O52="","",INDEX(Master!$I$2:$I$1001,$O52))</f>
      </c>
      <c r="J52" s="248">
        <f>IF($O52="","",INDEX(Master!$J$2:$J$1001,$O52))</f>
      </c>
      <c r="K52" s="248">
        <f t="shared" si="0"/>
      </c>
      <c r="L52" s="164">
        <f>IF($O52="","",INDEX(Master!$K$2:$K$1001,$O52))</f>
      </c>
      <c r="M52" s="247">
        <f>IF($O52="","",INDEX(Master!$L$2:$L$1001,$O52))</f>
      </c>
      <c r="N52" s="164"/>
      <c r="O52">
        <f t="array" ref="O52">IFERROR(SMALL(IF((Master!$A$2:$A$1001="SHYAM METALLIKS")*(Master!$M$2:$M$1001="160 x 160 x 6MTR"),ROW(Master!$A$2:$A$1001)-ROW(Master!$A$2)+1),48),"")</f>
      </c>
      <c r="P52">
        <f t="shared" si="1"/>
      </c>
    </row>
    <row r="53" spans="1:16" x14ac:dyDescent="0.25">
      <c r="A53" s="164">
        <f>IF($O53="","",INDEX(Master!$D$2:$D$1001,$O53))</f>
      </c>
      <c r="B53" s="164">
        <f>IF($O53="","",INDEX(Master!$B$2:$B$1001,$O53))</f>
      </c>
      <c r="C53" s="164">
        <f>IF($O53="","",INDEX(Master!$C$2:$C$1001,$O53))</f>
      </c>
      <c r="D53" s="164">
        <f>IF($O53="","",INDEX(Master!$A$2:$A$1001,$O53))</f>
      </c>
      <c r="E53" s="164">
        <f>IF($O53="","",INDEX(Master!$E$2:$E$1001,$O53))</f>
      </c>
      <c r="F53" s="164">
        <f>IF($O53="","",INDEX(Master!$F$2:$F$1001,$O53))</f>
      </c>
      <c r="G53" s="164">
        <f>IF($O53="","",INDEX(Master!$G$2:$G$1001,$O53))</f>
      </c>
      <c r="H53" s="164">
        <f>IF($O53="","",INDEX(Master!$H$2:$H$1001,$O53))</f>
      </c>
      <c r="I53" s="164">
        <f>IF($O53="","",INDEX(Master!$I$2:$I$1001,$O53))</f>
      </c>
      <c r="J53" s="164">
        <f>IF($O53="","",INDEX(Master!$J$2:$J$1001,$O53))</f>
      </c>
      <c r="K53" s="248">
        <f t="shared" si="0"/>
      </c>
      <c r="L53" s="164">
        <f>IF($O53="","",INDEX(Master!$K$2:$K$1001,$O53))</f>
      </c>
      <c r="M53" s="247">
        <f>IF($O53="","",INDEX(Master!$L$2:$L$1001,$O53))</f>
      </c>
      <c r="N53" s="164"/>
      <c r="O53">
        <f t="array" ref="O53">IFERROR(SMALL(IF((Master!$A$2:$A$1001="SHYAM METALLIKS")*(Master!$M$2:$M$1001="160 x 160 x 6MTR"),ROW(Master!$A$2:$A$1001)-ROW(Master!$A$2)+1),49),"")</f>
      </c>
      <c r="P53">
        <f t="shared" si="1"/>
      </c>
    </row>
    <row r="54" spans="1:16" x14ac:dyDescent="0.25">
      <c r="A54" s="164">
        <f>IF($O54="","",INDEX(Master!$D$2:$D$1001,$O54))</f>
      </c>
      <c r="B54" s="164">
        <f>IF($O54="","",INDEX(Master!$B$2:$B$1001,$O54))</f>
      </c>
      <c r="C54" s="164">
        <f>IF($O54="","",INDEX(Master!$C$2:$C$1001,$O54))</f>
      </c>
      <c r="D54" s="164">
        <f>IF($O54="","",INDEX(Master!$A$2:$A$1001,$O54))</f>
      </c>
      <c r="E54" s="164">
        <f>IF($O54="","",INDEX(Master!$E$2:$E$1001,$O54))</f>
      </c>
      <c r="F54" s="164">
        <f>IF($O54="","",INDEX(Master!$F$2:$F$1001,$O54))</f>
      </c>
      <c r="G54" s="164">
        <f>IF($O54="","",INDEX(Master!$G$2:$G$1001,$O54))</f>
      </c>
      <c r="H54" s="164">
        <f>IF($O54="","",INDEX(Master!$H$2:$H$1001,$O54))</f>
      </c>
      <c r="I54" s="164">
        <f>IF($O54="","",INDEX(Master!$I$2:$I$1001,$O54))</f>
      </c>
      <c r="J54" s="164">
        <f>IF($O54="","",INDEX(Master!$J$2:$J$1001,$O54))</f>
      </c>
      <c r="K54" s="248">
        <f t="shared" si="0"/>
      </c>
      <c r="L54" s="164">
        <f>IF($O54="","",INDEX(Master!$K$2:$K$1001,$O54))</f>
      </c>
      <c r="M54" s="247">
        <f>IF($O54="","",INDEX(Master!$L$2:$L$1001,$O54))</f>
      </c>
      <c r="N54" s="164"/>
      <c r="O54">
        <f t="array" ref="O54">IFERROR(SMALL(IF((Master!$A$2:$A$1001="SHYAM METALLIKS")*(Master!$M$2:$M$1001="160 x 160 x 6MTR"),ROW(Master!$A$2:$A$1001)-ROW(Master!$A$2)+1),50),"")</f>
      </c>
      <c r="P54">
        <f t="shared" si="1"/>
      </c>
    </row>
    <row r="55" spans="1:16" x14ac:dyDescent="0.25">
      <c r="A55">
        <f>IF($O55="","",INDEX(Master!$D$2:$D$1001,$O55))</f>
      </c>
      <c r="B55">
        <f>IF($O55="","",INDEX(Master!$B$2:$B$1001,$O55))</f>
      </c>
      <c r="C55">
        <f>IF($O55="","",INDEX(Master!$C$2:$C$1001,$O55))</f>
      </c>
      <c r="D55">
        <f>IF($O55="","",INDEX(Master!$A$2:$A$1001,$O55))</f>
      </c>
      <c r="E55">
        <f>IF($O55="","",INDEX(Master!$E$2:$E$1001,$O55))</f>
      </c>
      <c r="F55">
        <f>IF($O55="","",INDEX(Master!$F$2:$F$1001,$O55))</f>
      </c>
      <c r="G55">
        <f>IF($O55="","",INDEX(Master!$G$2:$G$1001,$O55))</f>
      </c>
      <c r="H55">
        <f>IF($O55="","",INDEX(Master!$H$2:$H$1001,$O55))</f>
      </c>
      <c r="I55">
        <f>IF($O55="","",INDEX(Master!$I$2:$I$1001,$O55))</f>
      </c>
      <c r="J55">
        <f>IF($O55="","",INDEX(Master!$J$2:$J$1001,$O55))</f>
      </c>
      <c r="K55">
        <f t="shared" si="0"/>
      </c>
      <c r="L55">
        <f>IF($O55="","",INDEX(Master!$K$2:$K$1001,$O55))</f>
      </c>
      <c r="M55">
        <f>IF($O55="","",INDEX(Master!$L$2:$L$1001,$O55))</f>
      </c>
      <c r="O55">
        <f t="array" ref="O55">IFERROR(SMALL(IF((Master!$A$2:$A$1001="SHYAM METALLIKS")*(Master!$M$2:$M$1001="160 x 160 x 6MTR"),ROW(Master!$A$2:$A$1001)-ROW(Master!$A$2)+1),51),"")</f>
      </c>
      <c r="P55">
        <f t="shared" si="1"/>
      </c>
    </row>
    <row r="56" spans="1:16" x14ac:dyDescent="0.25">
      <c r="A56">
        <f>IF($O56="","",INDEX(Master!$D$2:$D$1001,$O56))</f>
      </c>
      <c r="B56">
        <f>IF($O56="","",INDEX(Master!$B$2:$B$1001,$O56))</f>
      </c>
      <c r="C56">
        <f>IF($O56="","",INDEX(Master!$C$2:$C$1001,$O56))</f>
      </c>
      <c r="D56">
        <f>IF($O56="","",INDEX(Master!$A$2:$A$1001,$O56))</f>
      </c>
      <c r="E56">
        <f>IF($O56="","",INDEX(Master!$E$2:$E$1001,$O56))</f>
      </c>
      <c r="F56">
        <f>IF($O56="","",INDEX(Master!$F$2:$F$1001,$O56))</f>
      </c>
      <c r="G56">
        <f>IF($O56="","",INDEX(Master!$G$2:$G$1001,$O56))</f>
      </c>
      <c r="H56">
        <f>IF($O56="","",INDEX(Master!$H$2:$H$1001,$O56))</f>
      </c>
      <c r="I56">
        <f>IF($O56="","",INDEX(Master!$I$2:$I$1001,$O56))</f>
      </c>
      <c r="J56">
        <f>IF($O56="","",INDEX(Master!$J$2:$J$1001,$O56))</f>
      </c>
      <c r="K56">
        <f t="shared" si="0"/>
      </c>
      <c r="L56">
        <f>IF($O56="","",INDEX(Master!$K$2:$K$1001,$O56))</f>
      </c>
      <c r="M56">
        <f>IF($O56="","",INDEX(Master!$L$2:$L$1001,$O56))</f>
      </c>
      <c r="O56">
        <f t="array" ref="O56">IFERROR(SMALL(IF((Master!$A$2:$A$1001="SHYAM METALLIKS")*(Master!$M$2:$M$1001="160 x 160 x 6MTR"),ROW(Master!$A$2:$A$1001)-ROW(Master!$A$2)+1),52),"")</f>
      </c>
      <c r="P56">
        <f t="shared" si="1"/>
      </c>
    </row>
    <row r="57" spans="1:16" x14ac:dyDescent="0.25">
      <c r="A57">
        <f>IF($O57="","",INDEX(Master!$D$2:$D$1001,$O57))</f>
      </c>
      <c r="B57">
        <f>IF($O57="","",INDEX(Master!$B$2:$B$1001,$O57))</f>
      </c>
      <c r="C57">
        <f>IF($O57="","",INDEX(Master!$C$2:$C$1001,$O57))</f>
      </c>
      <c r="D57">
        <f>IF($O57="","",INDEX(Master!$A$2:$A$1001,$O57))</f>
      </c>
      <c r="E57">
        <f>IF($O57="","",INDEX(Master!$E$2:$E$1001,$O57))</f>
      </c>
      <c r="F57">
        <f>IF($O57="","",INDEX(Master!$F$2:$F$1001,$O57))</f>
      </c>
      <c r="G57">
        <f>IF($O57="","",INDEX(Master!$G$2:$G$1001,$O57))</f>
      </c>
      <c r="H57">
        <f>IF($O57="","",INDEX(Master!$H$2:$H$1001,$O57))</f>
      </c>
      <c r="I57">
        <f>IF($O57="","",INDEX(Master!$I$2:$I$1001,$O57))</f>
      </c>
      <c r="J57">
        <f>IF($O57="","",INDEX(Master!$J$2:$J$1001,$O57))</f>
      </c>
      <c r="K57">
        <f t="shared" si="0"/>
      </c>
      <c r="L57">
        <f>IF($O57="","",INDEX(Master!$K$2:$K$1001,$O57))</f>
      </c>
      <c r="M57">
        <f>IF($O57="","",INDEX(Master!$L$2:$L$1001,$O57))</f>
      </c>
      <c r="O57">
        <f t="array" ref="O57">IFERROR(SMALL(IF((Master!$A$2:$A$1001="SHYAM METALLIKS")*(Master!$M$2:$M$1001="160 x 160 x 6MTR"),ROW(Master!$A$2:$A$1001)-ROW(Master!$A$2)+1),53),"")</f>
      </c>
      <c r="P57">
        <f t="shared" si="1"/>
      </c>
    </row>
    <row r="58" spans="1:16" x14ac:dyDescent="0.25">
      <c r="A58">
        <f>IF($O58="","",INDEX(Master!$D$2:$D$1001,$O58))</f>
      </c>
      <c r="B58">
        <f>IF($O58="","",INDEX(Master!$B$2:$B$1001,$O58))</f>
      </c>
      <c r="C58">
        <f>IF($O58="","",INDEX(Master!$C$2:$C$1001,$O58))</f>
      </c>
      <c r="D58">
        <f>IF($O58="","",INDEX(Master!$A$2:$A$1001,$O58))</f>
      </c>
      <c r="E58">
        <f>IF($O58="","",INDEX(Master!$E$2:$E$1001,$O58))</f>
      </c>
      <c r="F58">
        <f>IF($O58="","",INDEX(Master!$F$2:$F$1001,$O58))</f>
      </c>
      <c r="G58">
        <f>IF($O58="","",INDEX(Master!$G$2:$G$1001,$O58))</f>
      </c>
      <c r="H58">
        <f>IF($O58="","",INDEX(Master!$H$2:$H$1001,$O58))</f>
      </c>
      <c r="I58">
        <f>IF($O58="","",INDEX(Master!$I$2:$I$1001,$O58))</f>
      </c>
      <c r="J58">
        <f>IF($O58="","",INDEX(Master!$J$2:$J$1001,$O58))</f>
      </c>
      <c r="K58">
        <f t="shared" si="0"/>
      </c>
      <c r="L58">
        <f>IF($O58="","",INDEX(Master!$K$2:$K$1001,$O58))</f>
      </c>
      <c r="M58">
        <f>IF($O58="","",INDEX(Master!$L$2:$L$1001,$O58))</f>
      </c>
      <c r="O58">
        <f t="array" ref="O58">IFERROR(SMALL(IF((Master!$A$2:$A$1001="SHYAM METALLIKS")*(Master!$M$2:$M$1001="160 x 160 x 6MTR"),ROW(Master!$A$2:$A$1001)-ROW(Master!$A$2)+1),54),"")</f>
      </c>
      <c r="P58">
        <f t="shared" si="1"/>
      </c>
    </row>
    <row r="59" spans="1:16" x14ac:dyDescent="0.25">
      <c r="A59">
        <f>IF($O59="","",INDEX(Master!$D$2:$D$1001,$O59))</f>
      </c>
      <c r="B59">
        <f>IF($O59="","",INDEX(Master!$B$2:$B$1001,$O59))</f>
      </c>
      <c r="C59">
        <f>IF($O59="","",INDEX(Master!$C$2:$C$1001,$O59))</f>
      </c>
      <c r="D59">
        <f>IF($O59="","",INDEX(Master!$A$2:$A$1001,$O59))</f>
      </c>
      <c r="E59">
        <f>IF($O59="","",INDEX(Master!$E$2:$E$1001,$O59))</f>
      </c>
      <c r="F59">
        <f>IF($O59="","",INDEX(Master!$F$2:$F$1001,$O59))</f>
      </c>
      <c r="G59">
        <f>IF($O59="","",INDEX(Master!$G$2:$G$1001,$O59))</f>
      </c>
      <c r="H59">
        <f>IF($O59="","",INDEX(Master!$H$2:$H$1001,$O59))</f>
      </c>
      <c r="I59">
        <f>IF($O59="","",INDEX(Master!$I$2:$I$1001,$O59))</f>
      </c>
      <c r="J59">
        <f>IF($O59="","",INDEX(Master!$J$2:$J$1001,$O59))</f>
      </c>
      <c r="K59">
        <f t="shared" si="0"/>
      </c>
      <c r="L59">
        <f>IF($O59="","",INDEX(Master!$K$2:$K$1001,$O59))</f>
      </c>
      <c r="M59">
        <f>IF($O59="","",INDEX(Master!$L$2:$L$1001,$O59))</f>
      </c>
      <c r="O59">
        <f t="array" ref="O59">IFERROR(SMALL(IF((Master!$A$2:$A$1001="SHYAM METALLIKS")*(Master!$M$2:$M$1001="160 x 160 x 6MTR"),ROW(Master!$A$2:$A$1001)-ROW(Master!$A$2)+1),55),"")</f>
      </c>
      <c r="P59">
        <f t="shared" si="1"/>
      </c>
    </row>
    <row r="60" spans="1:16" x14ac:dyDescent="0.25">
      <c r="A60">
        <f>IF($O60="","",INDEX(Master!$D$2:$D$1001,$O60))</f>
      </c>
      <c r="B60">
        <f>IF($O60="","",INDEX(Master!$B$2:$B$1001,$O60))</f>
      </c>
      <c r="C60">
        <f>IF($O60="","",INDEX(Master!$C$2:$C$1001,$O60))</f>
      </c>
      <c r="D60">
        <f>IF($O60="","",INDEX(Master!$A$2:$A$1001,$O60))</f>
      </c>
      <c r="E60">
        <f>IF($O60="","",INDEX(Master!$E$2:$E$1001,$O60))</f>
      </c>
      <c r="F60">
        <f>IF($O60="","",INDEX(Master!$F$2:$F$1001,$O60))</f>
      </c>
      <c r="G60">
        <f>IF($O60="","",INDEX(Master!$G$2:$G$1001,$O60))</f>
      </c>
      <c r="H60">
        <f>IF($O60="","",INDEX(Master!$H$2:$H$1001,$O60))</f>
      </c>
      <c r="I60">
        <f>IF($O60="","",INDEX(Master!$I$2:$I$1001,$O60))</f>
      </c>
      <c r="J60">
        <f>IF($O60="","",INDEX(Master!$J$2:$J$1001,$O60))</f>
      </c>
      <c r="K60">
        <f t="shared" si="0"/>
      </c>
      <c r="L60">
        <f>IF($O60="","",INDEX(Master!$K$2:$K$1001,$O60))</f>
      </c>
      <c r="M60">
        <f>IF($O60="","",INDEX(Master!$L$2:$L$1001,$O60))</f>
      </c>
      <c r="O60">
        <f t="array" ref="O60">IFERROR(SMALL(IF((Master!$A$2:$A$1001="SHYAM METALLIKS")*(Master!$M$2:$M$1001="160 x 160 x 6MTR"),ROW(Master!$A$2:$A$1001)-ROW(Master!$A$2)+1),56),"")</f>
      </c>
      <c r="P60">
        <f t="shared" si="1"/>
      </c>
    </row>
    <row r="61" spans="1:16" x14ac:dyDescent="0.25">
      <c r="A61">
        <f>IF($O61="","",INDEX(Master!$D$2:$D$1001,$O61))</f>
      </c>
      <c r="B61">
        <f>IF($O61="","",INDEX(Master!$B$2:$B$1001,$O61))</f>
      </c>
      <c r="C61">
        <f>IF($O61="","",INDEX(Master!$C$2:$C$1001,$O61))</f>
      </c>
      <c r="D61">
        <f>IF($O61="","",INDEX(Master!$A$2:$A$1001,$O61))</f>
      </c>
      <c r="E61">
        <f>IF($O61="","",INDEX(Master!$E$2:$E$1001,$O61))</f>
      </c>
      <c r="F61">
        <f>IF($O61="","",INDEX(Master!$F$2:$F$1001,$O61))</f>
      </c>
      <c r="G61">
        <f>IF($O61="","",INDEX(Master!$G$2:$G$1001,$O61))</f>
      </c>
      <c r="H61">
        <f>IF($O61="","",INDEX(Master!$H$2:$H$1001,$O61))</f>
      </c>
      <c r="I61">
        <f>IF($O61="","",INDEX(Master!$I$2:$I$1001,$O61))</f>
      </c>
      <c r="J61">
        <f>IF($O61="","",INDEX(Master!$J$2:$J$1001,$O61))</f>
      </c>
      <c r="K61">
        <f t="shared" si="0"/>
      </c>
      <c r="L61">
        <f>IF($O61="","",INDEX(Master!$K$2:$K$1001,$O61))</f>
      </c>
      <c r="M61">
        <f>IF($O61="","",INDEX(Master!$L$2:$L$1001,$O61))</f>
      </c>
      <c r="O61">
        <f t="array" ref="O61">IFERROR(SMALL(IF((Master!$A$2:$A$1001="SHYAM METALLIKS")*(Master!$M$2:$M$1001="160 x 160 x 6MTR"),ROW(Master!$A$2:$A$1001)-ROW(Master!$A$2)+1),57),"")</f>
      </c>
      <c r="P61">
        <f t="shared" si="1"/>
      </c>
    </row>
    <row r="62" spans="1:16" x14ac:dyDescent="0.25">
      <c r="A62">
        <f>IF($O62="","",INDEX(Master!$D$2:$D$1001,$O62))</f>
      </c>
      <c r="B62">
        <f>IF($O62="","",INDEX(Master!$B$2:$B$1001,$O62))</f>
      </c>
      <c r="C62">
        <f>IF($O62="","",INDEX(Master!$C$2:$C$1001,$O62))</f>
      </c>
      <c r="D62">
        <f>IF($O62="","",INDEX(Master!$A$2:$A$1001,$O62))</f>
      </c>
      <c r="E62">
        <f>IF($O62="","",INDEX(Master!$E$2:$E$1001,$O62))</f>
      </c>
      <c r="F62">
        <f>IF($O62="","",INDEX(Master!$F$2:$F$1001,$O62))</f>
      </c>
      <c r="G62">
        <f>IF($O62="","",INDEX(Master!$G$2:$G$1001,$O62))</f>
      </c>
      <c r="H62">
        <f>IF($O62="","",INDEX(Master!$H$2:$H$1001,$O62))</f>
      </c>
      <c r="I62">
        <f>IF($O62="","",INDEX(Master!$I$2:$I$1001,$O62))</f>
      </c>
      <c r="J62">
        <f>IF($O62="","",INDEX(Master!$J$2:$J$1001,$O62))</f>
      </c>
      <c r="K62">
        <f t="shared" si="0"/>
      </c>
      <c r="L62">
        <f>IF($O62="","",INDEX(Master!$K$2:$K$1001,$O62))</f>
      </c>
      <c r="M62">
        <f>IF($O62="","",INDEX(Master!$L$2:$L$1001,$O62))</f>
      </c>
      <c r="O62">
        <f t="array" ref="O62">IFERROR(SMALL(IF((Master!$A$2:$A$1001="SHYAM METALLIKS")*(Master!$M$2:$M$1001="160 x 160 x 6MTR"),ROW(Master!$A$2:$A$1001)-ROW(Master!$A$2)+1),58),"")</f>
      </c>
      <c r="P62">
        <f t="shared" si="1"/>
      </c>
    </row>
    <row r="63" spans="1:16" x14ac:dyDescent="0.25">
      <c r="A63">
        <f>IF($O63="","",INDEX(Master!$D$2:$D$1001,$O63))</f>
      </c>
      <c r="B63">
        <f>IF($O63="","",INDEX(Master!$B$2:$B$1001,$O63))</f>
      </c>
      <c r="C63">
        <f>IF($O63="","",INDEX(Master!$C$2:$C$1001,$O63))</f>
      </c>
      <c r="D63">
        <f>IF($O63="","",INDEX(Master!$A$2:$A$1001,$O63))</f>
      </c>
      <c r="E63">
        <f>IF($O63="","",INDEX(Master!$E$2:$E$1001,$O63))</f>
      </c>
      <c r="F63">
        <f>IF($O63="","",INDEX(Master!$F$2:$F$1001,$O63))</f>
      </c>
      <c r="G63">
        <f>IF($O63="","",INDEX(Master!$G$2:$G$1001,$O63))</f>
      </c>
      <c r="H63">
        <f>IF($O63="","",INDEX(Master!$H$2:$H$1001,$O63))</f>
      </c>
      <c r="I63">
        <f>IF($O63="","",INDEX(Master!$I$2:$I$1001,$O63))</f>
      </c>
      <c r="J63">
        <f>IF($O63="","",INDEX(Master!$J$2:$J$1001,$O63))</f>
      </c>
      <c r="K63">
        <f t="shared" si="0"/>
      </c>
      <c r="L63">
        <f>IF($O63="","",INDEX(Master!$K$2:$K$1001,$O63))</f>
      </c>
      <c r="M63">
        <f>IF($O63="","",INDEX(Master!$L$2:$L$1001,$O63))</f>
      </c>
      <c r="O63">
        <f t="array" ref="O63">IFERROR(SMALL(IF((Master!$A$2:$A$1001="SHYAM METALLIKS")*(Master!$M$2:$M$1001="160 x 160 x 6MTR"),ROW(Master!$A$2:$A$1001)-ROW(Master!$A$2)+1),59),"")</f>
      </c>
      <c r="P63">
        <f t="shared" si="1"/>
      </c>
    </row>
    <row r="64" spans="1:16" x14ac:dyDescent="0.25">
      <c r="A64">
        <f>IF($O64="","",INDEX(Master!$D$2:$D$1001,$O64))</f>
      </c>
      <c r="B64">
        <f>IF($O64="","",INDEX(Master!$B$2:$B$1001,$O64))</f>
      </c>
      <c r="C64">
        <f>IF($O64="","",INDEX(Master!$C$2:$C$1001,$O64))</f>
      </c>
      <c r="D64">
        <f>IF($O64="","",INDEX(Master!$A$2:$A$1001,$O64))</f>
      </c>
      <c r="E64">
        <f>IF($O64="","",INDEX(Master!$E$2:$E$1001,$O64))</f>
      </c>
      <c r="F64">
        <f>IF($O64="","",INDEX(Master!$F$2:$F$1001,$O64))</f>
      </c>
      <c r="G64">
        <f>IF($O64="","",INDEX(Master!$G$2:$G$1001,$O64))</f>
      </c>
      <c r="H64">
        <f>IF($O64="","",INDEX(Master!$H$2:$H$1001,$O64))</f>
      </c>
      <c r="I64">
        <f>IF($O64="","",INDEX(Master!$I$2:$I$1001,$O64))</f>
      </c>
      <c r="J64">
        <f>IF($O64="","",INDEX(Master!$J$2:$J$1001,$O64))</f>
      </c>
      <c r="K64">
        <f t="shared" si="0"/>
      </c>
      <c r="L64">
        <f>IF($O64="","",INDEX(Master!$K$2:$K$1001,$O64))</f>
      </c>
      <c r="M64">
        <f>IF($O64="","",INDEX(Master!$L$2:$L$1001,$O64))</f>
      </c>
      <c r="O64">
        <f t="array" ref="O64">IFERROR(SMALL(IF((Master!$A$2:$A$1001="SHYAM METALLIKS")*(Master!$M$2:$M$1001="160 x 160 x 6MTR"),ROW(Master!$A$2:$A$1001)-ROW(Master!$A$2)+1),60),"")</f>
      </c>
      <c r="P64">
        <f t="shared" si="1"/>
      </c>
    </row>
    <row r="65" spans="1:16" x14ac:dyDescent="0.25">
      <c r="A65">
        <f>IF($O65="","",INDEX(Master!$D$2:$D$1001,$O65))</f>
      </c>
      <c r="B65">
        <f>IF($O65="","",INDEX(Master!$B$2:$B$1001,$O65))</f>
      </c>
      <c r="C65">
        <f>IF($O65="","",INDEX(Master!$C$2:$C$1001,$O65))</f>
      </c>
      <c r="D65">
        <f>IF($O65="","",INDEX(Master!$A$2:$A$1001,$O65))</f>
      </c>
      <c r="E65">
        <f>IF($O65="","",INDEX(Master!$E$2:$E$1001,$O65))</f>
      </c>
      <c r="F65">
        <f>IF($O65="","",INDEX(Master!$F$2:$F$1001,$O65))</f>
      </c>
      <c r="G65">
        <f>IF($O65="","",INDEX(Master!$G$2:$G$1001,$O65))</f>
      </c>
      <c r="H65">
        <f>IF($O65="","",INDEX(Master!$H$2:$H$1001,$O65))</f>
      </c>
      <c r="I65">
        <f>IF($O65="","",INDEX(Master!$I$2:$I$1001,$O65))</f>
      </c>
      <c r="J65">
        <f>IF($O65="","",INDEX(Master!$J$2:$J$1001,$O65))</f>
      </c>
      <c r="K65">
        <f t="shared" si="0"/>
      </c>
      <c r="L65">
        <f>IF($O65="","",INDEX(Master!$K$2:$K$1001,$O65))</f>
      </c>
      <c r="M65">
        <f>IF($O65="","",INDEX(Master!$L$2:$L$1001,$O65))</f>
      </c>
      <c r="O65">
        <f t="array" ref="O65">IFERROR(SMALL(IF((Master!$A$2:$A$1001="SHYAM METALLIKS")*(Master!$M$2:$M$1001="160 x 160 x 6MTR"),ROW(Master!$A$2:$A$1001)-ROW(Master!$A$2)+1),61),"")</f>
      </c>
      <c r="P65">
        <f t="shared" si="1"/>
      </c>
    </row>
    <row r="66" spans="1:16" x14ac:dyDescent="0.25">
      <c r="A66">
        <f>IF($O66="","",INDEX(Master!$D$2:$D$1001,$O66))</f>
      </c>
      <c r="B66">
        <f>IF($O66="","",INDEX(Master!$B$2:$B$1001,$O66))</f>
      </c>
      <c r="C66">
        <f>IF($O66="","",INDEX(Master!$C$2:$C$1001,$O66))</f>
      </c>
      <c r="D66">
        <f>IF($O66="","",INDEX(Master!$A$2:$A$1001,$O66))</f>
      </c>
      <c r="E66">
        <f>IF($O66="","",INDEX(Master!$E$2:$E$1001,$O66))</f>
      </c>
      <c r="F66">
        <f>IF($O66="","",INDEX(Master!$F$2:$F$1001,$O66))</f>
      </c>
      <c r="G66">
        <f>IF($O66="","",INDEX(Master!$G$2:$G$1001,$O66))</f>
      </c>
      <c r="H66">
        <f>IF($O66="","",INDEX(Master!$H$2:$H$1001,$O66))</f>
      </c>
      <c r="I66">
        <f>IF($O66="","",INDEX(Master!$I$2:$I$1001,$O66))</f>
      </c>
      <c r="J66">
        <f>IF($O66="","",INDEX(Master!$J$2:$J$1001,$O66))</f>
      </c>
      <c r="K66">
        <f t="shared" si="0"/>
      </c>
      <c r="L66">
        <f>IF($O66="","",INDEX(Master!$K$2:$K$1001,$O66))</f>
      </c>
      <c r="M66">
        <f>IF($O66="","",INDEX(Master!$L$2:$L$1001,$O66))</f>
      </c>
      <c r="O66">
        <f t="array" ref="O66">IFERROR(SMALL(IF((Master!$A$2:$A$1001="SHYAM METALLIKS")*(Master!$M$2:$M$1001="160 x 160 x 6MTR"),ROW(Master!$A$2:$A$1001)-ROW(Master!$A$2)+1),62),"")</f>
      </c>
      <c r="P66">
        <f t="shared" si="1"/>
      </c>
    </row>
    <row r="67" spans="1:16" x14ac:dyDescent="0.25">
      <c r="A67">
        <f>IF($O67="","",INDEX(Master!$D$2:$D$1001,$O67))</f>
      </c>
      <c r="B67">
        <f>IF($O67="","",INDEX(Master!$B$2:$B$1001,$O67))</f>
      </c>
      <c r="C67">
        <f>IF($O67="","",INDEX(Master!$C$2:$C$1001,$O67))</f>
      </c>
      <c r="D67">
        <f>IF($O67="","",INDEX(Master!$A$2:$A$1001,$O67))</f>
      </c>
      <c r="E67">
        <f>IF($O67="","",INDEX(Master!$E$2:$E$1001,$O67))</f>
      </c>
      <c r="F67">
        <f>IF($O67="","",INDEX(Master!$F$2:$F$1001,$O67))</f>
      </c>
      <c r="G67">
        <f>IF($O67="","",INDEX(Master!$G$2:$G$1001,$O67))</f>
      </c>
      <c r="H67">
        <f>IF($O67="","",INDEX(Master!$H$2:$H$1001,$O67))</f>
      </c>
      <c r="I67">
        <f>IF($O67="","",INDEX(Master!$I$2:$I$1001,$O67))</f>
      </c>
      <c r="J67">
        <f>IF($O67="","",INDEX(Master!$J$2:$J$1001,$O67))</f>
      </c>
      <c r="K67">
        <f t="shared" si="0"/>
      </c>
      <c r="L67">
        <f>IF($O67="","",INDEX(Master!$K$2:$K$1001,$O67))</f>
      </c>
      <c r="M67">
        <f>IF($O67="","",INDEX(Master!$L$2:$L$1001,$O67))</f>
      </c>
      <c r="O67">
        <f t="array" ref="O67">IFERROR(SMALL(IF((Master!$A$2:$A$1001="SHYAM METALLIKS")*(Master!$M$2:$M$1001="160 x 160 x 6MTR"),ROW(Master!$A$2:$A$1001)-ROW(Master!$A$2)+1),63),"")</f>
      </c>
      <c r="P67">
        <f t="shared" si="1"/>
      </c>
    </row>
    <row r="68" spans="1:16" x14ac:dyDescent="0.25">
      <c r="A68">
        <f>IF($O68="","",INDEX(Master!$D$2:$D$1001,$O68))</f>
      </c>
      <c r="B68">
        <f>IF($O68="","",INDEX(Master!$B$2:$B$1001,$O68))</f>
      </c>
      <c r="C68">
        <f>IF($O68="","",INDEX(Master!$C$2:$C$1001,$O68))</f>
      </c>
      <c r="D68">
        <f>IF($O68="","",INDEX(Master!$A$2:$A$1001,$O68))</f>
      </c>
      <c r="E68">
        <f>IF($O68="","",INDEX(Master!$E$2:$E$1001,$O68))</f>
      </c>
      <c r="F68">
        <f>IF($O68="","",INDEX(Master!$F$2:$F$1001,$O68))</f>
      </c>
      <c r="G68">
        <f>IF($O68="","",INDEX(Master!$G$2:$G$1001,$O68))</f>
      </c>
      <c r="H68">
        <f>IF($O68="","",INDEX(Master!$H$2:$H$1001,$O68))</f>
      </c>
      <c r="I68">
        <f>IF($O68="","",INDEX(Master!$I$2:$I$1001,$O68))</f>
      </c>
      <c r="J68">
        <f>IF($O68="","",INDEX(Master!$J$2:$J$1001,$O68))</f>
      </c>
      <c r="K68">
        <f t="shared" si="0"/>
      </c>
      <c r="L68">
        <f>IF($O68="","",INDEX(Master!$K$2:$K$1001,$O68))</f>
      </c>
      <c r="M68">
        <f>IF($O68="","",INDEX(Master!$L$2:$L$1001,$O68))</f>
      </c>
      <c r="O68">
        <f t="array" ref="O68">IFERROR(SMALL(IF((Master!$A$2:$A$1001="SHYAM METALLIKS")*(Master!$M$2:$M$1001="160 x 160 x 6MTR"),ROW(Master!$A$2:$A$1001)-ROW(Master!$A$2)+1),64),"")</f>
      </c>
      <c r="P68">
        <f t="shared" si="1"/>
      </c>
    </row>
    <row r="69" spans="1:16" x14ac:dyDescent="0.25">
      <c r="A69">
        <f>IF($O69="","",INDEX(Master!$D$2:$D$1001,$O69))</f>
      </c>
      <c r="B69">
        <f>IF($O69="","",INDEX(Master!$B$2:$B$1001,$O69))</f>
      </c>
      <c r="C69">
        <f>IF($O69="","",INDEX(Master!$C$2:$C$1001,$O69))</f>
      </c>
      <c r="D69">
        <f>IF($O69="","",INDEX(Master!$A$2:$A$1001,$O69))</f>
      </c>
      <c r="E69">
        <f>IF($O69="","",INDEX(Master!$E$2:$E$1001,$O69))</f>
      </c>
      <c r="F69">
        <f>IF($O69="","",INDEX(Master!$F$2:$F$1001,$O69))</f>
      </c>
      <c r="G69">
        <f>IF($O69="","",INDEX(Master!$G$2:$G$1001,$O69))</f>
      </c>
      <c r="H69">
        <f>IF($O69="","",INDEX(Master!$H$2:$H$1001,$O69))</f>
      </c>
      <c r="I69">
        <f>IF($O69="","",INDEX(Master!$I$2:$I$1001,$O69))</f>
      </c>
      <c r="J69">
        <f>IF($O69="","",INDEX(Master!$J$2:$J$1001,$O69))</f>
      </c>
      <c r="K69">
        <f t="shared" ref="K69:K132" si="2">IF(OR($O69="",$F69="",$F69=0),"",$H69/$F69)</f>
      </c>
      <c r="L69">
        <f>IF($O69="","",INDEX(Master!$K$2:$K$1001,$O69))</f>
      </c>
      <c r="M69">
        <f>IF($O69="","",INDEX(Master!$L$2:$L$1001,$O69))</f>
      </c>
      <c r="O69">
        <f t="array" ref="O69">IFERROR(SMALL(IF((Master!$A$2:$A$1001="SHYAM METALLIKS")*(Master!$M$2:$M$1001="160 x 160 x 6MTR"),ROW(Master!$A$2:$A$1001)-ROW(Master!$A$2)+1),65),"")</f>
      </c>
      <c r="P69">
        <f t="shared" ref="P69:P132" si="3">IF($A69="",0,IF(OR(AND($E69&lt;&gt;"",OR($E69&gt;0.18)),AND($F69&lt;&gt;"",OR(($F69+$G69)&gt;0.14)),AND($G69&lt;&gt;"",OR(($F69+$G69)&gt;0.14)),AND($H69&lt;&gt;"",$H69&lt;0.4),AND($J69&lt;&gt;"",OR($J69&lt;0.1))),1,0))</f>
      </c>
    </row>
    <row r="70" spans="1:16" x14ac:dyDescent="0.25">
      <c r="A70">
        <f>IF($O70="","",INDEX(Master!$D$2:$D$1001,$O70))</f>
      </c>
      <c r="B70">
        <f>IF($O70="","",INDEX(Master!$B$2:$B$1001,$O70))</f>
      </c>
      <c r="C70">
        <f>IF($O70="","",INDEX(Master!$C$2:$C$1001,$O70))</f>
      </c>
      <c r="D70">
        <f>IF($O70="","",INDEX(Master!$A$2:$A$1001,$O70))</f>
      </c>
      <c r="E70">
        <f>IF($O70="","",INDEX(Master!$E$2:$E$1001,$O70))</f>
      </c>
      <c r="F70">
        <f>IF($O70="","",INDEX(Master!$F$2:$F$1001,$O70))</f>
      </c>
      <c r="G70">
        <f>IF($O70="","",INDEX(Master!$G$2:$G$1001,$O70))</f>
      </c>
      <c r="H70">
        <f>IF($O70="","",INDEX(Master!$H$2:$H$1001,$O70))</f>
      </c>
      <c r="I70">
        <f>IF($O70="","",INDEX(Master!$I$2:$I$1001,$O70))</f>
      </c>
      <c r="J70">
        <f>IF($O70="","",INDEX(Master!$J$2:$J$1001,$O70))</f>
      </c>
      <c r="K70">
        <f t="shared" si="2"/>
      </c>
      <c r="L70">
        <f>IF($O70="","",INDEX(Master!$K$2:$K$1001,$O70))</f>
      </c>
      <c r="M70">
        <f>IF($O70="","",INDEX(Master!$L$2:$L$1001,$O70))</f>
      </c>
      <c r="O70">
        <f t="array" ref="O70">IFERROR(SMALL(IF((Master!$A$2:$A$1001="SHYAM METALLIKS")*(Master!$M$2:$M$1001="160 x 160 x 6MTR"),ROW(Master!$A$2:$A$1001)-ROW(Master!$A$2)+1),66),"")</f>
      </c>
      <c r="P70">
        <f t="shared" si="3"/>
      </c>
    </row>
    <row r="71" spans="1:16" x14ac:dyDescent="0.25">
      <c r="A71">
        <f>IF($O71="","",INDEX(Master!$D$2:$D$1001,$O71))</f>
      </c>
      <c r="B71">
        <f>IF($O71="","",INDEX(Master!$B$2:$B$1001,$O71))</f>
      </c>
      <c r="C71">
        <f>IF($O71="","",INDEX(Master!$C$2:$C$1001,$O71))</f>
      </c>
      <c r="D71">
        <f>IF($O71="","",INDEX(Master!$A$2:$A$1001,$O71))</f>
      </c>
      <c r="E71">
        <f>IF($O71="","",INDEX(Master!$E$2:$E$1001,$O71))</f>
      </c>
      <c r="F71">
        <f>IF($O71="","",INDEX(Master!$F$2:$F$1001,$O71))</f>
      </c>
      <c r="G71">
        <f>IF($O71="","",INDEX(Master!$G$2:$G$1001,$O71))</f>
      </c>
      <c r="H71">
        <f>IF($O71="","",INDEX(Master!$H$2:$H$1001,$O71))</f>
      </c>
      <c r="I71">
        <f>IF($O71="","",INDEX(Master!$I$2:$I$1001,$O71))</f>
      </c>
      <c r="J71">
        <f>IF($O71="","",INDEX(Master!$J$2:$J$1001,$O71))</f>
      </c>
      <c r="K71">
        <f t="shared" si="2"/>
      </c>
      <c r="L71">
        <f>IF($O71="","",INDEX(Master!$K$2:$K$1001,$O71))</f>
      </c>
      <c r="M71">
        <f>IF($O71="","",INDEX(Master!$L$2:$L$1001,$O71))</f>
      </c>
      <c r="O71">
        <f t="array" ref="O71">IFERROR(SMALL(IF((Master!$A$2:$A$1001="SHYAM METALLIKS")*(Master!$M$2:$M$1001="160 x 160 x 6MTR"),ROW(Master!$A$2:$A$1001)-ROW(Master!$A$2)+1),67),"")</f>
      </c>
      <c r="P71">
        <f t="shared" si="3"/>
      </c>
    </row>
    <row r="72" spans="1:16" x14ac:dyDescent="0.25">
      <c r="A72">
        <f>IF($O72="","",INDEX(Master!$D$2:$D$1001,$O72))</f>
      </c>
      <c r="B72">
        <f>IF($O72="","",INDEX(Master!$B$2:$B$1001,$O72))</f>
      </c>
      <c r="C72">
        <f>IF($O72="","",INDEX(Master!$C$2:$C$1001,$O72))</f>
      </c>
      <c r="D72">
        <f>IF($O72="","",INDEX(Master!$A$2:$A$1001,$O72))</f>
      </c>
      <c r="E72">
        <f>IF($O72="","",INDEX(Master!$E$2:$E$1001,$O72))</f>
      </c>
      <c r="F72">
        <f>IF($O72="","",INDEX(Master!$F$2:$F$1001,$O72))</f>
      </c>
      <c r="G72">
        <f>IF($O72="","",INDEX(Master!$G$2:$G$1001,$O72))</f>
      </c>
      <c r="H72">
        <f>IF($O72="","",INDEX(Master!$H$2:$H$1001,$O72))</f>
      </c>
      <c r="I72">
        <f>IF($O72="","",INDEX(Master!$I$2:$I$1001,$O72))</f>
      </c>
      <c r="J72">
        <f>IF($O72="","",INDEX(Master!$J$2:$J$1001,$O72))</f>
      </c>
      <c r="K72">
        <f t="shared" si="2"/>
      </c>
      <c r="L72">
        <f>IF($O72="","",INDEX(Master!$K$2:$K$1001,$O72))</f>
      </c>
      <c r="M72">
        <f>IF($O72="","",INDEX(Master!$L$2:$L$1001,$O72))</f>
      </c>
      <c r="O72">
        <f t="array" ref="O72">IFERROR(SMALL(IF((Master!$A$2:$A$1001="SHYAM METALLIKS")*(Master!$M$2:$M$1001="160 x 160 x 6MTR"),ROW(Master!$A$2:$A$1001)-ROW(Master!$A$2)+1),68),"")</f>
      </c>
      <c r="P72">
        <f t="shared" si="3"/>
      </c>
    </row>
    <row r="73" spans="1:16" x14ac:dyDescent="0.25">
      <c r="A73">
        <f>IF($O73="","",INDEX(Master!$D$2:$D$1001,$O73))</f>
      </c>
      <c r="B73">
        <f>IF($O73="","",INDEX(Master!$B$2:$B$1001,$O73))</f>
      </c>
      <c r="C73">
        <f>IF($O73="","",INDEX(Master!$C$2:$C$1001,$O73))</f>
      </c>
      <c r="D73">
        <f>IF($O73="","",INDEX(Master!$A$2:$A$1001,$O73))</f>
      </c>
      <c r="E73">
        <f>IF($O73="","",INDEX(Master!$E$2:$E$1001,$O73))</f>
      </c>
      <c r="F73">
        <f>IF($O73="","",INDEX(Master!$F$2:$F$1001,$O73))</f>
      </c>
      <c r="G73">
        <f>IF($O73="","",INDEX(Master!$G$2:$G$1001,$O73))</f>
      </c>
      <c r="H73">
        <f>IF($O73="","",INDEX(Master!$H$2:$H$1001,$O73))</f>
      </c>
      <c r="I73">
        <f>IF($O73="","",INDEX(Master!$I$2:$I$1001,$O73))</f>
      </c>
      <c r="J73">
        <f>IF($O73="","",INDEX(Master!$J$2:$J$1001,$O73))</f>
      </c>
      <c r="K73">
        <f t="shared" si="2"/>
      </c>
      <c r="L73">
        <f>IF($O73="","",INDEX(Master!$K$2:$K$1001,$O73))</f>
      </c>
      <c r="M73">
        <f>IF($O73="","",INDEX(Master!$L$2:$L$1001,$O73))</f>
      </c>
      <c r="O73">
        <f t="array" ref="O73">IFERROR(SMALL(IF((Master!$A$2:$A$1001="SHYAM METALLIKS")*(Master!$M$2:$M$1001="160 x 160 x 6MTR"),ROW(Master!$A$2:$A$1001)-ROW(Master!$A$2)+1),69),"")</f>
      </c>
      <c r="P73">
        <f t="shared" si="3"/>
      </c>
    </row>
    <row r="74" spans="1:16" x14ac:dyDescent="0.25">
      <c r="A74">
        <f>IF($O74="","",INDEX(Master!$D$2:$D$1001,$O74))</f>
      </c>
      <c r="B74">
        <f>IF($O74="","",INDEX(Master!$B$2:$B$1001,$O74))</f>
      </c>
      <c r="C74">
        <f>IF($O74="","",INDEX(Master!$C$2:$C$1001,$O74))</f>
      </c>
      <c r="D74">
        <f>IF($O74="","",INDEX(Master!$A$2:$A$1001,$O74))</f>
      </c>
      <c r="E74">
        <f>IF($O74="","",INDEX(Master!$E$2:$E$1001,$O74))</f>
      </c>
      <c r="F74">
        <f>IF($O74="","",INDEX(Master!$F$2:$F$1001,$O74))</f>
      </c>
      <c r="G74">
        <f>IF($O74="","",INDEX(Master!$G$2:$G$1001,$O74))</f>
      </c>
      <c r="H74">
        <f>IF($O74="","",INDEX(Master!$H$2:$H$1001,$O74))</f>
      </c>
      <c r="I74">
        <f>IF($O74="","",INDEX(Master!$I$2:$I$1001,$O74))</f>
      </c>
      <c r="J74">
        <f>IF($O74="","",INDEX(Master!$J$2:$J$1001,$O74))</f>
      </c>
      <c r="K74">
        <f t="shared" si="2"/>
      </c>
      <c r="L74">
        <f>IF($O74="","",INDEX(Master!$K$2:$K$1001,$O74))</f>
      </c>
      <c r="M74">
        <f>IF($O74="","",INDEX(Master!$L$2:$L$1001,$O74))</f>
      </c>
      <c r="O74">
        <f t="array" ref="O74">IFERROR(SMALL(IF((Master!$A$2:$A$1001="SHYAM METALLIKS")*(Master!$M$2:$M$1001="160 x 160 x 6MTR"),ROW(Master!$A$2:$A$1001)-ROW(Master!$A$2)+1),70),"")</f>
      </c>
      <c r="P74">
        <f t="shared" si="3"/>
      </c>
    </row>
    <row r="75" spans="1:16" x14ac:dyDescent="0.25">
      <c r="A75">
        <f>IF($O75="","",INDEX(Master!$D$2:$D$1001,$O75))</f>
      </c>
      <c r="B75">
        <f>IF($O75="","",INDEX(Master!$B$2:$B$1001,$O75))</f>
      </c>
      <c r="C75">
        <f>IF($O75="","",INDEX(Master!$C$2:$C$1001,$O75))</f>
      </c>
      <c r="D75">
        <f>IF($O75="","",INDEX(Master!$A$2:$A$1001,$O75))</f>
      </c>
      <c r="E75">
        <f>IF($O75="","",INDEX(Master!$E$2:$E$1001,$O75))</f>
      </c>
      <c r="F75">
        <f>IF($O75="","",INDEX(Master!$F$2:$F$1001,$O75))</f>
      </c>
      <c r="G75">
        <f>IF($O75="","",INDEX(Master!$G$2:$G$1001,$O75))</f>
      </c>
      <c r="H75">
        <f>IF($O75="","",INDEX(Master!$H$2:$H$1001,$O75))</f>
      </c>
      <c r="I75">
        <f>IF($O75="","",INDEX(Master!$I$2:$I$1001,$O75))</f>
      </c>
      <c r="J75">
        <f>IF($O75="","",INDEX(Master!$J$2:$J$1001,$O75))</f>
      </c>
      <c r="K75">
        <f t="shared" si="2"/>
      </c>
      <c r="L75">
        <f>IF($O75="","",INDEX(Master!$K$2:$K$1001,$O75))</f>
      </c>
      <c r="M75">
        <f>IF($O75="","",INDEX(Master!$L$2:$L$1001,$O75))</f>
      </c>
      <c r="O75">
        <f t="array" ref="O75">IFERROR(SMALL(IF((Master!$A$2:$A$1001="SHYAM METALLIKS")*(Master!$M$2:$M$1001="160 x 160 x 6MTR"),ROW(Master!$A$2:$A$1001)-ROW(Master!$A$2)+1),71),"")</f>
      </c>
      <c r="P75">
        <f t="shared" si="3"/>
      </c>
    </row>
    <row r="76" spans="1:16" x14ac:dyDescent="0.25">
      <c r="A76">
        <f>IF($O76="","",INDEX(Master!$D$2:$D$1001,$O76))</f>
      </c>
      <c r="B76">
        <f>IF($O76="","",INDEX(Master!$B$2:$B$1001,$O76))</f>
      </c>
      <c r="C76">
        <f>IF($O76="","",INDEX(Master!$C$2:$C$1001,$O76))</f>
      </c>
      <c r="D76">
        <f>IF($O76="","",INDEX(Master!$A$2:$A$1001,$O76))</f>
      </c>
      <c r="E76">
        <f>IF($O76="","",INDEX(Master!$E$2:$E$1001,$O76))</f>
      </c>
      <c r="F76">
        <f>IF($O76="","",INDEX(Master!$F$2:$F$1001,$O76))</f>
      </c>
      <c r="G76">
        <f>IF($O76="","",INDEX(Master!$G$2:$G$1001,$O76))</f>
      </c>
      <c r="H76">
        <f>IF($O76="","",INDEX(Master!$H$2:$H$1001,$O76))</f>
      </c>
      <c r="I76">
        <f>IF($O76="","",INDEX(Master!$I$2:$I$1001,$O76))</f>
      </c>
      <c r="J76">
        <f>IF($O76="","",INDEX(Master!$J$2:$J$1001,$O76))</f>
      </c>
      <c r="K76">
        <f t="shared" si="2"/>
      </c>
      <c r="L76">
        <f>IF($O76="","",INDEX(Master!$K$2:$K$1001,$O76))</f>
      </c>
      <c r="M76">
        <f>IF($O76="","",INDEX(Master!$L$2:$L$1001,$O76))</f>
      </c>
      <c r="O76">
        <f t="array" ref="O76">IFERROR(SMALL(IF((Master!$A$2:$A$1001="SHYAM METALLIKS")*(Master!$M$2:$M$1001="160 x 160 x 6MTR"),ROW(Master!$A$2:$A$1001)-ROW(Master!$A$2)+1),72),"")</f>
      </c>
      <c r="P76">
        <f t="shared" si="3"/>
      </c>
    </row>
    <row r="77" spans="1:16" x14ac:dyDescent="0.25">
      <c r="A77">
        <f>IF($O77="","",INDEX(Master!$D$2:$D$1001,$O77))</f>
      </c>
      <c r="B77">
        <f>IF($O77="","",INDEX(Master!$B$2:$B$1001,$O77))</f>
      </c>
      <c r="C77">
        <f>IF($O77="","",INDEX(Master!$C$2:$C$1001,$O77))</f>
      </c>
      <c r="D77">
        <f>IF($O77="","",INDEX(Master!$A$2:$A$1001,$O77))</f>
      </c>
      <c r="E77">
        <f>IF($O77="","",INDEX(Master!$E$2:$E$1001,$O77))</f>
      </c>
      <c r="F77">
        <f>IF($O77="","",INDEX(Master!$F$2:$F$1001,$O77))</f>
      </c>
      <c r="G77">
        <f>IF($O77="","",INDEX(Master!$G$2:$G$1001,$O77))</f>
      </c>
      <c r="H77">
        <f>IF($O77="","",INDEX(Master!$H$2:$H$1001,$O77))</f>
      </c>
      <c r="I77">
        <f>IF($O77="","",INDEX(Master!$I$2:$I$1001,$O77))</f>
      </c>
      <c r="J77">
        <f>IF($O77="","",INDEX(Master!$J$2:$J$1001,$O77))</f>
      </c>
      <c r="K77">
        <f t="shared" si="2"/>
      </c>
      <c r="L77">
        <f>IF($O77="","",INDEX(Master!$K$2:$K$1001,$O77))</f>
      </c>
      <c r="M77">
        <f>IF($O77="","",INDEX(Master!$L$2:$L$1001,$O77))</f>
      </c>
      <c r="O77">
        <f t="array" ref="O77">IFERROR(SMALL(IF((Master!$A$2:$A$1001="SHYAM METALLIKS")*(Master!$M$2:$M$1001="160 x 160 x 6MTR"),ROW(Master!$A$2:$A$1001)-ROW(Master!$A$2)+1),73),"")</f>
      </c>
      <c r="P77">
        <f t="shared" si="3"/>
      </c>
    </row>
    <row r="78" spans="1:16" x14ac:dyDescent="0.25">
      <c r="A78">
        <f>IF($O78="","",INDEX(Master!$D$2:$D$1001,$O78))</f>
      </c>
      <c r="B78">
        <f>IF($O78="","",INDEX(Master!$B$2:$B$1001,$O78))</f>
      </c>
      <c r="C78">
        <f>IF($O78="","",INDEX(Master!$C$2:$C$1001,$O78))</f>
      </c>
      <c r="D78">
        <f>IF($O78="","",INDEX(Master!$A$2:$A$1001,$O78))</f>
      </c>
      <c r="E78">
        <f>IF($O78="","",INDEX(Master!$E$2:$E$1001,$O78))</f>
      </c>
      <c r="F78">
        <f>IF($O78="","",INDEX(Master!$F$2:$F$1001,$O78))</f>
      </c>
      <c r="G78">
        <f>IF($O78="","",INDEX(Master!$G$2:$G$1001,$O78))</f>
      </c>
      <c r="H78">
        <f>IF($O78="","",INDEX(Master!$H$2:$H$1001,$O78))</f>
      </c>
      <c r="I78">
        <f>IF($O78="","",INDEX(Master!$I$2:$I$1001,$O78))</f>
      </c>
      <c r="J78">
        <f>IF($O78="","",INDEX(Master!$J$2:$J$1001,$O78))</f>
      </c>
      <c r="K78">
        <f t="shared" si="2"/>
      </c>
      <c r="L78">
        <f>IF($O78="","",INDEX(Master!$K$2:$K$1001,$O78))</f>
      </c>
      <c r="M78">
        <f>IF($O78="","",INDEX(Master!$L$2:$L$1001,$O78))</f>
      </c>
      <c r="O78">
        <f t="array" ref="O78">IFERROR(SMALL(IF((Master!$A$2:$A$1001="SHYAM METALLIKS")*(Master!$M$2:$M$1001="160 x 160 x 6MTR"),ROW(Master!$A$2:$A$1001)-ROW(Master!$A$2)+1),74),"")</f>
      </c>
      <c r="P78">
        <f t="shared" si="3"/>
      </c>
    </row>
    <row r="79" spans="1:16" x14ac:dyDescent="0.25">
      <c r="A79">
        <f>IF($O79="","",INDEX(Master!$D$2:$D$1001,$O79))</f>
      </c>
      <c r="B79">
        <f>IF($O79="","",INDEX(Master!$B$2:$B$1001,$O79))</f>
      </c>
      <c r="C79">
        <f>IF($O79="","",INDEX(Master!$C$2:$C$1001,$O79))</f>
      </c>
      <c r="D79">
        <f>IF($O79="","",INDEX(Master!$A$2:$A$1001,$O79))</f>
      </c>
      <c r="E79">
        <f>IF($O79="","",INDEX(Master!$E$2:$E$1001,$O79))</f>
      </c>
      <c r="F79">
        <f>IF($O79="","",INDEX(Master!$F$2:$F$1001,$O79))</f>
      </c>
      <c r="G79">
        <f>IF($O79="","",INDEX(Master!$G$2:$G$1001,$O79))</f>
      </c>
      <c r="H79">
        <f>IF($O79="","",INDEX(Master!$H$2:$H$1001,$O79))</f>
      </c>
      <c r="I79">
        <f>IF($O79="","",INDEX(Master!$I$2:$I$1001,$O79))</f>
      </c>
      <c r="J79">
        <f>IF($O79="","",INDEX(Master!$J$2:$J$1001,$O79))</f>
      </c>
      <c r="K79">
        <f t="shared" si="2"/>
      </c>
      <c r="L79">
        <f>IF($O79="","",INDEX(Master!$K$2:$K$1001,$O79))</f>
      </c>
      <c r="M79">
        <f>IF($O79="","",INDEX(Master!$L$2:$L$1001,$O79))</f>
      </c>
      <c r="O79">
        <f t="array" ref="O79">IFERROR(SMALL(IF((Master!$A$2:$A$1001="SHYAM METALLIKS")*(Master!$M$2:$M$1001="160 x 160 x 6MTR"),ROW(Master!$A$2:$A$1001)-ROW(Master!$A$2)+1),75),"")</f>
      </c>
      <c r="P79">
        <f t="shared" si="3"/>
      </c>
    </row>
    <row r="80" spans="1:16" x14ac:dyDescent="0.25">
      <c r="A80">
        <f>IF($O80="","",INDEX(Master!$D$2:$D$1001,$O80))</f>
      </c>
      <c r="B80">
        <f>IF($O80="","",INDEX(Master!$B$2:$B$1001,$O80))</f>
      </c>
      <c r="C80">
        <f>IF($O80="","",INDEX(Master!$C$2:$C$1001,$O80))</f>
      </c>
      <c r="D80">
        <f>IF($O80="","",INDEX(Master!$A$2:$A$1001,$O80))</f>
      </c>
      <c r="E80">
        <f>IF($O80="","",INDEX(Master!$E$2:$E$1001,$O80))</f>
      </c>
      <c r="F80">
        <f>IF($O80="","",INDEX(Master!$F$2:$F$1001,$O80))</f>
      </c>
      <c r="G80">
        <f>IF($O80="","",INDEX(Master!$G$2:$G$1001,$O80))</f>
      </c>
      <c r="H80">
        <f>IF($O80="","",INDEX(Master!$H$2:$H$1001,$O80))</f>
      </c>
      <c r="I80">
        <f>IF($O80="","",INDEX(Master!$I$2:$I$1001,$O80))</f>
      </c>
      <c r="J80">
        <f>IF($O80="","",INDEX(Master!$J$2:$J$1001,$O80))</f>
      </c>
      <c r="K80">
        <f t="shared" si="2"/>
      </c>
      <c r="L80">
        <f>IF($O80="","",INDEX(Master!$K$2:$K$1001,$O80))</f>
      </c>
      <c r="M80">
        <f>IF($O80="","",INDEX(Master!$L$2:$L$1001,$O80))</f>
      </c>
      <c r="O80">
        <f t="array" ref="O80">IFERROR(SMALL(IF((Master!$A$2:$A$1001="SHYAM METALLIKS")*(Master!$M$2:$M$1001="160 x 160 x 6MTR"),ROW(Master!$A$2:$A$1001)-ROW(Master!$A$2)+1),76),"")</f>
      </c>
      <c r="P80">
        <f t="shared" si="3"/>
      </c>
    </row>
    <row r="81" spans="1:16" x14ac:dyDescent="0.25">
      <c r="A81">
        <f>IF($O81="","",INDEX(Master!$D$2:$D$1001,$O81))</f>
      </c>
      <c r="B81">
        <f>IF($O81="","",INDEX(Master!$B$2:$B$1001,$O81))</f>
      </c>
      <c r="C81">
        <f>IF($O81="","",INDEX(Master!$C$2:$C$1001,$O81))</f>
      </c>
      <c r="D81">
        <f>IF($O81="","",INDEX(Master!$A$2:$A$1001,$O81))</f>
      </c>
      <c r="E81">
        <f>IF($O81="","",INDEX(Master!$E$2:$E$1001,$O81))</f>
      </c>
      <c r="F81">
        <f>IF($O81="","",INDEX(Master!$F$2:$F$1001,$O81))</f>
      </c>
      <c r="G81">
        <f>IF($O81="","",INDEX(Master!$G$2:$G$1001,$O81))</f>
      </c>
      <c r="H81">
        <f>IF($O81="","",INDEX(Master!$H$2:$H$1001,$O81))</f>
      </c>
      <c r="I81">
        <f>IF($O81="","",INDEX(Master!$I$2:$I$1001,$O81))</f>
      </c>
      <c r="J81">
        <f>IF($O81="","",INDEX(Master!$J$2:$J$1001,$O81))</f>
      </c>
      <c r="K81">
        <f t="shared" si="2"/>
      </c>
      <c r="L81">
        <f>IF($O81="","",INDEX(Master!$K$2:$K$1001,$O81))</f>
      </c>
      <c r="M81">
        <f>IF($O81="","",INDEX(Master!$L$2:$L$1001,$O81))</f>
      </c>
      <c r="O81">
        <f t="array" ref="O81">IFERROR(SMALL(IF((Master!$A$2:$A$1001="SHYAM METALLIKS")*(Master!$M$2:$M$1001="160 x 160 x 6MTR"),ROW(Master!$A$2:$A$1001)-ROW(Master!$A$2)+1),77),"")</f>
      </c>
      <c r="P81">
        <f t="shared" si="3"/>
      </c>
    </row>
    <row r="82" spans="1:16" x14ac:dyDescent="0.25">
      <c r="A82">
        <f>IF($O82="","",INDEX(Master!$D$2:$D$1001,$O82))</f>
      </c>
      <c r="B82">
        <f>IF($O82="","",INDEX(Master!$B$2:$B$1001,$O82))</f>
      </c>
      <c r="C82">
        <f>IF($O82="","",INDEX(Master!$C$2:$C$1001,$O82))</f>
      </c>
      <c r="D82">
        <f>IF($O82="","",INDEX(Master!$A$2:$A$1001,$O82))</f>
      </c>
      <c r="E82">
        <f>IF($O82="","",INDEX(Master!$E$2:$E$1001,$O82))</f>
      </c>
      <c r="F82">
        <f>IF($O82="","",INDEX(Master!$F$2:$F$1001,$O82))</f>
      </c>
      <c r="G82">
        <f>IF($O82="","",INDEX(Master!$G$2:$G$1001,$O82))</f>
      </c>
      <c r="H82">
        <f>IF($O82="","",INDEX(Master!$H$2:$H$1001,$O82))</f>
      </c>
      <c r="I82">
        <f>IF($O82="","",INDEX(Master!$I$2:$I$1001,$O82))</f>
      </c>
      <c r="J82">
        <f>IF($O82="","",INDEX(Master!$J$2:$J$1001,$O82))</f>
      </c>
      <c r="K82">
        <f t="shared" si="2"/>
      </c>
      <c r="L82">
        <f>IF($O82="","",INDEX(Master!$K$2:$K$1001,$O82))</f>
      </c>
      <c r="M82">
        <f>IF($O82="","",INDEX(Master!$L$2:$L$1001,$O82))</f>
      </c>
      <c r="O82">
        <f t="array" ref="O82">IFERROR(SMALL(IF((Master!$A$2:$A$1001="SHYAM METALLIKS")*(Master!$M$2:$M$1001="160 x 160 x 6MTR"),ROW(Master!$A$2:$A$1001)-ROW(Master!$A$2)+1),78),"")</f>
      </c>
      <c r="P82">
        <f t="shared" si="3"/>
      </c>
    </row>
    <row r="83" spans="1:16" x14ac:dyDescent="0.25">
      <c r="A83">
        <f>IF($O83="","",INDEX(Master!$D$2:$D$1001,$O83))</f>
      </c>
      <c r="B83">
        <f>IF($O83="","",INDEX(Master!$B$2:$B$1001,$O83))</f>
      </c>
      <c r="C83">
        <f>IF($O83="","",INDEX(Master!$C$2:$C$1001,$O83))</f>
      </c>
      <c r="D83">
        <f>IF($O83="","",INDEX(Master!$A$2:$A$1001,$O83))</f>
      </c>
      <c r="E83">
        <f>IF($O83="","",INDEX(Master!$E$2:$E$1001,$O83))</f>
      </c>
      <c r="F83">
        <f>IF($O83="","",INDEX(Master!$F$2:$F$1001,$O83))</f>
      </c>
      <c r="G83">
        <f>IF($O83="","",INDEX(Master!$G$2:$G$1001,$O83))</f>
      </c>
      <c r="H83">
        <f>IF($O83="","",INDEX(Master!$H$2:$H$1001,$O83))</f>
      </c>
      <c r="I83">
        <f>IF($O83="","",INDEX(Master!$I$2:$I$1001,$O83))</f>
      </c>
      <c r="J83">
        <f>IF($O83="","",INDEX(Master!$J$2:$J$1001,$O83))</f>
      </c>
      <c r="K83">
        <f t="shared" si="2"/>
      </c>
      <c r="L83">
        <f>IF($O83="","",INDEX(Master!$K$2:$K$1001,$O83))</f>
      </c>
      <c r="M83">
        <f>IF($O83="","",INDEX(Master!$L$2:$L$1001,$O83))</f>
      </c>
      <c r="O83">
        <f t="array" ref="O83">IFERROR(SMALL(IF((Master!$A$2:$A$1001="SHYAM METALLIKS")*(Master!$M$2:$M$1001="160 x 160 x 6MTR"),ROW(Master!$A$2:$A$1001)-ROW(Master!$A$2)+1),79),"")</f>
      </c>
      <c r="P83">
        <f t="shared" si="3"/>
      </c>
    </row>
    <row r="84" spans="1:16" x14ac:dyDescent="0.25">
      <c r="A84">
        <f>IF($O84="","",INDEX(Master!$D$2:$D$1001,$O84))</f>
      </c>
      <c r="B84">
        <f>IF($O84="","",INDEX(Master!$B$2:$B$1001,$O84))</f>
      </c>
      <c r="C84">
        <f>IF($O84="","",INDEX(Master!$C$2:$C$1001,$O84))</f>
      </c>
      <c r="D84">
        <f>IF($O84="","",INDEX(Master!$A$2:$A$1001,$O84))</f>
      </c>
      <c r="E84">
        <f>IF($O84="","",INDEX(Master!$E$2:$E$1001,$O84))</f>
      </c>
      <c r="F84">
        <f>IF($O84="","",INDEX(Master!$F$2:$F$1001,$O84))</f>
      </c>
      <c r="G84">
        <f>IF($O84="","",INDEX(Master!$G$2:$G$1001,$O84))</f>
      </c>
      <c r="H84">
        <f>IF($O84="","",INDEX(Master!$H$2:$H$1001,$O84))</f>
      </c>
      <c r="I84">
        <f>IF($O84="","",INDEX(Master!$I$2:$I$1001,$O84))</f>
      </c>
      <c r="J84">
        <f>IF($O84="","",INDEX(Master!$J$2:$J$1001,$O84))</f>
      </c>
      <c r="K84">
        <f t="shared" si="2"/>
      </c>
      <c r="L84">
        <f>IF($O84="","",INDEX(Master!$K$2:$K$1001,$O84))</f>
      </c>
      <c r="M84">
        <f>IF($O84="","",INDEX(Master!$L$2:$L$1001,$O84))</f>
      </c>
      <c r="O84">
        <f t="array" ref="O84">IFERROR(SMALL(IF((Master!$A$2:$A$1001="SHYAM METALLIKS")*(Master!$M$2:$M$1001="160 x 160 x 6MTR"),ROW(Master!$A$2:$A$1001)-ROW(Master!$A$2)+1),80),"")</f>
      </c>
      <c r="P84">
        <f t="shared" si="3"/>
      </c>
    </row>
    <row r="85" spans="1:16" x14ac:dyDescent="0.25">
      <c r="A85">
        <f>IF($O85="","",INDEX(Master!$D$2:$D$1001,$O85))</f>
      </c>
      <c r="B85">
        <f>IF($O85="","",INDEX(Master!$B$2:$B$1001,$O85))</f>
      </c>
      <c r="C85">
        <f>IF($O85="","",INDEX(Master!$C$2:$C$1001,$O85))</f>
      </c>
      <c r="D85">
        <f>IF($O85="","",INDEX(Master!$A$2:$A$1001,$O85))</f>
      </c>
      <c r="E85">
        <f>IF($O85="","",INDEX(Master!$E$2:$E$1001,$O85))</f>
      </c>
      <c r="F85">
        <f>IF($O85="","",INDEX(Master!$F$2:$F$1001,$O85))</f>
      </c>
      <c r="G85">
        <f>IF($O85="","",INDEX(Master!$G$2:$G$1001,$O85))</f>
      </c>
      <c r="H85">
        <f>IF($O85="","",INDEX(Master!$H$2:$H$1001,$O85))</f>
      </c>
      <c r="I85">
        <f>IF($O85="","",INDEX(Master!$I$2:$I$1001,$O85))</f>
      </c>
      <c r="J85">
        <f>IF($O85="","",INDEX(Master!$J$2:$J$1001,$O85))</f>
      </c>
      <c r="K85">
        <f t="shared" si="2"/>
      </c>
      <c r="L85">
        <f>IF($O85="","",INDEX(Master!$K$2:$K$1001,$O85))</f>
      </c>
      <c r="M85">
        <f>IF($O85="","",INDEX(Master!$L$2:$L$1001,$O85))</f>
      </c>
      <c r="O85">
        <f t="array" ref="O85">IFERROR(SMALL(IF((Master!$A$2:$A$1001="SHYAM METALLIKS")*(Master!$M$2:$M$1001="160 x 160 x 6MTR"),ROW(Master!$A$2:$A$1001)-ROW(Master!$A$2)+1),81),"")</f>
      </c>
      <c r="P85">
        <f t="shared" si="3"/>
      </c>
    </row>
    <row r="86" spans="1:16" x14ac:dyDescent="0.25">
      <c r="A86">
        <f>IF($O86="","",INDEX(Master!$D$2:$D$1001,$O86))</f>
      </c>
      <c r="B86">
        <f>IF($O86="","",INDEX(Master!$B$2:$B$1001,$O86))</f>
      </c>
      <c r="C86">
        <f>IF($O86="","",INDEX(Master!$C$2:$C$1001,$O86))</f>
      </c>
      <c r="D86">
        <f>IF($O86="","",INDEX(Master!$A$2:$A$1001,$O86))</f>
      </c>
      <c r="E86">
        <f>IF($O86="","",INDEX(Master!$E$2:$E$1001,$O86))</f>
      </c>
      <c r="F86">
        <f>IF($O86="","",INDEX(Master!$F$2:$F$1001,$O86))</f>
      </c>
      <c r="G86">
        <f>IF($O86="","",INDEX(Master!$G$2:$G$1001,$O86))</f>
      </c>
      <c r="H86">
        <f>IF($O86="","",INDEX(Master!$H$2:$H$1001,$O86))</f>
      </c>
      <c r="I86">
        <f>IF($O86="","",INDEX(Master!$I$2:$I$1001,$O86))</f>
      </c>
      <c r="J86">
        <f>IF($O86="","",INDEX(Master!$J$2:$J$1001,$O86))</f>
      </c>
      <c r="K86">
        <f t="shared" si="2"/>
      </c>
      <c r="L86">
        <f>IF($O86="","",INDEX(Master!$K$2:$K$1001,$O86))</f>
      </c>
      <c r="M86">
        <f>IF($O86="","",INDEX(Master!$L$2:$L$1001,$O86))</f>
      </c>
      <c r="O86">
        <f t="array" ref="O86">IFERROR(SMALL(IF((Master!$A$2:$A$1001="SHYAM METALLIKS")*(Master!$M$2:$M$1001="160 x 160 x 6MTR"),ROW(Master!$A$2:$A$1001)-ROW(Master!$A$2)+1),82),"")</f>
      </c>
      <c r="P86">
        <f t="shared" si="3"/>
      </c>
    </row>
    <row r="87" spans="1:16" x14ac:dyDescent="0.25">
      <c r="A87">
        <f>IF($O87="","",INDEX(Master!$D$2:$D$1001,$O87))</f>
      </c>
      <c r="B87">
        <f>IF($O87="","",INDEX(Master!$B$2:$B$1001,$O87))</f>
      </c>
      <c r="C87">
        <f>IF($O87="","",INDEX(Master!$C$2:$C$1001,$O87))</f>
      </c>
      <c r="D87">
        <f>IF($O87="","",INDEX(Master!$A$2:$A$1001,$O87))</f>
      </c>
      <c r="E87">
        <f>IF($O87="","",INDEX(Master!$E$2:$E$1001,$O87))</f>
      </c>
      <c r="F87">
        <f>IF($O87="","",INDEX(Master!$F$2:$F$1001,$O87))</f>
      </c>
      <c r="G87">
        <f>IF($O87="","",INDEX(Master!$G$2:$G$1001,$O87))</f>
      </c>
      <c r="H87">
        <f>IF($O87="","",INDEX(Master!$H$2:$H$1001,$O87))</f>
      </c>
      <c r="I87">
        <f>IF($O87="","",INDEX(Master!$I$2:$I$1001,$O87))</f>
      </c>
      <c r="J87">
        <f>IF($O87="","",INDEX(Master!$J$2:$J$1001,$O87))</f>
      </c>
      <c r="K87">
        <f t="shared" si="2"/>
      </c>
      <c r="L87">
        <f>IF($O87="","",INDEX(Master!$K$2:$K$1001,$O87))</f>
      </c>
      <c r="M87">
        <f>IF($O87="","",INDEX(Master!$L$2:$L$1001,$O87))</f>
      </c>
      <c r="O87">
        <f t="array" ref="O87">IFERROR(SMALL(IF((Master!$A$2:$A$1001="SHYAM METALLIKS")*(Master!$M$2:$M$1001="160 x 160 x 6MTR"),ROW(Master!$A$2:$A$1001)-ROW(Master!$A$2)+1),83),"")</f>
      </c>
      <c r="P87">
        <f t="shared" si="3"/>
      </c>
    </row>
    <row r="88" spans="1:16" x14ac:dyDescent="0.25">
      <c r="A88">
        <f>IF($O88="","",INDEX(Master!$D$2:$D$1001,$O88))</f>
      </c>
      <c r="B88">
        <f>IF($O88="","",INDEX(Master!$B$2:$B$1001,$O88))</f>
      </c>
      <c r="C88">
        <f>IF($O88="","",INDEX(Master!$C$2:$C$1001,$O88))</f>
      </c>
      <c r="D88">
        <f>IF($O88="","",INDEX(Master!$A$2:$A$1001,$O88))</f>
      </c>
      <c r="E88">
        <f>IF($O88="","",INDEX(Master!$E$2:$E$1001,$O88))</f>
      </c>
      <c r="F88">
        <f>IF($O88="","",INDEX(Master!$F$2:$F$1001,$O88))</f>
      </c>
      <c r="G88">
        <f>IF($O88="","",INDEX(Master!$G$2:$G$1001,$O88))</f>
      </c>
      <c r="H88">
        <f>IF($O88="","",INDEX(Master!$H$2:$H$1001,$O88))</f>
      </c>
      <c r="I88">
        <f>IF($O88="","",INDEX(Master!$I$2:$I$1001,$O88))</f>
      </c>
      <c r="J88">
        <f>IF($O88="","",INDEX(Master!$J$2:$J$1001,$O88))</f>
      </c>
      <c r="K88">
        <f t="shared" si="2"/>
      </c>
      <c r="L88">
        <f>IF($O88="","",INDEX(Master!$K$2:$K$1001,$O88))</f>
      </c>
      <c r="M88">
        <f>IF($O88="","",INDEX(Master!$L$2:$L$1001,$O88))</f>
      </c>
      <c r="O88">
        <f t="array" ref="O88">IFERROR(SMALL(IF((Master!$A$2:$A$1001="SHYAM METALLIKS")*(Master!$M$2:$M$1001="160 x 160 x 6MTR"),ROW(Master!$A$2:$A$1001)-ROW(Master!$A$2)+1),84),"")</f>
      </c>
      <c r="P88">
        <f t="shared" si="3"/>
      </c>
    </row>
    <row r="89" spans="1:16" x14ac:dyDescent="0.25">
      <c r="A89">
        <f>IF($O89="","",INDEX(Master!$D$2:$D$1001,$O89))</f>
      </c>
      <c r="B89">
        <f>IF($O89="","",INDEX(Master!$B$2:$B$1001,$O89))</f>
      </c>
      <c r="C89">
        <f>IF($O89="","",INDEX(Master!$C$2:$C$1001,$O89))</f>
      </c>
      <c r="D89">
        <f>IF($O89="","",INDEX(Master!$A$2:$A$1001,$O89))</f>
      </c>
      <c r="E89">
        <f>IF($O89="","",INDEX(Master!$E$2:$E$1001,$O89))</f>
      </c>
      <c r="F89">
        <f>IF($O89="","",INDEX(Master!$F$2:$F$1001,$O89))</f>
      </c>
      <c r="G89">
        <f>IF($O89="","",INDEX(Master!$G$2:$G$1001,$O89))</f>
      </c>
      <c r="H89">
        <f>IF($O89="","",INDEX(Master!$H$2:$H$1001,$O89))</f>
      </c>
      <c r="I89">
        <f>IF($O89="","",INDEX(Master!$I$2:$I$1001,$O89))</f>
      </c>
      <c r="J89">
        <f>IF($O89="","",INDEX(Master!$J$2:$J$1001,$O89))</f>
      </c>
      <c r="K89">
        <f t="shared" si="2"/>
      </c>
      <c r="L89">
        <f>IF($O89="","",INDEX(Master!$K$2:$K$1001,$O89))</f>
      </c>
      <c r="M89">
        <f>IF($O89="","",INDEX(Master!$L$2:$L$1001,$O89))</f>
      </c>
      <c r="O89">
        <f t="array" ref="O89">IFERROR(SMALL(IF((Master!$A$2:$A$1001="SHYAM METALLIKS")*(Master!$M$2:$M$1001="160 x 160 x 6MTR"),ROW(Master!$A$2:$A$1001)-ROW(Master!$A$2)+1),85),"")</f>
      </c>
      <c r="P89">
        <f t="shared" si="3"/>
      </c>
    </row>
    <row r="90" spans="1:16" x14ac:dyDescent="0.25">
      <c r="A90">
        <f>IF($O90="","",INDEX(Master!$D$2:$D$1001,$O90))</f>
      </c>
      <c r="B90">
        <f>IF($O90="","",INDEX(Master!$B$2:$B$1001,$O90))</f>
      </c>
      <c r="C90">
        <f>IF($O90="","",INDEX(Master!$C$2:$C$1001,$O90))</f>
      </c>
      <c r="D90">
        <f>IF($O90="","",INDEX(Master!$A$2:$A$1001,$O90))</f>
      </c>
      <c r="E90">
        <f>IF($O90="","",INDEX(Master!$E$2:$E$1001,$O90))</f>
      </c>
      <c r="F90">
        <f>IF($O90="","",INDEX(Master!$F$2:$F$1001,$O90))</f>
      </c>
      <c r="G90">
        <f>IF($O90="","",INDEX(Master!$G$2:$G$1001,$O90))</f>
      </c>
      <c r="H90">
        <f>IF($O90="","",INDEX(Master!$H$2:$H$1001,$O90))</f>
      </c>
      <c r="I90">
        <f>IF($O90="","",INDEX(Master!$I$2:$I$1001,$O90))</f>
      </c>
      <c r="J90">
        <f>IF($O90="","",INDEX(Master!$J$2:$J$1001,$O90))</f>
      </c>
      <c r="K90">
        <f t="shared" si="2"/>
      </c>
      <c r="L90">
        <f>IF($O90="","",INDEX(Master!$K$2:$K$1001,$O90))</f>
      </c>
      <c r="M90">
        <f>IF($O90="","",INDEX(Master!$L$2:$L$1001,$O90))</f>
      </c>
      <c r="O90">
        <f t="array" ref="O90">IFERROR(SMALL(IF((Master!$A$2:$A$1001="SHYAM METALLIKS")*(Master!$M$2:$M$1001="160 x 160 x 6MTR"),ROW(Master!$A$2:$A$1001)-ROW(Master!$A$2)+1),86),"")</f>
      </c>
      <c r="P90">
        <f t="shared" si="3"/>
      </c>
    </row>
    <row r="91" spans="1:16" x14ac:dyDescent="0.25">
      <c r="A91">
        <f>IF($O91="","",INDEX(Master!$D$2:$D$1001,$O91))</f>
      </c>
      <c r="B91">
        <f>IF($O91="","",INDEX(Master!$B$2:$B$1001,$O91))</f>
      </c>
      <c r="C91">
        <f>IF($O91="","",INDEX(Master!$C$2:$C$1001,$O91))</f>
      </c>
      <c r="D91">
        <f>IF($O91="","",INDEX(Master!$A$2:$A$1001,$O91))</f>
      </c>
      <c r="E91">
        <f>IF($O91="","",INDEX(Master!$E$2:$E$1001,$O91))</f>
      </c>
      <c r="F91">
        <f>IF($O91="","",INDEX(Master!$F$2:$F$1001,$O91))</f>
      </c>
      <c r="G91">
        <f>IF($O91="","",INDEX(Master!$G$2:$G$1001,$O91))</f>
      </c>
      <c r="H91">
        <f>IF($O91="","",INDEX(Master!$H$2:$H$1001,$O91))</f>
      </c>
      <c r="I91">
        <f>IF($O91="","",INDEX(Master!$I$2:$I$1001,$O91))</f>
      </c>
      <c r="J91">
        <f>IF($O91="","",INDEX(Master!$J$2:$J$1001,$O91))</f>
      </c>
      <c r="K91">
        <f t="shared" si="2"/>
      </c>
      <c r="L91">
        <f>IF($O91="","",INDEX(Master!$K$2:$K$1001,$O91))</f>
      </c>
      <c r="M91">
        <f>IF($O91="","",INDEX(Master!$L$2:$L$1001,$O91))</f>
      </c>
      <c r="O91">
        <f t="array" ref="O91">IFERROR(SMALL(IF((Master!$A$2:$A$1001="SHYAM METALLIKS")*(Master!$M$2:$M$1001="160 x 160 x 6MTR"),ROW(Master!$A$2:$A$1001)-ROW(Master!$A$2)+1),87),"")</f>
      </c>
      <c r="P91">
        <f t="shared" si="3"/>
      </c>
    </row>
    <row r="92" spans="1:16" x14ac:dyDescent="0.25">
      <c r="A92">
        <f>IF($O92="","",INDEX(Master!$D$2:$D$1001,$O92))</f>
      </c>
      <c r="B92">
        <f>IF($O92="","",INDEX(Master!$B$2:$B$1001,$O92))</f>
      </c>
      <c r="C92">
        <f>IF($O92="","",INDEX(Master!$C$2:$C$1001,$O92))</f>
      </c>
      <c r="D92">
        <f>IF($O92="","",INDEX(Master!$A$2:$A$1001,$O92))</f>
      </c>
      <c r="E92">
        <f>IF($O92="","",INDEX(Master!$E$2:$E$1001,$O92))</f>
      </c>
      <c r="F92">
        <f>IF($O92="","",INDEX(Master!$F$2:$F$1001,$O92))</f>
      </c>
      <c r="G92">
        <f>IF($O92="","",INDEX(Master!$G$2:$G$1001,$O92))</f>
      </c>
      <c r="H92">
        <f>IF($O92="","",INDEX(Master!$H$2:$H$1001,$O92))</f>
      </c>
      <c r="I92">
        <f>IF($O92="","",INDEX(Master!$I$2:$I$1001,$O92))</f>
      </c>
      <c r="J92">
        <f>IF($O92="","",INDEX(Master!$J$2:$J$1001,$O92))</f>
      </c>
      <c r="K92">
        <f t="shared" si="2"/>
      </c>
      <c r="L92">
        <f>IF($O92="","",INDEX(Master!$K$2:$K$1001,$O92))</f>
      </c>
      <c r="M92">
        <f>IF($O92="","",INDEX(Master!$L$2:$L$1001,$O92))</f>
      </c>
      <c r="O92">
        <f t="array" ref="O92">IFERROR(SMALL(IF((Master!$A$2:$A$1001="SHYAM METALLIKS")*(Master!$M$2:$M$1001="160 x 160 x 6MTR"),ROW(Master!$A$2:$A$1001)-ROW(Master!$A$2)+1),88),"")</f>
      </c>
      <c r="P92">
        <f t="shared" si="3"/>
      </c>
    </row>
    <row r="93" spans="1:16" x14ac:dyDescent="0.25">
      <c r="A93">
        <f>IF($O93="","",INDEX(Master!$D$2:$D$1001,$O93))</f>
      </c>
      <c r="B93">
        <f>IF($O93="","",INDEX(Master!$B$2:$B$1001,$O93))</f>
      </c>
      <c r="C93">
        <f>IF($O93="","",INDEX(Master!$C$2:$C$1001,$O93))</f>
      </c>
      <c r="D93">
        <f>IF($O93="","",INDEX(Master!$A$2:$A$1001,$O93))</f>
      </c>
      <c r="E93">
        <f>IF($O93="","",INDEX(Master!$E$2:$E$1001,$O93))</f>
      </c>
      <c r="F93">
        <f>IF($O93="","",INDEX(Master!$F$2:$F$1001,$O93))</f>
      </c>
      <c r="G93">
        <f>IF($O93="","",INDEX(Master!$G$2:$G$1001,$O93))</f>
      </c>
      <c r="H93">
        <f>IF($O93="","",INDEX(Master!$H$2:$H$1001,$O93))</f>
      </c>
      <c r="I93">
        <f>IF($O93="","",INDEX(Master!$I$2:$I$1001,$O93))</f>
      </c>
      <c r="J93">
        <f>IF($O93="","",INDEX(Master!$J$2:$J$1001,$O93))</f>
      </c>
      <c r="K93">
        <f t="shared" si="2"/>
      </c>
      <c r="L93">
        <f>IF($O93="","",INDEX(Master!$K$2:$K$1001,$O93))</f>
      </c>
      <c r="M93">
        <f>IF($O93="","",INDEX(Master!$L$2:$L$1001,$O93))</f>
      </c>
      <c r="O93">
        <f t="array" ref="O93">IFERROR(SMALL(IF((Master!$A$2:$A$1001="SHYAM METALLIKS")*(Master!$M$2:$M$1001="160 x 160 x 6MTR"),ROW(Master!$A$2:$A$1001)-ROW(Master!$A$2)+1),89),"")</f>
      </c>
      <c r="P93">
        <f t="shared" si="3"/>
      </c>
    </row>
    <row r="94" spans="1:16" x14ac:dyDescent="0.25">
      <c r="A94">
        <f>IF($O94="","",INDEX(Master!$D$2:$D$1001,$O94))</f>
      </c>
      <c r="B94">
        <f>IF($O94="","",INDEX(Master!$B$2:$B$1001,$O94))</f>
      </c>
      <c r="C94">
        <f>IF($O94="","",INDEX(Master!$C$2:$C$1001,$O94))</f>
      </c>
      <c r="D94">
        <f>IF($O94="","",INDEX(Master!$A$2:$A$1001,$O94))</f>
      </c>
      <c r="E94">
        <f>IF($O94="","",INDEX(Master!$E$2:$E$1001,$O94))</f>
      </c>
      <c r="F94">
        <f>IF($O94="","",INDEX(Master!$F$2:$F$1001,$O94))</f>
      </c>
      <c r="G94">
        <f>IF($O94="","",INDEX(Master!$G$2:$G$1001,$O94))</f>
      </c>
      <c r="H94">
        <f>IF($O94="","",INDEX(Master!$H$2:$H$1001,$O94))</f>
      </c>
      <c r="I94">
        <f>IF($O94="","",INDEX(Master!$I$2:$I$1001,$O94))</f>
      </c>
      <c r="J94">
        <f>IF($O94="","",INDEX(Master!$J$2:$J$1001,$O94))</f>
      </c>
      <c r="K94">
        <f t="shared" si="2"/>
      </c>
      <c r="L94">
        <f>IF($O94="","",INDEX(Master!$K$2:$K$1001,$O94))</f>
      </c>
      <c r="M94">
        <f>IF($O94="","",INDEX(Master!$L$2:$L$1001,$O94))</f>
      </c>
      <c r="O94">
        <f t="array" ref="O94">IFERROR(SMALL(IF((Master!$A$2:$A$1001="SHYAM METALLIKS")*(Master!$M$2:$M$1001="160 x 160 x 6MTR"),ROW(Master!$A$2:$A$1001)-ROW(Master!$A$2)+1),90),"")</f>
      </c>
      <c r="P94">
        <f t="shared" si="3"/>
      </c>
    </row>
    <row r="95" spans="1:16" x14ac:dyDescent="0.25">
      <c r="A95">
        <f>IF($O95="","",INDEX(Master!$D$2:$D$1001,$O95))</f>
      </c>
      <c r="B95">
        <f>IF($O95="","",INDEX(Master!$B$2:$B$1001,$O95))</f>
      </c>
      <c r="C95">
        <f>IF($O95="","",INDEX(Master!$C$2:$C$1001,$O95))</f>
      </c>
      <c r="D95">
        <f>IF($O95="","",INDEX(Master!$A$2:$A$1001,$O95))</f>
      </c>
      <c r="E95">
        <f>IF($O95="","",INDEX(Master!$E$2:$E$1001,$O95))</f>
      </c>
      <c r="F95">
        <f>IF($O95="","",INDEX(Master!$F$2:$F$1001,$O95))</f>
      </c>
      <c r="G95">
        <f>IF($O95="","",INDEX(Master!$G$2:$G$1001,$O95))</f>
      </c>
      <c r="H95">
        <f>IF($O95="","",INDEX(Master!$H$2:$H$1001,$O95))</f>
      </c>
      <c r="I95">
        <f>IF($O95="","",INDEX(Master!$I$2:$I$1001,$O95))</f>
      </c>
      <c r="J95">
        <f>IF($O95="","",INDEX(Master!$J$2:$J$1001,$O95))</f>
      </c>
      <c r="K95">
        <f t="shared" si="2"/>
      </c>
      <c r="L95">
        <f>IF($O95="","",INDEX(Master!$K$2:$K$1001,$O95))</f>
      </c>
      <c r="M95">
        <f>IF($O95="","",INDEX(Master!$L$2:$L$1001,$O95))</f>
      </c>
      <c r="O95">
        <f t="array" ref="O95">IFERROR(SMALL(IF((Master!$A$2:$A$1001="SHYAM METALLIKS")*(Master!$M$2:$M$1001="160 x 160 x 6MTR"),ROW(Master!$A$2:$A$1001)-ROW(Master!$A$2)+1),91),"")</f>
      </c>
      <c r="P95">
        <f t="shared" si="3"/>
      </c>
    </row>
    <row r="96" spans="1:16" x14ac:dyDescent="0.25">
      <c r="A96">
        <f>IF($O96="","",INDEX(Master!$D$2:$D$1001,$O96))</f>
      </c>
      <c r="B96">
        <f>IF($O96="","",INDEX(Master!$B$2:$B$1001,$O96))</f>
      </c>
      <c r="C96">
        <f>IF($O96="","",INDEX(Master!$C$2:$C$1001,$O96))</f>
      </c>
      <c r="D96">
        <f>IF($O96="","",INDEX(Master!$A$2:$A$1001,$O96))</f>
      </c>
      <c r="E96">
        <f>IF($O96="","",INDEX(Master!$E$2:$E$1001,$O96))</f>
      </c>
      <c r="F96">
        <f>IF($O96="","",INDEX(Master!$F$2:$F$1001,$O96))</f>
      </c>
      <c r="G96">
        <f>IF($O96="","",INDEX(Master!$G$2:$G$1001,$O96))</f>
      </c>
      <c r="H96">
        <f>IF($O96="","",INDEX(Master!$H$2:$H$1001,$O96))</f>
      </c>
      <c r="I96">
        <f>IF($O96="","",INDEX(Master!$I$2:$I$1001,$O96))</f>
      </c>
      <c r="J96">
        <f>IF($O96="","",INDEX(Master!$J$2:$J$1001,$O96))</f>
      </c>
      <c r="K96">
        <f t="shared" si="2"/>
      </c>
      <c r="L96">
        <f>IF($O96="","",INDEX(Master!$K$2:$K$1001,$O96))</f>
      </c>
      <c r="M96">
        <f>IF($O96="","",INDEX(Master!$L$2:$L$1001,$O96))</f>
      </c>
      <c r="O96">
        <f t="array" ref="O96">IFERROR(SMALL(IF((Master!$A$2:$A$1001="SHYAM METALLIKS")*(Master!$M$2:$M$1001="160 x 160 x 6MTR"),ROW(Master!$A$2:$A$1001)-ROW(Master!$A$2)+1),92),"")</f>
      </c>
      <c r="P96">
        <f t="shared" si="3"/>
      </c>
    </row>
    <row r="97" spans="1:16" x14ac:dyDescent="0.25">
      <c r="A97">
        <f>IF($O97="","",INDEX(Master!$D$2:$D$1001,$O97))</f>
      </c>
      <c r="B97">
        <f>IF($O97="","",INDEX(Master!$B$2:$B$1001,$O97))</f>
      </c>
      <c r="C97">
        <f>IF($O97="","",INDEX(Master!$C$2:$C$1001,$O97))</f>
      </c>
      <c r="D97">
        <f>IF($O97="","",INDEX(Master!$A$2:$A$1001,$O97))</f>
      </c>
      <c r="E97">
        <f>IF($O97="","",INDEX(Master!$E$2:$E$1001,$O97))</f>
      </c>
      <c r="F97">
        <f>IF($O97="","",INDEX(Master!$F$2:$F$1001,$O97))</f>
      </c>
      <c r="G97">
        <f>IF($O97="","",INDEX(Master!$G$2:$G$1001,$O97))</f>
      </c>
      <c r="H97">
        <f>IF($O97="","",INDEX(Master!$H$2:$H$1001,$O97))</f>
      </c>
      <c r="I97">
        <f>IF($O97="","",INDEX(Master!$I$2:$I$1001,$O97))</f>
      </c>
      <c r="J97">
        <f>IF($O97="","",INDEX(Master!$J$2:$J$1001,$O97))</f>
      </c>
      <c r="K97">
        <f t="shared" si="2"/>
      </c>
      <c r="L97">
        <f>IF($O97="","",INDEX(Master!$K$2:$K$1001,$O97))</f>
      </c>
      <c r="M97">
        <f>IF($O97="","",INDEX(Master!$L$2:$L$1001,$O97))</f>
      </c>
      <c r="O97">
        <f t="array" ref="O97">IFERROR(SMALL(IF((Master!$A$2:$A$1001="SHYAM METALLIKS")*(Master!$M$2:$M$1001="160 x 160 x 6MTR"),ROW(Master!$A$2:$A$1001)-ROW(Master!$A$2)+1),93),"")</f>
      </c>
      <c r="P97">
        <f t="shared" si="3"/>
      </c>
    </row>
    <row r="98" spans="1:16" x14ac:dyDescent="0.25">
      <c r="A98">
        <f>IF($O98="","",INDEX(Master!$D$2:$D$1001,$O98))</f>
      </c>
      <c r="B98">
        <f>IF($O98="","",INDEX(Master!$B$2:$B$1001,$O98))</f>
      </c>
      <c r="C98">
        <f>IF($O98="","",INDEX(Master!$C$2:$C$1001,$O98))</f>
      </c>
      <c r="D98">
        <f>IF($O98="","",INDEX(Master!$A$2:$A$1001,$O98))</f>
      </c>
      <c r="E98">
        <f>IF($O98="","",INDEX(Master!$E$2:$E$1001,$O98))</f>
      </c>
      <c r="F98">
        <f>IF($O98="","",INDEX(Master!$F$2:$F$1001,$O98))</f>
      </c>
      <c r="G98">
        <f>IF($O98="","",INDEX(Master!$G$2:$G$1001,$O98))</f>
      </c>
      <c r="H98">
        <f>IF($O98="","",INDEX(Master!$H$2:$H$1001,$O98))</f>
      </c>
      <c r="I98">
        <f>IF($O98="","",INDEX(Master!$I$2:$I$1001,$O98))</f>
      </c>
      <c r="J98">
        <f>IF($O98="","",INDEX(Master!$J$2:$J$1001,$O98))</f>
      </c>
      <c r="K98">
        <f t="shared" si="2"/>
      </c>
      <c r="L98">
        <f>IF($O98="","",INDEX(Master!$K$2:$K$1001,$O98))</f>
      </c>
      <c r="M98">
        <f>IF($O98="","",INDEX(Master!$L$2:$L$1001,$O98))</f>
      </c>
      <c r="O98">
        <f t="array" ref="O98">IFERROR(SMALL(IF((Master!$A$2:$A$1001="SHYAM METALLIKS")*(Master!$M$2:$M$1001="160 x 160 x 6MTR"),ROW(Master!$A$2:$A$1001)-ROW(Master!$A$2)+1),94),"")</f>
      </c>
      <c r="P98">
        <f t="shared" si="3"/>
      </c>
    </row>
    <row r="99" spans="1:16" x14ac:dyDescent="0.25">
      <c r="A99">
        <f>IF($O99="","",INDEX(Master!$D$2:$D$1001,$O99))</f>
      </c>
      <c r="B99">
        <f>IF($O99="","",INDEX(Master!$B$2:$B$1001,$O99))</f>
      </c>
      <c r="C99">
        <f>IF($O99="","",INDEX(Master!$C$2:$C$1001,$O99))</f>
      </c>
      <c r="D99">
        <f>IF($O99="","",INDEX(Master!$A$2:$A$1001,$O99))</f>
      </c>
      <c r="E99">
        <f>IF($O99="","",INDEX(Master!$E$2:$E$1001,$O99))</f>
      </c>
      <c r="F99">
        <f>IF($O99="","",INDEX(Master!$F$2:$F$1001,$O99))</f>
      </c>
      <c r="G99">
        <f>IF($O99="","",INDEX(Master!$G$2:$G$1001,$O99))</f>
      </c>
      <c r="H99">
        <f>IF($O99="","",INDEX(Master!$H$2:$H$1001,$O99))</f>
      </c>
      <c r="I99">
        <f>IF($O99="","",INDEX(Master!$I$2:$I$1001,$O99))</f>
      </c>
      <c r="J99">
        <f>IF($O99="","",INDEX(Master!$J$2:$J$1001,$O99))</f>
      </c>
      <c r="K99">
        <f t="shared" si="2"/>
      </c>
      <c r="L99">
        <f>IF($O99="","",INDEX(Master!$K$2:$K$1001,$O99))</f>
      </c>
      <c r="M99">
        <f>IF($O99="","",INDEX(Master!$L$2:$L$1001,$O99))</f>
      </c>
      <c r="O99">
        <f t="array" ref="O99">IFERROR(SMALL(IF((Master!$A$2:$A$1001="SHYAM METALLIKS")*(Master!$M$2:$M$1001="160 x 160 x 6MTR"),ROW(Master!$A$2:$A$1001)-ROW(Master!$A$2)+1),95),"")</f>
      </c>
      <c r="P99">
        <f t="shared" si="3"/>
      </c>
    </row>
    <row r="100" spans="1:16" x14ac:dyDescent="0.25">
      <c r="A100">
        <f>IF($O100="","",INDEX(Master!$D$2:$D$1001,$O100))</f>
      </c>
      <c r="B100">
        <f>IF($O100="","",INDEX(Master!$B$2:$B$1001,$O100))</f>
      </c>
      <c r="C100">
        <f>IF($O100="","",INDEX(Master!$C$2:$C$1001,$O100))</f>
      </c>
      <c r="D100">
        <f>IF($O100="","",INDEX(Master!$A$2:$A$1001,$O100))</f>
      </c>
      <c r="E100">
        <f>IF($O100="","",INDEX(Master!$E$2:$E$1001,$O100))</f>
      </c>
      <c r="F100">
        <f>IF($O100="","",INDEX(Master!$F$2:$F$1001,$O100))</f>
      </c>
      <c r="G100">
        <f>IF($O100="","",INDEX(Master!$G$2:$G$1001,$O100))</f>
      </c>
      <c r="H100">
        <f>IF($O100="","",INDEX(Master!$H$2:$H$1001,$O100))</f>
      </c>
      <c r="I100">
        <f>IF($O100="","",INDEX(Master!$I$2:$I$1001,$O100))</f>
      </c>
      <c r="J100">
        <f>IF($O100="","",INDEX(Master!$J$2:$J$1001,$O100))</f>
      </c>
      <c r="K100">
        <f t="shared" si="2"/>
      </c>
      <c r="L100">
        <f>IF($O100="","",INDEX(Master!$K$2:$K$1001,$O100))</f>
      </c>
      <c r="M100">
        <f>IF($O100="","",INDEX(Master!$L$2:$L$1001,$O100))</f>
      </c>
      <c r="O100">
        <f t="array" ref="O100">IFERROR(SMALL(IF((Master!$A$2:$A$1001="SHYAM METALLIKS")*(Master!$M$2:$M$1001="160 x 160 x 6MTR"),ROW(Master!$A$2:$A$1001)-ROW(Master!$A$2)+1),96),"")</f>
      </c>
      <c r="P100">
        <f t="shared" si="3"/>
      </c>
    </row>
    <row r="101" spans="1:16" x14ac:dyDescent="0.25">
      <c r="A101">
        <f>IF($O101="","",INDEX(Master!$D$2:$D$1001,$O101))</f>
      </c>
      <c r="B101">
        <f>IF($O101="","",INDEX(Master!$B$2:$B$1001,$O101))</f>
      </c>
      <c r="C101">
        <f>IF($O101="","",INDEX(Master!$C$2:$C$1001,$O101))</f>
      </c>
      <c r="D101">
        <f>IF($O101="","",INDEX(Master!$A$2:$A$1001,$O101))</f>
      </c>
      <c r="E101">
        <f>IF($O101="","",INDEX(Master!$E$2:$E$1001,$O101))</f>
      </c>
      <c r="F101">
        <f>IF($O101="","",INDEX(Master!$F$2:$F$1001,$O101))</f>
      </c>
      <c r="G101">
        <f>IF($O101="","",INDEX(Master!$G$2:$G$1001,$O101))</f>
      </c>
      <c r="H101">
        <f>IF($O101="","",INDEX(Master!$H$2:$H$1001,$O101))</f>
      </c>
      <c r="I101">
        <f>IF($O101="","",INDEX(Master!$I$2:$I$1001,$O101))</f>
      </c>
      <c r="J101">
        <f>IF($O101="","",INDEX(Master!$J$2:$J$1001,$O101))</f>
      </c>
      <c r="K101">
        <f t="shared" si="2"/>
      </c>
      <c r="L101">
        <f>IF($O101="","",INDEX(Master!$K$2:$K$1001,$O101))</f>
      </c>
      <c r="M101">
        <f>IF($O101="","",INDEX(Master!$L$2:$L$1001,$O101))</f>
      </c>
      <c r="O101">
        <f t="array" ref="O101">IFERROR(SMALL(IF((Master!$A$2:$A$1001="SHYAM METALLIKS")*(Master!$M$2:$M$1001="160 x 160 x 6MTR"),ROW(Master!$A$2:$A$1001)-ROW(Master!$A$2)+1),97),"")</f>
      </c>
      <c r="P101">
        <f t="shared" si="3"/>
      </c>
    </row>
    <row r="102" spans="1:16" x14ac:dyDescent="0.25">
      <c r="A102">
        <f>IF($O102="","",INDEX(Master!$D$2:$D$1001,$O102))</f>
      </c>
      <c r="B102">
        <f>IF($O102="","",INDEX(Master!$B$2:$B$1001,$O102))</f>
      </c>
      <c r="C102">
        <f>IF($O102="","",INDEX(Master!$C$2:$C$1001,$O102))</f>
      </c>
      <c r="D102">
        <f>IF($O102="","",INDEX(Master!$A$2:$A$1001,$O102))</f>
      </c>
      <c r="E102">
        <f>IF($O102="","",INDEX(Master!$E$2:$E$1001,$O102))</f>
      </c>
      <c r="F102">
        <f>IF($O102="","",INDEX(Master!$F$2:$F$1001,$O102))</f>
      </c>
      <c r="G102">
        <f>IF($O102="","",INDEX(Master!$G$2:$G$1001,$O102))</f>
      </c>
      <c r="H102">
        <f>IF($O102="","",INDEX(Master!$H$2:$H$1001,$O102))</f>
      </c>
      <c r="I102">
        <f>IF($O102="","",INDEX(Master!$I$2:$I$1001,$O102))</f>
      </c>
      <c r="J102">
        <f>IF($O102="","",INDEX(Master!$J$2:$J$1001,$O102))</f>
      </c>
      <c r="K102">
        <f t="shared" si="2"/>
      </c>
      <c r="L102">
        <f>IF($O102="","",INDEX(Master!$K$2:$K$1001,$O102))</f>
      </c>
      <c r="M102">
        <f>IF($O102="","",INDEX(Master!$L$2:$L$1001,$O102))</f>
      </c>
      <c r="O102">
        <f t="array" ref="O102">IFERROR(SMALL(IF((Master!$A$2:$A$1001="SHYAM METALLIKS")*(Master!$M$2:$M$1001="160 x 160 x 6MTR"),ROW(Master!$A$2:$A$1001)-ROW(Master!$A$2)+1),98),"")</f>
      </c>
      <c r="P102">
        <f t="shared" si="3"/>
      </c>
    </row>
    <row r="103" spans="1:16" x14ac:dyDescent="0.25">
      <c r="A103">
        <f>IF($O103="","",INDEX(Master!$D$2:$D$1001,$O103))</f>
      </c>
      <c r="B103">
        <f>IF($O103="","",INDEX(Master!$B$2:$B$1001,$O103))</f>
      </c>
      <c r="C103">
        <f>IF($O103="","",INDEX(Master!$C$2:$C$1001,$O103))</f>
      </c>
      <c r="D103">
        <f>IF($O103="","",INDEX(Master!$A$2:$A$1001,$O103))</f>
      </c>
      <c r="E103">
        <f>IF($O103="","",INDEX(Master!$E$2:$E$1001,$O103))</f>
      </c>
      <c r="F103">
        <f>IF($O103="","",INDEX(Master!$F$2:$F$1001,$O103))</f>
      </c>
      <c r="G103">
        <f>IF($O103="","",INDEX(Master!$G$2:$G$1001,$O103))</f>
      </c>
      <c r="H103">
        <f>IF($O103="","",INDEX(Master!$H$2:$H$1001,$O103))</f>
      </c>
      <c r="I103">
        <f>IF($O103="","",INDEX(Master!$I$2:$I$1001,$O103))</f>
      </c>
      <c r="J103">
        <f>IF($O103="","",INDEX(Master!$J$2:$J$1001,$O103))</f>
      </c>
      <c r="K103">
        <f t="shared" si="2"/>
      </c>
      <c r="L103">
        <f>IF($O103="","",INDEX(Master!$K$2:$K$1001,$O103))</f>
      </c>
      <c r="M103">
        <f>IF($O103="","",INDEX(Master!$L$2:$L$1001,$O103))</f>
      </c>
      <c r="O103">
        <f t="array" ref="O103">IFERROR(SMALL(IF((Master!$A$2:$A$1001="SHYAM METALLIKS")*(Master!$M$2:$M$1001="160 x 160 x 6MTR"),ROW(Master!$A$2:$A$1001)-ROW(Master!$A$2)+1),99),"")</f>
      </c>
      <c r="P103">
        <f t="shared" si="3"/>
      </c>
    </row>
    <row r="104" spans="1:16" x14ac:dyDescent="0.25">
      <c r="A104">
        <f>IF($O104="","",INDEX(Master!$D$2:$D$1001,$O104))</f>
      </c>
      <c r="B104">
        <f>IF($O104="","",INDEX(Master!$B$2:$B$1001,$O104))</f>
      </c>
      <c r="C104">
        <f>IF($O104="","",INDEX(Master!$C$2:$C$1001,$O104))</f>
      </c>
      <c r="D104">
        <f>IF($O104="","",INDEX(Master!$A$2:$A$1001,$O104))</f>
      </c>
      <c r="E104">
        <f>IF($O104="","",INDEX(Master!$E$2:$E$1001,$O104))</f>
      </c>
      <c r="F104">
        <f>IF($O104="","",INDEX(Master!$F$2:$F$1001,$O104))</f>
      </c>
      <c r="G104">
        <f>IF($O104="","",INDEX(Master!$G$2:$G$1001,$O104))</f>
      </c>
      <c r="H104">
        <f>IF($O104="","",INDEX(Master!$H$2:$H$1001,$O104))</f>
      </c>
      <c r="I104">
        <f>IF($O104="","",INDEX(Master!$I$2:$I$1001,$O104))</f>
      </c>
      <c r="J104">
        <f>IF($O104="","",INDEX(Master!$J$2:$J$1001,$O104))</f>
      </c>
      <c r="K104">
        <f t="shared" si="2"/>
      </c>
      <c r="L104">
        <f>IF($O104="","",INDEX(Master!$K$2:$K$1001,$O104))</f>
      </c>
      <c r="M104">
        <f>IF($O104="","",INDEX(Master!$L$2:$L$1001,$O104))</f>
      </c>
      <c r="O104">
        <f t="array" ref="O104">IFERROR(SMALL(IF((Master!$A$2:$A$1001="SHYAM METALLIKS")*(Master!$M$2:$M$1001="160 x 160 x 6MTR"),ROW(Master!$A$2:$A$1001)-ROW(Master!$A$2)+1),100),"")</f>
      </c>
      <c r="P104">
        <f t="shared" si="3"/>
      </c>
    </row>
    <row r="105" spans="1:16" x14ac:dyDescent="0.25">
      <c r="A105">
        <f>IF($O105="","",INDEX(Master!$D$2:$D$1001,$O105))</f>
      </c>
      <c r="B105">
        <f>IF($O105="","",INDEX(Master!$B$2:$B$1001,$O105))</f>
      </c>
      <c r="C105">
        <f>IF($O105="","",INDEX(Master!$C$2:$C$1001,$O105))</f>
      </c>
      <c r="D105">
        <f>IF($O105="","",INDEX(Master!$A$2:$A$1001,$O105))</f>
      </c>
      <c r="E105">
        <f>IF($O105="","",INDEX(Master!$E$2:$E$1001,$O105))</f>
      </c>
      <c r="F105">
        <f>IF($O105="","",INDEX(Master!$F$2:$F$1001,$O105))</f>
      </c>
      <c r="G105">
        <f>IF($O105="","",INDEX(Master!$G$2:$G$1001,$O105))</f>
      </c>
      <c r="H105">
        <f>IF($O105="","",INDEX(Master!$H$2:$H$1001,$O105))</f>
      </c>
      <c r="I105">
        <f>IF($O105="","",INDEX(Master!$I$2:$I$1001,$O105))</f>
      </c>
      <c r="J105">
        <f>IF($O105="","",INDEX(Master!$J$2:$J$1001,$O105))</f>
      </c>
      <c r="K105">
        <f t="shared" si="2"/>
      </c>
      <c r="L105">
        <f>IF($O105="","",INDEX(Master!$K$2:$K$1001,$O105))</f>
      </c>
      <c r="M105">
        <f>IF($O105="","",INDEX(Master!$L$2:$L$1001,$O105))</f>
      </c>
      <c r="O105">
        <f t="array" ref="O105">IFERROR(SMALL(IF((Master!$A$2:$A$1001="SHYAM METALLIKS")*(Master!$M$2:$M$1001="160 x 160 x 6MTR"),ROW(Master!$A$2:$A$1001)-ROW(Master!$A$2)+1),101),"")</f>
      </c>
      <c r="P105">
        <f t="shared" si="3"/>
      </c>
    </row>
    <row r="106" spans="1:16" x14ac:dyDescent="0.25">
      <c r="A106">
        <f>IF($O106="","",INDEX(Master!$D$2:$D$1001,$O106))</f>
      </c>
      <c r="B106">
        <f>IF($O106="","",INDEX(Master!$B$2:$B$1001,$O106))</f>
      </c>
      <c r="C106">
        <f>IF($O106="","",INDEX(Master!$C$2:$C$1001,$O106))</f>
      </c>
      <c r="D106">
        <f>IF($O106="","",INDEX(Master!$A$2:$A$1001,$O106))</f>
      </c>
      <c r="E106">
        <f>IF($O106="","",INDEX(Master!$E$2:$E$1001,$O106))</f>
      </c>
      <c r="F106">
        <f>IF($O106="","",INDEX(Master!$F$2:$F$1001,$O106))</f>
      </c>
      <c r="G106">
        <f>IF($O106="","",INDEX(Master!$G$2:$G$1001,$O106))</f>
      </c>
      <c r="H106">
        <f>IF($O106="","",INDEX(Master!$H$2:$H$1001,$O106))</f>
      </c>
      <c r="I106">
        <f>IF($O106="","",INDEX(Master!$I$2:$I$1001,$O106))</f>
      </c>
      <c r="J106">
        <f>IF($O106="","",INDEX(Master!$J$2:$J$1001,$O106))</f>
      </c>
      <c r="K106">
        <f t="shared" si="2"/>
      </c>
      <c r="L106">
        <f>IF($O106="","",INDEX(Master!$K$2:$K$1001,$O106))</f>
      </c>
      <c r="M106">
        <f>IF($O106="","",INDEX(Master!$L$2:$L$1001,$O106))</f>
      </c>
      <c r="O106">
        <f t="array" ref="O106">IFERROR(SMALL(IF((Master!$A$2:$A$1001="SHYAM METALLIKS")*(Master!$M$2:$M$1001="160 x 160 x 6MTR"),ROW(Master!$A$2:$A$1001)-ROW(Master!$A$2)+1),102),"")</f>
      </c>
      <c r="P106">
        <f t="shared" si="3"/>
      </c>
    </row>
    <row r="107" spans="1:16" x14ac:dyDescent="0.25">
      <c r="A107">
        <f>IF($O107="","",INDEX(Master!$D$2:$D$1001,$O107))</f>
      </c>
      <c r="B107">
        <f>IF($O107="","",INDEX(Master!$B$2:$B$1001,$O107))</f>
      </c>
      <c r="C107">
        <f>IF($O107="","",INDEX(Master!$C$2:$C$1001,$O107))</f>
      </c>
      <c r="D107">
        <f>IF($O107="","",INDEX(Master!$A$2:$A$1001,$O107))</f>
      </c>
      <c r="E107">
        <f>IF($O107="","",INDEX(Master!$E$2:$E$1001,$O107))</f>
      </c>
      <c r="F107">
        <f>IF($O107="","",INDEX(Master!$F$2:$F$1001,$O107))</f>
      </c>
      <c r="G107">
        <f>IF($O107="","",INDEX(Master!$G$2:$G$1001,$O107))</f>
      </c>
      <c r="H107">
        <f>IF($O107="","",INDEX(Master!$H$2:$H$1001,$O107))</f>
      </c>
      <c r="I107">
        <f>IF($O107="","",INDEX(Master!$I$2:$I$1001,$O107))</f>
      </c>
      <c r="J107">
        <f>IF($O107="","",INDEX(Master!$J$2:$J$1001,$O107))</f>
      </c>
      <c r="K107">
        <f t="shared" si="2"/>
      </c>
      <c r="L107">
        <f>IF($O107="","",INDEX(Master!$K$2:$K$1001,$O107))</f>
      </c>
      <c r="M107">
        <f>IF($O107="","",INDEX(Master!$L$2:$L$1001,$O107))</f>
      </c>
      <c r="O107">
        <f t="array" ref="O107">IFERROR(SMALL(IF((Master!$A$2:$A$1001="SHYAM METALLIKS")*(Master!$M$2:$M$1001="160 x 160 x 6MTR"),ROW(Master!$A$2:$A$1001)-ROW(Master!$A$2)+1),103),"")</f>
      </c>
      <c r="P107">
        <f t="shared" si="3"/>
      </c>
    </row>
    <row r="108" spans="1:16" x14ac:dyDescent="0.25">
      <c r="A108">
        <f>IF($O108="","",INDEX(Master!$D$2:$D$1001,$O108))</f>
      </c>
      <c r="B108">
        <f>IF($O108="","",INDEX(Master!$B$2:$B$1001,$O108))</f>
      </c>
      <c r="C108">
        <f>IF($O108="","",INDEX(Master!$C$2:$C$1001,$O108))</f>
      </c>
      <c r="D108">
        <f>IF($O108="","",INDEX(Master!$A$2:$A$1001,$O108))</f>
      </c>
      <c r="E108">
        <f>IF($O108="","",INDEX(Master!$E$2:$E$1001,$O108))</f>
      </c>
      <c r="F108">
        <f>IF($O108="","",INDEX(Master!$F$2:$F$1001,$O108))</f>
      </c>
      <c r="G108">
        <f>IF($O108="","",INDEX(Master!$G$2:$G$1001,$O108))</f>
      </c>
      <c r="H108">
        <f>IF($O108="","",INDEX(Master!$H$2:$H$1001,$O108))</f>
      </c>
      <c r="I108">
        <f>IF($O108="","",INDEX(Master!$I$2:$I$1001,$O108))</f>
      </c>
      <c r="J108">
        <f>IF($O108="","",INDEX(Master!$J$2:$J$1001,$O108))</f>
      </c>
      <c r="K108">
        <f t="shared" si="2"/>
      </c>
      <c r="L108">
        <f>IF($O108="","",INDEX(Master!$K$2:$K$1001,$O108))</f>
      </c>
      <c r="M108">
        <f>IF($O108="","",INDEX(Master!$L$2:$L$1001,$O108))</f>
      </c>
      <c r="O108">
        <f t="array" ref="O108">IFERROR(SMALL(IF((Master!$A$2:$A$1001="SHYAM METALLIKS")*(Master!$M$2:$M$1001="160 x 160 x 6MTR"),ROW(Master!$A$2:$A$1001)-ROW(Master!$A$2)+1),104),"")</f>
      </c>
      <c r="P108">
        <f t="shared" si="3"/>
      </c>
    </row>
    <row r="109" spans="1:16" x14ac:dyDescent="0.25">
      <c r="A109">
        <f>IF($O109="","",INDEX(Master!$D$2:$D$1001,$O109))</f>
      </c>
      <c r="B109">
        <f>IF($O109="","",INDEX(Master!$B$2:$B$1001,$O109))</f>
      </c>
      <c r="C109">
        <f>IF($O109="","",INDEX(Master!$C$2:$C$1001,$O109))</f>
      </c>
      <c r="D109">
        <f>IF($O109="","",INDEX(Master!$A$2:$A$1001,$O109))</f>
      </c>
      <c r="E109">
        <f>IF($O109="","",INDEX(Master!$E$2:$E$1001,$O109))</f>
      </c>
      <c r="F109">
        <f>IF($O109="","",INDEX(Master!$F$2:$F$1001,$O109))</f>
      </c>
      <c r="G109">
        <f>IF($O109="","",INDEX(Master!$G$2:$G$1001,$O109))</f>
      </c>
      <c r="H109">
        <f>IF($O109="","",INDEX(Master!$H$2:$H$1001,$O109))</f>
      </c>
      <c r="I109">
        <f>IF($O109="","",INDEX(Master!$I$2:$I$1001,$O109))</f>
      </c>
      <c r="J109">
        <f>IF($O109="","",INDEX(Master!$J$2:$J$1001,$O109))</f>
      </c>
      <c r="K109">
        <f t="shared" si="2"/>
      </c>
      <c r="L109">
        <f>IF($O109="","",INDEX(Master!$K$2:$K$1001,$O109))</f>
      </c>
      <c r="M109">
        <f>IF($O109="","",INDEX(Master!$L$2:$L$1001,$O109))</f>
      </c>
      <c r="O109">
        <f t="array" ref="O109">IFERROR(SMALL(IF((Master!$A$2:$A$1001="SHYAM METALLIKS")*(Master!$M$2:$M$1001="160 x 160 x 6MTR"),ROW(Master!$A$2:$A$1001)-ROW(Master!$A$2)+1),105),"")</f>
      </c>
      <c r="P109">
        <f t="shared" si="3"/>
      </c>
    </row>
    <row r="110" spans="1:16" x14ac:dyDescent="0.25">
      <c r="A110">
        <f>IF($O110="","",INDEX(Master!$D$2:$D$1001,$O110))</f>
      </c>
      <c r="B110">
        <f>IF($O110="","",INDEX(Master!$B$2:$B$1001,$O110))</f>
      </c>
      <c r="C110">
        <f>IF($O110="","",INDEX(Master!$C$2:$C$1001,$O110))</f>
      </c>
      <c r="D110">
        <f>IF($O110="","",INDEX(Master!$A$2:$A$1001,$O110))</f>
      </c>
      <c r="E110">
        <f>IF($O110="","",INDEX(Master!$E$2:$E$1001,$O110))</f>
      </c>
      <c r="F110">
        <f>IF($O110="","",INDEX(Master!$F$2:$F$1001,$O110))</f>
      </c>
      <c r="G110">
        <f>IF($O110="","",INDEX(Master!$G$2:$G$1001,$O110))</f>
      </c>
      <c r="H110">
        <f>IF($O110="","",INDEX(Master!$H$2:$H$1001,$O110))</f>
      </c>
      <c r="I110">
        <f>IF($O110="","",INDEX(Master!$I$2:$I$1001,$O110))</f>
      </c>
      <c r="J110">
        <f>IF($O110="","",INDEX(Master!$J$2:$J$1001,$O110))</f>
      </c>
      <c r="K110">
        <f t="shared" si="2"/>
      </c>
      <c r="L110">
        <f>IF($O110="","",INDEX(Master!$K$2:$K$1001,$O110))</f>
      </c>
      <c r="M110">
        <f>IF($O110="","",INDEX(Master!$L$2:$L$1001,$O110))</f>
      </c>
      <c r="O110">
        <f t="array" ref="O110">IFERROR(SMALL(IF((Master!$A$2:$A$1001="SHYAM METALLIKS")*(Master!$M$2:$M$1001="160 x 160 x 6MTR"),ROW(Master!$A$2:$A$1001)-ROW(Master!$A$2)+1),106),"")</f>
      </c>
      <c r="P110">
        <f t="shared" si="3"/>
      </c>
    </row>
    <row r="111" spans="1:16" x14ac:dyDescent="0.25">
      <c r="A111">
        <f>IF($O111="","",INDEX(Master!$D$2:$D$1001,$O111))</f>
      </c>
      <c r="B111">
        <f>IF($O111="","",INDEX(Master!$B$2:$B$1001,$O111))</f>
      </c>
      <c r="C111">
        <f>IF($O111="","",INDEX(Master!$C$2:$C$1001,$O111))</f>
      </c>
      <c r="D111">
        <f>IF($O111="","",INDEX(Master!$A$2:$A$1001,$O111))</f>
      </c>
      <c r="E111">
        <f>IF($O111="","",INDEX(Master!$E$2:$E$1001,$O111))</f>
      </c>
      <c r="F111">
        <f>IF($O111="","",INDEX(Master!$F$2:$F$1001,$O111))</f>
      </c>
      <c r="G111">
        <f>IF($O111="","",INDEX(Master!$G$2:$G$1001,$O111))</f>
      </c>
      <c r="H111">
        <f>IF($O111="","",INDEX(Master!$H$2:$H$1001,$O111))</f>
      </c>
      <c r="I111">
        <f>IF($O111="","",INDEX(Master!$I$2:$I$1001,$O111))</f>
      </c>
      <c r="J111">
        <f>IF($O111="","",INDEX(Master!$J$2:$J$1001,$O111))</f>
      </c>
      <c r="K111">
        <f t="shared" si="2"/>
      </c>
      <c r="L111">
        <f>IF($O111="","",INDEX(Master!$K$2:$K$1001,$O111))</f>
      </c>
      <c r="M111">
        <f>IF($O111="","",INDEX(Master!$L$2:$L$1001,$O111))</f>
      </c>
      <c r="O111">
        <f t="array" ref="O111">IFERROR(SMALL(IF((Master!$A$2:$A$1001="SHYAM METALLIKS")*(Master!$M$2:$M$1001="160 x 160 x 6MTR"),ROW(Master!$A$2:$A$1001)-ROW(Master!$A$2)+1),107),"")</f>
      </c>
      <c r="P111">
        <f t="shared" si="3"/>
      </c>
    </row>
    <row r="112" spans="1:16" x14ac:dyDescent="0.25">
      <c r="A112">
        <f>IF($O112="","",INDEX(Master!$D$2:$D$1001,$O112))</f>
      </c>
      <c r="B112">
        <f>IF($O112="","",INDEX(Master!$B$2:$B$1001,$O112))</f>
      </c>
      <c r="C112">
        <f>IF($O112="","",INDEX(Master!$C$2:$C$1001,$O112))</f>
      </c>
      <c r="D112">
        <f>IF($O112="","",INDEX(Master!$A$2:$A$1001,$O112))</f>
      </c>
      <c r="E112">
        <f>IF($O112="","",INDEX(Master!$E$2:$E$1001,$O112))</f>
      </c>
      <c r="F112">
        <f>IF($O112="","",INDEX(Master!$F$2:$F$1001,$O112))</f>
      </c>
      <c r="G112">
        <f>IF($O112="","",INDEX(Master!$G$2:$G$1001,$O112))</f>
      </c>
      <c r="H112">
        <f>IF($O112="","",INDEX(Master!$H$2:$H$1001,$O112))</f>
      </c>
      <c r="I112">
        <f>IF($O112="","",INDEX(Master!$I$2:$I$1001,$O112))</f>
      </c>
      <c r="J112">
        <f>IF($O112="","",INDEX(Master!$J$2:$J$1001,$O112))</f>
      </c>
      <c r="K112">
        <f t="shared" si="2"/>
      </c>
      <c r="L112">
        <f>IF($O112="","",INDEX(Master!$K$2:$K$1001,$O112))</f>
      </c>
      <c r="M112">
        <f>IF($O112="","",INDEX(Master!$L$2:$L$1001,$O112))</f>
      </c>
      <c r="O112">
        <f t="array" ref="O112">IFERROR(SMALL(IF((Master!$A$2:$A$1001="SHYAM METALLIKS")*(Master!$M$2:$M$1001="160 x 160 x 6MTR"),ROW(Master!$A$2:$A$1001)-ROW(Master!$A$2)+1),108),"")</f>
      </c>
      <c r="P112">
        <f t="shared" si="3"/>
      </c>
    </row>
    <row r="113" spans="1:16" x14ac:dyDescent="0.25">
      <c r="A113">
        <f>IF($O113="","",INDEX(Master!$D$2:$D$1001,$O113))</f>
      </c>
      <c r="B113">
        <f>IF($O113="","",INDEX(Master!$B$2:$B$1001,$O113))</f>
      </c>
      <c r="C113">
        <f>IF($O113="","",INDEX(Master!$C$2:$C$1001,$O113))</f>
      </c>
      <c r="D113">
        <f>IF($O113="","",INDEX(Master!$A$2:$A$1001,$O113))</f>
      </c>
      <c r="E113">
        <f>IF($O113="","",INDEX(Master!$E$2:$E$1001,$O113))</f>
      </c>
      <c r="F113">
        <f>IF($O113="","",INDEX(Master!$F$2:$F$1001,$O113))</f>
      </c>
      <c r="G113">
        <f>IF($O113="","",INDEX(Master!$G$2:$G$1001,$O113))</f>
      </c>
      <c r="H113">
        <f>IF($O113="","",INDEX(Master!$H$2:$H$1001,$O113))</f>
      </c>
      <c r="I113">
        <f>IF($O113="","",INDEX(Master!$I$2:$I$1001,$O113))</f>
      </c>
      <c r="J113">
        <f>IF($O113="","",INDEX(Master!$J$2:$J$1001,$O113))</f>
      </c>
      <c r="K113">
        <f t="shared" si="2"/>
      </c>
      <c r="L113">
        <f>IF($O113="","",INDEX(Master!$K$2:$K$1001,$O113))</f>
      </c>
      <c r="M113">
        <f>IF($O113="","",INDEX(Master!$L$2:$L$1001,$O113))</f>
      </c>
      <c r="O113">
        <f t="array" ref="O113">IFERROR(SMALL(IF((Master!$A$2:$A$1001="SHYAM METALLIKS")*(Master!$M$2:$M$1001="160 x 160 x 6MTR"),ROW(Master!$A$2:$A$1001)-ROW(Master!$A$2)+1),109),"")</f>
      </c>
      <c r="P113">
        <f t="shared" si="3"/>
      </c>
    </row>
    <row r="114" spans="1:16" x14ac:dyDescent="0.25">
      <c r="A114">
        <f>IF($O114="","",INDEX(Master!$D$2:$D$1001,$O114))</f>
      </c>
      <c r="B114">
        <f>IF($O114="","",INDEX(Master!$B$2:$B$1001,$O114))</f>
      </c>
      <c r="C114">
        <f>IF($O114="","",INDEX(Master!$C$2:$C$1001,$O114))</f>
      </c>
      <c r="D114">
        <f>IF($O114="","",INDEX(Master!$A$2:$A$1001,$O114))</f>
      </c>
      <c r="E114">
        <f>IF($O114="","",INDEX(Master!$E$2:$E$1001,$O114))</f>
      </c>
      <c r="F114">
        <f>IF($O114="","",INDEX(Master!$F$2:$F$1001,$O114))</f>
      </c>
      <c r="G114">
        <f>IF($O114="","",INDEX(Master!$G$2:$G$1001,$O114))</f>
      </c>
      <c r="H114">
        <f>IF($O114="","",INDEX(Master!$H$2:$H$1001,$O114))</f>
      </c>
      <c r="I114">
        <f>IF($O114="","",INDEX(Master!$I$2:$I$1001,$O114))</f>
      </c>
      <c r="J114">
        <f>IF($O114="","",INDEX(Master!$J$2:$J$1001,$O114))</f>
      </c>
      <c r="K114">
        <f t="shared" si="2"/>
      </c>
      <c r="L114">
        <f>IF($O114="","",INDEX(Master!$K$2:$K$1001,$O114))</f>
      </c>
      <c r="M114">
        <f>IF($O114="","",INDEX(Master!$L$2:$L$1001,$O114))</f>
      </c>
      <c r="O114">
        <f t="array" ref="O114">IFERROR(SMALL(IF((Master!$A$2:$A$1001="SHYAM METALLIKS")*(Master!$M$2:$M$1001="160 x 160 x 6MTR"),ROW(Master!$A$2:$A$1001)-ROW(Master!$A$2)+1),110),"")</f>
      </c>
      <c r="P114">
        <f t="shared" si="3"/>
      </c>
    </row>
    <row r="115" spans="1:16" x14ac:dyDescent="0.25">
      <c r="A115">
        <f>IF($O115="","",INDEX(Master!$D$2:$D$1001,$O115))</f>
      </c>
      <c r="B115">
        <f>IF($O115="","",INDEX(Master!$B$2:$B$1001,$O115))</f>
      </c>
      <c r="C115">
        <f>IF($O115="","",INDEX(Master!$C$2:$C$1001,$O115))</f>
      </c>
      <c r="D115">
        <f>IF($O115="","",INDEX(Master!$A$2:$A$1001,$O115))</f>
      </c>
      <c r="E115">
        <f>IF($O115="","",INDEX(Master!$E$2:$E$1001,$O115))</f>
      </c>
      <c r="F115">
        <f>IF($O115="","",INDEX(Master!$F$2:$F$1001,$O115))</f>
      </c>
      <c r="G115">
        <f>IF($O115="","",INDEX(Master!$G$2:$G$1001,$O115))</f>
      </c>
      <c r="H115">
        <f>IF($O115="","",INDEX(Master!$H$2:$H$1001,$O115))</f>
      </c>
      <c r="I115">
        <f>IF($O115="","",INDEX(Master!$I$2:$I$1001,$O115))</f>
      </c>
      <c r="J115">
        <f>IF($O115="","",INDEX(Master!$J$2:$J$1001,$O115))</f>
      </c>
      <c r="K115">
        <f t="shared" si="2"/>
      </c>
      <c r="L115">
        <f>IF($O115="","",INDEX(Master!$K$2:$K$1001,$O115))</f>
      </c>
      <c r="M115">
        <f>IF($O115="","",INDEX(Master!$L$2:$L$1001,$O115))</f>
      </c>
      <c r="O115">
        <f t="array" ref="O115">IFERROR(SMALL(IF((Master!$A$2:$A$1001="SHYAM METALLIKS")*(Master!$M$2:$M$1001="160 x 160 x 6MTR"),ROW(Master!$A$2:$A$1001)-ROW(Master!$A$2)+1),111),"")</f>
      </c>
      <c r="P115">
        <f t="shared" si="3"/>
      </c>
    </row>
    <row r="116" spans="1:16" x14ac:dyDescent="0.25">
      <c r="A116">
        <f>IF($O116="","",INDEX(Master!$D$2:$D$1001,$O116))</f>
      </c>
      <c r="B116">
        <f>IF($O116="","",INDEX(Master!$B$2:$B$1001,$O116))</f>
      </c>
      <c r="C116">
        <f>IF($O116="","",INDEX(Master!$C$2:$C$1001,$O116))</f>
      </c>
      <c r="D116">
        <f>IF($O116="","",INDEX(Master!$A$2:$A$1001,$O116))</f>
      </c>
      <c r="E116">
        <f>IF($O116="","",INDEX(Master!$E$2:$E$1001,$O116))</f>
      </c>
      <c r="F116">
        <f>IF($O116="","",INDEX(Master!$F$2:$F$1001,$O116))</f>
      </c>
      <c r="G116">
        <f>IF($O116="","",INDEX(Master!$G$2:$G$1001,$O116))</f>
      </c>
      <c r="H116">
        <f>IF($O116="","",INDEX(Master!$H$2:$H$1001,$O116))</f>
      </c>
      <c r="I116">
        <f>IF($O116="","",INDEX(Master!$I$2:$I$1001,$O116))</f>
      </c>
      <c r="J116">
        <f>IF($O116="","",INDEX(Master!$J$2:$J$1001,$O116))</f>
      </c>
      <c r="K116">
        <f t="shared" si="2"/>
      </c>
      <c r="L116">
        <f>IF($O116="","",INDEX(Master!$K$2:$K$1001,$O116))</f>
      </c>
      <c r="M116">
        <f>IF($O116="","",INDEX(Master!$L$2:$L$1001,$O116))</f>
      </c>
      <c r="O116">
        <f t="array" ref="O116">IFERROR(SMALL(IF((Master!$A$2:$A$1001="SHYAM METALLIKS")*(Master!$M$2:$M$1001="160 x 160 x 6MTR"),ROW(Master!$A$2:$A$1001)-ROW(Master!$A$2)+1),112),"")</f>
      </c>
      <c r="P116">
        <f t="shared" si="3"/>
      </c>
    </row>
    <row r="117" spans="1:16" x14ac:dyDescent="0.25">
      <c r="A117">
        <f>IF($O117="","",INDEX(Master!$D$2:$D$1001,$O117))</f>
      </c>
      <c r="B117">
        <f>IF($O117="","",INDEX(Master!$B$2:$B$1001,$O117))</f>
      </c>
      <c r="C117">
        <f>IF($O117="","",INDEX(Master!$C$2:$C$1001,$O117))</f>
      </c>
      <c r="D117">
        <f>IF($O117="","",INDEX(Master!$A$2:$A$1001,$O117))</f>
      </c>
      <c r="E117">
        <f>IF($O117="","",INDEX(Master!$E$2:$E$1001,$O117))</f>
      </c>
      <c r="F117">
        <f>IF($O117="","",INDEX(Master!$F$2:$F$1001,$O117))</f>
      </c>
      <c r="G117">
        <f>IF($O117="","",INDEX(Master!$G$2:$G$1001,$O117))</f>
      </c>
      <c r="H117">
        <f>IF($O117="","",INDEX(Master!$H$2:$H$1001,$O117))</f>
      </c>
      <c r="I117">
        <f>IF($O117="","",INDEX(Master!$I$2:$I$1001,$O117))</f>
      </c>
      <c r="J117">
        <f>IF($O117="","",INDEX(Master!$J$2:$J$1001,$O117))</f>
      </c>
      <c r="K117">
        <f t="shared" si="2"/>
      </c>
      <c r="L117">
        <f>IF($O117="","",INDEX(Master!$K$2:$K$1001,$O117))</f>
      </c>
      <c r="M117">
        <f>IF($O117="","",INDEX(Master!$L$2:$L$1001,$O117))</f>
      </c>
      <c r="O117">
        <f t="array" ref="O117">IFERROR(SMALL(IF((Master!$A$2:$A$1001="SHYAM METALLIKS")*(Master!$M$2:$M$1001="160 x 160 x 6MTR"),ROW(Master!$A$2:$A$1001)-ROW(Master!$A$2)+1),113),"")</f>
      </c>
      <c r="P117">
        <f t="shared" si="3"/>
      </c>
    </row>
    <row r="118" spans="1:16" x14ac:dyDescent="0.25">
      <c r="A118">
        <f>IF($O118="","",INDEX(Master!$D$2:$D$1001,$O118))</f>
      </c>
      <c r="B118">
        <f>IF($O118="","",INDEX(Master!$B$2:$B$1001,$O118))</f>
      </c>
      <c r="C118">
        <f>IF($O118="","",INDEX(Master!$C$2:$C$1001,$O118))</f>
      </c>
      <c r="D118">
        <f>IF($O118="","",INDEX(Master!$A$2:$A$1001,$O118))</f>
      </c>
      <c r="E118">
        <f>IF($O118="","",INDEX(Master!$E$2:$E$1001,$O118))</f>
      </c>
      <c r="F118">
        <f>IF($O118="","",INDEX(Master!$F$2:$F$1001,$O118))</f>
      </c>
      <c r="G118">
        <f>IF($O118="","",INDEX(Master!$G$2:$G$1001,$O118))</f>
      </c>
      <c r="H118">
        <f>IF($O118="","",INDEX(Master!$H$2:$H$1001,$O118))</f>
      </c>
      <c r="I118">
        <f>IF($O118="","",INDEX(Master!$I$2:$I$1001,$O118))</f>
      </c>
      <c r="J118">
        <f>IF($O118="","",INDEX(Master!$J$2:$J$1001,$O118))</f>
      </c>
      <c r="K118">
        <f t="shared" si="2"/>
      </c>
      <c r="L118">
        <f>IF($O118="","",INDEX(Master!$K$2:$K$1001,$O118))</f>
      </c>
      <c r="M118">
        <f>IF($O118="","",INDEX(Master!$L$2:$L$1001,$O118))</f>
      </c>
      <c r="O118">
        <f t="array" ref="O118">IFERROR(SMALL(IF((Master!$A$2:$A$1001="SHYAM METALLIKS")*(Master!$M$2:$M$1001="160 x 160 x 6MTR"),ROW(Master!$A$2:$A$1001)-ROW(Master!$A$2)+1),114),"")</f>
      </c>
      <c r="P118">
        <f t="shared" si="3"/>
      </c>
    </row>
    <row r="119" spans="1:16" x14ac:dyDescent="0.25">
      <c r="A119">
        <f>IF($O119="","",INDEX(Master!$D$2:$D$1001,$O119))</f>
      </c>
      <c r="B119">
        <f>IF($O119="","",INDEX(Master!$B$2:$B$1001,$O119))</f>
      </c>
      <c r="C119">
        <f>IF($O119="","",INDEX(Master!$C$2:$C$1001,$O119))</f>
      </c>
      <c r="D119">
        <f>IF($O119="","",INDEX(Master!$A$2:$A$1001,$O119))</f>
      </c>
      <c r="E119">
        <f>IF($O119="","",INDEX(Master!$E$2:$E$1001,$O119))</f>
      </c>
      <c r="F119">
        <f>IF($O119="","",INDEX(Master!$F$2:$F$1001,$O119))</f>
      </c>
      <c r="G119">
        <f>IF($O119="","",INDEX(Master!$G$2:$G$1001,$O119))</f>
      </c>
      <c r="H119">
        <f>IF($O119="","",INDEX(Master!$H$2:$H$1001,$O119))</f>
      </c>
      <c r="I119">
        <f>IF($O119="","",INDEX(Master!$I$2:$I$1001,$O119))</f>
      </c>
      <c r="J119">
        <f>IF($O119="","",INDEX(Master!$J$2:$J$1001,$O119))</f>
      </c>
      <c r="K119">
        <f t="shared" si="2"/>
      </c>
      <c r="L119">
        <f>IF($O119="","",INDEX(Master!$K$2:$K$1001,$O119))</f>
      </c>
      <c r="M119">
        <f>IF($O119="","",INDEX(Master!$L$2:$L$1001,$O119))</f>
      </c>
      <c r="O119">
        <f t="array" ref="O119">IFERROR(SMALL(IF((Master!$A$2:$A$1001="SHYAM METALLIKS")*(Master!$M$2:$M$1001="160 x 160 x 6MTR"),ROW(Master!$A$2:$A$1001)-ROW(Master!$A$2)+1),115),"")</f>
      </c>
      <c r="P119">
        <f t="shared" si="3"/>
      </c>
    </row>
    <row r="120" spans="1:16" x14ac:dyDescent="0.25">
      <c r="A120">
        <f>IF($O120="","",INDEX(Master!$D$2:$D$1001,$O120))</f>
      </c>
      <c r="B120">
        <f>IF($O120="","",INDEX(Master!$B$2:$B$1001,$O120))</f>
      </c>
      <c r="C120">
        <f>IF($O120="","",INDEX(Master!$C$2:$C$1001,$O120))</f>
      </c>
      <c r="D120">
        <f>IF($O120="","",INDEX(Master!$A$2:$A$1001,$O120))</f>
      </c>
      <c r="E120">
        <f>IF($O120="","",INDEX(Master!$E$2:$E$1001,$O120))</f>
      </c>
      <c r="F120">
        <f>IF($O120="","",INDEX(Master!$F$2:$F$1001,$O120))</f>
      </c>
      <c r="G120">
        <f>IF($O120="","",INDEX(Master!$G$2:$G$1001,$O120))</f>
      </c>
      <c r="H120">
        <f>IF($O120="","",INDEX(Master!$H$2:$H$1001,$O120))</f>
      </c>
      <c r="I120">
        <f>IF($O120="","",INDEX(Master!$I$2:$I$1001,$O120))</f>
      </c>
      <c r="J120">
        <f>IF($O120="","",INDEX(Master!$J$2:$J$1001,$O120))</f>
      </c>
      <c r="K120">
        <f t="shared" si="2"/>
      </c>
      <c r="L120">
        <f>IF($O120="","",INDEX(Master!$K$2:$K$1001,$O120))</f>
      </c>
      <c r="M120">
        <f>IF($O120="","",INDEX(Master!$L$2:$L$1001,$O120))</f>
      </c>
      <c r="O120">
        <f t="array" ref="O120">IFERROR(SMALL(IF((Master!$A$2:$A$1001="SHYAM METALLIKS")*(Master!$M$2:$M$1001="160 x 160 x 6MTR"),ROW(Master!$A$2:$A$1001)-ROW(Master!$A$2)+1),116),"")</f>
      </c>
      <c r="P120">
        <f t="shared" si="3"/>
      </c>
    </row>
    <row r="121" spans="1:16" x14ac:dyDescent="0.25">
      <c r="A121">
        <f>IF($O121="","",INDEX(Master!$D$2:$D$1001,$O121))</f>
      </c>
      <c r="B121">
        <f>IF($O121="","",INDEX(Master!$B$2:$B$1001,$O121))</f>
      </c>
      <c r="C121">
        <f>IF($O121="","",INDEX(Master!$C$2:$C$1001,$O121))</f>
      </c>
      <c r="D121">
        <f>IF($O121="","",INDEX(Master!$A$2:$A$1001,$O121))</f>
      </c>
      <c r="E121">
        <f>IF($O121="","",INDEX(Master!$E$2:$E$1001,$O121))</f>
      </c>
      <c r="F121">
        <f>IF($O121="","",INDEX(Master!$F$2:$F$1001,$O121))</f>
      </c>
      <c r="G121">
        <f>IF($O121="","",INDEX(Master!$G$2:$G$1001,$O121))</f>
      </c>
      <c r="H121">
        <f>IF($O121="","",INDEX(Master!$H$2:$H$1001,$O121))</f>
      </c>
      <c r="I121">
        <f>IF($O121="","",INDEX(Master!$I$2:$I$1001,$O121))</f>
      </c>
      <c r="J121">
        <f>IF($O121="","",INDEX(Master!$J$2:$J$1001,$O121))</f>
      </c>
      <c r="K121">
        <f t="shared" si="2"/>
      </c>
      <c r="L121">
        <f>IF($O121="","",INDEX(Master!$K$2:$K$1001,$O121))</f>
      </c>
      <c r="M121">
        <f>IF($O121="","",INDEX(Master!$L$2:$L$1001,$O121))</f>
      </c>
      <c r="O121">
        <f t="array" ref="O121">IFERROR(SMALL(IF((Master!$A$2:$A$1001="SHYAM METALLIKS")*(Master!$M$2:$M$1001="160 x 160 x 6MTR"),ROW(Master!$A$2:$A$1001)-ROW(Master!$A$2)+1),117),"")</f>
      </c>
      <c r="P121">
        <f t="shared" si="3"/>
      </c>
    </row>
    <row r="122" spans="1:16" x14ac:dyDescent="0.25">
      <c r="A122">
        <f>IF($O122="","",INDEX(Master!$D$2:$D$1001,$O122))</f>
      </c>
      <c r="B122">
        <f>IF($O122="","",INDEX(Master!$B$2:$B$1001,$O122))</f>
      </c>
      <c r="C122">
        <f>IF($O122="","",INDEX(Master!$C$2:$C$1001,$O122))</f>
      </c>
      <c r="D122">
        <f>IF($O122="","",INDEX(Master!$A$2:$A$1001,$O122))</f>
      </c>
      <c r="E122">
        <f>IF($O122="","",INDEX(Master!$E$2:$E$1001,$O122))</f>
      </c>
      <c r="F122">
        <f>IF($O122="","",INDEX(Master!$F$2:$F$1001,$O122))</f>
      </c>
      <c r="G122">
        <f>IF($O122="","",INDEX(Master!$G$2:$G$1001,$O122))</f>
      </c>
      <c r="H122">
        <f>IF($O122="","",INDEX(Master!$H$2:$H$1001,$O122))</f>
      </c>
      <c r="I122">
        <f>IF($O122="","",INDEX(Master!$I$2:$I$1001,$O122))</f>
      </c>
      <c r="J122">
        <f>IF($O122="","",INDEX(Master!$J$2:$J$1001,$O122))</f>
      </c>
      <c r="K122">
        <f t="shared" si="2"/>
      </c>
      <c r="L122">
        <f>IF($O122="","",INDEX(Master!$K$2:$K$1001,$O122))</f>
      </c>
      <c r="M122">
        <f>IF($O122="","",INDEX(Master!$L$2:$L$1001,$O122))</f>
      </c>
      <c r="O122">
        <f t="array" ref="O122">IFERROR(SMALL(IF((Master!$A$2:$A$1001="SHYAM METALLIKS")*(Master!$M$2:$M$1001="160 x 160 x 6MTR"),ROW(Master!$A$2:$A$1001)-ROW(Master!$A$2)+1),118),"")</f>
      </c>
      <c r="P122">
        <f t="shared" si="3"/>
      </c>
    </row>
    <row r="123" spans="1:16" x14ac:dyDescent="0.25">
      <c r="A123">
        <f>IF($O123="","",INDEX(Master!$D$2:$D$1001,$O123))</f>
      </c>
      <c r="B123">
        <f>IF($O123="","",INDEX(Master!$B$2:$B$1001,$O123))</f>
      </c>
      <c r="C123">
        <f>IF($O123="","",INDEX(Master!$C$2:$C$1001,$O123))</f>
      </c>
      <c r="D123">
        <f>IF($O123="","",INDEX(Master!$A$2:$A$1001,$O123))</f>
      </c>
      <c r="E123">
        <f>IF($O123="","",INDEX(Master!$E$2:$E$1001,$O123))</f>
      </c>
      <c r="F123">
        <f>IF($O123="","",INDEX(Master!$F$2:$F$1001,$O123))</f>
      </c>
      <c r="G123">
        <f>IF($O123="","",INDEX(Master!$G$2:$G$1001,$O123))</f>
      </c>
      <c r="H123">
        <f>IF($O123="","",INDEX(Master!$H$2:$H$1001,$O123))</f>
      </c>
      <c r="I123">
        <f>IF($O123="","",INDEX(Master!$I$2:$I$1001,$O123))</f>
      </c>
      <c r="J123">
        <f>IF($O123="","",INDEX(Master!$J$2:$J$1001,$O123))</f>
      </c>
      <c r="K123">
        <f t="shared" si="2"/>
      </c>
      <c r="L123">
        <f>IF($O123="","",INDEX(Master!$K$2:$K$1001,$O123))</f>
      </c>
      <c r="M123">
        <f>IF($O123="","",INDEX(Master!$L$2:$L$1001,$O123))</f>
      </c>
      <c r="O123">
        <f t="array" ref="O123">IFERROR(SMALL(IF((Master!$A$2:$A$1001="SHYAM METALLIKS")*(Master!$M$2:$M$1001="160 x 160 x 6MTR"),ROW(Master!$A$2:$A$1001)-ROW(Master!$A$2)+1),119),"")</f>
      </c>
      <c r="P123">
        <f t="shared" si="3"/>
      </c>
    </row>
    <row r="124" spans="1:16" x14ac:dyDescent="0.25">
      <c r="A124">
        <f>IF($O124="","",INDEX(Master!$D$2:$D$1001,$O124))</f>
      </c>
      <c r="B124">
        <f>IF($O124="","",INDEX(Master!$B$2:$B$1001,$O124))</f>
      </c>
      <c r="C124">
        <f>IF($O124="","",INDEX(Master!$C$2:$C$1001,$O124))</f>
      </c>
      <c r="D124">
        <f>IF($O124="","",INDEX(Master!$A$2:$A$1001,$O124))</f>
      </c>
      <c r="E124">
        <f>IF($O124="","",INDEX(Master!$E$2:$E$1001,$O124))</f>
      </c>
      <c r="F124">
        <f>IF($O124="","",INDEX(Master!$F$2:$F$1001,$O124))</f>
      </c>
      <c r="G124">
        <f>IF($O124="","",INDEX(Master!$G$2:$G$1001,$O124))</f>
      </c>
      <c r="H124">
        <f>IF($O124="","",INDEX(Master!$H$2:$H$1001,$O124))</f>
      </c>
      <c r="I124">
        <f>IF($O124="","",INDEX(Master!$I$2:$I$1001,$O124))</f>
      </c>
      <c r="J124">
        <f>IF($O124="","",INDEX(Master!$J$2:$J$1001,$O124))</f>
      </c>
      <c r="K124">
        <f t="shared" si="2"/>
      </c>
      <c r="L124">
        <f>IF($O124="","",INDEX(Master!$K$2:$K$1001,$O124))</f>
      </c>
      <c r="M124">
        <f>IF($O124="","",INDEX(Master!$L$2:$L$1001,$O124))</f>
      </c>
      <c r="O124">
        <f t="array" ref="O124">IFERROR(SMALL(IF((Master!$A$2:$A$1001="SHYAM METALLIKS")*(Master!$M$2:$M$1001="160 x 160 x 6MTR"),ROW(Master!$A$2:$A$1001)-ROW(Master!$A$2)+1),120),"")</f>
      </c>
      <c r="P124">
        <f t="shared" si="3"/>
      </c>
    </row>
    <row r="125" spans="1:16" x14ac:dyDescent="0.25">
      <c r="A125">
        <f>IF($O125="","",INDEX(Master!$D$2:$D$1001,$O125))</f>
      </c>
      <c r="B125">
        <f>IF($O125="","",INDEX(Master!$B$2:$B$1001,$O125))</f>
      </c>
      <c r="C125">
        <f>IF($O125="","",INDEX(Master!$C$2:$C$1001,$O125))</f>
      </c>
      <c r="D125">
        <f>IF($O125="","",INDEX(Master!$A$2:$A$1001,$O125))</f>
      </c>
      <c r="E125">
        <f>IF($O125="","",INDEX(Master!$E$2:$E$1001,$O125))</f>
      </c>
      <c r="F125">
        <f>IF($O125="","",INDEX(Master!$F$2:$F$1001,$O125))</f>
      </c>
      <c r="G125">
        <f>IF($O125="","",INDEX(Master!$G$2:$G$1001,$O125))</f>
      </c>
      <c r="H125">
        <f>IF($O125="","",INDEX(Master!$H$2:$H$1001,$O125))</f>
      </c>
      <c r="I125">
        <f>IF($O125="","",INDEX(Master!$I$2:$I$1001,$O125))</f>
      </c>
      <c r="J125">
        <f>IF($O125="","",INDEX(Master!$J$2:$J$1001,$O125))</f>
      </c>
      <c r="K125">
        <f t="shared" si="2"/>
      </c>
      <c r="L125">
        <f>IF($O125="","",INDEX(Master!$K$2:$K$1001,$O125))</f>
      </c>
      <c r="M125">
        <f>IF($O125="","",INDEX(Master!$L$2:$L$1001,$O125))</f>
      </c>
      <c r="O125">
        <f t="array" ref="O125">IFERROR(SMALL(IF((Master!$A$2:$A$1001="SHYAM METALLIKS")*(Master!$M$2:$M$1001="160 x 160 x 6MTR"),ROW(Master!$A$2:$A$1001)-ROW(Master!$A$2)+1),121),"")</f>
      </c>
      <c r="P125">
        <f t="shared" si="3"/>
      </c>
    </row>
    <row r="126" spans="1:16" x14ac:dyDescent="0.25">
      <c r="A126">
        <f>IF($O126="","",INDEX(Master!$D$2:$D$1001,$O126))</f>
      </c>
      <c r="B126">
        <f>IF($O126="","",INDEX(Master!$B$2:$B$1001,$O126))</f>
      </c>
      <c r="C126">
        <f>IF($O126="","",INDEX(Master!$C$2:$C$1001,$O126))</f>
      </c>
      <c r="D126">
        <f>IF($O126="","",INDEX(Master!$A$2:$A$1001,$O126))</f>
      </c>
      <c r="E126">
        <f>IF($O126="","",INDEX(Master!$E$2:$E$1001,$O126))</f>
      </c>
      <c r="F126">
        <f>IF($O126="","",INDEX(Master!$F$2:$F$1001,$O126))</f>
      </c>
      <c r="G126">
        <f>IF($O126="","",INDEX(Master!$G$2:$G$1001,$O126))</f>
      </c>
      <c r="H126">
        <f>IF($O126="","",INDEX(Master!$H$2:$H$1001,$O126))</f>
      </c>
      <c r="I126">
        <f>IF($O126="","",INDEX(Master!$I$2:$I$1001,$O126))</f>
      </c>
      <c r="J126">
        <f>IF($O126="","",INDEX(Master!$J$2:$J$1001,$O126))</f>
      </c>
      <c r="K126">
        <f t="shared" si="2"/>
      </c>
      <c r="L126">
        <f>IF($O126="","",INDEX(Master!$K$2:$K$1001,$O126))</f>
      </c>
      <c r="M126">
        <f>IF($O126="","",INDEX(Master!$L$2:$L$1001,$O126))</f>
      </c>
      <c r="O126">
        <f t="array" ref="O126">IFERROR(SMALL(IF((Master!$A$2:$A$1001="SHYAM METALLIKS")*(Master!$M$2:$M$1001="160 x 160 x 6MTR"),ROW(Master!$A$2:$A$1001)-ROW(Master!$A$2)+1),122),"")</f>
      </c>
      <c r="P126">
        <f t="shared" si="3"/>
      </c>
    </row>
    <row r="127" spans="1:16" x14ac:dyDescent="0.25">
      <c r="A127">
        <f>IF($O127="","",INDEX(Master!$D$2:$D$1001,$O127))</f>
      </c>
      <c r="B127">
        <f>IF($O127="","",INDEX(Master!$B$2:$B$1001,$O127))</f>
      </c>
      <c r="C127">
        <f>IF($O127="","",INDEX(Master!$C$2:$C$1001,$O127))</f>
      </c>
      <c r="D127">
        <f>IF($O127="","",INDEX(Master!$A$2:$A$1001,$O127))</f>
      </c>
      <c r="E127">
        <f>IF($O127="","",INDEX(Master!$E$2:$E$1001,$O127))</f>
      </c>
      <c r="F127">
        <f>IF($O127="","",INDEX(Master!$F$2:$F$1001,$O127))</f>
      </c>
      <c r="G127">
        <f>IF($O127="","",INDEX(Master!$G$2:$G$1001,$O127))</f>
      </c>
      <c r="H127">
        <f>IF($O127="","",INDEX(Master!$H$2:$H$1001,$O127))</f>
      </c>
      <c r="I127">
        <f>IF($O127="","",INDEX(Master!$I$2:$I$1001,$O127))</f>
      </c>
      <c r="J127">
        <f>IF($O127="","",INDEX(Master!$J$2:$J$1001,$O127))</f>
      </c>
      <c r="K127">
        <f t="shared" si="2"/>
      </c>
      <c r="L127">
        <f>IF($O127="","",INDEX(Master!$K$2:$K$1001,$O127))</f>
      </c>
      <c r="M127">
        <f>IF($O127="","",INDEX(Master!$L$2:$L$1001,$O127))</f>
      </c>
      <c r="O127">
        <f t="array" ref="O127">IFERROR(SMALL(IF((Master!$A$2:$A$1001="SHYAM METALLIKS")*(Master!$M$2:$M$1001="160 x 160 x 6MTR"),ROW(Master!$A$2:$A$1001)-ROW(Master!$A$2)+1),123),"")</f>
      </c>
      <c r="P127">
        <f t="shared" si="3"/>
      </c>
    </row>
    <row r="128" spans="1:16" x14ac:dyDescent="0.25">
      <c r="A128">
        <f>IF($O128="","",INDEX(Master!$D$2:$D$1001,$O128))</f>
      </c>
      <c r="B128">
        <f>IF($O128="","",INDEX(Master!$B$2:$B$1001,$O128))</f>
      </c>
      <c r="C128">
        <f>IF($O128="","",INDEX(Master!$C$2:$C$1001,$O128))</f>
      </c>
      <c r="D128">
        <f>IF($O128="","",INDEX(Master!$A$2:$A$1001,$O128))</f>
      </c>
      <c r="E128">
        <f>IF($O128="","",INDEX(Master!$E$2:$E$1001,$O128))</f>
      </c>
      <c r="F128">
        <f>IF($O128="","",INDEX(Master!$F$2:$F$1001,$O128))</f>
      </c>
      <c r="G128">
        <f>IF($O128="","",INDEX(Master!$G$2:$G$1001,$O128))</f>
      </c>
      <c r="H128">
        <f>IF($O128="","",INDEX(Master!$H$2:$H$1001,$O128))</f>
      </c>
      <c r="I128">
        <f>IF($O128="","",INDEX(Master!$I$2:$I$1001,$O128))</f>
      </c>
      <c r="J128">
        <f>IF($O128="","",INDEX(Master!$J$2:$J$1001,$O128))</f>
      </c>
      <c r="K128">
        <f t="shared" si="2"/>
      </c>
      <c r="L128">
        <f>IF($O128="","",INDEX(Master!$K$2:$K$1001,$O128))</f>
      </c>
      <c r="M128">
        <f>IF($O128="","",INDEX(Master!$L$2:$L$1001,$O128))</f>
      </c>
      <c r="O128">
        <f t="array" ref="O128">IFERROR(SMALL(IF((Master!$A$2:$A$1001="SHYAM METALLIKS")*(Master!$M$2:$M$1001="160 x 160 x 6MTR"),ROW(Master!$A$2:$A$1001)-ROW(Master!$A$2)+1),124),"")</f>
      </c>
      <c r="P128">
        <f t="shared" si="3"/>
      </c>
    </row>
    <row r="129" spans="1:16" x14ac:dyDescent="0.25">
      <c r="A129">
        <f>IF($O129="","",INDEX(Master!$D$2:$D$1001,$O129))</f>
      </c>
      <c r="B129">
        <f>IF($O129="","",INDEX(Master!$B$2:$B$1001,$O129))</f>
      </c>
      <c r="C129">
        <f>IF($O129="","",INDEX(Master!$C$2:$C$1001,$O129))</f>
      </c>
      <c r="D129">
        <f>IF($O129="","",INDEX(Master!$A$2:$A$1001,$O129))</f>
      </c>
      <c r="E129">
        <f>IF($O129="","",INDEX(Master!$E$2:$E$1001,$O129))</f>
      </c>
      <c r="F129">
        <f>IF($O129="","",INDEX(Master!$F$2:$F$1001,$O129))</f>
      </c>
      <c r="G129">
        <f>IF($O129="","",INDEX(Master!$G$2:$G$1001,$O129))</f>
      </c>
      <c r="H129">
        <f>IF($O129="","",INDEX(Master!$H$2:$H$1001,$O129))</f>
      </c>
      <c r="I129">
        <f>IF($O129="","",INDEX(Master!$I$2:$I$1001,$O129))</f>
      </c>
      <c r="J129">
        <f>IF($O129="","",INDEX(Master!$J$2:$J$1001,$O129))</f>
      </c>
      <c r="K129">
        <f t="shared" si="2"/>
      </c>
      <c r="L129">
        <f>IF($O129="","",INDEX(Master!$K$2:$K$1001,$O129))</f>
      </c>
      <c r="M129">
        <f>IF($O129="","",INDEX(Master!$L$2:$L$1001,$O129))</f>
      </c>
      <c r="O129">
        <f t="array" ref="O129">IFERROR(SMALL(IF((Master!$A$2:$A$1001="SHYAM METALLIKS")*(Master!$M$2:$M$1001="160 x 160 x 6MTR"),ROW(Master!$A$2:$A$1001)-ROW(Master!$A$2)+1),125),"")</f>
      </c>
      <c r="P129">
        <f t="shared" si="3"/>
      </c>
    </row>
    <row r="130" spans="1:16" x14ac:dyDescent="0.25">
      <c r="A130">
        <f>IF($O130="","",INDEX(Master!$D$2:$D$1001,$O130))</f>
      </c>
      <c r="B130">
        <f>IF($O130="","",INDEX(Master!$B$2:$B$1001,$O130))</f>
      </c>
      <c r="C130">
        <f>IF($O130="","",INDEX(Master!$C$2:$C$1001,$O130))</f>
      </c>
      <c r="D130">
        <f>IF($O130="","",INDEX(Master!$A$2:$A$1001,$O130))</f>
      </c>
      <c r="E130">
        <f>IF($O130="","",INDEX(Master!$E$2:$E$1001,$O130))</f>
      </c>
      <c r="F130">
        <f>IF($O130="","",INDEX(Master!$F$2:$F$1001,$O130))</f>
      </c>
      <c r="G130">
        <f>IF($O130="","",INDEX(Master!$G$2:$G$1001,$O130))</f>
      </c>
      <c r="H130">
        <f>IF($O130="","",INDEX(Master!$H$2:$H$1001,$O130))</f>
      </c>
      <c r="I130">
        <f>IF($O130="","",INDEX(Master!$I$2:$I$1001,$O130))</f>
      </c>
      <c r="J130">
        <f>IF($O130="","",INDEX(Master!$J$2:$J$1001,$O130))</f>
      </c>
      <c r="K130">
        <f t="shared" si="2"/>
      </c>
      <c r="L130">
        <f>IF($O130="","",INDEX(Master!$K$2:$K$1001,$O130))</f>
      </c>
      <c r="M130">
        <f>IF($O130="","",INDEX(Master!$L$2:$L$1001,$O130))</f>
      </c>
      <c r="O130">
        <f t="array" ref="O130">IFERROR(SMALL(IF((Master!$A$2:$A$1001="SHYAM METALLIKS")*(Master!$M$2:$M$1001="160 x 160 x 6MTR"),ROW(Master!$A$2:$A$1001)-ROW(Master!$A$2)+1),126),"")</f>
      </c>
      <c r="P130">
        <f t="shared" si="3"/>
      </c>
    </row>
    <row r="131" spans="1:16" x14ac:dyDescent="0.25">
      <c r="A131">
        <f>IF($O131="","",INDEX(Master!$D$2:$D$1001,$O131))</f>
      </c>
      <c r="B131">
        <f>IF($O131="","",INDEX(Master!$B$2:$B$1001,$O131))</f>
      </c>
      <c r="C131">
        <f>IF($O131="","",INDEX(Master!$C$2:$C$1001,$O131))</f>
      </c>
      <c r="D131">
        <f>IF($O131="","",INDEX(Master!$A$2:$A$1001,$O131))</f>
      </c>
      <c r="E131">
        <f>IF($O131="","",INDEX(Master!$E$2:$E$1001,$O131))</f>
      </c>
      <c r="F131">
        <f>IF($O131="","",INDEX(Master!$F$2:$F$1001,$O131))</f>
      </c>
      <c r="G131">
        <f>IF($O131="","",INDEX(Master!$G$2:$G$1001,$O131))</f>
      </c>
      <c r="H131">
        <f>IF($O131="","",INDEX(Master!$H$2:$H$1001,$O131))</f>
      </c>
      <c r="I131">
        <f>IF($O131="","",INDEX(Master!$I$2:$I$1001,$O131))</f>
      </c>
      <c r="J131">
        <f>IF($O131="","",INDEX(Master!$J$2:$J$1001,$O131))</f>
      </c>
      <c r="K131">
        <f t="shared" si="2"/>
      </c>
      <c r="L131">
        <f>IF($O131="","",INDEX(Master!$K$2:$K$1001,$O131))</f>
      </c>
      <c r="M131">
        <f>IF($O131="","",INDEX(Master!$L$2:$L$1001,$O131))</f>
      </c>
      <c r="O131">
        <f t="array" ref="O131">IFERROR(SMALL(IF((Master!$A$2:$A$1001="SHYAM METALLIKS")*(Master!$M$2:$M$1001="160 x 160 x 6MTR"),ROW(Master!$A$2:$A$1001)-ROW(Master!$A$2)+1),127),"")</f>
      </c>
      <c r="P131">
        <f t="shared" si="3"/>
      </c>
    </row>
    <row r="132" spans="1:16" x14ac:dyDescent="0.25">
      <c r="A132">
        <f>IF($O132="","",INDEX(Master!$D$2:$D$1001,$O132))</f>
      </c>
      <c r="B132">
        <f>IF($O132="","",INDEX(Master!$B$2:$B$1001,$O132))</f>
      </c>
      <c r="C132">
        <f>IF($O132="","",INDEX(Master!$C$2:$C$1001,$O132))</f>
      </c>
      <c r="D132">
        <f>IF($O132="","",INDEX(Master!$A$2:$A$1001,$O132))</f>
      </c>
      <c r="E132">
        <f>IF($O132="","",INDEX(Master!$E$2:$E$1001,$O132))</f>
      </c>
      <c r="F132">
        <f>IF($O132="","",INDEX(Master!$F$2:$F$1001,$O132))</f>
      </c>
      <c r="G132">
        <f>IF($O132="","",INDEX(Master!$G$2:$G$1001,$O132))</f>
      </c>
      <c r="H132">
        <f>IF($O132="","",INDEX(Master!$H$2:$H$1001,$O132))</f>
      </c>
      <c r="I132">
        <f>IF($O132="","",INDEX(Master!$I$2:$I$1001,$O132))</f>
      </c>
      <c r="J132">
        <f>IF($O132="","",INDEX(Master!$J$2:$J$1001,$O132))</f>
      </c>
      <c r="K132">
        <f t="shared" si="2"/>
      </c>
      <c r="L132">
        <f>IF($O132="","",INDEX(Master!$K$2:$K$1001,$O132))</f>
      </c>
      <c r="M132">
        <f>IF($O132="","",INDEX(Master!$L$2:$L$1001,$O132))</f>
      </c>
      <c r="O132">
        <f t="array" ref="O132">IFERROR(SMALL(IF((Master!$A$2:$A$1001="SHYAM METALLIKS")*(Master!$M$2:$M$1001="160 x 160 x 6MTR"),ROW(Master!$A$2:$A$1001)-ROW(Master!$A$2)+1),128),"")</f>
      </c>
      <c r="P132">
        <f t="shared" si="3"/>
      </c>
    </row>
    <row r="133" spans="1:16" x14ac:dyDescent="0.25">
      <c r="A133">
        <f>IF($O133="","",INDEX(Master!$D$2:$D$1001,$O133))</f>
      </c>
      <c r="B133">
        <f>IF($O133="","",INDEX(Master!$B$2:$B$1001,$O133))</f>
      </c>
      <c r="C133">
        <f>IF($O133="","",INDEX(Master!$C$2:$C$1001,$O133))</f>
      </c>
      <c r="D133">
        <f>IF($O133="","",INDEX(Master!$A$2:$A$1001,$O133))</f>
      </c>
      <c r="E133">
        <f>IF($O133="","",INDEX(Master!$E$2:$E$1001,$O133))</f>
      </c>
      <c r="F133">
        <f>IF($O133="","",INDEX(Master!$F$2:$F$1001,$O133))</f>
      </c>
      <c r="G133">
        <f>IF($O133="","",INDEX(Master!$G$2:$G$1001,$O133))</f>
      </c>
      <c r="H133">
        <f>IF($O133="","",INDEX(Master!$H$2:$H$1001,$O133))</f>
      </c>
      <c r="I133">
        <f>IF($O133="","",INDEX(Master!$I$2:$I$1001,$O133))</f>
      </c>
      <c r="J133">
        <f>IF($O133="","",INDEX(Master!$J$2:$J$1001,$O133))</f>
      </c>
      <c r="K133">
        <f t="shared" ref="K133:K196" si="4">IF(OR($O133="",$F133="",$F133=0),"",$H133/$F133)</f>
      </c>
      <c r="L133">
        <f>IF($O133="","",INDEX(Master!$K$2:$K$1001,$O133))</f>
      </c>
      <c r="M133">
        <f>IF($O133="","",INDEX(Master!$L$2:$L$1001,$O133))</f>
      </c>
      <c r="O133">
        <f t="array" ref="O133">IFERROR(SMALL(IF((Master!$A$2:$A$1001="SHYAM METALLIKS")*(Master!$M$2:$M$1001="160 x 160 x 6MTR"),ROW(Master!$A$2:$A$1001)-ROW(Master!$A$2)+1),129),"")</f>
      </c>
      <c r="P133">
        <f t="shared" ref="P133:P196" si="5">IF($A133="",0,IF(OR(AND($E133&lt;&gt;"",OR($E133&gt;0.18)),AND($F133&lt;&gt;"",OR(($F133+$G133)&gt;0.14)),AND($G133&lt;&gt;"",OR(($F133+$G133)&gt;0.14)),AND($H133&lt;&gt;"",$H133&lt;0.4),AND($J133&lt;&gt;"",OR($J133&lt;0.1))),1,0))</f>
      </c>
    </row>
    <row r="134" spans="1:16" x14ac:dyDescent="0.25">
      <c r="A134">
        <f>IF($O134="","",INDEX(Master!$D$2:$D$1001,$O134))</f>
      </c>
      <c r="B134">
        <f>IF($O134="","",INDEX(Master!$B$2:$B$1001,$O134))</f>
      </c>
      <c r="C134">
        <f>IF($O134="","",INDEX(Master!$C$2:$C$1001,$O134))</f>
      </c>
      <c r="D134">
        <f>IF($O134="","",INDEX(Master!$A$2:$A$1001,$O134))</f>
      </c>
      <c r="E134">
        <f>IF($O134="","",INDEX(Master!$E$2:$E$1001,$O134))</f>
      </c>
      <c r="F134">
        <f>IF($O134="","",INDEX(Master!$F$2:$F$1001,$O134))</f>
      </c>
      <c r="G134">
        <f>IF($O134="","",INDEX(Master!$G$2:$G$1001,$O134))</f>
      </c>
      <c r="H134">
        <f>IF($O134="","",INDEX(Master!$H$2:$H$1001,$O134))</f>
      </c>
      <c r="I134">
        <f>IF($O134="","",INDEX(Master!$I$2:$I$1001,$O134))</f>
      </c>
      <c r="J134">
        <f>IF($O134="","",INDEX(Master!$J$2:$J$1001,$O134))</f>
      </c>
      <c r="K134">
        <f t="shared" si="4"/>
      </c>
      <c r="L134">
        <f>IF($O134="","",INDEX(Master!$K$2:$K$1001,$O134))</f>
      </c>
      <c r="M134">
        <f>IF($O134="","",INDEX(Master!$L$2:$L$1001,$O134))</f>
      </c>
      <c r="O134">
        <f t="array" ref="O134">IFERROR(SMALL(IF((Master!$A$2:$A$1001="SHYAM METALLIKS")*(Master!$M$2:$M$1001="160 x 160 x 6MTR"),ROW(Master!$A$2:$A$1001)-ROW(Master!$A$2)+1),130),"")</f>
      </c>
      <c r="P134">
        <f t="shared" si="5"/>
      </c>
    </row>
    <row r="135" spans="1:16" x14ac:dyDescent="0.25">
      <c r="A135">
        <f>IF($O135="","",INDEX(Master!$D$2:$D$1001,$O135))</f>
      </c>
      <c r="B135">
        <f>IF($O135="","",INDEX(Master!$B$2:$B$1001,$O135))</f>
      </c>
      <c r="C135">
        <f>IF($O135="","",INDEX(Master!$C$2:$C$1001,$O135))</f>
      </c>
      <c r="D135">
        <f>IF($O135="","",INDEX(Master!$A$2:$A$1001,$O135))</f>
      </c>
      <c r="E135">
        <f>IF($O135="","",INDEX(Master!$E$2:$E$1001,$O135))</f>
      </c>
      <c r="F135">
        <f>IF($O135="","",INDEX(Master!$F$2:$F$1001,$O135))</f>
      </c>
      <c r="G135">
        <f>IF($O135="","",INDEX(Master!$G$2:$G$1001,$O135))</f>
      </c>
      <c r="H135">
        <f>IF($O135="","",INDEX(Master!$H$2:$H$1001,$O135))</f>
      </c>
      <c r="I135">
        <f>IF($O135="","",INDEX(Master!$I$2:$I$1001,$O135))</f>
      </c>
      <c r="J135">
        <f>IF($O135="","",INDEX(Master!$J$2:$J$1001,$O135))</f>
      </c>
      <c r="K135">
        <f t="shared" si="4"/>
      </c>
      <c r="L135">
        <f>IF($O135="","",INDEX(Master!$K$2:$K$1001,$O135))</f>
      </c>
      <c r="M135">
        <f>IF($O135="","",INDEX(Master!$L$2:$L$1001,$O135))</f>
      </c>
      <c r="O135">
        <f t="array" ref="O135">IFERROR(SMALL(IF((Master!$A$2:$A$1001="SHYAM METALLIKS")*(Master!$M$2:$M$1001="160 x 160 x 6MTR"),ROW(Master!$A$2:$A$1001)-ROW(Master!$A$2)+1),131),"")</f>
      </c>
      <c r="P135">
        <f t="shared" si="5"/>
      </c>
    </row>
    <row r="136" spans="1:16" x14ac:dyDescent="0.25">
      <c r="A136">
        <f>IF($O136="","",INDEX(Master!$D$2:$D$1001,$O136))</f>
      </c>
      <c r="B136">
        <f>IF($O136="","",INDEX(Master!$B$2:$B$1001,$O136))</f>
      </c>
      <c r="C136">
        <f>IF($O136="","",INDEX(Master!$C$2:$C$1001,$O136))</f>
      </c>
      <c r="D136">
        <f>IF($O136="","",INDEX(Master!$A$2:$A$1001,$O136))</f>
      </c>
      <c r="E136">
        <f>IF($O136="","",INDEX(Master!$E$2:$E$1001,$O136))</f>
      </c>
      <c r="F136">
        <f>IF($O136="","",INDEX(Master!$F$2:$F$1001,$O136))</f>
      </c>
      <c r="G136">
        <f>IF($O136="","",INDEX(Master!$G$2:$G$1001,$O136))</f>
      </c>
      <c r="H136">
        <f>IF($O136="","",INDEX(Master!$H$2:$H$1001,$O136))</f>
      </c>
      <c r="I136">
        <f>IF($O136="","",INDEX(Master!$I$2:$I$1001,$O136))</f>
      </c>
      <c r="J136">
        <f>IF($O136="","",INDEX(Master!$J$2:$J$1001,$O136))</f>
      </c>
      <c r="K136">
        <f t="shared" si="4"/>
      </c>
      <c r="L136">
        <f>IF($O136="","",INDEX(Master!$K$2:$K$1001,$O136))</f>
      </c>
      <c r="M136">
        <f>IF($O136="","",INDEX(Master!$L$2:$L$1001,$O136))</f>
      </c>
      <c r="O136">
        <f t="array" ref="O136">IFERROR(SMALL(IF((Master!$A$2:$A$1001="SHYAM METALLIKS")*(Master!$M$2:$M$1001="160 x 160 x 6MTR"),ROW(Master!$A$2:$A$1001)-ROW(Master!$A$2)+1),132),"")</f>
      </c>
      <c r="P136">
        <f t="shared" si="5"/>
      </c>
    </row>
    <row r="137" spans="1:16" x14ac:dyDescent="0.25">
      <c r="A137">
        <f>IF($O137="","",INDEX(Master!$D$2:$D$1001,$O137))</f>
      </c>
      <c r="B137">
        <f>IF($O137="","",INDEX(Master!$B$2:$B$1001,$O137))</f>
      </c>
      <c r="C137">
        <f>IF($O137="","",INDEX(Master!$C$2:$C$1001,$O137))</f>
      </c>
      <c r="D137">
        <f>IF($O137="","",INDEX(Master!$A$2:$A$1001,$O137))</f>
      </c>
      <c r="E137">
        <f>IF($O137="","",INDEX(Master!$E$2:$E$1001,$O137))</f>
      </c>
      <c r="F137">
        <f>IF($O137="","",INDEX(Master!$F$2:$F$1001,$O137))</f>
      </c>
      <c r="G137">
        <f>IF($O137="","",INDEX(Master!$G$2:$G$1001,$O137))</f>
      </c>
      <c r="H137">
        <f>IF($O137="","",INDEX(Master!$H$2:$H$1001,$O137))</f>
      </c>
      <c r="I137">
        <f>IF($O137="","",INDEX(Master!$I$2:$I$1001,$O137))</f>
      </c>
      <c r="J137">
        <f>IF($O137="","",INDEX(Master!$J$2:$J$1001,$O137))</f>
      </c>
      <c r="K137">
        <f t="shared" si="4"/>
      </c>
      <c r="L137">
        <f>IF($O137="","",INDEX(Master!$K$2:$K$1001,$O137))</f>
      </c>
      <c r="M137">
        <f>IF($O137="","",INDEX(Master!$L$2:$L$1001,$O137))</f>
      </c>
      <c r="O137">
        <f t="array" ref="O137">IFERROR(SMALL(IF((Master!$A$2:$A$1001="SHYAM METALLIKS")*(Master!$M$2:$M$1001="160 x 160 x 6MTR"),ROW(Master!$A$2:$A$1001)-ROW(Master!$A$2)+1),133),"")</f>
      </c>
      <c r="P137">
        <f t="shared" si="5"/>
      </c>
    </row>
    <row r="138" spans="1:16" x14ac:dyDescent="0.25">
      <c r="A138">
        <f>IF($O138="","",INDEX(Master!$D$2:$D$1001,$O138))</f>
      </c>
      <c r="B138">
        <f>IF($O138="","",INDEX(Master!$B$2:$B$1001,$O138))</f>
      </c>
      <c r="C138">
        <f>IF($O138="","",INDEX(Master!$C$2:$C$1001,$O138))</f>
      </c>
      <c r="D138">
        <f>IF($O138="","",INDEX(Master!$A$2:$A$1001,$O138))</f>
      </c>
      <c r="E138">
        <f>IF($O138="","",INDEX(Master!$E$2:$E$1001,$O138))</f>
      </c>
      <c r="F138">
        <f>IF($O138="","",INDEX(Master!$F$2:$F$1001,$O138))</f>
      </c>
      <c r="G138">
        <f>IF($O138="","",INDEX(Master!$G$2:$G$1001,$O138))</f>
      </c>
      <c r="H138">
        <f>IF($O138="","",INDEX(Master!$H$2:$H$1001,$O138))</f>
      </c>
      <c r="I138">
        <f>IF($O138="","",INDEX(Master!$I$2:$I$1001,$O138))</f>
      </c>
      <c r="J138">
        <f>IF($O138="","",INDEX(Master!$J$2:$J$1001,$O138))</f>
      </c>
      <c r="K138">
        <f t="shared" si="4"/>
      </c>
      <c r="L138">
        <f>IF($O138="","",INDEX(Master!$K$2:$K$1001,$O138))</f>
      </c>
      <c r="M138">
        <f>IF($O138="","",INDEX(Master!$L$2:$L$1001,$O138))</f>
      </c>
      <c r="O138">
        <f t="array" ref="O138">IFERROR(SMALL(IF((Master!$A$2:$A$1001="SHYAM METALLIKS")*(Master!$M$2:$M$1001="160 x 160 x 6MTR"),ROW(Master!$A$2:$A$1001)-ROW(Master!$A$2)+1),134),"")</f>
      </c>
      <c r="P138">
        <f t="shared" si="5"/>
      </c>
    </row>
    <row r="139" spans="1:16" x14ac:dyDescent="0.25">
      <c r="A139">
        <f>IF($O139="","",INDEX(Master!$D$2:$D$1001,$O139))</f>
      </c>
      <c r="B139">
        <f>IF($O139="","",INDEX(Master!$B$2:$B$1001,$O139))</f>
      </c>
      <c r="C139">
        <f>IF($O139="","",INDEX(Master!$C$2:$C$1001,$O139))</f>
      </c>
      <c r="D139">
        <f>IF($O139="","",INDEX(Master!$A$2:$A$1001,$O139))</f>
      </c>
      <c r="E139">
        <f>IF($O139="","",INDEX(Master!$E$2:$E$1001,$O139))</f>
      </c>
      <c r="F139">
        <f>IF($O139="","",INDEX(Master!$F$2:$F$1001,$O139))</f>
      </c>
      <c r="G139">
        <f>IF($O139="","",INDEX(Master!$G$2:$G$1001,$O139))</f>
      </c>
      <c r="H139">
        <f>IF($O139="","",INDEX(Master!$H$2:$H$1001,$O139))</f>
      </c>
      <c r="I139">
        <f>IF($O139="","",INDEX(Master!$I$2:$I$1001,$O139))</f>
      </c>
      <c r="J139">
        <f>IF($O139="","",INDEX(Master!$J$2:$J$1001,$O139))</f>
      </c>
      <c r="K139">
        <f t="shared" si="4"/>
      </c>
      <c r="L139">
        <f>IF($O139="","",INDEX(Master!$K$2:$K$1001,$O139))</f>
      </c>
      <c r="M139">
        <f>IF($O139="","",INDEX(Master!$L$2:$L$1001,$O139))</f>
      </c>
      <c r="O139">
        <f t="array" ref="O139">IFERROR(SMALL(IF((Master!$A$2:$A$1001="SHYAM METALLIKS")*(Master!$M$2:$M$1001="160 x 160 x 6MTR"),ROW(Master!$A$2:$A$1001)-ROW(Master!$A$2)+1),135),"")</f>
      </c>
      <c r="P139">
        <f t="shared" si="5"/>
      </c>
    </row>
    <row r="140" spans="1:16" x14ac:dyDescent="0.25">
      <c r="A140">
        <f>IF($O140="","",INDEX(Master!$D$2:$D$1001,$O140))</f>
      </c>
      <c r="B140">
        <f>IF($O140="","",INDEX(Master!$B$2:$B$1001,$O140))</f>
      </c>
      <c r="C140">
        <f>IF($O140="","",INDEX(Master!$C$2:$C$1001,$O140))</f>
      </c>
      <c r="D140">
        <f>IF($O140="","",INDEX(Master!$A$2:$A$1001,$O140))</f>
      </c>
      <c r="E140">
        <f>IF($O140="","",INDEX(Master!$E$2:$E$1001,$O140))</f>
      </c>
      <c r="F140">
        <f>IF($O140="","",INDEX(Master!$F$2:$F$1001,$O140))</f>
      </c>
      <c r="G140">
        <f>IF($O140="","",INDEX(Master!$G$2:$G$1001,$O140))</f>
      </c>
      <c r="H140">
        <f>IF($O140="","",INDEX(Master!$H$2:$H$1001,$O140))</f>
      </c>
      <c r="I140">
        <f>IF($O140="","",INDEX(Master!$I$2:$I$1001,$O140))</f>
      </c>
      <c r="J140">
        <f>IF($O140="","",INDEX(Master!$J$2:$J$1001,$O140))</f>
      </c>
      <c r="K140">
        <f t="shared" si="4"/>
      </c>
      <c r="L140">
        <f>IF($O140="","",INDEX(Master!$K$2:$K$1001,$O140))</f>
      </c>
      <c r="M140">
        <f>IF($O140="","",INDEX(Master!$L$2:$L$1001,$O140))</f>
      </c>
      <c r="O140">
        <f t="array" ref="O140">IFERROR(SMALL(IF((Master!$A$2:$A$1001="SHYAM METALLIKS")*(Master!$M$2:$M$1001="160 x 160 x 6MTR"),ROW(Master!$A$2:$A$1001)-ROW(Master!$A$2)+1),136),"")</f>
      </c>
      <c r="P140">
        <f t="shared" si="5"/>
      </c>
    </row>
    <row r="141" spans="1:16" x14ac:dyDescent="0.25">
      <c r="A141">
        <f>IF($O141="","",INDEX(Master!$D$2:$D$1001,$O141))</f>
      </c>
      <c r="B141">
        <f>IF($O141="","",INDEX(Master!$B$2:$B$1001,$O141))</f>
      </c>
      <c r="C141">
        <f>IF($O141="","",INDEX(Master!$C$2:$C$1001,$O141))</f>
      </c>
      <c r="D141">
        <f>IF($O141="","",INDEX(Master!$A$2:$A$1001,$O141))</f>
      </c>
      <c r="E141">
        <f>IF($O141="","",INDEX(Master!$E$2:$E$1001,$O141))</f>
      </c>
      <c r="F141">
        <f>IF($O141="","",INDEX(Master!$F$2:$F$1001,$O141))</f>
      </c>
      <c r="G141">
        <f>IF($O141="","",INDEX(Master!$G$2:$G$1001,$O141))</f>
      </c>
      <c r="H141">
        <f>IF($O141="","",INDEX(Master!$H$2:$H$1001,$O141))</f>
      </c>
      <c r="I141">
        <f>IF($O141="","",INDEX(Master!$I$2:$I$1001,$O141))</f>
      </c>
      <c r="J141">
        <f>IF($O141="","",INDEX(Master!$J$2:$J$1001,$O141))</f>
      </c>
      <c r="K141">
        <f t="shared" si="4"/>
      </c>
      <c r="L141">
        <f>IF($O141="","",INDEX(Master!$K$2:$K$1001,$O141))</f>
      </c>
      <c r="M141">
        <f>IF($O141="","",INDEX(Master!$L$2:$L$1001,$O141))</f>
      </c>
      <c r="O141">
        <f t="array" ref="O141">IFERROR(SMALL(IF((Master!$A$2:$A$1001="SHYAM METALLIKS")*(Master!$M$2:$M$1001="160 x 160 x 6MTR"),ROW(Master!$A$2:$A$1001)-ROW(Master!$A$2)+1),137),"")</f>
      </c>
      <c r="P141">
        <f t="shared" si="5"/>
      </c>
    </row>
    <row r="142" spans="1:16" x14ac:dyDescent="0.25">
      <c r="A142">
        <f>IF($O142="","",INDEX(Master!$D$2:$D$1001,$O142))</f>
      </c>
      <c r="B142">
        <f>IF($O142="","",INDEX(Master!$B$2:$B$1001,$O142))</f>
      </c>
      <c r="C142">
        <f>IF($O142="","",INDEX(Master!$C$2:$C$1001,$O142))</f>
      </c>
      <c r="D142">
        <f>IF($O142="","",INDEX(Master!$A$2:$A$1001,$O142))</f>
      </c>
      <c r="E142">
        <f>IF($O142="","",INDEX(Master!$E$2:$E$1001,$O142))</f>
      </c>
      <c r="F142">
        <f>IF($O142="","",INDEX(Master!$F$2:$F$1001,$O142))</f>
      </c>
      <c r="G142">
        <f>IF($O142="","",INDEX(Master!$G$2:$G$1001,$O142))</f>
      </c>
      <c r="H142">
        <f>IF($O142="","",INDEX(Master!$H$2:$H$1001,$O142))</f>
      </c>
      <c r="I142">
        <f>IF($O142="","",INDEX(Master!$I$2:$I$1001,$O142))</f>
      </c>
      <c r="J142">
        <f>IF($O142="","",INDEX(Master!$J$2:$J$1001,$O142))</f>
      </c>
      <c r="K142">
        <f t="shared" si="4"/>
      </c>
      <c r="L142">
        <f>IF($O142="","",INDEX(Master!$K$2:$K$1001,$O142))</f>
      </c>
      <c r="M142">
        <f>IF($O142="","",INDEX(Master!$L$2:$L$1001,$O142))</f>
      </c>
      <c r="O142">
        <f t="array" ref="O142">IFERROR(SMALL(IF((Master!$A$2:$A$1001="SHYAM METALLIKS")*(Master!$M$2:$M$1001="160 x 160 x 6MTR"),ROW(Master!$A$2:$A$1001)-ROW(Master!$A$2)+1),138),"")</f>
      </c>
      <c r="P142">
        <f t="shared" si="5"/>
      </c>
    </row>
    <row r="143" spans="1:16" x14ac:dyDescent="0.25">
      <c r="A143">
        <f>IF($O143="","",INDEX(Master!$D$2:$D$1001,$O143))</f>
      </c>
      <c r="B143">
        <f>IF($O143="","",INDEX(Master!$B$2:$B$1001,$O143))</f>
      </c>
      <c r="C143">
        <f>IF($O143="","",INDEX(Master!$C$2:$C$1001,$O143))</f>
      </c>
      <c r="D143">
        <f>IF($O143="","",INDEX(Master!$A$2:$A$1001,$O143))</f>
      </c>
      <c r="E143">
        <f>IF($O143="","",INDEX(Master!$E$2:$E$1001,$O143))</f>
      </c>
      <c r="F143">
        <f>IF($O143="","",INDEX(Master!$F$2:$F$1001,$O143))</f>
      </c>
      <c r="G143">
        <f>IF($O143="","",INDEX(Master!$G$2:$G$1001,$O143))</f>
      </c>
      <c r="H143">
        <f>IF($O143="","",INDEX(Master!$H$2:$H$1001,$O143))</f>
      </c>
      <c r="I143">
        <f>IF($O143="","",INDEX(Master!$I$2:$I$1001,$O143))</f>
      </c>
      <c r="J143">
        <f>IF($O143="","",INDEX(Master!$J$2:$J$1001,$O143))</f>
      </c>
      <c r="K143">
        <f t="shared" si="4"/>
      </c>
      <c r="L143">
        <f>IF($O143="","",INDEX(Master!$K$2:$K$1001,$O143))</f>
      </c>
      <c r="M143">
        <f>IF($O143="","",INDEX(Master!$L$2:$L$1001,$O143))</f>
      </c>
      <c r="O143">
        <f t="array" ref="O143">IFERROR(SMALL(IF((Master!$A$2:$A$1001="SHYAM METALLIKS")*(Master!$M$2:$M$1001="160 x 160 x 6MTR"),ROW(Master!$A$2:$A$1001)-ROW(Master!$A$2)+1),139),"")</f>
      </c>
      <c r="P143">
        <f t="shared" si="5"/>
      </c>
    </row>
    <row r="144" spans="1:16" x14ac:dyDescent="0.25">
      <c r="A144">
        <f>IF($O144="","",INDEX(Master!$D$2:$D$1001,$O144))</f>
      </c>
      <c r="B144">
        <f>IF($O144="","",INDEX(Master!$B$2:$B$1001,$O144))</f>
      </c>
      <c r="C144">
        <f>IF($O144="","",INDEX(Master!$C$2:$C$1001,$O144))</f>
      </c>
      <c r="D144">
        <f>IF($O144="","",INDEX(Master!$A$2:$A$1001,$O144))</f>
      </c>
      <c r="E144">
        <f>IF($O144="","",INDEX(Master!$E$2:$E$1001,$O144))</f>
      </c>
      <c r="F144">
        <f>IF($O144="","",INDEX(Master!$F$2:$F$1001,$O144))</f>
      </c>
      <c r="G144">
        <f>IF($O144="","",INDEX(Master!$G$2:$G$1001,$O144))</f>
      </c>
      <c r="H144">
        <f>IF($O144="","",INDEX(Master!$H$2:$H$1001,$O144))</f>
      </c>
      <c r="I144">
        <f>IF($O144="","",INDEX(Master!$I$2:$I$1001,$O144))</f>
      </c>
      <c r="J144">
        <f>IF($O144="","",INDEX(Master!$J$2:$J$1001,$O144))</f>
      </c>
      <c r="K144">
        <f t="shared" si="4"/>
      </c>
      <c r="L144">
        <f>IF($O144="","",INDEX(Master!$K$2:$K$1001,$O144))</f>
      </c>
      <c r="M144">
        <f>IF($O144="","",INDEX(Master!$L$2:$L$1001,$O144))</f>
      </c>
      <c r="O144">
        <f t="array" ref="O144">IFERROR(SMALL(IF((Master!$A$2:$A$1001="SHYAM METALLIKS")*(Master!$M$2:$M$1001="160 x 160 x 6MTR"),ROW(Master!$A$2:$A$1001)-ROW(Master!$A$2)+1),140),"")</f>
      </c>
      <c r="P144">
        <f t="shared" si="5"/>
      </c>
    </row>
    <row r="145" spans="1:16" x14ac:dyDescent="0.25">
      <c r="A145">
        <f>IF($O145="","",INDEX(Master!$D$2:$D$1001,$O145))</f>
      </c>
      <c r="B145">
        <f>IF($O145="","",INDEX(Master!$B$2:$B$1001,$O145))</f>
      </c>
      <c r="C145">
        <f>IF($O145="","",INDEX(Master!$C$2:$C$1001,$O145))</f>
      </c>
      <c r="D145">
        <f>IF($O145="","",INDEX(Master!$A$2:$A$1001,$O145))</f>
      </c>
      <c r="E145">
        <f>IF($O145="","",INDEX(Master!$E$2:$E$1001,$O145))</f>
      </c>
      <c r="F145">
        <f>IF($O145="","",INDEX(Master!$F$2:$F$1001,$O145))</f>
      </c>
      <c r="G145">
        <f>IF($O145="","",INDEX(Master!$G$2:$G$1001,$O145))</f>
      </c>
      <c r="H145">
        <f>IF($O145="","",INDEX(Master!$H$2:$H$1001,$O145))</f>
      </c>
      <c r="I145">
        <f>IF($O145="","",INDEX(Master!$I$2:$I$1001,$O145))</f>
      </c>
      <c r="J145">
        <f>IF($O145="","",INDEX(Master!$J$2:$J$1001,$O145))</f>
      </c>
      <c r="K145">
        <f t="shared" si="4"/>
      </c>
      <c r="L145">
        <f>IF($O145="","",INDEX(Master!$K$2:$K$1001,$O145))</f>
      </c>
      <c r="M145">
        <f>IF($O145="","",INDEX(Master!$L$2:$L$1001,$O145))</f>
      </c>
      <c r="O145">
        <f t="array" ref="O145">IFERROR(SMALL(IF((Master!$A$2:$A$1001="SHYAM METALLIKS")*(Master!$M$2:$M$1001="160 x 160 x 6MTR"),ROW(Master!$A$2:$A$1001)-ROW(Master!$A$2)+1),141),"")</f>
      </c>
      <c r="P145">
        <f t="shared" si="5"/>
      </c>
    </row>
    <row r="146" spans="1:16" x14ac:dyDescent="0.25">
      <c r="A146">
        <f>IF($O146="","",INDEX(Master!$D$2:$D$1001,$O146))</f>
      </c>
      <c r="B146">
        <f>IF($O146="","",INDEX(Master!$B$2:$B$1001,$O146))</f>
      </c>
      <c r="C146">
        <f>IF($O146="","",INDEX(Master!$C$2:$C$1001,$O146))</f>
      </c>
      <c r="D146">
        <f>IF($O146="","",INDEX(Master!$A$2:$A$1001,$O146))</f>
      </c>
      <c r="E146">
        <f>IF($O146="","",INDEX(Master!$E$2:$E$1001,$O146))</f>
      </c>
      <c r="F146">
        <f>IF($O146="","",INDEX(Master!$F$2:$F$1001,$O146))</f>
      </c>
      <c r="G146">
        <f>IF($O146="","",INDEX(Master!$G$2:$G$1001,$O146))</f>
      </c>
      <c r="H146">
        <f>IF($O146="","",INDEX(Master!$H$2:$H$1001,$O146))</f>
      </c>
      <c r="I146">
        <f>IF($O146="","",INDEX(Master!$I$2:$I$1001,$O146))</f>
      </c>
      <c r="J146">
        <f>IF($O146="","",INDEX(Master!$J$2:$J$1001,$O146))</f>
      </c>
      <c r="K146">
        <f t="shared" si="4"/>
      </c>
      <c r="L146">
        <f>IF($O146="","",INDEX(Master!$K$2:$K$1001,$O146))</f>
      </c>
      <c r="M146">
        <f>IF($O146="","",INDEX(Master!$L$2:$L$1001,$O146))</f>
      </c>
      <c r="O146">
        <f t="array" ref="O146">IFERROR(SMALL(IF((Master!$A$2:$A$1001="SHYAM METALLIKS")*(Master!$M$2:$M$1001="160 x 160 x 6MTR"),ROW(Master!$A$2:$A$1001)-ROW(Master!$A$2)+1),142),"")</f>
      </c>
      <c r="P146">
        <f t="shared" si="5"/>
      </c>
    </row>
    <row r="147" spans="1:16" x14ac:dyDescent="0.25">
      <c r="A147">
        <f>IF($O147="","",INDEX(Master!$D$2:$D$1001,$O147))</f>
      </c>
      <c r="B147">
        <f>IF($O147="","",INDEX(Master!$B$2:$B$1001,$O147))</f>
      </c>
      <c r="C147">
        <f>IF($O147="","",INDEX(Master!$C$2:$C$1001,$O147))</f>
      </c>
      <c r="D147">
        <f>IF($O147="","",INDEX(Master!$A$2:$A$1001,$O147))</f>
      </c>
      <c r="E147">
        <f>IF($O147="","",INDEX(Master!$E$2:$E$1001,$O147))</f>
      </c>
      <c r="F147">
        <f>IF($O147="","",INDEX(Master!$F$2:$F$1001,$O147))</f>
      </c>
      <c r="G147">
        <f>IF($O147="","",INDEX(Master!$G$2:$G$1001,$O147))</f>
      </c>
      <c r="H147">
        <f>IF($O147="","",INDEX(Master!$H$2:$H$1001,$O147))</f>
      </c>
      <c r="I147">
        <f>IF($O147="","",INDEX(Master!$I$2:$I$1001,$O147))</f>
      </c>
      <c r="J147">
        <f>IF($O147="","",INDEX(Master!$J$2:$J$1001,$O147))</f>
      </c>
      <c r="K147">
        <f t="shared" si="4"/>
      </c>
      <c r="L147">
        <f>IF($O147="","",INDEX(Master!$K$2:$K$1001,$O147))</f>
      </c>
      <c r="M147">
        <f>IF($O147="","",INDEX(Master!$L$2:$L$1001,$O147))</f>
      </c>
      <c r="O147">
        <f t="array" ref="O147">IFERROR(SMALL(IF((Master!$A$2:$A$1001="SHYAM METALLIKS")*(Master!$M$2:$M$1001="160 x 160 x 6MTR"),ROW(Master!$A$2:$A$1001)-ROW(Master!$A$2)+1),143),"")</f>
      </c>
      <c r="P147">
        <f t="shared" si="5"/>
      </c>
    </row>
    <row r="148" spans="1:16" x14ac:dyDescent="0.25">
      <c r="A148">
        <f>IF($O148="","",INDEX(Master!$D$2:$D$1001,$O148))</f>
      </c>
      <c r="B148">
        <f>IF($O148="","",INDEX(Master!$B$2:$B$1001,$O148))</f>
      </c>
      <c r="C148">
        <f>IF($O148="","",INDEX(Master!$C$2:$C$1001,$O148))</f>
      </c>
      <c r="D148">
        <f>IF($O148="","",INDEX(Master!$A$2:$A$1001,$O148))</f>
      </c>
      <c r="E148">
        <f>IF($O148="","",INDEX(Master!$E$2:$E$1001,$O148))</f>
      </c>
      <c r="F148">
        <f>IF($O148="","",INDEX(Master!$F$2:$F$1001,$O148))</f>
      </c>
      <c r="G148">
        <f>IF($O148="","",INDEX(Master!$G$2:$G$1001,$O148))</f>
      </c>
      <c r="H148">
        <f>IF($O148="","",INDEX(Master!$H$2:$H$1001,$O148))</f>
      </c>
      <c r="I148">
        <f>IF($O148="","",INDEX(Master!$I$2:$I$1001,$O148))</f>
      </c>
      <c r="J148">
        <f>IF($O148="","",INDEX(Master!$J$2:$J$1001,$O148))</f>
      </c>
      <c r="K148">
        <f t="shared" si="4"/>
      </c>
      <c r="L148">
        <f>IF($O148="","",INDEX(Master!$K$2:$K$1001,$O148))</f>
      </c>
      <c r="M148">
        <f>IF($O148="","",INDEX(Master!$L$2:$L$1001,$O148))</f>
      </c>
      <c r="O148">
        <f t="array" ref="O148">IFERROR(SMALL(IF((Master!$A$2:$A$1001="SHYAM METALLIKS")*(Master!$M$2:$M$1001="160 x 160 x 6MTR"),ROW(Master!$A$2:$A$1001)-ROW(Master!$A$2)+1),144),"")</f>
      </c>
      <c r="P148">
        <f t="shared" si="5"/>
      </c>
    </row>
    <row r="149" spans="1:16" x14ac:dyDescent="0.25">
      <c r="A149">
        <f>IF($O149="","",INDEX(Master!$D$2:$D$1001,$O149))</f>
      </c>
      <c r="B149">
        <f>IF($O149="","",INDEX(Master!$B$2:$B$1001,$O149))</f>
      </c>
      <c r="C149">
        <f>IF($O149="","",INDEX(Master!$C$2:$C$1001,$O149))</f>
      </c>
      <c r="D149">
        <f>IF($O149="","",INDEX(Master!$A$2:$A$1001,$O149))</f>
      </c>
      <c r="E149">
        <f>IF($O149="","",INDEX(Master!$E$2:$E$1001,$O149))</f>
      </c>
      <c r="F149">
        <f>IF($O149="","",INDEX(Master!$F$2:$F$1001,$O149))</f>
      </c>
      <c r="G149">
        <f>IF($O149="","",INDEX(Master!$G$2:$G$1001,$O149))</f>
      </c>
      <c r="H149">
        <f>IF($O149="","",INDEX(Master!$H$2:$H$1001,$O149))</f>
      </c>
      <c r="I149">
        <f>IF($O149="","",INDEX(Master!$I$2:$I$1001,$O149))</f>
      </c>
      <c r="J149">
        <f>IF($O149="","",INDEX(Master!$J$2:$J$1001,$O149))</f>
      </c>
      <c r="K149">
        <f t="shared" si="4"/>
      </c>
      <c r="L149">
        <f>IF($O149="","",INDEX(Master!$K$2:$K$1001,$O149))</f>
      </c>
      <c r="M149">
        <f>IF($O149="","",INDEX(Master!$L$2:$L$1001,$O149))</f>
      </c>
      <c r="O149">
        <f t="array" ref="O149">IFERROR(SMALL(IF((Master!$A$2:$A$1001="SHYAM METALLIKS")*(Master!$M$2:$M$1001="160 x 160 x 6MTR"),ROW(Master!$A$2:$A$1001)-ROW(Master!$A$2)+1),145),"")</f>
      </c>
      <c r="P149">
        <f t="shared" si="5"/>
      </c>
    </row>
    <row r="150" spans="1:16" x14ac:dyDescent="0.25">
      <c r="A150">
        <f>IF($O150="","",INDEX(Master!$D$2:$D$1001,$O150))</f>
      </c>
      <c r="B150">
        <f>IF($O150="","",INDEX(Master!$B$2:$B$1001,$O150))</f>
      </c>
      <c r="C150">
        <f>IF($O150="","",INDEX(Master!$C$2:$C$1001,$O150))</f>
      </c>
      <c r="D150">
        <f>IF($O150="","",INDEX(Master!$A$2:$A$1001,$O150))</f>
      </c>
      <c r="E150">
        <f>IF($O150="","",INDEX(Master!$E$2:$E$1001,$O150))</f>
      </c>
      <c r="F150">
        <f>IF($O150="","",INDEX(Master!$F$2:$F$1001,$O150))</f>
      </c>
      <c r="G150">
        <f>IF($O150="","",INDEX(Master!$G$2:$G$1001,$O150))</f>
      </c>
      <c r="H150">
        <f>IF($O150="","",INDEX(Master!$H$2:$H$1001,$O150))</f>
      </c>
      <c r="I150">
        <f>IF($O150="","",INDEX(Master!$I$2:$I$1001,$O150))</f>
      </c>
      <c r="J150">
        <f>IF($O150="","",INDEX(Master!$J$2:$J$1001,$O150))</f>
      </c>
      <c r="K150">
        <f t="shared" si="4"/>
      </c>
      <c r="L150">
        <f>IF($O150="","",INDEX(Master!$K$2:$K$1001,$O150))</f>
      </c>
      <c r="M150">
        <f>IF($O150="","",INDEX(Master!$L$2:$L$1001,$O150))</f>
      </c>
      <c r="O150">
        <f t="array" ref="O150">IFERROR(SMALL(IF((Master!$A$2:$A$1001="SHYAM METALLIKS")*(Master!$M$2:$M$1001="160 x 160 x 6MTR"),ROW(Master!$A$2:$A$1001)-ROW(Master!$A$2)+1),146),"")</f>
      </c>
      <c r="P150">
        <f t="shared" si="5"/>
      </c>
    </row>
    <row r="151" spans="1:16" x14ac:dyDescent="0.25">
      <c r="A151">
        <f>IF($O151="","",INDEX(Master!$D$2:$D$1001,$O151))</f>
      </c>
      <c r="B151">
        <f>IF($O151="","",INDEX(Master!$B$2:$B$1001,$O151))</f>
      </c>
      <c r="C151">
        <f>IF($O151="","",INDEX(Master!$C$2:$C$1001,$O151))</f>
      </c>
      <c r="D151">
        <f>IF($O151="","",INDEX(Master!$A$2:$A$1001,$O151))</f>
      </c>
      <c r="E151">
        <f>IF($O151="","",INDEX(Master!$E$2:$E$1001,$O151))</f>
      </c>
      <c r="F151">
        <f>IF($O151="","",INDEX(Master!$F$2:$F$1001,$O151))</f>
      </c>
      <c r="G151">
        <f>IF($O151="","",INDEX(Master!$G$2:$G$1001,$O151))</f>
      </c>
      <c r="H151">
        <f>IF($O151="","",INDEX(Master!$H$2:$H$1001,$O151))</f>
      </c>
      <c r="I151">
        <f>IF($O151="","",INDEX(Master!$I$2:$I$1001,$O151))</f>
      </c>
      <c r="J151">
        <f>IF($O151="","",INDEX(Master!$J$2:$J$1001,$O151))</f>
      </c>
      <c r="K151">
        <f t="shared" si="4"/>
      </c>
      <c r="L151">
        <f>IF($O151="","",INDEX(Master!$K$2:$K$1001,$O151))</f>
      </c>
      <c r="M151">
        <f>IF($O151="","",INDEX(Master!$L$2:$L$1001,$O151))</f>
      </c>
      <c r="O151">
        <f t="array" ref="O151">IFERROR(SMALL(IF((Master!$A$2:$A$1001="SHYAM METALLIKS")*(Master!$M$2:$M$1001="160 x 160 x 6MTR"),ROW(Master!$A$2:$A$1001)-ROW(Master!$A$2)+1),147),"")</f>
      </c>
      <c r="P151">
        <f t="shared" si="5"/>
      </c>
    </row>
    <row r="152" spans="1:16" x14ac:dyDescent="0.25">
      <c r="A152">
        <f>IF($O152="","",INDEX(Master!$D$2:$D$1001,$O152))</f>
      </c>
      <c r="B152">
        <f>IF($O152="","",INDEX(Master!$B$2:$B$1001,$O152))</f>
      </c>
      <c r="C152">
        <f>IF($O152="","",INDEX(Master!$C$2:$C$1001,$O152))</f>
      </c>
      <c r="D152">
        <f>IF($O152="","",INDEX(Master!$A$2:$A$1001,$O152))</f>
      </c>
      <c r="E152">
        <f>IF($O152="","",INDEX(Master!$E$2:$E$1001,$O152))</f>
      </c>
      <c r="F152">
        <f>IF($O152="","",INDEX(Master!$F$2:$F$1001,$O152))</f>
      </c>
      <c r="G152">
        <f>IF($O152="","",INDEX(Master!$G$2:$G$1001,$O152))</f>
      </c>
      <c r="H152">
        <f>IF($O152="","",INDEX(Master!$H$2:$H$1001,$O152))</f>
      </c>
      <c r="I152">
        <f>IF($O152="","",INDEX(Master!$I$2:$I$1001,$O152))</f>
      </c>
      <c r="J152">
        <f>IF($O152="","",INDEX(Master!$J$2:$J$1001,$O152))</f>
      </c>
      <c r="K152">
        <f t="shared" si="4"/>
      </c>
      <c r="L152">
        <f>IF($O152="","",INDEX(Master!$K$2:$K$1001,$O152))</f>
      </c>
      <c r="M152">
        <f>IF($O152="","",INDEX(Master!$L$2:$L$1001,$O152))</f>
      </c>
      <c r="O152">
        <f t="array" ref="O152">IFERROR(SMALL(IF((Master!$A$2:$A$1001="SHYAM METALLIKS")*(Master!$M$2:$M$1001="160 x 160 x 6MTR"),ROW(Master!$A$2:$A$1001)-ROW(Master!$A$2)+1),148),"")</f>
      </c>
      <c r="P152">
        <f t="shared" si="5"/>
      </c>
    </row>
    <row r="153" spans="1:16" x14ac:dyDescent="0.25">
      <c r="A153">
        <f>IF($O153="","",INDEX(Master!$D$2:$D$1001,$O153))</f>
      </c>
      <c r="B153">
        <f>IF($O153="","",INDEX(Master!$B$2:$B$1001,$O153))</f>
      </c>
      <c r="C153">
        <f>IF($O153="","",INDEX(Master!$C$2:$C$1001,$O153))</f>
      </c>
      <c r="D153">
        <f>IF($O153="","",INDEX(Master!$A$2:$A$1001,$O153))</f>
      </c>
      <c r="E153">
        <f>IF($O153="","",INDEX(Master!$E$2:$E$1001,$O153))</f>
      </c>
      <c r="F153">
        <f>IF($O153="","",INDEX(Master!$F$2:$F$1001,$O153))</f>
      </c>
      <c r="G153">
        <f>IF($O153="","",INDEX(Master!$G$2:$G$1001,$O153))</f>
      </c>
      <c r="H153">
        <f>IF($O153="","",INDEX(Master!$H$2:$H$1001,$O153))</f>
      </c>
      <c r="I153">
        <f>IF($O153="","",INDEX(Master!$I$2:$I$1001,$O153))</f>
      </c>
      <c r="J153">
        <f>IF($O153="","",INDEX(Master!$J$2:$J$1001,$O153))</f>
      </c>
      <c r="K153">
        <f t="shared" si="4"/>
      </c>
      <c r="L153">
        <f>IF($O153="","",INDEX(Master!$K$2:$K$1001,$O153))</f>
      </c>
      <c r="M153">
        <f>IF($O153="","",INDEX(Master!$L$2:$L$1001,$O153))</f>
      </c>
      <c r="O153">
        <f t="array" ref="O153">IFERROR(SMALL(IF((Master!$A$2:$A$1001="SHYAM METALLIKS")*(Master!$M$2:$M$1001="160 x 160 x 6MTR"),ROW(Master!$A$2:$A$1001)-ROW(Master!$A$2)+1),149),"")</f>
      </c>
      <c r="P153">
        <f t="shared" si="5"/>
      </c>
    </row>
    <row r="154" spans="1:16" x14ac:dyDescent="0.25">
      <c r="A154">
        <f>IF($O154="","",INDEX(Master!$D$2:$D$1001,$O154))</f>
      </c>
      <c r="B154">
        <f>IF($O154="","",INDEX(Master!$B$2:$B$1001,$O154))</f>
      </c>
      <c r="C154">
        <f>IF($O154="","",INDEX(Master!$C$2:$C$1001,$O154))</f>
      </c>
      <c r="D154">
        <f>IF($O154="","",INDEX(Master!$A$2:$A$1001,$O154))</f>
      </c>
      <c r="E154">
        <f>IF($O154="","",INDEX(Master!$E$2:$E$1001,$O154))</f>
      </c>
      <c r="F154">
        <f>IF($O154="","",INDEX(Master!$F$2:$F$1001,$O154))</f>
      </c>
      <c r="G154">
        <f>IF($O154="","",INDEX(Master!$G$2:$G$1001,$O154))</f>
      </c>
      <c r="H154">
        <f>IF($O154="","",INDEX(Master!$H$2:$H$1001,$O154))</f>
      </c>
      <c r="I154">
        <f>IF($O154="","",INDEX(Master!$I$2:$I$1001,$O154))</f>
      </c>
      <c r="J154">
        <f>IF($O154="","",INDEX(Master!$J$2:$J$1001,$O154))</f>
      </c>
      <c r="K154">
        <f t="shared" si="4"/>
      </c>
      <c r="L154">
        <f>IF($O154="","",INDEX(Master!$K$2:$K$1001,$O154))</f>
      </c>
      <c r="M154">
        <f>IF($O154="","",INDEX(Master!$L$2:$L$1001,$O154))</f>
      </c>
      <c r="O154">
        <f t="array" ref="O154">IFERROR(SMALL(IF((Master!$A$2:$A$1001="SHYAM METALLIKS")*(Master!$M$2:$M$1001="160 x 160 x 6MTR"),ROW(Master!$A$2:$A$1001)-ROW(Master!$A$2)+1),150),"")</f>
      </c>
      <c r="P154">
        <f t="shared" si="5"/>
      </c>
    </row>
    <row r="155" spans="1:16" x14ac:dyDescent="0.25">
      <c r="A155">
        <f>IF($O155="","",INDEX(Master!$D$2:$D$1001,$O155))</f>
      </c>
      <c r="B155">
        <f>IF($O155="","",INDEX(Master!$B$2:$B$1001,$O155))</f>
      </c>
      <c r="C155">
        <f>IF($O155="","",INDEX(Master!$C$2:$C$1001,$O155))</f>
      </c>
      <c r="D155">
        <f>IF($O155="","",INDEX(Master!$A$2:$A$1001,$O155))</f>
      </c>
      <c r="E155">
        <f>IF($O155="","",INDEX(Master!$E$2:$E$1001,$O155))</f>
      </c>
      <c r="F155">
        <f>IF($O155="","",INDEX(Master!$F$2:$F$1001,$O155))</f>
      </c>
      <c r="G155">
        <f>IF($O155="","",INDEX(Master!$G$2:$G$1001,$O155))</f>
      </c>
      <c r="H155">
        <f>IF($O155="","",INDEX(Master!$H$2:$H$1001,$O155))</f>
      </c>
      <c r="I155">
        <f>IF($O155="","",INDEX(Master!$I$2:$I$1001,$O155))</f>
      </c>
      <c r="J155">
        <f>IF($O155="","",INDEX(Master!$J$2:$J$1001,$O155))</f>
      </c>
      <c r="K155">
        <f t="shared" si="4"/>
      </c>
      <c r="L155">
        <f>IF($O155="","",INDEX(Master!$K$2:$K$1001,$O155))</f>
      </c>
      <c r="M155">
        <f>IF($O155="","",INDEX(Master!$L$2:$L$1001,$O155))</f>
      </c>
      <c r="O155">
        <f t="array" ref="O155">IFERROR(SMALL(IF((Master!$A$2:$A$1001="SHYAM METALLIKS")*(Master!$M$2:$M$1001="160 x 160 x 6MTR"),ROW(Master!$A$2:$A$1001)-ROW(Master!$A$2)+1),151),"")</f>
      </c>
      <c r="P155">
        <f t="shared" si="5"/>
      </c>
    </row>
    <row r="156" spans="1:16" x14ac:dyDescent="0.25">
      <c r="A156">
        <f>IF($O156="","",INDEX(Master!$D$2:$D$1001,$O156))</f>
      </c>
      <c r="B156">
        <f>IF($O156="","",INDEX(Master!$B$2:$B$1001,$O156))</f>
      </c>
      <c r="C156">
        <f>IF($O156="","",INDEX(Master!$C$2:$C$1001,$O156))</f>
      </c>
      <c r="D156">
        <f>IF($O156="","",INDEX(Master!$A$2:$A$1001,$O156))</f>
      </c>
      <c r="E156">
        <f>IF($O156="","",INDEX(Master!$E$2:$E$1001,$O156))</f>
      </c>
      <c r="F156">
        <f>IF($O156="","",INDEX(Master!$F$2:$F$1001,$O156))</f>
      </c>
      <c r="G156">
        <f>IF($O156="","",INDEX(Master!$G$2:$G$1001,$O156))</f>
      </c>
      <c r="H156">
        <f>IF($O156="","",INDEX(Master!$H$2:$H$1001,$O156))</f>
      </c>
      <c r="I156">
        <f>IF($O156="","",INDEX(Master!$I$2:$I$1001,$O156))</f>
      </c>
      <c r="J156">
        <f>IF($O156="","",INDEX(Master!$J$2:$J$1001,$O156))</f>
      </c>
      <c r="K156">
        <f t="shared" si="4"/>
      </c>
      <c r="L156">
        <f>IF($O156="","",INDEX(Master!$K$2:$K$1001,$O156))</f>
      </c>
      <c r="M156">
        <f>IF($O156="","",INDEX(Master!$L$2:$L$1001,$O156))</f>
      </c>
      <c r="O156">
        <f t="array" ref="O156">IFERROR(SMALL(IF((Master!$A$2:$A$1001="SHYAM METALLIKS")*(Master!$M$2:$M$1001="160 x 160 x 6MTR"),ROW(Master!$A$2:$A$1001)-ROW(Master!$A$2)+1),152),"")</f>
      </c>
      <c r="P156">
        <f t="shared" si="5"/>
      </c>
    </row>
    <row r="157" spans="1:16" x14ac:dyDescent="0.25">
      <c r="A157">
        <f>IF($O157="","",INDEX(Master!$D$2:$D$1001,$O157))</f>
      </c>
      <c r="B157">
        <f>IF($O157="","",INDEX(Master!$B$2:$B$1001,$O157))</f>
      </c>
      <c r="C157">
        <f>IF($O157="","",INDEX(Master!$C$2:$C$1001,$O157))</f>
      </c>
      <c r="D157">
        <f>IF($O157="","",INDEX(Master!$A$2:$A$1001,$O157))</f>
      </c>
      <c r="E157">
        <f>IF($O157="","",INDEX(Master!$E$2:$E$1001,$O157))</f>
      </c>
      <c r="F157">
        <f>IF($O157="","",INDEX(Master!$F$2:$F$1001,$O157))</f>
      </c>
      <c r="G157">
        <f>IF($O157="","",INDEX(Master!$G$2:$G$1001,$O157))</f>
      </c>
      <c r="H157">
        <f>IF($O157="","",INDEX(Master!$H$2:$H$1001,$O157))</f>
      </c>
      <c r="I157">
        <f>IF($O157="","",INDEX(Master!$I$2:$I$1001,$O157))</f>
      </c>
      <c r="J157">
        <f>IF($O157="","",INDEX(Master!$J$2:$J$1001,$O157))</f>
      </c>
      <c r="K157">
        <f t="shared" si="4"/>
      </c>
      <c r="L157">
        <f>IF($O157="","",INDEX(Master!$K$2:$K$1001,$O157))</f>
      </c>
      <c r="M157">
        <f>IF($O157="","",INDEX(Master!$L$2:$L$1001,$O157))</f>
      </c>
      <c r="O157">
        <f t="array" ref="O157">IFERROR(SMALL(IF((Master!$A$2:$A$1001="SHYAM METALLIKS")*(Master!$M$2:$M$1001="160 x 160 x 6MTR"),ROW(Master!$A$2:$A$1001)-ROW(Master!$A$2)+1),153),"")</f>
      </c>
      <c r="P157">
        <f t="shared" si="5"/>
      </c>
    </row>
    <row r="158" spans="1:16" x14ac:dyDescent="0.25">
      <c r="A158">
        <f>IF($O158="","",INDEX(Master!$D$2:$D$1001,$O158))</f>
      </c>
      <c r="B158">
        <f>IF($O158="","",INDEX(Master!$B$2:$B$1001,$O158))</f>
      </c>
      <c r="C158">
        <f>IF($O158="","",INDEX(Master!$C$2:$C$1001,$O158))</f>
      </c>
      <c r="D158">
        <f>IF($O158="","",INDEX(Master!$A$2:$A$1001,$O158))</f>
      </c>
      <c r="E158">
        <f>IF($O158="","",INDEX(Master!$E$2:$E$1001,$O158))</f>
      </c>
      <c r="F158">
        <f>IF($O158="","",INDEX(Master!$F$2:$F$1001,$O158))</f>
      </c>
      <c r="G158">
        <f>IF($O158="","",INDEX(Master!$G$2:$G$1001,$O158))</f>
      </c>
      <c r="H158">
        <f>IF($O158="","",INDEX(Master!$H$2:$H$1001,$O158))</f>
      </c>
      <c r="I158">
        <f>IF($O158="","",INDEX(Master!$I$2:$I$1001,$O158))</f>
      </c>
      <c r="J158">
        <f>IF($O158="","",INDEX(Master!$J$2:$J$1001,$O158))</f>
      </c>
      <c r="K158">
        <f t="shared" si="4"/>
      </c>
      <c r="L158">
        <f>IF($O158="","",INDEX(Master!$K$2:$K$1001,$O158))</f>
      </c>
      <c r="M158">
        <f>IF($O158="","",INDEX(Master!$L$2:$L$1001,$O158))</f>
      </c>
      <c r="O158">
        <f t="array" ref="O158">IFERROR(SMALL(IF((Master!$A$2:$A$1001="SHYAM METALLIKS")*(Master!$M$2:$M$1001="160 x 160 x 6MTR"),ROW(Master!$A$2:$A$1001)-ROW(Master!$A$2)+1),154),"")</f>
      </c>
      <c r="P158">
        <f t="shared" si="5"/>
      </c>
    </row>
    <row r="159" spans="1:16" x14ac:dyDescent="0.25">
      <c r="A159">
        <f>IF($O159="","",INDEX(Master!$D$2:$D$1001,$O159))</f>
      </c>
      <c r="B159">
        <f>IF($O159="","",INDEX(Master!$B$2:$B$1001,$O159))</f>
      </c>
      <c r="C159">
        <f>IF($O159="","",INDEX(Master!$C$2:$C$1001,$O159))</f>
      </c>
      <c r="D159">
        <f>IF($O159="","",INDEX(Master!$A$2:$A$1001,$O159))</f>
      </c>
      <c r="E159">
        <f>IF($O159="","",INDEX(Master!$E$2:$E$1001,$O159))</f>
      </c>
      <c r="F159">
        <f>IF($O159="","",INDEX(Master!$F$2:$F$1001,$O159))</f>
      </c>
      <c r="G159">
        <f>IF($O159="","",INDEX(Master!$G$2:$G$1001,$O159))</f>
      </c>
      <c r="H159">
        <f>IF($O159="","",INDEX(Master!$H$2:$H$1001,$O159))</f>
      </c>
      <c r="I159">
        <f>IF($O159="","",INDEX(Master!$I$2:$I$1001,$O159))</f>
      </c>
      <c r="J159">
        <f>IF($O159="","",INDEX(Master!$J$2:$J$1001,$O159))</f>
      </c>
      <c r="K159">
        <f t="shared" si="4"/>
      </c>
      <c r="L159">
        <f>IF($O159="","",INDEX(Master!$K$2:$K$1001,$O159))</f>
      </c>
      <c r="M159">
        <f>IF($O159="","",INDEX(Master!$L$2:$L$1001,$O159))</f>
      </c>
      <c r="O159">
        <f t="array" ref="O159">IFERROR(SMALL(IF((Master!$A$2:$A$1001="SHYAM METALLIKS")*(Master!$M$2:$M$1001="160 x 160 x 6MTR"),ROW(Master!$A$2:$A$1001)-ROW(Master!$A$2)+1),155),"")</f>
      </c>
      <c r="P159">
        <f t="shared" si="5"/>
      </c>
    </row>
    <row r="160" spans="1:16" x14ac:dyDescent="0.25">
      <c r="A160">
        <f>IF($O160="","",INDEX(Master!$D$2:$D$1001,$O160))</f>
      </c>
      <c r="B160">
        <f>IF($O160="","",INDEX(Master!$B$2:$B$1001,$O160))</f>
      </c>
      <c r="C160">
        <f>IF($O160="","",INDEX(Master!$C$2:$C$1001,$O160))</f>
      </c>
      <c r="D160">
        <f>IF($O160="","",INDEX(Master!$A$2:$A$1001,$O160))</f>
      </c>
      <c r="E160">
        <f>IF($O160="","",INDEX(Master!$E$2:$E$1001,$O160))</f>
      </c>
      <c r="F160">
        <f>IF($O160="","",INDEX(Master!$F$2:$F$1001,$O160))</f>
      </c>
      <c r="G160">
        <f>IF($O160="","",INDEX(Master!$G$2:$G$1001,$O160))</f>
      </c>
      <c r="H160">
        <f>IF($O160="","",INDEX(Master!$H$2:$H$1001,$O160))</f>
      </c>
      <c r="I160">
        <f>IF($O160="","",INDEX(Master!$I$2:$I$1001,$O160))</f>
      </c>
      <c r="J160">
        <f>IF($O160="","",INDEX(Master!$J$2:$J$1001,$O160))</f>
      </c>
      <c r="K160">
        <f t="shared" si="4"/>
      </c>
      <c r="L160">
        <f>IF($O160="","",INDEX(Master!$K$2:$K$1001,$O160))</f>
      </c>
      <c r="M160">
        <f>IF($O160="","",INDEX(Master!$L$2:$L$1001,$O160))</f>
      </c>
      <c r="O160">
        <f t="array" ref="O160">IFERROR(SMALL(IF((Master!$A$2:$A$1001="SHYAM METALLIKS")*(Master!$M$2:$M$1001="160 x 160 x 6MTR"),ROW(Master!$A$2:$A$1001)-ROW(Master!$A$2)+1),156),"")</f>
      </c>
      <c r="P160">
        <f t="shared" si="5"/>
      </c>
    </row>
    <row r="161" spans="1:16" x14ac:dyDescent="0.25">
      <c r="A161">
        <f>IF($O161="","",INDEX(Master!$D$2:$D$1001,$O161))</f>
      </c>
      <c r="B161">
        <f>IF($O161="","",INDEX(Master!$B$2:$B$1001,$O161))</f>
      </c>
      <c r="C161">
        <f>IF($O161="","",INDEX(Master!$C$2:$C$1001,$O161))</f>
      </c>
      <c r="D161">
        <f>IF($O161="","",INDEX(Master!$A$2:$A$1001,$O161))</f>
      </c>
      <c r="E161">
        <f>IF($O161="","",INDEX(Master!$E$2:$E$1001,$O161))</f>
      </c>
      <c r="F161">
        <f>IF($O161="","",INDEX(Master!$F$2:$F$1001,$O161))</f>
      </c>
      <c r="G161">
        <f>IF($O161="","",INDEX(Master!$G$2:$G$1001,$O161))</f>
      </c>
      <c r="H161">
        <f>IF($O161="","",INDEX(Master!$H$2:$H$1001,$O161))</f>
      </c>
      <c r="I161">
        <f>IF($O161="","",INDEX(Master!$I$2:$I$1001,$O161))</f>
      </c>
      <c r="J161">
        <f>IF($O161="","",INDEX(Master!$J$2:$J$1001,$O161))</f>
      </c>
      <c r="K161">
        <f t="shared" si="4"/>
      </c>
      <c r="L161">
        <f>IF($O161="","",INDEX(Master!$K$2:$K$1001,$O161))</f>
      </c>
      <c r="M161">
        <f>IF($O161="","",INDEX(Master!$L$2:$L$1001,$O161))</f>
      </c>
      <c r="O161">
        <f t="array" ref="O161">IFERROR(SMALL(IF((Master!$A$2:$A$1001="SHYAM METALLIKS")*(Master!$M$2:$M$1001="160 x 160 x 6MTR"),ROW(Master!$A$2:$A$1001)-ROW(Master!$A$2)+1),157),"")</f>
      </c>
      <c r="P161">
        <f t="shared" si="5"/>
      </c>
    </row>
    <row r="162" spans="1:16" x14ac:dyDescent="0.25">
      <c r="A162">
        <f>IF($O162="","",INDEX(Master!$D$2:$D$1001,$O162))</f>
      </c>
      <c r="B162">
        <f>IF($O162="","",INDEX(Master!$B$2:$B$1001,$O162))</f>
      </c>
      <c r="C162">
        <f>IF($O162="","",INDEX(Master!$C$2:$C$1001,$O162))</f>
      </c>
      <c r="D162">
        <f>IF($O162="","",INDEX(Master!$A$2:$A$1001,$O162))</f>
      </c>
      <c r="E162">
        <f>IF($O162="","",INDEX(Master!$E$2:$E$1001,$O162))</f>
      </c>
      <c r="F162">
        <f>IF($O162="","",INDEX(Master!$F$2:$F$1001,$O162))</f>
      </c>
      <c r="G162">
        <f>IF($O162="","",INDEX(Master!$G$2:$G$1001,$O162))</f>
      </c>
      <c r="H162">
        <f>IF($O162="","",INDEX(Master!$H$2:$H$1001,$O162))</f>
      </c>
      <c r="I162">
        <f>IF($O162="","",INDEX(Master!$I$2:$I$1001,$O162))</f>
      </c>
      <c r="J162">
        <f>IF($O162="","",INDEX(Master!$J$2:$J$1001,$O162))</f>
      </c>
      <c r="K162">
        <f t="shared" si="4"/>
      </c>
      <c r="L162">
        <f>IF($O162="","",INDEX(Master!$K$2:$K$1001,$O162))</f>
      </c>
      <c r="M162">
        <f>IF($O162="","",INDEX(Master!$L$2:$L$1001,$O162))</f>
      </c>
      <c r="O162">
        <f t="array" ref="O162">IFERROR(SMALL(IF((Master!$A$2:$A$1001="SHYAM METALLIKS")*(Master!$M$2:$M$1001="160 x 160 x 6MTR"),ROW(Master!$A$2:$A$1001)-ROW(Master!$A$2)+1),158),"")</f>
      </c>
      <c r="P162">
        <f t="shared" si="5"/>
      </c>
    </row>
    <row r="163" spans="1:16" x14ac:dyDescent="0.25">
      <c r="A163">
        <f>IF($O163="","",INDEX(Master!$D$2:$D$1001,$O163))</f>
      </c>
      <c r="B163">
        <f>IF($O163="","",INDEX(Master!$B$2:$B$1001,$O163))</f>
      </c>
      <c r="C163">
        <f>IF($O163="","",INDEX(Master!$C$2:$C$1001,$O163))</f>
      </c>
      <c r="D163">
        <f>IF($O163="","",INDEX(Master!$A$2:$A$1001,$O163))</f>
      </c>
      <c r="E163">
        <f>IF($O163="","",INDEX(Master!$E$2:$E$1001,$O163))</f>
      </c>
      <c r="F163">
        <f>IF($O163="","",INDEX(Master!$F$2:$F$1001,$O163))</f>
      </c>
      <c r="G163">
        <f>IF($O163="","",INDEX(Master!$G$2:$G$1001,$O163))</f>
      </c>
      <c r="H163">
        <f>IF($O163="","",INDEX(Master!$H$2:$H$1001,$O163))</f>
      </c>
      <c r="I163">
        <f>IF($O163="","",INDEX(Master!$I$2:$I$1001,$O163))</f>
      </c>
      <c r="J163">
        <f>IF($O163="","",INDEX(Master!$J$2:$J$1001,$O163))</f>
      </c>
      <c r="K163">
        <f t="shared" si="4"/>
      </c>
      <c r="L163">
        <f>IF($O163="","",INDEX(Master!$K$2:$K$1001,$O163))</f>
      </c>
      <c r="M163">
        <f>IF($O163="","",INDEX(Master!$L$2:$L$1001,$O163))</f>
      </c>
      <c r="O163">
        <f t="array" ref="O163">IFERROR(SMALL(IF((Master!$A$2:$A$1001="SHYAM METALLIKS")*(Master!$M$2:$M$1001="160 x 160 x 6MTR"),ROW(Master!$A$2:$A$1001)-ROW(Master!$A$2)+1),159),"")</f>
      </c>
      <c r="P163">
        <f t="shared" si="5"/>
      </c>
    </row>
    <row r="164" spans="1:16" x14ac:dyDescent="0.25">
      <c r="A164">
        <f>IF($O164="","",INDEX(Master!$D$2:$D$1001,$O164))</f>
      </c>
      <c r="B164">
        <f>IF($O164="","",INDEX(Master!$B$2:$B$1001,$O164))</f>
      </c>
      <c r="C164">
        <f>IF($O164="","",INDEX(Master!$C$2:$C$1001,$O164))</f>
      </c>
      <c r="D164">
        <f>IF($O164="","",INDEX(Master!$A$2:$A$1001,$O164))</f>
      </c>
      <c r="E164">
        <f>IF($O164="","",INDEX(Master!$E$2:$E$1001,$O164))</f>
      </c>
      <c r="F164">
        <f>IF($O164="","",INDEX(Master!$F$2:$F$1001,$O164))</f>
      </c>
      <c r="G164">
        <f>IF($O164="","",INDEX(Master!$G$2:$G$1001,$O164))</f>
      </c>
      <c r="H164">
        <f>IF($O164="","",INDEX(Master!$H$2:$H$1001,$O164))</f>
      </c>
      <c r="I164">
        <f>IF($O164="","",INDEX(Master!$I$2:$I$1001,$O164))</f>
      </c>
      <c r="J164">
        <f>IF($O164="","",INDEX(Master!$J$2:$J$1001,$O164))</f>
      </c>
      <c r="K164">
        <f t="shared" si="4"/>
      </c>
      <c r="L164">
        <f>IF($O164="","",INDEX(Master!$K$2:$K$1001,$O164))</f>
      </c>
      <c r="M164">
        <f>IF($O164="","",INDEX(Master!$L$2:$L$1001,$O164))</f>
      </c>
      <c r="O164">
        <f t="array" ref="O164">IFERROR(SMALL(IF((Master!$A$2:$A$1001="SHYAM METALLIKS")*(Master!$M$2:$M$1001="160 x 160 x 6MTR"),ROW(Master!$A$2:$A$1001)-ROW(Master!$A$2)+1),160),"")</f>
      </c>
      <c r="P164">
        <f t="shared" si="5"/>
      </c>
    </row>
    <row r="165" spans="1:16" x14ac:dyDescent="0.25">
      <c r="A165">
        <f>IF($O165="","",INDEX(Master!$D$2:$D$1001,$O165))</f>
      </c>
      <c r="B165">
        <f>IF($O165="","",INDEX(Master!$B$2:$B$1001,$O165))</f>
      </c>
      <c r="C165">
        <f>IF($O165="","",INDEX(Master!$C$2:$C$1001,$O165))</f>
      </c>
      <c r="D165">
        <f>IF($O165="","",INDEX(Master!$A$2:$A$1001,$O165))</f>
      </c>
      <c r="E165">
        <f>IF($O165="","",INDEX(Master!$E$2:$E$1001,$O165))</f>
      </c>
      <c r="F165">
        <f>IF($O165="","",INDEX(Master!$F$2:$F$1001,$O165))</f>
      </c>
      <c r="G165">
        <f>IF($O165="","",INDEX(Master!$G$2:$G$1001,$O165))</f>
      </c>
      <c r="H165">
        <f>IF($O165="","",INDEX(Master!$H$2:$H$1001,$O165))</f>
      </c>
      <c r="I165">
        <f>IF($O165="","",INDEX(Master!$I$2:$I$1001,$O165))</f>
      </c>
      <c r="J165">
        <f>IF($O165="","",INDEX(Master!$J$2:$J$1001,$O165))</f>
      </c>
      <c r="K165">
        <f t="shared" si="4"/>
      </c>
      <c r="L165">
        <f>IF($O165="","",INDEX(Master!$K$2:$K$1001,$O165))</f>
      </c>
      <c r="M165">
        <f>IF($O165="","",INDEX(Master!$L$2:$L$1001,$O165))</f>
      </c>
      <c r="O165">
        <f t="array" ref="O165">IFERROR(SMALL(IF((Master!$A$2:$A$1001="SHYAM METALLIKS")*(Master!$M$2:$M$1001="160 x 160 x 6MTR"),ROW(Master!$A$2:$A$1001)-ROW(Master!$A$2)+1),161),"")</f>
      </c>
      <c r="P165">
        <f t="shared" si="5"/>
      </c>
    </row>
    <row r="166" spans="1:16" x14ac:dyDescent="0.25">
      <c r="A166">
        <f>IF($O166="","",INDEX(Master!$D$2:$D$1001,$O166))</f>
      </c>
      <c r="B166">
        <f>IF($O166="","",INDEX(Master!$B$2:$B$1001,$O166))</f>
      </c>
      <c r="C166">
        <f>IF($O166="","",INDEX(Master!$C$2:$C$1001,$O166))</f>
      </c>
      <c r="D166">
        <f>IF($O166="","",INDEX(Master!$A$2:$A$1001,$O166))</f>
      </c>
      <c r="E166">
        <f>IF($O166="","",INDEX(Master!$E$2:$E$1001,$O166))</f>
      </c>
      <c r="F166">
        <f>IF($O166="","",INDEX(Master!$F$2:$F$1001,$O166))</f>
      </c>
      <c r="G166">
        <f>IF($O166="","",INDEX(Master!$G$2:$G$1001,$O166))</f>
      </c>
      <c r="H166">
        <f>IF($O166="","",INDEX(Master!$H$2:$H$1001,$O166))</f>
      </c>
      <c r="I166">
        <f>IF($O166="","",INDEX(Master!$I$2:$I$1001,$O166))</f>
      </c>
      <c r="J166">
        <f>IF($O166="","",INDEX(Master!$J$2:$J$1001,$O166))</f>
      </c>
      <c r="K166">
        <f t="shared" si="4"/>
      </c>
      <c r="L166">
        <f>IF($O166="","",INDEX(Master!$K$2:$K$1001,$O166))</f>
      </c>
      <c r="M166">
        <f>IF($O166="","",INDEX(Master!$L$2:$L$1001,$O166))</f>
      </c>
      <c r="O166">
        <f t="array" ref="O166">IFERROR(SMALL(IF((Master!$A$2:$A$1001="SHYAM METALLIKS")*(Master!$M$2:$M$1001="160 x 160 x 6MTR"),ROW(Master!$A$2:$A$1001)-ROW(Master!$A$2)+1),162),"")</f>
      </c>
      <c r="P166">
        <f t="shared" si="5"/>
      </c>
    </row>
    <row r="167" spans="1:16" x14ac:dyDescent="0.25">
      <c r="A167">
        <f>IF($O167="","",INDEX(Master!$D$2:$D$1001,$O167))</f>
      </c>
      <c r="B167">
        <f>IF($O167="","",INDEX(Master!$B$2:$B$1001,$O167))</f>
      </c>
      <c r="C167">
        <f>IF($O167="","",INDEX(Master!$C$2:$C$1001,$O167))</f>
      </c>
      <c r="D167">
        <f>IF($O167="","",INDEX(Master!$A$2:$A$1001,$O167))</f>
      </c>
      <c r="E167">
        <f>IF($O167="","",INDEX(Master!$E$2:$E$1001,$O167))</f>
      </c>
      <c r="F167">
        <f>IF($O167="","",INDEX(Master!$F$2:$F$1001,$O167))</f>
      </c>
      <c r="G167">
        <f>IF($O167="","",INDEX(Master!$G$2:$G$1001,$O167))</f>
      </c>
      <c r="H167">
        <f>IF($O167="","",INDEX(Master!$H$2:$H$1001,$O167))</f>
      </c>
      <c r="I167">
        <f>IF($O167="","",INDEX(Master!$I$2:$I$1001,$O167))</f>
      </c>
      <c r="J167">
        <f>IF($O167="","",INDEX(Master!$J$2:$J$1001,$O167))</f>
      </c>
      <c r="K167">
        <f t="shared" si="4"/>
      </c>
      <c r="L167">
        <f>IF($O167="","",INDEX(Master!$K$2:$K$1001,$O167))</f>
      </c>
      <c r="M167">
        <f>IF($O167="","",INDEX(Master!$L$2:$L$1001,$O167))</f>
      </c>
      <c r="O167">
        <f t="array" ref="O167">IFERROR(SMALL(IF((Master!$A$2:$A$1001="SHYAM METALLIKS")*(Master!$M$2:$M$1001="160 x 160 x 6MTR"),ROW(Master!$A$2:$A$1001)-ROW(Master!$A$2)+1),163),"")</f>
      </c>
      <c r="P167">
        <f t="shared" si="5"/>
      </c>
    </row>
    <row r="168" spans="1:16" x14ac:dyDescent="0.25">
      <c r="A168">
        <f>IF($O168="","",INDEX(Master!$D$2:$D$1001,$O168))</f>
      </c>
      <c r="B168">
        <f>IF($O168="","",INDEX(Master!$B$2:$B$1001,$O168))</f>
      </c>
      <c r="C168">
        <f>IF($O168="","",INDEX(Master!$C$2:$C$1001,$O168))</f>
      </c>
      <c r="D168">
        <f>IF($O168="","",INDEX(Master!$A$2:$A$1001,$O168))</f>
      </c>
      <c r="E168">
        <f>IF($O168="","",INDEX(Master!$E$2:$E$1001,$O168))</f>
      </c>
      <c r="F168">
        <f>IF($O168="","",INDEX(Master!$F$2:$F$1001,$O168))</f>
      </c>
      <c r="G168">
        <f>IF($O168="","",INDEX(Master!$G$2:$G$1001,$O168))</f>
      </c>
      <c r="H168">
        <f>IF($O168="","",INDEX(Master!$H$2:$H$1001,$O168))</f>
      </c>
      <c r="I168">
        <f>IF($O168="","",INDEX(Master!$I$2:$I$1001,$O168))</f>
      </c>
      <c r="J168">
        <f>IF($O168="","",INDEX(Master!$J$2:$J$1001,$O168))</f>
      </c>
      <c r="K168">
        <f t="shared" si="4"/>
      </c>
      <c r="L168">
        <f>IF($O168="","",INDEX(Master!$K$2:$K$1001,$O168))</f>
      </c>
      <c r="M168">
        <f>IF($O168="","",INDEX(Master!$L$2:$L$1001,$O168))</f>
      </c>
      <c r="O168">
        <f t="array" ref="O168">IFERROR(SMALL(IF((Master!$A$2:$A$1001="SHYAM METALLIKS")*(Master!$M$2:$M$1001="160 x 160 x 6MTR"),ROW(Master!$A$2:$A$1001)-ROW(Master!$A$2)+1),164),"")</f>
      </c>
      <c r="P168">
        <f t="shared" si="5"/>
      </c>
    </row>
    <row r="169" spans="1:16" x14ac:dyDescent="0.25">
      <c r="A169">
        <f>IF($O169="","",INDEX(Master!$D$2:$D$1001,$O169))</f>
      </c>
      <c r="B169">
        <f>IF($O169="","",INDEX(Master!$B$2:$B$1001,$O169))</f>
      </c>
      <c r="C169">
        <f>IF($O169="","",INDEX(Master!$C$2:$C$1001,$O169))</f>
      </c>
      <c r="D169">
        <f>IF($O169="","",INDEX(Master!$A$2:$A$1001,$O169))</f>
      </c>
      <c r="E169">
        <f>IF($O169="","",INDEX(Master!$E$2:$E$1001,$O169))</f>
      </c>
      <c r="F169">
        <f>IF($O169="","",INDEX(Master!$F$2:$F$1001,$O169))</f>
      </c>
      <c r="G169">
        <f>IF($O169="","",INDEX(Master!$G$2:$G$1001,$O169))</f>
      </c>
      <c r="H169">
        <f>IF($O169="","",INDEX(Master!$H$2:$H$1001,$O169))</f>
      </c>
      <c r="I169">
        <f>IF($O169="","",INDEX(Master!$I$2:$I$1001,$O169))</f>
      </c>
      <c r="J169">
        <f>IF($O169="","",INDEX(Master!$J$2:$J$1001,$O169))</f>
      </c>
      <c r="K169">
        <f t="shared" si="4"/>
      </c>
      <c r="L169">
        <f>IF($O169="","",INDEX(Master!$K$2:$K$1001,$O169))</f>
      </c>
      <c r="M169">
        <f>IF($O169="","",INDEX(Master!$L$2:$L$1001,$O169))</f>
      </c>
      <c r="O169">
        <f t="array" ref="O169">IFERROR(SMALL(IF((Master!$A$2:$A$1001="SHYAM METALLIKS")*(Master!$M$2:$M$1001="160 x 160 x 6MTR"),ROW(Master!$A$2:$A$1001)-ROW(Master!$A$2)+1),165),"")</f>
      </c>
      <c r="P169">
        <f t="shared" si="5"/>
      </c>
    </row>
    <row r="170" spans="1:16" x14ac:dyDescent="0.25">
      <c r="A170">
        <f>IF($O170="","",INDEX(Master!$D$2:$D$1001,$O170))</f>
      </c>
      <c r="B170">
        <f>IF($O170="","",INDEX(Master!$B$2:$B$1001,$O170))</f>
      </c>
      <c r="C170">
        <f>IF($O170="","",INDEX(Master!$C$2:$C$1001,$O170))</f>
      </c>
      <c r="D170">
        <f>IF($O170="","",INDEX(Master!$A$2:$A$1001,$O170))</f>
      </c>
      <c r="E170">
        <f>IF($O170="","",INDEX(Master!$E$2:$E$1001,$O170))</f>
      </c>
      <c r="F170">
        <f>IF($O170="","",INDEX(Master!$F$2:$F$1001,$O170))</f>
      </c>
      <c r="G170">
        <f>IF($O170="","",INDEX(Master!$G$2:$G$1001,$O170))</f>
      </c>
      <c r="H170">
        <f>IF($O170="","",INDEX(Master!$H$2:$H$1001,$O170))</f>
      </c>
      <c r="I170">
        <f>IF($O170="","",INDEX(Master!$I$2:$I$1001,$O170))</f>
      </c>
      <c r="J170">
        <f>IF($O170="","",INDEX(Master!$J$2:$J$1001,$O170))</f>
      </c>
      <c r="K170">
        <f t="shared" si="4"/>
      </c>
      <c r="L170">
        <f>IF($O170="","",INDEX(Master!$K$2:$K$1001,$O170))</f>
      </c>
      <c r="M170">
        <f>IF($O170="","",INDEX(Master!$L$2:$L$1001,$O170))</f>
      </c>
      <c r="O170">
        <f t="array" ref="O170">IFERROR(SMALL(IF((Master!$A$2:$A$1001="SHYAM METALLIKS")*(Master!$M$2:$M$1001="160 x 160 x 6MTR"),ROW(Master!$A$2:$A$1001)-ROW(Master!$A$2)+1),166),"")</f>
      </c>
      <c r="P170">
        <f t="shared" si="5"/>
      </c>
    </row>
    <row r="171" spans="1:16" x14ac:dyDescent="0.25">
      <c r="A171">
        <f>IF($O171="","",INDEX(Master!$D$2:$D$1001,$O171))</f>
      </c>
      <c r="B171">
        <f>IF($O171="","",INDEX(Master!$B$2:$B$1001,$O171))</f>
      </c>
      <c r="C171">
        <f>IF($O171="","",INDEX(Master!$C$2:$C$1001,$O171))</f>
      </c>
      <c r="D171">
        <f>IF($O171="","",INDEX(Master!$A$2:$A$1001,$O171))</f>
      </c>
      <c r="E171">
        <f>IF($O171="","",INDEX(Master!$E$2:$E$1001,$O171))</f>
      </c>
      <c r="F171">
        <f>IF($O171="","",INDEX(Master!$F$2:$F$1001,$O171))</f>
      </c>
      <c r="G171">
        <f>IF($O171="","",INDEX(Master!$G$2:$G$1001,$O171))</f>
      </c>
      <c r="H171">
        <f>IF($O171="","",INDEX(Master!$H$2:$H$1001,$O171))</f>
      </c>
      <c r="I171">
        <f>IF($O171="","",INDEX(Master!$I$2:$I$1001,$O171))</f>
      </c>
      <c r="J171">
        <f>IF($O171="","",INDEX(Master!$J$2:$J$1001,$O171))</f>
      </c>
      <c r="K171">
        <f t="shared" si="4"/>
      </c>
      <c r="L171">
        <f>IF($O171="","",INDEX(Master!$K$2:$K$1001,$O171))</f>
      </c>
      <c r="M171">
        <f>IF($O171="","",INDEX(Master!$L$2:$L$1001,$O171))</f>
      </c>
      <c r="O171">
        <f t="array" ref="O171">IFERROR(SMALL(IF((Master!$A$2:$A$1001="SHYAM METALLIKS")*(Master!$M$2:$M$1001="160 x 160 x 6MTR"),ROW(Master!$A$2:$A$1001)-ROW(Master!$A$2)+1),167),"")</f>
      </c>
      <c r="P171">
        <f t="shared" si="5"/>
      </c>
    </row>
    <row r="172" spans="1:16" x14ac:dyDescent="0.25">
      <c r="A172">
        <f>IF($O172="","",INDEX(Master!$D$2:$D$1001,$O172))</f>
      </c>
      <c r="B172">
        <f>IF($O172="","",INDEX(Master!$B$2:$B$1001,$O172))</f>
      </c>
      <c r="C172">
        <f>IF($O172="","",INDEX(Master!$C$2:$C$1001,$O172))</f>
      </c>
      <c r="D172">
        <f>IF($O172="","",INDEX(Master!$A$2:$A$1001,$O172))</f>
      </c>
      <c r="E172">
        <f>IF($O172="","",INDEX(Master!$E$2:$E$1001,$O172))</f>
      </c>
      <c r="F172">
        <f>IF($O172="","",INDEX(Master!$F$2:$F$1001,$O172))</f>
      </c>
      <c r="G172">
        <f>IF($O172="","",INDEX(Master!$G$2:$G$1001,$O172))</f>
      </c>
      <c r="H172">
        <f>IF($O172="","",INDEX(Master!$H$2:$H$1001,$O172))</f>
      </c>
      <c r="I172">
        <f>IF($O172="","",INDEX(Master!$I$2:$I$1001,$O172))</f>
      </c>
      <c r="J172">
        <f>IF($O172="","",INDEX(Master!$J$2:$J$1001,$O172))</f>
      </c>
      <c r="K172">
        <f t="shared" si="4"/>
      </c>
      <c r="L172">
        <f>IF($O172="","",INDEX(Master!$K$2:$K$1001,$O172))</f>
      </c>
      <c r="M172">
        <f>IF($O172="","",INDEX(Master!$L$2:$L$1001,$O172))</f>
      </c>
      <c r="O172">
        <f t="array" ref="O172">IFERROR(SMALL(IF((Master!$A$2:$A$1001="SHYAM METALLIKS")*(Master!$M$2:$M$1001="160 x 160 x 6MTR"),ROW(Master!$A$2:$A$1001)-ROW(Master!$A$2)+1),168),"")</f>
      </c>
      <c r="P172">
        <f t="shared" si="5"/>
      </c>
    </row>
    <row r="173" spans="1:16" x14ac:dyDescent="0.25">
      <c r="A173">
        <f>IF($O173="","",INDEX(Master!$D$2:$D$1001,$O173))</f>
      </c>
      <c r="B173">
        <f>IF($O173="","",INDEX(Master!$B$2:$B$1001,$O173))</f>
      </c>
      <c r="C173">
        <f>IF($O173="","",INDEX(Master!$C$2:$C$1001,$O173))</f>
      </c>
      <c r="D173">
        <f>IF($O173="","",INDEX(Master!$A$2:$A$1001,$O173))</f>
      </c>
      <c r="E173">
        <f>IF($O173="","",INDEX(Master!$E$2:$E$1001,$O173))</f>
      </c>
      <c r="F173">
        <f>IF($O173="","",INDEX(Master!$F$2:$F$1001,$O173))</f>
      </c>
      <c r="G173">
        <f>IF($O173="","",INDEX(Master!$G$2:$G$1001,$O173))</f>
      </c>
      <c r="H173">
        <f>IF($O173="","",INDEX(Master!$H$2:$H$1001,$O173))</f>
      </c>
      <c r="I173">
        <f>IF($O173="","",INDEX(Master!$I$2:$I$1001,$O173))</f>
      </c>
      <c r="J173">
        <f>IF($O173="","",INDEX(Master!$J$2:$J$1001,$O173))</f>
      </c>
      <c r="K173">
        <f t="shared" si="4"/>
      </c>
      <c r="L173">
        <f>IF($O173="","",INDEX(Master!$K$2:$K$1001,$O173))</f>
      </c>
      <c r="M173">
        <f>IF($O173="","",INDEX(Master!$L$2:$L$1001,$O173))</f>
      </c>
      <c r="O173">
        <f t="array" ref="O173">IFERROR(SMALL(IF((Master!$A$2:$A$1001="SHYAM METALLIKS")*(Master!$M$2:$M$1001="160 x 160 x 6MTR"),ROW(Master!$A$2:$A$1001)-ROW(Master!$A$2)+1),169),"")</f>
      </c>
      <c r="P173">
        <f t="shared" si="5"/>
      </c>
    </row>
    <row r="174" spans="1:16" x14ac:dyDescent="0.25">
      <c r="A174">
        <f>IF($O174="","",INDEX(Master!$D$2:$D$1001,$O174))</f>
      </c>
      <c r="B174">
        <f>IF($O174="","",INDEX(Master!$B$2:$B$1001,$O174))</f>
      </c>
      <c r="C174">
        <f>IF($O174="","",INDEX(Master!$C$2:$C$1001,$O174))</f>
      </c>
      <c r="D174">
        <f>IF($O174="","",INDEX(Master!$A$2:$A$1001,$O174))</f>
      </c>
      <c r="E174">
        <f>IF($O174="","",INDEX(Master!$E$2:$E$1001,$O174))</f>
      </c>
      <c r="F174">
        <f>IF($O174="","",INDEX(Master!$F$2:$F$1001,$O174))</f>
      </c>
      <c r="G174">
        <f>IF($O174="","",INDEX(Master!$G$2:$G$1001,$O174))</f>
      </c>
      <c r="H174">
        <f>IF($O174="","",INDEX(Master!$H$2:$H$1001,$O174))</f>
      </c>
      <c r="I174">
        <f>IF($O174="","",INDEX(Master!$I$2:$I$1001,$O174))</f>
      </c>
      <c r="J174">
        <f>IF($O174="","",INDEX(Master!$J$2:$J$1001,$O174))</f>
      </c>
      <c r="K174">
        <f t="shared" si="4"/>
      </c>
      <c r="L174">
        <f>IF($O174="","",INDEX(Master!$K$2:$K$1001,$O174))</f>
      </c>
      <c r="M174">
        <f>IF($O174="","",INDEX(Master!$L$2:$L$1001,$O174))</f>
      </c>
      <c r="O174">
        <f t="array" ref="O174">IFERROR(SMALL(IF((Master!$A$2:$A$1001="SHYAM METALLIKS")*(Master!$M$2:$M$1001="160 x 160 x 6MTR"),ROW(Master!$A$2:$A$1001)-ROW(Master!$A$2)+1),170),"")</f>
      </c>
      <c r="P174">
        <f t="shared" si="5"/>
      </c>
    </row>
    <row r="175" spans="1:16" x14ac:dyDescent="0.25">
      <c r="A175">
        <f>IF($O175="","",INDEX(Master!$D$2:$D$1001,$O175))</f>
      </c>
      <c r="B175">
        <f>IF($O175="","",INDEX(Master!$B$2:$B$1001,$O175))</f>
      </c>
      <c r="C175">
        <f>IF($O175="","",INDEX(Master!$C$2:$C$1001,$O175))</f>
      </c>
      <c r="D175">
        <f>IF($O175="","",INDEX(Master!$A$2:$A$1001,$O175))</f>
      </c>
      <c r="E175">
        <f>IF($O175="","",INDEX(Master!$E$2:$E$1001,$O175))</f>
      </c>
      <c r="F175">
        <f>IF($O175="","",INDEX(Master!$F$2:$F$1001,$O175))</f>
      </c>
      <c r="G175">
        <f>IF($O175="","",INDEX(Master!$G$2:$G$1001,$O175))</f>
      </c>
      <c r="H175">
        <f>IF($O175="","",INDEX(Master!$H$2:$H$1001,$O175))</f>
      </c>
      <c r="I175">
        <f>IF($O175="","",INDEX(Master!$I$2:$I$1001,$O175))</f>
      </c>
      <c r="J175">
        <f>IF($O175="","",INDEX(Master!$J$2:$J$1001,$O175))</f>
      </c>
      <c r="K175">
        <f t="shared" si="4"/>
      </c>
      <c r="L175">
        <f>IF($O175="","",INDEX(Master!$K$2:$K$1001,$O175))</f>
      </c>
      <c r="M175">
        <f>IF($O175="","",INDEX(Master!$L$2:$L$1001,$O175))</f>
      </c>
      <c r="O175">
        <f t="array" ref="O175">IFERROR(SMALL(IF((Master!$A$2:$A$1001="SHYAM METALLIKS")*(Master!$M$2:$M$1001="160 x 160 x 6MTR"),ROW(Master!$A$2:$A$1001)-ROW(Master!$A$2)+1),171),"")</f>
      </c>
      <c r="P175">
        <f t="shared" si="5"/>
      </c>
    </row>
    <row r="176" spans="1:16" x14ac:dyDescent="0.25">
      <c r="A176">
        <f>IF($O176="","",INDEX(Master!$D$2:$D$1001,$O176))</f>
      </c>
      <c r="B176">
        <f>IF($O176="","",INDEX(Master!$B$2:$B$1001,$O176))</f>
      </c>
      <c r="C176">
        <f>IF($O176="","",INDEX(Master!$C$2:$C$1001,$O176))</f>
      </c>
      <c r="D176">
        <f>IF($O176="","",INDEX(Master!$A$2:$A$1001,$O176))</f>
      </c>
      <c r="E176">
        <f>IF($O176="","",INDEX(Master!$E$2:$E$1001,$O176))</f>
      </c>
      <c r="F176">
        <f>IF($O176="","",INDEX(Master!$F$2:$F$1001,$O176))</f>
      </c>
      <c r="G176">
        <f>IF($O176="","",INDEX(Master!$G$2:$G$1001,$O176))</f>
      </c>
      <c r="H176">
        <f>IF($O176="","",INDEX(Master!$H$2:$H$1001,$O176))</f>
      </c>
      <c r="I176">
        <f>IF($O176="","",INDEX(Master!$I$2:$I$1001,$O176))</f>
      </c>
      <c r="J176">
        <f>IF($O176="","",INDEX(Master!$J$2:$J$1001,$O176))</f>
      </c>
      <c r="K176">
        <f t="shared" si="4"/>
      </c>
      <c r="L176">
        <f>IF($O176="","",INDEX(Master!$K$2:$K$1001,$O176))</f>
      </c>
      <c r="M176">
        <f>IF($O176="","",INDEX(Master!$L$2:$L$1001,$O176))</f>
      </c>
      <c r="O176">
        <f t="array" ref="O176">IFERROR(SMALL(IF((Master!$A$2:$A$1001="SHYAM METALLIKS")*(Master!$M$2:$M$1001="160 x 160 x 6MTR"),ROW(Master!$A$2:$A$1001)-ROW(Master!$A$2)+1),172),"")</f>
      </c>
      <c r="P176">
        <f t="shared" si="5"/>
      </c>
    </row>
    <row r="177" spans="1:16" x14ac:dyDescent="0.25">
      <c r="A177">
        <f>IF($O177="","",INDEX(Master!$D$2:$D$1001,$O177))</f>
      </c>
      <c r="B177">
        <f>IF($O177="","",INDEX(Master!$B$2:$B$1001,$O177))</f>
      </c>
      <c r="C177">
        <f>IF($O177="","",INDEX(Master!$C$2:$C$1001,$O177))</f>
      </c>
      <c r="D177">
        <f>IF($O177="","",INDEX(Master!$A$2:$A$1001,$O177))</f>
      </c>
      <c r="E177">
        <f>IF($O177="","",INDEX(Master!$E$2:$E$1001,$O177))</f>
      </c>
      <c r="F177">
        <f>IF($O177="","",INDEX(Master!$F$2:$F$1001,$O177))</f>
      </c>
      <c r="G177">
        <f>IF($O177="","",INDEX(Master!$G$2:$G$1001,$O177))</f>
      </c>
      <c r="H177">
        <f>IF($O177="","",INDEX(Master!$H$2:$H$1001,$O177))</f>
      </c>
      <c r="I177">
        <f>IF($O177="","",INDEX(Master!$I$2:$I$1001,$O177))</f>
      </c>
      <c r="J177">
        <f>IF($O177="","",INDEX(Master!$J$2:$J$1001,$O177))</f>
      </c>
      <c r="K177">
        <f t="shared" si="4"/>
      </c>
      <c r="L177">
        <f>IF($O177="","",INDEX(Master!$K$2:$K$1001,$O177))</f>
      </c>
      <c r="M177">
        <f>IF($O177="","",INDEX(Master!$L$2:$L$1001,$O177))</f>
      </c>
      <c r="O177">
        <f t="array" ref="O177">IFERROR(SMALL(IF((Master!$A$2:$A$1001="SHYAM METALLIKS")*(Master!$M$2:$M$1001="160 x 160 x 6MTR"),ROW(Master!$A$2:$A$1001)-ROW(Master!$A$2)+1),173),"")</f>
      </c>
      <c r="P177">
        <f t="shared" si="5"/>
      </c>
    </row>
    <row r="178" spans="1:16" x14ac:dyDescent="0.25">
      <c r="A178">
        <f>IF($O178="","",INDEX(Master!$D$2:$D$1001,$O178))</f>
      </c>
      <c r="B178">
        <f>IF($O178="","",INDEX(Master!$B$2:$B$1001,$O178))</f>
      </c>
      <c r="C178">
        <f>IF($O178="","",INDEX(Master!$C$2:$C$1001,$O178))</f>
      </c>
      <c r="D178">
        <f>IF($O178="","",INDEX(Master!$A$2:$A$1001,$O178))</f>
      </c>
      <c r="E178">
        <f>IF($O178="","",INDEX(Master!$E$2:$E$1001,$O178))</f>
      </c>
      <c r="F178">
        <f>IF($O178="","",INDEX(Master!$F$2:$F$1001,$O178))</f>
      </c>
      <c r="G178">
        <f>IF($O178="","",INDEX(Master!$G$2:$G$1001,$O178))</f>
      </c>
      <c r="H178">
        <f>IF($O178="","",INDEX(Master!$H$2:$H$1001,$O178))</f>
      </c>
      <c r="I178">
        <f>IF($O178="","",INDEX(Master!$I$2:$I$1001,$O178))</f>
      </c>
      <c r="J178">
        <f>IF($O178="","",INDEX(Master!$J$2:$J$1001,$O178))</f>
      </c>
      <c r="K178">
        <f t="shared" si="4"/>
      </c>
      <c r="L178">
        <f>IF($O178="","",INDEX(Master!$K$2:$K$1001,$O178))</f>
      </c>
      <c r="M178">
        <f>IF($O178="","",INDEX(Master!$L$2:$L$1001,$O178))</f>
      </c>
      <c r="O178">
        <f t="array" ref="O178">IFERROR(SMALL(IF((Master!$A$2:$A$1001="SHYAM METALLIKS")*(Master!$M$2:$M$1001="160 x 160 x 6MTR"),ROW(Master!$A$2:$A$1001)-ROW(Master!$A$2)+1),174),"")</f>
      </c>
      <c r="P178">
        <f t="shared" si="5"/>
      </c>
    </row>
    <row r="179" spans="1:16" x14ac:dyDescent="0.25">
      <c r="A179">
        <f>IF($O179="","",INDEX(Master!$D$2:$D$1001,$O179))</f>
      </c>
      <c r="B179">
        <f>IF($O179="","",INDEX(Master!$B$2:$B$1001,$O179))</f>
      </c>
      <c r="C179">
        <f>IF($O179="","",INDEX(Master!$C$2:$C$1001,$O179))</f>
      </c>
      <c r="D179">
        <f>IF($O179="","",INDEX(Master!$A$2:$A$1001,$O179))</f>
      </c>
      <c r="E179">
        <f>IF($O179="","",INDEX(Master!$E$2:$E$1001,$O179))</f>
      </c>
      <c r="F179">
        <f>IF($O179="","",INDEX(Master!$F$2:$F$1001,$O179))</f>
      </c>
      <c r="G179">
        <f>IF($O179="","",INDEX(Master!$G$2:$G$1001,$O179))</f>
      </c>
      <c r="H179">
        <f>IF($O179="","",INDEX(Master!$H$2:$H$1001,$O179))</f>
      </c>
      <c r="I179">
        <f>IF($O179="","",INDEX(Master!$I$2:$I$1001,$O179))</f>
      </c>
      <c r="J179">
        <f>IF($O179="","",INDEX(Master!$J$2:$J$1001,$O179))</f>
      </c>
      <c r="K179">
        <f t="shared" si="4"/>
      </c>
      <c r="L179">
        <f>IF($O179="","",INDEX(Master!$K$2:$K$1001,$O179))</f>
      </c>
      <c r="M179">
        <f>IF($O179="","",INDEX(Master!$L$2:$L$1001,$O179))</f>
      </c>
      <c r="O179">
        <f t="array" ref="O179">IFERROR(SMALL(IF((Master!$A$2:$A$1001="SHYAM METALLIKS")*(Master!$M$2:$M$1001="160 x 160 x 6MTR"),ROW(Master!$A$2:$A$1001)-ROW(Master!$A$2)+1),175),"")</f>
      </c>
      <c r="P179">
        <f t="shared" si="5"/>
      </c>
    </row>
    <row r="180" spans="1:16" x14ac:dyDescent="0.25">
      <c r="A180">
        <f>IF($O180="","",INDEX(Master!$D$2:$D$1001,$O180))</f>
      </c>
      <c r="B180">
        <f>IF($O180="","",INDEX(Master!$B$2:$B$1001,$O180))</f>
      </c>
      <c r="C180">
        <f>IF($O180="","",INDEX(Master!$C$2:$C$1001,$O180))</f>
      </c>
      <c r="D180">
        <f>IF($O180="","",INDEX(Master!$A$2:$A$1001,$O180))</f>
      </c>
      <c r="E180">
        <f>IF($O180="","",INDEX(Master!$E$2:$E$1001,$O180))</f>
      </c>
      <c r="F180">
        <f>IF($O180="","",INDEX(Master!$F$2:$F$1001,$O180))</f>
      </c>
      <c r="G180">
        <f>IF($O180="","",INDEX(Master!$G$2:$G$1001,$O180))</f>
      </c>
      <c r="H180">
        <f>IF($O180="","",INDEX(Master!$H$2:$H$1001,$O180))</f>
      </c>
      <c r="I180">
        <f>IF($O180="","",INDEX(Master!$I$2:$I$1001,$O180))</f>
      </c>
      <c r="J180">
        <f>IF($O180="","",INDEX(Master!$J$2:$J$1001,$O180))</f>
      </c>
      <c r="K180">
        <f t="shared" si="4"/>
      </c>
      <c r="L180">
        <f>IF($O180="","",INDEX(Master!$K$2:$K$1001,$O180))</f>
      </c>
      <c r="M180">
        <f>IF($O180="","",INDEX(Master!$L$2:$L$1001,$O180))</f>
      </c>
      <c r="O180">
        <f t="array" ref="O180">IFERROR(SMALL(IF((Master!$A$2:$A$1001="SHYAM METALLIKS")*(Master!$M$2:$M$1001="160 x 160 x 6MTR"),ROW(Master!$A$2:$A$1001)-ROW(Master!$A$2)+1),176),"")</f>
      </c>
      <c r="P180">
        <f t="shared" si="5"/>
      </c>
    </row>
    <row r="181" spans="1:16" x14ac:dyDescent="0.25">
      <c r="A181">
        <f>IF($O181="","",INDEX(Master!$D$2:$D$1001,$O181))</f>
      </c>
      <c r="B181">
        <f>IF($O181="","",INDEX(Master!$B$2:$B$1001,$O181))</f>
      </c>
      <c r="C181">
        <f>IF($O181="","",INDEX(Master!$C$2:$C$1001,$O181))</f>
      </c>
      <c r="D181">
        <f>IF($O181="","",INDEX(Master!$A$2:$A$1001,$O181))</f>
      </c>
      <c r="E181">
        <f>IF($O181="","",INDEX(Master!$E$2:$E$1001,$O181))</f>
      </c>
      <c r="F181">
        <f>IF($O181="","",INDEX(Master!$F$2:$F$1001,$O181))</f>
      </c>
      <c r="G181">
        <f>IF($O181="","",INDEX(Master!$G$2:$G$1001,$O181))</f>
      </c>
      <c r="H181">
        <f>IF($O181="","",INDEX(Master!$H$2:$H$1001,$O181))</f>
      </c>
      <c r="I181">
        <f>IF($O181="","",INDEX(Master!$I$2:$I$1001,$O181))</f>
      </c>
      <c r="J181">
        <f>IF($O181="","",INDEX(Master!$J$2:$J$1001,$O181))</f>
      </c>
      <c r="K181">
        <f t="shared" si="4"/>
      </c>
      <c r="L181">
        <f>IF($O181="","",INDEX(Master!$K$2:$K$1001,$O181))</f>
      </c>
      <c r="M181">
        <f>IF($O181="","",INDEX(Master!$L$2:$L$1001,$O181))</f>
      </c>
      <c r="O181">
        <f t="array" ref="O181">IFERROR(SMALL(IF((Master!$A$2:$A$1001="SHYAM METALLIKS")*(Master!$M$2:$M$1001="160 x 160 x 6MTR"),ROW(Master!$A$2:$A$1001)-ROW(Master!$A$2)+1),177),"")</f>
      </c>
      <c r="P181">
        <f t="shared" si="5"/>
      </c>
    </row>
    <row r="182" spans="1:16" x14ac:dyDescent="0.25">
      <c r="A182">
        <f>IF($O182="","",INDEX(Master!$D$2:$D$1001,$O182))</f>
      </c>
      <c r="B182">
        <f>IF($O182="","",INDEX(Master!$B$2:$B$1001,$O182))</f>
      </c>
      <c r="C182">
        <f>IF($O182="","",INDEX(Master!$C$2:$C$1001,$O182))</f>
      </c>
      <c r="D182">
        <f>IF($O182="","",INDEX(Master!$A$2:$A$1001,$O182))</f>
      </c>
      <c r="E182">
        <f>IF($O182="","",INDEX(Master!$E$2:$E$1001,$O182))</f>
      </c>
      <c r="F182">
        <f>IF($O182="","",INDEX(Master!$F$2:$F$1001,$O182))</f>
      </c>
      <c r="G182">
        <f>IF($O182="","",INDEX(Master!$G$2:$G$1001,$O182))</f>
      </c>
      <c r="H182">
        <f>IF($O182="","",INDEX(Master!$H$2:$H$1001,$O182))</f>
      </c>
      <c r="I182">
        <f>IF($O182="","",INDEX(Master!$I$2:$I$1001,$O182))</f>
      </c>
      <c r="J182">
        <f>IF($O182="","",INDEX(Master!$J$2:$J$1001,$O182))</f>
      </c>
      <c r="K182">
        <f t="shared" si="4"/>
      </c>
      <c r="L182">
        <f>IF($O182="","",INDEX(Master!$K$2:$K$1001,$O182))</f>
      </c>
      <c r="M182">
        <f>IF($O182="","",INDEX(Master!$L$2:$L$1001,$O182))</f>
      </c>
      <c r="O182">
        <f t="array" ref="O182">IFERROR(SMALL(IF((Master!$A$2:$A$1001="SHYAM METALLIKS")*(Master!$M$2:$M$1001="160 x 160 x 6MTR"),ROW(Master!$A$2:$A$1001)-ROW(Master!$A$2)+1),178),"")</f>
      </c>
      <c r="P182">
        <f t="shared" si="5"/>
      </c>
    </row>
    <row r="183" spans="1:16" x14ac:dyDescent="0.25">
      <c r="A183">
        <f>IF($O183="","",INDEX(Master!$D$2:$D$1001,$O183))</f>
      </c>
      <c r="B183">
        <f>IF($O183="","",INDEX(Master!$B$2:$B$1001,$O183))</f>
      </c>
      <c r="C183">
        <f>IF($O183="","",INDEX(Master!$C$2:$C$1001,$O183))</f>
      </c>
      <c r="D183">
        <f>IF($O183="","",INDEX(Master!$A$2:$A$1001,$O183))</f>
      </c>
      <c r="E183">
        <f>IF($O183="","",INDEX(Master!$E$2:$E$1001,$O183))</f>
      </c>
      <c r="F183">
        <f>IF($O183="","",INDEX(Master!$F$2:$F$1001,$O183))</f>
      </c>
      <c r="G183">
        <f>IF($O183="","",INDEX(Master!$G$2:$G$1001,$O183))</f>
      </c>
      <c r="H183">
        <f>IF($O183="","",INDEX(Master!$H$2:$H$1001,$O183))</f>
      </c>
      <c r="I183">
        <f>IF($O183="","",INDEX(Master!$I$2:$I$1001,$O183))</f>
      </c>
      <c r="J183">
        <f>IF($O183="","",INDEX(Master!$J$2:$J$1001,$O183))</f>
      </c>
      <c r="K183">
        <f t="shared" si="4"/>
      </c>
      <c r="L183">
        <f>IF($O183="","",INDEX(Master!$K$2:$K$1001,$O183))</f>
      </c>
      <c r="M183">
        <f>IF($O183="","",INDEX(Master!$L$2:$L$1001,$O183))</f>
      </c>
      <c r="O183">
        <f t="array" ref="O183">IFERROR(SMALL(IF((Master!$A$2:$A$1001="SHYAM METALLIKS")*(Master!$M$2:$M$1001="160 x 160 x 6MTR"),ROW(Master!$A$2:$A$1001)-ROW(Master!$A$2)+1),179),"")</f>
      </c>
      <c r="P183">
        <f t="shared" si="5"/>
      </c>
    </row>
    <row r="184" spans="1:16" x14ac:dyDescent="0.25">
      <c r="A184">
        <f>IF($O184="","",INDEX(Master!$D$2:$D$1001,$O184))</f>
      </c>
      <c r="B184">
        <f>IF($O184="","",INDEX(Master!$B$2:$B$1001,$O184))</f>
      </c>
      <c r="C184">
        <f>IF($O184="","",INDEX(Master!$C$2:$C$1001,$O184))</f>
      </c>
      <c r="D184">
        <f>IF($O184="","",INDEX(Master!$A$2:$A$1001,$O184))</f>
      </c>
      <c r="E184">
        <f>IF($O184="","",INDEX(Master!$E$2:$E$1001,$O184))</f>
      </c>
      <c r="F184">
        <f>IF($O184="","",INDEX(Master!$F$2:$F$1001,$O184))</f>
      </c>
      <c r="G184">
        <f>IF($O184="","",INDEX(Master!$G$2:$G$1001,$O184))</f>
      </c>
      <c r="H184">
        <f>IF($O184="","",INDEX(Master!$H$2:$H$1001,$O184))</f>
      </c>
      <c r="I184">
        <f>IF($O184="","",INDEX(Master!$I$2:$I$1001,$O184))</f>
      </c>
      <c r="J184">
        <f>IF($O184="","",INDEX(Master!$J$2:$J$1001,$O184))</f>
      </c>
      <c r="K184">
        <f t="shared" si="4"/>
      </c>
      <c r="L184">
        <f>IF($O184="","",INDEX(Master!$K$2:$K$1001,$O184))</f>
      </c>
      <c r="M184">
        <f>IF($O184="","",INDEX(Master!$L$2:$L$1001,$O184))</f>
      </c>
      <c r="O184">
        <f t="array" ref="O184">IFERROR(SMALL(IF((Master!$A$2:$A$1001="SHYAM METALLIKS")*(Master!$M$2:$M$1001="160 x 160 x 6MTR"),ROW(Master!$A$2:$A$1001)-ROW(Master!$A$2)+1),180),"")</f>
      </c>
      <c r="P184">
        <f t="shared" si="5"/>
      </c>
    </row>
    <row r="185" spans="1:16" x14ac:dyDescent="0.25">
      <c r="A185">
        <f>IF($O185="","",INDEX(Master!$D$2:$D$1001,$O185))</f>
      </c>
      <c r="B185">
        <f>IF($O185="","",INDEX(Master!$B$2:$B$1001,$O185))</f>
      </c>
      <c r="C185">
        <f>IF($O185="","",INDEX(Master!$C$2:$C$1001,$O185))</f>
      </c>
      <c r="D185">
        <f>IF($O185="","",INDEX(Master!$A$2:$A$1001,$O185))</f>
      </c>
      <c r="E185">
        <f>IF($O185="","",INDEX(Master!$E$2:$E$1001,$O185))</f>
      </c>
      <c r="F185">
        <f>IF($O185="","",INDEX(Master!$F$2:$F$1001,$O185))</f>
      </c>
      <c r="G185">
        <f>IF($O185="","",INDEX(Master!$G$2:$G$1001,$O185))</f>
      </c>
      <c r="H185">
        <f>IF($O185="","",INDEX(Master!$H$2:$H$1001,$O185))</f>
      </c>
      <c r="I185">
        <f>IF($O185="","",INDEX(Master!$I$2:$I$1001,$O185))</f>
      </c>
      <c r="J185">
        <f>IF($O185="","",INDEX(Master!$J$2:$J$1001,$O185))</f>
      </c>
      <c r="K185">
        <f t="shared" si="4"/>
      </c>
      <c r="L185">
        <f>IF($O185="","",INDEX(Master!$K$2:$K$1001,$O185))</f>
      </c>
      <c r="M185">
        <f>IF($O185="","",INDEX(Master!$L$2:$L$1001,$O185))</f>
      </c>
      <c r="O185">
        <f t="array" ref="O185">IFERROR(SMALL(IF((Master!$A$2:$A$1001="SHYAM METALLIKS")*(Master!$M$2:$M$1001="160 x 160 x 6MTR"),ROW(Master!$A$2:$A$1001)-ROW(Master!$A$2)+1),181),"")</f>
      </c>
      <c r="P185">
        <f t="shared" si="5"/>
      </c>
    </row>
    <row r="186" spans="1:16" x14ac:dyDescent="0.25">
      <c r="A186">
        <f>IF($O186="","",INDEX(Master!$D$2:$D$1001,$O186))</f>
      </c>
      <c r="B186">
        <f>IF($O186="","",INDEX(Master!$B$2:$B$1001,$O186))</f>
      </c>
      <c r="C186">
        <f>IF($O186="","",INDEX(Master!$C$2:$C$1001,$O186))</f>
      </c>
      <c r="D186">
        <f>IF($O186="","",INDEX(Master!$A$2:$A$1001,$O186))</f>
      </c>
      <c r="E186">
        <f>IF($O186="","",INDEX(Master!$E$2:$E$1001,$O186))</f>
      </c>
      <c r="F186">
        <f>IF($O186="","",INDEX(Master!$F$2:$F$1001,$O186))</f>
      </c>
      <c r="G186">
        <f>IF($O186="","",INDEX(Master!$G$2:$G$1001,$O186))</f>
      </c>
      <c r="H186">
        <f>IF($O186="","",INDEX(Master!$H$2:$H$1001,$O186))</f>
      </c>
      <c r="I186">
        <f>IF($O186="","",INDEX(Master!$I$2:$I$1001,$O186))</f>
      </c>
      <c r="J186">
        <f>IF($O186="","",INDEX(Master!$J$2:$J$1001,$O186))</f>
      </c>
      <c r="K186">
        <f t="shared" si="4"/>
      </c>
      <c r="L186">
        <f>IF($O186="","",INDEX(Master!$K$2:$K$1001,$O186))</f>
      </c>
      <c r="M186">
        <f>IF($O186="","",INDEX(Master!$L$2:$L$1001,$O186))</f>
      </c>
      <c r="O186">
        <f t="array" ref="O186">IFERROR(SMALL(IF((Master!$A$2:$A$1001="SHYAM METALLIKS")*(Master!$M$2:$M$1001="160 x 160 x 6MTR"),ROW(Master!$A$2:$A$1001)-ROW(Master!$A$2)+1),182),"")</f>
      </c>
      <c r="P186">
        <f t="shared" si="5"/>
      </c>
    </row>
    <row r="187" spans="1:16" x14ac:dyDescent="0.25">
      <c r="A187">
        <f>IF($O187="","",INDEX(Master!$D$2:$D$1001,$O187))</f>
      </c>
      <c r="B187">
        <f>IF($O187="","",INDEX(Master!$B$2:$B$1001,$O187))</f>
      </c>
      <c r="C187">
        <f>IF($O187="","",INDEX(Master!$C$2:$C$1001,$O187))</f>
      </c>
      <c r="D187">
        <f>IF($O187="","",INDEX(Master!$A$2:$A$1001,$O187))</f>
      </c>
      <c r="E187">
        <f>IF($O187="","",INDEX(Master!$E$2:$E$1001,$O187))</f>
      </c>
      <c r="F187">
        <f>IF($O187="","",INDEX(Master!$F$2:$F$1001,$O187))</f>
      </c>
      <c r="G187">
        <f>IF($O187="","",INDEX(Master!$G$2:$G$1001,$O187))</f>
      </c>
      <c r="H187">
        <f>IF($O187="","",INDEX(Master!$H$2:$H$1001,$O187))</f>
      </c>
      <c r="I187">
        <f>IF($O187="","",INDEX(Master!$I$2:$I$1001,$O187))</f>
      </c>
      <c r="J187">
        <f>IF($O187="","",INDEX(Master!$J$2:$J$1001,$O187))</f>
      </c>
      <c r="K187">
        <f t="shared" si="4"/>
      </c>
      <c r="L187">
        <f>IF($O187="","",INDEX(Master!$K$2:$K$1001,$O187))</f>
      </c>
      <c r="M187">
        <f>IF($O187="","",INDEX(Master!$L$2:$L$1001,$O187))</f>
      </c>
      <c r="O187">
        <f t="array" ref="O187">IFERROR(SMALL(IF((Master!$A$2:$A$1001="SHYAM METALLIKS")*(Master!$M$2:$M$1001="160 x 160 x 6MTR"),ROW(Master!$A$2:$A$1001)-ROW(Master!$A$2)+1),183),"")</f>
      </c>
      <c r="P187">
        <f t="shared" si="5"/>
      </c>
    </row>
    <row r="188" spans="1:16" x14ac:dyDescent="0.25">
      <c r="A188">
        <f>IF($O188="","",INDEX(Master!$D$2:$D$1001,$O188))</f>
      </c>
      <c r="B188">
        <f>IF($O188="","",INDEX(Master!$B$2:$B$1001,$O188))</f>
      </c>
      <c r="C188">
        <f>IF($O188="","",INDEX(Master!$C$2:$C$1001,$O188))</f>
      </c>
      <c r="D188">
        <f>IF($O188="","",INDEX(Master!$A$2:$A$1001,$O188))</f>
      </c>
      <c r="E188">
        <f>IF($O188="","",INDEX(Master!$E$2:$E$1001,$O188))</f>
      </c>
      <c r="F188">
        <f>IF($O188="","",INDEX(Master!$F$2:$F$1001,$O188))</f>
      </c>
      <c r="G188">
        <f>IF($O188="","",INDEX(Master!$G$2:$G$1001,$O188))</f>
      </c>
      <c r="H188">
        <f>IF($O188="","",INDEX(Master!$H$2:$H$1001,$O188))</f>
      </c>
      <c r="I188">
        <f>IF($O188="","",INDEX(Master!$I$2:$I$1001,$O188))</f>
      </c>
      <c r="J188">
        <f>IF($O188="","",INDEX(Master!$J$2:$J$1001,$O188))</f>
      </c>
      <c r="K188">
        <f t="shared" si="4"/>
      </c>
      <c r="L188">
        <f>IF($O188="","",INDEX(Master!$K$2:$K$1001,$O188))</f>
      </c>
      <c r="M188">
        <f>IF($O188="","",INDEX(Master!$L$2:$L$1001,$O188))</f>
      </c>
      <c r="O188">
        <f t="array" ref="O188">IFERROR(SMALL(IF((Master!$A$2:$A$1001="SHYAM METALLIKS")*(Master!$M$2:$M$1001="160 x 160 x 6MTR"),ROW(Master!$A$2:$A$1001)-ROW(Master!$A$2)+1),184),"")</f>
      </c>
      <c r="P188">
        <f t="shared" si="5"/>
      </c>
    </row>
    <row r="189" spans="1:16" x14ac:dyDescent="0.25">
      <c r="A189">
        <f>IF($O189="","",INDEX(Master!$D$2:$D$1001,$O189))</f>
      </c>
      <c r="B189">
        <f>IF($O189="","",INDEX(Master!$B$2:$B$1001,$O189))</f>
      </c>
      <c r="C189">
        <f>IF($O189="","",INDEX(Master!$C$2:$C$1001,$O189))</f>
      </c>
      <c r="D189">
        <f>IF($O189="","",INDEX(Master!$A$2:$A$1001,$O189))</f>
      </c>
      <c r="E189">
        <f>IF($O189="","",INDEX(Master!$E$2:$E$1001,$O189))</f>
      </c>
      <c r="F189">
        <f>IF($O189="","",INDEX(Master!$F$2:$F$1001,$O189))</f>
      </c>
      <c r="G189">
        <f>IF($O189="","",INDEX(Master!$G$2:$G$1001,$O189))</f>
      </c>
      <c r="H189">
        <f>IF($O189="","",INDEX(Master!$H$2:$H$1001,$O189))</f>
      </c>
      <c r="I189">
        <f>IF($O189="","",INDEX(Master!$I$2:$I$1001,$O189))</f>
      </c>
      <c r="J189">
        <f>IF($O189="","",INDEX(Master!$J$2:$J$1001,$O189))</f>
      </c>
      <c r="K189">
        <f t="shared" si="4"/>
      </c>
      <c r="L189">
        <f>IF($O189="","",INDEX(Master!$K$2:$K$1001,$O189))</f>
      </c>
      <c r="M189">
        <f>IF($O189="","",INDEX(Master!$L$2:$L$1001,$O189))</f>
      </c>
      <c r="O189">
        <f t="array" ref="O189">IFERROR(SMALL(IF((Master!$A$2:$A$1001="SHYAM METALLIKS")*(Master!$M$2:$M$1001="160 x 160 x 6MTR"),ROW(Master!$A$2:$A$1001)-ROW(Master!$A$2)+1),185),"")</f>
      </c>
      <c r="P189">
        <f t="shared" si="5"/>
      </c>
    </row>
    <row r="190" spans="1:16" x14ac:dyDescent="0.25">
      <c r="A190">
        <f>IF($O190="","",INDEX(Master!$D$2:$D$1001,$O190))</f>
      </c>
      <c r="B190">
        <f>IF($O190="","",INDEX(Master!$B$2:$B$1001,$O190))</f>
      </c>
      <c r="C190">
        <f>IF($O190="","",INDEX(Master!$C$2:$C$1001,$O190))</f>
      </c>
      <c r="D190">
        <f>IF($O190="","",INDEX(Master!$A$2:$A$1001,$O190))</f>
      </c>
      <c r="E190">
        <f>IF($O190="","",INDEX(Master!$E$2:$E$1001,$O190))</f>
      </c>
      <c r="F190">
        <f>IF($O190="","",INDEX(Master!$F$2:$F$1001,$O190))</f>
      </c>
      <c r="G190">
        <f>IF($O190="","",INDEX(Master!$G$2:$G$1001,$O190))</f>
      </c>
      <c r="H190">
        <f>IF($O190="","",INDEX(Master!$H$2:$H$1001,$O190))</f>
      </c>
      <c r="I190">
        <f>IF($O190="","",INDEX(Master!$I$2:$I$1001,$O190))</f>
      </c>
      <c r="J190">
        <f>IF($O190="","",INDEX(Master!$J$2:$J$1001,$O190))</f>
      </c>
      <c r="K190">
        <f t="shared" si="4"/>
      </c>
      <c r="L190">
        <f>IF($O190="","",INDEX(Master!$K$2:$K$1001,$O190))</f>
      </c>
      <c r="M190">
        <f>IF($O190="","",INDEX(Master!$L$2:$L$1001,$O190))</f>
      </c>
      <c r="O190">
        <f t="array" ref="O190">IFERROR(SMALL(IF((Master!$A$2:$A$1001="SHYAM METALLIKS")*(Master!$M$2:$M$1001="160 x 160 x 6MTR"),ROW(Master!$A$2:$A$1001)-ROW(Master!$A$2)+1),186),"")</f>
      </c>
      <c r="P190">
        <f t="shared" si="5"/>
      </c>
    </row>
    <row r="191" spans="1:16" x14ac:dyDescent="0.25">
      <c r="A191">
        <f>IF($O191="","",INDEX(Master!$D$2:$D$1001,$O191))</f>
      </c>
      <c r="B191">
        <f>IF($O191="","",INDEX(Master!$B$2:$B$1001,$O191))</f>
      </c>
      <c r="C191">
        <f>IF($O191="","",INDEX(Master!$C$2:$C$1001,$O191))</f>
      </c>
      <c r="D191">
        <f>IF($O191="","",INDEX(Master!$A$2:$A$1001,$O191))</f>
      </c>
      <c r="E191">
        <f>IF($O191="","",INDEX(Master!$E$2:$E$1001,$O191))</f>
      </c>
      <c r="F191">
        <f>IF($O191="","",INDEX(Master!$F$2:$F$1001,$O191))</f>
      </c>
      <c r="G191">
        <f>IF($O191="","",INDEX(Master!$G$2:$G$1001,$O191))</f>
      </c>
      <c r="H191">
        <f>IF($O191="","",INDEX(Master!$H$2:$H$1001,$O191))</f>
      </c>
      <c r="I191">
        <f>IF($O191="","",INDEX(Master!$I$2:$I$1001,$O191))</f>
      </c>
      <c r="J191">
        <f>IF($O191="","",INDEX(Master!$J$2:$J$1001,$O191))</f>
      </c>
      <c r="K191">
        <f t="shared" si="4"/>
      </c>
      <c r="L191">
        <f>IF($O191="","",INDEX(Master!$K$2:$K$1001,$O191))</f>
      </c>
      <c r="M191">
        <f>IF($O191="","",INDEX(Master!$L$2:$L$1001,$O191))</f>
      </c>
      <c r="O191">
        <f t="array" ref="O191">IFERROR(SMALL(IF((Master!$A$2:$A$1001="SHYAM METALLIKS")*(Master!$M$2:$M$1001="160 x 160 x 6MTR"),ROW(Master!$A$2:$A$1001)-ROW(Master!$A$2)+1),187),"")</f>
      </c>
      <c r="P191">
        <f t="shared" si="5"/>
      </c>
    </row>
    <row r="192" spans="1:16" x14ac:dyDescent="0.25">
      <c r="A192">
        <f>IF($O192="","",INDEX(Master!$D$2:$D$1001,$O192))</f>
      </c>
      <c r="B192">
        <f>IF($O192="","",INDEX(Master!$B$2:$B$1001,$O192))</f>
      </c>
      <c r="C192">
        <f>IF($O192="","",INDEX(Master!$C$2:$C$1001,$O192))</f>
      </c>
      <c r="D192">
        <f>IF($O192="","",INDEX(Master!$A$2:$A$1001,$O192))</f>
      </c>
      <c r="E192">
        <f>IF($O192="","",INDEX(Master!$E$2:$E$1001,$O192))</f>
      </c>
      <c r="F192">
        <f>IF($O192="","",INDEX(Master!$F$2:$F$1001,$O192))</f>
      </c>
      <c r="G192">
        <f>IF($O192="","",INDEX(Master!$G$2:$G$1001,$O192))</f>
      </c>
      <c r="H192">
        <f>IF($O192="","",INDEX(Master!$H$2:$H$1001,$O192))</f>
      </c>
      <c r="I192">
        <f>IF($O192="","",INDEX(Master!$I$2:$I$1001,$O192))</f>
      </c>
      <c r="J192">
        <f>IF($O192="","",INDEX(Master!$J$2:$J$1001,$O192))</f>
      </c>
      <c r="K192">
        <f t="shared" si="4"/>
      </c>
      <c r="L192">
        <f>IF($O192="","",INDEX(Master!$K$2:$K$1001,$O192))</f>
      </c>
      <c r="M192">
        <f>IF($O192="","",INDEX(Master!$L$2:$L$1001,$O192))</f>
      </c>
      <c r="O192">
        <f t="array" ref="O192">IFERROR(SMALL(IF((Master!$A$2:$A$1001="SHYAM METALLIKS")*(Master!$M$2:$M$1001="160 x 160 x 6MTR"),ROW(Master!$A$2:$A$1001)-ROW(Master!$A$2)+1),188),"")</f>
      </c>
      <c r="P192">
        <f t="shared" si="5"/>
      </c>
    </row>
    <row r="193" spans="1:16" x14ac:dyDescent="0.25">
      <c r="A193">
        <f>IF($O193="","",INDEX(Master!$D$2:$D$1001,$O193))</f>
      </c>
      <c r="B193">
        <f>IF($O193="","",INDEX(Master!$B$2:$B$1001,$O193))</f>
      </c>
      <c r="C193">
        <f>IF($O193="","",INDEX(Master!$C$2:$C$1001,$O193))</f>
      </c>
      <c r="D193">
        <f>IF($O193="","",INDEX(Master!$A$2:$A$1001,$O193))</f>
      </c>
      <c r="E193">
        <f>IF($O193="","",INDEX(Master!$E$2:$E$1001,$O193))</f>
      </c>
      <c r="F193">
        <f>IF($O193="","",INDEX(Master!$F$2:$F$1001,$O193))</f>
      </c>
      <c r="G193">
        <f>IF($O193="","",INDEX(Master!$G$2:$G$1001,$O193))</f>
      </c>
      <c r="H193">
        <f>IF($O193="","",INDEX(Master!$H$2:$H$1001,$O193))</f>
      </c>
      <c r="I193">
        <f>IF($O193="","",INDEX(Master!$I$2:$I$1001,$O193))</f>
      </c>
      <c r="J193">
        <f>IF($O193="","",INDEX(Master!$J$2:$J$1001,$O193))</f>
      </c>
      <c r="K193">
        <f t="shared" si="4"/>
      </c>
      <c r="L193">
        <f>IF($O193="","",INDEX(Master!$K$2:$K$1001,$O193))</f>
      </c>
      <c r="M193">
        <f>IF($O193="","",INDEX(Master!$L$2:$L$1001,$O193))</f>
      </c>
      <c r="O193">
        <f t="array" ref="O193">IFERROR(SMALL(IF((Master!$A$2:$A$1001="SHYAM METALLIKS")*(Master!$M$2:$M$1001="160 x 160 x 6MTR"),ROW(Master!$A$2:$A$1001)-ROW(Master!$A$2)+1),189),"")</f>
      </c>
      <c r="P193">
        <f t="shared" si="5"/>
      </c>
    </row>
    <row r="194" spans="1:16" x14ac:dyDescent="0.25">
      <c r="A194">
        <f>IF($O194="","",INDEX(Master!$D$2:$D$1001,$O194))</f>
      </c>
      <c r="B194">
        <f>IF($O194="","",INDEX(Master!$B$2:$B$1001,$O194))</f>
      </c>
      <c r="C194">
        <f>IF($O194="","",INDEX(Master!$C$2:$C$1001,$O194))</f>
      </c>
      <c r="D194">
        <f>IF($O194="","",INDEX(Master!$A$2:$A$1001,$O194))</f>
      </c>
      <c r="E194">
        <f>IF($O194="","",INDEX(Master!$E$2:$E$1001,$O194))</f>
      </c>
      <c r="F194">
        <f>IF($O194="","",INDEX(Master!$F$2:$F$1001,$O194))</f>
      </c>
      <c r="G194">
        <f>IF($O194="","",INDEX(Master!$G$2:$G$1001,$O194))</f>
      </c>
      <c r="H194">
        <f>IF($O194="","",INDEX(Master!$H$2:$H$1001,$O194))</f>
      </c>
      <c r="I194">
        <f>IF($O194="","",INDEX(Master!$I$2:$I$1001,$O194))</f>
      </c>
      <c r="J194">
        <f>IF($O194="","",INDEX(Master!$J$2:$J$1001,$O194))</f>
      </c>
      <c r="K194">
        <f t="shared" si="4"/>
      </c>
      <c r="L194">
        <f>IF($O194="","",INDEX(Master!$K$2:$K$1001,$O194))</f>
      </c>
      <c r="M194">
        <f>IF($O194="","",INDEX(Master!$L$2:$L$1001,$O194))</f>
      </c>
      <c r="O194">
        <f t="array" ref="O194">IFERROR(SMALL(IF((Master!$A$2:$A$1001="SHYAM METALLIKS")*(Master!$M$2:$M$1001="160 x 160 x 6MTR"),ROW(Master!$A$2:$A$1001)-ROW(Master!$A$2)+1),190),"")</f>
      </c>
      <c r="P194">
        <f t="shared" si="5"/>
      </c>
    </row>
    <row r="195" spans="1:16" x14ac:dyDescent="0.25">
      <c r="A195">
        <f>IF($O195="","",INDEX(Master!$D$2:$D$1001,$O195))</f>
      </c>
      <c r="B195">
        <f>IF($O195="","",INDEX(Master!$B$2:$B$1001,$O195))</f>
      </c>
      <c r="C195">
        <f>IF($O195="","",INDEX(Master!$C$2:$C$1001,$O195))</f>
      </c>
      <c r="D195">
        <f>IF($O195="","",INDEX(Master!$A$2:$A$1001,$O195))</f>
      </c>
      <c r="E195">
        <f>IF($O195="","",INDEX(Master!$E$2:$E$1001,$O195))</f>
      </c>
      <c r="F195">
        <f>IF($O195="","",INDEX(Master!$F$2:$F$1001,$O195))</f>
      </c>
      <c r="G195">
        <f>IF($O195="","",INDEX(Master!$G$2:$G$1001,$O195))</f>
      </c>
      <c r="H195">
        <f>IF($O195="","",INDEX(Master!$H$2:$H$1001,$O195))</f>
      </c>
      <c r="I195">
        <f>IF($O195="","",INDEX(Master!$I$2:$I$1001,$O195))</f>
      </c>
      <c r="J195">
        <f>IF($O195="","",INDEX(Master!$J$2:$J$1001,$O195))</f>
      </c>
      <c r="K195">
        <f t="shared" si="4"/>
      </c>
      <c r="L195">
        <f>IF($O195="","",INDEX(Master!$K$2:$K$1001,$O195))</f>
      </c>
      <c r="M195">
        <f>IF($O195="","",INDEX(Master!$L$2:$L$1001,$O195))</f>
      </c>
      <c r="O195">
        <f t="array" ref="O195">IFERROR(SMALL(IF((Master!$A$2:$A$1001="SHYAM METALLIKS")*(Master!$M$2:$M$1001="160 x 160 x 6MTR"),ROW(Master!$A$2:$A$1001)-ROW(Master!$A$2)+1),191),"")</f>
      </c>
      <c r="P195">
        <f t="shared" si="5"/>
      </c>
    </row>
    <row r="196" spans="1:16" x14ac:dyDescent="0.25">
      <c r="A196">
        <f>IF($O196="","",INDEX(Master!$D$2:$D$1001,$O196))</f>
      </c>
      <c r="B196">
        <f>IF($O196="","",INDEX(Master!$B$2:$B$1001,$O196))</f>
      </c>
      <c r="C196">
        <f>IF($O196="","",INDEX(Master!$C$2:$C$1001,$O196))</f>
      </c>
      <c r="D196">
        <f>IF($O196="","",INDEX(Master!$A$2:$A$1001,$O196))</f>
      </c>
      <c r="E196">
        <f>IF($O196="","",INDEX(Master!$E$2:$E$1001,$O196))</f>
      </c>
      <c r="F196">
        <f>IF($O196="","",INDEX(Master!$F$2:$F$1001,$O196))</f>
      </c>
      <c r="G196">
        <f>IF($O196="","",INDEX(Master!$G$2:$G$1001,$O196))</f>
      </c>
      <c r="H196">
        <f>IF($O196="","",INDEX(Master!$H$2:$H$1001,$O196))</f>
      </c>
      <c r="I196">
        <f>IF($O196="","",INDEX(Master!$I$2:$I$1001,$O196))</f>
      </c>
      <c r="J196">
        <f>IF($O196="","",INDEX(Master!$J$2:$J$1001,$O196))</f>
      </c>
      <c r="K196">
        <f t="shared" si="4"/>
      </c>
      <c r="L196">
        <f>IF($O196="","",INDEX(Master!$K$2:$K$1001,$O196))</f>
      </c>
      <c r="M196">
        <f>IF($O196="","",INDEX(Master!$L$2:$L$1001,$O196))</f>
      </c>
      <c r="O196">
        <f t="array" ref="O196">IFERROR(SMALL(IF((Master!$A$2:$A$1001="SHYAM METALLIKS")*(Master!$M$2:$M$1001="160 x 160 x 6MTR"),ROW(Master!$A$2:$A$1001)-ROW(Master!$A$2)+1),192),"")</f>
      </c>
      <c r="P196">
        <f t="shared" si="5"/>
      </c>
    </row>
    <row r="197" spans="1:16" x14ac:dyDescent="0.25">
      <c r="A197">
        <f>IF($O197="","",INDEX(Master!$D$2:$D$1001,$O197))</f>
      </c>
      <c r="B197">
        <f>IF($O197="","",INDEX(Master!$B$2:$B$1001,$O197))</f>
      </c>
      <c r="C197">
        <f>IF($O197="","",INDEX(Master!$C$2:$C$1001,$O197))</f>
      </c>
      <c r="D197">
        <f>IF($O197="","",INDEX(Master!$A$2:$A$1001,$O197))</f>
      </c>
      <c r="E197">
        <f>IF($O197="","",INDEX(Master!$E$2:$E$1001,$O197))</f>
      </c>
      <c r="F197">
        <f>IF($O197="","",INDEX(Master!$F$2:$F$1001,$O197))</f>
      </c>
      <c r="G197">
        <f>IF($O197="","",INDEX(Master!$G$2:$G$1001,$O197))</f>
      </c>
      <c r="H197">
        <f>IF($O197="","",INDEX(Master!$H$2:$H$1001,$O197))</f>
      </c>
      <c r="I197">
        <f>IF($O197="","",INDEX(Master!$I$2:$I$1001,$O197))</f>
      </c>
      <c r="J197">
        <f>IF($O197="","",INDEX(Master!$J$2:$J$1001,$O197))</f>
      </c>
      <c r="K197">
        <f t="shared" ref="K197:K260" si="6">IF(OR($O197="",$F197="",$F197=0),"",$H197/$F197)</f>
      </c>
      <c r="L197">
        <f>IF($O197="","",INDEX(Master!$K$2:$K$1001,$O197))</f>
      </c>
      <c r="M197">
        <f>IF($O197="","",INDEX(Master!$L$2:$L$1001,$O197))</f>
      </c>
      <c r="O197">
        <f t="array" ref="O197">IFERROR(SMALL(IF((Master!$A$2:$A$1001="SHYAM METALLIKS")*(Master!$M$2:$M$1001="160 x 160 x 6MTR"),ROW(Master!$A$2:$A$1001)-ROW(Master!$A$2)+1),193),"")</f>
      </c>
      <c r="P197">
        <f t="shared" ref="P197:P260" si="7">IF($A197="",0,IF(OR(AND($E197&lt;&gt;"",OR($E197&gt;0.18)),AND($F197&lt;&gt;"",OR(($F197+$G197)&gt;0.14)),AND($G197&lt;&gt;"",OR(($F197+$G197)&gt;0.14)),AND($H197&lt;&gt;"",$H197&lt;0.4),AND($J197&lt;&gt;"",OR($J197&lt;0.1))),1,0))</f>
      </c>
    </row>
    <row r="198" spans="1:16" x14ac:dyDescent="0.25">
      <c r="A198">
        <f>IF($O198="","",INDEX(Master!$D$2:$D$1001,$O198))</f>
      </c>
      <c r="B198">
        <f>IF($O198="","",INDEX(Master!$B$2:$B$1001,$O198))</f>
      </c>
      <c r="C198">
        <f>IF($O198="","",INDEX(Master!$C$2:$C$1001,$O198))</f>
      </c>
      <c r="D198">
        <f>IF($O198="","",INDEX(Master!$A$2:$A$1001,$O198))</f>
      </c>
      <c r="E198">
        <f>IF($O198="","",INDEX(Master!$E$2:$E$1001,$O198))</f>
      </c>
      <c r="F198">
        <f>IF($O198="","",INDEX(Master!$F$2:$F$1001,$O198))</f>
      </c>
      <c r="G198">
        <f>IF($O198="","",INDEX(Master!$G$2:$G$1001,$O198))</f>
      </c>
      <c r="H198">
        <f>IF($O198="","",INDEX(Master!$H$2:$H$1001,$O198))</f>
      </c>
      <c r="I198">
        <f>IF($O198="","",INDEX(Master!$I$2:$I$1001,$O198))</f>
      </c>
      <c r="J198">
        <f>IF($O198="","",INDEX(Master!$J$2:$J$1001,$O198))</f>
      </c>
      <c r="K198">
        <f t="shared" si="6"/>
      </c>
      <c r="L198">
        <f>IF($O198="","",INDEX(Master!$K$2:$K$1001,$O198))</f>
      </c>
      <c r="M198">
        <f>IF($O198="","",INDEX(Master!$L$2:$L$1001,$O198))</f>
      </c>
      <c r="O198">
        <f t="array" ref="O198">IFERROR(SMALL(IF((Master!$A$2:$A$1001="SHYAM METALLIKS")*(Master!$M$2:$M$1001="160 x 160 x 6MTR"),ROW(Master!$A$2:$A$1001)-ROW(Master!$A$2)+1),194),"")</f>
      </c>
      <c r="P198">
        <f t="shared" si="7"/>
      </c>
    </row>
    <row r="199" spans="1:16" x14ac:dyDescent="0.25">
      <c r="A199">
        <f>IF($O199="","",INDEX(Master!$D$2:$D$1001,$O199))</f>
      </c>
      <c r="B199">
        <f>IF($O199="","",INDEX(Master!$B$2:$B$1001,$O199))</f>
      </c>
      <c r="C199">
        <f>IF($O199="","",INDEX(Master!$C$2:$C$1001,$O199))</f>
      </c>
      <c r="D199">
        <f>IF($O199="","",INDEX(Master!$A$2:$A$1001,$O199))</f>
      </c>
      <c r="E199">
        <f>IF($O199="","",INDEX(Master!$E$2:$E$1001,$O199))</f>
      </c>
      <c r="F199">
        <f>IF($O199="","",INDEX(Master!$F$2:$F$1001,$O199))</f>
      </c>
      <c r="G199">
        <f>IF($O199="","",INDEX(Master!$G$2:$G$1001,$O199))</f>
      </c>
      <c r="H199">
        <f>IF($O199="","",INDEX(Master!$H$2:$H$1001,$O199))</f>
      </c>
      <c r="I199">
        <f>IF($O199="","",INDEX(Master!$I$2:$I$1001,$O199))</f>
      </c>
      <c r="J199">
        <f>IF($O199="","",INDEX(Master!$J$2:$J$1001,$O199))</f>
      </c>
      <c r="K199">
        <f t="shared" si="6"/>
      </c>
      <c r="L199">
        <f>IF($O199="","",INDEX(Master!$K$2:$K$1001,$O199))</f>
      </c>
      <c r="M199">
        <f>IF($O199="","",INDEX(Master!$L$2:$L$1001,$O199))</f>
      </c>
      <c r="O199">
        <f t="array" ref="O199">IFERROR(SMALL(IF((Master!$A$2:$A$1001="SHYAM METALLIKS")*(Master!$M$2:$M$1001="160 x 160 x 6MTR"),ROW(Master!$A$2:$A$1001)-ROW(Master!$A$2)+1),195),"")</f>
      </c>
      <c r="P199">
        <f t="shared" si="7"/>
      </c>
    </row>
    <row r="200" spans="1:16" x14ac:dyDescent="0.25">
      <c r="A200">
        <f>IF($O200="","",INDEX(Master!$D$2:$D$1001,$O200))</f>
      </c>
      <c r="B200">
        <f>IF($O200="","",INDEX(Master!$B$2:$B$1001,$O200))</f>
      </c>
      <c r="C200">
        <f>IF($O200="","",INDEX(Master!$C$2:$C$1001,$O200))</f>
      </c>
      <c r="D200">
        <f>IF($O200="","",INDEX(Master!$A$2:$A$1001,$O200))</f>
      </c>
      <c r="E200">
        <f>IF($O200="","",INDEX(Master!$E$2:$E$1001,$O200))</f>
      </c>
      <c r="F200">
        <f>IF($O200="","",INDEX(Master!$F$2:$F$1001,$O200))</f>
      </c>
      <c r="G200">
        <f>IF($O200="","",INDEX(Master!$G$2:$G$1001,$O200))</f>
      </c>
      <c r="H200">
        <f>IF($O200="","",INDEX(Master!$H$2:$H$1001,$O200))</f>
      </c>
      <c r="I200">
        <f>IF($O200="","",INDEX(Master!$I$2:$I$1001,$O200))</f>
      </c>
      <c r="J200">
        <f>IF($O200="","",INDEX(Master!$J$2:$J$1001,$O200))</f>
      </c>
      <c r="K200">
        <f t="shared" si="6"/>
      </c>
      <c r="L200">
        <f>IF($O200="","",INDEX(Master!$K$2:$K$1001,$O200))</f>
      </c>
      <c r="M200">
        <f>IF($O200="","",INDEX(Master!$L$2:$L$1001,$O200))</f>
      </c>
      <c r="O200">
        <f t="array" ref="O200">IFERROR(SMALL(IF((Master!$A$2:$A$1001="SHYAM METALLIKS")*(Master!$M$2:$M$1001="160 x 160 x 6MTR"),ROW(Master!$A$2:$A$1001)-ROW(Master!$A$2)+1),196),"")</f>
      </c>
      <c r="P200">
        <f t="shared" si="7"/>
      </c>
    </row>
    <row r="201" spans="1:16" x14ac:dyDescent="0.25">
      <c r="A201">
        <f>IF($O201="","",INDEX(Master!$D$2:$D$1001,$O201))</f>
      </c>
      <c r="B201">
        <f>IF($O201="","",INDEX(Master!$B$2:$B$1001,$O201))</f>
      </c>
      <c r="C201">
        <f>IF($O201="","",INDEX(Master!$C$2:$C$1001,$O201))</f>
      </c>
      <c r="D201">
        <f>IF($O201="","",INDEX(Master!$A$2:$A$1001,$O201))</f>
      </c>
      <c r="E201">
        <f>IF($O201="","",INDEX(Master!$E$2:$E$1001,$O201))</f>
      </c>
      <c r="F201">
        <f>IF($O201="","",INDEX(Master!$F$2:$F$1001,$O201))</f>
      </c>
      <c r="G201">
        <f>IF($O201="","",INDEX(Master!$G$2:$G$1001,$O201))</f>
      </c>
      <c r="H201">
        <f>IF($O201="","",INDEX(Master!$H$2:$H$1001,$O201))</f>
      </c>
      <c r="I201">
        <f>IF($O201="","",INDEX(Master!$I$2:$I$1001,$O201))</f>
      </c>
      <c r="J201">
        <f>IF($O201="","",INDEX(Master!$J$2:$J$1001,$O201))</f>
      </c>
      <c r="K201">
        <f t="shared" si="6"/>
      </c>
      <c r="L201">
        <f>IF($O201="","",INDEX(Master!$K$2:$K$1001,$O201))</f>
      </c>
      <c r="M201">
        <f>IF($O201="","",INDEX(Master!$L$2:$L$1001,$O201))</f>
      </c>
      <c r="O201">
        <f t="array" ref="O201">IFERROR(SMALL(IF((Master!$A$2:$A$1001="SHYAM METALLIKS")*(Master!$M$2:$M$1001="160 x 160 x 6MTR"),ROW(Master!$A$2:$A$1001)-ROW(Master!$A$2)+1),197),"")</f>
      </c>
      <c r="P201">
        <f t="shared" si="7"/>
      </c>
    </row>
    <row r="202" spans="1:16" x14ac:dyDescent="0.25">
      <c r="A202">
        <f>IF($O202="","",INDEX(Master!$D$2:$D$1001,$O202))</f>
      </c>
      <c r="B202">
        <f>IF($O202="","",INDEX(Master!$B$2:$B$1001,$O202))</f>
      </c>
      <c r="C202">
        <f>IF($O202="","",INDEX(Master!$C$2:$C$1001,$O202))</f>
      </c>
      <c r="D202">
        <f>IF($O202="","",INDEX(Master!$A$2:$A$1001,$O202))</f>
      </c>
      <c r="E202">
        <f>IF($O202="","",INDEX(Master!$E$2:$E$1001,$O202))</f>
      </c>
      <c r="F202">
        <f>IF($O202="","",INDEX(Master!$F$2:$F$1001,$O202))</f>
      </c>
      <c r="G202">
        <f>IF($O202="","",INDEX(Master!$G$2:$G$1001,$O202))</f>
      </c>
      <c r="H202">
        <f>IF($O202="","",INDEX(Master!$H$2:$H$1001,$O202))</f>
      </c>
      <c r="I202">
        <f>IF($O202="","",INDEX(Master!$I$2:$I$1001,$O202))</f>
      </c>
      <c r="J202">
        <f>IF($O202="","",INDEX(Master!$J$2:$J$1001,$O202))</f>
      </c>
      <c r="K202">
        <f t="shared" si="6"/>
      </c>
      <c r="L202">
        <f>IF($O202="","",INDEX(Master!$K$2:$K$1001,$O202))</f>
      </c>
      <c r="M202">
        <f>IF($O202="","",INDEX(Master!$L$2:$L$1001,$O202))</f>
      </c>
      <c r="O202">
        <f t="array" ref="O202">IFERROR(SMALL(IF((Master!$A$2:$A$1001="SHYAM METALLIKS")*(Master!$M$2:$M$1001="160 x 160 x 6MTR"),ROW(Master!$A$2:$A$1001)-ROW(Master!$A$2)+1),198),"")</f>
      </c>
      <c r="P202">
        <f t="shared" si="7"/>
      </c>
    </row>
    <row r="203" spans="1:16" x14ac:dyDescent="0.25">
      <c r="A203">
        <f>IF($O203="","",INDEX(Master!$D$2:$D$1001,$O203))</f>
      </c>
      <c r="B203">
        <f>IF($O203="","",INDEX(Master!$B$2:$B$1001,$O203))</f>
      </c>
      <c r="C203">
        <f>IF($O203="","",INDEX(Master!$C$2:$C$1001,$O203))</f>
      </c>
      <c r="D203">
        <f>IF($O203="","",INDEX(Master!$A$2:$A$1001,$O203))</f>
      </c>
      <c r="E203">
        <f>IF($O203="","",INDEX(Master!$E$2:$E$1001,$O203))</f>
      </c>
      <c r="F203">
        <f>IF($O203="","",INDEX(Master!$F$2:$F$1001,$O203))</f>
      </c>
      <c r="G203">
        <f>IF($O203="","",INDEX(Master!$G$2:$G$1001,$O203))</f>
      </c>
      <c r="H203">
        <f>IF($O203="","",INDEX(Master!$H$2:$H$1001,$O203))</f>
      </c>
      <c r="I203">
        <f>IF($O203="","",INDEX(Master!$I$2:$I$1001,$O203))</f>
      </c>
      <c r="J203">
        <f>IF($O203="","",INDEX(Master!$J$2:$J$1001,$O203))</f>
      </c>
      <c r="K203">
        <f t="shared" si="6"/>
      </c>
      <c r="L203">
        <f>IF($O203="","",INDEX(Master!$K$2:$K$1001,$O203))</f>
      </c>
      <c r="M203">
        <f>IF($O203="","",INDEX(Master!$L$2:$L$1001,$O203))</f>
      </c>
      <c r="O203">
        <f t="array" ref="O203">IFERROR(SMALL(IF((Master!$A$2:$A$1001="SHYAM METALLIKS")*(Master!$M$2:$M$1001="160 x 160 x 6MTR"),ROW(Master!$A$2:$A$1001)-ROW(Master!$A$2)+1),199),"")</f>
      </c>
      <c r="P203">
        <f t="shared" si="7"/>
      </c>
    </row>
    <row r="204" spans="1:16" x14ac:dyDescent="0.25">
      <c r="A204">
        <f>IF($O204="","",INDEX(Master!$D$2:$D$1001,$O204))</f>
      </c>
      <c r="B204">
        <f>IF($O204="","",INDEX(Master!$B$2:$B$1001,$O204))</f>
      </c>
      <c r="C204">
        <f>IF($O204="","",INDEX(Master!$C$2:$C$1001,$O204))</f>
      </c>
      <c r="D204">
        <f>IF($O204="","",INDEX(Master!$A$2:$A$1001,$O204))</f>
      </c>
      <c r="E204">
        <f>IF($O204="","",INDEX(Master!$E$2:$E$1001,$O204))</f>
      </c>
      <c r="F204">
        <f>IF($O204="","",INDEX(Master!$F$2:$F$1001,$O204))</f>
      </c>
      <c r="G204">
        <f>IF($O204="","",INDEX(Master!$G$2:$G$1001,$O204))</f>
      </c>
      <c r="H204">
        <f>IF($O204="","",INDEX(Master!$H$2:$H$1001,$O204))</f>
      </c>
      <c r="I204">
        <f>IF($O204="","",INDEX(Master!$I$2:$I$1001,$O204))</f>
      </c>
      <c r="J204">
        <f>IF($O204="","",INDEX(Master!$J$2:$J$1001,$O204))</f>
      </c>
      <c r="K204">
        <f t="shared" si="6"/>
      </c>
      <c r="L204">
        <f>IF($O204="","",INDEX(Master!$K$2:$K$1001,$O204))</f>
      </c>
      <c r="M204">
        <f>IF($O204="","",INDEX(Master!$L$2:$L$1001,$O204))</f>
      </c>
      <c r="O204">
        <f t="array" ref="O204">IFERROR(SMALL(IF((Master!$A$2:$A$1001="SHYAM METALLIKS")*(Master!$M$2:$M$1001="160 x 160 x 6MTR"),ROW(Master!$A$2:$A$1001)-ROW(Master!$A$2)+1),200),"")</f>
      </c>
      <c r="P204">
        <f t="shared" si="7"/>
      </c>
    </row>
    <row r="205" spans="1:16" x14ac:dyDescent="0.25">
      <c r="A205">
        <f>IF($O205="","",INDEX(Master!$D$2:$D$1001,$O205))</f>
      </c>
      <c r="B205">
        <f>IF($O205="","",INDEX(Master!$B$2:$B$1001,$O205))</f>
      </c>
      <c r="C205">
        <f>IF($O205="","",INDEX(Master!$C$2:$C$1001,$O205))</f>
      </c>
      <c r="D205">
        <f>IF($O205="","",INDEX(Master!$A$2:$A$1001,$O205))</f>
      </c>
      <c r="E205">
        <f>IF($O205="","",INDEX(Master!$E$2:$E$1001,$O205))</f>
      </c>
      <c r="F205">
        <f>IF($O205="","",INDEX(Master!$F$2:$F$1001,$O205))</f>
      </c>
      <c r="G205">
        <f>IF($O205="","",INDEX(Master!$G$2:$G$1001,$O205))</f>
      </c>
      <c r="H205">
        <f>IF($O205="","",INDEX(Master!$H$2:$H$1001,$O205))</f>
      </c>
      <c r="I205">
        <f>IF($O205="","",INDEX(Master!$I$2:$I$1001,$O205))</f>
      </c>
      <c r="J205">
        <f>IF($O205="","",INDEX(Master!$J$2:$J$1001,$O205))</f>
      </c>
      <c r="K205">
        <f t="shared" si="6"/>
      </c>
      <c r="L205">
        <f>IF($O205="","",INDEX(Master!$K$2:$K$1001,$O205))</f>
      </c>
      <c r="M205">
        <f>IF($O205="","",INDEX(Master!$L$2:$L$1001,$O205))</f>
      </c>
      <c r="O205">
        <f t="array" ref="O205">IFERROR(SMALL(IF((Master!$A$2:$A$1001="SHYAM METALLIKS")*(Master!$M$2:$M$1001="160 x 160 x 6MTR"),ROW(Master!$A$2:$A$1001)-ROW(Master!$A$2)+1),201),"")</f>
      </c>
      <c r="P205">
        <f t="shared" si="7"/>
      </c>
    </row>
    <row r="206" spans="1:16" x14ac:dyDescent="0.25">
      <c r="A206">
        <f>IF($O206="","",INDEX(Master!$D$2:$D$1001,$O206))</f>
      </c>
      <c r="B206">
        <f>IF($O206="","",INDEX(Master!$B$2:$B$1001,$O206))</f>
      </c>
      <c r="C206">
        <f>IF($O206="","",INDEX(Master!$C$2:$C$1001,$O206))</f>
      </c>
      <c r="D206">
        <f>IF($O206="","",INDEX(Master!$A$2:$A$1001,$O206))</f>
      </c>
      <c r="E206">
        <f>IF($O206="","",INDEX(Master!$E$2:$E$1001,$O206))</f>
      </c>
      <c r="F206">
        <f>IF($O206="","",INDEX(Master!$F$2:$F$1001,$O206))</f>
      </c>
      <c r="G206">
        <f>IF($O206="","",INDEX(Master!$G$2:$G$1001,$O206))</f>
      </c>
      <c r="H206">
        <f>IF($O206="","",INDEX(Master!$H$2:$H$1001,$O206))</f>
      </c>
      <c r="I206">
        <f>IF($O206="","",INDEX(Master!$I$2:$I$1001,$O206))</f>
      </c>
      <c r="J206">
        <f>IF($O206="","",INDEX(Master!$J$2:$J$1001,$O206))</f>
      </c>
      <c r="K206">
        <f t="shared" si="6"/>
      </c>
      <c r="L206">
        <f>IF($O206="","",INDEX(Master!$K$2:$K$1001,$O206))</f>
      </c>
      <c r="M206">
        <f>IF($O206="","",INDEX(Master!$L$2:$L$1001,$O206))</f>
      </c>
      <c r="O206">
        <f t="array" ref="O206">IFERROR(SMALL(IF((Master!$A$2:$A$1001="SHYAM METALLIKS")*(Master!$M$2:$M$1001="160 x 160 x 6MTR"),ROW(Master!$A$2:$A$1001)-ROW(Master!$A$2)+1),202),"")</f>
      </c>
      <c r="P206">
        <f t="shared" si="7"/>
      </c>
    </row>
    <row r="207" spans="1:16" x14ac:dyDescent="0.25">
      <c r="A207">
        <f>IF($O207="","",INDEX(Master!$D$2:$D$1001,$O207))</f>
      </c>
      <c r="B207">
        <f>IF($O207="","",INDEX(Master!$B$2:$B$1001,$O207))</f>
      </c>
      <c r="C207">
        <f>IF($O207="","",INDEX(Master!$C$2:$C$1001,$O207))</f>
      </c>
      <c r="D207">
        <f>IF($O207="","",INDEX(Master!$A$2:$A$1001,$O207))</f>
      </c>
      <c r="E207">
        <f>IF($O207="","",INDEX(Master!$E$2:$E$1001,$O207))</f>
      </c>
      <c r="F207">
        <f>IF($O207="","",INDEX(Master!$F$2:$F$1001,$O207))</f>
      </c>
      <c r="G207">
        <f>IF($O207="","",INDEX(Master!$G$2:$G$1001,$O207))</f>
      </c>
      <c r="H207">
        <f>IF($O207="","",INDEX(Master!$H$2:$H$1001,$O207))</f>
      </c>
      <c r="I207">
        <f>IF($O207="","",INDEX(Master!$I$2:$I$1001,$O207))</f>
      </c>
      <c r="J207">
        <f>IF($O207="","",INDEX(Master!$J$2:$J$1001,$O207))</f>
      </c>
      <c r="K207">
        <f t="shared" si="6"/>
      </c>
      <c r="L207">
        <f>IF($O207="","",INDEX(Master!$K$2:$K$1001,$O207))</f>
      </c>
      <c r="M207">
        <f>IF($O207="","",INDEX(Master!$L$2:$L$1001,$O207))</f>
      </c>
      <c r="O207">
        <f t="array" ref="O207">IFERROR(SMALL(IF((Master!$A$2:$A$1001="SHYAM METALLIKS")*(Master!$M$2:$M$1001="160 x 160 x 6MTR"),ROW(Master!$A$2:$A$1001)-ROW(Master!$A$2)+1),203),"")</f>
      </c>
      <c r="P207">
        <f t="shared" si="7"/>
      </c>
    </row>
    <row r="208" spans="1:16" x14ac:dyDescent="0.25">
      <c r="A208">
        <f>IF($O208="","",INDEX(Master!$D$2:$D$1001,$O208))</f>
      </c>
      <c r="B208">
        <f>IF($O208="","",INDEX(Master!$B$2:$B$1001,$O208))</f>
      </c>
      <c r="C208">
        <f>IF($O208="","",INDEX(Master!$C$2:$C$1001,$O208))</f>
      </c>
      <c r="D208">
        <f>IF($O208="","",INDEX(Master!$A$2:$A$1001,$O208))</f>
      </c>
      <c r="E208">
        <f>IF($O208="","",INDEX(Master!$E$2:$E$1001,$O208))</f>
      </c>
      <c r="F208">
        <f>IF($O208="","",INDEX(Master!$F$2:$F$1001,$O208))</f>
      </c>
      <c r="G208">
        <f>IF($O208="","",INDEX(Master!$G$2:$G$1001,$O208))</f>
      </c>
      <c r="H208">
        <f>IF($O208="","",INDEX(Master!$H$2:$H$1001,$O208))</f>
      </c>
      <c r="I208">
        <f>IF($O208="","",INDEX(Master!$I$2:$I$1001,$O208))</f>
      </c>
      <c r="J208">
        <f>IF($O208="","",INDEX(Master!$J$2:$J$1001,$O208))</f>
      </c>
      <c r="K208">
        <f t="shared" si="6"/>
      </c>
      <c r="L208">
        <f>IF($O208="","",INDEX(Master!$K$2:$K$1001,$O208))</f>
      </c>
      <c r="M208">
        <f>IF($O208="","",INDEX(Master!$L$2:$L$1001,$O208))</f>
      </c>
      <c r="O208">
        <f t="array" ref="O208">IFERROR(SMALL(IF((Master!$A$2:$A$1001="SHYAM METALLIKS")*(Master!$M$2:$M$1001="160 x 160 x 6MTR"),ROW(Master!$A$2:$A$1001)-ROW(Master!$A$2)+1),204),"")</f>
      </c>
      <c r="P208">
        <f t="shared" si="7"/>
      </c>
    </row>
    <row r="209" spans="1:16" x14ac:dyDescent="0.25">
      <c r="A209">
        <f>IF($O209="","",INDEX(Master!$D$2:$D$1001,$O209))</f>
      </c>
      <c r="B209">
        <f>IF($O209="","",INDEX(Master!$B$2:$B$1001,$O209))</f>
      </c>
      <c r="C209">
        <f>IF($O209="","",INDEX(Master!$C$2:$C$1001,$O209))</f>
      </c>
      <c r="D209">
        <f>IF($O209="","",INDEX(Master!$A$2:$A$1001,$O209))</f>
      </c>
      <c r="E209">
        <f>IF($O209="","",INDEX(Master!$E$2:$E$1001,$O209))</f>
      </c>
      <c r="F209">
        <f>IF($O209="","",INDEX(Master!$F$2:$F$1001,$O209))</f>
      </c>
      <c r="G209">
        <f>IF($O209="","",INDEX(Master!$G$2:$G$1001,$O209))</f>
      </c>
      <c r="H209">
        <f>IF($O209="","",INDEX(Master!$H$2:$H$1001,$O209))</f>
      </c>
      <c r="I209">
        <f>IF($O209="","",INDEX(Master!$I$2:$I$1001,$O209))</f>
      </c>
      <c r="J209">
        <f>IF($O209="","",INDEX(Master!$J$2:$J$1001,$O209))</f>
      </c>
      <c r="K209">
        <f t="shared" si="6"/>
      </c>
      <c r="L209">
        <f>IF($O209="","",INDEX(Master!$K$2:$K$1001,$O209))</f>
      </c>
      <c r="M209">
        <f>IF($O209="","",INDEX(Master!$L$2:$L$1001,$O209))</f>
      </c>
      <c r="O209">
        <f t="array" ref="O209">IFERROR(SMALL(IF((Master!$A$2:$A$1001="SHYAM METALLIKS")*(Master!$M$2:$M$1001="160 x 160 x 6MTR"),ROW(Master!$A$2:$A$1001)-ROW(Master!$A$2)+1),205),"")</f>
      </c>
      <c r="P209">
        <f t="shared" si="7"/>
      </c>
    </row>
    <row r="210" spans="1:16" x14ac:dyDescent="0.25">
      <c r="A210">
        <f>IF($O210="","",INDEX(Master!$D$2:$D$1001,$O210))</f>
      </c>
      <c r="B210">
        <f>IF($O210="","",INDEX(Master!$B$2:$B$1001,$O210))</f>
      </c>
      <c r="C210">
        <f>IF($O210="","",INDEX(Master!$C$2:$C$1001,$O210))</f>
      </c>
      <c r="D210">
        <f>IF($O210="","",INDEX(Master!$A$2:$A$1001,$O210))</f>
      </c>
      <c r="E210">
        <f>IF($O210="","",INDEX(Master!$E$2:$E$1001,$O210))</f>
      </c>
      <c r="F210">
        <f>IF($O210="","",INDEX(Master!$F$2:$F$1001,$O210))</f>
      </c>
      <c r="G210">
        <f>IF($O210="","",INDEX(Master!$G$2:$G$1001,$O210))</f>
      </c>
      <c r="H210">
        <f>IF($O210="","",INDEX(Master!$H$2:$H$1001,$O210))</f>
      </c>
      <c r="I210">
        <f>IF($O210="","",INDEX(Master!$I$2:$I$1001,$O210))</f>
      </c>
      <c r="J210">
        <f>IF($O210="","",INDEX(Master!$J$2:$J$1001,$O210))</f>
      </c>
      <c r="K210">
        <f t="shared" si="6"/>
      </c>
      <c r="L210">
        <f>IF($O210="","",INDEX(Master!$K$2:$K$1001,$O210))</f>
      </c>
      <c r="M210">
        <f>IF($O210="","",INDEX(Master!$L$2:$L$1001,$O210))</f>
      </c>
      <c r="O210">
        <f t="array" ref="O210">IFERROR(SMALL(IF((Master!$A$2:$A$1001="SHYAM METALLIKS")*(Master!$M$2:$M$1001="160 x 160 x 6MTR"),ROW(Master!$A$2:$A$1001)-ROW(Master!$A$2)+1),206),"")</f>
      </c>
      <c r="P210">
        <f t="shared" si="7"/>
      </c>
    </row>
    <row r="211" spans="1:16" x14ac:dyDescent="0.25">
      <c r="A211">
        <f>IF($O211="","",INDEX(Master!$D$2:$D$1001,$O211))</f>
      </c>
      <c r="B211">
        <f>IF($O211="","",INDEX(Master!$B$2:$B$1001,$O211))</f>
      </c>
      <c r="C211">
        <f>IF($O211="","",INDEX(Master!$C$2:$C$1001,$O211))</f>
      </c>
      <c r="D211">
        <f>IF($O211="","",INDEX(Master!$A$2:$A$1001,$O211))</f>
      </c>
      <c r="E211">
        <f>IF($O211="","",INDEX(Master!$E$2:$E$1001,$O211))</f>
      </c>
      <c r="F211">
        <f>IF($O211="","",INDEX(Master!$F$2:$F$1001,$O211))</f>
      </c>
      <c r="G211">
        <f>IF($O211="","",INDEX(Master!$G$2:$G$1001,$O211))</f>
      </c>
      <c r="H211">
        <f>IF($O211="","",INDEX(Master!$H$2:$H$1001,$O211))</f>
      </c>
      <c r="I211">
        <f>IF($O211="","",INDEX(Master!$I$2:$I$1001,$O211))</f>
      </c>
      <c r="J211">
        <f>IF($O211="","",INDEX(Master!$J$2:$J$1001,$O211))</f>
      </c>
      <c r="K211">
        <f t="shared" si="6"/>
      </c>
      <c r="L211">
        <f>IF($O211="","",INDEX(Master!$K$2:$K$1001,$O211))</f>
      </c>
      <c r="M211">
        <f>IF($O211="","",INDEX(Master!$L$2:$L$1001,$O211))</f>
      </c>
      <c r="O211">
        <f t="array" ref="O211">IFERROR(SMALL(IF((Master!$A$2:$A$1001="SHYAM METALLIKS")*(Master!$M$2:$M$1001="160 x 160 x 6MTR"),ROW(Master!$A$2:$A$1001)-ROW(Master!$A$2)+1),207),"")</f>
      </c>
      <c r="P211">
        <f t="shared" si="7"/>
      </c>
    </row>
    <row r="212" spans="1:16" x14ac:dyDescent="0.25">
      <c r="A212">
        <f>IF($O212="","",INDEX(Master!$D$2:$D$1001,$O212))</f>
      </c>
      <c r="B212">
        <f>IF($O212="","",INDEX(Master!$B$2:$B$1001,$O212))</f>
      </c>
      <c r="C212">
        <f>IF($O212="","",INDEX(Master!$C$2:$C$1001,$O212))</f>
      </c>
      <c r="D212">
        <f>IF($O212="","",INDEX(Master!$A$2:$A$1001,$O212))</f>
      </c>
      <c r="E212">
        <f>IF($O212="","",INDEX(Master!$E$2:$E$1001,$O212))</f>
      </c>
      <c r="F212">
        <f>IF($O212="","",INDEX(Master!$F$2:$F$1001,$O212))</f>
      </c>
      <c r="G212">
        <f>IF($O212="","",INDEX(Master!$G$2:$G$1001,$O212))</f>
      </c>
      <c r="H212">
        <f>IF($O212="","",INDEX(Master!$H$2:$H$1001,$O212))</f>
      </c>
      <c r="I212">
        <f>IF($O212="","",INDEX(Master!$I$2:$I$1001,$O212))</f>
      </c>
      <c r="J212">
        <f>IF($O212="","",INDEX(Master!$J$2:$J$1001,$O212))</f>
      </c>
      <c r="K212">
        <f t="shared" si="6"/>
      </c>
      <c r="L212">
        <f>IF($O212="","",INDEX(Master!$K$2:$K$1001,$O212))</f>
      </c>
      <c r="M212">
        <f>IF($O212="","",INDEX(Master!$L$2:$L$1001,$O212))</f>
      </c>
      <c r="O212">
        <f t="array" ref="O212">IFERROR(SMALL(IF((Master!$A$2:$A$1001="SHYAM METALLIKS")*(Master!$M$2:$M$1001="160 x 160 x 6MTR"),ROW(Master!$A$2:$A$1001)-ROW(Master!$A$2)+1),208),"")</f>
      </c>
      <c r="P212">
        <f t="shared" si="7"/>
      </c>
    </row>
    <row r="213" spans="1:16" x14ac:dyDescent="0.25">
      <c r="A213">
        <f>IF($O213="","",INDEX(Master!$D$2:$D$1001,$O213))</f>
      </c>
      <c r="B213">
        <f>IF($O213="","",INDEX(Master!$B$2:$B$1001,$O213))</f>
      </c>
      <c r="C213">
        <f>IF($O213="","",INDEX(Master!$C$2:$C$1001,$O213))</f>
      </c>
      <c r="D213">
        <f>IF($O213="","",INDEX(Master!$A$2:$A$1001,$O213))</f>
      </c>
      <c r="E213">
        <f>IF($O213="","",INDEX(Master!$E$2:$E$1001,$O213))</f>
      </c>
      <c r="F213">
        <f>IF($O213="","",INDEX(Master!$F$2:$F$1001,$O213))</f>
      </c>
      <c r="G213">
        <f>IF($O213="","",INDEX(Master!$G$2:$G$1001,$O213))</f>
      </c>
      <c r="H213">
        <f>IF($O213="","",INDEX(Master!$H$2:$H$1001,$O213))</f>
      </c>
      <c r="I213">
        <f>IF($O213="","",INDEX(Master!$I$2:$I$1001,$O213))</f>
      </c>
      <c r="J213">
        <f>IF($O213="","",INDEX(Master!$J$2:$J$1001,$O213))</f>
      </c>
      <c r="K213">
        <f t="shared" si="6"/>
      </c>
      <c r="L213">
        <f>IF($O213="","",INDEX(Master!$K$2:$K$1001,$O213))</f>
      </c>
      <c r="M213">
        <f>IF($O213="","",INDEX(Master!$L$2:$L$1001,$O213))</f>
      </c>
      <c r="O213">
        <f t="array" ref="O213">IFERROR(SMALL(IF((Master!$A$2:$A$1001="SHYAM METALLIKS")*(Master!$M$2:$M$1001="160 x 160 x 6MTR"),ROW(Master!$A$2:$A$1001)-ROW(Master!$A$2)+1),209),"")</f>
      </c>
      <c r="P213">
        <f t="shared" si="7"/>
      </c>
    </row>
    <row r="214" spans="1:16" x14ac:dyDescent="0.25">
      <c r="A214">
        <f>IF($O214="","",INDEX(Master!$D$2:$D$1001,$O214))</f>
      </c>
      <c r="B214">
        <f>IF($O214="","",INDEX(Master!$B$2:$B$1001,$O214))</f>
      </c>
      <c r="C214">
        <f>IF($O214="","",INDEX(Master!$C$2:$C$1001,$O214))</f>
      </c>
      <c r="D214">
        <f>IF($O214="","",INDEX(Master!$A$2:$A$1001,$O214))</f>
      </c>
      <c r="E214">
        <f>IF($O214="","",INDEX(Master!$E$2:$E$1001,$O214))</f>
      </c>
      <c r="F214">
        <f>IF($O214="","",INDEX(Master!$F$2:$F$1001,$O214))</f>
      </c>
      <c r="G214">
        <f>IF($O214="","",INDEX(Master!$G$2:$G$1001,$O214))</f>
      </c>
      <c r="H214">
        <f>IF($O214="","",INDEX(Master!$H$2:$H$1001,$O214))</f>
      </c>
      <c r="I214">
        <f>IF($O214="","",INDEX(Master!$I$2:$I$1001,$O214))</f>
      </c>
      <c r="J214">
        <f>IF($O214="","",INDEX(Master!$J$2:$J$1001,$O214))</f>
      </c>
      <c r="K214">
        <f t="shared" si="6"/>
      </c>
      <c r="L214">
        <f>IF($O214="","",INDEX(Master!$K$2:$K$1001,$O214))</f>
      </c>
      <c r="M214">
        <f>IF($O214="","",INDEX(Master!$L$2:$L$1001,$O214))</f>
      </c>
      <c r="O214">
        <f t="array" ref="O214">IFERROR(SMALL(IF((Master!$A$2:$A$1001="SHYAM METALLIKS")*(Master!$M$2:$M$1001="160 x 160 x 6MTR"),ROW(Master!$A$2:$A$1001)-ROW(Master!$A$2)+1),210),"")</f>
      </c>
      <c r="P214">
        <f t="shared" si="7"/>
      </c>
    </row>
    <row r="215" spans="1:16" x14ac:dyDescent="0.25">
      <c r="A215">
        <f>IF($O215="","",INDEX(Master!$D$2:$D$1001,$O215))</f>
      </c>
      <c r="B215">
        <f>IF($O215="","",INDEX(Master!$B$2:$B$1001,$O215))</f>
      </c>
      <c r="C215">
        <f>IF($O215="","",INDEX(Master!$C$2:$C$1001,$O215))</f>
      </c>
      <c r="D215">
        <f>IF($O215="","",INDEX(Master!$A$2:$A$1001,$O215))</f>
      </c>
      <c r="E215">
        <f>IF($O215="","",INDEX(Master!$E$2:$E$1001,$O215))</f>
      </c>
      <c r="F215">
        <f>IF($O215="","",INDEX(Master!$F$2:$F$1001,$O215))</f>
      </c>
      <c r="G215">
        <f>IF($O215="","",INDEX(Master!$G$2:$G$1001,$O215))</f>
      </c>
      <c r="H215">
        <f>IF($O215="","",INDEX(Master!$H$2:$H$1001,$O215))</f>
      </c>
      <c r="I215">
        <f>IF($O215="","",INDEX(Master!$I$2:$I$1001,$O215))</f>
      </c>
      <c r="J215">
        <f>IF($O215="","",INDEX(Master!$J$2:$J$1001,$O215))</f>
      </c>
      <c r="K215">
        <f t="shared" si="6"/>
      </c>
      <c r="L215">
        <f>IF($O215="","",INDEX(Master!$K$2:$K$1001,$O215))</f>
      </c>
      <c r="M215">
        <f>IF($O215="","",INDEX(Master!$L$2:$L$1001,$O215))</f>
      </c>
      <c r="O215">
        <f t="array" ref="O215">IFERROR(SMALL(IF((Master!$A$2:$A$1001="SHYAM METALLIKS")*(Master!$M$2:$M$1001="160 x 160 x 6MTR"),ROW(Master!$A$2:$A$1001)-ROW(Master!$A$2)+1),211),"")</f>
      </c>
      <c r="P215">
        <f t="shared" si="7"/>
      </c>
    </row>
    <row r="216" spans="1:16" x14ac:dyDescent="0.25">
      <c r="A216">
        <f>IF($O216="","",INDEX(Master!$D$2:$D$1001,$O216))</f>
      </c>
      <c r="B216">
        <f>IF($O216="","",INDEX(Master!$B$2:$B$1001,$O216))</f>
      </c>
      <c r="C216">
        <f>IF($O216="","",INDEX(Master!$C$2:$C$1001,$O216))</f>
      </c>
      <c r="D216">
        <f>IF($O216="","",INDEX(Master!$A$2:$A$1001,$O216))</f>
      </c>
      <c r="E216">
        <f>IF($O216="","",INDEX(Master!$E$2:$E$1001,$O216))</f>
      </c>
      <c r="F216">
        <f>IF($O216="","",INDEX(Master!$F$2:$F$1001,$O216))</f>
      </c>
      <c r="G216">
        <f>IF($O216="","",INDEX(Master!$G$2:$G$1001,$O216))</f>
      </c>
      <c r="H216">
        <f>IF($O216="","",INDEX(Master!$H$2:$H$1001,$O216))</f>
      </c>
      <c r="I216">
        <f>IF($O216="","",INDEX(Master!$I$2:$I$1001,$O216))</f>
      </c>
      <c r="J216">
        <f>IF($O216="","",INDEX(Master!$J$2:$J$1001,$O216))</f>
      </c>
      <c r="K216">
        <f t="shared" si="6"/>
      </c>
      <c r="L216">
        <f>IF($O216="","",INDEX(Master!$K$2:$K$1001,$O216))</f>
      </c>
      <c r="M216">
        <f>IF($O216="","",INDEX(Master!$L$2:$L$1001,$O216))</f>
      </c>
      <c r="O216">
        <f t="array" ref="O216">IFERROR(SMALL(IF((Master!$A$2:$A$1001="SHYAM METALLIKS")*(Master!$M$2:$M$1001="160 x 160 x 6MTR"),ROW(Master!$A$2:$A$1001)-ROW(Master!$A$2)+1),212),"")</f>
      </c>
      <c r="P216">
        <f t="shared" si="7"/>
      </c>
    </row>
    <row r="217" spans="1:16" x14ac:dyDescent="0.25">
      <c r="A217">
        <f>IF($O217="","",INDEX(Master!$D$2:$D$1001,$O217))</f>
      </c>
      <c r="B217">
        <f>IF($O217="","",INDEX(Master!$B$2:$B$1001,$O217))</f>
      </c>
      <c r="C217">
        <f>IF($O217="","",INDEX(Master!$C$2:$C$1001,$O217))</f>
      </c>
      <c r="D217">
        <f>IF($O217="","",INDEX(Master!$A$2:$A$1001,$O217))</f>
      </c>
      <c r="E217">
        <f>IF($O217="","",INDEX(Master!$E$2:$E$1001,$O217))</f>
      </c>
      <c r="F217">
        <f>IF($O217="","",INDEX(Master!$F$2:$F$1001,$O217))</f>
      </c>
      <c r="G217">
        <f>IF($O217="","",INDEX(Master!$G$2:$G$1001,$O217))</f>
      </c>
      <c r="H217">
        <f>IF($O217="","",INDEX(Master!$H$2:$H$1001,$O217))</f>
      </c>
      <c r="I217">
        <f>IF($O217="","",INDEX(Master!$I$2:$I$1001,$O217))</f>
      </c>
      <c r="J217">
        <f>IF($O217="","",INDEX(Master!$J$2:$J$1001,$O217))</f>
      </c>
      <c r="K217">
        <f t="shared" si="6"/>
      </c>
      <c r="L217">
        <f>IF($O217="","",INDEX(Master!$K$2:$K$1001,$O217))</f>
      </c>
      <c r="M217">
        <f>IF($O217="","",INDEX(Master!$L$2:$L$1001,$O217))</f>
      </c>
      <c r="O217">
        <f t="array" ref="O217">IFERROR(SMALL(IF((Master!$A$2:$A$1001="SHYAM METALLIKS")*(Master!$M$2:$M$1001="160 x 160 x 6MTR"),ROW(Master!$A$2:$A$1001)-ROW(Master!$A$2)+1),213),"")</f>
      </c>
      <c r="P217">
        <f t="shared" si="7"/>
      </c>
    </row>
    <row r="218" spans="1:16" x14ac:dyDescent="0.25">
      <c r="A218">
        <f>IF($O218="","",INDEX(Master!$D$2:$D$1001,$O218))</f>
      </c>
      <c r="B218">
        <f>IF($O218="","",INDEX(Master!$B$2:$B$1001,$O218))</f>
      </c>
      <c r="C218">
        <f>IF($O218="","",INDEX(Master!$C$2:$C$1001,$O218))</f>
      </c>
      <c r="D218">
        <f>IF($O218="","",INDEX(Master!$A$2:$A$1001,$O218))</f>
      </c>
      <c r="E218">
        <f>IF($O218="","",INDEX(Master!$E$2:$E$1001,$O218))</f>
      </c>
      <c r="F218">
        <f>IF($O218="","",INDEX(Master!$F$2:$F$1001,$O218))</f>
      </c>
      <c r="G218">
        <f>IF($O218="","",INDEX(Master!$G$2:$G$1001,$O218))</f>
      </c>
      <c r="H218">
        <f>IF($O218="","",INDEX(Master!$H$2:$H$1001,$O218))</f>
      </c>
      <c r="I218">
        <f>IF($O218="","",INDEX(Master!$I$2:$I$1001,$O218))</f>
      </c>
      <c r="J218">
        <f>IF($O218="","",INDEX(Master!$J$2:$J$1001,$O218))</f>
      </c>
      <c r="K218">
        <f t="shared" si="6"/>
      </c>
      <c r="L218">
        <f>IF($O218="","",INDEX(Master!$K$2:$K$1001,$O218))</f>
      </c>
      <c r="M218">
        <f>IF($O218="","",INDEX(Master!$L$2:$L$1001,$O218))</f>
      </c>
      <c r="O218">
        <f t="array" ref="O218">IFERROR(SMALL(IF((Master!$A$2:$A$1001="SHYAM METALLIKS")*(Master!$M$2:$M$1001="160 x 160 x 6MTR"),ROW(Master!$A$2:$A$1001)-ROW(Master!$A$2)+1),214),"")</f>
      </c>
      <c r="P218">
        <f t="shared" si="7"/>
      </c>
    </row>
    <row r="219" spans="1:16" x14ac:dyDescent="0.25">
      <c r="A219">
        <f>IF($O219="","",INDEX(Master!$D$2:$D$1001,$O219))</f>
      </c>
      <c r="B219">
        <f>IF($O219="","",INDEX(Master!$B$2:$B$1001,$O219))</f>
      </c>
      <c r="C219">
        <f>IF($O219="","",INDEX(Master!$C$2:$C$1001,$O219))</f>
      </c>
      <c r="D219">
        <f>IF($O219="","",INDEX(Master!$A$2:$A$1001,$O219))</f>
      </c>
      <c r="E219">
        <f>IF($O219="","",INDEX(Master!$E$2:$E$1001,$O219))</f>
      </c>
      <c r="F219">
        <f>IF($O219="","",INDEX(Master!$F$2:$F$1001,$O219))</f>
      </c>
      <c r="G219">
        <f>IF($O219="","",INDEX(Master!$G$2:$G$1001,$O219))</f>
      </c>
      <c r="H219">
        <f>IF($O219="","",INDEX(Master!$H$2:$H$1001,$O219))</f>
      </c>
      <c r="I219">
        <f>IF($O219="","",INDEX(Master!$I$2:$I$1001,$O219))</f>
      </c>
      <c r="J219">
        <f>IF($O219="","",INDEX(Master!$J$2:$J$1001,$O219))</f>
      </c>
      <c r="K219">
        <f t="shared" si="6"/>
      </c>
      <c r="L219">
        <f>IF($O219="","",INDEX(Master!$K$2:$K$1001,$O219))</f>
      </c>
      <c r="M219">
        <f>IF($O219="","",INDEX(Master!$L$2:$L$1001,$O219))</f>
      </c>
      <c r="O219">
        <f t="array" ref="O219">IFERROR(SMALL(IF((Master!$A$2:$A$1001="SHYAM METALLIKS")*(Master!$M$2:$M$1001="160 x 160 x 6MTR"),ROW(Master!$A$2:$A$1001)-ROW(Master!$A$2)+1),215),"")</f>
      </c>
      <c r="P219">
        <f t="shared" si="7"/>
      </c>
    </row>
    <row r="220" spans="1:16" x14ac:dyDescent="0.25">
      <c r="A220">
        <f>IF($O220="","",INDEX(Master!$D$2:$D$1001,$O220))</f>
      </c>
      <c r="B220">
        <f>IF($O220="","",INDEX(Master!$B$2:$B$1001,$O220))</f>
      </c>
      <c r="C220">
        <f>IF($O220="","",INDEX(Master!$C$2:$C$1001,$O220))</f>
      </c>
      <c r="D220">
        <f>IF($O220="","",INDEX(Master!$A$2:$A$1001,$O220))</f>
      </c>
      <c r="E220">
        <f>IF($O220="","",INDEX(Master!$E$2:$E$1001,$O220))</f>
      </c>
      <c r="F220">
        <f>IF($O220="","",INDEX(Master!$F$2:$F$1001,$O220))</f>
      </c>
      <c r="G220">
        <f>IF($O220="","",INDEX(Master!$G$2:$G$1001,$O220))</f>
      </c>
      <c r="H220">
        <f>IF($O220="","",INDEX(Master!$H$2:$H$1001,$O220))</f>
      </c>
      <c r="I220">
        <f>IF($O220="","",INDEX(Master!$I$2:$I$1001,$O220))</f>
      </c>
      <c r="J220">
        <f>IF($O220="","",INDEX(Master!$J$2:$J$1001,$O220))</f>
      </c>
      <c r="K220">
        <f t="shared" si="6"/>
      </c>
      <c r="L220">
        <f>IF($O220="","",INDEX(Master!$K$2:$K$1001,$O220))</f>
      </c>
      <c r="M220">
        <f>IF($O220="","",INDEX(Master!$L$2:$L$1001,$O220))</f>
      </c>
      <c r="O220">
        <f t="array" ref="O220">IFERROR(SMALL(IF((Master!$A$2:$A$1001="SHYAM METALLIKS")*(Master!$M$2:$M$1001="160 x 160 x 6MTR"),ROW(Master!$A$2:$A$1001)-ROW(Master!$A$2)+1),216),"")</f>
      </c>
      <c r="P220">
        <f t="shared" si="7"/>
      </c>
    </row>
    <row r="221" spans="1:16" x14ac:dyDescent="0.25">
      <c r="A221">
        <f>IF($O221="","",INDEX(Master!$D$2:$D$1001,$O221))</f>
      </c>
      <c r="B221">
        <f>IF($O221="","",INDEX(Master!$B$2:$B$1001,$O221))</f>
      </c>
      <c r="C221">
        <f>IF($O221="","",INDEX(Master!$C$2:$C$1001,$O221))</f>
      </c>
      <c r="D221">
        <f>IF($O221="","",INDEX(Master!$A$2:$A$1001,$O221))</f>
      </c>
      <c r="E221">
        <f>IF($O221="","",INDEX(Master!$E$2:$E$1001,$O221))</f>
      </c>
      <c r="F221">
        <f>IF($O221="","",INDEX(Master!$F$2:$F$1001,$O221))</f>
      </c>
      <c r="G221">
        <f>IF($O221="","",INDEX(Master!$G$2:$G$1001,$O221))</f>
      </c>
      <c r="H221">
        <f>IF($O221="","",INDEX(Master!$H$2:$H$1001,$O221))</f>
      </c>
      <c r="I221">
        <f>IF($O221="","",INDEX(Master!$I$2:$I$1001,$O221))</f>
      </c>
      <c r="J221">
        <f>IF($O221="","",INDEX(Master!$J$2:$J$1001,$O221))</f>
      </c>
      <c r="K221">
        <f t="shared" si="6"/>
      </c>
      <c r="L221">
        <f>IF($O221="","",INDEX(Master!$K$2:$K$1001,$O221))</f>
      </c>
      <c r="M221">
        <f>IF($O221="","",INDEX(Master!$L$2:$L$1001,$O221))</f>
      </c>
      <c r="O221">
        <f t="array" ref="O221">IFERROR(SMALL(IF((Master!$A$2:$A$1001="SHYAM METALLIKS")*(Master!$M$2:$M$1001="160 x 160 x 6MTR"),ROW(Master!$A$2:$A$1001)-ROW(Master!$A$2)+1),217),"")</f>
      </c>
      <c r="P221">
        <f t="shared" si="7"/>
      </c>
    </row>
    <row r="222" spans="1:16" x14ac:dyDescent="0.25">
      <c r="A222">
        <f>IF($O222="","",INDEX(Master!$D$2:$D$1001,$O222))</f>
      </c>
      <c r="B222">
        <f>IF($O222="","",INDEX(Master!$B$2:$B$1001,$O222))</f>
      </c>
      <c r="C222">
        <f>IF($O222="","",INDEX(Master!$C$2:$C$1001,$O222))</f>
      </c>
      <c r="D222">
        <f>IF($O222="","",INDEX(Master!$A$2:$A$1001,$O222))</f>
      </c>
      <c r="E222">
        <f>IF($O222="","",INDEX(Master!$E$2:$E$1001,$O222))</f>
      </c>
      <c r="F222">
        <f>IF($O222="","",INDEX(Master!$F$2:$F$1001,$O222))</f>
      </c>
      <c r="G222">
        <f>IF($O222="","",INDEX(Master!$G$2:$G$1001,$O222))</f>
      </c>
      <c r="H222">
        <f>IF($O222="","",INDEX(Master!$H$2:$H$1001,$O222))</f>
      </c>
      <c r="I222">
        <f>IF($O222="","",INDEX(Master!$I$2:$I$1001,$O222))</f>
      </c>
      <c r="J222">
        <f>IF($O222="","",INDEX(Master!$J$2:$J$1001,$O222))</f>
      </c>
      <c r="K222">
        <f t="shared" si="6"/>
      </c>
      <c r="L222">
        <f>IF($O222="","",INDEX(Master!$K$2:$K$1001,$O222))</f>
      </c>
      <c r="M222">
        <f>IF($O222="","",INDEX(Master!$L$2:$L$1001,$O222))</f>
      </c>
      <c r="O222">
        <f t="array" ref="O222">IFERROR(SMALL(IF((Master!$A$2:$A$1001="SHYAM METALLIKS")*(Master!$M$2:$M$1001="160 x 160 x 6MTR"),ROW(Master!$A$2:$A$1001)-ROW(Master!$A$2)+1),218),"")</f>
      </c>
      <c r="P222">
        <f t="shared" si="7"/>
      </c>
    </row>
    <row r="223" spans="1:16" x14ac:dyDescent="0.25">
      <c r="A223">
        <f>IF($O223="","",INDEX(Master!$D$2:$D$1001,$O223))</f>
      </c>
      <c r="B223">
        <f>IF($O223="","",INDEX(Master!$B$2:$B$1001,$O223))</f>
      </c>
      <c r="C223">
        <f>IF($O223="","",INDEX(Master!$C$2:$C$1001,$O223))</f>
      </c>
      <c r="D223">
        <f>IF($O223="","",INDEX(Master!$A$2:$A$1001,$O223))</f>
      </c>
      <c r="E223">
        <f>IF($O223="","",INDEX(Master!$E$2:$E$1001,$O223))</f>
      </c>
      <c r="F223">
        <f>IF($O223="","",INDEX(Master!$F$2:$F$1001,$O223))</f>
      </c>
      <c r="G223">
        <f>IF($O223="","",INDEX(Master!$G$2:$G$1001,$O223))</f>
      </c>
      <c r="H223">
        <f>IF($O223="","",INDEX(Master!$H$2:$H$1001,$O223))</f>
      </c>
      <c r="I223">
        <f>IF($O223="","",INDEX(Master!$I$2:$I$1001,$O223))</f>
      </c>
      <c r="J223">
        <f>IF($O223="","",INDEX(Master!$J$2:$J$1001,$O223))</f>
      </c>
      <c r="K223">
        <f t="shared" si="6"/>
      </c>
      <c r="L223">
        <f>IF($O223="","",INDEX(Master!$K$2:$K$1001,$O223))</f>
      </c>
      <c r="M223">
        <f>IF($O223="","",INDEX(Master!$L$2:$L$1001,$O223))</f>
      </c>
      <c r="O223">
        <f t="array" ref="O223">IFERROR(SMALL(IF((Master!$A$2:$A$1001="SHYAM METALLIKS")*(Master!$M$2:$M$1001="160 x 160 x 6MTR"),ROW(Master!$A$2:$A$1001)-ROW(Master!$A$2)+1),219),"")</f>
      </c>
      <c r="P223">
        <f t="shared" si="7"/>
      </c>
    </row>
    <row r="224" spans="1:16" x14ac:dyDescent="0.25">
      <c r="A224">
        <f>IF($O224="","",INDEX(Master!$D$2:$D$1001,$O224))</f>
      </c>
      <c r="B224">
        <f>IF($O224="","",INDEX(Master!$B$2:$B$1001,$O224))</f>
      </c>
      <c r="C224">
        <f>IF($O224="","",INDEX(Master!$C$2:$C$1001,$O224))</f>
      </c>
      <c r="D224">
        <f>IF($O224="","",INDEX(Master!$A$2:$A$1001,$O224))</f>
      </c>
      <c r="E224">
        <f>IF($O224="","",INDEX(Master!$E$2:$E$1001,$O224))</f>
      </c>
      <c r="F224">
        <f>IF($O224="","",INDEX(Master!$F$2:$F$1001,$O224))</f>
      </c>
      <c r="G224">
        <f>IF($O224="","",INDEX(Master!$G$2:$G$1001,$O224))</f>
      </c>
      <c r="H224">
        <f>IF($O224="","",INDEX(Master!$H$2:$H$1001,$O224))</f>
      </c>
      <c r="I224">
        <f>IF($O224="","",INDEX(Master!$I$2:$I$1001,$O224))</f>
      </c>
      <c r="J224">
        <f>IF($O224="","",INDEX(Master!$J$2:$J$1001,$O224))</f>
      </c>
      <c r="K224">
        <f t="shared" si="6"/>
      </c>
      <c r="L224">
        <f>IF($O224="","",INDEX(Master!$K$2:$K$1001,$O224))</f>
      </c>
      <c r="M224">
        <f>IF($O224="","",INDEX(Master!$L$2:$L$1001,$O224))</f>
      </c>
      <c r="O224">
        <f t="array" ref="O224">IFERROR(SMALL(IF((Master!$A$2:$A$1001="SHYAM METALLIKS")*(Master!$M$2:$M$1001="160 x 160 x 6MTR"),ROW(Master!$A$2:$A$1001)-ROW(Master!$A$2)+1),220),"")</f>
      </c>
      <c r="P224">
        <f t="shared" si="7"/>
      </c>
    </row>
    <row r="225" spans="1:16" x14ac:dyDescent="0.25">
      <c r="A225">
        <f>IF($O225="","",INDEX(Master!$D$2:$D$1001,$O225))</f>
      </c>
      <c r="B225">
        <f>IF($O225="","",INDEX(Master!$B$2:$B$1001,$O225))</f>
      </c>
      <c r="C225">
        <f>IF($O225="","",INDEX(Master!$C$2:$C$1001,$O225))</f>
      </c>
      <c r="D225">
        <f>IF($O225="","",INDEX(Master!$A$2:$A$1001,$O225))</f>
      </c>
      <c r="E225">
        <f>IF($O225="","",INDEX(Master!$E$2:$E$1001,$O225))</f>
      </c>
      <c r="F225">
        <f>IF($O225="","",INDEX(Master!$F$2:$F$1001,$O225))</f>
      </c>
      <c r="G225">
        <f>IF($O225="","",INDEX(Master!$G$2:$G$1001,$O225))</f>
      </c>
      <c r="H225">
        <f>IF($O225="","",INDEX(Master!$H$2:$H$1001,$O225))</f>
      </c>
      <c r="I225">
        <f>IF($O225="","",INDEX(Master!$I$2:$I$1001,$O225))</f>
      </c>
      <c r="J225">
        <f>IF($O225="","",INDEX(Master!$J$2:$J$1001,$O225))</f>
      </c>
      <c r="K225">
        <f t="shared" si="6"/>
      </c>
      <c r="L225">
        <f>IF($O225="","",INDEX(Master!$K$2:$K$1001,$O225))</f>
      </c>
      <c r="M225">
        <f>IF($O225="","",INDEX(Master!$L$2:$L$1001,$O225))</f>
      </c>
      <c r="O225">
        <f t="array" ref="O225">IFERROR(SMALL(IF((Master!$A$2:$A$1001="SHYAM METALLIKS")*(Master!$M$2:$M$1001="160 x 160 x 6MTR"),ROW(Master!$A$2:$A$1001)-ROW(Master!$A$2)+1),221),"")</f>
      </c>
      <c r="P225">
        <f t="shared" si="7"/>
      </c>
    </row>
    <row r="226" spans="1:16" x14ac:dyDescent="0.25">
      <c r="A226">
        <f>IF($O226="","",INDEX(Master!$D$2:$D$1001,$O226))</f>
      </c>
      <c r="B226">
        <f>IF($O226="","",INDEX(Master!$B$2:$B$1001,$O226))</f>
      </c>
      <c r="C226">
        <f>IF($O226="","",INDEX(Master!$C$2:$C$1001,$O226))</f>
      </c>
      <c r="D226">
        <f>IF($O226="","",INDEX(Master!$A$2:$A$1001,$O226))</f>
      </c>
      <c r="E226">
        <f>IF($O226="","",INDEX(Master!$E$2:$E$1001,$O226))</f>
      </c>
      <c r="F226">
        <f>IF($O226="","",INDEX(Master!$F$2:$F$1001,$O226))</f>
      </c>
      <c r="G226">
        <f>IF($O226="","",INDEX(Master!$G$2:$G$1001,$O226))</f>
      </c>
      <c r="H226">
        <f>IF($O226="","",INDEX(Master!$H$2:$H$1001,$O226))</f>
      </c>
      <c r="I226">
        <f>IF($O226="","",INDEX(Master!$I$2:$I$1001,$O226))</f>
      </c>
      <c r="J226">
        <f>IF($O226="","",INDEX(Master!$J$2:$J$1001,$O226))</f>
      </c>
      <c r="K226">
        <f t="shared" si="6"/>
      </c>
      <c r="L226">
        <f>IF($O226="","",INDEX(Master!$K$2:$K$1001,$O226))</f>
      </c>
      <c r="M226">
        <f>IF($O226="","",INDEX(Master!$L$2:$L$1001,$O226))</f>
      </c>
      <c r="O226">
        <f t="array" ref="O226">IFERROR(SMALL(IF((Master!$A$2:$A$1001="SHYAM METALLIKS")*(Master!$M$2:$M$1001="160 x 160 x 6MTR"),ROW(Master!$A$2:$A$1001)-ROW(Master!$A$2)+1),222),"")</f>
      </c>
      <c r="P226">
        <f t="shared" si="7"/>
      </c>
    </row>
    <row r="227" spans="1:16" x14ac:dyDescent="0.25">
      <c r="A227">
        <f>IF($O227="","",INDEX(Master!$D$2:$D$1001,$O227))</f>
      </c>
      <c r="B227">
        <f>IF($O227="","",INDEX(Master!$B$2:$B$1001,$O227))</f>
      </c>
      <c r="C227">
        <f>IF($O227="","",INDEX(Master!$C$2:$C$1001,$O227))</f>
      </c>
      <c r="D227">
        <f>IF($O227="","",INDEX(Master!$A$2:$A$1001,$O227))</f>
      </c>
      <c r="E227">
        <f>IF($O227="","",INDEX(Master!$E$2:$E$1001,$O227))</f>
      </c>
      <c r="F227">
        <f>IF($O227="","",INDEX(Master!$F$2:$F$1001,$O227))</f>
      </c>
      <c r="G227">
        <f>IF($O227="","",INDEX(Master!$G$2:$G$1001,$O227))</f>
      </c>
      <c r="H227">
        <f>IF($O227="","",INDEX(Master!$H$2:$H$1001,$O227))</f>
      </c>
      <c r="I227">
        <f>IF($O227="","",INDEX(Master!$I$2:$I$1001,$O227))</f>
      </c>
      <c r="J227">
        <f>IF($O227="","",INDEX(Master!$J$2:$J$1001,$O227))</f>
      </c>
      <c r="K227">
        <f t="shared" si="6"/>
      </c>
      <c r="L227">
        <f>IF($O227="","",INDEX(Master!$K$2:$K$1001,$O227))</f>
      </c>
      <c r="M227">
        <f>IF($O227="","",INDEX(Master!$L$2:$L$1001,$O227))</f>
      </c>
      <c r="O227">
        <f t="array" ref="O227">IFERROR(SMALL(IF((Master!$A$2:$A$1001="SHYAM METALLIKS")*(Master!$M$2:$M$1001="160 x 160 x 6MTR"),ROW(Master!$A$2:$A$1001)-ROW(Master!$A$2)+1),223),"")</f>
      </c>
      <c r="P227">
        <f t="shared" si="7"/>
      </c>
    </row>
    <row r="228" spans="1:16" x14ac:dyDescent="0.25">
      <c r="A228">
        <f>IF($O228="","",INDEX(Master!$D$2:$D$1001,$O228))</f>
      </c>
      <c r="B228">
        <f>IF($O228="","",INDEX(Master!$B$2:$B$1001,$O228))</f>
      </c>
      <c r="C228">
        <f>IF($O228="","",INDEX(Master!$C$2:$C$1001,$O228))</f>
      </c>
      <c r="D228">
        <f>IF($O228="","",INDEX(Master!$A$2:$A$1001,$O228))</f>
      </c>
      <c r="E228">
        <f>IF($O228="","",INDEX(Master!$E$2:$E$1001,$O228))</f>
      </c>
      <c r="F228">
        <f>IF($O228="","",INDEX(Master!$F$2:$F$1001,$O228))</f>
      </c>
      <c r="G228">
        <f>IF($O228="","",INDEX(Master!$G$2:$G$1001,$O228))</f>
      </c>
      <c r="H228">
        <f>IF($O228="","",INDEX(Master!$H$2:$H$1001,$O228))</f>
      </c>
      <c r="I228">
        <f>IF($O228="","",INDEX(Master!$I$2:$I$1001,$O228))</f>
      </c>
      <c r="J228">
        <f>IF($O228="","",INDEX(Master!$J$2:$J$1001,$O228))</f>
      </c>
      <c r="K228">
        <f t="shared" si="6"/>
      </c>
      <c r="L228">
        <f>IF($O228="","",INDEX(Master!$K$2:$K$1001,$O228))</f>
      </c>
      <c r="M228">
        <f>IF($O228="","",INDEX(Master!$L$2:$L$1001,$O228))</f>
      </c>
      <c r="O228">
        <f t="array" ref="O228">IFERROR(SMALL(IF((Master!$A$2:$A$1001="SHYAM METALLIKS")*(Master!$M$2:$M$1001="160 x 160 x 6MTR"),ROW(Master!$A$2:$A$1001)-ROW(Master!$A$2)+1),224),"")</f>
      </c>
      <c r="P228">
        <f t="shared" si="7"/>
      </c>
    </row>
    <row r="229" spans="1:16" x14ac:dyDescent="0.25">
      <c r="A229">
        <f>IF($O229="","",INDEX(Master!$D$2:$D$1001,$O229))</f>
      </c>
      <c r="B229">
        <f>IF($O229="","",INDEX(Master!$B$2:$B$1001,$O229))</f>
      </c>
      <c r="C229">
        <f>IF($O229="","",INDEX(Master!$C$2:$C$1001,$O229))</f>
      </c>
      <c r="D229">
        <f>IF($O229="","",INDEX(Master!$A$2:$A$1001,$O229))</f>
      </c>
      <c r="E229">
        <f>IF($O229="","",INDEX(Master!$E$2:$E$1001,$O229))</f>
      </c>
      <c r="F229">
        <f>IF($O229="","",INDEX(Master!$F$2:$F$1001,$O229))</f>
      </c>
      <c r="G229">
        <f>IF($O229="","",INDEX(Master!$G$2:$G$1001,$O229))</f>
      </c>
      <c r="H229">
        <f>IF($O229="","",INDEX(Master!$H$2:$H$1001,$O229))</f>
      </c>
      <c r="I229">
        <f>IF($O229="","",INDEX(Master!$I$2:$I$1001,$O229))</f>
      </c>
      <c r="J229">
        <f>IF($O229="","",INDEX(Master!$J$2:$J$1001,$O229))</f>
      </c>
      <c r="K229">
        <f t="shared" si="6"/>
      </c>
      <c r="L229">
        <f>IF($O229="","",INDEX(Master!$K$2:$K$1001,$O229))</f>
      </c>
      <c r="M229">
        <f>IF($O229="","",INDEX(Master!$L$2:$L$1001,$O229))</f>
      </c>
      <c r="O229">
        <f t="array" ref="O229">IFERROR(SMALL(IF((Master!$A$2:$A$1001="SHYAM METALLIKS")*(Master!$M$2:$M$1001="160 x 160 x 6MTR"),ROW(Master!$A$2:$A$1001)-ROW(Master!$A$2)+1),225),"")</f>
      </c>
      <c r="P229">
        <f t="shared" si="7"/>
      </c>
    </row>
    <row r="230" spans="1:16" x14ac:dyDescent="0.25">
      <c r="A230">
        <f>IF($O230="","",INDEX(Master!$D$2:$D$1001,$O230))</f>
      </c>
      <c r="B230">
        <f>IF($O230="","",INDEX(Master!$B$2:$B$1001,$O230))</f>
      </c>
      <c r="C230">
        <f>IF($O230="","",INDEX(Master!$C$2:$C$1001,$O230))</f>
      </c>
      <c r="D230">
        <f>IF($O230="","",INDEX(Master!$A$2:$A$1001,$O230))</f>
      </c>
      <c r="E230">
        <f>IF($O230="","",INDEX(Master!$E$2:$E$1001,$O230))</f>
      </c>
      <c r="F230">
        <f>IF($O230="","",INDEX(Master!$F$2:$F$1001,$O230))</f>
      </c>
      <c r="G230">
        <f>IF($O230="","",INDEX(Master!$G$2:$G$1001,$O230))</f>
      </c>
      <c r="H230">
        <f>IF($O230="","",INDEX(Master!$H$2:$H$1001,$O230))</f>
      </c>
      <c r="I230">
        <f>IF($O230="","",INDEX(Master!$I$2:$I$1001,$O230))</f>
      </c>
      <c r="J230">
        <f>IF($O230="","",INDEX(Master!$J$2:$J$1001,$O230))</f>
      </c>
      <c r="K230">
        <f t="shared" si="6"/>
      </c>
      <c r="L230">
        <f>IF($O230="","",INDEX(Master!$K$2:$K$1001,$O230))</f>
      </c>
      <c r="M230">
        <f>IF($O230="","",INDEX(Master!$L$2:$L$1001,$O230))</f>
      </c>
      <c r="O230">
        <f t="array" ref="O230">IFERROR(SMALL(IF((Master!$A$2:$A$1001="SHYAM METALLIKS")*(Master!$M$2:$M$1001="160 x 160 x 6MTR"),ROW(Master!$A$2:$A$1001)-ROW(Master!$A$2)+1),226),"")</f>
      </c>
      <c r="P230">
        <f t="shared" si="7"/>
      </c>
    </row>
    <row r="231" spans="1:16" x14ac:dyDescent="0.25">
      <c r="A231">
        <f>IF($O231="","",INDEX(Master!$D$2:$D$1001,$O231))</f>
      </c>
      <c r="B231">
        <f>IF($O231="","",INDEX(Master!$B$2:$B$1001,$O231))</f>
      </c>
      <c r="C231">
        <f>IF($O231="","",INDEX(Master!$C$2:$C$1001,$O231))</f>
      </c>
      <c r="D231">
        <f>IF($O231="","",INDEX(Master!$A$2:$A$1001,$O231))</f>
      </c>
      <c r="E231">
        <f>IF($O231="","",INDEX(Master!$E$2:$E$1001,$O231))</f>
      </c>
      <c r="F231">
        <f>IF($O231="","",INDEX(Master!$F$2:$F$1001,$O231))</f>
      </c>
      <c r="G231">
        <f>IF($O231="","",INDEX(Master!$G$2:$G$1001,$O231))</f>
      </c>
      <c r="H231">
        <f>IF($O231="","",INDEX(Master!$H$2:$H$1001,$O231))</f>
      </c>
      <c r="I231">
        <f>IF($O231="","",INDEX(Master!$I$2:$I$1001,$O231))</f>
      </c>
      <c r="J231">
        <f>IF($O231="","",INDEX(Master!$J$2:$J$1001,$O231))</f>
      </c>
      <c r="K231">
        <f t="shared" si="6"/>
      </c>
      <c r="L231">
        <f>IF($O231="","",INDEX(Master!$K$2:$K$1001,$O231))</f>
      </c>
      <c r="M231">
        <f>IF($O231="","",INDEX(Master!$L$2:$L$1001,$O231))</f>
      </c>
      <c r="O231">
        <f t="array" ref="O231">IFERROR(SMALL(IF((Master!$A$2:$A$1001="SHYAM METALLIKS")*(Master!$M$2:$M$1001="160 x 160 x 6MTR"),ROW(Master!$A$2:$A$1001)-ROW(Master!$A$2)+1),227),"")</f>
      </c>
      <c r="P231">
        <f t="shared" si="7"/>
      </c>
    </row>
    <row r="232" spans="1:16" x14ac:dyDescent="0.25">
      <c r="A232">
        <f>IF($O232="","",INDEX(Master!$D$2:$D$1001,$O232))</f>
      </c>
      <c r="B232">
        <f>IF($O232="","",INDEX(Master!$B$2:$B$1001,$O232))</f>
      </c>
      <c r="C232">
        <f>IF($O232="","",INDEX(Master!$C$2:$C$1001,$O232))</f>
      </c>
      <c r="D232">
        <f>IF($O232="","",INDEX(Master!$A$2:$A$1001,$O232))</f>
      </c>
      <c r="E232">
        <f>IF($O232="","",INDEX(Master!$E$2:$E$1001,$O232))</f>
      </c>
      <c r="F232">
        <f>IF($O232="","",INDEX(Master!$F$2:$F$1001,$O232))</f>
      </c>
      <c r="G232">
        <f>IF($O232="","",INDEX(Master!$G$2:$G$1001,$O232))</f>
      </c>
      <c r="H232">
        <f>IF($O232="","",INDEX(Master!$H$2:$H$1001,$O232))</f>
      </c>
      <c r="I232">
        <f>IF($O232="","",INDEX(Master!$I$2:$I$1001,$O232))</f>
      </c>
      <c r="J232">
        <f>IF($O232="","",INDEX(Master!$J$2:$J$1001,$O232))</f>
      </c>
      <c r="K232">
        <f t="shared" si="6"/>
      </c>
      <c r="L232">
        <f>IF($O232="","",INDEX(Master!$K$2:$K$1001,$O232))</f>
      </c>
      <c r="M232">
        <f>IF($O232="","",INDEX(Master!$L$2:$L$1001,$O232))</f>
      </c>
      <c r="O232">
        <f t="array" ref="O232">IFERROR(SMALL(IF((Master!$A$2:$A$1001="SHYAM METALLIKS")*(Master!$M$2:$M$1001="160 x 160 x 6MTR"),ROW(Master!$A$2:$A$1001)-ROW(Master!$A$2)+1),228),"")</f>
      </c>
      <c r="P232">
        <f t="shared" si="7"/>
      </c>
    </row>
    <row r="233" spans="1:16" x14ac:dyDescent="0.25">
      <c r="A233">
        <f>IF($O233="","",INDEX(Master!$D$2:$D$1001,$O233))</f>
      </c>
      <c r="B233">
        <f>IF($O233="","",INDEX(Master!$B$2:$B$1001,$O233))</f>
      </c>
      <c r="C233">
        <f>IF($O233="","",INDEX(Master!$C$2:$C$1001,$O233))</f>
      </c>
      <c r="D233">
        <f>IF($O233="","",INDEX(Master!$A$2:$A$1001,$O233))</f>
      </c>
      <c r="E233">
        <f>IF($O233="","",INDEX(Master!$E$2:$E$1001,$O233))</f>
      </c>
      <c r="F233">
        <f>IF($O233="","",INDEX(Master!$F$2:$F$1001,$O233))</f>
      </c>
      <c r="G233">
        <f>IF($O233="","",INDEX(Master!$G$2:$G$1001,$O233))</f>
      </c>
      <c r="H233">
        <f>IF($O233="","",INDEX(Master!$H$2:$H$1001,$O233))</f>
      </c>
      <c r="I233">
        <f>IF($O233="","",INDEX(Master!$I$2:$I$1001,$O233))</f>
      </c>
      <c r="J233">
        <f>IF($O233="","",INDEX(Master!$J$2:$J$1001,$O233))</f>
      </c>
      <c r="K233">
        <f t="shared" si="6"/>
      </c>
      <c r="L233">
        <f>IF($O233="","",INDEX(Master!$K$2:$K$1001,$O233))</f>
      </c>
      <c r="M233">
        <f>IF($O233="","",INDEX(Master!$L$2:$L$1001,$O233))</f>
      </c>
      <c r="O233">
        <f t="array" ref="O233">IFERROR(SMALL(IF((Master!$A$2:$A$1001="SHYAM METALLIKS")*(Master!$M$2:$M$1001="160 x 160 x 6MTR"),ROW(Master!$A$2:$A$1001)-ROW(Master!$A$2)+1),229),"")</f>
      </c>
      <c r="P233">
        <f t="shared" si="7"/>
      </c>
    </row>
    <row r="234" spans="1:16" x14ac:dyDescent="0.25">
      <c r="A234">
        <f>IF($O234="","",INDEX(Master!$D$2:$D$1001,$O234))</f>
      </c>
      <c r="B234">
        <f>IF($O234="","",INDEX(Master!$B$2:$B$1001,$O234))</f>
      </c>
      <c r="C234">
        <f>IF($O234="","",INDEX(Master!$C$2:$C$1001,$O234))</f>
      </c>
      <c r="D234">
        <f>IF($O234="","",INDEX(Master!$A$2:$A$1001,$O234))</f>
      </c>
      <c r="E234">
        <f>IF($O234="","",INDEX(Master!$E$2:$E$1001,$O234))</f>
      </c>
      <c r="F234">
        <f>IF($O234="","",INDEX(Master!$F$2:$F$1001,$O234))</f>
      </c>
      <c r="G234">
        <f>IF($O234="","",INDEX(Master!$G$2:$G$1001,$O234))</f>
      </c>
      <c r="H234">
        <f>IF($O234="","",INDEX(Master!$H$2:$H$1001,$O234))</f>
      </c>
      <c r="I234">
        <f>IF($O234="","",INDEX(Master!$I$2:$I$1001,$O234))</f>
      </c>
      <c r="J234">
        <f>IF($O234="","",INDEX(Master!$J$2:$J$1001,$O234))</f>
      </c>
      <c r="K234">
        <f t="shared" si="6"/>
      </c>
      <c r="L234">
        <f>IF($O234="","",INDEX(Master!$K$2:$K$1001,$O234))</f>
      </c>
      <c r="M234">
        <f>IF($O234="","",INDEX(Master!$L$2:$L$1001,$O234))</f>
      </c>
      <c r="O234">
        <f t="array" ref="O234">IFERROR(SMALL(IF((Master!$A$2:$A$1001="SHYAM METALLIKS")*(Master!$M$2:$M$1001="160 x 160 x 6MTR"),ROW(Master!$A$2:$A$1001)-ROW(Master!$A$2)+1),230),"")</f>
      </c>
      <c r="P234">
        <f t="shared" si="7"/>
      </c>
    </row>
    <row r="235" spans="1:16" x14ac:dyDescent="0.25">
      <c r="A235">
        <f>IF($O235="","",INDEX(Master!$D$2:$D$1001,$O235))</f>
      </c>
      <c r="B235">
        <f>IF($O235="","",INDEX(Master!$B$2:$B$1001,$O235))</f>
      </c>
      <c r="C235">
        <f>IF($O235="","",INDEX(Master!$C$2:$C$1001,$O235))</f>
      </c>
      <c r="D235">
        <f>IF($O235="","",INDEX(Master!$A$2:$A$1001,$O235))</f>
      </c>
      <c r="E235">
        <f>IF($O235="","",INDEX(Master!$E$2:$E$1001,$O235))</f>
      </c>
      <c r="F235">
        <f>IF($O235="","",INDEX(Master!$F$2:$F$1001,$O235))</f>
      </c>
      <c r="G235">
        <f>IF($O235="","",INDEX(Master!$G$2:$G$1001,$O235))</f>
      </c>
      <c r="H235">
        <f>IF($O235="","",INDEX(Master!$H$2:$H$1001,$O235))</f>
      </c>
      <c r="I235">
        <f>IF($O235="","",INDEX(Master!$I$2:$I$1001,$O235))</f>
      </c>
      <c r="J235">
        <f>IF($O235="","",INDEX(Master!$J$2:$J$1001,$O235))</f>
      </c>
      <c r="K235">
        <f t="shared" si="6"/>
      </c>
      <c r="L235">
        <f>IF($O235="","",INDEX(Master!$K$2:$K$1001,$O235))</f>
      </c>
      <c r="M235">
        <f>IF($O235="","",INDEX(Master!$L$2:$L$1001,$O235))</f>
      </c>
      <c r="O235">
        <f t="array" ref="O235">IFERROR(SMALL(IF((Master!$A$2:$A$1001="SHYAM METALLIKS")*(Master!$M$2:$M$1001="160 x 160 x 6MTR"),ROW(Master!$A$2:$A$1001)-ROW(Master!$A$2)+1),231),"")</f>
      </c>
      <c r="P235">
        <f t="shared" si="7"/>
      </c>
    </row>
    <row r="236" spans="1:16" x14ac:dyDescent="0.25">
      <c r="A236">
        <f>IF($O236="","",INDEX(Master!$D$2:$D$1001,$O236))</f>
      </c>
      <c r="B236">
        <f>IF($O236="","",INDEX(Master!$B$2:$B$1001,$O236))</f>
      </c>
      <c r="C236">
        <f>IF($O236="","",INDEX(Master!$C$2:$C$1001,$O236))</f>
      </c>
      <c r="D236">
        <f>IF($O236="","",INDEX(Master!$A$2:$A$1001,$O236))</f>
      </c>
      <c r="E236">
        <f>IF($O236="","",INDEX(Master!$E$2:$E$1001,$O236))</f>
      </c>
      <c r="F236">
        <f>IF($O236="","",INDEX(Master!$F$2:$F$1001,$O236))</f>
      </c>
      <c r="G236">
        <f>IF($O236="","",INDEX(Master!$G$2:$G$1001,$O236))</f>
      </c>
      <c r="H236">
        <f>IF($O236="","",INDEX(Master!$H$2:$H$1001,$O236))</f>
      </c>
      <c r="I236">
        <f>IF($O236="","",INDEX(Master!$I$2:$I$1001,$O236))</f>
      </c>
      <c r="J236">
        <f>IF($O236="","",INDEX(Master!$J$2:$J$1001,$O236))</f>
      </c>
      <c r="K236">
        <f t="shared" si="6"/>
      </c>
      <c r="L236">
        <f>IF($O236="","",INDEX(Master!$K$2:$K$1001,$O236))</f>
      </c>
      <c r="M236">
        <f>IF($O236="","",INDEX(Master!$L$2:$L$1001,$O236))</f>
      </c>
      <c r="O236">
        <f t="array" ref="O236">IFERROR(SMALL(IF((Master!$A$2:$A$1001="SHYAM METALLIKS")*(Master!$M$2:$M$1001="160 x 160 x 6MTR"),ROW(Master!$A$2:$A$1001)-ROW(Master!$A$2)+1),232),"")</f>
      </c>
      <c r="P236">
        <f t="shared" si="7"/>
      </c>
    </row>
    <row r="237" spans="1:16" x14ac:dyDescent="0.25">
      <c r="A237">
        <f>IF($O237="","",INDEX(Master!$D$2:$D$1001,$O237))</f>
      </c>
      <c r="B237">
        <f>IF($O237="","",INDEX(Master!$B$2:$B$1001,$O237))</f>
      </c>
      <c r="C237">
        <f>IF($O237="","",INDEX(Master!$C$2:$C$1001,$O237))</f>
      </c>
      <c r="D237">
        <f>IF($O237="","",INDEX(Master!$A$2:$A$1001,$O237))</f>
      </c>
      <c r="E237">
        <f>IF($O237="","",INDEX(Master!$E$2:$E$1001,$O237))</f>
      </c>
      <c r="F237">
        <f>IF($O237="","",INDEX(Master!$F$2:$F$1001,$O237))</f>
      </c>
      <c r="G237">
        <f>IF($O237="","",INDEX(Master!$G$2:$G$1001,$O237))</f>
      </c>
      <c r="H237">
        <f>IF($O237="","",INDEX(Master!$H$2:$H$1001,$O237))</f>
      </c>
      <c r="I237">
        <f>IF($O237="","",INDEX(Master!$I$2:$I$1001,$O237))</f>
      </c>
      <c r="J237">
        <f>IF($O237="","",INDEX(Master!$J$2:$J$1001,$O237))</f>
      </c>
      <c r="K237">
        <f t="shared" si="6"/>
      </c>
      <c r="L237">
        <f>IF($O237="","",INDEX(Master!$K$2:$K$1001,$O237))</f>
      </c>
      <c r="M237">
        <f>IF($O237="","",INDEX(Master!$L$2:$L$1001,$O237))</f>
      </c>
      <c r="O237">
        <f t="array" ref="O237">IFERROR(SMALL(IF((Master!$A$2:$A$1001="SHYAM METALLIKS")*(Master!$M$2:$M$1001="160 x 160 x 6MTR"),ROW(Master!$A$2:$A$1001)-ROW(Master!$A$2)+1),233),"")</f>
      </c>
      <c r="P237">
        <f t="shared" si="7"/>
      </c>
    </row>
    <row r="238" spans="1:16" x14ac:dyDescent="0.25">
      <c r="A238">
        <f>IF($O238="","",INDEX(Master!$D$2:$D$1001,$O238))</f>
      </c>
      <c r="B238">
        <f>IF($O238="","",INDEX(Master!$B$2:$B$1001,$O238))</f>
      </c>
      <c r="C238">
        <f>IF($O238="","",INDEX(Master!$C$2:$C$1001,$O238))</f>
      </c>
      <c r="D238">
        <f>IF($O238="","",INDEX(Master!$A$2:$A$1001,$O238))</f>
      </c>
      <c r="E238">
        <f>IF($O238="","",INDEX(Master!$E$2:$E$1001,$O238))</f>
      </c>
      <c r="F238">
        <f>IF($O238="","",INDEX(Master!$F$2:$F$1001,$O238))</f>
      </c>
      <c r="G238">
        <f>IF($O238="","",INDEX(Master!$G$2:$G$1001,$O238))</f>
      </c>
      <c r="H238">
        <f>IF($O238="","",INDEX(Master!$H$2:$H$1001,$O238))</f>
      </c>
      <c r="I238">
        <f>IF($O238="","",INDEX(Master!$I$2:$I$1001,$O238))</f>
      </c>
      <c r="J238">
        <f>IF($O238="","",INDEX(Master!$J$2:$J$1001,$O238))</f>
      </c>
      <c r="K238">
        <f t="shared" si="6"/>
      </c>
      <c r="L238">
        <f>IF($O238="","",INDEX(Master!$K$2:$K$1001,$O238))</f>
      </c>
      <c r="M238">
        <f>IF($O238="","",INDEX(Master!$L$2:$L$1001,$O238))</f>
      </c>
      <c r="O238">
        <f t="array" ref="O238">IFERROR(SMALL(IF((Master!$A$2:$A$1001="SHYAM METALLIKS")*(Master!$M$2:$M$1001="160 x 160 x 6MTR"),ROW(Master!$A$2:$A$1001)-ROW(Master!$A$2)+1),234),"")</f>
      </c>
      <c r="P238">
        <f t="shared" si="7"/>
      </c>
    </row>
    <row r="239" spans="1:16" x14ac:dyDescent="0.25">
      <c r="A239">
        <f>IF($O239="","",INDEX(Master!$D$2:$D$1001,$O239))</f>
      </c>
      <c r="B239">
        <f>IF($O239="","",INDEX(Master!$B$2:$B$1001,$O239))</f>
      </c>
      <c r="C239">
        <f>IF($O239="","",INDEX(Master!$C$2:$C$1001,$O239))</f>
      </c>
      <c r="D239">
        <f>IF($O239="","",INDEX(Master!$A$2:$A$1001,$O239))</f>
      </c>
      <c r="E239">
        <f>IF($O239="","",INDEX(Master!$E$2:$E$1001,$O239))</f>
      </c>
      <c r="F239">
        <f>IF($O239="","",INDEX(Master!$F$2:$F$1001,$O239))</f>
      </c>
      <c r="G239">
        <f>IF($O239="","",INDEX(Master!$G$2:$G$1001,$O239))</f>
      </c>
      <c r="H239">
        <f>IF($O239="","",INDEX(Master!$H$2:$H$1001,$O239))</f>
      </c>
      <c r="I239">
        <f>IF($O239="","",INDEX(Master!$I$2:$I$1001,$O239))</f>
      </c>
      <c r="J239">
        <f>IF($O239="","",INDEX(Master!$J$2:$J$1001,$O239))</f>
      </c>
      <c r="K239">
        <f t="shared" si="6"/>
      </c>
      <c r="L239">
        <f>IF($O239="","",INDEX(Master!$K$2:$K$1001,$O239))</f>
      </c>
      <c r="M239">
        <f>IF($O239="","",INDEX(Master!$L$2:$L$1001,$O239))</f>
      </c>
      <c r="O239">
        <f t="array" ref="O239">IFERROR(SMALL(IF((Master!$A$2:$A$1001="SHYAM METALLIKS")*(Master!$M$2:$M$1001="160 x 160 x 6MTR"),ROW(Master!$A$2:$A$1001)-ROW(Master!$A$2)+1),235),"")</f>
      </c>
      <c r="P239">
        <f t="shared" si="7"/>
      </c>
    </row>
    <row r="240" spans="1:16" x14ac:dyDescent="0.25">
      <c r="A240">
        <f>IF($O240="","",INDEX(Master!$D$2:$D$1001,$O240))</f>
      </c>
      <c r="B240">
        <f>IF($O240="","",INDEX(Master!$B$2:$B$1001,$O240))</f>
      </c>
      <c r="C240">
        <f>IF($O240="","",INDEX(Master!$C$2:$C$1001,$O240))</f>
      </c>
      <c r="D240">
        <f>IF($O240="","",INDEX(Master!$A$2:$A$1001,$O240))</f>
      </c>
      <c r="E240">
        <f>IF($O240="","",INDEX(Master!$E$2:$E$1001,$O240))</f>
      </c>
      <c r="F240">
        <f>IF($O240="","",INDEX(Master!$F$2:$F$1001,$O240))</f>
      </c>
      <c r="G240">
        <f>IF($O240="","",INDEX(Master!$G$2:$G$1001,$O240))</f>
      </c>
      <c r="H240">
        <f>IF($O240="","",INDEX(Master!$H$2:$H$1001,$O240))</f>
      </c>
      <c r="I240">
        <f>IF($O240="","",INDEX(Master!$I$2:$I$1001,$O240))</f>
      </c>
      <c r="J240">
        <f>IF($O240="","",INDEX(Master!$J$2:$J$1001,$O240))</f>
      </c>
      <c r="K240">
        <f t="shared" si="6"/>
      </c>
      <c r="L240">
        <f>IF($O240="","",INDEX(Master!$K$2:$K$1001,$O240))</f>
      </c>
      <c r="M240">
        <f>IF($O240="","",INDEX(Master!$L$2:$L$1001,$O240))</f>
      </c>
      <c r="O240">
        <f t="array" ref="O240">IFERROR(SMALL(IF((Master!$A$2:$A$1001="SHYAM METALLIKS")*(Master!$M$2:$M$1001="160 x 160 x 6MTR"),ROW(Master!$A$2:$A$1001)-ROW(Master!$A$2)+1),236),"")</f>
      </c>
      <c r="P240">
        <f t="shared" si="7"/>
      </c>
    </row>
    <row r="241" spans="1:16" x14ac:dyDescent="0.25">
      <c r="A241">
        <f>IF($O241="","",INDEX(Master!$D$2:$D$1001,$O241))</f>
      </c>
      <c r="B241">
        <f>IF($O241="","",INDEX(Master!$B$2:$B$1001,$O241))</f>
      </c>
      <c r="C241">
        <f>IF($O241="","",INDEX(Master!$C$2:$C$1001,$O241))</f>
      </c>
      <c r="D241">
        <f>IF($O241="","",INDEX(Master!$A$2:$A$1001,$O241))</f>
      </c>
      <c r="E241">
        <f>IF($O241="","",INDEX(Master!$E$2:$E$1001,$O241))</f>
      </c>
      <c r="F241">
        <f>IF($O241="","",INDEX(Master!$F$2:$F$1001,$O241))</f>
      </c>
      <c r="G241">
        <f>IF($O241="","",INDEX(Master!$G$2:$G$1001,$O241))</f>
      </c>
      <c r="H241">
        <f>IF($O241="","",INDEX(Master!$H$2:$H$1001,$O241))</f>
      </c>
      <c r="I241">
        <f>IF($O241="","",INDEX(Master!$I$2:$I$1001,$O241))</f>
      </c>
      <c r="J241">
        <f>IF($O241="","",INDEX(Master!$J$2:$J$1001,$O241))</f>
      </c>
      <c r="K241">
        <f t="shared" si="6"/>
      </c>
      <c r="L241">
        <f>IF($O241="","",INDEX(Master!$K$2:$K$1001,$O241))</f>
      </c>
      <c r="M241">
        <f>IF($O241="","",INDEX(Master!$L$2:$L$1001,$O241))</f>
      </c>
      <c r="O241">
        <f t="array" ref="O241">IFERROR(SMALL(IF((Master!$A$2:$A$1001="SHYAM METALLIKS")*(Master!$M$2:$M$1001="160 x 160 x 6MTR"),ROW(Master!$A$2:$A$1001)-ROW(Master!$A$2)+1),237),"")</f>
      </c>
      <c r="P241">
        <f t="shared" si="7"/>
      </c>
    </row>
    <row r="242" spans="1:16" x14ac:dyDescent="0.25">
      <c r="A242">
        <f>IF($O242="","",INDEX(Master!$D$2:$D$1001,$O242))</f>
      </c>
      <c r="B242">
        <f>IF($O242="","",INDEX(Master!$B$2:$B$1001,$O242))</f>
      </c>
      <c r="C242">
        <f>IF($O242="","",INDEX(Master!$C$2:$C$1001,$O242))</f>
      </c>
      <c r="D242">
        <f>IF($O242="","",INDEX(Master!$A$2:$A$1001,$O242))</f>
      </c>
      <c r="E242">
        <f>IF($O242="","",INDEX(Master!$E$2:$E$1001,$O242))</f>
      </c>
      <c r="F242">
        <f>IF($O242="","",INDEX(Master!$F$2:$F$1001,$O242))</f>
      </c>
      <c r="G242">
        <f>IF($O242="","",INDEX(Master!$G$2:$G$1001,$O242))</f>
      </c>
      <c r="H242">
        <f>IF($O242="","",INDEX(Master!$H$2:$H$1001,$O242))</f>
      </c>
      <c r="I242">
        <f>IF($O242="","",INDEX(Master!$I$2:$I$1001,$O242))</f>
      </c>
      <c r="J242">
        <f>IF($O242="","",INDEX(Master!$J$2:$J$1001,$O242))</f>
      </c>
      <c r="K242">
        <f t="shared" si="6"/>
      </c>
      <c r="L242">
        <f>IF($O242="","",INDEX(Master!$K$2:$K$1001,$O242))</f>
      </c>
      <c r="M242">
        <f>IF($O242="","",INDEX(Master!$L$2:$L$1001,$O242))</f>
      </c>
      <c r="O242">
        <f t="array" ref="O242">IFERROR(SMALL(IF((Master!$A$2:$A$1001="SHYAM METALLIKS")*(Master!$M$2:$M$1001="160 x 160 x 6MTR"),ROW(Master!$A$2:$A$1001)-ROW(Master!$A$2)+1),238),"")</f>
      </c>
      <c r="P242">
        <f t="shared" si="7"/>
      </c>
    </row>
    <row r="243" spans="1:16" x14ac:dyDescent="0.25">
      <c r="A243">
        <f>IF($O243="","",INDEX(Master!$D$2:$D$1001,$O243))</f>
      </c>
      <c r="B243">
        <f>IF($O243="","",INDEX(Master!$B$2:$B$1001,$O243))</f>
      </c>
      <c r="C243">
        <f>IF($O243="","",INDEX(Master!$C$2:$C$1001,$O243))</f>
      </c>
      <c r="D243">
        <f>IF($O243="","",INDEX(Master!$A$2:$A$1001,$O243))</f>
      </c>
      <c r="E243">
        <f>IF($O243="","",INDEX(Master!$E$2:$E$1001,$O243))</f>
      </c>
      <c r="F243">
        <f>IF($O243="","",INDEX(Master!$F$2:$F$1001,$O243))</f>
      </c>
      <c r="G243">
        <f>IF($O243="","",INDEX(Master!$G$2:$G$1001,$O243))</f>
      </c>
      <c r="H243">
        <f>IF($O243="","",INDEX(Master!$H$2:$H$1001,$O243))</f>
      </c>
      <c r="I243">
        <f>IF($O243="","",INDEX(Master!$I$2:$I$1001,$O243))</f>
      </c>
      <c r="J243">
        <f>IF($O243="","",INDEX(Master!$J$2:$J$1001,$O243))</f>
      </c>
      <c r="K243">
        <f t="shared" si="6"/>
      </c>
      <c r="L243">
        <f>IF($O243="","",INDEX(Master!$K$2:$K$1001,$O243))</f>
      </c>
      <c r="M243">
        <f>IF($O243="","",INDEX(Master!$L$2:$L$1001,$O243))</f>
      </c>
      <c r="O243">
        <f t="array" ref="O243">IFERROR(SMALL(IF((Master!$A$2:$A$1001="SHYAM METALLIKS")*(Master!$M$2:$M$1001="160 x 160 x 6MTR"),ROW(Master!$A$2:$A$1001)-ROW(Master!$A$2)+1),239),"")</f>
      </c>
      <c r="P243">
        <f t="shared" si="7"/>
      </c>
    </row>
    <row r="244" spans="1:16" x14ac:dyDescent="0.25">
      <c r="A244">
        <f>IF($O244="","",INDEX(Master!$D$2:$D$1001,$O244))</f>
      </c>
      <c r="B244">
        <f>IF($O244="","",INDEX(Master!$B$2:$B$1001,$O244))</f>
      </c>
      <c r="C244">
        <f>IF($O244="","",INDEX(Master!$C$2:$C$1001,$O244))</f>
      </c>
      <c r="D244">
        <f>IF($O244="","",INDEX(Master!$A$2:$A$1001,$O244))</f>
      </c>
      <c r="E244">
        <f>IF($O244="","",INDEX(Master!$E$2:$E$1001,$O244))</f>
      </c>
      <c r="F244">
        <f>IF($O244="","",INDEX(Master!$F$2:$F$1001,$O244))</f>
      </c>
      <c r="G244">
        <f>IF($O244="","",INDEX(Master!$G$2:$G$1001,$O244))</f>
      </c>
      <c r="H244">
        <f>IF($O244="","",INDEX(Master!$H$2:$H$1001,$O244))</f>
      </c>
      <c r="I244">
        <f>IF($O244="","",INDEX(Master!$I$2:$I$1001,$O244))</f>
      </c>
      <c r="J244">
        <f>IF($O244="","",INDEX(Master!$J$2:$J$1001,$O244))</f>
      </c>
      <c r="K244">
        <f t="shared" si="6"/>
      </c>
      <c r="L244">
        <f>IF($O244="","",INDEX(Master!$K$2:$K$1001,$O244))</f>
      </c>
      <c r="M244">
        <f>IF($O244="","",INDEX(Master!$L$2:$L$1001,$O244))</f>
      </c>
      <c r="O244">
        <f t="array" ref="O244">IFERROR(SMALL(IF((Master!$A$2:$A$1001="SHYAM METALLIKS")*(Master!$M$2:$M$1001="160 x 160 x 6MTR"),ROW(Master!$A$2:$A$1001)-ROW(Master!$A$2)+1),240),"")</f>
      </c>
      <c r="P244">
        <f t="shared" si="7"/>
      </c>
    </row>
    <row r="245" spans="1:16" x14ac:dyDescent="0.25">
      <c r="A245">
        <f>IF($O245="","",INDEX(Master!$D$2:$D$1001,$O245))</f>
      </c>
      <c r="B245">
        <f>IF($O245="","",INDEX(Master!$B$2:$B$1001,$O245))</f>
      </c>
      <c r="C245">
        <f>IF($O245="","",INDEX(Master!$C$2:$C$1001,$O245))</f>
      </c>
      <c r="D245">
        <f>IF($O245="","",INDEX(Master!$A$2:$A$1001,$O245))</f>
      </c>
      <c r="E245">
        <f>IF($O245="","",INDEX(Master!$E$2:$E$1001,$O245))</f>
      </c>
      <c r="F245">
        <f>IF($O245="","",INDEX(Master!$F$2:$F$1001,$O245))</f>
      </c>
      <c r="G245">
        <f>IF($O245="","",INDEX(Master!$G$2:$G$1001,$O245))</f>
      </c>
      <c r="H245">
        <f>IF($O245="","",INDEX(Master!$H$2:$H$1001,$O245))</f>
      </c>
      <c r="I245">
        <f>IF($O245="","",INDEX(Master!$I$2:$I$1001,$O245))</f>
      </c>
      <c r="J245">
        <f>IF($O245="","",INDEX(Master!$J$2:$J$1001,$O245))</f>
      </c>
      <c r="K245">
        <f t="shared" si="6"/>
      </c>
      <c r="L245">
        <f>IF($O245="","",INDEX(Master!$K$2:$K$1001,$O245))</f>
      </c>
      <c r="M245">
        <f>IF($O245="","",INDEX(Master!$L$2:$L$1001,$O245))</f>
      </c>
      <c r="O245">
        <f t="array" ref="O245">IFERROR(SMALL(IF((Master!$A$2:$A$1001="SHYAM METALLIKS")*(Master!$M$2:$M$1001="160 x 160 x 6MTR"),ROW(Master!$A$2:$A$1001)-ROW(Master!$A$2)+1),241),"")</f>
      </c>
      <c r="P245">
        <f t="shared" si="7"/>
      </c>
    </row>
    <row r="246" spans="1:16" x14ac:dyDescent="0.25">
      <c r="A246">
        <f>IF($O246="","",INDEX(Master!$D$2:$D$1001,$O246))</f>
      </c>
      <c r="B246">
        <f>IF($O246="","",INDEX(Master!$B$2:$B$1001,$O246))</f>
      </c>
      <c r="C246">
        <f>IF($O246="","",INDEX(Master!$C$2:$C$1001,$O246))</f>
      </c>
      <c r="D246">
        <f>IF($O246="","",INDEX(Master!$A$2:$A$1001,$O246))</f>
      </c>
      <c r="E246">
        <f>IF($O246="","",INDEX(Master!$E$2:$E$1001,$O246))</f>
      </c>
      <c r="F246">
        <f>IF($O246="","",INDEX(Master!$F$2:$F$1001,$O246))</f>
      </c>
      <c r="G246">
        <f>IF($O246="","",INDEX(Master!$G$2:$G$1001,$O246))</f>
      </c>
      <c r="H246">
        <f>IF($O246="","",INDEX(Master!$H$2:$H$1001,$O246))</f>
      </c>
      <c r="I246">
        <f>IF($O246="","",INDEX(Master!$I$2:$I$1001,$O246))</f>
      </c>
      <c r="J246">
        <f>IF($O246="","",INDEX(Master!$J$2:$J$1001,$O246))</f>
      </c>
      <c r="K246">
        <f t="shared" si="6"/>
      </c>
      <c r="L246">
        <f>IF($O246="","",INDEX(Master!$K$2:$K$1001,$O246))</f>
      </c>
      <c r="M246">
        <f>IF($O246="","",INDEX(Master!$L$2:$L$1001,$O246))</f>
      </c>
      <c r="O246">
        <f t="array" ref="O246">IFERROR(SMALL(IF((Master!$A$2:$A$1001="SHYAM METALLIKS")*(Master!$M$2:$M$1001="160 x 160 x 6MTR"),ROW(Master!$A$2:$A$1001)-ROW(Master!$A$2)+1),242),"")</f>
      </c>
      <c r="P246">
        <f t="shared" si="7"/>
      </c>
    </row>
    <row r="247" spans="1:16" x14ac:dyDescent="0.25">
      <c r="A247">
        <f>IF($O247="","",INDEX(Master!$D$2:$D$1001,$O247))</f>
      </c>
      <c r="B247">
        <f>IF($O247="","",INDEX(Master!$B$2:$B$1001,$O247))</f>
      </c>
      <c r="C247">
        <f>IF($O247="","",INDEX(Master!$C$2:$C$1001,$O247))</f>
      </c>
      <c r="D247">
        <f>IF($O247="","",INDEX(Master!$A$2:$A$1001,$O247))</f>
      </c>
      <c r="E247">
        <f>IF($O247="","",INDEX(Master!$E$2:$E$1001,$O247))</f>
      </c>
      <c r="F247">
        <f>IF($O247="","",INDEX(Master!$F$2:$F$1001,$O247))</f>
      </c>
      <c r="G247">
        <f>IF($O247="","",INDEX(Master!$G$2:$G$1001,$O247))</f>
      </c>
      <c r="H247">
        <f>IF($O247="","",INDEX(Master!$H$2:$H$1001,$O247))</f>
      </c>
      <c r="I247">
        <f>IF($O247="","",INDEX(Master!$I$2:$I$1001,$O247))</f>
      </c>
      <c r="J247">
        <f>IF($O247="","",INDEX(Master!$J$2:$J$1001,$O247))</f>
      </c>
      <c r="K247">
        <f t="shared" si="6"/>
      </c>
      <c r="L247">
        <f>IF($O247="","",INDEX(Master!$K$2:$K$1001,$O247))</f>
      </c>
      <c r="M247">
        <f>IF($O247="","",INDEX(Master!$L$2:$L$1001,$O247))</f>
      </c>
      <c r="O247">
        <f t="array" ref="O247">IFERROR(SMALL(IF((Master!$A$2:$A$1001="SHYAM METALLIKS")*(Master!$M$2:$M$1001="160 x 160 x 6MTR"),ROW(Master!$A$2:$A$1001)-ROW(Master!$A$2)+1),243),"")</f>
      </c>
      <c r="P247">
        <f t="shared" si="7"/>
      </c>
    </row>
    <row r="248" spans="1:16" x14ac:dyDescent="0.25">
      <c r="A248">
        <f>IF($O248="","",INDEX(Master!$D$2:$D$1001,$O248))</f>
      </c>
      <c r="B248">
        <f>IF($O248="","",INDEX(Master!$B$2:$B$1001,$O248))</f>
      </c>
      <c r="C248">
        <f>IF($O248="","",INDEX(Master!$C$2:$C$1001,$O248))</f>
      </c>
      <c r="D248">
        <f>IF($O248="","",INDEX(Master!$A$2:$A$1001,$O248))</f>
      </c>
      <c r="E248">
        <f>IF($O248="","",INDEX(Master!$E$2:$E$1001,$O248))</f>
      </c>
      <c r="F248">
        <f>IF($O248="","",INDEX(Master!$F$2:$F$1001,$O248))</f>
      </c>
      <c r="G248">
        <f>IF($O248="","",INDEX(Master!$G$2:$G$1001,$O248))</f>
      </c>
      <c r="H248">
        <f>IF($O248="","",INDEX(Master!$H$2:$H$1001,$O248))</f>
      </c>
      <c r="I248">
        <f>IF($O248="","",INDEX(Master!$I$2:$I$1001,$O248))</f>
      </c>
      <c r="J248">
        <f>IF($O248="","",INDEX(Master!$J$2:$J$1001,$O248))</f>
      </c>
      <c r="K248">
        <f t="shared" si="6"/>
      </c>
      <c r="L248">
        <f>IF($O248="","",INDEX(Master!$K$2:$K$1001,$O248))</f>
      </c>
      <c r="M248">
        <f>IF($O248="","",INDEX(Master!$L$2:$L$1001,$O248))</f>
      </c>
      <c r="O248">
        <f t="array" ref="O248">IFERROR(SMALL(IF((Master!$A$2:$A$1001="SHYAM METALLIKS")*(Master!$M$2:$M$1001="160 x 160 x 6MTR"),ROW(Master!$A$2:$A$1001)-ROW(Master!$A$2)+1),244),"")</f>
      </c>
      <c r="P248">
        <f t="shared" si="7"/>
      </c>
    </row>
    <row r="249" spans="1:16" x14ac:dyDescent="0.25">
      <c r="A249">
        <f>IF($O249="","",INDEX(Master!$D$2:$D$1001,$O249))</f>
      </c>
      <c r="B249">
        <f>IF($O249="","",INDEX(Master!$B$2:$B$1001,$O249))</f>
      </c>
      <c r="C249">
        <f>IF($O249="","",INDEX(Master!$C$2:$C$1001,$O249))</f>
      </c>
      <c r="D249">
        <f>IF($O249="","",INDEX(Master!$A$2:$A$1001,$O249))</f>
      </c>
      <c r="E249">
        <f>IF($O249="","",INDEX(Master!$E$2:$E$1001,$O249))</f>
      </c>
      <c r="F249">
        <f>IF($O249="","",INDEX(Master!$F$2:$F$1001,$O249))</f>
      </c>
      <c r="G249">
        <f>IF($O249="","",INDEX(Master!$G$2:$G$1001,$O249))</f>
      </c>
      <c r="H249">
        <f>IF($O249="","",INDEX(Master!$H$2:$H$1001,$O249))</f>
      </c>
      <c r="I249">
        <f>IF($O249="","",INDEX(Master!$I$2:$I$1001,$O249))</f>
      </c>
      <c r="J249">
        <f>IF($O249="","",INDEX(Master!$J$2:$J$1001,$O249))</f>
      </c>
      <c r="K249">
        <f t="shared" si="6"/>
      </c>
      <c r="L249">
        <f>IF($O249="","",INDEX(Master!$K$2:$K$1001,$O249))</f>
      </c>
      <c r="M249">
        <f>IF($O249="","",INDEX(Master!$L$2:$L$1001,$O249))</f>
      </c>
      <c r="O249">
        <f t="array" ref="O249">IFERROR(SMALL(IF((Master!$A$2:$A$1001="SHYAM METALLIKS")*(Master!$M$2:$M$1001="160 x 160 x 6MTR"),ROW(Master!$A$2:$A$1001)-ROW(Master!$A$2)+1),245),"")</f>
      </c>
      <c r="P249">
        <f t="shared" si="7"/>
      </c>
    </row>
    <row r="250" spans="1:16" x14ac:dyDescent="0.25">
      <c r="A250">
        <f>IF($O250="","",INDEX(Master!$D$2:$D$1001,$O250))</f>
      </c>
      <c r="B250">
        <f>IF($O250="","",INDEX(Master!$B$2:$B$1001,$O250))</f>
      </c>
      <c r="C250">
        <f>IF($O250="","",INDEX(Master!$C$2:$C$1001,$O250))</f>
      </c>
      <c r="D250">
        <f>IF($O250="","",INDEX(Master!$A$2:$A$1001,$O250))</f>
      </c>
      <c r="E250">
        <f>IF($O250="","",INDEX(Master!$E$2:$E$1001,$O250))</f>
      </c>
      <c r="F250">
        <f>IF($O250="","",INDEX(Master!$F$2:$F$1001,$O250))</f>
      </c>
      <c r="G250">
        <f>IF($O250="","",INDEX(Master!$G$2:$G$1001,$O250))</f>
      </c>
      <c r="H250">
        <f>IF($O250="","",INDEX(Master!$H$2:$H$1001,$O250))</f>
      </c>
      <c r="I250">
        <f>IF($O250="","",INDEX(Master!$I$2:$I$1001,$O250))</f>
      </c>
      <c r="J250">
        <f>IF($O250="","",INDEX(Master!$J$2:$J$1001,$O250))</f>
      </c>
      <c r="K250">
        <f t="shared" si="6"/>
      </c>
      <c r="L250">
        <f>IF($O250="","",INDEX(Master!$K$2:$K$1001,$O250))</f>
      </c>
      <c r="M250">
        <f>IF($O250="","",INDEX(Master!$L$2:$L$1001,$O250))</f>
      </c>
      <c r="O250">
        <f t="array" ref="O250">IFERROR(SMALL(IF((Master!$A$2:$A$1001="SHYAM METALLIKS")*(Master!$M$2:$M$1001="160 x 160 x 6MTR"),ROW(Master!$A$2:$A$1001)-ROW(Master!$A$2)+1),246),"")</f>
      </c>
      <c r="P250">
        <f t="shared" si="7"/>
      </c>
    </row>
    <row r="251" spans="1:16" x14ac:dyDescent="0.25">
      <c r="A251">
        <f>IF($O251="","",INDEX(Master!$D$2:$D$1001,$O251))</f>
      </c>
      <c r="B251">
        <f>IF($O251="","",INDEX(Master!$B$2:$B$1001,$O251))</f>
      </c>
      <c r="C251">
        <f>IF($O251="","",INDEX(Master!$C$2:$C$1001,$O251))</f>
      </c>
      <c r="D251">
        <f>IF($O251="","",INDEX(Master!$A$2:$A$1001,$O251))</f>
      </c>
      <c r="E251">
        <f>IF($O251="","",INDEX(Master!$E$2:$E$1001,$O251))</f>
      </c>
      <c r="F251">
        <f>IF($O251="","",INDEX(Master!$F$2:$F$1001,$O251))</f>
      </c>
      <c r="G251">
        <f>IF($O251="","",INDEX(Master!$G$2:$G$1001,$O251))</f>
      </c>
      <c r="H251">
        <f>IF($O251="","",INDEX(Master!$H$2:$H$1001,$O251))</f>
      </c>
      <c r="I251">
        <f>IF($O251="","",INDEX(Master!$I$2:$I$1001,$O251))</f>
      </c>
      <c r="J251">
        <f>IF($O251="","",INDEX(Master!$J$2:$J$1001,$O251))</f>
      </c>
      <c r="K251">
        <f t="shared" si="6"/>
      </c>
      <c r="L251">
        <f>IF($O251="","",INDEX(Master!$K$2:$K$1001,$O251))</f>
      </c>
      <c r="M251">
        <f>IF($O251="","",INDEX(Master!$L$2:$L$1001,$O251))</f>
      </c>
      <c r="O251">
        <f t="array" ref="O251">IFERROR(SMALL(IF((Master!$A$2:$A$1001="SHYAM METALLIKS")*(Master!$M$2:$M$1001="160 x 160 x 6MTR"),ROW(Master!$A$2:$A$1001)-ROW(Master!$A$2)+1),247),"")</f>
      </c>
      <c r="P251">
        <f t="shared" si="7"/>
      </c>
    </row>
    <row r="252" spans="1:16" x14ac:dyDescent="0.25">
      <c r="A252">
        <f>IF($O252="","",INDEX(Master!$D$2:$D$1001,$O252))</f>
      </c>
      <c r="B252">
        <f>IF($O252="","",INDEX(Master!$B$2:$B$1001,$O252))</f>
      </c>
      <c r="C252">
        <f>IF($O252="","",INDEX(Master!$C$2:$C$1001,$O252))</f>
      </c>
      <c r="D252">
        <f>IF($O252="","",INDEX(Master!$A$2:$A$1001,$O252))</f>
      </c>
      <c r="E252">
        <f>IF($O252="","",INDEX(Master!$E$2:$E$1001,$O252))</f>
      </c>
      <c r="F252">
        <f>IF($O252="","",INDEX(Master!$F$2:$F$1001,$O252))</f>
      </c>
      <c r="G252">
        <f>IF($O252="","",INDEX(Master!$G$2:$G$1001,$O252))</f>
      </c>
      <c r="H252">
        <f>IF($O252="","",INDEX(Master!$H$2:$H$1001,$O252))</f>
      </c>
      <c r="I252">
        <f>IF($O252="","",INDEX(Master!$I$2:$I$1001,$O252))</f>
      </c>
      <c r="J252">
        <f>IF($O252="","",INDEX(Master!$J$2:$J$1001,$O252))</f>
      </c>
      <c r="K252">
        <f t="shared" si="6"/>
      </c>
      <c r="L252">
        <f>IF($O252="","",INDEX(Master!$K$2:$K$1001,$O252))</f>
      </c>
      <c r="M252">
        <f>IF($O252="","",INDEX(Master!$L$2:$L$1001,$O252))</f>
      </c>
      <c r="O252">
        <f t="array" ref="O252">IFERROR(SMALL(IF((Master!$A$2:$A$1001="SHYAM METALLIKS")*(Master!$M$2:$M$1001="160 x 160 x 6MTR"),ROW(Master!$A$2:$A$1001)-ROW(Master!$A$2)+1),248),"")</f>
      </c>
      <c r="P252">
        <f t="shared" si="7"/>
      </c>
    </row>
    <row r="253" spans="1:16" x14ac:dyDescent="0.25">
      <c r="A253">
        <f>IF($O253="","",INDEX(Master!$D$2:$D$1001,$O253))</f>
      </c>
      <c r="B253">
        <f>IF($O253="","",INDEX(Master!$B$2:$B$1001,$O253))</f>
      </c>
      <c r="C253">
        <f>IF($O253="","",INDEX(Master!$C$2:$C$1001,$O253))</f>
      </c>
      <c r="D253">
        <f>IF($O253="","",INDEX(Master!$A$2:$A$1001,$O253))</f>
      </c>
      <c r="E253">
        <f>IF($O253="","",INDEX(Master!$E$2:$E$1001,$O253))</f>
      </c>
      <c r="F253">
        <f>IF($O253="","",INDEX(Master!$F$2:$F$1001,$O253))</f>
      </c>
      <c r="G253">
        <f>IF($O253="","",INDEX(Master!$G$2:$G$1001,$O253))</f>
      </c>
      <c r="H253">
        <f>IF($O253="","",INDEX(Master!$H$2:$H$1001,$O253))</f>
      </c>
      <c r="I253">
        <f>IF($O253="","",INDEX(Master!$I$2:$I$1001,$O253))</f>
      </c>
      <c r="J253">
        <f>IF($O253="","",INDEX(Master!$J$2:$J$1001,$O253))</f>
      </c>
      <c r="K253">
        <f t="shared" si="6"/>
      </c>
      <c r="L253">
        <f>IF($O253="","",INDEX(Master!$K$2:$K$1001,$O253))</f>
      </c>
      <c r="M253">
        <f>IF($O253="","",INDEX(Master!$L$2:$L$1001,$O253))</f>
      </c>
      <c r="O253">
        <f t="array" ref="O253">IFERROR(SMALL(IF((Master!$A$2:$A$1001="SHYAM METALLIKS")*(Master!$M$2:$M$1001="160 x 160 x 6MTR"),ROW(Master!$A$2:$A$1001)-ROW(Master!$A$2)+1),249),"")</f>
      </c>
      <c r="P253">
        <f t="shared" si="7"/>
      </c>
    </row>
    <row r="254" spans="1:16" x14ac:dyDescent="0.25">
      <c r="A254">
        <f>IF($O254="","",INDEX(Master!$D$2:$D$1001,$O254))</f>
      </c>
      <c r="B254">
        <f>IF($O254="","",INDEX(Master!$B$2:$B$1001,$O254))</f>
      </c>
      <c r="C254">
        <f>IF($O254="","",INDEX(Master!$C$2:$C$1001,$O254))</f>
      </c>
      <c r="D254">
        <f>IF($O254="","",INDEX(Master!$A$2:$A$1001,$O254))</f>
      </c>
      <c r="E254">
        <f>IF($O254="","",INDEX(Master!$E$2:$E$1001,$O254))</f>
      </c>
      <c r="F254">
        <f>IF($O254="","",INDEX(Master!$F$2:$F$1001,$O254))</f>
      </c>
      <c r="G254">
        <f>IF($O254="","",INDEX(Master!$G$2:$G$1001,$O254))</f>
      </c>
      <c r="H254">
        <f>IF($O254="","",INDEX(Master!$H$2:$H$1001,$O254))</f>
      </c>
      <c r="I254">
        <f>IF($O254="","",INDEX(Master!$I$2:$I$1001,$O254))</f>
      </c>
      <c r="J254">
        <f>IF($O254="","",INDEX(Master!$J$2:$J$1001,$O254))</f>
      </c>
      <c r="K254">
        <f t="shared" si="6"/>
      </c>
      <c r="L254">
        <f>IF($O254="","",INDEX(Master!$K$2:$K$1001,$O254))</f>
      </c>
      <c r="M254">
        <f>IF($O254="","",INDEX(Master!$L$2:$L$1001,$O254))</f>
      </c>
      <c r="O254">
        <f t="array" ref="O254">IFERROR(SMALL(IF((Master!$A$2:$A$1001="SHYAM METALLIKS")*(Master!$M$2:$M$1001="160 x 160 x 6MTR"),ROW(Master!$A$2:$A$1001)-ROW(Master!$A$2)+1),250),"")</f>
      </c>
      <c r="P254">
        <f t="shared" si="7"/>
      </c>
    </row>
    <row r="255" spans="1:16" x14ac:dyDescent="0.25">
      <c r="A255">
        <f>IF($O255="","",INDEX(Master!$D$2:$D$1001,$O255))</f>
      </c>
      <c r="B255">
        <f>IF($O255="","",INDEX(Master!$B$2:$B$1001,$O255))</f>
      </c>
      <c r="C255">
        <f>IF($O255="","",INDEX(Master!$C$2:$C$1001,$O255))</f>
      </c>
      <c r="D255">
        <f>IF($O255="","",INDEX(Master!$A$2:$A$1001,$O255))</f>
      </c>
      <c r="E255">
        <f>IF($O255="","",INDEX(Master!$E$2:$E$1001,$O255))</f>
      </c>
      <c r="F255">
        <f>IF($O255="","",INDEX(Master!$F$2:$F$1001,$O255))</f>
      </c>
      <c r="G255">
        <f>IF($O255="","",INDEX(Master!$G$2:$G$1001,$O255))</f>
      </c>
      <c r="H255">
        <f>IF($O255="","",INDEX(Master!$H$2:$H$1001,$O255))</f>
      </c>
      <c r="I255">
        <f>IF($O255="","",INDEX(Master!$I$2:$I$1001,$O255))</f>
      </c>
      <c r="J255">
        <f>IF($O255="","",INDEX(Master!$J$2:$J$1001,$O255))</f>
      </c>
      <c r="K255">
        <f t="shared" si="6"/>
      </c>
      <c r="L255">
        <f>IF($O255="","",INDEX(Master!$K$2:$K$1001,$O255))</f>
      </c>
      <c r="M255">
        <f>IF($O255="","",INDEX(Master!$L$2:$L$1001,$O255))</f>
      </c>
      <c r="O255">
        <f t="array" ref="O255">IFERROR(SMALL(IF((Master!$A$2:$A$1001="SHYAM METALLIKS")*(Master!$M$2:$M$1001="160 x 160 x 6MTR"),ROW(Master!$A$2:$A$1001)-ROW(Master!$A$2)+1),251),"")</f>
      </c>
      <c r="P255">
        <f t="shared" si="7"/>
      </c>
    </row>
    <row r="256" spans="1:16" x14ac:dyDescent="0.25">
      <c r="A256">
        <f>IF($O256="","",INDEX(Master!$D$2:$D$1001,$O256))</f>
      </c>
      <c r="B256">
        <f>IF($O256="","",INDEX(Master!$B$2:$B$1001,$O256))</f>
      </c>
      <c r="C256">
        <f>IF($O256="","",INDEX(Master!$C$2:$C$1001,$O256))</f>
      </c>
      <c r="D256">
        <f>IF($O256="","",INDEX(Master!$A$2:$A$1001,$O256))</f>
      </c>
      <c r="E256">
        <f>IF($O256="","",INDEX(Master!$E$2:$E$1001,$O256))</f>
      </c>
      <c r="F256">
        <f>IF($O256="","",INDEX(Master!$F$2:$F$1001,$O256))</f>
      </c>
      <c r="G256">
        <f>IF($O256="","",INDEX(Master!$G$2:$G$1001,$O256))</f>
      </c>
      <c r="H256">
        <f>IF($O256="","",INDEX(Master!$H$2:$H$1001,$O256))</f>
      </c>
      <c r="I256">
        <f>IF($O256="","",INDEX(Master!$I$2:$I$1001,$O256))</f>
      </c>
      <c r="J256">
        <f>IF($O256="","",INDEX(Master!$J$2:$J$1001,$O256))</f>
      </c>
      <c r="K256">
        <f t="shared" si="6"/>
      </c>
      <c r="L256">
        <f>IF($O256="","",INDEX(Master!$K$2:$K$1001,$O256))</f>
      </c>
      <c r="M256">
        <f>IF($O256="","",INDEX(Master!$L$2:$L$1001,$O256))</f>
      </c>
      <c r="O256">
        <f t="array" ref="O256">IFERROR(SMALL(IF((Master!$A$2:$A$1001="SHYAM METALLIKS")*(Master!$M$2:$M$1001="160 x 160 x 6MTR"),ROW(Master!$A$2:$A$1001)-ROW(Master!$A$2)+1),252),"")</f>
      </c>
      <c r="P256">
        <f t="shared" si="7"/>
      </c>
    </row>
    <row r="257" spans="1:16" x14ac:dyDescent="0.25">
      <c r="A257">
        <f>IF($O257="","",INDEX(Master!$D$2:$D$1001,$O257))</f>
      </c>
      <c r="B257">
        <f>IF($O257="","",INDEX(Master!$B$2:$B$1001,$O257))</f>
      </c>
      <c r="C257">
        <f>IF($O257="","",INDEX(Master!$C$2:$C$1001,$O257))</f>
      </c>
      <c r="D257">
        <f>IF($O257="","",INDEX(Master!$A$2:$A$1001,$O257))</f>
      </c>
      <c r="E257">
        <f>IF($O257="","",INDEX(Master!$E$2:$E$1001,$O257))</f>
      </c>
      <c r="F257">
        <f>IF($O257="","",INDEX(Master!$F$2:$F$1001,$O257))</f>
      </c>
      <c r="G257">
        <f>IF($O257="","",INDEX(Master!$G$2:$G$1001,$O257))</f>
      </c>
      <c r="H257">
        <f>IF($O257="","",INDEX(Master!$H$2:$H$1001,$O257))</f>
      </c>
      <c r="I257">
        <f>IF($O257="","",INDEX(Master!$I$2:$I$1001,$O257))</f>
      </c>
      <c r="J257">
        <f>IF($O257="","",INDEX(Master!$J$2:$J$1001,$O257))</f>
      </c>
      <c r="K257">
        <f t="shared" si="6"/>
      </c>
      <c r="L257">
        <f>IF($O257="","",INDEX(Master!$K$2:$K$1001,$O257))</f>
      </c>
      <c r="M257">
        <f>IF($O257="","",INDEX(Master!$L$2:$L$1001,$O257))</f>
      </c>
      <c r="O257">
        <f t="array" ref="O257">IFERROR(SMALL(IF((Master!$A$2:$A$1001="SHYAM METALLIKS")*(Master!$M$2:$M$1001="160 x 160 x 6MTR"),ROW(Master!$A$2:$A$1001)-ROW(Master!$A$2)+1),253),"")</f>
      </c>
      <c r="P257">
        <f t="shared" si="7"/>
      </c>
    </row>
    <row r="258" spans="1:16" x14ac:dyDescent="0.25">
      <c r="A258">
        <f>IF($O258="","",INDEX(Master!$D$2:$D$1001,$O258))</f>
      </c>
      <c r="B258">
        <f>IF($O258="","",INDEX(Master!$B$2:$B$1001,$O258))</f>
      </c>
      <c r="C258">
        <f>IF($O258="","",INDEX(Master!$C$2:$C$1001,$O258))</f>
      </c>
      <c r="D258">
        <f>IF($O258="","",INDEX(Master!$A$2:$A$1001,$O258))</f>
      </c>
      <c r="E258">
        <f>IF($O258="","",INDEX(Master!$E$2:$E$1001,$O258))</f>
      </c>
      <c r="F258">
        <f>IF($O258="","",INDEX(Master!$F$2:$F$1001,$O258))</f>
      </c>
      <c r="G258">
        <f>IF($O258="","",INDEX(Master!$G$2:$G$1001,$O258))</f>
      </c>
      <c r="H258">
        <f>IF($O258="","",INDEX(Master!$H$2:$H$1001,$O258))</f>
      </c>
      <c r="I258">
        <f>IF($O258="","",INDEX(Master!$I$2:$I$1001,$O258))</f>
      </c>
      <c r="J258">
        <f>IF($O258="","",INDEX(Master!$J$2:$J$1001,$O258))</f>
      </c>
      <c r="K258">
        <f t="shared" si="6"/>
      </c>
      <c r="L258">
        <f>IF($O258="","",INDEX(Master!$K$2:$K$1001,$O258))</f>
      </c>
      <c r="M258">
        <f>IF($O258="","",INDEX(Master!$L$2:$L$1001,$O258))</f>
      </c>
      <c r="O258">
        <f t="array" ref="O258">IFERROR(SMALL(IF((Master!$A$2:$A$1001="SHYAM METALLIKS")*(Master!$M$2:$M$1001="160 x 160 x 6MTR"),ROW(Master!$A$2:$A$1001)-ROW(Master!$A$2)+1),254),"")</f>
      </c>
      <c r="P258">
        <f t="shared" si="7"/>
      </c>
    </row>
    <row r="259" spans="1:16" x14ac:dyDescent="0.25">
      <c r="A259">
        <f>IF($O259="","",INDEX(Master!$D$2:$D$1001,$O259))</f>
      </c>
      <c r="B259">
        <f>IF($O259="","",INDEX(Master!$B$2:$B$1001,$O259))</f>
      </c>
      <c r="C259">
        <f>IF($O259="","",INDEX(Master!$C$2:$C$1001,$O259))</f>
      </c>
      <c r="D259">
        <f>IF($O259="","",INDEX(Master!$A$2:$A$1001,$O259))</f>
      </c>
      <c r="E259">
        <f>IF($O259="","",INDEX(Master!$E$2:$E$1001,$O259))</f>
      </c>
      <c r="F259">
        <f>IF($O259="","",INDEX(Master!$F$2:$F$1001,$O259))</f>
      </c>
      <c r="G259">
        <f>IF($O259="","",INDEX(Master!$G$2:$G$1001,$O259))</f>
      </c>
      <c r="H259">
        <f>IF($O259="","",INDEX(Master!$H$2:$H$1001,$O259))</f>
      </c>
      <c r="I259">
        <f>IF($O259="","",INDEX(Master!$I$2:$I$1001,$O259))</f>
      </c>
      <c r="J259">
        <f>IF($O259="","",INDEX(Master!$J$2:$J$1001,$O259))</f>
      </c>
      <c r="K259">
        <f t="shared" si="6"/>
      </c>
      <c r="L259">
        <f>IF($O259="","",INDEX(Master!$K$2:$K$1001,$O259))</f>
      </c>
      <c r="M259">
        <f>IF($O259="","",INDEX(Master!$L$2:$L$1001,$O259))</f>
      </c>
      <c r="O259">
        <f t="array" ref="O259">IFERROR(SMALL(IF((Master!$A$2:$A$1001="SHYAM METALLIKS")*(Master!$M$2:$M$1001="160 x 160 x 6MTR"),ROW(Master!$A$2:$A$1001)-ROW(Master!$A$2)+1),255),"")</f>
      </c>
      <c r="P259">
        <f t="shared" si="7"/>
      </c>
    </row>
    <row r="260" spans="1:16" x14ac:dyDescent="0.25">
      <c r="A260">
        <f>IF($O260="","",INDEX(Master!$D$2:$D$1001,$O260))</f>
      </c>
      <c r="B260">
        <f>IF($O260="","",INDEX(Master!$B$2:$B$1001,$O260))</f>
      </c>
      <c r="C260">
        <f>IF($O260="","",INDEX(Master!$C$2:$C$1001,$O260))</f>
      </c>
      <c r="D260">
        <f>IF($O260="","",INDEX(Master!$A$2:$A$1001,$O260))</f>
      </c>
      <c r="E260">
        <f>IF($O260="","",INDEX(Master!$E$2:$E$1001,$O260))</f>
      </c>
      <c r="F260">
        <f>IF($O260="","",INDEX(Master!$F$2:$F$1001,$O260))</f>
      </c>
      <c r="G260">
        <f>IF($O260="","",INDEX(Master!$G$2:$G$1001,$O260))</f>
      </c>
      <c r="H260">
        <f>IF($O260="","",INDEX(Master!$H$2:$H$1001,$O260))</f>
      </c>
      <c r="I260">
        <f>IF($O260="","",INDEX(Master!$I$2:$I$1001,$O260))</f>
      </c>
      <c r="J260">
        <f>IF($O260="","",INDEX(Master!$J$2:$J$1001,$O260))</f>
      </c>
      <c r="K260">
        <f t="shared" si="6"/>
      </c>
      <c r="L260">
        <f>IF($O260="","",INDEX(Master!$K$2:$K$1001,$O260))</f>
      </c>
      <c r="M260">
        <f>IF($O260="","",INDEX(Master!$L$2:$L$1001,$O260))</f>
      </c>
      <c r="O260">
        <f t="array" ref="O260">IFERROR(SMALL(IF((Master!$A$2:$A$1001="SHYAM METALLIKS")*(Master!$M$2:$M$1001="160 x 160 x 6MTR"),ROW(Master!$A$2:$A$1001)-ROW(Master!$A$2)+1),256),"")</f>
      </c>
      <c r="P260">
        <f t="shared" si="7"/>
      </c>
    </row>
    <row r="261" spans="1:16" x14ac:dyDescent="0.25">
      <c r="A261">
        <f>IF($O261="","",INDEX(Master!$D$2:$D$1001,$O261))</f>
      </c>
      <c r="B261">
        <f>IF($O261="","",INDEX(Master!$B$2:$B$1001,$O261))</f>
      </c>
      <c r="C261">
        <f>IF($O261="","",INDEX(Master!$C$2:$C$1001,$O261))</f>
      </c>
      <c r="D261">
        <f>IF($O261="","",INDEX(Master!$A$2:$A$1001,$O261))</f>
      </c>
      <c r="E261">
        <f>IF($O261="","",INDEX(Master!$E$2:$E$1001,$O261))</f>
      </c>
      <c r="F261">
        <f>IF($O261="","",INDEX(Master!$F$2:$F$1001,$O261))</f>
      </c>
      <c r="G261">
        <f>IF($O261="","",INDEX(Master!$G$2:$G$1001,$O261))</f>
      </c>
      <c r="H261">
        <f>IF($O261="","",INDEX(Master!$H$2:$H$1001,$O261))</f>
      </c>
      <c r="I261">
        <f>IF($O261="","",INDEX(Master!$I$2:$I$1001,$O261))</f>
      </c>
      <c r="J261">
        <f>IF($O261="","",INDEX(Master!$J$2:$J$1001,$O261))</f>
      </c>
      <c r="K261">
        <f t="shared" ref="K261:K304" si="8">IF(OR($O261="",$F261="",$F261=0),"",$H261/$F261)</f>
      </c>
      <c r="L261">
        <f>IF($O261="","",INDEX(Master!$K$2:$K$1001,$O261))</f>
      </c>
      <c r="M261">
        <f>IF($O261="","",INDEX(Master!$L$2:$L$1001,$O261))</f>
      </c>
      <c r="O261">
        <f t="array" ref="O261">IFERROR(SMALL(IF((Master!$A$2:$A$1001="SHYAM METALLIKS")*(Master!$M$2:$M$1001="160 x 160 x 6MTR"),ROW(Master!$A$2:$A$1001)-ROW(Master!$A$2)+1),257),"")</f>
      </c>
      <c r="P261">
        <f t="shared" ref="P261:P304" si="9">IF($A261="",0,IF(OR(AND($E261&lt;&gt;"",OR($E261&gt;0.18)),AND($F261&lt;&gt;"",OR(($F261+$G261)&gt;0.14)),AND($G261&lt;&gt;"",OR(($F261+$G261)&gt;0.14)),AND($H261&lt;&gt;"",$H261&lt;0.4),AND($J261&lt;&gt;"",OR($J261&lt;0.1))),1,0))</f>
      </c>
    </row>
    <row r="262" spans="1:16" x14ac:dyDescent="0.25">
      <c r="A262">
        <f>IF($O262="","",INDEX(Master!$D$2:$D$1001,$O262))</f>
      </c>
      <c r="B262">
        <f>IF($O262="","",INDEX(Master!$B$2:$B$1001,$O262))</f>
      </c>
      <c r="C262">
        <f>IF($O262="","",INDEX(Master!$C$2:$C$1001,$O262))</f>
      </c>
      <c r="D262">
        <f>IF($O262="","",INDEX(Master!$A$2:$A$1001,$O262))</f>
      </c>
      <c r="E262">
        <f>IF($O262="","",INDEX(Master!$E$2:$E$1001,$O262))</f>
      </c>
      <c r="F262">
        <f>IF($O262="","",INDEX(Master!$F$2:$F$1001,$O262))</f>
      </c>
      <c r="G262">
        <f>IF($O262="","",INDEX(Master!$G$2:$G$1001,$O262))</f>
      </c>
      <c r="H262">
        <f>IF($O262="","",INDEX(Master!$H$2:$H$1001,$O262))</f>
      </c>
      <c r="I262">
        <f>IF($O262="","",INDEX(Master!$I$2:$I$1001,$O262))</f>
      </c>
      <c r="J262">
        <f>IF($O262="","",INDEX(Master!$J$2:$J$1001,$O262))</f>
      </c>
      <c r="K262">
        <f t="shared" si="8"/>
      </c>
      <c r="L262">
        <f>IF($O262="","",INDEX(Master!$K$2:$K$1001,$O262))</f>
      </c>
      <c r="M262">
        <f>IF($O262="","",INDEX(Master!$L$2:$L$1001,$O262))</f>
      </c>
      <c r="O262">
        <f t="array" ref="O262">IFERROR(SMALL(IF((Master!$A$2:$A$1001="SHYAM METALLIKS")*(Master!$M$2:$M$1001="160 x 160 x 6MTR"),ROW(Master!$A$2:$A$1001)-ROW(Master!$A$2)+1),258),"")</f>
      </c>
      <c r="P262">
        <f t="shared" si="9"/>
      </c>
    </row>
    <row r="263" spans="1:16" x14ac:dyDescent="0.25">
      <c r="A263">
        <f>IF($O263="","",INDEX(Master!$D$2:$D$1001,$O263))</f>
      </c>
      <c r="B263">
        <f>IF($O263="","",INDEX(Master!$B$2:$B$1001,$O263))</f>
      </c>
      <c r="C263">
        <f>IF($O263="","",INDEX(Master!$C$2:$C$1001,$O263))</f>
      </c>
      <c r="D263">
        <f>IF($O263="","",INDEX(Master!$A$2:$A$1001,$O263))</f>
      </c>
      <c r="E263">
        <f>IF($O263="","",INDEX(Master!$E$2:$E$1001,$O263))</f>
      </c>
      <c r="F263">
        <f>IF($O263="","",INDEX(Master!$F$2:$F$1001,$O263))</f>
      </c>
      <c r="G263">
        <f>IF($O263="","",INDEX(Master!$G$2:$G$1001,$O263))</f>
      </c>
      <c r="H263">
        <f>IF($O263="","",INDEX(Master!$H$2:$H$1001,$O263))</f>
      </c>
      <c r="I263">
        <f>IF($O263="","",INDEX(Master!$I$2:$I$1001,$O263))</f>
      </c>
      <c r="J263">
        <f>IF($O263="","",INDEX(Master!$J$2:$J$1001,$O263))</f>
      </c>
      <c r="K263">
        <f t="shared" si="8"/>
      </c>
      <c r="L263">
        <f>IF($O263="","",INDEX(Master!$K$2:$K$1001,$O263))</f>
      </c>
      <c r="M263">
        <f>IF($O263="","",INDEX(Master!$L$2:$L$1001,$O263))</f>
      </c>
      <c r="O263">
        <f t="array" ref="O263">IFERROR(SMALL(IF((Master!$A$2:$A$1001="SHYAM METALLIKS")*(Master!$M$2:$M$1001="160 x 160 x 6MTR"),ROW(Master!$A$2:$A$1001)-ROW(Master!$A$2)+1),259),"")</f>
      </c>
      <c r="P263">
        <f t="shared" si="9"/>
      </c>
    </row>
    <row r="264" spans="1:16" x14ac:dyDescent="0.25">
      <c r="A264">
        <f>IF($O264="","",INDEX(Master!$D$2:$D$1001,$O264))</f>
      </c>
      <c r="B264">
        <f>IF($O264="","",INDEX(Master!$B$2:$B$1001,$O264))</f>
      </c>
      <c r="C264">
        <f>IF($O264="","",INDEX(Master!$C$2:$C$1001,$O264))</f>
      </c>
      <c r="D264">
        <f>IF($O264="","",INDEX(Master!$A$2:$A$1001,$O264))</f>
      </c>
      <c r="E264">
        <f>IF($O264="","",INDEX(Master!$E$2:$E$1001,$O264))</f>
      </c>
      <c r="F264">
        <f>IF($O264="","",INDEX(Master!$F$2:$F$1001,$O264))</f>
      </c>
      <c r="G264">
        <f>IF($O264="","",INDEX(Master!$G$2:$G$1001,$O264))</f>
      </c>
      <c r="H264">
        <f>IF($O264="","",INDEX(Master!$H$2:$H$1001,$O264))</f>
      </c>
      <c r="I264">
        <f>IF($O264="","",INDEX(Master!$I$2:$I$1001,$O264))</f>
      </c>
      <c r="J264">
        <f>IF($O264="","",INDEX(Master!$J$2:$J$1001,$O264))</f>
      </c>
      <c r="K264">
        <f t="shared" si="8"/>
      </c>
      <c r="L264">
        <f>IF($O264="","",INDEX(Master!$K$2:$K$1001,$O264))</f>
      </c>
      <c r="M264">
        <f>IF($O264="","",INDEX(Master!$L$2:$L$1001,$O264))</f>
      </c>
      <c r="O264">
        <f t="array" ref="O264">IFERROR(SMALL(IF((Master!$A$2:$A$1001="SHYAM METALLIKS")*(Master!$M$2:$M$1001="160 x 160 x 6MTR"),ROW(Master!$A$2:$A$1001)-ROW(Master!$A$2)+1),260),"")</f>
      </c>
      <c r="P264">
        <f t="shared" si="9"/>
      </c>
    </row>
    <row r="265" spans="1:16" x14ac:dyDescent="0.25">
      <c r="A265">
        <f>IF($O265="","",INDEX(Master!$D$2:$D$1001,$O265))</f>
      </c>
      <c r="B265">
        <f>IF($O265="","",INDEX(Master!$B$2:$B$1001,$O265))</f>
      </c>
      <c r="C265">
        <f>IF($O265="","",INDEX(Master!$C$2:$C$1001,$O265))</f>
      </c>
      <c r="D265">
        <f>IF($O265="","",INDEX(Master!$A$2:$A$1001,$O265))</f>
      </c>
      <c r="E265">
        <f>IF($O265="","",INDEX(Master!$E$2:$E$1001,$O265))</f>
      </c>
      <c r="F265">
        <f>IF($O265="","",INDEX(Master!$F$2:$F$1001,$O265))</f>
      </c>
      <c r="G265">
        <f>IF($O265="","",INDEX(Master!$G$2:$G$1001,$O265))</f>
      </c>
      <c r="H265">
        <f>IF($O265="","",INDEX(Master!$H$2:$H$1001,$O265))</f>
      </c>
      <c r="I265">
        <f>IF($O265="","",INDEX(Master!$I$2:$I$1001,$O265))</f>
      </c>
      <c r="J265">
        <f>IF($O265="","",INDEX(Master!$J$2:$J$1001,$O265))</f>
      </c>
      <c r="K265">
        <f t="shared" si="8"/>
      </c>
      <c r="L265">
        <f>IF($O265="","",INDEX(Master!$K$2:$K$1001,$O265))</f>
      </c>
      <c r="M265">
        <f>IF($O265="","",INDEX(Master!$L$2:$L$1001,$O265))</f>
      </c>
      <c r="O265">
        <f t="array" ref="O265">IFERROR(SMALL(IF((Master!$A$2:$A$1001="SHYAM METALLIKS")*(Master!$M$2:$M$1001="160 x 160 x 6MTR"),ROW(Master!$A$2:$A$1001)-ROW(Master!$A$2)+1),261),"")</f>
      </c>
      <c r="P265">
        <f t="shared" si="9"/>
      </c>
    </row>
    <row r="266" spans="1:16" x14ac:dyDescent="0.25">
      <c r="A266">
        <f>IF($O266="","",INDEX(Master!$D$2:$D$1001,$O266))</f>
      </c>
      <c r="B266">
        <f>IF($O266="","",INDEX(Master!$B$2:$B$1001,$O266))</f>
      </c>
      <c r="C266">
        <f>IF($O266="","",INDEX(Master!$C$2:$C$1001,$O266))</f>
      </c>
      <c r="D266">
        <f>IF($O266="","",INDEX(Master!$A$2:$A$1001,$O266))</f>
      </c>
      <c r="E266">
        <f>IF($O266="","",INDEX(Master!$E$2:$E$1001,$O266))</f>
      </c>
      <c r="F266">
        <f>IF($O266="","",INDEX(Master!$F$2:$F$1001,$O266))</f>
      </c>
      <c r="G266">
        <f>IF($O266="","",INDEX(Master!$G$2:$G$1001,$O266))</f>
      </c>
      <c r="H266">
        <f>IF($O266="","",INDEX(Master!$H$2:$H$1001,$O266))</f>
      </c>
      <c r="I266">
        <f>IF($O266="","",INDEX(Master!$I$2:$I$1001,$O266))</f>
      </c>
      <c r="J266">
        <f>IF($O266="","",INDEX(Master!$J$2:$J$1001,$O266))</f>
      </c>
      <c r="K266">
        <f t="shared" si="8"/>
      </c>
      <c r="L266">
        <f>IF($O266="","",INDEX(Master!$K$2:$K$1001,$O266))</f>
      </c>
      <c r="M266">
        <f>IF($O266="","",INDEX(Master!$L$2:$L$1001,$O266))</f>
      </c>
      <c r="O266">
        <f t="array" ref="O266">IFERROR(SMALL(IF((Master!$A$2:$A$1001="SHYAM METALLIKS")*(Master!$M$2:$M$1001="160 x 160 x 6MTR"),ROW(Master!$A$2:$A$1001)-ROW(Master!$A$2)+1),262),"")</f>
      </c>
      <c r="P266">
        <f t="shared" si="9"/>
      </c>
    </row>
    <row r="267" spans="1:16" x14ac:dyDescent="0.25">
      <c r="A267">
        <f>IF($O267="","",INDEX(Master!$D$2:$D$1001,$O267))</f>
      </c>
      <c r="B267">
        <f>IF($O267="","",INDEX(Master!$B$2:$B$1001,$O267))</f>
      </c>
      <c r="C267">
        <f>IF($O267="","",INDEX(Master!$C$2:$C$1001,$O267))</f>
      </c>
      <c r="D267">
        <f>IF($O267="","",INDEX(Master!$A$2:$A$1001,$O267))</f>
      </c>
      <c r="E267">
        <f>IF($O267="","",INDEX(Master!$E$2:$E$1001,$O267))</f>
      </c>
      <c r="F267">
        <f>IF($O267="","",INDEX(Master!$F$2:$F$1001,$O267))</f>
      </c>
      <c r="G267">
        <f>IF($O267="","",INDEX(Master!$G$2:$G$1001,$O267))</f>
      </c>
      <c r="H267">
        <f>IF($O267="","",INDEX(Master!$H$2:$H$1001,$O267))</f>
      </c>
      <c r="I267">
        <f>IF($O267="","",INDEX(Master!$I$2:$I$1001,$O267))</f>
      </c>
      <c r="J267">
        <f>IF($O267="","",INDEX(Master!$J$2:$J$1001,$O267))</f>
      </c>
      <c r="K267">
        <f t="shared" si="8"/>
      </c>
      <c r="L267">
        <f>IF($O267="","",INDEX(Master!$K$2:$K$1001,$O267))</f>
      </c>
      <c r="M267">
        <f>IF($O267="","",INDEX(Master!$L$2:$L$1001,$O267))</f>
      </c>
      <c r="O267">
        <f t="array" ref="O267">IFERROR(SMALL(IF((Master!$A$2:$A$1001="SHYAM METALLIKS")*(Master!$M$2:$M$1001="160 x 160 x 6MTR"),ROW(Master!$A$2:$A$1001)-ROW(Master!$A$2)+1),263),"")</f>
      </c>
      <c r="P267">
        <f t="shared" si="9"/>
      </c>
    </row>
    <row r="268" spans="1:16" x14ac:dyDescent="0.25">
      <c r="A268">
        <f>IF($O268="","",INDEX(Master!$D$2:$D$1001,$O268))</f>
      </c>
      <c r="B268">
        <f>IF($O268="","",INDEX(Master!$B$2:$B$1001,$O268))</f>
      </c>
      <c r="C268">
        <f>IF($O268="","",INDEX(Master!$C$2:$C$1001,$O268))</f>
      </c>
      <c r="D268">
        <f>IF($O268="","",INDEX(Master!$A$2:$A$1001,$O268))</f>
      </c>
      <c r="E268">
        <f>IF($O268="","",INDEX(Master!$E$2:$E$1001,$O268))</f>
      </c>
      <c r="F268">
        <f>IF($O268="","",INDEX(Master!$F$2:$F$1001,$O268))</f>
      </c>
      <c r="G268">
        <f>IF($O268="","",INDEX(Master!$G$2:$G$1001,$O268))</f>
      </c>
      <c r="H268">
        <f>IF($O268="","",INDEX(Master!$H$2:$H$1001,$O268))</f>
      </c>
      <c r="I268">
        <f>IF($O268="","",INDEX(Master!$I$2:$I$1001,$O268))</f>
      </c>
      <c r="J268">
        <f>IF($O268="","",INDEX(Master!$J$2:$J$1001,$O268))</f>
      </c>
      <c r="K268">
        <f t="shared" si="8"/>
      </c>
      <c r="L268">
        <f>IF($O268="","",INDEX(Master!$K$2:$K$1001,$O268))</f>
      </c>
      <c r="M268">
        <f>IF($O268="","",INDEX(Master!$L$2:$L$1001,$O268))</f>
      </c>
      <c r="O268">
        <f t="array" ref="O268">IFERROR(SMALL(IF((Master!$A$2:$A$1001="SHYAM METALLIKS")*(Master!$M$2:$M$1001="160 x 160 x 6MTR"),ROW(Master!$A$2:$A$1001)-ROW(Master!$A$2)+1),264),"")</f>
      </c>
      <c r="P268">
        <f t="shared" si="9"/>
      </c>
    </row>
    <row r="269" spans="1:16" x14ac:dyDescent="0.25">
      <c r="A269">
        <f>IF($O269="","",INDEX(Master!$D$2:$D$1001,$O269))</f>
      </c>
      <c r="B269">
        <f>IF($O269="","",INDEX(Master!$B$2:$B$1001,$O269))</f>
      </c>
      <c r="C269">
        <f>IF($O269="","",INDEX(Master!$C$2:$C$1001,$O269))</f>
      </c>
      <c r="D269">
        <f>IF($O269="","",INDEX(Master!$A$2:$A$1001,$O269))</f>
      </c>
      <c r="E269">
        <f>IF($O269="","",INDEX(Master!$E$2:$E$1001,$O269))</f>
      </c>
      <c r="F269">
        <f>IF($O269="","",INDEX(Master!$F$2:$F$1001,$O269))</f>
      </c>
      <c r="G269">
        <f>IF($O269="","",INDEX(Master!$G$2:$G$1001,$O269))</f>
      </c>
      <c r="H269">
        <f>IF($O269="","",INDEX(Master!$H$2:$H$1001,$O269))</f>
      </c>
      <c r="I269">
        <f>IF($O269="","",INDEX(Master!$I$2:$I$1001,$O269))</f>
      </c>
      <c r="J269">
        <f>IF($O269="","",INDEX(Master!$J$2:$J$1001,$O269))</f>
      </c>
      <c r="K269">
        <f t="shared" si="8"/>
      </c>
      <c r="L269">
        <f>IF($O269="","",INDEX(Master!$K$2:$K$1001,$O269))</f>
      </c>
      <c r="M269">
        <f>IF($O269="","",INDEX(Master!$L$2:$L$1001,$O269))</f>
      </c>
      <c r="O269">
        <f t="array" ref="O269">IFERROR(SMALL(IF((Master!$A$2:$A$1001="SHYAM METALLIKS")*(Master!$M$2:$M$1001="160 x 160 x 6MTR"),ROW(Master!$A$2:$A$1001)-ROW(Master!$A$2)+1),265),"")</f>
      </c>
      <c r="P269">
        <f t="shared" si="9"/>
      </c>
    </row>
    <row r="270" spans="1:16" x14ac:dyDescent="0.25">
      <c r="A270">
        <f>IF($O270="","",INDEX(Master!$D$2:$D$1001,$O270))</f>
      </c>
      <c r="B270">
        <f>IF($O270="","",INDEX(Master!$B$2:$B$1001,$O270))</f>
      </c>
      <c r="C270">
        <f>IF($O270="","",INDEX(Master!$C$2:$C$1001,$O270))</f>
      </c>
      <c r="D270">
        <f>IF($O270="","",INDEX(Master!$A$2:$A$1001,$O270))</f>
      </c>
      <c r="E270">
        <f>IF($O270="","",INDEX(Master!$E$2:$E$1001,$O270))</f>
      </c>
      <c r="F270">
        <f>IF($O270="","",INDEX(Master!$F$2:$F$1001,$O270))</f>
      </c>
      <c r="G270">
        <f>IF($O270="","",INDEX(Master!$G$2:$G$1001,$O270))</f>
      </c>
      <c r="H270">
        <f>IF($O270="","",INDEX(Master!$H$2:$H$1001,$O270))</f>
      </c>
      <c r="I270">
        <f>IF($O270="","",INDEX(Master!$I$2:$I$1001,$O270))</f>
      </c>
      <c r="J270">
        <f>IF($O270="","",INDEX(Master!$J$2:$J$1001,$O270))</f>
      </c>
      <c r="K270">
        <f t="shared" si="8"/>
      </c>
      <c r="L270">
        <f>IF($O270="","",INDEX(Master!$K$2:$K$1001,$O270))</f>
      </c>
      <c r="M270">
        <f>IF($O270="","",INDEX(Master!$L$2:$L$1001,$O270))</f>
      </c>
      <c r="O270">
        <f t="array" ref="O270">IFERROR(SMALL(IF((Master!$A$2:$A$1001="SHYAM METALLIKS")*(Master!$M$2:$M$1001="160 x 160 x 6MTR"),ROW(Master!$A$2:$A$1001)-ROW(Master!$A$2)+1),266),"")</f>
      </c>
      <c r="P270">
        <f t="shared" si="9"/>
      </c>
    </row>
    <row r="271" spans="1:16" x14ac:dyDescent="0.25">
      <c r="A271">
        <f>IF($O271="","",INDEX(Master!$D$2:$D$1001,$O271))</f>
      </c>
      <c r="B271">
        <f>IF($O271="","",INDEX(Master!$B$2:$B$1001,$O271))</f>
      </c>
      <c r="C271">
        <f>IF($O271="","",INDEX(Master!$C$2:$C$1001,$O271))</f>
      </c>
      <c r="D271">
        <f>IF($O271="","",INDEX(Master!$A$2:$A$1001,$O271))</f>
      </c>
      <c r="E271">
        <f>IF($O271="","",INDEX(Master!$E$2:$E$1001,$O271))</f>
      </c>
      <c r="F271">
        <f>IF($O271="","",INDEX(Master!$F$2:$F$1001,$O271))</f>
      </c>
      <c r="G271">
        <f>IF($O271="","",INDEX(Master!$G$2:$G$1001,$O271))</f>
      </c>
      <c r="H271">
        <f>IF($O271="","",INDEX(Master!$H$2:$H$1001,$O271))</f>
      </c>
      <c r="I271">
        <f>IF($O271="","",INDEX(Master!$I$2:$I$1001,$O271))</f>
      </c>
      <c r="J271">
        <f>IF($O271="","",INDEX(Master!$J$2:$J$1001,$O271))</f>
      </c>
      <c r="K271">
        <f t="shared" si="8"/>
      </c>
      <c r="L271">
        <f>IF($O271="","",INDEX(Master!$K$2:$K$1001,$O271))</f>
      </c>
      <c r="M271">
        <f>IF($O271="","",INDEX(Master!$L$2:$L$1001,$O271))</f>
      </c>
      <c r="O271">
        <f t="array" ref="O271">IFERROR(SMALL(IF((Master!$A$2:$A$1001="SHYAM METALLIKS")*(Master!$M$2:$M$1001="160 x 160 x 6MTR"),ROW(Master!$A$2:$A$1001)-ROW(Master!$A$2)+1),267),"")</f>
      </c>
      <c r="P271">
        <f t="shared" si="9"/>
      </c>
    </row>
    <row r="272" spans="1:16" x14ac:dyDescent="0.25">
      <c r="A272">
        <f>IF($O272="","",INDEX(Master!$D$2:$D$1001,$O272))</f>
      </c>
      <c r="B272">
        <f>IF($O272="","",INDEX(Master!$B$2:$B$1001,$O272))</f>
      </c>
      <c r="C272">
        <f>IF($O272="","",INDEX(Master!$C$2:$C$1001,$O272))</f>
      </c>
      <c r="D272">
        <f>IF($O272="","",INDEX(Master!$A$2:$A$1001,$O272))</f>
      </c>
      <c r="E272">
        <f>IF($O272="","",INDEX(Master!$E$2:$E$1001,$O272))</f>
      </c>
      <c r="F272">
        <f>IF($O272="","",INDEX(Master!$F$2:$F$1001,$O272))</f>
      </c>
      <c r="G272">
        <f>IF($O272="","",INDEX(Master!$G$2:$G$1001,$O272))</f>
      </c>
      <c r="H272">
        <f>IF($O272="","",INDEX(Master!$H$2:$H$1001,$O272))</f>
      </c>
      <c r="I272">
        <f>IF($O272="","",INDEX(Master!$I$2:$I$1001,$O272))</f>
      </c>
      <c r="J272">
        <f>IF($O272="","",INDEX(Master!$J$2:$J$1001,$O272))</f>
      </c>
      <c r="K272">
        <f t="shared" si="8"/>
      </c>
      <c r="L272">
        <f>IF($O272="","",INDEX(Master!$K$2:$K$1001,$O272))</f>
      </c>
      <c r="M272">
        <f>IF($O272="","",INDEX(Master!$L$2:$L$1001,$O272))</f>
      </c>
      <c r="O272">
        <f t="array" ref="O272">IFERROR(SMALL(IF((Master!$A$2:$A$1001="SHYAM METALLIKS")*(Master!$M$2:$M$1001="160 x 160 x 6MTR"),ROW(Master!$A$2:$A$1001)-ROW(Master!$A$2)+1),268),"")</f>
      </c>
      <c r="P272">
        <f t="shared" si="9"/>
      </c>
    </row>
    <row r="273" spans="1:16" x14ac:dyDescent="0.25">
      <c r="A273">
        <f>IF($O273="","",INDEX(Master!$D$2:$D$1001,$O273))</f>
      </c>
      <c r="B273">
        <f>IF($O273="","",INDEX(Master!$B$2:$B$1001,$O273))</f>
      </c>
      <c r="C273">
        <f>IF($O273="","",INDEX(Master!$C$2:$C$1001,$O273))</f>
      </c>
      <c r="D273">
        <f>IF($O273="","",INDEX(Master!$A$2:$A$1001,$O273))</f>
      </c>
      <c r="E273">
        <f>IF($O273="","",INDEX(Master!$E$2:$E$1001,$O273))</f>
      </c>
      <c r="F273">
        <f>IF($O273="","",INDEX(Master!$F$2:$F$1001,$O273))</f>
      </c>
      <c r="G273">
        <f>IF($O273="","",INDEX(Master!$G$2:$G$1001,$O273))</f>
      </c>
      <c r="H273">
        <f>IF($O273="","",INDEX(Master!$H$2:$H$1001,$O273))</f>
      </c>
      <c r="I273">
        <f>IF($O273="","",INDEX(Master!$I$2:$I$1001,$O273))</f>
      </c>
      <c r="J273">
        <f>IF($O273="","",INDEX(Master!$J$2:$J$1001,$O273))</f>
      </c>
      <c r="K273">
        <f t="shared" si="8"/>
      </c>
      <c r="L273">
        <f>IF($O273="","",INDEX(Master!$K$2:$K$1001,$O273))</f>
      </c>
      <c r="M273">
        <f>IF($O273="","",INDEX(Master!$L$2:$L$1001,$O273))</f>
      </c>
      <c r="O273">
        <f t="array" ref="O273">IFERROR(SMALL(IF((Master!$A$2:$A$1001="SHYAM METALLIKS")*(Master!$M$2:$M$1001="160 x 160 x 6MTR"),ROW(Master!$A$2:$A$1001)-ROW(Master!$A$2)+1),269),"")</f>
      </c>
      <c r="P273">
        <f t="shared" si="9"/>
      </c>
    </row>
    <row r="274" spans="1:16" x14ac:dyDescent="0.25">
      <c r="A274">
        <f>IF($O274="","",INDEX(Master!$D$2:$D$1001,$O274))</f>
      </c>
      <c r="B274">
        <f>IF($O274="","",INDEX(Master!$B$2:$B$1001,$O274))</f>
      </c>
      <c r="C274">
        <f>IF($O274="","",INDEX(Master!$C$2:$C$1001,$O274))</f>
      </c>
      <c r="D274">
        <f>IF($O274="","",INDEX(Master!$A$2:$A$1001,$O274))</f>
      </c>
      <c r="E274">
        <f>IF($O274="","",INDEX(Master!$E$2:$E$1001,$O274))</f>
      </c>
      <c r="F274">
        <f>IF($O274="","",INDEX(Master!$F$2:$F$1001,$O274))</f>
      </c>
      <c r="G274">
        <f>IF($O274="","",INDEX(Master!$G$2:$G$1001,$O274))</f>
      </c>
      <c r="H274">
        <f>IF($O274="","",INDEX(Master!$H$2:$H$1001,$O274))</f>
      </c>
      <c r="I274">
        <f>IF($O274="","",INDEX(Master!$I$2:$I$1001,$O274))</f>
      </c>
      <c r="J274">
        <f>IF($O274="","",INDEX(Master!$J$2:$J$1001,$O274))</f>
      </c>
      <c r="K274">
        <f t="shared" si="8"/>
      </c>
      <c r="L274">
        <f>IF($O274="","",INDEX(Master!$K$2:$K$1001,$O274))</f>
      </c>
      <c r="M274">
        <f>IF($O274="","",INDEX(Master!$L$2:$L$1001,$O274))</f>
      </c>
      <c r="O274">
        <f t="array" ref="O274">IFERROR(SMALL(IF((Master!$A$2:$A$1001="SHYAM METALLIKS")*(Master!$M$2:$M$1001="160 x 160 x 6MTR"),ROW(Master!$A$2:$A$1001)-ROW(Master!$A$2)+1),270),"")</f>
      </c>
      <c r="P274">
        <f t="shared" si="9"/>
      </c>
    </row>
    <row r="275" spans="1:16" x14ac:dyDescent="0.25">
      <c r="A275">
        <f>IF($O275="","",INDEX(Master!$D$2:$D$1001,$O275))</f>
      </c>
      <c r="B275">
        <f>IF($O275="","",INDEX(Master!$B$2:$B$1001,$O275))</f>
      </c>
      <c r="C275">
        <f>IF($O275="","",INDEX(Master!$C$2:$C$1001,$O275))</f>
      </c>
      <c r="D275">
        <f>IF($O275="","",INDEX(Master!$A$2:$A$1001,$O275))</f>
      </c>
      <c r="E275">
        <f>IF($O275="","",INDEX(Master!$E$2:$E$1001,$O275))</f>
      </c>
      <c r="F275">
        <f>IF($O275="","",INDEX(Master!$F$2:$F$1001,$O275))</f>
      </c>
      <c r="G275">
        <f>IF($O275="","",INDEX(Master!$G$2:$G$1001,$O275))</f>
      </c>
      <c r="H275">
        <f>IF($O275="","",INDEX(Master!$H$2:$H$1001,$O275))</f>
      </c>
      <c r="I275">
        <f>IF($O275="","",INDEX(Master!$I$2:$I$1001,$O275))</f>
      </c>
      <c r="J275">
        <f>IF($O275="","",INDEX(Master!$J$2:$J$1001,$O275))</f>
      </c>
      <c r="K275">
        <f t="shared" si="8"/>
      </c>
      <c r="L275">
        <f>IF($O275="","",INDEX(Master!$K$2:$K$1001,$O275))</f>
      </c>
      <c r="M275">
        <f>IF($O275="","",INDEX(Master!$L$2:$L$1001,$O275))</f>
      </c>
      <c r="O275">
        <f t="array" ref="O275">IFERROR(SMALL(IF((Master!$A$2:$A$1001="SHYAM METALLIKS")*(Master!$M$2:$M$1001="160 x 160 x 6MTR"),ROW(Master!$A$2:$A$1001)-ROW(Master!$A$2)+1),271),"")</f>
      </c>
      <c r="P275">
        <f t="shared" si="9"/>
      </c>
    </row>
    <row r="276" spans="1:16" x14ac:dyDescent="0.25">
      <c r="A276">
        <f>IF($O276="","",INDEX(Master!$D$2:$D$1001,$O276))</f>
      </c>
      <c r="B276">
        <f>IF($O276="","",INDEX(Master!$B$2:$B$1001,$O276))</f>
      </c>
      <c r="C276">
        <f>IF($O276="","",INDEX(Master!$C$2:$C$1001,$O276))</f>
      </c>
      <c r="D276">
        <f>IF($O276="","",INDEX(Master!$A$2:$A$1001,$O276))</f>
      </c>
      <c r="E276">
        <f>IF($O276="","",INDEX(Master!$E$2:$E$1001,$O276))</f>
      </c>
      <c r="F276">
        <f>IF($O276="","",INDEX(Master!$F$2:$F$1001,$O276))</f>
      </c>
      <c r="G276">
        <f>IF($O276="","",INDEX(Master!$G$2:$G$1001,$O276))</f>
      </c>
      <c r="H276">
        <f>IF($O276="","",INDEX(Master!$H$2:$H$1001,$O276))</f>
      </c>
      <c r="I276">
        <f>IF($O276="","",INDEX(Master!$I$2:$I$1001,$O276))</f>
      </c>
      <c r="J276">
        <f>IF($O276="","",INDEX(Master!$J$2:$J$1001,$O276))</f>
      </c>
      <c r="K276">
        <f t="shared" si="8"/>
      </c>
      <c r="L276">
        <f>IF($O276="","",INDEX(Master!$K$2:$K$1001,$O276))</f>
      </c>
      <c r="M276">
        <f>IF($O276="","",INDEX(Master!$L$2:$L$1001,$O276))</f>
      </c>
      <c r="O276">
        <f t="array" ref="O276">IFERROR(SMALL(IF((Master!$A$2:$A$1001="SHYAM METALLIKS")*(Master!$M$2:$M$1001="160 x 160 x 6MTR"),ROW(Master!$A$2:$A$1001)-ROW(Master!$A$2)+1),272),"")</f>
      </c>
      <c r="P276">
        <f t="shared" si="9"/>
      </c>
    </row>
    <row r="277" spans="1:16" x14ac:dyDescent="0.25">
      <c r="A277">
        <f>IF($O277="","",INDEX(Master!$D$2:$D$1001,$O277))</f>
      </c>
      <c r="B277">
        <f>IF($O277="","",INDEX(Master!$B$2:$B$1001,$O277))</f>
      </c>
      <c r="C277">
        <f>IF($O277="","",INDEX(Master!$C$2:$C$1001,$O277))</f>
      </c>
      <c r="D277">
        <f>IF($O277="","",INDEX(Master!$A$2:$A$1001,$O277))</f>
      </c>
      <c r="E277">
        <f>IF($O277="","",INDEX(Master!$E$2:$E$1001,$O277))</f>
      </c>
      <c r="F277">
        <f>IF($O277="","",INDEX(Master!$F$2:$F$1001,$O277))</f>
      </c>
      <c r="G277">
        <f>IF($O277="","",INDEX(Master!$G$2:$G$1001,$O277))</f>
      </c>
      <c r="H277">
        <f>IF($O277="","",INDEX(Master!$H$2:$H$1001,$O277))</f>
      </c>
      <c r="I277">
        <f>IF($O277="","",INDEX(Master!$I$2:$I$1001,$O277))</f>
      </c>
      <c r="J277">
        <f>IF($O277="","",INDEX(Master!$J$2:$J$1001,$O277))</f>
      </c>
      <c r="K277">
        <f t="shared" si="8"/>
      </c>
      <c r="L277">
        <f>IF($O277="","",INDEX(Master!$K$2:$K$1001,$O277))</f>
      </c>
      <c r="M277">
        <f>IF($O277="","",INDEX(Master!$L$2:$L$1001,$O277))</f>
      </c>
      <c r="O277">
        <f t="array" ref="O277">IFERROR(SMALL(IF((Master!$A$2:$A$1001="SHYAM METALLIKS")*(Master!$M$2:$M$1001="160 x 160 x 6MTR"),ROW(Master!$A$2:$A$1001)-ROW(Master!$A$2)+1),273),"")</f>
      </c>
      <c r="P277">
        <f t="shared" si="9"/>
      </c>
    </row>
    <row r="278" spans="1:16" x14ac:dyDescent="0.25">
      <c r="A278">
        <f>IF($O278="","",INDEX(Master!$D$2:$D$1001,$O278))</f>
      </c>
      <c r="B278">
        <f>IF($O278="","",INDEX(Master!$B$2:$B$1001,$O278))</f>
      </c>
      <c r="C278">
        <f>IF($O278="","",INDEX(Master!$C$2:$C$1001,$O278))</f>
      </c>
      <c r="D278">
        <f>IF($O278="","",INDEX(Master!$A$2:$A$1001,$O278))</f>
      </c>
      <c r="E278">
        <f>IF($O278="","",INDEX(Master!$E$2:$E$1001,$O278))</f>
      </c>
      <c r="F278">
        <f>IF($O278="","",INDEX(Master!$F$2:$F$1001,$O278))</f>
      </c>
      <c r="G278">
        <f>IF($O278="","",INDEX(Master!$G$2:$G$1001,$O278))</f>
      </c>
      <c r="H278">
        <f>IF($O278="","",INDEX(Master!$H$2:$H$1001,$O278))</f>
      </c>
      <c r="I278">
        <f>IF($O278="","",INDEX(Master!$I$2:$I$1001,$O278))</f>
      </c>
      <c r="J278">
        <f>IF($O278="","",INDEX(Master!$J$2:$J$1001,$O278))</f>
      </c>
      <c r="K278">
        <f t="shared" si="8"/>
      </c>
      <c r="L278">
        <f>IF($O278="","",INDEX(Master!$K$2:$K$1001,$O278))</f>
      </c>
      <c r="M278">
        <f>IF($O278="","",INDEX(Master!$L$2:$L$1001,$O278))</f>
      </c>
      <c r="O278">
        <f t="array" ref="O278">IFERROR(SMALL(IF((Master!$A$2:$A$1001="SHYAM METALLIKS")*(Master!$M$2:$M$1001="160 x 160 x 6MTR"),ROW(Master!$A$2:$A$1001)-ROW(Master!$A$2)+1),274),"")</f>
      </c>
      <c r="P278">
        <f t="shared" si="9"/>
      </c>
    </row>
    <row r="279" spans="1:16" x14ac:dyDescent="0.25">
      <c r="A279">
        <f>IF($O279="","",INDEX(Master!$D$2:$D$1001,$O279))</f>
      </c>
      <c r="B279">
        <f>IF($O279="","",INDEX(Master!$B$2:$B$1001,$O279))</f>
      </c>
      <c r="C279">
        <f>IF($O279="","",INDEX(Master!$C$2:$C$1001,$O279))</f>
      </c>
      <c r="D279">
        <f>IF($O279="","",INDEX(Master!$A$2:$A$1001,$O279))</f>
      </c>
      <c r="E279">
        <f>IF($O279="","",INDEX(Master!$E$2:$E$1001,$O279))</f>
      </c>
      <c r="F279">
        <f>IF($O279="","",INDEX(Master!$F$2:$F$1001,$O279))</f>
      </c>
      <c r="G279">
        <f>IF($O279="","",INDEX(Master!$G$2:$G$1001,$O279))</f>
      </c>
      <c r="H279">
        <f>IF($O279="","",INDEX(Master!$H$2:$H$1001,$O279))</f>
      </c>
      <c r="I279">
        <f>IF($O279="","",INDEX(Master!$I$2:$I$1001,$O279))</f>
      </c>
      <c r="J279">
        <f>IF($O279="","",INDEX(Master!$J$2:$J$1001,$O279))</f>
      </c>
      <c r="K279">
        <f t="shared" si="8"/>
      </c>
      <c r="L279">
        <f>IF($O279="","",INDEX(Master!$K$2:$K$1001,$O279))</f>
      </c>
      <c r="M279">
        <f>IF($O279="","",INDEX(Master!$L$2:$L$1001,$O279))</f>
      </c>
      <c r="O279">
        <f t="array" ref="O279">IFERROR(SMALL(IF((Master!$A$2:$A$1001="SHYAM METALLIKS")*(Master!$M$2:$M$1001="160 x 160 x 6MTR"),ROW(Master!$A$2:$A$1001)-ROW(Master!$A$2)+1),275),"")</f>
      </c>
      <c r="P279">
        <f t="shared" si="9"/>
      </c>
    </row>
    <row r="280" spans="1:16" x14ac:dyDescent="0.25">
      <c r="A280">
        <f>IF($O280="","",INDEX(Master!$D$2:$D$1001,$O280))</f>
      </c>
      <c r="B280">
        <f>IF($O280="","",INDEX(Master!$B$2:$B$1001,$O280))</f>
      </c>
      <c r="C280">
        <f>IF($O280="","",INDEX(Master!$C$2:$C$1001,$O280))</f>
      </c>
      <c r="D280">
        <f>IF($O280="","",INDEX(Master!$A$2:$A$1001,$O280))</f>
      </c>
      <c r="E280">
        <f>IF($O280="","",INDEX(Master!$E$2:$E$1001,$O280))</f>
      </c>
      <c r="F280">
        <f>IF($O280="","",INDEX(Master!$F$2:$F$1001,$O280))</f>
      </c>
      <c r="G280">
        <f>IF($O280="","",INDEX(Master!$G$2:$G$1001,$O280))</f>
      </c>
      <c r="H280">
        <f>IF($O280="","",INDEX(Master!$H$2:$H$1001,$O280))</f>
      </c>
      <c r="I280">
        <f>IF($O280="","",INDEX(Master!$I$2:$I$1001,$O280))</f>
      </c>
      <c r="J280">
        <f>IF($O280="","",INDEX(Master!$J$2:$J$1001,$O280))</f>
      </c>
      <c r="K280">
        <f t="shared" si="8"/>
      </c>
      <c r="L280">
        <f>IF($O280="","",INDEX(Master!$K$2:$K$1001,$O280))</f>
      </c>
      <c r="M280">
        <f>IF($O280="","",INDEX(Master!$L$2:$L$1001,$O280))</f>
      </c>
      <c r="O280">
        <f t="array" ref="O280">IFERROR(SMALL(IF((Master!$A$2:$A$1001="SHYAM METALLIKS")*(Master!$M$2:$M$1001="160 x 160 x 6MTR"),ROW(Master!$A$2:$A$1001)-ROW(Master!$A$2)+1),276),"")</f>
      </c>
      <c r="P280">
        <f t="shared" si="9"/>
      </c>
    </row>
    <row r="281" spans="1:16" x14ac:dyDescent="0.25">
      <c r="A281">
        <f>IF($O281="","",INDEX(Master!$D$2:$D$1001,$O281))</f>
      </c>
      <c r="B281">
        <f>IF($O281="","",INDEX(Master!$B$2:$B$1001,$O281))</f>
      </c>
      <c r="C281">
        <f>IF($O281="","",INDEX(Master!$C$2:$C$1001,$O281))</f>
      </c>
      <c r="D281">
        <f>IF($O281="","",INDEX(Master!$A$2:$A$1001,$O281))</f>
      </c>
      <c r="E281">
        <f>IF($O281="","",INDEX(Master!$E$2:$E$1001,$O281))</f>
      </c>
      <c r="F281">
        <f>IF($O281="","",INDEX(Master!$F$2:$F$1001,$O281))</f>
      </c>
      <c r="G281">
        <f>IF($O281="","",INDEX(Master!$G$2:$G$1001,$O281))</f>
      </c>
      <c r="H281">
        <f>IF($O281="","",INDEX(Master!$H$2:$H$1001,$O281))</f>
      </c>
      <c r="I281">
        <f>IF($O281="","",INDEX(Master!$I$2:$I$1001,$O281))</f>
      </c>
      <c r="J281">
        <f>IF($O281="","",INDEX(Master!$J$2:$J$1001,$O281))</f>
      </c>
      <c r="K281">
        <f t="shared" si="8"/>
      </c>
      <c r="L281">
        <f>IF($O281="","",INDEX(Master!$K$2:$K$1001,$O281))</f>
      </c>
      <c r="M281">
        <f>IF($O281="","",INDEX(Master!$L$2:$L$1001,$O281))</f>
      </c>
      <c r="O281">
        <f t="array" ref="O281">IFERROR(SMALL(IF((Master!$A$2:$A$1001="SHYAM METALLIKS")*(Master!$M$2:$M$1001="160 x 160 x 6MTR"),ROW(Master!$A$2:$A$1001)-ROW(Master!$A$2)+1),277),"")</f>
      </c>
      <c r="P281">
        <f t="shared" si="9"/>
      </c>
    </row>
    <row r="282" spans="1:16" x14ac:dyDescent="0.25">
      <c r="A282">
        <f>IF($O282="","",INDEX(Master!$D$2:$D$1001,$O282))</f>
      </c>
      <c r="B282">
        <f>IF($O282="","",INDEX(Master!$B$2:$B$1001,$O282))</f>
      </c>
      <c r="C282">
        <f>IF($O282="","",INDEX(Master!$C$2:$C$1001,$O282))</f>
      </c>
      <c r="D282">
        <f>IF($O282="","",INDEX(Master!$A$2:$A$1001,$O282))</f>
      </c>
      <c r="E282">
        <f>IF($O282="","",INDEX(Master!$E$2:$E$1001,$O282))</f>
      </c>
      <c r="F282">
        <f>IF($O282="","",INDEX(Master!$F$2:$F$1001,$O282))</f>
      </c>
      <c r="G282">
        <f>IF($O282="","",INDEX(Master!$G$2:$G$1001,$O282))</f>
      </c>
      <c r="H282">
        <f>IF($O282="","",INDEX(Master!$H$2:$H$1001,$O282))</f>
      </c>
      <c r="I282">
        <f>IF($O282="","",INDEX(Master!$I$2:$I$1001,$O282))</f>
      </c>
      <c r="J282">
        <f>IF($O282="","",INDEX(Master!$J$2:$J$1001,$O282))</f>
      </c>
      <c r="K282">
        <f t="shared" si="8"/>
      </c>
      <c r="L282">
        <f>IF($O282="","",INDEX(Master!$K$2:$K$1001,$O282))</f>
      </c>
      <c r="M282">
        <f>IF($O282="","",INDEX(Master!$L$2:$L$1001,$O282))</f>
      </c>
      <c r="O282">
        <f t="array" ref="O282">IFERROR(SMALL(IF((Master!$A$2:$A$1001="SHYAM METALLIKS")*(Master!$M$2:$M$1001="160 x 160 x 6MTR"),ROW(Master!$A$2:$A$1001)-ROW(Master!$A$2)+1),278),"")</f>
      </c>
      <c r="P282">
        <f t="shared" si="9"/>
      </c>
    </row>
    <row r="283" spans="1:16" x14ac:dyDescent="0.25">
      <c r="A283">
        <f>IF($O283="","",INDEX(Master!$D$2:$D$1001,$O283))</f>
      </c>
      <c r="B283">
        <f>IF($O283="","",INDEX(Master!$B$2:$B$1001,$O283))</f>
      </c>
      <c r="C283">
        <f>IF($O283="","",INDEX(Master!$C$2:$C$1001,$O283))</f>
      </c>
      <c r="D283">
        <f>IF($O283="","",INDEX(Master!$A$2:$A$1001,$O283))</f>
      </c>
      <c r="E283">
        <f>IF($O283="","",INDEX(Master!$E$2:$E$1001,$O283))</f>
      </c>
      <c r="F283">
        <f>IF($O283="","",INDEX(Master!$F$2:$F$1001,$O283))</f>
      </c>
      <c r="G283">
        <f>IF($O283="","",INDEX(Master!$G$2:$G$1001,$O283))</f>
      </c>
      <c r="H283">
        <f>IF($O283="","",INDEX(Master!$H$2:$H$1001,$O283))</f>
      </c>
      <c r="I283">
        <f>IF($O283="","",INDEX(Master!$I$2:$I$1001,$O283))</f>
      </c>
      <c r="J283">
        <f>IF($O283="","",INDEX(Master!$J$2:$J$1001,$O283))</f>
      </c>
      <c r="K283">
        <f t="shared" si="8"/>
      </c>
      <c r="L283">
        <f>IF($O283="","",INDEX(Master!$K$2:$K$1001,$O283))</f>
      </c>
      <c r="M283">
        <f>IF($O283="","",INDEX(Master!$L$2:$L$1001,$O283))</f>
      </c>
      <c r="O283">
        <f t="array" ref="O283">IFERROR(SMALL(IF((Master!$A$2:$A$1001="SHYAM METALLIKS")*(Master!$M$2:$M$1001="160 x 160 x 6MTR"),ROW(Master!$A$2:$A$1001)-ROW(Master!$A$2)+1),279),"")</f>
      </c>
      <c r="P283">
        <f t="shared" si="9"/>
      </c>
    </row>
    <row r="284" spans="1:16" x14ac:dyDescent="0.25">
      <c r="A284">
        <f>IF($O284="","",INDEX(Master!$D$2:$D$1001,$O284))</f>
      </c>
      <c r="B284">
        <f>IF($O284="","",INDEX(Master!$B$2:$B$1001,$O284))</f>
      </c>
      <c r="C284">
        <f>IF($O284="","",INDEX(Master!$C$2:$C$1001,$O284))</f>
      </c>
      <c r="D284">
        <f>IF($O284="","",INDEX(Master!$A$2:$A$1001,$O284))</f>
      </c>
      <c r="E284">
        <f>IF($O284="","",INDEX(Master!$E$2:$E$1001,$O284))</f>
      </c>
      <c r="F284">
        <f>IF($O284="","",INDEX(Master!$F$2:$F$1001,$O284))</f>
      </c>
      <c r="G284">
        <f>IF($O284="","",INDEX(Master!$G$2:$G$1001,$O284))</f>
      </c>
      <c r="H284">
        <f>IF($O284="","",INDEX(Master!$H$2:$H$1001,$O284))</f>
      </c>
      <c r="I284">
        <f>IF($O284="","",INDEX(Master!$I$2:$I$1001,$O284))</f>
      </c>
      <c r="J284">
        <f>IF($O284="","",INDEX(Master!$J$2:$J$1001,$O284))</f>
      </c>
      <c r="K284">
        <f t="shared" si="8"/>
      </c>
      <c r="L284">
        <f>IF($O284="","",INDEX(Master!$K$2:$K$1001,$O284))</f>
      </c>
      <c r="M284">
        <f>IF($O284="","",INDEX(Master!$L$2:$L$1001,$O284))</f>
      </c>
      <c r="O284">
        <f t="array" ref="O284">IFERROR(SMALL(IF((Master!$A$2:$A$1001="SHYAM METALLIKS")*(Master!$M$2:$M$1001="160 x 160 x 6MTR"),ROW(Master!$A$2:$A$1001)-ROW(Master!$A$2)+1),280),"")</f>
      </c>
      <c r="P284">
        <f t="shared" si="9"/>
      </c>
    </row>
    <row r="285" spans="1:16" x14ac:dyDescent="0.25">
      <c r="A285">
        <f>IF($O285="","",INDEX(Master!$D$2:$D$1001,$O285))</f>
      </c>
      <c r="B285">
        <f>IF($O285="","",INDEX(Master!$B$2:$B$1001,$O285))</f>
      </c>
      <c r="C285">
        <f>IF($O285="","",INDEX(Master!$C$2:$C$1001,$O285))</f>
      </c>
      <c r="D285">
        <f>IF($O285="","",INDEX(Master!$A$2:$A$1001,$O285))</f>
      </c>
      <c r="E285">
        <f>IF($O285="","",INDEX(Master!$E$2:$E$1001,$O285))</f>
      </c>
      <c r="F285">
        <f>IF($O285="","",INDEX(Master!$F$2:$F$1001,$O285))</f>
      </c>
      <c r="G285">
        <f>IF($O285="","",INDEX(Master!$G$2:$G$1001,$O285))</f>
      </c>
      <c r="H285">
        <f>IF($O285="","",INDEX(Master!$H$2:$H$1001,$O285))</f>
      </c>
      <c r="I285">
        <f>IF($O285="","",INDEX(Master!$I$2:$I$1001,$O285))</f>
      </c>
      <c r="J285">
        <f>IF($O285="","",INDEX(Master!$J$2:$J$1001,$O285))</f>
      </c>
      <c r="K285">
        <f t="shared" si="8"/>
      </c>
      <c r="L285">
        <f>IF($O285="","",INDEX(Master!$K$2:$K$1001,$O285))</f>
      </c>
      <c r="M285">
        <f>IF($O285="","",INDEX(Master!$L$2:$L$1001,$O285))</f>
      </c>
      <c r="O285">
        <f t="array" ref="O285">IFERROR(SMALL(IF((Master!$A$2:$A$1001="SHYAM METALLIKS")*(Master!$M$2:$M$1001="160 x 160 x 6MTR"),ROW(Master!$A$2:$A$1001)-ROW(Master!$A$2)+1),281),"")</f>
      </c>
      <c r="P285">
        <f t="shared" si="9"/>
      </c>
    </row>
    <row r="286" spans="1:16" x14ac:dyDescent="0.25">
      <c r="A286">
        <f>IF($O286="","",INDEX(Master!$D$2:$D$1001,$O286))</f>
      </c>
      <c r="B286">
        <f>IF($O286="","",INDEX(Master!$B$2:$B$1001,$O286))</f>
      </c>
      <c r="C286">
        <f>IF($O286="","",INDEX(Master!$C$2:$C$1001,$O286))</f>
      </c>
      <c r="D286">
        <f>IF($O286="","",INDEX(Master!$A$2:$A$1001,$O286))</f>
      </c>
      <c r="E286">
        <f>IF($O286="","",INDEX(Master!$E$2:$E$1001,$O286))</f>
      </c>
      <c r="F286">
        <f>IF($O286="","",INDEX(Master!$F$2:$F$1001,$O286))</f>
      </c>
      <c r="G286">
        <f>IF($O286="","",INDEX(Master!$G$2:$G$1001,$O286))</f>
      </c>
      <c r="H286">
        <f>IF($O286="","",INDEX(Master!$H$2:$H$1001,$O286))</f>
      </c>
      <c r="I286">
        <f>IF($O286="","",INDEX(Master!$I$2:$I$1001,$O286))</f>
      </c>
      <c r="J286">
        <f>IF($O286="","",INDEX(Master!$J$2:$J$1001,$O286))</f>
      </c>
      <c r="K286">
        <f t="shared" si="8"/>
      </c>
      <c r="L286">
        <f>IF($O286="","",INDEX(Master!$K$2:$K$1001,$O286))</f>
      </c>
      <c r="M286">
        <f>IF($O286="","",INDEX(Master!$L$2:$L$1001,$O286))</f>
      </c>
      <c r="O286">
        <f t="array" ref="O286">IFERROR(SMALL(IF((Master!$A$2:$A$1001="SHYAM METALLIKS")*(Master!$M$2:$M$1001="160 x 160 x 6MTR"),ROW(Master!$A$2:$A$1001)-ROW(Master!$A$2)+1),282),"")</f>
      </c>
      <c r="P286">
        <f t="shared" si="9"/>
      </c>
    </row>
    <row r="287" spans="1:16" x14ac:dyDescent="0.25">
      <c r="A287">
        <f>IF($O287="","",INDEX(Master!$D$2:$D$1001,$O287))</f>
      </c>
      <c r="B287">
        <f>IF($O287="","",INDEX(Master!$B$2:$B$1001,$O287))</f>
      </c>
      <c r="C287">
        <f>IF($O287="","",INDEX(Master!$C$2:$C$1001,$O287))</f>
      </c>
      <c r="D287">
        <f>IF($O287="","",INDEX(Master!$A$2:$A$1001,$O287))</f>
      </c>
      <c r="E287">
        <f>IF($O287="","",INDEX(Master!$E$2:$E$1001,$O287))</f>
      </c>
      <c r="F287">
        <f>IF($O287="","",INDEX(Master!$F$2:$F$1001,$O287))</f>
      </c>
      <c r="G287">
        <f>IF($O287="","",INDEX(Master!$G$2:$G$1001,$O287))</f>
      </c>
      <c r="H287">
        <f>IF($O287="","",INDEX(Master!$H$2:$H$1001,$O287))</f>
      </c>
      <c r="I287">
        <f>IF($O287="","",INDEX(Master!$I$2:$I$1001,$O287))</f>
      </c>
      <c r="J287">
        <f>IF($O287="","",INDEX(Master!$J$2:$J$1001,$O287))</f>
      </c>
      <c r="K287">
        <f t="shared" si="8"/>
      </c>
      <c r="L287">
        <f>IF($O287="","",INDEX(Master!$K$2:$K$1001,$O287))</f>
      </c>
      <c r="M287">
        <f>IF($O287="","",INDEX(Master!$L$2:$L$1001,$O287))</f>
      </c>
      <c r="O287">
        <f t="array" ref="O287">IFERROR(SMALL(IF((Master!$A$2:$A$1001="SHYAM METALLIKS")*(Master!$M$2:$M$1001="160 x 160 x 6MTR"),ROW(Master!$A$2:$A$1001)-ROW(Master!$A$2)+1),283),"")</f>
      </c>
      <c r="P287">
        <f t="shared" si="9"/>
      </c>
    </row>
    <row r="288" spans="1:16" x14ac:dyDescent="0.25">
      <c r="A288">
        <f>IF($O288="","",INDEX(Master!$D$2:$D$1001,$O288))</f>
      </c>
      <c r="B288">
        <f>IF($O288="","",INDEX(Master!$B$2:$B$1001,$O288))</f>
      </c>
      <c r="C288">
        <f>IF($O288="","",INDEX(Master!$C$2:$C$1001,$O288))</f>
      </c>
      <c r="D288">
        <f>IF($O288="","",INDEX(Master!$A$2:$A$1001,$O288))</f>
      </c>
      <c r="E288">
        <f>IF($O288="","",INDEX(Master!$E$2:$E$1001,$O288))</f>
      </c>
      <c r="F288">
        <f>IF($O288="","",INDEX(Master!$F$2:$F$1001,$O288))</f>
      </c>
      <c r="G288">
        <f>IF($O288="","",INDEX(Master!$G$2:$G$1001,$O288))</f>
      </c>
      <c r="H288">
        <f>IF($O288="","",INDEX(Master!$H$2:$H$1001,$O288))</f>
      </c>
      <c r="I288">
        <f>IF($O288="","",INDEX(Master!$I$2:$I$1001,$O288))</f>
      </c>
      <c r="J288">
        <f>IF($O288="","",INDEX(Master!$J$2:$J$1001,$O288))</f>
      </c>
      <c r="K288">
        <f t="shared" si="8"/>
      </c>
      <c r="L288">
        <f>IF($O288="","",INDEX(Master!$K$2:$K$1001,$O288))</f>
      </c>
      <c r="M288">
        <f>IF($O288="","",INDEX(Master!$L$2:$L$1001,$O288))</f>
      </c>
      <c r="O288">
        <f t="array" ref="O288">IFERROR(SMALL(IF((Master!$A$2:$A$1001="SHYAM METALLIKS")*(Master!$M$2:$M$1001="160 x 160 x 6MTR"),ROW(Master!$A$2:$A$1001)-ROW(Master!$A$2)+1),284),"")</f>
      </c>
      <c r="P288">
        <f t="shared" si="9"/>
      </c>
    </row>
    <row r="289" spans="1:16" x14ac:dyDescent="0.25">
      <c r="A289">
        <f>IF($O289="","",INDEX(Master!$D$2:$D$1001,$O289))</f>
      </c>
      <c r="B289">
        <f>IF($O289="","",INDEX(Master!$B$2:$B$1001,$O289))</f>
      </c>
      <c r="C289">
        <f>IF($O289="","",INDEX(Master!$C$2:$C$1001,$O289))</f>
      </c>
      <c r="D289">
        <f>IF($O289="","",INDEX(Master!$A$2:$A$1001,$O289))</f>
      </c>
      <c r="E289">
        <f>IF($O289="","",INDEX(Master!$E$2:$E$1001,$O289))</f>
      </c>
      <c r="F289">
        <f>IF($O289="","",INDEX(Master!$F$2:$F$1001,$O289))</f>
      </c>
      <c r="G289">
        <f>IF($O289="","",INDEX(Master!$G$2:$G$1001,$O289))</f>
      </c>
      <c r="H289">
        <f>IF($O289="","",INDEX(Master!$H$2:$H$1001,$O289))</f>
      </c>
      <c r="I289">
        <f>IF($O289="","",INDEX(Master!$I$2:$I$1001,$O289))</f>
      </c>
      <c r="J289">
        <f>IF($O289="","",INDEX(Master!$J$2:$J$1001,$O289))</f>
      </c>
      <c r="K289">
        <f t="shared" si="8"/>
      </c>
      <c r="L289">
        <f>IF($O289="","",INDEX(Master!$K$2:$K$1001,$O289))</f>
      </c>
      <c r="M289">
        <f>IF($O289="","",INDEX(Master!$L$2:$L$1001,$O289))</f>
      </c>
      <c r="O289">
        <f t="array" ref="O289">IFERROR(SMALL(IF((Master!$A$2:$A$1001="SHYAM METALLIKS")*(Master!$M$2:$M$1001="160 x 160 x 6MTR"),ROW(Master!$A$2:$A$1001)-ROW(Master!$A$2)+1),285),"")</f>
      </c>
      <c r="P289">
        <f t="shared" si="9"/>
      </c>
    </row>
    <row r="290" spans="1:16" x14ac:dyDescent="0.25">
      <c r="A290">
        <f>IF($O290="","",INDEX(Master!$D$2:$D$1001,$O290))</f>
      </c>
      <c r="B290">
        <f>IF($O290="","",INDEX(Master!$B$2:$B$1001,$O290))</f>
      </c>
      <c r="C290">
        <f>IF($O290="","",INDEX(Master!$C$2:$C$1001,$O290))</f>
      </c>
      <c r="D290">
        <f>IF($O290="","",INDEX(Master!$A$2:$A$1001,$O290))</f>
      </c>
      <c r="E290">
        <f>IF($O290="","",INDEX(Master!$E$2:$E$1001,$O290))</f>
      </c>
      <c r="F290">
        <f>IF($O290="","",INDEX(Master!$F$2:$F$1001,$O290))</f>
      </c>
      <c r="G290">
        <f>IF($O290="","",INDEX(Master!$G$2:$G$1001,$O290))</f>
      </c>
      <c r="H290">
        <f>IF($O290="","",INDEX(Master!$H$2:$H$1001,$O290))</f>
      </c>
      <c r="I290">
        <f>IF($O290="","",INDEX(Master!$I$2:$I$1001,$O290))</f>
      </c>
      <c r="J290">
        <f>IF($O290="","",INDEX(Master!$J$2:$J$1001,$O290))</f>
      </c>
      <c r="K290">
        <f t="shared" si="8"/>
      </c>
      <c r="L290">
        <f>IF($O290="","",INDEX(Master!$K$2:$K$1001,$O290))</f>
      </c>
      <c r="M290">
        <f>IF($O290="","",INDEX(Master!$L$2:$L$1001,$O290))</f>
      </c>
      <c r="O290">
        <f t="array" ref="O290">IFERROR(SMALL(IF((Master!$A$2:$A$1001="SHYAM METALLIKS")*(Master!$M$2:$M$1001="160 x 160 x 6MTR"),ROW(Master!$A$2:$A$1001)-ROW(Master!$A$2)+1),286),"")</f>
      </c>
      <c r="P290">
        <f t="shared" si="9"/>
      </c>
    </row>
    <row r="291" spans="1:16" x14ac:dyDescent="0.25">
      <c r="A291">
        <f>IF($O291="","",INDEX(Master!$D$2:$D$1001,$O291))</f>
      </c>
      <c r="B291">
        <f>IF($O291="","",INDEX(Master!$B$2:$B$1001,$O291))</f>
      </c>
      <c r="C291">
        <f>IF($O291="","",INDEX(Master!$C$2:$C$1001,$O291))</f>
      </c>
      <c r="D291">
        <f>IF($O291="","",INDEX(Master!$A$2:$A$1001,$O291))</f>
      </c>
      <c r="E291">
        <f>IF($O291="","",INDEX(Master!$E$2:$E$1001,$O291))</f>
      </c>
      <c r="F291">
        <f>IF($O291="","",INDEX(Master!$F$2:$F$1001,$O291))</f>
      </c>
      <c r="G291">
        <f>IF($O291="","",INDEX(Master!$G$2:$G$1001,$O291))</f>
      </c>
      <c r="H291">
        <f>IF($O291="","",INDEX(Master!$H$2:$H$1001,$O291))</f>
      </c>
      <c r="I291">
        <f>IF($O291="","",INDEX(Master!$I$2:$I$1001,$O291))</f>
      </c>
      <c r="J291">
        <f>IF($O291="","",INDEX(Master!$J$2:$J$1001,$O291))</f>
      </c>
      <c r="K291">
        <f t="shared" si="8"/>
      </c>
      <c r="L291">
        <f>IF($O291="","",INDEX(Master!$K$2:$K$1001,$O291))</f>
      </c>
      <c r="M291">
        <f>IF($O291="","",INDEX(Master!$L$2:$L$1001,$O291))</f>
      </c>
      <c r="O291">
        <f t="array" ref="O291">IFERROR(SMALL(IF((Master!$A$2:$A$1001="SHYAM METALLIKS")*(Master!$M$2:$M$1001="160 x 160 x 6MTR"),ROW(Master!$A$2:$A$1001)-ROW(Master!$A$2)+1),287),"")</f>
      </c>
      <c r="P291">
        <f t="shared" si="9"/>
      </c>
    </row>
    <row r="292" spans="1:16" x14ac:dyDescent="0.25">
      <c r="A292">
        <f>IF($O292="","",INDEX(Master!$D$2:$D$1001,$O292))</f>
      </c>
      <c r="B292">
        <f>IF($O292="","",INDEX(Master!$B$2:$B$1001,$O292))</f>
      </c>
      <c r="C292">
        <f>IF($O292="","",INDEX(Master!$C$2:$C$1001,$O292))</f>
      </c>
      <c r="D292">
        <f>IF($O292="","",INDEX(Master!$A$2:$A$1001,$O292))</f>
      </c>
      <c r="E292">
        <f>IF($O292="","",INDEX(Master!$E$2:$E$1001,$O292))</f>
      </c>
      <c r="F292">
        <f>IF($O292="","",INDEX(Master!$F$2:$F$1001,$O292))</f>
      </c>
      <c r="G292">
        <f>IF($O292="","",INDEX(Master!$G$2:$G$1001,$O292))</f>
      </c>
      <c r="H292">
        <f>IF($O292="","",INDEX(Master!$H$2:$H$1001,$O292))</f>
      </c>
      <c r="I292">
        <f>IF($O292="","",INDEX(Master!$I$2:$I$1001,$O292))</f>
      </c>
      <c r="J292">
        <f>IF($O292="","",INDEX(Master!$J$2:$J$1001,$O292))</f>
      </c>
      <c r="K292">
        <f t="shared" si="8"/>
      </c>
      <c r="L292">
        <f>IF($O292="","",INDEX(Master!$K$2:$K$1001,$O292))</f>
      </c>
      <c r="M292">
        <f>IF($O292="","",INDEX(Master!$L$2:$L$1001,$O292))</f>
      </c>
      <c r="O292">
        <f t="array" ref="O292">IFERROR(SMALL(IF((Master!$A$2:$A$1001="SHYAM METALLIKS")*(Master!$M$2:$M$1001="160 x 160 x 6MTR"),ROW(Master!$A$2:$A$1001)-ROW(Master!$A$2)+1),288),"")</f>
      </c>
      <c r="P292">
        <f t="shared" si="9"/>
      </c>
    </row>
    <row r="293" spans="1:16" x14ac:dyDescent="0.25">
      <c r="A293">
        <f>IF($O293="","",INDEX(Master!$D$2:$D$1001,$O293))</f>
      </c>
      <c r="B293">
        <f>IF($O293="","",INDEX(Master!$B$2:$B$1001,$O293))</f>
      </c>
      <c r="C293">
        <f>IF($O293="","",INDEX(Master!$C$2:$C$1001,$O293))</f>
      </c>
      <c r="D293">
        <f>IF($O293="","",INDEX(Master!$A$2:$A$1001,$O293))</f>
      </c>
      <c r="E293">
        <f>IF($O293="","",INDEX(Master!$E$2:$E$1001,$O293))</f>
      </c>
      <c r="F293">
        <f>IF($O293="","",INDEX(Master!$F$2:$F$1001,$O293))</f>
      </c>
      <c r="G293">
        <f>IF($O293="","",INDEX(Master!$G$2:$G$1001,$O293))</f>
      </c>
      <c r="H293">
        <f>IF($O293="","",INDEX(Master!$H$2:$H$1001,$O293))</f>
      </c>
      <c r="I293">
        <f>IF($O293="","",INDEX(Master!$I$2:$I$1001,$O293))</f>
      </c>
      <c r="J293">
        <f>IF($O293="","",INDEX(Master!$J$2:$J$1001,$O293))</f>
      </c>
      <c r="K293">
        <f t="shared" si="8"/>
      </c>
      <c r="L293">
        <f>IF($O293="","",INDEX(Master!$K$2:$K$1001,$O293))</f>
      </c>
      <c r="M293">
        <f>IF($O293="","",INDEX(Master!$L$2:$L$1001,$O293))</f>
      </c>
      <c r="O293">
        <f t="array" ref="O293">IFERROR(SMALL(IF((Master!$A$2:$A$1001="SHYAM METALLIKS")*(Master!$M$2:$M$1001="160 x 160 x 6MTR"),ROW(Master!$A$2:$A$1001)-ROW(Master!$A$2)+1),289),"")</f>
      </c>
      <c r="P293">
        <f t="shared" si="9"/>
      </c>
    </row>
    <row r="294" spans="1:16" x14ac:dyDescent="0.25">
      <c r="A294">
        <f>IF($O294="","",INDEX(Master!$D$2:$D$1001,$O294))</f>
      </c>
      <c r="B294">
        <f>IF($O294="","",INDEX(Master!$B$2:$B$1001,$O294))</f>
      </c>
      <c r="C294">
        <f>IF($O294="","",INDEX(Master!$C$2:$C$1001,$O294))</f>
      </c>
      <c r="D294">
        <f>IF($O294="","",INDEX(Master!$A$2:$A$1001,$O294))</f>
      </c>
      <c r="E294">
        <f>IF($O294="","",INDEX(Master!$E$2:$E$1001,$O294))</f>
      </c>
      <c r="F294">
        <f>IF($O294="","",INDEX(Master!$F$2:$F$1001,$O294))</f>
      </c>
      <c r="G294">
        <f>IF($O294="","",INDEX(Master!$G$2:$G$1001,$O294))</f>
      </c>
      <c r="H294">
        <f>IF($O294="","",INDEX(Master!$H$2:$H$1001,$O294))</f>
      </c>
      <c r="I294">
        <f>IF($O294="","",INDEX(Master!$I$2:$I$1001,$O294))</f>
      </c>
      <c r="J294">
        <f>IF($O294="","",INDEX(Master!$J$2:$J$1001,$O294))</f>
      </c>
      <c r="K294">
        <f t="shared" si="8"/>
      </c>
      <c r="L294">
        <f>IF($O294="","",INDEX(Master!$K$2:$K$1001,$O294))</f>
      </c>
      <c r="M294">
        <f>IF($O294="","",INDEX(Master!$L$2:$L$1001,$O294))</f>
      </c>
      <c r="O294">
        <f t="array" ref="O294">IFERROR(SMALL(IF((Master!$A$2:$A$1001="SHYAM METALLIKS")*(Master!$M$2:$M$1001="160 x 160 x 6MTR"),ROW(Master!$A$2:$A$1001)-ROW(Master!$A$2)+1),290),"")</f>
      </c>
      <c r="P294">
        <f t="shared" si="9"/>
      </c>
    </row>
    <row r="295" spans="1:16" x14ac:dyDescent="0.25">
      <c r="A295">
        <f>IF($O295="","",INDEX(Master!$D$2:$D$1001,$O295))</f>
      </c>
      <c r="B295">
        <f>IF($O295="","",INDEX(Master!$B$2:$B$1001,$O295))</f>
      </c>
      <c r="C295">
        <f>IF($O295="","",INDEX(Master!$C$2:$C$1001,$O295))</f>
      </c>
      <c r="D295">
        <f>IF($O295="","",INDEX(Master!$A$2:$A$1001,$O295))</f>
      </c>
      <c r="E295">
        <f>IF($O295="","",INDEX(Master!$E$2:$E$1001,$O295))</f>
      </c>
      <c r="F295">
        <f>IF($O295="","",INDEX(Master!$F$2:$F$1001,$O295))</f>
      </c>
      <c r="G295">
        <f>IF($O295="","",INDEX(Master!$G$2:$G$1001,$O295))</f>
      </c>
      <c r="H295">
        <f>IF($O295="","",INDEX(Master!$H$2:$H$1001,$O295))</f>
      </c>
      <c r="I295">
        <f>IF($O295="","",INDEX(Master!$I$2:$I$1001,$O295))</f>
      </c>
      <c r="J295">
        <f>IF($O295="","",INDEX(Master!$J$2:$J$1001,$O295))</f>
      </c>
      <c r="K295">
        <f t="shared" si="8"/>
      </c>
      <c r="L295">
        <f>IF($O295="","",INDEX(Master!$K$2:$K$1001,$O295))</f>
      </c>
      <c r="M295">
        <f>IF($O295="","",INDEX(Master!$L$2:$L$1001,$O295))</f>
      </c>
      <c r="O295">
        <f t="array" ref="O295">IFERROR(SMALL(IF((Master!$A$2:$A$1001="SHYAM METALLIKS")*(Master!$M$2:$M$1001="160 x 160 x 6MTR"),ROW(Master!$A$2:$A$1001)-ROW(Master!$A$2)+1),291),"")</f>
      </c>
      <c r="P295">
        <f t="shared" si="9"/>
      </c>
    </row>
    <row r="296" spans="1:16" x14ac:dyDescent="0.25">
      <c r="A296">
        <f>IF($O296="","",INDEX(Master!$D$2:$D$1001,$O296))</f>
      </c>
      <c r="B296">
        <f>IF($O296="","",INDEX(Master!$B$2:$B$1001,$O296))</f>
      </c>
      <c r="C296">
        <f>IF($O296="","",INDEX(Master!$C$2:$C$1001,$O296))</f>
      </c>
      <c r="D296">
        <f>IF($O296="","",INDEX(Master!$A$2:$A$1001,$O296))</f>
      </c>
      <c r="E296">
        <f>IF($O296="","",INDEX(Master!$E$2:$E$1001,$O296))</f>
      </c>
      <c r="F296">
        <f>IF($O296="","",INDEX(Master!$F$2:$F$1001,$O296))</f>
      </c>
      <c r="G296">
        <f>IF($O296="","",INDEX(Master!$G$2:$G$1001,$O296))</f>
      </c>
      <c r="H296">
        <f>IF($O296="","",INDEX(Master!$H$2:$H$1001,$O296))</f>
      </c>
      <c r="I296">
        <f>IF($O296="","",INDEX(Master!$I$2:$I$1001,$O296))</f>
      </c>
      <c r="J296">
        <f>IF($O296="","",INDEX(Master!$J$2:$J$1001,$O296))</f>
      </c>
      <c r="K296">
        <f t="shared" si="8"/>
      </c>
      <c r="L296">
        <f>IF($O296="","",INDEX(Master!$K$2:$K$1001,$O296))</f>
      </c>
      <c r="M296">
        <f>IF($O296="","",INDEX(Master!$L$2:$L$1001,$O296))</f>
      </c>
      <c r="O296">
        <f t="array" ref="O296">IFERROR(SMALL(IF((Master!$A$2:$A$1001="SHYAM METALLIKS")*(Master!$M$2:$M$1001="160 x 160 x 6MTR"),ROW(Master!$A$2:$A$1001)-ROW(Master!$A$2)+1),292),"")</f>
      </c>
      <c r="P296">
        <f t="shared" si="9"/>
      </c>
    </row>
    <row r="297" spans="1:16" x14ac:dyDescent="0.25">
      <c r="A297">
        <f>IF($O297="","",INDEX(Master!$D$2:$D$1001,$O297))</f>
      </c>
      <c r="B297">
        <f>IF($O297="","",INDEX(Master!$B$2:$B$1001,$O297))</f>
      </c>
      <c r="C297">
        <f>IF($O297="","",INDEX(Master!$C$2:$C$1001,$O297))</f>
      </c>
      <c r="D297">
        <f>IF($O297="","",INDEX(Master!$A$2:$A$1001,$O297))</f>
      </c>
      <c r="E297">
        <f>IF($O297="","",INDEX(Master!$E$2:$E$1001,$O297))</f>
      </c>
      <c r="F297">
        <f>IF($O297="","",INDEX(Master!$F$2:$F$1001,$O297))</f>
      </c>
      <c r="G297">
        <f>IF($O297="","",INDEX(Master!$G$2:$G$1001,$O297))</f>
      </c>
      <c r="H297">
        <f>IF($O297="","",INDEX(Master!$H$2:$H$1001,$O297))</f>
      </c>
      <c r="I297">
        <f>IF($O297="","",INDEX(Master!$I$2:$I$1001,$O297))</f>
      </c>
      <c r="J297">
        <f>IF($O297="","",INDEX(Master!$J$2:$J$1001,$O297))</f>
      </c>
      <c r="K297">
        <f t="shared" si="8"/>
      </c>
      <c r="L297">
        <f>IF($O297="","",INDEX(Master!$K$2:$K$1001,$O297))</f>
      </c>
      <c r="M297">
        <f>IF($O297="","",INDEX(Master!$L$2:$L$1001,$O297))</f>
      </c>
      <c r="O297">
        <f t="array" ref="O297">IFERROR(SMALL(IF((Master!$A$2:$A$1001="SHYAM METALLIKS")*(Master!$M$2:$M$1001="160 x 160 x 6MTR"),ROW(Master!$A$2:$A$1001)-ROW(Master!$A$2)+1),293),"")</f>
      </c>
      <c r="P297">
        <f t="shared" si="9"/>
      </c>
    </row>
    <row r="298" spans="1:16" x14ac:dyDescent="0.25">
      <c r="A298">
        <f>IF($O298="","",INDEX(Master!$D$2:$D$1001,$O298))</f>
      </c>
      <c r="B298">
        <f>IF($O298="","",INDEX(Master!$B$2:$B$1001,$O298))</f>
      </c>
      <c r="C298">
        <f>IF($O298="","",INDEX(Master!$C$2:$C$1001,$O298))</f>
      </c>
      <c r="D298">
        <f>IF($O298="","",INDEX(Master!$A$2:$A$1001,$O298))</f>
      </c>
      <c r="E298">
        <f>IF($O298="","",INDEX(Master!$E$2:$E$1001,$O298))</f>
      </c>
      <c r="F298">
        <f>IF($O298="","",INDEX(Master!$F$2:$F$1001,$O298))</f>
      </c>
      <c r="G298">
        <f>IF($O298="","",INDEX(Master!$G$2:$G$1001,$O298))</f>
      </c>
      <c r="H298">
        <f>IF($O298="","",INDEX(Master!$H$2:$H$1001,$O298))</f>
      </c>
      <c r="I298">
        <f>IF($O298="","",INDEX(Master!$I$2:$I$1001,$O298))</f>
      </c>
      <c r="J298">
        <f>IF($O298="","",INDEX(Master!$J$2:$J$1001,$O298))</f>
      </c>
      <c r="K298">
        <f t="shared" si="8"/>
      </c>
      <c r="L298">
        <f>IF($O298="","",INDEX(Master!$K$2:$K$1001,$O298))</f>
      </c>
      <c r="M298">
        <f>IF($O298="","",INDEX(Master!$L$2:$L$1001,$O298))</f>
      </c>
      <c r="O298">
        <f t="array" ref="O298">IFERROR(SMALL(IF((Master!$A$2:$A$1001="SHYAM METALLIKS")*(Master!$M$2:$M$1001="160 x 160 x 6MTR"),ROW(Master!$A$2:$A$1001)-ROW(Master!$A$2)+1),294),"")</f>
      </c>
      <c r="P298">
        <f t="shared" si="9"/>
      </c>
    </row>
    <row r="299" spans="1:16" x14ac:dyDescent="0.25">
      <c r="A299">
        <f>IF($O299="","",INDEX(Master!$D$2:$D$1001,$O299))</f>
      </c>
      <c r="B299">
        <f>IF($O299="","",INDEX(Master!$B$2:$B$1001,$O299))</f>
      </c>
      <c r="C299">
        <f>IF($O299="","",INDEX(Master!$C$2:$C$1001,$O299))</f>
      </c>
      <c r="D299">
        <f>IF($O299="","",INDEX(Master!$A$2:$A$1001,$O299))</f>
      </c>
      <c r="E299">
        <f>IF($O299="","",INDEX(Master!$E$2:$E$1001,$O299))</f>
      </c>
      <c r="F299">
        <f>IF($O299="","",INDEX(Master!$F$2:$F$1001,$O299))</f>
      </c>
      <c r="G299">
        <f>IF($O299="","",INDEX(Master!$G$2:$G$1001,$O299))</f>
      </c>
      <c r="H299">
        <f>IF($O299="","",INDEX(Master!$H$2:$H$1001,$O299))</f>
      </c>
      <c r="I299">
        <f>IF($O299="","",INDEX(Master!$I$2:$I$1001,$O299))</f>
      </c>
      <c r="J299">
        <f>IF($O299="","",INDEX(Master!$J$2:$J$1001,$O299))</f>
      </c>
      <c r="K299">
        <f t="shared" si="8"/>
      </c>
      <c r="L299">
        <f>IF($O299="","",INDEX(Master!$K$2:$K$1001,$O299))</f>
      </c>
      <c r="M299">
        <f>IF($O299="","",INDEX(Master!$L$2:$L$1001,$O299))</f>
      </c>
      <c r="O299">
        <f t="array" ref="O299">IFERROR(SMALL(IF((Master!$A$2:$A$1001="SHYAM METALLIKS")*(Master!$M$2:$M$1001="160 x 160 x 6MTR"),ROW(Master!$A$2:$A$1001)-ROW(Master!$A$2)+1),295),"")</f>
      </c>
      <c r="P299">
        <f t="shared" si="9"/>
      </c>
    </row>
    <row r="300" spans="1:16" x14ac:dyDescent="0.25">
      <c r="A300">
        <f>IF($O300="","",INDEX(Master!$D$2:$D$1001,$O300))</f>
      </c>
      <c r="B300">
        <f>IF($O300="","",INDEX(Master!$B$2:$B$1001,$O300))</f>
      </c>
      <c r="C300">
        <f>IF($O300="","",INDEX(Master!$C$2:$C$1001,$O300))</f>
      </c>
      <c r="D300">
        <f>IF($O300="","",INDEX(Master!$A$2:$A$1001,$O300))</f>
      </c>
      <c r="E300">
        <f>IF($O300="","",INDEX(Master!$E$2:$E$1001,$O300))</f>
      </c>
      <c r="F300">
        <f>IF($O300="","",INDEX(Master!$F$2:$F$1001,$O300))</f>
      </c>
      <c r="G300">
        <f>IF($O300="","",INDEX(Master!$G$2:$G$1001,$O300))</f>
      </c>
      <c r="H300">
        <f>IF($O300="","",INDEX(Master!$H$2:$H$1001,$O300))</f>
      </c>
      <c r="I300">
        <f>IF($O300="","",INDEX(Master!$I$2:$I$1001,$O300))</f>
      </c>
      <c r="J300">
        <f>IF($O300="","",INDEX(Master!$J$2:$J$1001,$O300))</f>
      </c>
      <c r="K300">
        <f t="shared" si="8"/>
      </c>
      <c r="L300">
        <f>IF($O300="","",INDEX(Master!$K$2:$K$1001,$O300))</f>
      </c>
      <c r="M300">
        <f>IF($O300="","",INDEX(Master!$L$2:$L$1001,$O300))</f>
      </c>
      <c r="O300">
        <f t="array" ref="O300">IFERROR(SMALL(IF((Master!$A$2:$A$1001="SHYAM METALLIKS")*(Master!$M$2:$M$1001="160 x 160 x 6MTR"),ROW(Master!$A$2:$A$1001)-ROW(Master!$A$2)+1),296),"")</f>
      </c>
      <c r="P300">
        <f t="shared" si="9"/>
      </c>
    </row>
    <row r="301" spans="1:16" x14ac:dyDescent="0.25">
      <c r="A301">
        <f>IF($O301="","",INDEX(Master!$D$2:$D$1001,$O301))</f>
      </c>
      <c r="B301">
        <f>IF($O301="","",INDEX(Master!$B$2:$B$1001,$O301))</f>
      </c>
      <c r="C301">
        <f>IF($O301="","",INDEX(Master!$C$2:$C$1001,$O301))</f>
      </c>
      <c r="D301">
        <f>IF($O301="","",INDEX(Master!$A$2:$A$1001,$O301))</f>
      </c>
      <c r="E301">
        <f>IF($O301="","",INDEX(Master!$E$2:$E$1001,$O301))</f>
      </c>
      <c r="F301">
        <f>IF($O301="","",INDEX(Master!$F$2:$F$1001,$O301))</f>
      </c>
      <c r="G301">
        <f>IF($O301="","",INDEX(Master!$G$2:$G$1001,$O301))</f>
      </c>
      <c r="H301">
        <f>IF($O301="","",INDEX(Master!$H$2:$H$1001,$O301))</f>
      </c>
      <c r="I301">
        <f>IF($O301="","",INDEX(Master!$I$2:$I$1001,$O301))</f>
      </c>
      <c r="J301">
        <f>IF($O301="","",INDEX(Master!$J$2:$J$1001,$O301))</f>
      </c>
      <c r="K301">
        <f t="shared" si="8"/>
      </c>
      <c r="L301">
        <f>IF($O301="","",INDEX(Master!$K$2:$K$1001,$O301))</f>
      </c>
      <c r="M301">
        <f>IF($O301="","",INDEX(Master!$L$2:$L$1001,$O301))</f>
      </c>
      <c r="O301">
        <f t="array" ref="O301">IFERROR(SMALL(IF((Master!$A$2:$A$1001="SHYAM METALLIKS")*(Master!$M$2:$M$1001="160 x 160 x 6MTR"),ROW(Master!$A$2:$A$1001)-ROW(Master!$A$2)+1),297),"")</f>
      </c>
      <c r="P301">
        <f t="shared" si="9"/>
      </c>
    </row>
    <row r="302" spans="1:16" x14ac:dyDescent="0.25">
      <c r="A302">
        <f>IF($O302="","",INDEX(Master!$D$2:$D$1001,$O302))</f>
      </c>
      <c r="B302">
        <f>IF($O302="","",INDEX(Master!$B$2:$B$1001,$O302))</f>
      </c>
      <c r="C302">
        <f>IF($O302="","",INDEX(Master!$C$2:$C$1001,$O302))</f>
      </c>
      <c r="D302">
        <f>IF($O302="","",INDEX(Master!$A$2:$A$1001,$O302))</f>
      </c>
      <c r="E302">
        <f>IF($O302="","",INDEX(Master!$E$2:$E$1001,$O302))</f>
      </c>
      <c r="F302">
        <f>IF($O302="","",INDEX(Master!$F$2:$F$1001,$O302))</f>
      </c>
      <c r="G302">
        <f>IF($O302="","",INDEX(Master!$G$2:$G$1001,$O302))</f>
      </c>
      <c r="H302">
        <f>IF($O302="","",INDEX(Master!$H$2:$H$1001,$O302))</f>
      </c>
      <c r="I302">
        <f>IF($O302="","",INDEX(Master!$I$2:$I$1001,$O302))</f>
      </c>
      <c r="J302">
        <f>IF($O302="","",INDEX(Master!$J$2:$J$1001,$O302))</f>
      </c>
      <c r="K302">
        <f t="shared" si="8"/>
      </c>
      <c r="L302">
        <f>IF($O302="","",INDEX(Master!$K$2:$K$1001,$O302))</f>
      </c>
      <c r="M302">
        <f>IF($O302="","",INDEX(Master!$L$2:$L$1001,$O302))</f>
      </c>
      <c r="O302">
        <f t="array" ref="O302">IFERROR(SMALL(IF((Master!$A$2:$A$1001="SHYAM METALLIKS")*(Master!$M$2:$M$1001="160 x 160 x 6MTR"),ROW(Master!$A$2:$A$1001)-ROW(Master!$A$2)+1),298),"")</f>
      </c>
      <c r="P302">
        <f t="shared" si="9"/>
      </c>
    </row>
    <row r="303" spans="1:16" x14ac:dyDescent="0.25">
      <c r="A303">
        <f>IF($O303="","",INDEX(Master!$D$2:$D$1001,$O303))</f>
      </c>
      <c r="B303">
        <f>IF($O303="","",INDEX(Master!$B$2:$B$1001,$O303))</f>
      </c>
      <c r="C303">
        <f>IF($O303="","",INDEX(Master!$C$2:$C$1001,$O303))</f>
      </c>
      <c r="D303">
        <f>IF($O303="","",INDEX(Master!$A$2:$A$1001,$O303))</f>
      </c>
      <c r="E303">
        <f>IF($O303="","",INDEX(Master!$E$2:$E$1001,$O303))</f>
      </c>
      <c r="F303">
        <f>IF($O303="","",INDEX(Master!$F$2:$F$1001,$O303))</f>
      </c>
      <c r="G303">
        <f>IF($O303="","",INDEX(Master!$G$2:$G$1001,$O303))</f>
      </c>
      <c r="H303">
        <f>IF($O303="","",INDEX(Master!$H$2:$H$1001,$O303))</f>
      </c>
      <c r="I303">
        <f>IF($O303="","",INDEX(Master!$I$2:$I$1001,$O303))</f>
      </c>
      <c r="J303">
        <f>IF($O303="","",INDEX(Master!$J$2:$J$1001,$O303))</f>
      </c>
      <c r="K303">
        <f t="shared" si="8"/>
      </c>
      <c r="L303">
        <f>IF($O303="","",INDEX(Master!$K$2:$K$1001,$O303))</f>
      </c>
      <c r="M303">
        <f>IF($O303="","",INDEX(Master!$L$2:$L$1001,$O303))</f>
      </c>
      <c r="O303">
        <f t="array" ref="O303">IFERROR(SMALL(IF((Master!$A$2:$A$1001="SHYAM METALLIKS")*(Master!$M$2:$M$1001="160 x 160 x 6MTR"),ROW(Master!$A$2:$A$1001)-ROW(Master!$A$2)+1),299),"")</f>
      </c>
      <c r="P303">
        <f t="shared" si="9"/>
      </c>
    </row>
    <row r="304" spans="1:16" x14ac:dyDescent="0.25">
      <c r="A304">
        <f>IF($O304="","",INDEX(Master!$D$2:$D$1001,$O304))</f>
      </c>
      <c r="B304">
        <f>IF($O304="","",INDEX(Master!$B$2:$B$1001,$O304))</f>
      </c>
      <c r="C304">
        <f>IF($O304="","",INDEX(Master!$C$2:$C$1001,$O304))</f>
      </c>
      <c r="D304">
        <f>IF($O304="","",INDEX(Master!$A$2:$A$1001,$O304))</f>
      </c>
      <c r="E304">
        <f>IF($O304="","",INDEX(Master!$E$2:$E$1001,$O304))</f>
      </c>
      <c r="F304">
        <f>IF($O304="","",INDEX(Master!$F$2:$F$1001,$O304))</f>
      </c>
      <c r="G304">
        <f>IF($O304="","",INDEX(Master!$G$2:$G$1001,$O304))</f>
      </c>
      <c r="H304">
        <f>IF($O304="","",INDEX(Master!$H$2:$H$1001,$O304))</f>
      </c>
      <c r="I304">
        <f>IF($O304="","",INDEX(Master!$I$2:$I$1001,$O304))</f>
      </c>
      <c r="J304">
        <f>IF($O304="","",INDEX(Master!$J$2:$J$1001,$O304))</f>
      </c>
      <c r="K304">
        <f t="shared" si="8"/>
      </c>
      <c r="L304">
        <f>IF($O304="","",INDEX(Master!$K$2:$K$1001,$O304))</f>
      </c>
      <c r="M304">
        <f>IF($O304="","",INDEX(Master!$L$2:$L$1001,$O304))</f>
      </c>
      <c r="O304">
        <f t="array" ref="O304">IFERROR(SMALL(IF((Master!$A$2:$A$1001="SHYAM METALLIKS")*(Master!$M$2:$M$1001="160 x 160 x 6MTR"),ROW(Master!$A$2:$A$1001)-ROW(Master!$A$2)+1),300),"")</f>
      </c>
      <c r="P304">
        <f t="shared" si="9"/>
      </c>
    </row>
  </sheetData>
  <autoFilter ref="A4:N304" xr:uid="{00000000-0009-0000-0000-000006000000}"/>
  <mergeCells count="10">
    <mergeCell ref="A1:N1"/>
    <mergeCell ref="E2:J2"/>
    <mergeCell ref="A2:A4"/>
    <mergeCell ref="C2:C4"/>
    <mergeCell ref="K2:K4"/>
    <mergeCell ref="N2:N4"/>
    <mergeCell ref="L2:L4"/>
    <mergeCell ref="M2:M4"/>
    <mergeCell ref="B2:B4"/>
    <mergeCell ref="D2:D4"/>
  </mergeCells>
  <conditionalFormatting sqref="A5:D52 A53:N304 I6:N13 I14:M24 I25:N52 K5:N5">
    <cfRule type="expression" dxfId="31" priority="12">
      <formula>$N5="HOLD"</formula>
    </cfRule>
  </conditionalFormatting>
  <conditionalFormatting sqref="N14:N24">
    <cfRule type="expression" dxfId="30" priority="7">
      <formula>$N14="HOLD"</formula>
    </cfRule>
  </conditionalFormatting>
  <conditionalFormatting sqref="E5:J5">
    <cfRule type="expression" dxfId="29" priority="6">
      <formula>$N5="HOLD"</formula>
    </cfRule>
  </conditionalFormatting>
  <conditionalFormatting sqref="E6:H52">
    <cfRule type="expression" dxfId="28" priority="2">
      <formula>$N6="HOLD"</formula>
    </cfRule>
  </conditionalFormatting>
  <conditionalFormatting sqref="E5:E304">
    <cfRule type="expression" dxfId="27" priority="5">
      <formula>AND($E5&lt;&gt;"",OR($E5&gt;0.18))</formula>
    </cfRule>
  </conditionalFormatting>
  <conditionalFormatting sqref="F5:F304">
    <cfRule type="expression" dxfId="26" priority="13">
      <formula>AND($F5&lt;&gt;"",OR(($F5+$G5)&gt;0.14))</formula>
    </cfRule>
  </conditionalFormatting>
  <conditionalFormatting sqref="G5:G304">
    <cfRule type="expression" dxfId="25" priority="14">
      <formula>AND($G5&lt;&gt;"",OR(($F5+$G5)&gt;0.14))</formula>
    </cfRule>
  </conditionalFormatting>
  <conditionalFormatting sqref="H5:H304">
    <cfRule type="expression" dxfId="24" priority="8">
      <formula>AND($H5&lt;&gt;"",$H5&lt;0.4)</formula>
    </cfRule>
  </conditionalFormatting>
  <conditionalFormatting sqref="J5:J304">
    <cfRule type="expression" dxfId="23" priority="9">
      <formula>AND($J5&lt;&gt;"",OR($J5&lt;0.1))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304"/>
  <sheetViews>
    <sheetView workbookViewId="0">
      <pane ySplit="4" topLeftCell="A5" activePane="bottomLeft" state="frozen"/>
      <selection pane="bottomLeft" activeCell="A5" sqref="A5:A94"/>
    </sheetView>
  </sheetViews>
  <sheetFormatPr defaultRowHeight="15" x14ac:dyDescent="0.25"/>
  <cols>
    <col min="1" max="1" width="8.7109375" bestFit="1" customWidth="1"/>
    <col min="2" max="2" width="9.7109375" style="166" bestFit="1" customWidth="1"/>
    <col min="3" max="3" width="15.28515625" bestFit="1" customWidth="1"/>
    <col min="4" max="4" width="30" bestFit="1" customWidth="1"/>
    <col min="5" max="8" width="8" bestFit="1" customWidth="1"/>
    <col min="9" max="9" width="9.5703125" customWidth="1"/>
    <col min="10" max="10" width="8" customWidth="1"/>
    <col min="11" max="11" width="12" customWidth="1"/>
    <col min="12" max="12" width="12.85546875" customWidth="1"/>
    <col min="13" max="13" width="12.28515625" customWidth="1"/>
    <col min="14" max="14" width="5.85546875" customWidth="1"/>
    <col min="15" max="15" width="4" customWidth="1"/>
    <col min="16" max="16" width="13" hidden="1" customWidth="1"/>
  </cols>
  <sheetData>
    <row r="1" spans="1:16" ht="21.95" customHeight="1" x14ac:dyDescent="0.25">
      <c r="A1" s="289" t="s">
        <v>53</v>
      </c>
      <c r="B1" s="44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</row>
    <row r="2" spans="1:16" x14ac:dyDescent="0.25">
      <c r="A2" s="434" t="s">
        <v>29</v>
      </c>
      <c r="B2" s="439" t="s">
        <v>30</v>
      </c>
      <c r="C2" s="434" t="s">
        <v>39</v>
      </c>
      <c r="D2" s="434" t="s">
        <v>1</v>
      </c>
      <c r="E2" s="434" t="s">
        <v>40</v>
      </c>
      <c r="F2" s="435"/>
      <c r="G2" s="435"/>
      <c r="H2" s="435"/>
      <c r="I2" s="435"/>
      <c r="J2" s="436"/>
      <c r="K2" s="434" t="s">
        <v>41</v>
      </c>
      <c r="L2" s="434" t="s">
        <v>42</v>
      </c>
      <c r="M2" s="434" t="s">
        <v>43</v>
      </c>
      <c r="N2" s="434" t="s">
        <v>44</v>
      </c>
      <c r="P2" t="s">
        <v>45</v>
      </c>
    </row>
    <row r="3" spans="1:16" x14ac:dyDescent="0.25">
      <c r="A3" s="437"/>
      <c r="B3" s="437"/>
      <c r="C3" s="437"/>
      <c r="D3" s="437"/>
      <c r="E3" s="231" t="s">
        <v>32</v>
      </c>
      <c r="F3" s="231" t="s">
        <v>33</v>
      </c>
      <c r="G3" s="231" t="s">
        <v>34</v>
      </c>
      <c r="H3" s="231" t="s">
        <v>35</v>
      </c>
      <c r="I3" s="231" t="s">
        <v>36</v>
      </c>
      <c r="J3" s="231" t="s">
        <v>37</v>
      </c>
      <c r="K3" s="437"/>
      <c r="L3" s="437"/>
      <c r="M3" s="437"/>
      <c r="N3" s="437"/>
    </row>
    <row r="4" spans="1:16" x14ac:dyDescent="0.25">
      <c r="A4" s="438"/>
      <c r="B4" s="438"/>
      <c r="C4" s="438"/>
      <c r="D4" s="438"/>
      <c r="E4" s="233" t="s">
        <v>46</v>
      </c>
      <c r="F4" s="233" t="s">
        <v>46</v>
      </c>
      <c r="G4" s="233" t="s">
        <v>46</v>
      </c>
      <c r="H4" s="233" t="s">
        <v>46</v>
      </c>
      <c r="I4" s="233" t="s">
        <v>47</v>
      </c>
      <c r="J4" s="233" t="s">
        <v>46</v>
      </c>
      <c r="K4" s="438"/>
      <c r="L4" s="438"/>
      <c r="M4" s="438"/>
      <c r="N4" s="438"/>
    </row>
    <row r="5" spans="1:16" x14ac:dyDescent="0.25">
      <c r="A5" s="164">
        <f>IF($O5="","",INDEX(Master!$D$2:$D$1001,$O5))</f>
      </c>
      <c r="B5" s="165">
        <f>IF($O5="","",INDEX(Master!$B$2:$B$1001,$O5))</f>
      </c>
      <c r="C5" s="164">
        <f>IF($O5="","",INDEX(Master!$C$2:$C$1001,$O5))</f>
      </c>
      <c r="D5" s="164">
        <f>IF($O5="","",INDEX(Master!$A$2:$A$1001,$O5))</f>
      </c>
      <c r="E5" s="164">
        <f>IF($O5="","",INDEX(Master!$E$2:$E$1001,$O5))</f>
      </c>
      <c r="F5" s="164">
        <f>IF($O5="","",INDEX(Master!$F$2:$F$1001,$O5))</f>
      </c>
      <c r="G5" s="164">
        <f>IF($O5="","",INDEX(Master!$G$2:$G$1001,$O5))</f>
      </c>
      <c r="H5" s="164">
        <f>IF($O5="","",INDEX(Master!$H$2:$H$1001,$O5))</f>
      </c>
      <c r="I5" s="164">
        <f>IF($O5="","",INDEX(Master!$I$2:$I$1001,$O5))</f>
      </c>
      <c r="J5" s="164">
        <f>IF($O5="","",INDEX(Master!$J$2:$J$1001,$O5))</f>
      </c>
      <c r="K5" s="248">
        <f t="shared" ref="K5:K68" si="0">IF(OR($O5="",$F5="",$F5=0),"",$H5/$F5)</f>
      </c>
      <c r="L5" s="164">
        <f>IF($O5="","",INDEX(Master!$K$2:$K$1001,$O5))</f>
      </c>
      <c r="M5" s="164">
        <f>IF($O5="","",INDEX(Master!$L$2:$L$1001,$O5))</f>
      </c>
      <c r="N5" s="164"/>
      <c r="O5">
        <f t="array" ref="O5">IFERROR(SMALL(IF(Master!$A$2:$A$1001="MASHIVA STEEL AND ALLOYS LLP",ROW(Master!$A$2:$A$1001)-ROW(Master!$A$2)+1),1),"")</f>
      </c>
      <c r="P5">
        <f t="shared" ref="P5:P68" si="1">IF($A5="",0,IF(OR(AND($E5&lt;&gt;"",OR($E5&gt;0.15)),AND($F5&lt;&gt;"",OR(($F5+$G5)&gt;0.15)),AND($G5&lt;&gt;"",OR(($F5+$G5)&gt;0.15)),AND($H5&lt;&gt;"",$H5&lt;0.45),AND($J5&lt;&gt;"",OR($J5&lt;0.1))),1,0))</f>
      </c>
    </row>
    <row r="6" spans="1:16" x14ac:dyDescent="0.25">
      <c r="A6" s="164">
        <f>IF($O6="","",INDEX(Master!$D$2:$D$1001,$O6))</f>
      </c>
      <c r="B6" s="165">
        <f>IF($O6="","",INDEX(Master!$B$2:$B$1001,$O6))</f>
      </c>
      <c r="C6" s="164">
        <f>IF($O6="","",INDEX(Master!$C$2:$C$1001,$O6))</f>
      </c>
      <c r="D6" s="164">
        <f>IF($O6="","",INDEX(Master!$A$2:$A$1001,$O6))</f>
      </c>
      <c r="E6" s="164">
        <f>IF($O6="","",INDEX(Master!$E$2:$E$1001,$O6))</f>
      </c>
      <c r="F6" s="164">
        <f>IF($O6="","",INDEX(Master!$F$2:$F$1001,$O6))</f>
      </c>
      <c r="G6" s="164">
        <f>IF($O6="","",INDEX(Master!$G$2:$G$1001,$O6))</f>
      </c>
      <c r="H6" s="164">
        <f>IF($O6="","",INDEX(Master!$H$2:$H$1001,$O6))</f>
      </c>
      <c r="I6" s="164">
        <f>IF($O6="","",INDEX(Master!$I$2:$I$1001,$O6))</f>
      </c>
      <c r="J6" s="164">
        <f>IF($O6="","",INDEX(Master!$J$2:$J$1001,$O6))</f>
      </c>
      <c r="K6" s="248">
        <f t="shared" si="0"/>
      </c>
      <c r="L6" s="164">
        <f>IF($O6="","",INDEX(Master!$K$2:$K$1001,$O6))</f>
      </c>
      <c r="M6" s="164">
        <f>IF($O6="","",INDEX(Master!$L$2:$L$1001,$O6))</f>
      </c>
      <c r="N6" s="164"/>
      <c r="O6">
        <f t="array" ref="O6">IFERROR(SMALL(IF(Master!$A$2:$A$1001="MASHIVA STEEL AND ALLOYS LLP",ROW(Master!$A$2:$A$1001)-ROW(Master!$A$2)+1),2),"")</f>
      </c>
      <c r="P6">
        <f t="shared" si="1"/>
      </c>
    </row>
    <row r="7" spans="1:16" x14ac:dyDescent="0.25">
      <c r="A7" s="164">
        <f>IF($O7="","",INDEX(Master!$D$2:$D$1001,$O7))</f>
      </c>
      <c r="B7" s="165">
        <f>IF($O7="","",INDEX(Master!$B$2:$B$1001,$O7))</f>
      </c>
      <c r="C7" s="164">
        <f>IF($O7="","",INDEX(Master!$C$2:$C$1001,$O7))</f>
      </c>
      <c r="D7" s="164">
        <f>IF($O7="","",INDEX(Master!$A$2:$A$1001,$O7))</f>
      </c>
      <c r="E7" s="164">
        <f>IF($O7="","",INDEX(Master!$E$2:$E$1001,$O7))</f>
      </c>
      <c r="F7" s="164">
        <f>IF($O7="","",INDEX(Master!$F$2:$F$1001,$O7))</f>
      </c>
      <c r="G7" s="164">
        <f>IF($O7="","",INDEX(Master!$G$2:$G$1001,$O7))</f>
      </c>
      <c r="H7" s="164">
        <f>IF($O7="","",INDEX(Master!$H$2:$H$1001,$O7))</f>
      </c>
      <c r="I7" s="164">
        <f>IF($O7="","",INDEX(Master!$I$2:$I$1001,$O7))</f>
      </c>
      <c r="J7" s="164">
        <f>IF($O7="","",INDEX(Master!$J$2:$J$1001,$O7))</f>
      </c>
      <c r="K7" s="248">
        <f t="shared" si="0"/>
      </c>
      <c r="L7" s="164">
        <f>IF($O7="","",INDEX(Master!$K$2:$K$1001,$O7))</f>
      </c>
      <c r="M7" s="164">
        <f>IF($O7="","",INDEX(Master!$L$2:$L$1001,$O7))</f>
      </c>
      <c r="N7" s="164"/>
      <c r="O7">
        <f t="array" ref="O7">IFERROR(SMALL(IF(Master!$A$2:$A$1001="MASHIVA STEEL AND ALLOYS LLP",ROW(Master!$A$2:$A$1001)-ROW(Master!$A$2)+1),3),"")</f>
      </c>
      <c r="P7">
        <f t="shared" si="1"/>
      </c>
    </row>
    <row r="8" spans="1:16" x14ac:dyDescent="0.25">
      <c r="A8" s="164">
        <f>IF($O8="","",INDEX(Master!$D$2:$D$1001,$O8))</f>
      </c>
      <c r="B8" s="165">
        <f>IF($O8="","",INDEX(Master!$B$2:$B$1001,$O8))</f>
      </c>
      <c r="C8" s="164">
        <f>IF($O8="","",INDEX(Master!$C$2:$C$1001,$O8))</f>
      </c>
      <c r="D8" s="164">
        <f>IF($O8="","",INDEX(Master!$A$2:$A$1001,$O8))</f>
      </c>
      <c r="E8" s="164">
        <f>IF($O8="","",INDEX(Master!$E$2:$E$1001,$O8))</f>
      </c>
      <c r="F8" s="164">
        <f>IF($O8="","",INDEX(Master!$F$2:$F$1001,$O8))</f>
      </c>
      <c r="G8" s="164">
        <f>IF($O8="","",INDEX(Master!$G$2:$G$1001,$O8))</f>
      </c>
      <c r="H8" s="164">
        <f>IF($O8="","",INDEX(Master!$H$2:$H$1001,$O8))</f>
      </c>
      <c r="I8" s="164">
        <f>IF($O8="","",INDEX(Master!$I$2:$I$1001,$O8))</f>
      </c>
      <c r="J8" s="164">
        <f>IF($O8="","",INDEX(Master!$J$2:$J$1001,$O8))</f>
      </c>
      <c r="K8" s="248">
        <f t="shared" si="0"/>
      </c>
      <c r="L8" s="164">
        <f>IF($O8="","",INDEX(Master!$K$2:$K$1001,$O8))</f>
      </c>
      <c r="M8" s="164">
        <f>IF($O8="","",INDEX(Master!$L$2:$L$1001,$O8))</f>
      </c>
      <c r="N8" s="164"/>
      <c r="O8">
        <f t="array" ref="O8">IFERROR(SMALL(IF(Master!$A$2:$A$1001="MASHIVA STEEL AND ALLOYS LLP",ROW(Master!$A$2:$A$1001)-ROW(Master!$A$2)+1),4),"")</f>
      </c>
      <c r="P8">
        <f t="shared" si="1"/>
      </c>
    </row>
    <row r="9" spans="1:16" x14ac:dyDescent="0.25">
      <c r="A9" s="164">
        <f>IF($O9="","",INDEX(Master!$D$2:$D$1001,$O9))</f>
      </c>
      <c r="B9" s="165">
        <f>IF($O9="","",INDEX(Master!$B$2:$B$1001,$O9))</f>
      </c>
      <c r="C9" s="164">
        <f>IF($O9="","",INDEX(Master!$C$2:$C$1001,$O9))</f>
      </c>
      <c r="D9" s="164">
        <f>IF($O9="","",INDEX(Master!$A$2:$A$1001,$O9))</f>
      </c>
      <c r="E9" s="164">
        <f>IF($O9="","",INDEX(Master!$E$2:$E$1001,$O9))</f>
      </c>
      <c r="F9" s="164">
        <f>IF($O9="","",INDEX(Master!$F$2:$F$1001,$O9))</f>
      </c>
      <c r="G9" s="164">
        <f>IF($O9="","",INDEX(Master!$G$2:$G$1001,$O9))</f>
      </c>
      <c r="H9" s="164">
        <f>IF($O9="","",INDEX(Master!$H$2:$H$1001,$O9))</f>
      </c>
      <c r="I9" s="164">
        <f>IF($O9="","",INDEX(Master!$I$2:$I$1001,$O9))</f>
      </c>
      <c r="J9" s="164">
        <f>IF($O9="","",INDEX(Master!$J$2:$J$1001,$O9))</f>
      </c>
      <c r="K9" s="248">
        <f t="shared" si="0"/>
      </c>
      <c r="L9" s="164">
        <f>IF($O9="","",INDEX(Master!$K$2:$K$1001,$O9))</f>
      </c>
      <c r="M9" s="164">
        <f>IF($O9="","",INDEX(Master!$L$2:$L$1001,$O9))</f>
      </c>
      <c r="N9" s="164"/>
      <c r="O9">
        <f t="array" ref="O9">IFERROR(SMALL(IF(Master!$A$2:$A$1001="MASHIVA STEEL AND ALLOYS LLP",ROW(Master!$A$2:$A$1001)-ROW(Master!$A$2)+1),5),"")</f>
      </c>
      <c r="P9">
        <f t="shared" si="1"/>
      </c>
    </row>
    <row r="10" spans="1:16" x14ac:dyDescent="0.25">
      <c r="A10" s="164">
        <f>IF($O10="","",INDEX(Master!$D$2:$D$1001,$O10))</f>
      </c>
      <c r="B10" s="165">
        <f>IF($O10="","",INDEX(Master!$B$2:$B$1001,$O10))</f>
      </c>
      <c r="C10" s="164">
        <f>IF($O10="","",INDEX(Master!$C$2:$C$1001,$O10))</f>
      </c>
      <c r="D10" s="164">
        <f>IF($O10="","",INDEX(Master!$A$2:$A$1001,$O10))</f>
      </c>
      <c r="E10" s="164">
        <f>IF($O10="","",INDEX(Master!$E$2:$E$1001,$O10))</f>
      </c>
      <c r="F10" s="164">
        <f>IF($O10="","",INDEX(Master!$F$2:$F$1001,$O10))</f>
      </c>
      <c r="G10" s="164">
        <f>IF($O10="","",INDEX(Master!$G$2:$G$1001,$O10))</f>
      </c>
      <c r="H10" s="164">
        <f>IF($O10="","",INDEX(Master!$H$2:$H$1001,$O10))</f>
      </c>
      <c r="I10" s="164">
        <f>IF($O10="","",INDEX(Master!$I$2:$I$1001,$O10))</f>
      </c>
      <c r="J10" s="164">
        <f>IF($O10="","",INDEX(Master!$J$2:$J$1001,$O10))</f>
      </c>
      <c r="K10" s="248">
        <f t="shared" si="0"/>
      </c>
      <c r="L10" s="164">
        <f>IF($O10="","",INDEX(Master!$K$2:$K$1001,$O10))</f>
      </c>
      <c r="M10" s="164">
        <f>IF($O10="","",INDEX(Master!$L$2:$L$1001,$O10))</f>
      </c>
      <c r="N10" s="164"/>
      <c r="O10">
        <f t="array" ref="O10">IFERROR(SMALL(IF(Master!$A$2:$A$1001="MASHIVA STEEL AND ALLOYS LLP",ROW(Master!$A$2:$A$1001)-ROW(Master!$A$2)+1),6),"")</f>
      </c>
      <c r="P10">
        <f t="shared" si="1"/>
      </c>
    </row>
    <row r="11" spans="1:16" x14ac:dyDescent="0.25">
      <c r="A11" s="164">
        <f>IF($O11="","",INDEX(Master!$D$2:$D$1001,$O11))</f>
      </c>
      <c r="B11" s="165">
        <f>IF($O11="","",INDEX(Master!$B$2:$B$1001,$O11))</f>
      </c>
      <c r="C11" s="164">
        <f>IF($O11="","",INDEX(Master!$C$2:$C$1001,$O11))</f>
      </c>
      <c r="D11" s="164">
        <f>IF($O11="","",INDEX(Master!$A$2:$A$1001,$O11))</f>
      </c>
      <c r="E11" s="164">
        <f>IF($O11="","",INDEX(Master!$E$2:$E$1001,$O11))</f>
      </c>
      <c r="F11" s="164">
        <f>IF($O11="","",INDEX(Master!$F$2:$F$1001,$O11))</f>
      </c>
      <c r="G11" s="164">
        <f>IF($O11="","",INDEX(Master!$G$2:$G$1001,$O11))</f>
      </c>
      <c r="H11" s="164">
        <f>IF($O11="","",INDEX(Master!$H$2:$H$1001,$O11))</f>
      </c>
      <c r="I11" s="164">
        <f>IF($O11="","",INDEX(Master!$I$2:$I$1001,$O11))</f>
      </c>
      <c r="J11" s="164">
        <f>IF($O11="","",INDEX(Master!$J$2:$J$1001,$O11))</f>
      </c>
      <c r="K11" s="248">
        <f t="shared" si="0"/>
      </c>
      <c r="L11" s="164">
        <f>IF($O11="","",INDEX(Master!$K$2:$K$1001,$O11))</f>
      </c>
      <c r="M11" s="164">
        <f>IF($O11="","",INDEX(Master!$L$2:$L$1001,$O11))</f>
      </c>
      <c r="N11" s="164"/>
      <c r="O11">
        <f t="array" ref="O11">IFERROR(SMALL(IF(Master!$A$2:$A$1001="MASHIVA STEEL AND ALLOYS LLP",ROW(Master!$A$2:$A$1001)-ROW(Master!$A$2)+1),7),"")</f>
      </c>
      <c r="P11">
        <f t="shared" si="1"/>
      </c>
    </row>
    <row r="12" spans="1:16" x14ac:dyDescent="0.25">
      <c r="A12" s="164">
        <f>IF($O12="","",INDEX(Master!$D$2:$D$1001,$O12))</f>
      </c>
      <c r="B12" s="165">
        <f>IF($O12="","",INDEX(Master!$B$2:$B$1001,$O12))</f>
      </c>
      <c r="C12" s="164">
        <f>IF($O12="","",INDEX(Master!$C$2:$C$1001,$O12))</f>
      </c>
      <c r="D12" s="164">
        <f>IF($O12="","",INDEX(Master!$A$2:$A$1001,$O12))</f>
      </c>
      <c r="E12" s="164">
        <f>IF($O12="","",INDEX(Master!$E$2:$E$1001,$O12))</f>
      </c>
      <c r="F12" s="164">
        <f>IF($O12="","",INDEX(Master!$F$2:$F$1001,$O12))</f>
      </c>
      <c r="G12" s="164">
        <f>IF($O12="","",INDEX(Master!$G$2:$G$1001,$O12))</f>
      </c>
      <c r="H12" s="164">
        <f>IF($O12="","",INDEX(Master!$H$2:$H$1001,$O12))</f>
      </c>
      <c r="I12" s="164">
        <f>IF($O12="","",INDEX(Master!$I$2:$I$1001,$O12))</f>
      </c>
      <c r="J12" s="164">
        <f>IF($O12="","",INDEX(Master!$J$2:$J$1001,$O12))</f>
      </c>
      <c r="K12" s="248">
        <f t="shared" si="0"/>
      </c>
      <c r="L12" s="164">
        <f>IF($O12="","",INDEX(Master!$K$2:$K$1001,$O12))</f>
      </c>
      <c r="M12" s="164">
        <f>IF($O12="","",INDEX(Master!$L$2:$L$1001,$O12))</f>
      </c>
      <c r="N12" s="164"/>
      <c r="O12">
        <f t="array" ref="O12">IFERROR(SMALL(IF(Master!$A$2:$A$1001="MASHIVA STEEL AND ALLOYS LLP",ROW(Master!$A$2:$A$1001)-ROW(Master!$A$2)+1),8),"")</f>
      </c>
      <c r="P12">
        <f t="shared" si="1"/>
      </c>
    </row>
    <row r="13" spans="1:16" x14ac:dyDescent="0.25">
      <c r="A13" s="164">
        <f>IF($O13="","",INDEX(Master!$D$2:$D$1001,$O13))</f>
      </c>
      <c r="B13" s="165">
        <f>IF($O13="","",INDEX(Master!$B$2:$B$1001,$O13))</f>
      </c>
      <c r="C13" s="164">
        <f>IF($O13="","",INDEX(Master!$C$2:$C$1001,$O13))</f>
      </c>
      <c r="D13" s="164">
        <f>IF($O13="","",INDEX(Master!$A$2:$A$1001,$O13))</f>
      </c>
      <c r="E13" s="164">
        <f>IF($O13="","",INDEX(Master!$E$2:$E$1001,$O13))</f>
      </c>
      <c r="F13" s="164">
        <f>IF($O13="","",INDEX(Master!$F$2:$F$1001,$O13))</f>
      </c>
      <c r="G13" s="164">
        <f>IF($O13="","",INDEX(Master!$G$2:$G$1001,$O13))</f>
      </c>
      <c r="H13" s="164">
        <f>IF($O13="","",INDEX(Master!$H$2:$H$1001,$O13))</f>
      </c>
      <c r="I13" s="164">
        <f>IF($O13="","",INDEX(Master!$I$2:$I$1001,$O13))</f>
      </c>
      <c r="J13" s="164">
        <f>IF($O13="","",INDEX(Master!$J$2:$J$1001,$O13))</f>
      </c>
      <c r="K13" s="248">
        <f t="shared" si="0"/>
      </c>
      <c r="L13" s="164">
        <f>IF($O13="","",INDEX(Master!$K$2:$K$1001,$O13))</f>
      </c>
      <c r="M13" s="164">
        <f>IF($O13="","",INDEX(Master!$L$2:$L$1001,$O13))</f>
      </c>
      <c r="N13" s="164"/>
      <c r="O13">
        <f t="array" ref="O13">IFERROR(SMALL(IF(Master!$A$2:$A$1001="MASHIVA STEEL AND ALLOYS LLP",ROW(Master!$A$2:$A$1001)-ROW(Master!$A$2)+1),9),"")</f>
      </c>
      <c r="P13">
        <f t="shared" si="1"/>
      </c>
    </row>
    <row r="14" spans="1:16" x14ac:dyDescent="0.25">
      <c r="A14" s="164">
        <f>IF($O14="","",INDEX(Master!$D$2:$D$1001,$O14))</f>
      </c>
      <c r="B14" s="165">
        <f>IF($O14="","",INDEX(Master!$B$2:$B$1001,$O14))</f>
      </c>
      <c r="C14" s="164">
        <f>IF($O14="","",INDEX(Master!$C$2:$C$1001,$O14))</f>
      </c>
      <c r="D14" s="164">
        <f>IF($O14="","",INDEX(Master!$A$2:$A$1001,$O14))</f>
      </c>
      <c r="E14" s="164">
        <f>IF($O14="","",INDEX(Master!$E$2:$E$1001,$O14))</f>
      </c>
      <c r="F14" s="164">
        <f>IF($O14="","",INDEX(Master!$F$2:$F$1001,$O14))</f>
      </c>
      <c r="G14" s="164">
        <f>IF($O14="","",INDEX(Master!$G$2:$G$1001,$O14))</f>
      </c>
      <c r="H14" s="164">
        <f>IF($O14="","",INDEX(Master!$H$2:$H$1001,$O14))</f>
      </c>
      <c r="I14" s="164">
        <f>IF($O14="","",INDEX(Master!$I$2:$I$1001,$O14))</f>
      </c>
      <c r="J14" s="164">
        <f>IF($O14="","",INDEX(Master!$J$2:$J$1001,$O14))</f>
      </c>
      <c r="K14" s="248">
        <f t="shared" si="0"/>
      </c>
      <c r="L14" s="164">
        <f>IF($O14="","",INDEX(Master!$K$2:$K$1001,$O14))</f>
      </c>
      <c r="M14" s="164">
        <f>IF($O14="","",INDEX(Master!$L$2:$L$1001,$O14))</f>
      </c>
      <c r="N14" s="164"/>
      <c r="O14">
        <f t="array" ref="O14">IFERROR(SMALL(IF(Master!$A$2:$A$1001="MASHIVA STEEL AND ALLOYS LLP",ROW(Master!$A$2:$A$1001)-ROW(Master!$A$2)+1),10),"")</f>
      </c>
      <c r="P14">
        <f t="shared" si="1"/>
      </c>
    </row>
    <row r="15" spans="1:16" x14ac:dyDescent="0.25">
      <c r="A15" s="164">
        <f>IF($O15="","",INDEX(Master!$D$2:$D$1001,$O15))</f>
      </c>
      <c r="B15" s="165">
        <f>IF($O15="","",INDEX(Master!$B$2:$B$1001,$O15))</f>
      </c>
      <c r="C15" s="164">
        <f>IF($O15="","",INDEX(Master!$C$2:$C$1001,$O15))</f>
      </c>
      <c r="D15" s="164">
        <f>IF($O15="","",INDEX(Master!$A$2:$A$1001,$O15))</f>
      </c>
      <c r="E15" s="164">
        <f>IF($O15="","",INDEX(Master!$E$2:$E$1001,$O15))</f>
      </c>
      <c r="F15" s="164">
        <f>IF($O15="","",INDEX(Master!$F$2:$F$1001,$O15))</f>
      </c>
      <c r="G15" s="164">
        <f>IF($O15="","",INDEX(Master!$G$2:$G$1001,$O15))</f>
      </c>
      <c r="H15" s="164">
        <f>IF($O15="","",INDEX(Master!$H$2:$H$1001,$O15))</f>
      </c>
      <c r="I15" s="164">
        <f>IF($O15="","",INDEX(Master!$I$2:$I$1001,$O15))</f>
      </c>
      <c r="J15" s="164">
        <f>IF($O15="","",INDEX(Master!$J$2:$J$1001,$O15))</f>
      </c>
      <c r="K15" s="248">
        <f t="shared" si="0"/>
      </c>
      <c r="L15" s="164">
        <f>IF($O15="","",INDEX(Master!$K$2:$K$1001,$O15))</f>
      </c>
      <c r="M15" s="164">
        <f>IF($O15="","",INDEX(Master!$L$2:$L$1001,$O15))</f>
      </c>
      <c r="N15" s="164"/>
      <c r="O15">
        <f t="array" ref="O15">IFERROR(SMALL(IF(Master!$A$2:$A$1001="MASHIVA STEEL AND ALLOYS LLP",ROW(Master!$A$2:$A$1001)-ROW(Master!$A$2)+1),11),"")</f>
      </c>
      <c r="P15">
        <f t="shared" si="1"/>
      </c>
    </row>
    <row r="16" spans="1:16" x14ac:dyDescent="0.25">
      <c r="A16" s="164">
        <f>IF($O16="","",INDEX(Master!$D$2:$D$1001,$O16))</f>
      </c>
      <c r="B16" s="165">
        <f>IF($O16="","",INDEX(Master!$B$2:$B$1001,$O16))</f>
      </c>
      <c r="C16" s="164">
        <f>IF($O16="","",INDEX(Master!$C$2:$C$1001,$O16))</f>
      </c>
      <c r="D16" s="164">
        <f>IF($O16="","",INDEX(Master!$A$2:$A$1001,$O16))</f>
      </c>
      <c r="E16" s="164">
        <f>IF($O16="","",INDEX(Master!$E$2:$E$1001,$O16))</f>
      </c>
      <c r="F16" s="164">
        <f>IF($O16="","",INDEX(Master!$F$2:$F$1001,$O16))</f>
      </c>
      <c r="G16" s="164">
        <f>IF($O16="","",INDEX(Master!$G$2:$G$1001,$O16))</f>
      </c>
      <c r="H16" s="164">
        <f>IF($O16="","",INDEX(Master!$H$2:$H$1001,$O16))</f>
      </c>
      <c r="I16" s="164">
        <f>IF($O16="","",INDEX(Master!$I$2:$I$1001,$O16))</f>
      </c>
      <c r="J16" s="164">
        <f>IF($O16="","",INDEX(Master!$J$2:$J$1001,$O16))</f>
      </c>
      <c r="K16" s="248">
        <f t="shared" si="0"/>
      </c>
      <c r="L16" s="164">
        <f>IF($O16="","",INDEX(Master!$K$2:$K$1001,$O16))</f>
      </c>
      <c r="M16" s="164">
        <f>IF($O16="","",INDEX(Master!$L$2:$L$1001,$O16))</f>
      </c>
      <c r="N16" s="164"/>
      <c r="O16">
        <f t="array" ref="O16">IFERROR(SMALL(IF(Master!$A$2:$A$1001="MASHIVA STEEL AND ALLOYS LLP",ROW(Master!$A$2:$A$1001)-ROW(Master!$A$2)+1),12),"")</f>
      </c>
      <c r="P16">
        <f t="shared" si="1"/>
      </c>
    </row>
    <row r="17" spans="1:16" x14ac:dyDescent="0.25">
      <c r="A17" s="164">
        <f>IF($O17="","",INDEX(Master!$D$2:$D$1001,$O17))</f>
      </c>
      <c r="B17" s="165">
        <f>IF($O17="","",INDEX(Master!$B$2:$B$1001,$O17))</f>
      </c>
      <c r="C17" s="164">
        <f>IF($O17="","",INDEX(Master!$C$2:$C$1001,$O17))</f>
      </c>
      <c r="D17" s="164">
        <f>IF($O17="","",INDEX(Master!$A$2:$A$1001,$O17))</f>
      </c>
      <c r="E17" s="164">
        <f>IF($O17="","",INDEX(Master!$E$2:$E$1001,$O17))</f>
      </c>
      <c r="F17" s="164">
        <f>IF($O17="","",INDEX(Master!$F$2:$F$1001,$O17))</f>
      </c>
      <c r="G17" s="164">
        <f>IF($O17="","",INDEX(Master!$G$2:$G$1001,$O17))</f>
      </c>
      <c r="H17" s="164">
        <f>IF($O17="","",INDEX(Master!$H$2:$H$1001,$O17))</f>
      </c>
      <c r="I17" s="164">
        <f>IF($O17="","",INDEX(Master!$I$2:$I$1001,$O17))</f>
      </c>
      <c r="J17" s="164">
        <f>IF($O17="","",INDEX(Master!$J$2:$J$1001,$O17))</f>
      </c>
      <c r="K17" s="248">
        <f t="shared" si="0"/>
      </c>
      <c r="L17" s="164">
        <f>IF($O17="","",INDEX(Master!$K$2:$K$1001,$O17))</f>
      </c>
      <c r="M17" s="164">
        <f>IF($O17="","",INDEX(Master!$L$2:$L$1001,$O17))</f>
      </c>
      <c r="N17" s="164"/>
      <c r="O17">
        <f t="array" ref="O17">IFERROR(SMALL(IF(Master!$A$2:$A$1001="MASHIVA STEEL AND ALLOYS LLP",ROW(Master!$A$2:$A$1001)-ROW(Master!$A$2)+1),13),"")</f>
      </c>
      <c r="P17">
        <f t="shared" si="1"/>
      </c>
    </row>
    <row r="18" spans="1:16" x14ac:dyDescent="0.25">
      <c r="A18" s="164">
        <f>IF($O18="","",INDEX(Master!$D$2:$D$1001,$O18))</f>
      </c>
      <c r="B18" s="165">
        <f>IF($O18="","",INDEX(Master!$B$2:$B$1001,$O18))</f>
      </c>
      <c r="C18" s="164">
        <f>IF($O18="","",INDEX(Master!$C$2:$C$1001,$O18))</f>
      </c>
      <c r="D18" s="164">
        <f>IF($O18="","",INDEX(Master!$A$2:$A$1001,$O18))</f>
      </c>
      <c r="E18" s="164">
        <f>IF($O18="","",INDEX(Master!$E$2:$E$1001,$O18))</f>
      </c>
      <c r="F18" s="164">
        <f>IF($O18="","",INDEX(Master!$F$2:$F$1001,$O18))</f>
      </c>
      <c r="G18" s="164">
        <f>IF($O18="","",INDEX(Master!$G$2:$G$1001,$O18))</f>
      </c>
      <c r="H18" s="164">
        <f>IF($O18="","",INDEX(Master!$H$2:$H$1001,$O18))</f>
      </c>
      <c r="I18" s="164">
        <f>IF($O18="","",INDEX(Master!$I$2:$I$1001,$O18))</f>
      </c>
      <c r="J18" s="164">
        <f>IF($O18="","",INDEX(Master!$J$2:$J$1001,$O18))</f>
      </c>
      <c r="K18" s="248">
        <f t="shared" si="0"/>
      </c>
      <c r="L18" s="164">
        <f>IF($O18="","",INDEX(Master!$K$2:$K$1001,$O18))</f>
      </c>
      <c r="M18" s="248">
        <f>IF($O18="","",INDEX(Master!$L$2:$L$1001,$O18))</f>
      </c>
      <c r="N18" s="164"/>
      <c r="O18">
        <f t="array" ref="O18">IFERROR(SMALL(IF(Master!$A$2:$A$1001="MASHIVA STEEL AND ALLOYS LLP",ROW(Master!$A$2:$A$1001)-ROW(Master!$A$2)+1),14),"")</f>
      </c>
      <c r="P18">
        <f t="shared" si="1"/>
      </c>
    </row>
    <row r="19" spans="1:16" x14ac:dyDescent="0.25">
      <c r="A19" s="164">
        <f>IF($O19="","",INDEX(Master!$D$2:$D$1001,$O19))</f>
      </c>
      <c r="B19" s="165">
        <f>IF($O19="","",INDEX(Master!$B$2:$B$1001,$O19))</f>
      </c>
      <c r="C19" s="164">
        <f>IF($O19="","",INDEX(Master!$C$2:$C$1001,$O19))</f>
      </c>
      <c r="D19" s="164">
        <f>IF($O19="","",INDEX(Master!$A$2:$A$1001,$O19))</f>
      </c>
      <c r="E19" s="164">
        <f>IF($O19="","",INDEX(Master!$E$2:$E$1001,$O19))</f>
      </c>
      <c r="F19" s="164">
        <f>IF($O19="","",INDEX(Master!$F$2:$F$1001,$O19))</f>
      </c>
      <c r="G19" s="164">
        <f>IF($O19="","",INDEX(Master!$G$2:$G$1001,$O19))</f>
      </c>
      <c r="H19" s="164">
        <f>IF($O19="","",INDEX(Master!$H$2:$H$1001,$O19))</f>
      </c>
      <c r="I19" s="164">
        <f>IF($O19="","",INDEX(Master!$I$2:$I$1001,$O19))</f>
      </c>
      <c r="J19" s="164">
        <f>IF($O19="","",INDEX(Master!$J$2:$J$1001,$O19))</f>
      </c>
      <c r="K19" s="248">
        <f t="shared" si="0"/>
      </c>
      <c r="L19" s="164">
        <f>IF($O19="","",INDEX(Master!$K$2:$K$1001,$O19))</f>
      </c>
      <c r="M19" s="164">
        <f>IF($O19="","",INDEX(Master!$L$2:$L$1001,$O19))</f>
      </c>
      <c r="N19" s="164"/>
      <c r="O19">
        <f t="array" ref="O19">IFERROR(SMALL(IF(Master!$A$2:$A$1001="MASHIVA STEEL AND ALLOYS LLP",ROW(Master!$A$2:$A$1001)-ROW(Master!$A$2)+1),15),"")</f>
      </c>
      <c r="P19">
        <f t="shared" si="1"/>
      </c>
    </row>
    <row r="20" spans="1:16" x14ac:dyDescent="0.25">
      <c r="A20" s="164">
        <f>IF($O20="","",INDEX(Master!$D$2:$D$1001,$O20))</f>
      </c>
      <c r="B20" s="165">
        <f>IF($O20="","",INDEX(Master!$B$2:$B$1001,$O20))</f>
      </c>
      <c r="C20" s="164">
        <f>IF($O20="","",INDEX(Master!$C$2:$C$1001,$O20))</f>
      </c>
      <c r="D20" s="164">
        <f>IF($O20="","",INDEX(Master!$A$2:$A$1001,$O20))</f>
      </c>
      <c r="E20" s="164">
        <f>IF($O20="","",INDEX(Master!$E$2:$E$1001,$O20))</f>
      </c>
      <c r="F20" s="164">
        <f>IF($O20="","",INDEX(Master!$F$2:$F$1001,$O20))</f>
      </c>
      <c r="G20" s="164">
        <f>IF($O20="","",INDEX(Master!$G$2:$G$1001,$O20))</f>
      </c>
      <c r="H20" s="164">
        <f>IF($O20="","",INDEX(Master!$H$2:$H$1001,$O20))</f>
      </c>
      <c r="I20" s="164">
        <f>IF($O20="","",INDEX(Master!$I$2:$I$1001,$O20))</f>
      </c>
      <c r="J20" s="164">
        <f>IF($O20="","",INDEX(Master!$J$2:$J$1001,$O20))</f>
      </c>
      <c r="K20" s="248">
        <f t="shared" si="0"/>
      </c>
      <c r="L20" s="164">
        <f>IF($O20="","",INDEX(Master!$K$2:$K$1001,$O20))</f>
      </c>
      <c r="M20" s="164">
        <f>IF($O20="","",INDEX(Master!$L$2:$L$1001,$O20))</f>
      </c>
      <c r="N20" s="164"/>
      <c r="O20">
        <f t="array" ref="O20">IFERROR(SMALL(IF(Master!$A$2:$A$1001="MASHIVA STEEL AND ALLOYS LLP",ROW(Master!$A$2:$A$1001)-ROW(Master!$A$2)+1),16),"")</f>
      </c>
      <c r="P20">
        <f t="shared" si="1"/>
      </c>
    </row>
    <row r="21" spans="1:16" x14ac:dyDescent="0.25">
      <c r="A21" s="164">
        <f>IF($O21="","",INDEX(Master!$D$2:$D$1001,$O21))</f>
      </c>
      <c r="B21" s="165">
        <f>IF($O21="","",INDEX(Master!$B$2:$B$1001,$O21))</f>
      </c>
      <c r="C21" s="164">
        <f>IF($O21="","",INDEX(Master!$C$2:$C$1001,$O21))</f>
      </c>
      <c r="D21" s="164">
        <f>IF($O21="","",INDEX(Master!$A$2:$A$1001,$O21))</f>
      </c>
      <c r="E21" s="164">
        <f>IF($O21="","",INDEX(Master!$E$2:$E$1001,$O21))</f>
      </c>
      <c r="F21" s="164">
        <f>IF($O21="","",INDEX(Master!$F$2:$F$1001,$O21))</f>
      </c>
      <c r="G21" s="164">
        <f>IF($O21="","",INDEX(Master!$G$2:$G$1001,$O21))</f>
      </c>
      <c r="H21" s="164">
        <f>IF($O21="","",INDEX(Master!$H$2:$H$1001,$O21))</f>
      </c>
      <c r="I21" s="164">
        <f>IF($O21="","",INDEX(Master!$I$2:$I$1001,$O21))</f>
      </c>
      <c r="J21" s="164">
        <f>IF($O21="","",INDEX(Master!$J$2:$J$1001,$O21))</f>
      </c>
      <c r="K21" s="248">
        <f t="shared" si="0"/>
      </c>
      <c r="L21" s="164">
        <f>IF($O21="","",INDEX(Master!$K$2:$K$1001,$O21))</f>
      </c>
      <c r="M21" s="164">
        <f>IF($O21="","",INDEX(Master!$L$2:$L$1001,$O21))</f>
      </c>
      <c r="N21" s="164"/>
      <c r="O21">
        <f t="array" ref="O21">IFERROR(SMALL(IF(Master!$A$2:$A$1001="MASHIVA STEEL AND ALLOYS LLP",ROW(Master!$A$2:$A$1001)-ROW(Master!$A$2)+1),17),"")</f>
      </c>
      <c r="P21">
        <f t="shared" si="1"/>
      </c>
    </row>
    <row r="22" spans="1:16" x14ac:dyDescent="0.25">
      <c r="A22" s="164">
        <f>IF($O22="","",INDEX(Master!$D$2:$D$1001,$O22))</f>
      </c>
      <c r="B22" s="165">
        <f>IF($O22="","",INDEX(Master!$B$2:$B$1001,$O22))</f>
      </c>
      <c r="C22" s="164">
        <f>IF($O22="","",INDEX(Master!$C$2:$C$1001,$O22))</f>
      </c>
      <c r="D22" s="164">
        <f>IF($O22="","",INDEX(Master!$A$2:$A$1001,$O22))</f>
      </c>
      <c r="E22" s="164">
        <f>IF($O22="","",INDEX(Master!$E$2:$E$1001,$O22))</f>
      </c>
      <c r="F22" s="164">
        <f>IF($O22="","",INDEX(Master!$F$2:$F$1001,$O22))</f>
      </c>
      <c r="G22" s="164">
        <f>IF($O22="","",INDEX(Master!$G$2:$G$1001,$O22))</f>
      </c>
      <c r="H22" s="164">
        <f>IF($O22="","",INDEX(Master!$H$2:$H$1001,$O22))</f>
      </c>
      <c r="I22" s="164">
        <f>IF($O22="","",INDEX(Master!$I$2:$I$1001,$O22))</f>
      </c>
      <c r="J22" s="164">
        <f>IF($O22="","",INDEX(Master!$J$2:$J$1001,$O22))</f>
      </c>
      <c r="K22" s="248">
        <f t="shared" si="0"/>
      </c>
      <c r="L22" s="164">
        <f>IF($O22="","",INDEX(Master!$K$2:$K$1001,$O22))</f>
      </c>
      <c r="M22" s="164">
        <f>IF($O22="","",INDEX(Master!$L$2:$L$1001,$O22))</f>
      </c>
      <c r="N22" s="164"/>
      <c r="O22">
        <f t="array" ref="O22">IFERROR(SMALL(IF(Master!$A$2:$A$1001="MASHIVA STEEL AND ALLOYS LLP",ROW(Master!$A$2:$A$1001)-ROW(Master!$A$2)+1),18),"")</f>
      </c>
      <c r="P22">
        <f t="shared" si="1"/>
      </c>
    </row>
    <row r="23" spans="1:16" x14ac:dyDescent="0.25">
      <c r="A23" s="164">
        <f>IF($O23="","",INDEX(Master!$D$2:$D$1001,$O23))</f>
      </c>
      <c r="B23" s="165">
        <f>IF($O23="","",INDEX(Master!$B$2:$B$1001,$O23))</f>
      </c>
      <c r="C23" s="164">
        <f>IF($O23="","",INDEX(Master!$C$2:$C$1001,$O23))</f>
      </c>
      <c r="D23" s="164">
        <f>IF($O23="","",INDEX(Master!$A$2:$A$1001,$O23))</f>
      </c>
      <c r="E23" s="164">
        <f>IF($O23="","",INDEX(Master!$E$2:$E$1001,$O23))</f>
      </c>
      <c r="F23" s="164">
        <f>IF($O23="","",INDEX(Master!$F$2:$F$1001,$O23))</f>
      </c>
      <c r="G23" s="164">
        <f>IF($O23="","",INDEX(Master!$G$2:$G$1001,$O23))</f>
      </c>
      <c r="H23" s="164">
        <f>IF($O23="","",INDEX(Master!$H$2:$H$1001,$O23))</f>
      </c>
      <c r="I23" s="164">
        <f>IF($O23="","",INDEX(Master!$I$2:$I$1001,$O23))</f>
      </c>
      <c r="J23" s="164">
        <f>IF($O23="","",INDEX(Master!$J$2:$J$1001,$O23))</f>
      </c>
      <c r="K23" s="248">
        <f t="shared" si="0"/>
      </c>
      <c r="L23" s="164">
        <f>IF($O23="","",INDEX(Master!$K$2:$K$1001,$O23))</f>
      </c>
      <c r="M23" s="164">
        <f>IF($O23="","",INDEX(Master!$L$2:$L$1001,$O23))</f>
      </c>
      <c r="N23" s="164"/>
      <c r="O23">
        <f t="array" ref="O23">IFERROR(SMALL(IF(Master!$A$2:$A$1001="MASHIVA STEEL AND ALLOYS LLP",ROW(Master!$A$2:$A$1001)-ROW(Master!$A$2)+1),19),"")</f>
      </c>
      <c r="P23">
        <f t="shared" si="1"/>
      </c>
    </row>
    <row r="24" spans="1:16" x14ac:dyDescent="0.25">
      <c r="A24" s="164">
        <f>IF($O24="","",INDEX(Master!$D$2:$D$1001,$O24))</f>
      </c>
      <c r="B24" s="165">
        <f>IF($O24="","",INDEX(Master!$B$2:$B$1001,$O24))</f>
      </c>
      <c r="C24" s="164">
        <f>IF($O24="","",INDEX(Master!$C$2:$C$1001,$O24))</f>
      </c>
      <c r="D24" s="164">
        <f>IF($O24="","",INDEX(Master!$A$2:$A$1001,$O24))</f>
      </c>
      <c r="E24" s="164">
        <f>IF($O24="","",INDEX(Master!$E$2:$E$1001,$O24))</f>
      </c>
      <c r="F24" s="164">
        <f>IF($O24="","",INDEX(Master!$F$2:$F$1001,$O24))</f>
      </c>
      <c r="G24" s="164">
        <f>IF($O24="","",INDEX(Master!$G$2:$G$1001,$O24))</f>
      </c>
      <c r="H24" s="164">
        <f>IF($O24="","",INDEX(Master!$H$2:$H$1001,$O24))</f>
      </c>
      <c r="I24" s="164">
        <f>IF($O24="","",INDEX(Master!$I$2:$I$1001,$O24))</f>
      </c>
      <c r="J24" s="164">
        <f>IF($O24="","",INDEX(Master!$J$2:$J$1001,$O24))</f>
      </c>
      <c r="K24" s="248">
        <f t="shared" si="0"/>
      </c>
      <c r="L24" s="164">
        <f>IF($O24="","",INDEX(Master!$K$2:$K$1001,$O24))</f>
      </c>
      <c r="M24" s="164">
        <f>IF($O24="","",INDEX(Master!$L$2:$L$1001,$O24))</f>
      </c>
      <c r="N24" s="164"/>
      <c r="O24">
        <f t="array" ref="O24">IFERROR(SMALL(IF(Master!$A$2:$A$1001="MASHIVA STEEL AND ALLOYS LLP",ROW(Master!$A$2:$A$1001)-ROW(Master!$A$2)+1),20),"")</f>
      </c>
      <c r="P24">
        <f t="shared" si="1"/>
      </c>
    </row>
    <row r="25" spans="1:16" x14ac:dyDescent="0.25">
      <c r="A25" s="164">
        <f>IF($O25="","",INDEX(Master!$D$2:$D$1001,$O25))</f>
      </c>
      <c r="B25" s="165">
        <f>IF($O25="","",INDEX(Master!$B$2:$B$1001,$O25))</f>
      </c>
      <c r="C25" s="164">
        <f>IF($O25="","",INDEX(Master!$C$2:$C$1001,$O25))</f>
      </c>
      <c r="D25" s="164">
        <f>IF($O25="","",INDEX(Master!$A$2:$A$1001,$O25))</f>
      </c>
      <c r="E25" s="164">
        <f>IF($O25="","",INDEX(Master!$E$2:$E$1001,$O25))</f>
      </c>
      <c r="F25" s="164">
        <f>IF($O25="","",INDEX(Master!$F$2:$F$1001,$O25))</f>
      </c>
      <c r="G25" s="164">
        <f>IF($O25="","",INDEX(Master!$G$2:$G$1001,$O25))</f>
      </c>
      <c r="H25" s="164">
        <f>IF($O25="","",INDEX(Master!$H$2:$H$1001,$O25))</f>
      </c>
      <c r="I25" s="164">
        <f>IF($O25="","",INDEX(Master!$I$2:$I$1001,$O25))</f>
      </c>
      <c r="J25" s="164">
        <f>IF($O25="","",INDEX(Master!$J$2:$J$1001,$O25))</f>
      </c>
      <c r="K25" s="248">
        <f t="shared" si="0"/>
      </c>
      <c r="L25" s="164">
        <f>IF($O25="","",INDEX(Master!$K$2:$K$1001,$O25))</f>
      </c>
      <c r="M25" s="164">
        <f>IF($O25="","",INDEX(Master!$L$2:$L$1001,$O25))</f>
      </c>
      <c r="N25" s="164"/>
      <c r="O25">
        <f t="array" ref="O25">IFERROR(SMALL(IF(Master!$A$2:$A$1001="MASHIVA STEEL AND ALLOYS LLP",ROW(Master!$A$2:$A$1001)-ROW(Master!$A$2)+1),21),"")</f>
      </c>
      <c r="P25">
        <f t="shared" si="1"/>
      </c>
    </row>
    <row r="26" spans="1:16" x14ac:dyDescent="0.25">
      <c r="A26" s="164">
        <f>IF($O26="","",INDEX(Master!$D$2:$D$1001,$O26))</f>
      </c>
      <c r="B26" s="165">
        <f>IF($O26="","",INDEX(Master!$B$2:$B$1001,$O26))</f>
      </c>
      <c r="C26" s="164">
        <f>IF($O26="","",INDEX(Master!$C$2:$C$1001,$O26))</f>
      </c>
      <c r="D26" s="164">
        <f>IF($O26="","",INDEX(Master!$A$2:$A$1001,$O26))</f>
      </c>
      <c r="E26" s="164">
        <f>IF($O26="","",INDEX(Master!$E$2:$E$1001,$O26))</f>
      </c>
      <c r="F26" s="164">
        <f>IF($O26="","",INDEX(Master!$F$2:$F$1001,$O26))</f>
      </c>
      <c r="G26" s="164">
        <f>IF($O26="","",INDEX(Master!$G$2:$G$1001,$O26))</f>
      </c>
      <c r="H26" s="164">
        <f>IF($O26="","",INDEX(Master!$H$2:$H$1001,$O26))</f>
      </c>
      <c r="I26" s="164">
        <f>IF($O26="","",INDEX(Master!$I$2:$I$1001,$O26))</f>
      </c>
      <c r="J26" s="164">
        <f>IF($O26="","",INDEX(Master!$J$2:$J$1001,$O26))</f>
      </c>
      <c r="K26" s="248">
        <f t="shared" si="0"/>
      </c>
      <c r="L26" s="164">
        <f>IF($O26="","",INDEX(Master!$K$2:$K$1001,$O26))</f>
      </c>
      <c r="M26" s="248">
        <f>IF($O26="","",INDEX(Master!$L$2:$L$1001,$O26))</f>
      </c>
      <c r="N26" s="164" t="s">
        <v>52</v>
      </c>
      <c r="O26">
        <f t="array" ref="O26">IFERROR(SMALL(IF(Master!$A$2:$A$1001="MASHIVA STEEL AND ALLOYS LLP",ROW(Master!$A$2:$A$1001)-ROW(Master!$A$2)+1),22),"")</f>
      </c>
      <c r="P26">
        <f t="shared" si="1"/>
      </c>
    </row>
    <row r="27" spans="1:16" x14ac:dyDescent="0.25">
      <c r="A27" s="164">
        <f>IF($O27="","",INDEX(Master!$D$2:$D$1001,$O27))</f>
      </c>
      <c r="B27" s="165">
        <f>IF($O27="","",INDEX(Master!$B$2:$B$1001,$O27))</f>
      </c>
      <c r="C27" s="164">
        <f>IF($O27="","",INDEX(Master!$C$2:$C$1001,$O27))</f>
      </c>
      <c r="D27" s="164">
        <f>IF($O27="","",INDEX(Master!$A$2:$A$1001,$O27))</f>
      </c>
      <c r="E27" s="164">
        <f>IF($O27="","",INDEX(Master!$E$2:$E$1001,$O27))</f>
      </c>
      <c r="F27" s="164">
        <f>IF($O27="","",INDEX(Master!$F$2:$F$1001,$O27))</f>
      </c>
      <c r="G27" s="164">
        <f>IF($O27="","",INDEX(Master!$G$2:$G$1001,$O27))</f>
      </c>
      <c r="H27" s="164">
        <f>IF($O27="","",INDEX(Master!$H$2:$H$1001,$O27))</f>
      </c>
      <c r="I27" s="164">
        <f>IF($O27="","",INDEX(Master!$I$2:$I$1001,$O27))</f>
      </c>
      <c r="J27" s="164">
        <f>IF($O27="","",INDEX(Master!$J$2:$J$1001,$O27))</f>
      </c>
      <c r="K27" s="248">
        <f t="shared" si="0"/>
      </c>
      <c r="L27" s="164">
        <f>IF($O27="","",INDEX(Master!$K$2:$K$1001,$O27))</f>
      </c>
      <c r="M27" s="164">
        <f>IF($O27="","",INDEX(Master!$L$2:$L$1001,$O27))</f>
      </c>
      <c r="N27" s="164" t="s">
        <v>52</v>
      </c>
      <c r="O27">
        <f t="array" ref="O27">IFERROR(SMALL(IF(Master!$A$2:$A$1001="MASHIVA STEEL AND ALLOYS LLP",ROW(Master!$A$2:$A$1001)-ROW(Master!$A$2)+1),23),"")</f>
      </c>
      <c r="P27">
        <f t="shared" si="1"/>
      </c>
    </row>
    <row r="28" spans="1:16" x14ac:dyDescent="0.25">
      <c r="A28" s="164">
        <f>IF($O28="","",INDEX(Master!$D$2:$D$1001,$O28))</f>
      </c>
      <c r="B28" s="165">
        <f>IF($O28="","",INDEX(Master!$B$2:$B$1001,$O28))</f>
      </c>
      <c r="C28" s="164">
        <f>IF($O28="","",INDEX(Master!$C$2:$C$1001,$O28))</f>
      </c>
      <c r="D28" s="164">
        <f>IF($O28="","",INDEX(Master!$A$2:$A$1001,$O28))</f>
      </c>
      <c r="E28" s="164">
        <f>IF($O28="","",INDEX(Master!$E$2:$E$1001,$O28))</f>
      </c>
      <c r="F28" s="164">
        <f>IF($O28="","",INDEX(Master!$F$2:$F$1001,$O28))</f>
      </c>
      <c r="G28" s="164">
        <f>IF($O28="","",INDEX(Master!$G$2:$G$1001,$O28))</f>
      </c>
      <c r="H28" s="164">
        <f>IF($O28="","",INDEX(Master!$H$2:$H$1001,$O28))</f>
      </c>
      <c r="I28" s="164">
        <f>IF($O28="","",INDEX(Master!$I$2:$I$1001,$O28))</f>
      </c>
      <c r="J28" s="164">
        <f>IF($O28="","",INDEX(Master!$J$2:$J$1001,$O28))</f>
      </c>
      <c r="K28" s="248">
        <f t="shared" si="0"/>
      </c>
      <c r="L28" s="164">
        <f>IF($O28="","",INDEX(Master!$K$2:$K$1001,$O28))</f>
      </c>
      <c r="M28" s="164">
        <f>IF($O28="","",INDEX(Master!$L$2:$L$1001,$O28))</f>
      </c>
      <c r="N28" s="164" t="s">
        <v>52</v>
      </c>
      <c r="O28">
        <f t="array" ref="O28">IFERROR(SMALL(IF(Master!$A$2:$A$1001="MASHIVA STEEL AND ALLOYS LLP",ROW(Master!$A$2:$A$1001)-ROW(Master!$A$2)+1),24),"")</f>
      </c>
      <c r="P28">
        <f t="shared" si="1"/>
      </c>
    </row>
    <row r="29" spans="1:16" x14ac:dyDescent="0.25">
      <c r="A29" s="164">
        <f>IF($O29="","",INDEX(Master!$D$2:$D$1001,$O29))</f>
      </c>
      <c r="B29" s="165">
        <f>IF($O29="","",INDEX(Master!$B$2:$B$1001,$O29))</f>
      </c>
      <c r="C29" s="164">
        <f>IF($O29="","",INDEX(Master!$C$2:$C$1001,$O29))</f>
      </c>
      <c r="D29" s="164">
        <f>IF($O29="","",INDEX(Master!$A$2:$A$1001,$O29))</f>
      </c>
      <c r="E29" s="164">
        <f>IF($O29="","",INDEX(Master!$E$2:$E$1001,$O29))</f>
      </c>
      <c r="F29" s="164">
        <f>IF($O29="","",INDEX(Master!$F$2:$F$1001,$O29))</f>
      </c>
      <c r="G29" s="164">
        <f>IF($O29="","",INDEX(Master!$G$2:$G$1001,$O29))</f>
      </c>
      <c r="H29" s="164">
        <f>IF($O29="","",INDEX(Master!$H$2:$H$1001,$O29))</f>
      </c>
      <c r="I29" s="164">
        <f>IF($O29="","",INDEX(Master!$I$2:$I$1001,$O29))</f>
      </c>
      <c r="J29" s="164">
        <f>IF($O29="","",INDEX(Master!$J$2:$J$1001,$O29))</f>
      </c>
      <c r="K29" s="248">
        <f t="shared" si="0"/>
      </c>
      <c r="L29" s="164">
        <f>IF($O29="","",INDEX(Master!$K$2:$K$1001,$O29))</f>
      </c>
      <c r="M29" s="164">
        <f>IF($O29="","",INDEX(Master!$L$2:$L$1001,$O29))</f>
      </c>
      <c r="N29" s="164" t="s">
        <v>52</v>
      </c>
      <c r="O29">
        <f t="array" ref="O29">IFERROR(SMALL(IF(Master!$A$2:$A$1001="MASHIVA STEEL AND ALLOYS LLP",ROW(Master!$A$2:$A$1001)-ROW(Master!$A$2)+1),25),"")</f>
      </c>
      <c r="P29">
        <f t="shared" si="1"/>
      </c>
    </row>
    <row r="30" spans="1:16" x14ac:dyDescent="0.25">
      <c r="A30" s="164">
        <f>IF($O30="","",INDEX(Master!$D$2:$D$1001,$O30))</f>
      </c>
      <c r="B30" s="165">
        <f>IF($O30="","",INDEX(Master!$B$2:$B$1001,$O30))</f>
      </c>
      <c r="C30" s="164">
        <f>IF($O30="","",INDEX(Master!$C$2:$C$1001,$O30))</f>
      </c>
      <c r="D30" s="164">
        <f>IF($O30="","",INDEX(Master!$A$2:$A$1001,$O30))</f>
      </c>
      <c r="E30" s="164">
        <f>IF($O30="","",INDEX(Master!$E$2:$E$1001,$O30))</f>
      </c>
      <c r="F30" s="164">
        <f>IF($O30="","",INDEX(Master!$F$2:$F$1001,$O30))</f>
      </c>
      <c r="G30" s="164">
        <f>IF($O30="","",INDEX(Master!$G$2:$G$1001,$O30))</f>
      </c>
      <c r="H30" s="164">
        <f>IF($O30="","",INDEX(Master!$H$2:$H$1001,$O30))</f>
      </c>
      <c r="I30" s="164">
        <f>IF($O30="","",INDEX(Master!$I$2:$I$1001,$O30))</f>
      </c>
      <c r="J30" s="164">
        <f>IF($O30="","",INDEX(Master!$J$2:$J$1001,$O30))</f>
      </c>
      <c r="K30" s="248">
        <f t="shared" si="0"/>
      </c>
      <c r="L30" s="164">
        <f>IF($O30="","",INDEX(Master!$K$2:$K$1001,$O30))</f>
      </c>
      <c r="M30" s="164">
        <f>IF($O30="","",INDEX(Master!$L$2:$L$1001,$O30))</f>
      </c>
      <c r="N30" s="164" t="s">
        <v>52</v>
      </c>
      <c r="O30">
        <f t="array" ref="O30">IFERROR(SMALL(IF(Master!$A$2:$A$1001="MASHIVA STEEL AND ALLOYS LLP",ROW(Master!$A$2:$A$1001)-ROW(Master!$A$2)+1),26),"")</f>
      </c>
      <c r="P30">
        <f t="shared" si="1"/>
      </c>
    </row>
    <row r="31" spans="1:16" x14ac:dyDescent="0.25">
      <c r="A31" s="164">
        <f>IF($O31="","",INDEX(Master!$D$2:$D$1001,$O31))</f>
      </c>
      <c r="B31" s="165">
        <f>IF($O31="","",INDEX(Master!$B$2:$B$1001,$O31))</f>
      </c>
      <c r="C31" s="164">
        <f>IF($O31="","",INDEX(Master!$C$2:$C$1001,$O31))</f>
      </c>
      <c r="D31" s="164">
        <f>IF($O31="","",INDEX(Master!$A$2:$A$1001,$O31))</f>
      </c>
      <c r="E31" s="164">
        <f>IF($O31="","",INDEX(Master!$E$2:$E$1001,$O31))</f>
      </c>
      <c r="F31" s="164">
        <f>IF($O31="","",INDEX(Master!$F$2:$F$1001,$O31))</f>
      </c>
      <c r="G31" s="164">
        <f>IF($O31="","",INDEX(Master!$G$2:$G$1001,$O31))</f>
      </c>
      <c r="H31" s="164">
        <f>IF($O31="","",INDEX(Master!$H$2:$H$1001,$O31))</f>
      </c>
      <c r="I31" s="164">
        <f>IF($O31="","",INDEX(Master!$I$2:$I$1001,$O31))</f>
      </c>
      <c r="J31" s="164">
        <f>IF($O31="","",INDEX(Master!$J$2:$J$1001,$O31))</f>
      </c>
      <c r="K31" s="248">
        <f t="shared" si="0"/>
      </c>
      <c r="L31" s="164">
        <f>IF($O31="","",INDEX(Master!$K$2:$K$1001,$O31))</f>
      </c>
      <c r="M31" s="164">
        <f>IF($O31="","",INDEX(Master!$L$2:$L$1001,$O31))</f>
      </c>
      <c r="N31" s="164" t="s">
        <v>52</v>
      </c>
      <c r="O31">
        <f t="array" ref="O31">IFERROR(SMALL(IF(Master!$A$2:$A$1001="MASHIVA STEEL AND ALLOYS LLP",ROW(Master!$A$2:$A$1001)-ROW(Master!$A$2)+1),27),"")</f>
      </c>
      <c r="P31">
        <f t="shared" si="1"/>
      </c>
    </row>
    <row r="32" spans="1:16" x14ac:dyDescent="0.25">
      <c r="A32" s="164">
        <f>IF($O32="","",INDEX(Master!$D$2:$D$1001,$O32))</f>
      </c>
      <c r="B32" s="165">
        <f>IF($O32="","",INDEX(Master!$B$2:$B$1001,$O32))</f>
      </c>
      <c r="C32" s="164">
        <f>IF($O32="","",INDEX(Master!$C$2:$C$1001,$O32))</f>
      </c>
      <c r="D32" s="164">
        <f>IF($O32="","",INDEX(Master!$A$2:$A$1001,$O32))</f>
      </c>
      <c r="E32" s="164">
        <f>IF($O32="","",INDEX(Master!$E$2:$E$1001,$O32))</f>
      </c>
      <c r="F32" s="164">
        <f>IF($O32="","",INDEX(Master!$F$2:$F$1001,$O32))</f>
      </c>
      <c r="G32" s="164">
        <f>IF($O32="","",INDEX(Master!$G$2:$G$1001,$O32))</f>
      </c>
      <c r="H32" s="164">
        <f>IF($O32="","",INDEX(Master!$H$2:$H$1001,$O32))</f>
      </c>
      <c r="I32" s="164">
        <f>IF($O32="","",INDEX(Master!$I$2:$I$1001,$O32))</f>
      </c>
      <c r="J32" s="164">
        <f>IF($O32="","",INDEX(Master!$J$2:$J$1001,$O32))</f>
      </c>
      <c r="K32" s="248">
        <f t="shared" si="0"/>
      </c>
      <c r="L32" s="164">
        <f>IF($O32="","",INDEX(Master!$K$2:$K$1001,$O32))</f>
      </c>
      <c r="M32" s="164">
        <f>IF($O32="","",INDEX(Master!$L$2:$L$1001,$O32))</f>
      </c>
      <c r="N32" s="164" t="s">
        <v>52</v>
      </c>
      <c r="O32">
        <f t="array" ref="O32">IFERROR(SMALL(IF(Master!$A$2:$A$1001="MASHIVA STEEL AND ALLOYS LLP",ROW(Master!$A$2:$A$1001)-ROW(Master!$A$2)+1),28),"")</f>
      </c>
      <c r="P32">
        <f t="shared" si="1"/>
      </c>
    </row>
    <row r="33" spans="1:16" x14ac:dyDescent="0.25">
      <c r="A33" s="164">
        <f>IF($O33="","",INDEX(Master!$D$2:$D$1001,$O33))</f>
      </c>
      <c r="B33" s="165">
        <f>IF($O33="","",INDEX(Master!$B$2:$B$1001,$O33))</f>
      </c>
      <c r="C33" s="164">
        <f>IF($O33="","",INDEX(Master!$C$2:$C$1001,$O33))</f>
      </c>
      <c r="D33" s="164">
        <f>IF($O33="","",INDEX(Master!$A$2:$A$1001,$O33))</f>
      </c>
      <c r="E33" s="164">
        <f>IF($O33="","",INDEX(Master!$E$2:$E$1001,$O33))</f>
      </c>
      <c r="F33" s="164">
        <f>IF($O33="","",INDEX(Master!$F$2:$F$1001,$O33))</f>
      </c>
      <c r="G33" s="164">
        <f>IF($O33="","",INDEX(Master!$G$2:$G$1001,$O33))</f>
      </c>
      <c r="H33" s="164">
        <f>IF($O33="","",INDEX(Master!$H$2:$H$1001,$O33))</f>
      </c>
      <c r="I33" s="164">
        <f>IF($O33="","",INDEX(Master!$I$2:$I$1001,$O33))</f>
      </c>
      <c r="J33" s="164">
        <f>IF($O33="","",INDEX(Master!$J$2:$J$1001,$O33))</f>
      </c>
      <c r="K33" s="248">
        <f t="shared" si="0"/>
      </c>
      <c r="L33" s="164">
        <f>IF($O33="","",INDEX(Master!$K$2:$K$1001,$O33))</f>
      </c>
      <c r="M33" s="164">
        <f>IF($O33="","",INDEX(Master!$L$2:$L$1001,$O33))</f>
      </c>
      <c r="N33" s="164" t="s">
        <v>52</v>
      </c>
      <c r="O33">
        <f t="array" ref="O33">IFERROR(SMALL(IF(Master!$A$2:$A$1001="MASHIVA STEEL AND ALLOYS LLP",ROW(Master!$A$2:$A$1001)-ROW(Master!$A$2)+1),29),"")</f>
      </c>
      <c r="P33">
        <f t="shared" si="1"/>
      </c>
    </row>
    <row r="34" spans="1:16" x14ac:dyDescent="0.25">
      <c r="A34" s="164">
        <f>IF($O34="","",INDEX(Master!$D$2:$D$1001,$O34))</f>
      </c>
      <c r="B34" s="165">
        <f>IF($O34="","",INDEX(Master!$B$2:$B$1001,$O34))</f>
      </c>
      <c r="C34" s="164">
        <f>IF($O34="","",INDEX(Master!$C$2:$C$1001,$O34))</f>
      </c>
      <c r="D34" s="164">
        <f>IF($O34="","",INDEX(Master!$A$2:$A$1001,$O34))</f>
      </c>
      <c r="E34" s="164">
        <f>IF($O34="","",INDEX(Master!$E$2:$E$1001,$O34))</f>
      </c>
      <c r="F34" s="164">
        <f>IF($O34="","",INDEX(Master!$F$2:$F$1001,$O34))</f>
      </c>
      <c r="G34" s="164">
        <f>IF($O34="","",INDEX(Master!$G$2:$G$1001,$O34))</f>
      </c>
      <c r="H34" s="164">
        <f>IF($O34="","",INDEX(Master!$H$2:$H$1001,$O34))</f>
      </c>
      <c r="I34" s="164">
        <f>IF($O34="","",INDEX(Master!$I$2:$I$1001,$O34))</f>
      </c>
      <c r="J34" s="164">
        <f>IF($O34="","",INDEX(Master!$J$2:$J$1001,$O34))</f>
      </c>
      <c r="K34" s="248">
        <f t="shared" si="0"/>
      </c>
      <c r="L34" s="164">
        <f>IF($O34="","",INDEX(Master!$K$2:$K$1001,$O34))</f>
      </c>
      <c r="M34" s="164">
        <f>IF($O34="","",INDEX(Master!$L$2:$L$1001,$O34))</f>
      </c>
      <c r="N34" s="164" t="s">
        <v>52</v>
      </c>
      <c r="O34">
        <f t="array" ref="O34">IFERROR(SMALL(IF(Master!$A$2:$A$1001="MASHIVA STEEL AND ALLOYS LLP",ROW(Master!$A$2:$A$1001)-ROW(Master!$A$2)+1),30),"")</f>
      </c>
      <c r="P34">
        <f t="shared" si="1"/>
      </c>
    </row>
    <row r="35" spans="1:16" x14ac:dyDescent="0.25">
      <c r="A35" s="164">
        <f>IF($O35="","",INDEX(Master!$D$2:$D$1001,$O35))</f>
      </c>
      <c r="B35" s="165">
        <f>IF($O35="","",INDEX(Master!$B$2:$B$1001,$O35))</f>
      </c>
      <c r="C35" s="164">
        <f>IF($O35="","",INDEX(Master!$C$2:$C$1001,$O35))</f>
      </c>
      <c r="D35" s="164">
        <f>IF($O35="","",INDEX(Master!$A$2:$A$1001,$O35))</f>
      </c>
      <c r="E35" s="164">
        <f>IF($O35="","",INDEX(Master!$E$2:$E$1001,$O35))</f>
      </c>
      <c r="F35" s="164">
        <f>IF($O35="","",INDEX(Master!$F$2:$F$1001,$O35))</f>
      </c>
      <c r="G35" s="164">
        <f>IF($O35="","",INDEX(Master!$G$2:$G$1001,$O35))</f>
      </c>
      <c r="H35" s="164">
        <f>IF($O35="","",INDEX(Master!$H$2:$H$1001,$O35))</f>
      </c>
      <c r="I35" s="164">
        <f>IF($O35="","",INDEX(Master!$I$2:$I$1001,$O35))</f>
      </c>
      <c r="J35" s="164">
        <f>IF($O35="","",INDEX(Master!$J$2:$J$1001,$O35))</f>
      </c>
      <c r="K35" s="248">
        <f t="shared" si="0"/>
      </c>
      <c r="L35" s="164">
        <f>IF($O35="","",INDEX(Master!$K$2:$K$1001,$O35))</f>
      </c>
      <c r="M35" s="164">
        <f>IF($O35="","",INDEX(Master!$L$2:$L$1001,$O35))</f>
      </c>
      <c r="N35" s="164" t="s">
        <v>52</v>
      </c>
      <c r="O35">
        <f t="array" ref="O35">IFERROR(SMALL(IF(Master!$A$2:$A$1001="MASHIVA STEEL AND ALLOYS LLP",ROW(Master!$A$2:$A$1001)-ROW(Master!$A$2)+1),31),"")</f>
      </c>
      <c r="P35">
        <f t="shared" si="1"/>
      </c>
    </row>
    <row r="36" spans="1:16" x14ac:dyDescent="0.25">
      <c r="A36" s="164">
        <f>IF($O36="","",INDEX(Master!$D$2:$D$1001,$O36))</f>
      </c>
      <c r="B36" s="165">
        <f>IF($O36="","",INDEX(Master!$B$2:$B$1001,$O36))</f>
      </c>
      <c r="C36" s="164">
        <f>IF($O36="","",INDEX(Master!$C$2:$C$1001,$O36))</f>
      </c>
      <c r="D36" s="164">
        <f>IF($O36="","",INDEX(Master!$A$2:$A$1001,$O36))</f>
      </c>
      <c r="E36" s="164">
        <f>IF($O36="","",INDEX(Master!$E$2:$E$1001,$O36))</f>
      </c>
      <c r="F36" s="164">
        <f>IF($O36="","",INDEX(Master!$F$2:$F$1001,$O36))</f>
      </c>
      <c r="G36" s="164">
        <f>IF($O36="","",INDEX(Master!$G$2:$G$1001,$O36))</f>
      </c>
      <c r="H36" s="164">
        <f>IF($O36="","",INDEX(Master!$H$2:$H$1001,$O36))</f>
      </c>
      <c r="I36" s="164">
        <f>IF($O36="","",INDEX(Master!$I$2:$I$1001,$O36))</f>
      </c>
      <c r="J36" s="164">
        <f>IF($O36="","",INDEX(Master!$J$2:$J$1001,$O36))</f>
      </c>
      <c r="K36" s="248">
        <f t="shared" si="0"/>
      </c>
      <c r="L36" s="164">
        <f>IF($O36="","",INDEX(Master!$K$2:$K$1001,$O36))</f>
      </c>
      <c r="M36" s="164">
        <f>IF($O36="","",INDEX(Master!$L$2:$L$1001,$O36))</f>
      </c>
      <c r="N36" s="164" t="s">
        <v>52</v>
      </c>
      <c r="O36">
        <f t="array" ref="O36">IFERROR(SMALL(IF(Master!$A$2:$A$1001="MASHIVA STEEL AND ALLOYS LLP",ROW(Master!$A$2:$A$1001)-ROW(Master!$A$2)+1),32),"")</f>
      </c>
      <c r="P36">
        <f t="shared" si="1"/>
      </c>
    </row>
    <row r="37" spans="1:16" x14ac:dyDescent="0.25">
      <c r="A37" s="164">
        <f>IF($O37="","",INDEX(Master!$D$2:$D$1001,$O37))</f>
      </c>
      <c r="B37" s="165">
        <f>IF($O37="","",INDEX(Master!$B$2:$B$1001,$O37))</f>
      </c>
      <c r="C37" s="164">
        <f>IF($O37="","",INDEX(Master!$C$2:$C$1001,$O37))</f>
      </c>
      <c r="D37" s="164">
        <f>IF($O37="","",INDEX(Master!$A$2:$A$1001,$O37))</f>
      </c>
      <c r="E37" s="164">
        <f>IF($O37="","",INDEX(Master!$E$2:$E$1001,$O37))</f>
      </c>
      <c r="F37" s="164">
        <f>IF($O37="","",INDEX(Master!$F$2:$F$1001,$O37))</f>
      </c>
      <c r="G37" s="164">
        <f>IF($O37="","",INDEX(Master!$G$2:$G$1001,$O37))</f>
      </c>
      <c r="H37" s="164">
        <f>IF($O37="","",INDEX(Master!$H$2:$H$1001,$O37))</f>
      </c>
      <c r="I37" s="164">
        <f>IF($O37="","",INDEX(Master!$I$2:$I$1001,$O37))</f>
      </c>
      <c r="J37" s="164">
        <f>IF($O37="","",INDEX(Master!$J$2:$J$1001,$O37))</f>
      </c>
      <c r="K37" s="248">
        <f t="shared" si="0"/>
      </c>
      <c r="L37" s="164">
        <f>IF($O37="","",INDEX(Master!$K$2:$K$1001,$O37))</f>
      </c>
      <c r="M37" s="164">
        <f>IF($O37="","",INDEX(Master!$L$2:$L$1001,$O37))</f>
      </c>
      <c r="N37" s="164" t="s">
        <v>52</v>
      </c>
      <c r="O37">
        <f t="array" ref="O37">IFERROR(SMALL(IF(Master!$A$2:$A$1001="MASHIVA STEEL AND ALLOYS LLP",ROW(Master!$A$2:$A$1001)-ROW(Master!$A$2)+1),33),"")</f>
      </c>
      <c r="P37">
        <f t="shared" si="1"/>
      </c>
    </row>
    <row r="38" spans="1:16" x14ac:dyDescent="0.25">
      <c r="A38" s="164">
        <f>IF($O38="","",INDEX(Master!$D$2:$D$1001,$O38))</f>
      </c>
      <c r="B38" s="165">
        <f>IF($O38="","",INDEX(Master!$B$2:$B$1001,$O38))</f>
      </c>
      <c r="C38" s="164">
        <f>IF($O38="","",INDEX(Master!$C$2:$C$1001,$O38))</f>
      </c>
      <c r="D38" s="164">
        <f>IF($O38="","",INDEX(Master!$A$2:$A$1001,$O38))</f>
      </c>
      <c r="E38" s="164">
        <f>IF($O38="","",INDEX(Master!$E$2:$E$1001,$O38))</f>
      </c>
      <c r="F38" s="164">
        <f>IF($O38="","",INDEX(Master!$F$2:$F$1001,$O38))</f>
      </c>
      <c r="G38" s="164">
        <f>IF($O38="","",INDEX(Master!$G$2:$G$1001,$O38))</f>
      </c>
      <c r="H38" s="164">
        <f>IF($O38="","",INDEX(Master!$H$2:$H$1001,$O38))</f>
      </c>
      <c r="I38" s="164">
        <f>IF($O38="","",INDEX(Master!$I$2:$I$1001,$O38))</f>
      </c>
      <c r="J38" s="164">
        <f>IF($O38="","",INDEX(Master!$J$2:$J$1001,$O38))</f>
      </c>
      <c r="K38" s="248">
        <f t="shared" si="0"/>
      </c>
      <c r="L38" s="164">
        <f>IF($O38="","",INDEX(Master!$K$2:$K$1001,$O38))</f>
      </c>
      <c r="M38" s="164">
        <f>IF($O38="","",INDEX(Master!$L$2:$L$1001,$O38))</f>
      </c>
      <c r="N38" s="164" t="s">
        <v>52</v>
      </c>
      <c r="O38">
        <f t="array" ref="O38">IFERROR(SMALL(IF(Master!$A$2:$A$1001="MASHIVA STEEL AND ALLOYS LLP",ROW(Master!$A$2:$A$1001)-ROW(Master!$A$2)+1),34),"")</f>
      </c>
      <c r="P38">
        <f t="shared" si="1"/>
      </c>
    </row>
    <row r="39" spans="1:16" x14ac:dyDescent="0.25">
      <c r="A39" s="164">
        <f>IF($O39="","",INDEX(Master!$D$2:$D$1001,$O39))</f>
      </c>
      <c r="B39" s="165">
        <f>IF($O39="","",INDEX(Master!$B$2:$B$1001,$O39))</f>
      </c>
      <c r="C39" s="164">
        <f>IF($O39="","",INDEX(Master!$C$2:$C$1001,$O39))</f>
      </c>
      <c r="D39" s="164">
        <f>IF($O39="","",INDEX(Master!$A$2:$A$1001,$O39))</f>
      </c>
      <c r="E39" s="164">
        <f>IF($O39="","",INDEX(Master!$E$2:$E$1001,$O39))</f>
      </c>
      <c r="F39" s="164">
        <f>IF($O39="","",INDEX(Master!$F$2:$F$1001,$O39))</f>
      </c>
      <c r="G39" s="164">
        <f>IF($O39="","",INDEX(Master!$G$2:$G$1001,$O39))</f>
      </c>
      <c r="H39" s="164">
        <f>IF($O39="","",INDEX(Master!$H$2:$H$1001,$O39))</f>
      </c>
      <c r="I39" s="164">
        <f>IF($O39="","",INDEX(Master!$I$2:$I$1001,$O39))</f>
      </c>
      <c r="J39" s="164">
        <f>IF($O39="","",INDEX(Master!$J$2:$J$1001,$O39))</f>
      </c>
      <c r="K39" s="248">
        <f t="shared" si="0"/>
      </c>
      <c r="L39" s="164">
        <f>IF($O39="","",INDEX(Master!$K$2:$K$1001,$O39))</f>
      </c>
      <c r="M39" s="164">
        <f>IF($O39="","",INDEX(Master!$L$2:$L$1001,$O39))</f>
      </c>
      <c r="N39" s="164" t="s">
        <v>52</v>
      </c>
      <c r="O39">
        <f t="array" ref="O39">IFERROR(SMALL(IF(Master!$A$2:$A$1001="MASHIVA STEEL AND ALLOYS LLP",ROW(Master!$A$2:$A$1001)-ROW(Master!$A$2)+1),35),"")</f>
      </c>
      <c r="P39">
        <f t="shared" si="1"/>
      </c>
    </row>
    <row r="40" spans="1:16" x14ac:dyDescent="0.25">
      <c r="A40" s="164">
        <f>IF($O40="","",INDEX(Master!$D$2:$D$1001,$O40))</f>
      </c>
      <c r="B40" s="165">
        <f>IF($O40="","",INDEX(Master!$B$2:$B$1001,$O40))</f>
      </c>
      <c r="C40" s="164">
        <f>IF($O40="","",INDEX(Master!$C$2:$C$1001,$O40))</f>
      </c>
      <c r="D40" s="164">
        <f>IF($O40="","",INDEX(Master!$A$2:$A$1001,$O40))</f>
      </c>
      <c r="E40" s="164">
        <f>IF($O40="","",INDEX(Master!$E$2:$E$1001,$O40))</f>
      </c>
      <c r="F40" s="164">
        <f>IF($O40="","",INDEX(Master!$F$2:$F$1001,$O40))</f>
      </c>
      <c r="G40" s="164">
        <f>IF($O40="","",INDEX(Master!$G$2:$G$1001,$O40))</f>
      </c>
      <c r="H40" s="164">
        <f>IF($O40="","",INDEX(Master!$H$2:$H$1001,$O40))</f>
      </c>
      <c r="I40" s="164">
        <f>IF($O40="","",INDEX(Master!$I$2:$I$1001,$O40))</f>
      </c>
      <c r="J40" s="164">
        <f>IF($O40="","",INDEX(Master!$J$2:$J$1001,$O40))</f>
      </c>
      <c r="K40" s="248">
        <f t="shared" si="0"/>
      </c>
      <c r="L40" s="164">
        <f>IF($O40="","",INDEX(Master!$K$2:$K$1001,$O40))</f>
      </c>
      <c r="M40" s="164">
        <f>IF($O40="","",INDEX(Master!$L$2:$L$1001,$O40))</f>
      </c>
      <c r="N40" s="164" t="s">
        <v>52</v>
      </c>
      <c r="O40">
        <f t="array" ref="O40">IFERROR(SMALL(IF(Master!$A$2:$A$1001="MASHIVA STEEL AND ALLOYS LLP",ROW(Master!$A$2:$A$1001)-ROW(Master!$A$2)+1),36),"")</f>
      </c>
      <c r="P40">
        <f t="shared" si="1"/>
      </c>
    </row>
    <row r="41" spans="1:16" x14ac:dyDescent="0.25">
      <c r="A41" s="164">
        <f>IF($O41="","",INDEX(Master!$D$2:$D$1001,$O41))</f>
      </c>
      <c r="B41" s="165">
        <f>IF($O41="","",INDEX(Master!$B$2:$B$1001,$O41))</f>
      </c>
      <c r="C41" s="164">
        <f>IF($O41="","",INDEX(Master!$C$2:$C$1001,$O41))</f>
      </c>
      <c r="D41" s="164">
        <f>IF($O41="","",INDEX(Master!$A$2:$A$1001,$O41))</f>
      </c>
      <c r="E41" s="164">
        <f>IF($O41="","",INDEX(Master!$E$2:$E$1001,$O41))</f>
      </c>
      <c r="F41" s="164">
        <f>IF($O41="","",INDEX(Master!$F$2:$F$1001,$O41))</f>
      </c>
      <c r="G41" s="164">
        <f>IF($O41="","",INDEX(Master!$G$2:$G$1001,$O41))</f>
      </c>
      <c r="H41" s="164">
        <f>IF($O41="","",INDEX(Master!$H$2:$H$1001,$O41))</f>
      </c>
      <c r="I41" s="164">
        <f>IF($O41="","",INDEX(Master!$I$2:$I$1001,$O41))</f>
      </c>
      <c r="J41" s="164">
        <f>IF($O41="","",INDEX(Master!$J$2:$J$1001,$O41))</f>
      </c>
      <c r="K41" s="248">
        <f t="shared" si="0"/>
      </c>
      <c r="L41" s="164">
        <f>IF($O41="","",INDEX(Master!$K$2:$K$1001,$O41))</f>
      </c>
      <c r="M41" s="164">
        <f>IF($O41="","",INDEX(Master!$L$2:$L$1001,$O41))</f>
      </c>
      <c r="N41" s="164" t="s">
        <v>52</v>
      </c>
      <c r="O41">
        <f t="array" ref="O41">IFERROR(SMALL(IF(Master!$A$2:$A$1001="MASHIVA STEEL AND ALLOYS LLP",ROW(Master!$A$2:$A$1001)-ROW(Master!$A$2)+1),37),"")</f>
      </c>
      <c r="P41">
        <f t="shared" si="1"/>
      </c>
    </row>
    <row r="42" spans="1:16" x14ac:dyDescent="0.25">
      <c r="A42" s="164">
        <f>IF($O42="","",INDEX(Master!$D$2:$D$1001,$O42))</f>
      </c>
      <c r="B42" s="165">
        <f>IF($O42="","",INDEX(Master!$B$2:$B$1001,$O42))</f>
      </c>
      <c r="C42" s="164">
        <f>IF($O42="","",INDEX(Master!$C$2:$C$1001,$O42))</f>
      </c>
      <c r="D42" s="164">
        <f>IF($O42="","",INDEX(Master!$A$2:$A$1001,$O42))</f>
      </c>
      <c r="E42" s="164">
        <f>IF($O42="","",INDEX(Master!$E$2:$E$1001,$O42))</f>
      </c>
      <c r="F42" s="164">
        <f>IF($O42="","",INDEX(Master!$F$2:$F$1001,$O42))</f>
      </c>
      <c r="G42" s="164">
        <f>IF($O42="","",INDEX(Master!$G$2:$G$1001,$O42))</f>
      </c>
      <c r="H42" s="164">
        <f>IF($O42="","",INDEX(Master!$H$2:$H$1001,$O42))</f>
      </c>
      <c r="I42" s="164">
        <f>IF($O42="","",INDEX(Master!$I$2:$I$1001,$O42))</f>
      </c>
      <c r="J42" s="164">
        <f>IF($O42="","",INDEX(Master!$J$2:$J$1001,$O42))</f>
      </c>
      <c r="K42" s="248">
        <f t="shared" si="0"/>
      </c>
      <c r="L42" s="164">
        <f>IF($O42="","",INDEX(Master!$K$2:$K$1001,$O42))</f>
      </c>
      <c r="M42" s="164">
        <f>IF($O42="","",INDEX(Master!$L$2:$L$1001,$O42))</f>
      </c>
      <c r="N42" s="164" t="s">
        <v>52</v>
      </c>
      <c r="O42">
        <f t="array" ref="O42">IFERROR(SMALL(IF(Master!$A$2:$A$1001="MASHIVA STEEL AND ALLOYS LLP",ROW(Master!$A$2:$A$1001)-ROW(Master!$A$2)+1),38),"")</f>
      </c>
      <c r="P42">
        <f t="shared" si="1"/>
      </c>
    </row>
    <row r="43" spans="1:16" x14ac:dyDescent="0.25">
      <c r="A43" s="164">
        <f>IF($O43="","",INDEX(Master!$D$2:$D$1001,$O43))</f>
      </c>
      <c r="B43" s="165">
        <f>IF($O43="","",INDEX(Master!$B$2:$B$1001,$O43))</f>
      </c>
      <c r="C43" s="164">
        <f>IF($O43="","",INDEX(Master!$C$2:$C$1001,$O43))</f>
      </c>
      <c r="D43" s="164">
        <f>IF($O43="","",INDEX(Master!$A$2:$A$1001,$O43))</f>
      </c>
      <c r="E43" s="164">
        <f>IF($O43="","",INDEX(Master!$E$2:$E$1001,$O43))</f>
      </c>
      <c r="F43" s="164">
        <f>IF($O43="","",INDEX(Master!$F$2:$F$1001,$O43))</f>
      </c>
      <c r="G43" s="164">
        <f>IF($O43="","",INDEX(Master!$G$2:$G$1001,$O43))</f>
      </c>
      <c r="H43" s="164">
        <f>IF($O43="","",INDEX(Master!$H$2:$H$1001,$O43))</f>
      </c>
      <c r="I43" s="164">
        <f>IF($O43="","",INDEX(Master!$I$2:$I$1001,$O43))</f>
      </c>
      <c r="J43" s="164">
        <f>IF($O43="","",INDEX(Master!$J$2:$J$1001,$O43))</f>
      </c>
      <c r="K43" s="248">
        <f t="shared" si="0"/>
      </c>
      <c r="L43" s="164">
        <f>IF($O43="","",INDEX(Master!$K$2:$K$1001,$O43))</f>
      </c>
      <c r="M43" s="164">
        <f>IF($O43="","",INDEX(Master!$L$2:$L$1001,$O43))</f>
      </c>
      <c r="N43" s="164" t="s">
        <v>52</v>
      </c>
      <c r="O43">
        <f t="array" ref="O43">IFERROR(SMALL(IF(Master!$A$2:$A$1001="MASHIVA STEEL AND ALLOYS LLP",ROW(Master!$A$2:$A$1001)-ROW(Master!$A$2)+1),39),"")</f>
      </c>
      <c r="P43">
        <f t="shared" si="1"/>
      </c>
    </row>
    <row r="44" spans="1:16" x14ac:dyDescent="0.25">
      <c r="A44" s="164">
        <f>IF($O44="","",INDEX(Master!$D$2:$D$1001,$O44))</f>
      </c>
      <c r="B44" s="165">
        <f>IF($O44="","",INDEX(Master!$B$2:$B$1001,$O44))</f>
      </c>
      <c r="C44" s="164">
        <f>IF($O44="","",INDEX(Master!$C$2:$C$1001,$O44))</f>
      </c>
      <c r="D44" s="164">
        <f>IF($O44="","",INDEX(Master!$A$2:$A$1001,$O44))</f>
      </c>
      <c r="E44" s="164">
        <f>IF($O44="","",INDEX(Master!$E$2:$E$1001,$O44))</f>
      </c>
      <c r="F44" s="164">
        <f>IF($O44="","",INDEX(Master!$F$2:$F$1001,$O44))</f>
      </c>
      <c r="G44" s="164">
        <f>IF($O44="","",INDEX(Master!$G$2:$G$1001,$O44))</f>
      </c>
      <c r="H44" s="164">
        <f>IF($O44="","",INDEX(Master!$H$2:$H$1001,$O44))</f>
      </c>
      <c r="I44" s="164">
        <f>IF($O44="","",INDEX(Master!$I$2:$I$1001,$O44))</f>
      </c>
      <c r="J44" s="164">
        <f>IF($O44="","",INDEX(Master!$J$2:$J$1001,$O44))</f>
      </c>
      <c r="K44" s="248">
        <f t="shared" si="0"/>
      </c>
      <c r="L44" s="164">
        <f>IF($O44="","",INDEX(Master!$K$2:$K$1001,$O44))</f>
      </c>
      <c r="M44" s="164">
        <f>IF($O44="","",INDEX(Master!$L$2:$L$1001,$O44))</f>
      </c>
      <c r="N44" s="164" t="s">
        <v>52</v>
      </c>
      <c r="O44">
        <f t="array" ref="O44">IFERROR(SMALL(IF(Master!$A$2:$A$1001="MASHIVA STEEL AND ALLOYS LLP",ROW(Master!$A$2:$A$1001)-ROW(Master!$A$2)+1),40),"")</f>
      </c>
      <c r="P44">
        <f t="shared" si="1"/>
      </c>
    </row>
    <row r="45" spans="1:16" x14ac:dyDescent="0.25">
      <c r="A45" s="164">
        <f>IF($O45="","",INDEX(Master!$D$2:$D$1001,$O45))</f>
      </c>
      <c r="B45" s="165">
        <f>IF($O45="","",INDEX(Master!$B$2:$B$1001,$O45))</f>
      </c>
      <c r="C45" s="164">
        <f>IF($O45="","",INDEX(Master!$C$2:$C$1001,$O45))</f>
      </c>
      <c r="D45" s="164">
        <f>IF($O45="","",INDEX(Master!$A$2:$A$1001,$O45))</f>
      </c>
      <c r="E45" s="164">
        <f>IF($O45="","",INDEX(Master!$E$2:$E$1001,$O45))</f>
      </c>
      <c r="F45" s="164">
        <f>IF($O45="","",INDEX(Master!$F$2:$F$1001,$O45))</f>
      </c>
      <c r="G45" s="164">
        <f>IF($O45="","",INDEX(Master!$G$2:$G$1001,$O45))</f>
      </c>
      <c r="H45" s="164">
        <f>IF($O45="","",INDEX(Master!$H$2:$H$1001,$O45))</f>
      </c>
      <c r="I45" s="164">
        <f>IF($O45="","",INDEX(Master!$I$2:$I$1001,$O45))</f>
      </c>
      <c r="J45" s="164">
        <f>IF($O45="","",INDEX(Master!$J$2:$J$1001,$O45))</f>
      </c>
      <c r="K45" s="248">
        <f t="shared" si="0"/>
      </c>
      <c r="L45" s="164">
        <f>IF($O45="","",INDEX(Master!$K$2:$K$1001,$O45))</f>
      </c>
      <c r="M45" s="164">
        <f>IF($O45="","",INDEX(Master!$L$2:$L$1001,$O45))</f>
      </c>
      <c r="N45" s="164" t="s">
        <v>52</v>
      </c>
      <c r="O45">
        <f t="array" ref="O45">IFERROR(SMALL(IF(Master!$A$2:$A$1001="MASHIVA STEEL AND ALLOYS LLP",ROW(Master!$A$2:$A$1001)-ROW(Master!$A$2)+1),41),"")</f>
      </c>
      <c r="P45">
        <f t="shared" si="1"/>
      </c>
    </row>
    <row r="46" spans="1:16" x14ac:dyDescent="0.25">
      <c r="A46" s="164">
        <f>IF($O46="","",INDEX(Master!$D$2:$D$1001,$O46))</f>
      </c>
      <c r="B46" s="165">
        <f>IF($O46="","",INDEX(Master!$B$2:$B$1001,$O46))</f>
      </c>
      <c r="C46" s="164">
        <f>IF($O46="","",INDEX(Master!$C$2:$C$1001,$O46))</f>
      </c>
      <c r="D46" s="164">
        <f>IF($O46="","",INDEX(Master!$A$2:$A$1001,$O46))</f>
      </c>
      <c r="E46" s="164">
        <f>IF($O46="","",INDEX(Master!$E$2:$E$1001,$O46))</f>
      </c>
      <c r="F46" s="164">
        <f>IF($O46="","",INDEX(Master!$F$2:$F$1001,$O46))</f>
      </c>
      <c r="G46" s="164">
        <f>IF($O46="","",INDEX(Master!$G$2:$G$1001,$O46))</f>
      </c>
      <c r="H46" s="164">
        <f>IF($O46="","",INDEX(Master!$H$2:$H$1001,$O46))</f>
      </c>
      <c r="I46" s="164">
        <f>IF($O46="","",INDEX(Master!$I$2:$I$1001,$O46))</f>
      </c>
      <c r="J46" s="164">
        <f>IF($O46="","",INDEX(Master!$J$2:$J$1001,$O46))</f>
      </c>
      <c r="K46" s="248">
        <f t="shared" si="0"/>
      </c>
      <c r="L46" s="164">
        <f>IF($O46="","",INDEX(Master!$K$2:$K$1001,$O46))</f>
      </c>
      <c r="M46" s="164">
        <f>IF($O46="","",INDEX(Master!$L$2:$L$1001,$O46))</f>
      </c>
      <c r="N46" s="164" t="s">
        <v>52</v>
      </c>
      <c r="O46">
        <f t="array" ref="O46">IFERROR(SMALL(IF(Master!$A$2:$A$1001="MASHIVA STEEL AND ALLOYS LLP",ROW(Master!$A$2:$A$1001)-ROW(Master!$A$2)+1),42),"")</f>
      </c>
      <c r="P46">
        <f t="shared" si="1"/>
      </c>
    </row>
    <row r="47" spans="1:16" x14ac:dyDescent="0.25">
      <c r="A47" s="164">
        <f>IF($O47="","",INDEX(Master!$D$2:$D$1001,$O47))</f>
      </c>
      <c r="B47" s="165">
        <f>IF($O47="","",INDEX(Master!$B$2:$B$1001,$O47))</f>
      </c>
      <c r="C47" s="164">
        <f>IF($O47="","",INDEX(Master!$C$2:$C$1001,$O47))</f>
      </c>
      <c r="D47" s="164">
        <f>IF($O47="","",INDEX(Master!$A$2:$A$1001,$O47))</f>
      </c>
      <c r="E47" s="164">
        <f>IF($O47="","",INDEX(Master!$E$2:$E$1001,$O47))</f>
      </c>
      <c r="F47" s="164">
        <f>IF($O47="","",INDEX(Master!$F$2:$F$1001,$O47))</f>
      </c>
      <c r="G47" s="164">
        <f>IF($O47="","",INDEX(Master!$G$2:$G$1001,$O47))</f>
      </c>
      <c r="H47" s="164">
        <f>IF($O47="","",INDEX(Master!$H$2:$H$1001,$O47))</f>
      </c>
      <c r="I47" s="164">
        <f>IF($O47="","",INDEX(Master!$I$2:$I$1001,$O47))</f>
      </c>
      <c r="J47" s="164">
        <f>IF($O47="","",INDEX(Master!$J$2:$J$1001,$O47))</f>
      </c>
      <c r="K47" s="248">
        <f t="shared" si="0"/>
      </c>
      <c r="L47" s="164">
        <f>IF($O47="","",INDEX(Master!$K$2:$K$1001,$O47))</f>
      </c>
      <c r="M47" s="164">
        <f>IF($O47="","",INDEX(Master!$L$2:$L$1001,$O47))</f>
      </c>
      <c r="N47" s="164" t="s">
        <v>52</v>
      </c>
      <c r="O47">
        <f t="array" ref="O47">IFERROR(SMALL(IF(Master!$A$2:$A$1001="MASHIVA STEEL AND ALLOYS LLP",ROW(Master!$A$2:$A$1001)-ROW(Master!$A$2)+1),43),"")</f>
      </c>
      <c r="P47">
        <f t="shared" si="1"/>
      </c>
    </row>
    <row r="48" spans="1:16" x14ac:dyDescent="0.25">
      <c r="A48" s="164">
        <f>IF($O48="","",INDEX(Master!$D$2:$D$1001,$O48))</f>
      </c>
      <c r="B48" s="165">
        <f>IF($O48="","",INDEX(Master!$B$2:$B$1001,$O48))</f>
      </c>
      <c r="C48" s="164">
        <f>IF($O48="","",INDEX(Master!$C$2:$C$1001,$O48))</f>
      </c>
      <c r="D48" s="164">
        <f>IF($O48="","",INDEX(Master!$A$2:$A$1001,$O48))</f>
      </c>
      <c r="E48" s="164">
        <f>IF($O48="","",INDEX(Master!$E$2:$E$1001,$O48))</f>
      </c>
      <c r="F48" s="164">
        <f>IF($O48="","",INDEX(Master!$F$2:$F$1001,$O48))</f>
      </c>
      <c r="G48" s="164">
        <f>IF($O48="","",INDEX(Master!$G$2:$G$1001,$O48))</f>
      </c>
      <c r="H48" s="164">
        <f>IF($O48="","",INDEX(Master!$H$2:$H$1001,$O48))</f>
      </c>
      <c r="I48" s="164">
        <f>IF($O48="","",INDEX(Master!$I$2:$I$1001,$O48))</f>
      </c>
      <c r="J48" s="164">
        <f>IF($O48="","",INDEX(Master!$J$2:$J$1001,$O48))</f>
      </c>
      <c r="K48" s="248">
        <f t="shared" si="0"/>
      </c>
      <c r="L48" s="164">
        <f>IF($O48="","",INDEX(Master!$K$2:$K$1001,$O48))</f>
      </c>
      <c r="M48" s="164">
        <f>IF($O48="","",INDEX(Master!$L$2:$L$1001,$O48))</f>
      </c>
      <c r="N48" s="164" t="s">
        <v>52</v>
      </c>
      <c r="O48">
        <f t="array" ref="O48">IFERROR(SMALL(IF(Master!$A$2:$A$1001="MASHIVA STEEL AND ALLOYS LLP",ROW(Master!$A$2:$A$1001)-ROW(Master!$A$2)+1),44),"")</f>
      </c>
      <c r="P48">
        <f t="shared" si="1"/>
      </c>
    </row>
    <row r="49" spans="1:16" x14ac:dyDescent="0.25">
      <c r="A49" s="164">
        <f>IF($O49="","",INDEX(Master!$D$2:$D$1001,$O49))</f>
      </c>
      <c r="B49" s="165">
        <f>IF($O49="","",INDEX(Master!$B$2:$B$1001,$O49))</f>
      </c>
      <c r="C49" s="164">
        <f>IF($O49="","",INDEX(Master!$C$2:$C$1001,$O49))</f>
      </c>
      <c r="D49" s="164">
        <f>IF($O49="","",INDEX(Master!$A$2:$A$1001,$O49))</f>
      </c>
      <c r="E49" s="164">
        <f>IF($O49="","",INDEX(Master!$E$2:$E$1001,$O49))</f>
      </c>
      <c r="F49" s="164">
        <f>IF($O49="","",INDEX(Master!$F$2:$F$1001,$O49))</f>
      </c>
      <c r="G49" s="164">
        <f>IF($O49="","",INDEX(Master!$G$2:$G$1001,$O49))</f>
      </c>
      <c r="H49" s="164">
        <f>IF($O49="","",INDEX(Master!$H$2:$H$1001,$O49))</f>
      </c>
      <c r="I49" s="164">
        <f>IF($O49="","",INDEX(Master!$I$2:$I$1001,$O49))</f>
      </c>
      <c r="J49" s="164">
        <f>IF($O49="","",INDEX(Master!$J$2:$J$1001,$O49))</f>
      </c>
      <c r="K49" s="248">
        <f t="shared" si="0"/>
      </c>
      <c r="L49" s="164">
        <f>IF($O49="","",INDEX(Master!$K$2:$K$1001,$O49))</f>
      </c>
      <c r="M49" s="164">
        <f>IF($O49="","",INDEX(Master!$L$2:$L$1001,$O49))</f>
      </c>
      <c r="N49" s="164" t="s">
        <v>52</v>
      </c>
      <c r="O49">
        <f t="array" ref="O49">IFERROR(SMALL(IF(Master!$A$2:$A$1001="MASHIVA STEEL AND ALLOYS LLP",ROW(Master!$A$2:$A$1001)-ROW(Master!$A$2)+1),45),"")</f>
      </c>
      <c r="P49">
        <f t="shared" si="1"/>
      </c>
    </row>
    <row r="50" spans="1:16" x14ac:dyDescent="0.25">
      <c r="A50" s="164">
        <f>IF($O50="","",INDEX(Master!$D$2:$D$1001,$O50))</f>
      </c>
      <c r="B50" s="165">
        <f>IF($O50="","",INDEX(Master!$B$2:$B$1001,$O50))</f>
      </c>
      <c r="C50" s="164">
        <f>IF($O50="","",INDEX(Master!$C$2:$C$1001,$O50))</f>
      </c>
      <c r="D50" s="164">
        <f>IF($O50="","",INDEX(Master!$A$2:$A$1001,$O50))</f>
      </c>
      <c r="E50" s="164">
        <f>IF($O50="","",INDEX(Master!$E$2:$E$1001,$O50))</f>
      </c>
      <c r="F50" s="164">
        <f>IF($O50="","",INDEX(Master!$F$2:$F$1001,$O50))</f>
      </c>
      <c r="G50" s="164">
        <f>IF($O50="","",INDEX(Master!$G$2:$G$1001,$O50))</f>
      </c>
      <c r="H50" s="164">
        <f>IF($O50="","",INDEX(Master!$H$2:$H$1001,$O50))</f>
      </c>
      <c r="I50" s="164">
        <f>IF($O50="","",INDEX(Master!$I$2:$I$1001,$O50))</f>
      </c>
      <c r="J50" s="164">
        <f>IF($O50="","",INDEX(Master!$J$2:$J$1001,$O50))</f>
      </c>
      <c r="K50" s="248">
        <f t="shared" si="0"/>
      </c>
      <c r="L50" s="164">
        <f>IF($O50="","",INDEX(Master!$K$2:$K$1001,$O50))</f>
      </c>
      <c r="M50" s="164">
        <f>IF($O50="","",INDEX(Master!$L$2:$L$1001,$O50))</f>
      </c>
      <c r="N50" s="164" t="s">
        <v>52</v>
      </c>
      <c r="O50">
        <f t="array" ref="O50">IFERROR(SMALL(IF(Master!$A$2:$A$1001="MASHIVA STEEL AND ALLOYS LLP",ROW(Master!$A$2:$A$1001)-ROW(Master!$A$2)+1),46),"")</f>
      </c>
      <c r="P50">
        <f t="shared" si="1"/>
      </c>
    </row>
    <row r="51" spans="1:16" x14ac:dyDescent="0.25">
      <c r="A51" s="164">
        <f>IF($O51="","",INDEX(Master!$D$2:$D$1001,$O51))</f>
      </c>
      <c r="B51" s="165">
        <f>IF($O51="","",INDEX(Master!$B$2:$B$1001,$O51))</f>
      </c>
      <c r="C51" s="164">
        <f>IF($O51="","",INDEX(Master!$C$2:$C$1001,$O51))</f>
      </c>
      <c r="D51" s="164">
        <f>IF($O51="","",INDEX(Master!$A$2:$A$1001,$O51))</f>
      </c>
      <c r="E51" s="164">
        <f>IF($O51="","",INDEX(Master!$E$2:$E$1001,$O51))</f>
      </c>
      <c r="F51" s="164">
        <f>IF($O51="","",INDEX(Master!$F$2:$F$1001,$O51))</f>
      </c>
      <c r="G51" s="164">
        <f>IF($O51="","",INDEX(Master!$G$2:$G$1001,$O51))</f>
      </c>
      <c r="H51" s="164">
        <f>IF($O51="","",INDEX(Master!$H$2:$H$1001,$O51))</f>
      </c>
      <c r="I51" s="164">
        <f>IF($O51="","",INDEX(Master!$I$2:$I$1001,$O51))</f>
      </c>
      <c r="J51" s="164">
        <f>IF($O51="","",INDEX(Master!$J$2:$J$1001,$O51))</f>
      </c>
      <c r="K51" s="248">
        <f t="shared" si="0"/>
      </c>
      <c r="L51" s="164">
        <f>IF($O51="","",INDEX(Master!$K$2:$K$1001,$O51))</f>
      </c>
      <c r="M51" s="164">
        <f>IF($O51="","",INDEX(Master!$L$2:$L$1001,$O51))</f>
      </c>
      <c r="N51" s="164" t="s">
        <v>52</v>
      </c>
      <c r="O51">
        <f t="array" ref="O51">IFERROR(SMALL(IF(Master!$A$2:$A$1001="MASHIVA STEEL AND ALLOYS LLP",ROW(Master!$A$2:$A$1001)-ROW(Master!$A$2)+1),47),"")</f>
      </c>
      <c r="P51">
        <f t="shared" si="1"/>
      </c>
    </row>
    <row r="52" spans="1:16" x14ac:dyDescent="0.25">
      <c r="A52" s="164">
        <f>IF($O52="","",INDEX(Master!$D$2:$D$1001,$O52))</f>
      </c>
      <c r="B52" s="165">
        <f>IF($O52="","",INDEX(Master!$B$2:$B$1001,$O52))</f>
      </c>
      <c r="C52" s="164">
        <f>IF($O52="","",INDEX(Master!$C$2:$C$1001,$O52))</f>
      </c>
      <c r="D52" s="164">
        <f>IF($O52="","",INDEX(Master!$A$2:$A$1001,$O52))</f>
      </c>
      <c r="E52" s="164">
        <f>IF($O52="","",INDEX(Master!$E$2:$E$1001,$O52))</f>
      </c>
      <c r="F52" s="164">
        <f>IF($O52="","",INDEX(Master!$F$2:$F$1001,$O52))</f>
      </c>
      <c r="G52" s="164">
        <f>IF($O52="","",INDEX(Master!$G$2:$G$1001,$O52))</f>
      </c>
      <c r="H52" s="164">
        <f>IF($O52="","",INDEX(Master!$H$2:$H$1001,$O52))</f>
      </c>
      <c r="I52" s="164">
        <f>IF($O52="","",INDEX(Master!$I$2:$I$1001,$O52))</f>
      </c>
      <c r="J52" s="164">
        <f>IF($O52="","",INDEX(Master!$J$2:$J$1001,$O52))</f>
      </c>
      <c r="K52" s="248">
        <f t="shared" si="0"/>
      </c>
      <c r="L52" s="164">
        <f>IF($O52="","",INDEX(Master!$K$2:$K$1001,$O52))</f>
      </c>
      <c r="M52" s="164">
        <f>IF($O52="","",INDEX(Master!$L$2:$L$1001,$O52))</f>
      </c>
      <c r="N52" s="164" t="s">
        <v>52</v>
      </c>
      <c r="O52">
        <f t="array" ref="O52">IFERROR(SMALL(IF(Master!$A$2:$A$1001="MASHIVA STEEL AND ALLOYS LLP",ROW(Master!$A$2:$A$1001)-ROW(Master!$A$2)+1),48),"")</f>
      </c>
      <c r="P52">
        <f t="shared" si="1"/>
      </c>
    </row>
    <row r="53" spans="1:16" x14ac:dyDescent="0.25">
      <c r="A53" s="164">
        <f>IF($O53="","",INDEX(Master!$D$2:$D$1001,$O53))</f>
      </c>
      <c r="B53" s="165">
        <f>IF($O53="","",INDEX(Master!$B$2:$B$1001,$O53))</f>
      </c>
      <c r="C53" s="164">
        <f>IF($O53="","",INDEX(Master!$C$2:$C$1001,$O53))</f>
      </c>
      <c r="D53" s="164">
        <f>IF($O53="","",INDEX(Master!$A$2:$A$1001,$O53))</f>
      </c>
      <c r="E53" s="164">
        <f>IF($O53="","",INDEX(Master!$E$2:$E$1001,$O53))</f>
      </c>
      <c r="F53" s="164">
        <f>IF($O53="","",INDEX(Master!$F$2:$F$1001,$O53))</f>
      </c>
      <c r="G53" s="164">
        <f>IF($O53="","",INDEX(Master!$G$2:$G$1001,$O53))</f>
      </c>
      <c r="H53" s="164">
        <f>IF($O53="","",INDEX(Master!$H$2:$H$1001,$O53))</f>
      </c>
      <c r="I53" s="164">
        <f>IF($O53="","",INDEX(Master!$I$2:$I$1001,$O53))</f>
      </c>
      <c r="J53" s="164">
        <f>IF($O53="","",INDEX(Master!$J$2:$J$1001,$O53))</f>
      </c>
      <c r="K53" s="248">
        <f t="shared" si="0"/>
      </c>
      <c r="L53" s="164">
        <f>IF($O53="","",INDEX(Master!$K$2:$K$1001,$O53))</f>
      </c>
      <c r="M53" s="164">
        <f>IF($O53="","",INDEX(Master!$L$2:$L$1001,$O53))</f>
      </c>
      <c r="N53" s="164" t="s">
        <v>52</v>
      </c>
      <c r="O53">
        <f t="array" ref="O53">IFERROR(SMALL(IF(Master!$A$2:$A$1001="MASHIVA STEEL AND ALLOYS LLP",ROW(Master!$A$2:$A$1001)-ROW(Master!$A$2)+1),49),"")</f>
      </c>
      <c r="P53">
        <f t="shared" si="1"/>
      </c>
    </row>
    <row r="54" spans="1:16" x14ac:dyDescent="0.25">
      <c r="A54" s="164">
        <f>IF($O54="","",INDEX(Master!$D$2:$D$1001,$O54))</f>
      </c>
      <c r="B54" s="165">
        <f>IF($O54="","",INDEX(Master!$B$2:$B$1001,$O54))</f>
      </c>
      <c r="C54" s="164">
        <f>IF($O54="","",INDEX(Master!$C$2:$C$1001,$O54))</f>
      </c>
      <c r="D54" s="164">
        <f>IF($O54="","",INDEX(Master!$A$2:$A$1001,$O54))</f>
      </c>
      <c r="E54" s="164">
        <f>IF($O54="","",INDEX(Master!$E$2:$E$1001,$O54))</f>
      </c>
      <c r="F54" s="164">
        <f>IF($O54="","",INDEX(Master!$F$2:$F$1001,$O54))</f>
      </c>
      <c r="G54" s="164">
        <f>IF($O54="","",INDEX(Master!$G$2:$G$1001,$O54))</f>
      </c>
      <c r="H54" s="164">
        <f>IF($O54="","",INDEX(Master!$H$2:$H$1001,$O54))</f>
      </c>
      <c r="I54" s="164">
        <f>IF($O54="","",INDEX(Master!$I$2:$I$1001,$O54))</f>
      </c>
      <c r="J54" s="164">
        <f>IF($O54="","",INDEX(Master!$J$2:$J$1001,$O54))</f>
      </c>
      <c r="K54" s="248">
        <f t="shared" si="0"/>
      </c>
      <c r="L54" s="164">
        <f>IF($O54="","",INDEX(Master!$K$2:$K$1001,$O54))</f>
      </c>
      <c r="M54" s="164">
        <f>IF($O54="","",INDEX(Master!$L$2:$L$1001,$O54))</f>
      </c>
      <c r="N54" s="164" t="s">
        <v>52</v>
      </c>
      <c r="O54">
        <f t="array" ref="O54">IFERROR(SMALL(IF(Master!$A$2:$A$1001="MASHIVA STEEL AND ALLOYS LLP",ROW(Master!$A$2:$A$1001)-ROW(Master!$A$2)+1),50),"")</f>
      </c>
      <c r="P54">
        <f t="shared" si="1"/>
      </c>
    </row>
    <row r="55" spans="1:16" x14ac:dyDescent="0.25">
      <c r="A55" s="164">
        <f>IF($O55="","",INDEX(Master!$D$2:$D$1001,$O55))</f>
      </c>
      <c r="B55" s="165">
        <f>IF($O55="","",INDEX(Master!$B$2:$B$1001,$O55))</f>
      </c>
      <c r="C55" s="164">
        <f>IF($O55="","",INDEX(Master!$C$2:$C$1001,$O55))</f>
      </c>
      <c r="D55" s="164">
        <f>IF($O55="","",INDEX(Master!$A$2:$A$1001,$O55))</f>
      </c>
      <c r="E55" s="164">
        <f>IF($O55="","",INDEX(Master!$E$2:$E$1001,$O55))</f>
      </c>
      <c r="F55" s="164">
        <f>IF($O55="","",INDEX(Master!$F$2:$F$1001,$O55))</f>
      </c>
      <c r="G55" s="164">
        <f>IF($O55="","",INDEX(Master!$G$2:$G$1001,$O55))</f>
      </c>
      <c r="H55" s="164">
        <f>IF($O55="","",INDEX(Master!$H$2:$H$1001,$O55))</f>
      </c>
      <c r="I55" s="164">
        <f>IF($O55="","",INDEX(Master!$I$2:$I$1001,$O55))</f>
      </c>
      <c r="J55" s="164">
        <f>IF($O55="","",INDEX(Master!$J$2:$J$1001,$O55))</f>
      </c>
      <c r="K55" s="248">
        <f t="shared" si="0"/>
      </c>
      <c r="L55" s="164">
        <f>IF($O55="","",INDEX(Master!$K$2:$K$1001,$O55))</f>
      </c>
      <c r="M55" s="164">
        <f>IF($O55="","",INDEX(Master!$L$2:$L$1001,$O55))</f>
      </c>
      <c r="N55" s="164" t="s">
        <v>52</v>
      </c>
      <c r="O55">
        <f t="array" ref="O55">IFERROR(SMALL(IF(Master!$A$2:$A$1001="MASHIVA STEEL AND ALLOYS LLP",ROW(Master!$A$2:$A$1001)-ROW(Master!$A$2)+1),51),"")</f>
      </c>
      <c r="P55">
        <f t="shared" si="1"/>
      </c>
    </row>
    <row r="56" spans="1:16" x14ac:dyDescent="0.25">
      <c r="A56" s="164">
        <f>IF($O56="","",INDEX(Master!$D$2:$D$1001,$O56))</f>
      </c>
      <c r="B56" s="165">
        <f>IF($O56="","",INDEX(Master!$B$2:$B$1001,$O56))</f>
      </c>
      <c r="C56" s="164">
        <f>IF($O56="","",INDEX(Master!$C$2:$C$1001,$O56))</f>
      </c>
      <c r="D56" s="164">
        <f>IF($O56="","",INDEX(Master!$A$2:$A$1001,$O56))</f>
      </c>
      <c r="E56" s="164">
        <f>IF($O56="","",INDEX(Master!$E$2:$E$1001,$O56))</f>
      </c>
      <c r="F56" s="164">
        <f>IF($O56="","",INDEX(Master!$F$2:$F$1001,$O56))</f>
      </c>
      <c r="G56" s="164">
        <f>IF($O56="","",INDEX(Master!$G$2:$G$1001,$O56))</f>
      </c>
      <c r="H56" s="164">
        <f>IF($O56="","",INDEX(Master!$H$2:$H$1001,$O56))</f>
      </c>
      <c r="I56" s="164">
        <f>IF($O56="","",INDEX(Master!$I$2:$I$1001,$O56))</f>
      </c>
      <c r="J56" s="164">
        <f>IF($O56="","",INDEX(Master!$J$2:$J$1001,$O56))</f>
      </c>
      <c r="K56" s="248">
        <f t="shared" si="0"/>
      </c>
      <c r="L56" s="164">
        <f>IF($O56="","",INDEX(Master!$K$2:$K$1001,$O56))</f>
      </c>
      <c r="M56" s="164">
        <f>IF($O56="","",INDEX(Master!$L$2:$L$1001,$O56))</f>
      </c>
      <c r="N56" s="164" t="s">
        <v>52</v>
      </c>
      <c r="O56">
        <f t="array" ref="O56">IFERROR(SMALL(IF(Master!$A$2:$A$1001="MASHIVA STEEL AND ALLOYS LLP",ROW(Master!$A$2:$A$1001)-ROW(Master!$A$2)+1),52),"")</f>
      </c>
      <c r="P56">
        <f t="shared" si="1"/>
      </c>
    </row>
    <row r="57" spans="1:16" x14ac:dyDescent="0.25">
      <c r="A57" s="164">
        <f>IF($O57="","",INDEX(Master!$D$2:$D$1001,$O57))</f>
      </c>
      <c r="B57" s="165">
        <f>IF($O57="","",INDEX(Master!$B$2:$B$1001,$O57))</f>
      </c>
      <c r="C57" s="164">
        <f>IF($O57="","",INDEX(Master!$C$2:$C$1001,$O57))</f>
      </c>
      <c r="D57" s="164">
        <f>IF($O57="","",INDEX(Master!$A$2:$A$1001,$O57))</f>
      </c>
      <c r="E57" s="164">
        <f>IF($O57="","",INDEX(Master!$E$2:$E$1001,$O57))</f>
      </c>
      <c r="F57" s="164">
        <f>IF($O57="","",INDEX(Master!$F$2:$F$1001,$O57))</f>
      </c>
      <c r="G57" s="164">
        <f>IF($O57="","",INDEX(Master!$G$2:$G$1001,$O57))</f>
      </c>
      <c r="H57" s="164">
        <f>IF($O57="","",INDEX(Master!$H$2:$H$1001,$O57))</f>
      </c>
      <c r="I57" s="164">
        <f>IF($O57="","",INDEX(Master!$I$2:$I$1001,$O57))</f>
      </c>
      <c r="J57" s="164">
        <f>IF($O57="","",INDEX(Master!$J$2:$J$1001,$O57))</f>
      </c>
      <c r="K57" s="248">
        <f t="shared" si="0"/>
      </c>
      <c r="L57" s="164">
        <f>IF($O57="","",INDEX(Master!$K$2:$K$1001,$O57))</f>
      </c>
      <c r="M57" s="164">
        <f>IF($O57="","",INDEX(Master!$L$2:$L$1001,$O57))</f>
      </c>
      <c r="N57" s="164" t="s">
        <v>52</v>
      </c>
      <c r="O57">
        <f t="array" ref="O57">IFERROR(SMALL(IF(Master!$A$2:$A$1001="MASHIVA STEEL AND ALLOYS LLP",ROW(Master!$A$2:$A$1001)-ROW(Master!$A$2)+1),53),"")</f>
      </c>
      <c r="P57">
        <f t="shared" si="1"/>
      </c>
    </row>
    <row r="58" spans="1:16" x14ac:dyDescent="0.25">
      <c r="A58" s="164">
        <f>IF($O58="","",INDEX(Master!$D$2:$D$1001,$O58))</f>
      </c>
      <c r="B58" s="165">
        <f>IF($O58="","",INDEX(Master!$B$2:$B$1001,$O58))</f>
      </c>
      <c r="C58" s="164">
        <f>IF($O58="","",INDEX(Master!$C$2:$C$1001,$O58))</f>
      </c>
      <c r="D58" s="164">
        <f>IF($O58="","",INDEX(Master!$A$2:$A$1001,$O58))</f>
      </c>
      <c r="E58" s="164">
        <f>IF($O58="","",INDEX(Master!$E$2:$E$1001,$O58))</f>
      </c>
      <c r="F58" s="164">
        <f>IF($O58="","",INDEX(Master!$F$2:$F$1001,$O58))</f>
      </c>
      <c r="G58" s="164">
        <f>IF($O58="","",INDEX(Master!$G$2:$G$1001,$O58))</f>
      </c>
      <c r="H58" s="164">
        <f>IF($O58="","",INDEX(Master!$H$2:$H$1001,$O58))</f>
      </c>
      <c r="I58" s="164">
        <f>IF($O58="","",INDEX(Master!$I$2:$I$1001,$O58))</f>
      </c>
      <c r="J58" s="164">
        <f>IF($O58="","",INDEX(Master!$J$2:$J$1001,$O58))</f>
      </c>
      <c r="K58" s="248">
        <f t="shared" si="0"/>
      </c>
      <c r="L58" s="164">
        <f>IF($O58="","",INDEX(Master!$K$2:$K$1001,$O58))</f>
      </c>
      <c r="M58" s="164">
        <f>IF($O58="","",INDEX(Master!$L$2:$L$1001,$O58))</f>
      </c>
      <c r="N58" s="164" t="s">
        <v>52</v>
      </c>
      <c r="O58">
        <f t="array" ref="O58">IFERROR(SMALL(IF(Master!$A$2:$A$1001="MASHIVA STEEL AND ALLOYS LLP",ROW(Master!$A$2:$A$1001)-ROW(Master!$A$2)+1),54),"")</f>
      </c>
      <c r="P58">
        <f t="shared" si="1"/>
      </c>
    </row>
    <row r="59" spans="1:16" x14ac:dyDescent="0.25">
      <c r="A59" s="164">
        <f>IF($O59="","",INDEX(Master!$D$2:$D$1001,$O59))</f>
      </c>
      <c r="B59" s="165">
        <f>IF($O59="","",INDEX(Master!$B$2:$B$1001,$O59))</f>
      </c>
      <c r="C59" s="164">
        <f>IF($O59="","",INDEX(Master!$C$2:$C$1001,$O59))</f>
      </c>
      <c r="D59" s="164">
        <f>IF($O59="","",INDEX(Master!$A$2:$A$1001,$O59))</f>
      </c>
      <c r="E59" s="164">
        <f>IF($O59="","",INDEX(Master!$E$2:$E$1001,$O59))</f>
      </c>
      <c r="F59" s="164">
        <f>IF($O59="","",INDEX(Master!$F$2:$F$1001,$O59))</f>
      </c>
      <c r="G59" s="164">
        <f>IF($O59="","",INDEX(Master!$G$2:$G$1001,$O59))</f>
      </c>
      <c r="H59" s="164">
        <f>IF($O59="","",INDEX(Master!$H$2:$H$1001,$O59))</f>
      </c>
      <c r="I59" s="164">
        <f>IF($O59="","",INDEX(Master!$I$2:$I$1001,$O59))</f>
      </c>
      <c r="J59" s="164">
        <f>IF($O59="","",INDEX(Master!$J$2:$J$1001,$O59))</f>
      </c>
      <c r="K59" s="248">
        <f t="shared" si="0"/>
      </c>
      <c r="L59" s="164">
        <f>IF($O59="","",INDEX(Master!$K$2:$K$1001,$O59))</f>
      </c>
      <c r="M59" s="164">
        <f>IF($O59="","",INDEX(Master!$L$2:$L$1001,$O59))</f>
      </c>
      <c r="N59" s="164" t="s">
        <v>52</v>
      </c>
      <c r="O59">
        <f t="array" ref="O59">IFERROR(SMALL(IF(Master!$A$2:$A$1001="MASHIVA STEEL AND ALLOYS LLP",ROW(Master!$A$2:$A$1001)-ROW(Master!$A$2)+1),55),"")</f>
      </c>
      <c r="P59">
        <f t="shared" si="1"/>
      </c>
    </row>
    <row r="60" spans="1:16" x14ac:dyDescent="0.25">
      <c r="A60" s="164">
        <f>IF($O60="","",INDEX(Master!$D$2:$D$1001,$O60))</f>
      </c>
      <c r="B60" s="165">
        <f>IF($O60="","",INDEX(Master!$B$2:$B$1001,$O60))</f>
      </c>
      <c r="C60" s="164">
        <f>IF($O60="","",INDEX(Master!$C$2:$C$1001,$O60))</f>
      </c>
      <c r="D60" s="164">
        <f>IF($O60="","",INDEX(Master!$A$2:$A$1001,$O60))</f>
      </c>
      <c r="E60" s="164">
        <f>IF($O60="","",INDEX(Master!$E$2:$E$1001,$O60))</f>
      </c>
      <c r="F60" s="164">
        <f>IF($O60="","",INDEX(Master!$F$2:$F$1001,$O60))</f>
      </c>
      <c r="G60" s="164">
        <f>IF($O60="","",INDEX(Master!$G$2:$G$1001,$O60))</f>
      </c>
      <c r="H60" s="164">
        <f>IF($O60="","",INDEX(Master!$H$2:$H$1001,$O60))</f>
      </c>
      <c r="I60" s="164">
        <f>IF($O60="","",INDEX(Master!$I$2:$I$1001,$O60))</f>
      </c>
      <c r="J60" s="164">
        <f>IF($O60="","",INDEX(Master!$J$2:$J$1001,$O60))</f>
      </c>
      <c r="K60" s="248">
        <f t="shared" si="0"/>
      </c>
      <c r="L60" s="164">
        <f>IF($O60="","",INDEX(Master!$K$2:$K$1001,$O60))</f>
      </c>
      <c r="M60" s="164">
        <f>IF($O60="","",INDEX(Master!$L$2:$L$1001,$O60))</f>
      </c>
      <c r="N60" s="164" t="s">
        <v>52</v>
      </c>
      <c r="O60">
        <f t="array" ref="O60">IFERROR(SMALL(IF(Master!$A$2:$A$1001="MASHIVA STEEL AND ALLOYS LLP",ROW(Master!$A$2:$A$1001)-ROW(Master!$A$2)+1),56),"")</f>
      </c>
      <c r="P60">
        <f t="shared" si="1"/>
      </c>
    </row>
    <row r="61" spans="1:16" x14ac:dyDescent="0.25">
      <c r="A61" s="164">
        <f>IF($O61="","",INDEX(Master!$D$2:$D$1001,$O61))</f>
      </c>
      <c r="B61" s="165">
        <f>IF($O61="","",INDEX(Master!$B$2:$B$1001,$O61))</f>
      </c>
      <c r="C61" s="164">
        <f>IF($O61="","",INDEX(Master!$C$2:$C$1001,$O61))</f>
      </c>
      <c r="D61" s="164">
        <f>IF($O61="","",INDEX(Master!$A$2:$A$1001,$O61))</f>
      </c>
      <c r="E61" s="164">
        <f>IF($O61="","",INDEX(Master!$E$2:$E$1001,$O61))</f>
      </c>
      <c r="F61" s="164">
        <f>IF($O61="","",INDEX(Master!$F$2:$F$1001,$O61))</f>
      </c>
      <c r="G61" s="164">
        <f>IF($O61="","",INDEX(Master!$G$2:$G$1001,$O61))</f>
      </c>
      <c r="H61" s="164">
        <f>IF($O61="","",INDEX(Master!$H$2:$H$1001,$O61))</f>
      </c>
      <c r="I61" s="164">
        <f>IF($O61="","",INDEX(Master!$I$2:$I$1001,$O61))</f>
      </c>
      <c r="J61" s="164">
        <f>IF($O61="","",INDEX(Master!$J$2:$J$1001,$O61))</f>
      </c>
      <c r="K61" s="248">
        <f t="shared" si="0"/>
      </c>
      <c r="L61" s="164">
        <f>IF($O61="","",INDEX(Master!$K$2:$K$1001,$O61))</f>
      </c>
      <c r="M61" s="164">
        <f>IF($O61="","",INDEX(Master!$L$2:$L$1001,$O61))</f>
      </c>
      <c r="N61" s="164" t="s">
        <v>52</v>
      </c>
      <c r="O61">
        <f t="array" ref="O61">IFERROR(SMALL(IF(Master!$A$2:$A$1001="MASHIVA STEEL AND ALLOYS LLP",ROW(Master!$A$2:$A$1001)-ROW(Master!$A$2)+1),57),"")</f>
      </c>
      <c r="P61">
        <f t="shared" si="1"/>
      </c>
    </row>
    <row r="62" spans="1:16" x14ac:dyDescent="0.25">
      <c r="A62" s="164">
        <f>IF($O62="","",INDEX(Master!$D$2:$D$1001,$O62))</f>
      </c>
      <c r="B62" s="165">
        <f>IF($O62="","",INDEX(Master!$B$2:$B$1001,$O62))</f>
      </c>
      <c r="C62" s="164">
        <f>IF($O62="","",INDEX(Master!$C$2:$C$1001,$O62))</f>
      </c>
      <c r="D62" s="164">
        <f>IF($O62="","",INDEX(Master!$A$2:$A$1001,$O62))</f>
      </c>
      <c r="E62" s="164">
        <f>IF($O62="","",INDEX(Master!$E$2:$E$1001,$O62))</f>
      </c>
      <c r="F62" s="164">
        <f>IF($O62="","",INDEX(Master!$F$2:$F$1001,$O62))</f>
      </c>
      <c r="G62" s="164">
        <f>IF($O62="","",INDEX(Master!$G$2:$G$1001,$O62))</f>
      </c>
      <c r="H62" s="164">
        <f>IF($O62="","",INDEX(Master!$H$2:$H$1001,$O62))</f>
      </c>
      <c r="I62" s="164">
        <f>IF($O62="","",INDEX(Master!$I$2:$I$1001,$O62))</f>
      </c>
      <c r="J62" s="164">
        <f>IF($O62="","",INDEX(Master!$J$2:$J$1001,$O62))</f>
      </c>
      <c r="K62" s="248">
        <f t="shared" si="0"/>
      </c>
      <c r="L62" s="164">
        <f>IF($O62="","",INDEX(Master!$K$2:$K$1001,$O62))</f>
      </c>
      <c r="M62" s="164">
        <f>IF($O62="","",INDEX(Master!$L$2:$L$1001,$O62))</f>
      </c>
      <c r="N62" s="164" t="s">
        <v>52</v>
      </c>
      <c r="O62">
        <f t="array" ref="O62">IFERROR(SMALL(IF(Master!$A$2:$A$1001="MASHIVA STEEL AND ALLOYS LLP",ROW(Master!$A$2:$A$1001)-ROW(Master!$A$2)+1),58),"")</f>
      </c>
      <c r="P62">
        <f t="shared" si="1"/>
      </c>
    </row>
    <row r="63" spans="1:16" x14ac:dyDescent="0.25">
      <c r="A63" s="164">
        <f>IF($O63="","",INDEX(Master!$D$2:$D$1001,$O63))</f>
      </c>
      <c r="B63" s="165">
        <f>IF($O63="","",INDEX(Master!$B$2:$B$1001,$O63))</f>
      </c>
      <c r="C63" s="164">
        <f>IF($O63="","",INDEX(Master!$C$2:$C$1001,$O63))</f>
      </c>
      <c r="D63" s="164">
        <f>IF($O63="","",INDEX(Master!$A$2:$A$1001,$O63))</f>
      </c>
      <c r="E63" s="164">
        <f>IF($O63="","",INDEX(Master!$E$2:$E$1001,$O63))</f>
      </c>
      <c r="F63" s="164">
        <f>IF($O63="","",INDEX(Master!$F$2:$F$1001,$O63))</f>
      </c>
      <c r="G63" s="164">
        <f>IF($O63="","",INDEX(Master!$G$2:$G$1001,$O63))</f>
      </c>
      <c r="H63" s="164">
        <f>IF($O63="","",INDEX(Master!$H$2:$H$1001,$O63))</f>
      </c>
      <c r="I63" s="164">
        <f>IF($O63="","",INDEX(Master!$I$2:$I$1001,$O63))</f>
      </c>
      <c r="J63" s="164">
        <f>IF($O63="","",INDEX(Master!$J$2:$J$1001,$O63))</f>
      </c>
      <c r="K63" s="248">
        <f t="shared" si="0"/>
      </c>
      <c r="L63" s="164">
        <f>IF($O63="","",INDEX(Master!$K$2:$K$1001,$O63))</f>
      </c>
      <c r="M63" s="164">
        <f>IF($O63="","",INDEX(Master!$L$2:$L$1001,$O63))</f>
      </c>
      <c r="N63" s="164" t="s">
        <v>52</v>
      </c>
      <c r="O63">
        <f t="array" ref="O63">IFERROR(SMALL(IF(Master!$A$2:$A$1001="MASHIVA STEEL AND ALLOYS LLP",ROW(Master!$A$2:$A$1001)-ROW(Master!$A$2)+1),59),"")</f>
      </c>
      <c r="P63">
        <f t="shared" si="1"/>
      </c>
    </row>
    <row r="64" spans="1:16" x14ac:dyDescent="0.25">
      <c r="A64" s="164">
        <f>IF($O64="","",INDEX(Master!$D$2:$D$1001,$O64))</f>
      </c>
      <c r="B64" s="165">
        <f>IF($O64="","",INDEX(Master!$B$2:$B$1001,$O64))</f>
      </c>
      <c r="C64" s="164">
        <f>IF($O64="","",INDEX(Master!$C$2:$C$1001,$O64))</f>
      </c>
      <c r="D64" s="164">
        <f>IF($O64="","",INDEX(Master!$A$2:$A$1001,$O64))</f>
      </c>
      <c r="E64" s="164">
        <f>IF($O64="","",INDEX(Master!$E$2:$E$1001,$O64))</f>
      </c>
      <c r="F64" s="164">
        <f>IF($O64="","",INDEX(Master!$F$2:$F$1001,$O64))</f>
      </c>
      <c r="G64" s="164">
        <f>IF($O64="","",INDEX(Master!$G$2:$G$1001,$O64))</f>
      </c>
      <c r="H64" s="164">
        <f>IF($O64="","",INDEX(Master!$H$2:$H$1001,$O64))</f>
      </c>
      <c r="I64" s="164">
        <f>IF($O64="","",INDEX(Master!$I$2:$I$1001,$O64))</f>
      </c>
      <c r="J64" s="164">
        <f>IF($O64="","",INDEX(Master!$J$2:$J$1001,$O64))</f>
      </c>
      <c r="K64" s="248">
        <f t="shared" si="0"/>
      </c>
      <c r="L64" s="164">
        <f>IF($O64="","",INDEX(Master!$K$2:$K$1001,$O64))</f>
      </c>
      <c r="M64" s="164">
        <f>IF($O64="","",INDEX(Master!$L$2:$L$1001,$O64))</f>
      </c>
      <c r="N64" s="164" t="s">
        <v>52</v>
      </c>
      <c r="O64">
        <f t="array" ref="O64">IFERROR(SMALL(IF(Master!$A$2:$A$1001="MASHIVA STEEL AND ALLOYS LLP",ROW(Master!$A$2:$A$1001)-ROW(Master!$A$2)+1),60),"")</f>
      </c>
      <c r="P64">
        <f t="shared" si="1"/>
      </c>
    </row>
    <row r="65" spans="1:16" x14ac:dyDescent="0.25">
      <c r="A65" s="164">
        <f>IF($O65="","",INDEX(Master!$D$2:$D$1001,$O65))</f>
      </c>
      <c r="B65" s="165">
        <f>IF($O65="","",INDEX(Master!$B$2:$B$1001,$O65))</f>
      </c>
      <c r="C65" s="164">
        <f>IF($O65="","",INDEX(Master!$C$2:$C$1001,$O65))</f>
      </c>
      <c r="D65" s="164">
        <f>IF($O65="","",INDEX(Master!$A$2:$A$1001,$O65))</f>
      </c>
      <c r="E65" s="164">
        <f>IF($O65="","",INDEX(Master!$E$2:$E$1001,$O65))</f>
      </c>
      <c r="F65" s="164">
        <f>IF($O65="","",INDEX(Master!$F$2:$F$1001,$O65))</f>
      </c>
      <c r="G65" s="164">
        <f>IF($O65="","",INDEX(Master!$G$2:$G$1001,$O65))</f>
      </c>
      <c r="H65" s="164">
        <f>IF($O65="","",INDEX(Master!$H$2:$H$1001,$O65))</f>
      </c>
      <c r="I65" s="164">
        <f>IF($O65="","",INDEX(Master!$I$2:$I$1001,$O65))</f>
      </c>
      <c r="J65" s="164">
        <f>IF($O65="","",INDEX(Master!$J$2:$J$1001,$O65))</f>
      </c>
      <c r="K65" s="248">
        <f t="shared" si="0"/>
      </c>
      <c r="L65" s="164">
        <f>IF($O65="","",INDEX(Master!$K$2:$K$1001,$O65))</f>
      </c>
      <c r="M65" s="164">
        <f>IF($O65="","",INDEX(Master!$L$2:$L$1001,$O65))</f>
      </c>
      <c r="N65" s="164" t="s">
        <v>52</v>
      </c>
      <c r="O65">
        <f t="array" ref="O65">IFERROR(SMALL(IF(Master!$A$2:$A$1001="MASHIVA STEEL AND ALLOYS LLP",ROW(Master!$A$2:$A$1001)-ROW(Master!$A$2)+1),61),"")</f>
      </c>
      <c r="P65">
        <f t="shared" si="1"/>
      </c>
    </row>
    <row r="66" spans="1:16" x14ac:dyDescent="0.25">
      <c r="A66" s="164">
        <f>IF($O66="","",INDEX(Master!$D$2:$D$1001,$O66))</f>
      </c>
      <c r="B66" s="165">
        <f>IF($O66="","",INDEX(Master!$B$2:$B$1001,$O66))</f>
      </c>
      <c r="C66" s="164">
        <f>IF($O66="","",INDEX(Master!$C$2:$C$1001,$O66))</f>
      </c>
      <c r="D66" s="164">
        <f>IF($O66="","",INDEX(Master!$A$2:$A$1001,$O66))</f>
      </c>
      <c r="E66" s="164">
        <f>IF($O66="","",INDEX(Master!$E$2:$E$1001,$O66))</f>
      </c>
      <c r="F66" s="164">
        <f>IF($O66="","",INDEX(Master!$F$2:$F$1001,$O66))</f>
      </c>
      <c r="G66" s="164">
        <f>IF($O66="","",INDEX(Master!$G$2:$G$1001,$O66))</f>
      </c>
      <c r="H66" s="164">
        <f>IF($O66="","",INDEX(Master!$H$2:$H$1001,$O66))</f>
      </c>
      <c r="I66" s="164">
        <f>IF($O66="","",INDEX(Master!$I$2:$I$1001,$O66))</f>
      </c>
      <c r="J66" s="164">
        <f>IF($O66="","",INDEX(Master!$J$2:$J$1001,$O66))</f>
      </c>
      <c r="K66" s="248">
        <f t="shared" si="0"/>
      </c>
      <c r="L66" s="164">
        <f>IF($O66="","",INDEX(Master!$K$2:$K$1001,$O66))</f>
      </c>
      <c r="M66" s="164">
        <f>IF($O66="","",INDEX(Master!$L$2:$L$1001,$O66))</f>
      </c>
      <c r="N66" s="164" t="s">
        <v>52</v>
      </c>
      <c r="O66">
        <f t="array" ref="O66">IFERROR(SMALL(IF(Master!$A$2:$A$1001="MASHIVA STEEL AND ALLOYS LLP",ROW(Master!$A$2:$A$1001)-ROW(Master!$A$2)+1),62),"")</f>
      </c>
      <c r="P66">
        <f t="shared" si="1"/>
      </c>
    </row>
    <row r="67" spans="1:16" x14ac:dyDescent="0.25">
      <c r="A67" s="164">
        <f>IF($O67="","",INDEX(Master!$D$2:$D$1001,$O67))</f>
      </c>
      <c r="B67" s="165">
        <f>IF($O67="","",INDEX(Master!$B$2:$B$1001,$O67))</f>
      </c>
      <c r="C67" s="164">
        <f>IF($O67="","",INDEX(Master!$C$2:$C$1001,$O67))</f>
      </c>
      <c r="D67" s="164">
        <f>IF($O67="","",INDEX(Master!$A$2:$A$1001,$O67))</f>
      </c>
      <c r="E67" s="164">
        <f>IF($O67="","",INDEX(Master!$E$2:$E$1001,$O67))</f>
      </c>
      <c r="F67" s="164">
        <f>IF($O67="","",INDEX(Master!$F$2:$F$1001,$O67))</f>
      </c>
      <c r="G67" s="164">
        <f>IF($O67="","",INDEX(Master!$G$2:$G$1001,$O67))</f>
      </c>
      <c r="H67" s="164">
        <f>IF($O67="","",INDEX(Master!$H$2:$H$1001,$O67))</f>
      </c>
      <c r="I67" s="164">
        <f>IF($O67="","",INDEX(Master!$I$2:$I$1001,$O67))</f>
      </c>
      <c r="J67" s="164">
        <f>IF($O67="","",INDEX(Master!$J$2:$J$1001,$O67))</f>
      </c>
      <c r="K67" s="248">
        <f t="shared" si="0"/>
      </c>
      <c r="L67" s="164">
        <f>IF($O67="","",INDEX(Master!$K$2:$K$1001,$O67))</f>
      </c>
      <c r="M67" s="164">
        <f>IF($O67="","",INDEX(Master!$L$2:$L$1001,$O67))</f>
      </c>
      <c r="N67" s="164" t="s">
        <v>52</v>
      </c>
      <c r="O67">
        <f t="array" ref="O67">IFERROR(SMALL(IF(Master!$A$2:$A$1001="MASHIVA STEEL AND ALLOYS LLP",ROW(Master!$A$2:$A$1001)-ROW(Master!$A$2)+1),63),"")</f>
      </c>
      <c r="P67">
        <f t="shared" si="1"/>
      </c>
    </row>
    <row r="68" spans="1:16" x14ac:dyDescent="0.25">
      <c r="A68" s="164">
        <f>IF($O68="","",INDEX(Master!$D$2:$D$1001,$O68))</f>
      </c>
      <c r="B68" s="165">
        <f>IF($O68="","",INDEX(Master!$B$2:$B$1001,$O68))</f>
      </c>
      <c r="C68" s="164">
        <f>IF($O68="","",INDEX(Master!$C$2:$C$1001,$O68))</f>
      </c>
      <c r="D68" s="164">
        <f>IF($O68="","",INDEX(Master!$A$2:$A$1001,$O68))</f>
      </c>
      <c r="E68" s="164">
        <f>IF($O68="","",INDEX(Master!$E$2:$E$1001,$O68))</f>
      </c>
      <c r="F68" s="164">
        <f>IF($O68="","",INDEX(Master!$F$2:$F$1001,$O68))</f>
      </c>
      <c r="G68" s="164">
        <f>IF($O68="","",INDEX(Master!$G$2:$G$1001,$O68))</f>
      </c>
      <c r="H68" s="164">
        <f>IF($O68="","",INDEX(Master!$H$2:$H$1001,$O68))</f>
      </c>
      <c r="I68" s="164">
        <f>IF($O68="","",INDEX(Master!$I$2:$I$1001,$O68))</f>
      </c>
      <c r="J68" s="164">
        <f>IF($O68="","",INDEX(Master!$J$2:$J$1001,$O68))</f>
      </c>
      <c r="K68" s="248">
        <f t="shared" si="0"/>
      </c>
      <c r="L68" s="164">
        <f>IF($O68="","",INDEX(Master!$K$2:$K$1001,$O68))</f>
      </c>
      <c r="M68" s="164">
        <f>IF($O68="","",INDEX(Master!$L$2:$L$1001,$O68))</f>
      </c>
      <c r="N68" s="164" t="s">
        <v>52</v>
      </c>
      <c r="O68">
        <f t="array" ref="O68">IFERROR(SMALL(IF(Master!$A$2:$A$1001="MASHIVA STEEL AND ALLOYS LLP",ROW(Master!$A$2:$A$1001)-ROW(Master!$A$2)+1),64),"")</f>
      </c>
      <c r="P68">
        <f t="shared" si="1"/>
      </c>
    </row>
    <row r="69" spans="1:16" x14ac:dyDescent="0.25">
      <c r="A69" s="164">
        <f>IF($O69="","",INDEX(Master!$D$2:$D$1001,$O69))</f>
      </c>
      <c r="B69" s="165">
        <f>IF($O69="","",INDEX(Master!$B$2:$B$1001,$O69))</f>
      </c>
      <c r="C69" s="164">
        <f>IF($O69="","",INDEX(Master!$C$2:$C$1001,$O69))</f>
      </c>
      <c r="D69" s="164">
        <f>IF($O69="","",INDEX(Master!$A$2:$A$1001,$O69))</f>
      </c>
      <c r="E69" s="164">
        <f>IF($O69="","",INDEX(Master!$E$2:$E$1001,$O69))</f>
      </c>
      <c r="F69" s="164">
        <f>IF($O69="","",INDEX(Master!$F$2:$F$1001,$O69))</f>
      </c>
      <c r="G69" s="164">
        <f>IF($O69="","",INDEX(Master!$G$2:$G$1001,$O69))</f>
      </c>
      <c r="H69" s="164">
        <f>IF($O69="","",INDEX(Master!$H$2:$H$1001,$O69))</f>
      </c>
      <c r="I69" s="164">
        <f>IF($O69="","",INDEX(Master!$I$2:$I$1001,$O69))</f>
      </c>
      <c r="J69" s="164">
        <f>IF($O69="","",INDEX(Master!$J$2:$J$1001,$O69))</f>
      </c>
      <c r="K69" s="248">
        <f t="shared" ref="K69:K132" si="2">IF(OR($O69="",$F69="",$F69=0),"",$H69/$F69)</f>
      </c>
      <c r="L69" s="164">
        <f>IF($O69="","",INDEX(Master!$K$2:$K$1001,$O69))</f>
      </c>
      <c r="M69" s="164">
        <f>IF($O69="","",INDEX(Master!$L$2:$L$1001,$O69))</f>
      </c>
      <c r="N69" s="164" t="s">
        <v>52</v>
      </c>
      <c r="O69">
        <f t="array" ref="O69">IFERROR(SMALL(IF(Master!$A$2:$A$1001="MASHIVA STEEL AND ALLOYS LLP",ROW(Master!$A$2:$A$1001)-ROW(Master!$A$2)+1),65),"")</f>
      </c>
      <c r="P69">
        <f t="shared" ref="P69:P132" si="3">IF($A69="",0,IF(OR(AND($E69&lt;&gt;"",OR($E69&gt;0.15)),AND($F69&lt;&gt;"",OR(($F69+$G69)&gt;0.15)),AND($G69&lt;&gt;"",OR(($F69+$G69)&gt;0.15)),AND($H69&lt;&gt;"",$H69&lt;0.45),AND($J69&lt;&gt;"",OR($J69&lt;0.1))),1,0))</f>
      </c>
    </row>
    <row r="70" spans="1:16" x14ac:dyDescent="0.25">
      <c r="A70" s="164">
        <f>IF($O70="","",INDEX(Master!$D$2:$D$1001,$O70))</f>
      </c>
      <c r="B70" s="165">
        <f>IF($O70="","",INDEX(Master!$B$2:$B$1001,$O70))</f>
      </c>
      <c r="C70" s="164">
        <f>IF($O70="","",INDEX(Master!$C$2:$C$1001,$O70))</f>
      </c>
      <c r="D70" s="164">
        <f>IF($O70="","",INDEX(Master!$A$2:$A$1001,$O70))</f>
      </c>
      <c r="E70" s="164">
        <f>IF($O70="","",INDEX(Master!$E$2:$E$1001,$O70))</f>
      </c>
      <c r="F70" s="164">
        <f>IF($O70="","",INDEX(Master!$F$2:$F$1001,$O70))</f>
      </c>
      <c r="G70" s="164">
        <f>IF($O70="","",INDEX(Master!$G$2:$G$1001,$O70))</f>
      </c>
      <c r="H70" s="164">
        <f>IF($O70="","",INDEX(Master!$H$2:$H$1001,$O70))</f>
      </c>
      <c r="I70" s="164">
        <f>IF($O70="","",INDEX(Master!$I$2:$I$1001,$O70))</f>
      </c>
      <c r="J70" s="164">
        <f>IF($O70="","",INDEX(Master!$J$2:$J$1001,$O70))</f>
      </c>
      <c r="K70" s="248">
        <f t="shared" si="2"/>
      </c>
      <c r="L70" s="164">
        <f>IF($O70="","",INDEX(Master!$K$2:$K$1001,$O70))</f>
      </c>
      <c r="M70" s="164">
        <f>IF($O70="","",INDEX(Master!$L$2:$L$1001,$O70))</f>
      </c>
      <c r="N70" s="164" t="s">
        <v>52</v>
      </c>
      <c r="O70">
        <f t="array" ref="O70">IFERROR(SMALL(IF(Master!$A$2:$A$1001="MASHIVA STEEL AND ALLOYS LLP",ROW(Master!$A$2:$A$1001)-ROW(Master!$A$2)+1),66),"")</f>
      </c>
      <c r="P70">
        <f t="shared" si="3"/>
      </c>
    </row>
    <row r="71" spans="1:16" x14ac:dyDescent="0.25">
      <c r="A71" s="164">
        <f>IF($O71="","",INDEX(Master!$D$2:$D$1001,$O71))</f>
      </c>
      <c r="B71" s="165">
        <f>IF($O71="","",INDEX(Master!$B$2:$B$1001,$O71))</f>
      </c>
      <c r="C71" s="164">
        <f>IF($O71="","",INDEX(Master!$C$2:$C$1001,$O71))</f>
      </c>
      <c r="D71" s="164">
        <f>IF($O71="","",INDEX(Master!$A$2:$A$1001,$O71))</f>
      </c>
      <c r="E71" s="164">
        <f>IF($O71="","",INDEX(Master!$E$2:$E$1001,$O71))</f>
      </c>
      <c r="F71" s="164">
        <f>IF($O71="","",INDEX(Master!$F$2:$F$1001,$O71))</f>
      </c>
      <c r="G71" s="164">
        <f>IF($O71="","",INDEX(Master!$G$2:$G$1001,$O71))</f>
      </c>
      <c r="H71" s="164">
        <f>IF($O71="","",INDEX(Master!$H$2:$H$1001,$O71))</f>
      </c>
      <c r="I71" s="164">
        <f>IF($O71="","",INDEX(Master!$I$2:$I$1001,$O71))</f>
      </c>
      <c r="J71" s="164">
        <f>IF($O71="","",INDEX(Master!$J$2:$J$1001,$O71))</f>
      </c>
      <c r="K71" s="248">
        <f t="shared" si="2"/>
      </c>
      <c r="L71" s="164">
        <f>IF($O71="","",INDEX(Master!$K$2:$K$1001,$O71))</f>
      </c>
      <c r="M71" s="164">
        <f>IF($O71="","",INDEX(Master!$L$2:$L$1001,$O71))</f>
      </c>
      <c r="N71" s="164" t="s">
        <v>52</v>
      </c>
      <c r="O71">
        <f t="array" ref="O71">IFERROR(SMALL(IF(Master!$A$2:$A$1001="MASHIVA STEEL AND ALLOYS LLP",ROW(Master!$A$2:$A$1001)-ROW(Master!$A$2)+1),67),"")</f>
      </c>
      <c r="P71">
        <f t="shared" si="3"/>
      </c>
    </row>
    <row r="72" spans="1:16" x14ac:dyDescent="0.25">
      <c r="A72" s="164">
        <f>IF($O72="","",INDEX(Master!$D$2:$D$1001,$O72))</f>
      </c>
      <c r="B72" s="165">
        <f>IF($O72="","",INDEX(Master!$B$2:$B$1001,$O72))</f>
      </c>
      <c r="C72" s="164">
        <f>IF($O72="","",INDEX(Master!$C$2:$C$1001,$O72))</f>
      </c>
      <c r="D72" s="164">
        <f>IF($O72="","",INDEX(Master!$A$2:$A$1001,$O72))</f>
      </c>
      <c r="E72" s="164">
        <f>IF($O72="","",INDEX(Master!$E$2:$E$1001,$O72))</f>
      </c>
      <c r="F72" s="164">
        <f>IF($O72="","",INDEX(Master!$F$2:$F$1001,$O72))</f>
      </c>
      <c r="G72" s="164">
        <f>IF($O72="","",INDEX(Master!$G$2:$G$1001,$O72))</f>
      </c>
      <c r="H72" s="164">
        <f>IF($O72="","",INDEX(Master!$H$2:$H$1001,$O72))</f>
      </c>
      <c r="I72" s="164">
        <f>IF($O72="","",INDEX(Master!$I$2:$I$1001,$O72))</f>
      </c>
      <c r="J72" s="164">
        <f>IF($O72="","",INDEX(Master!$J$2:$J$1001,$O72))</f>
      </c>
      <c r="K72" s="248">
        <f t="shared" si="2"/>
      </c>
      <c r="L72" s="164">
        <f>IF($O72="","",INDEX(Master!$K$2:$K$1001,$O72))</f>
      </c>
      <c r="M72" s="164">
        <f>IF($O72="","",INDEX(Master!$L$2:$L$1001,$O72))</f>
      </c>
      <c r="N72" s="164" t="s">
        <v>52</v>
      </c>
      <c r="O72">
        <f t="array" ref="O72">IFERROR(SMALL(IF(Master!$A$2:$A$1001="MASHIVA STEEL AND ALLOYS LLP",ROW(Master!$A$2:$A$1001)-ROW(Master!$A$2)+1),68),"")</f>
      </c>
      <c r="P72">
        <f t="shared" si="3"/>
      </c>
    </row>
    <row r="73" spans="1:16" x14ac:dyDescent="0.25">
      <c r="A73" s="164">
        <f>IF($O73="","",INDEX(Master!$D$2:$D$1001,$O73))</f>
      </c>
      <c r="B73" s="165">
        <f>IF($O73="","",INDEX(Master!$B$2:$B$1001,$O73))</f>
      </c>
      <c r="C73" s="164">
        <f>IF($O73="","",INDEX(Master!$C$2:$C$1001,$O73))</f>
      </c>
      <c r="D73" s="164">
        <f>IF($O73="","",INDEX(Master!$A$2:$A$1001,$O73))</f>
      </c>
      <c r="E73" s="164">
        <f>IF($O73="","",INDEX(Master!$E$2:$E$1001,$O73))</f>
      </c>
      <c r="F73" s="164">
        <f>IF($O73="","",INDEX(Master!$F$2:$F$1001,$O73))</f>
      </c>
      <c r="G73" s="164">
        <f>IF($O73="","",INDEX(Master!$G$2:$G$1001,$O73))</f>
      </c>
      <c r="H73" s="164">
        <f>IF($O73="","",INDEX(Master!$H$2:$H$1001,$O73))</f>
      </c>
      <c r="I73" s="164">
        <f>IF($O73="","",INDEX(Master!$I$2:$I$1001,$O73))</f>
      </c>
      <c r="J73" s="164">
        <f>IF($O73="","",INDEX(Master!$J$2:$J$1001,$O73))</f>
      </c>
      <c r="K73" s="248">
        <f t="shared" si="2"/>
      </c>
      <c r="L73" s="164">
        <f>IF($O73="","",INDEX(Master!$K$2:$K$1001,$O73))</f>
      </c>
      <c r="M73" s="164">
        <f>IF($O73="","",INDEX(Master!$L$2:$L$1001,$O73))</f>
      </c>
      <c r="N73" s="164" t="s">
        <v>52</v>
      </c>
      <c r="O73">
        <f t="array" ref="O73">IFERROR(SMALL(IF(Master!$A$2:$A$1001="MASHIVA STEEL AND ALLOYS LLP",ROW(Master!$A$2:$A$1001)-ROW(Master!$A$2)+1),69),"")</f>
      </c>
      <c r="P73">
        <f t="shared" si="3"/>
      </c>
    </row>
    <row r="74" spans="1:16" x14ac:dyDescent="0.25">
      <c r="A74" s="164">
        <f>IF($O74="","",INDEX(Master!$D$2:$D$1001,$O74))</f>
      </c>
      <c r="B74" s="165">
        <f>IF($O74="","",INDEX(Master!$B$2:$B$1001,$O74))</f>
      </c>
      <c r="C74" s="164">
        <f>IF($O74="","",INDEX(Master!$C$2:$C$1001,$O74))</f>
      </c>
      <c r="D74" s="164">
        <f>IF($O74="","",INDEX(Master!$A$2:$A$1001,$O74))</f>
      </c>
      <c r="E74" s="164">
        <f>IF($O74="","",INDEX(Master!$E$2:$E$1001,$O74))</f>
      </c>
      <c r="F74" s="164">
        <f>IF($O74="","",INDEX(Master!$F$2:$F$1001,$O74))</f>
      </c>
      <c r="G74" s="164">
        <f>IF($O74="","",INDEX(Master!$G$2:$G$1001,$O74))</f>
      </c>
      <c r="H74" s="164">
        <f>IF($O74="","",INDEX(Master!$H$2:$H$1001,$O74))</f>
      </c>
      <c r="I74" s="164">
        <f>IF($O74="","",INDEX(Master!$I$2:$I$1001,$O74))</f>
      </c>
      <c r="J74" s="164">
        <f>IF($O74="","",INDEX(Master!$J$2:$J$1001,$O74))</f>
      </c>
      <c r="K74" s="248">
        <f t="shared" si="2"/>
      </c>
      <c r="L74" s="164">
        <f>IF($O74="","",INDEX(Master!$K$2:$K$1001,$O74))</f>
      </c>
      <c r="M74" s="164">
        <f>IF($O74="","",INDEX(Master!$L$2:$L$1001,$O74))</f>
      </c>
      <c r="N74" s="164" t="s">
        <v>52</v>
      </c>
      <c r="O74">
        <f t="array" ref="O74">IFERROR(SMALL(IF(Master!$A$2:$A$1001="MASHIVA STEEL AND ALLOYS LLP",ROW(Master!$A$2:$A$1001)-ROW(Master!$A$2)+1),70),"")</f>
      </c>
      <c r="P74">
        <f t="shared" si="3"/>
      </c>
    </row>
    <row r="75" spans="1:16" x14ac:dyDescent="0.25">
      <c r="A75" s="164">
        <f>IF($O75="","",INDEX(Master!$D$2:$D$1001,$O75))</f>
      </c>
      <c r="B75" s="165">
        <f>IF($O75="","",INDEX(Master!$B$2:$B$1001,$O75))</f>
      </c>
      <c r="C75" s="164">
        <f>IF($O75="","",INDEX(Master!$C$2:$C$1001,$O75))</f>
      </c>
      <c r="D75" s="164">
        <f>IF($O75="","",INDEX(Master!$A$2:$A$1001,$O75))</f>
      </c>
      <c r="E75" s="164">
        <f>IF($O75="","",INDEX(Master!$E$2:$E$1001,$O75))</f>
      </c>
      <c r="F75" s="164">
        <f>IF($O75="","",INDEX(Master!$F$2:$F$1001,$O75))</f>
      </c>
      <c r="G75" s="164">
        <f>IF($O75="","",INDEX(Master!$G$2:$G$1001,$O75))</f>
      </c>
      <c r="H75" s="164">
        <f>IF($O75="","",INDEX(Master!$H$2:$H$1001,$O75))</f>
      </c>
      <c r="I75" s="164">
        <f>IF($O75="","",INDEX(Master!$I$2:$I$1001,$O75))</f>
      </c>
      <c r="J75" s="164">
        <f>IF($O75="","",INDEX(Master!$J$2:$J$1001,$O75))</f>
      </c>
      <c r="K75" s="248">
        <f t="shared" si="2"/>
      </c>
      <c r="L75" s="164">
        <f>IF($O75="","",INDEX(Master!$K$2:$K$1001,$O75))</f>
      </c>
      <c r="M75" s="164">
        <f>IF($O75="","",INDEX(Master!$L$2:$L$1001,$O75))</f>
      </c>
      <c r="N75" s="164" t="s">
        <v>52</v>
      </c>
      <c r="O75">
        <f t="array" ref="O75">IFERROR(SMALL(IF(Master!$A$2:$A$1001="MASHIVA STEEL AND ALLOYS LLP",ROW(Master!$A$2:$A$1001)-ROW(Master!$A$2)+1),71),"")</f>
      </c>
      <c r="P75">
        <f t="shared" si="3"/>
      </c>
    </row>
    <row r="76" spans="1:16" x14ac:dyDescent="0.25">
      <c r="A76" s="164">
        <f>IF($O76="","",INDEX(Master!$D$2:$D$1001,$O76))</f>
      </c>
      <c r="B76" s="165">
        <f>IF($O76="","",INDEX(Master!$B$2:$B$1001,$O76))</f>
      </c>
      <c r="C76" s="164">
        <f>IF($O76="","",INDEX(Master!$C$2:$C$1001,$O76))</f>
      </c>
      <c r="D76" s="164">
        <f>IF($O76="","",INDEX(Master!$A$2:$A$1001,$O76))</f>
      </c>
      <c r="E76" s="164">
        <f>IF($O76="","",INDEX(Master!$E$2:$E$1001,$O76))</f>
      </c>
      <c r="F76" s="164">
        <f>IF($O76="","",INDEX(Master!$F$2:$F$1001,$O76))</f>
      </c>
      <c r="G76" s="164">
        <f>IF($O76="","",INDEX(Master!$G$2:$G$1001,$O76))</f>
      </c>
      <c r="H76" s="164">
        <f>IF($O76="","",INDEX(Master!$H$2:$H$1001,$O76))</f>
      </c>
      <c r="I76" s="164">
        <f>IF($O76="","",INDEX(Master!$I$2:$I$1001,$O76))</f>
      </c>
      <c r="J76" s="164">
        <f>IF($O76="","",INDEX(Master!$J$2:$J$1001,$O76))</f>
      </c>
      <c r="K76" s="248">
        <f t="shared" si="2"/>
      </c>
      <c r="L76" s="164">
        <f>IF($O76="","",INDEX(Master!$K$2:$K$1001,$O76))</f>
      </c>
      <c r="M76" s="164">
        <f>IF($O76="","",INDEX(Master!$L$2:$L$1001,$O76))</f>
      </c>
      <c r="N76" s="164" t="s">
        <v>52</v>
      </c>
      <c r="O76">
        <f t="array" ref="O76">IFERROR(SMALL(IF(Master!$A$2:$A$1001="MASHIVA STEEL AND ALLOYS LLP",ROW(Master!$A$2:$A$1001)-ROW(Master!$A$2)+1),72),"")</f>
      </c>
      <c r="P76">
        <f t="shared" si="3"/>
      </c>
    </row>
    <row r="77" spans="1:16" x14ac:dyDescent="0.25">
      <c r="A77" s="164">
        <f>IF($O77="","",INDEX(Master!$D$2:$D$1001,$O77))</f>
      </c>
      <c r="B77" s="165">
        <f>IF($O77="","",INDEX(Master!$B$2:$B$1001,$O77))</f>
      </c>
      <c r="C77" s="164">
        <f>IF($O77="","",INDEX(Master!$C$2:$C$1001,$O77))</f>
      </c>
      <c r="D77" s="164">
        <f>IF($O77="","",INDEX(Master!$A$2:$A$1001,$O77))</f>
      </c>
      <c r="E77" s="164">
        <f>IF($O77="","",INDEX(Master!$E$2:$E$1001,$O77))</f>
      </c>
      <c r="F77" s="164">
        <f>IF($O77="","",INDEX(Master!$F$2:$F$1001,$O77))</f>
      </c>
      <c r="G77" s="164">
        <f>IF($O77="","",INDEX(Master!$G$2:$G$1001,$O77))</f>
      </c>
      <c r="H77" s="164">
        <f>IF($O77="","",INDEX(Master!$H$2:$H$1001,$O77))</f>
      </c>
      <c r="I77" s="164">
        <f>IF($O77="","",INDEX(Master!$I$2:$I$1001,$O77))</f>
      </c>
      <c r="J77" s="164">
        <f>IF($O77="","",INDEX(Master!$J$2:$J$1001,$O77))</f>
      </c>
      <c r="K77" s="248">
        <f t="shared" si="2"/>
      </c>
      <c r="L77" s="164">
        <f>IF($O77="","",INDEX(Master!$K$2:$K$1001,$O77))</f>
      </c>
      <c r="M77" s="164">
        <f>IF($O77="","",INDEX(Master!$L$2:$L$1001,$O77))</f>
      </c>
      <c r="N77" s="164" t="s">
        <v>52</v>
      </c>
      <c r="O77">
        <f t="array" ref="O77">IFERROR(SMALL(IF(Master!$A$2:$A$1001="MASHIVA STEEL AND ALLOYS LLP",ROW(Master!$A$2:$A$1001)-ROW(Master!$A$2)+1),73),"")</f>
      </c>
      <c r="P77">
        <f t="shared" si="3"/>
      </c>
    </row>
    <row r="78" spans="1:16" x14ac:dyDescent="0.25">
      <c r="A78" s="164">
        <f>IF($O78="","",INDEX(Master!$D$2:$D$1001,$O78))</f>
      </c>
      <c r="B78" s="165">
        <f>IF($O78="","",INDEX(Master!$B$2:$B$1001,$O78))</f>
      </c>
      <c r="C78" s="164">
        <f>IF($O78="","",INDEX(Master!$C$2:$C$1001,$O78))</f>
      </c>
      <c r="D78" s="164">
        <f>IF($O78="","",INDEX(Master!$A$2:$A$1001,$O78))</f>
      </c>
      <c r="E78" s="164">
        <f>IF($O78="","",INDEX(Master!$E$2:$E$1001,$O78))</f>
      </c>
      <c r="F78" s="164">
        <f>IF($O78="","",INDEX(Master!$F$2:$F$1001,$O78))</f>
      </c>
      <c r="G78" s="164">
        <f>IF($O78="","",INDEX(Master!$G$2:$G$1001,$O78))</f>
      </c>
      <c r="H78" s="164">
        <f>IF($O78="","",INDEX(Master!$H$2:$H$1001,$O78))</f>
      </c>
      <c r="I78" s="164">
        <f>IF($O78="","",INDEX(Master!$I$2:$I$1001,$O78))</f>
      </c>
      <c r="J78" s="164">
        <f>IF($O78="","",INDEX(Master!$J$2:$J$1001,$O78))</f>
      </c>
      <c r="K78" s="248">
        <f t="shared" si="2"/>
      </c>
      <c r="L78" s="164">
        <f>IF($O78="","",INDEX(Master!$K$2:$K$1001,$O78))</f>
      </c>
      <c r="M78" s="164">
        <f>IF($O78="","",INDEX(Master!$L$2:$L$1001,$O78))</f>
      </c>
      <c r="N78" s="164"/>
      <c r="O78">
        <f t="array" ref="O78">IFERROR(SMALL(IF(Master!$A$2:$A$1001="MASHIVA STEEL AND ALLOYS LLP",ROW(Master!$A$2:$A$1001)-ROW(Master!$A$2)+1),74),"")</f>
      </c>
      <c r="P78">
        <f t="shared" si="3"/>
      </c>
    </row>
    <row r="79" spans="1:16" x14ac:dyDescent="0.25">
      <c r="A79" s="164">
        <f>IF($O79="","",INDEX(Master!$D$2:$D$1001,$O79))</f>
      </c>
      <c r="B79" s="165">
        <f>IF($O79="","",INDEX(Master!$B$2:$B$1001,$O79))</f>
      </c>
      <c r="C79" s="164">
        <f>IF($O79="","",INDEX(Master!$C$2:$C$1001,$O79))</f>
      </c>
      <c r="D79" s="164">
        <f>IF($O79="","",INDEX(Master!$A$2:$A$1001,$O79))</f>
      </c>
      <c r="E79" s="164">
        <f>IF($O79="","",INDEX(Master!$E$2:$E$1001,$O79))</f>
      </c>
      <c r="F79" s="164">
        <f>IF($O79="","",INDEX(Master!$F$2:$F$1001,$O79))</f>
      </c>
      <c r="G79" s="164">
        <f>IF($O79="","",INDEX(Master!$G$2:$G$1001,$O79))</f>
      </c>
      <c r="H79" s="164">
        <f>IF($O79="","",INDEX(Master!$H$2:$H$1001,$O79))</f>
      </c>
      <c r="I79" s="164">
        <f>IF($O79="","",INDEX(Master!$I$2:$I$1001,$O79))</f>
      </c>
      <c r="J79" s="164">
        <f>IF($O79="","",INDEX(Master!$J$2:$J$1001,$O79))</f>
      </c>
      <c r="K79" s="248">
        <f t="shared" si="2"/>
      </c>
      <c r="L79" s="164">
        <f>IF($O79="","",INDEX(Master!$K$2:$K$1001,$O79))</f>
      </c>
      <c r="M79" s="164">
        <f>IF($O79="","",INDEX(Master!$L$2:$L$1001,$O79))</f>
      </c>
      <c r="N79" s="164"/>
      <c r="O79">
        <f t="array" ref="O79">IFERROR(SMALL(IF(Master!$A$2:$A$1001="MASHIVA STEEL AND ALLOYS LLP",ROW(Master!$A$2:$A$1001)-ROW(Master!$A$2)+1),75),"")</f>
      </c>
      <c r="P79">
        <f t="shared" si="3"/>
      </c>
    </row>
    <row r="80" spans="1:16" x14ac:dyDescent="0.25">
      <c r="A80" s="164">
        <f>IF($O80="","",INDEX(Master!$D$2:$D$1001,$O80))</f>
      </c>
      <c r="B80" s="165">
        <f>IF($O80="","",INDEX(Master!$B$2:$B$1001,$O80))</f>
      </c>
      <c r="C80" s="164">
        <f>IF($O80="","",INDEX(Master!$C$2:$C$1001,$O80))</f>
      </c>
      <c r="D80" s="164">
        <f>IF($O80="","",INDEX(Master!$A$2:$A$1001,$O80))</f>
      </c>
      <c r="E80" s="164">
        <f>IF($O80="","",INDEX(Master!$E$2:$E$1001,$O80))</f>
      </c>
      <c r="F80" s="164">
        <f>IF($O80="","",INDEX(Master!$F$2:$F$1001,$O80))</f>
      </c>
      <c r="G80" s="164">
        <f>IF($O80="","",INDEX(Master!$G$2:$G$1001,$O80))</f>
      </c>
      <c r="H80" s="164">
        <f>IF($O80="","",INDEX(Master!$H$2:$H$1001,$O80))</f>
      </c>
      <c r="I80" s="164">
        <f>IF($O80="","",INDEX(Master!$I$2:$I$1001,$O80))</f>
      </c>
      <c r="J80" s="164">
        <f>IF($O80="","",INDEX(Master!$J$2:$J$1001,$O80))</f>
      </c>
      <c r="K80" s="248">
        <f t="shared" si="2"/>
      </c>
      <c r="L80" s="164">
        <f>IF($O80="","",INDEX(Master!$K$2:$K$1001,$O80))</f>
      </c>
      <c r="M80" s="164">
        <f>IF($O80="","",INDEX(Master!$L$2:$L$1001,$O80))</f>
      </c>
      <c r="N80" s="164"/>
      <c r="O80">
        <f t="array" ref="O80">IFERROR(SMALL(IF(Master!$A$2:$A$1001="MASHIVA STEEL AND ALLOYS LLP",ROW(Master!$A$2:$A$1001)-ROW(Master!$A$2)+1),76),"")</f>
      </c>
      <c r="P80">
        <f t="shared" si="3"/>
      </c>
    </row>
    <row r="81" spans="1:16" x14ac:dyDescent="0.25">
      <c r="A81" s="164">
        <f>IF($O81="","",INDEX(Master!$D$2:$D$1001,$O81))</f>
      </c>
      <c r="B81" s="165">
        <f>IF($O81="","",INDEX(Master!$B$2:$B$1001,$O81))</f>
      </c>
      <c r="C81" s="164">
        <f>IF($O81="","",INDEX(Master!$C$2:$C$1001,$O81))</f>
      </c>
      <c r="D81" s="164">
        <f>IF($O81="","",INDEX(Master!$A$2:$A$1001,$O81))</f>
      </c>
      <c r="E81" s="164">
        <f>IF($O81="","",INDEX(Master!$E$2:$E$1001,$O81))</f>
      </c>
      <c r="F81" s="164">
        <f>IF($O81="","",INDEX(Master!$F$2:$F$1001,$O81))</f>
      </c>
      <c r="G81" s="164">
        <f>IF($O81="","",INDEX(Master!$G$2:$G$1001,$O81))</f>
      </c>
      <c r="H81" s="164">
        <f>IF($O81="","",INDEX(Master!$H$2:$H$1001,$O81))</f>
      </c>
      <c r="I81" s="164">
        <f>IF($O81="","",INDEX(Master!$I$2:$I$1001,$O81))</f>
      </c>
      <c r="J81" s="164">
        <f>IF($O81="","",INDEX(Master!$J$2:$J$1001,$O81))</f>
      </c>
      <c r="K81" s="248">
        <f t="shared" si="2"/>
      </c>
      <c r="L81" s="164">
        <f>IF($O81="","",INDEX(Master!$K$2:$K$1001,$O81))</f>
      </c>
      <c r="M81" s="164">
        <f>IF($O81="","",INDEX(Master!$L$2:$L$1001,$O81))</f>
      </c>
      <c r="N81" s="164" t="s">
        <v>52</v>
      </c>
      <c r="O81">
        <f t="array" ref="O81">IFERROR(SMALL(IF(Master!$A$2:$A$1001="MASHIVA STEEL AND ALLOYS LLP",ROW(Master!$A$2:$A$1001)-ROW(Master!$A$2)+1),77),"")</f>
      </c>
      <c r="P81">
        <f t="shared" si="3"/>
      </c>
    </row>
    <row r="82" spans="1:16" x14ac:dyDescent="0.25">
      <c r="A82" s="164">
        <f>IF($O82="","",INDEX(Master!$D$2:$D$1001,$O82))</f>
      </c>
      <c r="B82" s="165">
        <f>IF($O82="","",INDEX(Master!$B$2:$B$1001,$O82))</f>
      </c>
      <c r="C82" s="164">
        <f>IF($O82="","",INDEX(Master!$C$2:$C$1001,$O82))</f>
      </c>
      <c r="D82" s="164">
        <f>IF($O82="","",INDEX(Master!$A$2:$A$1001,$O82))</f>
      </c>
      <c r="E82" s="164">
        <f>IF($O82="","",INDEX(Master!$E$2:$E$1001,$O82))</f>
      </c>
      <c r="F82" s="164">
        <f>IF($O82="","",INDEX(Master!$F$2:$F$1001,$O82))</f>
      </c>
      <c r="G82" s="164">
        <f>IF($O82="","",INDEX(Master!$G$2:$G$1001,$O82))</f>
      </c>
      <c r="H82" s="164">
        <f>IF($O82="","",INDEX(Master!$H$2:$H$1001,$O82))</f>
      </c>
      <c r="I82" s="164">
        <f>IF($O82="","",INDEX(Master!$I$2:$I$1001,$O82))</f>
      </c>
      <c r="J82" s="164">
        <f>IF($O82="","",INDEX(Master!$J$2:$J$1001,$O82))</f>
      </c>
      <c r="K82" s="248">
        <f t="shared" si="2"/>
      </c>
      <c r="L82" s="164">
        <f>IF($O82="","",INDEX(Master!$K$2:$K$1001,$O82))</f>
      </c>
      <c r="M82" s="164">
        <f>IF($O82="","",INDEX(Master!$L$2:$L$1001,$O82))</f>
      </c>
      <c r="N82" s="164" t="s">
        <v>52</v>
      </c>
      <c r="O82">
        <f t="array" ref="O82">IFERROR(SMALL(IF(Master!$A$2:$A$1001="MASHIVA STEEL AND ALLOYS LLP",ROW(Master!$A$2:$A$1001)-ROW(Master!$A$2)+1),78),"")</f>
      </c>
      <c r="P82">
        <f t="shared" si="3"/>
      </c>
    </row>
    <row r="83" spans="1:16" x14ac:dyDescent="0.25">
      <c r="A83" s="164">
        <f>IF($O83="","",INDEX(Master!$D$2:$D$1001,$O83))</f>
      </c>
      <c r="B83" s="165">
        <f>IF($O83="","",INDEX(Master!$B$2:$B$1001,$O83))</f>
      </c>
      <c r="C83" s="164">
        <f>IF($O83="","",INDEX(Master!$C$2:$C$1001,$O83))</f>
      </c>
      <c r="D83" s="164">
        <f>IF($O83="","",INDEX(Master!$A$2:$A$1001,$O83))</f>
      </c>
      <c r="E83" s="164">
        <f>IF($O83="","",INDEX(Master!$E$2:$E$1001,$O83))</f>
      </c>
      <c r="F83" s="164">
        <f>IF($O83="","",INDEX(Master!$F$2:$F$1001,$O83))</f>
      </c>
      <c r="G83" s="164">
        <f>IF($O83="","",INDEX(Master!$G$2:$G$1001,$O83))</f>
      </c>
      <c r="H83" s="164">
        <f>IF($O83="","",INDEX(Master!$H$2:$H$1001,$O83))</f>
      </c>
      <c r="I83" s="164">
        <f>IF($O83="","",INDEX(Master!$I$2:$I$1001,$O83))</f>
      </c>
      <c r="J83" s="164">
        <f>IF($O83="","",INDEX(Master!$J$2:$J$1001,$O83))</f>
      </c>
      <c r="K83" s="248">
        <f t="shared" si="2"/>
      </c>
      <c r="L83" s="164">
        <f>IF($O83="","",INDEX(Master!$K$2:$K$1001,$O83))</f>
      </c>
      <c r="M83" s="164">
        <f>IF($O83="","",INDEX(Master!$L$2:$L$1001,$O83))</f>
      </c>
      <c r="N83" s="164" t="s">
        <v>52</v>
      </c>
      <c r="O83">
        <f t="array" ref="O83">IFERROR(SMALL(IF(Master!$A$2:$A$1001="MASHIVA STEEL AND ALLOYS LLP",ROW(Master!$A$2:$A$1001)-ROW(Master!$A$2)+1),79),"")</f>
      </c>
      <c r="P83">
        <f t="shared" si="3"/>
      </c>
    </row>
    <row r="84" spans="1:16" x14ac:dyDescent="0.25">
      <c r="A84" s="164">
        <f>IF($O84="","",INDEX(Master!$D$2:$D$1001,$O84))</f>
      </c>
      <c r="B84" s="165">
        <f>IF($O84="","",INDEX(Master!$B$2:$B$1001,$O84))</f>
      </c>
      <c r="C84" s="164">
        <f>IF($O84="","",INDEX(Master!$C$2:$C$1001,$O84))</f>
      </c>
      <c r="D84" s="164">
        <f>IF($O84="","",INDEX(Master!$A$2:$A$1001,$O84))</f>
      </c>
      <c r="E84" s="164">
        <f>IF($O84="","",INDEX(Master!$E$2:$E$1001,$O84))</f>
      </c>
      <c r="F84" s="164">
        <f>IF($O84="","",INDEX(Master!$F$2:$F$1001,$O84))</f>
      </c>
      <c r="G84" s="164">
        <f>IF($O84="","",INDEX(Master!$G$2:$G$1001,$O84))</f>
      </c>
      <c r="H84" s="164">
        <f>IF($O84="","",INDEX(Master!$H$2:$H$1001,$O84))</f>
      </c>
      <c r="I84" s="164">
        <f>IF($O84="","",INDEX(Master!$I$2:$I$1001,$O84))</f>
      </c>
      <c r="J84" s="164">
        <f>IF($O84="","",INDEX(Master!$J$2:$J$1001,$O84))</f>
      </c>
      <c r="K84" s="248">
        <f t="shared" si="2"/>
      </c>
      <c r="L84" s="164">
        <f>IF($O84="","",INDEX(Master!$K$2:$K$1001,$O84))</f>
      </c>
      <c r="M84" s="164">
        <f>IF($O84="","",INDEX(Master!$L$2:$L$1001,$O84))</f>
      </c>
      <c r="N84" s="164" t="s">
        <v>52</v>
      </c>
      <c r="O84">
        <f t="array" ref="O84">IFERROR(SMALL(IF(Master!$A$2:$A$1001="MASHIVA STEEL AND ALLOYS LLP",ROW(Master!$A$2:$A$1001)-ROW(Master!$A$2)+1),80),"")</f>
      </c>
      <c r="P84">
        <f t="shared" si="3"/>
      </c>
    </row>
    <row r="85" spans="1:16" x14ac:dyDescent="0.25">
      <c r="A85" s="164">
        <f>IF($O85="","",INDEX(Master!$D$2:$D$1001,$O85))</f>
      </c>
      <c r="B85" s="165">
        <f>IF($O85="","",INDEX(Master!$B$2:$B$1001,$O85))</f>
      </c>
      <c r="C85" s="164">
        <f>IF($O85="","",INDEX(Master!$C$2:$C$1001,$O85))</f>
      </c>
      <c r="D85" s="164">
        <f>IF($O85="","",INDEX(Master!$A$2:$A$1001,$O85))</f>
      </c>
      <c r="E85" s="164">
        <f>IF($O85="","",INDEX(Master!$E$2:$E$1001,$O85))</f>
      </c>
      <c r="F85" s="164">
        <f>IF($O85="","",INDEX(Master!$F$2:$F$1001,$O85))</f>
      </c>
      <c r="G85" s="164">
        <f>IF($O85="","",INDEX(Master!$G$2:$G$1001,$O85))</f>
      </c>
      <c r="H85" s="164">
        <f>IF($O85="","",INDEX(Master!$H$2:$H$1001,$O85))</f>
      </c>
      <c r="I85" s="164">
        <f>IF($O85="","",INDEX(Master!$I$2:$I$1001,$O85))</f>
      </c>
      <c r="J85" s="164">
        <f>IF($O85="","",INDEX(Master!$J$2:$J$1001,$O85))</f>
      </c>
      <c r="K85" s="248">
        <f t="shared" si="2"/>
      </c>
      <c r="L85" s="164">
        <f>IF($O85="","",INDEX(Master!$K$2:$K$1001,$O85))</f>
      </c>
      <c r="M85" s="164">
        <f>IF($O85="","",INDEX(Master!$L$2:$L$1001,$O85))</f>
      </c>
      <c r="N85" s="164" t="s">
        <v>52</v>
      </c>
      <c r="O85">
        <f t="array" ref="O85">IFERROR(SMALL(IF(Master!$A$2:$A$1001="MASHIVA STEEL AND ALLOYS LLP",ROW(Master!$A$2:$A$1001)-ROW(Master!$A$2)+1),81),"")</f>
      </c>
      <c r="P85">
        <f t="shared" si="3"/>
      </c>
    </row>
    <row r="86" spans="1:16" x14ac:dyDescent="0.25">
      <c r="A86" s="164">
        <f>IF($O86="","",INDEX(Master!$D$2:$D$1001,$O86))</f>
      </c>
      <c r="B86" s="165">
        <f>IF($O86="","",INDEX(Master!$B$2:$B$1001,$O86))</f>
      </c>
      <c r="C86" s="164">
        <f>IF($O86="","",INDEX(Master!$C$2:$C$1001,$O86))</f>
      </c>
      <c r="D86" s="164">
        <f>IF($O86="","",INDEX(Master!$A$2:$A$1001,$O86))</f>
      </c>
      <c r="E86" s="164">
        <f>IF($O86="","",INDEX(Master!$E$2:$E$1001,$O86))</f>
      </c>
      <c r="F86" s="164">
        <f>IF($O86="","",INDEX(Master!$F$2:$F$1001,$O86))</f>
      </c>
      <c r="G86" s="164">
        <f>IF($O86="","",INDEX(Master!$G$2:$G$1001,$O86))</f>
      </c>
      <c r="H86" s="164">
        <f>IF($O86="","",INDEX(Master!$H$2:$H$1001,$O86))</f>
      </c>
      <c r="I86" s="164">
        <f>IF($O86="","",INDEX(Master!$I$2:$I$1001,$O86))</f>
      </c>
      <c r="J86" s="164">
        <f>IF($O86="","",INDEX(Master!$J$2:$J$1001,$O86))</f>
      </c>
      <c r="K86" s="248">
        <f t="shared" si="2"/>
      </c>
      <c r="L86" s="164">
        <f>IF($O86="","",INDEX(Master!$K$2:$K$1001,$O86))</f>
      </c>
      <c r="M86" s="248">
        <f>IF($O86="","",INDEX(Master!$L$2:$L$1001,$O86))</f>
      </c>
      <c r="N86" s="164" t="s">
        <v>52</v>
      </c>
      <c r="O86">
        <f t="array" ref="O86">IFERROR(SMALL(IF(Master!$A$2:$A$1001="MASHIVA STEEL AND ALLOYS LLP",ROW(Master!$A$2:$A$1001)-ROW(Master!$A$2)+1),82),"")</f>
      </c>
      <c r="P86">
        <f t="shared" si="3"/>
      </c>
    </row>
    <row r="87" spans="1:16" x14ac:dyDescent="0.25">
      <c r="A87" s="164">
        <f>IF($O87="","",INDEX(Master!$D$2:$D$1001,$O87))</f>
      </c>
      <c r="B87" s="165">
        <f>IF($O87="","",INDEX(Master!$B$2:$B$1001,$O87))</f>
      </c>
      <c r="C87" s="164">
        <f>IF($O87="","",INDEX(Master!$C$2:$C$1001,$O87))</f>
      </c>
      <c r="D87" s="164">
        <f>IF($O87="","",INDEX(Master!$A$2:$A$1001,$O87))</f>
      </c>
      <c r="E87" s="164">
        <f>IF($O87="","",INDEX(Master!$E$2:$E$1001,$O87))</f>
      </c>
      <c r="F87" s="164">
        <f>IF($O87="","",INDEX(Master!$F$2:$F$1001,$O87))</f>
      </c>
      <c r="G87" s="164">
        <f>IF($O87="","",INDEX(Master!$G$2:$G$1001,$O87))</f>
      </c>
      <c r="H87" s="164">
        <f>IF($O87="","",INDEX(Master!$H$2:$H$1001,$O87))</f>
      </c>
      <c r="I87" s="164">
        <f>IF($O87="","",INDEX(Master!$I$2:$I$1001,$O87))</f>
      </c>
      <c r="J87" s="164">
        <f>IF($O87="","",INDEX(Master!$J$2:$J$1001,$O87))</f>
      </c>
      <c r="K87" s="248">
        <f t="shared" si="2"/>
      </c>
      <c r="L87" s="164">
        <f>IF($O87="","",INDEX(Master!$K$2:$K$1001,$O87))</f>
      </c>
      <c r="M87" s="164">
        <f>IF($O87="","",INDEX(Master!$L$2:$L$1001,$O87))</f>
      </c>
      <c r="N87" s="164" t="s">
        <v>52</v>
      </c>
      <c r="O87">
        <f t="array" ref="O87">IFERROR(SMALL(IF(Master!$A$2:$A$1001="MASHIVA STEEL AND ALLOYS LLP",ROW(Master!$A$2:$A$1001)-ROW(Master!$A$2)+1),83),"")</f>
      </c>
      <c r="P87">
        <f t="shared" si="3"/>
      </c>
    </row>
    <row r="88" spans="1:16" x14ac:dyDescent="0.25">
      <c r="A88" s="164">
        <f>IF($O88="","",INDEX(Master!$D$2:$D$1001,$O88))</f>
      </c>
      <c r="B88" s="165">
        <f>IF($O88="","",INDEX(Master!$B$2:$B$1001,$O88))</f>
      </c>
      <c r="C88" s="164">
        <f>IF($O88="","",INDEX(Master!$C$2:$C$1001,$O88))</f>
      </c>
      <c r="D88" s="164">
        <f>IF($O88="","",INDEX(Master!$A$2:$A$1001,$O88))</f>
      </c>
      <c r="E88" s="164">
        <f>IF($O88="","",INDEX(Master!$E$2:$E$1001,$O88))</f>
      </c>
      <c r="F88" s="164">
        <f>IF($O88="","",INDEX(Master!$F$2:$F$1001,$O88))</f>
      </c>
      <c r="G88" s="164">
        <f>IF($O88="","",INDEX(Master!$G$2:$G$1001,$O88))</f>
      </c>
      <c r="H88" s="164">
        <f>IF($O88="","",INDEX(Master!$H$2:$H$1001,$O88))</f>
      </c>
      <c r="I88" s="164">
        <f>IF($O88="","",INDEX(Master!$I$2:$I$1001,$O88))</f>
      </c>
      <c r="J88" s="164">
        <f>IF($O88="","",INDEX(Master!$J$2:$J$1001,$O88))</f>
      </c>
      <c r="K88" s="248">
        <f t="shared" si="2"/>
      </c>
      <c r="L88" s="164">
        <f>IF($O88="","",INDEX(Master!$K$2:$K$1001,$O88))</f>
      </c>
      <c r="M88" s="164">
        <f>IF($O88="","",INDEX(Master!$L$2:$L$1001,$O88))</f>
      </c>
      <c r="N88" s="164" t="s">
        <v>52</v>
      </c>
      <c r="O88">
        <f t="array" ref="O88">IFERROR(SMALL(IF(Master!$A$2:$A$1001="MASHIVA STEEL AND ALLOYS LLP",ROW(Master!$A$2:$A$1001)-ROW(Master!$A$2)+1),84),"")</f>
      </c>
      <c r="P88">
        <f t="shared" si="3"/>
      </c>
    </row>
    <row r="89" spans="1:16" x14ac:dyDescent="0.25">
      <c r="A89" s="164">
        <f>IF($O89="","",INDEX(Master!$D$2:$D$1001,$O89))</f>
      </c>
      <c r="B89" s="165">
        <f>IF($O89="","",INDEX(Master!$B$2:$B$1001,$O89))</f>
      </c>
      <c r="C89" s="164">
        <f>IF($O89="","",INDEX(Master!$C$2:$C$1001,$O89))</f>
      </c>
      <c r="D89" s="164">
        <f>IF($O89="","",INDEX(Master!$A$2:$A$1001,$O89))</f>
      </c>
      <c r="E89" s="164">
        <f>IF($O89="","",INDEX(Master!$E$2:$E$1001,$O89))</f>
      </c>
      <c r="F89" s="164">
        <f>IF($O89="","",INDEX(Master!$F$2:$F$1001,$O89))</f>
      </c>
      <c r="G89" s="164">
        <f>IF($O89="","",INDEX(Master!$G$2:$G$1001,$O89))</f>
      </c>
      <c r="H89" s="164">
        <f>IF($O89="","",INDEX(Master!$H$2:$H$1001,$O89))</f>
      </c>
      <c r="I89" s="164">
        <f>IF($O89="","",INDEX(Master!$I$2:$I$1001,$O89))</f>
      </c>
      <c r="J89" s="164">
        <f>IF($O89="","",INDEX(Master!$J$2:$J$1001,$O89))</f>
      </c>
      <c r="K89" s="248">
        <f t="shared" si="2"/>
      </c>
      <c r="L89" s="164">
        <f>IF($O89="","",INDEX(Master!$K$2:$K$1001,$O89))</f>
      </c>
      <c r="M89" s="164">
        <f>IF($O89="","",INDEX(Master!$L$2:$L$1001,$O89))</f>
      </c>
      <c r="N89" s="164" t="s">
        <v>52</v>
      </c>
      <c r="O89">
        <f t="array" ref="O89">IFERROR(SMALL(IF(Master!$A$2:$A$1001="MASHIVA STEEL AND ALLOYS LLP",ROW(Master!$A$2:$A$1001)-ROW(Master!$A$2)+1),85),"")</f>
      </c>
      <c r="P89">
        <f t="shared" si="3"/>
      </c>
    </row>
    <row r="90" spans="1:16" x14ac:dyDescent="0.25">
      <c r="A90" s="164">
        <f>IF($O90="","",INDEX(Master!$D$2:$D$1001,$O90))</f>
      </c>
      <c r="B90" s="165">
        <f>IF($O90="","",INDEX(Master!$B$2:$B$1001,$O90))</f>
      </c>
      <c r="C90" s="164">
        <f>IF($O90="","",INDEX(Master!$C$2:$C$1001,$O90))</f>
      </c>
      <c r="D90" s="164">
        <f>IF($O90="","",INDEX(Master!$A$2:$A$1001,$O90))</f>
      </c>
      <c r="E90" s="164">
        <f>IF($O90="","",INDEX(Master!$E$2:$E$1001,$O90))</f>
      </c>
      <c r="F90" s="164">
        <f>IF($O90="","",INDEX(Master!$F$2:$F$1001,$O90))</f>
      </c>
      <c r="G90" s="164">
        <f>IF($O90="","",INDEX(Master!$G$2:$G$1001,$O90))</f>
      </c>
      <c r="H90" s="164">
        <f>IF($O90="","",INDEX(Master!$H$2:$H$1001,$O90))</f>
      </c>
      <c r="I90" s="164">
        <f>IF($O90="","",INDEX(Master!$I$2:$I$1001,$O90))</f>
      </c>
      <c r="J90" s="164">
        <f>IF($O90="","",INDEX(Master!$J$2:$J$1001,$O90))</f>
      </c>
      <c r="K90" s="248">
        <f t="shared" si="2"/>
      </c>
      <c r="L90" s="164">
        <f>IF($O90="","",INDEX(Master!$K$2:$K$1001,$O90))</f>
      </c>
      <c r="M90" s="164">
        <f>IF($O90="","",INDEX(Master!$L$2:$L$1001,$O90))</f>
      </c>
      <c r="N90" s="164" t="s">
        <v>52</v>
      </c>
      <c r="O90">
        <f t="array" ref="O90">IFERROR(SMALL(IF(Master!$A$2:$A$1001="MASHIVA STEEL AND ALLOYS LLP",ROW(Master!$A$2:$A$1001)-ROW(Master!$A$2)+1),86),"")</f>
      </c>
      <c r="P90">
        <f t="shared" si="3"/>
      </c>
    </row>
    <row r="91" spans="1:16" x14ac:dyDescent="0.25">
      <c r="A91" s="164">
        <f>IF($O91="","",INDEX(Master!$D$2:$D$1001,$O91))</f>
      </c>
      <c r="B91" s="165">
        <f>IF($O91="","",INDEX(Master!$B$2:$B$1001,$O91))</f>
      </c>
      <c r="C91" s="164">
        <f>IF($O91="","",INDEX(Master!$C$2:$C$1001,$O91))</f>
      </c>
      <c r="D91" s="164">
        <f>IF($O91="","",INDEX(Master!$A$2:$A$1001,$O91))</f>
      </c>
      <c r="E91" s="164">
        <f>IF($O91="","",INDEX(Master!$E$2:$E$1001,$O91))</f>
      </c>
      <c r="F91" s="164">
        <f>IF($O91="","",INDEX(Master!$F$2:$F$1001,$O91))</f>
      </c>
      <c r="G91" s="164">
        <f>IF($O91="","",INDEX(Master!$G$2:$G$1001,$O91))</f>
      </c>
      <c r="H91" s="164">
        <f>IF($O91="","",INDEX(Master!$H$2:$H$1001,$O91))</f>
      </c>
      <c r="I91" s="164">
        <f>IF($O91="","",INDEX(Master!$I$2:$I$1001,$O91))</f>
      </c>
      <c r="J91" s="164">
        <f>IF($O91="","",INDEX(Master!$J$2:$J$1001,$O91))</f>
      </c>
      <c r="K91" s="248">
        <f t="shared" si="2"/>
      </c>
      <c r="L91" s="164">
        <f>IF($O91="","",INDEX(Master!$K$2:$K$1001,$O91))</f>
      </c>
      <c r="M91" s="164">
        <f>IF($O91="","",INDEX(Master!$L$2:$L$1001,$O91))</f>
      </c>
      <c r="N91" s="164" t="s">
        <v>52</v>
      </c>
      <c r="O91">
        <f t="array" ref="O91">IFERROR(SMALL(IF(Master!$A$2:$A$1001="MASHIVA STEEL AND ALLOYS LLP",ROW(Master!$A$2:$A$1001)-ROW(Master!$A$2)+1),87),"")</f>
      </c>
      <c r="P91">
        <f t="shared" si="3"/>
      </c>
    </row>
    <row r="92" spans="1:16" x14ac:dyDescent="0.25">
      <c r="A92" s="164">
        <f>IF($O92="","",INDEX(Master!$D$2:$D$1001,$O92))</f>
      </c>
      <c r="B92" s="165">
        <f>IF($O92="","",INDEX(Master!$B$2:$B$1001,$O92))</f>
      </c>
      <c r="C92" s="164">
        <f>IF($O92="","",INDEX(Master!$C$2:$C$1001,$O92))</f>
      </c>
      <c r="D92" s="164">
        <f>IF($O92="","",INDEX(Master!$A$2:$A$1001,$O92))</f>
      </c>
      <c r="E92" s="164">
        <f>IF($O92="","",INDEX(Master!$E$2:$E$1001,$O92))</f>
      </c>
      <c r="F92" s="164">
        <f>IF($O92="","",INDEX(Master!$F$2:$F$1001,$O92))</f>
      </c>
      <c r="G92" s="164">
        <f>IF($O92="","",INDEX(Master!$G$2:$G$1001,$O92))</f>
      </c>
      <c r="H92" s="164">
        <f>IF($O92="","",INDEX(Master!$H$2:$H$1001,$O92))</f>
      </c>
      <c r="I92" s="164">
        <f>IF($O92="","",INDEX(Master!$I$2:$I$1001,$O92))</f>
      </c>
      <c r="J92" s="164">
        <f>IF($O92="","",INDEX(Master!$J$2:$J$1001,$O92))</f>
      </c>
      <c r="K92" s="248">
        <f t="shared" si="2"/>
      </c>
      <c r="L92" s="164">
        <f>IF($O92="","",INDEX(Master!$K$2:$K$1001,$O92))</f>
      </c>
      <c r="M92" s="164">
        <f>IF($O92="","",INDEX(Master!$L$2:$L$1001,$O92))</f>
      </c>
      <c r="N92" s="164" t="s">
        <v>52</v>
      </c>
      <c r="O92">
        <f t="array" ref="O92">IFERROR(SMALL(IF(Master!$A$2:$A$1001="MASHIVA STEEL AND ALLOYS LLP",ROW(Master!$A$2:$A$1001)-ROW(Master!$A$2)+1),88),"")</f>
      </c>
      <c r="P92">
        <f t="shared" si="3"/>
      </c>
    </row>
    <row r="93" spans="1:16" x14ac:dyDescent="0.25">
      <c r="A93" s="164">
        <f>IF($O93="","",INDEX(Master!$D$2:$D$1001,$O93))</f>
      </c>
      <c r="B93" s="165">
        <f>IF($O93="","",INDEX(Master!$B$2:$B$1001,$O93))</f>
      </c>
      <c r="C93" s="164">
        <f>IF($O93="","",INDEX(Master!$C$2:$C$1001,$O93))</f>
      </c>
      <c r="D93" s="164">
        <f>IF($O93="","",INDEX(Master!$A$2:$A$1001,$O93))</f>
      </c>
      <c r="E93" s="164">
        <f>IF($O93="","",INDEX(Master!$E$2:$E$1001,$O93))</f>
      </c>
      <c r="F93" s="164">
        <f>IF($O93="","",INDEX(Master!$F$2:$F$1001,$O93))</f>
      </c>
      <c r="G93" s="164">
        <f>IF($O93="","",INDEX(Master!$G$2:$G$1001,$O93))</f>
      </c>
      <c r="H93" s="164">
        <f>IF($O93="","",INDEX(Master!$H$2:$H$1001,$O93))</f>
      </c>
      <c r="I93" s="164">
        <f>IF($O93="","",INDEX(Master!$I$2:$I$1001,$O93))</f>
      </c>
      <c r="J93" s="164">
        <f>IF($O93="","",INDEX(Master!$J$2:$J$1001,$O93))</f>
      </c>
      <c r="K93" s="248">
        <f t="shared" si="2"/>
      </c>
      <c r="L93" s="164">
        <f>IF($O93="","",INDEX(Master!$K$2:$K$1001,$O93))</f>
      </c>
      <c r="M93" s="164">
        <f>IF($O93="","",INDEX(Master!$L$2:$L$1001,$O93))</f>
      </c>
      <c r="N93" s="164" t="s">
        <v>52</v>
      </c>
      <c r="O93">
        <f t="array" ref="O93">IFERROR(SMALL(IF(Master!$A$2:$A$1001="MASHIVA STEEL AND ALLOYS LLP",ROW(Master!$A$2:$A$1001)-ROW(Master!$A$2)+1),89),"")</f>
      </c>
      <c r="P93">
        <f t="shared" si="3"/>
      </c>
    </row>
    <row r="94" spans="1:16" x14ac:dyDescent="0.25">
      <c r="A94" s="164">
        <f>IF($O94="","",INDEX(Master!$D$2:$D$1001,$O94))</f>
      </c>
      <c r="B94" s="165">
        <f>IF($O94="","",INDEX(Master!$B$2:$B$1001,$O94))</f>
      </c>
      <c r="C94" s="164">
        <f>IF($O94="","",INDEX(Master!$C$2:$C$1001,$O94))</f>
      </c>
      <c r="D94" s="164">
        <f>IF($O94="","",INDEX(Master!$A$2:$A$1001,$O94))</f>
      </c>
      <c r="E94" s="164">
        <f>IF($O94="","",INDEX(Master!$E$2:$E$1001,$O94))</f>
      </c>
      <c r="F94" s="164">
        <f>IF($O94="","",INDEX(Master!$F$2:$F$1001,$O94))</f>
      </c>
      <c r="G94" s="164">
        <f>IF($O94="","",INDEX(Master!$G$2:$G$1001,$O94))</f>
      </c>
      <c r="H94" s="164">
        <f>IF($O94="","",INDEX(Master!$H$2:$H$1001,$O94))</f>
      </c>
      <c r="I94" s="164">
        <f>IF($O94="","",INDEX(Master!$I$2:$I$1001,$O94))</f>
      </c>
      <c r="J94" s="164">
        <f>IF($O94="","",INDEX(Master!$J$2:$J$1001,$O94))</f>
      </c>
      <c r="K94" s="248">
        <f t="shared" si="2"/>
      </c>
      <c r="L94" s="164">
        <f>IF($O94="","",INDEX(Master!$K$2:$K$1001,$O94))</f>
      </c>
      <c r="M94" s="164">
        <f>IF($O94="","",INDEX(Master!$L$2:$L$1001,$O94))</f>
      </c>
      <c r="N94" s="164" t="s">
        <v>52</v>
      </c>
      <c r="O94">
        <f t="array" ref="O94">IFERROR(SMALL(IF(Master!$A$2:$A$1001="MASHIVA STEEL AND ALLOYS LLP",ROW(Master!$A$2:$A$1001)-ROW(Master!$A$2)+1),90),"")</f>
      </c>
      <c r="P94">
        <f t="shared" si="3"/>
      </c>
    </row>
    <row r="95" spans="1:16" x14ac:dyDescent="0.25">
      <c r="A95">
        <f>IF($O95="","",INDEX(Master!$D$2:$D$1001,$O95))</f>
      </c>
      <c r="B95" s="166">
        <f>IF($O95="","",INDEX(Master!$B$2:$B$1001,$O95))</f>
      </c>
      <c r="C95">
        <f>IF($O95="","",INDEX(Master!$C$2:$C$1001,$O95))</f>
      </c>
      <c r="D95">
        <f>IF($O95="","",INDEX(Master!$A$2:$A$1001,$O95))</f>
      </c>
      <c r="E95">
        <f>IF($O95="","",INDEX(Master!$E$2:$E$1001,$O95))</f>
      </c>
      <c r="F95">
        <f>IF($O95="","",INDEX(Master!$F$2:$F$1001,$O95))</f>
      </c>
      <c r="G95">
        <f>IF($O95="","",INDEX(Master!$G$2:$G$1001,$O95))</f>
      </c>
      <c r="H95">
        <f>IF($O95="","",INDEX(Master!$H$2:$H$1001,$O95))</f>
      </c>
      <c r="I95">
        <f>IF($O95="","",INDEX(Master!$I$2:$I$1001,$O95))</f>
      </c>
      <c r="J95">
        <f>IF($O95="","",INDEX(Master!$J$2:$J$1001,$O95))</f>
      </c>
      <c r="K95">
        <f t="shared" si="2"/>
      </c>
      <c r="L95">
        <f>IF($O95="","",INDEX(Master!$K$2:$K$1001,$O95))</f>
      </c>
      <c r="M95">
        <f>IF($O95="","",INDEX(Master!$L$2:$L$1001,$O95))</f>
      </c>
      <c r="O95">
        <f t="array" ref="O95">IFERROR(SMALL(IF(Master!$A$2:$A$1001="MASHIVA STEEL AND ALLOYS LLP",ROW(Master!$A$2:$A$1001)-ROW(Master!$A$2)+1),91),"")</f>
      </c>
      <c r="P95">
        <f t="shared" si="3"/>
      </c>
    </row>
    <row r="96" spans="1:16" x14ac:dyDescent="0.25">
      <c r="A96">
        <f>IF($O96="","",INDEX(Master!$D$2:$D$1001,$O96))</f>
      </c>
      <c r="B96" s="166">
        <f>IF($O96="","",INDEX(Master!$B$2:$B$1001,$O96))</f>
      </c>
      <c r="C96">
        <f>IF($O96="","",INDEX(Master!$C$2:$C$1001,$O96))</f>
      </c>
      <c r="D96">
        <f>IF($O96="","",INDEX(Master!$A$2:$A$1001,$O96))</f>
      </c>
      <c r="E96">
        <f>IF($O96="","",INDEX(Master!$E$2:$E$1001,$O96))</f>
      </c>
      <c r="F96">
        <f>IF($O96="","",INDEX(Master!$F$2:$F$1001,$O96))</f>
      </c>
      <c r="G96">
        <f>IF($O96="","",INDEX(Master!$G$2:$G$1001,$O96))</f>
      </c>
      <c r="H96">
        <f>IF($O96="","",INDEX(Master!$H$2:$H$1001,$O96))</f>
      </c>
      <c r="I96">
        <f>IF($O96="","",INDEX(Master!$I$2:$I$1001,$O96))</f>
      </c>
      <c r="J96">
        <f>IF($O96="","",INDEX(Master!$J$2:$J$1001,$O96))</f>
      </c>
      <c r="K96">
        <f t="shared" si="2"/>
      </c>
      <c r="L96">
        <f>IF($O96="","",INDEX(Master!$K$2:$K$1001,$O96))</f>
      </c>
      <c r="M96">
        <f>IF($O96="","",INDEX(Master!$L$2:$L$1001,$O96))</f>
      </c>
      <c r="O96">
        <f t="array" ref="O96">IFERROR(SMALL(IF(Master!$A$2:$A$1001="MASHIVA STEEL AND ALLOYS LLP",ROW(Master!$A$2:$A$1001)-ROW(Master!$A$2)+1),92),"")</f>
      </c>
      <c r="P96">
        <f t="shared" si="3"/>
      </c>
    </row>
    <row r="97" spans="1:16" x14ac:dyDescent="0.25">
      <c r="A97">
        <f>IF($O97="","",INDEX(Master!$D$2:$D$1001,$O97))</f>
      </c>
      <c r="B97" s="166">
        <f>IF($O97="","",INDEX(Master!$B$2:$B$1001,$O97))</f>
      </c>
      <c r="C97">
        <f>IF($O97="","",INDEX(Master!$C$2:$C$1001,$O97))</f>
      </c>
      <c r="D97">
        <f>IF($O97="","",INDEX(Master!$A$2:$A$1001,$O97))</f>
      </c>
      <c r="E97">
        <f>IF($O97="","",INDEX(Master!$E$2:$E$1001,$O97))</f>
      </c>
      <c r="F97">
        <f>IF($O97="","",INDEX(Master!$F$2:$F$1001,$O97))</f>
      </c>
      <c r="G97">
        <f>IF($O97="","",INDEX(Master!$G$2:$G$1001,$O97))</f>
      </c>
      <c r="H97">
        <f>IF($O97="","",INDEX(Master!$H$2:$H$1001,$O97))</f>
      </c>
      <c r="I97">
        <f>IF($O97="","",INDEX(Master!$I$2:$I$1001,$O97))</f>
      </c>
      <c r="J97">
        <f>IF($O97="","",INDEX(Master!$J$2:$J$1001,$O97))</f>
      </c>
      <c r="K97">
        <f t="shared" si="2"/>
      </c>
      <c r="L97">
        <f>IF($O97="","",INDEX(Master!$K$2:$K$1001,$O97))</f>
      </c>
      <c r="M97">
        <f>IF($O97="","",INDEX(Master!$L$2:$L$1001,$O97))</f>
      </c>
      <c r="O97">
        <f t="array" ref="O97">IFERROR(SMALL(IF(Master!$A$2:$A$1001="MASHIVA STEEL AND ALLOYS LLP",ROW(Master!$A$2:$A$1001)-ROW(Master!$A$2)+1),93),"")</f>
      </c>
      <c r="P97">
        <f t="shared" si="3"/>
      </c>
    </row>
    <row r="98" spans="1:16" x14ac:dyDescent="0.25">
      <c r="A98">
        <f>IF($O98="","",INDEX(Master!$D$2:$D$1001,$O98))</f>
      </c>
      <c r="B98" s="166">
        <f>IF($O98="","",INDEX(Master!$B$2:$B$1001,$O98))</f>
      </c>
      <c r="C98">
        <f>IF($O98="","",INDEX(Master!$C$2:$C$1001,$O98))</f>
      </c>
      <c r="D98">
        <f>IF($O98="","",INDEX(Master!$A$2:$A$1001,$O98))</f>
      </c>
      <c r="E98">
        <f>IF($O98="","",INDEX(Master!$E$2:$E$1001,$O98))</f>
      </c>
      <c r="F98">
        <f>IF($O98="","",INDEX(Master!$F$2:$F$1001,$O98))</f>
      </c>
      <c r="G98">
        <f>IF($O98="","",INDEX(Master!$G$2:$G$1001,$O98))</f>
      </c>
      <c r="H98">
        <f>IF($O98="","",INDEX(Master!$H$2:$H$1001,$O98))</f>
      </c>
      <c r="I98">
        <f>IF($O98="","",INDEX(Master!$I$2:$I$1001,$O98))</f>
      </c>
      <c r="J98">
        <f>IF($O98="","",INDEX(Master!$J$2:$J$1001,$O98))</f>
      </c>
      <c r="K98">
        <f t="shared" si="2"/>
      </c>
      <c r="L98">
        <f>IF($O98="","",INDEX(Master!$K$2:$K$1001,$O98))</f>
      </c>
      <c r="M98">
        <f>IF($O98="","",INDEX(Master!$L$2:$L$1001,$O98))</f>
      </c>
      <c r="O98">
        <f t="array" ref="O98">IFERROR(SMALL(IF(Master!$A$2:$A$1001="MASHIVA STEEL AND ALLOYS LLP",ROW(Master!$A$2:$A$1001)-ROW(Master!$A$2)+1),94),"")</f>
      </c>
      <c r="P98">
        <f t="shared" si="3"/>
      </c>
    </row>
    <row r="99" spans="1:16" x14ac:dyDescent="0.25">
      <c r="A99">
        <f>IF($O99="","",INDEX(Master!$D$2:$D$1001,$O99))</f>
      </c>
      <c r="B99" s="166">
        <f>IF($O99="","",INDEX(Master!$B$2:$B$1001,$O99))</f>
      </c>
      <c r="C99">
        <f>IF($O99="","",INDEX(Master!$C$2:$C$1001,$O99))</f>
      </c>
      <c r="D99">
        <f>IF($O99="","",INDEX(Master!$A$2:$A$1001,$O99))</f>
      </c>
      <c r="E99">
        <f>IF($O99="","",INDEX(Master!$E$2:$E$1001,$O99))</f>
      </c>
      <c r="F99">
        <f>IF($O99="","",INDEX(Master!$F$2:$F$1001,$O99))</f>
      </c>
      <c r="G99">
        <f>IF($O99="","",INDEX(Master!$G$2:$G$1001,$O99))</f>
      </c>
      <c r="H99">
        <f>IF($O99="","",INDEX(Master!$H$2:$H$1001,$O99))</f>
      </c>
      <c r="I99">
        <f>IF($O99="","",INDEX(Master!$I$2:$I$1001,$O99))</f>
      </c>
      <c r="J99">
        <f>IF($O99="","",INDEX(Master!$J$2:$J$1001,$O99))</f>
      </c>
      <c r="K99">
        <f t="shared" si="2"/>
      </c>
      <c r="L99">
        <f>IF($O99="","",INDEX(Master!$K$2:$K$1001,$O99))</f>
      </c>
      <c r="M99">
        <f>IF($O99="","",INDEX(Master!$L$2:$L$1001,$O99))</f>
      </c>
      <c r="O99">
        <f t="array" ref="O99">IFERROR(SMALL(IF(Master!$A$2:$A$1001="MASHIVA STEEL AND ALLOYS LLP",ROW(Master!$A$2:$A$1001)-ROW(Master!$A$2)+1),95),"")</f>
      </c>
      <c r="P99">
        <f t="shared" si="3"/>
      </c>
    </row>
    <row r="100" spans="1:16" x14ac:dyDescent="0.25">
      <c r="A100">
        <f>IF($O100="","",INDEX(Master!$D$2:$D$1001,$O100))</f>
      </c>
      <c r="B100" s="166">
        <f>IF($O100="","",INDEX(Master!$B$2:$B$1001,$O100))</f>
      </c>
      <c r="C100">
        <f>IF($O100="","",INDEX(Master!$C$2:$C$1001,$O100))</f>
      </c>
      <c r="D100">
        <f>IF($O100="","",INDEX(Master!$A$2:$A$1001,$O100))</f>
      </c>
      <c r="E100">
        <f>IF($O100="","",INDEX(Master!$E$2:$E$1001,$O100))</f>
      </c>
      <c r="F100">
        <f>IF($O100="","",INDEX(Master!$F$2:$F$1001,$O100))</f>
      </c>
      <c r="G100">
        <f>IF($O100="","",INDEX(Master!$G$2:$G$1001,$O100))</f>
      </c>
      <c r="H100">
        <f>IF($O100="","",INDEX(Master!$H$2:$H$1001,$O100))</f>
      </c>
      <c r="I100">
        <f>IF($O100="","",INDEX(Master!$I$2:$I$1001,$O100))</f>
      </c>
      <c r="J100">
        <f>IF($O100="","",INDEX(Master!$J$2:$J$1001,$O100))</f>
      </c>
      <c r="K100">
        <f t="shared" si="2"/>
      </c>
      <c r="L100">
        <f>IF($O100="","",INDEX(Master!$K$2:$K$1001,$O100))</f>
      </c>
      <c r="M100">
        <f>IF($O100="","",INDEX(Master!$L$2:$L$1001,$O100))</f>
      </c>
      <c r="O100">
        <f t="array" ref="O100">IFERROR(SMALL(IF(Master!$A$2:$A$1001="MASHIVA STEEL AND ALLOYS LLP",ROW(Master!$A$2:$A$1001)-ROW(Master!$A$2)+1),96),"")</f>
      </c>
      <c r="P100">
        <f t="shared" si="3"/>
      </c>
    </row>
    <row r="101" spans="1:16" x14ac:dyDescent="0.25">
      <c r="A101">
        <f>IF($O101="","",INDEX(Master!$D$2:$D$1001,$O101))</f>
      </c>
      <c r="B101" s="166">
        <f>IF($O101="","",INDEX(Master!$B$2:$B$1001,$O101))</f>
      </c>
      <c r="C101">
        <f>IF($O101="","",INDEX(Master!$C$2:$C$1001,$O101))</f>
      </c>
      <c r="D101">
        <f>IF($O101="","",INDEX(Master!$A$2:$A$1001,$O101))</f>
      </c>
      <c r="E101">
        <f>IF($O101="","",INDEX(Master!$E$2:$E$1001,$O101))</f>
      </c>
      <c r="F101">
        <f>IF($O101="","",INDEX(Master!$F$2:$F$1001,$O101))</f>
      </c>
      <c r="G101">
        <f>IF($O101="","",INDEX(Master!$G$2:$G$1001,$O101))</f>
      </c>
      <c r="H101">
        <f>IF($O101="","",INDEX(Master!$H$2:$H$1001,$O101))</f>
      </c>
      <c r="I101">
        <f>IF($O101="","",INDEX(Master!$I$2:$I$1001,$O101))</f>
      </c>
      <c r="J101">
        <f>IF($O101="","",INDEX(Master!$J$2:$J$1001,$O101))</f>
      </c>
      <c r="K101">
        <f t="shared" si="2"/>
      </c>
      <c r="L101">
        <f>IF($O101="","",INDEX(Master!$K$2:$K$1001,$O101))</f>
      </c>
      <c r="M101">
        <f>IF($O101="","",INDEX(Master!$L$2:$L$1001,$O101))</f>
      </c>
      <c r="O101">
        <f t="array" ref="O101">IFERROR(SMALL(IF(Master!$A$2:$A$1001="MASHIVA STEEL AND ALLOYS LLP",ROW(Master!$A$2:$A$1001)-ROW(Master!$A$2)+1),97),"")</f>
      </c>
      <c r="P101">
        <f t="shared" si="3"/>
      </c>
    </row>
    <row r="102" spans="1:16" x14ac:dyDescent="0.25">
      <c r="A102">
        <f>IF($O102="","",INDEX(Master!$D$2:$D$1001,$O102))</f>
      </c>
      <c r="B102" s="166">
        <f>IF($O102="","",INDEX(Master!$B$2:$B$1001,$O102))</f>
      </c>
      <c r="C102">
        <f>IF($O102="","",INDEX(Master!$C$2:$C$1001,$O102))</f>
      </c>
      <c r="D102">
        <f>IF($O102="","",INDEX(Master!$A$2:$A$1001,$O102))</f>
      </c>
      <c r="E102">
        <f>IF($O102="","",INDEX(Master!$E$2:$E$1001,$O102))</f>
      </c>
      <c r="F102">
        <f>IF($O102="","",INDEX(Master!$F$2:$F$1001,$O102))</f>
      </c>
      <c r="G102">
        <f>IF($O102="","",INDEX(Master!$G$2:$G$1001,$O102))</f>
      </c>
      <c r="H102">
        <f>IF($O102="","",INDEX(Master!$H$2:$H$1001,$O102))</f>
      </c>
      <c r="I102">
        <f>IF($O102="","",INDEX(Master!$I$2:$I$1001,$O102))</f>
      </c>
      <c r="J102">
        <f>IF($O102="","",INDEX(Master!$J$2:$J$1001,$O102))</f>
      </c>
      <c r="K102">
        <f t="shared" si="2"/>
      </c>
      <c r="L102">
        <f>IF($O102="","",INDEX(Master!$K$2:$K$1001,$O102))</f>
      </c>
      <c r="M102">
        <f>IF($O102="","",INDEX(Master!$L$2:$L$1001,$O102))</f>
      </c>
      <c r="O102">
        <f t="array" ref="O102">IFERROR(SMALL(IF(Master!$A$2:$A$1001="MASHIVA STEEL AND ALLOYS LLP",ROW(Master!$A$2:$A$1001)-ROW(Master!$A$2)+1),98),"")</f>
      </c>
      <c r="P102">
        <f t="shared" si="3"/>
      </c>
    </row>
    <row r="103" spans="1:16" x14ac:dyDescent="0.25">
      <c r="A103">
        <f>IF($O103="","",INDEX(Master!$D$2:$D$1001,$O103))</f>
      </c>
      <c r="B103" s="166">
        <f>IF($O103="","",INDEX(Master!$B$2:$B$1001,$O103))</f>
      </c>
      <c r="C103">
        <f>IF($O103="","",INDEX(Master!$C$2:$C$1001,$O103))</f>
      </c>
      <c r="D103">
        <f>IF($O103="","",INDEX(Master!$A$2:$A$1001,$O103))</f>
      </c>
      <c r="E103">
        <f>IF($O103="","",INDEX(Master!$E$2:$E$1001,$O103))</f>
      </c>
      <c r="F103">
        <f>IF($O103="","",INDEX(Master!$F$2:$F$1001,$O103))</f>
      </c>
      <c r="G103">
        <f>IF($O103="","",INDEX(Master!$G$2:$G$1001,$O103))</f>
      </c>
      <c r="H103">
        <f>IF($O103="","",INDEX(Master!$H$2:$H$1001,$O103))</f>
      </c>
      <c r="I103">
        <f>IF($O103="","",INDEX(Master!$I$2:$I$1001,$O103))</f>
      </c>
      <c r="J103">
        <f>IF($O103="","",INDEX(Master!$J$2:$J$1001,$O103))</f>
      </c>
      <c r="K103">
        <f t="shared" si="2"/>
      </c>
      <c r="L103">
        <f>IF($O103="","",INDEX(Master!$K$2:$K$1001,$O103))</f>
      </c>
      <c r="M103">
        <f>IF($O103="","",INDEX(Master!$L$2:$L$1001,$O103))</f>
      </c>
      <c r="O103">
        <f t="array" ref="O103">IFERROR(SMALL(IF(Master!$A$2:$A$1001="MASHIVA STEEL AND ALLOYS LLP",ROW(Master!$A$2:$A$1001)-ROW(Master!$A$2)+1),99),"")</f>
      </c>
      <c r="P103">
        <f t="shared" si="3"/>
      </c>
    </row>
    <row r="104" spans="1:16" x14ac:dyDescent="0.25">
      <c r="A104">
        <f>IF($O104="","",INDEX(Master!$D$2:$D$1001,$O104))</f>
      </c>
      <c r="B104" s="166">
        <f>IF($O104="","",INDEX(Master!$B$2:$B$1001,$O104))</f>
      </c>
      <c r="C104">
        <f>IF($O104="","",INDEX(Master!$C$2:$C$1001,$O104))</f>
      </c>
      <c r="D104">
        <f>IF($O104="","",INDEX(Master!$A$2:$A$1001,$O104))</f>
      </c>
      <c r="E104">
        <f>IF($O104="","",INDEX(Master!$E$2:$E$1001,$O104))</f>
      </c>
      <c r="F104">
        <f>IF($O104="","",INDEX(Master!$F$2:$F$1001,$O104))</f>
      </c>
      <c r="G104">
        <f>IF($O104="","",INDEX(Master!$G$2:$G$1001,$O104))</f>
      </c>
      <c r="H104">
        <f>IF($O104="","",INDEX(Master!$H$2:$H$1001,$O104))</f>
      </c>
      <c r="I104">
        <f>IF($O104="","",INDEX(Master!$I$2:$I$1001,$O104))</f>
      </c>
      <c r="J104">
        <f>IF($O104="","",INDEX(Master!$J$2:$J$1001,$O104))</f>
      </c>
      <c r="K104">
        <f t="shared" si="2"/>
      </c>
      <c r="L104">
        <f>IF($O104="","",INDEX(Master!$K$2:$K$1001,$O104))</f>
      </c>
      <c r="M104">
        <f>IF($O104="","",INDEX(Master!$L$2:$L$1001,$O104))</f>
      </c>
      <c r="O104">
        <f t="array" ref="O104">IFERROR(SMALL(IF(Master!$A$2:$A$1001="MASHIVA STEEL AND ALLOYS LLP",ROW(Master!$A$2:$A$1001)-ROW(Master!$A$2)+1),100),"")</f>
      </c>
      <c r="P104">
        <f t="shared" si="3"/>
      </c>
    </row>
    <row r="105" spans="1:16" x14ac:dyDescent="0.25">
      <c r="A105">
        <f>IF($O105="","",INDEX(Master!$D$2:$D$1001,$O105))</f>
      </c>
      <c r="B105" s="166">
        <f>IF($O105="","",INDEX(Master!$B$2:$B$1001,$O105))</f>
      </c>
      <c r="C105">
        <f>IF($O105="","",INDEX(Master!$C$2:$C$1001,$O105))</f>
      </c>
      <c r="D105">
        <f>IF($O105="","",INDEX(Master!$A$2:$A$1001,$O105))</f>
      </c>
      <c r="E105">
        <f>IF($O105="","",INDEX(Master!$E$2:$E$1001,$O105))</f>
      </c>
      <c r="F105">
        <f>IF($O105="","",INDEX(Master!$F$2:$F$1001,$O105))</f>
      </c>
      <c r="G105">
        <f>IF($O105="","",INDEX(Master!$G$2:$G$1001,$O105))</f>
      </c>
      <c r="H105">
        <f>IF($O105="","",INDEX(Master!$H$2:$H$1001,$O105))</f>
      </c>
      <c r="I105">
        <f>IF($O105="","",INDEX(Master!$I$2:$I$1001,$O105))</f>
      </c>
      <c r="J105">
        <f>IF($O105="","",INDEX(Master!$J$2:$J$1001,$O105))</f>
      </c>
      <c r="K105">
        <f t="shared" si="2"/>
      </c>
      <c r="L105">
        <f>IF($O105="","",INDEX(Master!$K$2:$K$1001,$O105))</f>
      </c>
      <c r="M105">
        <f>IF($O105="","",INDEX(Master!$L$2:$L$1001,$O105))</f>
      </c>
      <c r="O105">
        <f t="array" ref="O105">IFERROR(SMALL(IF(Master!$A$2:$A$1001="MASHIVA STEEL AND ALLOYS LLP",ROW(Master!$A$2:$A$1001)-ROW(Master!$A$2)+1),101),"")</f>
      </c>
      <c r="P105">
        <f t="shared" si="3"/>
      </c>
    </row>
    <row r="106" spans="1:16" x14ac:dyDescent="0.25">
      <c r="A106">
        <f>IF($O106="","",INDEX(Master!$D$2:$D$1001,$O106))</f>
      </c>
      <c r="B106" s="166">
        <f>IF($O106="","",INDEX(Master!$B$2:$B$1001,$O106))</f>
      </c>
      <c r="C106">
        <f>IF($O106="","",INDEX(Master!$C$2:$C$1001,$O106))</f>
      </c>
      <c r="D106">
        <f>IF($O106="","",INDEX(Master!$A$2:$A$1001,$O106))</f>
      </c>
      <c r="E106">
        <f>IF($O106="","",INDEX(Master!$E$2:$E$1001,$O106))</f>
      </c>
      <c r="F106">
        <f>IF($O106="","",INDEX(Master!$F$2:$F$1001,$O106))</f>
      </c>
      <c r="G106">
        <f>IF($O106="","",INDEX(Master!$G$2:$G$1001,$O106))</f>
      </c>
      <c r="H106">
        <f>IF($O106="","",INDEX(Master!$H$2:$H$1001,$O106))</f>
      </c>
      <c r="I106">
        <f>IF($O106="","",INDEX(Master!$I$2:$I$1001,$O106))</f>
      </c>
      <c r="J106">
        <f>IF($O106="","",INDEX(Master!$J$2:$J$1001,$O106))</f>
      </c>
      <c r="K106">
        <f t="shared" si="2"/>
      </c>
      <c r="L106">
        <f>IF($O106="","",INDEX(Master!$K$2:$K$1001,$O106))</f>
      </c>
      <c r="M106">
        <f>IF($O106="","",INDEX(Master!$L$2:$L$1001,$O106))</f>
      </c>
      <c r="O106">
        <f t="array" ref="O106">IFERROR(SMALL(IF(Master!$A$2:$A$1001="MASHIVA STEEL AND ALLOYS LLP",ROW(Master!$A$2:$A$1001)-ROW(Master!$A$2)+1),102),"")</f>
      </c>
      <c r="P106">
        <f t="shared" si="3"/>
      </c>
    </row>
    <row r="107" spans="1:16" x14ac:dyDescent="0.25">
      <c r="A107">
        <f>IF($O107="","",INDEX(Master!$D$2:$D$1001,$O107))</f>
      </c>
      <c r="B107" s="166">
        <f>IF($O107="","",INDEX(Master!$B$2:$B$1001,$O107))</f>
      </c>
      <c r="C107">
        <f>IF($O107="","",INDEX(Master!$C$2:$C$1001,$O107))</f>
      </c>
      <c r="D107">
        <f>IF($O107="","",INDEX(Master!$A$2:$A$1001,$O107))</f>
      </c>
      <c r="E107">
        <f>IF($O107="","",INDEX(Master!$E$2:$E$1001,$O107))</f>
      </c>
      <c r="F107">
        <f>IF($O107="","",INDEX(Master!$F$2:$F$1001,$O107))</f>
      </c>
      <c r="G107">
        <f>IF($O107="","",INDEX(Master!$G$2:$G$1001,$O107))</f>
      </c>
      <c r="H107">
        <f>IF($O107="","",INDEX(Master!$H$2:$H$1001,$O107))</f>
      </c>
      <c r="I107">
        <f>IF($O107="","",INDEX(Master!$I$2:$I$1001,$O107))</f>
      </c>
      <c r="J107">
        <f>IF($O107="","",INDEX(Master!$J$2:$J$1001,$O107))</f>
      </c>
      <c r="K107">
        <f t="shared" si="2"/>
      </c>
      <c r="L107">
        <f>IF($O107="","",INDEX(Master!$K$2:$K$1001,$O107))</f>
      </c>
      <c r="M107">
        <f>IF($O107="","",INDEX(Master!$L$2:$L$1001,$O107))</f>
      </c>
      <c r="O107">
        <f t="array" ref="O107">IFERROR(SMALL(IF(Master!$A$2:$A$1001="MASHIVA STEEL AND ALLOYS LLP",ROW(Master!$A$2:$A$1001)-ROW(Master!$A$2)+1),103),"")</f>
      </c>
      <c r="P107">
        <f t="shared" si="3"/>
      </c>
    </row>
    <row r="108" spans="1:16" x14ac:dyDescent="0.25">
      <c r="A108">
        <f>IF($O108="","",INDEX(Master!$D$2:$D$1001,$O108))</f>
      </c>
      <c r="B108" s="166">
        <f>IF($O108="","",INDEX(Master!$B$2:$B$1001,$O108))</f>
      </c>
      <c r="C108">
        <f>IF($O108="","",INDEX(Master!$C$2:$C$1001,$O108))</f>
      </c>
      <c r="D108">
        <f>IF($O108="","",INDEX(Master!$A$2:$A$1001,$O108))</f>
      </c>
      <c r="E108">
        <f>IF($O108="","",INDEX(Master!$E$2:$E$1001,$O108))</f>
      </c>
      <c r="F108">
        <f>IF($O108="","",INDEX(Master!$F$2:$F$1001,$O108))</f>
      </c>
      <c r="G108">
        <f>IF($O108="","",INDEX(Master!$G$2:$G$1001,$O108))</f>
      </c>
      <c r="H108">
        <f>IF($O108="","",INDEX(Master!$H$2:$H$1001,$O108))</f>
      </c>
      <c r="I108">
        <f>IF($O108="","",INDEX(Master!$I$2:$I$1001,$O108))</f>
      </c>
      <c r="J108">
        <f>IF($O108="","",INDEX(Master!$J$2:$J$1001,$O108))</f>
      </c>
      <c r="K108">
        <f t="shared" si="2"/>
      </c>
      <c r="L108">
        <f>IF($O108="","",INDEX(Master!$K$2:$K$1001,$O108))</f>
      </c>
      <c r="M108">
        <f>IF($O108="","",INDEX(Master!$L$2:$L$1001,$O108))</f>
      </c>
      <c r="O108">
        <f t="array" ref="O108">IFERROR(SMALL(IF(Master!$A$2:$A$1001="MASHIVA STEEL AND ALLOYS LLP",ROW(Master!$A$2:$A$1001)-ROW(Master!$A$2)+1),104),"")</f>
      </c>
      <c r="P108">
        <f t="shared" si="3"/>
      </c>
    </row>
    <row r="109" spans="1:16" x14ac:dyDescent="0.25">
      <c r="A109">
        <f>IF($O109="","",INDEX(Master!$D$2:$D$1001,$O109))</f>
      </c>
      <c r="B109" s="166">
        <f>IF($O109="","",INDEX(Master!$B$2:$B$1001,$O109))</f>
      </c>
      <c r="C109">
        <f>IF($O109="","",INDEX(Master!$C$2:$C$1001,$O109))</f>
      </c>
      <c r="D109">
        <f>IF($O109="","",INDEX(Master!$A$2:$A$1001,$O109))</f>
      </c>
      <c r="E109">
        <f>IF($O109="","",INDEX(Master!$E$2:$E$1001,$O109))</f>
      </c>
      <c r="F109">
        <f>IF($O109="","",INDEX(Master!$F$2:$F$1001,$O109))</f>
      </c>
      <c r="G109">
        <f>IF($O109="","",INDEX(Master!$G$2:$G$1001,$O109))</f>
      </c>
      <c r="H109">
        <f>IF($O109="","",INDEX(Master!$H$2:$H$1001,$O109))</f>
      </c>
      <c r="I109">
        <f>IF($O109="","",INDEX(Master!$I$2:$I$1001,$O109))</f>
      </c>
      <c r="J109">
        <f>IF($O109="","",INDEX(Master!$J$2:$J$1001,$O109))</f>
      </c>
      <c r="K109">
        <f t="shared" si="2"/>
      </c>
      <c r="L109">
        <f>IF($O109="","",INDEX(Master!$K$2:$K$1001,$O109))</f>
      </c>
      <c r="M109">
        <f>IF($O109="","",INDEX(Master!$L$2:$L$1001,$O109))</f>
      </c>
      <c r="O109">
        <f t="array" ref="O109">IFERROR(SMALL(IF(Master!$A$2:$A$1001="MASHIVA STEEL AND ALLOYS LLP",ROW(Master!$A$2:$A$1001)-ROW(Master!$A$2)+1),105),"")</f>
      </c>
      <c r="P109">
        <f t="shared" si="3"/>
      </c>
    </row>
    <row r="110" spans="1:16" x14ac:dyDescent="0.25">
      <c r="A110">
        <f>IF($O110="","",INDEX(Master!$D$2:$D$1001,$O110))</f>
      </c>
      <c r="B110" s="166">
        <f>IF($O110="","",INDEX(Master!$B$2:$B$1001,$O110))</f>
      </c>
      <c r="C110">
        <f>IF($O110="","",INDEX(Master!$C$2:$C$1001,$O110))</f>
      </c>
      <c r="D110">
        <f>IF($O110="","",INDEX(Master!$A$2:$A$1001,$O110))</f>
      </c>
      <c r="E110">
        <f>IF($O110="","",INDEX(Master!$E$2:$E$1001,$O110))</f>
      </c>
      <c r="F110">
        <f>IF($O110="","",INDEX(Master!$F$2:$F$1001,$O110))</f>
      </c>
      <c r="G110">
        <f>IF($O110="","",INDEX(Master!$G$2:$G$1001,$O110))</f>
      </c>
      <c r="H110">
        <f>IF($O110="","",INDEX(Master!$H$2:$H$1001,$O110))</f>
      </c>
      <c r="I110">
        <f>IF($O110="","",INDEX(Master!$I$2:$I$1001,$O110))</f>
      </c>
      <c r="J110">
        <f>IF($O110="","",INDEX(Master!$J$2:$J$1001,$O110))</f>
      </c>
      <c r="K110">
        <f t="shared" si="2"/>
      </c>
      <c r="L110">
        <f>IF($O110="","",INDEX(Master!$K$2:$K$1001,$O110))</f>
      </c>
      <c r="M110">
        <f>IF($O110="","",INDEX(Master!$L$2:$L$1001,$O110))</f>
      </c>
      <c r="O110">
        <f t="array" ref="O110">IFERROR(SMALL(IF(Master!$A$2:$A$1001="MASHIVA STEEL AND ALLOYS LLP",ROW(Master!$A$2:$A$1001)-ROW(Master!$A$2)+1),106),"")</f>
      </c>
      <c r="P110">
        <f t="shared" si="3"/>
      </c>
    </row>
    <row r="111" spans="1:16" x14ac:dyDescent="0.25">
      <c r="A111">
        <f>IF($O111="","",INDEX(Master!$D$2:$D$1001,$O111))</f>
      </c>
      <c r="B111" s="166">
        <f>IF($O111="","",INDEX(Master!$B$2:$B$1001,$O111))</f>
      </c>
      <c r="C111">
        <f>IF($O111="","",INDEX(Master!$C$2:$C$1001,$O111))</f>
      </c>
      <c r="D111">
        <f>IF($O111="","",INDEX(Master!$A$2:$A$1001,$O111))</f>
      </c>
      <c r="E111">
        <f>IF($O111="","",INDEX(Master!$E$2:$E$1001,$O111))</f>
      </c>
      <c r="F111">
        <f>IF($O111="","",INDEX(Master!$F$2:$F$1001,$O111))</f>
      </c>
      <c r="G111">
        <f>IF($O111="","",INDEX(Master!$G$2:$G$1001,$O111))</f>
      </c>
      <c r="H111">
        <f>IF($O111="","",INDEX(Master!$H$2:$H$1001,$O111))</f>
      </c>
      <c r="I111">
        <f>IF($O111="","",INDEX(Master!$I$2:$I$1001,$O111))</f>
      </c>
      <c r="J111">
        <f>IF($O111="","",INDEX(Master!$J$2:$J$1001,$O111))</f>
      </c>
      <c r="K111">
        <f t="shared" si="2"/>
      </c>
      <c r="L111">
        <f>IF($O111="","",INDEX(Master!$K$2:$K$1001,$O111))</f>
      </c>
      <c r="M111">
        <f>IF($O111="","",INDEX(Master!$L$2:$L$1001,$O111))</f>
      </c>
      <c r="O111">
        <f t="array" ref="O111">IFERROR(SMALL(IF(Master!$A$2:$A$1001="MASHIVA STEEL AND ALLOYS LLP",ROW(Master!$A$2:$A$1001)-ROW(Master!$A$2)+1),107),"")</f>
      </c>
      <c r="P111">
        <f t="shared" si="3"/>
      </c>
    </row>
    <row r="112" spans="1:16" x14ac:dyDescent="0.25">
      <c r="A112">
        <f>IF($O112="","",INDEX(Master!$D$2:$D$1001,$O112))</f>
      </c>
      <c r="B112" s="166">
        <f>IF($O112="","",INDEX(Master!$B$2:$B$1001,$O112))</f>
      </c>
      <c r="C112">
        <f>IF($O112="","",INDEX(Master!$C$2:$C$1001,$O112))</f>
      </c>
      <c r="D112">
        <f>IF($O112="","",INDEX(Master!$A$2:$A$1001,$O112))</f>
      </c>
      <c r="E112">
        <f>IF($O112="","",INDEX(Master!$E$2:$E$1001,$O112))</f>
      </c>
      <c r="F112">
        <f>IF($O112="","",INDEX(Master!$F$2:$F$1001,$O112))</f>
      </c>
      <c r="G112">
        <f>IF($O112="","",INDEX(Master!$G$2:$G$1001,$O112))</f>
      </c>
      <c r="H112">
        <f>IF($O112="","",INDEX(Master!$H$2:$H$1001,$O112))</f>
      </c>
      <c r="I112">
        <f>IF($O112="","",INDEX(Master!$I$2:$I$1001,$O112))</f>
      </c>
      <c r="J112">
        <f>IF($O112="","",INDEX(Master!$J$2:$J$1001,$O112))</f>
      </c>
      <c r="K112">
        <f t="shared" si="2"/>
      </c>
      <c r="L112">
        <f>IF($O112="","",INDEX(Master!$K$2:$K$1001,$O112))</f>
      </c>
      <c r="M112">
        <f>IF($O112="","",INDEX(Master!$L$2:$L$1001,$O112))</f>
      </c>
      <c r="O112">
        <f t="array" ref="O112">IFERROR(SMALL(IF(Master!$A$2:$A$1001="MASHIVA STEEL AND ALLOYS LLP",ROW(Master!$A$2:$A$1001)-ROW(Master!$A$2)+1),108),"")</f>
      </c>
      <c r="P112">
        <f t="shared" si="3"/>
      </c>
    </row>
    <row r="113" spans="1:16" x14ac:dyDescent="0.25">
      <c r="A113">
        <f>IF($O113="","",INDEX(Master!$D$2:$D$1001,$O113))</f>
      </c>
      <c r="B113" s="166">
        <f>IF($O113="","",INDEX(Master!$B$2:$B$1001,$O113))</f>
      </c>
      <c r="C113">
        <f>IF($O113="","",INDEX(Master!$C$2:$C$1001,$O113))</f>
      </c>
      <c r="D113">
        <f>IF($O113="","",INDEX(Master!$A$2:$A$1001,$O113))</f>
      </c>
      <c r="E113">
        <f>IF($O113="","",INDEX(Master!$E$2:$E$1001,$O113))</f>
      </c>
      <c r="F113">
        <f>IF($O113="","",INDEX(Master!$F$2:$F$1001,$O113))</f>
      </c>
      <c r="G113">
        <f>IF($O113="","",INDEX(Master!$G$2:$G$1001,$O113))</f>
      </c>
      <c r="H113">
        <f>IF($O113="","",INDEX(Master!$H$2:$H$1001,$O113))</f>
      </c>
      <c r="I113">
        <f>IF($O113="","",INDEX(Master!$I$2:$I$1001,$O113))</f>
      </c>
      <c r="J113">
        <f>IF($O113="","",INDEX(Master!$J$2:$J$1001,$O113))</f>
      </c>
      <c r="K113">
        <f t="shared" si="2"/>
      </c>
      <c r="L113">
        <f>IF($O113="","",INDEX(Master!$K$2:$K$1001,$O113))</f>
      </c>
      <c r="M113">
        <f>IF($O113="","",INDEX(Master!$L$2:$L$1001,$O113))</f>
      </c>
      <c r="O113">
        <f t="array" ref="O113">IFERROR(SMALL(IF(Master!$A$2:$A$1001="MASHIVA STEEL AND ALLOYS LLP",ROW(Master!$A$2:$A$1001)-ROW(Master!$A$2)+1),109),"")</f>
      </c>
      <c r="P113">
        <f t="shared" si="3"/>
      </c>
    </row>
    <row r="114" spans="1:16" x14ac:dyDescent="0.25">
      <c r="A114">
        <f>IF($O114="","",INDEX(Master!$D$2:$D$1001,$O114))</f>
      </c>
      <c r="B114" s="166">
        <f>IF($O114="","",INDEX(Master!$B$2:$B$1001,$O114))</f>
      </c>
      <c r="C114">
        <f>IF($O114="","",INDEX(Master!$C$2:$C$1001,$O114))</f>
      </c>
      <c r="D114">
        <f>IF($O114="","",INDEX(Master!$A$2:$A$1001,$O114))</f>
      </c>
      <c r="E114">
        <f>IF($O114="","",INDEX(Master!$E$2:$E$1001,$O114))</f>
      </c>
      <c r="F114">
        <f>IF($O114="","",INDEX(Master!$F$2:$F$1001,$O114))</f>
      </c>
      <c r="G114">
        <f>IF($O114="","",INDEX(Master!$G$2:$G$1001,$O114))</f>
      </c>
      <c r="H114">
        <f>IF($O114="","",INDEX(Master!$H$2:$H$1001,$O114))</f>
      </c>
      <c r="I114">
        <f>IF($O114="","",INDEX(Master!$I$2:$I$1001,$O114))</f>
      </c>
      <c r="J114">
        <f>IF($O114="","",INDEX(Master!$J$2:$J$1001,$O114))</f>
      </c>
      <c r="K114">
        <f t="shared" si="2"/>
      </c>
      <c r="L114">
        <f>IF($O114="","",INDEX(Master!$K$2:$K$1001,$O114))</f>
      </c>
      <c r="M114">
        <f>IF($O114="","",INDEX(Master!$L$2:$L$1001,$O114))</f>
      </c>
      <c r="O114">
        <f t="array" ref="O114">IFERROR(SMALL(IF(Master!$A$2:$A$1001="MASHIVA STEEL AND ALLOYS LLP",ROW(Master!$A$2:$A$1001)-ROW(Master!$A$2)+1),110),"")</f>
      </c>
      <c r="P114">
        <f t="shared" si="3"/>
      </c>
    </row>
    <row r="115" spans="1:16" x14ac:dyDescent="0.25">
      <c r="A115">
        <f>IF($O115="","",INDEX(Master!$D$2:$D$1001,$O115))</f>
      </c>
      <c r="B115" s="166">
        <f>IF($O115="","",INDEX(Master!$B$2:$B$1001,$O115))</f>
      </c>
      <c r="C115">
        <f>IF($O115="","",INDEX(Master!$C$2:$C$1001,$O115))</f>
      </c>
      <c r="D115">
        <f>IF($O115="","",INDEX(Master!$A$2:$A$1001,$O115))</f>
      </c>
      <c r="E115">
        <f>IF($O115="","",INDEX(Master!$E$2:$E$1001,$O115))</f>
      </c>
      <c r="F115">
        <f>IF($O115="","",INDEX(Master!$F$2:$F$1001,$O115))</f>
      </c>
      <c r="G115">
        <f>IF($O115="","",INDEX(Master!$G$2:$G$1001,$O115))</f>
      </c>
      <c r="H115">
        <f>IF($O115="","",INDEX(Master!$H$2:$H$1001,$O115))</f>
      </c>
      <c r="I115">
        <f>IF($O115="","",INDEX(Master!$I$2:$I$1001,$O115))</f>
      </c>
      <c r="J115">
        <f>IF($O115="","",INDEX(Master!$J$2:$J$1001,$O115))</f>
      </c>
      <c r="K115">
        <f t="shared" si="2"/>
      </c>
      <c r="L115">
        <f>IF($O115="","",INDEX(Master!$K$2:$K$1001,$O115))</f>
      </c>
      <c r="M115">
        <f>IF($O115="","",INDEX(Master!$L$2:$L$1001,$O115))</f>
      </c>
      <c r="O115">
        <f t="array" ref="O115">IFERROR(SMALL(IF(Master!$A$2:$A$1001="MASHIVA STEEL AND ALLOYS LLP",ROW(Master!$A$2:$A$1001)-ROW(Master!$A$2)+1),111),"")</f>
      </c>
      <c r="P115">
        <f t="shared" si="3"/>
      </c>
    </row>
    <row r="116" spans="1:16" x14ac:dyDescent="0.25">
      <c r="A116">
        <f>IF($O116="","",INDEX(Master!$D$2:$D$1001,$O116))</f>
      </c>
      <c r="B116" s="166">
        <f>IF($O116="","",INDEX(Master!$B$2:$B$1001,$O116))</f>
      </c>
      <c r="C116">
        <f>IF($O116="","",INDEX(Master!$C$2:$C$1001,$O116))</f>
      </c>
      <c r="D116">
        <f>IF($O116="","",INDEX(Master!$A$2:$A$1001,$O116))</f>
      </c>
      <c r="E116">
        <f>IF($O116="","",INDEX(Master!$E$2:$E$1001,$O116))</f>
      </c>
      <c r="F116">
        <f>IF($O116="","",INDEX(Master!$F$2:$F$1001,$O116))</f>
      </c>
      <c r="G116">
        <f>IF($O116="","",INDEX(Master!$G$2:$G$1001,$O116))</f>
      </c>
      <c r="H116">
        <f>IF($O116="","",INDEX(Master!$H$2:$H$1001,$O116))</f>
      </c>
      <c r="I116">
        <f>IF($O116="","",INDEX(Master!$I$2:$I$1001,$O116))</f>
      </c>
      <c r="J116">
        <f>IF($O116="","",INDEX(Master!$J$2:$J$1001,$O116))</f>
      </c>
      <c r="K116">
        <f t="shared" si="2"/>
      </c>
      <c r="L116">
        <f>IF($O116="","",INDEX(Master!$K$2:$K$1001,$O116))</f>
      </c>
      <c r="M116">
        <f>IF($O116="","",INDEX(Master!$L$2:$L$1001,$O116))</f>
      </c>
      <c r="O116">
        <f t="array" ref="O116">IFERROR(SMALL(IF(Master!$A$2:$A$1001="MASHIVA STEEL AND ALLOYS LLP",ROW(Master!$A$2:$A$1001)-ROW(Master!$A$2)+1),112),"")</f>
      </c>
      <c r="P116">
        <f t="shared" si="3"/>
      </c>
    </row>
    <row r="117" spans="1:16" x14ac:dyDescent="0.25">
      <c r="A117">
        <f>IF($O117="","",INDEX(Master!$D$2:$D$1001,$O117))</f>
      </c>
      <c r="B117" s="166">
        <f>IF($O117="","",INDEX(Master!$B$2:$B$1001,$O117))</f>
      </c>
      <c r="C117">
        <f>IF($O117="","",INDEX(Master!$C$2:$C$1001,$O117))</f>
      </c>
      <c r="D117">
        <f>IF($O117="","",INDEX(Master!$A$2:$A$1001,$O117))</f>
      </c>
      <c r="E117">
        <f>IF($O117="","",INDEX(Master!$E$2:$E$1001,$O117))</f>
      </c>
      <c r="F117">
        <f>IF($O117="","",INDEX(Master!$F$2:$F$1001,$O117))</f>
      </c>
      <c r="G117">
        <f>IF($O117="","",INDEX(Master!$G$2:$G$1001,$O117))</f>
      </c>
      <c r="H117">
        <f>IF($O117="","",INDEX(Master!$H$2:$H$1001,$O117))</f>
      </c>
      <c r="I117">
        <f>IF($O117="","",INDEX(Master!$I$2:$I$1001,$O117))</f>
      </c>
      <c r="J117">
        <f>IF($O117="","",INDEX(Master!$J$2:$J$1001,$O117))</f>
      </c>
      <c r="K117">
        <f t="shared" si="2"/>
      </c>
      <c r="L117">
        <f>IF($O117="","",INDEX(Master!$K$2:$K$1001,$O117))</f>
      </c>
      <c r="M117">
        <f>IF($O117="","",INDEX(Master!$L$2:$L$1001,$O117))</f>
      </c>
      <c r="O117">
        <f t="array" ref="O117">IFERROR(SMALL(IF(Master!$A$2:$A$1001="MASHIVA STEEL AND ALLOYS LLP",ROW(Master!$A$2:$A$1001)-ROW(Master!$A$2)+1),113),"")</f>
      </c>
      <c r="P117">
        <f t="shared" si="3"/>
      </c>
    </row>
    <row r="118" spans="1:16" x14ac:dyDescent="0.25">
      <c r="A118">
        <f>IF($O118="","",INDEX(Master!$D$2:$D$1001,$O118))</f>
      </c>
      <c r="B118" s="166">
        <f>IF($O118="","",INDEX(Master!$B$2:$B$1001,$O118))</f>
      </c>
      <c r="C118">
        <f>IF($O118="","",INDEX(Master!$C$2:$C$1001,$O118))</f>
      </c>
      <c r="D118">
        <f>IF($O118="","",INDEX(Master!$A$2:$A$1001,$O118))</f>
      </c>
      <c r="E118">
        <f>IF($O118="","",INDEX(Master!$E$2:$E$1001,$O118))</f>
      </c>
      <c r="F118">
        <f>IF($O118="","",INDEX(Master!$F$2:$F$1001,$O118))</f>
      </c>
      <c r="G118">
        <f>IF($O118="","",INDEX(Master!$G$2:$G$1001,$O118))</f>
      </c>
      <c r="H118">
        <f>IF($O118="","",INDEX(Master!$H$2:$H$1001,$O118))</f>
      </c>
      <c r="I118">
        <f>IF($O118="","",INDEX(Master!$I$2:$I$1001,$O118))</f>
      </c>
      <c r="J118">
        <f>IF($O118="","",INDEX(Master!$J$2:$J$1001,$O118))</f>
      </c>
      <c r="K118">
        <f t="shared" si="2"/>
      </c>
      <c r="L118">
        <f>IF($O118="","",INDEX(Master!$K$2:$K$1001,$O118))</f>
      </c>
      <c r="M118">
        <f>IF($O118="","",INDEX(Master!$L$2:$L$1001,$O118))</f>
      </c>
      <c r="O118">
        <f t="array" ref="O118">IFERROR(SMALL(IF(Master!$A$2:$A$1001="MASHIVA STEEL AND ALLOYS LLP",ROW(Master!$A$2:$A$1001)-ROW(Master!$A$2)+1),114),"")</f>
      </c>
      <c r="P118">
        <f t="shared" si="3"/>
      </c>
    </row>
    <row r="119" spans="1:16" x14ac:dyDescent="0.25">
      <c r="A119">
        <f>IF($O119="","",INDEX(Master!$D$2:$D$1001,$O119))</f>
      </c>
      <c r="B119" s="166">
        <f>IF($O119="","",INDEX(Master!$B$2:$B$1001,$O119))</f>
      </c>
      <c r="C119">
        <f>IF($O119="","",INDEX(Master!$C$2:$C$1001,$O119))</f>
      </c>
      <c r="D119">
        <f>IF($O119="","",INDEX(Master!$A$2:$A$1001,$O119))</f>
      </c>
      <c r="E119">
        <f>IF($O119="","",INDEX(Master!$E$2:$E$1001,$O119))</f>
      </c>
      <c r="F119">
        <f>IF($O119="","",INDEX(Master!$F$2:$F$1001,$O119))</f>
      </c>
      <c r="G119">
        <f>IF($O119="","",INDEX(Master!$G$2:$G$1001,$O119))</f>
      </c>
      <c r="H119">
        <f>IF($O119="","",INDEX(Master!$H$2:$H$1001,$O119))</f>
      </c>
      <c r="I119">
        <f>IF($O119="","",INDEX(Master!$I$2:$I$1001,$O119))</f>
      </c>
      <c r="J119">
        <f>IF($O119="","",INDEX(Master!$J$2:$J$1001,$O119))</f>
      </c>
      <c r="K119">
        <f t="shared" si="2"/>
      </c>
      <c r="L119">
        <f>IF($O119="","",INDEX(Master!$K$2:$K$1001,$O119))</f>
      </c>
      <c r="M119">
        <f>IF($O119="","",INDEX(Master!$L$2:$L$1001,$O119))</f>
      </c>
      <c r="O119">
        <f t="array" ref="O119">IFERROR(SMALL(IF(Master!$A$2:$A$1001="MASHIVA STEEL AND ALLOYS LLP",ROW(Master!$A$2:$A$1001)-ROW(Master!$A$2)+1),115),"")</f>
      </c>
      <c r="P119">
        <f t="shared" si="3"/>
      </c>
    </row>
    <row r="120" spans="1:16" x14ac:dyDescent="0.25">
      <c r="A120">
        <f>IF($O120="","",INDEX(Master!$D$2:$D$1001,$O120))</f>
      </c>
      <c r="B120" s="166">
        <f>IF($O120="","",INDEX(Master!$B$2:$B$1001,$O120))</f>
      </c>
      <c r="C120">
        <f>IF($O120="","",INDEX(Master!$C$2:$C$1001,$O120))</f>
      </c>
      <c r="D120">
        <f>IF($O120="","",INDEX(Master!$A$2:$A$1001,$O120))</f>
      </c>
      <c r="E120">
        <f>IF($O120="","",INDEX(Master!$E$2:$E$1001,$O120))</f>
      </c>
      <c r="F120">
        <f>IF($O120="","",INDEX(Master!$F$2:$F$1001,$O120))</f>
      </c>
      <c r="G120">
        <f>IF($O120="","",INDEX(Master!$G$2:$G$1001,$O120))</f>
      </c>
      <c r="H120">
        <f>IF($O120="","",INDEX(Master!$H$2:$H$1001,$O120))</f>
      </c>
      <c r="I120">
        <f>IF($O120="","",INDEX(Master!$I$2:$I$1001,$O120))</f>
      </c>
      <c r="J120">
        <f>IF($O120="","",INDEX(Master!$J$2:$J$1001,$O120))</f>
      </c>
      <c r="K120">
        <f t="shared" si="2"/>
      </c>
      <c r="L120">
        <f>IF($O120="","",INDEX(Master!$K$2:$K$1001,$O120))</f>
      </c>
      <c r="M120">
        <f>IF($O120="","",INDEX(Master!$L$2:$L$1001,$O120))</f>
      </c>
      <c r="O120">
        <f t="array" ref="O120">IFERROR(SMALL(IF(Master!$A$2:$A$1001="MASHIVA STEEL AND ALLOYS LLP",ROW(Master!$A$2:$A$1001)-ROW(Master!$A$2)+1),116),"")</f>
      </c>
      <c r="P120">
        <f t="shared" si="3"/>
      </c>
    </row>
    <row r="121" spans="1:16" x14ac:dyDescent="0.25">
      <c r="A121">
        <f>IF($O121="","",INDEX(Master!$D$2:$D$1001,$O121))</f>
      </c>
      <c r="B121" s="166">
        <f>IF($O121="","",INDEX(Master!$B$2:$B$1001,$O121))</f>
      </c>
      <c r="C121">
        <f>IF($O121="","",INDEX(Master!$C$2:$C$1001,$O121))</f>
      </c>
      <c r="D121">
        <f>IF($O121="","",INDEX(Master!$A$2:$A$1001,$O121))</f>
      </c>
      <c r="E121">
        <f>IF($O121="","",INDEX(Master!$E$2:$E$1001,$O121))</f>
      </c>
      <c r="F121">
        <f>IF($O121="","",INDEX(Master!$F$2:$F$1001,$O121))</f>
      </c>
      <c r="G121">
        <f>IF($O121="","",INDEX(Master!$G$2:$G$1001,$O121))</f>
      </c>
      <c r="H121">
        <f>IF($O121="","",INDEX(Master!$H$2:$H$1001,$O121))</f>
      </c>
      <c r="I121">
        <f>IF($O121="","",INDEX(Master!$I$2:$I$1001,$O121))</f>
      </c>
      <c r="J121">
        <f>IF($O121="","",INDEX(Master!$J$2:$J$1001,$O121))</f>
      </c>
      <c r="K121">
        <f t="shared" si="2"/>
      </c>
      <c r="L121">
        <f>IF($O121="","",INDEX(Master!$K$2:$K$1001,$O121))</f>
      </c>
      <c r="M121">
        <f>IF($O121="","",INDEX(Master!$L$2:$L$1001,$O121))</f>
      </c>
      <c r="O121">
        <f t="array" ref="O121">IFERROR(SMALL(IF(Master!$A$2:$A$1001="MASHIVA STEEL AND ALLOYS LLP",ROW(Master!$A$2:$A$1001)-ROW(Master!$A$2)+1),117),"")</f>
      </c>
      <c r="P121">
        <f t="shared" si="3"/>
      </c>
    </row>
    <row r="122" spans="1:16" x14ac:dyDescent="0.25">
      <c r="A122">
        <f>IF($O122="","",INDEX(Master!$D$2:$D$1001,$O122))</f>
      </c>
      <c r="B122" s="166">
        <f>IF($O122="","",INDEX(Master!$B$2:$B$1001,$O122))</f>
      </c>
      <c r="C122">
        <f>IF($O122="","",INDEX(Master!$C$2:$C$1001,$O122))</f>
      </c>
      <c r="D122">
        <f>IF($O122="","",INDEX(Master!$A$2:$A$1001,$O122))</f>
      </c>
      <c r="E122">
        <f>IF($O122="","",INDEX(Master!$E$2:$E$1001,$O122))</f>
      </c>
      <c r="F122">
        <f>IF($O122="","",INDEX(Master!$F$2:$F$1001,$O122))</f>
      </c>
      <c r="G122">
        <f>IF($O122="","",INDEX(Master!$G$2:$G$1001,$O122))</f>
      </c>
      <c r="H122">
        <f>IF($O122="","",INDEX(Master!$H$2:$H$1001,$O122))</f>
      </c>
      <c r="I122">
        <f>IF($O122="","",INDEX(Master!$I$2:$I$1001,$O122))</f>
      </c>
      <c r="J122">
        <f>IF($O122="","",INDEX(Master!$J$2:$J$1001,$O122))</f>
      </c>
      <c r="K122">
        <f t="shared" si="2"/>
      </c>
      <c r="L122">
        <f>IF($O122="","",INDEX(Master!$K$2:$K$1001,$O122))</f>
      </c>
      <c r="M122">
        <f>IF($O122="","",INDEX(Master!$L$2:$L$1001,$O122))</f>
      </c>
      <c r="O122">
        <f t="array" ref="O122">IFERROR(SMALL(IF(Master!$A$2:$A$1001="MASHIVA STEEL AND ALLOYS LLP",ROW(Master!$A$2:$A$1001)-ROW(Master!$A$2)+1),118),"")</f>
      </c>
      <c r="P122">
        <f t="shared" si="3"/>
      </c>
    </row>
    <row r="123" spans="1:16" x14ac:dyDescent="0.25">
      <c r="A123">
        <f>IF($O123="","",INDEX(Master!$D$2:$D$1001,$O123))</f>
      </c>
      <c r="B123" s="166">
        <f>IF($O123="","",INDEX(Master!$B$2:$B$1001,$O123))</f>
      </c>
      <c r="C123">
        <f>IF($O123="","",INDEX(Master!$C$2:$C$1001,$O123))</f>
      </c>
      <c r="D123">
        <f>IF($O123="","",INDEX(Master!$A$2:$A$1001,$O123))</f>
      </c>
      <c r="E123">
        <f>IF($O123="","",INDEX(Master!$E$2:$E$1001,$O123))</f>
      </c>
      <c r="F123">
        <f>IF($O123="","",INDEX(Master!$F$2:$F$1001,$O123))</f>
      </c>
      <c r="G123">
        <f>IF($O123="","",INDEX(Master!$G$2:$G$1001,$O123))</f>
      </c>
      <c r="H123">
        <f>IF($O123="","",INDEX(Master!$H$2:$H$1001,$O123))</f>
      </c>
      <c r="I123">
        <f>IF($O123="","",INDEX(Master!$I$2:$I$1001,$O123))</f>
      </c>
      <c r="J123">
        <f>IF($O123="","",INDEX(Master!$J$2:$J$1001,$O123))</f>
      </c>
      <c r="K123">
        <f t="shared" si="2"/>
      </c>
      <c r="L123">
        <f>IF($O123="","",INDEX(Master!$K$2:$K$1001,$O123))</f>
      </c>
      <c r="M123">
        <f>IF($O123="","",INDEX(Master!$L$2:$L$1001,$O123))</f>
      </c>
      <c r="O123">
        <f t="array" ref="O123">IFERROR(SMALL(IF(Master!$A$2:$A$1001="MASHIVA STEEL AND ALLOYS LLP",ROW(Master!$A$2:$A$1001)-ROW(Master!$A$2)+1),119),"")</f>
      </c>
      <c r="P123">
        <f t="shared" si="3"/>
      </c>
    </row>
    <row r="124" spans="1:16" x14ac:dyDescent="0.25">
      <c r="A124">
        <f>IF($O124="","",INDEX(Master!$D$2:$D$1001,$O124))</f>
      </c>
      <c r="B124" s="166">
        <f>IF($O124="","",INDEX(Master!$B$2:$B$1001,$O124))</f>
      </c>
      <c r="C124">
        <f>IF($O124="","",INDEX(Master!$C$2:$C$1001,$O124))</f>
      </c>
      <c r="D124">
        <f>IF($O124="","",INDEX(Master!$A$2:$A$1001,$O124))</f>
      </c>
      <c r="E124">
        <f>IF($O124="","",INDEX(Master!$E$2:$E$1001,$O124))</f>
      </c>
      <c r="F124">
        <f>IF($O124="","",INDEX(Master!$F$2:$F$1001,$O124))</f>
      </c>
      <c r="G124">
        <f>IF($O124="","",INDEX(Master!$G$2:$G$1001,$O124))</f>
      </c>
      <c r="H124">
        <f>IF($O124="","",INDEX(Master!$H$2:$H$1001,$O124))</f>
      </c>
      <c r="I124">
        <f>IF($O124="","",INDEX(Master!$I$2:$I$1001,$O124))</f>
      </c>
      <c r="J124">
        <f>IF($O124="","",INDEX(Master!$J$2:$J$1001,$O124))</f>
      </c>
      <c r="K124">
        <f t="shared" si="2"/>
      </c>
      <c r="L124">
        <f>IF($O124="","",INDEX(Master!$K$2:$K$1001,$O124))</f>
      </c>
      <c r="M124">
        <f>IF($O124="","",INDEX(Master!$L$2:$L$1001,$O124))</f>
      </c>
      <c r="O124">
        <f t="array" ref="O124">IFERROR(SMALL(IF(Master!$A$2:$A$1001="MASHIVA STEEL AND ALLOYS LLP",ROW(Master!$A$2:$A$1001)-ROW(Master!$A$2)+1),120),"")</f>
      </c>
      <c r="P124">
        <f t="shared" si="3"/>
      </c>
    </row>
    <row r="125" spans="1:16" x14ac:dyDescent="0.25">
      <c r="A125">
        <f>IF($O125="","",INDEX(Master!$D$2:$D$1001,$O125))</f>
      </c>
      <c r="B125" s="166">
        <f>IF($O125="","",INDEX(Master!$B$2:$B$1001,$O125))</f>
      </c>
      <c r="C125">
        <f>IF($O125="","",INDEX(Master!$C$2:$C$1001,$O125))</f>
      </c>
      <c r="D125">
        <f>IF($O125="","",INDEX(Master!$A$2:$A$1001,$O125))</f>
      </c>
      <c r="E125">
        <f>IF($O125="","",INDEX(Master!$E$2:$E$1001,$O125))</f>
      </c>
      <c r="F125">
        <f>IF($O125="","",INDEX(Master!$F$2:$F$1001,$O125))</f>
      </c>
      <c r="G125">
        <f>IF($O125="","",INDEX(Master!$G$2:$G$1001,$O125))</f>
      </c>
      <c r="H125">
        <f>IF($O125="","",INDEX(Master!$H$2:$H$1001,$O125))</f>
      </c>
      <c r="I125">
        <f>IF($O125="","",INDEX(Master!$I$2:$I$1001,$O125))</f>
      </c>
      <c r="J125">
        <f>IF($O125="","",INDEX(Master!$J$2:$J$1001,$O125))</f>
      </c>
      <c r="K125">
        <f t="shared" si="2"/>
      </c>
      <c r="L125">
        <f>IF($O125="","",INDEX(Master!$K$2:$K$1001,$O125))</f>
      </c>
      <c r="M125">
        <f>IF($O125="","",INDEX(Master!$L$2:$L$1001,$O125))</f>
      </c>
      <c r="O125">
        <f t="array" ref="O125">IFERROR(SMALL(IF(Master!$A$2:$A$1001="MASHIVA STEEL AND ALLOYS LLP",ROW(Master!$A$2:$A$1001)-ROW(Master!$A$2)+1),121),"")</f>
      </c>
      <c r="P125">
        <f t="shared" si="3"/>
      </c>
    </row>
    <row r="126" spans="1:16" x14ac:dyDescent="0.25">
      <c r="A126">
        <f>IF($O126="","",INDEX(Master!$D$2:$D$1001,$O126))</f>
      </c>
      <c r="B126" s="166">
        <f>IF($O126="","",INDEX(Master!$B$2:$B$1001,$O126))</f>
      </c>
      <c r="C126">
        <f>IF($O126="","",INDEX(Master!$C$2:$C$1001,$O126))</f>
      </c>
      <c r="D126">
        <f>IF($O126="","",INDEX(Master!$A$2:$A$1001,$O126))</f>
      </c>
      <c r="E126">
        <f>IF($O126="","",INDEX(Master!$E$2:$E$1001,$O126))</f>
      </c>
      <c r="F126">
        <f>IF($O126="","",INDEX(Master!$F$2:$F$1001,$O126))</f>
      </c>
      <c r="G126">
        <f>IF($O126="","",INDEX(Master!$G$2:$G$1001,$O126))</f>
      </c>
      <c r="H126">
        <f>IF($O126="","",INDEX(Master!$H$2:$H$1001,$O126))</f>
      </c>
      <c r="I126">
        <f>IF($O126="","",INDEX(Master!$I$2:$I$1001,$O126))</f>
      </c>
      <c r="J126">
        <f>IF($O126="","",INDEX(Master!$J$2:$J$1001,$O126))</f>
      </c>
      <c r="K126">
        <f t="shared" si="2"/>
      </c>
      <c r="L126">
        <f>IF($O126="","",INDEX(Master!$K$2:$K$1001,$O126))</f>
      </c>
      <c r="M126">
        <f>IF($O126="","",INDEX(Master!$L$2:$L$1001,$O126))</f>
      </c>
      <c r="O126">
        <f t="array" ref="O126">IFERROR(SMALL(IF(Master!$A$2:$A$1001="MASHIVA STEEL AND ALLOYS LLP",ROW(Master!$A$2:$A$1001)-ROW(Master!$A$2)+1),122),"")</f>
      </c>
      <c r="P126">
        <f t="shared" si="3"/>
      </c>
    </row>
    <row r="127" spans="1:16" x14ac:dyDescent="0.25">
      <c r="A127">
        <f>IF($O127="","",INDEX(Master!$D$2:$D$1001,$O127))</f>
      </c>
      <c r="B127" s="166">
        <f>IF($O127="","",INDEX(Master!$B$2:$B$1001,$O127))</f>
      </c>
      <c r="C127">
        <f>IF($O127="","",INDEX(Master!$C$2:$C$1001,$O127))</f>
      </c>
      <c r="D127">
        <f>IF($O127="","",INDEX(Master!$A$2:$A$1001,$O127))</f>
      </c>
      <c r="E127">
        <f>IF($O127="","",INDEX(Master!$E$2:$E$1001,$O127))</f>
      </c>
      <c r="F127">
        <f>IF($O127="","",INDEX(Master!$F$2:$F$1001,$O127))</f>
      </c>
      <c r="G127">
        <f>IF($O127="","",INDEX(Master!$G$2:$G$1001,$O127))</f>
      </c>
      <c r="H127">
        <f>IF($O127="","",INDEX(Master!$H$2:$H$1001,$O127))</f>
      </c>
      <c r="I127">
        <f>IF($O127="","",INDEX(Master!$I$2:$I$1001,$O127))</f>
      </c>
      <c r="J127">
        <f>IF($O127="","",INDEX(Master!$J$2:$J$1001,$O127))</f>
      </c>
      <c r="K127">
        <f t="shared" si="2"/>
      </c>
      <c r="L127">
        <f>IF($O127="","",INDEX(Master!$K$2:$K$1001,$O127))</f>
      </c>
      <c r="M127">
        <f>IF($O127="","",INDEX(Master!$L$2:$L$1001,$O127))</f>
      </c>
      <c r="O127">
        <f t="array" ref="O127">IFERROR(SMALL(IF(Master!$A$2:$A$1001="MASHIVA STEEL AND ALLOYS LLP",ROW(Master!$A$2:$A$1001)-ROW(Master!$A$2)+1),123),"")</f>
      </c>
      <c r="P127">
        <f t="shared" si="3"/>
      </c>
    </row>
    <row r="128" spans="1:16" x14ac:dyDescent="0.25">
      <c r="A128">
        <f>IF($O128="","",INDEX(Master!$D$2:$D$1001,$O128))</f>
      </c>
      <c r="B128" s="166">
        <f>IF($O128="","",INDEX(Master!$B$2:$B$1001,$O128))</f>
      </c>
      <c r="C128">
        <f>IF($O128="","",INDEX(Master!$C$2:$C$1001,$O128))</f>
      </c>
      <c r="D128">
        <f>IF($O128="","",INDEX(Master!$A$2:$A$1001,$O128))</f>
      </c>
      <c r="E128">
        <f>IF($O128="","",INDEX(Master!$E$2:$E$1001,$O128))</f>
      </c>
      <c r="F128">
        <f>IF($O128="","",INDEX(Master!$F$2:$F$1001,$O128))</f>
      </c>
      <c r="G128">
        <f>IF($O128="","",INDEX(Master!$G$2:$G$1001,$O128))</f>
      </c>
      <c r="H128">
        <f>IF($O128="","",INDEX(Master!$H$2:$H$1001,$O128))</f>
      </c>
      <c r="I128">
        <f>IF($O128="","",INDEX(Master!$I$2:$I$1001,$O128))</f>
      </c>
      <c r="J128">
        <f>IF($O128="","",INDEX(Master!$J$2:$J$1001,$O128))</f>
      </c>
      <c r="K128">
        <f t="shared" si="2"/>
      </c>
      <c r="L128">
        <f>IF($O128="","",INDEX(Master!$K$2:$K$1001,$O128))</f>
      </c>
      <c r="M128">
        <f>IF($O128="","",INDEX(Master!$L$2:$L$1001,$O128))</f>
      </c>
      <c r="O128">
        <f t="array" ref="O128">IFERROR(SMALL(IF(Master!$A$2:$A$1001="MASHIVA STEEL AND ALLOYS LLP",ROW(Master!$A$2:$A$1001)-ROW(Master!$A$2)+1),124),"")</f>
      </c>
      <c r="P128">
        <f t="shared" si="3"/>
      </c>
    </row>
    <row r="129" spans="1:16" x14ac:dyDescent="0.25">
      <c r="A129">
        <f>IF($O129="","",INDEX(Master!$D$2:$D$1001,$O129))</f>
      </c>
      <c r="B129" s="166">
        <f>IF($O129="","",INDEX(Master!$B$2:$B$1001,$O129))</f>
      </c>
      <c r="C129">
        <f>IF($O129="","",INDEX(Master!$C$2:$C$1001,$O129))</f>
      </c>
      <c r="D129">
        <f>IF($O129="","",INDEX(Master!$A$2:$A$1001,$O129))</f>
      </c>
      <c r="E129">
        <f>IF($O129="","",INDEX(Master!$E$2:$E$1001,$O129))</f>
      </c>
      <c r="F129">
        <f>IF($O129="","",INDEX(Master!$F$2:$F$1001,$O129))</f>
      </c>
      <c r="G129">
        <f>IF($O129="","",INDEX(Master!$G$2:$G$1001,$O129))</f>
      </c>
      <c r="H129">
        <f>IF($O129="","",INDEX(Master!$H$2:$H$1001,$O129))</f>
      </c>
      <c r="I129">
        <f>IF($O129="","",INDEX(Master!$I$2:$I$1001,$O129))</f>
      </c>
      <c r="J129">
        <f>IF($O129="","",INDEX(Master!$J$2:$J$1001,$O129))</f>
      </c>
      <c r="K129">
        <f t="shared" si="2"/>
      </c>
      <c r="L129">
        <f>IF($O129="","",INDEX(Master!$K$2:$K$1001,$O129))</f>
      </c>
      <c r="M129">
        <f>IF($O129="","",INDEX(Master!$L$2:$L$1001,$O129))</f>
      </c>
      <c r="O129">
        <f t="array" ref="O129">IFERROR(SMALL(IF(Master!$A$2:$A$1001="MASHIVA STEEL AND ALLOYS LLP",ROW(Master!$A$2:$A$1001)-ROW(Master!$A$2)+1),125),"")</f>
      </c>
      <c r="P129">
        <f t="shared" si="3"/>
      </c>
    </row>
    <row r="130" spans="1:16" x14ac:dyDescent="0.25">
      <c r="A130">
        <f>IF($O130="","",INDEX(Master!$D$2:$D$1001,$O130))</f>
      </c>
      <c r="B130" s="166">
        <f>IF($O130="","",INDEX(Master!$B$2:$B$1001,$O130))</f>
      </c>
      <c r="C130">
        <f>IF($O130="","",INDEX(Master!$C$2:$C$1001,$O130))</f>
      </c>
      <c r="D130">
        <f>IF($O130="","",INDEX(Master!$A$2:$A$1001,$O130))</f>
      </c>
      <c r="E130">
        <f>IF($O130="","",INDEX(Master!$E$2:$E$1001,$O130))</f>
      </c>
      <c r="F130">
        <f>IF($O130="","",INDEX(Master!$F$2:$F$1001,$O130))</f>
      </c>
      <c r="G130">
        <f>IF($O130="","",INDEX(Master!$G$2:$G$1001,$O130))</f>
      </c>
      <c r="H130">
        <f>IF($O130="","",INDEX(Master!$H$2:$H$1001,$O130))</f>
      </c>
      <c r="I130">
        <f>IF($O130="","",INDEX(Master!$I$2:$I$1001,$O130))</f>
      </c>
      <c r="J130">
        <f>IF($O130="","",INDEX(Master!$J$2:$J$1001,$O130))</f>
      </c>
      <c r="K130">
        <f t="shared" si="2"/>
      </c>
      <c r="L130">
        <f>IF($O130="","",INDEX(Master!$K$2:$K$1001,$O130))</f>
      </c>
      <c r="M130">
        <f>IF($O130="","",INDEX(Master!$L$2:$L$1001,$O130))</f>
      </c>
      <c r="O130">
        <f t="array" ref="O130">IFERROR(SMALL(IF(Master!$A$2:$A$1001="MASHIVA STEEL AND ALLOYS LLP",ROW(Master!$A$2:$A$1001)-ROW(Master!$A$2)+1),126),"")</f>
      </c>
      <c r="P130">
        <f t="shared" si="3"/>
      </c>
    </row>
    <row r="131" spans="1:16" x14ac:dyDescent="0.25">
      <c r="A131">
        <f>IF($O131="","",INDEX(Master!$D$2:$D$1001,$O131))</f>
      </c>
      <c r="B131" s="166">
        <f>IF($O131="","",INDEX(Master!$B$2:$B$1001,$O131))</f>
      </c>
      <c r="C131">
        <f>IF($O131="","",INDEX(Master!$C$2:$C$1001,$O131))</f>
      </c>
      <c r="D131">
        <f>IF($O131="","",INDEX(Master!$A$2:$A$1001,$O131))</f>
      </c>
      <c r="E131">
        <f>IF($O131="","",INDEX(Master!$E$2:$E$1001,$O131))</f>
      </c>
      <c r="F131">
        <f>IF($O131="","",INDEX(Master!$F$2:$F$1001,$O131))</f>
      </c>
      <c r="G131">
        <f>IF($O131="","",INDEX(Master!$G$2:$G$1001,$O131))</f>
      </c>
      <c r="H131">
        <f>IF($O131="","",INDEX(Master!$H$2:$H$1001,$O131))</f>
      </c>
      <c r="I131">
        <f>IF($O131="","",INDEX(Master!$I$2:$I$1001,$O131))</f>
      </c>
      <c r="J131">
        <f>IF($O131="","",INDEX(Master!$J$2:$J$1001,$O131))</f>
      </c>
      <c r="K131">
        <f t="shared" si="2"/>
      </c>
      <c r="L131">
        <f>IF($O131="","",INDEX(Master!$K$2:$K$1001,$O131))</f>
      </c>
      <c r="M131">
        <f>IF($O131="","",INDEX(Master!$L$2:$L$1001,$O131))</f>
      </c>
      <c r="O131">
        <f t="array" ref="O131">IFERROR(SMALL(IF(Master!$A$2:$A$1001="MASHIVA STEEL AND ALLOYS LLP",ROW(Master!$A$2:$A$1001)-ROW(Master!$A$2)+1),127),"")</f>
      </c>
      <c r="P131">
        <f t="shared" si="3"/>
      </c>
    </row>
    <row r="132" spans="1:16" x14ac:dyDescent="0.25">
      <c r="A132">
        <f>IF($O132="","",INDEX(Master!$D$2:$D$1001,$O132))</f>
      </c>
      <c r="B132" s="166">
        <f>IF($O132="","",INDEX(Master!$B$2:$B$1001,$O132))</f>
      </c>
      <c r="C132">
        <f>IF($O132="","",INDEX(Master!$C$2:$C$1001,$O132))</f>
      </c>
      <c r="D132">
        <f>IF($O132="","",INDEX(Master!$A$2:$A$1001,$O132))</f>
      </c>
      <c r="E132">
        <f>IF($O132="","",INDEX(Master!$E$2:$E$1001,$O132))</f>
      </c>
      <c r="F132">
        <f>IF($O132="","",INDEX(Master!$F$2:$F$1001,$O132))</f>
      </c>
      <c r="G132">
        <f>IF($O132="","",INDEX(Master!$G$2:$G$1001,$O132))</f>
      </c>
      <c r="H132">
        <f>IF($O132="","",INDEX(Master!$H$2:$H$1001,$O132))</f>
      </c>
      <c r="I132">
        <f>IF($O132="","",INDEX(Master!$I$2:$I$1001,$O132))</f>
      </c>
      <c r="J132">
        <f>IF($O132="","",INDEX(Master!$J$2:$J$1001,$O132))</f>
      </c>
      <c r="K132">
        <f t="shared" si="2"/>
      </c>
      <c r="L132">
        <f>IF($O132="","",INDEX(Master!$K$2:$K$1001,$O132))</f>
      </c>
      <c r="M132">
        <f>IF($O132="","",INDEX(Master!$L$2:$L$1001,$O132))</f>
      </c>
      <c r="O132">
        <f t="array" ref="O132">IFERROR(SMALL(IF(Master!$A$2:$A$1001="MASHIVA STEEL AND ALLOYS LLP",ROW(Master!$A$2:$A$1001)-ROW(Master!$A$2)+1),128),"")</f>
      </c>
      <c r="P132">
        <f t="shared" si="3"/>
      </c>
    </row>
    <row r="133" spans="1:16" x14ac:dyDescent="0.25">
      <c r="A133">
        <f>IF($O133="","",INDEX(Master!$D$2:$D$1001,$O133))</f>
      </c>
      <c r="B133" s="166">
        <f>IF($O133="","",INDEX(Master!$B$2:$B$1001,$O133))</f>
      </c>
      <c r="C133">
        <f>IF($O133="","",INDEX(Master!$C$2:$C$1001,$O133))</f>
      </c>
      <c r="D133">
        <f>IF($O133="","",INDEX(Master!$A$2:$A$1001,$O133))</f>
      </c>
      <c r="E133">
        <f>IF($O133="","",INDEX(Master!$E$2:$E$1001,$O133))</f>
      </c>
      <c r="F133">
        <f>IF($O133="","",INDEX(Master!$F$2:$F$1001,$O133))</f>
      </c>
      <c r="G133">
        <f>IF($O133="","",INDEX(Master!$G$2:$G$1001,$O133))</f>
      </c>
      <c r="H133">
        <f>IF($O133="","",INDEX(Master!$H$2:$H$1001,$O133))</f>
      </c>
      <c r="I133">
        <f>IF($O133="","",INDEX(Master!$I$2:$I$1001,$O133))</f>
      </c>
      <c r="J133">
        <f>IF($O133="","",INDEX(Master!$J$2:$J$1001,$O133))</f>
      </c>
      <c r="K133">
        <f t="shared" ref="K133:K196" si="4">IF(OR($O133="",$F133="",$F133=0),"",$H133/$F133)</f>
      </c>
      <c r="L133">
        <f>IF($O133="","",INDEX(Master!$K$2:$K$1001,$O133))</f>
      </c>
      <c r="M133">
        <f>IF($O133="","",INDEX(Master!$L$2:$L$1001,$O133))</f>
      </c>
      <c r="O133">
        <f t="array" ref="O133">IFERROR(SMALL(IF(Master!$A$2:$A$1001="MASHIVA STEEL AND ALLOYS LLP",ROW(Master!$A$2:$A$1001)-ROW(Master!$A$2)+1),129),"")</f>
      </c>
      <c r="P133">
        <f t="shared" ref="P133:P196" si="5">IF($A133="",0,IF(OR(AND($E133&lt;&gt;"",OR($E133&gt;0.15)),AND($F133&lt;&gt;"",OR(($F133+$G133)&gt;0.15)),AND($G133&lt;&gt;"",OR(($F133+$G133)&gt;0.15)),AND($H133&lt;&gt;"",$H133&lt;0.45),AND($J133&lt;&gt;"",OR($J133&lt;0.1))),1,0))</f>
      </c>
    </row>
    <row r="134" spans="1:16" x14ac:dyDescent="0.25">
      <c r="A134">
        <f>IF($O134="","",INDEX(Master!$D$2:$D$1001,$O134))</f>
      </c>
      <c r="B134" s="166">
        <f>IF($O134="","",INDEX(Master!$B$2:$B$1001,$O134))</f>
      </c>
      <c r="C134">
        <f>IF($O134="","",INDEX(Master!$C$2:$C$1001,$O134))</f>
      </c>
      <c r="D134">
        <f>IF($O134="","",INDEX(Master!$A$2:$A$1001,$O134))</f>
      </c>
      <c r="E134">
        <f>IF($O134="","",INDEX(Master!$E$2:$E$1001,$O134))</f>
      </c>
      <c r="F134">
        <f>IF($O134="","",INDEX(Master!$F$2:$F$1001,$O134))</f>
      </c>
      <c r="G134">
        <f>IF($O134="","",INDEX(Master!$G$2:$G$1001,$O134))</f>
      </c>
      <c r="H134">
        <f>IF($O134="","",INDEX(Master!$H$2:$H$1001,$O134))</f>
      </c>
      <c r="I134">
        <f>IF($O134="","",INDEX(Master!$I$2:$I$1001,$O134))</f>
      </c>
      <c r="J134">
        <f>IF($O134="","",INDEX(Master!$J$2:$J$1001,$O134))</f>
      </c>
      <c r="K134">
        <f t="shared" si="4"/>
      </c>
      <c r="L134">
        <f>IF($O134="","",INDEX(Master!$K$2:$K$1001,$O134))</f>
      </c>
      <c r="M134">
        <f>IF($O134="","",INDEX(Master!$L$2:$L$1001,$O134))</f>
      </c>
      <c r="O134">
        <f t="array" ref="O134">IFERROR(SMALL(IF(Master!$A$2:$A$1001="MASHIVA STEEL AND ALLOYS LLP",ROW(Master!$A$2:$A$1001)-ROW(Master!$A$2)+1),130),"")</f>
      </c>
      <c r="P134">
        <f t="shared" si="5"/>
      </c>
    </row>
    <row r="135" spans="1:16" x14ac:dyDescent="0.25">
      <c r="A135">
        <f>IF($O135="","",INDEX(Master!$D$2:$D$1001,$O135))</f>
      </c>
      <c r="B135" s="166">
        <f>IF($O135="","",INDEX(Master!$B$2:$B$1001,$O135))</f>
      </c>
      <c r="C135">
        <f>IF($O135="","",INDEX(Master!$C$2:$C$1001,$O135))</f>
      </c>
      <c r="D135">
        <f>IF($O135="","",INDEX(Master!$A$2:$A$1001,$O135))</f>
      </c>
      <c r="E135">
        <f>IF($O135="","",INDEX(Master!$E$2:$E$1001,$O135))</f>
      </c>
      <c r="F135">
        <f>IF($O135="","",INDEX(Master!$F$2:$F$1001,$O135))</f>
      </c>
      <c r="G135">
        <f>IF($O135="","",INDEX(Master!$G$2:$G$1001,$O135))</f>
      </c>
      <c r="H135">
        <f>IF($O135="","",INDEX(Master!$H$2:$H$1001,$O135))</f>
      </c>
      <c r="I135">
        <f>IF($O135="","",INDEX(Master!$I$2:$I$1001,$O135))</f>
      </c>
      <c r="J135">
        <f>IF($O135="","",INDEX(Master!$J$2:$J$1001,$O135))</f>
      </c>
      <c r="K135">
        <f t="shared" si="4"/>
      </c>
      <c r="L135">
        <f>IF($O135="","",INDEX(Master!$K$2:$K$1001,$O135))</f>
      </c>
      <c r="M135">
        <f>IF($O135="","",INDEX(Master!$L$2:$L$1001,$O135))</f>
      </c>
      <c r="O135">
        <f t="array" ref="O135">IFERROR(SMALL(IF(Master!$A$2:$A$1001="MASHIVA STEEL AND ALLOYS LLP",ROW(Master!$A$2:$A$1001)-ROW(Master!$A$2)+1),131),"")</f>
      </c>
      <c r="P135">
        <f t="shared" si="5"/>
      </c>
    </row>
    <row r="136" spans="1:16" x14ac:dyDescent="0.25">
      <c r="A136">
        <f>IF($O136="","",INDEX(Master!$D$2:$D$1001,$O136))</f>
      </c>
      <c r="B136" s="166">
        <f>IF($O136="","",INDEX(Master!$B$2:$B$1001,$O136))</f>
      </c>
      <c r="C136">
        <f>IF($O136="","",INDEX(Master!$C$2:$C$1001,$O136))</f>
      </c>
      <c r="D136">
        <f>IF($O136="","",INDEX(Master!$A$2:$A$1001,$O136))</f>
      </c>
      <c r="E136">
        <f>IF($O136="","",INDEX(Master!$E$2:$E$1001,$O136))</f>
      </c>
      <c r="F136">
        <f>IF($O136="","",INDEX(Master!$F$2:$F$1001,$O136))</f>
      </c>
      <c r="G136">
        <f>IF($O136="","",INDEX(Master!$G$2:$G$1001,$O136))</f>
      </c>
      <c r="H136">
        <f>IF($O136="","",INDEX(Master!$H$2:$H$1001,$O136))</f>
      </c>
      <c r="I136">
        <f>IF($O136="","",INDEX(Master!$I$2:$I$1001,$O136))</f>
      </c>
      <c r="J136">
        <f>IF($O136="","",INDEX(Master!$J$2:$J$1001,$O136))</f>
      </c>
      <c r="K136">
        <f t="shared" si="4"/>
      </c>
      <c r="L136">
        <f>IF($O136="","",INDEX(Master!$K$2:$K$1001,$O136))</f>
      </c>
      <c r="M136">
        <f>IF($O136="","",INDEX(Master!$L$2:$L$1001,$O136))</f>
      </c>
      <c r="O136">
        <f t="array" ref="O136">IFERROR(SMALL(IF(Master!$A$2:$A$1001="MASHIVA STEEL AND ALLOYS LLP",ROW(Master!$A$2:$A$1001)-ROW(Master!$A$2)+1),132),"")</f>
      </c>
      <c r="P136">
        <f t="shared" si="5"/>
      </c>
    </row>
    <row r="137" spans="1:16" x14ac:dyDescent="0.25">
      <c r="A137">
        <f>IF($O137="","",INDEX(Master!$D$2:$D$1001,$O137))</f>
      </c>
      <c r="B137" s="166">
        <f>IF($O137="","",INDEX(Master!$B$2:$B$1001,$O137))</f>
      </c>
      <c r="C137">
        <f>IF($O137="","",INDEX(Master!$C$2:$C$1001,$O137))</f>
      </c>
      <c r="D137">
        <f>IF($O137="","",INDEX(Master!$A$2:$A$1001,$O137))</f>
      </c>
      <c r="E137">
        <f>IF($O137="","",INDEX(Master!$E$2:$E$1001,$O137))</f>
      </c>
      <c r="F137">
        <f>IF($O137="","",INDEX(Master!$F$2:$F$1001,$O137))</f>
      </c>
      <c r="G137">
        <f>IF($O137="","",INDEX(Master!$G$2:$G$1001,$O137))</f>
      </c>
      <c r="H137">
        <f>IF($O137="","",INDEX(Master!$H$2:$H$1001,$O137))</f>
      </c>
      <c r="I137">
        <f>IF($O137="","",INDEX(Master!$I$2:$I$1001,$O137))</f>
      </c>
      <c r="J137">
        <f>IF($O137="","",INDEX(Master!$J$2:$J$1001,$O137))</f>
      </c>
      <c r="K137">
        <f t="shared" si="4"/>
      </c>
      <c r="L137">
        <f>IF($O137="","",INDEX(Master!$K$2:$K$1001,$O137))</f>
      </c>
      <c r="M137">
        <f>IF($O137="","",INDEX(Master!$L$2:$L$1001,$O137))</f>
      </c>
      <c r="O137">
        <f t="array" ref="O137">IFERROR(SMALL(IF(Master!$A$2:$A$1001="MASHIVA STEEL AND ALLOYS LLP",ROW(Master!$A$2:$A$1001)-ROW(Master!$A$2)+1),133),"")</f>
      </c>
      <c r="P137">
        <f t="shared" si="5"/>
      </c>
    </row>
    <row r="138" spans="1:16" x14ac:dyDescent="0.25">
      <c r="A138">
        <f>IF($O138="","",INDEX(Master!$D$2:$D$1001,$O138))</f>
      </c>
      <c r="B138" s="166">
        <f>IF($O138="","",INDEX(Master!$B$2:$B$1001,$O138))</f>
      </c>
      <c r="C138">
        <f>IF($O138="","",INDEX(Master!$C$2:$C$1001,$O138))</f>
      </c>
      <c r="D138">
        <f>IF($O138="","",INDEX(Master!$A$2:$A$1001,$O138))</f>
      </c>
      <c r="E138">
        <f>IF($O138="","",INDEX(Master!$E$2:$E$1001,$O138))</f>
      </c>
      <c r="F138">
        <f>IF($O138="","",INDEX(Master!$F$2:$F$1001,$O138))</f>
      </c>
      <c r="G138">
        <f>IF($O138="","",INDEX(Master!$G$2:$G$1001,$O138))</f>
      </c>
      <c r="H138">
        <f>IF($O138="","",INDEX(Master!$H$2:$H$1001,$O138))</f>
      </c>
      <c r="I138">
        <f>IF($O138="","",INDEX(Master!$I$2:$I$1001,$O138))</f>
      </c>
      <c r="J138">
        <f>IF($O138="","",INDEX(Master!$J$2:$J$1001,$O138))</f>
      </c>
      <c r="K138">
        <f t="shared" si="4"/>
      </c>
      <c r="L138">
        <f>IF($O138="","",INDEX(Master!$K$2:$K$1001,$O138))</f>
      </c>
      <c r="M138">
        <f>IF($O138="","",INDEX(Master!$L$2:$L$1001,$O138))</f>
      </c>
      <c r="O138">
        <f t="array" ref="O138">IFERROR(SMALL(IF(Master!$A$2:$A$1001="MASHIVA STEEL AND ALLOYS LLP",ROW(Master!$A$2:$A$1001)-ROW(Master!$A$2)+1),134),"")</f>
      </c>
      <c r="P138">
        <f t="shared" si="5"/>
      </c>
    </row>
    <row r="139" spans="1:16" x14ac:dyDescent="0.25">
      <c r="A139">
        <f>IF($O139="","",INDEX(Master!$D$2:$D$1001,$O139))</f>
      </c>
      <c r="B139" s="166">
        <f>IF($O139="","",INDEX(Master!$B$2:$B$1001,$O139))</f>
      </c>
      <c r="C139">
        <f>IF($O139="","",INDEX(Master!$C$2:$C$1001,$O139))</f>
      </c>
      <c r="D139">
        <f>IF($O139="","",INDEX(Master!$A$2:$A$1001,$O139))</f>
      </c>
      <c r="E139">
        <f>IF($O139="","",INDEX(Master!$E$2:$E$1001,$O139))</f>
      </c>
      <c r="F139">
        <f>IF($O139="","",INDEX(Master!$F$2:$F$1001,$O139))</f>
      </c>
      <c r="G139">
        <f>IF($O139="","",INDEX(Master!$G$2:$G$1001,$O139))</f>
      </c>
      <c r="H139">
        <f>IF($O139="","",INDEX(Master!$H$2:$H$1001,$O139))</f>
      </c>
      <c r="I139">
        <f>IF($O139="","",INDEX(Master!$I$2:$I$1001,$O139))</f>
      </c>
      <c r="J139">
        <f>IF($O139="","",INDEX(Master!$J$2:$J$1001,$O139))</f>
      </c>
      <c r="K139">
        <f t="shared" si="4"/>
      </c>
      <c r="L139">
        <f>IF($O139="","",INDEX(Master!$K$2:$K$1001,$O139))</f>
      </c>
      <c r="M139">
        <f>IF($O139="","",INDEX(Master!$L$2:$L$1001,$O139))</f>
      </c>
      <c r="O139">
        <f t="array" ref="O139">IFERROR(SMALL(IF(Master!$A$2:$A$1001="MASHIVA STEEL AND ALLOYS LLP",ROW(Master!$A$2:$A$1001)-ROW(Master!$A$2)+1),135),"")</f>
      </c>
      <c r="P139">
        <f t="shared" si="5"/>
      </c>
    </row>
    <row r="140" spans="1:16" x14ac:dyDescent="0.25">
      <c r="A140">
        <f>IF($O140="","",INDEX(Master!$D$2:$D$1001,$O140))</f>
      </c>
      <c r="B140" s="166">
        <f>IF($O140="","",INDEX(Master!$B$2:$B$1001,$O140))</f>
      </c>
      <c r="C140">
        <f>IF($O140="","",INDEX(Master!$C$2:$C$1001,$O140))</f>
      </c>
      <c r="D140">
        <f>IF($O140="","",INDEX(Master!$A$2:$A$1001,$O140))</f>
      </c>
      <c r="E140">
        <f>IF($O140="","",INDEX(Master!$E$2:$E$1001,$O140))</f>
      </c>
      <c r="F140">
        <f>IF($O140="","",INDEX(Master!$F$2:$F$1001,$O140))</f>
      </c>
      <c r="G140">
        <f>IF($O140="","",INDEX(Master!$G$2:$G$1001,$O140))</f>
      </c>
      <c r="H140">
        <f>IF($O140="","",INDEX(Master!$H$2:$H$1001,$O140))</f>
      </c>
      <c r="I140">
        <f>IF($O140="","",INDEX(Master!$I$2:$I$1001,$O140))</f>
      </c>
      <c r="J140">
        <f>IF($O140="","",INDEX(Master!$J$2:$J$1001,$O140))</f>
      </c>
      <c r="K140">
        <f t="shared" si="4"/>
      </c>
      <c r="L140">
        <f>IF($O140="","",INDEX(Master!$K$2:$K$1001,$O140))</f>
      </c>
      <c r="M140">
        <f>IF($O140="","",INDEX(Master!$L$2:$L$1001,$O140))</f>
      </c>
      <c r="O140">
        <f t="array" ref="O140">IFERROR(SMALL(IF(Master!$A$2:$A$1001="MASHIVA STEEL AND ALLOYS LLP",ROW(Master!$A$2:$A$1001)-ROW(Master!$A$2)+1),136),"")</f>
      </c>
      <c r="P140">
        <f t="shared" si="5"/>
      </c>
    </row>
    <row r="141" spans="1:16" x14ac:dyDescent="0.25">
      <c r="A141">
        <f>IF($O141="","",INDEX(Master!$D$2:$D$1001,$O141))</f>
      </c>
      <c r="B141" s="166">
        <f>IF($O141="","",INDEX(Master!$B$2:$B$1001,$O141))</f>
      </c>
      <c r="C141">
        <f>IF($O141="","",INDEX(Master!$C$2:$C$1001,$O141))</f>
      </c>
      <c r="D141">
        <f>IF($O141="","",INDEX(Master!$A$2:$A$1001,$O141))</f>
      </c>
      <c r="E141">
        <f>IF($O141="","",INDEX(Master!$E$2:$E$1001,$O141))</f>
      </c>
      <c r="F141">
        <f>IF($O141="","",INDEX(Master!$F$2:$F$1001,$O141))</f>
      </c>
      <c r="G141">
        <f>IF($O141="","",INDEX(Master!$G$2:$G$1001,$O141))</f>
      </c>
      <c r="H141">
        <f>IF($O141="","",INDEX(Master!$H$2:$H$1001,$O141))</f>
      </c>
      <c r="I141">
        <f>IF($O141="","",INDEX(Master!$I$2:$I$1001,$O141))</f>
      </c>
      <c r="J141">
        <f>IF($O141="","",INDEX(Master!$J$2:$J$1001,$O141))</f>
      </c>
      <c r="K141">
        <f t="shared" si="4"/>
      </c>
      <c r="L141">
        <f>IF($O141="","",INDEX(Master!$K$2:$K$1001,$O141))</f>
      </c>
      <c r="M141">
        <f>IF($O141="","",INDEX(Master!$L$2:$L$1001,$O141))</f>
      </c>
      <c r="O141">
        <f t="array" ref="O141">IFERROR(SMALL(IF(Master!$A$2:$A$1001="MASHIVA STEEL AND ALLOYS LLP",ROW(Master!$A$2:$A$1001)-ROW(Master!$A$2)+1),137),"")</f>
      </c>
      <c r="P141">
        <f t="shared" si="5"/>
      </c>
    </row>
    <row r="142" spans="1:16" x14ac:dyDescent="0.25">
      <c r="A142">
        <f>IF($O142="","",INDEX(Master!$D$2:$D$1001,$O142))</f>
      </c>
      <c r="B142" s="166">
        <f>IF($O142="","",INDEX(Master!$B$2:$B$1001,$O142))</f>
      </c>
      <c r="C142">
        <f>IF($O142="","",INDEX(Master!$C$2:$C$1001,$O142))</f>
      </c>
      <c r="D142">
        <f>IF($O142="","",INDEX(Master!$A$2:$A$1001,$O142))</f>
      </c>
      <c r="E142">
        <f>IF($O142="","",INDEX(Master!$E$2:$E$1001,$O142))</f>
      </c>
      <c r="F142">
        <f>IF($O142="","",INDEX(Master!$F$2:$F$1001,$O142))</f>
      </c>
      <c r="G142">
        <f>IF($O142="","",INDEX(Master!$G$2:$G$1001,$O142))</f>
      </c>
      <c r="H142">
        <f>IF($O142="","",INDEX(Master!$H$2:$H$1001,$O142))</f>
      </c>
      <c r="I142">
        <f>IF($O142="","",INDEX(Master!$I$2:$I$1001,$O142))</f>
      </c>
      <c r="J142">
        <f>IF($O142="","",INDEX(Master!$J$2:$J$1001,$O142))</f>
      </c>
      <c r="K142">
        <f t="shared" si="4"/>
      </c>
      <c r="L142">
        <f>IF($O142="","",INDEX(Master!$K$2:$K$1001,$O142))</f>
      </c>
      <c r="M142">
        <f>IF($O142="","",INDEX(Master!$L$2:$L$1001,$O142))</f>
      </c>
      <c r="O142">
        <f t="array" ref="O142">IFERROR(SMALL(IF(Master!$A$2:$A$1001="MASHIVA STEEL AND ALLOYS LLP",ROW(Master!$A$2:$A$1001)-ROW(Master!$A$2)+1),138),"")</f>
      </c>
      <c r="P142">
        <f t="shared" si="5"/>
      </c>
    </row>
    <row r="143" spans="1:16" x14ac:dyDescent="0.25">
      <c r="A143">
        <f>IF($O143="","",INDEX(Master!$D$2:$D$1001,$O143))</f>
      </c>
      <c r="B143" s="166">
        <f>IF($O143="","",INDEX(Master!$B$2:$B$1001,$O143))</f>
      </c>
      <c r="C143">
        <f>IF($O143="","",INDEX(Master!$C$2:$C$1001,$O143))</f>
      </c>
      <c r="D143">
        <f>IF($O143="","",INDEX(Master!$A$2:$A$1001,$O143))</f>
      </c>
      <c r="E143">
        <f>IF($O143="","",INDEX(Master!$E$2:$E$1001,$O143))</f>
      </c>
      <c r="F143">
        <f>IF($O143="","",INDEX(Master!$F$2:$F$1001,$O143))</f>
      </c>
      <c r="G143">
        <f>IF($O143="","",INDEX(Master!$G$2:$G$1001,$O143))</f>
      </c>
      <c r="H143">
        <f>IF($O143="","",INDEX(Master!$H$2:$H$1001,$O143))</f>
      </c>
      <c r="I143">
        <f>IF($O143="","",INDEX(Master!$I$2:$I$1001,$O143))</f>
      </c>
      <c r="J143">
        <f>IF($O143="","",INDEX(Master!$J$2:$J$1001,$O143))</f>
      </c>
      <c r="K143">
        <f t="shared" si="4"/>
      </c>
      <c r="L143">
        <f>IF($O143="","",INDEX(Master!$K$2:$K$1001,$O143))</f>
      </c>
      <c r="M143">
        <f>IF($O143="","",INDEX(Master!$L$2:$L$1001,$O143))</f>
      </c>
      <c r="O143">
        <f t="array" ref="O143">IFERROR(SMALL(IF(Master!$A$2:$A$1001="MASHIVA STEEL AND ALLOYS LLP",ROW(Master!$A$2:$A$1001)-ROW(Master!$A$2)+1),139),"")</f>
      </c>
      <c r="P143">
        <f t="shared" si="5"/>
      </c>
    </row>
    <row r="144" spans="1:16" x14ac:dyDescent="0.25">
      <c r="A144">
        <f>IF($O144="","",INDEX(Master!$D$2:$D$1001,$O144))</f>
      </c>
      <c r="B144" s="166">
        <f>IF($O144="","",INDEX(Master!$B$2:$B$1001,$O144))</f>
      </c>
      <c r="C144">
        <f>IF($O144="","",INDEX(Master!$C$2:$C$1001,$O144))</f>
      </c>
      <c r="D144">
        <f>IF($O144="","",INDEX(Master!$A$2:$A$1001,$O144))</f>
      </c>
      <c r="E144">
        <f>IF($O144="","",INDEX(Master!$E$2:$E$1001,$O144))</f>
      </c>
      <c r="F144">
        <f>IF($O144="","",INDEX(Master!$F$2:$F$1001,$O144))</f>
      </c>
      <c r="G144">
        <f>IF($O144="","",INDEX(Master!$G$2:$G$1001,$O144))</f>
      </c>
      <c r="H144">
        <f>IF($O144="","",INDEX(Master!$H$2:$H$1001,$O144))</f>
      </c>
      <c r="I144">
        <f>IF($O144="","",INDEX(Master!$I$2:$I$1001,$O144))</f>
      </c>
      <c r="J144">
        <f>IF($O144="","",INDEX(Master!$J$2:$J$1001,$O144))</f>
      </c>
      <c r="K144">
        <f t="shared" si="4"/>
      </c>
      <c r="L144">
        <f>IF($O144="","",INDEX(Master!$K$2:$K$1001,$O144))</f>
      </c>
      <c r="M144">
        <f>IF($O144="","",INDEX(Master!$L$2:$L$1001,$O144))</f>
      </c>
      <c r="O144">
        <f t="array" ref="O144">IFERROR(SMALL(IF(Master!$A$2:$A$1001="MASHIVA STEEL AND ALLOYS LLP",ROW(Master!$A$2:$A$1001)-ROW(Master!$A$2)+1),140),"")</f>
      </c>
      <c r="P144">
        <f t="shared" si="5"/>
      </c>
    </row>
    <row r="145" spans="1:16" x14ac:dyDescent="0.25">
      <c r="A145">
        <f>IF($O145="","",INDEX(Master!$D$2:$D$1001,$O145))</f>
      </c>
      <c r="B145" s="166">
        <f>IF($O145="","",INDEX(Master!$B$2:$B$1001,$O145))</f>
      </c>
      <c r="C145">
        <f>IF($O145="","",INDEX(Master!$C$2:$C$1001,$O145))</f>
      </c>
      <c r="D145">
        <f>IF($O145="","",INDEX(Master!$A$2:$A$1001,$O145))</f>
      </c>
      <c r="E145">
        <f>IF($O145="","",INDEX(Master!$E$2:$E$1001,$O145))</f>
      </c>
      <c r="F145">
        <f>IF($O145="","",INDEX(Master!$F$2:$F$1001,$O145))</f>
      </c>
      <c r="G145">
        <f>IF($O145="","",INDEX(Master!$G$2:$G$1001,$O145))</f>
      </c>
      <c r="H145">
        <f>IF($O145="","",INDEX(Master!$H$2:$H$1001,$O145))</f>
      </c>
      <c r="I145">
        <f>IF($O145="","",INDEX(Master!$I$2:$I$1001,$O145))</f>
      </c>
      <c r="J145">
        <f>IF($O145="","",INDEX(Master!$J$2:$J$1001,$O145))</f>
      </c>
      <c r="K145">
        <f t="shared" si="4"/>
      </c>
      <c r="L145">
        <f>IF($O145="","",INDEX(Master!$K$2:$K$1001,$O145))</f>
      </c>
      <c r="M145">
        <f>IF($O145="","",INDEX(Master!$L$2:$L$1001,$O145))</f>
      </c>
      <c r="O145">
        <f t="array" ref="O145">IFERROR(SMALL(IF(Master!$A$2:$A$1001="MASHIVA STEEL AND ALLOYS LLP",ROW(Master!$A$2:$A$1001)-ROW(Master!$A$2)+1),141),"")</f>
      </c>
      <c r="P145">
        <f t="shared" si="5"/>
      </c>
    </row>
    <row r="146" spans="1:16" x14ac:dyDescent="0.25">
      <c r="A146">
        <f>IF($O146="","",INDEX(Master!$D$2:$D$1001,$O146))</f>
      </c>
      <c r="B146" s="166">
        <f>IF($O146="","",INDEX(Master!$B$2:$B$1001,$O146))</f>
      </c>
      <c r="C146">
        <f>IF($O146="","",INDEX(Master!$C$2:$C$1001,$O146))</f>
      </c>
      <c r="D146">
        <f>IF($O146="","",INDEX(Master!$A$2:$A$1001,$O146))</f>
      </c>
      <c r="E146">
        <f>IF($O146="","",INDEX(Master!$E$2:$E$1001,$O146))</f>
      </c>
      <c r="F146">
        <f>IF($O146="","",INDEX(Master!$F$2:$F$1001,$O146))</f>
      </c>
      <c r="G146">
        <f>IF($O146="","",INDEX(Master!$G$2:$G$1001,$O146))</f>
      </c>
      <c r="H146">
        <f>IF($O146="","",INDEX(Master!$H$2:$H$1001,$O146))</f>
      </c>
      <c r="I146">
        <f>IF($O146="","",INDEX(Master!$I$2:$I$1001,$O146))</f>
      </c>
      <c r="J146">
        <f>IF($O146="","",INDEX(Master!$J$2:$J$1001,$O146))</f>
      </c>
      <c r="K146">
        <f t="shared" si="4"/>
      </c>
      <c r="L146">
        <f>IF($O146="","",INDEX(Master!$K$2:$K$1001,$O146))</f>
      </c>
      <c r="M146">
        <f>IF($O146="","",INDEX(Master!$L$2:$L$1001,$O146))</f>
      </c>
      <c r="O146">
        <f t="array" ref="O146">IFERROR(SMALL(IF(Master!$A$2:$A$1001="MASHIVA STEEL AND ALLOYS LLP",ROW(Master!$A$2:$A$1001)-ROW(Master!$A$2)+1),142),"")</f>
      </c>
      <c r="P146">
        <f t="shared" si="5"/>
      </c>
    </row>
    <row r="147" spans="1:16" x14ac:dyDescent="0.25">
      <c r="A147">
        <f>IF($O147="","",INDEX(Master!$D$2:$D$1001,$O147))</f>
      </c>
      <c r="B147" s="166">
        <f>IF($O147="","",INDEX(Master!$B$2:$B$1001,$O147))</f>
      </c>
      <c r="C147">
        <f>IF($O147="","",INDEX(Master!$C$2:$C$1001,$O147))</f>
      </c>
      <c r="D147">
        <f>IF($O147="","",INDEX(Master!$A$2:$A$1001,$O147))</f>
      </c>
      <c r="E147">
        <f>IF($O147="","",INDEX(Master!$E$2:$E$1001,$O147))</f>
      </c>
      <c r="F147">
        <f>IF($O147="","",INDEX(Master!$F$2:$F$1001,$O147))</f>
      </c>
      <c r="G147">
        <f>IF($O147="","",INDEX(Master!$G$2:$G$1001,$O147))</f>
      </c>
      <c r="H147">
        <f>IF($O147="","",INDEX(Master!$H$2:$H$1001,$O147))</f>
      </c>
      <c r="I147">
        <f>IF($O147="","",INDEX(Master!$I$2:$I$1001,$O147))</f>
      </c>
      <c r="J147">
        <f>IF($O147="","",INDEX(Master!$J$2:$J$1001,$O147))</f>
      </c>
      <c r="K147">
        <f t="shared" si="4"/>
      </c>
      <c r="L147">
        <f>IF($O147="","",INDEX(Master!$K$2:$K$1001,$O147))</f>
      </c>
      <c r="M147">
        <f>IF($O147="","",INDEX(Master!$L$2:$L$1001,$O147))</f>
      </c>
      <c r="O147">
        <f t="array" ref="O147">IFERROR(SMALL(IF(Master!$A$2:$A$1001="MASHIVA STEEL AND ALLOYS LLP",ROW(Master!$A$2:$A$1001)-ROW(Master!$A$2)+1),143),"")</f>
      </c>
      <c r="P147">
        <f t="shared" si="5"/>
      </c>
    </row>
    <row r="148" spans="1:16" x14ac:dyDescent="0.25">
      <c r="A148">
        <f>IF($O148="","",INDEX(Master!$D$2:$D$1001,$O148))</f>
      </c>
      <c r="B148" s="166">
        <f>IF($O148="","",INDEX(Master!$B$2:$B$1001,$O148))</f>
      </c>
      <c r="C148">
        <f>IF($O148="","",INDEX(Master!$C$2:$C$1001,$O148))</f>
      </c>
      <c r="D148">
        <f>IF($O148="","",INDEX(Master!$A$2:$A$1001,$O148))</f>
      </c>
      <c r="E148">
        <f>IF($O148="","",INDEX(Master!$E$2:$E$1001,$O148))</f>
      </c>
      <c r="F148">
        <f>IF($O148="","",INDEX(Master!$F$2:$F$1001,$O148))</f>
      </c>
      <c r="G148">
        <f>IF($O148="","",INDEX(Master!$G$2:$G$1001,$O148))</f>
      </c>
      <c r="H148">
        <f>IF($O148="","",INDEX(Master!$H$2:$H$1001,$O148))</f>
      </c>
      <c r="I148">
        <f>IF($O148="","",INDEX(Master!$I$2:$I$1001,$O148))</f>
      </c>
      <c r="J148">
        <f>IF($O148="","",INDEX(Master!$J$2:$J$1001,$O148))</f>
      </c>
      <c r="K148">
        <f t="shared" si="4"/>
      </c>
      <c r="L148">
        <f>IF($O148="","",INDEX(Master!$K$2:$K$1001,$O148))</f>
      </c>
      <c r="M148">
        <f>IF($O148="","",INDEX(Master!$L$2:$L$1001,$O148))</f>
      </c>
      <c r="O148">
        <f t="array" ref="O148">IFERROR(SMALL(IF(Master!$A$2:$A$1001="MASHIVA STEEL AND ALLOYS LLP",ROW(Master!$A$2:$A$1001)-ROW(Master!$A$2)+1),144),"")</f>
      </c>
      <c r="P148">
        <f t="shared" si="5"/>
      </c>
    </row>
    <row r="149" spans="1:16" x14ac:dyDescent="0.25">
      <c r="A149">
        <f>IF($O149="","",INDEX(Master!$D$2:$D$1001,$O149))</f>
      </c>
      <c r="B149" s="166">
        <f>IF($O149="","",INDEX(Master!$B$2:$B$1001,$O149))</f>
      </c>
      <c r="C149">
        <f>IF($O149="","",INDEX(Master!$C$2:$C$1001,$O149))</f>
      </c>
      <c r="D149">
        <f>IF($O149="","",INDEX(Master!$A$2:$A$1001,$O149))</f>
      </c>
      <c r="E149">
        <f>IF($O149="","",INDEX(Master!$E$2:$E$1001,$O149))</f>
      </c>
      <c r="F149">
        <f>IF($O149="","",INDEX(Master!$F$2:$F$1001,$O149))</f>
      </c>
      <c r="G149">
        <f>IF($O149="","",INDEX(Master!$G$2:$G$1001,$O149))</f>
      </c>
      <c r="H149">
        <f>IF($O149="","",INDEX(Master!$H$2:$H$1001,$O149))</f>
      </c>
      <c r="I149">
        <f>IF($O149="","",INDEX(Master!$I$2:$I$1001,$O149))</f>
      </c>
      <c r="J149">
        <f>IF($O149="","",INDEX(Master!$J$2:$J$1001,$O149))</f>
      </c>
      <c r="K149">
        <f t="shared" si="4"/>
      </c>
      <c r="L149">
        <f>IF($O149="","",INDEX(Master!$K$2:$K$1001,$O149))</f>
      </c>
      <c r="M149">
        <f>IF($O149="","",INDEX(Master!$L$2:$L$1001,$O149))</f>
      </c>
      <c r="O149">
        <f t="array" ref="O149">IFERROR(SMALL(IF(Master!$A$2:$A$1001="MASHIVA STEEL AND ALLOYS LLP",ROW(Master!$A$2:$A$1001)-ROW(Master!$A$2)+1),145),"")</f>
      </c>
      <c r="P149">
        <f t="shared" si="5"/>
      </c>
    </row>
    <row r="150" spans="1:16" x14ac:dyDescent="0.25">
      <c r="A150">
        <f>IF($O150="","",INDEX(Master!$D$2:$D$1001,$O150))</f>
      </c>
      <c r="B150" s="166">
        <f>IF($O150="","",INDEX(Master!$B$2:$B$1001,$O150))</f>
      </c>
      <c r="C150">
        <f>IF($O150="","",INDEX(Master!$C$2:$C$1001,$O150))</f>
      </c>
      <c r="D150">
        <f>IF($O150="","",INDEX(Master!$A$2:$A$1001,$O150))</f>
      </c>
      <c r="E150">
        <f>IF($O150="","",INDEX(Master!$E$2:$E$1001,$O150))</f>
      </c>
      <c r="F150">
        <f>IF($O150="","",INDEX(Master!$F$2:$F$1001,$O150))</f>
      </c>
      <c r="G150">
        <f>IF($O150="","",INDEX(Master!$G$2:$G$1001,$O150))</f>
      </c>
      <c r="H150">
        <f>IF($O150="","",INDEX(Master!$H$2:$H$1001,$O150))</f>
      </c>
      <c r="I150">
        <f>IF($O150="","",INDEX(Master!$I$2:$I$1001,$O150))</f>
      </c>
      <c r="J150">
        <f>IF($O150="","",INDEX(Master!$J$2:$J$1001,$O150))</f>
      </c>
      <c r="K150">
        <f t="shared" si="4"/>
      </c>
      <c r="L150">
        <f>IF($O150="","",INDEX(Master!$K$2:$K$1001,$O150))</f>
      </c>
      <c r="M150">
        <f>IF($O150="","",INDEX(Master!$L$2:$L$1001,$O150))</f>
      </c>
      <c r="O150">
        <f t="array" ref="O150">IFERROR(SMALL(IF(Master!$A$2:$A$1001="MASHIVA STEEL AND ALLOYS LLP",ROW(Master!$A$2:$A$1001)-ROW(Master!$A$2)+1),146),"")</f>
      </c>
      <c r="P150">
        <f t="shared" si="5"/>
      </c>
    </row>
    <row r="151" spans="1:16" x14ac:dyDescent="0.25">
      <c r="A151">
        <f>IF($O151="","",INDEX(Master!$D$2:$D$1001,$O151))</f>
      </c>
      <c r="B151" s="166">
        <f>IF($O151="","",INDEX(Master!$B$2:$B$1001,$O151))</f>
      </c>
      <c r="C151">
        <f>IF($O151="","",INDEX(Master!$C$2:$C$1001,$O151))</f>
      </c>
      <c r="D151">
        <f>IF($O151="","",INDEX(Master!$A$2:$A$1001,$O151))</f>
      </c>
      <c r="E151">
        <f>IF($O151="","",INDEX(Master!$E$2:$E$1001,$O151))</f>
      </c>
      <c r="F151">
        <f>IF($O151="","",INDEX(Master!$F$2:$F$1001,$O151))</f>
      </c>
      <c r="G151">
        <f>IF($O151="","",INDEX(Master!$G$2:$G$1001,$O151))</f>
      </c>
      <c r="H151">
        <f>IF($O151="","",INDEX(Master!$H$2:$H$1001,$O151))</f>
      </c>
      <c r="I151">
        <f>IF($O151="","",INDEX(Master!$I$2:$I$1001,$O151))</f>
      </c>
      <c r="J151">
        <f>IF($O151="","",INDEX(Master!$J$2:$J$1001,$O151))</f>
      </c>
      <c r="K151">
        <f t="shared" si="4"/>
      </c>
      <c r="L151">
        <f>IF($O151="","",INDEX(Master!$K$2:$K$1001,$O151))</f>
      </c>
      <c r="M151">
        <f>IF($O151="","",INDEX(Master!$L$2:$L$1001,$O151))</f>
      </c>
      <c r="O151">
        <f t="array" ref="O151">IFERROR(SMALL(IF(Master!$A$2:$A$1001="MASHIVA STEEL AND ALLOYS LLP",ROW(Master!$A$2:$A$1001)-ROW(Master!$A$2)+1),147),"")</f>
      </c>
      <c r="P151">
        <f t="shared" si="5"/>
      </c>
    </row>
    <row r="152" spans="1:16" x14ac:dyDescent="0.25">
      <c r="A152">
        <f>IF($O152="","",INDEX(Master!$D$2:$D$1001,$O152))</f>
      </c>
      <c r="B152" s="166">
        <f>IF($O152="","",INDEX(Master!$B$2:$B$1001,$O152))</f>
      </c>
      <c r="C152">
        <f>IF($O152="","",INDEX(Master!$C$2:$C$1001,$O152))</f>
      </c>
      <c r="D152">
        <f>IF($O152="","",INDEX(Master!$A$2:$A$1001,$O152))</f>
      </c>
      <c r="E152">
        <f>IF($O152="","",INDEX(Master!$E$2:$E$1001,$O152))</f>
      </c>
      <c r="F152">
        <f>IF($O152="","",INDEX(Master!$F$2:$F$1001,$O152))</f>
      </c>
      <c r="G152">
        <f>IF($O152="","",INDEX(Master!$G$2:$G$1001,$O152))</f>
      </c>
      <c r="H152">
        <f>IF($O152="","",INDEX(Master!$H$2:$H$1001,$O152))</f>
      </c>
      <c r="I152">
        <f>IF($O152="","",INDEX(Master!$I$2:$I$1001,$O152))</f>
      </c>
      <c r="J152">
        <f>IF($O152="","",INDEX(Master!$J$2:$J$1001,$O152))</f>
      </c>
      <c r="K152">
        <f t="shared" si="4"/>
      </c>
      <c r="L152">
        <f>IF($O152="","",INDEX(Master!$K$2:$K$1001,$O152))</f>
      </c>
      <c r="M152">
        <f>IF($O152="","",INDEX(Master!$L$2:$L$1001,$O152))</f>
      </c>
      <c r="O152">
        <f t="array" ref="O152">IFERROR(SMALL(IF(Master!$A$2:$A$1001="MASHIVA STEEL AND ALLOYS LLP",ROW(Master!$A$2:$A$1001)-ROW(Master!$A$2)+1),148),"")</f>
      </c>
      <c r="P152">
        <f t="shared" si="5"/>
      </c>
    </row>
    <row r="153" spans="1:16" x14ac:dyDescent="0.25">
      <c r="A153">
        <f>IF($O153="","",INDEX(Master!$D$2:$D$1001,$O153))</f>
      </c>
      <c r="B153" s="166">
        <f>IF($O153="","",INDEX(Master!$B$2:$B$1001,$O153))</f>
      </c>
      <c r="C153">
        <f>IF($O153="","",INDEX(Master!$C$2:$C$1001,$O153))</f>
      </c>
      <c r="D153">
        <f>IF($O153="","",INDEX(Master!$A$2:$A$1001,$O153))</f>
      </c>
      <c r="E153">
        <f>IF($O153="","",INDEX(Master!$E$2:$E$1001,$O153))</f>
      </c>
      <c r="F153">
        <f>IF($O153="","",INDEX(Master!$F$2:$F$1001,$O153))</f>
      </c>
      <c r="G153">
        <f>IF($O153="","",INDEX(Master!$G$2:$G$1001,$O153))</f>
      </c>
      <c r="H153">
        <f>IF($O153="","",INDEX(Master!$H$2:$H$1001,$O153))</f>
      </c>
      <c r="I153">
        <f>IF($O153="","",INDEX(Master!$I$2:$I$1001,$O153))</f>
      </c>
      <c r="J153">
        <f>IF($O153="","",INDEX(Master!$J$2:$J$1001,$O153))</f>
      </c>
      <c r="K153">
        <f t="shared" si="4"/>
      </c>
      <c r="L153">
        <f>IF($O153="","",INDEX(Master!$K$2:$K$1001,$O153))</f>
      </c>
      <c r="M153">
        <f>IF($O153="","",INDEX(Master!$L$2:$L$1001,$O153))</f>
      </c>
      <c r="O153">
        <f t="array" ref="O153">IFERROR(SMALL(IF(Master!$A$2:$A$1001="MASHIVA STEEL AND ALLOYS LLP",ROW(Master!$A$2:$A$1001)-ROW(Master!$A$2)+1),149),"")</f>
      </c>
      <c r="P153">
        <f t="shared" si="5"/>
      </c>
    </row>
    <row r="154" spans="1:16" x14ac:dyDescent="0.25">
      <c r="A154">
        <f>IF($O154="","",INDEX(Master!$D$2:$D$1001,$O154))</f>
      </c>
      <c r="B154" s="166">
        <f>IF($O154="","",INDEX(Master!$B$2:$B$1001,$O154))</f>
      </c>
      <c r="C154">
        <f>IF($O154="","",INDEX(Master!$C$2:$C$1001,$O154))</f>
      </c>
      <c r="D154">
        <f>IF($O154="","",INDEX(Master!$A$2:$A$1001,$O154))</f>
      </c>
      <c r="E154">
        <f>IF($O154="","",INDEX(Master!$E$2:$E$1001,$O154))</f>
      </c>
      <c r="F154">
        <f>IF($O154="","",INDEX(Master!$F$2:$F$1001,$O154))</f>
      </c>
      <c r="G154">
        <f>IF($O154="","",INDEX(Master!$G$2:$G$1001,$O154))</f>
      </c>
      <c r="H154">
        <f>IF($O154="","",INDEX(Master!$H$2:$H$1001,$O154))</f>
      </c>
      <c r="I154">
        <f>IF($O154="","",INDEX(Master!$I$2:$I$1001,$O154))</f>
      </c>
      <c r="J154">
        <f>IF($O154="","",INDEX(Master!$J$2:$J$1001,$O154))</f>
      </c>
      <c r="K154">
        <f t="shared" si="4"/>
      </c>
      <c r="L154">
        <f>IF($O154="","",INDEX(Master!$K$2:$K$1001,$O154))</f>
      </c>
      <c r="M154">
        <f>IF($O154="","",INDEX(Master!$L$2:$L$1001,$O154))</f>
      </c>
      <c r="O154">
        <f t="array" ref="O154">IFERROR(SMALL(IF(Master!$A$2:$A$1001="MASHIVA STEEL AND ALLOYS LLP",ROW(Master!$A$2:$A$1001)-ROW(Master!$A$2)+1),150),"")</f>
      </c>
      <c r="P154">
        <f t="shared" si="5"/>
      </c>
    </row>
    <row r="155" spans="1:16" x14ac:dyDescent="0.25">
      <c r="A155">
        <f>IF($O155="","",INDEX(Master!$D$2:$D$1001,$O155))</f>
      </c>
      <c r="B155" s="166">
        <f>IF($O155="","",INDEX(Master!$B$2:$B$1001,$O155))</f>
      </c>
      <c r="C155">
        <f>IF($O155="","",INDEX(Master!$C$2:$C$1001,$O155))</f>
      </c>
      <c r="D155">
        <f>IF($O155="","",INDEX(Master!$A$2:$A$1001,$O155))</f>
      </c>
      <c r="E155">
        <f>IF($O155="","",INDEX(Master!$E$2:$E$1001,$O155))</f>
      </c>
      <c r="F155">
        <f>IF($O155="","",INDEX(Master!$F$2:$F$1001,$O155))</f>
      </c>
      <c r="G155">
        <f>IF($O155="","",INDEX(Master!$G$2:$G$1001,$O155))</f>
      </c>
      <c r="H155">
        <f>IF($O155="","",INDEX(Master!$H$2:$H$1001,$O155))</f>
      </c>
      <c r="I155">
        <f>IF($O155="","",INDEX(Master!$I$2:$I$1001,$O155))</f>
      </c>
      <c r="J155">
        <f>IF($O155="","",INDEX(Master!$J$2:$J$1001,$O155))</f>
      </c>
      <c r="K155">
        <f t="shared" si="4"/>
      </c>
      <c r="L155">
        <f>IF($O155="","",INDEX(Master!$K$2:$K$1001,$O155))</f>
      </c>
      <c r="M155">
        <f>IF($O155="","",INDEX(Master!$L$2:$L$1001,$O155))</f>
      </c>
      <c r="O155">
        <f t="array" ref="O155">IFERROR(SMALL(IF(Master!$A$2:$A$1001="MASHIVA STEEL AND ALLOYS LLP",ROW(Master!$A$2:$A$1001)-ROW(Master!$A$2)+1),151),"")</f>
      </c>
      <c r="P155">
        <f t="shared" si="5"/>
      </c>
    </row>
    <row r="156" spans="1:16" x14ac:dyDescent="0.25">
      <c r="A156">
        <f>IF($O156="","",INDEX(Master!$D$2:$D$1001,$O156))</f>
      </c>
      <c r="B156" s="166">
        <f>IF($O156="","",INDEX(Master!$B$2:$B$1001,$O156))</f>
      </c>
      <c r="C156">
        <f>IF($O156="","",INDEX(Master!$C$2:$C$1001,$O156))</f>
      </c>
      <c r="D156">
        <f>IF($O156="","",INDEX(Master!$A$2:$A$1001,$O156))</f>
      </c>
      <c r="E156">
        <f>IF($O156="","",INDEX(Master!$E$2:$E$1001,$O156))</f>
      </c>
      <c r="F156">
        <f>IF($O156="","",INDEX(Master!$F$2:$F$1001,$O156))</f>
      </c>
      <c r="G156">
        <f>IF($O156="","",INDEX(Master!$G$2:$G$1001,$O156))</f>
      </c>
      <c r="H156">
        <f>IF($O156="","",INDEX(Master!$H$2:$H$1001,$O156))</f>
      </c>
      <c r="I156">
        <f>IF($O156="","",INDEX(Master!$I$2:$I$1001,$O156))</f>
      </c>
      <c r="J156">
        <f>IF($O156="","",INDEX(Master!$J$2:$J$1001,$O156))</f>
      </c>
      <c r="K156">
        <f t="shared" si="4"/>
      </c>
      <c r="L156">
        <f>IF($O156="","",INDEX(Master!$K$2:$K$1001,$O156))</f>
      </c>
      <c r="M156">
        <f>IF($O156="","",INDEX(Master!$L$2:$L$1001,$O156))</f>
      </c>
      <c r="O156">
        <f t="array" ref="O156">IFERROR(SMALL(IF(Master!$A$2:$A$1001="MASHIVA STEEL AND ALLOYS LLP",ROW(Master!$A$2:$A$1001)-ROW(Master!$A$2)+1),152),"")</f>
      </c>
      <c r="P156">
        <f t="shared" si="5"/>
      </c>
    </row>
    <row r="157" spans="1:16" x14ac:dyDescent="0.25">
      <c r="A157">
        <f>IF($O157="","",INDEX(Master!$D$2:$D$1001,$O157))</f>
      </c>
      <c r="B157" s="166">
        <f>IF($O157="","",INDEX(Master!$B$2:$B$1001,$O157))</f>
      </c>
      <c r="C157">
        <f>IF($O157="","",INDEX(Master!$C$2:$C$1001,$O157))</f>
      </c>
      <c r="D157">
        <f>IF($O157="","",INDEX(Master!$A$2:$A$1001,$O157))</f>
      </c>
      <c r="E157">
        <f>IF($O157="","",INDEX(Master!$E$2:$E$1001,$O157))</f>
      </c>
      <c r="F157">
        <f>IF($O157="","",INDEX(Master!$F$2:$F$1001,$O157))</f>
      </c>
      <c r="G157">
        <f>IF($O157="","",INDEX(Master!$G$2:$G$1001,$O157))</f>
      </c>
      <c r="H157">
        <f>IF($O157="","",INDEX(Master!$H$2:$H$1001,$O157))</f>
      </c>
      <c r="I157">
        <f>IF($O157="","",INDEX(Master!$I$2:$I$1001,$O157))</f>
      </c>
      <c r="J157">
        <f>IF($O157="","",INDEX(Master!$J$2:$J$1001,$O157))</f>
      </c>
      <c r="K157">
        <f t="shared" si="4"/>
      </c>
      <c r="L157">
        <f>IF($O157="","",INDEX(Master!$K$2:$K$1001,$O157))</f>
      </c>
      <c r="M157">
        <f>IF($O157="","",INDEX(Master!$L$2:$L$1001,$O157))</f>
      </c>
      <c r="O157">
        <f t="array" ref="O157">IFERROR(SMALL(IF(Master!$A$2:$A$1001="MASHIVA STEEL AND ALLOYS LLP",ROW(Master!$A$2:$A$1001)-ROW(Master!$A$2)+1),153),"")</f>
      </c>
      <c r="P157">
        <f t="shared" si="5"/>
      </c>
    </row>
    <row r="158" spans="1:16" x14ac:dyDescent="0.25">
      <c r="A158">
        <f>IF($O158="","",INDEX(Master!$D$2:$D$1001,$O158))</f>
      </c>
      <c r="B158" s="166">
        <f>IF($O158="","",INDEX(Master!$B$2:$B$1001,$O158))</f>
      </c>
      <c r="C158">
        <f>IF($O158="","",INDEX(Master!$C$2:$C$1001,$O158))</f>
      </c>
      <c r="D158">
        <f>IF($O158="","",INDEX(Master!$A$2:$A$1001,$O158))</f>
      </c>
      <c r="E158">
        <f>IF($O158="","",INDEX(Master!$E$2:$E$1001,$O158))</f>
      </c>
      <c r="F158">
        <f>IF($O158="","",INDEX(Master!$F$2:$F$1001,$O158))</f>
      </c>
      <c r="G158">
        <f>IF($O158="","",INDEX(Master!$G$2:$G$1001,$O158))</f>
      </c>
      <c r="H158">
        <f>IF($O158="","",INDEX(Master!$H$2:$H$1001,$O158))</f>
      </c>
      <c r="I158">
        <f>IF($O158="","",INDEX(Master!$I$2:$I$1001,$O158))</f>
      </c>
      <c r="J158">
        <f>IF($O158="","",INDEX(Master!$J$2:$J$1001,$O158))</f>
      </c>
      <c r="K158">
        <f t="shared" si="4"/>
      </c>
      <c r="L158">
        <f>IF($O158="","",INDEX(Master!$K$2:$K$1001,$O158))</f>
      </c>
      <c r="M158">
        <f>IF($O158="","",INDEX(Master!$L$2:$L$1001,$O158))</f>
      </c>
      <c r="O158">
        <f t="array" ref="O158">IFERROR(SMALL(IF(Master!$A$2:$A$1001="MASHIVA STEEL AND ALLOYS LLP",ROW(Master!$A$2:$A$1001)-ROW(Master!$A$2)+1),154),"")</f>
      </c>
      <c r="P158">
        <f t="shared" si="5"/>
      </c>
    </row>
    <row r="159" spans="1:16" x14ac:dyDescent="0.25">
      <c r="A159">
        <f>IF($O159="","",INDEX(Master!$D$2:$D$1001,$O159))</f>
      </c>
      <c r="B159" s="166">
        <f>IF($O159="","",INDEX(Master!$B$2:$B$1001,$O159))</f>
      </c>
      <c r="C159">
        <f>IF($O159="","",INDEX(Master!$C$2:$C$1001,$O159))</f>
      </c>
      <c r="D159">
        <f>IF($O159="","",INDEX(Master!$A$2:$A$1001,$O159))</f>
      </c>
      <c r="E159">
        <f>IF($O159="","",INDEX(Master!$E$2:$E$1001,$O159))</f>
      </c>
      <c r="F159">
        <f>IF($O159="","",INDEX(Master!$F$2:$F$1001,$O159))</f>
      </c>
      <c r="G159">
        <f>IF($O159="","",INDEX(Master!$G$2:$G$1001,$O159))</f>
      </c>
      <c r="H159">
        <f>IF($O159="","",INDEX(Master!$H$2:$H$1001,$O159))</f>
      </c>
      <c r="I159">
        <f>IF($O159="","",INDEX(Master!$I$2:$I$1001,$O159))</f>
      </c>
      <c r="J159">
        <f>IF($O159="","",INDEX(Master!$J$2:$J$1001,$O159))</f>
      </c>
      <c r="K159">
        <f t="shared" si="4"/>
      </c>
      <c r="L159">
        <f>IF($O159="","",INDEX(Master!$K$2:$K$1001,$O159))</f>
      </c>
      <c r="M159">
        <f>IF($O159="","",INDEX(Master!$L$2:$L$1001,$O159))</f>
      </c>
      <c r="O159">
        <f t="array" ref="O159">IFERROR(SMALL(IF(Master!$A$2:$A$1001="MASHIVA STEEL AND ALLOYS LLP",ROW(Master!$A$2:$A$1001)-ROW(Master!$A$2)+1),155),"")</f>
      </c>
      <c r="P159">
        <f t="shared" si="5"/>
      </c>
    </row>
    <row r="160" spans="1:16" x14ac:dyDescent="0.25">
      <c r="A160">
        <f>IF($O160="","",INDEX(Master!$D$2:$D$1001,$O160))</f>
      </c>
      <c r="B160" s="166">
        <f>IF($O160="","",INDEX(Master!$B$2:$B$1001,$O160))</f>
      </c>
      <c r="C160">
        <f>IF($O160="","",INDEX(Master!$C$2:$C$1001,$O160))</f>
      </c>
      <c r="D160">
        <f>IF($O160="","",INDEX(Master!$A$2:$A$1001,$O160))</f>
      </c>
      <c r="E160">
        <f>IF($O160="","",INDEX(Master!$E$2:$E$1001,$O160))</f>
      </c>
      <c r="F160">
        <f>IF($O160="","",INDEX(Master!$F$2:$F$1001,$O160))</f>
      </c>
      <c r="G160">
        <f>IF($O160="","",INDEX(Master!$G$2:$G$1001,$O160))</f>
      </c>
      <c r="H160">
        <f>IF($O160="","",INDEX(Master!$H$2:$H$1001,$O160))</f>
      </c>
      <c r="I160">
        <f>IF($O160="","",INDEX(Master!$I$2:$I$1001,$O160))</f>
      </c>
      <c r="J160">
        <f>IF($O160="","",INDEX(Master!$J$2:$J$1001,$O160))</f>
      </c>
      <c r="K160">
        <f t="shared" si="4"/>
      </c>
      <c r="L160">
        <f>IF($O160="","",INDEX(Master!$K$2:$K$1001,$O160))</f>
      </c>
      <c r="M160">
        <f>IF($O160="","",INDEX(Master!$L$2:$L$1001,$O160))</f>
      </c>
      <c r="O160">
        <f t="array" ref="O160">IFERROR(SMALL(IF(Master!$A$2:$A$1001="MASHIVA STEEL AND ALLOYS LLP",ROW(Master!$A$2:$A$1001)-ROW(Master!$A$2)+1),156),"")</f>
      </c>
      <c r="P160">
        <f t="shared" si="5"/>
      </c>
    </row>
    <row r="161" spans="1:16" x14ac:dyDescent="0.25">
      <c r="A161">
        <f>IF($O161="","",INDEX(Master!$D$2:$D$1001,$O161))</f>
      </c>
      <c r="B161" s="166">
        <f>IF($O161="","",INDEX(Master!$B$2:$B$1001,$O161))</f>
      </c>
      <c r="C161">
        <f>IF($O161="","",INDEX(Master!$C$2:$C$1001,$O161))</f>
      </c>
      <c r="D161">
        <f>IF($O161="","",INDEX(Master!$A$2:$A$1001,$O161))</f>
      </c>
      <c r="E161">
        <f>IF($O161="","",INDEX(Master!$E$2:$E$1001,$O161))</f>
      </c>
      <c r="F161">
        <f>IF($O161="","",INDEX(Master!$F$2:$F$1001,$O161))</f>
      </c>
      <c r="G161">
        <f>IF($O161="","",INDEX(Master!$G$2:$G$1001,$O161))</f>
      </c>
      <c r="H161">
        <f>IF($O161="","",INDEX(Master!$H$2:$H$1001,$O161))</f>
      </c>
      <c r="I161">
        <f>IF($O161="","",INDEX(Master!$I$2:$I$1001,$O161))</f>
      </c>
      <c r="J161">
        <f>IF($O161="","",INDEX(Master!$J$2:$J$1001,$O161))</f>
      </c>
      <c r="K161">
        <f t="shared" si="4"/>
      </c>
      <c r="L161">
        <f>IF($O161="","",INDEX(Master!$K$2:$K$1001,$O161))</f>
      </c>
      <c r="M161">
        <f>IF($O161="","",INDEX(Master!$L$2:$L$1001,$O161))</f>
      </c>
      <c r="O161">
        <f t="array" ref="O161">IFERROR(SMALL(IF(Master!$A$2:$A$1001="MASHIVA STEEL AND ALLOYS LLP",ROW(Master!$A$2:$A$1001)-ROW(Master!$A$2)+1),157),"")</f>
      </c>
      <c r="P161">
        <f t="shared" si="5"/>
      </c>
    </row>
    <row r="162" spans="1:16" x14ac:dyDescent="0.25">
      <c r="A162">
        <f>IF($O162="","",INDEX(Master!$D$2:$D$1001,$O162))</f>
      </c>
      <c r="B162" s="166">
        <f>IF($O162="","",INDEX(Master!$B$2:$B$1001,$O162))</f>
      </c>
      <c r="C162">
        <f>IF($O162="","",INDEX(Master!$C$2:$C$1001,$O162))</f>
      </c>
      <c r="D162">
        <f>IF($O162="","",INDEX(Master!$A$2:$A$1001,$O162))</f>
      </c>
      <c r="E162">
        <f>IF($O162="","",INDEX(Master!$E$2:$E$1001,$O162))</f>
      </c>
      <c r="F162">
        <f>IF($O162="","",INDEX(Master!$F$2:$F$1001,$O162))</f>
      </c>
      <c r="G162">
        <f>IF($O162="","",INDEX(Master!$G$2:$G$1001,$O162))</f>
      </c>
      <c r="H162">
        <f>IF($O162="","",INDEX(Master!$H$2:$H$1001,$O162))</f>
      </c>
      <c r="I162">
        <f>IF($O162="","",INDEX(Master!$I$2:$I$1001,$O162))</f>
      </c>
      <c r="J162">
        <f>IF($O162="","",INDEX(Master!$J$2:$J$1001,$O162))</f>
      </c>
      <c r="K162">
        <f t="shared" si="4"/>
      </c>
      <c r="L162">
        <f>IF($O162="","",INDEX(Master!$K$2:$K$1001,$O162))</f>
      </c>
      <c r="M162">
        <f>IF($O162="","",INDEX(Master!$L$2:$L$1001,$O162))</f>
      </c>
      <c r="O162">
        <f t="array" ref="O162">IFERROR(SMALL(IF(Master!$A$2:$A$1001="MASHIVA STEEL AND ALLOYS LLP",ROW(Master!$A$2:$A$1001)-ROW(Master!$A$2)+1),158),"")</f>
      </c>
      <c r="P162">
        <f t="shared" si="5"/>
      </c>
    </row>
    <row r="163" spans="1:16" x14ac:dyDescent="0.25">
      <c r="A163">
        <f>IF($O163="","",INDEX(Master!$D$2:$D$1001,$O163))</f>
      </c>
      <c r="B163" s="166">
        <f>IF($O163="","",INDEX(Master!$B$2:$B$1001,$O163))</f>
      </c>
      <c r="C163">
        <f>IF($O163="","",INDEX(Master!$C$2:$C$1001,$O163))</f>
      </c>
      <c r="D163">
        <f>IF($O163="","",INDEX(Master!$A$2:$A$1001,$O163))</f>
      </c>
      <c r="E163">
        <f>IF($O163="","",INDEX(Master!$E$2:$E$1001,$O163))</f>
      </c>
      <c r="F163">
        <f>IF($O163="","",INDEX(Master!$F$2:$F$1001,$O163))</f>
      </c>
      <c r="G163">
        <f>IF($O163="","",INDEX(Master!$G$2:$G$1001,$O163))</f>
      </c>
      <c r="H163">
        <f>IF($O163="","",INDEX(Master!$H$2:$H$1001,$O163))</f>
      </c>
      <c r="I163">
        <f>IF($O163="","",INDEX(Master!$I$2:$I$1001,$O163))</f>
      </c>
      <c r="J163">
        <f>IF($O163="","",INDEX(Master!$J$2:$J$1001,$O163))</f>
      </c>
      <c r="K163">
        <f t="shared" si="4"/>
      </c>
      <c r="L163">
        <f>IF($O163="","",INDEX(Master!$K$2:$K$1001,$O163))</f>
      </c>
      <c r="M163">
        <f>IF($O163="","",INDEX(Master!$L$2:$L$1001,$O163))</f>
      </c>
      <c r="O163">
        <f t="array" ref="O163">IFERROR(SMALL(IF(Master!$A$2:$A$1001="MASHIVA STEEL AND ALLOYS LLP",ROW(Master!$A$2:$A$1001)-ROW(Master!$A$2)+1),159),"")</f>
      </c>
      <c r="P163">
        <f t="shared" si="5"/>
      </c>
    </row>
    <row r="164" spans="1:16" x14ac:dyDescent="0.25">
      <c r="A164">
        <f>IF($O164="","",INDEX(Master!$D$2:$D$1001,$O164))</f>
      </c>
      <c r="B164" s="166">
        <f>IF($O164="","",INDEX(Master!$B$2:$B$1001,$O164))</f>
      </c>
      <c r="C164">
        <f>IF($O164="","",INDEX(Master!$C$2:$C$1001,$O164))</f>
      </c>
      <c r="D164">
        <f>IF($O164="","",INDEX(Master!$A$2:$A$1001,$O164))</f>
      </c>
      <c r="E164">
        <f>IF($O164="","",INDEX(Master!$E$2:$E$1001,$O164))</f>
      </c>
      <c r="F164">
        <f>IF($O164="","",INDEX(Master!$F$2:$F$1001,$O164))</f>
      </c>
      <c r="G164">
        <f>IF($O164="","",INDEX(Master!$G$2:$G$1001,$O164))</f>
      </c>
      <c r="H164">
        <f>IF($O164="","",INDEX(Master!$H$2:$H$1001,$O164))</f>
      </c>
      <c r="I164">
        <f>IF($O164="","",INDEX(Master!$I$2:$I$1001,$O164))</f>
      </c>
      <c r="J164">
        <f>IF($O164="","",INDEX(Master!$J$2:$J$1001,$O164))</f>
      </c>
      <c r="K164">
        <f t="shared" si="4"/>
      </c>
      <c r="L164">
        <f>IF($O164="","",INDEX(Master!$K$2:$K$1001,$O164))</f>
      </c>
      <c r="M164">
        <f>IF($O164="","",INDEX(Master!$L$2:$L$1001,$O164))</f>
      </c>
      <c r="O164">
        <f t="array" ref="O164">IFERROR(SMALL(IF(Master!$A$2:$A$1001="MASHIVA STEEL AND ALLOYS LLP",ROW(Master!$A$2:$A$1001)-ROW(Master!$A$2)+1),160),"")</f>
      </c>
      <c r="P164">
        <f t="shared" si="5"/>
      </c>
    </row>
    <row r="165" spans="1:16" x14ac:dyDescent="0.25">
      <c r="A165">
        <f>IF($O165="","",INDEX(Master!$D$2:$D$1001,$O165))</f>
      </c>
      <c r="B165" s="166">
        <f>IF($O165="","",INDEX(Master!$B$2:$B$1001,$O165))</f>
      </c>
      <c r="C165">
        <f>IF($O165="","",INDEX(Master!$C$2:$C$1001,$O165))</f>
      </c>
      <c r="D165">
        <f>IF($O165="","",INDEX(Master!$A$2:$A$1001,$O165))</f>
      </c>
      <c r="E165">
        <f>IF($O165="","",INDEX(Master!$E$2:$E$1001,$O165))</f>
      </c>
      <c r="F165">
        <f>IF($O165="","",INDEX(Master!$F$2:$F$1001,$O165))</f>
      </c>
      <c r="G165">
        <f>IF($O165="","",INDEX(Master!$G$2:$G$1001,$O165))</f>
      </c>
      <c r="H165">
        <f>IF($O165="","",INDEX(Master!$H$2:$H$1001,$O165))</f>
      </c>
      <c r="I165">
        <f>IF($O165="","",INDEX(Master!$I$2:$I$1001,$O165))</f>
      </c>
      <c r="J165">
        <f>IF($O165="","",INDEX(Master!$J$2:$J$1001,$O165))</f>
      </c>
      <c r="K165">
        <f t="shared" si="4"/>
      </c>
      <c r="L165">
        <f>IF($O165="","",INDEX(Master!$K$2:$K$1001,$O165))</f>
      </c>
      <c r="M165">
        <f>IF($O165="","",INDEX(Master!$L$2:$L$1001,$O165))</f>
      </c>
      <c r="O165">
        <f t="array" ref="O165">IFERROR(SMALL(IF(Master!$A$2:$A$1001="MASHIVA STEEL AND ALLOYS LLP",ROW(Master!$A$2:$A$1001)-ROW(Master!$A$2)+1),161),"")</f>
      </c>
      <c r="P165">
        <f t="shared" si="5"/>
      </c>
    </row>
    <row r="166" spans="1:16" x14ac:dyDescent="0.25">
      <c r="A166">
        <f>IF($O166="","",INDEX(Master!$D$2:$D$1001,$O166))</f>
      </c>
      <c r="B166" s="166">
        <f>IF($O166="","",INDEX(Master!$B$2:$B$1001,$O166))</f>
      </c>
      <c r="C166">
        <f>IF($O166="","",INDEX(Master!$C$2:$C$1001,$O166))</f>
      </c>
      <c r="D166">
        <f>IF($O166="","",INDEX(Master!$A$2:$A$1001,$O166))</f>
      </c>
      <c r="E166">
        <f>IF($O166="","",INDEX(Master!$E$2:$E$1001,$O166))</f>
      </c>
      <c r="F166">
        <f>IF($O166="","",INDEX(Master!$F$2:$F$1001,$O166))</f>
      </c>
      <c r="G166">
        <f>IF($O166="","",INDEX(Master!$G$2:$G$1001,$O166))</f>
      </c>
      <c r="H166">
        <f>IF($O166="","",INDEX(Master!$H$2:$H$1001,$O166))</f>
      </c>
      <c r="I166">
        <f>IF($O166="","",INDEX(Master!$I$2:$I$1001,$O166))</f>
      </c>
      <c r="J166">
        <f>IF($O166="","",INDEX(Master!$J$2:$J$1001,$O166))</f>
      </c>
      <c r="K166">
        <f t="shared" si="4"/>
      </c>
      <c r="L166">
        <f>IF($O166="","",INDEX(Master!$K$2:$K$1001,$O166))</f>
      </c>
      <c r="M166">
        <f>IF($O166="","",INDEX(Master!$L$2:$L$1001,$O166))</f>
      </c>
      <c r="O166">
        <f t="array" ref="O166">IFERROR(SMALL(IF(Master!$A$2:$A$1001="MASHIVA STEEL AND ALLOYS LLP",ROW(Master!$A$2:$A$1001)-ROW(Master!$A$2)+1),162),"")</f>
      </c>
      <c r="P166">
        <f t="shared" si="5"/>
      </c>
    </row>
    <row r="167" spans="1:16" x14ac:dyDescent="0.25">
      <c r="A167">
        <f>IF($O167="","",INDEX(Master!$D$2:$D$1001,$O167))</f>
      </c>
      <c r="B167" s="166">
        <f>IF($O167="","",INDEX(Master!$B$2:$B$1001,$O167))</f>
      </c>
      <c r="C167">
        <f>IF($O167="","",INDEX(Master!$C$2:$C$1001,$O167))</f>
      </c>
      <c r="D167">
        <f>IF($O167="","",INDEX(Master!$A$2:$A$1001,$O167))</f>
      </c>
      <c r="E167">
        <f>IF($O167="","",INDEX(Master!$E$2:$E$1001,$O167))</f>
      </c>
      <c r="F167">
        <f>IF($O167="","",INDEX(Master!$F$2:$F$1001,$O167))</f>
      </c>
      <c r="G167">
        <f>IF($O167="","",INDEX(Master!$G$2:$G$1001,$O167))</f>
      </c>
      <c r="H167">
        <f>IF($O167="","",INDEX(Master!$H$2:$H$1001,$O167))</f>
      </c>
      <c r="I167">
        <f>IF($O167="","",INDEX(Master!$I$2:$I$1001,$O167))</f>
      </c>
      <c r="J167">
        <f>IF($O167="","",INDEX(Master!$J$2:$J$1001,$O167))</f>
      </c>
      <c r="K167">
        <f t="shared" si="4"/>
      </c>
      <c r="L167">
        <f>IF($O167="","",INDEX(Master!$K$2:$K$1001,$O167))</f>
      </c>
      <c r="M167">
        <f>IF($O167="","",INDEX(Master!$L$2:$L$1001,$O167))</f>
      </c>
      <c r="O167">
        <f t="array" ref="O167">IFERROR(SMALL(IF(Master!$A$2:$A$1001="MASHIVA STEEL AND ALLOYS LLP",ROW(Master!$A$2:$A$1001)-ROW(Master!$A$2)+1),163),"")</f>
      </c>
      <c r="P167">
        <f t="shared" si="5"/>
      </c>
    </row>
    <row r="168" spans="1:16" x14ac:dyDescent="0.25">
      <c r="A168">
        <f>IF($O168="","",INDEX(Master!$D$2:$D$1001,$O168))</f>
      </c>
      <c r="B168" s="166">
        <f>IF($O168="","",INDEX(Master!$B$2:$B$1001,$O168))</f>
      </c>
      <c r="C168">
        <f>IF($O168="","",INDEX(Master!$C$2:$C$1001,$O168))</f>
      </c>
      <c r="D168">
        <f>IF($O168="","",INDEX(Master!$A$2:$A$1001,$O168))</f>
      </c>
      <c r="E168">
        <f>IF($O168="","",INDEX(Master!$E$2:$E$1001,$O168))</f>
      </c>
      <c r="F168">
        <f>IF($O168="","",INDEX(Master!$F$2:$F$1001,$O168))</f>
      </c>
      <c r="G168">
        <f>IF($O168="","",INDEX(Master!$G$2:$G$1001,$O168))</f>
      </c>
      <c r="H168">
        <f>IF($O168="","",INDEX(Master!$H$2:$H$1001,$O168))</f>
      </c>
      <c r="I168">
        <f>IF($O168="","",INDEX(Master!$I$2:$I$1001,$O168))</f>
      </c>
      <c r="J168">
        <f>IF($O168="","",INDEX(Master!$J$2:$J$1001,$O168))</f>
      </c>
      <c r="K168">
        <f t="shared" si="4"/>
      </c>
      <c r="L168">
        <f>IF($O168="","",INDEX(Master!$K$2:$K$1001,$O168))</f>
      </c>
      <c r="M168">
        <f>IF($O168="","",INDEX(Master!$L$2:$L$1001,$O168))</f>
      </c>
      <c r="O168">
        <f t="array" ref="O168">IFERROR(SMALL(IF(Master!$A$2:$A$1001="MASHIVA STEEL AND ALLOYS LLP",ROW(Master!$A$2:$A$1001)-ROW(Master!$A$2)+1),164),"")</f>
      </c>
      <c r="P168">
        <f t="shared" si="5"/>
      </c>
    </row>
    <row r="169" spans="1:16" x14ac:dyDescent="0.25">
      <c r="A169">
        <f>IF($O169="","",INDEX(Master!$D$2:$D$1001,$O169))</f>
      </c>
      <c r="B169" s="166">
        <f>IF($O169="","",INDEX(Master!$B$2:$B$1001,$O169))</f>
      </c>
      <c r="C169">
        <f>IF($O169="","",INDEX(Master!$C$2:$C$1001,$O169))</f>
      </c>
      <c r="D169">
        <f>IF($O169="","",INDEX(Master!$A$2:$A$1001,$O169))</f>
      </c>
      <c r="E169">
        <f>IF($O169="","",INDEX(Master!$E$2:$E$1001,$O169))</f>
      </c>
      <c r="F169">
        <f>IF($O169="","",INDEX(Master!$F$2:$F$1001,$O169))</f>
      </c>
      <c r="G169">
        <f>IF($O169="","",INDEX(Master!$G$2:$G$1001,$O169))</f>
      </c>
      <c r="H169">
        <f>IF($O169="","",INDEX(Master!$H$2:$H$1001,$O169))</f>
      </c>
      <c r="I169">
        <f>IF($O169="","",INDEX(Master!$I$2:$I$1001,$O169))</f>
      </c>
      <c r="J169">
        <f>IF($O169="","",INDEX(Master!$J$2:$J$1001,$O169))</f>
      </c>
      <c r="K169">
        <f t="shared" si="4"/>
      </c>
      <c r="L169">
        <f>IF($O169="","",INDEX(Master!$K$2:$K$1001,$O169))</f>
      </c>
      <c r="M169">
        <f>IF($O169="","",INDEX(Master!$L$2:$L$1001,$O169))</f>
      </c>
      <c r="O169">
        <f t="array" ref="O169">IFERROR(SMALL(IF(Master!$A$2:$A$1001="MASHIVA STEEL AND ALLOYS LLP",ROW(Master!$A$2:$A$1001)-ROW(Master!$A$2)+1),165),"")</f>
      </c>
      <c r="P169">
        <f t="shared" si="5"/>
      </c>
    </row>
    <row r="170" spans="1:16" x14ac:dyDescent="0.25">
      <c r="A170">
        <f>IF($O170="","",INDEX(Master!$D$2:$D$1001,$O170))</f>
      </c>
      <c r="B170" s="166">
        <f>IF($O170="","",INDEX(Master!$B$2:$B$1001,$O170))</f>
      </c>
      <c r="C170">
        <f>IF($O170="","",INDEX(Master!$C$2:$C$1001,$O170))</f>
      </c>
      <c r="D170">
        <f>IF($O170="","",INDEX(Master!$A$2:$A$1001,$O170))</f>
      </c>
      <c r="E170">
        <f>IF($O170="","",INDEX(Master!$E$2:$E$1001,$O170))</f>
      </c>
      <c r="F170">
        <f>IF($O170="","",INDEX(Master!$F$2:$F$1001,$O170))</f>
      </c>
      <c r="G170">
        <f>IF($O170="","",INDEX(Master!$G$2:$G$1001,$O170))</f>
      </c>
      <c r="H170">
        <f>IF($O170="","",INDEX(Master!$H$2:$H$1001,$O170))</f>
      </c>
      <c r="I170">
        <f>IF($O170="","",INDEX(Master!$I$2:$I$1001,$O170))</f>
      </c>
      <c r="J170">
        <f>IF($O170="","",INDEX(Master!$J$2:$J$1001,$O170))</f>
      </c>
      <c r="K170">
        <f t="shared" si="4"/>
      </c>
      <c r="L170">
        <f>IF($O170="","",INDEX(Master!$K$2:$K$1001,$O170))</f>
      </c>
      <c r="M170">
        <f>IF($O170="","",INDEX(Master!$L$2:$L$1001,$O170))</f>
      </c>
      <c r="O170">
        <f t="array" ref="O170">IFERROR(SMALL(IF(Master!$A$2:$A$1001="MASHIVA STEEL AND ALLOYS LLP",ROW(Master!$A$2:$A$1001)-ROW(Master!$A$2)+1),166),"")</f>
      </c>
      <c r="P170">
        <f t="shared" si="5"/>
      </c>
    </row>
    <row r="171" spans="1:16" x14ac:dyDescent="0.25">
      <c r="A171">
        <f>IF($O171="","",INDEX(Master!$D$2:$D$1001,$O171))</f>
      </c>
      <c r="B171" s="166">
        <f>IF($O171="","",INDEX(Master!$B$2:$B$1001,$O171))</f>
      </c>
      <c r="C171">
        <f>IF($O171="","",INDEX(Master!$C$2:$C$1001,$O171))</f>
      </c>
      <c r="D171">
        <f>IF($O171="","",INDEX(Master!$A$2:$A$1001,$O171))</f>
      </c>
      <c r="E171">
        <f>IF($O171="","",INDEX(Master!$E$2:$E$1001,$O171))</f>
      </c>
      <c r="F171">
        <f>IF($O171="","",INDEX(Master!$F$2:$F$1001,$O171))</f>
      </c>
      <c r="G171">
        <f>IF($O171="","",INDEX(Master!$G$2:$G$1001,$O171))</f>
      </c>
      <c r="H171">
        <f>IF($O171="","",INDEX(Master!$H$2:$H$1001,$O171))</f>
      </c>
      <c r="I171">
        <f>IF($O171="","",INDEX(Master!$I$2:$I$1001,$O171))</f>
      </c>
      <c r="J171">
        <f>IF($O171="","",INDEX(Master!$J$2:$J$1001,$O171))</f>
      </c>
      <c r="K171">
        <f t="shared" si="4"/>
      </c>
      <c r="L171">
        <f>IF($O171="","",INDEX(Master!$K$2:$K$1001,$O171))</f>
      </c>
      <c r="M171">
        <f>IF($O171="","",INDEX(Master!$L$2:$L$1001,$O171))</f>
      </c>
      <c r="O171">
        <f t="array" ref="O171">IFERROR(SMALL(IF(Master!$A$2:$A$1001="MASHIVA STEEL AND ALLOYS LLP",ROW(Master!$A$2:$A$1001)-ROW(Master!$A$2)+1),167),"")</f>
      </c>
      <c r="P171">
        <f t="shared" si="5"/>
      </c>
    </row>
    <row r="172" spans="1:16" x14ac:dyDescent="0.25">
      <c r="A172">
        <f>IF($O172="","",INDEX(Master!$D$2:$D$1001,$O172))</f>
      </c>
      <c r="B172" s="166">
        <f>IF($O172="","",INDEX(Master!$B$2:$B$1001,$O172))</f>
      </c>
      <c r="C172">
        <f>IF($O172="","",INDEX(Master!$C$2:$C$1001,$O172))</f>
      </c>
      <c r="D172">
        <f>IF($O172="","",INDEX(Master!$A$2:$A$1001,$O172))</f>
      </c>
      <c r="E172">
        <f>IF($O172="","",INDEX(Master!$E$2:$E$1001,$O172))</f>
      </c>
      <c r="F172">
        <f>IF($O172="","",INDEX(Master!$F$2:$F$1001,$O172))</f>
      </c>
      <c r="G172">
        <f>IF($O172="","",INDEX(Master!$G$2:$G$1001,$O172))</f>
      </c>
      <c r="H172">
        <f>IF($O172="","",INDEX(Master!$H$2:$H$1001,$O172))</f>
      </c>
      <c r="I172">
        <f>IF($O172="","",INDEX(Master!$I$2:$I$1001,$O172))</f>
      </c>
      <c r="J172">
        <f>IF($O172="","",INDEX(Master!$J$2:$J$1001,$O172))</f>
      </c>
      <c r="K172">
        <f t="shared" si="4"/>
      </c>
      <c r="L172">
        <f>IF($O172="","",INDEX(Master!$K$2:$K$1001,$O172))</f>
      </c>
      <c r="M172">
        <f>IF($O172="","",INDEX(Master!$L$2:$L$1001,$O172))</f>
      </c>
      <c r="O172">
        <f t="array" ref="O172">IFERROR(SMALL(IF(Master!$A$2:$A$1001="MASHIVA STEEL AND ALLOYS LLP",ROW(Master!$A$2:$A$1001)-ROW(Master!$A$2)+1),168),"")</f>
      </c>
      <c r="P172">
        <f t="shared" si="5"/>
      </c>
    </row>
    <row r="173" spans="1:16" x14ac:dyDescent="0.25">
      <c r="A173">
        <f>IF($O173="","",INDEX(Master!$D$2:$D$1001,$O173))</f>
      </c>
      <c r="B173" s="166">
        <f>IF($O173="","",INDEX(Master!$B$2:$B$1001,$O173))</f>
      </c>
      <c r="C173">
        <f>IF($O173="","",INDEX(Master!$C$2:$C$1001,$O173))</f>
      </c>
      <c r="D173">
        <f>IF($O173="","",INDEX(Master!$A$2:$A$1001,$O173))</f>
      </c>
      <c r="E173">
        <f>IF($O173="","",INDEX(Master!$E$2:$E$1001,$O173))</f>
      </c>
      <c r="F173">
        <f>IF($O173="","",INDEX(Master!$F$2:$F$1001,$O173))</f>
      </c>
      <c r="G173">
        <f>IF($O173="","",INDEX(Master!$G$2:$G$1001,$O173))</f>
      </c>
      <c r="H173">
        <f>IF($O173="","",INDEX(Master!$H$2:$H$1001,$O173))</f>
      </c>
      <c r="I173">
        <f>IF($O173="","",INDEX(Master!$I$2:$I$1001,$O173))</f>
      </c>
      <c r="J173">
        <f>IF($O173="","",INDEX(Master!$J$2:$J$1001,$O173))</f>
      </c>
      <c r="K173">
        <f t="shared" si="4"/>
      </c>
      <c r="L173">
        <f>IF($O173="","",INDEX(Master!$K$2:$K$1001,$O173))</f>
      </c>
      <c r="M173">
        <f>IF($O173="","",INDEX(Master!$L$2:$L$1001,$O173))</f>
      </c>
      <c r="O173">
        <f t="array" ref="O173">IFERROR(SMALL(IF(Master!$A$2:$A$1001="MASHIVA STEEL AND ALLOYS LLP",ROW(Master!$A$2:$A$1001)-ROW(Master!$A$2)+1),169),"")</f>
      </c>
      <c r="P173">
        <f t="shared" si="5"/>
      </c>
    </row>
    <row r="174" spans="1:16" x14ac:dyDescent="0.25">
      <c r="A174">
        <f>IF($O174="","",INDEX(Master!$D$2:$D$1001,$O174))</f>
      </c>
      <c r="B174" s="166">
        <f>IF($O174="","",INDEX(Master!$B$2:$B$1001,$O174))</f>
      </c>
      <c r="C174">
        <f>IF($O174="","",INDEX(Master!$C$2:$C$1001,$O174))</f>
      </c>
      <c r="D174">
        <f>IF($O174="","",INDEX(Master!$A$2:$A$1001,$O174))</f>
      </c>
      <c r="E174">
        <f>IF($O174="","",INDEX(Master!$E$2:$E$1001,$O174))</f>
      </c>
      <c r="F174">
        <f>IF($O174="","",INDEX(Master!$F$2:$F$1001,$O174))</f>
      </c>
      <c r="G174">
        <f>IF($O174="","",INDEX(Master!$G$2:$G$1001,$O174))</f>
      </c>
      <c r="H174">
        <f>IF($O174="","",INDEX(Master!$H$2:$H$1001,$O174))</f>
      </c>
      <c r="I174">
        <f>IF($O174="","",INDEX(Master!$I$2:$I$1001,$O174))</f>
      </c>
      <c r="J174">
        <f>IF($O174="","",INDEX(Master!$J$2:$J$1001,$O174))</f>
      </c>
      <c r="K174">
        <f t="shared" si="4"/>
      </c>
      <c r="L174">
        <f>IF($O174="","",INDEX(Master!$K$2:$K$1001,$O174))</f>
      </c>
      <c r="M174">
        <f>IF($O174="","",INDEX(Master!$L$2:$L$1001,$O174))</f>
      </c>
      <c r="O174">
        <f t="array" ref="O174">IFERROR(SMALL(IF(Master!$A$2:$A$1001="MASHIVA STEEL AND ALLOYS LLP",ROW(Master!$A$2:$A$1001)-ROW(Master!$A$2)+1),170),"")</f>
      </c>
      <c r="P174">
        <f t="shared" si="5"/>
      </c>
    </row>
    <row r="175" spans="1:16" x14ac:dyDescent="0.25">
      <c r="A175">
        <f>IF($O175="","",INDEX(Master!$D$2:$D$1001,$O175))</f>
      </c>
      <c r="B175" s="166">
        <f>IF($O175="","",INDEX(Master!$B$2:$B$1001,$O175))</f>
      </c>
      <c r="C175">
        <f>IF($O175="","",INDEX(Master!$C$2:$C$1001,$O175))</f>
      </c>
      <c r="D175">
        <f>IF($O175="","",INDEX(Master!$A$2:$A$1001,$O175))</f>
      </c>
      <c r="E175">
        <f>IF($O175="","",INDEX(Master!$E$2:$E$1001,$O175))</f>
      </c>
      <c r="F175">
        <f>IF($O175="","",INDEX(Master!$F$2:$F$1001,$O175))</f>
      </c>
      <c r="G175">
        <f>IF($O175="","",INDEX(Master!$G$2:$G$1001,$O175))</f>
      </c>
      <c r="H175">
        <f>IF($O175="","",INDEX(Master!$H$2:$H$1001,$O175))</f>
      </c>
      <c r="I175">
        <f>IF($O175="","",INDEX(Master!$I$2:$I$1001,$O175))</f>
      </c>
      <c r="J175">
        <f>IF($O175="","",INDEX(Master!$J$2:$J$1001,$O175))</f>
      </c>
      <c r="K175">
        <f t="shared" si="4"/>
      </c>
      <c r="L175">
        <f>IF($O175="","",INDEX(Master!$K$2:$K$1001,$O175))</f>
      </c>
      <c r="M175">
        <f>IF($O175="","",INDEX(Master!$L$2:$L$1001,$O175))</f>
      </c>
      <c r="O175">
        <f t="array" ref="O175">IFERROR(SMALL(IF(Master!$A$2:$A$1001="MASHIVA STEEL AND ALLOYS LLP",ROW(Master!$A$2:$A$1001)-ROW(Master!$A$2)+1),171),"")</f>
      </c>
      <c r="P175">
        <f t="shared" si="5"/>
      </c>
    </row>
    <row r="176" spans="1:16" x14ac:dyDescent="0.25">
      <c r="A176">
        <f>IF($O176="","",INDEX(Master!$D$2:$D$1001,$O176))</f>
      </c>
      <c r="B176" s="166">
        <f>IF($O176="","",INDEX(Master!$B$2:$B$1001,$O176))</f>
      </c>
      <c r="C176">
        <f>IF($O176="","",INDEX(Master!$C$2:$C$1001,$O176))</f>
      </c>
      <c r="D176">
        <f>IF($O176="","",INDEX(Master!$A$2:$A$1001,$O176))</f>
      </c>
      <c r="E176">
        <f>IF($O176="","",INDEX(Master!$E$2:$E$1001,$O176))</f>
      </c>
      <c r="F176">
        <f>IF($O176="","",INDEX(Master!$F$2:$F$1001,$O176))</f>
      </c>
      <c r="G176">
        <f>IF($O176="","",INDEX(Master!$G$2:$G$1001,$O176))</f>
      </c>
      <c r="H176">
        <f>IF($O176="","",INDEX(Master!$H$2:$H$1001,$O176))</f>
      </c>
      <c r="I176">
        <f>IF($O176="","",INDEX(Master!$I$2:$I$1001,$O176))</f>
      </c>
      <c r="J176">
        <f>IF($O176="","",INDEX(Master!$J$2:$J$1001,$O176))</f>
      </c>
      <c r="K176">
        <f t="shared" si="4"/>
      </c>
      <c r="L176">
        <f>IF($O176="","",INDEX(Master!$K$2:$K$1001,$O176))</f>
      </c>
      <c r="M176">
        <f>IF($O176="","",INDEX(Master!$L$2:$L$1001,$O176))</f>
      </c>
      <c r="O176">
        <f t="array" ref="O176">IFERROR(SMALL(IF(Master!$A$2:$A$1001="MASHIVA STEEL AND ALLOYS LLP",ROW(Master!$A$2:$A$1001)-ROW(Master!$A$2)+1),172),"")</f>
      </c>
      <c r="P176">
        <f t="shared" si="5"/>
      </c>
    </row>
    <row r="177" spans="1:16" x14ac:dyDescent="0.25">
      <c r="A177">
        <f>IF($O177="","",INDEX(Master!$D$2:$D$1001,$O177))</f>
      </c>
      <c r="B177" s="166">
        <f>IF($O177="","",INDEX(Master!$B$2:$B$1001,$O177))</f>
      </c>
      <c r="C177">
        <f>IF($O177="","",INDEX(Master!$C$2:$C$1001,$O177))</f>
      </c>
      <c r="D177">
        <f>IF($O177="","",INDEX(Master!$A$2:$A$1001,$O177))</f>
      </c>
      <c r="E177">
        <f>IF($O177="","",INDEX(Master!$E$2:$E$1001,$O177))</f>
      </c>
      <c r="F177">
        <f>IF($O177="","",INDEX(Master!$F$2:$F$1001,$O177))</f>
      </c>
      <c r="G177">
        <f>IF($O177="","",INDEX(Master!$G$2:$G$1001,$O177))</f>
      </c>
      <c r="H177">
        <f>IF($O177="","",INDEX(Master!$H$2:$H$1001,$O177))</f>
      </c>
      <c r="I177">
        <f>IF($O177="","",INDEX(Master!$I$2:$I$1001,$O177))</f>
      </c>
      <c r="J177">
        <f>IF($O177="","",INDEX(Master!$J$2:$J$1001,$O177))</f>
      </c>
      <c r="K177">
        <f t="shared" si="4"/>
      </c>
      <c r="L177">
        <f>IF($O177="","",INDEX(Master!$K$2:$K$1001,$O177))</f>
      </c>
      <c r="M177">
        <f>IF($O177="","",INDEX(Master!$L$2:$L$1001,$O177))</f>
      </c>
      <c r="O177">
        <f t="array" ref="O177">IFERROR(SMALL(IF(Master!$A$2:$A$1001="MASHIVA STEEL AND ALLOYS LLP",ROW(Master!$A$2:$A$1001)-ROW(Master!$A$2)+1),173),"")</f>
      </c>
      <c r="P177">
        <f t="shared" si="5"/>
      </c>
    </row>
    <row r="178" spans="1:16" x14ac:dyDescent="0.25">
      <c r="A178">
        <f>IF($O178="","",INDEX(Master!$D$2:$D$1001,$O178))</f>
      </c>
      <c r="B178" s="166">
        <f>IF($O178="","",INDEX(Master!$B$2:$B$1001,$O178))</f>
      </c>
      <c r="C178">
        <f>IF($O178="","",INDEX(Master!$C$2:$C$1001,$O178))</f>
      </c>
      <c r="D178">
        <f>IF($O178="","",INDEX(Master!$A$2:$A$1001,$O178))</f>
      </c>
      <c r="E178">
        <f>IF($O178="","",INDEX(Master!$E$2:$E$1001,$O178))</f>
      </c>
      <c r="F178">
        <f>IF($O178="","",INDEX(Master!$F$2:$F$1001,$O178))</f>
      </c>
      <c r="G178">
        <f>IF($O178="","",INDEX(Master!$G$2:$G$1001,$O178))</f>
      </c>
      <c r="H178">
        <f>IF($O178="","",INDEX(Master!$H$2:$H$1001,$O178))</f>
      </c>
      <c r="I178">
        <f>IF($O178="","",INDEX(Master!$I$2:$I$1001,$O178))</f>
      </c>
      <c r="J178">
        <f>IF($O178="","",INDEX(Master!$J$2:$J$1001,$O178))</f>
      </c>
      <c r="K178">
        <f t="shared" si="4"/>
      </c>
      <c r="L178">
        <f>IF($O178="","",INDEX(Master!$K$2:$K$1001,$O178))</f>
      </c>
      <c r="M178">
        <f>IF($O178="","",INDEX(Master!$L$2:$L$1001,$O178))</f>
      </c>
      <c r="O178">
        <f t="array" ref="O178">IFERROR(SMALL(IF(Master!$A$2:$A$1001="MASHIVA STEEL AND ALLOYS LLP",ROW(Master!$A$2:$A$1001)-ROW(Master!$A$2)+1),174),"")</f>
      </c>
      <c r="P178">
        <f t="shared" si="5"/>
      </c>
    </row>
    <row r="179" spans="1:16" x14ac:dyDescent="0.25">
      <c r="A179">
        <f>IF($O179="","",INDEX(Master!$D$2:$D$1001,$O179))</f>
      </c>
      <c r="B179" s="166">
        <f>IF($O179="","",INDEX(Master!$B$2:$B$1001,$O179))</f>
      </c>
      <c r="C179">
        <f>IF($O179="","",INDEX(Master!$C$2:$C$1001,$O179))</f>
      </c>
      <c r="D179">
        <f>IF($O179="","",INDEX(Master!$A$2:$A$1001,$O179))</f>
      </c>
      <c r="E179">
        <f>IF($O179="","",INDEX(Master!$E$2:$E$1001,$O179))</f>
      </c>
      <c r="F179">
        <f>IF($O179="","",INDEX(Master!$F$2:$F$1001,$O179))</f>
      </c>
      <c r="G179">
        <f>IF($O179="","",INDEX(Master!$G$2:$G$1001,$O179))</f>
      </c>
      <c r="H179">
        <f>IF($O179="","",INDEX(Master!$H$2:$H$1001,$O179))</f>
      </c>
      <c r="I179">
        <f>IF($O179="","",INDEX(Master!$I$2:$I$1001,$O179))</f>
      </c>
      <c r="J179">
        <f>IF($O179="","",INDEX(Master!$J$2:$J$1001,$O179))</f>
      </c>
      <c r="K179">
        <f t="shared" si="4"/>
      </c>
      <c r="L179">
        <f>IF($O179="","",INDEX(Master!$K$2:$K$1001,$O179))</f>
      </c>
      <c r="M179">
        <f>IF($O179="","",INDEX(Master!$L$2:$L$1001,$O179))</f>
      </c>
      <c r="O179">
        <f t="array" ref="O179">IFERROR(SMALL(IF(Master!$A$2:$A$1001="MASHIVA STEEL AND ALLOYS LLP",ROW(Master!$A$2:$A$1001)-ROW(Master!$A$2)+1),175),"")</f>
      </c>
      <c r="P179">
        <f t="shared" si="5"/>
      </c>
    </row>
    <row r="180" spans="1:16" x14ac:dyDescent="0.25">
      <c r="A180">
        <f>IF($O180="","",INDEX(Master!$D$2:$D$1001,$O180))</f>
      </c>
      <c r="B180" s="166">
        <f>IF($O180="","",INDEX(Master!$B$2:$B$1001,$O180))</f>
      </c>
      <c r="C180">
        <f>IF($O180="","",INDEX(Master!$C$2:$C$1001,$O180))</f>
      </c>
      <c r="D180">
        <f>IF($O180="","",INDEX(Master!$A$2:$A$1001,$O180))</f>
      </c>
      <c r="E180">
        <f>IF($O180="","",INDEX(Master!$E$2:$E$1001,$O180))</f>
      </c>
      <c r="F180">
        <f>IF($O180="","",INDEX(Master!$F$2:$F$1001,$O180))</f>
      </c>
      <c r="G180">
        <f>IF($O180="","",INDEX(Master!$G$2:$G$1001,$O180))</f>
      </c>
      <c r="H180">
        <f>IF($O180="","",INDEX(Master!$H$2:$H$1001,$O180))</f>
      </c>
      <c r="I180">
        <f>IF($O180="","",INDEX(Master!$I$2:$I$1001,$O180))</f>
      </c>
      <c r="J180">
        <f>IF($O180="","",INDEX(Master!$J$2:$J$1001,$O180))</f>
      </c>
      <c r="K180">
        <f t="shared" si="4"/>
      </c>
      <c r="L180">
        <f>IF($O180="","",INDEX(Master!$K$2:$K$1001,$O180))</f>
      </c>
      <c r="M180">
        <f>IF($O180="","",INDEX(Master!$L$2:$L$1001,$O180))</f>
      </c>
      <c r="O180">
        <f t="array" ref="O180">IFERROR(SMALL(IF(Master!$A$2:$A$1001="MASHIVA STEEL AND ALLOYS LLP",ROW(Master!$A$2:$A$1001)-ROW(Master!$A$2)+1),176),"")</f>
      </c>
      <c r="P180">
        <f t="shared" si="5"/>
      </c>
    </row>
    <row r="181" spans="1:16" x14ac:dyDescent="0.25">
      <c r="A181">
        <f>IF($O181="","",INDEX(Master!$D$2:$D$1001,$O181))</f>
      </c>
      <c r="B181" s="166">
        <f>IF($O181="","",INDEX(Master!$B$2:$B$1001,$O181))</f>
      </c>
      <c r="C181">
        <f>IF($O181="","",INDEX(Master!$C$2:$C$1001,$O181))</f>
      </c>
      <c r="D181">
        <f>IF($O181="","",INDEX(Master!$A$2:$A$1001,$O181))</f>
      </c>
      <c r="E181">
        <f>IF($O181="","",INDEX(Master!$E$2:$E$1001,$O181))</f>
      </c>
      <c r="F181">
        <f>IF($O181="","",INDEX(Master!$F$2:$F$1001,$O181))</f>
      </c>
      <c r="G181">
        <f>IF($O181="","",INDEX(Master!$G$2:$G$1001,$O181))</f>
      </c>
      <c r="H181">
        <f>IF($O181="","",INDEX(Master!$H$2:$H$1001,$O181))</f>
      </c>
      <c r="I181">
        <f>IF($O181="","",INDEX(Master!$I$2:$I$1001,$O181))</f>
      </c>
      <c r="J181">
        <f>IF($O181="","",INDEX(Master!$J$2:$J$1001,$O181))</f>
      </c>
      <c r="K181">
        <f t="shared" si="4"/>
      </c>
      <c r="L181">
        <f>IF($O181="","",INDEX(Master!$K$2:$K$1001,$O181))</f>
      </c>
      <c r="M181">
        <f>IF($O181="","",INDEX(Master!$L$2:$L$1001,$O181))</f>
      </c>
      <c r="O181">
        <f t="array" ref="O181">IFERROR(SMALL(IF(Master!$A$2:$A$1001="MASHIVA STEEL AND ALLOYS LLP",ROW(Master!$A$2:$A$1001)-ROW(Master!$A$2)+1),177),"")</f>
      </c>
      <c r="P181">
        <f t="shared" si="5"/>
      </c>
    </row>
    <row r="182" spans="1:16" x14ac:dyDescent="0.25">
      <c r="A182">
        <f>IF($O182="","",INDEX(Master!$D$2:$D$1001,$O182))</f>
      </c>
      <c r="B182" s="166">
        <f>IF($O182="","",INDEX(Master!$B$2:$B$1001,$O182))</f>
      </c>
      <c r="C182">
        <f>IF($O182="","",INDEX(Master!$C$2:$C$1001,$O182))</f>
      </c>
      <c r="D182">
        <f>IF($O182="","",INDEX(Master!$A$2:$A$1001,$O182))</f>
      </c>
      <c r="E182">
        <f>IF($O182="","",INDEX(Master!$E$2:$E$1001,$O182))</f>
      </c>
      <c r="F182">
        <f>IF($O182="","",INDEX(Master!$F$2:$F$1001,$O182))</f>
      </c>
      <c r="G182">
        <f>IF($O182="","",INDEX(Master!$G$2:$G$1001,$O182))</f>
      </c>
      <c r="H182">
        <f>IF($O182="","",INDEX(Master!$H$2:$H$1001,$O182))</f>
      </c>
      <c r="I182">
        <f>IF($O182="","",INDEX(Master!$I$2:$I$1001,$O182))</f>
      </c>
      <c r="J182">
        <f>IF($O182="","",INDEX(Master!$J$2:$J$1001,$O182))</f>
      </c>
      <c r="K182">
        <f t="shared" si="4"/>
      </c>
      <c r="L182">
        <f>IF($O182="","",INDEX(Master!$K$2:$K$1001,$O182))</f>
      </c>
      <c r="M182">
        <f>IF($O182="","",INDEX(Master!$L$2:$L$1001,$O182))</f>
      </c>
      <c r="O182">
        <f t="array" ref="O182">IFERROR(SMALL(IF(Master!$A$2:$A$1001="MASHIVA STEEL AND ALLOYS LLP",ROW(Master!$A$2:$A$1001)-ROW(Master!$A$2)+1),178),"")</f>
      </c>
      <c r="P182">
        <f t="shared" si="5"/>
      </c>
    </row>
    <row r="183" spans="1:16" x14ac:dyDescent="0.25">
      <c r="A183">
        <f>IF($O183="","",INDEX(Master!$D$2:$D$1001,$O183))</f>
      </c>
      <c r="B183" s="166">
        <f>IF($O183="","",INDEX(Master!$B$2:$B$1001,$O183))</f>
      </c>
      <c r="C183">
        <f>IF($O183="","",INDEX(Master!$C$2:$C$1001,$O183))</f>
      </c>
      <c r="D183">
        <f>IF($O183="","",INDEX(Master!$A$2:$A$1001,$O183))</f>
      </c>
      <c r="E183">
        <f>IF($O183="","",INDEX(Master!$E$2:$E$1001,$O183))</f>
      </c>
      <c r="F183">
        <f>IF($O183="","",INDEX(Master!$F$2:$F$1001,$O183))</f>
      </c>
      <c r="G183">
        <f>IF($O183="","",INDEX(Master!$G$2:$G$1001,$O183))</f>
      </c>
      <c r="H183">
        <f>IF($O183="","",INDEX(Master!$H$2:$H$1001,$O183))</f>
      </c>
      <c r="I183">
        <f>IF($O183="","",INDEX(Master!$I$2:$I$1001,$O183))</f>
      </c>
      <c r="J183">
        <f>IF($O183="","",INDEX(Master!$J$2:$J$1001,$O183))</f>
      </c>
      <c r="K183">
        <f t="shared" si="4"/>
      </c>
      <c r="L183">
        <f>IF($O183="","",INDEX(Master!$K$2:$K$1001,$O183))</f>
      </c>
      <c r="M183">
        <f>IF($O183="","",INDEX(Master!$L$2:$L$1001,$O183))</f>
      </c>
      <c r="O183">
        <f t="array" ref="O183">IFERROR(SMALL(IF(Master!$A$2:$A$1001="MASHIVA STEEL AND ALLOYS LLP",ROW(Master!$A$2:$A$1001)-ROW(Master!$A$2)+1),179),"")</f>
      </c>
      <c r="P183">
        <f t="shared" si="5"/>
      </c>
    </row>
    <row r="184" spans="1:16" x14ac:dyDescent="0.25">
      <c r="A184">
        <f>IF($O184="","",INDEX(Master!$D$2:$D$1001,$O184))</f>
      </c>
      <c r="B184" s="166">
        <f>IF($O184="","",INDEX(Master!$B$2:$B$1001,$O184))</f>
      </c>
      <c r="C184">
        <f>IF($O184="","",INDEX(Master!$C$2:$C$1001,$O184))</f>
      </c>
      <c r="D184">
        <f>IF($O184="","",INDEX(Master!$A$2:$A$1001,$O184))</f>
      </c>
      <c r="E184">
        <f>IF($O184="","",INDEX(Master!$E$2:$E$1001,$O184))</f>
      </c>
      <c r="F184">
        <f>IF($O184="","",INDEX(Master!$F$2:$F$1001,$O184))</f>
      </c>
      <c r="G184">
        <f>IF($O184="","",INDEX(Master!$G$2:$G$1001,$O184))</f>
      </c>
      <c r="H184">
        <f>IF($O184="","",INDEX(Master!$H$2:$H$1001,$O184))</f>
      </c>
      <c r="I184">
        <f>IF($O184="","",INDEX(Master!$I$2:$I$1001,$O184))</f>
      </c>
      <c r="J184">
        <f>IF($O184="","",INDEX(Master!$J$2:$J$1001,$O184))</f>
      </c>
      <c r="K184">
        <f t="shared" si="4"/>
      </c>
      <c r="L184">
        <f>IF($O184="","",INDEX(Master!$K$2:$K$1001,$O184))</f>
      </c>
      <c r="M184">
        <f>IF($O184="","",INDEX(Master!$L$2:$L$1001,$O184))</f>
      </c>
      <c r="O184">
        <f t="array" ref="O184">IFERROR(SMALL(IF(Master!$A$2:$A$1001="MASHIVA STEEL AND ALLOYS LLP",ROW(Master!$A$2:$A$1001)-ROW(Master!$A$2)+1),180),"")</f>
      </c>
      <c r="P184">
        <f t="shared" si="5"/>
      </c>
    </row>
    <row r="185" spans="1:16" x14ac:dyDescent="0.25">
      <c r="A185">
        <f>IF($O185="","",INDEX(Master!$D$2:$D$1001,$O185))</f>
      </c>
      <c r="B185" s="166">
        <f>IF($O185="","",INDEX(Master!$B$2:$B$1001,$O185))</f>
      </c>
      <c r="C185">
        <f>IF($O185="","",INDEX(Master!$C$2:$C$1001,$O185))</f>
      </c>
      <c r="D185">
        <f>IF($O185="","",INDEX(Master!$A$2:$A$1001,$O185))</f>
      </c>
      <c r="E185">
        <f>IF($O185="","",INDEX(Master!$E$2:$E$1001,$O185))</f>
      </c>
      <c r="F185">
        <f>IF($O185="","",INDEX(Master!$F$2:$F$1001,$O185))</f>
      </c>
      <c r="G185">
        <f>IF($O185="","",INDEX(Master!$G$2:$G$1001,$O185))</f>
      </c>
      <c r="H185">
        <f>IF($O185="","",INDEX(Master!$H$2:$H$1001,$O185))</f>
      </c>
      <c r="I185">
        <f>IF($O185="","",INDEX(Master!$I$2:$I$1001,$O185))</f>
      </c>
      <c r="J185">
        <f>IF($O185="","",INDEX(Master!$J$2:$J$1001,$O185))</f>
      </c>
      <c r="K185">
        <f t="shared" si="4"/>
      </c>
      <c r="L185">
        <f>IF($O185="","",INDEX(Master!$K$2:$K$1001,$O185))</f>
      </c>
      <c r="M185">
        <f>IF($O185="","",INDEX(Master!$L$2:$L$1001,$O185))</f>
      </c>
      <c r="O185">
        <f t="array" ref="O185">IFERROR(SMALL(IF(Master!$A$2:$A$1001="MASHIVA STEEL AND ALLOYS LLP",ROW(Master!$A$2:$A$1001)-ROW(Master!$A$2)+1),181),"")</f>
      </c>
      <c r="P185">
        <f t="shared" si="5"/>
      </c>
    </row>
    <row r="186" spans="1:16" x14ac:dyDescent="0.25">
      <c r="A186">
        <f>IF($O186="","",INDEX(Master!$D$2:$D$1001,$O186))</f>
      </c>
      <c r="B186" s="166">
        <f>IF($O186="","",INDEX(Master!$B$2:$B$1001,$O186))</f>
      </c>
      <c r="C186">
        <f>IF($O186="","",INDEX(Master!$C$2:$C$1001,$O186))</f>
      </c>
      <c r="D186">
        <f>IF($O186="","",INDEX(Master!$A$2:$A$1001,$O186))</f>
      </c>
      <c r="E186">
        <f>IF($O186="","",INDEX(Master!$E$2:$E$1001,$O186))</f>
      </c>
      <c r="F186">
        <f>IF($O186="","",INDEX(Master!$F$2:$F$1001,$O186))</f>
      </c>
      <c r="G186">
        <f>IF($O186="","",INDEX(Master!$G$2:$G$1001,$O186))</f>
      </c>
      <c r="H186">
        <f>IF($O186="","",INDEX(Master!$H$2:$H$1001,$O186))</f>
      </c>
      <c r="I186">
        <f>IF($O186="","",INDEX(Master!$I$2:$I$1001,$O186))</f>
      </c>
      <c r="J186">
        <f>IF($O186="","",INDEX(Master!$J$2:$J$1001,$O186))</f>
      </c>
      <c r="K186">
        <f t="shared" si="4"/>
      </c>
      <c r="L186">
        <f>IF($O186="","",INDEX(Master!$K$2:$K$1001,$O186))</f>
      </c>
      <c r="M186">
        <f>IF($O186="","",INDEX(Master!$L$2:$L$1001,$O186))</f>
      </c>
      <c r="O186">
        <f t="array" ref="O186">IFERROR(SMALL(IF(Master!$A$2:$A$1001="MASHIVA STEEL AND ALLOYS LLP",ROW(Master!$A$2:$A$1001)-ROW(Master!$A$2)+1),182),"")</f>
      </c>
      <c r="P186">
        <f t="shared" si="5"/>
      </c>
    </row>
    <row r="187" spans="1:16" x14ac:dyDescent="0.25">
      <c r="A187">
        <f>IF($O187="","",INDEX(Master!$D$2:$D$1001,$O187))</f>
      </c>
      <c r="B187" s="166">
        <f>IF($O187="","",INDEX(Master!$B$2:$B$1001,$O187))</f>
      </c>
      <c r="C187">
        <f>IF($O187="","",INDEX(Master!$C$2:$C$1001,$O187))</f>
      </c>
      <c r="D187">
        <f>IF($O187="","",INDEX(Master!$A$2:$A$1001,$O187))</f>
      </c>
      <c r="E187">
        <f>IF($O187="","",INDEX(Master!$E$2:$E$1001,$O187))</f>
      </c>
      <c r="F187">
        <f>IF($O187="","",INDEX(Master!$F$2:$F$1001,$O187))</f>
      </c>
      <c r="G187">
        <f>IF($O187="","",INDEX(Master!$G$2:$G$1001,$O187))</f>
      </c>
      <c r="H187">
        <f>IF($O187="","",INDEX(Master!$H$2:$H$1001,$O187))</f>
      </c>
      <c r="I187">
        <f>IF($O187="","",INDEX(Master!$I$2:$I$1001,$O187))</f>
      </c>
      <c r="J187">
        <f>IF($O187="","",INDEX(Master!$J$2:$J$1001,$O187))</f>
      </c>
      <c r="K187">
        <f t="shared" si="4"/>
      </c>
      <c r="L187">
        <f>IF($O187="","",INDEX(Master!$K$2:$K$1001,$O187))</f>
      </c>
      <c r="M187">
        <f>IF($O187="","",INDEX(Master!$L$2:$L$1001,$O187))</f>
      </c>
      <c r="O187">
        <f t="array" ref="O187">IFERROR(SMALL(IF(Master!$A$2:$A$1001="MASHIVA STEEL AND ALLOYS LLP",ROW(Master!$A$2:$A$1001)-ROW(Master!$A$2)+1),183),"")</f>
      </c>
      <c r="P187">
        <f t="shared" si="5"/>
      </c>
    </row>
    <row r="188" spans="1:16" x14ac:dyDescent="0.25">
      <c r="A188">
        <f>IF($O188="","",INDEX(Master!$D$2:$D$1001,$O188))</f>
      </c>
      <c r="B188" s="166">
        <f>IF($O188="","",INDEX(Master!$B$2:$B$1001,$O188))</f>
      </c>
      <c r="C188">
        <f>IF($O188="","",INDEX(Master!$C$2:$C$1001,$O188))</f>
      </c>
      <c r="D188">
        <f>IF($O188="","",INDEX(Master!$A$2:$A$1001,$O188))</f>
      </c>
      <c r="E188">
        <f>IF($O188="","",INDEX(Master!$E$2:$E$1001,$O188))</f>
      </c>
      <c r="F188">
        <f>IF($O188="","",INDEX(Master!$F$2:$F$1001,$O188))</f>
      </c>
      <c r="G188">
        <f>IF($O188="","",INDEX(Master!$G$2:$G$1001,$O188))</f>
      </c>
      <c r="H188">
        <f>IF($O188="","",INDEX(Master!$H$2:$H$1001,$O188))</f>
      </c>
      <c r="I188">
        <f>IF($O188="","",INDEX(Master!$I$2:$I$1001,$O188))</f>
      </c>
      <c r="J188">
        <f>IF($O188="","",INDEX(Master!$J$2:$J$1001,$O188))</f>
      </c>
      <c r="K188">
        <f t="shared" si="4"/>
      </c>
      <c r="L188">
        <f>IF($O188="","",INDEX(Master!$K$2:$K$1001,$O188))</f>
      </c>
      <c r="M188">
        <f>IF($O188="","",INDEX(Master!$L$2:$L$1001,$O188))</f>
      </c>
      <c r="O188">
        <f t="array" ref="O188">IFERROR(SMALL(IF(Master!$A$2:$A$1001="MASHIVA STEEL AND ALLOYS LLP",ROW(Master!$A$2:$A$1001)-ROW(Master!$A$2)+1),184),"")</f>
      </c>
      <c r="P188">
        <f t="shared" si="5"/>
      </c>
    </row>
    <row r="189" spans="1:16" x14ac:dyDescent="0.25">
      <c r="A189">
        <f>IF($O189="","",INDEX(Master!$D$2:$D$1001,$O189))</f>
      </c>
      <c r="B189" s="166">
        <f>IF($O189="","",INDEX(Master!$B$2:$B$1001,$O189))</f>
      </c>
      <c r="C189">
        <f>IF($O189="","",INDEX(Master!$C$2:$C$1001,$O189))</f>
      </c>
      <c r="D189">
        <f>IF($O189="","",INDEX(Master!$A$2:$A$1001,$O189))</f>
      </c>
      <c r="E189">
        <f>IF($O189="","",INDEX(Master!$E$2:$E$1001,$O189))</f>
      </c>
      <c r="F189">
        <f>IF($O189="","",INDEX(Master!$F$2:$F$1001,$O189))</f>
      </c>
      <c r="G189">
        <f>IF($O189="","",INDEX(Master!$G$2:$G$1001,$O189))</f>
      </c>
      <c r="H189">
        <f>IF($O189="","",INDEX(Master!$H$2:$H$1001,$O189))</f>
      </c>
      <c r="I189">
        <f>IF($O189="","",INDEX(Master!$I$2:$I$1001,$O189))</f>
      </c>
      <c r="J189">
        <f>IF($O189="","",INDEX(Master!$J$2:$J$1001,$O189))</f>
      </c>
      <c r="K189">
        <f t="shared" si="4"/>
      </c>
      <c r="L189">
        <f>IF($O189="","",INDEX(Master!$K$2:$K$1001,$O189))</f>
      </c>
      <c r="M189">
        <f>IF($O189="","",INDEX(Master!$L$2:$L$1001,$O189))</f>
      </c>
      <c r="O189">
        <f t="array" ref="O189">IFERROR(SMALL(IF(Master!$A$2:$A$1001="MASHIVA STEEL AND ALLOYS LLP",ROW(Master!$A$2:$A$1001)-ROW(Master!$A$2)+1),185),"")</f>
      </c>
      <c r="P189">
        <f t="shared" si="5"/>
      </c>
    </row>
    <row r="190" spans="1:16" x14ac:dyDescent="0.25">
      <c r="A190">
        <f>IF($O190="","",INDEX(Master!$D$2:$D$1001,$O190))</f>
      </c>
      <c r="B190" s="166">
        <f>IF($O190="","",INDEX(Master!$B$2:$B$1001,$O190))</f>
      </c>
      <c r="C190">
        <f>IF($O190="","",INDEX(Master!$C$2:$C$1001,$O190))</f>
      </c>
      <c r="D190">
        <f>IF($O190="","",INDEX(Master!$A$2:$A$1001,$O190))</f>
      </c>
      <c r="E190">
        <f>IF($O190="","",INDEX(Master!$E$2:$E$1001,$O190))</f>
      </c>
      <c r="F190">
        <f>IF($O190="","",INDEX(Master!$F$2:$F$1001,$O190))</f>
      </c>
      <c r="G190">
        <f>IF($O190="","",INDEX(Master!$G$2:$G$1001,$O190))</f>
      </c>
      <c r="H190">
        <f>IF($O190="","",INDEX(Master!$H$2:$H$1001,$O190))</f>
      </c>
      <c r="I190">
        <f>IF($O190="","",INDEX(Master!$I$2:$I$1001,$O190))</f>
      </c>
      <c r="J190">
        <f>IF($O190="","",INDEX(Master!$J$2:$J$1001,$O190))</f>
      </c>
      <c r="K190">
        <f t="shared" si="4"/>
      </c>
      <c r="L190">
        <f>IF($O190="","",INDEX(Master!$K$2:$K$1001,$O190))</f>
      </c>
      <c r="M190">
        <f>IF($O190="","",INDEX(Master!$L$2:$L$1001,$O190))</f>
      </c>
      <c r="O190">
        <f t="array" ref="O190">IFERROR(SMALL(IF(Master!$A$2:$A$1001="MASHIVA STEEL AND ALLOYS LLP",ROW(Master!$A$2:$A$1001)-ROW(Master!$A$2)+1),186),"")</f>
      </c>
      <c r="P190">
        <f t="shared" si="5"/>
      </c>
    </row>
    <row r="191" spans="1:16" x14ac:dyDescent="0.25">
      <c r="A191">
        <f>IF($O191="","",INDEX(Master!$D$2:$D$1001,$O191))</f>
      </c>
      <c r="B191" s="166">
        <f>IF($O191="","",INDEX(Master!$B$2:$B$1001,$O191))</f>
      </c>
      <c r="C191">
        <f>IF($O191="","",INDEX(Master!$C$2:$C$1001,$O191))</f>
      </c>
      <c r="D191">
        <f>IF($O191="","",INDEX(Master!$A$2:$A$1001,$O191))</f>
      </c>
      <c r="E191">
        <f>IF($O191="","",INDEX(Master!$E$2:$E$1001,$O191))</f>
      </c>
      <c r="F191">
        <f>IF($O191="","",INDEX(Master!$F$2:$F$1001,$O191))</f>
      </c>
      <c r="G191">
        <f>IF($O191="","",INDEX(Master!$G$2:$G$1001,$O191))</f>
      </c>
      <c r="H191">
        <f>IF($O191="","",INDEX(Master!$H$2:$H$1001,$O191))</f>
      </c>
      <c r="I191">
        <f>IF($O191="","",INDEX(Master!$I$2:$I$1001,$O191))</f>
      </c>
      <c r="J191">
        <f>IF($O191="","",INDEX(Master!$J$2:$J$1001,$O191))</f>
      </c>
      <c r="K191">
        <f t="shared" si="4"/>
      </c>
      <c r="L191">
        <f>IF($O191="","",INDEX(Master!$K$2:$K$1001,$O191))</f>
      </c>
      <c r="M191">
        <f>IF($O191="","",INDEX(Master!$L$2:$L$1001,$O191))</f>
      </c>
      <c r="O191">
        <f t="array" ref="O191">IFERROR(SMALL(IF(Master!$A$2:$A$1001="MASHIVA STEEL AND ALLOYS LLP",ROW(Master!$A$2:$A$1001)-ROW(Master!$A$2)+1),187),"")</f>
      </c>
      <c r="P191">
        <f t="shared" si="5"/>
      </c>
    </row>
    <row r="192" spans="1:16" x14ac:dyDescent="0.25">
      <c r="A192">
        <f>IF($O192="","",INDEX(Master!$D$2:$D$1001,$O192))</f>
      </c>
      <c r="B192" s="166">
        <f>IF($O192="","",INDEX(Master!$B$2:$B$1001,$O192))</f>
      </c>
      <c r="C192">
        <f>IF($O192="","",INDEX(Master!$C$2:$C$1001,$O192))</f>
      </c>
      <c r="D192">
        <f>IF($O192="","",INDEX(Master!$A$2:$A$1001,$O192))</f>
      </c>
      <c r="E192">
        <f>IF($O192="","",INDEX(Master!$E$2:$E$1001,$O192))</f>
      </c>
      <c r="F192">
        <f>IF($O192="","",INDEX(Master!$F$2:$F$1001,$O192))</f>
      </c>
      <c r="G192">
        <f>IF($O192="","",INDEX(Master!$G$2:$G$1001,$O192))</f>
      </c>
      <c r="H192">
        <f>IF($O192="","",INDEX(Master!$H$2:$H$1001,$O192))</f>
      </c>
      <c r="I192">
        <f>IF($O192="","",INDEX(Master!$I$2:$I$1001,$O192))</f>
      </c>
      <c r="J192">
        <f>IF($O192="","",INDEX(Master!$J$2:$J$1001,$O192))</f>
      </c>
      <c r="K192">
        <f t="shared" si="4"/>
      </c>
      <c r="L192">
        <f>IF($O192="","",INDEX(Master!$K$2:$K$1001,$O192))</f>
      </c>
      <c r="M192">
        <f>IF($O192="","",INDEX(Master!$L$2:$L$1001,$O192))</f>
      </c>
      <c r="O192">
        <f t="array" ref="O192">IFERROR(SMALL(IF(Master!$A$2:$A$1001="MASHIVA STEEL AND ALLOYS LLP",ROW(Master!$A$2:$A$1001)-ROW(Master!$A$2)+1),188),"")</f>
      </c>
      <c r="P192">
        <f t="shared" si="5"/>
      </c>
    </row>
    <row r="193" spans="1:16" x14ac:dyDescent="0.25">
      <c r="A193">
        <f>IF($O193="","",INDEX(Master!$D$2:$D$1001,$O193))</f>
      </c>
      <c r="B193" s="166">
        <f>IF($O193="","",INDEX(Master!$B$2:$B$1001,$O193))</f>
      </c>
      <c r="C193">
        <f>IF($O193="","",INDEX(Master!$C$2:$C$1001,$O193))</f>
      </c>
      <c r="D193">
        <f>IF($O193="","",INDEX(Master!$A$2:$A$1001,$O193))</f>
      </c>
      <c r="E193">
        <f>IF($O193="","",INDEX(Master!$E$2:$E$1001,$O193))</f>
      </c>
      <c r="F193">
        <f>IF($O193="","",INDEX(Master!$F$2:$F$1001,$O193))</f>
      </c>
      <c r="G193">
        <f>IF($O193="","",INDEX(Master!$G$2:$G$1001,$O193))</f>
      </c>
      <c r="H193">
        <f>IF($O193="","",INDEX(Master!$H$2:$H$1001,$O193))</f>
      </c>
      <c r="I193">
        <f>IF($O193="","",INDEX(Master!$I$2:$I$1001,$O193))</f>
      </c>
      <c r="J193">
        <f>IF($O193="","",INDEX(Master!$J$2:$J$1001,$O193))</f>
      </c>
      <c r="K193">
        <f t="shared" si="4"/>
      </c>
      <c r="L193">
        <f>IF($O193="","",INDEX(Master!$K$2:$K$1001,$O193))</f>
      </c>
      <c r="M193">
        <f>IF($O193="","",INDEX(Master!$L$2:$L$1001,$O193))</f>
      </c>
      <c r="O193">
        <f t="array" ref="O193">IFERROR(SMALL(IF(Master!$A$2:$A$1001="MASHIVA STEEL AND ALLOYS LLP",ROW(Master!$A$2:$A$1001)-ROW(Master!$A$2)+1),189),"")</f>
      </c>
      <c r="P193">
        <f t="shared" si="5"/>
      </c>
    </row>
    <row r="194" spans="1:16" x14ac:dyDescent="0.25">
      <c r="A194">
        <f>IF($O194="","",INDEX(Master!$D$2:$D$1001,$O194))</f>
      </c>
      <c r="B194" s="166">
        <f>IF($O194="","",INDEX(Master!$B$2:$B$1001,$O194))</f>
      </c>
      <c r="C194">
        <f>IF($O194="","",INDEX(Master!$C$2:$C$1001,$O194))</f>
      </c>
      <c r="D194">
        <f>IF($O194="","",INDEX(Master!$A$2:$A$1001,$O194))</f>
      </c>
      <c r="E194">
        <f>IF($O194="","",INDEX(Master!$E$2:$E$1001,$O194))</f>
      </c>
      <c r="F194">
        <f>IF($O194="","",INDEX(Master!$F$2:$F$1001,$O194))</f>
      </c>
      <c r="G194">
        <f>IF($O194="","",INDEX(Master!$G$2:$G$1001,$O194))</f>
      </c>
      <c r="H194">
        <f>IF($O194="","",INDEX(Master!$H$2:$H$1001,$O194))</f>
      </c>
      <c r="I194">
        <f>IF($O194="","",INDEX(Master!$I$2:$I$1001,$O194))</f>
      </c>
      <c r="J194">
        <f>IF($O194="","",INDEX(Master!$J$2:$J$1001,$O194))</f>
      </c>
      <c r="K194">
        <f t="shared" si="4"/>
      </c>
      <c r="L194">
        <f>IF($O194="","",INDEX(Master!$K$2:$K$1001,$O194))</f>
      </c>
      <c r="M194">
        <f>IF($O194="","",INDEX(Master!$L$2:$L$1001,$O194))</f>
      </c>
      <c r="O194">
        <f t="array" ref="O194">IFERROR(SMALL(IF(Master!$A$2:$A$1001="MASHIVA STEEL AND ALLOYS LLP",ROW(Master!$A$2:$A$1001)-ROW(Master!$A$2)+1),190),"")</f>
      </c>
      <c r="P194">
        <f t="shared" si="5"/>
      </c>
    </row>
    <row r="195" spans="1:16" x14ac:dyDescent="0.25">
      <c r="A195">
        <f>IF($O195="","",INDEX(Master!$D$2:$D$1001,$O195))</f>
      </c>
      <c r="B195" s="166">
        <f>IF($O195="","",INDEX(Master!$B$2:$B$1001,$O195))</f>
      </c>
      <c r="C195">
        <f>IF($O195="","",INDEX(Master!$C$2:$C$1001,$O195))</f>
      </c>
      <c r="D195">
        <f>IF($O195="","",INDEX(Master!$A$2:$A$1001,$O195))</f>
      </c>
      <c r="E195">
        <f>IF($O195="","",INDEX(Master!$E$2:$E$1001,$O195))</f>
      </c>
      <c r="F195">
        <f>IF($O195="","",INDEX(Master!$F$2:$F$1001,$O195))</f>
      </c>
      <c r="G195">
        <f>IF($O195="","",INDEX(Master!$G$2:$G$1001,$O195))</f>
      </c>
      <c r="H195">
        <f>IF($O195="","",INDEX(Master!$H$2:$H$1001,$O195))</f>
      </c>
      <c r="I195">
        <f>IF($O195="","",INDEX(Master!$I$2:$I$1001,$O195))</f>
      </c>
      <c r="J195">
        <f>IF($O195="","",INDEX(Master!$J$2:$J$1001,$O195))</f>
      </c>
      <c r="K195">
        <f t="shared" si="4"/>
      </c>
      <c r="L195">
        <f>IF($O195="","",INDEX(Master!$K$2:$K$1001,$O195))</f>
      </c>
      <c r="M195">
        <f>IF($O195="","",INDEX(Master!$L$2:$L$1001,$O195))</f>
      </c>
      <c r="O195">
        <f t="array" ref="O195">IFERROR(SMALL(IF(Master!$A$2:$A$1001="MASHIVA STEEL AND ALLOYS LLP",ROW(Master!$A$2:$A$1001)-ROW(Master!$A$2)+1),191),"")</f>
      </c>
      <c r="P195">
        <f t="shared" si="5"/>
      </c>
    </row>
    <row r="196" spans="1:16" x14ac:dyDescent="0.25">
      <c r="A196">
        <f>IF($O196="","",INDEX(Master!$D$2:$D$1001,$O196))</f>
      </c>
      <c r="B196" s="166">
        <f>IF($O196="","",INDEX(Master!$B$2:$B$1001,$O196))</f>
      </c>
      <c r="C196">
        <f>IF($O196="","",INDEX(Master!$C$2:$C$1001,$O196))</f>
      </c>
      <c r="D196">
        <f>IF($O196="","",INDEX(Master!$A$2:$A$1001,$O196))</f>
      </c>
      <c r="E196">
        <f>IF($O196="","",INDEX(Master!$E$2:$E$1001,$O196))</f>
      </c>
      <c r="F196">
        <f>IF($O196="","",INDEX(Master!$F$2:$F$1001,$O196))</f>
      </c>
      <c r="G196">
        <f>IF($O196="","",INDEX(Master!$G$2:$G$1001,$O196))</f>
      </c>
      <c r="H196">
        <f>IF($O196="","",INDEX(Master!$H$2:$H$1001,$O196))</f>
      </c>
      <c r="I196">
        <f>IF($O196="","",INDEX(Master!$I$2:$I$1001,$O196))</f>
      </c>
      <c r="J196">
        <f>IF($O196="","",INDEX(Master!$J$2:$J$1001,$O196))</f>
      </c>
      <c r="K196">
        <f t="shared" si="4"/>
      </c>
      <c r="L196">
        <f>IF($O196="","",INDEX(Master!$K$2:$K$1001,$O196))</f>
      </c>
      <c r="M196">
        <f>IF($O196="","",INDEX(Master!$L$2:$L$1001,$O196))</f>
      </c>
      <c r="O196">
        <f t="array" ref="O196">IFERROR(SMALL(IF(Master!$A$2:$A$1001="MASHIVA STEEL AND ALLOYS LLP",ROW(Master!$A$2:$A$1001)-ROW(Master!$A$2)+1),192),"")</f>
      </c>
      <c r="P196">
        <f t="shared" si="5"/>
      </c>
    </row>
    <row r="197" spans="1:16" x14ac:dyDescent="0.25">
      <c r="A197">
        <f>IF($O197="","",INDEX(Master!$D$2:$D$1001,$O197))</f>
      </c>
      <c r="B197" s="166">
        <f>IF($O197="","",INDEX(Master!$B$2:$B$1001,$O197))</f>
      </c>
      <c r="C197">
        <f>IF($O197="","",INDEX(Master!$C$2:$C$1001,$O197))</f>
      </c>
      <c r="D197">
        <f>IF($O197="","",INDEX(Master!$A$2:$A$1001,$O197))</f>
      </c>
      <c r="E197">
        <f>IF($O197="","",INDEX(Master!$E$2:$E$1001,$O197))</f>
      </c>
      <c r="F197">
        <f>IF($O197="","",INDEX(Master!$F$2:$F$1001,$O197))</f>
      </c>
      <c r="G197">
        <f>IF($O197="","",INDEX(Master!$G$2:$G$1001,$O197))</f>
      </c>
      <c r="H197">
        <f>IF($O197="","",INDEX(Master!$H$2:$H$1001,$O197))</f>
      </c>
      <c r="I197">
        <f>IF($O197="","",INDEX(Master!$I$2:$I$1001,$O197))</f>
      </c>
      <c r="J197">
        <f>IF($O197="","",INDEX(Master!$J$2:$J$1001,$O197))</f>
      </c>
      <c r="K197">
        <f t="shared" ref="K197:K260" si="6">IF(OR($O197="",$F197="",$F197=0),"",$H197/$F197)</f>
      </c>
      <c r="L197">
        <f>IF($O197="","",INDEX(Master!$K$2:$K$1001,$O197))</f>
      </c>
      <c r="M197">
        <f>IF($O197="","",INDEX(Master!$L$2:$L$1001,$O197))</f>
      </c>
      <c r="O197">
        <f t="array" ref="O197">IFERROR(SMALL(IF(Master!$A$2:$A$1001="MASHIVA STEEL AND ALLOYS LLP",ROW(Master!$A$2:$A$1001)-ROW(Master!$A$2)+1),193),"")</f>
      </c>
      <c r="P197">
        <f t="shared" ref="P197:P260" si="7">IF($A197="",0,IF(OR(AND($E197&lt;&gt;"",OR($E197&gt;0.15)),AND($F197&lt;&gt;"",OR(($F197+$G197)&gt;0.15)),AND($G197&lt;&gt;"",OR(($F197+$G197)&gt;0.15)),AND($H197&lt;&gt;"",$H197&lt;0.45),AND($J197&lt;&gt;"",OR($J197&lt;0.1))),1,0))</f>
      </c>
    </row>
    <row r="198" spans="1:16" x14ac:dyDescent="0.25">
      <c r="A198">
        <f>IF($O198="","",INDEX(Master!$D$2:$D$1001,$O198))</f>
      </c>
      <c r="B198" s="166">
        <f>IF($O198="","",INDEX(Master!$B$2:$B$1001,$O198))</f>
      </c>
      <c r="C198">
        <f>IF($O198="","",INDEX(Master!$C$2:$C$1001,$O198))</f>
      </c>
      <c r="D198">
        <f>IF($O198="","",INDEX(Master!$A$2:$A$1001,$O198))</f>
      </c>
      <c r="E198">
        <f>IF($O198="","",INDEX(Master!$E$2:$E$1001,$O198))</f>
      </c>
      <c r="F198">
        <f>IF($O198="","",INDEX(Master!$F$2:$F$1001,$O198))</f>
      </c>
      <c r="G198">
        <f>IF($O198="","",INDEX(Master!$G$2:$G$1001,$O198))</f>
      </c>
      <c r="H198">
        <f>IF($O198="","",INDEX(Master!$H$2:$H$1001,$O198))</f>
      </c>
      <c r="I198">
        <f>IF($O198="","",INDEX(Master!$I$2:$I$1001,$O198))</f>
      </c>
      <c r="J198">
        <f>IF($O198="","",INDEX(Master!$J$2:$J$1001,$O198))</f>
      </c>
      <c r="K198">
        <f t="shared" si="6"/>
      </c>
      <c r="L198">
        <f>IF($O198="","",INDEX(Master!$K$2:$K$1001,$O198))</f>
      </c>
      <c r="M198">
        <f>IF($O198="","",INDEX(Master!$L$2:$L$1001,$O198))</f>
      </c>
      <c r="O198">
        <f t="array" ref="O198">IFERROR(SMALL(IF(Master!$A$2:$A$1001="MASHIVA STEEL AND ALLOYS LLP",ROW(Master!$A$2:$A$1001)-ROW(Master!$A$2)+1),194),"")</f>
      </c>
      <c r="P198">
        <f t="shared" si="7"/>
      </c>
    </row>
    <row r="199" spans="1:16" x14ac:dyDescent="0.25">
      <c r="A199">
        <f>IF($O199="","",INDEX(Master!$D$2:$D$1001,$O199))</f>
      </c>
      <c r="B199" s="166">
        <f>IF($O199="","",INDEX(Master!$B$2:$B$1001,$O199))</f>
      </c>
      <c r="C199">
        <f>IF($O199="","",INDEX(Master!$C$2:$C$1001,$O199))</f>
      </c>
      <c r="D199">
        <f>IF($O199="","",INDEX(Master!$A$2:$A$1001,$O199))</f>
      </c>
      <c r="E199">
        <f>IF($O199="","",INDEX(Master!$E$2:$E$1001,$O199))</f>
      </c>
      <c r="F199">
        <f>IF($O199="","",INDEX(Master!$F$2:$F$1001,$O199))</f>
      </c>
      <c r="G199">
        <f>IF($O199="","",INDEX(Master!$G$2:$G$1001,$O199))</f>
      </c>
      <c r="H199">
        <f>IF($O199="","",INDEX(Master!$H$2:$H$1001,$O199))</f>
      </c>
      <c r="I199">
        <f>IF($O199="","",INDEX(Master!$I$2:$I$1001,$O199))</f>
      </c>
      <c r="J199">
        <f>IF($O199="","",INDEX(Master!$J$2:$J$1001,$O199))</f>
      </c>
      <c r="K199">
        <f t="shared" si="6"/>
      </c>
      <c r="L199">
        <f>IF($O199="","",INDEX(Master!$K$2:$K$1001,$O199))</f>
      </c>
      <c r="M199">
        <f>IF($O199="","",INDEX(Master!$L$2:$L$1001,$O199))</f>
      </c>
      <c r="O199">
        <f t="array" ref="O199">IFERROR(SMALL(IF(Master!$A$2:$A$1001="MASHIVA STEEL AND ALLOYS LLP",ROW(Master!$A$2:$A$1001)-ROW(Master!$A$2)+1),195),"")</f>
      </c>
      <c r="P199">
        <f t="shared" si="7"/>
      </c>
    </row>
    <row r="200" spans="1:16" x14ac:dyDescent="0.25">
      <c r="A200">
        <f>IF($O200="","",INDEX(Master!$D$2:$D$1001,$O200))</f>
      </c>
      <c r="B200" s="166">
        <f>IF($O200="","",INDEX(Master!$B$2:$B$1001,$O200))</f>
      </c>
      <c r="C200">
        <f>IF($O200="","",INDEX(Master!$C$2:$C$1001,$O200))</f>
      </c>
      <c r="D200">
        <f>IF($O200="","",INDEX(Master!$A$2:$A$1001,$O200))</f>
      </c>
      <c r="E200">
        <f>IF($O200="","",INDEX(Master!$E$2:$E$1001,$O200))</f>
      </c>
      <c r="F200">
        <f>IF($O200="","",INDEX(Master!$F$2:$F$1001,$O200))</f>
      </c>
      <c r="G200">
        <f>IF($O200="","",INDEX(Master!$G$2:$G$1001,$O200))</f>
      </c>
      <c r="H200">
        <f>IF($O200="","",INDEX(Master!$H$2:$H$1001,$O200))</f>
      </c>
      <c r="I200">
        <f>IF($O200="","",INDEX(Master!$I$2:$I$1001,$O200))</f>
      </c>
      <c r="J200">
        <f>IF($O200="","",INDEX(Master!$J$2:$J$1001,$O200))</f>
      </c>
      <c r="K200">
        <f t="shared" si="6"/>
      </c>
      <c r="L200">
        <f>IF($O200="","",INDEX(Master!$K$2:$K$1001,$O200))</f>
      </c>
      <c r="M200">
        <f>IF($O200="","",INDEX(Master!$L$2:$L$1001,$O200))</f>
      </c>
      <c r="O200">
        <f t="array" ref="O200">IFERROR(SMALL(IF(Master!$A$2:$A$1001="MASHIVA STEEL AND ALLOYS LLP",ROW(Master!$A$2:$A$1001)-ROW(Master!$A$2)+1),196),"")</f>
      </c>
      <c r="P200">
        <f t="shared" si="7"/>
      </c>
    </row>
    <row r="201" spans="1:16" x14ac:dyDescent="0.25">
      <c r="A201">
        <f>IF($O201="","",INDEX(Master!$D$2:$D$1001,$O201))</f>
      </c>
      <c r="B201" s="166">
        <f>IF($O201="","",INDEX(Master!$B$2:$B$1001,$O201))</f>
      </c>
      <c r="C201">
        <f>IF($O201="","",INDEX(Master!$C$2:$C$1001,$O201))</f>
      </c>
      <c r="D201">
        <f>IF($O201="","",INDEX(Master!$A$2:$A$1001,$O201))</f>
      </c>
      <c r="E201">
        <f>IF($O201="","",INDEX(Master!$E$2:$E$1001,$O201))</f>
      </c>
      <c r="F201">
        <f>IF($O201="","",INDEX(Master!$F$2:$F$1001,$O201))</f>
      </c>
      <c r="G201">
        <f>IF($O201="","",INDEX(Master!$G$2:$G$1001,$O201))</f>
      </c>
      <c r="H201">
        <f>IF($O201="","",INDEX(Master!$H$2:$H$1001,$O201))</f>
      </c>
      <c r="I201">
        <f>IF($O201="","",INDEX(Master!$I$2:$I$1001,$O201))</f>
      </c>
      <c r="J201">
        <f>IF($O201="","",INDEX(Master!$J$2:$J$1001,$O201))</f>
      </c>
      <c r="K201">
        <f t="shared" si="6"/>
      </c>
      <c r="L201">
        <f>IF($O201="","",INDEX(Master!$K$2:$K$1001,$O201))</f>
      </c>
      <c r="M201">
        <f>IF($O201="","",INDEX(Master!$L$2:$L$1001,$O201))</f>
      </c>
      <c r="O201">
        <f t="array" ref="O201">IFERROR(SMALL(IF(Master!$A$2:$A$1001="MASHIVA STEEL AND ALLOYS LLP",ROW(Master!$A$2:$A$1001)-ROW(Master!$A$2)+1),197),"")</f>
      </c>
      <c r="P201">
        <f t="shared" si="7"/>
      </c>
    </row>
    <row r="202" spans="1:16" x14ac:dyDescent="0.25">
      <c r="A202">
        <f>IF($O202="","",INDEX(Master!$D$2:$D$1001,$O202))</f>
      </c>
      <c r="B202" s="166">
        <f>IF($O202="","",INDEX(Master!$B$2:$B$1001,$O202))</f>
      </c>
      <c r="C202">
        <f>IF($O202="","",INDEX(Master!$C$2:$C$1001,$O202))</f>
      </c>
      <c r="D202">
        <f>IF($O202="","",INDEX(Master!$A$2:$A$1001,$O202))</f>
      </c>
      <c r="E202">
        <f>IF($O202="","",INDEX(Master!$E$2:$E$1001,$O202))</f>
      </c>
      <c r="F202">
        <f>IF($O202="","",INDEX(Master!$F$2:$F$1001,$O202))</f>
      </c>
      <c r="G202">
        <f>IF($O202="","",INDEX(Master!$G$2:$G$1001,$O202))</f>
      </c>
      <c r="H202">
        <f>IF($O202="","",INDEX(Master!$H$2:$H$1001,$O202))</f>
      </c>
      <c r="I202">
        <f>IF($O202="","",INDEX(Master!$I$2:$I$1001,$O202))</f>
      </c>
      <c r="J202">
        <f>IF($O202="","",INDEX(Master!$J$2:$J$1001,$O202))</f>
      </c>
      <c r="K202">
        <f t="shared" si="6"/>
      </c>
      <c r="L202">
        <f>IF($O202="","",INDEX(Master!$K$2:$K$1001,$O202))</f>
      </c>
      <c r="M202">
        <f>IF($O202="","",INDEX(Master!$L$2:$L$1001,$O202))</f>
      </c>
      <c r="O202">
        <f t="array" ref="O202">IFERROR(SMALL(IF(Master!$A$2:$A$1001="MASHIVA STEEL AND ALLOYS LLP",ROW(Master!$A$2:$A$1001)-ROW(Master!$A$2)+1),198),"")</f>
      </c>
      <c r="P202">
        <f t="shared" si="7"/>
      </c>
    </row>
    <row r="203" spans="1:16" x14ac:dyDescent="0.25">
      <c r="A203">
        <f>IF($O203="","",INDEX(Master!$D$2:$D$1001,$O203))</f>
      </c>
      <c r="B203" s="166">
        <f>IF($O203="","",INDEX(Master!$B$2:$B$1001,$O203))</f>
      </c>
      <c r="C203">
        <f>IF($O203="","",INDEX(Master!$C$2:$C$1001,$O203))</f>
      </c>
      <c r="D203">
        <f>IF($O203="","",INDEX(Master!$A$2:$A$1001,$O203))</f>
      </c>
      <c r="E203">
        <f>IF($O203="","",INDEX(Master!$E$2:$E$1001,$O203))</f>
      </c>
      <c r="F203">
        <f>IF($O203="","",INDEX(Master!$F$2:$F$1001,$O203))</f>
      </c>
      <c r="G203">
        <f>IF($O203="","",INDEX(Master!$G$2:$G$1001,$O203))</f>
      </c>
      <c r="H203">
        <f>IF($O203="","",INDEX(Master!$H$2:$H$1001,$O203))</f>
      </c>
      <c r="I203">
        <f>IF($O203="","",INDEX(Master!$I$2:$I$1001,$O203))</f>
      </c>
      <c r="J203">
        <f>IF($O203="","",INDEX(Master!$J$2:$J$1001,$O203))</f>
      </c>
      <c r="K203">
        <f t="shared" si="6"/>
      </c>
      <c r="L203">
        <f>IF($O203="","",INDEX(Master!$K$2:$K$1001,$O203))</f>
      </c>
      <c r="M203">
        <f>IF($O203="","",INDEX(Master!$L$2:$L$1001,$O203))</f>
      </c>
      <c r="O203">
        <f t="array" ref="O203">IFERROR(SMALL(IF(Master!$A$2:$A$1001="MASHIVA STEEL AND ALLOYS LLP",ROW(Master!$A$2:$A$1001)-ROW(Master!$A$2)+1),199),"")</f>
      </c>
      <c r="P203">
        <f t="shared" si="7"/>
      </c>
    </row>
    <row r="204" spans="1:16" x14ac:dyDescent="0.25">
      <c r="A204">
        <f>IF($O204="","",INDEX(Master!$D$2:$D$1001,$O204))</f>
      </c>
      <c r="B204" s="166">
        <f>IF($O204="","",INDEX(Master!$B$2:$B$1001,$O204))</f>
      </c>
      <c r="C204">
        <f>IF($O204="","",INDEX(Master!$C$2:$C$1001,$O204))</f>
      </c>
      <c r="D204">
        <f>IF($O204="","",INDEX(Master!$A$2:$A$1001,$O204))</f>
      </c>
      <c r="E204">
        <f>IF($O204="","",INDEX(Master!$E$2:$E$1001,$O204))</f>
      </c>
      <c r="F204">
        <f>IF($O204="","",INDEX(Master!$F$2:$F$1001,$O204))</f>
      </c>
      <c r="G204">
        <f>IF($O204="","",INDEX(Master!$G$2:$G$1001,$O204))</f>
      </c>
      <c r="H204">
        <f>IF($O204="","",INDEX(Master!$H$2:$H$1001,$O204))</f>
      </c>
      <c r="I204">
        <f>IF($O204="","",INDEX(Master!$I$2:$I$1001,$O204))</f>
      </c>
      <c r="J204">
        <f>IF($O204="","",INDEX(Master!$J$2:$J$1001,$O204))</f>
      </c>
      <c r="K204">
        <f t="shared" si="6"/>
      </c>
      <c r="L204">
        <f>IF($O204="","",INDEX(Master!$K$2:$K$1001,$O204))</f>
      </c>
      <c r="M204">
        <f>IF($O204="","",INDEX(Master!$L$2:$L$1001,$O204))</f>
      </c>
      <c r="O204">
        <f t="array" ref="O204">IFERROR(SMALL(IF(Master!$A$2:$A$1001="MASHIVA STEEL AND ALLOYS LLP",ROW(Master!$A$2:$A$1001)-ROW(Master!$A$2)+1),200),"")</f>
      </c>
      <c r="P204">
        <f t="shared" si="7"/>
      </c>
    </row>
    <row r="205" spans="1:16" x14ac:dyDescent="0.25">
      <c r="A205">
        <f>IF($O205="","",INDEX(Master!$D$2:$D$1001,$O205))</f>
      </c>
      <c r="B205" s="166">
        <f>IF($O205="","",INDEX(Master!$B$2:$B$1001,$O205))</f>
      </c>
      <c r="C205">
        <f>IF($O205="","",INDEX(Master!$C$2:$C$1001,$O205))</f>
      </c>
      <c r="D205">
        <f>IF($O205="","",INDEX(Master!$A$2:$A$1001,$O205))</f>
      </c>
      <c r="E205">
        <f>IF($O205="","",INDEX(Master!$E$2:$E$1001,$O205))</f>
      </c>
      <c r="F205">
        <f>IF($O205="","",INDEX(Master!$F$2:$F$1001,$O205))</f>
      </c>
      <c r="G205">
        <f>IF($O205="","",INDEX(Master!$G$2:$G$1001,$O205))</f>
      </c>
      <c r="H205">
        <f>IF($O205="","",INDEX(Master!$H$2:$H$1001,$O205))</f>
      </c>
      <c r="I205">
        <f>IF($O205="","",INDEX(Master!$I$2:$I$1001,$O205))</f>
      </c>
      <c r="J205">
        <f>IF($O205="","",INDEX(Master!$J$2:$J$1001,$O205))</f>
      </c>
      <c r="K205">
        <f t="shared" si="6"/>
      </c>
      <c r="L205">
        <f>IF($O205="","",INDEX(Master!$K$2:$K$1001,$O205))</f>
      </c>
      <c r="M205">
        <f>IF($O205="","",INDEX(Master!$L$2:$L$1001,$O205))</f>
      </c>
      <c r="O205">
        <f t="array" ref="O205">IFERROR(SMALL(IF(Master!$A$2:$A$1001="MASHIVA STEEL AND ALLOYS LLP",ROW(Master!$A$2:$A$1001)-ROW(Master!$A$2)+1),201),"")</f>
      </c>
      <c r="P205">
        <f t="shared" si="7"/>
      </c>
    </row>
    <row r="206" spans="1:16" x14ac:dyDescent="0.25">
      <c r="A206">
        <f>IF($O206="","",INDEX(Master!$D$2:$D$1001,$O206))</f>
      </c>
      <c r="B206" s="166">
        <f>IF($O206="","",INDEX(Master!$B$2:$B$1001,$O206))</f>
      </c>
      <c r="C206">
        <f>IF($O206="","",INDEX(Master!$C$2:$C$1001,$O206))</f>
      </c>
      <c r="D206">
        <f>IF($O206="","",INDEX(Master!$A$2:$A$1001,$O206))</f>
      </c>
      <c r="E206">
        <f>IF($O206="","",INDEX(Master!$E$2:$E$1001,$O206))</f>
      </c>
      <c r="F206">
        <f>IF($O206="","",INDEX(Master!$F$2:$F$1001,$O206))</f>
      </c>
      <c r="G206">
        <f>IF($O206="","",INDEX(Master!$G$2:$G$1001,$O206))</f>
      </c>
      <c r="H206">
        <f>IF($O206="","",INDEX(Master!$H$2:$H$1001,$O206))</f>
      </c>
      <c r="I206">
        <f>IF($O206="","",INDEX(Master!$I$2:$I$1001,$O206))</f>
      </c>
      <c r="J206">
        <f>IF($O206="","",INDEX(Master!$J$2:$J$1001,$O206))</f>
      </c>
      <c r="K206">
        <f t="shared" si="6"/>
      </c>
      <c r="L206">
        <f>IF($O206="","",INDEX(Master!$K$2:$K$1001,$O206))</f>
      </c>
      <c r="M206">
        <f>IF($O206="","",INDEX(Master!$L$2:$L$1001,$O206))</f>
      </c>
      <c r="O206">
        <f t="array" ref="O206">IFERROR(SMALL(IF(Master!$A$2:$A$1001="MASHIVA STEEL AND ALLOYS LLP",ROW(Master!$A$2:$A$1001)-ROW(Master!$A$2)+1),202),"")</f>
      </c>
      <c r="P206">
        <f t="shared" si="7"/>
      </c>
    </row>
    <row r="207" spans="1:16" x14ac:dyDescent="0.25">
      <c r="A207">
        <f>IF($O207="","",INDEX(Master!$D$2:$D$1001,$O207))</f>
      </c>
      <c r="B207" s="166">
        <f>IF($O207="","",INDEX(Master!$B$2:$B$1001,$O207))</f>
      </c>
      <c r="C207">
        <f>IF($O207="","",INDEX(Master!$C$2:$C$1001,$O207))</f>
      </c>
      <c r="D207">
        <f>IF($O207="","",INDEX(Master!$A$2:$A$1001,$O207))</f>
      </c>
      <c r="E207">
        <f>IF($O207="","",INDEX(Master!$E$2:$E$1001,$O207))</f>
      </c>
      <c r="F207">
        <f>IF($O207="","",INDEX(Master!$F$2:$F$1001,$O207))</f>
      </c>
      <c r="G207">
        <f>IF($O207="","",INDEX(Master!$G$2:$G$1001,$O207))</f>
      </c>
      <c r="H207">
        <f>IF($O207="","",INDEX(Master!$H$2:$H$1001,$O207))</f>
      </c>
      <c r="I207">
        <f>IF($O207="","",INDEX(Master!$I$2:$I$1001,$O207))</f>
      </c>
      <c r="J207">
        <f>IF($O207="","",INDEX(Master!$J$2:$J$1001,$O207))</f>
      </c>
      <c r="K207">
        <f t="shared" si="6"/>
      </c>
      <c r="L207">
        <f>IF($O207="","",INDEX(Master!$K$2:$K$1001,$O207))</f>
      </c>
      <c r="M207">
        <f>IF($O207="","",INDEX(Master!$L$2:$L$1001,$O207))</f>
      </c>
      <c r="O207">
        <f t="array" ref="O207">IFERROR(SMALL(IF(Master!$A$2:$A$1001="MASHIVA STEEL AND ALLOYS LLP",ROW(Master!$A$2:$A$1001)-ROW(Master!$A$2)+1),203),"")</f>
      </c>
      <c r="P207">
        <f t="shared" si="7"/>
      </c>
    </row>
    <row r="208" spans="1:16" x14ac:dyDescent="0.25">
      <c r="A208">
        <f>IF($O208="","",INDEX(Master!$D$2:$D$1001,$O208))</f>
      </c>
      <c r="B208" s="166">
        <f>IF($O208="","",INDEX(Master!$B$2:$B$1001,$O208))</f>
      </c>
      <c r="C208">
        <f>IF($O208="","",INDEX(Master!$C$2:$C$1001,$O208))</f>
      </c>
      <c r="D208">
        <f>IF($O208="","",INDEX(Master!$A$2:$A$1001,$O208))</f>
      </c>
      <c r="E208">
        <f>IF($O208="","",INDEX(Master!$E$2:$E$1001,$O208))</f>
      </c>
      <c r="F208">
        <f>IF($O208="","",INDEX(Master!$F$2:$F$1001,$O208))</f>
      </c>
      <c r="G208">
        <f>IF($O208="","",INDEX(Master!$G$2:$G$1001,$O208))</f>
      </c>
      <c r="H208">
        <f>IF($O208="","",INDEX(Master!$H$2:$H$1001,$O208))</f>
      </c>
      <c r="I208">
        <f>IF($O208="","",INDEX(Master!$I$2:$I$1001,$O208))</f>
      </c>
      <c r="J208">
        <f>IF($O208="","",INDEX(Master!$J$2:$J$1001,$O208))</f>
      </c>
      <c r="K208">
        <f t="shared" si="6"/>
      </c>
      <c r="L208">
        <f>IF($O208="","",INDEX(Master!$K$2:$K$1001,$O208))</f>
      </c>
      <c r="M208">
        <f>IF($O208="","",INDEX(Master!$L$2:$L$1001,$O208))</f>
      </c>
      <c r="O208">
        <f t="array" ref="O208">IFERROR(SMALL(IF(Master!$A$2:$A$1001="MASHIVA STEEL AND ALLOYS LLP",ROW(Master!$A$2:$A$1001)-ROW(Master!$A$2)+1),204),"")</f>
      </c>
      <c r="P208">
        <f t="shared" si="7"/>
      </c>
    </row>
    <row r="209" spans="1:16" x14ac:dyDescent="0.25">
      <c r="A209">
        <f>IF($O209="","",INDEX(Master!$D$2:$D$1001,$O209))</f>
      </c>
      <c r="B209" s="166">
        <f>IF($O209="","",INDEX(Master!$B$2:$B$1001,$O209))</f>
      </c>
      <c r="C209">
        <f>IF($O209="","",INDEX(Master!$C$2:$C$1001,$O209))</f>
      </c>
      <c r="D209">
        <f>IF($O209="","",INDEX(Master!$A$2:$A$1001,$O209))</f>
      </c>
      <c r="E209">
        <f>IF($O209="","",INDEX(Master!$E$2:$E$1001,$O209))</f>
      </c>
      <c r="F209">
        <f>IF($O209="","",INDEX(Master!$F$2:$F$1001,$O209))</f>
      </c>
      <c r="G209">
        <f>IF($O209="","",INDEX(Master!$G$2:$G$1001,$O209))</f>
      </c>
      <c r="H209">
        <f>IF($O209="","",INDEX(Master!$H$2:$H$1001,$O209))</f>
      </c>
      <c r="I209">
        <f>IF($O209="","",INDEX(Master!$I$2:$I$1001,$O209))</f>
      </c>
      <c r="J209">
        <f>IF($O209="","",INDEX(Master!$J$2:$J$1001,$O209))</f>
      </c>
      <c r="K209">
        <f t="shared" si="6"/>
      </c>
      <c r="L209">
        <f>IF($O209="","",INDEX(Master!$K$2:$K$1001,$O209))</f>
      </c>
      <c r="M209">
        <f>IF($O209="","",INDEX(Master!$L$2:$L$1001,$O209))</f>
      </c>
      <c r="O209">
        <f t="array" ref="O209">IFERROR(SMALL(IF(Master!$A$2:$A$1001="MASHIVA STEEL AND ALLOYS LLP",ROW(Master!$A$2:$A$1001)-ROW(Master!$A$2)+1),205),"")</f>
      </c>
      <c r="P209">
        <f t="shared" si="7"/>
      </c>
    </row>
    <row r="210" spans="1:16" x14ac:dyDescent="0.25">
      <c r="A210">
        <f>IF($O210="","",INDEX(Master!$D$2:$D$1001,$O210))</f>
      </c>
      <c r="B210" s="166">
        <f>IF($O210="","",INDEX(Master!$B$2:$B$1001,$O210))</f>
      </c>
      <c r="C210">
        <f>IF($O210="","",INDEX(Master!$C$2:$C$1001,$O210))</f>
      </c>
      <c r="D210">
        <f>IF($O210="","",INDEX(Master!$A$2:$A$1001,$O210))</f>
      </c>
      <c r="E210">
        <f>IF($O210="","",INDEX(Master!$E$2:$E$1001,$O210))</f>
      </c>
      <c r="F210">
        <f>IF($O210="","",INDEX(Master!$F$2:$F$1001,$O210))</f>
      </c>
      <c r="G210">
        <f>IF($O210="","",INDEX(Master!$G$2:$G$1001,$O210))</f>
      </c>
      <c r="H210">
        <f>IF($O210="","",INDEX(Master!$H$2:$H$1001,$O210))</f>
      </c>
      <c r="I210">
        <f>IF($O210="","",INDEX(Master!$I$2:$I$1001,$O210))</f>
      </c>
      <c r="J210">
        <f>IF($O210="","",INDEX(Master!$J$2:$J$1001,$O210))</f>
      </c>
      <c r="K210">
        <f t="shared" si="6"/>
      </c>
      <c r="L210">
        <f>IF($O210="","",INDEX(Master!$K$2:$K$1001,$O210))</f>
      </c>
      <c r="M210">
        <f>IF($O210="","",INDEX(Master!$L$2:$L$1001,$O210))</f>
      </c>
      <c r="O210">
        <f t="array" ref="O210">IFERROR(SMALL(IF(Master!$A$2:$A$1001="MASHIVA STEEL AND ALLOYS LLP",ROW(Master!$A$2:$A$1001)-ROW(Master!$A$2)+1),206),"")</f>
      </c>
      <c r="P210">
        <f t="shared" si="7"/>
      </c>
    </row>
    <row r="211" spans="1:16" x14ac:dyDescent="0.25">
      <c r="A211">
        <f>IF($O211="","",INDEX(Master!$D$2:$D$1001,$O211))</f>
      </c>
      <c r="B211" s="166">
        <f>IF($O211="","",INDEX(Master!$B$2:$B$1001,$O211))</f>
      </c>
      <c r="C211">
        <f>IF($O211="","",INDEX(Master!$C$2:$C$1001,$O211))</f>
      </c>
      <c r="D211">
        <f>IF($O211="","",INDEX(Master!$A$2:$A$1001,$O211))</f>
      </c>
      <c r="E211">
        <f>IF($O211="","",INDEX(Master!$E$2:$E$1001,$O211))</f>
      </c>
      <c r="F211">
        <f>IF($O211="","",INDEX(Master!$F$2:$F$1001,$O211))</f>
      </c>
      <c r="G211">
        <f>IF($O211="","",INDEX(Master!$G$2:$G$1001,$O211))</f>
      </c>
      <c r="H211">
        <f>IF($O211="","",INDEX(Master!$H$2:$H$1001,$O211))</f>
      </c>
      <c r="I211">
        <f>IF($O211="","",INDEX(Master!$I$2:$I$1001,$O211))</f>
      </c>
      <c r="J211">
        <f>IF($O211="","",INDEX(Master!$J$2:$J$1001,$O211))</f>
      </c>
      <c r="K211">
        <f t="shared" si="6"/>
      </c>
      <c r="L211">
        <f>IF($O211="","",INDEX(Master!$K$2:$K$1001,$O211))</f>
      </c>
      <c r="M211">
        <f>IF($O211="","",INDEX(Master!$L$2:$L$1001,$O211))</f>
      </c>
      <c r="O211">
        <f t="array" ref="O211">IFERROR(SMALL(IF(Master!$A$2:$A$1001="MASHIVA STEEL AND ALLOYS LLP",ROW(Master!$A$2:$A$1001)-ROW(Master!$A$2)+1),207),"")</f>
      </c>
      <c r="P211">
        <f t="shared" si="7"/>
      </c>
    </row>
    <row r="212" spans="1:16" x14ac:dyDescent="0.25">
      <c r="A212">
        <f>IF($O212="","",INDEX(Master!$D$2:$D$1001,$O212))</f>
      </c>
      <c r="B212" s="166">
        <f>IF($O212="","",INDEX(Master!$B$2:$B$1001,$O212))</f>
      </c>
      <c r="C212">
        <f>IF($O212="","",INDEX(Master!$C$2:$C$1001,$O212))</f>
      </c>
      <c r="D212">
        <f>IF($O212="","",INDEX(Master!$A$2:$A$1001,$O212))</f>
      </c>
      <c r="E212">
        <f>IF($O212="","",INDEX(Master!$E$2:$E$1001,$O212))</f>
      </c>
      <c r="F212">
        <f>IF($O212="","",INDEX(Master!$F$2:$F$1001,$O212))</f>
      </c>
      <c r="G212">
        <f>IF($O212="","",INDEX(Master!$G$2:$G$1001,$O212))</f>
      </c>
      <c r="H212">
        <f>IF($O212="","",INDEX(Master!$H$2:$H$1001,$O212))</f>
      </c>
      <c r="I212">
        <f>IF($O212="","",INDEX(Master!$I$2:$I$1001,$O212))</f>
      </c>
      <c r="J212">
        <f>IF($O212="","",INDEX(Master!$J$2:$J$1001,$O212))</f>
      </c>
      <c r="K212">
        <f t="shared" si="6"/>
      </c>
      <c r="L212">
        <f>IF($O212="","",INDEX(Master!$K$2:$K$1001,$O212))</f>
      </c>
      <c r="M212">
        <f>IF($O212="","",INDEX(Master!$L$2:$L$1001,$O212))</f>
      </c>
      <c r="O212">
        <f t="array" ref="O212">IFERROR(SMALL(IF(Master!$A$2:$A$1001="MASHIVA STEEL AND ALLOYS LLP",ROW(Master!$A$2:$A$1001)-ROW(Master!$A$2)+1),208),"")</f>
      </c>
      <c r="P212">
        <f t="shared" si="7"/>
      </c>
    </row>
    <row r="213" spans="1:16" x14ac:dyDescent="0.25">
      <c r="A213">
        <f>IF($O213="","",INDEX(Master!$D$2:$D$1001,$O213))</f>
      </c>
      <c r="B213" s="166">
        <f>IF($O213="","",INDEX(Master!$B$2:$B$1001,$O213))</f>
      </c>
      <c r="C213">
        <f>IF($O213="","",INDEX(Master!$C$2:$C$1001,$O213))</f>
      </c>
      <c r="D213">
        <f>IF($O213="","",INDEX(Master!$A$2:$A$1001,$O213))</f>
      </c>
      <c r="E213">
        <f>IF($O213="","",INDEX(Master!$E$2:$E$1001,$O213))</f>
      </c>
      <c r="F213">
        <f>IF($O213="","",INDEX(Master!$F$2:$F$1001,$O213))</f>
      </c>
      <c r="G213">
        <f>IF($O213="","",INDEX(Master!$G$2:$G$1001,$O213))</f>
      </c>
      <c r="H213">
        <f>IF($O213="","",INDEX(Master!$H$2:$H$1001,$O213))</f>
      </c>
      <c r="I213">
        <f>IF($O213="","",INDEX(Master!$I$2:$I$1001,$O213))</f>
      </c>
      <c r="J213">
        <f>IF($O213="","",INDEX(Master!$J$2:$J$1001,$O213))</f>
      </c>
      <c r="K213">
        <f t="shared" si="6"/>
      </c>
      <c r="L213">
        <f>IF($O213="","",INDEX(Master!$K$2:$K$1001,$O213))</f>
      </c>
      <c r="M213">
        <f>IF($O213="","",INDEX(Master!$L$2:$L$1001,$O213))</f>
      </c>
      <c r="O213">
        <f t="array" ref="O213">IFERROR(SMALL(IF(Master!$A$2:$A$1001="MASHIVA STEEL AND ALLOYS LLP",ROW(Master!$A$2:$A$1001)-ROW(Master!$A$2)+1),209),"")</f>
      </c>
      <c r="P213">
        <f t="shared" si="7"/>
      </c>
    </row>
    <row r="214" spans="1:16" x14ac:dyDescent="0.25">
      <c r="A214">
        <f>IF($O214="","",INDEX(Master!$D$2:$D$1001,$O214))</f>
      </c>
      <c r="B214" s="166">
        <f>IF($O214="","",INDEX(Master!$B$2:$B$1001,$O214))</f>
      </c>
      <c r="C214">
        <f>IF($O214="","",INDEX(Master!$C$2:$C$1001,$O214))</f>
      </c>
      <c r="D214">
        <f>IF($O214="","",INDEX(Master!$A$2:$A$1001,$O214))</f>
      </c>
      <c r="E214">
        <f>IF($O214="","",INDEX(Master!$E$2:$E$1001,$O214))</f>
      </c>
      <c r="F214">
        <f>IF($O214="","",INDEX(Master!$F$2:$F$1001,$O214))</f>
      </c>
      <c r="G214">
        <f>IF($O214="","",INDEX(Master!$G$2:$G$1001,$O214))</f>
      </c>
      <c r="H214">
        <f>IF($O214="","",INDEX(Master!$H$2:$H$1001,$O214))</f>
      </c>
      <c r="I214">
        <f>IF($O214="","",INDEX(Master!$I$2:$I$1001,$O214))</f>
      </c>
      <c r="J214">
        <f>IF($O214="","",INDEX(Master!$J$2:$J$1001,$O214))</f>
      </c>
      <c r="K214">
        <f t="shared" si="6"/>
      </c>
      <c r="L214">
        <f>IF($O214="","",INDEX(Master!$K$2:$K$1001,$O214))</f>
      </c>
      <c r="M214">
        <f>IF($O214="","",INDEX(Master!$L$2:$L$1001,$O214))</f>
      </c>
      <c r="O214">
        <f t="array" ref="O214">IFERROR(SMALL(IF(Master!$A$2:$A$1001="MASHIVA STEEL AND ALLOYS LLP",ROW(Master!$A$2:$A$1001)-ROW(Master!$A$2)+1),210),"")</f>
      </c>
      <c r="P214">
        <f t="shared" si="7"/>
      </c>
    </row>
    <row r="215" spans="1:16" x14ac:dyDescent="0.25">
      <c r="A215">
        <f>IF($O215="","",INDEX(Master!$D$2:$D$1001,$O215))</f>
      </c>
      <c r="B215" s="166">
        <f>IF($O215="","",INDEX(Master!$B$2:$B$1001,$O215))</f>
      </c>
      <c r="C215">
        <f>IF($O215="","",INDEX(Master!$C$2:$C$1001,$O215))</f>
      </c>
      <c r="D215">
        <f>IF($O215="","",INDEX(Master!$A$2:$A$1001,$O215))</f>
      </c>
      <c r="E215">
        <f>IF($O215="","",INDEX(Master!$E$2:$E$1001,$O215))</f>
      </c>
      <c r="F215">
        <f>IF($O215="","",INDEX(Master!$F$2:$F$1001,$O215))</f>
      </c>
      <c r="G215">
        <f>IF($O215="","",INDEX(Master!$G$2:$G$1001,$O215))</f>
      </c>
      <c r="H215">
        <f>IF($O215="","",INDEX(Master!$H$2:$H$1001,$O215))</f>
      </c>
      <c r="I215">
        <f>IF($O215="","",INDEX(Master!$I$2:$I$1001,$O215))</f>
      </c>
      <c r="J215">
        <f>IF($O215="","",INDEX(Master!$J$2:$J$1001,$O215))</f>
      </c>
      <c r="K215">
        <f t="shared" si="6"/>
      </c>
      <c r="L215">
        <f>IF($O215="","",INDEX(Master!$K$2:$K$1001,$O215))</f>
      </c>
      <c r="M215">
        <f>IF($O215="","",INDEX(Master!$L$2:$L$1001,$O215))</f>
      </c>
      <c r="O215">
        <f t="array" ref="O215">IFERROR(SMALL(IF(Master!$A$2:$A$1001="MASHIVA STEEL AND ALLOYS LLP",ROW(Master!$A$2:$A$1001)-ROW(Master!$A$2)+1),211),"")</f>
      </c>
      <c r="P215">
        <f t="shared" si="7"/>
      </c>
    </row>
    <row r="216" spans="1:16" x14ac:dyDescent="0.25">
      <c r="A216">
        <f>IF($O216="","",INDEX(Master!$D$2:$D$1001,$O216))</f>
      </c>
      <c r="B216" s="166">
        <f>IF($O216="","",INDEX(Master!$B$2:$B$1001,$O216))</f>
      </c>
      <c r="C216">
        <f>IF($O216="","",INDEX(Master!$C$2:$C$1001,$O216))</f>
      </c>
      <c r="D216">
        <f>IF($O216="","",INDEX(Master!$A$2:$A$1001,$O216))</f>
      </c>
      <c r="E216">
        <f>IF($O216="","",INDEX(Master!$E$2:$E$1001,$O216))</f>
      </c>
      <c r="F216">
        <f>IF($O216="","",INDEX(Master!$F$2:$F$1001,$O216))</f>
      </c>
      <c r="G216">
        <f>IF($O216="","",INDEX(Master!$G$2:$G$1001,$O216))</f>
      </c>
      <c r="H216">
        <f>IF($O216="","",INDEX(Master!$H$2:$H$1001,$O216))</f>
      </c>
      <c r="I216">
        <f>IF($O216="","",INDEX(Master!$I$2:$I$1001,$O216))</f>
      </c>
      <c r="J216">
        <f>IF($O216="","",INDEX(Master!$J$2:$J$1001,$O216))</f>
      </c>
      <c r="K216">
        <f t="shared" si="6"/>
      </c>
      <c r="L216">
        <f>IF($O216="","",INDEX(Master!$K$2:$K$1001,$O216))</f>
      </c>
      <c r="M216">
        <f>IF($O216="","",INDEX(Master!$L$2:$L$1001,$O216))</f>
      </c>
      <c r="O216">
        <f t="array" ref="O216">IFERROR(SMALL(IF(Master!$A$2:$A$1001="MASHIVA STEEL AND ALLOYS LLP",ROW(Master!$A$2:$A$1001)-ROW(Master!$A$2)+1),212),"")</f>
      </c>
      <c r="P216">
        <f t="shared" si="7"/>
      </c>
    </row>
    <row r="217" spans="1:16" x14ac:dyDescent="0.25">
      <c r="A217">
        <f>IF($O217="","",INDEX(Master!$D$2:$D$1001,$O217))</f>
      </c>
      <c r="B217" s="166">
        <f>IF($O217="","",INDEX(Master!$B$2:$B$1001,$O217))</f>
      </c>
      <c r="C217">
        <f>IF($O217="","",INDEX(Master!$C$2:$C$1001,$O217))</f>
      </c>
      <c r="D217">
        <f>IF($O217="","",INDEX(Master!$A$2:$A$1001,$O217))</f>
      </c>
      <c r="E217">
        <f>IF($O217="","",INDEX(Master!$E$2:$E$1001,$O217))</f>
      </c>
      <c r="F217">
        <f>IF($O217="","",INDEX(Master!$F$2:$F$1001,$O217))</f>
      </c>
      <c r="G217">
        <f>IF($O217="","",INDEX(Master!$G$2:$G$1001,$O217))</f>
      </c>
      <c r="H217">
        <f>IF($O217="","",INDEX(Master!$H$2:$H$1001,$O217))</f>
      </c>
      <c r="I217">
        <f>IF($O217="","",INDEX(Master!$I$2:$I$1001,$O217))</f>
      </c>
      <c r="J217">
        <f>IF($O217="","",INDEX(Master!$J$2:$J$1001,$O217))</f>
      </c>
      <c r="K217">
        <f t="shared" si="6"/>
      </c>
      <c r="L217">
        <f>IF($O217="","",INDEX(Master!$K$2:$K$1001,$O217))</f>
      </c>
      <c r="M217">
        <f>IF($O217="","",INDEX(Master!$L$2:$L$1001,$O217))</f>
      </c>
      <c r="O217">
        <f t="array" ref="O217">IFERROR(SMALL(IF(Master!$A$2:$A$1001="MASHIVA STEEL AND ALLOYS LLP",ROW(Master!$A$2:$A$1001)-ROW(Master!$A$2)+1),213),"")</f>
      </c>
      <c r="P217">
        <f t="shared" si="7"/>
      </c>
    </row>
    <row r="218" spans="1:16" x14ac:dyDescent="0.25">
      <c r="A218">
        <f>IF($O218="","",INDEX(Master!$D$2:$D$1001,$O218))</f>
      </c>
      <c r="B218" s="166">
        <f>IF($O218="","",INDEX(Master!$B$2:$B$1001,$O218))</f>
      </c>
      <c r="C218">
        <f>IF($O218="","",INDEX(Master!$C$2:$C$1001,$O218))</f>
      </c>
      <c r="D218">
        <f>IF($O218="","",INDEX(Master!$A$2:$A$1001,$O218))</f>
      </c>
      <c r="E218">
        <f>IF($O218="","",INDEX(Master!$E$2:$E$1001,$O218))</f>
      </c>
      <c r="F218">
        <f>IF($O218="","",INDEX(Master!$F$2:$F$1001,$O218))</f>
      </c>
      <c r="G218">
        <f>IF($O218="","",INDEX(Master!$G$2:$G$1001,$O218))</f>
      </c>
      <c r="H218">
        <f>IF($O218="","",INDEX(Master!$H$2:$H$1001,$O218))</f>
      </c>
      <c r="I218">
        <f>IF($O218="","",INDEX(Master!$I$2:$I$1001,$O218))</f>
      </c>
      <c r="J218">
        <f>IF($O218="","",INDEX(Master!$J$2:$J$1001,$O218))</f>
      </c>
      <c r="K218">
        <f t="shared" si="6"/>
      </c>
      <c r="L218">
        <f>IF($O218="","",INDEX(Master!$K$2:$K$1001,$O218))</f>
      </c>
      <c r="M218">
        <f>IF($O218="","",INDEX(Master!$L$2:$L$1001,$O218))</f>
      </c>
      <c r="O218">
        <f t="array" ref="O218">IFERROR(SMALL(IF(Master!$A$2:$A$1001="MASHIVA STEEL AND ALLOYS LLP",ROW(Master!$A$2:$A$1001)-ROW(Master!$A$2)+1),214),"")</f>
      </c>
      <c r="P218">
        <f t="shared" si="7"/>
      </c>
    </row>
    <row r="219" spans="1:16" x14ac:dyDescent="0.25">
      <c r="A219">
        <f>IF($O219="","",INDEX(Master!$D$2:$D$1001,$O219))</f>
      </c>
      <c r="B219" s="166">
        <f>IF($O219="","",INDEX(Master!$B$2:$B$1001,$O219))</f>
      </c>
      <c r="C219">
        <f>IF($O219="","",INDEX(Master!$C$2:$C$1001,$O219))</f>
      </c>
      <c r="D219">
        <f>IF($O219="","",INDEX(Master!$A$2:$A$1001,$O219))</f>
      </c>
      <c r="E219">
        <f>IF($O219="","",INDEX(Master!$E$2:$E$1001,$O219))</f>
      </c>
      <c r="F219">
        <f>IF($O219="","",INDEX(Master!$F$2:$F$1001,$O219))</f>
      </c>
      <c r="G219">
        <f>IF($O219="","",INDEX(Master!$G$2:$G$1001,$O219))</f>
      </c>
      <c r="H219">
        <f>IF($O219="","",INDEX(Master!$H$2:$H$1001,$O219))</f>
      </c>
      <c r="I219">
        <f>IF($O219="","",INDEX(Master!$I$2:$I$1001,$O219))</f>
      </c>
      <c r="J219">
        <f>IF($O219="","",INDEX(Master!$J$2:$J$1001,$O219))</f>
      </c>
      <c r="K219">
        <f t="shared" si="6"/>
      </c>
      <c r="L219">
        <f>IF($O219="","",INDEX(Master!$K$2:$K$1001,$O219))</f>
      </c>
      <c r="M219">
        <f>IF($O219="","",INDEX(Master!$L$2:$L$1001,$O219))</f>
      </c>
      <c r="O219">
        <f t="array" ref="O219">IFERROR(SMALL(IF(Master!$A$2:$A$1001="MASHIVA STEEL AND ALLOYS LLP",ROW(Master!$A$2:$A$1001)-ROW(Master!$A$2)+1),215),"")</f>
      </c>
      <c r="P219">
        <f t="shared" si="7"/>
      </c>
    </row>
    <row r="220" spans="1:16" x14ac:dyDescent="0.25">
      <c r="A220">
        <f>IF($O220="","",INDEX(Master!$D$2:$D$1001,$O220))</f>
      </c>
      <c r="B220" s="166">
        <f>IF($O220="","",INDEX(Master!$B$2:$B$1001,$O220))</f>
      </c>
      <c r="C220">
        <f>IF($O220="","",INDEX(Master!$C$2:$C$1001,$O220))</f>
      </c>
      <c r="D220">
        <f>IF($O220="","",INDEX(Master!$A$2:$A$1001,$O220))</f>
      </c>
      <c r="E220">
        <f>IF($O220="","",INDEX(Master!$E$2:$E$1001,$O220))</f>
      </c>
      <c r="F220">
        <f>IF($O220="","",INDEX(Master!$F$2:$F$1001,$O220))</f>
      </c>
      <c r="G220">
        <f>IF($O220="","",INDEX(Master!$G$2:$G$1001,$O220))</f>
      </c>
      <c r="H220">
        <f>IF($O220="","",INDEX(Master!$H$2:$H$1001,$O220))</f>
      </c>
      <c r="I220">
        <f>IF($O220="","",INDEX(Master!$I$2:$I$1001,$O220))</f>
      </c>
      <c r="J220">
        <f>IF($O220="","",INDEX(Master!$J$2:$J$1001,$O220))</f>
      </c>
      <c r="K220">
        <f t="shared" si="6"/>
      </c>
      <c r="L220">
        <f>IF($O220="","",INDEX(Master!$K$2:$K$1001,$O220))</f>
      </c>
      <c r="M220">
        <f>IF($O220="","",INDEX(Master!$L$2:$L$1001,$O220))</f>
      </c>
      <c r="O220">
        <f t="array" ref="O220">IFERROR(SMALL(IF(Master!$A$2:$A$1001="MASHIVA STEEL AND ALLOYS LLP",ROW(Master!$A$2:$A$1001)-ROW(Master!$A$2)+1),216),"")</f>
      </c>
      <c r="P220">
        <f t="shared" si="7"/>
      </c>
    </row>
    <row r="221" spans="1:16" x14ac:dyDescent="0.25">
      <c r="A221">
        <f>IF($O221="","",INDEX(Master!$D$2:$D$1001,$O221))</f>
      </c>
      <c r="B221" s="166">
        <f>IF($O221="","",INDEX(Master!$B$2:$B$1001,$O221))</f>
      </c>
      <c r="C221">
        <f>IF($O221="","",INDEX(Master!$C$2:$C$1001,$O221))</f>
      </c>
      <c r="D221">
        <f>IF($O221="","",INDEX(Master!$A$2:$A$1001,$O221))</f>
      </c>
      <c r="E221">
        <f>IF($O221="","",INDEX(Master!$E$2:$E$1001,$O221))</f>
      </c>
      <c r="F221">
        <f>IF($O221="","",INDEX(Master!$F$2:$F$1001,$O221))</f>
      </c>
      <c r="G221">
        <f>IF($O221="","",INDEX(Master!$G$2:$G$1001,$O221))</f>
      </c>
      <c r="H221">
        <f>IF($O221="","",INDEX(Master!$H$2:$H$1001,$O221))</f>
      </c>
      <c r="I221">
        <f>IF($O221="","",INDEX(Master!$I$2:$I$1001,$O221))</f>
      </c>
      <c r="J221">
        <f>IF($O221="","",INDEX(Master!$J$2:$J$1001,$O221))</f>
      </c>
      <c r="K221">
        <f t="shared" si="6"/>
      </c>
      <c r="L221">
        <f>IF($O221="","",INDEX(Master!$K$2:$K$1001,$O221))</f>
      </c>
      <c r="M221">
        <f>IF($O221="","",INDEX(Master!$L$2:$L$1001,$O221))</f>
      </c>
      <c r="O221">
        <f t="array" ref="O221">IFERROR(SMALL(IF(Master!$A$2:$A$1001="MASHIVA STEEL AND ALLOYS LLP",ROW(Master!$A$2:$A$1001)-ROW(Master!$A$2)+1),217),"")</f>
      </c>
      <c r="P221">
        <f t="shared" si="7"/>
      </c>
    </row>
    <row r="222" spans="1:16" x14ac:dyDescent="0.25">
      <c r="A222">
        <f>IF($O222="","",INDEX(Master!$D$2:$D$1001,$O222))</f>
      </c>
      <c r="B222" s="166">
        <f>IF($O222="","",INDEX(Master!$B$2:$B$1001,$O222))</f>
      </c>
      <c r="C222">
        <f>IF($O222="","",INDEX(Master!$C$2:$C$1001,$O222))</f>
      </c>
      <c r="D222">
        <f>IF($O222="","",INDEX(Master!$A$2:$A$1001,$O222))</f>
      </c>
      <c r="E222">
        <f>IF($O222="","",INDEX(Master!$E$2:$E$1001,$O222))</f>
      </c>
      <c r="F222">
        <f>IF($O222="","",INDEX(Master!$F$2:$F$1001,$O222))</f>
      </c>
      <c r="G222">
        <f>IF($O222="","",INDEX(Master!$G$2:$G$1001,$O222))</f>
      </c>
      <c r="H222">
        <f>IF($O222="","",INDEX(Master!$H$2:$H$1001,$O222))</f>
      </c>
      <c r="I222">
        <f>IF($O222="","",INDEX(Master!$I$2:$I$1001,$O222))</f>
      </c>
      <c r="J222">
        <f>IF($O222="","",INDEX(Master!$J$2:$J$1001,$O222))</f>
      </c>
      <c r="K222">
        <f t="shared" si="6"/>
      </c>
      <c r="L222">
        <f>IF($O222="","",INDEX(Master!$K$2:$K$1001,$O222))</f>
      </c>
      <c r="M222">
        <f>IF($O222="","",INDEX(Master!$L$2:$L$1001,$O222))</f>
      </c>
      <c r="O222">
        <f t="array" ref="O222">IFERROR(SMALL(IF(Master!$A$2:$A$1001="MASHIVA STEEL AND ALLOYS LLP",ROW(Master!$A$2:$A$1001)-ROW(Master!$A$2)+1),218),"")</f>
      </c>
      <c r="P222">
        <f t="shared" si="7"/>
      </c>
    </row>
    <row r="223" spans="1:16" x14ac:dyDescent="0.25">
      <c r="A223">
        <f>IF($O223="","",INDEX(Master!$D$2:$D$1001,$O223))</f>
      </c>
      <c r="B223" s="166">
        <f>IF($O223="","",INDEX(Master!$B$2:$B$1001,$O223))</f>
      </c>
      <c r="C223">
        <f>IF($O223="","",INDEX(Master!$C$2:$C$1001,$O223))</f>
      </c>
      <c r="D223">
        <f>IF($O223="","",INDEX(Master!$A$2:$A$1001,$O223))</f>
      </c>
      <c r="E223">
        <f>IF($O223="","",INDEX(Master!$E$2:$E$1001,$O223))</f>
      </c>
      <c r="F223">
        <f>IF($O223="","",INDEX(Master!$F$2:$F$1001,$O223))</f>
      </c>
      <c r="G223">
        <f>IF($O223="","",INDEX(Master!$G$2:$G$1001,$O223))</f>
      </c>
      <c r="H223">
        <f>IF($O223="","",INDEX(Master!$H$2:$H$1001,$O223))</f>
      </c>
      <c r="I223">
        <f>IF($O223="","",INDEX(Master!$I$2:$I$1001,$O223))</f>
      </c>
      <c r="J223">
        <f>IF($O223="","",INDEX(Master!$J$2:$J$1001,$O223))</f>
      </c>
      <c r="K223">
        <f t="shared" si="6"/>
      </c>
      <c r="L223">
        <f>IF($O223="","",INDEX(Master!$K$2:$K$1001,$O223))</f>
      </c>
      <c r="M223">
        <f>IF($O223="","",INDEX(Master!$L$2:$L$1001,$O223))</f>
      </c>
      <c r="O223">
        <f t="array" ref="O223">IFERROR(SMALL(IF(Master!$A$2:$A$1001="MASHIVA STEEL AND ALLOYS LLP",ROW(Master!$A$2:$A$1001)-ROW(Master!$A$2)+1),219),"")</f>
      </c>
      <c r="P223">
        <f t="shared" si="7"/>
      </c>
    </row>
    <row r="224" spans="1:16" x14ac:dyDescent="0.25">
      <c r="A224">
        <f>IF($O224="","",INDEX(Master!$D$2:$D$1001,$O224))</f>
      </c>
      <c r="B224" s="166">
        <f>IF($O224="","",INDEX(Master!$B$2:$B$1001,$O224))</f>
      </c>
      <c r="C224">
        <f>IF($O224="","",INDEX(Master!$C$2:$C$1001,$O224))</f>
      </c>
      <c r="D224">
        <f>IF($O224="","",INDEX(Master!$A$2:$A$1001,$O224))</f>
      </c>
      <c r="E224">
        <f>IF($O224="","",INDEX(Master!$E$2:$E$1001,$O224))</f>
      </c>
      <c r="F224">
        <f>IF($O224="","",INDEX(Master!$F$2:$F$1001,$O224))</f>
      </c>
      <c r="G224">
        <f>IF($O224="","",INDEX(Master!$G$2:$G$1001,$O224))</f>
      </c>
      <c r="H224">
        <f>IF($O224="","",INDEX(Master!$H$2:$H$1001,$O224))</f>
      </c>
      <c r="I224">
        <f>IF($O224="","",INDEX(Master!$I$2:$I$1001,$O224))</f>
      </c>
      <c r="J224">
        <f>IF($O224="","",INDEX(Master!$J$2:$J$1001,$O224))</f>
      </c>
      <c r="K224">
        <f t="shared" si="6"/>
      </c>
      <c r="L224">
        <f>IF($O224="","",INDEX(Master!$K$2:$K$1001,$O224))</f>
      </c>
      <c r="M224">
        <f>IF($O224="","",INDEX(Master!$L$2:$L$1001,$O224))</f>
      </c>
      <c r="O224">
        <f t="array" ref="O224">IFERROR(SMALL(IF(Master!$A$2:$A$1001="MASHIVA STEEL AND ALLOYS LLP",ROW(Master!$A$2:$A$1001)-ROW(Master!$A$2)+1),220),"")</f>
      </c>
      <c r="P224">
        <f t="shared" si="7"/>
      </c>
    </row>
    <row r="225" spans="1:16" x14ac:dyDescent="0.25">
      <c r="A225">
        <f>IF($O225="","",INDEX(Master!$D$2:$D$1001,$O225))</f>
      </c>
      <c r="B225" s="166">
        <f>IF($O225="","",INDEX(Master!$B$2:$B$1001,$O225))</f>
      </c>
      <c r="C225">
        <f>IF($O225="","",INDEX(Master!$C$2:$C$1001,$O225))</f>
      </c>
      <c r="D225">
        <f>IF($O225="","",INDEX(Master!$A$2:$A$1001,$O225))</f>
      </c>
      <c r="E225">
        <f>IF($O225="","",INDEX(Master!$E$2:$E$1001,$O225))</f>
      </c>
      <c r="F225">
        <f>IF($O225="","",INDEX(Master!$F$2:$F$1001,$O225))</f>
      </c>
      <c r="G225">
        <f>IF($O225="","",INDEX(Master!$G$2:$G$1001,$O225))</f>
      </c>
      <c r="H225">
        <f>IF($O225="","",INDEX(Master!$H$2:$H$1001,$O225))</f>
      </c>
      <c r="I225">
        <f>IF($O225="","",INDEX(Master!$I$2:$I$1001,$O225))</f>
      </c>
      <c r="J225">
        <f>IF($O225="","",INDEX(Master!$J$2:$J$1001,$O225))</f>
      </c>
      <c r="K225">
        <f t="shared" si="6"/>
      </c>
      <c r="L225">
        <f>IF($O225="","",INDEX(Master!$K$2:$K$1001,$O225))</f>
      </c>
      <c r="M225">
        <f>IF($O225="","",INDEX(Master!$L$2:$L$1001,$O225))</f>
      </c>
      <c r="O225">
        <f t="array" ref="O225">IFERROR(SMALL(IF(Master!$A$2:$A$1001="MASHIVA STEEL AND ALLOYS LLP",ROW(Master!$A$2:$A$1001)-ROW(Master!$A$2)+1),221),"")</f>
      </c>
      <c r="P225">
        <f t="shared" si="7"/>
      </c>
    </row>
    <row r="226" spans="1:16" x14ac:dyDescent="0.25">
      <c r="A226">
        <f>IF($O226="","",INDEX(Master!$D$2:$D$1001,$O226))</f>
      </c>
      <c r="B226" s="166">
        <f>IF($O226="","",INDEX(Master!$B$2:$B$1001,$O226))</f>
      </c>
      <c r="C226">
        <f>IF($O226="","",INDEX(Master!$C$2:$C$1001,$O226))</f>
      </c>
      <c r="D226">
        <f>IF($O226="","",INDEX(Master!$A$2:$A$1001,$O226))</f>
      </c>
      <c r="E226">
        <f>IF($O226="","",INDEX(Master!$E$2:$E$1001,$O226))</f>
      </c>
      <c r="F226">
        <f>IF($O226="","",INDEX(Master!$F$2:$F$1001,$O226))</f>
      </c>
      <c r="G226">
        <f>IF($O226="","",INDEX(Master!$G$2:$G$1001,$O226))</f>
      </c>
      <c r="H226">
        <f>IF($O226="","",INDEX(Master!$H$2:$H$1001,$O226))</f>
      </c>
      <c r="I226">
        <f>IF($O226="","",INDEX(Master!$I$2:$I$1001,$O226))</f>
      </c>
      <c r="J226">
        <f>IF($O226="","",INDEX(Master!$J$2:$J$1001,$O226))</f>
      </c>
      <c r="K226">
        <f t="shared" si="6"/>
      </c>
      <c r="L226">
        <f>IF($O226="","",INDEX(Master!$K$2:$K$1001,$O226))</f>
      </c>
      <c r="M226">
        <f>IF($O226="","",INDEX(Master!$L$2:$L$1001,$O226))</f>
      </c>
      <c r="O226">
        <f t="array" ref="O226">IFERROR(SMALL(IF(Master!$A$2:$A$1001="MASHIVA STEEL AND ALLOYS LLP",ROW(Master!$A$2:$A$1001)-ROW(Master!$A$2)+1),222),"")</f>
      </c>
      <c r="P226">
        <f t="shared" si="7"/>
      </c>
    </row>
    <row r="227" spans="1:16" x14ac:dyDescent="0.25">
      <c r="A227">
        <f>IF($O227="","",INDEX(Master!$D$2:$D$1001,$O227))</f>
      </c>
      <c r="B227" s="166">
        <f>IF($O227="","",INDEX(Master!$B$2:$B$1001,$O227))</f>
      </c>
      <c r="C227">
        <f>IF($O227="","",INDEX(Master!$C$2:$C$1001,$O227))</f>
      </c>
      <c r="D227">
        <f>IF($O227="","",INDEX(Master!$A$2:$A$1001,$O227))</f>
      </c>
      <c r="E227">
        <f>IF($O227="","",INDEX(Master!$E$2:$E$1001,$O227))</f>
      </c>
      <c r="F227">
        <f>IF($O227="","",INDEX(Master!$F$2:$F$1001,$O227))</f>
      </c>
      <c r="G227">
        <f>IF($O227="","",INDEX(Master!$G$2:$G$1001,$O227))</f>
      </c>
      <c r="H227">
        <f>IF($O227="","",INDEX(Master!$H$2:$H$1001,$O227))</f>
      </c>
      <c r="I227">
        <f>IF($O227="","",INDEX(Master!$I$2:$I$1001,$O227))</f>
      </c>
      <c r="J227">
        <f>IF($O227="","",INDEX(Master!$J$2:$J$1001,$O227))</f>
      </c>
      <c r="K227">
        <f t="shared" si="6"/>
      </c>
      <c r="L227">
        <f>IF($O227="","",INDEX(Master!$K$2:$K$1001,$O227))</f>
      </c>
      <c r="M227">
        <f>IF($O227="","",INDEX(Master!$L$2:$L$1001,$O227))</f>
      </c>
      <c r="O227">
        <f t="array" ref="O227">IFERROR(SMALL(IF(Master!$A$2:$A$1001="MASHIVA STEEL AND ALLOYS LLP",ROW(Master!$A$2:$A$1001)-ROW(Master!$A$2)+1),223),"")</f>
      </c>
      <c r="P227">
        <f t="shared" si="7"/>
      </c>
    </row>
    <row r="228" spans="1:16" x14ac:dyDescent="0.25">
      <c r="A228">
        <f>IF($O228="","",INDEX(Master!$D$2:$D$1001,$O228))</f>
      </c>
      <c r="B228" s="166">
        <f>IF($O228="","",INDEX(Master!$B$2:$B$1001,$O228))</f>
      </c>
      <c r="C228">
        <f>IF($O228="","",INDEX(Master!$C$2:$C$1001,$O228))</f>
      </c>
      <c r="D228">
        <f>IF($O228="","",INDEX(Master!$A$2:$A$1001,$O228))</f>
      </c>
      <c r="E228">
        <f>IF($O228="","",INDEX(Master!$E$2:$E$1001,$O228))</f>
      </c>
      <c r="F228">
        <f>IF($O228="","",INDEX(Master!$F$2:$F$1001,$O228))</f>
      </c>
      <c r="G228">
        <f>IF($O228="","",INDEX(Master!$G$2:$G$1001,$O228))</f>
      </c>
      <c r="H228">
        <f>IF($O228="","",INDEX(Master!$H$2:$H$1001,$O228))</f>
      </c>
      <c r="I228">
        <f>IF($O228="","",INDEX(Master!$I$2:$I$1001,$O228))</f>
      </c>
      <c r="J228">
        <f>IF($O228="","",INDEX(Master!$J$2:$J$1001,$O228))</f>
      </c>
      <c r="K228">
        <f t="shared" si="6"/>
      </c>
      <c r="L228">
        <f>IF($O228="","",INDEX(Master!$K$2:$K$1001,$O228))</f>
      </c>
      <c r="M228">
        <f>IF($O228="","",INDEX(Master!$L$2:$L$1001,$O228))</f>
      </c>
      <c r="O228">
        <f t="array" ref="O228">IFERROR(SMALL(IF(Master!$A$2:$A$1001="MASHIVA STEEL AND ALLOYS LLP",ROW(Master!$A$2:$A$1001)-ROW(Master!$A$2)+1),224),"")</f>
      </c>
      <c r="P228">
        <f t="shared" si="7"/>
      </c>
    </row>
    <row r="229" spans="1:16" x14ac:dyDescent="0.25">
      <c r="A229">
        <f>IF($O229="","",INDEX(Master!$D$2:$D$1001,$O229))</f>
      </c>
      <c r="B229" s="166">
        <f>IF($O229="","",INDEX(Master!$B$2:$B$1001,$O229))</f>
      </c>
      <c r="C229">
        <f>IF($O229="","",INDEX(Master!$C$2:$C$1001,$O229))</f>
      </c>
      <c r="D229">
        <f>IF($O229="","",INDEX(Master!$A$2:$A$1001,$O229))</f>
      </c>
      <c r="E229">
        <f>IF($O229="","",INDEX(Master!$E$2:$E$1001,$O229))</f>
      </c>
      <c r="F229">
        <f>IF($O229="","",INDEX(Master!$F$2:$F$1001,$O229))</f>
      </c>
      <c r="G229">
        <f>IF($O229="","",INDEX(Master!$G$2:$G$1001,$O229))</f>
      </c>
      <c r="H229">
        <f>IF($O229="","",INDEX(Master!$H$2:$H$1001,$O229))</f>
      </c>
      <c r="I229">
        <f>IF($O229="","",INDEX(Master!$I$2:$I$1001,$O229))</f>
      </c>
      <c r="J229">
        <f>IF($O229="","",INDEX(Master!$J$2:$J$1001,$O229))</f>
      </c>
      <c r="K229">
        <f t="shared" si="6"/>
      </c>
      <c r="L229">
        <f>IF($O229="","",INDEX(Master!$K$2:$K$1001,$O229))</f>
      </c>
      <c r="M229">
        <f>IF($O229="","",INDEX(Master!$L$2:$L$1001,$O229))</f>
      </c>
      <c r="O229">
        <f t="array" ref="O229">IFERROR(SMALL(IF(Master!$A$2:$A$1001="MASHIVA STEEL AND ALLOYS LLP",ROW(Master!$A$2:$A$1001)-ROW(Master!$A$2)+1),225),"")</f>
      </c>
      <c r="P229">
        <f t="shared" si="7"/>
      </c>
    </row>
    <row r="230" spans="1:16" x14ac:dyDescent="0.25">
      <c r="A230">
        <f>IF($O230="","",INDEX(Master!$D$2:$D$1001,$O230))</f>
      </c>
      <c r="B230" s="166">
        <f>IF($O230="","",INDEX(Master!$B$2:$B$1001,$O230))</f>
      </c>
      <c r="C230">
        <f>IF($O230="","",INDEX(Master!$C$2:$C$1001,$O230))</f>
      </c>
      <c r="D230">
        <f>IF($O230="","",INDEX(Master!$A$2:$A$1001,$O230))</f>
      </c>
      <c r="E230">
        <f>IF($O230="","",INDEX(Master!$E$2:$E$1001,$O230))</f>
      </c>
      <c r="F230">
        <f>IF($O230="","",INDEX(Master!$F$2:$F$1001,$O230))</f>
      </c>
      <c r="G230">
        <f>IF($O230="","",INDEX(Master!$G$2:$G$1001,$O230))</f>
      </c>
      <c r="H230">
        <f>IF($O230="","",INDEX(Master!$H$2:$H$1001,$O230))</f>
      </c>
      <c r="I230">
        <f>IF($O230="","",INDEX(Master!$I$2:$I$1001,$O230))</f>
      </c>
      <c r="J230">
        <f>IF($O230="","",INDEX(Master!$J$2:$J$1001,$O230))</f>
      </c>
      <c r="K230">
        <f t="shared" si="6"/>
      </c>
      <c r="L230">
        <f>IF($O230="","",INDEX(Master!$K$2:$K$1001,$O230))</f>
      </c>
      <c r="M230">
        <f>IF($O230="","",INDEX(Master!$L$2:$L$1001,$O230))</f>
      </c>
      <c r="O230">
        <f t="array" ref="O230">IFERROR(SMALL(IF(Master!$A$2:$A$1001="MASHIVA STEEL AND ALLOYS LLP",ROW(Master!$A$2:$A$1001)-ROW(Master!$A$2)+1),226),"")</f>
      </c>
      <c r="P230">
        <f t="shared" si="7"/>
      </c>
    </row>
    <row r="231" spans="1:16" x14ac:dyDescent="0.25">
      <c r="A231">
        <f>IF($O231="","",INDEX(Master!$D$2:$D$1001,$O231))</f>
      </c>
      <c r="B231" s="166">
        <f>IF($O231="","",INDEX(Master!$B$2:$B$1001,$O231))</f>
      </c>
      <c r="C231">
        <f>IF($O231="","",INDEX(Master!$C$2:$C$1001,$O231))</f>
      </c>
      <c r="D231">
        <f>IF($O231="","",INDEX(Master!$A$2:$A$1001,$O231))</f>
      </c>
      <c r="E231">
        <f>IF($O231="","",INDEX(Master!$E$2:$E$1001,$O231))</f>
      </c>
      <c r="F231">
        <f>IF($O231="","",INDEX(Master!$F$2:$F$1001,$O231))</f>
      </c>
      <c r="G231">
        <f>IF($O231="","",INDEX(Master!$G$2:$G$1001,$O231))</f>
      </c>
      <c r="H231">
        <f>IF($O231="","",INDEX(Master!$H$2:$H$1001,$O231))</f>
      </c>
      <c r="I231">
        <f>IF($O231="","",INDEX(Master!$I$2:$I$1001,$O231))</f>
      </c>
      <c r="J231">
        <f>IF($O231="","",INDEX(Master!$J$2:$J$1001,$O231))</f>
      </c>
      <c r="K231">
        <f t="shared" si="6"/>
      </c>
      <c r="L231">
        <f>IF($O231="","",INDEX(Master!$K$2:$K$1001,$O231))</f>
      </c>
      <c r="M231">
        <f>IF($O231="","",INDEX(Master!$L$2:$L$1001,$O231))</f>
      </c>
      <c r="O231">
        <f t="array" ref="O231">IFERROR(SMALL(IF(Master!$A$2:$A$1001="MASHIVA STEEL AND ALLOYS LLP",ROW(Master!$A$2:$A$1001)-ROW(Master!$A$2)+1),227),"")</f>
      </c>
      <c r="P231">
        <f t="shared" si="7"/>
      </c>
    </row>
    <row r="232" spans="1:16" x14ac:dyDescent="0.25">
      <c r="A232">
        <f>IF($O232="","",INDEX(Master!$D$2:$D$1001,$O232))</f>
      </c>
      <c r="B232" s="166">
        <f>IF($O232="","",INDEX(Master!$B$2:$B$1001,$O232))</f>
      </c>
      <c r="C232">
        <f>IF($O232="","",INDEX(Master!$C$2:$C$1001,$O232))</f>
      </c>
      <c r="D232">
        <f>IF($O232="","",INDEX(Master!$A$2:$A$1001,$O232))</f>
      </c>
      <c r="E232">
        <f>IF($O232="","",INDEX(Master!$E$2:$E$1001,$O232))</f>
      </c>
      <c r="F232">
        <f>IF($O232="","",INDEX(Master!$F$2:$F$1001,$O232))</f>
      </c>
      <c r="G232">
        <f>IF($O232="","",INDEX(Master!$G$2:$G$1001,$O232))</f>
      </c>
      <c r="H232">
        <f>IF($O232="","",INDEX(Master!$H$2:$H$1001,$O232))</f>
      </c>
      <c r="I232">
        <f>IF($O232="","",INDEX(Master!$I$2:$I$1001,$O232))</f>
      </c>
      <c r="J232">
        <f>IF($O232="","",INDEX(Master!$J$2:$J$1001,$O232))</f>
      </c>
      <c r="K232">
        <f t="shared" si="6"/>
      </c>
      <c r="L232">
        <f>IF($O232="","",INDEX(Master!$K$2:$K$1001,$O232))</f>
      </c>
      <c r="M232">
        <f>IF($O232="","",INDEX(Master!$L$2:$L$1001,$O232))</f>
      </c>
      <c r="O232">
        <f t="array" ref="O232">IFERROR(SMALL(IF(Master!$A$2:$A$1001="MASHIVA STEEL AND ALLOYS LLP",ROW(Master!$A$2:$A$1001)-ROW(Master!$A$2)+1),228),"")</f>
      </c>
      <c r="P232">
        <f t="shared" si="7"/>
      </c>
    </row>
    <row r="233" spans="1:16" x14ac:dyDescent="0.25">
      <c r="A233">
        <f>IF($O233="","",INDEX(Master!$D$2:$D$1001,$O233))</f>
      </c>
      <c r="B233" s="166">
        <f>IF($O233="","",INDEX(Master!$B$2:$B$1001,$O233))</f>
      </c>
      <c r="C233">
        <f>IF($O233="","",INDEX(Master!$C$2:$C$1001,$O233))</f>
      </c>
      <c r="D233">
        <f>IF($O233="","",INDEX(Master!$A$2:$A$1001,$O233))</f>
      </c>
      <c r="E233">
        <f>IF($O233="","",INDEX(Master!$E$2:$E$1001,$O233))</f>
      </c>
      <c r="F233">
        <f>IF($O233="","",INDEX(Master!$F$2:$F$1001,$O233))</f>
      </c>
      <c r="G233">
        <f>IF($O233="","",INDEX(Master!$G$2:$G$1001,$O233))</f>
      </c>
      <c r="H233">
        <f>IF($O233="","",INDEX(Master!$H$2:$H$1001,$O233))</f>
      </c>
      <c r="I233">
        <f>IF($O233="","",INDEX(Master!$I$2:$I$1001,$O233))</f>
      </c>
      <c r="J233">
        <f>IF($O233="","",INDEX(Master!$J$2:$J$1001,$O233))</f>
      </c>
      <c r="K233">
        <f t="shared" si="6"/>
      </c>
      <c r="L233">
        <f>IF($O233="","",INDEX(Master!$K$2:$K$1001,$O233))</f>
      </c>
      <c r="M233">
        <f>IF($O233="","",INDEX(Master!$L$2:$L$1001,$O233))</f>
      </c>
      <c r="O233">
        <f t="array" ref="O233">IFERROR(SMALL(IF(Master!$A$2:$A$1001="MASHIVA STEEL AND ALLOYS LLP",ROW(Master!$A$2:$A$1001)-ROW(Master!$A$2)+1),229),"")</f>
      </c>
      <c r="P233">
        <f t="shared" si="7"/>
      </c>
    </row>
    <row r="234" spans="1:16" x14ac:dyDescent="0.25">
      <c r="A234">
        <f>IF($O234="","",INDEX(Master!$D$2:$D$1001,$O234))</f>
      </c>
      <c r="B234" s="166">
        <f>IF($O234="","",INDEX(Master!$B$2:$B$1001,$O234))</f>
      </c>
      <c r="C234">
        <f>IF($O234="","",INDEX(Master!$C$2:$C$1001,$O234))</f>
      </c>
      <c r="D234">
        <f>IF($O234="","",INDEX(Master!$A$2:$A$1001,$O234))</f>
      </c>
      <c r="E234">
        <f>IF($O234="","",INDEX(Master!$E$2:$E$1001,$O234))</f>
      </c>
      <c r="F234">
        <f>IF($O234="","",INDEX(Master!$F$2:$F$1001,$O234))</f>
      </c>
      <c r="G234">
        <f>IF($O234="","",INDEX(Master!$G$2:$G$1001,$O234))</f>
      </c>
      <c r="H234">
        <f>IF($O234="","",INDEX(Master!$H$2:$H$1001,$O234))</f>
      </c>
      <c r="I234">
        <f>IF($O234="","",INDEX(Master!$I$2:$I$1001,$O234))</f>
      </c>
      <c r="J234">
        <f>IF($O234="","",INDEX(Master!$J$2:$J$1001,$O234))</f>
      </c>
      <c r="K234">
        <f t="shared" si="6"/>
      </c>
      <c r="L234">
        <f>IF($O234="","",INDEX(Master!$K$2:$K$1001,$O234))</f>
      </c>
      <c r="M234">
        <f>IF($O234="","",INDEX(Master!$L$2:$L$1001,$O234))</f>
      </c>
      <c r="O234">
        <f t="array" ref="O234">IFERROR(SMALL(IF(Master!$A$2:$A$1001="MASHIVA STEEL AND ALLOYS LLP",ROW(Master!$A$2:$A$1001)-ROW(Master!$A$2)+1),230),"")</f>
      </c>
      <c r="P234">
        <f t="shared" si="7"/>
      </c>
    </row>
    <row r="235" spans="1:16" x14ac:dyDescent="0.25">
      <c r="A235">
        <f>IF($O235="","",INDEX(Master!$D$2:$D$1001,$O235))</f>
      </c>
      <c r="B235" s="166">
        <f>IF($O235="","",INDEX(Master!$B$2:$B$1001,$O235))</f>
      </c>
      <c r="C235">
        <f>IF($O235="","",INDEX(Master!$C$2:$C$1001,$O235))</f>
      </c>
      <c r="D235">
        <f>IF($O235="","",INDEX(Master!$A$2:$A$1001,$O235))</f>
      </c>
      <c r="E235">
        <f>IF($O235="","",INDEX(Master!$E$2:$E$1001,$O235))</f>
      </c>
      <c r="F235">
        <f>IF($O235="","",INDEX(Master!$F$2:$F$1001,$O235))</f>
      </c>
      <c r="G235">
        <f>IF($O235="","",INDEX(Master!$G$2:$G$1001,$O235))</f>
      </c>
      <c r="H235">
        <f>IF($O235="","",INDEX(Master!$H$2:$H$1001,$O235))</f>
      </c>
      <c r="I235">
        <f>IF($O235="","",INDEX(Master!$I$2:$I$1001,$O235))</f>
      </c>
      <c r="J235">
        <f>IF($O235="","",INDEX(Master!$J$2:$J$1001,$O235))</f>
      </c>
      <c r="K235">
        <f t="shared" si="6"/>
      </c>
      <c r="L235">
        <f>IF($O235="","",INDEX(Master!$K$2:$K$1001,$O235))</f>
      </c>
      <c r="M235">
        <f>IF($O235="","",INDEX(Master!$L$2:$L$1001,$O235))</f>
      </c>
      <c r="O235">
        <f t="array" ref="O235">IFERROR(SMALL(IF(Master!$A$2:$A$1001="MASHIVA STEEL AND ALLOYS LLP",ROW(Master!$A$2:$A$1001)-ROW(Master!$A$2)+1),231),"")</f>
      </c>
      <c r="P235">
        <f t="shared" si="7"/>
      </c>
    </row>
    <row r="236" spans="1:16" x14ac:dyDescent="0.25">
      <c r="A236">
        <f>IF($O236="","",INDEX(Master!$D$2:$D$1001,$O236))</f>
      </c>
      <c r="B236" s="166">
        <f>IF($O236="","",INDEX(Master!$B$2:$B$1001,$O236))</f>
      </c>
      <c r="C236">
        <f>IF($O236="","",INDEX(Master!$C$2:$C$1001,$O236))</f>
      </c>
      <c r="D236">
        <f>IF($O236="","",INDEX(Master!$A$2:$A$1001,$O236))</f>
      </c>
      <c r="E236">
        <f>IF($O236="","",INDEX(Master!$E$2:$E$1001,$O236))</f>
      </c>
      <c r="F236">
        <f>IF($O236="","",INDEX(Master!$F$2:$F$1001,$O236))</f>
      </c>
      <c r="G236">
        <f>IF($O236="","",INDEX(Master!$G$2:$G$1001,$O236))</f>
      </c>
      <c r="H236">
        <f>IF($O236="","",INDEX(Master!$H$2:$H$1001,$O236))</f>
      </c>
      <c r="I236">
        <f>IF($O236="","",INDEX(Master!$I$2:$I$1001,$O236))</f>
      </c>
      <c r="J236">
        <f>IF($O236="","",INDEX(Master!$J$2:$J$1001,$O236))</f>
      </c>
      <c r="K236">
        <f t="shared" si="6"/>
      </c>
      <c r="L236">
        <f>IF($O236="","",INDEX(Master!$K$2:$K$1001,$O236))</f>
      </c>
      <c r="M236">
        <f>IF($O236="","",INDEX(Master!$L$2:$L$1001,$O236))</f>
      </c>
      <c r="O236">
        <f t="array" ref="O236">IFERROR(SMALL(IF(Master!$A$2:$A$1001="MASHIVA STEEL AND ALLOYS LLP",ROW(Master!$A$2:$A$1001)-ROW(Master!$A$2)+1),232),"")</f>
      </c>
      <c r="P236">
        <f t="shared" si="7"/>
      </c>
    </row>
    <row r="237" spans="1:16" x14ac:dyDescent="0.25">
      <c r="A237">
        <f>IF($O237="","",INDEX(Master!$D$2:$D$1001,$O237))</f>
      </c>
      <c r="B237" s="166">
        <f>IF($O237="","",INDEX(Master!$B$2:$B$1001,$O237))</f>
      </c>
      <c r="C237">
        <f>IF($O237="","",INDEX(Master!$C$2:$C$1001,$O237))</f>
      </c>
      <c r="D237">
        <f>IF($O237="","",INDEX(Master!$A$2:$A$1001,$O237))</f>
      </c>
      <c r="E237">
        <f>IF($O237="","",INDEX(Master!$E$2:$E$1001,$O237))</f>
      </c>
      <c r="F237">
        <f>IF($O237="","",INDEX(Master!$F$2:$F$1001,$O237))</f>
      </c>
      <c r="G237">
        <f>IF($O237="","",INDEX(Master!$G$2:$G$1001,$O237))</f>
      </c>
      <c r="H237">
        <f>IF($O237="","",INDEX(Master!$H$2:$H$1001,$O237))</f>
      </c>
      <c r="I237">
        <f>IF($O237="","",INDEX(Master!$I$2:$I$1001,$O237))</f>
      </c>
      <c r="J237">
        <f>IF($O237="","",INDEX(Master!$J$2:$J$1001,$O237))</f>
      </c>
      <c r="K237">
        <f t="shared" si="6"/>
      </c>
      <c r="L237">
        <f>IF($O237="","",INDEX(Master!$K$2:$K$1001,$O237))</f>
      </c>
      <c r="M237">
        <f>IF($O237="","",INDEX(Master!$L$2:$L$1001,$O237))</f>
      </c>
      <c r="O237">
        <f t="array" ref="O237">IFERROR(SMALL(IF(Master!$A$2:$A$1001="MASHIVA STEEL AND ALLOYS LLP",ROW(Master!$A$2:$A$1001)-ROW(Master!$A$2)+1),233),"")</f>
      </c>
      <c r="P237">
        <f t="shared" si="7"/>
      </c>
    </row>
    <row r="238" spans="1:16" x14ac:dyDescent="0.25">
      <c r="A238">
        <f>IF($O238="","",INDEX(Master!$D$2:$D$1001,$O238))</f>
      </c>
      <c r="B238" s="166">
        <f>IF($O238="","",INDEX(Master!$B$2:$B$1001,$O238))</f>
      </c>
      <c r="C238">
        <f>IF($O238="","",INDEX(Master!$C$2:$C$1001,$O238))</f>
      </c>
      <c r="D238">
        <f>IF($O238="","",INDEX(Master!$A$2:$A$1001,$O238))</f>
      </c>
      <c r="E238">
        <f>IF($O238="","",INDEX(Master!$E$2:$E$1001,$O238))</f>
      </c>
      <c r="F238">
        <f>IF($O238="","",INDEX(Master!$F$2:$F$1001,$O238))</f>
      </c>
      <c r="G238">
        <f>IF($O238="","",INDEX(Master!$G$2:$G$1001,$O238))</f>
      </c>
      <c r="H238">
        <f>IF($O238="","",INDEX(Master!$H$2:$H$1001,$O238))</f>
      </c>
      <c r="I238">
        <f>IF($O238="","",INDEX(Master!$I$2:$I$1001,$O238))</f>
      </c>
      <c r="J238">
        <f>IF($O238="","",INDEX(Master!$J$2:$J$1001,$O238))</f>
      </c>
      <c r="K238">
        <f t="shared" si="6"/>
      </c>
      <c r="L238">
        <f>IF($O238="","",INDEX(Master!$K$2:$K$1001,$O238))</f>
      </c>
      <c r="M238">
        <f>IF($O238="","",INDEX(Master!$L$2:$L$1001,$O238))</f>
      </c>
      <c r="O238">
        <f t="array" ref="O238">IFERROR(SMALL(IF(Master!$A$2:$A$1001="MASHIVA STEEL AND ALLOYS LLP",ROW(Master!$A$2:$A$1001)-ROW(Master!$A$2)+1),234),"")</f>
      </c>
      <c r="P238">
        <f t="shared" si="7"/>
      </c>
    </row>
    <row r="239" spans="1:16" x14ac:dyDescent="0.25">
      <c r="A239">
        <f>IF($O239="","",INDEX(Master!$D$2:$D$1001,$O239))</f>
      </c>
      <c r="B239" s="166">
        <f>IF($O239="","",INDEX(Master!$B$2:$B$1001,$O239))</f>
      </c>
      <c r="C239">
        <f>IF($O239="","",INDEX(Master!$C$2:$C$1001,$O239))</f>
      </c>
      <c r="D239">
        <f>IF($O239="","",INDEX(Master!$A$2:$A$1001,$O239))</f>
      </c>
      <c r="E239">
        <f>IF($O239="","",INDEX(Master!$E$2:$E$1001,$O239))</f>
      </c>
      <c r="F239">
        <f>IF($O239="","",INDEX(Master!$F$2:$F$1001,$O239))</f>
      </c>
      <c r="G239">
        <f>IF($O239="","",INDEX(Master!$G$2:$G$1001,$O239))</f>
      </c>
      <c r="H239">
        <f>IF($O239="","",INDEX(Master!$H$2:$H$1001,$O239))</f>
      </c>
      <c r="I239">
        <f>IF($O239="","",INDEX(Master!$I$2:$I$1001,$O239))</f>
      </c>
      <c r="J239">
        <f>IF($O239="","",INDEX(Master!$J$2:$J$1001,$O239))</f>
      </c>
      <c r="K239">
        <f t="shared" si="6"/>
      </c>
      <c r="L239">
        <f>IF($O239="","",INDEX(Master!$K$2:$K$1001,$O239))</f>
      </c>
      <c r="M239">
        <f>IF($O239="","",INDEX(Master!$L$2:$L$1001,$O239))</f>
      </c>
      <c r="O239">
        <f t="array" ref="O239">IFERROR(SMALL(IF(Master!$A$2:$A$1001="MASHIVA STEEL AND ALLOYS LLP",ROW(Master!$A$2:$A$1001)-ROW(Master!$A$2)+1),235),"")</f>
      </c>
      <c r="P239">
        <f t="shared" si="7"/>
      </c>
    </row>
    <row r="240" spans="1:16" x14ac:dyDescent="0.25">
      <c r="A240">
        <f>IF($O240="","",INDEX(Master!$D$2:$D$1001,$O240))</f>
      </c>
      <c r="B240" s="166">
        <f>IF($O240="","",INDEX(Master!$B$2:$B$1001,$O240))</f>
      </c>
      <c r="C240">
        <f>IF($O240="","",INDEX(Master!$C$2:$C$1001,$O240))</f>
      </c>
      <c r="D240">
        <f>IF($O240="","",INDEX(Master!$A$2:$A$1001,$O240))</f>
      </c>
      <c r="E240">
        <f>IF($O240="","",INDEX(Master!$E$2:$E$1001,$O240))</f>
      </c>
      <c r="F240">
        <f>IF($O240="","",INDEX(Master!$F$2:$F$1001,$O240))</f>
      </c>
      <c r="G240">
        <f>IF($O240="","",INDEX(Master!$G$2:$G$1001,$O240))</f>
      </c>
      <c r="H240">
        <f>IF($O240="","",INDEX(Master!$H$2:$H$1001,$O240))</f>
      </c>
      <c r="I240">
        <f>IF($O240="","",INDEX(Master!$I$2:$I$1001,$O240))</f>
      </c>
      <c r="J240">
        <f>IF($O240="","",INDEX(Master!$J$2:$J$1001,$O240))</f>
      </c>
      <c r="K240">
        <f t="shared" si="6"/>
      </c>
      <c r="L240">
        <f>IF($O240="","",INDEX(Master!$K$2:$K$1001,$O240))</f>
      </c>
      <c r="M240">
        <f>IF($O240="","",INDEX(Master!$L$2:$L$1001,$O240))</f>
      </c>
      <c r="O240">
        <f t="array" ref="O240">IFERROR(SMALL(IF(Master!$A$2:$A$1001="MASHIVA STEEL AND ALLOYS LLP",ROW(Master!$A$2:$A$1001)-ROW(Master!$A$2)+1),236),"")</f>
      </c>
      <c r="P240">
        <f t="shared" si="7"/>
      </c>
    </row>
    <row r="241" spans="1:16" x14ac:dyDescent="0.25">
      <c r="A241">
        <f>IF($O241="","",INDEX(Master!$D$2:$D$1001,$O241))</f>
      </c>
      <c r="B241" s="166">
        <f>IF($O241="","",INDEX(Master!$B$2:$B$1001,$O241))</f>
      </c>
      <c r="C241">
        <f>IF($O241="","",INDEX(Master!$C$2:$C$1001,$O241))</f>
      </c>
      <c r="D241">
        <f>IF($O241="","",INDEX(Master!$A$2:$A$1001,$O241))</f>
      </c>
      <c r="E241">
        <f>IF($O241="","",INDEX(Master!$E$2:$E$1001,$O241))</f>
      </c>
      <c r="F241">
        <f>IF($O241="","",INDEX(Master!$F$2:$F$1001,$O241))</f>
      </c>
      <c r="G241">
        <f>IF($O241="","",INDEX(Master!$G$2:$G$1001,$O241))</f>
      </c>
      <c r="H241">
        <f>IF($O241="","",INDEX(Master!$H$2:$H$1001,$O241))</f>
      </c>
      <c r="I241">
        <f>IF($O241="","",INDEX(Master!$I$2:$I$1001,$O241))</f>
      </c>
      <c r="J241">
        <f>IF($O241="","",INDEX(Master!$J$2:$J$1001,$O241))</f>
      </c>
      <c r="K241">
        <f t="shared" si="6"/>
      </c>
      <c r="L241">
        <f>IF($O241="","",INDEX(Master!$K$2:$K$1001,$O241))</f>
      </c>
      <c r="M241">
        <f>IF($O241="","",INDEX(Master!$L$2:$L$1001,$O241))</f>
      </c>
      <c r="O241">
        <f t="array" ref="O241">IFERROR(SMALL(IF(Master!$A$2:$A$1001="MASHIVA STEEL AND ALLOYS LLP",ROW(Master!$A$2:$A$1001)-ROW(Master!$A$2)+1),237),"")</f>
      </c>
      <c r="P241">
        <f t="shared" si="7"/>
      </c>
    </row>
    <row r="242" spans="1:16" x14ac:dyDescent="0.25">
      <c r="A242">
        <f>IF($O242="","",INDEX(Master!$D$2:$D$1001,$O242))</f>
      </c>
      <c r="B242" s="166">
        <f>IF($O242="","",INDEX(Master!$B$2:$B$1001,$O242))</f>
      </c>
      <c r="C242">
        <f>IF($O242="","",INDEX(Master!$C$2:$C$1001,$O242))</f>
      </c>
      <c r="D242">
        <f>IF($O242="","",INDEX(Master!$A$2:$A$1001,$O242))</f>
      </c>
      <c r="E242">
        <f>IF($O242="","",INDEX(Master!$E$2:$E$1001,$O242))</f>
      </c>
      <c r="F242">
        <f>IF($O242="","",INDEX(Master!$F$2:$F$1001,$O242))</f>
      </c>
      <c r="G242">
        <f>IF($O242="","",INDEX(Master!$G$2:$G$1001,$O242))</f>
      </c>
      <c r="H242">
        <f>IF($O242="","",INDEX(Master!$H$2:$H$1001,$O242))</f>
      </c>
      <c r="I242">
        <f>IF($O242="","",INDEX(Master!$I$2:$I$1001,$O242))</f>
      </c>
      <c r="J242">
        <f>IF($O242="","",INDEX(Master!$J$2:$J$1001,$O242))</f>
      </c>
      <c r="K242">
        <f t="shared" si="6"/>
      </c>
      <c r="L242">
        <f>IF($O242="","",INDEX(Master!$K$2:$K$1001,$O242))</f>
      </c>
      <c r="M242">
        <f>IF($O242="","",INDEX(Master!$L$2:$L$1001,$O242))</f>
      </c>
      <c r="O242">
        <f t="array" ref="O242">IFERROR(SMALL(IF(Master!$A$2:$A$1001="MASHIVA STEEL AND ALLOYS LLP",ROW(Master!$A$2:$A$1001)-ROW(Master!$A$2)+1),238),"")</f>
      </c>
      <c r="P242">
        <f t="shared" si="7"/>
      </c>
    </row>
    <row r="243" spans="1:16" x14ac:dyDescent="0.25">
      <c r="A243">
        <f>IF($O243="","",INDEX(Master!$D$2:$D$1001,$O243))</f>
      </c>
      <c r="B243" s="166">
        <f>IF($O243="","",INDEX(Master!$B$2:$B$1001,$O243))</f>
      </c>
      <c r="C243">
        <f>IF($O243="","",INDEX(Master!$C$2:$C$1001,$O243))</f>
      </c>
      <c r="D243">
        <f>IF($O243="","",INDEX(Master!$A$2:$A$1001,$O243))</f>
      </c>
      <c r="E243">
        <f>IF($O243="","",INDEX(Master!$E$2:$E$1001,$O243))</f>
      </c>
      <c r="F243">
        <f>IF($O243="","",INDEX(Master!$F$2:$F$1001,$O243))</f>
      </c>
      <c r="G243">
        <f>IF($O243="","",INDEX(Master!$G$2:$G$1001,$O243))</f>
      </c>
      <c r="H243">
        <f>IF($O243="","",INDEX(Master!$H$2:$H$1001,$O243))</f>
      </c>
      <c r="I243">
        <f>IF($O243="","",INDEX(Master!$I$2:$I$1001,$O243))</f>
      </c>
      <c r="J243">
        <f>IF($O243="","",INDEX(Master!$J$2:$J$1001,$O243))</f>
      </c>
      <c r="K243">
        <f t="shared" si="6"/>
      </c>
      <c r="L243">
        <f>IF($O243="","",INDEX(Master!$K$2:$K$1001,$O243))</f>
      </c>
      <c r="M243">
        <f>IF($O243="","",INDEX(Master!$L$2:$L$1001,$O243))</f>
      </c>
      <c r="O243">
        <f t="array" ref="O243">IFERROR(SMALL(IF(Master!$A$2:$A$1001="MASHIVA STEEL AND ALLOYS LLP",ROW(Master!$A$2:$A$1001)-ROW(Master!$A$2)+1),239),"")</f>
      </c>
      <c r="P243">
        <f t="shared" si="7"/>
      </c>
    </row>
    <row r="244" spans="1:16" x14ac:dyDescent="0.25">
      <c r="A244">
        <f>IF($O244="","",INDEX(Master!$D$2:$D$1001,$O244))</f>
      </c>
      <c r="B244" s="166">
        <f>IF($O244="","",INDEX(Master!$B$2:$B$1001,$O244))</f>
      </c>
      <c r="C244">
        <f>IF($O244="","",INDEX(Master!$C$2:$C$1001,$O244))</f>
      </c>
      <c r="D244">
        <f>IF($O244="","",INDEX(Master!$A$2:$A$1001,$O244))</f>
      </c>
      <c r="E244">
        <f>IF($O244="","",INDEX(Master!$E$2:$E$1001,$O244))</f>
      </c>
      <c r="F244">
        <f>IF($O244="","",INDEX(Master!$F$2:$F$1001,$O244))</f>
      </c>
      <c r="G244">
        <f>IF($O244="","",INDEX(Master!$G$2:$G$1001,$O244))</f>
      </c>
      <c r="H244">
        <f>IF($O244="","",INDEX(Master!$H$2:$H$1001,$O244))</f>
      </c>
      <c r="I244">
        <f>IF($O244="","",INDEX(Master!$I$2:$I$1001,$O244))</f>
      </c>
      <c r="J244">
        <f>IF($O244="","",INDEX(Master!$J$2:$J$1001,$O244))</f>
      </c>
      <c r="K244">
        <f t="shared" si="6"/>
      </c>
      <c r="L244">
        <f>IF($O244="","",INDEX(Master!$K$2:$K$1001,$O244))</f>
      </c>
      <c r="M244">
        <f>IF($O244="","",INDEX(Master!$L$2:$L$1001,$O244))</f>
      </c>
      <c r="O244">
        <f t="array" ref="O244">IFERROR(SMALL(IF(Master!$A$2:$A$1001="MASHIVA STEEL AND ALLOYS LLP",ROW(Master!$A$2:$A$1001)-ROW(Master!$A$2)+1),240),"")</f>
      </c>
      <c r="P244">
        <f t="shared" si="7"/>
      </c>
    </row>
    <row r="245" spans="1:16" x14ac:dyDescent="0.25">
      <c r="A245">
        <f>IF($O245="","",INDEX(Master!$D$2:$D$1001,$O245))</f>
      </c>
      <c r="B245" s="166">
        <f>IF($O245="","",INDEX(Master!$B$2:$B$1001,$O245))</f>
      </c>
      <c r="C245">
        <f>IF($O245="","",INDEX(Master!$C$2:$C$1001,$O245))</f>
      </c>
      <c r="D245">
        <f>IF($O245="","",INDEX(Master!$A$2:$A$1001,$O245))</f>
      </c>
      <c r="E245">
        <f>IF($O245="","",INDEX(Master!$E$2:$E$1001,$O245))</f>
      </c>
      <c r="F245">
        <f>IF($O245="","",INDEX(Master!$F$2:$F$1001,$O245))</f>
      </c>
      <c r="G245">
        <f>IF($O245="","",INDEX(Master!$G$2:$G$1001,$O245))</f>
      </c>
      <c r="H245">
        <f>IF($O245="","",INDEX(Master!$H$2:$H$1001,$O245))</f>
      </c>
      <c r="I245">
        <f>IF($O245="","",INDEX(Master!$I$2:$I$1001,$O245))</f>
      </c>
      <c r="J245">
        <f>IF($O245="","",INDEX(Master!$J$2:$J$1001,$O245))</f>
      </c>
      <c r="K245">
        <f t="shared" si="6"/>
      </c>
      <c r="L245">
        <f>IF($O245="","",INDEX(Master!$K$2:$K$1001,$O245))</f>
      </c>
      <c r="M245">
        <f>IF($O245="","",INDEX(Master!$L$2:$L$1001,$O245))</f>
      </c>
      <c r="O245">
        <f t="array" ref="O245">IFERROR(SMALL(IF(Master!$A$2:$A$1001="MASHIVA STEEL AND ALLOYS LLP",ROW(Master!$A$2:$A$1001)-ROW(Master!$A$2)+1),241),"")</f>
      </c>
      <c r="P245">
        <f t="shared" si="7"/>
      </c>
    </row>
    <row r="246" spans="1:16" x14ac:dyDescent="0.25">
      <c r="A246">
        <f>IF($O246="","",INDEX(Master!$D$2:$D$1001,$O246))</f>
      </c>
      <c r="B246" s="166">
        <f>IF($O246="","",INDEX(Master!$B$2:$B$1001,$O246))</f>
      </c>
      <c r="C246">
        <f>IF($O246="","",INDEX(Master!$C$2:$C$1001,$O246))</f>
      </c>
      <c r="D246">
        <f>IF($O246="","",INDEX(Master!$A$2:$A$1001,$O246))</f>
      </c>
      <c r="E246">
        <f>IF($O246="","",INDEX(Master!$E$2:$E$1001,$O246))</f>
      </c>
      <c r="F246">
        <f>IF($O246="","",INDEX(Master!$F$2:$F$1001,$O246))</f>
      </c>
      <c r="G246">
        <f>IF($O246="","",INDEX(Master!$G$2:$G$1001,$O246))</f>
      </c>
      <c r="H246">
        <f>IF($O246="","",INDEX(Master!$H$2:$H$1001,$O246))</f>
      </c>
      <c r="I246">
        <f>IF($O246="","",INDEX(Master!$I$2:$I$1001,$O246))</f>
      </c>
      <c r="J246">
        <f>IF($O246="","",INDEX(Master!$J$2:$J$1001,$O246))</f>
      </c>
      <c r="K246">
        <f t="shared" si="6"/>
      </c>
      <c r="L246">
        <f>IF($O246="","",INDEX(Master!$K$2:$K$1001,$O246))</f>
      </c>
      <c r="M246">
        <f>IF($O246="","",INDEX(Master!$L$2:$L$1001,$O246))</f>
      </c>
      <c r="O246">
        <f t="array" ref="O246">IFERROR(SMALL(IF(Master!$A$2:$A$1001="MASHIVA STEEL AND ALLOYS LLP",ROW(Master!$A$2:$A$1001)-ROW(Master!$A$2)+1),242),"")</f>
      </c>
      <c r="P246">
        <f t="shared" si="7"/>
      </c>
    </row>
    <row r="247" spans="1:16" x14ac:dyDescent="0.25">
      <c r="A247">
        <f>IF($O247="","",INDEX(Master!$D$2:$D$1001,$O247))</f>
      </c>
      <c r="B247" s="166">
        <f>IF($O247="","",INDEX(Master!$B$2:$B$1001,$O247))</f>
      </c>
      <c r="C247">
        <f>IF($O247="","",INDEX(Master!$C$2:$C$1001,$O247))</f>
      </c>
      <c r="D247">
        <f>IF($O247="","",INDEX(Master!$A$2:$A$1001,$O247))</f>
      </c>
      <c r="E247">
        <f>IF($O247="","",INDEX(Master!$E$2:$E$1001,$O247))</f>
      </c>
      <c r="F247">
        <f>IF($O247="","",INDEX(Master!$F$2:$F$1001,$O247))</f>
      </c>
      <c r="G247">
        <f>IF($O247="","",INDEX(Master!$G$2:$G$1001,$O247))</f>
      </c>
      <c r="H247">
        <f>IF($O247="","",INDEX(Master!$H$2:$H$1001,$O247))</f>
      </c>
      <c r="I247">
        <f>IF($O247="","",INDEX(Master!$I$2:$I$1001,$O247))</f>
      </c>
      <c r="J247">
        <f>IF($O247="","",INDEX(Master!$J$2:$J$1001,$O247))</f>
      </c>
      <c r="K247">
        <f t="shared" si="6"/>
      </c>
      <c r="L247">
        <f>IF($O247="","",INDEX(Master!$K$2:$K$1001,$O247))</f>
      </c>
      <c r="M247">
        <f>IF($O247="","",INDEX(Master!$L$2:$L$1001,$O247))</f>
      </c>
      <c r="O247">
        <f t="array" ref="O247">IFERROR(SMALL(IF(Master!$A$2:$A$1001="MASHIVA STEEL AND ALLOYS LLP",ROW(Master!$A$2:$A$1001)-ROW(Master!$A$2)+1),243),"")</f>
      </c>
      <c r="P247">
        <f t="shared" si="7"/>
      </c>
    </row>
    <row r="248" spans="1:16" x14ac:dyDescent="0.25">
      <c r="A248">
        <f>IF($O248="","",INDEX(Master!$D$2:$D$1001,$O248))</f>
      </c>
      <c r="B248" s="166">
        <f>IF($O248="","",INDEX(Master!$B$2:$B$1001,$O248))</f>
      </c>
      <c r="C248">
        <f>IF($O248="","",INDEX(Master!$C$2:$C$1001,$O248))</f>
      </c>
      <c r="D248">
        <f>IF($O248="","",INDEX(Master!$A$2:$A$1001,$O248))</f>
      </c>
      <c r="E248">
        <f>IF($O248="","",INDEX(Master!$E$2:$E$1001,$O248))</f>
      </c>
      <c r="F248">
        <f>IF($O248="","",INDEX(Master!$F$2:$F$1001,$O248))</f>
      </c>
      <c r="G248">
        <f>IF($O248="","",INDEX(Master!$G$2:$G$1001,$O248))</f>
      </c>
      <c r="H248">
        <f>IF($O248="","",INDEX(Master!$H$2:$H$1001,$O248))</f>
      </c>
      <c r="I248">
        <f>IF($O248="","",INDEX(Master!$I$2:$I$1001,$O248))</f>
      </c>
      <c r="J248">
        <f>IF($O248="","",INDEX(Master!$J$2:$J$1001,$O248))</f>
      </c>
      <c r="K248">
        <f t="shared" si="6"/>
      </c>
      <c r="L248">
        <f>IF($O248="","",INDEX(Master!$K$2:$K$1001,$O248))</f>
      </c>
      <c r="M248">
        <f>IF($O248="","",INDEX(Master!$L$2:$L$1001,$O248))</f>
      </c>
      <c r="O248">
        <f t="array" ref="O248">IFERROR(SMALL(IF(Master!$A$2:$A$1001="MASHIVA STEEL AND ALLOYS LLP",ROW(Master!$A$2:$A$1001)-ROW(Master!$A$2)+1),244),"")</f>
      </c>
      <c r="P248">
        <f t="shared" si="7"/>
      </c>
    </row>
    <row r="249" spans="1:16" x14ac:dyDescent="0.25">
      <c r="A249">
        <f>IF($O249="","",INDEX(Master!$D$2:$D$1001,$O249))</f>
      </c>
      <c r="B249" s="166">
        <f>IF($O249="","",INDEX(Master!$B$2:$B$1001,$O249))</f>
      </c>
      <c r="C249">
        <f>IF($O249="","",INDEX(Master!$C$2:$C$1001,$O249))</f>
      </c>
      <c r="D249">
        <f>IF($O249="","",INDEX(Master!$A$2:$A$1001,$O249))</f>
      </c>
      <c r="E249">
        <f>IF($O249="","",INDEX(Master!$E$2:$E$1001,$O249))</f>
      </c>
      <c r="F249">
        <f>IF($O249="","",INDEX(Master!$F$2:$F$1001,$O249))</f>
      </c>
      <c r="G249">
        <f>IF($O249="","",INDEX(Master!$G$2:$G$1001,$O249))</f>
      </c>
      <c r="H249">
        <f>IF($O249="","",INDEX(Master!$H$2:$H$1001,$O249))</f>
      </c>
      <c r="I249">
        <f>IF($O249="","",INDEX(Master!$I$2:$I$1001,$O249))</f>
      </c>
      <c r="J249">
        <f>IF($O249="","",INDEX(Master!$J$2:$J$1001,$O249))</f>
      </c>
      <c r="K249">
        <f t="shared" si="6"/>
      </c>
      <c r="L249">
        <f>IF($O249="","",INDEX(Master!$K$2:$K$1001,$O249))</f>
      </c>
      <c r="M249">
        <f>IF($O249="","",INDEX(Master!$L$2:$L$1001,$O249))</f>
      </c>
      <c r="O249">
        <f t="array" ref="O249">IFERROR(SMALL(IF(Master!$A$2:$A$1001="MASHIVA STEEL AND ALLOYS LLP",ROW(Master!$A$2:$A$1001)-ROW(Master!$A$2)+1),245),"")</f>
      </c>
      <c r="P249">
        <f t="shared" si="7"/>
      </c>
    </row>
    <row r="250" spans="1:16" x14ac:dyDescent="0.25">
      <c r="A250">
        <f>IF($O250="","",INDEX(Master!$D$2:$D$1001,$O250))</f>
      </c>
      <c r="B250" s="166">
        <f>IF($O250="","",INDEX(Master!$B$2:$B$1001,$O250))</f>
      </c>
      <c r="C250">
        <f>IF($O250="","",INDEX(Master!$C$2:$C$1001,$O250))</f>
      </c>
      <c r="D250">
        <f>IF($O250="","",INDEX(Master!$A$2:$A$1001,$O250))</f>
      </c>
      <c r="E250">
        <f>IF($O250="","",INDEX(Master!$E$2:$E$1001,$O250))</f>
      </c>
      <c r="F250">
        <f>IF($O250="","",INDEX(Master!$F$2:$F$1001,$O250))</f>
      </c>
      <c r="G250">
        <f>IF($O250="","",INDEX(Master!$G$2:$G$1001,$O250))</f>
      </c>
      <c r="H250">
        <f>IF($O250="","",INDEX(Master!$H$2:$H$1001,$O250))</f>
      </c>
      <c r="I250">
        <f>IF($O250="","",INDEX(Master!$I$2:$I$1001,$O250))</f>
      </c>
      <c r="J250">
        <f>IF($O250="","",INDEX(Master!$J$2:$J$1001,$O250))</f>
      </c>
      <c r="K250">
        <f t="shared" si="6"/>
      </c>
      <c r="L250">
        <f>IF($O250="","",INDEX(Master!$K$2:$K$1001,$O250))</f>
      </c>
      <c r="M250">
        <f>IF($O250="","",INDEX(Master!$L$2:$L$1001,$O250))</f>
      </c>
      <c r="O250">
        <f t="array" ref="O250">IFERROR(SMALL(IF(Master!$A$2:$A$1001="MASHIVA STEEL AND ALLOYS LLP",ROW(Master!$A$2:$A$1001)-ROW(Master!$A$2)+1),246),"")</f>
      </c>
      <c r="P250">
        <f t="shared" si="7"/>
      </c>
    </row>
    <row r="251" spans="1:16" x14ac:dyDescent="0.25">
      <c r="A251">
        <f>IF($O251="","",INDEX(Master!$D$2:$D$1001,$O251))</f>
      </c>
      <c r="B251" s="166">
        <f>IF($O251="","",INDEX(Master!$B$2:$B$1001,$O251))</f>
      </c>
      <c r="C251">
        <f>IF($O251="","",INDEX(Master!$C$2:$C$1001,$O251))</f>
      </c>
      <c r="D251">
        <f>IF($O251="","",INDEX(Master!$A$2:$A$1001,$O251))</f>
      </c>
      <c r="E251">
        <f>IF($O251="","",INDEX(Master!$E$2:$E$1001,$O251))</f>
      </c>
      <c r="F251">
        <f>IF($O251="","",INDEX(Master!$F$2:$F$1001,$O251))</f>
      </c>
      <c r="G251">
        <f>IF($O251="","",INDEX(Master!$G$2:$G$1001,$O251))</f>
      </c>
      <c r="H251">
        <f>IF($O251="","",INDEX(Master!$H$2:$H$1001,$O251))</f>
      </c>
      <c r="I251">
        <f>IF($O251="","",INDEX(Master!$I$2:$I$1001,$O251))</f>
      </c>
      <c r="J251">
        <f>IF($O251="","",INDEX(Master!$J$2:$J$1001,$O251))</f>
      </c>
      <c r="K251">
        <f t="shared" si="6"/>
      </c>
      <c r="L251">
        <f>IF($O251="","",INDEX(Master!$K$2:$K$1001,$O251))</f>
      </c>
      <c r="M251">
        <f>IF($O251="","",INDEX(Master!$L$2:$L$1001,$O251))</f>
      </c>
      <c r="O251">
        <f t="array" ref="O251">IFERROR(SMALL(IF(Master!$A$2:$A$1001="MASHIVA STEEL AND ALLOYS LLP",ROW(Master!$A$2:$A$1001)-ROW(Master!$A$2)+1),247),"")</f>
      </c>
      <c r="P251">
        <f t="shared" si="7"/>
      </c>
    </row>
    <row r="252" spans="1:16" x14ac:dyDescent="0.25">
      <c r="A252">
        <f>IF($O252="","",INDEX(Master!$D$2:$D$1001,$O252))</f>
      </c>
      <c r="B252" s="166">
        <f>IF($O252="","",INDEX(Master!$B$2:$B$1001,$O252))</f>
      </c>
      <c r="C252">
        <f>IF($O252="","",INDEX(Master!$C$2:$C$1001,$O252))</f>
      </c>
      <c r="D252">
        <f>IF($O252="","",INDEX(Master!$A$2:$A$1001,$O252))</f>
      </c>
      <c r="E252">
        <f>IF($O252="","",INDEX(Master!$E$2:$E$1001,$O252))</f>
      </c>
      <c r="F252">
        <f>IF($O252="","",INDEX(Master!$F$2:$F$1001,$O252))</f>
      </c>
      <c r="G252">
        <f>IF($O252="","",INDEX(Master!$G$2:$G$1001,$O252))</f>
      </c>
      <c r="H252">
        <f>IF($O252="","",INDEX(Master!$H$2:$H$1001,$O252))</f>
      </c>
      <c r="I252">
        <f>IF($O252="","",INDEX(Master!$I$2:$I$1001,$O252))</f>
      </c>
      <c r="J252">
        <f>IF($O252="","",INDEX(Master!$J$2:$J$1001,$O252))</f>
      </c>
      <c r="K252">
        <f t="shared" si="6"/>
      </c>
      <c r="L252">
        <f>IF($O252="","",INDEX(Master!$K$2:$K$1001,$O252))</f>
      </c>
      <c r="M252">
        <f>IF($O252="","",INDEX(Master!$L$2:$L$1001,$O252))</f>
      </c>
      <c r="O252">
        <f t="array" ref="O252">IFERROR(SMALL(IF(Master!$A$2:$A$1001="MASHIVA STEEL AND ALLOYS LLP",ROW(Master!$A$2:$A$1001)-ROW(Master!$A$2)+1),248),"")</f>
      </c>
      <c r="P252">
        <f t="shared" si="7"/>
      </c>
    </row>
    <row r="253" spans="1:16" x14ac:dyDescent="0.25">
      <c r="A253">
        <f>IF($O253="","",INDEX(Master!$D$2:$D$1001,$O253))</f>
      </c>
      <c r="B253" s="166">
        <f>IF($O253="","",INDEX(Master!$B$2:$B$1001,$O253))</f>
      </c>
      <c r="C253">
        <f>IF($O253="","",INDEX(Master!$C$2:$C$1001,$O253))</f>
      </c>
      <c r="D253">
        <f>IF($O253="","",INDEX(Master!$A$2:$A$1001,$O253))</f>
      </c>
      <c r="E253">
        <f>IF($O253="","",INDEX(Master!$E$2:$E$1001,$O253))</f>
      </c>
      <c r="F253">
        <f>IF($O253="","",INDEX(Master!$F$2:$F$1001,$O253))</f>
      </c>
      <c r="G253">
        <f>IF($O253="","",INDEX(Master!$G$2:$G$1001,$O253))</f>
      </c>
      <c r="H253">
        <f>IF($O253="","",INDEX(Master!$H$2:$H$1001,$O253))</f>
      </c>
      <c r="I253">
        <f>IF($O253="","",INDEX(Master!$I$2:$I$1001,$O253))</f>
      </c>
      <c r="J253">
        <f>IF($O253="","",INDEX(Master!$J$2:$J$1001,$O253))</f>
      </c>
      <c r="K253">
        <f t="shared" si="6"/>
      </c>
      <c r="L253">
        <f>IF($O253="","",INDEX(Master!$K$2:$K$1001,$O253))</f>
      </c>
      <c r="M253">
        <f>IF($O253="","",INDEX(Master!$L$2:$L$1001,$O253))</f>
      </c>
      <c r="O253">
        <f t="array" ref="O253">IFERROR(SMALL(IF(Master!$A$2:$A$1001="MASHIVA STEEL AND ALLOYS LLP",ROW(Master!$A$2:$A$1001)-ROW(Master!$A$2)+1),249),"")</f>
      </c>
      <c r="P253">
        <f t="shared" si="7"/>
      </c>
    </row>
    <row r="254" spans="1:16" x14ac:dyDescent="0.25">
      <c r="A254">
        <f>IF($O254="","",INDEX(Master!$D$2:$D$1001,$O254))</f>
      </c>
      <c r="B254" s="166">
        <f>IF($O254="","",INDEX(Master!$B$2:$B$1001,$O254))</f>
      </c>
      <c r="C254">
        <f>IF($O254="","",INDEX(Master!$C$2:$C$1001,$O254))</f>
      </c>
      <c r="D254">
        <f>IF($O254="","",INDEX(Master!$A$2:$A$1001,$O254))</f>
      </c>
      <c r="E254">
        <f>IF($O254="","",INDEX(Master!$E$2:$E$1001,$O254))</f>
      </c>
      <c r="F254">
        <f>IF($O254="","",INDEX(Master!$F$2:$F$1001,$O254))</f>
      </c>
      <c r="G254">
        <f>IF($O254="","",INDEX(Master!$G$2:$G$1001,$O254))</f>
      </c>
      <c r="H254">
        <f>IF($O254="","",INDEX(Master!$H$2:$H$1001,$O254))</f>
      </c>
      <c r="I254">
        <f>IF($O254="","",INDEX(Master!$I$2:$I$1001,$O254))</f>
      </c>
      <c r="J254">
        <f>IF($O254="","",INDEX(Master!$J$2:$J$1001,$O254))</f>
      </c>
      <c r="K254">
        <f t="shared" si="6"/>
      </c>
      <c r="L254">
        <f>IF($O254="","",INDEX(Master!$K$2:$K$1001,$O254))</f>
      </c>
      <c r="M254">
        <f>IF($O254="","",INDEX(Master!$L$2:$L$1001,$O254))</f>
      </c>
      <c r="O254">
        <f t="array" ref="O254">IFERROR(SMALL(IF(Master!$A$2:$A$1001="MASHIVA STEEL AND ALLOYS LLP",ROW(Master!$A$2:$A$1001)-ROW(Master!$A$2)+1),250),"")</f>
      </c>
      <c r="P254">
        <f t="shared" si="7"/>
      </c>
    </row>
    <row r="255" spans="1:16" x14ac:dyDescent="0.25">
      <c r="A255">
        <f>IF($O255="","",INDEX(Master!$D$2:$D$1001,$O255))</f>
      </c>
      <c r="B255" s="166">
        <f>IF($O255="","",INDEX(Master!$B$2:$B$1001,$O255))</f>
      </c>
      <c r="C255">
        <f>IF($O255="","",INDEX(Master!$C$2:$C$1001,$O255))</f>
      </c>
      <c r="D255">
        <f>IF($O255="","",INDEX(Master!$A$2:$A$1001,$O255))</f>
      </c>
      <c r="E255">
        <f>IF($O255="","",INDEX(Master!$E$2:$E$1001,$O255))</f>
      </c>
      <c r="F255">
        <f>IF($O255="","",INDEX(Master!$F$2:$F$1001,$O255))</f>
      </c>
      <c r="G255">
        <f>IF($O255="","",INDEX(Master!$G$2:$G$1001,$O255))</f>
      </c>
      <c r="H255">
        <f>IF($O255="","",INDEX(Master!$H$2:$H$1001,$O255))</f>
      </c>
      <c r="I255">
        <f>IF($O255="","",INDEX(Master!$I$2:$I$1001,$O255))</f>
      </c>
      <c r="J255">
        <f>IF($O255="","",INDEX(Master!$J$2:$J$1001,$O255))</f>
      </c>
      <c r="K255">
        <f t="shared" si="6"/>
      </c>
      <c r="L255">
        <f>IF($O255="","",INDEX(Master!$K$2:$K$1001,$O255))</f>
      </c>
      <c r="M255">
        <f>IF($O255="","",INDEX(Master!$L$2:$L$1001,$O255))</f>
      </c>
      <c r="O255">
        <f t="array" ref="O255">IFERROR(SMALL(IF(Master!$A$2:$A$1001="MASHIVA STEEL AND ALLOYS LLP",ROW(Master!$A$2:$A$1001)-ROW(Master!$A$2)+1),251),"")</f>
      </c>
      <c r="P255">
        <f t="shared" si="7"/>
      </c>
    </row>
    <row r="256" spans="1:16" x14ac:dyDescent="0.25">
      <c r="A256">
        <f>IF($O256="","",INDEX(Master!$D$2:$D$1001,$O256))</f>
      </c>
      <c r="B256" s="166">
        <f>IF($O256="","",INDEX(Master!$B$2:$B$1001,$O256))</f>
      </c>
      <c r="C256">
        <f>IF($O256="","",INDEX(Master!$C$2:$C$1001,$O256))</f>
      </c>
      <c r="D256">
        <f>IF($O256="","",INDEX(Master!$A$2:$A$1001,$O256))</f>
      </c>
      <c r="E256">
        <f>IF($O256="","",INDEX(Master!$E$2:$E$1001,$O256))</f>
      </c>
      <c r="F256">
        <f>IF($O256="","",INDEX(Master!$F$2:$F$1001,$O256))</f>
      </c>
      <c r="G256">
        <f>IF($O256="","",INDEX(Master!$G$2:$G$1001,$O256))</f>
      </c>
      <c r="H256">
        <f>IF($O256="","",INDEX(Master!$H$2:$H$1001,$O256))</f>
      </c>
      <c r="I256">
        <f>IF($O256="","",INDEX(Master!$I$2:$I$1001,$O256))</f>
      </c>
      <c r="J256">
        <f>IF($O256="","",INDEX(Master!$J$2:$J$1001,$O256))</f>
      </c>
      <c r="K256">
        <f t="shared" si="6"/>
      </c>
      <c r="L256">
        <f>IF($O256="","",INDEX(Master!$K$2:$K$1001,$O256))</f>
      </c>
      <c r="M256">
        <f>IF($O256="","",INDEX(Master!$L$2:$L$1001,$O256))</f>
      </c>
      <c r="O256">
        <f t="array" ref="O256">IFERROR(SMALL(IF(Master!$A$2:$A$1001="MASHIVA STEEL AND ALLOYS LLP",ROW(Master!$A$2:$A$1001)-ROW(Master!$A$2)+1),252),"")</f>
      </c>
      <c r="P256">
        <f t="shared" si="7"/>
      </c>
    </row>
    <row r="257" spans="1:16" x14ac:dyDescent="0.25">
      <c r="A257">
        <f>IF($O257="","",INDEX(Master!$D$2:$D$1001,$O257))</f>
      </c>
      <c r="B257" s="166">
        <f>IF($O257="","",INDEX(Master!$B$2:$B$1001,$O257))</f>
      </c>
      <c r="C257">
        <f>IF($O257="","",INDEX(Master!$C$2:$C$1001,$O257))</f>
      </c>
      <c r="D257">
        <f>IF($O257="","",INDEX(Master!$A$2:$A$1001,$O257))</f>
      </c>
      <c r="E257">
        <f>IF($O257="","",INDEX(Master!$E$2:$E$1001,$O257))</f>
      </c>
      <c r="F257">
        <f>IF($O257="","",INDEX(Master!$F$2:$F$1001,$O257))</f>
      </c>
      <c r="G257">
        <f>IF($O257="","",INDEX(Master!$G$2:$G$1001,$O257))</f>
      </c>
      <c r="H257">
        <f>IF($O257="","",INDEX(Master!$H$2:$H$1001,$O257))</f>
      </c>
      <c r="I257">
        <f>IF($O257="","",INDEX(Master!$I$2:$I$1001,$O257))</f>
      </c>
      <c r="J257">
        <f>IF($O257="","",INDEX(Master!$J$2:$J$1001,$O257))</f>
      </c>
      <c r="K257">
        <f t="shared" si="6"/>
      </c>
      <c r="L257">
        <f>IF($O257="","",INDEX(Master!$K$2:$K$1001,$O257))</f>
      </c>
      <c r="M257">
        <f>IF($O257="","",INDEX(Master!$L$2:$L$1001,$O257))</f>
      </c>
      <c r="O257">
        <f t="array" ref="O257">IFERROR(SMALL(IF(Master!$A$2:$A$1001="MASHIVA STEEL AND ALLOYS LLP",ROW(Master!$A$2:$A$1001)-ROW(Master!$A$2)+1),253),"")</f>
      </c>
      <c r="P257">
        <f t="shared" si="7"/>
      </c>
    </row>
    <row r="258" spans="1:16" x14ac:dyDescent="0.25">
      <c r="A258">
        <f>IF($O258="","",INDEX(Master!$D$2:$D$1001,$O258))</f>
      </c>
      <c r="B258" s="166">
        <f>IF($O258="","",INDEX(Master!$B$2:$B$1001,$O258))</f>
      </c>
      <c r="C258">
        <f>IF($O258="","",INDEX(Master!$C$2:$C$1001,$O258))</f>
      </c>
      <c r="D258">
        <f>IF($O258="","",INDEX(Master!$A$2:$A$1001,$O258))</f>
      </c>
      <c r="E258">
        <f>IF($O258="","",INDEX(Master!$E$2:$E$1001,$O258))</f>
      </c>
      <c r="F258">
        <f>IF($O258="","",INDEX(Master!$F$2:$F$1001,$O258))</f>
      </c>
      <c r="G258">
        <f>IF($O258="","",INDEX(Master!$G$2:$G$1001,$O258))</f>
      </c>
      <c r="H258">
        <f>IF($O258="","",INDEX(Master!$H$2:$H$1001,$O258))</f>
      </c>
      <c r="I258">
        <f>IF($O258="","",INDEX(Master!$I$2:$I$1001,$O258))</f>
      </c>
      <c r="J258">
        <f>IF($O258="","",INDEX(Master!$J$2:$J$1001,$O258))</f>
      </c>
      <c r="K258">
        <f t="shared" si="6"/>
      </c>
      <c r="L258">
        <f>IF($O258="","",INDEX(Master!$K$2:$K$1001,$O258))</f>
      </c>
      <c r="M258">
        <f>IF($O258="","",INDEX(Master!$L$2:$L$1001,$O258))</f>
      </c>
      <c r="O258">
        <f t="array" ref="O258">IFERROR(SMALL(IF(Master!$A$2:$A$1001="MASHIVA STEEL AND ALLOYS LLP",ROW(Master!$A$2:$A$1001)-ROW(Master!$A$2)+1),254),"")</f>
      </c>
      <c r="P258">
        <f t="shared" si="7"/>
      </c>
    </row>
    <row r="259" spans="1:16" x14ac:dyDescent="0.25">
      <c r="A259">
        <f>IF($O259="","",INDEX(Master!$D$2:$D$1001,$O259))</f>
      </c>
      <c r="B259" s="166">
        <f>IF($O259="","",INDEX(Master!$B$2:$B$1001,$O259))</f>
      </c>
      <c r="C259">
        <f>IF($O259="","",INDEX(Master!$C$2:$C$1001,$O259))</f>
      </c>
      <c r="D259">
        <f>IF($O259="","",INDEX(Master!$A$2:$A$1001,$O259))</f>
      </c>
      <c r="E259">
        <f>IF($O259="","",INDEX(Master!$E$2:$E$1001,$O259))</f>
      </c>
      <c r="F259">
        <f>IF($O259="","",INDEX(Master!$F$2:$F$1001,$O259))</f>
      </c>
      <c r="G259">
        <f>IF($O259="","",INDEX(Master!$G$2:$G$1001,$O259))</f>
      </c>
      <c r="H259">
        <f>IF($O259="","",INDEX(Master!$H$2:$H$1001,$O259))</f>
      </c>
      <c r="I259">
        <f>IF($O259="","",INDEX(Master!$I$2:$I$1001,$O259))</f>
      </c>
      <c r="J259">
        <f>IF($O259="","",INDEX(Master!$J$2:$J$1001,$O259))</f>
      </c>
      <c r="K259">
        <f t="shared" si="6"/>
      </c>
      <c r="L259">
        <f>IF($O259="","",INDEX(Master!$K$2:$K$1001,$O259))</f>
      </c>
      <c r="M259">
        <f>IF($O259="","",INDEX(Master!$L$2:$L$1001,$O259))</f>
      </c>
      <c r="O259">
        <f t="array" ref="O259">IFERROR(SMALL(IF(Master!$A$2:$A$1001="MASHIVA STEEL AND ALLOYS LLP",ROW(Master!$A$2:$A$1001)-ROW(Master!$A$2)+1),255),"")</f>
      </c>
      <c r="P259">
        <f t="shared" si="7"/>
      </c>
    </row>
    <row r="260" spans="1:16" x14ac:dyDescent="0.25">
      <c r="A260">
        <f>IF($O260="","",INDEX(Master!$D$2:$D$1001,$O260))</f>
      </c>
      <c r="B260" s="166">
        <f>IF($O260="","",INDEX(Master!$B$2:$B$1001,$O260))</f>
      </c>
      <c r="C260">
        <f>IF($O260="","",INDEX(Master!$C$2:$C$1001,$O260))</f>
      </c>
      <c r="D260">
        <f>IF($O260="","",INDEX(Master!$A$2:$A$1001,$O260))</f>
      </c>
      <c r="E260">
        <f>IF($O260="","",INDEX(Master!$E$2:$E$1001,$O260))</f>
      </c>
      <c r="F260">
        <f>IF($O260="","",INDEX(Master!$F$2:$F$1001,$O260))</f>
      </c>
      <c r="G260">
        <f>IF($O260="","",INDEX(Master!$G$2:$G$1001,$O260))</f>
      </c>
      <c r="H260">
        <f>IF($O260="","",INDEX(Master!$H$2:$H$1001,$O260))</f>
      </c>
      <c r="I260">
        <f>IF($O260="","",INDEX(Master!$I$2:$I$1001,$O260))</f>
      </c>
      <c r="J260">
        <f>IF($O260="","",INDEX(Master!$J$2:$J$1001,$O260))</f>
      </c>
      <c r="K260">
        <f t="shared" si="6"/>
      </c>
      <c r="L260">
        <f>IF($O260="","",INDEX(Master!$K$2:$K$1001,$O260))</f>
      </c>
      <c r="M260">
        <f>IF($O260="","",INDEX(Master!$L$2:$L$1001,$O260))</f>
      </c>
      <c r="O260">
        <f t="array" ref="O260">IFERROR(SMALL(IF(Master!$A$2:$A$1001="MASHIVA STEEL AND ALLOYS LLP",ROW(Master!$A$2:$A$1001)-ROW(Master!$A$2)+1),256),"")</f>
      </c>
      <c r="P260">
        <f t="shared" si="7"/>
      </c>
    </row>
    <row r="261" spans="1:16" x14ac:dyDescent="0.25">
      <c r="A261">
        <f>IF($O261="","",INDEX(Master!$D$2:$D$1001,$O261))</f>
      </c>
      <c r="B261" s="166">
        <f>IF($O261="","",INDEX(Master!$B$2:$B$1001,$O261))</f>
      </c>
      <c r="C261">
        <f>IF($O261="","",INDEX(Master!$C$2:$C$1001,$O261))</f>
      </c>
      <c r="D261">
        <f>IF($O261="","",INDEX(Master!$A$2:$A$1001,$O261))</f>
      </c>
      <c r="E261">
        <f>IF($O261="","",INDEX(Master!$E$2:$E$1001,$O261))</f>
      </c>
      <c r="F261">
        <f>IF($O261="","",INDEX(Master!$F$2:$F$1001,$O261))</f>
      </c>
      <c r="G261">
        <f>IF($O261="","",INDEX(Master!$G$2:$G$1001,$O261))</f>
      </c>
      <c r="H261">
        <f>IF($O261="","",INDEX(Master!$H$2:$H$1001,$O261))</f>
      </c>
      <c r="I261">
        <f>IF($O261="","",INDEX(Master!$I$2:$I$1001,$O261))</f>
      </c>
      <c r="J261">
        <f>IF($O261="","",INDEX(Master!$J$2:$J$1001,$O261))</f>
      </c>
      <c r="K261">
        <f t="shared" ref="K261:K304" si="8">IF(OR($O261="",$F261="",$F261=0),"",$H261/$F261)</f>
      </c>
      <c r="L261">
        <f>IF($O261="","",INDEX(Master!$K$2:$K$1001,$O261))</f>
      </c>
      <c r="M261">
        <f>IF($O261="","",INDEX(Master!$L$2:$L$1001,$O261))</f>
      </c>
      <c r="O261">
        <f t="array" ref="O261">IFERROR(SMALL(IF(Master!$A$2:$A$1001="MASHIVA STEEL AND ALLOYS LLP",ROW(Master!$A$2:$A$1001)-ROW(Master!$A$2)+1),257),"")</f>
      </c>
      <c r="P261">
        <f t="shared" ref="P261:P304" si="9">IF($A261="",0,IF(OR(AND($E261&lt;&gt;"",OR($E261&gt;0.15)),AND($F261&lt;&gt;"",OR(($F261+$G261)&gt;0.15)),AND($G261&lt;&gt;"",OR(($F261+$G261)&gt;0.15)),AND($H261&lt;&gt;"",$H261&lt;0.45),AND($J261&lt;&gt;"",OR($J261&lt;0.1))),1,0))</f>
      </c>
    </row>
    <row r="262" spans="1:16" x14ac:dyDescent="0.25">
      <c r="A262">
        <f>IF($O262="","",INDEX(Master!$D$2:$D$1001,$O262))</f>
      </c>
      <c r="B262" s="166">
        <f>IF($O262="","",INDEX(Master!$B$2:$B$1001,$O262))</f>
      </c>
      <c r="C262">
        <f>IF($O262="","",INDEX(Master!$C$2:$C$1001,$O262))</f>
      </c>
      <c r="D262">
        <f>IF($O262="","",INDEX(Master!$A$2:$A$1001,$O262))</f>
      </c>
      <c r="E262">
        <f>IF($O262="","",INDEX(Master!$E$2:$E$1001,$O262))</f>
      </c>
      <c r="F262">
        <f>IF($O262="","",INDEX(Master!$F$2:$F$1001,$O262))</f>
      </c>
      <c r="G262">
        <f>IF($O262="","",INDEX(Master!$G$2:$G$1001,$O262))</f>
      </c>
      <c r="H262">
        <f>IF($O262="","",INDEX(Master!$H$2:$H$1001,$O262))</f>
      </c>
      <c r="I262">
        <f>IF($O262="","",INDEX(Master!$I$2:$I$1001,$O262))</f>
      </c>
      <c r="J262">
        <f>IF($O262="","",INDEX(Master!$J$2:$J$1001,$O262))</f>
      </c>
      <c r="K262">
        <f t="shared" si="8"/>
      </c>
      <c r="L262">
        <f>IF($O262="","",INDEX(Master!$K$2:$K$1001,$O262))</f>
      </c>
      <c r="M262">
        <f>IF($O262="","",INDEX(Master!$L$2:$L$1001,$O262))</f>
      </c>
      <c r="O262">
        <f t="array" ref="O262">IFERROR(SMALL(IF(Master!$A$2:$A$1001="MASHIVA STEEL AND ALLOYS LLP",ROW(Master!$A$2:$A$1001)-ROW(Master!$A$2)+1),258),"")</f>
      </c>
      <c r="P262">
        <f t="shared" si="9"/>
      </c>
    </row>
    <row r="263" spans="1:16" x14ac:dyDescent="0.25">
      <c r="A263">
        <f>IF($O263="","",INDEX(Master!$D$2:$D$1001,$O263))</f>
      </c>
      <c r="B263" s="166">
        <f>IF($O263="","",INDEX(Master!$B$2:$B$1001,$O263))</f>
      </c>
      <c r="C263">
        <f>IF($O263="","",INDEX(Master!$C$2:$C$1001,$O263))</f>
      </c>
      <c r="D263">
        <f>IF($O263="","",INDEX(Master!$A$2:$A$1001,$O263))</f>
      </c>
      <c r="E263">
        <f>IF($O263="","",INDEX(Master!$E$2:$E$1001,$O263))</f>
      </c>
      <c r="F263">
        <f>IF($O263="","",INDEX(Master!$F$2:$F$1001,$O263))</f>
      </c>
      <c r="G263">
        <f>IF($O263="","",INDEX(Master!$G$2:$G$1001,$O263))</f>
      </c>
      <c r="H263">
        <f>IF($O263="","",INDEX(Master!$H$2:$H$1001,$O263))</f>
      </c>
      <c r="I263">
        <f>IF($O263="","",INDEX(Master!$I$2:$I$1001,$O263))</f>
      </c>
      <c r="J263">
        <f>IF($O263="","",INDEX(Master!$J$2:$J$1001,$O263))</f>
      </c>
      <c r="K263">
        <f t="shared" si="8"/>
      </c>
      <c r="L263">
        <f>IF($O263="","",INDEX(Master!$K$2:$K$1001,$O263))</f>
      </c>
      <c r="M263">
        <f>IF($O263="","",INDEX(Master!$L$2:$L$1001,$O263))</f>
      </c>
      <c r="O263">
        <f t="array" ref="O263">IFERROR(SMALL(IF(Master!$A$2:$A$1001="MASHIVA STEEL AND ALLOYS LLP",ROW(Master!$A$2:$A$1001)-ROW(Master!$A$2)+1),259),"")</f>
      </c>
      <c r="P263">
        <f t="shared" si="9"/>
      </c>
    </row>
    <row r="264" spans="1:16" x14ac:dyDescent="0.25">
      <c r="A264">
        <f>IF($O264="","",INDEX(Master!$D$2:$D$1001,$O264))</f>
      </c>
      <c r="B264" s="166">
        <f>IF($O264="","",INDEX(Master!$B$2:$B$1001,$O264))</f>
      </c>
      <c r="C264">
        <f>IF($O264="","",INDEX(Master!$C$2:$C$1001,$O264))</f>
      </c>
      <c r="D264">
        <f>IF($O264="","",INDEX(Master!$A$2:$A$1001,$O264))</f>
      </c>
      <c r="E264">
        <f>IF($O264="","",INDEX(Master!$E$2:$E$1001,$O264))</f>
      </c>
      <c r="F264">
        <f>IF($O264="","",INDEX(Master!$F$2:$F$1001,$O264))</f>
      </c>
      <c r="G264">
        <f>IF($O264="","",INDEX(Master!$G$2:$G$1001,$O264))</f>
      </c>
      <c r="H264">
        <f>IF($O264="","",INDEX(Master!$H$2:$H$1001,$O264))</f>
      </c>
      <c r="I264">
        <f>IF($O264="","",INDEX(Master!$I$2:$I$1001,$O264))</f>
      </c>
      <c r="J264">
        <f>IF($O264="","",INDEX(Master!$J$2:$J$1001,$O264))</f>
      </c>
      <c r="K264">
        <f t="shared" si="8"/>
      </c>
      <c r="L264">
        <f>IF($O264="","",INDEX(Master!$K$2:$K$1001,$O264))</f>
      </c>
      <c r="M264">
        <f>IF($O264="","",INDEX(Master!$L$2:$L$1001,$O264))</f>
      </c>
      <c r="O264">
        <f t="array" ref="O264">IFERROR(SMALL(IF(Master!$A$2:$A$1001="MASHIVA STEEL AND ALLOYS LLP",ROW(Master!$A$2:$A$1001)-ROW(Master!$A$2)+1),260),"")</f>
      </c>
      <c r="P264">
        <f t="shared" si="9"/>
      </c>
    </row>
    <row r="265" spans="1:16" x14ac:dyDescent="0.25">
      <c r="A265">
        <f>IF($O265="","",INDEX(Master!$D$2:$D$1001,$O265))</f>
      </c>
      <c r="B265" s="166">
        <f>IF($O265="","",INDEX(Master!$B$2:$B$1001,$O265))</f>
      </c>
      <c r="C265">
        <f>IF($O265="","",INDEX(Master!$C$2:$C$1001,$O265))</f>
      </c>
      <c r="D265">
        <f>IF($O265="","",INDEX(Master!$A$2:$A$1001,$O265))</f>
      </c>
      <c r="E265">
        <f>IF($O265="","",INDEX(Master!$E$2:$E$1001,$O265))</f>
      </c>
      <c r="F265">
        <f>IF($O265="","",INDEX(Master!$F$2:$F$1001,$O265))</f>
      </c>
      <c r="G265">
        <f>IF($O265="","",INDEX(Master!$G$2:$G$1001,$O265))</f>
      </c>
      <c r="H265">
        <f>IF($O265="","",INDEX(Master!$H$2:$H$1001,$O265))</f>
      </c>
      <c r="I265">
        <f>IF($O265="","",INDEX(Master!$I$2:$I$1001,$O265))</f>
      </c>
      <c r="J265">
        <f>IF($O265="","",INDEX(Master!$J$2:$J$1001,$O265))</f>
      </c>
      <c r="K265">
        <f t="shared" si="8"/>
      </c>
      <c r="L265">
        <f>IF($O265="","",INDEX(Master!$K$2:$K$1001,$O265))</f>
      </c>
      <c r="M265">
        <f>IF($O265="","",INDEX(Master!$L$2:$L$1001,$O265))</f>
      </c>
      <c r="O265">
        <f t="array" ref="O265">IFERROR(SMALL(IF(Master!$A$2:$A$1001="MASHIVA STEEL AND ALLOYS LLP",ROW(Master!$A$2:$A$1001)-ROW(Master!$A$2)+1),261),"")</f>
      </c>
      <c r="P265">
        <f t="shared" si="9"/>
      </c>
    </row>
    <row r="266" spans="1:16" x14ac:dyDescent="0.25">
      <c r="A266">
        <f>IF($O266="","",INDEX(Master!$D$2:$D$1001,$O266))</f>
      </c>
      <c r="B266" s="166">
        <f>IF($O266="","",INDEX(Master!$B$2:$B$1001,$O266))</f>
      </c>
      <c r="C266">
        <f>IF($O266="","",INDEX(Master!$C$2:$C$1001,$O266))</f>
      </c>
      <c r="D266">
        <f>IF($O266="","",INDEX(Master!$A$2:$A$1001,$O266))</f>
      </c>
      <c r="E266">
        <f>IF($O266="","",INDEX(Master!$E$2:$E$1001,$O266))</f>
      </c>
      <c r="F266">
        <f>IF($O266="","",INDEX(Master!$F$2:$F$1001,$O266))</f>
      </c>
      <c r="G266">
        <f>IF($O266="","",INDEX(Master!$G$2:$G$1001,$O266))</f>
      </c>
      <c r="H266">
        <f>IF($O266="","",INDEX(Master!$H$2:$H$1001,$O266))</f>
      </c>
      <c r="I266">
        <f>IF($O266="","",INDEX(Master!$I$2:$I$1001,$O266))</f>
      </c>
      <c r="J266">
        <f>IF($O266="","",INDEX(Master!$J$2:$J$1001,$O266))</f>
      </c>
      <c r="K266">
        <f t="shared" si="8"/>
      </c>
      <c r="L266">
        <f>IF($O266="","",INDEX(Master!$K$2:$K$1001,$O266))</f>
      </c>
      <c r="M266">
        <f>IF($O266="","",INDEX(Master!$L$2:$L$1001,$O266))</f>
      </c>
      <c r="O266">
        <f t="array" ref="O266">IFERROR(SMALL(IF(Master!$A$2:$A$1001="MASHIVA STEEL AND ALLOYS LLP",ROW(Master!$A$2:$A$1001)-ROW(Master!$A$2)+1),262),"")</f>
      </c>
      <c r="P266">
        <f t="shared" si="9"/>
      </c>
    </row>
    <row r="267" spans="1:16" x14ac:dyDescent="0.25">
      <c r="A267">
        <f>IF($O267="","",INDEX(Master!$D$2:$D$1001,$O267))</f>
      </c>
      <c r="B267" s="166">
        <f>IF($O267="","",INDEX(Master!$B$2:$B$1001,$O267))</f>
      </c>
      <c r="C267">
        <f>IF($O267="","",INDEX(Master!$C$2:$C$1001,$O267))</f>
      </c>
      <c r="D267">
        <f>IF($O267="","",INDEX(Master!$A$2:$A$1001,$O267))</f>
      </c>
      <c r="E267">
        <f>IF($O267="","",INDEX(Master!$E$2:$E$1001,$O267))</f>
      </c>
      <c r="F267">
        <f>IF($O267="","",INDEX(Master!$F$2:$F$1001,$O267))</f>
      </c>
      <c r="G267">
        <f>IF($O267="","",INDEX(Master!$G$2:$G$1001,$O267))</f>
      </c>
      <c r="H267">
        <f>IF($O267="","",INDEX(Master!$H$2:$H$1001,$O267))</f>
      </c>
      <c r="I267">
        <f>IF($O267="","",INDEX(Master!$I$2:$I$1001,$O267))</f>
      </c>
      <c r="J267">
        <f>IF($O267="","",INDEX(Master!$J$2:$J$1001,$O267))</f>
      </c>
      <c r="K267">
        <f t="shared" si="8"/>
      </c>
      <c r="L267">
        <f>IF($O267="","",INDEX(Master!$K$2:$K$1001,$O267))</f>
      </c>
      <c r="M267">
        <f>IF($O267="","",INDEX(Master!$L$2:$L$1001,$O267))</f>
      </c>
      <c r="O267">
        <f t="array" ref="O267">IFERROR(SMALL(IF(Master!$A$2:$A$1001="MASHIVA STEEL AND ALLOYS LLP",ROW(Master!$A$2:$A$1001)-ROW(Master!$A$2)+1),263),"")</f>
      </c>
      <c r="P267">
        <f t="shared" si="9"/>
      </c>
    </row>
    <row r="268" spans="1:16" x14ac:dyDescent="0.25">
      <c r="A268">
        <f>IF($O268="","",INDEX(Master!$D$2:$D$1001,$O268))</f>
      </c>
      <c r="B268" s="166">
        <f>IF($O268="","",INDEX(Master!$B$2:$B$1001,$O268))</f>
      </c>
      <c r="C268">
        <f>IF($O268="","",INDEX(Master!$C$2:$C$1001,$O268))</f>
      </c>
      <c r="D268">
        <f>IF($O268="","",INDEX(Master!$A$2:$A$1001,$O268))</f>
      </c>
      <c r="E268">
        <f>IF($O268="","",INDEX(Master!$E$2:$E$1001,$O268))</f>
      </c>
      <c r="F268">
        <f>IF($O268="","",INDEX(Master!$F$2:$F$1001,$O268))</f>
      </c>
      <c r="G268">
        <f>IF($O268="","",INDEX(Master!$G$2:$G$1001,$O268))</f>
      </c>
      <c r="H268">
        <f>IF($O268="","",INDEX(Master!$H$2:$H$1001,$O268))</f>
      </c>
      <c r="I268">
        <f>IF($O268="","",INDEX(Master!$I$2:$I$1001,$O268))</f>
      </c>
      <c r="J268">
        <f>IF($O268="","",INDEX(Master!$J$2:$J$1001,$O268))</f>
      </c>
      <c r="K268">
        <f t="shared" si="8"/>
      </c>
      <c r="L268">
        <f>IF($O268="","",INDEX(Master!$K$2:$K$1001,$O268))</f>
      </c>
      <c r="M268">
        <f>IF($O268="","",INDEX(Master!$L$2:$L$1001,$O268))</f>
      </c>
      <c r="O268">
        <f t="array" ref="O268">IFERROR(SMALL(IF(Master!$A$2:$A$1001="MASHIVA STEEL AND ALLOYS LLP",ROW(Master!$A$2:$A$1001)-ROW(Master!$A$2)+1),264),"")</f>
      </c>
      <c r="P268">
        <f t="shared" si="9"/>
      </c>
    </row>
    <row r="269" spans="1:16" x14ac:dyDescent="0.25">
      <c r="A269">
        <f>IF($O269="","",INDEX(Master!$D$2:$D$1001,$O269))</f>
      </c>
      <c r="B269" s="166">
        <f>IF($O269="","",INDEX(Master!$B$2:$B$1001,$O269))</f>
      </c>
      <c r="C269">
        <f>IF($O269="","",INDEX(Master!$C$2:$C$1001,$O269))</f>
      </c>
      <c r="D269">
        <f>IF($O269="","",INDEX(Master!$A$2:$A$1001,$O269))</f>
      </c>
      <c r="E269">
        <f>IF($O269="","",INDEX(Master!$E$2:$E$1001,$O269))</f>
      </c>
      <c r="F269">
        <f>IF($O269="","",INDEX(Master!$F$2:$F$1001,$O269))</f>
      </c>
      <c r="G269">
        <f>IF($O269="","",INDEX(Master!$G$2:$G$1001,$O269))</f>
      </c>
      <c r="H269">
        <f>IF($O269="","",INDEX(Master!$H$2:$H$1001,$O269))</f>
      </c>
      <c r="I269">
        <f>IF($O269="","",INDEX(Master!$I$2:$I$1001,$O269))</f>
      </c>
      <c r="J269">
        <f>IF($O269="","",INDEX(Master!$J$2:$J$1001,$O269))</f>
      </c>
      <c r="K269">
        <f t="shared" si="8"/>
      </c>
      <c r="L269">
        <f>IF($O269="","",INDEX(Master!$K$2:$K$1001,$O269))</f>
      </c>
      <c r="M269">
        <f>IF($O269="","",INDEX(Master!$L$2:$L$1001,$O269))</f>
      </c>
      <c r="O269">
        <f t="array" ref="O269">IFERROR(SMALL(IF(Master!$A$2:$A$1001="MASHIVA STEEL AND ALLOYS LLP",ROW(Master!$A$2:$A$1001)-ROW(Master!$A$2)+1),265),"")</f>
      </c>
      <c r="P269">
        <f t="shared" si="9"/>
      </c>
    </row>
    <row r="270" spans="1:16" x14ac:dyDescent="0.25">
      <c r="A270">
        <f>IF($O270="","",INDEX(Master!$D$2:$D$1001,$O270))</f>
      </c>
      <c r="B270" s="166">
        <f>IF($O270="","",INDEX(Master!$B$2:$B$1001,$O270))</f>
      </c>
      <c r="C270">
        <f>IF($O270="","",INDEX(Master!$C$2:$C$1001,$O270))</f>
      </c>
      <c r="D270">
        <f>IF($O270="","",INDEX(Master!$A$2:$A$1001,$O270))</f>
      </c>
      <c r="E270">
        <f>IF($O270="","",INDEX(Master!$E$2:$E$1001,$O270))</f>
      </c>
      <c r="F270">
        <f>IF($O270="","",INDEX(Master!$F$2:$F$1001,$O270))</f>
      </c>
      <c r="G270">
        <f>IF($O270="","",INDEX(Master!$G$2:$G$1001,$O270))</f>
      </c>
      <c r="H270">
        <f>IF($O270="","",INDEX(Master!$H$2:$H$1001,$O270))</f>
      </c>
      <c r="I270">
        <f>IF($O270="","",INDEX(Master!$I$2:$I$1001,$O270))</f>
      </c>
      <c r="J270">
        <f>IF($O270="","",INDEX(Master!$J$2:$J$1001,$O270))</f>
      </c>
      <c r="K270">
        <f t="shared" si="8"/>
      </c>
      <c r="L270">
        <f>IF($O270="","",INDEX(Master!$K$2:$K$1001,$O270))</f>
      </c>
      <c r="M270">
        <f>IF($O270="","",INDEX(Master!$L$2:$L$1001,$O270))</f>
      </c>
      <c r="O270">
        <f t="array" ref="O270">IFERROR(SMALL(IF(Master!$A$2:$A$1001="MASHIVA STEEL AND ALLOYS LLP",ROW(Master!$A$2:$A$1001)-ROW(Master!$A$2)+1),266),"")</f>
      </c>
      <c r="P270">
        <f t="shared" si="9"/>
      </c>
    </row>
    <row r="271" spans="1:16" x14ac:dyDescent="0.25">
      <c r="A271">
        <f>IF($O271="","",INDEX(Master!$D$2:$D$1001,$O271))</f>
      </c>
      <c r="B271" s="166">
        <f>IF($O271="","",INDEX(Master!$B$2:$B$1001,$O271))</f>
      </c>
      <c r="C271">
        <f>IF($O271="","",INDEX(Master!$C$2:$C$1001,$O271))</f>
      </c>
      <c r="D271">
        <f>IF($O271="","",INDEX(Master!$A$2:$A$1001,$O271))</f>
      </c>
      <c r="E271">
        <f>IF($O271="","",INDEX(Master!$E$2:$E$1001,$O271))</f>
      </c>
      <c r="F271">
        <f>IF($O271="","",INDEX(Master!$F$2:$F$1001,$O271))</f>
      </c>
      <c r="G271">
        <f>IF($O271="","",INDEX(Master!$G$2:$G$1001,$O271))</f>
      </c>
      <c r="H271">
        <f>IF($O271="","",INDEX(Master!$H$2:$H$1001,$O271))</f>
      </c>
      <c r="I271">
        <f>IF($O271="","",INDEX(Master!$I$2:$I$1001,$O271))</f>
      </c>
      <c r="J271">
        <f>IF($O271="","",INDEX(Master!$J$2:$J$1001,$O271))</f>
      </c>
      <c r="K271">
        <f t="shared" si="8"/>
      </c>
      <c r="L271">
        <f>IF($O271="","",INDEX(Master!$K$2:$K$1001,$O271))</f>
      </c>
      <c r="M271">
        <f>IF($O271="","",INDEX(Master!$L$2:$L$1001,$O271))</f>
      </c>
      <c r="O271">
        <f t="array" ref="O271">IFERROR(SMALL(IF(Master!$A$2:$A$1001="MASHIVA STEEL AND ALLOYS LLP",ROW(Master!$A$2:$A$1001)-ROW(Master!$A$2)+1),267),"")</f>
      </c>
      <c r="P271">
        <f t="shared" si="9"/>
      </c>
    </row>
    <row r="272" spans="1:16" x14ac:dyDescent="0.25">
      <c r="A272">
        <f>IF($O272="","",INDEX(Master!$D$2:$D$1001,$O272))</f>
      </c>
      <c r="B272" s="166">
        <f>IF($O272="","",INDEX(Master!$B$2:$B$1001,$O272))</f>
      </c>
      <c r="C272">
        <f>IF($O272="","",INDEX(Master!$C$2:$C$1001,$O272))</f>
      </c>
      <c r="D272">
        <f>IF($O272="","",INDEX(Master!$A$2:$A$1001,$O272))</f>
      </c>
      <c r="E272">
        <f>IF($O272="","",INDEX(Master!$E$2:$E$1001,$O272))</f>
      </c>
      <c r="F272">
        <f>IF($O272="","",INDEX(Master!$F$2:$F$1001,$O272))</f>
      </c>
      <c r="G272">
        <f>IF($O272="","",INDEX(Master!$G$2:$G$1001,$O272))</f>
      </c>
      <c r="H272">
        <f>IF($O272="","",INDEX(Master!$H$2:$H$1001,$O272))</f>
      </c>
      <c r="I272">
        <f>IF($O272="","",INDEX(Master!$I$2:$I$1001,$O272))</f>
      </c>
      <c r="J272">
        <f>IF($O272="","",INDEX(Master!$J$2:$J$1001,$O272))</f>
      </c>
      <c r="K272">
        <f t="shared" si="8"/>
      </c>
      <c r="L272">
        <f>IF($O272="","",INDEX(Master!$K$2:$K$1001,$O272))</f>
      </c>
      <c r="M272">
        <f>IF($O272="","",INDEX(Master!$L$2:$L$1001,$O272))</f>
      </c>
      <c r="O272">
        <f t="array" ref="O272">IFERROR(SMALL(IF(Master!$A$2:$A$1001="MASHIVA STEEL AND ALLOYS LLP",ROW(Master!$A$2:$A$1001)-ROW(Master!$A$2)+1),268),"")</f>
      </c>
      <c r="P272">
        <f t="shared" si="9"/>
      </c>
    </row>
    <row r="273" spans="1:16" x14ac:dyDescent="0.25">
      <c r="A273">
        <f>IF($O273="","",INDEX(Master!$D$2:$D$1001,$O273))</f>
      </c>
      <c r="B273" s="166">
        <f>IF($O273="","",INDEX(Master!$B$2:$B$1001,$O273))</f>
      </c>
      <c r="C273">
        <f>IF($O273="","",INDEX(Master!$C$2:$C$1001,$O273))</f>
      </c>
      <c r="D273">
        <f>IF($O273="","",INDEX(Master!$A$2:$A$1001,$O273))</f>
      </c>
      <c r="E273">
        <f>IF($O273="","",INDEX(Master!$E$2:$E$1001,$O273))</f>
      </c>
      <c r="F273">
        <f>IF($O273="","",INDEX(Master!$F$2:$F$1001,$O273))</f>
      </c>
      <c r="G273">
        <f>IF($O273="","",INDEX(Master!$G$2:$G$1001,$O273))</f>
      </c>
      <c r="H273">
        <f>IF($O273="","",INDEX(Master!$H$2:$H$1001,$O273))</f>
      </c>
      <c r="I273">
        <f>IF($O273="","",INDEX(Master!$I$2:$I$1001,$O273))</f>
      </c>
      <c r="J273">
        <f>IF($O273="","",INDEX(Master!$J$2:$J$1001,$O273))</f>
      </c>
      <c r="K273">
        <f t="shared" si="8"/>
      </c>
      <c r="L273">
        <f>IF($O273="","",INDEX(Master!$K$2:$K$1001,$O273))</f>
      </c>
      <c r="M273">
        <f>IF($O273="","",INDEX(Master!$L$2:$L$1001,$O273))</f>
      </c>
      <c r="O273">
        <f t="array" ref="O273">IFERROR(SMALL(IF(Master!$A$2:$A$1001="MASHIVA STEEL AND ALLOYS LLP",ROW(Master!$A$2:$A$1001)-ROW(Master!$A$2)+1),269),"")</f>
      </c>
      <c r="P273">
        <f t="shared" si="9"/>
      </c>
    </row>
    <row r="274" spans="1:16" x14ac:dyDescent="0.25">
      <c r="A274">
        <f>IF($O274="","",INDEX(Master!$D$2:$D$1001,$O274))</f>
      </c>
      <c r="B274" s="166">
        <f>IF($O274="","",INDEX(Master!$B$2:$B$1001,$O274))</f>
      </c>
      <c r="C274">
        <f>IF($O274="","",INDEX(Master!$C$2:$C$1001,$O274))</f>
      </c>
      <c r="D274">
        <f>IF($O274="","",INDEX(Master!$A$2:$A$1001,$O274))</f>
      </c>
      <c r="E274">
        <f>IF($O274="","",INDEX(Master!$E$2:$E$1001,$O274))</f>
      </c>
      <c r="F274">
        <f>IF($O274="","",INDEX(Master!$F$2:$F$1001,$O274))</f>
      </c>
      <c r="G274">
        <f>IF($O274="","",INDEX(Master!$G$2:$G$1001,$O274))</f>
      </c>
      <c r="H274">
        <f>IF($O274="","",INDEX(Master!$H$2:$H$1001,$O274))</f>
      </c>
      <c r="I274">
        <f>IF($O274="","",INDEX(Master!$I$2:$I$1001,$O274))</f>
      </c>
      <c r="J274">
        <f>IF($O274="","",INDEX(Master!$J$2:$J$1001,$O274))</f>
      </c>
      <c r="K274">
        <f t="shared" si="8"/>
      </c>
      <c r="L274">
        <f>IF($O274="","",INDEX(Master!$K$2:$K$1001,$O274))</f>
      </c>
      <c r="M274">
        <f>IF($O274="","",INDEX(Master!$L$2:$L$1001,$O274))</f>
      </c>
      <c r="O274">
        <f t="array" ref="O274">IFERROR(SMALL(IF(Master!$A$2:$A$1001="MASHIVA STEEL AND ALLOYS LLP",ROW(Master!$A$2:$A$1001)-ROW(Master!$A$2)+1),270),"")</f>
      </c>
      <c r="P274">
        <f t="shared" si="9"/>
      </c>
    </row>
    <row r="275" spans="1:16" x14ac:dyDescent="0.25">
      <c r="A275">
        <f>IF($O275="","",INDEX(Master!$D$2:$D$1001,$O275))</f>
      </c>
      <c r="B275" s="166">
        <f>IF($O275="","",INDEX(Master!$B$2:$B$1001,$O275))</f>
      </c>
      <c r="C275">
        <f>IF($O275="","",INDEX(Master!$C$2:$C$1001,$O275))</f>
      </c>
      <c r="D275">
        <f>IF($O275="","",INDEX(Master!$A$2:$A$1001,$O275))</f>
      </c>
      <c r="E275">
        <f>IF($O275="","",INDEX(Master!$E$2:$E$1001,$O275))</f>
      </c>
      <c r="F275">
        <f>IF($O275="","",INDEX(Master!$F$2:$F$1001,$O275))</f>
      </c>
      <c r="G275">
        <f>IF($O275="","",INDEX(Master!$G$2:$G$1001,$O275))</f>
      </c>
      <c r="H275">
        <f>IF($O275="","",INDEX(Master!$H$2:$H$1001,$O275))</f>
      </c>
      <c r="I275">
        <f>IF($O275="","",INDEX(Master!$I$2:$I$1001,$O275))</f>
      </c>
      <c r="J275">
        <f>IF($O275="","",INDEX(Master!$J$2:$J$1001,$O275))</f>
      </c>
      <c r="K275">
        <f t="shared" si="8"/>
      </c>
      <c r="L275">
        <f>IF($O275="","",INDEX(Master!$K$2:$K$1001,$O275))</f>
      </c>
      <c r="M275">
        <f>IF($O275="","",INDEX(Master!$L$2:$L$1001,$O275))</f>
      </c>
      <c r="O275">
        <f t="array" ref="O275">IFERROR(SMALL(IF(Master!$A$2:$A$1001="MASHIVA STEEL AND ALLOYS LLP",ROW(Master!$A$2:$A$1001)-ROW(Master!$A$2)+1),271),"")</f>
      </c>
      <c r="P275">
        <f t="shared" si="9"/>
      </c>
    </row>
    <row r="276" spans="1:16" x14ac:dyDescent="0.25">
      <c r="A276">
        <f>IF($O276="","",INDEX(Master!$D$2:$D$1001,$O276))</f>
      </c>
      <c r="B276" s="166">
        <f>IF($O276="","",INDEX(Master!$B$2:$B$1001,$O276))</f>
      </c>
      <c r="C276">
        <f>IF($O276="","",INDEX(Master!$C$2:$C$1001,$O276))</f>
      </c>
      <c r="D276">
        <f>IF($O276="","",INDEX(Master!$A$2:$A$1001,$O276))</f>
      </c>
      <c r="E276">
        <f>IF($O276="","",INDEX(Master!$E$2:$E$1001,$O276))</f>
      </c>
      <c r="F276">
        <f>IF($O276="","",INDEX(Master!$F$2:$F$1001,$O276))</f>
      </c>
      <c r="G276">
        <f>IF($O276="","",INDEX(Master!$G$2:$G$1001,$O276))</f>
      </c>
      <c r="H276">
        <f>IF($O276="","",INDEX(Master!$H$2:$H$1001,$O276))</f>
      </c>
      <c r="I276">
        <f>IF($O276="","",INDEX(Master!$I$2:$I$1001,$O276))</f>
      </c>
      <c r="J276">
        <f>IF($O276="","",INDEX(Master!$J$2:$J$1001,$O276))</f>
      </c>
      <c r="K276">
        <f t="shared" si="8"/>
      </c>
      <c r="L276">
        <f>IF($O276="","",INDEX(Master!$K$2:$K$1001,$O276))</f>
      </c>
      <c r="M276">
        <f>IF($O276="","",INDEX(Master!$L$2:$L$1001,$O276))</f>
      </c>
      <c r="O276">
        <f t="array" ref="O276">IFERROR(SMALL(IF(Master!$A$2:$A$1001="MASHIVA STEEL AND ALLOYS LLP",ROW(Master!$A$2:$A$1001)-ROW(Master!$A$2)+1),272),"")</f>
      </c>
      <c r="P276">
        <f t="shared" si="9"/>
      </c>
    </row>
    <row r="277" spans="1:16" x14ac:dyDescent="0.25">
      <c r="A277">
        <f>IF($O277="","",INDEX(Master!$D$2:$D$1001,$O277))</f>
      </c>
      <c r="B277" s="166">
        <f>IF($O277="","",INDEX(Master!$B$2:$B$1001,$O277))</f>
      </c>
      <c r="C277">
        <f>IF($O277="","",INDEX(Master!$C$2:$C$1001,$O277))</f>
      </c>
      <c r="D277">
        <f>IF($O277="","",INDEX(Master!$A$2:$A$1001,$O277))</f>
      </c>
      <c r="E277">
        <f>IF($O277="","",INDEX(Master!$E$2:$E$1001,$O277))</f>
      </c>
      <c r="F277">
        <f>IF($O277="","",INDEX(Master!$F$2:$F$1001,$O277))</f>
      </c>
      <c r="G277">
        <f>IF($O277="","",INDEX(Master!$G$2:$G$1001,$O277))</f>
      </c>
      <c r="H277">
        <f>IF($O277="","",INDEX(Master!$H$2:$H$1001,$O277))</f>
      </c>
      <c r="I277">
        <f>IF($O277="","",INDEX(Master!$I$2:$I$1001,$O277))</f>
      </c>
      <c r="J277">
        <f>IF($O277="","",INDEX(Master!$J$2:$J$1001,$O277))</f>
      </c>
      <c r="K277">
        <f t="shared" si="8"/>
      </c>
      <c r="L277">
        <f>IF($O277="","",INDEX(Master!$K$2:$K$1001,$O277))</f>
      </c>
      <c r="M277">
        <f>IF($O277="","",INDEX(Master!$L$2:$L$1001,$O277))</f>
      </c>
      <c r="O277">
        <f t="array" ref="O277">IFERROR(SMALL(IF(Master!$A$2:$A$1001="MASHIVA STEEL AND ALLOYS LLP",ROW(Master!$A$2:$A$1001)-ROW(Master!$A$2)+1),273),"")</f>
      </c>
      <c r="P277">
        <f t="shared" si="9"/>
      </c>
    </row>
    <row r="278" spans="1:16" x14ac:dyDescent="0.25">
      <c r="A278">
        <f>IF($O278="","",INDEX(Master!$D$2:$D$1001,$O278))</f>
      </c>
      <c r="B278" s="166">
        <f>IF($O278="","",INDEX(Master!$B$2:$B$1001,$O278))</f>
      </c>
      <c r="C278">
        <f>IF($O278="","",INDEX(Master!$C$2:$C$1001,$O278))</f>
      </c>
      <c r="D278">
        <f>IF($O278="","",INDEX(Master!$A$2:$A$1001,$O278))</f>
      </c>
      <c r="E278">
        <f>IF($O278="","",INDEX(Master!$E$2:$E$1001,$O278))</f>
      </c>
      <c r="F278">
        <f>IF($O278="","",INDEX(Master!$F$2:$F$1001,$O278))</f>
      </c>
      <c r="G278">
        <f>IF($O278="","",INDEX(Master!$G$2:$G$1001,$O278))</f>
      </c>
      <c r="H278">
        <f>IF($O278="","",INDEX(Master!$H$2:$H$1001,$O278))</f>
      </c>
      <c r="I278">
        <f>IF($O278="","",INDEX(Master!$I$2:$I$1001,$O278))</f>
      </c>
      <c r="J278">
        <f>IF($O278="","",INDEX(Master!$J$2:$J$1001,$O278))</f>
      </c>
      <c r="K278">
        <f t="shared" si="8"/>
      </c>
      <c r="L278">
        <f>IF($O278="","",INDEX(Master!$K$2:$K$1001,$O278))</f>
      </c>
      <c r="M278">
        <f>IF($O278="","",INDEX(Master!$L$2:$L$1001,$O278))</f>
      </c>
      <c r="O278">
        <f t="array" ref="O278">IFERROR(SMALL(IF(Master!$A$2:$A$1001="MASHIVA STEEL AND ALLOYS LLP",ROW(Master!$A$2:$A$1001)-ROW(Master!$A$2)+1),274),"")</f>
      </c>
      <c r="P278">
        <f t="shared" si="9"/>
      </c>
    </row>
    <row r="279" spans="1:16" x14ac:dyDescent="0.25">
      <c r="A279">
        <f>IF($O279="","",INDEX(Master!$D$2:$D$1001,$O279))</f>
      </c>
      <c r="B279" s="166">
        <f>IF($O279="","",INDEX(Master!$B$2:$B$1001,$O279))</f>
      </c>
      <c r="C279">
        <f>IF($O279="","",INDEX(Master!$C$2:$C$1001,$O279))</f>
      </c>
      <c r="D279">
        <f>IF($O279="","",INDEX(Master!$A$2:$A$1001,$O279))</f>
      </c>
      <c r="E279">
        <f>IF($O279="","",INDEX(Master!$E$2:$E$1001,$O279))</f>
      </c>
      <c r="F279">
        <f>IF($O279="","",INDEX(Master!$F$2:$F$1001,$O279))</f>
      </c>
      <c r="G279">
        <f>IF($O279="","",INDEX(Master!$G$2:$G$1001,$O279))</f>
      </c>
      <c r="H279">
        <f>IF($O279="","",INDEX(Master!$H$2:$H$1001,$O279))</f>
      </c>
      <c r="I279">
        <f>IF($O279="","",INDEX(Master!$I$2:$I$1001,$O279))</f>
      </c>
      <c r="J279">
        <f>IF($O279="","",INDEX(Master!$J$2:$J$1001,$O279))</f>
      </c>
      <c r="K279">
        <f t="shared" si="8"/>
      </c>
      <c r="L279">
        <f>IF($O279="","",INDEX(Master!$K$2:$K$1001,$O279))</f>
      </c>
      <c r="M279">
        <f>IF($O279="","",INDEX(Master!$L$2:$L$1001,$O279))</f>
      </c>
      <c r="O279">
        <f t="array" ref="O279">IFERROR(SMALL(IF(Master!$A$2:$A$1001="MASHIVA STEEL AND ALLOYS LLP",ROW(Master!$A$2:$A$1001)-ROW(Master!$A$2)+1),275),"")</f>
      </c>
      <c r="P279">
        <f t="shared" si="9"/>
      </c>
    </row>
    <row r="280" spans="1:16" x14ac:dyDescent="0.25">
      <c r="A280">
        <f>IF($O280="","",INDEX(Master!$D$2:$D$1001,$O280))</f>
      </c>
      <c r="B280" s="166">
        <f>IF($O280="","",INDEX(Master!$B$2:$B$1001,$O280))</f>
      </c>
      <c r="C280">
        <f>IF($O280="","",INDEX(Master!$C$2:$C$1001,$O280))</f>
      </c>
      <c r="D280">
        <f>IF($O280="","",INDEX(Master!$A$2:$A$1001,$O280))</f>
      </c>
      <c r="E280">
        <f>IF($O280="","",INDEX(Master!$E$2:$E$1001,$O280))</f>
      </c>
      <c r="F280">
        <f>IF($O280="","",INDEX(Master!$F$2:$F$1001,$O280))</f>
      </c>
      <c r="G280">
        <f>IF($O280="","",INDEX(Master!$G$2:$G$1001,$O280))</f>
      </c>
      <c r="H280">
        <f>IF($O280="","",INDEX(Master!$H$2:$H$1001,$O280))</f>
      </c>
      <c r="I280">
        <f>IF($O280="","",INDEX(Master!$I$2:$I$1001,$O280))</f>
      </c>
      <c r="J280">
        <f>IF($O280="","",INDEX(Master!$J$2:$J$1001,$O280))</f>
      </c>
      <c r="K280">
        <f t="shared" si="8"/>
      </c>
      <c r="L280">
        <f>IF($O280="","",INDEX(Master!$K$2:$K$1001,$O280))</f>
      </c>
      <c r="M280">
        <f>IF($O280="","",INDEX(Master!$L$2:$L$1001,$O280))</f>
      </c>
      <c r="O280">
        <f t="array" ref="O280">IFERROR(SMALL(IF(Master!$A$2:$A$1001="MASHIVA STEEL AND ALLOYS LLP",ROW(Master!$A$2:$A$1001)-ROW(Master!$A$2)+1),276),"")</f>
      </c>
      <c r="P280">
        <f t="shared" si="9"/>
      </c>
    </row>
    <row r="281" spans="1:16" x14ac:dyDescent="0.25">
      <c r="A281">
        <f>IF($O281="","",INDEX(Master!$D$2:$D$1001,$O281))</f>
      </c>
      <c r="B281" s="166">
        <f>IF($O281="","",INDEX(Master!$B$2:$B$1001,$O281))</f>
      </c>
      <c r="C281">
        <f>IF($O281="","",INDEX(Master!$C$2:$C$1001,$O281))</f>
      </c>
      <c r="D281">
        <f>IF($O281="","",INDEX(Master!$A$2:$A$1001,$O281))</f>
      </c>
      <c r="E281">
        <f>IF($O281="","",INDEX(Master!$E$2:$E$1001,$O281))</f>
      </c>
      <c r="F281">
        <f>IF($O281="","",INDEX(Master!$F$2:$F$1001,$O281))</f>
      </c>
      <c r="G281">
        <f>IF($O281="","",INDEX(Master!$G$2:$G$1001,$O281))</f>
      </c>
      <c r="H281">
        <f>IF($O281="","",INDEX(Master!$H$2:$H$1001,$O281))</f>
      </c>
      <c r="I281">
        <f>IF($O281="","",INDEX(Master!$I$2:$I$1001,$O281))</f>
      </c>
      <c r="J281">
        <f>IF($O281="","",INDEX(Master!$J$2:$J$1001,$O281))</f>
      </c>
      <c r="K281">
        <f t="shared" si="8"/>
      </c>
      <c r="L281">
        <f>IF($O281="","",INDEX(Master!$K$2:$K$1001,$O281))</f>
      </c>
      <c r="M281">
        <f>IF($O281="","",INDEX(Master!$L$2:$L$1001,$O281))</f>
      </c>
      <c r="O281">
        <f t="array" ref="O281">IFERROR(SMALL(IF(Master!$A$2:$A$1001="MASHIVA STEEL AND ALLOYS LLP",ROW(Master!$A$2:$A$1001)-ROW(Master!$A$2)+1),277),"")</f>
      </c>
      <c r="P281">
        <f t="shared" si="9"/>
      </c>
    </row>
    <row r="282" spans="1:16" x14ac:dyDescent="0.25">
      <c r="A282">
        <f>IF($O282="","",INDEX(Master!$D$2:$D$1001,$O282))</f>
      </c>
      <c r="B282" s="166">
        <f>IF($O282="","",INDEX(Master!$B$2:$B$1001,$O282))</f>
      </c>
      <c r="C282">
        <f>IF($O282="","",INDEX(Master!$C$2:$C$1001,$O282))</f>
      </c>
      <c r="D282">
        <f>IF($O282="","",INDEX(Master!$A$2:$A$1001,$O282))</f>
      </c>
      <c r="E282">
        <f>IF($O282="","",INDEX(Master!$E$2:$E$1001,$O282))</f>
      </c>
      <c r="F282">
        <f>IF($O282="","",INDEX(Master!$F$2:$F$1001,$O282))</f>
      </c>
      <c r="G282">
        <f>IF($O282="","",INDEX(Master!$G$2:$G$1001,$O282))</f>
      </c>
      <c r="H282">
        <f>IF($O282="","",INDEX(Master!$H$2:$H$1001,$O282))</f>
      </c>
      <c r="I282">
        <f>IF($O282="","",INDEX(Master!$I$2:$I$1001,$O282))</f>
      </c>
      <c r="J282">
        <f>IF($O282="","",INDEX(Master!$J$2:$J$1001,$O282))</f>
      </c>
      <c r="K282">
        <f t="shared" si="8"/>
      </c>
      <c r="L282">
        <f>IF($O282="","",INDEX(Master!$K$2:$K$1001,$O282))</f>
      </c>
      <c r="M282">
        <f>IF($O282="","",INDEX(Master!$L$2:$L$1001,$O282))</f>
      </c>
      <c r="O282">
        <f t="array" ref="O282">IFERROR(SMALL(IF(Master!$A$2:$A$1001="MASHIVA STEEL AND ALLOYS LLP",ROW(Master!$A$2:$A$1001)-ROW(Master!$A$2)+1),278),"")</f>
      </c>
      <c r="P282">
        <f t="shared" si="9"/>
      </c>
    </row>
    <row r="283" spans="1:16" x14ac:dyDescent="0.25">
      <c r="A283">
        <f>IF($O283="","",INDEX(Master!$D$2:$D$1001,$O283))</f>
      </c>
      <c r="B283" s="166">
        <f>IF($O283="","",INDEX(Master!$B$2:$B$1001,$O283))</f>
      </c>
      <c r="C283">
        <f>IF($O283="","",INDEX(Master!$C$2:$C$1001,$O283))</f>
      </c>
      <c r="D283">
        <f>IF($O283="","",INDEX(Master!$A$2:$A$1001,$O283))</f>
      </c>
      <c r="E283">
        <f>IF($O283="","",INDEX(Master!$E$2:$E$1001,$O283))</f>
      </c>
      <c r="F283">
        <f>IF($O283="","",INDEX(Master!$F$2:$F$1001,$O283))</f>
      </c>
      <c r="G283">
        <f>IF($O283="","",INDEX(Master!$G$2:$G$1001,$O283))</f>
      </c>
      <c r="H283">
        <f>IF($O283="","",INDEX(Master!$H$2:$H$1001,$O283))</f>
      </c>
      <c r="I283">
        <f>IF($O283="","",INDEX(Master!$I$2:$I$1001,$O283))</f>
      </c>
      <c r="J283">
        <f>IF($O283="","",INDEX(Master!$J$2:$J$1001,$O283))</f>
      </c>
      <c r="K283">
        <f t="shared" si="8"/>
      </c>
      <c r="L283">
        <f>IF($O283="","",INDEX(Master!$K$2:$K$1001,$O283))</f>
      </c>
      <c r="M283">
        <f>IF($O283="","",INDEX(Master!$L$2:$L$1001,$O283))</f>
      </c>
      <c r="O283">
        <f t="array" ref="O283">IFERROR(SMALL(IF(Master!$A$2:$A$1001="MASHIVA STEEL AND ALLOYS LLP",ROW(Master!$A$2:$A$1001)-ROW(Master!$A$2)+1),279),"")</f>
      </c>
      <c r="P283">
        <f t="shared" si="9"/>
      </c>
    </row>
    <row r="284" spans="1:16" x14ac:dyDescent="0.25">
      <c r="A284">
        <f>IF($O284="","",INDEX(Master!$D$2:$D$1001,$O284))</f>
      </c>
      <c r="B284" s="166">
        <f>IF($O284="","",INDEX(Master!$B$2:$B$1001,$O284))</f>
      </c>
      <c r="C284">
        <f>IF($O284="","",INDEX(Master!$C$2:$C$1001,$O284))</f>
      </c>
      <c r="D284">
        <f>IF($O284="","",INDEX(Master!$A$2:$A$1001,$O284))</f>
      </c>
      <c r="E284">
        <f>IF($O284="","",INDEX(Master!$E$2:$E$1001,$O284))</f>
      </c>
      <c r="F284">
        <f>IF($O284="","",INDEX(Master!$F$2:$F$1001,$O284))</f>
      </c>
      <c r="G284">
        <f>IF($O284="","",INDEX(Master!$G$2:$G$1001,$O284))</f>
      </c>
      <c r="H284">
        <f>IF($O284="","",INDEX(Master!$H$2:$H$1001,$O284))</f>
      </c>
      <c r="I284">
        <f>IF($O284="","",INDEX(Master!$I$2:$I$1001,$O284))</f>
      </c>
      <c r="J284">
        <f>IF($O284="","",INDEX(Master!$J$2:$J$1001,$O284))</f>
      </c>
      <c r="K284">
        <f t="shared" si="8"/>
      </c>
      <c r="L284">
        <f>IF($O284="","",INDEX(Master!$K$2:$K$1001,$O284))</f>
      </c>
      <c r="M284">
        <f>IF($O284="","",INDEX(Master!$L$2:$L$1001,$O284))</f>
      </c>
      <c r="O284">
        <f t="array" ref="O284">IFERROR(SMALL(IF(Master!$A$2:$A$1001="MASHIVA STEEL AND ALLOYS LLP",ROW(Master!$A$2:$A$1001)-ROW(Master!$A$2)+1),280),"")</f>
      </c>
      <c r="P284">
        <f t="shared" si="9"/>
      </c>
    </row>
    <row r="285" spans="1:16" x14ac:dyDescent="0.25">
      <c r="A285">
        <f>IF($O285="","",INDEX(Master!$D$2:$D$1001,$O285))</f>
      </c>
      <c r="B285" s="166">
        <f>IF($O285="","",INDEX(Master!$B$2:$B$1001,$O285))</f>
      </c>
      <c r="C285">
        <f>IF($O285="","",INDEX(Master!$C$2:$C$1001,$O285))</f>
      </c>
      <c r="D285">
        <f>IF($O285="","",INDEX(Master!$A$2:$A$1001,$O285))</f>
      </c>
      <c r="E285">
        <f>IF($O285="","",INDEX(Master!$E$2:$E$1001,$O285))</f>
      </c>
      <c r="F285">
        <f>IF($O285="","",INDEX(Master!$F$2:$F$1001,$O285))</f>
      </c>
      <c r="G285">
        <f>IF($O285="","",INDEX(Master!$G$2:$G$1001,$O285))</f>
      </c>
      <c r="H285">
        <f>IF($O285="","",INDEX(Master!$H$2:$H$1001,$O285))</f>
      </c>
      <c r="I285">
        <f>IF($O285="","",INDEX(Master!$I$2:$I$1001,$O285))</f>
      </c>
      <c r="J285">
        <f>IF($O285="","",INDEX(Master!$J$2:$J$1001,$O285))</f>
      </c>
      <c r="K285">
        <f t="shared" si="8"/>
      </c>
      <c r="L285">
        <f>IF($O285="","",INDEX(Master!$K$2:$K$1001,$O285))</f>
      </c>
      <c r="M285">
        <f>IF($O285="","",INDEX(Master!$L$2:$L$1001,$O285))</f>
      </c>
      <c r="O285">
        <f t="array" ref="O285">IFERROR(SMALL(IF(Master!$A$2:$A$1001="MASHIVA STEEL AND ALLOYS LLP",ROW(Master!$A$2:$A$1001)-ROW(Master!$A$2)+1),281),"")</f>
      </c>
      <c r="P285">
        <f t="shared" si="9"/>
      </c>
    </row>
    <row r="286" spans="1:16" x14ac:dyDescent="0.25">
      <c r="A286">
        <f>IF($O286="","",INDEX(Master!$D$2:$D$1001,$O286))</f>
      </c>
      <c r="B286" s="166">
        <f>IF($O286="","",INDEX(Master!$B$2:$B$1001,$O286))</f>
      </c>
      <c r="C286">
        <f>IF($O286="","",INDEX(Master!$C$2:$C$1001,$O286))</f>
      </c>
      <c r="D286">
        <f>IF($O286="","",INDEX(Master!$A$2:$A$1001,$O286))</f>
      </c>
      <c r="E286">
        <f>IF($O286="","",INDEX(Master!$E$2:$E$1001,$O286))</f>
      </c>
      <c r="F286">
        <f>IF($O286="","",INDEX(Master!$F$2:$F$1001,$O286))</f>
      </c>
      <c r="G286">
        <f>IF($O286="","",INDEX(Master!$G$2:$G$1001,$O286))</f>
      </c>
      <c r="H286">
        <f>IF($O286="","",INDEX(Master!$H$2:$H$1001,$O286))</f>
      </c>
      <c r="I286">
        <f>IF($O286="","",INDEX(Master!$I$2:$I$1001,$O286))</f>
      </c>
      <c r="J286">
        <f>IF($O286="","",INDEX(Master!$J$2:$J$1001,$O286))</f>
      </c>
      <c r="K286">
        <f t="shared" si="8"/>
      </c>
      <c r="L286">
        <f>IF($O286="","",INDEX(Master!$K$2:$K$1001,$O286))</f>
      </c>
      <c r="M286">
        <f>IF($O286="","",INDEX(Master!$L$2:$L$1001,$O286))</f>
      </c>
      <c r="O286">
        <f t="array" ref="O286">IFERROR(SMALL(IF(Master!$A$2:$A$1001="MASHIVA STEEL AND ALLOYS LLP",ROW(Master!$A$2:$A$1001)-ROW(Master!$A$2)+1),282),"")</f>
      </c>
      <c r="P286">
        <f t="shared" si="9"/>
      </c>
    </row>
    <row r="287" spans="1:16" x14ac:dyDescent="0.25">
      <c r="A287">
        <f>IF($O287="","",INDEX(Master!$D$2:$D$1001,$O287))</f>
      </c>
      <c r="B287" s="166">
        <f>IF($O287="","",INDEX(Master!$B$2:$B$1001,$O287))</f>
      </c>
      <c r="C287">
        <f>IF($O287="","",INDEX(Master!$C$2:$C$1001,$O287))</f>
      </c>
      <c r="D287">
        <f>IF($O287="","",INDEX(Master!$A$2:$A$1001,$O287))</f>
      </c>
      <c r="E287">
        <f>IF($O287="","",INDEX(Master!$E$2:$E$1001,$O287))</f>
      </c>
      <c r="F287">
        <f>IF($O287="","",INDEX(Master!$F$2:$F$1001,$O287))</f>
      </c>
      <c r="G287">
        <f>IF($O287="","",INDEX(Master!$G$2:$G$1001,$O287))</f>
      </c>
      <c r="H287">
        <f>IF($O287="","",INDEX(Master!$H$2:$H$1001,$O287))</f>
      </c>
      <c r="I287">
        <f>IF($O287="","",INDEX(Master!$I$2:$I$1001,$O287))</f>
      </c>
      <c r="J287">
        <f>IF($O287="","",INDEX(Master!$J$2:$J$1001,$O287))</f>
      </c>
      <c r="K287">
        <f t="shared" si="8"/>
      </c>
      <c r="L287">
        <f>IF($O287="","",INDEX(Master!$K$2:$K$1001,$O287))</f>
      </c>
      <c r="M287">
        <f>IF($O287="","",INDEX(Master!$L$2:$L$1001,$O287))</f>
      </c>
      <c r="O287">
        <f t="array" ref="O287">IFERROR(SMALL(IF(Master!$A$2:$A$1001="MASHIVA STEEL AND ALLOYS LLP",ROW(Master!$A$2:$A$1001)-ROW(Master!$A$2)+1),283),"")</f>
      </c>
      <c r="P287">
        <f t="shared" si="9"/>
      </c>
    </row>
    <row r="288" spans="1:16" x14ac:dyDescent="0.25">
      <c r="A288">
        <f>IF($O288="","",INDEX(Master!$D$2:$D$1001,$O288))</f>
      </c>
      <c r="B288" s="166">
        <f>IF($O288="","",INDEX(Master!$B$2:$B$1001,$O288))</f>
      </c>
      <c r="C288">
        <f>IF($O288="","",INDEX(Master!$C$2:$C$1001,$O288))</f>
      </c>
      <c r="D288">
        <f>IF($O288="","",INDEX(Master!$A$2:$A$1001,$O288))</f>
      </c>
      <c r="E288">
        <f>IF($O288="","",INDEX(Master!$E$2:$E$1001,$O288))</f>
      </c>
      <c r="F288">
        <f>IF($O288="","",INDEX(Master!$F$2:$F$1001,$O288))</f>
      </c>
      <c r="G288">
        <f>IF($O288="","",INDEX(Master!$G$2:$G$1001,$O288))</f>
      </c>
      <c r="H288">
        <f>IF($O288="","",INDEX(Master!$H$2:$H$1001,$O288))</f>
      </c>
      <c r="I288">
        <f>IF($O288="","",INDEX(Master!$I$2:$I$1001,$O288))</f>
      </c>
      <c r="J288">
        <f>IF($O288="","",INDEX(Master!$J$2:$J$1001,$O288))</f>
      </c>
      <c r="K288">
        <f t="shared" si="8"/>
      </c>
      <c r="L288">
        <f>IF($O288="","",INDEX(Master!$K$2:$K$1001,$O288))</f>
      </c>
      <c r="M288">
        <f>IF($O288="","",INDEX(Master!$L$2:$L$1001,$O288))</f>
      </c>
      <c r="O288">
        <f t="array" ref="O288">IFERROR(SMALL(IF(Master!$A$2:$A$1001="MASHIVA STEEL AND ALLOYS LLP",ROW(Master!$A$2:$A$1001)-ROW(Master!$A$2)+1),284),"")</f>
      </c>
      <c r="P288">
        <f t="shared" si="9"/>
      </c>
    </row>
    <row r="289" spans="1:16" x14ac:dyDescent="0.25">
      <c r="A289">
        <f>IF($O289="","",INDEX(Master!$D$2:$D$1001,$O289))</f>
      </c>
      <c r="B289" s="166">
        <f>IF($O289="","",INDEX(Master!$B$2:$B$1001,$O289))</f>
      </c>
      <c r="C289">
        <f>IF($O289="","",INDEX(Master!$C$2:$C$1001,$O289))</f>
      </c>
      <c r="D289">
        <f>IF($O289="","",INDEX(Master!$A$2:$A$1001,$O289))</f>
      </c>
      <c r="E289">
        <f>IF($O289="","",INDEX(Master!$E$2:$E$1001,$O289))</f>
      </c>
      <c r="F289">
        <f>IF($O289="","",INDEX(Master!$F$2:$F$1001,$O289))</f>
      </c>
      <c r="G289">
        <f>IF($O289="","",INDEX(Master!$G$2:$G$1001,$O289))</f>
      </c>
      <c r="H289">
        <f>IF($O289="","",INDEX(Master!$H$2:$H$1001,$O289))</f>
      </c>
      <c r="I289">
        <f>IF($O289="","",INDEX(Master!$I$2:$I$1001,$O289))</f>
      </c>
      <c r="J289">
        <f>IF($O289="","",INDEX(Master!$J$2:$J$1001,$O289))</f>
      </c>
      <c r="K289">
        <f t="shared" si="8"/>
      </c>
      <c r="L289">
        <f>IF($O289="","",INDEX(Master!$K$2:$K$1001,$O289))</f>
      </c>
      <c r="M289">
        <f>IF($O289="","",INDEX(Master!$L$2:$L$1001,$O289))</f>
      </c>
      <c r="O289">
        <f t="array" ref="O289">IFERROR(SMALL(IF(Master!$A$2:$A$1001="MASHIVA STEEL AND ALLOYS LLP",ROW(Master!$A$2:$A$1001)-ROW(Master!$A$2)+1),285),"")</f>
      </c>
      <c r="P289">
        <f t="shared" si="9"/>
      </c>
    </row>
    <row r="290" spans="1:16" x14ac:dyDescent="0.25">
      <c r="A290">
        <f>IF($O290="","",INDEX(Master!$D$2:$D$1001,$O290))</f>
      </c>
      <c r="B290" s="166">
        <f>IF($O290="","",INDEX(Master!$B$2:$B$1001,$O290))</f>
      </c>
      <c r="C290">
        <f>IF($O290="","",INDEX(Master!$C$2:$C$1001,$O290))</f>
      </c>
      <c r="D290">
        <f>IF($O290="","",INDEX(Master!$A$2:$A$1001,$O290))</f>
      </c>
      <c r="E290">
        <f>IF($O290="","",INDEX(Master!$E$2:$E$1001,$O290))</f>
      </c>
      <c r="F290">
        <f>IF($O290="","",INDEX(Master!$F$2:$F$1001,$O290))</f>
      </c>
      <c r="G290">
        <f>IF($O290="","",INDEX(Master!$G$2:$G$1001,$O290))</f>
      </c>
      <c r="H290">
        <f>IF($O290="","",INDEX(Master!$H$2:$H$1001,$O290))</f>
      </c>
      <c r="I290">
        <f>IF($O290="","",INDEX(Master!$I$2:$I$1001,$O290))</f>
      </c>
      <c r="J290">
        <f>IF($O290="","",INDEX(Master!$J$2:$J$1001,$O290))</f>
      </c>
      <c r="K290">
        <f t="shared" si="8"/>
      </c>
      <c r="L290">
        <f>IF($O290="","",INDEX(Master!$K$2:$K$1001,$O290))</f>
      </c>
      <c r="M290">
        <f>IF($O290="","",INDEX(Master!$L$2:$L$1001,$O290))</f>
      </c>
      <c r="O290">
        <f t="array" ref="O290">IFERROR(SMALL(IF(Master!$A$2:$A$1001="MASHIVA STEEL AND ALLOYS LLP",ROW(Master!$A$2:$A$1001)-ROW(Master!$A$2)+1),286),"")</f>
      </c>
      <c r="P290">
        <f t="shared" si="9"/>
      </c>
    </row>
    <row r="291" spans="1:16" x14ac:dyDescent="0.25">
      <c r="A291">
        <f>IF($O291="","",INDEX(Master!$D$2:$D$1001,$O291))</f>
      </c>
      <c r="B291" s="166">
        <f>IF($O291="","",INDEX(Master!$B$2:$B$1001,$O291))</f>
      </c>
      <c r="C291">
        <f>IF($O291="","",INDEX(Master!$C$2:$C$1001,$O291))</f>
      </c>
      <c r="D291">
        <f>IF($O291="","",INDEX(Master!$A$2:$A$1001,$O291))</f>
      </c>
      <c r="E291">
        <f>IF($O291="","",INDEX(Master!$E$2:$E$1001,$O291))</f>
      </c>
      <c r="F291">
        <f>IF($O291="","",INDEX(Master!$F$2:$F$1001,$O291))</f>
      </c>
      <c r="G291">
        <f>IF($O291="","",INDEX(Master!$G$2:$G$1001,$O291))</f>
      </c>
      <c r="H291">
        <f>IF($O291="","",INDEX(Master!$H$2:$H$1001,$O291))</f>
      </c>
      <c r="I291">
        <f>IF($O291="","",INDEX(Master!$I$2:$I$1001,$O291))</f>
      </c>
      <c r="J291">
        <f>IF($O291="","",INDEX(Master!$J$2:$J$1001,$O291))</f>
      </c>
      <c r="K291">
        <f t="shared" si="8"/>
      </c>
      <c r="L291">
        <f>IF($O291="","",INDEX(Master!$K$2:$K$1001,$O291))</f>
      </c>
      <c r="M291">
        <f>IF($O291="","",INDEX(Master!$L$2:$L$1001,$O291))</f>
      </c>
      <c r="O291">
        <f t="array" ref="O291">IFERROR(SMALL(IF(Master!$A$2:$A$1001="MASHIVA STEEL AND ALLOYS LLP",ROW(Master!$A$2:$A$1001)-ROW(Master!$A$2)+1),287),"")</f>
      </c>
      <c r="P291">
        <f t="shared" si="9"/>
      </c>
    </row>
    <row r="292" spans="1:16" x14ac:dyDescent="0.25">
      <c r="A292">
        <f>IF($O292="","",INDEX(Master!$D$2:$D$1001,$O292))</f>
      </c>
      <c r="B292" s="166">
        <f>IF($O292="","",INDEX(Master!$B$2:$B$1001,$O292))</f>
      </c>
      <c r="C292">
        <f>IF($O292="","",INDEX(Master!$C$2:$C$1001,$O292))</f>
      </c>
      <c r="D292">
        <f>IF($O292="","",INDEX(Master!$A$2:$A$1001,$O292))</f>
      </c>
      <c r="E292">
        <f>IF($O292="","",INDEX(Master!$E$2:$E$1001,$O292))</f>
      </c>
      <c r="F292">
        <f>IF($O292="","",INDEX(Master!$F$2:$F$1001,$O292))</f>
      </c>
      <c r="G292">
        <f>IF($O292="","",INDEX(Master!$G$2:$G$1001,$O292))</f>
      </c>
      <c r="H292">
        <f>IF($O292="","",INDEX(Master!$H$2:$H$1001,$O292))</f>
      </c>
      <c r="I292">
        <f>IF($O292="","",INDEX(Master!$I$2:$I$1001,$O292))</f>
      </c>
      <c r="J292">
        <f>IF($O292="","",INDEX(Master!$J$2:$J$1001,$O292))</f>
      </c>
      <c r="K292">
        <f t="shared" si="8"/>
      </c>
      <c r="L292">
        <f>IF($O292="","",INDEX(Master!$K$2:$K$1001,$O292))</f>
      </c>
      <c r="M292">
        <f>IF($O292="","",INDEX(Master!$L$2:$L$1001,$O292))</f>
      </c>
      <c r="O292">
        <f t="array" ref="O292">IFERROR(SMALL(IF(Master!$A$2:$A$1001="MASHIVA STEEL AND ALLOYS LLP",ROW(Master!$A$2:$A$1001)-ROW(Master!$A$2)+1),288),"")</f>
      </c>
      <c r="P292">
        <f t="shared" si="9"/>
      </c>
    </row>
    <row r="293" spans="1:16" x14ac:dyDescent="0.25">
      <c r="A293">
        <f>IF($O293="","",INDEX(Master!$D$2:$D$1001,$O293))</f>
      </c>
      <c r="B293" s="166">
        <f>IF($O293="","",INDEX(Master!$B$2:$B$1001,$O293))</f>
      </c>
      <c r="C293">
        <f>IF($O293="","",INDEX(Master!$C$2:$C$1001,$O293))</f>
      </c>
      <c r="D293">
        <f>IF($O293="","",INDEX(Master!$A$2:$A$1001,$O293))</f>
      </c>
      <c r="E293">
        <f>IF($O293="","",INDEX(Master!$E$2:$E$1001,$O293))</f>
      </c>
      <c r="F293">
        <f>IF($O293="","",INDEX(Master!$F$2:$F$1001,$O293))</f>
      </c>
      <c r="G293">
        <f>IF($O293="","",INDEX(Master!$G$2:$G$1001,$O293))</f>
      </c>
      <c r="H293">
        <f>IF($O293="","",INDEX(Master!$H$2:$H$1001,$O293))</f>
      </c>
      <c r="I293">
        <f>IF($O293="","",INDEX(Master!$I$2:$I$1001,$O293))</f>
      </c>
      <c r="J293">
        <f>IF($O293="","",INDEX(Master!$J$2:$J$1001,$O293))</f>
      </c>
      <c r="K293">
        <f t="shared" si="8"/>
      </c>
      <c r="L293">
        <f>IF($O293="","",INDEX(Master!$K$2:$K$1001,$O293))</f>
      </c>
      <c r="M293">
        <f>IF($O293="","",INDEX(Master!$L$2:$L$1001,$O293))</f>
      </c>
      <c r="O293">
        <f t="array" ref="O293">IFERROR(SMALL(IF(Master!$A$2:$A$1001="MASHIVA STEEL AND ALLOYS LLP",ROW(Master!$A$2:$A$1001)-ROW(Master!$A$2)+1),289),"")</f>
      </c>
      <c r="P293">
        <f t="shared" si="9"/>
      </c>
    </row>
    <row r="294" spans="1:16" x14ac:dyDescent="0.25">
      <c r="A294">
        <f>IF($O294="","",INDEX(Master!$D$2:$D$1001,$O294))</f>
      </c>
      <c r="B294" s="166">
        <f>IF($O294="","",INDEX(Master!$B$2:$B$1001,$O294))</f>
      </c>
      <c r="C294">
        <f>IF($O294="","",INDEX(Master!$C$2:$C$1001,$O294))</f>
      </c>
      <c r="D294">
        <f>IF($O294="","",INDEX(Master!$A$2:$A$1001,$O294))</f>
      </c>
      <c r="E294">
        <f>IF($O294="","",INDEX(Master!$E$2:$E$1001,$O294))</f>
      </c>
      <c r="F294">
        <f>IF($O294="","",INDEX(Master!$F$2:$F$1001,$O294))</f>
      </c>
      <c r="G294">
        <f>IF($O294="","",INDEX(Master!$G$2:$G$1001,$O294))</f>
      </c>
      <c r="H294">
        <f>IF($O294="","",INDEX(Master!$H$2:$H$1001,$O294))</f>
      </c>
      <c r="I294">
        <f>IF($O294="","",INDEX(Master!$I$2:$I$1001,$O294))</f>
      </c>
      <c r="J294">
        <f>IF($O294="","",INDEX(Master!$J$2:$J$1001,$O294))</f>
      </c>
      <c r="K294">
        <f t="shared" si="8"/>
      </c>
      <c r="L294">
        <f>IF($O294="","",INDEX(Master!$K$2:$K$1001,$O294))</f>
      </c>
      <c r="M294">
        <f>IF($O294="","",INDEX(Master!$L$2:$L$1001,$O294))</f>
      </c>
      <c r="O294">
        <f t="array" ref="O294">IFERROR(SMALL(IF(Master!$A$2:$A$1001="MASHIVA STEEL AND ALLOYS LLP",ROW(Master!$A$2:$A$1001)-ROW(Master!$A$2)+1),290),"")</f>
      </c>
      <c r="P294">
        <f t="shared" si="9"/>
      </c>
    </row>
    <row r="295" spans="1:16" x14ac:dyDescent="0.25">
      <c r="A295">
        <f>IF($O295="","",INDEX(Master!$D$2:$D$1001,$O295))</f>
      </c>
      <c r="B295" s="166">
        <f>IF($O295="","",INDEX(Master!$B$2:$B$1001,$O295))</f>
      </c>
      <c r="C295">
        <f>IF($O295="","",INDEX(Master!$C$2:$C$1001,$O295))</f>
      </c>
      <c r="D295">
        <f>IF($O295="","",INDEX(Master!$A$2:$A$1001,$O295))</f>
      </c>
      <c r="E295">
        <f>IF($O295="","",INDEX(Master!$E$2:$E$1001,$O295))</f>
      </c>
      <c r="F295">
        <f>IF($O295="","",INDEX(Master!$F$2:$F$1001,$O295))</f>
      </c>
      <c r="G295">
        <f>IF($O295="","",INDEX(Master!$G$2:$G$1001,$O295))</f>
      </c>
      <c r="H295">
        <f>IF($O295="","",INDEX(Master!$H$2:$H$1001,$O295))</f>
      </c>
      <c r="I295">
        <f>IF($O295="","",INDEX(Master!$I$2:$I$1001,$O295))</f>
      </c>
      <c r="J295">
        <f>IF($O295="","",INDEX(Master!$J$2:$J$1001,$O295))</f>
      </c>
      <c r="K295">
        <f t="shared" si="8"/>
      </c>
      <c r="L295">
        <f>IF($O295="","",INDEX(Master!$K$2:$K$1001,$O295))</f>
      </c>
      <c r="M295">
        <f>IF($O295="","",INDEX(Master!$L$2:$L$1001,$O295))</f>
      </c>
      <c r="O295">
        <f t="array" ref="O295">IFERROR(SMALL(IF(Master!$A$2:$A$1001="MASHIVA STEEL AND ALLOYS LLP",ROW(Master!$A$2:$A$1001)-ROW(Master!$A$2)+1),291),"")</f>
      </c>
      <c r="P295">
        <f t="shared" si="9"/>
      </c>
    </row>
    <row r="296" spans="1:16" x14ac:dyDescent="0.25">
      <c r="A296">
        <f>IF($O296="","",INDEX(Master!$D$2:$D$1001,$O296))</f>
      </c>
      <c r="B296" s="166">
        <f>IF($O296="","",INDEX(Master!$B$2:$B$1001,$O296))</f>
      </c>
      <c r="C296">
        <f>IF($O296="","",INDEX(Master!$C$2:$C$1001,$O296))</f>
      </c>
      <c r="D296">
        <f>IF($O296="","",INDEX(Master!$A$2:$A$1001,$O296))</f>
      </c>
      <c r="E296">
        <f>IF($O296="","",INDEX(Master!$E$2:$E$1001,$O296))</f>
      </c>
      <c r="F296">
        <f>IF($O296="","",INDEX(Master!$F$2:$F$1001,$O296))</f>
      </c>
      <c r="G296">
        <f>IF($O296="","",INDEX(Master!$G$2:$G$1001,$O296))</f>
      </c>
      <c r="H296">
        <f>IF($O296="","",INDEX(Master!$H$2:$H$1001,$O296))</f>
      </c>
      <c r="I296">
        <f>IF($O296="","",INDEX(Master!$I$2:$I$1001,$O296))</f>
      </c>
      <c r="J296">
        <f>IF($O296="","",INDEX(Master!$J$2:$J$1001,$O296))</f>
      </c>
      <c r="K296">
        <f t="shared" si="8"/>
      </c>
      <c r="L296">
        <f>IF($O296="","",INDEX(Master!$K$2:$K$1001,$O296))</f>
      </c>
      <c r="M296">
        <f>IF($O296="","",INDEX(Master!$L$2:$L$1001,$O296))</f>
      </c>
      <c r="O296">
        <f t="array" ref="O296">IFERROR(SMALL(IF(Master!$A$2:$A$1001="MASHIVA STEEL AND ALLOYS LLP",ROW(Master!$A$2:$A$1001)-ROW(Master!$A$2)+1),292),"")</f>
      </c>
      <c r="P296">
        <f t="shared" si="9"/>
      </c>
    </row>
    <row r="297" spans="1:16" x14ac:dyDescent="0.25">
      <c r="A297">
        <f>IF($O297="","",INDEX(Master!$D$2:$D$1001,$O297))</f>
      </c>
      <c r="B297" s="166">
        <f>IF($O297="","",INDEX(Master!$B$2:$B$1001,$O297))</f>
      </c>
      <c r="C297">
        <f>IF($O297="","",INDEX(Master!$C$2:$C$1001,$O297))</f>
      </c>
      <c r="D297">
        <f>IF($O297="","",INDEX(Master!$A$2:$A$1001,$O297))</f>
      </c>
      <c r="E297">
        <f>IF($O297="","",INDEX(Master!$E$2:$E$1001,$O297))</f>
      </c>
      <c r="F297">
        <f>IF($O297="","",INDEX(Master!$F$2:$F$1001,$O297))</f>
      </c>
      <c r="G297">
        <f>IF($O297="","",INDEX(Master!$G$2:$G$1001,$O297))</f>
      </c>
      <c r="H297">
        <f>IF($O297="","",INDEX(Master!$H$2:$H$1001,$O297))</f>
      </c>
      <c r="I297">
        <f>IF($O297="","",INDEX(Master!$I$2:$I$1001,$O297))</f>
      </c>
      <c r="J297">
        <f>IF($O297="","",INDEX(Master!$J$2:$J$1001,$O297))</f>
      </c>
      <c r="K297">
        <f t="shared" si="8"/>
      </c>
      <c r="L297">
        <f>IF($O297="","",INDEX(Master!$K$2:$K$1001,$O297))</f>
      </c>
      <c r="M297">
        <f>IF($O297="","",INDEX(Master!$L$2:$L$1001,$O297))</f>
      </c>
      <c r="O297">
        <f t="array" ref="O297">IFERROR(SMALL(IF(Master!$A$2:$A$1001="MASHIVA STEEL AND ALLOYS LLP",ROW(Master!$A$2:$A$1001)-ROW(Master!$A$2)+1),293),"")</f>
      </c>
      <c r="P297">
        <f t="shared" si="9"/>
      </c>
    </row>
    <row r="298" spans="1:16" x14ac:dyDescent="0.25">
      <c r="A298">
        <f>IF($O298="","",INDEX(Master!$D$2:$D$1001,$O298))</f>
      </c>
      <c r="B298" s="166">
        <f>IF($O298="","",INDEX(Master!$B$2:$B$1001,$O298))</f>
      </c>
      <c r="C298">
        <f>IF($O298="","",INDEX(Master!$C$2:$C$1001,$O298))</f>
      </c>
      <c r="D298">
        <f>IF($O298="","",INDEX(Master!$A$2:$A$1001,$O298))</f>
      </c>
      <c r="E298">
        <f>IF($O298="","",INDEX(Master!$E$2:$E$1001,$O298))</f>
      </c>
      <c r="F298">
        <f>IF($O298="","",INDEX(Master!$F$2:$F$1001,$O298))</f>
      </c>
      <c r="G298">
        <f>IF($O298="","",INDEX(Master!$G$2:$G$1001,$O298))</f>
      </c>
      <c r="H298">
        <f>IF($O298="","",INDEX(Master!$H$2:$H$1001,$O298))</f>
      </c>
      <c r="I298">
        <f>IF($O298="","",INDEX(Master!$I$2:$I$1001,$O298))</f>
      </c>
      <c r="J298">
        <f>IF($O298="","",INDEX(Master!$J$2:$J$1001,$O298))</f>
      </c>
      <c r="K298">
        <f t="shared" si="8"/>
      </c>
      <c r="L298">
        <f>IF($O298="","",INDEX(Master!$K$2:$K$1001,$O298))</f>
      </c>
      <c r="M298">
        <f>IF($O298="","",INDEX(Master!$L$2:$L$1001,$O298))</f>
      </c>
      <c r="O298">
        <f t="array" ref="O298">IFERROR(SMALL(IF(Master!$A$2:$A$1001="MASHIVA STEEL AND ALLOYS LLP",ROW(Master!$A$2:$A$1001)-ROW(Master!$A$2)+1),294),"")</f>
      </c>
      <c r="P298">
        <f t="shared" si="9"/>
      </c>
    </row>
    <row r="299" spans="1:16" x14ac:dyDescent="0.25">
      <c r="A299">
        <f>IF($O299="","",INDEX(Master!$D$2:$D$1001,$O299))</f>
      </c>
      <c r="B299" s="166">
        <f>IF($O299="","",INDEX(Master!$B$2:$B$1001,$O299))</f>
      </c>
      <c r="C299">
        <f>IF($O299="","",INDEX(Master!$C$2:$C$1001,$O299))</f>
      </c>
      <c r="D299">
        <f>IF($O299="","",INDEX(Master!$A$2:$A$1001,$O299))</f>
      </c>
      <c r="E299">
        <f>IF($O299="","",INDEX(Master!$E$2:$E$1001,$O299))</f>
      </c>
      <c r="F299">
        <f>IF($O299="","",INDEX(Master!$F$2:$F$1001,$O299))</f>
      </c>
      <c r="G299">
        <f>IF($O299="","",INDEX(Master!$G$2:$G$1001,$O299))</f>
      </c>
      <c r="H299">
        <f>IF($O299="","",INDEX(Master!$H$2:$H$1001,$O299))</f>
      </c>
      <c r="I299">
        <f>IF($O299="","",INDEX(Master!$I$2:$I$1001,$O299))</f>
      </c>
      <c r="J299">
        <f>IF($O299="","",INDEX(Master!$J$2:$J$1001,$O299))</f>
      </c>
      <c r="K299">
        <f t="shared" si="8"/>
      </c>
      <c r="L299">
        <f>IF($O299="","",INDEX(Master!$K$2:$K$1001,$O299))</f>
      </c>
      <c r="M299">
        <f>IF($O299="","",INDEX(Master!$L$2:$L$1001,$O299))</f>
      </c>
      <c r="O299">
        <f t="array" ref="O299">IFERROR(SMALL(IF(Master!$A$2:$A$1001="MASHIVA STEEL AND ALLOYS LLP",ROW(Master!$A$2:$A$1001)-ROW(Master!$A$2)+1),295),"")</f>
      </c>
      <c r="P299">
        <f t="shared" si="9"/>
      </c>
    </row>
    <row r="300" spans="1:16" x14ac:dyDescent="0.25">
      <c r="A300">
        <f>IF($O300="","",INDEX(Master!$D$2:$D$1001,$O300))</f>
      </c>
      <c r="B300" s="166">
        <f>IF($O300="","",INDEX(Master!$B$2:$B$1001,$O300))</f>
      </c>
      <c r="C300">
        <f>IF($O300="","",INDEX(Master!$C$2:$C$1001,$O300))</f>
      </c>
      <c r="D300">
        <f>IF($O300="","",INDEX(Master!$A$2:$A$1001,$O300))</f>
      </c>
      <c r="E300">
        <f>IF($O300="","",INDEX(Master!$E$2:$E$1001,$O300))</f>
      </c>
      <c r="F300">
        <f>IF($O300="","",INDEX(Master!$F$2:$F$1001,$O300))</f>
      </c>
      <c r="G300">
        <f>IF($O300="","",INDEX(Master!$G$2:$G$1001,$O300))</f>
      </c>
      <c r="H300">
        <f>IF($O300="","",INDEX(Master!$H$2:$H$1001,$O300))</f>
      </c>
      <c r="I300">
        <f>IF($O300="","",INDEX(Master!$I$2:$I$1001,$O300))</f>
      </c>
      <c r="J300">
        <f>IF($O300="","",INDEX(Master!$J$2:$J$1001,$O300))</f>
      </c>
      <c r="K300">
        <f t="shared" si="8"/>
      </c>
      <c r="L300">
        <f>IF($O300="","",INDEX(Master!$K$2:$K$1001,$O300))</f>
      </c>
      <c r="M300">
        <f>IF($O300="","",INDEX(Master!$L$2:$L$1001,$O300))</f>
      </c>
      <c r="O300">
        <f t="array" ref="O300">IFERROR(SMALL(IF(Master!$A$2:$A$1001="MASHIVA STEEL AND ALLOYS LLP",ROW(Master!$A$2:$A$1001)-ROW(Master!$A$2)+1),296),"")</f>
      </c>
      <c r="P300">
        <f t="shared" si="9"/>
      </c>
    </row>
    <row r="301" spans="1:16" x14ac:dyDescent="0.25">
      <c r="A301">
        <f>IF($O301="","",INDEX(Master!$D$2:$D$1001,$O301))</f>
      </c>
      <c r="B301" s="166">
        <f>IF($O301="","",INDEX(Master!$B$2:$B$1001,$O301))</f>
      </c>
      <c r="C301">
        <f>IF($O301="","",INDEX(Master!$C$2:$C$1001,$O301))</f>
      </c>
      <c r="D301">
        <f>IF($O301="","",INDEX(Master!$A$2:$A$1001,$O301))</f>
      </c>
      <c r="E301">
        <f>IF($O301="","",INDEX(Master!$E$2:$E$1001,$O301))</f>
      </c>
      <c r="F301">
        <f>IF($O301="","",INDEX(Master!$F$2:$F$1001,$O301))</f>
      </c>
      <c r="G301">
        <f>IF($O301="","",INDEX(Master!$G$2:$G$1001,$O301))</f>
      </c>
      <c r="H301">
        <f>IF($O301="","",INDEX(Master!$H$2:$H$1001,$O301))</f>
      </c>
      <c r="I301">
        <f>IF($O301="","",INDEX(Master!$I$2:$I$1001,$O301))</f>
      </c>
      <c r="J301">
        <f>IF($O301="","",INDEX(Master!$J$2:$J$1001,$O301))</f>
      </c>
      <c r="K301">
        <f t="shared" si="8"/>
      </c>
      <c r="L301">
        <f>IF($O301="","",INDEX(Master!$K$2:$K$1001,$O301))</f>
      </c>
      <c r="M301">
        <f>IF($O301="","",INDEX(Master!$L$2:$L$1001,$O301))</f>
      </c>
      <c r="O301">
        <f t="array" ref="O301">IFERROR(SMALL(IF(Master!$A$2:$A$1001="MASHIVA STEEL AND ALLOYS LLP",ROW(Master!$A$2:$A$1001)-ROW(Master!$A$2)+1),297),"")</f>
      </c>
      <c r="P301">
        <f t="shared" si="9"/>
      </c>
    </row>
    <row r="302" spans="1:16" x14ac:dyDescent="0.25">
      <c r="A302">
        <f>IF($O302="","",INDEX(Master!$D$2:$D$1001,$O302))</f>
      </c>
      <c r="B302" s="166">
        <f>IF($O302="","",INDEX(Master!$B$2:$B$1001,$O302))</f>
      </c>
      <c r="C302">
        <f>IF($O302="","",INDEX(Master!$C$2:$C$1001,$O302))</f>
      </c>
      <c r="D302">
        <f>IF($O302="","",INDEX(Master!$A$2:$A$1001,$O302))</f>
      </c>
      <c r="E302">
        <f>IF($O302="","",INDEX(Master!$E$2:$E$1001,$O302))</f>
      </c>
      <c r="F302">
        <f>IF($O302="","",INDEX(Master!$F$2:$F$1001,$O302))</f>
      </c>
      <c r="G302">
        <f>IF($O302="","",INDEX(Master!$G$2:$G$1001,$O302))</f>
      </c>
      <c r="H302">
        <f>IF($O302="","",INDEX(Master!$H$2:$H$1001,$O302))</f>
      </c>
      <c r="I302">
        <f>IF($O302="","",INDEX(Master!$I$2:$I$1001,$O302))</f>
      </c>
      <c r="J302">
        <f>IF($O302="","",INDEX(Master!$J$2:$J$1001,$O302))</f>
      </c>
      <c r="K302">
        <f t="shared" si="8"/>
      </c>
      <c r="L302">
        <f>IF($O302="","",INDEX(Master!$K$2:$K$1001,$O302))</f>
      </c>
      <c r="M302">
        <f>IF($O302="","",INDEX(Master!$L$2:$L$1001,$O302))</f>
      </c>
      <c r="O302">
        <f t="array" ref="O302">IFERROR(SMALL(IF(Master!$A$2:$A$1001="MASHIVA STEEL AND ALLOYS LLP",ROW(Master!$A$2:$A$1001)-ROW(Master!$A$2)+1),298),"")</f>
      </c>
      <c r="P302">
        <f t="shared" si="9"/>
      </c>
    </row>
    <row r="303" spans="1:16" x14ac:dyDescent="0.25">
      <c r="A303">
        <f>IF($O303="","",INDEX(Master!$D$2:$D$1001,$O303))</f>
      </c>
      <c r="B303" s="166">
        <f>IF($O303="","",INDEX(Master!$B$2:$B$1001,$O303))</f>
      </c>
      <c r="C303">
        <f>IF($O303="","",INDEX(Master!$C$2:$C$1001,$O303))</f>
      </c>
      <c r="D303">
        <f>IF($O303="","",INDEX(Master!$A$2:$A$1001,$O303))</f>
      </c>
      <c r="E303">
        <f>IF($O303="","",INDEX(Master!$E$2:$E$1001,$O303))</f>
      </c>
      <c r="F303">
        <f>IF($O303="","",INDEX(Master!$F$2:$F$1001,$O303))</f>
      </c>
      <c r="G303">
        <f>IF($O303="","",INDEX(Master!$G$2:$G$1001,$O303))</f>
      </c>
      <c r="H303">
        <f>IF($O303="","",INDEX(Master!$H$2:$H$1001,$O303))</f>
      </c>
      <c r="I303">
        <f>IF($O303="","",INDEX(Master!$I$2:$I$1001,$O303))</f>
      </c>
      <c r="J303">
        <f>IF($O303="","",INDEX(Master!$J$2:$J$1001,$O303))</f>
      </c>
      <c r="K303">
        <f t="shared" si="8"/>
      </c>
      <c r="L303">
        <f>IF($O303="","",INDEX(Master!$K$2:$K$1001,$O303))</f>
      </c>
      <c r="M303">
        <f>IF($O303="","",INDEX(Master!$L$2:$L$1001,$O303))</f>
      </c>
      <c r="O303">
        <f t="array" ref="O303">IFERROR(SMALL(IF(Master!$A$2:$A$1001="MASHIVA STEEL AND ALLOYS LLP",ROW(Master!$A$2:$A$1001)-ROW(Master!$A$2)+1),299),"")</f>
      </c>
      <c r="P303">
        <f t="shared" si="9"/>
      </c>
    </row>
    <row r="304" spans="1:16" x14ac:dyDescent="0.25">
      <c r="A304">
        <f>IF($O304="","",INDEX(Master!$D$2:$D$1001,$O304))</f>
      </c>
      <c r="B304" s="166">
        <f>IF($O304="","",INDEX(Master!$B$2:$B$1001,$O304))</f>
      </c>
      <c r="C304">
        <f>IF($O304="","",INDEX(Master!$C$2:$C$1001,$O304))</f>
      </c>
      <c r="D304">
        <f>IF($O304="","",INDEX(Master!$A$2:$A$1001,$O304))</f>
      </c>
      <c r="E304">
        <f>IF($O304="","",INDEX(Master!$E$2:$E$1001,$O304))</f>
      </c>
      <c r="F304">
        <f>IF($O304="","",INDEX(Master!$F$2:$F$1001,$O304))</f>
      </c>
      <c r="G304">
        <f>IF($O304="","",INDEX(Master!$G$2:$G$1001,$O304))</f>
      </c>
      <c r="H304">
        <f>IF($O304="","",INDEX(Master!$H$2:$H$1001,$O304))</f>
      </c>
      <c r="I304">
        <f>IF($O304="","",INDEX(Master!$I$2:$I$1001,$O304))</f>
      </c>
      <c r="J304">
        <f>IF($O304="","",INDEX(Master!$J$2:$J$1001,$O304))</f>
      </c>
      <c r="K304">
        <f t="shared" si="8"/>
      </c>
      <c r="L304">
        <f>IF($O304="","",INDEX(Master!$K$2:$K$1001,$O304))</f>
      </c>
      <c r="M304">
        <f>IF($O304="","",INDEX(Master!$L$2:$L$1001,$O304))</f>
      </c>
      <c r="O304">
        <f t="array" ref="O304">IFERROR(SMALL(IF(Master!$A$2:$A$1001="MASHIVA STEEL AND ALLOYS LLP",ROW(Master!$A$2:$A$1001)-ROW(Master!$A$2)+1),300),"")</f>
      </c>
      <c r="P304">
        <f t="shared" si="9"/>
      </c>
    </row>
  </sheetData>
  <mergeCells count="10">
    <mergeCell ref="A1:N1"/>
    <mergeCell ref="E2:J2"/>
    <mergeCell ref="A2:A4"/>
    <mergeCell ref="C2:C4"/>
    <mergeCell ref="K2:K4"/>
    <mergeCell ref="N2:N4"/>
    <mergeCell ref="L2:L4"/>
    <mergeCell ref="M2:M4"/>
    <mergeCell ref="B2:B4"/>
    <mergeCell ref="D2:D4"/>
  </mergeCells>
  <conditionalFormatting sqref="A5:N304">
    <cfRule type="expression" dxfId="22" priority="1">
      <formula>$N5="HOLD"</formula>
    </cfRule>
  </conditionalFormatting>
  <conditionalFormatting sqref="E5:E304">
    <cfRule type="expression" dxfId="21" priority="2">
      <formula>AND($E5&lt;&gt;"",OR($E5&gt;0.15))</formula>
    </cfRule>
  </conditionalFormatting>
  <conditionalFormatting sqref="F5:F304">
    <cfRule type="expression" dxfId="20" priority="3">
      <formula>AND($F5&lt;&gt;"",OR(($F5+$G5)&gt;0.15))</formula>
    </cfRule>
  </conditionalFormatting>
  <conditionalFormatting sqref="G5:G304">
    <cfRule type="expression" dxfId="19" priority="4">
      <formula>AND($G5&lt;&gt;"",OR(($F5+$G5)&gt;0.15))</formula>
    </cfRule>
  </conditionalFormatting>
  <conditionalFormatting sqref="H5:H304">
    <cfRule type="expression" dxfId="18" priority="5">
      <formula>AND($H5&lt;&gt;"",$H5&lt;0.45)</formula>
    </cfRule>
  </conditionalFormatting>
  <conditionalFormatting sqref="J5:J304">
    <cfRule type="expression" dxfId="17" priority="6">
      <formula>AND($J5&lt;&gt;"",OR($J5&lt;0.1))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304"/>
  <sheetViews>
    <sheetView workbookViewId="0">
      <pane ySplit="4" topLeftCell="A5" activePane="bottomLeft" state="frozen"/>
      <selection pane="bottomLeft" activeCell="L5" sqref="L5"/>
    </sheetView>
  </sheetViews>
  <sheetFormatPr defaultRowHeight="15" x14ac:dyDescent="0.25"/>
  <cols>
    <col min="1" max="1" width="8.7109375" bestFit="1" customWidth="1"/>
    <col min="2" max="2" width="9.7109375" style="166" bestFit="1" customWidth="1"/>
    <col min="3" max="3" width="15.28515625" bestFit="1" customWidth="1"/>
    <col min="4" max="4" width="12.5703125" bestFit="1" customWidth="1"/>
    <col min="5" max="8" width="8" bestFit="1" customWidth="1"/>
    <col min="9" max="9" width="9.5703125" bestFit="1" customWidth="1"/>
    <col min="10" max="10" width="8" bestFit="1" customWidth="1"/>
    <col min="11" max="11" width="12" bestFit="1" customWidth="1"/>
    <col min="12" max="12" width="12.5703125" bestFit="1" customWidth="1"/>
    <col min="13" max="13" width="12.28515625" bestFit="1" customWidth="1"/>
    <col min="14" max="14" width="5.140625" bestFit="1" customWidth="1"/>
    <col min="15" max="15" width="4" hidden="1" customWidth="1"/>
    <col min="16" max="16" width="13" hidden="1" customWidth="1"/>
  </cols>
  <sheetData>
    <row r="1" spans="1:16" ht="21.95" customHeight="1" x14ac:dyDescent="0.25">
      <c r="A1" s="289" t="s">
        <v>54</v>
      </c>
      <c r="B1" s="44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</row>
    <row r="2" spans="1:16" x14ac:dyDescent="0.25">
      <c r="A2" s="434" t="s">
        <v>29</v>
      </c>
      <c r="B2" s="439" t="s">
        <v>30</v>
      </c>
      <c r="C2" s="434" t="s">
        <v>39</v>
      </c>
      <c r="D2" s="434" t="s">
        <v>1</v>
      </c>
      <c r="E2" s="434" t="s">
        <v>40</v>
      </c>
      <c r="F2" s="435"/>
      <c r="G2" s="435"/>
      <c r="H2" s="435"/>
      <c r="I2" s="435"/>
      <c r="J2" s="436"/>
      <c r="K2" s="434" t="s">
        <v>41</v>
      </c>
      <c r="L2" s="434" t="s">
        <v>42</v>
      </c>
      <c r="M2" s="434" t="s">
        <v>43</v>
      </c>
      <c r="N2" s="434" t="s">
        <v>44</v>
      </c>
      <c r="P2" t="s">
        <v>45</v>
      </c>
    </row>
    <row r="3" spans="1:16" x14ac:dyDescent="0.25">
      <c r="A3" s="437"/>
      <c r="B3" s="437"/>
      <c r="C3" s="437"/>
      <c r="D3" s="437"/>
      <c r="E3" s="231" t="s">
        <v>32</v>
      </c>
      <c r="F3" s="231" t="s">
        <v>33</v>
      </c>
      <c r="G3" s="231" t="s">
        <v>34</v>
      </c>
      <c r="H3" s="231" t="s">
        <v>35</v>
      </c>
      <c r="I3" s="231" t="s">
        <v>36</v>
      </c>
      <c r="J3" s="231" t="s">
        <v>37</v>
      </c>
      <c r="K3" s="437"/>
      <c r="L3" s="437"/>
      <c r="M3" s="437"/>
      <c r="N3" s="437"/>
    </row>
    <row r="4" spans="1:16" x14ac:dyDescent="0.25">
      <c r="A4" s="438"/>
      <c r="B4" s="438"/>
      <c r="C4" s="438"/>
      <c r="D4" s="438"/>
      <c r="E4" s="233" t="s">
        <v>46</v>
      </c>
      <c r="F4" s="233" t="s">
        <v>46</v>
      </c>
      <c r="G4" s="233" t="s">
        <v>46</v>
      </c>
      <c r="H4" s="233" t="s">
        <v>46</v>
      </c>
      <c r="I4" s="233" t="s">
        <v>47</v>
      </c>
      <c r="J4" s="233" t="s">
        <v>46</v>
      </c>
      <c r="K4" s="438"/>
      <c r="L4" s="438"/>
      <c r="M4" s="438"/>
      <c r="N4" s="438"/>
    </row>
    <row r="5" spans="1:16" x14ac:dyDescent="0.25">
      <c r="A5" s="164">
        <f>IF($O5="","",INDEX(Master!$D$2:$D$1001,$O5))</f>
      </c>
      <c r="B5" s="165">
        <f>IF($O5="","",INDEX(Master!$B$2:$B$1001,$O5))</f>
      </c>
      <c r="C5" s="164">
        <f>IF($O5="","",INDEX(Master!$C$2:$C$1001,$O5))</f>
      </c>
      <c r="D5" s="164">
        <f>IF($O5="","",INDEX(Master!$A$2:$A$1001,$O5))</f>
      </c>
      <c r="E5" s="164">
        <f>IF($O5="","",INDEX(Master!$E$2:$E$1001,$O5))</f>
      </c>
      <c r="F5" s="164">
        <f>IF($O5="","",INDEX(Master!$F$2:$F$1001,$O5))</f>
      </c>
      <c r="G5" s="164">
        <f>IF($O5="","",INDEX(Master!$G$2:$G$1001,$O5))</f>
      </c>
      <c r="H5" s="164">
        <f>IF($O5="","",INDEX(Master!$H$2:$H$1001,$O5))</f>
      </c>
      <c r="I5" s="164">
        <f>IF($O5="","",INDEX(Master!$I$2:$I$1001,$O5))</f>
      </c>
      <c r="J5" s="164">
        <f>IF($O5="","",INDEX(Master!$J$2:$J$1001,$O5))</f>
      </c>
      <c r="K5" s="248">
        <f t="shared" ref="K5:K68" si="0">IF(OR($O5="",$F5="",$F5=0),"",$H5/$F5)</f>
      </c>
      <c r="L5" s="164">
        <f>IF($O5="","",INDEX(Master!$K$2:$K$1001,$O5))</f>
      </c>
      <c r="M5" s="164">
        <f>IF($O5="","",INDEX(Master!$L$2:$L$1001,$O5))</f>
      </c>
      <c r="N5" s="164"/>
      <c r="O5">
        <f t="array" ref="O5">IFERROR(SMALL(IF(Master!$A$2:$A$1001="AKASH SALES",ROW(Master!$A$2:$A$1001)-ROW(Master!$A$2)+1),1),"")</f>
      </c>
      <c r="P5">
        <f t="shared" ref="P5:P68" si="1">IF($A5="",0,IF(OR(AND($E5&lt;&gt;"",OR($E5&gt;0.18)),AND($F5&lt;&gt;"",OR(($F5+$G5)&gt;0.15)),AND($G5&lt;&gt;"",OR(($F5+$G5)&gt;0.15)),AND($H5&lt;&gt;"",$H5&lt;0.45),AND($J5&lt;&gt;"",OR($J5&lt;0.1))),1,0))</f>
      </c>
    </row>
    <row r="6" spans="1:16" x14ac:dyDescent="0.25">
      <c r="A6" s="164">
        <f>IF($O6="","",INDEX(Master!$D$2:$D$1001,$O6))</f>
      </c>
      <c r="B6" s="165">
        <f>IF($O6="","",INDEX(Master!$B$2:$B$1001,$O6))</f>
      </c>
      <c r="C6" s="164">
        <f>IF($O6="","",INDEX(Master!$C$2:$C$1001,$O6))</f>
      </c>
      <c r="D6" s="164">
        <f>IF($O6="","",INDEX(Master!$A$2:$A$1001,$O6))</f>
      </c>
      <c r="E6" s="164">
        <f>IF($O6="","",INDEX(Master!$E$2:$E$1001,$O6))</f>
      </c>
      <c r="F6" s="164">
        <f>IF($O6="","",INDEX(Master!$F$2:$F$1001,$O6))</f>
      </c>
      <c r="G6" s="164">
        <f>IF($O6="","",INDEX(Master!$G$2:$G$1001,$O6))</f>
      </c>
      <c r="H6" s="164">
        <f>IF($O6="","",INDEX(Master!$H$2:$H$1001,$O6))</f>
      </c>
      <c r="I6" s="164">
        <f>IF($O6="","",INDEX(Master!$I$2:$I$1001,$O6))</f>
      </c>
      <c r="J6" s="164">
        <f>IF($O6="","",INDEX(Master!$J$2:$J$1001,$O6))</f>
      </c>
      <c r="K6" s="248">
        <f t="shared" si="0"/>
      </c>
      <c r="L6" s="164">
        <f>IF($O6="","",INDEX(Master!$K$2:$K$1001,$O6))</f>
      </c>
      <c r="M6" s="164">
        <f>IF($O6="","",INDEX(Master!$L$2:$L$1001,$O6))</f>
      </c>
      <c r="N6" s="164"/>
      <c r="O6">
        <f t="array" ref="O6">IFERROR(SMALL(IF(Master!$A$2:$A$1001="AKASH SALES",ROW(Master!$A$2:$A$1001)-ROW(Master!$A$2)+1),2),"")</f>
      </c>
      <c r="P6">
        <f t="shared" si="1"/>
      </c>
    </row>
    <row r="7" spans="1:16" x14ac:dyDescent="0.25">
      <c r="A7" s="164">
        <f>IF($O7="","",INDEX(Master!$D$2:$D$1001,$O7))</f>
      </c>
      <c r="B7" s="165">
        <f>IF($O7="","",INDEX(Master!$B$2:$B$1001,$O7))</f>
      </c>
      <c r="C7" s="164">
        <f>IF($O7="","",INDEX(Master!$C$2:$C$1001,$O7))</f>
      </c>
      <c r="D7" s="164">
        <f>IF($O7="","",INDEX(Master!$A$2:$A$1001,$O7))</f>
      </c>
      <c r="E7" s="164">
        <f>IF($O7="","",INDEX(Master!$E$2:$E$1001,$O7))</f>
      </c>
      <c r="F7" s="164">
        <f>IF($O7="","",INDEX(Master!$F$2:$F$1001,$O7))</f>
      </c>
      <c r="G7" s="164">
        <f>IF($O7="","",INDEX(Master!$G$2:$G$1001,$O7))</f>
      </c>
      <c r="H7" s="164">
        <f>IF($O7="","",INDEX(Master!$H$2:$H$1001,$O7))</f>
      </c>
      <c r="I7" s="164">
        <f>IF($O7="","",INDEX(Master!$I$2:$I$1001,$O7))</f>
      </c>
      <c r="J7" s="164">
        <f>IF($O7="","",INDEX(Master!$J$2:$J$1001,$O7))</f>
      </c>
      <c r="K7" s="248">
        <f t="shared" si="0"/>
      </c>
      <c r="L7" s="164">
        <f>IF($O7="","",INDEX(Master!$K$2:$K$1001,$O7))</f>
      </c>
      <c r="M7" s="164">
        <f>IF($O7="","",INDEX(Master!$L$2:$L$1001,$O7))</f>
      </c>
      <c r="N7" s="164"/>
      <c r="O7">
        <f t="array" ref="O7">IFERROR(SMALL(IF(Master!$A$2:$A$1001="AKASH SALES",ROW(Master!$A$2:$A$1001)-ROW(Master!$A$2)+1),3),"")</f>
      </c>
      <c r="P7">
        <f t="shared" si="1"/>
      </c>
    </row>
    <row r="8" spans="1:16" x14ac:dyDescent="0.25">
      <c r="A8" s="164">
        <f>IF($O8="","",INDEX(Master!$D$2:$D$1001,$O8))</f>
      </c>
      <c r="B8" s="165">
        <f>IF($O8="","",INDEX(Master!$B$2:$B$1001,$O8))</f>
      </c>
      <c r="C8" s="164">
        <f>IF($O8="","",INDEX(Master!$C$2:$C$1001,$O8))</f>
      </c>
      <c r="D8" s="164">
        <f>IF($O8="","",INDEX(Master!$A$2:$A$1001,$O8))</f>
      </c>
      <c r="E8" s="164">
        <f>IF($O8="","",INDEX(Master!$E$2:$E$1001,$O8))</f>
      </c>
      <c r="F8" s="164">
        <f>IF($O8="","",INDEX(Master!$F$2:$F$1001,$O8))</f>
      </c>
      <c r="G8" s="164">
        <f>IF($O8="","",INDEX(Master!$G$2:$G$1001,$O8))</f>
      </c>
      <c r="H8" s="164">
        <f>IF($O8="","",INDEX(Master!$H$2:$H$1001,$O8))</f>
      </c>
      <c r="I8" s="164">
        <f>IF($O8="","",INDEX(Master!$I$2:$I$1001,$O8))</f>
      </c>
      <c r="J8" s="164">
        <f>IF($O8="","",INDEX(Master!$J$2:$J$1001,$O8))</f>
      </c>
      <c r="K8" s="248">
        <f t="shared" si="0"/>
      </c>
      <c r="L8" s="164">
        <f>IF($O8="","",INDEX(Master!$K$2:$K$1001,$O8))</f>
      </c>
      <c r="M8" s="164">
        <f>IF($O8="","",INDEX(Master!$L$2:$L$1001,$O8))</f>
      </c>
      <c r="N8" s="164"/>
      <c r="O8">
        <f t="array" ref="O8">IFERROR(SMALL(IF(Master!$A$2:$A$1001="AKASH SALES",ROW(Master!$A$2:$A$1001)-ROW(Master!$A$2)+1),4),"")</f>
      </c>
      <c r="P8">
        <f t="shared" si="1"/>
      </c>
    </row>
    <row r="9" spans="1:16" x14ac:dyDescent="0.25">
      <c r="A9" s="164">
        <f>IF($O9="","",INDEX(Master!$D$2:$D$1001,$O9))</f>
      </c>
      <c r="B9" s="165">
        <f>IF($O9="","",INDEX(Master!$B$2:$B$1001,$O9))</f>
      </c>
      <c r="C9" s="164">
        <f>IF($O9="","",INDEX(Master!$C$2:$C$1001,$O9))</f>
      </c>
      <c r="D9" s="164">
        <f>IF($O9="","",INDEX(Master!$A$2:$A$1001,$O9))</f>
      </c>
      <c r="E9" s="164">
        <f>IF($O9="","",INDEX(Master!$E$2:$E$1001,$O9))</f>
      </c>
      <c r="F9" s="164">
        <f>IF($O9="","",INDEX(Master!$F$2:$F$1001,$O9))</f>
      </c>
      <c r="G9" s="164">
        <f>IF($O9="","",INDEX(Master!$G$2:$G$1001,$O9))</f>
      </c>
      <c r="H9" s="164">
        <f>IF($O9="","",INDEX(Master!$H$2:$H$1001,$O9))</f>
      </c>
      <c r="I9" s="164">
        <f>IF($O9="","",INDEX(Master!$I$2:$I$1001,$O9))</f>
      </c>
      <c r="J9" s="164">
        <f>IF($O9="","",INDEX(Master!$J$2:$J$1001,$O9))</f>
      </c>
      <c r="K9" s="248">
        <f t="shared" si="0"/>
      </c>
      <c r="L9" s="164">
        <f>IF($O9="","",INDEX(Master!$K$2:$K$1001,$O9))</f>
      </c>
      <c r="M9" s="164">
        <f>IF($O9="","",INDEX(Master!$L$2:$L$1001,$O9))</f>
      </c>
      <c r="N9" s="164"/>
      <c r="O9">
        <f t="array" ref="O9">IFERROR(SMALL(IF(Master!$A$2:$A$1001="AKASH SALES",ROW(Master!$A$2:$A$1001)-ROW(Master!$A$2)+1),5),"")</f>
      </c>
      <c r="P9">
        <f t="shared" si="1"/>
      </c>
    </row>
    <row r="10" spans="1:16" x14ac:dyDescent="0.25">
      <c r="A10" s="164">
        <f>IF($O10="","",INDEX(Master!$D$2:$D$1001,$O10))</f>
      </c>
      <c r="B10" s="165">
        <f>IF($O10="","",INDEX(Master!$B$2:$B$1001,$O10))</f>
      </c>
      <c r="C10" s="164">
        <f>IF($O10="","",INDEX(Master!$C$2:$C$1001,$O10))</f>
      </c>
      <c r="D10" s="164">
        <f>IF($O10="","",INDEX(Master!$A$2:$A$1001,$O10))</f>
      </c>
      <c r="E10" s="164">
        <f>IF($O10="","",INDEX(Master!$E$2:$E$1001,$O10))</f>
      </c>
      <c r="F10" s="164">
        <f>IF($O10="","",INDEX(Master!$F$2:$F$1001,$O10))</f>
      </c>
      <c r="G10" s="164">
        <f>IF($O10="","",INDEX(Master!$G$2:$G$1001,$O10))</f>
      </c>
      <c r="H10" s="164">
        <f>IF($O10="","",INDEX(Master!$H$2:$H$1001,$O10))</f>
      </c>
      <c r="I10" s="164">
        <f>IF($O10="","",INDEX(Master!$I$2:$I$1001,$O10))</f>
      </c>
      <c r="J10" s="164">
        <f>IF($O10="","",INDEX(Master!$J$2:$J$1001,$O10))</f>
      </c>
      <c r="K10" s="248">
        <f t="shared" si="0"/>
      </c>
      <c r="L10" s="164">
        <f>IF($O10="","",INDEX(Master!$K$2:$K$1001,$O10))</f>
      </c>
      <c r="M10" s="164">
        <f>IF($O10="","",INDEX(Master!$L$2:$L$1001,$O10))</f>
      </c>
      <c r="N10" s="164"/>
      <c r="O10">
        <f t="array" ref="O10">IFERROR(SMALL(IF(Master!$A$2:$A$1001="AKASH SALES",ROW(Master!$A$2:$A$1001)-ROW(Master!$A$2)+1),6),"")</f>
      </c>
      <c r="P10">
        <f t="shared" si="1"/>
      </c>
    </row>
    <row r="11" spans="1:16" x14ac:dyDescent="0.25">
      <c r="A11" s="164">
        <f>IF($O11="","",INDEX(Master!$D$2:$D$1001,$O11))</f>
      </c>
      <c r="B11" s="165">
        <f>IF($O11="","",INDEX(Master!$B$2:$B$1001,$O11))</f>
      </c>
      <c r="C11" s="164">
        <f>IF($O11="","",INDEX(Master!$C$2:$C$1001,$O11))</f>
      </c>
      <c r="D11" s="164">
        <f>IF($O11="","",INDEX(Master!$A$2:$A$1001,$O11))</f>
      </c>
      <c r="E11" s="164">
        <f>IF($O11="","",INDEX(Master!$E$2:$E$1001,$O11))</f>
      </c>
      <c r="F11" s="164">
        <f>IF($O11="","",INDEX(Master!$F$2:$F$1001,$O11))</f>
      </c>
      <c r="G11" s="164">
        <f>IF($O11="","",INDEX(Master!$G$2:$G$1001,$O11))</f>
      </c>
      <c r="H11" s="164">
        <f>IF($O11="","",INDEX(Master!$H$2:$H$1001,$O11))</f>
      </c>
      <c r="I11" s="164">
        <f>IF($O11="","",INDEX(Master!$I$2:$I$1001,$O11))</f>
      </c>
      <c r="J11" s="164">
        <f>IF($O11="","",INDEX(Master!$J$2:$J$1001,$O11))</f>
      </c>
      <c r="K11" s="248">
        <f t="shared" si="0"/>
      </c>
      <c r="L11" s="164">
        <f>IF($O11="","",INDEX(Master!$K$2:$K$1001,$O11))</f>
      </c>
      <c r="M11" s="164">
        <f>IF($O11="","",INDEX(Master!$L$2:$L$1001,$O11))</f>
      </c>
      <c r="N11" s="164"/>
      <c r="O11">
        <f t="array" ref="O11">IFERROR(SMALL(IF(Master!$A$2:$A$1001="AKASH SALES",ROW(Master!$A$2:$A$1001)-ROW(Master!$A$2)+1),7),"")</f>
      </c>
      <c r="P11">
        <f t="shared" si="1"/>
      </c>
    </row>
    <row r="12" spans="1:16" x14ac:dyDescent="0.25">
      <c r="A12" s="164">
        <f>IF($O12="","",INDEX(Master!$D$2:$D$1001,$O12))</f>
      </c>
      <c r="B12" s="165">
        <f>IF($O12="","",INDEX(Master!$B$2:$B$1001,$O12))</f>
      </c>
      <c r="C12" s="164">
        <f>IF($O12="","",INDEX(Master!$C$2:$C$1001,$O12))</f>
      </c>
      <c r="D12" s="164">
        <f>IF($O12="","",INDEX(Master!$A$2:$A$1001,$O12))</f>
      </c>
      <c r="E12" s="164">
        <f>IF($O12="","",INDEX(Master!$E$2:$E$1001,$O12))</f>
      </c>
      <c r="F12" s="164">
        <f>IF($O12="","",INDEX(Master!$F$2:$F$1001,$O12))</f>
      </c>
      <c r="G12" s="164">
        <f>IF($O12="","",INDEX(Master!$G$2:$G$1001,$O12))</f>
      </c>
      <c r="H12" s="164">
        <f>IF($O12="","",INDEX(Master!$H$2:$H$1001,$O12))</f>
      </c>
      <c r="I12" s="164">
        <f>IF($O12="","",INDEX(Master!$I$2:$I$1001,$O12))</f>
      </c>
      <c r="J12" s="164">
        <f>IF($O12="","",INDEX(Master!$J$2:$J$1001,$O12))</f>
      </c>
      <c r="K12" s="248">
        <f t="shared" si="0"/>
      </c>
      <c r="L12" s="164">
        <f>IF($O12="","",INDEX(Master!$K$2:$K$1001,$O12))</f>
      </c>
      <c r="M12" s="164">
        <f>IF($O12="","",INDEX(Master!$L$2:$L$1001,$O12))</f>
      </c>
      <c r="N12" s="164"/>
      <c r="O12">
        <f t="array" ref="O12">IFERROR(SMALL(IF(Master!$A$2:$A$1001="AKASH SALES",ROW(Master!$A$2:$A$1001)-ROW(Master!$A$2)+1),8),"")</f>
      </c>
      <c r="P12">
        <f t="shared" si="1"/>
      </c>
    </row>
    <row r="13" spans="1:16" x14ac:dyDescent="0.25">
      <c r="A13" s="164">
        <f>IF($O13="","",INDEX(Master!$D$2:$D$1001,$O13))</f>
      </c>
      <c r="B13" s="165">
        <f>IF($O13="","",INDEX(Master!$B$2:$B$1001,$O13))</f>
      </c>
      <c r="C13" s="164">
        <f>IF($O13="","",INDEX(Master!$C$2:$C$1001,$O13))</f>
      </c>
      <c r="D13" s="164">
        <f>IF($O13="","",INDEX(Master!$A$2:$A$1001,$O13))</f>
      </c>
      <c r="E13" s="164">
        <f>IF($O13="","",INDEX(Master!$E$2:$E$1001,$O13))</f>
      </c>
      <c r="F13" s="164">
        <f>IF($O13="","",INDEX(Master!$F$2:$F$1001,$O13))</f>
      </c>
      <c r="G13" s="164">
        <f>IF($O13="","",INDEX(Master!$G$2:$G$1001,$O13))</f>
      </c>
      <c r="H13" s="164">
        <f>IF($O13="","",INDEX(Master!$H$2:$H$1001,$O13))</f>
      </c>
      <c r="I13" s="164">
        <f>IF($O13="","",INDEX(Master!$I$2:$I$1001,$O13))</f>
      </c>
      <c r="J13" s="164">
        <f>IF($O13="","",INDEX(Master!$J$2:$J$1001,$O13))</f>
      </c>
      <c r="K13" s="248">
        <f t="shared" si="0"/>
      </c>
      <c r="L13" s="164">
        <f>IF($O13="","",INDEX(Master!$K$2:$K$1001,$O13))</f>
      </c>
      <c r="M13" s="164">
        <f>IF($O13="","",INDEX(Master!$L$2:$L$1001,$O13))</f>
      </c>
      <c r="N13" s="164"/>
      <c r="O13">
        <f t="array" ref="O13">IFERROR(SMALL(IF(Master!$A$2:$A$1001="AKASH SALES",ROW(Master!$A$2:$A$1001)-ROW(Master!$A$2)+1),9),"")</f>
      </c>
      <c r="P13">
        <f t="shared" si="1"/>
      </c>
    </row>
    <row r="14" spans="1:16" x14ac:dyDescent="0.25">
      <c r="A14" s="164">
        <f>IF($O14="","",INDEX(Master!$D$2:$D$1001,$O14))</f>
      </c>
      <c r="B14" s="165">
        <f>IF($O14="","",INDEX(Master!$B$2:$B$1001,$O14))</f>
      </c>
      <c r="C14" s="164">
        <f>IF($O14="","",INDEX(Master!$C$2:$C$1001,$O14))</f>
      </c>
      <c r="D14" s="164">
        <f>IF($O14="","",INDEX(Master!$A$2:$A$1001,$O14))</f>
      </c>
      <c r="E14" s="164">
        <f>IF($O14="","",INDEX(Master!$E$2:$E$1001,$O14))</f>
      </c>
      <c r="F14" s="164">
        <f>IF($O14="","",INDEX(Master!$F$2:$F$1001,$O14))</f>
      </c>
      <c r="G14" s="164">
        <f>IF($O14="","",INDEX(Master!$G$2:$G$1001,$O14))</f>
      </c>
      <c r="H14" s="164">
        <f>IF($O14="","",INDEX(Master!$H$2:$H$1001,$O14))</f>
      </c>
      <c r="I14" s="164">
        <f>IF($O14="","",INDEX(Master!$I$2:$I$1001,$O14))</f>
      </c>
      <c r="J14" s="164">
        <f>IF($O14="","",INDEX(Master!$J$2:$J$1001,$O14))</f>
      </c>
      <c r="K14" s="248">
        <f t="shared" si="0"/>
      </c>
      <c r="L14" s="164">
        <f>IF($O14="","",INDEX(Master!$K$2:$K$1001,$O14))</f>
      </c>
      <c r="M14" s="164">
        <f>IF($O14="","",INDEX(Master!$L$2:$L$1001,$O14))</f>
      </c>
      <c r="N14" s="164"/>
      <c r="O14">
        <f t="array" ref="O14">IFERROR(SMALL(IF(Master!$A$2:$A$1001="AKASH SALES",ROW(Master!$A$2:$A$1001)-ROW(Master!$A$2)+1),10),"")</f>
      </c>
      <c r="P14">
        <f t="shared" si="1"/>
      </c>
    </row>
    <row r="15" spans="1:16" x14ac:dyDescent="0.25">
      <c r="A15" s="164">
        <f>IF($O15="","",INDEX(Master!$D$2:$D$1001,$O15))</f>
      </c>
      <c r="B15" s="165">
        <f>IF($O15="","",INDEX(Master!$B$2:$B$1001,$O15))</f>
      </c>
      <c r="C15" s="164">
        <f>IF($O15="","",INDEX(Master!$C$2:$C$1001,$O15))</f>
      </c>
      <c r="D15" s="164">
        <f>IF($O15="","",INDEX(Master!$A$2:$A$1001,$O15))</f>
      </c>
      <c r="E15" s="164">
        <f>IF($O15="","",INDEX(Master!$E$2:$E$1001,$O15))</f>
      </c>
      <c r="F15" s="164">
        <f>IF($O15="","",INDEX(Master!$F$2:$F$1001,$O15))</f>
      </c>
      <c r="G15" s="164">
        <f>IF($O15="","",INDEX(Master!$G$2:$G$1001,$O15))</f>
      </c>
      <c r="H15" s="164">
        <f>IF($O15="","",INDEX(Master!$H$2:$H$1001,$O15))</f>
      </c>
      <c r="I15" s="164">
        <f>IF($O15="","",INDEX(Master!$I$2:$I$1001,$O15))</f>
      </c>
      <c r="J15" s="164">
        <f>IF($O15="","",INDEX(Master!$J$2:$J$1001,$O15))</f>
      </c>
      <c r="K15" s="248">
        <f t="shared" si="0"/>
      </c>
      <c r="L15" s="164">
        <f>IF($O15="","",INDEX(Master!$K$2:$K$1001,$O15))</f>
      </c>
      <c r="M15" s="164">
        <f>IF($O15="","",INDEX(Master!$L$2:$L$1001,$O15))</f>
      </c>
      <c r="N15" s="164"/>
      <c r="O15">
        <f t="array" ref="O15">IFERROR(SMALL(IF(Master!$A$2:$A$1001="AKASH SALES",ROW(Master!$A$2:$A$1001)-ROW(Master!$A$2)+1),11),"")</f>
      </c>
      <c r="P15">
        <f t="shared" si="1"/>
      </c>
    </row>
    <row r="16" spans="1:16" x14ac:dyDescent="0.25">
      <c r="A16" s="164">
        <f>IF($O16="","",INDEX(Master!$D$2:$D$1001,$O16))</f>
      </c>
      <c r="B16" s="165">
        <f>IF($O16="","",INDEX(Master!$B$2:$B$1001,$O16))</f>
      </c>
      <c r="C16" s="164">
        <f>IF($O16="","",INDEX(Master!$C$2:$C$1001,$O16))</f>
      </c>
      <c r="D16" s="164">
        <f>IF($O16="","",INDEX(Master!$A$2:$A$1001,$O16))</f>
      </c>
      <c r="E16" s="164">
        <f>IF($O16="","",INDEX(Master!$E$2:$E$1001,$O16))</f>
      </c>
      <c r="F16" s="164">
        <f>IF($O16="","",INDEX(Master!$F$2:$F$1001,$O16))</f>
      </c>
      <c r="G16" s="164">
        <f>IF($O16="","",INDEX(Master!$G$2:$G$1001,$O16))</f>
      </c>
      <c r="H16" s="164">
        <f>IF($O16="","",INDEX(Master!$H$2:$H$1001,$O16))</f>
      </c>
      <c r="I16" s="164">
        <f>IF($O16="","",INDEX(Master!$I$2:$I$1001,$O16))</f>
      </c>
      <c r="J16" s="164">
        <f>IF($O16="","",INDEX(Master!$J$2:$J$1001,$O16))</f>
      </c>
      <c r="K16" s="248">
        <f t="shared" si="0"/>
      </c>
      <c r="L16" s="164">
        <f>IF($O16="","",INDEX(Master!$K$2:$K$1001,$O16))</f>
      </c>
      <c r="M16" s="164">
        <f>IF($O16="","",INDEX(Master!$L$2:$L$1001,$O16))</f>
      </c>
      <c r="N16" s="164"/>
      <c r="O16">
        <f t="array" ref="O16">IFERROR(SMALL(IF(Master!$A$2:$A$1001="AKASH SALES",ROW(Master!$A$2:$A$1001)-ROW(Master!$A$2)+1),12),"")</f>
      </c>
      <c r="P16">
        <f t="shared" si="1"/>
      </c>
    </row>
    <row r="17" spans="1:16" x14ac:dyDescent="0.25">
      <c r="A17" s="164">
        <f>IF($O17="","",INDEX(Master!$D$2:$D$1001,$O17))</f>
      </c>
      <c r="B17" s="165">
        <f>IF($O17="","",INDEX(Master!$B$2:$B$1001,$O17))</f>
      </c>
      <c r="C17" s="164">
        <f>IF($O17="","",INDEX(Master!$C$2:$C$1001,$O17))</f>
      </c>
      <c r="D17" s="164">
        <f>IF($O17="","",INDEX(Master!$A$2:$A$1001,$O17))</f>
      </c>
      <c r="E17" s="164">
        <f>IF($O17="","",INDEX(Master!$E$2:$E$1001,$O17))</f>
      </c>
      <c r="F17" s="164">
        <f>IF($O17="","",INDEX(Master!$F$2:$F$1001,$O17))</f>
      </c>
      <c r="G17" s="164">
        <f>IF($O17="","",INDEX(Master!$G$2:$G$1001,$O17))</f>
      </c>
      <c r="H17" s="164">
        <f>IF($O17="","",INDEX(Master!$H$2:$H$1001,$O17))</f>
      </c>
      <c r="I17" s="164">
        <f>IF($O17="","",INDEX(Master!$I$2:$I$1001,$O17))</f>
      </c>
      <c r="J17" s="164">
        <f>IF($O17="","",INDEX(Master!$J$2:$J$1001,$O17))</f>
      </c>
      <c r="K17" s="248">
        <f t="shared" si="0"/>
      </c>
      <c r="L17" s="164">
        <f>IF($O17="","",INDEX(Master!$K$2:$K$1001,$O17))</f>
      </c>
      <c r="M17" s="164">
        <f>IF($O17="","",INDEX(Master!$L$2:$L$1001,$O17))</f>
      </c>
      <c r="N17" s="164"/>
      <c r="O17">
        <f t="array" ref="O17">IFERROR(SMALL(IF(Master!$A$2:$A$1001="AKASH SALES",ROW(Master!$A$2:$A$1001)-ROW(Master!$A$2)+1),13),"")</f>
      </c>
      <c r="P17">
        <f t="shared" si="1"/>
      </c>
    </row>
    <row r="18" spans="1:16" x14ac:dyDescent="0.25">
      <c r="A18" s="164">
        <f>IF($O18="","",INDEX(Master!$D$2:$D$1001,$O18))</f>
      </c>
      <c r="B18" s="165">
        <f>IF($O18="","",INDEX(Master!$B$2:$B$1001,$O18))</f>
      </c>
      <c r="C18" s="164">
        <f>IF($O18="","",INDEX(Master!$C$2:$C$1001,$O18))</f>
      </c>
      <c r="D18" s="164">
        <f>IF($O18="","",INDEX(Master!$A$2:$A$1001,$O18))</f>
      </c>
      <c r="E18" s="164">
        <f>IF($O18="","",INDEX(Master!$E$2:$E$1001,$O18))</f>
      </c>
      <c r="F18" s="164">
        <f>IF($O18="","",INDEX(Master!$F$2:$F$1001,$O18))</f>
      </c>
      <c r="G18" s="164">
        <f>IF($O18="","",INDEX(Master!$G$2:$G$1001,$O18))</f>
      </c>
      <c r="H18" s="164">
        <f>IF($O18="","",INDEX(Master!$H$2:$H$1001,$O18))</f>
      </c>
      <c r="I18" s="164">
        <f>IF($O18="","",INDEX(Master!$I$2:$I$1001,$O18))</f>
      </c>
      <c r="J18" s="164">
        <f>IF($O18="","",INDEX(Master!$J$2:$J$1001,$O18))</f>
      </c>
      <c r="K18" s="248">
        <f t="shared" si="0"/>
      </c>
      <c r="L18" s="164">
        <f>IF($O18="","",INDEX(Master!$K$2:$K$1001,$O18))</f>
      </c>
      <c r="M18" s="164">
        <f>IF($O18="","",INDEX(Master!$L$2:$L$1001,$O18))</f>
      </c>
      <c r="N18" s="164"/>
      <c r="O18">
        <f t="array" ref="O18">IFERROR(SMALL(IF(Master!$A$2:$A$1001="AKASH SALES",ROW(Master!$A$2:$A$1001)-ROW(Master!$A$2)+1),14),"")</f>
      </c>
      <c r="P18">
        <f t="shared" si="1"/>
      </c>
    </row>
    <row r="19" spans="1:16" x14ac:dyDescent="0.25">
      <c r="A19" s="164">
        <f>IF($O19="","",INDEX(Master!$D$2:$D$1001,$O19))</f>
      </c>
      <c r="B19" s="165">
        <f>IF($O19="","",INDEX(Master!$B$2:$B$1001,$O19))</f>
      </c>
      <c r="C19" s="164">
        <f>IF($O19="","",INDEX(Master!$C$2:$C$1001,$O19))</f>
      </c>
      <c r="D19" s="164">
        <f>IF($O19="","",INDEX(Master!$A$2:$A$1001,$O19))</f>
      </c>
      <c r="E19" s="164">
        <f>IF($O19="","",INDEX(Master!$E$2:$E$1001,$O19))</f>
      </c>
      <c r="F19" s="164">
        <f>IF($O19="","",INDEX(Master!$F$2:$F$1001,$O19))</f>
      </c>
      <c r="G19" s="164">
        <f>IF($O19="","",INDEX(Master!$G$2:$G$1001,$O19))</f>
      </c>
      <c r="H19" s="164">
        <f>IF($O19="","",INDEX(Master!$H$2:$H$1001,$O19))</f>
      </c>
      <c r="I19" s="164">
        <f>IF($O19="","",INDEX(Master!$I$2:$I$1001,$O19))</f>
      </c>
      <c r="J19" s="164">
        <f>IF($O19="","",INDEX(Master!$J$2:$J$1001,$O19))</f>
      </c>
      <c r="K19" s="248">
        <f t="shared" si="0"/>
      </c>
      <c r="L19" s="164">
        <f>IF($O19="","",INDEX(Master!$K$2:$K$1001,$O19))</f>
      </c>
      <c r="M19" s="164">
        <f>IF($O19="","",INDEX(Master!$L$2:$L$1001,$O19))</f>
      </c>
      <c r="N19" s="164"/>
      <c r="O19">
        <f t="array" ref="O19">IFERROR(SMALL(IF(Master!$A$2:$A$1001="AKASH SALES",ROW(Master!$A$2:$A$1001)-ROW(Master!$A$2)+1),15),"")</f>
      </c>
      <c r="P19">
        <f t="shared" si="1"/>
      </c>
    </row>
    <row r="20" spans="1:16" x14ac:dyDescent="0.25">
      <c r="A20" s="164">
        <f>IF($O20="","",INDEX(Master!$D$2:$D$1001,$O20))</f>
      </c>
      <c r="B20" s="165">
        <f>IF($O20="","",INDEX(Master!$B$2:$B$1001,$O20))</f>
      </c>
      <c r="C20" s="164">
        <f>IF($O20="","",INDEX(Master!$C$2:$C$1001,$O20))</f>
      </c>
      <c r="D20" s="164">
        <f>IF($O20="","",INDEX(Master!$A$2:$A$1001,$O20))</f>
      </c>
      <c r="E20" s="164">
        <f>IF($O20="","",INDEX(Master!$E$2:$E$1001,$O20))</f>
      </c>
      <c r="F20" s="164">
        <f>IF($O20="","",INDEX(Master!$F$2:$F$1001,$O20))</f>
      </c>
      <c r="G20" s="164">
        <f>IF($O20="","",INDEX(Master!$G$2:$G$1001,$O20))</f>
      </c>
      <c r="H20" s="164">
        <f>IF($O20="","",INDEX(Master!$H$2:$H$1001,$O20))</f>
      </c>
      <c r="I20" s="164">
        <f>IF($O20="","",INDEX(Master!$I$2:$I$1001,$O20))</f>
      </c>
      <c r="J20" s="164">
        <f>IF($O20="","",INDEX(Master!$J$2:$J$1001,$O20))</f>
      </c>
      <c r="K20" s="248">
        <f t="shared" si="0"/>
      </c>
      <c r="L20" s="164">
        <f>IF($O20="","",INDEX(Master!$K$2:$K$1001,$O20))</f>
      </c>
      <c r="M20" s="164">
        <f>IF($O20="","",INDEX(Master!$L$2:$L$1001,$O20))</f>
      </c>
      <c r="N20" s="164"/>
      <c r="O20">
        <f t="array" ref="O20">IFERROR(SMALL(IF(Master!$A$2:$A$1001="AKASH SALES",ROW(Master!$A$2:$A$1001)-ROW(Master!$A$2)+1),16),"")</f>
      </c>
      <c r="P20">
        <f t="shared" si="1"/>
      </c>
    </row>
    <row r="21" spans="1:16" x14ac:dyDescent="0.25">
      <c r="A21" s="164">
        <f>IF($O21="","",INDEX(Master!$D$2:$D$1001,$O21))</f>
      </c>
      <c r="B21" s="165">
        <f>IF($O21="","",INDEX(Master!$B$2:$B$1001,$O21))</f>
      </c>
      <c r="C21" s="164">
        <f>IF($O21="","",INDEX(Master!$C$2:$C$1001,$O21))</f>
      </c>
      <c r="D21" s="164">
        <f>IF($O21="","",INDEX(Master!$A$2:$A$1001,$O21))</f>
      </c>
      <c r="E21" s="164">
        <f>IF($O21="","",INDEX(Master!$E$2:$E$1001,$O21))</f>
      </c>
      <c r="F21" s="164">
        <f>IF($O21="","",INDEX(Master!$F$2:$F$1001,$O21))</f>
      </c>
      <c r="G21" s="164">
        <f>IF($O21="","",INDEX(Master!$G$2:$G$1001,$O21))</f>
      </c>
      <c r="H21" s="164">
        <f>IF($O21="","",INDEX(Master!$H$2:$H$1001,$O21))</f>
      </c>
      <c r="I21" s="164">
        <f>IF($O21="","",INDEX(Master!$I$2:$I$1001,$O21))</f>
      </c>
      <c r="J21" s="164">
        <f>IF($O21="","",INDEX(Master!$J$2:$J$1001,$O21))</f>
      </c>
      <c r="K21" s="248">
        <f t="shared" si="0"/>
      </c>
      <c r="L21" s="164">
        <f>IF($O21="","",INDEX(Master!$K$2:$K$1001,$O21))</f>
      </c>
      <c r="M21" s="164">
        <f>IF($O21="","",INDEX(Master!$L$2:$L$1001,$O21))</f>
      </c>
      <c r="N21" s="164"/>
      <c r="O21">
        <f t="array" ref="O21">IFERROR(SMALL(IF(Master!$A$2:$A$1001="AKASH SALES",ROW(Master!$A$2:$A$1001)-ROW(Master!$A$2)+1),17),"")</f>
      </c>
      <c r="P21">
        <f t="shared" si="1"/>
      </c>
    </row>
    <row r="22" spans="1:16" x14ac:dyDescent="0.25">
      <c r="A22" s="164">
        <f>IF($O22="","",INDEX(Master!$D$2:$D$1001,$O22))</f>
      </c>
      <c r="B22" s="165">
        <f>IF($O22="","",INDEX(Master!$B$2:$B$1001,$O22))</f>
      </c>
      <c r="C22" s="164">
        <f>IF($O22="","",INDEX(Master!$C$2:$C$1001,$O22))</f>
      </c>
      <c r="D22" s="164">
        <f>IF($O22="","",INDEX(Master!$A$2:$A$1001,$O22))</f>
      </c>
      <c r="E22" s="164">
        <f>IF($O22="","",INDEX(Master!$E$2:$E$1001,$O22))</f>
      </c>
      <c r="F22" s="164">
        <f>IF($O22="","",INDEX(Master!$F$2:$F$1001,$O22))</f>
      </c>
      <c r="G22" s="164">
        <f>IF($O22="","",INDEX(Master!$G$2:$G$1001,$O22))</f>
      </c>
      <c r="H22" s="164">
        <f>IF($O22="","",INDEX(Master!$H$2:$H$1001,$O22))</f>
      </c>
      <c r="I22" s="164">
        <f>IF($O22="","",INDEX(Master!$I$2:$I$1001,$O22))</f>
      </c>
      <c r="J22" s="164">
        <f>IF($O22="","",INDEX(Master!$J$2:$J$1001,$O22))</f>
      </c>
      <c r="K22" s="248">
        <f t="shared" si="0"/>
      </c>
      <c r="L22" s="164">
        <f>IF($O22="","",INDEX(Master!$K$2:$K$1001,$O22))</f>
      </c>
      <c r="M22" s="164">
        <f>IF($O22="","",INDEX(Master!$L$2:$L$1001,$O22))</f>
      </c>
      <c r="N22" s="164"/>
      <c r="O22">
        <f t="array" ref="O22">IFERROR(SMALL(IF(Master!$A$2:$A$1001="AKASH SALES",ROW(Master!$A$2:$A$1001)-ROW(Master!$A$2)+1),18),"")</f>
      </c>
      <c r="P22">
        <f t="shared" si="1"/>
      </c>
    </row>
    <row r="23" spans="1:16" x14ac:dyDescent="0.25">
      <c r="A23" s="164">
        <f>IF($O23="","",INDEX(Master!$D$2:$D$1001,$O23))</f>
      </c>
      <c r="B23" s="165">
        <f>IF($O23="","",INDEX(Master!$B$2:$B$1001,$O23))</f>
      </c>
      <c r="C23" s="164">
        <f>IF($O23="","",INDEX(Master!$C$2:$C$1001,$O23))</f>
      </c>
      <c r="D23" s="164">
        <f>IF($O23="","",INDEX(Master!$A$2:$A$1001,$O23))</f>
      </c>
      <c r="E23" s="164">
        <f>IF($O23="","",INDEX(Master!$E$2:$E$1001,$O23))</f>
      </c>
      <c r="F23" s="164">
        <f>IF($O23="","",INDEX(Master!$F$2:$F$1001,$O23))</f>
      </c>
      <c r="G23" s="164">
        <f>IF($O23="","",INDEX(Master!$G$2:$G$1001,$O23))</f>
      </c>
      <c r="H23" s="164">
        <f>IF($O23="","",INDEX(Master!$H$2:$H$1001,$O23))</f>
      </c>
      <c r="I23" s="164">
        <f>IF($O23="","",INDEX(Master!$I$2:$I$1001,$O23))</f>
      </c>
      <c r="J23" s="164">
        <f>IF($O23="","",INDEX(Master!$J$2:$J$1001,$O23))</f>
      </c>
      <c r="K23" s="248">
        <f t="shared" si="0"/>
      </c>
      <c r="L23" s="164">
        <f>IF($O23="","",INDEX(Master!$K$2:$K$1001,$O23))</f>
      </c>
      <c r="M23" s="164">
        <f>IF($O23="","",INDEX(Master!$L$2:$L$1001,$O23))</f>
      </c>
      <c r="N23" s="164"/>
      <c r="O23">
        <f t="array" ref="O23">IFERROR(SMALL(IF(Master!$A$2:$A$1001="AKASH SALES",ROW(Master!$A$2:$A$1001)-ROW(Master!$A$2)+1),19),"")</f>
      </c>
      <c r="P23">
        <f t="shared" si="1"/>
      </c>
    </row>
    <row r="24" spans="1:16" x14ac:dyDescent="0.25">
      <c r="A24" s="164">
        <f>IF($O24="","",INDEX(Master!$D$2:$D$1001,$O24))</f>
      </c>
      <c r="B24" s="165">
        <f>IF($O24="","",INDEX(Master!$B$2:$B$1001,$O24))</f>
      </c>
      <c r="C24" s="164">
        <f>IF($O24="","",INDEX(Master!$C$2:$C$1001,$O24))</f>
      </c>
      <c r="D24" s="164">
        <f>IF($O24="","",INDEX(Master!$A$2:$A$1001,$O24))</f>
      </c>
      <c r="E24" s="164">
        <f>IF($O24="","",INDEX(Master!$E$2:$E$1001,$O24))</f>
      </c>
      <c r="F24" s="164">
        <f>IF($O24="","",INDEX(Master!$F$2:$F$1001,$O24))</f>
      </c>
      <c r="G24" s="164">
        <f>IF($O24="","",INDEX(Master!$G$2:$G$1001,$O24))</f>
      </c>
      <c r="H24" s="164">
        <f>IF($O24="","",INDEX(Master!$H$2:$H$1001,$O24))</f>
      </c>
      <c r="I24" s="164">
        <f>IF($O24="","",INDEX(Master!$I$2:$I$1001,$O24))</f>
      </c>
      <c r="J24" s="164">
        <f>IF($O24="","",INDEX(Master!$J$2:$J$1001,$O24))</f>
      </c>
      <c r="K24" s="248">
        <f t="shared" si="0"/>
      </c>
      <c r="L24" s="164">
        <f>IF($O24="","",INDEX(Master!$K$2:$K$1001,$O24))</f>
      </c>
      <c r="M24" s="164">
        <f>IF($O24="","",INDEX(Master!$L$2:$L$1001,$O24))</f>
      </c>
      <c r="N24" s="164"/>
      <c r="O24">
        <f t="array" ref="O24">IFERROR(SMALL(IF(Master!$A$2:$A$1001="AKASH SALES",ROW(Master!$A$2:$A$1001)-ROW(Master!$A$2)+1),20),"")</f>
      </c>
      <c r="P24">
        <f t="shared" si="1"/>
      </c>
    </row>
    <row r="25" spans="1:16" x14ac:dyDescent="0.25">
      <c r="A25" s="164">
        <f>IF($O25="","",INDEX(Master!$D$2:$D$1001,$O25))</f>
      </c>
      <c r="B25" s="165">
        <f>IF($O25="","",INDEX(Master!$B$2:$B$1001,$O25))</f>
      </c>
      <c r="C25" s="164">
        <f>IF($O25="","",INDEX(Master!$C$2:$C$1001,$O25))</f>
      </c>
      <c r="D25" s="164">
        <f>IF($O25="","",INDEX(Master!$A$2:$A$1001,$O25))</f>
      </c>
      <c r="E25" s="164">
        <f>IF($O25="","",INDEX(Master!$E$2:$E$1001,$O25))</f>
      </c>
      <c r="F25" s="164">
        <f>IF($O25="","",INDEX(Master!$F$2:$F$1001,$O25))</f>
      </c>
      <c r="G25" s="164">
        <f>IF($O25="","",INDEX(Master!$G$2:$G$1001,$O25))</f>
      </c>
      <c r="H25" s="164">
        <f>IF($O25="","",INDEX(Master!$H$2:$H$1001,$O25))</f>
      </c>
      <c r="I25" s="164">
        <f>IF($O25="","",INDEX(Master!$I$2:$I$1001,$O25))</f>
      </c>
      <c r="J25" s="164">
        <f>IF($O25="","",INDEX(Master!$J$2:$J$1001,$O25))</f>
      </c>
      <c r="K25" s="248">
        <f t="shared" si="0"/>
      </c>
      <c r="L25" s="164">
        <f>IF($O25="","",INDEX(Master!$K$2:$K$1001,$O25))</f>
      </c>
      <c r="M25" s="164">
        <f>IF($O25="","",INDEX(Master!$L$2:$L$1001,$O25))</f>
      </c>
      <c r="N25" s="164"/>
      <c r="O25">
        <f t="array" ref="O25">IFERROR(SMALL(IF(Master!$A$2:$A$1001="AKASH SALES",ROW(Master!$A$2:$A$1001)-ROW(Master!$A$2)+1),21),"")</f>
      </c>
      <c r="P25">
        <f t="shared" si="1"/>
      </c>
    </row>
    <row r="26" spans="1:16" x14ac:dyDescent="0.25">
      <c r="A26" s="164">
        <f>IF($O26="","",INDEX(Master!$D$2:$D$1001,$O26))</f>
      </c>
      <c r="B26" s="165">
        <f>IF($O26="","",INDEX(Master!$B$2:$B$1001,$O26))</f>
      </c>
      <c r="C26" s="164">
        <f>IF($O26="","",INDEX(Master!$C$2:$C$1001,$O26))</f>
      </c>
      <c r="D26" s="164">
        <f>IF($O26="","",INDEX(Master!$A$2:$A$1001,$O26))</f>
      </c>
      <c r="E26" s="164">
        <f>IF($O26="","",INDEX(Master!$E$2:$E$1001,$O26))</f>
      </c>
      <c r="F26" s="164">
        <f>IF($O26="","",INDEX(Master!$F$2:$F$1001,$O26))</f>
      </c>
      <c r="G26" s="164">
        <f>IF($O26="","",INDEX(Master!$G$2:$G$1001,$O26))</f>
      </c>
      <c r="H26" s="164">
        <f>IF($O26="","",INDEX(Master!$H$2:$H$1001,$O26))</f>
      </c>
      <c r="I26" s="164">
        <f>IF($O26="","",INDEX(Master!$I$2:$I$1001,$O26))</f>
      </c>
      <c r="J26" s="164">
        <f>IF($O26="","",INDEX(Master!$J$2:$J$1001,$O26))</f>
      </c>
      <c r="K26" s="248">
        <f t="shared" si="0"/>
      </c>
      <c r="L26" s="164">
        <f>IF($O26="","",INDEX(Master!$K$2:$K$1001,$O26))</f>
      </c>
      <c r="M26" s="164">
        <f>IF($O26="","",INDEX(Master!$L$2:$L$1001,$O26))</f>
      </c>
      <c r="N26" s="164"/>
      <c r="O26">
        <f t="array" ref="O26">IFERROR(SMALL(IF(Master!$A$2:$A$1001="AKASH SALES",ROW(Master!$A$2:$A$1001)-ROW(Master!$A$2)+1),22),"")</f>
      </c>
      <c r="P26">
        <f t="shared" si="1"/>
      </c>
    </row>
    <row r="27" spans="1:16" x14ac:dyDescent="0.25">
      <c r="A27" s="164">
        <f>IF($O27="","",INDEX(Master!$D$2:$D$1001,$O27))</f>
      </c>
      <c r="B27" s="165">
        <f>IF($O27="","",INDEX(Master!$B$2:$B$1001,$O27))</f>
      </c>
      <c r="C27" s="164">
        <f>IF($O27="","",INDEX(Master!$C$2:$C$1001,$O27))</f>
      </c>
      <c r="D27" s="164">
        <f>IF($O27="","",INDEX(Master!$A$2:$A$1001,$O27))</f>
      </c>
      <c r="E27" s="164">
        <f>IF($O27="","",INDEX(Master!$E$2:$E$1001,$O27))</f>
      </c>
      <c r="F27" s="164">
        <f>IF($O27="","",INDEX(Master!$F$2:$F$1001,$O27))</f>
      </c>
      <c r="G27" s="164">
        <f>IF($O27="","",INDEX(Master!$G$2:$G$1001,$O27))</f>
      </c>
      <c r="H27" s="164">
        <f>IF($O27="","",INDEX(Master!$H$2:$H$1001,$O27))</f>
      </c>
      <c r="I27" s="164">
        <f>IF($O27="","",INDEX(Master!$I$2:$I$1001,$O27))</f>
      </c>
      <c r="J27" s="164">
        <f>IF($O27="","",INDEX(Master!$J$2:$J$1001,$O27))</f>
      </c>
      <c r="K27" s="248">
        <f t="shared" si="0"/>
      </c>
      <c r="L27" s="164">
        <f>IF($O27="","",INDEX(Master!$K$2:$K$1001,$O27))</f>
      </c>
      <c r="M27" s="164">
        <f>IF($O27="","",INDEX(Master!$L$2:$L$1001,$O27))</f>
      </c>
      <c r="N27" s="164"/>
      <c r="O27">
        <f t="array" ref="O27">IFERROR(SMALL(IF(Master!$A$2:$A$1001="AKASH SALES",ROW(Master!$A$2:$A$1001)-ROW(Master!$A$2)+1),23),"")</f>
      </c>
      <c r="P27">
        <f t="shared" si="1"/>
      </c>
    </row>
    <row r="28" spans="1:16" x14ac:dyDescent="0.25">
      <c r="A28" s="164">
        <f>IF($O28="","",INDEX(Master!$D$2:$D$1001,$O28))</f>
      </c>
      <c r="B28" s="165">
        <f>IF($O28="","",INDEX(Master!$B$2:$B$1001,$O28))</f>
      </c>
      <c r="C28" s="164">
        <f>IF($O28="","",INDEX(Master!$C$2:$C$1001,$O28))</f>
      </c>
      <c r="D28" s="164">
        <f>IF($O28="","",INDEX(Master!$A$2:$A$1001,$O28))</f>
      </c>
      <c r="E28" s="164">
        <f>IF($O28="","",INDEX(Master!$E$2:$E$1001,$O28))</f>
      </c>
      <c r="F28" s="164">
        <f>IF($O28="","",INDEX(Master!$F$2:$F$1001,$O28))</f>
      </c>
      <c r="G28" s="164">
        <f>IF($O28="","",INDEX(Master!$G$2:$G$1001,$O28))</f>
      </c>
      <c r="H28" s="164">
        <f>IF($O28="","",INDEX(Master!$H$2:$H$1001,$O28))</f>
      </c>
      <c r="I28" s="164">
        <f>IF($O28="","",INDEX(Master!$I$2:$I$1001,$O28))</f>
      </c>
      <c r="J28" s="164">
        <f>IF($O28="","",INDEX(Master!$J$2:$J$1001,$O28))</f>
      </c>
      <c r="K28" s="248">
        <f t="shared" si="0"/>
      </c>
      <c r="L28" s="164">
        <f>IF($O28="","",INDEX(Master!$K$2:$K$1001,$O28))</f>
      </c>
      <c r="M28" s="164">
        <f>IF($O28="","",INDEX(Master!$L$2:$L$1001,$O28))</f>
      </c>
      <c r="N28" s="164"/>
      <c r="O28">
        <f t="array" ref="O28">IFERROR(SMALL(IF(Master!$A$2:$A$1001="AKASH SALES",ROW(Master!$A$2:$A$1001)-ROW(Master!$A$2)+1),24),"")</f>
      </c>
      <c r="P28">
        <f t="shared" si="1"/>
      </c>
    </row>
    <row r="29" spans="1:16" x14ac:dyDescent="0.25">
      <c r="A29" s="164">
        <f>IF($O29="","",INDEX(Master!$D$2:$D$1001,$O29))</f>
      </c>
      <c r="B29" s="165">
        <f>IF($O29="","",INDEX(Master!$B$2:$B$1001,$O29))</f>
      </c>
      <c r="C29" s="164">
        <f>IF($O29="","",INDEX(Master!$C$2:$C$1001,$O29))</f>
      </c>
      <c r="D29" s="164">
        <f>IF($O29="","",INDEX(Master!$A$2:$A$1001,$O29))</f>
      </c>
      <c r="E29" s="164">
        <f>IF($O29="","",INDEX(Master!$E$2:$E$1001,$O29))</f>
      </c>
      <c r="F29" s="164">
        <f>IF($O29="","",INDEX(Master!$F$2:$F$1001,$O29))</f>
      </c>
      <c r="G29" s="164">
        <f>IF($O29="","",INDEX(Master!$G$2:$G$1001,$O29))</f>
      </c>
      <c r="H29" s="164">
        <f>IF($O29="","",INDEX(Master!$H$2:$H$1001,$O29))</f>
      </c>
      <c r="I29" s="164">
        <f>IF($O29="","",INDEX(Master!$I$2:$I$1001,$O29))</f>
      </c>
      <c r="J29" s="164">
        <f>IF($O29="","",INDEX(Master!$J$2:$J$1001,$O29))</f>
      </c>
      <c r="K29" s="248">
        <f t="shared" si="0"/>
      </c>
      <c r="L29" s="164">
        <f>IF($O29="","",INDEX(Master!$K$2:$K$1001,$O29))</f>
      </c>
      <c r="M29" s="164">
        <f>IF($O29="","",INDEX(Master!$L$2:$L$1001,$O29))</f>
      </c>
      <c r="N29" s="164"/>
      <c r="O29">
        <f t="array" ref="O29">IFERROR(SMALL(IF(Master!$A$2:$A$1001="AKASH SALES",ROW(Master!$A$2:$A$1001)-ROW(Master!$A$2)+1),25),"")</f>
      </c>
      <c r="P29">
        <f t="shared" si="1"/>
      </c>
    </row>
    <row r="30" spans="1:16" x14ac:dyDescent="0.25">
      <c r="A30" s="164">
        <f>IF($O30="","",INDEX(Master!$D$2:$D$1001,$O30))</f>
      </c>
      <c r="B30" s="165">
        <f>IF($O30="","",INDEX(Master!$B$2:$B$1001,$O30))</f>
      </c>
      <c r="C30" s="164">
        <f>IF($O30="","",INDEX(Master!$C$2:$C$1001,$O30))</f>
      </c>
      <c r="D30" s="164">
        <f>IF($O30="","",INDEX(Master!$A$2:$A$1001,$O30))</f>
      </c>
      <c r="E30" s="164">
        <f>IF($O30="","",INDEX(Master!$E$2:$E$1001,$O30))</f>
      </c>
      <c r="F30" s="164">
        <f>IF($O30="","",INDEX(Master!$F$2:$F$1001,$O30))</f>
      </c>
      <c r="G30" s="164">
        <f>IF($O30="","",INDEX(Master!$G$2:$G$1001,$O30))</f>
      </c>
      <c r="H30" s="164">
        <f>IF($O30="","",INDEX(Master!$H$2:$H$1001,$O30))</f>
      </c>
      <c r="I30" s="164">
        <f>IF($O30="","",INDEX(Master!$I$2:$I$1001,$O30))</f>
      </c>
      <c r="J30" s="164">
        <f>IF($O30="","",INDEX(Master!$J$2:$J$1001,$O30))</f>
      </c>
      <c r="K30" s="248">
        <f t="shared" si="0"/>
      </c>
      <c r="L30" s="164">
        <f>IF($O30="","",INDEX(Master!$K$2:$K$1001,$O30))</f>
      </c>
      <c r="M30" s="164">
        <f>IF($O30="","",INDEX(Master!$L$2:$L$1001,$O30))</f>
      </c>
      <c r="N30" s="164"/>
      <c r="O30">
        <f t="array" ref="O30">IFERROR(SMALL(IF(Master!$A$2:$A$1001="AKASH SALES",ROW(Master!$A$2:$A$1001)-ROW(Master!$A$2)+1),26),"")</f>
      </c>
      <c r="P30">
        <f t="shared" si="1"/>
      </c>
    </row>
    <row r="31" spans="1:16" x14ac:dyDescent="0.25">
      <c r="A31" s="164">
        <f>IF($O31="","",INDEX(Master!$D$2:$D$1001,$O31))</f>
      </c>
      <c r="B31" s="165">
        <f>IF($O31="","",INDEX(Master!$B$2:$B$1001,$O31))</f>
      </c>
      <c r="C31" s="164">
        <f>IF($O31="","",INDEX(Master!$C$2:$C$1001,$O31))</f>
      </c>
      <c r="D31" s="164">
        <f>IF($O31="","",INDEX(Master!$A$2:$A$1001,$O31))</f>
      </c>
      <c r="E31" s="164">
        <f>IF($O31="","",INDEX(Master!$E$2:$E$1001,$O31))</f>
      </c>
      <c r="F31" s="164">
        <f>IF($O31="","",INDEX(Master!$F$2:$F$1001,$O31))</f>
      </c>
      <c r="G31" s="164">
        <f>IF($O31="","",INDEX(Master!$G$2:$G$1001,$O31))</f>
      </c>
      <c r="H31" s="164">
        <f>IF($O31="","",INDEX(Master!$H$2:$H$1001,$O31))</f>
      </c>
      <c r="I31" s="164">
        <f>IF($O31="","",INDEX(Master!$I$2:$I$1001,$O31))</f>
      </c>
      <c r="J31" s="164">
        <f>IF($O31="","",INDEX(Master!$J$2:$J$1001,$O31))</f>
      </c>
      <c r="K31" s="248">
        <f t="shared" si="0"/>
      </c>
      <c r="L31" s="164">
        <f>IF($O31="","",INDEX(Master!$K$2:$K$1001,$O31))</f>
      </c>
      <c r="M31" s="164">
        <f>IF($O31="","",INDEX(Master!$L$2:$L$1001,$O31))</f>
      </c>
      <c r="N31" s="164"/>
      <c r="O31">
        <f t="array" ref="O31">IFERROR(SMALL(IF(Master!$A$2:$A$1001="AKASH SALES",ROW(Master!$A$2:$A$1001)-ROW(Master!$A$2)+1),27),"")</f>
      </c>
      <c r="P31">
        <f t="shared" si="1"/>
      </c>
    </row>
    <row r="32" spans="1:16" x14ac:dyDescent="0.25">
      <c r="A32" s="164">
        <f>IF($O32="","",INDEX(Master!$D$2:$D$1001,$O32))</f>
      </c>
      <c r="B32" s="165">
        <f>IF($O32="","",INDEX(Master!$B$2:$B$1001,$O32))</f>
      </c>
      <c r="C32" s="164">
        <f>IF($O32="","",INDEX(Master!$C$2:$C$1001,$O32))</f>
      </c>
      <c r="D32" s="164">
        <f>IF($O32="","",INDEX(Master!$A$2:$A$1001,$O32))</f>
      </c>
      <c r="E32" s="164">
        <f>IF($O32="","",INDEX(Master!$E$2:$E$1001,$O32))</f>
      </c>
      <c r="F32" s="164">
        <f>IF($O32="","",INDEX(Master!$F$2:$F$1001,$O32))</f>
      </c>
      <c r="G32" s="164">
        <f>IF($O32="","",INDEX(Master!$G$2:$G$1001,$O32))</f>
      </c>
      <c r="H32" s="164">
        <f>IF($O32="","",INDEX(Master!$H$2:$H$1001,$O32))</f>
      </c>
      <c r="I32" s="164">
        <f>IF($O32="","",INDEX(Master!$I$2:$I$1001,$O32))</f>
      </c>
      <c r="J32" s="164">
        <f>IF($O32="","",INDEX(Master!$J$2:$J$1001,$O32))</f>
      </c>
      <c r="K32" s="248">
        <f t="shared" si="0"/>
      </c>
      <c r="L32" s="164">
        <f>IF($O32="","",INDEX(Master!$K$2:$K$1001,$O32))</f>
      </c>
      <c r="M32" s="164">
        <f>IF($O32="","",INDEX(Master!$L$2:$L$1001,$O32))</f>
      </c>
      <c r="N32" s="164"/>
      <c r="O32">
        <f t="array" ref="O32">IFERROR(SMALL(IF(Master!$A$2:$A$1001="AKASH SALES",ROW(Master!$A$2:$A$1001)-ROW(Master!$A$2)+1),28),"")</f>
      </c>
      <c r="P32">
        <f t="shared" si="1"/>
      </c>
    </row>
    <row r="33" spans="1:16" x14ac:dyDescent="0.25">
      <c r="A33" s="164">
        <f>IF($O33="","",INDEX(Master!$D$2:$D$1001,$O33))</f>
      </c>
      <c r="B33" s="165">
        <f>IF($O33="","",INDEX(Master!$B$2:$B$1001,$O33))</f>
      </c>
      <c r="C33" s="164">
        <f>IF($O33="","",INDEX(Master!$C$2:$C$1001,$O33))</f>
      </c>
      <c r="D33" s="164">
        <f>IF($O33="","",INDEX(Master!$A$2:$A$1001,$O33))</f>
      </c>
      <c r="E33" s="164">
        <f>IF($O33="","",INDEX(Master!$E$2:$E$1001,$O33))</f>
      </c>
      <c r="F33" s="164">
        <f>IF($O33="","",INDEX(Master!$F$2:$F$1001,$O33))</f>
      </c>
      <c r="G33" s="164">
        <f>IF($O33="","",INDEX(Master!$G$2:$G$1001,$O33))</f>
      </c>
      <c r="H33" s="164">
        <f>IF($O33="","",INDEX(Master!$H$2:$H$1001,$O33))</f>
      </c>
      <c r="I33" s="164">
        <f>IF($O33="","",INDEX(Master!$I$2:$I$1001,$O33))</f>
      </c>
      <c r="J33" s="164">
        <f>IF($O33="","",INDEX(Master!$J$2:$J$1001,$O33))</f>
      </c>
      <c r="K33" s="248">
        <f t="shared" si="0"/>
      </c>
      <c r="L33" s="164">
        <f>IF($O33="","",INDEX(Master!$K$2:$K$1001,$O33))</f>
      </c>
      <c r="M33" s="164">
        <f>IF($O33="","",INDEX(Master!$L$2:$L$1001,$O33))</f>
      </c>
      <c r="N33" s="164"/>
      <c r="O33">
        <f t="array" ref="O33">IFERROR(SMALL(IF(Master!$A$2:$A$1001="AKASH SALES",ROW(Master!$A$2:$A$1001)-ROW(Master!$A$2)+1),29),"")</f>
      </c>
      <c r="P33">
        <f t="shared" si="1"/>
      </c>
    </row>
    <row r="34" spans="1:16" x14ac:dyDescent="0.25">
      <c r="A34" s="164">
        <f>IF($O34="","",INDEX(Master!$D$2:$D$1001,$O34))</f>
      </c>
      <c r="B34" s="165">
        <f>IF($O34="","",INDEX(Master!$B$2:$B$1001,$O34))</f>
      </c>
      <c r="C34" s="164">
        <f>IF($O34="","",INDEX(Master!$C$2:$C$1001,$O34))</f>
      </c>
      <c r="D34" s="164">
        <f>IF($O34="","",INDEX(Master!$A$2:$A$1001,$O34))</f>
      </c>
      <c r="E34" s="164">
        <f>IF($O34="","",INDEX(Master!$E$2:$E$1001,$O34))</f>
      </c>
      <c r="F34" s="164">
        <f>IF($O34="","",INDEX(Master!$F$2:$F$1001,$O34))</f>
      </c>
      <c r="G34" s="164">
        <f>IF($O34="","",INDEX(Master!$G$2:$G$1001,$O34))</f>
      </c>
      <c r="H34" s="164">
        <f>IF($O34="","",INDEX(Master!$H$2:$H$1001,$O34))</f>
      </c>
      <c r="I34" s="164">
        <f>IF($O34="","",INDEX(Master!$I$2:$I$1001,$O34))</f>
      </c>
      <c r="J34" s="164">
        <f>IF($O34="","",INDEX(Master!$J$2:$J$1001,$O34))</f>
      </c>
      <c r="K34" s="248">
        <f t="shared" si="0"/>
      </c>
      <c r="L34" s="164">
        <f>IF($O34="","",INDEX(Master!$K$2:$K$1001,$O34))</f>
      </c>
      <c r="M34" s="164">
        <f>IF($O34="","",INDEX(Master!$L$2:$L$1001,$O34))</f>
      </c>
      <c r="N34" s="164"/>
      <c r="O34">
        <f t="array" ref="O34">IFERROR(SMALL(IF(Master!$A$2:$A$1001="AKASH SALES",ROW(Master!$A$2:$A$1001)-ROW(Master!$A$2)+1),30),"")</f>
      </c>
      <c r="P34">
        <f t="shared" si="1"/>
      </c>
    </row>
    <row r="35" spans="1:16" x14ac:dyDescent="0.25">
      <c r="A35" s="164">
        <f>IF($O35="","",INDEX(Master!$D$2:$D$1001,$O35))</f>
      </c>
      <c r="B35" s="165">
        <f>IF($O35="","",INDEX(Master!$B$2:$B$1001,$O35))</f>
      </c>
      <c r="C35" s="164">
        <f>IF($O35="","",INDEX(Master!$C$2:$C$1001,$O35))</f>
      </c>
      <c r="D35" s="164">
        <f>IF($O35="","",INDEX(Master!$A$2:$A$1001,$O35))</f>
      </c>
      <c r="E35" s="164">
        <f>IF($O35="","",INDEX(Master!$E$2:$E$1001,$O35))</f>
      </c>
      <c r="F35" s="164">
        <f>IF($O35="","",INDEX(Master!$F$2:$F$1001,$O35))</f>
      </c>
      <c r="G35" s="164">
        <f>IF($O35="","",INDEX(Master!$G$2:$G$1001,$O35))</f>
      </c>
      <c r="H35" s="164">
        <f>IF($O35="","",INDEX(Master!$H$2:$H$1001,$O35))</f>
      </c>
      <c r="I35" s="164">
        <f>IF($O35="","",INDEX(Master!$I$2:$I$1001,$O35))</f>
      </c>
      <c r="J35" s="164">
        <f>IF($O35="","",INDEX(Master!$J$2:$J$1001,$O35))</f>
      </c>
      <c r="K35" s="248">
        <f t="shared" si="0"/>
      </c>
      <c r="L35" s="164">
        <f>IF($O35="","",INDEX(Master!$K$2:$K$1001,$O35))</f>
      </c>
      <c r="M35" s="164">
        <f>IF($O35="","",INDEX(Master!$L$2:$L$1001,$O35))</f>
      </c>
      <c r="N35" s="164"/>
      <c r="O35">
        <f t="array" ref="O35">IFERROR(SMALL(IF(Master!$A$2:$A$1001="AKASH SALES",ROW(Master!$A$2:$A$1001)-ROW(Master!$A$2)+1),31),"")</f>
      </c>
      <c r="P35">
        <f t="shared" si="1"/>
      </c>
    </row>
    <row r="36" spans="1:16" x14ac:dyDescent="0.25">
      <c r="A36" s="164">
        <f>IF($O36="","",INDEX(Master!$D$2:$D$1001,$O36))</f>
      </c>
      <c r="B36" s="165">
        <f>IF($O36="","",INDEX(Master!$B$2:$B$1001,$O36))</f>
      </c>
      <c r="C36" s="164">
        <f>IF($O36="","",INDEX(Master!$C$2:$C$1001,$O36))</f>
      </c>
      <c r="D36" s="164">
        <f>IF($O36="","",INDEX(Master!$A$2:$A$1001,$O36))</f>
      </c>
      <c r="E36" s="164">
        <f>IF($O36="","",INDEX(Master!$E$2:$E$1001,$O36))</f>
      </c>
      <c r="F36" s="164">
        <f>IF($O36="","",INDEX(Master!$F$2:$F$1001,$O36))</f>
      </c>
      <c r="G36" s="164">
        <f>IF($O36="","",INDEX(Master!$G$2:$G$1001,$O36))</f>
      </c>
      <c r="H36" s="164">
        <f>IF($O36="","",INDEX(Master!$H$2:$H$1001,$O36))</f>
      </c>
      <c r="I36" s="164">
        <f>IF($O36="","",INDEX(Master!$I$2:$I$1001,$O36))</f>
      </c>
      <c r="J36" s="164">
        <f>IF($O36="","",INDEX(Master!$J$2:$J$1001,$O36))</f>
      </c>
      <c r="K36" s="248">
        <f t="shared" si="0"/>
      </c>
      <c r="L36" s="164">
        <f>IF($O36="","",INDEX(Master!$K$2:$K$1001,$O36))</f>
      </c>
      <c r="M36" s="164">
        <f>IF($O36="","",INDEX(Master!$L$2:$L$1001,$O36))</f>
      </c>
      <c r="N36" s="164"/>
      <c r="O36">
        <f t="array" ref="O36">IFERROR(SMALL(IF(Master!$A$2:$A$1001="AKASH SALES",ROW(Master!$A$2:$A$1001)-ROW(Master!$A$2)+1),32),"")</f>
      </c>
      <c r="P36">
        <f t="shared" si="1"/>
      </c>
    </row>
    <row r="37" spans="1:16" x14ac:dyDescent="0.25">
      <c r="A37" s="164">
        <f>IF($O37="","",INDEX(Master!$D$2:$D$1001,$O37))</f>
      </c>
      <c r="B37" s="165">
        <f>IF($O37="","",INDEX(Master!$B$2:$B$1001,$O37))</f>
      </c>
      <c r="C37" s="164">
        <f>IF($O37="","",INDEX(Master!$C$2:$C$1001,$O37))</f>
      </c>
      <c r="D37" s="164">
        <f>IF($O37="","",INDEX(Master!$A$2:$A$1001,$O37))</f>
      </c>
      <c r="E37" s="164">
        <f>IF($O37="","",INDEX(Master!$E$2:$E$1001,$O37))</f>
      </c>
      <c r="F37" s="164">
        <f>IF($O37="","",INDEX(Master!$F$2:$F$1001,$O37))</f>
      </c>
      <c r="G37" s="164">
        <f>IF($O37="","",INDEX(Master!$G$2:$G$1001,$O37))</f>
      </c>
      <c r="H37" s="164">
        <f>IF($O37="","",INDEX(Master!$H$2:$H$1001,$O37))</f>
      </c>
      <c r="I37" s="164">
        <f>IF($O37="","",INDEX(Master!$I$2:$I$1001,$O37))</f>
      </c>
      <c r="J37" s="164">
        <f>IF($O37="","",INDEX(Master!$J$2:$J$1001,$O37))</f>
      </c>
      <c r="K37" s="248">
        <f t="shared" si="0"/>
      </c>
      <c r="L37" s="164">
        <f>IF($O37="","",INDEX(Master!$K$2:$K$1001,$O37))</f>
      </c>
      <c r="M37" s="164">
        <f>IF($O37="","",INDEX(Master!$L$2:$L$1001,$O37))</f>
      </c>
      <c r="N37" s="164"/>
      <c r="O37">
        <f t="array" ref="O37">IFERROR(SMALL(IF(Master!$A$2:$A$1001="AKASH SALES",ROW(Master!$A$2:$A$1001)-ROW(Master!$A$2)+1),33),"")</f>
      </c>
      <c r="P37">
        <f t="shared" si="1"/>
      </c>
    </row>
    <row r="38" spans="1:16" x14ac:dyDescent="0.25">
      <c r="A38" s="164">
        <f>IF($O38="","",INDEX(Master!$D$2:$D$1001,$O38))</f>
      </c>
      <c r="B38" s="165">
        <f>IF($O38="","",INDEX(Master!$B$2:$B$1001,$O38))</f>
      </c>
      <c r="C38" s="164">
        <f>IF($O38="","",INDEX(Master!$C$2:$C$1001,$O38))</f>
      </c>
      <c r="D38" s="164">
        <f>IF($O38="","",INDEX(Master!$A$2:$A$1001,$O38))</f>
      </c>
      <c r="E38" s="164">
        <f>IF($O38="","",INDEX(Master!$E$2:$E$1001,$O38))</f>
      </c>
      <c r="F38" s="164">
        <f>IF($O38="","",INDEX(Master!$F$2:$F$1001,$O38))</f>
      </c>
      <c r="G38" s="164">
        <f>IF($O38="","",INDEX(Master!$G$2:$G$1001,$O38))</f>
      </c>
      <c r="H38" s="164">
        <f>IF($O38="","",INDEX(Master!$H$2:$H$1001,$O38))</f>
      </c>
      <c r="I38" s="164">
        <f>IF($O38="","",INDEX(Master!$I$2:$I$1001,$O38))</f>
      </c>
      <c r="J38" s="164">
        <f>IF($O38="","",INDEX(Master!$J$2:$J$1001,$O38))</f>
      </c>
      <c r="K38" s="248">
        <f t="shared" si="0"/>
      </c>
      <c r="L38" s="164">
        <f>IF($O38="","",INDEX(Master!$K$2:$K$1001,$O38))</f>
      </c>
      <c r="M38" s="164">
        <f>IF($O38="","",INDEX(Master!$L$2:$L$1001,$O38))</f>
      </c>
      <c r="N38" s="164"/>
      <c r="O38">
        <f t="array" ref="O38">IFERROR(SMALL(IF(Master!$A$2:$A$1001="AKASH SALES",ROW(Master!$A$2:$A$1001)-ROW(Master!$A$2)+1),34),"")</f>
      </c>
      <c r="P38">
        <f t="shared" si="1"/>
      </c>
    </row>
    <row r="39" spans="1:16" x14ac:dyDescent="0.25">
      <c r="A39" s="164">
        <f>IF($O39="","",INDEX(Master!$D$2:$D$1001,$O39))</f>
      </c>
      <c r="B39" s="165">
        <f>IF($O39="","",INDEX(Master!$B$2:$B$1001,$O39))</f>
      </c>
      <c r="C39" s="164">
        <f>IF($O39="","",INDEX(Master!$C$2:$C$1001,$O39))</f>
      </c>
      <c r="D39" s="164">
        <f>IF($O39="","",INDEX(Master!$A$2:$A$1001,$O39))</f>
      </c>
      <c r="E39" s="164">
        <f>IF($O39="","",INDEX(Master!$E$2:$E$1001,$O39))</f>
      </c>
      <c r="F39" s="164">
        <f>IF($O39="","",INDEX(Master!$F$2:$F$1001,$O39))</f>
      </c>
      <c r="G39" s="164">
        <f>IF($O39="","",INDEX(Master!$G$2:$G$1001,$O39))</f>
      </c>
      <c r="H39" s="164">
        <f>IF($O39="","",INDEX(Master!$H$2:$H$1001,$O39))</f>
      </c>
      <c r="I39" s="164">
        <f>IF($O39="","",INDEX(Master!$I$2:$I$1001,$O39))</f>
      </c>
      <c r="J39" s="164">
        <f>IF($O39="","",INDEX(Master!$J$2:$J$1001,$O39))</f>
      </c>
      <c r="K39" s="248">
        <f t="shared" si="0"/>
      </c>
      <c r="L39" s="164">
        <f>IF($O39="","",INDEX(Master!$K$2:$K$1001,$O39))</f>
      </c>
      <c r="M39" s="164">
        <f>IF($O39="","",INDEX(Master!$L$2:$L$1001,$O39))</f>
      </c>
      <c r="N39" s="164"/>
      <c r="O39">
        <f t="array" ref="O39">IFERROR(SMALL(IF(Master!$A$2:$A$1001="AKASH SALES",ROW(Master!$A$2:$A$1001)-ROW(Master!$A$2)+1),35),"")</f>
      </c>
      <c r="P39">
        <f t="shared" si="1"/>
      </c>
    </row>
    <row r="40" spans="1:16" x14ac:dyDescent="0.25">
      <c r="A40" s="164">
        <f>IF($O40="","",INDEX(Master!$D$2:$D$1001,$O40))</f>
      </c>
      <c r="B40" s="165">
        <f>IF($O40="","",INDEX(Master!$B$2:$B$1001,$O40))</f>
      </c>
      <c r="C40" s="164">
        <f>IF($O40="","",INDEX(Master!$C$2:$C$1001,$O40))</f>
      </c>
      <c r="D40" s="164">
        <f>IF($O40="","",INDEX(Master!$A$2:$A$1001,$O40))</f>
      </c>
      <c r="E40" s="164">
        <f>IF($O40="","",INDEX(Master!$E$2:$E$1001,$O40))</f>
      </c>
      <c r="F40" s="164">
        <f>IF($O40="","",INDEX(Master!$F$2:$F$1001,$O40))</f>
      </c>
      <c r="G40" s="164">
        <f>IF($O40="","",INDEX(Master!$G$2:$G$1001,$O40))</f>
      </c>
      <c r="H40" s="164">
        <f>IF($O40="","",INDEX(Master!$H$2:$H$1001,$O40))</f>
      </c>
      <c r="I40" s="164">
        <f>IF($O40="","",INDEX(Master!$I$2:$I$1001,$O40))</f>
      </c>
      <c r="J40" s="164">
        <f>IF($O40="","",INDEX(Master!$J$2:$J$1001,$O40))</f>
      </c>
      <c r="K40" s="248">
        <f t="shared" si="0"/>
      </c>
      <c r="L40" s="164">
        <f>IF($O40="","",INDEX(Master!$K$2:$K$1001,$O40))</f>
      </c>
      <c r="M40" s="164">
        <f>IF($O40="","",INDEX(Master!$L$2:$L$1001,$O40))</f>
      </c>
      <c r="N40" s="164"/>
      <c r="O40">
        <f t="array" ref="O40">IFERROR(SMALL(IF(Master!$A$2:$A$1001="AKASH SALES",ROW(Master!$A$2:$A$1001)-ROW(Master!$A$2)+1),36),"")</f>
      </c>
      <c r="P40">
        <f t="shared" si="1"/>
      </c>
    </row>
    <row r="41" spans="1:16" x14ac:dyDescent="0.25">
      <c r="A41" s="164">
        <f>IF($O41="","",INDEX(Master!$D$2:$D$1001,$O41))</f>
      </c>
      <c r="B41" s="165">
        <f>IF($O41="","",INDEX(Master!$B$2:$B$1001,$O41))</f>
      </c>
      <c r="C41" s="164">
        <f>IF($O41="","",INDEX(Master!$C$2:$C$1001,$O41))</f>
      </c>
      <c r="D41" s="164">
        <f>IF($O41="","",INDEX(Master!$A$2:$A$1001,$O41))</f>
      </c>
      <c r="E41" s="164">
        <f>IF($O41="","",INDEX(Master!$E$2:$E$1001,$O41))</f>
      </c>
      <c r="F41" s="164">
        <f>IF($O41="","",INDEX(Master!$F$2:$F$1001,$O41))</f>
      </c>
      <c r="G41" s="164">
        <f>IF($O41="","",INDEX(Master!$G$2:$G$1001,$O41))</f>
      </c>
      <c r="H41" s="164">
        <f>IF($O41="","",INDEX(Master!$H$2:$H$1001,$O41))</f>
      </c>
      <c r="I41" s="164">
        <f>IF($O41="","",INDEX(Master!$I$2:$I$1001,$O41))</f>
      </c>
      <c r="J41" s="164">
        <f>IF($O41="","",INDEX(Master!$J$2:$J$1001,$O41))</f>
      </c>
      <c r="K41" s="248">
        <f t="shared" si="0"/>
      </c>
      <c r="L41" s="164">
        <f>IF($O41="","",INDEX(Master!$K$2:$K$1001,$O41))</f>
      </c>
      <c r="M41" s="164">
        <f>IF($O41="","",INDEX(Master!$L$2:$L$1001,$O41))</f>
      </c>
      <c r="N41" s="164"/>
      <c r="O41">
        <f t="array" ref="O41">IFERROR(SMALL(IF(Master!$A$2:$A$1001="AKASH SALES",ROW(Master!$A$2:$A$1001)-ROW(Master!$A$2)+1),37),"")</f>
      </c>
      <c r="P41">
        <f t="shared" si="1"/>
      </c>
    </row>
    <row r="42" spans="1:16" x14ac:dyDescent="0.25">
      <c r="A42" s="164">
        <f>IF($O42="","",INDEX(Master!$D$2:$D$1001,$O42))</f>
      </c>
      <c r="B42" s="165">
        <f>IF($O42="","",INDEX(Master!$B$2:$B$1001,$O42))</f>
      </c>
      <c r="C42" s="164">
        <f>IF($O42="","",INDEX(Master!$C$2:$C$1001,$O42))</f>
      </c>
      <c r="D42" s="164">
        <f>IF($O42="","",INDEX(Master!$A$2:$A$1001,$O42))</f>
      </c>
      <c r="E42" s="164">
        <f>IF($O42="","",INDEX(Master!$E$2:$E$1001,$O42))</f>
      </c>
      <c r="F42" s="164">
        <f>IF($O42="","",INDEX(Master!$F$2:$F$1001,$O42))</f>
      </c>
      <c r="G42" s="164">
        <f>IF($O42="","",INDEX(Master!$G$2:$G$1001,$O42))</f>
      </c>
      <c r="H42" s="164">
        <f>IF($O42="","",INDEX(Master!$H$2:$H$1001,$O42))</f>
      </c>
      <c r="I42" s="164">
        <f>IF($O42="","",INDEX(Master!$I$2:$I$1001,$O42))</f>
      </c>
      <c r="J42" s="164">
        <f>IF($O42="","",INDEX(Master!$J$2:$J$1001,$O42))</f>
      </c>
      <c r="K42" s="248">
        <f t="shared" si="0"/>
      </c>
      <c r="L42" s="164">
        <f>IF($O42="","",INDEX(Master!$K$2:$K$1001,$O42))</f>
      </c>
      <c r="M42" s="164">
        <f>IF($O42="","",INDEX(Master!$L$2:$L$1001,$O42))</f>
      </c>
      <c r="N42" s="164"/>
      <c r="O42">
        <f t="array" ref="O42">IFERROR(SMALL(IF(Master!$A$2:$A$1001="AKASH SALES",ROW(Master!$A$2:$A$1001)-ROW(Master!$A$2)+1),38),"")</f>
      </c>
      <c r="P42">
        <f t="shared" si="1"/>
      </c>
    </row>
    <row r="43" spans="1:16" x14ac:dyDescent="0.25">
      <c r="A43" s="164">
        <f>IF($O43="","",INDEX(Master!$D$2:$D$1001,$O43))</f>
      </c>
      <c r="B43" s="165">
        <f>IF($O43="","",INDEX(Master!$B$2:$B$1001,$O43))</f>
      </c>
      <c r="C43" s="164">
        <f>IF($O43="","",INDEX(Master!$C$2:$C$1001,$O43))</f>
      </c>
      <c r="D43" s="164">
        <f>IF($O43="","",INDEX(Master!$A$2:$A$1001,$O43))</f>
      </c>
      <c r="E43" s="164">
        <f>IF($O43="","",INDEX(Master!$E$2:$E$1001,$O43))</f>
      </c>
      <c r="F43" s="164">
        <f>IF($O43="","",INDEX(Master!$F$2:$F$1001,$O43))</f>
      </c>
      <c r="G43" s="164">
        <f>IF($O43="","",INDEX(Master!$G$2:$G$1001,$O43))</f>
      </c>
      <c r="H43" s="164">
        <f>IF($O43="","",INDEX(Master!$H$2:$H$1001,$O43))</f>
      </c>
      <c r="I43" s="164">
        <f>IF($O43="","",INDEX(Master!$I$2:$I$1001,$O43))</f>
      </c>
      <c r="J43" s="164">
        <f>IF($O43="","",INDEX(Master!$J$2:$J$1001,$O43))</f>
      </c>
      <c r="K43" s="248">
        <f t="shared" si="0"/>
      </c>
      <c r="L43" s="164">
        <f>IF($O43="","",INDEX(Master!$K$2:$K$1001,$O43))</f>
      </c>
      <c r="M43" s="164">
        <f>IF($O43="","",INDEX(Master!$L$2:$L$1001,$O43))</f>
      </c>
      <c r="N43" s="164"/>
      <c r="O43">
        <f t="array" ref="O43">IFERROR(SMALL(IF(Master!$A$2:$A$1001="AKASH SALES",ROW(Master!$A$2:$A$1001)-ROW(Master!$A$2)+1),39),"")</f>
      </c>
      <c r="P43">
        <f t="shared" si="1"/>
      </c>
    </row>
    <row r="44" spans="1:16" x14ac:dyDescent="0.25">
      <c r="A44">
        <f>IF($O44="","",INDEX(Master!$D$2:$D$1001,$O44))</f>
      </c>
      <c r="B44" s="166">
        <f>IF($O44="","",INDEX(Master!$B$2:$B$1001,$O44))</f>
      </c>
      <c r="C44">
        <f>IF($O44="","",INDEX(Master!$C$2:$C$1001,$O44))</f>
      </c>
      <c r="D44">
        <f>IF($O44="","",INDEX(Master!$A$2:$A$1001,$O44))</f>
      </c>
      <c r="E44">
        <f>IF($O44="","",INDEX(Master!$E$2:$E$1001,$O44))</f>
      </c>
      <c r="F44">
        <f>IF($O44="","",INDEX(Master!$F$2:$F$1001,$O44))</f>
      </c>
      <c r="G44">
        <f>IF($O44="","",INDEX(Master!$G$2:$G$1001,$O44))</f>
      </c>
      <c r="H44">
        <f>IF($O44="","",INDEX(Master!$H$2:$H$1001,$O44))</f>
      </c>
      <c r="I44">
        <f>IF($O44="","",INDEX(Master!$I$2:$I$1001,$O44))</f>
      </c>
      <c r="J44">
        <f>IF($O44="","",INDEX(Master!$J$2:$J$1001,$O44))</f>
      </c>
      <c r="K44">
        <f t="shared" si="0"/>
      </c>
      <c r="L44">
        <f>IF($O44="","",INDEX(Master!$K$2:$K$1001,$O44))</f>
      </c>
      <c r="M44">
        <f>IF($O44="","",INDEX(Master!$L$2:$L$1001,$O44))</f>
      </c>
      <c r="O44">
        <f t="array" ref="O44">IFERROR(SMALL(IF(Master!$A$2:$A$1001="AKASH SALES",ROW(Master!$A$2:$A$1001)-ROW(Master!$A$2)+1),40),"")</f>
      </c>
      <c r="P44">
        <f t="shared" si="1"/>
      </c>
    </row>
    <row r="45" spans="1:16" x14ac:dyDescent="0.25">
      <c r="A45">
        <f>IF($O45="","",INDEX(Master!$D$2:$D$1001,$O45))</f>
      </c>
      <c r="B45" s="166">
        <f>IF($O45="","",INDEX(Master!$B$2:$B$1001,$O45))</f>
      </c>
      <c r="C45">
        <f>IF($O45="","",INDEX(Master!$C$2:$C$1001,$O45))</f>
      </c>
      <c r="D45">
        <f>IF($O45="","",INDEX(Master!$A$2:$A$1001,$O45))</f>
      </c>
      <c r="E45">
        <f>IF($O45="","",INDEX(Master!$E$2:$E$1001,$O45))</f>
      </c>
      <c r="F45">
        <f>IF($O45="","",INDEX(Master!$F$2:$F$1001,$O45))</f>
      </c>
      <c r="G45">
        <f>IF($O45="","",INDEX(Master!$G$2:$G$1001,$O45))</f>
      </c>
      <c r="H45">
        <f>IF($O45="","",INDEX(Master!$H$2:$H$1001,$O45))</f>
      </c>
      <c r="I45">
        <f>IF($O45="","",INDEX(Master!$I$2:$I$1001,$O45))</f>
      </c>
      <c r="J45">
        <f>IF($O45="","",INDEX(Master!$J$2:$J$1001,$O45))</f>
      </c>
      <c r="K45">
        <f t="shared" si="0"/>
      </c>
      <c r="L45">
        <f>IF($O45="","",INDEX(Master!$K$2:$K$1001,$O45))</f>
      </c>
      <c r="M45">
        <f>IF($O45="","",INDEX(Master!$L$2:$L$1001,$O45))</f>
      </c>
      <c r="O45">
        <f t="array" ref="O45">IFERROR(SMALL(IF(Master!$A$2:$A$1001="AKASH SALES",ROW(Master!$A$2:$A$1001)-ROW(Master!$A$2)+1),41),"")</f>
      </c>
      <c r="P45">
        <f t="shared" si="1"/>
      </c>
    </row>
    <row r="46" spans="1:16" x14ac:dyDescent="0.25">
      <c r="A46">
        <f>IF($O46="","",INDEX(Master!$D$2:$D$1001,$O46))</f>
      </c>
      <c r="B46" s="166">
        <f>IF($O46="","",INDEX(Master!$B$2:$B$1001,$O46))</f>
      </c>
      <c r="C46">
        <f>IF($O46="","",INDEX(Master!$C$2:$C$1001,$O46))</f>
      </c>
      <c r="D46">
        <f>IF($O46="","",INDEX(Master!$A$2:$A$1001,$O46))</f>
      </c>
      <c r="E46">
        <f>IF($O46="","",INDEX(Master!$E$2:$E$1001,$O46))</f>
      </c>
      <c r="F46">
        <f>IF($O46="","",INDEX(Master!$F$2:$F$1001,$O46))</f>
      </c>
      <c r="G46">
        <f>IF($O46="","",INDEX(Master!$G$2:$G$1001,$O46))</f>
      </c>
      <c r="H46">
        <f>IF($O46="","",INDEX(Master!$H$2:$H$1001,$O46))</f>
      </c>
      <c r="I46">
        <f>IF($O46="","",INDEX(Master!$I$2:$I$1001,$O46))</f>
      </c>
      <c r="J46">
        <f>IF($O46="","",INDEX(Master!$J$2:$J$1001,$O46))</f>
      </c>
      <c r="K46">
        <f t="shared" si="0"/>
      </c>
      <c r="L46">
        <f>IF($O46="","",INDEX(Master!$K$2:$K$1001,$O46))</f>
      </c>
      <c r="M46">
        <f>IF($O46="","",INDEX(Master!$L$2:$L$1001,$O46))</f>
      </c>
      <c r="O46">
        <f t="array" ref="O46">IFERROR(SMALL(IF(Master!$A$2:$A$1001="AKASH SALES",ROW(Master!$A$2:$A$1001)-ROW(Master!$A$2)+1),42),"")</f>
      </c>
      <c r="P46">
        <f t="shared" si="1"/>
      </c>
    </row>
    <row r="47" spans="1:16" x14ac:dyDescent="0.25">
      <c r="A47">
        <f>IF($O47="","",INDEX(Master!$D$2:$D$1001,$O47))</f>
      </c>
      <c r="B47" s="166">
        <f>IF($O47="","",INDEX(Master!$B$2:$B$1001,$O47))</f>
      </c>
      <c r="C47">
        <f>IF($O47="","",INDEX(Master!$C$2:$C$1001,$O47))</f>
      </c>
      <c r="D47">
        <f>IF($O47="","",INDEX(Master!$A$2:$A$1001,$O47))</f>
      </c>
      <c r="E47">
        <f>IF($O47="","",INDEX(Master!$E$2:$E$1001,$O47))</f>
      </c>
      <c r="F47">
        <f>IF($O47="","",INDEX(Master!$F$2:$F$1001,$O47))</f>
      </c>
      <c r="G47">
        <f>IF($O47="","",INDEX(Master!$G$2:$G$1001,$O47))</f>
      </c>
      <c r="H47">
        <f>IF($O47="","",INDEX(Master!$H$2:$H$1001,$O47))</f>
      </c>
      <c r="I47">
        <f>IF($O47="","",INDEX(Master!$I$2:$I$1001,$O47))</f>
      </c>
      <c r="J47">
        <f>IF($O47="","",INDEX(Master!$J$2:$J$1001,$O47))</f>
      </c>
      <c r="K47">
        <f t="shared" si="0"/>
      </c>
      <c r="L47">
        <f>IF($O47="","",INDEX(Master!$K$2:$K$1001,$O47))</f>
      </c>
      <c r="M47">
        <f>IF($O47="","",INDEX(Master!$L$2:$L$1001,$O47))</f>
      </c>
      <c r="O47">
        <f t="array" ref="O47">IFERROR(SMALL(IF(Master!$A$2:$A$1001="AKASH SALES",ROW(Master!$A$2:$A$1001)-ROW(Master!$A$2)+1),43),"")</f>
      </c>
      <c r="P47">
        <f t="shared" si="1"/>
      </c>
    </row>
    <row r="48" spans="1:16" x14ac:dyDescent="0.25">
      <c r="A48">
        <f>IF($O48="","",INDEX(Master!$D$2:$D$1001,$O48))</f>
      </c>
      <c r="B48" s="166">
        <f>IF($O48="","",INDEX(Master!$B$2:$B$1001,$O48))</f>
      </c>
      <c r="C48">
        <f>IF($O48="","",INDEX(Master!$C$2:$C$1001,$O48))</f>
      </c>
      <c r="D48">
        <f>IF($O48="","",INDEX(Master!$A$2:$A$1001,$O48))</f>
      </c>
      <c r="E48">
        <f>IF($O48="","",INDEX(Master!$E$2:$E$1001,$O48))</f>
      </c>
      <c r="F48">
        <f>IF($O48="","",INDEX(Master!$F$2:$F$1001,$O48))</f>
      </c>
      <c r="G48">
        <f>IF($O48="","",INDEX(Master!$G$2:$G$1001,$O48))</f>
      </c>
      <c r="H48">
        <f>IF($O48="","",INDEX(Master!$H$2:$H$1001,$O48))</f>
      </c>
      <c r="I48">
        <f>IF($O48="","",INDEX(Master!$I$2:$I$1001,$O48))</f>
      </c>
      <c r="J48">
        <f>IF($O48="","",INDEX(Master!$J$2:$J$1001,$O48))</f>
      </c>
      <c r="K48">
        <f t="shared" si="0"/>
      </c>
      <c r="L48">
        <f>IF($O48="","",INDEX(Master!$K$2:$K$1001,$O48))</f>
      </c>
      <c r="M48">
        <f>IF($O48="","",INDEX(Master!$L$2:$L$1001,$O48))</f>
      </c>
      <c r="O48">
        <f t="array" ref="O48">IFERROR(SMALL(IF(Master!$A$2:$A$1001="AKASH SALES",ROW(Master!$A$2:$A$1001)-ROW(Master!$A$2)+1),44),"")</f>
      </c>
      <c r="P48">
        <f t="shared" si="1"/>
      </c>
    </row>
    <row r="49" spans="1:16" x14ac:dyDescent="0.25">
      <c r="A49">
        <f>IF($O49="","",INDEX(Master!$D$2:$D$1001,$O49))</f>
      </c>
      <c r="B49" s="166">
        <f>IF($O49="","",INDEX(Master!$B$2:$B$1001,$O49))</f>
      </c>
      <c r="C49">
        <f>IF($O49="","",INDEX(Master!$C$2:$C$1001,$O49))</f>
      </c>
      <c r="D49">
        <f>IF($O49="","",INDEX(Master!$A$2:$A$1001,$O49))</f>
      </c>
      <c r="E49">
        <f>IF($O49="","",INDEX(Master!$E$2:$E$1001,$O49))</f>
      </c>
      <c r="F49">
        <f>IF($O49="","",INDEX(Master!$F$2:$F$1001,$O49))</f>
      </c>
      <c r="G49">
        <f>IF($O49="","",INDEX(Master!$G$2:$G$1001,$O49))</f>
      </c>
      <c r="H49">
        <f>IF($O49="","",INDEX(Master!$H$2:$H$1001,$O49))</f>
      </c>
      <c r="I49">
        <f>IF($O49="","",INDEX(Master!$I$2:$I$1001,$O49))</f>
      </c>
      <c r="J49">
        <f>IF($O49="","",INDEX(Master!$J$2:$J$1001,$O49))</f>
      </c>
      <c r="K49">
        <f t="shared" si="0"/>
      </c>
      <c r="L49">
        <f>IF($O49="","",INDEX(Master!$K$2:$K$1001,$O49))</f>
      </c>
      <c r="M49">
        <f>IF($O49="","",INDEX(Master!$L$2:$L$1001,$O49))</f>
      </c>
      <c r="O49">
        <f t="array" ref="O49">IFERROR(SMALL(IF(Master!$A$2:$A$1001="AKASH SALES",ROW(Master!$A$2:$A$1001)-ROW(Master!$A$2)+1),45),"")</f>
      </c>
      <c r="P49">
        <f t="shared" si="1"/>
      </c>
    </row>
    <row r="50" spans="1:16" x14ac:dyDescent="0.25">
      <c r="A50">
        <f>IF($O50="","",INDEX(Master!$D$2:$D$1001,$O50))</f>
      </c>
      <c r="B50" s="166">
        <f>IF($O50="","",INDEX(Master!$B$2:$B$1001,$O50))</f>
      </c>
      <c r="C50">
        <f>IF($O50="","",INDEX(Master!$C$2:$C$1001,$O50))</f>
      </c>
      <c r="D50">
        <f>IF($O50="","",INDEX(Master!$A$2:$A$1001,$O50))</f>
      </c>
      <c r="E50">
        <f>IF($O50="","",INDEX(Master!$E$2:$E$1001,$O50))</f>
      </c>
      <c r="F50">
        <f>IF($O50="","",INDEX(Master!$F$2:$F$1001,$O50))</f>
      </c>
      <c r="G50">
        <f>IF($O50="","",INDEX(Master!$G$2:$G$1001,$O50))</f>
      </c>
      <c r="H50">
        <f>IF($O50="","",INDEX(Master!$H$2:$H$1001,$O50))</f>
      </c>
      <c r="I50">
        <f>IF($O50="","",INDEX(Master!$I$2:$I$1001,$O50))</f>
      </c>
      <c r="J50">
        <f>IF($O50="","",INDEX(Master!$J$2:$J$1001,$O50))</f>
      </c>
      <c r="K50">
        <f t="shared" si="0"/>
      </c>
      <c r="L50">
        <f>IF($O50="","",INDEX(Master!$K$2:$K$1001,$O50))</f>
      </c>
      <c r="M50">
        <f>IF($O50="","",INDEX(Master!$L$2:$L$1001,$O50))</f>
      </c>
      <c r="O50">
        <f t="array" ref="O50">IFERROR(SMALL(IF(Master!$A$2:$A$1001="AKASH SALES",ROW(Master!$A$2:$A$1001)-ROW(Master!$A$2)+1),46),"")</f>
      </c>
      <c r="P50">
        <f t="shared" si="1"/>
      </c>
    </row>
    <row r="51" spans="1:16" x14ac:dyDescent="0.25">
      <c r="A51">
        <f>IF($O51="","",INDEX(Master!$D$2:$D$1001,$O51))</f>
      </c>
      <c r="B51" s="166">
        <f>IF($O51="","",INDEX(Master!$B$2:$B$1001,$O51))</f>
      </c>
      <c r="C51">
        <f>IF($O51="","",INDEX(Master!$C$2:$C$1001,$O51))</f>
      </c>
      <c r="D51">
        <f>IF($O51="","",INDEX(Master!$A$2:$A$1001,$O51))</f>
      </c>
      <c r="E51">
        <f>IF($O51="","",INDEX(Master!$E$2:$E$1001,$O51))</f>
      </c>
      <c r="F51">
        <f>IF($O51="","",INDEX(Master!$F$2:$F$1001,$O51))</f>
      </c>
      <c r="G51">
        <f>IF($O51="","",INDEX(Master!$G$2:$G$1001,$O51))</f>
      </c>
      <c r="H51">
        <f>IF($O51="","",INDEX(Master!$H$2:$H$1001,$O51))</f>
      </c>
      <c r="I51">
        <f>IF($O51="","",INDEX(Master!$I$2:$I$1001,$O51))</f>
      </c>
      <c r="J51">
        <f>IF($O51="","",INDEX(Master!$J$2:$J$1001,$O51))</f>
      </c>
      <c r="K51">
        <f t="shared" si="0"/>
      </c>
      <c r="L51">
        <f>IF($O51="","",INDEX(Master!$K$2:$K$1001,$O51))</f>
      </c>
      <c r="M51">
        <f>IF($O51="","",INDEX(Master!$L$2:$L$1001,$O51))</f>
      </c>
      <c r="O51">
        <f t="array" ref="O51">IFERROR(SMALL(IF(Master!$A$2:$A$1001="AKASH SALES",ROW(Master!$A$2:$A$1001)-ROW(Master!$A$2)+1),47),"")</f>
      </c>
      <c r="P51">
        <f t="shared" si="1"/>
      </c>
    </row>
    <row r="52" spans="1:16" x14ac:dyDescent="0.25">
      <c r="A52">
        <f>IF($O52="","",INDEX(Master!$D$2:$D$1001,$O52))</f>
      </c>
      <c r="B52" s="166">
        <f>IF($O52="","",INDEX(Master!$B$2:$B$1001,$O52))</f>
      </c>
      <c r="C52">
        <f>IF($O52="","",INDEX(Master!$C$2:$C$1001,$O52))</f>
      </c>
      <c r="D52">
        <f>IF($O52="","",INDEX(Master!$A$2:$A$1001,$O52))</f>
      </c>
      <c r="E52">
        <f>IF($O52="","",INDEX(Master!$E$2:$E$1001,$O52))</f>
      </c>
      <c r="F52">
        <f>IF($O52="","",INDEX(Master!$F$2:$F$1001,$O52))</f>
      </c>
      <c r="G52">
        <f>IF($O52="","",INDEX(Master!$G$2:$G$1001,$O52))</f>
      </c>
      <c r="H52">
        <f>IF($O52="","",INDEX(Master!$H$2:$H$1001,$O52))</f>
      </c>
      <c r="I52">
        <f>IF($O52="","",INDEX(Master!$I$2:$I$1001,$O52))</f>
      </c>
      <c r="J52">
        <f>IF($O52="","",INDEX(Master!$J$2:$J$1001,$O52))</f>
      </c>
      <c r="K52">
        <f t="shared" si="0"/>
      </c>
      <c r="L52">
        <f>IF($O52="","",INDEX(Master!$K$2:$K$1001,$O52))</f>
      </c>
      <c r="M52">
        <f>IF($O52="","",INDEX(Master!$L$2:$L$1001,$O52))</f>
      </c>
      <c r="O52">
        <f t="array" ref="O52">IFERROR(SMALL(IF(Master!$A$2:$A$1001="AKASH SALES",ROW(Master!$A$2:$A$1001)-ROW(Master!$A$2)+1),48),"")</f>
      </c>
      <c r="P52">
        <f t="shared" si="1"/>
      </c>
    </row>
    <row r="53" spans="1:16" x14ac:dyDescent="0.25">
      <c r="A53">
        <f>IF($O53="","",INDEX(Master!$D$2:$D$1001,$O53))</f>
      </c>
      <c r="B53" s="166">
        <f>IF($O53="","",INDEX(Master!$B$2:$B$1001,$O53))</f>
      </c>
      <c r="C53">
        <f>IF($O53="","",INDEX(Master!$C$2:$C$1001,$O53))</f>
      </c>
      <c r="D53">
        <f>IF($O53="","",INDEX(Master!$A$2:$A$1001,$O53))</f>
      </c>
      <c r="E53">
        <f>IF($O53="","",INDEX(Master!$E$2:$E$1001,$O53))</f>
      </c>
      <c r="F53">
        <f>IF($O53="","",INDEX(Master!$F$2:$F$1001,$O53))</f>
      </c>
      <c r="G53">
        <f>IF($O53="","",INDEX(Master!$G$2:$G$1001,$O53))</f>
      </c>
      <c r="H53">
        <f>IF($O53="","",INDEX(Master!$H$2:$H$1001,$O53))</f>
      </c>
      <c r="I53">
        <f>IF($O53="","",INDEX(Master!$I$2:$I$1001,$O53))</f>
      </c>
      <c r="J53">
        <f>IF($O53="","",INDEX(Master!$J$2:$J$1001,$O53))</f>
      </c>
      <c r="K53">
        <f t="shared" si="0"/>
      </c>
      <c r="L53">
        <f>IF($O53="","",INDEX(Master!$K$2:$K$1001,$O53))</f>
      </c>
      <c r="M53">
        <f>IF($O53="","",INDEX(Master!$L$2:$L$1001,$O53))</f>
      </c>
      <c r="O53">
        <f t="array" ref="O53">IFERROR(SMALL(IF(Master!$A$2:$A$1001="AKASH SALES",ROW(Master!$A$2:$A$1001)-ROW(Master!$A$2)+1),49),"")</f>
      </c>
      <c r="P53">
        <f t="shared" si="1"/>
      </c>
    </row>
    <row r="54" spans="1:16" x14ac:dyDescent="0.25">
      <c r="A54">
        <f>IF($O54="","",INDEX(Master!$D$2:$D$1001,$O54))</f>
      </c>
      <c r="B54" s="166">
        <f>IF($O54="","",INDEX(Master!$B$2:$B$1001,$O54))</f>
      </c>
      <c r="C54">
        <f>IF($O54="","",INDEX(Master!$C$2:$C$1001,$O54))</f>
      </c>
      <c r="D54">
        <f>IF($O54="","",INDEX(Master!$A$2:$A$1001,$O54))</f>
      </c>
      <c r="E54">
        <f>IF($O54="","",INDEX(Master!$E$2:$E$1001,$O54))</f>
      </c>
      <c r="F54">
        <f>IF($O54="","",INDEX(Master!$F$2:$F$1001,$O54))</f>
      </c>
      <c r="G54">
        <f>IF($O54="","",INDEX(Master!$G$2:$G$1001,$O54))</f>
      </c>
      <c r="H54">
        <f>IF($O54="","",INDEX(Master!$H$2:$H$1001,$O54))</f>
      </c>
      <c r="I54">
        <f>IF($O54="","",INDEX(Master!$I$2:$I$1001,$O54))</f>
      </c>
      <c r="J54">
        <f>IF($O54="","",INDEX(Master!$J$2:$J$1001,$O54))</f>
      </c>
      <c r="K54">
        <f t="shared" si="0"/>
      </c>
      <c r="L54">
        <f>IF($O54="","",INDEX(Master!$K$2:$K$1001,$O54))</f>
      </c>
      <c r="M54">
        <f>IF($O54="","",INDEX(Master!$L$2:$L$1001,$O54))</f>
      </c>
      <c r="O54">
        <f t="array" ref="O54">IFERROR(SMALL(IF(Master!$A$2:$A$1001="AKASH SALES",ROW(Master!$A$2:$A$1001)-ROW(Master!$A$2)+1),50),"")</f>
      </c>
      <c r="P54">
        <f t="shared" si="1"/>
      </c>
    </row>
    <row r="55" spans="1:16" x14ac:dyDescent="0.25">
      <c r="A55">
        <f>IF($O55="","",INDEX(Master!$D$2:$D$1001,$O55))</f>
      </c>
      <c r="B55" s="166">
        <f>IF($O55="","",INDEX(Master!$B$2:$B$1001,$O55))</f>
      </c>
      <c r="C55">
        <f>IF($O55="","",INDEX(Master!$C$2:$C$1001,$O55))</f>
      </c>
      <c r="D55">
        <f>IF($O55="","",INDEX(Master!$A$2:$A$1001,$O55))</f>
      </c>
      <c r="E55">
        <f>IF($O55="","",INDEX(Master!$E$2:$E$1001,$O55))</f>
      </c>
      <c r="F55">
        <f>IF($O55="","",INDEX(Master!$F$2:$F$1001,$O55))</f>
      </c>
      <c r="G55">
        <f>IF($O55="","",INDEX(Master!$G$2:$G$1001,$O55))</f>
      </c>
      <c r="H55">
        <f>IF($O55="","",INDEX(Master!$H$2:$H$1001,$O55))</f>
      </c>
      <c r="I55">
        <f>IF($O55="","",INDEX(Master!$I$2:$I$1001,$O55))</f>
      </c>
      <c r="J55">
        <f>IF($O55="","",INDEX(Master!$J$2:$J$1001,$O55))</f>
      </c>
      <c r="K55">
        <f t="shared" si="0"/>
      </c>
      <c r="L55">
        <f>IF($O55="","",INDEX(Master!$K$2:$K$1001,$O55))</f>
      </c>
      <c r="M55">
        <f>IF($O55="","",INDEX(Master!$L$2:$L$1001,$O55))</f>
      </c>
      <c r="O55">
        <f t="array" ref="O55">IFERROR(SMALL(IF(Master!$A$2:$A$1001="AKASH SALES",ROW(Master!$A$2:$A$1001)-ROW(Master!$A$2)+1),51),"")</f>
      </c>
      <c r="P55">
        <f t="shared" si="1"/>
      </c>
    </row>
    <row r="56" spans="1:16" x14ac:dyDescent="0.25">
      <c r="A56">
        <f>IF($O56="","",INDEX(Master!$D$2:$D$1001,$O56))</f>
      </c>
      <c r="B56" s="166">
        <f>IF($O56="","",INDEX(Master!$B$2:$B$1001,$O56))</f>
      </c>
      <c r="C56">
        <f>IF($O56="","",INDEX(Master!$C$2:$C$1001,$O56))</f>
      </c>
      <c r="D56">
        <f>IF($O56="","",INDEX(Master!$A$2:$A$1001,$O56))</f>
      </c>
      <c r="E56">
        <f>IF($O56="","",INDEX(Master!$E$2:$E$1001,$O56))</f>
      </c>
      <c r="F56">
        <f>IF($O56="","",INDEX(Master!$F$2:$F$1001,$O56))</f>
      </c>
      <c r="G56">
        <f>IF($O56="","",INDEX(Master!$G$2:$G$1001,$O56))</f>
      </c>
      <c r="H56">
        <f>IF($O56="","",INDEX(Master!$H$2:$H$1001,$O56))</f>
      </c>
      <c r="I56">
        <f>IF($O56="","",INDEX(Master!$I$2:$I$1001,$O56))</f>
      </c>
      <c r="J56">
        <f>IF($O56="","",INDEX(Master!$J$2:$J$1001,$O56))</f>
      </c>
      <c r="K56">
        <f t="shared" si="0"/>
      </c>
      <c r="L56">
        <f>IF($O56="","",INDEX(Master!$K$2:$K$1001,$O56))</f>
      </c>
      <c r="M56">
        <f>IF($O56="","",INDEX(Master!$L$2:$L$1001,$O56))</f>
      </c>
      <c r="O56">
        <f t="array" ref="O56">IFERROR(SMALL(IF(Master!$A$2:$A$1001="AKASH SALES",ROW(Master!$A$2:$A$1001)-ROW(Master!$A$2)+1),52),"")</f>
      </c>
      <c r="P56">
        <f t="shared" si="1"/>
      </c>
    </row>
    <row r="57" spans="1:16" x14ac:dyDescent="0.25">
      <c r="A57">
        <f>IF($O57="","",INDEX(Master!$D$2:$D$1001,$O57))</f>
      </c>
      <c r="B57" s="166">
        <f>IF($O57="","",INDEX(Master!$B$2:$B$1001,$O57))</f>
      </c>
      <c r="C57">
        <f>IF($O57="","",INDEX(Master!$C$2:$C$1001,$O57))</f>
      </c>
      <c r="D57">
        <f>IF($O57="","",INDEX(Master!$A$2:$A$1001,$O57))</f>
      </c>
      <c r="E57">
        <f>IF($O57="","",INDEX(Master!$E$2:$E$1001,$O57))</f>
      </c>
      <c r="F57">
        <f>IF($O57="","",INDEX(Master!$F$2:$F$1001,$O57))</f>
      </c>
      <c r="G57">
        <f>IF($O57="","",INDEX(Master!$G$2:$G$1001,$O57))</f>
      </c>
      <c r="H57">
        <f>IF($O57="","",INDEX(Master!$H$2:$H$1001,$O57))</f>
      </c>
      <c r="I57">
        <f>IF($O57="","",INDEX(Master!$I$2:$I$1001,$O57))</f>
      </c>
      <c r="J57">
        <f>IF($O57="","",INDEX(Master!$J$2:$J$1001,$O57))</f>
      </c>
      <c r="K57">
        <f t="shared" si="0"/>
      </c>
      <c r="L57">
        <f>IF($O57="","",INDEX(Master!$K$2:$K$1001,$O57))</f>
      </c>
      <c r="M57">
        <f>IF($O57="","",INDEX(Master!$L$2:$L$1001,$O57))</f>
      </c>
      <c r="O57">
        <f t="array" ref="O57">IFERROR(SMALL(IF(Master!$A$2:$A$1001="AKASH SALES",ROW(Master!$A$2:$A$1001)-ROW(Master!$A$2)+1),53),"")</f>
      </c>
      <c r="P57">
        <f t="shared" si="1"/>
      </c>
    </row>
    <row r="58" spans="1:16" x14ac:dyDescent="0.25">
      <c r="A58">
        <f>IF($O58="","",INDEX(Master!$D$2:$D$1001,$O58))</f>
      </c>
      <c r="B58" s="166">
        <f>IF($O58="","",INDEX(Master!$B$2:$B$1001,$O58))</f>
      </c>
      <c r="C58">
        <f>IF($O58="","",INDEX(Master!$C$2:$C$1001,$O58))</f>
      </c>
      <c r="D58">
        <f>IF($O58="","",INDEX(Master!$A$2:$A$1001,$O58))</f>
      </c>
      <c r="E58">
        <f>IF($O58="","",INDEX(Master!$E$2:$E$1001,$O58))</f>
      </c>
      <c r="F58">
        <f>IF($O58="","",INDEX(Master!$F$2:$F$1001,$O58))</f>
      </c>
      <c r="G58">
        <f>IF($O58="","",INDEX(Master!$G$2:$G$1001,$O58))</f>
      </c>
      <c r="H58">
        <f>IF($O58="","",INDEX(Master!$H$2:$H$1001,$O58))</f>
      </c>
      <c r="I58">
        <f>IF($O58="","",INDEX(Master!$I$2:$I$1001,$O58))</f>
      </c>
      <c r="J58">
        <f>IF($O58="","",INDEX(Master!$J$2:$J$1001,$O58))</f>
      </c>
      <c r="K58">
        <f t="shared" si="0"/>
      </c>
      <c r="L58">
        <f>IF($O58="","",INDEX(Master!$K$2:$K$1001,$O58))</f>
      </c>
      <c r="M58">
        <f>IF($O58="","",INDEX(Master!$L$2:$L$1001,$O58))</f>
      </c>
      <c r="O58">
        <f t="array" ref="O58">IFERROR(SMALL(IF(Master!$A$2:$A$1001="AKASH SALES",ROW(Master!$A$2:$A$1001)-ROW(Master!$A$2)+1),54),"")</f>
      </c>
      <c r="P58">
        <f t="shared" si="1"/>
      </c>
    </row>
    <row r="59" spans="1:16" x14ac:dyDescent="0.25">
      <c r="A59">
        <f>IF($O59="","",INDEX(Master!$D$2:$D$1001,$O59))</f>
      </c>
      <c r="B59" s="166">
        <f>IF($O59="","",INDEX(Master!$B$2:$B$1001,$O59))</f>
      </c>
      <c r="C59">
        <f>IF($O59="","",INDEX(Master!$C$2:$C$1001,$O59))</f>
      </c>
      <c r="D59">
        <f>IF($O59="","",INDEX(Master!$A$2:$A$1001,$O59))</f>
      </c>
      <c r="E59">
        <f>IF($O59="","",INDEX(Master!$E$2:$E$1001,$O59))</f>
      </c>
      <c r="F59">
        <f>IF($O59="","",INDEX(Master!$F$2:$F$1001,$O59))</f>
      </c>
      <c r="G59">
        <f>IF($O59="","",INDEX(Master!$G$2:$G$1001,$O59))</f>
      </c>
      <c r="H59">
        <f>IF($O59="","",INDEX(Master!$H$2:$H$1001,$O59))</f>
      </c>
      <c r="I59">
        <f>IF($O59="","",INDEX(Master!$I$2:$I$1001,$O59))</f>
      </c>
      <c r="J59">
        <f>IF($O59="","",INDEX(Master!$J$2:$J$1001,$O59))</f>
      </c>
      <c r="K59">
        <f t="shared" si="0"/>
      </c>
      <c r="L59">
        <f>IF($O59="","",INDEX(Master!$K$2:$K$1001,$O59))</f>
      </c>
      <c r="M59">
        <f>IF($O59="","",INDEX(Master!$L$2:$L$1001,$O59))</f>
      </c>
      <c r="O59">
        <f t="array" ref="O59">IFERROR(SMALL(IF(Master!$A$2:$A$1001="AKASH SALES",ROW(Master!$A$2:$A$1001)-ROW(Master!$A$2)+1),55),"")</f>
      </c>
      <c r="P59">
        <f t="shared" si="1"/>
      </c>
    </row>
    <row r="60" spans="1:16" x14ac:dyDescent="0.25">
      <c r="A60">
        <f>IF($O60="","",INDEX(Master!$D$2:$D$1001,$O60))</f>
      </c>
      <c r="B60" s="166">
        <f>IF($O60="","",INDEX(Master!$B$2:$B$1001,$O60))</f>
      </c>
      <c r="C60">
        <f>IF($O60="","",INDEX(Master!$C$2:$C$1001,$O60))</f>
      </c>
      <c r="D60">
        <f>IF($O60="","",INDEX(Master!$A$2:$A$1001,$O60))</f>
      </c>
      <c r="E60">
        <f>IF($O60="","",INDEX(Master!$E$2:$E$1001,$O60))</f>
      </c>
      <c r="F60">
        <f>IF($O60="","",INDEX(Master!$F$2:$F$1001,$O60))</f>
      </c>
      <c r="G60">
        <f>IF($O60="","",INDEX(Master!$G$2:$G$1001,$O60))</f>
      </c>
      <c r="H60">
        <f>IF($O60="","",INDEX(Master!$H$2:$H$1001,$O60))</f>
      </c>
      <c r="I60">
        <f>IF($O60="","",INDEX(Master!$I$2:$I$1001,$O60))</f>
      </c>
      <c r="J60">
        <f>IF($O60="","",INDEX(Master!$J$2:$J$1001,$O60))</f>
      </c>
      <c r="K60">
        <f t="shared" si="0"/>
      </c>
      <c r="L60">
        <f>IF($O60="","",INDEX(Master!$K$2:$K$1001,$O60))</f>
      </c>
      <c r="M60">
        <f>IF($O60="","",INDEX(Master!$L$2:$L$1001,$O60))</f>
      </c>
      <c r="O60">
        <f t="array" ref="O60">IFERROR(SMALL(IF(Master!$A$2:$A$1001="AKASH SALES",ROW(Master!$A$2:$A$1001)-ROW(Master!$A$2)+1),56),"")</f>
      </c>
      <c r="P60">
        <f t="shared" si="1"/>
      </c>
    </row>
    <row r="61" spans="1:16" x14ac:dyDescent="0.25">
      <c r="A61">
        <f>IF($O61="","",INDEX(Master!$D$2:$D$1001,$O61))</f>
      </c>
      <c r="B61" s="166">
        <f>IF($O61="","",INDEX(Master!$B$2:$B$1001,$O61))</f>
      </c>
      <c r="C61">
        <f>IF($O61="","",INDEX(Master!$C$2:$C$1001,$O61))</f>
      </c>
      <c r="D61">
        <f>IF($O61="","",INDEX(Master!$A$2:$A$1001,$O61))</f>
      </c>
      <c r="E61">
        <f>IF($O61="","",INDEX(Master!$E$2:$E$1001,$O61))</f>
      </c>
      <c r="F61">
        <f>IF($O61="","",INDEX(Master!$F$2:$F$1001,$O61))</f>
      </c>
      <c r="G61">
        <f>IF($O61="","",INDEX(Master!$G$2:$G$1001,$O61))</f>
      </c>
      <c r="H61">
        <f>IF($O61="","",INDEX(Master!$H$2:$H$1001,$O61))</f>
      </c>
      <c r="I61">
        <f>IF($O61="","",INDEX(Master!$I$2:$I$1001,$O61))</f>
      </c>
      <c r="J61">
        <f>IF($O61="","",INDEX(Master!$J$2:$J$1001,$O61))</f>
      </c>
      <c r="K61">
        <f t="shared" si="0"/>
      </c>
      <c r="L61">
        <f>IF($O61="","",INDEX(Master!$K$2:$K$1001,$O61))</f>
      </c>
      <c r="M61">
        <f>IF($O61="","",INDEX(Master!$L$2:$L$1001,$O61))</f>
      </c>
      <c r="O61">
        <f t="array" ref="O61">IFERROR(SMALL(IF(Master!$A$2:$A$1001="AKASH SALES",ROW(Master!$A$2:$A$1001)-ROW(Master!$A$2)+1),57),"")</f>
      </c>
      <c r="P61">
        <f t="shared" si="1"/>
      </c>
    </row>
    <row r="62" spans="1:16" x14ac:dyDescent="0.25">
      <c r="A62">
        <f>IF($O62="","",INDEX(Master!$D$2:$D$1001,$O62))</f>
      </c>
      <c r="B62" s="166">
        <f>IF($O62="","",INDEX(Master!$B$2:$B$1001,$O62))</f>
      </c>
      <c r="C62">
        <f>IF($O62="","",INDEX(Master!$C$2:$C$1001,$O62))</f>
      </c>
      <c r="D62">
        <f>IF($O62="","",INDEX(Master!$A$2:$A$1001,$O62))</f>
      </c>
      <c r="E62">
        <f>IF($O62="","",INDEX(Master!$E$2:$E$1001,$O62))</f>
      </c>
      <c r="F62">
        <f>IF($O62="","",INDEX(Master!$F$2:$F$1001,$O62))</f>
      </c>
      <c r="G62">
        <f>IF($O62="","",INDEX(Master!$G$2:$G$1001,$O62))</f>
      </c>
      <c r="H62">
        <f>IF($O62="","",INDEX(Master!$H$2:$H$1001,$O62))</f>
      </c>
      <c r="I62">
        <f>IF($O62="","",INDEX(Master!$I$2:$I$1001,$O62))</f>
      </c>
      <c r="J62">
        <f>IF($O62="","",INDEX(Master!$J$2:$J$1001,$O62))</f>
      </c>
      <c r="K62">
        <f t="shared" si="0"/>
      </c>
      <c r="L62">
        <f>IF($O62="","",INDEX(Master!$K$2:$K$1001,$O62))</f>
      </c>
      <c r="M62">
        <f>IF($O62="","",INDEX(Master!$L$2:$L$1001,$O62))</f>
      </c>
      <c r="O62">
        <f t="array" ref="O62">IFERROR(SMALL(IF(Master!$A$2:$A$1001="AKASH SALES",ROW(Master!$A$2:$A$1001)-ROW(Master!$A$2)+1),58),"")</f>
      </c>
      <c r="P62">
        <f t="shared" si="1"/>
      </c>
    </row>
    <row r="63" spans="1:16" x14ac:dyDescent="0.25">
      <c r="A63">
        <f>IF($O63="","",INDEX(Master!$D$2:$D$1001,$O63))</f>
      </c>
      <c r="B63" s="166">
        <f>IF($O63="","",INDEX(Master!$B$2:$B$1001,$O63))</f>
      </c>
      <c r="C63">
        <f>IF($O63="","",INDEX(Master!$C$2:$C$1001,$O63))</f>
      </c>
      <c r="D63">
        <f>IF($O63="","",INDEX(Master!$A$2:$A$1001,$O63))</f>
      </c>
      <c r="E63">
        <f>IF($O63="","",INDEX(Master!$E$2:$E$1001,$O63))</f>
      </c>
      <c r="F63">
        <f>IF($O63="","",INDEX(Master!$F$2:$F$1001,$O63))</f>
      </c>
      <c r="G63">
        <f>IF($O63="","",INDEX(Master!$G$2:$G$1001,$O63))</f>
      </c>
      <c r="H63">
        <f>IF($O63="","",INDEX(Master!$H$2:$H$1001,$O63))</f>
      </c>
      <c r="I63">
        <f>IF($O63="","",INDEX(Master!$I$2:$I$1001,$O63))</f>
      </c>
      <c r="J63">
        <f>IF($O63="","",INDEX(Master!$J$2:$J$1001,$O63))</f>
      </c>
      <c r="K63">
        <f t="shared" si="0"/>
      </c>
      <c r="L63">
        <f>IF($O63="","",INDEX(Master!$K$2:$K$1001,$O63))</f>
      </c>
      <c r="M63">
        <f>IF($O63="","",INDEX(Master!$L$2:$L$1001,$O63))</f>
      </c>
      <c r="O63">
        <f t="array" ref="O63">IFERROR(SMALL(IF(Master!$A$2:$A$1001="AKASH SALES",ROW(Master!$A$2:$A$1001)-ROW(Master!$A$2)+1),59),"")</f>
      </c>
      <c r="P63">
        <f t="shared" si="1"/>
      </c>
    </row>
    <row r="64" spans="1:16" x14ac:dyDescent="0.25">
      <c r="A64">
        <f>IF($O64="","",INDEX(Master!$D$2:$D$1001,$O64))</f>
      </c>
      <c r="B64" s="166">
        <f>IF($O64="","",INDEX(Master!$B$2:$B$1001,$O64))</f>
      </c>
      <c r="C64">
        <f>IF($O64="","",INDEX(Master!$C$2:$C$1001,$O64))</f>
      </c>
      <c r="D64">
        <f>IF($O64="","",INDEX(Master!$A$2:$A$1001,$O64))</f>
      </c>
      <c r="E64">
        <f>IF($O64="","",INDEX(Master!$E$2:$E$1001,$O64))</f>
      </c>
      <c r="F64">
        <f>IF($O64="","",INDEX(Master!$F$2:$F$1001,$O64))</f>
      </c>
      <c r="G64">
        <f>IF($O64="","",INDEX(Master!$G$2:$G$1001,$O64))</f>
      </c>
      <c r="H64">
        <f>IF($O64="","",INDEX(Master!$H$2:$H$1001,$O64))</f>
      </c>
      <c r="I64">
        <f>IF($O64="","",INDEX(Master!$I$2:$I$1001,$O64))</f>
      </c>
      <c r="J64">
        <f>IF($O64="","",INDEX(Master!$J$2:$J$1001,$O64))</f>
      </c>
      <c r="K64">
        <f t="shared" si="0"/>
      </c>
      <c r="L64">
        <f>IF($O64="","",INDEX(Master!$K$2:$K$1001,$O64))</f>
      </c>
      <c r="M64">
        <f>IF($O64="","",INDEX(Master!$L$2:$L$1001,$O64))</f>
      </c>
      <c r="O64">
        <f t="array" ref="O64">IFERROR(SMALL(IF(Master!$A$2:$A$1001="AKASH SALES",ROW(Master!$A$2:$A$1001)-ROW(Master!$A$2)+1),60),"")</f>
      </c>
      <c r="P64">
        <f t="shared" si="1"/>
      </c>
    </row>
    <row r="65" spans="1:16" x14ac:dyDescent="0.25">
      <c r="A65">
        <f>IF($O65="","",INDEX(Master!$D$2:$D$1001,$O65))</f>
      </c>
      <c r="B65" s="166">
        <f>IF($O65="","",INDEX(Master!$B$2:$B$1001,$O65))</f>
      </c>
      <c r="C65">
        <f>IF($O65="","",INDEX(Master!$C$2:$C$1001,$O65))</f>
      </c>
      <c r="D65">
        <f>IF($O65="","",INDEX(Master!$A$2:$A$1001,$O65))</f>
      </c>
      <c r="E65">
        <f>IF($O65="","",INDEX(Master!$E$2:$E$1001,$O65))</f>
      </c>
      <c r="F65">
        <f>IF($O65="","",INDEX(Master!$F$2:$F$1001,$O65))</f>
      </c>
      <c r="G65">
        <f>IF($O65="","",INDEX(Master!$G$2:$G$1001,$O65))</f>
      </c>
      <c r="H65">
        <f>IF($O65="","",INDEX(Master!$H$2:$H$1001,$O65))</f>
      </c>
      <c r="I65">
        <f>IF($O65="","",INDEX(Master!$I$2:$I$1001,$O65))</f>
      </c>
      <c r="J65">
        <f>IF($O65="","",INDEX(Master!$J$2:$J$1001,$O65))</f>
      </c>
      <c r="K65">
        <f t="shared" si="0"/>
      </c>
      <c r="L65">
        <f>IF($O65="","",INDEX(Master!$K$2:$K$1001,$O65))</f>
      </c>
      <c r="M65">
        <f>IF($O65="","",INDEX(Master!$L$2:$L$1001,$O65))</f>
      </c>
      <c r="O65">
        <f t="array" ref="O65">IFERROR(SMALL(IF(Master!$A$2:$A$1001="AKASH SALES",ROW(Master!$A$2:$A$1001)-ROW(Master!$A$2)+1),61),"")</f>
      </c>
      <c r="P65">
        <f t="shared" si="1"/>
      </c>
    </row>
    <row r="66" spans="1:16" x14ac:dyDescent="0.25">
      <c r="A66">
        <f>IF($O66="","",INDEX(Master!$D$2:$D$1001,$O66))</f>
      </c>
      <c r="B66" s="166">
        <f>IF($O66="","",INDEX(Master!$B$2:$B$1001,$O66))</f>
      </c>
      <c r="C66">
        <f>IF($O66="","",INDEX(Master!$C$2:$C$1001,$O66))</f>
      </c>
      <c r="D66">
        <f>IF($O66="","",INDEX(Master!$A$2:$A$1001,$O66))</f>
      </c>
      <c r="E66">
        <f>IF($O66="","",INDEX(Master!$E$2:$E$1001,$O66))</f>
      </c>
      <c r="F66">
        <f>IF($O66="","",INDEX(Master!$F$2:$F$1001,$O66))</f>
      </c>
      <c r="G66">
        <f>IF($O66="","",INDEX(Master!$G$2:$G$1001,$O66))</f>
      </c>
      <c r="H66">
        <f>IF($O66="","",INDEX(Master!$H$2:$H$1001,$O66))</f>
      </c>
      <c r="I66">
        <f>IF($O66="","",INDEX(Master!$I$2:$I$1001,$O66))</f>
      </c>
      <c r="J66">
        <f>IF($O66="","",INDEX(Master!$J$2:$J$1001,$O66))</f>
      </c>
      <c r="K66">
        <f t="shared" si="0"/>
      </c>
      <c r="L66">
        <f>IF($O66="","",INDEX(Master!$K$2:$K$1001,$O66))</f>
      </c>
      <c r="M66">
        <f>IF($O66="","",INDEX(Master!$L$2:$L$1001,$O66))</f>
      </c>
      <c r="O66">
        <f t="array" ref="O66">IFERROR(SMALL(IF(Master!$A$2:$A$1001="AKASH SALES",ROW(Master!$A$2:$A$1001)-ROW(Master!$A$2)+1),62),"")</f>
      </c>
      <c r="P66">
        <f t="shared" si="1"/>
      </c>
    </row>
    <row r="67" spans="1:16" x14ac:dyDescent="0.25">
      <c r="A67">
        <f>IF($O67="","",INDEX(Master!$D$2:$D$1001,$O67))</f>
      </c>
      <c r="B67" s="166">
        <f>IF($O67="","",INDEX(Master!$B$2:$B$1001,$O67))</f>
      </c>
      <c r="C67">
        <f>IF($O67="","",INDEX(Master!$C$2:$C$1001,$O67))</f>
      </c>
      <c r="D67">
        <f>IF($O67="","",INDEX(Master!$A$2:$A$1001,$O67))</f>
      </c>
      <c r="E67">
        <f>IF($O67="","",INDEX(Master!$E$2:$E$1001,$O67))</f>
      </c>
      <c r="F67">
        <f>IF($O67="","",INDEX(Master!$F$2:$F$1001,$O67))</f>
      </c>
      <c r="G67">
        <f>IF($O67="","",INDEX(Master!$G$2:$G$1001,$O67))</f>
      </c>
      <c r="H67">
        <f>IF($O67="","",INDEX(Master!$H$2:$H$1001,$O67))</f>
      </c>
      <c r="I67">
        <f>IF($O67="","",INDEX(Master!$I$2:$I$1001,$O67))</f>
      </c>
      <c r="J67">
        <f>IF($O67="","",INDEX(Master!$J$2:$J$1001,$O67))</f>
      </c>
      <c r="K67">
        <f t="shared" si="0"/>
      </c>
      <c r="L67">
        <f>IF($O67="","",INDEX(Master!$K$2:$K$1001,$O67))</f>
      </c>
      <c r="M67">
        <f>IF($O67="","",INDEX(Master!$L$2:$L$1001,$O67))</f>
      </c>
      <c r="O67">
        <f t="array" ref="O67">IFERROR(SMALL(IF(Master!$A$2:$A$1001="AKASH SALES",ROW(Master!$A$2:$A$1001)-ROW(Master!$A$2)+1),63),"")</f>
      </c>
      <c r="P67">
        <f t="shared" si="1"/>
      </c>
    </row>
    <row r="68" spans="1:16" x14ac:dyDescent="0.25">
      <c r="A68">
        <f>IF($O68="","",INDEX(Master!$D$2:$D$1001,$O68))</f>
      </c>
      <c r="B68" s="166">
        <f>IF($O68="","",INDEX(Master!$B$2:$B$1001,$O68))</f>
      </c>
      <c r="C68">
        <f>IF($O68="","",INDEX(Master!$C$2:$C$1001,$O68))</f>
      </c>
      <c r="D68">
        <f>IF($O68="","",INDEX(Master!$A$2:$A$1001,$O68))</f>
      </c>
      <c r="E68">
        <f>IF($O68="","",INDEX(Master!$E$2:$E$1001,$O68))</f>
      </c>
      <c r="F68">
        <f>IF($O68="","",INDEX(Master!$F$2:$F$1001,$O68))</f>
      </c>
      <c r="G68">
        <f>IF($O68="","",INDEX(Master!$G$2:$G$1001,$O68))</f>
      </c>
      <c r="H68">
        <f>IF($O68="","",INDEX(Master!$H$2:$H$1001,$O68))</f>
      </c>
      <c r="I68">
        <f>IF($O68="","",INDEX(Master!$I$2:$I$1001,$O68))</f>
      </c>
      <c r="J68">
        <f>IF($O68="","",INDEX(Master!$J$2:$J$1001,$O68))</f>
      </c>
      <c r="K68">
        <f t="shared" si="0"/>
      </c>
      <c r="L68">
        <f>IF($O68="","",INDEX(Master!$K$2:$K$1001,$O68))</f>
      </c>
      <c r="M68">
        <f>IF($O68="","",INDEX(Master!$L$2:$L$1001,$O68))</f>
      </c>
      <c r="O68">
        <f t="array" ref="O68">IFERROR(SMALL(IF(Master!$A$2:$A$1001="AKASH SALES",ROW(Master!$A$2:$A$1001)-ROW(Master!$A$2)+1),64),"")</f>
      </c>
      <c r="P68">
        <f t="shared" si="1"/>
      </c>
    </row>
    <row r="69" spans="1:16" x14ac:dyDescent="0.25">
      <c r="A69">
        <f>IF($O69="","",INDEX(Master!$D$2:$D$1001,$O69))</f>
      </c>
      <c r="B69" s="166">
        <f>IF($O69="","",INDEX(Master!$B$2:$B$1001,$O69))</f>
      </c>
      <c r="C69">
        <f>IF($O69="","",INDEX(Master!$C$2:$C$1001,$O69))</f>
      </c>
      <c r="D69">
        <f>IF($O69="","",INDEX(Master!$A$2:$A$1001,$O69))</f>
      </c>
      <c r="E69">
        <f>IF($O69="","",INDEX(Master!$E$2:$E$1001,$O69))</f>
      </c>
      <c r="F69">
        <f>IF($O69="","",INDEX(Master!$F$2:$F$1001,$O69))</f>
      </c>
      <c r="G69">
        <f>IF($O69="","",INDEX(Master!$G$2:$G$1001,$O69))</f>
      </c>
      <c r="H69">
        <f>IF($O69="","",INDEX(Master!$H$2:$H$1001,$O69))</f>
      </c>
      <c r="I69">
        <f>IF($O69="","",INDEX(Master!$I$2:$I$1001,$O69))</f>
      </c>
      <c r="J69">
        <f>IF($O69="","",INDEX(Master!$J$2:$J$1001,$O69))</f>
      </c>
      <c r="K69">
        <f t="shared" ref="K69:K132" si="2">IF(OR($O69="",$F69="",$F69=0),"",$H69/$F69)</f>
      </c>
      <c r="L69">
        <f>IF($O69="","",INDEX(Master!$K$2:$K$1001,$O69))</f>
      </c>
      <c r="M69">
        <f>IF($O69="","",INDEX(Master!$L$2:$L$1001,$O69))</f>
      </c>
      <c r="O69">
        <f t="array" ref="O69">IFERROR(SMALL(IF(Master!$A$2:$A$1001="AKASH SALES",ROW(Master!$A$2:$A$1001)-ROW(Master!$A$2)+1),65),"")</f>
      </c>
      <c r="P69">
        <f t="shared" ref="P69:P132" si="3">IF($A69="",0,IF(OR(AND($E69&lt;&gt;"",OR($E69&gt;0.18)),AND($F69&lt;&gt;"",OR(($F69+$G69)&gt;0.15)),AND($G69&lt;&gt;"",OR(($F69+$G69)&gt;0.15)),AND($H69&lt;&gt;"",$H69&lt;0.45),AND($J69&lt;&gt;"",OR($J69&lt;0.1))),1,0))</f>
      </c>
    </row>
    <row r="70" spans="1:16" x14ac:dyDescent="0.25">
      <c r="A70">
        <f>IF($O70="","",INDEX(Master!$D$2:$D$1001,$O70))</f>
      </c>
      <c r="B70" s="166">
        <f>IF($O70="","",INDEX(Master!$B$2:$B$1001,$O70))</f>
      </c>
      <c r="C70">
        <f>IF($O70="","",INDEX(Master!$C$2:$C$1001,$O70))</f>
      </c>
      <c r="D70">
        <f>IF($O70="","",INDEX(Master!$A$2:$A$1001,$O70))</f>
      </c>
      <c r="E70">
        <f>IF($O70="","",INDEX(Master!$E$2:$E$1001,$O70))</f>
      </c>
      <c r="F70">
        <f>IF($O70="","",INDEX(Master!$F$2:$F$1001,$O70))</f>
      </c>
      <c r="G70">
        <f>IF($O70="","",INDEX(Master!$G$2:$G$1001,$O70))</f>
      </c>
      <c r="H70">
        <f>IF($O70="","",INDEX(Master!$H$2:$H$1001,$O70))</f>
      </c>
      <c r="I70">
        <f>IF($O70="","",INDEX(Master!$I$2:$I$1001,$O70))</f>
      </c>
      <c r="J70">
        <f>IF($O70="","",INDEX(Master!$J$2:$J$1001,$O70))</f>
      </c>
      <c r="K70">
        <f t="shared" si="2"/>
      </c>
      <c r="L70">
        <f>IF($O70="","",INDEX(Master!$K$2:$K$1001,$O70))</f>
      </c>
      <c r="M70">
        <f>IF($O70="","",INDEX(Master!$L$2:$L$1001,$O70))</f>
      </c>
      <c r="O70">
        <f t="array" ref="O70">IFERROR(SMALL(IF(Master!$A$2:$A$1001="AKASH SALES",ROW(Master!$A$2:$A$1001)-ROW(Master!$A$2)+1),66),"")</f>
      </c>
      <c r="P70">
        <f t="shared" si="3"/>
      </c>
    </row>
    <row r="71" spans="1:16" x14ac:dyDescent="0.25">
      <c r="A71">
        <f>IF($O71="","",INDEX(Master!$D$2:$D$1001,$O71))</f>
      </c>
      <c r="B71" s="166">
        <f>IF($O71="","",INDEX(Master!$B$2:$B$1001,$O71))</f>
      </c>
      <c r="C71">
        <f>IF($O71="","",INDEX(Master!$C$2:$C$1001,$O71))</f>
      </c>
      <c r="D71">
        <f>IF($O71="","",INDEX(Master!$A$2:$A$1001,$O71))</f>
      </c>
      <c r="E71">
        <f>IF($O71="","",INDEX(Master!$E$2:$E$1001,$O71))</f>
      </c>
      <c r="F71">
        <f>IF($O71="","",INDEX(Master!$F$2:$F$1001,$O71))</f>
      </c>
      <c r="G71">
        <f>IF($O71="","",INDEX(Master!$G$2:$G$1001,$O71))</f>
      </c>
      <c r="H71">
        <f>IF($O71="","",INDEX(Master!$H$2:$H$1001,$O71))</f>
      </c>
      <c r="I71">
        <f>IF($O71="","",INDEX(Master!$I$2:$I$1001,$O71))</f>
      </c>
      <c r="J71">
        <f>IF($O71="","",INDEX(Master!$J$2:$J$1001,$O71))</f>
      </c>
      <c r="K71">
        <f t="shared" si="2"/>
      </c>
      <c r="L71">
        <f>IF($O71="","",INDEX(Master!$K$2:$K$1001,$O71))</f>
      </c>
      <c r="M71">
        <f>IF($O71="","",INDEX(Master!$L$2:$L$1001,$O71))</f>
      </c>
      <c r="O71">
        <f t="array" ref="O71">IFERROR(SMALL(IF(Master!$A$2:$A$1001="AKASH SALES",ROW(Master!$A$2:$A$1001)-ROW(Master!$A$2)+1),67),"")</f>
      </c>
      <c r="P71">
        <f t="shared" si="3"/>
      </c>
    </row>
    <row r="72" spans="1:16" x14ac:dyDescent="0.25">
      <c r="A72">
        <f>IF($O72="","",INDEX(Master!$D$2:$D$1001,$O72))</f>
      </c>
      <c r="B72" s="166">
        <f>IF($O72="","",INDEX(Master!$B$2:$B$1001,$O72))</f>
      </c>
      <c r="C72">
        <f>IF($O72="","",INDEX(Master!$C$2:$C$1001,$O72))</f>
      </c>
      <c r="D72">
        <f>IF($O72="","",INDEX(Master!$A$2:$A$1001,$O72))</f>
      </c>
      <c r="E72">
        <f>IF($O72="","",INDEX(Master!$E$2:$E$1001,$O72))</f>
      </c>
      <c r="F72">
        <f>IF($O72="","",INDEX(Master!$F$2:$F$1001,$O72))</f>
      </c>
      <c r="G72">
        <f>IF($O72="","",INDEX(Master!$G$2:$G$1001,$O72))</f>
      </c>
      <c r="H72">
        <f>IF($O72="","",INDEX(Master!$H$2:$H$1001,$O72))</f>
      </c>
      <c r="I72">
        <f>IF($O72="","",INDEX(Master!$I$2:$I$1001,$O72))</f>
      </c>
      <c r="J72">
        <f>IF($O72="","",INDEX(Master!$J$2:$J$1001,$O72))</f>
      </c>
      <c r="K72">
        <f t="shared" si="2"/>
      </c>
      <c r="L72">
        <f>IF($O72="","",INDEX(Master!$K$2:$K$1001,$O72))</f>
      </c>
      <c r="M72">
        <f>IF($O72="","",INDEX(Master!$L$2:$L$1001,$O72))</f>
      </c>
      <c r="O72">
        <f t="array" ref="O72">IFERROR(SMALL(IF(Master!$A$2:$A$1001="AKASH SALES",ROW(Master!$A$2:$A$1001)-ROW(Master!$A$2)+1),68),"")</f>
      </c>
      <c r="P72">
        <f t="shared" si="3"/>
      </c>
    </row>
    <row r="73" spans="1:16" x14ac:dyDescent="0.25">
      <c r="A73">
        <f>IF($O73="","",INDEX(Master!$D$2:$D$1001,$O73))</f>
      </c>
      <c r="B73" s="166">
        <f>IF($O73="","",INDEX(Master!$B$2:$B$1001,$O73))</f>
      </c>
      <c r="C73">
        <f>IF($O73="","",INDEX(Master!$C$2:$C$1001,$O73))</f>
      </c>
      <c r="D73">
        <f>IF($O73="","",INDEX(Master!$A$2:$A$1001,$O73))</f>
      </c>
      <c r="E73">
        <f>IF($O73="","",INDEX(Master!$E$2:$E$1001,$O73))</f>
      </c>
      <c r="F73">
        <f>IF($O73="","",INDEX(Master!$F$2:$F$1001,$O73))</f>
      </c>
      <c r="G73">
        <f>IF($O73="","",INDEX(Master!$G$2:$G$1001,$O73))</f>
      </c>
      <c r="H73">
        <f>IF($O73="","",INDEX(Master!$H$2:$H$1001,$O73))</f>
      </c>
      <c r="I73">
        <f>IF($O73="","",INDEX(Master!$I$2:$I$1001,$O73))</f>
      </c>
      <c r="J73">
        <f>IF($O73="","",INDEX(Master!$J$2:$J$1001,$O73))</f>
      </c>
      <c r="K73">
        <f t="shared" si="2"/>
      </c>
      <c r="L73">
        <f>IF($O73="","",INDEX(Master!$K$2:$K$1001,$O73))</f>
      </c>
      <c r="M73">
        <f>IF($O73="","",INDEX(Master!$L$2:$L$1001,$O73))</f>
      </c>
      <c r="O73">
        <f t="array" ref="O73">IFERROR(SMALL(IF(Master!$A$2:$A$1001="AKASH SALES",ROW(Master!$A$2:$A$1001)-ROW(Master!$A$2)+1),69),"")</f>
      </c>
      <c r="P73">
        <f t="shared" si="3"/>
      </c>
    </row>
    <row r="74" spans="1:16" x14ac:dyDescent="0.25">
      <c r="A74">
        <f>IF($O74="","",INDEX(Master!$D$2:$D$1001,$O74))</f>
      </c>
      <c r="B74" s="166">
        <f>IF($O74="","",INDEX(Master!$B$2:$B$1001,$O74))</f>
      </c>
      <c r="C74">
        <f>IF($O74="","",INDEX(Master!$C$2:$C$1001,$O74))</f>
      </c>
      <c r="D74">
        <f>IF($O74="","",INDEX(Master!$A$2:$A$1001,$O74))</f>
      </c>
      <c r="E74">
        <f>IF($O74="","",INDEX(Master!$E$2:$E$1001,$O74))</f>
      </c>
      <c r="F74">
        <f>IF($O74="","",INDEX(Master!$F$2:$F$1001,$O74))</f>
      </c>
      <c r="G74">
        <f>IF($O74="","",INDEX(Master!$G$2:$G$1001,$O74))</f>
      </c>
      <c r="H74">
        <f>IF($O74="","",INDEX(Master!$H$2:$H$1001,$O74))</f>
      </c>
      <c r="I74">
        <f>IF($O74="","",INDEX(Master!$I$2:$I$1001,$O74))</f>
      </c>
      <c r="J74">
        <f>IF($O74="","",INDEX(Master!$J$2:$J$1001,$O74))</f>
      </c>
      <c r="K74">
        <f t="shared" si="2"/>
      </c>
      <c r="L74">
        <f>IF($O74="","",INDEX(Master!$K$2:$K$1001,$O74))</f>
      </c>
      <c r="M74">
        <f>IF($O74="","",INDEX(Master!$L$2:$L$1001,$O74))</f>
      </c>
      <c r="O74">
        <f t="array" ref="O74">IFERROR(SMALL(IF(Master!$A$2:$A$1001="AKASH SALES",ROW(Master!$A$2:$A$1001)-ROW(Master!$A$2)+1),70),"")</f>
      </c>
      <c r="P74">
        <f t="shared" si="3"/>
      </c>
    </row>
    <row r="75" spans="1:16" x14ac:dyDescent="0.25">
      <c r="A75">
        <f>IF($O75="","",INDEX(Master!$D$2:$D$1001,$O75))</f>
      </c>
      <c r="B75" s="166">
        <f>IF($O75="","",INDEX(Master!$B$2:$B$1001,$O75))</f>
      </c>
      <c r="C75">
        <f>IF($O75="","",INDEX(Master!$C$2:$C$1001,$O75))</f>
      </c>
      <c r="D75">
        <f>IF($O75="","",INDEX(Master!$A$2:$A$1001,$O75))</f>
      </c>
      <c r="E75">
        <f>IF($O75="","",INDEX(Master!$E$2:$E$1001,$O75))</f>
      </c>
      <c r="F75">
        <f>IF($O75="","",INDEX(Master!$F$2:$F$1001,$O75))</f>
      </c>
      <c r="G75">
        <f>IF($O75="","",INDEX(Master!$G$2:$G$1001,$O75))</f>
      </c>
      <c r="H75">
        <f>IF($O75="","",INDEX(Master!$H$2:$H$1001,$O75))</f>
      </c>
      <c r="I75">
        <f>IF($O75="","",INDEX(Master!$I$2:$I$1001,$O75))</f>
      </c>
      <c r="J75">
        <f>IF($O75="","",INDEX(Master!$J$2:$J$1001,$O75))</f>
      </c>
      <c r="K75">
        <f t="shared" si="2"/>
      </c>
      <c r="L75">
        <f>IF($O75="","",INDEX(Master!$K$2:$K$1001,$O75))</f>
      </c>
      <c r="M75">
        <f>IF($O75="","",INDEX(Master!$L$2:$L$1001,$O75))</f>
      </c>
      <c r="O75">
        <f t="array" ref="O75">IFERROR(SMALL(IF(Master!$A$2:$A$1001="AKASH SALES",ROW(Master!$A$2:$A$1001)-ROW(Master!$A$2)+1),71),"")</f>
      </c>
      <c r="P75">
        <f t="shared" si="3"/>
      </c>
    </row>
    <row r="76" spans="1:16" x14ac:dyDescent="0.25">
      <c r="A76">
        <f>IF($O76="","",INDEX(Master!$D$2:$D$1001,$O76))</f>
      </c>
      <c r="B76" s="166">
        <f>IF($O76="","",INDEX(Master!$B$2:$B$1001,$O76))</f>
      </c>
      <c r="C76">
        <f>IF($O76="","",INDEX(Master!$C$2:$C$1001,$O76))</f>
      </c>
      <c r="D76">
        <f>IF($O76="","",INDEX(Master!$A$2:$A$1001,$O76))</f>
      </c>
      <c r="E76">
        <f>IF($O76="","",INDEX(Master!$E$2:$E$1001,$O76))</f>
      </c>
      <c r="F76">
        <f>IF($O76="","",INDEX(Master!$F$2:$F$1001,$O76))</f>
      </c>
      <c r="G76">
        <f>IF($O76="","",INDEX(Master!$G$2:$G$1001,$O76))</f>
      </c>
      <c r="H76">
        <f>IF($O76="","",INDEX(Master!$H$2:$H$1001,$O76))</f>
      </c>
      <c r="I76">
        <f>IF($O76="","",INDEX(Master!$I$2:$I$1001,$O76))</f>
      </c>
      <c r="J76">
        <f>IF($O76="","",INDEX(Master!$J$2:$J$1001,$O76))</f>
      </c>
      <c r="K76">
        <f t="shared" si="2"/>
      </c>
      <c r="L76">
        <f>IF($O76="","",INDEX(Master!$K$2:$K$1001,$O76))</f>
      </c>
      <c r="M76">
        <f>IF($O76="","",INDEX(Master!$L$2:$L$1001,$O76))</f>
      </c>
      <c r="O76">
        <f t="array" ref="O76">IFERROR(SMALL(IF(Master!$A$2:$A$1001="AKASH SALES",ROW(Master!$A$2:$A$1001)-ROW(Master!$A$2)+1),72),"")</f>
      </c>
      <c r="P76">
        <f t="shared" si="3"/>
      </c>
    </row>
    <row r="77" spans="1:16" x14ac:dyDescent="0.25">
      <c r="A77">
        <f>IF($O77="","",INDEX(Master!$D$2:$D$1001,$O77))</f>
      </c>
      <c r="B77" s="166">
        <f>IF($O77="","",INDEX(Master!$B$2:$B$1001,$O77))</f>
      </c>
      <c r="C77">
        <f>IF($O77="","",INDEX(Master!$C$2:$C$1001,$O77))</f>
      </c>
      <c r="D77">
        <f>IF($O77="","",INDEX(Master!$A$2:$A$1001,$O77))</f>
      </c>
      <c r="E77">
        <f>IF($O77="","",INDEX(Master!$E$2:$E$1001,$O77))</f>
      </c>
      <c r="F77">
        <f>IF($O77="","",INDEX(Master!$F$2:$F$1001,$O77))</f>
      </c>
      <c r="G77">
        <f>IF($O77="","",INDEX(Master!$G$2:$G$1001,$O77))</f>
      </c>
      <c r="H77">
        <f>IF($O77="","",INDEX(Master!$H$2:$H$1001,$O77))</f>
      </c>
      <c r="I77">
        <f>IF($O77="","",INDEX(Master!$I$2:$I$1001,$O77))</f>
      </c>
      <c r="J77">
        <f>IF($O77="","",INDEX(Master!$J$2:$J$1001,$O77))</f>
      </c>
      <c r="K77">
        <f t="shared" si="2"/>
      </c>
      <c r="L77">
        <f>IF($O77="","",INDEX(Master!$K$2:$K$1001,$O77))</f>
      </c>
      <c r="M77">
        <f>IF($O77="","",INDEX(Master!$L$2:$L$1001,$O77))</f>
      </c>
      <c r="O77">
        <f t="array" ref="O77">IFERROR(SMALL(IF(Master!$A$2:$A$1001="AKASH SALES",ROW(Master!$A$2:$A$1001)-ROW(Master!$A$2)+1),73),"")</f>
      </c>
      <c r="P77">
        <f t="shared" si="3"/>
      </c>
    </row>
    <row r="78" spans="1:16" x14ac:dyDescent="0.25">
      <c r="A78">
        <f>IF($O78="","",INDEX(Master!$D$2:$D$1001,$O78))</f>
      </c>
      <c r="B78" s="166">
        <f>IF($O78="","",INDEX(Master!$B$2:$B$1001,$O78))</f>
      </c>
      <c r="C78">
        <f>IF($O78="","",INDEX(Master!$C$2:$C$1001,$O78))</f>
      </c>
      <c r="D78">
        <f>IF($O78="","",INDEX(Master!$A$2:$A$1001,$O78))</f>
      </c>
      <c r="E78">
        <f>IF($O78="","",INDEX(Master!$E$2:$E$1001,$O78))</f>
      </c>
      <c r="F78">
        <f>IF($O78="","",INDEX(Master!$F$2:$F$1001,$O78))</f>
      </c>
      <c r="G78">
        <f>IF($O78="","",INDEX(Master!$G$2:$G$1001,$O78))</f>
      </c>
      <c r="H78">
        <f>IF($O78="","",INDEX(Master!$H$2:$H$1001,$O78))</f>
      </c>
      <c r="I78">
        <f>IF($O78="","",INDEX(Master!$I$2:$I$1001,$O78))</f>
      </c>
      <c r="J78">
        <f>IF($O78="","",INDEX(Master!$J$2:$J$1001,$O78))</f>
      </c>
      <c r="K78">
        <f t="shared" si="2"/>
      </c>
      <c r="L78">
        <f>IF($O78="","",INDEX(Master!$K$2:$K$1001,$O78))</f>
      </c>
      <c r="M78">
        <f>IF($O78="","",INDEX(Master!$L$2:$L$1001,$O78))</f>
      </c>
      <c r="O78">
        <f t="array" ref="O78">IFERROR(SMALL(IF(Master!$A$2:$A$1001="AKASH SALES",ROW(Master!$A$2:$A$1001)-ROW(Master!$A$2)+1),74),"")</f>
      </c>
      <c r="P78">
        <f t="shared" si="3"/>
      </c>
    </row>
    <row r="79" spans="1:16" x14ac:dyDescent="0.25">
      <c r="A79">
        <f>IF($O79="","",INDEX(Master!$D$2:$D$1001,$O79))</f>
      </c>
      <c r="B79" s="166">
        <f>IF($O79="","",INDEX(Master!$B$2:$B$1001,$O79))</f>
      </c>
      <c r="C79">
        <f>IF($O79="","",INDEX(Master!$C$2:$C$1001,$O79))</f>
      </c>
      <c r="D79">
        <f>IF($O79="","",INDEX(Master!$A$2:$A$1001,$O79))</f>
      </c>
      <c r="E79">
        <f>IF($O79="","",INDEX(Master!$E$2:$E$1001,$O79))</f>
      </c>
      <c r="F79">
        <f>IF($O79="","",INDEX(Master!$F$2:$F$1001,$O79))</f>
      </c>
      <c r="G79">
        <f>IF($O79="","",INDEX(Master!$G$2:$G$1001,$O79))</f>
      </c>
      <c r="H79">
        <f>IF($O79="","",INDEX(Master!$H$2:$H$1001,$O79))</f>
      </c>
      <c r="I79">
        <f>IF($O79="","",INDEX(Master!$I$2:$I$1001,$O79))</f>
      </c>
      <c r="J79">
        <f>IF($O79="","",INDEX(Master!$J$2:$J$1001,$O79))</f>
      </c>
      <c r="K79">
        <f t="shared" si="2"/>
      </c>
      <c r="L79">
        <f>IF($O79="","",INDEX(Master!$K$2:$K$1001,$O79))</f>
      </c>
      <c r="M79">
        <f>IF($O79="","",INDEX(Master!$L$2:$L$1001,$O79))</f>
      </c>
      <c r="O79">
        <f t="array" ref="O79">IFERROR(SMALL(IF(Master!$A$2:$A$1001="AKASH SALES",ROW(Master!$A$2:$A$1001)-ROW(Master!$A$2)+1),75),"")</f>
      </c>
      <c r="P79">
        <f t="shared" si="3"/>
      </c>
    </row>
    <row r="80" spans="1:16" x14ac:dyDescent="0.25">
      <c r="A80">
        <f>IF($O80="","",INDEX(Master!$D$2:$D$1001,$O80))</f>
      </c>
      <c r="B80" s="166">
        <f>IF($O80="","",INDEX(Master!$B$2:$B$1001,$O80))</f>
      </c>
      <c r="C80">
        <f>IF($O80="","",INDEX(Master!$C$2:$C$1001,$O80))</f>
      </c>
      <c r="D80">
        <f>IF($O80="","",INDEX(Master!$A$2:$A$1001,$O80))</f>
      </c>
      <c r="E80">
        <f>IF($O80="","",INDEX(Master!$E$2:$E$1001,$O80))</f>
      </c>
      <c r="F80">
        <f>IF($O80="","",INDEX(Master!$F$2:$F$1001,$O80))</f>
      </c>
      <c r="G80">
        <f>IF($O80="","",INDEX(Master!$G$2:$G$1001,$O80))</f>
      </c>
      <c r="H80">
        <f>IF($O80="","",INDEX(Master!$H$2:$H$1001,$O80))</f>
      </c>
      <c r="I80">
        <f>IF($O80="","",INDEX(Master!$I$2:$I$1001,$O80))</f>
      </c>
      <c r="J80">
        <f>IF($O80="","",INDEX(Master!$J$2:$J$1001,$O80))</f>
      </c>
      <c r="K80">
        <f t="shared" si="2"/>
      </c>
      <c r="L80">
        <f>IF($O80="","",INDEX(Master!$K$2:$K$1001,$O80))</f>
      </c>
      <c r="M80">
        <f>IF($O80="","",INDEX(Master!$L$2:$L$1001,$O80))</f>
      </c>
      <c r="O80">
        <f t="array" ref="O80">IFERROR(SMALL(IF(Master!$A$2:$A$1001="AKASH SALES",ROW(Master!$A$2:$A$1001)-ROW(Master!$A$2)+1),76),"")</f>
      </c>
      <c r="P80">
        <f t="shared" si="3"/>
      </c>
    </row>
    <row r="81" spans="1:16" x14ac:dyDescent="0.25">
      <c r="A81">
        <f>IF($O81="","",INDEX(Master!$D$2:$D$1001,$O81))</f>
      </c>
      <c r="B81" s="166">
        <f>IF($O81="","",INDEX(Master!$B$2:$B$1001,$O81))</f>
      </c>
      <c r="C81">
        <f>IF($O81="","",INDEX(Master!$C$2:$C$1001,$O81))</f>
      </c>
      <c r="D81">
        <f>IF($O81="","",INDEX(Master!$A$2:$A$1001,$O81))</f>
      </c>
      <c r="E81">
        <f>IF($O81="","",INDEX(Master!$E$2:$E$1001,$O81))</f>
      </c>
      <c r="F81">
        <f>IF($O81="","",INDEX(Master!$F$2:$F$1001,$O81))</f>
      </c>
      <c r="G81">
        <f>IF($O81="","",INDEX(Master!$G$2:$G$1001,$O81))</f>
      </c>
      <c r="H81">
        <f>IF($O81="","",INDEX(Master!$H$2:$H$1001,$O81))</f>
      </c>
      <c r="I81">
        <f>IF($O81="","",INDEX(Master!$I$2:$I$1001,$O81))</f>
      </c>
      <c r="J81">
        <f>IF($O81="","",INDEX(Master!$J$2:$J$1001,$O81))</f>
      </c>
      <c r="K81">
        <f t="shared" si="2"/>
      </c>
      <c r="L81">
        <f>IF($O81="","",INDEX(Master!$K$2:$K$1001,$O81))</f>
      </c>
      <c r="M81">
        <f>IF($O81="","",INDEX(Master!$L$2:$L$1001,$O81))</f>
      </c>
      <c r="O81">
        <f t="array" ref="O81">IFERROR(SMALL(IF(Master!$A$2:$A$1001="AKASH SALES",ROW(Master!$A$2:$A$1001)-ROW(Master!$A$2)+1),77),"")</f>
      </c>
      <c r="P81">
        <f t="shared" si="3"/>
      </c>
    </row>
    <row r="82" spans="1:16" x14ac:dyDescent="0.25">
      <c r="A82">
        <f>IF($O82="","",INDEX(Master!$D$2:$D$1001,$O82))</f>
      </c>
      <c r="B82" s="166">
        <f>IF($O82="","",INDEX(Master!$B$2:$B$1001,$O82))</f>
      </c>
      <c r="C82">
        <f>IF($O82="","",INDEX(Master!$C$2:$C$1001,$O82))</f>
      </c>
      <c r="D82">
        <f>IF($O82="","",INDEX(Master!$A$2:$A$1001,$O82))</f>
      </c>
      <c r="E82">
        <f>IF($O82="","",INDEX(Master!$E$2:$E$1001,$O82))</f>
      </c>
      <c r="F82">
        <f>IF($O82="","",INDEX(Master!$F$2:$F$1001,$O82))</f>
      </c>
      <c r="G82">
        <f>IF($O82="","",INDEX(Master!$G$2:$G$1001,$O82))</f>
      </c>
      <c r="H82">
        <f>IF($O82="","",INDEX(Master!$H$2:$H$1001,$O82))</f>
      </c>
      <c r="I82">
        <f>IF($O82="","",INDEX(Master!$I$2:$I$1001,$O82))</f>
      </c>
      <c r="J82">
        <f>IF($O82="","",INDEX(Master!$J$2:$J$1001,$O82))</f>
      </c>
      <c r="K82">
        <f t="shared" si="2"/>
      </c>
      <c r="L82">
        <f>IF($O82="","",INDEX(Master!$K$2:$K$1001,$O82))</f>
      </c>
      <c r="M82">
        <f>IF($O82="","",INDEX(Master!$L$2:$L$1001,$O82))</f>
      </c>
      <c r="O82">
        <f t="array" ref="O82">IFERROR(SMALL(IF(Master!$A$2:$A$1001="AKASH SALES",ROW(Master!$A$2:$A$1001)-ROW(Master!$A$2)+1),78),"")</f>
      </c>
      <c r="P82">
        <f t="shared" si="3"/>
      </c>
    </row>
    <row r="83" spans="1:16" x14ac:dyDescent="0.25">
      <c r="A83">
        <f>IF($O83="","",INDEX(Master!$D$2:$D$1001,$O83))</f>
      </c>
      <c r="B83" s="166">
        <f>IF($O83="","",INDEX(Master!$B$2:$B$1001,$O83))</f>
      </c>
      <c r="C83">
        <f>IF($O83="","",INDEX(Master!$C$2:$C$1001,$O83))</f>
      </c>
      <c r="D83">
        <f>IF($O83="","",INDEX(Master!$A$2:$A$1001,$O83))</f>
      </c>
      <c r="E83">
        <f>IF($O83="","",INDEX(Master!$E$2:$E$1001,$O83))</f>
      </c>
      <c r="F83">
        <f>IF($O83="","",INDEX(Master!$F$2:$F$1001,$O83))</f>
      </c>
      <c r="G83">
        <f>IF($O83="","",INDEX(Master!$G$2:$G$1001,$O83))</f>
      </c>
      <c r="H83">
        <f>IF($O83="","",INDEX(Master!$H$2:$H$1001,$O83))</f>
      </c>
      <c r="I83">
        <f>IF($O83="","",INDEX(Master!$I$2:$I$1001,$O83))</f>
      </c>
      <c r="J83">
        <f>IF($O83="","",INDEX(Master!$J$2:$J$1001,$O83))</f>
      </c>
      <c r="K83">
        <f t="shared" si="2"/>
      </c>
      <c r="L83">
        <f>IF($O83="","",INDEX(Master!$K$2:$K$1001,$O83))</f>
      </c>
      <c r="M83">
        <f>IF($O83="","",INDEX(Master!$L$2:$L$1001,$O83))</f>
      </c>
      <c r="O83">
        <f t="array" ref="O83">IFERROR(SMALL(IF(Master!$A$2:$A$1001="AKASH SALES",ROW(Master!$A$2:$A$1001)-ROW(Master!$A$2)+1),79),"")</f>
      </c>
      <c r="P83">
        <f t="shared" si="3"/>
      </c>
    </row>
    <row r="84" spans="1:16" x14ac:dyDescent="0.25">
      <c r="A84">
        <f>IF($O84="","",INDEX(Master!$D$2:$D$1001,$O84))</f>
      </c>
      <c r="B84" s="166">
        <f>IF($O84="","",INDEX(Master!$B$2:$B$1001,$O84))</f>
      </c>
      <c r="C84">
        <f>IF($O84="","",INDEX(Master!$C$2:$C$1001,$O84))</f>
      </c>
      <c r="D84">
        <f>IF($O84="","",INDEX(Master!$A$2:$A$1001,$O84))</f>
      </c>
      <c r="E84">
        <f>IF($O84="","",INDEX(Master!$E$2:$E$1001,$O84))</f>
      </c>
      <c r="F84">
        <f>IF($O84="","",INDEX(Master!$F$2:$F$1001,$O84))</f>
      </c>
      <c r="G84">
        <f>IF($O84="","",INDEX(Master!$G$2:$G$1001,$O84))</f>
      </c>
      <c r="H84">
        <f>IF($O84="","",INDEX(Master!$H$2:$H$1001,$O84))</f>
      </c>
      <c r="I84">
        <f>IF($O84="","",INDEX(Master!$I$2:$I$1001,$O84))</f>
      </c>
      <c r="J84">
        <f>IF($O84="","",INDEX(Master!$J$2:$J$1001,$O84))</f>
      </c>
      <c r="K84">
        <f t="shared" si="2"/>
      </c>
      <c r="L84">
        <f>IF($O84="","",INDEX(Master!$K$2:$K$1001,$O84))</f>
      </c>
      <c r="M84">
        <f>IF($O84="","",INDEX(Master!$L$2:$L$1001,$O84))</f>
      </c>
      <c r="O84">
        <f t="array" ref="O84">IFERROR(SMALL(IF(Master!$A$2:$A$1001="AKASH SALES",ROW(Master!$A$2:$A$1001)-ROW(Master!$A$2)+1),80),"")</f>
      </c>
      <c r="P84">
        <f t="shared" si="3"/>
      </c>
    </row>
    <row r="85" spans="1:16" x14ac:dyDescent="0.25">
      <c r="A85">
        <f>IF($O85="","",INDEX(Master!$D$2:$D$1001,$O85))</f>
      </c>
      <c r="B85" s="166">
        <f>IF($O85="","",INDEX(Master!$B$2:$B$1001,$O85))</f>
      </c>
      <c r="C85">
        <f>IF($O85="","",INDEX(Master!$C$2:$C$1001,$O85))</f>
      </c>
      <c r="D85">
        <f>IF($O85="","",INDEX(Master!$A$2:$A$1001,$O85))</f>
      </c>
      <c r="E85">
        <f>IF($O85="","",INDEX(Master!$E$2:$E$1001,$O85))</f>
      </c>
      <c r="F85">
        <f>IF($O85="","",INDEX(Master!$F$2:$F$1001,$O85))</f>
      </c>
      <c r="G85">
        <f>IF($O85="","",INDEX(Master!$G$2:$G$1001,$O85))</f>
      </c>
      <c r="H85">
        <f>IF($O85="","",INDEX(Master!$H$2:$H$1001,$O85))</f>
      </c>
      <c r="I85">
        <f>IF($O85="","",INDEX(Master!$I$2:$I$1001,$O85))</f>
      </c>
      <c r="J85">
        <f>IF($O85="","",INDEX(Master!$J$2:$J$1001,$O85))</f>
      </c>
      <c r="K85">
        <f t="shared" si="2"/>
      </c>
      <c r="L85">
        <f>IF($O85="","",INDEX(Master!$K$2:$K$1001,$O85))</f>
      </c>
      <c r="M85">
        <f>IF($O85="","",INDEX(Master!$L$2:$L$1001,$O85))</f>
      </c>
      <c r="O85">
        <f t="array" ref="O85">IFERROR(SMALL(IF(Master!$A$2:$A$1001="AKASH SALES",ROW(Master!$A$2:$A$1001)-ROW(Master!$A$2)+1),81),"")</f>
      </c>
      <c r="P85">
        <f t="shared" si="3"/>
      </c>
    </row>
    <row r="86" spans="1:16" x14ac:dyDescent="0.25">
      <c r="A86">
        <f>IF($O86="","",INDEX(Master!$D$2:$D$1001,$O86))</f>
      </c>
      <c r="B86" s="166">
        <f>IF($O86="","",INDEX(Master!$B$2:$B$1001,$O86))</f>
      </c>
      <c r="C86">
        <f>IF($O86="","",INDEX(Master!$C$2:$C$1001,$O86))</f>
      </c>
      <c r="D86">
        <f>IF($O86="","",INDEX(Master!$A$2:$A$1001,$O86))</f>
      </c>
      <c r="E86">
        <f>IF($O86="","",INDEX(Master!$E$2:$E$1001,$O86))</f>
      </c>
      <c r="F86">
        <f>IF($O86="","",INDEX(Master!$F$2:$F$1001,$O86))</f>
      </c>
      <c r="G86">
        <f>IF($O86="","",INDEX(Master!$G$2:$G$1001,$O86))</f>
      </c>
      <c r="H86">
        <f>IF($O86="","",INDEX(Master!$H$2:$H$1001,$O86))</f>
      </c>
      <c r="I86">
        <f>IF($O86="","",INDEX(Master!$I$2:$I$1001,$O86))</f>
      </c>
      <c r="J86">
        <f>IF($O86="","",INDEX(Master!$J$2:$J$1001,$O86))</f>
      </c>
      <c r="K86">
        <f t="shared" si="2"/>
      </c>
      <c r="L86">
        <f>IF($O86="","",INDEX(Master!$K$2:$K$1001,$O86))</f>
      </c>
      <c r="M86">
        <f>IF($O86="","",INDEX(Master!$L$2:$L$1001,$O86))</f>
      </c>
      <c r="O86">
        <f t="array" ref="O86">IFERROR(SMALL(IF(Master!$A$2:$A$1001="AKASH SALES",ROW(Master!$A$2:$A$1001)-ROW(Master!$A$2)+1),82),"")</f>
      </c>
      <c r="P86">
        <f t="shared" si="3"/>
      </c>
    </row>
    <row r="87" spans="1:16" x14ac:dyDescent="0.25">
      <c r="A87">
        <f>IF($O87="","",INDEX(Master!$D$2:$D$1001,$O87))</f>
      </c>
      <c r="B87" s="166">
        <f>IF($O87="","",INDEX(Master!$B$2:$B$1001,$O87))</f>
      </c>
      <c r="C87">
        <f>IF($O87="","",INDEX(Master!$C$2:$C$1001,$O87))</f>
      </c>
      <c r="D87">
        <f>IF($O87="","",INDEX(Master!$A$2:$A$1001,$O87))</f>
      </c>
      <c r="E87">
        <f>IF($O87="","",INDEX(Master!$E$2:$E$1001,$O87))</f>
      </c>
      <c r="F87">
        <f>IF($O87="","",INDEX(Master!$F$2:$F$1001,$O87))</f>
      </c>
      <c r="G87">
        <f>IF($O87="","",INDEX(Master!$G$2:$G$1001,$O87))</f>
      </c>
      <c r="H87">
        <f>IF($O87="","",INDEX(Master!$H$2:$H$1001,$O87))</f>
      </c>
      <c r="I87">
        <f>IF($O87="","",INDEX(Master!$I$2:$I$1001,$O87))</f>
      </c>
      <c r="J87">
        <f>IF($O87="","",INDEX(Master!$J$2:$J$1001,$O87))</f>
      </c>
      <c r="K87">
        <f t="shared" si="2"/>
      </c>
      <c r="L87">
        <f>IF($O87="","",INDEX(Master!$K$2:$K$1001,$O87))</f>
      </c>
      <c r="M87">
        <f>IF($O87="","",INDEX(Master!$L$2:$L$1001,$O87))</f>
      </c>
      <c r="O87">
        <f t="array" ref="O87">IFERROR(SMALL(IF(Master!$A$2:$A$1001="AKASH SALES",ROW(Master!$A$2:$A$1001)-ROW(Master!$A$2)+1),83),"")</f>
      </c>
      <c r="P87">
        <f t="shared" si="3"/>
      </c>
    </row>
    <row r="88" spans="1:16" x14ac:dyDescent="0.25">
      <c r="A88">
        <f>IF($O88="","",INDEX(Master!$D$2:$D$1001,$O88))</f>
      </c>
      <c r="B88" s="166">
        <f>IF($O88="","",INDEX(Master!$B$2:$B$1001,$O88))</f>
      </c>
      <c r="C88">
        <f>IF($O88="","",INDEX(Master!$C$2:$C$1001,$O88))</f>
      </c>
      <c r="D88">
        <f>IF($O88="","",INDEX(Master!$A$2:$A$1001,$O88))</f>
      </c>
      <c r="E88">
        <f>IF($O88="","",INDEX(Master!$E$2:$E$1001,$O88))</f>
      </c>
      <c r="F88">
        <f>IF($O88="","",INDEX(Master!$F$2:$F$1001,$O88))</f>
      </c>
      <c r="G88">
        <f>IF($O88="","",INDEX(Master!$G$2:$G$1001,$O88))</f>
      </c>
      <c r="H88">
        <f>IF($O88="","",INDEX(Master!$H$2:$H$1001,$O88))</f>
      </c>
      <c r="I88">
        <f>IF($O88="","",INDEX(Master!$I$2:$I$1001,$O88))</f>
      </c>
      <c r="J88">
        <f>IF($O88="","",INDEX(Master!$J$2:$J$1001,$O88))</f>
      </c>
      <c r="K88">
        <f t="shared" si="2"/>
      </c>
      <c r="L88">
        <f>IF($O88="","",INDEX(Master!$K$2:$K$1001,$O88))</f>
      </c>
      <c r="M88">
        <f>IF($O88="","",INDEX(Master!$L$2:$L$1001,$O88))</f>
      </c>
      <c r="O88">
        <f t="array" ref="O88">IFERROR(SMALL(IF(Master!$A$2:$A$1001="AKASH SALES",ROW(Master!$A$2:$A$1001)-ROW(Master!$A$2)+1),84),"")</f>
      </c>
      <c r="P88">
        <f t="shared" si="3"/>
      </c>
    </row>
    <row r="89" spans="1:16" x14ac:dyDescent="0.25">
      <c r="A89">
        <f>IF($O89="","",INDEX(Master!$D$2:$D$1001,$O89))</f>
      </c>
      <c r="B89" s="166">
        <f>IF($O89="","",INDEX(Master!$B$2:$B$1001,$O89))</f>
      </c>
      <c r="C89">
        <f>IF($O89="","",INDEX(Master!$C$2:$C$1001,$O89))</f>
      </c>
      <c r="D89">
        <f>IF($O89="","",INDEX(Master!$A$2:$A$1001,$O89))</f>
      </c>
      <c r="E89">
        <f>IF($O89="","",INDEX(Master!$E$2:$E$1001,$O89))</f>
      </c>
      <c r="F89">
        <f>IF($O89="","",INDEX(Master!$F$2:$F$1001,$O89))</f>
      </c>
      <c r="G89">
        <f>IF($O89="","",INDEX(Master!$G$2:$G$1001,$O89))</f>
      </c>
      <c r="H89">
        <f>IF($O89="","",INDEX(Master!$H$2:$H$1001,$O89))</f>
      </c>
      <c r="I89">
        <f>IF($O89="","",INDEX(Master!$I$2:$I$1001,$O89))</f>
      </c>
      <c r="J89">
        <f>IF($O89="","",INDEX(Master!$J$2:$J$1001,$O89))</f>
      </c>
      <c r="K89">
        <f t="shared" si="2"/>
      </c>
      <c r="L89">
        <f>IF($O89="","",INDEX(Master!$K$2:$K$1001,$O89))</f>
      </c>
      <c r="M89">
        <f>IF($O89="","",INDEX(Master!$L$2:$L$1001,$O89))</f>
      </c>
      <c r="O89">
        <f t="array" ref="O89">IFERROR(SMALL(IF(Master!$A$2:$A$1001="AKASH SALES",ROW(Master!$A$2:$A$1001)-ROW(Master!$A$2)+1),85),"")</f>
      </c>
      <c r="P89">
        <f t="shared" si="3"/>
      </c>
    </row>
    <row r="90" spans="1:16" x14ac:dyDescent="0.25">
      <c r="A90">
        <f>IF($O90="","",INDEX(Master!$D$2:$D$1001,$O90))</f>
      </c>
      <c r="B90" s="166">
        <f>IF($O90="","",INDEX(Master!$B$2:$B$1001,$O90))</f>
      </c>
      <c r="C90">
        <f>IF($O90="","",INDEX(Master!$C$2:$C$1001,$O90))</f>
      </c>
      <c r="D90">
        <f>IF($O90="","",INDEX(Master!$A$2:$A$1001,$O90))</f>
      </c>
      <c r="E90">
        <f>IF($O90="","",INDEX(Master!$E$2:$E$1001,$O90))</f>
      </c>
      <c r="F90">
        <f>IF($O90="","",INDEX(Master!$F$2:$F$1001,$O90))</f>
      </c>
      <c r="G90">
        <f>IF($O90="","",INDEX(Master!$G$2:$G$1001,$O90))</f>
      </c>
      <c r="H90">
        <f>IF($O90="","",INDEX(Master!$H$2:$H$1001,$O90))</f>
      </c>
      <c r="I90">
        <f>IF($O90="","",INDEX(Master!$I$2:$I$1001,$O90))</f>
      </c>
      <c r="J90">
        <f>IF($O90="","",INDEX(Master!$J$2:$J$1001,$O90))</f>
      </c>
      <c r="K90">
        <f t="shared" si="2"/>
      </c>
      <c r="L90">
        <f>IF($O90="","",INDEX(Master!$K$2:$K$1001,$O90))</f>
      </c>
      <c r="M90">
        <f>IF($O90="","",INDEX(Master!$L$2:$L$1001,$O90))</f>
      </c>
      <c r="O90">
        <f t="array" ref="O90">IFERROR(SMALL(IF(Master!$A$2:$A$1001="AKASH SALES",ROW(Master!$A$2:$A$1001)-ROW(Master!$A$2)+1),86),"")</f>
      </c>
      <c r="P90">
        <f t="shared" si="3"/>
      </c>
    </row>
    <row r="91" spans="1:16" x14ac:dyDescent="0.25">
      <c r="A91">
        <f>IF($O91="","",INDEX(Master!$D$2:$D$1001,$O91))</f>
      </c>
      <c r="B91" s="166">
        <f>IF($O91="","",INDEX(Master!$B$2:$B$1001,$O91))</f>
      </c>
      <c r="C91">
        <f>IF($O91="","",INDEX(Master!$C$2:$C$1001,$O91))</f>
      </c>
      <c r="D91">
        <f>IF($O91="","",INDEX(Master!$A$2:$A$1001,$O91))</f>
      </c>
      <c r="E91">
        <f>IF($O91="","",INDEX(Master!$E$2:$E$1001,$O91))</f>
      </c>
      <c r="F91">
        <f>IF($O91="","",INDEX(Master!$F$2:$F$1001,$O91))</f>
      </c>
      <c r="G91">
        <f>IF($O91="","",INDEX(Master!$G$2:$G$1001,$O91))</f>
      </c>
      <c r="H91">
        <f>IF($O91="","",INDEX(Master!$H$2:$H$1001,$O91))</f>
      </c>
      <c r="I91">
        <f>IF($O91="","",INDEX(Master!$I$2:$I$1001,$O91))</f>
      </c>
      <c r="J91">
        <f>IF($O91="","",INDEX(Master!$J$2:$J$1001,$O91))</f>
      </c>
      <c r="K91">
        <f t="shared" si="2"/>
      </c>
      <c r="L91">
        <f>IF($O91="","",INDEX(Master!$K$2:$K$1001,$O91))</f>
      </c>
      <c r="M91">
        <f>IF($O91="","",INDEX(Master!$L$2:$L$1001,$O91))</f>
      </c>
      <c r="O91">
        <f t="array" ref="O91">IFERROR(SMALL(IF(Master!$A$2:$A$1001="AKASH SALES",ROW(Master!$A$2:$A$1001)-ROW(Master!$A$2)+1),87),"")</f>
      </c>
      <c r="P91">
        <f t="shared" si="3"/>
      </c>
    </row>
    <row r="92" spans="1:16" x14ac:dyDescent="0.25">
      <c r="A92">
        <f>IF($O92="","",INDEX(Master!$D$2:$D$1001,$O92))</f>
      </c>
      <c r="B92" s="166">
        <f>IF($O92="","",INDEX(Master!$B$2:$B$1001,$O92))</f>
      </c>
      <c r="C92">
        <f>IF($O92="","",INDEX(Master!$C$2:$C$1001,$O92))</f>
      </c>
      <c r="D92">
        <f>IF($O92="","",INDEX(Master!$A$2:$A$1001,$O92))</f>
      </c>
      <c r="E92">
        <f>IF($O92="","",INDEX(Master!$E$2:$E$1001,$O92))</f>
      </c>
      <c r="F92">
        <f>IF($O92="","",INDEX(Master!$F$2:$F$1001,$O92))</f>
      </c>
      <c r="G92">
        <f>IF($O92="","",INDEX(Master!$G$2:$G$1001,$O92))</f>
      </c>
      <c r="H92">
        <f>IF($O92="","",INDEX(Master!$H$2:$H$1001,$O92))</f>
      </c>
      <c r="I92">
        <f>IF($O92="","",INDEX(Master!$I$2:$I$1001,$O92))</f>
      </c>
      <c r="J92">
        <f>IF($O92="","",INDEX(Master!$J$2:$J$1001,$O92))</f>
      </c>
      <c r="K92">
        <f t="shared" si="2"/>
      </c>
      <c r="L92">
        <f>IF($O92="","",INDEX(Master!$K$2:$K$1001,$O92))</f>
      </c>
      <c r="M92">
        <f>IF($O92="","",INDEX(Master!$L$2:$L$1001,$O92))</f>
      </c>
      <c r="O92">
        <f t="array" ref="O92">IFERROR(SMALL(IF(Master!$A$2:$A$1001="AKASH SALES",ROW(Master!$A$2:$A$1001)-ROW(Master!$A$2)+1),88),"")</f>
      </c>
      <c r="P92">
        <f t="shared" si="3"/>
      </c>
    </row>
    <row r="93" spans="1:16" x14ac:dyDescent="0.25">
      <c r="A93">
        <f>IF($O93="","",INDEX(Master!$D$2:$D$1001,$O93))</f>
      </c>
      <c r="B93" s="166">
        <f>IF($O93="","",INDEX(Master!$B$2:$B$1001,$O93))</f>
      </c>
      <c r="C93">
        <f>IF($O93="","",INDEX(Master!$C$2:$C$1001,$O93))</f>
      </c>
      <c r="D93">
        <f>IF($O93="","",INDEX(Master!$A$2:$A$1001,$O93))</f>
      </c>
      <c r="E93">
        <f>IF($O93="","",INDEX(Master!$E$2:$E$1001,$O93))</f>
      </c>
      <c r="F93">
        <f>IF($O93="","",INDEX(Master!$F$2:$F$1001,$O93))</f>
      </c>
      <c r="G93">
        <f>IF($O93="","",INDEX(Master!$G$2:$G$1001,$O93))</f>
      </c>
      <c r="H93">
        <f>IF($O93="","",INDEX(Master!$H$2:$H$1001,$O93))</f>
      </c>
      <c r="I93">
        <f>IF($O93="","",INDEX(Master!$I$2:$I$1001,$O93))</f>
      </c>
      <c r="J93">
        <f>IF($O93="","",INDEX(Master!$J$2:$J$1001,$O93))</f>
      </c>
      <c r="K93">
        <f t="shared" si="2"/>
      </c>
      <c r="L93">
        <f>IF($O93="","",INDEX(Master!$K$2:$K$1001,$O93))</f>
      </c>
      <c r="M93">
        <f>IF($O93="","",INDEX(Master!$L$2:$L$1001,$O93))</f>
      </c>
      <c r="O93">
        <f t="array" ref="O93">IFERROR(SMALL(IF(Master!$A$2:$A$1001="AKASH SALES",ROW(Master!$A$2:$A$1001)-ROW(Master!$A$2)+1),89),"")</f>
      </c>
      <c r="P93">
        <f t="shared" si="3"/>
      </c>
    </row>
    <row r="94" spans="1:16" x14ac:dyDescent="0.25">
      <c r="A94">
        <f>IF($O94="","",INDEX(Master!$D$2:$D$1001,$O94))</f>
      </c>
      <c r="B94" s="166">
        <f>IF($O94="","",INDEX(Master!$B$2:$B$1001,$O94))</f>
      </c>
      <c r="C94">
        <f>IF($O94="","",INDEX(Master!$C$2:$C$1001,$O94))</f>
      </c>
      <c r="D94">
        <f>IF($O94="","",INDEX(Master!$A$2:$A$1001,$O94))</f>
      </c>
      <c r="E94">
        <f>IF($O94="","",INDEX(Master!$E$2:$E$1001,$O94))</f>
      </c>
      <c r="F94">
        <f>IF($O94="","",INDEX(Master!$F$2:$F$1001,$O94))</f>
      </c>
      <c r="G94">
        <f>IF($O94="","",INDEX(Master!$G$2:$G$1001,$O94))</f>
      </c>
      <c r="H94">
        <f>IF($O94="","",INDEX(Master!$H$2:$H$1001,$O94))</f>
      </c>
      <c r="I94">
        <f>IF($O94="","",INDEX(Master!$I$2:$I$1001,$O94))</f>
      </c>
      <c r="J94">
        <f>IF($O94="","",INDEX(Master!$J$2:$J$1001,$O94))</f>
      </c>
      <c r="K94">
        <f t="shared" si="2"/>
      </c>
      <c r="L94">
        <f>IF($O94="","",INDEX(Master!$K$2:$K$1001,$O94))</f>
      </c>
      <c r="M94">
        <f>IF($O94="","",INDEX(Master!$L$2:$L$1001,$O94))</f>
      </c>
      <c r="O94">
        <f t="array" ref="O94">IFERROR(SMALL(IF(Master!$A$2:$A$1001="AKASH SALES",ROW(Master!$A$2:$A$1001)-ROW(Master!$A$2)+1),90),"")</f>
      </c>
      <c r="P94">
        <f t="shared" si="3"/>
      </c>
    </row>
    <row r="95" spans="1:16" x14ac:dyDescent="0.25">
      <c r="A95">
        <f>IF($O95="","",INDEX(Master!$D$2:$D$1001,$O95))</f>
      </c>
      <c r="B95" s="166">
        <f>IF($O95="","",INDEX(Master!$B$2:$B$1001,$O95))</f>
      </c>
      <c r="C95">
        <f>IF($O95="","",INDEX(Master!$C$2:$C$1001,$O95))</f>
      </c>
      <c r="D95">
        <f>IF($O95="","",INDEX(Master!$A$2:$A$1001,$O95))</f>
      </c>
      <c r="E95">
        <f>IF($O95="","",INDEX(Master!$E$2:$E$1001,$O95))</f>
      </c>
      <c r="F95">
        <f>IF($O95="","",INDEX(Master!$F$2:$F$1001,$O95))</f>
      </c>
      <c r="G95">
        <f>IF($O95="","",INDEX(Master!$G$2:$G$1001,$O95))</f>
      </c>
      <c r="H95">
        <f>IF($O95="","",INDEX(Master!$H$2:$H$1001,$O95))</f>
      </c>
      <c r="I95">
        <f>IF($O95="","",INDEX(Master!$I$2:$I$1001,$O95))</f>
      </c>
      <c r="J95">
        <f>IF($O95="","",INDEX(Master!$J$2:$J$1001,$O95))</f>
      </c>
      <c r="K95">
        <f t="shared" si="2"/>
      </c>
      <c r="L95">
        <f>IF($O95="","",INDEX(Master!$K$2:$K$1001,$O95))</f>
      </c>
      <c r="M95">
        <f>IF($O95="","",INDEX(Master!$L$2:$L$1001,$O95))</f>
      </c>
      <c r="O95">
        <f t="array" ref="O95">IFERROR(SMALL(IF(Master!$A$2:$A$1001="AKASH SALES",ROW(Master!$A$2:$A$1001)-ROW(Master!$A$2)+1),91),"")</f>
      </c>
      <c r="P95">
        <f t="shared" si="3"/>
      </c>
    </row>
    <row r="96" spans="1:16" x14ac:dyDescent="0.25">
      <c r="A96">
        <f>IF($O96="","",INDEX(Master!$D$2:$D$1001,$O96))</f>
      </c>
      <c r="B96" s="166">
        <f>IF($O96="","",INDEX(Master!$B$2:$B$1001,$O96))</f>
      </c>
      <c r="C96">
        <f>IF($O96="","",INDEX(Master!$C$2:$C$1001,$O96))</f>
      </c>
      <c r="D96">
        <f>IF($O96="","",INDEX(Master!$A$2:$A$1001,$O96))</f>
      </c>
      <c r="E96">
        <f>IF($O96="","",INDEX(Master!$E$2:$E$1001,$O96))</f>
      </c>
      <c r="F96">
        <f>IF($O96="","",INDEX(Master!$F$2:$F$1001,$O96))</f>
      </c>
      <c r="G96">
        <f>IF($O96="","",INDEX(Master!$G$2:$G$1001,$O96))</f>
      </c>
      <c r="H96">
        <f>IF($O96="","",INDEX(Master!$H$2:$H$1001,$O96))</f>
      </c>
      <c r="I96">
        <f>IF($O96="","",INDEX(Master!$I$2:$I$1001,$O96))</f>
      </c>
      <c r="J96">
        <f>IF($O96="","",INDEX(Master!$J$2:$J$1001,$O96))</f>
      </c>
      <c r="K96">
        <f t="shared" si="2"/>
      </c>
      <c r="L96">
        <f>IF($O96="","",INDEX(Master!$K$2:$K$1001,$O96))</f>
      </c>
      <c r="M96">
        <f>IF($O96="","",INDEX(Master!$L$2:$L$1001,$O96))</f>
      </c>
      <c r="O96">
        <f t="array" ref="O96">IFERROR(SMALL(IF(Master!$A$2:$A$1001="AKASH SALES",ROW(Master!$A$2:$A$1001)-ROW(Master!$A$2)+1),92),"")</f>
      </c>
      <c r="P96">
        <f t="shared" si="3"/>
      </c>
    </row>
    <row r="97" spans="1:16" x14ac:dyDescent="0.25">
      <c r="A97">
        <f>IF($O97="","",INDEX(Master!$D$2:$D$1001,$O97))</f>
      </c>
      <c r="B97" s="166">
        <f>IF($O97="","",INDEX(Master!$B$2:$B$1001,$O97))</f>
      </c>
      <c r="C97">
        <f>IF($O97="","",INDEX(Master!$C$2:$C$1001,$O97))</f>
      </c>
      <c r="D97">
        <f>IF($O97="","",INDEX(Master!$A$2:$A$1001,$O97))</f>
      </c>
      <c r="E97">
        <f>IF($O97="","",INDEX(Master!$E$2:$E$1001,$O97))</f>
      </c>
      <c r="F97">
        <f>IF($O97="","",INDEX(Master!$F$2:$F$1001,$O97))</f>
      </c>
      <c r="G97">
        <f>IF($O97="","",INDEX(Master!$G$2:$G$1001,$O97))</f>
      </c>
      <c r="H97">
        <f>IF($O97="","",INDEX(Master!$H$2:$H$1001,$O97))</f>
      </c>
      <c r="I97">
        <f>IF($O97="","",INDEX(Master!$I$2:$I$1001,$O97))</f>
      </c>
      <c r="J97">
        <f>IF($O97="","",INDEX(Master!$J$2:$J$1001,$O97))</f>
      </c>
      <c r="K97">
        <f t="shared" si="2"/>
      </c>
      <c r="L97">
        <f>IF($O97="","",INDEX(Master!$K$2:$K$1001,$O97))</f>
      </c>
      <c r="M97">
        <f>IF($O97="","",INDEX(Master!$L$2:$L$1001,$O97))</f>
      </c>
      <c r="O97">
        <f t="array" ref="O97">IFERROR(SMALL(IF(Master!$A$2:$A$1001="AKASH SALES",ROW(Master!$A$2:$A$1001)-ROW(Master!$A$2)+1),93),"")</f>
      </c>
      <c r="P97">
        <f t="shared" si="3"/>
      </c>
    </row>
    <row r="98" spans="1:16" x14ac:dyDescent="0.25">
      <c r="A98">
        <f>IF($O98="","",INDEX(Master!$D$2:$D$1001,$O98))</f>
      </c>
      <c r="B98" s="166">
        <f>IF($O98="","",INDEX(Master!$B$2:$B$1001,$O98))</f>
      </c>
      <c r="C98">
        <f>IF($O98="","",INDEX(Master!$C$2:$C$1001,$O98))</f>
      </c>
      <c r="D98">
        <f>IF($O98="","",INDEX(Master!$A$2:$A$1001,$O98))</f>
      </c>
      <c r="E98">
        <f>IF($O98="","",INDEX(Master!$E$2:$E$1001,$O98))</f>
      </c>
      <c r="F98">
        <f>IF($O98="","",INDEX(Master!$F$2:$F$1001,$O98))</f>
      </c>
      <c r="G98">
        <f>IF($O98="","",INDEX(Master!$G$2:$G$1001,$O98))</f>
      </c>
      <c r="H98">
        <f>IF($O98="","",INDEX(Master!$H$2:$H$1001,$O98))</f>
      </c>
      <c r="I98">
        <f>IF($O98="","",INDEX(Master!$I$2:$I$1001,$O98))</f>
      </c>
      <c r="J98">
        <f>IF($O98="","",INDEX(Master!$J$2:$J$1001,$O98))</f>
      </c>
      <c r="K98">
        <f t="shared" si="2"/>
      </c>
      <c r="L98">
        <f>IF($O98="","",INDEX(Master!$K$2:$K$1001,$O98))</f>
      </c>
      <c r="M98">
        <f>IF($O98="","",INDEX(Master!$L$2:$L$1001,$O98))</f>
      </c>
      <c r="O98">
        <f t="array" ref="O98">IFERROR(SMALL(IF(Master!$A$2:$A$1001="AKASH SALES",ROW(Master!$A$2:$A$1001)-ROW(Master!$A$2)+1),94),"")</f>
      </c>
      <c r="P98">
        <f t="shared" si="3"/>
      </c>
    </row>
    <row r="99" spans="1:16" x14ac:dyDescent="0.25">
      <c r="A99">
        <f>IF($O99="","",INDEX(Master!$D$2:$D$1001,$O99))</f>
      </c>
      <c r="B99" s="166">
        <f>IF($O99="","",INDEX(Master!$B$2:$B$1001,$O99))</f>
      </c>
      <c r="C99">
        <f>IF($O99="","",INDEX(Master!$C$2:$C$1001,$O99))</f>
      </c>
      <c r="D99">
        <f>IF($O99="","",INDEX(Master!$A$2:$A$1001,$O99))</f>
      </c>
      <c r="E99">
        <f>IF($O99="","",INDEX(Master!$E$2:$E$1001,$O99))</f>
      </c>
      <c r="F99">
        <f>IF($O99="","",INDEX(Master!$F$2:$F$1001,$O99))</f>
      </c>
      <c r="G99">
        <f>IF($O99="","",INDEX(Master!$G$2:$G$1001,$O99))</f>
      </c>
      <c r="H99">
        <f>IF($O99="","",INDEX(Master!$H$2:$H$1001,$O99))</f>
      </c>
      <c r="I99">
        <f>IF($O99="","",INDEX(Master!$I$2:$I$1001,$O99))</f>
      </c>
      <c r="J99">
        <f>IF($O99="","",INDEX(Master!$J$2:$J$1001,$O99))</f>
      </c>
      <c r="K99">
        <f t="shared" si="2"/>
      </c>
      <c r="L99">
        <f>IF($O99="","",INDEX(Master!$K$2:$K$1001,$O99))</f>
      </c>
      <c r="M99">
        <f>IF($O99="","",INDEX(Master!$L$2:$L$1001,$O99))</f>
      </c>
      <c r="O99">
        <f t="array" ref="O99">IFERROR(SMALL(IF(Master!$A$2:$A$1001="AKASH SALES",ROW(Master!$A$2:$A$1001)-ROW(Master!$A$2)+1),95),"")</f>
      </c>
      <c r="P99">
        <f t="shared" si="3"/>
      </c>
    </row>
    <row r="100" spans="1:16" x14ac:dyDescent="0.25">
      <c r="A100">
        <f>IF($O100="","",INDEX(Master!$D$2:$D$1001,$O100))</f>
      </c>
      <c r="B100" s="166">
        <f>IF($O100="","",INDEX(Master!$B$2:$B$1001,$O100))</f>
      </c>
      <c r="C100">
        <f>IF($O100="","",INDEX(Master!$C$2:$C$1001,$O100))</f>
      </c>
      <c r="D100">
        <f>IF($O100="","",INDEX(Master!$A$2:$A$1001,$O100))</f>
      </c>
      <c r="E100">
        <f>IF($O100="","",INDEX(Master!$E$2:$E$1001,$O100))</f>
      </c>
      <c r="F100">
        <f>IF($O100="","",INDEX(Master!$F$2:$F$1001,$O100))</f>
      </c>
      <c r="G100">
        <f>IF($O100="","",INDEX(Master!$G$2:$G$1001,$O100))</f>
      </c>
      <c r="H100">
        <f>IF($O100="","",INDEX(Master!$H$2:$H$1001,$O100))</f>
      </c>
      <c r="I100">
        <f>IF($O100="","",INDEX(Master!$I$2:$I$1001,$O100))</f>
      </c>
      <c r="J100">
        <f>IF($O100="","",INDEX(Master!$J$2:$J$1001,$O100))</f>
      </c>
      <c r="K100">
        <f t="shared" si="2"/>
      </c>
      <c r="L100">
        <f>IF($O100="","",INDEX(Master!$K$2:$K$1001,$O100))</f>
      </c>
      <c r="M100">
        <f>IF($O100="","",INDEX(Master!$L$2:$L$1001,$O100))</f>
      </c>
      <c r="O100">
        <f t="array" ref="O100">IFERROR(SMALL(IF(Master!$A$2:$A$1001="AKASH SALES",ROW(Master!$A$2:$A$1001)-ROW(Master!$A$2)+1),96),"")</f>
      </c>
      <c r="P100">
        <f t="shared" si="3"/>
      </c>
    </row>
    <row r="101" spans="1:16" x14ac:dyDescent="0.25">
      <c r="A101">
        <f>IF($O101="","",INDEX(Master!$D$2:$D$1001,$O101))</f>
      </c>
      <c r="B101" s="166">
        <f>IF($O101="","",INDEX(Master!$B$2:$B$1001,$O101))</f>
      </c>
      <c r="C101">
        <f>IF($O101="","",INDEX(Master!$C$2:$C$1001,$O101))</f>
      </c>
      <c r="D101">
        <f>IF($O101="","",INDEX(Master!$A$2:$A$1001,$O101))</f>
      </c>
      <c r="E101">
        <f>IF($O101="","",INDEX(Master!$E$2:$E$1001,$O101))</f>
      </c>
      <c r="F101">
        <f>IF($O101="","",INDEX(Master!$F$2:$F$1001,$O101))</f>
      </c>
      <c r="G101">
        <f>IF($O101="","",INDEX(Master!$G$2:$G$1001,$O101))</f>
      </c>
      <c r="H101">
        <f>IF($O101="","",INDEX(Master!$H$2:$H$1001,$O101))</f>
      </c>
      <c r="I101">
        <f>IF($O101="","",INDEX(Master!$I$2:$I$1001,$O101))</f>
      </c>
      <c r="J101">
        <f>IF($O101="","",INDEX(Master!$J$2:$J$1001,$O101))</f>
      </c>
      <c r="K101">
        <f t="shared" si="2"/>
      </c>
      <c r="L101">
        <f>IF($O101="","",INDEX(Master!$K$2:$K$1001,$O101))</f>
      </c>
      <c r="M101">
        <f>IF($O101="","",INDEX(Master!$L$2:$L$1001,$O101))</f>
      </c>
      <c r="O101">
        <f t="array" ref="O101">IFERROR(SMALL(IF(Master!$A$2:$A$1001="AKASH SALES",ROW(Master!$A$2:$A$1001)-ROW(Master!$A$2)+1),97),"")</f>
      </c>
      <c r="P101">
        <f t="shared" si="3"/>
      </c>
    </row>
    <row r="102" spans="1:16" x14ac:dyDescent="0.25">
      <c r="A102">
        <f>IF($O102="","",INDEX(Master!$D$2:$D$1001,$O102))</f>
      </c>
      <c r="B102" s="166">
        <f>IF($O102="","",INDEX(Master!$B$2:$B$1001,$O102))</f>
      </c>
      <c r="C102">
        <f>IF($O102="","",INDEX(Master!$C$2:$C$1001,$O102))</f>
      </c>
      <c r="D102">
        <f>IF($O102="","",INDEX(Master!$A$2:$A$1001,$O102))</f>
      </c>
      <c r="E102">
        <f>IF($O102="","",INDEX(Master!$E$2:$E$1001,$O102))</f>
      </c>
      <c r="F102">
        <f>IF($O102="","",INDEX(Master!$F$2:$F$1001,$O102))</f>
      </c>
      <c r="G102">
        <f>IF($O102="","",INDEX(Master!$G$2:$G$1001,$O102))</f>
      </c>
      <c r="H102">
        <f>IF($O102="","",INDEX(Master!$H$2:$H$1001,$O102))</f>
      </c>
      <c r="I102">
        <f>IF($O102="","",INDEX(Master!$I$2:$I$1001,$O102))</f>
      </c>
      <c r="J102">
        <f>IF($O102="","",INDEX(Master!$J$2:$J$1001,$O102))</f>
      </c>
      <c r="K102">
        <f t="shared" si="2"/>
      </c>
      <c r="L102">
        <f>IF($O102="","",INDEX(Master!$K$2:$K$1001,$O102))</f>
      </c>
      <c r="M102">
        <f>IF($O102="","",INDEX(Master!$L$2:$L$1001,$O102))</f>
      </c>
      <c r="O102">
        <f t="array" ref="O102">IFERROR(SMALL(IF(Master!$A$2:$A$1001="AKASH SALES",ROW(Master!$A$2:$A$1001)-ROW(Master!$A$2)+1),98),"")</f>
      </c>
      <c r="P102">
        <f t="shared" si="3"/>
      </c>
    </row>
    <row r="103" spans="1:16" x14ac:dyDescent="0.25">
      <c r="A103">
        <f>IF($O103="","",INDEX(Master!$D$2:$D$1001,$O103))</f>
      </c>
      <c r="B103" s="166">
        <f>IF($O103="","",INDEX(Master!$B$2:$B$1001,$O103))</f>
      </c>
      <c r="C103">
        <f>IF($O103="","",INDEX(Master!$C$2:$C$1001,$O103))</f>
      </c>
      <c r="D103">
        <f>IF($O103="","",INDEX(Master!$A$2:$A$1001,$O103))</f>
      </c>
      <c r="E103">
        <f>IF($O103="","",INDEX(Master!$E$2:$E$1001,$O103))</f>
      </c>
      <c r="F103">
        <f>IF($O103="","",INDEX(Master!$F$2:$F$1001,$O103))</f>
      </c>
      <c r="G103">
        <f>IF($O103="","",INDEX(Master!$G$2:$G$1001,$O103))</f>
      </c>
      <c r="H103">
        <f>IF($O103="","",INDEX(Master!$H$2:$H$1001,$O103))</f>
      </c>
      <c r="I103">
        <f>IF($O103="","",INDEX(Master!$I$2:$I$1001,$O103))</f>
      </c>
      <c r="J103">
        <f>IF($O103="","",INDEX(Master!$J$2:$J$1001,$O103))</f>
      </c>
      <c r="K103">
        <f t="shared" si="2"/>
      </c>
      <c r="L103">
        <f>IF($O103="","",INDEX(Master!$K$2:$K$1001,$O103))</f>
      </c>
      <c r="M103">
        <f>IF($O103="","",INDEX(Master!$L$2:$L$1001,$O103))</f>
      </c>
      <c r="O103">
        <f t="array" ref="O103">IFERROR(SMALL(IF(Master!$A$2:$A$1001="AKASH SALES",ROW(Master!$A$2:$A$1001)-ROW(Master!$A$2)+1),99),"")</f>
      </c>
      <c r="P103">
        <f t="shared" si="3"/>
      </c>
    </row>
    <row r="104" spans="1:16" x14ac:dyDescent="0.25">
      <c r="A104">
        <f>IF($O104="","",INDEX(Master!$D$2:$D$1001,$O104))</f>
      </c>
      <c r="B104" s="166">
        <f>IF($O104="","",INDEX(Master!$B$2:$B$1001,$O104))</f>
      </c>
      <c r="C104">
        <f>IF($O104="","",INDEX(Master!$C$2:$C$1001,$O104))</f>
      </c>
      <c r="D104">
        <f>IF($O104="","",INDEX(Master!$A$2:$A$1001,$O104))</f>
      </c>
      <c r="E104">
        <f>IF($O104="","",INDEX(Master!$E$2:$E$1001,$O104))</f>
      </c>
      <c r="F104">
        <f>IF($O104="","",INDEX(Master!$F$2:$F$1001,$O104))</f>
      </c>
      <c r="G104">
        <f>IF($O104="","",INDEX(Master!$G$2:$G$1001,$O104))</f>
      </c>
      <c r="H104">
        <f>IF($O104="","",INDEX(Master!$H$2:$H$1001,$O104))</f>
      </c>
      <c r="I104">
        <f>IF($O104="","",INDEX(Master!$I$2:$I$1001,$O104))</f>
      </c>
      <c r="J104">
        <f>IF($O104="","",INDEX(Master!$J$2:$J$1001,$O104))</f>
      </c>
      <c r="K104">
        <f t="shared" si="2"/>
      </c>
      <c r="L104">
        <f>IF($O104="","",INDEX(Master!$K$2:$K$1001,$O104))</f>
      </c>
      <c r="M104">
        <f>IF($O104="","",INDEX(Master!$L$2:$L$1001,$O104))</f>
      </c>
      <c r="O104">
        <f t="array" ref="O104">IFERROR(SMALL(IF(Master!$A$2:$A$1001="AKASH SALES",ROW(Master!$A$2:$A$1001)-ROW(Master!$A$2)+1),100),"")</f>
      </c>
      <c r="P104">
        <f t="shared" si="3"/>
      </c>
    </row>
    <row r="105" spans="1:16" x14ac:dyDescent="0.25">
      <c r="A105">
        <f>IF($O105="","",INDEX(Master!$D$2:$D$1001,$O105))</f>
      </c>
      <c r="B105" s="166">
        <f>IF($O105="","",INDEX(Master!$B$2:$B$1001,$O105))</f>
      </c>
      <c r="C105">
        <f>IF($O105="","",INDEX(Master!$C$2:$C$1001,$O105))</f>
      </c>
      <c r="D105">
        <f>IF($O105="","",INDEX(Master!$A$2:$A$1001,$O105))</f>
      </c>
      <c r="E105">
        <f>IF($O105="","",INDEX(Master!$E$2:$E$1001,$O105))</f>
      </c>
      <c r="F105">
        <f>IF($O105="","",INDEX(Master!$F$2:$F$1001,$O105))</f>
      </c>
      <c r="G105">
        <f>IF($O105="","",INDEX(Master!$G$2:$G$1001,$O105))</f>
      </c>
      <c r="H105">
        <f>IF($O105="","",INDEX(Master!$H$2:$H$1001,$O105))</f>
      </c>
      <c r="I105">
        <f>IF($O105="","",INDEX(Master!$I$2:$I$1001,$O105))</f>
      </c>
      <c r="J105">
        <f>IF($O105="","",INDEX(Master!$J$2:$J$1001,$O105))</f>
      </c>
      <c r="K105">
        <f t="shared" si="2"/>
      </c>
      <c r="L105">
        <f>IF($O105="","",INDEX(Master!$K$2:$K$1001,$O105))</f>
      </c>
      <c r="M105">
        <f>IF($O105="","",INDEX(Master!$L$2:$L$1001,$O105))</f>
      </c>
      <c r="O105">
        <f t="array" ref="O105">IFERROR(SMALL(IF(Master!$A$2:$A$1001="AKASH SALES",ROW(Master!$A$2:$A$1001)-ROW(Master!$A$2)+1),101),"")</f>
      </c>
      <c r="P105">
        <f t="shared" si="3"/>
      </c>
    </row>
    <row r="106" spans="1:16" x14ac:dyDescent="0.25">
      <c r="A106">
        <f>IF($O106="","",INDEX(Master!$D$2:$D$1001,$O106))</f>
      </c>
      <c r="B106" s="166">
        <f>IF($O106="","",INDEX(Master!$B$2:$B$1001,$O106))</f>
      </c>
      <c r="C106">
        <f>IF($O106="","",INDEX(Master!$C$2:$C$1001,$O106))</f>
      </c>
      <c r="D106">
        <f>IF($O106="","",INDEX(Master!$A$2:$A$1001,$O106))</f>
      </c>
      <c r="E106">
        <f>IF($O106="","",INDEX(Master!$E$2:$E$1001,$O106))</f>
      </c>
      <c r="F106">
        <f>IF($O106="","",INDEX(Master!$F$2:$F$1001,$O106))</f>
      </c>
      <c r="G106">
        <f>IF($O106="","",INDEX(Master!$G$2:$G$1001,$O106))</f>
      </c>
      <c r="H106">
        <f>IF($O106="","",INDEX(Master!$H$2:$H$1001,$O106))</f>
      </c>
      <c r="I106">
        <f>IF($O106="","",INDEX(Master!$I$2:$I$1001,$O106))</f>
      </c>
      <c r="J106">
        <f>IF($O106="","",INDEX(Master!$J$2:$J$1001,$O106))</f>
      </c>
      <c r="K106">
        <f t="shared" si="2"/>
      </c>
      <c r="L106">
        <f>IF($O106="","",INDEX(Master!$K$2:$K$1001,$O106))</f>
      </c>
      <c r="M106">
        <f>IF($O106="","",INDEX(Master!$L$2:$L$1001,$O106))</f>
      </c>
      <c r="O106">
        <f t="array" ref="O106">IFERROR(SMALL(IF(Master!$A$2:$A$1001="AKASH SALES",ROW(Master!$A$2:$A$1001)-ROW(Master!$A$2)+1),102),"")</f>
      </c>
      <c r="P106">
        <f t="shared" si="3"/>
      </c>
    </row>
    <row r="107" spans="1:16" x14ac:dyDescent="0.25">
      <c r="A107">
        <f>IF($O107="","",INDEX(Master!$D$2:$D$1001,$O107))</f>
      </c>
      <c r="B107" s="166">
        <f>IF($O107="","",INDEX(Master!$B$2:$B$1001,$O107))</f>
      </c>
      <c r="C107">
        <f>IF($O107="","",INDEX(Master!$C$2:$C$1001,$O107))</f>
      </c>
      <c r="D107">
        <f>IF($O107="","",INDEX(Master!$A$2:$A$1001,$O107))</f>
      </c>
      <c r="E107">
        <f>IF($O107="","",INDEX(Master!$E$2:$E$1001,$O107))</f>
      </c>
      <c r="F107">
        <f>IF($O107="","",INDEX(Master!$F$2:$F$1001,$O107))</f>
      </c>
      <c r="G107">
        <f>IF($O107="","",INDEX(Master!$G$2:$G$1001,$O107))</f>
      </c>
      <c r="H107">
        <f>IF($O107="","",INDEX(Master!$H$2:$H$1001,$O107))</f>
      </c>
      <c r="I107">
        <f>IF($O107="","",INDEX(Master!$I$2:$I$1001,$O107))</f>
      </c>
      <c r="J107">
        <f>IF($O107="","",INDEX(Master!$J$2:$J$1001,$O107))</f>
      </c>
      <c r="K107">
        <f t="shared" si="2"/>
      </c>
      <c r="L107">
        <f>IF($O107="","",INDEX(Master!$K$2:$K$1001,$O107))</f>
      </c>
      <c r="M107">
        <f>IF($O107="","",INDEX(Master!$L$2:$L$1001,$O107))</f>
      </c>
      <c r="O107">
        <f t="array" ref="O107">IFERROR(SMALL(IF(Master!$A$2:$A$1001="AKASH SALES",ROW(Master!$A$2:$A$1001)-ROW(Master!$A$2)+1),103),"")</f>
      </c>
      <c r="P107">
        <f t="shared" si="3"/>
      </c>
    </row>
    <row r="108" spans="1:16" x14ac:dyDescent="0.25">
      <c r="A108">
        <f>IF($O108="","",INDEX(Master!$D$2:$D$1001,$O108))</f>
      </c>
      <c r="B108" s="166">
        <f>IF($O108="","",INDEX(Master!$B$2:$B$1001,$O108))</f>
      </c>
      <c r="C108">
        <f>IF($O108="","",INDEX(Master!$C$2:$C$1001,$O108))</f>
      </c>
      <c r="D108">
        <f>IF($O108="","",INDEX(Master!$A$2:$A$1001,$O108))</f>
      </c>
      <c r="E108">
        <f>IF($O108="","",INDEX(Master!$E$2:$E$1001,$O108))</f>
      </c>
      <c r="F108">
        <f>IF($O108="","",INDEX(Master!$F$2:$F$1001,$O108))</f>
      </c>
      <c r="G108">
        <f>IF($O108="","",INDEX(Master!$G$2:$G$1001,$O108))</f>
      </c>
      <c r="H108">
        <f>IF($O108="","",INDEX(Master!$H$2:$H$1001,$O108))</f>
      </c>
      <c r="I108">
        <f>IF($O108="","",INDEX(Master!$I$2:$I$1001,$O108))</f>
      </c>
      <c r="J108">
        <f>IF($O108="","",INDEX(Master!$J$2:$J$1001,$O108))</f>
      </c>
      <c r="K108">
        <f t="shared" si="2"/>
      </c>
      <c r="L108">
        <f>IF($O108="","",INDEX(Master!$K$2:$K$1001,$O108))</f>
      </c>
      <c r="M108">
        <f>IF($O108="","",INDEX(Master!$L$2:$L$1001,$O108))</f>
      </c>
      <c r="O108">
        <f t="array" ref="O108">IFERROR(SMALL(IF(Master!$A$2:$A$1001="AKASH SALES",ROW(Master!$A$2:$A$1001)-ROW(Master!$A$2)+1),104),"")</f>
      </c>
      <c r="P108">
        <f t="shared" si="3"/>
      </c>
    </row>
    <row r="109" spans="1:16" x14ac:dyDescent="0.25">
      <c r="A109">
        <f>IF($O109="","",INDEX(Master!$D$2:$D$1001,$O109))</f>
      </c>
      <c r="B109" s="166">
        <f>IF($O109="","",INDEX(Master!$B$2:$B$1001,$O109))</f>
      </c>
      <c r="C109">
        <f>IF($O109="","",INDEX(Master!$C$2:$C$1001,$O109))</f>
      </c>
      <c r="D109">
        <f>IF($O109="","",INDEX(Master!$A$2:$A$1001,$O109))</f>
      </c>
      <c r="E109">
        <f>IF($O109="","",INDEX(Master!$E$2:$E$1001,$O109))</f>
      </c>
      <c r="F109">
        <f>IF($O109="","",INDEX(Master!$F$2:$F$1001,$O109))</f>
      </c>
      <c r="G109">
        <f>IF($O109="","",INDEX(Master!$G$2:$G$1001,$O109))</f>
      </c>
      <c r="H109">
        <f>IF($O109="","",INDEX(Master!$H$2:$H$1001,$O109))</f>
      </c>
      <c r="I109">
        <f>IF($O109="","",INDEX(Master!$I$2:$I$1001,$O109))</f>
      </c>
      <c r="J109">
        <f>IF($O109="","",INDEX(Master!$J$2:$J$1001,$O109))</f>
      </c>
      <c r="K109">
        <f t="shared" si="2"/>
      </c>
      <c r="L109">
        <f>IF($O109="","",INDEX(Master!$K$2:$K$1001,$O109))</f>
      </c>
      <c r="M109">
        <f>IF($O109="","",INDEX(Master!$L$2:$L$1001,$O109))</f>
      </c>
      <c r="O109">
        <f t="array" ref="O109">IFERROR(SMALL(IF(Master!$A$2:$A$1001="AKASH SALES",ROW(Master!$A$2:$A$1001)-ROW(Master!$A$2)+1),105),"")</f>
      </c>
      <c r="P109">
        <f t="shared" si="3"/>
      </c>
    </row>
    <row r="110" spans="1:16" x14ac:dyDescent="0.25">
      <c r="A110">
        <f>IF($O110="","",INDEX(Master!$D$2:$D$1001,$O110))</f>
      </c>
      <c r="B110" s="166">
        <f>IF($O110="","",INDEX(Master!$B$2:$B$1001,$O110))</f>
      </c>
      <c r="C110">
        <f>IF($O110="","",INDEX(Master!$C$2:$C$1001,$O110))</f>
      </c>
      <c r="D110">
        <f>IF($O110="","",INDEX(Master!$A$2:$A$1001,$O110))</f>
      </c>
      <c r="E110">
        <f>IF($O110="","",INDEX(Master!$E$2:$E$1001,$O110))</f>
      </c>
      <c r="F110">
        <f>IF($O110="","",INDEX(Master!$F$2:$F$1001,$O110))</f>
      </c>
      <c r="G110">
        <f>IF($O110="","",INDEX(Master!$G$2:$G$1001,$O110))</f>
      </c>
      <c r="H110">
        <f>IF($O110="","",INDEX(Master!$H$2:$H$1001,$O110))</f>
      </c>
      <c r="I110">
        <f>IF($O110="","",INDEX(Master!$I$2:$I$1001,$O110))</f>
      </c>
      <c r="J110">
        <f>IF($O110="","",INDEX(Master!$J$2:$J$1001,$O110))</f>
      </c>
      <c r="K110">
        <f t="shared" si="2"/>
      </c>
      <c r="L110">
        <f>IF($O110="","",INDEX(Master!$K$2:$K$1001,$O110))</f>
      </c>
      <c r="M110">
        <f>IF($O110="","",INDEX(Master!$L$2:$L$1001,$O110))</f>
      </c>
      <c r="O110">
        <f t="array" ref="O110">IFERROR(SMALL(IF(Master!$A$2:$A$1001="AKASH SALES",ROW(Master!$A$2:$A$1001)-ROW(Master!$A$2)+1),106),"")</f>
      </c>
      <c r="P110">
        <f t="shared" si="3"/>
      </c>
    </row>
    <row r="111" spans="1:16" x14ac:dyDescent="0.25">
      <c r="A111">
        <f>IF($O111="","",INDEX(Master!$D$2:$D$1001,$O111))</f>
      </c>
      <c r="B111" s="166">
        <f>IF($O111="","",INDEX(Master!$B$2:$B$1001,$O111))</f>
      </c>
      <c r="C111">
        <f>IF($O111="","",INDEX(Master!$C$2:$C$1001,$O111))</f>
      </c>
      <c r="D111">
        <f>IF($O111="","",INDEX(Master!$A$2:$A$1001,$O111))</f>
      </c>
      <c r="E111">
        <f>IF($O111="","",INDEX(Master!$E$2:$E$1001,$O111))</f>
      </c>
      <c r="F111">
        <f>IF($O111="","",INDEX(Master!$F$2:$F$1001,$O111))</f>
      </c>
      <c r="G111">
        <f>IF($O111="","",INDEX(Master!$G$2:$G$1001,$O111))</f>
      </c>
      <c r="H111">
        <f>IF($O111="","",INDEX(Master!$H$2:$H$1001,$O111))</f>
      </c>
      <c r="I111">
        <f>IF($O111="","",INDEX(Master!$I$2:$I$1001,$O111))</f>
      </c>
      <c r="J111">
        <f>IF($O111="","",INDEX(Master!$J$2:$J$1001,$O111))</f>
      </c>
      <c r="K111">
        <f t="shared" si="2"/>
      </c>
      <c r="L111">
        <f>IF($O111="","",INDEX(Master!$K$2:$K$1001,$O111))</f>
      </c>
      <c r="M111">
        <f>IF($O111="","",INDEX(Master!$L$2:$L$1001,$O111))</f>
      </c>
      <c r="O111">
        <f t="array" ref="O111">IFERROR(SMALL(IF(Master!$A$2:$A$1001="AKASH SALES",ROW(Master!$A$2:$A$1001)-ROW(Master!$A$2)+1),107),"")</f>
      </c>
      <c r="P111">
        <f t="shared" si="3"/>
      </c>
    </row>
    <row r="112" spans="1:16" x14ac:dyDescent="0.25">
      <c r="A112">
        <f>IF($O112="","",INDEX(Master!$D$2:$D$1001,$O112))</f>
      </c>
      <c r="B112" s="166">
        <f>IF($O112="","",INDEX(Master!$B$2:$B$1001,$O112))</f>
      </c>
      <c r="C112">
        <f>IF($O112="","",INDEX(Master!$C$2:$C$1001,$O112))</f>
      </c>
      <c r="D112">
        <f>IF($O112="","",INDEX(Master!$A$2:$A$1001,$O112))</f>
      </c>
      <c r="E112">
        <f>IF($O112="","",INDEX(Master!$E$2:$E$1001,$O112))</f>
      </c>
      <c r="F112">
        <f>IF($O112="","",INDEX(Master!$F$2:$F$1001,$O112))</f>
      </c>
      <c r="G112">
        <f>IF($O112="","",INDEX(Master!$G$2:$G$1001,$O112))</f>
      </c>
      <c r="H112">
        <f>IF($O112="","",INDEX(Master!$H$2:$H$1001,$O112))</f>
      </c>
      <c r="I112">
        <f>IF($O112="","",INDEX(Master!$I$2:$I$1001,$O112))</f>
      </c>
      <c r="J112">
        <f>IF($O112="","",INDEX(Master!$J$2:$J$1001,$O112))</f>
      </c>
      <c r="K112">
        <f t="shared" si="2"/>
      </c>
      <c r="L112">
        <f>IF($O112="","",INDEX(Master!$K$2:$K$1001,$O112))</f>
      </c>
      <c r="M112">
        <f>IF($O112="","",INDEX(Master!$L$2:$L$1001,$O112))</f>
      </c>
      <c r="O112">
        <f t="array" ref="O112">IFERROR(SMALL(IF(Master!$A$2:$A$1001="AKASH SALES",ROW(Master!$A$2:$A$1001)-ROW(Master!$A$2)+1),108),"")</f>
      </c>
      <c r="P112">
        <f t="shared" si="3"/>
      </c>
    </row>
    <row r="113" spans="1:16" x14ac:dyDescent="0.25">
      <c r="A113">
        <f>IF($O113="","",INDEX(Master!$D$2:$D$1001,$O113))</f>
      </c>
      <c r="B113" s="166">
        <f>IF($O113="","",INDEX(Master!$B$2:$B$1001,$O113))</f>
      </c>
      <c r="C113">
        <f>IF($O113="","",INDEX(Master!$C$2:$C$1001,$O113))</f>
      </c>
      <c r="D113">
        <f>IF($O113="","",INDEX(Master!$A$2:$A$1001,$O113))</f>
      </c>
      <c r="E113">
        <f>IF($O113="","",INDEX(Master!$E$2:$E$1001,$O113))</f>
      </c>
      <c r="F113">
        <f>IF($O113="","",INDEX(Master!$F$2:$F$1001,$O113))</f>
      </c>
      <c r="G113">
        <f>IF($O113="","",INDEX(Master!$G$2:$G$1001,$O113))</f>
      </c>
      <c r="H113">
        <f>IF($O113="","",INDEX(Master!$H$2:$H$1001,$O113))</f>
      </c>
      <c r="I113">
        <f>IF($O113="","",INDEX(Master!$I$2:$I$1001,$O113))</f>
      </c>
      <c r="J113">
        <f>IF($O113="","",INDEX(Master!$J$2:$J$1001,$O113))</f>
      </c>
      <c r="K113">
        <f t="shared" si="2"/>
      </c>
      <c r="L113">
        <f>IF($O113="","",INDEX(Master!$K$2:$K$1001,$O113))</f>
      </c>
      <c r="M113">
        <f>IF($O113="","",INDEX(Master!$L$2:$L$1001,$O113))</f>
      </c>
      <c r="O113">
        <f t="array" ref="O113">IFERROR(SMALL(IF(Master!$A$2:$A$1001="AKASH SALES",ROW(Master!$A$2:$A$1001)-ROW(Master!$A$2)+1),109),"")</f>
      </c>
      <c r="P113">
        <f t="shared" si="3"/>
      </c>
    </row>
    <row r="114" spans="1:16" x14ac:dyDescent="0.25">
      <c r="A114">
        <f>IF($O114="","",INDEX(Master!$D$2:$D$1001,$O114))</f>
      </c>
      <c r="B114" s="166">
        <f>IF($O114="","",INDEX(Master!$B$2:$B$1001,$O114))</f>
      </c>
      <c r="C114">
        <f>IF($O114="","",INDEX(Master!$C$2:$C$1001,$O114))</f>
      </c>
      <c r="D114">
        <f>IF($O114="","",INDEX(Master!$A$2:$A$1001,$O114))</f>
      </c>
      <c r="E114">
        <f>IF($O114="","",INDEX(Master!$E$2:$E$1001,$O114))</f>
      </c>
      <c r="F114">
        <f>IF($O114="","",INDEX(Master!$F$2:$F$1001,$O114))</f>
      </c>
      <c r="G114">
        <f>IF($O114="","",INDEX(Master!$G$2:$G$1001,$O114))</f>
      </c>
      <c r="H114">
        <f>IF($O114="","",INDEX(Master!$H$2:$H$1001,$O114))</f>
      </c>
      <c r="I114">
        <f>IF($O114="","",INDEX(Master!$I$2:$I$1001,$O114))</f>
      </c>
      <c r="J114">
        <f>IF($O114="","",INDEX(Master!$J$2:$J$1001,$O114))</f>
      </c>
      <c r="K114">
        <f t="shared" si="2"/>
      </c>
      <c r="L114">
        <f>IF($O114="","",INDEX(Master!$K$2:$K$1001,$O114))</f>
      </c>
      <c r="M114">
        <f>IF($O114="","",INDEX(Master!$L$2:$L$1001,$O114))</f>
      </c>
      <c r="O114">
        <f t="array" ref="O114">IFERROR(SMALL(IF(Master!$A$2:$A$1001="AKASH SALES",ROW(Master!$A$2:$A$1001)-ROW(Master!$A$2)+1),110),"")</f>
      </c>
      <c r="P114">
        <f t="shared" si="3"/>
      </c>
    </row>
    <row r="115" spans="1:16" x14ac:dyDescent="0.25">
      <c r="A115">
        <f>IF($O115="","",INDEX(Master!$D$2:$D$1001,$O115))</f>
      </c>
      <c r="B115" s="166">
        <f>IF($O115="","",INDEX(Master!$B$2:$B$1001,$O115))</f>
      </c>
      <c r="C115">
        <f>IF($O115="","",INDEX(Master!$C$2:$C$1001,$O115))</f>
      </c>
      <c r="D115">
        <f>IF($O115="","",INDEX(Master!$A$2:$A$1001,$O115))</f>
      </c>
      <c r="E115">
        <f>IF($O115="","",INDEX(Master!$E$2:$E$1001,$O115))</f>
      </c>
      <c r="F115">
        <f>IF($O115="","",INDEX(Master!$F$2:$F$1001,$O115))</f>
      </c>
      <c r="G115">
        <f>IF($O115="","",INDEX(Master!$G$2:$G$1001,$O115))</f>
      </c>
      <c r="H115">
        <f>IF($O115="","",INDEX(Master!$H$2:$H$1001,$O115))</f>
      </c>
      <c r="I115">
        <f>IF($O115="","",INDEX(Master!$I$2:$I$1001,$O115))</f>
      </c>
      <c r="J115">
        <f>IF($O115="","",INDEX(Master!$J$2:$J$1001,$O115))</f>
      </c>
      <c r="K115">
        <f t="shared" si="2"/>
      </c>
      <c r="L115">
        <f>IF($O115="","",INDEX(Master!$K$2:$K$1001,$O115))</f>
      </c>
      <c r="M115">
        <f>IF($O115="","",INDEX(Master!$L$2:$L$1001,$O115))</f>
      </c>
      <c r="O115">
        <f t="array" ref="O115">IFERROR(SMALL(IF(Master!$A$2:$A$1001="AKASH SALES",ROW(Master!$A$2:$A$1001)-ROW(Master!$A$2)+1),111),"")</f>
      </c>
      <c r="P115">
        <f t="shared" si="3"/>
      </c>
    </row>
    <row r="116" spans="1:16" x14ac:dyDescent="0.25">
      <c r="A116">
        <f>IF($O116="","",INDEX(Master!$D$2:$D$1001,$O116))</f>
      </c>
      <c r="B116" s="166">
        <f>IF($O116="","",INDEX(Master!$B$2:$B$1001,$O116))</f>
      </c>
      <c r="C116">
        <f>IF($O116="","",INDEX(Master!$C$2:$C$1001,$O116))</f>
      </c>
      <c r="D116">
        <f>IF($O116="","",INDEX(Master!$A$2:$A$1001,$O116))</f>
      </c>
      <c r="E116">
        <f>IF($O116="","",INDEX(Master!$E$2:$E$1001,$O116))</f>
      </c>
      <c r="F116">
        <f>IF($O116="","",INDEX(Master!$F$2:$F$1001,$O116))</f>
      </c>
      <c r="G116">
        <f>IF($O116="","",INDEX(Master!$G$2:$G$1001,$O116))</f>
      </c>
      <c r="H116">
        <f>IF($O116="","",INDEX(Master!$H$2:$H$1001,$O116))</f>
      </c>
      <c r="I116">
        <f>IF($O116="","",INDEX(Master!$I$2:$I$1001,$O116))</f>
      </c>
      <c r="J116">
        <f>IF($O116="","",INDEX(Master!$J$2:$J$1001,$O116))</f>
      </c>
      <c r="K116">
        <f t="shared" si="2"/>
      </c>
      <c r="L116">
        <f>IF($O116="","",INDEX(Master!$K$2:$K$1001,$O116))</f>
      </c>
      <c r="M116">
        <f>IF($O116="","",INDEX(Master!$L$2:$L$1001,$O116))</f>
      </c>
      <c r="O116">
        <f t="array" ref="O116">IFERROR(SMALL(IF(Master!$A$2:$A$1001="AKASH SALES",ROW(Master!$A$2:$A$1001)-ROW(Master!$A$2)+1),112),"")</f>
      </c>
      <c r="P116">
        <f t="shared" si="3"/>
      </c>
    </row>
    <row r="117" spans="1:16" x14ac:dyDescent="0.25">
      <c r="A117">
        <f>IF($O117="","",INDEX(Master!$D$2:$D$1001,$O117))</f>
      </c>
      <c r="B117" s="166">
        <f>IF($O117="","",INDEX(Master!$B$2:$B$1001,$O117))</f>
      </c>
      <c r="C117">
        <f>IF($O117="","",INDEX(Master!$C$2:$C$1001,$O117))</f>
      </c>
      <c r="D117">
        <f>IF($O117="","",INDEX(Master!$A$2:$A$1001,$O117))</f>
      </c>
      <c r="E117">
        <f>IF($O117="","",INDEX(Master!$E$2:$E$1001,$O117))</f>
      </c>
      <c r="F117">
        <f>IF($O117="","",INDEX(Master!$F$2:$F$1001,$O117))</f>
      </c>
      <c r="G117">
        <f>IF($O117="","",INDEX(Master!$G$2:$G$1001,$O117))</f>
      </c>
      <c r="H117">
        <f>IF($O117="","",INDEX(Master!$H$2:$H$1001,$O117))</f>
      </c>
      <c r="I117">
        <f>IF($O117="","",INDEX(Master!$I$2:$I$1001,$O117))</f>
      </c>
      <c r="J117">
        <f>IF($O117="","",INDEX(Master!$J$2:$J$1001,$O117))</f>
      </c>
      <c r="K117">
        <f t="shared" si="2"/>
      </c>
      <c r="L117">
        <f>IF($O117="","",INDEX(Master!$K$2:$K$1001,$O117))</f>
      </c>
      <c r="M117">
        <f>IF($O117="","",INDEX(Master!$L$2:$L$1001,$O117))</f>
      </c>
      <c r="O117">
        <f t="array" ref="O117">IFERROR(SMALL(IF(Master!$A$2:$A$1001="AKASH SALES",ROW(Master!$A$2:$A$1001)-ROW(Master!$A$2)+1),113),"")</f>
      </c>
      <c r="P117">
        <f t="shared" si="3"/>
      </c>
    </row>
    <row r="118" spans="1:16" x14ac:dyDescent="0.25">
      <c r="A118">
        <f>IF($O118="","",INDEX(Master!$D$2:$D$1001,$O118))</f>
      </c>
      <c r="B118" s="166">
        <f>IF($O118="","",INDEX(Master!$B$2:$B$1001,$O118))</f>
      </c>
      <c r="C118">
        <f>IF($O118="","",INDEX(Master!$C$2:$C$1001,$O118))</f>
      </c>
      <c r="D118">
        <f>IF($O118="","",INDEX(Master!$A$2:$A$1001,$O118))</f>
      </c>
      <c r="E118">
        <f>IF($O118="","",INDEX(Master!$E$2:$E$1001,$O118))</f>
      </c>
      <c r="F118">
        <f>IF($O118="","",INDEX(Master!$F$2:$F$1001,$O118))</f>
      </c>
      <c r="G118">
        <f>IF($O118="","",INDEX(Master!$G$2:$G$1001,$O118))</f>
      </c>
      <c r="H118">
        <f>IF($O118="","",INDEX(Master!$H$2:$H$1001,$O118))</f>
      </c>
      <c r="I118">
        <f>IF($O118="","",INDEX(Master!$I$2:$I$1001,$O118))</f>
      </c>
      <c r="J118">
        <f>IF($O118="","",INDEX(Master!$J$2:$J$1001,$O118))</f>
      </c>
      <c r="K118">
        <f t="shared" si="2"/>
      </c>
      <c r="L118">
        <f>IF($O118="","",INDEX(Master!$K$2:$K$1001,$O118))</f>
      </c>
      <c r="M118">
        <f>IF($O118="","",INDEX(Master!$L$2:$L$1001,$O118))</f>
      </c>
      <c r="O118">
        <f t="array" ref="O118">IFERROR(SMALL(IF(Master!$A$2:$A$1001="AKASH SALES",ROW(Master!$A$2:$A$1001)-ROW(Master!$A$2)+1),114),"")</f>
      </c>
      <c r="P118">
        <f t="shared" si="3"/>
      </c>
    </row>
    <row r="119" spans="1:16" x14ac:dyDescent="0.25">
      <c r="A119">
        <f>IF($O119="","",INDEX(Master!$D$2:$D$1001,$O119))</f>
      </c>
      <c r="B119" s="166">
        <f>IF($O119="","",INDEX(Master!$B$2:$B$1001,$O119))</f>
      </c>
      <c r="C119">
        <f>IF($O119="","",INDEX(Master!$C$2:$C$1001,$O119))</f>
      </c>
      <c r="D119">
        <f>IF($O119="","",INDEX(Master!$A$2:$A$1001,$O119))</f>
      </c>
      <c r="E119">
        <f>IF($O119="","",INDEX(Master!$E$2:$E$1001,$O119))</f>
      </c>
      <c r="F119">
        <f>IF($O119="","",INDEX(Master!$F$2:$F$1001,$O119))</f>
      </c>
      <c r="G119">
        <f>IF($O119="","",INDEX(Master!$G$2:$G$1001,$O119))</f>
      </c>
      <c r="H119">
        <f>IF($O119="","",INDEX(Master!$H$2:$H$1001,$O119))</f>
      </c>
      <c r="I119">
        <f>IF($O119="","",INDEX(Master!$I$2:$I$1001,$O119))</f>
      </c>
      <c r="J119">
        <f>IF($O119="","",INDEX(Master!$J$2:$J$1001,$O119))</f>
      </c>
      <c r="K119">
        <f t="shared" si="2"/>
      </c>
      <c r="L119">
        <f>IF($O119="","",INDEX(Master!$K$2:$K$1001,$O119))</f>
      </c>
      <c r="M119">
        <f>IF($O119="","",INDEX(Master!$L$2:$L$1001,$O119))</f>
      </c>
      <c r="O119">
        <f t="array" ref="O119">IFERROR(SMALL(IF(Master!$A$2:$A$1001="AKASH SALES",ROW(Master!$A$2:$A$1001)-ROW(Master!$A$2)+1),115),"")</f>
      </c>
      <c r="P119">
        <f t="shared" si="3"/>
      </c>
    </row>
    <row r="120" spans="1:16" x14ac:dyDescent="0.25">
      <c r="A120">
        <f>IF($O120="","",INDEX(Master!$D$2:$D$1001,$O120))</f>
      </c>
      <c r="B120" s="166">
        <f>IF($O120="","",INDEX(Master!$B$2:$B$1001,$O120))</f>
      </c>
      <c r="C120">
        <f>IF($O120="","",INDEX(Master!$C$2:$C$1001,$O120))</f>
      </c>
      <c r="D120">
        <f>IF($O120="","",INDEX(Master!$A$2:$A$1001,$O120))</f>
      </c>
      <c r="E120">
        <f>IF($O120="","",INDEX(Master!$E$2:$E$1001,$O120))</f>
      </c>
      <c r="F120">
        <f>IF($O120="","",INDEX(Master!$F$2:$F$1001,$O120))</f>
      </c>
      <c r="G120">
        <f>IF($O120="","",INDEX(Master!$G$2:$G$1001,$O120))</f>
      </c>
      <c r="H120">
        <f>IF($O120="","",INDEX(Master!$H$2:$H$1001,$O120))</f>
      </c>
      <c r="I120">
        <f>IF($O120="","",INDEX(Master!$I$2:$I$1001,$O120))</f>
      </c>
      <c r="J120">
        <f>IF($O120="","",INDEX(Master!$J$2:$J$1001,$O120))</f>
      </c>
      <c r="K120">
        <f t="shared" si="2"/>
      </c>
      <c r="L120">
        <f>IF($O120="","",INDEX(Master!$K$2:$K$1001,$O120))</f>
      </c>
      <c r="M120">
        <f>IF($O120="","",INDEX(Master!$L$2:$L$1001,$O120))</f>
      </c>
      <c r="O120">
        <f t="array" ref="O120">IFERROR(SMALL(IF(Master!$A$2:$A$1001="AKASH SALES",ROW(Master!$A$2:$A$1001)-ROW(Master!$A$2)+1),116),"")</f>
      </c>
      <c r="P120">
        <f t="shared" si="3"/>
      </c>
    </row>
    <row r="121" spans="1:16" x14ac:dyDescent="0.25">
      <c r="A121">
        <f>IF($O121="","",INDEX(Master!$D$2:$D$1001,$O121))</f>
      </c>
      <c r="B121" s="166">
        <f>IF($O121="","",INDEX(Master!$B$2:$B$1001,$O121))</f>
      </c>
      <c r="C121">
        <f>IF($O121="","",INDEX(Master!$C$2:$C$1001,$O121))</f>
      </c>
      <c r="D121">
        <f>IF($O121="","",INDEX(Master!$A$2:$A$1001,$O121))</f>
      </c>
      <c r="E121">
        <f>IF($O121="","",INDEX(Master!$E$2:$E$1001,$O121))</f>
      </c>
      <c r="F121">
        <f>IF($O121="","",INDEX(Master!$F$2:$F$1001,$O121))</f>
      </c>
      <c r="G121">
        <f>IF($O121="","",INDEX(Master!$G$2:$G$1001,$O121))</f>
      </c>
      <c r="H121">
        <f>IF($O121="","",INDEX(Master!$H$2:$H$1001,$O121))</f>
      </c>
      <c r="I121">
        <f>IF($O121="","",INDEX(Master!$I$2:$I$1001,$O121))</f>
      </c>
      <c r="J121">
        <f>IF($O121="","",INDEX(Master!$J$2:$J$1001,$O121))</f>
      </c>
      <c r="K121">
        <f t="shared" si="2"/>
      </c>
      <c r="L121">
        <f>IF($O121="","",INDEX(Master!$K$2:$K$1001,$O121))</f>
      </c>
      <c r="M121">
        <f>IF($O121="","",INDEX(Master!$L$2:$L$1001,$O121))</f>
      </c>
      <c r="O121">
        <f t="array" ref="O121">IFERROR(SMALL(IF(Master!$A$2:$A$1001="AKASH SALES",ROW(Master!$A$2:$A$1001)-ROW(Master!$A$2)+1),117),"")</f>
      </c>
      <c r="P121">
        <f t="shared" si="3"/>
      </c>
    </row>
    <row r="122" spans="1:16" x14ac:dyDescent="0.25">
      <c r="A122">
        <f>IF($O122="","",INDEX(Master!$D$2:$D$1001,$O122))</f>
      </c>
      <c r="B122" s="166">
        <f>IF($O122="","",INDEX(Master!$B$2:$B$1001,$O122))</f>
      </c>
      <c r="C122">
        <f>IF($O122="","",INDEX(Master!$C$2:$C$1001,$O122))</f>
      </c>
      <c r="D122">
        <f>IF($O122="","",INDEX(Master!$A$2:$A$1001,$O122))</f>
      </c>
      <c r="E122">
        <f>IF($O122="","",INDEX(Master!$E$2:$E$1001,$O122))</f>
      </c>
      <c r="F122">
        <f>IF($O122="","",INDEX(Master!$F$2:$F$1001,$O122))</f>
      </c>
      <c r="G122">
        <f>IF($O122="","",INDEX(Master!$G$2:$G$1001,$O122))</f>
      </c>
      <c r="H122">
        <f>IF($O122="","",INDEX(Master!$H$2:$H$1001,$O122))</f>
      </c>
      <c r="I122">
        <f>IF($O122="","",INDEX(Master!$I$2:$I$1001,$O122))</f>
      </c>
      <c r="J122">
        <f>IF($O122="","",INDEX(Master!$J$2:$J$1001,$O122))</f>
      </c>
      <c r="K122">
        <f t="shared" si="2"/>
      </c>
      <c r="L122">
        <f>IF($O122="","",INDEX(Master!$K$2:$K$1001,$O122))</f>
      </c>
      <c r="M122">
        <f>IF($O122="","",INDEX(Master!$L$2:$L$1001,$O122))</f>
      </c>
      <c r="O122">
        <f t="array" ref="O122">IFERROR(SMALL(IF(Master!$A$2:$A$1001="AKASH SALES",ROW(Master!$A$2:$A$1001)-ROW(Master!$A$2)+1),118),"")</f>
      </c>
      <c r="P122">
        <f t="shared" si="3"/>
      </c>
    </row>
    <row r="123" spans="1:16" x14ac:dyDescent="0.25">
      <c r="A123">
        <f>IF($O123="","",INDEX(Master!$D$2:$D$1001,$O123))</f>
      </c>
      <c r="B123" s="166">
        <f>IF($O123="","",INDEX(Master!$B$2:$B$1001,$O123))</f>
      </c>
      <c r="C123">
        <f>IF($O123="","",INDEX(Master!$C$2:$C$1001,$O123))</f>
      </c>
      <c r="D123">
        <f>IF($O123="","",INDEX(Master!$A$2:$A$1001,$O123))</f>
      </c>
      <c r="E123">
        <f>IF($O123="","",INDEX(Master!$E$2:$E$1001,$O123))</f>
      </c>
      <c r="F123">
        <f>IF($O123="","",INDEX(Master!$F$2:$F$1001,$O123))</f>
      </c>
      <c r="G123">
        <f>IF($O123="","",INDEX(Master!$G$2:$G$1001,$O123))</f>
      </c>
      <c r="H123">
        <f>IF($O123="","",INDEX(Master!$H$2:$H$1001,$O123))</f>
      </c>
      <c r="I123">
        <f>IF($O123="","",INDEX(Master!$I$2:$I$1001,$O123))</f>
      </c>
      <c r="J123">
        <f>IF($O123="","",INDEX(Master!$J$2:$J$1001,$O123))</f>
      </c>
      <c r="K123">
        <f t="shared" si="2"/>
      </c>
      <c r="L123">
        <f>IF($O123="","",INDEX(Master!$K$2:$K$1001,$O123))</f>
      </c>
      <c r="M123">
        <f>IF($O123="","",INDEX(Master!$L$2:$L$1001,$O123))</f>
      </c>
      <c r="O123">
        <f t="array" ref="O123">IFERROR(SMALL(IF(Master!$A$2:$A$1001="AKASH SALES",ROW(Master!$A$2:$A$1001)-ROW(Master!$A$2)+1),119),"")</f>
      </c>
      <c r="P123">
        <f t="shared" si="3"/>
      </c>
    </row>
    <row r="124" spans="1:16" x14ac:dyDescent="0.25">
      <c r="A124">
        <f>IF($O124="","",INDEX(Master!$D$2:$D$1001,$O124))</f>
      </c>
      <c r="B124" s="166">
        <f>IF($O124="","",INDEX(Master!$B$2:$B$1001,$O124))</f>
      </c>
      <c r="C124">
        <f>IF($O124="","",INDEX(Master!$C$2:$C$1001,$O124))</f>
      </c>
      <c r="D124">
        <f>IF($O124="","",INDEX(Master!$A$2:$A$1001,$O124))</f>
      </c>
      <c r="E124">
        <f>IF($O124="","",INDEX(Master!$E$2:$E$1001,$O124))</f>
      </c>
      <c r="F124">
        <f>IF($O124="","",INDEX(Master!$F$2:$F$1001,$O124))</f>
      </c>
      <c r="G124">
        <f>IF($O124="","",INDEX(Master!$G$2:$G$1001,$O124))</f>
      </c>
      <c r="H124">
        <f>IF($O124="","",INDEX(Master!$H$2:$H$1001,$O124))</f>
      </c>
      <c r="I124">
        <f>IF($O124="","",INDEX(Master!$I$2:$I$1001,$O124))</f>
      </c>
      <c r="J124">
        <f>IF($O124="","",INDEX(Master!$J$2:$J$1001,$O124))</f>
      </c>
      <c r="K124">
        <f t="shared" si="2"/>
      </c>
      <c r="L124">
        <f>IF($O124="","",INDEX(Master!$K$2:$K$1001,$O124))</f>
      </c>
      <c r="M124">
        <f>IF($O124="","",INDEX(Master!$L$2:$L$1001,$O124))</f>
      </c>
      <c r="O124">
        <f t="array" ref="O124">IFERROR(SMALL(IF(Master!$A$2:$A$1001="AKASH SALES",ROW(Master!$A$2:$A$1001)-ROW(Master!$A$2)+1),120),"")</f>
      </c>
      <c r="P124">
        <f t="shared" si="3"/>
      </c>
    </row>
    <row r="125" spans="1:16" x14ac:dyDescent="0.25">
      <c r="A125">
        <f>IF($O125="","",INDEX(Master!$D$2:$D$1001,$O125))</f>
      </c>
      <c r="B125" s="166">
        <f>IF($O125="","",INDEX(Master!$B$2:$B$1001,$O125))</f>
      </c>
      <c r="C125">
        <f>IF($O125="","",INDEX(Master!$C$2:$C$1001,$O125))</f>
      </c>
      <c r="D125">
        <f>IF($O125="","",INDEX(Master!$A$2:$A$1001,$O125))</f>
      </c>
      <c r="E125">
        <f>IF($O125="","",INDEX(Master!$E$2:$E$1001,$O125))</f>
      </c>
      <c r="F125">
        <f>IF($O125="","",INDEX(Master!$F$2:$F$1001,$O125))</f>
      </c>
      <c r="G125">
        <f>IF($O125="","",INDEX(Master!$G$2:$G$1001,$O125))</f>
      </c>
      <c r="H125">
        <f>IF($O125="","",INDEX(Master!$H$2:$H$1001,$O125))</f>
      </c>
      <c r="I125">
        <f>IF($O125="","",INDEX(Master!$I$2:$I$1001,$O125))</f>
      </c>
      <c r="J125">
        <f>IF($O125="","",INDEX(Master!$J$2:$J$1001,$O125))</f>
      </c>
      <c r="K125">
        <f t="shared" si="2"/>
      </c>
      <c r="L125">
        <f>IF($O125="","",INDEX(Master!$K$2:$K$1001,$O125))</f>
      </c>
      <c r="M125">
        <f>IF($O125="","",INDEX(Master!$L$2:$L$1001,$O125))</f>
      </c>
      <c r="O125">
        <f t="array" ref="O125">IFERROR(SMALL(IF(Master!$A$2:$A$1001="AKASH SALES",ROW(Master!$A$2:$A$1001)-ROW(Master!$A$2)+1),121),"")</f>
      </c>
      <c r="P125">
        <f t="shared" si="3"/>
      </c>
    </row>
    <row r="126" spans="1:16" x14ac:dyDescent="0.25">
      <c r="A126">
        <f>IF($O126="","",INDEX(Master!$D$2:$D$1001,$O126))</f>
      </c>
      <c r="B126" s="166">
        <f>IF($O126="","",INDEX(Master!$B$2:$B$1001,$O126))</f>
      </c>
      <c r="C126">
        <f>IF($O126="","",INDEX(Master!$C$2:$C$1001,$O126))</f>
      </c>
      <c r="D126">
        <f>IF($O126="","",INDEX(Master!$A$2:$A$1001,$O126))</f>
      </c>
      <c r="E126">
        <f>IF($O126="","",INDEX(Master!$E$2:$E$1001,$O126))</f>
      </c>
      <c r="F126">
        <f>IF($O126="","",INDEX(Master!$F$2:$F$1001,$O126))</f>
      </c>
      <c r="G126">
        <f>IF($O126="","",INDEX(Master!$G$2:$G$1001,$O126))</f>
      </c>
      <c r="H126">
        <f>IF($O126="","",INDEX(Master!$H$2:$H$1001,$O126))</f>
      </c>
      <c r="I126">
        <f>IF($O126="","",INDEX(Master!$I$2:$I$1001,$O126))</f>
      </c>
      <c r="J126">
        <f>IF($O126="","",INDEX(Master!$J$2:$J$1001,$O126))</f>
      </c>
      <c r="K126">
        <f t="shared" si="2"/>
      </c>
      <c r="L126">
        <f>IF($O126="","",INDEX(Master!$K$2:$K$1001,$O126))</f>
      </c>
      <c r="M126">
        <f>IF($O126="","",INDEX(Master!$L$2:$L$1001,$O126))</f>
      </c>
      <c r="O126">
        <f t="array" ref="O126">IFERROR(SMALL(IF(Master!$A$2:$A$1001="AKASH SALES",ROW(Master!$A$2:$A$1001)-ROW(Master!$A$2)+1),122),"")</f>
      </c>
      <c r="P126">
        <f t="shared" si="3"/>
      </c>
    </row>
    <row r="127" spans="1:16" x14ac:dyDescent="0.25">
      <c r="A127">
        <f>IF($O127="","",INDEX(Master!$D$2:$D$1001,$O127))</f>
      </c>
      <c r="B127" s="166">
        <f>IF($O127="","",INDEX(Master!$B$2:$B$1001,$O127))</f>
      </c>
      <c r="C127">
        <f>IF($O127="","",INDEX(Master!$C$2:$C$1001,$O127))</f>
      </c>
      <c r="D127">
        <f>IF($O127="","",INDEX(Master!$A$2:$A$1001,$O127))</f>
      </c>
      <c r="E127">
        <f>IF($O127="","",INDEX(Master!$E$2:$E$1001,$O127))</f>
      </c>
      <c r="F127">
        <f>IF($O127="","",INDEX(Master!$F$2:$F$1001,$O127))</f>
      </c>
      <c r="G127">
        <f>IF($O127="","",INDEX(Master!$G$2:$G$1001,$O127))</f>
      </c>
      <c r="H127">
        <f>IF($O127="","",INDEX(Master!$H$2:$H$1001,$O127))</f>
      </c>
      <c r="I127">
        <f>IF($O127="","",INDEX(Master!$I$2:$I$1001,$O127))</f>
      </c>
      <c r="J127">
        <f>IF($O127="","",INDEX(Master!$J$2:$J$1001,$O127))</f>
      </c>
      <c r="K127">
        <f t="shared" si="2"/>
      </c>
      <c r="L127">
        <f>IF($O127="","",INDEX(Master!$K$2:$K$1001,$O127))</f>
      </c>
      <c r="M127">
        <f>IF($O127="","",INDEX(Master!$L$2:$L$1001,$O127))</f>
      </c>
      <c r="O127">
        <f t="array" ref="O127">IFERROR(SMALL(IF(Master!$A$2:$A$1001="AKASH SALES",ROW(Master!$A$2:$A$1001)-ROW(Master!$A$2)+1),123),"")</f>
      </c>
      <c r="P127">
        <f t="shared" si="3"/>
      </c>
    </row>
    <row r="128" spans="1:16" x14ac:dyDescent="0.25">
      <c r="A128">
        <f>IF($O128="","",INDEX(Master!$D$2:$D$1001,$O128))</f>
      </c>
      <c r="B128" s="166">
        <f>IF($O128="","",INDEX(Master!$B$2:$B$1001,$O128))</f>
      </c>
      <c r="C128">
        <f>IF($O128="","",INDEX(Master!$C$2:$C$1001,$O128))</f>
      </c>
      <c r="D128">
        <f>IF($O128="","",INDEX(Master!$A$2:$A$1001,$O128))</f>
      </c>
      <c r="E128">
        <f>IF($O128="","",INDEX(Master!$E$2:$E$1001,$O128))</f>
      </c>
      <c r="F128">
        <f>IF($O128="","",INDEX(Master!$F$2:$F$1001,$O128))</f>
      </c>
      <c r="G128">
        <f>IF($O128="","",INDEX(Master!$G$2:$G$1001,$O128))</f>
      </c>
      <c r="H128">
        <f>IF($O128="","",INDEX(Master!$H$2:$H$1001,$O128))</f>
      </c>
      <c r="I128">
        <f>IF($O128="","",INDEX(Master!$I$2:$I$1001,$O128))</f>
      </c>
      <c r="J128">
        <f>IF($O128="","",INDEX(Master!$J$2:$J$1001,$O128))</f>
      </c>
      <c r="K128">
        <f t="shared" si="2"/>
      </c>
      <c r="L128">
        <f>IF($O128="","",INDEX(Master!$K$2:$K$1001,$O128))</f>
      </c>
      <c r="M128">
        <f>IF($O128="","",INDEX(Master!$L$2:$L$1001,$O128))</f>
      </c>
      <c r="O128">
        <f t="array" ref="O128">IFERROR(SMALL(IF(Master!$A$2:$A$1001="AKASH SALES",ROW(Master!$A$2:$A$1001)-ROW(Master!$A$2)+1),124),"")</f>
      </c>
      <c r="P128">
        <f t="shared" si="3"/>
      </c>
    </row>
    <row r="129" spans="1:16" x14ac:dyDescent="0.25">
      <c r="A129">
        <f>IF($O129="","",INDEX(Master!$D$2:$D$1001,$O129))</f>
      </c>
      <c r="B129" s="166">
        <f>IF($O129="","",INDEX(Master!$B$2:$B$1001,$O129))</f>
      </c>
      <c r="C129">
        <f>IF($O129="","",INDEX(Master!$C$2:$C$1001,$O129))</f>
      </c>
      <c r="D129">
        <f>IF($O129="","",INDEX(Master!$A$2:$A$1001,$O129))</f>
      </c>
      <c r="E129">
        <f>IF($O129="","",INDEX(Master!$E$2:$E$1001,$O129))</f>
      </c>
      <c r="F129">
        <f>IF($O129="","",INDEX(Master!$F$2:$F$1001,$O129))</f>
      </c>
      <c r="G129">
        <f>IF($O129="","",INDEX(Master!$G$2:$G$1001,$O129))</f>
      </c>
      <c r="H129">
        <f>IF($O129="","",INDEX(Master!$H$2:$H$1001,$O129))</f>
      </c>
      <c r="I129">
        <f>IF($O129="","",INDEX(Master!$I$2:$I$1001,$O129))</f>
      </c>
      <c r="J129">
        <f>IF($O129="","",INDEX(Master!$J$2:$J$1001,$O129))</f>
      </c>
      <c r="K129">
        <f t="shared" si="2"/>
      </c>
      <c r="L129">
        <f>IF($O129="","",INDEX(Master!$K$2:$K$1001,$O129))</f>
      </c>
      <c r="M129">
        <f>IF($O129="","",INDEX(Master!$L$2:$L$1001,$O129))</f>
      </c>
      <c r="O129">
        <f t="array" ref="O129">IFERROR(SMALL(IF(Master!$A$2:$A$1001="AKASH SALES",ROW(Master!$A$2:$A$1001)-ROW(Master!$A$2)+1),125),"")</f>
      </c>
      <c r="P129">
        <f t="shared" si="3"/>
      </c>
    </row>
    <row r="130" spans="1:16" x14ac:dyDescent="0.25">
      <c r="A130">
        <f>IF($O130="","",INDEX(Master!$D$2:$D$1001,$O130))</f>
      </c>
      <c r="B130" s="166">
        <f>IF($O130="","",INDEX(Master!$B$2:$B$1001,$O130))</f>
      </c>
      <c r="C130">
        <f>IF($O130="","",INDEX(Master!$C$2:$C$1001,$O130))</f>
      </c>
      <c r="D130">
        <f>IF($O130="","",INDEX(Master!$A$2:$A$1001,$O130))</f>
      </c>
      <c r="E130">
        <f>IF($O130="","",INDEX(Master!$E$2:$E$1001,$O130))</f>
      </c>
      <c r="F130">
        <f>IF($O130="","",INDEX(Master!$F$2:$F$1001,$O130))</f>
      </c>
      <c r="G130">
        <f>IF($O130="","",INDEX(Master!$G$2:$G$1001,$O130))</f>
      </c>
      <c r="H130">
        <f>IF($O130="","",INDEX(Master!$H$2:$H$1001,$O130))</f>
      </c>
      <c r="I130">
        <f>IF($O130="","",INDEX(Master!$I$2:$I$1001,$O130))</f>
      </c>
      <c r="J130">
        <f>IF($O130="","",INDEX(Master!$J$2:$J$1001,$O130))</f>
      </c>
      <c r="K130">
        <f t="shared" si="2"/>
      </c>
      <c r="L130">
        <f>IF($O130="","",INDEX(Master!$K$2:$K$1001,$O130))</f>
      </c>
      <c r="M130">
        <f>IF($O130="","",INDEX(Master!$L$2:$L$1001,$O130))</f>
      </c>
      <c r="O130">
        <f t="array" ref="O130">IFERROR(SMALL(IF(Master!$A$2:$A$1001="AKASH SALES",ROW(Master!$A$2:$A$1001)-ROW(Master!$A$2)+1),126),"")</f>
      </c>
      <c r="P130">
        <f t="shared" si="3"/>
      </c>
    </row>
    <row r="131" spans="1:16" x14ac:dyDescent="0.25">
      <c r="A131">
        <f>IF($O131="","",INDEX(Master!$D$2:$D$1001,$O131))</f>
      </c>
      <c r="B131" s="166">
        <f>IF($O131="","",INDEX(Master!$B$2:$B$1001,$O131))</f>
      </c>
      <c r="C131">
        <f>IF($O131="","",INDEX(Master!$C$2:$C$1001,$O131))</f>
      </c>
      <c r="D131">
        <f>IF($O131="","",INDEX(Master!$A$2:$A$1001,$O131))</f>
      </c>
      <c r="E131">
        <f>IF($O131="","",INDEX(Master!$E$2:$E$1001,$O131))</f>
      </c>
      <c r="F131">
        <f>IF($O131="","",INDEX(Master!$F$2:$F$1001,$O131))</f>
      </c>
      <c r="G131">
        <f>IF($O131="","",INDEX(Master!$G$2:$G$1001,$O131))</f>
      </c>
      <c r="H131">
        <f>IF($O131="","",INDEX(Master!$H$2:$H$1001,$O131))</f>
      </c>
      <c r="I131">
        <f>IF($O131="","",INDEX(Master!$I$2:$I$1001,$O131))</f>
      </c>
      <c r="J131">
        <f>IF($O131="","",INDEX(Master!$J$2:$J$1001,$O131))</f>
      </c>
      <c r="K131">
        <f t="shared" si="2"/>
      </c>
      <c r="L131">
        <f>IF($O131="","",INDEX(Master!$K$2:$K$1001,$O131))</f>
      </c>
      <c r="M131">
        <f>IF($O131="","",INDEX(Master!$L$2:$L$1001,$O131))</f>
      </c>
      <c r="O131">
        <f t="array" ref="O131">IFERROR(SMALL(IF(Master!$A$2:$A$1001="AKASH SALES",ROW(Master!$A$2:$A$1001)-ROW(Master!$A$2)+1),127),"")</f>
      </c>
      <c r="P131">
        <f t="shared" si="3"/>
      </c>
    </row>
    <row r="132" spans="1:16" x14ac:dyDescent="0.25">
      <c r="A132">
        <f>IF($O132="","",INDEX(Master!$D$2:$D$1001,$O132))</f>
      </c>
      <c r="B132" s="166">
        <f>IF($O132="","",INDEX(Master!$B$2:$B$1001,$O132))</f>
      </c>
      <c r="C132">
        <f>IF($O132="","",INDEX(Master!$C$2:$C$1001,$O132))</f>
      </c>
      <c r="D132">
        <f>IF($O132="","",INDEX(Master!$A$2:$A$1001,$O132))</f>
      </c>
      <c r="E132">
        <f>IF($O132="","",INDEX(Master!$E$2:$E$1001,$O132))</f>
      </c>
      <c r="F132">
        <f>IF($O132="","",INDEX(Master!$F$2:$F$1001,$O132))</f>
      </c>
      <c r="G132">
        <f>IF($O132="","",INDEX(Master!$G$2:$G$1001,$O132))</f>
      </c>
      <c r="H132">
        <f>IF($O132="","",INDEX(Master!$H$2:$H$1001,$O132))</f>
      </c>
      <c r="I132">
        <f>IF($O132="","",INDEX(Master!$I$2:$I$1001,$O132))</f>
      </c>
      <c r="J132">
        <f>IF($O132="","",INDEX(Master!$J$2:$J$1001,$O132))</f>
      </c>
      <c r="K132">
        <f t="shared" si="2"/>
      </c>
      <c r="L132">
        <f>IF($O132="","",INDEX(Master!$K$2:$K$1001,$O132))</f>
      </c>
      <c r="M132">
        <f>IF($O132="","",INDEX(Master!$L$2:$L$1001,$O132))</f>
      </c>
      <c r="O132">
        <f t="array" ref="O132">IFERROR(SMALL(IF(Master!$A$2:$A$1001="AKASH SALES",ROW(Master!$A$2:$A$1001)-ROW(Master!$A$2)+1),128),"")</f>
      </c>
      <c r="P132">
        <f t="shared" si="3"/>
      </c>
    </row>
    <row r="133" spans="1:16" x14ac:dyDescent="0.25">
      <c r="A133">
        <f>IF($O133="","",INDEX(Master!$D$2:$D$1001,$O133))</f>
      </c>
      <c r="B133" s="166">
        <f>IF($O133="","",INDEX(Master!$B$2:$B$1001,$O133))</f>
      </c>
      <c r="C133">
        <f>IF($O133="","",INDEX(Master!$C$2:$C$1001,$O133))</f>
      </c>
      <c r="D133">
        <f>IF($O133="","",INDEX(Master!$A$2:$A$1001,$O133))</f>
      </c>
      <c r="E133">
        <f>IF($O133="","",INDEX(Master!$E$2:$E$1001,$O133))</f>
      </c>
      <c r="F133">
        <f>IF($O133="","",INDEX(Master!$F$2:$F$1001,$O133))</f>
      </c>
      <c r="G133">
        <f>IF($O133="","",INDEX(Master!$G$2:$G$1001,$O133))</f>
      </c>
      <c r="H133">
        <f>IF($O133="","",INDEX(Master!$H$2:$H$1001,$O133))</f>
      </c>
      <c r="I133">
        <f>IF($O133="","",INDEX(Master!$I$2:$I$1001,$O133))</f>
      </c>
      <c r="J133">
        <f>IF($O133="","",INDEX(Master!$J$2:$J$1001,$O133))</f>
      </c>
      <c r="K133">
        <f t="shared" ref="K133:K196" si="4">IF(OR($O133="",$F133="",$F133=0),"",$H133/$F133)</f>
      </c>
      <c r="L133">
        <f>IF($O133="","",INDEX(Master!$K$2:$K$1001,$O133))</f>
      </c>
      <c r="M133">
        <f>IF($O133="","",INDEX(Master!$L$2:$L$1001,$O133))</f>
      </c>
      <c r="O133">
        <f t="array" ref="O133">IFERROR(SMALL(IF(Master!$A$2:$A$1001="AKASH SALES",ROW(Master!$A$2:$A$1001)-ROW(Master!$A$2)+1),129),"")</f>
      </c>
      <c r="P133">
        <f t="shared" ref="P133:P196" si="5">IF($A133="",0,IF(OR(AND($E133&lt;&gt;"",OR($E133&gt;0.18)),AND($F133&lt;&gt;"",OR(($F133+$G133)&gt;0.15)),AND($G133&lt;&gt;"",OR(($F133+$G133)&gt;0.15)),AND($H133&lt;&gt;"",$H133&lt;0.45),AND($J133&lt;&gt;"",OR($J133&lt;0.1))),1,0))</f>
      </c>
    </row>
    <row r="134" spans="1:16" x14ac:dyDescent="0.25">
      <c r="A134">
        <f>IF($O134="","",INDEX(Master!$D$2:$D$1001,$O134))</f>
      </c>
      <c r="B134" s="166">
        <f>IF($O134="","",INDEX(Master!$B$2:$B$1001,$O134))</f>
      </c>
      <c r="C134">
        <f>IF($O134="","",INDEX(Master!$C$2:$C$1001,$O134))</f>
      </c>
      <c r="D134">
        <f>IF($O134="","",INDEX(Master!$A$2:$A$1001,$O134))</f>
      </c>
      <c r="E134">
        <f>IF($O134="","",INDEX(Master!$E$2:$E$1001,$O134))</f>
      </c>
      <c r="F134">
        <f>IF($O134="","",INDEX(Master!$F$2:$F$1001,$O134))</f>
      </c>
      <c r="G134">
        <f>IF($O134="","",INDEX(Master!$G$2:$G$1001,$O134))</f>
      </c>
      <c r="H134">
        <f>IF($O134="","",INDEX(Master!$H$2:$H$1001,$O134))</f>
      </c>
      <c r="I134">
        <f>IF($O134="","",INDEX(Master!$I$2:$I$1001,$O134))</f>
      </c>
      <c r="J134">
        <f>IF($O134="","",INDEX(Master!$J$2:$J$1001,$O134))</f>
      </c>
      <c r="K134">
        <f t="shared" si="4"/>
      </c>
      <c r="L134">
        <f>IF($O134="","",INDEX(Master!$K$2:$K$1001,$O134))</f>
      </c>
      <c r="M134">
        <f>IF($O134="","",INDEX(Master!$L$2:$L$1001,$O134))</f>
      </c>
      <c r="O134">
        <f t="array" ref="O134">IFERROR(SMALL(IF(Master!$A$2:$A$1001="AKASH SALES",ROW(Master!$A$2:$A$1001)-ROW(Master!$A$2)+1),130),"")</f>
      </c>
      <c r="P134">
        <f t="shared" si="5"/>
      </c>
    </row>
    <row r="135" spans="1:16" x14ac:dyDescent="0.25">
      <c r="A135">
        <f>IF($O135="","",INDEX(Master!$D$2:$D$1001,$O135))</f>
      </c>
      <c r="B135" s="166">
        <f>IF($O135="","",INDEX(Master!$B$2:$B$1001,$O135))</f>
      </c>
      <c r="C135">
        <f>IF($O135="","",INDEX(Master!$C$2:$C$1001,$O135))</f>
      </c>
      <c r="D135">
        <f>IF($O135="","",INDEX(Master!$A$2:$A$1001,$O135))</f>
      </c>
      <c r="E135">
        <f>IF($O135="","",INDEX(Master!$E$2:$E$1001,$O135))</f>
      </c>
      <c r="F135">
        <f>IF($O135="","",INDEX(Master!$F$2:$F$1001,$O135))</f>
      </c>
      <c r="G135">
        <f>IF($O135="","",INDEX(Master!$G$2:$G$1001,$O135))</f>
      </c>
      <c r="H135">
        <f>IF($O135="","",INDEX(Master!$H$2:$H$1001,$O135))</f>
      </c>
      <c r="I135">
        <f>IF($O135="","",INDEX(Master!$I$2:$I$1001,$O135))</f>
      </c>
      <c r="J135">
        <f>IF($O135="","",INDEX(Master!$J$2:$J$1001,$O135))</f>
      </c>
      <c r="K135">
        <f t="shared" si="4"/>
      </c>
      <c r="L135">
        <f>IF($O135="","",INDEX(Master!$K$2:$K$1001,$O135))</f>
      </c>
      <c r="M135">
        <f>IF($O135="","",INDEX(Master!$L$2:$L$1001,$O135))</f>
      </c>
      <c r="O135">
        <f t="array" ref="O135">IFERROR(SMALL(IF(Master!$A$2:$A$1001="AKASH SALES",ROW(Master!$A$2:$A$1001)-ROW(Master!$A$2)+1),131),"")</f>
      </c>
      <c r="P135">
        <f t="shared" si="5"/>
      </c>
    </row>
    <row r="136" spans="1:16" x14ac:dyDescent="0.25">
      <c r="A136">
        <f>IF($O136="","",INDEX(Master!$D$2:$D$1001,$O136))</f>
      </c>
      <c r="B136" s="166">
        <f>IF($O136="","",INDEX(Master!$B$2:$B$1001,$O136))</f>
      </c>
      <c r="C136">
        <f>IF($O136="","",INDEX(Master!$C$2:$C$1001,$O136))</f>
      </c>
      <c r="D136">
        <f>IF($O136="","",INDEX(Master!$A$2:$A$1001,$O136))</f>
      </c>
      <c r="E136">
        <f>IF($O136="","",INDEX(Master!$E$2:$E$1001,$O136))</f>
      </c>
      <c r="F136">
        <f>IF($O136="","",INDEX(Master!$F$2:$F$1001,$O136))</f>
      </c>
      <c r="G136">
        <f>IF($O136="","",INDEX(Master!$G$2:$G$1001,$O136))</f>
      </c>
      <c r="H136">
        <f>IF($O136="","",INDEX(Master!$H$2:$H$1001,$O136))</f>
      </c>
      <c r="I136">
        <f>IF($O136="","",INDEX(Master!$I$2:$I$1001,$O136))</f>
      </c>
      <c r="J136">
        <f>IF($O136="","",INDEX(Master!$J$2:$J$1001,$O136))</f>
      </c>
      <c r="K136">
        <f t="shared" si="4"/>
      </c>
      <c r="L136">
        <f>IF($O136="","",INDEX(Master!$K$2:$K$1001,$O136))</f>
      </c>
      <c r="M136">
        <f>IF($O136="","",INDEX(Master!$L$2:$L$1001,$O136))</f>
      </c>
      <c r="O136">
        <f t="array" ref="O136">IFERROR(SMALL(IF(Master!$A$2:$A$1001="AKASH SALES",ROW(Master!$A$2:$A$1001)-ROW(Master!$A$2)+1),132),"")</f>
      </c>
      <c r="P136">
        <f t="shared" si="5"/>
      </c>
    </row>
    <row r="137" spans="1:16" x14ac:dyDescent="0.25">
      <c r="A137">
        <f>IF($O137="","",INDEX(Master!$D$2:$D$1001,$O137))</f>
      </c>
      <c r="B137" s="166">
        <f>IF($O137="","",INDEX(Master!$B$2:$B$1001,$O137))</f>
      </c>
      <c r="C137">
        <f>IF($O137="","",INDEX(Master!$C$2:$C$1001,$O137))</f>
      </c>
      <c r="D137">
        <f>IF($O137="","",INDEX(Master!$A$2:$A$1001,$O137))</f>
      </c>
      <c r="E137">
        <f>IF($O137="","",INDEX(Master!$E$2:$E$1001,$O137))</f>
      </c>
      <c r="F137">
        <f>IF($O137="","",INDEX(Master!$F$2:$F$1001,$O137))</f>
      </c>
      <c r="G137">
        <f>IF($O137="","",INDEX(Master!$G$2:$G$1001,$O137))</f>
      </c>
      <c r="H137">
        <f>IF($O137="","",INDEX(Master!$H$2:$H$1001,$O137))</f>
      </c>
      <c r="I137">
        <f>IF($O137="","",INDEX(Master!$I$2:$I$1001,$O137))</f>
      </c>
      <c r="J137">
        <f>IF($O137="","",INDEX(Master!$J$2:$J$1001,$O137))</f>
      </c>
      <c r="K137">
        <f t="shared" si="4"/>
      </c>
      <c r="L137">
        <f>IF($O137="","",INDEX(Master!$K$2:$K$1001,$O137))</f>
      </c>
      <c r="M137">
        <f>IF($O137="","",INDEX(Master!$L$2:$L$1001,$O137))</f>
      </c>
      <c r="O137">
        <f t="array" ref="O137">IFERROR(SMALL(IF(Master!$A$2:$A$1001="AKASH SALES",ROW(Master!$A$2:$A$1001)-ROW(Master!$A$2)+1),133),"")</f>
      </c>
      <c r="P137">
        <f t="shared" si="5"/>
      </c>
    </row>
    <row r="138" spans="1:16" x14ac:dyDescent="0.25">
      <c r="A138">
        <f>IF($O138="","",INDEX(Master!$D$2:$D$1001,$O138))</f>
      </c>
      <c r="B138" s="166">
        <f>IF($O138="","",INDEX(Master!$B$2:$B$1001,$O138))</f>
      </c>
      <c r="C138">
        <f>IF($O138="","",INDEX(Master!$C$2:$C$1001,$O138))</f>
      </c>
      <c r="D138">
        <f>IF($O138="","",INDEX(Master!$A$2:$A$1001,$O138))</f>
      </c>
      <c r="E138">
        <f>IF($O138="","",INDEX(Master!$E$2:$E$1001,$O138))</f>
      </c>
      <c r="F138">
        <f>IF($O138="","",INDEX(Master!$F$2:$F$1001,$O138))</f>
      </c>
      <c r="G138">
        <f>IF($O138="","",INDEX(Master!$G$2:$G$1001,$O138))</f>
      </c>
      <c r="H138">
        <f>IF($O138="","",INDEX(Master!$H$2:$H$1001,$O138))</f>
      </c>
      <c r="I138">
        <f>IF($O138="","",INDEX(Master!$I$2:$I$1001,$O138))</f>
      </c>
      <c r="J138">
        <f>IF($O138="","",INDEX(Master!$J$2:$J$1001,$O138))</f>
      </c>
      <c r="K138">
        <f t="shared" si="4"/>
      </c>
      <c r="L138">
        <f>IF($O138="","",INDEX(Master!$K$2:$K$1001,$O138))</f>
      </c>
      <c r="M138">
        <f>IF($O138="","",INDEX(Master!$L$2:$L$1001,$O138))</f>
      </c>
      <c r="O138">
        <f t="array" ref="O138">IFERROR(SMALL(IF(Master!$A$2:$A$1001="AKASH SALES",ROW(Master!$A$2:$A$1001)-ROW(Master!$A$2)+1),134),"")</f>
      </c>
      <c r="P138">
        <f t="shared" si="5"/>
      </c>
    </row>
    <row r="139" spans="1:16" x14ac:dyDescent="0.25">
      <c r="A139">
        <f>IF($O139="","",INDEX(Master!$D$2:$D$1001,$O139))</f>
      </c>
      <c r="B139" s="166">
        <f>IF($O139="","",INDEX(Master!$B$2:$B$1001,$O139))</f>
      </c>
      <c r="C139">
        <f>IF($O139="","",INDEX(Master!$C$2:$C$1001,$O139))</f>
      </c>
      <c r="D139">
        <f>IF($O139="","",INDEX(Master!$A$2:$A$1001,$O139))</f>
      </c>
      <c r="E139">
        <f>IF($O139="","",INDEX(Master!$E$2:$E$1001,$O139))</f>
      </c>
      <c r="F139">
        <f>IF($O139="","",INDEX(Master!$F$2:$F$1001,$O139))</f>
      </c>
      <c r="G139">
        <f>IF($O139="","",INDEX(Master!$G$2:$G$1001,$O139))</f>
      </c>
      <c r="H139">
        <f>IF($O139="","",INDEX(Master!$H$2:$H$1001,$O139))</f>
      </c>
      <c r="I139">
        <f>IF($O139="","",INDEX(Master!$I$2:$I$1001,$O139))</f>
      </c>
      <c r="J139">
        <f>IF($O139="","",INDEX(Master!$J$2:$J$1001,$O139))</f>
      </c>
      <c r="K139">
        <f t="shared" si="4"/>
      </c>
      <c r="L139">
        <f>IF($O139="","",INDEX(Master!$K$2:$K$1001,$O139))</f>
      </c>
      <c r="M139">
        <f>IF($O139="","",INDEX(Master!$L$2:$L$1001,$O139))</f>
      </c>
      <c r="O139">
        <f t="array" ref="O139">IFERROR(SMALL(IF(Master!$A$2:$A$1001="AKASH SALES",ROW(Master!$A$2:$A$1001)-ROW(Master!$A$2)+1),135),"")</f>
      </c>
      <c r="P139">
        <f t="shared" si="5"/>
      </c>
    </row>
    <row r="140" spans="1:16" x14ac:dyDescent="0.25">
      <c r="A140">
        <f>IF($O140="","",INDEX(Master!$D$2:$D$1001,$O140))</f>
      </c>
      <c r="B140" s="166">
        <f>IF($O140="","",INDEX(Master!$B$2:$B$1001,$O140))</f>
      </c>
      <c r="C140">
        <f>IF($O140="","",INDEX(Master!$C$2:$C$1001,$O140))</f>
      </c>
      <c r="D140">
        <f>IF($O140="","",INDEX(Master!$A$2:$A$1001,$O140))</f>
      </c>
      <c r="E140">
        <f>IF($O140="","",INDEX(Master!$E$2:$E$1001,$O140))</f>
      </c>
      <c r="F140">
        <f>IF($O140="","",INDEX(Master!$F$2:$F$1001,$O140))</f>
      </c>
      <c r="G140">
        <f>IF($O140="","",INDEX(Master!$G$2:$G$1001,$O140))</f>
      </c>
      <c r="H140">
        <f>IF($O140="","",INDEX(Master!$H$2:$H$1001,$O140))</f>
      </c>
      <c r="I140">
        <f>IF($O140="","",INDEX(Master!$I$2:$I$1001,$O140))</f>
      </c>
      <c r="J140">
        <f>IF($O140="","",INDEX(Master!$J$2:$J$1001,$O140))</f>
      </c>
      <c r="K140">
        <f t="shared" si="4"/>
      </c>
      <c r="L140">
        <f>IF($O140="","",INDEX(Master!$K$2:$K$1001,$O140))</f>
      </c>
      <c r="M140">
        <f>IF($O140="","",INDEX(Master!$L$2:$L$1001,$O140))</f>
      </c>
      <c r="O140">
        <f t="array" ref="O140">IFERROR(SMALL(IF(Master!$A$2:$A$1001="AKASH SALES",ROW(Master!$A$2:$A$1001)-ROW(Master!$A$2)+1),136),"")</f>
      </c>
      <c r="P140">
        <f t="shared" si="5"/>
      </c>
    </row>
    <row r="141" spans="1:16" x14ac:dyDescent="0.25">
      <c r="A141">
        <f>IF($O141="","",INDEX(Master!$D$2:$D$1001,$O141))</f>
      </c>
      <c r="B141" s="166">
        <f>IF($O141="","",INDEX(Master!$B$2:$B$1001,$O141))</f>
      </c>
      <c r="C141">
        <f>IF($O141="","",INDEX(Master!$C$2:$C$1001,$O141))</f>
      </c>
      <c r="D141">
        <f>IF($O141="","",INDEX(Master!$A$2:$A$1001,$O141))</f>
      </c>
      <c r="E141">
        <f>IF($O141="","",INDEX(Master!$E$2:$E$1001,$O141))</f>
      </c>
      <c r="F141">
        <f>IF($O141="","",INDEX(Master!$F$2:$F$1001,$O141))</f>
      </c>
      <c r="G141">
        <f>IF($O141="","",INDEX(Master!$G$2:$G$1001,$O141))</f>
      </c>
      <c r="H141">
        <f>IF($O141="","",INDEX(Master!$H$2:$H$1001,$O141))</f>
      </c>
      <c r="I141">
        <f>IF($O141="","",INDEX(Master!$I$2:$I$1001,$O141))</f>
      </c>
      <c r="J141">
        <f>IF($O141="","",INDEX(Master!$J$2:$J$1001,$O141))</f>
      </c>
      <c r="K141">
        <f t="shared" si="4"/>
      </c>
      <c r="L141">
        <f>IF($O141="","",INDEX(Master!$K$2:$K$1001,$O141))</f>
      </c>
      <c r="M141">
        <f>IF($O141="","",INDEX(Master!$L$2:$L$1001,$O141))</f>
      </c>
      <c r="O141">
        <f t="array" ref="O141">IFERROR(SMALL(IF(Master!$A$2:$A$1001="AKASH SALES",ROW(Master!$A$2:$A$1001)-ROW(Master!$A$2)+1),137),"")</f>
      </c>
      <c r="P141">
        <f t="shared" si="5"/>
      </c>
    </row>
    <row r="142" spans="1:16" x14ac:dyDescent="0.25">
      <c r="A142">
        <f>IF($O142="","",INDEX(Master!$D$2:$D$1001,$O142))</f>
      </c>
      <c r="B142" s="166">
        <f>IF($O142="","",INDEX(Master!$B$2:$B$1001,$O142))</f>
      </c>
      <c r="C142">
        <f>IF($O142="","",INDEX(Master!$C$2:$C$1001,$O142))</f>
      </c>
      <c r="D142">
        <f>IF($O142="","",INDEX(Master!$A$2:$A$1001,$O142))</f>
      </c>
      <c r="E142">
        <f>IF($O142="","",INDEX(Master!$E$2:$E$1001,$O142))</f>
      </c>
      <c r="F142">
        <f>IF($O142="","",INDEX(Master!$F$2:$F$1001,$O142))</f>
      </c>
      <c r="G142">
        <f>IF($O142="","",INDEX(Master!$G$2:$G$1001,$O142))</f>
      </c>
      <c r="H142">
        <f>IF($O142="","",INDEX(Master!$H$2:$H$1001,$O142))</f>
      </c>
      <c r="I142">
        <f>IF($O142="","",INDEX(Master!$I$2:$I$1001,$O142))</f>
      </c>
      <c r="J142">
        <f>IF($O142="","",INDEX(Master!$J$2:$J$1001,$O142))</f>
      </c>
      <c r="K142">
        <f t="shared" si="4"/>
      </c>
      <c r="L142">
        <f>IF($O142="","",INDEX(Master!$K$2:$K$1001,$O142))</f>
      </c>
      <c r="M142">
        <f>IF($O142="","",INDEX(Master!$L$2:$L$1001,$O142))</f>
      </c>
      <c r="O142">
        <f t="array" ref="O142">IFERROR(SMALL(IF(Master!$A$2:$A$1001="AKASH SALES",ROW(Master!$A$2:$A$1001)-ROW(Master!$A$2)+1),138),"")</f>
      </c>
      <c r="P142">
        <f t="shared" si="5"/>
      </c>
    </row>
    <row r="143" spans="1:16" x14ac:dyDescent="0.25">
      <c r="A143">
        <f>IF($O143="","",INDEX(Master!$D$2:$D$1001,$O143))</f>
      </c>
      <c r="B143" s="166">
        <f>IF($O143="","",INDEX(Master!$B$2:$B$1001,$O143))</f>
      </c>
      <c r="C143">
        <f>IF($O143="","",INDEX(Master!$C$2:$C$1001,$O143))</f>
      </c>
      <c r="D143">
        <f>IF($O143="","",INDEX(Master!$A$2:$A$1001,$O143))</f>
      </c>
      <c r="E143">
        <f>IF($O143="","",INDEX(Master!$E$2:$E$1001,$O143))</f>
      </c>
      <c r="F143">
        <f>IF($O143="","",INDEX(Master!$F$2:$F$1001,$O143))</f>
      </c>
      <c r="G143">
        <f>IF($O143="","",INDEX(Master!$G$2:$G$1001,$O143))</f>
      </c>
      <c r="H143">
        <f>IF($O143="","",INDEX(Master!$H$2:$H$1001,$O143))</f>
      </c>
      <c r="I143">
        <f>IF($O143="","",INDEX(Master!$I$2:$I$1001,$O143))</f>
      </c>
      <c r="J143">
        <f>IF($O143="","",INDEX(Master!$J$2:$J$1001,$O143))</f>
      </c>
      <c r="K143">
        <f t="shared" si="4"/>
      </c>
      <c r="L143">
        <f>IF($O143="","",INDEX(Master!$K$2:$K$1001,$O143))</f>
      </c>
      <c r="M143">
        <f>IF($O143="","",INDEX(Master!$L$2:$L$1001,$O143))</f>
      </c>
      <c r="O143">
        <f t="array" ref="O143">IFERROR(SMALL(IF(Master!$A$2:$A$1001="AKASH SALES",ROW(Master!$A$2:$A$1001)-ROW(Master!$A$2)+1),139),"")</f>
      </c>
      <c r="P143">
        <f t="shared" si="5"/>
      </c>
    </row>
    <row r="144" spans="1:16" x14ac:dyDescent="0.25">
      <c r="A144">
        <f>IF($O144="","",INDEX(Master!$D$2:$D$1001,$O144))</f>
      </c>
      <c r="B144" s="166">
        <f>IF($O144="","",INDEX(Master!$B$2:$B$1001,$O144))</f>
      </c>
      <c r="C144">
        <f>IF($O144="","",INDEX(Master!$C$2:$C$1001,$O144))</f>
      </c>
      <c r="D144">
        <f>IF($O144="","",INDEX(Master!$A$2:$A$1001,$O144))</f>
      </c>
      <c r="E144">
        <f>IF($O144="","",INDEX(Master!$E$2:$E$1001,$O144))</f>
      </c>
      <c r="F144">
        <f>IF($O144="","",INDEX(Master!$F$2:$F$1001,$O144))</f>
      </c>
      <c r="G144">
        <f>IF($O144="","",INDEX(Master!$G$2:$G$1001,$O144))</f>
      </c>
      <c r="H144">
        <f>IF($O144="","",INDEX(Master!$H$2:$H$1001,$O144))</f>
      </c>
      <c r="I144">
        <f>IF($O144="","",INDEX(Master!$I$2:$I$1001,$O144))</f>
      </c>
      <c r="J144">
        <f>IF($O144="","",INDEX(Master!$J$2:$J$1001,$O144))</f>
      </c>
      <c r="K144">
        <f t="shared" si="4"/>
      </c>
      <c r="L144">
        <f>IF($O144="","",INDEX(Master!$K$2:$K$1001,$O144))</f>
      </c>
      <c r="M144">
        <f>IF($O144="","",INDEX(Master!$L$2:$L$1001,$O144))</f>
      </c>
      <c r="O144">
        <f t="array" ref="O144">IFERROR(SMALL(IF(Master!$A$2:$A$1001="AKASH SALES",ROW(Master!$A$2:$A$1001)-ROW(Master!$A$2)+1),140),"")</f>
      </c>
      <c r="P144">
        <f t="shared" si="5"/>
      </c>
    </row>
    <row r="145" spans="1:16" x14ac:dyDescent="0.25">
      <c r="A145">
        <f>IF($O145="","",INDEX(Master!$D$2:$D$1001,$O145))</f>
      </c>
      <c r="B145" s="166">
        <f>IF($O145="","",INDEX(Master!$B$2:$B$1001,$O145))</f>
      </c>
      <c r="C145">
        <f>IF($O145="","",INDEX(Master!$C$2:$C$1001,$O145))</f>
      </c>
      <c r="D145">
        <f>IF($O145="","",INDEX(Master!$A$2:$A$1001,$O145))</f>
      </c>
      <c r="E145">
        <f>IF($O145="","",INDEX(Master!$E$2:$E$1001,$O145))</f>
      </c>
      <c r="F145">
        <f>IF($O145="","",INDEX(Master!$F$2:$F$1001,$O145))</f>
      </c>
      <c r="G145">
        <f>IF($O145="","",INDEX(Master!$G$2:$G$1001,$O145))</f>
      </c>
      <c r="H145">
        <f>IF($O145="","",INDEX(Master!$H$2:$H$1001,$O145))</f>
      </c>
      <c r="I145">
        <f>IF($O145="","",INDEX(Master!$I$2:$I$1001,$O145))</f>
      </c>
      <c r="J145">
        <f>IF($O145="","",INDEX(Master!$J$2:$J$1001,$O145))</f>
      </c>
      <c r="K145">
        <f t="shared" si="4"/>
      </c>
      <c r="L145">
        <f>IF($O145="","",INDEX(Master!$K$2:$K$1001,$O145))</f>
      </c>
      <c r="M145">
        <f>IF($O145="","",INDEX(Master!$L$2:$L$1001,$O145))</f>
      </c>
      <c r="O145">
        <f t="array" ref="O145">IFERROR(SMALL(IF(Master!$A$2:$A$1001="AKASH SALES",ROW(Master!$A$2:$A$1001)-ROW(Master!$A$2)+1),141),"")</f>
      </c>
      <c r="P145">
        <f t="shared" si="5"/>
      </c>
    </row>
    <row r="146" spans="1:16" x14ac:dyDescent="0.25">
      <c r="A146">
        <f>IF($O146="","",INDEX(Master!$D$2:$D$1001,$O146))</f>
      </c>
      <c r="B146" s="166">
        <f>IF($O146="","",INDEX(Master!$B$2:$B$1001,$O146))</f>
      </c>
      <c r="C146">
        <f>IF($O146="","",INDEX(Master!$C$2:$C$1001,$O146))</f>
      </c>
      <c r="D146">
        <f>IF($O146="","",INDEX(Master!$A$2:$A$1001,$O146))</f>
      </c>
      <c r="E146">
        <f>IF($O146="","",INDEX(Master!$E$2:$E$1001,$O146))</f>
      </c>
      <c r="F146">
        <f>IF($O146="","",INDEX(Master!$F$2:$F$1001,$O146))</f>
      </c>
      <c r="G146">
        <f>IF($O146="","",INDEX(Master!$G$2:$G$1001,$O146))</f>
      </c>
      <c r="H146">
        <f>IF($O146="","",INDEX(Master!$H$2:$H$1001,$O146))</f>
      </c>
      <c r="I146">
        <f>IF($O146="","",INDEX(Master!$I$2:$I$1001,$O146))</f>
      </c>
      <c r="J146">
        <f>IF($O146="","",INDEX(Master!$J$2:$J$1001,$O146))</f>
      </c>
      <c r="K146">
        <f t="shared" si="4"/>
      </c>
      <c r="L146">
        <f>IF($O146="","",INDEX(Master!$K$2:$K$1001,$O146))</f>
      </c>
      <c r="M146">
        <f>IF($O146="","",INDEX(Master!$L$2:$L$1001,$O146))</f>
      </c>
      <c r="O146">
        <f t="array" ref="O146">IFERROR(SMALL(IF(Master!$A$2:$A$1001="AKASH SALES",ROW(Master!$A$2:$A$1001)-ROW(Master!$A$2)+1),142),"")</f>
      </c>
      <c r="P146">
        <f t="shared" si="5"/>
      </c>
    </row>
    <row r="147" spans="1:16" x14ac:dyDescent="0.25">
      <c r="A147">
        <f>IF($O147="","",INDEX(Master!$D$2:$D$1001,$O147))</f>
      </c>
      <c r="B147" s="166">
        <f>IF($O147="","",INDEX(Master!$B$2:$B$1001,$O147))</f>
      </c>
      <c r="C147">
        <f>IF($O147="","",INDEX(Master!$C$2:$C$1001,$O147))</f>
      </c>
      <c r="D147">
        <f>IF($O147="","",INDEX(Master!$A$2:$A$1001,$O147))</f>
      </c>
      <c r="E147">
        <f>IF($O147="","",INDEX(Master!$E$2:$E$1001,$O147))</f>
      </c>
      <c r="F147">
        <f>IF($O147="","",INDEX(Master!$F$2:$F$1001,$O147))</f>
      </c>
      <c r="G147">
        <f>IF($O147="","",INDEX(Master!$G$2:$G$1001,$O147))</f>
      </c>
      <c r="H147">
        <f>IF($O147="","",INDEX(Master!$H$2:$H$1001,$O147))</f>
      </c>
      <c r="I147">
        <f>IF($O147="","",INDEX(Master!$I$2:$I$1001,$O147))</f>
      </c>
      <c r="J147">
        <f>IF($O147="","",INDEX(Master!$J$2:$J$1001,$O147))</f>
      </c>
      <c r="K147">
        <f t="shared" si="4"/>
      </c>
      <c r="L147">
        <f>IF($O147="","",INDEX(Master!$K$2:$K$1001,$O147))</f>
      </c>
      <c r="M147">
        <f>IF($O147="","",INDEX(Master!$L$2:$L$1001,$O147))</f>
      </c>
      <c r="O147">
        <f t="array" ref="O147">IFERROR(SMALL(IF(Master!$A$2:$A$1001="AKASH SALES",ROW(Master!$A$2:$A$1001)-ROW(Master!$A$2)+1),143),"")</f>
      </c>
      <c r="P147">
        <f t="shared" si="5"/>
      </c>
    </row>
    <row r="148" spans="1:16" x14ac:dyDescent="0.25">
      <c r="A148">
        <f>IF($O148="","",INDEX(Master!$D$2:$D$1001,$O148))</f>
      </c>
      <c r="B148" s="166">
        <f>IF($O148="","",INDEX(Master!$B$2:$B$1001,$O148))</f>
      </c>
      <c r="C148">
        <f>IF($O148="","",INDEX(Master!$C$2:$C$1001,$O148))</f>
      </c>
      <c r="D148">
        <f>IF($O148="","",INDEX(Master!$A$2:$A$1001,$O148))</f>
      </c>
      <c r="E148">
        <f>IF($O148="","",INDEX(Master!$E$2:$E$1001,$O148))</f>
      </c>
      <c r="F148">
        <f>IF($O148="","",INDEX(Master!$F$2:$F$1001,$O148))</f>
      </c>
      <c r="G148">
        <f>IF($O148="","",INDEX(Master!$G$2:$G$1001,$O148))</f>
      </c>
      <c r="H148">
        <f>IF($O148="","",INDEX(Master!$H$2:$H$1001,$O148))</f>
      </c>
      <c r="I148">
        <f>IF($O148="","",INDEX(Master!$I$2:$I$1001,$O148))</f>
      </c>
      <c r="J148">
        <f>IF($O148="","",INDEX(Master!$J$2:$J$1001,$O148))</f>
      </c>
      <c r="K148">
        <f t="shared" si="4"/>
      </c>
      <c r="L148">
        <f>IF($O148="","",INDEX(Master!$K$2:$K$1001,$O148))</f>
      </c>
      <c r="M148">
        <f>IF($O148="","",INDEX(Master!$L$2:$L$1001,$O148))</f>
      </c>
      <c r="O148">
        <f t="array" ref="O148">IFERROR(SMALL(IF(Master!$A$2:$A$1001="AKASH SALES",ROW(Master!$A$2:$A$1001)-ROW(Master!$A$2)+1),144),"")</f>
      </c>
      <c r="P148">
        <f t="shared" si="5"/>
      </c>
    </row>
    <row r="149" spans="1:16" x14ac:dyDescent="0.25">
      <c r="A149">
        <f>IF($O149="","",INDEX(Master!$D$2:$D$1001,$O149))</f>
      </c>
      <c r="B149" s="166">
        <f>IF($O149="","",INDEX(Master!$B$2:$B$1001,$O149))</f>
      </c>
      <c r="C149">
        <f>IF($O149="","",INDEX(Master!$C$2:$C$1001,$O149))</f>
      </c>
      <c r="D149">
        <f>IF($O149="","",INDEX(Master!$A$2:$A$1001,$O149))</f>
      </c>
      <c r="E149">
        <f>IF($O149="","",INDEX(Master!$E$2:$E$1001,$O149))</f>
      </c>
      <c r="F149">
        <f>IF($O149="","",INDEX(Master!$F$2:$F$1001,$O149))</f>
      </c>
      <c r="G149">
        <f>IF($O149="","",INDEX(Master!$G$2:$G$1001,$O149))</f>
      </c>
      <c r="H149">
        <f>IF($O149="","",INDEX(Master!$H$2:$H$1001,$O149))</f>
      </c>
      <c r="I149">
        <f>IF($O149="","",INDEX(Master!$I$2:$I$1001,$O149))</f>
      </c>
      <c r="J149">
        <f>IF($O149="","",INDEX(Master!$J$2:$J$1001,$O149))</f>
      </c>
      <c r="K149">
        <f t="shared" si="4"/>
      </c>
      <c r="L149">
        <f>IF($O149="","",INDEX(Master!$K$2:$K$1001,$O149))</f>
      </c>
      <c r="M149">
        <f>IF($O149="","",INDEX(Master!$L$2:$L$1001,$O149))</f>
      </c>
      <c r="O149">
        <f t="array" ref="O149">IFERROR(SMALL(IF(Master!$A$2:$A$1001="AKASH SALES",ROW(Master!$A$2:$A$1001)-ROW(Master!$A$2)+1),145),"")</f>
      </c>
      <c r="P149">
        <f t="shared" si="5"/>
      </c>
    </row>
    <row r="150" spans="1:16" x14ac:dyDescent="0.25">
      <c r="A150">
        <f>IF($O150="","",INDEX(Master!$D$2:$D$1001,$O150))</f>
      </c>
      <c r="B150" s="166">
        <f>IF($O150="","",INDEX(Master!$B$2:$B$1001,$O150))</f>
      </c>
      <c r="C150">
        <f>IF($O150="","",INDEX(Master!$C$2:$C$1001,$O150))</f>
      </c>
      <c r="D150">
        <f>IF($O150="","",INDEX(Master!$A$2:$A$1001,$O150))</f>
      </c>
      <c r="E150">
        <f>IF($O150="","",INDEX(Master!$E$2:$E$1001,$O150))</f>
      </c>
      <c r="F150">
        <f>IF($O150="","",INDEX(Master!$F$2:$F$1001,$O150))</f>
      </c>
      <c r="G150">
        <f>IF($O150="","",INDEX(Master!$G$2:$G$1001,$O150))</f>
      </c>
      <c r="H150">
        <f>IF($O150="","",INDEX(Master!$H$2:$H$1001,$O150))</f>
      </c>
      <c r="I150">
        <f>IF($O150="","",INDEX(Master!$I$2:$I$1001,$O150))</f>
      </c>
      <c r="J150">
        <f>IF($O150="","",INDEX(Master!$J$2:$J$1001,$O150))</f>
      </c>
      <c r="K150">
        <f t="shared" si="4"/>
      </c>
      <c r="L150">
        <f>IF($O150="","",INDEX(Master!$K$2:$K$1001,$O150))</f>
      </c>
      <c r="M150">
        <f>IF($O150="","",INDEX(Master!$L$2:$L$1001,$O150))</f>
      </c>
      <c r="O150">
        <f t="array" ref="O150">IFERROR(SMALL(IF(Master!$A$2:$A$1001="AKASH SALES",ROW(Master!$A$2:$A$1001)-ROW(Master!$A$2)+1),146),"")</f>
      </c>
      <c r="P150">
        <f t="shared" si="5"/>
      </c>
    </row>
    <row r="151" spans="1:16" x14ac:dyDescent="0.25">
      <c r="A151">
        <f>IF($O151="","",INDEX(Master!$D$2:$D$1001,$O151))</f>
      </c>
      <c r="B151" s="166">
        <f>IF($O151="","",INDEX(Master!$B$2:$B$1001,$O151))</f>
      </c>
      <c r="C151">
        <f>IF($O151="","",INDEX(Master!$C$2:$C$1001,$O151))</f>
      </c>
      <c r="D151">
        <f>IF($O151="","",INDEX(Master!$A$2:$A$1001,$O151))</f>
      </c>
      <c r="E151">
        <f>IF($O151="","",INDEX(Master!$E$2:$E$1001,$O151))</f>
      </c>
      <c r="F151">
        <f>IF($O151="","",INDEX(Master!$F$2:$F$1001,$O151))</f>
      </c>
      <c r="G151">
        <f>IF($O151="","",INDEX(Master!$G$2:$G$1001,$O151))</f>
      </c>
      <c r="H151">
        <f>IF($O151="","",INDEX(Master!$H$2:$H$1001,$O151))</f>
      </c>
      <c r="I151">
        <f>IF($O151="","",INDEX(Master!$I$2:$I$1001,$O151))</f>
      </c>
      <c r="J151">
        <f>IF($O151="","",INDEX(Master!$J$2:$J$1001,$O151))</f>
      </c>
      <c r="K151">
        <f t="shared" si="4"/>
      </c>
      <c r="L151">
        <f>IF($O151="","",INDEX(Master!$K$2:$K$1001,$O151))</f>
      </c>
      <c r="M151">
        <f>IF($O151="","",INDEX(Master!$L$2:$L$1001,$O151))</f>
      </c>
      <c r="O151">
        <f t="array" ref="O151">IFERROR(SMALL(IF(Master!$A$2:$A$1001="AKASH SALES",ROW(Master!$A$2:$A$1001)-ROW(Master!$A$2)+1),147),"")</f>
      </c>
      <c r="P151">
        <f t="shared" si="5"/>
      </c>
    </row>
    <row r="152" spans="1:16" x14ac:dyDescent="0.25">
      <c r="A152">
        <f>IF($O152="","",INDEX(Master!$D$2:$D$1001,$O152))</f>
      </c>
      <c r="B152" s="166">
        <f>IF($O152="","",INDEX(Master!$B$2:$B$1001,$O152))</f>
      </c>
      <c r="C152">
        <f>IF($O152="","",INDEX(Master!$C$2:$C$1001,$O152))</f>
      </c>
      <c r="D152">
        <f>IF($O152="","",INDEX(Master!$A$2:$A$1001,$O152))</f>
      </c>
      <c r="E152">
        <f>IF($O152="","",INDEX(Master!$E$2:$E$1001,$O152))</f>
      </c>
      <c r="F152">
        <f>IF($O152="","",INDEX(Master!$F$2:$F$1001,$O152))</f>
      </c>
      <c r="G152">
        <f>IF($O152="","",INDEX(Master!$G$2:$G$1001,$O152))</f>
      </c>
      <c r="H152">
        <f>IF($O152="","",INDEX(Master!$H$2:$H$1001,$O152))</f>
      </c>
      <c r="I152">
        <f>IF($O152="","",INDEX(Master!$I$2:$I$1001,$O152))</f>
      </c>
      <c r="J152">
        <f>IF($O152="","",INDEX(Master!$J$2:$J$1001,$O152))</f>
      </c>
      <c r="K152">
        <f t="shared" si="4"/>
      </c>
      <c r="L152">
        <f>IF($O152="","",INDEX(Master!$K$2:$K$1001,$O152))</f>
      </c>
      <c r="M152">
        <f>IF($O152="","",INDEX(Master!$L$2:$L$1001,$O152))</f>
      </c>
      <c r="O152">
        <f t="array" ref="O152">IFERROR(SMALL(IF(Master!$A$2:$A$1001="AKASH SALES",ROW(Master!$A$2:$A$1001)-ROW(Master!$A$2)+1),148),"")</f>
      </c>
      <c r="P152">
        <f t="shared" si="5"/>
      </c>
    </row>
    <row r="153" spans="1:16" x14ac:dyDescent="0.25">
      <c r="A153">
        <f>IF($O153="","",INDEX(Master!$D$2:$D$1001,$O153))</f>
      </c>
      <c r="B153" s="166">
        <f>IF($O153="","",INDEX(Master!$B$2:$B$1001,$O153))</f>
      </c>
      <c r="C153">
        <f>IF($O153="","",INDEX(Master!$C$2:$C$1001,$O153))</f>
      </c>
      <c r="D153">
        <f>IF($O153="","",INDEX(Master!$A$2:$A$1001,$O153))</f>
      </c>
      <c r="E153">
        <f>IF($O153="","",INDEX(Master!$E$2:$E$1001,$O153))</f>
      </c>
      <c r="F153">
        <f>IF($O153="","",INDEX(Master!$F$2:$F$1001,$O153))</f>
      </c>
      <c r="G153">
        <f>IF($O153="","",INDEX(Master!$G$2:$G$1001,$O153))</f>
      </c>
      <c r="H153">
        <f>IF($O153="","",INDEX(Master!$H$2:$H$1001,$O153))</f>
      </c>
      <c r="I153">
        <f>IF($O153="","",INDEX(Master!$I$2:$I$1001,$O153))</f>
      </c>
      <c r="J153">
        <f>IF($O153="","",INDEX(Master!$J$2:$J$1001,$O153))</f>
      </c>
      <c r="K153">
        <f t="shared" si="4"/>
      </c>
      <c r="L153">
        <f>IF($O153="","",INDEX(Master!$K$2:$K$1001,$O153))</f>
      </c>
      <c r="M153">
        <f>IF($O153="","",INDEX(Master!$L$2:$L$1001,$O153))</f>
      </c>
      <c r="O153">
        <f t="array" ref="O153">IFERROR(SMALL(IF(Master!$A$2:$A$1001="AKASH SALES",ROW(Master!$A$2:$A$1001)-ROW(Master!$A$2)+1),149),"")</f>
      </c>
      <c r="P153">
        <f t="shared" si="5"/>
      </c>
    </row>
    <row r="154" spans="1:16" x14ac:dyDescent="0.25">
      <c r="A154">
        <f>IF($O154="","",INDEX(Master!$D$2:$D$1001,$O154))</f>
      </c>
      <c r="B154" s="166">
        <f>IF($O154="","",INDEX(Master!$B$2:$B$1001,$O154))</f>
      </c>
      <c r="C154">
        <f>IF($O154="","",INDEX(Master!$C$2:$C$1001,$O154))</f>
      </c>
      <c r="D154">
        <f>IF($O154="","",INDEX(Master!$A$2:$A$1001,$O154))</f>
      </c>
      <c r="E154">
        <f>IF($O154="","",INDEX(Master!$E$2:$E$1001,$O154))</f>
      </c>
      <c r="F154">
        <f>IF($O154="","",INDEX(Master!$F$2:$F$1001,$O154))</f>
      </c>
      <c r="G154">
        <f>IF($O154="","",INDEX(Master!$G$2:$G$1001,$O154))</f>
      </c>
      <c r="H154">
        <f>IF($O154="","",INDEX(Master!$H$2:$H$1001,$O154))</f>
      </c>
      <c r="I154">
        <f>IF($O154="","",INDEX(Master!$I$2:$I$1001,$O154))</f>
      </c>
      <c r="J154">
        <f>IF($O154="","",INDEX(Master!$J$2:$J$1001,$O154))</f>
      </c>
      <c r="K154">
        <f t="shared" si="4"/>
      </c>
      <c r="L154">
        <f>IF($O154="","",INDEX(Master!$K$2:$K$1001,$O154))</f>
      </c>
      <c r="M154">
        <f>IF($O154="","",INDEX(Master!$L$2:$L$1001,$O154))</f>
      </c>
      <c r="O154">
        <f t="array" ref="O154">IFERROR(SMALL(IF(Master!$A$2:$A$1001="AKASH SALES",ROW(Master!$A$2:$A$1001)-ROW(Master!$A$2)+1),150),"")</f>
      </c>
      <c r="P154">
        <f t="shared" si="5"/>
      </c>
    </row>
    <row r="155" spans="1:16" x14ac:dyDescent="0.25">
      <c r="A155">
        <f>IF($O155="","",INDEX(Master!$D$2:$D$1001,$O155))</f>
      </c>
      <c r="B155" s="166">
        <f>IF($O155="","",INDEX(Master!$B$2:$B$1001,$O155))</f>
      </c>
      <c r="C155">
        <f>IF($O155="","",INDEX(Master!$C$2:$C$1001,$O155))</f>
      </c>
      <c r="D155">
        <f>IF($O155="","",INDEX(Master!$A$2:$A$1001,$O155))</f>
      </c>
      <c r="E155">
        <f>IF($O155="","",INDEX(Master!$E$2:$E$1001,$O155))</f>
      </c>
      <c r="F155">
        <f>IF($O155="","",INDEX(Master!$F$2:$F$1001,$O155))</f>
      </c>
      <c r="G155">
        <f>IF($O155="","",INDEX(Master!$G$2:$G$1001,$O155))</f>
      </c>
      <c r="H155">
        <f>IF($O155="","",INDEX(Master!$H$2:$H$1001,$O155))</f>
      </c>
      <c r="I155">
        <f>IF($O155="","",INDEX(Master!$I$2:$I$1001,$O155))</f>
      </c>
      <c r="J155">
        <f>IF($O155="","",INDEX(Master!$J$2:$J$1001,$O155))</f>
      </c>
      <c r="K155">
        <f t="shared" si="4"/>
      </c>
      <c r="L155">
        <f>IF($O155="","",INDEX(Master!$K$2:$K$1001,$O155))</f>
      </c>
      <c r="M155">
        <f>IF($O155="","",INDEX(Master!$L$2:$L$1001,$O155))</f>
      </c>
      <c r="O155">
        <f t="array" ref="O155">IFERROR(SMALL(IF(Master!$A$2:$A$1001="AKASH SALES",ROW(Master!$A$2:$A$1001)-ROW(Master!$A$2)+1),151),"")</f>
      </c>
      <c r="P155">
        <f t="shared" si="5"/>
      </c>
    </row>
    <row r="156" spans="1:16" x14ac:dyDescent="0.25">
      <c r="A156">
        <f>IF($O156="","",INDEX(Master!$D$2:$D$1001,$O156))</f>
      </c>
      <c r="B156" s="166">
        <f>IF($O156="","",INDEX(Master!$B$2:$B$1001,$O156))</f>
      </c>
      <c r="C156">
        <f>IF($O156="","",INDEX(Master!$C$2:$C$1001,$O156))</f>
      </c>
      <c r="D156">
        <f>IF($O156="","",INDEX(Master!$A$2:$A$1001,$O156))</f>
      </c>
      <c r="E156">
        <f>IF($O156="","",INDEX(Master!$E$2:$E$1001,$O156))</f>
      </c>
      <c r="F156">
        <f>IF($O156="","",INDEX(Master!$F$2:$F$1001,$O156))</f>
      </c>
      <c r="G156">
        <f>IF($O156="","",INDEX(Master!$G$2:$G$1001,$O156))</f>
      </c>
      <c r="H156">
        <f>IF($O156="","",INDEX(Master!$H$2:$H$1001,$O156))</f>
      </c>
      <c r="I156">
        <f>IF($O156="","",INDEX(Master!$I$2:$I$1001,$O156))</f>
      </c>
      <c r="J156">
        <f>IF($O156="","",INDEX(Master!$J$2:$J$1001,$O156))</f>
      </c>
      <c r="K156">
        <f t="shared" si="4"/>
      </c>
      <c r="L156">
        <f>IF($O156="","",INDEX(Master!$K$2:$K$1001,$O156))</f>
      </c>
      <c r="M156">
        <f>IF($O156="","",INDEX(Master!$L$2:$L$1001,$O156))</f>
      </c>
      <c r="O156">
        <f t="array" ref="O156">IFERROR(SMALL(IF(Master!$A$2:$A$1001="AKASH SALES",ROW(Master!$A$2:$A$1001)-ROW(Master!$A$2)+1),152),"")</f>
      </c>
      <c r="P156">
        <f t="shared" si="5"/>
      </c>
    </row>
    <row r="157" spans="1:16" x14ac:dyDescent="0.25">
      <c r="A157">
        <f>IF($O157="","",INDEX(Master!$D$2:$D$1001,$O157))</f>
      </c>
      <c r="B157" s="166">
        <f>IF($O157="","",INDEX(Master!$B$2:$B$1001,$O157))</f>
      </c>
      <c r="C157">
        <f>IF($O157="","",INDEX(Master!$C$2:$C$1001,$O157))</f>
      </c>
      <c r="D157">
        <f>IF($O157="","",INDEX(Master!$A$2:$A$1001,$O157))</f>
      </c>
      <c r="E157">
        <f>IF($O157="","",INDEX(Master!$E$2:$E$1001,$O157))</f>
      </c>
      <c r="F157">
        <f>IF($O157="","",INDEX(Master!$F$2:$F$1001,$O157))</f>
      </c>
      <c r="G157">
        <f>IF($O157="","",INDEX(Master!$G$2:$G$1001,$O157))</f>
      </c>
      <c r="H157">
        <f>IF($O157="","",INDEX(Master!$H$2:$H$1001,$O157))</f>
      </c>
      <c r="I157">
        <f>IF($O157="","",INDEX(Master!$I$2:$I$1001,$O157))</f>
      </c>
      <c r="J157">
        <f>IF($O157="","",INDEX(Master!$J$2:$J$1001,$O157))</f>
      </c>
      <c r="K157">
        <f t="shared" si="4"/>
      </c>
      <c r="L157">
        <f>IF($O157="","",INDEX(Master!$K$2:$K$1001,$O157))</f>
      </c>
      <c r="M157">
        <f>IF($O157="","",INDEX(Master!$L$2:$L$1001,$O157))</f>
      </c>
      <c r="O157">
        <f t="array" ref="O157">IFERROR(SMALL(IF(Master!$A$2:$A$1001="AKASH SALES",ROW(Master!$A$2:$A$1001)-ROW(Master!$A$2)+1),153),"")</f>
      </c>
      <c r="P157">
        <f t="shared" si="5"/>
      </c>
    </row>
    <row r="158" spans="1:16" x14ac:dyDescent="0.25">
      <c r="A158">
        <f>IF($O158="","",INDEX(Master!$D$2:$D$1001,$O158))</f>
      </c>
      <c r="B158" s="166">
        <f>IF($O158="","",INDEX(Master!$B$2:$B$1001,$O158))</f>
      </c>
      <c r="C158">
        <f>IF($O158="","",INDEX(Master!$C$2:$C$1001,$O158))</f>
      </c>
      <c r="D158">
        <f>IF($O158="","",INDEX(Master!$A$2:$A$1001,$O158))</f>
      </c>
      <c r="E158">
        <f>IF($O158="","",INDEX(Master!$E$2:$E$1001,$O158))</f>
      </c>
      <c r="F158">
        <f>IF($O158="","",INDEX(Master!$F$2:$F$1001,$O158))</f>
      </c>
      <c r="G158">
        <f>IF($O158="","",INDEX(Master!$G$2:$G$1001,$O158))</f>
      </c>
      <c r="H158">
        <f>IF($O158="","",INDEX(Master!$H$2:$H$1001,$O158))</f>
      </c>
      <c r="I158">
        <f>IF($O158="","",INDEX(Master!$I$2:$I$1001,$O158))</f>
      </c>
      <c r="J158">
        <f>IF($O158="","",INDEX(Master!$J$2:$J$1001,$O158))</f>
      </c>
      <c r="K158">
        <f t="shared" si="4"/>
      </c>
      <c r="L158">
        <f>IF($O158="","",INDEX(Master!$K$2:$K$1001,$O158))</f>
      </c>
      <c r="M158">
        <f>IF($O158="","",INDEX(Master!$L$2:$L$1001,$O158))</f>
      </c>
      <c r="O158">
        <f t="array" ref="O158">IFERROR(SMALL(IF(Master!$A$2:$A$1001="AKASH SALES",ROW(Master!$A$2:$A$1001)-ROW(Master!$A$2)+1),154),"")</f>
      </c>
      <c r="P158">
        <f t="shared" si="5"/>
      </c>
    </row>
    <row r="159" spans="1:16" x14ac:dyDescent="0.25">
      <c r="A159">
        <f>IF($O159="","",INDEX(Master!$D$2:$D$1001,$O159))</f>
      </c>
      <c r="B159" s="166">
        <f>IF($O159="","",INDEX(Master!$B$2:$B$1001,$O159))</f>
      </c>
      <c r="C159">
        <f>IF($O159="","",INDEX(Master!$C$2:$C$1001,$O159))</f>
      </c>
      <c r="D159">
        <f>IF($O159="","",INDEX(Master!$A$2:$A$1001,$O159))</f>
      </c>
      <c r="E159">
        <f>IF($O159="","",INDEX(Master!$E$2:$E$1001,$O159))</f>
      </c>
      <c r="F159">
        <f>IF($O159="","",INDEX(Master!$F$2:$F$1001,$O159))</f>
      </c>
      <c r="G159">
        <f>IF($O159="","",INDEX(Master!$G$2:$G$1001,$O159))</f>
      </c>
      <c r="H159">
        <f>IF($O159="","",INDEX(Master!$H$2:$H$1001,$O159))</f>
      </c>
      <c r="I159">
        <f>IF($O159="","",INDEX(Master!$I$2:$I$1001,$O159))</f>
      </c>
      <c r="J159">
        <f>IF($O159="","",INDEX(Master!$J$2:$J$1001,$O159))</f>
      </c>
      <c r="K159">
        <f t="shared" si="4"/>
      </c>
      <c r="L159">
        <f>IF($O159="","",INDEX(Master!$K$2:$K$1001,$O159))</f>
      </c>
      <c r="M159">
        <f>IF($O159="","",INDEX(Master!$L$2:$L$1001,$O159))</f>
      </c>
      <c r="O159">
        <f t="array" ref="O159">IFERROR(SMALL(IF(Master!$A$2:$A$1001="AKASH SALES",ROW(Master!$A$2:$A$1001)-ROW(Master!$A$2)+1),155),"")</f>
      </c>
      <c r="P159">
        <f t="shared" si="5"/>
      </c>
    </row>
    <row r="160" spans="1:16" x14ac:dyDescent="0.25">
      <c r="A160">
        <f>IF($O160="","",INDEX(Master!$D$2:$D$1001,$O160))</f>
      </c>
      <c r="B160" s="166">
        <f>IF($O160="","",INDEX(Master!$B$2:$B$1001,$O160))</f>
      </c>
      <c r="C160">
        <f>IF($O160="","",INDEX(Master!$C$2:$C$1001,$O160))</f>
      </c>
      <c r="D160">
        <f>IF($O160="","",INDEX(Master!$A$2:$A$1001,$O160))</f>
      </c>
      <c r="E160">
        <f>IF($O160="","",INDEX(Master!$E$2:$E$1001,$O160))</f>
      </c>
      <c r="F160">
        <f>IF($O160="","",INDEX(Master!$F$2:$F$1001,$O160))</f>
      </c>
      <c r="G160">
        <f>IF($O160="","",INDEX(Master!$G$2:$G$1001,$O160))</f>
      </c>
      <c r="H160">
        <f>IF($O160="","",INDEX(Master!$H$2:$H$1001,$O160))</f>
      </c>
      <c r="I160">
        <f>IF($O160="","",INDEX(Master!$I$2:$I$1001,$O160))</f>
      </c>
      <c r="J160">
        <f>IF($O160="","",INDEX(Master!$J$2:$J$1001,$O160))</f>
      </c>
      <c r="K160">
        <f t="shared" si="4"/>
      </c>
      <c r="L160">
        <f>IF($O160="","",INDEX(Master!$K$2:$K$1001,$O160))</f>
      </c>
      <c r="M160">
        <f>IF($O160="","",INDEX(Master!$L$2:$L$1001,$O160))</f>
      </c>
      <c r="O160">
        <f t="array" ref="O160">IFERROR(SMALL(IF(Master!$A$2:$A$1001="AKASH SALES",ROW(Master!$A$2:$A$1001)-ROW(Master!$A$2)+1),156),"")</f>
      </c>
      <c r="P160">
        <f t="shared" si="5"/>
      </c>
    </row>
    <row r="161" spans="1:16" x14ac:dyDescent="0.25">
      <c r="A161">
        <f>IF($O161="","",INDEX(Master!$D$2:$D$1001,$O161))</f>
      </c>
      <c r="B161" s="166">
        <f>IF($O161="","",INDEX(Master!$B$2:$B$1001,$O161))</f>
      </c>
      <c r="C161">
        <f>IF($O161="","",INDEX(Master!$C$2:$C$1001,$O161))</f>
      </c>
      <c r="D161">
        <f>IF($O161="","",INDEX(Master!$A$2:$A$1001,$O161))</f>
      </c>
      <c r="E161">
        <f>IF($O161="","",INDEX(Master!$E$2:$E$1001,$O161))</f>
      </c>
      <c r="F161">
        <f>IF($O161="","",INDEX(Master!$F$2:$F$1001,$O161))</f>
      </c>
      <c r="G161">
        <f>IF($O161="","",INDEX(Master!$G$2:$G$1001,$O161))</f>
      </c>
      <c r="H161">
        <f>IF($O161="","",INDEX(Master!$H$2:$H$1001,$O161))</f>
      </c>
      <c r="I161">
        <f>IF($O161="","",INDEX(Master!$I$2:$I$1001,$O161))</f>
      </c>
      <c r="J161">
        <f>IF($O161="","",INDEX(Master!$J$2:$J$1001,$O161))</f>
      </c>
      <c r="K161">
        <f t="shared" si="4"/>
      </c>
      <c r="L161">
        <f>IF($O161="","",INDEX(Master!$K$2:$K$1001,$O161))</f>
      </c>
      <c r="M161">
        <f>IF($O161="","",INDEX(Master!$L$2:$L$1001,$O161))</f>
      </c>
      <c r="O161">
        <f t="array" ref="O161">IFERROR(SMALL(IF(Master!$A$2:$A$1001="AKASH SALES",ROW(Master!$A$2:$A$1001)-ROW(Master!$A$2)+1),157),"")</f>
      </c>
      <c r="P161">
        <f t="shared" si="5"/>
      </c>
    </row>
    <row r="162" spans="1:16" x14ac:dyDescent="0.25">
      <c r="A162">
        <f>IF($O162="","",INDEX(Master!$D$2:$D$1001,$O162))</f>
      </c>
      <c r="B162" s="166">
        <f>IF($O162="","",INDEX(Master!$B$2:$B$1001,$O162))</f>
      </c>
      <c r="C162">
        <f>IF($O162="","",INDEX(Master!$C$2:$C$1001,$O162))</f>
      </c>
      <c r="D162">
        <f>IF($O162="","",INDEX(Master!$A$2:$A$1001,$O162))</f>
      </c>
      <c r="E162">
        <f>IF($O162="","",INDEX(Master!$E$2:$E$1001,$O162))</f>
      </c>
      <c r="F162">
        <f>IF($O162="","",INDEX(Master!$F$2:$F$1001,$O162))</f>
      </c>
      <c r="G162">
        <f>IF($O162="","",INDEX(Master!$G$2:$G$1001,$O162))</f>
      </c>
      <c r="H162">
        <f>IF($O162="","",INDEX(Master!$H$2:$H$1001,$O162))</f>
      </c>
      <c r="I162">
        <f>IF($O162="","",INDEX(Master!$I$2:$I$1001,$O162))</f>
      </c>
      <c r="J162">
        <f>IF($O162="","",INDEX(Master!$J$2:$J$1001,$O162))</f>
      </c>
      <c r="K162">
        <f t="shared" si="4"/>
      </c>
      <c r="L162">
        <f>IF($O162="","",INDEX(Master!$K$2:$K$1001,$O162))</f>
      </c>
      <c r="M162">
        <f>IF($O162="","",INDEX(Master!$L$2:$L$1001,$O162))</f>
      </c>
      <c r="O162">
        <f t="array" ref="O162">IFERROR(SMALL(IF(Master!$A$2:$A$1001="AKASH SALES",ROW(Master!$A$2:$A$1001)-ROW(Master!$A$2)+1),158),"")</f>
      </c>
      <c r="P162">
        <f t="shared" si="5"/>
      </c>
    </row>
    <row r="163" spans="1:16" x14ac:dyDescent="0.25">
      <c r="A163">
        <f>IF($O163="","",INDEX(Master!$D$2:$D$1001,$O163))</f>
      </c>
      <c r="B163" s="166">
        <f>IF($O163="","",INDEX(Master!$B$2:$B$1001,$O163))</f>
      </c>
      <c r="C163">
        <f>IF($O163="","",INDEX(Master!$C$2:$C$1001,$O163))</f>
      </c>
      <c r="D163">
        <f>IF($O163="","",INDEX(Master!$A$2:$A$1001,$O163))</f>
      </c>
      <c r="E163">
        <f>IF($O163="","",INDEX(Master!$E$2:$E$1001,$O163))</f>
      </c>
      <c r="F163">
        <f>IF($O163="","",INDEX(Master!$F$2:$F$1001,$O163))</f>
      </c>
      <c r="G163">
        <f>IF($O163="","",INDEX(Master!$G$2:$G$1001,$O163))</f>
      </c>
      <c r="H163">
        <f>IF($O163="","",INDEX(Master!$H$2:$H$1001,$O163))</f>
      </c>
      <c r="I163">
        <f>IF($O163="","",INDEX(Master!$I$2:$I$1001,$O163))</f>
      </c>
      <c r="J163">
        <f>IF($O163="","",INDEX(Master!$J$2:$J$1001,$O163))</f>
      </c>
      <c r="K163">
        <f t="shared" si="4"/>
      </c>
      <c r="L163">
        <f>IF($O163="","",INDEX(Master!$K$2:$K$1001,$O163))</f>
      </c>
      <c r="M163">
        <f>IF($O163="","",INDEX(Master!$L$2:$L$1001,$O163))</f>
      </c>
      <c r="O163">
        <f t="array" ref="O163">IFERROR(SMALL(IF(Master!$A$2:$A$1001="AKASH SALES",ROW(Master!$A$2:$A$1001)-ROW(Master!$A$2)+1),159),"")</f>
      </c>
      <c r="P163">
        <f t="shared" si="5"/>
      </c>
    </row>
    <row r="164" spans="1:16" x14ac:dyDescent="0.25">
      <c r="A164">
        <f>IF($O164="","",INDEX(Master!$D$2:$D$1001,$O164))</f>
      </c>
      <c r="B164" s="166">
        <f>IF($O164="","",INDEX(Master!$B$2:$B$1001,$O164))</f>
      </c>
      <c r="C164">
        <f>IF($O164="","",INDEX(Master!$C$2:$C$1001,$O164))</f>
      </c>
      <c r="D164">
        <f>IF($O164="","",INDEX(Master!$A$2:$A$1001,$O164))</f>
      </c>
      <c r="E164">
        <f>IF($O164="","",INDEX(Master!$E$2:$E$1001,$O164))</f>
      </c>
      <c r="F164">
        <f>IF($O164="","",INDEX(Master!$F$2:$F$1001,$O164))</f>
      </c>
      <c r="G164">
        <f>IF($O164="","",INDEX(Master!$G$2:$G$1001,$O164))</f>
      </c>
      <c r="H164">
        <f>IF($O164="","",INDEX(Master!$H$2:$H$1001,$O164))</f>
      </c>
      <c r="I164">
        <f>IF($O164="","",INDEX(Master!$I$2:$I$1001,$O164))</f>
      </c>
      <c r="J164">
        <f>IF($O164="","",INDEX(Master!$J$2:$J$1001,$O164))</f>
      </c>
      <c r="K164">
        <f t="shared" si="4"/>
      </c>
      <c r="L164">
        <f>IF($O164="","",INDEX(Master!$K$2:$K$1001,$O164))</f>
      </c>
      <c r="M164">
        <f>IF($O164="","",INDEX(Master!$L$2:$L$1001,$O164))</f>
      </c>
      <c r="O164">
        <f t="array" ref="O164">IFERROR(SMALL(IF(Master!$A$2:$A$1001="AKASH SALES",ROW(Master!$A$2:$A$1001)-ROW(Master!$A$2)+1),160),"")</f>
      </c>
      <c r="P164">
        <f t="shared" si="5"/>
      </c>
    </row>
    <row r="165" spans="1:16" x14ac:dyDescent="0.25">
      <c r="A165">
        <f>IF($O165="","",INDEX(Master!$D$2:$D$1001,$O165))</f>
      </c>
      <c r="B165" s="166">
        <f>IF($O165="","",INDEX(Master!$B$2:$B$1001,$O165))</f>
      </c>
      <c r="C165">
        <f>IF($O165="","",INDEX(Master!$C$2:$C$1001,$O165))</f>
      </c>
      <c r="D165">
        <f>IF($O165="","",INDEX(Master!$A$2:$A$1001,$O165))</f>
      </c>
      <c r="E165">
        <f>IF($O165="","",INDEX(Master!$E$2:$E$1001,$O165))</f>
      </c>
      <c r="F165">
        <f>IF($O165="","",INDEX(Master!$F$2:$F$1001,$O165))</f>
      </c>
      <c r="G165">
        <f>IF($O165="","",INDEX(Master!$G$2:$G$1001,$O165))</f>
      </c>
      <c r="H165">
        <f>IF($O165="","",INDEX(Master!$H$2:$H$1001,$O165))</f>
      </c>
      <c r="I165">
        <f>IF($O165="","",INDEX(Master!$I$2:$I$1001,$O165))</f>
      </c>
      <c r="J165">
        <f>IF($O165="","",INDEX(Master!$J$2:$J$1001,$O165))</f>
      </c>
      <c r="K165">
        <f t="shared" si="4"/>
      </c>
      <c r="L165">
        <f>IF($O165="","",INDEX(Master!$K$2:$K$1001,$O165))</f>
      </c>
      <c r="M165">
        <f>IF($O165="","",INDEX(Master!$L$2:$L$1001,$O165))</f>
      </c>
      <c r="O165">
        <f t="array" ref="O165">IFERROR(SMALL(IF(Master!$A$2:$A$1001="AKASH SALES",ROW(Master!$A$2:$A$1001)-ROW(Master!$A$2)+1),161),"")</f>
      </c>
      <c r="P165">
        <f t="shared" si="5"/>
      </c>
    </row>
    <row r="166" spans="1:16" x14ac:dyDescent="0.25">
      <c r="A166">
        <f>IF($O166="","",INDEX(Master!$D$2:$D$1001,$O166))</f>
      </c>
      <c r="B166" s="166">
        <f>IF($O166="","",INDEX(Master!$B$2:$B$1001,$O166))</f>
      </c>
      <c r="C166">
        <f>IF($O166="","",INDEX(Master!$C$2:$C$1001,$O166))</f>
      </c>
      <c r="D166">
        <f>IF($O166="","",INDEX(Master!$A$2:$A$1001,$O166))</f>
      </c>
      <c r="E166">
        <f>IF($O166="","",INDEX(Master!$E$2:$E$1001,$O166))</f>
      </c>
      <c r="F166">
        <f>IF($O166="","",INDEX(Master!$F$2:$F$1001,$O166))</f>
      </c>
      <c r="G166">
        <f>IF($O166="","",INDEX(Master!$G$2:$G$1001,$O166))</f>
      </c>
      <c r="H166">
        <f>IF($O166="","",INDEX(Master!$H$2:$H$1001,$O166))</f>
      </c>
      <c r="I166">
        <f>IF($O166="","",INDEX(Master!$I$2:$I$1001,$O166))</f>
      </c>
      <c r="J166">
        <f>IF($O166="","",INDEX(Master!$J$2:$J$1001,$O166))</f>
      </c>
      <c r="K166">
        <f t="shared" si="4"/>
      </c>
      <c r="L166">
        <f>IF($O166="","",INDEX(Master!$K$2:$K$1001,$O166))</f>
      </c>
      <c r="M166">
        <f>IF($O166="","",INDEX(Master!$L$2:$L$1001,$O166))</f>
      </c>
      <c r="O166">
        <f t="array" ref="O166">IFERROR(SMALL(IF(Master!$A$2:$A$1001="AKASH SALES",ROW(Master!$A$2:$A$1001)-ROW(Master!$A$2)+1),162),"")</f>
      </c>
      <c r="P166">
        <f t="shared" si="5"/>
      </c>
    </row>
    <row r="167" spans="1:16" x14ac:dyDescent="0.25">
      <c r="A167">
        <f>IF($O167="","",INDEX(Master!$D$2:$D$1001,$O167))</f>
      </c>
      <c r="B167" s="166">
        <f>IF($O167="","",INDEX(Master!$B$2:$B$1001,$O167))</f>
      </c>
      <c r="C167">
        <f>IF($O167="","",INDEX(Master!$C$2:$C$1001,$O167))</f>
      </c>
      <c r="D167">
        <f>IF($O167="","",INDEX(Master!$A$2:$A$1001,$O167))</f>
      </c>
      <c r="E167">
        <f>IF($O167="","",INDEX(Master!$E$2:$E$1001,$O167))</f>
      </c>
      <c r="F167">
        <f>IF($O167="","",INDEX(Master!$F$2:$F$1001,$O167))</f>
      </c>
      <c r="G167">
        <f>IF($O167="","",INDEX(Master!$G$2:$G$1001,$O167))</f>
      </c>
      <c r="H167">
        <f>IF($O167="","",INDEX(Master!$H$2:$H$1001,$O167))</f>
      </c>
      <c r="I167">
        <f>IF($O167="","",INDEX(Master!$I$2:$I$1001,$O167))</f>
      </c>
      <c r="J167">
        <f>IF($O167="","",INDEX(Master!$J$2:$J$1001,$O167))</f>
      </c>
      <c r="K167">
        <f t="shared" si="4"/>
      </c>
      <c r="L167">
        <f>IF($O167="","",INDEX(Master!$K$2:$K$1001,$O167))</f>
      </c>
      <c r="M167">
        <f>IF($O167="","",INDEX(Master!$L$2:$L$1001,$O167))</f>
      </c>
      <c r="O167">
        <f t="array" ref="O167">IFERROR(SMALL(IF(Master!$A$2:$A$1001="AKASH SALES",ROW(Master!$A$2:$A$1001)-ROW(Master!$A$2)+1),163),"")</f>
      </c>
      <c r="P167">
        <f t="shared" si="5"/>
      </c>
    </row>
    <row r="168" spans="1:16" x14ac:dyDescent="0.25">
      <c r="A168">
        <f>IF($O168="","",INDEX(Master!$D$2:$D$1001,$O168))</f>
      </c>
      <c r="B168" s="166">
        <f>IF($O168="","",INDEX(Master!$B$2:$B$1001,$O168))</f>
      </c>
      <c r="C168">
        <f>IF($O168="","",INDEX(Master!$C$2:$C$1001,$O168))</f>
      </c>
      <c r="D168">
        <f>IF($O168="","",INDEX(Master!$A$2:$A$1001,$O168))</f>
      </c>
      <c r="E168">
        <f>IF($O168="","",INDEX(Master!$E$2:$E$1001,$O168))</f>
      </c>
      <c r="F168">
        <f>IF($O168="","",INDEX(Master!$F$2:$F$1001,$O168))</f>
      </c>
      <c r="G168">
        <f>IF($O168="","",INDEX(Master!$G$2:$G$1001,$O168))</f>
      </c>
      <c r="H168">
        <f>IF($O168="","",INDEX(Master!$H$2:$H$1001,$O168))</f>
      </c>
      <c r="I168">
        <f>IF($O168="","",INDEX(Master!$I$2:$I$1001,$O168))</f>
      </c>
      <c r="J168">
        <f>IF($O168="","",INDEX(Master!$J$2:$J$1001,$O168))</f>
      </c>
      <c r="K168">
        <f t="shared" si="4"/>
      </c>
      <c r="L168">
        <f>IF($O168="","",INDEX(Master!$K$2:$K$1001,$O168))</f>
      </c>
      <c r="M168">
        <f>IF($O168="","",INDEX(Master!$L$2:$L$1001,$O168))</f>
      </c>
      <c r="O168">
        <f t="array" ref="O168">IFERROR(SMALL(IF(Master!$A$2:$A$1001="AKASH SALES",ROW(Master!$A$2:$A$1001)-ROW(Master!$A$2)+1),164),"")</f>
      </c>
      <c r="P168">
        <f t="shared" si="5"/>
      </c>
    </row>
    <row r="169" spans="1:16" x14ac:dyDescent="0.25">
      <c r="A169">
        <f>IF($O169="","",INDEX(Master!$D$2:$D$1001,$O169))</f>
      </c>
      <c r="B169" s="166">
        <f>IF($O169="","",INDEX(Master!$B$2:$B$1001,$O169))</f>
      </c>
      <c r="C169">
        <f>IF($O169="","",INDEX(Master!$C$2:$C$1001,$O169))</f>
      </c>
      <c r="D169">
        <f>IF($O169="","",INDEX(Master!$A$2:$A$1001,$O169))</f>
      </c>
      <c r="E169">
        <f>IF($O169="","",INDEX(Master!$E$2:$E$1001,$O169))</f>
      </c>
      <c r="F169">
        <f>IF($O169="","",INDEX(Master!$F$2:$F$1001,$O169))</f>
      </c>
      <c r="G169">
        <f>IF($O169="","",INDEX(Master!$G$2:$G$1001,$O169))</f>
      </c>
      <c r="H169">
        <f>IF($O169="","",INDEX(Master!$H$2:$H$1001,$O169))</f>
      </c>
      <c r="I169">
        <f>IF($O169="","",INDEX(Master!$I$2:$I$1001,$O169))</f>
      </c>
      <c r="J169">
        <f>IF($O169="","",INDEX(Master!$J$2:$J$1001,$O169))</f>
      </c>
      <c r="K169">
        <f t="shared" si="4"/>
      </c>
      <c r="L169">
        <f>IF($O169="","",INDEX(Master!$K$2:$K$1001,$O169))</f>
      </c>
      <c r="M169">
        <f>IF($O169="","",INDEX(Master!$L$2:$L$1001,$O169))</f>
      </c>
      <c r="O169">
        <f t="array" ref="O169">IFERROR(SMALL(IF(Master!$A$2:$A$1001="AKASH SALES",ROW(Master!$A$2:$A$1001)-ROW(Master!$A$2)+1),165),"")</f>
      </c>
      <c r="P169">
        <f t="shared" si="5"/>
      </c>
    </row>
    <row r="170" spans="1:16" x14ac:dyDescent="0.25">
      <c r="A170">
        <f>IF($O170="","",INDEX(Master!$D$2:$D$1001,$O170))</f>
      </c>
      <c r="B170" s="166">
        <f>IF($O170="","",INDEX(Master!$B$2:$B$1001,$O170))</f>
      </c>
      <c r="C170">
        <f>IF($O170="","",INDEX(Master!$C$2:$C$1001,$O170))</f>
      </c>
      <c r="D170">
        <f>IF($O170="","",INDEX(Master!$A$2:$A$1001,$O170))</f>
      </c>
      <c r="E170">
        <f>IF($O170="","",INDEX(Master!$E$2:$E$1001,$O170))</f>
      </c>
      <c r="F170">
        <f>IF($O170="","",INDEX(Master!$F$2:$F$1001,$O170))</f>
      </c>
      <c r="G170">
        <f>IF($O170="","",INDEX(Master!$G$2:$G$1001,$O170))</f>
      </c>
      <c r="H170">
        <f>IF($O170="","",INDEX(Master!$H$2:$H$1001,$O170))</f>
      </c>
      <c r="I170">
        <f>IF($O170="","",INDEX(Master!$I$2:$I$1001,$O170))</f>
      </c>
      <c r="J170">
        <f>IF($O170="","",INDEX(Master!$J$2:$J$1001,$O170))</f>
      </c>
      <c r="K170">
        <f t="shared" si="4"/>
      </c>
      <c r="L170">
        <f>IF($O170="","",INDEX(Master!$K$2:$K$1001,$O170))</f>
      </c>
      <c r="M170">
        <f>IF($O170="","",INDEX(Master!$L$2:$L$1001,$O170))</f>
      </c>
      <c r="O170">
        <f t="array" ref="O170">IFERROR(SMALL(IF(Master!$A$2:$A$1001="AKASH SALES",ROW(Master!$A$2:$A$1001)-ROW(Master!$A$2)+1),166),"")</f>
      </c>
      <c r="P170">
        <f t="shared" si="5"/>
      </c>
    </row>
    <row r="171" spans="1:16" x14ac:dyDescent="0.25">
      <c r="A171">
        <f>IF($O171="","",INDEX(Master!$D$2:$D$1001,$O171))</f>
      </c>
      <c r="B171" s="166">
        <f>IF($O171="","",INDEX(Master!$B$2:$B$1001,$O171))</f>
      </c>
      <c r="C171">
        <f>IF($O171="","",INDEX(Master!$C$2:$C$1001,$O171))</f>
      </c>
      <c r="D171">
        <f>IF($O171="","",INDEX(Master!$A$2:$A$1001,$O171))</f>
      </c>
      <c r="E171">
        <f>IF($O171="","",INDEX(Master!$E$2:$E$1001,$O171))</f>
      </c>
      <c r="F171">
        <f>IF($O171="","",INDEX(Master!$F$2:$F$1001,$O171))</f>
      </c>
      <c r="G171">
        <f>IF($O171="","",INDEX(Master!$G$2:$G$1001,$O171))</f>
      </c>
      <c r="H171">
        <f>IF($O171="","",INDEX(Master!$H$2:$H$1001,$O171))</f>
      </c>
      <c r="I171">
        <f>IF($O171="","",INDEX(Master!$I$2:$I$1001,$O171))</f>
      </c>
      <c r="J171">
        <f>IF($O171="","",INDEX(Master!$J$2:$J$1001,$O171))</f>
      </c>
      <c r="K171">
        <f t="shared" si="4"/>
      </c>
      <c r="L171">
        <f>IF($O171="","",INDEX(Master!$K$2:$K$1001,$O171))</f>
      </c>
      <c r="M171">
        <f>IF($O171="","",INDEX(Master!$L$2:$L$1001,$O171))</f>
      </c>
      <c r="O171">
        <f t="array" ref="O171">IFERROR(SMALL(IF(Master!$A$2:$A$1001="AKASH SALES",ROW(Master!$A$2:$A$1001)-ROW(Master!$A$2)+1),167),"")</f>
      </c>
      <c r="P171">
        <f t="shared" si="5"/>
      </c>
    </row>
    <row r="172" spans="1:16" x14ac:dyDescent="0.25">
      <c r="A172">
        <f>IF($O172="","",INDEX(Master!$D$2:$D$1001,$O172))</f>
      </c>
      <c r="B172" s="166">
        <f>IF($O172="","",INDEX(Master!$B$2:$B$1001,$O172))</f>
      </c>
      <c r="C172">
        <f>IF($O172="","",INDEX(Master!$C$2:$C$1001,$O172))</f>
      </c>
      <c r="D172">
        <f>IF($O172="","",INDEX(Master!$A$2:$A$1001,$O172))</f>
      </c>
      <c r="E172">
        <f>IF($O172="","",INDEX(Master!$E$2:$E$1001,$O172))</f>
      </c>
      <c r="F172">
        <f>IF($O172="","",INDEX(Master!$F$2:$F$1001,$O172))</f>
      </c>
      <c r="G172">
        <f>IF($O172="","",INDEX(Master!$G$2:$G$1001,$O172))</f>
      </c>
      <c r="H172">
        <f>IF($O172="","",INDEX(Master!$H$2:$H$1001,$O172))</f>
      </c>
      <c r="I172">
        <f>IF($O172="","",INDEX(Master!$I$2:$I$1001,$O172))</f>
      </c>
      <c r="J172">
        <f>IF($O172="","",INDEX(Master!$J$2:$J$1001,$O172))</f>
      </c>
      <c r="K172">
        <f t="shared" si="4"/>
      </c>
      <c r="L172">
        <f>IF($O172="","",INDEX(Master!$K$2:$K$1001,$O172))</f>
      </c>
      <c r="M172">
        <f>IF($O172="","",INDEX(Master!$L$2:$L$1001,$O172))</f>
      </c>
      <c r="O172">
        <f t="array" ref="O172">IFERROR(SMALL(IF(Master!$A$2:$A$1001="AKASH SALES",ROW(Master!$A$2:$A$1001)-ROW(Master!$A$2)+1),168),"")</f>
      </c>
      <c r="P172">
        <f t="shared" si="5"/>
      </c>
    </row>
    <row r="173" spans="1:16" x14ac:dyDescent="0.25">
      <c r="A173">
        <f>IF($O173="","",INDEX(Master!$D$2:$D$1001,$O173))</f>
      </c>
      <c r="B173" s="166">
        <f>IF($O173="","",INDEX(Master!$B$2:$B$1001,$O173))</f>
      </c>
      <c r="C173">
        <f>IF($O173="","",INDEX(Master!$C$2:$C$1001,$O173))</f>
      </c>
      <c r="D173">
        <f>IF($O173="","",INDEX(Master!$A$2:$A$1001,$O173))</f>
      </c>
      <c r="E173">
        <f>IF($O173="","",INDEX(Master!$E$2:$E$1001,$O173))</f>
      </c>
      <c r="F173">
        <f>IF($O173="","",INDEX(Master!$F$2:$F$1001,$O173))</f>
      </c>
      <c r="G173">
        <f>IF($O173="","",INDEX(Master!$G$2:$G$1001,$O173))</f>
      </c>
      <c r="H173">
        <f>IF($O173="","",INDEX(Master!$H$2:$H$1001,$O173))</f>
      </c>
      <c r="I173">
        <f>IF($O173="","",INDEX(Master!$I$2:$I$1001,$O173))</f>
      </c>
      <c r="J173">
        <f>IF($O173="","",INDEX(Master!$J$2:$J$1001,$O173))</f>
      </c>
      <c r="K173">
        <f t="shared" si="4"/>
      </c>
      <c r="L173">
        <f>IF($O173="","",INDEX(Master!$K$2:$K$1001,$O173))</f>
      </c>
      <c r="M173">
        <f>IF($O173="","",INDEX(Master!$L$2:$L$1001,$O173))</f>
      </c>
      <c r="O173">
        <f t="array" ref="O173">IFERROR(SMALL(IF(Master!$A$2:$A$1001="AKASH SALES",ROW(Master!$A$2:$A$1001)-ROW(Master!$A$2)+1),169),"")</f>
      </c>
      <c r="P173">
        <f t="shared" si="5"/>
      </c>
    </row>
    <row r="174" spans="1:16" x14ac:dyDescent="0.25">
      <c r="A174">
        <f>IF($O174="","",INDEX(Master!$D$2:$D$1001,$O174))</f>
      </c>
      <c r="B174" s="166">
        <f>IF($O174="","",INDEX(Master!$B$2:$B$1001,$O174))</f>
      </c>
      <c r="C174">
        <f>IF($O174="","",INDEX(Master!$C$2:$C$1001,$O174))</f>
      </c>
      <c r="D174">
        <f>IF($O174="","",INDEX(Master!$A$2:$A$1001,$O174))</f>
      </c>
      <c r="E174">
        <f>IF($O174="","",INDEX(Master!$E$2:$E$1001,$O174))</f>
      </c>
      <c r="F174">
        <f>IF($O174="","",INDEX(Master!$F$2:$F$1001,$O174))</f>
      </c>
      <c r="G174">
        <f>IF($O174="","",INDEX(Master!$G$2:$G$1001,$O174))</f>
      </c>
      <c r="H174">
        <f>IF($O174="","",INDEX(Master!$H$2:$H$1001,$O174))</f>
      </c>
      <c r="I174">
        <f>IF($O174="","",INDEX(Master!$I$2:$I$1001,$O174))</f>
      </c>
      <c r="J174">
        <f>IF($O174="","",INDEX(Master!$J$2:$J$1001,$O174))</f>
      </c>
      <c r="K174">
        <f t="shared" si="4"/>
      </c>
      <c r="L174">
        <f>IF($O174="","",INDEX(Master!$K$2:$K$1001,$O174))</f>
      </c>
      <c r="M174">
        <f>IF($O174="","",INDEX(Master!$L$2:$L$1001,$O174))</f>
      </c>
      <c r="O174">
        <f t="array" ref="O174">IFERROR(SMALL(IF(Master!$A$2:$A$1001="AKASH SALES",ROW(Master!$A$2:$A$1001)-ROW(Master!$A$2)+1),170),"")</f>
      </c>
      <c r="P174">
        <f t="shared" si="5"/>
      </c>
    </row>
    <row r="175" spans="1:16" x14ac:dyDescent="0.25">
      <c r="A175">
        <f>IF($O175="","",INDEX(Master!$D$2:$D$1001,$O175))</f>
      </c>
      <c r="B175" s="166">
        <f>IF($O175="","",INDEX(Master!$B$2:$B$1001,$O175))</f>
      </c>
      <c r="C175">
        <f>IF($O175="","",INDEX(Master!$C$2:$C$1001,$O175))</f>
      </c>
      <c r="D175">
        <f>IF($O175="","",INDEX(Master!$A$2:$A$1001,$O175))</f>
      </c>
      <c r="E175">
        <f>IF($O175="","",INDEX(Master!$E$2:$E$1001,$O175))</f>
      </c>
      <c r="F175">
        <f>IF($O175="","",INDEX(Master!$F$2:$F$1001,$O175))</f>
      </c>
      <c r="G175">
        <f>IF($O175="","",INDEX(Master!$G$2:$G$1001,$O175))</f>
      </c>
      <c r="H175">
        <f>IF($O175="","",INDEX(Master!$H$2:$H$1001,$O175))</f>
      </c>
      <c r="I175">
        <f>IF($O175="","",INDEX(Master!$I$2:$I$1001,$O175))</f>
      </c>
      <c r="J175">
        <f>IF($O175="","",INDEX(Master!$J$2:$J$1001,$O175))</f>
      </c>
      <c r="K175">
        <f t="shared" si="4"/>
      </c>
      <c r="L175">
        <f>IF($O175="","",INDEX(Master!$K$2:$K$1001,$O175))</f>
      </c>
      <c r="M175">
        <f>IF($O175="","",INDEX(Master!$L$2:$L$1001,$O175))</f>
      </c>
      <c r="O175">
        <f t="array" ref="O175">IFERROR(SMALL(IF(Master!$A$2:$A$1001="AKASH SALES",ROW(Master!$A$2:$A$1001)-ROW(Master!$A$2)+1),171),"")</f>
      </c>
      <c r="P175">
        <f t="shared" si="5"/>
      </c>
    </row>
    <row r="176" spans="1:16" x14ac:dyDescent="0.25">
      <c r="A176">
        <f>IF($O176="","",INDEX(Master!$D$2:$D$1001,$O176))</f>
      </c>
      <c r="B176" s="166">
        <f>IF($O176="","",INDEX(Master!$B$2:$B$1001,$O176))</f>
      </c>
      <c r="C176">
        <f>IF($O176="","",INDEX(Master!$C$2:$C$1001,$O176))</f>
      </c>
      <c r="D176">
        <f>IF($O176="","",INDEX(Master!$A$2:$A$1001,$O176))</f>
      </c>
      <c r="E176">
        <f>IF($O176="","",INDEX(Master!$E$2:$E$1001,$O176))</f>
      </c>
      <c r="F176">
        <f>IF($O176="","",INDEX(Master!$F$2:$F$1001,$O176))</f>
      </c>
      <c r="G176">
        <f>IF($O176="","",INDEX(Master!$G$2:$G$1001,$O176))</f>
      </c>
      <c r="H176">
        <f>IF($O176="","",INDEX(Master!$H$2:$H$1001,$O176))</f>
      </c>
      <c r="I176">
        <f>IF($O176="","",INDEX(Master!$I$2:$I$1001,$O176))</f>
      </c>
      <c r="J176">
        <f>IF($O176="","",INDEX(Master!$J$2:$J$1001,$O176))</f>
      </c>
      <c r="K176">
        <f t="shared" si="4"/>
      </c>
      <c r="L176">
        <f>IF($O176="","",INDEX(Master!$K$2:$K$1001,$O176))</f>
      </c>
      <c r="M176">
        <f>IF($O176="","",INDEX(Master!$L$2:$L$1001,$O176))</f>
      </c>
      <c r="O176">
        <f t="array" ref="O176">IFERROR(SMALL(IF(Master!$A$2:$A$1001="AKASH SALES",ROW(Master!$A$2:$A$1001)-ROW(Master!$A$2)+1),172),"")</f>
      </c>
      <c r="P176">
        <f t="shared" si="5"/>
      </c>
    </row>
    <row r="177" spans="1:16" x14ac:dyDescent="0.25">
      <c r="A177">
        <f>IF($O177="","",INDEX(Master!$D$2:$D$1001,$O177))</f>
      </c>
      <c r="B177" s="166">
        <f>IF($O177="","",INDEX(Master!$B$2:$B$1001,$O177))</f>
      </c>
      <c r="C177">
        <f>IF($O177="","",INDEX(Master!$C$2:$C$1001,$O177))</f>
      </c>
      <c r="D177">
        <f>IF($O177="","",INDEX(Master!$A$2:$A$1001,$O177))</f>
      </c>
      <c r="E177">
        <f>IF($O177="","",INDEX(Master!$E$2:$E$1001,$O177))</f>
      </c>
      <c r="F177">
        <f>IF($O177="","",INDEX(Master!$F$2:$F$1001,$O177))</f>
      </c>
      <c r="G177">
        <f>IF($O177="","",INDEX(Master!$G$2:$G$1001,$O177))</f>
      </c>
      <c r="H177">
        <f>IF($O177="","",INDEX(Master!$H$2:$H$1001,$O177))</f>
      </c>
      <c r="I177">
        <f>IF($O177="","",INDEX(Master!$I$2:$I$1001,$O177))</f>
      </c>
      <c r="J177">
        <f>IF($O177="","",INDEX(Master!$J$2:$J$1001,$O177))</f>
      </c>
      <c r="K177">
        <f t="shared" si="4"/>
      </c>
      <c r="L177">
        <f>IF($O177="","",INDEX(Master!$K$2:$K$1001,$O177))</f>
      </c>
      <c r="M177">
        <f>IF($O177="","",INDEX(Master!$L$2:$L$1001,$O177))</f>
      </c>
      <c r="O177">
        <f t="array" ref="O177">IFERROR(SMALL(IF(Master!$A$2:$A$1001="AKASH SALES",ROW(Master!$A$2:$A$1001)-ROW(Master!$A$2)+1),173),"")</f>
      </c>
      <c r="P177">
        <f t="shared" si="5"/>
      </c>
    </row>
    <row r="178" spans="1:16" x14ac:dyDescent="0.25">
      <c r="A178">
        <f>IF($O178="","",INDEX(Master!$D$2:$D$1001,$O178))</f>
      </c>
      <c r="B178" s="166">
        <f>IF($O178="","",INDEX(Master!$B$2:$B$1001,$O178))</f>
      </c>
      <c r="C178">
        <f>IF($O178="","",INDEX(Master!$C$2:$C$1001,$O178))</f>
      </c>
      <c r="D178">
        <f>IF($O178="","",INDEX(Master!$A$2:$A$1001,$O178))</f>
      </c>
      <c r="E178">
        <f>IF($O178="","",INDEX(Master!$E$2:$E$1001,$O178))</f>
      </c>
      <c r="F178">
        <f>IF($O178="","",INDEX(Master!$F$2:$F$1001,$O178))</f>
      </c>
      <c r="G178">
        <f>IF($O178="","",INDEX(Master!$G$2:$G$1001,$O178))</f>
      </c>
      <c r="H178">
        <f>IF($O178="","",INDEX(Master!$H$2:$H$1001,$O178))</f>
      </c>
      <c r="I178">
        <f>IF($O178="","",INDEX(Master!$I$2:$I$1001,$O178))</f>
      </c>
      <c r="J178">
        <f>IF($O178="","",INDEX(Master!$J$2:$J$1001,$O178))</f>
      </c>
      <c r="K178">
        <f t="shared" si="4"/>
      </c>
      <c r="L178">
        <f>IF($O178="","",INDEX(Master!$K$2:$K$1001,$O178))</f>
      </c>
      <c r="M178">
        <f>IF($O178="","",INDEX(Master!$L$2:$L$1001,$O178))</f>
      </c>
      <c r="O178">
        <f t="array" ref="O178">IFERROR(SMALL(IF(Master!$A$2:$A$1001="AKASH SALES",ROW(Master!$A$2:$A$1001)-ROW(Master!$A$2)+1),174),"")</f>
      </c>
      <c r="P178">
        <f t="shared" si="5"/>
      </c>
    </row>
    <row r="179" spans="1:16" x14ac:dyDescent="0.25">
      <c r="A179">
        <f>IF($O179="","",INDEX(Master!$D$2:$D$1001,$O179))</f>
      </c>
      <c r="B179" s="166">
        <f>IF($O179="","",INDEX(Master!$B$2:$B$1001,$O179))</f>
      </c>
      <c r="C179">
        <f>IF($O179="","",INDEX(Master!$C$2:$C$1001,$O179))</f>
      </c>
      <c r="D179">
        <f>IF($O179="","",INDEX(Master!$A$2:$A$1001,$O179))</f>
      </c>
      <c r="E179">
        <f>IF($O179="","",INDEX(Master!$E$2:$E$1001,$O179))</f>
      </c>
      <c r="F179">
        <f>IF($O179="","",INDEX(Master!$F$2:$F$1001,$O179))</f>
      </c>
      <c r="G179">
        <f>IF($O179="","",INDEX(Master!$G$2:$G$1001,$O179))</f>
      </c>
      <c r="H179">
        <f>IF($O179="","",INDEX(Master!$H$2:$H$1001,$O179))</f>
      </c>
      <c r="I179">
        <f>IF($O179="","",INDEX(Master!$I$2:$I$1001,$O179))</f>
      </c>
      <c r="J179">
        <f>IF($O179="","",INDEX(Master!$J$2:$J$1001,$O179))</f>
      </c>
      <c r="K179">
        <f t="shared" si="4"/>
      </c>
      <c r="L179">
        <f>IF($O179="","",INDEX(Master!$K$2:$K$1001,$O179))</f>
      </c>
      <c r="M179">
        <f>IF($O179="","",INDEX(Master!$L$2:$L$1001,$O179))</f>
      </c>
      <c r="O179">
        <f t="array" ref="O179">IFERROR(SMALL(IF(Master!$A$2:$A$1001="AKASH SALES",ROW(Master!$A$2:$A$1001)-ROW(Master!$A$2)+1),175),"")</f>
      </c>
      <c r="P179">
        <f t="shared" si="5"/>
      </c>
    </row>
    <row r="180" spans="1:16" x14ac:dyDescent="0.25">
      <c r="A180">
        <f>IF($O180="","",INDEX(Master!$D$2:$D$1001,$O180))</f>
      </c>
      <c r="B180" s="166">
        <f>IF($O180="","",INDEX(Master!$B$2:$B$1001,$O180))</f>
      </c>
      <c r="C180">
        <f>IF($O180="","",INDEX(Master!$C$2:$C$1001,$O180))</f>
      </c>
      <c r="D180">
        <f>IF($O180="","",INDEX(Master!$A$2:$A$1001,$O180))</f>
      </c>
      <c r="E180">
        <f>IF($O180="","",INDEX(Master!$E$2:$E$1001,$O180))</f>
      </c>
      <c r="F180">
        <f>IF($O180="","",INDEX(Master!$F$2:$F$1001,$O180))</f>
      </c>
      <c r="G180">
        <f>IF($O180="","",INDEX(Master!$G$2:$G$1001,$O180))</f>
      </c>
      <c r="H180">
        <f>IF($O180="","",INDEX(Master!$H$2:$H$1001,$O180))</f>
      </c>
      <c r="I180">
        <f>IF($O180="","",INDEX(Master!$I$2:$I$1001,$O180))</f>
      </c>
      <c r="J180">
        <f>IF($O180="","",INDEX(Master!$J$2:$J$1001,$O180))</f>
      </c>
      <c r="K180">
        <f t="shared" si="4"/>
      </c>
      <c r="L180">
        <f>IF($O180="","",INDEX(Master!$K$2:$K$1001,$O180))</f>
      </c>
      <c r="M180">
        <f>IF($O180="","",INDEX(Master!$L$2:$L$1001,$O180))</f>
      </c>
      <c r="O180">
        <f t="array" ref="O180">IFERROR(SMALL(IF(Master!$A$2:$A$1001="AKASH SALES",ROW(Master!$A$2:$A$1001)-ROW(Master!$A$2)+1),176),"")</f>
      </c>
      <c r="P180">
        <f t="shared" si="5"/>
      </c>
    </row>
    <row r="181" spans="1:16" x14ac:dyDescent="0.25">
      <c r="A181">
        <f>IF($O181="","",INDEX(Master!$D$2:$D$1001,$O181))</f>
      </c>
      <c r="B181" s="166">
        <f>IF($O181="","",INDEX(Master!$B$2:$B$1001,$O181))</f>
      </c>
      <c r="C181">
        <f>IF($O181="","",INDEX(Master!$C$2:$C$1001,$O181))</f>
      </c>
      <c r="D181">
        <f>IF($O181="","",INDEX(Master!$A$2:$A$1001,$O181))</f>
      </c>
      <c r="E181">
        <f>IF($O181="","",INDEX(Master!$E$2:$E$1001,$O181))</f>
      </c>
      <c r="F181">
        <f>IF($O181="","",INDEX(Master!$F$2:$F$1001,$O181))</f>
      </c>
      <c r="G181">
        <f>IF($O181="","",INDEX(Master!$G$2:$G$1001,$O181))</f>
      </c>
      <c r="H181">
        <f>IF($O181="","",INDEX(Master!$H$2:$H$1001,$O181))</f>
      </c>
      <c r="I181">
        <f>IF($O181="","",INDEX(Master!$I$2:$I$1001,$O181))</f>
      </c>
      <c r="J181">
        <f>IF($O181="","",INDEX(Master!$J$2:$J$1001,$O181))</f>
      </c>
      <c r="K181">
        <f t="shared" si="4"/>
      </c>
      <c r="L181">
        <f>IF($O181="","",INDEX(Master!$K$2:$K$1001,$O181))</f>
      </c>
      <c r="M181">
        <f>IF($O181="","",INDEX(Master!$L$2:$L$1001,$O181))</f>
      </c>
      <c r="O181">
        <f t="array" ref="O181">IFERROR(SMALL(IF(Master!$A$2:$A$1001="AKASH SALES",ROW(Master!$A$2:$A$1001)-ROW(Master!$A$2)+1),177),"")</f>
      </c>
      <c r="P181">
        <f t="shared" si="5"/>
      </c>
    </row>
    <row r="182" spans="1:16" x14ac:dyDescent="0.25">
      <c r="A182">
        <f>IF($O182="","",INDEX(Master!$D$2:$D$1001,$O182))</f>
      </c>
      <c r="B182" s="166">
        <f>IF($O182="","",INDEX(Master!$B$2:$B$1001,$O182))</f>
      </c>
      <c r="C182">
        <f>IF($O182="","",INDEX(Master!$C$2:$C$1001,$O182))</f>
      </c>
      <c r="D182">
        <f>IF($O182="","",INDEX(Master!$A$2:$A$1001,$O182))</f>
      </c>
      <c r="E182">
        <f>IF($O182="","",INDEX(Master!$E$2:$E$1001,$O182))</f>
      </c>
      <c r="F182">
        <f>IF($O182="","",INDEX(Master!$F$2:$F$1001,$O182))</f>
      </c>
      <c r="G182">
        <f>IF($O182="","",INDEX(Master!$G$2:$G$1001,$O182))</f>
      </c>
      <c r="H182">
        <f>IF($O182="","",INDEX(Master!$H$2:$H$1001,$O182))</f>
      </c>
      <c r="I182">
        <f>IF($O182="","",INDEX(Master!$I$2:$I$1001,$O182))</f>
      </c>
      <c r="J182">
        <f>IF($O182="","",INDEX(Master!$J$2:$J$1001,$O182))</f>
      </c>
      <c r="K182">
        <f t="shared" si="4"/>
      </c>
      <c r="L182">
        <f>IF($O182="","",INDEX(Master!$K$2:$K$1001,$O182))</f>
      </c>
      <c r="M182">
        <f>IF($O182="","",INDEX(Master!$L$2:$L$1001,$O182))</f>
      </c>
      <c r="O182">
        <f t="array" ref="O182">IFERROR(SMALL(IF(Master!$A$2:$A$1001="AKASH SALES",ROW(Master!$A$2:$A$1001)-ROW(Master!$A$2)+1),178),"")</f>
      </c>
      <c r="P182">
        <f t="shared" si="5"/>
      </c>
    </row>
    <row r="183" spans="1:16" x14ac:dyDescent="0.25">
      <c r="A183">
        <f>IF($O183="","",INDEX(Master!$D$2:$D$1001,$O183))</f>
      </c>
      <c r="B183" s="166">
        <f>IF($O183="","",INDEX(Master!$B$2:$B$1001,$O183))</f>
      </c>
      <c r="C183">
        <f>IF($O183="","",INDEX(Master!$C$2:$C$1001,$O183))</f>
      </c>
      <c r="D183">
        <f>IF($O183="","",INDEX(Master!$A$2:$A$1001,$O183))</f>
      </c>
      <c r="E183">
        <f>IF($O183="","",INDEX(Master!$E$2:$E$1001,$O183))</f>
      </c>
      <c r="F183">
        <f>IF($O183="","",INDEX(Master!$F$2:$F$1001,$O183))</f>
      </c>
      <c r="G183">
        <f>IF($O183="","",INDEX(Master!$G$2:$G$1001,$O183))</f>
      </c>
      <c r="H183">
        <f>IF($O183="","",INDEX(Master!$H$2:$H$1001,$O183))</f>
      </c>
      <c r="I183">
        <f>IF($O183="","",INDEX(Master!$I$2:$I$1001,$O183))</f>
      </c>
      <c r="J183">
        <f>IF($O183="","",INDEX(Master!$J$2:$J$1001,$O183))</f>
      </c>
      <c r="K183">
        <f t="shared" si="4"/>
      </c>
      <c r="L183">
        <f>IF($O183="","",INDEX(Master!$K$2:$K$1001,$O183))</f>
      </c>
      <c r="M183">
        <f>IF($O183="","",INDEX(Master!$L$2:$L$1001,$O183))</f>
      </c>
      <c r="O183">
        <f t="array" ref="O183">IFERROR(SMALL(IF(Master!$A$2:$A$1001="AKASH SALES",ROW(Master!$A$2:$A$1001)-ROW(Master!$A$2)+1),179),"")</f>
      </c>
      <c r="P183">
        <f t="shared" si="5"/>
      </c>
    </row>
    <row r="184" spans="1:16" x14ac:dyDescent="0.25">
      <c r="A184">
        <f>IF($O184="","",INDEX(Master!$D$2:$D$1001,$O184))</f>
      </c>
      <c r="B184" s="166">
        <f>IF($O184="","",INDEX(Master!$B$2:$B$1001,$O184))</f>
      </c>
      <c r="C184">
        <f>IF($O184="","",INDEX(Master!$C$2:$C$1001,$O184))</f>
      </c>
      <c r="D184">
        <f>IF($O184="","",INDEX(Master!$A$2:$A$1001,$O184))</f>
      </c>
      <c r="E184">
        <f>IF($O184="","",INDEX(Master!$E$2:$E$1001,$O184))</f>
      </c>
      <c r="F184">
        <f>IF($O184="","",INDEX(Master!$F$2:$F$1001,$O184))</f>
      </c>
      <c r="G184">
        <f>IF($O184="","",INDEX(Master!$G$2:$G$1001,$O184))</f>
      </c>
      <c r="H184">
        <f>IF($O184="","",INDEX(Master!$H$2:$H$1001,$O184))</f>
      </c>
      <c r="I184">
        <f>IF($O184="","",INDEX(Master!$I$2:$I$1001,$O184))</f>
      </c>
      <c r="J184">
        <f>IF($O184="","",INDEX(Master!$J$2:$J$1001,$O184))</f>
      </c>
      <c r="K184">
        <f t="shared" si="4"/>
      </c>
      <c r="L184">
        <f>IF($O184="","",INDEX(Master!$K$2:$K$1001,$O184))</f>
      </c>
      <c r="M184">
        <f>IF($O184="","",INDEX(Master!$L$2:$L$1001,$O184))</f>
      </c>
      <c r="O184">
        <f t="array" ref="O184">IFERROR(SMALL(IF(Master!$A$2:$A$1001="AKASH SALES",ROW(Master!$A$2:$A$1001)-ROW(Master!$A$2)+1),180),"")</f>
      </c>
      <c r="P184">
        <f t="shared" si="5"/>
      </c>
    </row>
    <row r="185" spans="1:16" x14ac:dyDescent="0.25">
      <c r="A185">
        <f>IF($O185="","",INDEX(Master!$D$2:$D$1001,$O185))</f>
      </c>
      <c r="B185" s="166">
        <f>IF($O185="","",INDEX(Master!$B$2:$B$1001,$O185))</f>
      </c>
      <c r="C185">
        <f>IF($O185="","",INDEX(Master!$C$2:$C$1001,$O185))</f>
      </c>
      <c r="D185">
        <f>IF($O185="","",INDEX(Master!$A$2:$A$1001,$O185))</f>
      </c>
      <c r="E185">
        <f>IF($O185="","",INDEX(Master!$E$2:$E$1001,$O185))</f>
      </c>
      <c r="F185">
        <f>IF($O185="","",INDEX(Master!$F$2:$F$1001,$O185))</f>
      </c>
      <c r="G185">
        <f>IF($O185="","",INDEX(Master!$G$2:$G$1001,$O185))</f>
      </c>
      <c r="H185">
        <f>IF($O185="","",INDEX(Master!$H$2:$H$1001,$O185))</f>
      </c>
      <c r="I185">
        <f>IF($O185="","",INDEX(Master!$I$2:$I$1001,$O185))</f>
      </c>
      <c r="J185">
        <f>IF($O185="","",INDEX(Master!$J$2:$J$1001,$O185))</f>
      </c>
      <c r="K185">
        <f t="shared" si="4"/>
      </c>
      <c r="L185">
        <f>IF($O185="","",INDEX(Master!$K$2:$K$1001,$O185))</f>
      </c>
      <c r="M185">
        <f>IF($O185="","",INDEX(Master!$L$2:$L$1001,$O185))</f>
      </c>
      <c r="O185">
        <f t="array" ref="O185">IFERROR(SMALL(IF(Master!$A$2:$A$1001="AKASH SALES",ROW(Master!$A$2:$A$1001)-ROW(Master!$A$2)+1),181),"")</f>
      </c>
      <c r="P185">
        <f t="shared" si="5"/>
      </c>
    </row>
    <row r="186" spans="1:16" x14ac:dyDescent="0.25">
      <c r="A186">
        <f>IF($O186="","",INDEX(Master!$D$2:$D$1001,$O186))</f>
      </c>
      <c r="B186" s="166">
        <f>IF($O186="","",INDEX(Master!$B$2:$B$1001,$O186))</f>
      </c>
      <c r="C186">
        <f>IF($O186="","",INDEX(Master!$C$2:$C$1001,$O186))</f>
      </c>
      <c r="D186">
        <f>IF($O186="","",INDEX(Master!$A$2:$A$1001,$O186))</f>
      </c>
      <c r="E186">
        <f>IF($O186="","",INDEX(Master!$E$2:$E$1001,$O186))</f>
      </c>
      <c r="F186">
        <f>IF($O186="","",INDEX(Master!$F$2:$F$1001,$O186))</f>
      </c>
      <c r="G186">
        <f>IF($O186="","",INDEX(Master!$G$2:$G$1001,$O186))</f>
      </c>
      <c r="H186">
        <f>IF($O186="","",INDEX(Master!$H$2:$H$1001,$O186))</f>
      </c>
      <c r="I186">
        <f>IF($O186="","",INDEX(Master!$I$2:$I$1001,$O186))</f>
      </c>
      <c r="J186">
        <f>IF($O186="","",INDEX(Master!$J$2:$J$1001,$O186))</f>
      </c>
      <c r="K186">
        <f t="shared" si="4"/>
      </c>
      <c r="L186">
        <f>IF($O186="","",INDEX(Master!$K$2:$K$1001,$O186))</f>
      </c>
      <c r="M186">
        <f>IF($O186="","",INDEX(Master!$L$2:$L$1001,$O186))</f>
      </c>
      <c r="O186">
        <f t="array" ref="O186">IFERROR(SMALL(IF(Master!$A$2:$A$1001="AKASH SALES",ROW(Master!$A$2:$A$1001)-ROW(Master!$A$2)+1),182),"")</f>
      </c>
      <c r="P186">
        <f t="shared" si="5"/>
      </c>
    </row>
    <row r="187" spans="1:16" x14ac:dyDescent="0.25">
      <c r="A187">
        <f>IF($O187="","",INDEX(Master!$D$2:$D$1001,$O187))</f>
      </c>
      <c r="B187" s="166">
        <f>IF($O187="","",INDEX(Master!$B$2:$B$1001,$O187))</f>
      </c>
      <c r="C187">
        <f>IF($O187="","",INDEX(Master!$C$2:$C$1001,$O187))</f>
      </c>
      <c r="D187">
        <f>IF($O187="","",INDEX(Master!$A$2:$A$1001,$O187))</f>
      </c>
      <c r="E187">
        <f>IF($O187="","",INDEX(Master!$E$2:$E$1001,$O187))</f>
      </c>
      <c r="F187">
        <f>IF($O187="","",INDEX(Master!$F$2:$F$1001,$O187))</f>
      </c>
      <c r="G187">
        <f>IF($O187="","",INDEX(Master!$G$2:$G$1001,$O187))</f>
      </c>
      <c r="H187">
        <f>IF($O187="","",INDEX(Master!$H$2:$H$1001,$O187))</f>
      </c>
      <c r="I187">
        <f>IF($O187="","",INDEX(Master!$I$2:$I$1001,$O187))</f>
      </c>
      <c r="J187">
        <f>IF($O187="","",INDEX(Master!$J$2:$J$1001,$O187))</f>
      </c>
      <c r="K187">
        <f t="shared" si="4"/>
      </c>
      <c r="L187">
        <f>IF($O187="","",INDEX(Master!$K$2:$K$1001,$O187))</f>
      </c>
      <c r="M187">
        <f>IF($O187="","",INDEX(Master!$L$2:$L$1001,$O187))</f>
      </c>
      <c r="O187">
        <f t="array" ref="O187">IFERROR(SMALL(IF(Master!$A$2:$A$1001="AKASH SALES",ROW(Master!$A$2:$A$1001)-ROW(Master!$A$2)+1),183),"")</f>
      </c>
      <c r="P187">
        <f t="shared" si="5"/>
      </c>
    </row>
    <row r="188" spans="1:16" x14ac:dyDescent="0.25">
      <c r="A188">
        <f>IF($O188="","",INDEX(Master!$D$2:$D$1001,$O188))</f>
      </c>
      <c r="B188" s="166">
        <f>IF($O188="","",INDEX(Master!$B$2:$B$1001,$O188))</f>
      </c>
      <c r="C188">
        <f>IF($O188="","",INDEX(Master!$C$2:$C$1001,$O188))</f>
      </c>
      <c r="D188">
        <f>IF($O188="","",INDEX(Master!$A$2:$A$1001,$O188))</f>
      </c>
      <c r="E188">
        <f>IF($O188="","",INDEX(Master!$E$2:$E$1001,$O188))</f>
      </c>
      <c r="F188">
        <f>IF($O188="","",INDEX(Master!$F$2:$F$1001,$O188))</f>
      </c>
      <c r="G188">
        <f>IF($O188="","",INDEX(Master!$G$2:$G$1001,$O188))</f>
      </c>
      <c r="H188">
        <f>IF($O188="","",INDEX(Master!$H$2:$H$1001,$O188))</f>
      </c>
      <c r="I188">
        <f>IF($O188="","",INDEX(Master!$I$2:$I$1001,$O188))</f>
      </c>
      <c r="J188">
        <f>IF($O188="","",INDEX(Master!$J$2:$J$1001,$O188))</f>
      </c>
      <c r="K188">
        <f t="shared" si="4"/>
      </c>
      <c r="L188">
        <f>IF($O188="","",INDEX(Master!$K$2:$K$1001,$O188))</f>
      </c>
      <c r="M188">
        <f>IF($O188="","",INDEX(Master!$L$2:$L$1001,$O188))</f>
      </c>
      <c r="O188">
        <f t="array" ref="O188">IFERROR(SMALL(IF(Master!$A$2:$A$1001="AKASH SALES",ROW(Master!$A$2:$A$1001)-ROW(Master!$A$2)+1),184),"")</f>
      </c>
      <c r="P188">
        <f t="shared" si="5"/>
      </c>
    </row>
    <row r="189" spans="1:16" x14ac:dyDescent="0.25">
      <c r="A189">
        <f>IF($O189="","",INDEX(Master!$D$2:$D$1001,$O189))</f>
      </c>
      <c r="B189" s="166">
        <f>IF($O189="","",INDEX(Master!$B$2:$B$1001,$O189))</f>
      </c>
      <c r="C189">
        <f>IF($O189="","",INDEX(Master!$C$2:$C$1001,$O189))</f>
      </c>
      <c r="D189">
        <f>IF($O189="","",INDEX(Master!$A$2:$A$1001,$O189))</f>
      </c>
      <c r="E189">
        <f>IF($O189="","",INDEX(Master!$E$2:$E$1001,$O189))</f>
      </c>
      <c r="F189">
        <f>IF($O189="","",INDEX(Master!$F$2:$F$1001,$O189))</f>
      </c>
      <c r="G189">
        <f>IF($O189="","",INDEX(Master!$G$2:$G$1001,$O189))</f>
      </c>
      <c r="H189">
        <f>IF($O189="","",INDEX(Master!$H$2:$H$1001,$O189))</f>
      </c>
      <c r="I189">
        <f>IF($O189="","",INDEX(Master!$I$2:$I$1001,$O189))</f>
      </c>
      <c r="J189">
        <f>IF($O189="","",INDEX(Master!$J$2:$J$1001,$O189))</f>
      </c>
      <c r="K189">
        <f t="shared" si="4"/>
      </c>
      <c r="L189">
        <f>IF($O189="","",INDEX(Master!$K$2:$K$1001,$O189))</f>
      </c>
      <c r="M189">
        <f>IF($O189="","",INDEX(Master!$L$2:$L$1001,$O189))</f>
      </c>
      <c r="O189">
        <f t="array" ref="O189">IFERROR(SMALL(IF(Master!$A$2:$A$1001="AKASH SALES",ROW(Master!$A$2:$A$1001)-ROW(Master!$A$2)+1),185),"")</f>
      </c>
      <c r="P189">
        <f t="shared" si="5"/>
      </c>
    </row>
    <row r="190" spans="1:16" x14ac:dyDescent="0.25">
      <c r="A190">
        <f>IF($O190="","",INDEX(Master!$D$2:$D$1001,$O190))</f>
      </c>
      <c r="B190" s="166">
        <f>IF($O190="","",INDEX(Master!$B$2:$B$1001,$O190))</f>
      </c>
      <c r="C190">
        <f>IF($O190="","",INDEX(Master!$C$2:$C$1001,$O190))</f>
      </c>
      <c r="D190">
        <f>IF($O190="","",INDEX(Master!$A$2:$A$1001,$O190))</f>
      </c>
      <c r="E190">
        <f>IF($O190="","",INDEX(Master!$E$2:$E$1001,$O190))</f>
      </c>
      <c r="F190">
        <f>IF($O190="","",INDEX(Master!$F$2:$F$1001,$O190))</f>
      </c>
      <c r="G190">
        <f>IF($O190="","",INDEX(Master!$G$2:$G$1001,$O190))</f>
      </c>
      <c r="H190">
        <f>IF($O190="","",INDEX(Master!$H$2:$H$1001,$O190))</f>
      </c>
      <c r="I190">
        <f>IF($O190="","",INDEX(Master!$I$2:$I$1001,$O190))</f>
      </c>
      <c r="J190">
        <f>IF($O190="","",INDEX(Master!$J$2:$J$1001,$O190))</f>
      </c>
      <c r="K190">
        <f t="shared" si="4"/>
      </c>
      <c r="L190">
        <f>IF($O190="","",INDEX(Master!$K$2:$K$1001,$O190))</f>
      </c>
      <c r="M190">
        <f>IF($O190="","",INDEX(Master!$L$2:$L$1001,$O190))</f>
      </c>
      <c r="O190">
        <f t="array" ref="O190">IFERROR(SMALL(IF(Master!$A$2:$A$1001="AKASH SALES",ROW(Master!$A$2:$A$1001)-ROW(Master!$A$2)+1),186),"")</f>
      </c>
      <c r="P190">
        <f t="shared" si="5"/>
      </c>
    </row>
    <row r="191" spans="1:16" x14ac:dyDescent="0.25">
      <c r="A191">
        <f>IF($O191="","",INDEX(Master!$D$2:$D$1001,$O191))</f>
      </c>
      <c r="B191" s="166">
        <f>IF($O191="","",INDEX(Master!$B$2:$B$1001,$O191))</f>
      </c>
      <c r="C191">
        <f>IF($O191="","",INDEX(Master!$C$2:$C$1001,$O191))</f>
      </c>
      <c r="D191">
        <f>IF($O191="","",INDEX(Master!$A$2:$A$1001,$O191))</f>
      </c>
      <c r="E191">
        <f>IF($O191="","",INDEX(Master!$E$2:$E$1001,$O191))</f>
      </c>
      <c r="F191">
        <f>IF($O191="","",INDEX(Master!$F$2:$F$1001,$O191))</f>
      </c>
      <c r="G191">
        <f>IF($O191="","",INDEX(Master!$G$2:$G$1001,$O191))</f>
      </c>
      <c r="H191">
        <f>IF($O191="","",INDEX(Master!$H$2:$H$1001,$O191))</f>
      </c>
      <c r="I191">
        <f>IF($O191="","",INDEX(Master!$I$2:$I$1001,$O191))</f>
      </c>
      <c r="J191">
        <f>IF($O191="","",INDEX(Master!$J$2:$J$1001,$O191))</f>
      </c>
      <c r="K191">
        <f t="shared" si="4"/>
      </c>
      <c r="L191">
        <f>IF($O191="","",INDEX(Master!$K$2:$K$1001,$O191))</f>
      </c>
      <c r="M191">
        <f>IF($O191="","",INDEX(Master!$L$2:$L$1001,$O191))</f>
      </c>
      <c r="O191">
        <f t="array" ref="O191">IFERROR(SMALL(IF(Master!$A$2:$A$1001="AKASH SALES",ROW(Master!$A$2:$A$1001)-ROW(Master!$A$2)+1),187),"")</f>
      </c>
      <c r="P191">
        <f t="shared" si="5"/>
      </c>
    </row>
    <row r="192" spans="1:16" x14ac:dyDescent="0.25">
      <c r="A192">
        <f>IF($O192="","",INDEX(Master!$D$2:$D$1001,$O192))</f>
      </c>
      <c r="B192" s="166">
        <f>IF($O192="","",INDEX(Master!$B$2:$B$1001,$O192))</f>
      </c>
      <c r="C192">
        <f>IF($O192="","",INDEX(Master!$C$2:$C$1001,$O192))</f>
      </c>
      <c r="D192">
        <f>IF($O192="","",INDEX(Master!$A$2:$A$1001,$O192))</f>
      </c>
      <c r="E192">
        <f>IF($O192="","",INDEX(Master!$E$2:$E$1001,$O192))</f>
      </c>
      <c r="F192">
        <f>IF($O192="","",INDEX(Master!$F$2:$F$1001,$O192))</f>
      </c>
      <c r="G192">
        <f>IF($O192="","",INDEX(Master!$G$2:$G$1001,$O192))</f>
      </c>
      <c r="H192">
        <f>IF($O192="","",INDEX(Master!$H$2:$H$1001,$O192))</f>
      </c>
      <c r="I192">
        <f>IF($O192="","",INDEX(Master!$I$2:$I$1001,$O192))</f>
      </c>
      <c r="J192">
        <f>IF($O192="","",INDEX(Master!$J$2:$J$1001,$O192))</f>
      </c>
      <c r="K192">
        <f t="shared" si="4"/>
      </c>
      <c r="L192">
        <f>IF($O192="","",INDEX(Master!$K$2:$K$1001,$O192))</f>
      </c>
      <c r="M192">
        <f>IF($O192="","",INDEX(Master!$L$2:$L$1001,$O192))</f>
      </c>
      <c r="O192">
        <f t="array" ref="O192">IFERROR(SMALL(IF(Master!$A$2:$A$1001="AKASH SALES",ROW(Master!$A$2:$A$1001)-ROW(Master!$A$2)+1),188),"")</f>
      </c>
      <c r="P192">
        <f t="shared" si="5"/>
      </c>
    </row>
    <row r="193" spans="1:16" x14ac:dyDescent="0.25">
      <c r="A193">
        <f>IF($O193="","",INDEX(Master!$D$2:$D$1001,$O193))</f>
      </c>
      <c r="B193" s="166">
        <f>IF($O193="","",INDEX(Master!$B$2:$B$1001,$O193))</f>
      </c>
      <c r="C193">
        <f>IF($O193="","",INDEX(Master!$C$2:$C$1001,$O193))</f>
      </c>
      <c r="D193">
        <f>IF($O193="","",INDEX(Master!$A$2:$A$1001,$O193))</f>
      </c>
      <c r="E193">
        <f>IF($O193="","",INDEX(Master!$E$2:$E$1001,$O193))</f>
      </c>
      <c r="F193">
        <f>IF($O193="","",INDEX(Master!$F$2:$F$1001,$O193))</f>
      </c>
      <c r="G193">
        <f>IF($O193="","",INDEX(Master!$G$2:$G$1001,$O193))</f>
      </c>
      <c r="H193">
        <f>IF($O193="","",INDEX(Master!$H$2:$H$1001,$O193))</f>
      </c>
      <c r="I193">
        <f>IF($O193="","",INDEX(Master!$I$2:$I$1001,$O193))</f>
      </c>
      <c r="J193">
        <f>IF($O193="","",INDEX(Master!$J$2:$J$1001,$O193))</f>
      </c>
      <c r="K193">
        <f t="shared" si="4"/>
      </c>
      <c r="L193">
        <f>IF($O193="","",INDEX(Master!$K$2:$K$1001,$O193))</f>
      </c>
      <c r="M193">
        <f>IF($O193="","",INDEX(Master!$L$2:$L$1001,$O193))</f>
      </c>
      <c r="O193">
        <f t="array" ref="O193">IFERROR(SMALL(IF(Master!$A$2:$A$1001="AKASH SALES",ROW(Master!$A$2:$A$1001)-ROW(Master!$A$2)+1),189),"")</f>
      </c>
      <c r="P193">
        <f t="shared" si="5"/>
      </c>
    </row>
    <row r="194" spans="1:16" x14ac:dyDescent="0.25">
      <c r="A194">
        <f>IF($O194="","",INDEX(Master!$D$2:$D$1001,$O194))</f>
      </c>
      <c r="B194" s="166">
        <f>IF($O194="","",INDEX(Master!$B$2:$B$1001,$O194))</f>
      </c>
      <c r="C194">
        <f>IF($O194="","",INDEX(Master!$C$2:$C$1001,$O194))</f>
      </c>
      <c r="D194">
        <f>IF($O194="","",INDEX(Master!$A$2:$A$1001,$O194))</f>
      </c>
      <c r="E194">
        <f>IF($O194="","",INDEX(Master!$E$2:$E$1001,$O194))</f>
      </c>
      <c r="F194">
        <f>IF($O194="","",INDEX(Master!$F$2:$F$1001,$O194))</f>
      </c>
      <c r="G194">
        <f>IF($O194="","",INDEX(Master!$G$2:$G$1001,$O194))</f>
      </c>
      <c r="H194">
        <f>IF($O194="","",INDEX(Master!$H$2:$H$1001,$O194))</f>
      </c>
      <c r="I194">
        <f>IF($O194="","",INDEX(Master!$I$2:$I$1001,$O194))</f>
      </c>
      <c r="J194">
        <f>IF($O194="","",INDEX(Master!$J$2:$J$1001,$O194))</f>
      </c>
      <c r="K194">
        <f t="shared" si="4"/>
      </c>
      <c r="L194">
        <f>IF($O194="","",INDEX(Master!$K$2:$K$1001,$O194))</f>
      </c>
      <c r="M194">
        <f>IF($O194="","",INDEX(Master!$L$2:$L$1001,$O194))</f>
      </c>
      <c r="O194">
        <f t="array" ref="O194">IFERROR(SMALL(IF(Master!$A$2:$A$1001="AKASH SALES",ROW(Master!$A$2:$A$1001)-ROW(Master!$A$2)+1),190),"")</f>
      </c>
      <c r="P194">
        <f t="shared" si="5"/>
      </c>
    </row>
    <row r="195" spans="1:16" x14ac:dyDescent="0.25">
      <c r="A195">
        <f>IF($O195="","",INDEX(Master!$D$2:$D$1001,$O195))</f>
      </c>
      <c r="B195" s="166">
        <f>IF($O195="","",INDEX(Master!$B$2:$B$1001,$O195))</f>
      </c>
      <c r="C195">
        <f>IF($O195="","",INDEX(Master!$C$2:$C$1001,$O195))</f>
      </c>
      <c r="D195">
        <f>IF($O195="","",INDEX(Master!$A$2:$A$1001,$O195))</f>
      </c>
      <c r="E195">
        <f>IF($O195="","",INDEX(Master!$E$2:$E$1001,$O195))</f>
      </c>
      <c r="F195">
        <f>IF($O195="","",INDEX(Master!$F$2:$F$1001,$O195))</f>
      </c>
      <c r="G195">
        <f>IF($O195="","",INDEX(Master!$G$2:$G$1001,$O195))</f>
      </c>
      <c r="H195">
        <f>IF($O195="","",INDEX(Master!$H$2:$H$1001,$O195))</f>
      </c>
      <c r="I195">
        <f>IF($O195="","",INDEX(Master!$I$2:$I$1001,$O195))</f>
      </c>
      <c r="J195">
        <f>IF($O195="","",INDEX(Master!$J$2:$J$1001,$O195))</f>
      </c>
      <c r="K195">
        <f t="shared" si="4"/>
      </c>
      <c r="L195">
        <f>IF($O195="","",INDEX(Master!$K$2:$K$1001,$O195))</f>
      </c>
      <c r="M195">
        <f>IF($O195="","",INDEX(Master!$L$2:$L$1001,$O195))</f>
      </c>
      <c r="O195">
        <f t="array" ref="O195">IFERROR(SMALL(IF(Master!$A$2:$A$1001="AKASH SALES",ROW(Master!$A$2:$A$1001)-ROW(Master!$A$2)+1),191),"")</f>
      </c>
      <c r="P195">
        <f t="shared" si="5"/>
      </c>
    </row>
    <row r="196" spans="1:16" x14ac:dyDescent="0.25">
      <c r="A196">
        <f>IF($O196="","",INDEX(Master!$D$2:$D$1001,$O196))</f>
      </c>
      <c r="B196" s="166">
        <f>IF($O196="","",INDEX(Master!$B$2:$B$1001,$O196))</f>
      </c>
      <c r="C196">
        <f>IF($O196="","",INDEX(Master!$C$2:$C$1001,$O196))</f>
      </c>
      <c r="D196">
        <f>IF($O196="","",INDEX(Master!$A$2:$A$1001,$O196))</f>
      </c>
      <c r="E196">
        <f>IF($O196="","",INDEX(Master!$E$2:$E$1001,$O196))</f>
      </c>
      <c r="F196">
        <f>IF($O196="","",INDEX(Master!$F$2:$F$1001,$O196))</f>
      </c>
      <c r="G196">
        <f>IF($O196="","",INDEX(Master!$G$2:$G$1001,$O196))</f>
      </c>
      <c r="H196">
        <f>IF($O196="","",INDEX(Master!$H$2:$H$1001,$O196))</f>
      </c>
      <c r="I196">
        <f>IF($O196="","",INDEX(Master!$I$2:$I$1001,$O196))</f>
      </c>
      <c r="J196">
        <f>IF($O196="","",INDEX(Master!$J$2:$J$1001,$O196))</f>
      </c>
      <c r="K196">
        <f t="shared" si="4"/>
      </c>
      <c r="L196">
        <f>IF($O196="","",INDEX(Master!$K$2:$K$1001,$O196))</f>
      </c>
      <c r="M196">
        <f>IF($O196="","",INDEX(Master!$L$2:$L$1001,$O196))</f>
      </c>
      <c r="O196">
        <f t="array" ref="O196">IFERROR(SMALL(IF(Master!$A$2:$A$1001="AKASH SALES",ROW(Master!$A$2:$A$1001)-ROW(Master!$A$2)+1),192),"")</f>
      </c>
      <c r="P196">
        <f t="shared" si="5"/>
      </c>
    </row>
    <row r="197" spans="1:16" x14ac:dyDescent="0.25">
      <c r="A197">
        <f>IF($O197="","",INDEX(Master!$D$2:$D$1001,$O197))</f>
      </c>
      <c r="B197" s="166">
        <f>IF($O197="","",INDEX(Master!$B$2:$B$1001,$O197))</f>
      </c>
      <c r="C197">
        <f>IF($O197="","",INDEX(Master!$C$2:$C$1001,$O197))</f>
      </c>
      <c r="D197">
        <f>IF($O197="","",INDEX(Master!$A$2:$A$1001,$O197))</f>
      </c>
      <c r="E197">
        <f>IF($O197="","",INDEX(Master!$E$2:$E$1001,$O197))</f>
      </c>
      <c r="F197">
        <f>IF($O197="","",INDEX(Master!$F$2:$F$1001,$O197))</f>
      </c>
      <c r="G197">
        <f>IF($O197="","",INDEX(Master!$G$2:$G$1001,$O197))</f>
      </c>
      <c r="H197">
        <f>IF($O197="","",INDEX(Master!$H$2:$H$1001,$O197))</f>
      </c>
      <c r="I197">
        <f>IF($O197="","",INDEX(Master!$I$2:$I$1001,$O197))</f>
      </c>
      <c r="J197">
        <f>IF($O197="","",INDEX(Master!$J$2:$J$1001,$O197))</f>
      </c>
      <c r="K197">
        <f t="shared" ref="K197:K260" si="6">IF(OR($O197="",$F197="",$F197=0),"",$H197/$F197)</f>
      </c>
      <c r="L197">
        <f>IF($O197="","",INDEX(Master!$K$2:$K$1001,$O197))</f>
      </c>
      <c r="M197">
        <f>IF($O197="","",INDEX(Master!$L$2:$L$1001,$O197))</f>
      </c>
      <c r="O197">
        <f t="array" ref="O197">IFERROR(SMALL(IF(Master!$A$2:$A$1001="AKASH SALES",ROW(Master!$A$2:$A$1001)-ROW(Master!$A$2)+1),193),"")</f>
      </c>
      <c r="P197">
        <f t="shared" ref="P197:P260" si="7">IF($A197="",0,IF(OR(AND($E197&lt;&gt;"",OR($E197&gt;0.18)),AND($F197&lt;&gt;"",OR(($F197+$G197)&gt;0.15)),AND($G197&lt;&gt;"",OR(($F197+$G197)&gt;0.15)),AND($H197&lt;&gt;"",$H197&lt;0.45),AND($J197&lt;&gt;"",OR($J197&lt;0.1))),1,0))</f>
      </c>
    </row>
    <row r="198" spans="1:16" x14ac:dyDescent="0.25">
      <c r="A198">
        <f>IF($O198="","",INDEX(Master!$D$2:$D$1001,$O198))</f>
      </c>
      <c r="B198" s="166">
        <f>IF($O198="","",INDEX(Master!$B$2:$B$1001,$O198))</f>
      </c>
      <c r="C198">
        <f>IF($O198="","",INDEX(Master!$C$2:$C$1001,$O198))</f>
      </c>
      <c r="D198">
        <f>IF($O198="","",INDEX(Master!$A$2:$A$1001,$O198))</f>
      </c>
      <c r="E198">
        <f>IF($O198="","",INDEX(Master!$E$2:$E$1001,$O198))</f>
      </c>
      <c r="F198">
        <f>IF($O198="","",INDEX(Master!$F$2:$F$1001,$O198))</f>
      </c>
      <c r="G198">
        <f>IF($O198="","",INDEX(Master!$G$2:$G$1001,$O198))</f>
      </c>
      <c r="H198">
        <f>IF($O198="","",INDEX(Master!$H$2:$H$1001,$O198))</f>
      </c>
      <c r="I198">
        <f>IF($O198="","",INDEX(Master!$I$2:$I$1001,$O198))</f>
      </c>
      <c r="J198">
        <f>IF($O198="","",INDEX(Master!$J$2:$J$1001,$O198))</f>
      </c>
      <c r="K198">
        <f t="shared" si="6"/>
      </c>
      <c r="L198">
        <f>IF($O198="","",INDEX(Master!$K$2:$K$1001,$O198))</f>
      </c>
      <c r="M198">
        <f>IF($O198="","",INDEX(Master!$L$2:$L$1001,$O198))</f>
      </c>
      <c r="O198">
        <f t="array" ref="O198">IFERROR(SMALL(IF(Master!$A$2:$A$1001="AKASH SALES",ROW(Master!$A$2:$A$1001)-ROW(Master!$A$2)+1),194),"")</f>
      </c>
      <c r="P198">
        <f t="shared" si="7"/>
      </c>
    </row>
    <row r="199" spans="1:16" x14ac:dyDescent="0.25">
      <c r="A199">
        <f>IF($O199="","",INDEX(Master!$D$2:$D$1001,$O199))</f>
      </c>
      <c r="B199" s="166">
        <f>IF($O199="","",INDEX(Master!$B$2:$B$1001,$O199))</f>
      </c>
      <c r="C199">
        <f>IF($O199="","",INDEX(Master!$C$2:$C$1001,$O199))</f>
      </c>
      <c r="D199">
        <f>IF($O199="","",INDEX(Master!$A$2:$A$1001,$O199))</f>
      </c>
      <c r="E199">
        <f>IF($O199="","",INDEX(Master!$E$2:$E$1001,$O199))</f>
      </c>
      <c r="F199">
        <f>IF($O199="","",INDEX(Master!$F$2:$F$1001,$O199))</f>
      </c>
      <c r="G199">
        <f>IF($O199="","",INDEX(Master!$G$2:$G$1001,$O199))</f>
      </c>
      <c r="H199">
        <f>IF($O199="","",INDEX(Master!$H$2:$H$1001,$O199))</f>
      </c>
      <c r="I199">
        <f>IF($O199="","",INDEX(Master!$I$2:$I$1001,$O199))</f>
      </c>
      <c r="J199">
        <f>IF($O199="","",INDEX(Master!$J$2:$J$1001,$O199))</f>
      </c>
      <c r="K199">
        <f t="shared" si="6"/>
      </c>
      <c r="L199">
        <f>IF($O199="","",INDEX(Master!$K$2:$K$1001,$O199))</f>
      </c>
      <c r="M199">
        <f>IF($O199="","",INDEX(Master!$L$2:$L$1001,$O199))</f>
      </c>
      <c r="O199">
        <f t="array" ref="O199">IFERROR(SMALL(IF(Master!$A$2:$A$1001="AKASH SALES",ROW(Master!$A$2:$A$1001)-ROW(Master!$A$2)+1),195),"")</f>
      </c>
      <c r="P199">
        <f t="shared" si="7"/>
      </c>
    </row>
    <row r="200" spans="1:16" x14ac:dyDescent="0.25">
      <c r="A200">
        <f>IF($O200="","",INDEX(Master!$D$2:$D$1001,$O200))</f>
      </c>
      <c r="B200" s="166">
        <f>IF($O200="","",INDEX(Master!$B$2:$B$1001,$O200))</f>
      </c>
      <c r="C200">
        <f>IF($O200="","",INDEX(Master!$C$2:$C$1001,$O200))</f>
      </c>
      <c r="D200">
        <f>IF($O200="","",INDEX(Master!$A$2:$A$1001,$O200))</f>
      </c>
      <c r="E200">
        <f>IF($O200="","",INDEX(Master!$E$2:$E$1001,$O200))</f>
      </c>
      <c r="F200">
        <f>IF($O200="","",INDEX(Master!$F$2:$F$1001,$O200))</f>
      </c>
      <c r="G200">
        <f>IF($O200="","",INDEX(Master!$G$2:$G$1001,$O200))</f>
      </c>
      <c r="H200">
        <f>IF($O200="","",INDEX(Master!$H$2:$H$1001,$O200))</f>
      </c>
      <c r="I200">
        <f>IF($O200="","",INDEX(Master!$I$2:$I$1001,$O200))</f>
      </c>
      <c r="J200">
        <f>IF($O200="","",INDEX(Master!$J$2:$J$1001,$O200))</f>
      </c>
      <c r="K200">
        <f t="shared" si="6"/>
      </c>
      <c r="L200">
        <f>IF($O200="","",INDEX(Master!$K$2:$K$1001,$O200))</f>
      </c>
      <c r="M200">
        <f>IF($O200="","",INDEX(Master!$L$2:$L$1001,$O200))</f>
      </c>
      <c r="O200">
        <f t="array" ref="O200">IFERROR(SMALL(IF(Master!$A$2:$A$1001="AKASH SALES",ROW(Master!$A$2:$A$1001)-ROW(Master!$A$2)+1),196),"")</f>
      </c>
      <c r="P200">
        <f t="shared" si="7"/>
      </c>
    </row>
    <row r="201" spans="1:16" x14ac:dyDescent="0.25">
      <c r="A201">
        <f>IF($O201="","",INDEX(Master!$D$2:$D$1001,$O201))</f>
      </c>
      <c r="B201" s="166">
        <f>IF($O201="","",INDEX(Master!$B$2:$B$1001,$O201))</f>
      </c>
      <c r="C201">
        <f>IF($O201="","",INDEX(Master!$C$2:$C$1001,$O201))</f>
      </c>
      <c r="D201">
        <f>IF($O201="","",INDEX(Master!$A$2:$A$1001,$O201))</f>
      </c>
      <c r="E201">
        <f>IF($O201="","",INDEX(Master!$E$2:$E$1001,$O201))</f>
      </c>
      <c r="F201">
        <f>IF($O201="","",INDEX(Master!$F$2:$F$1001,$O201))</f>
      </c>
      <c r="G201">
        <f>IF($O201="","",INDEX(Master!$G$2:$G$1001,$O201))</f>
      </c>
      <c r="H201">
        <f>IF($O201="","",INDEX(Master!$H$2:$H$1001,$O201))</f>
      </c>
      <c r="I201">
        <f>IF($O201="","",INDEX(Master!$I$2:$I$1001,$O201))</f>
      </c>
      <c r="J201">
        <f>IF($O201="","",INDEX(Master!$J$2:$J$1001,$O201))</f>
      </c>
      <c r="K201">
        <f t="shared" si="6"/>
      </c>
      <c r="L201">
        <f>IF($O201="","",INDEX(Master!$K$2:$K$1001,$O201))</f>
      </c>
      <c r="M201">
        <f>IF($O201="","",INDEX(Master!$L$2:$L$1001,$O201))</f>
      </c>
      <c r="O201">
        <f t="array" ref="O201">IFERROR(SMALL(IF(Master!$A$2:$A$1001="AKASH SALES",ROW(Master!$A$2:$A$1001)-ROW(Master!$A$2)+1),197),"")</f>
      </c>
      <c r="P201">
        <f t="shared" si="7"/>
      </c>
    </row>
    <row r="202" spans="1:16" x14ac:dyDescent="0.25">
      <c r="A202">
        <f>IF($O202="","",INDEX(Master!$D$2:$D$1001,$O202))</f>
      </c>
      <c r="B202" s="166">
        <f>IF($O202="","",INDEX(Master!$B$2:$B$1001,$O202))</f>
      </c>
      <c r="C202">
        <f>IF($O202="","",INDEX(Master!$C$2:$C$1001,$O202))</f>
      </c>
      <c r="D202">
        <f>IF($O202="","",INDEX(Master!$A$2:$A$1001,$O202))</f>
      </c>
      <c r="E202">
        <f>IF($O202="","",INDEX(Master!$E$2:$E$1001,$O202))</f>
      </c>
      <c r="F202">
        <f>IF($O202="","",INDEX(Master!$F$2:$F$1001,$O202))</f>
      </c>
      <c r="G202">
        <f>IF($O202="","",INDEX(Master!$G$2:$G$1001,$O202))</f>
      </c>
      <c r="H202">
        <f>IF($O202="","",INDEX(Master!$H$2:$H$1001,$O202))</f>
      </c>
      <c r="I202">
        <f>IF($O202="","",INDEX(Master!$I$2:$I$1001,$O202))</f>
      </c>
      <c r="J202">
        <f>IF($O202="","",INDEX(Master!$J$2:$J$1001,$O202))</f>
      </c>
      <c r="K202">
        <f t="shared" si="6"/>
      </c>
      <c r="L202">
        <f>IF($O202="","",INDEX(Master!$K$2:$K$1001,$O202))</f>
      </c>
      <c r="M202">
        <f>IF($O202="","",INDEX(Master!$L$2:$L$1001,$O202))</f>
      </c>
      <c r="O202">
        <f t="array" ref="O202">IFERROR(SMALL(IF(Master!$A$2:$A$1001="AKASH SALES",ROW(Master!$A$2:$A$1001)-ROW(Master!$A$2)+1),198),"")</f>
      </c>
      <c r="P202">
        <f t="shared" si="7"/>
      </c>
    </row>
    <row r="203" spans="1:16" x14ac:dyDescent="0.25">
      <c r="A203">
        <f>IF($O203="","",INDEX(Master!$D$2:$D$1001,$O203))</f>
      </c>
      <c r="B203" s="166">
        <f>IF($O203="","",INDEX(Master!$B$2:$B$1001,$O203))</f>
      </c>
      <c r="C203">
        <f>IF($O203="","",INDEX(Master!$C$2:$C$1001,$O203))</f>
      </c>
      <c r="D203">
        <f>IF($O203="","",INDEX(Master!$A$2:$A$1001,$O203))</f>
      </c>
      <c r="E203">
        <f>IF($O203="","",INDEX(Master!$E$2:$E$1001,$O203))</f>
      </c>
      <c r="F203">
        <f>IF($O203="","",INDEX(Master!$F$2:$F$1001,$O203))</f>
      </c>
      <c r="G203">
        <f>IF($O203="","",INDEX(Master!$G$2:$G$1001,$O203))</f>
      </c>
      <c r="H203">
        <f>IF($O203="","",INDEX(Master!$H$2:$H$1001,$O203))</f>
      </c>
      <c r="I203">
        <f>IF($O203="","",INDEX(Master!$I$2:$I$1001,$O203))</f>
      </c>
      <c r="J203">
        <f>IF($O203="","",INDEX(Master!$J$2:$J$1001,$O203))</f>
      </c>
      <c r="K203">
        <f t="shared" si="6"/>
      </c>
      <c r="L203">
        <f>IF($O203="","",INDEX(Master!$K$2:$K$1001,$O203))</f>
      </c>
      <c r="M203">
        <f>IF($O203="","",INDEX(Master!$L$2:$L$1001,$O203))</f>
      </c>
      <c r="O203">
        <f t="array" ref="O203">IFERROR(SMALL(IF(Master!$A$2:$A$1001="AKASH SALES",ROW(Master!$A$2:$A$1001)-ROW(Master!$A$2)+1),199),"")</f>
      </c>
      <c r="P203">
        <f t="shared" si="7"/>
      </c>
    </row>
    <row r="204" spans="1:16" x14ac:dyDescent="0.25">
      <c r="A204">
        <f>IF($O204="","",INDEX(Master!$D$2:$D$1001,$O204))</f>
      </c>
      <c r="B204" s="166">
        <f>IF($O204="","",INDEX(Master!$B$2:$B$1001,$O204))</f>
      </c>
      <c r="C204">
        <f>IF($O204="","",INDEX(Master!$C$2:$C$1001,$O204))</f>
      </c>
      <c r="D204">
        <f>IF($O204="","",INDEX(Master!$A$2:$A$1001,$O204))</f>
      </c>
      <c r="E204">
        <f>IF($O204="","",INDEX(Master!$E$2:$E$1001,$O204))</f>
      </c>
      <c r="F204">
        <f>IF($O204="","",INDEX(Master!$F$2:$F$1001,$O204))</f>
      </c>
      <c r="G204">
        <f>IF($O204="","",INDEX(Master!$G$2:$G$1001,$O204))</f>
      </c>
      <c r="H204">
        <f>IF($O204="","",INDEX(Master!$H$2:$H$1001,$O204))</f>
      </c>
      <c r="I204">
        <f>IF($O204="","",INDEX(Master!$I$2:$I$1001,$O204))</f>
      </c>
      <c r="J204">
        <f>IF($O204="","",INDEX(Master!$J$2:$J$1001,$O204))</f>
      </c>
      <c r="K204">
        <f t="shared" si="6"/>
      </c>
      <c r="L204">
        <f>IF($O204="","",INDEX(Master!$K$2:$K$1001,$O204))</f>
      </c>
      <c r="M204">
        <f>IF($O204="","",INDEX(Master!$L$2:$L$1001,$O204))</f>
      </c>
      <c r="O204">
        <f t="array" ref="O204">IFERROR(SMALL(IF(Master!$A$2:$A$1001="AKASH SALES",ROW(Master!$A$2:$A$1001)-ROW(Master!$A$2)+1),200),"")</f>
      </c>
      <c r="P204">
        <f t="shared" si="7"/>
      </c>
    </row>
    <row r="205" spans="1:16" x14ac:dyDescent="0.25">
      <c r="A205">
        <f>IF($O205="","",INDEX(Master!$D$2:$D$1001,$O205))</f>
      </c>
      <c r="B205" s="166">
        <f>IF($O205="","",INDEX(Master!$B$2:$B$1001,$O205))</f>
      </c>
      <c r="C205">
        <f>IF($O205="","",INDEX(Master!$C$2:$C$1001,$O205))</f>
      </c>
      <c r="D205">
        <f>IF($O205="","",INDEX(Master!$A$2:$A$1001,$O205))</f>
      </c>
      <c r="E205">
        <f>IF($O205="","",INDEX(Master!$E$2:$E$1001,$O205))</f>
      </c>
      <c r="F205">
        <f>IF($O205="","",INDEX(Master!$F$2:$F$1001,$O205))</f>
      </c>
      <c r="G205">
        <f>IF($O205="","",INDEX(Master!$G$2:$G$1001,$O205))</f>
      </c>
      <c r="H205">
        <f>IF($O205="","",INDEX(Master!$H$2:$H$1001,$O205))</f>
      </c>
      <c r="I205">
        <f>IF($O205="","",INDEX(Master!$I$2:$I$1001,$O205))</f>
      </c>
      <c r="J205">
        <f>IF($O205="","",INDEX(Master!$J$2:$J$1001,$O205))</f>
      </c>
      <c r="K205">
        <f t="shared" si="6"/>
      </c>
      <c r="L205">
        <f>IF($O205="","",INDEX(Master!$K$2:$K$1001,$O205))</f>
      </c>
      <c r="M205">
        <f>IF($O205="","",INDEX(Master!$L$2:$L$1001,$O205))</f>
      </c>
      <c r="O205">
        <f t="array" ref="O205">IFERROR(SMALL(IF(Master!$A$2:$A$1001="AKASH SALES",ROW(Master!$A$2:$A$1001)-ROW(Master!$A$2)+1),201),"")</f>
      </c>
      <c r="P205">
        <f t="shared" si="7"/>
      </c>
    </row>
    <row r="206" spans="1:16" x14ac:dyDescent="0.25">
      <c r="A206">
        <f>IF($O206="","",INDEX(Master!$D$2:$D$1001,$O206))</f>
      </c>
      <c r="B206" s="166">
        <f>IF($O206="","",INDEX(Master!$B$2:$B$1001,$O206))</f>
      </c>
      <c r="C206">
        <f>IF($O206="","",INDEX(Master!$C$2:$C$1001,$O206))</f>
      </c>
      <c r="D206">
        <f>IF($O206="","",INDEX(Master!$A$2:$A$1001,$O206))</f>
      </c>
      <c r="E206">
        <f>IF($O206="","",INDEX(Master!$E$2:$E$1001,$O206))</f>
      </c>
      <c r="F206">
        <f>IF($O206="","",INDEX(Master!$F$2:$F$1001,$O206))</f>
      </c>
      <c r="G206">
        <f>IF($O206="","",INDEX(Master!$G$2:$G$1001,$O206))</f>
      </c>
      <c r="H206">
        <f>IF($O206="","",INDEX(Master!$H$2:$H$1001,$O206))</f>
      </c>
      <c r="I206">
        <f>IF($O206="","",INDEX(Master!$I$2:$I$1001,$O206))</f>
      </c>
      <c r="J206">
        <f>IF($O206="","",INDEX(Master!$J$2:$J$1001,$O206))</f>
      </c>
      <c r="K206">
        <f t="shared" si="6"/>
      </c>
      <c r="L206">
        <f>IF($O206="","",INDEX(Master!$K$2:$K$1001,$O206))</f>
      </c>
      <c r="M206">
        <f>IF($O206="","",INDEX(Master!$L$2:$L$1001,$O206))</f>
      </c>
      <c r="O206">
        <f t="array" ref="O206">IFERROR(SMALL(IF(Master!$A$2:$A$1001="AKASH SALES",ROW(Master!$A$2:$A$1001)-ROW(Master!$A$2)+1),202),"")</f>
      </c>
      <c r="P206">
        <f t="shared" si="7"/>
      </c>
    </row>
    <row r="207" spans="1:16" x14ac:dyDescent="0.25">
      <c r="A207">
        <f>IF($O207="","",INDEX(Master!$D$2:$D$1001,$O207))</f>
      </c>
      <c r="B207" s="166">
        <f>IF($O207="","",INDEX(Master!$B$2:$B$1001,$O207))</f>
      </c>
      <c r="C207">
        <f>IF($O207="","",INDEX(Master!$C$2:$C$1001,$O207))</f>
      </c>
      <c r="D207">
        <f>IF($O207="","",INDEX(Master!$A$2:$A$1001,$O207))</f>
      </c>
      <c r="E207">
        <f>IF($O207="","",INDEX(Master!$E$2:$E$1001,$O207))</f>
      </c>
      <c r="F207">
        <f>IF($O207="","",INDEX(Master!$F$2:$F$1001,$O207))</f>
      </c>
      <c r="G207">
        <f>IF($O207="","",INDEX(Master!$G$2:$G$1001,$O207))</f>
      </c>
      <c r="H207">
        <f>IF($O207="","",INDEX(Master!$H$2:$H$1001,$O207))</f>
      </c>
      <c r="I207">
        <f>IF($O207="","",INDEX(Master!$I$2:$I$1001,$O207))</f>
      </c>
      <c r="J207">
        <f>IF($O207="","",INDEX(Master!$J$2:$J$1001,$O207))</f>
      </c>
      <c r="K207">
        <f t="shared" si="6"/>
      </c>
      <c r="L207">
        <f>IF($O207="","",INDEX(Master!$K$2:$K$1001,$O207))</f>
      </c>
      <c r="M207">
        <f>IF($O207="","",INDEX(Master!$L$2:$L$1001,$O207))</f>
      </c>
      <c r="O207">
        <f t="array" ref="O207">IFERROR(SMALL(IF(Master!$A$2:$A$1001="AKASH SALES",ROW(Master!$A$2:$A$1001)-ROW(Master!$A$2)+1),203),"")</f>
      </c>
      <c r="P207">
        <f t="shared" si="7"/>
      </c>
    </row>
    <row r="208" spans="1:16" x14ac:dyDescent="0.25">
      <c r="A208">
        <f>IF($O208="","",INDEX(Master!$D$2:$D$1001,$O208))</f>
      </c>
      <c r="B208" s="166">
        <f>IF($O208="","",INDEX(Master!$B$2:$B$1001,$O208))</f>
      </c>
      <c r="C208">
        <f>IF($O208="","",INDEX(Master!$C$2:$C$1001,$O208))</f>
      </c>
      <c r="D208">
        <f>IF($O208="","",INDEX(Master!$A$2:$A$1001,$O208))</f>
      </c>
      <c r="E208">
        <f>IF($O208="","",INDEX(Master!$E$2:$E$1001,$O208))</f>
      </c>
      <c r="F208">
        <f>IF($O208="","",INDEX(Master!$F$2:$F$1001,$O208))</f>
      </c>
      <c r="G208">
        <f>IF($O208="","",INDEX(Master!$G$2:$G$1001,$O208))</f>
      </c>
      <c r="H208">
        <f>IF($O208="","",INDEX(Master!$H$2:$H$1001,$O208))</f>
      </c>
      <c r="I208">
        <f>IF($O208="","",INDEX(Master!$I$2:$I$1001,$O208))</f>
      </c>
      <c r="J208">
        <f>IF($O208="","",INDEX(Master!$J$2:$J$1001,$O208))</f>
      </c>
      <c r="K208">
        <f t="shared" si="6"/>
      </c>
      <c r="L208">
        <f>IF($O208="","",INDEX(Master!$K$2:$K$1001,$O208))</f>
      </c>
      <c r="M208">
        <f>IF($O208="","",INDEX(Master!$L$2:$L$1001,$O208))</f>
      </c>
      <c r="O208">
        <f t="array" ref="O208">IFERROR(SMALL(IF(Master!$A$2:$A$1001="AKASH SALES",ROW(Master!$A$2:$A$1001)-ROW(Master!$A$2)+1),204),"")</f>
      </c>
      <c r="P208">
        <f t="shared" si="7"/>
      </c>
    </row>
    <row r="209" spans="1:16" x14ac:dyDescent="0.25">
      <c r="A209">
        <f>IF($O209="","",INDEX(Master!$D$2:$D$1001,$O209))</f>
      </c>
      <c r="B209" s="166">
        <f>IF($O209="","",INDEX(Master!$B$2:$B$1001,$O209))</f>
      </c>
      <c r="C209">
        <f>IF($O209="","",INDEX(Master!$C$2:$C$1001,$O209))</f>
      </c>
      <c r="D209">
        <f>IF($O209="","",INDEX(Master!$A$2:$A$1001,$O209))</f>
      </c>
      <c r="E209">
        <f>IF($O209="","",INDEX(Master!$E$2:$E$1001,$O209))</f>
      </c>
      <c r="F209">
        <f>IF($O209="","",INDEX(Master!$F$2:$F$1001,$O209))</f>
      </c>
      <c r="G209">
        <f>IF($O209="","",INDEX(Master!$G$2:$G$1001,$O209))</f>
      </c>
      <c r="H209">
        <f>IF($O209="","",INDEX(Master!$H$2:$H$1001,$O209))</f>
      </c>
      <c r="I209">
        <f>IF($O209="","",INDEX(Master!$I$2:$I$1001,$O209))</f>
      </c>
      <c r="J209">
        <f>IF($O209="","",INDEX(Master!$J$2:$J$1001,$O209))</f>
      </c>
      <c r="K209">
        <f t="shared" si="6"/>
      </c>
      <c r="L209">
        <f>IF($O209="","",INDEX(Master!$K$2:$K$1001,$O209))</f>
      </c>
      <c r="M209">
        <f>IF($O209="","",INDEX(Master!$L$2:$L$1001,$O209))</f>
      </c>
      <c r="O209">
        <f t="array" ref="O209">IFERROR(SMALL(IF(Master!$A$2:$A$1001="AKASH SALES",ROW(Master!$A$2:$A$1001)-ROW(Master!$A$2)+1),205),"")</f>
      </c>
      <c r="P209">
        <f t="shared" si="7"/>
      </c>
    </row>
    <row r="210" spans="1:16" x14ac:dyDescent="0.25">
      <c r="A210">
        <f>IF($O210="","",INDEX(Master!$D$2:$D$1001,$O210))</f>
      </c>
      <c r="B210" s="166">
        <f>IF($O210="","",INDEX(Master!$B$2:$B$1001,$O210))</f>
      </c>
      <c r="C210">
        <f>IF($O210="","",INDEX(Master!$C$2:$C$1001,$O210))</f>
      </c>
      <c r="D210">
        <f>IF($O210="","",INDEX(Master!$A$2:$A$1001,$O210))</f>
      </c>
      <c r="E210">
        <f>IF($O210="","",INDEX(Master!$E$2:$E$1001,$O210))</f>
      </c>
      <c r="F210">
        <f>IF($O210="","",INDEX(Master!$F$2:$F$1001,$O210))</f>
      </c>
      <c r="G210">
        <f>IF($O210="","",INDEX(Master!$G$2:$G$1001,$O210))</f>
      </c>
      <c r="H210">
        <f>IF($O210="","",INDEX(Master!$H$2:$H$1001,$O210))</f>
      </c>
      <c r="I210">
        <f>IF($O210="","",INDEX(Master!$I$2:$I$1001,$O210))</f>
      </c>
      <c r="J210">
        <f>IF($O210="","",INDEX(Master!$J$2:$J$1001,$O210))</f>
      </c>
      <c r="K210">
        <f t="shared" si="6"/>
      </c>
      <c r="L210">
        <f>IF($O210="","",INDEX(Master!$K$2:$K$1001,$O210))</f>
      </c>
      <c r="M210">
        <f>IF($O210="","",INDEX(Master!$L$2:$L$1001,$O210))</f>
      </c>
      <c r="O210">
        <f t="array" ref="O210">IFERROR(SMALL(IF(Master!$A$2:$A$1001="AKASH SALES",ROW(Master!$A$2:$A$1001)-ROW(Master!$A$2)+1),206),"")</f>
      </c>
      <c r="P210">
        <f t="shared" si="7"/>
      </c>
    </row>
    <row r="211" spans="1:16" x14ac:dyDescent="0.25">
      <c r="A211">
        <f>IF($O211="","",INDEX(Master!$D$2:$D$1001,$O211))</f>
      </c>
      <c r="B211" s="166">
        <f>IF($O211="","",INDEX(Master!$B$2:$B$1001,$O211))</f>
      </c>
      <c r="C211">
        <f>IF($O211="","",INDEX(Master!$C$2:$C$1001,$O211))</f>
      </c>
      <c r="D211">
        <f>IF($O211="","",INDEX(Master!$A$2:$A$1001,$O211))</f>
      </c>
      <c r="E211">
        <f>IF($O211="","",INDEX(Master!$E$2:$E$1001,$O211))</f>
      </c>
      <c r="F211">
        <f>IF($O211="","",INDEX(Master!$F$2:$F$1001,$O211))</f>
      </c>
      <c r="G211">
        <f>IF($O211="","",INDEX(Master!$G$2:$G$1001,$O211))</f>
      </c>
      <c r="H211">
        <f>IF($O211="","",INDEX(Master!$H$2:$H$1001,$O211))</f>
      </c>
      <c r="I211">
        <f>IF($O211="","",INDEX(Master!$I$2:$I$1001,$O211))</f>
      </c>
      <c r="J211">
        <f>IF($O211="","",INDEX(Master!$J$2:$J$1001,$O211))</f>
      </c>
      <c r="K211">
        <f t="shared" si="6"/>
      </c>
      <c r="L211">
        <f>IF($O211="","",INDEX(Master!$K$2:$K$1001,$O211))</f>
      </c>
      <c r="M211">
        <f>IF($O211="","",INDEX(Master!$L$2:$L$1001,$O211))</f>
      </c>
      <c r="O211">
        <f t="array" ref="O211">IFERROR(SMALL(IF(Master!$A$2:$A$1001="AKASH SALES",ROW(Master!$A$2:$A$1001)-ROW(Master!$A$2)+1),207),"")</f>
      </c>
      <c r="P211">
        <f t="shared" si="7"/>
      </c>
    </row>
    <row r="212" spans="1:16" x14ac:dyDescent="0.25">
      <c r="A212">
        <f>IF($O212="","",INDEX(Master!$D$2:$D$1001,$O212))</f>
      </c>
      <c r="B212" s="166">
        <f>IF($O212="","",INDEX(Master!$B$2:$B$1001,$O212))</f>
      </c>
      <c r="C212">
        <f>IF($O212="","",INDEX(Master!$C$2:$C$1001,$O212))</f>
      </c>
      <c r="D212">
        <f>IF($O212="","",INDEX(Master!$A$2:$A$1001,$O212))</f>
      </c>
      <c r="E212">
        <f>IF($O212="","",INDEX(Master!$E$2:$E$1001,$O212))</f>
      </c>
      <c r="F212">
        <f>IF($O212="","",INDEX(Master!$F$2:$F$1001,$O212))</f>
      </c>
      <c r="G212">
        <f>IF($O212="","",INDEX(Master!$G$2:$G$1001,$O212))</f>
      </c>
      <c r="H212">
        <f>IF($O212="","",INDEX(Master!$H$2:$H$1001,$O212))</f>
      </c>
      <c r="I212">
        <f>IF($O212="","",INDEX(Master!$I$2:$I$1001,$O212))</f>
      </c>
      <c r="J212">
        <f>IF($O212="","",INDEX(Master!$J$2:$J$1001,$O212))</f>
      </c>
      <c r="K212">
        <f t="shared" si="6"/>
      </c>
      <c r="L212">
        <f>IF($O212="","",INDEX(Master!$K$2:$K$1001,$O212))</f>
      </c>
      <c r="M212">
        <f>IF($O212="","",INDEX(Master!$L$2:$L$1001,$O212))</f>
      </c>
      <c r="O212">
        <f t="array" ref="O212">IFERROR(SMALL(IF(Master!$A$2:$A$1001="AKASH SALES",ROW(Master!$A$2:$A$1001)-ROW(Master!$A$2)+1),208),"")</f>
      </c>
      <c r="P212">
        <f t="shared" si="7"/>
      </c>
    </row>
    <row r="213" spans="1:16" x14ac:dyDescent="0.25">
      <c r="A213">
        <f>IF($O213="","",INDEX(Master!$D$2:$D$1001,$O213))</f>
      </c>
      <c r="B213" s="166">
        <f>IF($O213="","",INDEX(Master!$B$2:$B$1001,$O213))</f>
      </c>
      <c r="C213">
        <f>IF($O213="","",INDEX(Master!$C$2:$C$1001,$O213))</f>
      </c>
      <c r="D213">
        <f>IF($O213="","",INDEX(Master!$A$2:$A$1001,$O213))</f>
      </c>
      <c r="E213">
        <f>IF($O213="","",INDEX(Master!$E$2:$E$1001,$O213))</f>
      </c>
      <c r="F213">
        <f>IF($O213="","",INDEX(Master!$F$2:$F$1001,$O213))</f>
      </c>
      <c r="G213">
        <f>IF($O213="","",INDEX(Master!$G$2:$G$1001,$O213))</f>
      </c>
      <c r="H213">
        <f>IF($O213="","",INDEX(Master!$H$2:$H$1001,$O213))</f>
      </c>
      <c r="I213">
        <f>IF($O213="","",INDEX(Master!$I$2:$I$1001,$O213))</f>
      </c>
      <c r="J213">
        <f>IF($O213="","",INDEX(Master!$J$2:$J$1001,$O213))</f>
      </c>
      <c r="K213">
        <f t="shared" si="6"/>
      </c>
      <c r="L213">
        <f>IF($O213="","",INDEX(Master!$K$2:$K$1001,$O213))</f>
      </c>
      <c r="M213">
        <f>IF($O213="","",INDEX(Master!$L$2:$L$1001,$O213))</f>
      </c>
      <c r="O213">
        <f t="array" ref="O213">IFERROR(SMALL(IF(Master!$A$2:$A$1001="AKASH SALES",ROW(Master!$A$2:$A$1001)-ROW(Master!$A$2)+1),209),"")</f>
      </c>
      <c r="P213">
        <f t="shared" si="7"/>
      </c>
    </row>
    <row r="214" spans="1:16" x14ac:dyDescent="0.25">
      <c r="A214">
        <f>IF($O214="","",INDEX(Master!$D$2:$D$1001,$O214))</f>
      </c>
      <c r="B214" s="166">
        <f>IF($O214="","",INDEX(Master!$B$2:$B$1001,$O214))</f>
      </c>
      <c r="C214">
        <f>IF($O214="","",INDEX(Master!$C$2:$C$1001,$O214))</f>
      </c>
      <c r="D214">
        <f>IF($O214="","",INDEX(Master!$A$2:$A$1001,$O214))</f>
      </c>
      <c r="E214">
        <f>IF($O214="","",INDEX(Master!$E$2:$E$1001,$O214))</f>
      </c>
      <c r="F214">
        <f>IF($O214="","",INDEX(Master!$F$2:$F$1001,$O214))</f>
      </c>
      <c r="G214">
        <f>IF($O214="","",INDEX(Master!$G$2:$G$1001,$O214))</f>
      </c>
      <c r="H214">
        <f>IF($O214="","",INDEX(Master!$H$2:$H$1001,$O214))</f>
      </c>
      <c r="I214">
        <f>IF($O214="","",INDEX(Master!$I$2:$I$1001,$O214))</f>
      </c>
      <c r="J214">
        <f>IF($O214="","",INDEX(Master!$J$2:$J$1001,$O214))</f>
      </c>
      <c r="K214">
        <f t="shared" si="6"/>
      </c>
      <c r="L214">
        <f>IF($O214="","",INDEX(Master!$K$2:$K$1001,$O214))</f>
      </c>
      <c r="M214">
        <f>IF($O214="","",INDEX(Master!$L$2:$L$1001,$O214))</f>
      </c>
      <c r="O214">
        <f t="array" ref="O214">IFERROR(SMALL(IF(Master!$A$2:$A$1001="AKASH SALES",ROW(Master!$A$2:$A$1001)-ROW(Master!$A$2)+1),210),"")</f>
      </c>
      <c r="P214">
        <f t="shared" si="7"/>
      </c>
    </row>
    <row r="215" spans="1:16" x14ac:dyDescent="0.25">
      <c r="A215">
        <f>IF($O215="","",INDEX(Master!$D$2:$D$1001,$O215))</f>
      </c>
      <c r="B215" s="166">
        <f>IF($O215="","",INDEX(Master!$B$2:$B$1001,$O215))</f>
      </c>
      <c r="C215">
        <f>IF($O215="","",INDEX(Master!$C$2:$C$1001,$O215))</f>
      </c>
      <c r="D215">
        <f>IF($O215="","",INDEX(Master!$A$2:$A$1001,$O215))</f>
      </c>
      <c r="E215">
        <f>IF($O215="","",INDEX(Master!$E$2:$E$1001,$O215))</f>
      </c>
      <c r="F215">
        <f>IF($O215="","",INDEX(Master!$F$2:$F$1001,$O215))</f>
      </c>
      <c r="G215">
        <f>IF($O215="","",INDEX(Master!$G$2:$G$1001,$O215))</f>
      </c>
      <c r="H215">
        <f>IF($O215="","",INDEX(Master!$H$2:$H$1001,$O215))</f>
      </c>
      <c r="I215">
        <f>IF($O215="","",INDEX(Master!$I$2:$I$1001,$O215))</f>
      </c>
      <c r="J215">
        <f>IF($O215="","",INDEX(Master!$J$2:$J$1001,$O215))</f>
      </c>
      <c r="K215">
        <f t="shared" si="6"/>
      </c>
      <c r="L215">
        <f>IF($O215="","",INDEX(Master!$K$2:$K$1001,$O215))</f>
      </c>
      <c r="M215">
        <f>IF($O215="","",INDEX(Master!$L$2:$L$1001,$O215))</f>
      </c>
      <c r="O215">
        <f t="array" ref="O215">IFERROR(SMALL(IF(Master!$A$2:$A$1001="AKASH SALES",ROW(Master!$A$2:$A$1001)-ROW(Master!$A$2)+1),211),"")</f>
      </c>
      <c r="P215">
        <f t="shared" si="7"/>
      </c>
    </row>
    <row r="216" spans="1:16" x14ac:dyDescent="0.25">
      <c r="A216">
        <f>IF($O216="","",INDEX(Master!$D$2:$D$1001,$O216))</f>
      </c>
      <c r="B216" s="166">
        <f>IF($O216="","",INDEX(Master!$B$2:$B$1001,$O216))</f>
      </c>
      <c r="C216">
        <f>IF($O216="","",INDEX(Master!$C$2:$C$1001,$O216))</f>
      </c>
      <c r="D216">
        <f>IF($O216="","",INDEX(Master!$A$2:$A$1001,$O216))</f>
      </c>
      <c r="E216">
        <f>IF($O216="","",INDEX(Master!$E$2:$E$1001,$O216))</f>
      </c>
      <c r="F216">
        <f>IF($O216="","",INDEX(Master!$F$2:$F$1001,$O216))</f>
      </c>
      <c r="G216">
        <f>IF($O216="","",INDEX(Master!$G$2:$G$1001,$O216))</f>
      </c>
      <c r="H216">
        <f>IF($O216="","",INDEX(Master!$H$2:$H$1001,$O216))</f>
      </c>
      <c r="I216">
        <f>IF($O216="","",INDEX(Master!$I$2:$I$1001,$O216))</f>
      </c>
      <c r="J216">
        <f>IF($O216="","",INDEX(Master!$J$2:$J$1001,$O216))</f>
      </c>
      <c r="K216">
        <f t="shared" si="6"/>
      </c>
      <c r="L216">
        <f>IF($O216="","",INDEX(Master!$K$2:$K$1001,$O216))</f>
      </c>
      <c r="M216">
        <f>IF($O216="","",INDEX(Master!$L$2:$L$1001,$O216))</f>
      </c>
      <c r="O216">
        <f t="array" ref="O216">IFERROR(SMALL(IF(Master!$A$2:$A$1001="AKASH SALES",ROW(Master!$A$2:$A$1001)-ROW(Master!$A$2)+1),212),"")</f>
      </c>
      <c r="P216">
        <f t="shared" si="7"/>
      </c>
    </row>
    <row r="217" spans="1:16" x14ac:dyDescent="0.25">
      <c r="A217">
        <f>IF($O217="","",INDEX(Master!$D$2:$D$1001,$O217))</f>
      </c>
      <c r="B217" s="166">
        <f>IF($O217="","",INDEX(Master!$B$2:$B$1001,$O217))</f>
      </c>
      <c r="C217">
        <f>IF($O217="","",INDEX(Master!$C$2:$C$1001,$O217))</f>
      </c>
      <c r="D217">
        <f>IF($O217="","",INDEX(Master!$A$2:$A$1001,$O217))</f>
      </c>
      <c r="E217">
        <f>IF($O217="","",INDEX(Master!$E$2:$E$1001,$O217))</f>
      </c>
      <c r="F217">
        <f>IF($O217="","",INDEX(Master!$F$2:$F$1001,$O217))</f>
      </c>
      <c r="G217">
        <f>IF($O217="","",INDEX(Master!$G$2:$G$1001,$O217))</f>
      </c>
      <c r="H217">
        <f>IF($O217="","",INDEX(Master!$H$2:$H$1001,$O217))</f>
      </c>
      <c r="I217">
        <f>IF($O217="","",INDEX(Master!$I$2:$I$1001,$O217))</f>
      </c>
      <c r="J217">
        <f>IF($O217="","",INDEX(Master!$J$2:$J$1001,$O217))</f>
      </c>
      <c r="K217">
        <f t="shared" si="6"/>
      </c>
      <c r="L217">
        <f>IF($O217="","",INDEX(Master!$K$2:$K$1001,$O217))</f>
      </c>
      <c r="M217">
        <f>IF($O217="","",INDEX(Master!$L$2:$L$1001,$O217))</f>
      </c>
      <c r="O217">
        <f t="array" ref="O217">IFERROR(SMALL(IF(Master!$A$2:$A$1001="AKASH SALES",ROW(Master!$A$2:$A$1001)-ROW(Master!$A$2)+1),213),"")</f>
      </c>
      <c r="P217">
        <f t="shared" si="7"/>
      </c>
    </row>
    <row r="218" spans="1:16" x14ac:dyDescent="0.25">
      <c r="A218">
        <f>IF($O218="","",INDEX(Master!$D$2:$D$1001,$O218))</f>
      </c>
      <c r="B218" s="166">
        <f>IF($O218="","",INDEX(Master!$B$2:$B$1001,$O218))</f>
      </c>
      <c r="C218">
        <f>IF($O218="","",INDEX(Master!$C$2:$C$1001,$O218))</f>
      </c>
      <c r="D218">
        <f>IF($O218="","",INDEX(Master!$A$2:$A$1001,$O218))</f>
      </c>
      <c r="E218">
        <f>IF($O218="","",INDEX(Master!$E$2:$E$1001,$O218))</f>
      </c>
      <c r="F218">
        <f>IF($O218="","",INDEX(Master!$F$2:$F$1001,$O218))</f>
      </c>
      <c r="G218">
        <f>IF($O218="","",INDEX(Master!$G$2:$G$1001,$O218))</f>
      </c>
      <c r="H218">
        <f>IF($O218="","",INDEX(Master!$H$2:$H$1001,$O218))</f>
      </c>
      <c r="I218">
        <f>IF($O218="","",INDEX(Master!$I$2:$I$1001,$O218))</f>
      </c>
      <c r="J218">
        <f>IF($O218="","",INDEX(Master!$J$2:$J$1001,$O218))</f>
      </c>
      <c r="K218">
        <f t="shared" si="6"/>
      </c>
      <c r="L218">
        <f>IF($O218="","",INDEX(Master!$K$2:$K$1001,$O218))</f>
      </c>
      <c r="M218">
        <f>IF($O218="","",INDEX(Master!$L$2:$L$1001,$O218))</f>
      </c>
      <c r="O218">
        <f t="array" ref="O218">IFERROR(SMALL(IF(Master!$A$2:$A$1001="AKASH SALES",ROW(Master!$A$2:$A$1001)-ROW(Master!$A$2)+1),214),"")</f>
      </c>
      <c r="P218">
        <f t="shared" si="7"/>
      </c>
    </row>
    <row r="219" spans="1:16" x14ac:dyDescent="0.25">
      <c r="A219">
        <f>IF($O219="","",INDEX(Master!$D$2:$D$1001,$O219))</f>
      </c>
      <c r="B219" s="166">
        <f>IF($O219="","",INDEX(Master!$B$2:$B$1001,$O219))</f>
      </c>
      <c r="C219">
        <f>IF($O219="","",INDEX(Master!$C$2:$C$1001,$O219))</f>
      </c>
      <c r="D219">
        <f>IF($O219="","",INDEX(Master!$A$2:$A$1001,$O219))</f>
      </c>
      <c r="E219">
        <f>IF($O219="","",INDEX(Master!$E$2:$E$1001,$O219))</f>
      </c>
      <c r="F219">
        <f>IF($O219="","",INDEX(Master!$F$2:$F$1001,$O219))</f>
      </c>
      <c r="G219">
        <f>IF($O219="","",INDEX(Master!$G$2:$G$1001,$O219))</f>
      </c>
      <c r="H219">
        <f>IF($O219="","",INDEX(Master!$H$2:$H$1001,$O219))</f>
      </c>
      <c r="I219">
        <f>IF($O219="","",INDEX(Master!$I$2:$I$1001,$O219))</f>
      </c>
      <c r="J219">
        <f>IF($O219="","",INDEX(Master!$J$2:$J$1001,$O219))</f>
      </c>
      <c r="K219">
        <f t="shared" si="6"/>
      </c>
      <c r="L219">
        <f>IF($O219="","",INDEX(Master!$K$2:$K$1001,$O219))</f>
      </c>
      <c r="M219">
        <f>IF($O219="","",INDEX(Master!$L$2:$L$1001,$O219))</f>
      </c>
      <c r="O219">
        <f t="array" ref="O219">IFERROR(SMALL(IF(Master!$A$2:$A$1001="AKASH SALES",ROW(Master!$A$2:$A$1001)-ROW(Master!$A$2)+1),215),"")</f>
      </c>
      <c r="P219">
        <f t="shared" si="7"/>
      </c>
    </row>
    <row r="220" spans="1:16" x14ac:dyDescent="0.25">
      <c r="A220">
        <f>IF($O220="","",INDEX(Master!$D$2:$D$1001,$O220))</f>
      </c>
      <c r="B220" s="166">
        <f>IF($O220="","",INDEX(Master!$B$2:$B$1001,$O220))</f>
      </c>
      <c r="C220">
        <f>IF($O220="","",INDEX(Master!$C$2:$C$1001,$O220))</f>
      </c>
      <c r="D220">
        <f>IF($O220="","",INDEX(Master!$A$2:$A$1001,$O220))</f>
      </c>
      <c r="E220">
        <f>IF($O220="","",INDEX(Master!$E$2:$E$1001,$O220))</f>
      </c>
      <c r="F220">
        <f>IF($O220="","",INDEX(Master!$F$2:$F$1001,$O220))</f>
      </c>
      <c r="G220">
        <f>IF($O220="","",INDEX(Master!$G$2:$G$1001,$O220))</f>
      </c>
      <c r="H220">
        <f>IF($O220="","",INDEX(Master!$H$2:$H$1001,$O220))</f>
      </c>
      <c r="I220">
        <f>IF($O220="","",INDEX(Master!$I$2:$I$1001,$O220))</f>
      </c>
      <c r="J220">
        <f>IF($O220="","",INDEX(Master!$J$2:$J$1001,$O220))</f>
      </c>
      <c r="K220">
        <f t="shared" si="6"/>
      </c>
      <c r="L220">
        <f>IF($O220="","",INDEX(Master!$K$2:$K$1001,$O220))</f>
      </c>
      <c r="M220">
        <f>IF($O220="","",INDEX(Master!$L$2:$L$1001,$O220))</f>
      </c>
      <c r="O220">
        <f t="array" ref="O220">IFERROR(SMALL(IF(Master!$A$2:$A$1001="AKASH SALES",ROW(Master!$A$2:$A$1001)-ROW(Master!$A$2)+1),216),"")</f>
      </c>
      <c r="P220">
        <f t="shared" si="7"/>
      </c>
    </row>
    <row r="221" spans="1:16" x14ac:dyDescent="0.25">
      <c r="A221">
        <f>IF($O221="","",INDEX(Master!$D$2:$D$1001,$O221))</f>
      </c>
      <c r="B221" s="166">
        <f>IF($O221="","",INDEX(Master!$B$2:$B$1001,$O221))</f>
      </c>
      <c r="C221">
        <f>IF($O221="","",INDEX(Master!$C$2:$C$1001,$O221))</f>
      </c>
      <c r="D221">
        <f>IF($O221="","",INDEX(Master!$A$2:$A$1001,$O221))</f>
      </c>
      <c r="E221">
        <f>IF($O221="","",INDEX(Master!$E$2:$E$1001,$O221))</f>
      </c>
      <c r="F221">
        <f>IF($O221="","",INDEX(Master!$F$2:$F$1001,$O221))</f>
      </c>
      <c r="G221">
        <f>IF($O221="","",INDEX(Master!$G$2:$G$1001,$O221))</f>
      </c>
      <c r="H221">
        <f>IF($O221="","",INDEX(Master!$H$2:$H$1001,$O221))</f>
      </c>
      <c r="I221">
        <f>IF($O221="","",INDEX(Master!$I$2:$I$1001,$O221))</f>
      </c>
      <c r="J221">
        <f>IF($O221="","",INDEX(Master!$J$2:$J$1001,$O221))</f>
      </c>
      <c r="K221">
        <f t="shared" si="6"/>
      </c>
      <c r="L221">
        <f>IF($O221="","",INDEX(Master!$K$2:$K$1001,$O221))</f>
      </c>
      <c r="M221">
        <f>IF($O221="","",INDEX(Master!$L$2:$L$1001,$O221))</f>
      </c>
      <c r="O221">
        <f t="array" ref="O221">IFERROR(SMALL(IF(Master!$A$2:$A$1001="AKASH SALES",ROW(Master!$A$2:$A$1001)-ROW(Master!$A$2)+1),217),"")</f>
      </c>
      <c r="P221">
        <f t="shared" si="7"/>
      </c>
    </row>
    <row r="222" spans="1:16" x14ac:dyDescent="0.25">
      <c r="A222">
        <f>IF($O222="","",INDEX(Master!$D$2:$D$1001,$O222))</f>
      </c>
      <c r="B222" s="166">
        <f>IF($O222="","",INDEX(Master!$B$2:$B$1001,$O222))</f>
      </c>
      <c r="C222">
        <f>IF($O222="","",INDEX(Master!$C$2:$C$1001,$O222))</f>
      </c>
      <c r="D222">
        <f>IF($O222="","",INDEX(Master!$A$2:$A$1001,$O222))</f>
      </c>
      <c r="E222">
        <f>IF($O222="","",INDEX(Master!$E$2:$E$1001,$O222))</f>
      </c>
      <c r="F222">
        <f>IF($O222="","",INDEX(Master!$F$2:$F$1001,$O222))</f>
      </c>
      <c r="G222">
        <f>IF($O222="","",INDEX(Master!$G$2:$G$1001,$O222))</f>
      </c>
      <c r="H222">
        <f>IF($O222="","",INDEX(Master!$H$2:$H$1001,$O222))</f>
      </c>
      <c r="I222">
        <f>IF($O222="","",INDEX(Master!$I$2:$I$1001,$O222))</f>
      </c>
      <c r="J222">
        <f>IF($O222="","",INDEX(Master!$J$2:$J$1001,$O222))</f>
      </c>
      <c r="K222">
        <f t="shared" si="6"/>
      </c>
      <c r="L222">
        <f>IF($O222="","",INDEX(Master!$K$2:$K$1001,$O222))</f>
      </c>
      <c r="M222">
        <f>IF($O222="","",INDEX(Master!$L$2:$L$1001,$O222))</f>
      </c>
      <c r="O222">
        <f t="array" ref="O222">IFERROR(SMALL(IF(Master!$A$2:$A$1001="AKASH SALES",ROW(Master!$A$2:$A$1001)-ROW(Master!$A$2)+1),218),"")</f>
      </c>
      <c r="P222">
        <f t="shared" si="7"/>
      </c>
    </row>
    <row r="223" spans="1:16" x14ac:dyDescent="0.25">
      <c r="A223">
        <f>IF($O223="","",INDEX(Master!$D$2:$D$1001,$O223))</f>
      </c>
      <c r="B223" s="166">
        <f>IF($O223="","",INDEX(Master!$B$2:$B$1001,$O223))</f>
      </c>
      <c r="C223">
        <f>IF($O223="","",INDEX(Master!$C$2:$C$1001,$O223))</f>
      </c>
      <c r="D223">
        <f>IF($O223="","",INDEX(Master!$A$2:$A$1001,$O223))</f>
      </c>
      <c r="E223">
        <f>IF($O223="","",INDEX(Master!$E$2:$E$1001,$O223))</f>
      </c>
      <c r="F223">
        <f>IF($O223="","",INDEX(Master!$F$2:$F$1001,$O223))</f>
      </c>
      <c r="G223">
        <f>IF($O223="","",INDEX(Master!$G$2:$G$1001,$O223))</f>
      </c>
      <c r="H223">
        <f>IF($O223="","",INDEX(Master!$H$2:$H$1001,$O223))</f>
      </c>
      <c r="I223">
        <f>IF($O223="","",INDEX(Master!$I$2:$I$1001,$O223))</f>
      </c>
      <c r="J223">
        <f>IF($O223="","",INDEX(Master!$J$2:$J$1001,$O223))</f>
      </c>
      <c r="K223">
        <f t="shared" si="6"/>
      </c>
      <c r="L223">
        <f>IF($O223="","",INDEX(Master!$K$2:$K$1001,$O223))</f>
      </c>
      <c r="M223">
        <f>IF($O223="","",INDEX(Master!$L$2:$L$1001,$O223))</f>
      </c>
      <c r="O223">
        <f t="array" ref="O223">IFERROR(SMALL(IF(Master!$A$2:$A$1001="AKASH SALES",ROW(Master!$A$2:$A$1001)-ROW(Master!$A$2)+1),219),"")</f>
      </c>
      <c r="P223">
        <f t="shared" si="7"/>
      </c>
    </row>
    <row r="224" spans="1:16" x14ac:dyDescent="0.25">
      <c r="A224">
        <f>IF($O224="","",INDEX(Master!$D$2:$D$1001,$O224))</f>
      </c>
      <c r="B224" s="166">
        <f>IF($O224="","",INDEX(Master!$B$2:$B$1001,$O224))</f>
      </c>
      <c r="C224">
        <f>IF($O224="","",INDEX(Master!$C$2:$C$1001,$O224))</f>
      </c>
      <c r="D224">
        <f>IF($O224="","",INDEX(Master!$A$2:$A$1001,$O224))</f>
      </c>
      <c r="E224">
        <f>IF($O224="","",INDEX(Master!$E$2:$E$1001,$O224))</f>
      </c>
      <c r="F224">
        <f>IF($O224="","",INDEX(Master!$F$2:$F$1001,$O224))</f>
      </c>
      <c r="G224">
        <f>IF($O224="","",INDEX(Master!$G$2:$G$1001,$O224))</f>
      </c>
      <c r="H224">
        <f>IF($O224="","",INDEX(Master!$H$2:$H$1001,$O224))</f>
      </c>
      <c r="I224">
        <f>IF($O224="","",INDEX(Master!$I$2:$I$1001,$O224))</f>
      </c>
      <c r="J224">
        <f>IF($O224="","",INDEX(Master!$J$2:$J$1001,$O224))</f>
      </c>
      <c r="K224">
        <f t="shared" si="6"/>
      </c>
      <c r="L224">
        <f>IF($O224="","",INDEX(Master!$K$2:$K$1001,$O224))</f>
      </c>
      <c r="M224">
        <f>IF($O224="","",INDEX(Master!$L$2:$L$1001,$O224))</f>
      </c>
      <c r="O224">
        <f t="array" ref="O224">IFERROR(SMALL(IF(Master!$A$2:$A$1001="AKASH SALES",ROW(Master!$A$2:$A$1001)-ROW(Master!$A$2)+1),220),"")</f>
      </c>
      <c r="P224">
        <f t="shared" si="7"/>
      </c>
    </row>
    <row r="225" spans="1:16" x14ac:dyDescent="0.25">
      <c r="A225">
        <f>IF($O225="","",INDEX(Master!$D$2:$D$1001,$O225))</f>
      </c>
      <c r="B225" s="166">
        <f>IF($O225="","",INDEX(Master!$B$2:$B$1001,$O225))</f>
      </c>
      <c r="C225">
        <f>IF($O225="","",INDEX(Master!$C$2:$C$1001,$O225))</f>
      </c>
      <c r="D225">
        <f>IF($O225="","",INDEX(Master!$A$2:$A$1001,$O225))</f>
      </c>
      <c r="E225">
        <f>IF($O225="","",INDEX(Master!$E$2:$E$1001,$O225))</f>
      </c>
      <c r="F225">
        <f>IF($O225="","",INDEX(Master!$F$2:$F$1001,$O225))</f>
      </c>
      <c r="G225">
        <f>IF($O225="","",INDEX(Master!$G$2:$G$1001,$O225))</f>
      </c>
      <c r="H225">
        <f>IF($O225="","",INDEX(Master!$H$2:$H$1001,$O225))</f>
      </c>
      <c r="I225">
        <f>IF($O225="","",INDEX(Master!$I$2:$I$1001,$O225))</f>
      </c>
      <c r="J225">
        <f>IF($O225="","",INDEX(Master!$J$2:$J$1001,$O225))</f>
      </c>
      <c r="K225">
        <f t="shared" si="6"/>
      </c>
      <c r="L225">
        <f>IF($O225="","",INDEX(Master!$K$2:$K$1001,$O225))</f>
      </c>
      <c r="M225">
        <f>IF($O225="","",INDEX(Master!$L$2:$L$1001,$O225))</f>
      </c>
      <c r="O225">
        <f t="array" ref="O225">IFERROR(SMALL(IF(Master!$A$2:$A$1001="AKASH SALES",ROW(Master!$A$2:$A$1001)-ROW(Master!$A$2)+1),221),"")</f>
      </c>
      <c r="P225">
        <f t="shared" si="7"/>
      </c>
    </row>
    <row r="226" spans="1:16" x14ac:dyDescent="0.25">
      <c r="A226">
        <f>IF($O226="","",INDEX(Master!$D$2:$D$1001,$O226))</f>
      </c>
      <c r="B226" s="166">
        <f>IF($O226="","",INDEX(Master!$B$2:$B$1001,$O226))</f>
      </c>
      <c r="C226">
        <f>IF($O226="","",INDEX(Master!$C$2:$C$1001,$O226))</f>
      </c>
      <c r="D226">
        <f>IF($O226="","",INDEX(Master!$A$2:$A$1001,$O226))</f>
      </c>
      <c r="E226">
        <f>IF($O226="","",INDEX(Master!$E$2:$E$1001,$O226))</f>
      </c>
      <c r="F226">
        <f>IF($O226="","",INDEX(Master!$F$2:$F$1001,$O226))</f>
      </c>
      <c r="G226">
        <f>IF($O226="","",INDEX(Master!$G$2:$G$1001,$O226))</f>
      </c>
      <c r="H226">
        <f>IF($O226="","",INDEX(Master!$H$2:$H$1001,$O226))</f>
      </c>
      <c r="I226">
        <f>IF($O226="","",INDEX(Master!$I$2:$I$1001,$O226))</f>
      </c>
      <c r="J226">
        <f>IF($O226="","",INDEX(Master!$J$2:$J$1001,$O226))</f>
      </c>
      <c r="K226">
        <f t="shared" si="6"/>
      </c>
      <c r="L226">
        <f>IF($O226="","",INDEX(Master!$K$2:$K$1001,$O226))</f>
      </c>
      <c r="M226">
        <f>IF($O226="","",INDEX(Master!$L$2:$L$1001,$O226))</f>
      </c>
      <c r="O226">
        <f t="array" ref="O226">IFERROR(SMALL(IF(Master!$A$2:$A$1001="AKASH SALES",ROW(Master!$A$2:$A$1001)-ROW(Master!$A$2)+1),222),"")</f>
      </c>
      <c r="P226">
        <f t="shared" si="7"/>
      </c>
    </row>
    <row r="227" spans="1:16" x14ac:dyDescent="0.25">
      <c r="A227">
        <f>IF($O227="","",INDEX(Master!$D$2:$D$1001,$O227))</f>
      </c>
      <c r="B227" s="166">
        <f>IF($O227="","",INDEX(Master!$B$2:$B$1001,$O227))</f>
      </c>
      <c r="C227">
        <f>IF($O227="","",INDEX(Master!$C$2:$C$1001,$O227))</f>
      </c>
      <c r="D227">
        <f>IF($O227="","",INDEX(Master!$A$2:$A$1001,$O227))</f>
      </c>
      <c r="E227">
        <f>IF($O227="","",INDEX(Master!$E$2:$E$1001,$O227))</f>
      </c>
      <c r="F227">
        <f>IF($O227="","",INDEX(Master!$F$2:$F$1001,$O227))</f>
      </c>
      <c r="G227">
        <f>IF($O227="","",INDEX(Master!$G$2:$G$1001,$O227))</f>
      </c>
      <c r="H227">
        <f>IF($O227="","",INDEX(Master!$H$2:$H$1001,$O227))</f>
      </c>
      <c r="I227">
        <f>IF($O227="","",INDEX(Master!$I$2:$I$1001,$O227))</f>
      </c>
      <c r="J227">
        <f>IF($O227="","",INDEX(Master!$J$2:$J$1001,$O227))</f>
      </c>
      <c r="K227">
        <f t="shared" si="6"/>
      </c>
      <c r="L227">
        <f>IF($O227="","",INDEX(Master!$K$2:$K$1001,$O227))</f>
      </c>
      <c r="M227">
        <f>IF($O227="","",INDEX(Master!$L$2:$L$1001,$O227))</f>
      </c>
      <c r="O227">
        <f t="array" ref="O227">IFERROR(SMALL(IF(Master!$A$2:$A$1001="AKASH SALES",ROW(Master!$A$2:$A$1001)-ROW(Master!$A$2)+1),223),"")</f>
      </c>
      <c r="P227">
        <f t="shared" si="7"/>
      </c>
    </row>
    <row r="228" spans="1:16" x14ac:dyDescent="0.25">
      <c r="A228">
        <f>IF($O228="","",INDEX(Master!$D$2:$D$1001,$O228))</f>
      </c>
      <c r="B228" s="166">
        <f>IF($O228="","",INDEX(Master!$B$2:$B$1001,$O228))</f>
      </c>
      <c r="C228">
        <f>IF($O228="","",INDEX(Master!$C$2:$C$1001,$O228))</f>
      </c>
      <c r="D228">
        <f>IF($O228="","",INDEX(Master!$A$2:$A$1001,$O228))</f>
      </c>
      <c r="E228">
        <f>IF($O228="","",INDEX(Master!$E$2:$E$1001,$O228))</f>
      </c>
      <c r="F228">
        <f>IF($O228="","",INDEX(Master!$F$2:$F$1001,$O228))</f>
      </c>
      <c r="G228">
        <f>IF($O228="","",INDEX(Master!$G$2:$G$1001,$O228))</f>
      </c>
      <c r="H228">
        <f>IF($O228="","",INDEX(Master!$H$2:$H$1001,$O228))</f>
      </c>
      <c r="I228">
        <f>IF($O228="","",INDEX(Master!$I$2:$I$1001,$O228))</f>
      </c>
      <c r="J228">
        <f>IF($O228="","",INDEX(Master!$J$2:$J$1001,$O228))</f>
      </c>
      <c r="K228">
        <f t="shared" si="6"/>
      </c>
      <c r="L228">
        <f>IF($O228="","",INDEX(Master!$K$2:$K$1001,$O228))</f>
      </c>
      <c r="M228">
        <f>IF($O228="","",INDEX(Master!$L$2:$L$1001,$O228))</f>
      </c>
      <c r="O228">
        <f t="array" ref="O228">IFERROR(SMALL(IF(Master!$A$2:$A$1001="AKASH SALES",ROW(Master!$A$2:$A$1001)-ROW(Master!$A$2)+1),224),"")</f>
      </c>
      <c r="P228">
        <f t="shared" si="7"/>
      </c>
    </row>
    <row r="229" spans="1:16" x14ac:dyDescent="0.25">
      <c r="A229">
        <f>IF($O229="","",INDEX(Master!$D$2:$D$1001,$O229))</f>
      </c>
      <c r="B229" s="166">
        <f>IF($O229="","",INDEX(Master!$B$2:$B$1001,$O229))</f>
      </c>
      <c r="C229">
        <f>IF($O229="","",INDEX(Master!$C$2:$C$1001,$O229))</f>
      </c>
      <c r="D229">
        <f>IF($O229="","",INDEX(Master!$A$2:$A$1001,$O229))</f>
      </c>
      <c r="E229">
        <f>IF($O229="","",INDEX(Master!$E$2:$E$1001,$O229))</f>
      </c>
      <c r="F229">
        <f>IF($O229="","",INDEX(Master!$F$2:$F$1001,$O229))</f>
      </c>
      <c r="G229">
        <f>IF($O229="","",INDEX(Master!$G$2:$G$1001,$O229))</f>
      </c>
      <c r="H229">
        <f>IF($O229="","",INDEX(Master!$H$2:$H$1001,$O229))</f>
      </c>
      <c r="I229">
        <f>IF($O229="","",INDEX(Master!$I$2:$I$1001,$O229))</f>
      </c>
      <c r="J229">
        <f>IF($O229="","",INDEX(Master!$J$2:$J$1001,$O229))</f>
      </c>
      <c r="K229">
        <f t="shared" si="6"/>
      </c>
      <c r="L229">
        <f>IF($O229="","",INDEX(Master!$K$2:$K$1001,$O229))</f>
      </c>
      <c r="M229">
        <f>IF($O229="","",INDEX(Master!$L$2:$L$1001,$O229))</f>
      </c>
      <c r="O229">
        <f t="array" ref="O229">IFERROR(SMALL(IF(Master!$A$2:$A$1001="AKASH SALES",ROW(Master!$A$2:$A$1001)-ROW(Master!$A$2)+1),225),"")</f>
      </c>
      <c r="P229">
        <f t="shared" si="7"/>
      </c>
    </row>
    <row r="230" spans="1:16" x14ac:dyDescent="0.25">
      <c r="A230">
        <f>IF($O230="","",INDEX(Master!$D$2:$D$1001,$O230))</f>
      </c>
      <c r="B230" s="166">
        <f>IF($O230="","",INDEX(Master!$B$2:$B$1001,$O230))</f>
      </c>
      <c r="C230">
        <f>IF($O230="","",INDEX(Master!$C$2:$C$1001,$O230))</f>
      </c>
      <c r="D230">
        <f>IF($O230="","",INDEX(Master!$A$2:$A$1001,$O230))</f>
      </c>
      <c r="E230">
        <f>IF($O230="","",INDEX(Master!$E$2:$E$1001,$O230))</f>
      </c>
      <c r="F230">
        <f>IF($O230="","",INDEX(Master!$F$2:$F$1001,$O230))</f>
      </c>
      <c r="G230">
        <f>IF($O230="","",INDEX(Master!$G$2:$G$1001,$O230))</f>
      </c>
      <c r="H230">
        <f>IF($O230="","",INDEX(Master!$H$2:$H$1001,$O230))</f>
      </c>
      <c r="I230">
        <f>IF($O230="","",INDEX(Master!$I$2:$I$1001,$O230))</f>
      </c>
      <c r="J230">
        <f>IF($O230="","",INDEX(Master!$J$2:$J$1001,$O230))</f>
      </c>
      <c r="K230">
        <f t="shared" si="6"/>
      </c>
      <c r="L230">
        <f>IF($O230="","",INDEX(Master!$K$2:$K$1001,$O230))</f>
      </c>
      <c r="M230">
        <f>IF($O230="","",INDEX(Master!$L$2:$L$1001,$O230))</f>
      </c>
      <c r="O230">
        <f t="array" ref="O230">IFERROR(SMALL(IF(Master!$A$2:$A$1001="AKASH SALES",ROW(Master!$A$2:$A$1001)-ROW(Master!$A$2)+1),226),"")</f>
      </c>
      <c r="P230">
        <f t="shared" si="7"/>
      </c>
    </row>
    <row r="231" spans="1:16" x14ac:dyDescent="0.25">
      <c r="A231">
        <f>IF($O231="","",INDEX(Master!$D$2:$D$1001,$O231))</f>
      </c>
      <c r="B231" s="166">
        <f>IF($O231="","",INDEX(Master!$B$2:$B$1001,$O231))</f>
      </c>
      <c r="C231">
        <f>IF($O231="","",INDEX(Master!$C$2:$C$1001,$O231))</f>
      </c>
      <c r="D231">
        <f>IF($O231="","",INDEX(Master!$A$2:$A$1001,$O231))</f>
      </c>
      <c r="E231">
        <f>IF($O231="","",INDEX(Master!$E$2:$E$1001,$O231))</f>
      </c>
      <c r="F231">
        <f>IF($O231="","",INDEX(Master!$F$2:$F$1001,$O231))</f>
      </c>
      <c r="G231">
        <f>IF($O231="","",INDEX(Master!$G$2:$G$1001,$O231))</f>
      </c>
      <c r="H231">
        <f>IF($O231="","",INDEX(Master!$H$2:$H$1001,$O231))</f>
      </c>
      <c r="I231">
        <f>IF($O231="","",INDEX(Master!$I$2:$I$1001,$O231))</f>
      </c>
      <c r="J231">
        <f>IF($O231="","",INDEX(Master!$J$2:$J$1001,$O231))</f>
      </c>
      <c r="K231">
        <f t="shared" si="6"/>
      </c>
      <c r="L231">
        <f>IF($O231="","",INDEX(Master!$K$2:$K$1001,$O231))</f>
      </c>
      <c r="M231">
        <f>IF($O231="","",INDEX(Master!$L$2:$L$1001,$O231))</f>
      </c>
      <c r="O231">
        <f t="array" ref="O231">IFERROR(SMALL(IF(Master!$A$2:$A$1001="AKASH SALES",ROW(Master!$A$2:$A$1001)-ROW(Master!$A$2)+1),227),"")</f>
      </c>
      <c r="P231">
        <f t="shared" si="7"/>
      </c>
    </row>
    <row r="232" spans="1:16" x14ac:dyDescent="0.25">
      <c r="A232">
        <f>IF($O232="","",INDEX(Master!$D$2:$D$1001,$O232))</f>
      </c>
      <c r="B232" s="166">
        <f>IF($O232="","",INDEX(Master!$B$2:$B$1001,$O232))</f>
      </c>
      <c r="C232">
        <f>IF($O232="","",INDEX(Master!$C$2:$C$1001,$O232))</f>
      </c>
      <c r="D232">
        <f>IF($O232="","",INDEX(Master!$A$2:$A$1001,$O232))</f>
      </c>
      <c r="E232">
        <f>IF($O232="","",INDEX(Master!$E$2:$E$1001,$O232))</f>
      </c>
      <c r="F232">
        <f>IF($O232="","",INDEX(Master!$F$2:$F$1001,$O232))</f>
      </c>
      <c r="G232">
        <f>IF($O232="","",INDEX(Master!$G$2:$G$1001,$O232))</f>
      </c>
      <c r="H232">
        <f>IF($O232="","",INDEX(Master!$H$2:$H$1001,$O232))</f>
      </c>
      <c r="I232">
        <f>IF($O232="","",INDEX(Master!$I$2:$I$1001,$O232))</f>
      </c>
      <c r="J232">
        <f>IF($O232="","",INDEX(Master!$J$2:$J$1001,$O232))</f>
      </c>
      <c r="K232">
        <f t="shared" si="6"/>
      </c>
      <c r="L232">
        <f>IF($O232="","",INDEX(Master!$K$2:$K$1001,$O232))</f>
      </c>
      <c r="M232">
        <f>IF($O232="","",INDEX(Master!$L$2:$L$1001,$O232))</f>
      </c>
      <c r="O232">
        <f t="array" ref="O232">IFERROR(SMALL(IF(Master!$A$2:$A$1001="AKASH SALES",ROW(Master!$A$2:$A$1001)-ROW(Master!$A$2)+1),228),"")</f>
      </c>
      <c r="P232">
        <f t="shared" si="7"/>
      </c>
    </row>
    <row r="233" spans="1:16" x14ac:dyDescent="0.25">
      <c r="A233">
        <f>IF($O233="","",INDEX(Master!$D$2:$D$1001,$O233))</f>
      </c>
      <c r="B233" s="166">
        <f>IF($O233="","",INDEX(Master!$B$2:$B$1001,$O233))</f>
      </c>
      <c r="C233">
        <f>IF($O233="","",INDEX(Master!$C$2:$C$1001,$O233))</f>
      </c>
      <c r="D233">
        <f>IF($O233="","",INDEX(Master!$A$2:$A$1001,$O233))</f>
      </c>
      <c r="E233">
        <f>IF($O233="","",INDEX(Master!$E$2:$E$1001,$O233))</f>
      </c>
      <c r="F233">
        <f>IF($O233="","",INDEX(Master!$F$2:$F$1001,$O233))</f>
      </c>
      <c r="G233">
        <f>IF($O233="","",INDEX(Master!$G$2:$G$1001,$O233))</f>
      </c>
      <c r="H233">
        <f>IF($O233="","",INDEX(Master!$H$2:$H$1001,$O233))</f>
      </c>
      <c r="I233">
        <f>IF($O233="","",INDEX(Master!$I$2:$I$1001,$O233))</f>
      </c>
      <c r="J233">
        <f>IF($O233="","",INDEX(Master!$J$2:$J$1001,$O233))</f>
      </c>
      <c r="K233">
        <f t="shared" si="6"/>
      </c>
      <c r="L233">
        <f>IF($O233="","",INDEX(Master!$K$2:$K$1001,$O233))</f>
      </c>
      <c r="M233">
        <f>IF($O233="","",INDEX(Master!$L$2:$L$1001,$O233))</f>
      </c>
      <c r="O233">
        <f t="array" ref="O233">IFERROR(SMALL(IF(Master!$A$2:$A$1001="AKASH SALES",ROW(Master!$A$2:$A$1001)-ROW(Master!$A$2)+1),229),"")</f>
      </c>
      <c r="P233">
        <f t="shared" si="7"/>
      </c>
    </row>
    <row r="234" spans="1:16" x14ac:dyDescent="0.25">
      <c r="A234">
        <f>IF($O234="","",INDEX(Master!$D$2:$D$1001,$O234))</f>
      </c>
      <c r="B234" s="166">
        <f>IF($O234="","",INDEX(Master!$B$2:$B$1001,$O234))</f>
      </c>
      <c r="C234">
        <f>IF($O234="","",INDEX(Master!$C$2:$C$1001,$O234))</f>
      </c>
      <c r="D234">
        <f>IF($O234="","",INDEX(Master!$A$2:$A$1001,$O234))</f>
      </c>
      <c r="E234">
        <f>IF($O234="","",INDEX(Master!$E$2:$E$1001,$O234))</f>
      </c>
      <c r="F234">
        <f>IF($O234="","",INDEX(Master!$F$2:$F$1001,$O234))</f>
      </c>
      <c r="G234">
        <f>IF($O234="","",INDEX(Master!$G$2:$G$1001,$O234))</f>
      </c>
      <c r="H234">
        <f>IF($O234="","",INDEX(Master!$H$2:$H$1001,$O234))</f>
      </c>
      <c r="I234">
        <f>IF($O234="","",INDEX(Master!$I$2:$I$1001,$O234))</f>
      </c>
      <c r="J234">
        <f>IF($O234="","",INDEX(Master!$J$2:$J$1001,$O234))</f>
      </c>
      <c r="K234">
        <f t="shared" si="6"/>
      </c>
      <c r="L234">
        <f>IF($O234="","",INDEX(Master!$K$2:$K$1001,$O234))</f>
      </c>
      <c r="M234">
        <f>IF($O234="","",INDEX(Master!$L$2:$L$1001,$O234))</f>
      </c>
      <c r="O234">
        <f t="array" ref="O234">IFERROR(SMALL(IF(Master!$A$2:$A$1001="AKASH SALES",ROW(Master!$A$2:$A$1001)-ROW(Master!$A$2)+1),230),"")</f>
      </c>
      <c r="P234">
        <f t="shared" si="7"/>
      </c>
    </row>
    <row r="235" spans="1:16" x14ac:dyDescent="0.25">
      <c r="A235">
        <f>IF($O235="","",INDEX(Master!$D$2:$D$1001,$O235))</f>
      </c>
      <c r="B235" s="166">
        <f>IF($O235="","",INDEX(Master!$B$2:$B$1001,$O235))</f>
      </c>
      <c r="C235">
        <f>IF($O235="","",INDEX(Master!$C$2:$C$1001,$O235))</f>
      </c>
      <c r="D235">
        <f>IF($O235="","",INDEX(Master!$A$2:$A$1001,$O235))</f>
      </c>
      <c r="E235">
        <f>IF($O235="","",INDEX(Master!$E$2:$E$1001,$O235))</f>
      </c>
      <c r="F235">
        <f>IF($O235="","",INDEX(Master!$F$2:$F$1001,$O235))</f>
      </c>
      <c r="G235">
        <f>IF($O235="","",INDEX(Master!$G$2:$G$1001,$O235))</f>
      </c>
      <c r="H235">
        <f>IF($O235="","",INDEX(Master!$H$2:$H$1001,$O235))</f>
      </c>
      <c r="I235">
        <f>IF($O235="","",INDEX(Master!$I$2:$I$1001,$O235))</f>
      </c>
      <c r="J235">
        <f>IF($O235="","",INDEX(Master!$J$2:$J$1001,$O235))</f>
      </c>
      <c r="K235">
        <f t="shared" si="6"/>
      </c>
      <c r="L235">
        <f>IF($O235="","",INDEX(Master!$K$2:$K$1001,$O235))</f>
      </c>
      <c r="M235">
        <f>IF($O235="","",INDEX(Master!$L$2:$L$1001,$O235))</f>
      </c>
      <c r="O235">
        <f t="array" ref="O235">IFERROR(SMALL(IF(Master!$A$2:$A$1001="AKASH SALES",ROW(Master!$A$2:$A$1001)-ROW(Master!$A$2)+1),231),"")</f>
      </c>
      <c r="P235">
        <f t="shared" si="7"/>
      </c>
    </row>
    <row r="236" spans="1:16" x14ac:dyDescent="0.25">
      <c r="A236">
        <f>IF($O236="","",INDEX(Master!$D$2:$D$1001,$O236))</f>
      </c>
      <c r="B236" s="166">
        <f>IF($O236="","",INDEX(Master!$B$2:$B$1001,$O236))</f>
      </c>
      <c r="C236">
        <f>IF($O236="","",INDEX(Master!$C$2:$C$1001,$O236))</f>
      </c>
      <c r="D236">
        <f>IF($O236="","",INDEX(Master!$A$2:$A$1001,$O236))</f>
      </c>
      <c r="E236">
        <f>IF($O236="","",INDEX(Master!$E$2:$E$1001,$O236))</f>
      </c>
      <c r="F236">
        <f>IF($O236="","",INDEX(Master!$F$2:$F$1001,$O236))</f>
      </c>
      <c r="G236">
        <f>IF($O236="","",INDEX(Master!$G$2:$G$1001,$O236))</f>
      </c>
      <c r="H236">
        <f>IF($O236="","",INDEX(Master!$H$2:$H$1001,$O236))</f>
      </c>
      <c r="I236">
        <f>IF($O236="","",INDEX(Master!$I$2:$I$1001,$O236))</f>
      </c>
      <c r="J236">
        <f>IF($O236="","",INDEX(Master!$J$2:$J$1001,$O236))</f>
      </c>
      <c r="K236">
        <f t="shared" si="6"/>
      </c>
      <c r="L236">
        <f>IF($O236="","",INDEX(Master!$K$2:$K$1001,$O236))</f>
      </c>
      <c r="M236">
        <f>IF($O236="","",INDEX(Master!$L$2:$L$1001,$O236))</f>
      </c>
      <c r="O236">
        <f t="array" ref="O236">IFERROR(SMALL(IF(Master!$A$2:$A$1001="AKASH SALES",ROW(Master!$A$2:$A$1001)-ROW(Master!$A$2)+1),232),"")</f>
      </c>
      <c r="P236">
        <f t="shared" si="7"/>
      </c>
    </row>
    <row r="237" spans="1:16" x14ac:dyDescent="0.25">
      <c r="A237">
        <f>IF($O237="","",INDEX(Master!$D$2:$D$1001,$O237))</f>
      </c>
      <c r="B237" s="166">
        <f>IF($O237="","",INDEX(Master!$B$2:$B$1001,$O237))</f>
      </c>
      <c r="C237">
        <f>IF($O237="","",INDEX(Master!$C$2:$C$1001,$O237))</f>
      </c>
      <c r="D237">
        <f>IF($O237="","",INDEX(Master!$A$2:$A$1001,$O237))</f>
      </c>
      <c r="E237">
        <f>IF($O237="","",INDEX(Master!$E$2:$E$1001,$O237))</f>
      </c>
      <c r="F237">
        <f>IF($O237="","",INDEX(Master!$F$2:$F$1001,$O237))</f>
      </c>
      <c r="G237">
        <f>IF($O237="","",INDEX(Master!$G$2:$G$1001,$O237))</f>
      </c>
      <c r="H237">
        <f>IF($O237="","",INDEX(Master!$H$2:$H$1001,$O237))</f>
      </c>
      <c r="I237">
        <f>IF($O237="","",INDEX(Master!$I$2:$I$1001,$O237))</f>
      </c>
      <c r="J237">
        <f>IF($O237="","",INDEX(Master!$J$2:$J$1001,$O237))</f>
      </c>
      <c r="K237">
        <f t="shared" si="6"/>
      </c>
      <c r="L237">
        <f>IF($O237="","",INDEX(Master!$K$2:$K$1001,$O237))</f>
      </c>
      <c r="M237">
        <f>IF($O237="","",INDEX(Master!$L$2:$L$1001,$O237))</f>
      </c>
      <c r="O237">
        <f t="array" ref="O237">IFERROR(SMALL(IF(Master!$A$2:$A$1001="AKASH SALES",ROW(Master!$A$2:$A$1001)-ROW(Master!$A$2)+1),233),"")</f>
      </c>
      <c r="P237">
        <f t="shared" si="7"/>
      </c>
    </row>
    <row r="238" spans="1:16" x14ac:dyDescent="0.25">
      <c r="A238">
        <f>IF($O238="","",INDEX(Master!$D$2:$D$1001,$O238))</f>
      </c>
      <c r="B238" s="166">
        <f>IF($O238="","",INDEX(Master!$B$2:$B$1001,$O238))</f>
      </c>
      <c r="C238">
        <f>IF($O238="","",INDEX(Master!$C$2:$C$1001,$O238))</f>
      </c>
      <c r="D238">
        <f>IF($O238="","",INDEX(Master!$A$2:$A$1001,$O238))</f>
      </c>
      <c r="E238">
        <f>IF($O238="","",INDEX(Master!$E$2:$E$1001,$O238))</f>
      </c>
      <c r="F238">
        <f>IF($O238="","",INDEX(Master!$F$2:$F$1001,$O238))</f>
      </c>
      <c r="G238">
        <f>IF($O238="","",INDEX(Master!$G$2:$G$1001,$O238))</f>
      </c>
      <c r="H238">
        <f>IF($O238="","",INDEX(Master!$H$2:$H$1001,$O238))</f>
      </c>
      <c r="I238">
        <f>IF($O238="","",INDEX(Master!$I$2:$I$1001,$O238))</f>
      </c>
      <c r="J238">
        <f>IF($O238="","",INDEX(Master!$J$2:$J$1001,$O238))</f>
      </c>
      <c r="K238">
        <f t="shared" si="6"/>
      </c>
      <c r="L238">
        <f>IF($O238="","",INDEX(Master!$K$2:$K$1001,$O238))</f>
      </c>
      <c r="M238">
        <f>IF($O238="","",INDEX(Master!$L$2:$L$1001,$O238))</f>
      </c>
      <c r="O238">
        <f t="array" ref="O238">IFERROR(SMALL(IF(Master!$A$2:$A$1001="AKASH SALES",ROW(Master!$A$2:$A$1001)-ROW(Master!$A$2)+1),234),"")</f>
      </c>
      <c r="P238">
        <f t="shared" si="7"/>
      </c>
    </row>
    <row r="239" spans="1:16" x14ac:dyDescent="0.25">
      <c r="A239">
        <f>IF($O239="","",INDEX(Master!$D$2:$D$1001,$O239))</f>
      </c>
      <c r="B239" s="166">
        <f>IF($O239="","",INDEX(Master!$B$2:$B$1001,$O239))</f>
      </c>
      <c r="C239">
        <f>IF($O239="","",INDEX(Master!$C$2:$C$1001,$O239))</f>
      </c>
      <c r="D239">
        <f>IF($O239="","",INDEX(Master!$A$2:$A$1001,$O239))</f>
      </c>
      <c r="E239">
        <f>IF($O239="","",INDEX(Master!$E$2:$E$1001,$O239))</f>
      </c>
      <c r="F239">
        <f>IF($O239="","",INDEX(Master!$F$2:$F$1001,$O239))</f>
      </c>
      <c r="G239">
        <f>IF($O239="","",INDEX(Master!$G$2:$G$1001,$O239))</f>
      </c>
      <c r="H239">
        <f>IF($O239="","",INDEX(Master!$H$2:$H$1001,$O239))</f>
      </c>
      <c r="I239">
        <f>IF($O239="","",INDEX(Master!$I$2:$I$1001,$O239))</f>
      </c>
      <c r="J239">
        <f>IF($O239="","",INDEX(Master!$J$2:$J$1001,$O239))</f>
      </c>
      <c r="K239">
        <f t="shared" si="6"/>
      </c>
      <c r="L239">
        <f>IF($O239="","",INDEX(Master!$K$2:$K$1001,$O239))</f>
      </c>
      <c r="M239">
        <f>IF($O239="","",INDEX(Master!$L$2:$L$1001,$O239))</f>
      </c>
      <c r="O239">
        <f t="array" ref="O239">IFERROR(SMALL(IF(Master!$A$2:$A$1001="AKASH SALES",ROW(Master!$A$2:$A$1001)-ROW(Master!$A$2)+1),235),"")</f>
      </c>
      <c r="P239">
        <f t="shared" si="7"/>
      </c>
    </row>
    <row r="240" spans="1:16" x14ac:dyDescent="0.25">
      <c r="A240">
        <f>IF($O240="","",INDEX(Master!$D$2:$D$1001,$O240))</f>
      </c>
      <c r="B240" s="166">
        <f>IF($O240="","",INDEX(Master!$B$2:$B$1001,$O240))</f>
      </c>
      <c r="C240">
        <f>IF($O240="","",INDEX(Master!$C$2:$C$1001,$O240))</f>
      </c>
      <c r="D240">
        <f>IF($O240="","",INDEX(Master!$A$2:$A$1001,$O240))</f>
      </c>
      <c r="E240">
        <f>IF($O240="","",INDEX(Master!$E$2:$E$1001,$O240))</f>
      </c>
      <c r="F240">
        <f>IF($O240="","",INDEX(Master!$F$2:$F$1001,$O240))</f>
      </c>
      <c r="G240">
        <f>IF($O240="","",INDEX(Master!$G$2:$G$1001,$O240))</f>
      </c>
      <c r="H240">
        <f>IF($O240="","",INDEX(Master!$H$2:$H$1001,$O240))</f>
      </c>
      <c r="I240">
        <f>IF($O240="","",INDEX(Master!$I$2:$I$1001,$O240))</f>
      </c>
      <c r="J240">
        <f>IF($O240="","",INDEX(Master!$J$2:$J$1001,$O240))</f>
      </c>
      <c r="K240">
        <f t="shared" si="6"/>
      </c>
      <c r="L240">
        <f>IF($O240="","",INDEX(Master!$K$2:$K$1001,$O240))</f>
      </c>
      <c r="M240">
        <f>IF($O240="","",INDEX(Master!$L$2:$L$1001,$O240))</f>
      </c>
      <c r="O240">
        <f t="array" ref="O240">IFERROR(SMALL(IF(Master!$A$2:$A$1001="AKASH SALES",ROW(Master!$A$2:$A$1001)-ROW(Master!$A$2)+1),236),"")</f>
      </c>
      <c r="P240">
        <f t="shared" si="7"/>
      </c>
    </row>
    <row r="241" spans="1:16" x14ac:dyDescent="0.25">
      <c r="A241">
        <f>IF($O241="","",INDEX(Master!$D$2:$D$1001,$O241))</f>
      </c>
      <c r="B241" s="166">
        <f>IF($O241="","",INDEX(Master!$B$2:$B$1001,$O241))</f>
      </c>
      <c r="C241">
        <f>IF($O241="","",INDEX(Master!$C$2:$C$1001,$O241))</f>
      </c>
      <c r="D241">
        <f>IF($O241="","",INDEX(Master!$A$2:$A$1001,$O241))</f>
      </c>
      <c r="E241">
        <f>IF($O241="","",INDEX(Master!$E$2:$E$1001,$O241))</f>
      </c>
      <c r="F241">
        <f>IF($O241="","",INDEX(Master!$F$2:$F$1001,$O241))</f>
      </c>
      <c r="G241">
        <f>IF($O241="","",INDEX(Master!$G$2:$G$1001,$O241))</f>
      </c>
      <c r="H241">
        <f>IF($O241="","",INDEX(Master!$H$2:$H$1001,$O241))</f>
      </c>
      <c r="I241">
        <f>IF($O241="","",INDEX(Master!$I$2:$I$1001,$O241))</f>
      </c>
      <c r="J241">
        <f>IF($O241="","",INDEX(Master!$J$2:$J$1001,$O241))</f>
      </c>
      <c r="K241">
        <f t="shared" si="6"/>
      </c>
      <c r="L241">
        <f>IF($O241="","",INDEX(Master!$K$2:$K$1001,$O241))</f>
      </c>
      <c r="M241">
        <f>IF($O241="","",INDEX(Master!$L$2:$L$1001,$O241))</f>
      </c>
      <c r="O241">
        <f t="array" ref="O241">IFERROR(SMALL(IF(Master!$A$2:$A$1001="AKASH SALES",ROW(Master!$A$2:$A$1001)-ROW(Master!$A$2)+1),237),"")</f>
      </c>
      <c r="P241">
        <f t="shared" si="7"/>
      </c>
    </row>
    <row r="242" spans="1:16" x14ac:dyDescent="0.25">
      <c r="A242">
        <f>IF($O242="","",INDEX(Master!$D$2:$D$1001,$O242))</f>
      </c>
      <c r="B242" s="166">
        <f>IF($O242="","",INDEX(Master!$B$2:$B$1001,$O242))</f>
      </c>
      <c r="C242">
        <f>IF($O242="","",INDEX(Master!$C$2:$C$1001,$O242))</f>
      </c>
      <c r="D242">
        <f>IF($O242="","",INDEX(Master!$A$2:$A$1001,$O242))</f>
      </c>
      <c r="E242">
        <f>IF($O242="","",INDEX(Master!$E$2:$E$1001,$O242))</f>
      </c>
      <c r="F242">
        <f>IF($O242="","",INDEX(Master!$F$2:$F$1001,$O242))</f>
      </c>
      <c r="G242">
        <f>IF($O242="","",INDEX(Master!$G$2:$G$1001,$O242))</f>
      </c>
      <c r="H242">
        <f>IF($O242="","",INDEX(Master!$H$2:$H$1001,$O242))</f>
      </c>
      <c r="I242">
        <f>IF($O242="","",INDEX(Master!$I$2:$I$1001,$O242))</f>
      </c>
      <c r="J242">
        <f>IF($O242="","",INDEX(Master!$J$2:$J$1001,$O242))</f>
      </c>
      <c r="K242">
        <f t="shared" si="6"/>
      </c>
      <c r="L242">
        <f>IF($O242="","",INDEX(Master!$K$2:$K$1001,$O242))</f>
      </c>
      <c r="M242">
        <f>IF($O242="","",INDEX(Master!$L$2:$L$1001,$O242))</f>
      </c>
      <c r="O242">
        <f t="array" ref="O242">IFERROR(SMALL(IF(Master!$A$2:$A$1001="AKASH SALES",ROW(Master!$A$2:$A$1001)-ROW(Master!$A$2)+1),238),"")</f>
      </c>
      <c r="P242">
        <f t="shared" si="7"/>
      </c>
    </row>
    <row r="243" spans="1:16" x14ac:dyDescent="0.25">
      <c r="A243">
        <f>IF($O243="","",INDEX(Master!$D$2:$D$1001,$O243))</f>
      </c>
      <c r="B243" s="166">
        <f>IF($O243="","",INDEX(Master!$B$2:$B$1001,$O243))</f>
      </c>
      <c r="C243">
        <f>IF($O243="","",INDEX(Master!$C$2:$C$1001,$O243))</f>
      </c>
      <c r="D243">
        <f>IF($O243="","",INDEX(Master!$A$2:$A$1001,$O243))</f>
      </c>
      <c r="E243">
        <f>IF($O243="","",INDEX(Master!$E$2:$E$1001,$O243))</f>
      </c>
      <c r="F243">
        <f>IF($O243="","",INDEX(Master!$F$2:$F$1001,$O243))</f>
      </c>
      <c r="G243">
        <f>IF($O243="","",INDEX(Master!$G$2:$G$1001,$O243))</f>
      </c>
      <c r="H243">
        <f>IF($O243="","",INDEX(Master!$H$2:$H$1001,$O243))</f>
      </c>
      <c r="I243">
        <f>IF($O243="","",INDEX(Master!$I$2:$I$1001,$O243))</f>
      </c>
      <c r="J243">
        <f>IF($O243="","",INDEX(Master!$J$2:$J$1001,$O243))</f>
      </c>
      <c r="K243">
        <f t="shared" si="6"/>
      </c>
      <c r="L243">
        <f>IF($O243="","",INDEX(Master!$K$2:$K$1001,$O243))</f>
      </c>
      <c r="M243">
        <f>IF($O243="","",INDEX(Master!$L$2:$L$1001,$O243))</f>
      </c>
      <c r="O243">
        <f t="array" ref="O243">IFERROR(SMALL(IF(Master!$A$2:$A$1001="AKASH SALES",ROW(Master!$A$2:$A$1001)-ROW(Master!$A$2)+1),239),"")</f>
      </c>
      <c r="P243">
        <f t="shared" si="7"/>
      </c>
    </row>
    <row r="244" spans="1:16" x14ac:dyDescent="0.25">
      <c r="A244">
        <f>IF($O244="","",INDEX(Master!$D$2:$D$1001,$O244))</f>
      </c>
      <c r="B244" s="166">
        <f>IF($O244="","",INDEX(Master!$B$2:$B$1001,$O244))</f>
      </c>
      <c r="C244">
        <f>IF($O244="","",INDEX(Master!$C$2:$C$1001,$O244))</f>
      </c>
      <c r="D244">
        <f>IF($O244="","",INDEX(Master!$A$2:$A$1001,$O244))</f>
      </c>
      <c r="E244">
        <f>IF($O244="","",INDEX(Master!$E$2:$E$1001,$O244))</f>
      </c>
      <c r="F244">
        <f>IF($O244="","",INDEX(Master!$F$2:$F$1001,$O244))</f>
      </c>
      <c r="G244">
        <f>IF($O244="","",INDEX(Master!$G$2:$G$1001,$O244))</f>
      </c>
      <c r="H244">
        <f>IF($O244="","",INDEX(Master!$H$2:$H$1001,$O244))</f>
      </c>
      <c r="I244">
        <f>IF($O244="","",INDEX(Master!$I$2:$I$1001,$O244))</f>
      </c>
      <c r="J244">
        <f>IF($O244="","",INDEX(Master!$J$2:$J$1001,$O244))</f>
      </c>
      <c r="K244">
        <f t="shared" si="6"/>
      </c>
      <c r="L244">
        <f>IF($O244="","",INDEX(Master!$K$2:$K$1001,$O244))</f>
      </c>
      <c r="M244">
        <f>IF($O244="","",INDEX(Master!$L$2:$L$1001,$O244))</f>
      </c>
      <c r="O244">
        <f t="array" ref="O244">IFERROR(SMALL(IF(Master!$A$2:$A$1001="AKASH SALES",ROW(Master!$A$2:$A$1001)-ROW(Master!$A$2)+1),240),"")</f>
      </c>
      <c r="P244">
        <f t="shared" si="7"/>
      </c>
    </row>
    <row r="245" spans="1:16" x14ac:dyDescent="0.25">
      <c r="A245">
        <f>IF($O245="","",INDEX(Master!$D$2:$D$1001,$O245))</f>
      </c>
      <c r="B245" s="166">
        <f>IF($O245="","",INDEX(Master!$B$2:$B$1001,$O245))</f>
      </c>
      <c r="C245">
        <f>IF($O245="","",INDEX(Master!$C$2:$C$1001,$O245))</f>
      </c>
      <c r="D245">
        <f>IF($O245="","",INDEX(Master!$A$2:$A$1001,$O245))</f>
      </c>
      <c r="E245">
        <f>IF($O245="","",INDEX(Master!$E$2:$E$1001,$O245))</f>
      </c>
      <c r="F245">
        <f>IF($O245="","",INDEX(Master!$F$2:$F$1001,$O245))</f>
      </c>
      <c r="G245">
        <f>IF($O245="","",INDEX(Master!$G$2:$G$1001,$O245))</f>
      </c>
      <c r="H245">
        <f>IF($O245="","",INDEX(Master!$H$2:$H$1001,$O245))</f>
      </c>
      <c r="I245">
        <f>IF($O245="","",INDEX(Master!$I$2:$I$1001,$O245))</f>
      </c>
      <c r="J245">
        <f>IF($O245="","",INDEX(Master!$J$2:$J$1001,$O245))</f>
      </c>
      <c r="K245">
        <f t="shared" si="6"/>
      </c>
      <c r="L245">
        <f>IF($O245="","",INDEX(Master!$K$2:$K$1001,$O245))</f>
      </c>
      <c r="M245">
        <f>IF($O245="","",INDEX(Master!$L$2:$L$1001,$O245))</f>
      </c>
      <c r="O245">
        <f t="array" ref="O245">IFERROR(SMALL(IF(Master!$A$2:$A$1001="AKASH SALES",ROW(Master!$A$2:$A$1001)-ROW(Master!$A$2)+1),241),"")</f>
      </c>
      <c r="P245">
        <f t="shared" si="7"/>
      </c>
    </row>
    <row r="246" spans="1:16" x14ac:dyDescent="0.25">
      <c r="A246">
        <f>IF($O246="","",INDEX(Master!$D$2:$D$1001,$O246))</f>
      </c>
      <c r="B246" s="166">
        <f>IF($O246="","",INDEX(Master!$B$2:$B$1001,$O246))</f>
      </c>
      <c r="C246">
        <f>IF($O246="","",INDEX(Master!$C$2:$C$1001,$O246))</f>
      </c>
      <c r="D246">
        <f>IF($O246="","",INDEX(Master!$A$2:$A$1001,$O246))</f>
      </c>
      <c r="E246">
        <f>IF($O246="","",INDEX(Master!$E$2:$E$1001,$O246))</f>
      </c>
      <c r="F246">
        <f>IF($O246="","",INDEX(Master!$F$2:$F$1001,$O246))</f>
      </c>
      <c r="G246">
        <f>IF($O246="","",INDEX(Master!$G$2:$G$1001,$O246))</f>
      </c>
      <c r="H246">
        <f>IF($O246="","",INDEX(Master!$H$2:$H$1001,$O246))</f>
      </c>
      <c r="I246">
        <f>IF($O246="","",INDEX(Master!$I$2:$I$1001,$O246))</f>
      </c>
      <c r="J246">
        <f>IF($O246="","",INDEX(Master!$J$2:$J$1001,$O246))</f>
      </c>
      <c r="K246">
        <f t="shared" si="6"/>
      </c>
      <c r="L246">
        <f>IF($O246="","",INDEX(Master!$K$2:$K$1001,$O246))</f>
      </c>
      <c r="M246">
        <f>IF($O246="","",INDEX(Master!$L$2:$L$1001,$O246))</f>
      </c>
      <c r="O246">
        <f t="array" ref="O246">IFERROR(SMALL(IF(Master!$A$2:$A$1001="AKASH SALES",ROW(Master!$A$2:$A$1001)-ROW(Master!$A$2)+1),242),"")</f>
      </c>
      <c r="P246">
        <f t="shared" si="7"/>
      </c>
    </row>
    <row r="247" spans="1:16" x14ac:dyDescent="0.25">
      <c r="A247">
        <f>IF($O247="","",INDEX(Master!$D$2:$D$1001,$O247))</f>
      </c>
      <c r="B247" s="166">
        <f>IF($O247="","",INDEX(Master!$B$2:$B$1001,$O247))</f>
      </c>
      <c r="C247">
        <f>IF($O247="","",INDEX(Master!$C$2:$C$1001,$O247))</f>
      </c>
      <c r="D247">
        <f>IF($O247="","",INDEX(Master!$A$2:$A$1001,$O247))</f>
      </c>
      <c r="E247">
        <f>IF($O247="","",INDEX(Master!$E$2:$E$1001,$O247))</f>
      </c>
      <c r="F247">
        <f>IF($O247="","",INDEX(Master!$F$2:$F$1001,$O247))</f>
      </c>
      <c r="G247">
        <f>IF($O247="","",INDEX(Master!$G$2:$G$1001,$O247))</f>
      </c>
      <c r="H247">
        <f>IF($O247="","",INDEX(Master!$H$2:$H$1001,$O247))</f>
      </c>
      <c r="I247">
        <f>IF($O247="","",INDEX(Master!$I$2:$I$1001,$O247))</f>
      </c>
      <c r="J247">
        <f>IF($O247="","",INDEX(Master!$J$2:$J$1001,$O247))</f>
      </c>
      <c r="K247">
        <f t="shared" si="6"/>
      </c>
      <c r="L247">
        <f>IF($O247="","",INDEX(Master!$K$2:$K$1001,$O247))</f>
      </c>
      <c r="M247">
        <f>IF($O247="","",INDEX(Master!$L$2:$L$1001,$O247))</f>
      </c>
      <c r="O247">
        <f t="array" ref="O247">IFERROR(SMALL(IF(Master!$A$2:$A$1001="AKASH SALES",ROW(Master!$A$2:$A$1001)-ROW(Master!$A$2)+1),243),"")</f>
      </c>
      <c r="P247">
        <f t="shared" si="7"/>
      </c>
    </row>
    <row r="248" spans="1:16" x14ac:dyDescent="0.25">
      <c r="A248">
        <f>IF($O248="","",INDEX(Master!$D$2:$D$1001,$O248))</f>
      </c>
      <c r="B248" s="166">
        <f>IF($O248="","",INDEX(Master!$B$2:$B$1001,$O248))</f>
      </c>
      <c r="C248">
        <f>IF($O248="","",INDEX(Master!$C$2:$C$1001,$O248))</f>
      </c>
      <c r="D248">
        <f>IF($O248="","",INDEX(Master!$A$2:$A$1001,$O248))</f>
      </c>
      <c r="E248">
        <f>IF($O248="","",INDEX(Master!$E$2:$E$1001,$O248))</f>
      </c>
      <c r="F248">
        <f>IF($O248="","",INDEX(Master!$F$2:$F$1001,$O248))</f>
      </c>
      <c r="G248">
        <f>IF($O248="","",INDEX(Master!$G$2:$G$1001,$O248))</f>
      </c>
      <c r="H248">
        <f>IF($O248="","",INDEX(Master!$H$2:$H$1001,$O248))</f>
      </c>
      <c r="I248">
        <f>IF($O248="","",INDEX(Master!$I$2:$I$1001,$O248))</f>
      </c>
      <c r="J248">
        <f>IF($O248="","",INDEX(Master!$J$2:$J$1001,$O248))</f>
      </c>
      <c r="K248">
        <f t="shared" si="6"/>
      </c>
      <c r="L248">
        <f>IF($O248="","",INDEX(Master!$K$2:$K$1001,$O248))</f>
      </c>
      <c r="M248">
        <f>IF($O248="","",INDEX(Master!$L$2:$L$1001,$O248))</f>
      </c>
      <c r="O248">
        <f t="array" ref="O248">IFERROR(SMALL(IF(Master!$A$2:$A$1001="AKASH SALES",ROW(Master!$A$2:$A$1001)-ROW(Master!$A$2)+1),244),"")</f>
      </c>
      <c r="P248">
        <f t="shared" si="7"/>
      </c>
    </row>
    <row r="249" spans="1:16" x14ac:dyDescent="0.25">
      <c r="A249">
        <f>IF($O249="","",INDEX(Master!$D$2:$D$1001,$O249))</f>
      </c>
      <c r="B249" s="166">
        <f>IF($O249="","",INDEX(Master!$B$2:$B$1001,$O249))</f>
      </c>
      <c r="C249">
        <f>IF($O249="","",INDEX(Master!$C$2:$C$1001,$O249))</f>
      </c>
      <c r="D249">
        <f>IF($O249="","",INDEX(Master!$A$2:$A$1001,$O249))</f>
      </c>
      <c r="E249">
        <f>IF($O249="","",INDEX(Master!$E$2:$E$1001,$O249))</f>
      </c>
      <c r="F249">
        <f>IF($O249="","",INDEX(Master!$F$2:$F$1001,$O249))</f>
      </c>
      <c r="G249">
        <f>IF($O249="","",INDEX(Master!$G$2:$G$1001,$O249))</f>
      </c>
      <c r="H249">
        <f>IF($O249="","",INDEX(Master!$H$2:$H$1001,$O249))</f>
      </c>
      <c r="I249">
        <f>IF($O249="","",INDEX(Master!$I$2:$I$1001,$O249))</f>
      </c>
      <c r="J249">
        <f>IF($O249="","",INDEX(Master!$J$2:$J$1001,$O249))</f>
      </c>
      <c r="K249">
        <f t="shared" si="6"/>
      </c>
      <c r="L249">
        <f>IF($O249="","",INDEX(Master!$K$2:$K$1001,$O249))</f>
      </c>
      <c r="M249">
        <f>IF($O249="","",INDEX(Master!$L$2:$L$1001,$O249))</f>
      </c>
      <c r="O249">
        <f t="array" ref="O249">IFERROR(SMALL(IF(Master!$A$2:$A$1001="AKASH SALES",ROW(Master!$A$2:$A$1001)-ROW(Master!$A$2)+1),245),"")</f>
      </c>
      <c r="P249">
        <f t="shared" si="7"/>
      </c>
    </row>
    <row r="250" spans="1:16" x14ac:dyDescent="0.25">
      <c r="A250">
        <f>IF($O250="","",INDEX(Master!$D$2:$D$1001,$O250))</f>
      </c>
      <c r="B250" s="166">
        <f>IF($O250="","",INDEX(Master!$B$2:$B$1001,$O250))</f>
      </c>
      <c r="C250">
        <f>IF($O250="","",INDEX(Master!$C$2:$C$1001,$O250))</f>
      </c>
      <c r="D250">
        <f>IF($O250="","",INDEX(Master!$A$2:$A$1001,$O250))</f>
      </c>
      <c r="E250">
        <f>IF($O250="","",INDEX(Master!$E$2:$E$1001,$O250))</f>
      </c>
      <c r="F250">
        <f>IF($O250="","",INDEX(Master!$F$2:$F$1001,$O250))</f>
      </c>
      <c r="G250">
        <f>IF($O250="","",INDEX(Master!$G$2:$G$1001,$O250))</f>
      </c>
      <c r="H250">
        <f>IF($O250="","",INDEX(Master!$H$2:$H$1001,$O250))</f>
      </c>
      <c r="I250">
        <f>IF($O250="","",INDEX(Master!$I$2:$I$1001,$O250))</f>
      </c>
      <c r="J250">
        <f>IF($O250="","",INDEX(Master!$J$2:$J$1001,$O250))</f>
      </c>
      <c r="K250">
        <f t="shared" si="6"/>
      </c>
      <c r="L250">
        <f>IF($O250="","",INDEX(Master!$K$2:$K$1001,$O250))</f>
      </c>
      <c r="M250">
        <f>IF($O250="","",INDEX(Master!$L$2:$L$1001,$O250))</f>
      </c>
      <c r="O250">
        <f t="array" ref="O250">IFERROR(SMALL(IF(Master!$A$2:$A$1001="AKASH SALES",ROW(Master!$A$2:$A$1001)-ROW(Master!$A$2)+1),246),"")</f>
      </c>
      <c r="P250">
        <f t="shared" si="7"/>
      </c>
    </row>
    <row r="251" spans="1:16" x14ac:dyDescent="0.25">
      <c r="A251">
        <f>IF($O251="","",INDEX(Master!$D$2:$D$1001,$O251))</f>
      </c>
      <c r="B251" s="166">
        <f>IF($O251="","",INDEX(Master!$B$2:$B$1001,$O251))</f>
      </c>
      <c r="C251">
        <f>IF($O251="","",INDEX(Master!$C$2:$C$1001,$O251))</f>
      </c>
      <c r="D251">
        <f>IF($O251="","",INDEX(Master!$A$2:$A$1001,$O251))</f>
      </c>
      <c r="E251">
        <f>IF($O251="","",INDEX(Master!$E$2:$E$1001,$O251))</f>
      </c>
      <c r="F251">
        <f>IF($O251="","",INDEX(Master!$F$2:$F$1001,$O251))</f>
      </c>
      <c r="G251">
        <f>IF($O251="","",INDEX(Master!$G$2:$G$1001,$O251))</f>
      </c>
      <c r="H251">
        <f>IF($O251="","",INDEX(Master!$H$2:$H$1001,$O251))</f>
      </c>
      <c r="I251">
        <f>IF($O251="","",INDEX(Master!$I$2:$I$1001,$O251))</f>
      </c>
      <c r="J251">
        <f>IF($O251="","",INDEX(Master!$J$2:$J$1001,$O251))</f>
      </c>
      <c r="K251">
        <f t="shared" si="6"/>
      </c>
      <c r="L251">
        <f>IF($O251="","",INDEX(Master!$K$2:$K$1001,$O251))</f>
      </c>
      <c r="M251">
        <f>IF($O251="","",INDEX(Master!$L$2:$L$1001,$O251))</f>
      </c>
      <c r="O251">
        <f t="array" ref="O251">IFERROR(SMALL(IF(Master!$A$2:$A$1001="AKASH SALES",ROW(Master!$A$2:$A$1001)-ROW(Master!$A$2)+1),247),"")</f>
      </c>
      <c r="P251">
        <f t="shared" si="7"/>
      </c>
    </row>
    <row r="252" spans="1:16" x14ac:dyDescent="0.25">
      <c r="A252">
        <f>IF($O252="","",INDEX(Master!$D$2:$D$1001,$O252))</f>
      </c>
      <c r="B252" s="166">
        <f>IF($O252="","",INDEX(Master!$B$2:$B$1001,$O252))</f>
      </c>
      <c r="C252">
        <f>IF($O252="","",INDEX(Master!$C$2:$C$1001,$O252))</f>
      </c>
      <c r="D252">
        <f>IF($O252="","",INDEX(Master!$A$2:$A$1001,$O252))</f>
      </c>
      <c r="E252">
        <f>IF($O252="","",INDEX(Master!$E$2:$E$1001,$O252))</f>
      </c>
      <c r="F252">
        <f>IF($O252="","",INDEX(Master!$F$2:$F$1001,$O252))</f>
      </c>
      <c r="G252">
        <f>IF($O252="","",INDEX(Master!$G$2:$G$1001,$O252))</f>
      </c>
      <c r="H252">
        <f>IF($O252="","",INDEX(Master!$H$2:$H$1001,$O252))</f>
      </c>
      <c r="I252">
        <f>IF($O252="","",INDEX(Master!$I$2:$I$1001,$O252))</f>
      </c>
      <c r="J252">
        <f>IF($O252="","",INDEX(Master!$J$2:$J$1001,$O252))</f>
      </c>
      <c r="K252">
        <f t="shared" si="6"/>
      </c>
      <c r="L252">
        <f>IF($O252="","",INDEX(Master!$K$2:$K$1001,$O252))</f>
      </c>
      <c r="M252">
        <f>IF($O252="","",INDEX(Master!$L$2:$L$1001,$O252))</f>
      </c>
      <c r="O252">
        <f t="array" ref="O252">IFERROR(SMALL(IF(Master!$A$2:$A$1001="AKASH SALES",ROW(Master!$A$2:$A$1001)-ROW(Master!$A$2)+1),248),"")</f>
      </c>
      <c r="P252">
        <f t="shared" si="7"/>
      </c>
    </row>
    <row r="253" spans="1:16" x14ac:dyDescent="0.25">
      <c r="A253">
        <f>IF($O253="","",INDEX(Master!$D$2:$D$1001,$O253))</f>
      </c>
      <c r="B253" s="166">
        <f>IF($O253="","",INDEX(Master!$B$2:$B$1001,$O253))</f>
      </c>
      <c r="C253">
        <f>IF($O253="","",INDEX(Master!$C$2:$C$1001,$O253))</f>
      </c>
      <c r="D253">
        <f>IF($O253="","",INDEX(Master!$A$2:$A$1001,$O253))</f>
      </c>
      <c r="E253">
        <f>IF($O253="","",INDEX(Master!$E$2:$E$1001,$O253))</f>
      </c>
      <c r="F253">
        <f>IF($O253="","",INDEX(Master!$F$2:$F$1001,$O253))</f>
      </c>
      <c r="G253">
        <f>IF($O253="","",INDEX(Master!$G$2:$G$1001,$O253))</f>
      </c>
      <c r="H253">
        <f>IF($O253="","",INDEX(Master!$H$2:$H$1001,$O253))</f>
      </c>
      <c r="I253">
        <f>IF($O253="","",INDEX(Master!$I$2:$I$1001,$O253))</f>
      </c>
      <c r="J253">
        <f>IF($O253="","",INDEX(Master!$J$2:$J$1001,$O253))</f>
      </c>
      <c r="K253">
        <f t="shared" si="6"/>
      </c>
      <c r="L253">
        <f>IF($O253="","",INDEX(Master!$K$2:$K$1001,$O253))</f>
      </c>
      <c r="M253">
        <f>IF($O253="","",INDEX(Master!$L$2:$L$1001,$O253))</f>
      </c>
      <c r="O253">
        <f t="array" ref="O253">IFERROR(SMALL(IF(Master!$A$2:$A$1001="AKASH SALES",ROW(Master!$A$2:$A$1001)-ROW(Master!$A$2)+1),249),"")</f>
      </c>
      <c r="P253">
        <f t="shared" si="7"/>
      </c>
    </row>
    <row r="254" spans="1:16" x14ac:dyDescent="0.25">
      <c r="A254">
        <f>IF($O254="","",INDEX(Master!$D$2:$D$1001,$O254))</f>
      </c>
      <c r="B254" s="166">
        <f>IF($O254="","",INDEX(Master!$B$2:$B$1001,$O254))</f>
      </c>
      <c r="C254">
        <f>IF($O254="","",INDEX(Master!$C$2:$C$1001,$O254))</f>
      </c>
      <c r="D254">
        <f>IF($O254="","",INDEX(Master!$A$2:$A$1001,$O254))</f>
      </c>
      <c r="E254">
        <f>IF($O254="","",INDEX(Master!$E$2:$E$1001,$O254))</f>
      </c>
      <c r="F254">
        <f>IF($O254="","",INDEX(Master!$F$2:$F$1001,$O254))</f>
      </c>
      <c r="G254">
        <f>IF($O254="","",INDEX(Master!$G$2:$G$1001,$O254))</f>
      </c>
      <c r="H254">
        <f>IF($O254="","",INDEX(Master!$H$2:$H$1001,$O254))</f>
      </c>
      <c r="I254">
        <f>IF($O254="","",INDEX(Master!$I$2:$I$1001,$O254))</f>
      </c>
      <c r="J254">
        <f>IF($O254="","",INDEX(Master!$J$2:$J$1001,$O254))</f>
      </c>
      <c r="K254">
        <f t="shared" si="6"/>
      </c>
      <c r="L254">
        <f>IF($O254="","",INDEX(Master!$K$2:$K$1001,$O254))</f>
      </c>
      <c r="M254">
        <f>IF($O254="","",INDEX(Master!$L$2:$L$1001,$O254))</f>
      </c>
      <c r="O254">
        <f t="array" ref="O254">IFERROR(SMALL(IF(Master!$A$2:$A$1001="AKASH SALES",ROW(Master!$A$2:$A$1001)-ROW(Master!$A$2)+1),250),"")</f>
      </c>
      <c r="P254">
        <f t="shared" si="7"/>
      </c>
    </row>
    <row r="255" spans="1:16" x14ac:dyDescent="0.25">
      <c r="A255">
        <f>IF($O255="","",INDEX(Master!$D$2:$D$1001,$O255))</f>
      </c>
      <c r="B255" s="166">
        <f>IF($O255="","",INDEX(Master!$B$2:$B$1001,$O255))</f>
      </c>
      <c r="C255">
        <f>IF($O255="","",INDEX(Master!$C$2:$C$1001,$O255))</f>
      </c>
      <c r="D255">
        <f>IF($O255="","",INDEX(Master!$A$2:$A$1001,$O255))</f>
      </c>
      <c r="E255">
        <f>IF($O255="","",INDEX(Master!$E$2:$E$1001,$O255))</f>
      </c>
      <c r="F255">
        <f>IF($O255="","",INDEX(Master!$F$2:$F$1001,$O255))</f>
      </c>
      <c r="G255">
        <f>IF($O255="","",INDEX(Master!$G$2:$G$1001,$O255))</f>
      </c>
      <c r="H255">
        <f>IF($O255="","",INDEX(Master!$H$2:$H$1001,$O255))</f>
      </c>
      <c r="I255">
        <f>IF($O255="","",INDEX(Master!$I$2:$I$1001,$O255))</f>
      </c>
      <c r="J255">
        <f>IF($O255="","",INDEX(Master!$J$2:$J$1001,$O255))</f>
      </c>
      <c r="K255">
        <f t="shared" si="6"/>
      </c>
      <c r="L255">
        <f>IF($O255="","",INDEX(Master!$K$2:$K$1001,$O255))</f>
      </c>
      <c r="M255">
        <f>IF($O255="","",INDEX(Master!$L$2:$L$1001,$O255))</f>
      </c>
      <c r="O255">
        <f t="array" ref="O255">IFERROR(SMALL(IF(Master!$A$2:$A$1001="AKASH SALES",ROW(Master!$A$2:$A$1001)-ROW(Master!$A$2)+1),251),"")</f>
      </c>
      <c r="P255">
        <f t="shared" si="7"/>
      </c>
    </row>
    <row r="256" spans="1:16" x14ac:dyDescent="0.25">
      <c r="A256">
        <f>IF($O256="","",INDEX(Master!$D$2:$D$1001,$O256))</f>
      </c>
      <c r="B256" s="166">
        <f>IF($O256="","",INDEX(Master!$B$2:$B$1001,$O256))</f>
      </c>
      <c r="C256">
        <f>IF($O256="","",INDEX(Master!$C$2:$C$1001,$O256))</f>
      </c>
      <c r="D256">
        <f>IF($O256="","",INDEX(Master!$A$2:$A$1001,$O256))</f>
      </c>
      <c r="E256">
        <f>IF($O256="","",INDEX(Master!$E$2:$E$1001,$O256))</f>
      </c>
      <c r="F256">
        <f>IF($O256="","",INDEX(Master!$F$2:$F$1001,$O256))</f>
      </c>
      <c r="G256">
        <f>IF($O256="","",INDEX(Master!$G$2:$G$1001,$O256))</f>
      </c>
      <c r="H256">
        <f>IF($O256="","",INDEX(Master!$H$2:$H$1001,$O256))</f>
      </c>
      <c r="I256">
        <f>IF($O256="","",INDEX(Master!$I$2:$I$1001,$O256))</f>
      </c>
      <c r="J256">
        <f>IF($O256="","",INDEX(Master!$J$2:$J$1001,$O256))</f>
      </c>
      <c r="K256">
        <f t="shared" si="6"/>
      </c>
      <c r="L256">
        <f>IF($O256="","",INDEX(Master!$K$2:$K$1001,$O256))</f>
      </c>
      <c r="M256">
        <f>IF($O256="","",INDEX(Master!$L$2:$L$1001,$O256))</f>
      </c>
      <c r="O256">
        <f t="array" ref="O256">IFERROR(SMALL(IF(Master!$A$2:$A$1001="AKASH SALES",ROW(Master!$A$2:$A$1001)-ROW(Master!$A$2)+1),252),"")</f>
      </c>
      <c r="P256">
        <f t="shared" si="7"/>
      </c>
    </row>
    <row r="257" spans="1:16" x14ac:dyDescent="0.25">
      <c r="A257">
        <f>IF($O257="","",INDEX(Master!$D$2:$D$1001,$O257))</f>
      </c>
      <c r="B257" s="166">
        <f>IF($O257="","",INDEX(Master!$B$2:$B$1001,$O257))</f>
      </c>
      <c r="C257">
        <f>IF($O257="","",INDEX(Master!$C$2:$C$1001,$O257))</f>
      </c>
      <c r="D257">
        <f>IF($O257="","",INDEX(Master!$A$2:$A$1001,$O257))</f>
      </c>
      <c r="E257">
        <f>IF($O257="","",INDEX(Master!$E$2:$E$1001,$O257))</f>
      </c>
      <c r="F257">
        <f>IF($O257="","",INDEX(Master!$F$2:$F$1001,$O257))</f>
      </c>
      <c r="G257">
        <f>IF($O257="","",INDEX(Master!$G$2:$G$1001,$O257))</f>
      </c>
      <c r="H257">
        <f>IF($O257="","",INDEX(Master!$H$2:$H$1001,$O257))</f>
      </c>
      <c r="I257">
        <f>IF($O257="","",INDEX(Master!$I$2:$I$1001,$O257))</f>
      </c>
      <c r="J257">
        <f>IF($O257="","",INDEX(Master!$J$2:$J$1001,$O257))</f>
      </c>
      <c r="K257">
        <f t="shared" si="6"/>
      </c>
      <c r="L257">
        <f>IF($O257="","",INDEX(Master!$K$2:$K$1001,$O257))</f>
      </c>
      <c r="M257">
        <f>IF($O257="","",INDEX(Master!$L$2:$L$1001,$O257))</f>
      </c>
      <c r="O257">
        <f t="array" ref="O257">IFERROR(SMALL(IF(Master!$A$2:$A$1001="AKASH SALES",ROW(Master!$A$2:$A$1001)-ROW(Master!$A$2)+1),253),"")</f>
      </c>
      <c r="P257">
        <f t="shared" si="7"/>
      </c>
    </row>
    <row r="258" spans="1:16" x14ac:dyDescent="0.25">
      <c r="A258">
        <f>IF($O258="","",INDEX(Master!$D$2:$D$1001,$O258))</f>
      </c>
      <c r="B258" s="166">
        <f>IF($O258="","",INDEX(Master!$B$2:$B$1001,$O258))</f>
      </c>
      <c r="C258">
        <f>IF($O258="","",INDEX(Master!$C$2:$C$1001,$O258))</f>
      </c>
      <c r="D258">
        <f>IF($O258="","",INDEX(Master!$A$2:$A$1001,$O258))</f>
      </c>
      <c r="E258">
        <f>IF($O258="","",INDEX(Master!$E$2:$E$1001,$O258))</f>
      </c>
      <c r="F258">
        <f>IF($O258="","",INDEX(Master!$F$2:$F$1001,$O258))</f>
      </c>
      <c r="G258">
        <f>IF($O258="","",INDEX(Master!$G$2:$G$1001,$O258))</f>
      </c>
      <c r="H258">
        <f>IF($O258="","",INDEX(Master!$H$2:$H$1001,$O258))</f>
      </c>
      <c r="I258">
        <f>IF($O258="","",INDEX(Master!$I$2:$I$1001,$O258))</f>
      </c>
      <c r="J258">
        <f>IF($O258="","",INDEX(Master!$J$2:$J$1001,$O258))</f>
      </c>
      <c r="K258">
        <f t="shared" si="6"/>
      </c>
      <c r="L258">
        <f>IF($O258="","",INDEX(Master!$K$2:$K$1001,$O258))</f>
      </c>
      <c r="M258">
        <f>IF($O258="","",INDEX(Master!$L$2:$L$1001,$O258))</f>
      </c>
      <c r="O258">
        <f t="array" ref="O258">IFERROR(SMALL(IF(Master!$A$2:$A$1001="AKASH SALES",ROW(Master!$A$2:$A$1001)-ROW(Master!$A$2)+1),254),"")</f>
      </c>
      <c r="P258">
        <f t="shared" si="7"/>
      </c>
    </row>
    <row r="259" spans="1:16" x14ac:dyDescent="0.25">
      <c r="A259">
        <f>IF($O259="","",INDEX(Master!$D$2:$D$1001,$O259))</f>
      </c>
      <c r="B259" s="166">
        <f>IF($O259="","",INDEX(Master!$B$2:$B$1001,$O259))</f>
      </c>
      <c r="C259">
        <f>IF($O259="","",INDEX(Master!$C$2:$C$1001,$O259))</f>
      </c>
      <c r="D259">
        <f>IF($O259="","",INDEX(Master!$A$2:$A$1001,$O259))</f>
      </c>
      <c r="E259">
        <f>IF($O259="","",INDEX(Master!$E$2:$E$1001,$O259))</f>
      </c>
      <c r="F259">
        <f>IF($O259="","",INDEX(Master!$F$2:$F$1001,$O259))</f>
      </c>
      <c r="G259">
        <f>IF($O259="","",INDEX(Master!$G$2:$G$1001,$O259))</f>
      </c>
      <c r="H259">
        <f>IF($O259="","",INDEX(Master!$H$2:$H$1001,$O259))</f>
      </c>
      <c r="I259">
        <f>IF($O259="","",INDEX(Master!$I$2:$I$1001,$O259))</f>
      </c>
      <c r="J259">
        <f>IF($O259="","",INDEX(Master!$J$2:$J$1001,$O259))</f>
      </c>
      <c r="K259">
        <f t="shared" si="6"/>
      </c>
      <c r="L259">
        <f>IF($O259="","",INDEX(Master!$K$2:$K$1001,$O259))</f>
      </c>
      <c r="M259">
        <f>IF($O259="","",INDEX(Master!$L$2:$L$1001,$O259))</f>
      </c>
      <c r="O259">
        <f t="array" ref="O259">IFERROR(SMALL(IF(Master!$A$2:$A$1001="AKASH SALES",ROW(Master!$A$2:$A$1001)-ROW(Master!$A$2)+1),255),"")</f>
      </c>
      <c r="P259">
        <f t="shared" si="7"/>
      </c>
    </row>
    <row r="260" spans="1:16" x14ac:dyDescent="0.25">
      <c r="A260">
        <f>IF($O260="","",INDEX(Master!$D$2:$D$1001,$O260))</f>
      </c>
      <c r="B260" s="166">
        <f>IF($O260="","",INDEX(Master!$B$2:$B$1001,$O260))</f>
      </c>
      <c r="C260">
        <f>IF($O260="","",INDEX(Master!$C$2:$C$1001,$O260))</f>
      </c>
      <c r="D260">
        <f>IF($O260="","",INDEX(Master!$A$2:$A$1001,$O260))</f>
      </c>
      <c r="E260">
        <f>IF($O260="","",INDEX(Master!$E$2:$E$1001,$O260))</f>
      </c>
      <c r="F260">
        <f>IF($O260="","",INDEX(Master!$F$2:$F$1001,$O260))</f>
      </c>
      <c r="G260">
        <f>IF($O260="","",INDEX(Master!$G$2:$G$1001,$O260))</f>
      </c>
      <c r="H260">
        <f>IF($O260="","",INDEX(Master!$H$2:$H$1001,$O260))</f>
      </c>
      <c r="I260">
        <f>IF($O260="","",INDEX(Master!$I$2:$I$1001,$O260))</f>
      </c>
      <c r="J260">
        <f>IF($O260="","",INDEX(Master!$J$2:$J$1001,$O260))</f>
      </c>
      <c r="K260">
        <f t="shared" si="6"/>
      </c>
      <c r="L260">
        <f>IF($O260="","",INDEX(Master!$K$2:$K$1001,$O260))</f>
      </c>
      <c r="M260">
        <f>IF($O260="","",INDEX(Master!$L$2:$L$1001,$O260))</f>
      </c>
      <c r="O260">
        <f t="array" ref="O260">IFERROR(SMALL(IF(Master!$A$2:$A$1001="AKASH SALES",ROW(Master!$A$2:$A$1001)-ROW(Master!$A$2)+1),256),"")</f>
      </c>
      <c r="P260">
        <f t="shared" si="7"/>
      </c>
    </row>
    <row r="261" spans="1:16" x14ac:dyDescent="0.25">
      <c r="A261">
        <f>IF($O261="","",INDEX(Master!$D$2:$D$1001,$O261))</f>
      </c>
      <c r="B261" s="166">
        <f>IF($O261="","",INDEX(Master!$B$2:$B$1001,$O261))</f>
      </c>
      <c r="C261">
        <f>IF($O261="","",INDEX(Master!$C$2:$C$1001,$O261))</f>
      </c>
      <c r="D261">
        <f>IF($O261="","",INDEX(Master!$A$2:$A$1001,$O261))</f>
      </c>
      <c r="E261">
        <f>IF($O261="","",INDEX(Master!$E$2:$E$1001,$O261))</f>
      </c>
      <c r="F261">
        <f>IF($O261="","",INDEX(Master!$F$2:$F$1001,$O261))</f>
      </c>
      <c r="G261">
        <f>IF($O261="","",INDEX(Master!$G$2:$G$1001,$O261))</f>
      </c>
      <c r="H261">
        <f>IF($O261="","",INDEX(Master!$H$2:$H$1001,$O261))</f>
      </c>
      <c r="I261">
        <f>IF($O261="","",INDEX(Master!$I$2:$I$1001,$O261))</f>
      </c>
      <c r="J261">
        <f>IF($O261="","",INDEX(Master!$J$2:$J$1001,$O261))</f>
      </c>
      <c r="K261">
        <f t="shared" ref="K261:K304" si="8">IF(OR($O261="",$F261="",$F261=0),"",$H261/$F261)</f>
      </c>
      <c r="L261">
        <f>IF($O261="","",INDEX(Master!$K$2:$K$1001,$O261))</f>
      </c>
      <c r="M261">
        <f>IF($O261="","",INDEX(Master!$L$2:$L$1001,$O261))</f>
      </c>
      <c r="O261">
        <f t="array" ref="O261">IFERROR(SMALL(IF(Master!$A$2:$A$1001="AKASH SALES",ROW(Master!$A$2:$A$1001)-ROW(Master!$A$2)+1),257),"")</f>
      </c>
      <c r="P261">
        <f t="shared" ref="P261:P304" si="9">IF($A261="",0,IF(OR(AND($E261&lt;&gt;"",OR($E261&gt;0.18)),AND($F261&lt;&gt;"",OR(($F261+$G261)&gt;0.15)),AND($G261&lt;&gt;"",OR(($F261+$G261)&gt;0.15)),AND($H261&lt;&gt;"",$H261&lt;0.45),AND($J261&lt;&gt;"",OR($J261&lt;0.1))),1,0))</f>
      </c>
    </row>
    <row r="262" spans="1:16" x14ac:dyDescent="0.25">
      <c r="A262">
        <f>IF($O262="","",INDEX(Master!$D$2:$D$1001,$O262))</f>
      </c>
      <c r="B262" s="166">
        <f>IF($O262="","",INDEX(Master!$B$2:$B$1001,$O262))</f>
      </c>
      <c r="C262">
        <f>IF($O262="","",INDEX(Master!$C$2:$C$1001,$O262))</f>
      </c>
      <c r="D262">
        <f>IF($O262="","",INDEX(Master!$A$2:$A$1001,$O262))</f>
      </c>
      <c r="E262">
        <f>IF($O262="","",INDEX(Master!$E$2:$E$1001,$O262))</f>
      </c>
      <c r="F262">
        <f>IF($O262="","",INDEX(Master!$F$2:$F$1001,$O262))</f>
      </c>
      <c r="G262">
        <f>IF($O262="","",INDEX(Master!$G$2:$G$1001,$O262))</f>
      </c>
      <c r="H262">
        <f>IF($O262="","",INDEX(Master!$H$2:$H$1001,$O262))</f>
      </c>
      <c r="I262">
        <f>IF($O262="","",INDEX(Master!$I$2:$I$1001,$O262))</f>
      </c>
      <c r="J262">
        <f>IF($O262="","",INDEX(Master!$J$2:$J$1001,$O262))</f>
      </c>
      <c r="K262">
        <f t="shared" si="8"/>
      </c>
      <c r="L262">
        <f>IF($O262="","",INDEX(Master!$K$2:$K$1001,$O262))</f>
      </c>
      <c r="M262">
        <f>IF($O262="","",INDEX(Master!$L$2:$L$1001,$O262))</f>
      </c>
      <c r="O262">
        <f t="array" ref="O262">IFERROR(SMALL(IF(Master!$A$2:$A$1001="AKASH SALES",ROW(Master!$A$2:$A$1001)-ROW(Master!$A$2)+1),258),"")</f>
      </c>
      <c r="P262">
        <f t="shared" si="9"/>
      </c>
    </row>
    <row r="263" spans="1:16" x14ac:dyDescent="0.25">
      <c r="A263">
        <f>IF($O263="","",INDEX(Master!$D$2:$D$1001,$O263))</f>
      </c>
      <c r="B263" s="166">
        <f>IF($O263="","",INDEX(Master!$B$2:$B$1001,$O263))</f>
      </c>
      <c r="C263">
        <f>IF($O263="","",INDEX(Master!$C$2:$C$1001,$O263))</f>
      </c>
      <c r="D263">
        <f>IF($O263="","",INDEX(Master!$A$2:$A$1001,$O263))</f>
      </c>
      <c r="E263">
        <f>IF($O263="","",INDEX(Master!$E$2:$E$1001,$O263))</f>
      </c>
      <c r="F263">
        <f>IF($O263="","",INDEX(Master!$F$2:$F$1001,$O263))</f>
      </c>
      <c r="G263">
        <f>IF($O263="","",INDEX(Master!$G$2:$G$1001,$O263))</f>
      </c>
      <c r="H263">
        <f>IF($O263="","",INDEX(Master!$H$2:$H$1001,$O263))</f>
      </c>
      <c r="I263">
        <f>IF($O263="","",INDEX(Master!$I$2:$I$1001,$O263))</f>
      </c>
      <c r="J263">
        <f>IF($O263="","",INDEX(Master!$J$2:$J$1001,$O263))</f>
      </c>
      <c r="K263">
        <f t="shared" si="8"/>
      </c>
      <c r="L263">
        <f>IF($O263="","",INDEX(Master!$K$2:$K$1001,$O263))</f>
      </c>
      <c r="M263">
        <f>IF($O263="","",INDEX(Master!$L$2:$L$1001,$O263))</f>
      </c>
      <c r="O263">
        <f t="array" ref="O263">IFERROR(SMALL(IF(Master!$A$2:$A$1001="AKASH SALES",ROW(Master!$A$2:$A$1001)-ROW(Master!$A$2)+1),259),"")</f>
      </c>
      <c r="P263">
        <f t="shared" si="9"/>
      </c>
    </row>
    <row r="264" spans="1:16" x14ac:dyDescent="0.25">
      <c r="A264">
        <f>IF($O264="","",INDEX(Master!$D$2:$D$1001,$O264))</f>
      </c>
      <c r="B264" s="166">
        <f>IF($O264="","",INDEX(Master!$B$2:$B$1001,$O264))</f>
      </c>
      <c r="C264">
        <f>IF($O264="","",INDEX(Master!$C$2:$C$1001,$O264))</f>
      </c>
      <c r="D264">
        <f>IF($O264="","",INDEX(Master!$A$2:$A$1001,$O264))</f>
      </c>
      <c r="E264">
        <f>IF($O264="","",INDEX(Master!$E$2:$E$1001,$O264))</f>
      </c>
      <c r="F264">
        <f>IF($O264="","",INDEX(Master!$F$2:$F$1001,$O264))</f>
      </c>
      <c r="G264">
        <f>IF($O264="","",INDEX(Master!$G$2:$G$1001,$O264))</f>
      </c>
      <c r="H264">
        <f>IF($O264="","",INDEX(Master!$H$2:$H$1001,$O264))</f>
      </c>
      <c r="I264">
        <f>IF($O264="","",INDEX(Master!$I$2:$I$1001,$O264))</f>
      </c>
      <c r="J264">
        <f>IF($O264="","",INDEX(Master!$J$2:$J$1001,$O264))</f>
      </c>
      <c r="K264">
        <f t="shared" si="8"/>
      </c>
      <c r="L264">
        <f>IF($O264="","",INDEX(Master!$K$2:$K$1001,$O264))</f>
      </c>
      <c r="M264">
        <f>IF($O264="","",INDEX(Master!$L$2:$L$1001,$O264))</f>
      </c>
      <c r="O264">
        <f t="array" ref="O264">IFERROR(SMALL(IF(Master!$A$2:$A$1001="AKASH SALES",ROW(Master!$A$2:$A$1001)-ROW(Master!$A$2)+1),260),"")</f>
      </c>
      <c r="P264">
        <f t="shared" si="9"/>
      </c>
    </row>
    <row r="265" spans="1:16" x14ac:dyDescent="0.25">
      <c r="A265">
        <f>IF($O265="","",INDEX(Master!$D$2:$D$1001,$O265))</f>
      </c>
      <c r="B265" s="166">
        <f>IF($O265="","",INDEX(Master!$B$2:$B$1001,$O265))</f>
      </c>
      <c r="C265">
        <f>IF($O265="","",INDEX(Master!$C$2:$C$1001,$O265))</f>
      </c>
      <c r="D265">
        <f>IF($O265="","",INDEX(Master!$A$2:$A$1001,$O265))</f>
      </c>
      <c r="E265">
        <f>IF($O265="","",INDEX(Master!$E$2:$E$1001,$O265))</f>
      </c>
      <c r="F265">
        <f>IF($O265="","",INDEX(Master!$F$2:$F$1001,$O265))</f>
      </c>
      <c r="G265">
        <f>IF($O265="","",INDEX(Master!$G$2:$G$1001,$O265))</f>
      </c>
      <c r="H265">
        <f>IF($O265="","",INDEX(Master!$H$2:$H$1001,$O265))</f>
      </c>
      <c r="I265">
        <f>IF($O265="","",INDEX(Master!$I$2:$I$1001,$O265))</f>
      </c>
      <c r="J265">
        <f>IF($O265="","",INDEX(Master!$J$2:$J$1001,$O265))</f>
      </c>
      <c r="K265">
        <f t="shared" si="8"/>
      </c>
      <c r="L265">
        <f>IF($O265="","",INDEX(Master!$K$2:$K$1001,$O265))</f>
      </c>
      <c r="M265">
        <f>IF($O265="","",INDEX(Master!$L$2:$L$1001,$O265))</f>
      </c>
      <c r="O265">
        <f t="array" ref="O265">IFERROR(SMALL(IF(Master!$A$2:$A$1001="AKASH SALES",ROW(Master!$A$2:$A$1001)-ROW(Master!$A$2)+1),261),"")</f>
      </c>
      <c r="P265">
        <f t="shared" si="9"/>
      </c>
    </row>
    <row r="266" spans="1:16" x14ac:dyDescent="0.25">
      <c r="A266">
        <f>IF($O266="","",INDEX(Master!$D$2:$D$1001,$O266))</f>
      </c>
      <c r="B266" s="166">
        <f>IF($O266="","",INDEX(Master!$B$2:$B$1001,$O266))</f>
      </c>
      <c r="C266">
        <f>IF($O266="","",INDEX(Master!$C$2:$C$1001,$O266))</f>
      </c>
      <c r="D266">
        <f>IF($O266="","",INDEX(Master!$A$2:$A$1001,$O266))</f>
      </c>
      <c r="E266">
        <f>IF($O266="","",INDEX(Master!$E$2:$E$1001,$O266))</f>
      </c>
      <c r="F266">
        <f>IF($O266="","",INDEX(Master!$F$2:$F$1001,$O266))</f>
      </c>
      <c r="G266">
        <f>IF($O266="","",INDEX(Master!$G$2:$G$1001,$O266))</f>
      </c>
      <c r="H266">
        <f>IF($O266="","",INDEX(Master!$H$2:$H$1001,$O266))</f>
      </c>
      <c r="I266">
        <f>IF($O266="","",INDEX(Master!$I$2:$I$1001,$O266))</f>
      </c>
      <c r="J266">
        <f>IF($O266="","",INDEX(Master!$J$2:$J$1001,$O266))</f>
      </c>
      <c r="K266">
        <f t="shared" si="8"/>
      </c>
      <c r="L266">
        <f>IF($O266="","",INDEX(Master!$K$2:$K$1001,$O266))</f>
      </c>
      <c r="M266">
        <f>IF($O266="","",INDEX(Master!$L$2:$L$1001,$O266))</f>
      </c>
      <c r="O266">
        <f t="array" ref="O266">IFERROR(SMALL(IF(Master!$A$2:$A$1001="AKASH SALES",ROW(Master!$A$2:$A$1001)-ROW(Master!$A$2)+1),262),"")</f>
      </c>
      <c r="P266">
        <f t="shared" si="9"/>
      </c>
    </row>
    <row r="267" spans="1:16" x14ac:dyDescent="0.25">
      <c r="A267">
        <f>IF($O267="","",INDEX(Master!$D$2:$D$1001,$O267))</f>
      </c>
      <c r="B267" s="166">
        <f>IF($O267="","",INDEX(Master!$B$2:$B$1001,$O267))</f>
      </c>
      <c r="C267">
        <f>IF($O267="","",INDEX(Master!$C$2:$C$1001,$O267))</f>
      </c>
      <c r="D267">
        <f>IF($O267="","",INDEX(Master!$A$2:$A$1001,$O267))</f>
      </c>
      <c r="E267">
        <f>IF($O267="","",INDEX(Master!$E$2:$E$1001,$O267))</f>
      </c>
      <c r="F267">
        <f>IF($O267="","",INDEX(Master!$F$2:$F$1001,$O267))</f>
      </c>
      <c r="G267">
        <f>IF($O267="","",INDEX(Master!$G$2:$G$1001,$O267))</f>
      </c>
      <c r="H267">
        <f>IF($O267="","",INDEX(Master!$H$2:$H$1001,$O267))</f>
      </c>
      <c r="I267">
        <f>IF($O267="","",INDEX(Master!$I$2:$I$1001,$O267))</f>
      </c>
      <c r="J267">
        <f>IF($O267="","",INDEX(Master!$J$2:$J$1001,$O267))</f>
      </c>
      <c r="K267">
        <f t="shared" si="8"/>
      </c>
      <c r="L267">
        <f>IF($O267="","",INDEX(Master!$K$2:$K$1001,$O267))</f>
      </c>
      <c r="M267">
        <f>IF($O267="","",INDEX(Master!$L$2:$L$1001,$O267))</f>
      </c>
      <c r="O267">
        <f t="array" ref="O267">IFERROR(SMALL(IF(Master!$A$2:$A$1001="AKASH SALES",ROW(Master!$A$2:$A$1001)-ROW(Master!$A$2)+1),263),"")</f>
      </c>
      <c r="P267">
        <f t="shared" si="9"/>
      </c>
    </row>
    <row r="268" spans="1:16" x14ac:dyDescent="0.25">
      <c r="A268">
        <f>IF($O268="","",INDEX(Master!$D$2:$D$1001,$O268))</f>
      </c>
      <c r="B268" s="166">
        <f>IF($O268="","",INDEX(Master!$B$2:$B$1001,$O268))</f>
      </c>
      <c r="C268">
        <f>IF($O268="","",INDEX(Master!$C$2:$C$1001,$O268))</f>
      </c>
      <c r="D268">
        <f>IF($O268="","",INDEX(Master!$A$2:$A$1001,$O268))</f>
      </c>
      <c r="E268">
        <f>IF($O268="","",INDEX(Master!$E$2:$E$1001,$O268))</f>
      </c>
      <c r="F268">
        <f>IF($O268="","",INDEX(Master!$F$2:$F$1001,$O268))</f>
      </c>
      <c r="G268">
        <f>IF($O268="","",INDEX(Master!$G$2:$G$1001,$O268))</f>
      </c>
      <c r="H268">
        <f>IF($O268="","",INDEX(Master!$H$2:$H$1001,$O268))</f>
      </c>
      <c r="I268">
        <f>IF($O268="","",INDEX(Master!$I$2:$I$1001,$O268))</f>
      </c>
      <c r="J268">
        <f>IF($O268="","",INDEX(Master!$J$2:$J$1001,$O268))</f>
      </c>
      <c r="K268">
        <f t="shared" si="8"/>
      </c>
      <c r="L268">
        <f>IF($O268="","",INDEX(Master!$K$2:$K$1001,$O268))</f>
      </c>
      <c r="M268">
        <f>IF($O268="","",INDEX(Master!$L$2:$L$1001,$O268))</f>
      </c>
      <c r="O268">
        <f t="array" ref="O268">IFERROR(SMALL(IF(Master!$A$2:$A$1001="AKASH SALES",ROW(Master!$A$2:$A$1001)-ROW(Master!$A$2)+1),264),"")</f>
      </c>
      <c r="P268">
        <f t="shared" si="9"/>
      </c>
    </row>
    <row r="269" spans="1:16" x14ac:dyDescent="0.25">
      <c r="A269">
        <f>IF($O269="","",INDEX(Master!$D$2:$D$1001,$O269))</f>
      </c>
      <c r="B269" s="166">
        <f>IF($O269="","",INDEX(Master!$B$2:$B$1001,$O269))</f>
      </c>
      <c r="C269">
        <f>IF($O269="","",INDEX(Master!$C$2:$C$1001,$O269))</f>
      </c>
      <c r="D269">
        <f>IF($O269="","",INDEX(Master!$A$2:$A$1001,$O269))</f>
      </c>
      <c r="E269">
        <f>IF($O269="","",INDEX(Master!$E$2:$E$1001,$O269))</f>
      </c>
      <c r="F269">
        <f>IF($O269="","",INDEX(Master!$F$2:$F$1001,$O269))</f>
      </c>
      <c r="G269">
        <f>IF($O269="","",INDEX(Master!$G$2:$G$1001,$O269))</f>
      </c>
      <c r="H269">
        <f>IF($O269="","",INDEX(Master!$H$2:$H$1001,$O269))</f>
      </c>
      <c r="I269">
        <f>IF($O269="","",INDEX(Master!$I$2:$I$1001,$O269))</f>
      </c>
      <c r="J269">
        <f>IF($O269="","",INDEX(Master!$J$2:$J$1001,$O269))</f>
      </c>
      <c r="K269">
        <f t="shared" si="8"/>
      </c>
      <c r="L269">
        <f>IF($O269="","",INDEX(Master!$K$2:$K$1001,$O269))</f>
      </c>
      <c r="M269">
        <f>IF($O269="","",INDEX(Master!$L$2:$L$1001,$O269))</f>
      </c>
      <c r="O269">
        <f t="array" ref="O269">IFERROR(SMALL(IF(Master!$A$2:$A$1001="AKASH SALES",ROW(Master!$A$2:$A$1001)-ROW(Master!$A$2)+1),265),"")</f>
      </c>
      <c r="P269">
        <f t="shared" si="9"/>
      </c>
    </row>
    <row r="270" spans="1:16" x14ac:dyDescent="0.25">
      <c r="A270">
        <f>IF($O270="","",INDEX(Master!$D$2:$D$1001,$O270))</f>
      </c>
      <c r="B270" s="166">
        <f>IF($O270="","",INDEX(Master!$B$2:$B$1001,$O270))</f>
      </c>
      <c r="C270">
        <f>IF($O270="","",INDEX(Master!$C$2:$C$1001,$O270))</f>
      </c>
      <c r="D270">
        <f>IF($O270="","",INDEX(Master!$A$2:$A$1001,$O270))</f>
      </c>
      <c r="E270">
        <f>IF($O270="","",INDEX(Master!$E$2:$E$1001,$O270))</f>
      </c>
      <c r="F270">
        <f>IF($O270="","",INDEX(Master!$F$2:$F$1001,$O270))</f>
      </c>
      <c r="G270">
        <f>IF($O270="","",INDEX(Master!$G$2:$G$1001,$O270))</f>
      </c>
      <c r="H270">
        <f>IF($O270="","",INDEX(Master!$H$2:$H$1001,$O270))</f>
      </c>
      <c r="I270">
        <f>IF($O270="","",INDEX(Master!$I$2:$I$1001,$O270))</f>
      </c>
      <c r="J270">
        <f>IF($O270="","",INDEX(Master!$J$2:$J$1001,$O270))</f>
      </c>
      <c r="K270">
        <f t="shared" si="8"/>
      </c>
      <c r="L270">
        <f>IF($O270="","",INDEX(Master!$K$2:$K$1001,$O270))</f>
      </c>
      <c r="M270">
        <f>IF($O270="","",INDEX(Master!$L$2:$L$1001,$O270))</f>
      </c>
      <c r="O270">
        <f t="array" ref="O270">IFERROR(SMALL(IF(Master!$A$2:$A$1001="AKASH SALES",ROW(Master!$A$2:$A$1001)-ROW(Master!$A$2)+1),266),"")</f>
      </c>
      <c r="P270">
        <f t="shared" si="9"/>
      </c>
    </row>
    <row r="271" spans="1:16" x14ac:dyDescent="0.25">
      <c r="A271">
        <f>IF($O271="","",INDEX(Master!$D$2:$D$1001,$O271))</f>
      </c>
      <c r="B271" s="166">
        <f>IF($O271="","",INDEX(Master!$B$2:$B$1001,$O271))</f>
      </c>
      <c r="C271">
        <f>IF($O271="","",INDEX(Master!$C$2:$C$1001,$O271))</f>
      </c>
      <c r="D271">
        <f>IF($O271="","",INDEX(Master!$A$2:$A$1001,$O271))</f>
      </c>
      <c r="E271">
        <f>IF($O271="","",INDEX(Master!$E$2:$E$1001,$O271))</f>
      </c>
      <c r="F271">
        <f>IF($O271="","",INDEX(Master!$F$2:$F$1001,$O271))</f>
      </c>
      <c r="G271">
        <f>IF($O271="","",INDEX(Master!$G$2:$G$1001,$O271))</f>
      </c>
      <c r="H271">
        <f>IF($O271="","",INDEX(Master!$H$2:$H$1001,$O271))</f>
      </c>
      <c r="I271">
        <f>IF($O271="","",INDEX(Master!$I$2:$I$1001,$O271))</f>
      </c>
      <c r="J271">
        <f>IF($O271="","",INDEX(Master!$J$2:$J$1001,$O271))</f>
      </c>
      <c r="K271">
        <f t="shared" si="8"/>
      </c>
      <c r="L271">
        <f>IF($O271="","",INDEX(Master!$K$2:$K$1001,$O271))</f>
      </c>
      <c r="M271">
        <f>IF($O271="","",INDEX(Master!$L$2:$L$1001,$O271))</f>
      </c>
      <c r="O271">
        <f t="array" ref="O271">IFERROR(SMALL(IF(Master!$A$2:$A$1001="AKASH SALES",ROW(Master!$A$2:$A$1001)-ROW(Master!$A$2)+1),267),"")</f>
      </c>
      <c r="P271">
        <f t="shared" si="9"/>
      </c>
    </row>
    <row r="272" spans="1:16" x14ac:dyDescent="0.25">
      <c r="A272">
        <f>IF($O272="","",INDEX(Master!$D$2:$D$1001,$O272))</f>
      </c>
      <c r="B272" s="166">
        <f>IF($O272="","",INDEX(Master!$B$2:$B$1001,$O272))</f>
      </c>
      <c r="C272">
        <f>IF($O272="","",INDEX(Master!$C$2:$C$1001,$O272))</f>
      </c>
      <c r="D272">
        <f>IF($O272="","",INDEX(Master!$A$2:$A$1001,$O272))</f>
      </c>
      <c r="E272">
        <f>IF($O272="","",INDEX(Master!$E$2:$E$1001,$O272))</f>
      </c>
      <c r="F272">
        <f>IF($O272="","",INDEX(Master!$F$2:$F$1001,$O272))</f>
      </c>
      <c r="G272">
        <f>IF($O272="","",INDEX(Master!$G$2:$G$1001,$O272))</f>
      </c>
      <c r="H272">
        <f>IF($O272="","",INDEX(Master!$H$2:$H$1001,$O272))</f>
      </c>
      <c r="I272">
        <f>IF($O272="","",INDEX(Master!$I$2:$I$1001,$O272))</f>
      </c>
      <c r="J272">
        <f>IF($O272="","",INDEX(Master!$J$2:$J$1001,$O272))</f>
      </c>
      <c r="K272">
        <f t="shared" si="8"/>
      </c>
      <c r="L272">
        <f>IF($O272="","",INDEX(Master!$K$2:$K$1001,$O272))</f>
      </c>
      <c r="M272">
        <f>IF($O272="","",INDEX(Master!$L$2:$L$1001,$O272))</f>
      </c>
      <c r="O272">
        <f t="array" ref="O272">IFERROR(SMALL(IF(Master!$A$2:$A$1001="AKASH SALES",ROW(Master!$A$2:$A$1001)-ROW(Master!$A$2)+1),268),"")</f>
      </c>
      <c r="P272">
        <f t="shared" si="9"/>
      </c>
    </row>
    <row r="273" spans="1:16" x14ac:dyDescent="0.25">
      <c r="A273">
        <f>IF($O273="","",INDEX(Master!$D$2:$D$1001,$O273))</f>
      </c>
      <c r="B273" s="166">
        <f>IF($O273="","",INDEX(Master!$B$2:$B$1001,$O273))</f>
      </c>
      <c r="C273">
        <f>IF($O273="","",INDEX(Master!$C$2:$C$1001,$O273))</f>
      </c>
      <c r="D273">
        <f>IF($O273="","",INDEX(Master!$A$2:$A$1001,$O273))</f>
      </c>
      <c r="E273">
        <f>IF($O273="","",INDEX(Master!$E$2:$E$1001,$O273))</f>
      </c>
      <c r="F273">
        <f>IF($O273="","",INDEX(Master!$F$2:$F$1001,$O273))</f>
      </c>
      <c r="G273">
        <f>IF($O273="","",INDEX(Master!$G$2:$G$1001,$O273))</f>
      </c>
      <c r="H273">
        <f>IF($O273="","",INDEX(Master!$H$2:$H$1001,$O273))</f>
      </c>
      <c r="I273">
        <f>IF($O273="","",INDEX(Master!$I$2:$I$1001,$O273))</f>
      </c>
      <c r="J273">
        <f>IF($O273="","",INDEX(Master!$J$2:$J$1001,$O273))</f>
      </c>
      <c r="K273">
        <f t="shared" si="8"/>
      </c>
      <c r="L273">
        <f>IF($O273="","",INDEX(Master!$K$2:$K$1001,$O273))</f>
      </c>
      <c r="M273">
        <f>IF($O273="","",INDEX(Master!$L$2:$L$1001,$O273))</f>
      </c>
      <c r="O273">
        <f t="array" ref="O273">IFERROR(SMALL(IF(Master!$A$2:$A$1001="AKASH SALES",ROW(Master!$A$2:$A$1001)-ROW(Master!$A$2)+1),269),"")</f>
      </c>
      <c r="P273">
        <f t="shared" si="9"/>
      </c>
    </row>
    <row r="274" spans="1:16" x14ac:dyDescent="0.25">
      <c r="A274">
        <f>IF($O274="","",INDEX(Master!$D$2:$D$1001,$O274))</f>
      </c>
      <c r="B274" s="166">
        <f>IF($O274="","",INDEX(Master!$B$2:$B$1001,$O274))</f>
      </c>
      <c r="C274">
        <f>IF($O274="","",INDEX(Master!$C$2:$C$1001,$O274))</f>
      </c>
      <c r="D274">
        <f>IF($O274="","",INDEX(Master!$A$2:$A$1001,$O274))</f>
      </c>
      <c r="E274">
        <f>IF($O274="","",INDEX(Master!$E$2:$E$1001,$O274))</f>
      </c>
      <c r="F274">
        <f>IF($O274="","",INDEX(Master!$F$2:$F$1001,$O274))</f>
      </c>
      <c r="G274">
        <f>IF($O274="","",INDEX(Master!$G$2:$G$1001,$O274))</f>
      </c>
      <c r="H274">
        <f>IF($O274="","",INDEX(Master!$H$2:$H$1001,$O274))</f>
      </c>
      <c r="I274">
        <f>IF($O274="","",INDEX(Master!$I$2:$I$1001,$O274))</f>
      </c>
      <c r="J274">
        <f>IF($O274="","",INDEX(Master!$J$2:$J$1001,$O274))</f>
      </c>
      <c r="K274">
        <f t="shared" si="8"/>
      </c>
      <c r="L274">
        <f>IF($O274="","",INDEX(Master!$K$2:$K$1001,$O274))</f>
      </c>
      <c r="M274">
        <f>IF($O274="","",INDEX(Master!$L$2:$L$1001,$O274))</f>
      </c>
      <c r="O274">
        <f t="array" ref="O274">IFERROR(SMALL(IF(Master!$A$2:$A$1001="AKASH SALES",ROW(Master!$A$2:$A$1001)-ROW(Master!$A$2)+1),270),"")</f>
      </c>
      <c r="P274">
        <f t="shared" si="9"/>
      </c>
    </row>
    <row r="275" spans="1:16" x14ac:dyDescent="0.25">
      <c r="A275">
        <f>IF($O275="","",INDEX(Master!$D$2:$D$1001,$O275))</f>
      </c>
      <c r="B275" s="166">
        <f>IF($O275="","",INDEX(Master!$B$2:$B$1001,$O275))</f>
      </c>
      <c r="C275">
        <f>IF($O275="","",INDEX(Master!$C$2:$C$1001,$O275))</f>
      </c>
      <c r="D275">
        <f>IF($O275="","",INDEX(Master!$A$2:$A$1001,$O275))</f>
      </c>
      <c r="E275">
        <f>IF($O275="","",INDEX(Master!$E$2:$E$1001,$O275))</f>
      </c>
      <c r="F275">
        <f>IF($O275="","",INDEX(Master!$F$2:$F$1001,$O275))</f>
      </c>
      <c r="G275">
        <f>IF($O275="","",INDEX(Master!$G$2:$G$1001,$O275))</f>
      </c>
      <c r="H275">
        <f>IF($O275="","",INDEX(Master!$H$2:$H$1001,$O275))</f>
      </c>
      <c r="I275">
        <f>IF($O275="","",INDEX(Master!$I$2:$I$1001,$O275))</f>
      </c>
      <c r="J275">
        <f>IF($O275="","",INDEX(Master!$J$2:$J$1001,$O275))</f>
      </c>
      <c r="K275">
        <f t="shared" si="8"/>
      </c>
      <c r="L275">
        <f>IF($O275="","",INDEX(Master!$K$2:$K$1001,$O275))</f>
      </c>
      <c r="M275">
        <f>IF($O275="","",INDEX(Master!$L$2:$L$1001,$O275))</f>
      </c>
      <c r="O275">
        <f t="array" ref="O275">IFERROR(SMALL(IF(Master!$A$2:$A$1001="AKASH SALES",ROW(Master!$A$2:$A$1001)-ROW(Master!$A$2)+1),271),"")</f>
      </c>
      <c r="P275">
        <f t="shared" si="9"/>
      </c>
    </row>
    <row r="276" spans="1:16" x14ac:dyDescent="0.25">
      <c r="A276">
        <f>IF($O276="","",INDEX(Master!$D$2:$D$1001,$O276))</f>
      </c>
      <c r="B276" s="166">
        <f>IF($O276="","",INDEX(Master!$B$2:$B$1001,$O276))</f>
      </c>
      <c r="C276">
        <f>IF($O276="","",INDEX(Master!$C$2:$C$1001,$O276))</f>
      </c>
      <c r="D276">
        <f>IF($O276="","",INDEX(Master!$A$2:$A$1001,$O276))</f>
      </c>
      <c r="E276">
        <f>IF($O276="","",INDEX(Master!$E$2:$E$1001,$O276))</f>
      </c>
      <c r="F276">
        <f>IF($O276="","",INDEX(Master!$F$2:$F$1001,$O276))</f>
      </c>
      <c r="G276">
        <f>IF($O276="","",INDEX(Master!$G$2:$G$1001,$O276))</f>
      </c>
      <c r="H276">
        <f>IF($O276="","",INDEX(Master!$H$2:$H$1001,$O276))</f>
      </c>
      <c r="I276">
        <f>IF($O276="","",INDEX(Master!$I$2:$I$1001,$O276))</f>
      </c>
      <c r="J276">
        <f>IF($O276="","",INDEX(Master!$J$2:$J$1001,$O276))</f>
      </c>
      <c r="K276">
        <f t="shared" si="8"/>
      </c>
      <c r="L276">
        <f>IF($O276="","",INDEX(Master!$K$2:$K$1001,$O276))</f>
      </c>
      <c r="M276">
        <f>IF($O276="","",INDEX(Master!$L$2:$L$1001,$O276))</f>
      </c>
      <c r="O276">
        <f t="array" ref="O276">IFERROR(SMALL(IF(Master!$A$2:$A$1001="AKASH SALES",ROW(Master!$A$2:$A$1001)-ROW(Master!$A$2)+1),272),"")</f>
      </c>
      <c r="P276">
        <f t="shared" si="9"/>
      </c>
    </row>
    <row r="277" spans="1:16" x14ac:dyDescent="0.25">
      <c r="A277">
        <f>IF($O277="","",INDEX(Master!$D$2:$D$1001,$O277))</f>
      </c>
      <c r="B277" s="166">
        <f>IF($O277="","",INDEX(Master!$B$2:$B$1001,$O277))</f>
      </c>
      <c r="C277">
        <f>IF($O277="","",INDEX(Master!$C$2:$C$1001,$O277))</f>
      </c>
      <c r="D277">
        <f>IF($O277="","",INDEX(Master!$A$2:$A$1001,$O277))</f>
      </c>
      <c r="E277">
        <f>IF($O277="","",INDEX(Master!$E$2:$E$1001,$O277))</f>
      </c>
      <c r="F277">
        <f>IF($O277="","",INDEX(Master!$F$2:$F$1001,$O277))</f>
      </c>
      <c r="G277">
        <f>IF($O277="","",INDEX(Master!$G$2:$G$1001,$O277))</f>
      </c>
      <c r="H277">
        <f>IF($O277="","",INDEX(Master!$H$2:$H$1001,$O277))</f>
      </c>
      <c r="I277">
        <f>IF($O277="","",INDEX(Master!$I$2:$I$1001,$O277))</f>
      </c>
      <c r="J277">
        <f>IF($O277="","",INDEX(Master!$J$2:$J$1001,$O277))</f>
      </c>
      <c r="K277">
        <f t="shared" si="8"/>
      </c>
      <c r="L277">
        <f>IF($O277="","",INDEX(Master!$K$2:$K$1001,$O277))</f>
      </c>
      <c r="M277">
        <f>IF($O277="","",INDEX(Master!$L$2:$L$1001,$O277))</f>
      </c>
      <c r="O277">
        <f t="array" ref="O277">IFERROR(SMALL(IF(Master!$A$2:$A$1001="AKASH SALES",ROW(Master!$A$2:$A$1001)-ROW(Master!$A$2)+1),273),"")</f>
      </c>
      <c r="P277">
        <f t="shared" si="9"/>
      </c>
    </row>
    <row r="278" spans="1:16" x14ac:dyDescent="0.25">
      <c r="A278">
        <f>IF($O278="","",INDEX(Master!$D$2:$D$1001,$O278))</f>
      </c>
      <c r="B278" s="166">
        <f>IF($O278="","",INDEX(Master!$B$2:$B$1001,$O278))</f>
      </c>
      <c r="C278">
        <f>IF($O278="","",INDEX(Master!$C$2:$C$1001,$O278))</f>
      </c>
      <c r="D278">
        <f>IF($O278="","",INDEX(Master!$A$2:$A$1001,$O278))</f>
      </c>
      <c r="E278">
        <f>IF($O278="","",INDEX(Master!$E$2:$E$1001,$O278))</f>
      </c>
      <c r="F278">
        <f>IF($O278="","",INDEX(Master!$F$2:$F$1001,$O278))</f>
      </c>
      <c r="G278">
        <f>IF($O278="","",INDEX(Master!$G$2:$G$1001,$O278))</f>
      </c>
      <c r="H278">
        <f>IF($O278="","",INDEX(Master!$H$2:$H$1001,$O278))</f>
      </c>
      <c r="I278">
        <f>IF($O278="","",INDEX(Master!$I$2:$I$1001,$O278))</f>
      </c>
      <c r="J278">
        <f>IF($O278="","",INDEX(Master!$J$2:$J$1001,$O278))</f>
      </c>
      <c r="K278">
        <f t="shared" si="8"/>
      </c>
      <c r="L278">
        <f>IF($O278="","",INDEX(Master!$K$2:$K$1001,$O278))</f>
      </c>
      <c r="M278">
        <f>IF($O278="","",INDEX(Master!$L$2:$L$1001,$O278))</f>
      </c>
      <c r="O278">
        <f t="array" ref="O278">IFERROR(SMALL(IF(Master!$A$2:$A$1001="AKASH SALES",ROW(Master!$A$2:$A$1001)-ROW(Master!$A$2)+1),274),"")</f>
      </c>
      <c r="P278">
        <f t="shared" si="9"/>
      </c>
    </row>
    <row r="279" spans="1:16" x14ac:dyDescent="0.25">
      <c r="A279">
        <f>IF($O279="","",INDEX(Master!$D$2:$D$1001,$O279))</f>
      </c>
      <c r="B279" s="166">
        <f>IF($O279="","",INDEX(Master!$B$2:$B$1001,$O279))</f>
      </c>
      <c r="C279">
        <f>IF($O279="","",INDEX(Master!$C$2:$C$1001,$O279))</f>
      </c>
      <c r="D279">
        <f>IF($O279="","",INDEX(Master!$A$2:$A$1001,$O279))</f>
      </c>
      <c r="E279">
        <f>IF($O279="","",INDEX(Master!$E$2:$E$1001,$O279))</f>
      </c>
      <c r="F279">
        <f>IF($O279="","",INDEX(Master!$F$2:$F$1001,$O279))</f>
      </c>
      <c r="G279">
        <f>IF($O279="","",INDEX(Master!$G$2:$G$1001,$O279))</f>
      </c>
      <c r="H279">
        <f>IF($O279="","",INDEX(Master!$H$2:$H$1001,$O279))</f>
      </c>
      <c r="I279">
        <f>IF($O279="","",INDEX(Master!$I$2:$I$1001,$O279))</f>
      </c>
      <c r="J279">
        <f>IF($O279="","",INDEX(Master!$J$2:$J$1001,$O279))</f>
      </c>
      <c r="K279">
        <f t="shared" si="8"/>
      </c>
      <c r="L279">
        <f>IF($O279="","",INDEX(Master!$K$2:$K$1001,$O279))</f>
      </c>
      <c r="M279">
        <f>IF($O279="","",INDEX(Master!$L$2:$L$1001,$O279))</f>
      </c>
      <c r="O279">
        <f t="array" ref="O279">IFERROR(SMALL(IF(Master!$A$2:$A$1001="AKASH SALES",ROW(Master!$A$2:$A$1001)-ROW(Master!$A$2)+1),275),"")</f>
      </c>
      <c r="P279">
        <f t="shared" si="9"/>
      </c>
    </row>
    <row r="280" spans="1:16" x14ac:dyDescent="0.25">
      <c r="A280">
        <f>IF($O280="","",INDEX(Master!$D$2:$D$1001,$O280))</f>
      </c>
      <c r="B280" s="166">
        <f>IF($O280="","",INDEX(Master!$B$2:$B$1001,$O280))</f>
      </c>
      <c r="C280">
        <f>IF($O280="","",INDEX(Master!$C$2:$C$1001,$O280))</f>
      </c>
      <c r="D280">
        <f>IF($O280="","",INDEX(Master!$A$2:$A$1001,$O280))</f>
      </c>
      <c r="E280">
        <f>IF($O280="","",INDEX(Master!$E$2:$E$1001,$O280))</f>
      </c>
      <c r="F280">
        <f>IF($O280="","",INDEX(Master!$F$2:$F$1001,$O280))</f>
      </c>
      <c r="G280">
        <f>IF($O280="","",INDEX(Master!$G$2:$G$1001,$O280))</f>
      </c>
      <c r="H280">
        <f>IF($O280="","",INDEX(Master!$H$2:$H$1001,$O280))</f>
      </c>
      <c r="I280">
        <f>IF($O280="","",INDEX(Master!$I$2:$I$1001,$O280))</f>
      </c>
      <c r="J280">
        <f>IF($O280="","",INDEX(Master!$J$2:$J$1001,$O280))</f>
      </c>
      <c r="K280">
        <f t="shared" si="8"/>
      </c>
      <c r="L280">
        <f>IF($O280="","",INDEX(Master!$K$2:$K$1001,$O280))</f>
      </c>
      <c r="M280">
        <f>IF($O280="","",INDEX(Master!$L$2:$L$1001,$O280))</f>
      </c>
      <c r="O280">
        <f t="array" ref="O280">IFERROR(SMALL(IF(Master!$A$2:$A$1001="AKASH SALES",ROW(Master!$A$2:$A$1001)-ROW(Master!$A$2)+1),276),"")</f>
      </c>
      <c r="P280">
        <f t="shared" si="9"/>
      </c>
    </row>
    <row r="281" spans="1:16" x14ac:dyDescent="0.25">
      <c r="A281">
        <f>IF($O281="","",INDEX(Master!$D$2:$D$1001,$O281))</f>
      </c>
      <c r="B281" s="166">
        <f>IF($O281="","",INDEX(Master!$B$2:$B$1001,$O281))</f>
      </c>
      <c r="C281">
        <f>IF($O281="","",INDEX(Master!$C$2:$C$1001,$O281))</f>
      </c>
      <c r="D281">
        <f>IF($O281="","",INDEX(Master!$A$2:$A$1001,$O281))</f>
      </c>
      <c r="E281">
        <f>IF($O281="","",INDEX(Master!$E$2:$E$1001,$O281))</f>
      </c>
      <c r="F281">
        <f>IF($O281="","",INDEX(Master!$F$2:$F$1001,$O281))</f>
      </c>
      <c r="G281">
        <f>IF($O281="","",INDEX(Master!$G$2:$G$1001,$O281))</f>
      </c>
      <c r="H281">
        <f>IF($O281="","",INDEX(Master!$H$2:$H$1001,$O281))</f>
      </c>
      <c r="I281">
        <f>IF($O281="","",INDEX(Master!$I$2:$I$1001,$O281))</f>
      </c>
      <c r="J281">
        <f>IF($O281="","",INDEX(Master!$J$2:$J$1001,$O281))</f>
      </c>
      <c r="K281">
        <f t="shared" si="8"/>
      </c>
      <c r="L281">
        <f>IF($O281="","",INDEX(Master!$K$2:$K$1001,$O281))</f>
      </c>
      <c r="M281">
        <f>IF($O281="","",INDEX(Master!$L$2:$L$1001,$O281))</f>
      </c>
      <c r="O281">
        <f t="array" ref="O281">IFERROR(SMALL(IF(Master!$A$2:$A$1001="AKASH SALES",ROW(Master!$A$2:$A$1001)-ROW(Master!$A$2)+1),277),"")</f>
      </c>
      <c r="P281">
        <f t="shared" si="9"/>
      </c>
    </row>
    <row r="282" spans="1:16" x14ac:dyDescent="0.25">
      <c r="A282">
        <f>IF($O282="","",INDEX(Master!$D$2:$D$1001,$O282))</f>
      </c>
      <c r="B282" s="166">
        <f>IF($O282="","",INDEX(Master!$B$2:$B$1001,$O282))</f>
      </c>
      <c r="C282">
        <f>IF($O282="","",INDEX(Master!$C$2:$C$1001,$O282))</f>
      </c>
      <c r="D282">
        <f>IF($O282="","",INDEX(Master!$A$2:$A$1001,$O282))</f>
      </c>
      <c r="E282">
        <f>IF($O282="","",INDEX(Master!$E$2:$E$1001,$O282))</f>
      </c>
      <c r="F282">
        <f>IF($O282="","",INDEX(Master!$F$2:$F$1001,$O282))</f>
      </c>
      <c r="G282">
        <f>IF($O282="","",INDEX(Master!$G$2:$G$1001,$O282))</f>
      </c>
      <c r="H282">
        <f>IF($O282="","",INDEX(Master!$H$2:$H$1001,$O282))</f>
      </c>
      <c r="I282">
        <f>IF($O282="","",INDEX(Master!$I$2:$I$1001,$O282))</f>
      </c>
      <c r="J282">
        <f>IF($O282="","",INDEX(Master!$J$2:$J$1001,$O282))</f>
      </c>
      <c r="K282">
        <f t="shared" si="8"/>
      </c>
      <c r="L282">
        <f>IF($O282="","",INDEX(Master!$K$2:$K$1001,$O282))</f>
      </c>
      <c r="M282">
        <f>IF($O282="","",INDEX(Master!$L$2:$L$1001,$O282))</f>
      </c>
      <c r="O282">
        <f t="array" ref="O282">IFERROR(SMALL(IF(Master!$A$2:$A$1001="AKASH SALES",ROW(Master!$A$2:$A$1001)-ROW(Master!$A$2)+1),278),"")</f>
      </c>
      <c r="P282">
        <f t="shared" si="9"/>
      </c>
    </row>
    <row r="283" spans="1:16" x14ac:dyDescent="0.25">
      <c r="A283">
        <f>IF($O283="","",INDEX(Master!$D$2:$D$1001,$O283))</f>
      </c>
      <c r="B283" s="166">
        <f>IF($O283="","",INDEX(Master!$B$2:$B$1001,$O283))</f>
      </c>
      <c r="C283">
        <f>IF($O283="","",INDEX(Master!$C$2:$C$1001,$O283))</f>
      </c>
      <c r="D283">
        <f>IF($O283="","",INDEX(Master!$A$2:$A$1001,$O283))</f>
      </c>
      <c r="E283">
        <f>IF($O283="","",INDEX(Master!$E$2:$E$1001,$O283))</f>
      </c>
      <c r="F283">
        <f>IF($O283="","",INDEX(Master!$F$2:$F$1001,$O283))</f>
      </c>
      <c r="G283">
        <f>IF($O283="","",INDEX(Master!$G$2:$G$1001,$O283))</f>
      </c>
      <c r="H283">
        <f>IF($O283="","",INDEX(Master!$H$2:$H$1001,$O283))</f>
      </c>
      <c r="I283">
        <f>IF($O283="","",INDEX(Master!$I$2:$I$1001,$O283))</f>
      </c>
      <c r="J283">
        <f>IF($O283="","",INDEX(Master!$J$2:$J$1001,$O283))</f>
      </c>
      <c r="K283">
        <f t="shared" si="8"/>
      </c>
      <c r="L283">
        <f>IF($O283="","",INDEX(Master!$K$2:$K$1001,$O283))</f>
      </c>
      <c r="M283">
        <f>IF($O283="","",INDEX(Master!$L$2:$L$1001,$O283))</f>
      </c>
      <c r="O283">
        <f t="array" ref="O283">IFERROR(SMALL(IF(Master!$A$2:$A$1001="AKASH SALES",ROW(Master!$A$2:$A$1001)-ROW(Master!$A$2)+1),279),"")</f>
      </c>
      <c r="P283">
        <f t="shared" si="9"/>
      </c>
    </row>
    <row r="284" spans="1:16" x14ac:dyDescent="0.25">
      <c r="A284">
        <f>IF($O284="","",INDEX(Master!$D$2:$D$1001,$O284))</f>
      </c>
      <c r="B284" s="166">
        <f>IF($O284="","",INDEX(Master!$B$2:$B$1001,$O284))</f>
      </c>
      <c r="C284">
        <f>IF($O284="","",INDEX(Master!$C$2:$C$1001,$O284))</f>
      </c>
      <c r="D284">
        <f>IF($O284="","",INDEX(Master!$A$2:$A$1001,$O284))</f>
      </c>
      <c r="E284">
        <f>IF($O284="","",INDEX(Master!$E$2:$E$1001,$O284))</f>
      </c>
      <c r="F284">
        <f>IF($O284="","",INDEX(Master!$F$2:$F$1001,$O284))</f>
      </c>
      <c r="G284">
        <f>IF($O284="","",INDEX(Master!$G$2:$G$1001,$O284))</f>
      </c>
      <c r="H284">
        <f>IF($O284="","",INDEX(Master!$H$2:$H$1001,$O284))</f>
      </c>
      <c r="I284">
        <f>IF($O284="","",INDEX(Master!$I$2:$I$1001,$O284))</f>
      </c>
      <c r="J284">
        <f>IF($O284="","",INDEX(Master!$J$2:$J$1001,$O284))</f>
      </c>
      <c r="K284">
        <f t="shared" si="8"/>
      </c>
      <c r="L284">
        <f>IF($O284="","",INDEX(Master!$K$2:$K$1001,$O284))</f>
      </c>
      <c r="M284">
        <f>IF($O284="","",INDEX(Master!$L$2:$L$1001,$O284))</f>
      </c>
      <c r="O284">
        <f t="array" ref="O284">IFERROR(SMALL(IF(Master!$A$2:$A$1001="AKASH SALES",ROW(Master!$A$2:$A$1001)-ROW(Master!$A$2)+1),280),"")</f>
      </c>
      <c r="P284">
        <f t="shared" si="9"/>
      </c>
    </row>
    <row r="285" spans="1:16" x14ac:dyDescent="0.25">
      <c r="A285">
        <f>IF($O285="","",INDEX(Master!$D$2:$D$1001,$O285))</f>
      </c>
      <c r="B285" s="166">
        <f>IF($O285="","",INDEX(Master!$B$2:$B$1001,$O285))</f>
      </c>
      <c r="C285">
        <f>IF($O285="","",INDEX(Master!$C$2:$C$1001,$O285))</f>
      </c>
      <c r="D285">
        <f>IF($O285="","",INDEX(Master!$A$2:$A$1001,$O285))</f>
      </c>
      <c r="E285">
        <f>IF($O285="","",INDEX(Master!$E$2:$E$1001,$O285))</f>
      </c>
      <c r="F285">
        <f>IF($O285="","",INDEX(Master!$F$2:$F$1001,$O285))</f>
      </c>
      <c r="G285">
        <f>IF($O285="","",INDEX(Master!$G$2:$G$1001,$O285))</f>
      </c>
      <c r="H285">
        <f>IF($O285="","",INDEX(Master!$H$2:$H$1001,$O285))</f>
      </c>
      <c r="I285">
        <f>IF($O285="","",INDEX(Master!$I$2:$I$1001,$O285))</f>
      </c>
      <c r="J285">
        <f>IF($O285="","",INDEX(Master!$J$2:$J$1001,$O285))</f>
      </c>
      <c r="K285">
        <f t="shared" si="8"/>
      </c>
      <c r="L285">
        <f>IF($O285="","",INDEX(Master!$K$2:$K$1001,$O285))</f>
      </c>
      <c r="M285">
        <f>IF($O285="","",INDEX(Master!$L$2:$L$1001,$O285))</f>
      </c>
      <c r="O285">
        <f t="array" ref="O285">IFERROR(SMALL(IF(Master!$A$2:$A$1001="AKASH SALES",ROW(Master!$A$2:$A$1001)-ROW(Master!$A$2)+1),281),"")</f>
      </c>
      <c r="P285">
        <f t="shared" si="9"/>
      </c>
    </row>
    <row r="286" spans="1:16" x14ac:dyDescent="0.25">
      <c r="A286">
        <f>IF($O286="","",INDEX(Master!$D$2:$D$1001,$O286))</f>
      </c>
      <c r="B286" s="166">
        <f>IF($O286="","",INDEX(Master!$B$2:$B$1001,$O286))</f>
      </c>
      <c r="C286">
        <f>IF($O286="","",INDEX(Master!$C$2:$C$1001,$O286))</f>
      </c>
      <c r="D286">
        <f>IF($O286="","",INDEX(Master!$A$2:$A$1001,$O286))</f>
      </c>
      <c r="E286">
        <f>IF($O286="","",INDEX(Master!$E$2:$E$1001,$O286))</f>
      </c>
      <c r="F286">
        <f>IF($O286="","",INDEX(Master!$F$2:$F$1001,$O286))</f>
      </c>
      <c r="G286">
        <f>IF($O286="","",INDEX(Master!$G$2:$G$1001,$O286))</f>
      </c>
      <c r="H286">
        <f>IF($O286="","",INDEX(Master!$H$2:$H$1001,$O286))</f>
      </c>
      <c r="I286">
        <f>IF($O286="","",INDEX(Master!$I$2:$I$1001,$O286))</f>
      </c>
      <c r="J286">
        <f>IF($O286="","",INDEX(Master!$J$2:$J$1001,$O286))</f>
      </c>
      <c r="K286">
        <f t="shared" si="8"/>
      </c>
      <c r="L286">
        <f>IF($O286="","",INDEX(Master!$K$2:$K$1001,$O286))</f>
      </c>
      <c r="M286">
        <f>IF($O286="","",INDEX(Master!$L$2:$L$1001,$O286))</f>
      </c>
      <c r="O286">
        <f t="array" ref="O286">IFERROR(SMALL(IF(Master!$A$2:$A$1001="AKASH SALES",ROW(Master!$A$2:$A$1001)-ROW(Master!$A$2)+1),282),"")</f>
      </c>
      <c r="P286">
        <f t="shared" si="9"/>
      </c>
    </row>
    <row r="287" spans="1:16" x14ac:dyDescent="0.25">
      <c r="A287">
        <f>IF($O287="","",INDEX(Master!$D$2:$D$1001,$O287))</f>
      </c>
      <c r="B287" s="166">
        <f>IF($O287="","",INDEX(Master!$B$2:$B$1001,$O287))</f>
      </c>
      <c r="C287">
        <f>IF($O287="","",INDEX(Master!$C$2:$C$1001,$O287))</f>
      </c>
      <c r="D287">
        <f>IF($O287="","",INDEX(Master!$A$2:$A$1001,$O287))</f>
      </c>
      <c r="E287">
        <f>IF($O287="","",INDEX(Master!$E$2:$E$1001,$O287))</f>
      </c>
      <c r="F287">
        <f>IF($O287="","",INDEX(Master!$F$2:$F$1001,$O287))</f>
      </c>
      <c r="G287">
        <f>IF($O287="","",INDEX(Master!$G$2:$G$1001,$O287))</f>
      </c>
      <c r="H287">
        <f>IF($O287="","",INDEX(Master!$H$2:$H$1001,$O287))</f>
      </c>
      <c r="I287">
        <f>IF($O287="","",INDEX(Master!$I$2:$I$1001,$O287))</f>
      </c>
      <c r="J287">
        <f>IF($O287="","",INDEX(Master!$J$2:$J$1001,$O287))</f>
      </c>
      <c r="K287">
        <f t="shared" si="8"/>
      </c>
      <c r="L287">
        <f>IF($O287="","",INDEX(Master!$K$2:$K$1001,$O287))</f>
      </c>
      <c r="M287">
        <f>IF($O287="","",INDEX(Master!$L$2:$L$1001,$O287))</f>
      </c>
      <c r="O287">
        <f t="array" ref="O287">IFERROR(SMALL(IF(Master!$A$2:$A$1001="AKASH SALES",ROW(Master!$A$2:$A$1001)-ROW(Master!$A$2)+1),283),"")</f>
      </c>
      <c r="P287">
        <f t="shared" si="9"/>
      </c>
    </row>
    <row r="288" spans="1:16" x14ac:dyDescent="0.25">
      <c r="A288">
        <f>IF($O288="","",INDEX(Master!$D$2:$D$1001,$O288))</f>
      </c>
      <c r="B288" s="166">
        <f>IF($O288="","",INDEX(Master!$B$2:$B$1001,$O288))</f>
      </c>
      <c r="C288">
        <f>IF($O288="","",INDEX(Master!$C$2:$C$1001,$O288))</f>
      </c>
      <c r="D288">
        <f>IF($O288="","",INDEX(Master!$A$2:$A$1001,$O288))</f>
      </c>
      <c r="E288">
        <f>IF($O288="","",INDEX(Master!$E$2:$E$1001,$O288))</f>
      </c>
      <c r="F288">
        <f>IF($O288="","",INDEX(Master!$F$2:$F$1001,$O288))</f>
      </c>
      <c r="G288">
        <f>IF($O288="","",INDEX(Master!$G$2:$G$1001,$O288))</f>
      </c>
      <c r="H288">
        <f>IF($O288="","",INDEX(Master!$H$2:$H$1001,$O288))</f>
      </c>
      <c r="I288">
        <f>IF($O288="","",INDEX(Master!$I$2:$I$1001,$O288))</f>
      </c>
      <c r="J288">
        <f>IF($O288="","",INDEX(Master!$J$2:$J$1001,$O288))</f>
      </c>
      <c r="K288">
        <f t="shared" si="8"/>
      </c>
      <c r="L288">
        <f>IF($O288="","",INDEX(Master!$K$2:$K$1001,$O288))</f>
      </c>
      <c r="M288">
        <f>IF($O288="","",INDEX(Master!$L$2:$L$1001,$O288))</f>
      </c>
      <c r="O288">
        <f t="array" ref="O288">IFERROR(SMALL(IF(Master!$A$2:$A$1001="AKASH SALES",ROW(Master!$A$2:$A$1001)-ROW(Master!$A$2)+1),284),"")</f>
      </c>
      <c r="P288">
        <f t="shared" si="9"/>
      </c>
    </row>
    <row r="289" spans="1:16" x14ac:dyDescent="0.25">
      <c r="A289">
        <f>IF($O289="","",INDEX(Master!$D$2:$D$1001,$O289))</f>
      </c>
      <c r="B289" s="166">
        <f>IF($O289="","",INDEX(Master!$B$2:$B$1001,$O289))</f>
      </c>
      <c r="C289">
        <f>IF($O289="","",INDEX(Master!$C$2:$C$1001,$O289))</f>
      </c>
      <c r="D289">
        <f>IF($O289="","",INDEX(Master!$A$2:$A$1001,$O289))</f>
      </c>
      <c r="E289">
        <f>IF($O289="","",INDEX(Master!$E$2:$E$1001,$O289))</f>
      </c>
      <c r="F289">
        <f>IF($O289="","",INDEX(Master!$F$2:$F$1001,$O289))</f>
      </c>
      <c r="G289">
        <f>IF($O289="","",INDEX(Master!$G$2:$G$1001,$O289))</f>
      </c>
      <c r="H289">
        <f>IF($O289="","",INDEX(Master!$H$2:$H$1001,$O289))</f>
      </c>
      <c r="I289">
        <f>IF($O289="","",INDEX(Master!$I$2:$I$1001,$O289))</f>
      </c>
      <c r="J289">
        <f>IF($O289="","",INDEX(Master!$J$2:$J$1001,$O289))</f>
      </c>
      <c r="K289">
        <f t="shared" si="8"/>
      </c>
      <c r="L289">
        <f>IF($O289="","",INDEX(Master!$K$2:$K$1001,$O289))</f>
      </c>
      <c r="M289">
        <f>IF($O289="","",INDEX(Master!$L$2:$L$1001,$O289))</f>
      </c>
      <c r="O289">
        <f t="array" ref="O289">IFERROR(SMALL(IF(Master!$A$2:$A$1001="AKASH SALES",ROW(Master!$A$2:$A$1001)-ROW(Master!$A$2)+1),285),"")</f>
      </c>
      <c r="P289">
        <f t="shared" si="9"/>
      </c>
    </row>
    <row r="290" spans="1:16" x14ac:dyDescent="0.25">
      <c r="A290">
        <f>IF($O290="","",INDEX(Master!$D$2:$D$1001,$O290))</f>
      </c>
      <c r="B290" s="166">
        <f>IF($O290="","",INDEX(Master!$B$2:$B$1001,$O290))</f>
      </c>
      <c r="C290">
        <f>IF($O290="","",INDEX(Master!$C$2:$C$1001,$O290))</f>
      </c>
      <c r="D290">
        <f>IF($O290="","",INDEX(Master!$A$2:$A$1001,$O290))</f>
      </c>
      <c r="E290">
        <f>IF($O290="","",INDEX(Master!$E$2:$E$1001,$O290))</f>
      </c>
      <c r="F290">
        <f>IF($O290="","",INDEX(Master!$F$2:$F$1001,$O290))</f>
      </c>
      <c r="G290">
        <f>IF($O290="","",INDEX(Master!$G$2:$G$1001,$O290))</f>
      </c>
      <c r="H290">
        <f>IF($O290="","",INDEX(Master!$H$2:$H$1001,$O290))</f>
      </c>
      <c r="I290">
        <f>IF($O290="","",INDEX(Master!$I$2:$I$1001,$O290))</f>
      </c>
      <c r="J290">
        <f>IF($O290="","",INDEX(Master!$J$2:$J$1001,$O290))</f>
      </c>
      <c r="K290">
        <f t="shared" si="8"/>
      </c>
      <c r="L290">
        <f>IF($O290="","",INDEX(Master!$K$2:$K$1001,$O290))</f>
      </c>
      <c r="M290">
        <f>IF($O290="","",INDEX(Master!$L$2:$L$1001,$O290))</f>
      </c>
      <c r="O290">
        <f t="array" ref="O290">IFERROR(SMALL(IF(Master!$A$2:$A$1001="AKASH SALES",ROW(Master!$A$2:$A$1001)-ROW(Master!$A$2)+1),286),"")</f>
      </c>
      <c r="P290">
        <f t="shared" si="9"/>
      </c>
    </row>
    <row r="291" spans="1:16" x14ac:dyDescent="0.25">
      <c r="A291">
        <f>IF($O291="","",INDEX(Master!$D$2:$D$1001,$O291))</f>
      </c>
      <c r="B291" s="166">
        <f>IF($O291="","",INDEX(Master!$B$2:$B$1001,$O291))</f>
      </c>
      <c r="C291">
        <f>IF($O291="","",INDEX(Master!$C$2:$C$1001,$O291))</f>
      </c>
      <c r="D291">
        <f>IF($O291="","",INDEX(Master!$A$2:$A$1001,$O291))</f>
      </c>
      <c r="E291">
        <f>IF($O291="","",INDEX(Master!$E$2:$E$1001,$O291))</f>
      </c>
      <c r="F291">
        <f>IF($O291="","",INDEX(Master!$F$2:$F$1001,$O291))</f>
      </c>
      <c r="G291">
        <f>IF($O291="","",INDEX(Master!$G$2:$G$1001,$O291))</f>
      </c>
      <c r="H291">
        <f>IF($O291="","",INDEX(Master!$H$2:$H$1001,$O291))</f>
      </c>
      <c r="I291">
        <f>IF($O291="","",INDEX(Master!$I$2:$I$1001,$O291))</f>
      </c>
      <c r="J291">
        <f>IF($O291="","",INDEX(Master!$J$2:$J$1001,$O291))</f>
      </c>
      <c r="K291">
        <f t="shared" si="8"/>
      </c>
      <c r="L291">
        <f>IF($O291="","",INDEX(Master!$K$2:$K$1001,$O291))</f>
      </c>
      <c r="M291">
        <f>IF($O291="","",INDEX(Master!$L$2:$L$1001,$O291))</f>
      </c>
      <c r="O291">
        <f t="array" ref="O291">IFERROR(SMALL(IF(Master!$A$2:$A$1001="AKASH SALES",ROW(Master!$A$2:$A$1001)-ROW(Master!$A$2)+1),287),"")</f>
      </c>
      <c r="P291">
        <f t="shared" si="9"/>
      </c>
    </row>
    <row r="292" spans="1:16" x14ac:dyDescent="0.25">
      <c r="A292">
        <f>IF($O292="","",INDEX(Master!$D$2:$D$1001,$O292))</f>
      </c>
      <c r="B292" s="166">
        <f>IF($O292="","",INDEX(Master!$B$2:$B$1001,$O292))</f>
      </c>
      <c r="C292">
        <f>IF($O292="","",INDEX(Master!$C$2:$C$1001,$O292))</f>
      </c>
      <c r="D292">
        <f>IF($O292="","",INDEX(Master!$A$2:$A$1001,$O292))</f>
      </c>
      <c r="E292">
        <f>IF($O292="","",INDEX(Master!$E$2:$E$1001,$O292))</f>
      </c>
      <c r="F292">
        <f>IF($O292="","",INDEX(Master!$F$2:$F$1001,$O292))</f>
      </c>
      <c r="G292">
        <f>IF($O292="","",INDEX(Master!$G$2:$G$1001,$O292))</f>
      </c>
      <c r="H292">
        <f>IF($O292="","",INDEX(Master!$H$2:$H$1001,$O292))</f>
      </c>
      <c r="I292">
        <f>IF($O292="","",INDEX(Master!$I$2:$I$1001,$O292))</f>
      </c>
      <c r="J292">
        <f>IF($O292="","",INDEX(Master!$J$2:$J$1001,$O292))</f>
      </c>
      <c r="K292">
        <f t="shared" si="8"/>
      </c>
      <c r="L292">
        <f>IF($O292="","",INDEX(Master!$K$2:$K$1001,$O292))</f>
      </c>
      <c r="M292">
        <f>IF($O292="","",INDEX(Master!$L$2:$L$1001,$O292))</f>
      </c>
      <c r="O292">
        <f t="array" ref="O292">IFERROR(SMALL(IF(Master!$A$2:$A$1001="AKASH SALES",ROW(Master!$A$2:$A$1001)-ROW(Master!$A$2)+1),288),"")</f>
      </c>
      <c r="P292">
        <f t="shared" si="9"/>
      </c>
    </row>
    <row r="293" spans="1:16" x14ac:dyDescent="0.25">
      <c r="A293">
        <f>IF($O293="","",INDEX(Master!$D$2:$D$1001,$O293))</f>
      </c>
      <c r="B293" s="166">
        <f>IF($O293="","",INDEX(Master!$B$2:$B$1001,$O293))</f>
      </c>
      <c r="C293">
        <f>IF($O293="","",INDEX(Master!$C$2:$C$1001,$O293))</f>
      </c>
      <c r="D293">
        <f>IF($O293="","",INDEX(Master!$A$2:$A$1001,$O293))</f>
      </c>
      <c r="E293">
        <f>IF($O293="","",INDEX(Master!$E$2:$E$1001,$O293))</f>
      </c>
      <c r="F293">
        <f>IF($O293="","",INDEX(Master!$F$2:$F$1001,$O293))</f>
      </c>
      <c r="G293">
        <f>IF($O293="","",INDEX(Master!$G$2:$G$1001,$O293))</f>
      </c>
      <c r="H293">
        <f>IF($O293="","",INDEX(Master!$H$2:$H$1001,$O293))</f>
      </c>
      <c r="I293">
        <f>IF($O293="","",INDEX(Master!$I$2:$I$1001,$O293))</f>
      </c>
      <c r="J293">
        <f>IF($O293="","",INDEX(Master!$J$2:$J$1001,$O293))</f>
      </c>
      <c r="K293">
        <f t="shared" si="8"/>
      </c>
      <c r="L293">
        <f>IF($O293="","",INDEX(Master!$K$2:$K$1001,$O293))</f>
      </c>
      <c r="M293">
        <f>IF($O293="","",INDEX(Master!$L$2:$L$1001,$O293))</f>
      </c>
      <c r="O293">
        <f t="array" ref="O293">IFERROR(SMALL(IF(Master!$A$2:$A$1001="AKASH SALES",ROW(Master!$A$2:$A$1001)-ROW(Master!$A$2)+1),289),"")</f>
      </c>
      <c r="P293">
        <f t="shared" si="9"/>
      </c>
    </row>
    <row r="294" spans="1:16" x14ac:dyDescent="0.25">
      <c r="A294">
        <f>IF($O294="","",INDEX(Master!$D$2:$D$1001,$O294))</f>
      </c>
      <c r="B294" s="166">
        <f>IF($O294="","",INDEX(Master!$B$2:$B$1001,$O294))</f>
      </c>
      <c r="C294">
        <f>IF($O294="","",INDEX(Master!$C$2:$C$1001,$O294))</f>
      </c>
      <c r="D294">
        <f>IF($O294="","",INDEX(Master!$A$2:$A$1001,$O294))</f>
      </c>
      <c r="E294">
        <f>IF($O294="","",INDEX(Master!$E$2:$E$1001,$O294))</f>
      </c>
      <c r="F294">
        <f>IF($O294="","",INDEX(Master!$F$2:$F$1001,$O294))</f>
      </c>
      <c r="G294">
        <f>IF($O294="","",INDEX(Master!$G$2:$G$1001,$O294))</f>
      </c>
      <c r="H294">
        <f>IF($O294="","",INDEX(Master!$H$2:$H$1001,$O294))</f>
      </c>
      <c r="I294">
        <f>IF($O294="","",INDEX(Master!$I$2:$I$1001,$O294))</f>
      </c>
      <c r="J294">
        <f>IF($O294="","",INDEX(Master!$J$2:$J$1001,$O294))</f>
      </c>
      <c r="K294">
        <f t="shared" si="8"/>
      </c>
      <c r="L294">
        <f>IF($O294="","",INDEX(Master!$K$2:$K$1001,$O294))</f>
      </c>
      <c r="M294">
        <f>IF($O294="","",INDEX(Master!$L$2:$L$1001,$O294))</f>
      </c>
      <c r="O294">
        <f t="array" ref="O294">IFERROR(SMALL(IF(Master!$A$2:$A$1001="AKASH SALES",ROW(Master!$A$2:$A$1001)-ROW(Master!$A$2)+1),290),"")</f>
      </c>
      <c r="P294">
        <f t="shared" si="9"/>
      </c>
    </row>
    <row r="295" spans="1:16" x14ac:dyDescent="0.25">
      <c r="A295">
        <f>IF($O295="","",INDEX(Master!$D$2:$D$1001,$O295))</f>
      </c>
      <c r="B295" s="166">
        <f>IF($O295="","",INDEX(Master!$B$2:$B$1001,$O295))</f>
      </c>
      <c r="C295">
        <f>IF($O295="","",INDEX(Master!$C$2:$C$1001,$O295))</f>
      </c>
      <c r="D295">
        <f>IF($O295="","",INDEX(Master!$A$2:$A$1001,$O295))</f>
      </c>
      <c r="E295">
        <f>IF($O295="","",INDEX(Master!$E$2:$E$1001,$O295))</f>
      </c>
      <c r="F295">
        <f>IF($O295="","",INDEX(Master!$F$2:$F$1001,$O295))</f>
      </c>
      <c r="G295">
        <f>IF($O295="","",INDEX(Master!$G$2:$G$1001,$O295))</f>
      </c>
      <c r="H295">
        <f>IF($O295="","",INDEX(Master!$H$2:$H$1001,$O295))</f>
      </c>
      <c r="I295">
        <f>IF($O295="","",INDEX(Master!$I$2:$I$1001,$O295))</f>
      </c>
      <c r="J295">
        <f>IF($O295="","",INDEX(Master!$J$2:$J$1001,$O295))</f>
      </c>
      <c r="K295">
        <f t="shared" si="8"/>
      </c>
      <c r="L295">
        <f>IF($O295="","",INDEX(Master!$K$2:$K$1001,$O295))</f>
      </c>
      <c r="M295">
        <f>IF($O295="","",INDEX(Master!$L$2:$L$1001,$O295))</f>
      </c>
      <c r="O295">
        <f t="array" ref="O295">IFERROR(SMALL(IF(Master!$A$2:$A$1001="AKASH SALES",ROW(Master!$A$2:$A$1001)-ROW(Master!$A$2)+1),291),"")</f>
      </c>
      <c r="P295">
        <f t="shared" si="9"/>
      </c>
    </row>
    <row r="296" spans="1:16" x14ac:dyDescent="0.25">
      <c r="A296">
        <f>IF($O296="","",INDEX(Master!$D$2:$D$1001,$O296))</f>
      </c>
      <c r="B296" s="166">
        <f>IF($O296="","",INDEX(Master!$B$2:$B$1001,$O296))</f>
      </c>
      <c r="C296">
        <f>IF($O296="","",INDEX(Master!$C$2:$C$1001,$O296))</f>
      </c>
      <c r="D296">
        <f>IF($O296="","",INDEX(Master!$A$2:$A$1001,$O296))</f>
      </c>
      <c r="E296">
        <f>IF($O296="","",INDEX(Master!$E$2:$E$1001,$O296))</f>
      </c>
      <c r="F296">
        <f>IF($O296="","",INDEX(Master!$F$2:$F$1001,$O296))</f>
      </c>
      <c r="G296">
        <f>IF($O296="","",INDEX(Master!$G$2:$G$1001,$O296))</f>
      </c>
      <c r="H296">
        <f>IF($O296="","",INDEX(Master!$H$2:$H$1001,$O296))</f>
      </c>
      <c r="I296">
        <f>IF($O296="","",INDEX(Master!$I$2:$I$1001,$O296))</f>
      </c>
      <c r="J296">
        <f>IF($O296="","",INDEX(Master!$J$2:$J$1001,$O296))</f>
      </c>
      <c r="K296">
        <f t="shared" si="8"/>
      </c>
      <c r="L296">
        <f>IF($O296="","",INDEX(Master!$K$2:$K$1001,$O296))</f>
      </c>
      <c r="M296">
        <f>IF($O296="","",INDEX(Master!$L$2:$L$1001,$O296))</f>
      </c>
      <c r="O296">
        <f t="array" ref="O296">IFERROR(SMALL(IF(Master!$A$2:$A$1001="AKASH SALES",ROW(Master!$A$2:$A$1001)-ROW(Master!$A$2)+1),292),"")</f>
      </c>
      <c r="P296">
        <f t="shared" si="9"/>
      </c>
    </row>
    <row r="297" spans="1:16" x14ac:dyDescent="0.25">
      <c r="A297">
        <f>IF($O297="","",INDEX(Master!$D$2:$D$1001,$O297))</f>
      </c>
      <c r="B297" s="166">
        <f>IF($O297="","",INDEX(Master!$B$2:$B$1001,$O297))</f>
      </c>
      <c r="C297">
        <f>IF($O297="","",INDEX(Master!$C$2:$C$1001,$O297))</f>
      </c>
      <c r="D297">
        <f>IF($O297="","",INDEX(Master!$A$2:$A$1001,$O297))</f>
      </c>
      <c r="E297">
        <f>IF($O297="","",INDEX(Master!$E$2:$E$1001,$O297))</f>
      </c>
      <c r="F297">
        <f>IF($O297="","",INDEX(Master!$F$2:$F$1001,$O297))</f>
      </c>
      <c r="G297">
        <f>IF($O297="","",INDEX(Master!$G$2:$G$1001,$O297))</f>
      </c>
      <c r="H297">
        <f>IF($O297="","",INDEX(Master!$H$2:$H$1001,$O297))</f>
      </c>
      <c r="I297">
        <f>IF($O297="","",INDEX(Master!$I$2:$I$1001,$O297))</f>
      </c>
      <c r="J297">
        <f>IF($O297="","",INDEX(Master!$J$2:$J$1001,$O297))</f>
      </c>
      <c r="K297">
        <f t="shared" si="8"/>
      </c>
      <c r="L297">
        <f>IF($O297="","",INDEX(Master!$K$2:$K$1001,$O297))</f>
      </c>
      <c r="M297">
        <f>IF($O297="","",INDEX(Master!$L$2:$L$1001,$O297))</f>
      </c>
      <c r="O297">
        <f t="array" ref="O297">IFERROR(SMALL(IF(Master!$A$2:$A$1001="AKASH SALES",ROW(Master!$A$2:$A$1001)-ROW(Master!$A$2)+1),293),"")</f>
      </c>
      <c r="P297">
        <f t="shared" si="9"/>
      </c>
    </row>
    <row r="298" spans="1:16" x14ac:dyDescent="0.25">
      <c r="A298">
        <f>IF($O298="","",INDEX(Master!$D$2:$D$1001,$O298))</f>
      </c>
      <c r="B298" s="166">
        <f>IF($O298="","",INDEX(Master!$B$2:$B$1001,$O298))</f>
      </c>
      <c r="C298">
        <f>IF($O298="","",INDEX(Master!$C$2:$C$1001,$O298))</f>
      </c>
      <c r="D298">
        <f>IF($O298="","",INDEX(Master!$A$2:$A$1001,$O298))</f>
      </c>
      <c r="E298">
        <f>IF($O298="","",INDEX(Master!$E$2:$E$1001,$O298))</f>
      </c>
      <c r="F298">
        <f>IF($O298="","",INDEX(Master!$F$2:$F$1001,$O298))</f>
      </c>
      <c r="G298">
        <f>IF($O298="","",INDEX(Master!$G$2:$G$1001,$O298))</f>
      </c>
      <c r="H298">
        <f>IF($O298="","",INDEX(Master!$H$2:$H$1001,$O298))</f>
      </c>
      <c r="I298">
        <f>IF($O298="","",INDEX(Master!$I$2:$I$1001,$O298))</f>
      </c>
      <c r="J298">
        <f>IF($O298="","",INDEX(Master!$J$2:$J$1001,$O298))</f>
      </c>
      <c r="K298">
        <f t="shared" si="8"/>
      </c>
      <c r="L298">
        <f>IF($O298="","",INDEX(Master!$K$2:$K$1001,$O298))</f>
      </c>
      <c r="M298">
        <f>IF($O298="","",INDEX(Master!$L$2:$L$1001,$O298))</f>
      </c>
      <c r="O298">
        <f t="array" ref="O298">IFERROR(SMALL(IF(Master!$A$2:$A$1001="AKASH SALES",ROW(Master!$A$2:$A$1001)-ROW(Master!$A$2)+1),294),"")</f>
      </c>
      <c r="P298">
        <f t="shared" si="9"/>
      </c>
    </row>
    <row r="299" spans="1:16" x14ac:dyDescent="0.25">
      <c r="A299">
        <f>IF($O299="","",INDEX(Master!$D$2:$D$1001,$O299))</f>
      </c>
      <c r="B299" s="166">
        <f>IF($O299="","",INDEX(Master!$B$2:$B$1001,$O299))</f>
      </c>
      <c r="C299">
        <f>IF($O299="","",INDEX(Master!$C$2:$C$1001,$O299))</f>
      </c>
      <c r="D299">
        <f>IF($O299="","",INDEX(Master!$A$2:$A$1001,$O299))</f>
      </c>
      <c r="E299">
        <f>IF($O299="","",INDEX(Master!$E$2:$E$1001,$O299))</f>
      </c>
      <c r="F299">
        <f>IF($O299="","",INDEX(Master!$F$2:$F$1001,$O299))</f>
      </c>
      <c r="G299">
        <f>IF($O299="","",INDEX(Master!$G$2:$G$1001,$O299))</f>
      </c>
      <c r="H299">
        <f>IF($O299="","",INDEX(Master!$H$2:$H$1001,$O299))</f>
      </c>
      <c r="I299">
        <f>IF($O299="","",INDEX(Master!$I$2:$I$1001,$O299))</f>
      </c>
      <c r="J299">
        <f>IF($O299="","",INDEX(Master!$J$2:$J$1001,$O299))</f>
      </c>
      <c r="K299">
        <f t="shared" si="8"/>
      </c>
      <c r="L299">
        <f>IF($O299="","",INDEX(Master!$K$2:$K$1001,$O299))</f>
      </c>
      <c r="M299">
        <f>IF($O299="","",INDEX(Master!$L$2:$L$1001,$O299))</f>
      </c>
      <c r="O299">
        <f t="array" ref="O299">IFERROR(SMALL(IF(Master!$A$2:$A$1001="AKASH SALES",ROW(Master!$A$2:$A$1001)-ROW(Master!$A$2)+1),295),"")</f>
      </c>
      <c r="P299">
        <f t="shared" si="9"/>
      </c>
    </row>
    <row r="300" spans="1:16" x14ac:dyDescent="0.25">
      <c r="A300">
        <f>IF($O300="","",INDEX(Master!$D$2:$D$1001,$O300))</f>
      </c>
      <c r="B300" s="166">
        <f>IF($O300="","",INDEX(Master!$B$2:$B$1001,$O300))</f>
      </c>
      <c r="C300">
        <f>IF($O300="","",INDEX(Master!$C$2:$C$1001,$O300))</f>
      </c>
      <c r="D300">
        <f>IF($O300="","",INDEX(Master!$A$2:$A$1001,$O300))</f>
      </c>
      <c r="E300">
        <f>IF($O300="","",INDEX(Master!$E$2:$E$1001,$O300))</f>
      </c>
      <c r="F300">
        <f>IF($O300="","",INDEX(Master!$F$2:$F$1001,$O300))</f>
      </c>
      <c r="G300">
        <f>IF($O300="","",INDEX(Master!$G$2:$G$1001,$O300))</f>
      </c>
      <c r="H300">
        <f>IF($O300="","",INDEX(Master!$H$2:$H$1001,$O300))</f>
      </c>
      <c r="I300">
        <f>IF($O300="","",INDEX(Master!$I$2:$I$1001,$O300))</f>
      </c>
      <c r="J300">
        <f>IF($O300="","",INDEX(Master!$J$2:$J$1001,$O300))</f>
      </c>
      <c r="K300">
        <f t="shared" si="8"/>
      </c>
      <c r="L300">
        <f>IF($O300="","",INDEX(Master!$K$2:$K$1001,$O300))</f>
      </c>
      <c r="M300">
        <f>IF($O300="","",INDEX(Master!$L$2:$L$1001,$O300))</f>
      </c>
      <c r="O300">
        <f t="array" ref="O300">IFERROR(SMALL(IF(Master!$A$2:$A$1001="AKASH SALES",ROW(Master!$A$2:$A$1001)-ROW(Master!$A$2)+1),296),"")</f>
      </c>
      <c r="P300">
        <f t="shared" si="9"/>
      </c>
    </row>
    <row r="301" spans="1:16" x14ac:dyDescent="0.25">
      <c r="A301">
        <f>IF($O301="","",INDEX(Master!$D$2:$D$1001,$O301))</f>
      </c>
      <c r="B301" s="166">
        <f>IF($O301="","",INDEX(Master!$B$2:$B$1001,$O301))</f>
      </c>
      <c r="C301">
        <f>IF($O301="","",INDEX(Master!$C$2:$C$1001,$O301))</f>
      </c>
      <c r="D301">
        <f>IF($O301="","",INDEX(Master!$A$2:$A$1001,$O301))</f>
      </c>
      <c r="E301">
        <f>IF($O301="","",INDEX(Master!$E$2:$E$1001,$O301))</f>
      </c>
      <c r="F301">
        <f>IF($O301="","",INDEX(Master!$F$2:$F$1001,$O301))</f>
      </c>
      <c r="G301">
        <f>IF($O301="","",INDEX(Master!$G$2:$G$1001,$O301))</f>
      </c>
      <c r="H301">
        <f>IF($O301="","",INDEX(Master!$H$2:$H$1001,$O301))</f>
      </c>
      <c r="I301">
        <f>IF($O301="","",INDEX(Master!$I$2:$I$1001,$O301))</f>
      </c>
      <c r="J301">
        <f>IF($O301="","",INDEX(Master!$J$2:$J$1001,$O301))</f>
      </c>
      <c r="K301">
        <f t="shared" si="8"/>
      </c>
      <c r="L301">
        <f>IF($O301="","",INDEX(Master!$K$2:$K$1001,$O301))</f>
      </c>
      <c r="M301">
        <f>IF($O301="","",INDEX(Master!$L$2:$L$1001,$O301))</f>
      </c>
      <c r="O301">
        <f t="array" ref="O301">IFERROR(SMALL(IF(Master!$A$2:$A$1001="AKASH SALES",ROW(Master!$A$2:$A$1001)-ROW(Master!$A$2)+1),297),"")</f>
      </c>
      <c r="P301">
        <f t="shared" si="9"/>
      </c>
    </row>
    <row r="302" spans="1:16" x14ac:dyDescent="0.25">
      <c r="A302">
        <f>IF($O302="","",INDEX(Master!$D$2:$D$1001,$O302))</f>
      </c>
      <c r="B302" s="166">
        <f>IF($O302="","",INDEX(Master!$B$2:$B$1001,$O302))</f>
      </c>
      <c r="C302">
        <f>IF($O302="","",INDEX(Master!$C$2:$C$1001,$O302))</f>
      </c>
      <c r="D302">
        <f>IF($O302="","",INDEX(Master!$A$2:$A$1001,$O302))</f>
      </c>
      <c r="E302">
        <f>IF($O302="","",INDEX(Master!$E$2:$E$1001,$O302))</f>
      </c>
      <c r="F302">
        <f>IF($O302="","",INDEX(Master!$F$2:$F$1001,$O302))</f>
      </c>
      <c r="G302">
        <f>IF($O302="","",INDEX(Master!$G$2:$G$1001,$O302))</f>
      </c>
      <c r="H302">
        <f>IF($O302="","",INDEX(Master!$H$2:$H$1001,$O302))</f>
      </c>
      <c r="I302">
        <f>IF($O302="","",INDEX(Master!$I$2:$I$1001,$O302))</f>
      </c>
      <c r="J302">
        <f>IF($O302="","",INDEX(Master!$J$2:$J$1001,$O302))</f>
      </c>
      <c r="K302">
        <f t="shared" si="8"/>
      </c>
      <c r="L302">
        <f>IF($O302="","",INDEX(Master!$K$2:$K$1001,$O302))</f>
      </c>
      <c r="M302">
        <f>IF($O302="","",INDEX(Master!$L$2:$L$1001,$O302))</f>
      </c>
      <c r="O302">
        <f t="array" ref="O302">IFERROR(SMALL(IF(Master!$A$2:$A$1001="AKASH SALES",ROW(Master!$A$2:$A$1001)-ROW(Master!$A$2)+1),298),"")</f>
      </c>
      <c r="P302">
        <f t="shared" si="9"/>
      </c>
    </row>
    <row r="303" spans="1:16" x14ac:dyDescent="0.25">
      <c r="A303">
        <f>IF($O303="","",INDEX(Master!$D$2:$D$1001,$O303))</f>
      </c>
      <c r="B303" s="166">
        <f>IF($O303="","",INDEX(Master!$B$2:$B$1001,$O303))</f>
      </c>
      <c r="C303">
        <f>IF($O303="","",INDEX(Master!$C$2:$C$1001,$O303))</f>
      </c>
      <c r="D303">
        <f>IF($O303="","",INDEX(Master!$A$2:$A$1001,$O303))</f>
      </c>
      <c r="E303">
        <f>IF($O303="","",INDEX(Master!$E$2:$E$1001,$O303))</f>
      </c>
      <c r="F303">
        <f>IF($O303="","",INDEX(Master!$F$2:$F$1001,$O303))</f>
      </c>
      <c r="G303">
        <f>IF($O303="","",INDEX(Master!$G$2:$G$1001,$O303))</f>
      </c>
      <c r="H303">
        <f>IF($O303="","",INDEX(Master!$H$2:$H$1001,$O303))</f>
      </c>
      <c r="I303">
        <f>IF($O303="","",INDEX(Master!$I$2:$I$1001,$O303))</f>
      </c>
      <c r="J303">
        <f>IF($O303="","",INDEX(Master!$J$2:$J$1001,$O303))</f>
      </c>
      <c r="K303">
        <f t="shared" si="8"/>
      </c>
      <c r="L303">
        <f>IF($O303="","",INDEX(Master!$K$2:$K$1001,$O303))</f>
      </c>
      <c r="M303">
        <f>IF($O303="","",INDEX(Master!$L$2:$L$1001,$O303))</f>
      </c>
      <c r="O303">
        <f t="array" ref="O303">IFERROR(SMALL(IF(Master!$A$2:$A$1001="AKASH SALES",ROW(Master!$A$2:$A$1001)-ROW(Master!$A$2)+1),299),"")</f>
      </c>
      <c r="P303">
        <f t="shared" si="9"/>
      </c>
    </row>
    <row r="304" spans="1:16" x14ac:dyDescent="0.25">
      <c r="A304">
        <f>IF($O304="","",INDEX(Master!$D$2:$D$1001,$O304))</f>
      </c>
      <c r="B304" s="166">
        <f>IF($O304="","",INDEX(Master!$B$2:$B$1001,$O304))</f>
      </c>
      <c r="C304">
        <f>IF($O304="","",INDEX(Master!$C$2:$C$1001,$O304))</f>
      </c>
      <c r="D304">
        <f>IF($O304="","",INDEX(Master!$A$2:$A$1001,$O304))</f>
      </c>
      <c r="E304">
        <f>IF($O304="","",INDEX(Master!$E$2:$E$1001,$O304))</f>
      </c>
      <c r="F304">
        <f>IF($O304="","",INDEX(Master!$F$2:$F$1001,$O304))</f>
      </c>
      <c r="G304">
        <f>IF($O304="","",INDEX(Master!$G$2:$G$1001,$O304))</f>
      </c>
      <c r="H304">
        <f>IF($O304="","",INDEX(Master!$H$2:$H$1001,$O304))</f>
      </c>
      <c r="I304">
        <f>IF($O304="","",INDEX(Master!$I$2:$I$1001,$O304))</f>
      </c>
      <c r="J304">
        <f>IF($O304="","",INDEX(Master!$J$2:$J$1001,$O304))</f>
      </c>
      <c r="K304">
        <f t="shared" si="8"/>
      </c>
      <c r="L304">
        <f>IF($O304="","",INDEX(Master!$K$2:$K$1001,$O304))</f>
      </c>
      <c r="M304">
        <f>IF($O304="","",INDEX(Master!$L$2:$L$1001,$O304))</f>
      </c>
      <c r="O304">
        <f t="array" ref="O304">IFERROR(SMALL(IF(Master!$A$2:$A$1001="AKASH SALES",ROW(Master!$A$2:$A$1001)-ROW(Master!$A$2)+1),300),"")</f>
      </c>
      <c r="P304">
        <f t="shared" si="9"/>
      </c>
    </row>
  </sheetData>
  <autoFilter ref="A4:N304" xr:uid="{00000000-0009-0000-0000-000008000000}"/>
  <mergeCells count="10">
    <mergeCell ref="A1:N1"/>
    <mergeCell ref="E2:J2"/>
    <mergeCell ref="A2:A4"/>
    <mergeCell ref="C2:C4"/>
    <mergeCell ref="K2:K4"/>
    <mergeCell ref="N2:N4"/>
    <mergeCell ref="L2:L4"/>
    <mergeCell ref="M2:M4"/>
    <mergeCell ref="B2:B4"/>
    <mergeCell ref="D2:D4"/>
  </mergeCells>
  <conditionalFormatting sqref="A5:N304">
    <cfRule type="expression" dxfId="16" priority="1">
      <formula>$N5="HOLD"</formula>
    </cfRule>
  </conditionalFormatting>
  <conditionalFormatting sqref="E5:E304">
    <cfRule type="expression" dxfId="15" priority="2">
      <formula>AND($E5&lt;&gt;"",OR($E5&gt;0.18))</formula>
    </cfRule>
  </conditionalFormatting>
  <conditionalFormatting sqref="F5:F304">
    <cfRule type="expression" dxfId="14" priority="3">
      <formula>AND($F5&lt;&gt;"",OR(($F5+$G5)&gt;0.15))</formula>
    </cfRule>
  </conditionalFormatting>
  <conditionalFormatting sqref="G5:G304">
    <cfRule type="expression" dxfId="13" priority="4">
      <formula>AND($G5&lt;&gt;"",OR(($F5+$G5)&gt;0.15))</formula>
    </cfRule>
  </conditionalFormatting>
  <conditionalFormatting sqref="H5:H304">
    <cfRule type="expression" dxfId="12" priority="5">
      <formula>AND($H5&lt;&gt;"",$H5&lt;0.45)</formula>
    </cfRule>
  </conditionalFormatting>
  <conditionalFormatting sqref="J5:J304">
    <cfRule type="expression" dxfId="11" priority="6">
      <formula>AND($J5&lt;&gt;"",OR($J5&lt;0.1))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P304"/>
  <sheetViews>
    <sheetView tabSelected="1" workbookViewId="0">
      <pane ySplit="4" topLeftCell="A62" activePane="bottomLeft" state="frozen"/>
      <selection pane="bottomLeft" activeCell="Q71" sqref="Q71"/>
    </sheetView>
  </sheetViews>
  <sheetFormatPr defaultRowHeight="15" x14ac:dyDescent="0.25"/>
  <cols>
    <col min="1" max="1" width="12.140625" bestFit="1" customWidth="1"/>
    <col min="2" max="2" width="9.7109375" style="166" bestFit="1" customWidth="1"/>
    <col min="3" max="3" width="15.28515625" bestFit="1" customWidth="1"/>
    <col min="4" max="4" width="8.85546875" bestFit="1" customWidth="1"/>
    <col min="5" max="8" width="8" bestFit="1" customWidth="1"/>
    <col min="9" max="9" width="9.5703125" bestFit="1" customWidth="1"/>
    <col min="10" max="10" width="8" bestFit="1" customWidth="1"/>
    <col min="11" max="11" width="12" bestFit="1" customWidth="1"/>
    <col min="12" max="12" width="12.5703125" bestFit="1" customWidth="1"/>
    <col min="13" max="13" width="12.28515625" bestFit="1" customWidth="1"/>
    <col min="14" max="14" width="5.85546875" bestFit="1" customWidth="1"/>
    <col min="15" max="15" width="4" hidden="1" customWidth="1"/>
    <col min="16" max="16" width="13" hidden="1" customWidth="1"/>
  </cols>
  <sheetData>
    <row r="1" spans="1:16" ht="21.95" customHeight="1" x14ac:dyDescent="0.25">
      <c r="A1" s="289" t="s">
        <v>55</v>
      </c>
      <c r="B1" s="44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</row>
    <row r="2" spans="1:16" x14ac:dyDescent="0.25">
      <c r="A2" s="434" t="s">
        <v>29</v>
      </c>
      <c r="B2" s="439" t="s">
        <v>30</v>
      </c>
      <c r="C2" s="434" t="s">
        <v>39</v>
      </c>
      <c r="D2" s="434" t="s">
        <v>1</v>
      </c>
      <c r="E2" s="434" t="s">
        <v>40</v>
      </c>
      <c r="F2" s="435"/>
      <c r="G2" s="435"/>
      <c r="H2" s="435"/>
      <c r="I2" s="435"/>
      <c r="J2" s="436"/>
      <c r="K2" s="434" t="s">
        <v>41</v>
      </c>
      <c r="L2" s="434" t="s">
        <v>42</v>
      </c>
      <c r="M2" s="434" t="s">
        <v>43</v>
      </c>
      <c r="N2" s="434" t="s">
        <v>44</v>
      </c>
      <c r="P2" t="s">
        <v>45</v>
      </c>
    </row>
    <row r="3" spans="1:16" x14ac:dyDescent="0.25">
      <c r="A3" s="437"/>
      <c r="B3" s="437"/>
      <c r="C3" s="437"/>
      <c r="D3" s="437"/>
      <c r="E3" s="231" t="s">
        <v>32</v>
      </c>
      <c r="F3" s="231" t="s">
        <v>33</v>
      </c>
      <c r="G3" s="231" t="s">
        <v>34</v>
      </c>
      <c r="H3" s="231" t="s">
        <v>35</v>
      </c>
      <c r="I3" s="231" t="s">
        <v>36</v>
      </c>
      <c r="J3" s="231" t="s">
        <v>37</v>
      </c>
      <c r="K3" s="437"/>
      <c r="L3" s="437"/>
      <c r="M3" s="437"/>
      <c r="N3" s="437"/>
    </row>
    <row r="4" spans="1:16" x14ac:dyDescent="0.25">
      <c r="A4" s="438"/>
      <c r="B4" s="438"/>
      <c r="C4" s="438"/>
      <c r="D4" s="438"/>
      <c r="E4" s="233" t="s">
        <v>46</v>
      </c>
      <c r="F4" s="233" t="s">
        <v>46</v>
      </c>
      <c r="G4" s="233" t="s">
        <v>46</v>
      </c>
      <c r="H4" s="233" t="s">
        <v>46</v>
      </c>
      <c r="I4" s="233" t="s">
        <v>47</v>
      </c>
      <c r="J4" s="233" t="s">
        <v>46</v>
      </c>
      <c r="K4" s="438"/>
      <c r="L4" s="438"/>
      <c r="M4" s="438"/>
      <c r="N4" s="438"/>
    </row>
    <row r="5" spans="1:16" x14ac:dyDescent="0.25">
      <c r="A5" s="164">
        <f>IF($O5="","",INDEX(Master!$D$2:$D$1001,$O5))</f>
      </c>
      <c r="B5" s="165">
        <f>IF($O5="","",INDEX(Master!$B$2:$B$1001,$O5))</f>
      </c>
      <c r="C5" s="164">
        <f>IF($O5="","",INDEX(Master!$C$2:$C$1001,$O5))</f>
      </c>
      <c r="D5" s="164">
        <f>IF($O5="","",INDEX(Master!$A$2:$A$1001,$O5))</f>
      </c>
      <c r="E5" s="164">
        <f>IF($O5="","",INDEX(Master!$E$2:$E$1001,$O5))</f>
      </c>
      <c r="F5" s="164">
        <f>IF($O5="","",INDEX(Master!$F$2:$F$1001,$O5))</f>
      </c>
      <c r="G5" s="164">
        <f>IF($O5="","",INDEX(Master!$G$2:$G$1001,$O5))</f>
      </c>
      <c r="H5" s="164">
        <f>IF($O5="","",INDEX(Master!$H$2:$H$1001,$O5))</f>
      </c>
      <c r="I5" s="164">
        <f>IF($O5="","",INDEX(Master!$I$2:$I$1001,$O5))</f>
      </c>
      <c r="J5" s="164">
        <f>IF($O5="","",INDEX(Master!$J$2:$J$1001,$O5))</f>
      </c>
      <c r="K5" s="248">
        <f t="shared" ref="K5:K68" si="0">IF(OR($O5="",$F5="",$F5=0),"",$H5/$F5)</f>
      </c>
      <c r="L5" s="164">
        <f>IF($O5="","",INDEX(Master!$K$2:$K$1001,$O5))</f>
      </c>
      <c r="M5" s="164">
        <f>IF($O5="","",INDEX(Master!$L$2:$L$1001,$O5))</f>
      </c>
      <c r="N5" s="164" t="s">
        <v>52</v>
      </c>
      <c r="O5">
        <f t="array" ref="O5">IFERROR(SMALL(IF(Master!$A$2:$A$1001="AR ISPAT",ROW(Master!$A$2:$A$1001)-ROW(Master!$A$2)+1),1),"")</f>
      </c>
      <c r="P5">
        <f t="shared" ref="P5:P68" si="1">IF($A5="",0,IF(OR(AND($E5&lt;&gt;"",OR($E5&gt;0.18)),AND($F5&lt;&gt;"",OR(($F5+$G5)&gt;0.15)),AND($G5&lt;&gt;"",OR(($F5+$G5)&gt;0.15)),AND($H5&lt;&gt;"",$H5&lt;0.45),AND($J5&lt;&gt;"",OR($J5&lt;0.1))),1,0))</f>
      </c>
    </row>
    <row r="6" spans="1:16" x14ac:dyDescent="0.25">
      <c r="A6" s="164">
        <f>IF($O6="","",INDEX(Master!$D$2:$D$1001,$O6))</f>
      </c>
      <c r="B6" s="165">
        <f>IF($O6="","",INDEX(Master!$B$2:$B$1001,$O6))</f>
      </c>
      <c r="C6" s="164">
        <f>IF($O6="","",INDEX(Master!$C$2:$C$1001,$O6))</f>
      </c>
      <c r="D6" s="164">
        <f>IF($O6="","",INDEX(Master!$A$2:$A$1001,$O6))</f>
      </c>
      <c r="E6" s="164">
        <f>IF($O6="","",INDEX(Master!$E$2:$E$1001,$O6))</f>
      </c>
      <c r="F6" s="164">
        <f>IF($O6="","",INDEX(Master!$F$2:$F$1001,$O6))</f>
      </c>
      <c r="G6" s="164">
        <f>IF($O6="","",INDEX(Master!$G$2:$G$1001,$O6))</f>
      </c>
      <c r="H6" s="164">
        <f>IF($O6="","",INDEX(Master!$H$2:$H$1001,$O6))</f>
      </c>
      <c r="I6" s="164">
        <f>IF($O6="","",INDEX(Master!$I$2:$I$1001,$O6))</f>
      </c>
      <c r="J6" s="164">
        <f>IF($O6="","",INDEX(Master!$J$2:$J$1001,$O6))</f>
      </c>
      <c r="K6" s="248">
        <f t="shared" si="0"/>
      </c>
      <c r="L6" s="164">
        <f>IF($O6="","",INDEX(Master!$K$2:$K$1001,$O6))</f>
      </c>
      <c r="M6" s="164">
        <f>IF($O6="","",INDEX(Master!$L$2:$L$1001,$O6))</f>
      </c>
      <c r="N6" s="164" t="s">
        <v>52</v>
      </c>
      <c r="O6">
        <f t="array" ref="O6">IFERROR(SMALL(IF(Master!$A$2:$A$1001="AR ISPAT",ROW(Master!$A$2:$A$1001)-ROW(Master!$A$2)+1),2),"")</f>
      </c>
      <c r="P6">
        <f t="shared" si="1"/>
      </c>
    </row>
    <row r="7" spans="1:16" x14ac:dyDescent="0.25">
      <c r="A7" s="164">
        <f>IF($O7="","",INDEX(Master!$D$2:$D$1001,$O7))</f>
      </c>
      <c r="B7" s="165">
        <f>IF($O7="","",INDEX(Master!$B$2:$B$1001,$O7))</f>
      </c>
      <c r="C7" s="164">
        <f>IF($O7="","",INDEX(Master!$C$2:$C$1001,$O7))</f>
      </c>
      <c r="D7" s="164">
        <f>IF($O7="","",INDEX(Master!$A$2:$A$1001,$O7))</f>
      </c>
      <c r="E7" s="164">
        <f>IF($O7="","",INDEX(Master!$E$2:$E$1001,$O7))</f>
      </c>
      <c r="F7" s="164">
        <f>IF($O7="","",INDEX(Master!$F$2:$F$1001,$O7))</f>
      </c>
      <c r="G7" s="164">
        <f>IF($O7="","",INDEX(Master!$G$2:$G$1001,$O7))</f>
      </c>
      <c r="H7" s="164">
        <f>IF($O7="","",INDEX(Master!$H$2:$H$1001,$O7))</f>
      </c>
      <c r="I7" s="164">
        <f>IF($O7="","",INDEX(Master!$I$2:$I$1001,$O7))</f>
      </c>
      <c r="J7" s="164">
        <f>IF($O7="","",INDEX(Master!$J$2:$J$1001,$O7))</f>
      </c>
      <c r="K7" s="248">
        <f t="shared" si="0"/>
      </c>
      <c r="L7" s="164">
        <f>IF($O7="","",INDEX(Master!$K$2:$K$1001,$O7))</f>
      </c>
      <c r="M7" s="164">
        <f>IF($O7="","",INDEX(Master!$L$2:$L$1001,$O7))</f>
      </c>
      <c r="N7" s="164" t="s">
        <v>52</v>
      </c>
      <c r="O7">
        <f t="array" ref="O7">IFERROR(SMALL(IF(Master!$A$2:$A$1001="AR ISPAT",ROW(Master!$A$2:$A$1001)-ROW(Master!$A$2)+1),3),"")</f>
      </c>
      <c r="P7">
        <f t="shared" si="1"/>
      </c>
    </row>
    <row r="8" spans="1:16" x14ac:dyDescent="0.25">
      <c r="A8" s="164">
        <f>IF($O8="","",INDEX(Master!$D$2:$D$1001,$O8))</f>
      </c>
      <c r="B8" s="165">
        <f>IF($O8="","",INDEX(Master!$B$2:$B$1001,$O8))</f>
      </c>
      <c r="C8" s="164">
        <f>IF($O8="","",INDEX(Master!$C$2:$C$1001,$O8))</f>
      </c>
      <c r="D8" s="164">
        <f>IF($O8="","",INDEX(Master!$A$2:$A$1001,$O8))</f>
      </c>
      <c r="E8" s="164">
        <f>IF($O8="","",INDEX(Master!$E$2:$E$1001,$O8))</f>
      </c>
      <c r="F8" s="164">
        <f>IF($O8="","",INDEX(Master!$F$2:$F$1001,$O8))</f>
      </c>
      <c r="G8" s="164">
        <f>IF($O8="","",INDEX(Master!$G$2:$G$1001,$O8))</f>
      </c>
      <c r="H8" s="164">
        <f>IF($O8="","",INDEX(Master!$H$2:$H$1001,$O8))</f>
      </c>
      <c r="I8" s="164">
        <f>IF($O8="","",INDEX(Master!$I$2:$I$1001,$O8))</f>
      </c>
      <c r="J8" s="164">
        <f>IF($O8="","",INDEX(Master!$J$2:$J$1001,$O8))</f>
      </c>
      <c r="K8" s="248">
        <f t="shared" si="0"/>
      </c>
      <c r="L8" s="164">
        <f>IF($O8="","",INDEX(Master!$K$2:$K$1001,$O8))</f>
      </c>
      <c r="M8" s="164">
        <f>IF($O8="","",INDEX(Master!$L$2:$L$1001,$O8))</f>
      </c>
      <c r="N8" s="164" t="s">
        <v>52</v>
      </c>
      <c r="O8">
        <f t="array" ref="O8">IFERROR(SMALL(IF(Master!$A$2:$A$1001="AR ISPAT",ROW(Master!$A$2:$A$1001)-ROW(Master!$A$2)+1),4),"")</f>
      </c>
      <c r="P8">
        <f t="shared" si="1"/>
      </c>
    </row>
    <row r="9" spans="1:16" x14ac:dyDescent="0.25">
      <c r="A9" s="164">
        <f>IF($O9="","",INDEX(Master!$D$2:$D$1001,$O9))</f>
      </c>
      <c r="B9" s="165">
        <f>IF($O9="","",INDEX(Master!$B$2:$B$1001,$O9))</f>
      </c>
      <c r="C9" s="164">
        <f>IF($O9="","",INDEX(Master!$C$2:$C$1001,$O9))</f>
      </c>
      <c r="D9" s="164">
        <f>IF($O9="","",INDEX(Master!$A$2:$A$1001,$O9))</f>
      </c>
      <c r="E9" s="164">
        <f>IF($O9="","",INDEX(Master!$E$2:$E$1001,$O9))</f>
      </c>
      <c r="F9" s="164">
        <f>IF($O9="","",INDEX(Master!$F$2:$F$1001,$O9))</f>
      </c>
      <c r="G9" s="164">
        <f>IF($O9="","",INDEX(Master!$G$2:$G$1001,$O9))</f>
      </c>
      <c r="H9" s="164">
        <f>IF($O9="","",INDEX(Master!$H$2:$H$1001,$O9))</f>
      </c>
      <c r="I9" s="164">
        <f>IF($O9="","",INDEX(Master!$I$2:$I$1001,$O9))</f>
      </c>
      <c r="J9" s="164">
        <f>IF($O9="","",INDEX(Master!$J$2:$J$1001,$O9))</f>
      </c>
      <c r="K9" s="248">
        <f t="shared" si="0"/>
      </c>
      <c r="L9" s="164">
        <f>IF($O9="","",INDEX(Master!$K$2:$K$1001,$O9))</f>
      </c>
      <c r="M9" s="164">
        <f>IF($O9="","",INDEX(Master!$L$2:$L$1001,$O9))</f>
      </c>
      <c r="N9" s="164" t="s">
        <v>52</v>
      </c>
      <c r="O9">
        <f t="array" ref="O9">IFERROR(SMALL(IF(Master!$A$2:$A$1001="AR ISPAT",ROW(Master!$A$2:$A$1001)-ROW(Master!$A$2)+1),5),"")</f>
      </c>
      <c r="P9">
        <f t="shared" si="1"/>
      </c>
    </row>
    <row r="10" spans="1:16" x14ac:dyDescent="0.25">
      <c r="A10" s="164">
        <f>IF($O10="","",INDEX(Master!$D$2:$D$1001,$O10))</f>
      </c>
      <c r="B10" s="165">
        <f>IF($O10="","",INDEX(Master!$B$2:$B$1001,$O10))</f>
      </c>
      <c r="C10" s="164">
        <f>IF($O10="","",INDEX(Master!$C$2:$C$1001,$O10))</f>
      </c>
      <c r="D10" s="164">
        <f>IF($O10="","",INDEX(Master!$A$2:$A$1001,$O10))</f>
      </c>
      <c r="E10" s="164">
        <f>IF($O10="","",INDEX(Master!$E$2:$E$1001,$O10))</f>
      </c>
      <c r="F10" s="164">
        <f>IF($O10="","",INDEX(Master!$F$2:$F$1001,$O10))</f>
      </c>
      <c r="G10" s="164">
        <f>IF($O10="","",INDEX(Master!$G$2:$G$1001,$O10))</f>
      </c>
      <c r="H10" s="164">
        <f>IF($O10="","",INDEX(Master!$H$2:$H$1001,$O10))</f>
      </c>
      <c r="I10" s="164">
        <f>IF($O10="","",INDEX(Master!$I$2:$I$1001,$O10))</f>
      </c>
      <c r="J10" s="164">
        <f>IF($O10="","",INDEX(Master!$J$2:$J$1001,$O10))</f>
      </c>
      <c r="K10" s="248">
        <f t="shared" si="0"/>
      </c>
      <c r="L10" s="164">
        <f>IF($O10="","",INDEX(Master!$K$2:$K$1001,$O10))</f>
      </c>
      <c r="M10" s="164">
        <f>IF($O10="","",INDEX(Master!$L$2:$L$1001,$O10))</f>
      </c>
      <c r="N10" s="164" t="s">
        <v>52</v>
      </c>
      <c r="O10">
        <f t="array" ref="O10">IFERROR(SMALL(IF(Master!$A$2:$A$1001="AR ISPAT",ROW(Master!$A$2:$A$1001)-ROW(Master!$A$2)+1),6),"")</f>
      </c>
      <c r="P10">
        <f t="shared" si="1"/>
      </c>
    </row>
    <row r="11" spans="1:16" x14ac:dyDescent="0.25">
      <c r="A11" s="164">
        <f>IF($O11="","",INDEX(Master!$D$2:$D$1001,$O11))</f>
      </c>
      <c r="B11" s="165">
        <f>IF($O11="","",INDEX(Master!$B$2:$B$1001,$O11))</f>
      </c>
      <c r="C11" s="164">
        <f>IF($O11="","",INDEX(Master!$C$2:$C$1001,$O11))</f>
      </c>
      <c r="D11" s="164">
        <f>IF($O11="","",INDEX(Master!$A$2:$A$1001,$O11))</f>
      </c>
      <c r="E11" s="164">
        <f>IF($O11="","",INDEX(Master!$E$2:$E$1001,$O11))</f>
      </c>
      <c r="F11" s="164">
        <f>IF($O11="","",INDEX(Master!$F$2:$F$1001,$O11))</f>
      </c>
      <c r="G11" s="164">
        <f>IF($O11="","",INDEX(Master!$G$2:$G$1001,$O11))</f>
      </c>
      <c r="H11" s="164">
        <f>IF($O11="","",INDEX(Master!$H$2:$H$1001,$O11))</f>
      </c>
      <c r="I11" s="164">
        <f>IF($O11="","",INDEX(Master!$I$2:$I$1001,$O11))</f>
      </c>
      <c r="J11" s="164">
        <f>IF($O11="","",INDEX(Master!$J$2:$J$1001,$O11))</f>
      </c>
      <c r="K11" s="248">
        <f t="shared" si="0"/>
      </c>
      <c r="L11" s="164">
        <f>IF($O11="","",INDEX(Master!$K$2:$K$1001,$O11))</f>
      </c>
      <c r="M11" s="164">
        <f>IF($O11="","",INDEX(Master!$L$2:$L$1001,$O11))</f>
      </c>
      <c r="N11" s="164" t="s">
        <v>52</v>
      </c>
      <c r="O11">
        <f t="array" ref="O11">IFERROR(SMALL(IF(Master!$A$2:$A$1001="AR ISPAT",ROW(Master!$A$2:$A$1001)-ROW(Master!$A$2)+1),7),"")</f>
      </c>
      <c r="P11">
        <f t="shared" si="1"/>
      </c>
    </row>
    <row r="12" spans="1:16" x14ac:dyDescent="0.25">
      <c r="A12" s="164">
        <f>IF($O12="","",INDEX(Master!$D$2:$D$1001,$O12))</f>
      </c>
      <c r="B12" s="165">
        <f>IF($O12="","",INDEX(Master!$B$2:$B$1001,$O12))</f>
      </c>
      <c r="C12" s="164">
        <f>IF($O12="","",INDEX(Master!$C$2:$C$1001,$O12))</f>
      </c>
      <c r="D12" s="164">
        <f>IF($O12="","",INDEX(Master!$A$2:$A$1001,$O12))</f>
      </c>
      <c r="E12" s="164">
        <f>IF($O12="","",INDEX(Master!$E$2:$E$1001,$O12))</f>
      </c>
      <c r="F12" s="164">
        <f>IF($O12="","",INDEX(Master!$F$2:$F$1001,$O12))</f>
      </c>
      <c r="G12" s="164">
        <f>IF($O12="","",INDEX(Master!$G$2:$G$1001,$O12))</f>
      </c>
      <c r="H12" s="164">
        <f>IF($O12="","",INDEX(Master!$H$2:$H$1001,$O12))</f>
      </c>
      <c r="I12" s="164">
        <f>IF($O12="","",INDEX(Master!$I$2:$I$1001,$O12))</f>
      </c>
      <c r="J12" s="164">
        <f>IF($O12="","",INDEX(Master!$J$2:$J$1001,$O12))</f>
      </c>
      <c r="K12" s="248">
        <f t="shared" si="0"/>
      </c>
      <c r="L12" s="164">
        <f>IF($O12="","",INDEX(Master!$K$2:$K$1001,$O12))</f>
      </c>
      <c r="M12" s="164">
        <f>IF($O12="","",INDEX(Master!$L$2:$L$1001,$O12))</f>
      </c>
      <c r="N12" s="164" t="s">
        <v>52</v>
      </c>
      <c r="O12">
        <f t="array" ref="O12">IFERROR(SMALL(IF(Master!$A$2:$A$1001="AR ISPAT",ROW(Master!$A$2:$A$1001)-ROW(Master!$A$2)+1),8),"")</f>
      </c>
      <c r="P12">
        <f t="shared" si="1"/>
      </c>
    </row>
    <row r="13" spans="1:16" x14ac:dyDescent="0.25">
      <c r="A13" s="164">
        <f>IF($O13="","",INDEX(Master!$D$2:$D$1001,$O13))</f>
      </c>
      <c r="B13" s="165">
        <f>IF($O13="","",INDEX(Master!$B$2:$B$1001,$O13))</f>
      </c>
      <c r="C13" s="164">
        <f>IF($O13="","",INDEX(Master!$C$2:$C$1001,$O13))</f>
      </c>
      <c r="D13" s="164">
        <f>IF($O13="","",INDEX(Master!$A$2:$A$1001,$O13))</f>
      </c>
      <c r="E13" s="164">
        <f>IF($O13="","",INDEX(Master!$E$2:$E$1001,$O13))</f>
      </c>
      <c r="F13" s="164">
        <f>IF($O13="","",INDEX(Master!$F$2:$F$1001,$O13))</f>
      </c>
      <c r="G13" s="164">
        <f>IF($O13="","",INDEX(Master!$G$2:$G$1001,$O13))</f>
      </c>
      <c r="H13" s="164">
        <f>IF($O13="","",INDEX(Master!$H$2:$H$1001,$O13))</f>
      </c>
      <c r="I13" s="164">
        <f>IF($O13="","",INDEX(Master!$I$2:$I$1001,$O13))</f>
      </c>
      <c r="J13" s="164">
        <f>IF($O13="","",INDEX(Master!$J$2:$J$1001,$O13))</f>
      </c>
      <c r="K13" s="248">
        <f t="shared" si="0"/>
      </c>
      <c r="L13" s="164">
        <f>IF($O13="","",INDEX(Master!$K$2:$K$1001,$O13))</f>
      </c>
      <c r="M13" s="164">
        <f>IF($O13="","",INDEX(Master!$L$2:$L$1001,$O13))</f>
      </c>
      <c r="N13" s="164" t="s">
        <v>52</v>
      </c>
      <c r="O13">
        <f t="array" ref="O13">IFERROR(SMALL(IF(Master!$A$2:$A$1001="AR ISPAT",ROW(Master!$A$2:$A$1001)-ROW(Master!$A$2)+1),9),"")</f>
      </c>
      <c r="P13">
        <f t="shared" si="1"/>
      </c>
    </row>
    <row r="14" spans="1:16" x14ac:dyDescent="0.25">
      <c r="A14" s="164">
        <f>IF($O14="","",INDEX(Master!$D$2:$D$1001,$O14))</f>
      </c>
      <c r="B14" s="165">
        <f>IF($O14="","",INDEX(Master!$B$2:$B$1001,$O14))</f>
      </c>
      <c r="C14" s="164">
        <f>IF($O14="","",INDEX(Master!$C$2:$C$1001,$O14))</f>
      </c>
      <c r="D14" s="164">
        <f>IF($O14="","",INDEX(Master!$A$2:$A$1001,$O14))</f>
      </c>
      <c r="E14" s="164">
        <f>IF($O14="","",INDEX(Master!$E$2:$E$1001,$O14))</f>
      </c>
      <c r="F14" s="164">
        <f>IF($O14="","",INDEX(Master!$F$2:$F$1001,$O14))</f>
      </c>
      <c r="G14" s="164">
        <f>IF($O14="","",INDEX(Master!$G$2:$G$1001,$O14))</f>
      </c>
      <c r="H14" s="164">
        <f>IF($O14="","",INDEX(Master!$H$2:$H$1001,$O14))</f>
      </c>
      <c r="I14" s="164">
        <f>IF($O14="","",INDEX(Master!$I$2:$I$1001,$O14))</f>
      </c>
      <c r="J14" s="164">
        <f>IF($O14="","",INDEX(Master!$J$2:$J$1001,$O14))</f>
      </c>
      <c r="K14" s="248">
        <f t="shared" si="0"/>
      </c>
      <c r="L14" s="164">
        <f>IF($O14="","",INDEX(Master!$K$2:$K$1001,$O14))</f>
      </c>
      <c r="M14" s="164">
        <f>IF($O14="","",INDEX(Master!$L$2:$L$1001,$O14))</f>
      </c>
      <c r="N14" s="164" t="s">
        <v>52</v>
      </c>
      <c r="O14">
        <f t="array" ref="O14">IFERROR(SMALL(IF(Master!$A$2:$A$1001="AR ISPAT",ROW(Master!$A$2:$A$1001)-ROW(Master!$A$2)+1),10),"")</f>
      </c>
      <c r="P14">
        <f t="shared" si="1"/>
      </c>
    </row>
    <row r="15" spans="1:16" x14ac:dyDescent="0.25">
      <c r="A15" s="164">
        <f>IF($O15="","",INDEX(Master!$D$2:$D$1001,$O15))</f>
      </c>
      <c r="B15" s="165">
        <f>IF($O15="","",INDEX(Master!$B$2:$B$1001,$O15))</f>
      </c>
      <c r="C15" s="164">
        <f>IF($O15="","",INDEX(Master!$C$2:$C$1001,$O15))</f>
      </c>
      <c r="D15" s="164">
        <f>IF($O15="","",INDEX(Master!$A$2:$A$1001,$O15))</f>
      </c>
      <c r="E15" s="164">
        <f>IF($O15="","",INDEX(Master!$E$2:$E$1001,$O15))</f>
      </c>
      <c r="F15" s="164">
        <f>IF($O15="","",INDEX(Master!$F$2:$F$1001,$O15))</f>
      </c>
      <c r="G15" s="164">
        <f>IF($O15="","",INDEX(Master!$G$2:$G$1001,$O15))</f>
      </c>
      <c r="H15" s="164">
        <f>IF($O15="","",INDEX(Master!$H$2:$H$1001,$O15))</f>
      </c>
      <c r="I15" s="164">
        <f>IF($O15="","",INDEX(Master!$I$2:$I$1001,$O15))</f>
      </c>
      <c r="J15" s="164">
        <f>IF($O15="","",INDEX(Master!$J$2:$J$1001,$O15))</f>
      </c>
      <c r="K15" s="248">
        <f t="shared" si="0"/>
      </c>
      <c r="L15" s="164">
        <f>IF($O15="","",INDEX(Master!$K$2:$K$1001,$O15))</f>
      </c>
      <c r="M15" s="164">
        <f>IF($O15="","",INDEX(Master!$L$2:$L$1001,$O15))</f>
      </c>
      <c r="N15" s="164" t="s">
        <v>52</v>
      </c>
      <c r="O15">
        <f t="array" ref="O15">IFERROR(SMALL(IF(Master!$A$2:$A$1001="AR ISPAT",ROW(Master!$A$2:$A$1001)-ROW(Master!$A$2)+1),11),"")</f>
      </c>
      <c r="P15">
        <f t="shared" si="1"/>
      </c>
    </row>
    <row r="16" spans="1:16" x14ac:dyDescent="0.25">
      <c r="A16" s="164">
        <f>IF($O16="","",INDEX(Master!$D$2:$D$1001,$O16))</f>
      </c>
      <c r="B16" s="165">
        <f>IF($O16="","",INDEX(Master!$B$2:$B$1001,$O16))</f>
      </c>
      <c r="C16" s="164">
        <f>IF($O16="","",INDEX(Master!$C$2:$C$1001,$O16))</f>
      </c>
      <c r="D16" s="164">
        <f>IF($O16="","",INDEX(Master!$A$2:$A$1001,$O16))</f>
      </c>
      <c r="E16" s="164">
        <f>IF($O16="","",INDEX(Master!$E$2:$E$1001,$O16))</f>
      </c>
      <c r="F16" s="164">
        <f>IF($O16="","",INDEX(Master!$F$2:$F$1001,$O16))</f>
      </c>
      <c r="G16" s="164">
        <f>IF($O16="","",INDEX(Master!$G$2:$G$1001,$O16))</f>
      </c>
      <c r="H16" s="164">
        <f>IF($O16="","",INDEX(Master!$H$2:$H$1001,$O16))</f>
      </c>
      <c r="I16" s="164">
        <f>IF($O16="","",INDEX(Master!$I$2:$I$1001,$O16))</f>
      </c>
      <c r="J16" s="164">
        <f>IF($O16="","",INDEX(Master!$J$2:$J$1001,$O16))</f>
      </c>
      <c r="K16" s="248">
        <f t="shared" si="0"/>
      </c>
      <c r="L16" s="164">
        <f>IF($O16="","",INDEX(Master!$K$2:$K$1001,$O16))</f>
      </c>
      <c r="M16" s="164">
        <f>IF($O16="","",INDEX(Master!$L$2:$L$1001,$O16))</f>
      </c>
      <c r="N16" s="164" t="s">
        <v>52</v>
      </c>
      <c r="O16">
        <f t="array" ref="O16">IFERROR(SMALL(IF(Master!$A$2:$A$1001="AR ISPAT",ROW(Master!$A$2:$A$1001)-ROW(Master!$A$2)+1),12),"")</f>
      </c>
      <c r="P16">
        <f t="shared" si="1"/>
      </c>
    </row>
    <row r="17" spans="1:16" x14ac:dyDescent="0.25">
      <c r="A17" s="164">
        <f>IF($O17="","",INDEX(Master!$D$2:$D$1001,$O17))</f>
      </c>
      <c r="B17" s="165">
        <f>IF($O17="","",INDEX(Master!$B$2:$B$1001,$O17))</f>
      </c>
      <c r="C17" s="164">
        <f>IF($O17="","",INDEX(Master!$C$2:$C$1001,$O17))</f>
      </c>
      <c r="D17" s="164">
        <f>IF($O17="","",INDEX(Master!$A$2:$A$1001,$O17))</f>
      </c>
      <c r="E17" s="164">
        <f>IF($O17="","",INDEX(Master!$E$2:$E$1001,$O17))</f>
      </c>
      <c r="F17" s="164">
        <f>IF($O17="","",INDEX(Master!$F$2:$F$1001,$O17))</f>
      </c>
      <c r="G17" s="164">
        <f>IF($O17="","",INDEX(Master!$G$2:$G$1001,$O17))</f>
      </c>
      <c r="H17" s="164">
        <f>IF($O17="","",INDEX(Master!$H$2:$H$1001,$O17))</f>
      </c>
      <c r="I17" s="164">
        <f>IF($O17="","",INDEX(Master!$I$2:$I$1001,$O17))</f>
      </c>
      <c r="J17" s="164">
        <f>IF($O17="","",INDEX(Master!$J$2:$J$1001,$O17))</f>
      </c>
      <c r="K17" s="248">
        <f t="shared" si="0"/>
      </c>
      <c r="L17" s="164">
        <f>IF($O17="","",INDEX(Master!$K$2:$K$1001,$O17))</f>
      </c>
      <c r="M17" s="164">
        <f>IF($O17="","",INDEX(Master!$L$2:$L$1001,$O17))</f>
      </c>
      <c r="N17" s="164" t="s">
        <v>52</v>
      </c>
      <c r="O17">
        <f t="array" ref="O17">IFERROR(SMALL(IF(Master!$A$2:$A$1001="AR ISPAT",ROW(Master!$A$2:$A$1001)-ROW(Master!$A$2)+1),13),"")</f>
      </c>
      <c r="P17">
        <f t="shared" si="1"/>
      </c>
    </row>
    <row r="18" spans="1:16" x14ac:dyDescent="0.25">
      <c r="A18" s="164">
        <f>IF($O18="","",INDEX(Master!$D$2:$D$1001,$O18))</f>
      </c>
      <c r="B18" s="165">
        <f>IF($O18="","",INDEX(Master!$B$2:$B$1001,$O18))</f>
      </c>
      <c r="C18" s="164">
        <f>IF($O18="","",INDEX(Master!$C$2:$C$1001,$O18))</f>
      </c>
      <c r="D18" s="164">
        <f>IF($O18="","",INDEX(Master!$A$2:$A$1001,$O18))</f>
      </c>
      <c r="E18" s="164">
        <f>IF($O18="","",INDEX(Master!$E$2:$E$1001,$O18))</f>
      </c>
      <c r="F18" s="164">
        <f>IF($O18="","",INDEX(Master!$F$2:$F$1001,$O18))</f>
      </c>
      <c r="G18" s="164">
        <f>IF($O18="","",INDEX(Master!$G$2:$G$1001,$O18))</f>
      </c>
      <c r="H18" s="164">
        <f>IF($O18="","",INDEX(Master!$H$2:$H$1001,$O18))</f>
      </c>
      <c r="I18" s="164">
        <f>IF($O18="","",INDEX(Master!$I$2:$I$1001,$O18))</f>
      </c>
      <c r="J18" s="164">
        <f>IF($O18="","",INDEX(Master!$J$2:$J$1001,$O18))</f>
      </c>
      <c r="K18" s="248">
        <f t="shared" si="0"/>
      </c>
      <c r="L18" s="164">
        <f>IF($O18="","",INDEX(Master!$K$2:$K$1001,$O18))</f>
      </c>
      <c r="M18" s="164">
        <f>IF($O18="","",INDEX(Master!$L$2:$L$1001,$O18))</f>
      </c>
      <c r="N18" s="164" t="s">
        <v>52</v>
      </c>
      <c r="O18">
        <f t="array" ref="O18">IFERROR(SMALL(IF(Master!$A$2:$A$1001="AR ISPAT",ROW(Master!$A$2:$A$1001)-ROW(Master!$A$2)+1),14),"")</f>
      </c>
      <c r="P18">
        <f t="shared" si="1"/>
      </c>
    </row>
    <row r="19" spans="1:16" x14ac:dyDescent="0.25">
      <c r="A19" s="164">
        <f>IF($O19="","",INDEX(Master!$D$2:$D$1001,$O19))</f>
      </c>
      <c r="B19" s="165">
        <f>IF($O19="","",INDEX(Master!$B$2:$B$1001,$O19))</f>
      </c>
      <c r="C19" s="164">
        <f>IF($O19="","",INDEX(Master!$C$2:$C$1001,$O19))</f>
      </c>
      <c r="D19" s="164">
        <f>IF($O19="","",INDEX(Master!$A$2:$A$1001,$O19))</f>
      </c>
      <c r="E19" s="164">
        <f>IF($O19="","",INDEX(Master!$E$2:$E$1001,$O19))</f>
      </c>
      <c r="F19" s="164">
        <f>IF($O19="","",INDEX(Master!$F$2:$F$1001,$O19))</f>
      </c>
      <c r="G19" s="164">
        <f>IF($O19="","",INDEX(Master!$G$2:$G$1001,$O19))</f>
      </c>
      <c r="H19" s="164">
        <f>IF($O19="","",INDEX(Master!$H$2:$H$1001,$O19))</f>
      </c>
      <c r="I19" s="164">
        <f>IF($O19="","",INDEX(Master!$I$2:$I$1001,$O19))</f>
      </c>
      <c r="J19" s="164">
        <f>IF($O19="","",INDEX(Master!$J$2:$J$1001,$O19))</f>
      </c>
      <c r="K19" s="248">
        <f t="shared" si="0"/>
      </c>
      <c r="L19" s="164">
        <f>IF($O19="","",INDEX(Master!$K$2:$K$1001,$O19))</f>
      </c>
      <c r="M19" s="164">
        <f>IF($O19="","",INDEX(Master!$L$2:$L$1001,$O19))</f>
      </c>
      <c r="N19" s="164" t="s">
        <v>52</v>
      </c>
      <c r="O19">
        <f t="array" ref="O19">IFERROR(SMALL(IF(Master!$A$2:$A$1001="AR ISPAT",ROW(Master!$A$2:$A$1001)-ROW(Master!$A$2)+1),15),"")</f>
      </c>
      <c r="P19">
        <f t="shared" si="1"/>
      </c>
    </row>
    <row r="20" spans="1:16" x14ac:dyDescent="0.25">
      <c r="A20" s="164">
        <f>IF($O20="","",INDEX(Master!$D$2:$D$1001,$O20))</f>
      </c>
      <c r="B20" s="165">
        <f>IF($O20="","",INDEX(Master!$B$2:$B$1001,$O20))</f>
      </c>
      <c r="C20" s="164">
        <f>IF($O20="","",INDEX(Master!$C$2:$C$1001,$O20))</f>
      </c>
      <c r="D20" s="164">
        <f>IF($O20="","",INDEX(Master!$A$2:$A$1001,$O20))</f>
      </c>
      <c r="E20" s="164">
        <f>IF($O20="","",INDEX(Master!$E$2:$E$1001,$O20))</f>
      </c>
      <c r="F20" s="164">
        <f>IF($O20="","",INDEX(Master!$F$2:$F$1001,$O20))</f>
      </c>
      <c r="G20" s="164">
        <f>IF($O20="","",INDEX(Master!$G$2:$G$1001,$O20))</f>
      </c>
      <c r="H20" s="164">
        <f>IF($O20="","",INDEX(Master!$H$2:$H$1001,$O20))</f>
      </c>
      <c r="I20" s="164">
        <f>IF($O20="","",INDEX(Master!$I$2:$I$1001,$O20))</f>
      </c>
      <c r="J20" s="164">
        <f>IF($O20="","",INDEX(Master!$J$2:$J$1001,$O20))</f>
      </c>
      <c r="K20" s="248">
        <f t="shared" si="0"/>
      </c>
      <c r="L20" s="164">
        <f>IF($O20="","",INDEX(Master!$K$2:$K$1001,$O20))</f>
      </c>
      <c r="M20" s="164">
        <f>IF($O20="","",INDEX(Master!$L$2:$L$1001,$O20))</f>
      </c>
      <c r="N20" s="164" t="s">
        <v>52</v>
      </c>
      <c r="O20">
        <f t="array" ref="O20">IFERROR(SMALL(IF(Master!$A$2:$A$1001="AR ISPAT",ROW(Master!$A$2:$A$1001)-ROW(Master!$A$2)+1),16),"")</f>
      </c>
      <c r="P20">
        <f t="shared" si="1"/>
      </c>
    </row>
    <row r="21" spans="1:16" x14ac:dyDescent="0.25">
      <c r="A21" s="164">
        <f>IF($O21="","",INDEX(Master!$D$2:$D$1001,$O21))</f>
      </c>
      <c r="B21" s="165">
        <f>IF($O21="","",INDEX(Master!$B$2:$B$1001,$O21))</f>
      </c>
      <c r="C21" s="164">
        <f>IF($O21="","",INDEX(Master!$C$2:$C$1001,$O21))</f>
      </c>
      <c r="D21" s="164">
        <f>IF($O21="","",INDEX(Master!$A$2:$A$1001,$O21))</f>
      </c>
      <c r="E21" s="164">
        <f>IF($O21="","",INDEX(Master!$E$2:$E$1001,$O21))</f>
      </c>
      <c r="F21" s="164">
        <f>IF($O21="","",INDEX(Master!$F$2:$F$1001,$O21))</f>
      </c>
      <c r="G21" s="164">
        <f>IF($O21="","",INDEX(Master!$G$2:$G$1001,$O21))</f>
      </c>
      <c r="H21" s="164">
        <f>IF($O21="","",INDEX(Master!$H$2:$H$1001,$O21))</f>
      </c>
      <c r="I21" s="164">
        <f>IF($O21="","",INDEX(Master!$I$2:$I$1001,$O21))</f>
      </c>
      <c r="J21" s="164">
        <f>IF($O21="","",INDEX(Master!$J$2:$J$1001,$O21))</f>
      </c>
      <c r="K21" s="248">
        <f t="shared" si="0"/>
      </c>
      <c r="L21" s="164">
        <f>IF($O21="","",INDEX(Master!$K$2:$K$1001,$O21))</f>
      </c>
      <c r="M21" s="164">
        <f>IF($O21="","",INDEX(Master!$L$2:$L$1001,$O21))</f>
      </c>
      <c r="N21" s="164" t="s">
        <v>52</v>
      </c>
      <c r="O21">
        <f t="array" ref="O21">IFERROR(SMALL(IF(Master!$A$2:$A$1001="AR ISPAT",ROW(Master!$A$2:$A$1001)-ROW(Master!$A$2)+1),17),"")</f>
      </c>
      <c r="P21">
        <f t="shared" si="1"/>
      </c>
    </row>
    <row r="22" spans="1:16" x14ac:dyDescent="0.25">
      <c r="A22" s="164">
        <f>IF($O22="","",INDEX(Master!$D$2:$D$1001,$O22))</f>
      </c>
      <c r="B22" s="165">
        <f>IF($O22="","",INDEX(Master!$B$2:$B$1001,$O22))</f>
      </c>
      <c r="C22" s="164">
        <f>IF($O22="","",INDEX(Master!$C$2:$C$1001,$O22))</f>
      </c>
      <c r="D22" s="164">
        <f>IF($O22="","",INDEX(Master!$A$2:$A$1001,$O22))</f>
      </c>
      <c r="E22" s="164">
        <f>IF($O22="","",INDEX(Master!$E$2:$E$1001,$O22))</f>
      </c>
      <c r="F22" s="164">
        <f>IF($O22="","",INDEX(Master!$F$2:$F$1001,$O22))</f>
      </c>
      <c r="G22" s="164">
        <f>IF($O22="","",INDEX(Master!$G$2:$G$1001,$O22))</f>
      </c>
      <c r="H22" s="164">
        <f>IF($O22="","",INDEX(Master!$H$2:$H$1001,$O22))</f>
      </c>
      <c r="I22" s="164">
        <f>IF($O22="","",INDEX(Master!$I$2:$I$1001,$O22))</f>
      </c>
      <c r="J22" s="164">
        <f>IF($O22="","",INDEX(Master!$J$2:$J$1001,$O22))</f>
      </c>
      <c r="K22" s="248">
        <f t="shared" si="0"/>
      </c>
      <c r="L22" s="164">
        <f>IF($O22="","",INDEX(Master!$K$2:$K$1001,$O22))</f>
      </c>
      <c r="M22" s="164">
        <f>IF($O22="","",INDEX(Master!$L$2:$L$1001,$O22))</f>
      </c>
      <c r="N22" s="164" t="s">
        <v>52</v>
      </c>
      <c r="O22">
        <f t="array" ref="O22">IFERROR(SMALL(IF(Master!$A$2:$A$1001="AR ISPAT",ROW(Master!$A$2:$A$1001)-ROW(Master!$A$2)+1),18),"")</f>
      </c>
      <c r="P22">
        <f t="shared" si="1"/>
      </c>
    </row>
    <row r="23" spans="1:16" x14ac:dyDescent="0.25">
      <c r="A23" s="164">
        <f>IF($O23="","",INDEX(Master!$D$2:$D$1001,$O23))</f>
      </c>
      <c r="B23" s="165">
        <f>IF($O23="","",INDEX(Master!$B$2:$B$1001,$O23))</f>
      </c>
      <c r="C23" s="164">
        <f>IF($O23="","",INDEX(Master!$C$2:$C$1001,$O23))</f>
      </c>
      <c r="D23" s="164">
        <f>IF($O23="","",INDEX(Master!$A$2:$A$1001,$O23))</f>
      </c>
      <c r="E23" s="164">
        <f>IF($O23="","",INDEX(Master!$E$2:$E$1001,$O23))</f>
      </c>
      <c r="F23" s="164">
        <f>IF($O23="","",INDEX(Master!$F$2:$F$1001,$O23))</f>
      </c>
      <c r="G23" s="164">
        <f>IF($O23="","",INDEX(Master!$G$2:$G$1001,$O23))</f>
      </c>
      <c r="H23" s="164">
        <f>IF($O23="","",INDEX(Master!$H$2:$H$1001,$O23))</f>
      </c>
      <c r="I23" s="164">
        <f>IF($O23="","",INDEX(Master!$I$2:$I$1001,$O23))</f>
      </c>
      <c r="J23" s="164">
        <f>IF($O23="","",INDEX(Master!$J$2:$J$1001,$O23))</f>
      </c>
      <c r="K23" s="248">
        <f t="shared" si="0"/>
      </c>
      <c r="L23" s="164">
        <f>IF($O23="","",INDEX(Master!$K$2:$K$1001,$O23))</f>
      </c>
      <c r="M23" s="164">
        <f>IF($O23="","",INDEX(Master!$L$2:$L$1001,$O23))</f>
      </c>
      <c r="N23" s="164" t="s">
        <v>52</v>
      </c>
      <c r="O23">
        <f t="array" ref="O23">IFERROR(SMALL(IF(Master!$A$2:$A$1001="AR ISPAT",ROW(Master!$A$2:$A$1001)-ROW(Master!$A$2)+1),19),"")</f>
      </c>
      <c r="P23">
        <f t="shared" si="1"/>
      </c>
    </row>
    <row r="24" spans="1:16" x14ac:dyDescent="0.25">
      <c r="A24" s="164">
        <f>IF($O24="","",INDEX(Master!$D$2:$D$1001,$O24))</f>
      </c>
      <c r="B24" s="165">
        <f>IF($O24="","",INDEX(Master!$B$2:$B$1001,$O24))</f>
      </c>
      <c r="C24" s="164">
        <f>IF($O24="","",INDEX(Master!$C$2:$C$1001,$O24))</f>
      </c>
      <c r="D24" s="164">
        <f>IF($O24="","",INDEX(Master!$A$2:$A$1001,$O24))</f>
      </c>
      <c r="E24" s="164">
        <f>IF($O24="","",INDEX(Master!$E$2:$E$1001,$O24))</f>
      </c>
      <c r="F24" s="164">
        <f>IF($O24="","",INDEX(Master!$F$2:$F$1001,$O24))</f>
      </c>
      <c r="G24" s="164">
        <f>IF($O24="","",INDEX(Master!$G$2:$G$1001,$O24))</f>
      </c>
      <c r="H24" s="164">
        <f>IF($O24="","",INDEX(Master!$H$2:$H$1001,$O24))</f>
      </c>
      <c r="I24" s="164">
        <f>IF($O24="","",INDEX(Master!$I$2:$I$1001,$O24))</f>
      </c>
      <c r="J24" s="164">
        <f>IF($O24="","",INDEX(Master!$J$2:$J$1001,$O24))</f>
      </c>
      <c r="K24" s="248">
        <f t="shared" si="0"/>
      </c>
      <c r="L24" s="164">
        <f>IF($O24="","",INDEX(Master!$K$2:$K$1001,$O24))</f>
      </c>
      <c r="M24" s="164">
        <f>IF($O24="","",INDEX(Master!$L$2:$L$1001,$O24))</f>
      </c>
      <c r="N24" s="164" t="s">
        <v>52</v>
      </c>
      <c r="O24">
        <f t="array" ref="O24">IFERROR(SMALL(IF(Master!$A$2:$A$1001="AR ISPAT",ROW(Master!$A$2:$A$1001)-ROW(Master!$A$2)+1),20),"")</f>
      </c>
      <c r="P24">
        <f t="shared" si="1"/>
      </c>
    </row>
    <row r="25" spans="1:16" x14ac:dyDescent="0.25">
      <c r="A25" s="164">
        <f>IF($O25="","",INDEX(Master!$D$2:$D$1001,$O25))</f>
      </c>
      <c r="B25" s="165">
        <f>IF($O25="","",INDEX(Master!$B$2:$B$1001,$O25))</f>
      </c>
      <c r="C25" s="164">
        <f>IF($O25="","",INDEX(Master!$C$2:$C$1001,$O25))</f>
      </c>
      <c r="D25" s="164">
        <f>IF($O25="","",INDEX(Master!$A$2:$A$1001,$O25))</f>
      </c>
      <c r="E25" s="164">
        <f>IF($O25="","",INDEX(Master!$E$2:$E$1001,$O25))</f>
      </c>
      <c r="F25" s="164">
        <f>IF($O25="","",INDEX(Master!$F$2:$F$1001,$O25))</f>
      </c>
      <c r="G25" s="164">
        <f>IF($O25="","",INDEX(Master!$G$2:$G$1001,$O25))</f>
      </c>
      <c r="H25" s="164">
        <f>IF($O25="","",INDEX(Master!$H$2:$H$1001,$O25))</f>
      </c>
      <c r="I25" s="164">
        <f>IF($O25="","",INDEX(Master!$I$2:$I$1001,$O25))</f>
      </c>
      <c r="J25" s="164">
        <f>IF($O25="","",INDEX(Master!$J$2:$J$1001,$O25))</f>
      </c>
      <c r="K25" s="248">
        <f t="shared" si="0"/>
      </c>
      <c r="L25" s="164">
        <f>IF($O25="","",INDEX(Master!$K$2:$K$1001,$O25))</f>
      </c>
      <c r="M25" s="164">
        <f>IF($O25="","",INDEX(Master!$L$2:$L$1001,$O25))</f>
      </c>
      <c r="N25" s="164" t="s">
        <v>52</v>
      </c>
      <c r="O25">
        <f t="array" ref="O25">IFERROR(SMALL(IF(Master!$A$2:$A$1001="AR ISPAT",ROW(Master!$A$2:$A$1001)-ROW(Master!$A$2)+1),21),"")</f>
      </c>
      <c r="P25">
        <f t="shared" si="1"/>
      </c>
    </row>
    <row r="26" spans="1:16" x14ac:dyDescent="0.25">
      <c r="A26" s="164">
        <f>IF($O26="","",INDEX(Master!$D$2:$D$1001,$O26))</f>
      </c>
      <c r="B26" s="165">
        <f>IF($O26="","",INDEX(Master!$B$2:$B$1001,$O26))</f>
      </c>
      <c r="C26" s="164">
        <f>IF($O26="","",INDEX(Master!$C$2:$C$1001,$O26))</f>
      </c>
      <c r="D26" s="164">
        <f>IF($O26="","",INDEX(Master!$A$2:$A$1001,$O26))</f>
      </c>
      <c r="E26" s="164">
        <f>IF($O26="","",INDEX(Master!$E$2:$E$1001,$O26))</f>
      </c>
      <c r="F26" s="164">
        <f>IF($O26="","",INDEX(Master!$F$2:$F$1001,$O26))</f>
      </c>
      <c r="G26" s="164">
        <f>IF($O26="","",INDEX(Master!$G$2:$G$1001,$O26))</f>
      </c>
      <c r="H26" s="164">
        <f>IF($O26="","",INDEX(Master!$H$2:$H$1001,$O26))</f>
      </c>
      <c r="I26" s="164">
        <f>IF($O26="","",INDEX(Master!$I$2:$I$1001,$O26))</f>
      </c>
      <c r="J26" s="164">
        <f>IF($O26="","",INDEX(Master!$J$2:$J$1001,$O26))</f>
      </c>
      <c r="K26" s="248">
        <f t="shared" si="0"/>
      </c>
      <c r="L26" s="164">
        <f>IF($O26="","",INDEX(Master!$K$2:$K$1001,$O26))</f>
      </c>
      <c r="M26" s="164">
        <f>IF($O26="","",INDEX(Master!$L$2:$L$1001,$O26))</f>
      </c>
      <c r="N26" s="164" t="s">
        <v>52</v>
      </c>
      <c r="O26">
        <f t="array" ref="O26">IFERROR(SMALL(IF(Master!$A$2:$A$1001="AR ISPAT",ROW(Master!$A$2:$A$1001)-ROW(Master!$A$2)+1),22),"")</f>
      </c>
      <c r="P26">
        <f t="shared" si="1"/>
      </c>
    </row>
    <row r="27" spans="1:16" x14ac:dyDescent="0.25">
      <c r="A27" s="164">
        <f>IF($O27="","",INDEX(Master!$D$2:$D$1001,$O27))</f>
      </c>
      <c r="B27" s="165">
        <f>IF($O27="","",INDEX(Master!$B$2:$B$1001,$O27))</f>
      </c>
      <c r="C27" s="164">
        <f>IF($O27="","",INDEX(Master!$C$2:$C$1001,$O27))</f>
      </c>
      <c r="D27" s="164">
        <f>IF($O27="","",INDEX(Master!$A$2:$A$1001,$O27))</f>
      </c>
      <c r="E27" s="164">
        <f>IF($O27="","",INDEX(Master!$E$2:$E$1001,$O27))</f>
      </c>
      <c r="F27" s="164">
        <f>IF($O27="","",INDEX(Master!$F$2:$F$1001,$O27))</f>
      </c>
      <c r="G27" s="164">
        <f>IF($O27="","",INDEX(Master!$G$2:$G$1001,$O27))</f>
      </c>
      <c r="H27" s="164">
        <f>IF($O27="","",INDEX(Master!$H$2:$H$1001,$O27))</f>
      </c>
      <c r="I27" s="164">
        <f>IF($O27="","",INDEX(Master!$I$2:$I$1001,$O27))</f>
      </c>
      <c r="J27" s="164">
        <f>IF($O27="","",INDEX(Master!$J$2:$J$1001,$O27))</f>
      </c>
      <c r="K27" s="248">
        <f t="shared" si="0"/>
      </c>
      <c r="L27" s="164">
        <f>IF($O27="","",INDEX(Master!$K$2:$K$1001,$O27))</f>
      </c>
      <c r="M27" s="164">
        <f>IF($O27="","",INDEX(Master!$L$2:$L$1001,$O27))</f>
      </c>
      <c r="N27" s="164" t="s">
        <v>52</v>
      </c>
      <c r="O27">
        <f t="array" ref="O27">IFERROR(SMALL(IF(Master!$A$2:$A$1001="AR ISPAT",ROW(Master!$A$2:$A$1001)-ROW(Master!$A$2)+1),23),"")</f>
      </c>
      <c r="P27">
        <f t="shared" si="1"/>
      </c>
    </row>
    <row r="28" spans="1:16" x14ac:dyDescent="0.25">
      <c r="A28" s="164">
        <f>IF($O28="","",INDEX(Master!$D$2:$D$1001,$O28))</f>
      </c>
      <c r="B28" s="165">
        <f>IF($O28="","",INDEX(Master!$B$2:$B$1001,$O28))</f>
      </c>
      <c r="C28" s="164">
        <f>IF($O28="","",INDEX(Master!$C$2:$C$1001,$O28))</f>
      </c>
      <c r="D28" s="164">
        <f>IF($O28="","",INDEX(Master!$A$2:$A$1001,$O28))</f>
      </c>
      <c r="E28" s="164">
        <f>IF($O28="","",INDEX(Master!$E$2:$E$1001,$O28))</f>
      </c>
      <c r="F28" s="164">
        <f>IF($O28="","",INDEX(Master!$F$2:$F$1001,$O28))</f>
      </c>
      <c r="G28" s="164">
        <f>IF($O28="","",INDEX(Master!$G$2:$G$1001,$O28))</f>
      </c>
      <c r="H28" s="164">
        <f>IF($O28="","",INDEX(Master!$H$2:$H$1001,$O28))</f>
      </c>
      <c r="I28" s="164">
        <f>IF($O28="","",INDEX(Master!$I$2:$I$1001,$O28))</f>
      </c>
      <c r="J28" s="164">
        <f>IF($O28="","",INDEX(Master!$J$2:$J$1001,$O28))</f>
      </c>
      <c r="K28" s="248">
        <f t="shared" si="0"/>
      </c>
      <c r="L28" s="164">
        <f>IF($O28="","",INDEX(Master!$K$2:$K$1001,$O28))</f>
      </c>
      <c r="M28" s="164">
        <f>IF($O28="","",INDEX(Master!$L$2:$L$1001,$O28))</f>
      </c>
      <c r="N28" s="164" t="s">
        <v>52</v>
      </c>
      <c r="O28">
        <f t="array" ref="O28">IFERROR(SMALL(IF(Master!$A$2:$A$1001="AR ISPAT",ROW(Master!$A$2:$A$1001)-ROW(Master!$A$2)+1),24),"")</f>
      </c>
      <c r="P28">
        <f t="shared" si="1"/>
      </c>
    </row>
    <row r="29" spans="1:16" x14ac:dyDescent="0.25">
      <c r="A29" s="164">
        <f>IF($O29="","",INDEX(Master!$D$2:$D$1001,$O29))</f>
      </c>
      <c r="B29" s="165">
        <f>IF($O29="","",INDEX(Master!$B$2:$B$1001,$O29))</f>
      </c>
      <c r="C29" s="164">
        <f>IF($O29="","",INDEX(Master!$C$2:$C$1001,$O29))</f>
      </c>
      <c r="D29" s="164">
        <f>IF($O29="","",INDEX(Master!$A$2:$A$1001,$O29))</f>
      </c>
      <c r="E29" s="164">
        <f>IF($O29="","",INDEX(Master!$E$2:$E$1001,$O29))</f>
      </c>
      <c r="F29" s="164">
        <f>IF($O29="","",INDEX(Master!$F$2:$F$1001,$O29))</f>
      </c>
      <c r="G29" s="164">
        <f>IF($O29="","",INDEX(Master!$G$2:$G$1001,$O29))</f>
      </c>
      <c r="H29" s="164">
        <f>IF($O29="","",INDEX(Master!$H$2:$H$1001,$O29))</f>
      </c>
      <c r="I29" s="164">
        <f>IF($O29="","",INDEX(Master!$I$2:$I$1001,$O29))</f>
      </c>
      <c r="J29" s="164">
        <f>IF($O29="","",INDEX(Master!$J$2:$J$1001,$O29))</f>
      </c>
      <c r="K29" s="248">
        <f t="shared" si="0"/>
      </c>
      <c r="L29" s="164">
        <f>IF($O29="","",INDEX(Master!$K$2:$K$1001,$O29))</f>
      </c>
      <c r="M29" s="164">
        <f>IF($O29="","",INDEX(Master!$L$2:$L$1001,$O29))</f>
      </c>
      <c r="N29" s="164" t="s">
        <v>52</v>
      </c>
      <c r="O29">
        <f t="array" ref="O29">IFERROR(SMALL(IF(Master!$A$2:$A$1001="AR ISPAT",ROW(Master!$A$2:$A$1001)-ROW(Master!$A$2)+1),25),"")</f>
      </c>
      <c r="P29">
        <f t="shared" si="1"/>
      </c>
    </row>
    <row r="30" spans="1:16" x14ac:dyDescent="0.25">
      <c r="A30" s="164">
        <f>IF($O30="","",INDEX(Master!$D$2:$D$1001,$O30))</f>
      </c>
      <c r="B30" s="165">
        <f>IF($O30="","",INDEX(Master!$B$2:$B$1001,$O30))</f>
      </c>
      <c r="C30" s="164">
        <f>IF($O30="","",INDEX(Master!$C$2:$C$1001,$O30))</f>
      </c>
      <c r="D30" s="164">
        <f>IF($O30="","",INDEX(Master!$A$2:$A$1001,$O30))</f>
      </c>
      <c r="E30" s="164">
        <f>IF($O30="","",INDEX(Master!$E$2:$E$1001,$O30))</f>
      </c>
      <c r="F30" s="164">
        <f>IF($O30="","",INDEX(Master!$F$2:$F$1001,$O30))</f>
      </c>
      <c r="G30" s="164">
        <f>IF($O30="","",INDEX(Master!$G$2:$G$1001,$O30))</f>
      </c>
      <c r="H30" s="164">
        <f>IF($O30="","",INDEX(Master!$H$2:$H$1001,$O30))</f>
      </c>
      <c r="I30" s="164">
        <f>IF($O30="","",INDEX(Master!$I$2:$I$1001,$O30))</f>
      </c>
      <c r="J30" s="164">
        <f>IF($O30="","",INDEX(Master!$J$2:$J$1001,$O30))</f>
      </c>
      <c r="K30" s="248">
        <f t="shared" si="0"/>
      </c>
      <c r="L30" s="164">
        <f>IF($O30="","",INDEX(Master!$K$2:$K$1001,$O30))</f>
      </c>
      <c r="M30" s="164">
        <f>IF($O30="","",INDEX(Master!$L$2:$L$1001,$O30))</f>
      </c>
      <c r="N30" s="164" t="s">
        <v>52</v>
      </c>
      <c r="O30">
        <f t="array" ref="O30">IFERROR(SMALL(IF(Master!$A$2:$A$1001="AR ISPAT",ROW(Master!$A$2:$A$1001)-ROW(Master!$A$2)+1),26),"")</f>
      </c>
      <c r="P30">
        <f t="shared" si="1"/>
      </c>
    </row>
    <row r="31" spans="1:16" x14ac:dyDescent="0.25">
      <c r="A31" s="164">
        <f>IF($O31="","",INDEX(Master!$D$2:$D$1001,$O31))</f>
      </c>
      <c r="B31" s="165">
        <f>IF($O31="","",INDEX(Master!$B$2:$B$1001,$O31))</f>
      </c>
      <c r="C31" s="164">
        <f>IF($O31="","",INDEX(Master!$C$2:$C$1001,$O31))</f>
      </c>
      <c r="D31" s="164">
        <f>IF($O31="","",INDEX(Master!$A$2:$A$1001,$O31))</f>
      </c>
      <c r="E31" s="164">
        <f>IF($O31="","",INDEX(Master!$E$2:$E$1001,$O31))</f>
      </c>
      <c r="F31" s="164">
        <f>IF($O31="","",INDEX(Master!$F$2:$F$1001,$O31))</f>
      </c>
      <c r="G31" s="164">
        <f>IF($O31="","",INDEX(Master!$G$2:$G$1001,$O31))</f>
      </c>
      <c r="H31" s="164">
        <f>IF($O31="","",INDEX(Master!$H$2:$H$1001,$O31))</f>
      </c>
      <c r="I31" s="164">
        <f>IF($O31="","",INDEX(Master!$I$2:$I$1001,$O31))</f>
      </c>
      <c r="J31" s="164">
        <f>IF($O31="","",INDEX(Master!$J$2:$J$1001,$O31))</f>
      </c>
      <c r="K31" s="248">
        <f t="shared" si="0"/>
      </c>
      <c r="L31" s="164">
        <f>IF($O31="","",INDEX(Master!$K$2:$K$1001,$O31))</f>
      </c>
      <c r="M31" s="164">
        <f>IF($O31="","",INDEX(Master!$L$2:$L$1001,$O31))</f>
      </c>
      <c r="N31" s="164" t="s">
        <v>52</v>
      </c>
      <c r="O31">
        <f t="array" ref="O31">IFERROR(SMALL(IF(Master!$A$2:$A$1001="AR ISPAT",ROW(Master!$A$2:$A$1001)-ROW(Master!$A$2)+1),27),"")</f>
      </c>
      <c r="P31">
        <f t="shared" si="1"/>
      </c>
    </row>
    <row r="32" spans="1:16" x14ac:dyDescent="0.25">
      <c r="A32" s="164">
        <f>IF($O32="","",INDEX(Master!$D$2:$D$1001,$O32))</f>
      </c>
      <c r="B32" s="165">
        <f>IF($O32="","",INDEX(Master!$B$2:$B$1001,$O32))</f>
      </c>
      <c r="C32" s="164">
        <f>IF($O32="","",INDEX(Master!$C$2:$C$1001,$O32))</f>
      </c>
      <c r="D32" s="164">
        <f>IF($O32="","",INDEX(Master!$A$2:$A$1001,$O32))</f>
      </c>
      <c r="E32" s="164">
        <f>IF($O32="","",INDEX(Master!$E$2:$E$1001,$O32))</f>
      </c>
      <c r="F32" s="164">
        <f>IF($O32="","",INDEX(Master!$F$2:$F$1001,$O32))</f>
      </c>
      <c r="G32" s="164">
        <f>IF($O32="","",INDEX(Master!$G$2:$G$1001,$O32))</f>
      </c>
      <c r="H32" s="164">
        <f>IF($O32="","",INDEX(Master!$H$2:$H$1001,$O32))</f>
      </c>
      <c r="I32" s="164">
        <f>IF($O32="","",INDEX(Master!$I$2:$I$1001,$O32))</f>
      </c>
      <c r="J32" s="164">
        <f>IF($O32="","",INDEX(Master!$J$2:$J$1001,$O32))</f>
      </c>
      <c r="K32" s="248">
        <f t="shared" si="0"/>
      </c>
      <c r="L32" s="164">
        <f>IF($O32="","",INDEX(Master!$K$2:$K$1001,$O32))</f>
      </c>
      <c r="M32" s="164">
        <f>IF($O32="","",INDEX(Master!$L$2:$L$1001,$O32))</f>
      </c>
      <c r="N32" s="164" t="s">
        <v>52</v>
      </c>
      <c r="O32">
        <f t="array" ref="O32">IFERROR(SMALL(IF(Master!$A$2:$A$1001="AR ISPAT",ROW(Master!$A$2:$A$1001)-ROW(Master!$A$2)+1),28),"")</f>
      </c>
      <c r="P32">
        <f t="shared" si="1"/>
      </c>
    </row>
    <row r="33" spans="1:16" x14ac:dyDescent="0.25">
      <c r="A33" s="164">
        <f>IF($O33="","",INDEX(Master!$D$2:$D$1001,$O33))</f>
      </c>
      <c r="B33" s="165">
        <f>IF($O33="","",INDEX(Master!$B$2:$B$1001,$O33))</f>
      </c>
      <c r="C33" s="164">
        <f>IF($O33="","",INDEX(Master!$C$2:$C$1001,$O33))</f>
      </c>
      <c r="D33" s="164">
        <f>IF($O33="","",INDEX(Master!$A$2:$A$1001,$O33))</f>
      </c>
      <c r="E33" s="164">
        <f>IF($O33="","",INDEX(Master!$E$2:$E$1001,$O33))</f>
      </c>
      <c r="F33" s="164">
        <f>IF($O33="","",INDEX(Master!$F$2:$F$1001,$O33))</f>
      </c>
      <c r="G33" s="164">
        <f>IF($O33="","",INDEX(Master!$G$2:$G$1001,$O33))</f>
      </c>
      <c r="H33" s="164">
        <f>IF($O33="","",INDEX(Master!$H$2:$H$1001,$O33))</f>
      </c>
      <c r="I33" s="164">
        <f>IF($O33="","",INDEX(Master!$I$2:$I$1001,$O33))</f>
      </c>
      <c r="J33" s="164">
        <f>IF($O33="","",INDEX(Master!$J$2:$J$1001,$O33))</f>
      </c>
      <c r="K33" s="248">
        <f t="shared" si="0"/>
      </c>
      <c r="L33" s="164">
        <f>IF($O33="","",INDEX(Master!$K$2:$K$1001,$O33))</f>
      </c>
      <c r="M33" s="164">
        <f>IF($O33="","",INDEX(Master!$L$2:$L$1001,$O33))</f>
      </c>
      <c r="N33" s="164" t="s">
        <v>52</v>
      </c>
      <c r="O33">
        <f t="array" ref="O33">IFERROR(SMALL(IF(Master!$A$2:$A$1001="AR ISPAT",ROW(Master!$A$2:$A$1001)-ROW(Master!$A$2)+1),29),"")</f>
      </c>
      <c r="P33">
        <f t="shared" si="1"/>
      </c>
    </row>
    <row r="34" spans="1:16" x14ac:dyDescent="0.25">
      <c r="A34" s="164">
        <f>IF($O34="","",INDEX(Master!$D$2:$D$1001,$O34))</f>
      </c>
      <c r="B34" s="165">
        <f>IF($O34="","",INDEX(Master!$B$2:$B$1001,$O34))</f>
      </c>
      <c r="C34" s="164">
        <f>IF($O34="","",INDEX(Master!$C$2:$C$1001,$O34))</f>
      </c>
      <c r="D34" s="164">
        <f>IF($O34="","",INDEX(Master!$A$2:$A$1001,$O34))</f>
      </c>
      <c r="E34" s="164">
        <f>IF($O34="","",INDEX(Master!$E$2:$E$1001,$O34))</f>
      </c>
      <c r="F34" s="164">
        <f>IF($O34="","",INDEX(Master!$F$2:$F$1001,$O34))</f>
      </c>
      <c r="G34" s="164">
        <f>IF($O34="","",INDEX(Master!$G$2:$G$1001,$O34))</f>
      </c>
      <c r="H34" s="164">
        <f>IF($O34="","",INDEX(Master!$H$2:$H$1001,$O34))</f>
      </c>
      <c r="I34" s="164">
        <f>IF($O34="","",INDEX(Master!$I$2:$I$1001,$O34))</f>
      </c>
      <c r="J34" s="164">
        <f>IF($O34="","",INDEX(Master!$J$2:$J$1001,$O34))</f>
      </c>
      <c r="K34" s="248">
        <f t="shared" si="0"/>
      </c>
      <c r="L34" s="164">
        <f>IF($O34="","",INDEX(Master!$K$2:$K$1001,$O34))</f>
      </c>
      <c r="M34" s="164">
        <f>IF($O34="","",INDEX(Master!$L$2:$L$1001,$O34))</f>
      </c>
      <c r="N34" s="164" t="s">
        <v>52</v>
      </c>
      <c r="O34">
        <f t="array" ref="O34">IFERROR(SMALL(IF(Master!$A$2:$A$1001="AR ISPAT",ROW(Master!$A$2:$A$1001)-ROW(Master!$A$2)+1),30),"")</f>
      </c>
      <c r="P34">
        <f t="shared" si="1"/>
      </c>
    </row>
    <row r="35" spans="1:16" x14ac:dyDescent="0.25">
      <c r="A35" s="164">
        <f>IF($O35="","",INDEX(Master!$D$2:$D$1001,$O35))</f>
      </c>
      <c r="B35" s="165">
        <f>IF($O35="","",INDEX(Master!$B$2:$B$1001,$O35))</f>
      </c>
      <c r="C35" s="164">
        <f>IF($O35="","",INDEX(Master!$C$2:$C$1001,$O35))</f>
      </c>
      <c r="D35" s="164">
        <f>IF($O35="","",INDEX(Master!$A$2:$A$1001,$O35))</f>
      </c>
      <c r="E35" s="164">
        <f>IF($O35="","",INDEX(Master!$E$2:$E$1001,$O35))</f>
      </c>
      <c r="F35" s="164">
        <f>IF($O35="","",INDEX(Master!$F$2:$F$1001,$O35))</f>
      </c>
      <c r="G35" s="164">
        <f>IF($O35="","",INDEX(Master!$G$2:$G$1001,$O35))</f>
      </c>
      <c r="H35" s="164">
        <f>IF($O35="","",INDEX(Master!$H$2:$H$1001,$O35))</f>
      </c>
      <c r="I35" s="164">
        <f>IF($O35="","",INDEX(Master!$I$2:$I$1001,$O35))</f>
      </c>
      <c r="J35" s="164">
        <f>IF($O35="","",INDEX(Master!$J$2:$J$1001,$O35))</f>
      </c>
      <c r="K35" s="248">
        <f t="shared" si="0"/>
      </c>
      <c r="L35" s="164">
        <f>IF($O35="","",INDEX(Master!$K$2:$K$1001,$O35))</f>
      </c>
      <c r="M35" s="164">
        <f>IF($O35="","",INDEX(Master!$L$2:$L$1001,$O35))</f>
      </c>
      <c r="N35" s="164" t="s">
        <v>52</v>
      </c>
      <c r="O35">
        <f t="array" ref="O35">IFERROR(SMALL(IF(Master!$A$2:$A$1001="AR ISPAT",ROW(Master!$A$2:$A$1001)-ROW(Master!$A$2)+1),31),"")</f>
      </c>
      <c r="P35">
        <f t="shared" si="1"/>
      </c>
    </row>
    <row r="36" spans="1:16" x14ac:dyDescent="0.25">
      <c r="A36" s="164">
        <f>IF($O36="","",INDEX(Master!$D$2:$D$1001,$O36))</f>
      </c>
      <c r="B36" s="165">
        <f>IF($O36="","",INDEX(Master!$B$2:$B$1001,$O36))</f>
      </c>
      <c r="C36" s="164">
        <f>IF($O36="","",INDEX(Master!$C$2:$C$1001,$O36))</f>
      </c>
      <c r="D36" s="164">
        <f>IF($O36="","",INDEX(Master!$A$2:$A$1001,$O36))</f>
      </c>
      <c r="E36" s="164">
        <f>IF($O36="","",INDEX(Master!$E$2:$E$1001,$O36))</f>
      </c>
      <c r="F36" s="164">
        <f>IF($O36="","",INDEX(Master!$F$2:$F$1001,$O36))</f>
      </c>
      <c r="G36" s="164">
        <f>IF($O36="","",INDEX(Master!$G$2:$G$1001,$O36))</f>
      </c>
      <c r="H36" s="164">
        <f>IF($O36="","",INDEX(Master!$H$2:$H$1001,$O36))</f>
      </c>
      <c r="I36" s="164">
        <f>IF($O36="","",INDEX(Master!$I$2:$I$1001,$O36))</f>
      </c>
      <c r="J36" s="164">
        <f>IF($O36="","",INDEX(Master!$J$2:$J$1001,$O36))</f>
      </c>
      <c r="K36" s="248">
        <f t="shared" si="0"/>
      </c>
      <c r="L36" s="164">
        <f>IF($O36="","",INDEX(Master!$K$2:$K$1001,$O36))</f>
      </c>
      <c r="M36" s="164">
        <f>IF($O36="","",INDEX(Master!$L$2:$L$1001,$O36))</f>
      </c>
      <c r="N36" s="164" t="s">
        <v>52</v>
      </c>
      <c r="O36">
        <f t="array" ref="O36">IFERROR(SMALL(IF(Master!$A$2:$A$1001="AR ISPAT",ROW(Master!$A$2:$A$1001)-ROW(Master!$A$2)+1),32),"")</f>
      </c>
      <c r="P36">
        <f t="shared" si="1"/>
      </c>
    </row>
    <row r="37" spans="1:16" x14ac:dyDescent="0.25">
      <c r="A37" s="164">
        <f>IF($O37="","",INDEX(Master!$D$2:$D$1001,$O37))</f>
      </c>
      <c r="B37" s="165">
        <f>IF($O37="","",INDEX(Master!$B$2:$B$1001,$O37))</f>
      </c>
      <c r="C37" s="164">
        <f>IF($O37="","",INDEX(Master!$C$2:$C$1001,$O37))</f>
      </c>
      <c r="D37" s="164">
        <f>IF($O37="","",INDEX(Master!$A$2:$A$1001,$O37))</f>
      </c>
      <c r="E37" s="164">
        <f>IF($O37="","",INDEX(Master!$E$2:$E$1001,$O37))</f>
      </c>
      <c r="F37" s="164">
        <f>IF($O37="","",INDEX(Master!$F$2:$F$1001,$O37))</f>
      </c>
      <c r="G37" s="164">
        <f>IF($O37="","",INDEX(Master!$G$2:$G$1001,$O37))</f>
      </c>
      <c r="H37" s="164">
        <f>IF($O37="","",INDEX(Master!$H$2:$H$1001,$O37))</f>
      </c>
      <c r="I37" s="164">
        <f>IF($O37="","",INDEX(Master!$I$2:$I$1001,$O37))</f>
      </c>
      <c r="J37" s="164">
        <f>IF($O37="","",INDEX(Master!$J$2:$J$1001,$O37))</f>
      </c>
      <c r="K37" s="248">
        <f t="shared" si="0"/>
      </c>
      <c r="L37" s="164">
        <f>IF($O37="","",INDEX(Master!$K$2:$K$1001,$O37))</f>
      </c>
      <c r="M37" s="164">
        <f>IF($O37="","",INDEX(Master!$L$2:$L$1001,$O37))</f>
      </c>
      <c r="N37" s="164" t="s">
        <v>52</v>
      </c>
      <c r="O37">
        <f t="array" ref="O37">IFERROR(SMALL(IF(Master!$A$2:$A$1001="AR ISPAT",ROW(Master!$A$2:$A$1001)-ROW(Master!$A$2)+1),33),"")</f>
      </c>
      <c r="P37">
        <f t="shared" si="1"/>
      </c>
    </row>
    <row r="38" spans="1:16" x14ac:dyDescent="0.25">
      <c r="A38" s="164">
        <f>IF($O38="","",INDEX(Master!$D$2:$D$1001,$O38))</f>
      </c>
      <c r="B38" s="165">
        <f>IF($O38="","",INDEX(Master!$B$2:$B$1001,$O38))</f>
      </c>
      <c r="C38" s="164">
        <f>IF($O38="","",INDEX(Master!$C$2:$C$1001,$O38))</f>
      </c>
      <c r="D38" s="164">
        <f>IF($O38="","",INDEX(Master!$A$2:$A$1001,$O38))</f>
      </c>
      <c r="E38" s="164">
        <f>IF($O38="","",INDEX(Master!$E$2:$E$1001,$O38))</f>
      </c>
      <c r="F38" s="164">
        <f>IF($O38="","",INDEX(Master!$F$2:$F$1001,$O38))</f>
      </c>
      <c r="G38" s="164">
        <f>IF($O38="","",INDEX(Master!$G$2:$G$1001,$O38))</f>
      </c>
      <c r="H38" s="164">
        <f>IF($O38="","",INDEX(Master!$H$2:$H$1001,$O38))</f>
      </c>
      <c r="I38" s="164">
        <f>IF($O38="","",INDEX(Master!$I$2:$I$1001,$O38))</f>
      </c>
      <c r="J38" s="164">
        <f>IF($O38="","",INDEX(Master!$J$2:$J$1001,$O38))</f>
      </c>
      <c r="K38" s="248">
        <f t="shared" si="0"/>
      </c>
      <c r="L38" s="164">
        <f>IF($O38="","",INDEX(Master!$K$2:$K$1001,$O38))</f>
      </c>
      <c r="M38" s="164">
        <f>IF($O38="","",INDEX(Master!$L$2:$L$1001,$O38))</f>
      </c>
      <c r="N38" s="164" t="s">
        <v>52</v>
      </c>
      <c r="O38">
        <f t="array" ref="O38">IFERROR(SMALL(IF(Master!$A$2:$A$1001="AR ISPAT",ROW(Master!$A$2:$A$1001)-ROW(Master!$A$2)+1),34),"")</f>
      </c>
      <c r="P38">
        <f t="shared" si="1"/>
      </c>
    </row>
    <row r="39" spans="1:16" x14ac:dyDescent="0.25">
      <c r="A39" s="164">
        <f>IF($O39="","",INDEX(Master!$D$2:$D$1001,$O39))</f>
      </c>
      <c r="B39" s="165">
        <f>IF($O39="","",INDEX(Master!$B$2:$B$1001,$O39))</f>
      </c>
      <c r="C39" s="164">
        <f>IF($O39="","",INDEX(Master!$C$2:$C$1001,$O39))</f>
      </c>
      <c r="D39" s="164">
        <f>IF($O39="","",INDEX(Master!$A$2:$A$1001,$O39))</f>
      </c>
      <c r="E39" s="164">
        <f>IF($O39="","",INDEX(Master!$E$2:$E$1001,$O39))</f>
      </c>
      <c r="F39" s="164">
        <f>IF($O39="","",INDEX(Master!$F$2:$F$1001,$O39))</f>
      </c>
      <c r="G39" s="164">
        <f>IF($O39="","",INDEX(Master!$G$2:$G$1001,$O39))</f>
      </c>
      <c r="H39" s="164">
        <f>IF($O39="","",INDEX(Master!$H$2:$H$1001,$O39))</f>
      </c>
      <c r="I39" s="164">
        <f>IF($O39="","",INDEX(Master!$I$2:$I$1001,$O39))</f>
      </c>
      <c r="J39" s="164">
        <f>IF($O39="","",INDEX(Master!$J$2:$J$1001,$O39))</f>
      </c>
      <c r="K39" s="248">
        <f t="shared" si="0"/>
      </c>
      <c r="L39" s="164">
        <f>IF($O39="","",INDEX(Master!$K$2:$K$1001,$O39))</f>
      </c>
      <c r="M39" s="164">
        <f>IF($O39="","",INDEX(Master!$L$2:$L$1001,$O39))</f>
      </c>
      <c r="N39" s="164" t="s">
        <v>52</v>
      </c>
      <c r="O39">
        <f t="array" ref="O39">IFERROR(SMALL(IF(Master!$A$2:$A$1001="AR ISPAT",ROW(Master!$A$2:$A$1001)-ROW(Master!$A$2)+1),35),"")</f>
      </c>
      <c r="P39">
        <f t="shared" si="1"/>
      </c>
    </row>
    <row r="40" spans="1:16" x14ac:dyDescent="0.25">
      <c r="A40" s="164">
        <f>IF($O40="","",INDEX(Master!$D$2:$D$1001,$O40))</f>
      </c>
      <c r="B40" s="165">
        <f>IF($O40="","",INDEX(Master!$B$2:$B$1001,$O40))</f>
      </c>
      <c r="C40" s="164">
        <f>IF($O40="","",INDEX(Master!$C$2:$C$1001,$O40))</f>
      </c>
      <c r="D40" s="164">
        <f>IF($O40="","",INDEX(Master!$A$2:$A$1001,$O40))</f>
      </c>
      <c r="E40" s="164">
        <f>IF($O40="","",INDEX(Master!$E$2:$E$1001,$O40))</f>
      </c>
      <c r="F40" s="164">
        <f>IF($O40="","",INDEX(Master!$F$2:$F$1001,$O40))</f>
      </c>
      <c r="G40" s="164">
        <f>IF($O40="","",INDEX(Master!$G$2:$G$1001,$O40))</f>
      </c>
      <c r="H40" s="164">
        <f>IF($O40="","",INDEX(Master!$H$2:$H$1001,$O40))</f>
      </c>
      <c r="I40" s="164">
        <f>IF($O40="","",INDEX(Master!$I$2:$I$1001,$O40))</f>
      </c>
      <c r="J40" s="164">
        <f>IF($O40="","",INDEX(Master!$J$2:$J$1001,$O40))</f>
      </c>
      <c r="K40" s="248">
        <f t="shared" si="0"/>
      </c>
      <c r="L40" s="164">
        <f>IF($O40="","",INDEX(Master!$K$2:$K$1001,$O40))</f>
      </c>
      <c r="M40" s="164">
        <f>IF($O40="","",INDEX(Master!$L$2:$L$1001,$O40))</f>
      </c>
      <c r="N40" s="164" t="s">
        <v>52</v>
      </c>
      <c r="O40">
        <f t="array" ref="O40">IFERROR(SMALL(IF(Master!$A$2:$A$1001="AR ISPAT",ROW(Master!$A$2:$A$1001)-ROW(Master!$A$2)+1),36),"")</f>
      </c>
      <c r="P40">
        <f t="shared" si="1"/>
      </c>
    </row>
    <row r="41" spans="1:16" x14ac:dyDescent="0.25">
      <c r="A41" s="164">
        <f>IF($O41="","",INDEX(Master!$D$2:$D$1001,$O41))</f>
      </c>
      <c r="B41" s="165">
        <f>IF($O41="","",INDEX(Master!$B$2:$B$1001,$O41))</f>
      </c>
      <c r="C41" s="164">
        <f>IF($O41="","",INDEX(Master!$C$2:$C$1001,$O41))</f>
      </c>
      <c r="D41" s="164">
        <f>IF($O41="","",INDEX(Master!$A$2:$A$1001,$O41))</f>
      </c>
      <c r="E41" s="164">
        <f>IF($O41="","",INDEX(Master!$E$2:$E$1001,$O41))</f>
      </c>
      <c r="F41" s="164">
        <f>IF($O41="","",INDEX(Master!$F$2:$F$1001,$O41))</f>
      </c>
      <c r="G41" s="164">
        <f>IF($O41="","",INDEX(Master!$G$2:$G$1001,$O41))</f>
      </c>
      <c r="H41" s="164">
        <f>IF($O41="","",INDEX(Master!$H$2:$H$1001,$O41))</f>
      </c>
      <c r="I41" s="164">
        <f>IF($O41="","",INDEX(Master!$I$2:$I$1001,$O41))</f>
      </c>
      <c r="J41" s="164">
        <f>IF($O41="","",INDEX(Master!$J$2:$J$1001,$O41))</f>
      </c>
      <c r="K41" s="248">
        <f t="shared" si="0"/>
      </c>
      <c r="L41" s="164">
        <f>IF($O41="","",INDEX(Master!$K$2:$K$1001,$O41))</f>
      </c>
      <c r="M41" s="164">
        <f>IF($O41="","",INDEX(Master!$L$2:$L$1001,$O41))</f>
      </c>
      <c r="N41" s="164" t="s">
        <v>52</v>
      </c>
      <c r="O41">
        <f t="array" ref="O41">IFERROR(SMALL(IF(Master!$A$2:$A$1001="AR ISPAT",ROW(Master!$A$2:$A$1001)-ROW(Master!$A$2)+1),37),"")</f>
      </c>
      <c r="P41">
        <f t="shared" si="1"/>
      </c>
    </row>
    <row r="42" spans="1:16" x14ac:dyDescent="0.25">
      <c r="A42" s="164">
        <f>IF($O42="","",INDEX(Master!$D$2:$D$1001,$O42))</f>
      </c>
      <c r="B42" s="165">
        <f>IF($O42="","",INDEX(Master!$B$2:$B$1001,$O42))</f>
      </c>
      <c r="C42" s="164">
        <f>IF($O42="","",INDEX(Master!$C$2:$C$1001,$O42))</f>
      </c>
      <c r="D42" s="164">
        <f>IF($O42="","",INDEX(Master!$A$2:$A$1001,$O42))</f>
      </c>
      <c r="E42" s="164">
        <f>IF($O42="","",INDEX(Master!$E$2:$E$1001,$O42))</f>
      </c>
      <c r="F42" s="164">
        <f>IF($O42="","",INDEX(Master!$F$2:$F$1001,$O42))</f>
      </c>
      <c r="G42" s="164">
        <f>IF($O42="","",INDEX(Master!$G$2:$G$1001,$O42))</f>
      </c>
      <c r="H42" s="164">
        <f>IF($O42="","",INDEX(Master!$H$2:$H$1001,$O42))</f>
      </c>
      <c r="I42" s="164">
        <f>IF($O42="","",INDEX(Master!$I$2:$I$1001,$O42))</f>
      </c>
      <c r="J42" s="164">
        <f>IF($O42="","",INDEX(Master!$J$2:$J$1001,$O42))</f>
      </c>
      <c r="K42" s="248">
        <f t="shared" si="0"/>
      </c>
      <c r="L42" s="164">
        <f>IF($O42="","",INDEX(Master!$K$2:$K$1001,$O42))</f>
      </c>
      <c r="M42" s="164">
        <f>IF($O42="","",INDEX(Master!$L$2:$L$1001,$O42))</f>
      </c>
      <c r="N42" s="164" t="s">
        <v>52</v>
      </c>
      <c r="O42">
        <f t="array" ref="O42">IFERROR(SMALL(IF(Master!$A$2:$A$1001="AR ISPAT",ROW(Master!$A$2:$A$1001)-ROW(Master!$A$2)+1),38),"")</f>
      </c>
      <c r="P42">
        <f t="shared" si="1"/>
      </c>
    </row>
    <row r="43" spans="1:16" x14ac:dyDescent="0.25">
      <c r="A43" s="164">
        <f>IF($O43="","",INDEX(Master!$D$2:$D$1001,$O43))</f>
      </c>
      <c r="B43" s="165">
        <f>IF($O43="","",INDEX(Master!$B$2:$B$1001,$O43))</f>
      </c>
      <c r="C43" s="164">
        <f>IF($O43="","",INDEX(Master!$C$2:$C$1001,$O43))</f>
      </c>
      <c r="D43" s="164">
        <f>IF($O43="","",INDEX(Master!$A$2:$A$1001,$O43))</f>
      </c>
      <c r="E43" s="164">
        <f>IF($O43="","",INDEX(Master!$E$2:$E$1001,$O43))</f>
      </c>
      <c r="F43" s="164">
        <f>IF($O43="","",INDEX(Master!$F$2:$F$1001,$O43))</f>
      </c>
      <c r="G43" s="164">
        <f>IF($O43="","",INDEX(Master!$G$2:$G$1001,$O43))</f>
      </c>
      <c r="H43" s="164">
        <f>IF($O43="","",INDEX(Master!$H$2:$H$1001,$O43))</f>
      </c>
      <c r="I43" s="164">
        <f>IF($O43="","",INDEX(Master!$I$2:$I$1001,$O43))</f>
      </c>
      <c r="J43" s="164">
        <f>IF($O43="","",INDEX(Master!$J$2:$J$1001,$O43))</f>
      </c>
      <c r="K43" s="248">
        <f t="shared" si="0"/>
      </c>
      <c r="L43" s="164">
        <f>IF($O43="","",INDEX(Master!$K$2:$K$1001,$O43))</f>
      </c>
      <c r="M43" s="164">
        <f>IF($O43="","",INDEX(Master!$L$2:$L$1001,$O43))</f>
      </c>
      <c r="N43" s="164" t="s">
        <v>52</v>
      </c>
      <c r="O43">
        <f t="array" ref="O43">IFERROR(SMALL(IF(Master!$A$2:$A$1001="AR ISPAT",ROW(Master!$A$2:$A$1001)-ROW(Master!$A$2)+1),39),"")</f>
      </c>
      <c r="P43">
        <f t="shared" si="1"/>
      </c>
    </row>
    <row r="44" spans="1:16" x14ac:dyDescent="0.25">
      <c r="A44" s="164">
        <f>IF($O44="","",INDEX(Master!$D$2:$D$1001,$O44))</f>
      </c>
      <c r="B44" s="165">
        <f>IF($O44="","",INDEX(Master!$B$2:$B$1001,$O44))</f>
      </c>
      <c r="C44" s="164">
        <f>IF($O44="","",INDEX(Master!$C$2:$C$1001,$O44))</f>
      </c>
      <c r="D44" s="164">
        <f>IF($O44="","",INDEX(Master!$A$2:$A$1001,$O44))</f>
      </c>
      <c r="E44" s="164">
        <f>IF($O44="","",INDEX(Master!$E$2:$E$1001,$O44))</f>
      </c>
      <c r="F44" s="164">
        <f>IF($O44="","",INDEX(Master!$F$2:$F$1001,$O44))</f>
      </c>
      <c r="G44" s="164">
        <f>IF($O44="","",INDEX(Master!$G$2:$G$1001,$O44))</f>
      </c>
      <c r="H44" s="164">
        <f>IF($O44="","",INDEX(Master!$H$2:$H$1001,$O44))</f>
      </c>
      <c r="I44" s="164">
        <f>IF($O44="","",INDEX(Master!$I$2:$I$1001,$O44))</f>
      </c>
      <c r="J44" s="164">
        <f>IF($O44="","",INDEX(Master!$J$2:$J$1001,$O44))</f>
      </c>
      <c r="K44" s="248">
        <f t="shared" si="0"/>
      </c>
      <c r="L44" s="164">
        <f>IF($O44="","",INDEX(Master!$K$2:$K$1001,$O44))</f>
      </c>
      <c r="M44" s="164">
        <f>IF($O44="","",INDEX(Master!$L$2:$L$1001,$O44))</f>
      </c>
      <c r="N44" s="164" t="s">
        <v>52</v>
      </c>
      <c r="O44">
        <f t="array" ref="O44">IFERROR(SMALL(IF(Master!$A$2:$A$1001="AR ISPAT",ROW(Master!$A$2:$A$1001)-ROW(Master!$A$2)+1),40),"")</f>
      </c>
      <c r="P44">
        <f t="shared" si="1"/>
      </c>
    </row>
    <row r="45" spans="1:16" x14ac:dyDescent="0.25">
      <c r="A45" s="164">
        <f>IF($O45="","",INDEX(Master!$D$2:$D$1001,$O45))</f>
      </c>
      <c r="B45" s="165">
        <f>IF($O45="","",INDEX(Master!$B$2:$B$1001,$O45))</f>
      </c>
      <c r="C45" s="164">
        <f>IF($O45="","",INDEX(Master!$C$2:$C$1001,$O45))</f>
      </c>
      <c r="D45" s="164">
        <f>IF($O45="","",INDEX(Master!$A$2:$A$1001,$O45))</f>
      </c>
      <c r="E45" s="164">
        <f>IF($O45="","",INDEX(Master!$E$2:$E$1001,$O45))</f>
      </c>
      <c r="F45" s="164">
        <f>IF($O45="","",INDEX(Master!$F$2:$F$1001,$O45))</f>
      </c>
      <c r="G45" s="164">
        <f>IF($O45="","",INDEX(Master!$G$2:$G$1001,$O45))</f>
      </c>
      <c r="H45" s="164">
        <f>IF($O45="","",INDEX(Master!$H$2:$H$1001,$O45))</f>
      </c>
      <c r="I45" s="164">
        <f>IF($O45="","",INDEX(Master!$I$2:$I$1001,$O45))</f>
      </c>
      <c r="J45" s="164">
        <f>IF($O45="","",INDEX(Master!$J$2:$J$1001,$O45))</f>
      </c>
      <c r="K45" s="248">
        <f t="shared" si="0"/>
      </c>
      <c r="L45" s="164">
        <f>IF($O45="","",INDEX(Master!$K$2:$K$1001,$O45))</f>
      </c>
      <c r="M45" s="164">
        <f>IF($O45="","",INDEX(Master!$L$2:$L$1001,$O45))</f>
      </c>
      <c r="N45" s="164" t="s">
        <v>52</v>
      </c>
      <c r="O45">
        <f t="array" ref="O45">IFERROR(SMALL(IF(Master!$A$2:$A$1001="AR ISPAT",ROW(Master!$A$2:$A$1001)-ROW(Master!$A$2)+1),41),"")</f>
      </c>
      <c r="P45">
        <f t="shared" si="1"/>
      </c>
    </row>
    <row r="46" spans="1:16" x14ac:dyDescent="0.25">
      <c r="A46" s="164">
        <f>IF($O46="","",INDEX(Master!$D$2:$D$1001,$O46))</f>
      </c>
      <c r="B46" s="165">
        <f>IF($O46="","",INDEX(Master!$B$2:$B$1001,$O46))</f>
      </c>
      <c r="C46" s="164">
        <f>IF($O46="","",INDEX(Master!$C$2:$C$1001,$O46))</f>
      </c>
      <c r="D46" s="164">
        <f>IF($O46="","",INDEX(Master!$A$2:$A$1001,$O46))</f>
      </c>
      <c r="E46" s="164">
        <f>IF($O46="","",INDEX(Master!$E$2:$E$1001,$O46))</f>
      </c>
      <c r="F46" s="164">
        <f>IF($O46="","",INDEX(Master!$F$2:$F$1001,$O46))</f>
      </c>
      <c r="G46" s="164">
        <f>IF($O46="","",INDEX(Master!$G$2:$G$1001,$O46))</f>
      </c>
      <c r="H46" s="164">
        <f>IF($O46="","",INDEX(Master!$H$2:$H$1001,$O46))</f>
      </c>
      <c r="I46" s="164">
        <f>IF($O46="","",INDEX(Master!$I$2:$I$1001,$O46))</f>
      </c>
      <c r="J46" s="164">
        <f>IF($O46="","",INDEX(Master!$J$2:$J$1001,$O46))</f>
      </c>
      <c r="K46" s="248">
        <f t="shared" si="0"/>
      </c>
      <c r="L46" s="164">
        <f>IF($O46="","",INDEX(Master!$K$2:$K$1001,$O46))</f>
      </c>
      <c r="M46" s="164">
        <f>IF($O46="","",INDEX(Master!$L$2:$L$1001,$O46))</f>
      </c>
      <c r="N46" s="164" t="s">
        <v>52</v>
      </c>
      <c r="O46">
        <f t="array" ref="O46">IFERROR(SMALL(IF(Master!$A$2:$A$1001="AR ISPAT",ROW(Master!$A$2:$A$1001)-ROW(Master!$A$2)+1),42),"")</f>
      </c>
      <c r="P46">
        <f t="shared" si="1"/>
      </c>
    </row>
    <row r="47" spans="1:16" x14ac:dyDescent="0.25">
      <c r="A47" s="164">
        <f>IF($O47="","",INDEX(Master!$D$2:$D$1001,$O47))</f>
      </c>
      <c r="B47" s="165">
        <f>IF($O47="","",INDEX(Master!$B$2:$B$1001,$O47))</f>
      </c>
      <c r="C47" s="164">
        <f>IF($O47="","",INDEX(Master!$C$2:$C$1001,$O47))</f>
      </c>
      <c r="D47" s="164">
        <f>IF($O47="","",INDEX(Master!$A$2:$A$1001,$O47))</f>
      </c>
      <c r="E47" s="164">
        <f>IF($O47="","",INDEX(Master!$E$2:$E$1001,$O47))</f>
      </c>
      <c r="F47" s="164">
        <f>IF($O47="","",INDEX(Master!$F$2:$F$1001,$O47))</f>
      </c>
      <c r="G47" s="164">
        <f>IF($O47="","",INDEX(Master!$G$2:$G$1001,$O47))</f>
      </c>
      <c r="H47" s="164">
        <f>IF($O47="","",INDEX(Master!$H$2:$H$1001,$O47))</f>
      </c>
      <c r="I47" s="164">
        <f>IF($O47="","",INDEX(Master!$I$2:$I$1001,$O47))</f>
      </c>
      <c r="J47" s="164">
        <f>IF($O47="","",INDEX(Master!$J$2:$J$1001,$O47))</f>
      </c>
      <c r="K47" s="248">
        <f t="shared" si="0"/>
      </c>
      <c r="L47" s="164">
        <f>IF($O47="","",INDEX(Master!$K$2:$K$1001,$O47))</f>
      </c>
      <c r="M47" s="164">
        <f>IF($O47="","",INDEX(Master!$L$2:$L$1001,$O47))</f>
      </c>
      <c r="N47" s="164" t="s">
        <v>52</v>
      </c>
      <c r="O47">
        <f t="array" ref="O47">IFERROR(SMALL(IF(Master!$A$2:$A$1001="AR ISPAT",ROW(Master!$A$2:$A$1001)-ROW(Master!$A$2)+1),43),"")</f>
      </c>
      <c r="P47">
        <f t="shared" si="1"/>
      </c>
    </row>
    <row r="48" spans="1:16" x14ac:dyDescent="0.25">
      <c r="A48" s="164">
        <f>IF($O48="","",INDEX(Master!$D$2:$D$1001,$O48))</f>
      </c>
      <c r="B48" s="165">
        <f>IF($O48="","",INDEX(Master!$B$2:$B$1001,$O48))</f>
      </c>
      <c r="C48" s="164">
        <f>IF($O48="","",INDEX(Master!$C$2:$C$1001,$O48))</f>
      </c>
      <c r="D48" s="164">
        <f>IF($O48="","",INDEX(Master!$A$2:$A$1001,$O48))</f>
      </c>
      <c r="E48" s="164">
        <f>IF($O48="","",INDEX(Master!$E$2:$E$1001,$O48))</f>
      </c>
      <c r="F48" s="164">
        <f>IF($O48="","",INDEX(Master!$F$2:$F$1001,$O48))</f>
      </c>
      <c r="G48" s="164">
        <f>IF($O48="","",INDEX(Master!$G$2:$G$1001,$O48))</f>
      </c>
      <c r="H48" s="164">
        <f>IF($O48="","",INDEX(Master!$H$2:$H$1001,$O48))</f>
      </c>
      <c r="I48" s="164">
        <f>IF($O48="","",INDEX(Master!$I$2:$I$1001,$O48))</f>
      </c>
      <c r="J48" s="164">
        <f>IF($O48="","",INDEX(Master!$J$2:$J$1001,$O48))</f>
      </c>
      <c r="K48" s="248">
        <f t="shared" si="0"/>
      </c>
      <c r="L48" s="164">
        <f>IF($O48="","",INDEX(Master!$K$2:$K$1001,$O48))</f>
      </c>
      <c r="M48" s="164">
        <f>IF($O48="","",INDEX(Master!$L$2:$L$1001,$O48))</f>
      </c>
      <c r="N48" s="164" t="s">
        <v>52</v>
      </c>
      <c r="O48">
        <f t="array" ref="O48">IFERROR(SMALL(IF(Master!$A$2:$A$1001="AR ISPAT",ROW(Master!$A$2:$A$1001)-ROW(Master!$A$2)+1),44),"")</f>
      </c>
      <c r="P48">
        <f t="shared" si="1"/>
      </c>
    </row>
    <row r="49" spans="1:16" x14ac:dyDescent="0.25">
      <c r="A49" s="164">
        <f>IF($O49="","",INDEX(Master!$D$2:$D$1001,$O49))</f>
      </c>
      <c r="B49" s="165">
        <f>IF($O49="","",INDEX(Master!$B$2:$B$1001,$O49))</f>
      </c>
      <c r="C49" s="164">
        <f>IF($O49="","",INDEX(Master!$C$2:$C$1001,$O49))</f>
      </c>
      <c r="D49" s="164">
        <f>IF($O49="","",INDEX(Master!$A$2:$A$1001,$O49))</f>
      </c>
      <c r="E49" s="164">
        <f>IF($O49="","",INDEX(Master!$E$2:$E$1001,$O49))</f>
      </c>
      <c r="F49" s="164">
        <f>IF($O49="","",INDEX(Master!$F$2:$F$1001,$O49))</f>
      </c>
      <c r="G49" s="164">
        <f>IF($O49="","",INDEX(Master!$G$2:$G$1001,$O49))</f>
      </c>
      <c r="H49" s="164">
        <f>IF($O49="","",INDEX(Master!$H$2:$H$1001,$O49))</f>
      </c>
      <c r="I49" s="164">
        <f>IF($O49="","",INDEX(Master!$I$2:$I$1001,$O49))</f>
      </c>
      <c r="J49" s="164">
        <f>IF($O49="","",INDEX(Master!$J$2:$J$1001,$O49))</f>
      </c>
      <c r="K49" s="248">
        <f t="shared" si="0"/>
      </c>
      <c r="L49" s="164">
        <f>IF($O49="","",INDEX(Master!$K$2:$K$1001,$O49))</f>
      </c>
      <c r="M49" s="164">
        <f>IF($O49="","",INDEX(Master!$L$2:$L$1001,$O49))</f>
      </c>
      <c r="N49" s="164" t="s">
        <v>52</v>
      </c>
      <c r="O49">
        <f t="array" ref="O49">IFERROR(SMALL(IF(Master!$A$2:$A$1001="AR ISPAT",ROW(Master!$A$2:$A$1001)-ROW(Master!$A$2)+1),45),"")</f>
      </c>
      <c r="P49">
        <f t="shared" si="1"/>
      </c>
    </row>
    <row r="50" spans="1:16" x14ac:dyDescent="0.25">
      <c r="A50" s="164">
        <f>IF($O50="","",INDEX(Master!$D$2:$D$1001,$O50))</f>
      </c>
      <c r="B50" s="165">
        <f>IF($O50="","",INDEX(Master!$B$2:$B$1001,$O50))</f>
      </c>
      <c r="C50" s="164">
        <f>IF($O50="","",INDEX(Master!$C$2:$C$1001,$O50))</f>
      </c>
      <c r="D50" s="164">
        <f>IF($O50="","",INDEX(Master!$A$2:$A$1001,$O50))</f>
      </c>
      <c r="E50" s="164">
        <f>IF($O50="","",INDEX(Master!$E$2:$E$1001,$O50))</f>
      </c>
      <c r="F50" s="164">
        <f>IF($O50="","",INDEX(Master!$F$2:$F$1001,$O50))</f>
      </c>
      <c r="G50" s="164">
        <f>IF($O50="","",INDEX(Master!$G$2:$G$1001,$O50))</f>
      </c>
      <c r="H50" s="164">
        <f>IF($O50="","",INDEX(Master!$H$2:$H$1001,$O50))</f>
      </c>
      <c r="I50" s="164">
        <f>IF($O50="","",INDEX(Master!$I$2:$I$1001,$O50))</f>
      </c>
      <c r="J50" s="164">
        <f>IF($O50="","",INDEX(Master!$J$2:$J$1001,$O50))</f>
      </c>
      <c r="K50" s="248">
        <f t="shared" si="0"/>
      </c>
      <c r="L50" s="164">
        <f>IF($O50="","",INDEX(Master!$K$2:$K$1001,$O50))</f>
      </c>
      <c r="M50" s="164">
        <f>IF($O50="","",INDEX(Master!$L$2:$L$1001,$O50))</f>
      </c>
      <c r="N50" s="164" t="s">
        <v>52</v>
      </c>
      <c r="O50">
        <f t="array" ref="O50">IFERROR(SMALL(IF(Master!$A$2:$A$1001="AR ISPAT",ROW(Master!$A$2:$A$1001)-ROW(Master!$A$2)+1),46),"")</f>
      </c>
      <c r="P50">
        <f t="shared" si="1"/>
      </c>
    </row>
    <row r="51" spans="1:16" x14ac:dyDescent="0.25">
      <c r="A51" s="164">
        <f>IF($O51="","",INDEX(Master!$D$2:$D$1001,$O51))</f>
      </c>
      <c r="B51" s="165">
        <f>IF($O51="","",INDEX(Master!$B$2:$B$1001,$O51))</f>
      </c>
      <c r="C51" s="164">
        <f>IF($O51="","",INDEX(Master!$C$2:$C$1001,$O51))</f>
      </c>
      <c r="D51" s="164">
        <f>IF($O51="","",INDEX(Master!$A$2:$A$1001,$O51))</f>
      </c>
      <c r="E51" s="164">
        <f>IF($O51="","",INDEX(Master!$E$2:$E$1001,$O51))</f>
      </c>
      <c r="F51" s="164">
        <f>IF($O51="","",INDEX(Master!$F$2:$F$1001,$O51))</f>
      </c>
      <c r="G51" s="164">
        <f>IF($O51="","",INDEX(Master!$G$2:$G$1001,$O51))</f>
      </c>
      <c r="H51" s="164">
        <f>IF($O51="","",INDEX(Master!$H$2:$H$1001,$O51))</f>
      </c>
      <c r="I51" s="164">
        <f>IF($O51="","",INDEX(Master!$I$2:$I$1001,$O51))</f>
      </c>
      <c r="J51" s="164">
        <f>IF($O51="","",INDEX(Master!$J$2:$J$1001,$O51))</f>
      </c>
      <c r="K51" s="248">
        <f t="shared" si="0"/>
      </c>
      <c r="L51" s="164">
        <f>IF($O51="","",INDEX(Master!$K$2:$K$1001,$O51))</f>
      </c>
      <c r="M51" s="164">
        <f>IF($O51="","",INDEX(Master!$L$2:$L$1001,$O51))</f>
      </c>
      <c r="N51" s="164" t="s">
        <v>52</v>
      </c>
      <c r="O51">
        <f t="array" ref="O51">IFERROR(SMALL(IF(Master!$A$2:$A$1001="AR ISPAT",ROW(Master!$A$2:$A$1001)-ROW(Master!$A$2)+1),47),"")</f>
      </c>
      <c r="P51">
        <f t="shared" si="1"/>
      </c>
    </row>
    <row r="52" spans="1:16" x14ac:dyDescent="0.25">
      <c r="A52" s="164">
        <f>IF($O52="","",INDEX(Master!$D$2:$D$1001,$O52))</f>
      </c>
      <c r="B52" s="165">
        <f>IF($O52="","",INDEX(Master!$B$2:$B$1001,$O52))</f>
      </c>
      <c r="C52" s="164">
        <f>IF($O52="","",INDEX(Master!$C$2:$C$1001,$O52))</f>
      </c>
      <c r="D52" s="164">
        <f>IF($O52="","",INDEX(Master!$A$2:$A$1001,$O52))</f>
      </c>
      <c r="E52" s="164">
        <f>IF($O52="","",INDEX(Master!$E$2:$E$1001,$O52))</f>
      </c>
      <c r="F52" s="164">
        <f>IF($O52="","",INDEX(Master!$F$2:$F$1001,$O52))</f>
      </c>
      <c r="G52" s="164">
        <f>IF($O52="","",INDEX(Master!$G$2:$G$1001,$O52))</f>
      </c>
      <c r="H52" s="164">
        <f>IF($O52="","",INDEX(Master!$H$2:$H$1001,$O52))</f>
      </c>
      <c r="I52" s="164">
        <f>IF($O52="","",INDEX(Master!$I$2:$I$1001,$O52))</f>
      </c>
      <c r="J52" s="164">
        <f>IF($O52="","",INDEX(Master!$J$2:$J$1001,$O52))</f>
      </c>
      <c r="K52" s="248">
        <f t="shared" si="0"/>
      </c>
      <c r="L52" s="164">
        <f>IF($O52="","",INDEX(Master!$K$2:$K$1001,$O52))</f>
      </c>
      <c r="M52" s="164">
        <f>IF($O52="","",INDEX(Master!$L$2:$L$1001,$O52))</f>
      </c>
      <c r="N52" s="164" t="s">
        <v>52</v>
      </c>
      <c r="O52">
        <f t="array" ref="O52">IFERROR(SMALL(IF(Master!$A$2:$A$1001="AR ISPAT",ROW(Master!$A$2:$A$1001)-ROW(Master!$A$2)+1),48),"")</f>
      </c>
      <c r="P52">
        <f t="shared" si="1"/>
      </c>
    </row>
    <row r="53" spans="1:16" x14ac:dyDescent="0.25">
      <c r="A53" s="164">
        <f>IF($O53="","",INDEX(Master!$D$2:$D$1001,$O53))</f>
      </c>
      <c r="B53" s="165">
        <f>IF($O53="","",INDEX(Master!$B$2:$B$1001,$O53))</f>
      </c>
      <c r="C53" s="164">
        <f>IF($O53="","",INDEX(Master!$C$2:$C$1001,$O53))</f>
      </c>
      <c r="D53" s="164">
        <f>IF($O53="","",INDEX(Master!$A$2:$A$1001,$O53))</f>
      </c>
      <c r="E53" s="164">
        <f>IF($O53="","",INDEX(Master!$E$2:$E$1001,$O53))</f>
      </c>
      <c r="F53" s="164">
        <f>IF($O53="","",INDEX(Master!$F$2:$F$1001,$O53))</f>
      </c>
      <c r="G53" s="164">
        <f>IF($O53="","",INDEX(Master!$G$2:$G$1001,$O53))</f>
      </c>
      <c r="H53" s="164">
        <f>IF($O53="","",INDEX(Master!$H$2:$H$1001,$O53))</f>
      </c>
      <c r="I53" s="164">
        <f>IF($O53="","",INDEX(Master!$I$2:$I$1001,$O53))</f>
      </c>
      <c r="J53" s="164">
        <f>IF($O53="","",INDEX(Master!$J$2:$J$1001,$O53))</f>
      </c>
      <c r="K53" s="248">
        <f t="shared" si="0"/>
      </c>
      <c r="L53" s="164">
        <f>IF($O53="","",INDEX(Master!$K$2:$K$1001,$O53))</f>
      </c>
      <c r="M53" s="164">
        <f>IF($O53="","",INDEX(Master!$L$2:$L$1001,$O53))</f>
      </c>
      <c r="N53" s="164" t="s">
        <v>52</v>
      </c>
      <c r="O53">
        <f t="array" ref="O53">IFERROR(SMALL(IF(Master!$A$2:$A$1001="AR ISPAT",ROW(Master!$A$2:$A$1001)-ROW(Master!$A$2)+1),49),"")</f>
      </c>
      <c r="P53">
        <f t="shared" si="1"/>
      </c>
    </row>
    <row r="54" spans="1:16" x14ac:dyDescent="0.25">
      <c r="A54" s="164">
        <f>IF($O54="","",INDEX(Master!$D$2:$D$1001,$O54))</f>
      </c>
      <c r="B54" s="165">
        <f>IF($O54="","",INDEX(Master!$B$2:$B$1001,$O54))</f>
      </c>
      <c r="C54" s="164">
        <f>IF($O54="","",INDEX(Master!$C$2:$C$1001,$O54))</f>
      </c>
      <c r="D54" s="164">
        <f>IF($O54="","",INDEX(Master!$A$2:$A$1001,$O54))</f>
      </c>
      <c r="E54" s="164">
        <f>IF($O54="","",INDEX(Master!$E$2:$E$1001,$O54))</f>
      </c>
      <c r="F54" s="164">
        <f>IF($O54="","",INDEX(Master!$F$2:$F$1001,$O54))</f>
      </c>
      <c r="G54" s="164">
        <f>IF($O54="","",INDEX(Master!$G$2:$G$1001,$O54))</f>
      </c>
      <c r="H54" s="164">
        <f>IF($O54="","",INDEX(Master!$H$2:$H$1001,$O54))</f>
      </c>
      <c r="I54" s="164">
        <f>IF($O54="","",INDEX(Master!$I$2:$I$1001,$O54))</f>
      </c>
      <c r="J54" s="164">
        <f>IF($O54="","",INDEX(Master!$J$2:$J$1001,$O54))</f>
      </c>
      <c r="K54" s="248">
        <f t="shared" si="0"/>
      </c>
      <c r="L54" s="164">
        <f>IF($O54="","",INDEX(Master!$K$2:$K$1001,$O54))</f>
      </c>
      <c r="M54" s="164">
        <f>IF($O54="","",INDEX(Master!$L$2:$L$1001,$O54))</f>
      </c>
      <c r="N54" s="164" t="s">
        <v>52</v>
      </c>
      <c r="O54">
        <f t="array" ref="O54">IFERROR(SMALL(IF(Master!$A$2:$A$1001="AR ISPAT",ROW(Master!$A$2:$A$1001)-ROW(Master!$A$2)+1),50),"")</f>
      </c>
      <c r="P54">
        <f t="shared" si="1"/>
      </c>
    </row>
    <row r="55" spans="1:16" x14ac:dyDescent="0.25">
      <c r="A55" s="164">
        <f>IF($O55="","",INDEX(Master!$D$2:$D$1001,$O55))</f>
      </c>
      <c r="B55" s="165">
        <f>IF($O55="","",INDEX(Master!$B$2:$B$1001,$O55))</f>
      </c>
      <c r="C55" s="164">
        <f>IF($O55="","",INDEX(Master!$C$2:$C$1001,$O55))</f>
      </c>
      <c r="D55" s="164">
        <f>IF($O55="","",INDEX(Master!$A$2:$A$1001,$O55))</f>
      </c>
      <c r="E55" s="164">
        <f>IF($O55="","",INDEX(Master!$E$2:$E$1001,$O55))</f>
      </c>
      <c r="F55" s="164">
        <f>IF($O55="","",INDEX(Master!$F$2:$F$1001,$O55))</f>
      </c>
      <c r="G55" s="164">
        <f>IF($O55="","",INDEX(Master!$G$2:$G$1001,$O55))</f>
      </c>
      <c r="H55" s="164">
        <f>IF($O55="","",INDEX(Master!$H$2:$H$1001,$O55))</f>
      </c>
      <c r="I55" s="164">
        <f>IF($O55="","",INDEX(Master!$I$2:$I$1001,$O55))</f>
      </c>
      <c r="J55" s="164">
        <f>IF($O55="","",INDEX(Master!$J$2:$J$1001,$O55))</f>
      </c>
      <c r="K55" s="248">
        <f t="shared" si="0"/>
      </c>
      <c r="L55" s="164">
        <f>IF($O55="","",INDEX(Master!$K$2:$K$1001,$O55))</f>
      </c>
      <c r="M55" s="164">
        <f>IF($O55="","",INDEX(Master!$L$2:$L$1001,$O55))</f>
      </c>
      <c r="N55" s="164" t="s">
        <v>52</v>
      </c>
      <c r="O55">
        <f t="array" ref="O55">IFERROR(SMALL(IF(Master!$A$2:$A$1001="AR ISPAT",ROW(Master!$A$2:$A$1001)-ROW(Master!$A$2)+1),51),"")</f>
      </c>
      <c r="P55">
        <f t="shared" si="1"/>
      </c>
    </row>
    <row r="56" spans="1:16" x14ac:dyDescent="0.25">
      <c r="A56" s="164">
        <f>IF($O56="","",INDEX(Master!$D$2:$D$1001,$O56))</f>
      </c>
      <c r="B56" s="165">
        <f>IF($O56="","",INDEX(Master!$B$2:$B$1001,$O56))</f>
      </c>
      <c r="C56" s="164">
        <f>IF($O56="","",INDEX(Master!$C$2:$C$1001,$O56))</f>
      </c>
      <c r="D56" s="164">
        <f>IF($O56="","",INDEX(Master!$A$2:$A$1001,$O56))</f>
      </c>
      <c r="E56" s="164">
        <f>IF($O56="","",INDEX(Master!$E$2:$E$1001,$O56))</f>
      </c>
      <c r="F56" s="164">
        <f>IF($O56="","",INDEX(Master!$F$2:$F$1001,$O56))</f>
      </c>
      <c r="G56" s="164">
        <f>IF($O56="","",INDEX(Master!$G$2:$G$1001,$O56))</f>
      </c>
      <c r="H56" s="164">
        <f>IF($O56="","",INDEX(Master!$H$2:$H$1001,$O56))</f>
      </c>
      <c r="I56" s="164">
        <f>IF($O56="","",INDEX(Master!$I$2:$I$1001,$O56))</f>
      </c>
      <c r="J56" s="164">
        <f>IF($O56="","",INDEX(Master!$J$2:$J$1001,$O56))</f>
      </c>
      <c r="K56" s="248">
        <f t="shared" si="0"/>
      </c>
      <c r="L56" s="164">
        <f>IF($O56="","",INDEX(Master!$K$2:$K$1001,$O56))</f>
      </c>
      <c r="M56" s="164">
        <f>IF($O56="","",INDEX(Master!$L$2:$L$1001,$O56))</f>
      </c>
      <c r="N56" s="164" t="s">
        <v>52</v>
      </c>
      <c r="O56">
        <f t="array" ref="O56">IFERROR(SMALL(IF(Master!$A$2:$A$1001="AR ISPAT",ROW(Master!$A$2:$A$1001)-ROW(Master!$A$2)+1),52),"")</f>
      </c>
      <c r="P56">
        <f t="shared" si="1"/>
      </c>
    </row>
    <row r="57" spans="1:16" x14ac:dyDescent="0.25">
      <c r="A57" s="164">
        <f>IF($O57="","",INDEX(Master!$D$2:$D$1001,$O57))</f>
      </c>
      <c r="B57" s="165">
        <f>IF($O57="","",INDEX(Master!$B$2:$B$1001,$O57))</f>
      </c>
      <c r="C57" s="164">
        <f>IF($O57="","",INDEX(Master!$C$2:$C$1001,$O57))</f>
      </c>
      <c r="D57" s="164">
        <f>IF($O57="","",INDEX(Master!$A$2:$A$1001,$O57))</f>
      </c>
      <c r="E57" s="164">
        <f>IF($O57="","",INDEX(Master!$E$2:$E$1001,$O57))</f>
      </c>
      <c r="F57" s="164">
        <f>IF($O57="","",INDEX(Master!$F$2:$F$1001,$O57))</f>
      </c>
      <c r="G57" s="164">
        <f>IF($O57="","",INDEX(Master!$G$2:$G$1001,$O57))</f>
      </c>
      <c r="H57" s="164">
        <f>IF($O57="","",INDEX(Master!$H$2:$H$1001,$O57))</f>
      </c>
      <c r="I57" s="164">
        <f>IF($O57="","",INDEX(Master!$I$2:$I$1001,$O57))</f>
      </c>
      <c r="J57" s="164">
        <f>IF($O57="","",INDEX(Master!$J$2:$J$1001,$O57))</f>
      </c>
      <c r="K57" s="248">
        <f t="shared" si="0"/>
      </c>
      <c r="L57" s="164">
        <f>IF($O57="","",INDEX(Master!$K$2:$K$1001,$O57))</f>
      </c>
      <c r="M57" s="164">
        <f>IF($O57="","",INDEX(Master!$L$2:$L$1001,$O57))</f>
      </c>
      <c r="N57" s="164" t="s">
        <v>52</v>
      </c>
      <c r="O57">
        <f t="array" ref="O57">IFERROR(SMALL(IF(Master!$A$2:$A$1001="AR ISPAT",ROW(Master!$A$2:$A$1001)-ROW(Master!$A$2)+1),53),"")</f>
      </c>
      <c r="P57">
        <f t="shared" si="1"/>
      </c>
    </row>
    <row r="58" spans="1:16" x14ac:dyDescent="0.25">
      <c r="A58" s="164">
        <f>IF($O58="","",INDEX(Master!$D$2:$D$1001,$O58))</f>
      </c>
      <c r="B58" s="165">
        <f>IF($O58="","",INDEX(Master!$B$2:$B$1001,$O58))</f>
      </c>
      <c r="C58" s="164">
        <f>IF($O58="","",INDEX(Master!$C$2:$C$1001,$O58))</f>
      </c>
      <c r="D58" s="164">
        <f>IF($O58="","",INDEX(Master!$A$2:$A$1001,$O58))</f>
      </c>
      <c r="E58" s="164">
        <f>IF($O58="","",INDEX(Master!$E$2:$E$1001,$O58))</f>
      </c>
      <c r="F58" s="164">
        <f>IF($O58="","",INDEX(Master!$F$2:$F$1001,$O58))</f>
      </c>
      <c r="G58" s="164">
        <f>IF($O58="","",INDEX(Master!$G$2:$G$1001,$O58))</f>
      </c>
      <c r="H58" s="164">
        <f>IF($O58="","",INDEX(Master!$H$2:$H$1001,$O58))</f>
      </c>
      <c r="I58" s="164">
        <f>IF($O58="","",INDEX(Master!$I$2:$I$1001,$O58))</f>
      </c>
      <c r="J58" s="164">
        <f>IF($O58="","",INDEX(Master!$J$2:$J$1001,$O58))</f>
      </c>
      <c r="K58" s="248">
        <f t="shared" si="0"/>
      </c>
      <c r="L58" s="164">
        <f>IF($O58="","",INDEX(Master!$K$2:$K$1001,$O58))</f>
      </c>
      <c r="M58" s="164">
        <f>IF($O58="","",INDEX(Master!$L$2:$L$1001,$O58))</f>
      </c>
      <c r="N58" s="164" t="s">
        <v>52</v>
      </c>
      <c r="O58">
        <f t="array" ref="O58">IFERROR(SMALL(IF(Master!$A$2:$A$1001="AR ISPAT",ROW(Master!$A$2:$A$1001)-ROW(Master!$A$2)+1),54),"")</f>
      </c>
      <c r="P58">
        <f t="shared" si="1"/>
      </c>
    </row>
    <row r="59" spans="1:16" x14ac:dyDescent="0.25">
      <c r="A59" s="164">
        <f>IF($O59="","",INDEX(Master!$D$2:$D$1001,$O59))</f>
      </c>
      <c r="B59" s="165">
        <f>IF($O59="","",INDEX(Master!$B$2:$B$1001,$O59))</f>
      </c>
      <c r="C59" s="164">
        <f>IF($O59="","",INDEX(Master!$C$2:$C$1001,$O59))</f>
      </c>
      <c r="D59" s="164">
        <f>IF($O59="","",INDEX(Master!$A$2:$A$1001,$O59))</f>
      </c>
      <c r="E59" s="164">
        <f>IF($O59="","",INDEX(Master!$E$2:$E$1001,$O59))</f>
      </c>
      <c r="F59" s="164">
        <f>IF($O59="","",INDEX(Master!$F$2:$F$1001,$O59))</f>
      </c>
      <c r="G59" s="164">
        <f>IF($O59="","",INDEX(Master!$G$2:$G$1001,$O59))</f>
      </c>
      <c r="H59" s="164">
        <f>IF($O59="","",INDEX(Master!$H$2:$H$1001,$O59))</f>
      </c>
      <c r="I59" s="164">
        <f>IF($O59="","",INDEX(Master!$I$2:$I$1001,$O59))</f>
      </c>
      <c r="J59" s="164">
        <f>IF($O59="","",INDEX(Master!$J$2:$J$1001,$O59))</f>
      </c>
      <c r="K59" s="248">
        <f t="shared" si="0"/>
      </c>
      <c r="L59" s="164">
        <f>IF($O59="","",INDEX(Master!$K$2:$K$1001,$O59))</f>
      </c>
      <c r="M59" s="164">
        <f>IF($O59="","",INDEX(Master!$L$2:$L$1001,$O59))</f>
      </c>
      <c r="N59" s="164" t="s">
        <v>52</v>
      </c>
      <c r="O59">
        <f t="array" ref="O59">IFERROR(SMALL(IF(Master!$A$2:$A$1001="AR ISPAT",ROW(Master!$A$2:$A$1001)-ROW(Master!$A$2)+1),55),"")</f>
      </c>
      <c r="P59">
        <f t="shared" si="1"/>
      </c>
    </row>
    <row r="60" spans="1:16" x14ac:dyDescent="0.25">
      <c r="A60" s="164">
        <f>IF($O60="","",INDEX(Master!$D$2:$D$1001,$O60))</f>
      </c>
      <c r="B60" s="165">
        <f>IF($O60="","",INDEX(Master!$B$2:$B$1001,$O60))</f>
      </c>
      <c r="C60" s="164">
        <f>IF($O60="","",INDEX(Master!$C$2:$C$1001,$O60))</f>
      </c>
      <c r="D60" s="164">
        <f>IF($O60="","",INDEX(Master!$A$2:$A$1001,$O60))</f>
      </c>
      <c r="E60" s="164">
        <f>IF($O60="","",INDEX(Master!$E$2:$E$1001,$O60))</f>
      </c>
      <c r="F60" s="164">
        <f>IF($O60="","",INDEX(Master!$F$2:$F$1001,$O60))</f>
      </c>
      <c r="G60" s="164">
        <f>IF($O60="","",INDEX(Master!$G$2:$G$1001,$O60))</f>
      </c>
      <c r="H60" s="164">
        <f>IF($O60="","",INDEX(Master!$H$2:$H$1001,$O60))</f>
      </c>
      <c r="I60" s="164">
        <f>IF($O60="","",INDEX(Master!$I$2:$I$1001,$O60))</f>
      </c>
      <c r="J60" s="164">
        <f>IF($O60="","",INDEX(Master!$J$2:$J$1001,$O60))</f>
      </c>
      <c r="K60" s="248">
        <f t="shared" si="0"/>
      </c>
      <c r="L60" s="164">
        <f>IF($O60="","",INDEX(Master!$K$2:$K$1001,$O60))</f>
      </c>
      <c r="M60" s="164">
        <f>IF($O60="","",INDEX(Master!$L$2:$L$1001,$O60))</f>
      </c>
      <c r="N60" s="164" t="s">
        <v>52</v>
      </c>
      <c r="O60">
        <f t="array" ref="O60">IFERROR(SMALL(IF(Master!$A$2:$A$1001="AR ISPAT",ROW(Master!$A$2:$A$1001)-ROW(Master!$A$2)+1),56),"")</f>
      </c>
      <c r="P60">
        <f t="shared" si="1"/>
      </c>
    </row>
    <row r="61" spans="1:16" x14ac:dyDescent="0.25">
      <c r="A61" s="164">
        <f>IF($O61="","",INDEX(Master!$D$2:$D$1001,$O61))</f>
      </c>
      <c r="B61" s="165">
        <f>IF($O61="","",INDEX(Master!$B$2:$B$1001,$O61))</f>
      </c>
      <c r="C61" s="164">
        <f>IF($O61="","",INDEX(Master!$C$2:$C$1001,$O61))</f>
      </c>
      <c r="D61" s="164">
        <f>IF($O61="","",INDEX(Master!$A$2:$A$1001,$O61))</f>
      </c>
      <c r="E61" s="164">
        <f>IF($O61="","",INDEX(Master!$E$2:$E$1001,$O61))</f>
      </c>
      <c r="F61" s="164">
        <f>IF($O61="","",INDEX(Master!$F$2:$F$1001,$O61))</f>
      </c>
      <c r="G61" s="164">
        <f>IF($O61="","",INDEX(Master!$G$2:$G$1001,$O61))</f>
      </c>
      <c r="H61" s="164">
        <f>IF($O61="","",INDEX(Master!$H$2:$H$1001,$O61))</f>
      </c>
      <c r="I61" s="164">
        <f>IF($O61="","",INDEX(Master!$I$2:$I$1001,$O61))</f>
      </c>
      <c r="J61" s="164">
        <f>IF($O61="","",INDEX(Master!$J$2:$J$1001,$O61))</f>
      </c>
      <c r="K61" s="248">
        <f t="shared" si="0"/>
      </c>
      <c r="L61" s="164">
        <f>IF($O61="","",INDEX(Master!$K$2:$K$1001,$O61))</f>
      </c>
      <c r="M61" s="164">
        <f>IF($O61="","",INDEX(Master!$L$2:$L$1001,$O61))</f>
      </c>
      <c r="N61" s="164" t="s">
        <v>52</v>
      </c>
      <c r="O61">
        <f t="array" ref="O61">IFERROR(SMALL(IF(Master!$A$2:$A$1001="AR ISPAT",ROW(Master!$A$2:$A$1001)-ROW(Master!$A$2)+1),57),"")</f>
      </c>
      <c r="P61">
        <f t="shared" si="1"/>
      </c>
    </row>
    <row r="62" spans="1:16" x14ac:dyDescent="0.25">
      <c r="A62" s="164">
        <f>IF($O62="","",INDEX(Master!$D$2:$D$1001,$O62))</f>
      </c>
      <c r="B62" s="165">
        <f>IF($O62="","",INDEX(Master!$B$2:$B$1001,$O62))</f>
      </c>
      <c r="C62" s="164">
        <f>IF($O62="","",INDEX(Master!$C$2:$C$1001,$O62))</f>
      </c>
      <c r="D62" s="164">
        <f>IF($O62="","",INDEX(Master!$A$2:$A$1001,$O62))</f>
      </c>
      <c r="E62" s="164">
        <f>IF($O62="","",INDEX(Master!$E$2:$E$1001,$O62))</f>
      </c>
      <c r="F62" s="164">
        <f>IF($O62="","",INDEX(Master!$F$2:$F$1001,$O62))</f>
      </c>
      <c r="G62" s="164">
        <f>IF($O62="","",INDEX(Master!$G$2:$G$1001,$O62))</f>
      </c>
      <c r="H62" s="164">
        <f>IF($O62="","",INDEX(Master!$H$2:$H$1001,$O62))</f>
      </c>
      <c r="I62" s="164">
        <f>IF($O62="","",INDEX(Master!$I$2:$I$1001,$O62))</f>
      </c>
      <c r="J62" s="164">
        <f>IF($O62="","",INDEX(Master!$J$2:$J$1001,$O62))</f>
      </c>
      <c r="K62" s="248">
        <f t="shared" si="0"/>
      </c>
      <c r="L62" s="164">
        <f>IF($O62="","",INDEX(Master!$K$2:$K$1001,$O62))</f>
      </c>
      <c r="M62" s="164">
        <f>IF($O62="","",INDEX(Master!$L$2:$L$1001,$O62))</f>
      </c>
      <c r="N62" s="164" t="s">
        <v>52</v>
      </c>
      <c r="O62">
        <f t="array" ref="O62">IFERROR(SMALL(IF(Master!$A$2:$A$1001="AR ISPAT",ROW(Master!$A$2:$A$1001)-ROW(Master!$A$2)+1),58),"")</f>
      </c>
      <c r="P62">
        <f t="shared" si="1"/>
      </c>
    </row>
    <row r="63" spans="1:16" x14ac:dyDescent="0.25">
      <c r="A63" s="164">
        <f>IF($O63="","",INDEX(Master!$D$2:$D$1001,$O63))</f>
      </c>
      <c r="B63" s="165">
        <f>IF($O63="","",INDEX(Master!$B$2:$B$1001,$O63))</f>
      </c>
      <c r="C63" s="164">
        <f>IF($O63="","",INDEX(Master!$C$2:$C$1001,$O63))</f>
      </c>
      <c r="D63" s="164">
        <f>IF($O63="","",INDEX(Master!$A$2:$A$1001,$O63))</f>
      </c>
      <c r="E63" s="164">
        <f>IF($O63="","",INDEX(Master!$E$2:$E$1001,$O63))</f>
      </c>
      <c r="F63" s="164">
        <f>IF($O63="","",INDEX(Master!$F$2:$F$1001,$O63))</f>
      </c>
      <c r="G63" s="164">
        <f>IF($O63="","",INDEX(Master!$G$2:$G$1001,$O63))</f>
      </c>
      <c r="H63" s="164">
        <f>IF($O63="","",INDEX(Master!$H$2:$H$1001,$O63))</f>
      </c>
      <c r="I63" s="164">
        <f>IF($O63="","",INDEX(Master!$I$2:$I$1001,$O63))</f>
      </c>
      <c r="J63" s="164">
        <f>IF($O63="","",INDEX(Master!$J$2:$J$1001,$O63))</f>
      </c>
      <c r="K63" s="248">
        <f t="shared" si="0"/>
      </c>
      <c r="L63" s="164">
        <f>IF($O63="","",INDEX(Master!$K$2:$K$1001,$O63))</f>
      </c>
      <c r="M63" s="164">
        <f>IF($O63="","",INDEX(Master!$L$2:$L$1001,$O63))</f>
      </c>
      <c r="N63" s="164" t="s">
        <v>52</v>
      </c>
      <c r="O63">
        <f t="array" ref="O63">IFERROR(SMALL(IF(Master!$A$2:$A$1001="AR ISPAT",ROW(Master!$A$2:$A$1001)-ROW(Master!$A$2)+1),59),"")</f>
      </c>
      <c r="P63">
        <f t="shared" si="1"/>
      </c>
    </row>
    <row r="64" spans="1:16" x14ac:dyDescent="0.25">
      <c r="A64" s="164">
        <f>IF($O64="","",INDEX(Master!$D$2:$D$1001,$O64))</f>
      </c>
      <c r="B64" s="165">
        <f>IF($O64="","",INDEX(Master!$B$2:$B$1001,$O64))</f>
      </c>
      <c r="C64" s="164">
        <f>IF($O64="","",INDEX(Master!$C$2:$C$1001,$O64))</f>
      </c>
      <c r="D64" s="164">
        <f>IF($O64="","",INDEX(Master!$A$2:$A$1001,$O64))</f>
      </c>
      <c r="E64" s="164">
        <f>IF($O64="","",INDEX(Master!$E$2:$E$1001,$O64))</f>
      </c>
      <c r="F64" s="164">
        <f>IF($O64="","",INDEX(Master!$F$2:$F$1001,$O64))</f>
      </c>
      <c r="G64" s="164">
        <f>IF($O64="","",INDEX(Master!$G$2:$G$1001,$O64))</f>
      </c>
      <c r="H64" s="164">
        <f>IF($O64="","",INDEX(Master!$H$2:$H$1001,$O64))</f>
      </c>
      <c r="I64" s="164">
        <f>IF($O64="","",INDEX(Master!$I$2:$I$1001,$O64))</f>
      </c>
      <c r="J64" s="164">
        <f>IF($O64="","",INDEX(Master!$J$2:$J$1001,$O64))</f>
      </c>
      <c r="K64" s="248">
        <f t="shared" si="0"/>
      </c>
      <c r="L64" s="164">
        <f>IF($O64="","",INDEX(Master!$K$2:$K$1001,$O64))</f>
      </c>
      <c r="M64" s="164">
        <f>IF($O64="","",INDEX(Master!$L$2:$L$1001,$O64))</f>
      </c>
      <c r="N64" s="164" t="s">
        <v>52</v>
      </c>
      <c r="O64">
        <f t="array" ref="O64">IFERROR(SMALL(IF(Master!$A$2:$A$1001="AR ISPAT",ROW(Master!$A$2:$A$1001)-ROW(Master!$A$2)+1),60),"")</f>
      </c>
      <c r="P64">
        <f t="shared" si="1"/>
      </c>
    </row>
    <row r="65" spans="1:16" x14ac:dyDescent="0.25">
      <c r="A65" s="164">
        <f>IF($O65="","",INDEX(Master!$D$2:$D$1001,$O65))</f>
      </c>
      <c r="B65" s="165">
        <f>IF($O65="","",INDEX(Master!$B$2:$B$1001,$O65))</f>
      </c>
      <c r="C65" s="164">
        <f>IF($O65="","",INDEX(Master!$C$2:$C$1001,$O65))</f>
      </c>
      <c r="D65" s="164">
        <f>IF($O65="","",INDEX(Master!$A$2:$A$1001,$O65))</f>
      </c>
      <c r="E65" s="164">
        <f>IF($O65="","",INDEX(Master!$E$2:$E$1001,$O65))</f>
      </c>
      <c r="F65" s="164">
        <f>IF($O65="","",INDEX(Master!$F$2:$F$1001,$O65))</f>
      </c>
      <c r="G65" s="164">
        <f>IF($O65="","",INDEX(Master!$G$2:$G$1001,$O65))</f>
      </c>
      <c r="H65" s="164">
        <f>IF($O65="","",INDEX(Master!$H$2:$H$1001,$O65))</f>
      </c>
      <c r="I65" s="164">
        <f>IF($O65="","",INDEX(Master!$I$2:$I$1001,$O65))</f>
      </c>
      <c r="J65" s="164">
        <f>IF($O65="","",INDEX(Master!$J$2:$J$1001,$O65))</f>
      </c>
      <c r="K65" s="248">
        <f t="shared" si="0"/>
      </c>
      <c r="L65" s="164">
        <f>IF($O65="","",INDEX(Master!$K$2:$K$1001,$O65))</f>
      </c>
      <c r="M65" s="164">
        <f>IF($O65="","",INDEX(Master!$L$2:$L$1001,$O65))</f>
      </c>
      <c r="N65" s="164" t="s">
        <v>52</v>
      </c>
      <c r="O65">
        <f t="array" ref="O65">IFERROR(SMALL(IF(Master!$A$2:$A$1001="AR ISPAT",ROW(Master!$A$2:$A$1001)-ROW(Master!$A$2)+1),61),"")</f>
      </c>
      <c r="P65">
        <f t="shared" si="1"/>
      </c>
    </row>
    <row r="66" spans="1:16" x14ac:dyDescent="0.25">
      <c r="A66" s="164">
        <f>IF($O66="","",INDEX(Master!$D$2:$D$1001,$O66))</f>
      </c>
      <c r="B66" s="165">
        <f>IF($O66="","",INDEX(Master!$B$2:$B$1001,$O66))</f>
      </c>
      <c r="C66" s="164">
        <f>IF($O66="","",INDEX(Master!$C$2:$C$1001,$O66))</f>
      </c>
      <c r="D66" s="164">
        <f>IF($O66="","",INDEX(Master!$A$2:$A$1001,$O66))</f>
      </c>
      <c r="E66" s="164">
        <f>IF($O66="","",INDEX(Master!$E$2:$E$1001,$O66))</f>
      </c>
      <c r="F66" s="164">
        <f>IF($O66="","",INDEX(Master!$F$2:$F$1001,$O66))</f>
      </c>
      <c r="G66" s="164">
        <f>IF($O66="","",INDEX(Master!$G$2:$G$1001,$O66))</f>
      </c>
      <c r="H66" s="164">
        <f>IF($O66="","",INDEX(Master!$H$2:$H$1001,$O66))</f>
      </c>
      <c r="I66" s="164">
        <f>IF($O66="","",INDEX(Master!$I$2:$I$1001,$O66))</f>
      </c>
      <c r="J66" s="164">
        <f>IF($O66="","",INDEX(Master!$J$2:$J$1001,$O66))</f>
      </c>
      <c r="K66" s="248">
        <f t="shared" si="0"/>
      </c>
      <c r="L66" s="164">
        <f>IF($O66="","",INDEX(Master!$K$2:$K$1001,$O66))</f>
      </c>
      <c r="M66" s="164">
        <f>IF($O66="","",INDEX(Master!$L$2:$L$1001,$O66))</f>
      </c>
      <c r="N66" s="164" t="s">
        <v>52</v>
      </c>
      <c r="O66">
        <f t="array" ref="O66">IFERROR(SMALL(IF(Master!$A$2:$A$1001="AR ISPAT",ROW(Master!$A$2:$A$1001)-ROW(Master!$A$2)+1),62),"")</f>
      </c>
      <c r="P66">
        <f t="shared" si="1"/>
      </c>
    </row>
    <row r="67" spans="1:16" x14ac:dyDescent="0.25">
      <c r="A67" s="164">
        <f>IF($O67="","",INDEX(Master!$D$2:$D$1001,$O67))</f>
      </c>
      <c r="B67" s="165">
        <f>IF($O67="","",INDEX(Master!$B$2:$B$1001,$O67))</f>
      </c>
      <c r="C67" s="164">
        <f>IF($O67="","",INDEX(Master!$C$2:$C$1001,$O67))</f>
      </c>
      <c r="D67" s="164">
        <f>IF($O67="","",INDEX(Master!$A$2:$A$1001,$O67))</f>
      </c>
      <c r="E67" s="164">
        <f>IF($O67="","",INDEX(Master!$E$2:$E$1001,$O67))</f>
      </c>
      <c r="F67" s="164">
        <f>IF($O67="","",INDEX(Master!$F$2:$F$1001,$O67))</f>
      </c>
      <c r="G67" s="164">
        <f>IF($O67="","",INDEX(Master!$G$2:$G$1001,$O67))</f>
      </c>
      <c r="H67" s="164">
        <f>IF($O67="","",INDEX(Master!$H$2:$H$1001,$O67))</f>
      </c>
      <c r="I67" s="164">
        <f>IF($O67="","",INDEX(Master!$I$2:$I$1001,$O67))</f>
      </c>
      <c r="J67" s="164">
        <f>IF($O67="","",INDEX(Master!$J$2:$J$1001,$O67))</f>
      </c>
      <c r="K67" s="248">
        <f t="shared" si="0"/>
      </c>
      <c r="L67" s="164">
        <f>IF($O67="","",INDEX(Master!$K$2:$K$1001,$O67))</f>
      </c>
      <c r="M67" s="164">
        <f>IF($O67="","",INDEX(Master!$L$2:$L$1001,$O67))</f>
      </c>
      <c r="N67" s="164" t="s">
        <v>52</v>
      </c>
      <c r="O67">
        <f t="array" ref="O67">IFERROR(SMALL(IF(Master!$A$2:$A$1001="AR ISPAT",ROW(Master!$A$2:$A$1001)-ROW(Master!$A$2)+1),63),"")</f>
      </c>
      <c r="P67">
        <f t="shared" si="1"/>
      </c>
    </row>
    <row r="68" spans="1:16" x14ac:dyDescent="0.25">
      <c r="A68" s="164">
        <f>IF($O68="","",INDEX(Master!$D$2:$D$1001,$O68))</f>
      </c>
      <c r="B68" s="165">
        <f>IF($O68="","",INDEX(Master!$B$2:$B$1001,$O68))</f>
      </c>
      <c r="C68" s="164">
        <f>IF($O68="","",INDEX(Master!$C$2:$C$1001,$O68))</f>
      </c>
      <c r="D68" s="164">
        <f>IF($O68="","",INDEX(Master!$A$2:$A$1001,$O68))</f>
      </c>
      <c r="E68" s="164">
        <f>IF($O68="","",INDEX(Master!$E$2:$E$1001,$O68))</f>
      </c>
      <c r="F68" s="164">
        <f>IF($O68="","",INDEX(Master!$F$2:$F$1001,$O68))</f>
      </c>
      <c r="G68" s="164">
        <f>IF($O68="","",INDEX(Master!$G$2:$G$1001,$O68))</f>
      </c>
      <c r="H68" s="164">
        <f>IF($O68="","",INDEX(Master!$H$2:$H$1001,$O68))</f>
      </c>
      <c r="I68" s="164">
        <f>IF($O68="","",INDEX(Master!$I$2:$I$1001,$O68))</f>
      </c>
      <c r="J68" s="164">
        <f>IF($O68="","",INDEX(Master!$J$2:$J$1001,$O68))</f>
      </c>
      <c r="K68" s="248">
        <f t="shared" si="0"/>
      </c>
      <c r="L68" s="164">
        <f>IF($O68="","",INDEX(Master!$K$2:$K$1001,$O68))</f>
      </c>
      <c r="M68" s="164">
        <f>IF($O68="","",INDEX(Master!$L$2:$L$1001,$O68))</f>
      </c>
      <c r="N68" s="164" t="s">
        <v>52</v>
      </c>
      <c r="O68">
        <f t="array" ref="O68">IFERROR(SMALL(IF(Master!$A$2:$A$1001="AR ISPAT",ROW(Master!$A$2:$A$1001)-ROW(Master!$A$2)+1),64),"")</f>
      </c>
      <c r="P68">
        <f t="shared" si="1"/>
      </c>
    </row>
    <row r="69" spans="1:16" x14ac:dyDescent="0.25">
      <c r="A69" s="164">
        <f>IF($O69="","",INDEX(Master!$D$2:$D$1001,$O69))</f>
      </c>
      <c r="B69" s="165">
        <f>IF($O69="","",INDEX(Master!$B$2:$B$1001,$O69))</f>
      </c>
      <c r="C69" s="164">
        <f>IF($O69="","",INDEX(Master!$C$2:$C$1001,$O69))</f>
      </c>
      <c r="D69" s="164">
        <f>IF($O69="","",INDEX(Master!$A$2:$A$1001,$O69))</f>
      </c>
      <c r="E69" s="164">
        <f>IF($O69="","",INDEX(Master!$E$2:$E$1001,$O69))</f>
      </c>
      <c r="F69" s="164">
        <f>IF($O69="","",INDEX(Master!$F$2:$F$1001,$O69))</f>
      </c>
      <c r="G69" s="164">
        <f>IF($O69="","",INDEX(Master!$G$2:$G$1001,$O69))</f>
      </c>
      <c r="H69" s="164">
        <f>IF($O69="","",INDEX(Master!$H$2:$H$1001,$O69))</f>
      </c>
      <c r="I69" s="164">
        <f>IF($O69="","",INDEX(Master!$I$2:$I$1001,$O69))</f>
      </c>
      <c r="J69" s="164">
        <f>IF($O69="","",INDEX(Master!$J$2:$J$1001,$O69))</f>
      </c>
      <c r="K69" s="248">
        <f t="shared" ref="K69:K132" si="2">IF(OR($O69="",$F69="",$F69=0),"",$H69/$F69)</f>
      </c>
      <c r="L69" s="164">
        <f>IF($O69="","",INDEX(Master!$K$2:$K$1001,$O69))</f>
      </c>
      <c r="M69" s="164">
        <f>IF($O69="","",INDEX(Master!$L$2:$L$1001,$O69))</f>
      </c>
      <c r="N69" s="164" t="s">
        <v>52</v>
      </c>
      <c r="O69">
        <f t="array" ref="O69">IFERROR(SMALL(IF(Master!$A$2:$A$1001="AR ISPAT",ROW(Master!$A$2:$A$1001)-ROW(Master!$A$2)+1),65),"")</f>
      </c>
      <c r="P69">
        <f t="shared" ref="P69:P132" si="3">IF($A69="",0,IF(OR(AND($E69&lt;&gt;"",OR($E69&gt;0.18)),AND($F69&lt;&gt;"",OR(($F69+$G69)&gt;0.15)),AND($G69&lt;&gt;"",OR(($F69+$G69)&gt;0.15)),AND($H69&lt;&gt;"",$H69&lt;0.45),AND($J69&lt;&gt;"",OR($J69&lt;0.1))),1,0))</f>
      </c>
    </row>
    <row r="70" spans="1:16" x14ac:dyDescent="0.25">
      <c r="A70" s="164">
        <f>IF($O70="","",INDEX(Master!$D$2:$D$1001,$O70))</f>
      </c>
      <c r="B70" s="165">
        <f>IF($O70="","",INDEX(Master!$B$2:$B$1001,$O70))</f>
      </c>
      <c r="C70" s="164">
        <f>IF($O70="","",INDEX(Master!$C$2:$C$1001,$O70))</f>
      </c>
      <c r="D70" s="164">
        <f>IF($O70="","",INDEX(Master!$A$2:$A$1001,$O70))</f>
      </c>
      <c r="E70" s="164">
        <f>IF($O70="","",INDEX(Master!$E$2:$E$1001,$O70))</f>
      </c>
      <c r="F70" s="164">
        <f>IF($O70="","",INDEX(Master!$F$2:$F$1001,$O70))</f>
      </c>
      <c r="G70" s="164">
        <f>IF($O70="","",INDEX(Master!$G$2:$G$1001,$O70))</f>
      </c>
      <c r="H70" s="164">
        <f>IF($O70="","",INDEX(Master!$H$2:$H$1001,$O70))</f>
      </c>
      <c r="I70" s="164">
        <f>IF($O70="","",INDEX(Master!$I$2:$I$1001,$O70))</f>
      </c>
      <c r="J70" s="164">
        <f>IF($O70="","",INDEX(Master!$J$2:$J$1001,$O70))</f>
      </c>
      <c r="K70" s="248">
        <f t="shared" si="2"/>
      </c>
      <c r="L70" s="164">
        <f>IF($O70="","",INDEX(Master!$K$2:$K$1001,$O70))</f>
      </c>
      <c r="M70" s="164">
        <f>IF($O70="","",INDEX(Master!$L$2:$L$1001,$O70))</f>
      </c>
      <c r="N70" s="164" t="s">
        <v>52</v>
      </c>
      <c r="O70">
        <f t="array" ref="O70">IFERROR(SMALL(IF(Master!$A$2:$A$1001="AR ISPAT",ROW(Master!$A$2:$A$1001)-ROW(Master!$A$2)+1),66),"")</f>
      </c>
      <c r="P70">
        <f t="shared" si="3"/>
      </c>
    </row>
    <row r="71" spans="1:16" x14ac:dyDescent="0.25">
      <c r="A71" s="164">
        <f>IF($O71="","",INDEX(Master!$D$2:$D$1001,$O71))</f>
      </c>
      <c r="B71" s="165">
        <f>IF($O71="","",INDEX(Master!$B$2:$B$1001,$O71))</f>
      </c>
      <c r="C71" s="164">
        <f>IF($O71="","",INDEX(Master!$C$2:$C$1001,$O71))</f>
      </c>
      <c r="D71" s="164">
        <f>IF($O71="","",INDEX(Master!$A$2:$A$1001,$O71))</f>
      </c>
      <c r="E71" s="164">
        <f>IF($O71="","",INDEX(Master!$E$2:$E$1001,$O71))</f>
      </c>
      <c r="F71" s="164">
        <f>IF($O71="","",INDEX(Master!$F$2:$F$1001,$O71))</f>
      </c>
      <c r="G71" s="164">
        <f>IF($O71="","",INDEX(Master!$G$2:$G$1001,$O71))</f>
      </c>
      <c r="H71" s="164">
        <f>IF($O71="","",INDEX(Master!$H$2:$H$1001,$O71))</f>
      </c>
      <c r="I71" s="164">
        <f>IF($O71="","",INDEX(Master!$I$2:$I$1001,$O71))</f>
      </c>
      <c r="J71" s="164">
        <f>IF($O71="","",INDEX(Master!$J$2:$J$1001,$O71))</f>
      </c>
      <c r="K71" s="248">
        <f t="shared" si="2"/>
      </c>
      <c r="L71" s="164">
        <f>IF($O71="","",INDEX(Master!$K$2:$K$1001,$O71))</f>
      </c>
      <c r="M71" s="164">
        <f>IF($O71="","",INDEX(Master!$L$2:$L$1001,$O71))</f>
      </c>
      <c r="N71" s="164" t="s">
        <v>52</v>
      </c>
      <c r="O71">
        <f t="array" ref="O71">IFERROR(SMALL(IF(Master!$A$2:$A$1001="AR ISPAT",ROW(Master!$A$2:$A$1001)-ROW(Master!$A$2)+1),67),"")</f>
      </c>
      <c r="P71">
        <f t="shared" si="3"/>
      </c>
    </row>
    <row r="72" spans="1:16" x14ac:dyDescent="0.25">
      <c r="A72" s="164">
        <f>IF($O72="","",INDEX(Master!$D$2:$D$1001,$O72))</f>
      </c>
      <c r="B72" s="165">
        <f>IF($O72="","",INDEX(Master!$B$2:$B$1001,$O72))</f>
      </c>
      <c r="C72" s="164">
        <f>IF($O72="","",INDEX(Master!$C$2:$C$1001,$O72))</f>
      </c>
      <c r="D72" s="164">
        <f>IF($O72="","",INDEX(Master!$A$2:$A$1001,$O72))</f>
      </c>
      <c r="E72" s="164">
        <f>IF($O72="","",INDEX(Master!$E$2:$E$1001,$O72))</f>
      </c>
      <c r="F72" s="164">
        <f>IF($O72="","",INDEX(Master!$F$2:$F$1001,$O72))</f>
      </c>
      <c r="G72" s="164">
        <f>IF($O72="","",INDEX(Master!$G$2:$G$1001,$O72))</f>
      </c>
      <c r="H72" s="164">
        <f>IF($O72="","",INDEX(Master!$H$2:$H$1001,$O72))</f>
      </c>
      <c r="I72" s="164">
        <f>IF($O72="","",INDEX(Master!$I$2:$I$1001,$O72))</f>
      </c>
      <c r="J72" s="164">
        <f>IF($O72="","",INDEX(Master!$J$2:$J$1001,$O72))</f>
      </c>
      <c r="K72" s="248">
        <f t="shared" si="2"/>
      </c>
      <c r="L72" s="164">
        <f>IF($O72="","",INDEX(Master!$K$2:$K$1001,$O72))</f>
      </c>
      <c r="M72" s="164">
        <f>IF($O72="","",INDEX(Master!$L$2:$L$1001,$O72))</f>
      </c>
      <c r="N72" s="164" t="s">
        <v>52</v>
      </c>
      <c r="O72">
        <f t="array" ref="O72">IFERROR(SMALL(IF(Master!$A$2:$A$1001="AR ISPAT",ROW(Master!$A$2:$A$1001)-ROW(Master!$A$2)+1),68),"")</f>
      </c>
      <c r="P72">
        <f t="shared" si="3"/>
      </c>
    </row>
    <row r="73" spans="1:16" x14ac:dyDescent="0.25">
      <c r="A73" s="164">
        <f>IF($O73="","",INDEX(Master!$D$2:$D$1001,$O73))</f>
      </c>
      <c r="B73" s="165">
        <f>IF($O73="","",INDEX(Master!$B$2:$B$1001,$O73))</f>
      </c>
      <c r="C73" s="164">
        <f>IF($O73="","",INDEX(Master!$C$2:$C$1001,$O73))</f>
      </c>
      <c r="D73" s="164">
        <f>IF($O73="","",INDEX(Master!$A$2:$A$1001,$O73))</f>
      </c>
      <c r="E73" s="164">
        <f>IF($O73="","",INDEX(Master!$E$2:$E$1001,$O73))</f>
      </c>
      <c r="F73" s="164">
        <f>IF($O73="","",INDEX(Master!$F$2:$F$1001,$O73))</f>
      </c>
      <c r="G73" s="164">
        <f>IF($O73="","",INDEX(Master!$G$2:$G$1001,$O73))</f>
      </c>
      <c r="H73" s="164">
        <f>IF($O73="","",INDEX(Master!$H$2:$H$1001,$O73))</f>
      </c>
      <c r="I73" s="164">
        <f>IF($O73="","",INDEX(Master!$I$2:$I$1001,$O73))</f>
      </c>
      <c r="J73" s="164">
        <f>IF($O73="","",INDEX(Master!$J$2:$J$1001,$O73))</f>
      </c>
      <c r="K73" s="248">
        <f t="shared" si="2"/>
      </c>
      <c r="L73" s="164">
        <f>IF($O73="","",INDEX(Master!$K$2:$K$1001,$O73))</f>
      </c>
      <c r="M73" s="164">
        <f>IF($O73="","",INDEX(Master!$L$2:$L$1001,$O73))</f>
      </c>
      <c r="N73" s="164" t="s">
        <v>52</v>
      </c>
      <c r="O73">
        <f t="array" ref="O73">IFERROR(SMALL(IF(Master!$A$2:$A$1001="AR ISPAT",ROW(Master!$A$2:$A$1001)-ROW(Master!$A$2)+1),69),"")</f>
      </c>
      <c r="P73">
        <f t="shared" si="3"/>
      </c>
    </row>
    <row r="74" spans="1:16" x14ac:dyDescent="0.25">
      <c r="A74" s="164">
        <f>IF($O74="","",INDEX(Master!$D$2:$D$1001,$O74))</f>
      </c>
      <c r="B74" s="165">
        <f>IF($O74="","",INDEX(Master!$B$2:$B$1001,$O74))</f>
      </c>
      <c r="C74" s="164">
        <f>IF($O74="","",INDEX(Master!$C$2:$C$1001,$O74))</f>
      </c>
      <c r="D74" s="164">
        <f>IF($O74="","",INDEX(Master!$A$2:$A$1001,$O74))</f>
      </c>
      <c r="E74" s="164">
        <f>IF($O74="","",INDEX(Master!$E$2:$E$1001,$O74))</f>
      </c>
      <c r="F74" s="164">
        <f>IF($O74="","",INDEX(Master!$F$2:$F$1001,$O74))</f>
      </c>
      <c r="G74" s="164">
        <f>IF($O74="","",INDEX(Master!$G$2:$G$1001,$O74))</f>
      </c>
      <c r="H74" s="164">
        <f>IF($O74="","",INDEX(Master!$H$2:$H$1001,$O74))</f>
      </c>
      <c r="I74" s="164">
        <f>IF($O74="","",INDEX(Master!$I$2:$I$1001,$O74))</f>
      </c>
      <c r="J74" s="164">
        <f>IF($O74="","",INDEX(Master!$J$2:$J$1001,$O74))</f>
      </c>
      <c r="K74" s="248">
        <f t="shared" si="2"/>
      </c>
      <c r="L74" s="164">
        <f>IF($O74="","",INDEX(Master!$K$2:$K$1001,$O74))</f>
      </c>
      <c r="M74" s="164">
        <f>IF($O74="","",INDEX(Master!$L$2:$L$1001,$O74))</f>
      </c>
      <c r="N74" s="164" t="s">
        <v>52</v>
      </c>
      <c r="O74">
        <f t="array" ref="O74">IFERROR(SMALL(IF(Master!$A$2:$A$1001="AR ISPAT",ROW(Master!$A$2:$A$1001)-ROW(Master!$A$2)+1),70),"")</f>
      </c>
      <c r="P74">
        <f t="shared" si="3"/>
      </c>
    </row>
    <row r="75" spans="1:16" x14ac:dyDescent="0.25">
      <c r="A75" s="164">
        <f>IF($O75="","",INDEX(Master!$D$2:$D$1001,$O75))</f>
      </c>
      <c r="B75" s="165">
        <f>IF($O75="","",INDEX(Master!$B$2:$B$1001,$O75))</f>
      </c>
      <c r="C75" s="164">
        <f>IF($O75="","",INDEX(Master!$C$2:$C$1001,$O75))</f>
      </c>
      <c r="D75" s="164">
        <f>IF($O75="","",INDEX(Master!$A$2:$A$1001,$O75))</f>
      </c>
      <c r="E75" s="164">
        <f>IF($O75="","",INDEX(Master!$E$2:$E$1001,$O75))</f>
      </c>
      <c r="F75" s="164">
        <f>IF($O75="","",INDEX(Master!$F$2:$F$1001,$O75))</f>
      </c>
      <c r="G75" s="164">
        <f>IF($O75="","",INDEX(Master!$G$2:$G$1001,$O75))</f>
      </c>
      <c r="H75" s="164">
        <f>IF($O75="","",INDEX(Master!$H$2:$H$1001,$O75))</f>
      </c>
      <c r="I75" s="164">
        <f>IF($O75="","",INDEX(Master!$I$2:$I$1001,$O75))</f>
      </c>
      <c r="J75" s="164">
        <f>IF($O75="","",INDEX(Master!$J$2:$J$1001,$O75))</f>
      </c>
      <c r="K75" s="248">
        <f t="shared" si="2"/>
      </c>
      <c r="L75" s="164">
        <f>IF($O75="","",INDEX(Master!$K$2:$K$1001,$O75))</f>
      </c>
      <c r="M75" s="164">
        <f>IF($O75="","",INDEX(Master!$L$2:$L$1001,$O75))</f>
      </c>
      <c r="N75" s="164" t="s">
        <v>52</v>
      </c>
      <c r="O75">
        <f t="array" ref="O75">IFERROR(SMALL(IF(Master!$A$2:$A$1001="AR ISPAT",ROW(Master!$A$2:$A$1001)-ROW(Master!$A$2)+1),71),"")</f>
      </c>
      <c r="P75">
        <f t="shared" si="3"/>
      </c>
    </row>
    <row r="76" spans="1:16" x14ac:dyDescent="0.25">
      <c r="A76" s="164">
        <f>IF($O76="","",INDEX(Master!$D$2:$D$1001,$O76))</f>
      </c>
      <c r="B76" s="165">
        <f>IF($O76="","",INDEX(Master!$B$2:$B$1001,$O76))</f>
      </c>
      <c r="C76" s="164">
        <f>IF($O76="","",INDEX(Master!$C$2:$C$1001,$O76))</f>
      </c>
      <c r="D76" s="164">
        <f>IF($O76="","",INDEX(Master!$A$2:$A$1001,$O76))</f>
      </c>
      <c r="E76" s="164">
        <f>IF($O76="","",INDEX(Master!$E$2:$E$1001,$O76))</f>
      </c>
      <c r="F76" s="164">
        <f>IF($O76="","",INDEX(Master!$F$2:$F$1001,$O76))</f>
      </c>
      <c r="G76" s="164">
        <f>IF($O76="","",INDEX(Master!$G$2:$G$1001,$O76))</f>
      </c>
      <c r="H76" s="164">
        <f>IF($O76="","",INDEX(Master!$H$2:$H$1001,$O76))</f>
      </c>
      <c r="I76" s="164">
        <f>IF($O76="","",INDEX(Master!$I$2:$I$1001,$O76))</f>
      </c>
      <c r="J76" s="164">
        <f>IF($O76="","",INDEX(Master!$J$2:$J$1001,$O76))</f>
      </c>
      <c r="K76" s="248">
        <f t="shared" si="2"/>
      </c>
      <c r="L76" s="164">
        <f>IF($O76="","",INDEX(Master!$K$2:$K$1001,$O76))</f>
      </c>
      <c r="M76" s="164">
        <f>IF($O76="","",INDEX(Master!$L$2:$L$1001,$O76))</f>
      </c>
      <c r="N76" s="164" t="s">
        <v>52</v>
      </c>
      <c r="O76">
        <f t="array" ref="O76">IFERROR(SMALL(IF(Master!$A$2:$A$1001="AR ISPAT",ROW(Master!$A$2:$A$1001)-ROW(Master!$A$2)+1),72),"")</f>
      </c>
      <c r="P76">
        <f t="shared" si="3"/>
      </c>
    </row>
    <row r="77" spans="1:16" x14ac:dyDescent="0.25">
      <c r="A77">
        <f>IF($O77="","",INDEX(Master!$D$2:$D$1001,$O77))</f>
      </c>
      <c r="B77" s="166">
        <f>IF($O77="","",INDEX(Master!$B$2:$B$1001,$O77))</f>
      </c>
      <c r="C77">
        <f>IF($O77="","",INDEX(Master!$C$2:$C$1001,$O77))</f>
      </c>
      <c r="D77">
        <f>IF($O77="","",INDEX(Master!$A$2:$A$1001,$O77))</f>
      </c>
      <c r="E77">
        <f>IF($O77="","",INDEX(Master!$E$2:$E$1001,$O77))</f>
      </c>
      <c r="F77">
        <f>IF($O77="","",INDEX(Master!$F$2:$F$1001,$O77))</f>
      </c>
      <c r="G77">
        <f>IF($O77="","",INDEX(Master!$G$2:$G$1001,$O77))</f>
      </c>
      <c r="H77">
        <f>IF($O77="","",INDEX(Master!$H$2:$H$1001,$O77))</f>
      </c>
      <c r="I77">
        <f>IF($O77="","",INDEX(Master!$I$2:$I$1001,$O77))</f>
      </c>
      <c r="J77">
        <f>IF($O77="","",INDEX(Master!$J$2:$J$1001,$O77))</f>
      </c>
      <c r="K77" s="257">
        <f t="shared" si="2"/>
      </c>
      <c r="L77">
        <f>IF($O77="","",INDEX(Master!$K$2:$K$1001,$O77))</f>
      </c>
      <c r="M77">
        <f>IF($O77="","",INDEX(Master!$L$2:$L$1001,$O77))</f>
      </c>
      <c r="O77">
        <f t="array" ref="O77">IFERROR(SMALL(IF(Master!$A$2:$A$1001="AR ISPAT",ROW(Master!$A$2:$A$1001)-ROW(Master!$A$2)+1),73),"")</f>
      </c>
      <c r="P77">
        <f t="shared" si="3"/>
      </c>
    </row>
    <row r="78" spans="1:16" x14ac:dyDescent="0.25">
      <c r="A78">
        <f>IF($O78="","",INDEX(Master!$D$2:$D$1001,$O78))</f>
      </c>
      <c r="B78" s="166">
        <f>IF($O78="","",INDEX(Master!$B$2:$B$1001,$O78))</f>
      </c>
      <c r="C78">
        <f>IF($O78="","",INDEX(Master!$C$2:$C$1001,$O78))</f>
      </c>
      <c r="D78">
        <f>IF($O78="","",INDEX(Master!$A$2:$A$1001,$O78))</f>
      </c>
      <c r="E78">
        <f>IF($O78="","",INDEX(Master!$E$2:$E$1001,$O78))</f>
      </c>
      <c r="F78">
        <f>IF($O78="","",INDEX(Master!$F$2:$F$1001,$O78))</f>
      </c>
      <c r="G78">
        <f>IF($O78="","",INDEX(Master!$G$2:$G$1001,$O78))</f>
      </c>
      <c r="H78">
        <f>IF($O78="","",INDEX(Master!$H$2:$H$1001,$O78))</f>
      </c>
      <c r="I78">
        <f>IF($O78="","",INDEX(Master!$I$2:$I$1001,$O78))</f>
      </c>
      <c r="J78">
        <f>IF($O78="","",INDEX(Master!$J$2:$J$1001,$O78))</f>
      </c>
      <c r="K78">
        <f t="shared" si="2"/>
      </c>
      <c r="L78">
        <f>IF($O78="","",INDEX(Master!$K$2:$K$1001,$O78))</f>
      </c>
      <c r="M78">
        <f>IF($O78="","",INDEX(Master!$L$2:$L$1001,$O78))</f>
      </c>
      <c r="O78">
        <f t="array" ref="O78">IFERROR(SMALL(IF(Master!$A$2:$A$1001="AR ISPAT",ROW(Master!$A$2:$A$1001)-ROW(Master!$A$2)+1),74),"")</f>
      </c>
      <c r="P78">
        <f t="shared" si="3"/>
      </c>
    </row>
    <row r="79" spans="1:16" x14ac:dyDescent="0.25">
      <c r="A79">
        <f>IF($O79="","",INDEX(Master!$D$2:$D$1001,$O79))</f>
      </c>
      <c r="B79" s="166">
        <f>IF($O79="","",INDEX(Master!$B$2:$B$1001,$O79))</f>
      </c>
      <c r="C79">
        <f>IF($O79="","",INDEX(Master!$C$2:$C$1001,$O79))</f>
      </c>
      <c r="D79">
        <f>IF($O79="","",INDEX(Master!$A$2:$A$1001,$O79))</f>
      </c>
      <c r="E79">
        <f>IF($O79="","",INDEX(Master!$E$2:$E$1001,$O79))</f>
      </c>
      <c r="F79">
        <f>IF($O79="","",INDEX(Master!$F$2:$F$1001,$O79))</f>
      </c>
      <c r="G79">
        <f>IF($O79="","",INDEX(Master!$G$2:$G$1001,$O79))</f>
      </c>
      <c r="H79">
        <f>IF($O79="","",INDEX(Master!$H$2:$H$1001,$O79))</f>
      </c>
      <c r="I79">
        <f>IF($O79="","",INDEX(Master!$I$2:$I$1001,$O79))</f>
      </c>
      <c r="J79">
        <f>IF($O79="","",INDEX(Master!$J$2:$J$1001,$O79))</f>
      </c>
      <c r="K79">
        <f t="shared" si="2"/>
      </c>
      <c r="L79">
        <f>IF($O79="","",INDEX(Master!$K$2:$K$1001,$O79))</f>
      </c>
      <c r="M79">
        <f>IF($O79="","",INDEX(Master!$L$2:$L$1001,$O79))</f>
      </c>
      <c r="O79">
        <f t="array" ref="O79">IFERROR(SMALL(IF(Master!$A$2:$A$1001="AR ISPAT",ROW(Master!$A$2:$A$1001)-ROW(Master!$A$2)+1),75),"")</f>
      </c>
      <c r="P79">
        <f t="shared" si="3"/>
      </c>
    </row>
    <row r="80" spans="1:16" x14ac:dyDescent="0.25">
      <c r="A80">
        <f>IF($O80="","",INDEX(Master!$D$2:$D$1001,$O80))</f>
      </c>
      <c r="B80" s="166">
        <f>IF($O80="","",INDEX(Master!$B$2:$B$1001,$O80))</f>
      </c>
      <c r="C80">
        <f>IF($O80="","",INDEX(Master!$C$2:$C$1001,$O80))</f>
      </c>
      <c r="D80">
        <f>IF($O80="","",INDEX(Master!$A$2:$A$1001,$O80))</f>
      </c>
      <c r="E80">
        <f>IF($O80="","",INDEX(Master!$E$2:$E$1001,$O80))</f>
      </c>
      <c r="F80">
        <f>IF($O80="","",INDEX(Master!$F$2:$F$1001,$O80))</f>
      </c>
      <c r="G80">
        <f>IF($O80="","",INDEX(Master!$G$2:$G$1001,$O80))</f>
      </c>
      <c r="H80">
        <f>IF($O80="","",INDEX(Master!$H$2:$H$1001,$O80))</f>
      </c>
      <c r="I80">
        <f>IF($O80="","",INDEX(Master!$I$2:$I$1001,$O80))</f>
      </c>
      <c r="J80">
        <f>IF($O80="","",INDEX(Master!$J$2:$J$1001,$O80))</f>
      </c>
      <c r="K80">
        <f t="shared" si="2"/>
      </c>
      <c r="L80">
        <f>IF($O80="","",INDEX(Master!$K$2:$K$1001,$O80))</f>
      </c>
      <c r="M80">
        <f>IF($O80="","",INDEX(Master!$L$2:$L$1001,$O80))</f>
      </c>
      <c r="O80">
        <f t="array" ref="O80">IFERROR(SMALL(IF(Master!$A$2:$A$1001="AR ISPAT",ROW(Master!$A$2:$A$1001)-ROW(Master!$A$2)+1),76),"")</f>
      </c>
      <c r="P80">
        <f t="shared" si="3"/>
      </c>
    </row>
    <row r="81" spans="1:16" x14ac:dyDescent="0.25">
      <c r="A81">
        <f>IF($O81="","",INDEX(Master!$D$2:$D$1001,$O81))</f>
      </c>
      <c r="B81" s="166">
        <f>IF($O81="","",INDEX(Master!$B$2:$B$1001,$O81))</f>
      </c>
      <c r="C81">
        <f>IF($O81="","",INDEX(Master!$C$2:$C$1001,$O81))</f>
      </c>
      <c r="D81">
        <f>IF($O81="","",INDEX(Master!$A$2:$A$1001,$O81))</f>
      </c>
      <c r="E81">
        <f>IF($O81="","",INDEX(Master!$E$2:$E$1001,$O81))</f>
      </c>
      <c r="F81">
        <f>IF($O81="","",INDEX(Master!$F$2:$F$1001,$O81))</f>
      </c>
      <c r="G81">
        <f>IF($O81="","",INDEX(Master!$G$2:$G$1001,$O81))</f>
      </c>
      <c r="H81">
        <f>IF($O81="","",INDEX(Master!$H$2:$H$1001,$O81))</f>
      </c>
      <c r="I81">
        <f>IF($O81="","",INDEX(Master!$I$2:$I$1001,$O81))</f>
      </c>
      <c r="J81">
        <f>IF($O81="","",INDEX(Master!$J$2:$J$1001,$O81))</f>
      </c>
      <c r="K81">
        <f t="shared" si="2"/>
      </c>
      <c r="L81">
        <f>IF($O81="","",INDEX(Master!$K$2:$K$1001,$O81))</f>
      </c>
      <c r="M81">
        <f>IF($O81="","",INDEX(Master!$L$2:$L$1001,$O81))</f>
      </c>
      <c r="O81">
        <f t="array" ref="O81">IFERROR(SMALL(IF(Master!$A$2:$A$1001="AR ISPAT",ROW(Master!$A$2:$A$1001)-ROW(Master!$A$2)+1),77),"")</f>
      </c>
      <c r="P81">
        <f t="shared" si="3"/>
      </c>
    </row>
    <row r="82" spans="1:16" x14ac:dyDescent="0.25">
      <c r="A82">
        <f>IF($O82="","",INDEX(Master!$D$2:$D$1001,$O82))</f>
      </c>
      <c r="B82" s="166">
        <f>IF($O82="","",INDEX(Master!$B$2:$B$1001,$O82))</f>
      </c>
      <c r="C82">
        <f>IF($O82="","",INDEX(Master!$C$2:$C$1001,$O82))</f>
      </c>
      <c r="D82">
        <f>IF($O82="","",INDEX(Master!$A$2:$A$1001,$O82))</f>
      </c>
      <c r="E82">
        <f>IF($O82="","",INDEX(Master!$E$2:$E$1001,$O82))</f>
      </c>
      <c r="F82">
        <f>IF($O82="","",INDEX(Master!$F$2:$F$1001,$O82))</f>
      </c>
      <c r="G82">
        <f>IF($O82="","",INDEX(Master!$G$2:$G$1001,$O82))</f>
      </c>
      <c r="H82">
        <f>IF($O82="","",INDEX(Master!$H$2:$H$1001,$O82))</f>
      </c>
      <c r="I82">
        <f>IF($O82="","",INDEX(Master!$I$2:$I$1001,$O82))</f>
      </c>
      <c r="J82">
        <f>IF($O82="","",INDEX(Master!$J$2:$J$1001,$O82))</f>
      </c>
      <c r="K82">
        <f t="shared" si="2"/>
      </c>
      <c r="L82">
        <f>IF($O82="","",INDEX(Master!$K$2:$K$1001,$O82))</f>
      </c>
      <c r="M82">
        <f>IF($O82="","",INDEX(Master!$L$2:$L$1001,$O82))</f>
      </c>
      <c r="O82">
        <f t="array" ref="O82">IFERROR(SMALL(IF(Master!$A$2:$A$1001="AR ISPAT",ROW(Master!$A$2:$A$1001)-ROW(Master!$A$2)+1),78),"")</f>
      </c>
      <c r="P82">
        <f t="shared" si="3"/>
      </c>
    </row>
    <row r="83" spans="1:16" x14ac:dyDescent="0.25">
      <c r="A83">
        <f>IF($O83="","",INDEX(Master!$D$2:$D$1001,$O83))</f>
      </c>
      <c r="B83" s="166">
        <f>IF($O83="","",INDEX(Master!$B$2:$B$1001,$O83))</f>
      </c>
      <c r="C83">
        <f>IF($O83="","",INDEX(Master!$C$2:$C$1001,$O83))</f>
      </c>
      <c r="D83">
        <f>IF($O83="","",INDEX(Master!$A$2:$A$1001,$O83))</f>
      </c>
      <c r="E83">
        <f>IF($O83="","",INDEX(Master!$E$2:$E$1001,$O83))</f>
      </c>
      <c r="F83">
        <f>IF($O83="","",INDEX(Master!$F$2:$F$1001,$O83))</f>
      </c>
      <c r="G83">
        <f>IF($O83="","",INDEX(Master!$G$2:$G$1001,$O83))</f>
      </c>
      <c r="H83">
        <f>IF($O83="","",INDEX(Master!$H$2:$H$1001,$O83))</f>
      </c>
      <c r="I83">
        <f>IF($O83="","",INDEX(Master!$I$2:$I$1001,$O83))</f>
      </c>
      <c r="J83">
        <f>IF($O83="","",INDEX(Master!$J$2:$J$1001,$O83))</f>
      </c>
      <c r="K83">
        <f t="shared" si="2"/>
      </c>
      <c r="L83">
        <f>IF($O83="","",INDEX(Master!$K$2:$K$1001,$O83))</f>
      </c>
      <c r="M83">
        <f>IF($O83="","",INDEX(Master!$L$2:$L$1001,$O83))</f>
      </c>
      <c r="O83">
        <f t="array" ref="O83">IFERROR(SMALL(IF(Master!$A$2:$A$1001="AR ISPAT",ROW(Master!$A$2:$A$1001)-ROW(Master!$A$2)+1),79),"")</f>
      </c>
      <c r="P83">
        <f t="shared" si="3"/>
      </c>
    </row>
    <row r="84" spans="1:16" x14ac:dyDescent="0.25">
      <c r="A84">
        <f>IF($O84="","",INDEX(Master!$D$2:$D$1001,$O84))</f>
      </c>
      <c r="B84" s="166">
        <f>IF($O84="","",INDEX(Master!$B$2:$B$1001,$O84))</f>
      </c>
      <c r="C84">
        <f>IF($O84="","",INDEX(Master!$C$2:$C$1001,$O84))</f>
      </c>
      <c r="D84">
        <f>IF($O84="","",INDEX(Master!$A$2:$A$1001,$O84))</f>
      </c>
      <c r="E84">
        <f>IF($O84="","",INDEX(Master!$E$2:$E$1001,$O84))</f>
      </c>
      <c r="F84">
        <f>IF($O84="","",INDEX(Master!$F$2:$F$1001,$O84))</f>
      </c>
      <c r="G84">
        <f>IF($O84="","",INDEX(Master!$G$2:$G$1001,$O84))</f>
      </c>
      <c r="H84">
        <f>IF($O84="","",INDEX(Master!$H$2:$H$1001,$O84))</f>
      </c>
      <c r="I84">
        <f>IF($O84="","",INDEX(Master!$I$2:$I$1001,$O84))</f>
      </c>
      <c r="J84">
        <f>IF($O84="","",INDEX(Master!$J$2:$J$1001,$O84))</f>
      </c>
      <c r="K84">
        <f t="shared" si="2"/>
      </c>
      <c r="L84">
        <f>IF($O84="","",INDEX(Master!$K$2:$K$1001,$O84))</f>
      </c>
      <c r="M84">
        <f>IF($O84="","",INDEX(Master!$L$2:$L$1001,$O84))</f>
      </c>
      <c r="O84">
        <f t="array" ref="O84">IFERROR(SMALL(IF(Master!$A$2:$A$1001="AR ISPAT",ROW(Master!$A$2:$A$1001)-ROW(Master!$A$2)+1),80),"")</f>
      </c>
      <c r="P84">
        <f t="shared" si="3"/>
      </c>
    </row>
    <row r="85" spans="1:16" x14ac:dyDescent="0.25">
      <c r="A85">
        <f>IF($O85="","",INDEX(Master!$D$2:$D$1001,$O85))</f>
      </c>
      <c r="B85" s="166">
        <f>IF($O85="","",INDEX(Master!$B$2:$B$1001,$O85))</f>
      </c>
      <c r="C85">
        <f>IF($O85="","",INDEX(Master!$C$2:$C$1001,$O85))</f>
      </c>
      <c r="D85">
        <f>IF($O85="","",INDEX(Master!$A$2:$A$1001,$O85))</f>
      </c>
      <c r="E85">
        <f>IF($O85="","",INDEX(Master!$E$2:$E$1001,$O85))</f>
      </c>
      <c r="F85">
        <f>IF($O85="","",INDEX(Master!$F$2:$F$1001,$O85))</f>
      </c>
      <c r="G85">
        <f>IF($O85="","",INDEX(Master!$G$2:$G$1001,$O85))</f>
      </c>
      <c r="H85">
        <f>IF($O85="","",INDEX(Master!$H$2:$H$1001,$O85))</f>
      </c>
      <c r="I85">
        <f>IF($O85="","",INDEX(Master!$I$2:$I$1001,$O85))</f>
      </c>
      <c r="J85">
        <f>IF($O85="","",INDEX(Master!$J$2:$J$1001,$O85))</f>
      </c>
      <c r="K85">
        <f t="shared" si="2"/>
      </c>
      <c r="L85">
        <f>IF($O85="","",INDEX(Master!$K$2:$K$1001,$O85))</f>
      </c>
      <c r="M85">
        <f>IF($O85="","",INDEX(Master!$L$2:$L$1001,$O85))</f>
      </c>
      <c r="O85">
        <f t="array" ref="O85">IFERROR(SMALL(IF(Master!$A$2:$A$1001="AR ISPAT",ROW(Master!$A$2:$A$1001)-ROW(Master!$A$2)+1),81),"")</f>
      </c>
      <c r="P85">
        <f t="shared" si="3"/>
      </c>
    </row>
    <row r="86" spans="1:16" x14ac:dyDescent="0.25">
      <c r="A86">
        <f>IF($O86="","",INDEX(Master!$D$2:$D$1001,$O86))</f>
      </c>
      <c r="B86" s="166">
        <f>IF($O86="","",INDEX(Master!$B$2:$B$1001,$O86))</f>
      </c>
      <c r="C86">
        <f>IF($O86="","",INDEX(Master!$C$2:$C$1001,$O86))</f>
      </c>
      <c r="D86">
        <f>IF($O86="","",INDEX(Master!$A$2:$A$1001,$O86))</f>
      </c>
      <c r="E86">
        <f>IF($O86="","",INDEX(Master!$E$2:$E$1001,$O86))</f>
      </c>
      <c r="F86">
        <f>IF($O86="","",INDEX(Master!$F$2:$F$1001,$O86))</f>
      </c>
      <c r="G86">
        <f>IF($O86="","",INDEX(Master!$G$2:$G$1001,$O86))</f>
      </c>
      <c r="H86">
        <f>IF($O86="","",INDEX(Master!$H$2:$H$1001,$O86))</f>
      </c>
      <c r="I86">
        <f>IF($O86="","",INDEX(Master!$I$2:$I$1001,$O86))</f>
      </c>
      <c r="J86">
        <f>IF($O86="","",INDEX(Master!$J$2:$J$1001,$O86))</f>
      </c>
      <c r="K86">
        <f t="shared" si="2"/>
      </c>
      <c r="L86">
        <f>IF($O86="","",INDEX(Master!$K$2:$K$1001,$O86))</f>
      </c>
      <c r="M86">
        <f>IF($O86="","",INDEX(Master!$L$2:$L$1001,$O86))</f>
      </c>
      <c r="O86">
        <f t="array" ref="O86">IFERROR(SMALL(IF(Master!$A$2:$A$1001="AR ISPAT",ROW(Master!$A$2:$A$1001)-ROW(Master!$A$2)+1),82),"")</f>
      </c>
      <c r="P86">
        <f t="shared" si="3"/>
      </c>
    </row>
    <row r="87" spans="1:16" x14ac:dyDescent="0.25">
      <c r="A87">
        <f>IF($O87="","",INDEX(Master!$D$2:$D$1001,$O87))</f>
      </c>
      <c r="B87" s="166">
        <f>IF($O87="","",INDEX(Master!$B$2:$B$1001,$O87))</f>
      </c>
      <c r="C87">
        <f>IF($O87="","",INDEX(Master!$C$2:$C$1001,$O87))</f>
      </c>
      <c r="D87">
        <f>IF($O87="","",INDEX(Master!$A$2:$A$1001,$O87))</f>
      </c>
      <c r="E87">
        <f>IF($O87="","",INDEX(Master!$E$2:$E$1001,$O87))</f>
      </c>
      <c r="F87">
        <f>IF($O87="","",INDEX(Master!$F$2:$F$1001,$O87))</f>
      </c>
      <c r="G87">
        <f>IF($O87="","",INDEX(Master!$G$2:$G$1001,$O87))</f>
      </c>
      <c r="H87">
        <f>IF($O87="","",INDEX(Master!$H$2:$H$1001,$O87))</f>
      </c>
      <c r="I87">
        <f>IF($O87="","",INDEX(Master!$I$2:$I$1001,$O87))</f>
      </c>
      <c r="J87">
        <f>IF($O87="","",INDEX(Master!$J$2:$J$1001,$O87))</f>
      </c>
      <c r="K87">
        <f t="shared" si="2"/>
      </c>
      <c r="L87">
        <f>IF($O87="","",INDEX(Master!$K$2:$K$1001,$O87))</f>
      </c>
      <c r="M87">
        <f>IF($O87="","",INDEX(Master!$L$2:$L$1001,$O87))</f>
      </c>
      <c r="O87">
        <f t="array" ref="O87">IFERROR(SMALL(IF(Master!$A$2:$A$1001="AR ISPAT",ROW(Master!$A$2:$A$1001)-ROW(Master!$A$2)+1),83),"")</f>
      </c>
      <c r="P87">
        <f t="shared" si="3"/>
      </c>
    </row>
    <row r="88" spans="1:16" x14ac:dyDescent="0.25">
      <c r="A88">
        <f>IF($O88="","",INDEX(Master!$D$2:$D$1001,$O88))</f>
      </c>
      <c r="B88" s="166">
        <f>IF($O88="","",INDEX(Master!$B$2:$B$1001,$O88))</f>
      </c>
      <c r="C88">
        <f>IF($O88="","",INDEX(Master!$C$2:$C$1001,$O88))</f>
      </c>
      <c r="D88">
        <f>IF($O88="","",INDEX(Master!$A$2:$A$1001,$O88))</f>
      </c>
      <c r="E88">
        <f>IF($O88="","",INDEX(Master!$E$2:$E$1001,$O88))</f>
      </c>
      <c r="F88">
        <f>IF($O88="","",INDEX(Master!$F$2:$F$1001,$O88))</f>
      </c>
      <c r="G88">
        <f>IF($O88="","",INDEX(Master!$G$2:$G$1001,$O88))</f>
      </c>
      <c r="H88">
        <f>IF($O88="","",INDEX(Master!$H$2:$H$1001,$O88))</f>
      </c>
      <c r="I88">
        <f>IF($O88="","",INDEX(Master!$I$2:$I$1001,$O88))</f>
      </c>
      <c r="J88">
        <f>IF($O88="","",INDEX(Master!$J$2:$J$1001,$O88))</f>
      </c>
      <c r="K88">
        <f t="shared" si="2"/>
      </c>
      <c r="L88">
        <f>IF($O88="","",INDEX(Master!$K$2:$K$1001,$O88))</f>
      </c>
      <c r="M88">
        <f>IF($O88="","",INDEX(Master!$L$2:$L$1001,$O88))</f>
      </c>
      <c r="O88">
        <f t="array" ref="O88">IFERROR(SMALL(IF(Master!$A$2:$A$1001="AR ISPAT",ROW(Master!$A$2:$A$1001)-ROW(Master!$A$2)+1),84),"")</f>
      </c>
      <c r="P88">
        <f t="shared" si="3"/>
      </c>
    </row>
    <row r="89" spans="1:16" x14ac:dyDescent="0.25">
      <c r="A89">
        <f>IF($O89="","",INDEX(Master!$D$2:$D$1001,$O89))</f>
      </c>
      <c r="B89" s="166">
        <f>IF($O89="","",INDEX(Master!$B$2:$B$1001,$O89))</f>
      </c>
      <c r="C89">
        <f>IF($O89="","",INDEX(Master!$C$2:$C$1001,$O89))</f>
      </c>
      <c r="D89">
        <f>IF($O89="","",INDEX(Master!$A$2:$A$1001,$O89))</f>
      </c>
      <c r="E89">
        <f>IF($O89="","",INDEX(Master!$E$2:$E$1001,$O89))</f>
      </c>
      <c r="F89">
        <f>IF($O89="","",INDEX(Master!$F$2:$F$1001,$O89))</f>
      </c>
      <c r="G89">
        <f>IF($O89="","",INDEX(Master!$G$2:$G$1001,$O89))</f>
      </c>
      <c r="H89">
        <f>IF($O89="","",INDEX(Master!$H$2:$H$1001,$O89))</f>
      </c>
      <c r="I89">
        <f>IF($O89="","",INDEX(Master!$I$2:$I$1001,$O89))</f>
      </c>
      <c r="J89">
        <f>IF($O89="","",INDEX(Master!$J$2:$J$1001,$O89))</f>
      </c>
      <c r="K89">
        <f t="shared" si="2"/>
      </c>
      <c r="L89">
        <f>IF($O89="","",INDEX(Master!$K$2:$K$1001,$O89))</f>
      </c>
      <c r="M89">
        <f>IF($O89="","",INDEX(Master!$L$2:$L$1001,$O89))</f>
      </c>
      <c r="O89">
        <f t="array" ref="O89">IFERROR(SMALL(IF(Master!$A$2:$A$1001="AR ISPAT",ROW(Master!$A$2:$A$1001)-ROW(Master!$A$2)+1),85),"")</f>
      </c>
      <c r="P89">
        <f t="shared" si="3"/>
      </c>
    </row>
    <row r="90" spans="1:16" x14ac:dyDescent="0.25">
      <c r="A90">
        <f>IF($O90="","",INDEX(Master!$D$2:$D$1001,$O90))</f>
      </c>
      <c r="B90" s="166">
        <f>IF($O90="","",INDEX(Master!$B$2:$B$1001,$O90))</f>
      </c>
      <c r="C90">
        <f>IF($O90="","",INDEX(Master!$C$2:$C$1001,$O90))</f>
      </c>
      <c r="D90">
        <f>IF($O90="","",INDEX(Master!$A$2:$A$1001,$O90))</f>
      </c>
      <c r="E90">
        <f>IF($O90="","",INDEX(Master!$E$2:$E$1001,$O90))</f>
      </c>
      <c r="F90">
        <f>IF($O90="","",INDEX(Master!$F$2:$F$1001,$O90))</f>
      </c>
      <c r="G90">
        <f>IF($O90="","",INDEX(Master!$G$2:$G$1001,$O90))</f>
      </c>
      <c r="H90">
        <f>IF($O90="","",INDEX(Master!$H$2:$H$1001,$O90))</f>
      </c>
      <c r="I90">
        <f>IF($O90="","",INDEX(Master!$I$2:$I$1001,$O90))</f>
      </c>
      <c r="J90">
        <f>IF($O90="","",INDEX(Master!$J$2:$J$1001,$O90))</f>
      </c>
      <c r="K90">
        <f t="shared" si="2"/>
      </c>
      <c r="L90">
        <f>IF($O90="","",INDEX(Master!$K$2:$K$1001,$O90))</f>
      </c>
      <c r="M90">
        <f>IF($O90="","",INDEX(Master!$L$2:$L$1001,$O90))</f>
      </c>
      <c r="O90">
        <f t="array" ref="O90">IFERROR(SMALL(IF(Master!$A$2:$A$1001="AR ISPAT",ROW(Master!$A$2:$A$1001)-ROW(Master!$A$2)+1),86),"")</f>
      </c>
      <c r="P90">
        <f t="shared" si="3"/>
      </c>
    </row>
    <row r="91" spans="1:16" x14ac:dyDescent="0.25">
      <c r="A91">
        <f>IF($O91="","",INDEX(Master!$D$2:$D$1001,$O91))</f>
      </c>
      <c r="B91" s="166">
        <f>IF($O91="","",INDEX(Master!$B$2:$B$1001,$O91))</f>
      </c>
      <c r="C91">
        <f>IF($O91="","",INDEX(Master!$C$2:$C$1001,$O91))</f>
      </c>
      <c r="D91">
        <f>IF($O91="","",INDEX(Master!$A$2:$A$1001,$O91))</f>
      </c>
      <c r="E91">
        <f>IF($O91="","",INDEX(Master!$E$2:$E$1001,$O91))</f>
      </c>
      <c r="F91">
        <f>IF($O91="","",INDEX(Master!$F$2:$F$1001,$O91))</f>
      </c>
      <c r="G91">
        <f>IF($O91="","",INDEX(Master!$G$2:$G$1001,$O91))</f>
      </c>
      <c r="H91">
        <f>IF($O91="","",INDEX(Master!$H$2:$H$1001,$O91))</f>
      </c>
      <c r="I91">
        <f>IF($O91="","",INDEX(Master!$I$2:$I$1001,$O91))</f>
      </c>
      <c r="J91">
        <f>IF($O91="","",INDEX(Master!$J$2:$J$1001,$O91))</f>
      </c>
      <c r="K91">
        <f t="shared" si="2"/>
      </c>
      <c r="L91">
        <f>IF($O91="","",INDEX(Master!$K$2:$K$1001,$O91))</f>
      </c>
      <c r="M91">
        <f>IF($O91="","",INDEX(Master!$L$2:$L$1001,$O91))</f>
      </c>
      <c r="O91">
        <f t="array" ref="O91">IFERROR(SMALL(IF(Master!$A$2:$A$1001="AR ISPAT",ROW(Master!$A$2:$A$1001)-ROW(Master!$A$2)+1),87),"")</f>
      </c>
      <c r="P91">
        <f t="shared" si="3"/>
      </c>
    </row>
    <row r="92" spans="1:16" x14ac:dyDescent="0.25">
      <c r="A92">
        <f>IF($O92="","",INDEX(Master!$D$2:$D$1001,$O92))</f>
      </c>
      <c r="B92" s="166">
        <f>IF($O92="","",INDEX(Master!$B$2:$B$1001,$O92))</f>
      </c>
      <c r="C92">
        <f>IF($O92="","",INDEX(Master!$C$2:$C$1001,$O92))</f>
      </c>
      <c r="D92">
        <f>IF($O92="","",INDEX(Master!$A$2:$A$1001,$O92))</f>
      </c>
      <c r="E92">
        <f>IF($O92="","",INDEX(Master!$E$2:$E$1001,$O92))</f>
      </c>
      <c r="F92">
        <f>IF($O92="","",INDEX(Master!$F$2:$F$1001,$O92))</f>
      </c>
      <c r="G92">
        <f>IF($O92="","",INDEX(Master!$G$2:$G$1001,$O92))</f>
      </c>
      <c r="H92">
        <f>IF($O92="","",INDEX(Master!$H$2:$H$1001,$O92))</f>
      </c>
      <c r="I92">
        <f>IF($O92="","",INDEX(Master!$I$2:$I$1001,$O92))</f>
      </c>
      <c r="J92">
        <f>IF($O92="","",INDEX(Master!$J$2:$J$1001,$O92))</f>
      </c>
      <c r="K92">
        <f t="shared" si="2"/>
      </c>
      <c r="L92">
        <f>IF($O92="","",INDEX(Master!$K$2:$K$1001,$O92))</f>
      </c>
      <c r="M92">
        <f>IF($O92="","",INDEX(Master!$L$2:$L$1001,$O92))</f>
      </c>
      <c r="O92">
        <f t="array" ref="O92">IFERROR(SMALL(IF(Master!$A$2:$A$1001="AR ISPAT",ROW(Master!$A$2:$A$1001)-ROW(Master!$A$2)+1),88),"")</f>
      </c>
      <c r="P92">
        <f t="shared" si="3"/>
      </c>
    </row>
    <row r="93" spans="1:16" x14ac:dyDescent="0.25">
      <c r="A93">
        <f>IF($O93="","",INDEX(Master!$D$2:$D$1001,$O93))</f>
      </c>
      <c r="B93" s="166">
        <f>IF($O93="","",INDEX(Master!$B$2:$B$1001,$O93))</f>
      </c>
      <c r="C93">
        <f>IF($O93="","",INDEX(Master!$C$2:$C$1001,$O93))</f>
      </c>
      <c r="D93">
        <f>IF($O93="","",INDEX(Master!$A$2:$A$1001,$O93))</f>
      </c>
      <c r="E93">
        <f>IF($O93="","",INDEX(Master!$E$2:$E$1001,$O93))</f>
      </c>
      <c r="F93">
        <f>IF($O93="","",INDEX(Master!$F$2:$F$1001,$O93))</f>
      </c>
      <c r="G93">
        <f>IF($O93="","",INDEX(Master!$G$2:$G$1001,$O93))</f>
      </c>
      <c r="H93">
        <f>IF($O93="","",INDEX(Master!$H$2:$H$1001,$O93))</f>
      </c>
      <c r="I93">
        <f>IF($O93="","",INDEX(Master!$I$2:$I$1001,$O93))</f>
      </c>
      <c r="J93">
        <f>IF($O93="","",INDEX(Master!$J$2:$J$1001,$O93))</f>
      </c>
      <c r="K93">
        <f t="shared" si="2"/>
      </c>
      <c r="L93">
        <f>IF($O93="","",INDEX(Master!$K$2:$K$1001,$O93))</f>
      </c>
      <c r="M93">
        <f>IF($O93="","",INDEX(Master!$L$2:$L$1001,$O93))</f>
      </c>
      <c r="O93">
        <f t="array" ref="O93">IFERROR(SMALL(IF(Master!$A$2:$A$1001="AR ISPAT",ROW(Master!$A$2:$A$1001)-ROW(Master!$A$2)+1),89),"")</f>
      </c>
      <c r="P93">
        <f t="shared" si="3"/>
      </c>
    </row>
    <row r="94" spans="1:16" x14ac:dyDescent="0.25">
      <c r="A94">
        <f>IF($O94="","",INDEX(Master!$D$2:$D$1001,$O94))</f>
      </c>
      <c r="B94" s="166">
        <f>IF($O94="","",INDEX(Master!$B$2:$B$1001,$O94))</f>
      </c>
      <c r="C94">
        <f>IF($O94="","",INDEX(Master!$C$2:$C$1001,$O94))</f>
      </c>
      <c r="D94">
        <f>IF($O94="","",INDEX(Master!$A$2:$A$1001,$O94))</f>
      </c>
      <c r="E94">
        <f>IF($O94="","",INDEX(Master!$E$2:$E$1001,$O94))</f>
      </c>
      <c r="F94">
        <f>IF($O94="","",INDEX(Master!$F$2:$F$1001,$O94))</f>
      </c>
      <c r="G94">
        <f>IF($O94="","",INDEX(Master!$G$2:$G$1001,$O94))</f>
      </c>
      <c r="H94">
        <f>IF($O94="","",INDEX(Master!$H$2:$H$1001,$O94))</f>
      </c>
      <c r="I94">
        <f>IF($O94="","",INDEX(Master!$I$2:$I$1001,$O94))</f>
      </c>
      <c r="J94">
        <f>IF($O94="","",INDEX(Master!$J$2:$J$1001,$O94))</f>
      </c>
      <c r="K94">
        <f t="shared" si="2"/>
      </c>
      <c r="L94">
        <f>IF($O94="","",INDEX(Master!$K$2:$K$1001,$O94))</f>
      </c>
      <c r="M94">
        <f>IF($O94="","",INDEX(Master!$L$2:$L$1001,$O94))</f>
      </c>
      <c r="O94">
        <f t="array" ref="O94">IFERROR(SMALL(IF(Master!$A$2:$A$1001="AR ISPAT",ROW(Master!$A$2:$A$1001)-ROW(Master!$A$2)+1),90),"")</f>
      </c>
      <c r="P94">
        <f t="shared" si="3"/>
      </c>
    </row>
    <row r="95" spans="1:16" x14ac:dyDescent="0.25">
      <c r="A95">
        <f>IF($O95="","",INDEX(Master!$D$2:$D$1001,$O95))</f>
      </c>
      <c r="B95" s="166">
        <f>IF($O95="","",INDEX(Master!$B$2:$B$1001,$O95))</f>
      </c>
      <c r="C95">
        <f>IF($O95="","",INDEX(Master!$C$2:$C$1001,$O95))</f>
      </c>
      <c r="D95">
        <f>IF($O95="","",INDEX(Master!$A$2:$A$1001,$O95))</f>
      </c>
      <c r="E95">
        <f>IF($O95="","",INDEX(Master!$E$2:$E$1001,$O95))</f>
      </c>
      <c r="F95">
        <f>IF($O95="","",INDEX(Master!$F$2:$F$1001,$O95))</f>
      </c>
      <c r="G95">
        <f>IF($O95="","",INDEX(Master!$G$2:$G$1001,$O95))</f>
      </c>
      <c r="H95">
        <f>IF($O95="","",INDEX(Master!$H$2:$H$1001,$O95))</f>
      </c>
      <c r="I95">
        <f>IF($O95="","",INDEX(Master!$I$2:$I$1001,$O95))</f>
      </c>
      <c r="J95">
        <f>IF($O95="","",INDEX(Master!$J$2:$J$1001,$O95))</f>
      </c>
      <c r="K95">
        <f t="shared" si="2"/>
      </c>
      <c r="L95">
        <f>IF($O95="","",INDEX(Master!$K$2:$K$1001,$O95))</f>
      </c>
      <c r="M95">
        <f>IF($O95="","",INDEX(Master!$L$2:$L$1001,$O95))</f>
      </c>
      <c r="O95">
        <f t="array" ref="O95">IFERROR(SMALL(IF(Master!$A$2:$A$1001="AR ISPAT",ROW(Master!$A$2:$A$1001)-ROW(Master!$A$2)+1),91),"")</f>
      </c>
      <c r="P95">
        <f t="shared" si="3"/>
      </c>
    </row>
    <row r="96" spans="1:16" x14ac:dyDescent="0.25">
      <c r="A96">
        <f>IF($O96="","",INDEX(Master!$D$2:$D$1001,$O96))</f>
      </c>
      <c r="B96" s="166">
        <f>IF($O96="","",INDEX(Master!$B$2:$B$1001,$O96))</f>
      </c>
      <c r="C96">
        <f>IF($O96="","",INDEX(Master!$C$2:$C$1001,$O96))</f>
      </c>
      <c r="D96">
        <f>IF($O96="","",INDEX(Master!$A$2:$A$1001,$O96))</f>
      </c>
      <c r="E96">
        <f>IF($O96="","",INDEX(Master!$E$2:$E$1001,$O96))</f>
      </c>
      <c r="F96">
        <f>IF($O96="","",INDEX(Master!$F$2:$F$1001,$O96))</f>
      </c>
      <c r="G96">
        <f>IF($O96="","",INDEX(Master!$G$2:$G$1001,$O96))</f>
      </c>
      <c r="H96">
        <f>IF($O96="","",INDEX(Master!$H$2:$H$1001,$O96))</f>
      </c>
      <c r="I96">
        <f>IF($O96="","",INDEX(Master!$I$2:$I$1001,$O96))</f>
      </c>
      <c r="J96">
        <f>IF($O96="","",INDEX(Master!$J$2:$J$1001,$O96))</f>
      </c>
      <c r="K96">
        <f t="shared" si="2"/>
      </c>
      <c r="L96">
        <f>IF($O96="","",INDEX(Master!$K$2:$K$1001,$O96))</f>
      </c>
      <c r="M96">
        <f>IF($O96="","",INDEX(Master!$L$2:$L$1001,$O96))</f>
      </c>
      <c r="O96">
        <f t="array" ref="O96">IFERROR(SMALL(IF(Master!$A$2:$A$1001="AR ISPAT",ROW(Master!$A$2:$A$1001)-ROW(Master!$A$2)+1),92),"")</f>
      </c>
      <c r="P96">
        <f t="shared" si="3"/>
      </c>
    </row>
    <row r="97" spans="1:16" x14ac:dyDescent="0.25">
      <c r="A97">
        <f>IF($O97="","",INDEX(Master!$D$2:$D$1001,$O97))</f>
      </c>
      <c r="B97" s="166">
        <f>IF($O97="","",INDEX(Master!$B$2:$B$1001,$O97))</f>
      </c>
      <c r="C97">
        <f>IF($O97="","",INDEX(Master!$C$2:$C$1001,$O97))</f>
      </c>
      <c r="D97">
        <f>IF($O97="","",INDEX(Master!$A$2:$A$1001,$O97))</f>
      </c>
      <c r="E97">
        <f>IF($O97="","",INDEX(Master!$E$2:$E$1001,$O97))</f>
      </c>
      <c r="F97">
        <f>IF($O97="","",INDEX(Master!$F$2:$F$1001,$O97))</f>
      </c>
      <c r="G97">
        <f>IF($O97="","",INDEX(Master!$G$2:$G$1001,$O97))</f>
      </c>
      <c r="H97">
        <f>IF($O97="","",INDEX(Master!$H$2:$H$1001,$O97))</f>
      </c>
      <c r="I97">
        <f>IF($O97="","",INDEX(Master!$I$2:$I$1001,$O97))</f>
      </c>
      <c r="J97">
        <f>IF($O97="","",INDEX(Master!$J$2:$J$1001,$O97))</f>
      </c>
      <c r="K97">
        <f t="shared" si="2"/>
      </c>
      <c r="L97">
        <f>IF($O97="","",INDEX(Master!$K$2:$K$1001,$O97))</f>
      </c>
      <c r="M97">
        <f>IF($O97="","",INDEX(Master!$L$2:$L$1001,$O97))</f>
      </c>
      <c r="O97">
        <f t="array" ref="O97">IFERROR(SMALL(IF(Master!$A$2:$A$1001="AR ISPAT",ROW(Master!$A$2:$A$1001)-ROW(Master!$A$2)+1),93),"")</f>
      </c>
      <c r="P97">
        <f t="shared" si="3"/>
      </c>
    </row>
    <row r="98" spans="1:16" x14ac:dyDescent="0.25">
      <c r="A98">
        <f>IF($O98="","",INDEX(Master!$D$2:$D$1001,$O98))</f>
      </c>
      <c r="B98" s="166">
        <f>IF($O98="","",INDEX(Master!$B$2:$B$1001,$O98))</f>
      </c>
      <c r="C98">
        <f>IF($O98="","",INDEX(Master!$C$2:$C$1001,$O98))</f>
      </c>
      <c r="D98">
        <f>IF($O98="","",INDEX(Master!$A$2:$A$1001,$O98))</f>
      </c>
      <c r="E98">
        <f>IF($O98="","",INDEX(Master!$E$2:$E$1001,$O98))</f>
      </c>
      <c r="F98">
        <f>IF($O98="","",INDEX(Master!$F$2:$F$1001,$O98))</f>
      </c>
      <c r="G98">
        <f>IF($O98="","",INDEX(Master!$G$2:$G$1001,$O98))</f>
      </c>
      <c r="H98">
        <f>IF($O98="","",INDEX(Master!$H$2:$H$1001,$O98))</f>
      </c>
      <c r="I98">
        <f>IF($O98="","",INDEX(Master!$I$2:$I$1001,$O98))</f>
      </c>
      <c r="J98">
        <f>IF($O98="","",INDEX(Master!$J$2:$J$1001,$O98))</f>
      </c>
      <c r="K98">
        <f t="shared" si="2"/>
      </c>
      <c r="L98">
        <f>IF($O98="","",INDEX(Master!$K$2:$K$1001,$O98))</f>
      </c>
      <c r="M98">
        <f>IF($O98="","",INDEX(Master!$L$2:$L$1001,$O98))</f>
      </c>
      <c r="O98">
        <f t="array" ref="O98">IFERROR(SMALL(IF(Master!$A$2:$A$1001="AR ISPAT",ROW(Master!$A$2:$A$1001)-ROW(Master!$A$2)+1),94),"")</f>
      </c>
      <c r="P98">
        <f t="shared" si="3"/>
      </c>
    </row>
    <row r="99" spans="1:16" x14ac:dyDescent="0.25">
      <c r="A99">
        <f>IF($O99="","",INDEX(Master!$D$2:$D$1001,$O99))</f>
      </c>
      <c r="B99" s="166">
        <f>IF($O99="","",INDEX(Master!$B$2:$B$1001,$O99))</f>
      </c>
      <c r="C99">
        <f>IF($O99="","",INDEX(Master!$C$2:$C$1001,$O99))</f>
      </c>
      <c r="D99">
        <f>IF($O99="","",INDEX(Master!$A$2:$A$1001,$O99))</f>
      </c>
      <c r="E99">
        <f>IF($O99="","",INDEX(Master!$E$2:$E$1001,$O99))</f>
      </c>
      <c r="F99">
        <f>IF($O99="","",INDEX(Master!$F$2:$F$1001,$O99))</f>
      </c>
      <c r="G99">
        <f>IF($O99="","",INDEX(Master!$G$2:$G$1001,$O99))</f>
      </c>
      <c r="H99">
        <f>IF($O99="","",INDEX(Master!$H$2:$H$1001,$O99))</f>
      </c>
      <c r="I99">
        <f>IF($O99="","",INDEX(Master!$I$2:$I$1001,$O99))</f>
      </c>
      <c r="J99">
        <f>IF($O99="","",INDEX(Master!$J$2:$J$1001,$O99))</f>
      </c>
      <c r="K99">
        <f t="shared" si="2"/>
      </c>
      <c r="L99">
        <f>IF($O99="","",INDEX(Master!$K$2:$K$1001,$O99))</f>
      </c>
      <c r="M99">
        <f>IF($O99="","",INDEX(Master!$L$2:$L$1001,$O99))</f>
      </c>
      <c r="O99">
        <f t="array" ref="O99">IFERROR(SMALL(IF(Master!$A$2:$A$1001="AR ISPAT",ROW(Master!$A$2:$A$1001)-ROW(Master!$A$2)+1),95),"")</f>
      </c>
      <c r="P99">
        <f t="shared" si="3"/>
      </c>
    </row>
    <row r="100" spans="1:16" x14ac:dyDescent="0.25">
      <c r="A100">
        <f>IF($O100="","",INDEX(Master!$D$2:$D$1001,$O100))</f>
      </c>
      <c r="B100" s="166">
        <f>IF($O100="","",INDEX(Master!$B$2:$B$1001,$O100))</f>
      </c>
      <c r="C100">
        <f>IF($O100="","",INDEX(Master!$C$2:$C$1001,$O100))</f>
      </c>
      <c r="D100">
        <f>IF($O100="","",INDEX(Master!$A$2:$A$1001,$O100))</f>
      </c>
      <c r="E100">
        <f>IF($O100="","",INDEX(Master!$E$2:$E$1001,$O100))</f>
      </c>
      <c r="F100">
        <f>IF($O100="","",INDEX(Master!$F$2:$F$1001,$O100))</f>
      </c>
      <c r="G100">
        <f>IF($O100="","",INDEX(Master!$G$2:$G$1001,$O100))</f>
      </c>
      <c r="H100">
        <f>IF($O100="","",INDEX(Master!$H$2:$H$1001,$O100))</f>
      </c>
      <c r="I100">
        <f>IF($O100="","",INDEX(Master!$I$2:$I$1001,$O100))</f>
      </c>
      <c r="J100">
        <f>IF($O100="","",INDEX(Master!$J$2:$J$1001,$O100))</f>
      </c>
      <c r="K100">
        <f t="shared" si="2"/>
      </c>
      <c r="L100">
        <f>IF($O100="","",INDEX(Master!$K$2:$K$1001,$O100))</f>
      </c>
      <c r="M100">
        <f>IF($O100="","",INDEX(Master!$L$2:$L$1001,$O100))</f>
      </c>
      <c r="O100">
        <f t="array" ref="O100">IFERROR(SMALL(IF(Master!$A$2:$A$1001="AR ISPAT",ROW(Master!$A$2:$A$1001)-ROW(Master!$A$2)+1),96),"")</f>
      </c>
      <c r="P100">
        <f t="shared" si="3"/>
      </c>
    </row>
    <row r="101" spans="1:16" x14ac:dyDescent="0.25">
      <c r="A101">
        <f>IF($O101="","",INDEX(Master!$D$2:$D$1001,$O101))</f>
      </c>
      <c r="B101" s="166">
        <f>IF($O101="","",INDEX(Master!$B$2:$B$1001,$O101))</f>
      </c>
      <c r="C101">
        <f>IF($O101="","",INDEX(Master!$C$2:$C$1001,$O101))</f>
      </c>
      <c r="D101">
        <f>IF($O101="","",INDEX(Master!$A$2:$A$1001,$O101))</f>
      </c>
      <c r="E101">
        <f>IF($O101="","",INDEX(Master!$E$2:$E$1001,$O101))</f>
      </c>
      <c r="F101">
        <f>IF($O101="","",INDEX(Master!$F$2:$F$1001,$O101))</f>
      </c>
      <c r="G101">
        <f>IF($O101="","",INDEX(Master!$G$2:$G$1001,$O101))</f>
      </c>
      <c r="H101">
        <f>IF($O101="","",INDEX(Master!$H$2:$H$1001,$O101))</f>
      </c>
      <c r="I101">
        <f>IF($O101="","",INDEX(Master!$I$2:$I$1001,$O101))</f>
      </c>
      <c r="J101">
        <f>IF($O101="","",INDEX(Master!$J$2:$J$1001,$O101))</f>
      </c>
      <c r="K101">
        <f t="shared" si="2"/>
      </c>
      <c r="L101">
        <f>IF($O101="","",INDEX(Master!$K$2:$K$1001,$O101))</f>
      </c>
      <c r="M101">
        <f>IF($O101="","",INDEX(Master!$L$2:$L$1001,$O101))</f>
      </c>
      <c r="O101">
        <f t="array" ref="O101">IFERROR(SMALL(IF(Master!$A$2:$A$1001="AR ISPAT",ROW(Master!$A$2:$A$1001)-ROW(Master!$A$2)+1),97),"")</f>
      </c>
      <c r="P101">
        <f t="shared" si="3"/>
      </c>
    </row>
    <row r="102" spans="1:16" x14ac:dyDescent="0.25">
      <c r="A102">
        <f>IF($O102="","",INDEX(Master!$D$2:$D$1001,$O102))</f>
      </c>
      <c r="B102" s="166">
        <f>IF($O102="","",INDEX(Master!$B$2:$B$1001,$O102))</f>
      </c>
      <c r="C102">
        <f>IF($O102="","",INDEX(Master!$C$2:$C$1001,$O102))</f>
      </c>
      <c r="D102">
        <f>IF($O102="","",INDEX(Master!$A$2:$A$1001,$O102))</f>
      </c>
      <c r="E102">
        <f>IF($O102="","",INDEX(Master!$E$2:$E$1001,$O102))</f>
      </c>
      <c r="F102">
        <f>IF($O102="","",INDEX(Master!$F$2:$F$1001,$O102))</f>
      </c>
      <c r="G102">
        <f>IF($O102="","",INDEX(Master!$G$2:$G$1001,$O102))</f>
      </c>
      <c r="H102">
        <f>IF($O102="","",INDEX(Master!$H$2:$H$1001,$O102))</f>
      </c>
      <c r="I102">
        <f>IF($O102="","",INDEX(Master!$I$2:$I$1001,$O102))</f>
      </c>
      <c r="J102">
        <f>IF($O102="","",INDEX(Master!$J$2:$J$1001,$O102))</f>
      </c>
      <c r="K102">
        <f t="shared" si="2"/>
      </c>
      <c r="L102">
        <f>IF($O102="","",INDEX(Master!$K$2:$K$1001,$O102))</f>
      </c>
      <c r="M102">
        <f>IF($O102="","",INDEX(Master!$L$2:$L$1001,$O102))</f>
      </c>
      <c r="O102">
        <f t="array" ref="O102">IFERROR(SMALL(IF(Master!$A$2:$A$1001="AR ISPAT",ROW(Master!$A$2:$A$1001)-ROW(Master!$A$2)+1),98),"")</f>
      </c>
      <c r="P102">
        <f t="shared" si="3"/>
      </c>
    </row>
    <row r="103" spans="1:16" x14ac:dyDescent="0.25">
      <c r="A103">
        <f>IF($O103="","",INDEX(Master!$D$2:$D$1001,$O103))</f>
      </c>
      <c r="B103" s="166">
        <f>IF($O103="","",INDEX(Master!$B$2:$B$1001,$O103))</f>
      </c>
      <c r="C103">
        <f>IF($O103="","",INDEX(Master!$C$2:$C$1001,$O103))</f>
      </c>
      <c r="D103">
        <f>IF($O103="","",INDEX(Master!$A$2:$A$1001,$O103))</f>
      </c>
      <c r="E103">
        <f>IF($O103="","",INDEX(Master!$E$2:$E$1001,$O103))</f>
      </c>
      <c r="F103">
        <f>IF($O103="","",INDEX(Master!$F$2:$F$1001,$O103))</f>
      </c>
      <c r="G103">
        <f>IF($O103="","",INDEX(Master!$G$2:$G$1001,$O103))</f>
      </c>
      <c r="H103">
        <f>IF($O103="","",INDEX(Master!$H$2:$H$1001,$O103))</f>
      </c>
      <c r="I103">
        <f>IF($O103="","",INDEX(Master!$I$2:$I$1001,$O103))</f>
      </c>
      <c r="J103">
        <f>IF($O103="","",INDEX(Master!$J$2:$J$1001,$O103))</f>
      </c>
      <c r="K103">
        <f t="shared" si="2"/>
      </c>
      <c r="L103">
        <f>IF($O103="","",INDEX(Master!$K$2:$K$1001,$O103))</f>
      </c>
      <c r="M103">
        <f>IF($O103="","",INDEX(Master!$L$2:$L$1001,$O103))</f>
      </c>
      <c r="O103">
        <f t="array" ref="O103">IFERROR(SMALL(IF(Master!$A$2:$A$1001="AR ISPAT",ROW(Master!$A$2:$A$1001)-ROW(Master!$A$2)+1),99),"")</f>
      </c>
      <c r="P103">
        <f t="shared" si="3"/>
      </c>
    </row>
    <row r="104" spans="1:16" x14ac:dyDescent="0.25">
      <c r="A104">
        <f>IF($O104="","",INDEX(Master!$D$2:$D$1001,$O104))</f>
      </c>
      <c r="B104" s="166">
        <f>IF($O104="","",INDEX(Master!$B$2:$B$1001,$O104))</f>
      </c>
      <c r="C104">
        <f>IF($O104="","",INDEX(Master!$C$2:$C$1001,$O104))</f>
      </c>
      <c r="D104">
        <f>IF($O104="","",INDEX(Master!$A$2:$A$1001,$O104))</f>
      </c>
      <c r="E104">
        <f>IF($O104="","",INDEX(Master!$E$2:$E$1001,$O104))</f>
      </c>
      <c r="F104">
        <f>IF($O104="","",INDEX(Master!$F$2:$F$1001,$O104))</f>
      </c>
      <c r="G104">
        <f>IF($O104="","",INDEX(Master!$G$2:$G$1001,$O104))</f>
      </c>
      <c r="H104">
        <f>IF($O104="","",INDEX(Master!$H$2:$H$1001,$O104))</f>
      </c>
      <c r="I104">
        <f>IF($O104="","",INDEX(Master!$I$2:$I$1001,$O104))</f>
      </c>
      <c r="J104">
        <f>IF($O104="","",INDEX(Master!$J$2:$J$1001,$O104))</f>
      </c>
      <c r="K104">
        <f t="shared" si="2"/>
      </c>
      <c r="L104">
        <f>IF($O104="","",INDEX(Master!$K$2:$K$1001,$O104))</f>
      </c>
      <c r="M104">
        <f>IF($O104="","",INDEX(Master!$L$2:$L$1001,$O104))</f>
      </c>
      <c r="O104">
        <f t="array" ref="O104">IFERROR(SMALL(IF(Master!$A$2:$A$1001="AR ISPAT",ROW(Master!$A$2:$A$1001)-ROW(Master!$A$2)+1),100),"")</f>
      </c>
      <c r="P104">
        <f t="shared" si="3"/>
      </c>
    </row>
    <row r="105" spans="1:16" x14ac:dyDescent="0.25">
      <c r="A105">
        <f>IF($O105="","",INDEX(Master!$D$2:$D$1001,$O105))</f>
      </c>
      <c r="B105" s="166">
        <f>IF($O105="","",INDEX(Master!$B$2:$B$1001,$O105))</f>
      </c>
      <c r="C105">
        <f>IF($O105="","",INDEX(Master!$C$2:$C$1001,$O105))</f>
      </c>
      <c r="D105">
        <f>IF($O105="","",INDEX(Master!$A$2:$A$1001,$O105))</f>
      </c>
      <c r="E105">
        <f>IF($O105="","",INDEX(Master!$E$2:$E$1001,$O105))</f>
      </c>
      <c r="F105">
        <f>IF($O105="","",INDEX(Master!$F$2:$F$1001,$O105))</f>
      </c>
      <c r="G105">
        <f>IF($O105="","",INDEX(Master!$G$2:$G$1001,$O105))</f>
      </c>
      <c r="H105">
        <f>IF($O105="","",INDEX(Master!$H$2:$H$1001,$O105))</f>
      </c>
      <c r="I105">
        <f>IF($O105="","",INDEX(Master!$I$2:$I$1001,$O105))</f>
      </c>
      <c r="J105">
        <f>IF($O105="","",INDEX(Master!$J$2:$J$1001,$O105))</f>
      </c>
      <c r="K105">
        <f t="shared" si="2"/>
      </c>
      <c r="L105">
        <f>IF($O105="","",INDEX(Master!$K$2:$K$1001,$O105))</f>
      </c>
      <c r="M105">
        <f>IF($O105="","",INDEX(Master!$L$2:$L$1001,$O105))</f>
      </c>
      <c r="O105">
        <f t="array" ref="O105">IFERROR(SMALL(IF(Master!$A$2:$A$1001="AR ISPAT",ROW(Master!$A$2:$A$1001)-ROW(Master!$A$2)+1),101),"")</f>
      </c>
      <c r="P105">
        <f t="shared" si="3"/>
      </c>
    </row>
    <row r="106" spans="1:16" x14ac:dyDescent="0.25">
      <c r="A106">
        <f>IF($O106="","",INDEX(Master!$D$2:$D$1001,$O106))</f>
      </c>
      <c r="B106" s="166">
        <f>IF($O106="","",INDEX(Master!$B$2:$B$1001,$O106))</f>
      </c>
      <c r="C106">
        <f>IF($O106="","",INDEX(Master!$C$2:$C$1001,$O106))</f>
      </c>
      <c r="D106">
        <f>IF($O106="","",INDEX(Master!$A$2:$A$1001,$O106))</f>
      </c>
      <c r="E106">
        <f>IF($O106="","",INDEX(Master!$E$2:$E$1001,$O106))</f>
      </c>
      <c r="F106">
        <f>IF($O106="","",INDEX(Master!$F$2:$F$1001,$O106))</f>
      </c>
      <c r="G106">
        <f>IF($O106="","",INDEX(Master!$G$2:$G$1001,$O106))</f>
      </c>
      <c r="H106">
        <f>IF($O106="","",INDEX(Master!$H$2:$H$1001,$O106))</f>
      </c>
      <c r="I106">
        <f>IF($O106="","",INDEX(Master!$I$2:$I$1001,$O106))</f>
      </c>
      <c r="J106">
        <f>IF($O106="","",INDEX(Master!$J$2:$J$1001,$O106))</f>
      </c>
      <c r="K106">
        <f t="shared" si="2"/>
      </c>
      <c r="L106">
        <f>IF($O106="","",INDEX(Master!$K$2:$K$1001,$O106))</f>
      </c>
      <c r="M106">
        <f>IF($O106="","",INDEX(Master!$L$2:$L$1001,$O106))</f>
      </c>
      <c r="O106">
        <f t="array" ref="O106">IFERROR(SMALL(IF(Master!$A$2:$A$1001="AR ISPAT",ROW(Master!$A$2:$A$1001)-ROW(Master!$A$2)+1),102),"")</f>
      </c>
      <c r="P106">
        <f t="shared" si="3"/>
      </c>
    </row>
    <row r="107" spans="1:16" x14ac:dyDescent="0.25">
      <c r="A107">
        <f>IF($O107="","",INDEX(Master!$D$2:$D$1001,$O107))</f>
      </c>
      <c r="B107" s="166">
        <f>IF($O107="","",INDEX(Master!$B$2:$B$1001,$O107))</f>
      </c>
      <c r="C107">
        <f>IF($O107="","",INDEX(Master!$C$2:$C$1001,$O107))</f>
      </c>
      <c r="D107">
        <f>IF($O107="","",INDEX(Master!$A$2:$A$1001,$O107))</f>
      </c>
      <c r="E107">
        <f>IF($O107="","",INDEX(Master!$E$2:$E$1001,$O107))</f>
      </c>
      <c r="F107">
        <f>IF($O107="","",INDEX(Master!$F$2:$F$1001,$O107))</f>
      </c>
      <c r="G107">
        <f>IF($O107="","",INDEX(Master!$G$2:$G$1001,$O107))</f>
      </c>
      <c r="H107">
        <f>IF($O107="","",INDEX(Master!$H$2:$H$1001,$O107))</f>
      </c>
      <c r="I107">
        <f>IF($O107="","",INDEX(Master!$I$2:$I$1001,$O107))</f>
      </c>
      <c r="J107">
        <f>IF($O107="","",INDEX(Master!$J$2:$J$1001,$O107))</f>
      </c>
      <c r="K107">
        <f t="shared" si="2"/>
      </c>
      <c r="L107">
        <f>IF($O107="","",INDEX(Master!$K$2:$K$1001,$O107))</f>
      </c>
      <c r="M107">
        <f>IF($O107="","",INDEX(Master!$L$2:$L$1001,$O107))</f>
      </c>
      <c r="O107">
        <f t="array" ref="O107">IFERROR(SMALL(IF(Master!$A$2:$A$1001="AR ISPAT",ROW(Master!$A$2:$A$1001)-ROW(Master!$A$2)+1),103),"")</f>
      </c>
      <c r="P107">
        <f t="shared" si="3"/>
      </c>
    </row>
    <row r="108" spans="1:16" x14ac:dyDescent="0.25">
      <c r="A108">
        <f>IF($O108="","",INDEX(Master!$D$2:$D$1001,$O108))</f>
      </c>
      <c r="B108" s="166">
        <f>IF($O108="","",INDEX(Master!$B$2:$B$1001,$O108))</f>
      </c>
      <c r="C108">
        <f>IF($O108="","",INDEX(Master!$C$2:$C$1001,$O108))</f>
      </c>
      <c r="D108">
        <f>IF($O108="","",INDEX(Master!$A$2:$A$1001,$O108))</f>
      </c>
      <c r="E108">
        <f>IF($O108="","",INDEX(Master!$E$2:$E$1001,$O108))</f>
      </c>
      <c r="F108">
        <f>IF($O108="","",INDEX(Master!$F$2:$F$1001,$O108))</f>
      </c>
      <c r="G108">
        <f>IF($O108="","",INDEX(Master!$G$2:$G$1001,$O108))</f>
      </c>
      <c r="H108">
        <f>IF($O108="","",INDEX(Master!$H$2:$H$1001,$O108))</f>
      </c>
      <c r="I108">
        <f>IF($O108="","",INDEX(Master!$I$2:$I$1001,$O108))</f>
      </c>
      <c r="J108">
        <f>IF($O108="","",INDEX(Master!$J$2:$J$1001,$O108))</f>
      </c>
      <c r="K108">
        <f t="shared" si="2"/>
      </c>
      <c r="L108">
        <f>IF($O108="","",INDEX(Master!$K$2:$K$1001,$O108))</f>
      </c>
      <c r="M108">
        <f>IF($O108="","",INDEX(Master!$L$2:$L$1001,$O108))</f>
      </c>
      <c r="O108">
        <f t="array" ref="O108">IFERROR(SMALL(IF(Master!$A$2:$A$1001="AR ISPAT",ROW(Master!$A$2:$A$1001)-ROW(Master!$A$2)+1),104),"")</f>
      </c>
      <c r="P108">
        <f t="shared" si="3"/>
      </c>
    </row>
    <row r="109" spans="1:16" x14ac:dyDescent="0.25">
      <c r="A109">
        <f>IF($O109="","",INDEX(Master!$D$2:$D$1001,$O109))</f>
      </c>
      <c r="B109" s="166">
        <f>IF($O109="","",INDEX(Master!$B$2:$B$1001,$O109))</f>
      </c>
      <c r="C109">
        <f>IF($O109="","",INDEX(Master!$C$2:$C$1001,$O109))</f>
      </c>
      <c r="D109">
        <f>IF($O109="","",INDEX(Master!$A$2:$A$1001,$O109))</f>
      </c>
      <c r="E109">
        <f>IF($O109="","",INDEX(Master!$E$2:$E$1001,$O109))</f>
      </c>
      <c r="F109">
        <f>IF($O109="","",INDEX(Master!$F$2:$F$1001,$O109))</f>
      </c>
      <c r="G109">
        <f>IF($O109="","",INDEX(Master!$G$2:$G$1001,$O109))</f>
      </c>
      <c r="H109">
        <f>IF($O109="","",INDEX(Master!$H$2:$H$1001,$O109))</f>
      </c>
      <c r="I109">
        <f>IF($O109="","",INDEX(Master!$I$2:$I$1001,$O109))</f>
      </c>
      <c r="J109">
        <f>IF($O109="","",INDEX(Master!$J$2:$J$1001,$O109))</f>
      </c>
      <c r="K109">
        <f t="shared" si="2"/>
      </c>
      <c r="L109">
        <f>IF($O109="","",INDEX(Master!$K$2:$K$1001,$O109))</f>
      </c>
      <c r="M109">
        <f>IF($O109="","",INDEX(Master!$L$2:$L$1001,$O109))</f>
      </c>
      <c r="O109">
        <f t="array" ref="O109">IFERROR(SMALL(IF(Master!$A$2:$A$1001="AR ISPAT",ROW(Master!$A$2:$A$1001)-ROW(Master!$A$2)+1),105),"")</f>
      </c>
      <c r="P109">
        <f t="shared" si="3"/>
      </c>
    </row>
    <row r="110" spans="1:16" x14ac:dyDescent="0.25">
      <c r="A110">
        <f>IF($O110="","",INDEX(Master!$D$2:$D$1001,$O110))</f>
      </c>
      <c r="B110" s="166">
        <f>IF($O110="","",INDEX(Master!$B$2:$B$1001,$O110))</f>
      </c>
      <c r="C110">
        <f>IF($O110="","",INDEX(Master!$C$2:$C$1001,$O110))</f>
      </c>
      <c r="D110">
        <f>IF($O110="","",INDEX(Master!$A$2:$A$1001,$O110))</f>
      </c>
      <c r="E110">
        <f>IF($O110="","",INDEX(Master!$E$2:$E$1001,$O110))</f>
      </c>
      <c r="F110">
        <f>IF($O110="","",INDEX(Master!$F$2:$F$1001,$O110))</f>
      </c>
      <c r="G110">
        <f>IF($O110="","",INDEX(Master!$G$2:$G$1001,$O110))</f>
      </c>
      <c r="H110">
        <f>IF($O110="","",INDEX(Master!$H$2:$H$1001,$O110))</f>
      </c>
      <c r="I110">
        <f>IF($O110="","",INDEX(Master!$I$2:$I$1001,$O110))</f>
      </c>
      <c r="J110">
        <f>IF($O110="","",INDEX(Master!$J$2:$J$1001,$O110))</f>
      </c>
      <c r="K110">
        <f t="shared" si="2"/>
      </c>
      <c r="L110">
        <f>IF($O110="","",INDEX(Master!$K$2:$K$1001,$O110))</f>
      </c>
      <c r="M110">
        <f>IF($O110="","",INDEX(Master!$L$2:$L$1001,$O110))</f>
      </c>
      <c r="O110">
        <f t="array" ref="O110">IFERROR(SMALL(IF(Master!$A$2:$A$1001="AR ISPAT",ROW(Master!$A$2:$A$1001)-ROW(Master!$A$2)+1),106),"")</f>
      </c>
      <c r="P110">
        <f t="shared" si="3"/>
      </c>
    </row>
    <row r="111" spans="1:16" x14ac:dyDescent="0.25">
      <c r="A111">
        <f>IF($O111="","",INDEX(Master!$D$2:$D$1001,$O111))</f>
      </c>
      <c r="B111" s="166">
        <f>IF($O111="","",INDEX(Master!$B$2:$B$1001,$O111))</f>
      </c>
      <c r="C111">
        <f>IF($O111="","",INDEX(Master!$C$2:$C$1001,$O111))</f>
      </c>
      <c r="D111">
        <f>IF($O111="","",INDEX(Master!$A$2:$A$1001,$O111))</f>
      </c>
      <c r="E111">
        <f>IF($O111="","",INDEX(Master!$E$2:$E$1001,$O111))</f>
      </c>
      <c r="F111">
        <f>IF($O111="","",INDEX(Master!$F$2:$F$1001,$O111))</f>
      </c>
      <c r="G111">
        <f>IF($O111="","",INDEX(Master!$G$2:$G$1001,$O111))</f>
      </c>
      <c r="H111">
        <f>IF($O111="","",INDEX(Master!$H$2:$H$1001,$O111))</f>
      </c>
      <c r="I111">
        <f>IF($O111="","",INDEX(Master!$I$2:$I$1001,$O111))</f>
      </c>
      <c r="J111">
        <f>IF($O111="","",INDEX(Master!$J$2:$J$1001,$O111))</f>
      </c>
      <c r="K111">
        <f t="shared" si="2"/>
      </c>
      <c r="L111">
        <f>IF($O111="","",INDEX(Master!$K$2:$K$1001,$O111))</f>
      </c>
      <c r="M111">
        <f>IF($O111="","",INDEX(Master!$L$2:$L$1001,$O111))</f>
      </c>
      <c r="O111">
        <f t="array" ref="O111">IFERROR(SMALL(IF(Master!$A$2:$A$1001="AR ISPAT",ROW(Master!$A$2:$A$1001)-ROW(Master!$A$2)+1),107),"")</f>
      </c>
      <c r="P111">
        <f t="shared" si="3"/>
      </c>
    </row>
    <row r="112" spans="1:16" x14ac:dyDescent="0.25">
      <c r="A112">
        <f>IF($O112="","",INDEX(Master!$D$2:$D$1001,$O112))</f>
      </c>
      <c r="B112" s="166">
        <f>IF($O112="","",INDEX(Master!$B$2:$B$1001,$O112))</f>
      </c>
      <c r="C112">
        <f>IF($O112="","",INDEX(Master!$C$2:$C$1001,$O112))</f>
      </c>
      <c r="D112">
        <f>IF($O112="","",INDEX(Master!$A$2:$A$1001,$O112))</f>
      </c>
      <c r="E112">
        <f>IF($O112="","",INDEX(Master!$E$2:$E$1001,$O112))</f>
      </c>
      <c r="F112">
        <f>IF($O112="","",INDEX(Master!$F$2:$F$1001,$O112))</f>
      </c>
      <c r="G112">
        <f>IF($O112="","",INDEX(Master!$G$2:$G$1001,$O112))</f>
      </c>
      <c r="H112">
        <f>IF($O112="","",INDEX(Master!$H$2:$H$1001,$O112))</f>
      </c>
      <c r="I112">
        <f>IF($O112="","",INDEX(Master!$I$2:$I$1001,$O112))</f>
      </c>
      <c r="J112">
        <f>IF($O112="","",INDEX(Master!$J$2:$J$1001,$O112))</f>
      </c>
      <c r="K112">
        <f t="shared" si="2"/>
      </c>
      <c r="L112">
        <f>IF($O112="","",INDEX(Master!$K$2:$K$1001,$O112))</f>
      </c>
      <c r="M112">
        <f>IF($O112="","",INDEX(Master!$L$2:$L$1001,$O112))</f>
      </c>
      <c r="O112">
        <f t="array" ref="O112">IFERROR(SMALL(IF(Master!$A$2:$A$1001="AR ISPAT",ROW(Master!$A$2:$A$1001)-ROW(Master!$A$2)+1),108),"")</f>
      </c>
      <c r="P112">
        <f t="shared" si="3"/>
      </c>
    </row>
    <row r="113" spans="1:16" x14ac:dyDescent="0.25">
      <c r="A113">
        <f>IF($O113="","",INDEX(Master!$D$2:$D$1001,$O113))</f>
      </c>
      <c r="B113" s="166">
        <f>IF($O113="","",INDEX(Master!$B$2:$B$1001,$O113))</f>
      </c>
      <c r="C113">
        <f>IF($O113="","",INDEX(Master!$C$2:$C$1001,$O113))</f>
      </c>
      <c r="D113">
        <f>IF($O113="","",INDEX(Master!$A$2:$A$1001,$O113))</f>
      </c>
      <c r="E113">
        <f>IF($O113="","",INDEX(Master!$E$2:$E$1001,$O113))</f>
      </c>
      <c r="F113">
        <f>IF($O113="","",INDEX(Master!$F$2:$F$1001,$O113))</f>
      </c>
      <c r="G113">
        <f>IF($O113="","",INDEX(Master!$G$2:$G$1001,$O113))</f>
      </c>
      <c r="H113">
        <f>IF($O113="","",INDEX(Master!$H$2:$H$1001,$O113))</f>
      </c>
      <c r="I113">
        <f>IF($O113="","",INDEX(Master!$I$2:$I$1001,$O113))</f>
      </c>
      <c r="J113">
        <f>IF($O113="","",INDEX(Master!$J$2:$J$1001,$O113))</f>
      </c>
      <c r="K113">
        <f t="shared" si="2"/>
      </c>
      <c r="L113">
        <f>IF($O113="","",INDEX(Master!$K$2:$K$1001,$O113))</f>
      </c>
      <c r="M113">
        <f>IF($O113="","",INDEX(Master!$L$2:$L$1001,$O113))</f>
      </c>
      <c r="O113">
        <f t="array" ref="O113">IFERROR(SMALL(IF(Master!$A$2:$A$1001="AR ISPAT",ROW(Master!$A$2:$A$1001)-ROW(Master!$A$2)+1),109),"")</f>
      </c>
      <c r="P113">
        <f t="shared" si="3"/>
      </c>
    </row>
    <row r="114" spans="1:16" x14ac:dyDescent="0.25">
      <c r="A114">
        <f>IF($O114="","",INDEX(Master!$D$2:$D$1001,$O114))</f>
      </c>
      <c r="B114" s="166">
        <f>IF($O114="","",INDEX(Master!$B$2:$B$1001,$O114))</f>
      </c>
      <c r="C114">
        <f>IF($O114="","",INDEX(Master!$C$2:$C$1001,$O114))</f>
      </c>
      <c r="D114">
        <f>IF($O114="","",INDEX(Master!$A$2:$A$1001,$O114))</f>
      </c>
      <c r="E114">
        <f>IF($O114="","",INDEX(Master!$E$2:$E$1001,$O114))</f>
      </c>
      <c r="F114">
        <f>IF($O114="","",INDEX(Master!$F$2:$F$1001,$O114))</f>
      </c>
      <c r="G114">
        <f>IF($O114="","",INDEX(Master!$G$2:$G$1001,$O114))</f>
      </c>
      <c r="H114">
        <f>IF($O114="","",INDEX(Master!$H$2:$H$1001,$O114))</f>
      </c>
      <c r="I114">
        <f>IF($O114="","",INDEX(Master!$I$2:$I$1001,$O114))</f>
      </c>
      <c r="J114">
        <f>IF($O114="","",INDEX(Master!$J$2:$J$1001,$O114))</f>
      </c>
      <c r="K114">
        <f t="shared" si="2"/>
      </c>
      <c r="L114">
        <f>IF($O114="","",INDEX(Master!$K$2:$K$1001,$O114))</f>
      </c>
      <c r="M114">
        <f>IF($O114="","",INDEX(Master!$L$2:$L$1001,$O114))</f>
      </c>
      <c r="O114">
        <f t="array" ref="O114">IFERROR(SMALL(IF(Master!$A$2:$A$1001="AR ISPAT",ROW(Master!$A$2:$A$1001)-ROW(Master!$A$2)+1),110),"")</f>
      </c>
      <c r="P114">
        <f t="shared" si="3"/>
      </c>
    </row>
    <row r="115" spans="1:16" x14ac:dyDescent="0.25">
      <c r="A115">
        <f>IF($O115="","",INDEX(Master!$D$2:$D$1001,$O115))</f>
      </c>
      <c r="B115" s="166">
        <f>IF($O115="","",INDEX(Master!$B$2:$B$1001,$O115))</f>
      </c>
      <c r="C115">
        <f>IF($O115="","",INDEX(Master!$C$2:$C$1001,$O115))</f>
      </c>
      <c r="D115">
        <f>IF($O115="","",INDEX(Master!$A$2:$A$1001,$O115))</f>
      </c>
      <c r="E115">
        <f>IF($O115="","",INDEX(Master!$E$2:$E$1001,$O115))</f>
      </c>
      <c r="F115">
        <f>IF($O115="","",INDEX(Master!$F$2:$F$1001,$O115))</f>
      </c>
      <c r="G115">
        <f>IF($O115="","",INDEX(Master!$G$2:$G$1001,$O115))</f>
      </c>
      <c r="H115">
        <f>IF($O115="","",INDEX(Master!$H$2:$H$1001,$O115))</f>
      </c>
      <c r="I115">
        <f>IF($O115="","",INDEX(Master!$I$2:$I$1001,$O115))</f>
      </c>
      <c r="J115">
        <f>IF($O115="","",INDEX(Master!$J$2:$J$1001,$O115))</f>
      </c>
      <c r="K115">
        <f t="shared" si="2"/>
      </c>
      <c r="L115">
        <f>IF($O115="","",INDEX(Master!$K$2:$K$1001,$O115))</f>
      </c>
      <c r="M115">
        <f>IF($O115="","",INDEX(Master!$L$2:$L$1001,$O115))</f>
      </c>
      <c r="O115">
        <f t="array" ref="O115">IFERROR(SMALL(IF(Master!$A$2:$A$1001="AR ISPAT",ROW(Master!$A$2:$A$1001)-ROW(Master!$A$2)+1),111),"")</f>
      </c>
      <c r="P115">
        <f t="shared" si="3"/>
      </c>
    </row>
    <row r="116" spans="1:16" x14ac:dyDescent="0.25">
      <c r="A116">
        <f>IF($O116="","",INDEX(Master!$D$2:$D$1001,$O116))</f>
      </c>
      <c r="B116" s="166">
        <f>IF($O116="","",INDEX(Master!$B$2:$B$1001,$O116))</f>
      </c>
      <c r="C116">
        <f>IF($O116="","",INDEX(Master!$C$2:$C$1001,$O116))</f>
      </c>
      <c r="D116">
        <f>IF($O116="","",INDEX(Master!$A$2:$A$1001,$O116))</f>
      </c>
      <c r="E116">
        <f>IF($O116="","",INDEX(Master!$E$2:$E$1001,$O116))</f>
      </c>
      <c r="F116">
        <f>IF($O116="","",INDEX(Master!$F$2:$F$1001,$O116))</f>
      </c>
      <c r="G116">
        <f>IF($O116="","",INDEX(Master!$G$2:$G$1001,$O116))</f>
      </c>
      <c r="H116">
        <f>IF($O116="","",INDEX(Master!$H$2:$H$1001,$O116))</f>
      </c>
      <c r="I116">
        <f>IF($O116="","",INDEX(Master!$I$2:$I$1001,$O116))</f>
      </c>
      <c r="J116">
        <f>IF($O116="","",INDEX(Master!$J$2:$J$1001,$O116))</f>
      </c>
      <c r="K116">
        <f t="shared" si="2"/>
      </c>
      <c r="L116">
        <f>IF($O116="","",INDEX(Master!$K$2:$K$1001,$O116))</f>
      </c>
      <c r="M116">
        <f>IF($O116="","",INDEX(Master!$L$2:$L$1001,$O116))</f>
      </c>
      <c r="O116">
        <f t="array" ref="O116">IFERROR(SMALL(IF(Master!$A$2:$A$1001="AR ISPAT",ROW(Master!$A$2:$A$1001)-ROW(Master!$A$2)+1),112),"")</f>
      </c>
      <c r="P116">
        <f t="shared" si="3"/>
      </c>
    </row>
    <row r="117" spans="1:16" x14ac:dyDescent="0.25">
      <c r="A117">
        <f>IF($O117="","",INDEX(Master!$D$2:$D$1001,$O117))</f>
      </c>
      <c r="B117" s="166">
        <f>IF($O117="","",INDEX(Master!$B$2:$B$1001,$O117))</f>
      </c>
      <c r="C117">
        <f>IF($O117="","",INDEX(Master!$C$2:$C$1001,$O117))</f>
      </c>
      <c r="D117">
        <f>IF($O117="","",INDEX(Master!$A$2:$A$1001,$O117))</f>
      </c>
      <c r="E117">
        <f>IF($O117="","",INDEX(Master!$E$2:$E$1001,$O117))</f>
      </c>
      <c r="F117">
        <f>IF($O117="","",INDEX(Master!$F$2:$F$1001,$O117))</f>
      </c>
      <c r="G117">
        <f>IF($O117="","",INDEX(Master!$G$2:$G$1001,$O117))</f>
      </c>
      <c r="H117">
        <f>IF($O117="","",INDEX(Master!$H$2:$H$1001,$O117))</f>
      </c>
      <c r="I117">
        <f>IF($O117="","",INDEX(Master!$I$2:$I$1001,$O117))</f>
      </c>
      <c r="J117">
        <f>IF($O117="","",INDEX(Master!$J$2:$J$1001,$O117))</f>
      </c>
      <c r="K117">
        <f t="shared" si="2"/>
      </c>
      <c r="L117">
        <f>IF($O117="","",INDEX(Master!$K$2:$K$1001,$O117))</f>
      </c>
      <c r="M117">
        <f>IF($O117="","",INDEX(Master!$L$2:$L$1001,$O117))</f>
      </c>
      <c r="O117">
        <f t="array" ref="O117">IFERROR(SMALL(IF(Master!$A$2:$A$1001="AR ISPAT",ROW(Master!$A$2:$A$1001)-ROW(Master!$A$2)+1),113),"")</f>
      </c>
      <c r="P117">
        <f t="shared" si="3"/>
      </c>
    </row>
    <row r="118" spans="1:16" x14ac:dyDescent="0.25">
      <c r="A118">
        <f>IF($O118="","",INDEX(Master!$D$2:$D$1001,$O118))</f>
      </c>
      <c r="B118" s="166">
        <f>IF($O118="","",INDEX(Master!$B$2:$B$1001,$O118))</f>
      </c>
      <c r="C118">
        <f>IF($O118="","",INDEX(Master!$C$2:$C$1001,$O118))</f>
      </c>
      <c r="D118">
        <f>IF($O118="","",INDEX(Master!$A$2:$A$1001,$O118))</f>
      </c>
      <c r="E118">
        <f>IF($O118="","",INDEX(Master!$E$2:$E$1001,$O118))</f>
      </c>
      <c r="F118">
        <f>IF($O118="","",INDEX(Master!$F$2:$F$1001,$O118))</f>
      </c>
      <c r="G118">
        <f>IF($O118="","",INDEX(Master!$G$2:$G$1001,$O118))</f>
      </c>
      <c r="H118">
        <f>IF($O118="","",INDEX(Master!$H$2:$H$1001,$O118))</f>
      </c>
      <c r="I118">
        <f>IF($O118="","",INDEX(Master!$I$2:$I$1001,$O118))</f>
      </c>
      <c r="J118">
        <f>IF($O118="","",INDEX(Master!$J$2:$J$1001,$O118))</f>
      </c>
      <c r="K118">
        <f t="shared" si="2"/>
      </c>
      <c r="L118">
        <f>IF($O118="","",INDEX(Master!$K$2:$K$1001,$O118))</f>
      </c>
      <c r="M118">
        <f>IF($O118="","",INDEX(Master!$L$2:$L$1001,$O118))</f>
      </c>
      <c r="O118">
        <f t="array" ref="O118">IFERROR(SMALL(IF(Master!$A$2:$A$1001="AR ISPAT",ROW(Master!$A$2:$A$1001)-ROW(Master!$A$2)+1),114),"")</f>
      </c>
      <c r="P118">
        <f t="shared" si="3"/>
      </c>
    </row>
    <row r="119" spans="1:16" x14ac:dyDescent="0.25">
      <c r="A119">
        <f>IF($O119="","",INDEX(Master!$D$2:$D$1001,$O119))</f>
      </c>
      <c r="B119" s="166">
        <f>IF($O119="","",INDEX(Master!$B$2:$B$1001,$O119))</f>
      </c>
      <c r="C119">
        <f>IF($O119="","",INDEX(Master!$C$2:$C$1001,$O119))</f>
      </c>
      <c r="D119">
        <f>IF($O119="","",INDEX(Master!$A$2:$A$1001,$O119))</f>
      </c>
      <c r="E119">
        <f>IF($O119="","",INDEX(Master!$E$2:$E$1001,$O119))</f>
      </c>
      <c r="F119">
        <f>IF($O119="","",INDEX(Master!$F$2:$F$1001,$O119))</f>
      </c>
      <c r="G119">
        <f>IF($O119="","",INDEX(Master!$G$2:$G$1001,$O119))</f>
      </c>
      <c r="H119">
        <f>IF($O119="","",INDEX(Master!$H$2:$H$1001,$O119))</f>
      </c>
      <c r="I119">
        <f>IF($O119="","",INDEX(Master!$I$2:$I$1001,$O119))</f>
      </c>
      <c r="J119">
        <f>IF($O119="","",INDEX(Master!$J$2:$J$1001,$O119))</f>
      </c>
      <c r="K119">
        <f t="shared" si="2"/>
      </c>
      <c r="L119">
        <f>IF($O119="","",INDEX(Master!$K$2:$K$1001,$O119))</f>
      </c>
      <c r="M119">
        <f>IF($O119="","",INDEX(Master!$L$2:$L$1001,$O119))</f>
      </c>
      <c r="O119">
        <f t="array" ref="O119">IFERROR(SMALL(IF(Master!$A$2:$A$1001="AR ISPAT",ROW(Master!$A$2:$A$1001)-ROW(Master!$A$2)+1),115),"")</f>
      </c>
      <c r="P119">
        <f t="shared" si="3"/>
      </c>
    </row>
    <row r="120" spans="1:16" x14ac:dyDescent="0.25">
      <c r="A120">
        <f>IF($O120="","",INDEX(Master!$D$2:$D$1001,$O120))</f>
      </c>
      <c r="B120" s="166">
        <f>IF($O120="","",INDEX(Master!$B$2:$B$1001,$O120))</f>
      </c>
      <c r="C120">
        <f>IF($O120="","",INDEX(Master!$C$2:$C$1001,$O120))</f>
      </c>
      <c r="D120">
        <f>IF($O120="","",INDEX(Master!$A$2:$A$1001,$O120))</f>
      </c>
      <c r="E120">
        <f>IF($O120="","",INDEX(Master!$E$2:$E$1001,$O120))</f>
      </c>
      <c r="F120">
        <f>IF($O120="","",INDEX(Master!$F$2:$F$1001,$O120))</f>
      </c>
      <c r="G120">
        <f>IF($O120="","",INDEX(Master!$G$2:$G$1001,$O120))</f>
      </c>
      <c r="H120">
        <f>IF($O120="","",INDEX(Master!$H$2:$H$1001,$O120))</f>
      </c>
      <c r="I120">
        <f>IF($O120="","",INDEX(Master!$I$2:$I$1001,$O120))</f>
      </c>
      <c r="J120">
        <f>IF($O120="","",INDEX(Master!$J$2:$J$1001,$O120))</f>
      </c>
      <c r="K120">
        <f t="shared" si="2"/>
      </c>
      <c r="L120">
        <f>IF($O120="","",INDEX(Master!$K$2:$K$1001,$O120))</f>
      </c>
      <c r="M120">
        <f>IF($O120="","",INDEX(Master!$L$2:$L$1001,$O120))</f>
      </c>
      <c r="O120">
        <f t="array" ref="O120">IFERROR(SMALL(IF(Master!$A$2:$A$1001="AR ISPAT",ROW(Master!$A$2:$A$1001)-ROW(Master!$A$2)+1),116),"")</f>
      </c>
      <c r="P120">
        <f t="shared" si="3"/>
      </c>
    </row>
    <row r="121" spans="1:16" x14ac:dyDescent="0.25">
      <c r="A121">
        <f>IF($O121="","",INDEX(Master!$D$2:$D$1001,$O121))</f>
      </c>
      <c r="B121" s="166">
        <f>IF($O121="","",INDEX(Master!$B$2:$B$1001,$O121))</f>
      </c>
      <c r="C121">
        <f>IF($O121="","",INDEX(Master!$C$2:$C$1001,$O121))</f>
      </c>
      <c r="D121">
        <f>IF($O121="","",INDEX(Master!$A$2:$A$1001,$O121))</f>
      </c>
      <c r="E121">
        <f>IF($O121="","",INDEX(Master!$E$2:$E$1001,$O121))</f>
      </c>
      <c r="F121">
        <f>IF($O121="","",INDEX(Master!$F$2:$F$1001,$O121))</f>
      </c>
      <c r="G121">
        <f>IF($O121="","",INDEX(Master!$G$2:$G$1001,$O121))</f>
      </c>
      <c r="H121">
        <f>IF($O121="","",INDEX(Master!$H$2:$H$1001,$O121))</f>
      </c>
      <c r="I121">
        <f>IF($O121="","",INDEX(Master!$I$2:$I$1001,$O121))</f>
      </c>
      <c r="J121">
        <f>IF($O121="","",INDEX(Master!$J$2:$J$1001,$O121))</f>
      </c>
      <c r="K121">
        <f t="shared" si="2"/>
      </c>
      <c r="L121">
        <f>IF($O121="","",INDEX(Master!$K$2:$K$1001,$O121))</f>
      </c>
      <c r="M121">
        <f>IF($O121="","",INDEX(Master!$L$2:$L$1001,$O121))</f>
      </c>
      <c r="O121">
        <f t="array" ref="O121">IFERROR(SMALL(IF(Master!$A$2:$A$1001="AR ISPAT",ROW(Master!$A$2:$A$1001)-ROW(Master!$A$2)+1),117),"")</f>
      </c>
      <c r="P121">
        <f t="shared" si="3"/>
      </c>
    </row>
    <row r="122" spans="1:16" x14ac:dyDescent="0.25">
      <c r="A122">
        <f>IF($O122="","",INDEX(Master!$D$2:$D$1001,$O122))</f>
      </c>
      <c r="B122" s="166">
        <f>IF($O122="","",INDEX(Master!$B$2:$B$1001,$O122))</f>
      </c>
      <c r="C122">
        <f>IF($O122="","",INDEX(Master!$C$2:$C$1001,$O122))</f>
      </c>
      <c r="D122">
        <f>IF($O122="","",INDEX(Master!$A$2:$A$1001,$O122))</f>
      </c>
      <c r="E122">
        <f>IF($O122="","",INDEX(Master!$E$2:$E$1001,$O122))</f>
      </c>
      <c r="F122">
        <f>IF($O122="","",INDEX(Master!$F$2:$F$1001,$O122))</f>
      </c>
      <c r="G122">
        <f>IF($O122="","",INDEX(Master!$G$2:$G$1001,$O122))</f>
      </c>
      <c r="H122">
        <f>IF($O122="","",INDEX(Master!$H$2:$H$1001,$O122))</f>
      </c>
      <c r="I122">
        <f>IF($O122="","",INDEX(Master!$I$2:$I$1001,$O122))</f>
      </c>
      <c r="J122">
        <f>IF($O122="","",INDEX(Master!$J$2:$J$1001,$O122))</f>
      </c>
      <c r="K122">
        <f t="shared" si="2"/>
      </c>
      <c r="L122">
        <f>IF($O122="","",INDEX(Master!$K$2:$K$1001,$O122))</f>
      </c>
      <c r="M122">
        <f>IF($O122="","",INDEX(Master!$L$2:$L$1001,$O122))</f>
      </c>
      <c r="O122">
        <f t="array" ref="O122">IFERROR(SMALL(IF(Master!$A$2:$A$1001="AR ISPAT",ROW(Master!$A$2:$A$1001)-ROW(Master!$A$2)+1),118),"")</f>
      </c>
      <c r="P122">
        <f t="shared" si="3"/>
      </c>
    </row>
    <row r="123" spans="1:16" x14ac:dyDescent="0.25">
      <c r="A123">
        <f>IF($O123="","",INDEX(Master!$D$2:$D$1001,$O123))</f>
      </c>
      <c r="B123" s="166">
        <f>IF($O123="","",INDEX(Master!$B$2:$B$1001,$O123))</f>
      </c>
      <c r="C123">
        <f>IF($O123="","",INDEX(Master!$C$2:$C$1001,$O123))</f>
      </c>
      <c r="D123">
        <f>IF($O123="","",INDEX(Master!$A$2:$A$1001,$O123))</f>
      </c>
      <c r="E123">
        <f>IF($O123="","",INDEX(Master!$E$2:$E$1001,$O123))</f>
      </c>
      <c r="F123">
        <f>IF($O123="","",INDEX(Master!$F$2:$F$1001,$O123))</f>
      </c>
      <c r="G123">
        <f>IF($O123="","",INDEX(Master!$G$2:$G$1001,$O123))</f>
      </c>
      <c r="H123">
        <f>IF($O123="","",INDEX(Master!$H$2:$H$1001,$O123))</f>
      </c>
      <c r="I123">
        <f>IF($O123="","",INDEX(Master!$I$2:$I$1001,$O123))</f>
      </c>
      <c r="J123">
        <f>IF($O123="","",INDEX(Master!$J$2:$J$1001,$O123))</f>
      </c>
      <c r="K123">
        <f t="shared" si="2"/>
      </c>
      <c r="L123">
        <f>IF($O123="","",INDEX(Master!$K$2:$K$1001,$O123))</f>
      </c>
      <c r="M123">
        <f>IF($O123="","",INDEX(Master!$L$2:$L$1001,$O123))</f>
      </c>
      <c r="O123">
        <f t="array" ref="O123">IFERROR(SMALL(IF(Master!$A$2:$A$1001="AR ISPAT",ROW(Master!$A$2:$A$1001)-ROW(Master!$A$2)+1),119),"")</f>
      </c>
      <c r="P123">
        <f t="shared" si="3"/>
      </c>
    </row>
    <row r="124" spans="1:16" x14ac:dyDescent="0.25">
      <c r="A124">
        <f>IF($O124="","",INDEX(Master!$D$2:$D$1001,$O124))</f>
      </c>
      <c r="B124" s="166">
        <f>IF($O124="","",INDEX(Master!$B$2:$B$1001,$O124))</f>
      </c>
      <c r="C124">
        <f>IF($O124="","",INDEX(Master!$C$2:$C$1001,$O124))</f>
      </c>
      <c r="D124">
        <f>IF($O124="","",INDEX(Master!$A$2:$A$1001,$O124))</f>
      </c>
      <c r="E124">
        <f>IF($O124="","",INDEX(Master!$E$2:$E$1001,$O124))</f>
      </c>
      <c r="F124">
        <f>IF($O124="","",INDEX(Master!$F$2:$F$1001,$O124))</f>
      </c>
      <c r="G124">
        <f>IF($O124="","",INDEX(Master!$G$2:$G$1001,$O124))</f>
      </c>
      <c r="H124">
        <f>IF($O124="","",INDEX(Master!$H$2:$H$1001,$O124))</f>
      </c>
      <c r="I124">
        <f>IF($O124="","",INDEX(Master!$I$2:$I$1001,$O124))</f>
      </c>
      <c r="J124">
        <f>IF($O124="","",INDEX(Master!$J$2:$J$1001,$O124))</f>
      </c>
      <c r="K124">
        <f t="shared" si="2"/>
      </c>
      <c r="L124">
        <f>IF($O124="","",INDEX(Master!$K$2:$K$1001,$O124))</f>
      </c>
      <c r="M124">
        <f>IF($O124="","",INDEX(Master!$L$2:$L$1001,$O124))</f>
      </c>
      <c r="O124">
        <f t="array" ref="O124">IFERROR(SMALL(IF(Master!$A$2:$A$1001="AR ISPAT",ROW(Master!$A$2:$A$1001)-ROW(Master!$A$2)+1),120),"")</f>
      </c>
      <c r="P124">
        <f t="shared" si="3"/>
      </c>
    </row>
    <row r="125" spans="1:16" x14ac:dyDescent="0.25">
      <c r="A125">
        <f>IF($O125="","",INDEX(Master!$D$2:$D$1001,$O125))</f>
      </c>
      <c r="B125" s="166">
        <f>IF($O125="","",INDEX(Master!$B$2:$B$1001,$O125))</f>
      </c>
      <c r="C125">
        <f>IF($O125="","",INDEX(Master!$C$2:$C$1001,$O125))</f>
      </c>
      <c r="D125">
        <f>IF($O125="","",INDEX(Master!$A$2:$A$1001,$O125))</f>
      </c>
      <c r="E125">
        <f>IF($O125="","",INDEX(Master!$E$2:$E$1001,$O125))</f>
      </c>
      <c r="F125">
        <f>IF($O125="","",INDEX(Master!$F$2:$F$1001,$O125))</f>
      </c>
      <c r="G125">
        <f>IF($O125="","",INDEX(Master!$G$2:$G$1001,$O125))</f>
      </c>
      <c r="H125">
        <f>IF($O125="","",INDEX(Master!$H$2:$H$1001,$O125))</f>
      </c>
      <c r="I125">
        <f>IF($O125="","",INDEX(Master!$I$2:$I$1001,$O125))</f>
      </c>
      <c r="J125">
        <f>IF($O125="","",INDEX(Master!$J$2:$J$1001,$O125))</f>
      </c>
      <c r="K125">
        <f t="shared" si="2"/>
      </c>
      <c r="L125">
        <f>IF($O125="","",INDEX(Master!$K$2:$K$1001,$O125))</f>
      </c>
      <c r="M125">
        <f>IF($O125="","",INDEX(Master!$L$2:$L$1001,$O125))</f>
      </c>
      <c r="O125">
        <f t="array" ref="O125">IFERROR(SMALL(IF(Master!$A$2:$A$1001="AR ISPAT",ROW(Master!$A$2:$A$1001)-ROW(Master!$A$2)+1),121),"")</f>
      </c>
      <c r="P125">
        <f t="shared" si="3"/>
      </c>
    </row>
    <row r="126" spans="1:16" x14ac:dyDescent="0.25">
      <c r="A126">
        <f>IF($O126="","",INDEX(Master!$D$2:$D$1001,$O126))</f>
      </c>
      <c r="B126" s="166">
        <f>IF($O126="","",INDEX(Master!$B$2:$B$1001,$O126))</f>
      </c>
      <c r="C126">
        <f>IF($O126="","",INDEX(Master!$C$2:$C$1001,$O126))</f>
      </c>
      <c r="D126">
        <f>IF($O126="","",INDEX(Master!$A$2:$A$1001,$O126))</f>
      </c>
      <c r="E126">
        <f>IF($O126="","",INDEX(Master!$E$2:$E$1001,$O126))</f>
      </c>
      <c r="F126">
        <f>IF($O126="","",INDEX(Master!$F$2:$F$1001,$O126))</f>
      </c>
      <c r="G126">
        <f>IF($O126="","",INDEX(Master!$G$2:$G$1001,$O126))</f>
      </c>
      <c r="H126">
        <f>IF($O126="","",INDEX(Master!$H$2:$H$1001,$O126))</f>
      </c>
      <c r="I126">
        <f>IF($O126="","",INDEX(Master!$I$2:$I$1001,$O126))</f>
      </c>
      <c r="J126">
        <f>IF($O126="","",INDEX(Master!$J$2:$J$1001,$O126))</f>
      </c>
      <c r="K126">
        <f t="shared" si="2"/>
      </c>
      <c r="L126">
        <f>IF($O126="","",INDEX(Master!$K$2:$K$1001,$O126))</f>
      </c>
      <c r="M126">
        <f>IF($O126="","",INDEX(Master!$L$2:$L$1001,$O126))</f>
      </c>
      <c r="O126">
        <f t="array" ref="O126">IFERROR(SMALL(IF(Master!$A$2:$A$1001="AR ISPAT",ROW(Master!$A$2:$A$1001)-ROW(Master!$A$2)+1),122),"")</f>
      </c>
      <c r="P126">
        <f t="shared" si="3"/>
      </c>
    </row>
    <row r="127" spans="1:16" x14ac:dyDescent="0.25">
      <c r="A127">
        <f>IF($O127="","",INDEX(Master!$D$2:$D$1001,$O127))</f>
      </c>
      <c r="B127" s="166">
        <f>IF($O127="","",INDEX(Master!$B$2:$B$1001,$O127))</f>
      </c>
      <c r="C127">
        <f>IF($O127="","",INDEX(Master!$C$2:$C$1001,$O127))</f>
      </c>
      <c r="D127">
        <f>IF($O127="","",INDEX(Master!$A$2:$A$1001,$O127))</f>
      </c>
      <c r="E127">
        <f>IF($O127="","",INDEX(Master!$E$2:$E$1001,$O127))</f>
      </c>
      <c r="F127">
        <f>IF($O127="","",INDEX(Master!$F$2:$F$1001,$O127))</f>
      </c>
      <c r="G127">
        <f>IF($O127="","",INDEX(Master!$G$2:$G$1001,$O127))</f>
      </c>
      <c r="H127">
        <f>IF($O127="","",INDEX(Master!$H$2:$H$1001,$O127))</f>
      </c>
      <c r="I127">
        <f>IF($O127="","",INDEX(Master!$I$2:$I$1001,$O127))</f>
      </c>
      <c r="J127">
        <f>IF($O127="","",INDEX(Master!$J$2:$J$1001,$O127))</f>
      </c>
      <c r="K127">
        <f t="shared" si="2"/>
      </c>
      <c r="L127">
        <f>IF($O127="","",INDEX(Master!$K$2:$K$1001,$O127))</f>
      </c>
      <c r="M127">
        <f>IF($O127="","",INDEX(Master!$L$2:$L$1001,$O127))</f>
      </c>
      <c r="O127">
        <f t="array" ref="O127">IFERROR(SMALL(IF(Master!$A$2:$A$1001="AR ISPAT",ROW(Master!$A$2:$A$1001)-ROW(Master!$A$2)+1),123),"")</f>
      </c>
      <c r="P127">
        <f t="shared" si="3"/>
      </c>
    </row>
    <row r="128" spans="1:16" x14ac:dyDescent="0.25">
      <c r="A128">
        <f>IF($O128="","",INDEX(Master!$D$2:$D$1001,$O128))</f>
      </c>
      <c r="B128" s="166">
        <f>IF($O128="","",INDEX(Master!$B$2:$B$1001,$O128))</f>
      </c>
      <c r="C128">
        <f>IF($O128="","",INDEX(Master!$C$2:$C$1001,$O128))</f>
      </c>
      <c r="D128">
        <f>IF($O128="","",INDEX(Master!$A$2:$A$1001,$O128))</f>
      </c>
      <c r="E128">
        <f>IF($O128="","",INDEX(Master!$E$2:$E$1001,$O128))</f>
      </c>
      <c r="F128">
        <f>IF($O128="","",INDEX(Master!$F$2:$F$1001,$O128))</f>
      </c>
      <c r="G128">
        <f>IF($O128="","",INDEX(Master!$G$2:$G$1001,$O128))</f>
      </c>
      <c r="H128">
        <f>IF($O128="","",INDEX(Master!$H$2:$H$1001,$O128))</f>
      </c>
      <c r="I128">
        <f>IF($O128="","",INDEX(Master!$I$2:$I$1001,$O128))</f>
      </c>
      <c r="J128">
        <f>IF($O128="","",INDEX(Master!$J$2:$J$1001,$O128))</f>
      </c>
      <c r="K128">
        <f t="shared" si="2"/>
      </c>
      <c r="L128">
        <f>IF($O128="","",INDEX(Master!$K$2:$K$1001,$O128))</f>
      </c>
      <c r="M128">
        <f>IF($O128="","",INDEX(Master!$L$2:$L$1001,$O128))</f>
      </c>
      <c r="O128">
        <f t="array" ref="O128">IFERROR(SMALL(IF(Master!$A$2:$A$1001="AR ISPAT",ROW(Master!$A$2:$A$1001)-ROW(Master!$A$2)+1),124),"")</f>
      </c>
      <c r="P128">
        <f t="shared" si="3"/>
      </c>
    </row>
    <row r="129" spans="1:16" x14ac:dyDescent="0.25">
      <c r="A129">
        <f>IF($O129="","",INDEX(Master!$D$2:$D$1001,$O129))</f>
      </c>
      <c r="B129" s="166">
        <f>IF($O129="","",INDEX(Master!$B$2:$B$1001,$O129))</f>
      </c>
      <c r="C129">
        <f>IF($O129="","",INDEX(Master!$C$2:$C$1001,$O129))</f>
      </c>
      <c r="D129">
        <f>IF($O129="","",INDEX(Master!$A$2:$A$1001,$O129))</f>
      </c>
      <c r="E129">
        <f>IF($O129="","",INDEX(Master!$E$2:$E$1001,$O129))</f>
      </c>
      <c r="F129">
        <f>IF($O129="","",INDEX(Master!$F$2:$F$1001,$O129))</f>
      </c>
      <c r="G129">
        <f>IF($O129="","",INDEX(Master!$G$2:$G$1001,$O129))</f>
      </c>
      <c r="H129">
        <f>IF($O129="","",INDEX(Master!$H$2:$H$1001,$O129))</f>
      </c>
      <c r="I129">
        <f>IF($O129="","",INDEX(Master!$I$2:$I$1001,$O129))</f>
      </c>
      <c r="J129">
        <f>IF($O129="","",INDEX(Master!$J$2:$J$1001,$O129))</f>
      </c>
      <c r="K129">
        <f t="shared" si="2"/>
      </c>
      <c r="L129">
        <f>IF($O129="","",INDEX(Master!$K$2:$K$1001,$O129))</f>
      </c>
      <c r="M129">
        <f>IF($O129="","",INDEX(Master!$L$2:$L$1001,$O129))</f>
      </c>
      <c r="O129">
        <f t="array" ref="O129">IFERROR(SMALL(IF(Master!$A$2:$A$1001="AR ISPAT",ROW(Master!$A$2:$A$1001)-ROW(Master!$A$2)+1),125),"")</f>
      </c>
      <c r="P129">
        <f t="shared" si="3"/>
      </c>
    </row>
    <row r="130" spans="1:16" x14ac:dyDescent="0.25">
      <c r="A130">
        <f>IF($O130="","",INDEX(Master!$D$2:$D$1001,$O130))</f>
      </c>
      <c r="B130" s="166">
        <f>IF($O130="","",INDEX(Master!$B$2:$B$1001,$O130))</f>
      </c>
      <c r="C130">
        <f>IF($O130="","",INDEX(Master!$C$2:$C$1001,$O130))</f>
      </c>
      <c r="D130">
        <f>IF($O130="","",INDEX(Master!$A$2:$A$1001,$O130))</f>
      </c>
      <c r="E130">
        <f>IF($O130="","",INDEX(Master!$E$2:$E$1001,$O130))</f>
      </c>
      <c r="F130">
        <f>IF($O130="","",INDEX(Master!$F$2:$F$1001,$O130))</f>
      </c>
      <c r="G130">
        <f>IF($O130="","",INDEX(Master!$G$2:$G$1001,$O130))</f>
      </c>
      <c r="H130">
        <f>IF($O130="","",INDEX(Master!$H$2:$H$1001,$O130))</f>
      </c>
      <c r="I130">
        <f>IF($O130="","",INDEX(Master!$I$2:$I$1001,$O130))</f>
      </c>
      <c r="J130">
        <f>IF($O130="","",INDEX(Master!$J$2:$J$1001,$O130))</f>
      </c>
      <c r="K130">
        <f t="shared" si="2"/>
      </c>
      <c r="L130">
        <f>IF($O130="","",INDEX(Master!$K$2:$K$1001,$O130))</f>
      </c>
      <c r="M130">
        <f>IF($O130="","",INDEX(Master!$L$2:$L$1001,$O130))</f>
      </c>
      <c r="O130">
        <f t="array" ref="O130">IFERROR(SMALL(IF(Master!$A$2:$A$1001="AR ISPAT",ROW(Master!$A$2:$A$1001)-ROW(Master!$A$2)+1),126),"")</f>
      </c>
      <c r="P130">
        <f t="shared" si="3"/>
      </c>
    </row>
    <row r="131" spans="1:16" x14ac:dyDescent="0.25">
      <c r="A131">
        <f>IF($O131="","",INDEX(Master!$D$2:$D$1001,$O131))</f>
      </c>
      <c r="B131" s="166">
        <f>IF($O131="","",INDEX(Master!$B$2:$B$1001,$O131))</f>
      </c>
      <c r="C131">
        <f>IF($O131="","",INDEX(Master!$C$2:$C$1001,$O131))</f>
      </c>
      <c r="D131">
        <f>IF($O131="","",INDEX(Master!$A$2:$A$1001,$O131))</f>
      </c>
      <c r="E131">
        <f>IF($O131="","",INDEX(Master!$E$2:$E$1001,$O131))</f>
      </c>
      <c r="F131">
        <f>IF($O131="","",INDEX(Master!$F$2:$F$1001,$O131))</f>
      </c>
      <c r="G131">
        <f>IF($O131="","",INDEX(Master!$G$2:$G$1001,$O131))</f>
      </c>
      <c r="H131">
        <f>IF($O131="","",INDEX(Master!$H$2:$H$1001,$O131))</f>
      </c>
      <c r="I131">
        <f>IF($O131="","",INDEX(Master!$I$2:$I$1001,$O131))</f>
      </c>
      <c r="J131">
        <f>IF($O131="","",INDEX(Master!$J$2:$J$1001,$O131))</f>
      </c>
      <c r="K131">
        <f t="shared" si="2"/>
      </c>
      <c r="L131">
        <f>IF($O131="","",INDEX(Master!$K$2:$K$1001,$O131))</f>
      </c>
      <c r="M131">
        <f>IF($O131="","",INDEX(Master!$L$2:$L$1001,$O131))</f>
      </c>
      <c r="O131">
        <f t="array" ref="O131">IFERROR(SMALL(IF(Master!$A$2:$A$1001="AR ISPAT",ROW(Master!$A$2:$A$1001)-ROW(Master!$A$2)+1),127),"")</f>
      </c>
      <c r="P131">
        <f t="shared" si="3"/>
      </c>
    </row>
    <row r="132" spans="1:16" x14ac:dyDescent="0.25">
      <c r="A132">
        <f>IF($O132="","",INDEX(Master!$D$2:$D$1001,$O132))</f>
      </c>
      <c r="B132" s="166">
        <f>IF($O132="","",INDEX(Master!$B$2:$B$1001,$O132))</f>
      </c>
      <c r="C132">
        <f>IF($O132="","",INDEX(Master!$C$2:$C$1001,$O132))</f>
      </c>
      <c r="D132">
        <f>IF($O132="","",INDEX(Master!$A$2:$A$1001,$O132))</f>
      </c>
      <c r="E132">
        <f>IF($O132="","",INDEX(Master!$E$2:$E$1001,$O132))</f>
      </c>
      <c r="F132">
        <f>IF($O132="","",INDEX(Master!$F$2:$F$1001,$O132))</f>
      </c>
      <c r="G132">
        <f>IF($O132="","",INDEX(Master!$G$2:$G$1001,$O132))</f>
      </c>
      <c r="H132">
        <f>IF($O132="","",INDEX(Master!$H$2:$H$1001,$O132))</f>
      </c>
      <c r="I132">
        <f>IF($O132="","",INDEX(Master!$I$2:$I$1001,$O132))</f>
      </c>
      <c r="J132">
        <f>IF($O132="","",INDEX(Master!$J$2:$J$1001,$O132))</f>
      </c>
      <c r="K132">
        <f t="shared" si="2"/>
      </c>
      <c r="L132">
        <f>IF($O132="","",INDEX(Master!$K$2:$K$1001,$O132))</f>
      </c>
      <c r="M132">
        <f>IF($O132="","",INDEX(Master!$L$2:$L$1001,$O132))</f>
      </c>
      <c r="O132">
        <f t="array" ref="O132">IFERROR(SMALL(IF(Master!$A$2:$A$1001="AR ISPAT",ROW(Master!$A$2:$A$1001)-ROW(Master!$A$2)+1),128),"")</f>
      </c>
      <c r="P132">
        <f t="shared" si="3"/>
      </c>
    </row>
    <row r="133" spans="1:16" x14ac:dyDescent="0.25">
      <c r="A133">
        <f>IF($O133="","",INDEX(Master!$D$2:$D$1001,$O133))</f>
      </c>
      <c r="B133" s="166">
        <f>IF($O133="","",INDEX(Master!$B$2:$B$1001,$O133))</f>
      </c>
      <c r="C133">
        <f>IF($O133="","",INDEX(Master!$C$2:$C$1001,$O133))</f>
      </c>
      <c r="D133">
        <f>IF($O133="","",INDEX(Master!$A$2:$A$1001,$O133))</f>
      </c>
      <c r="E133">
        <f>IF($O133="","",INDEX(Master!$E$2:$E$1001,$O133))</f>
      </c>
      <c r="F133">
        <f>IF($O133="","",INDEX(Master!$F$2:$F$1001,$O133))</f>
      </c>
      <c r="G133">
        <f>IF($O133="","",INDEX(Master!$G$2:$G$1001,$O133))</f>
      </c>
      <c r="H133">
        <f>IF($O133="","",INDEX(Master!$H$2:$H$1001,$O133))</f>
      </c>
      <c r="I133">
        <f>IF($O133="","",INDEX(Master!$I$2:$I$1001,$O133))</f>
      </c>
      <c r="J133">
        <f>IF($O133="","",INDEX(Master!$J$2:$J$1001,$O133))</f>
      </c>
      <c r="K133">
        <f t="shared" ref="K133:K196" si="4">IF(OR($O133="",$F133="",$F133=0),"",$H133/$F133)</f>
      </c>
      <c r="L133">
        <f>IF($O133="","",INDEX(Master!$K$2:$K$1001,$O133))</f>
      </c>
      <c r="M133">
        <f>IF($O133="","",INDEX(Master!$L$2:$L$1001,$O133))</f>
      </c>
      <c r="O133">
        <f t="array" ref="O133">IFERROR(SMALL(IF(Master!$A$2:$A$1001="AR ISPAT",ROW(Master!$A$2:$A$1001)-ROW(Master!$A$2)+1),129),"")</f>
      </c>
      <c r="P133">
        <f t="shared" ref="P133:P196" si="5">IF($A133="",0,IF(OR(AND($E133&lt;&gt;"",OR($E133&gt;0.18)),AND($F133&lt;&gt;"",OR(($F133+$G133)&gt;0.15)),AND($G133&lt;&gt;"",OR(($F133+$G133)&gt;0.15)),AND($H133&lt;&gt;"",$H133&lt;0.45),AND($J133&lt;&gt;"",OR($J133&lt;0.1))),1,0))</f>
      </c>
    </row>
    <row r="134" spans="1:16" x14ac:dyDescent="0.25">
      <c r="A134">
        <f>IF($O134="","",INDEX(Master!$D$2:$D$1001,$O134))</f>
      </c>
      <c r="B134" s="166">
        <f>IF($O134="","",INDEX(Master!$B$2:$B$1001,$O134))</f>
      </c>
      <c r="C134">
        <f>IF($O134="","",INDEX(Master!$C$2:$C$1001,$O134))</f>
      </c>
      <c r="D134">
        <f>IF($O134="","",INDEX(Master!$A$2:$A$1001,$O134))</f>
      </c>
      <c r="E134">
        <f>IF($O134="","",INDEX(Master!$E$2:$E$1001,$O134))</f>
      </c>
      <c r="F134">
        <f>IF($O134="","",INDEX(Master!$F$2:$F$1001,$O134))</f>
      </c>
      <c r="G134">
        <f>IF($O134="","",INDEX(Master!$G$2:$G$1001,$O134))</f>
      </c>
      <c r="H134">
        <f>IF($O134="","",INDEX(Master!$H$2:$H$1001,$O134))</f>
      </c>
      <c r="I134">
        <f>IF($O134="","",INDEX(Master!$I$2:$I$1001,$O134))</f>
      </c>
      <c r="J134">
        <f>IF($O134="","",INDEX(Master!$J$2:$J$1001,$O134))</f>
      </c>
      <c r="K134">
        <f t="shared" si="4"/>
      </c>
      <c r="L134">
        <f>IF($O134="","",INDEX(Master!$K$2:$K$1001,$O134))</f>
      </c>
      <c r="M134">
        <f>IF($O134="","",INDEX(Master!$L$2:$L$1001,$O134))</f>
      </c>
      <c r="O134">
        <f t="array" ref="O134">IFERROR(SMALL(IF(Master!$A$2:$A$1001="AR ISPAT",ROW(Master!$A$2:$A$1001)-ROW(Master!$A$2)+1),130),"")</f>
      </c>
      <c r="P134">
        <f t="shared" si="5"/>
      </c>
    </row>
    <row r="135" spans="1:16" x14ac:dyDescent="0.25">
      <c r="A135">
        <f>IF($O135="","",INDEX(Master!$D$2:$D$1001,$O135))</f>
      </c>
      <c r="B135" s="166">
        <f>IF($O135="","",INDEX(Master!$B$2:$B$1001,$O135))</f>
      </c>
      <c r="C135">
        <f>IF($O135="","",INDEX(Master!$C$2:$C$1001,$O135))</f>
      </c>
      <c r="D135">
        <f>IF($O135="","",INDEX(Master!$A$2:$A$1001,$O135))</f>
      </c>
      <c r="E135">
        <f>IF($O135="","",INDEX(Master!$E$2:$E$1001,$O135))</f>
      </c>
      <c r="F135">
        <f>IF($O135="","",INDEX(Master!$F$2:$F$1001,$O135))</f>
      </c>
      <c r="G135">
        <f>IF($O135="","",INDEX(Master!$G$2:$G$1001,$O135))</f>
      </c>
      <c r="H135">
        <f>IF($O135="","",INDEX(Master!$H$2:$H$1001,$O135))</f>
      </c>
      <c r="I135">
        <f>IF($O135="","",INDEX(Master!$I$2:$I$1001,$O135))</f>
      </c>
      <c r="J135">
        <f>IF($O135="","",INDEX(Master!$J$2:$J$1001,$O135))</f>
      </c>
      <c r="K135">
        <f t="shared" si="4"/>
      </c>
      <c r="L135">
        <f>IF($O135="","",INDEX(Master!$K$2:$K$1001,$O135))</f>
      </c>
      <c r="M135">
        <f>IF($O135="","",INDEX(Master!$L$2:$L$1001,$O135))</f>
      </c>
      <c r="O135">
        <f t="array" ref="O135">IFERROR(SMALL(IF(Master!$A$2:$A$1001="AR ISPAT",ROW(Master!$A$2:$A$1001)-ROW(Master!$A$2)+1),131),"")</f>
      </c>
      <c r="P135">
        <f t="shared" si="5"/>
      </c>
    </row>
    <row r="136" spans="1:16" x14ac:dyDescent="0.25">
      <c r="A136">
        <f>IF($O136="","",INDEX(Master!$D$2:$D$1001,$O136))</f>
      </c>
      <c r="B136" s="166">
        <f>IF($O136="","",INDEX(Master!$B$2:$B$1001,$O136))</f>
      </c>
      <c r="C136">
        <f>IF($O136="","",INDEX(Master!$C$2:$C$1001,$O136))</f>
      </c>
      <c r="D136">
        <f>IF($O136="","",INDEX(Master!$A$2:$A$1001,$O136))</f>
      </c>
      <c r="E136">
        <f>IF($O136="","",INDEX(Master!$E$2:$E$1001,$O136))</f>
      </c>
      <c r="F136">
        <f>IF($O136="","",INDEX(Master!$F$2:$F$1001,$O136))</f>
      </c>
      <c r="G136">
        <f>IF($O136="","",INDEX(Master!$G$2:$G$1001,$O136))</f>
      </c>
      <c r="H136">
        <f>IF($O136="","",INDEX(Master!$H$2:$H$1001,$O136))</f>
      </c>
      <c r="I136">
        <f>IF($O136="","",INDEX(Master!$I$2:$I$1001,$O136))</f>
      </c>
      <c r="J136">
        <f>IF($O136="","",INDEX(Master!$J$2:$J$1001,$O136))</f>
      </c>
      <c r="K136">
        <f t="shared" si="4"/>
      </c>
      <c r="L136">
        <f>IF($O136="","",INDEX(Master!$K$2:$K$1001,$O136))</f>
      </c>
      <c r="M136">
        <f>IF($O136="","",INDEX(Master!$L$2:$L$1001,$O136))</f>
      </c>
      <c r="O136">
        <f t="array" ref="O136">IFERROR(SMALL(IF(Master!$A$2:$A$1001="AR ISPAT",ROW(Master!$A$2:$A$1001)-ROW(Master!$A$2)+1),132),"")</f>
      </c>
      <c r="P136">
        <f t="shared" si="5"/>
      </c>
    </row>
    <row r="137" spans="1:16" x14ac:dyDescent="0.25">
      <c r="A137">
        <f>IF($O137="","",INDEX(Master!$D$2:$D$1001,$O137))</f>
      </c>
      <c r="B137" s="166">
        <f>IF($O137="","",INDEX(Master!$B$2:$B$1001,$O137))</f>
      </c>
      <c r="C137">
        <f>IF($O137="","",INDEX(Master!$C$2:$C$1001,$O137))</f>
      </c>
      <c r="D137">
        <f>IF($O137="","",INDEX(Master!$A$2:$A$1001,$O137))</f>
      </c>
      <c r="E137">
        <f>IF($O137="","",INDEX(Master!$E$2:$E$1001,$O137))</f>
      </c>
      <c r="F137">
        <f>IF($O137="","",INDEX(Master!$F$2:$F$1001,$O137))</f>
      </c>
      <c r="G137">
        <f>IF($O137="","",INDEX(Master!$G$2:$G$1001,$O137))</f>
      </c>
      <c r="H137">
        <f>IF($O137="","",INDEX(Master!$H$2:$H$1001,$O137))</f>
      </c>
      <c r="I137">
        <f>IF($O137="","",INDEX(Master!$I$2:$I$1001,$O137))</f>
      </c>
      <c r="J137">
        <f>IF($O137="","",INDEX(Master!$J$2:$J$1001,$O137))</f>
      </c>
      <c r="K137">
        <f t="shared" si="4"/>
      </c>
      <c r="L137">
        <f>IF($O137="","",INDEX(Master!$K$2:$K$1001,$O137))</f>
      </c>
      <c r="M137">
        <f>IF($O137="","",INDEX(Master!$L$2:$L$1001,$O137))</f>
      </c>
      <c r="O137">
        <f t="array" ref="O137">IFERROR(SMALL(IF(Master!$A$2:$A$1001="AR ISPAT",ROW(Master!$A$2:$A$1001)-ROW(Master!$A$2)+1),133),"")</f>
      </c>
      <c r="P137">
        <f t="shared" si="5"/>
      </c>
    </row>
    <row r="138" spans="1:16" x14ac:dyDescent="0.25">
      <c r="A138">
        <f>IF($O138="","",INDEX(Master!$D$2:$D$1001,$O138))</f>
      </c>
      <c r="B138" s="166">
        <f>IF($O138="","",INDEX(Master!$B$2:$B$1001,$O138))</f>
      </c>
      <c r="C138">
        <f>IF($O138="","",INDEX(Master!$C$2:$C$1001,$O138))</f>
      </c>
      <c r="D138">
        <f>IF($O138="","",INDEX(Master!$A$2:$A$1001,$O138))</f>
      </c>
      <c r="E138">
        <f>IF($O138="","",INDEX(Master!$E$2:$E$1001,$O138))</f>
      </c>
      <c r="F138">
        <f>IF($O138="","",INDEX(Master!$F$2:$F$1001,$O138))</f>
      </c>
      <c r="G138">
        <f>IF($O138="","",INDEX(Master!$G$2:$G$1001,$O138))</f>
      </c>
      <c r="H138">
        <f>IF($O138="","",INDEX(Master!$H$2:$H$1001,$O138))</f>
      </c>
      <c r="I138">
        <f>IF($O138="","",INDEX(Master!$I$2:$I$1001,$O138))</f>
      </c>
      <c r="J138">
        <f>IF($O138="","",INDEX(Master!$J$2:$J$1001,$O138))</f>
      </c>
      <c r="K138">
        <f t="shared" si="4"/>
      </c>
      <c r="L138">
        <f>IF($O138="","",INDEX(Master!$K$2:$K$1001,$O138))</f>
      </c>
      <c r="M138">
        <f>IF($O138="","",INDEX(Master!$L$2:$L$1001,$O138))</f>
      </c>
      <c r="O138">
        <f t="array" ref="O138">IFERROR(SMALL(IF(Master!$A$2:$A$1001="AR ISPAT",ROW(Master!$A$2:$A$1001)-ROW(Master!$A$2)+1),134),"")</f>
      </c>
      <c r="P138">
        <f t="shared" si="5"/>
      </c>
    </row>
    <row r="139" spans="1:16" x14ac:dyDescent="0.25">
      <c r="A139">
        <f>IF($O139="","",INDEX(Master!$D$2:$D$1001,$O139))</f>
      </c>
      <c r="B139" s="166">
        <f>IF($O139="","",INDEX(Master!$B$2:$B$1001,$O139))</f>
      </c>
      <c r="C139">
        <f>IF($O139="","",INDEX(Master!$C$2:$C$1001,$O139))</f>
      </c>
      <c r="D139">
        <f>IF($O139="","",INDEX(Master!$A$2:$A$1001,$O139))</f>
      </c>
      <c r="E139">
        <f>IF($O139="","",INDEX(Master!$E$2:$E$1001,$O139))</f>
      </c>
      <c r="F139">
        <f>IF($O139="","",INDEX(Master!$F$2:$F$1001,$O139))</f>
      </c>
      <c r="G139">
        <f>IF($O139="","",INDEX(Master!$G$2:$G$1001,$O139))</f>
      </c>
      <c r="H139">
        <f>IF($O139="","",INDEX(Master!$H$2:$H$1001,$O139))</f>
      </c>
      <c r="I139">
        <f>IF($O139="","",INDEX(Master!$I$2:$I$1001,$O139))</f>
      </c>
      <c r="J139">
        <f>IF($O139="","",INDEX(Master!$J$2:$J$1001,$O139))</f>
      </c>
      <c r="K139">
        <f t="shared" si="4"/>
      </c>
      <c r="L139">
        <f>IF($O139="","",INDEX(Master!$K$2:$K$1001,$O139))</f>
      </c>
      <c r="M139">
        <f>IF($O139="","",INDEX(Master!$L$2:$L$1001,$O139))</f>
      </c>
      <c r="O139">
        <f t="array" ref="O139">IFERROR(SMALL(IF(Master!$A$2:$A$1001="AR ISPAT",ROW(Master!$A$2:$A$1001)-ROW(Master!$A$2)+1),135),"")</f>
      </c>
      <c r="P139">
        <f t="shared" si="5"/>
      </c>
    </row>
    <row r="140" spans="1:16" x14ac:dyDescent="0.25">
      <c r="A140">
        <f>IF($O140="","",INDEX(Master!$D$2:$D$1001,$O140))</f>
      </c>
      <c r="B140" s="166">
        <f>IF($O140="","",INDEX(Master!$B$2:$B$1001,$O140))</f>
      </c>
      <c r="C140">
        <f>IF($O140="","",INDEX(Master!$C$2:$C$1001,$O140))</f>
      </c>
      <c r="D140">
        <f>IF($O140="","",INDEX(Master!$A$2:$A$1001,$O140))</f>
      </c>
      <c r="E140">
        <f>IF($O140="","",INDEX(Master!$E$2:$E$1001,$O140))</f>
      </c>
      <c r="F140">
        <f>IF($O140="","",INDEX(Master!$F$2:$F$1001,$O140))</f>
      </c>
      <c r="G140">
        <f>IF($O140="","",INDEX(Master!$G$2:$G$1001,$O140))</f>
      </c>
      <c r="H140">
        <f>IF($O140="","",INDEX(Master!$H$2:$H$1001,$O140))</f>
      </c>
      <c r="I140">
        <f>IF($O140="","",INDEX(Master!$I$2:$I$1001,$O140))</f>
      </c>
      <c r="J140">
        <f>IF($O140="","",INDEX(Master!$J$2:$J$1001,$O140))</f>
      </c>
      <c r="K140">
        <f t="shared" si="4"/>
      </c>
      <c r="L140">
        <f>IF($O140="","",INDEX(Master!$K$2:$K$1001,$O140))</f>
      </c>
      <c r="M140">
        <f>IF($O140="","",INDEX(Master!$L$2:$L$1001,$O140))</f>
      </c>
      <c r="O140">
        <f t="array" ref="O140">IFERROR(SMALL(IF(Master!$A$2:$A$1001="AR ISPAT",ROW(Master!$A$2:$A$1001)-ROW(Master!$A$2)+1),136),"")</f>
      </c>
      <c r="P140">
        <f t="shared" si="5"/>
      </c>
    </row>
    <row r="141" spans="1:16" x14ac:dyDescent="0.25">
      <c r="A141">
        <f>IF($O141="","",INDEX(Master!$D$2:$D$1001,$O141))</f>
      </c>
      <c r="B141" s="166">
        <f>IF($O141="","",INDEX(Master!$B$2:$B$1001,$O141))</f>
      </c>
      <c r="C141">
        <f>IF($O141="","",INDEX(Master!$C$2:$C$1001,$O141))</f>
      </c>
      <c r="D141">
        <f>IF($O141="","",INDEX(Master!$A$2:$A$1001,$O141))</f>
      </c>
      <c r="E141">
        <f>IF($O141="","",INDEX(Master!$E$2:$E$1001,$O141))</f>
      </c>
      <c r="F141">
        <f>IF($O141="","",INDEX(Master!$F$2:$F$1001,$O141))</f>
      </c>
      <c r="G141">
        <f>IF($O141="","",INDEX(Master!$G$2:$G$1001,$O141))</f>
      </c>
      <c r="H141">
        <f>IF($O141="","",INDEX(Master!$H$2:$H$1001,$O141))</f>
      </c>
      <c r="I141">
        <f>IF($O141="","",INDEX(Master!$I$2:$I$1001,$O141))</f>
      </c>
      <c r="J141">
        <f>IF($O141="","",INDEX(Master!$J$2:$J$1001,$O141))</f>
      </c>
      <c r="K141">
        <f t="shared" si="4"/>
      </c>
      <c r="L141">
        <f>IF($O141="","",INDEX(Master!$K$2:$K$1001,$O141))</f>
      </c>
      <c r="M141">
        <f>IF($O141="","",INDEX(Master!$L$2:$L$1001,$O141))</f>
      </c>
      <c r="O141">
        <f t="array" ref="O141">IFERROR(SMALL(IF(Master!$A$2:$A$1001="AR ISPAT",ROW(Master!$A$2:$A$1001)-ROW(Master!$A$2)+1),137),"")</f>
      </c>
      <c r="P141">
        <f t="shared" si="5"/>
      </c>
    </row>
    <row r="142" spans="1:16" x14ac:dyDescent="0.25">
      <c r="A142">
        <f>IF($O142="","",INDEX(Master!$D$2:$D$1001,$O142))</f>
      </c>
      <c r="B142" s="166">
        <f>IF($O142="","",INDEX(Master!$B$2:$B$1001,$O142))</f>
      </c>
      <c r="C142">
        <f>IF($O142="","",INDEX(Master!$C$2:$C$1001,$O142))</f>
      </c>
      <c r="D142">
        <f>IF($O142="","",INDEX(Master!$A$2:$A$1001,$O142))</f>
      </c>
      <c r="E142">
        <f>IF($O142="","",INDEX(Master!$E$2:$E$1001,$O142))</f>
      </c>
      <c r="F142">
        <f>IF($O142="","",INDEX(Master!$F$2:$F$1001,$O142))</f>
      </c>
      <c r="G142">
        <f>IF($O142="","",INDEX(Master!$G$2:$G$1001,$O142))</f>
      </c>
      <c r="H142">
        <f>IF($O142="","",INDEX(Master!$H$2:$H$1001,$O142))</f>
      </c>
      <c r="I142">
        <f>IF($O142="","",INDEX(Master!$I$2:$I$1001,$O142))</f>
      </c>
      <c r="J142">
        <f>IF($O142="","",INDEX(Master!$J$2:$J$1001,$O142))</f>
      </c>
      <c r="K142">
        <f t="shared" si="4"/>
      </c>
      <c r="L142">
        <f>IF($O142="","",INDEX(Master!$K$2:$K$1001,$O142))</f>
      </c>
      <c r="M142">
        <f>IF($O142="","",INDEX(Master!$L$2:$L$1001,$O142))</f>
      </c>
      <c r="O142">
        <f t="array" ref="O142">IFERROR(SMALL(IF(Master!$A$2:$A$1001="AR ISPAT",ROW(Master!$A$2:$A$1001)-ROW(Master!$A$2)+1),138),"")</f>
      </c>
      <c r="P142">
        <f t="shared" si="5"/>
      </c>
    </row>
    <row r="143" spans="1:16" x14ac:dyDescent="0.25">
      <c r="A143">
        <f>IF($O143="","",INDEX(Master!$D$2:$D$1001,$O143))</f>
      </c>
      <c r="B143" s="166">
        <f>IF($O143="","",INDEX(Master!$B$2:$B$1001,$O143))</f>
      </c>
      <c r="C143">
        <f>IF($O143="","",INDEX(Master!$C$2:$C$1001,$O143))</f>
      </c>
      <c r="D143">
        <f>IF($O143="","",INDEX(Master!$A$2:$A$1001,$O143))</f>
      </c>
      <c r="E143">
        <f>IF($O143="","",INDEX(Master!$E$2:$E$1001,$O143))</f>
      </c>
      <c r="F143">
        <f>IF($O143="","",INDEX(Master!$F$2:$F$1001,$O143))</f>
      </c>
      <c r="G143">
        <f>IF($O143="","",INDEX(Master!$G$2:$G$1001,$O143))</f>
      </c>
      <c r="H143">
        <f>IF($O143="","",INDEX(Master!$H$2:$H$1001,$O143))</f>
      </c>
      <c r="I143">
        <f>IF($O143="","",INDEX(Master!$I$2:$I$1001,$O143))</f>
      </c>
      <c r="J143">
        <f>IF($O143="","",INDEX(Master!$J$2:$J$1001,$O143))</f>
      </c>
      <c r="K143">
        <f t="shared" si="4"/>
      </c>
      <c r="L143">
        <f>IF($O143="","",INDEX(Master!$K$2:$K$1001,$O143))</f>
      </c>
      <c r="M143">
        <f>IF($O143="","",INDEX(Master!$L$2:$L$1001,$O143))</f>
      </c>
      <c r="O143">
        <f t="array" ref="O143">IFERROR(SMALL(IF(Master!$A$2:$A$1001="AR ISPAT",ROW(Master!$A$2:$A$1001)-ROW(Master!$A$2)+1),139),"")</f>
      </c>
      <c r="P143">
        <f t="shared" si="5"/>
      </c>
    </row>
    <row r="144" spans="1:16" x14ac:dyDescent="0.25">
      <c r="A144">
        <f>IF($O144="","",INDEX(Master!$D$2:$D$1001,$O144))</f>
      </c>
      <c r="B144" s="166">
        <f>IF($O144="","",INDEX(Master!$B$2:$B$1001,$O144))</f>
      </c>
      <c r="C144">
        <f>IF($O144="","",INDEX(Master!$C$2:$C$1001,$O144))</f>
      </c>
      <c r="D144">
        <f>IF($O144="","",INDEX(Master!$A$2:$A$1001,$O144))</f>
      </c>
      <c r="E144">
        <f>IF($O144="","",INDEX(Master!$E$2:$E$1001,$O144))</f>
      </c>
      <c r="F144">
        <f>IF($O144="","",INDEX(Master!$F$2:$F$1001,$O144))</f>
      </c>
      <c r="G144">
        <f>IF($O144="","",INDEX(Master!$G$2:$G$1001,$O144))</f>
      </c>
      <c r="H144">
        <f>IF($O144="","",INDEX(Master!$H$2:$H$1001,$O144))</f>
      </c>
      <c r="I144">
        <f>IF($O144="","",INDEX(Master!$I$2:$I$1001,$O144))</f>
      </c>
      <c r="J144">
        <f>IF($O144="","",INDEX(Master!$J$2:$J$1001,$O144))</f>
      </c>
      <c r="K144">
        <f t="shared" si="4"/>
      </c>
      <c r="L144">
        <f>IF($O144="","",INDEX(Master!$K$2:$K$1001,$O144))</f>
      </c>
      <c r="M144">
        <f>IF($O144="","",INDEX(Master!$L$2:$L$1001,$O144))</f>
      </c>
      <c r="O144">
        <f t="array" ref="O144">IFERROR(SMALL(IF(Master!$A$2:$A$1001="AR ISPAT",ROW(Master!$A$2:$A$1001)-ROW(Master!$A$2)+1),140),"")</f>
      </c>
      <c r="P144">
        <f t="shared" si="5"/>
      </c>
    </row>
    <row r="145" spans="1:16" x14ac:dyDescent="0.25">
      <c r="A145">
        <f>IF($O145="","",INDEX(Master!$D$2:$D$1001,$O145))</f>
      </c>
      <c r="B145" s="166">
        <f>IF($O145="","",INDEX(Master!$B$2:$B$1001,$O145))</f>
      </c>
      <c r="C145">
        <f>IF($O145="","",INDEX(Master!$C$2:$C$1001,$O145))</f>
      </c>
      <c r="D145">
        <f>IF($O145="","",INDEX(Master!$A$2:$A$1001,$O145))</f>
      </c>
      <c r="E145">
        <f>IF($O145="","",INDEX(Master!$E$2:$E$1001,$O145))</f>
      </c>
      <c r="F145">
        <f>IF($O145="","",INDEX(Master!$F$2:$F$1001,$O145))</f>
      </c>
      <c r="G145">
        <f>IF($O145="","",INDEX(Master!$G$2:$G$1001,$O145))</f>
      </c>
      <c r="H145">
        <f>IF($O145="","",INDEX(Master!$H$2:$H$1001,$O145))</f>
      </c>
      <c r="I145">
        <f>IF($O145="","",INDEX(Master!$I$2:$I$1001,$O145))</f>
      </c>
      <c r="J145">
        <f>IF($O145="","",INDEX(Master!$J$2:$J$1001,$O145))</f>
      </c>
      <c r="K145">
        <f t="shared" si="4"/>
      </c>
      <c r="L145">
        <f>IF($O145="","",INDEX(Master!$K$2:$K$1001,$O145))</f>
      </c>
      <c r="M145">
        <f>IF($O145="","",INDEX(Master!$L$2:$L$1001,$O145))</f>
      </c>
      <c r="O145">
        <f t="array" ref="O145">IFERROR(SMALL(IF(Master!$A$2:$A$1001="AR ISPAT",ROW(Master!$A$2:$A$1001)-ROW(Master!$A$2)+1),141),"")</f>
      </c>
      <c r="P145">
        <f t="shared" si="5"/>
      </c>
    </row>
    <row r="146" spans="1:16" x14ac:dyDescent="0.25">
      <c r="A146">
        <f>IF($O146="","",INDEX(Master!$D$2:$D$1001,$O146))</f>
      </c>
      <c r="B146" s="166">
        <f>IF($O146="","",INDEX(Master!$B$2:$B$1001,$O146))</f>
      </c>
      <c r="C146">
        <f>IF($O146="","",INDEX(Master!$C$2:$C$1001,$O146))</f>
      </c>
      <c r="D146">
        <f>IF($O146="","",INDEX(Master!$A$2:$A$1001,$O146))</f>
      </c>
      <c r="E146">
        <f>IF($O146="","",INDEX(Master!$E$2:$E$1001,$O146))</f>
      </c>
      <c r="F146">
        <f>IF($O146="","",INDEX(Master!$F$2:$F$1001,$O146))</f>
      </c>
      <c r="G146">
        <f>IF($O146="","",INDEX(Master!$G$2:$G$1001,$O146))</f>
      </c>
      <c r="H146">
        <f>IF($O146="","",INDEX(Master!$H$2:$H$1001,$O146))</f>
      </c>
      <c r="I146">
        <f>IF($O146="","",INDEX(Master!$I$2:$I$1001,$O146))</f>
      </c>
      <c r="J146">
        <f>IF($O146="","",INDEX(Master!$J$2:$J$1001,$O146))</f>
      </c>
      <c r="K146">
        <f t="shared" si="4"/>
      </c>
      <c r="L146">
        <f>IF($O146="","",INDEX(Master!$K$2:$K$1001,$O146))</f>
      </c>
      <c r="M146">
        <f>IF($O146="","",INDEX(Master!$L$2:$L$1001,$O146))</f>
      </c>
      <c r="O146">
        <f t="array" ref="O146">IFERROR(SMALL(IF(Master!$A$2:$A$1001="AR ISPAT",ROW(Master!$A$2:$A$1001)-ROW(Master!$A$2)+1),142),"")</f>
      </c>
      <c r="P146">
        <f t="shared" si="5"/>
      </c>
    </row>
    <row r="147" spans="1:16" x14ac:dyDescent="0.25">
      <c r="A147">
        <f>IF($O147="","",INDEX(Master!$D$2:$D$1001,$O147))</f>
      </c>
      <c r="B147" s="166">
        <f>IF($O147="","",INDEX(Master!$B$2:$B$1001,$O147))</f>
      </c>
      <c r="C147">
        <f>IF($O147="","",INDEX(Master!$C$2:$C$1001,$O147))</f>
      </c>
      <c r="D147">
        <f>IF($O147="","",INDEX(Master!$A$2:$A$1001,$O147))</f>
      </c>
      <c r="E147">
        <f>IF($O147="","",INDEX(Master!$E$2:$E$1001,$O147))</f>
      </c>
      <c r="F147">
        <f>IF($O147="","",INDEX(Master!$F$2:$F$1001,$O147))</f>
      </c>
      <c r="G147">
        <f>IF($O147="","",INDEX(Master!$G$2:$G$1001,$O147))</f>
      </c>
      <c r="H147">
        <f>IF($O147="","",INDEX(Master!$H$2:$H$1001,$O147))</f>
      </c>
      <c r="I147">
        <f>IF($O147="","",INDEX(Master!$I$2:$I$1001,$O147))</f>
      </c>
      <c r="J147">
        <f>IF($O147="","",INDEX(Master!$J$2:$J$1001,$O147))</f>
      </c>
      <c r="K147">
        <f t="shared" si="4"/>
      </c>
      <c r="L147">
        <f>IF($O147="","",INDEX(Master!$K$2:$K$1001,$O147))</f>
      </c>
      <c r="M147">
        <f>IF($O147="","",INDEX(Master!$L$2:$L$1001,$O147))</f>
      </c>
      <c r="O147">
        <f t="array" ref="O147">IFERROR(SMALL(IF(Master!$A$2:$A$1001="AR ISPAT",ROW(Master!$A$2:$A$1001)-ROW(Master!$A$2)+1),143),"")</f>
      </c>
      <c r="P147">
        <f t="shared" si="5"/>
      </c>
    </row>
    <row r="148" spans="1:16" x14ac:dyDescent="0.25">
      <c r="A148">
        <f>IF($O148="","",INDEX(Master!$D$2:$D$1001,$O148))</f>
      </c>
      <c r="B148" s="166">
        <f>IF($O148="","",INDEX(Master!$B$2:$B$1001,$O148))</f>
      </c>
      <c r="C148">
        <f>IF($O148="","",INDEX(Master!$C$2:$C$1001,$O148))</f>
      </c>
      <c r="D148">
        <f>IF($O148="","",INDEX(Master!$A$2:$A$1001,$O148))</f>
      </c>
      <c r="E148">
        <f>IF($O148="","",INDEX(Master!$E$2:$E$1001,$O148))</f>
      </c>
      <c r="F148">
        <f>IF($O148="","",INDEX(Master!$F$2:$F$1001,$O148))</f>
      </c>
      <c r="G148">
        <f>IF($O148="","",INDEX(Master!$G$2:$G$1001,$O148))</f>
      </c>
      <c r="H148">
        <f>IF($O148="","",INDEX(Master!$H$2:$H$1001,$O148))</f>
      </c>
      <c r="I148">
        <f>IF($O148="","",INDEX(Master!$I$2:$I$1001,$O148))</f>
      </c>
      <c r="J148">
        <f>IF($O148="","",INDEX(Master!$J$2:$J$1001,$O148))</f>
      </c>
      <c r="K148">
        <f t="shared" si="4"/>
      </c>
      <c r="L148">
        <f>IF($O148="","",INDEX(Master!$K$2:$K$1001,$O148))</f>
      </c>
      <c r="M148">
        <f>IF($O148="","",INDEX(Master!$L$2:$L$1001,$O148))</f>
      </c>
      <c r="O148">
        <f t="array" ref="O148">IFERROR(SMALL(IF(Master!$A$2:$A$1001="AR ISPAT",ROW(Master!$A$2:$A$1001)-ROW(Master!$A$2)+1),144),"")</f>
      </c>
      <c r="P148">
        <f t="shared" si="5"/>
      </c>
    </row>
    <row r="149" spans="1:16" x14ac:dyDescent="0.25">
      <c r="A149">
        <f>IF($O149="","",INDEX(Master!$D$2:$D$1001,$O149))</f>
      </c>
      <c r="B149" s="166">
        <f>IF($O149="","",INDEX(Master!$B$2:$B$1001,$O149))</f>
      </c>
      <c r="C149">
        <f>IF($O149="","",INDEX(Master!$C$2:$C$1001,$O149))</f>
      </c>
      <c r="D149">
        <f>IF($O149="","",INDEX(Master!$A$2:$A$1001,$O149))</f>
      </c>
      <c r="E149">
        <f>IF($O149="","",INDEX(Master!$E$2:$E$1001,$O149))</f>
      </c>
      <c r="F149">
        <f>IF($O149="","",INDEX(Master!$F$2:$F$1001,$O149))</f>
      </c>
      <c r="G149">
        <f>IF($O149="","",INDEX(Master!$G$2:$G$1001,$O149))</f>
      </c>
      <c r="H149">
        <f>IF($O149="","",INDEX(Master!$H$2:$H$1001,$O149))</f>
      </c>
      <c r="I149">
        <f>IF($O149="","",INDEX(Master!$I$2:$I$1001,$O149))</f>
      </c>
      <c r="J149">
        <f>IF($O149="","",INDEX(Master!$J$2:$J$1001,$O149))</f>
      </c>
      <c r="K149">
        <f t="shared" si="4"/>
      </c>
      <c r="L149">
        <f>IF($O149="","",INDEX(Master!$K$2:$K$1001,$O149))</f>
      </c>
      <c r="M149">
        <f>IF($O149="","",INDEX(Master!$L$2:$L$1001,$O149))</f>
      </c>
      <c r="O149">
        <f t="array" ref="O149">IFERROR(SMALL(IF(Master!$A$2:$A$1001="AR ISPAT",ROW(Master!$A$2:$A$1001)-ROW(Master!$A$2)+1),145),"")</f>
      </c>
      <c r="P149">
        <f t="shared" si="5"/>
      </c>
    </row>
    <row r="150" spans="1:16" x14ac:dyDescent="0.25">
      <c r="A150">
        <f>IF($O150="","",INDEX(Master!$D$2:$D$1001,$O150))</f>
      </c>
      <c r="B150" s="166">
        <f>IF($O150="","",INDEX(Master!$B$2:$B$1001,$O150))</f>
      </c>
      <c r="C150">
        <f>IF($O150="","",INDEX(Master!$C$2:$C$1001,$O150))</f>
      </c>
      <c r="D150">
        <f>IF($O150="","",INDEX(Master!$A$2:$A$1001,$O150))</f>
      </c>
      <c r="E150">
        <f>IF($O150="","",INDEX(Master!$E$2:$E$1001,$O150))</f>
      </c>
      <c r="F150">
        <f>IF($O150="","",INDEX(Master!$F$2:$F$1001,$O150))</f>
      </c>
      <c r="G150">
        <f>IF($O150="","",INDEX(Master!$G$2:$G$1001,$O150))</f>
      </c>
      <c r="H150">
        <f>IF($O150="","",INDEX(Master!$H$2:$H$1001,$O150))</f>
      </c>
      <c r="I150">
        <f>IF($O150="","",INDEX(Master!$I$2:$I$1001,$O150))</f>
      </c>
      <c r="J150">
        <f>IF($O150="","",INDEX(Master!$J$2:$J$1001,$O150))</f>
      </c>
      <c r="K150">
        <f t="shared" si="4"/>
      </c>
      <c r="L150">
        <f>IF($O150="","",INDEX(Master!$K$2:$K$1001,$O150))</f>
      </c>
      <c r="M150">
        <f>IF($O150="","",INDEX(Master!$L$2:$L$1001,$O150))</f>
      </c>
      <c r="O150">
        <f t="array" ref="O150">IFERROR(SMALL(IF(Master!$A$2:$A$1001="AR ISPAT",ROW(Master!$A$2:$A$1001)-ROW(Master!$A$2)+1),146),"")</f>
      </c>
      <c r="P150">
        <f t="shared" si="5"/>
      </c>
    </row>
    <row r="151" spans="1:16" x14ac:dyDescent="0.25">
      <c r="A151">
        <f>IF($O151="","",INDEX(Master!$D$2:$D$1001,$O151))</f>
      </c>
      <c r="B151" s="166">
        <f>IF($O151="","",INDEX(Master!$B$2:$B$1001,$O151))</f>
      </c>
      <c r="C151">
        <f>IF($O151="","",INDEX(Master!$C$2:$C$1001,$O151))</f>
      </c>
      <c r="D151">
        <f>IF($O151="","",INDEX(Master!$A$2:$A$1001,$O151))</f>
      </c>
      <c r="E151">
        <f>IF($O151="","",INDEX(Master!$E$2:$E$1001,$O151))</f>
      </c>
      <c r="F151">
        <f>IF($O151="","",INDEX(Master!$F$2:$F$1001,$O151))</f>
      </c>
      <c r="G151">
        <f>IF($O151="","",INDEX(Master!$G$2:$G$1001,$O151))</f>
      </c>
      <c r="H151">
        <f>IF($O151="","",INDEX(Master!$H$2:$H$1001,$O151))</f>
      </c>
      <c r="I151">
        <f>IF($O151="","",INDEX(Master!$I$2:$I$1001,$O151))</f>
      </c>
      <c r="J151">
        <f>IF($O151="","",INDEX(Master!$J$2:$J$1001,$O151))</f>
      </c>
      <c r="K151">
        <f t="shared" si="4"/>
      </c>
      <c r="L151">
        <f>IF($O151="","",INDEX(Master!$K$2:$K$1001,$O151))</f>
      </c>
      <c r="M151">
        <f>IF($O151="","",INDEX(Master!$L$2:$L$1001,$O151))</f>
      </c>
      <c r="O151">
        <f t="array" ref="O151">IFERROR(SMALL(IF(Master!$A$2:$A$1001="AR ISPAT",ROW(Master!$A$2:$A$1001)-ROW(Master!$A$2)+1),147),"")</f>
      </c>
      <c r="P151">
        <f t="shared" si="5"/>
      </c>
    </row>
    <row r="152" spans="1:16" x14ac:dyDescent="0.25">
      <c r="A152">
        <f>IF($O152="","",INDEX(Master!$D$2:$D$1001,$O152))</f>
      </c>
      <c r="B152" s="166">
        <f>IF($O152="","",INDEX(Master!$B$2:$B$1001,$O152))</f>
      </c>
      <c r="C152">
        <f>IF($O152="","",INDEX(Master!$C$2:$C$1001,$O152))</f>
      </c>
      <c r="D152">
        <f>IF($O152="","",INDEX(Master!$A$2:$A$1001,$O152))</f>
      </c>
      <c r="E152">
        <f>IF($O152="","",INDEX(Master!$E$2:$E$1001,$O152))</f>
      </c>
      <c r="F152">
        <f>IF($O152="","",INDEX(Master!$F$2:$F$1001,$O152))</f>
      </c>
      <c r="G152">
        <f>IF($O152="","",INDEX(Master!$G$2:$G$1001,$O152))</f>
      </c>
      <c r="H152">
        <f>IF($O152="","",INDEX(Master!$H$2:$H$1001,$O152))</f>
      </c>
      <c r="I152">
        <f>IF($O152="","",INDEX(Master!$I$2:$I$1001,$O152))</f>
      </c>
      <c r="J152">
        <f>IF($O152="","",INDEX(Master!$J$2:$J$1001,$O152))</f>
      </c>
      <c r="K152">
        <f t="shared" si="4"/>
      </c>
      <c r="L152">
        <f>IF($O152="","",INDEX(Master!$K$2:$K$1001,$O152))</f>
      </c>
      <c r="M152">
        <f>IF($O152="","",INDEX(Master!$L$2:$L$1001,$O152))</f>
      </c>
      <c r="O152">
        <f t="array" ref="O152">IFERROR(SMALL(IF(Master!$A$2:$A$1001="AR ISPAT",ROW(Master!$A$2:$A$1001)-ROW(Master!$A$2)+1),148),"")</f>
      </c>
      <c r="P152">
        <f t="shared" si="5"/>
      </c>
    </row>
    <row r="153" spans="1:16" x14ac:dyDescent="0.25">
      <c r="A153">
        <f>IF($O153="","",INDEX(Master!$D$2:$D$1001,$O153))</f>
      </c>
      <c r="B153" s="166">
        <f>IF($O153="","",INDEX(Master!$B$2:$B$1001,$O153))</f>
      </c>
      <c r="C153">
        <f>IF($O153="","",INDEX(Master!$C$2:$C$1001,$O153))</f>
      </c>
      <c r="D153">
        <f>IF($O153="","",INDEX(Master!$A$2:$A$1001,$O153))</f>
      </c>
      <c r="E153">
        <f>IF($O153="","",INDEX(Master!$E$2:$E$1001,$O153))</f>
      </c>
      <c r="F153">
        <f>IF($O153="","",INDEX(Master!$F$2:$F$1001,$O153))</f>
      </c>
      <c r="G153">
        <f>IF($O153="","",INDEX(Master!$G$2:$G$1001,$O153))</f>
      </c>
      <c r="H153">
        <f>IF($O153="","",INDEX(Master!$H$2:$H$1001,$O153))</f>
      </c>
      <c r="I153">
        <f>IF($O153="","",INDEX(Master!$I$2:$I$1001,$O153))</f>
      </c>
      <c r="J153">
        <f>IF($O153="","",INDEX(Master!$J$2:$J$1001,$O153))</f>
      </c>
      <c r="K153">
        <f t="shared" si="4"/>
      </c>
      <c r="L153">
        <f>IF($O153="","",INDEX(Master!$K$2:$K$1001,$O153))</f>
      </c>
      <c r="M153">
        <f>IF($O153="","",INDEX(Master!$L$2:$L$1001,$O153))</f>
      </c>
      <c r="O153">
        <f t="array" ref="O153">IFERROR(SMALL(IF(Master!$A$2:$A$1001="AR ISPAT",ROW(Master!$A$2:$A$1001)-ROW(Master!$A$2)+1),149),"")</f>
      </c>
      <c r="P153">
        <f t="shared" si="5"/>
      </c>
    </row>
    <row r="154" spans="1:16" x14ac:dyDescent="0.25">
      <c r="A154">
        <f>IF($O154="","",INDEX(Master!$D$2:$D$1001,$O154))</f>
      </c>
      <c r="B154" s="166">
        <f>IF($O154="","",INDEX(Master!$B$2:$B$1001,$O154))</f>
      </c>
      <c r="C154">
        <f>IF($O154="","",INDEX(Master!$C$2:$C$1001,$O154))</f>
      </c>
      <c r="D154">
        <f>IF($O154="","",INDEX(Master!$A$2:$A$1001,$O154))</f>
      </c>
      <c r="E154">
        <f>IF($O154="","",INDEX(Master!$E$2:$E$1001,$O154))</f>
      </c>
      <c r="F154">
        <f>IF($O154="","",INDEX(Master!$F$2:$F$1001,$O154))</f>
      </c>
      <c r="G154">
        <f>IF($O154="","",INDEX(Master!$G$2:$G$1001,$O154))</f>
      </c>
      <c r="H154">
        <f>IF($O154="","",INDEX(Master!$H$2:$H$1001,$O154))</f>
      </c>
      <c r="I154">
        <f>IF($O154="","",INDEX(Master!$I$2:$I$1001,$O154))</f>
      </c>
      <c r="J154">
        <f>IF($O154="","",INDEX(Master!$J$2:$J$1001,$O154))</f>
      </c>
      <c r="K154">
        <f t="shared" si="4"/>
      </c>
      <c r="L154">
        <f>IF($O154="","",INDEX(Master!$K$2:$K$1001,$O154))</f>
      </c>
      <c r="M154">
        <f>IF($O154="","",INDEX(Master!$L$2:$L$1001,$O154))</f>
      </c>
      <c r="O154">
        <f t="array" ref="O154">IFERROR(SMALL(IF(Master!$A$2:$A$1001="AR ISPAT",ROW(Master!$A$2:$A$1001)-ROW(Master!$A$2)+1),150),"")</f>
      </c>
      <c r="P154">
        <f t="shared" si="5"/>
      </c>
    </row>
    <row r="155" spans="1:16" x14ac:dyDescent="0.25">
      <c r="A155">
        <f>IF($O155="","",INDEX(Master!$D$2:$D$1001,$O155))</f>
      </c>
      <c r="B155" s="166">
        <f>IF($O155="","",INDEX(Master!$B$2:$B$1001,$O155))</f>
      </c>
      <c r="C155">
        <f>IF($O155="","",INDEX(Master!$C$2:$C$1001,$O155))</f>
      </c>
      <c r="D155">
        <f>IF($O155="","",INDEX(Master!$A$2:$A$1001,$O155))</f>
      </c>
      <c r="E155">
        <f>IF($O155="","",INDEX(Master!$E$2:$E$1001,$O155))</f>
      </c>
      <c r="F155">
        <f>IF($O155="","",INDEX(Master!$F$2:$F$1001,$O155))</f>
      </c>
      <c r="G155">
        <f>IF($O155="","",INDEX(Master!$G$2:$G$1001,$O155))</f>
      </c>
      <c r="H155">
        <f>IF($O155="","",INDEX(Master!$H$2:$H$1001,$O155))</f>
      </c>
      <c r="I155">
        <f>IF($O155="","",INDEX(Master!$I$2:$I$1001,$O155))</f>
      </c>
      <c r="J155">
        <f>IF($O155="","",INDEX(Master!$J$2:$J$1001,$O155))</f>
      </c>
      <c r="K155">
        <f t="shared" si="4"/>
      </c>
      <c r="L155">
        <f>IF($O155="","",INDEX(Master!$K$2:$K$1001,$O155))</f>
      </c>
      <c r="M155">
        <f>IF($O155="","",INDEX(Master!$L$2:$L$1001,$O155))</f>
      </c>
      <c r="O155">
        <f t="array" ref="O155">IFERROR(SMALL(IF(Master!$A$2:$A$1001="AR ISPAT",ROW(Master!$A$2:$A$1001)-ROW(Master!$A$2)+1),151),"")</f>
      </c>
      <c r="P155">
        <f t="shared" si="5"/>
      </c>
    </row>
    <row r="156" spans="1:16" x14ac:dyDescent="0.25">
      <c r="A156">
        <f>IF($O156="","",INDEX(Master!$D$2:$D$1001,$O156))</f>
      </c>
      <c r="B156" s="166">
        <f>IF($O156="","",INDEX(Master!$B$2:$B$1001,$O156))</f>
      </c>
      <c r="C156">
        <f>IF($O156="","",INDEX(Master!$C$2:$C$1001,$O156))</f>
      </c>
      <c r="D156">
        <f>IF($O156="","",INDEX(Master!$A$2:$A$1001,$O156))</f>
      </c>
      <c r="E156">
        <f>IF($O156="","",INDEX(Master!$E$2:$E$1001,$O156))</f>
      </c>
      <c r="F156">
        <f>IF($O156="","",INDEX(Master!$F$2:$F$1001,$O156))</f>
      </c>
      <c r="G156">
        <f>IF($O156="","",INDEX(Master!$G$2:$G$1001,$O156))</f>
      </c>
      <c r="H156">
        <f>IF($O156="","",INDEX(Master!$H$2:$H$1001,$O156))</f>
      </c>
      <c r="I156">
        <f>IF($O156="","",INDEX(Master!$I$2:$I$1001,$O156))</f>
      </c>
      <c r="J156">
        <f>IF($O156="","",INDEX(Master!$J$2:$J$1001,$O156))</f>
      </c>
      <c r="K156">
        <f t="shared" si="4"/>
      </c>
      <c r="L156">
        <f>IF($O156="","",INDEX(Master!$K$2:$K$1001,$O156))</f>
      </c>
      <c r="M156">
        <f>IF($O156="","",INDEX(Master!$L$2:$L$1001,$O156))</f>
      </c>
      <c r="O156">
        <f t="array" ref="O156">IFERROR(SMALL(IF(Master!$A$2:$A$1001="AR ISPAT",ROW(Master!$A$2:$A$1001)-ROW(Master!$A$2)+1),152),"")</f>
      </c>
      <c r="P156">
        <f t="shared" si="5"/>
      </c>
    </row>
    <row r="157" spans="1:16" x14ac:dyDescent="0.25">
      <c r="A157">
        <f>IF($O157="","",INDEX(Master!$D$2:$D$1001,$O157))</f>
      </c>
      <c r="B157" s="166">
        <f>IF($O157="","",INDEX(Master!$B$2:$B$1001,$O157))</f>
      </c>
      <c r="C157">
        <f>IF($O157="","",INDEX(Master!$C$2:$C$1001,$O157))</f>
      </c>
      <c r="D157">
        <f>IF($O157="","",INDEX(Master!$A$2:$A$1001,$O157))</f>
      </c>
      <c r="E157">
        <f>IF($O157="","",INDEX(Master!$E$2:$E$1001,$O157))</f>
      </c>
      <c r="F157">
        <f>IF($O157="","",INDEX(Master!$F$2:$F$1001,$O157))</f>
      </c>
      <c r="G157">
        <f>IF($O157="","",INDEX(Master!$G$2:$G$1001,$O157))</f>
      </c>
      <c r="H157">
        <f>IF($O157="","",INDEX(Master!$H$2:$H$1001,$O157))</f>
      </c>
      <c r="I157">
        <f>IF($O157="","",INDEX(Master!$I$2:$I$1001,$O157))</f>
      </c>
      <c r="J157">
        <f>IF($O157="","",INDEX(Master!$J$2:$J$1001,$O157))</f>
      </c>
      <c r="K157">
        <f t="shared" si="4"/>
      </c>
      <c r="L157">
        <f>IF($O157="","",INDEX(Master!$K$2:$K$1001,$O157))</f>
      </c>
      <c r="M157">
        <f>IF($O157="","",INDEX(Master!$L$2:$L$1001,$O157))</f>
      </c>
      <c r="O157">
        <f t="array" ref="O157">IFERROR(SMALL(IF(Master!$A$2:$A$1001="AR ISPAT",ROW(Master!$A$2:$A$1001)-ROW(Master!$A$2)+1),153),"")</f>
      </c>
      <c r="P157">
        <f t="shared" si="5"/>
      </c>
    </row>
    <row r="158" spans="1:16" x14ac:dyDescent="0.25">
      <c r="A158">
        <f>IF($O158="","",INDEX(Master!$D$2:$D$1001,$O158))</f>
      </c>
      <c r="B158" s="166">
        <f>IF($O158="","",INDEX(Master!$B$2:$B$1001,$O158))</f>
      </c>
      <c r="C158">
        <f>IF($O158="","",INDEX(Master!$C$2:$C$1001,$O158))</f>
      </c>
      <c r="D158">
        <f>IF($O158="","",INDEX(Master!$A$2:$A$1001,$O158))</f>
      </c>
      <c r="E158">
        <f>IF($O158="","",INDEX(Master!$E$2:$E$1001,$O158))</f>
      </c>
      <c r="F158">
        <f>IF($O158="","",INDEX(Master!$F$2:$F$1001,$O158))</f>
      </c>
      <c r="G158">
        <f>IF($O158="","",INDEX(Master!$G$2:$G$1001,$O158))</f>
      </c>
      <c r="H158">
        <f>IF($O158="","",INDEX(Master!$H$2:$H$1001,$O158))</f>
      </c>
      <c r="I158">
        <f>IF($O158="","",INDEX(Master!$I$2:$I$1001,$O158))</f>
      </c>
      <c r="J158">
        <f>IF($O158="","",INDEX(Master!$J$2:$J$1001,$O158))</f>
      </c>
      <c r="K158">
        <f t="shared" si="4"/>
      </c>
      <c r="L158">
        <f>IF($O158="","",INDEX(Master!$K$2:$K$1001,$O158))</f>
      </c>
      <c r="M158">
        <f>IF($O158="","",INDEX(Master!$L$2:$L$1001,$O158))</f>
      </c>
      <c r="O158">
        <f t="array" ref="O158">IFERROR(SMALL(IF(Master!$A$2:$A$1001="AR ISPAT",ROW(Master!$A$2:$A$1001)-ROW(Master!$A$2)+1),154),"")</f>
      </c>
      <c r="P158">
        <f t="shared" si="5"/>
      </c>
    </row>
    <row r="159" spans="1:16" x14ac:dyDescent="0.25">
      <c r="A159">
        <f>IF($O159="","",INDEX(Master!$D$2:$D$1001,$O159))</f>
      </c>
      <c r="B159" s="166">
        <f>IF($O159="","",INDEX(Master!$B$2:$B$1001,$O159))</f>
      </c>
      <c r="C159">
        <f>IF($O159="","",INDEX(Master!$C$2:$C$1001,$O159))</f>
      </c>
      <c r="D159">
        <f>IF($O159="","",INDEX(Master!$A$2:$A$1001,$O159))</f>
      </c>
      <c r="E159">
        <f>IF($O159="","",INDEX(Master!$E$2:$E$1001,$O159))</f>
      </c>
      <c r="F159">
        <f>IF($O159="","",INDEX(Master!$F$2:$F$1001,$O159))</f>
      </c>
      <c r="G159">
        <f>IF($O159="","",INDEX(Master!$G$2:$G$1001,$O159))</f>
      </c>
      <c r="H159">
        <f>IF($O159="","",INDEX(Master!$H$2:$H$1001,$O159))</f>
      </c>
      <c r="I159">
        <f>IF($O159="","",INDEX(Master!$I$2:$I$1001,$O159))</f>
      </c>
      <c r="J159">
        <f>IF($O159="","",INDEX(Master!$J$2:$J$1001,$O159))</f>
      </c>
      <c r="K159">
        <f t="shared" si="4"/>
      </c>
      <c r="L159">
        <f>IF($O159="","",INDEX(Master!$K$2:$K$1001,$O159))</f>
      </c>
      <c r="M159">
        <f>IF($O159="","",INDEX(Master!$L$2:$L$1001,$O159))</f>
      </c>
      <c r="O159">
        <f t="array" ref="O159">IFERROR(SMALL(IF(Master!$A$2:$A$1001="AR ISPAT",ROW(Master!$A$2:$A$1001)-ROW(Master!$A$2)+1),155),"")</f>
      </c>
      <c r="P159">
        <f t="shared" si="5"/>
      </c>
    </row>
    <row r="160" spans="1:16" x14ac:dyDescent="0.25">
      <c r="A160">
        <f>IF($O160="","",INDEX(Master!$D$2:$D$1001,$O160))</f>
      </c>
      <c r="B160" s="166">
        <f>IF($O160="","",INDEX(Master!$B$2:$B$1001,$O160))</f>
      </c>
      <c r="C160">
        <f>IF($O160="","",INDEX(Master!$C$2:$C$1001,$O160))</f>
      </c>
      <c r="D160">
        <f>IF($O160="","",INDEX(Master!$A$2:$A$1001,$O160))</f>
      </c>
      <c r="E160">
        <f>IF($O160="","",INDEX(Master!$E$2:$E$1001,$O160))</f>
      </c>
      <c r="F160">
        <f>IF($O160="","",INDEX(Master!$F$2:$F$1001,$O160))</f>
      </c>
      <c r="G160">
        <f>IF($O160="","",INDEX(Master!$G$2:$G$1001,$O160))</f>
      </c>
      <c r="H160">
        <f>IF($O160="","",INDEX(Master!$H$2:$H$1001,$O160))</f>
      </c>
      <c r="I160">
        <f>IF($O160="","",INDEX(Master!$I$2:$I$1001,$O160))</f>
      </c>
      <c r="J160">
        <f>IF($O160="","",INDEX(Master!$J$2:$J$1001,$O160))</f>
      </c>
      <c r="K160">
        <f t="shared" si="4"/>
      </c>
      <c r="L160">
        <f>IF($O160="","",INDEX(Master!$K$2:$K$1001,$O160))</f>
      </c>
      <c r="M160">
        <f>IF($O160="","",INDEX(Master!$L$2:$L$1001,$O160))</f>
      </c>
      <c r="O160">
        <f t="array" ref="O160">IFERROR(SMALL(IF(Master!$A$2:$A$1001="AR ISPAT",ROW(Master!$A$2:$A$1001)-ROW(Master!$A$2)+1),156),"")</f>
      </c>
      <c r="P160">
        <f t="shared" si="5"/>
      </c>
    </row>
    <row r="161" spans="1:16" x14ac:dyDescent="0.25">
      <c r="A161">
        <f>IF($O161="","",INDEX(Master!$D$2:$D$1001,$O161))</f>
      </c>
      <c r="B161" s="166">
        <f>IF($O161="","",INDEX(Master!$B$2:$B$1001,$O161))</f>
      </c>
      <c r="C161">
        <f>IF($O161="","",INDEX(Master!$C$2:$C$1001,$O161))</f>
      </c>
      <c r="D161">
        <f>IF($O161="","",INDEX(Master!$A$2:$A$1001,$O161))</f>
      </c>
      <c r="E161">
        <f>IF($O161="","",INDEX(Master!$E$2:$E$1001,$O161))</f>
      </c>
      <c r="F161">
        <f>IF($O161="","",INDEX(Master!$F$2:$F$1001,$O161))</f>
      </c>
      <c r="G161">
        <f>IF($O161="","",INDEX(Master!$G$2:$G$1001,$O161))</f>
      </c>
      <c r="H161">
        <f>IF($O161="","",INDEX(Master!$H$2:$H$1001,$O161))</f>
      </c>
      <c r="I161">
        <f>IF($O161="","",INDEX(Master!$I$2:$I$1001,$O161))</f>
      </c>
      <c r="J161">
        <f>IF($O161="","",INDEX(Master!$J$2:$J$1001,$O161))</f>
      </c>
      <c r="K161">
        <f t="shared" si="4"/>
      </c>
      <c r="L161">
        <f>IF($O161="","",INDEX(Master!$K$2:$K$1001,$O161))</f>
      </c>
      <c r="M161">
        <f>IF($O161="","",INDEX(Master!$L$2:$L$1001,$O161))</f>
      </c>
      <c r="O161">
        <f t="array" ref="O161">IFERROR(SMALL(IF(Master!$A$2:$A$1001="AR ISPAT",ROW(Master!$A$2:$A$1001)-ROW(Master!$A$2)+1),157),"")</f>
      </c>
      <c r="P161">
        <f t="shared" si="5"/>
      </c>
    </row>
    <row r="162" spans="1:16" x14ac:dyDescent="0.25">
      <c r="A162">
        <f>IF($O162="","",INDEX(Master!$D$2:$D$1001,$O162))</f>
      </c>
      <c r="B162" s="166">
        <f>IF($O162="","",INDEX(Master!$B$2:$B$1001,$O162))</f>
      </c>
      <c r="C162">
        <f>IF($O162="","",INDEX(Master!$C$2:$C$1001,$O162))</f>
      </c>
      <c r="D162">
        <f>IF($O162="","",INDEX(Master!$A$2:$A$1001,$O162))</f>
      </c>
      <c r="E162">
        <f>IF($O162="","",INDEX(Master!$E$2:$E$1001,$O162))</f>
      </c>
      <c r="F162">
        <f>IF($O162="","",INDEX(Master!$F$2:$F$1001,$O162))</f>
      </c>
      <c r="G162">
        <f>IF($O162="","",INDEX(Master!$G$2:$G$1001,$O162))</f>
      </c>
      <c r="H162">
        <f>IF($O162="","",INDEX(Master!$H$2:$H$1001,$O162))</f>
      </c>
      <c r="I162">
        <f>IF($O162="","",INDEX(Master!$I$2:$I$1001,$O162))</f>
      </c>
      <c r="J162">
        <f>IF($O162="","",INDEX(Master!$J$2:$J$1001,$O162))</f>
      </c>
      <c r="K162">
        <f t="shared" si="4"/>
      </c>
      <c r="L162">
        <f>IF($O162="","",INDEX(Master!$K$2:$K$1001,$O162))</f>
      </c>
      <c r="M162">
        <f>IF($O162="","",INDEX(Master!$L$2:$L$1001,$O162))</f>
      </c>
      <c r="O162">
        <f t="array" ref="O162">IFERROR(SMALL(IF(Master!$A$2:$A$1001="AR ISPAT",ROW(Master!$A$2:$A$1001)-ROW(Master!$A$2)+1),158),"")</f>
      </c>
      <c r="P162">
        <f t="shared" si="5"/>
      </c>
    </row>
    <row r="163" spans="1:16" x14ac:dyDescent="0.25">
      <c r="A163">
        <f>IF($O163="","",INDEX(Master!$D$2:$D$1001,$O163))</f>
      </c>
      <c r="B163" s="166">
        <f>IF($O163="","",INDEX(Master!$B$2:$B$1001,$O163))</f>
      </c>
      <c r="C163">
        <f>IF($O163="","",INDEX(Master!$C$2:$C$1001,$O163))</f>
      </c>
      <c r="D163">
        <f>IF($O163="","",INDEX(Master!$A$2:$A$1001,$O163))</f>
      </c>
      <c r="E163">
        <f>IF($O163="","",INDEX(Master!$E$2:$E$1001,$O163))</f>
      </c>
      <c r="F163">
        <f>IF($O163="","",INDEX(Master!$F$2:$F$1001,$O163))</f>
      </c>
      <c r="G163">
        <f>IF($O163="","",INDEX(Master!$G$2:$G$1001,$O163))</f>
      </c>
      <c r="H163">
        <f>IF($O163="","",INDEX(Master!$H$2:$H$1001,$O163))</f>
      </c>
      <c r="I163">
        <f>IF($O163="","",INDEX(Master!$I$2:$I$1001,$O163))</f>
      </c>
      <c r="J163">
        <f>IF($O163="","",INDEX(Master!$J$2:$J$1001,$O163))</f>
      </c>
      <c r="K163">
        <f t="shared" si="4"/>
      </c>
      <c r="L163">
        <f>IF($O163="","",INDEX(Master!$K$2:$K$1001,$O163))</f>
      </c>
      <c r="M163">
        <f>IF($O163="","",INDEX(Master!$L$2:$L$1001,$O163))</f>
      </c>
      <c r="O163">
        <f t="array" ref="O163">IFERROR(SMALL(IF(Master!$A$2:$A$1001="AR ISPAT",ROW(Master!$A$2:$A$1001)-ROW(Master!$A$2)+1),159),"")</f>
      </c>
      <c r="P163">
        <f t="shared" si="5"/>
      </c>
    </row>
    <row r="164" spans="1:16" x14ac:dyDescent="0.25">
      <c r="A164">
        <f>IF($O164="","",INDEX(Master!$D$2:$D$1001,$O164))</f>
      </c>
      <c r="B164" s="166">
        <f>IF($O164="","",INDEX(Master!$B$2:$B$1001,$O164))</f>
      </c>
      <c r="C164">
        <f>IF($O164="","",INDEX(Master!$C$2:$C$1001,$O164))</f>
      </c>
      <c r="D164">
        <f>IF($O164="","",INDEX(Master!$A$2:$A$1001,$O164))</f>
      </c>
      <c r="E164">
        <f>IF($O164="","",INDEX(Master!$E$2:$E$1001,$O164))</f>
      </c>
      <c r="F164">
        <f>IF($O164="","",INDEX(Master!$F$2:$F$1001,$O164))</f>
      </c>
      <c r="G164">
        <f>IF($O164="","",INDEX(Master!$G$2:$G$1001,$O164))</f>
      </c>
      <c r="H164">
        <f>IF($O164="","",INDEX(Master!$H$2:$H$1001,$O164))</f>
      </c>
      <c r="I164">
        <f>IF($O164="","",INDEX(Master!$I$2:$I$1001,$O164))</f>
      </c>
      <c r="J164">
        <f>IF($O164="","",INDEX(Master!$J$2:$J$1001,$O164))</f>
      </c>
      <c r="K164">
        <f t="shared" si="4"/>
      </c>
      <c r="L164">
        <f>IF($O164="","",INDEX(Master!$K$2:$K$1001,$O164))</f>
      </c>
      <c r="M164">
        <f>IF($O164="","",INDEX(Master!$L$2:$L$1001,$O164))</f>
      </c>
      <c r="O164">
        <f t="array" ref="O164">IFERROR(SMALL(IF(Master!$A$2:$A$1001="AR ISPAT",ROW(Master!$A$2:$A$1001)-ROW(Master!$A$2)+1),160),"")</f>
      </c>
      <c r="P164">
        <f t="shared" si="5"/>
      </c>
    </row>
    <row r="165" spans="1:16" x14ac:dyDescent="0.25">
      <c r="A165">
        <f>IF($O165="","",INDEX(Master!$D$2:$D$1001,$O165))</f>
      </c>
      <c r="B165" s="166">
        <f>IF($O165="","",INDEX(Master!$B$2:$B$1001,$O165))</f>
      </c>
      <c r="C165">
        <f>IF($O165="","",INDEX(Master!$C$2:$C$1001,$O165))</f>
      </c>
      <c r="D165">
        <f>IF($O165="","",INDEX(Master!$A$2:$A$1001,$O165))</f>
      </c>
      <c r="E165">
        <f>IF($O165="","",INDEX(Master!$E$2:$E$1001,$O165))</f>
      </c>
      <c r="F165">
        <f>IF($O165="","",INDEX(Master!$F$2:$F$1001,$O165))</f>
      </c>
      <c r="G165">
        <f>IF($O165="","",INDEX(Master!$G$2:$G$1001,$O165))</f>
      </c>
      <c r="H165">
        <f>IF($O165="","",INDEX(Master!$H$2:$H$1001,$O165))</f>
      </c>
      <c r="I165">
        <f>IF($O165="","",INDEX(Master!$I$2:$I$1001,$O165))</f>
      </c>
      <c r="J165">
        <f>IF($O165="","",INDEX(Master!$J$2:$J$1001,$O165))</f>
      </c>
      <c r="K165">
        <f t="shared" si="4"/>
      </c>
      <c r="L165">
        <f>IF($O165="","",INDEX(Master!$K$2:$K$1001,$O165))</f>
      </c>
      <c r="M165">
        <f>IF($O165="","",INDEX(Master!$L$2:$L$1001,$O165))</f>
      </c>
      <c r="O165">
        <f t="array" ref="O165">IFERROR(SMALL(IF(Master!$A$2:$A$1001="AR ISPAT",ROW(Master!$A$2:$A$1001)-ROW(Master!$A$2)+1),161),"")</f>
      </c>
      <c r="P165">
        <f t="shared" si="5"/>
      </c>
    </row>
    <row r="166" spans="1:16" x14ac:dyDescent="0.25">
      <c r="A166">
        <f>IF($O166="","",INDEX(Master!$D$2:$D$1001,$O166))</f>
      </c>
      <c r="B166" s="166">
        <f>IF($O166="","",INDEX(Master!$B$2:$B$1001,$O166))</f>
      </c>
      <c r="C166">
        <f>IF($O166="","",INDEX(Master!$C$2:$C$1001,$O166))</f>
      </c>
      <c r="D166">
        <f>IF($O166="","",INDEX(Master!$A$2:$A$1001,$O166))</f>
      </c>
      <c r="E166">
        <f>IF($O166="","",INDEX(Master!$E$2:$E$1001,$O166))</f>
      </c>
      <c r="F166">
        <f>IF($O166="","",INDEX(Master!$F$2:$F$1001,$O166))</f>
      </c>
      <c r="G166">
        <f>IF($O166="","",INDEX(Master!$G$2:$G$1001,$O166))</f>
      </c>
      <c r="H166">
        <f>IF($O166="","",INDEX(Master!$H$2:$H$1001,$O166))</f>
      </c>
      <c r="I166">
        <f>IF($O166="","",INDEX(Master!$I$2:$I$1001,$O166))</f>
      </c>
      <c r="J166">
        <f>IF($O166="","",INDEX(Master!$J$2:$J$1001,$O166))</f>
      </c>
      <c r="K166">
        <f t="shared" si="4"/>
      </c>
      <c r="L166">
        <f>IF($O166="","",INDEX(Master!$K$2:$K$1001,$O166))</f>
      </c>
      <c r="M166">
        <f>IF($O166="","",INDEX(Master!$L$2:$L$1001,$O166))</f>
      </c>
      <c r="O166">
        <f t="array" ref="O166">IFERROR(SMALL(IF(Master!$A$2:$A$1001="AR ISPAT",ROW(Master!$A$2:$A$1001)-ROW(Master!$A$2)+1),162),"")</f>
      </c>
      <c r="P166">
        <f t="shared" si="5"/>
      </c>
    </row>
    <row r="167" spans="1:16" x14ac:dyDescent="0.25">
      <c r="A167">
        <f>IF($O167="","",INDEX(Master!$D$2:$D$1001,$O167))</f>
      </c>
      <c r="B167" s="166">
        <f>IF($O167="","",INDEX(Master!$B$2:$B$1001,$O167))</f>
      </c>
      <c r="C167">
        <f>IF($O167="","",INDEX(Master!$C$2:$C$1001,$O167))</f>
      </c>
      <c r="D167">
        <f>IF($O167="","",INDEX(Master!$A$2:$A$1001,$O167))</f>
      </c>
      <c r="E167">
        <f>IF($O167="","",INDEX(Master!$E$2:$E$1001,$O167))</f>
      </c>
      <c r="F167">
        <f>IF($O167="","",INDEX(Master!$F$2:$F$1001,$O167))</f>
      </c>
      <c r="G167">
        <f>IF($O167="","",INDEX(Master!$G$2:$G$1001,$O167))</f>
      </c>
      <c r="H167">
        <f>IF($O167="","",INDEX(Master!$H$2:$H$1001,$O167))</f>
      </c>
      <c r="I167">
        <f>IF($O167="","",INDEX(Master!$I$2:$I$1001,$O167))</f>
      </c>
      <c r="J167">
        <f>IF($O167="","",INDEX(Master!$J$2:$J$1001,$O167))</f>
      </c>
      <c r="K167">
        <f t="shared" si="4"/>
      </c>
      <c r="L167">
        <f>IF($O167="","",INDEX(Master!$K$2:$K$1001,$O167))</f>
      </c>
      <c r="M167">
        <f>IF($O167="","",INDEX(Master!$L$2:$L$1001,$O167))</f>
      </c>
      <c r="O167">
        <f t="array" ref="O167">IFERROR(SMALL(IF(Master!$A$2:$A$1001="AR ISPAT",ROW(Master!$A$2:$A$1001)-ROW(Master!$A$2)+1),163),"")</f>
      </c>
      <c r="P167">
        <f t="shared" si="5"/>
      </c>
    </row>
    <row r="168" spans="1:16" x14ac:dyDescent="0.25">
      <c r="A168">
        <f>IF($O168="","",INDEX(Master!$D$2:$D$1001,$O168))</f>
      </c>
      <c r="B168" s="166">
        <f>IF($O168="","",INDEX(Master!$B$2:$B$1001,$O168))</f>
      </c>
      <c r="C168">
        <f>IF($O168="","",INDEX(Master!$C$2:$C$1001,$O168))</f>
      </c>
      <c r="D168">
        <f>IF($O168="","",INDEX(Master!$A$2:$A$1001,$O168))</f>
      </c>
      <c r="E168">
        <f>IF($O168="","",INDEX(Master!$E$2:$E$1001,$O168))</f>
      </c>
      <c r="F168">
        <f>IF($O168="","",INDEX(Master!$F$2:$F$1001,$O168))</f>
      </c>
      <c r="G168">
        <f>IF($O168="","",INDEX(Master!$G$2:$G$1001,$O168))</f>
      </c>
      <c r="H168">
        <f>IF($O168="","",INDEX(Master!$H$2:$H$1001,$O168))</f>
      </c>
      <c r="I168">
        <f>IF($O168="","",INDEX(Master!$I$2:$I$1001,$O168))</f>
      </c>
      <c r="J168">
        <f>IF($O168="","",INDEX(Master!$J$2:$J$1001,$O168))</f>
      </c>
      <c r="K168">
        <f t="shared" si="4"/>
      </c>
      <c r="L168">
        <f>IF($O168="","",INDEX(Master!$K$2:$K$1001,$O168))</f>
      </c>
      <c r="M168">
        <f>IF($O168="","",INDEX(Master!$L$2:$L$1001,$O168))</f>
      </c>
      <c r="O168">
        <f t="array" ref="O168">IFERROR(SMALL(IF(Master!$A$2:$A$1001="AR ISPAT",ROW(Master!$A$2:$A$1001)-ROW(Master!$A$2)+1),164),"")</f>
      </c>
      <c r="P168">
        <f t="shared" si="5"/>
      </c>
    </row>
    <row r="169" spans="1:16" x14ac:dyDescent="0.25">
      <c r="A169">
        <f>IF($O169="","",INDEX(Master!$D$2:$D$1001,$O169))</f>
      </c>
      <c r="B169" s="166">
        <f>IF($O169="","",INDEX(Master!$B$2:$B$1001,$O169))</f>
      </c>
      <c r="C169">
        <f>IF($O169="","",INDEX(Master!$C$2:$C$1001,$O169))</f>
      </c>
      <c r="D169">
        <f>IF($O169="","",INDEX(Master!$A$2:$A$1001,$O169))</f>
      </c>
      <c r="E169">
        <f>IF($O169="","",INDEX(Master!$E$2:$E$1001,$O169))</f>
      </c>
      <c r="F169">
        <f>IF($O169="","",INDEX(Master!$F$2:$F$1001,$O169))</f>
      </c>
      <c r="G169">
        <f>IF($O169="","",INDEX(Master!$G$2:$G$1001,$O169))</f>
      </c>
      <c r="H169">
        <f>IF($O169="","",INDEX(Master!$H$2:$H$1001,$O169))</f>
      </c>
      <c r="I169">
        <f>IF($O169="","",INDEX(Master!$I$2:$I$1001,$O169))</f>
      </c>
      <c r="J169">
        <f>IF($O169="","",INDEX(Master!$J$2:$J$1001,$O169))</f>
      </c>
      <c r="K169">
        <f t="shared" si="4"/>
      </c>
      <c r="L169">
        <f>IF($O169="","",INDEX(Master!$K$2:$K$1001,$O169))</f>
      </c>
      <c r="M169">
        <f>IF($O169="","",INDEX(Master!$L$2:$L$1001,$O169))</f>
      </c>
      <c r="O169">
        <f t="array" ref="O169">IFERROR(SMALL(IF(Master!$A$2:$A$1001="AR ISPAT",ROW(Master!$A$2:$A$1001)-ROW(Master!$A$2)+1),165),"")</f>
      </c>
      <c r="P169">
        <f t="shared" si="5"/>
      </c>
    </row>
    <row r="170" spans="1:16" x14ac:dyDescent="0.25">
      <c r="A170">
        <f>IF($O170="","",INDEX(Master!$D$2:$D$1001,$O170))</f>
      </c>
      <c r="B170" s="166">
        <f>IF($O170="","",INDEX(Master!$B$2:$B$1001,$O170))</f>
      </c>
      <c r="C170">
        <f>IF($O170="","",INDEX(Master!$C$2:$C$1001,$O170))</f>
      </c>
      <c r="D170">
        <f>IF($O170="","",INDEX(Master!$A$2:$A$1001,$O170))</f>
      </c>
      <c r="E170">
        <f>IF($O170="","",INDEX(Master!$E$2:$E$1001,$O170))</f>
      </c>
      <c r="F170">
        <f>IF($O170="","",INDEX(Master!$F$2:$F$1001,$O170))</f>
      </c>
      <c r="G170">
        <f>IF($O170="","",INDEX(Master!$G$2:$G$1001,$O170))</f>
      </c>
      <c r="H170">
        <f>IF($O170="","",INDEX(Master!$H$2:$H$1001,$O170))</f>
      </c>
      <c r="I170">
        <f>IF($O170="","",INDEX(Master!$I$2:$I$1001,$O170))</f>
      </c>
      <c r="J170">
        <f>IF($O170="","",INDEX(Master!$J$2:$J$1001,$O170))</f>
      </c>
      <c r="K170">
        <f t="shared" si="4"/>
      </c>
      <c r="L170">
        <f>IF($O170="","",INDEX(Master!$K$2:$K$1001,$O170))</f>
      </c>
      <c r="M170">
        <f>IF($O170="","",INDEX(Master!$L$2:$L$1001,$O170))</f>
      </c>
      <c r="O170">
        <f t="array" ref="O170">IFERROR(SMALL(IF(Master!$A$2:$A$1001="AR ISPAT",ROW(Master!$A$2:$A$1001)-ROW(Master!$A$2)+1),166),"")</f>
      </c>
      <c r="P170">
        <f t="shared" si="5"/>
      </c>
    </row>
    <row r="171" spans="1:16" x14ac:dyDescent="0.25">
      <c r="A171">
        <f>IF($O171="","",INDEX(Master!$D$2:$D$1001,$O171))</f>
      </c>
      <c r="B171" s="166">
        <f>IF($O171="","",INDEX(Master!$B$2:$B$1001,$O171))</f>
      </c>
      <c r="C171">
        <f>IF($O171="","",INDEX(Master!$C$2:$C$1001,$O171))</f>
      </c>
      <c r="D171">
        <f>IF($O171="","",INDEX(Master!$A$2:$A$1001,$O171))</f>
      </c>
      <c r="E171">
        <f>IF($O171="","",INDEX(Master!$E$2:$E$1001,$O171))</f>
      </c>
      <c r="F171">
        <f>IF($O171="","",INDEX(Master!$F$2:$F$1001,$O171))</f>
      </c>
      <c r="G171">
        <f>IF($O171="","",INDEX(Master!$G$2:$G$1001,$O171))</f>
      </c>
      <c r="H171">
        <f>IF($O171="","",INDEX(Master!$H$2:$H$1001,$O171))</f>
      </c>
      <c r="I171">
        <f>IF($O171="","",INDEX(Master!$I$2:$I$1001,$O171))</f>
      </c>
      <c r="J171">
        <f>IF($O171="","",INDEX(Master!$J$2:$J$1001,$O171))</f>
      </c>
      <c r="K171">
        <f t="shared" si="4"/>
      </c>
      <c r="L171">
        <f>IF($O171="","",INDEX(Master!$K$2:$K$1001,$O171))</f>
      </c>
      <c r="M171">
        <f>IF($O171="","",INDEX(Master!$L$2:$L$1001,$O171))</f>
      </c>
      <c r="O171">
        <f t="array" ref="O171">IFERROR(SMALL(IF(Master!$A$2:$A$1001="AR ISPAT",ROW(Master!$A$2:$A$1001)-ROW(Master!$A$2)+1),167),"")</f>
      </c>
      <c r="P171">
        <f t="shared" si="5"/>
      </c>
    </row>
    <row r="172" spans="1:16" x14ac:dyDescent="0.25">
      <c r="A172">
        <f>IF($O172="","",INDEX(Master!$D$2:$D$1001,$O172))</f>
      </c>
      <c r="B172" s="166">
        <f>IF($O172="","",INDEX(Master!$B$2:$B$1001,$O172))</f>
      </c>
      <c r="C172">
        <f>IF($O172="","",INDEX(Master!$C$2:$C$1001,$O172))</f>
      </c>
      <c r="D172">
        <f>IF($O172="","",INDEX(Master!$A$2:$A$1001,$O172))</f>
      </c>
      <c r="E172">
        <f>IF($O172="","",INDEX(Master!$E$2:$E$1001,$O172))</f>
      </c>
      <c r="F172">
        <f>IF($O172="","",INDEX(Master!$F$2:$F$1001,$O172))</f>
      </c>
      <c r="G172">
        <f>IF($O172="","",INDEX(Master!$G$2:$G$1001,$O172))</f>
      </c>
      <c r="H172">
        <f>IF($O172="","",INDEX(Master!$H$2:$H$1001,$O172))</f>
      </c>
      <c r="I172">
        <f>IF($O172="","",INDEX(Master!$I$2:$I$1001,$O172))</f>
      </c>
      <c r="J172">
        <f>IF($O172="","",INDEX(Master!$J$2:$J$1001,$O172))</f>
      </c>
      <c r="K172">
        <f t="shared" si="4"/>
      </c>
      <c r="L172">
        <f>IF($O172="","",INDEX(Master!$K$2:$K$1001,$O172))</f>
      </c>
      <c r="M172">
        <f>IF($O172="","",INDEX(Master!$L$2:$L$1001,$O172))</f>
      </c>
      <c r="O172">
        <f t="array" ref="O172">IFERROR(SMALL(IF(Master!$A$2:$A$1001="AR ISPAT",ROW(Master!$A$2:$A$1001)-ROW(Master!$A$2)+1),168),"")</f>
      </c>
      <c r="P172">
        <f t="shared" si="5"/>
      </c>
    </row>
    <row r="173" spans="1:16" x14ac:dyDescent="0.25">
      <c r="A173">
        <f>IF($O173="","",INDEX(Master!$D$2:$D$1001,$O173))</f>
      </c>
      <c r="B173" s="166">
        <f>IF($O173="","",INDEX(Master!$B$2:$B$1001,$O173))</f>
      </c>
      <c r="C173">
        <f>IF($O173="","",INDEX(Master!$C$2:$C$1001,$O173))</f>
      </c>
      <c r="D173">
        <f>IF($O173="","",INDEX(Master!$A$2:$A$1001,$O173))</f>
      </c>
      <c r="E173">
        <f>IF($O173="","",INDEX(Master!$E$2:$E$1001,$O173))</f>
      </c>
      <c r="F173">
        <f>IF($O173="","",INDEX(Master!$F$2:$F$1001,$O173))</f>
      </c>
      <c r="G173">
        <f>IF($O173="","",INDEX(Master!$G$2:$G$1001,$O173))</f>
      </c>
      <c r="H173">
        <f>IF($O173="","",INDEX(Master!$H$2:$H$1001,$O173))</f>
      </c>
      <c r="I173">
        <f>IF($O173="","",INDEX(Master!$I$2:$I$1001,$O173))</f>
      </c>
      <c r="J173">
        <f>IF($O173="","",INDEX(Master!$J$2:$J$1001,$O173))</f>
      </c>
      <c r="K173">
        <f t="shared" si="4"/>
      </c>
      <c r="L173">
        <f>IF($O173="","",INDEX(Master!$K$2:$K$1001,$O173))</f>
      </c>
      <c r="M173">
        <f>IF($O173="","",INDEX(Master!$L$2:$L$1001,$O173))</f>
      </c>
      <c r="O173">
        <f t="array" ref="O173">IFERROR(SMALL(IF(Master!$A$2:$A$1001="AR ISPAT",ROW(Master!$A$2:$A$1001)-ROW(Master!$A$2)+1),169),"")</f>
      </c>
      <c r="P173">
        <f t="shared" si="5"/>
      </c>
    </row>
    <row r="174" spans="1:16" x14ac:dyDescent="0.25">
      <c r="A174">
        <f>IF($O174="","",INDEX(Master!$D$2:$D$1001,$O174))</f>
      </c>
      <c r="B174" s="166">
        <f>IF($O174="","",INDEX(Master!$B$2:$B$1001,$O174))</f>
      </c>
      <c r="C174">
        <f>IF($O174="","",INDEX(Master!$C$2:$C$1001,$O174))</f>
      </c>
      <c r="D174">
        <f>IF($O174="","",INDEX(Master!$A$2:$A$1001,$O174))</f>
      </c>
      <c r="E174">
        <f>IF($O174="","",INDEX(Master!$E$2:$E$1001,$O174))</f>
      </c>
      <c r="F174">
        <f>IF($O174="","",INDEX(Master!$F$2:$F$1001,$O174))</f>
      </c>
      <c r="G174">
        <f>IF($O174="","",INDEX(Master!$G$2:$G$1001,$O174))</f>
      </c>
      <c r="H174">
        <f>IF($O174="","",INDEX(Master!$H$2:$H$1001,$O174))</f>
      </c>
      <c r="I174">
        <f>IF($O174="","",INDEX(Master!$I$2:$I$1001,$O174))</f>
      </c>
      <c r="J174">
        <f>IF($O174="","",INDEX(Master!$J$2:$J$1001,$O174))</f>
      </c>
      <c r="K174">
        <f t="shared" si="4"/>
      </c>
      <c r="L174">
        <f>IF($O174="","",INDEX(Master!$K$2:$K$1001,$O174))</f>
      </c>
      <c r="M174">
        <f>IF($O174="","",INDEX(Master!$L$2:$L$1001,$O174))</f>
      </c>
      <c r="O174">
        <f t="array" ref="O174">IFERROR(SMALL(IF(Master!$A$2:$A$1001="AR ISPAT",ROW(Master!$A$2:$A$1001)-ROW(Master!$A$2)+1),170),"")</f>
      </c>
      <c r="P174">
        <f t="shared" si="5"/>
      </c>
    </row>
    <row r="175" spans="1:16" x14ac:dyDescent="0.25">
      <c r="A175">
        <f>IF($O175="","",INDEX(Master!$D$2:$D$1001,$O175))</f>
      </c>
      <c r="B175" s="166">
        <f>IF($O175="","",INDEX(Master!$B$2:$B$1001,$O175))</f>
      </c>
      <c r="C175">
        <f>IF($O175="","",INDEX(Master!$C$2:$C$1001,$O175))</f>
      </c>
      <c r="D175">
        <f>IF($O175="","",INDEX(Master!$A$2:$A$1001,$O175))</f>
      </c>
      <c r="E175">
        <f>IF($O175="","",INDEX(Master!$E$2:$E$1001,$O175))</f>
      </c>
      <c r="F175">
        <f>IF($O175="","",INDEX(Master!$F$2:$F$1001,$O175))</f>
      </c>
      <c r="G175">
        <f>IF($O175="","",INDEX(Master!$G$2:$G$1001,$O175))</f>
      </c>
      <c r="H175">
        <f>IF($O175="","",INDEX(Master!$H$2:$H$1001,$O175))</f>
      </c>
      <c r="I175">
        <f>IF($O175="","",INDEX(Master!$I$2:$I$1001,$O175))</f>
      </c>
      <c r="J175">
        <f>IF($O175="","",INDEX(Master!$J$2:$J$1001,$O175))</f>
      </c>
      <c r="K175">
        <f t="shared" si="4"/>
      </c>
      <c r="L175">
        <f>IF($O175="","",INDEX(Master!$K$2:$K$1001,$O175))</f>
      </c>
      <c r="M175">
        <f>IF($O175="","",INDEX(Master!$L$2:$L$1001,$O175))</f>
      </c>
      <c r="O175">
        <f t="array" ref="O175">IFERROR(SMALL(IF(Master!$A$2:$A$1001="AR ISPAT",ROW(Master!$A$2:$A$1001)-ROW(Master!$A$2)+1),171),"")</f>
      </c>
      <c r="P175">
        <f t="shared" si="5"/>
      </c>
    </row>
    <row r="176" spans="1:16" x14ac:dyDescent="0.25">
      <c r="A176">
        <f>IF($O176="","",INDEX(Master!$D$2:$D$1001,$O176))</f>
      </c>
      <c r="B176" s="166">
        <f>IF($O176="","",INDEX(Master!$B$2:$B$1001,$O176))</f>
      </c>
      <c r="C176">
        <f>IF($O176="","",INDEX(Master!$C$2:$C$1001,$O176))</f>
      </c>
      <c r="D176">
        <f>IF($O176="","",INDEX(Master!$A$2:$A$1001,$O176))</f>
      </c>
      <c r="E176">
        <f>IF($O176="","",INDEX(Master!$E$2:$E$1001,$O176))</f>
      </c>
      <c r="F176">
        <f>IF($O176="","",INDEX(Master!$F$2:$F$1001,$O176))</f>
      </c>
      <c r="G176">
        <f>IF($O176="","",INDEX(Master!$G$2:$G$1001,$O176))</f>
      </c>
      <c r="H176">
        <f>IF($O176="","",INDEX(Master!$H$2:$H$1001,$O176))</f>
      </c>
      <c r="I176">
        <f>IF($O176="","",INDEX(Master!$I$2:$I$1001,$O176))</f>
      </c>
      <c r="J176">
        <f>IF($O176="","",INDEX(Master!$J$2:$J$1001,$O176))</f>
      </c>
      <c r="K176">
        <f t="shared" si="4"/>
      </c>
      <c r="L176">
        <f>IF($O176="","",INDEX(Master!$K$2:$K$1001,$O176))</f>
      </c>
      <c r="M176">
        <f>IF($O176="","",INDEX(Master!$L$2:$L$1001,$O176))</f>
      </c>
      <c r="O176">
        <f t="array" ref="O176">IFERROR(SMALL(IF(Master!$A$2:$A$1001="AR ISPAT",ROW(Master!$A$2:$A$1001)-ROW(Master!$A$2)+1),172),"")</f>
      </c>
      <c r="P176">
        <f t="shared" si="5"/>
      </c>
    </row>
    <row r="177" spans="1:16" x14ac:dyDescent="0.25">
      <c r="A177">
        <f>IF($O177="","",INDEX(Master!$D$2:$D$1001,$O177))</f>
      </c>
      <c r="B177" s="166">
        <f>IF($O177="","",INDEX(Master!$B$2:$B$1001,$O177))</f>
      </c>
      <c r="C177">
        <f>IF($O177="","",INDEX(Master!$C$2:$C$1001,$O177))</f>
      </c>
      <c r="D177">
        <f>IF($O177="","",INDEX(Master!$A$2:$A$1001,$O177))</f>
      </c>
      <c r="E177">
        <f>IF($O177="","",INDEX(Master!$E$2:$E$1001,$O177))</f>
      </c>
      <c r="F177">
        <f>IF($O177="","",INDEX(Master!$F$2:$F$1001,$O177))</f>
      </c>
      <c r="G177">
        <f>IF($O177="","",INDEX(Master!$G$2:$G$1001,$O177))</f>
      </c>
      <c r="H177">
        <f>IF($O177="","",INDEX(Master!$H$2:$H$1001,$O177))</f>
      </c>
      <c r="I177">
        <f>IF($O177="","",INDEX(Master!$I$2:$I$1001,$O177))</f>
      </c>
      <c r="J177">
        <f>IF($O177="","",INDEX(Master!$J$2:$J$1001,$O177))</f>
      </c>
      <c r="K177">
        <f t="shared" si="4"/>
      </c>
      <c r="L177">
        <f>IF($O177="","",INDEX(Master!$K$2:$K$1001,$O177))</f>
      </c>
      <c r="M177">
        <f>IF($O177="","",INDEX(Master!$L$2:$L$1001,$O177))</f>
      </c>
      <c r="O177">
        <f t="array" ref="O177">IFERROR(SMALL(IF(Master!$A$2:$A$1001="AR ISPAT",ROW(Master!$A$2:$A$1001)-ROW(Master!$A$2)+1),173),"")</f>
      </c>
      <c r="P177">
        <f t="shared" si="5"/>
      </c>
    </row>
    <row r="178" spans="1:16" x14ac:dyDescent="0.25">
      <c r="A178">
        <f>IF($O178="","",INDEX(Master!$D$2:$D$1001,$O178))</f>
      </c>
      <c r="B178" s="166">
        <f>IF($O178="","",INDEX(Master!$B$2:$B$1001,$O178))</f>
      </c>
      <c r="C178">
        <f>IF($O178="","",INDEX(Master!$C$2:$C$1001,$O178))</f>
      </c>
      <c r="D178">
        <f>IF($O178="","",INDEX(Master!$A$2:$A$1001,$O178))</f>
      </c>
      <c r="E178">
        <f>IF($O178="","",INDEX(Master!$E$2:$E$1001,$O178))</f>
      </c>
      <c r="F178">
        <f>IF($O178="","",INDEX(Master!$F$2:$F$1001,$O178))</f>
      </c>
      <c r="G178">
        <f>IF($O178="","",INDEX(Master!$G$2:$G$1001,$O178))</f>
      </c>
      <c r="H178">
        <f>IF($O178="","",INDEX(Master!$H$2:$H$1001,$O178))</f>
      </c>
      <c r="I178">
        <f>IF($O178="","",INDEX(Master!$I$2:$I$1001,$O178))</f>
      </c>
      <c r="J178">
        <f>IF($O178="","",INDEX(Master!$J$2:$J$1001,$O178))</f>
      </c>
      <c r="K178">
        <f t="shared" si="4"/>
      </c>
      <c r="L178">
        <f>IF($O178="","",INDEX(Master!$K$2:$K$1001,$O178))</f>
      </c>
      <c r="M178">
        <f>IF($O178="","",INDEX(Master!$L$2:$L$1001,$O178))</f>
      </c>
      <c r="O178">
        <f t="array" ref="O178">IFERROR(SMALL(IF(Master!$A$2:$A$1001="AR ISPAT",ROW(Master!$A$2:$A$1001)-ROW(Master!$A$2)+1),174),"")</f>
      </c>
      <c r="P178">
        <f t="shared" si="5"/>
      </c>
    </row>
    <row r="179" spans="1:16" x14ac:dyDescent="0.25">
      <c r="A179">
        <f>IF($O179="","",INDEX(Master!$D$2:$D$1001,$O179))</f>
      </c>
      <c r="B179" s="166">
        <f>IF($O179="","",INDEX(Master!$B$2:$B$1001,$O179))</f>
      </c>
      <c r="C179">
        <f>IF($O179="","",INDEX(Master!$C$2:$C$1001,$O179))</f>
      </c>
      <c r="D179">
        <f>IF($O179="","",INDEX(Master!$A$2:$A$1001,$O179))</f>
      </c>
      <c r="E179">
        <f>IF($O179="","",INDEX(Master!$E$2:$E$1001,$O179))</f>
      </c>
      <c r="F179">
        <f>IF($O179="","",INDEX(Master!$F$2:$F$1001,$O179))</f>
      </c>
      <c r="G179">
        <f>IF($O179="","",INDEX(Master!$G$2:$G$1001,$O179))</f>
      </c>
      <c r="H179">
        <f>IF($O179="","",INDEX(Master!$H$2:$H$1001,$O179))</f>
      </c>
      <c r="I179">
        <f>IF($O179="","",INDEX(Master!$I$2:$I$1001,$O179))</f>
      </c>
      <c r="J179">
        <f>IF($O179="","",INDEX(Master!$J$2:$J$1001,$O179))</f>
      </c>
      <c r="K179">
        <f t="shared" si="4"/>
      </c>
      <c r="L179">
        <f>IF($O179="","",INDEX(Master!$K$2:$K$1001,$O179))</f>
      </c>
      <c r="M179">
        <f>IF($O179="","",INDEX(Master!$L$2:$L$1001,$O179))</f>
      </c>
      <c r="O179">
        <f t="array" ref="O179">IFERROR(SMALL(IF(Master!$A$2:$A$1001="AR ISPAT",ROW(Master!$A$2:$A$1001)-ROW(Master!$A$2)+1),175),"")</f>
      </c>
      <c r="P179">
        <f t="shared" si="5"/>
      </c>
    </row>
    <row r="180" spans="1:16" x14ac:dyDescent="0.25">
      <c r="A180">
        <f>IF($O180="","",INDEX(Master!$D$2:$D$1001,$O180))</f>
      </c>
      <c r="B180" s="166">
        <f>IF($O180="","",INDEX(Master!$B$2:$B$1001,$O180))</f>
      </c>
      <c r="C180">
        <f>IF($O180="","",INDEX(Master!$C$2:$C$1001,$O180))</f>
      </c>
      <c r="D180">
        <f>IF($O180="","",INDEX(Master!$A$2:$A$1001,$O180))</f>
      </c>
      <c r="E180">
        <f>IF($O180="","",INDEX(Master!$E$2:$E$1001,$O180))</f>
      </c>
      <c r="F180">
        <f>IF($O180="","",INDEX(Master!$F$2:$F$1001,$O180))</f>
      </c>
      <c r="G180">
        <f>IF($O180="","",INDEX(Master!$G$2:$G$1001,$O180))</f>
      </c>
      <c r="H180">
        <f>IF($O180="","",INDEX(Master!$H$2:$H$1001,$O180))</f>
      </c>
      <c r="I180">
        <f>IF($O180="","",INDEX(Master!$I$2:$I$1001,$O180))</f>
      </c>
      <c r="J180">
        <f>IF($O180="","",INDEX(Master!$J$2:$J$1001,$O180))</f>
      </c>
      <c r="K180">
        <f t="shared" si="4"/>
      </c>
      <c r="L180">
        <f>IF($O180="","",INDEX(Master!$K$2:$K$1001,$O180))</f>
      </c>
      <c r="M180">
        <f>IF($O180="","",INDEX(Master!$L$2:$L$1001,$O180))</f>
      </c>
      <c r="O180">
        <f t="array" ref="O180">IFERROR(SMALL(IF(Master!$A$2:$A$1001="AR ISPAT",ROW(Master!$A$2:$A$1001)-ROW(Master!$A$2)+1),176),"")</f>
      </c>
      <c r="P180">
        <f t="shared" si="5"/>
      </c>
    </row>
    <row r="181" spans="1:16" x14ac:dyDescent="0.25">
      <c r="A181">
        <f>IF($O181="","",INDEX(Master!$D$2:$D$1001,$O181))</f>
      </c>
      <c r="B181" s="166">
        <f>IF($O181="","",INDEX(Master!$B$2:$B$1001,$O181))</f>
      </c>
      <c r="C181">
        <f>IF($O181="","",INDEX(Master!$C$2:$C$1001,$O181))</f>
      </c>
      <c r="D181">
        <f>IF($O181="","",INDEX(Master!$A$2:$A$1001,$O181))</f>
      </c>
      <c r="E181">
        <f>IF($O181="","",INDEX(Master!$E$2:$E$1001,$O181))</f>
      </c>
      <c r="F181">
        <f>IF($O181="","",INDEX(Master!$F$2:$F$1001,$O181))</f>
      </c>
      <c r="G181">
        <f>IF($O181="","",INDEX(Master!$G$2:$G$1001,$O181))</f>
      </c>
      <c r="H181">
        <f>IF($O181="","",INDEX(Master!$H$2:$H$1001,$O181))</f>
      </c>
      <c r="I181">
        <f>IF($O181="","",INDEX(Master!$I$2:$I$1001,$O181))</f>
      </c>
      <c r="J181">
        <f>IF($O181="","",INDEX(Master!$J$2:$J$1001,$O181))</f>
      </c>
      <c r="K181">
        <f t="shared" si="4"/>
      </c>
      <c r="L181">
        <f>IF($O181="","",INDEX(Master!$K$2:$K$1001,$O181))</f>
      </c>
      <c r="M181">
        <f>IF($O181="","",INDEX(Master!$L$2:$L$1001,$O181))</f>
      </c>
      <c r="O181">
        <f t="array" ref="O181">IFERROR(SMALL(IF(Master!$A$2:$A$1001="AR ISPAT",ROW(Master!$A$2:$A$1001)-ROW(Master!$A$2)+1),177),"")</f>
      </c>
      <c r="P181">
        <f t="shared" si="5"/>
      </c>
    </row>
    <row r="182" spans="1:16" x14ac:dyDescent="0.25">
      <c r="A182">
        <f>IF($O182="","",INDEX(Master!$D$2:$D$1001,$O182))</f>
      </c>
      <c r="B182" s="166">
        <f>IF($O182="","",INDEX(Master!$B$2:$B$1001,$O182))</f>
      </c>
      <c r="C182">
        <f>IF($O182="","",INDEX(Master!$C$2:$C$1001,$O182))</f>
      </c>
      <c r="D182">
        <f>IF($O182="","",INDEX(Master!$A$2:$A$1001,$O182))</f>
      </c>
      <c r="E182">
        <f>IF($O182="","",INDEX(Master!$E$2:$E$1001,$O182))</f>
      </c>
      <c r="F182">
        <f>IF($O182="","",INDEX(Master!$F$2:$F$1001,$O182))</f>
      </c>
      <c r="G182">
        <f>IF($O182="","",INDEX(Master!$G$2:$G$1001,$O182))</f>
      </c>
      <c r="H182">
        <f>IF($O182="","",INDEX(Master!$H$2:$H$1001,$O182))</f>
      </c>
      <c r="I182">
        <f>IF($O182="","",INDEX(Master!$I$2:$I$1001,$O182))</f>
      </c>
      <c r="J182">
        <f>IF($O182="","",INDEX(Master!$J$2:$J$1001,$O182))</f>
      </c>
      <c r="K182">
        <f t="shared" si="4"/>
      </c>
      <c r="L182">
        <f>IF($O182="","",INDEX(Master!$K$2:$K$1001,$O182))</f>
      </c>
      <c r="M182">
        <f>IF($O182="","",INDEX(Master!$L$2:$L$1001,$O182))</f>
      </c>
      <c r="O182">
        <f t="array" ref="O182">IFERROR(SMALL(IF(Master!$A$2:$A$1001="AR ISPAT",ROW(Master!$A$2:$A$1001)-ROW(Master!$A$2)+1),178),"")</f>
      </c>
      <c r="P182">
        <f t="shared" si="5"/>
      </c>
    </row>
    <row r="183" spans="1:16" x14ac:dyDescent="0.25">
      <c r="A183">
        <f>IF($O183="","",INDEX(Master!$D$2:$D$1001,$O183))</f>
      </c>
      <c r="B183" s="166">
        <f>IF($O183="","",INDEX(Master!$B$2:$B$1001,$O183))</f>
      </c>
      <c r="C183">
        <f>IF($O183="","",INDEX(Master!$C$2:$C$1001,$O183))</f>
      </c>
      <c r="D183">
        <f>IF($O183="","",INDEX(Master!$A$2:$A$1001,$O183))</f>
      </c>
      <c r="E183">
        <f>IF($O183="","",INDEX(Master!$E$2:$E$1001,$O183))</f>
      </c>
      <c r="F183">
        <f>IF($O183="","",INDEX(Master!$F$2:$F$1001,$O183))</f>
      </c>
      <c r="G183">
        <f>IF($O183="","",INDEX(Master!$G$2:$G$1001,$O183))</f>
      </c>
      <c r="H183">
        <f>IF($O183="","",INDEX(Master!$H$2:$H$1001,$O183))</f>
      </c>
      <c r="I183">
        <f>IF($O183="","",INDEX(Master!$I$2:$I$1001,$O183))</f>
      </c>
      <c r="J183">
        <f>IF($O183="","",INDEX(Master!$J$2:$J$1001,$O183))</f>
      </c>
      <c r="K183">
        <f t="shared" si="4"/>
      </c>
      <c r="L183">
        <f>IF($O183="","",INDEX(Master!$K$2:$K$1001,$O183))</f>
      </c>
      <c r="M183">
        <f>IF($O183="","",INDEX(Master!$L$2:$L$1001,$O183))</f>
      </c>
      <c r="O183">
        <f t="array" ref="O183">IFERROR(SMALL(IF(Master!$A$2:$A$1001="AR ISPAT",ROW(Master!$A$2:$A$1001)-ROW(Master!$A$2)+1),179),"")</f>
      </c>
      <c r="P183">
        <f t="shared" si="5"/>
      </c>
    </row>
    <row r="184" spans="1:16" x14ac:dyDescent="0.25">
      <c r="A184">
        <f>IF($O184="","",INDEX(Master!$D$2:$D$1001,$O184))</f>
      </c>
      <c r="B184" s="166">
        <f>IF($O184="","",INDEX(Master!$B$2:$B$1001,$O184))</f>
      </c>
      <c r="C184">
        <f>IF($O184="","",INDEX(Master!$C$2:$C$1001,$O184))</f>
      </c>
      <c r="D184">
        <f>IF($O184="","",INDEX(Master!$A$2:$A$1001,$O184))</f>
      </c>
      <c r="E184">
        <f>IF($O184="","",INDEX(Master!$E$2:$E$1001,$O184))</f>
      </c>
      <c r="F184">
        <f>IF($O184="","",INDEX(Master!$F$2:$F$1001,$O184))</f>
      </c>
      <c r="G184">
        <f>IF($O184="","",INDEX(Master!$G$2:$G$1001,$O184))</f>
      </c>
      <c r="H184">
        <f>IF($O184="","",INDEX(Master!$H$2:$H$1001,$O184))</f>
      </c>
      <c r="I184">
        <f>IF($O184="","",INDEX(Master!$I$2:$I$1001,$O184))</f>
      </c>
      <c r="J184">
        <f>IF($O184="","",INDEX(Master!$J$2:$J$1001,$O184))</f>
      </c>
      <c r="K184">
        <f t="shared" si="4"/>
      </c>
      <c r="L184">
        <f>IF($O184="","",INDEX(Master!$K$2:$K$1001,$O184))</f>
      </c>
      <c r="M184">
        <f>IF($O184="","",INDEX(Master!$L$2:$L$1001,$O184))</f>
      </c>
      <c r="O184">
        <f t="array" ref="O184">IFERROR(SMALL(IF(Master!$A$2:$A$1001="AR ISPAT",ROW(Master!$A$2:$A$1001)-ROW(Master!$A$2)+1),180),"")</f>
      </c>
      <c r="P184">
        <f t="shared" si="5"/>
      </c>
    </row>
    <row r="185" spans="1:16" x14ac:dyDescent="0.25">
      <c r="A185">
        <f>IF($O185="","",INDEX(Master!$D$2:$D$1001,$O185))</f>
      </c>
      <c r="B185" s="166">
        <f>IF($O185="","",INDEX(Master!$B$2:$B$1001,$O185))</f>
      </c>
      <c r="C185">
        <f>IF($O185="","",INDEX(Master!$C$2:$C$1001,$O185))</f>
      </c>
      <c r="D185">
        <f>IF($O185="","",INDEX(Master!$A$2:$A$1001,$O185))</f>
      </c>
      <c r="E185">
        <f>IF($O185="","",INDEX(Master!$E$2:$E$1001,$O185))</f>
      </c>
      <c r="F185">
        <f>IF($O185="","",INDEX(Master!$F$2:$F$1001,$O185))</f>
      </c>
      <c r="G185">
        <f>IF($O185="","",INDEX(Master!$G$2:$G$1001,$O185))</f>
      </c>
      <c r="H185">
        <f>IF($O185="","",INDEX(Master!$H$2:$H$1001,$O185))</f>
      </c>
      <c r="I185">
        <f>IF($O185="","",INDEX(Master!$I$2:$I$1001,$O185))</f>
      </c>
      <c r="J185">
        <f>IF($O185="","",INDEX(Master!$J$2:$J$1001,$O185))</f>
      </c>
      <c r="K185">
        <f t="shared" si="4"/>
      </c>
      <c r="L185">
        <f>IF($O185="","",INDEX(Master!$K$2:$K$1001,$O185))</f>
      </c>
      <c r="M185">
        <f>IF($O185="","",INDEX(Master!$L$2:$L$1001,$O185))</f>
      </c>
      <c r="O185">
        <f t="array" ref="O185">IFERROR(SMALL(IF(Master!$A$2:$A$1001="AR ISPAT",ROW(Master!$A$2:$A$1001)-ROW(Master!$A$2)+1),181),"")</f>
      </c>
      <c r="P185">
        <f t="shared" si="5"/>
      </c>
    </row>
    <row r="186" spans="1:16" x14ac:dyDescent="0.25">
      <c r="A186">
        <f>IF($O186="","",INDEX(Master!$D$2:$D$1001,$O186))</f>
      </c>
      <c r="B186" s="166">
        <f>IF($O186="","",INDEX(Master!$B$2:$B$1001,$O186))</f>
      </c>
      <c r="C186">
        <f>IF($O186="","",INDEX(Master!$C$2:$C$1001,$O186))</f>
      </c>
      <c r="D186">
        <f>IF($O186="","",INDEX(Master!$A$2:$A$1001,$O186))</f>
      </c>
      <c r="E186">
        <f>IF($O186="","",INDEX(Master!$E$2:$E$1001,$O186))</f>
      </c>
      <c r="F186">
        <f>IF($O186="","",INDEX(Master!$F$2:$F$1001,$O186))</f>
      </c>
      <c r="G186">
        <f>IF($O186="","",INDEX(Master!$G$2:$G$1001,$O186))</f>
      </c>
      <c r="H186">
        <f>IF($O186="","",INDEX(Master!$H$2:$H$1001,$O186))</f>
      </c>
      <c r="I186">
        <f>IF($O186="","",INDEX(Master!$I$2:$I$1001,$O186))</f>
      </c>
      <c r="J186">
        <f>IF($O186="","",INDEX(Master!$J$2:$J$1001,$O186))</f>
      </c>
      <c r="K186">
        <f t="shared" si="4"/>
      </c>
      <c r="L186">
        <f>IF($O186="","",INDEX(Master!$K$2:$K$1001,$O186))</f>
      </c>
      <c r="M186">
        <f>IF($O186="","",INDEX(Master!$L$2:$L$1001,$O186))</f>
      </c>
      <c r="O186">
        <f t="array" ref="O186">IFERROR(SMALL(IF(Master!$A$2:$A$1001="AR ISPAT",ROW(Master!$A$2:$A$1001)-ROW(Master!$A$2)+1),182),"")</f>
      </c>
      <c r="P186">
        <f t="shared" si="5"/>
      </c>
    </row>
    <row r="187" spans="1:16" x14ac:dyDescent="0.25">
      <c r="A187">
        <f>IF($O187="","",INDEX(Master!$D$2:$D$1001,$O187))</f>
      </c>
      <c r="B187" s="166">
        <f>IF($O187="","",INDEX(Master!$B$2:$B$1001,$O187))</f>
      </c>
      <c r="C187">
        <f>IF($O187="","",INDEX(Master!$C$2:$C$1001,$O187))</f>
      </c>
      <c r="D187">
        <f>IF($O187="","",INDEX(Master!$A$2:$A$1001,$O187))</f>
      </c>
      <c r="E187">
        <f>IF($O187="","",INDEX(Master!$E$2:$E$1001,$O187))</f>
      </c>
      <c r="F187">
        <f>IF($O187="","",INDEX(Master!$F$2:$F$1001,$O187))</f>
      </c>
      <c r="G187">
        <f>IF($O187="","",INDEX(Master!$G$2:$G$1001,$O187))</f>
      </c>
      <c r="H187">
        <f>IF($O187="","",INDEX(Master!$H$2:$H$1001,$O187))</f>
      </c>
      <c r="I187">
        <f>IF($O187="","",INDEX(Master!$I$2:$I$1001,$O187))</f>
      </c>
      <c r="J187">
        <f>IF($O187="","",INDEX(Master!$J$2:$J$1001,$O187))</f>
      </c>
      <c r="K187">
        <f t="shared" si="4"/>
      </c>
      <c r="L187">
        <f>IF($O187="","",INDEX(Master!$K$2:$K$1001,$O187))</f>
      </c>
      <c r="M187">
        <f>IF($O187="","",INDEX(Master!$L$2:$L$1001,$O187))</f>
      </c>
      <c r="O187">
        <f t="array" ref="O187">IFERROR(SMALL(IF(Master!$A$2:$A$1001="AR ISPAT",ROW(Master!$A$2:$A$1001)-ROW(Master!$A$2)+1),183),"")</f>
      </c>
      <c r="P187">
        <f t="shared" si="5"/>
      </c>
    </row>
    <row r="188" spans="1:16" x14ac:dyDescent="0.25">
      <c r="A188">
        <f>IF($O188="","",INDEX(Master!$D$2:$D$1001,$O188))</f>
      </c>
      <c r="B188" s="166">
        <f>IF($O188="","",INDEX(Master!$B$2:$B$1001,$O188))</f>
      </c>
      <c r="C188">
        <f>IF($O188="","",INDEX(Master!$C$2:$C$1001,$O188))</f>
      </c>
      <c r="D188">
        <f>IF($O188="","",INDEX(Master!$A$2:$A$1001,$O188))</f>
      </c>
      <c r="E188">
        <f>IF($O188="","",INDEX(Master!$E$2:$E$1001,$O188))</f>
      </c>
      <c r="F188">
        <f>IF($O188="","",INDEX(Master!$F$2:$F$1001,$O188))</f>
      </c>
      <c r="G188">
        <f>IF($O188="","",INDEX(Master!$G$2:$G$1001,$O188))</f>
      </c>
      <c r="H188">
        <f>IF($O188="","",INDEX(Master!$H$2:$H$1001,$O188))</f>
      </c>
      <c r="I188">
        <f>IF($O188="","",INDEX(Master!$I$2:$I$1001,$O188))</f>
      </c>
      <c r="J188">
        <f>IF($O188="","",INDEX(Master!$J$2:$J$1001,$O188))</f>
      </c>
      <c r="K188">
        <f t="shared" si="4"/>
      </c>
      <c r="L188">
        <f>IF($O188="","",INDEX(Master!$K$2:$K$1001,$O188))</f>
      </c>
      <c r="M188">
        <f>IF($O188="","",INDEX(Master!$L$2:$L$1001,$O188))</f>
      </c>
      <c r="O188">
        <f t="array" ref="O188">IFERROR(SMALL(IF(Master!$A$2:$A$1001="AR ISPAT",ROW(Master!$A$2:$A$1001)-ROW(Master!$A$2)+1),184),"")</f>
      </c>
      <c r="P188">
        <f t="shared" si="5"/>
      </c>
    </row>
    <row r="189" spans="1:16" x14ac:dyDescent="0.25">
      <c r="A189">
        <f>IF($O189="","",INDEX(Master!$D$2:$D$1001,$O189))</f>
      </c>
      <c r="B189" s="166">
        <f>IF($O189="","",INDEX(Master!$B$2:$B$1001,$O189))</f>
      </c>
      <c r="C189">
        <f>IF($O189="","",INDEX(Master!$C$2:$C$1001,$O189))</f>
      </c>
      <c r="D189">
        <f>IF($O189="","",INDEX(Master!$A$2:$A$1001,$O189))</f>
      </c>
      <c r="E189">
        <f>IF($O189="","",INDEX(Master!$E$2:$E$1001,$O189))</f>
      </c>
      <c r="F189">
        <f>IF($O189="","",INDEX(Master!$F$2:$F$1001,$O189))</f>
      </c>
      <c r="G189">
        <f>IF($O189="","",INDEX(Master!$G$2:$G$1001,$O189))</f>
      </c>
      <c r="H189">
        <f>IF($O189="","",INDEX(Master!$H$2:$H$1001,$O189))</f>
      </c>
      <c r="I189">
        <f>IF($O189="","",INDEX(Master!$I$2:$I$1001,$O189))</f>
      </c>
      <c r="J189">
        <f>IF($O189="","",INDEX(Master!$J$2:$J$1001,$O189))</f>
      </c>
      <c r="K189">
        <f t="shared" si="4"/>
      </c>
      <c r="L189">
        <f>IF($O189="","",INDEX(Master!$K$2:$K$1001,$O189))</f>
      </c>
      <c r="M189">
        <f>IF($O189="","",INDEX(Master!$L$2:$L$1001,$O189))</f>
      </c>
      <c r="O189">
        <f t="array" ref="O189">IFERROR(SMALL(IF(Master!$A$2:$A$1001="AR ISPAT",ROW(Master!$A$2:$A$1001)-ROW(Master!$A$2)+1),185),"")</f>
      </c>
      <c r="P189">
        <f t="shared" si="5"/>
      </c>
    </row>
    <row r="190" spans="1:16" x14ac:dyDescent="0.25">
      <c r="A190">
        <f>IF($O190="","",INDEX(Master!$D$2:$D$1001,$O190))</f>
      </c>
      <c r="B190" s="166">
        <f>IF($O190="","",INDEX(Master!$B$2:$B$1001,$O190))</f>
      </c>
      <c r="C190">
        <f>IF($O190="","",INDEX(Master!$C$2:$C$1001,$O190))</f>
      </c>
      <c r="D190">
        <f>IF($O190="","",INDEX(Master!$A$2:$A$1001,$O190))</f>
      </c>
      <c r="E190">
        <f>IF($O190="","",INDEX(Master!$E$2:$E$1001,$O190))</f>
      </c>
      <c r="F190">
        <f>IF($O190="","",INDEX(Master!$F$2:$F$1001,$O190))</f>
      </c>
      <c r="G190">
        <f>IF($O190="","",INDEX(Master!$G$2:$G$1001,$O190))</f>
      </c>
      <c r="H190">
        <f>IF($O190="","",INDEX(Master!$H$2:$H$1001,$O190))</f>
      </c>
      <c r="I190">
        <f>IF($O190="","",INDEX(Master!$I$2:$I$1001,$O190))</f>
      </c>
      <c r="J190">
        <f>IF($O190="","",INDEX(Master!$J$2:$J$1001,$O190))</f>
      </c>
      <c r="K190">
        <f t="shared" si="4"/>
      </c>
      <c r="L190">
        <f>IF($O190="","",INDEX(Master!$K$2:$K$1001,$O190))</f>
      </c>
      <c r="M190">
        <f>IF($O190="","",INDEX(Master!$L$2:$L$1001,$O190))</f>
      </c>
      <c r="O190">
        <f t="array" ref="O190">IFERROR(SMALL(IF(Master!$A$2:$A$1001="AR ISPAT",ROW(Master!$A$2:$A$1001)-ROW(Master!$A$2)+1),186),"")</f>
      </c>
      <c r="P190">
        <f t="shared" si="5"/>
      </c>
    </row>
    <row r="191" spans="1:16" x14ac:dyDescent="0.25">
      <c r="A191">
        <f>IF($O191="","",INDEX(Master!$D$2:$D$1001,$O191))</f>
      </c>
      <c r="B191" s="166">
        <f>IF($O191="","",INDEX(Master!$B$2:$B$1001,$O191))</f>
      </c>
      <c r="C191">
        <f>IF($O191="","",INDEX(Master!$C$2:$C$1001,$O191))</f>
      </c>
      <c r="D191">
        <f>IF($O191="","",INDEX(Master!$A$2:$A$1001,$O191))</f>
      </c>
      <c r="E191">
        <f>IF($O191="","",INDEX(Master!$E$2:$E$1001,$O191))</f>
      </c>
      <c r="F191">
        <f>IF($O191="","",INDEX(Master!$F$2:$F$1001,$O191))</f>
      </c>
      <c r="G191">
        <f>IF($O191="","",INDEX(Master!$G$2:$G$1001,$O191))</f>
      </c>
      <c r="H191">
        <f>IF($O191="","",INDEX(Master!$H$2:$H$1001,$O191))</f>
      </c>
      <c r="I191">
        <f>IF($O191="","",INDEX(Master!$I$2:$I$1001,$O191))</f>
      </c>
      <c r="J191">
        <f>IF($O191="","",INDEX(Master!$J$2:$J$1001,$O191))</f>
      </c>
      <c r="K191">
        <f t="shared" si="4"/>
      </c>
      <c r="L191">
        <f>IF($O191="","",INDEX(Master!$K$2:$K$1001,$O191))</f>
      </c>
      <c r="M191">
        <f>IF($O191="","",INDEX(Master!$L$2:$L$1001,$O191))</f>
      </c>
      <c r="O191">
        <f t="array" ref="O191">IFERROR(SMALL(IF(Master!$A$2:$A$1001="AR ISPAT",ROW(Master!$A$2:$A$1001)-ROW(Master!$A$2)+1),187),"")</f>
      </c>
      <c r="P191">
        <f t="shared" si="5"/>
      </c>
    </row>
    <row r="192" spans="1:16" x14ac:dyDescent="0.25">
      <c r="A192">
        <f>IF($O192="","",INDEX(Master!$D$2:$D$1001,$O192))</f>
      </c>
      <c r="B192" s="166">
        <f>IF($O192="","",INDEX(Master!$B$2:$B$1001,$O192))</f>
      </c>
      <c r="C192">
        <f>IF($O192="","",INDEX(Master!$C$2:$C$1001,$O192))</f>
      </c>
      <c r="D192">
        <f>IF($O192="","",INDEX(Master!$A$2:$A$1001,$O192))</f>
      </c>
      <c r="E192">
        <f>IF($O192="","",INDEX(Master!$E$2:$E$1001,$O192))</f>
      </c>
      <c r="F192">
        <f>IF($O192="","",INDEX(Master!$F$2:$F$1001,$O192))</f>
      </c>
      <c r="G192">
        <f>IF($O192="","",INDEX(Master!$G$2:$G$1001,$O192))</f>
      </c>
      <c r="H192">
        <f>IF($O192="","",INDEX(Master!$H$2:$H$1001,$O192))</f>
      </c>
      <c r="I192">
        <f>IF($O192="","",INDEX(Master!$I$2:$I$1001,$O192))</f>
      </c>
      <c r="J192">
        <f>IF($O192="","",INDEX(Master!$J$2:$J$1001,$O192))</f>
      </c>
      <c r="K192">
        <f t="shared" si="4"/>
      </c>
      <c r="L192">
        <f>IF($O192="","",INDEX(Master!$K$2:$K$1001,$O192))</f>
      </c>
      <c r="M192">
        <f>IF($O192="","",INDEX(Master!$L$2:$L$1001,$O192))</f>
      </c>
      <c r="O192">
        <f t="array" ref="O192">IFERROR(SMALL(IF(Master!$A$2:$A$1001="AR ISPAT",ROW(Master!$A$2:$A$1001)-ROW(Master!$A$2)+1),188),"")</f>
      </c>
      <c r="P192">
        <f t="shared" si="5"/>
      </c>
    </row>
    <row r="193" spans="1:16" x14ac:dyDescent="0.25">
      <c r="A193">
        <f>IF($O193="","",INDEX(Master!$D$2:$D$1001,$O193))</f>
      </c>
      <c r="B193" s="166">
        <f>IF($O193="","",INDEX(Master!$B$2:$B$1001,$O193))</f>
      </c>
      <c r="C193">
        <f>IF($O193="","",INDEX(Master!$C$2:$C$1001,$O193))</f>
      </c>
      <c r="D193">
        <f>IF($O193="","",INDEX(Master!$A$2:$A$1001,$O193))</f>
      </c>
      <c r="E193">
        <f>IF($O193="","",INDEX(Master!$E$2:$E$1001,$O193))</f>
      </c>
      <c r="F193">
        <f>IF($O193="","",INDEX(Master!$F$2:$F$1001,$O193))</f>
      </c>
      <c r="G193">
        <f>IF($O193="","",INDEX(Master!$G$2:$G$1001,$O193))</f>
      </c>
      <c r="H193">
        <f>IF($O193="","",INDEX(Master!$H$2:$H$1001,$O193))</f>
      </c>
      <c r="I193">
        <f>IF($O193="","",INDEX(Master!$I$2:$I$1001,$O193))</f>
      </c>
      <c r="J193">
        <f>IF($O193="","",INDEX(Master!$J$2:$J$1001,$O193))</f>
      </c>
      <c r="K193">
        <f t="shared" si="4"/>
      </c>
      <c r="L193">
        <f>IF($O193="","",INDEX(Master!$K$2:$K$1001,$O193))</f>
      </c>
      <c r="M193">
        <f>IF($O193="","",INDEX(Master!$L$2:$L$1001,$O193))</f>
      </c>
      <c r="O193">
        <f t="array" ref="O193">IFERROR(SMALL(IF(Master!$A$2:$A$1001="AR ISPAT",ROW(Master!$A$2:$A$1001)-ROW(Master!$A$2)+1),189),"")</f>
      </c>
      <c r="P193">
        <f t="shared" si="5"/>
      </c>
    </row>
    <row r="194" spans="1:16" x14ac:dyDescent="0.25">
      <c r="A194">
        <f>IF($O194="","",INDEX(Master!$D$2:$D$1001,$O194))</f>
      </c>
      <c r="B194" s="166">
        <f>IF($O194="","",INDEX(Master!$B$2:$B$1001,$O194))</f>
      </c>
      <c r="C194">
        <f>IF($O194="","",INDEX(Master!$C$2:$C$1001,$O194))</f>
      </c>
      <c r="D194">
        <f>IF($O194="","",INDEX(Master!$A$2:$A$1001,$O194))</f>
      </c>
      <c r="E194">
        <f>IF($O194="","",INDEX(Master!$E$2:$E$1001,$O194))</f>
      </c>
      <c r="F194">
        <f>IF($O194="","",INDEX(Master!$F$2:$F$1001,$O194))</f>
      </c>
      <c r="G194">
        <f>IF($O194="","",INDEX(Master!$G$2:$G$1001,$O194))</f>
      </c>
      <c r="H194">
        <f>IF($O194="","",INDEX(Master!$H$2:$H$1001,$O194))</f>
      </c>
      <c r="I194">
        <f>IF($O194="","",INDEX(Master!$I$2:$I$1001,$O194))</f>
      </c>
      <c r="J194">
        <f>IF($O194="","",INDEX(Master!$J$2:$J$1001,$O194))</f>
      </c>
      <c r="K194">
        <f t="shared" si="4"/>
      </c>
      <c r="L194">
        <f>IF($O194="","",INDEX(Master!$K$2:$K$1001,$O194))</f>
      </c>
      <c r="M194">
        <f>IF($O194="","",INDEX(Master!$L$2:$L$1001,$O194))</f>
      </c>
      <c r="O194">
        <f t="array" ref="O194">IFERROR(SMALL(IF(Master!$A$2:$A$1001="AR ISPAT",ROW(Master!$A$2:$A$1001)-ROW(Master!$A$2)+1),190),"")</f>
      </c>
      <c r="P194">
        <f t="shared" si="5"/>
      </c>
    </row>
    <row r="195" spans="1:16" x14ac:dyDescent="0.25">
      <c r="A195">
        <f>IF($O195="","",INDEX(Master!$D$2:$D$1001,$O195))</f>
      </c>
      <c r="B195" s="166">
        <f>IF($O195="","",INDEX(Master!$B$2:$B$1001,$O195))</f>
      </c>
      <c r="C195">
        <f>IF($O195="","",INDEX(Master!$C$2:$C$1001,$O195))</f>
      </c>
      <c r="D195">
        <f>IF($O195="","",INDEX(Master!$A$2:$A$1001,$O195))</f>
      </c>
      <c r="E195">
        <f>IF($O195="","",INDEX(Master!$E$2:$E$1001,$O195))</f>
      </c>
      <c r="F195">
        <f>IF($O195="","",INDEX(Master!$F$2:$F$1001,$O195))</f>
      </c>
      <c r="G195">
        <f>IF($O195="","",INDEX(Master!$G$2:$G$1001,$O195))</f>
      </c>
      <c r="H195">
        <f>IF($O195="","",INDEX(Master!$H$2:$H$1001,$O195))</f>
      </c>
      <c r="I195">
        <f>IF($O195="","",INDEX(Master!$I$2:$I$1001,$O195))</f>
      </c>
      <c r="J195">
        <f>IF($O195="","",INDEX(Master!$J$2:$J$1001,$O195))</f>
      </c>
      <c r="K195">
        <f t="shared" si="4"/>
      </c>
      <c r="L195">
        <f>IF($O195="","",INDEX(Master!$K$2:$K$1001,$O195))</f>
      </c>
      <c r="M195">
        <f>IF($O195="","",INDEX(Master!$L$2:$L$1001,$O195))</f>
      </c>
      <c r="O195">
        <f t="array" ref="O195">IFERROR(SMALL(IF(Master!$A$2:$A$1001="AR ISPAT",ROW(Master!$A$2:$A$1001)-ROW(Master!$A$2)+1),191),"")</f>
      </c>
      <c r="P195">
        <f t="shared" si="5"/>
      </c>
    </row>
    <row r="196" spans="1:16" x14ac:dyDescent="0.25">
      <c r="A196">
        <f>IF($O196="","",INDEX(Master!$D$2:$D$1001,$O196))</f>
      </c>
      <c r="B196" s="166">
        <f>IF($O196="","",INDEX(Master!$B$2:$B$1001,$O196))</f>
      </c>
      <c r="C196">
        <f>IF($O196="","",INDEX(Master!$C$2:$C$1001,$O196))</f>
      </c>
      <c r="D196">
        <f>IF($O196="","",INDEX(Master!$A$2:$A$1001,$O196))</f>
      </c>
      <c r="E196">
        <f>IF($O196="","",INDEX(Master!$E$2:$E$1001,$O196))</f>
      </c>
      <c r="F196">
        <f>IF($O196="","",INDEX(Master!$F$2:$F$1001,$O196))</f>
      </c>
      <c r="G196">
        <f>IF($O196="","",INDEX(Master!$G$2:$G$1001,$O196))</f>
      </c>
      <c r="H196">
        <f>IF($O196="","",INDEX(Master!$H$2:$H$1001,$O196))</f>
      </c>
      <c r="I196">
        <f>IF($O196="","",INDEX(Master!$I$2:$I$1001,$O196))</f>
      </c>
      <c r="J196">
        <f>IF($O196="","",INDEX(Master!$J$2:$J$1001,$O196))</f>
      </c>
      <c r="K196">
        <f t="shared" si="4"/>
      </c>
      <c r="L196">
        <f>IF($O196="","",INDEX(Master!$K$2:$K$1001,$O196))</f>
      </c>
      <c r="M196">
        <f>IF($O196="","",INDEX(Master!$L$2:$L$1001,$O196))</f>
      </c>
      <c r="O196">
        <f t="array" ref="O196">IFERROR(SMALL(IF(Master!$A$2:$A$1001="AR ISPAT",ROW(Master!$A$2:$A$1001)-ROW(Master!$A$2)+1),192),"")</f>
      </c>
      <c r="P196">
        <f t="shared" si="5"/>
      </c>
    </row>
    <row r="197" spans="1:16" x14ac:dyDescent="0.25">
      <c r="A197">
        <f>IF($O197="","",INDEX(Master!$D$2:$D$1001,$O197))</f>
      </c>
      <c r="B197" s="166">
        <f>IF($O197="","",INDEX(Master!$B$2:$B$1001,$O197))</f>
      </c>
      <c r="C197">
        <f>IF($O197="","",INDEX(Master!$C$2:$C$1001,$O197))</f>
      </c>
      <c r="D197">
        <f>IF($O197="","",INDEX(Master!$A$2:$A$1001,$O197))</f>
      </c>
      <c r="E197">
        <f>IF($O197="","",INDEX(Master!$E$2:$E$1001,$O197))</f>
      </c>
      <c r="F197">
        <f>IF($O197="","",INDEX(Master!$F$2:$F$1001,$O197))</f>
      </c>
      <c r="G197">
        <f>IF($O197="","",INDEX(Master!$G$2:$G$1001,$O197))</f>
      </c>
      <c r="H197">
        <f>IF($O197="","",INDEX(Master!$H$2:$H$1001,$O197))</f>
      </c>
      <c r="I197">
        <f>IF($O197="","",INDEX(Master!$I$2:$I$1001,$O197))</f>
      </c>
      <c r="J197">
        <f>IF($O197="","",INDEX(Master!$J$2:$J$1001,$O197))</f>
      </c>
      <c r="K197">
        <f t="shared" ref="K197:K260" si="6">IF(OR($O197="",$F197="",$F197=0),"",$H197/$F197)</f>
      </c>
      <c r="L197">
        <f>IF($O197="","",INDEX(Master!$K$2:$K$1001,$O197))</f>
      </c>
      <c r="M197">
        <f>IF($O197="","",INDEX(Master!$L$2:$L$1001,$O197))</f>
      </c>
      <c r="O197">
        <f t="array" ref="O197">IFERROR(SMALL(IF(Master!$A$2:$A$1001="AR ISPAT",ROW(Master!$A$2:$A$1001)-ROW(Master!$A$2)+1),193),"")</f>
      </c>
      <c r="P197">
        <f t="shared" ref="P197:P260" si="7">IF($A197="",0,IF(OR(AND($E197&lt;&gt;"",OR($E197&gt;0.18)),AND($F197&lt;&gt;"",OR(($F197+$G197)&gt;0.15)),AND($G197&lt;&gt;"",OR(($F197+$G197)&gt;0.15)),AND($H197&lt;&gt;"",$H197&lt;0.45),AND($J197&lt;&gt;"",OR($J197&lt;0.1))),1,0))</f>
      </c>
    </row>
    <row r="198" spans="1:16" x14ac:dyDescent="0.25">
      <c r="A198">
        <f>IF($O198="","",INDEX(Master!$D$2:$D$1001,$O198))</f>
      </c>
      <c r="B198" s="166">
        <f>IF($O198="","",INDEX(Master!$B$2:$B$1001,$O198))</f>
      </c>
      <c r="C198">
        <f>IF($O198="","",INDEX(Master!$C$2:$C$1001,$O198))</f>
      </c>
      <c r="D198">
        <f>IF($O198="","",INDEX(Master!$A$2:$A$1001,$O198))</f>
      </c>
      <c r="E198">
        <f>IF($O198="","",INDEX(Master!$E$2:$E$1001,$O198))</f>
      </c>
      <c r="F198">
        <f>IF($O198="","",INDEX(Master!$F$2:$F$1001,$O198))</f>
      </c>
      <c r="G198">
        <f>IF($O198="","",INDEX(Master!$G$2:$G$1001,$O198))</f>
      </c>
      <c r="H198">
        <f>IF($O198="","",INDEX(Master!$H$2:$H$1001,$O198))</f>
      </c>
      <c r="I198">
        <f>IF($O198="","",INDEX(Master!$I$2:$I$1001,$O198))</f>
      </c>
      <c r="J198">
        <f>IF($O198="","",INDEX(Master!$J$2:$J$1001,$O198))</f>
      </c>
      <c r="K198">
        <f t="shared" si="6"/>
      </c>
      <c r="L198">
        <f>IF($O198="","",INDEX(Master!$K$2:$K$1001,$O198))</f>
      </c>
      <c r="M198">
        <f>IF($O198="","",INDEX(Master!$L$2:$L$1001,$O198))</f>
      </c>
      <c r="O198">
        <f t="array" ref="O198">IFERROR(SMALL(IF(Master!$A$2:$A$1001="AR ISPAT",ROW(Master!$A$2:$A$1001)-ROW(Master!$A$2)+1),194),"")</f>
      </c>
      <c r="P198">
        <f t="shared" si="7"/>
      </c>
    </row>
    <row r="199" spans="1:16" x14ac:dyDescent="0.25">
      <c r="A199">
        <f>IF($O199="","",INDEX(Master!$D$2:$D$1001,$O199))</f>
      </c>
      <c r="B199" s="166">
        <f>IF($O199="","",INDEX(Master!$B$2:$B$1001,$O199))</f>
      </c>
      <c r="C199">
        <f>IF($O199="","",INDEX(Master!$C$2:$C$1001,$O199))</f>
      </c>
      <c r="D199">
        <f>IF($O199="","",INDEX(Master!$A$2:$A$1001,$O199))</f>
      </c>
      <c r="E199">
        <f>IF($O199="","",INDEX(Master!$E$2:$E$1001,$O199))</f>
      </c>
      <c r="F199">
        <f>IF($O199="","",INDEX(Master!$F$2:$F$1001,$O199))</f>
      </c>
      <c r="G199">
        <f>IF($O199="","",INDEX(Master!$G$2:$G$1001,$O199))</f>
      </c>
      <c r="H199">
        <f>IF($O199="","",INDEX(Master!$H$2:$H$1001,$O199))</f>
      </c>
      <c r="I199">
        <f>IF($O199="","",INDEX(Master!$I$2:$I$1001,$O199))</f>
      </c>
      <c r="J199">
        <f>IF($O199="","",INDEX(Master!$J$2:$J$1001,$O199))</f>
      </c>
      <c r="K199">
        <f t="shared" si="6"/>
      </c>
      <c r="L199">
        <f>IF($O199="","",INDEX(Master!$K$2:$K$1001,$O199))</f>
      </c>
      <c r="M199">
        <f>IF($O199="","",INDEX(Master!$L$2:$L$1001,$O199))</f>
      </c>
      <c r="O199">
        <f t="array" ref="O199">IFERROR(SMALL(IF(Master!$A$2:$A$1001="AR ISPAT",ROW(Master!$A$2:$A$1001)-ROW(Master!$A$2)+1),195),"")</f>
      </c>
      <c r="P199">
        <f t="shared" si="7"/>
      </c>
    </row>
    <row r="200" spans="1:16" x14ac:dyDescent="0.25">
      <c r="A200">
        <f>IF($O200="","",INDEX(Master!$D$2:$D$1001,$O200))</f>
      </c>
      <c r="B200" s="166">
        <f>IF($O200="","",INDEX(Master!$B$2:$B$1001,$O200))</f>
      </c>
      <c r="C200">
        <f>IF($O200="","",INDEX(Master!$C$2:$C$1001,$O200))</f>
      </c>
      <c r="D200">
        <f>IF($O200="","",INDEX(Master!$A$2:$A$1001,$O200))</f>
      </c>
      <c r="E200">
        <f>IF($O200="","",INDEX(Master!$E$2:$E$1001,$O200))</f>
      </c>
      <c r="F200">
        <f>IF($O200="","",INDEX(Master!$F$2:$F$1001,$O200))</f>
      </c>
      <c r="G200">
        <f>IF($O200="","",INDEX(Master!$G$2:$G$1001,$O200))</f>
      </c>
      <c r="H200">
        <f>IF($O200="","",INDEX(Master!$H$2:$H$1001,$O200))</f>
      </c>
      <c r="I200">
        <f>IF($O200="","",INDEX(Master!$I$2:$I$1001,$O200))</f>
      </c>
      <c r="J200">
        <f>IF($O200="","",INDEX(Master!$J$2:$J$1001,$O200))</f>
      </c>
      <c r="K200">
        <f t="shared" si="6"/>
      </c>
      <c r="L200">
        <f>IF($O200="","",INDEX(Master!$K$2:$K$1001,$O200))</f>
      </c>
      <c r="M200">
        <f>IF($O200="","",INDEX(Master!$L$2:$L$1001,$O200))</f>
      </c>
      <c r="O200">
        <f t="array" ref="O200">IFERROR(SMALL(IF(Master!$A$2:$A$1001="AR ISPAT",ROW(Master!$A$2:$A$1001)-ROW(Master!$A$2)+1),196),"")</f>
      </c>
      <c r="P200">
        <f t="shared" si="7"/>
      </c>
    </row>
    <row r="201" spans="1:16" x14ac:dyDescent="0.25">
      <c r="A201">
        <f>IF($O201="","",INDEX(Master!$D$2:$D$1001,$O201))</f>
      </c>
      <c r="B201" s="166">
        <f>IF($O201="","",INDEX(Master!$B$2:$B$1001,$O201))</f>
      </c>
      <c r="C201">
        <f>IF($O201="","",INDEX(Master!$C$2:$C$1001,$O201))</f>
      </c>
      <c r="D201">
        <f>IF($O201="","",INDEX(Master!$A$2:$A$1001,$O201))</f>
      </c>
      <c r="E201">
        <f>IF($O201="","",INDEX(Master!$E$2:$E$1001,$O201))</f>
      </c>
      <c r="F201">
        <f>IF($O201="","",INDEX(Master!$F$2:$F$1001,$O201))</f>
      </c>
      <c r="G201">
        <f>IF($O201="","",INDEX(Master!$G$2:$G$1001,$O201))</f>
      </c>
      <c r="H201">
        <f>IF($O201="","",INDEX(Master!$H$2:$H$1001,$O201))</f>
      </c>
      <c r="I201">
        <f>IF($O201="","",INDEX(Master!$I$2:$I$1001,$O201))</f>
      </c>
      <c r="J201">
        <f>IF($O201="","",INDEX(Master!$J$2:$J$1001,$O201))</f>
      </c>
      <c r="K201">
        <f t="shared" si="6"/>
      </c>
      <c r="L201">
        <f>IF($O201="","",INDEX(Master!$K$2:$K$1001,$O201))</f>
      </c>
      <c r="M201">
        <f>IF($O201="","",INDEX(Master!$L$2:$L$1001,$O201))</f>
      </c>
      <c r="O201">
        <f t="array" ref="O201">IFERROR(SMALL(IF(Master!$A$2:$A$1001="AR ISPAT",ROW(Master!$A$2:$A$1001)-ROW(Master!$A$2)+1),197),"")</f>
      </c>
      <c r="P201">
        <f t="shared" si="7"/>
      </c>
    </row>
    <row r="202" spans="1:16" x14ac:dyDescent="0.25">
      <c r="A202">
        <f>IF($O202="","",INDEX(Master!$D$2:$D$1001,$O202))</f>
      </c>
      <c r="B202" s="166">
        <f>IF($O202="","",INDEX(Master!$B$2:$B$1001,$O202))</f>
      </c>
      <c r="C202">
        <f>IF($O202="","",INDEX(Master!$C$2:$C$1001,$O202))</f>
      </c>
      <c r="D202">
        <f>IF($O202="","",INDEX(Master!$A$2:$A$1001,$O202))</f>
      </c>
      <c r="E202">
        <f>IF($O202="","",INDEX(Master!$E$2:$E$1001,$O202))</f>
      </c>
      <c r="F202">
        <f>IF($O202="","",INDEX(Master!$F$2:$F$1001,$O202))</f>
      </c>
      <c r="G202">
        <f>IF($O202="","",INDEX(Master!$G$2:$G$1001,$O202))</f>
      </c>
      <c r="H202">
        <f>IF($O202="","",INDEX(Master!$H$2:$H$1001,$O202))</f>
      </c>
      <c r="I202">
        <f>IF($O202="","",INDEX(Master!$I$2:$I$1001,$O202))</f>
      </c>
      <c r="J202">
        <f>IF($O202="","",INDEX(Master!$J$2:$J$1001,$O202))</f>
      </c>
      <c r="K202">
        <f t="shared" si="6"/>
      </c>
      <c r="L202">
        <f>IF($O202="","",INDEX(Master!$K$2:$K$1001,$O202))</f>
      </c>
      <c r="M202">
        <f>IF($O202="","",INDEX(Master!$L$2:$L$1001,$O202))</f>
      </c>
      <c r="O202">
        <f t="array" ref="O202">IFERROR(SMALL(IF(Master!$A$2:$A$1001="AR ISPAT",ROW(Master!$A$2:$A$1001)-ROW(Master!$A$2)+1),198),"")</f>
      </c>
      <c r="P202">
        <f t="shared" si="7"/>
      </c>
    </row>
    <row r="203" spans="1:16" x14ac:dyDescent="0.25">
      <c r="A203">
        <f>IF($O203="","",INDEX(Master!$D$2:$D$1001,$O203))</f>
      </c>
      <c r="B203" s="166">
        <f>IF($O203="","",INDEX(Master!$B$2:$B$1001,$O203))</f>
      </c>
      <c r="C203">
        <f>IF($O203="","",INDEX(Master!$C$2:$C$1001,$O203))</f>
      </c>
      <c r="D203">
        <f>IF($O203="","",INDEX(Master!$A$2:$A$1001,$O203))</f>
      </c>
      <c r="E203">
        <f>IF($O203="","",INDEX(Master!$E$2:$E$1001,$O203))</f>
      </c>
      <c r="F203">
        <f>IF($O203="","",INDEX(Master!$F$2:$F$1001,$O203))</f>
      </c>
      <c r="G203">
        <f>IF($O203="","",INDEX(Master!$G$2:$G$1001,$O203))</f>
      </c>
      <c r="H203">
        <f>IF($O203="","",INDEX(Master!$H$2:$H$1001,$O203))</f>
      </c>
      <c r="I203">
        <f>IF($O203="","",INDEX(Master!$I$2:$I$1001,$O203))</f>
      </c>
      <c r="J203">
        <f>IF($O203="","",INDEX(Master!$J$2:$J$1001,$O203))</f>
      </c>
      <c r="K203">
        <f t="shared" si="6"/>
      </c>
      <c r="L203">
        <f>IF($O203="","",INDEX(Master!$K$2:$K$1001,$O203))</f>
      </c>
      <c r="M203">
        <f>IF($O203="","",INDEX(Master!$L$2:$L$1001,$O203))</f>
      </c>
      <c r="O203">
        <f t="array" ref="O203">IFERROR(SMALL(IF(Master!$A$2:$A$1001="AR ISPAT",ROW(Master!$A$2:$A$1001)-ROW(Master!$A$2)+1),199),"")</f>
      </c>
      <c r="P203">
        <f t="shared" si="7"/>
      </c>
    </row>
    <row r="204" spans="1:16" x14ac:dyDescent="0.25">
      <c r="A204">
        <f>IF($O204="","",INDEX(Master!$D$2:$D$1001,$O204))</f>
      </c>
      <c r="B204" s="166">
        <f>IF($O204="","",INDEX(Master!$B$2:$B$1001,$O204))</f>
      </c>
      <c r="C204">
        <f>IF($O204="","",INDEX(Master!$C$2:$C$1001,$O204))</f>
      </c>
      <c r="D204">
        <f>IF($O204="","",INDEX(Master!$A$2:$A$1001,$O204))</f>
      </c>
      <c r="E204">
        <f>IF($O204="","",INDEX(Master!$E$2:$E$1001,$O204))</f>
      </c>
      <c r="F204">
        <f>IF($O204="","",INDEX(Master!$F$2:$F$1001,$O204))</f>
      </c>
      <c r="G204">
        <f>IF($O204="","",INDEX(Master!$G$2:$G$1001,$O204))</f>
      </c>
      <c r="H204">
        <f>IF($O204="","",INDEX(Master!$H$2:$H$1001,$O204))</f>
      </c>
      <c r="I204">
        <f>IF($O204="","",INDEX(Master!$I$2:$I$1001,$O204))</f>
      </c>
      <c r="J204">
        <f>IF($O204="","",INDEX(Master!$J$2:$J$1001,$O204))</f>
      </c>
      <c r="K204">
        <f t="shared" si="6"/>
      </c>
      <c r="L204">
        <f>IF($O204="","",INDEX(Master!$K$2:$K$1001,$O204))</f>
      </c>
      <c r="M204">
        <f>IF($O204="","",INDEX(Master!$L$2:$L$1001,$O204))</f>
      </c>
      <c r="O204">
        <f t="array" ref="O204">IFERROR(SMALL(IF(Master!$A$2:$A$1001="AR ISPAT",ROW(Master!$A$2:$A$1001)-ROW(Master!$A$2)+1),200),"")</f>
      </c>
      <c r="P204">
        <f t="shared" si="7"/>
      </c>
    </row>
    <row r="205" spans="1:16" x14ac:dyDescent="0.25">
      <c r="A205">
        <f>IF($O205="","",INDEX(Master!$D$2:$D$1001,$O205))</f>
      </c>
      <c r="B205" s="166">
        <f>IF($O205="","",INDEX(Master!$B$2:$B$1001,$O205))</f>
      </c>
      <c r="C205">
        <f>IF($O205="","",INDEX(Master!$C$2:$C$1001,$O205))</f>
      </c>
      <c r="D205">
        <f>IF($O205="","",INDEX(Master!$A$2:$A$1001,$O205))</f>
      </c>
      <c r="E205">
        <f>IF($O205="","",INDEX(Master!$E$2:$E$1001,$O205))</f>
      </c>
      <c r="F205">
        <f>IF($O205="","",INDEX(Master!$F$2:$F$1001,$O205))</f>
      </c>
      <c r="G205">
        <f>IF($O205="","",INDEX(Master!$G$2:$G$1001,$O205))</f>
      </c>
      <c r="H205">
        <f>IF($O205="","",INDEX(Master!$H$2:$H$1001,$O205))</f>
      </c>
      <c r="I205">
        <f>IF($O205="","",INDEX(Master!$I$2:$I$1001,$O205))</f>
      </c>
      <c r="J205">
        <f>IF($O205="","",INDEX(Master!$J$2:$J$1001,$O205))</f>
      </c>
      <c r="K205">
        <f t="shared" si="6"/>
      </c>
      <c r="L205">
        <f>IF($O205="","",INDEX(Master!$K$2:$K$1001,$O205))</f>
      </c>
      <c r="M205">
        <f>IF($O205="","",INDEX(Master!$L$2:$L$1001,$O205))</f>
      </c>
      <c r="O205">
        <f t="array" ref="O205">IFERROR(SMALL(IF(Master!$A$2:$A$1001="AR ISPAT",ROW(Master!$A$2:$A$1001)-ROW(Master!$A$2)+1),201),"")</f>
      </c>
      <c r="P205">
        <f t="shared" si="7"/>
      </c>
    </row>
    <row r="206" spans="1:16" x14ac:dyDescent="0.25">
      <c r="A206">
        <f>IF($O206="","",INDEX(Master!$D$2:$D$1001,$O206))</f>
      </c>
      <c r="B206" s="166">
        <f>IF($O206="","",INDEX(Master!$B$2:$B$1001,$O206))</f>
      </c>
      <c r="C206">
        <f>IF($O206="","",INDEX(Master!$C$2:$C$1001,$O206))</f>
      </c>
      <c r="D206">
        <f>IF($O206="","",INDEX(Master!$A$2:$A$1001,$O206))</f>
      </c>
      <c r="E206">
        <f>IF($O206="","",INDEX(Master!$E$2:$E$1001,$O206))</f>
      </c>
      <c r="F206">
        <f>IF($O206="","",INDEX(Master!$F$2:$F$1001,$O206))</f>
      </c>
      <c r="G206">
        <f>IF($O206="","",INDEX(Master!$G$2:$G$1001,$O206))</f>
      </c>
      <c r="H206">
        <f>IF($O206="","",INDEX(Master!$H$2:$H$1001,$O206))</f>
      </c>
      <c r="I206">
        <f>IF($O206="","",INDEX(Master!$I$2:$I$1001,$O206))</f>
      </c>
      <c r="J206">
        <f>IF($O206="","",INDEX(Master!$J$2:$J$1001,$O206))</f>
      </c>
      <c r="K206">
        <f t="shared" si="6"/>
      </c>
      <c r="L206">
        <f>IF($O206="","",INDEX(Master!$K$2:$K$1001,$O206))</f>
      </c>
      <c r="M206">
        <f>IF($O206="","",INDEX(Master!$L$2:$L$1001,$O206))</f>
      </c>
      <c r="O206">
        <f t="array" ref="O206">IFERROR(SMALL(IF(Master!$A$2:$A$1001="AR ISPAT",ROW(Master!$A$2:$A$1001)-ROW(Master!$A$2)+1),202),"")</f>
      </c>
      <c r="P206">
        <f t="shared" si="7"/>
      </c>
    </row>
    <row r="207" spans="1:16" x14ac:dyDescent="0.25">
      <c r="A207">
        <f>IF($O207="","",INDEX(Master!$D$2:$D$1001,$O207))</f>
      </c>
      <c r="B207" s="166">
        <f>IF($O207="","",INDEX(Master!$B$2:$B$1001,$O207))</f>
      </c>
      <c r="C207">
        <f>IF($O207="","",INDEX(Master!$C$2:$C$1001,$O207))</f>
      </c>
      <c r="D207">
        <f>IF($O207="","",INDEX(Master!$A$2:$A$1001,$O207))</f>
      </c>
      <c r="E207">
        <f>IF($O207="","",INDEX(Master!$E$2:$E$1001,$O207))</f>
      </c>
      <c r="F207">
        <f>IF($O207="","",INDEX(Master!$F$2:$F$1001,$O207))</f>
      </c>
      <c r="G207">
        <f>IF($O207="","",INDEX(Master!$G$2:$G$1001,$O207))</f>
      </c>
      <c r="H207">
        <f>IF($O207="","",INDEX(Master!$H$2:$H$1001,$O207))</f>
      </c>
      <c r="I207">
        <f>IF($O207="","",INDEX(Master!$I$2:$I$1001,$O207))</f>
      </c>
      <c r="J207">
        <f>IF($O207="","",INDEX(Master!$J$2:$J$1001,$O207))</f>
      </c>
      <c r="K207">
        <f t="shared" si="6"/>
      </c>
      <c r="L207">
        <f>IF($O207="","",INDEX(Master!$K$2:$K$1001,$O207))</f>
      </c>
      <c r="M207">
        <f>IF($O207="","",INDEX(Master!$L$2:$L$1001,$O207))</f>
      </c>
      <c r="O207">
        <f t="array" ref="O207">IFERROR(SMALL(IF(Master!$A$2:$A$1001="AR ISPAT",ROW(Master!$A$2:$A$1001)-ROW(Master!$A$2)+1),203),"")</f>
      </c>
      <c r="P207">
        <f t="shared" si="7"/>
      </c>
    </row>
    <row r="208" spans="1:16" x14ac:dyDescent="0.25">
      <c r="A208">
        <f>IF($O208="","",INDEX(Master!$D$2:$D$1001,$O208))</f>
      </c>
      <c r="B208" s="166">
        <f>IF($O208="","",INDEX(Master!$B$2:$B$1001,$O208))</f>
      </c>
      <c r="C208">
        <f>IF($O208="","",INDEX(Master!$C$2:$C$1001,$O208))</f>
      </c>
      <c r="D208">
        <f>IF($O208="","",INDEX(Master!$A$2:$A$1001,$O208))</f>
      </c>
      <c r="E208">
        <f>IF($O208="","",INDEX(Master!$E$2:$E$1001,$O208))</f>
      </c>
      <c r="F208">
        <f>IF($O208="","",INDEX(Master!$F$2:$F$1001,$O208))</f>
      </c>
      <c r="G208">
        <f>IF($O208="","",INDEX(Master!$G$2:$G$1001,$O208))</f>
      </c>
      <c r="H208">
        <f>IF($O208="","",INDEX(Master!$H$2:$H$1001,$O208))</f>
      </c>
      <c r="I208">
        <f>IF($O208="","",INDEX(Master!$I$2:$I$1001,$O208))</f>
      </c>
      <c r="J208">
        <f>IF($O208="","",INDEX(Master!$J$2:$J$1001,$O208))</f>
      </c>
      <c r="K208">
        <f t="shared" si="6"/>
      </c>
      <c r="L208">
        <f>IF($O208="","",INDEX(Master!$K$2:$K$1001,$O208))</f>
      </c>
      <c r="M208">
        <f>IF($O208="","",INDEX(Master!$L$2:$L$1001,$O208))</f>
      </c>
      <c r="O208">
        <f t="array" ref="O208">IFERROR(SMALL(IF(Master!$A$2:$A$1001="AR ISPAT",ROW(Master!$A$2:$A$1001)-ROW(Master!$A$2)+1),204),"")</f>
      </c>
      <c r="P208">
        <f t="shared" si="7"/>
      </c>
    </row>
    <row r="209" spans="1:16" x14ac:dyDescent="0.25">
      <c r="A209">
        <f>IF($O209="","",INDEX(Master!$D$2:$D$1001,$O209))</f>
      </c>
      <c r="B209" s="166">
        <f>IF($O209="","",INDEX(Master!$B$2:$B$1001,$O209))</f>
      </c>
      <c r="C209">
        <f>IF($O209="","",INDEX(Master!$C$2:$C$1001,$O209))</f>
      </c>
      <c r="D209">
        <f>IF($O209="","",INDEX(Master!$A$2:$A$1001,$O209))</f>
      </c>
      <c r="E209">
        <f>IF($O209="","",INDEX(Master!$E$2:$E$1001,$O209))</f>
      </c>
      <c r="F209">
        <f>IF($O209="","",INDEX(Master!$F$2:$F$1001,$O209))</f>
      </c>
      <c r="G209">
        <f>IF($O209="","",INDEX(Master!$G$2:$G$1001,$O209))</f>
      </c>
      <c r="H209">
        <f>IF($O209="","",INDEX(Master!$H$2:$H$1001,$O209))</f>
      </c>
      <c r="I209">
        <f>IF($O209="","",INDEX(Master!$I$2:$I$1001,$O209))</f>
      </c>
      <c r="J209">
        <f>IF($O209="","",INDEX(Master!$J$2:$J$1001,$O209))</f>
      </c>
      <c r="K209">
        <f t="shared" si="6"/>
      </c>
      <c r="L209">
        <f>IF($O209="","",INDEX(Master!$K$2:$K$1001,$O209))</f>
      </c>
      <c r="M209">
        <f>IF($O209="","",INDEX(Master!$L$2:$L$1001,$O209))</f>
      </c>
      <c r="O209">
        <f t="array" ref="O209">IFERROR(SMALL(IF(Master!$A$2:$A$1001="AR ISPAT",ROW(Master!$A$2:$A$1001)-ROW(Master!$A$2)+1),205),"")</f>
      </c>
      <c r="P209">
        <f t="shared" si="7"/>
      </c>
    </row>
    <row r="210" spans="1:16" x14ac:dyDescent="0.25">
      <c r="A210">
        <f>IF($O210="","",INDEX(Master!$D$2:$D$1001,$O210))</f>
      </c>
      <c r="B210" s="166">
        <f>IF($O210="","",INDEX(Master!$B$2:$B$1001,$O210))</f>
      </c>
      <c r="C210">
        <f>IF($O210="","",INDEX(Master!$C$2:$C$1001,$O210))</f>
      </c>
      <c r="D210">
        <f>IF($O210="","",INDEX(Master!$A$2:$A$1001,$O210))</f>
      </c>
      <c r="E210">
        <f>IF($O210="","",INDEX(Master!$E$2:$E$1001,$O210))</f>
      </c>
      <c r="F210">
        <f>IF($O210="","",INDEX(Master!$F$2:$F$1001,$O210))</f>
      </c>
      <c r="G210">
        <f>IF($O210="","",INDEX(Master!$G$2:$G$1001,$O210))</f>
      </c>
      <c r="H210">
        <f>IF($O210="","",INDEX(Master!$H$2:$H$1001,$O210))</f>
      </c>
      <c r="I210">
        <f>IF($O210="","",INDEX(Master!$I$2:$I$1001,$O210))</f>
      </c>
      <c r="J210">
        <f>IF($O210="","",INDEX(Master!$J$2:$J$1001,$O210))</f>
      </c>
      <c r="K210">
        <f t="shared" si="6"/>
      </c>
      <c r="L210">
        <f>IF($O210="","",INDEX(Master!$K$2:$K$1001,$O210))</f>
      </c>
      <c r="M210">
        <f>IF($O210="","",INDEX(Master!$L$2:$L$1001,$O210))</f>
      </c>
      <c r="O210">
        <f t="array" ref="O210">IFERROR(SMALL(IF(Master!$A$2:$A$1001="AR ISPAT",ROW(Master!$A$2:$A$1001)-ROW(Master!$A$2)+1),206),"")</f>
      </c>
      <c r="P210">
        <f t="shared" si="7"/>
      </c>
    </row>
    <row r="211" spans="1:16" x14ac:dyDescent="0.25">
      <c r="A211">
        <f>IF($O211="","",INDEX(Master!$D$2:$D$1001,$O211))</f>
      </c>
      <c r="B211" s="166">
        <f>IF($O211="","",INDEX(Master!$B$2:$B$1001,$O211))</f>
      </c>
      <c r="C211">
        <f>IF($O211="","",INDEX(Master!$C$2:$C$1001,$O211))</f>
      </c>
      <c r="D211">
        <f>IF($O211="","",INDEX(Master!$A$2:$A$1001,$O211))</f>
      </c>
      <c r="E211">
        <f>IF($O211="","",INDEX(Master!$E$2:$E$1001,$O211))</f>
      </c>
      <c r="F211">
        <f>IF($O211="","",INDEX(Master!$F$2:$F$1001,$O211))</f>
      </c>
      <c r="G211">
        <f>IF($O211="","",INDEX(Master!$G$2:$G$1001,$O211))</f>
      </c>
      <c r="H211">
        <f>IF($O211="","",INDEX(Master!$H$2:$H$1001,$O211))</f>
      </c>
      <c r="I211">
        <f>IF($O211="","",INDEX(Master!$I$2:$I$1001,$O211))</f>
      </c>
      <c r="J211">
        <f>IF($O211="","",INDEX(Master!$J$2:$J$1001,$O211))</f>
      </c>
      <c r="K211">
        <f t="shared" si="6"/>
      </c>
      <c r="L211">
        <f>IF($O211="","",INDEX(Master!$K$2:$K$1001,$O211))</f>
      </c>
      <c r="M211">
        <f>IF($O211="","",INDEX(Master!$L$2:$L$1001,$O211))</f>
      </c>
      <c r="O211">
        <f t="array" ref="O211">IFERROR(SMALL(IF(Master!$A$2:$A$1001="AR ISPAT",ROW(Master!$A$2:$A$1001)-ROW(Master!$A$2)+1),207),"")</f>
      </c>
      <c r="P211">
        <f t="shared" si="7"/>
      </c>
    </row>
    <row r="212" spans="1:16" x14ac:dyDescent="0.25">
      <c r="A212">
        <f>IF($O212="","",INDEX(Master!$D$2:$D$1001,$O212))</f>
      </c>
      <c r="B212" s="166">
        <f>IF($O212="","",INDEX(Master!$B$2:$B$1001,$O212))</f>
      </c>
      <c r="C212">
        <f>IF($O212="","",INDEX(Master!$C$2:$C$1001,$O212))</f>
      </c>
      <c r="D212">
        <f>IF($O212="","",INDEX(Master!$A$2:$A$1001,$O212))</f>
      </c>
      <c r="E212">
        <f>IF($O212="","",INDEX(Master!$E$2:$E$1001,$O212))</f>
      </c>
      <c r="F212">
        <f>IF($O212="","",INDEX(Master!$F$2:$F$1001,$O212))</f>
      </c>
      <c r="G212">
        <f>IF($O212="","",INDEX(Master!$G$2:$G$1001,$O212))</f>
      </c>
      <c r="H212">
        <f>IF($O212="","",INDEX(Master!$H$2:$H$1001,$O212))</f>
      </c>
      <c r="I212">
        <f>IF($O212="","",INDEX(Master!$I$2:$I$1001,$O212))</f>
      </c>
      <c r="J212">
        <f>IF($O212="","",INDEX(Master!$J$2:$J$1001,$O212))</f>
      </c>
      <c r="K212">
        <f t="shared" si="6"/>
      </c>
      <c r="L212">
        <f>IF($O212="","",INDEX(Master!$K$2:$K$1001,$O212))</f>
      </c>
      <c r="M212">
        <f>IF($O212="","",INDEX(Master!$L$2:$L$1001,$O212))</f>
      </c>
      <c r="O212">
        <f t="array" ref="O212">IFERROR(SMALL(IF(Master!$A$2:$A$1001="AR ISPAT",ROW(Master!$A$2:$A$1001)-ROW(Master!$A$2)+1),208),"")</f>
      </c>
      <c r="P212">
        <f t="shared" si="7"/>
      </c>
    </row>
    <row r="213" spans="1:16" x14ac:dyDescent="0.25">
      <c r="A213">
        <f>IF($O213="","",INDEX(Master!$D$2:$D$1001,$O213))</f>
      </c>
      <c r="B213" s="166">
        <f>IF($O213="","",INDEX(Master!$B$2:$B$1001,$O213))</f>
      </c>
      <c r="C213">
        <f>IF($O213="","",INDEX(Master!$C$2:$C$1001,$O213))</f>
      </c>
      <c r="D213">
        <f>IF($O213="","",INDEX(Master!$A$2:$A$1001,$O213))</f>
      </c>
      <c r="E213">
        <f>IF($O213="","",INDEX(Master!$E$2:$E$1001,$O213))</f>
      </c>
      <c r="F213">
        <f>IF($O213="","",INDEX(Master!$F$2:$F$1001,$O213))</f>
      </c>
      <c r="G213">
        <f>IF($O213="","",INDEX(Master!$G$2:$G$1001,$O213))</f>
      </c>
      <c r="H213">
        <f>IF($O213="","",INDEX(Master!$H$2:$H$1001,$O213))</f>
      </c>
      <c r="I213">
        <f>IF($O213="","",INDEX(Master!$I$2:$I$1001,$O213))</f>
      </c>
      <c r="J213">
        <f>IF($O213="","",INDEX(Master!$J$2:$J$1001,$O213))</f>
      </c>
      <c r="K213">
        <f t="shared" si="6"/>
      </c>
      <c r="L213">
        <f>IF($O213="","",INDEX(Master!$K$2:$K$1001,$O213))</f>
      </c>
      <c r="M213">
        <f>IF($O213="","",INDEX(Master!$L$2:$L$1001,$O213))</f>
      </c>
      <c r="O213">
        <f t="array" ref="O213">IFERROR(SMALL(IF(Master!$A$2:$A$1001="AR ISPAT",ROW(Master!$A$2:$A$1001)-ROW(Master!$A$2)+1),209),"")</f>
      </c>
      <c r="P213">
        <f t="shared" si="7"/>
      </c>
    </row>
    <row r="214" spans="1:16" x14ac:dyDescent="0.25">
      <c r="A214">
        <f>IF($O214="","",INDEX(Master!$D$2:$D$1001,$O214))</f>
      </c>
      <c r="B214" s="166">
        <f>IF($O214="","",INDEX(Master!$B$2:$B$1001,$O214))</f>
      </c>
      <c r="C214">
        <f>IF($O214="","",INDEX(Master!$C$2:$C$1001,$O214))</f>
      </c>
      <c r="D214">
        <f>IF($O214="","",INDEX(Master!$A$2:$A$1001,$O214))</f>
      </c>
      <c r="E214">
        <f>IF($O214="","",INDEX(Master!$E$2:$E$1001,$O214))</f>
      </c>
      <c r="F214">
        <f>IF($O214="","",INDEX(Master!$F$2:$F$1001,$O214))</f>
      </c>
      <c r="G214">
        <f>IF($O214="","",INDEX(Master!$G$2:$G$1001,$O214))</f>
      </c>
      <c r="H214">
        <f>IF($O214="","",INDEX(Master!$H$2:$H$1001,$O214))</f>
      </c>
      <c r="I214">
        <f>IF($O214="","",INDEX(Master!$I$2:$I$1001,$O214))</f>
      </c>
      <c r="J214">
        <f>IF($O214="","",INDEX(Master!$J$2:$J$1001,$O214))</f>
      </c>
      <c r="K214">
        <f t="shared" si="6"/>
      </c>
      <c r="L214">
        <f>IF($O214="","",INDEX(Master!$K$2:$K$1001,$O214))</f>
      </c>
      <c r="M214">
        <f>IF($O214="","",INDEX(Master!$L$2:$L$1001,$O214))</f>
      </c>
      <c r="O214">
        <f t="array" ref="O214">IFERROR(SMALL(IF(Master!$A$2:$A$1001="AR ISPAT",ROW(Master!$A$2:$A$1001)-ROW(Master!$A$2)+1),210),"")</f>
      </c>
      <c r="P214">
        <f t="shared" si="7"/>
      </c>
    </row>
    <row r="215" spans="1:16" x14ac:dyDescent="0.25">
      <c r="A215">
        <f>IF($O215="","",INDEX(Master!$D$2:$D$1001,$O215))</f>
      </c>
      <c r="B215" s="166">
        <f>IF($O215="","",INDEX(Master!$B$2:$B$1001,$O215))</f>
      </c>
      <c r="C215">
        <f>IF($O215="","",INDEX(Master!$C$2:$C$1001,$O215))</f>
      </c>
      <c r="D215">
        <f>IF($O215="","",INDEX(Master!$A$2:$A$1001,$O215))</f>
      </c>
      <c r="E215">
        <f>IF($O215="","",INDEX(Master!$E$2:$E$1001,$O215))</f>
      </c>
      <c r="F215">
        <f>IF($O215="","",INDEX(Master!$F$2:$F$1001,$O215))</f>
      </c>
      <c r="G215">
        <f>IF($O215="","",INDEX(Master!$G$2:$G$1001,$O215))</f>
      </c>
      <c r="H215">
        <f>IF($O215="","",INDEX(Master!$H$2:$H$1001,$O215))</f>
      </c>
      <c r="I215">
        <f>IF($O215="","",INDEX(Master!$I$2:$I$1001,$O215))</f>
      </c>
      <c r="J215">
        <f>IF($O215="","",INDEX(Master!$J$2:$J$1001,$O215))</f>
      </c>
      <c r="K215">
        <f t="shared" si="6"/>
      </c>
      <c r="L215">
        <f>IF($O215="","",INDEX(Master!$K$2:$K$1001,$O215))</f>
      </c>
      <c r="M215">
        <f>IF($O215="","",INDEX(Master!$L$2:$L$1001,$O215))</f>
      </c>
      <c r="O215">
        <f t="array" ref="O215">IFERROR(SMALL(IF(Master!$A$2:$A$1001="AR ISPAT",ROW(Master!$A$2:$A$1001)-ROW(Master!$A$2)+1),211),"")</f>
      </c>
      <c r="P215">
        <f t="shared" si="7"/>
      </c>
    </row>
    <row r="216" spans="1:16" x14ac:dyDescent="0.25">
      <c r="A216">
        <f>IF($O216="","",INDEX(Master!$D$2:$D$1001,$O216))</f>
      </c>
      <c r="B216" s="166">
        <f>IF($O216="","",INDEX(Master!$B$2:$B$1001,$O216))</f>
      </c>
      <c r="C216">
        <f>IF($O216="","",INDEX(Master!$C$2:$C$1001,$O216))</f>
      </c>
      <c r="D216">
        <f>IF($O216="","",INDEX(Master!$A$2:$A$1001,$O216))</f>
      </c>
      <c r="E216">
        <f>IF($O216="","",INDEX(Master!$E$2:$E$1001,$O216))</f>
      </c>
      <c r="F216">
        <f>IF($O216="","",INDEX(Master!$F$2:$F$1001,$O216))</f>
      </c>
      <c r="G216">
        <f>IF($O216="","",INDEX(Master!$G$2:$G$1001,$O216))</f>
      </c>
      <c r="H216">
        <f>IF($O216="","",INDEX(Master!$H$2:$H$1001,$O216))</f>
      </c>
      <c r="I216">
        <f>IF($O216="","",INDEX(Master!$I$2:$I$1001,$O216))</f>
      </c>
      <c r="J216">
        <f>IF($O216="","",INDEX(Master!$J$2:$J$1001,$O216))</f>
      </c>
      <c r="K216">
        <f t="shared" si="6"/>
      </c>
      <c r="L216">
        <f>IF($O216="","",INDEX(Master!$K$2:$K$1001,$O216))</f>
      </c>
      <c r="M216">
        <f>IF($O216="","",INDEX(Master!$L$2:$L$1001,$O216))</f>
      </c>
      <c r="O216">
        <f t="array" ref="O216">IFERROR(SMALL(IF(Master!$A$2:$A$1001="AR ISPAT",ROW(Master!$A$2:$A$1001)-ROW(Master!$A$2)+1),212),"")</f>
      </c>
      <c r="P216">
        <f t="shared" si="7"/>
      </c>
    </row>
    <row r="217" spans="1:16" x14ac:dyDescent="0.25">
      <c r="A217">
        <f>IF($O217="","",INDEX(Master!$D$2:$D$1001,$O217))</f>
      </c>
      <c r="B217" s="166">
        <f>IF($O217="","",INDEX(Master!$B$2:$B$1001,$O217))</f>
      </c>
      <c r="C217">
        <f>IF($O217="","",INDEX(Master!$C$2:$C$1001,$O217))</f>
      </c>
      <c r="D217">
        <f>IF($O217="","",INDEX(Master!$A$2:$A$1001,$O217))</f>
      </c>
      <c r="E217">
        <f>IF($O217="","",INDEX(Master!$E$2:$E$1001,$O217))</f>
      </c>
      <c r="F217">
        <f>IF($O217="","",INDEX(Master!$F$2:$F$1001,$O217))</f>
      </c>
      <c r="G217">
        <f>IF($O217="","",INDEX(Master!$G$2:$G$1001,$O217))</f>
      </c>
      <c r="H217">
        <f>IF($O217="","",INDEX(Master!$H$2:$H$1001,$O217))</f>
      </c>
      <c r="I217">
        <f>IF($O217="","",INDEX(Master!$I$2:$I$1001,$O217))</f>
      </c>
      <c r="J217">
        <f>IF($O217="","",INDEX(Master!$J$2:$J$1001,$O217))</f>
      </c>
      <c r="K217">
        <f t="shared" si="6"/>
      </c>
      <c r="L217">
        <f>IF($O217="","",INDEX(Master!$K$2:$K$1001,$O217))</f>
      </c>
      <c r="M217">
        <f>IF($O217="","",INDEX(Master!$L$2:$L$1001,$O217))</f>
      </c>
      <c r="O217">
        <f t="array" ref="O217">IFERROR(SMALL(IF(Master!$A$2:$A$1001="AR ISPAT",ROW(Master!$A$2:$A$1001)-ROW(Master!$A$2)+1),213),"")</f>
      </c>
      <c r="P217">
        <f t="shared" si="7"/>
      </c>
    </row>
    <row r="218" spans="1:16" x14ac:dyDescent="0.25">
      <c r="A218">
        <f>IF($O218="","",INDEX(Master!$D$2:$D$1001,$O218))</f>
      </c>
      <c r="B218" s="166">
        <f>IF($O218="","",INDEX(Master!$B$2:$B$1001,$O218))</f>
      </c>
      <c r="C218">
        <f>IF($O218="","",INDEX(Master!$C$2:$C$1001,$O218))</f>
      </c>
      <c r="D218">
        <f>IF($O218="","",INDEX(Master!$A$2:$A$1001,$O218))</f>
      </c>
      <c r="E218">
        <f>IF($O218="","",INDEX(Master!$E$2:$E$1001,$O218))</f>
      </c>
      <c r="F218">
        <f>IF($O218="","",INDEX(Master!$F$2:$F$1001,$O218))</f>
      </c>
      <c r="G218">
        <f>IF($O218="","",INDEX(Master!$G$2:$G$1001,$O218))</f>
      </c>
      <c r="H218">
        <f>IF($O218="","",INDEX(Master!$H$2:$H$1001,$O218))</f>
      </c>
      <c r="I218">
        <f>IF($O218="","",INDEX(Master!$I$2:$I$1001,$O218))</f>
      </c>
      <c r="J218">
        <f>IF($O218="","",INDEX(Master!$J$2:$J$1001,$O218))</f>
      </c>
      <c r="K218">
        <f t="shared" si="6"/>
      </c>
      <c r="L218">
        <f>IF($O218="","",INDEX(Master!$K$2:$K$1001,$O218))</f>
      </c>
      <c r="M218">
        <f>IF($O218="","",INDEX(Master!$L$2:$L$1001,$O218))</f>
      </c>
      <c r="O218">
        <f t="array" ref="O218">IFERROR(SMALL(IF(Master!$A$2:$A$1001="AR ISPAT",ROW(Master!$A$2:$A$1001)-ROW(Master!$A$2)+1),214),"")</f>
      </c>
      <c r="P218">
        <f t="shared" si="7"/>
      </c>
    </row>
    <row r="219" spans="1:16" x14ac:dyDescent="0.25">
      <c r="A219">
        <f>IF($O219="","",INDEX(Master!$D$2:$D$1001,$O219))</f>
      </c>
      <c r="B219" s="166">
        <f>IF($O219="","",INDEX(Master!$B$2:$B$1001,$O219))</f>
      </c>
      <c r="C219">
        <f>IF($O219="","",INDEX(Master!$C$2:$C$1001,$O219))</f>
      </c>
      <c r="D219">
        <f>IF($O219="","",INDEX(Master!$A$2:$A$1001,$O219))</f>
      </c>
      <c r="E219">
        <f>IF($O219="","",INDEX(Master!$E$2:$E$1001,$O219))</f>
      </c>
      <c r="F219">
        <f>IF($O219="","",INDEX(Master!$F$2:$F$1001,$O219))</f>
      </c>
      <c r="G219">
        <f>IF($O219="","",INDEX(Master!$G$2:$G$1001,$O219))</f>
      </c>
      <c r="H219">
        <f>IF($O219="","",INDEX(Master!$H$2:$H$1001,$O219))</f>
      </c>
      <c r="I219">
        <f>IF($O219="","",INDEX(Master!$I$2:$I$1001,$O219))</f>
      </c>
      <c r="J219">
        <f>IF($O219="","",INDEX(Master!$J$2:$J$1001,$O219))</f>
      </c>
      <c r="K219">
        <f t="shared" si="6"/>
      </c>
      <c r="L219">
        <f>IF($O219="","",INDEX(Master!$K$2:$K$1001,$O219))</f>
      </c>
      <c r="M219">
        <f>IF($O219="","",INDEX(Master!$L$2:$L$1001,$O219))</f>
      </c>
      <c r="O219">
        <f t="array" ref="O219">IFERROR(SMALL(IF(Master!$A$2:$A$1001="AR ISPAT",ROW(Master!$A$2:$A$1001)-ROW(Master!$A$2)+1),215),"")</f>
      </c>
      <c r="P219">
        <f t="shared" si="7"/>
      </c>
    </row>
    <row r="220" spans="1:16" x14ac:dyDescent="0.25">
      <c r="A220">
        <f>IF($O220="","",INDEX(Master!$D$2:$D$1001,$O220))</f>
      </c>
      <c r="B220" s="166">
        <f>IF($O220="","",INDEX(Master!$B$2:$B$1001,$O220))</f>
      </c>
      <c r="C220">
        <f>IF($O220="","",INDEX(Master!$C$2:$C$1001,$O220))</f>
      </c>
      <c r="D220">
        <f>IF($O220="","",INDEX(Master!$A$2:$A$1001,$O220))</f>
      </c>
      <c r="E220">
        <f>IF($O220="","",INDEX(Master!$E$2:$E$1001,$O220))</f>
      </c>
      <c r="F220">
        <f>IF($O220="","",INDEX(Master!$F$2:$F$1001,$O220))</f>
      </c>
      <c r="G220">
        <f>IF($O220="","",INDEX(Master!$G$2:$G$1001,$O220))</f>
      </c>
      <c r="H220">
        <f>IF($O220="","",INDEX(Master!$H$2:$H$1001,$O220))</f>
      </c>
      <c r="I220">
        <f>IF($O220="","",INDEX(Master!$I$2:$I$1001,$O220))</f>
      </c>
      <c r="J220">
        <f>IF($O220="","",INDEX(Master!$J$2:$J$1001,$O220))</f>
      </c>
      <c r="K220">
        <f t="shared" si="6"/>
      </c>
      <c r="L220">
        <f>IF($O220="","",INDEX(Master!$K$2:$K$1001,$O220))</f>
      </c>
      <c r="M220">
        <f>IF($O220="","",INDEX(Master!$L$2:$L$1001,$O220))</f>
      </c>
      <c r="O220">
        <f t="array" ref="O220">IFERROR(SMALL(IF(Master!$A$2:$A$1001="AR ISPAT",ROW(Master!$A$2:$A$1001)-ROW(Master!$A$2)+1),216),"")</f>
      </c>
      <c r="P220">
        <f t="shared" si="7"/>
      </c>
    </row>
    <row r="221" spans="1:16" x14ac:dyDescent="0.25">
      <c r="A221">
        <f>IF($O221="","",INDEX(Master!$D$2:$D$1001,$O221))</f>
      </c>
      <c r="B221" s="166">
        <f>IF($O221="","",INDEX(Master!$B$2:$B$1001,$O221))</f>
      </c>
      <c r="C221">
        <f>IF($O221="","",INDEX(Master!$C$2:$C$1001,$O221))</f>
      </c>
      <c r="D221">
        <f>IF($O221="","",INDEX(Master!$A$2:$A$1001,$O221))</f>
      </c>
      <c r="E221">
        <f>IF($O221="","",INDEX(Master!$E$2:$E$1001,$O221))</f>
      </c>
      <c r="F221">
        <f>IF($O221="","",INDEX(Master!$F$2:$F$1001,$O221))</f>
      </c>
      <c r="G221">
        <f>IF($O221="","",INDEX(Master!$G$2:$G$1001,$O221))</f>
      </c>
      <c r="H221">
        <f>IF($O221="","",INDEX(Master!$H$2:$H$1001,$O221))</f>
      </c>
      <c r="I221">
        <f>IF($O221="","",INDEX(Master!$I$2:$I$1001,$O221))</f>
      </c>
      <c r="J221">
        <f>IF($O221="","",INDEX(Master!$J$2:$J$1001,$O221))</f>
      </c>
      <c r="K221">
        <f t="shared" si="6"/>
      </c>
      <c r="L221">
        <f>IF($O221="","",INDEX(Master!$K$2:$K$1001,$O221))</f>
      </c>
      <c r="M221">
        <f>IF($O221="","",INDEX(Master!$L$2:$L$1001,$O221))</f>
      </c>
      <c r="O221">
        <f t="array" ref="O221">IFERROR(SMALL(IF(Master!$A$2:$A$1001="AR ISPAT",ROW(Master!$A$2:$A$1001)-ROW(Master!$A$2)+1),217),"")</f>
      </c>
      <c r="P221">
        <f t="shared" si="7"/>
      </c>
    </row>
    <row r="222" spans="1:16" x14ac:dyDescent="0.25">
      <c r="A222">
        <f>IF($O222="","",INDEX(Master!$D$2:$D$1001,$O222))</f>
      </c>
      <c r="B222" s="166">
        <f>IF($O222="","",INDEX(Master!$B$2:$B$1001,$O222))</f>
      </c>
      <c r="C222">
        <f>IF($O222="","",INDEX(Master!$C$2:$C$1001,$O222))</f>
      </c>
      <c r="D222">
        <f>IF($O222="","",INDEX(Master!$A$2:$A$1001,$O222))</f>
      </c>
      <c r="E222">
        <f>IF($O222="","",INDEX(Master!$E$2:$E$1001,$O222))</f>
      </c>
      <c r="F222">
        <f>IF($O222="","",INDEX(Master!$F$2:$F$1001,$O222))</f>
      </c>
      <c r="G222">
        <f>IF($O222="","",INDEX(Master!$G$2:$G$1001,$O222))</f>
      </c>
      <c r="H222">
        <f>IF($O222="","",INDEX(Master!$H$2:$H$1001,$O222))</f>
      </c>
      <c r="I222">
        <f>IF($O222="","",INDEX(Master!$I$2:$I$1001,$O222))</f>
      </c>
      <c r="J222">
        <f>IF($O222="","",INDEX(Master!$J$2:$J$1001,$O222))</f>
      </c>
      <c r="K222">
        <f t="shared" si="6"/>
      </c>
      <c r="L222">
        <f>IF($O222="","",INDEX(Master!$K$2:$K$1001,$O222))</f>
      </c>
      <c r="M222">
        <f>IF($O222="","",INDEX(Master!$L$2:$L$1001,$O222))</f>
      </c>
      <c r="O222">
        <f t="array" ref="O222">IFERROR(SMALL(IF(Master!$A$2:$A$1001="AR ISPAT",ROW(Master!$A$2:$A$1001)-ROW(Master!$A$2)+1),218),"")</f>
      </c>
      <c r="P222">
        <f t="shared" si="7"/>
      </c>
    </row>
    <row r="223" spans="1:16" x14ac:dyDescent="0.25">
      <c r="A223">
        <f>IF($O223="","",INDEX(Master!$D$2:$D$1001,$O223))</f>
      </c>
      <c r="B223" s="166">
        <f>IF($O223="","",INDEX(Master!$B$2:$B$1001,$O223))</f>
      </c>
      <c r="C223">
        <f>IF($O223="","",INDEX(Master!$C$2:$C$1001,$O223))</f>
      </c>
      <c r="D223">
        <f>IF($O223="","",INDEX(Master!$A$2:$A$1001,$O223))</f>
      </c>
      <c r="E223">
        <f>IF($O223="","",INDEX(Master!$E$2:$E$1001,$O223))</f>
      </c>
      <c r="F223">
        <f>IF($O223="","",INDEX(Master!$F$2:$F$1001,$O223))</f>
      </c>
      <c r="G223">
        <f>IF($O223="","",INDEX(Master!$G$2:$G$1001,$O223))</f>
      </c>
      <c r="H223">
        <f>IF($O223="","",INDEX(Master!$H$2:$H$1001,$O223))</f>
      </c>
      <c r="I223">
        <f>IF($O223="","",INDEX(Master!$I$2:$I$1001,$O223))</f>
      </c>
      <c r="J223">
        <f>IF($O223="","",INDEX(Master!$J$2:$J$1001,$O223))</f>
      </c>
      <c r="K223">
        <f t="shared" si="6"/>
      </c>
      <c r="L223">
        <f>IF($O223="","",INDEX(Master!$K$2:$K$1001,$O223))</f>
      </c>
      <c r="M223">
        <f>IF($O223="","",INDEX(Master!$L$2:$L$1001,$O223))</f>
      </c>
      <c r="O223">
        <f t="array" ref="O223">IFERROR(SMALL(IF(Master!$A$2:$A$1001="AR ISPAT",ROW(Master!$A$2:$A$1001)-ROW(Master!$A$2)+1),219),"")</f>
      </c>
      <c r="P223">
        <f t="shared" si="7"/>
      </c>
    </row>
    <row r="224" spans="1:16" x14ac:dyDescent="0.25">
      <c r="A224">
        <f>IF($O224="","",INDEX(Master!$D$2:$D$1001,$O224))</f>
      </c>
      <c r="B224" s="166">
        <f>IF($O224="","",INDEX(Master!$B$2:$B$1001,$O224))</f>
      </c>
      <c r="C224">
        <f>IF($O224="","",INDEX(Master!$C$2:$C$1001,$O224))</f>
      </c>
      <c r="D224">
        <f>IF($O224="","",INDEX(Master!$A$2:$A$1001,$O224))</f>
      </c>
      <c r="E224">
        <f>IF($O224="","",INDEX(Master!$E$2:$E$1001,$O224))</f>
      </c>
      <c r="F224">
        <f>IF($O224="","",INDEX(Master!$F$2:$F$1001,$O224))</f>
      </c>
      <c r="G224">
        <f>IF($O224="","",INDEX(Master!$G$2:$G$1001,$O224))</f>
      </c>
      <c r="H224">
        <f>IF($O224="","",INDEX(Master!$H$2:$H$1001,$O224))</f>
      </c>
      <c r="I224">
        <f>IF($O224="","",INDEX(Master!$I$2:$I$1001,$O224))</f>
      </c>
      <c r="J224">
        <f>IF($O224="","",INDEX(Master!$J$2:$J$1001,$O224))</f>
      </c>
      <c r="K224">
        <f t="shared" si="6"/>
      </c>
      <c r="L224">
        <f>IF($O224="","",INDEX(Master!$K$2:$K$1001,$O224))</f>
      </c>
      <c r="M224">
        <f>IF($O224="","",INDEX(Master!$L$2:$L$1001,$O224))</f>
      </c>
      <c r="O224">
        <f t="array" ref="O224">IFERROR(SMALL(IF(Master!$A$2:$A$1001="AR ISPAT",ROW(Master!$A$2:$A$1001)-ROW(Master!$A$2)+1),220),"")</f>
      </c>
      <c r="P224">
        <f t="shared" si="7"/>
      </c>
    </row>
    <row r="225" spans="1:16" x14ac:dyDescent="0.25">
      <c r="A225">
        <f>IF($O225="","",INDEX(Master!$D$2:$D$1001,$O225))</f>
      </c>
      <c r="B225" s="166">
        <f>IF($O225="","",INDEX(Master!$B$2:$B$1001,$O225))</f>
      </c>
      <c r="C225">
        <f>IF($O225="","",INDEX(Master!$C$2:$C$1001,$O225))</f>
      </c>
      <c r="D225">
        <f>IF($O225="","",INDEX(Master!$A$2:$A$1001,$O225))</f>
      </c>
      <c r="E225">
        <f>IF($O225="","",INDEX(Master!$E$2:$E$1001,$O225))</f>
      </c>
      <c r="F225">
        <f>IF($O225="","",INDEX(Master!$F$2:$F$1001,$O225))</f>
      </c>
      <c r="G225">
        <f>IF($O225="","",INDEX(Master!$G$2:$G$1001,$O225))</f>
      </c>
      <c r="H225">
        <f>IF($O225="","",INDEX(Master!$H$2:$H$1001,$O225))</f>
      </c>
      <c r="I225">
        <f>IF($O225="","",INDEX(Master!$I$2:$I$1001,$O225))</f>
      </c>
      <c r="J225">
        <f>IF($O225="","",INDEX(Master!$J$2:$J$1001,$O225))</f>
      </c>
      <c r="K225">
        <f t="shared" si="6"/>
      </c>
      <c r="L225">
        <f>IF($O225="","",INDEX(Master!$K$2:$K$1001,$O225))</f>
      </c>
      <c r="M225">
        <f>IF($O225="","",INDEX(Master!$L$2:$L$1001,$O225))</f>
      </c>
      <c r="O225">
        <f t="array" ref="O225">IFERROR(SMALL(IF(Master!$A$2:$A$1001="AR ISPAT",ROW(Master!$A$2:$A$1001)-ROW(Master!$A$2)+1),221),"")</f>
      </c>
      <c r="P225">
        <f t="shared" si="7"/>
      </c>
    </row>
    <row r="226" spans="1:16" x14ac:dyDescent="0.25">
      <c r="A226">
        <f>IF($O226="","",INDEX(Master!$D$2:$D$1001,$O226))</f>
      </c>
      <c r="B226" s="166">
        <f>IF($O226="","",INDEX(Master!$B$2:$B$1001,$O226))</f>
      </c>
      <c r="C226">
        <f>IF($O226="","",INDEX(Master!$C$2:$C$1001,$O226))</f>
      </c>
      <c r="D226">
        <f>IF($O226="","",INDEX(Master!$A$2:$A$1001,$O226))</f>
      </c>
      <c r="E226">
        <f>IF($O226="","",INDEX(Master!$E$2:$E$1001,$O226))</f>
      </c>
      <c r="F226">
        <f>IF($O226="","",INDEX(Master!$F$2:$F$1001,$O226))</f>
      </c>
      <c r="G226">
        <f>IF($O226="","",INDEX(Master!$G$2:$G$1001,$O226))</f>
      </c>
      <c r="H226">
        <f>IF($O226="","",INDEX(Master!$H$2:$H$1001,$O226))</f>
      </c>
      <c r="I226">
        <f>IF($O226="","",INDEX(Master!$I$2:$I$1001,$O226))</f>
      </c>
      <c r="J226">
        <f>IF($O226="","",INDEX(Master!$J$2:$J$1001,$O226))</f>
      </c>
      <c r="K226">
        <f t="shared" si="6"/>
      </c>
      <c r="L226">
        <f>IF($O226="","",INDEX(Master!$K$2:$K$1001,$O226))</f>
      </c>
      <c r="M226">
        <f>IF($O226="","",INDEX(Master!$L$2:$L$1001,$O226))</f>
      </c>
      <c r="O226">
        <f t="array" ref="O226">IFERROR(SMALL(IF(Master!$A$2:$A$1001="AR ISPAT",ROW(Master!$A$2:$A$1001)-ROW(Master!$A$2)+1),222),"")</f>
      </c>
      <c r="P226">
        <f t="shared" si="7"/>
      </c>
    </row>
    <row r="227" spans="1:16" x14ac:dyDescent="0.25">
      <c r="A227">
        <f>IF($O227="","",INDEX(Master!$D$2:$D$1001,$O227))</f>
      </c>
      <c r="B227" s="166">
        <f>IF($O227="","",INDEX(Master!$B$2:$B$1001,$O227))</f>
      </c>
      <c r="C227">
        <f>IF($O227="","",INDEX(Master!$C$2:$C$1001,$O227))</f>
      </c>
      <c r="D227">
        <f>IF($O227="","",INDEX(Master!$A$2:$A$1001,$O227))</f>
      </c>
      <c r="E227">
        <f>IF($O227="","",INDEX(Master!$E$2:$E$1001,$O227))</f>
      </c>
      <c r="F227">
        <f>IF($O227="","",INDEX(Master!$F$2:$F$1001,$O227))</f>
      </c>
      <c r="G227">
        <f>IF($O227="","",INDEX(Master!$G$2:$G$1001,$O227))</f>
      </c>
      <c r="H227">
        <f>IF($O227="","",INDEX(Master!$H$2:$H$1001,$O227))</f>
      </c>
      <c r="I227">
        <f>IF($O227="","",INDEX(Master!$I$2:$I$1001,$O227))</f>
      </c>
      <c r="J227">
        <f>IF($O227="","",INDEX(Master!$J$2:$J$1001,$O227))</f>
      </c>
      <c r="K227">
        <f t="shared" si="6"/>
      </c>
      <c r="L227">
        <f>IF($O227="","",INDEX(Master!$K$2:$K$1001,$O227))</f>
      </c>
      <c r="M227">
        <f>IF($O227="","",INDEX(Master!$L$2:$L$1001,$O227))</f>
      </c>
      <c r="O227">
        <f t="array" ref="O227">IFERROR(SMALL(IF(Master!$A$2:$A$1001="AR ISPAT",ROW(Master!$A$2:$A$1001)-ROW(Master!$A$2)+1),223),"")</f>
      </c>
      <c r="P227">
        <f t="shared" si="7"/>
      </c>
    </row>
    <row r="228" spans="1:16" x14ac:dyDescent="0.25">
      <c r="A228">
        <f>IF($O228="","",INDEX(Master!$D$2:$D$1001,$O228))</f>
      </c>
      <c r="B228" s="166">
        <f>IF($O228="","",INDEX(Master!$B$2:$B$1001,$O228))</f>
      </c>
      <c r="C228">
        <f>IF($O228="","",INDEX(Master!$C$2:$C$1001,$O228))</f>
      </c>
      <c r="D228">
        <f>IF($O228="","",INDEX(Master!$A$2:$A$1001,$O228))</f>
      </c>
      <c r="E228">
        <f>IF($O228="","",INDEX(Master!$E$2:$E$1001,$O228))</f>
      </c>
      <c r="F228">
        <f>IF($O228="","",INDEX(Master!$F$2:$F$1001,$O228))</f>
      </c>
      <c r="G228">
        <f>IF($O228="","",INDEX(Master!$G$2:$G$1001,$O228))</f>
      </c>
      <c r="H228">
        <f>IF($O228="","",INDEX(Master!$H$2:$H$1001,$O228))</f>
      </c>
      <c r="I228">
        <f>IF($O228="","",INDEX(Master!$I$2:$I$1001,$O228))</f>
      </c>
      <c r="J228">
        <f>IF($O228="","",INDEX(Master!$J$2:$J$1001,$O228))</f>
      </c>
      <c r="K228">
        <f t="shared" si="6"/>
      </c>
      <c r="L228">
        <f>IF($O228="","",INDEX(Master!$K$2:$K$1001,$O228))</f>
      </c>
      <c r="M228">
        <f>IF($O228="","",INDEX(Master!$L$2:$L$1001,$O228))</f>
      </c>
      <c r="O228">
        <f t="array" ref="O228">IFERROR(SMALL(IF(Master!$A$2:$A$1001="AR ISPAT",ROW(Master!$A$2:$A$1001)-ROW(Master!$A$2)+1),224),"")</f>
      </c>
      <c r="P228">
        <f t="shared" si="7"/>
      </c>
    </row>
    <row r="229" spans="1:16" x14ac:dyDescent="0.25">
      <c r="A229">
        <f>IF($O229="","",INDEX(Master!$D$2:$D$1001,$O229))</f>
      </c>
      <c r="B229" s="166">
        <f>IF($O229="","",INDEX(Master!$B$2:$B$1001,$O229))</f>
      </c>
      <c r="C229">
        <f>IF($O229="","",INDEX(Master!$C$2:$C$1001,$O229))</f>
      </c>
      <c r="D229">
        <f>IF($O229="","",INDEX(Master!$A$2:$A$1001,$O229))</f>
      </c>
      <c r="E229">
        <f>IF($O229="","",INDEX(Master!$E$2:$E$1001,$O229))</f>
      </c>
      <c r="F229">
        <f>IF($O229="","",INDEX(Master!$F$2:$F$1001,$O229))</f>
      </c>
      <c r="G229">
        <f>IF($O229="","",INDEX(Master!$G$2:$G$1001,$O229))</f>
      </c>
      <c r="H229">
        <f>IF($O229="","",INDEX(Master!$H$2:$H$1001,$O229))</f>
      </c>
      <c r="I229">
        <f>IF($O229="","",INDEX(Master!$I$2:$I$1001,$O229))</f>
      </c>
      <c r="J229">
        <f>IF($O229="","",INDEX(Master!$J$2:$J$1001,$O229))</f>
      </c>
      <c r="K229">
        <f t="shared" si="6"/>
      </c>
      <c r="L229">
        <f>IF($O229="","",INDEX(Master!$K$2:$K$1001,$O229))</f>
      </c>
      <c r="M229">
        <f>IF($O229="","",INDEX(Master!$L$2:$L$1001,$O229))</f>
      </c>
      <c r="O229">
        <f t="array" ref="O229">IFERROR(SMALL(IF(Master!$A$2:$A$1001="AR ISPAT",ROW(Master!$A$2:$A$1001)-ROW(Master!$A$2)+1),225),"")</f>
      </c>
      <c r="P229">
        <f t="shared" si="7"/>
      </c>
    </row>
    <row r="230" spans="1:16" x14ac:dyDescent="0.25">
      <c r="A230">
        <f>IF($O230="","",INDEX(Master!$D$2:$D$1001,$O230))</f>
      </c>
      <c r="B230" s="166">
        <f>IF($O230="","",INDEX(Master!$B$2:$B$1001,$O230))</f>
      </c>
      <c r="C230">
        <f>IF($O230="","",INDEX(Master!$C$2:$C$1001,$O230))</f>
      </c>
      <c r="D230">
        <f>IF($O230="","",INDEX(Master!$A$2:$A$1001,$O230))</f>
      </c>
      <c r="E230">
        <f>IF($O230="","",INDEX(Master!$E$2:$E$1001,$O230))</f>
      </c>
      <c r="F230">
        <f>IF($O230="","",INDEX(Master!$F$2:$F$1001,$O230))</f>
      </c>
      <c r="G230">
        <f>IF($O230="","",INDEX(Master!$G$2:$G$1001,$O230))</f>
      </c>
      <c r="H230">
        <f>IF($O230="","",INDEX(Master!$H$2:$H$1001,$O230))</f>
      </c>
      <c r="I230">
        <f>IF($O230="","",INDEX(Master!$I$2:$I$1001,$O230))</f>
      </c>
      <c r="J230">
        <f>IF($O230="","",INDEX(Master!$J$2:$J$1001,$O230))</f>
      </c>
      <c r="K230">
        <f t="shared" si="6"/>
      </c>
      <c r="L230">
        <f>IF($O230="","",INDEX(Master!$K$2:$K$1001,$O230))</f>
      </c>
      <c r="M230">
        <f>IF($O230="","",INDEX(Master!$L$2:$L$1001,$O230))</f>
      </c>
      <c r="O230">
        <f t="array" ref="O230">IFERROR(SMALL(IF(Master!$A$2:$A$1001="AR ISPAT",ROW(Master!$A$2:$A$1001)-ROW(Master!$A$2)+1),226),"")</f>
      </c>
      <c r="P230">
        <f t="shared" si="7"/>
      </c>
    </row>
    <row r="231" spans="1:16" x14ac:dyDescent="0.25">
      <c r="A231">
        <f>IF($O231="","",INDEX(Master!$D$2:$D$1001,$O231))</f>
      </c>
      <c r="B231" s="166">
        <f>IF($O231="","",INDEX(Master!$B$2:$B$1001,$O231))</f>
      </c>
      <c r="C231">
        <f>IF($O231="","",INDEX(Master!$C$2:$C$1001,$O231))</f>
      </c>
      <c r="D231">
        <f>IF($O231="","",INDEX(Master!$A$2:$A$1001,$O231))</f>
      </c>
      <c r="E231">
        <f>IF($O231="","",INDEX(Master!$E$2:$E$1001,$O231))</f>
      </c>
      <c r="F231">
        <f>IF($O231="","",INDEX(Master!$F$2:$F$1001,$O231))</f>
      </c>
      <c r="G231">
        <f>IF($O231="","",INDEX(Master!$G$2:$G$1001,$O231))</f>
      </c>
      <c r="H231">
        <f>IF($O231="","",INDEX(Master!$H$2:$H$1001,$O231))</f>
      </c>
      <c r="I231">
        <f>IF($O231="","",INDEX(Master!$I$2:$I$1001,$O231))</f>
      </c>
      <c r="J231">
        <f>IF($O231="","",INDEX(Master!$J$2:$J$1001,$O231))</f>
      </c>
      <c r="K231">
        <f t="shared" si="6"/>
      </c>
      <c r="L231">
        <f>IF($O231="","",INDEX(Master!$K$2:$K$1001,$O231))</f>
      </c>
      <c r="M231">
        <f>IF($O231="","",INDEX(Master!$L$2:$L$1001,$O231))</f>
      </c>
      <c r="O231">
        <f t="array" ref="O231">IFERROR(SMALL(IF(Master!$A$2:$A$1001="AR ISPAT",ROW(Master!$A$2:$A$1001)-ROW(Master!$A$2)+1),227),"")</f>
      </c>
      <c r="P231">
        <f t="shared" si="7"/>
      </c>
    </row>
    <row r="232" spans="1:16" x14ac:dyDescent="0.25">
      <c r="A232">
        <f>IF($O232="","",INDEX(Master!$D$2:$D$1001,$O232))</f>
      </c>
      <c r="B232" s="166">
        <f>IF($O232="","",INDEX(Master!$B$2:$B$1001,$O232))</f>
      </c>
      <c r="C232">
        <f>IF($O232="","",INDEX(Master!$C$2:$C$1001,$O232))</f>
      </c>
      <c r="D232">
        <f>IF($O232="","",INDEX(Master!$A$2:$A$1001,$O232))</f>
      </c>
      <c r="E232">
        <f>IF($O232="","",INDEX(Master!$E$2:$E$1001,$O232))</f>
      </c>
      <c r="F232">
        <f>IF($O232="","",INDEX(Master!$F$2:$F$1001,$O232))</f>
      </c>
      <c r="G232">
        <f>IF($O232="","",INDEX(Master!$G$2:$G$1001,$O232))</f>
      </c>
      <c r="H232">
        <f>IF($O232="","",INDEX(Master!$H$2:$H$1001,$O232))</f>
      </c>
      <c r="I232">
        <f>IF($O232="","",INDEX(Master!$I$2:$I$1001,$O232))</f>
      </c>
      <c r="J232">
        <f>IF($O232="","",INDEX(Master!$J$2:$J$1001,$O232))</f>
      </c>
      <c r="K232">
        <f t="shared" si="6"/>
      </c>
      <c r="L232">
        <f>IF($O232="","",INDEX(Master!$K$2:$K$1001,$O232))</f>
      </c>
      <c r="M232">
        <f>IF($O232="","",INDEX(Master!$L$2:$L$1001,$O232))</f>
      </c>
      <c r="O232">
        <f t="array" ref="O232">IFERROR(SMALL(IF(Master!$A$2:$A$1001="AR ISPAT",ROW(Master!$A$2:$A$1001)-ROW(Master!$A$2)+1),228),"")</f>
      </c>
      <c r="P232">
        <f t="shared" si="7"/>
      </c>
    </row>
    <row r="233" spans="1:16" x14ac:dyDescent="0.25">
      <c r="A233">
        <f>IF($O233="","",INDEX(Master!$D$2:$D$1001,$O233))</f>
      </c>
      <c r="B233" s="166">
        <f>IF($O233="","",INDEX(Master!$B$2:$B$1001,$O233))</f>
      </c>
      <c r="C233">
        <f>IF($O233="","",INDEX(Master!$C$2:$C$1001,$O233))</f>
      </c>
      <c r="D233">
        <f>IF($O233="","",INDEX(Master!$A$2:$A$1001,$O233))</f>
      </c>
      <c r="E233">
        <f>IF($O233="","",INDEX(Master!$E$2:$E$1001,$O233))</f>
      </c>
      <c r="F233">
        <f>IF($O233="","",INDEX(Master!$F$2:$F$1001,$O233))</f>
      </c>
      <c r="G233">
        <f>IF($O233="","",INDEX(Master!$G$2:$G$1001,$O233))</f>
      </c>
      <c r="H233">
        <f>IF($O233="","",INDEX(Master!$H$2:$H$1001,$O233))</f>
      </c>
      <c r="I233">
        <f>IF($O233="","",INDEX(Master!$I$2:$I$1001,$O233))</f>
      </c>
      <c r="J233">
        <f>IF($O233="","",INDEX(Master!$J$2:$J$1001,$O233))</f>
      </c>
      <c r="K233">
        <f t="shared" si="6"/>
      </c>
      <c r="L233">
        <f>IF($O233="","",INDEX(Master!$K$2:$K$1001,$O233))</f>
      </c>
      <c r="M233">
        <f>IF($O233="","",INDEX(Master!$L$2:$L$1001,$O233))</f>
      </c>
      <c r="O233">
        <f t="array" ref="O233">IFERROR(SMALL(IF(Master!$A$2:$A$1001="AR ISPAT",ROW(Master!$A$2:$A$1001)-ROW(Master!$A$2)+1),229),"")</f>
      </c>
      <c r="P233">
        <f t="shared" si="7"/>
      </c>
    </row>
    <row r="234" spans="1:16" x14ac:dyDescent="0.25">
      <c r="A234">
        <f>IF($O234="","",INDEX(Master!$D$2:$D$1001,$O234))</f>
      </c>
      <c r="B234" s="166">
        <f>IF($O234="","",INDEX(Master!$B$2:$B$1001,$O234))</f>
      </c>
      <c r="C234">
        <f>IF($O234="","",INDEX(Master!$C$2:$C$1001,$O234))</f>
      </c>
      <c r="D234">
        <f>IF($O234="","",INDEX(Master!$A$2:$A$1001,$O234))</f>
      </c>
      <c r="E234">
        <f>IF($O234="","",INDEX(Master!$E$2:$E$1001,$O234))</f>
      </c>
      <c r="F234">
        <f>IF($O234="","",INDEX(Master!$F$2:$F$1001,$O234))</f>
      </c>
      <c r="G234">
        <f>IF($O234="","",INDEX(Master!$G$2:$G$1001,$O234))</f>
      </c>
      <c r="H234">
        <f>IF($O234="","",INDEX(Master!$H$2:$H$1001,$O234))</f>
      </c>
      <c r="I234">
        <f>IF($O234="","",INDEX(Master!$I$2:$I$1001,$O234))</f>
      </c>
      <c r="J234">
        <f>IF($O234="","",INDEX(Master!$J$2:$J$1001,$O234))</f>
      </c>
      <c r="K234">
        <f t="shared" si="6"/>
      </c>
      <c r="L234">
        <f>IF($O234="","",INDEX(Master!$K$2:$K$1001,$O234))</f>
      </c>
      <c r="M234">
        <f>IF($O234="","",INDEX(Master!$L$2:$L$1001,$O234))</f>
      </c>
      <c r="O234">
        <f t="array" ref="O234">IFERROR(SMALL(IF(Master!$A$2:$A$1001="AR ISPAT",ROW(Master!$A$2:$A$1001)-ROW(Master!$A$2)+1),230),"")</f>
      </c>
      <c r="P234">
        <f t="shared" si="7"/>
      </c>
    </row>
    <row r="235" spans="1:16" x14ac:dyDescent="0.25">
      <c r="A235">
        <f>IF($O235="","",INDEX(Master!$D$2:$D$1001,$O235))</f>
      </c>
      <c r="B235" s="166">
        <f>IF($O235="","",INDEX(Master!$B$2:$B$1001,$O235))</f>
      </c>
      <c r="C235">
        <f>IF($O235="","",INDEX(Master!$C$2:$C$1001,$O235))</f>
      </c>
      <c r="D235">
        <f>IF($O235="","",INDEX(Master!$A$2:$A$1001,$O235))</f>
      </c>
      <c r="E235">
        <f>IF($O235="","",INDEX(Master!$E$2:$E$1001,$O235))</f>
      </c>
      <c r="F235">
        <f>IF($O235="","",INDEX(Master!$F$2:$F$1001,$O235))</f>
      </c>
      <c r="G235">
        <f>IF($O235="","",INDEX(Master!$G$2:$G$1001,$O235))</f>
      </c>
      <c r="H235">
        <f>IF($O235="","",INDEX(Master!$H$2:$H$1001,$O235))</f>
      </c>
      <c r="I235">
        <f>IF($O235="","",INDEX(Master!$I$2:$I$1001,$O235))</f>
      </c>
      <c r="J235">
        <f>IF($O235="","",INDEX(Master!$J$2:$J$1001,$O235))</f>
      </c>
      <c r="K235">
        <f t="shared" si="6"/>
      </c>
      <c r="L235">
        <f>IF($O235="","",INDEX(Master!$K$2:$K$1001,$O235))</f>
      </c>
      <c r="M235">
        <f>IF($O235="","",INDEX(Master!$L$2:$L$1001,$O235))</f>
      </c>
      <c r="O235">
        <f t="array" ref="O235">IFERROR(SMALL(IF(Master!$A$2:$A$1001="AR ISPAT",ROW(Master!$A$2:$A$1001)-ROW(Master!$A$2)+1),231),"")</f>
      </c>
      <c r="P235">
        <f t="shared" si="7"/>
      </c>
    </row>
    <row r="236" spans="1:16" x14ac:dyDescent="0.25">
      <c r="A236">
        <f>IF($O236="","",INDEX(Master!$D$2:$D$1001,$O236))</f>
      </c>
      <c r="B236" s="166">
        <f>IF($O236="","",INDEX(Master!$B$2:$B$1001,$O236))</f>
      </c>
      <c r="C236">
        <f>IF($O236="","",INDEX(Master!$C$2:$C$1001,$O236))</f>
      </c>
      <c r="D236">
        <f>IF($O236="","",INDEX(Master!$A$2:$A$1001,$O236))</f>
      </c>
      <c r="E236">
        <f>IF($O236="","",INDEX(Master!$E$2:$E$1001,$O236))</f>
      </c>
      <c r="F236">
        <f>IF($O236="","",INDEX(Master!$F$2:$F$1001,$O236))</f>
      </c>
      <c r="G236">
        <f>IF($O236="","",INDEX(Master!$G$2:$G$1001,$O236))</f>
      </c>
      <c r="H236">
        <f>IF($O236="","",INDEX(Master!$H$2:$H$1001,$O236))</f>
      </c>
      <c r="I236">
        <f>IF($O236="","",INDEX(Master!$I$2:$I$1001,$O236))</f>
      </c>
      <c r="J236">
        <f>IF($O236="","",INDEX(Master!$J$2:$J$1001,$O236))</f>
      </c>
      <c r="K236">
        <f t="shared" si="6"/>
      </c>
      <c r="L236">
        <f>IF($O236="","",INDEX(Master!$K$2:$K$1001,$O236))</f>
      </c>
      <c r="M236">
        <f>IF($O236="","",INDEX(Master!$L$2:$L$1001,$O236))</f>
      </c>
      <c r="O236">
        <f t="array" ref="O236">IFERROR(SMALL(IF(Master!$A$2:$A$1001="AR ISPAT",ROW(Master!$A$2:$A$1001)-ROW(Master!$A$2)+1),232),"")</f>
      </c>
      <c r="P236">
        <f t="shared" si="7"/>
      </c>
    </row>
    <row r="237" spans="1:16" x14ac:dyDescent="0.25">
      <c r="A237">
        <f>IF($O237="","",INDEX(Master!$D$2:$D$1001,$O237))</f>
      </c>
      <c r="B237" s="166">
        <f>IF($O237="","",INDEX(Master!$B$2:$B$1001,$O237))</f>
      </c>
      <c r="C237">
        <f>IF($O237="","",INDEX(Master!$C$2:$C$1001,$O237))</f>
      </c>
      <c r="D237">
        <f>IF($O237="","",INDEX(Master!$A$2:$A$1001,$O237))</f>
      </c>
      <c r="E237">
        <f>IF($O237="","",INDEX(Master!$E$2:$E$1001,$O237))</f>
      </c>
      <c r="F237">
        <f>IF($O237="","",INDEX(Master!$F$2:$F$1001,$O237))</f>
      </c>
      <c r="G237">
        <f>IF($O237="","",INDEX(Master!$G$2:$G$1001,$O237))</f>
      </c>
      <c r="H237">
        <f>IF($O237="","",INDEX(Master!$H$2:$H$1001,$O237))</f>
      </c>
      <c r="I237">
        <f>IF($O237="","",INDEX(Master!$I$2:$I$1001,$O237))</f>
      </c>
      <c r="J237">
        <f>IF($O237="","",INDEX(Master!$J$2:$J$1001,$O237))</f>
      </c>
      <c r="K237">
        <f t="shared" si="6"/>
      </c>
      <c r="L237">
        <f>IF($O237="","",INDEX(Master!$K$2:$K$1001,$O237))</f>
      </c>
      <c r="M237">
        <f>IF($O237="","",INDEX(Master!$L$2:$L$1001,$O237))</f>
      </c>
      <c r="O237">
        <f t="array" ref="O237">IFERROR(SMALL(IF(Master!$A$2:$A$1001="AR ISPAT",ROW(Master!$A$2:$A$1001)-ROW(Master!$A$2)+1),233),"")</f>
      </c>
      <c r="P237">
        <f t="shared" si="7"/>
      </c>
    </row>
    <row r="238" spans="1:16" x14ac:dyDescent="0.25">
      <c r="A238">
        <f>IF($O238="","",INDEX(Master!$D$2:$D$1001,$O238))</f>
      </c>
      <c r="B238" s="166">
        <f>IF($O238="","",INDEX(Master!$B$2:$B$1001,$O238))</f>
      </c>
      <c r="C238">
        <f>IF($O238="","",INDEX(Master!$C$2:$C$1001,$O238))</f>
      </c>
      <c r="D238">
        <f>IF($O238="","",INDEX(Master!$A$2:$A$1001,$O238))</f>
      </c>
      <c r="E238">
        <f>IF($O238="","",INDEX(Master!$E$2:$E$1001,$O238))</f>
      </c>
      <c r="F238">
        <f>IF($O238="","",INDEX(Master!$F$2:$F$1001,$O238))</f>
      </c>
      <c r="G238">
        <f>IF($O238="","",INDEX(Master!$G$2:$G$1001,$O238))</f>
      </c>
      <c r="H238">
        <f>IF($O238="","",INDEX(Master!$H$2:$H$1001,$O238))</f>
      </c>
      <c r="I238">
        <f>IF($O238="","",INDEX(Master!$I$2:$I$1001,$O238))</f>
      </c>
      <c r="J238">
        <f>IF($O238="","",INDEX(Master!$J$2:$J$1001,$O238))</f>
      </c>
      <c r="K238">
        <f t="shared" si="6"/>
      </c>
      <c r="L238">
        <f>IF($O238="","",INDEX(Master!$K$2:$K$1001,$O238))</f>
      </c>
      <c r="M238">
        <f>IF($O238="","",INDEX(Master!$L$2:$L$1001,$O238))</f>
      </c>
      <c r="O238">
        <f t="array" ref="O238">IFERROR(SMALL(IF(Master!$A$2:$A$1001="AR ISPAT",ROW(Master!$A$2:$A$1001)-ROW(Master!$A$2)+1),234),"")</f>
      </c>
      <c r="P238">
        <f t="shared" si="7"/>
      </c>
    </row>
    <row r="239" spans="1:16" x14ac:dyDescent="0.25">
      <c r="A239">
        <f>IF($O239="","",INDEX(Master!$D$2:$D$1001,$O239))</f>
      </c>
      <c r="B239" s="166">
        <f>IF($O239="","",INDEX(Master!$B$2:$B$1001,$O239))</f>
      </c>
      <c r="C239">
        <f>IF($O239="","",INDEX(Master!$C$2:$C$1001,$O239))</f>
      </c>
      <c r="D239">
        <f>IF($O239="","",INDEX(Master!$A$2:$A$1001,$O239))</f>
      </c>
      <c r="E239">
        <f>IF($O239="","",INDEX(Master!$E$2:$E$1001,$O239))</f>
      </c>
      <c r="F239">
        <f>IF($O239="","",INDEX(Master!$F$2:$F$1001,$O239))</f>
      </c>
      <c r="G239">
        <f>IF($O239="","",INDEX(Master!$G$2:$G$1001,$O239))</f>
      </c>
      <c r="H239">
        <f>IF($O239="","",INDEX(Master!$H$2:$H$1001,$O239))</f>
      </c>
      <c r="I239">
        <f>IF($O239="","",INDEX(Master!$I$2:$I$1001,$O239))</f>
      </c>
      <c r="J239">
        <f>IF($O239="","",INDEX(Master!$J$2:$J$1001,$O239))</f>
      </c>
      <c r="K239">
        <f t="shared" si="6"/>
      </c>
      <c r="L239">
        <f>IF($O239="","",INDEX(Master!$K$2:$K$1001,$O239))</f>
      </c>
      <c r="M239">
        <f>IF($O239="","",INDEX(Master!$L$2:$L$1001,$O239))</f>
      </c>
      <c r="O239">
        <f t="array" ref="O239">IFERROR(SMALL(IF(Master!$A$2:$A$1001="AR ISPAT",ROW(Master!$A$2:$A$1001)-ROW(Master!$A$2)+1),235),"")</f>
      </c>
      <c r="P239">
        <f t="shared" si="7"/>
      </c>
    </row>
    <row r="240" spans="1:16" x14ac:dyDescent="0.25">
      <c r="A240">
        <f>IF($O240="","",INDEX(Master!$D$2:$D$1001,$O240))</f>
      </c>
      <c r="B240" s="166">
        <f>IF($O240="","",INDEX(Master!$B$2:$B$1001,$O240))</f>
      </c>
      <c r="C240">
        <f>IF($O240="","",INDEX(Master!$C$2:$C$1001,$O240))</f>
      </c>
      <c r="D240">
        <f>IF($O240="","",INDEX(Master!$A$2:$A$1001,$O240))</f>
      </c>
      <c r="E240">
        <f>IF($O240="","",INDEX(Master!$E$2:$E$1001,$O240))</f>
      </c>
      <c r="F240">
        <f>IF($O240="","",INDEX(Master!$F$2:$F$1001,$O240))</f>
      </c>
      <c r="G240">
        <f>IF($O240="","",INDEX(Master!$G$2:$G$1001,$O240))</f>
      </c>
      <c r="H240">
        <f>IF($O240="","",INDEX(Master!$H$2:$H$1001,$O240))</f>
      </c>
      <c r="I240">
        <f>IF($O240="","",INDEX(Master!$I$2:$I$1001,$O240))</f>
      </c>
      <c r="J240">
        <f>IF($O240="","",INDEX(Master!$J$2:$J$1001,$O240))</f>
      </c>
      <c r="K240">
        <f t="shared" si="6"/>
      </c>
      <c r="L240">
        <f>IF($O240="","",INDEX(Master!$K$2:$K$1001,$O240))</f>
      </c>
      <c r="M240">
        <f>IF($O240="","",INDEX(Master!$L$2:$L$1001,$O240))</f>
      </c>
      <c r="O240">
        <f t="array" ref="O240">IFERROR(SMALL(IF(Master!$A$2:$A$1001="AR ISPAT",ROW(Master!$A$2:$A$1001)-ROW(Master!$A$2)+1),236),"")</f>
      </c>
      <c r="P240">
        <f t="shared" si="7"/>
      </c>
    </row>
    <row r="241" spans="1:16" x14ac:dyDescent="0.25">
      <c r="A241">
        <f>IF($O241="","",INDEX(Master!$D$2:$D$1001,$O241))</f>
      </c>
      <c r="B241" s="166">
        <f>IF($O241="","",INDEX(Master!$B$2:$B$1001,$O241))</f>
      </c>
      <c r="C241">
        <f>IF($O241="","",INDEX(Master!$C$2:$C$1001,$O241))</f>
      </c>
      <c r="D241">
        <f>IF($O241="","",INDEX(Master!$A$2:$A$1001,$O241))</f>
      </c>
      <c r="E241">
        <f>IF($O241="","",INDEX(Master!$E$2:$E$1001,$O241))</f>
      </c>
      <c r="F241">
        <f>IF($O241="","",INDEX(Master!$F$2:$F$1001,$O241))</f>
      </c>
      <c r="G241">
        <f>IF($O241="","",INDEX(Master!$G$2:$G$1001,$O241))</f>
      </c>
      <c r="H241">
        <f>IF($O241="","",INDEX(Master!$H$2:$H$1001,$O241))</f>
      </c>
      <c r="I241">
        <f>IF($O241="","",INDEX(Master!$I$2:$I$1001,$O241))</f>
      </c>
      <c r="J241">
        <f>IF($O241="","",INDEX(Master!$J$2:$J$1001,$O241))</f>
      </c>
      <c r="K241">
        <f t="shared" si="6"/>
      </c>
      <c r="L241">
        <f>IF($O241="","",INDEX(Master!$K$2:$K$1001,$O241))</f>
      </c>
      <c r="M241">
        <f>IF($O241="","",INDEX(Master!$L$2:$L$1001,$O241))</f>
      </c>
      <c r="O241">
        <f t="array" ref="O241">IFERROR(SMALL(IF(Master!$A$2:$A$1001="AR ISPAT",ROW(Master!$A$2:$A$1001)-ROW(Master!$A$2)+1),237),"")</f>
      </c>
      <c r="P241">
        <f t="shared" si="7"/>
      </c>
    </row>
    <row r="242" spans="1:16" x14ac:dyDescent="0.25">
      <c r="A242">
        <f>IF($O242="","",INDEX(Master!$D$2:$D$1001,$O242))</f>
      </c>
      <c r="B242" s="166">
        <f>IF($O242="","",INDEX(Master!$B$2:$B$1001,$O242))</f>
      </c>
      <c r="C242">
        <f>IF($O242="","",INDEX(Master!$C$2:$C$1001,$O242))</f>
      </c>
      <c r="D242">
        <f>IF($O242="","",INDEX(Master!$A$2:$A$1001,$O242))</f>
      </c>
      <c r="E242">
        <f>IF($O242="","",INDEX(Master!$E$2:$E$1001,$O242))</f>
      </c>
      <c r="F242">
        <f>IF($O242="","",INDEX(Master!$F$2:$F$1001,$O242))</f>
      </c>
      <c r="G242">
        <f>IF($O242="","",INDEX(Master!$G$2:$G$1001,$O242))</f>
      </c>
      <c r="H242">
        <f>IF($O242="","",INDEX(Master!$H$2:$H$1001,$O242))</f>
      </c>
      <c r="I242">
        <f>IF($O242="","",INDEX(Master!$I$2:$I$1001,$O242))</f>
      </c>
      <c r="J242">
        <f>IF($O242="","",INDEX(Master!$J$2:$J$1001,$O242))</f>
      </c>
      <c r="K242">
        <f t="shared" si="6"/>
      </c>
      <c r="L242">
        <f>IF($O242="","",INDEX(Master!$K$2:$K$1001,$O242))</f>
      </c>
      <c r="M242">
        <f>IF($O242="","",INDEX(Master!$L$2:$L$1001,$O242))</f>
      </c>
      <c r="O242">
        <f t="array" ref="O242">IFERROR(SMALL(IF(Master!$A$2:$A$1001="AR ISPAT",ROW(Master!$A$2:$A$1001)-ROW(Master!$A$2)+1),238),"")</f>
      </c>
      <c r="P242">
        <f t="shared" si="7"/>
      </c>
    </row>
    <row r="243" spans="1:16" x14ac:dyDescent="0.25">
      <c r="A243">
        <f>IF($O243="","",INDEX(Master!$D$2:$D$1001,$O243))</f>
      </c>
      <c r="B243" s="166">
        <f>IF($O243="","",INDEX(Master!$B$2:$B$1001,$O243))</f>
      </c>
      <c r="C243">
        <f>IF($O243="","",INDEX(Master!$C$2:$C$1001,$O243))</f>
      </c>
      <c r="D243">
        <f>IF($O243="","",INDEX(Master!$A$2:$A$1001,$O243))</f>
      </c>
      <c r="E243">
        <f>IF($O243="","",INDEX(Master!$E$2:$E$1001,$O243))</f>
      </c>
      <c r="F243">
        <f>IF($O243="","",INDEX(Master!$F$2:$F$1001,$O243))</f>
      </c>
      <c r="G243">
        <f>IF($O243="","",INDEX(Master!$G$2:$G$1001,$O243))</f>
      </c>
      <c r="H243">
        <f>IF($O243="","",INDEX(Master!$H$2:$H$1001,$O243))</f>
      </c>
      <c r="I243">
        <f>IF($O243="","",INDEX(Master!$I$2:$I$1001,$O243))</f>
      </c>
      <c r="J243">
        <f>IF($O243="","",INDEX(Master!$J$2:$J$1001,$O243))</f>
      </c>
      <c r="K243">
        <f t="shared" si="6"/>
      </c>
      <c r="L243">
        <f>IF($O243="","",INDEX(Master!$K$2:$K$1001,$O243))</f>
      </c>
      <c r="M243">
        <f>IF($O243="","",INDEX(Master!$L$2:$L$1001,$O243))</f>
      </c>
      <c r="O243">
        <f t="array" ref="O243">IFERROR(SMALL(IF(Master!$A$2:$A$1001="AR ISPAT",ROW(Master!$A$2:$A$1001)-ROW(Master!$A$2)+1),239),"")</f>
      </c>
      <c r="P243">
        <f t="shared" si="7"/>
      </c>
    </row>
    <row r="244" spans="1:16" x14ac:dyDescent="0.25">
      <c r="A244">
        <f>IF($O244="","",INDEX(Master!$D$2:$D$1001,$O244))</f>
      </c>
      <c r="B244" s="166">
        <f>IF($O244="","",INDEX(Master!$B$2:$B$1001,$O244))</f>
      </c>
      <c r="C244">
        <f>IF($O244="","",INDEX(Master!$C$2:$C$1001,$O244))</f>
      </c>
      <c r="D244">
        <f>IF($O244="","",INDEX(Master!$A$2:$A$1001,$O244))</f>
      </c>
      <c r="E244">
        <f>IF($O244="","",INDEX(Master!$E$2:$E$1001,$O244))</f>
      </c>
      <c r="F244">
        <f>IF($O244="","",INDEX(Master!$F$2:$F$1001,$O244))</f>
      </c>
      <c r="G244">
        <f>IF($O244="","",INDEX(Master!$G$2:$G$1001,$O244))</f>
      </c>
      <c r="H244">
        <f>IF($O244="","",INDEX(Master!$H$2:$H$1001,$O244))</f>
      </c>
      <c r="I244">
        <f>IF($O244="","",INDEX(Master!$I$2:$I$1001,$O244))</f>
      </c>
      <c r="J244">
        <f>IF($O244="","",INDEX(Master!$J$2:$J$1001,$O244))</f>
      </c>
      <c r="K244">
        <f t="shared" si="6"/>
      </c>
      <c r="L244">
        <f>IF($O244="","",INDEX(Master!$K$2:$K$1001,$O244))</f>
      </c>
      <c r="M244">
        <f>IF($O244="","",INDEX(Master!$L$2:$L$1001,$O244))</f>
      </c>
      <c r="O244">
        <f t="array" ref="O244">IFERROR(SMALL(IF(Master!$A$2:$A$1001="AR ISPAT",ROW(Master!$A$2:$A$1001)-ROW(Master!$A$2)+1),240),"")</f>
      </c>
      <c r="P244">
        <f t="shared" si="7"/>
      </c>
    </row>
    <row r="245" spans="1:16" x14ac:dyDescent="0.25">
      <c r="A245">
        <f>IF($O245="","",INDEX(Master!$D$2:$D$1001,$O245))</f>
      </c>
      <c r="B245" s="166">
        <f>IF($O245="","",INDEX(Master!$B$2:$B$1001,$O245))</f>
      </c>
      <c r="C245">
        <f>IF($O245="","",INDEX(Master!$C$2:$C$1001,$O245))</f>
      </c>
      <c r="D245">
        <f>IF($O245="","",INDEX(Master!$A$2:$A$1001,$O245))</f>
      </c>
      <c r="E245">
        <f>IF($O245="","",INDEX(Master!$E$2:$E$1001,$O245))</f>
      </c>
      <c r="F245">
        <f>IF($O245="","",INDEX(Master!$F$2:$F$1001,$O245))</f>
      </c>
      <c r="G245">
        <f>IF($O245="","",INDEX(Master!$G$2:$G$1001,$O245))</f>
      </c>
      <c r="H245">
        <f>IF($O245="","",INDEX(Master!$H$2:$H$1001,$O245))</f>
      </c>
      <c r="I245">
        <f>IF($O245="","",INDEX(Master!$I$2:$I$1001,$O245))</f>
      </c>
      <c r="J245">
        <f>IF($O245="","",INDEX(Master!$J$2:$J$1001,$O245))</f>
      </c>
      <c r="K245">
        <f t="shared" si="6"/>
      </c>
      <c r="L245">
        <f>IF($O245="","",INDEX(Master!$K$2:$K$1001,$O245))</f>
      </c>
      <c r="M245">
        <f>IF($O245="","",INDEX(Master!$L$2:$L$1001,$O245))</f>
      </c>
      <c r="O245">
        <f t="array" ref="O245">IFERROR(SMALL(IF(Master!$A$2:$A$1001="AR ISPAT",ROW(Master!$A$2:$A$1001)-ROW(Master!$A$2)+1),241),"")</f>
      </c>
      <c r="P245">
        <f t="shared" si="7"/>
      </c>
    </row>
    <row r="246" spans="1:16" x14ac:dyDescent="0.25">
      <c r="A246">
        <f>IF($O246="","",INDEX(Master!$D$2:$D$1001,$O246))</f>
      </c>
      <c r="B246" s="166">
        <f>IF($O246="","",INDEX(Master!$B$2:$B$1001,$O246))</f>
      </c>
      <c r="C246">
        <f>IF($O246="","",INDEX(Master!$C$2:$C$1001,$O246))</f>
      </c>
      <c r="D246">
        <f>IF($O246="","",INDEX(Master!$A$2:$A$1001,$O246))</f>
      </c>
      <c r="E246">
        <f>IF($O246="","",INDEX(Master!$E$2:$E$1001,$O246))</f>
      </c>
      <c r="F246">
        <f>IF($O246="","",INDEX(Master!$F$2:$F$1001,$O246))</f>
      </c>
      <c r="G246">
        <f>IF($O246="","",INDEX(Master!$G$2:$G$1001,$O246))</f>
      </c>
      <c r="H246">
        <f>IF($O246="","",INDEX(Master!$H$2:$H$1001,$O246))</f>
      </c>
      <c r="I246">
        <f>IF($O246="","",INDEX(Master!$I$2:$I$1001,$O246))</f>
      </c>
      <c r="J246">
        <f>IF($O246="","",INDEX(Master!$J$2:$J$1001,$O246))</f>
      </c>
      <c r="K246">
        <f t="shared" si="6"/>
      </c>
      <c r="L246">
        <f>IF($O246="","",INDEX(Master!$K$2:$K$1001,$O246))</f>
      </c>
      <c r="M246">
        <f>IF($O246="","",INDEX(Master!$L$2:$L$1001,$O246))</f>
      </c>
      <c r="O246">
        <f t="array" ref="O246">IFERROR(SMALL(IF(Master!$A$2:$A$1001="AR ISPAT",ROW(Master!$A$2:$A$1001)-ROW(Master!$A$2)+1),242),"")</f>
      </c>
      <c r="P246">
        <f t="shared" si="7"/>
      </c>
    </row>
    <row r="247" spans="1:16" x14ac:dyDescent="0.25">
      <c r="A247">
        <f>IF($O247="","",INDEX(Master!$D$2:$D$1001,$O247))</f>
      </c>
      <c r="B247" s="166">
        <f>IF($O247="","",INDEX(Master!$B$2:$B$1001,$O247))</f>
      </c>
      <c r="C247">
        <f>IF($O247="","",INDEX(Master!$C$2:$C$1001,$O247))</f>
      </c>
      <c r="D247">
        <f>IF($O247="","",INDEX(Master!$A$2:$A$1001,$O247))</f>
      </c>
      <c r="E247">
        <f>IF($O247="","",INDEX(Master!$E$2:$E$1001,$O247))</f>
      </c>
      <c r="F247">
        <f>IF($O247="","",INDEX(Master!$F$2:$F$1001,$O247))</f>
      </c>
      <c r="G247">
        <f>IF($O247="","",INDEX(Master!$G$2:$G$1001,$O247))</f>
      </c>
      <c r="H247">
        <f>IF($O247="","",INDEX(Master!$H$2:$H$1001,$O247))</f>
      </c>
      <c r="I247">
        <f>IF($O247="","",INDEX(Master!$I$2:$I$1001,$O247))</f>
      </c>
      <c r="J247">
        <f>IF($O247="","",INDEX(Master!$J$2:$J$1001,$O247))</f>
      </c>
      <c r="K247">
        <f t="shared" si="6"/>
      </c>
      <c r="L247">
        <f>IF($O247="","",INDEX(Master!$K$2:$K$1001,$O247))</f>
      </c>
      <c r="M247">
        <f>IF($O247="","",INDEX(Master!$L$2:$L$1001,$O247))</f>
      </c>
      <c r="O247">
        <f t="array" ref="O247">IFERROR(SMALL(IF(Master!$A$2:$A$1001="AR ISPAT",ROW(Master!$A$2:$A$1001)-ROW(Master!$A$2)+1),243),"")</f>
      </c>
      <c r="P247">
        <f t="shared" si="7"/>
      </c>
    </row>
    <row r="248" spans="1:16" x14ac:dyDescent="0.25">
      <c r="A248">
        <f>IF($O248="","",INDEX(Master!$D$2:$D$1001,$O248))</f>
      </c>
      <c r="B248" s="166">
        <f>IF($O248="","",INDEX(Master!$B$2:$B$1001,$O248))</f>
      </c>
      <c r="C248">
        <f>IF($O248="","",INDEX(Master!$C$2:$C$1001,$O248))</f>
      </c>
      <c r="D248">
        <f>IF($O248="","",INDEX(Master!$A$2:$A$1001,$O248))</f>
      </c>
      <c r="E248">
        <f>IF($O248="","",INDEX(Master!$E$2:$E$1001,$O248))</f>
      </c>
      <c r="F248">
        <f>IF($O248="","",INDEX(Master!$F$2:$F$1001,$O248))</f>
      </c>
      <c r="G248">
        <f>IF($O248="","",INDEX(Master!$G$2:$G$1001,$O248))</f>
      </c>
      <c r="H248">
        <f>IF($O248="","",INDEX(Master!$H$2:$H$1001,$O248))</f>
      </c>
      <c r="I248">
        <f>IF($O248="","",INDEX(Master!$I$2:$I$1001,$O248))</f>
      </c>
      <c r="J248">
        <f>IF($O248="","",INDEX(Master!$J$2:$J$1001,$O248))</f>
      </c>
      <c r="K248">
        <f t="shared" si="6"/>
      </c>
      <c r="L248">
        <f>IF($O248="","",INDEX(Master!$K$2:$K$1001,$O248))</f>
      </c>
      <c r="M248">
        <f>IF($O248="","",INDEX(Master!$L$2:$L$1001,$O248))</f>
      </c>
      <c r="O248">
        <f t="array" ref="O248">IFERROR(SMALL(IF(Master!$A$2:$A$1001="AR ISPAT",ROW(Master!$A$2:$A$1001)-ROW(Master!$A$2)+1),244),"")</f>
      </c>
      <c r="P248">
        <f t="shared" si="7"/>
      </c>
    </row>
    <row r="249" spans="1:16" x14ac:dyDescent="0.25">
      <c r="A249">
        <f>IF($O249="","",INDEX(Master!$D$2:$D$1001,$O249))</f>
      </c>
      <c r="B249" s="166">
        <f>IF($O249="","",INDEX(Master!$B$2:$B$1001,$O249))</f>
      </c>
      <c r="C249">
        <f>IF($O249="","",INDEX(Master!$C$2:$C$1001,$O249))</f>
      </c>
      <c r="D249">
        <f>IF($O249="","",INDEX(Master!$A$2:$A$1001,$O249))</f>
      </c>
      <c r="E249">
        <f>IF($O249="","",INDEX(Master!$E$2:$E$1001,$O249))</f>
      </c>
      <c r="F249">
        <f>IF($O249="","",INDEX(Master!$F$2:$F$1001,$O249))</f>
      </c>
      <c r="G249">
        <f>IF($O249="","",INDEX(Master!$G$2:$G$1001,$O249))</f>
      </c>
      <c r="H249">
        <f>IF($O249="","",INDEX(Master!$H$2:$H$1001,$O249))</f>
      </c>
      <c r="I249">
        <f>IF($O249="","",INDEX(Master!$I$2:$I$1001,$O249))</f>
      </c>
      <c r="J249">
        <f>IF($O249="","",INDEX(Master!$J$2:$J$1001,$O249))</f>
      </c>
      <c r="K249">
        <f t="shared" si="6"/>
      </c>
      <c r="L249">
        <f>IF($O249="","",INDEX(Master!$K$2:$K$1001,$O249))</f>
      </c>
      <c r="M249">
        <f>IF($O249="","",INDEX(Master!$L$2:$L$1001,$O249))</f>
      </c>
      <c r="O249">
        <f t="array" ref="O249">IFERROR(SMALL(IF(Master!$A$2:$A$1001="AR ISPAT",ROW(Master!$A$2:$A$1001)-ROW(Master!$A$2)+1),245),"")</f>
      </c>
      <c r="P249">
        <f t="shared" si="7"/>
      </c>
    </row>
    <row r="250" spans="1:16" x14ac:dyDescent="0.25">
      <c r="A250">
        <f>IF($O250="","",INDEX(Master!$D$2:$D$1001,$O250))</f>
      </c>
      <c r="B250" s="166">
        <f>IF($O250="","",INDEX(Master!$B$2:$B$1001,$O250))</f>
      </c>
      <c r="C250">
        <f>IF($O250="","",INDEX(Master!$C$2:$C$1001,$O250))</f>
      </c>
      <c r="D250">
        <f>IF($O250="","",INDEX(Master!$A$2:$A$1001,$O250))</f>
      </c>
      <c r="E250">
        <f>IF($O250="","",INDEX(Master!$E$2:$E$1001,$O250))</f>
      </c>
      <c r="F250">
        <f>IF($O250="","",INDEX(Master!$F$2:$F$1001,$O250))</f>
      </c>
      <c r="G250">
        <f>IF($O250="","",INDEX(Master!$G$2:$G$1001,$O250))</f>
      </c>
      <c r="H250">
        <f>IF($O250="","",INDEX(Master!$H$2:$H$1001,$O250))</f>
      </c>
      <c r="I250">
        <f>IF($O250="","",INDEX(Master!$I$2:$I$1001,$O250))</f>
      </c>
      <c r="J250">
        <f>IF($O250="","",INDEX(Master!$J$2:$J$1001,$O250))</f>
      </c>
      <c r="K250">
        <f t="shared" si="6"/>
      </c>
      <c r="L250">
        <f>IF($O250="","",INDEX(Master!$K$2:$K$1001,$O250))</f>
      </c>
      <c r="M250">
        <f>IF($O250="","",INDEX(Master!$L$2:$L$1001,$O250))</f>
      </c>
      <c r="O250">
        <f t="array" ref="O250">IFERROR(SMALL(IF(Master!$A$2:$A$1001="AR ISPAT",ROW(Master!$A$2:$A$1001)-ROW(Master!$A$2)+1),246),"")</f>
      </c>
      <c r="P250">
        <f t="shared" si="7"/>
      </c>
    </row>
    <row r="251" spans="1:16" x14ac:dyDescent="0.25">
      <c r="A251">
        <f>IF($O251="","",INDEX(Master!$D$2:$D$1001,$O251))</f>
      </c>
      <c r="B251" s="166">
        <f>IF($O251="","",INDEX(Master!$B$2:$B$1001,$O251))</f>
      </c>
      <c r="C251">
        <f>IF($O251="","",INDEX(Master!$C$2:$C$1001,$O251))</f>
      </c>
      <c r="D251">
        <f>IF($O251="","",INDEX(Master!$A$2:$A$1001,$O251))</f>
      </c>
      <c r="E251">
        <f>IF($O251="","",INDEX(Master!$E$2:$E$1001,$O251))</f>
      </c>
      <c r="F251">
        <f>IF($O251="","",INDEX(Master!$F$2:$F$1001,$O251))</f>
      </c>
      <c r="G251">
        <f>IF($O251="","",INDEX(Master!$G$2:$G$1001,$O251))</f>
      </c>
      <c r="H251">
        <f>IF($O251="","",INDEX(Master!$H$2:$H$1001,$O251))</f>
      </c>
      <c r="I251">
        <f>IF($O251="","",INDEX(Master!$I$2:$I$1001,$O251))</f>
      </c>
      <c r="J251">
        <f>IF($O251="","",INDEX(Master!$J$2:$J$1001,$O251))</f>
      </c>
      <c r="K251">
        <f t="shared" si="6"/>
      </c>
      <c r="L251">
        <f>IF($O251="","",INDEX(Master!$K$2:$K$1001,$O251))</f>
      </c>
      <c r="M251">
        <f>IF($O251="","",INDEX(Master!$L$2:$L$1001,$O251))</f>
      </c>
      <c r="O251">
        <f t="array" ref="O251">IFERROR(SMALL(IF(Master!$A$2:$A$1001="AR ISPAT",ROW(Master!$A$2:$A$1001)-ROW(Master!$A$2)+1),247),"")</f>
      </c>
      <c r="P251">
        <f t="shared" si="7"/>
      </c>
    </row>
    <row r="252" spans="1:16" x14ac:dyDescent="0.25">
      <c r="A252">
        <f>IF($O252="","",INDEX(Master!$D$2:$D$1001,$O252))</f>
      </c>
      <c r="B252" s="166">
        <f>IF($O252="","",INDEX(Master!$B$2:$B$1001,$O252))</f>
      </c>
      <c r="C252">
        <f>IF($O252="","",INDEX(Master!$C$2:$C$1001,$O252))</f>
      </c>
      <c r="D252">
        <f>IF($O252="","",INDEX(Master!$A$2:$A$1001,$O252))</f>
      </c>
      <c r="E252">
        <f>IF($O252="","",INDEX(Master!$E$2:$E$1001,$O252))</f>
      </c>
      <c r="F252">
        <f>IF($O252="","",INDEX(Master!$F$2:$F$1001,$O252))</f>
      </c>
      <c r="G252">
        <f>IF($O252="","",INDEX(Master!$G$2:$G$1001,$O252))</f>
      </c>
      <c r="H252">
        <f>IF($O252="","",INDEX(Master!$H$2:$H$1001,$O252))</f>
      </c>
      <c r="I252">
        <f>IF($O252="","",INDEX(Master!$I$2:$I$1001,$O252))</f>
      </c>
      <c r="J252">
        <f>IF($O252="","",INDEX(Master!$J$2:$J$1001,$O252))</f>
      </c>
      <c r="K252">
        <f t="shared" si="6"/>
      </c>
      <c r="L252">
        <f>IF($O252="","",INDEX(Master!$K$2:$K$1001,$O252))</f>
      </c>
      <c r="M252">
        <f>IF($O252="","",INDEX(Master!$L$2:$L$1001,$O252))</f>
      </c>
      <c r="O252">
        <f t="array" ref="O252">IFERROR(SMALL(IF(Master!$A$2:$A$1001="AR ISPAT",ROW(Master!$A$2:$A$1001)-ROW(Master!$A$2)+1),248),"")</f>
      </c>
      <c r="P252">
        <f t="shared" si="7"/>
      </c>
    </row>
    <row r="253" spans="1:16" x14ac:dyDescent="0.25">
      <c r="A253">
        <f>IF($O253="","",INDEX(Master!$D$2:$D$1001,$O253))</f>
      </c>
      <c r="B253" s="166">
        <f>IF($O253="","",INDEX(Master!$B$2:$B$1001,$O253))</f>
      </c>
      <c r="C253">
        <f>IF($O253="","",INDEX(Master!$C$2:$C$1001,$O253))</f>
      </c>
      <c r="D253">
        <f>IF($O253="","",INDEX(Master!$A$2:$A$1001,$O253))</f>
      </c>
      <c r="E253">
        <f>IF($O253="","",INDEX(Master!$E$2:$E$1001,$O253))</f>
      </c>
      <c r="F253">
        <f>IF($O253="","",INDEX(Master!$F$2:$F$1001,$O253))</f>
      </c>
      <c r="G253">
        <f>IF($O253="","",INDEX(Master!$G$2:$G$1001,$O253))</f>
      </c>
      <c r="H253">
        <f>IF($O253="","",INDEX(Master!$H$2:$H$1001,$O253))</f>
      </c>
      <c r="I253">
        <f>IF($O253="","",INDEX(Master!$I$2:$I$1001,$O253))</f>
      </c>
      <c r="J253">
        <f>IF($O253="","",INDEX(Master!$J$2:$J$1001,$O253))</f>
      </c>
      <c r="K253">
        <f t="shared" si="6"/>
      </c>
      <c r="L253">
        <f>IF($O253="","",INDEX(Master!$K$2:$K$1001,$O253))</f>
      </c>
      <c r="M253">
        <f>IF($O253="","",INDEX(Master!$L$2:$L$1001,$O253))</f>
      </c>
      <c r="O253">
        <f t="array" ref="O253">IFERROR(SMALL(IF(Master!$A$2:$A$1001="AR ISPAT",ROW(Master!$A$2:$A$1001)-ROW(Master!$A$2)+1),249),"")</f>
      </c>
      <c r="P253">
        <f t="shared" si="7"/>
      </c>
    </row>
    <row r="254" spans="1:16" x14ac:dyDescent="0.25">
      <c r="A254">
        <f>IF($O254="","",INDEX(Master!$D$2:$D$1001,$O254))</f>
      </c>
      <c r="B254" s="166">
        <f>IF($O254="","",INDEX(Master!$B$2:$B$1001,$O254))</f>
      </c>
      <c r="C254">
        <f>IF($O254="","",INDEX(Master!$C$2:$C$1001,$O254))</f>
      </c>
      <c r="D254">
        <f>IF($O254="","",INDEX(Master!$A$2:$A$1001,$O254))</f>
      </c>
      <c r="E254">
        <f>IF($O254="","",INDEX(Master!$E$2:$E$1001,$O254))</f>
      </c>
      <c r="F254">
        <f>IF($O254="","",INDEX(Master!$F$2:$F$1001,$O254))</f>
      </c>
      <c r="G254">
        <f>IF($O254="","",INDEX(Master!$G$2:$G$1001,$O254))</f>
      </c>
      <c r="H254">
        <f>IF($O254="","",INDEX(Master!$H$2:$H$1001,$O254))</f>
      </c>
      <c r="I254">
        <f>IF($O254="","",INDEX(Master!$I$2:$I$1001,$O254))</f>
      </c>
      <c r="J254">
        <f>IF($O254="","",INDEX(Master!$J$2:$J$1001,$O254))</f>
      </c>
      <c r="K254">
        <f t="shared" si="6"/>
      </c>
      <c r="L254">
        <f>IF($O254="","",INDEX(Master!$K$2:$K$1001,$O254))</f>
      </c>
      <c r="M254">
        <f>IF($O254="","",INDEX(Master!$L$2:$L$1001,$O254))</f>
      </c>
      <c r="O254">
        <f t="array" ref="O254">IFERROR(SMALL(IF(Master!$A$2:$A$1001="AR ISPAT",ROW(Master!$A$2:$A$1001)-ROW(Master!$A$2)+1),250),"")</f>
      </c>
      <c r="P254">
        <f t="shared" si="7"/>
      </c>
    </row>
    <row r="255" spans="1:16" x14ac:dyDescent="0.25">
      <c r="A255">
        <f>IF($O255="","",INDEX(Master!$D$2:$D$1001,$O255))</f>
      </c>
      <c r="B255" s="166">
        <f>IF($O255="","",INDEX(Master!$B$2:$B$1001,$O255))</f>
      </c>
      <c r="C255">
        <f>IF($O255="","",INDEX(Master!$C$2:$C$1001,$O255))</f>
      </c>
      <c r="D255">
        <f>IF($O255="","",INDEX(Master!$A$2:$A$1001,$O255))</f>
      </c>
      <c r="E255">
        <f>IF($O255="","",INDEX(Master!$E$2:$E$1001,$O255))</f>
      </c>
      <c r="F255">
        <f>IF($O255="","",INDEX(Master!$F$2:$F$1001,$O255))</f>
      </c>
      <c r="G255">
        <f>IF($O255="","",INDEX(Master!$G$2:$G$1001,$O255))</f>
      </c>
      <c r="H255">
        <f>IF($O255="","",INDEX(Master!$H$2:$H$1001,$O255))</f>
      </c>
      <c r="I255">
        <f>IF($O255="","",INDEX(Master!$I$2:$I$1001,$O255))</f>
      </c>
      <c r="J255">
        <f>IF($O255="","",INDEX(Master!$J$2:$J$1001,$O255))</f>
      </c>
      <c r="K255">
        <f t="shared" si="6"/>
      </c>
      <c r="L255">
        <f>IF($O255="","",INDEX(Master!$K$2:$K$1001,$O255))</f>
      </c>
      <c r="M255">
        <f>IF($O255="","",INDEX(Master!$L$2:$L$1001,$O255))</f>
      </c>
      <c r="O255">
        <f t="array" ref="O255">IFERROR(SMALL(IF(Master!$A$2:$A$1001="AR ISPAT",ROW(Master!$A$2:$A$1001)-ROW(Master!$A$2)+1),251),"")</f>
      </c>
      <c r="P255">
        <f t="shared" si="7"/>
      </c>
    </row>
    <row r="256" spans="1:16" x14ac:dyDescent="0.25">
      <c r="A256">
        <f>IF($O256="","",INDEX(Master!$D$2:$D$1001,$O256))</f>
      </c>
      <c r="B256" s="166">
        <f>IF($O256="","",INDEX(Master!$B$2:$B$1001,$O256))</f>
      </c>
      <c r="C256">
        <f>IF($O256="","",INDEX(Master!$C$2:$C$1001,$O256))</f>
      </c>
      <c r="D256">
        <f>IF($O256="","",INDEX(Master!$A$2:$A$1001,$O256))</f>
      </c>
      <c r="E256">
        <f>IF($O256="","",INDEX(Master!$E$2:$E$1001,$O256))</f>
      </c>
      <c r="F256">
        <f>IF($O256="","",INDEX(Master!$F$2:$F$1001,$O256))</f>
      </c>
      <c r="G256">
        <f>IF($O256="","",INDEX(Master!$G$2:$G$1001,$O256))</f>
      </c>
      <c r="H256">
        <f>IF($O256="","",INDEX(Master!$H$2:$H$1001,$O256))</f>
      </c>
      <c r="I256">
        <f>IF($O256="","",INDEX(Master!$I$2:$I$1001,$O256))</f>
      </c>
      <c r="J256">
        <f>IF($O256="","",INDEX(Master!$J$2:$J$1001,$O256))</f>
      </c>
      <c r="K256">
        <f t="shared" si="6"/>
      </c>
      <c r="L256">
        <f>IF($O256="","",INDEX(Master!$K$2:$K$1001,$O256))</f>
      </c>
      <c r="M256">
        <f>IF($O256="","",INDEX(Master!$L$2:$L$1001,$O256))</f>
      </c>
      <c r="O256">
        <f t="array" ref="O256">IFERROR(SMALL(IF(Master!$A$2:$A$1001="AR ISPAT",ROW(Master!$A$2:$A$1001)-ROW(Master!$A$2)+1),252),"")</f>
      </c>
      <c r="P256">
        <f t="shared" si="7"/>
      </c>
    </row>
    <row r="257" spans="1:16" x14ac:dyDescent="0.25">
      <c r="A257">
        <f>IF($O257="","",INDEX(Master!$D$2:$D$1001,$O257))</f>
      </c>
      <c r="B257" s="166">
        <f>IF($O257="","",INDEX(Master!$B$2:$B$1001,$O257))</f>
      </c>
      <c r="C257">
        <f>IF($O257="","",INDEX(Master!$C$2:$C$1001,$O257))</f>
      </c>
      <c r="D257">
        <f>IF($O257="","",INDEX(Master!$A$2:$A$1001,$O257))</f>
      </c>
      <c r="E257">
        <f>IF($O257="","",INDEX(Master!$E$2:$E$1001,$O257))</f>
      </c>
      <c r="F257">
        <f>IF($O257="","",INDEX(Master!$F$2:$F$1001,$O257))</f>
      </c>
      <c r="G257">
        <f>IF($O257="","",INDEX(Master!$G$2:$G$1001,$O257))</f>
      </c>
      <c r="H257">
        <f>IF($O257="","",INDEX(Master!$H$2:$H$1001,$O257))</f>
      </c>
      <c r="I257">
        <f>IF($O257="","",INDEX(Master!$I$2:$I$1001,$O257))</f>
      </c>
      <c r="J257">
        <f>IF($O257="","",INDEX(Master!$J$2:$J$1001,$O257))</f>
      </c>
      <c r="K257">
        <f t="shared" si="6"/>
      </c>
      <c r="L257">
        <f>IF($O257="","",INDEX(Master!$K$2:$K$1001,$O257))</f>
      </c>
      <c r="M257">
        <f>IF($O257="","",INDEX(Master!$L$2:$L$1001,$O257))</f>
      </c>
      <c r="O257">
        <f t="array" ref="O257">IFERROR(SMALL(IF(Master!$A$2:$A$1001="AR ISPAT",ROW(Master!$A$2:$A$1001)-ROW(Master!$A$2)+1),253),"")</f>
      </c>
      <c r="P257">
        <f t="shared" si="7"/>
      </c>
    </row>
    <row r="258" spans="1:16" x14ac:dyDescent="0.25">
      <c r="A258">
        <f>IF($O258="","",INDEX(Master!$D$2:$D$1001,$O258))</f>
      </c>
      <c r="B258" s="166">
        <f>IF($O258="","",INDEX(Master!$B$2:$B$1001,$O258))</f>
      </c>
      <c r="C258">
        <f>IF($O258="","",INDEX(Master!$C$2:$C$1001,$O258))</f>
      </c>
      <c r="D258">
        <f>IF($O258="","",INDEX(Master!$A$2:$A$1001,$O258))</f>
      </c>
      <c r="E258">
        <f>IF($O258="","",INDEX(Master!$E$2:$E$1001,$O258))</f>
      </c>
      <c r="F258">
        <f>IF($O258="","",INDEX(Master!$F$2:$F$1001,$O258))</f>
      </c>
      <c r="G258">
        <f>IF($O258="","",INDEX(Master!$G$2:$G$1001,$O258))</f>
      </c>
      <c r="H258">
        <f>IF($O258="","",INDEX(Master!$H$2:$H$1001,$O258))</f>
      </c>
      <c r="I258">
        <f>IF($O258="","",INDEX(Master!$I$2:$I$1001,$O258))</f>
      </c>
      <c r="J258">
        <f>IF($O258="","",INDEX(Master!$J$2:$J$1001,$O258))</f>
      </c>
      <c r="K258">
        <f t="shared" si="6"/>
      </c>
      <c r="L258">
        <f>IF($O258="","",INDEX(Master!$K$2:$K$1001,$O258))</f>
      </c>
      <c r="M258">
        <f>IF($O258="","",INDEX(Master!$L$2:$L$1001,$O258))</f>
      </c>
      <c r="O258">
        <f t="array" ref="O258">IFERROR(SMALL(IF(Master!$A$2:$A$1001="AR ISPAT",ROW(Master!$A$2:$A$1001)-ROW(Master!$A$2)+1),254),"")</f>
      </c>
      <c r="P258">
        <f t="shared" si="7"/>
      </c>
    </row>
    <row r="259" spans="1:16" x14ac:dyDescent="0.25">
      <c r="A259">
        <f>IF($O259="","",INDEX(Master!$D$2:$D$1001,$O259))</f>
      </c>
      <c r="B259" s="166">
        <f>IF($O259="","",INDEX(Master!$B$2:$B$1001,$O259))</f>
      </c>
      <c r="C259">
        <f>IF($O259="","",INDEX(Master!$C$2:$C$1001,$O259))</f>
      </c>
      <c r="D259">
        <f>IF($O259="","",INDEX(Master!$A$2:$A$1001,$O259))</f>
      </c>
      <c r="E259">
        <f>IF($O259="","",INDEX(Master!$E$2:$E$1001,$O259))</f>
      </c>
      <c r="F259">
        <f>IF($O259="","",INDEX(Master!$F$2:$F$1001,$O259))</f>
      </c>
      <c r="G259">
        <f>IF($O259="","",INDEX(Master!$G$2:$G$1001,$O259))</f>
      </c>
      <c r="H259">
        <f>IF($O259="","",INDEX(Master!$H$2:$H$1001,$O259))</f>
      </c>
      <c r="I259">
        <f>IF($O259="","",INDEX(Master!$I$2:$I$1001,$O259))</f>
      </c>
      <c r="J259">
        <f>IF($O259="","",INDEX(Master!$J$2:$J$1001,$O259))</f>
      </c>
      <c r="K259">
        <f t="shared" si="6"/>
      </c>
      <c r="L259">
        <f>IF($O259="","",INDEX(Master!$K$2:$K$1001,$O259))</f>
      </c>
      <c r="M259">
        <f>IF($O259="","",INDEX(Master!$L$2:$L$1001,$O259))</f>
      </c>
      <c r="O259">
        <f t="array" ref="O259">IFERROR(SMALL(IF(Master!$A$2:$A$1001="AR ISPAT",ROW(Master!$A$2:$A$1001)-ROW(Master!$A$2)+1),255),"")</f>
      </c>
      <c r="P259">
        <f t="shared" si="7"/>
      </c>
    </row>
    <row r="260" spans="1:16" x14ac:dyDescent="0.25">
      <c r="A260">
        <f>IF($O260="","",INDEX(Master!$D$2:$D$1001,$O260))</f>
      </c>
      <c r="B260" s="166">
        <f>IF($O260="","",INDEX(Master!$B$2:$B$1001,$O260))</f>
      </c>
      <c r="C260">
        <f>IF($O260="","",INDEX(Master!$C$2:$C$1001,$O260))</f>
      </c>
      <c r="D260">
        <f>IF($O260="","",INDEX(Master!$A$2:$A$1001,$O260))</f>
      </c>
      <c r="E260">
        <f>IF($O260="","",INDEX(Master!$E$2:$E$1001,$O260))</f>
      </c>
      <c r="F260">
        <f>IF($O260="","",INDEX(Master!$F$2:$F$1001,$O260))</f>
      </c>
      <c r="G260">
        <f>IF($O260="","",INDEX(Master!$G$2:$G$1001,$O260))</f>
      </c>
      <c r="H260">
        <f>IF($O260="","",INDEX(Master!$H$2:$H$1001,$O260))</f>
      </c>
      <c r="I260">
        <f>IF($O260="","",INDEX(Master!$I$2:$I$1001,$O260))</f>
      </c>
      <c r="J260">
        <f>IF($O260="","",INDEX(Master!$J$2:$J$1001,$O260))</f>
      </c>
      <c r="K260">
        <f t="shared" si="6"/>
      </c>
      <c r="L260">
        <f>IF($O260="","",INDEX(Master!$K$2:$K$1001,$O260))</f>
      </c>
      <c r="M260">
        <f>IF($O260="","",INDEX(Master!$L$2:$L$1001,$O260))</f>
      </c>
      <c r="O260">
        <f t="array" ref="O260">IFERROR(SMALL(IF(Master!$A$2:$A$1001="AR ISPAT",ROW(Master!$A$2:$A$1001)-ROW(Master!$A$2)+1),256),"")</f>
      </c>
      <c r="P260">
        <f t="shared" si="7"/>
      </c>
    </row>
    <row r="261" spans="1:16" x14ac:dyDescent="0.25">
      <c r="A261">
        <f>IF($O261="","",INDEX(Master!$D$2:$D$1001,$O261))</f>
      </c>
      <c r="B261" s="166">
        <f>IF($O261="","",INDEX(Master!$B$2:$B$1001,$O261))</f>
      </c>
      <c r="C261">
        <f>IF($O261="","",INDEX(Master!$C$2:$C$1001,$O261))</f>
      </c>
      <c r="D261">
        <f>IF($O261="","",INDEX(Master!$A$2:$A$1001,$O261))</f>
      </c>
      <c r="E261">
        <f>IF($O261="","",INDEX(Master!$E$2:$E$1001,$O261))</f>
      </c>
      <c r="F261">
        <f>IF($O261="","",INDEX(Master!$F$2:$F$1001,$O261))</f>
      </c>
      <c r="G261">
        <f>IF($O261="","",INDEX(Master!$G$2:$G$1001,$O261))</f>
      </c>
      <c r="H261">
        <f>IF($O261="","",INDEX(Master!$H$2:$H$1001,$O261))</f>
      </c>
      <c r="I261">
        <f>IF($O261="","",INDEX(Master!$I$2:$I$1001,$O261))</f>
      </c>
      <c r="J261">
        <f>IF($O261="","",INDEX(Master!$J$2:$J$1001,$O261))</f>
      </c>
      <c r="K261">
        <f t="shared" ref="K261:K304" si="8">IF(OR($O261="",$F261="",$F261=0),"",$H261/$F261)</f>
      </c>
      <c r="L261">
        <f>IF($O261="","",INDEX(Master!$K$2:$K$1001,$O261))</f>
      </c>
      <c r="M261">
        <f>IF($O261="","",INDEX(Master!$L$2:$L$1001,$O261))</f>
      </c>
      <c r="O261">
        <f t="array" ref="O261">IFERROR(SMALL(IF(Master!$A$2:$A$1001="AR ISPAT",ROW(Master!$A$2:$A$1001)-ROW(Master!$A$2)+1),257),"")</f>
      </c>
      <c r="P261">
        <f t="shared" ref="P261:P304" si="9">IF($A261="",0,IF(OR(AND($E261&lt;&gt;"",OR($E261&gt;0.18)),AND($F261&lt;&gt;"",OR(($F261+$G261)&gt;0.15)),AND($G261&lt;&gt;"",OR(($F261+$G261)&gt;0.15)),AND($H261&lt;&gt;"",$H261&lt;0.45),AND($J261&lt;&gt;"",OR($J261&lt;0.1))),1,0))</f>
      </c>
    </row>
    <row r="262" spans="1:16" x14ac:dyDescent="0.25">
      <c r="A262">
        <f>IF($O262="","",INDEX(Master!$D$2:$D$1001,$O262))</f>
      </c>
      <c r="B262" s="166">
        <f>IF($O262="","",INDEX(Master!$B$2:$B$1001,$O262))</f>
      </c>
      <c r="C262">
        <f>IF($O262="","",INDEX(Master!$C$2:$C$1001,$O262))</f>
      </c>
      <c r="D262">
        <f>IF($O262="","",INDEX(Master!$A$2:$A$1001,$O262))</f>
      </c>
      <c r="E262">
        <f>IF($O262="","",INDEX(Master!$E$2:$E$1001,$O262))</f>
      </c>
      <c r="F262">
        <f>IF($O262="","",INDEX(Master!$F$2:$F$1001,$O262))</f>
      </c>
      <c r="G262">
        <f>IF($O262="","",INDEX(Master!$G$2:$G$1001,$O262))</f>
      </c>
      <c r="H262">
        <f>IF($O262="","",INDEX(Master!$H$2:$H$1001,$O262))</f>
      </c>
      <c r="I262">
        <f>IF($O262="","",INDEX(Master!$I$2:$I$1001,$O262))</f>
      </c>
      <c r="J262">
        <f>IF($O262="","",INDEX(Master!$J$2:$J$1001,$O262))</f>
      </c>
      <c r="K262">
        <f t="shared" si="8"/>
      </c>
      <c r="L262">
        <f>IF($O262="","",INDEX(Master!$K$2:$K$1001,$O262))</f>
      </c>
      <c r="M262">
        <f>IF($O262="","",INDEX(Master!$L$2:$L$1001,$O262))</f>
      </c>
      <c r="O262">
        <f t="array" ref="O262">IFERROR(SMALL(IF(Master!$A$2:$A$1001="AR ISPAT",ROW(Master!$A$2:$A$1001)-ROW(Master!$A$2)+1),258),"")</f>
      </c>
      <c r="P262">
        <f t="shared" si="9"/>
      </c>
    </row>
    <row r="263" spans="1:16" x14ac:dyDescent="0.25">
      <c r="A263">
        <f>IF($O263="","",INDEX(Master!$D$2:$D$1001,$O263))</f>
      </c>
      <c r="B263" s="166">
        <f>IF($O263="","",INDEX(Master!$B$2:$B$1001,$O263))</f>
      </c>
      <c r="C263">
        <f>IF($O263="","",INDEX(Master!$C$2:$C$1001,$O263))</f>
      </c>
      <c r="D263">
        <f>IF($O263="","",INDEX(Master!$A$2:$A$1001,$O263))</f>
      </c>
      <c r="E263">
        <f>IF($O263="","",INDEX(Master!$E$2:$E$1001,$O263))</f>
      </c>
      <c r="F263">
        <f>IF($O263="","",INDEX(Master!$F$2:$F$1001,$O263))</f>
      </c>
      <c r="G263">
        <f>IF($O263="","",INDEX(Master!$G$2:$G$1001,$O263))</f>
      </c>
      <c r="H263">
        <f>IF($O263="","",INDEX(Master!$H$2:$H$1001,$O263))</f>
      </c>
      <c r="I263">
        <f>IF($O263="","",INDEX(Master!$I$2:$I$1001,$O263))</f>
      </c>
      <c r="J263">
        <f>IF($O263="","",INDEX(Master!$J$2:$J$1001,$O263))</f>
      </c>
      <c r="K263">
        <f t="shared" si="8"/>
      </c>
      <c r="L263">
        <f>IF($O263="","",INDEX(Master!$K$2:$K$1001,$O263))</f>
      </c>
      <c r="M263">
        <f>IF($O263="","",INDEX(Master!$L$2:$L$1001,$O263))</f>
      </c>
      <c r="O263">
        <f t="array" ref="O263">IFERROR(SMALL(IF(Master!$A$2:$A$1001="AR ISPAT",ROW(Master!$A$2:$A$1001)-ROW(Master!$A$2)+1),259),"")</f>
      </c>
      <c r="P263">
        <f t="shared" si="9"/>
      </c>
    </row>
    <row r="264" spans="1:16" x14ac:dyDescent="0.25">
      <c r="A264">
        <f>IF($O264="","",INDEX(Master!$D$2:$D$1001,$O264))</f>
      </c>
      <c r="B264" s="166">
        <f>IF($O264="","",INDEX(Master!$B$2:$B$1001,$O264))</f>
      </c>
      <c r="C264">
        <f>IF($O264="","",INDEX(Master!$C$2:$C$1001,$O264))</f>
      </c>
      <c r="D264">
        <f>IF($O264="","",INDEX(Master!$A$2:$A$1001,$O264))</f>
      </c>
      <c r="E264">
        <f>IF($O264="","",INDEX(Master!$E$2:$E$1001,$O264))</f>
      </c>
      <c r="F264">
        <f>IF($O264="","",INDEX(Master!$F$2:$F$1001,$O264))</f>
      </c>
      <c r="G264">
        <f>IF($O264="","",INDEX(Master!$G$2:$G$1001,$O264))</f>
      </c>
      <c r="H264">
        <f>IF($O264="","",INDEX(Master!$H$2:$H$1001,$O264))</f>
      </c>
      <c r="I264">
        <f>IF($O264="","",INDEX(Master!$I$2:$I$1001,$O264))</f>
      </c>
      <c r="J264">
        <f>IF($O264="","",INDEX(Master!$J$2:$J$1001,$O264))</f>
      </c>
      <c r="K264">
        <f t="shared" si="8"/>
      </c>
      <c r="L264">
        <f>IF($O264="","",INDEX(Master!$K$2:$K$1001,$O264))</f>
      </c>
      <c r="M264">
        <f>IF($O264="","",INDEX(Master!$L$2:$L$1001,$O264))</f>
      </c>
      <c r="O264">
        <f t="array" ref="O264">IFERROR(SMALL(IF(Master!$A$2:$A$1001="AR ISPAT",ROW(Master!$A$2:$A$1001)-ROW(Master!$A$2)+1),260),"")</f>
      </c>
      <c r="P264">
        <f t="shared" si="9"/>
      </c>
    </row>
    <row r="265" spans="1:16" x14ac:dyDescent="0.25">
      <c r="A265">
        <f>IF($O265="","",INDEX(Master!$D$2:$D$1001,$O265))</f>
      </c>
      <c r="B265" s="166">
        <f>IF($O265="","",INDEX(Master!$B$2:$B$1001,$O265))</f>
      </c>
      <c r="C265">
        <f>IF($O265="","",INDEX(Master!$C$2:$C$1001,$O265))</f>
      </c>
      <c r="D265">
        <f>IF($O265="","",INDEX(Master!$A$2:$A$1001,$O265))</f>
      </c>
      <c r="E265">
        <f>IF($O265="","",INDEX(Master!$E$2:$E$1001,$O265))</f>
      </c>
      <c r="F265">
        <f>IF($O265="","",INDEX(Master!$F$2:$F$1001,$O265))</f>
      </c>
      <c r="G265">
        <f>IF($O265="","",INDEX(Master!$G$2:$G$1001,$O265))</f>
      </c>
      <c r="H265">
        <f>IF($O265="","",INDEX(Master!$H$2:$H$1001,$O265))</f>
      </c>
      <c r="I265">
        <f>IF($O265="","",INDEX(Master!$I$2:$I$1001,$O265))</f>
      </c>
      <c r="J265">
        <f>IF($O265="","",INDEX(Master!$J$2:$J$1001,$O265))</f>
      </c>
      <c r="K265">
        <f t="shared" si="8"/>
      </c>
      <c r="L265">
        <f>IF($O265="","",INDEX(Master!$K$2:$K$1001,$O265))</f>
      </c>
      <c r="M265">
        <f>IF($O265="","",INDEX(Master!$L$2:$L$1001,$O265))</f>
      </c>
      <c r="O265">
        <f t="array" ref="O265">IFERROR(SMALL(IF(Master!$A$2:$A$1001="AR ISPAT",ROW(Master!$A$2:$A$1001)-ROW(Master!$A$2)+1),261),"")</f>
      </c>
      <c r="P265">
        <f t="shared" si="9"/>
      </c>
    </row>
    <row r="266" spans="1:16" x14ac:dyDescent="0.25">
      <c r="A266">
        <f>IF($O266="","",INDEX(Master!$D$2:$D$1001,$O266))</f>
      </c>
      <c r="B266" s="166">
        <f>IF($O266="","",INDEX(Master!$B$2:$B$1001,$O266))</f>
      </c>
      <c r="C266">
        <f>IF($O266="","",INDEX(Master!$C$2:$C$1001,$O266))</f>
      </c>
      <c r="D266">
        <f>IF($O266="","",INDEX(Master!$A$2:$A$1001,$O266))</f>
      </c>
      <c r="E266">
        <f>IF($O266="","",INDEX(Master!$E$2:$E$1001,$O266))</f>
      </c>
      <c r="F266">
        <f>IF($O266="","",INDEX(Master!$F$2:$F$1001,$O266))</f>
      </c>
      <c r="G266">
        <f>IF($O266="","",INDEX(Master!$G$2:$G$1001,$O266))</f>
      </c>
      <c r="H266">
        <f>IF($O266="","",INDEX(Master!$H$2:$H$1001,$O266))</f>
      </c>
      <c r="I266">
        <f>IF($O266="","",INDEX(Master!$I$2:$I$1001,$O266))</f>
      </c>
      <c r="J266">
        <f>IF($O266="","",INDEX(Master!$J$2:$J$1001,$O266))</f>
      </c>
      <c r="K266">
        <f t="shared" si="8"/>
      </c>
      <c r="L266">
        <f>IF($O266="","",INDEX(Master!$K$2:$K$1001,$O266))</f>
      </c>
      <c r="M266">
        <f>IF($O266="","",INDEX(Master!$L$2:$L$1001,$O266))</f>
      </c>
      <c r="O266">
        <f t="array" ref="O266">IFERROR(SMALL(IF(Master!$A$2:$A$1001="AR ISPAT",ROW(Master!$A$2:$A$1001)-ROW(Master!$A$2)+1),262),"")</f>
      </c>
      <c r="P266">
        <f t="shared" si="9"/>
      </c>
    </row>
    <row r="267" spans="1:16" x14ac:dyDescent="0.25">
      <c r="A267">
        <f>IF($O267="","",INDEX(Master!$D$2:$D$1001,$O267))</f>
      </c>
      <c r="B267" s="166">
        <f>IF($O267="","",INDEX(Master!$B$2:$B$1001,$O267))</f>
      </c>
      <c r="C267">
        <f>IF($O267="","",INDEX(Master!$C$2:$C$1001,$O267))</f>
      </c>
      <c r="D267">
        <f>IF($O267="","",INDEX(Master!$A$2:$A$1001,$O267))</f>
      </c>
      <c r="E267">
        <f>IF($O267="","",INDEX(Master!$E$2:$E$1001,$O267))</f>
      </c>
      <c r="F267">
        <f>IF($O267="","",INDEX(Master!$F$2:$F$1001,$O267))</f>
      </c>
      <c r="G267">
        <f>IF($O267="","",INDEX(Master!$G$2:$G$1001,$O267))</f>
      </c>
      <c r="H267">
        <f>IF($O267="","",INDEX(Master!$H$2:$H$1001,$O267))</f>
      </c>
      <c r="I267">
        <f>IF($O267="","",INDEX(Master!$I$2:$I$1001,$O267))</f>
      </c>
      <c r="J267">
        <f>IF($O267="","",INDEX(Master!$J$2:$J$1001,$O267))</f>
      </c>
      <c r="K267">
        <f t="shared" si="8"/>
      </c>
      <c r="L267">
        <f>IF($O267="","",INDEX(Master!$K$2:$K$1001,$O267))</f>
      </c>
      <c r="M267">
        <f>IF($O267="","",INDEX(Master!$L$2:$L$1001,$O267))</f>
      </c>
      <c r="O267">
        <f t="array" ref="O267">IFERROR(SMALL(IF(Master!$A$2:$A$1001="AR ISPAT",ROW(Master!$A$2:$A$1001)-ROW(Master!$A$2)+1),263),"")</f>
      </c>
      <c r="P267">
        <f t="shared" si="9"/>
      </c>
    </row>
    <row r="268" spans="1:16" x14ac:dyDescent="0.25">
      <c r="A268">
        <f>IF($O268="","",INDEX(Master!$D$2:$D$1001,$O268))</f>
      </c>
      <c r="B268" s="166">
        <f>IF($O268="","",INDEX(Master!$B$2:$B$1001,$O268))</f>
      </c>
      <c r="C268">
        <f>IF($O268="","",INDEX(Master!$C$2:$C$1001,$O268))</f>
      </c>
      <c r="D268">
        <f>IF($O268="","",INDEX(Master!$A$2:$A$1001,$O268))</f>
      </c>
      <c r="E268">
        <f>IF($O268="","",INDEX(Master!$E$2:$E$1001,$O268))</f>
      </c>
      <c r="F268">
        <f>IF($O268="","",INDEX(Master!$F$2:$F$1001,$O268))</f>
      </c>
      <c r="G268">
        <f>IF($O268="","",INDEX(Master!$G$2:$G$1001,$O268))</f>
      </c>
      <c r="H268">
        <f>IF($O268="","",INDEX(Master!$H$2:$H$1001,$O268))</f>
      </c>
      <c r="I268">
        <f>IF($O268="","",INDEX(Master!$I$2:$I$1001,$O268))</f>
      </c>
      <c r="J268">
        <f>IF($O268="","",INDEX(Master!$J$2:$J$1001,$O268))</f>
      </c>
      <c r="K268">
        <f t="shared" si="8"/>
      </c>
      <c r="L268">
        <f>IF($O268="","",INDEX(Master!$K$2:$K$1001,$O268))</f>
      </c>
      <c r="M268">
        <f>IF($O268="","",INDEX(Master!$L$2:$L$1001,$O268))</f>
      </c>
      <c r="O268">
        <f t="array" ref="O268">IFERROR(SMALL(IF(Master!$A$2:$A$1001="AR ISPAT",ROW(Master!$A$2:$A$1001)-ROW(Master!$A$2)+1),264),"")</f>
      </c>
      <c r="P268">
        <f t="shared" si="9"/>
      </c>
    </row>
    <row r="269" spans="1:16" x14ac:dyDescent="0.25">
      <c r="A269">
        <f>IF($O269="","",INDEX(Master!$D$2:$D$1001,$O269))</f>
      </c>
      <c r="B269" s="166">
        <f>IF($O269="","",INDEX(Master!$B$2:$B$1001,$O269))</f>
      </c>
      <c r="C269">
        <f>IF($O269="","",INDEX(Master!$C$2:$C$1001,$O269))</f>
      </c>
      <c r="D269">
        <f>IF($O269="","",INDEX(Master!$A$2:$A$1001,$O269))</f>
      </c>
      <c r="E269">
        <f>IF($O269="","",INDEX(Master!$E$2:$E$1001,$O269))</f>
      </c>
      <c r="F269">
        <f>IF($O269="","",INDEX(Master!$F$2:$F$1001,$O269))</f>
      </c>
      <c r="G269">
        <f>IF($O269="","",INDEX(Master!$G$2:$G$1001,$O269))</f>
      </c>
      <c r="H269">
        <f>IF($O269="","",INDEX(Master!$H$2:$H$1001,$O269))</f>
      </c>
      <c r="I269">
        <f>IF($O269="","",INDEX(Master!$I$2:$I$1001,$O269))</f>
      </c>
      <c r="J269">
        <f>IF($O269="","",INDEX(Master!$J$2:$J$1001,$O269))</f>
      </c>
      <c r="K269">
        <f t="shared" si="8"/>
      </c>
      <c r="L269">
        <f>IF($O269="","",INDEX(Master!$K$2:$K$1001,$O269))</f>
      </c>
      <c r="M269">
        <f>IF($O269="","",INDEX(Master!$L$2:$L$1001,$O269))</f>
      </c>
      <c r="O269">
        <f t="array" ref="O269">IFERROR(SMALL(IF(Master!$A$2:$A$1001="AR ISPAT",ROW(Master!$A$2:$A$1001)-ROW(Master!$A$2)+1),265),"")</f>
      </c>
      <c r="P269">
        <f t="shared" si="9"/>
      </c>
    </row>
    <row r="270" spans="1:16" x14ac:dyDescent="0.25">
      <c r="A270">
        <f>IF($O270="","",INDEX(Master!$D$2:$D$1001,$O270))</f>
      </c>
      <c r="B270" s="166">
        <f>IF($O270="","",INDEX(Master!$B$2:$B$1001,$O270))</f>
      </c>
      <c r="C270">
        <f>IF($O270="","",INDEX(Master!$C$2:$C$1001,$O270))</f>
      </c>
      <c r="D270">
        <f>IF($O270="","",INDEX(Master!$A$2:$A$1001,$O270))</f>
      </c>
      <c r="E270">
        <f>IF($O270="","",INDEX(Master!$E$2:$E$1001,$O270))</f>
      </c>
      <c r="F270">
        <f>IF($O270="","",INDEX(Master!$F$2:$F$1001,$O270))</f>
      </c>
      <c r="G270">
        <f>IF($O270="","",INDEX(Master!$G$2:$G$1001,$O270))</f>
      </c>
      <c r="H270">
        <f>IF($O270="","",INDEX(Master!$H$2:$H$1001,$O270))</f>
      </c>
      <c r="I270">
        <f>IF($O270="","",INDEX(Master!$I$2:$I$1001,$O270))</f>
      </c>
      <c r="J270">
        <f>IF($O270="","",INDEX(Master!$J$2:$J$1001,$O270))</f>
      </c>
      <c r="K270">
        <f t="shared" si="8"/>
      </c>
      <c r="L270">
        <f>IF($O270="","",INDEX(Master!$K$2:$K$1001,$O270))</f>
      </c>
      <c r="M270">
        <f>IF($O270="","",INDEX(Master!$L$2:$L$1001,$O270))</f>
      </c>
      <c r="O270">
        <f t="array" ref="O270">IFERROR(SMALL(IF(Master!$A$2:$A$1001="AR ISPAT",ROW(Master!$A$2:$A$1001)-ROW(Master!$A$2)+1),266),"")</f>
      </c>
      <c r="P270">
        <f t="shared" si="9"/>
      </c>
    </row>
    <row r="271" spans="1:16" x14ac:dyDescent="0.25">
      <c r="A271">
        <f>IF($O271="","",INDEX(Master!$D$2:$D$1001,$O271))</f>
      </c>
      <c r="B271" s="166">
        <f>IF($O271="","",INDEX(Master!$B$2:$B$1001,$O271))</f>
      </c>
      <c r="C271">
        <f>IF($O271="","",INDEX(Master!$C$2:$C$1001,$O271))</f>
      </c>
      <c r="D271">
        <f>IF($O271="","",INDEX(Master!$A$2:$A$1001,$O271))</f>
      </c>
      <c r="E271">
        <f>IF($O271="","",INDEX(Master!$E$2:$E$1001,$O271))</f>
      </c>
      <c r="F271">
        <f>IF($O271="","",INDEX(Master!$F$2:$F$1001,$O271))</f>
      </c>
      <c r="G271">
        <f>IF($O271="","",INDEX(Master!$G$2:$G$1001,$O271))</f>
      </c>
      <c r="H271">
        <f>IF($O271="","",INDEX(Master!$H$2:$H$1001,$O271))</f>
      </c>
      <c r="I271">
        <f>IF($O271="","",INDEX(Master!$I$2:$I$1001,$O271))</f>
      </c>
      <c r="J271">
        <f>IF($O271="","",INDEX(Master!$J$2:$J$1001,$O271))</f>
      </c>
      <c r="K271">
        <f t="shared" si="8"/>
      </c>
      <c r="L271">
        <f>IF($O271="","",INDEX(Master!$K$2:$K$1001,$O271))</f>
      </c>
      <c r="M271">
        <f>IF($O271="","",INDEX(Master!$L$2:$L$1001,$O271))</f>
      </c>
      <c r="O271">
        <f t="array" ref="O271">IFERROR(SMALL(IF(Master!$A$2:$A$1001="AR ISPAT",ROW(Master!$A$2:$A$1001)-ROW(Master!$A$2)+1),267),"")</f>
      </c>
      <c r="P271">
        <f t="shared" si="9"/>
      </c>
    </row>
    <row r="272" spans="1:16" x14ac:dyDescent="0.25">
      <c r="A272">
        <f>IF($O272="","",INDEX(Master!$D$2:$D$1001,$O272))</f>
      </c>
      <c r="B272" s="166">
        <f>IF($O272="","",INDEX(Master!$B$2:$B$1001,$O272))</f>
      </c>
      <c r="C272">
        <f>IF($O272="","",INDEX(Master!$C$2:$C$1001,$O272))</f>
      </c>
      <c r="D272">
        <f>IF($O272="","",INDEX(Master!$A$2:$A$1001,$O272))</f>
      </c>
      <c r="E272">
        <f>IF($O272="","",INDEX(Master!$E$2:$E$1001,$O272))</f>
      </c>
      <c r="F272">
        <f>IF($O272="","",INDEX(Master!$F$2:$F$1001,$O272))</f>
      </c>
      <c r="G272">
        <f>IF($O272="","",INDEX(Master!$G$2:$G$1001,$O272))</f>
      </c>
      <c r="H272">
        <f>IF($O272="","",INDEX(Master!$H$2:$H$1001,$O272))</f>
      </c>
      <c r="I272">
        <f>IF($O272="","",INDEX(Master!$I$2:$I$1001,$O272))</f>
      </c>
      <c r="J272">
        <f>IF($O272="","",INDEX(Master!$J$2:$J$1001,$O272))</f>
      </c>
      <c r="K272">
        <f t="shared" si="8"/>
      </c>
      <c r="L272">
        <f>IF($O272="","",INDEX(Master!$K$2:$K$1001,$O272))</f>
      </c>
      <c r="M272">
        <f>IF($O272="","",INDEX(Master!$L$2:$L$1001,$O272))</f>
      </c>
      <c r="O272">
        <f t="array" ref="O272">IFERROR(SMALL(IF(Master!$A$2:$A$1001="AR ISPAT",ROW(Master!$A$2:$A$1001)-ROW(Master!$A$2)+1),268),"")</f>
      </c>
      <c r="P272">
        <f t="shared" si="9"/>
      </c>
    </row>
    <row r="273" spans="1:16" x14ac:dyDescent="0.25">
      <c r="A273">
        <f>IF($O273="","",INDEX(Master!$D$2:$D$1001,$O273))</f>
      </c>
      <c r="B273" s="166">
        <f>IF($O273="","",INDEX(Master!$B$2:$B$1001,$O273))</f>
      </c>
      <c r="C273">
        <f>IF($O273="","",INDEX(Master!$C$2:$C$1001,$O273))</f>
      </c>
      <c r="D273">
        <f>IF($O273="","",INDEX(Master!$A$2:$A$1001,$O273))</f>
      </c>
      <c r="E273">
        <f>IF($O273="","",INDEX(Master!$E$2:$E$1001,$O273))</f>
      </c>
      <c r="F273">
        <f>IF($O273="","",INDEX(Master!$F$2:$F$1001,$O273))</f>
      </c>
      <c r="G273">
        <f>IF($O273="","",INDEX(Master!$G$2:$G$1001,$O273))</f>
      </c>
      <c r="H273">
        <f>IF($O273="","",INDEX(Master!$H$2:$H$1001,$O273))</f>
      </c>
      <c r="I273">
        <f>IF($O273="","",INDEX(Master!$I$2:$I$1001,$O273))</f>
      </c>
      <c r="J273">
        <f>IF($O273="","",INDEX(Master!$J$2:$J$1001,$O273))</f>
      </c>
      <c r="K273">
        <f t="shared" si="8"/>
      </c>
      <c r="L273">
        <f>IF($O273="","",INDEX(Master!$K$2:$K$1001,$O273))</f>
      </c>
      <c r="M273">
        <f>IF($O273="","",INDEX(Master!$L$2:$L$1001,$O273))</f>
      </c>
      <c r="O273">
        <f t="array" ref="O273">IFERROR(SMALL(IF(Master!$A$2:$A$1001="AR ISPAT",ROW(Master!$A$2:$A$1001)-ROW(Master!$A$2)+1),269),"")</f>
      </c>
      <c r="P273">
        <f t="shared" si="9"/>
      </c>
    </row>
    <row r="274" spans="1:16" x14ac:dyDescent="0.25">
      <c r="A274">
        <f>IF($O274="","",INDEX(Master!$D$2:$D$1001,$O274))</f>
      </c>
      <c r="B274" s="166">
        <f>IF($O274="","",INDEX(Master!$B$2:$B$1001,$O274))</f>
      </c>
      <c r="C274">
        <f>IF($O274="","",INDEX(Master!$C$2:$C$1001,$O274))</f>
      </c>
      <c r="D274">
        <f>IF($O274="","",INDEX(Master!$A$2:$A$1001,$O274))</f>
      </c>
      <c r="E274">
        <f>IF($O274="","",INDEX(Master!$E$2:$E$1001,$O274))</f>
      </c>
      <c r="F274">
        <f>IF($O274="","",INDEX(Master!$F$2:$F$1001,$O274))</f>
      </c>
      <c r="G274">
        <f>IF($O274="","",INDEX(Master!$G$2:$G$1001,$O274))</f>
      </c>
      <c r="H274">
        <f>IF($O274="","",INDEX(Master!$H$2:$H$1001,$O274))</f>
      </c>
      <c r="I274">
        <f>IF($O274="","",INDEX(Master!$I$2:$I$1001,$O274))</f>
      </c>
      <c r="J274">
        <f>IF($O274="","",INDEX(Master!$J$2:$J$1001,$O274))</f>
      </c>
      <c r="K274">
        <f t="shared" si="8"/>
      </c>
      <c r="L274">
        <f>IF($O274="","",INDEX(Master!$K$2:$K$1001,$O274))</f>
      </c>
      <c r="M274">
        <f>IF($O274="","",INDEX(Master!$L$2:$L$1001,$O274))</f>
      </c>
      <c r="O274">
        <f t="array" ref="O274">IFERROR(SMALL(IF(Master!$A$2:$A$1001="AR ISPAT",ROW(Master!$A$2:$A$1001)-ROW(Master!$A$2)+1),270),"")</f>
      </c>
      <c r="P274">
        <f t="shared" si="9"/>
      </c>
    </row>
    <row r="275" spans="1:16" x14ac:dyDescent="0.25">
      <c r="A275">
        <f>IF($O275="","",INDEX(Master!$D$2:$D$1001,$O275))</f>
      </c>
      <c r="B275" s="166">
        <f>IF($O275="","",INDEX(Master!$B$2:$B$1001,$O275))</f>
      </c>
      <c r="C275">
        <f>IF($O275="","",INDEX(Master!$C$2:$C$1001,$O275))</f>
      </c>
      <c r="D275">
        <f>IF($O275="","",INDEX(Master!$A$2:$A$1001,$O275))</f>
      </c>
      <c r="E275">
        <f>IF($O275="","",INDEX(Master!$E$2:$E$1001,$O275))</f>
      </c>
      <c r="F275">
        <f>IF($O275="","",INDEX(Master!$F$2:$F$1001,$O275))</f>
      </c>
      <c r="G275">
        <f>IF($O275="","",INDEX(Master!$G$2:$G$1001,$O275))</f>
      </c>
      <c r="H275">
        <f>IF($O275="","",INDEX(Master!$H$2:$H$1001,$O275))</f>
      </c>
      <c r="I275">
        <f>IF($O275="","",INDEX(Master!$I$2:$I$1001,$O275))</f>
      </c>
      <c r="J275">
        <f>IF($O275="","",INDEX(Master!$J$2:$J$1001,$O275))</f>
      </c>
      <c r="K275">
        <f t="shared" si="8"/>
      </c>
      <c r="L275">
        <f>IF($O275="","",INDEX(Master!$K$2:$K$1001,$O275))</f>
      </c>
      <c r="M275">
        <f>IF($O275="","",INDEX(Master!$L$2:$L$1001,$O275))</f>
      </c>
      <c r="O275">
        <f t="array" ref="O275">IFERROR(SMALL(IF(Master!$A$2:$A$1001="AR ISPAT",ROW(Master!$A$2:$A$1001)-ROW(Master!$A$2)+1),271),"")</f>
      </c>
      <c r="P275">
        <f t="shared" si="9"/>
      </c>
    </row>
    <row r="276" spans="1:16" x14ac:dyDescent="0.25">
      <c r="A276">
        <f>IF($O276="","",INDEX(Master!$D$2:$D$1001,$O276))</f>
      </c>
      <c r="B276" s="166">
        <f>IF($O276="","",INDEX(Master!$B$2:$B$1001,$O276))</f>
      </c>
      <c r="C276">
        <f>IF($O276="","",INDEX(Master!$C$2:$C$1001,$O276))</f>
      </c>
      <c r="D276">
        <f>IF($O276="","",INDEX(Master!$A$2:$A$1001,$O276))</f>
      </c>
      <c r="E276">
        <f>IF($O276="","",INDEX(Master!$E$2:$E$1001,$O276))</f>
      </c>
      <c r="F276">
        <f>IF($O276="","",INDEX(Master!$F$2:$F$1001,$O276))</f>
      </c>
      <c r="G276">
        <f>IF($O276="","",INDEX(Master!$G$2:$G$1001,$O276))</f>
      </c>
      <c r="H276">
        <f>IF($O276="","",INDEX(Master!$H$2:$H$1001,$O276))</f>
      </c>
      <c r="I276">
        <f>IF($O276="","",INDEX(Master!$I$2:$I$1001,$O276))</f>
      </c>
      <c r="J276">
        <f>IF($O276="","",INDEX(Master!$J$2:$J$1001,$O276))</f>
      </c>
      <c r="K276">
        <f t="shared" si="8"/>
      </c>
      <c r="L276">
        <f>IF($O276="","",INDEX(Master!$K$2:$K$1001,$O276))</f>
      </c>
      <c r="M276">
        <f>IF($O276="","",INDEX(Master!$L$2:$L$1001,$O276))</f>
      </c>
      <c r="O276">
        <f t="array" ref="O276">IFERROR(SMALL(IF(Master!$A$2:$A$1001="AR ISPAT",ROW(Master!$A$2:$A$1001)-ROW(Master!$A$2)+1),272),"")</f>
      </c>
      <c r="P276">
        <f t="shared" si="9"/>
      </c>
    </row>
    <row r="277" spans="1:16" x14ac:dyDescent="0.25">
      <c r="A277">
        <f>IF($O277="","",INDEX(Master!$D$2:$D$1001,$O277))</f>
      </c>
      <c r="B277" s="166">
        <f>IF($O277="","",INDEX(Master!$B$2:$B$1001,$O277))</f>
      </c>
      <c r="C277">
        <f>IF($O277="","",INDEX(Master!$C$2:$C$1001,$O277))</f>
      </c>
      <c r="D277">
        <f>IF($O277="","",INDEX(Master!$A$2:$A$1001,$O277))</f>
      </c>
      <c r="E277">
        <f>IF($O277="","",INDEX(Master!$E$2:$E$1001,$O277))</f>
      </c>
      <c r="F277">
        <f>IF($O277="","",INDEX(Master!$F$2:$F$1001,$O277))</f>
      </c>
      <c r="G277">
        <f>IF($O277="","",INDEX(Master!$G$2:$G$1001,$O277))</f>
      </c>
      <c r="H277">
        <f>IF($O277="","",INDEX(Master!$H$2:$H$1001,$O277))</f>
      </c>
      <c r="I277">
        <f>IF($O277="","",INDEX(Master!$I$2:$I$1001,$O277))</f>
      </c>
      <c r="J277">
        <f>IF($O277="","",INDEX(Master!$J$2:$J$1001,$O277))</f>
      </c>
      <c r="K277">
        <f t="shared" si="8"/>
      </c>
      <c r="L277">
        <f>IF($O277="","",INDEX(Master!$K$2:$K$1001,$O277))</f>
      </c>
      <c r="M277">
        <f>IF($O277="","",INDEX(Master!$L$2:$L$1001,$O277))</f>
      </c>
      <c r="O277">
        <f t="array" ref="O277">IFERROR(SMALL(IF(Master!$A$2:$A$1001="AR ISPAT",ROW(Master!$A$2:$A$1001)-ROW(Master!$A$2)+1),273),"")</f>
      </c>
      <c r="P277">
        <f t="shared" si="9"/>
      </c>
    </row>
    <row r="278" spans="1:16" x14ac:dyDescent="0.25">
      <c r="A278">
        <f>IF($O278="","",INDEX(Master!$D$2:$D$1001,$O278))</f>
      </c>
      <c r="B278" s="166">
        <f>IF($O278="","",INDEX(Master!$B$2:$B$1001,$O278))</f>
      </c>
      <c r="C278">
        <f>IF($O278="","",INDEX(Master!$C$2:$C$1001,$O278))</f>
      </c>
      <c r="D278">
        <f>IF($O278="","",INDEX(Master!$A$2:$A$1001,$O278))</f>
      </c>
      <c r="E278">
        <f>IF($O278="","",INDEX(Master!$E$2:$E$1001,$O278))</f>
      </c>
      <c r="F278">
        <f>IF($O278="","",INDEX(Master!$F$2:$F$1001,$O278))</f>
      </c>
      <c r="G278">
        <f>IF($O278="","",INDEX(Master!$G$2:$G$1001,$O278))</f>
      </c>
      <c r="H278">
        <f>IF($O278="","",INDEX(Master!$H$2:$H$1001,$O278))</f>
      </c>
      <c r="I278">
        <f>IF($O278="","",INDEX(Master!$I$2:$I$1001,$O278))</f>
      </c>
      <c r="J278">
        <f>IF($O278="","",INDEX(Master!$J$2:$J$1001,$O278))</f>
      </c>
      <c r="K278">
        <f t="shared" si="8"/>
      </c>
      <c r="L278">
        <f>IF($O278="","",INDEX(Master!$K$2:$K$1001,$O278))</f>
      </c>
      <c r="M278">
        <f>IF($O278="","",INDEX(Master!$L$2:$L$1001,$O278))</f>
      </c>
      <c r="O278">
        <f t="array" ref="O278">IFERROR(SMALL(IF(Master!$A$2:$A$1001="AR ISPAT",ROW(Master!$A$2:$A$1001)-ROW(Master!$A$2)+1),274),"")</f>
      </c>
      <c r="P278">
        <f t="shared" si="9"/>
      </c>
    </row>
    <row r="279" spans="1:16" x14ac:dyDescent="0.25">
      <c r="A279">
        <f>IF($O279="","",INDEX(Master!$D$2:$D$1001,$O279))</f>
      </c>
      <c r="B279" s="166">
        <f>IF($O279="","",INDEX(Master!$B$2:$B$1001,$O279))</f>
      </c>
      <c r="C279">
        <f>IF($O279="","",INDEX(Master!$C$2:$C$1001,$O279))</f>
      </c>
      <c r="D279">
        <f>IF($O279="","",INDEX(Master!$A$2:$A$1001,$O279))</f>
      </c>
      <c r="E279">
        <f>IF($O279="","",INDEX(Master!$E$2:$E$1001,$O279))</f>
      </c>
      <c r="F279">
        <f>IF($O279="","",INDEX(Master!$F$2:$F$1001,$O279))</f>
      </c>
      <c r="G279">
        <f>IF($O279="","",INDEX(Master!$G$2:$G$1001,$O279))</f>
      </c>
      <c r="H279">
        <f>IF($O279="","",INDEX(Master!$H$2:$H$1001,$O279))</f>
      </c>
      <c r="I279">
        <f>IF($O279="","",INDEX(Master!$I$2:$I$1001,$O279))</f>
      </c>
      <c r="J279">
        <f>IF($O279="","",INDEX(Master!$J$2:$J$1001,$O279))</f>
      </c>
      <c r="K279">
        <f t="shared" si="8"/>
      </c>
      <c r="L279">
        <f>IF($O279="","",INDEX(Master!$K$2:$K$1001,$O279))</f>
      </c>
      <c r="M279">
        <f>IF($O279="","",INDEX(Master!$L$2:$L$1001,$O279))</f>
      </c>
      <c r="O279">
        <f t="array" ref="O279">IFERROR(SMALL(IF(Master!$A$2:$A$1001="AR ISPAT",ROW(Master!$A$2:$A$1001)-ROW(Master!$A$2)+1),275),"")</f>
      </c>
      <c r="P279">
        <f t="shared" si="9"/>
      </c>
    </row>
    <row r="280" spans="1:16" x14ac:dyDescent="0.25">
      <c r="A280">
        <f>IF($O280="","",INDEX(Master!$D$2:$D$1001,$O280))</f>
      </c>
      <c r="B280" s="166">
        <f>IF($O280="","",INDEX(Master!$B$2:$B$1001,$O280))</f>
      </c>
      <c r="C280">
        <f>IF($O280="","",INDEX(Master!$C$2:$C$1001,$O280))</f>
      </c>
      <c r="D280">
        <f>IF($O280="","",INDEX(Master!$A$2:$A$1001,$O280))</f>
      </c>
      <c r="E280">
        <f>IF($O280="","",INDEX(Master!$E$2:$E$1001,$O280))</f>
      </c>
      <c r="F280">
        <f>IF($O280="","",INDEX(Master!$F$2:$F$1001,$O280))</f>
      </c>
      <c r="G280">
        <f>IF($O280="","",INDEX(Master!$G$2:$G$1001,$O280))</f>
      </c>
      <c r="H280">
        <f>IF($O280="","",INDEX(Master!$H$2:$H$1001,$O280))</f>
      </c>
      <c r="I280">
        <f>IF($O280="","",INDEX(Master!$I$2:$I$1001,$O280))</f>
      </c>
      <c r="J280">
        <f>IF($O280="","",INDEX(Master!$J$2:$J$1001,$O280))</f>
      </c>
      <c r="K280">
        <f t="shared" si="8"/>
      </c>
      <c r="L280">
        <f>IF($O280="","",INDEX(Master!$K$2:$K$1001,$O280))</f>
      </c>
      <c r="M280">
        <f>IF($O280="","",INDEX(Master!$L$2:$L$1001,$O280))</f>
      </c>
      <c r="O280">
        <f t="array" ref="O280">IFERROR(SMALL(IF(Master!$A$2:$A$1001="AR ISPAT",ROW(Master!$A$2:$A$1001)-ROW(Master!$A$2)+1),276),"")</f>
      </c>
      <c r="P280">
        <f t="shared" si="9"/>
      </c>
    </row>
    <row r="281" spans="1:16" x14ac:dyDescent="0.25">
      <c r="A281">
        <f>IF($O281="","",INDEX(Master!$D$2:$D$1001,$O281))</f>
      </c>
      <c r="B281" s="166">
        <f>IF($O281="","",INDEX(Master!$B$2:$B$1001,$O281))</f>
      </c>
      <c r="C281">
        <f>IF($O281="","",INDEX(Master!$C$2:$C$1001,$O281))</f>
      </c>
      <c r="D281">
        <f>IF($O281="","",INDEX(Master!$A$2:$A$1001,$O281))</f>
      </c>
      <c r="E281">
        <f>IF($O281="","",INDEX(Master!$E$2:$E$1001,$O281))</f>
      </c>
      <c r="F281">
        <f>IF($O281="","",INDEX(Master!$F$2:$F$1001,$O281))</f>
      </c>
      <c r="G281">
        <f>IF($O281="","",INDEX(Master!$G$2:$G$1001,$O281))</f>
      </c>
      <c r="H281">
        <f>IF($O281="","",INDEX(Master!$H$2:$H$1001,$O281))</f>
      </c>
      <c r="I281">
        <f>IF($O281="","",INDEX(Master!$I$2:$I$1001,$O281))</f>
      </c>
      <c r="J281">
        <f>IF($O281="","",INDEX(Master!$J$2:$J$1001,$O281))</f>
      </c>
      <c r="K281">
        <f t="shared" si="8"/>
      </c>
      <c r="L281">
        <f>IF($O281="","",INDEX(Master!$K$2:$K$1001,$O281))</f>
      </c>
      <c r="M281">
        <f>IF($O281="","",INDEX(Master!$L$2:$L$1001,$O281))</f>
      </c>
      <c r="O281">
        <f t="array" ref="O281">IFERROR(SMALL(IF(Master!$A$2:$A$1001="AR ISPAT",ROW(Master!$A$2:$A$1001)-ROW(Master!$A$2)+1),277),"")</f>
      </c>
      <c r="P281">
        <f t="shared" si="9"/>
      </c>
    </row>
    <row r="282" spans="1:16" x14ac:dyDescent="0.25">
      <c r="A282">
        <f>IF($O282="","",INDEX(Master!$D$2:$D$1001,$O282))</f>
      </c>
      <c r="B282" s="166">
        <f>IF($O282="","",INDEX(Master!$B$2:$B$1001,$O282))</f>
      </c>
      <c r="C282">
        <f>IF($O282="","",INDEX(Master!$C$2:$C$1001,$O282))</f>
      </c>
      <c r="D282">
        <f>IF($O282="","",INDEX(Master!$A$2:$A$1001,$O282))</f>
      </c>
      <c r="E282">
        <f>IF($O282="","",INDEX(Master!$E$2:$E$1001,$O282))</f>
      </c>
      <c r="F282">
        <f>IF($O282="","",INDEX(Master!$F$2:$F$1001,$O282))</f>
      </c>
      <c r="G282">
        <f>IF($O282="","",INDEX(Master!$G$2:$G$1001,$O282))</f>
      </c>
      <c r="H282">
        <f>IF($O282="","",INDEX(Master!$H$2:$H$1001,$O282))</f>
      </c>
      <c r="I282">
        <f>IF($O282="","",INDEX(Master!$I$2:$I$1001,$O282))</f>
      </c>
      <c r="J282">
        <f>IF($O282="","",INDEX(Master!$J$2:$J$1001,$O282))</f>
      </c>
      <c r="K282">
        <f t="shared" si="8"/>
      </c>
      <c r="L282">
        <f>IF($O282="","",INDEX(Master!$K$2:$K$1001,$O282))</f>
      </c>
      <c r="M282">
        <f>IF($O282="","",INDEX(Master!$L$2:$L$1001,$O282))</f>
      </c>
      <c r="O282">
        <f t="array" ref="O282">IFERROR(SMALL(IF(Master!$A$2:$A$1001="AR ISPAT",ROW(Master!$A$2:$A$1001)-ROW(Master!$A$2)+1),278),"")</f>
      </c>
      <c r="P282">
        <f t="shared" si="9"/>
      </c>
    </row>
    <row r="283" spans="1:16" x14ac:dyDescent="0.25">
      <c r="A283">
        <f>IF($O283="","",INDEX(Master!$D$2:$D$1001,$O283))</f>
      </c>
      <c r="B283" s="166">
        <f>IF($O283="","",INDEX(Master!$B$2:$B$1001,$O283))</f>
      </c>
      <c r="C283">
        <f>IF($O283="","",INDEX(Master!$C$2:$C$1001,$O283))</f>
      </c>
      <c r="D283">
        <f>IF($O283="","",INDEX(Master!$A$2:$A$1001,$O283))</f>
      </c>
      <c r="E283">
        <f>IF($O283="","",INDEX(Master!$E$2:$E$1001,$O283))</f>
      </c>
      <c r="F283">
        <f>IF($O283="","",INDEX(Master!$F$2:$F$1001,$O283))</f>
      </c>
      <c r="G283">
        <f>IF($O283="","",INDEX(Master!$G$2:$G$1001,$O283))</f>
      </c>
      <c r="H283">
        <f>IF($O283="","",INDEX(Master!$H$2:$H$1001,$O283))</f>
      </c>
      <c r="I283">
        <f>IF($O283="","",INDEX(Master!$I$2:$I$1001,$O283))</f>
      </c>
      <c r="J283">
        <f>IF($O283="","",INDEX(Master!$J$2:$J$1001,$O283))</f>
      </c>
      <c r="K283">
        <f t="shared" si="8"/>
      </c>
      <c r="L283">
        <f>IF($O283="","",INDEX(Master!$K$2:$K$1001,$O283))</f>
      </c>
      <c r="M283">
        <f>IF($O283="","",INDEX(Master!$L$2:$L$1001,$O283))</f>
      </c>
      <c r="O283">
        <f t="array" ref="O283">IFERROR(SMALL(IF(Master!$A$2:$A$1001="AR ISPAT",ROW(Master!$A$2:$A$1001)-ROW(Master!$A$2)+1),279),"")</f>
      </c>
      <c r="P283">
        <f t="shared" si="9"/>
      </c>
    </row>
    <row r="284" spans="1:16" x14ac:dyDescent="0.25">
      <c r="A284">
        <f>IF($O284="","",INDEX(Master!$D$2:$D$1001,$O284))</f>
      </c>
      <c r="B284" s="166">
        <f>IF($O284="","",INDEX(Master!$B$2:$B$1001,$O284))</f>
      </c>
      <c r="C284">
        <f>IF($O284="","",INDEX(Master!$C$2:$C$1001,$O284))</f>
      </c>
      <c r="D284">
        <f>IF($O284="","",INDEX(Master!$A$2:$A$1001,$O284))</f>
      </c>
      <c r="E284">
        <f>IF($O284="","",INDEX(Master!$E$2:$E$1001,$O284))</f>
      </c>
      <c r="F284">
        <f>IF($O284="","",INDEX(Master!$F$2:$F$1001,$O284))</f>
      </c>
      <c r="G284">
        <f>IF($O284="","",INDEX(Master!$G$2:$G$1001,$O284))</f>
      </c>
      <c r="H284">
        <f>IF($O284="","",INDEX(Master!$H$2:$H$1001,$O284))</f>
      </c>
      <c r="I284">
        <f>IF($O284="","",INDEX(Master!$I$2:$I$1001,$O284))</f>
      </c>
      <c r="J284">
        <f>IF($O284="","",INDEX(Master!$J$2:$J$1001,$O284))</f>
      </c>
      <c r="K284">
        <f t="shared" si="8"/>
      </c>
      <c r="L284">
        <f>IF($O284="","",INDEX(Master!$K$2:$K$1001,$O284))</f>
      </c>
      <c r="M284">
        <f>IF($O284="","",INDEX(Master!$L$2:$L$1001,$O284))</f>
      </c>
      <c r="O284">
        <f t="array" ref="O284">IFERROR(SMALL(IF(Master!$A$2:$A$1001="AR ISPAT",ROW(Master!$A$2:$A$1001)-ROW(Master!$A$2)+1),280),"")</f>
      </c>
      <c r="P284">
        <f t="shared" si="9"/>
      </c>
    </row>
    <row r="285" spans="1:16" x14ac:dyDescent="0.25">
      <c r="A285">
        <f>IF($O285="","",INDEX(Master!$D$2:$D$1001,$O285))</f>
      </c>
      <c r="B285" s="166">
        <f>IF($O285="","",INDEX(Master!$B$2:$B$1001,$O285))</f>
      </c>
      <c r="C285">
        <f>IF($O285="","",INDEX(Master!$C$2:$C$1001,$O285))</f>
      </c>
      <c r="D285">
        <f>IF($O285="","",INDEX(Master!$A$2:$A$1001,$O285))</f>
      </c>
      <c r="E285">
        <f>IF($O285="","",INDEX(Master!$E$2:$E$1001,$O285))</f>
      </c>
      <c r="F285">
        <f>IF($O285="","",INDEX(Master!$F$2:$F$1001,$O285))</f>
      </c>
      <c r="G285">
        <f>IF($O285="","",INDEX(Master!$G$2:$G$1001,$O285))</f>
      </c>
      <c r="H285">
        <f>IF($O285="","",INDEX(Master!$H$2:$H$1001,$O285))</f>
      </c>
      <c r="I285">
        <f>IF($O285="","",INDEX(Master!$I$2:$I$1001,$O285))</f>
      </c>
      <c r="J285">
        <f>IF($O285="","",INDEX(Master!$J$2:$J$1001,$O285))</f>
      </c>
      <c r="K285">
        <f t="shared" si="8"/>
      </c>
      <c r="L285">
        <f>IF($O285="","",INDEX(Master!$K$2:$K$1001,$O285))</f>
      </c>
      <c r="M285">
        <f>IF($O285="","",INDEX(Master!$L$2:$L$1001,$O285))</f>
      </c>
      <c r="O285">
        <f t="array" ref="O285">IFERROR(SMALL(IF(Master!$A$2:$A$1001="AR ISPAT",ROW(Master!$A$2:$A$1001)-ROW(Master!$A$2)+1),281),"")</f>
      </c>
      <c r="P285">
        <f t="shared" si="9"/>
      </c>
    </row>
    <row r="286" spans="1:16" x14ac:dyDescent="0.25">
      <c r="A286">
        <f>IF($O286="","",INDEX(Master!$D$2:$D$1001,$O286))</f>
      </c>
      <c r="B286" s="166">
        <f>IF($O286="","",INDEX(Master!$B$2:$B$1001,$O286))</f>
      </c>
      <c r="C286">
        <f>IF($O286="","",INDEX(Master!$C$2:$C$1001,$O286))</f>
      </c>
      <c r="D286">
        <f>IF($O286="","",INDEX(Master!$A$2:$A$1001,$O286))</f>
      </c>
      <c r="E286">
        <f>IF($O286="","",INDEX(Master!$E$2:$E$1001,$O286))</f>
      </c>
      <c r="F286">
        <f>IF($O286="","",INDEX(Master!$F$2:$F$1001,$O286))</f>
      </c>
      <c r="G286">
        <f>IF($O286="","",INDEX(Master!$G$2:$G$1001,$O286))</f>
      </c>
      <c r="H286">
        <f>IF($O286="","",INDEX(Master!$H$2:$H$1001,$O286))</f>
      </c>
      <c r="I286">
        <f>IF($O286="","",INDEX(Master!$I$2:$I$1001,$O286))</f>
      </c>
      <c r="J286">
        <f>IF($O286="","",INDEX(Master!$J$2:$J$1001,$O286))</f>
      </c>
      <c r="K286">
        <f t="shared" si="8"/>
      </c>
      <c r="L286">
        <f>IF($O286="","",INDEX(Master!$K$2:$K$1001,$O286))</f>
      </c>
      <c r="M286">
        <f>IF($O286="","",INDEX(Master!$L$2:$L$1001,$O286))</f>
      </c>
      <c r="O286">
        <f t="array" ref="O286">IFERROR(SMALL(IF(Master!$A$2:$A$1001="AR ISPAT",ROW(Master!$A$2:$A$1001)-ROW(Master!$A$2)+1),282),"")</f>
      </c>
      <c r="P286">
        <f t="shared" si="9"/>
      </c>
    </row>
    <row r="287" spans="1:16" x14ac:dyDescent="0.25">
      <c r="A287">
        <f>IF($O287="","",INDEX(Master!$D$2:$D$1001,$O287))</f>
      </c>
      <c r="B287" s="166">
        <f>IF($O287="","",INDEX(Master!$B$2:$B$1001,$O287))</f>
      </c>
      <c r="C287">
        <f>IF($O287="","",INDEX(Master!$C$2:$C$1001,$O287))</f>
      </c>
      <c r="D287">
        <f>IF($O287="","",INDEX(Master!$A$2:$A$1001,$O287))</f>
      </c>
      <c r="E287">
        <f>IF($O287="","",INDEX(Master!$E$2:$E$1001,$O287))</f>
      </c>
      <c r="F287">
        <f>IF($O287="","",INDEX(Master!$F$2:$F$1001,$O287))</f>
      </c>
      <c r="G287">
        <f>IF($O287="","",INDEX(Master!$G$2:$G$1001,$O287))</f>
      </c>
      <c r="H287">
        <f>IF($O287="","",INDEX(Master!$H$2:$H$1001,$O287))</f>
      </c>
      <c r="I287">
        <f>IF($O287="","",INDEX(Master!$I$2:$I$1001,$O287))</f>
      </c>
      <c r="J287">
        <f>IF($O287="","",INDEX(Master!$J$2:$J$1001,$O287))</f>
      </c>
      <c r="K287">
        <f t="shared" si="8"/>
      </c>
      <c r="L287">
        <f>IF($O287="","",INDEX(Master!$K$2:$K$1001,$O287))</f>
      </c>
      <c r="M287">
        <f>IF($O287="","",INDEX(Master!$L$2:$L$1001,$O287))</f>
      </c>
      <c r="O287">
        <f t="array" ref="O287">IFERROR(SMALL(IF(Master!$A$2:$A$1001="AR ISPAT",ROW(Master!$A$2:$A$1001)-ROW(Master!$A$2)+1),283),"")</f>
      </c>
      <c r="P287">
        <f t="shared" si="9"/>
      </c>
    </row>
    <row r="288" spans="1:16" x14ac:dyDescent="0.25">
      <c r="A288">
        <f>IF($O288="","",INDEX(Master!$D$2:$D$1001,$O288))</f>
      </c>
      <c r="B288" s="166">
        <f>IF($O288="","",INDEX(Master!$B$2:$B$1001,$O288))</f>
      </c>
      <c r="C288">
        <f>IF($O288="","",INDEX(Master!$C$2:$C$1001,$O288))</f>
      </c>
      <c r="D288">
        <f>IF($O288="","",INDEX(Master!$A$2:$A$1001,$O288))</f>
      </c>
      <c r="E288">
        <f>IF($O288="","",INDEX(Master!$E$2:$E$1001,$O288))</f>
      </c>
      <c r="F288">
        <f>IF($O288="","",INDEX(Master!$F$2:$F$1001,$O288))</f>
      </c>
      <c r="G288">
        <f>IF($O288="","",INDEX(Master!$G$2:$G$1001,$O288))</f>
      </c>
      <c r="H288">
        <f>IF($O288="","",INDEX(Master!$H$2:$H$1001,$O288))</f>
      </c>
      <c r="I288">
        <f>IF($O288="","",INDEX(Master!$I$2:$I$1001,$O288))</f>
      </c>
      <c r="J288">
        <f>IF($O288="","",INDEX(Master!$J$2:$J$1001,$O288))</f>
      </c>
      <c r="K288">
        <f t="shared" si="8"/>
      </c>
      <c r="L288">
        <f>IF($O288="","",INDEX(Master!$K$2:$K$1001,$O288))</f>
      </c>
      <c r="M288">
        <f>IF($O288="","",INDEX(Master!$L$2:$L$1001,$O288))</f>
      </c>
      <c r="O288">
        <f t="array" ref="O288">IFERROR(SMALL(IF(Master!$A$2:$A$1001="AR ISPAT",ROW(Master!$A$2:$A$1001)-ROW(Master!$A$2)+1),284),"")</f>
      </c>
      <c r="P288">
        <f t="shared" si="9"/>
      </c>
    </row>
    <row r="289" spans="1:16" x14ac:dyDescent="0.25">
      <c r="A289">
        <f>IF($O289="","",INDEX(Master!$D$2:$D$1001,$O289))</f>
      </c>
      <c r="B289" s="166">
        <f>IF($O289="","",INDEX(Master!$B$2:$B$1001,$O289))</f>
      </c>
      <c r="C289">
        <f>IF($O289="","",INDEX(Master!$C$2:$C$1001,$O289))</f>
      </c>
      <c r="D289">
        <f>IF($O289="","",INDEX(Master!$A$2:$A$1001,$O289))</f>
      </c>
      <c r="E289">
        <f>IF($O289="","",INDEX(Master!$E$2:$E$1001,$O289))</f>
      </c>
      <c r="F289">
        <f>IF($O289="","",INDEX(Master!$F$2:$F$1001,$O289))</f>
      </c>
      <c r="G289">
        <f>IF($O289="","",INDEX(Master!$G$2:$G$1001,$O289))</f>
      </c>
      <c r="H289">
        <f>IF($O289="","",INDEX(Master!$H$2:$H$1001,$O289))</f>
      </c>
      <c r="I289">
        <f>IF($O289="","",INDEX(Master!$I$2:$I$1001,$O289))</f>
      </c>
      <c r="J289">
        <f>IF($O289="","",INDEX(Master!$J$2:$J$1001,$O289))</f>
      </c>
      <c r="K289">
        <f t="shared" si="8"/>
      </c>
      <c r="L289">
        <f>IF($O289="","",INDEX(Master!$K$2:$K$1001,$O289))</f>
      </c>
      <c r="M289">
        <f>IF($O289="","",INDEX(Master!$L$2:$L$1001,$O289))</f>
      </c>
      <c r="O289">
        <f t="array" ref="O289">IFERROR(SMALL(IF(Master!$A$2:$A$1001="AR ISPAT",ROW(Master!$A$2:$A$1001)-ROW(Master!$A$2)+1),285),"")</f>
      </c>
      <c r="P289">
        <f t="shared" si="9"/>
      </c>
    </row>
    <row r="290" spans="1:16" x14ac:dyDescent="0.25">
      <c r="A290">
        <f>IF($O290="","",INDEX(Master!$D$2:$D$1001,$O290))</f>
      </c>
      <c r="B290" s="166">
        <f>IF($O290="","",INDEX(Master!$B$2:$B$1001,$O290))</f>
      </c>
      <c r="C290">
        <f>IF($O290="","",INDEX(Master!$C$2:$C$1001,$O290))</f>
      </c>
      <c r="D290">
        <f>IF($O290="","",INDEX(Master!$A$2:$A$1001,$O290))</f>
      </c>
      <c r="E290">
        <f>IF($O290="","",INDEX(Master!$E$2:$E$1001,$O290))</f>
      </c>
      <c r="F290">
        <f>IF($O290="","",INDEX(Master!$F$2:$F$1001,$O290))</f>
      </c>
      <c r="G290">
        <f>IF($O290="","",INDEX(Master!$G$2:$G$1001,$O290))</f>
      </c>
      <c r="H290">
        <f>IF($O290="","",INDEX(Master!$H$2:$H$1001,$O290))</f>
      </c>
      <c r="I290">
        <f>IF($O290="","",INDEX(Master!$I$2:$I$1001,$O290))</f>
      </c>
      <c r="J290">
        <f>IF($O290="","",INDEX(Master!$J$2:$J$1001,$O290))</f>
      </c>
      <c r="K290">
        <f t="shared" si="8"/>
      </c>
      <c r="L290">
        <f>IF($O290="","",INDEX(Master!$K$2:$K$1001,$O290))</f>
      </c>
      <c r="M290">
        <f>IF($O290="","",INDEX(Master!$L$2:$L$1001,$O290))</f>
      </c>
      <c r="O290">
        <f t="array" ref="O290">IFERROR(SMALL(IF(Master!$A$2:$A$1001="AR ISPAT",ROW(Master!$A$2:$A$1001)-ROW(Master!$A$2)+1),286),"")</f>
      </c>
      <c r="P290">
        <f t="shared" si="9"/>
      </c>
    </row>
    <row r="291" spans="1:16" x14ac:dyDescent="0.25">
      <c r="A291">
        <f>IF($O291="","",INDEX(Master!$D$2:$D$1001,$O291))</f>
      </c>
      <c r="B291" s="166">
        <f>IF($O291="","",INDEX(Master!$B$2:$B$1001,$O291))</f>
      </c>
      <c r="C291">
        <f>IF($O291="","",INDEX(Master!$C$2:$C$1001,$O291))</f>
      </c>
      <c r="D291">
        <f>IF($O291="","",INDEX(Master!$A$2:$A$1001,$O291))</f>
      </c>
      <c r="E291">
        <f>IF($O291="","",INDEX(Master!$E$2:$E$1001,$O291))</f>
      </c>
      <c r="F291">
        <f>IF($O291="","",INDEX(Master!$F$2:$F$1001,$O291))</f>
      </c>
      <c r="G291">
        <f>IF($O291="","",INDEX(Master!$G$2:$G$1001,$O291))</f>
      </c>
      <c r="H291">
        <f>IF($O291="","",INDEX(Master!$H$2:$H$1001,$O291))</f>
      </c>
      <c r="I291">
        <f>IF($O291="","",INDEX(Master!$I$2:$I$1001,$O291))</f>
      </c>
      <c r="J291">
        <f>IF($O291="","",INDEX(Master!$J$2:$J$1001,$O291))</f>
      </c>
      <c r="K291">
        <f t="shared" si="8"/>
      </c>
      <c r="L291">
        <f>IF($O291="","",INDEX(Master!$K$2:$K$1001,$O291))</f>
      </c>
      <c r="M291">
        <f>IF($O291="","",INDEX(Master!$L$2:$L$1001,$O291))</f>
      </c>
      <c r="O291">
        <f t="array" ref="O291">IFERROR(SMALL(IF(Master!$A$2:$A$1001="AR ISPAT",ROW(Master!$A$2:$A$1001)-ROW(Master!$A$2)+1),287),"")</f>
      </c>
      <c r="P291">
        <f t="shared" si="9"/>
      </c>
    </row>
    <row r="292" spans="1:16" x14ac:dyDescent="0.25">
      <c r="A292">
        <f>IF($O292="","",INDEX(Master!$D$2:$D$1001,$O292))</f>
      </c>
      <c r="B292" s="166">
        <f>IF($O292="","",INDEX(Master!$B$2:$B$1001,$O292))</f>
      </c>
      <c r="C292">
        <f>IF($O292="","",INDEX(Master!$C$2:$C$1001,$O292))</f>
      </c>
      <c r="D292">
        <f>IF($O292="","",INDEX(Master!$A$2:$A$1001,$O292))</f>
      </c>
      <c r="E292">
        <f>IF($O292="","",INDEX(Master!$E$2:$E$1001,$O292))</f>
      </c>
      <c r="F292">
        <f>IF($O292="","",INDEX(Master!$F$2:$F$1001,$O292))</f>
      </c>
      <c r="G292">
        <f>IF($O292="","",INDEX(Master!$G$2:$G$1001,$O292))</f>
      </c>
      <c r="H292">
        <f>IF($O292="","",INDEX(Master!$H$2:$H$1001,$O292))</f>
      </c>
      <c r="I292">
        <f>IF($O292="","",INDEX(Master!$I$2:$I$1001,$O292))</f>
      </c>
      <c r="J292">
        <f>IF($O292="","",INDEX(Master!$J$2:$J$1001,$O292))</f>
      </c>
      <c r="K292">
        <f t="shared" si="8"/>
      </c>
      <c r="L292">
        <f>IF($O292="","",INDEX(Master!$K$2:$K$1001,$O292))</f>
      </c>
      <c r="M292">
        <f>IF($O292="","",INDEX(Master!$L$2:$L$1001,$O292))</f>
      </c>
      <c r="O292">
        <f t="array" ref="O292">IFERROR(SMALL(IF(Master!$A$2:$A$1001="AR ISPAT",ROW(Master!$A$2:$A$1001)-ROW(Master!$A$2)+1),288),"")</f>
      </c>
      <c r="P292">
        <f t="shared" si="9"/>
      </c>
    </row>
    <row r="293" spans="1:16" x14ac:dyDescent="0.25">
      <c r="A293">
        <f>IF($O293="","",INDEX(Master!$D$2:$D$1001,$O293))</f>
      </c>
      <c r="B293" s="166">
        <f>IF($O293="","",INDEX(Master!$B$2:$B$1001,$O293))</f>
      </c>
      <c r="C293">
        <f>IF($O293="","",INDEX(Master!$C$2:$C$1001,$O293))</f>
      </c>
      <c r="D293">
        <f>IF($O293="","",INDEX(Master!$A$2:$A$1001,$O293))</f>
      </c>
      <c r="E293">
        <f>IF($O293="","",INDEX(Master!$E$2:$E$1001,$O293))</f>
      </c>
      <c r="F293">
        <f>IF($O293="","",INDEX(Master!$F$2:$F$1001,$O293))</f>
      </c>
      <c r="G293">
        <f>IF($O293="","",INDEX(Master!$G$2:$G$1001,$O293))</f>
      </c>
      <c r="H293">
        <f>IF($O293="","",INDEX(Master!$H$2:$H$1001,$O293))</f>
      </c>
      <c r="I293">
        <f>IF($O293="","",INDEX(Master!$I$2:$I$1001,$O293))</f>
      </c>
      <c r="J293">
        <f>IF($O293="","",INDEX(Master!$J$2:$J$1001,$O293))</f>
      </c>
      <c r="K293">
        <f t="shared" si="8"/>
      </c>
      <c r="L293">
        <f>IF($O293="","",INDEX(Master!$K$2:$K$1001,$O293))</f>
      </c>
      <c r="M293">
        <f>IF($O293="","",INDEX(Master!$L$2:$L$1001,$O293))</f>
      </c>
      <c r="O293">
        <f t="array" ref="O293">IFERROR(SMALL(IF(Master!$A$2:$A$1001="AR ISPAT",ROW(Master!$A$2:$A$1001)-ROW(Master!$A$2)+1),289),"")</f>
      </c>
      <c r="P293">
        <f t="shared" si="9"/>
      </c>
    </row>
    <row r="294" spans="1:16" x14ac:dyDescent="0.25">
      <c r="A294">
        <f>IF($O294="","",INDEX(Master!$D$2:$D$1001,$O294))</f>
      </c>
      <c r="B294" s="166">
        <f>IF($O294="","",INDEX(Master!$B$2:$B$1001,$O294))</f>
      </c>
      <c r="C294">
        <f>IF($O294="","",INDEX(Master!$C$2:$C$1001,$O294))</f>
      </c>
      <c r="D294">
        <f>IF($O294="","",INDEX(Master!$A$2:$A$1001,$O294))</f>
      </c>
      <c r="E294">
        <f>IF($O294="","",INDEX(Master!$E$2:$E$1001,$O294))</f>
      </c>
      <c r="F294">
        <f>IF($O294="","",INDEX(Master!$F$2:$F$1001,$O294))</f>
      </c>
      <c r="G294">
        <f>IF($O294="","",INDEX(Master!$G$2:$G$1001,$O294))</f>
      </c>
      <c r="H294">
        <f>IF($O294="","",INDEX(Master!$H$2:$H$1001,$O294))</f>
      </c>
      <c r="I294">
        <f>IF($O294="","",INDEX(Master!$I$2:$I$1001,$O294))</f>
      </c>
      <c r="J294">
        <f>IF($O294="","",INDEX(Master!$J$2:$J$1001,$O294))</f>
      </c>
      <c r="K294">
        <f t="shared" si="8"/>
      </c>
      <c r="L294">
        <f>IF($O294="","",INDEX(Master!$K$2:$K$1001,$O294))</f>
      </c>
      <c r="M294">
        <f>IF($O294="","",INDEX(Master!$L$2:$L$1001,$O294))</f>
      </c>
      <c r="O294">
        <f t="array" ref="O294">IFERROR(SMALL(IF(Master!$A$2:$A$1001="AR ISPAT",ROW(Master!$A$2:$A$1001)-ROW(Master!$A$2)+1),290),"")</f>
      </c>
      <c r="P294">
        <f t="shared" si="9"/>
      </c>
    </row>
    <row r="295" spans="1:16" x14ac:dyDescent="0.25">
      <c r="A295">
        <f>IF($O295="","",INDEX(Master!$D$2:$D$1001,$O295))</f>
      </c>
      <c r="B295" s="166">
        <f>IF($O295="","",INDEX(Master!$B$2:$B$1001,$O295))</f>
      </c>
      <c r="C295">
        <f>IF($O295="","",INDEX(Master!$C$2:$C$1001,$O295))</f>
      </c>
      <c r="D295">
        <f>IF($O295="","",INDEX(Master!$A$2:$A$1001,$O295))</f>
      </c>
      <c r="E295">
        <f>IF($O295="","",INDEX(Master!$E$2:$E$1001,$O295))</f>
      </c>
      <c r="F295">
        <f>IF($O295="","",INDEX(Master!$F$2:$F$1001,$O295))</f>
      </c>
      <c r="G295">
        <f>IF($O295="","",INDEX(Master!$G$2:$G$1001,$O295))</f>
      </c>
      <c r="H295">
        <f>IF($O295="","",INDEX(Master!$H$2:$H$1001,$O295))</f>
      </c>
      <c r="I295">
        <f>IF($O295="","",INDEX(Master!$I$2:$I$1001,$O295))</f>
      </c>
      <c r="J295">
        <f>IF($O295="","",INDEX(Master!$J$2:$J$1001,$O295))</f>
      </c>
      <c r="K295">
        <f t="shared" si="8"/>
      </c>
      <c r="L295">
        <f>IF($O295="","",INDEX(Master!$K$2:$K$1001,$O295))</f>
      </c>
      <c r="M295">
        <f>IF($O295="","",INDEX(Master!$L$2:$L$1001,$O295))</f>
      </c>
      <c r="O295">
        <f t="array" ref="O295">IFERROR(SMALL(IF(Master!$A$2:$A$1001="AR ISPAT",ROW(Master!$A$2:$A$1001)-ROW(Master!$A$2)+1),291),"")</f>
      </c>
      <c r="P295">
        <f t="shared" si="9"/>
      </c>
    </row>
    <row r="296" spans="1:16" x14ac:dyDescent="0.25">
      <c r="A296">
        <f>IF($O296="","",INDEX(Master!$D$2:$D$1001,$O296))</f>
      </c>
      <c r="B296" s="166">
        <f>IF($O296="","",INDEX(Master!$B$2:$B$1001,$O296))</f>
      </c>
      <c r="C296">
        <f>IF($O296="","",INDEX(Master!$C$2:$C$1001,$O296))</f>
      </c>
      <c r="D296">
        <f>IF($O296="","",INDEX(Master!$A$2:$A$1001,$O296))</f>
      </c>
      <c r="E296">
        <f>IF($O296="","",INDEX(Master!$E$2:$E$1001,$O296))</f>
      </c>
      <c r="F296">
        <f>IF($O296="","",INDEX(Master!$F$2:$F$1001,$O296))</f>
      </c>
      <c r="G296">
        <f>IF($O296="","",INDEX(Master!$G$2:$G$1001,$O296))</f>
      </c>
      <c r="H296">
        <f>IF($O296="","",INDEX(Master!$H$2:$H$1001,$O296))</f>
      </c>
      <c r="I296">
        <f>IF($O296="","",INDEX(Master!$I$2:$I$1001,$O296))</f>
      </c>
      <c r="J296">
        <f>IF($O296="","",INDEX(Master!$J$2:$J$1001,$O296))</f>
      </c>
      <c r="K296">
        <f t="shared" si="8"/>
      </c>
      <c r="L296">
        <f>IF($O296="","",INDEX(Master!$K$2:$K$1001,$O296))</f>
      </c>
      <c r="M296">
        <f>IF($O296="","",INDEX(Master!$L$2:$L$1001,$O296))</f>
      </c>
      <c r="O296">
        <f t="array" ref="O296">IFERROR(SMALL(IF(Master!$A$2:$A$1001="AR ISPAT",ROW(Master!$A$2:$A$1001)-ROW(Master!$A$2)+1),292),"")</f>
      </c>
      <c r="P296">
        <f t="shared" si="9"/>
      </c>
    </row>
    <row r="297" spans="1:16" x14ac:dyDescent="0.25">
      <c r="A297">
        <f>IF($O297="","",INDEX(Master!$D$2:$D$1001,$O297))</f>
      </c>
      <c r="B297" s="166">
        <f>IF($O297="","",INDEX(Master!$B$2:$B$1001,$O297))</f>
      </c>
      <c r="C297">
        <f>IF($O297="","",INDEX(Master!$C$2:$C$1001,$O297))</f>
      </c>
      <c r="D297">
        <f>IF($O297="","",INDEX(Master!$A$2:$A$1001,$O297))</f>
      </c>
      <c r="E297">
        <f>IF($O297="","",INDEX(Master!$E$2:$E$1001,$O297))</f>
      </c>
      <c r="F297">
        <f>IF($O297="","",INDEX(Master!$F$2:$F$1001,$O297))</f>
      </c>
      <c r="G297">
        <f>IF($O297="","",INDEX(Master!$G$2:$G$1001,$O297))</f>
      </c>
      <c r="H297">
        <f>IF($O297="","",INDEX(Master!$H$2:$H$1001,$O297))</f>
      </c>
      <c r="I297">
        <f>IF($O297="","",INDEX(Master!$I$2:$I$1001,$O297))</f>
      </c>
      <c r="J297">
        <f>IF($O297="","",INDEX(Master!$J$2:$J$1001,$O297))</f>
      </c>
      <c r="K297">
        <f t="shared" si="8"/>
      </c>
      <c r="L297">
        <f>IF($O297="","",INDEX(Master!$K$2:$K$1001,$O297))</f>
      </c>
      <c r="M297">
        <f>IF($O297="","",INDEX(Master!$L$2:$L$1001,$O297))</f>
      </c>
      <c r="O297">
        <f t="array" ref="O297">IFERROR(SMALL(IF(Master!$A$2:$A$1001="AR ISPAT",ROW(Master!$A$2:$A$1001)-ROW(Master!$A$2)+1),293),"")</f>
      </c>
      <c r="P297">
        <f t="shared" si="9"/>
      </c>
    </row>
    <row r="298" spans="1:16" x14ac:dyDescent="0.25">
      <c r="A298">
        <f>IF($O298="","",INDEX(Master!$D$2:$D$1001,$O298))</f>
      </c>
      <c r="B298" s="166">
        <f>IF($O298="","",INDEX(Master!$B$2:$B$1001,$O298))</f>
      </c>
      <c r="C298">
        <f>IF($O298="","",INDEX(Master!$C$2:$C$1001,$O298))</f>
      </c>
      <c r="D298">
        <f>IF($O298="","",INDEX(Master!$A$2:$A$1001,$O298))</f>
      </c>
      <c r="E298">
        <f>IF($O298="","",INDEX(Master!$E$2:$E$1001,$O298))</f>
      </c>
      <c r="F298">
        <f>IF($O298="","",INDEX(Master!$F$2:$F$1001,$O298))</f>
      </c>
      <c r="G298">
        <f>IF($O298="","",INDEX(Master!$G$2:$G$1001,$O298))</f>
      </c>
      <c r="H298">
        <f>IF($O298="","",INDEX(Master!$H$2:$H$1001,$O298))</f>
      </c>
      <c r="I298">
        <f>IF($O298="","",INDEX(Master!$I$2:$I$1001,$O298))</f>
      </c>
      <c r="J298">
        <f>IF($O298="","",INDEX(Master!$J$2:$J$1001,$O298))</f>
      </c>
      <c r="K298">
        <f t="shared" si="8"/>
      </c>
      <c r="L298">
        <f>IF($O298="","",INDEX(Master!$K$2:$K$1001,$O298))</f>
      </c>
      <c r="M298">
        <f>IF($O298="","",INDEX(Master!$L$2:$L$1001,$O298))</f>
      </c>
      <c r="O298">
        <f t="array" ref="O298">IFERROR(SMALL(IF(Master!$A$2:$A$1001="AR ISPAT",ROW(Master!$A$2:$A$1001)-ROW(Master!$A$2)+1),294),"")</f>
      </c>
      <c r="P298">
        <f t="shared" si="9"/>
      </c>
    </row>
    <row r="299" spans="1:16" x14ac:dyDescent="0.25">
      <c r="A299">
        <f>IF($O299="","",INDEX(Master!$D$2:$D$1001,$O299))</f>
      </c>
      <c r="B299" s="166">
        <f>IF($O299="","",INDEX(Master!$B$2:$B$1001,$O299))</f>
      </c>
      <c r="C299">
        <f>IF($O299="","",INDEX(Master!$C$2:$C$1001,$O299))</f>
      </c>
      <c r="D299">
        <f>IF($O299="","",INDEX(Master!$A$2:$A$1001,$O299))</f>
      </c>
      <c r="E299">
        <f>IF($O299="","",INDEX(Master!$E$2:$E$1001,$O299))</f>
      </c>
      <c r="F299">
        <f>IF($O299="","",INDEX(Master!$F$2:$F$1001,$O299))</f>
      </c>
      <c r="G299">
        <f>IF($O299="","",INDEX(Master!$G$2:$G$1001,$O299))</f>
      </c>
      <c r="H299">
        <f>IF($O299="","",INDEX(Master!$H$2:$H$1001,$O299))</f>
      </c>
      <c r="I299">
        <f>IF($O299="","",INDEX(Master!$I$2:$I$1001,$O299))</f>
      </c>
      <c r="J299">
        <f>IF($O299="","",INDEX(Master!$J$2:$J$1001,$O299))</f>
      </c>
      <c r="K299">
        <f t="shared" si="8"/>
      </c>
      <c r="L299">
        <f>IF($O299="","",INDEX(Master!$K$2:$K$1001,$O299))</f>
      </c>
      <c r="M299">
        <f>IF($O299="","",INDEX(Master!$L$2:$L$1001,$O299))</f>
      </c>
      <c r="O299">
        <f t="array" ref="O299">IFERROR(SMALL(IF(Master!$A$2:$A$1001="AR ISPAT",ROW(Master!$A$2:$A$1001)-ROW(Master!$A$2)+1),295),"")</f>
      </c>
      <c r="P299">
        <f t="shared" si="9"/>
      </c>
    </row>
    <row r="300" spans="1:16" x14ac:dyDescent="0.25">
      <c r="A300">
        <f>IF($O300="","",INDEX(Master!$D$2:$D$1001,$O300))</f>
      </c>
      <c r="B300" s="166">
        <f>IF($O300="","",INDEX(Master!$B$2:$B$1001,$O300))</f>
      </c>
      <c r="C300">
        <f>IF($O300="","",INDEX(Master!$C$2:$C$1001,$O300))</f>
      </c>
      <c r="D300">
        <f>IF($O300="","",INDEX(Master!$A$2:$A$1001,$O300))</f>
      </c>
      <c r="E300">
        <f>IF($O300="","",INDEX(Master!$E$2:$E$1001,$O300))</f>
      </c>
      <c r="F300">
        <f>IF($O300="","",INDEX(Master!$F$2:$F$1001,$O300))</f>
      </c>
      <c r="G300">
        <f>IF($O300="","",INDEX(Master!$G$2:$G$1001,$O300))</f>
      </c>
      <c r="H300">
        <f>IF($O300="","",INDEX(Master!$H$2:$H$1001,$O300))</f>
      </c>
      <c r="I300">
        <f>IF($O300="","",INDEX(Master!$I$2:$I$1001,$O300))</f>
      </c>
      <c r="J300">
        <f>IF($O300="","",INDEX(Master!$J$2:$J$1001,$O300))</f>
      </c>
      <c r="K300">
        <f t="shared" si="8"/>
      </c>
      <c r="L300">
        <f>IF($O300="","",INDEX(Master!$K$2:$K$1001,$O300))</f>
      </c>
      <c r="M300">
        <f>IF($O300="","",INDEX(Master!$L$2:$L$1001,$O300))</f>
      </c>
      <c r="O300">
        <f t="array" ref="O300">IFERROR(SMALL(IF(Master!$A$2:$A$1001="AR ISPAT",ROW(Master!$A$2:$A$1001)-ROW(Master!$A$2)+1),296),"")</f>
      </c>
      <c r="P300">
        <f t="shared" si="9"/>
      </c>
    </row>
    <row r="301" spans="1:16" x14ac:dyDescent="0.25">
      <c r="A301">
        <f>IF($O301="","",INDEX(Master!$D$2:$D$1001,$O301))</f>
      </c>
      <c r="B301" s="166">
        <f>IF($O301="","",INDEX(Master!$B$2:$B$1001,$O301))</f>
      </c>
      <c r="C301">
        <f>IF($O301="","",INDEX(Master!$C$2:$C$1001,$O301))</f>
      </c>
      <c r="D301">
        <f>IF($O301="","",INDEX(Master!$A$2:$A$1001,$O301))</f>
      </c>
      <c r="E301">
        <f>IF($O301="","",INDEX(Master!$E$2:$E$1001,$O301))</f>
      </c>
      <c r="F301">
        <f>IF($O301="","",INDEX(Master!$F$2:$F$1001,$O301))</f>
      </c>
      <c r="G301">
        <f>IF($O301="","",INDEX(Master!$G$2:$G$1001,$O301))</f>
      </c>
      <c r="H301">
        <f>IF($O301="","",INDEX(Master!$H$2:$H$1001,$O301))</f>
      </c>
      <c r="I301">
        <f>IF($O301="","",INDEX(Master!$I$2:$I$1001,$O301))</f>
      </c>
      <c r="J301">
        <f>IF($O301="","",INDEX(Master!$J$2:$J$1001,$O301))</f>
      </c>
      <c r="K301">
        <f t="shared" si="8"/>
      </c>
      <c r="L301">
        <f>IF($O301="","",INDEX(Master!$K$2:$K$1001,$O301))</f>
      </c>
      <c r="M301">
        <f>IF($O301="","",INDEX(Master!$L$2:$L$1001,$O301))</f>
      </c>
      <c r="O301">
        <f t="array" ref="O301">IFERROR(SMALL(IF(Master!$A$2:$A$1001="AR ISPAT",ROW(Master!$A$2:$A$1001)-ROW(Master!$A$2)+1),297),"")</f>
      </c>
      <c r="P301">
        <f t="shared" si="9"/>
      </c>
    </row>
    <row r="302" spans="1:16" x14ac:dyDescent="0.25">
      <c r="A302">
        <f>IF($O302="","",INDEX(Master!$D$2:$D$1001,$O302))</f>
      </c>
      <c r="B302" s="166">
        <f>IF($O302="","",INDEX(Master!$B$2:$B$1001,$O302))</f>
      </c>
      <c r="C302">
        <f>IF($O302="","",INDEX(Master!$C$2:$C$1001,$O302))</f>
      </c>
      <c r="D302">
        <f>IF($O302="","",INDEX(Master!$A$2:$A$1001,$O302))</f>
      </c>
      <c r="E302">
        <f>IF($O302="","",INDEX(Master!$E$2:$E$1001,$O302))</f>
      </c>
      <c r="F302">
        <f>IF($O302="","",INDEX(Master!$F$2:$F$1001,$O302))</f>
      </c>
      <c r="G302">
        <f>IF($O302="","",INDEX(Master!$G$2:$G$1001,$O302))</f>
      </c>
      <c r="H302">
        <f>IF($O302="","",INDEX(Master!$H$2:$H$1001,$O302))</f>
      </c>
      <c r="I302">
        <f>IF($O302="","",INDEX(Master!$I$2:$I$1001,$O302))</f>
      </c>
      <c r="J302">
        <f>IF($O302="","",INDEX(Master!$J$2:$J$1001,$O302))</f>
      </c>
      <c r="K302">
        <f t="shared" si="8"/>
      </c>
      <c r="L302">
        <f>IF($O302="","",INDEX(Master!$K$2:$K$1001,$O302))</f>
      </c>
      <c r="M302">
        <f>IF($O302="","",INDEX(Master!$L$2:$L$1001,$O302))</f>
      </c>
      <c r="O302">
        <f t="array" ref="O302">IFERROR(SMALL(IF(Master!$A$2:$A$1001="AR ISPAT",ROW(Master!$A$2:$A$1001)-ROW(Master!$A$2)+1),298),"")</f>
      </c>
      <c r="P302">
        <f t="shared" si="9"/>
      </c>
    </row>
    <row r="303" spans="1:16" x14ac:dyDescent="0.25">
      <c r="A303">
        <f>IF($O303="","",INDEX(Master!$D$2:$D$1001,$O303))</f>
      </c>
      <c r="B303" s="166">
        <f>IF($O303="","",INDEX(Master!$B$2:$B$1001,$O303))</f>
      </c>
      <c r="C303">
        <f>IF($O303="","",INDEX(Master!$C$2:$C$1001,$O303))</f>
      </c>
      <c r="D303">
        <f>IF($O303="","",INDEX(Master!$A$2:$A$1001,$O303))</f>
      </c>
      <c r="E303">
        <f>IF($O303="","",INDEX(Master!$E$2:$E$1001,$O303))</f>
      </c>
      <c r="F303">
        <f>IF($O303="","",INDEX(Master!$F$2:$F$1001,$O303))</f>
      </c>
      <c r="G303">
        <f>IF($O303="","",INDEX(Master!$G$2:$G$1001,$O303))</f>
      </c>
      <c r="H303">
        <f>IF($O303="","",INDEX(Master!$H$2:$H$1001,$O303))</f>
      </c>
      <c r="I303">
        <f>IF($O303="","",INDEX(Master!$I$2:$I$1001,$O303))</f>
      </c>
      <c r="J303">
        <f>IF($O303="","",INDEX(Master!$J$2:$J$1001,$O303))</f>
      </c>
      <c r="K303">
        <f t="shared" si="8"/>
      </c>
      <c r="L303">
        <f>IF($O303="","",INDEX(Master!$K$2:$K$1001,$O303))</f>
      </c>
      <c r="M303">
        <f>IF($O303="","",INDEX(Master!$L$2:$L$1001,$O303))</f>
      </c>
      <c r="O303">
        <f t="array" ref="O303">IFERROR(SMALL(IF(Master!$A$2:$A$1001="AR ISPAT",ROW(Master!$A$2:$A$1001)-ROW(Master!$A$2)+1),299),"")</f>
      </c>
      <c r="P303">
        <f t="shared" si="9"/>
      </c>
    </row>
    <row r="304" spans="1:16" x14ac:dyDescent="0.25">
      <c r="A304">
        <f>IF($O304="","",INDEX(Master!$D$2:$D$1001,$O304))</f>
      </c>
      <c r="B304" s="166">
        <f>IF($O304="","",INDEX(Master!$B$2:$B$1001,$O304))</f>
      </c>
      <c r="C304">
        <f>IF($O304="","",INDEX(Master!$C$2:$C$1001,$O304))</f>
      </c>
      <c r="D304">
        <f>IF($O304="","",INDEX(Master!$A$2:$A$1001,$O304))</f>
      </c>
      <c r="E304">
        <f>IF($O304="","",INDEX(Master!$E$2:$E$1001,$O304))</f>
      </c>
      <c r="F304">
        <f>IF($O304="","",INDEX(Master!$F$2:$F$1001,$O304))</f>
      </c>
      <c r="G304">
        <f>IF($O304="","",INDEX(Master!$G$2:$G$1001,$O304))</f>
      </c>
      <c r="H304">
        <f>IF($O304="","",INDEX(Master!$H$2:$H$1001,$O304))</f>
      </c>
      <c r="I304">
        <f>IF($O304="","",INDEX(Master!$I$2:$I$1001,$O304))</f>
      </c>
      <c r="J304">
        <f>IF($O304="","",INDEX(Master!$J$2:$J$1001,$O304))</f>
      </c>
      <c r="K304">
        <f t="shared" si="8"/>
      </c>
      <c r="L304">
        <f>IF($O304="","",INDEX(Master!$K$2:$K$1001,$O304))</f>
      </c>
      <c r="M304">
        <f>IF($O304="","",INDEX(Master!$L$2:$L$1001,$O304))</f>
      </c>
      <c r="O304">
        <f t="array" ref="O304">IFERROR(SMALL(IF(Master!$A$2:$A$1001="AR ISPAT",ROW(Master!$A$2:$A$1001)-ROW(Master!$A$2)+1),300),"")</f>
      </c>
      <c r="P304">
        <f t="shared" si="9"/>
      </c>
    </row>
  </sheetData>
  <autoFilter ref="A4:N304" xr:uid="{00000000-0009-0000-0000-000009000000}"/>
  <mergeCells count="10">
    <mergeCell ref="A1:N1"/>
    <mergeCell ref="E2:J2"/>
    <mergeCell ref="A2:A4"/>
    <mergeCell ref="C2:C4"/>
    <mergeCell ref="K2:K4"/>
    <mergeCell ref="N2:N4"/>
    <mergeCell ref="L2:L4"/>
    <mergeCell ref="M2:M4"/>
    <mergeCell ref="B2:B4"/>
    <mergeCell ref="D2:D4"/>
  </mergeCells>
  <conditionalFormatting sqref="A5:D69 I5:N69 A70:N304">
    <cfRule type="expression" dxfId="10" priority="9">
      <formula>$N5="HOLD"</formula>
    </cfRule>
  </conditionalFormatting>
  <conditionalFormatting sqref="E5:H58">
    <cfRule type="expression" dxfId="9" priority="5">
      <formula>$N5="HOLD"</formula>
    </cfRule>
  </conditionalFormatting>
  <conditionalFormatting sqref="E59:H65">
    <cfRule type="expression" dxfId="8" priority="3">
      <formula>$N59="HOLD"</formula>
    </cfRule>
  </conditionalFormatting>
  <conditionalFormatting sqref="E66:H69">
    <cfRule type="expression" dxfId="7" priority="1">
      <formula>$N66="HOLD"</formula>
    </cfRule>
  </conditionalFormatting>
  <conditionalFormatting sqref="E5:E304">
    <cfRule type="expression" dxfId="6" priority="10">
      <formula>AND($E5&lt;&gt;"",OR($E5&gt;0.18))</formula>
    </cfRule>
  </conditionalFormatting>
  <conditionalFormatting sqref="F5:F304">
    <cfRule type="expression" dxfId="5" priority="6">
      <formula>AND($F5&lt;&gt;"",OR(($F5+$G5)&gt;0.15))</formula>
    </cfRule>
  </conditionalFormatting>
  <conditionalFormatting sqref="G5:G304">
    <cfRule type="expression" dxfId="4" priority="7">
      <formula>AND($G5&lt;&gt;"",OR(($F5+$G5)&gt;0.15))</formula>
    </cfRule>
  </conditionalFormatting>
  <conditionalFormatting sqref="H5:H304">
    <cfRule type="expression" dxfId="3" priority="8">
      <formula>AND($H5&lt;&gt;"",$H5&lt;0.45)</formula>
    </cfRule>
  </conditionalFormatting>
  <conditionalFormatting sqref="J5:J304">
    <cfRule type="expression" dxfId="2" priority="11">
      <formula>AND($J5&lt;&gt;"",OR($J5&lt;0.1))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N1001"/>
  <sheetViews>
    <sheetView workbookViewId="0"/>
  </sheetViews>
  <sheetFormatPr defaultRowHeight="15" x14ac:dyDescent="0.25"/>
  <sheetData>
    <row r="1" spans="1:14" x14ac:dyDescent="0.25">
      <c r="A1" t="s">
        <v>1</v>
      </c>
      <c r="B1" t="s">
        <v>56</v>
      </c>
      <c r="C1" t="s">
        <v>31</v>
      </c>
      <c r="D1" t="s">
        <v>57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58</v>
      </c>
      <c r="L1" t="s">
        <v>59</v>
      </c>
      <c r="M1" t="s">
        <v>60</v>
      </c>
      <c r="N1" t="s">
        <v>61</v>
      </c>
    </row>
    <row r="2" spans="1:14" x14ac:dyDescent="0.25">
      <c r="A2">
        <f>IF($N2="","",INDEX(Staging!$A$2:$A$3001,$N2))</f>
      </c>
      <c r="B2">
        <f>IF($N2="","",INDEX(Staging!$B$2:$B$3001,$N2))</f>
      </c>
      <c r="C2">
        <f>IF($N2="","",INDEX(Staging!$C$2:$C$3001,$N2))</f>
      </c>
      <c r="D2">
        <f>IF($N2="","",INDEX(Staging!$D$2:$D$3001,$N2))</f>
      </c>
      <c r="E2">
        <f>IF($N2="","",INDEX(Staging!$F$2:$F$3001,$N2))</f>
      </c>
      <c r="F2">
        <f>IF($N2="","",INDEX(Staging!$G$2:$G$3001,$N2))</f>
      </c>
      <c r="G2">
        <f>IF($N2="","",INDEX(Staging!$H$2:$H$3001,$N2))</f>
      </c>
      <c r="H2">
        <f>IF($N2="","",INDEX(Staging!$I$2:$I$3001,$N2))</f>
      </c>
      <c r="I2">
        <f>IF($N2="","",INDEX(Staging!$J$2:$J$3001,$N2))</f>
      </c>
      <c r="J2">
        <f>IF($N2="","",INDEX(Staging!$K$2:$K$3001,$N2))</f>
      </c>
      <c r="K2">
        <f>IF($N2="","",INDEX(Staging!$M$2:$M$3001,$N2))</f>
      </c>
      <c r="L2">
        <f>IF($N2="","",INDEX(Staging!$O$2:$O$3001,$N2))</f>
      </c>
      <c r="M2">
        <f>IF($N2="","",INDEX(Staging!$P$2:$P$3001,$N2))</f>
      </c>
      <c r="N2">
        <f t="array" ref="N2">IFERROR(SMALL(IF(Staging!$E$2:$E$3001="MIPPL",ROW(Staging!$E$2:$E$3001)-ROW(Staging!$E$2)+1),1),"")</f>
      </c>
    </row>
    <row r="3" spans="1:14" x14ac:dyDescent="0.25">
      <c r="A3">
        <f>IF($N3="","",INDEX(Staging!$A$2:$A$3001,$N3))</f>
      </c>
      <c r="B3">
        <f>IF($N3="","",INDEX(Staging!$B$2:$B$3001,$N3))</f>
      </c>
      <c r="C3">
        <f>IF($N3="","",INDEX(Staging!$C$2:$C$3001,$N3))</f>
      </c>
      <c r="D3">
        <f>IF($N3="","",INDEX(Staging!$D$2:$D$3001,$N3))</f>
      </c>
      <c r="E3">
        <f>IF($N3="","",INDEX(Staging!$F$2:$F$3001,$N3))</f>
      </c>
      <c r="F3">
        <f>IF($N3="","",INDEX(Staging!$G$2:$G$3001,$N3))</f>
      </c>
      <c r="G3">
        <f>IF($N3="","",INDEX(Staging!$H$2:$H$3001,$N3))</f>
      </c>
      <c r="H3">
        <f>IF($N3="","",INDEX(Staging!$I$2:$I$3001,$N3))</f>
      </c>
      <c r="I3">
        <f>IF($N3="","",INDEX(Staging!$J$2:$J$3001,$N3))</f>
      </c>
      <c r="J3">
        <f>IF($N3="","",INDEX(Staging!$K$2:$K$3001,$N3))</f>
      </c>
      <c r="K3">
        <f>IF($N3="","",INDEX(Staging!$M$2:$M$3001,$N3))</f>
      </c>
      <c r="L3">
        <f>IF($N3="","",INDEX(Staging!$O$2:$O$3001,$N3))</f>
      </c>
      <c r="M3">
        <f>IF($N3="","",INDEX(Staging!$P$2:$P$3001,$N3))</f>
      </c>
      <c r="N3">
        <f t="array" ref="N3">IFERROR(SMALL(IF(Staging!$E$2:$E$3001="MIPPL",ROW(Staging!$E$2:$E$3001)-ROW(Staging!$E$2)+1),2),"")</f>
      </c>
    </row>
    <row r="4" spans="1:14" x14ac:dyDescent="0.25">
      <c r="A4">
        <f>IF($N4="","",INDEX(Staging!$A$2:$A$3001,$N4))</f>
      </c>
      <c r="B4">
        <f>IF($N4="","",INDEX(Staging!$B$2:$B$3001,$N4))</f>
      </c>
      <c r="C4">
        <f>IF($N4="","",INDEX(Staging!$C$2:$C$3001,$N4))</f>
      </c>
      <c r="D4">
        <f>IF($N4="","",INDEX(Staging!$D$2:$D$3001,$N4))</f>
      </c>
      <c r="E4">
        <f>IF($N4="","",INDEX(Staging!$F$2:$F$3001,$N4))</f>
      </c>
      <c r="F4">
        <f>IF($N4="","",INDEX(Staging!$G$2:$G$3001,$N4))</f>
      </c>
      <c r="G4">
        <f>IF($N4="","",INDEX(Staging!$H$2:$H$3001,$N4))</f>
      </c>
      <c r="H4">
        <f>IF($N4="","",INDEX(Staging!$I$2:$I$3001,$N4))</f>
      </c>
      <c r="I4">
        <f>IF($N4="","",INDEX(Staging!$J$2:$J$3001,$N4))</f>
      </c>
      <c r="J4">
        <f>IF($N4="","",INDEX(Staging!$K$2:$K$3001,$N4))</f>
      </c>
      <c r="K4">
        <f>IF($N4="","",INDEX(Staging!$M$2:$M$3001,$N4))</f>
      </c>
      <c r="L4">
        <f>IF($N4="","",INDEX(Staging!$O$2:$O$3001,$N4))</f>
      </c>
      <c r="M4">
        <f>IF($N4="","",INDEX(Staging!$P$2:$P$3001,$N4))</f>
      </c>
      <c r="N4">
        <f t="array" ref="N4">IFERROR(SMALL(IF(Staging!$E$2:$E$3001="MIPPL",ROW(Staging!$E$2:$E$3001)-ROW(Staging!$E$2)+1),3),"")</f>
      </c>
    </row>
    <row r="5" spans="1:14" x14ac:dyDescent="0.25">
      <c r="A5">
        <f>IF($N5="","",INDEX(Staging!$A$2:$A$3001,$N5))</f>
      </c>
      <c r="B5">
        <f>IF($N5="","",INDEX(Staging!$B$2:$B$3001,$N5))</f>
      </c>
      <c r="C5">
        <f>IF($N5="","",INDEX(Staging!$C$2:$C$3001,$N5))</f>
      </c>
      <c r="D5">
        <f>IF($N5="","",INDEX(Staging!$D$2:$D$3001,$N5))</f>
      </c>
      <c r="E5">
        <f>IF($N5="","",INDEX(Staging!$F$2:$F$3001,$N5))</f>
      </c>
      <c r="F5">
        <f>IF($N5="","",INDEX(Staging!$G$2:$G$3001,$N5))</f>
      </c>
      <c r="G5">
        <f>IF($N5="","",INDEX(Staging!$H$2:$H$3001,$N5))</f>
      </c>
      <c r="H5">
        <f>IF($N5="","",INDEX(Staging!$I$2:$I$3001,$N5))</f>
      </c>
      <c r="I5">
        <f>IF($N5="","",INDEX(Staging!$J$2:$J$3001,$N5))</f>
      </c>
      <c r="J5">
        <f>IF($N5="","",INDEX(Staging!$K$2:$K$3001,$N5))</f>
      </c>
      <c r="K5">
        <f>IF($N5="","",INDEX(Staging!$M$2:$M$3001,$N5))</f>
      </c>
      <c r="L5">
        <f>IF($N5="","",INDEX(Staging!$O$2:$O$3001,$N5))</f>
      </c>
      <c r="M5">
        <f>IF($N5="","",INDEX(Staging!$P$2:$P$3001,$N5))</f>
      </c>
      <c r="N5">
        <f t="array" ref="N5">IFERROR(SMALL(IF(Staging!$E$2:$E$3001="MIPPL",ROW(Staging!$E$2:$E$3001)-ROW(Staging!$E$2)+1),4),"")</f>
      </c>
    </row>
    <row r="6" spans="1:14" x14ac:dyDescent="0.25">
      <c r="A6">
        <f>IF($N6="","",INDEX(Staging!$A$2:$A$3001,$N6))</f>
      </c>
      <c r="B6">
        <f>IF($N6="","",INDEX(Staging!$B$2:$B$3001,$N6))</f>
      </c>
      <c r="C6">
        <f>IF($N6="","",INDEX(Staging!$C$2:$C$3001,$N6))</f>
      </c>
      <c r="D6">
        <f>IF($N6="","",INDEX(Staging!$D$2:$D$3001,$N6))</f>
      </c>
      <c r="E6">
        <f>IF($N6="","",INDEX(Staging!$F$2:$F$3001,$N6))</f>
      </c>
      <c r="F6">
        <f>IF($N6="","",INDEX(Staging!$G$2:$G$3001,$N6))</f>
      </c>
      <c r="G6">
        <f>IF($N6="","",INDEX(Staging!$H$2:$H$3001,$N6))</f>
      </c>
      <c r="H6">
        <f>IF($N6="","",INDEX(Staging!$I$2:$I$3001,$N6))</f>
      </c>
      <c r="I6">
        <f>IF($N6="","",INDEX(Staging!$J$2:$J$3001,$N6))</f>
      </c>
      <c r="J6">
        <f>IF($N6="","",INDEX(Staging!$K$2:$K$3001,$N6))</f>
      </c>
      <c r="K6">
        <f>IF($N6="","",INDEX(Staging!$M$2:$M$3001,$N6))</f>
      </c>
      <c r="L6">
        <f>IF($N6="","",INDEX(Staging!$O$2:$O$3001,$N6))</f>
      </c>
      <c r="M6">
        <f>IF($N6="","",INDEX(Staging!$P$2:$P$3001,$N6))</f>
      </c>
      <c r="N6">
        <f t="array" ref="N6">IFERROR(SMALL(IF(Staging!$E$2:$E$3001="MIPPL",ROW(Staging!$E$2:$E$3001)-ROW(Staging!$E$2)+1),5),"")</f>
      </c>
    </row>
    <row r="7" spans="1:14" x14ac:dyDescent="0.25">
      <c r="A7">
        <f>IF($N7="","",INDEX(Staging!$A$2:$A$3001,$N7))</f>
      </c>
      <c r="B7">
        <f>IF($N7="","",INDEX(Staging!$B$2:$B$3001,$N7))</f>
      </c>
      <c r="C7">
        <f>IF($N7="","",INDEX(Staging!$C$2:$C$3001,$N7))</f>
      </c>
      <c r="D7">
        <f>IF($N7="","",INDEX(Staging!$D$2:$D$3001,$N7))</f>
      </c>
      <c r="E7">
        <f>IF($N7="","",INDEX(Staging!$F$2:$F$3001,$N7))</f>
      </c>
      <c r="F7">
        <f>IF($N7="","",INDEX(Staging!$G$2:$G$3001,$N7))</f>
      </c>
      <c r="G7">
        <f>IF($N7="","",INDEX(Staging!$H$2:$H$3001,$N7))</f>
      </c>
      <c r="H7">
        <f>IF($N7="","",INDEX(Staging!$I$2:$I$3001,$N7))</f>
      </c>
      <c r="I7">
        <f>IF($N7="","",INDEX(Staging!$J$2:$J$3001,$N7))</f>
      </c>
      <c r="J7">
        <f>IF($N7="","",INDEX(Staging!$K$2:$K$3001,$N7))</f>
      </c>
      <c r="K7">
        <f>IF($N7="","",INDEX(Staging!$M$2:$M$3001,$N7))</f>
      </c>
      <c r="L7">
        <f>IF($N7="","",INDEX(Staging!$O$2:$O$3001,$N7))</f>
      </c>
      <c r="M7">
        <f>IF($N7="","",INDEX(Staging!$P$2:$P$3001,$N7))</f>
      </c>
      <c r="N7">
        <f t="array" ref="N7">IFERROR(SMALL(IF(Staging!$E$2:$E$3001="MIPPL",ROW(Staging!$E$2:$E$3001)-ROW(Staging!$E$2)+1),6),"")</f>
      </c>
    </row>
    <row r="8" spans="1:14" x14ac:dyDescent="0.25">
      <c r="A8">
        <f>IF($N8="","",INDEX(Staging!$A$2:$A$3001,$N8))</f>
      </c>
      <c r="B8">
        <f>IF($N8="","",INDEX(Staging!$B$2:$B$3001,$N8))</f>
      </c>
      <c r="C8">
        <f>IF($N8="","",INDEX(Staging!$C$2:$C$3001,$N8))</f>
      </c>
      <c r="D8">
        <f>IF($N8="","",INDEX(Staging!$D$2:$D$3001,$N8))</f>
      </c>
      <c r="E8">
        <f>IF($N8="","",INDEX(Staging!$F$2:$F$3001,$N8))</f>
      </c>
      <c r="F8">
        <f>IF($N8="","",INDEX(Staging!$G$2:$G$3001,$N8))</f>
      </c>
      <c r="G8">
        <f>IF($N8="","",INDEX(Staging!$H$2:$H$3001,$N8))</f>
      </c>
      <c r="H8">
        <f>IF($N8="","",INDEX(Staging!$I$2:$I$3001,$N8))</f>
      </c>
      <c r="I8">
        <f>IF($N8="","",INDEX(Staging!$J$2:$J$3001,$N8))</f>
      </c>
      <c r="J8">
        <f>IF($N8="","",INDEX(Staging!$K$2:$K$3001,$N8))</f>
      </c>
      <c r="K8">
        <f>IF($N8="","",INDEX(Staging!$M$2:$M$3001,$N8))</f>
      </c>
      <c r="L8">
        <f>IF($N8="","",INDEX(Staging!$O$2:$O$3001,$N8))</f>
      </c>
      <c r="M8">
        <f>IF($N8="","",INDEX(Staging!$P$2:$P$3001,$N8))</f>
      </c>
      <c r="N8">
        <f t="array" ref="N8">IFERROR(SMALL(IF(Staging!$E$2:$E$3001="MIPPL",ROW(Staging!$E$2:$E$3001)-ROW(Staging!$E$2)+1),7),"")</f>
      </c>
    </row>
    <row r="9" spans="1:14" x14ac:dyDescent="0.25">
      <c r="A9">
        <f>IF($N9="","",INDEX(Staging!$A$2:$A$3001,$N9))</f>
      </c>
      <c r="B9">
        <f>IF($N9="","",INDEX(Staging!$B$2:$B$3001,$N9))</f>
      </c>
      <c r="C9">
        <f>IF($N9="","",INDEX(Staging!$C$2:$C$3001,$N9))</f>
      </c>
      <c r="D9">
        <f>IF($N9="","",INDEX(Staging!$D$2:$D$3001,$N9))</f>
      </c>
      <c r="E9">
        <f>IF($N9="","",INDEX(Staging!$F$2:$F$3001,$N9))</f>
      </c>
      <c r="F9">
        <f>IF($N9="","",INDEX(Staging!$G$2:$G$3001,$N9))</f>
      </c>
      <c r="G9">
        <f>IF($N9="","",INDEX(Staging!$H$2:$H$3001,$N9))</f>
      </c>
      <c r="H9">
        <f>IF($N9="","",INDEX(Staging!$I$2:$I$3001,$N9))</f>
      </c>
      <c r="I9">
        <f>IF($N9="","",INDEX(Staging!$J$2:$J$3001,$N9))</f>
      </c>
      <c r="J9">
        <f>IF($N9="","",INDEX(Staging!$K$2:$K$3001,$N9))</f>
      </c>
      <c r="K9">
        <f>IF($N9="","",INDEX(Staging!$M$2:$M$3001,$N9))</f>
      </c>
      <c r="L9">
        <f>IF($N9="","",INDEX(Staging!$O$2:$O$3001,$N9))</f>
      </c>
      <c r="M9">
        <f>IF($N9="","",INDEX(Staging!$P$2:$P$3001,$N9))</f>
      </c>
      <c r="N9">
        <f t="array" ref="N9">IFERROR(SMALL(IF(Staging!$E$2:$E$3001="MIPPL",ROW(Staging!$E$2:$E$3001)-ROW(Staging!$E$2)+1),8),"")</f>
      </c>
    </row>
    <row r="10" spans="1:14" x14ac:dyDescent="0.25">
      <c r="A10">
        <f>IF($N10="","",INDEX(Staging!$A$2:$A$3001,$N10))</f>
      </c>
      <c r="B10">
        <f>IF($N10="","",INDEX(Staging!$B$2:$B$3001,$N10))</f>
      </c>
      <c r="C10">
        <f>IF($N10="","",INDEX(Staging!$C$2:$C$3001,$N10))</f>
      </c>
      <c r="D10">
        <f>IF($N10="","",INDEX(Staging!$D$2:$D$3001,$N10))</f>
      </c>
      <c r="E10">
        <f>IF($N10="","",INDEX(Staging!$F$2:$F$3001,$N10))</f>
      </c>
      <c r="F10">
        <f>IF($N10="","",INDEX(Staging!$G$2:$G$3001,$N10))</f>
      </c>
      <c r="G10">
        <f>IF($N10="","",INDEX(Staging!$H$2:$H$3001,$N10))</f>
      </c>
      <c r="H10">
        <f>IF($N10="","",INDEX(Staging!$I$2:$I$3001,$N10))</f>
      </c>
      <c r="I10">
        <f>IF($N10="","",INDEX(Staging!$J$2:$J$3001,$N10))</f>
      </c>
      <c r="J10">
        <f>IF($N10="","",INDEX(Staging!$K$2:$K$3001,$N10))</f>
      </c>
      <c r="K10">
        <f>IF($N10="","",INDEX(Staging!$M$2:$M$3001,$N10))</f>
      </c>
      <c r="L10">
        <f>IF($N10="","",INDEX(Staging!$O$2:$O$3001,$N10))</f>
      </c>
      <c r="M10">
        <f>IF($N10="","",INDEX(Staging!$P$2:$P$3001,$N10))</f>
      </c>
      <c r="N10">
        <f t="array" ref="N10">IFERROR(SMALL(IF(Staging!$E$2:$E$3001="MIPPL",ROW(Staging!$E$2:$E$3001)-ROW(Staging!$E$2)+1),9),"")</f>
      </c>
    </row>
    <row r="11" spans="1:14" x14ac:dyDescent="0.25">
      <c r="A11">
        <f>IF($N11="","",INDEX(Staging!$A$2:$A$3001,$N11))</f>
      </c>
      <c r="B11">
        <f>IF($N11="","",INDEX(Staging!$B$2:$B$3001,$N11))</f>
      </c>
      <c r="C11">
        <f>IF($N11="","",INDEX(Staging!$C$2:$C$3001,$N11))</f>
      </c>
      <c r="D11">
        <f>IF($N11="","",INDEX(Staging!$D$2:$D$3001,$N11))</f>
      </c>
      <c r="E11">
        <f>IF($N11="","",INDEX(Staging!$F$2:$F$3001,$N11))</f>
      </c>
      <c r="F11">
        <f>IF($N11="","",INDEX(Staging!$G$2:$G$3001,$N11))</f>
      </c>
      <c r="G11">
        <f>IF($N11="","",INDEX(Staging!$H$2:$H$3001,$N11))</f>
      </c>
      <c r="H11">
        <f>IF($N11="","",INDEX(Staging!$I$2:$I$3001,$N11))</f>
      </c>
      <c r="I11">
        <f>IF($N11="","",INDEX(Staging!$J$2:$J$3001,$N11))</f>
      </c>
      <c r="J11">
        <f>IF($N11="","",INDEX(Staging!$K$2:$K$3001,$N11))</f>
      </c>
      <c r="K11">
        <f>IF($N11="","",INDEX(Staging!$M$2:$M$3001,$N11))</f>
      </c>
      <c r="L11">
        <f>IF($N11="","",INDEX(Staging!$O$2:$O$3001,$N11))</f>
      </c>
      <c r="M11">
        <f>IF($N11="","",INDEX(Staging!$P$2:$P$3001,$N11))</f>
      </c>
      <c r="N11">
        <f t="array" ref="N11">IFERROR(SMALL(IF(Staging!$E$2:$E$3001="MIPPL",ROW(Staging!$E$2:$E$3001)-ROW(Staging!$E$2)+1),10),"")</f>
      </c>
    </row>
    <row r="12" spans="1:14" x14ac:dyDescent="0.25">
      <c r="A12">
        <f>IF($N12="","",INDEX(Staging!$A$2:$A$3001,$N12))</f>
      </c>
      <c r="B12">
        <f>IF($N12="","",INDEX(Staging!$B$2:$B$3001,$N12))</f>
      </c>
      <c r="C12">
        <f>IF($N12="","",INDEX(Staging!$C$2:$C$3001,$N12))</f>
      </c>
      <c r="D12">
        <f>IF($N12="","",INDEX(Staging!$D$2:$D$3001,$N12))</f>
      </c>
      <c r="E12">
        <f>IF($N12="","",INDEX(Staging!$F$2:$F$3001,$N12))</f>
      </c>
      <c r="F12">
        <f>IF($N12="","",INDEX(Staging!$G$2:$G$3001,$N12))</f>
      </c>
      <c r="G12">
        <f>IF($N12="","",INDEX(Staging!$H$2:$H$3001,$N12))</f>
      </c>
      <c r="H12">
        <f>IF($N12="","",INDEX(Staging!$I$2:$I$3001,$N12))</f>
      </c>
      <c r="I12">
        <f>IF($N12="","",INDEX(Staging!$J$2:$J$3001,$N12))</f>
      </c>
      <c r="J12">
        <f>IF($N12="","",INDEX(Staging!$K$2:$K$3001,$N12))</f>
      </c>
      <c r="K12">
        <f>IF($N12="","",INDEX(Staging!$M$2:$M$3001,$N12))</f>
      </c>
      <c r="L12">
        <f>IF($N12="","",INDEX(Staging!$O$2:$O$3001,$N12))</f>
      </c>
      <c r="M12">
        <f>IF($N12="","",INDEX(Staging!$P$2:$P$3001,$N12))</f>
      </c>
      <c r="N12">
        <f t="array" ref="N12">IFERROR(SMALL(IF(Staging!$E$2:$E$3001="MIPPL",ROW(Staging!$E$2:$E$3001)-ROW(Staging!$E$2)+1),11),"")</f>
      </c>
    </row>
    <row r="13" spans="1:14" x14ac:dyDescent="0.25">
      <c r="A13">
        <f>IF($N13="","",INDEX(Staging!$A$2:$A$3001,$N13))</f>
      </c>
      <c r="B13">
        <f>IF($N13="","",INDEX(Staging!$B$2:$B$3001,$N13))</f>
      </c>
      <c r="C13">
        <f>IF($N13="","",INDEX(Staging!$C$2:$C$3001,$N13))</f>
      </c>
      <c r="D13">
        <f>IF($N13="","",INDEX(Staging!$D$2:$D$3001,$N13))</f>
      </c>
      <c r="E13">
        <f>IF($N13="","",INDEX(Staging!$F$2:$F$3001,$N13))</f>
      </c>
      <c r="F13">
        <f>IF($N13="","",INDEX(Staging!$G$2:$G$3001,$N13))</f>
      </c>
      <c r="G13">
        <f>IF($N13="","",INDEX(Staging!$H$2:$H$3001,$N13))</f>
      </c>
      <c r="H13">
        <f>IF($N13="","",INDEX(Staging!$I$2:$I$3001,$N13))</f>
      </c>
      <c r="I13">
        <f>IF($N13="","",INDEX(Staging!$J$2:$J$3001,$N13))</f>
      </c>
      <c r="J13">
        <f>IF($N13="","",INDEX(Staging!$K$2:$K$3001,$N13))</f>
      </c>
      <c r="K13">
        <f>IF($N13="","",INDEX(Staging!$M$2:$M$3001,$N13))</f>
      </c>
      <c r="L13">
        <f>IF($N13="","",INDEX(Staging!$O$2:$O$3001,$N13))</f>
      </c>
      <c r="M13">
        <f>IF($N13="","",INDEX(Staging!$P$2:$P$3001,$N13))</f>
      </c>
      <c r="N13">
        <f t="array" ref="N13">IFERROR(SMALL(IF(Staging!$E$2:$E$3001="MIPPL",ROW(Staging!$E$2:$E$3001)-ROW(Staging!$E$2)+1),12),"")</f>
      </c>
    </row>
    <row r="14" spans="1:14" x14ac:dyDescent="0.25">
      <c r="A14">
        <f>IF($N14="","",INDEX(Staging!$A$2:$A$3001,$N14))</f>
      </c>
      <c r="B14">
        <f>IF($N14="","",INDEX(Staging!$B$2:$B$3001,$N14))</f>
      </c>
      <c r="C14">
        <f>IF($N14="","",INDEX(Staging!$C$2:$C$3001,$N14))</f>
      </c>
      <c r="D14">
        <f>IF($N14="","",INDEX(Staging!$D$2:$D$3001,$N14))</f>
      </c>
      <c r="E14">
        <f>IF($N14="","",INDEX(Staging!$F$2:$F$3001,$N14))</f>
      </c>
      <c r="F14">
        <f>IF($N14="","",INDEX(Staging!$G$2:$G$3001,$N14))</f>
      </c>
      <c r="G14">
        <f>IF($N14="","",INDEX(Staging!$H$2:$H$3001,$N14))</f>
      </c>
      <c r="H14">
        <f>IF($N14="","",INDEX(Staging!$I$2:$I$3001,$N14))</f>
      </c>
      <c r="I14">
        <f>IF($N14="","",INDEX(Staging!$J$2:$J$3001,$N14))</f>
      </c>
      <c r="J14">
        <f>IF($N14="","",INDEX(Staging!$K$2:$K$3001,$N14))</f>
      </c>
      <c r="K14">
        <f>IF($N14="","",INDEX(Staging!$M$2:$M$3001,$N14))</f>
      </c>
      <c r="L14">
        <f>IF($N14="","",INDEX(Staging!$O$2:$O$3001,$N14))</f>
      </c>
      <c r="M14">
        <f>IF($N14="","",INDEX(Staging!$P$2:$P$3001,$N14))</f>
      </c>
      <c r="N14">
        <f t="array" ref="N14">IFERROR(SMALL(IF(Staging!$E$2:$E$3001="MIPPL",ROW(Staging!$E$2:$E$3001)-ROW(Staging!$E$2)+1),13),"")</f>
      </c>
    </row>
    <row r="15" spans="1:14" x14ac:dyDescent="0.25">
      <c r="A15">
        <f>IF($N15="","",INDEX(Staging!$A$2:$A$3001,$N15))</f>
      </c>
      <c r="B15">
        <f>IF($N15="","",INDEX(Staging!$B$2:$B$3001,$N15))</f>
      </c>
      <c r="C15">
        <f>IF($N15="","",INDEX(Staging!$C$2:$C$3001,$N15))</f>
      </c>
      <c r="D15">
        <f>IF($N15="","",INDEX(Staging!$D$2:$D$3001,$N15))</f>
      </c>
      <c r="E15">
        <f>IF($N15="","",INDEX(Staging!$F$2:$F$3001,$N15))</f>
      </c>
      <c r="F15">
        <f>IF($N15="","",INDEX(Staging!$G$2:$G$3001,$N15))</f>
      </c>
      <c r="G15">
        <f>IF($N15="","",INDEX(Staging!$H$2:$H$3001,$N15))</f>
      </c>
      <c r="H15">
        <f>IF($N15="","",INDEX(Staging!$I$2:$I$3001,$N15))</f>
      </c>
      <c r="I15">
        <f>IF($N15="","",INDEX(Staging!$J$2:$J$3001,$N15))</f>
      </c>
      <c r="J15">
        <f>IF($N15="","",INDEX(Staging!$K$2:$K$3001,$N15))</f>
      </c>
      <c r="K15">
        <f>IF($N15="","",INDEX(Staging!$M$2:$M$3001,$N15))</f>
      </c>
      <c r="L15">
        <f>IF($N15="","",INDEX(Staging!$O$2:$O$3001,$N15))</f>
      </c>
      <c r="M15">
        <f>IF($N15="","",INDEX(Staging!$P$2:$P$3001,$N15))</f>
      </c>
      <c r="N15">
        <f t="array" ref="N15">IFERROR(SMALL(IF(Staging!$E$2:$E$3001="MIPPL",ROW(Staging!$E$2:$E$3001)-ROW(Staging!$E$2)+1),14),"")</f>
      </c>
    </row>
    <row r="16" spans="1:14" x14ac:dyDescent="0.25">
      <c r="A16">
        <f>IF($N16="","",INDEX(Staging!$A$2:$A$3001,$N16))</f>
      </c>
      <c r="B16">
        <f>IF($N16="","",INDEX(Staging!$B$2:$B$3001,$N16))</f>
      </c>
      <c r="C16">
        <f>IF($N16="","",INDEX(Staging!$C$2:$C$3001,$N16))</f>
      </c>
      <c r="D16">
        <f>IF($N16="","",INDEX(Staging!$D$2:$D$3001,$N16))</f>
      </c>
      <c r="E16">
        <f>IF($N16="","",INDEX(Staging!$F$2:$F$3001,$N16))</f>
      </c>
      <c r="F16">
        <f>IF($N16="","",INDEX(Staging!$G$2:$G$3001,$N16))</f>
      </c>
      <c r="G16">
        <f>IF($N16="","",INDEX(Staging!$H$2:$H$3001,$N16))</f>
      </c>
      <c r="H16">
        <f>IF($N16="","",INDEX(Staging!$I$2:$I$3001,$N16))</f>
      </c>
      <c r="I16">
        <f>IF($N16="","",INDEX(Staging!$J$2:$J$3001,$N16))</f>
      </c>
      <c r="J16">
        <f>IF($N16="","",INDEX(Staging!$K$2:$K$3001,$N16))</f>
      </c>
      <c r="K16">
        <f>IF($N16="","",INDEX(Staging!$M$2:$M$3001,$N16))</f>
      </c>
      <c r="L16">
        <f>IF($N16="","",INDEX(Staging!$O$2:$O$3001,$N16))</f>
      </c>
      <c r="M16">
        <f>IF($N16="","",INDEX(Staging!$P$2:$P$3001,$N16))</f>
      </c>
      <c r="N16">
        <f t="array" ref="N16">IFERROR(SMALL(IF(Staging!$E$2:$E$3001="MIPPL",ROW(Staging!$E$2:$E$3001)-ROW(Staging!$E$2)+1),15),"")</f>
      </c>
    </row>
    <row r="17" spans="1:14" x14ac:dyDescent="0.25">
      <c r="A17">
        <f>IF($N17="","",INDEX(Staging!$A$2:$A$3001,$N17))</f>
      </c>
      <c r="B17">
        <f>IF($N17="","",INDEX(Staging!$B$2:$B$3001,$N17))</f>
      </c>
      <c r="C17">
        <f>IF($N17="","",INDEX(Staging!$C$2:$C$3001,$N17))</f>
      </c>
      <c r="D17">
        <f>IF($N17="","",INDEX(Staging!$D$2:$D$3001,$N17))</f>
      </c>
      <c r="E17">
        <f>IF($N17="","",INDEX(Staging!$F$2:$F$3001,$N17))</f>
      </c>
      <c r="F17">
        <f>IF($N17="","",INDEX(Staging!$G$2:$G$3001,$N17))</f>
      </c>
      <c r="G17">
        <f>IF($N17="","",INDEX(Staging!$H$2:$H$3001,$N17))</f>
      </c>
      <c r="H17">
        <f>IF($N17="","",INDEX(Staging!$I$2:$I$3001,$N17))</f>
      </c>
      <c r="I17">
        <f>IF($N17="","",INDEX(Staging!$J$2:$J$3001,$N17))</f>
      </c>
      <c r="J17">
        <f>IF($N17="","",INDEX(Staging!$K$2:$K$3001,$N17))</f>
      </c>
      <c r="K17">
        <f>IF($N17="","",INDEX(Staging!$M$2:$M$3001,$N17))</f>
      </c>
      <c r="L17">
        <f>IF($N17="","",INDEX(Staging!$O$2:$O$3001,$N17))</f>
      </c>
      <c r="M17">
        <f>IF($N17="","",INDEX(Staging!$P$2:$P$3001,$N17))</f>
      </c>
      <c r="N17">
        <f t="array" ref="N17">IFERROR(SMALL(IF(Staging!$E$2:$E$3001="MIPPL",ROW(Staging!$E$2:$E$3001)-ROW(Staging!$E$2)+1),16),"")</f>
      </c>
    </row>
    <row r="18" spans="1:14" x14ac:dyDescent="0.25">
      <c r="A18">
        <f>IF($N18="","",INDEX(Staging!$A$2:$A$3001,$N18))</f>
      </c>
      <c r="B18">
        <f>IF($N18="","",INDEX(Staging!$B$2:$B$3001,$N18))</f>
      </c>
      <c r="C18">
        <f>IF($N18="","",INDEX(Staging!$C$2:$C$3001,$N18))</f>
      </c>
      <c r="D18">
        <f>IF($N18="","",INDEX(Staging!$D$2:$D$3001,$N18))</f>
      </c>
      <c r="E18">
        <f>IF($N18="","",INDEX(Staging!$F$2:$F$3001,$N18))</f>
      </c>
      <c r="F18">
        <f>IF($N18="","",INDEX(Staging!$G$2:$G$3001,$N18))</f>
      </c>
      <c r="G18">
        <f>IF($N18="","",INDEX(Staging!$H$2:$H$3001,$N18))</f>
      </c>
      <c r="H18">
        <f>IF($N18="","",INDEX(Staging!$I$2:$I$3001,$N18))</f>
      </c>
      <c r="I18">
        <f>IF($N18="","",INDEX(Staging!$J$2:$J$3001,$N18))</f>
      </c>
      <c r="J18">
        <f>IF($N18="","",INDEX(Staging!$K$2:$K$3001,$N18))</f>
      </c>
      <c r="K18">
        <f>IF($N18="","",INDEX(Staging!$M$2:$M$3001,$N18))</f>
      </c>
      <c r="L18">
        <f>IF($N18="","",INDEX(Staging!$O$2:$O$3001,$N18))</f>
      </c>
      <c r="M18">
        <f>IF($N18="","",INDEX(Staging!$P$2:$P$3001,$N18))</f>
      </c>
      <c r="N18">
        <f t="array" ref="N18">IFERROR(SMALL(IF(Staging!$E$2:$E$3001="MIPPL",ROW(Staging!$E$2:$E$3001)-ROW(Staging!$E$2)+1),17),"")</f>
      </c>
    </row>
    <row r="19" spans="1:14" x14ac:dyDescent="0.25">
      <c r="A19">
        <f>IF($N19="","",INDEX(Staging!$A$2:$A$3001,$N19))</f>
      </c>
      <c r="B19">
        <f>IF($N19="","",INDEX(Staging!$B$2:$B$3001,$N19))</f>
      </c>
      <c r="C19">
        <f>IF($N19="","",INDEX(Staging!$C$2:$C$3001,$N19))</f>
      </c>
      <c r="D19">
        <f>IF($N19="","",INDEX(Staging!$D$2:$D$3001,$N19))</f>
      </c>
      <c r="E19">
        <f>IF($N19="","",INDEX(Staging!$F$2:$F$3001,$N19))</f>
      </c>
      <c r="F19">
        <f>IF($N19="","",INDEX(Staging!$G$2:$G$3001,$N19))</f>
      </c>
      <c r="G19">
        <f>IF($N19="","",INDEX(Staging!$H$2:$H$3001,$N19))</f>
      </c>
      <c r="H19">
        <f>IF($N19="","",INDEX(Staging!$I$2:$I$3001,$N19))</f>
      </c>
      <c r="I19">
        <f>IF($N19="","",INDEX(Staging!$J$2:$J$3001,$N19))</f>
      </c>
      <c r="J19">
        <f>IF($N19="","",INDEX(Staging!$K$2:$K$3001,$N19))</f>
      </c>
      <c r="K19">
        <f>IF($N19="","",INDEX(Staging!$M$2:$M$3001,$N19))</f>
      </c>
      <c r="L19">
        <f>IF($N19="","",INDEX(Staging!$O$2:$O$3001,$N19))</f>
      </c>
      <c r="M19">
        <f>IF($N19="","",INDEX(Staging!$P$2:$P$3001,$N19))</f>
      </c>
      <c r="N19">
        <f t="array" ref="N19">IFERROR(SMALL(IF(Staging!$E$2:$E$3001="MIPPL",ROW(Staging!$E$2:$E$3001)-ROW(Staging!$E$2)+1),18),"")</f>
      </c>
    </row>
    <row r="20" spans="1:14" x14ac:dyDescent="0.25">
      <c r="A20">
        <f>IF($N20="","",INDEX(Staging!$A$2:$A$3001,$N20))</f>
      </c>
      <c r="B20">
        <f>IF($N20="","",INDEX(Staging!$B$2:$B$3001,$N20))</f>
      </c>
      <c r="C20">
        <f>IF($N20="","",INDEX(Staging!$C$2:$C$3001,$N20))</f>
      </c>
      <c r="D20">
        <f>IF($N20="","",INDEX(Staging!$D$2:$D$3001,$N20))</f>
      </c>
      <c r="E20">
        <f>IF($N20="","",INDEX(Staging!$F$2:$F$3001,$N20))</f>
      </c>
      <c r="F20">
        <f>IF($N20="","",INDEX(Staging!$G$2:$G$3001,$N20))</f>
      </c>
      <c r="G20">
        <f>IF($N20="","",INDEX(Staging!$H$2:$H$3001,$N20))</f>
      </c>
      <c r="H20">
        <f>IF($N20="","",INDEX(Staging!$I$2:$I$3001,$N20))</f>
      </c>
      <c r="I20">
        <f>IF($N20="","",INDEX(Staging!$J$2:$J$3001,$N20))</f>
      </c>
      <c r="J20">
        <f>IF($N20="","",INDEX(Staging!$K$2:$K$3001,$N20))</f>
      </c>
      <c r="K20">
        <f>IF($N20="","",INDEX(Staging!$M$2:$M$3001,$N20))</f>
      </c>
      <c r="L20">
        <f>IF($N20="","",INDEX(Staging!$O$2:$O$3001,$N20))</f>
      </c>
      <c r="M20">
        <f>IF($N20="","",INDEX(Staging!$P$2:$P$3001,$N20))</f>
      </c>
      <c r="N20">
        <f t="array" ref="N20">IFERROR(SMALL(IF(Staging!$E$2:$E$3001="MIPPL",ROW(Staging!$E$2:$E$3001)-ROW(Staging!$E$2)+1),19),"")</f>
      </c>
    </row>
    <row r="21" spans="1:14" x14ac:dyDescent="0.25">
      <c r="A21">
        <f>IF($N21="","",INDEX(Staging!$A$2:$A$3001,$N21))</f>
      </c>
      <c r="B21">
        <f>IF($N21="","",INDEX(Staging!$B$2:$B$3001,$N21))</f>
      </c>
      <c r="C21">
        <f>IF($N21="","",INDEX(Staging!$C$2:$C$3001,$N21))</f>
      </c>
      <c r="D21">
        <f>IF($N21="","",INDEX(Staging!$D$2:$D$3001,$N21))</f>
      </c>
      <c r="E21">
        <f>IF($N21="","",INDEX(Staging!$F$2:$F$3001,$N21))</f>
      </c>
      <c r="F21">
        <f>IF($N21="","",INDEX(Staging!$G$2:$G$3001,$N21))</f>
      </c>
      <c r="G21">
        <f>IF($N21="","",INDEX(Staging!$H$2:$H$3001,$N21))</f>
      </c>
      <c r="H21">
        <f>IF($N21="","",INDEX(Staging!$I$2:$I$3001,$N21))</f>
      </c>
      <c r="I21">
        <f>IF($N21="","",INDEX(Staging!$J$2:$J$3001,$N21))</f>
      </c>
      <c r="J21">
        <f>IF($N21="","",INDEX(Staging!$K$2:$K$3001,$N21))</f>
      </c>
      <c r="K21">
        <f>IF($N21="","",INDEX(Staging!$M$2:$M$3001,$N21))</f>
      </c>
      <c r="L21">
        <f>IF($N21="","",INDEX(Staging!$O$2:$O$3001,$N21))</f>
      </c>
      <c r="M21">
        <f>IF($N21="","",INDEX(Staging!$P$2:$P$3001,$N21))</f>
      </c>
      <c r="N21">
        <f t="array" ref="N21">IFERROR(SMALL(IF(Staging!$E$2:$E$3001="MIPPL",ROW(Staging!$E$2:$E$3001)-ROW(Staging!$E$2)+1),20),"")</f>
      </c>
    </row>
    <row r="22" spans="1:14" x14ac:dyDescent="0.25">
      <c r="A22">
        <f>IF($N22="","",INDEX(Staging!$A$2:$A$3001,$N22))</f>
      </c>
      <c r="B22">
        <f>IF($N22="","",INDEX(Staging!$B$2:$B$3001,$N22))</f>
      </c>
      <c r="C22">
        <f>IF($N22="","",INDEX(Staging!$C$2:$C$3001,$N22))</f>
      </c>
      <c r="D22">
        <f>IF($N22="","",INDEX(Staging!$D$2:$D$3001,$N22))</f>
      </c>
      <c r="E22">
        <f>IF($N22="","",INDEX(Staging!$F$2:$F$3001,$N22))</f>
      </c>
      <c r="F22">
        <f>IF($N22="","",INDEX(Staging!$G$2:$G$3001,$N22))</f>
      </c>
      <c r="G22">
        <f>IF($N22="","",INDEX(Staging!$H$2:$H$3001,$N22))</f>
      </c>
      <c r="H22">
        <f>IF($N22="","",INDEX(Staging!$I$2:$I$3001,$N22))</f>
      </c>
      <c r="I22">
        <f>IF($N22="","",INDEX(Staging!$J$2:$J$3001,$N22))</f>
      </c>
      <c r="J22">
        <f>IF($N22="","",INDEX(Staging!$K$2:$K$3001,$N22))</f>
      </c>
      <c r="K22">
        <f>IF($N22="","",INDEX(Staging!$M$2:$M$3001,$N22))</f>
      </c>
      <c r="L22">
        <f>IF($N22="","",INDEX(Staging!$O$2:$O$3001,$N22))</f>
      </c>
      <c r="M22">
        <f>IF($N22="","",INDEX(Staging!$P$2:$P$3001,$N22))</f>
      </c>
      <c r="N22">
        <f t="array" ref="N22">IFERROR(SMALL(IF(Staging!$E$2:$E$3001="MIPPL",ROW(Staging!$E$2:$E$3001)-ROW(Staging!$E$2)+1),21),"")</f>
      </c>
    </row>
    <row r="23" spans="1:14" x14ac:dyDescent="0.25">
      <c r="A23">
        <f>IF($N23="","",INDEX(Staging!$A$2:$A$3001,$N23))</f>
      </c>
      <c r="B23">
        <f>IF($N23="","",INDEX(Staging!$B$2:$B$3001,$N23))</f>
      </c>
      <c r="C23">
        <f>IF($N23="","",INDEX(Staging!$C$2:$C$3001,$N23))</f>
      </c>
      <c r="D23">
        <f>IF($N23="","",INDEX(Staging!$D$2:$D$3001,$N23))</f>
      </c>
      <c r="E23">
        <f>IF($N23="","",INDEX(Staging!$F$2:$F$3001,$N23))</f>
      </c>
      <c r="F23">
        <f>IF($N23="","",INDEX(Staging!$G$2:$G$3001,$N23))</f>
      </c>
      <c r="G23">
        <f>IF($N23="","",INDEX(Staging!$H$2:$H$3001,$N23))</f>
      </c>
      <c r="H23">
        <f>IF($N23="","",INDEX(Staging!$I$2:$I$3001,$N23))</f>
      </c>
      <c r="I23">
        <f>IF($N23="","",INDEX(Staging!$J$2:$J$3001,$N23))</f>
      </c>
      <c r="J23">
        <f>IF($N23="","",INDEX(Staging!$K$2:$K$3001,$N23))</f>
      </c>
      <c r="K23">
        <f>IF($N23="","",INDEX(Staging!$M$2:$M$3001,$N23))</f>
      </c>
      <c r="L23">
        <f>IF($N23="","",INDEX(Staging!$O$2:$O$3001,$N23))</f>
      </c>
      <c r="M23">
        <f>IF($N23="","",INDEX(Staging!$P$2:$P$3001,$N23))</f>
      </c>
      <c r="N23">
        <f t="array" ref="N23">IFERROR(SMALL(IF(Staging!$E$2:$E$3001="MIPPL",ROW(Staging!$E$2:$E$3001)-ROW(Staging!$E$2)+1),22),"")</f>
      </c>
    </row>
    <row r="24" spans="1:14" x14ac:dyDescent="0.25">
      <c r="A24">
        <f>IF($N24="","",INDEX(Staging!$A$2:$A$3001,$N24))</f>
      </c>
      <c r="B24">
        <f>IF($N24="","",INDEX(Staging!$B$2:$B$3001,$N24))</f>
      </c>
      <c r="C24">
        <f>IF($N24="","",INDEX(Staging!$C$2:$C$3001,$N24))</f>
      </c>
      <c r="D24">
        <f>IF($N24="","",INDEX(Staging!$D$2:$D$3001,$N24))</f>
      </c>
      <c r="E24">
        <f>IF($N24="","",INDEX(Staging!$F$2:$F$3001,$N24))</f>
      </c>
      <c r="F24">
        <f>IF($N24="","",INDEX(Staging!$G$2:$G$3001,$N24))</f>
      </c>
      <c r="G24">
        <f>IF($N24="","",INDEX(Staging!$H$2:$H$3001,$N24))</f>
      </c>
      <c r="H24">
        <f>IF($N24="","",INDEX(Staging!$I$2:$I$3001,$N24))</f>
      </c>
      <c r="I24">
        <f>IF($N24="","",INDEX(Staging!$J$2:$J$3001,$N24))</f>
      </c>
      <c r="J24">
        <f>IF($N24="","",INDEX(Staging!$K$2:$K$3001,$N24))</f>
      </c>
      <c r="K24">
        <f>IF($N24="","",INDEX(Staging!$M$2:$M$3001,$N24))</f>
      </c>
      <c r="L24">
        <f>IF($N24="","",INDEX(Staging!$O$2:$O$3001,$N24))</f>
      </c>
      <c r="M24">
        <f>IF($N24="","",INDEX(Staging!$P$2:$P$3001,$N24))</f>
      </c>
      <c r="N24">
        <f t="array" ref="N24">IFERROR(SMALL(IF(Staging!$E$2:$E$3001="MIPPL",ROW(Staging!$E$2:$E$3001)-ROW(Staging!$E$2)+1),23),"")</f>
      </c>
    </row>
    <row r="25" spans="1:14" x14ac:dyDescent="0.25">
      <c r="A25">
        <f>IF($N25="","",INDEX(Staging!$A$2:$A$3001,$N25))</f>
      </c>
      <c r="B25">
        <f>IF($N25="","",INDEX(Staging!$B$2:$B$3001,$N25))</f>
      </c>
      <c r="C25">
        <f>IF($N25="","",INDEX(Staging!$C$2:$C$3001,$N25))</f>
      </c>
      <c r="D25">
        <f>IF($N25="","",INDEX(Staging!$D$2:$D$3001,$N25))</f>
      </c>
      <c r="E25">
        <f>IF($N25="","",INDEX(Staging!$F$2:$F$3001,$N25))</f>
      </c>
      <c r="F25">
        <f>IF($N25="","",INDEX(Staging!$G$2:$G$3001,$N25))</f>
      </c>
      <c r="G25">
        <f>IF($N25="","",INDEX(Staging!$H$2:$H$3001,$N25))</f>
      </c>
      <c r="H25">
        <f>IF($N25="","",INDEX(Staging!$I$2:$I$3001,$N25))</f>
      </c>
      <c r="I25">
        <f>IF($N25="","",INDEX(Staging!$J$2:$J$3001,$N25))</f>
      </c>
      <c r="J25">
        <f>IF($N25="","",INDEX(Staging!$K$2:$K$3001,$N25))</f>
      </c>
      <c r="K25">
        <f>IF($N25="","",INDEX(Staging!$M$2:$M$3001,$N25))</f>
      </c>
      <c r="L25">
        <f>IF($N25="","",INDEX(Staging!$O$2:$O$3001,$N25))</f>
      </c>
      <c r="M25">
        <f>IF($N25="","",INDEX(Staging!$P$2:$P$3001,$N25))</f>
      </c>
      <c r="N25">
        <f t="array" ref="N25">IFERROR(SMALL(IF(Staging!$E$2:$E$3001="MIPPL",ROW(Staging!$E$2:$E$3001)-ROW(Staging!$E$2)+1),24),"")</f>
      </c>
    </row>
    <row r="26" spans="1:14" x14ac:dyDescent="0.25">
      <c r="A26">
        <f>IF($N26="","",INDEX(Staging!$A$2:$A$3001,$N26))</f>
      </c>
      <c r="B26">
        <f>IF($N26="","",INDEX(Staging!$B$2:$B$3001,$N26))</f>
      </c>
      <c r="C26">
        <f>IF($N26="","",INDEX(Staging!$C$2:$C$3001,$N26))</f>
      </c>
      <c r="D26">
        <f>IF($N26="","",INDEX(Staging!$D$2:$D$3001,$N26))</f>
      </c>
      <c r="E26">
        <f>IF($N26="","",INDEX(Staging!$F$2:$F$3001,$N26))</f>
      </c>
      <c r="F26">
        <f>IF($N26="","",INDEX(Staging!$G$2:$G$3001,$N26))</f>
      </c>
      <c r="G26">
        <f>IF($N26="","",INDEX(Staging!$H$2:$H$3001,$N26))</f>
      </c>
      <c r="H26">
        <f>IF($N26="","",INDEX(Staging!$I$2:$I$3001,$N26))</f>
      </c>
      <c r="I26">
        <f>IF($N26="","",INDEX(Staging!$J$2:$J$3001,$N26))</f>
      </c>
      <c r="J26">
        <f>IF($N26="","",INDEX(Staging!$K$2:$K$3001,$N26))</f>
      </c>
      <c r="K26">
        <f>IF($N26="","",INDEX(Staging!$M$2:$M$3001,$N26))</f>
      </c>
      <c r="L26">
        <f>IF($N26="","",INDEX(Staging!$O$2:$O$3001,$N26))</f>
      </c>
      <c r="M26">
        <f>IF($N26="","",INDEX(Staging!$P$2:$P$3001,$N26))</f>
      </c>
      <c r="N26">
        <f t="array" ref="N26">IFERROR(SMALL(IF(Staging!$E$2:$E$3001="MIPPL",ROW(Staging!$E$2:$E$3001)-ROW(Staging!$E$2)+1),25),"")</f>
      </c>
    </row>
    <row r="27" spans="1:14" x14ac:dyDescent="0.25">
      <c r="A27">
        <f>IF($N27="","",INDEX(Staging!$A$2:$A$3001,$N27))</f>
      </c>
      <c r="B27">
        <f>IF($N27="","",INDEX(Staging!$B$2:$B$3001,$N27))</f>
      </c>
      <c r="C27">
        <f>IF($N27="","",INDEX(Staging!$C$2:$C$3001,$N27))</f>
      </c>
      <c r="D27">
        <f>IF($N27="","",INDEX(Staging!$D$2:$D$3001,$N27))</f>
      </c>
      <c r="E27">
        <f>IF($N27="","",INDEX(Staging!$F$2:$F$3001,$N27))</f>
      </c>
      <c r="F27">
        <f>IF($N27="","",INDEX(Staging!$G$2:$G$3001,$N27))</f>
      </c>
      <c r="G27">
        <f>IF($N27="","",INDEX(Staging!$H$2:$H$3001,$N27))</f>
      </c>
      <c r="H27">
        <f>IF($N27="","",INDEX(Staging!$I$2:$I$3001,$N27))</f>
      </c>
      <c r="I27">
        <f>IF($N27="","",INDEX(Staging!$J$2:$J$3001,$N27))</f>
      </c>
      <c r="J27">
        <f>IF($N27="","",INDEX(Staging!$K$2:$K$3001,$N27))</f>
      </c>
      <c r="K27">
        <f>IF($N27="","",INDEX(Staging!$M$2:$M$3001,$N27))</f>
      </c>
      <c r="L27">
        <f>IF($N27="","",INDEX(Staging!$O$2:$O$3001,$N27))</f>
      </c>
      <c r="M27">
        <f>IF($N27="","",INDEX(Staging!$P$2:$P$3001,$N27))</f>
      </c>
      <c r="N27">
        <f t="array" ref="N27">IFERROR(SMALL(IF(Staging!$E$2:$E$3001="MIPPL",ROW(Staging!$E$2:$E$3001)-ROW(Staging!$E$2)+1),26),"")</f>
      </c>
    </row>
    <row r="28" spans="1:14" x14ac:dyDescent="0.25">
      <c r="A28">
        <f>IF($N28="","",INDEX(Staging!$A$2:$A$3001,$N28))</f>
      </c>
      <c r="B28">
        <f>IF($N28="","",INDEX(Staging!$B$2:$B$3001,$N28))</f>
      </c>
      <c r="C28">
        <f>IF($N28="","",INDEX(Staging!$C$2:$C$3001,$N28))</f>
      </c>
      <c r="D28">
        <f>IF($N28="","",INDEX(Staging!$D$2:$D$3001,$N28))</f>
      </c>
      <c r="E28">
        <f>IF($N28="","",INDEX(Staging!$F$2:$F$3001,$N28))</f>
      </c>
      <c r="F28">
        <f>IF($N28="","",INDEX(Staging!$G$2:$G$3001,$N28))</f>
      </c>
      <c r="G28">
        <f>IF($N28="","",INDEX(Staging!$H$2:$H$3001,$N28))</f>
      </c>
      <c r="H28">
        <f>IF($N28="","",INDEX(Staging!$I$2:$I$3001,$N28))</f>
      </c>
      <c r="I28">
        <f>IF($N28="","",INDEX(Staging!$J$2:$J$3001,$N28))</f>
      </c>
      <c r="J28">
        <f>IF($N28="","",INDEX(Staging!$K$2:$K$3001,$N28))</f>
      </c>
      <c r="K28">
        <f>IF($N28="","",INDEX(Staging!$M$2:$M$3001,$N28))</f>
      </c>
      <c r="L28">
        <f>IF($N28="","",INDEX(Staging!$O$2:$O$3001,$N28))</f>
      </c>
      <c r="M28">
        <f>IF($N28="","",INDEX(Staging!$P$2:$P$3001,$N28))</f>
      </c>
      <c r="N28">
        <f t="array" ref="N28">IFERROR(SMALL(IF(Staging!$E$2:$E$3001="MIPPL",ROW(Staging!$E$2:$E$3001)-ROW(Staging!$E$2)+1),27),"")</f>
      </c>
    </row>
    <row r="29" spans="1:14" x14ac:dyDescent="0.25">
      <c r="A29">
        <f>IF($N29="","",INDEX(Staging!$A$2:$A$3001,$N29))</f>
      </c>
      <c r="B29">
        <f>IF($N29="","",INDEX(Staging!$B$2:$B$3001,$N29))</f>
      </c>
      <c r="C29">
        <f>IF($N29="","",INDEX(Staging!$C$2:$C$3001,$N29))</f>
      </c>
      <c r="D29">
        <f>IF($N29="","",INDEX(Staging!$D$2:$D$3001,$N29))</f>
      </c>
      <c r="E29">
        <f>IF($N29="","",INDEX(Staging!$F$2:$F$3001,$N29))</f>
      </c>
      <c r="F29">
        <f>IF($N29="","",INDEX(Staging!$G$2:$G$3001,$N29))</f>
      </c>
      <c r="G29">
        <f>IF($N29="","",INDEX(Staging!$H$2:$H$3001,$N29))</f>
      </c>
      <c r="H29">
        <f>IF($N29="","",INDEX(Staging!$I$2:$I$3001,$N29))</f>
      </c>
      <c r="I29">
        <f>IF($N29="","",INDEX(Staging!$J$2:$J$3001,$N29))</f>
      </c>
      <c r="J29">
        <f>IF($N29="","",INDEX(Staging!$K$2:$K$3001,$N29))</f>
      </c>
      <c r="K29">
        <f>IF($N29="","",INDEX(Staging!$M$2:$M$3001,$N29))</f>
      </c>
      <c r="L29">
        <f>IF($N29="","",INDEX(Staging!$O$2:$O$3001,$N29))</f>
      </c>
      <c r="M29">
        <f>IF($N29="","",INDEX(Staging!$P$2:$P$3001,$N29))</f>
      </c>
      <c r="N29">
        <f t="array" ref="N29">IFERROR(SMALL(IF(Staging!$E$2:$E$3001="MIPPL",ROW(Staging!$E$2:$E$3001)-ROW(Staging!$E$2)+1),28),"")</f>
      </c>
    </row>
    <row r="30" spans="1:14" x14ac:dyDescent="0.25">
      <c r="A30">
        <f>IF($N30="","",INDEX(Staging!$A$2:$A$3001,$N30))</f>
      </c>
      <c r="B30">
        <f>IF($N30="","",INDEX(Staging!$B$2:$B$3001,$N30))</f>
      </c>
      <c r="C30">
        <f>IF($N30="","",INDEX(Staging!$C$2:$C$3001,$N30))</f>
      </c>
      <c r="D30">
        <f>IF($N30="","",INDEX(Staging!$D$2:$D$3001,$N30))</f>
      </c>
      <c r="E30">
        <f>IF($N30="","",INDEX(Staging!$F$2:$F$3001,$N30))</f>
      </c>
      <c r="F30">
        <f>IF($N30="","",INDEX(Staging!$G$2:$G$3001,$N30))</f>
      </c>
      <c r="G30">
        <f>IF($N30="","",INDEX(Staging!$H$2:$H$3001,$N30))</f>
      </c>
      <c r="H30">
        <f>IF($N30="","",INDEX(Staging!$I$2:$I$3001,$N30))</f>
      </c>
      <c r="I30">
        <f>IF($N30="","",INDEX(Staging!$J$2:$J$3001,$N30))</f>
      </c>
      <c r="J30">
        <f>IF($N30="","",INDEX(Staging!$K$2:$K$3001,$N30))</f>
      </c>
      <c r="K30">
        <f>IF($N30="","",INDEX(Staging!$M$2:$M$3001,$N30))</f>
      </c>
      <c r="L30">
        <f>IF($N30="","",INDEX(Staging!$O$2:$O$3001,$N30))</f>
      </c>
      <c r="M30">
        <f>IF($N30="","",INDEX(Staging!$P$2:$P$3001,$N30))</f>
      </c>
      <c r="N30">
        <f t="array" ref="N30">IFERROR(SMALL(IF(Staging!$E$2:$E$3001="MIPPL",ROW(Staging!$E$2:$E$3001)-ROW(Staging!$E$2)+1),29),"")</f>
      </c>
    </row>
    <row r="31" spans="1:14" x14ac:dyDescent="0.25">
      <c r="A31">
        <f>IF($N31="","",INDEX(Staging!$A$2:$A$3001,$N31))</f>
      </c>
      <c r="B31">
        <f>IF($N31="","",INDEX(Staging!$B$2:$B$3001,$N31))</f>
      </c>
      <c r="C31">
        <f>IF($N31="","",INDEX(Staging!$C$2:$C$3001,$N31))</f>
      </c>
      <c r="D31">
        <f>IF($N31="","",INDEX(Staging!$D$2:$D$3001,$N31))</f>
      </c>
      <c r="E31">
        <f>IF($N31="","",INDEX(Staging!$F$2:$F$3001,$N31))</f>
      </c>
      <c r="F31">
        <f>IF($N31="","",INDEX(Staging!$G$2:$G$3001,$N31))</f>
      </c>
      <c r="G31">
        <f>IF($N31="","",INDEX(Staging!$H$2:$H$3001,$N31))</f>
      </c>
      <c r="H31">
        <f>IF($N31="","",INDEX(Staging!$I$2:$I$3001,$N31))</f>
      </c>
      <c r="I31">
        <f>IF($N31="","",INDEX(Staging!$J$2:$J$3001,$N31))</f>
      </c>
      <c r="J31">
        <f>IF($N31="","",INDEX(Staging!$K$2:$K$3001,$N31))</f>
      </c>
      <c r="K31">
        <f>IF($N31="","",INDEX(Staging!$M$2:$M$3001,$N31))</f>
      </c>
      <c r="L31">
        <f>IF($N31="","",INDEX(Staging!$O$2:$O$3001,$N31))</f>
      </c>
      <c r="M31">
        <f>IF($N31="","",INDEX(Staging!$P$2:$P$3001,$N31))</f>
      </c>
      <c r="N31">
        <f t="array" ref="N31">IFERROR(SMALL(IF(Staging!$E$2:$E$3001="MIPPL",ROW(Staging!$E$2:$E$3001)-ROW(Staging!$E$2)+1),30),"")</f>
      </c>
    </row>
    <row r="32" spans="1:14" x14ac:dyDescent="0.25">
      <c r="A32">
        <f>IF($N32="","",INDEX(Staging!$A$2:$A$3001,$N32))</f>
      </c>
      <c r="B32">
        <f>IF($N32="","",INDEX(Staging!$B$2:$B$3001,$N32))</f>
      </c>
      <c r="C32">
        <f>IF($N32="","",INDEX(Staging!$C$2:$C$3001,$N32))</f>
      </c>
      <c r="D32">
        <f>IF($N32="","",INDEX(Staging!$D$2:$D$3001,$N32))</f>
      </c>
      <c r="E32">
        <f>IF($N32="","",INDEX(Staging!$F$2:$F$3001,$N32))</f>
      </c>
      <c r="F32">
        <f>IF($N32="","",INDEX(Staging!$G$2:$G$3001,$N32))</f>
      </c>
      <c r="G32">
        <f>IF($N32="","",INDEX(Staging!$H$2:$H$3001,$N32))</f>
      </c>
      <c r="H32">
        <f>IF($N32="","",INDEX(Staging!$I$2:$I$3001,$N32))</f>
      </c>
      <c r="I32">
        <f>IF($N32="","",INDEX(Staging!$J$2:$J$3001,$N32))</f>
      </c>
      <c r="J32">
        <f>IF($N32="","",INDEX(Staging!$K$2:$K$3001,$N32))</f>
      </c>
      <c r="K32">
        <f>IF($N32="","",INDEX(Staging!$M$2:$M$3001,$N32))</f>
      </c>
      <c r="L32">
        <f>IF($N32="","",INDEX(Staging!$O$2:$O$3001,$N32))</f>
      </c>
      <c r="M32">
        <f>IF($N32="","",INDEX(Staging!$P$2:$P$3001,$N32))</f>
      </c>
      <c r="N32">
        <f t="array" ref="N32">IFERROR(SMALL(IF(Staging!$E$2:$E$3001="MIPPL",ROW(Staging!$E$2:$E$3001)-ROW(Staging!$E$2)+1),31),"")</f>
      </c>
    </row>
    <row r="33" spans="1:14" x14ac:dyDescent="0.25">
      <c r="A33">
        <f>IF($N33="","",INDEX(Staging!$A$2:$A$3001,$N33))</f>
      </c>
      <c r="B33">
        <f>IF($N33="","",INDEX(Staging!$B$2:$B$3001,$N33))</f>
      </c>
      <c r="C33">
        <f>IF($N33="","",INDEX(Staging!$C$2:$C$3001,$N33))</f>
      </c>
      <c r="D33">
        <f>IF($N33="","",INDEX(Staging!$D$2:$D$3001,$N33))</f>
      </c>
      <c r="E33">
        <f>IF($N33="","",INDEX(Staging!$F$2:$F$3001,$N33))</f>
      </c>
      <c r="F33">
        <f>IF($N33="","",INDEX(Staging!$G$2:$G$3001,$N33))</f>
      </c>
      <c r="G33">
        <f>IF($N33="","",INDEX(Staging!$H$2:$H$3001,$N33))</f>
      </c>
      <c r="H33">
        <f>IF($N33="","",INDEX(Staging!$I$2:$I$3001,$N33))</f>
      </c>
      <c r="I33">
        <f>IF($N33="","",INDEX(Staging!$J$2:$J$3001,$N33))</f>
      </c>
      <c r="J33">
        <f>IF($N33="","",INDEX(Staging!$K$2:$K$3001,$N33))</f>
      </c>
      <c r="K33">
        <f>IF($N33="","",INDEX(Staging!$M$2:$M$3001,$N33))</f>
      </c>
      <c r="L33">
        <f>IF($N33="","",INDEX(Staging!$O$2:$O$3001,$N33))</f>
      </c>
      <c r="M33">
        <f>IF($N33="","",INDEX(Staging!$P$2:$P$3001,$N33))</f>
      </c>
      <c r="N33">
        <f t="array" ref="N33">IFERROR(SMALL(IF(Staging!$E$2:$E$3001="MIPPL",ROW(Staging!$E$2:$E$3001)-ROW(Staging!$E$2)+1),32),"")</f>
      </c>
    </row>
    <row r="34" spans="1:14" x14ac:dyDescent="0.25">
      <c r="A34">
        <f>IF($N34="","",INDEX(Staging!$A$2:$A$3001,$N34))</f>
      </c>
      <c r="B34">
        <f>IF($N34="","",INDEX(Staging!$B$2:$B$3001,$N34))</f>
      </c>
      <c r="C34">
        <f>IF($N34="","",INDEX(Staging!$C$2:$C$3001,$N34))</f>
      </c>
      <c r="D34">
        <f>IF($N34="","",INDEX(Staging!$D$2:$D$3001,$N34))</f>
      </c>
      <c r="E34">
        <f>IF($N34="","",INDEX(Staging!$F$2:$F$3001,$N34))</f>
      </c>
      <c r="F34">
        <f>IF($N34="","",INDEX(Staging!$G$2:$G$3001,$N34))</f>
      </c>
      <c r="G34">
        <f>IF($N34="","",INDEX(Staging!$H$2:$H$3001,$N34))</f>
      </c>
      <c r="H34">
        <f>IF($N34="","",INDEX(Staging!$I$2:$I$3001,$N34))</f>
      </c>
      <c r="I34">
        <f>IF($N34="","",INDEX(Staging!$J$2:$J$3001,$N34))</f>
      </c>
      <c r="J34">
        <f>IF($N34="","",INDEX(Staging!$K$2:$K$3001,$N34))</f>
      </c>
      <c r="K34">
        <f>IF($N34="","",INDEX(Staging!$M$2:$M$3001,$N34))</f>
      </c>
      <c r="L34">
        <f>IF($N34="","",INDEX(Staging!$O$2:$O$3001,$N34))</f>
      </c>
      <c r="M34">
        <f>IF($N34="","",INDEX(Staging!$P$2:$P$3001,$N34))</f>
      </c>
      <c r="N34">
        <f t="array" ref="N34">IFERROR(SMALL(IF(Staging!$E$2:$E$3001="MIPPL",ROW(Staging!$E$2:$E$3001)-ROW(Staging!$E$2)+1),33),"")</f>
      </c>
    </row>
    <row r="35" spans="1:14" x14ac:dyDescent="0.25">
      <c r="A35">
        <f>IF($N35="","",INDEX(Staging!$A$2:$A$3001,$N35))</f>
      </c>
      <c r="B35">
        <f>IF($N35="","",INDEX(Staging!$B$2:$B$3001,$N35))</f>
      </c>
      <c r="C35">
        <f>IF($N35="","",INDEX(Staging!$C$2:$C$3001,$N35))</f>
      </c>
      <c r="D35">
        <f>IF($N35="","",INDEX(Staging!$D$2:$D$3001,$N35))</f>
      </c>
      <c r="E35">
        <f>IF($N35="","",INDEX(Staging!$F$2:$F$3001,$N35))</f>
      </c>
      <c r="F35">
        <f>IF($N35="","",INDEX(Staging!$G$2:$G$3001,$N35))</f>
      </c>
      <c r="G35">
        <f>IF($N35="","",INDEX(Staging!$H$2:$H$3001,$N35))</f>
      </c>
      <c r="H35">
        <f>IF($N35="","",INDEX(Staging!$I$2:$I$3001,$N35))</f>
      </c>
      <c r="I35">
        <f>IF($N35="","",INDEX(Staging!$J$2:$J$3001,$N35))</f>
      </c>
      <c r="J35">
        <f>IF($N35="","",INDEX(Staging!$K$2:$K$3001,$N35))</f>
      </c>
      <c r="K35">
        <f>IF($N35="","",INDEX(Staging!$M$2:$M$3001,$N35))</f>
      </c>
      <c r="L35">
        <f>IF($N35="","",INDEX(Staging!$O$2:$O$3001,$N35))</f>
      </c>
      <c r="M35">
        <f>IF($N35="","",INDEX(Staging!$P$2:$P$3001,$N35))</f>
      </c>
      <c r="N35">
        <f t="array" ref="N35">IFERROR(SMALL(IF(Staging!$E$2:$E$3001="MIPPL",ROW(Staging!$E$2:$E$3001)-ROW(Staging!$E$2)+1),34),"")</f>
      </c>
    </row>
    <row r="36" spans="1:14" x14ac:dyDescent="0.25">
      <c r="A36">
        <f>IF($N36="","",INDEX(Staging!$A$2:$A$3001,$N36))</f>
      </c>
      <c r="B36">
        <f>IF($N36="","",INDEX(Staging!$B$2:$B$3001,$N36))</f>
      </c>
      <c r="C36">
        <f>IF($N36="","",INDEX(Staging!$C$2:$C$3001,$N36))</f>
      </c>
      <c r="D36">
        <f>IF($N36="","",INDEX(Staging!$D$2:$D$3001,$N36))</f>
      </c>
      <c r="E36">
        <f>IF($N36="","",INDEX(Staging!$F$2:$F$3001,$N36))</f>
      </c>
      <c r="F36">
        <f>IF($N36="","",INDEX(Staging!$G$2:$G$3001,$N36))</f>
      </c>
      <c r="G36">
        <f>IF($N36="","",INDEX(Staging!$H$2:$H$3001,$N36))</f>
      </c>
      <c r="H36">
        <f>IF($N36="","",INDEX(Staging!$I$2:$I$3001,$N36))</f>
      </c>
      <c r="I36">
        <f>IF($N36="","",INDEX(Staging!$J$2:$J$3001,$N36))</f>
      </c>
      <c r="J36">
        <f>IF($N36="","",INDEX(Staging!$K$2:$K$3001,$N36))</f>
      </c>
      <c r="K36">
        <f>IF($N36="","",INDEX(Staging!$M$2:$M$3001,$N36))</f>
      </c>
      <c r="L36">
        <f>IF($N36="","",INDEX(Staging!$O$2:$O$3001,$N36))</f>
      </c>
      <c r="M36">
        <f>IF($N36="","",INDEX(Staging!$P$2:$P$3001,$N36))</f>
      </c>
      <c r="N36">
        <f t="array" ref="N36">IFERROR(SMALL(IF(Staging!$E$2:$E$3001="MIPPL",ROW(Staging!$E$2:$E$3001)-ROW(Staging!$E$2)+1),35),"")</f>
      </c>
    </row>
    <row r="37" spans="1:14" x14ac:dyDescent="0.25">
      <c r="A37">
        <f>IF($N37="","",INDEX(Staging!$A$2:$A$3001,$N37))</f>
      </c>
      <c r="B37">
        <f>IF($N37="","",INDEX(Staging!$B$2:$B$3001,$N37))</f>
      </c>
      <c r="C37">
        <f>IF($N37="","",INDEX(Staging!$C$2:$C$3001,$N37))</f>
      </c>
      <c r="D37">
        <f>IF($N37="","",INDEX(Staging!$D$2:$D$3001,$N37))</f>
      </c>
      <c r="E37">
        <f>IF($N37="","",INDEX(Staging!$F$2:$F$3001,$N37))</f>
      </c>
      <c r="F37">
        <f>IF($N37="","",INDEX(Staging!$G$2:$G$3001,$N37))</f>
      </c>
      <c r="G37">
        <f>IF($N37="","",INDEX(Staging!$H$2:$H$3001,$N37))</f>
      </c>
      <c r="H37">
        <f>IF($N37="","",INDEX(Staging!$I$2:$I$3001,$N37))</f>
      </c>
      <c r="I37">
        <f>IF($N37="","",INDEX(Staging!$J$2:$J$3001,$N37))</f>
      </c>
      <c r="J37">
        <f>IF($N37="","",INDEX(Staging!$K$2:$K$3001,$N37))</f>
      </c>
      <c r="K37">
        <f>IF($N37="","",INDEX(Staging!$M$2:$M$3001,$N37))</f>
      </c>
      <c r="L37">
        <f>IF($N37="","",INDEX(Staging!$O$2:$O$3001,$N37))</f>
      </c>
      <c r="M37">
        <f>IF($N37="","",INDEX(Staging!$P$2:$P$3001,$N37))</f>
      </c>
      <c r="N37">
        <f t="array" ref="N37">IFERROR(SMALL(IF(Staging!$E$2:$E$3001="MIPPL",ROW(Staging!$E$2:$E$3001)-ROW(Staging!$E$2)+1),36),"")</f>
      </c>
    </row>
    <row r="38" spans="1:14" x14ac:dyDescent="0.25">
      <c r="A38">
        <f>IF($N38="","",INDEX(Staging!$A$2:$A$3001,$N38))</f>
      </c>
      <c r="B38">
        <f>IF($N38="","",INDEX(Staging!$B$2:$B$3001,$N38))</f>
      </c>
      <c r="C38">
        <f>IF($N38="","",INDEX(Staging!$C$2:$C$3001,$N38))</f>
      </c>
      <c r="D38">
        <f>IF($N38="","",INDEX(Staging!$D$2:$D$3001,$N38))</f>
      </c>
      <c r="E38">
        <f>IF($N38="","",INDEX(Staging!$F$2:$F$3001,$N38))</f>
      </c>
      <c r="F38">
        <f>IF($N38="","",INDEX(Staging!$G$2:$G$3001,$N38))</f>
      </c>
      <c r="G38">
        <f>IF($N38="","",INDEX(Staging!$H$2:$H$3001,$N38))</f>
      </c>
      <c r="H38">
        <f>IF($N38="","",INDEX(Staging!$I$2:$I$3001,$N38))</f>
      </c>
      <c r="I38">
        <f>IF($N38="","",INDEX(Staging!$J$2:$J$3001,$N38))</f>
      </c>
      <c r="J38">
        <f>IF($N38="","",INDEX(Staging!$K$2:$K$3001,$N38))</f>
      </c>
      <c r="K38">
        <f>IF($N38="","",INDEX(Staging!$M$2:$M$3001,$N38))</f>
      </c>
      <c r="L38">
        <f>IF($N38="","",INDEX(Staging!$O$2:$O$3001,$N38))</f>
      </c>
      <c r="M38">
        <f>IF($N38="","",INDEX(Staging!$P$2:$P$3001,$N38))</f>
      </c>
      <c r="N38">
        <f t="array" ref="N38">IFERROR(SMALL(IF(Staging!$E$2:$E$3001="MIPPL",ROW(Staging!$E$2:$E$3001)-ROW(Staging!$E$2)+1),37),"")</f>
      </c>
    </row>
    <row r="39" spans="1:14" x14ac:dyDescent="0.25">
      <c r="A39">
        <f>IF($N39="","",INDEX(Staging!$A$2:$A$3001,$N39))</f>
      </c>
      <c r="B39">
        <f>IF($N39="","",INDEX(Staging!$B$2:$B$3001,$N39))</f>
      </c>
      <c r="C39">
        <f>IF($N39="","",INDEX(Staging!$C$2:$C$3001,$N39))</f>
      </c>
      <c r="D39">
        <f>IF($N39="","",INDEX(Staging!$D$2:$D$3001,$N39))</f>
      </c>
      <c r="E39">
        <f>IF($N39="","",INDEX(Staging!$F$2:$F$3001,$N39))</f>
      </c>
      <c r="F39">
        <f>IF($N39="","",INDEX(Staging!$G$2:$G$3001,$N39))</f>
      </c>
      <c r="G39">
        <f>IF($N39="","",INDEX(Staging!$H$2:$H$3001,$N39))</f>
      </c>
      <c r="H39">
        <f>IF($N39="","",INDEX(Staging!$I$2:$I$3001,$N39))</f>
      </c>
      <c r="I39">
        <f>IF($N39="","",INDEX(Staging!$J$2:$J$3001,$N39))</f>
      </c>
      <c r="J39">
        <f>IF($N39="","",INDEX(Staging!$K$2:$K$3001,$N39))</f>
      </c>
      <c r="K39">
        <f>IF($N39="","",INDEX(Staging!$M$2:$M$3001,$N39))</f>
      </c>
      <c r="L39">
        <f>IF($N39="","",INDEX(Staging!$O$2:$O$3001,$N39))</f>
      </c>
      <c r="M39">
        <f>IF($N39="","",INDEX(Staging!$P$2:$P$3001,$N39))</f>
      </c>
      <c r="N39">
        <f t="array" ref="N39">IFERROR(SMALL(IF(Staging!$E$2:$E$3001="MIPPL",ROW(Staging!$E$2:$E$3001)-ROW(Staging!$E$2)+1),38),"")</f>
      </c>
    </row>
    <row r="40" spans="1:14" x14ac:dyDescent="0.25">
      <c r="A40">
        <f>IF($N40="","",INDEX(Staging!$A$2:$A$3001,$N40))</f>
      </c>
      <c r="B40">
        <f>IF($N40="","",INDEX(Staging!$B$2:$B$3001,$N40))</f>
      </c>
      <c r="C40">
        <f>IF($N40="","",INDEX(Staging!$C$2:$C$3001,$N40))</f>
      </c>
      <c r="D40">
        <f>IF($N40="","",INDEX(Staging!$D$2:$D$3001,$N40))</f>
      </c>
      <c r="E40">
        <f>IF($N40="","",INDEX(Staging!$F$2:$F$3001,$N40))</f>
      </c>
      <c r="F40">
        <f>IF($N40="","",INDEX(Staging!$G$2:$G$3001,$N40))</f>
      </c>
      <c r="G40">
        <f>IF($N40="","",INDEX(Staging!$H$2:$H$3001,$N40))</f>
      </c>
      <c r="H40">
        <f>IF($N40="","",INDEX(Staging!$I$2:$I$3001,$N40))</f>
      </c>
      <c r="I40">
        <f>IF($N40="","",INDEX(Staging!$J$2:$J$3001,$N40))</f>
      </c>
      <c r="J40">
        <f>IF($N40="","",INDEX(Staging!$K$2:$K$3001,$N40))</f>
      </c>
      <c r="K40">
        <f>IF($N40="","",INDEX(Staging!$M$2:$M$3001,$N40))</f>
      </c>
      <c r="L40">
        <f>IF($N40="","",INDEX(Staging!$O$2:$O$3001,$N40))</f>
      </c>
      <c r="M40">
        <f>IF($N40="","",INDEX(Staging!$P$2:$P$3001,$N40))</f>
      </c>
      <c r="N40">
        <f t="array" ref="N40">IFERROR(SMALL(IF(Staging!$E$2:$E$3001="MIPPL",ROW(Staging!$E$2:$E$3001)-ROW(Staging!$E$2)+1),39),"")</f>
      </c>
    </row>
    <row r="41" spans="1:14" x14ac:dyDescent="0.25">
      <c r="A41">
        <f>IF($N41="","",INDEX(Staging!$A$2:$A$3001,$N41))</f>
      </c>
      <c r="B41">
        <f>IF($N41="","",INDEX(Staging!$B$2:$B$3001,$N41))</f>
      </c>
      <c r="C41">
        <f>IF($N41="","",INDEX(Staging!$C$2:$C$3001,$N41))</f>
      </c>
      <c r="D41">
        <f>IF($N41="","",INDEX(Staging!$D$2:$D$3001,$N41))</f>
      </c>
      <c r="E41">
        <f>IF($N41="","",INDEX(Staging!$F$2:$F$3001,$N41))</f>
      </c>
      <c r="F41">
        <f>IF($N41="","",INDEX(Staging!$G$2:$G$3001,$N41))</f>
      </c>
      <c r="G41">
        <f>IF($N41="","",INDEX(Staging!$H$2:$H$3001,$N41))</f>
      </c>
      <c r="H41">
        <f>IF($N41="","",INDEX(Staging!$I$2:$I$3001,$N41))</f>
      </c>
      <c r="I41">
        <f>IF($N41="","",INDEX(Staging!$J$2:$J$3001,$N41))</f>
      </c>
      <c r="J41">
        <f>IF($N41="","",INDEX(Staging!$K$2:$K$3001,$N41))</f>
      </c>
      <c r="K41">
        <f>IF($N41="","",INDEX(Staging!$M$2:$M$3001,$N41))</f>
      </c>
      <c r="L41">
        <f>IF($N41="","",INDEX(Staging!$O$2:$O$3001,$N41))</f>
      </c>
      <c r="M41">
        <f>IF($N41="","",INDEX(Staging!$P$2:$P$3001,$N41))</f>
      </c>
      <c r="N41">
        <f t="array" ref="N41">IFERROR(SMALL(IF(Staging!$E$2:$E$3001="MIPPL",ROW(Staging!$E$2:$E$3001)-ROW(Staging!$E$2)+1),40),"")</f>
      </c>
    </row>
    <row r="42" spans="1:14" x14ac:dyDescent="0.25">
      <c r="A42">
        <f>IF($N42="","",INDEX(Staging!$A$2:$A$3001,$N42))</f>
      </c>
      <c r="B42">
        <f>IF($N42="","",INDEX(Staging!$B$2:$B$3001,$N42))</f>
      </c>
      <c r="C42">
        <f>IF($N42="","",INDEX(Staging!$C$2:$C$3001,$N42))</f>
      </c>
      <c r="D42">
        <f>IF($N42="","",INDEX(Staging!$D$2:$D$3001,$N42))</f>
      </c>
      <c r="E42">
        <f>IF($N42="","",INDEX(Staging!$F$2:$F$3001,$N42))</f>
      </c>
      <c r="F42">
        <f>IF($N42="","",INDEX(Staging!$G$2:$G$3001,$N42))</f>
      </c>
      <c r="G42">
        <f>IF($N42="","",INDEX(Staging!$H$2:$H$3001,$N42))</f>
      </c>
      <c r="H42">
        <f>IF($N42="","",INDEX(Staging!$I$2:$I$3001,$N42))</f>
      </c>
      <c r="I42">
        <f>IF($N42="","",INDEX(Staging!$J$2:$J$3001,$N42))</f>
      </c>
      <c r="J42">
        <f>IF($N42="","",INDEX(Staging!$K$2:$K$3001,$N42))</f>
      </c>
      <c r="K42">
        <f>IF($N42="","",INDEX(Staging!$M$2:$M$3001,$N42))</f>
      </c>
      <c r="L42">
        <f>IF($N42="","",INDEX(Staging!$O$2:$O$3001,$N42))</f>
      </c>
      <c r="M42">
        <f>IF($N42="","",INDEX(Staging!$P$2:$P$3001,$N42))</f>
      </c>
      <c r="N42">
        <f t="array" ref="N42">IFERROR(SMALL(IF(Staging!$E$2:$E$3001="MIPPL",ROW(Staging!$E$2:$E$3001)-ROW(Staging!$E$2)+1),41),"")</f>
      </c>
    </row>
    <row r="43" spans="1:14" x14ac:dyDescent="0.25">
      <c r="A43">
        <f>IF($N43="","",INDEX(Staging!$A$2:$A$3001,$N43))</f>
      </c>
      <c r="B43">
        <f>IF($N43="","",INDEX(Staging!$B$2:$B$3001,$N43))</f>
      </c>
      <c r="C43">
        <f>IF($N43="","",INDEX(Staging!$C$2:$C$3001,$N43))</f>
      </c>
      <c r="D43">
        <f>IF($N43="","",INDEX(Staging!$D$2:$D$3001,$N43))</f>
      </c>
      <c r="E43">
        <f>IF($N43="","",INDEX(Staging!$F$2:$F$3001,$N43))</f>
      </c>
      <c r="F43">
        <f>IF($N43="","",INDEX(Staging!$G$2:$G$3001,$N43))</f>
      </c>
      <c r="G43">
        <f>IF($N43="","",INDEX(Staging!$H$2:$H$3001,$N43))</f>
      </c>
      <c r="H43">
        <f>IF($N43="","",INDEX(Staging!$I$2:$I$3001,$N43))</f>
      </c>
      <c r="I43">
        <f>IF($N43="","",INDEX(Staging!$J$2:$J$3001,$N43))</f>
      </c>
      <c r="J43">
        <f>IF($N43="","",INDEX(Staging!$K$2:$K$3001,$N43))</f>
      </c>
      <c r="K43">
        <f>IF($N43="","",INDEX(Staging!$M$2:$M$3001,$N43))</f>
      </c>
      <c r="L43">
        <f>IF($N43="","",INDEX(Staging!$O$2:$O$3001,$N43))</f>
      </c>
      <c r="M43">
        <f>IF($N43="","",INDEX(Staging!$P$2:$P$3001,$N43))</f>
      </c>
      <c r="N43">
        <f t="array" ref="N43">IFERROR(SMALL(IF(Staging!$E$2:$E$3001="MIPPL",ROW(Staging!$E$2:$E$3001)-ROW(Staging!$E$2)+1),42),"")</f>
      </c>
    </row>
    <row r="44" spans="1:14" x14ac:dyDescent="0.25">
      <c r="A44">
        <f>IF($N44="","",INDEX(Staging!$A$2:$A$3001,$N44))</f>
      </c>
      <c r="B44">
        <f>IF($N44="","",INDEX(Staging!$B$2:$B$3001,$N44))</f>
      </c>
      <c r="C44">
        <f>IF($N44="","",INDEX(Staging!$C$2:$C$3001,$N44))</f>
      </c>
      <c r="D44">
        <f>IF($N44="","",INDEX(Staging!$D$2:$D$3001,$N44))</f>
      </c>
      <c r="E44">
        <f>IF($N44="","",INDEX(Staging!$F$2:$F$3001,$N44))</f>
      </c>
      <c r="F44">
        <f>IF($N44="","",INDEX(Staging!$G$2:$G$3001,$N44))</f>
      </c>
      <c r="G44">
        <f>IF($N44="","",INDEX(Staging!$H$2:$H$3001,$N44))</f>
      </c>
      <c r="H44">
        <f>IF($N44="","",INDEX(Staging!$I$2:$I$3001,$N44))</f>
      </c>
      <c r="I44">
        <f>IF($N44="","",INDEX(Staging!$J$2:$J$3001,$N44))</f>
      </c>
      <c r="J44">
        <f>IF($N44="","",INDEX(Staging!$K$2:$K$3001,$N44))</f>
      </c>
      <c r="K44">
        <f>IF($N44="","",INDEX(Staging!$M$2:$M$3001,$N44))</f>
      </c>
      <c r="L44">
        <f>IF($N44="","",INDEX(Staging!$O$2:$O$3001,$N44))</f>
      </c>
      <c r="M44">
        <f>IF($N44="","",INDEX(Staging!$P$2:$P$3001,$N44))</f>
      </c>
      <c r="N44">
        <f t="array" ref="N44">IFERROR(SMALL(IF(Staging!$E$2:$E$3001="MIPPL",ROW(Staging!$E$2:$E$3001)-ROW(Staging!$E$2)+1),43),"")</f>
      </c>
    </row>
    <row r="45" spans="1:14" x14ac:dyDescent="0.25">
      <c r="A45">
        <f>IF($N45="","",INDEX(Staging!$A$2:$A$3001,$N45))</f>
      </c>
      <c r="B45">
        <f>IF($N45="","",INDEX(Staging!$B$2:$B$3001,$N45))</f>
      </c>
      <c r="C45">
        <f>IF($N45="","",INDEX(Staging!$C$2:$C$3001,$N45))</f>
      </c>
      <c r="D45">
        <f>IF($N45="","",INDEX(Staging!$D$2:$D$3001,$N45))</f>
      </c>
      <c r="E45">
        <f>IF($N45="","",INDEX(Staging!$F$2:$F$3001,$N45))</f>
      </c>
      <c r="F45">
        <f>IF($N45="","",INDEX(Staging!$G$2:$G$3001,$N45))</f>
      </c>
      <c r="G45">
        <f>IF($N45="","",INDEX(Staging!$H$2:$H$3001,$N45))</f>
      </c>
      <c r="H45">
        <f>IF($N45="","",INDEX(Staging!$I$2:$I$3001,$N45))</f>
      </c>
      <c r="I45">
        <f>IF($N45="","",INDEX(Staging!$J$2:$J$3001,$N45))</f>
      </c>
      <c r="J45">
        <f>IF($N45="","",INDEX(Staging!$K$2:$K$3001,$N45))</f>
      </c>
      <c r="K45">
        <f>IF($N45="","",INDEX(Staging!$M$2:$M$3001,$N45))</f>
      </c>
      <c r="L45">
        <f>IF($N45="","",INDEX(Staging!$O$2:$O$3001,$N45))</f>
      </c>
      <c r="M45">
        <f>IF($N45="","",INDEX(Staging!$P$2:$P$3001,$N45))</f>
      </c>
      <c r="N45">
        <f t="array" ref="N45">IFERROR(SMALL(IF(Staging!$E$2:$E$3001="MIPPL",ROW(Staging!$E$2:$E$3001)-ROW(Staging!$E$2)+1),44),"")</f>
      </c>
    </row>
    <row r="46" spans="1:14" x14ac:dyDescent="0.25">
      <c r="A46">
        <f>IF($N46="","",INDEX(Staging!$A$2:$A$3001,$N46))</f>
      </c>
      <c r="B46">
        <f>IF($N46="","",INDEX(Staging!$B$2:$B$3001,$N46))</f>
      </c>
      <c r="C46">
        <f>IF($N46="","",INDEX(Staging!$C$2:$C$3001,$N46))</f>
      </c>
      <c r="D46">
        <f>IF($N46="","",INDEX(Staging!$D$2:$D$3001,$N46))</f>
      </c>
      <c r="E46">
        <f>IF($N46="","",INDEX(Staging!$F$2:$F$3001,$N46))</f>
      </c>
      <c r="F46">
        <f>IF($N46="","",INDEX(Staging!$G$2:$G$3001,$N46))</f>
      </c>
      <c r="G46">
        <f>IF($N46="","",INDEX(Staging!$H$2:$H$3001,$N46))</f>
      </c>
      <c r="H46">
        <f>IF($N46="","",INDEX(Staging!$I$2:$I$3001,$N46))</f>
      </c>
      <c r="I46">
        <f>IF($N46="","",INDEX(Staging!$J$2:$J$3001,$N46))</f>
      </c>
      <c r="J46">
        <f>IF($N46="","",INDEX(Staging!$K$2:$K$3001,$N46))</f>
      </c>
      <c r="K46">
        <f>IF($N46="","",INDEX(Staging!$M$2:$M$3001,$N46))</f>
      </c>
      <c r="L46">
        <f>IF($N46="","",INDEX(Staging!$O$2:$O$3001,$N46))</f>
      </c>
      <c r="M46">
        <f>IF($N46="","",INDEX(Staging!$P$2:$P$3001,$N46))</f>
      </c>
      <c r="N46">
        <f t="array" ref="N46">IFERROR(SMALL(IF(Staging!$E$2:$E$3001="MIPPL",ROW(Staging!$E$2:$E$3001)-ROW(Staging!$E$2)+1),45),"")</f>
      </c>
    </row>
    <row r="47" spans="1:14" x14ac:dyDescent="0.25">
      <c r="A47">
        <f>IF($N47="","",INDEX(Staging!$A$2:$A$3001,$N47))</f>
      </c>
      <c r="B47">
        <f>IF($N47="","",INDEX(Staging!$B$2:$B$3001,$N47))</f>
      </c>
      <c r="C47">
        <f>IF($N47="","",INDEX(Staging!$C$2:$C$3001,$N47))</f>
      </c>
      <c r="D47">
        <f>IF($N47="","",INDEX(Staging!$D$2:$D$3001,$N47))</f>
      </c>
      <c r="E47">
        <f>IF($N47="","",INDEX(Staging!$F$2:$F$3001,$N47))</f>
      </c>
      <c r="F47">
        <f>IF($N47="","",INDEX(Staging!$G$2:$G$3001,$N47))</f>
      </c>
      <c r="G47">
        <f>IF($N47="","",INDEX(Staging!$H$2:$H$3001,$N47))</f>
      </c>
      <c r="H47">
        <f>IF($N47="","",INDEX(Staging!$I$2:$I$3001,$N47))</f>
      </c>
      <c r="I47">
        <f>IF($N47="","",INDEX(Staging!$J$2:$J$3001,$N47))</f>
      </c>
      <c r="J47">
        <f>IF($N47="","",INDEX(Staging!$K$2:$K$3001,$N47))</f>
      </c>
      <c r="K47">
        <f>IF($N47="","",INDEX(Staging!$M$2:$M$3001,$N47))</f>
      </c>
      <c r="L47">
        <f>IF($N47="","",INDEX(Staging!$O$2:$O$3001,$N47))</f>
      </c>
      <c r="M47">
        <f>IF($N47="","",INDEX(Staging!$P$2:$P$3001,$N47))</f>
      </c>
      <c r="N47">
        <f t="array" ref="N47">IFERROR(SMALL(IF(Staging!$E$2:$E$3001="MIPPL",ROW(Staging!$E$2:$E$3001)-ROW(Staging!$E$2)+1),46),"")</f>
      </c>
    </row>
    <row r="48" spans="1:14" x14ac:dyDescent="0.25">
      <c r="A48">
        <f>IF($N48="","",INDEX(Staging!$A$2:$A$3001,$N48))</f>
      </c>
      <c r="B48">
        <f>IF($N48="","",INDEX(Staging!$B$2:$B$3001,$N48))</f>
      </c>
      <c r="C48">
        <f>IF($N48="","",INDEX(Staging!$C$2:$C$3001,$N48))</f>
      </c>
      <c r="D48">
        <f>IF($N48="","",INDEX(Staging!$D$2:$D$3001,$N48))</f>
      </c>
      <c r="E48">
        <f>IF($N48="","",INDEX(Staging!$F$2:$F$3001,$N48))</f>
      </c>
      <c r="F48">
        <f>IF($N48="","",INDEX(Staging!$G$2:$G$3001,$N48))</f>
      </c>
      <c r="G48">
        <f>IF($N48="","",INDEX(Staging!$H$2:$H$3001,$N48))</f>
      </c>
      <c r="H48">
        <f>IF($N48="","",INDEX(Staging!$I$2:$I$3001,$N48))</f>
      </c>
      <c r="I48">
        <f>IF($N48="","",INDEX(Staging!$J$2:$J$3001,$N48))</f>
      </c>
      <c r="J48">
        <f>IF($N48="","",INDEX(Staging!$K$2:$K$3001,$N48))</f>
      </c>
      <c r="K48">
        <f>IF($N48="","",INDEX(Staging!$M$2:$M$3001,$N48))</f>
      </c>
      <c r="L48">
        <f>IF($N48="","",INDEX(Staging!$O$2:$O$3001,$N48))</f>
      </c>
      <c r="M48">
        <f>IF($N48="","",INDEX(Staging!$P$2:$P$3001,$N48))</f>
      </c>
      <c r="N48">
        <f t="array" ref="N48">IFERROR(SMALL(IF(Staging!$E$2:$E$3001="MIPPL",ROW(Staging!$E$2:$E$3001)-ROW(Staging!$E$2)+1),47),"")</f>
      </c>
    </row>
    <row r="49" spans="1:14" x14ac:dyDescent="0.25">
      <c r="A49">
        <f>IF($N49="","",INDEX(Staging!$A$2:$A$3001,$N49))</f>
      </c>
      <c r="B49">
        <f>IF($N49="","",INDEX(Staging!$B$2:$B$3001,$N49))</f>
      </c>
      <c r="C49">
        <f>IF($N49="","",INDEX(Staging!$C$2:$C$3001,$N49))</f>
      </c>
      <c r="D49">
        <f>IF($N49="","",INDEX(Staging!$D$2:$D$3001,$N49))</f>
      </c>
      <c r="E49">
        <f>IF($N49="","",INDEX(Staging!$F$2:$F$3001,$N49))</f>
      </c>
      <c r="F49">
        <f>IF($N49="","",INDEX(Staging!$G$2:$G$3001,$N49))</f>
      </c>
      <c r="G49">
        <f>IF($N49="","",INDEX(Staging!$H$2:$H$3001,$N49))</f>
      </c>
      <c r="H49">
        <f>IF($N49="","",INDEX(Staging!$I$2:$I$3001,$N49))</f>
      </c>
      <c r="I49">
        <f>IF($N49="","",INDEX(Staging!$J$2:$J$3001,$N49))</f>
      </c>
      <c r="J49">
        <f>IF($N49="","",INDEX(Staging!$K$2:$K$3001,$N49))</f>
      </c>
      <c r="K49">
        <f>IF($N49="","",INDEX(Staging!$M$2:$M$3001,$N49))</f>
      </c>
      <c r="L49">
        <f>IF($N49="","",INDEX(Staging!$O$2:$O$3001,$N49))</f>
      </c>
      <c r="M49">
        <f>IF($N49="","",INDEX(Staging!$P$2:$P$3001,$N49))</f>
      </c>
      <c r="N49">
        <f t="array" ref="N49">IFERROR(SMALL(IF(Staging!$E$2:$E$3001="MIPPL",ROW(Staging!$E$2:$E$3001)-ROW(Staging!$E$2)+1),48),"")</f>
      </c>
    </row>
    <row r="50" spans="1:14" x14ac:dyDescent="0.25">
      <c r="A50">
        <f>IF($N50="","",INDEX(Staging!$A$2:$A$3001,$N50))</f>
      </c>
      <c r="B50">
        <f>IF($N50="","",INDEX(Staging!$B$2:$B$3001,$N50))</f>
      </c>
      <c r="C50">
        <f>IF($N50="","",INDEX(Staging!$C$2:$C$3001,$N50))</f>
      </c>
      <c r="D50">
        <f>IF($N50="","",INDEX(Staging!$D$2:$D$3001,$N50))</f>
      </c>
      <c r="E50">
        <f>IF($N50="","",INDEX(Staging!$F$2:$F$3001,$N50))</f>
      </c>
      <c r="F50">
        <f>IF($N50="","",INDEX(Staging!$G$2:$G$3001,$N50))</f>
      </c>
      <c r="G50">
        <f>IF($N50="","",INDEX(Staging!$H$2:$H$3001,$N50))</f>
      </c>
      <c r="H50">
        <f>IF($N50="","",INDEX(Staging!$I$2:$I$3001,$N50))</f>
      </c>
      <c r="I50">
        <f>IF($N50="","",INDEX(Staging!$J$2:$J$3001,$N50))</f>
      </c>
      <c r="J50">
        <f>IF($N50="","",INDEX(Staging!$K$2:$K$3001,$N50))</f>
      </c>
      <c r="K50">
        <f>IF($N50="","",INDEX(Staging!$M$2:$M$3001,$N50))</f>
      </c>
      <c r="L50">
        <f>IF($N50="","",INDEX(Staging!$O$2:$O$3001,$N50))</f>
      </c>
      <c r="M50">
        <f>IF($N50="","",INDEX(Staging!$P$2:$P$3001,$N50))</f>
      </c>
      <c r="N50">
        <f t="array" ref="N50">IFERROR(SMALL(IF(Staging!$E$2:$E$3001="MIPPL",ROW(Staging!$E$2:$E$3001)-ROW(Staging!$E$2)+1),49),"")</f>
      </c>
    </row>
    <row r="51" spans="1:14" x14ac:dyDescent="0.25">
      <c r="A51">
        <f>IF($N51="","",INDEX(Staging!$A$2:$A$3001,$N51))</f>
      </c>
      <c r="B51">
        <f>IF($N51="","",INDEX(Staging!$B$2:$B$3001,$N51))</f>
      </c>
      <c r="C51">
        <f>IF($N51="","",INDEX(Staging!$C$2:$C$3001,$N51))</f>
      </c>
      <c r="D51">
        <f>IF($N51="","",INDEX(Staging!$D$2:$D$3001,$N51))</f>
      </c>
      <c r="E51">
        <f>IF($N51="","",INDEX(Staging!$F$2:$F$3001,$N51))</f>
      </c>
      <c r="F51">
        <f>IF($N51="","",INDEX(Staging!$G$2:$G$3001,$N51))</f>
      </c>
      <c r="G51">
        <f>IF($N51="","",INDEX(Staging!$H$2:$H$3001,$N51))</f>
      </c>
      <c r="H51">
        <f>IF($N51="","",INDEX(Staging!$I$2:$I$3001,$N51))</f>
      </c>
      <c r="I51">
        <f>IF($N51="","",INDEX(Staging!$J$2:$J$3001,$N51))</f>
      </c>
      <c r="J51">
        <f>IF($N51="","",INDEX(Staging!$K$2:$K$3001,$N51))</f>
      </c>
      <c r="K51">
        <f>IF($N51="","",INDEX(Staging!$M$2:$M$3001,$N51))</f>
      </c>
      <c r="L51">
        <f>IF($N51="","",INDEX(Staging!$O$2:$O$3001,$N51))</f>
      </c>
      <c r="M51">
        <f>IF($N51="","",INDEX(Staging!$P$2:$P$3001,$N51))</f>
      </c>
      <c r="N51">
        <f t="array" ref="N51">IFERROR(SMALL(IF(Staging!$E$2:$E$3001="MIPPL",ROW(Staging!$E$2:$E$3001)-ROW(Staging!$E$2)+1),50),"")</f>
      </c>
    </row>
    <row r="52" spans="1:14" x14ac:dyDescent="0.25">
      <c r="A52">
        <f>IF($N52="","",INDEX(Staging!$A$2:$A$3001,$N52))</f>
      </c>
      <c r="B52">
        <f>IF($N52="","",INDEX(Staging!$B$2:$B$3001,$N52))</f>
      </c>
      <c r="C52">
        <f>IF($N52="","",INDEX(Staging!$C$2:$C$3001,$N52))</f>
      </c>
      <c r="D52">
        <f>IF($N52="","",INDEX(Staging!$D$2:$D$3001,$N52))</f>
      </c>
      <c r="E52">
        <f>IF($N52="","",INDEX(Staging!$F$2:$F$3001,$N52))</f>
      </c>
      <c r="F52">
        <f>IF($N52="","",INDEX(Staging!$G$2:$G$3001,$N52))</f>
      </c>
      <c r="G52">
        <f>IF($N52="","",INDEX(Staging!$H$2:$H$3001,$N52))</f>
      </c>
      <c r="H52">
        <f>IF($N52="","",INDEX(Staging!$I$2:$I$3001,$N52))</f>
      </c>
      <c r="I52">
        <f>IF($N52="","",INDEX(Staging!$J$2:$J$3001,$N52))</f>
      </c>
      <c r="J52">
        <f>IF($N52="","",INDEX(Staging!$K$2:$K$3001,$N52))</f>
      </c>
      <c r="K52">
        <f>IF($N52="","",INDEX(Staging!$M$2:$M$3001,$N52))</f>
      </c>
      <c r="L52">
        <f>IF($N52="","",INDEX(Staging!$O$2:$O$3001,$N52))</f>
      </c>
      <c r="M52">
        <f>IF($N52="","",INDEX(Staging!$P$2:$P$3001,$N52))</f>
      </c>
      <c r="N52">
        <f t="array" ref="N52">IFERROR(SMALL(IF(Staging!$E$2:$E$3001="MIPPL",ROW(Staging!$E$2:$E$3001)-ROW(Staging!$E$2)+1),51),"")</f>
      </c>
    </row>
    <row r="53" spans="1:14" x14ac:dyDescent="0.25">
      <c r="A53">
        <f>IF($N53="","",INDEX(Staging!$A$2:$A$3001,$N53))</f>
      </c>
      <c r="B53">
        <f>IF($N53="","",INDEX(Staging!$B$2:$B$3001,$N53))</f>
      </c>
      <c r="C53">
        <f>IF($N53="","",INDEX(Staging!$C$2:$C$3001,$N53))</f>
      </c>
      <c r="D53">
        <f>IF($N53="","",INDEX(Staging!$D$2:$D$3001,$N53))</f>
      </c>
      <c r="E53">
        <f>IF($N53="","",INDEX(Staging!$F$2:$F$3001,$N53))</f>
      </c>
      <c r="F53">
        <f>IF($N53="","",INDEX(Staging!$G$2:$G$3001,$N53))</f>
      </c>
      <c r="G53">
        <f>IF($N53="","",INDEX(Staging!$H$2:$H$3001,$N53))</f>
      </c>
      <c r="H53">
        <f>IF($N53="","",INDEX(Staging!$I$2:$I$3001,$N53))</f>
      </c>
      <c r="I53">
        <f>IF($N53="","",INDEX(Staging!$J$2:$J$3001,$N53))</f>
      </c>
      <c r="J53">
        <f>IF($N53="","",INDEX(Staging!$K$2:$K$3001,$N53))</f>
      </c>
      <c r="K53">
        <f>IF($N53="","",INDEX(Staging!$M$2:$M$3001,$N53))</f>
      </c>
      <c r="L53">
        <f>IF($N53="","",INDEX(Staging!$O$2:$O$3001,$N53))</f>
      </c>
      <c r="M53">
        <f>IF($N53="","",INDEX(Staging!$P$2:$P$3001,$N53))</f>
      </c>
      <c r="N53">
        <f t="array" ref="N53">IFERROR(SMALL(IF(Staging!$E$2:$E$3001="MIPPL",ROW(Staging!$E$2:$E$3001)-ROW(Staging!$E$2)+1),52),"")</f>
      </c>
    </row>
    <row r="54" spans="1:14" x14ac:dyDescent="0.25">
      <c r="A54">
        <f>IF($N54="","",INDEX(Staging!$A$2:$A$3001,$N54))</f>
      </c>
      <c r="B54">
        <f>IF($N54="","",INDEX(Staging!$B$2:$B$3001,$N54))</f>
      </c>
      <c r="C54">
        <f>IF($N54="","",INDEX(Staging!$C$2:$C$3001,$N54))</f>
      </c>
      <c r="D54">
        <f>IF($N54="","",INDEX(Staging!$D$2:$D$3001,$N54))</f>
      </c>
      <c r="E54">
        <f>IF($N54="","",INDEX(Staging!$F$2:$F$3001,$N54))</f>
      </c>
      <c r="F54">
        <f>IF($N54="","",INDEX(Staging!$G$2:$G$3001,$N54))</f>
      </c>
      <c r="G54">
        <f>IF($N54="","",INDEX(Staging!$H$2:$H$3001,$N54))</f>
      </c>
      <c r="H54">
        <f>IF($N54="","",INDEX(Staging!$I$2:$I$3001,$N54))</f>
      </c>
      <c r="I54">
        <f>IF($N54="","",INDEX(Staging!$J$2:$J$3001,$N54))</f>
      </c>
      <c r="J54">
        <f>IF($N54="","",INDEX(Staging!$K$2:$K$3001,$N54))</f>
      </c>
      <c r="K54">
        <f>IF($N54="","",INDEX(Staging!$M$2:$M$3001,$N54))</f>
      </c>
      <c r="L54">
        <f>IF($N54="","",INDEX(Staging!$O$2:$O$3001,$N54))</f>
      </c>
      <c r="M54">
        <f>IF($N54="","",INDEX(Staging!$P$2:$P$3001,$N54))</f>
      </c>
      <c r="N54">
        <f t="array" ref="N54">IFERROR(SMALL(IF(Staging!$E$2:$E$3001="MIPPL",ROW(Staging!$E$2:$E$3001)-ROW(Staging!$E$2)+1),53),"")</f>
      </c>
    </row>
    <row r="55" spans="1:14" x14ac:dyDescent="0.25">
      <c r="A55">
        <f>IF($N55="","",INDEX(Staging!$A$2:$A$3001,$N55))</f>
      </c>
      <c r="B55">
        <f>IF($N55="","",INDEX(Staging!$B$2:$B$3001,$N55))</f>
      </c>
      <c r="C55">
        <f>IF($N55="","",INDEX(Staging!$C$2:$C$3001,$N55))</f>
      </c>
      <c r="D55">
        <f>IF($N55="","",INDEX(Staging!$D$2:$D$3001,$N55))</f>
      </c>
      <c r="E55">
        <f>IF($N55="","",INDEX(Staging!$F$2:$F$3001,$N55))</f>
      </c>
      <c r="F55">
        <f>IF($N55="","",INDEX(Staging!$G$2:$G$3001,$N55))</f>
      </c>
      <c r="G55">
        <f>IF($N55="","",INDEX(Staging!$H$2:$H$3001,$N55))</f>
      </c>
      <c r="H55">
        <f>IF($N55="","",INDEX(Staging!$I$2:$I$3001,$N55))</f>
      </c>
      <c r="I55">
        <f>IF($N55="","",INDEX(Staging!$J$2:$J$3001,$N55))</f>
      </c>
      <c r="J55">
        <f>IF($N55="","",INDEX(Staging!$K$2:$K$3001,$N55))</f>
      </c>
      <c r="K55">
        <f>IF($N55="","",INDEX(Staging!$M$2:$M$3001,$N55))</f>
      </c>
      <c r="L55">
        <f>IF($N55="","",INDEX(Staging!$O$2:$O$3001,$N55))</f>
      </c>
      <c r="M55">
        <f>IF($N55="","",INDEX(Staging!$P$2:$P$3001,$N55))</f>
      </c>
      <c r="N55">
        <f t="array" ref="N55">IFERROR(SMALL(IF(Staging!$E$2:$E$3001="MIPPL",ROW(Staging!$E$2:$E$3001)-ROW(Staging!$E$2)+1),54),"")</f>
      </c>
    </row>
    <row r="56" spans="1:14" x14ac:dyDescent="0.25">
      <c r="A56">
        <f>IF($N56="","",INDEX(Staging!$A$2:$A$3001,$N56))</f>
      </c>
      <c r="B56">
        <f>IF($N56="","",INDEX(Staging!$B$2:$B$3001,$N56))</f>
      </c>
      <c r="C56">
        <f>IF($N56="","",INDEX(Staging!$C$2:$C$3001,$N56))</f>
      </c>
      <c r="D56">
        <f>IF($N56="","",INDEX(Staging!$D$2:$D$3001,$N56))</f>
      </c>
      <c r="E56">
        <f>IF($N56="","",INDEX(Staging!$F$2:$F$3001,$N56))</f>
      </c>
      <c r="F56">
        <f>IF($N56="","",INDEX(Staging!$G$2:$G$3001,$N56))</f>
      </c>
      <c r="G56">
        <f>IF($N56="","",INDEX(Staging!$H$2:$H$3001,$N56))</f>
      </c>
      <c r="H56">
        <f>IF($N56="","",INDEX(Staging!$I$2:$I$3001,$N56))</f>
      </c>
      <c r="I56">
        <f>IF($N56="","",INDEX(Staging!$J$2:$J$3001,$N56))</f>
      </c>
      <c r="J56">
        <f>IF($N56="","",INDEX(Staging!$K$2:$K$3001,$N56))</f>
      </c>
      <c r="K56">
        <f>IF($N56="","",INDEX(Staging!$M$2:$M$3001,$N56))</f>
      </c>
      <c r="L56">
        <f>IF($N56="","",INDEX(Staging!$O$2:$O$3001,$N56))</f>
      </c>
      <c r="M56">
        <f>IF($N56="","",INDEX(Staging!$P$2:$P$3001,$N56))</f>
      </c>
      <c r="N56">
        <f t="array" ref="N56">IFERROR(SMALL(IF(Staging!$E$2:$E$3001="MIPPL",ROW(Staging!$E$2:$E$3001)-ROW(Staging!$E$2)+1),55),"")</f>
      </c>
    </row>
    <row r="57" spans="1:14" x14ac:dyDescent="0.25">
      <c r="A57">
        <f>IF($N57="","",INDEX(Staging!$A$2:$A$3001,$N57))</f>
      </c>
      <c r="B57">
        <f>IF($N57="","",INDEX(Staging!$B$2:$B$3001,$N57))</f>
      </c>
      <c r="C57">
        <f>IF($N57="","",INDEX(Staging!$C$2:$C$3001,$N57))</f>
      </c>
      <c r="D57">
        <f>IF($N57="","",INDEX(Staging!$D$2:$D$3001,$N57))</f>
      </c>
      <c r="E57">
        <f>IF($N57="","",INDEX(Staging!$F$2:$F$3001,$N57))</f>
      </c>
      <c r="F57">
        <f>IF($N57="","",INDEX(Staging!$G$2:$G$3001,$N57))</f>
      </c>
      <c r="G57">
        <f>IF($N57="","",INDEX(Staging!$H$2:$H$3001,$N57))</f>
      </c>
      <c r="H57">
        <f>IF($N57="","",INDEX(Staging!$I$2:$I$3001,$N57))</f>
      </c>
      <c r="I57">
        <f>IF($N57="","",INDEX(Staging!$J$2:$J$3001,$N57))</f>
      </c>
      <c r="J57">
        <f>IF($N57="","",INDEX(Staging!$K$2:$K$3001,$N57))</f>
      </c>
      <c r="K57">
        <f>IF($N57="","",INDEX(Staging!$M$2:$M$3001,$N57))</f>
      </c>
      <c r="L57">
        <f>IF($N57="","",INDEX(Staging!$O$2:$O$3001,$N57))</f>
      </c>
      <c r="M57">
        <f>IF($N57="","",INDEX(Staging!$P$2:$P$3001,$N57))</f>
      </c>
      <c r="N57">
        <f t="array" ref="N57">IFERROR(SMALL(IF(Staging!$E$2:$E$3001="MIPPL",ROW(Staging!$E$2:$E$3001)-ROW(Staging!$E$2)+1),56),"")</f>
      </c>
    </row>
    <row r="58" spans="1:14" x14ac:dyDescent="0.25">
      <c r="A58">
        <f>IF($N58="","",INDEX(Staging!$A$2:$A$3001,$N58))</f>
      </c>
      <c r="B58">
        <f>IF($N58="","",INDEX(Staging!$B$2:$B$3001,$N58))</f>
      </c>
      <c r="C58">
        <f>IF($N58="","",INDEX(Staging!$C$2:$C$3001,$N58))</f>
      </c>
      <c r="D58">
        <f>IF($N58="","",INDEX(Staging!$D$2:$D$3001,$N58))</f>
      </c>
      <c r="E58">
        <f>IF($N58="","",INDEX(Staging!$F$2:$F$3001,$N58))</f>
      </c>
      <c r="F58">
        <f>IF($N58="","",INDEX(Staging!$G$2:$G$3001,$N58))</f>
      </c>
      <c r="G58">
        <f>IF($N58="","",INDEX(Staging!$H$2:$H$3001,$N58))</f>
      </c>
      <c r="H58">
        <f>IF($N58="","",INDEX(Staging!$I$2:$I$3001,$N58))</f>
      </c>
      <c r="I58">
        <f>IF($N58="","",INDEX(Staging!$J$2:$J$3001,$N58))</f>
      </c>
      <c r="J58">
        <f>IF($N58="","",INDEX(Staging!$K$2:$K$3001,$N58))</f>
      </c>
      <c r="K58">
        <f>IF($N58="","",INDEX(Staging!$M$2:$M$3001,$N58))</f>
      </c>
      <c r="L58">
        <f>IF($N58="","",INDEX(Staging!$O$2:$O$3001,$N58))</f>
      </c>
      <c r="M58">
        <f>IF($N58="","",INDEX(Staging!$P$2:$P$3001,$N58))</f>
      </c>
      <c r="N58">
        <f t="array" ref="N58">IFERROR(SMALL(IF(Staging!$E$2:$E$3001="MIPPL",ROW(Staging!$E$2:$E$3001)-ROW(Staging!$E$2)+1),57),"")</f>
      </c>
    </row>
    <row r="59" spans="1:14" x14ac:dyDescent="0.25">
      <c r="A59">
        <f>IF($N59="","",INDEX(Staging!$A$2:$A$3001,$N59))</f>
      </c>
      <c r="B59">
        <f>IF($N59="","",INDEX(Staging!$B$2:$B$3001,$N59))</f>
      </c>
      <c r="C59">
        <f>IF($N59="","",INDEX(Staging!$C$2:$C$3001,$N59))</f>
      </c>
      <c r="D59">
        <f>IF($N59="","",INDEX(Staging!$D$2:$D$3001,$N59))</f>
      </c>
      <c r="E59">
        <f>IF($N59="","",INDEX(Staging!$F$2:$F$3001,$N59))</f>
      </c>
      <c r="F59">
        <f>IF($N59="","",INDEX(Staging!$G$2:$G$3001,$N59))</f>
      </c>
      <c r="G59">
        <f>IF($N59="","",INDEX(Staging!$H$2:$H$3001,$N59))</f>
      </c>
      <c r="H59">
        <f>IF($N59="","",INDEX(Staging!$I$2:$I$3001,$N59))</f>
      </c>
      <c r="I59">
        <f>IF($N59="","",INDEX(Staging!$J$2:$J$3001,$N59))</f>
      </c>
      <c r="J59">
        <f>IF($N59="","",INDEX(Staging!$K$2:$K$3001,$N59))</f>
      </c>
      <c r="K59">
        <f>IF($N59="","",INDEX(Staging!$M$2:$M$3001,$N59))</f>
      </c>
      <c r="L59">
        <f>IF($N59="","",INDEX(Staging!$O$2:$O$3001,$N59))</f>
      </c>
      <c r="M59">
        <f>IF($N59="","",INDEX(Staging!$P$2:$P$3001,$N59))</f>
      </c>
      <c r="N59">
        <f t="array" ref="N59">IFERROR(SMALL(IF(Staging!$E$2:$E$3001="MIPPL",ROW(Staging!$E$2:$E$3001)-ROW(Staging!$E$2)+1),58),"")</f>
      </c>
    </row>
    <row r="60" spans="1:14" x14ac:dyDescent="0.25">
      <c r="A60">
        <f>IF($N60="","",INDEX(Staging!$A$2:$A$3001,$N60))</f>
      </c>
      <c r="B60">
        <f>IF($N60="","",INDEX(Staging!$B$2:$B$3001,$N60))</f>
      </c>
      <c r="C60">
        <f>IF($N60="","",INDEX(Staging!$C$2:$C$3001,$N60))</f>
      </c>
      <c r="D60">
        <f>IF($N60="","",INDEX(Staging!$D$2:$D$3001,$N60))</f>
      </c>
      <c r="E60">
        <f>IF($N60="","",INDEX(Staging!$F$2:$F$3001,$N60))</f>
      </c>
      <c r="F60">
        <f>IF($N60="","",INDEX(Staging!$G$2:$G$3001,$N60))</f>
      </c>
      <c r="G60">
        <f>IF($N60="","",INDEX(Staging!$H$2:$H$3001,$N60))</f>
      </c>
      <c r="H60">
        <f>IF($N60="","",INDEX(Staging!$I$2:$I$3001,$N60))</f>
      </c>
      <c r="I60">
        <f>IF($N60="","",INDEX(Staging!$J$2:$J$3001,$N60))</f>
      </c>
      <c r="J60">
        <f>IF($N60="","",INDEX(Staging!$K$2:$K$3001,$N60))</f>
      </c>
      <c r="K60">
        <f>IF($N60="","",INDEX(Staging!$M$2:$M$3001,$N60))</f>
      </c>
      <c r="L60">
        <f>IF($N60="","",INDEX(Staging!$O$2:$O$3001,$N60))</f>
      </c>
      <c r="M60">
        <f>IF($N60="","",INDEX(Staging!$P$2:$P$3001,$N60))</f>
      </c>
      <c r="N60">
        <f t="array" ref="N60">IFERROR(SMALL(IF(Staging!$E$2:$E$3001="MIPPL",ROW(Staging!$E$2:$E$3001)-ROW(Staging!$E$2)+1),59),"")</f>
      </c>
    </row>
    <row r="61" spans="1:14" x14ac:dyDescent="0.25">
      <c r="A61">
        <f>IF($N61="","",INDEX(Staging!$A$2:$A$3001,$N61))</f>
      </c>
      <c r="B61">
        <f>IF($N61="","",INDEX(Staging!$B$2:$B$3001,$N61))</f>
      </c>
      <c r="C61">
        <f>IF($N61="","",INDEX(Staging!$C$2:$C$3001,$N61))</f>
      </c>
      <c r="D61">
        <f>IF($N61="","",INDEX(Staging!$D$2:$D$3001,$N61))</f>
      </c>
      <c r="E61">
        <f>IF($N61="","",INDEX(Staging!$F$2:$F$3001,$N61))</f>
      </c>
      <c r="F61">
        <f>IF($N61="","",INDEX(Staging!$G$2:$G$3001,$N61))</f>
      </c>
      <c r="G61">
        <f>IF($N61="","",INDEX(Staging!$H$2:$H$3001,$N61))</f>
      </c>
      <c r="H61">
        <f>IF($N61="","",INDEX(Staging!$I$2:$I$3001,$N61))</f>
      </c>
      <c r="I61">
        <f>IF($N61="","",INDEX(Staging!$J$2:$J$3001,$N61))</f>
      </c>
      <c r="J61">
        <f>IF($N61="","",INDEX(Staging!$K$2:$K$3001,$N61))</f>
      </c>
      <c r="K61">
        <f>IF($N61="","",INDEX(Staging!$M$2:$M$3001,$N61))</f>
      </c>
      <c r="L61">
        <f>IF($N61="","",INDEX(Staging!$O$2:$O$3001,$N61))</f>
      </c>
      <c r="M61">
        <f>IF($N61="","",INDEX(Staging!$P$2:$P$3001,$N61))</f>
      </c>
      <c r="N61">
        <f t="array" ref="N61">IFERROR(SMALL(IF(Staging!$E$2:$E$3001="MIPPL",ROW(Staging!$E$2:$E$3001)-ROW(Staging!$E$2)+1),60),"")</f>
      </c>
    </row>
    <row r="62" spans="1:14" x14ac:dyDescent="0.25">
      <c r="A62">
        <f>IF($N62="","",INDEX(Staging!$A$2:$A$3001,$N62))</f>
      </c>
      <c r="B62">
        <f>IF($N62="","",INDEX(Staging!$B$2:$B$3001,$N62))</f>
      </c>
      <c r="C62">
        <f>IF($N62="","",INDEX(Staging!$C$2:$C$3001,$N62))</f>
      </c>
      <c r="D62">
        <f>IF($N62="","",INDEX(Staging!$D$2:$D$3001,$N62))</f>
      </c>
      <c r="E62">
        <f>IF($N62="","",INDEX(Staging!$F$2:$F$3001,$N62))</f>
      </c>
      <c r="F62">
        <f>IF($N62="","",INDEX(Staging!$G$2:$G$3001,$N62))</f>
      </c>
      <c r="G62">
        <f>IF($N62="","",INDEX(Staging!$H$2:$H$3001,$N62))</f>
      </c>
      <c r="H62">
        <f>IF($N62="","",INDEX(Staging!$I$2:$I$3001,$N62))</f>
      </c>
      <c r="I62">
        <f>IF($N62="","",INDEX(Staging!$J$2:$J$3001,$N62))</f>
      </c>
      <c r="J62">
        <f>IF($N62="","",INDEX(Staging!$K$2:$K$3001,$N62))</f>
      </c>
      <c r="K62">
        <f>IF($N62="","",INDEX(Staging!$M$2:$M$3001,$N62))</f>
      </c>
      <c r="L62">
        <f>IF($N62="","",INDEX(Staging!$O$2:$O$3001,$N62))</f>
      </c>
      <c r="M62">
        <f>IF($N62="","",INDEX(Staging!$P$2:$P$3001,$N62))</f>
      </c>
      <c r="N62">
        <f t="array" ref="N62">IFERROR(SMALL(IF(Staging!$E$2:$E$3001="MIPPL",ROW(Staging!$E$2:$E$3001)-ROW(Staging!$E$2)+1),61),"")</f>
      </c>
    </row>
    <row r="63" spans="1:14" x14ac:dyDescent="0.25">
      <c r="A63">
        <f>IF($N63="","",INDEX(Staging!$A$2:$A$3001,$N63))</f>
      </c>
      <c r="B63">
        <f>IF($N63="","",INDEX(Staging!$B$2:$B$3001,$N63))</f>
      </c>
      <c r="C63">
        <f>IF($N63="","",INDEX(Staging!$C$2:$C$3001,$N63))</f>
      </c>
      <c r="D63">
        <f>IF($N63="","",INDEX(Staging!$D$2:$D$3001,$N63))</f>
      </c>
      <c r="E63">
        <f>IF($N63="","",INDEX(Staging!$F$2:$F$3001,$N63))</f>
      </c>
      <c r="F63">
        <f>IF($N63="","",INDEX(Staging!$G$2:$G$3001,$N63))</f>
      </c>
      <c r="G63">
        <f>IF($N63="","",INDEX(Staging!$H$2:$H$3001,$N63))</f>
      </c>
      <c r="H63">
        <f>IF($N63="","",INDEX(Staging!$I$2:$I$3001,$N63))</f>
      </c>
      <c r="I63">
        <f>IF($N63="","",INDEX(Staging!$J$2:$J$3001,$N63))</f>
      </c>
      <c r="J63">
        <f>IF($N63="","",INDEX(Staging!$K$2:$K$3001,$N63))</f>
      </c>
      <c r="K63">
        <f>IF($N63="","",INDEX(Staging!$M$2:$M$3001,$N63))</f>
      </c>
      <c r="L63">
        <f>IF($N63="","",INDEX(Staging!$O$2:$O$3001,$N63))</f>
      </c>
      <c r="M63">
        <f>IF($N63="","",INDEX(Staging!$P$2:$P$3001,$N63))</f>
      </c>
      <c r="N63">
        <f t="array" ref="N63">IFERROR(SMALL(IF(Staging!$E$2:$E$3001="MIPPL",ROW(Staging!$E$2:$E$3001)-ROW(Staging!$E$2)+1),62),"")</f>
      </c>
    </row>
    <row r="64" spans="1:14" x14ac:dyDescent="0.25">
      <c r="A64">
        <f>IF($N64="","",INDEX(Staging!$A$2:$A$3001,$N64))</f>
      </c>
      <c r="B64">
        <f>IF($N64="","",INDEX(Staging!$B$2:$B$3001,$N64))</f>
      </c>
      <c r="C64">
        <f>IF($N64="","",INDEX(Staging!$C$2:$C$3001,$N64))</f>
      </c>
      <c r="D64">
        <f>IF($N64="","",INDEX(Staging!$D$2:$D$3001,$N64))</f>
      </c>
      <c r="E64">
        <f>IF($N64="","",INDEX(Staging!$F$2:$F$3001,$N64))</f>
      </c>
      <c r="F64">
        <f>IF($N64="","",INDEX(Staging!$G$2:$G$3001,$N64))</f>
      </c>
      <c r="G64">
        <f>IF($N64="","",INDEX(Staging!$H$2:$H$3001,$N64))</f>
      </c>
      <c r="H64">
        <f>IF($N64="","",INDEX(Staging!$I$2:$I$3001,$N64))</f>
      </c>
      <c r="I64">
        <f>IF($N64="","",INDEX(Staging!$J$2:$J$3001,$N64))</f>
      </c>
      <c r="J64">
        <f>IF($N64="","",INDEX(Staging!$K$2:$K$3001,$N64))</f>
      </c>
      <c r="K64">
        <f>IF($N64="","",INDEX(Staging!$M$2:$M$3001,$N64))</f>
      </c>
      <c r="L64">
        <f>IF($N64="","",INDEX(Staging!$O$2:$O$3001,$N64))</f>
      </c>
      <c r="M64">
        <f>IF($N64="","",INDEX(Staging!$P$2:$P$3001,$N64))</f>
      </c>
      <c r="N64">
        <f t="array" ref="N64">IFERROR(SMALL(IF(Staging!$E$2:$E$3001="MIPPL",ROW(Staging!$E$2:$E$3001)-ROW(Staging!$E$2)+1),63),"")</f>
      </c>
    </row>
    <row r="65" spans="1:14" x14ac:dyDescent="0.25">
      <c r="A65">
        <f>IF($N65="","",INDEX(Staging!$A$2:$A$3001,$N65))</f>
      </c>
      <c r="B65">
        <f>IF($N65="","",INDEX(Staging!$B$2:$B$3001,$N65))</f>
      </c>
      <c r="C65">
        <f>IF($N65="","",INDEX(Staging!$C$2:$C$3001,$N65))</f>
      </c>
      <c r="D65">
        <f>IF($N65="","",INDEX(Staging!$D$2:$D$3001,$N65))</f>
      </c>
      <c r="E65">
        <f>IF($N65="","",INDEX(Staging!$F$2:$F$3001,$N65))</f>
      </c>
      <c r="F65">
        <f>IF($N65="","",INDEX(Staging!$G$2:$G$3001,$N65))</f>
      </c>
      <c r="G65">
        <f>IF($N65="","",INDEX(Staging!$H$2:$H$3001,$N65))</f>
      </c>
      <c r="H65">
        <f>IF($N65="","",INDEX(Staging!$I$2:$I$3001,$N65))</f>
      </c>
      <c r="I65">
        <f>IF($N65="","",INDEX(Staging!$J$2:$J$3001,$N65))</f>
      </c>
      <c r="J65">
        <f>IF($N65="","",INDEX(Staging!$K$2:$K$3001,$N65))</f>
      </c>
      <c r="K65">
        <f>IF($N65="","",INDEX(Staging!$M$2:$M$3001,$N65))</f>
      </c>
      <c r="L65">
        <f>IF($N65="","",INDEX(Staging!$O$2:$O$3001,$N65))</f>
      </c>
      <c r="M65">
        <f>IF($N65="","",INDEX(Staging!$P$2:$P$3001,$N65))</f>
      </c>
      <c r="N65">
        <f t="array" ref="N65">IFERROR(SMALL(IF(Staging!$E$2:$E$3001="MIPPL",ROW(Staging!$E$2:$E$3001)-ROW(Staging!$E$2)+1),64),"")</f>
      </c>
    </row>
    <row r="66" spans="1:14" x14ac:dyDescent="0.25">
      <c r="A66">
        <f>IF($N66="","",INDEX(Staging!$A$2:$A$3001,$N66))</f>
      </c>
      <c r="B66">
        <f>IF($N66="","",INDEX(Staging!$B$2:$B$3001,$N66))</f>
      </c>
      <c r="C66">
        <f>IF($N66="","",INDEX(Staging!$C$2:$C$3001,$N66))</f>
      </c>
      <c r="D66">
        <f>IF($N66="","",INDEX(Staging!$D$2:$D$3001,$N66))</f>
      </c>
      <c r="E66">
        <f>IF($N66="","",INDEX(Staging!$F$2:$F$3001,$N66))</f>
      </c>
      <c r="F66">
        <f>IF($N66="","",INDEX(Staging!$G$2:$G$3001,$N66))</f>
      </c>
      <c r="G66">
        <f>IF($N66="","",INDEX(Staging!$H$2:$H$3001,$N66))</f>
      </c>
      <c r="H66">
        <f>IF($N66="","",INDEX(Staging!$I$2:$I$3001,$N66))</f>
      </c>
      <c r="I66">
        <f>IF($N66="","",INDEX(Staging!$J$2:$J$3001,$N66))</f>
      </c>
      <c r="J66">
        <f>IF($N66="","",INDEX(Staging!$K$2:$K$3001,$N66))</f>
      </c>
      <c r="K66">
        <f>IF($N66="","",INDEX(Staging!$M$2:$M$3001,$N66))</f>
      </c>
      <c r="L66">
        <f>IF($N66="","",INDEX(Staging!$O$2:$O$3001,$N66))</f>
      </c>
      <c r="M66">
        <f>IF($N66="","",INDEX(Staging!$P$2:$P$3001,$N66))</f>
      </c>
      <c r="N66">
        <f t="array" ref="N66">IFERROR(SMALL(IF(Staging!$E$2:$E$3001="MIPPL",ROW(Staging!$E$2:$E$3001)-ROW(Staging!$E$2)+1),65),"")</f>
      </c>
    </row>
    <row r="67" spans="1:14" x14ac:dyDescent="0.25">
      <c r="A67">
        <f>IF($N67="","",INDEX(Staging!$A$2:$A$3001,$N67))</f>
      </c>
      <c r="B67">
        <f>IF($N67="","",INDEX(Staging!$B$2:$B$3001,$N67))</f>
      </c>
      <c r="C67">
        <f>IF($N67="","",INDEX(Staging!$C$2:$C$3001,$N67))</f>
      </c>
      <c r="D67">
        <f>IF($N67="","",INDEX(Staging!$D$2:$D$3001,$N67))</f>
      </c>
      <c r="E67">
        <f>IF($N67="","",INDEX(Staging!$F$2:$F$3001,$N67))</f>
      </c>
      <c r="F67">
        <f>IF($N67="","",INDEX(Staging!$G$2:$G$3001,$N67))</f>
      </c>
      <c r="G67">
        <f>IF($N67="","",INDEX(Staging!$H$2:$H$3001,$N67))</f>
      </c>
      <c r="H67">
        <f>IF($N67="","",INDEX(Staging!$I$2:$I$3001,$N67))</f>
      </c>
      <c r="I67">
        <f>IF($N67="","",INDEX(Staging!$J$2:$J$3001,$N67))</f>
      </c>
      <c r="J67">
        <f>IF($N67="","",INDEX(Staging!$K$2:$K$3001,$N67))</f>
      </c>
      <c r="K67">
        <f>IF($N67="","",INDEX(Staging!$M$2:$M$3001,$N67))</f>
      </c>
      <c r="L67">
        <f>IF($N67="","",INDEX(Staging!$O$2:$O$3001,$N67))</f>
      </c>
      <c r="M67">
        <f>IF($N67="","",INDEX(Staging!$P$2:$P$3001,$N67))</f>
      </c>
      <c r="N67">
        <f t="array" ref="N67">IFERROR(SMALL(IF(Staging!$E$2:$E$3001="MIPPL",ROW(Staging!$E$2:$E$3001)-ROW(Staging!$E$2)+1),66),"")</f>
      </c>
    </row>
    <row r="68" spans="1:14" x14ac:dyDescent="0.25">
      <c r="A68">
        <f>IF($N68="","",INDEX(Staging!$A$2:$A$3001,$N68))</f>
      </c>
      <c r="B68">
        <f>IF($N68="","",INDEX(Staging!$B$2:$B$3001,$N68))</f>
      </c>
      <c r="C68">
        <f>IF($N68="","",INDEX(Staging!$C$2:$C$3001,$N68))</f>
      </c>
      <c r="D68">
        <f>IF($N68="","",INDEX(Staging!$D$2:$D$3001,$N68))</f>
      </c>
      <c r="E68">
        <f>IF($N68="","",INDEX(Staging!$F$2:$F$3001,$N68))</f>
      </c>
      <c r="F68">
        <f>IF($N68="","",INDEX(Staging!$G$2:$G$3001,$N68))</f>
      </c>
      <c r="G68">
        <f>IF($N68="","",INDEX(Staging!$H$2:$H$3001,$N68))</f>
      </c>
      <c r="H68">
        <f>IF($N68="","",INDEX(Staging!$I$2:$I$3001,$N68))</f>
      </c>
      <c r="I68">
        <f>IF($N68="","",INDEX(Staging!$J$2:$J$3001,$N68))</f>
      </c>
      <c r="J68">
        <f>IF($N68="","",INDEX(Staging!$K$2:$K$3001,$N68))</f>
      </c>
      <c r="K68">
        <f>IF($N68="","",INDEX(Staging!$M$2:$M$3001,$N68))</f>
      </c>
      <c r="L68">
        <f>IF($N68="","",INDEX(Staging!$O$2:$O$3001,$N68))</f>
      </c>
      <c r="M68">
        <f>IF($N68="","",INDEX(Staging!$P$2:$P$3001,$N68))</f>
      </c>
      <c r="N68">
        <f t="array" ref="N68">IFERROR(SMALL(IF(Staging!$E$2:$E$3001="MIPPL",ROW(Staging!$E$2:$E$3001)-ROW(Staging!$E$2)+1),67),"")</f>
      </c>
    </row>
    <row r="69" spans="1:14" x14ac:dyDescent="0.25">
      <c r="A69">
        <f>IF($N69="","",INDEX(Staging!$A$2:$A$3001,$N69))</f>
      </c>
      <c r="B69">
        <f>IF($N69="","",INDEX(Staging!$B$2:$B$3001,$N69))</f>
      </c>
      <c r="C69">
        <f>IF($N69="","",INDEX(Staging!$C$2:$C$3001,$N69))</f>
      </c>
      <c r="D69">
        <f>IF($N69="","",INDEX(Staging!$D$2:$D$3001,$N69))</f>
      </c>
      <c r="E69">
        <f>IF($N69="","",INDEX(Staging!$F$2:$F$3001,$N69))</f>
      </c>
      <c r="F69">
        <f>IF($N69="","",INDEX(Staging!$G$2:$G$3001,$N69))</f>
      </c>
      <c r="G69">
        <f>IF($N69="","",INDEX(Staging!$H$2:$H$3001,$N69))</f>
      </c>
      <c r="H69">
        <f>IF($N69="","",INDEX(Staging!$I$2:$I$3001,$N69))</f>
      </c>
      <c r="I69">
        <f>IF($N69="","",INDEX(Staging!$J$2:$J$3001,$N69))</f>
      </c>
      <c r="J69">
        <f>IF($N69="","",INDEX(Staging!$K$2:$K$3001,$N69))</f>
      </c>
      <c r="K69">
        <f>IF($N69="","",INDEX(Staging!$M$2:$M$3001,$N69))</f>
      </c>
      <c r="L69">
        <f>IF($N69="","",INDEX(Staging!$O$2:$O$3001,$N69))</f>
      </c>
      <c r="M69">
        <f>IF($N69="","",INDEX(Staging!$P$2:$P$3001,$N69))</f>
      </c>
      <c r="N69">
        <f t="array" ref="N69">IFERROR(SMALL(IF(Staging!$E$2:$E$3001="MIPPL",ROW(Staging!$E$2:$E$3001)-ROW(Staging!$E$2)+1),68),"")</f>
      </c>
    </row>
    <row r="70" spans="1:14" x14ac:dyDescent="0.25">
      <c r="A70">
        <f>IF($N70="","",INDEX(Staging!$A$2:$A$3001,$N70))</f>
      </c>
      <c r="B70">
        <f>IF($N70="","",INDEX(Staging!$B$2:$B$3001,$N70))</f>
      </c>
      <c r="C70">
        <f>IF($N70="","",INDEX(Staging!$C$2:$C$3001,$N70))</f>
      </c>
      <c r="D70">
        <f>IF($N70="","",INDEX(Staging!$D$2:$D$3001,$N70))</f>
      </c>
      <c r="E70">
        <f>IF($N70="","",INDEX(Staging!$F$2:$F$3001,$N70))</f>
      </c>
      <c r="F70">
        <f>IF($N70="","",INDEX(Staging!$G$2:$G$3001,$N70))</f>
      </c>
      <c r="G70">
        <f>IF($N70="","",INDEX(Staging!$H$2:$H$3001,$N70))</f>
      </c>
      <c r="H70">
        <f>IF($N70="","",INDEX(Staging!$I$2:$I$3001,$N70))</f>
      </c>
      <c r="I70">
        <f>IF($N70="","",INDEX(Staging!$J$2:$J$3001,$N70))</f>
      </c>
      <c r="J70">
        <f>IF($N70="","",INDEX(Staging!$K$2:$K$3001,$N70))</f>
      </c>
      <c r="K70">
        <f>IF($N70="","",INDEX(Staging!$M$2:$M$3001,$N70))</f>
      </c>
      <c r="L70">
        <f>IF($N70="","",INDEX(Staging!$O$2:$O$3001,$N70))</f>
      </c>
      <c r="M70">
        <f>IF($N70="","",INDEX(Staging!$P$2:$P$3001,$N70))</f>
      </c>
      <c r="N70">
        <f t="array" ref="N70">IFERROR(SMALL(IF(Staging!$E$2:$E$3001="MIPPL",ROW(Staging!$E$2:$E$3001)-ROW(Staging!$E$2)+1),69),"")</f>
      </c>
    </row>
    <row r="71" spans="1:14" x14ac:dyDescent="0.25">
      <c r="A71">
        <f>IF($N71="","",INDEX(Staging!$A$2:$A$3001,$N71))</f>
      </c>
      <c r="B71">
        <f>IF($N71="","",INDEX(Staging!$B$2:$B$3001,$N71))</f>
      </c>
      <c r="C71">
        <f>IF($N71="","",INDEX(Staging!$C$2:$C$3001,$N71))</f>
      </c>
      <c r="D71">
        <f>IF($N71="","",INDEX(Staging!$D$2:$D$3001,$N71))</f>
      </c>
      <c r="E71">
        <f>IF($N71="","",INDEX(Staging!$F$2:$F$3001,$N71))</f>
      </c>
      <c r="F71">
        <f>IF($N71="","",INDEX(Staging!$G$2:$G$3001,$N71))</f>
      </c>
      <c r="G71">
        <f>IF($N71="","",INDEX(Staging!$H$2:$H$3001,$N71))</f>
      </c>
      <c r="H71">
        <f>IF($N71="","",INDEX(Staging!$I$2:$I$3001,$N71))</f>
      </c>
      <c r="I71">
        <f>IF($N71="","",INDEX(Staging!$J$2:$J$3001,$N71))</f>
      </c>
      <c r="J71">
        <f>IF($N71="","",INDEX(Staging!$K$2:$K$3001,$N71))</f>
      </c>
      <c r="K71">
        <f>IF($N71="","",INDEX(Staging!$M$2:$M$3001,$N71))</f>
      </c>
      <c r="L71">
        <f>IF($N71="","",INDEX(Staging!$O$2:$O$3001,$N71))</f>
      </c>
      <c r="M71">
        <f>IF($N71="","",INDEX(Staging!$P$2:$P$3001,$N71))</f>
      </c>
      <c r="N71">
        <f t="array" ref="N71">IFERROR(SMALL(IF(Staging!$E$2:$E$3001="MIPPL",ROW(Staging!$E$2:$E$3001)-ROW(Staging!$E$2)+1),70),"")</f>
      </c>
    </row>
    <row r="72" spans="1:14" x14ac:dyDescent="0.25">
      <c r="A72">
        <f>IF($N72="","",INDEX(Staging!$A$2:$A$3001,$N72))</f>
      </c>
      <c r="B72">
        <f>IF($N72="","",INDEX(Staging!$B$2:$B$3001,$N72))</f>
      </c>
      <c r="C72">
        <f>IF($N72="","",INDEX(Staging!$C$2:$C$3001,$N72))</f>
      </c>
      <c r="D72">
        <f>IF($N72="","",INDEX(Staging!$D$2:$D$3001,$N72))</f>
      </c>
      <c r="E72">
        <f>IF($N72="","",INDEX(Staging!$F$2:$F$3001,$N72))</f>
      </c>
      <c r="F72">
        <f>IF($N72="","",INDEX(Staging!$G$2:$G$3001,$N72))</f>
      </c>
      <c r="G72">
        <f>IF($N72="","",INDEX(Staging!$H$2:$H$3001,$N72))</f>
      </c>
      <c r="H72">
        <f>IF($N72="","",INDEX(Staging!$I$2:$I$3001,$N72))</f>
      </c>
      <c r="I72">
        <f>IF($N72="","",INDEX(Staging!$J$2:$J$3001,$N72))</f>
      </c>
      <c r="J72">
        <f>IF($N72="","",INDEX(Staging!$K$2:$K$3001,$N72))</f>
      </c>
      <c r="K72">
        <f>IF($N72="","",INDEX(Staging!$M$2:$M$3001,$N72))</f>
      </c>
      <c r="L72">
        <f>IF($N72="","",INDEX(Staging!$O$2:$O$3001,$N72))</f>
      </c>
      <c r="M72">
        <f>IF($N72="","",INDEX(Staging!$P$2:$P$3001,$N72))</f>
      </c>
      <c r="N72">
        <f t="array" ref="N72">IFERROR(SMALL(IF(Staging!$E$2:$E$3001="MIPPL",ROW(Staging!$E$2:$E$3001)-ROW(Staging!$E$2)+1),71),"")</f>
      </c>
    </row>
    <row r="73" spans="1:14" x14ac:dyDescent="0.25">
      <c r="A73">
        <f>IF($N73="","",INDEX(Staging!$A$2:$A$3001,$N73))</f>
      </c>
      <c r="B73">
        <f>IF($N73="","",INDEX(Staging!$B$2:$B$3001,$N73))</f>
      </c>
      <c r="C73">
        <f>IF($N73="","",INDEX(Staging!$C$2:$C$3001,$N73))</f>
      </c>
      <c r="D73">
        <f>IF($N73="","",INDEX(Staging!$D$2:$D$3001,$N73))</f>
      </c>
      <c r="E73">
        <f>IF($N73="","",INDEX(Staging!$F$2:$F$3001,$N73))</f>
      </c>
      <c r="F73">
        <f>IF($N73="","",INDEX(Staging!$G$2:$G$3001,$N73))</f>
      </c>
      <c r="G73">
        <f>IF($N73="","",INDEX(Staging!$H$2:$H$3001,$N73))</f>
      </c>
      <c r="H73">
        <f>IF($N73="","",INDEX(Staging!$I$2:$I$3001,$N73))</f>
      </c>
      <c r="I73">
        <f>IF($N73="","",INDEX(Staging!$J$2:$J$3001,$N73))</f>
      </c>
      <c r="J73">
        <f>IF($N73="","",INDEX(Staging!$K$2:$K$3001,$N73))</f>
      </c>
      <c r="K73">
        <f>IF($N73="","",INDEX(Staging!$M$2:$M$3001,$N73))</f>
      </c>
      <c r="L73">
        <f>IF($N73="","",INDEX(Staging!$O$2:$O$3001,$N73))</f>
      </c>
      <c r="M73">
        <f>IF($N73="","",INDEX(Staging!$P$2:$P$3001,$N73))</f>
      </c>
      <c r="N73">
        <f t="array" ref="N73">IFERROR(SMALL(IF(Staging!$E$2:$E$3001="MIPPL",ROW(Staging!$E$2:$E$3001)-ROW(Staging!$E$2)+1),72),"")</f>
      </c>
    </row>
    <row r="74" spans="1:14" x14ac:dyDescent="0.25">
      <c r="A74">
        <f>IF($N74="","",INDEX(Staging!$A$2:$A$3001,$N74))</f>
      </c>
      <c r="B74">
        <f>IF($N74="","",INDEX(Staging!$B$2:$B$3001,$N74))</f>
      </c>
      <c r="C74">
        <f>IF($N74="","",INDEX(Staging!$C$2:$C$3001,$N74))</f>
      </c>
      <c r="D74">
        <f>IF($N74="","",INDEX(Staging!$D$2:$D$3001,$N74))</f>
      </c>
      <c r="E74">
        <f>IF($N74="","",INDEX(Staging!$F$2:$F$3001,$N74))</f>
      </c>
      <c r="F74">
        <f>IF($N74="","",INDEX(Staging!$G$2:$G$3001,$N74))</f>
      </c>
      <c r="G74">
        <f>IF($N74="","",INDEX(Staging!$H$2:$H$3001,$N74))</f>
      </c>
      <c r="H74">
        <f>IF($N74="","",INDEX(Staging!$I$2:$I$3001,$N74))</f>
      </c>
      <c r="I74">
        <f>IF($N74="","",INDEX(Staging!$J$2:$J$3001,$N74))</f>
      </c>
      <c r="J74">
        <f>IF($N74="","",INDEX(Staging!$K$2:$K$3001,$N74))</f>
      </c>
      <c r="K74">
        <f>IF($N74="","",INDEX(Staging!$M$2:$M$3001,$N74))</f>
      </c>
      <c r="L74">
        <f>IF($N74="","",INDEX(Staging!$O$2:$O$3001,$N74))</f>
      </c>
      <c r="M74">
        <f>IF($N74="","",INDEX(Staging!$P$2:$P$3001,$N74))</f>
      </c>
      <c r="N74">
        <f t="array" ref="N74">IFERROR(SMALL(IF(Staging!$E$2:$E$3001="MIPPL",ROW(Staging!$E$2:$E$3001)-ROW(Staging!$E$2)+1),73),"")</f>
      </c>
    </row>
    <row r="75" spans="1:14" x14ac:dyDescent="0.25">
      <c r="A75">
        <f>IF($N75="","",INDEX(Staging!$A$2:$A$3001,$N75))</f>
      </c>
      <c r="B75">
        <f>IF($N75="","",INDEX(Staging!$B$2:$B$3001,$N75))</f>
      </c>
      <c r="C75">
        <f>IF($N75="","",INDEX(Staging!$C$2:$C$3001,$N75))</f>
      </c>
      <c r="D75">
        <f>IF($N75="","",INDEX(Staging!$D$2:$D$3001,$N75))</f>
      </c>
      <c r="E75">
        <f>IF($N75="","",INDEX(Staging!$F$2:$F$3001,$N75))</f>
      </c>
      <c r="F75">
        <f>IF($N75="","",INDEX(Staging!$G$2:$G$3001,$N75))</f>
      </c>
      <c r="G75">
        <f>IF($N75="","",INDEX(Staging!$H$2:$H$3001,$N75))</f>
      </c>
      <c r="H75">
        <f>IF($N75="","",INDEX(Staging!$I$2:$I$3001,$N75))</f>
      </c>
      <c r="I75">
        <f>IF($N75="","",INDEX(Staging!$J$2:$J$3001,$N75))</f>
      </c>
      <c r="J75">
        <f>IF($N75="","",INDEX(Staging!$K$2:$K$3001,$N75))</f>
      </c>
      <c r="K75">
        <f>IF($N75="","",INDEX(Staging!$M$2:$M$3001,$N75))</f>
      </c>
      <c r="L75">
        <f>IF($N75="","",INDEX(Staging!$O$2:$O$3001,$N75))</f>
      </c>
      <c r="M75">
        <f>IF($N75="","",INDEX(Staging!$P$2:$P$3001,$N75))</f>
      </c>
      <c r="N75">
        <f t="array" ref="N75">IFERROR(SMALL(IF(Staging!$E$2:$E$3001="MIPPL",ROW(Staging!$E$2:$E$3001)-ROW(Staging!$E$2)+1),74),"")</f>
      </c>
    </row>
    <row r="76" spans="1:14" x14ac:dyDescent="0.25">
      <c r="A76">
        <f>IF($N76="","",INDEX(Staging!$A$2:$A$3001,$N76))</f>
      </c>
      <c r="B76">
        <f>IF($N76="","",INDEX(Staging!$B$2:$B$3001,$N76))</f>
      </c>
      <c r="C76">
        <f>IF($N76="","",INDEX(Staging!$C$2:$C$3001,$N76))</f>
      </c>
      <c r="D76">
        <f>IF($N76="","",INDEX(Staging!$D$2:$D$3001,$N76))</f>
      </c>
      <c r="E76">
        <f>IF($N76="","",INDEX(Staging!$F$2:$F$3001,$N76))</f>
      </c>
      <c r="F76">
        <f>IF($N76="","",INDEX(Staging!$G$2:$G$3001,$N76))</f>
      </c>
      <c r="G76">
        <f>IF($N76="","",INDEX(Staging!$H$2:$H$3001,$N76))</f>
      </c>
      <c r="H76">
        <f>IF($N76="","",INDEX(Staging!$I$2:$I$3001,$N76))</f>
      </c>
      <c r="I76">
        <f>IF($N76="","",INDEX(Staging!$J$2:$J$3001,$N76))</f>
      </c>
      <c r="J76">
        <f>IF($N76="","",INDEX(Staging!$K$2:$K$3001,$N76))</f>
      </c>
      <c r="K76">
        <f>IF($N76="","",INDEX(Staging!$M$2:$M$3001,$N76))</f>
      </c>
      <c r="L76">
        <f>IF($N76="","",INDEX(Staging!$O$2:$O$3001,$N76))</f>
      </c>
      <c r="M76">
        <f>IF($N76="","",INDEX(Staging!$P$2:$P$3001,$N76))</f>
      </c>
      <c r="N76">
        <f t="array" ref="N76">IFERROR(SMALL(IF(Staging!$E$2:$E$3001="MIPPL",ROW(Staging!$E$2:$E$3001)-ROW(Staging!$E$2)+1),75),"")</f>
      </c>
    </row>
    <row r="77" spans="1:14" x14ac:dyDescent="0.25">
      <c r="A77">
        <f>IF($N77="","",INDEX(Staging!$A$2:$A$3001,$N77))</f>
      </c>
      <c r="B77">
        <f>IF($N77="","",INDEX(Staging!$B$2:$B$3001,$N77))</f>
      </c>
      <c r="C77">
        <f>IF($N77="","",INDEX(Staging!$C$2:$C$3001,$N77))</f>
      </c>
      <c r="D77">
        <f>IF($N77="","",INDEX(Staging!$D$2:$D$3001,$N77))</f>
      </c>
      <c r="E77">
        <f>IF($N77="","",INDEX(Staging!$F$2:$F$3001,$N77))</f>
      </c>
      <c r="F77">
        <f>IF($N77="","",INDEX(Staging!$G$2:$G$3001,$N77))</f>
      </c>
      <c r="G77">
        <f>IF($N77="","",INDEX(Staging!$H$2:$H$3001,$N77))</f>
      </c>
      <c r="H77">
        <f>IF($N77="","",INDEX(Staging!$I$2:$I$3001,$N77))</f>
      </c>
      <c r="I77">
        <f>IF($N77="","",INDEX(Staging!$J$2:$J$3001,$N77))</f>
      </c>
      <c r="J77">
        <f>IF($N77="","",INDEX(Staging!$K$2:$K$3001,$N77))</f>
      </c>
      <c r="K77">
        <f>IF($N77="","",INDEX(Staging!$M$2:$M$3001,$N77))</f>
      </c>
      <c r="L77">
        <f>IF($N77="","",INDEX(Staging!$O$2:$O$3001,$N77))</f>
      </c>
      <c r="M77">
        <f>IF($N77="","",INDEX(Staging!$P$2:$P$3001,$N77))</f>
      </c>
      <c r="N77">
        <f t="array" ref="N77">IFERROR(SMALL(IF(Staging!$E$2:$E$3001="MIPPL",ROW(Staging!$E$2:$E$3001)-ROW(Staging!$E$2)+1),76),"")</f>
      </c>
    </row>
    <row r="78" spans="1:14" x14ac:dyDescent="0.25">
      <c r="A78">
        <f>IF($N78="","",INDEX(Staging!$A$2:$A$3001,$N78))</f>
      </c>
      <c r="B78">
        <f>IF($N78="","",INDEX(Staging!$B$2:$B$3001,$N78))</f>
      </c>
      <c r="C78">
        <f>IF($N78="","",INDEX(Staging!$C$2:$C$3001,$N78))</f>
      </c>
      <c r="D78">
        <f>IF($N78="","",INDEX(Staging!$D$2:$D$3001,$N78))</f>
      </c>
      <c r="E78">
        <f>IF($N78="","",INDEX(Staging!$F$2:$F$3001,$N78))</f>
      </c>
      <c r="F78">
        <f>IF($N78="","",INDEX(Staging!$G$2:$G$3001,$N78))</f>
      </c>
      <c r="G78">
        <f>IF($N78="","",INDEX(Staging!$H$2:$H$3001,$N78))</f>
      </c>
      <c r="H78">
        <f>IF($N78="","",INDEX(Staging!$I$2:$I$3001,$N78))</f>
      </c>
      <c r="I78">
        <f>IF($N78="","",INDEX(Staging!$J$2:$J$3001,$N78))</f>
      </c>
      <c r="J78">
        <f>IF($N78="","",INDEX(Staging!$K$2:$K$3001,$N78))</f>
      </c>
      <c r="K78">
        <f>IF($N78="","",INDEX(Staging!$M$2:$M$3001,$N78))</f>
      </c>
      <c r="L78">
        <f>IF($N78="","",INDEX(Staging!$O$2:$O$3001,$N78))</f>
      </c>
      <c r="M78">
        <f>IF($N78="","",INDEX(Staging!$P$2:$P$3001,$N78))</f>
      </c>
      <c r="N78">
        <f t="array" ref="N78">IFERROR(SMALL(IF(Staging!$E$2:$E$3001="MIPPL",ROW(Staging!$E$2:$E$3001)-ROW(Staging!$E$2)+1),77),"")</f>
      </c>
    </row>
    <row r="79" spans="1:14" x14ac:dyDescent="0.25">
      <c r="A79">
        <f>IF($N79="","",INDEX(Staging!$A$2:$A$3001,$N79))</f>
      </c>
      <c r="B79">
        <f>IF($N79="","",INDEX(Staging!$B$2:$B$3001,$N79))</f>
      </c>
      <c r="C79">
        <f>IF($N79="","",INDEX(Staging!$C$2:$C$3001,$N79))</f>
      </c>
      <c r="D79">
        <f>IF($N79="","",INDEX(Staging!$D$2:$D$3001,$N79))</f>
      </c>
      <c r="E79">
        <f>IF($N79="","",INDEX(Staging!$F$2:$F$3001,$N79))</f>
      </c>
      <c r="F79">
        <f>IF($N79="","",INDEX(Staging!$G$2:$G$3001,$N79))</f>
      </c>
      <c r="G79">
        <f>IF($N79="","",INDEX(Staging!$H$2:$H$3001,$N79))</f>
      </c>
      <c r="H79">
        <f>IF($N79="","",INDEX(Staging!$I$2:$I$3001,$N79))</f>
      </c>
      <c r="I79">
        <f>IF($N79="","",INDEX(Staging!$J$2:$J$3001,$N79))</f>
      </c>
      <c r="J79">
        <f>IF($N79="","",INDEX(Staging!$K$2:$K$3001,$N79))</f>
      </c>
      <c r="K79">
        <f>IF($N79="","",INDEX(Staging!$M$2:$M$3001,$N79))</f>
      </c>
      <c r="L79">
        <f>IF($N79="","",INDEX(Staging!$O$2:$O$3001,$N79))</f>
      </c>
      <c r="M79">
        <f>IF($N79="","",INDEX(Staging!$P$2:$P$3001,$N79))</f>
      </c>
      <c r="N79">
        <f t="array" ref="N79">IFERROR(SMALL(IF(Staging!$E$2:$E$3001="MIPPL",ROW(Staging!$E$2:$E$3001)-ROW(Staging!$E$2)+1),78),"")</f>
      </c>
    </row>
    <row r="80" spans="1:14" x14ac:dyDescent="0.25">
      <c r="A80">
        <f>IF($N80="","",INDEX(Staging!$A$2:$A$3001,$N80))</f>
      </c>
      <c r="B80">
        <f>IF($N80="","",INDEX(Staging!$B$2:$B$3001,$N80))</f>
      </c>
      <c r="C80">
        <f>IF($N80="","",INDEX(Staging!$C$2:$C$3001,$N80))</f>
      </c>
      <c r="D80">
        <f>IF($N80="","",INDEX(Staging!$D$2:$D$3001,$N80))</f>
      </c>
      <c r="E80">
        <f>IF($N80="","",INDEX(Staging!$F$2:$F$3001,$N80))</f>
      </c>
      <c r="F80">
        <f>IF($N80="","",INDEX(Staging!$G$2:$G$3001,$N80))</f>
      </c>
      <c r="G80">
        <f>IF($N80="","",INDEX(Staging!$H$2:$H$3001,$N80))</f>
      </c>
      <c r="H80">
        <f>IF($N80="","",INDEX(Staging!$I$2:$I$3001,$N80))</f>
      </c>
      <c r="I80">
        <f>IF($N80="","",INDEX(Staging!$J$2:$J$3001,$N80))</f>
      </c>
      <c r="J80">
        <f>IF($N80="","",INDEX(Staging!$K$2:$K$3001,$N80))</f>
      </c>
      <c r="K80">
        <f>IF($N80="","",INDEX(Staging!$M$2:$M$3001,$N80))</f>
      </c>
      <c r="L80">
        <f>IF($N80="","",INDEX(Staging!$O$2:$O$3001,$N80))</f>
      </c>
      <c r="M80">
        <f>IF($N80="","",INDEX(Staging!$P$2:$P$3001,$N80))</f>
      </c>
      <c r="N80">
        <f t="array" ref="N80">IFERROR(SMALL(IF(Staging!$E$2:$E$3001="MIPPL",ROW(Staging!$E$2:$E$3001)-ROW(Staging!$E$2)+1),79),"")</f>
      </c>
    </row>
    <row r="81" spans="1:14" x14ac:dyDescent="0.25">
      <c r="A81">
        <f>IF($N81="","",INDEX(Staging!$A$2:$A$3001,$N81))</f>
      </c>
      <c r="B81">
        <f>IF($N81="","",INDEX(Staging!$B$2:$B$3001,$N81))</f>
      </c>
      <c r="C81">
        <f>IF($N81="","",INDEX(Staging!$C$2:$C$3001,$N81))</f>
      </c>
      <c r="D81">
        <f>IF($N81="","",INDEX(Staging!$D$2:$D$3001,$N81))</f>
      </c>
      <c r="E81">
        <f>IF($N81="","",INDEX(Staging!$F$2:$F$3001,$N81))</f>
      </c>
      <c r="F81">
        <f>IF($N81="","",INDEX(Staging!$G$2:$G$3001,$N81))</f>
      </c>
      <c r="G81">
        <f>IF($N81="","",INDEX(Staging!$H$2:$H$3001,$N81))</f>
      </c>
      <c r="H81">
        <f>IF($N81="","",INDEX(Staging!$I$2:$I$3001,$N81))</f>
      </c>
      <c r="I81">
        <f>IF($N81="","",INDEX(Staging!$J$2:$J$3001,$N81))</f>
      </c>
      <c r="J81">
        <f>IF($N81="","",INDEX(Staging!$K$2:$K$3001,$N81))</f>
      </c>
      <c r="K81">
        <f>IF($N81="","",INDEX(Staging!$M$2:$M$3001,$N81))</f>
      </c>
      <c r="L81">
        <f>IF($N81="","",INDEX(Staging!$O$2:$O$3001,$N81))</f>
      </c>
      <c r="M81">
        <f>IF($N81="","",INDEX(Staging!$P$2:$P$3001,$N81))</f>
      </c>
      <c r="N81">
        <f t="array" ref="N81">IFERROR(SMALL(IF(Staging!$E$2:$E$3001="MIPPL",ROW(Staging!$E$2:$E$3001)-ROW(Staging!$E$2)+1),80),"")</f>
      </c>
    </row>
    <row r="82" spans="1:14" x14ac:dyDescent="0.25">
      <c r="A82">
        <f>IF($N82="","",INDEX(Staging!$A$2:$A$3001,$N82))</f>
      </c>
      <c r="B82">
        <f>IF($N82="","",INDEX(Staging!$B$2:$B$3001,$N82))</f>
      </c>
      <c r="C82">
        <f>IF($N82="","",INDEX(Staging!$C$2:$C$3001,$N82))</f>
      </c>
      <c r="D82">
        <f>IF($N82="","",INDEX(Staging!$D$2:$D$3001,$N82))</f>
      </c>
      <c r="E82">
        <f>IF($N82="","",INDEX(Staging!$F$2:$F$3001,$N82))</f>
      </c>
      <c r="F82">
        <f>IF($N82="","",INDEX(Staging!$G$2:$G$3001,$N82))</f>
      </c>
      <c r="G82">
        <f>IF($N82="","",INDEX(Staging!$H$2:$H$3001,$N82))</f>
      </c>
      <c r="H82">
        <f>IF($N82="","",INDEX(Staging!$I$2:$I$3001,$N82))</f>
      </c>
      <c r="I82">
        <f>IF($N82="","",INDEX(Staging!$J$2:$J$3001,$N82))</f>
      </c>
      <c r="J82">
        <f>IF($N82="","",INDEX(Staging!$K$2:$K$3001,$N82))</f>
      </c>
      <c r="K82">
        <f>IF($N82="","",INDEX(Staging!$M$2:$M$3001,$N82))</f>
      </c>
      <c r="L82">
        <f>IF($N82="","",INDEX(Staging!$O$2:$O$3001,$N82))</f>
      </c>
      <c r="M82">
        <f>IF($N82="","",INDEX(Staging!$P$2:$P$3001,$N82))</f>
      </c>
      <c r="N82">
        <f t="array" ref="N82">IFERROR(SMALL(IF(Staging!$E$2:$E$3001="MIPPL",ROW(Staging!$E$2:$E$3001)-ROW(Staging!$E$2)+1),81),"")</f>
      </c>
    </row>
    <row r="83" spans="1:14" x14ac:dyDescent="0.25">
      <c r="A83">
        <f>IF($N83="","",INDEX(Staging!$A$2:$A$3001,$N83))</f>
      </c>
      <c r="B83">
        <f>IF($N83="","",INDEX(Staging!$B$2:$B$3001,$N83))</f>
      </c>
      <c r="C83">
        <f>IF($N83="","",INDEX(Staging!$C$2:$C$3001,$N83))</f>
      </c>
      <c r="D83">
        <f>IF($N83="","",INDEX(Staging!$D$2:$D$3001,$N83))</f>
      </c>
      <c r="E83">
        <f>IF($N83="","",INDEX(Staging!$F$2:$F$3001,$N83))</f>
      </c>
      <c r="F83">
        <f>IF($N83="","",INDEX(Staging!$G$2:$G$3001,$N83))</f>
      </c>
      <c r="G83">
        <f>IF($N83="","",INDEX(Staging!$H$2:$H$3001,$N83))</f>
      </c>
      <c r="H83">
        <f>IF($N83="","",INDEX(Staging!$I$2:$I$3001,$N83))</f>
      </c>
      <c r="I83">
        <f>IF($N83="","",INDEX(Staging!$J$2:$J$3001,$N83))</f>
      </c>
      <c r="J83">
        <f>IF($N83="","",INDEX(Staging!$K$2:$K$3001,$N83))</f>
      </c>
      <c r="K83">
        <f>IF($N83="","",INDEX(Staging!$M$2:$M$3001,$N83))</f>
      </c>
      <c r="L83">
        <f>IF($N83="","",INDEX(Staging!$O$2:$O$3001,$N83))</f>
      </c>
      <c r="M83">
        <f>IF($N83="","",INDEX(Staging!$P$2:$P$3001,$N83))</f>
      </c>
      <c r="N83">
        <f t="array" ref="N83">IFERROR(SMALL(IF(Staging!$E$2:$E$3001="MIPPL",ROW(Staging!$E$2:$E$3001)-ROW(Staging!$E$2)+1),82),"")</f>
      </c>
    </row>
    <row r="84" spans="1:14" x14ac:dyDescent="0.25">
      <c r="A84">
        <f>IF($N84="","",INDEX(Staging!$A$2:$A$3001,$N84))</f>
      </c>
      <c r="B84">
        <f>IF($N84="","",INDEX(Staging!$B$2:$B$3001,$N84))</f>
      </c>
      <c r="C84">
        <f>IF($N84="","",INDEX(Staging!$C$2:$C$3001,$N84))</f>
      </c>
      <c r="D84">
        <f>IF($N84="","",INDEX(Staging!$D$2:$D$3001,$N84))</f>
      </c>
      <c r="E84">
        <f>IF($N84="","",INDEX(Staging!$F$2:$F$3001,$N84))</f>
      </c>
      <c r="F84">
        <f>IF($N84="","",INDEX(Staging!$G$2:$G$3001,$N84))</f>
      </c>
      <c r="G84">
        <f>IF($N84="","",INDEX(Staging!$H$2:$H$3001,$N84))</f>
      </c>
      <c r="H84">
        <f>IF($N84="","",INDEX(Staging!$I$2:$I$3001,$N84))</f>
      </c>
      <c r="I84">
        <f>IF($N84="","",INDEX(Staging!$J$2:$J$3001,$N84))</f>
      </c>
      <c r="J84">
        <f>IF($N84="","",INDEX(Staging!$K$2:$K$3001,$N84))</f>
      </c>
      <c r="K84">
        <f>IF($N84="","",INDEX(Staging!$M$2:$M$3001,$N84))</f>
      </c>
      <c r="L84">
        <f>IF($N84="","",INDEX(Staging!$O$2:$O$3001,$N84))</f>
      </c>
      <c r="M84">
        <f>IF($N84="","",INDEX(Staging!$P$2:$P$3001,$N84))</f>
      </c>
      <c r="N84">
        <f t="array" ref="N84">IFERROR(SMALL(IF(Staging!$E$2:$E$3001="MIPPL",ROW(Staging!$E$2:$E$3001)-ROW(Staging!$E$2)+1),83),"")</f>
      </c>
    </row>
    <row r="85" spans="1:14" x14ac:dyDescent="0.25">
      <c r="A85">
        <f>IF($N85="","",INDEX(Staging!$A$2:$A$3001,$N85))</f>
      </c>
      <c r="B85">
        <f>IF($N85="","",INDEX(Staging!$B$2:$B$3001,$N85))</f>
      </c>
      <c r="C85">
        <f>IF($N85="","",INDEX(Staging!$C$2:$C$3001,$N85))</f>
      </c>
      <c r="D85">
        <f>IF($N85="","",INDEX(Staging!$D$2:$D$3001,$N85))</f>
      </c>
      <c r="E85">
        <f>IF($N85="","",INDEX(Staging!$F$2:$F$3001,$N85))</f>
      </c>
      <c r="F85">
        <f>IF($N85="","",INDEX(Staging!$G$2:$G$3001,$N85))</f>
      </c>
      <c r="G85">
        <f>IF($N85="","",INDEX(Staging!$H$2:$H$3001,$N85))</f>
      </c>
      <c r="H85">
        <f>IF($N85="","",INDEX(Staging!$I$2:$I$3001,$N85))</f>
      </c>
      <c r="I85">
        <f>IF($N85="","",INDEX(Staging!$J$2:$J$3001,$N85))</f>
      </c>
      <c r="J85">
        <f>IF($N85="","",INDEX(Staging!$K$2:$K$3001,$N85))</f>
      </c>
      <c r="K85">
        <f>IF($N85="","",INDEX(Staging!$M$2:$M$3001,$N85))</f>
      </c>
      <c r="L85">
        <f>IF($N85="","",INDEX(Staging!$O$2:$O$3001,$N85))</f>
      </c>
      <c r="M85">
        <f>IF($N85="","",INDEX(Staging!$P$2:$P$3001,$N85))</f>
      </c>
      <c r="N85">
        <f t="array" ref="N85">IFERROR(SMALL(IF(Staging!$E$2:$E$3001="MIPPL",ROW(Staging!$E$2:$E$3001)-ROW(Staging!$E$2)+1),84),"")</f>
      </c>
    </row>
    <row r="86" spans="1:14" x14ac:dyDescent="0.25">
      <c r="A86">
        <f>IF($N86="","",INDEX(Staging!$A$2:$A$3001,$N86))</f>
      </c>
      <c r="B86">
        <f>IF($N86="","",INDEX(Staging!$B$2:$B$3001,$N86))</f>
      </c>
      <c r="C86">
        <f>IF($N86="","",INDEX(Staging!$C$2:$C$3001,$N86))</f>
      </c>
      <c r="D86">
        <f>IF($N86="","",INDEX(Staging!$D$2:$D$3001,$N86))</f>
      </c>
      <c r="E86">
        <f>IF($N86="","",INDEX(Staging!$F$2:$F$3001,$N86))</f>
      </c>
      <c r="F86">
        <f>IF($N86="","",INDEX(Staging!$G$2:$G$3001,$N86))</f>
      </c>
      <c r="G86">
        <f>IF($N86="","",INDEX(Staging!$H$2:$H$3001,$N86))</f>
      </c>
      <c r="H86">
        <f>IF($N86="","",INDEX(Staging!$I$2:$I$3001,$N86))</f>
      </c>
      <c r="I86">
        <f>IF($N86="","",INDEX(Staging!$J$2:$J$3001,$N86))</f>
      </c>
      <c r="J86">
        <f>IF($N86="","",INDEX(Staging!$K$2:$K$3001,$N86))</f>
      </c>
      <c r="K86">
        <f>IF($N86="","",INDEX(Staging!$M$2:$M$3001,$N86))</f>
      </c>
      <c r="L86">
        <f>IF($N86="","",INDEX(Staging!$O$2:$O$3001,$N86))</f>
      </c>
      <c r="M86">
        <f>IF($N86="","",INDEX(Staging!$P$2:$P$3001,$N86))</f>
      </c>
      <c r="N86">
        <f t="array" ref="N86">IFERROR(SMALL(IF(Staging!$E$2:$E$3001="MIPPL",ROW(Staging!$E$2:$E$3001)-ROW(Staging!$E$2)+1),85),"")</f>
      </c>
    </row>
    <row r="87" spans="1:14" x14ac:dyDescent="0.25">
      <c r="A87">
        <f>IF($N87="","",INDEX(Staging!$A$2:$A$3001,$N87))</f>
      </c>
      <c r="B87">
        <f>IF($N87="","",INDEX(Staging!$B$2:$B$3001,$N87))</f>
      </c>
      <c r="C87">
        <f>IF($N87="","",INDEX(Staging!$C$2:$C$3001,$N87))</f>
      </c>
      <c r="D87">
        <f>IF($N87="","",INDEX(Staging!$D$2:$D$3001,$N87))</f>
      </c>
      <c r="E87">
        <f>IF($N87="","",INDEX(Staging!$F$2:$F$3001,$N87))</f>
      </c>
      <c r="F87">
        <f>IF($N87="","",INDEX(Staging!$G$2:$G$3001,$N87))</f>
      </c>
      <c r="G87">
        <f>IF($N87="","",INDEX(Staging!$H$2:$H$3001,$N87))</f>
      </c>
      <c r="H87">
        <f>IF($N87="","",INDEX(Staging!$I$2:$I$3001,$N87))</f>
      </c>
      <c r="I87">
        <f>IF($N87="","",INDEX(Staging!$J$2:$J$3001,$N87))</f>
      </c>
      <c r="J87">
        <f>IF($N87="","",INDEX(Staging!$K$2:$K$3001,$N87))</f>
      </c>
      <c r="K87">
        <f>IF($N87="","",INDEX(Staging!$M$2:$M$3001,$N87))</f>
      </c>
      <c r="L87">
        <f>IF($N87="","",INDEX(Staging!$O$2:$O$3001,$N87))</f>
      </c>
      <c r="M87">
        <f>IF($N87="","",INDEX(Staging!$P$2:$P$3001,$N87))</f>
      </c>
      <c r="N87">
        <f t="array" ref="N87">IFERROR(SMALL(IF(Staging!$E$2:$E$3001="MIPPL",ROW(Staging!$E$2:$E$3001)-ROW(Staging!$E$2)+1),86),"")</f>
      </c>
    </row>
    <row r="88" spans="1:14" x14ac:dyDescent="0.25">
      <c r="A88">
        <f>IF($N88="","",INDEX(Staging!$A$2:$A$3001,$N88))</f>
      </c>
      <c r="B88">
        <f>IF($N88="","",INDEX(Staging!$B$2:$B$3001,$N88))</f>
      </c>
      <c r="C88">
        <f>IF($N88="","",INDEX(Staging!$C$2:$C$3001,$N88))</f>
      </c>
      <c r="D88">
        <f>IF($N88="","",INDEX(Staging!$D$2:$D$3001,$N88))</f>
      </c>
      <c r="E88">
        <f>IF($N88="","",INDEX(Staging!$F$2:$F$3001,$N88))</f>
      </c>
      <c r="F88">
        <f>IF($N88="","",INDEX(Staging!$G$2:$G$3001,$N88))</f>
      </c>
      <c r="G88">
        <f>IF($N88="","",INDEX(Staging!$H$2:$H$3001,$N88))</f>
      </c>
      <c r="H88">
        <f>IF($N88="","",INDEX(Staging!$I$2:$I$3001,$N88))</f>
      </c>
      <c r="I88">
        <f>IF($N88="","",INDEX(Staging!$J$2:$J$3001,$N88))</f>
      </c>
      <c r="J88">
        <f>IF($N88="","",INDEX(Staging!$K$2:$K$3001,$N88))</f>
      </c>
      <c r="K88">
        <f>IF($N88="","",INDEX(Staging!$M$2:$M$3001,$N88))</f>
      </c>
      <c r="L88">
        <f>IF($N88="","",INDEX(Staging!$O$2:$O$3001,$N88))</f>
      </c>
      <c r="M88">
        <f>IF($N88="","",INDEX(Staging!$P$2:$P$3001,$N88))</f>
      </c>
      <c r="N88">
        <f t="array" ref="N88">IFERROR(SMALL(IF(Staging!$E$2:$E$3001="MIPPL",ROW(Staging!$E$2:$E$3001)-ROW(Staging!$E$2)+1),87),"")</f>
      </c>
    </row>
    <row r="89" spans="1:14" x14ac:dyDescent="0.25">
      <c r="A89">
        <f>IF($N89="","",INDEX(Staging!$A$2:$A$3001,$N89))</f>
      </c>
      <c r="B89">
        <f>IF($N89="","",INDEX(Staging!$B$2:$B$3001,$N89))</f>
      </c>
      <c r="C89">
        <f>IF($N89="","",INDEX(Staging!$C$2:$C$3001,$N89))</f>
      </c>
      <c r="D89">
        <f>IF($N89="","",INDEX(Staging!$D$2:$D$3001,$N89))</f>
      </c>
      <c r="E89">
        <f>IF($N89="","",INDEX(Staging!$F$2:$F$3001,$N89))</f>
      </c>
      <c r="F89">
        <f>IF($N89="","",INDEX(Staging!$G$2:$G$3001,$N89))</f>
      </c>
      <c r="G89">
        <f>IF($N89="","",INDEX(Staging!$H$2:$H$3001,$N89))</f>
      </c>
      <c r="H89">
        <f>IF($N89="","",INDEX(Staging!$I$2:$I$3001,$N89))</f>
      </c>
      <c r="I89">
        <f>IF($N89="","",INDEX(Staging!$J$2:$J$3001,$N89))</f>
      </c>
      <c r="J89">
        <f>IF($N89="","",INDEX(Staging!$K$2:$K$3001,$N89))</f>
      </c>
      <c r="K89">
        <f>IF($N89="","",INDEX(Staging!$M$2:$M$3001,$N89))</f>
      </c>
      <c r="L89">
        <f>IF($N89="","",INDEX(Staging!$O$2:$O$3001,$N89))</f>
      </c>
      <c r="M89">
        <f>IF($N89="","",INDEX(Staging!$P$2:$P$3001,$N89))</f>
      </c>
      <c r="N89">
        <f t="array" ref="N89">IFERROR(SMALL(IF(Staging!$E$2:$E$3001="MIPPL",ROW(Staging!$E$2:$E$3001)-ROW(Staging!$E$2)+1),88),"")</f>
      </c>
    </row>
    <row r="90" spans="1:14" x14ac:dyDescent="0.25">
      <c r="A90">
        <f>IF($N90="","",INDEX(Staging!$A$2:$A$3001,$N90))</f>
      </c>
      <c r="B90">
        <f>IF($N90="","",INDEX(Staging!$B$2:$B$3001,$N90))</f>
      </c>
      <c r="C90">
        <f>IF($N90="","",INDEX(Staging!$C$2:$C$3001,$N90))</f>
      </c>
      <c r="D90">
        <f>IF($N90="","",INDEX(Staging!$D$2:$D$3001,$N90))</f>
      </c>
      <c r="E90">
        <f>IF($N90="","",INDEX(Staging!$F$2:$F$3001,$N90))</f>
      </c>
      <c r="F90">
        <f>IF($N90="","",INDEX(Staging!$G$2:$G$3001,$N90))</f>
      </c>
      <c r="G90">
        <f>IF($N90="","",INDEX(Staging!$H$2:$H$3001,$N90))</f>
      </c>
      <c r="H90">
        <f>IF($N90="","",INDEX(Staging!$I$2:$I$3001,$N90))</f>
      </c>
      <c r="I90">
        <f>IF($N90="","",INDEX(Staging!$J$2:$J$3001,$N90))</f>
      </c>
      <c r="J90">
        <f>IF($N90="","",INDEX(Staging!$K$2:$K$3001,$N90))</f>
      </c>
      <c r="K90">
        <f>IF($N90="","",INDEX(Staging!$M$2:$M$3001,$N90))</f>
      </c>
      <c r="L90">
        <f>IF($N90="","",INDEX(Staging!$O$2:$O$3001,$N90))</f>
      </c>
      <c r="M90">
        <f>IF($N90="","",INDEX(Staging!$P$2:$P$3001,$N90))</f>
      </c>
      <c r="N90">
        <f t="array" ref="N90">IFERROR(SMALL(IF(Staging!$E$2:$E$3001="MIPPL",ROW(Staging!$E$2:$E$3001)-ROW(Staging!$E$2)+1),89),"")</f>
      </c>
    </row>
    <row r="91" spans="1:14" x14ac:dyDescent="0.25">
      <c r="A91">
        <f>IF($N91="","",INDEX(Staging!$A$2:$A$3001,$N91))</f>
      </c>
      <c r="B91">
        <f>IF($N91="","",INDEX(Staging!$B$2:$B$3001,$N91))</f>
      </c>
      <c r="C91">
        <f>IF($N91="","",INDEX(Staging!$C$2:$C$3001,$N91))</f>
      </c>
      <c r="D91">
        <f>IF($N91="","",INDEX(Staging!$D$2:$D$3001,$N91))</f>
      </c>
      <c r="E91">
        <f>IF($N91="","",INDEX(Staging!$F$2:$F$3001,$N91))</f>
      </c>
      <c r="F91">
        <f>IF($N91="","",INDEX(Staging!$G$2:$G$3001,$N91))</f>
      </c>
      <c r="G91">
        <f>IF($N91="","",INDEX(Staging!$H$2:$H$3001,$N91))</f>
      </c>
      <c r="H91">
        <f>IF($N91="","",INDEX(Staging!$I$2:$I$3001,$N91))</f>
      </c>
      <c r="I91">
        <f>IF($N91="","",INDEX(Staging!$J$2:$J$3001,$N91))</f>
      </c>
      <c r="J91">
        <f>IF($N91="","",INDEX(Staging!$K$2:$K$3001,$N91))</f>
      </c>
      <c r="K91">
        <f>IF($N91="","",INDEX(Staging!$M$2:$M$3001,$N91))</f>
      </c>
      <c r="L91">
        <f>IF($N91="","",INDEX(Staging!$O$2:$O$3001,$N91))</f>
      </c>
      <c r="M91">
        <f>IF($N91="","",INDEX(Staging!$P$2:$P$3001,$N91))</f>
      </c>
      <c r="N91">
        <f t="array" ref="N91">IFERROR(SMALL(IF(Staging!$E$2:$E$3001="MIPPL",ROW(Staging!$E$2:$E$3001)-ROW(Staging!$E$2)+1),90),"")</f>
      </c>
    </row>
    <row r="92" spans="1:14" x14ac:dyDescent="0.25">
      <c r="A92">
        <f>IF($N92="","",INDEX(Staging!$A$2:$A$3001,$N92))</f>
      </c>
      <c r="B92">
        <f>IF($N92="","",INDEX(Staging!$B$2:$B$3001,$N92))</f>
      </c>
      <c r="C92">
        <f>IF($N92="","",INDEX(Staging!$C$2:$C$3001,$N92))</f>
      </c>
      <c r="D92">
        <f>IF($N92="","",INDEX(Staging!$D$2:$D$3001,$N92))</f>
      </c>
      <c r="E92">
        <f>IF($N92="","",INDEX(Staging!$F$2:$F$3001,$N92))</f>
      </c>
      <c r="F92">
        <f>IF($N92="","",INDEX(Staging!$G$2:$G$3001,$N92))</f>
      </c>
      <c r="G92">
        <f>IF($N92="","",INDEX(Staging!$H$2:$H$3001,$N92))</f>
      </c>
      <c r="H92">
        <f>IF($N92="","",INDEX(Staging!$I$2:$I$3001,$N92))</f>
      </c>
      <c r="I92">
        <f>IF($N92="","",INDEX(Staging!$J$2:$J$3001,$N92))</f>
      </c>
      <c r="J92">
        <f>IF($N92="","",INDEX(Staging!$K$2:$K$3001,$N92))</f>
      </c>
      <c r="K92">
        <f>IF($N92="","",INDEX(Staging!$M$2:$M$3001,$N92))</f>
      </c>
      <c r="L92">
        <f>IF($N92="","",INDEX(Staging!$O$2:$O$3001,$N92))</f>
      </c>
      <c r="M92">
        <f>IF($N92="","",INDEX(Staging!$P$2:$P$3001,$N92))</f>
      </c>
      <c r="N92">
        <f t="array" ref="N92">IFERROR(SMALL(IF(Staging!$E$2:$E$3001="MIPPL",ROW(Staging!$E$2:$E$3001)-ROW(Staging!$E$2)+1),91),"")</f>
      </c>
    </row>
    <row r="93" spans="1:14" x14ac:dyDescent="0.25">
      <c r="A93">
        <f>IF($N93="","",INDEX(Staging!$A$2:$A$3001,$N93))</f>
      </c>
      <c r="B93">
        <f>IF($N93="","",INDEX(Staging!$B$2:$B$3001,$N93))</f>
      </c>
      <c r="C93">
        <f>IF($N93="","",INDEX(Staging!$C$2:$C$3001,$N93))</f>
      </c>
      <c r="D93">
        <f>IF($N93="","",INDEX(Staging!$D$2:$D$3001,$N93))</f>
      </c>
      <c r="E93">
        <f>IF($N93="","",INDEX(Staging!$F$2:$F$3001,$N93))</f>
      </c>
      <c r="F93">
        <f>IF($N93="","",INDEX(Staging!$G$2:$G$3001,$N93))</f>
      </c>
      <c r="G93">
        <f>IF($N93="","",INDEX(Staging!$H$2:$H$3001,$N93))</f>
      </c>
      <c r="H93">
        <f>IF($N93="","",INDEX(Staging!$I$2:$I$3001,$N93))</f>
      </c>
      <c r="I93">
        <f>IF($N93="","",INDEX(Staging!$J$2:$J$3001,$N93))</f>
      </c>
      <c r="J93">
        <f>IF($N93="","",INDEX(Staging!$K$2:$K$3001,$N93))</f>
      </c>
      <c r="K93">
        <f>IF($N93="","",INDEX(Staging!$M$2:$M$3001,$N93))</f>
      </c>
      <c r="L93">
        <f>IF($N93="","",INDEX(Staging!$O$2:$O$3001,$N93))</f>
      </c>
      <c r="M93">
        <f>IF($N93="","",INDEX(Staging!$P$2:$P$3001,$N93))</f>
      </c>
      <c r="N93">
        <f t="array" ref="N93">IFERROR(SMALL(IF(Staging!$E$2:$E$3001="MIPPL",ROW(Staging!$E$2:$E$3001)-ROW(Staging!$E$2)+1),92),"")</f>
      </c>
    </row>
    <row r="94" spans="1:14" x14ac:dyDescent="0.25">
      <c r="A94">
        <f>IF($N94="","",INDEX(Staging!$A$2:$A$3001,$N94))</f>
      </c>
      <c r="B94">
        <f>IF($N94="","",INDEX(Staging!$B$2:$B$3001,$N94))</f>
      </c>
      <c r="C94">
        <f>IF($N94="","",INDEX(Staging!$C$2:$C$3001,$N94))</f>
      </c>
      <c r="D94">
        <f>IF($N94="","",INDEX(Staging!$D$2:$D$3001,$N94))</f>
      </c>
      <c r="E94">
        <f>IF($N94="","",INDEX(Staging!$F$2:$F$3001,$N94))</f>
      </c>
      <c r="F94">
        <f>IF($N94="","",INDEX(Staging!$G$2:$G$3001,$N94))</f>
      </c>
      <c r="G94">
        <f>IF($N94="","",INDEX(Staging!$H$2:$H$3001,$N94))</f>
      </c>
      <c r="H94">
        <f>IF($N94="","",INDEX(Staging!$I$2:$I$3001,$N94))</f>
      </c>
      <c r="I94">
        <f>IF($N94="","",INDEX(Staging!$J$2:$J$3001,$N94))</f>
      </c>
      <c r="J94">
        <f>IF($N94="","",INDEX(Staging!$K$2:$K$3001,$N94))</f>
      </c>
      <c r="K94">
        <f>IF($N94="","",INDEX(Staging!$M$2:$M$3001,$N94))</f>
      </c>
      <c r="L94">
        <f>IF($N94="","",INDEX(Staging!$O$2:$O$3001,$N94))</f>
      </c>
      <c r="M94">
        <f>IF($N94="","",INDEX(Staging!$P$2:$P$3001,$N94))</f>
      </c>
      <c r="N94">
        <f t="array" ref="N94">IFERROR(SMALL(IF(Staging!$E$2:$E$3001="MIPPL",ROW(Staging!$E$2:$E$3001)-ROW(Staging!$E$2)+1),93),"")</f>
      </c>
    </row>
    <row r="95" spans="1:14" x14ac:dyDescent="0.25">
      <c r="A95">
        <f>IF($N95="","",INDEX(Staging!$A$2:$A$3001,$N95))</f>
      </c>
      <c r="B95">
        <f>IF($N95="","",INDEX(Staging!$B$2:$B$3001,$N95))</f>
      </c>
      <c r="C95">
        <f>IF($N95="","",INDEX(Staging!$C$2:$C$3001,$N95))</f>
      </c>
      <c r="D95">
        <f>IF($N95="","",INDEX(Staging!$D$2:$D$3001,$N95))</f>
      </c>
      <c r="E95">
        <f>IF($N95="","",INDEX(Staging!$F$2:$F$3001,$N95))</f>
      </c>
      <c r="F95">
        <f>IF($N95="","",INDEX(Staging!$G$2:$G$3001,$N95))</f>
      </c>
      <c r="G95">
        <f>IF($N95="","",INDEX(Staging!$H$2:$H$3001,$N95))</f>
      </c>
      <c r="H95">
        <f>IF($N95="","",INDEX(Staging!$I$2:$I$3001,$N95))</f>
      </c>
      <c r="I95">
        <f>IF($N95="","",INDEX(Staging!$J$2:$J$3001,$N95))</f>
      </c>
      <c r="J95">
        <f>IF($N95="","",INDEX(Staging!$K$2:$K$3001,$N95))</f>
      </c>
      <c r="K95">
        <f>IF($N95="","",INDEX(Staging!$M$2:$M$3001,$N95))</f>
      </c>
      <c r="L95">
        <f>IF($N95="","",INDEX(Staging!$O$2:$O$3001,$N95))</f>
      </c>
      <c r="M95">
        <f>IF($N95="","",INDEX(Staging!$P$2:$P$3001,$N95))</f>
      </c>
      <c r="N95">
        <f t="array" ref="N95">IFERROR(SMALL(IF(Staging!$E$2:$E$3001="MIPPL",ROW(Staging!$E$2:$E$3001)-ROW(Staging!$E$2)+1),94),"")</f>
      </c>
    </row>
    <row r="96" spans="1:14" x14ac:dyDescent="0.25">
      <c r="A96">
        <f>IF($N96="","",INDEX(Staging!$A$2:$A$3001,$N96))</f>
      </c>
      <c r="B96">
        <f>IF($N96="","",INDEX(Staging!$B$2:$B$3001,$N96))</f>
      </c>
      <c r="C96">
        <f>IF($N96="","",INDEX(Staging!$C$2:$C$3001,$N96))</f>
      </c>
      <c r="D96">
        <f>IF($N96="","",INDEX(Staging!$D$2:$D$3001,$N96))</f>
      </c>
      <c r="E96">
        <f>IF($N96="","",INDEX(Staging!$F$2:$F$3001,$N96))</f>
      </c>
      <c r="F96">
        <f>IF($N96="","",INDEX(Staging!$G$2:$G$3001,$N96))</f>
      </c>
      <c r="G96">
        <f>IF($N96="","",INDEX(Staging!$H$2:$H$3001,$N96))</f>
      </c>
      <c r="H96">
        <f>IF($N96="","",INDEX(Staging!$I$2:$I$3001,$N96))</f>
      </c>
      <c r="I96">
        <f>IF($N96="","",INDEX(Staging!$J$2:$J$3001,$N96))</f>
      </c>
      <c r="J96">
        <f>IF($N96="","",INDEX(Staging!$K$2:$K$3001,$N96))</f>
      </c>
      <c r="K96">
        <f>IF($N96="","",INDEX(Staging!$M$2:$M$3001,$N96))</f>
      </c>
      <c r="L96">
        <f>IF($N96="","",INDEX(Staging!$O$2:$O$3001,$N96))</f>
      </c>
      <c r="M96">
        <f>IF($N96="","",INDEX(Staging!$P$2:$P$3001,$N96))</f>
      </c>
      <c r="N96">
        <f t="array" ref="N96">IFERROR(SMALL(IF(Staging!$E$2:$E$3001="MIPPL",ROW(Staging!$E$2:$E$3001)-ROW(Staging!$E$2)+1),95),"")</f>
      </c>
    </row>
    <row r="97" spans="1:14" x14ac:dyDescent="0.25">
      <c r="A97">
        <f>IF($N97="","",INDEX(Staging!$A$2:$A$3001,$N97))</f>
      </c>
      <c r="B97">
        <f>IF($N97="","",INDEX(Staging!$B$2:$B$3001,$N97))</f>
      </c>
      <c r="C97">
        <f>IF($N97="","",INDEX(Staging!$C$2:$C$3001,$N97))</f>
      </c>
      <c r="D97">
        <f>IF($N97="","",INDEX(Staging!$D$2:$D$3001,$N97))</f>
      </c>
      <c r="E97">
        <f>IF($N97="","",INDEX(Staging!$F$2:$F$3001,$N97))</f>
      </c>
      <c r="F97">
        <f>IF($N97="","",INDEX(Staging!$G$2:$G$3001,$N97))</f>
      </c>
      <c r="G97">
        <f>IF($N97="","",INDEX(Staging!$H$2:$H$3001,$N97))</f>
      </c>
      <c r="H97">
        <f>IF($N97="","",INDEX(Staging!$I$2:$I$3001,$N97))</f>
      </c>
      <c r="I97">
        <f>IF($N97="","",INDEX(Staging!$J$2:$J$3001,$N97))</f>
      </c>
      <c r="J97">
        <f>IF($N97="","",INDEX(Staging!$K$2:$K$3001,$N97))</f>
      </c>
      <c r="K97">
        <f>IF($N97="","",INDEX(Staging!$M$2:$M$3001,$N97))</f>
      </c>
      <c r="L97">
        <f>IF($N97="","",INDEX(Staging!$O$2:$O$3001,$N97))</f>
      </c>
      <c r="M97">
        <f>IF($N97="","",INDEX(Staging!$P$2:$P$3001,$N97))</f>
      </c>
      <c r="N97">
        <f t="array" ref="N97">IFERROR(SMALL(IF(Staging!$E$2:$E$3001="MIPPL",ROW(Staging!$E$2:$E$3001)-ROW(Staging!$E$2)+1),96),"")</f>
      </c>
    </row>
    <row r="98" spans="1:14" x14ac:dyDescent="0.25">
      <c r="A98">
        <f>IF($N98="","",INDEX(Staging!$A$2:$A$3001,$N98))</f>
      </c>
      <c r="B98">
        <f>IF($N98="","",INDEX(Staging!$B$2:$B$3001,$N98))</f>
      </c>
      <c r="C98">
        <f>IF($N98="","",INDEX(Staging!$C$2:$C$3001,$N98))</f>
      </c>
      <c r="D98">
        <f>IF($N98="","",INDEX(Staging!$D$2:$D$3001,$N98))</f>
      </c>
      <c r="E98">
        <f>IF($N98="","",INDEX(Staging!$F$2:$F$3001,$N98))</f>
      </c>
      <c r="F98">
        <f>IF($N98="","",INDEX(Staging!$G$2:$G$3001,$N98))</f>
      </c>
      <c r="G98">
        <f>IF($N98="","",INDEX(Staging!$H$2:$H$3001,$N98))</f>
      </c>
      <c r="H98">
        <f>IF($N98="","",INDEX(Staging!$I$2:$I$3001,$N98))</f>
      </c>
      <c r="I98">
        <f>IF($N98="","",INDEX(Staging!$J$2:$J$3001,$N98))</f>
      </c>
      <c r="J98">
        <f>IF($N98="","",INDEX(Staging!$K$2:$K$3001,$N98))</f>
      </c>
      <c r="K98">
        <f>IF($N98="","",INDEX(Staging!$M$2:$M$3001,$N98))</f>
      </c>
      <c r="L98">
        <f>IF($N98="","",INDEX(Staging!$O$2:$O$3001,$N98))</f>
      </c>
      <c r="M98">
        <f>IF($N98="","",INDEX(Staging!$P$2:$P$3001,$N98))</f>
      </c>
      <c r="N98">
        <f t="array" ref="N98">IFERROR(SMALL(IF(Staging!$E$2:$E$3001="MIPPL",ROW(Staging!$E$2:$E$3001)-ROW(Staging!$E$2)+1),97),"")</f>
      </c>
    </row>
    <row r="99" spans="1:14" x14ac:dyDescent="0.25">
      <c r="A99">
        <f>IF($N99="","",INDEX(Staging!$A$2:$A$3001,$N99))</f>
      </c>
      <c r="B99">
        <f>IF($N99="","",INDEX(Staging!$B$2:$B$3001,$N99))</f>
      </c>
      <c r="C99">
        <f>IF($N99="","",INDEX(Staging!$C$2:$C$3001,$N99))</f>
      </c>
      <c r="D99">
        <f>IF($N99="","",INDEX(Staging!$D$2:$D$3001,$N99))</f>
      </c>
      <c r="E99">
        <f>IF($N99="","",INDEX(Staging!$F$2:$F$3001,$N99))</f>
      </c>
      <c r="F99">
        <f>IF($N99="","",INDEX(Staging!$G$2:$G$3001,$N99))</f>
      </c>
      <c r="G99">
        <f>IF($N99="","",INDEX(Staging!$H$2:$H$3001,$N99))</f>
      </c>
      <c r="H99">
        <f>IF($N99="","",INDEX(Staging!$I$2:$I$3001,$N99))</f>
      </c>
      <c r="I99">
        <f>IF($N99="","",INDEX(Staging!$J$2:$J$3001,$N99))</f>
      </c>
      <c r="J99">
        <f>IF($N99="","",INDEX(Staging!$K$2:$K$3001,$N99))</f>
      </c>
      <c r="K99">
        <f>IF($N99="","",INDEX(Staging!$M$2:$M$3001,$N99))</f>
      </c>
      <c r="L99">
        <f>IF($N99="","",INDEX(Staging!$O$2:$O$3001,$N99))</f>
      </c>
      <c r="M99">
        <f>IF($N99="","",INDEX(Staging!$P$2:$P$3001,$N99))</f>
      </c>
      <c r="N99">
        <f t="array" ref="N99">IFERROR(SMALL(IF(Staging!$E$2:$E$3001="MIPPL",ROW(Staging!$E$2:$E$3001)-ROW(Staging!$E$2)+1),98),"")</f>
      </c>
    </row>
    <row r="100" spans="1:14" x14ac:dyDescent="0.25">
      <c r="A100">
        <f>IF($N100="","",INDEX(Staging!$A$2:$A$3001,$N100))</f>
      </c>
      <c r="B100">
        <f>IF($N100="","",INDEX(Staging!$B$2:$B$3001,$N100))</f>
      </c>
      <c r="C100">
        <f>IF($N100="","",INDEX(Staging!$C$2:$C$3001,$N100))</f>
      </c>
      <c r="D100">
        <f>IF($N100="","",INDEX(Staging!$D$2:$D$3001,$N100))</f>
      </c>
      <c r="E100">
        <f>IF($N100="","",INDEX(Staging!$F$2:$F$3001,$N100))</f>
      </c>
      <c r="F100">
        <f>IF($N100="","",INDEX(Staging!$G$2:$G$3001,$N100))</f>
      </c>
      <c r="G100">
        <f>IF($N100="","",INDEX(Staging!$H$2:$H$3001,$N100))</f>
      </c>
      <c r="H100">
        <f>IF($N100="","",INDEX(Staging!$I$2:$I$3001,$N100))</f>
      </c>
      <c r="I100">
        <f>IF($N100="","",INDEX(Staging!$J$2:$J$3001,$N100))</f>
      </c>
      <c r="J100">
        <f>IF($N100="","",INDEX(Staging!$K$2:$K$3001,$N100))</f>
      </c>
      <c r="K100">
        <f>IF($N100="","",INDEX(Staging!$M$2:$M$3001,$N100))</f>
      </c>
      <c r="L100">
        <f>IF($N100="","",INDEX(Staging!$O$2:$O$3001,$N100))</f>
      </c>
      <c r="M100">
        <f>IF($N100="","",INDEX(Staging!$P$2:$P$3001,$N100))</f>
      </c>
      <c r="N100">
        <f t="array" ref="N100">IFERROR(SMALL(IF(Staging!$E$2:$E$3001="MIPPL",ROW(Staging!$E$2:$E$3001)-ROW(Staging!$E$2)+1),99),"")</f>
      </c>
    </row>
    <row r="101" spans="1:14" x14ac:dyDescent="0.25">
      <c r="A101">
        <f>IF($N101="","",INDEX(Staging!$A$2:$A$3001,$N101))</f>
      </c>
      <c r="B101">
        <f>IF($N101="","",INDEX(Staging!$B$2:$B$3001,$N101))</f>
      </c>
      <c r="C101">
        <f>IF($N101="","",INDEX(Staging!$C$2:$C$3001,$N101))</f>
      </c>
      <c r="D101">
        <f>IF($N101="","",INDEX(Staging!$D$2:$D$3001,$N101))</f>
      </c>
      <c r="E101">
        <f>IF($N101="","",INDEX(Staging!$F$2:$F$3001,$N101))</f>
      </c>
      <c r="F101">
        <f>IF($N101="","",INDEX(Staging!$G$2:$G$3001,$N101))</f>
      </c>
      <c r="G101">
        <f>IF($N101="","",INDEX(Staging!$H$2:$H$3001,$N101))</f>
      </c>
      <c r="H101">
        <f>IF($N101="","",INDEX(Staging!$I$2:$I$3001,$N101))</f>
      </c>
      <c r="I101">
        <f>IF($N101="","",INDEX(Staging!$J$2:$J$3001,$N101))</f>
      </c>
      <c r="J101">
        <f>IF($N101="","",INDEX(Staging!$K$2:$K$3001,$N101))</f>
      </c>
      <c r="K101">
        <f>IF($N101="","",INDEX(Staging!$M$2:$M$3001,$N101))</f>
      </c>
      <c r="L101">
        <f>IF($N101="","",INDEX(Staging!$O$2:$O$3001,$N101))</f>
      </c>
      <c r="M101">
        <f>IF($N101="","",INDEX(Staging!$P$2:$P$3001,$N101))</f>
      </c>
      <c r="N101">
        <f t="array" ref="N101">IFERROR(SMALL(IF(Staging!$E$2:$E$3001="MIPPL",ROW(Staging!$E$2:$E$3001)-ROW(Staging!$E$2)+1),100),"")</f>
      </c>
    </row>
    <row r="102" spans="1:14" x14ac:dyDescent="0.25">
      <c r="A102">
        <f>IF($N102="","",INDEX(Staging!$A$2:$A$3001,$N102))</f>
      </c>
      <c r="B102">
        <f>IF($N102="","",INDEX(Staging!$B$2:$B$3001,$N102))</f>
      </c>
      <c r="C102">
        <f>IF($N102="","",INDEX(Staging!$C$2:$C$3001,$N102))</f>
      </c>
      <c r="D102">
        <f>IF($N102="","",INDEX(Staging!$D$2:$D$3001,$N102))</f>
      </c>
      <c r="E102">
        <f>IF($N102="","",INDEX(Staging!$F$2:$F$3001,$N102))</f>
      </c>
      <c r="F102">
        <f>IF($N102="","",INDEX(Staging!$G$2:$G$3001,$N102))</f>
      </c>
      <c r="G102">
        <f>IF($N102="","",INDEX(Staging!$H$2:$H$3001,$N102))</f>
      </c>
      <c r="H102">
        <f>IF($N102="","",INDEX(Staging!$I$2:$I$3001,$N102))</f>
      </c>
      <c r="I102">
        <f>IF($N102="","",INDEX(Staging!$J$2:$J$3001,$N102))</f>
      </c>
      <c r="J102">
        <f>IF($N102="","",INDEX(Staging!$K$2:$K$3001,$N102))</f>
      </c>
      <c r="K102">
        <f>IF($N102="","",INDEX(Staging!$M$2:$M$3001,$N102))</f>
      </c>
      <c r="L102">
        <f>IF($N102="","",INDEX(Staging!$O$2:$O$3001,$N102))</f>
      </c>
      <c r="M102">
        <f>IF($N102="","",INDEX(Staging!$P$2:$P$3001,$N102))</f>
      </c>
      <c r="N102">
        <f t="array" ref="N102">IFERROR(SMALL(IF(Staging!$E$2:$E$3001="MIPPL",ROW(Staging!$E$2:$E$3001)-ROW(Staging!$E$2)+1),101),"")</f>
      </c>
    </row>
    <row r="103" spans="1:14" x14ac:dyDescent="0.25">
      <c r="A103">
        <f>IF($N103="","",INDEX(Staging!$A$2:$A$3001,$N103))</f>
      </c>
      <c r="B103">
        <f>IF($N103="","",INDEX(Staging!$B$2:$B$3001,$N103))</f>
      </c>
      <c r="C103">
        <f>IF($N103="","",INDEX(Staging!$C$2:$C$3001,$N103))</f>
      </c>
      <c r="D103">
        <f>IF($N103="","",INDEX(Staging!$D$2:$D$3001,$N103))</f>
      </c>
      <c r="E103">
        <f>IF($N103="","",INDEX(Staging!$F$2:$F$3001,$N103))</f>
      </c>
      <c r="F103">
        <f>IF($N103="","",INDEX(Staging!$G$2:$G$3001,$N103))</f>
      </c>
      <c r="G103">
        <f>IF($N103="","",INDEX(Staging!$H$2:$H$3001,$N103))</f>
      </c>
      <c r="H103">
        <f>IF($N103="","",INDEX(Staging!$I$2:$I$3001,$N103))</f>
      </c>
      <c r="I103">
        <f>IF($N103="","",INDEX(Staging!$J$2:$J$3001,$N103))</f>
      </c>
      <c r="J103">
        <f>IF($N103="","",INDEX(Staging!$K$2:$K$3001,$N103))</f>
      </c>
      <c r="K103">
        <f>IF($N103="","",INDEX(Staging!$M$2:$M$3001,$N103))</f>
      </c>
      <c r="L103">
        <f>IF($N103="","",INDEX(Staging!$O$2:$O$3001,$N103))</f>
      </c>
      <c r="M103">
        <f>IF($N103="","",INDEX(Staging!$P$2:$P$3001,$N103))</f>
      </c>
      <c r="N103">
        <f t="array" ref="N103">IFERROR(SMALL(IF(Staging!$E$2:$E$3001="MIPPL",ROW(Staging!$E$2:$E$3001)-ROW(Staging!$E$2)+1),102),"")</f>
      </c>
    </row>
    <row r="104" spans="1:14" x14ac:dyDescent="0.25">
      <c r="A104">
        <f>IF($N104="","",INDEX(Staging!$A$2:$A$3001,$N104))</f>
      </c>
      <c r="B104">
        <f>IF($N104="","",INDEX(Staging!$B$2:$B$3001,$N104))</f>
      </c>
      <c r="C104">
        <f>IF($N104="","",INDEX(Staging!$C$2:$C$3001,$N104))</f>
      </c>
      <c r="D104">
        <f>IF($N104="","",INDEX(Staging!$D$2:$D$3001,$N104))</f>
      </c>
      <c r="E104">
        <f>IF($N104="","",INDEX(Staging!$F$2:$F$3001,$N104))</f>
      </c>
      <c r="F104">
        <f>IF($N104="","",INDEX(Staging!$G$2:$G$3001,$N104))</f>
      </c>
      <c r="G104">
        <f>IF($N104="","",INDEX(Staging!$H$2:$H$3001,$N104))</f>
      </c>
      <c r="H104">
        <f>IF($N104="","",INDEX(Staging!$I$2:$I$3001,$N104))</f>
      </c>
      <c r="I104">
        <f>IF($N104="","",INDEX(Staging!$J$2:$J$3001,$N104))</f>
      </c>
      <c r="J104">
        <f>IF($N104="","",INDEX(Staging!$K$2:$K$3001,$N104))</f>
      </c>
      <c r="K104">
        <f>IF($N104="","",INDEX(Staging!$M$2:$M$3001,$N104))</f>
      </c>
      <c r="L104">
        <f>IF($N104="","",INDEX(Staging!$O$2:$O$3001,$N104))</f>
      </c>
      <c r="M104">
        <f>IF($N104="","",INDEX(Staging!$P$2:$P$3001,$N104))</f>
      </c>
      <c r="N104">
        <f t="array" ref="N104">IFERROR(SMALL(IF(Staging!$E$2:$E$3001="MIPPL",ROW(Staging!$E$2:$E$3001)-ROW(Staging!$E$2)+1),103),"")</f>
      </c>
    </row>
    <row r="105" spans="1:14" x14ac:dyDescent="0.25">
      <c r="A105">
        <f>IF($N105="","",INDEX(Staging!$A$2:$A$3001,$N105))</f>
      </c>
      <c r="B105">
        <f>IF($N105="","",INDEX(Staging!$B$2:$B$3001,$N105))</f>
      </c>
      <c r="C105">
        <f>IF($N105="","",INDEX(Staging!$C$2:$C$3001,$N105))</f>
      </c>
      <c r="D105">
        <f>IF($N105="","",INDEX(Staging!$D$2:$D$3001,$N105))</f>
      </c>
      <c r="E105">
        <f>IF($N105="","",INDEX(Staging!$F$2:$F$3001,$N105))</f>
      </c>
      <c r="F105">
        <f>IF($N105="","",INDEX(Staging!$G$2:$G$3001,$N105))</f>
      </c>
      <c r="G105">
        <f>IF($N105="","",INDEX(Staging!$H$2:$H$3001,$N105))</f>
      </c>
      <c r="H105">
        <f>IF($N105="","",INDEX(Staging!$I$2:$I$3001,$N105))</f>
      </c>
      <c r="I105">
        <f>IF($N105="","",INDEX(Staging!$J$2:$J$3001,$N105))</f>
      </c>
      <c r="J105">
        <f>IF($N105="","",INDEX(Staging!$K$2:$K$3001,$N105))</f>
      </c>
      <c r="K105">
        <f>IF($N105="","",INDEX(Staging!$M$2:$M$3001,$N105))</f>
      </c>
      <c r="L105">
        <f>IF($N105="","",INDEX(Staging!$O$2:$O$3001,$N105))</f>
      </c>
      <c r="M105">
        <f>IF($N105="","",INDEX(Staging!$P$2:$P$3001,$N105))</f>
      </c>
      <c r="N105">
        <f t="array" ref="N105">IFERROR(SMALL(IF(Staging!$E$2:$E$3001="MIPPL",ROW(Staging!$E$2:$E$3001)-ROW(Staging!$E$2)+1),104),"")</f>
      </c>
    </row>
    <row r="106" spans="1:14" x14ac:dyDescent="0.25">
      <c r="A106">
        <f>IF($N106="","",INDEX(Staging!$A$2:$A$3001,$N106))</f>
      </c>
      <c r="B106">
        <f>IF($N106="","",INDEX(Staging!$B$2:$B$3001,$N106))</f>
      </c>
      <c r="C106">
        <f>IF($N106="","",INDEX(Staging!$C$2:$C$3001,$N106))</f>
      </c>
      <c r="D106">
        <f>IF($N106="","",INDEX(Staging!$D$2:$D$3001,$N106))</f>
      </c>
      <c r="E106">
        <f>IF($N106="","",INDEX(Staging!$F$2:$F$3001,$N106))</f>
      </c>
      <c r="F106">
        <f>IF($N106="","",INDEX(Staging!$G$2:$G$3001,$N106))</f>
      </c>
      <c r="G106">
        <f>IF($N106="","",INDEX(Staging!$H$2:$H$3001,$N106))</f>
      </c>
      <c r="H106">
        <f>IF($N106="","",INDEX(Staging!$I$2:$I$3001,$N106))</f>
      </c>
      <c r="I106">
        <f>IF($N106="","",INDEX(Staging!$J$2:$J$3001,$N106))</f>
      </c>
      <c r="J106">
        <f>IF($N106="","",INDEX(Staging!$K$2:$K$3001,$N106))</f>
      </c>
      <c r="K106">
        <f>IF($N106="","",INDEX(Staging!$M$2:$M$3001,$N106))</f>
      </c>
      <c r="L106">
        <f>IF($N106="","",INDEX(Staging!$O$2:$O$3001,$N106))</f>
      </c>
      <c r="M106">
        <f>IF($N106="","",INDEX(Staging!$P$2:$P$3001,$N106))</f>
      </c>
      <c r="N106">
        <f t="array" ref="N106">IFERROR(SMALL(IF(Staging!$E$2:$E$3001="MIPPL",ROW(Staging!$E$2:$E$3001)-ROW(Staging!$E$2)+1),105),"")</f>
      </c>
    </row>
    <row r="107" spans="1:14" x14ac:dyDescent="0.25">
      <c r="A107">
        <f>IF($N107="","",INDEX(Staging!$A$2:$A$3001,$N107))</f>
      </c>
      <c r="B107">
        <f>IF($N107="","",INDEX(Staging!$B$2:$B$3001,$N107))</f>
      </c>
      <c r="C107">
        <f>IF($N107="","",INDEX(Staging!$C$2:$C$3001,$N107))</f>
      </c>
      <c r="D107">
        <f>IF($N107="","",INDEX(Staging!$D$2:$D$3001,$N107))</f>
      </c>
      <c r="E107">
        <f>IF($N107="","",INDEX(Staging!$F$2:$F$3001,$N107))</f>
      </c>
      <c r="F107">
        <f>IF($N107="","",INDEX(Staging!$G$2:$G$3001,$N107))</f>
      </c>
      <c r="G107">
        <f>IF($N107="","",INDEX(Staging!$H$2:$H$3001,$N107))</f>
      </c>
      <c r="H107">
        <f>IF($N107="","",INDEX(Staging!$I$2:$I$3001,$N107))</f>
      </c>
      <c r="I107">
        <f>IF($N107="","",INDEX(Staging!$J$2:$J$3001,$N107))</f>
      </c>
      <c r="J107">
        <f>IF($N107="","",INDEX(Staging!$K$2:$K$3001,$N107))</f>
      </c>
      <c r="K107">
        <f>IF($N107="","",INDEX(Staging!$M$2:$M$3001,$N107))</f>
      </c>
      <c r="L107">
        <f>IF($N107="","",INDEX(Staging!$O$2:$O$3001,$N107))</f>
      </c>
      <c r="M107">
        <f>IF($N107="","",INDEX(Staging!$P$2:$P$3001,$N107))</f>
      </c>
      <c r="N107">
        <f t="array" ref="N107">IFERROR(SMALL(IF(Staging!$E$2:$E$3001="MIPPL",ROW(Staging!$E$2:$E$3001)-ROW(Staging!$E$2)+1),106),"")</f>
      </c>
    </row>
    <row r="108" spans="1:14" x14ac:dyDescent="0.25">
      <c r="A108">
        <f>IF($N108="","",INDEX(Staging!$A$2:$A$3001,$N108))</f>
      </c>
      <c r="B108">
        <f>IF($N108="","",INDEX(Staging!$B$2:$B$3001,$N108))</f>
      </c>
      <c r="C108">
        <f>IF($N108="","",INDEX(Staging!$C$2:$C$3001,$N108))</f>
      </c>
      <c r="D108">
        <f>IF($N108="","",INDEX(Staging!$D$2:$D$3001,$N108))</f>
      </c>
      <c r="E108">
        <f>IF($N108="","",INDEX(Staging!$F$2:$F$3001,$N108))</f>
      </c>
      <c r="F108">
        <f>IF($N108="","",INDEX(Staging!$G$2:$G$3001,$N108))</f>
      </c>
      <c r="G108">
        <f>IF($N108="","",INDEX(Staging!$H$2:$H$3001,$N108))</f>
      </c>
      <c r="H108">
        <f>IF($N108="","",INDEX(Staging!$I$2:$I$3001,$N108))</f>
      </c>
      <c r="I108">
        <f>IF($N108="","",INDEX(Staging!$J$2:$J$3001,$N108))</f>
      </c>
      <c r="J108">
        <f>IF($N108="","",INDEX(Staging!$K$2:$K$3001,$N108))</f>
      </c>
      <c r="K108">
        <f>IF($N108="","",INDEX(Staging!$M$2:$M$3001,$N108))</f>
      </c>
      <c r="L108">
        <f>IF($N108="","",INDEX(Staging!$O$2:$O$3001,$N108))</f>
      </c>
      <c r="M108">
        <f>IF($N108="","",INDEX(Staging!$P$2:$P$3001,$N108))</f>
      </c>
      <c r="N108">
        <f t="array" ref="N108">IFERROR(SMALL(IF(Staging!$E$2:$E$3001="MIPPL",ROW(Staging!$E$2:$E$3001)-ROW(Staging!$E$2)+1),107),"")</f>
      </c>
    </row>
    <row r="109" spans="1:14" x14ac:dyDescent="0.25">
      <c r="A109">
        <f>IF($N109="","",INDEX(Staging!$A$2:$A$3001,$N109))</f>
      </c>
      <c r="B109">
        <f>IF($N109="","",INDEX(Staging!$B$2:$B$3001,$N109))</f>
      </c>
      <c r="C109">
        <f>IF($N109="","",INDEX(Staging!$C$2:$C$3001,$N109))</f>
      </c>
      <c r="D109">
        <f>IF($N109="","",INDEX(Staging!$D$2:$D$3001,$N109))</f>
      </c>
      <c r="E109">
        <f>IF($N109="","",INDEX(Staging!$F$2:$F$3001,$N109))</f>
      </c>
      <c r="F109">
        <f>IF($N109="","",INDEX(Staging!$G$2:$G$3001,$N109))</f>
      </c>
      <c r="G109">
        <f>IF($N109="","",INDEX(Staging!$H$2:$H$3001,$N109))</f>
      </c>
      <c r="H109">
        <f>IF($N109="","",INDEX(Staging!$I$2:$I$3001,$N109))</f>
      </c>
      <c r="I109">
        <f>IF($N109="","",INDEX(Staging!$J$2:$J$3001,$N109))</f>
      </c>
      <c r="J109">
        <f>IF($N109="","",INDEX(Staging!$K$2:$K$3001,$N109))</f>
      </c>
      <c r="K109">
        <f>IF($N109="","",INDEX(Staging!$M$2:$M$3001,$N109))</f>
      </c>
      <c r="L109">
        <f>IF($N109="","",INDEX(Staging!$O$2:$O$3001,$N109))</f>
      </c>
      <c r="M109">
        <f>IF($N109="","",INDEX(Staging!$P$2:$P$3001,$N109))</f>
      </c>
      <c r="N109">
        <f t="array" ref="N109">IFERROR(SMALL(IF(Staging!$E$2:$E$3001="MIPPL",ROW(Staging!$E$2:$E$3001)-ROW(Staging!$E$2)+1),108),"")</f>
      </c>
    </row>
    <row r="110" spans="1:14" x14ac:dyDescent="0.25">
      <c r="A110">
        <f>IF($N110="","",INDEX(Staging!$A$2:$A$3001,$N110))</f>
      </c>
      <c r="B110">
        <f>IF($N110="","",INDEX(Staging!$B$2:$B$3001,$N110))</f>
      </c>
      <c r="C110">
        <f>IF($N110="","",INDEX(Staging!$C$2:$C$3001,$N110))</f>
      </c>
      <c r="D110">
        <f>IF($N110="","",INDEX(Staging!$D$2:$D$3001,$N110))</f>
      </c>
      <c r="E110">
        <f>IF($N110="","",INDEX(Staging!$F$2:$F$3001,$N110))</f>
      </c>
      <c r="F110">
        <f>IF($N110="","",INDEX(Staging!$G$2:$G$3001,$N110))</f>
      </c>
      <c r="G110">
        <f>IF($N110="","",INDEX(Staging!$H$2:$H$3001,$N110))</f>
      </c>
      <c r="H110">
        <f>IF($N110="","",INDEX(Staging!$I$2:$I$3001,$N110))</f>
      </c>
      <c r="I110">
        <f>IF($N110="","",INDEX(Staging!$J$2:$J$3001,$N110))</f>
      </c>
      <c r="J110">
        <f>IF($N110="","",INDEX(Staging!$K$2:$K$3001,$N110))</f>
      </c>
      <c r="K110">
        <f>IF($N110="","",INDEX(Staging!$M$2:$M$3001,$N110))</f>
      </c>
      <c r="L110">
        <f>IF($N110="","",INDEX(Staging!$O$2:$O$3001,$N110))</f>
      </c>
      <c r="M110">
        <f>IF($N110="","",INDEX(Staging!$P$2:$P$3001,$N110))</f>
      </c>
      <c r="N110">
        <f t="array" ref="N110">IFERROR(SMALL(IF(Staging!$E$2:$E$3001="MIPPL",ROW(Staging!$E$2:$E$3001)-ROW(Staging!$E$2)+1),109),"")</f>
      </c>
    </row>
    <row r="111" spans="1:14" x14ac:dyDescent="0.25">
      <c r="A111">
        <f>IF($N111="","",INDEX(Staging!$A$2:$A$3001,$N111))</f>
      </c>
      <c r="B111">
        <f>IF($N111="","",INDEX(Staging!$B$2:$B$3001,$N111))</f>
      </c>
      <c r="C111">
        <f>IF($N111="","",INDEX(Staging!$C$2:$C$3001,$N111))</f>
      </c>
      <c r="D111">
        <f>IF($N111="","",INDEX(Staging!$D$2:$D$3001,$N111))</f>
      </c>
      <c r="E111">
        <f>IF($N111="","",INDEX(Staging!$F$2:$F$3001,$N111))</f>
      </c>
      <c r="F111">
        <f>IF($N111="","",INDEX(Staging!$G$2:$G$3001,$N111))</f>
      </c>
      <c r="G111">
        <f>IF($N111="","",INDEX(Staging!$H$2:$H$3001,$N111))</f>
      </c>
      <c r="H111">
        <f>IF($N111="","",INDEX(Staging!$I$2:$I$3001,$N111))</f>
      </c>
      <c r="I111">
        <f>IF($N111="","",INDEX(Staging!$J$2:$J$3001,$N111))</f>
      </c>
      <c r="J111">
        <f>IF($N111="","",INDEX(Staging!$K$2:$K$3001,$N111))</f>
      </c>
      <c r="K111">
        <f>IF($N111="","",INDEX(Staging!$M$2:$M$3001,$N111))</f>
      </c>
      <c r="L111">
        <f>IF($N111="","",INDEX(Staging!$O$2:$O$3001,$N111))</f>
      </c>
      <c r="M111">
        <f>IF($N111="","",INDEX(Staging!$P$2:$P$3001,$N111))</f>
      </c>
      <c r="N111">
        <f t="array" ref="N111">IFERROR(SMALL(IF(Staging!$E$2:$E$3001="MIPPL",ROW(Staging!$E$2:$E$3001)-ROW(Staging!$E$2)+1),110),"")</f>
      </c>
    </row>
    <row r="112" spans="1:14" x14ac:dyDescent="0.25">
      <c r="A112">
        <f>IF($N112="","",INDEX(Staging!$A$2:$A$3001,$N112))</f>
      </c>
      <c r="B112">
        <f>IF($N112="","",INDEX(Staging!$B$2:$B$3001,$N112))</f>
      </c>
      <c r="C112">
        <f>IF($N112="","",INDEX(Staging!$C$2:$C$3001,$N112))</f>
      </c>
      <c r="D112">
        <f>IF($N112="","",INDEX(Staging!$D$2:$D$3001,$N112))</f>
      </c>
      <c r="E112">
        <f>IF($N112="","",INDEX(Staging!$F$2:$F$3001,$N112))</f>
      </c>
      <c r="F112">
        <f>IF($N112="","",INDEX(Staging!$G$2:$G$3001,$N112))</f>
      </c>
      <c r="G112">
        <f>IF($N112="","",INDEX(Staging!$H$2:$H$3001,$N112))</f>
      </c>
      <c r="H112">
        <f>IF($N112="","",INDEX(Staging!$I$2:$I$3001,$N112))</f>
      </c>
      <c r="I112">
        <f>IF($N112="","",INDEX(Staging!$J$2:$J$3001,$N112))</f>
      </c>
      <c r="J112">
        <f>IF($N112="","",INDEX(Staging!$K$2:$K$3001,$N112))</f>
      </c>
      <c r="K112">
        <f>IF($N112="","",INDEX(Staging!$M$2:$M$3001,$N112))</f>
      </c>
      <c r="L112">
        <f>IF($N112="","",INDEX(Staging!$O$2:$O$3001,$N112))</f>
      </c>
      <c r="M112">
        <f>IF($N112="","",INDEX(Staging!$P$2:$P$3001,$N112))</f>
      </c>
      <c r="N112">
        <f t="array" ref="N112">IFERROR(SMALL(IF(Staging!$E$2:$E$3001="MIPPL",ROW(Staging!$E$2:$E$3001)-ROW(Staging!$E$2)+1),111),"")</f>
      </c>
    </row>
    <row r="113" spans="1:14" x14ac:dyDescent="0.25">
      <c r="A113">
        <f>IF($N113="","",INDEX(Staging!$A$2:$A$3001,$N113))</f>
      </c>
      <c r="B113">
        <f>IF($N113="","",INDEX(Staging!$B$2:$B$3001,$N113))</f>
      </c>
      <c r="C113">
        <f>IF($N113="","",INDEX(Staging!$C$2:$C$3001,$N113))</f>
      </c>
      <c r="D113">
        <f>IF($N113="","",INDEX(Staging!$D$2:$D$3001,$N113))</f>
      </c>
      <c r="E113">
        <f>IF($N113="","",INDEX(Staging!$F$2:$F$3001,$N113))</f>
      </c>
      <c r="F113">
        <f>IF($N113="","",INDEX(Staging!$G$2:$G$3001,$N113))</f>
      </c>
      <c r="G113">
        <f>IF($N113="","",INDEX(Staging!$H$2:$H$3001,$N113))</f>
      </c>
      <c r="H113">
        <f>IF($N113="","",INDEX(Staging!$I$2:$I$3001,$N113))</f>
      </c>
      <c r="I113">
        <f>IF($N113="","",INDEX(Staging!$J$2:$J$3001,$N113))</f>
      </c>
      <c r="J113">
        <f>IF($N113="","",INDEX(Staging!$K$2:$K$3001,$N113))</f>
      </c>
      <c r="K113">
        <f>IF($N113="","",INDEX(Staging!$M$2:$M$3001,$N113))</f>
      </c>
      <c r="L113">
        <f>IF($N113="","",INDEX(Staging!$O$2:$O$3001,$N113))</f>
      </c>
      <c r="M113">
        <f>IF($N113="","",INDEX(Staging!$P$2:$P$3001,$N113))</f>
      </c>
      <c r="N113">
        <f t="array" ref="N113">IFERROR(SMALL(IF(Staging!$E$2:$E$3001="MIPPL",ROW(Staging!$E$2:$E$3001)-ROW(Staging!$E$2)+1),112),"")</f>
      </c>
    </row>
    <row r="114" spans="1:14" x14ac:dyDescent="0.25">
      <c r="A114">
        <f>IF($N114="","",INDEX(Staging!$A$2:$A$3001,$N114))</f>
      </c>
      <c r="B114">
        <f>IF($N114="","",INDEX(Staging!$B$2:$B$3001,$N114))</f>
      </c>
      <c r="C114">
        <f>IF($N114="","",INDEX(Staging!$C$2:$C$3001,$N114))</f>
      </c>
      <c r="D114">
        <f>IF($N114="","",INDEX(Staging!$D$2:$D$3001,$N114))</f>
      </c>
      <c r="E114">
        <f>IF($N114="","",INDEX(Staging!$F$2:$F$3001,$N114))</f>
      </c>
      <c r="F114">
        <f>IF($N114="","",INDEX(Staging!$G$2:$G$3001,$N114))</f>
      </c>
      <c r="G114">
        <f>IF($N114="","",INDEX(Staging!$H$2:$H$3001,$N114))</f>
      </c>
      <c r="H114">
        <f>IF($N114="","",INDEX(Staging!$I$2:$I$3001,$N114))</f>
      </c>
      <c r="I114">
        <f>IF($N114="","",INDEX(Staging!$J$2:$J$3001,$N114))</f>
      </c>
      <c r="J114">
        <f>IF($N114="","",INDEX(Staging!$K$2:$K$3001,$N114))</f>
      </c>
      <c r="K114">
        <f>IF($N114="","",INDEX(Staging!$M$2:$M$3001,$N114))</f>
      </c>
      <c r="L114">
        <f>IF($N114="","",INDEX(Staging!$O$2:$O$3001,$N114))</f>
      </c>
      <c r="M114">
        <f>IF($N114="","",INDEX(Staging!$P$2:$P$3001,$N114))</f>
      </c>
      <c r="N114">
        <f t="array" ref="N114">IFERROR(SMALL(IF(Staging!$E$2:$E$3001="MIPPL",ROW(Staging!$E$2:$E$3001)-ROW(Staging!$E$2)+1),113),"")</f>
      </c>
    </row>
    <row r="115" spans="1:14" x14ac:dyDescent="0.25">
      <c r="A115">
        <f>IF($N115="","",INDEX(Staging!$A$2:$A$3001,$N115))</f>
      </c>
      <c r="B115">
        <f>IF($N115="","",INDEX(Staging!$B$2:$B$3001,$N115))</f>
      </c>
      <c r="C115">
        <f>IF($N115="","",INDEX(Staging!$C$2:$C$3001,$N115))</f>
      </c>
      <c r="D115">
        <f>IF($N115="","",INDEX(Staging!$D$2:$D$3001,$N115))</f>
      </c>
      <c r="E115">
        <f>IF($N115="","",INDEX(Staging!$F$2:$F$3001,$N115))</f>
      </c>
      <c r="F115">
        <f>IF($N115="","",INDEX(Staging!$G$2:$G$3001,$N115))</f>
      </c>
      <c r="G115">
        <f>IF($N115="","",INDEX(Staging!$H$2:$H$3001,$N115))</f>
      </c>
      <c r="H115">
        <f>IF($N115="","",INDEX(Staging!$I$2:$I$3001,$N115))</f>
      </c>
      <c r="I115">
        <f>IF($N115="","",INDEX(Staging!$J$2:$J$3001,$N115))</f>
      </c>
      <c r="J115">
        <f>IF($N115="","",INDEX(Staging!$K$2:$K$3001,$N115))</f>
      </c>
      <c r="K115">
        <f>IF($N115="","",INDEX(Staging!$M$2:$M$3001,$N115))</f>
      </c>
      <c r="L115">
        <f>IF($N115="","",INDEX(Staging!$O$2:$O$3001,$N115))</f>
      </c>
      <c r="M115">
        <f>IF($N115="","",INDEX(Staging!$P$2:$P$3001,$N115))</f>
      </c>
      <c r="N115">
        <f t="array" ref="N115">IFERROR(SMALL(IF(Staging!$E$2:$E$3001="MIPPL",ROW(Staging!$E$2:$E$3001)-ROW(Staging!$E$2)+1),114),"")</f>
      </c>
    </row>
    <row r="116" spans="1:14" x14ac:dyDescent="0.25">
      <c r="A116">
        <f>IF($N116="","",INDEX(Staging!$A$2:$A$3001,$N116))</f>
      </c>
      <c r="B116">
        <f>IF($N116="","",INDEX(Staging!$B$2:$B$3001,$N116))</f>
      </c>
      <c r="C116">
        <f>IF($N116="","",INDEX(Staging!$C$2:$C$3001,$N116))</f>
      </c>
      <c r="D116">
        <f>IF($N116="","",INDEX(Staging!$D$2:$D$3001,$N116))</f>
      </c>
      <c r="E116">
        <f>IF($N116="","",INDEX(Staging!$F$2:$F$3001,$N116))</f>
      </c>
      <c r="F116">
        <f>IF($N116="","",INDEX(Staging!$G$2:$G$3001,$N116))</f>
      </c>
      <c r="G116">
        <f>IF($N116="","",INDEX(Staging!$H$2:$H$3001,$N116))</f>
      </c>
      <c r="H116">
        <f>IF($N116="","",INDEX(Staging!$I$2:$I$3001,$N116))</f>
      </c>
      <c r="I116">
        <f>IF($N116="","",INDEX(Staging!$J$2:$J$3001,$N116))</f>
      </c>
      <c r="J116">
        <f>IF($N116="","",INDEX(Staging!$K$2:$K$3001,$N116))</f>
      </c>
      <c r="K116">
        <f>IF($N116="","",INDEX(Staging!$M$2:$M$3001,$N116))</f>
      </c>
      <c r="L116">
        <f>IF($N116="","",INDEX(Staging!$O$2:$O$3001,$N116))</f>
      </c>
      <c r="M116">
        <f>IF($N116="","",INDEX(Staging!$P$2:$P$3001,$N116))</f>
      </c>
      <c r="N116">
        <f t="array" ref="N116">IFERROR(SMALL(IF(Staging!$E$2:$E$3001="MIPPL",ROW(Staging!$E$2:$E$3001)-ROW(Staging!$E$2)+1),115),"")</f>
      </c>
    </row>
    <row r="117" spans="1:14" x14ac:dyDescent="0.25">
      <c r="A117">
        <f>IF($N117="","",INDEX(Staging!$A$2:$A$3001,$N117))</f>
      </c>
      <c r="B117">
        <f>IF($N117="","",INDEX(Staging!$B$2:$B$3001,$N117))</f>
      </c>
      <c r="C117">
        <f>IF($N117="","",INDEX(Staging!$C$2:$C$3001,$N117))</f>
      </c>
      <c r="D117">
        <f>IF($N117="","",INDEX(Staging!$D$2:$D$3001,$N117))</f>
      </c>
      <c r="E117">
        <f>IF($N117="","",INDEX(Staging!$F$2:$F$3001,$N117))</f>
      </c>
      <c r="F117">
        <f>IF($N117="","",INDEX(Staging!$G$2:$G$3001,$N117))</f>
      </c>
      <c r="G117">
        <f>IF($N117="","",INDEX(Staging!$H$2:$H$3001,$N117))</f>
      </c>
      <c r="H117">
        <f>IF($N117="","",INDEX(Staging!$I$2:$I$3001,$N117))</f>
      </c>
      <c r="I117">
        <f>IF($N117="","",INDEX(Staging!$J$2:$J$3001,$N117))</f>
      </c>
      <c r="J117">
        <f>IF($N117="","",INDEX(Staging!$K$2:$K$3001,$N117))</f>
      </c>
      <c r="K117">
        <f>IF($N117="","",INDEX(Staging!$M$2:$M$3001,$N117))</f>
      </c>
      <c r="L117">
        <f>IF($N117="","",INDEX(Staging!$O$2:$O$3001,$N117))</f>
      </c>
      <c r="M117">
        <f>IF($N117="","",INDEX(Staging!$P$2:$P$3001,$N117))</f>
      </c>
      <c r="N117">
        <f t="array" ref="N117">IFERROR(SMALL(IF(Staging!$E$2:$E$3001="MIPPL",ROW(Staging!$E$2:$E$3001)-ROW(Staging!$E$2)+1),116),"")</f>
      </c>
    </row>
    <row r="118" spans="1:14" x14ac:dyDescent="0.25">
      <c r="A118">
        <f>IF($N118="","",INDEX(Staging!$A$2:$A$3001,$N118))</f>
      </c>
      <c r="B118">
        <f>IF($N118="","",INDEX(Staging!$B$2:$B$3001,$N118))</f>
      </c>
      <c r="C118">
        <f>IF($N118="","",INDEX(Staging!$C$2:$C$3001,$N118))</f>
      </c>
      <c r="D118">
        <f>IF($N118="","",INDEX(Staging!$D$2:$D$3001,$N118))</f>
      </c>
      <c r="E118">
        <f>IF($N118="","",INDEX(Staging!$F$2:$F$3001,$N118))</f>
      </c>
      <c r="F118">
        <f>IF($N118="","",INDEX(Staging!$G$2:$G$3001,$N118))</f>
      </c>
      <c r="G118">
        <f>IF($N118="","",INDEX(Staging!$H$2:$H$3001,$N118))</f>
      </c>
      <c r="H118">
        <f>IF($N118="","",INDEX(Staging!$I$2:$I$3001,$N118))</f>
      </c>
      <c r="I118">
        <f>IF($N118="","",INDEX(Staging!$J$2:$J$3001,$N118))</f>
      </c>
      <c r="J118">
        <f>IF($N118="","",INDEX(Staging!$K$2:$K$3001,$N118))</f>
      </c>
      <c r="K118">
        <f>IF($N118="","",INDEX(Staging!$M$2:$M$3001,$N118))</f>
      </c>
      <c r="L118">
        <f>IF($N118="","",INDEX(Staging!$O$2:$O$3001,$N118))</f>
      </c>
      <c r="M118">
        <f>IF($N118="","",INDEX(Staging!$P$2:$P$3001,$N118))</f>
      </c>
      <c r="N118">
        <f t="array" ref="N118">IFERROR(SMALL(IF(Staging!$E$2:$E$3001="MIPPL",ROW(Staging!$E$2:$E$3001)-ROW(Staging!$E$2)+1),117),"")</f>
      </c>
    </row>
    <row r="119" spans="1:14" x14ac:dyDescent="0.25">
      <c r="A119">
        <f>IF($N119="","",INDEX(Staging!$A$2:$A$3001,$N119))</f>
      </c>
      <c r="B119">
        <f>IF($N119="","",INDEX(Staging!$B$2:$B$3001,$N119))</f>
      </c>
      <c r="C119">
        <f>IF($N119="","",INDEX(Staging!$C$2:$C$3001,$N119))</f>
      </c>
      <c r="D119">
        <f>IF($N119="","",INDEX(Staging!$D$2:$D$3001,$N119))</f>
      </c>
      <c r="E119">
        <f>IF($N119="","",INDEX(Staging!$F$2:$F$3001,$N119))</f>
      </c>
      <c r="F119">
        <f>IF($N119="","",INDEX(Staging!$G$2:$G$3001,$N119))</f>
      </c>
      <c r="G119">
        <f>IF($N119="","",INDEX(Staging!$H$2:$H$3001,$N119))</f>
      </c>
      <c r="H119">
        <f>IF($N119="","",INDEX(Staging!$I$2:$I$3001,$N119))</f>
      </c>
      <c r="I119">
        <f>IF($N119="","",INDEX(Staging!$J$2:$J$3001,$N119))</f>
      </c>
      <c r="J119">
        <f>IF($N119="","",INDEX(Staging!$K$2:$K$3001,$N119))</f>
      </c>
      <c r="K119">
        <f>IF($N119="","",INDEX(Staging!$M$2:$M$3001,$N119))</f>
      </c>
      <c r="L119">
        <f>IF($N119="","",INDEX(Staging!$O$2:$O$3001,$N119))</f>
      </c>
      <c r="M119">
        <f>IF($N119="","",INDEX(Staging!$P$2:$P$3001,$N119))</f>
      </c>
      <c r="N119">
        <f t="array" ref="N119">IFERROR(SMALL(IF(Staging!$E$2:$E$3001="MIPPL",ROW(Staging!$E$2:$E$3001)-ROW(Staging!$E$2)+1),118),"")</f>
      </c>
    </row>
    <row r="120" spans="1:14" x14ac:dyDescent="0.25">
      <c r="A120">
        <f>IF($N120="","",INDEX(Staging!$A$2:$A$3001,$N120))</f>
      </c>
      <c r="B120">
        <f>IF($N120="","",INDEX(Staging!$B$2:$B$3001,$N120))</f>
      </c>
      <c r="C120">
        <f>IF($N120="","",INDEX(Staging!$C$2:$C$3001,$N120))</f>
      </c>
      <c r="D120">
        <f>IF($N120="","",INDEX(Staging!$D$2:$D$3001,$N120))</f>
      </c>
      <c r="E120">
        <f>IF($N120="","",INDEX(Staging!$F$2:$F$3001,$N120))</f>
      </c>
      <c r="F120">
        <f>IF($N120="","",INDEX(Staging!$G$2:$G$3001,$N120))</f>
      </c>
      <c r="G120">
        <f>IF($N120="","",INDEX(Staging!$H$2:$H$3001,$N120))</f>
      </c>
      <c r="H120">
        <f>IF($N120="","",INDEX(Staging!$I$2:$I$3001,$N120))</f>
      </c>
      <c r="I120">
        <f>IF($N120="","",INDEX(Staging!$J$2:$J$3001,$N120))</f>
      </c>
      <c r="J120">
        <f>IF($N120="","",INDEX(Staging!$K$2:$K$3001,$N120))</f>
      </c>
      <c r="K120">
        <f>IF($N120="","",INDEX(Staging!$M$2:$M$3001,$N120))</f>
      </c>
      <c r="L120">
        <f>IF($N120="","",INDEX(Staging!$O$2:$O$3001,$N120))</f>
      </c>
      <c r="M120">
        <f>IF($N120="","",INDEX(Staging!$P$2:$P$3001,$N120))</f>
      </c>
      <c r="N120">
        <f t="array" ref="N120">IFERROR(SMALL(IF(Staging!$E$2:$E$3001="MIPPL",ROW(Staging!$E$2:$E$3001)-ROW(Staging!$E$2)+1),119),"")</f>
      </c>
    </row>
    <row r="121" spans="1:14" x14ac:dyDescent="0.25">
      <c r="A121">
        <f>IF($N121="","",INDEX(Staging!$A$2:$A$3001,$N121))</f>
      </c>
      <c r="B121">
        <f>IF($N121="","",INDEX(Staging!$B$2:$B$3001,$N121))</f>
      </c>
      <c r="C121">
        <f>IF($N121="","",INDEX(Staging!$C$2:$C$3001,$N121))</f>
      </c>
      <c r="D121">
        <f>IF($N121="","",INDEX(Staging!$D$2:$D$3001,$N121))</f>
      </c>
      <c r="E121">
        <f>IF($N121="","",INDEX(Staging!$F$2:$F$3001,$N121))</f>
      </c>
      <c r="F121">
        <f>IF($N121="","",INDEX(Staging!$G$2:$G$3001,$N121))</f>
      </c>
      <c r="G121">
        <f>IF($N121="","",INDEX(Staging!$H$2:$H$3001,$N121))</f>
      </c>
      <c r="H121">
        <f>IF($N121="","",INDEX(Staging!$I$2:$I$3001,$N121))</f>
      </c>
      <c r="I121">
        <f>IF($N121="","",INDEX(Staging!$J$2:$J$3001,$N121))</f>
      </c>
      <c r="J121">
        <f>IF($N121="","",INDEX(Staging!$K$2:$K$3001,$N121))</f>
      </c>
      <c r="K121">
        <f>IF($N121="","",INDEX(Staging!$M$2:$M$3001,$N121))</f>
      </c>
      <c r="L121">
        <f>IF($N121="","",INDEX(Staging!$O$2:$O$3001,$N121))</f>
      </c>
      <c r="M121">
        <f>IF($N121="","",INDEX(Staging!$P$2:$P$3001,$N121))</f>
      </c>
      <c r="N121">
        <f t="array" ref="N121">IFERROR(SMALL(IF(Staging!$E$2:$E$3001="MIPPL",ROW(Staging!$E$2:$E$3001)-ROW(Staging!$E$2)+1),120),"")</f>
      </c>
    </row>
    <row r="122" spans="1:14" x14ac:dyDescent="0.25">
      <c r="A122">
        <f>IF($N122="","",INDEX(Staging!$A$2:$A$3001,$N122))</f>
      </c>
      <c r="B122">
        <f>IF($N122="","",INDEX(Staging!$B$2:$B$3001,$N122))</f>
      </c>
      <c r="C122">
        <f>IF($N122="","",INDEX(Staging!$C$2:$C$3001,$N122))</f>
      </c>
      <c r="D122">
        <f>IF($N122="","",INDEX(Staging!$D$2:$D$3001,$N122))</f>
      </c>
      <c r="E122">
        <f>IF($N122="","",INDEX(Staging!$F$2:$F$3001,$N122))</f>
      </c>
      <c r="F122">
        <f>IF($N122="","",INDEX(Staging!$G$2:$G$3001,$N122))</f>
      </c>
      <c r="G122">
        <f>IF($N122="","",INDEX(Staging!$H$2:$H$3001,$N122))</f>
      </c>
      <c r="H122">
        <f>IF($N122="","",INDEX(Staging!$I$2:$I$3001,$N122))</f>
      </c>
      <c r="I122">
        <f>IF($N122="","",INDEX(Staging!$J$2:$J$3001,$N122))</f>
      </c>
      <c r="J122">
        <f>IF($N122="","",INDEX(Staging!$K$2:$K$3001,$N122))</f>
      </c>
      <c r="K122">
        <f>IF($N122="","",INDEX(Staging!$M$2:$M$3001,$N122))</f>
      </c>
      <c r="L122">
        <f>IF($N122="","",INDEX(Staging!$O$2:$O$3001,$N122))</f>
      </c>
      <c r="M122">
        <f>IF($N122="","",INDEX(Staging!$P$2:$P$3001,$N122))</f>
      </c>
      <c r="N122">
        <f t="array" ref="N122">IFERROR(SMALL(IF(Staging!$E$2:$E$3001="MIPPL",ROW(Staging!$E$2:$E$3001)-ROW(Staging!$E$2)+1),121),"")</f>
      </c>
    </row>
    <row r="123" spans="1:14" x14ac:dyDescent="0.25">
      <c r="A123">
        <f>IF($N123="","",INDEX(Staging!$A$2:$A$3001,$N123))</f>
      </c>
      <c r="B123">
        <f>IF($N123="","",INDEX(Staging!$B$2:$B$3001,$N123))</f>
      </c>
      <c r="C123">
        <f>IF($N123="","",INDEX(Staging!$C$2:$C$3001,$N123))</f>
      </c>
      <c r="D123">
        <f>IF($N123="","",INDEX(Staging!$D$2:$D$3001,$N123))</f>
      </c>
      <c r="E123">
        <f>IF($N123="","",INDEX(Staging!$F$2:$F$3001,$N123))</f>
      </c>
      <c r="F123">
        <f>IF($N123="","",INDEX(Staging!$G$2:$G$3001,$N123))</f>
      </c>
      <c r="G123">
        <f>IF($N123="","",INDEX(Staging!$H$2:$H$3001,$N123))</f>
      </c>
      <c r="H123">
        <f>IF($N123="","",INDEX(Staging!$I$2:$I$3001,$N123))</f>
      </c>
      <c r="I123">
        <f>IF($N123="","",INDEX(Staging!$J$2:$J$3001,$N123))</f>
      </c>
      <c r="J123">
        <f>IF($N123="","",INDEX(Staging!$K$2:$K$3001,$N123))</f>
      </c>
      <c r="K123">
        <f>IF($N123="","",INDEX(Staging!$M$2:$M$3001,$N123))</f>
      </c>
      <c r="L123">
        <f>IF($N123="","",INDEX(Staging!$O$2:$O$3001,$N123))</f>
      </c>
      <c r="M123">
        <f>IF($N123="","",INDEX(Staging!$P$2:$P$3001,$N123))</f>
      </c>
      <c r="N123">
        <f t="array" ref="N123">IFERROR(SMALL(IF(Staging!$E$2:$E$3001="MIPPL",ROW(Staging!$E$2:$E$3001)-ROW(Staging!$E$2)+1),122),"")</f>
      </c>
    </row>
    <row r="124" spans="1:14" x14ac:dyDescent="0.25">
      <c r="A124">
        <f>IF($N124="","",INDEX(Staging!$A$2:$A$3001,$N124))</f>
      </c>
      <c r="B124">
        <f>IF($N124="","",INDEX(Staging!$B$2:$B$3001,$N124))</f>
      </c>
      <c r="C124">
        <f>IF($N124="","",INDEX(Staging!$C$2:$C$3001,$N124))</f>
      </c>
      <c r="D124">
        <f>IF($N124="","",INDEX(Staging!$D$2:$D$3001,$N124))</f>
      </c>
      <c r="E124">
        <f>IF($N124="","",INDEX(Staging!$F$2:$F$3001,$N124))</f>
      </c>
      <c r="F124">
        <f>IF($N124="","",INDEX(Staging!$G$2:$G$3001,$N124))</f>
      </c>
      <c r="G124">
        <f>IF($N124="","",INDEX(Staging!$H$2:$H$3001,$N124))</f>
      </c>
      <c r="H124">
        <f>IF($N124="","",INDEX(Staging!$I$2:$I$3001,$N124))</f>
      </c>
      <c r="I124">
        <f>IF($N124="","",INDEX(Staging!$J$2:$J$3001,$N124))</f>
      </c>
      <c r="J124">
        <f>IF($N124="","",INDEX(Staging!$K$2:$K$3001,$N124))</f>
      </c>
      <c r="K124">
        <f>IF($N124="","",INDEX(Staging!$M$2:$M$3001,$N124))</f>
      </c>
      <c r="L124">
        <f>IF($N124="","",INDEX(Staging!$O$2:$O$3001,$N124))</f>
      </c>
      <c r="M124">
        <f>IF($N124="","",INDEX(Staging!$P$2:$P$3001,$N124))</f>
      </c>
      <c r="N124">
        <f t="array" ref="N124">IFERROR(SMALL(IF(Staging!$E$2:$E$3001="MIPPL",ROW(Staging!$E$2:$E$3001)-ROW(Staging!$E$2)+1),123),"")</f>
      </c>
    </row>
    <row r="125" spans="1:14" x14ac:dyDescent="0.25">
      <c r="A125">
        <f>IF($N125="","",INDEX(Staging!$A$2:$A$3001,$N125))</f>
      </c>
      <c r="B125">
        <f>IF($N125="","",INDEX(Staging!$B$2:$B$3001,$N125))</f>
      </c>
      <c r="C125">
        <f>IF($N125="","",INDEX(Staging!$C$2:$C$3001,$N125))</f>
      </c>
      <c r="D125">
        <f>IF($N125="","",INDEX(Staging!$D$2:$D$3001,$N125))</f>
      </c>
      <c r="E125">
        <f>IF($N125="","",INDEX(Staging!$F$2:$F$3001,$N125))</f>
      </c>
      <c r="F125">
        <f>IF($N125="","",INDEX(Staging!$G$2:$G$3001,$N125))</f>
      </c>
      <c r="G125">
        <f>IF($N125="","",INDEX(Staging!$H$2:$H$3001,$N125))</f>
      </c>
      <c r="H125">
        <f>IF($N125="","",INDEX(Staging!$I$2:$I$3001,$N125))</f>
      </c>
      <c r="I125">
        <f>IF($N125="","",INDEX(Staging!$J$2:$J$3001,$N125))</f>
      </c>
      <c r="J125">
        <f>IF($N125="","",INDEX(Staging!$K$2:$K$3001,$N125))</f>
      </c>
      <c r="K125">
        <f>IF($N125="","",INDEX(Staging!$M$2:$M$3001,$N125))</f>
      </c>
      <c r="L125">
        <f>IF($N125="","",INDEX(Staging!$O$2:$O$3001,$N125))</f>
      </c>
      <c r="M125">
        <f>IF($N125="","",INDEX(Staging!$P$2:$P$3001,$N125))</f>
      </c>
      <c r="N125">
        <f t="array" ref="N125">IFERROR(SMALL(IF(Staging!$E$2:$E$3001="MIPPL",ROW(Staging!$E$2:$E$3001)-ROW(Staging!$E$2)+1),124),"")</f>
      </c>
    </row>
    <row r="126" spans="1:14" x14ac:dyDescent="0.25">
      <c r="A126">
        <f>IF($N126="","",INDEX(Staging!$A$2:$A$3001,$N126))</f>
      </c>
      <c r="B126">
        <f>IF($N126="","",INDEX(Staging!$B$2:$B$3001,$N126))</f>
      </c>
      <c r="C126">
        <f>IF($N126="","",INDEX(Staging!$C$2:$C$3001,$N126))</f>
      </c>
      <c r="D126">
        <f>IF($N126="","",INDEX(Staging!$D$2:$D$3001,$N126))</f>
      </c>
      <c r="E126">
        <f>IF($N126="","",INDEX(Staging!$F$2:$F$3001,$N126))</f>
      </c>
      <c r="F126">
        <f>IF($N126="","",INDEX(Staging!$G$2:$G$3001,$N126))</f>
      </c>
      <c r="G126">
        <f>IF($N126="","",INDEX(Staging!$H$2:$H$3001,$N126))</f>
      </c>
      <c r="H126">
        <f>IF($N126="","",INDEX(Staging!$I$2:$I$3001,$N126))</f>
      </c>
      <c r="I126">
        <f>IF($N126="","",INDEX(Staging!$J$2:$J$3001,$N126))</f>
      </c>
      <c r="J126">
        <f>IF($N126="","",INDEX(Staging!$K$2:$K$3001,$N126))</f>
      </c>
      <c r="K126">
        <f>IF($N126="","",INDEX(Staging!$M$2:$M$3001,$N126))</f>
      </c>
      <c r="L126">
        <f>IF($N126="","",INDEX(Staging!$O$2:$O$3001,$N126))</f>
      </c>
      <c r="M126">
        <f>IF($N126="","",INDEX(Staging!$P$2:$P$3001,$N126))</f>
      </c>
      <c r="N126">
        <f t="array" ref="N126">IFERROR(SMALL(IF(Staging!$E$2:$E$3001="MIPPL",ROW(Staging!$E$2:$E$3001)-ROW(Staging!$E$2)+1),125),"")</f>
      </c>
    </row>
    <row r="127" spans="1:14" x14ac:dyDescent="0.25">
      <c r="A127">
        <f>IF($N127="","",INDEX(Staging!$A$2:$A$3001,$N127))</f>
      </c>
      <c r="B127">
        <f>IF($N127="","",INDEX(Staging!$B$2:$B$3001,$N127))</f>
      </c>
      <c r="C127">
        <f>IF($N127="","",INDEX(Staging!$C$2:$C$3001,$N127))</f>
      </c>
      <c r="D127">
        <f>IF($N127="","",INDEX(Staging!$D$2:$D$3001,$N127))</f>
      </c>
      <c r="E127">
        <f>IF($N127="","",INDEX(Staging!$F$2:$F$3001,$N127))</f>
      </c>
      <c r="F127">
        <f>IF($N127="","",INDEX(Staging!$G$2:$G$3001,$N127))</f>
      </c>
      <c r="G127">
        <f>IF($N127="","",INDEX(Staging!$H$2:$H$3001,$N127))</f>
      </c>
      <c r="H127">
        <f>IF($N127="","",INDEX(Staging!$I$2:$I$3001,$N127))</f>
      </c>
      <c r="I127">
        <f>IF($N127="","",INDEX(Staging!$J$2:$J$3001,$N127))</f>
      </c>
      <c r="J127">
        <f>IF($N127="","",INDEX(Staging!$K$2:$K$3001,$N127))</f>
      </c>
      <c r="K127">
        <f>IF($N127="","",INDEX(Staging!$M$2:$M$3001,$N127))</f>
      </c>
      <c r="L127">
        <f>IF($N127="","",INDEX(Staging!$O$2:$O$3001,$N127))</f>
      </c>
      <c r="M127">
        <f>IF($N127="","",INDEX(Staging!$P$2:$P$3001,$N127))</f>
      </c>
      <c r="N127">
        <f t="array" ref="N127">IFERROR(SMALL(IF(Staging!$E$2:$E$3001="MIPPL",ROW(Staging!$E$2:$E$3001)-ROW(Staging!$E$2)+1),126),"")</f>
      </c>
    </row>
    <row r="128" spans="1:14" x14ac:dyDescent="0.25">
      <c r="A128">
        <f>IF($N128="","",INDEX(Staging!$A$2:$A$3001,$N128))</f>
      </c>
      <c r="B128">
        <f>IF($N128="","",INDEX(Staging!$B$2:$B$3001,$N128))</f>
      </c>
      <c r="C128">
        <f>IF($N128="","",INDEX(Staging!$C$2:$C$3001,$N128))</f>
      </c>
      <c r="D128">
        <f>IF($N128="","",INDEX(Staging!$D$2:$D$3001,$N128))</f>
      </c>
      <c r="E128">
        <f>IF($N128="","",INDEX(Staging!$F$2:$F$3001,$N128))</f>
      </c>
      <c r="F128">
        <f>IF($N128="","",INDEX(Staging!$G$2:$G$3001,$N128))</f>
      </c>
      <c r="G128">
        <f>IF($N128="","",INDEX(Staging!$H$2:$H$3001,$N128))</f>
      </c>
      <c r="H128">
        <f>IF($N128="","",INDEX(Staging!$I$2:$I$3001,$N128))</f>
      </c>
      <c r="I128">
        <f>IF($N128="","",INDEX(Staging!$J$2:$J$3001,$N128))</f>
      </c>
      <c r="J128">
        <f>IF($N128="","",INDEX(Staging!$K$2:$K$3001,$N128))</f>
      </c>
      <c r="K128">
        <f>IF($N128="","",INDEX(Staging!$M$2:$M$3001,$N128))</f>
      </c>
      <c r="L128">
        <f>IF($N128="","",INDEX(Staging!$O$2:$O$3001,$N128))</f>
      </c>
      <c r="M128">
        <f>IF($N128="","",INDEX(Staging!$P$2:$P$3001,$N128))</f>
      </c>
      <c r="N128">
        <f t="array" ref="N128">IFERROR(SMALL(IF(Staging!$E$2:$E$3001="MIPPL",ROW(Staging!$E$2:$E$3001)-ROW(Staging!$E$2)+1),127),"")</f>
      </c>
    </row>
    <row r="129" spans="1:14" x14ac:dyDescent="0.25">
      <c r="A129">
        <f>IF($N129="","",INDEX(Staging!$A$2:$A$3001,$N129))</f>
      </c>
      <c r="B129">
        <f>IF($N129="","",INDEX(Staging!$B$2:$B$3001,$N129))</f>
      </c>
      <c r="C129">
        <f>IF($N129="","",INDEX(Staging!$C$2:$C$3001,$N129))</f>
      </c>
      <c r="D129">
        <f>IF($N129="","",INDEX(Staging!$D$2:$D$3001,$N129))</f>
      </c>
      <c r="E129">
        <f>IF($N129="","",INDEX(Staging!$F$2:$F$3001,$N129))</f>
      </c>
      <c r="F129">
        <f>IF($N129="","",INDEX(Staging!$G$2:$G$3001,$N129))</f>
      </c>
      <c r="G129">
        <f>IF($N129="","",INDEX(Staging!$H$2:$H$3001,$N129))</f>
      </c>
      <c r="H129">
        <f>IF($N129="","",INDEX(Staging!$I$2:$I$3001,$N129))</f>
      </c>
      <c r="I129">
        <f>IF($N129="","",INDEX(Staging!$J$2:$J$3001,$N129))</f>
      </c>
      <c r="J129">
        <f>IF($N129="","",INDEX(Staging!$K$2:$K$3001,$N129))</f>
      </c>
      <c r="K129">
        <f>IF($N129="","",INDEX(Staging!$M$2:$M$3001,$N129))</f>
      </c>
      <c r="L129">
        <f>IF($N129="","",INDEX(Staging!$O$2:$O$3001,$N129))</f>
      </c>
      <c r="M129">
        <f>IF($N129="","",INDEX(Staging!$P$2:$P$3001,$N129))</f>
      </c>
      <c r="N129">
        <f t="array" ref="N129">IFERROR(SMALL(IF(Staging!$E$2:$E$3001="MIPPL",ROW(Staging!$E$2:$E$3001)-ROW(Staging!$E$2)+1),128),"")</f>
      </c>
    </row>
    <row r="130" spans="1:14" x14ac:dyDescent="0.25">
      <c r="A130">
        <f>IF($N130="","",INDEX(Staging!$A$2:$A$3001,$N130))</f>
      </c>
      <c r="B130">
        <f>IF($N130="","",INDEX(Staging!$B$2:$B$3001,$N130))</f>
      </c>
      <c r="C130">
        <f>IF($N130="","",INDEX(Staging!$C$2:$C$3001,$N130))</f>
      </c>
      <c r="D130">
        <f>IF($N130="","",INDEX(Staging!$D$2:$D$3001,$N130))</f>
      </c>
      <c r="E130">
        <f>IF($N130="","",INDEX(Staging!$F$2:$F$3001,$N130))</f>
      </c>
      <c r="F130">
        <f>IF($N130="","",INDEX(Staging!$G$2:$G$3001,$N130))</f>
      </c>
      <c r="G130">
        <f>IF($N130="","",INDEX(Staging!$H$2:$H$3001,$N130))</f>
      </c>
      <c r="H130">
        <f>IF($N130="","",INDEX(Staging!$I$2:$I$3001,$N130))</f>
      </c>
      <c r="I130">
        <f>IF($N130="","",INDEX(Staging!$J$2:$J$3001,$N130))</f>
      </c>
      <c r="J130">
        <f>IF($N130="","",INDEX(Staging!$K$2:$K$3001,$N130))</f>
      </c>
      <c r="K130">
        <f>IF($N130="","",INDEX(Staging!$M$2:$M$3001,$N130))</f>
      </c>
      <c r="L130">
        <f>IF($N130="","",INDEX(Staging!$O$2:$O$3001,$N130))</f>
      </c>
      <c r="M130">
        <f>IF($N130="","",INDEX(Staging!$P$2:$P$3001,$N130))</f>
      </c>
      <c r="N130">
        <f t="array" ref="N130">IFERROR(SMALL(IF(Staging!$E$2:$E$3001="MIPPL",ROW(Staging!$E$2:$E$3001)-ROW(Staging!$E$2)+1),129),"")</f>
      </c>
    </row>
    <row r="131" spans="1:14" x14ac:dyDescent="0.25">
      <c r="A131">
        <f>IF($N131="","",INDEX(Staging!$A$2:$A$3001,$N131))</f>
      </c>
      <c r="B131">
        <f>IF($N131="","",INDEX(Staging!$B$2:$B$3001,$N131))</f>
      </c>
      <c r="C131">
        <f>IF($N131="","",INDEX(Staging!$C$2:$C$3001,$N131))</f>
      </c>
      <c r="D131">
        <f>IF($N131="","",INDEX(Staging!$D$2:$D$3001,$N131))</f>
      </c>
      <c r="E131">
        <f>IF($N131="","",INDEX(Staging!$F$2:$F$3001,$N131))</f>
      </c>
      <c r="F131">
        <f>IF($N131="","",INDEX(Staging!$G$2:$G$3001,$N131))</f>
      </c>
      <c r="G131">
        <f>IF($N131="","",INDEX(Staging!$H$2:$H$3001,$N131))</f>
      </c>
      <c r="H131">
        <f>IF($N131="","",INDEX(Staging!$I$2:$I$3001,$N131))</f>
      </c>
      <c r="I131">
        <f>IF($N131="","",INDEX(Staging!$J$2:$J$3001,$N131))</f>
      </c>
      <c r="J131">
        <f>IF($N131="","",INDEX(Staging!$K$2:$K$3001,$N131))</f>
      </c>
      <c r="K131">
        <f>IF($N131="","",INDEX(Staging!$M$2:$M$3001,$N131))</f>
      </c>
      <c r="L131">
        <f>IF($N131="","",INDEX(Staging!$O$2:$O$3001,$N131))</f>
      </c>
      <c r="M131">
        <f>IF($N131="","",INDEX(Staging!$P$2:$P$3001,$N131))</f>
      </c>
      <c r="N131">
        <f t="array" ref="N131">IFERROR(SMALL(IF(Staging!$E$2:$E$3001="MIPPL",ROW(Staging!$E$2:$E$3001)-ROW(Staging!$E$2)+1),130),"")</f>
      </c>
    </row>
    <row r="132" spans="1:14" x14ac:dyDescent="0.25">
      <c r="A132">
        <f>IF($N132="","",INDEX(Staging!$A$2:$A$3001,$N132))</f>
      </c>
      <c r="B132">
        <f>IF($N132="","",INDEX(Staging!$B$2:$B$3001,$N132))</f>
      </c>
      <c r="C132">
        <f>IF($N132="","",INDEX(Staging!$C$2:$C$3001,$N132))</f>
      </c>
      <c r="D132">
        <f>IF($N132="","",INDEX(Staging!$D$2:$D$3001,$N132))</f>
      </c>
      <c r="E132">
        <f>IF($N132="","",INDEX(Staging!$F$2:$F$3001,$N132))</f>
      </c>
      <c r="F132">
        <f>IF($N132="","",INDEX(Staging!$G$2:$G$3001,$N132))</f>
      </c>
      <c r="G132">
        <f>IF($N132="","",INDEX(Staging!$H$2:$H$3001,$N132))</f>
      </c>
      <c r="H132">
        <f>IF($N132="","",INDEX(Staging!$I$2:$I$3001,$N132))</f>
      </c>
      <c r="I132">
        <f>IF($N132="","",INDEX(Staging!$J$2:$J$3001,$N132))</f>
      </c>
      <c r="J132">
        <f>IF($N132="","",INDEX(Staging!$K$2:$K$3001,$N132))</f>
      </c>
      <c r="K132">
        <f>IF($N132="","",INDEX(Staging!$M$2:$M$3001,$N132))</f>
      </c>
      <c r="L132">
        <f>IF($N132="","",INDEX(Staging!$O$2:$O$3001,$N132))</f>
      </c>
      <c r="M132">
        <f>IF($N132="","",INDEX(Staging!$P$2:$P$3001,$N132))</f>
      </c>
      <c r="N132">
        <f t="array" ref="N132">IFERROR(SMALL(IF(Staging!$E$2:$E$3001="MIPPL",ROW(Staging!$E$2:$E$3001)-ROW(Staging!$E$2)+1),131),"")</f>
      </c>
    </row>
    <row r="133" spans="1:14" x14ac:dyDescent="0.25">
      <c r="A133">
        <f>IF($N133="","",INDEX(Staging!$A$2:$A$3001,$N133))</f>
      </c>
      <c r="B133">
        <f>IF($N133="","",INDEX(Staging!$B$2:$B$3001,$N133))</f>
      </c>
      <c r="C133">
        <f>IF($N133="","",INDEX(Staging!$C$2:$C$3001,$N133))</f>
      </c>
      <c r="D133">
        <f>IF($N133="","",INDEX(Staging!$D$2:$D$3001,$N133))</f>
      </c>
      <c r="E133">
        <f>IF($N133="","",INDEX(Staging!$F$2:$F$3001,$N133))</f>
      </c>
      <c r="F133">
        <f>IF($N133="","",INDEX(Staging!$G$2:$G$3001,$N133))</f>
      </c>
      <c r="G133">
        <f>IF($N133="","",INDEX(Staging!$H$2:$H$3001,$N133))</f>
      </c>
      <c r="H133">
        <f>IF($N133="","",INDEX(Staging!$I$2:$I$3001,$N133))</f>
      </c>
      <c r="I133">
        <f>IF($N133="","",INDEX(Staging!$J$2:$J$3001,$N133))</f>
      </c>
      <c r="J133">
        <f>IF($N133="","",INDEX(Staging!$K$2:$K$3001,$N133))</f>
      </c>
      <c r="K133">
        <f>IF($N133="","",INDEX(Staging!$M$2:$M$3001,$N133))</f>
      </c>
      <c r="L133">
        <f>IF($N133="","",INDEX(Staging!$O$2:$O$3001,$N133))</f>
      </c>
      <c r="M133">
        <f>IF($N133="","",INDEX(Staging!$P$2:$P$3001,$N133))</f>
      </c>
      <c r="N133">
        <f t="array" ref="N133">IFERROR(SMALL(IF(Staging!$E$2:$E$3001="MIPPL",ROW(Staging!$E$2:$E$3001)-ROW(Staging!$E$2)+1),132),"")</f>
      </c>
    </row>
    <row r="134" spans="1:14" x14ac:dyDescent="0.25">
      <c r="A134">
        <f>IF($N134="","",INDEX(Staging!$A$2:$A$3001,$N134))</f>
      </c>
      <c r="B134">
        <f>IF($N134="","",INDEX(Staging!$B$2:$B$3001,$N134))</f>
      </c>
      <c r="C134">
        <f>IF($N134="","",INDEX(Staging!$C$2:$C$3001,$N134))</f>
      </c>
      <c r="D134">
        <f>IF($N134="","",INDEX(Staging!$D$2:$D$3001,$N134))</f>
      </c>
      <c r="E134">
        <f>IF($N134="","",INDEX(Staging!$F$2:$F$3001,$N134))</f>
      </c>
      <c r="F134">
        <f>IF($N134="","",INDEX(Staging!$G$2:$G$3001,$N134))</f>
      </c>
      <c r="G134">
        <f>IF($N134="","",INDEX(Staging!$H$2:$H$3001,$N134))</f>
      </c>
      <c r="H134">
        <f>IF($N134="","",INDEX(Staging!$I$2:$I$3001,$N134))</f>
      </c>
      <c r="I134">
        <f>IF($N134="","",INDEX(Staging!$J$2:$J$3001,$N134))</f>
      </c>
      <c r="J134">
        <f>IF($N134="","",INDEX(Staging!$K$2:$K$3001,$N134))</f>
      </c>
      <c r="K134">
        <f>IF($N134="","",INDEX(Staging!$M$2:$M$3001,$N134))</f>
      </c>
      <c r="L134">
        <f>IF($N134="","",INDEX(Staging!$O$2:$O$3001,$N134))</f>
      </c>
      <c r="M134">
        <f>IF($N134="","",INDEX(Staging!$P$2:$P$3001,$N134))</f>
      </c>
      <c r="N134">
        <f t="array" ref="N134">IFERROR(SMALL(IF(Staging!$E$2:$E$3001="MIPPL",ROW(Staging!$E$2:$E$3001)-ROW(Staging!$E$2)+1),133),"")</f>
      </c>
    </row>
    <row r="135" spans="1:14" x14ac:dyDescent="0.25">
      <c r="A135">
        <f>IF($N135="","",INDEX(Staging!$A$2:$A$3001,$N135))</f>
      </c>
      <c r="B135">
        <f>IF($N135="","",INDEX(Staging!$B$2:$B$3001,$N135))</f>
      </c>
      <c r="C135">
        <f>IF($N135="","",INDEX(Staging!$C$2:$C$3001,$N135))</f>
      </c>
      <c r="D135">
        <f>IF($N135="","",INDEX(Staging!$D$2:$D$3001,$N135))</f>
      </c>
      <c r="E135">
        <f>IF($N135="","",INDEX(Staging!$F$2:$F$3001,$N135))</f>
      </c>
      <c r="F135">
        <f>IF($N135="","",INDEX(Staging!$G$2:$G$3001,$N135))</f>
      </c>
      <c r="G135">
        <f>IF($N135="","",INDEX(Staging!$H$2:$H$3001,$N135))</f>
      </c>
      <c r="H135">
        <f>IF($N135="","",INDEX(Staging!$I$2:$I$3001,$N135))</f>
      </c>
      <c r="I135">
        <f>IF($N135="","",INDEX(Staging!$J$2:$J$3001,$N135))</f>
      </c>
      <c r="J135">
        <f>IF($N135="","",INDEX(Staging!$K$2:$K$3001,$N135))</f>
      </c>
      <c r="K135">
        <f>IF($N135="","",INDEX(Staging!$M$2:$M$3001,$N135))</f>
      </c>
      <c r="L135">
        <f>IF($N135="","",INDEX(Staging!$O$2:$O$3001,$N135))</f>
      </c>
      <c r="M135">
        <f>IF($N135="","",INDEX(Staging!$P$2:$P$3001,$N135))</f>
      </c>
      <c r="N135">
        <f t="array" ref="N135">IFERROR(SMALL(IF(Staging!$E$2:$E$3001="MIPPL",ROW(Staging!$E$2:$E$3001)-ROW(Staging!$E$2)+1),134),"")</f>
      </c>
    </row>
    <row r="136" spans="1:14" x14ac:dyDescent="0.25">
      <c r="A136">
        <f>IF($N136="","",INDEX(Staging!$A$2:$A$3001,$N136))</f>
      </c>
      <c r="B136">
        <f>IF($N136="","",INDEX(Staging!$B$2:$B$3001,$N136))</f>
      </c>
      <c r="C136">
        <f>IF($N136="","",INDEX(Staging!$C$2:$C$3001,$N136))</f>
      </c>
      <c r="D136">
        <f>IF($N136="","",INDEX(Staging!$D$2:$D$3001,$N136))</f>
      </c>
      <c r="E136">
        <f>IF($N136="","",INDEX(Staging!$F$2:$F$3001,$N136))</f>
      </c>
      <c r="F136">
        <f>IF($N136="","",INDEX(Staging!$G$2:$G$3001,$N136))</f>
      </c>
      <c r="G136">
        <f>IF($N136="","",INDEX(Staging!$H$2:$H$3001,$N136))</f>
      </c>
      <c r="H136">
        <f>IF($N136="","",INDEX(Staging!$I$2:$I$3001,$N136))</f>
      </c>
      <c r="I136">
        <f>IF($N136="","",INDEX(Staging!$J$2:$J$3001,$N136))</f>
      </c>
      <c r="J136">
        <f>IF($N136="","",INDEX(Staging!$K$2:$K$3001,$N136))</f>
      </c>
      <c r="K136">
        <f>IF($N136="","",INDEX(Staging!$M$2:$M$3001,$N136))</f>
      </c>
      <c r="L136">
        <f>IF($N136="","",INDEX(Staging!$O$2:$O$3001,$N136))</f>
      </c>
      <c r="M136">
        <f>IF($N136="","",INDEX(Staging!$P$2:$P$3001,$N136))</f>
      </c>
      <c r="N136">
        <f t="array" ref="N136">IFERROR(SMALL(IF(Staging!$E$2:$E$3001="MIPPL",ROW(Staging!$E$2:$E$3001)-ROW(Staging!$E$2)+1),135),"")</f>
      </c>
    </row>
    <row r="137" spans="1:14" x14ac:dyDescent="0.25">
      <c r="A137">
        <f>IF($N137="","",INDEX(Staging!$A$2:$A$3001,$N137))</f>
      </c>
      <c r="B137">
        <f>IF($N137="","",INDEX(Staging!$B$2:$B$3001,$N137))</f>
      </c>
      <c r="C137">
        <f>IF($N137="","",INDEX(Staging!$C$2:$C$3001,$N137))</f>
      </c>
      <c r="D137">
        <f>IF($N137="","",INDEX(Staging!$D$2:$D$3001,$N137))</f>
      </c>
      <c r="E137">
        <f>IF($N137="","",INDEX(Staging!$F$2:$F$3001,$N137))</f>
      </c>
      <c r="F137">
        <f>IF($N137="","",INDEX(Staging!$G$2:$G$3001,$N137))</f>
      </c>
      <c r="G137">
        <f>IF($N137="","",INDEX(Staging!$H$2:$H$3001,$N137))</f>
      </c>
      <c r="H137">
        <f>IF($N137="","",INDEX(Staging!$I$2:$I$3001,$N137))</f>
      </c>
      <c r="I137">
        <f>IF($N137="","",INDEX(Staging!$J$2:$J$3001,$N137))</f>
      </c>
      <c r="J137">
        <f>IF($N137="","",INDEX(Staging!$K$2:$K$3001,$N137))</f>
      </c>
      <c r="K137">
        <f>IF($N137="","",INDEX(Staging!$M$2:$M$3001,$N137))</f>
      </c>
      <c r="L137">
        <f>IF($N137="","",INDEX(Staging!$O$2:$O$3001,$N137))</f>
      </c>
      <c r="M137">
        <f>IF($N137="","",INDEX(Staging!$P$2:$P$3001,$N137))</f>
      </c>
      <c r="N137">
        <f t="array" ref="N137">IFERROR(SMALL(IF(Staging!$E$2:$E$3001="MIPPL",ROW(Staging!$E$2:$E$3001)-ROW(Staging!$E$2)+1),136),"")</f>
      </c>
    </row>
    <row r="138" spans="1:14" x14ac:dyDescent="0.25">
      <c r="A138">
        <f>IF($N138="","",INDEX(Staging!$A$2:$A$3001,$N138))</f>
      </c>
      <c r="B138">
        <f>IF($N138="","",INDEX(Staging!$B$2:$B$3001,$N138))</f>
      </c>
      <c r="C138">
        <f>IF($N138="","",INDEX(Staging!$C$2:$C$3001,$N138))</f>
      </c>
      <c r="D138">
        <f>IF($N138="","",INDEX(Staging!$D$2:$D$3001,$N138))</f>
      </c>
      <c r="E138">
        <f>IF($N138="","",INDEX(Staging!$F$2:$F$3001,$N138))</f>
      </c>
      <c r="F138">
        <f>IF($N138="","",INDEX(Staging!$G$2:$G$3001,$N138))</f>
      </c>
      <c r="G138">
        <f>IF($N138="","",INDEX(Staging!$H$2:$H$3001,$N138))</f>
      </c>
      <c r="H138">
        <f>IF($N138="","",INDEX(Staging!$I$2:$I$3001,$N138))</f>
      </c>
      <c r="I138">
        <f>IF($N138="","",INDEX(Staging!$J$2:$J$3001,$N138))</f>
      </c>
      <c r="J138">
        <f>IF($N138="","",INDEX(Staging!$K$2:$K$3001,$N138))</f>
      </c>
      <c r="K138">
        <f>IF($N138="","",INDEX(Staging!$M$2:$M$3001,$N138))</f>
      </c>
      <c r="L138">
        <f>IF($N138="","",INDEX(Staging!$O$2:$O$3001,$N138))</f>
      </c>
      <c r="M138">
        <f>IF($N138="","",INDEX(Staging!$P$2:$P$3001,$N138))</f>
      </c>
      <c r="N138">
        <f t="array" ref="N138">IFERROR(SMALL(IF(Staging!$E$2:$E$3001="MIPPL",ROW(Staging!$E$2:$E$3001)-ROW(Staging!$E$2)+1),137),"")</f>
      </c>
    </row>
    <row r="139" spans="1:14" x14ac:dyDescent="0.25">
      <c r="A139">
        <f>IF($N139="","",INDEX(Staging!$A$2:$A$3001,$N139))</f>
      </c>
      <c r="B139">
        <f>IF($N139="","",INDEX(Staging!$B$2:$B$3001,$N139))</f>
      </c>
      <c r="C139">
        <f>IF($N139="","",INDEX(Staging!$C$2:$C$3001,$N139))</f>
      </c>
      <c r="D139">
        <f>IF($N139="","",INDEX(Staging!$D$2:$D$3001,$N139))</f>
      </c>
      <c r="E139">
        <f>IF($N139="","",INDEX(Staging!$F$2:$F$3001,$N139))</f>
      </c>
      <c r="F139">
        <f>IF($N139="","",INDEX(Staging!$G$2:$G$3001,$N139))</f>
      </c>
      <c r="G139">
        <f>IF($N139="","",INDEX(Staging!$H$2:$H$3001,$N139))</f>
      </c>
      <c r="H139">
        <f>IF($N139="","",INDEX(Staging!$I$2:$I$3001,$N139))</f>
      </c>
      <c r="I139">
        <f>IF($N139="","",INDEX(Staging!$J$2:$J$3001,$N139))</f>
      </c>
      <c r="J139">
        <f>IF($N139="","",INDEX(Staging!$K$2:$K$3001,$N139))</f>
      </c>
      <c r="K139">
        <f>IF($N139="","",INDEX(Staging!$M$2:$M$3001,$N139))</f>
      </c>
      <c r="L139">
        <f>IF($N139="","",INDEX(Staging!$O$2:$O$3001,$N139))</f>
      </c>
      <c r="M139">
        <f>IF($N139="","",INDEX(Staging!$P$2:$P$3001,$N139))</f>
      </c>
      <c r="N139">
        <f t="array" ref="N139">IFERROR(SMALL(IF(Staging!$E$2:$E$3001="MIPPL",ROW(Staging!$E$2:$E$3001)-ROW(Staging!$E$2)+1),138),"")</f>
      </c>
    </row>
    <row r="140" spans="1:14" x14ac:dyDescent="0.25">
      <c r="A140">
        <f>IF($N140="","",INDEX(Staging!$A$2:$A$3001,$N140))</f>
      </c>
      <c r="B140">
        <f>IF($N140="","",INDEX(Staging!$B$2:$B$3001,$N140))</f>
      </c>
      <c r="C140">
        <f>IF($N140="","",INDEX(Staging!$C$2:$C$3001,$N140))</f>
      </c>
      <c r="D140">
        <f>IF($N140="","",INDEX(Staging!$D$2:$D$3001,$N140))</f>
      </c>
      <c r="E140">
        <f>IF($N140="","",INDEX(Staging!$F$2:$F$3001,$N140))</f>
      </c>
      <c r="F140">
        <f>IF($N140="","",INDEX(Staging!$G$2:$G$3001,$N140))</f>
      </c>
      <c r="G140">
        <f>IF($N140="","",INDEX(Staging!$H$2:$H$3001,$N140))</f>
      </c>
      <c r="H140">
        <f>IF($N140="","",INDEX(Staging!$I$2:$I$3001,$N140))</f>
      </c>
      <c r="I140">
        <f>IF($N140="","",INDEX(Staging!$J$2:$J$3001,$N140))</f>
      </c>
      <c r="J140">
        <f>IF($N140="","",INDEX(Staging!$K$2:$K$3001,$N140))</f>
      </c>
      <c r="K140">
        <f>IF($N140="","",INDEX(Staging!$M$2:$M$3001,$N140))</f>
      </c>
      <c r="L140">
        <f>IF($N140="","",INDEX(Staging!$O$2:$O$3001,$N140))</f>
      </c>
      <c r="M140">
        <f>IF($N140="","",INDEX(Staging!$P$2:$P$3001,$N140))</f>
      </c>
      <c r="N140">
        <f t="array" ref="N140">IFERROR(SMALL(IF(Staging!$E$2:$E$3001="MIPPL",ROW(Staging!$E$2:$E$3001)-ROW(Staging!$E$2)+1),139),"")</f>
      </c>
    </row>
    <row r="141" spans="1:14" x14ac:dyDescent="0.25">
      <c r="A141">
        <f>IF($N141="","",INDEX(Staging!$A$2:$A$3001,$N141))</f>
      </c>
      <c r="B141">
        <f>IF($N141="","",INDEX(Staging!$B$2:$B$3001,$N141))</f>
      </c>
      <c r="C141">
        <f>IF($N141="","",INDEX(Staging!$C$2:$C$3001,$N141))</f>
      </c>
      <c r="D141">
        <f>IF($N141="","",INDEX(Staging!$D$2:$D$3001,$N141))</f>
      </c>
      <c r="E141">
        <f>IF($N141="","",INDEX(Staging!$F$2:$F$3001,$N141))</f>
      </c>
      <c r="F141">
        <f>IF($N141="","",INDEX(Staging!$G$2:$G$3001,$N141))</f>
      </c>
      <c r="G141">
        <f>IF($N141="","",INDEX(Staging!$H$2:$H$3001,$N141))</f>
      </c>
      <c r="H141">
        <f>IF($N141="","",INDEX(Staging!$I$2:$I$3001,$N141))</f>
      </c>
      <c r="I141">
        <f>IF($N141="","",INDEX(Staging!$J$2:$J$3001,$N141))</f>
      </c>
      <c r="J141">
        <f>IF($N141="","",INDEX(Staging!$K$2:$K$3001,$N141))</f>
      </c>
      <c r="K141">
        <f>IF($N141="","",INDEX(Staging!$M$2:$M$3001,$N141))</f>
      </c>
      <c r="L141">
        <f>IF($N141="","",INDEX(Staging!$O$2:$O$3001,$N141))</f>
      </c>
      <c r="M141">
        <f>IF($N141="","",INDEX(Staging!$P$2:$P$3001,$N141))</f>
      </c>
      <c r="N141">
        <f t="array" ref="N141">IFERROR(SMALL(IF(Staging!$E$2:$E$3001="MIPPL",ROW(Staging!$E$2:$E$3001)-ROW(Staging!$E$2)+1),140),"")</f>
      </c>
    </row>
    <row r="142" spans="1:14" x14ac:dyDescent="0.25">
      <c r="A142">
        <f>IF($N142="","",INDEX(Staging!$A$2:$A$3001,$N142))</f>
      </c>
      <c r="B142">
        <f>IF($N142="","",INDEX(Staging!$B$2:$B$3001,$N142))</f>
      </c>
      <c r="C142">
        <f>IF($N142="","",INDEX(Staging!$C$2:$C$3001,$N142))</f>
      </c>
      <c r="D142">
        <f>IF($N142="","",INDEX(Staging!$D$2:$D$3001,$N142))</f>
      </c>
      <c r="E142">
        <f>IF($N142="","",INDEX(Staging!$F$2:$F$3001,$N142))</f>
      </c>
      <c r="F142">
        <f>IF($N142="","",INDEX(Staging!$G$2:$G$3001,$N142))</f>
      </c>
      <c r="G142">
        <f>IF($N142="","",INDEX(Staging!$H$2:$H$3001,$N142))</f>
      </c>
      <c r="H142">
        <f>IF($N142="","",INDEX(Staging!$I$2:$I$3001,$N142))</f>
      </c>
      <c r="I142">
        <f>IF($N142="","",INDEX(Staging!$J$2:$J$3001,$N142))</f>
      </c>
      <c r="J142">
        <f>IF($N142="","",INDEX(Staging!$K$2:$K$3001,$N142))</f>
      </c>
      <c r="K142">
        <f>IF($N142="","",INDEX(Staging!$M$2:$M$3001,$N142))</f>
      </c>
      <c r="L142">
        <f>IF($N142="","",INDEX(Staging!$O$2:$O$3001,$N142))</f>
      </c>
      <c r="M142">
        <f>IF($N142="","",INDEX(Staging!$P$2:$P$3001,$N142))</f>
      </c>
      <c r="N142">
        <f t="array" ref="N142">IFERROR(SMALL(IF(Staging!$E$2:$E$3001="MIPPL",ROW(Staging!$E$2:$E$3001)-ROW(Staging!$E$2)+1),141),"")</f>
      </c>
    </row>
    <row r="143" spans="1:14" x14ac:dyDescent="0.25">
      <c r="A143">
        <f>IF($N143="","",INDEX(Staging!$A$2:$A$3001,$N143))</f>
      </c>
      <c r="B143">
        <f>IF($N143="","",INDEX(Staging!$B$2:$B$3001,$N143))</f>
      </c>
      <c r="C143">
        <f>IF($N143="","",INDEX(Staging!$C$2:$C$3001,$N143))</f>
      </c>
      <c r="D143">
        <f>IF($N143="","",INDEX(Staging!$D$2:$D$3001,$N143))</f>
      </c>
      <c r="E143">
        <f>IF($N143="","",INDEX(Staging!$F$2:$F$3001,$N143))</f>
      </c>
      <c r="F143">
        <f>IF($N143="","",INDEX(Staging!$G$2:$G$3001,$N143))</f>
      </c>
      <c r="G143">
        <f>IF($N143="","",INDEX(Staging!$H$2:$H$3001,$N143))</f>
      </c>
      <c r="H143">
        <f>IF($N143="","",INDEX(Staging!$I$2:$I$3001,$N143))</f>
      </c>
      <c r="I143">
        <f>IF($N143="","",INDEX(Staging!$J$2:$J$3001,$N143))</f>
      </c>
      <c r="J143">
        <f>IF($N143="","",INDEX(Staging!$K$2:$K$3001,$N143))</f>
      </c>
      <c r="K143">
        <f>IF($N143="","",INDEX(Staging!$M$2:$M$3001,$N143))</f>
      </c>
      <c r="L143">
        <f>IF($N143="","",INDEX(Staging!$O$2:$O$3001,$N143))</f>
      </c>
      <c r="M143">
        <f>IF($N143="","",INDEX(Staging!$P$2:$P$3001,$N143))</f>
      </c>
      <c r="N143">
        <f t="array" ref="N143">IFERROR(SMALL(IF(Staging!$E$2:$E$3001="MIPPL",ROW(Staging!$E$2:$E$3001)-ROW(Staging!$E$2)+1),142),"")</f>
      </c>
    </row>
    <row r="144" spans="1:14" x14ac:dyDescent="0.25">
      <c r="A144">
        <f>IF($N144="","",INDEX(Staging!$A$2:$A$3001,$N144))</f>
      </c>
      <c r="B144">
        <f>IF($N144="","",INDEX(Staging!$B$2:$B$3001,$N144))</f>
      </c>
      <c r="C144">
        <f>IF($N144="","",INDEX(Staging!$C$2:$C$3001,$N144))</f>
      </c>
      <c r="D144">
        <f>IF($N144="","",INDEX(Staging!$D$2:$D$3001,$N144))</f>
      </c>
      <c r="E144">
        <f>IF($N144="","",INDEX(Staging!$F$2:$F$3001,$N144))</f>
      </c>
      <c r="F144">
        <f>IF($N144="","",INDEX(Staging!$G$2:$G$3001,$N144))</f>
      </c>
      <c r="G144">
        <f>IF($N144="","",INDEX(Staging!$H$2:$H$3001,$N144))</f>
      </c>
      <c r="H144">
        <f>IF($N144="","",INDEX(Staging!$I$2:$I$3001,$N144))</f>
      </c>
      <c r="I144">
        <f>IF($N144="","",INDEX(Staging!$J$2:$J$3001,$N144))</f>
      </c>
      <c r="J144">
        <f>IF($N144="","",INDEX(Staging!$K$2:$K$3001,$N144))</f>
      </c>
      <c r="K144">
        <f>IF($N144="","",INDEX(Staging!$M$2:$M$3001,$N144))</f>
      </c>
      <c r="L144">
        <f>IF($N144="","",INDEX(Staging!$O$2:$O$3001,$N144))</f>
      </c>
      <c r="M144">
        <f>IF($N144="","",INDEX(Staging!$P$2:$P$3001,$N144))</f>
      </c>
      <c r="N144">
        <f t="array" ref="N144">IFERROR(SMALL(IF(Staging!$E$2:$E$3001="MIPPL",ROW(Staging!$E$2:$E$3001)-ROW(Staging!$E$2)+1),143),"")</f>
      </c>
    </row>
    <row r="145" spans="1:14" x14ac:dyDescent="0.25">
      <c r="A145">
        <f>IF($N145="","",INDEX(Staging!$A$2:$A$3001,$N145))</f>
      </c>
      <c r="B145">
        <f>IF($N145="","",INDEX(Staging!$B$2:$B$3001,$N145))</f>
      </c>
      <c r="C145">
        <f>IF($N145="","",INDEX(Staging!$C$2:$C$3001,$N145))</f>
      </c>
      <c r="D145">
        <f>IF($N145="","",INDEX(Staging!$D$2:$D$3001,$N145))</f>
      </c>
      <c r="E145">
        <f>IF($N145="","",INDEX(Staging!$F$2:$F$3001,$N145))</f>
      </c>
      <c r="F145">
        <f>IF($N145="","",INDEX(Staging!$G$2:$G$3001,$N145))</f>
      </c>
      <c r="G145">
        <f>IF($N145="","",INDEX(Staging!$H$2:$H$3001,$N145))</f>
      </c>
      <c r="H145">
        <f>IF($N145="","",INDEX(Staging!$I$2:$I$3001,$N145))</f>
      </c>
      <c r="I145">
        <f>IF($N145="","",INDEX(Staging!$J$2:$J$3001,$N145))</f>
      </c>
      <c r="J145">
        <f>IF($N145="","",INDEX(Staging!$K$2:$K$3001,$N145))</f>
      </c>
      <c r="K145">
        <f>IF($N145="","",INDEX(Staging!$M$2:$M$3001,$N145))</f>
      </c>
      <c r="L145">
        <f>IF($N145="","",INDEX(Staging!$O$2:$O$3001,$N145))</f>
      </c>
      <c r="M145">
        <f>IF($N145="","",INDEX(Staging!$P$2:$P$3001,$N145))</f>
      </c>
      <c r="N145">
        <f t="array" ref="N145">IFERROR(SMALL(IF(Staging!$E$2:$E$3001="MIPPL",ROW(Staging!$E$2:$E$3001)-ROW(Staging!$E$2)+1),144),"")</f>
      </c>
    </row>
    <row r="146" spans="1:14" x14ac:dyDescent="0.25">
      <c r="A146">
        <f>IF($N146="","",INDEX(Staging!$A$2:$A$3001,$N146))</f>
      </c>
      <c r="B146">
        <f>IF($N146="","",INDEX(Staging!$B$2:$B$3001,$N146))</f>
      </c>
      <c r="C146">
        <f>IF($N146="","",INDEX(Staging!$C$2:$C$3001,$N146))</f>
      </c>
      <c r="D146">
        <f>IF($N146="","",INDEX(Staging!$D$2:$D$3001,$N146))</f>
      </c>
      <c r="E146">
        <f>IF($N146="","",INDEX(Staging!$F$2:$F$3001,$N146))</f>
      </c>
      <c r="F146">
        <f>IF($N146="","",INDEX(Staging!$G$2:$G$3001,$N146))</f>
      </c>
      <c r="G146">
        <f>IF($N146="","",INDEX(Staging!$H$2:$H$3001,$N146))</f>
      </c>
      <c r="H146">
        <f>IF($N146="","",INDEX(Staging!$I$2:$I$3001,$N146))</f>
      </c>
      <c r="I146">
        <f>IF($N146="","",INDEX(Staging!$J$2:$J$3001,$N146))</f>
      </c>
      <c r="J146">
        <f>IF($N146="","",INDEX(Staging!$K$2:$K$3001,$N146))</f>
      </c>
      <c r="K146">
        <f>IF($N146="","",INDEX(Staging!$M$2:$M$3001,$N146))</f>
      </c>
      <c r="L146">
        <f>IF($N146="","",INDEX(Staging!$O$2:$O$3001,$N146))</f>
      </c>
      <c r="M146">
        <f>IF($N146="","",INDEX(Staging!$P$2:$P$3001,$N146))</f>
      </c>
      <c r="N146">
        <f t="array" ref="N146">IFERROR(SMALL(IF(Staging!$E$2:$E$3001="MIPPL",ROW(Staging!$E$2:$E$3001)-ROW(Staging!$E$2)+1),145),"")</f>
      </c>
    </row>
    <row r="147" spans="1:14" x14ac:dyDescent="0.25">
      <c r="A147">
        <f>IF($N147="","",INDEX(Staging!$A$2:$A$3001,$N147))</f>
      </c>
      <c r="B147">
        <f>IF($N147="","",INDEX(Staging!$B$2:$B$3001,$N147))</f>
      </c>
      <c r="C147">
        <f>IF($N147="","",INDEX(Staging!$C$2:$C$3001,$N147))</f>
      </c>
      <c r="D147">
        <f>IF($N147="","",INDEX(Staging!$D$2:$D$3001,$N147))</f>
      </c>
      <c r="E147">
        <f>IF($N147="","",INDEX(Staging!$F$2:$F$3001,$N147))</f>
      </c>
      <c r="F147">
        <f>IF($N147="","",INDEX(Staging!$G$2:$G$3001,$N147))</f>
      </c>
      <c r="G147">
        <f>IF($N147="","",INDEX(Staging!$H$2:$H$3001,$N147))</f>
      </c>
      <c r="H147">
        <f>IF($N147="","",INDEX(Staging!$I$2:$I$3001,$N147))</f>
      </c>
      <c r="I147">
        <f>IF($N147="","",INDEX(Staging!$J$2:$J$3001,$N147))</f>
      </c>
      <c r="J147">
        <f>IF($N147="","",INDEX(Staging!$K$2:$K$3001,$N147))</f>
      </c>
      <c r="K147">
        <f>IF($N147="","",INDEX(Staging!$M$2:$M$3001,$N147))</f>
      </c>
      <c r="L147">
        <f>IF($N147="","",INDEX(Staging!$O$2:$O$3001,$N147))</f>
      </c>
      <c r="M147">
        <f>IF($N147="","",INDEX(Staging!$P$2:$P$3001,$N147))</f>
      </c>
      <c r="N147">
        <f t="array" ref="N147">IFERROR(SMALL(IF(Staging!$E$2:$E$3001="MIPPL",ROW(Staging!$E$2:$E$3001)-ROW(Staging!$E$2)+1),146),"")</f>
      </c>
    </row>
    <row r="148" spans="1:14" x14ac:dyDescent="0.25">
      <c r="A148">
        <f>IF($N148="","",INDEX(Staging!$A$2:$A$3001,$N148))</f>
      </c>
      <c r="B148">
        <f>IF($N148="","",INDEX(Staging!$B$2:$B$3001,$N148))</f>
      </c>
      <c r="C148">
        <f>IF($N148="","",INDEX(Staging!$C$2:$C$3001,$N148))</f>
      </c>
      <c r="D148">
        <f>IF($N148="","",INDEX(Staging!$D$2:$D$3001,$N148))</f>
      </c>
      <c r="E148">
        <f>IF($N148="","",INDEX(Staging!$F$2:$F$3001,$N148))</f>
      </c>
      <c r="F148">
        <f>IF($N148="","",INDEX(Staging!$G$2:$G$3001,$N148))</f>
      </c>
      <c r="G148">
        <f>IF($N148="","",INDEX(Staging!$H$2:$H$3001,$N148))</f>
      </c>
      <c r="H148">
        <f>IF($N148="","",INDEX(Staging!$I$2:$I$3001,$N148))</f>
      </c>
      <c r="I148">
        <f>IF($N148="","",INDEX(Staging!$J$2:$J$3001,$N148))</f>
      </c>
      <c r="J148">
        <f>IF($N148="","",INDEX(Staging!$K$2:$K$3001,$N148))</f>
      </c>
      <c r="K148">
        <f>IF($N148="","",INDEX(Staging!$M$2:$M$3001,$N148))</f>
      </c>
      <c r="L148">
        <f>IF($N148="","",INDEX(Staging!$O$2:$O$3001,$N148))</f>
      </c>
      <c r="M148">
        <f>IF($N148="","",INDEX(Staging!$P$2:$P$3001,$N148))</f>
      </c>
      <c r="N148">
        <f t="array" ref="N148">IFERROR(SMALL(IF(Staging!$E$2:$E$3001="MIPPL",ROW(Staging!$E$2:$E$3001)-ROW(Staging!$E$2)+1),147),"")</f>
      </c>
    </row>
    <row r="149" spans="1:14" x14ac:dyDescent="0.25">
      <c r="A149">
        <f>IF($N149="","",INDEX(Staging!$A$2:$A$3001,$N149))</f>
      </c>
      <c r="B149">
        <f>IF($N149="","",INDEX(Staging!$B$2:$B$3001,$N149))</f>
      </c>
      <c r="C149">
        <f>IF($N149="","",INDEX(Staging!$C$2:$C$3001,$N149))</f>
      </c>
      <c r="D149">
        <f>IF($N149="","",INDEX(Staging!$D$2:$D$3001,$N149))</f>
      </c>
      <c r="E149">
        <f>IF($N149="","",INDEX(Staging!$F$2:$F$3001,$N149))</f>
      </c>
      <c r="F149">
        <f>IF($N149="","",INDEX(Staging!$G$2:$G$3001,$N149))</f>
      </c>
      <c r="G149">
        <f>IF($N149="","",INDEX(Staging!$H$2:$H$3001,$N149))</f>
      </c>
      <c r="H149">
        <f>IF($N149="","",INDEX(Staging!$I$2:$I$3001,$N149))</f>
      </c>
      <c r="I149">
        <f>IF($N149="","",INDEX(Staging!$J$2:$J$3001,$N149))</f>
      </c>
      <c r="J149">
        <f>IF($N149="","",INDEX(Staging!$K$2:$K$3001,$N149))</f>
      </c>
      <c r="K149">
        <f>IF($N149="","",INDEX(Staging!$M$2:$M$3001,$N149))</f>
      </c>
      <c r="L149">
        <f>IF($N149="","",INDEX(Staging!$O$2:$O$3001,$N149))</f>
      </c>
      <c r="M149">
        <f>IF($N149="","",INDEX(Staging!$P$2:$P$3001,$N149))</f>
      </c>
      <c r="N149">
        <f t="array" ref="N149">IFERROR(SMALL(IF(Staging!$E$2:$E$3001="MIPPL",ROW(Staging!$E$2:$E$3001)-ROW(Staging!$E$2)+1),148),"")</f>
      </c>
    </row>
    <row r="150" spans="1:14" x14ac:dyDescent="0.25">
      <c r="A150">
        <f>IF($N150="","",INDEX(Staging!$A$2:$A$3001,$N150))</f>
      </c>
      <c r="B150">
        <f>IF($N150="","",INDEX(Staging!$B$2:$B$3001,$N150))</f>
      </c>
      <c r="C150">
        <f>IF($N150="","",INDEX(Staging!$C$2:$C$3001,$N150))</f>
      </c>
      <c r="D150">
        <f>IF($N150="","",INDEX(Staging!$D$2:$D$3001,$N150))</f>
      </c>
      <c r="E150">
        <f>IF($N150="","",INDEX(Staging!$F$2:$F$3001,$N150))</f>
      </c>
      <c r="F150">
        <f>IF($N150="","",INDEX(Staging!$G$2:$G$3001,$N150))</f>
      </c>
      <c r="G150">
        <f>IF($N150="","",INDEX(Staging!$H$2:$H$3001,$N150))</f>
      </c>
      <c r="H150">
        <f>IF($N150="","",INDEX(Staging!$I$2:$I$3001,$N150))</f>
      </c>
      <c r="I150">
        <f>IF($N150="","",INDEX(Staging!$J$2:$J$3001,$N150))</f>
      </c>
      <c r="J150">
        <f>IF($N150="","",INDEX(Staging!$K$2:$K$3001,$N150))</f>
      </c>
      <c r="K150">
        <f>IF($N150="","",INDEX(Staging!$M$2:$M$3001,$N150))</f>
      </c>
      <c r="L150">
        <f>IF($N150="","",INDEX(Staging!$O$2:$O$3001,$N150))</f>
      </c>
      <c r="M150">
        <f>IF($N150="","",INDEX(Staging!$P$2:$P$3001,$N150))</f>
      </c>
      <c r="N150">
        <f t="array" ref="N150">IFERROR(SMALL(IF(Staging!$E$2:$E$3001="MIPPL",ROW(Staging!$E$2:$E$3001)-ROW(Staging!$E$2)+1),149),"")</f>
      </c>
    </row>
    <row r="151" spans="1:14" x14ac:dyDescent="0.25">
      <c r="A151">
        <f>IF($N151="","",INDEX(Staging!$A$2:$A$3001,$N151))</f>
      </c>
      <c r="B151">
        <f>IF($N151="","",INDEX(Staging!$B$2:$B$3001,$N151))</f>
      </c>
      <c r="C151">
        <f>IF($N151="","",INDEX(Staging!$C$2:$C$3001,$N151))</f>
      </c>
      <c r="D151">
        <f>IF($N151="","",INDEX(Staging!$D$2:$D$3001,$N151))</f>
      </c>
      <c r="E151">
        <f>IF($N151="","",INDEX(Staging!$F$2:$F$3001,$N151))</f>
      </c>
      <c r="F151">
        <f>IF($N151="","",INDEX(Staging!$G$2:$G$3001,$N151))</f>
      </c>
      <c r="G151">
        <f>IF($N151="","",INDEX(Staging!$H$2:$H$3001,$N151))</f>
      </c>
      <c r="H151">
        <f>IF($N151="","",INDEX(Staging!$I$2:$I$3001,$N151))</f>
      </c>
      <c r="I151">
        <f>IF($N151="","",INDEX(Staging!$J$2:$J$3001,$N151))</f>
      </c>
      <c r="J151">
        <f>IF($N151="","",INDEX(Staging!$K$2:$K$3001,$N151))</f>
      </c>
      <c r="K151">
        <f>IF($N151="","",INDEX(Staging!$M$2:$M$3001,$N151))</f>
      </c>
      <c r="L151">
        <f>IF($N151="","",INDEX(Staging!$O$2:$O$3001,$N151))</f>
      </c>
      <c r="M151">
        <f>IF($N151="","",INDEX(Staging!$P$2:$P$3001,$N151))</f>
      </c>
      <c r="N151">
        <f t="array" ref="N151">IFERROR(SMALL(IF(Staging!$E$2:$E$3001="MIPPL",ROW(Staging!$E$2:$E$3001)-ROW(Staging!$E$2)+1),150),"")</f>
      </c>
    </row>
    <row r="152" spans="1:14" x14ac:dyDescent="0.25">
      <c r="A152">
        <f>IF($N152="","",INDEX(Staging!$A$2:$A$3001,$N152))</f>
      </c>
      <c r="B152">
        <f>IF($N152="","",INDEX(Staging!$B$2:$B$3001,$N152))</f>
      </c>
      <c r="C152">
        <f>IF($N152="","",INDEX(Staging!$C$2:$C$3001,$N152))</f>
      </c>
      <c r="D152">
        <f>IF($N152="","",INDEX(Staging!$D$2:$D$3001,$N152))</f>
      </c>
      <c r="E152">
        <f>IF($N152="","",INDEX(Staging!$F$2:$F$3001,$N152))</f>
      </c>
      <c r="F152">
        <f>IF($N152="","",INDEX(Staging!$G$2:$G$3001,$N152))</f>
      </c>
      <c r="G152">
        <f>IF($N152="","",INDEX(Staging!$H$2:$H$3001,$N152))</f>
      </c>
      <c r="H152">
        <f>IF($N152="","",INDEX(Staging!$I$2:$I$3001,$N152))</f>
      </c>
      <c r="I152">
        <f>IF($N152="","",INDEX(Staging!$J$2:$J$3001,$N152))</f>
      </c>
      <c r="J152">
        <f>IF($N152="","",INDEX(Staging!$K$2:$K$3001,$N152))</f>
      </c>
      <c r="K152">
        <f>IF($N152="","",INDEX(Staging!$M$2:$M$3001,$N152))</f>
      </c>
      <c r="L152">
        <f>IF($N152="","",INDEX(Staging!$O$2:$O$3001,$N152))</f>
      </c>
      <c r="M152">
        <f>IF($N152="","",INDEX(Staging!$P$2:$P$3001,$N152))</f>
      </c>
      <c r="N152">
        <f t="array" ref="N152">IFERROR(SMALL(IF(Staging!$E$2:$E$3001="MIPPL",ROW(Staging!$E$2:$E$3001)-ROW(Staging!$E$2)+1),151),"")</f>
      </c>
    </row>
    <row r="153" spans="1:14" x14ac:dyDescent="0.25">
      <c r="A153">
        <f>IF($N153="","",INDEX(Staging!$A$2:$A$3001,$N153))</f>
      </c>
      <c r="B153">
        <f>IF($N153="","",INDEX(Staging!$B$2:$B$3001,$N153))</f>
      </c>
      <c r="C153">
        <f>IF($N153="","",INDEX(Staging!$C$2:$C$3001,$N153))</f>
      </c>
      <c r="D153">
        <f>IF($N153="","",INDEX(Staging!$D$2:$D$3001,$N153))</f>
      </c>
      <c r="E153">
        <f>IF($N153="","",INDEX(Staging!$F$2:$F$3001,$N153))</f>
      </c>
      <c r="F153">
        <f>IF($N153="","",INDEX(Staging!$G$2:$G$3001,$N153))</f>
      </c>
      <c r="G153">
        <f>IF($N153="","",INDEX(Staging!$H$2:$H$3001,$N153))</f>
      </c>
      <c r="H153">
        <f>IF($N153="","",INDEX(Staging!$I$2:$I$3001,$N153))</f>
      </c>
      <c r="I153">
        <f>IF($N153="","",INDEX(Staging!$J$2:$J$3001,$N153))</f>
      </c>
      <c r="J153">
        <f>IF($N153="","",INDEX(Staging!$K$2:$K$3001,$N153))</f>
      </c>
      <c r="K153">
        <f>IF($N153="","",INDEX(Staging!$M$2:$M$3001,$N153))</f>
      </c>
      <c r="L153">
        <f>IF($N153="","",INDEX(Staging!$O$2:$O$3001,$N153))</f>
      </c>
      <c r="M153">
        <f>IF($N153="","",INDEX(Staging!$P$2:$P$3001,$N153))</f>
      </c>
      <c r="N153">
        <f t="array" ref="N153">IFERROR(SMALL(IF(Staging!$E$2:$E$3001="MIPPL",ROW(Staging!$E$2:$E$3001)-ROW(Staging!$E$2)+1),152),"")</f>
      </c>
    </row>
    <row r="154" spans="1:14" x14ac:dyDescent="0.25">
      <c r="A154">
        <f>IF($N154="","",INDEX(Staging!$A$2:$A$3001,$N154))</f>
      </c>
      <c r="B154">
        <f>IF($N154="","",INDEX(Staging!$B$2:$B$3001,$N154))</f>
      </c>
      <c r="C154">
        <f>IF($N154="","",INDEX(Staging!$C$2:$C$3001,$N154))</f>
      </c>
      <c r="D154">
        <f>IF($N154="","",INDEX(Staging!$D$2:$D$3001,$N154))</f>
      </c>
      <c r="E154">
        <f>IF($N154="","",INDEX(Staging!$F$2:$F$3001,$N154))</f>
      </c>
      <c r="F154">
        <f>IF($N154="","",INDEX(Staging!$G$2:$G$3001,$N154))</f>
      </c>
      <c r="G154">
        <f>IF($N154="","",INDEX(Staging!$H$2:$H$3001,$N154))</f>
      </c>
      <c r="H154">
        <f>IF($N154="","",INDEX(Staging!$I$2:$I$3001,$N154))</f>
      </c>
      <c r="I154">
        <f>IF($N154="","",INDEX(Staging!$J$2:$J$3001,$N154))</f>
      </c>
      <c r="J154">
        <f>IF($N154="","",INDEX(Staging!$K$2:$K$3001,$N154))</f>
      </c>
      <c r="K154">
        <f>IF($N154="","",INDEX(Staging!$M$2:$M$3001,$N154))</f>
      </c>
      <c r="L154">
        <f>IF($N154="","",INDEX(Staging!$O$2:$O$3001,$N154))</f>
      </c>
      <c r="M154">
        <f>IF($N154="","",INDEX(Staging!$P$2:$P$3001,$N154))</f>
      </c>
      <c r="N154">
        <f t="array" ref="N154">IFERROR(SMALL(IF(Staging!$E$2:$E$3001="MIPPL",ROW(Staging!$E$2:$E$3001)-ROW(Staging!$E$2)+1),153),"")</f>
      </c>
    </row>
    <row r="155" spans="1:14" x14ac:dyDescent="0.25">
      <c r="A155">
        <f>IF($N155="","",INDEX(Staging!$A$2:$A$3001,$N155))</f>
      </c>
      <c r="B155">
        <f>IF($N155="","",INDEX(Staging!$B$2:$B$3001,$N155))</f>
      </c>
      <c r="C155">
        <f>IF($N155="","",INDEX(Staging!$C$2:$C$3001,$N155))</f>
      </c>
      <c r="D155">
        <f>IF($N155="","",INDEX(Staging!$D$2:$D$3001,$N155))</f>
      </c>
      <c r="E155">
        <f>IF($N155="","",INDEX(Staging!$F$2:$F$3001,$N155))</f>
      </c>
      <c r="F155">
        <f>IF($N155="","",INDEX(Staging!$G$2:$G$3001,$N155))</f>
      </c>
      <c r="G155">
        <f>IF($N155="","",INDEX(Staging!$H$2:$H$3001,$N155))</f>
      </c>
      <c r="H155">
        <f>IF($N155="","",INDEX(Staging!$I$2:$I$3001,$N155))</f>
      </c>
      <c r="I155">
        <f>IF($N155="","",INDEX(Staging!$J$2:$J$3001,$N155))</f>
      </c>
      <c r="J155">
        <f>IF($N155="","",INDEX(Staging!$K$2:$K$3001,$N155))</f>
      </c>
      <c r="K155">
        <f>IF($N155="","",INDEX(Staging!$M$2:$M$3001,$N155))</f>
      </c>
      <c r="L155">
        <f>IF($N155="","",INDEX(Staging!$O$2:$O$3001,$N155))</f>
      </c>
      <c r="M155">
        <f>IF($N155="","",INDEX(Staging!$P$2:$P$3001,$N155))</f>
      </c>
      <c r="N155">
        <f t="array" ref="N155">IFERROR(SMALL(IF(Staging!$E$2:$E$3001="MIPPL",ROW(Staging!$E$2:$E$3001)-ROW(Staging!$E$2)+1),154),"")</f>
      </c>
    </row>
    <row r="156" spans="1:14" x14ac:dyDescent="0.25">
      <c r="A156">
        <f>IF($N156="","",INDEX(Staging!$A$2:$A$3001,$N156))</f>
      </c>
      <c r="B156">
        <f>IF($N156="","",INDEX(Staging!$B$2:$B$3001,$N156))</f>
      </c>
      <c r="C156">
        <f>IF($N156="","",INDEX(Staging!$C$2:$C$3001,$N156))</f>
      </c>
      <c r="D156">
        <f>IF($N156="","",INDEX(Staging!$D$2:$D$3001,$N156))</f>
      </c>
      <c r="E156">
        <f>IF($N156="","",INDEX(Staging!$F$2:$F$3001,$N156))</f>
      </c>
      <c r="F156">
        <f>IF($N156="","",INDEX(Staging!$G$2:$G$3001,$N156))</f>
      </c>
      <c r="G156">
        <f>IF($N156="","",INDEX(Staging!$H$2:$H$3001,$N156))</f>
      </c>
      <c r="H156">
        <f>IF($N156="","",INDEX(Staging!$I$2:$I$3001,$N156))</f>
      </c>
      <c r="I156">
        <f>IF($N156="","",INDEX(Staging!$J$2:$J$3001,$N156))</f>
      </c>
      <c r="J156">
        <f>IF($N156="","",INDEX(Staging!$K$2:$K$3001,$N156))</f>
      </c>
      <c r="K156">
        <f>IF($N156="","",INDEX(Staging!$M$2:$M$3001,$N156))</f>
      </c>
      <c r="L156">
        <f>IF($N156="","",INDEX(Staging!$O$2:$O$3001,$N156))</f>
      </c>
      <c r="M156">
        <f>IF($N156="","",INDEX(Staging!$P$2:$P$3001,$N156))</f>
      </c>
      <c r="N156">
        <f t="array" ref="N156">IFERROR(SMALL(IF(Staging!$E$2:$E$3001="MIPPL",ROW(Staging!$E$2:$E$3001)-ROW(Staging!$E$2)+1),155),"")</f>
      </c>
    </row>
    <row r="157" spans="1:14" x14ac:dyDescent="0.25">
      <c r="A157">
        <f>IF($N157="","",INDEX(Staging!$A$2:$A$3001,$N157))</f>
      </c>
      <c r="B157">
        <f>IF($N157="","",INDEX(Staging!$B$2:$B$3001,$N157))</f>
      </c>
      <c r="C157">
        <f>IF($N157="","",INDEX(Staging!$C$2:$C$3001,$N157))</f>
      </c>
      <c r="D157">
        <f>IF($N157="","",INDEX(Staging!$D$2:$D$3001,$N157))</f>
      </c>
      <c r="E157">
        <f>IF($N157="","",INDEX(Staging!$F$2:$F$3001,$N157))</f>
      </c>
      <c r="F157">
        <f>IF($N157="","",INDEX(Staging!$G$2:$G$3001,$N157))</f>
      </c>
      <c r="G157">
        <f>IF($N157="","",INDEX(Staging!$H$2:$H$3001,$N157))</f>
      </c>
      <c r="H157">
        <f>IF($N157="","",INDEX(Staging!$I$2:$I$3001,$N157))</f>
      </c>
      <c r="I157">
        <f>IF($N157="","",INDEX(Staging!$J$2:$J$3001,$N157))</f>
      </c>
      <c r="J157">
        <f>IF($N157="","",INDEX(Staging!$K$2:$K$3001,$N157))</f>
      </c>
      <c r="K157">
        <f>IF($N157="","",INDEX(Staging!$M$2:$M$3001,$N157))</f>
      </c>
      <c r="L157">
        <f>IF($N157="","",INDEX(Staging!$O$2:$O$3001,$N157))</f>
      </c>
      <c r="M157">
        <f>IF($N157="","",INDEX(Staging!$P$2:$P$3001,$N157))</f>
      </c>
      <c r="N157">
        <f t="array" ref="N157">IFERROR(SMALL(IF(Staging!$E$2:$E$3001="MIPPL",ROW(Staging!$E$2:$E$3001)-ROW(Staging!$E$2)+1),156),"")</f>
      </c>
    </row>
    <row r="158" spans="1:14" x14ac:dyDescent="0.25">
      <c r="A158">
        <f>IF($N158="","",INDEX(Staging!$A$2:$A$3001,$N158))</f>
      </c>
      <c r="B158">
        <f>IF($N158="","",INDEX(Staging!$B$2:$B$3001,$N158))</f>
      </c>
      <c r="C158">
        <f>IF($N158="","",INDEX(Staging!$C$2:$C$3001,$N158))</f>
      </c>
      <c r="D158">
        <f>IF($N158="","",INDEX(Staging!$D$2:$D$3001,$N158))</f>
      </c>
      <c r="E158">
        <f>IF($N158="","",INDEX(Staging!$F$2:$F$3001,$N158))</f>
      </c>
      <c r="F158">
        <f>IF($N158="","",INDEX(Staging!$G$2:$G$3001,$N158))</f>
      </c>
      <c r="G158">
        <f>IF($N158="","",INDEX(Staging!$H$2:$H$3001,$N158))</f>
      </c>
      <c r="H158">
        <f>IF($N158="","",INDEX(Staging!$I$2:$I$3001,$N158))</f>
      </c>
      <c r="I158">
        <f>IF($N158="","",INDEX(Staging!$J$2:$J$3001,$N158))</f>
      </c>
      <c r="J158">
        <f>IF($N158="","",INDEX(Staging!$K$2:$K$3001,$N158))</f>
      </c>
      <c r="K158">
        <f>IF($N158="","",INDEX(Staging!$M$2:$M$3001,$N158))</f>
      </c>
      <c r="L158">
        <f>IF($N158="","",INDEX(Staging!$O$2:$O$3001,$N158))</f>
      </c>
      <c r="M158">
        <f>IF($N158="","",INDEX(Staging!$P$2:$P$3001,$N158))</f>
      </c>
      <c r="N158">
        <f t="array" ref="N158">IFERROR(SMALL(IF(Staging!$E$2:$E$3001="MIPPL",ROW(Staging!$E$2:$E$3001)-ROW(Staging!$E$2)+1),157),"")</f>
      </c>
    </row>
    <row r="159" spans="1:14" x14ac:dyDescent="0.25">
      <c r="A159">
        <f>IF($N159="","",INDEX(Staging!$A$2:$A$3001,$N159))</f>
      </c>
      <c r="B159">
        <f>IF($N159="","",INDEX(Staging!$B$2:$B$3001,$N159))</f>
      </c>
      <c r="C159">
        <f>IF($N159="","",INDEX(Staging!$C$2:$C$3001,$N159))</f>
      </c>
      <c r="D159">
        <f>IF($N159="","",INDEX(Staging!$D$2:$D$3001,$N159))</f>
      </c>
      <c r="E159">
        <f>IF($N159="","",INDEX(Staging!$F$2:$F$3001,$N159))</f>
      </c>
      <c r="F159">
        <f>IF($N159="","",INDEX(Staging!$G$2:$G$3001,$N159))</f>
      </c>
      <c r="G159">
        <f>IF($N159="","",INDEX(Staging!$H$2:$H$3001,$N159))</f>
      </c>
      <c r="H159">
        <f>IF($N159="","",INDEX(Staging!$I$2:$I$3001,$N159))</f>
      </c>
      <c r="I159">
        <f>IF($N159="","",INDEX(Staging!$J$2:$J$3001,$N159))</f>
      </c>
      <c r="J159">
        <f>IF($N159="","",INDEX(Staging!$K$2:$K$3001,$N159))</f>
      </c>
      <c r="K159">
        <f>IF($N159="","",INDEX(Staging!$M$2:$M$3001,$N159))</f>
      </c>
      <c r="L159">
        <f>IF($N159="","",INDEX(Staging!$O$2:$O$3001,$N159))</f>
      </c>
      <c r="M159">
        <f>IF($N159="","",INDEX(Staging!$P$2:$P$3001,$N159))</f>
      </c>
      <c r="N159">
        <f t="array" ref="N159">IFERROR(SMALL(IF(Staging!$E$2:$E$3001="MIPPL",ROW(Staging!$E$2:$E$3001)-ROW(Staging!$E$2)+1),158),"")</f>
      </c>
    </row>
    <row r="160" spans="1:14" x14ac:dyDescent="0.25">
      <c r="A160">
        <f>IF($N160="","",INDEX(Staging!$A$2:$A$3001,$N160))</f>
      </c>
      <c r="B160">
        <f>IF($N160="","",INDEX(Staging!$B$2:$B$3001,$N160))</f>
      </c>
      <c r="C160">
        <f>IF($N160="","",INDEX(Staging!$C$2:$C$3001,$N160))</f>
      </c>
      <c r="D160">
        <f>IF($N160="","",INDEX(Staging!$D$2:$D$3001,$N160))</f>
      </c>
      <c r="E160">
        <f>IF($N160="","",INDEX(Staging!$F$2:$F$3001,$N160))</f>
      </c>
      <c r="F160">
        <f>IF($N160="","",INDEX(Staging!$G$2:$G$3001,$N160))</f>
      </c>
      <c r="G160">
        <f>IF($N160="","",INDEX(Staging!$H$2:$H$3001,$N160))</f>
      </c>
      <c r="H160">
        <f>IF($N160="","",INDEX(Staging!$I$2:$I$3001,$N160))</f>
      </c>
      <c r="I160">
        <f>IF($N160="","",INDEX(Staging!$J$2:$J$3001,$N160))</f>
      </c>
      <c r="J160">
        <f>IF($N160="","",INDEX(Staging!$K$2:$K$3001,$N160))</f>
      </c>
      <c r="K160">
        <f>IF($N160="","",INDEX(Staging!$M$2:$M$3001,$N160))</f>
      </c>
      <c r="L160">
        <f>IF($N160="","",INDEX(Staging!$O$2:$O$3001,$N160))</f>
      </c>
      <c r="M160">
        <f>IF($N160="","",INDEX(Staging!$P$2:$P$3001,$N160))</f>
      </c>
      <c r="N160">
        <f t="array" ref="N160">IFERROR(SMALL(IF(Staging!$E$2:$E$3001="MIPPL",ROW(Staging!$E$2:$E$3001)-ROW(Staging!$E$2)+1),159),"")</f>
      </c>
    </row>
    <row r="161" spans="1:14" x14ac:dyDescent="0.25">
      <c r="A161">
        <f>IF($N161="","",INDEX(Staging!$A$2:$A$3001,$N161))</f>
      </c>
      <c r="B161">
        <f>IF($N161="","",INDEX(Staging!$B$2:$B$3001,$N161))</f>
      </c>
      <c r="C161">
        <f>IF($N161="","",INDEX(Staging!$C$2:$C$3001,$N161))</f>
      </c>
      <c r="D161">
        <f>IF($N161="","",INDEX(Staging!$D$2:$D$3001,$N161))</f>
      </c>
      <c r="E161">
        <f>IF($N161="","",INDEX(Staging!$F$2:$F$3001,$N161))</f>
      </c>
      <c r="F161">
        <f>IF($N161="","",INDEX(Staging!$G$2:$G$3001,$N161))</f>
      </c>
      <c r="G161">
        <f>IF($N161="","",INDEX(Staging!$H$2:$H$3001,$N161))</f>
      </c>
      <c r="H161">
        <f>IF($N161="","",INDEX(Staging!$I$2:$I$3001,$N161))</f>
      </c>
      <c r="I161">
        <f>IF($N161="","",INDEX(Staging!$J$2:$J$3001,$N161))</f>
      </c>
      <c r="J161">
        <f>IF($N161="","",INDEX(Staging!$K$2:$K$3001,$N161))</f>
      </c>
      <c r="K161">
        <f>IF($N161="","",INDEX(Staging!$M$2:$M$3001,$N161))</f>
      </c>
      <c r="L161">
        <f>IF($N161="","",INDEX(Staging!$O$2:$O$3001,$N161))</f>
      </c>
      <c r="M161">
        <f>IF($N161="","",INDEX(Staging!$P$2:$P$3001,$N161))</f>
      </c>
      <c r="N161">
        <f t="array" ref="N161">IFERROR(SMALL(IF(Staging!$E$2:$E$3001="MIPPL",ROW(Staging!$E$2:$E$3001)-ROW(Staging!$E$2)+1),160),"")</f>
      </c>
    </row>
    <row r="162" spans="1:14" x14ac:dyDescent="0.25">
      <c r="A162">
        <f>IF($N162="","",INDEX(Staging!$A$2:$A$3001,$N162))</f>
      </c>
      <c r="B162">
        <f>IF($N162="","",INDEX(Staging!$B$2:$B$3001,$N162))</f>
      </c>
      <c r="C162">
        <f>IF($N162="","",INDEX(Staging!$C$2:$C$3001,$N162))</f>
      </c>
      <c r="D162">
        <f>IF($N162="","",INDEX(Staging!$D$2:$D$3001,$N162))</f>
      </c>
      <c r="E162">
        <f>IF($N162="","",INDEX(Staging!$F$2:$F$3001,$N162))</f>
      </c>
      <c r="F162">
        <f>IF($N162="","",INDEX(Staging!$G$2:$G$3001,$N162))</f>
      </c>
      <c r="G162">
        <f>IF($N162="","",INDEX(Staging!$H$2:$H$3001,$N162))</f>
      </c>
      <c r="H162">
        <f>IF($N162="","",INDEX(Staging!$I$2:$I$3001,$N162))</f>
      </c>
      <c r="I162">
        <f>IF($N162="","",INDEX(Staging!$J$2:$J$3001,$N162))</f>
      </c>
      <c r="J162">
        <f>IF($N162="","",INDEX(Staging!$K$2:$K$3001,$N162))</f>
      </c>
      <c r="K162">
        <f>IF($N162="","",INDEX(Staging!$M$2:$M$3001,$N162))</f>
      </c>
      <c r="L162">
        <f>IF($N162="","",INDEX(Staging!$O$2:$O$3001,$N162))</f>
      </c>
      <c r="M162">
        <f>IF($N162="","",INDEX(Staging!$P$2:$P$3001,$N162))</f>
      </c>
      <c r="N162">
        <f t="array" ref="N162">IFERROR(SMALL(IF(Staging!$E$2:$E$3001="MIPPL",ROW(Staging!$E$2:$E$3001)-ROW(Staging!$E$2)+1),161),"")</f>
      </c>
    </row>
    <row r="163" spans="1:14" x14ac:dyDescent="0.25">
      <c r="A163">
        <f>IF($N163="","",INDEX(Staging!$A$2:$A$3001,$N163))</f>
      </c>
      <c r="B163">
        <f>IF($N163="","",INDEX(Staging!$B$2:$B$3001,$N163))</f>
      </c>
      <c r="C163">
        <f>IF($N163="","",INDEX(Staging!$C$2:$C$3001,$N163))</f>
      </c>
      <c r="D163">
        <f>IF($N163="","",INDEX(Staging!$D$2:$D$3001,$N163))</f>
      </c>
      <c r="E163">
        <f>IF($N163="","",INDEX(Staging!$F$2:$F$3001,$N163))</f>
      </c>
      <c r="F163">
        <f>IF($N163="","",INDEX(Staging!$G$2:$G$3001,$N163))</f>
      </c>
      <c r="G163">
        <f>IF($N163="","",INDEX(Staging!$H$2:$H$3001,$N163))</f>
      </c>
      <c r="H163">
        <f>IF($N163="","",INDEX(Staging!$I$2:$I$3001,$N163))</f>
      </c>
      <c r="I163">
        <f>IF($N163="","",INDEX(Staging!$J$2:$J$3001,$N163))</f>
      </c>
      <c r="J163">
        <f>IF($N163="","",INDEX(Staging!$K$2:$K$3001,$N163))</f>
      </c>
      <c r="K163">
        <f>IF($N163="","",INDEX(Staging!$M$2:$M$3001,$N163))</f>
      </c>
      <c r="L163">
        <f>IF($N163="","",INDEX(Staging!$O$2:$O$3001,$N163))</f>
      </c>
      <c r="M163">
        <f>IF($N163="","",INDEX(Staging!$P$2:$P$3001,$N163))</f>
      </c>
      <c r="N163">
        <f t="array" ref="N163">IFERROR(SMALL(IF(Staging!$E$2:$E$3001="MIPPL",ROW(Staging!$E$2:$E$3001)-ROW(Staging!$E$2)+1),162),"")</f>
      </c>
    </row>
    <row r="164" spans="1:14" x14ac:dyDescent="0.25">
      <c r="A164">
        <f>IF($N164="","",INDEX(Staging!$A$2:$A$3001,$N164))</f>
      </c>
      <c r="B164">
        <f>IF($N164="","",INDEX(Staging!$B$2:$B$3001,$N164))</f>
      </c>
      <c r="C164">
        <f>IF($N164="","",INDEX(Staging!$C$2:$C$3001,$N164))</f>
      </c>
      <c r="D164">
        <f>IF($N164="","",INDEX(Staging!$D$2:$D$3001,$N164))</f>
      </c>
      <c r="E164">
        <f>IF($N164="","",INDEX(Staging!$F$2:$F$3001,$N164))</f>
      </c>
      <c r="F164">
        <f>IF($N164="","",INDEX(Staging!$G$2:$G$3001,$N164))</f>
      </c>
      <c r="G164">
        <f>IF($N164="","",INDEX(Staging!$H$2:$H$3001,$N164))</f>
      </c>
      <c r="H164">
        <f>IF($N164="","",INDEX(Staging!$I$2:$I$3001,$N164))</f>
      </c>
      <c r="I164">
        <f>IF($N164="","",INDEX(Staging!$J$2:$J$3001,$N164))</f>
      </c>
      <c r="J164">
        <f>IF($N164="","",INDEX(Staging!$K$2:$K$3001,$N164))</f>
      </c>
      <c r="K164">
        <f>IF($N164="","",INDEX(Staging!$M$2:$M$3001,$N164))</f>
      </c>
      <c r="L164">
        <f>IF($N164="","",INDEX(Staging!$O$2:$O$3001,$N164))</f>
      </c>
      <c r="M164">
        <f>IF($N164="","",INDEX(Staging!$P$2:$P$3001,$N164))</f>
      </c>
      <c r="N164">
        <f t="array" ref="N164">IFERROR(SMALL(IF(Staging!$E$2:$E$3001="MIPPL",ROW(Staging!$E$2:$E$3001)-ROW(Staging!$E$2)+1),163),"")</f>
      </c>
    </row>
    <row r="165" spans="1:14" x14ac:dyDescent="0.25">
      <c r="A165">
        <f>IF($N165="","",INDEX(Staging!$A$2:$A$3001,$N165))</f>
      </c>
      <c r="B165">
        <f>IF($N165="","",INDEX(Staging!$B$2:$B$3001,$N165))</f>
      </c>
      <c r="C165">
        <f>IF($N165="","",INDEX(Staging!$C$2:$C$3001,$N165))</f>
      </c>
      <c r="D165">
        <f>IF($N165="","",INDEX(Staging!$D$2:$D$3001,$N165))</f>
      </c>
      <c r="E165">
        <f>IF($N165="","",INDEX(Staging!$F$2:$F$3001,$N165))</f>
      </c>
      <c r="F165">
        <f>IF($N165="","",INDEX(Staging!$G$2:$G$3001,$N165))</f>
      </c>
      <c r="G165">
        <f>IF($N165="","",INDEX(Staging!$H$2:$H$3001,$N165))</f>
      </c>
      <c r="H165">
        <f>IF($N165="","",INDEX(Staging!$I$2:$I$3001,$N165))</f>
      </c>
      <c r="I165">
        <f>IF($N165="","",INDEX(Staging!$J$2:$J$3001,$N165))</f>
      </c>
      <c r="J165">
        <f>IF($N165="","",INDEX(Staging!$K$2:$K$3001,$N165))</f>
      </c>
      <c r="K165">
        <f>IF($N165="","",INDEX(Staging!$M$2:$M$3001,$N165))</f>
      </c>
      <c r="L165">
        <f>IF($N165="","",INDEX(Staging!$O$2:$O$3001,$N165))</f>
      </c>
      <c r="M165">
        <f>IF($N165="","",INDEX(Staging!$P$2:$P$3001,$N165))</f>
      </c>
      <c r="N165">
        <f t="array" ref="N165">IFERROR(SMALL(IF(Staging!$E$2:$E$3001="MIPPL",ROW(Staging!$E$2:$E$3001)-ROW(Staging!$E$2)+1),164),"")</f>
      </c>
    </row>
    <row r="166" spans="1:14" x14ac:dyDescent="0.25">
      <c r="A166">
        <f>IF($N166="","",INDEX(Staging!$A$2:$A$3001,$N166))</f>
      </c>
      <c r="B166">
        <f>IF($N166="","",INDEX(Staging!$B$2:$B$3001,$N166))</f>
      </c>
      <c r="C166">
        <f>IF($N166="","",INDEX(Staging!$C$2:$C$3001,$N166))</f>
      </c>
      <c r="D166">
        <f>IF($N166="","",INDEX(Staging!$D$2:$D$3001,$N166))</f>
      </c>
      <c r="E166">
        <f>IF($N166="","",INDEX(Staging!$F$2:$F$3001,$N166))</f>
      </c>
      <c r="F166">
        <f>IF($N166="","",INDEX(Staging!$G$2:$G$3001,$N166))</f>
      </c>
      <c r="G166">
        <f>IF($N166="","",INDEX(Staging!$H$2:$H$3001,$N166))</f>
      </c>
      <c r="H166">
        <f>IF($N166="","",INDEX(Staging!$I$2:$I$3001,$N166))</f>
      </c>
      <c r="I166">
        <f>IF($N166="","",INDEX(Staging!$J$2:$J$3001,$N166))</f>
      </c>
      <c r="J166">
        <f>IF($N166="","",INDEX(Staging!$K$2:$K$3001,$N166))</f>
      </c>
      <c r="K166">
        <f>IF($N166="","",INDEX(Staging!$M$2:$M$3001,$N166))</f>
      </c>
      <c r="L166">
        <f>IF($N166="","",INDEX(Staging!$O$2:$O$3001,$N166))</f>
      </c>
      <c r="M166">
        <f>IF($N166="","",INDEX(Staging!$P$2:$P$3001,$N166))</f>
      </c>
      <c r="N166">
        <f t="array" ref="N166">IFERROR(SMALL(IF(Staging!$E$2:$E$3001="MIPPL",ROW(Staging!$E$2:$E$3001)-ROW(Staging!$E$2)+1),165),"")</f>
      </c>
    </row>
    <row r="167" spans="1:14" x14ac:dyDescent="0.25">
      <c r="A167">
        <f>IF($N167="","",INDEX(Staging!$A$2:$A$3001,$N167))</f>
      </c>
      <c r="B167">
        <f>IF($N167="","",INDEX(Staging!$B$2:$B$3001,$N167))</f>
      </c>
      <c r="C167">
        <f>IF($N167="","",INDEX(Staging!$C$2:$C$3001,$N167))</f>
      </c>
      <c r="D167">
        <f>IF($N167="","",INDEX(Staging!$D$2:$D$3001,$N167))</f>
      </c>
      <c r="E167">
        <f>IF($N167="","",INDEX(Staging!$F$2:$F$3001,$N167))</f>
      </c>
      <c r="F167">
        <f>IF($N167="","",INDEX(Staging!$G$2:$G$3001,$N167))</f>
      </c>
      <c r="G167">
        <f>IF($N167="","",INDEX(Staging!$H$2:$H$3001,$N167))</f>
      </c>
      <c r="H167">
        <f>IF($N167="","",INDEX(Staging!$I$2:$I$3001,$N167))</f>
      </c>
      <c r="I167">
        <f>IF($N167="","",INDEX(Staging!$J$2:$J$3001,$N167))</f>
      </c>
      <c r="J167">
        <f>IF($N167="","",INDEX(Staging!$K$2:$K$3001,$N167))</f>
      </c>
      <c r="K167">
        <f>IF($N167="","",INDEX(Staging!$M$2:$M$3001,$N167))</f>
      </c>
      <c r="L167">
        <f>IF($N167="","",INDEX(Staging!$O$2:$O$3001,$N167))</f>
      </c>
      <c r="M167">
        <f>IF($N167="","",INDEX(Staging!$P$2:$P$3001,$N167))</f>
      </c>
      <c r="N167">
        <f t="array" ref="N167">IFERROR(SMALL(IF(Staging!$E$2:$E$3001="MIPPL",ROW(Staging!$E$2:$E$3001)-ROW(Staging!$E$2)+1),166),"")</f>
      </c>
    </row>
    <row r="168" spans="1:14" x14ac:dyDescent="0.25">
      <c r="A168">
        <f>IF($N168="","",INDEX(Staging!$A$2:$A$3001,$N168))</f>
      </c>
      <c r="B168">
        <f>IF($N168="","",INDEX(Staging!$B$2:$B$3001,$N168))</f>
      </c>
      <c r="C168">
        <f>IF($N168="","",INDEX(Staging!$C$2:$C$3001,$N168))</f>
      </c>
      <c r="D168">
        <f>IF($N168="","",INDEX(Staging!$D$2:$D$3001,$N168))</f>
      </c>
      <c r="E168">
        <f>IF($N168="","",INDEX(Staging!$F$2:$F$3001,$N168))</f>
      </c>
      <c r="F168">
        <f>IF($N168="","",INDEX(Staging!$G$2:$G$3001,$N168))</f>
      </c>
      <c r="G168">
        <f>IF($N168="","",INDEX(Staging!$H$2:$H$3001,$N168))</f>
      </c>
      <c r="H168">
        <f>IF($N168="","",INDEX(Staging!$I$2:$I$3001,$N168))</f>
      </c>
      <c r="I168">
        <f>IF($N168="","",INDEX(Staging!$J$2:$J$3001,$N168))</f>
      </c>
      <c r="J168">
        <f>IF($N168="","",INDEX(Staging!$K$2:$K$3001,$N168))</f>
      </c>
      <c r="K168">
        <f>IF($N168="","",INDEX(Staging!$M$2:$M$3001,$N168))</f>
      </c>
      <c r="L168">
        <f>IF($N168="","",INDEX(Staging!$O$2:$O$3001,$N168))</f>
      </c>
      <c r="M168">
        <f>IF($N168="","",INDEX(Staging!$P$2:$P$3001,$N168))</f>
      </c>
      <c r="N168">
        <f t="array" ref="N168">IFERROR(SMALL(IF(Staging!$E$2:$E$3001="MIPPL",ROW(Staging!$E$2:$E$3001)-ROW(Staging!$E$2)+1),167),"")</f>
      </c>
    </row>
    <row r="169" spans="1:14" x14ac:dyDescent="0.25">
      <c r="A169">
        <f>IF($N169="","",INDEX(Staging!$A$2:$A$3001,$N169))</f>
      </c>
      <c r="B169">
        <f>IF($N169="","",INDEX(Staging!$B$2:$B$3001,$N169))</f>
      </c>
      <c r="C169">
        <f>IF($N169="","",INDEX(Staging!$C$2:$C$3001,$N169))</f>
      </c>
      <c r="D169">
        <f>IF($N169="","",INDEX(Staging!$D$2:$D$3001,$N169))</f>
      </c>
      <c r="E169">
        <f>IF($N169="","",INDEX(Staging!$F$2:$F$3001,$N169))</f>
      </c>
      <c r="F169">
        <f>IF($N169="","",INDEX(Staging!$G$2:$G$3001,$N169))</f>
      </c>
      <c r="G169">
        <f>IF($N169="","",INDEX(Staging!$H$2:$H$3001,$N169))</f>
      </c>
      <c r="H169">
        <f>IF($N169="","",INDEX(Staging!$I$2:$I$3001,$N169))</f>
      </c>
      <c r="I169">
        <f>IF($N169="","",INDEX(Staging!$J$2:$J$3001,$N169))</f>
      </c>
      <c r="J169">
        <f>IF($N169="","",INDEX(Staging!$K$2:$K$3001,$N169))</f>
      </c>
      <c r="K169">
        <f>IF($N169="","",INDEX(Staging!$M$2:$M$3001,$N169))</f>
      </c>
      <c r="L169">
        <f>IF($N169="","",INDEX(Staging!$O$2:$O$3001,$N169))</f>
      </c>
      <c r="M169">
        <f>IF($N169="","",INDEX(Staging!$P$2:$P$3001,$N169))</f>
      </c>
      <c r="N169">
        <f t="array" ref="N169">IFERROR(SMALL(IF(Staging!$E$2:$E$3001="MIPPL",ROW(Staging!$E$2:$E$3001)-ROW(Staging!$E$2)+1),168),"")</f>
      </c>
    </row>
    <row r="170" spans="1:14" x14ac:dyDescent="0.25">
      <c r="A170">
        <f>IF($N170="","",INDEX(Staging!$A$2:$A$3001,$N170))</f>
      </c>
      <c r="B170">
        <f>IF($N170="","",INDEX(Staging!$B$2:$B$3001,$N170))</f>
      </c>
      <c r="C170">
        <f>IF($N170="","",INDEX(Staging!$C$2:$C$3001,$N170))</f>
      </c>
      <c r="D170">
        <f>IF($N170="","",INDEX(Staging!$D$2:$D$3001,$N170))</f>
      </c>
      <c r="E170">
        <f>IF($N170="","",INDEX(Staging!$F$2:$F$3001,$N170))</f>
      </c>
      <c r="F170">
        <f>IF($N170="","",INDEX(Staging!$G$2:$G$3001,$N170))</f>
      </c>
      <c r="G170">
        <f>IF($N170="","",INDEX(Staging!$H$2:$H$3001,$N170))</f>
      </c>
      <c r="H170">
        <f>IF($N170="","",INDEX(Staging!$I$2:$I$3001,$N170))</f>
      </c>
      <c r="I170">
        <f>IF($N170="","",INDEX(Staging!$J$2:$J$3001,$N170))</f>
      </c>
      <c r="J170">
        <f>IF($N170="","",INDEX(Staging!$K$2:$K$3001,$N170))</f>
      </c>
      <c r="K170">
        <f>IF($N170="","",INDEX(Staging!$M$2:$M$3001,$N170))</f>
      </c>
      <c r="L170">
        <f>IF($N170="","",INDEX(Staging!$O$2:$O$3001,$N170))</f>
      </c>
      <c r="M170">
        <f>IF($N170="","",INDEX(Staging!$P$2:$P$3001,$N170))</f>
      </c>
      <c r="N170">
        <f t="array" ref="N170">IFERROR(SMALL(IF(Staging!$E$2:$E$3001="MIPPL",ROW(Staging!$E$2:$E$3001)-ROW(Staging!$E$2)+1),169),"")</f>
      </c>
    </row>
    <row r="171" spans="1:14" x14ac:dyDescent="0.25">
      <c r="A171">
        <f>IF($N171="","",INDEX(Staging!$A$2:$A$3001,$N171))</f>
      </c>
      <c r="B171">
        <f>IF($N171="","",INDEX(Staging!$B$2:$B$3001,$N171))</f>
      </c>
      <c r="C171">
        <f>IF($N171="","",INDEX(Staging!$C$2:$C$3001,$N171))</f>
      </c>
      <c r="D171">
        <f>IF($N171="","",INDEX(Staging!$D$2:$D$3001,$N171))</f>
      </c>
      <c r="E171">
        <f>IF($N171="","",INDEX(Staging!$F$2:$F$3001,$N171))</f>
      </c>
      <c r="F171">
        <f>IF($N171="","",INDEX(Staging!$G$2:$G$3001,$N171))</f>
      </c>
      <c r="G171">
        <f>IF($N171="","",INDEX(Staging!$H$2:$H$3001,$N171))</f>
      </c>
      <c r="H171">
        <f>IF($N171="","",INDEX(Staging!$I$2:$I$3001,$N171))</f>
      </c>
      <c r="I171">
        <f>IF($N171="","",INDEX(Staging!$J$2:$J$3001,$N171))</f>
      </c>
      <c r="J171">
        <f>IF($N171="","",INDEX(Staging!$K$2:$K$3001,$N171))</f>
      </c>
      <c r="K171">
        <f>IF($N171="","",INDEX(Staging!$M$2:$M$3001,$N171))</f>
      </c>
      <c r="L171">
        <f>IF($N171="","",INDEX(Staging!$O$2:$O$3001,$N171))</f>
      </c>
      <c r="M171">
        <f>IF($N171="","",INDEX(Staging!$P$2:$P$3001,$N171))</f>
      </c>
      <c r="N171">
        <f t="array" ref="N171">IFERROR(SMALL(IF(Staging!$E$2:$E$3001="MIPPL",ROW(Staging!$E$2:$E$3001)-ROW(Staging!$E$2)+1),170),"")</f>
      </c>
    </row>
    <row r="172" spans="1:14" x14ac:dyDescent="0.25">
      <c r="A172">
        <f>IF($N172="","",INDEX(Staging!$A$2:$A$3001,$N172))</f>
      </c>
      <c r="B172">
        <f>IF($N172="","",INDEX(Staging!$B$2:$B$3001,$N172))</f>
      </c>
      <c r="C172">
        <f>IF($N172="","",INDEX(Staging!$C$2:$C$3001,$N172))</f>
      </c>
      <c r="D172">
        <f>IF($N172="","",INDEX(Staging!$D$2:$D$3001,$N172))</f>
      </c>
      <c r="E172">
        <f>IF($N172="","",INDEX(Staging!$F$2:$F$3001,$N172))</f>
      </c>
      <c r="F172">
        <f>IF($N172="","",INDEX(Staging!$G$2:$G$3001,$N172))</f>
      </c>
      <c r="G172">
        <f>IF($N172="","",INDEX(Staging!$H$2:$H$3001,$N172))</f>
      </c>
      <c r="H172">
        <f>IF($N172="","",INDEX(Staging!$I$2:$I$3001,$N172))</f>
      </c>
      <c r="I172">
        <f>IF($N172="","",INDEX(Staging!$J$2:$J$3001,$N172))</f>
      </c>
      <c r="J172">
        <f>IF($N172="","",INDEX(Staging!$K$2:$K$3001,$N172))</f>
      </c>
      <c r="K172">
        <f>IF($N172="","",INDEX(Staging!$M$2:$M$3001,$N172))</f>
      </c>
      <c r="L172">
        <f>IF($N172="","",INDEX(Staging!$O$2:$O$3001,$N172))</f>
      </c>
      <c r="M172">
        <f>IF($N172="","",INDEX(Staging!$P$2:$P$3001,$N172))</f>
      </c>
      <c r="N172">
        <f t="array" ref="N172">IFERROR(SMALL(IF(Staging!$E$2:$E$3001="MIPPL",ROW(Staging!$E$2:$E$3001)-ROW(Staging!$E$2)+1),171),"")</f>
      </c>
    </row>
    <row r="173" spans="1:14" x14ac:dyDescent="0.25">
      <c r="A173">
        <f>IF($N173="","",INDEX(Staging!$A$2:$A$3001,$N173))</f>
      </c>
      <c r="B173">
        <f>IF($N173="","",INDEX(Staging!$B$2:$B$3001,$N173))</f>
      </c>
      <c r="C173">
        <f>IF($N173="","",INDEX(Staging!$C$2:$C$3001,$N173))</f>
      </c>
      <c r="D173">
        <f>IF($N173="","",INDEX(Staging!$D$2:$D$3001,$N173))</f>
      </c>
      <c r="E173">
        <f>IF($N173="","",INDEX(Staging!$F$2:$F$3001,$N173))</f>
      </c>
      <c r="F173">
        <f>IF($N173="","",INDEX(Staging!$G$2:$G$3001,$N173))</f>
      </c>
      <c r="G173">
        <f>IF($N173="","",INDEX(Staging!$H$2:$H$3001,$N173))</f>
      </c>
      <c r="H173">
        <f>IF($N173="","",INDEX(Staging!$I$2:$I$3001,$N173))</f>
      </c>
      <c r="I173">
        <f>IF($N173="","",INDEX(Staging!$J$2:$J$3001,$N173))</f>
      </c>
      <c r="J173">
        <f>IF($N173="","",INDEX(Staging!$K$2:$K$3001,$N173))</f>
      </c>
      <c r="K173">
        <f>IF($N173="","",INDEX(Staging!$M$2:$M$3001,$N173))</f>
      </c>
      <c r="L173">
        <f>IF($N173="","",INDEX(Staging!$O$2:$O$3001,$N173))</f>
      </c>
      <c r="M173">
        <f>IF($N173="","",INDEX(Staging!$P$2:$P$3001,$N173))</f>
      </c>
      <c r="N173">
        <f t="array" ref="N173">IFERROR(SMALL(IF(Staging!$E$2:$E$3001="MIPPL",ROW(Staging!$E$2:$E$3001)-ROW(Staging!$E$2)+1),172),"")</f>
      </c>
    </row>
    <row r="174" spans="1:14" x14ac:dyDescent="0.25">
      <c r="A174">
        <f>IF($N174="","",INDEX(Staging!$A$2:$A$3001,$N174))</f>
      </c>
      <c r="B174">
        <f>IF($N174="","",INDEX(Staging!$B$2:$B$3001,$N174))</f>
      </c>
      <c r="C174">
        <f>IF($N174="","",INDEX(Staging!$C$2:$C$3001,$N174))</f>
      </c>
      <c r="D174">
        <f>IF($N174="","",INDEX(Staging!$D$2:$D$3001,$N174))</f>
      </c>
      <c r="E174">
        <f>IF($N174="","",INDEX(Staging!$F$2:$F$3001,$N174))</f>
      </c>
      <c r="F174">
        <f>IF($N174="","",INDEX(Staging!$G$2:$G$3001,$N174))</f>
      </c>
      <c r="G174">
        <f>IF($N174="","",INDEX(Staging!$H$2:$H$3001,$N174))</f>
      </c>
      <c r="H174">
        <f>IF($N174="","",INDEX(Staging!$I$2:$I$3001,$N174))</f>
      </c>
      <c r="I174">
        <f>IF($N174="","",INDEX(Staging!$J$2:$J$3001,$N174))</f>
      </c>
      <c r="J174">
        <f>IF($N174="","",INDEX(Staging!$K$2:$K$3001,$N174))</f>
      </c>
      <c r="K174">
        <f>IF($N174="","",INDEX(Staging!$M$2:$M$3001,$N174))</f>
      </c>
      <c r="L174">
        <f>IF($N174="","",INDEX(Staging!$O$2:$O$3001,$N174))</f>
      </c>
      <c r="M174">
        <f>IF($N174="","",INDEX(Staging!$P$2:$P$3001,$N174))</f>
      </c>
      <c r="N174">
        <f t="array" ref="N174">IFERROR(SMALL(IF(Staging!$E$2:$E$3001="MIPPL",ROW(Staging!$E$2:$E$3001)-ROW(Staging!$E$2)+1),173),"")</f>
      </c>
    </row>
    <row r="175" spans="1:14" x14ac:dyDescent="0.25">
      <c r="A175">
        <f>IF($N175="","",INDEX(Staging!$A$2:$A$3001,$N175))</f>
      </c>
      <c r="B175">
        <f>IF($N175="","",INDEX(Staging!$B$2:$B$3001,$N175))</f>
      </c>
      <c r="C175">
        <f>IF($N175="","",INDEX(Staging!$C$2:$C$3001,$N175))</f>
      </c>
      <c r="D175">
        <f>IF($N175="","",INDEX(Staging!$D$2:$D$3001,$N175))</f>
      </c>
      <c r="E175">
        <f>IF($N175="","",INDEX(Staging!$F$2:$F$3001,$N175))</f>
      </c>
      <c r="F175">
        <f>IF($N175="","",INDEX(Staging!$G$2:$G$3001,$N175))</f>
      </c>
      <c r="G175">
        <f>IF($N175="","",INDEX(Staging!$H$2:$H$3001,$N175))</f>
      </c>
      <c r="H175">
        <f>IF($N175="","",INDEX(Staging!$I$2:$I$3001,$N175))</f>
      </c>
      <c r="I175">
        <f>IF($N175="","",INDEX(Staging!$J$2:$J$3001,$N175))</f>
      </c>
      <c r="J175">
        <f>IF($N175="","",INDEX(Staging!$K$2:$K$3001,$N175))</f>
      </c>
      <c r="K175">
        <f>IF($N175="","",INDEX(Staging!$M$2:$M$3001,$N175))</f>
      </c>
      <c r="L175">
        <f>IF($N175="","",INDEX(Staging!$O$2:$O$3001,$N175))</f>
      </c>
      <c r="M175">
        <f>IF($N175="","",INDEX(Staging!$P$2:$P$3001,$N175))</f>
      </c>
      <c r="N175">
        <f t="array" ref="N175">IFERROR(SMALL(IF(Staging!$E$2:$E$3001="MIPPL",ROW(Staging!$E$2:$E$3001)-ROW(Staging!$E$2)+1),174),"")</f>
      </c>
    </row>
    <row r="176" spans="1:14" x14ac:dyDescent="0.25">
      <c r="A176">
        <f>IF($N176="","",INDEX(Staging!$A$2:$A$3001,$N176))</f>
      </c>
      <c r="B176">
        <f>IF($N176="","",INDEX(Staging!$B$2:$B$3001,$N176))</f>
      </c>
      <c r="C176">
        <f>IF($N176="","",INDEX(Staging!$C$2:$C$3001,$N176))</f>
      </c>
      <c r="D176">
        <f>IF($N176="","",INDEX(Staging!$D$2:$D$3001,$N176))</f>
      </c>
      <c r="E176">
        <f>IF($N176="","",INDEX(Staging!$F$2:$F$3001,$N176))</f>
      </c>
      <c r="F176">
        <f>IF($N176="","",INDEX(Staging!$G$2:$G$3001,$N176))</f>
      </c>
      <c r="G176">
        <f>IF($N176="","",INDEX(Staging!$H$2:$H$3001,$N176))</f>
      </c>
      <c r="H176">
        <f>IF($N176="","",INDEX(Staging!$I$2:$I$3001,$N176))</f>
      </c>
      <c r="I176">
        <f>IF($N176="","",INDEX(Staging!$J$2:$J$3001,$N176))</f>
      </c>
      <c r="J176">
        <f>IF($N176="","",INDEX(Staging!$K$2:$K$3001,$N176))</f>
      </c>
      <c r="K176">
        <f>IF($N176="","",INDEX(Staging!$M$2:$M$3001,$N176))</f>
      </c>
      <c r="L176">
        <f>IF($N176="","",INDEX(Staging!$O$2:$O$3001,$N176))</f>
      </c>
      <c r="M176">
        <f>IF($N176="","",INDEX(Staging!$P$2:$P$3001,$N176))</f>
      </c>
      <c r="N176">
        <f t="array" ref="N176">IFERROR(SMALL(IF(Staging!$E$2:$E$3001="MIPPL",ROW(Staging!$E$2:$E$3001)-ROW(Staging!$E$2)+1),175),"")</f>
      </c>
    </row>
    <row r="177" spans="1:14" x14ac:dyDescent="0.25">
      <c r="A177">
        <f>IF($N177="","",INDEX(Staging!$A$2:$A$3001,$N177))</f>
      </c>
      <c r="B177">
        <f>IF($N177="","",INDEX(Staging!$B$2:$B$3001,$N177))</f>
      </c>
      <c r="C177">
        <f>IF($N177="","",INDEX(Staging!$C$2:$C$3001,$N177))</f>
      </c>
      <c r="D177">
        <f>IF($N177="","",INDEX(Staging!$D$2:$D$3001,$N177))</f>
      </c>
      <c r="E177">
        <f>IF($N177="","",INDEX(Staging!$F$2:$F$3001,$N177))</f>
      </c>
      <c r="F177">
        <f>IF($N177="","",INDEX(Staging!$G$2:$G$3001,$N177))</f>
      </c>
      <c r="G177">
        <f>IF($N177="","",INDEX(Staging!$H$2:$H$3001,$N177))</f>
      </c>
      <c r="H177">
        <f>IF($N177="","",INDEX(Staging!$I$2:$I$3001,$N177))</f>
      </c>
      <c r="I177">
        <f>IF($N177="","",INDEX(Staging!$J$2:$J$3001,$N177))</f>
      </c>
      <c r="J177">
        <f>IF($N177="","",INDEX(Staging!$K$2:$K$3001,$N177))</f>
      </c>
      <c r="K177">
        <f>IF($N177="","",INDEX(Staging!$M$2:$M$3001,$N177))</f>
      </c>
      <c r="L177">
        <f>IF($N177="","",INDEX(Staging!$O$2:$O$3001,$N177))</f>
      </c>
      <c r="M177">
        <f>IF($N177="","",INDEX(Staging!$P$2:$P$3001,$N177))</f>
      </c>
      <c r="N177">
        <f t="array" ref="N177">IFERROR(SMALL(IF(Staging!$E$2:$E$3001="MIPPL",ROW(Staging!$E$2:$E$3001)-ROW(Staging!$E$2)+1),176),"")</f>
      </c>
    </row>
    <row r="178" spans="1:14" x14ac:dyDescent="0.25">
      <c r="A178">
        <f>IF($N178="","",INDEX(Staging!$A$2:$A$3001,$N178))</f>
      </c>
      <c r="B178">
        <f>IF($N178="","",INDEX(Staging!$B$2:$B$3001,$N178))</f>
      </c>
      <c r="C178">
        <f>IF($N178="","",INDEX(Staging!$C$2:$C$3001,$N178))</f>
      </c>
      <c r="D178">
        <f>IF($N178="","",INDEX(Staging!$D$2:$D$3001,$N178))</f>
      </c>
      <c r="E178">
        <f>IF($N178="","",INDEX(Staging!$F$2:$F$3001,$N178))</f>
      </c>
      <c r="F178">
        <f>IF($N178="","",INDEX(Staging!$G$2:$G$3001,$N178))</f>
      </c>
      <c r="G178">
        <f>IF($N178="","",INDEX(Staging!$H$2:$H$3001,$N178))</f>
      </c>
      <c r="H178">
        <f>IF($N178="","",INDEX(Staging!$I$2:$I$3001,$N178))</f>
      </c>
      <c r="I178">
        <f>IF($N178="","",INDEX(Staging!$J$2:$J$3001,$N178))</f>
      </c>
      <c r="J178">
        <f>IF($N178="","",INDEX(Staging!$K$2:$K$3001,$N178))</f>
      </c>
      <c r="K178">
        <f>IF($N178="","",INDEX(Staging!$M$2:$M$3001,$N178))</f>
      </c>
      <c r="L178">
        <f>IF($N178="","",INDEX(Staging!$O$2:$O$3001,$N178))</f>
      </c>
      <c r="M178">
        <f>IF($N178="","",INDEX(Staging!$P$2:$P$3001,$N178))</f>
      </c>
      <c r="N178">
        <f t="array" ref="N178">IFERROR(SMALL(IF(Staging!$E$2:$E$3001="MIPPL",ROW(Staging!$E$2:$E$3001)-ROW(Staging!$E$2)+1),177),"")</f>
      </c>
    </row>
    <row r="179" spans="1:14" x14ac:dyDescent="0.25">
      <c r="A179">
        <f>IF($N179="","",INDEX(Staging!$A$2:$A$3001,$N179))</f>
      </c>
      <c r="B179">
        <f>IF($N179="","",INDEX(Staging!$B$2:$B$3001,$N179))</f>
      </c>
      <c r="C179">
        <f>IF($N179="","",INDEX(Staging!$C$2:$C$3001,$N179))</f>
      </c>
      <c r="D179">
        <f>IF($N179="","",INDEX(Staging!$D$2:$D$3001,$N179))</f>
      </c>
      <c r="E179">
        <f>IF($N179="","",INDEX(Staging!$F$2:$F$3001,$N179))</f>
      </c>
      <c r="F179">
        <f>IF($N179="","",INDEX(Staging!$G$2:$G$3001,$N179))</f>
      </c>
      <c r="G179">
        <f>IF($N179="","",INDEX(Staging!$H$2:$H$3001,$N179))</f>
      </c>
      <c r="H179">
        <f>IF($N179="","",INDEX(Staging!$I$2:$I$3001,$N179))</f>
      </c>
      <c r="I179">
        <f>IF($N179="","",INDEX(Staging!$J$2:$J$3001,$N179))</f>
      </c>
      <c r="J179">
        <f>IF($N179="","",INDEX(Staging!$K$2:$K$3001,$N179))</f>
      </c>
      <c r="K179">
        <f>IF($N179="","",INDEX(Staging!$M$2:$M$3001,$N179))</f>
      </c>
      <c r="L179">
        <f>IF($N179="","",INDEX(Staging!$O$2:$O$3001,$N179))</f>
      </c>
      <c r="M179">
        <f>IF($N179="","",INDEX(Staging!$P$2:$P$3001,$N179))</f>
      </c>
      <c r="N179">
        <f t="array" ref="N179">IFERROR(SMALL(IF(Staging!$E$2:$E$3001="MIPPL",ROW(Staging!$E$2:$E$3001)-ROW(Staging!$E$2)+1),178),"")</f>
      </c>
    </row>
    <row r="180" spans="1:14" x14ac:dyDescent="0.25">
      <c r="A180">
        <f>IF($N180="","",INDEX(Staging!$A$2:$A$3001,$N180))</f>
      </c>
      <c r="B180">
        <f>IF($N180="","",INDEX(Staging!$B$2:$B$3001,$N180))</f>
      </c>
      <c r="C180">
        <f>IF($N180="","",INDEX(Staging!$C$2:$C$3001,$N180))</f>
      </c>
      <c r="D180">
        <f>IF($N180="","",INDEX(Staging!$D$2:$D$3001,$N180))</f>
      </c>
      <c r="E180">
        <f>IF($N180="","",INDEX(Staging!$F$2:$F$3001,$N180))</f>
      </c>
      <c r="F180">
        <f>IF($N180="","",INDEX(Staging!$G$2:$G$3001,$N180))</f>
      </c>
      <c r="G180">
        <f>IF($N180="","",INDEX(Staging!$H$2:$H$3001,$N180))</f>
      </c>
      <c r="H180">
        <f>IF($N180="","",INDEX(Staging!$I$2:$I$3001,$N180))</f>
      </c>
      <c r="I180">
        <f>IF($N180="","",INDEX(Staging!$J$2:$J$3001,$N180))</f>
      </c>
      <c r="J180">
        <f>IF($N180="","",INDEX(Staging!$K$2:$K$3001,$N180))</f>
      </c>
      <c r="K180">
        <f>IF($N180="","",INDEX(Staging!$M$2:$M$3001,$N180))</f>
      </c>
      <c r="L180">
        <f>IF($N180="","",INDEX(Staging!$O$2:$O$3001,$N180))</f>
      </c>
      <c r="M180">
        <f>IF($N180="","",INDEX(Staging!$P$2:$P$3001,$N180))</f>
      </c>
      <c r="N180">
        <f t="array" ref="N180">IFERROR(SMALL(IF(Staging!$E$2:$E$3001="MIPPL",ROW(Staging!$E$2:$E$3001)-ROW(Staging!$E$2)+1),179),"")</f>
      </c>
    </row>
    <row r="181" spans="1:14" x14ac:dyDescent="0.25">
      <c r="A181">
        <f>IF($N181="","",INDEX(Staging!$A$2:$A$3001,$N181))</f>
      </c>
      <c r="B181">
        <f>IF($N181="","",INDEX(Staging!$B$2:$B$3001,$N181))</f>
      </c>
      <c r="C181">
        <f>IF($N181="","",INDEX(Staging!$C$2:$C$3001,$N181))</f>
      </c>
      <c r="D181">
        <f>IF($N181="","",INDEX(Staging!$D$2:$D$3001,$N181))</f>
      </c>
      <c r="E181">
        <f>IF($N181="","",INDEX(Staging!$F$2:$F$3001,$N181))</f>
      </c>
      <c r="F181">
        <f>IF($N181="","",INDEX(Staging!$G$2:$G$3001,$N181))</f>
      </c>
      <c r="G181">
        <f>IF($N181="","",INDEX(Staging!$H$2:$H$3001,$N181))</f>
      </c>
      <c r="H181">
        <f>IF($N181="","",INDEX(Staging!$I$2:$I$3001,$N181))</f>
      </c>
      <c r="I181">
        <f>IF($N181="","",INDEX(Staging!$J$2:$J$3001,$N181))</f>
      </c>
      <c r="J181">
        <f>IF($N181="","",INDEX(Staging!$K$2:$K$3001,$N181))</f>
      </c>
      <c r="K181">
        <f>IF($N181="","",INDEX(Staging!$M$2:$M$3001,$N181))</f>
      </c>
      <c r="L181">
        <f>IF($N181="","",INDEX(Staging!$O$2:$O$3001,$N181))</f>
      </c>
      <c r="M181">
        <f>IF($N181="","",INDEX(Staging!$P$2:$P$3001,$N181))</f>
      </c>
      <c r="N181">
        <f t="array" ref="N181">IFERROR(SMALL(IF(Staging!$E$2:$E$3001="MIPPL",ROW(Staging!$E$2:$E$3001)-ROW(Staging!$E$2)+1),180),"")</f>
      </c>
    </row>
    <row r="182" spans="1:14" x14ac:dyDescent="0.25">
      <c r="A182">
        <f>IF($N182="","",INDEX(Staging!$A$2:$A$3001,$N182))</f>
      </c>
      <c r="B182">
        <f>IF($N182="","",INDEX(Staging!$B$2:$B$3001,$N182))</f>
      </c>
      <c r="C182">
        <f>IF($N182="","",INDEX(Staging!$C$2:$C$3001,$N182))</f>
      </c>
      <c r="D182">
        <f>IF($N182="","",INDEX(Staging!$D$2:$D$3001,$N182))</f>
      </c>
      <c r="E182">
        <f>IF($N182="","",INDEX(Staging!$F$2:$F$3001,$N182))</f>
      </c>
      <c r="F182">
        <f>IF($N182="","",INDEX(Staging!$G$2:$G$3001,$N182))</f>
      </c>
      <c r="G182">
        <f>IF($N182="","",INDEX(Staging!$H$2:$H$3001,$N182))</f>
      </c>
      <c r="H182">
        <f>IF($N182="","",INDEX(Staging!$I$2:$I$3001,$N182))</f>
      </c>
      <c r="I182">
        <f>IF($N182="","",INDEX(Staging!$J$2:$J$3001,$N182))</f>
      </c>
      <c r="J182">
        <f>IF($N182="","",INDEX(Staging!$K$2:$K$3001,$N182))</f>
      </c>
      <c r="K182">
        <f>IF($N182="","",INDEX(Staging!$M$2:$M$3001,$N182))</f>
      </c>
      <c r="L182">
        <f>IF($N182="","",INDEX(Staging!$O$2:$O$3001,$N182))</f>
      </c>
      <c r="M182">
        <f>IF($N182="","",INDEX(Staging!$P$2:$P$3001,$N182))</f>
      </c>
      <c r="N182">
        <f t="array" ref="N182">IFERROR(SMALL(IF(Staging!$E$2:$E$3001="MIPPL",ROW(Staging!$E$2:$E$3001)-ROW(Staging!$E$2)+1),181),"")</f>
      </c>
    </row>
    <row r="183" spans="1:14" x14ac:dyDescent="0.25">
      <c r="A183">
        <f>IF($N183="","",INDEX(Staging!$A$2:$A$3001,$N183))</f>
      </c>
      <c r="B183">
        <f>IF($N183="","",INDEX(Staging!$B$2:$B$3001,$N183))</f>
      </c>
      <c r="C183">
        <f>IF($N183="","",INDEX(Staging!$C$2:$C$3001,$N183))</f>
      </c>
      <c r="D183">
        <f>IF($N183="","",INDEX(Staging!$D$2:$D$3001,$N183))</f>
      </c>
      <c r="E183">
        <f>IF($N183="","",INDEX(Staging!$F$2:$F$3001,$N183))</f>
      </c>
      <c r="F183">
        <f>IF($N183="","",INDEX(Staging!$G$2:$G$3001,$N183))</f>
      </c>
      <c r="G183">
        <f>IF($N183="","",INDEX(Staging!$H$2:$H$3001,$N183))</f>
      </c>
      <c r="H183">
        <f>IF($N183="","",INDEX(Staging!$I$2:$I$3001,$N183))</f>
      </c>
      <c r="I183">
        <f>IF($N183="","",INDEX(Staging!$J$2:$J$3001,$N183))</f>
      </c>
      <c r="J183">
        <f>IF($N183="","",INDEX(Staging!$K$2:$K$3001,$N183))</f>
      </c>
      <c r="K183">
        <f>IF($N183="","",INDEX(Staging!$M$2:$M$3001,$N183))</f>
      </c>
      <c r="L183">
        <f>IF($N183="","",INDEX(Staging!$O$2:$O$3001,$N183))</f>
      </c>
      <c r="M183">
        <f>IF($N183="","",INDEX(Staging!$P$2:$P$3001,$N183))</f>
      </c>
      <c r="N183">
        <f t="array" ref="N183">IFERROR(SMALL(IF(Staging!$E$2:$E$3001="MIPPL",ROW(Staging!$E$2:$E$3001)-ROW(Staging!$E$2)+1),182),"")</f>
      </c>
    </row>
    <row r="184" spans="1:14" x14ac:dyDescent="0.25">
      <c r="A184">
        <f>IF($N184="","",INDEX(Staging!$A$2:$A$3001,$N184))</f>
      </c>
      <c r="B184">
        <f>IF($N184="","",INDEX(Staging!$B$2:$B$3001,$N184))</f>
      </c>
      <c r="C184">
        <f>IF($N184="","",INDEX(Staging!$C$2:$C$3001,$N184))</f>
      </c>
      <c r="D184">
        <f>IF($N184="","",INDEX(Staging!$D$2:$D$3001,$N184))</f>
      </c>
      <c r="E184">
        <f>IF($N184="","",INDEX(Staging!$F$2:$F$3001,$N184))</f>
      </c>
      <c r="F184">
        <f>IF($N184="","",INDEX(Staging!$G$2:$G$3001,$N184))</f>
      </c>
      <c r="G184">
        <f>IF($N184="","",INDEX(Staging!$H$2:$H$3001,$N184))</f>
      </c>
      <c r="H184">
        <f>IF($N184="","",INDEX(Staging!$I$2:$I$3001,$N184))</f>
      </c>
      <c r="I184">
        <f>IF($N184="","",INDEX(Staging!$J$2:$J$3001,$N184))</f>
      </c>
      <c r="J184">
        <f>IF($N184="","",INDEX(Staging!$K$2:$K$3001,$N184))</f>
      </c>
      <c r="K184">
        <f>IF($N184="","",INDEX(Staging!$M$2:$M$3001,$N184))</f>
      </c>
      <c r="L184">
        <f>IF($N184="","",INDEX(Staging!$O$2:$O$3001,$N184))</f>
      </c>
      <c r="M184">
        <f>IF($N184="","",INDEX(Staging!$P$2:$P$3001,$N184))</f>
      </c>
      <c r="N184">
        <f t="array" ref="N184">IFERROR(SMALL(IF(Staging!$E$2:$E$3001="MIPPL",ROW(Staging!$E$2:$E$3001)-ROW(Staging!$E$2)+1),183),"")</f>
      </c>
    </row>
    <row r="185" spans="1:14" x14ac:dyDescent="0.25">
      <c r="A185">
        <f>IF($N185="","",INDEX(Staging!$A$2:$A$3001,$N185))</f>
      </c>
      <c r="B185">
        <f>IF($N185="","",INDEX(Staging!$B$2:$B$3001,$N185))</f>
      </c>
      <c r="C185">
        <f>IF($N185="","",INDEX(Staging!$C$2:$C$3001,$N185))</f>
      </c>
      <c r="D185">
        <f>IF($N185="","",INDEX(Staging!$D$2:$D$3001,$N185))</f>
      </c>
      <c r="E185">
        <f>IF($N185="","",INDEX(Staging!$F$2:$F$3001,$N185))</f>
      </c>
      <c r="F185">
        <f>IF($N185="","",INDEX(Staging!$G$2:$G$3001,$N185))</f>
      </c>
      <c r="G185">
        <f>IF($N185="","",INDEX(Staging!$H$2:$H$3001,$N185))</f>
      </c>
      <c r="H185">
        <f>IF($N185="","",INDEX(Staging!$I$2:$I$3001,$N185))</f>
      </c>
      <c r="I185">
        <f>IF($N185="","",INDEX(Staging!$J$2:$J$3001,$N185))</f>
      </c>
      <c r="J185">
        <f>IF($N185="","",INDEX(Staging!$K$2:$K$3001,$N185))</f>
      </c>
      <c r="K185">
        <f>IF($N185="","",INDEX(Staging!$M$2:$M$3001,$N185))</f>
      </c>
      <c r="L185">
        <f>IF($N185="","",INDEX(Staging!$O$2:$O$3001,$N185))</f>
      </c>
      <c r="M185">
        <f>IF($N185="","",INDEX(Staging!$P$2:$P$3001,$N185))</f>
      </c>
      <c r="N185">
        <f t="array" ref="N185">IFERROR(SMALL(IF(Staging!$E$2:$E$3001="MIPPL",ROW(Staging!$E$2:$E$3001)-ROW(Staging!$E$2)+1),184),"")</f>
      </c>
    </row>
    <row r="186" spans="1:14" x14ac:dyDescent="0.25">
      <c r="A186">
        <f>IF($N186="","",INDEX(Staging!$A$2:$A$3001,$N186))</f>
      </c>
      <c r="B186">
        <f>IF($N186="","",INDEX(Staging!$B$2:$B$3001,$N186))</f>
      </c>
      <c r="C186">
        <f>IF($N186="","",INDEX(Staging!$C$2:$C$3001,$N186))</f>
      </c>
      <c r="D186">
        <f>IF($N186="","",INDEX(Staging!$D$2:$D$3001,$N186))</f>
      </c>
      <c r="E186">
        <f>IF($N186="","",INDEX(Staging!$F$2:$F$3001,$N186))</f>
      </c>
      <c r="F186">
        <f>IF($N186="","",INDEX(Staging!$G$2:$G$3001,$N186))</f>
      </c>
      <c r="G186">
        <f>IF($N186="","",INDEX(Staging!$H$2:$H$3001,$N186))</f>
      </c>
      <c r="H186">
        <f>IF($N186="","",INDEX(Staging!$I$2:$I$3001,$N186))</f>
      </c>
      <c r="I186">
        <f>IF($N186="","",INDEX(Staging!$J$2:$J$3001,$N186))</f>
      </c>
      <c r="J186">
        <f>IF($N186="","",INDEX(Staging!$K$2:$K$3001,$N186))</f>
      </c>
      <c r="K186">
        <f>IF($N186="","",INDEX(Staging!$M$2:$M$3001,$N186))</f>
      </c>
      <c r="L186">
        <f>IF($N186="","",INDEX(Staging!$O$2:$O$3001,$N186))</f>
      </c>
      <c r="M186">
        <f>IF($N186="","",INDEX(Staging!$P$2:$P$3001,$N186))</f>
      </c>
      <c r="N186">
        <f t="array" ref="N186">IFERROR(SMALL(IF(Staging!$E$2:$E$3001="MIPPL",ROW(Staging!$E$2:$E$3001)-ROW(Staging!$E$2)+1),185),"")</f>
      </c>
    </row>
    <row r="187" spans="1:14" x14ac:dyDescent="0.25">
      <c r="A187">
        <f>IF($N187="","",INDEX(Staging!$A$2:$A$3001,$N187))</f>
      </c>
      <c r="B187">
        <f>IF($N187="","",INDEX(Staging!$B$2:$B$3001,$N187))</f>
      </c>
      <c r="C187">
        <f>IF($N187="","",INDEX(Staging!$C$2:$C$3001,$N187))</f>
      </c>
      <c r="D187">
        <f>IF($N187="","",INDEX(Staging!$D$2:$D$3001,$N187))</f>
      </c>
      <c r="E187">
        <f>IF($N187="","",INDEX(Staging!$F$2:$F$3001,$N187))</f>
      </c>
      <c r="F187">
        <f>IF($N187="","",INDEX(Staging!$G$2:$G$3001,$N187))</f>
      </c>
      <c r="G187">
        <f>IF($N187="","",INDEX(Staging!$H$2:$H$3001,$N187))</f>
      </c>
      <c r="H187">
        <f>IF($N187="","",INDEX(Staging!$I$2:$I$3001,$N187))</f>
      </c>
      <c r="I187">
        <f>IF($N187="","",INDEX(Staging!$J$2:$J$3001,$N187))</f>
      </c>
      <c r="J187">
        <f>IF($N187="","",INDEX(Staging!$K$2:$K$3001,$N187))</f>
      </c>
      <c r="K187">
        <f>IF($N187="","",INDEX(Staging!$M$2:$M$3001,$N187))</f>
      </c>
      <c r="L187">
        <f>IF($N187="","",INDEX(Staging!$O$2:$O$3001,$N187))</f>
      </c>
      <c r="M187">
        <f>IF($N187="","",INDEX(Staging!$P$2:$P$3001,$N187))</f>
      </c>
      <c r="N187">
        <f t="array" ref="N187">IFERROR(SMALL(IF(Staging!$E$2:$E$3001="MIPPL",ROW(Staging!$E$2:$E$3001)-ROW(Staging!$E$2)+1),186),"")</f>
      </c>
    </row>
    <row r="188" spans="1:14" x14ac:dyDescent="0.25">
      <c r="A188">
        <f>IF($N188="","",INDEX(Staging!$A$2:$A$3001,$N188))</f>
      </c>
      <c r="B188">
        <f>IF($N188="","",INDEX(Staging!$B$2:$B$3001,$N188))</f>
      </c>
      <c r="C188">
        <f>IF($N188="","",INDEX(Staging!$C$2:$C$3001,$N188))</f>
      </c>
      <c r="D188">
        <f>IF($N188="","",INDEX(Staging!$D$2:$D$3001,$N188))</f>
      </c>
      <c r="E188">
        <f>IF($N188="","",INDEX(Staging!$F$2:$F$3001,$N188))</f>
      </c>
      <c r="F188">
        <f>IF($N188="","",INDEX(Staging!$G$2:$G$3001,$N188))</f>
      </c>
      <c r="G188">
        <f>IF($N188="","",INDEX(Staging!$H$2:$H$3001,$N188))</f>
      </c>
      <c r="H188">
        <f>IF($N188="","",INDEX(Staging!$I$2:$I$3001,$N188))</f>
      </c>
      <c r="I188">
        <f>IF($N188="","",INDEX(Staging!$J$2:$J$3001,$N188))</f>
      </c>
      <c r="J188">
        <f>IF($N188="","",INDEX(Staging!$K$2:$K$3001,$N188))</f>
      </c>
      <c r="K188">
        <f>IF($N188="","",INDEX(Staging!$M$2:$M$3001,$N188))</f>
      </c>
      <c r="L188">
        <f>IF($N188="","",INDEX(Staging!$O$2:$O$3001,$N188))</f>
      </c>
      <c r="M188">
        <f>IF($N188="","",INDEX(Staging!$P$2:$P$3001,$N188))</f>
      </c>
      <c r="N188">
        <f t="array" ref="N188">IFERROR(SMALL(IF(Staging!$E$2:$E$3001="MIPPL",ROW(Staging!$E$2:$E$3001)-ROW(Staging!$E$2)+1),187),"")</f>
      </c>
    </row>
    <row r="189" spans="1:14" x14ac:dyDescent="0.25">
      <c r="A189">
        <f>IF($N189="","",INDEX(Staging!$A$2:$A$3001,$N189))</f>
      </c>
      <c r="B189">
        <f>IF($N189="","",INDEX(Staging!$B$2:$B$3001,$N189))</f>
      </c>
      <c r="C189">
        <f>IF($N189="","",INDEX(Staging!$C$2:$C$3001,$N189))</f>
      </c>
      <c r="D189">
        <f>IF($N189="","",INDEX(Staging!$D$2:$D$3001,$N189))</f>
      </c>
      <c r="E189">
        <f>IF($N189="","",INDEX(Staging!$F$2:$F$3001,$N189))</f>
      </c>
      <c r="F189">
        <f>IF($N189="","",INDEX(Staging!$G$2:$G$3001,$N189))</f>
      </c>
      <c r="G189">
        <f>IF($N189="","",INDEX(Staging!$H$2:$H$3001,$N189))</f>
      </c>
      <c r="H189">
        <f>IF($N189="","",INDEX(Staging!$I$2:$I$3001,$N189))</f>
      </c>
      <c r="I189">
        <f>IF($N189="","",INDEX(Staging!$J$2:$J$3001,$N189))</f>
      </c>
      <c r="J189">
        <f>IF($N189="","",INDEX(Staging!$K$2:$K$3001,$N189))</f>
      </c>
      <c r="K189">
        <f>IF($N189="","",INDEX(Staging!$M$2:$M$3001,$N189))</f>
      </c>
      <c r="L189">
        <f>IF($N189="","",INDEX(Staging!$O$2:$O$3001,$N189))</f>
      </c>
      <c r="M189">
        <f>IF($N189="","",INDEX(Staging!$P$2:$P$3001,$N189))</f>
      </c>
      <c r="N189">
        <f t="array" ref="N189">IFERROR(SMALL(IF(Staging!$E$2:$E$3001="MIPPL",ROW(Staging!$E$2:$E$3001)-ROW(Staging!$E$2)+1),188),"")</f>
      </c>
    </row>
    <row r="190" spans="1:14" x14ac:dyDescent="0.25">
      <c r="A190">
        <f>IF($N190="","",INDEX(Staging!$A$2:$A$3001,$N190))</f>
      </c>
      <c r="B190">
        <f>IF($N190="","",INDEX(Staging!$B$2:$B$3001,$N190))</f>
      </c>
      <c r="C190">
        <f>IF($N190="","",INDEX(Staging!$C$2:$C$3001,$N190))</f>
      </c>
      <c r="D190">
        <f>IF($N190="","",INDEX(Staging!$D$2:$D$3001,$N190))</f>
      </c>
      <c r="E190">
        <f>IF($N190="","",INDEX(Staging!$F$2:$F$3001,$N190))</f>
      </c>
      <c r="F190">
        <f>IF($N190="","",INDEX(Staging!$G$2:$G$3001,$N190))</f>
      </c>
      <c r="G190">
        <f>IF($N190="","",INDEX(Staging!$H$2:$H$3001,$N190))</f>
      </c>
      <c r="H190">
        <f>IF($N190="","",INDEX(Staging!$I$2:$I$3001,$N190))</f>
      </c>
      <c r="I190">
        <f>IF($N190="","",INDEX(Staging!$J$2:$J$3001,$N190))</f>
      </c>
      <c r="J190">
        <f>IF($N190="","",INDEX(Staging!$K$2:$K$3001,$N190))</f>
      </c>
      <c r="K190">
        <f>IF($N190="","",INDEX(Staging!$M$2:$M$3001,$N190))</f>
      </c>
      <c r="L190">
        <f>IF($N190="","",INDEX(Staging!$O$2:$O$3001,$N190))</f>
      </c>
      <c r="M190">
        <f>IF($N190="","",INDEX(Staging!$P$2:$P$3001,$N190))</f>
      </c>
      <c r="N190">
        <f t="array" ref="N190">IFERROR(SMALL(IF(Staging!$E$2:$E$3001="MIPPL",ROW(Staging!$E$2:$E$3001)-ROW(Staging!$E$2)+1),189),"")</f>
      </c>
    </row>
    <row r="191" spans="1:14" x14ac:dyDescent="0.25">
      <c r="A191">
        <f>IF($N191="","",INDEX(Staging!$A$2:$A$3001,$N191))</f>
      </c>
      <c r="B191">
        <f>IF($N191="","",INDEX(Staging!$B$2:$B$3001,$N191))</f>
      </c>
      <c r="C191">
        <f>IF($N191="","",INDEX(Staging!$C$2:$C$3001,$N191))</f>
      </c>
      <c r="D191">
        <f>IF($N191="","",INDEX(Staging!$D$2:$D$3001,$N191))</f>
      </c>
      <c r="E191">
        <f>IF($N191="","",INDEX(Staging!$F$2:$F$3001,$N191))</f>
      </c>
      <c r="F191">
        <f>IF($N191="","",INDEX(Staging!$G$2:$G$3001,$N191))</f>
      </c>
      <c r="G191">
        <f>IF($N191="","",INDEX(Staging!$H$2:$H$3001,$N191))</f>
      </c>
      <c r="H191">
        <f>IF($N191="","",INDEX(Staging!$I$2:$I$3001,$N191))</f>
      </c>
      <c r="I191">
        <f>IF($N191="","",INDEX(Staging!$J$2:$J$3001,$N191))</f>
      </c>
      <c r="J191">
        <f>IF($N191="","",INDEX(Staging!$K$2:$K$3001,$N191))</f>
      </c>
      <c r="K191">
        <f>IF($N191="","",INDEX(Staging!$M$2:$M$3001,$N191))</f>
      </c>
      <c r="L191">
        <f>IF($N191="","",INDEX(Staging!$O$2:$O$3001,$N191))</f>
      </c>
      <c r="M191">
        <f>IF($N191="","",INDEX(Staging!$P$2:$P$3001,$N191))</f>
      </c>
      <c r="N191">
        <f t="array" ref="N191">IFERROR(SMALL(IF(Staging!$E$2:$E$3001="MIPPL",ROW(Staging!$E$2:$E$3001)-ROW(Staging!$E$2)+1),190),"")</f>
      </c>
    </row>
    <row r="192" spans="1:14" x14ac:dyDescent="0.25">
      <c r="A192">
        <f>IF($N192="","",INDEX(Staging!$A$2:$A$3001,$N192))</f>
      </c>
      <c r="B192">
        <f>IF($N192="","",INDEX(Staging!$B$2:$B$3001,$N192))</f>
      </c>
      <c r="C192">
        <f>IF($N192="","",INDEX(Staging!$C$2:$C$3001,$N192))</f>
      </c>
      <c r="D192">
        <f>IF($N192="","",INDEX(Staging!$D$2:$D$3001,$N192))</f>
      </c>
      <c r="E192">
        <f>IF($N192="","",INDEX(Staging!$F$2:$F$3001,$N192))</f>
      </c>
      <c r="F192">
        <f>IF($N192="","",INDEX(Staging!$G$2:$G$3001,$N192))</f>
      </c>
      <c r="G192">
        <f>IF($N192="","",INDEX(Staging!$H$2:$H$3001,$N192))</f>
      </c>
      <c r="H192">
        <f>IF($N192="","",INDEX(Staging!$I$2:$I$3001,$N192))</f>
      </c>
      <c r="I192">
        <f>IF($N192="","",INDEX(Staging!$J$2:$J$3001,$N192))</f>
      </c>
      <c r="J192">
        <f>IF($N192="","",INDEX(Staging!$K$2:$K$3001,$N192))</f>
      </c>
      <c r="K192">
        <f>IF($N192="","",INDEX(Staging!$M$2:$M$3001,$N192))</f>
      </c>
      <c r="L192">
        <f>IF($N192="","",INDEX(Staging!$O$2:$O$3001,$N192))</f>
      </c>
      <c r="M192">
        <f>IF($N192="","",INDEX(Staging!$P$2:$P$3001,$N192))</f>
      </c>
      <c r="N192">
        <f t="array" ref="N192">IFERROR(SMALL(IF(Staging!$E$2:$E$3001="MIPPL",ROW(Staging!$E$2:$E$3001)-ROW(Staging!$E$2)+1),191),"")</f>
      </c>
    </row>
    <row r="193" spans="1:14" x14ac:dyDescent="0.25">
      <c r="A193">
        <f>IF($N193="","",INDEX(Staging!$A$2:$A$3001,$N193))</f>
      </c>
      <c r="B193">
        <f>IF($N193="","",INDEX(Staging!$B$2:$B$3001,$N193))</f>
      </c>
      <c r="C193">
        <f>IF($N193="","",INDEX(Staging!$C$2:$C$3001,$N193))</f>
      </c>
      <c r="D193">
        <f>IF($N193="","",INDEX(Staging!$D$2:$D$3001,$N193))</f>
      </c>
      <c r="E193">
        <f>IF($N193="","",INDEX(Staging!$F$2:$F$3001,$N193))</f>
      </c>
      <c r="F193">
        <f>IF($N193="","",INDEX(Staging!$G$2:$G$3001,$N193))</f>
      </c>
      <c r="G193">
        <f>IF($N193="","",INDEX(Staging!$H$2:$H$3001,$N193))</f>
      </c>
      <c r="H193">
        <f>IF($N193="","",INDEX(Staging!$I$2:$I$3001,$N193))</f>
      </c>
      <c r="I193">
        <f>IF($N193="","",INDEX(Staging!$J$2:$J$3001,$N193))</f>
      </c>
      <c r="J193">
        <f>IF($N193="","",INDEX(Staging!$K$2:$K$3001,$N193))</f>
      </c>
      <c r="K193">
        <f>IF($N193="","",INDEX(Staging!$M$2:$M$3001,$N193))</f>
      </c>
      <c r="L193">
        <f>IF($N193="","",INDEX(Staging!$O$2:$O$3001,$N193))</f>
      </c>
      <c r="M193">
        <f>IF($N193="","",INDEX(Staging!$P$2:$P$3001,$N193))</f>
      </c>
      <c r="N193">
        <f t="array" ref="N193">IFERROR(SMALL(IF(Staging!$E$2:$E$3001="MIPPL",ROW(Staging!$E$2:$E$3001)-ROW(Staging!$E$2)+1),192),"")</f>
      </c>
    </row>
    <row r="194" spans="1:14" x14ac:dyDescent="0.25">
      <c r="A194">
        <f>IF($N194="","",INDEX(Staging!$A$2:$A$3001,$N194))</f>
      </c>
      <c r="B194">
        <f>IF($N194="","",INDEX(Staging!$B$2:$B$3001,$N194))</f>
      </c>
      <c r="C194">
        <f>IF($N194="","",INDEX(Staging!$C$2:$C$3001,$N194))</f>
      </c>
      <c r="D194">
        <f>IF($N194="","",INDEX(Staging!$D$2:$D$3001,$N194))</f>
      </c>
      <c r="E194">
        <f>IF($N194="","",INDEX(Staging!$F$2:$F$3001,$N194))</f>
      </c>
      <c r="F194">
        <f>IF($N194="","",INDEX(Staging!$G$2:$G$3001,$N194))</f>
      </c>
      <c r="G194">
        <f>IF($N194="","",INDEX(Staging!$H$2:$H$3001,$N194))</f>
      </c>
      <c r="H194">
        <f>IF($N194="","",INDEX(Staging!$I$2:$I$3001,$N194))</f>
      </c>
      <c r="I194">
        <f>IF($N194="","",INDEX(Staging!$J$2:$J$3001,$N194))</f>
      </c>
      <c r="J194">
        <f>IF($N194="","",INDEX(Staging!$K$2:$K$3001,$N194))</f>
      </c>
      <c r="K194">
        <f>IF($N194="","",INDEX(Staging!$M$2:$M$3001,$N194))</f>
      </c>
      <c r="L194">
        <f>IF($N194="","",INDEX(Staging!$O$2:$O$3001,$N194))</f>
      </c>
      <c r="M194">
        <f>IF($N194="","",INDEX(Staging!$P$2:$P$3001,$N194))</f>
      </c>
      <c r="N194">
        <f t="array" ref="N194">IFERROR(SMALL(IF(Staging!$E$2:$E$3001="MIPPL",ROW(Staging!$E$2:$E$3001)-ROW(Staging!$E$2)+1),193),"")</f>
      </c>
    </row>
    <row r="195" spans="1:14" x14ac:dyDescent="0.25">
      <c r="A195">
        <f>IF($N195="","",INDEX(Staging!$A$2:$A$3001,$N195))</f>
      </c>
      <c r="B195">
        <f>IF($N195="","",INDEX(Staging!$B$2:$B$3001,$N195))</f>
      </c>
      <c r="C195">
        <f>IF($N195="","",INDEX(Staging!$C$2:$C$3001,$N195))</f>
      </c>
      <c r="D195">
        <f>IF($N195="","",INDEX(Staging!$D$2:$D$3001,$N195))</f>
      </c>
      <c r="E195">
        <f>IF($N195="","",INDEX(Staging!$F$2:$F$3001,$N195))</f>
      </c>
      <c r="F195">
        <f>IF($N195="","",INDEX(Staging!$G$2:$G$3001,$N195))</f>
      </c>
      <c r="G195">
        <f>IF($N195="","",INDEX(Staging!$H$2:$H$3001,$N195))</f>
      </c>
      <c r="H195">
        <f>IF($N195="","",INDEX(Staging!$I$2:$I$3001,$N195))</f>
      </c>
      <c r="I195">
        <f>IF($N195="","",INDEX(Staging!$J$2:$J$3001,$N195))</f>
      </c>
      <c r="J195">
        <f>IF($N195="","",INDEX(Staging!$K$2:$K$3001,$N195))</f>
      </c>
      <c r="K195">
        <f>IF($N195="","",INDEX(Staging!$M$2:$M$3001,$N195))</f>
      </c>
      <c r="L195">
        <f>IF($N195="","",INDEX(Staging!$O$2:$O$3001,$N195))</f>
      </c>
      <c r="M195">
        <f>IF($N195="","",INDEX(Staging!$P$2:$P$3001,$N195))</f>
      </c>
      <c r="N195">
        <f t="array" ref="N195">IFERROR(SMALL(IF(Staging!$E$2:$E$3001="MIPPL",ROW(Staging!$E$2:$E$3001)-ROW(Staging!$E$2)+1),194),"")</f>
      </c>
    </row>
    <row r="196" spans="1:14" x14ac:dyDescent="0.25">
      <c r="A196">
        <f>IF($N196="","",INDEX(Staging!$A$2:$A$3001,$N196))</f>
      </c>
      <c r="B196">
        <f>IF($N196="","",INDEX(Staging!$B$2:$B$3001,$N196))</f>
      </c>
      <c r="C196">
        <f>IF($N196="","",INDEX(Staging!$C$2:$C$3001,$N196))</f>
      </c>
      <c r="D196">
        <f>IF($N196="","",INDEX(Staging!$D$2:$D$3001,$N196))</f>
      </c>
      <c r="E196">
        <f>IF($N196="","",INDEX(Staging!$F$2:$F$3001,$N196))</f>
      </c>
      <c r="F196">
        <f>IF($N196="","",INDEX(Staging!$G$2:$G$3001,$N196))</f>
      </c>
      <c r="G196">
        <f>IF($N196="","",INDEX(Staging!$H$2:$H$3001,$N196))</f>
      </c>
      <c r="H196">
        <f>IF($N196="","",INDEX(Staging!$I$2:$I$3001,$N196))</f>
      </c>
      <c r="I196">
        <f>IF($N196="","",INDEX(Staging!$J$2:$J$3001,$N196))</f>
      </c>
      <c r="J196">
        <f>IF($N196="","",INDEX(Staging!$K$2:$K$3001,$N196))</f>
      </c>
      <c r="K196">
        <f>IF($N196="","",INDEX(Staging!$M$2:$M$3001,$N196))</f>
      </c>
      <c r="L196">
        <f>IF($N196="","",INDEX(Staging!$O$2:$O$3001,$N196))</f>
      </c>
      <c r="M196">
        <f>IF($N196="","",INDEX(Staging!$P$2:$P$3001,$N196))</f>
      </c>
      <c r="N196">
        <f t="array" ref="N196">IFERROR(SMALL(IF(Staging!$E$2:$E$3001="MIPPL",ROW(Staging!$E$2:$E$3001)-ROW(Staging!$E$2)+1),195),"")</f>
      </c>
    </row>
    <row r="197" spans="1:14" x14ac:dyDescent="0.25">
      <c r="A197">
        <f>IF($N197="","",INDEX(Staging!$A$2:$A$3001,$N197))</f>
      </c>
      <c r="B197">
        <f>IF($N197="","",INDEX(Staging!$B$2:$B$3001,$N197))</f>
      </c>
      <c r="C197">
        <f>IF($N197="","",INDEX(Staging!$C$2:$C$3001,$N197))</f>
      </c>
      <c r="D197">
        <f>IF($N197="","",INDEX(Staging!$D$2:$D$3001,$N197))</f>
      </c>
      <c r="E197">
        <f>IF($N197="","",INDEX(Staging!$F$2:$F$3001,$N197))</f>
      </c>
      <c r="F197">
        <f>IF($N197="","",INDEX(Staging!$G$2:$G$3001,$N197))</f>
      </c>
      <c r="G197">
        <f>IF($N197="","",INDEX(Staging!$H$2:$H$3001,$N197))</f>
      </c>
      <c r="H197">
        <f>IF($N197="","",INDEX(Staging!$I$2:$I$3001,$N197))</f>
      </c>
      <c r="I197">
        <f>IF($N197="","",INDEX(Staging!$J$2:$J$3001,$N197))</f>
      </c>
      <c r="J197">
        <f>IF($N197="","",INDEX(Staging!$K$2:$K$3001,$N197))</f>
      </c>
      <c r="K197">
        <f>IF($N197="","",INDEX(Staging!$M$2:$M$3001,$N197))</f>
      </c>
      <c r="L197">
        <f>IF($N197="","",INDEX(Staging!$O$2:$O$3001,$N197))</f>
      </c>
      <c r="M197">
        <f>IF($N197="","",INDEX(Staging!$P$2:$P$3001,$N197))</f>
      </c>
      <c r="N197">
        <f t="array" ref="N197">IFERROR(SMALL(IF(Staging!$E$2:$E$3001="MIPPL",ROW(Staging!$E$2:$E$3001)-ROW(Staging!$E$2)+1),196),"")</f>
      </c>
    </row>
    <row r="198" spans="1:14" x14ac:dyDescent="0.25">
      <c r="A198">
        <f>IF($N198="","",INDEX(Staging!$A$2:$A$3001,$N198))</f>
      </c>
      <c r="B198">
        <f>IF($N198="","",INDEX(Staging!$B$2:$B$3001,$N198))</f>
      </c>
      <c r="C198">
        <f>IF($N198="","",INDEX(Staging!$C$2:$C$3001,$N198))</f>
      </c>
      <c r="D198">
        <f>IF($N198="","",INDEX(Staging!$D$2:$D$3001,$N198))</f>
      </c>
      <c r="E198">
        <f>IF($N198="","",INDEX(Staging!$F$2:$F$3001,$N198))</f>
      </c>
      <c r="F198">
        <f>IF($N198="","",INDEX(Staging!$G$2:$G$3001,$N198))</f>
      </c>
      <c r="G198">
        <f>IF($N198="","",INDEX(Staging!$H$2:$H$3001,$N198))</f>
      </c>
      <c r="H198">
        <f>IF($N198="","",INDEX(Staging!$I$2:$I$3001,$N198))</f>
      </c>
      <c r="I198">
        <f>IF($N198="","",INDEX(Staging!$J$2:$J$3001,$N198))</f>
      </c>
      <c r="J198">
        <f>IF($N198="","",INDEX(Staging!$K$2:$K$3001,$N198))</f>
      </c>
      <c r="K198">
        <f>IF($N198="","",INDEX(Staging!$M$2:$M$3001,$N198))</f>
      </c>
      <c r="L198">
        <f>IF($N198="","",INDEX(Staging!$O$2:$O$3001,$N198))</f>
      </c>
      <c r="M198">
        <f>IF($N198="","",INDEX(Staging!$P$2:$P$3001,$N198))</f>
      </c>
      <c r="N198">
        <f t="array" ref="N198">IFERROR(SMALL(IF(Staging!$E$2:$E$3001="MIPPL",ROW(Staging!$E$2:$E$3001)-ROW(Staging!$E$2)+1),197),"")</f>
      </c>
    </row>
    <row r="199" spans="1:14" x14ac:dyDescent="0.25">
      <c r="A199">
        <f>IF($N199="","",INDEX(Staging!$A$2:$A$3001,$N199))</f>
      </c>
      <c r="B199">
        <f>IF($N199="","",INDEX(Staging!$B$2:$B$3001,$N199))</f>
      </c>
      <c r="C199">
        <f>IF($N199="","",INDEX(Staging!$C$2:$C$3001,$N199))</f>
      </c>
      <c r="D199">
        <f>IF($N199="","",INDEX(Staging!$D$2:$D$3001,$N199))</f>
      </c>
      <c r="E199">
        <f>IF($N199="","",INDEX(Staging!$F$2:$F$3001,$N199))</f>
      </c>
      <c r="F199">
        <f>IF($N199="","",INDEX(Staging!$G$2:$G$3001,$N199))</f>
      </c>
      <c r="G199">
        <f>IF($N199="","",INDEX(Staging!$H$2:$H$3001,$N199))</f>
      </c>
      <c r="H199">
        <f>IF($N199="","",INDEX(Staging!$I$2:$I$3001,$N199))</f>
      </c>
      <c r="I199">
        <f>IF($N199="","",INDEX(Staging!$J$2:$J$3001,$N199))</f>
      </c>
      <c r="J199">
        <f>IF($N199="","",INDEX(Staging!$K$2:$K$3001,$N199))</f>
      </c>
      <c r="K199">
        <f>IF($N199="","",INDEX(Staging!$M$2:$M$3001,$N199))</f>
      </c>
      <c r="L199">
        <f>IF($N199="","",INDEX(Staging!$O$2:$O$3001,$N199))</f>
      </c>
      <c r="M199">
        <f>IF($N199="","",INDEX(Staging!$P$2:$P$3001,$N199))</f>
      </c>
      <c r="N199">
        <f t="array" ref="N199">IFERROR(SMALL(IF(Staging!$E$2:$E$3001="MIPPL",ROW(Staging!$E$2:$E$3001)-ROW(Staging!$E$2)+1),198),"")</f>
      </c>
    </row>
    <row r="200" spans="1:14" x14ac:dyDescent="0.25">
      <c r="A200">
        <f>IF($N200="","",INDEX(Staging!$A$2:$A$3001,$N200))</f>
      </c>
      <c r="B200">
        <f>IF($N200="","",INDEX(Staging!$B$2:$B$3001,$N200))</f>
      </c>
      <c r="C200">
        <f>IF($N200="","",INDEX(Staging!$C$2:$C$3001,$N200))</f>
      </c>
      <c r="D200">
        <f>IF($N200="","",INDEX(Staging!$D$2:$D$3001,$N200))</f>
      </c>
      <c r="E200">
        <f>IF($N200="","",INDEX(Staging!$F$2:$F$3001,$N200))</f>
      </c>
      <c r="F200">
        <f>IF($N200="","",INDEX(Staging!$G$2:$G$3001,$N200))</f>
      </c>
      <c r="G200">
        <f>IF($N200="","",INDEX(Staging!$H$2:$H$3001,$N200))</f>
      </c>
      <c r="H200">
        <f>IF($N200="","",INDEX(Staging!$I$2:$I$3001,$N200))</f>
      </c>
      <c r="I200">
        <f>IF($N200="","",INDEX(Staging!$J$2:$J$3001,$N200))</f>
      </c>
      <c r="J200">
        <f>IF($N200="","",INDEX(Staging!$K$2:$K$3001,$N200))</f>
      </c>
      <c r="K200">
        <f>IF($N200="","",INDEX(Staging!$M$2:$M$3001,$N200))</f>
      </c>
      <c r="L200">
        <f>IF($N200="","",INDEX(Staging!$O$2:$O$3001,$N200))</f>
      </c>
      <c r="M200">
        <f>IF($N200="","",INDEX(Staging!$P$2:$P$3001,$N200))</f>
      </c>
      <c r="N200">
        <f t="array" ref="N200">IFERROR(SMALL(IF(Staging!$E$2:$E$3001="MIPPL",ROW(Staging!$E$2:$E$3001)-ROW(Staging!$E$2)+1),199),"")</f>
      </c>
    </row>
    <row r="201" spans="1:14" x14ac:dyDescent="0.25">
      <c r="A201">
        <f>IF($N201="","",INDEX(Staging!$A$2:$A$3001,$N201))</f>
      </c>
      <c r="B201">
        <f>IF($N201="","",INDEX(Staging!$B$2:$B$3001,$N201))</f>
      </c>
      <c r="C201">
        <f>IF($N201="","",INDEX(Staging!$C$2:$C$3001,$N201))</f>
      </c>
      <c r="D201">
        <f>IF($N201="","",INDEX(Staging!$D$2:$D$3001,$N201))</f>
      </c>
      <c r="E201">
        <f>IF($N201="","",INDEX(Staging!$F$2:$F$3001,$N201))</f>
      </c>
      <c r="F201">
        <f>IF($N201="","",INDEX(Staging!$G$2:$G$3001,$N201))</f>
      </c>
      <c r="G201">
        <f>IF($N201="","",INDEX(Staging!$H$2:$H$3001,$N201))</f>
      </c>
      <c r="H201">
        <f>IF($N201="","",INDEX(Staging!$I$2:$I$3001,$N201))</f>
      </c>
      <c r="I201">
        <f>IF($N201="","",INDEX(Staging!$J$2:$J$3001,$N201))</f>
      </c>
      <c r="J201">
        <f>IF($N201="","",INDEX(Staging!$K$2:$K$3001,$N201))</f>
      </c>
      <c r="K201">
        <f>IF($N201="","",INDEX(Staging!$M$2:$M$3001,$N201))</f>
      </c>
      <c r="L201">
        <f>IF($N201="","",INDEX(Staging!$O$2:$O$3001,$N201))</f>
      </c>
      <c r="M201">
        <f>IF($N201="","",INDEX(Staging!$P$2:$P$3001,$N201))</f>
      </c>
      <c r="N201">
        <f t="array" ref="N201">IFERROR(SMALL(IF(Staging!$E$2:$E$3001="MIPPL",ROW(Staging!$E$2:$E$3001)-ROW(Staging!$E$2)+1),200),"")</f>
      </c>
    </row>
    <row r="202" spans="1:14" x14ac:dyDescent="0.25">
      <c r="A202">
        <f>IF($N202="","",INDEX(Staging!$A$2:$A$3001,$N202))</f>
      </c>
      <c r="B202">
        <f>IF($N202="","",INDEX(Staging!$B$2:$B$3001,$N202))</f>
      </c>
      <c r="C202">
        <f>IF($N202="","",INDEX(Staging!$C$2:$C$3001,$N202))</f>
      </c>
      <c r="D202">
        <f>IF($N202="","",INDEX(Staging!$D$2:$D$3001,$N202))</f>
      </c>
      <c r="E202">
        <f>IF($N202="","",INDEX(Staging!$F$2:$F$3001,$N202))</f>
      </c>
      <c r="F202">
        <f>IF($N202="","",INDEX(Staging!$G$2:$G$3001,$N202))</f>
      </c>
      <c r="G202">
        <f>IF($N202="","",INDEX(Staging!$H$2:$H$3001,$N202))</f>
      </c>
      <c r="H202">
        <f>IF($N202="","",INDEX(Staging!$I$2:$I$3001,$N202))</f>
      </c>
      <c r="I202">
        <f>IF($N202="","",INDEX(Staging!$J$2:$J$3001,$N202))</f>
      </c>
      <c r="J202">
        <f>IF($N202="","",INDEX(Staging!$K$2:$K$3001,$N202))</f>
      </c>
      <c r="K202">
        <f>IF($N202="","",INDEX(Staging!$M$2:$M$3001,$N202))</f>
      </c>
      <c r="L202">
        <f>IF($N202="","",INDEX(Staging!$O$2:$O$3001,$N202))</f>
      </c>
      <c r="M202">
        <f>IF($N202="","",INDEX(Staging!$P$2:$P$3001,$N202))</f>
      </c>
      <c r="N202">
        <f t="array" ref="N202">IFERROR(SMALL(IF(Staging!$E$2:$E$3001="MIPPL",ROW(Staging!$E$2:$E$3001)-ROW(Staging!$E$2)+1),201),"")</f>
      </c>
    </row>
    <row r="203" spans="1:14" x14ac:dyDescent="0.25">
      <c r="A203">
        <f>IF($N203="","",INDEX(Staging!$A$2:$A$3001,$N203))</f>
      </c>
      <c r="B203">
        <f>IF($N203="","",INDEX(Staging!$B$2:$B$3001,$N203))</f>
      </c>
      <c r="C203">
        <f>IF($N203="","",INDEX(Staging!$C$2:$C$3001,$N203))</f>
      </c>
      <c r="D203">
        <f>IF($N203="","",INDEX(Staging!$D$2:$D$3001,$N203))</f>
      </c>
      <c r="E203">
        <f>IF($N203="","",INDEX(Staging!$F$2:$F$3001,$N203))</f>
      </c>
      <c r="F203">
        <f>IF($N203="","",INDEX(Staging!$G$2:$G$3001,$N203))</f>
      </c>
      <c r="G203">
        <f>IF($N203="","",INDEX(Staging!$H$2:$H$3001,$N203))</f>
      </c>
      <c r="H203">
        <f>IF($N203="","",INDEX(Staging!$I$2:$I$3001,$N203))</f>
      </c>
      <c r="I203">
        <f>IF($N203="","",INDEX(Staging!$J$2:$J$3001,$N203))</f>
      </c>
      <c r="J203">
        <f>IF($N203="","",INDEX(Staging!$K$2:$K$3001,$N203))</f>
      </c>
      <c r="K203">
        <f>IF($N203="","",INDEX(Staging!$M$2:$M$3001,$N203))</f>
      </c>
      <c r="L203">
        <f>IF($N203="","",INDEX(Staging!$O$2:$O$3001,$N203))</f>
      </c>
      <c r="M203">
        <f>IF($N203="","",INDEX(Staging!$P$2:$P$3001,$N203))</f>
      </c>
      <c r="N203">
        <f t="array" ref="N203">IFERROR(SMALL(IF(Staging!$E$2:$E$3001="MIPPL",ROW(Staging!$E$2:$E$3001)-ROW(Staging!$E$2)+1),202),"")</f>
      </c>
    </row>
    <row r="204" spans="1:14" x14ac:dyDescent="0.25">
      <c r="A204">
        <f>IF($N204="","",INDEX(Staging!$A$2:$A$3001,$N204))</f>
      </c>
      <c r="B204">
        <f>IF($N204="","",INDEX(Staging!$B$2:$B$3001,$N204))</f>
      </c>
      <c r="C204">
        <f>IF($N204="","",INDEX(Staging!$C$2:$C$3001,$N204))</f>
      </c>
      <c r="D204">
        <f>IF($N204="","",INDEX(Staging!$D$2:$D$3001,$N204))</f>
      </c>
      <c r="E204">
        <f>IF($N204="","",INDEX(Staging!$F$2:$F$3001,$N204))</f>
      </c>
      <c r="F204">
        <f>IF($N204="","",INDEX(Staging!$G$2:$G$3001,$N204))</f>
      </c>
      <c r="G204">
        <f>IF($N204="","",INDEX(Staging!$H$2:$H$3001,$N204))</f>
      </c>
      <c r="H204">
        <f>IF($N204="","",INDEX(Staging!$I$2:$I$3001,$N204))</f>
      </c>
      <c r="I204">
        <f>IF($N204="","",INDEX(Staging!$J$2:$J$3001,$N204))</f>
      </c>
      <c r="J204">
        <f>IF($N204="","",INDEX(Staging!$K$2:$K$3001,$N204))</f>
      </c>
      <c r="K204">
        <f>IF($N204="","",INDEX(Staging!$M$2:$M$3001,$N204))</f>
      </c>
      <c r="L204">
        <f>IF($N204="","",INDEX(Staging!$O$2:$O$3001,$N204))</f>
      </c>
      <c r="M204">
        <f>IF($N204="","",INDEX(Staging!$P$2:$P$3001,$N204))</f>
      </c>
      <c r="N204">
        <f t="array" ref="N204">IFERROR(SMALL(IF(Staging!$E$2:$E$3001="MIPPL",ROW(Staging!$E$2:$E$3001)-ROW(Staging!$E$2)+1),203),"")</f>
      </c>
    </row>
    <row r="205" spans="1:14" x14ac:dyDescent="0.25">
      <c r="A205">
        <f>IF($N205="","",INDEX(Staging!$A$2:$A$3001,$N205))</f>
      </c>
      <c r="B205">
        <f>IF($N205="","",INDEX(Staging!$B$2:$B$3001,$N205))</f>
      </c>
      <c r="C205">
        <f>IF($N205="","",INDEX(Staging!$C$2:$C$3001,$N205))</f>
      </c>
      <c r="D205">
        <f>IF($N205="","",INDEX(Staging!$D$2:$D$3001,$N205))</f>
      </c>
      <c r="E205">
        <f>IF($N205="","",INDEX(Staging!$F$2:$F$3001,$N205))</f>
      </c>
      <c r="F205">
        <f>IF($N205="","",INDEX(Staging!$G$2:$G$3001,$N205))</f>
      </c>
      <c r="G205">
        <f>IF($N205="","",INDEX(Staging!$H$2:$H$3001,$N205))</f>
      </c>
      <c r="H205">
        <f>IF($N205="","",INDEX(Staging!$I$2:$I$3001,$N205))</f>
      </c>
      <c r="I205">
        <f>IF($N205="","",INDEX(Staging!$J$2:$J$3001,$N205))</f>
      </c>
      <c r="J205">
        <f>IF($N205="","",INDEX(Staging!$K$2:$K$3001,$N205))</f>
      </c>
      <c r="K205">
        <f>IF($N205="","",INDEX(Staging!$M$2:$M$3001,$N205))</f>
      </c>
      <c r="L205">
        <f>IF($N205="","",INDEX(Staging!$O$2:$O$3001,$N205))</f>
      </c>
      <c r="M205">
        <f>IF($N205="","",INDEX(Staging!$P$2:$P$3001,$N205))</f>
      </c>
      <c r="N205">
        <f t="array" ref="N205">IFERROR(SMALL(IF(Staging!$E$2:$E$3001="MIPPL",ROW(Staging!$E$2:$E$3001)-ROW(Staging!$E$2)+1),204),"")</f>
      </c>
    </row>
    <row r="206" spans="1:14" x14ac:dyDescent="0.25">
      <c r="A206">
        <f>IF($N206="","",INDEX(Staging!$A$2:$A$3001,$N206))</f>
      </c>
      <c r="B206">
        <f>IF($N206="","",INDEX(Staging!$B$2:$B$3001,$N206))</f>
      </c>
      <c r="C206">
        <f>IF($N206="","",INDEX(Staging!$C$2:$C$3001,$N206))</f>
      </c>
      <c r="D206">
        <f>IF($N206="","",INDEX(Staging!$D$2:$D$3001,$N206))</f>
      </c>
      <c r="E206">
        <f>IF($N206="","",INDEX(Staging!$F$2:$F$3001,$N206))</f>
      </c>
      <c r="F206">
        <f>IF($N206="","",INDEX(Staging!$G$2:$G$3001,$N206))</f>
      </c>
      <c r="G206">
        <f>IF($N206="","",INDEX(Staging!$H$2:$H$3001,$N206))</f>
      </c>
      <c r="H206">
        <f>IF($N206="","",INDEX(Staging!$I$2:$I$3001,$N206))</f>
      </c>
      <c r="I206">
        <f>IF($N206="","",INDEX(Staging!$J$2:$J$3001,$N206))</f>
      </c>
      <c r="J206">
        <f>IF($N206="","",INDEX(Staging!$K$2:$K$3001,$N206))</f>
      </c>
      <c r="K206">
        <f>IF($N206="","",INDEX(Staging!$M$2:$M$3001,$N206))</f>
      </c>
      <c r="L206">
        <f>IF($N206="","",INDEX(Staging!$O$2:$O$3001,$N206))</f>
      </c>
      <c r="M206">
        <f>IF($N206="","",INDEX(Staging!$P$2:$P$3001,$N206))</f>
      </c>
      <c r="N206">
        <f t="array" ref="N206">IFERROR(SMALL(IF(Staging!$E$2:$E$3001="MIPPL",ROW(Staging!$E$2:$E$3001)-ROW(Staging!$E$2)+1),205),"")</f>
      </c>
    </row>
    <row r="207" spans="1:14" x14ac:dyDescent="0.25">
      <c r="A207">
        <f>IF($N207="","",INDEX(Staging!$A$2:$A$3001,$N207))</f>
      </c>
      <c r="B207">
        <f>IF($N207="","",INDEX(Staging!$B$2:$B$3001,$N207))</f>
      </c>
      <c r="C207">
        <f>IF($N207="","",INDEX(Staging!$C$2:$C$3001,$N207))</f>
      </c>
      <c r="D207">
        <f>IF($N207="","",INDEX(Staging!$D$2:$D$3001,$N207))</f>
      </c>
      <c r="E207">
        <f>IF($N207="","",INDEX(Staging!$F$2:$F$3001,$N207))</f>
      </c>
      <c r="F207">
        <f>IF($N207="","",INDEX(Staging!$G$2:$G$3001,$N207))</f>
      </c>
      <c r="G207">
        <f>IF($N207="","",INDEX(Staging!$H$2:$H$3001,$N207))</f>
      </c>
      <c r="H207">
        <f>IF($N207="","",INDEX(Staging!$I$2:$I$3001,$N207))</f>
      </c>
      <c r="I207">
        <f>IF($N207="","",INDEX(Staging!$J$2:$J$3001,$N207))</f>
      </c>
      <c r="J207">
        <f>IF($N207="","",INDEX(Staging!$K$2:$K$3001,$N207))</f>
      </c>
      <c r="K207">
        <f>IF($N207="","",INDEX(Staging!$M$2:$M$3001,$N207))</f>
      </c>
      <c r="L207">
        <f>IF($N207="","",INDEX(Staging!$O$2:$O$3001,$N207))</f>
      </c>
      <c r="M207">
        <f>IF($N207="","",INDEX(Staging!$P$2:$P$3001,$N207))</f>
      </c>
      <c r="N207">
        <f t="array" ref="N207">IFERROR(SMALL(IF(Staging!$E$2:$E$3001="MIPPL",ROW(Staging!$E$2:$E$3001)-ROW(Staging!$E$2)+1),206),"")</f>
      </c>
    </row>
    <row r="208" spans="1:14" x14ac:dyDescent="0.25">
      <c r="A208">
        <f>IF($N208="","",INDEX(Staging!$A$2:$A$3001,$N208))</f>
      </c>
      <c r="B208">
        <f>IF($N208="","",INDEX(Staging!$B$2:$B$3001,$N208))</f>
      </c>
      <c r="C208">
        <f>IF($N208="","",INDEX(Staging!$C$2:$C$3001,$N208))</f>
      </c>
      <c r="D208">
        <f>IF($N208="","",INDEX(Staging!$D$2:$D$3001,$N208))</f>
      </c>
      <c r="E208">
        <f>IF($N208="","",INDEX(Staging!$F$2:$F$3001,$N208))</f>
      </c>
      <c r="F208">
        <f>IF($N208="","",INDEX(Staging!$G$2:$G$3001,$N208))</f>
      </c>
      <c r="G208">
        <f>IF($N208="","",INDEX(Staging!$H$2:$H$3001,$N208))</f>
      </c>
      <c r="H208">
        <f>IF($N208="","",INDEX(Staging!$I$2:$I$3001,$N208))</f>
      </c>
      <c r="I208">
        <f>IF($N208="","",INDEX(Staging!$J$2:$J$3001,$N208))</f>
      </c>
      <c r="J208">
        <f>IF($N208="","",INDEX(Staging!$K$2:$K$3001,$N208))</f>
      </c>
      <c r="K208">
        <f>IF($N208="","",INDEX(Staging!$M$2:$M$3001,$N208))</f>
      </c>
      <c r="L208">
        <f>IF($N208="","",INDEX(Staging!$O$2:$O$3001,$N208))</f>
      </c>
      <c r="M208">
        <f>IF($N208="","",INDEX(Staging!$P$2:$P$3001,$N208))</f>
      </c>
      <c r="N208">
        <f t="array" ref="N208">IFERROR(SMALL(IF(Staging!$E$2:$E$3001="MIPPL",ROW(Staging!$E$2:$E$3001)-ROW(Staging!$E$2)+1),207),"")</f>
      </c>
    </row>
    <row r="209" spans="1:14" x14ac:dyDescent="0.25">
      <c r="A209">
        <f>IF($N209="","",INDEX(Staging!$A$2:$A$3001,$N209))</f>
      </c>
      <c r="B209">
        <f>IF($N209="","",INDEX(Staging!$B$2:$B$3001,$N209))</f>
      </c>
      <c r="C209">
        <f>IF($N209="","",INDEX(Staging!$C$2:$C$3001,$N209))</f>
      </c>
      <c r="D209">
        <f>IF($N209="","",INDEX(Staging!$D$2:$D$3001,$N209))</f>
      </c>
      <c r="E209">
        <f>IF($N209="","",INDEX(Staging!$F$2:$F$3001,$N209))</f>
      </c>
      <c r="F209">
        <f>IF($N209="","",INDEX(Staging!$G$2:$G$3001,$N209))</f>
      </c>
      <c r="G209">
        <f>IF($N209="","",INDEX(Staging!$H$2:$H$3001,$N209))</f>
      </c>
      <c r="H209">
        <f>IF($N209="","",INDEX(Staging!$I$2:$I$3001,$N209))</f>
      </c>
      <c r="I209">
        <f>IF($N209="","",INDEX(Staging!$J$2:$J$3001,$N209))</f>
      </c>
      <c r="J209">
        <f>IF($N209="","",INDEX(Staging!$K$2:$K$3001,$N209))</f>
      </c>
      <c r="K209">
        <f>IF($N209="","",INDEX(Staging!$M$2:$M$3001,$N209))</f>
      </c>
      <c r="L209">
        <f>IF($N209="","",INDEX(Staging!$O$2:$O$3001,$N209))</f>
      </c>
      <c r="M209">
        <f>IF($N209="","",INDEX(Staging!$P$2:$P$3001,$N209))</f>
      </c>
      <c r="N209">
        <f t="array" ref="N209">IFERROR(SMALL(IF(Staging!$E$2:$E$3001="MIPPL",ROW(Staging!$E$2:$E$3001)-ROW(Staging!$E$2)+1),208),"")</f>
      </c>
    </row>
    <row r="210" spans="1:14" x14ac:dyDescent="0.25">
      <c r="A210">
        <f>IF($N210="","",INDEX(Staging!$A$2:$A$3001,$N210))</f>
      </c>
      <c r="B210">
        <f>IF($N210="","",INDEX(Staging!$B$2:$B$3001,$N210))</f>
      </c>
      <c r="C210">
        <f>IF($N210="","",INDEX(Staging!$C$2:$C$3001,$N210))</f>
      </c>
      <c r="D210">
        <f>IF($N210="","",INDEX(Staging!$D$2:$D$3001,$N210))</f>
      </c>
      <c r="E210">
        <f>IF($N210="","",INDEX(Staging!$F$2:$F$3001,$N210))</f>
      </c>
      <c r="F210">
        <f>IF($N210="","",INDEX(Staging!$G$2:$G$3001,$N210))</f>
      </c>
      <c r="G210">
        <f>IF($N210="","",INDEX(Staging!$H$2:$H$3001,$N210))</f>
      </c>
      <c r="H210">
        <f>IF($N210="","",INDEX(Staging!$I$2:$I$3001,$N210))</f>
      </c>
      <c r="I210">
        <f>IF($N210="","",INDEX(Staging!$J$2:$J$3001,$N210))</f>
      </c>
      <c r="J210">
        <f>IF($N210="","",INDEX(Staging!$K$2:$K$3001,$N210))</f>
      </c>
      <c r="K210">
        <f>IF($N210="","",INDEX(Staging!$M$2:$M$3001,$N210))</f>
      </c>
      <c r="L210">
        <f>IF($N210="","",INDEX(Staging!$O$2:$O$3001,$N210))</f>
      </c>
      <c r="M210">
        <f>IF($N210="","",INDEX(Staging!$P$2:$P$3001,$N210))</f>
      </c>
      <c r="N210">
        <f t="array" ref="N210">IFERROR(SMALL(IF(Staging!$E$2:$E$3001="MIPPL",ROW(Staging!$E$2:$E$3001)-ROW(Staging!$E$2)+1),209),"")</f>
      </c>
    </row>
    <row r="211" spans="1:14" x14ac:dyDescent="0.25">
      <c r="A211">
        <f>IF($N211="","",INDEX(Staging!$A$2:$A$3001,$N211))</f>
      </c>
      <c r="B211">
        <f>IF($N211="","",INDEX(Staging!$B$2:$B$3001,$N211))</f>
      </c>
      <c r="C211">
        <f>IF($N211="","",INDEX(Staging!$C$2:$C$3001,$N211))</f>
      </c>
      <c r="D211">
        <f>IF($N211="","",INDEX(Staging!$D$2:$D$3001,$N211))</f>
      </c>
      <c r="E211">
        <f>IF($N211="","",INDEX(Staging!$F$2:$F$3001,$N211))</f>
      </c>
      <c r="F211">
        <f>IF($N211="","",INDEX(Staging!$G$2:$G$3001,$N211))</f>
      </c>
      <c r="G211">
        <f>IF($N211="","",INDEX(Staging!$H$2:$H$3001,$N211))</f>
      </c>
      <c r="H211">
        <f>IF($N211="","",INDEX(Staging!$I$2:$I$3001,$N211))</f>
      </c>
      <c r="I211">
        <f>IF($N211="","",INDEX(Staging!$J$2:$J$3001,$N211))</f>
      </c>
      <c r="J211">
        <f>IF($N211="","",INDEX(Staging!$K$2:$K$3001,$N211))</f>
      </c>
      <c r="K211">
        <f>IF($N211="","",INDEX(Staging!$M$2:$M$3001,$N211))</f>
      </c>
      <c r="L211">
        <f>IF($N211="","",INDEX(Staging!$O$2:$O$3001,$N211))</f>
      </c>
      <c r="M211">
        <f>IF($N211="","",INDEX(Staging!$P$2:$P$3001,$N211))</f>
      </c>
      <c r="N211">
        <f t="array" ref="N211">IFERROR(SMALL(IF(Staging!$E$2:$E$3001="MIPPL",ROW(Staging!$E$2:$E$3001)-ROW(Staging!$E$2)+1),210),"")</f>
      </c>
    </row>
    <row r="212" spans="1:14" x14ac:dyDescent="0.25">
      <c r="A212">
        <f>IF($N212="","",INDEX(Staging!$A$2:$A$3001,$N212))</f>
      </c>
      <c r="B212">
        <f>IF($N212="","",INDEX(Staging!$B$2:$B$3001,$N212))</f>
      </c>
      <c r="C212">
        <f>IF($N212="","",INDEX(Staging!$C$2:$C$3001,$N212))</f>
      </c>
      <c r="D212">
        <f>IF($N212="","",INDEX(Staging!$D$2:$D$3001,$N212))</f>
      </c>
      <c r="E212">
        <f>IF($N212="","",INDEX(Staging!$F$2:$F$3001,$N212))</f>
      </c>
      <c r="F212">
        <f>IF($N212="","",INDEX(Staging!$G$2:$G$3001,$N212))</f>
      </c>
      <c r="G212">
        <f>IF($N212="","",INDEX(Staging!$H$2:$H$3001,$N212))</f>
      </c>
      <c r="H212">
        <f>IF($N212="","",INDEX(Staging!$I$2:$I$3001,$N212))</f>
      </c>
      <c r="I212">
        <f>IF($N212="","",INDEX(Staging!$J$2:$J$3001,$N212))</f>
      </c>
      <c r="J212">
        <f>IF($N212="","",INDEX(Staging!$K$2:$K$3001,$N212))</f>
      </c>
      <c r="K212">
        <f>IF($N212="","",INDEX(Staging!$M$2:$M$3001,$N212))</f>
      </c>
      <c r="L212">
        <f>IF($N212="","",INDEX(Staging!$O$2:$O$3001,$N212))</f>
      </c>
      <c r="M212">
        <f>IF($N212="","",INDEX(Staging!$P$2:$P$3001,$N212))</f>
      </c>
      <c r="N212">
        <f t="array" ref="N212">IFERROR(SMALL(IF(Staging!$E$2:$E$3001="MIPPL",ROW(Staging!$E$2:$E$3001)-ROW(Staging!$E$2)+1),211),"")</f>
      </c>
    </row>
    <row r="213" spans="1:14" x14ac:dyDescent="0.25">
      <c r="A213">
        <f>IF($N213="","",INDEX(Staging!$A$2:$A$3001,$N213))</f>
      </c>
      <c r="B213">
        <f>IF($N213="","",INDEX(Staging!$B$2:$B$3001,$N213))</f>
      </c>
      <c r="C213">
        <f>IF($N213="","",INDEX(Staging!$C$2:$C$3001,$N213))</f>
      </c>
      <c r="D213">
        <f>IF($N213="","",INDEX(Staging!$D$2:$D$3001,$N213))</f>
      </c>
      <c r="E213">
        <f>IF($N213="","",INDEX(Staging!$F$2:$F$3001,$N213))</f>
      </c>
      <c r="F213">
        <f>IF($N213="","",INDEX(Staging!$G$2:$G$3001,$N213))</f>
      </c>
      <c r="G213">
        <f>IF($N213="","",INDEX(Staging!$H$2:$H$3001,$N213))</f>
      </c>
      <c r="H213">
        <f>IF($N213="","",INDEX(Staging!$I$2:$I$3001,$N213))</f>
      </c>
      <c r="I213">
        <f>IF($N213="","",INDEX(Staging!$J$2:$J$3001,$N213))</f>
      </c>
      <c r="J213">
        <f>IF($N213="","",INDEX(Staging!$K$2:$K$3001,$N213))</f>
      </c>
      <c r="K213">
        <f>IF($N213="","",INDEX(Staging!$M$2:$M$3001,$N213))</f>
      </c>
      <c r="L213">
        <f>IF($N213="","",INDEX(Staging!$O$2:$O$3001,$N213))</f>
      </c>
      <c r="M213">
        <f>IF($N213="","",INDEX(Staging!$P$2:$P$3001,$N213))</f>
      </c>
      <c r="N213">
        <f t="array" ref="N213">IFERROR(SMALL(IF(Staging!$E$2:$E$3001="MIPPL",ROW(Staging!$E$2:$E$3001)-ROW(Staging!$E$2)+1),212),"")</f>
      </c>
    </row>
    <row r="214" spans="1:14" x14ac:dyDescent="0.25">
      <c r="A214">
        <f>IF($N214="","",INDEX(Staging!$A$2:$A$3001,$N214))</f>
      </c>
      <c r="B214">
        <f>IF($N214="","",INDEX(Staging!$B$2:$B$3001,$N214))</f>
      </c>
      <c r="C214">
        <f>IF($N214="","",INDEX(Staging!$C$2:$C$3001,$N214))</f>
      </c>
      <c r="D214">
        <f>IF($N214="","",INDEX(Staging!$D$2:$D$3001,$N214))</f>
      </c>
      <c r="E214">
        <f>IF($N214="","",INDEX(Staging!$F$2:$F$3001,$N214))</f>
      </c>
      <c r="F214">
        <f>IF($N214="","",INDEX(Staging!$G$2:$G$3001,$N214))</f>
      </c>
      <c r="G214">
        <f>IF($N214="","",INDEX(Staging!$H$2:$H$3001,$N214))</f>
      </c>
      <c r="H214">
        <f>IF($N214="","",INDEX(Staging!$I$2:$I$3001,$N214))</f>
      </c>
      <c r="I214">
        <f>IF($N214="","",INDEX(Staging!$J$2:$J$3001,$N214))</f>
      </c>
      <c r="J214">
        <f>IF($N214="","",INDEX(Staging!$K$2:$K$3001,$N214))</f>
      </c>
      <c r="K214">
        <f>IF($N214="","",INDEX(Staging!$M$2:$M$3001,$N214))</f>
      </c>
      <c r="L214">
        <f>IF($N214="","",INDEX(Staging!$O$2:$O$3001,$N214))</f>
      </c>
      <c r="M214">
        <f>IF($N214="","",INDEX(Staging!$P$2:$P$3001,$N214))</f>
      </c>
      <c r="N214">
        <f t="array" ref="N214">IFERROR(SMALL(IF(Staging!$E$2:$E$3001="MIPPL",ROW(Staging!$E$2:$E$3001)-ROW(Staging!$E$2)+1),213),"")</f>
      </c>
    </row>
    <row r="215" spans="1:14" x14ac:dyDescent="0.25">
      <c r="A215">
        <f>IF($N215="","",INDEX(Staging!$A$2:$A$3001,$N215))</f>
      </c>
      <c r="B215">
        <f>IF($N215="","",INDEX(Staging!$B$2:$B$3001,$N215))</f>
      </c>
      <c r="C215">
        <f>IF($N215="","",INDEX(Staging!$C$2:$C$3001,$N215))</f>
      </c>
      <c r="D215">
        <f>IF($N215="","",INDEX(Staging!$D$2:$D$3001,$N215))</f>
      </c>
      <c r="E215">
        <f>IF($N215="","",INDEX(Staging!$F$2:$F$3001,$N215))</f>
      </c>
      <c r="F215">
        <f>IF($N215="","",INDEX(Staging!$G$2:$G$3001,$N215))</f>
      </c>
      <c r="G215">
        <f>IF($N215="","",INDEX(Staging!$H$2:$H$3001,$N215))</f>
      </c>
      <c r="H215">
        <f>IF($N215="","",INDEX(Staging!$I$2:$I$3001,$N215))</f>
      </c>
      <c r="I215">
        <f>IF($N215="","",INDEX(Staging!$J$2:$J$3001,$N215))</f>
      </c>
      <c r="J215">
        <f>IF($N215="","",INDEX(Staging!$K$2:$K$3001,$N215))</f>
      </c>
      <c r="K215">
        <f>IF($N215="","",INDEX(Staging!$M$2:$M$3001,$N215))</f>
      </c>
      <c r="L215">
        <f>IF($N215="","",INDEX(Staging!$O$2:$O$3001,$N215))</f>
      </c>
      <c r="M215">
        <f>IF($N215="","",INDEX(Staging!$P$2:$P$3001,$N215))</f>
      </c>
      <c r="N215">
        <f t="array" ref="N215">IFERROR(SMALL(IF(Staging!$E$2:$E$3001="MIPPL",ROW(Staging!$E$2:$E$3001)-ROW(Staging!$E$2)+1),214),"")</f>
      </c>
    </row>
    <row r="216" spans="1:14" x14ac:dyDescent="0.25">
      <c r="A216">
        <f>IF($N216="","",INDEX(Staging!$A$2:$A$3001,$N216))</f>
      </c>
      <c r="B216">
        <f>IF($N216="","",INDEX(Staging!$B$2:$B$3001,$N216))</f>
      </c>
      <c r="C216">
        <f>IF($N216="","",INDEX(Staging!$C$2:$C$3001,$N216))</f>
      </c>
      <c r="D216">
        <f>IF($N216="","",INDEX(Staging!$D$2:$D$3001,$N216))</f>
      </c>
      <c r="E216">
        <f>IF($N216="","",INDEX(Staging!$F$2:$F$3001,$N216))</f>
      </c>
      <c r="F216">
        <f>IF($N216="","",INDEX(Staging!$G$2:$G$3001,$N216))</f>
      </c>
      <c r="G216">
        <f>IF($N216="","",INDEX(Staging!$H$2:$H$3001,$N216))</f>
      </c>
      <c r="H216">
        <f>IF($N216="","",INDEX(Staging!$I$2:$I$3001,$N216))</f>
      </c>
      <c r="I216">
        <f>IF($N216="","",INDEX(Staging!$J$2:$J$3001,$N216))</f>
      </c>
      <c r="J216">
        <f>IF($N216="","",INDEX(Staging!$K$2:$K$3001,$N216))</f>
      </c>
      <c r="K216">
        <f>IF($N216="","",INDEX(Staging!$M$2:$M$3001,$N216))</f>
      </c>
      <c r="L216">
        <f>IF($N216="","",INDEX(Staging!$O$2:$O$3001,$N216))</f>
      </c>
      <c r="M216">
        <f>IF($N216="","",INDEX(Staging!$P$2:$P$3001,$N216))</f>
      </c>
      <c r="N216">
        <f t="array" ref="N216">IFERROR(SMALL(IF(Staging!$E$2:$E$3001="MIPPL",ROW(Staging!$E$2:$E$3001)-ROW(Staging!$E$2)+1),215),"")</f>
      </c>
    </row>
    <row r="217" spans="1:14" x14ac:dyDescent="0.25">
      <c r="A217">
        <f>IF($N217="","",INDEX(Staging!$A$2:$A$3001,$N217))</f>
      </c>
      <c r="B217">
        <f>IF($N217="","",INDEX(Staging!$B$2:$B$3001,$N217))</f>
      </c>
      <c r="C217">
        <f>IF($N217="","",INDEX(Staging!$C$2:$C$3001,$N217))</f>
      </c>
      <c r="D217">
        <f>IF($N217="","",INDEX(Staging!$D$2:$D$3001,$N217))</f>
      </c>
      <c r="E217">
        <f>IF($N217="","",INDEX(Staging!$F$2:$F$3001,$N217))</f>
      </c>
      <c r="F217">
        <f>IF($N217="","",INDEX(Staging!$G$2:$G$3001,$N217))</f>
      </c>
      <c r="G217">
        <f>IF($N217="","",INDEX(Staging!$H$2:$H$3001,$N217))</f>
      </c>
      <c r="H217">
        <f>IF($N217="","",INDEX(Staging!$I$2:$I$3001,$N217))</f>
      </c>
      <c r="I217">
        <f>IF($N217="","",INDEX(Staging!$J$2:$J$3001,$N217))</f>
      </c>
      <c r="J217">
        <f>IF($N217="","",INDEX(Staging!$K$2:$K$3001,$N217))</f>
      </c>
      <c r="K217">
        <f>IF($N217="","",INDEX(Staging!$M$2:$M$3001,$N217))</f>
      </c>
      <c r="L217">
        <f>IF($N217="","",INDEX(Staging!$O$2:$O$3001,$N217))</f>
      </c>
      <c r="M217">
        <f>IF($N217="","",INDEX(Staging!$P$2:$P$3001,$N217))</f>
      </c>
      <c r="N217">
        <f t="array" ref="N217">IFERROR(SMALL(IF(Staging!$E$2:$E$3001="MIPPL",ROW(Staging!$E$2:$E$3001)-ROW(Staging!$E$2)+1),216),"")</f>
      </c>
    </row>
    <row r="218" spans="1:14" x14ac:dyDescent="0.25">
      <c r="A218">
        <f>IF($N218="","",INDEX(Staging!$A$2:$A$3001,$N218))</f>
      </c>
      <c r="B218">
        <f>IF($N218="","",INDEX(Staging!$B$2:$B$3001,$N218))</f>
      </c>
      <c r="C218">
        <f>IF($N218="","",INDEX(Staging!$C$2:$C$3001,$N218))</f>
      </c>
      <c r="D218">
        <f>IF($N218="","",INDEX(Staging!$D$2:$D$3001,$N218))</f>
      </c>
      <c r="E218">
        <f>IF($N218="","",INDEX(Staging!$F$2:$F$3001,$N218))</f>
      </c>
      <c r="F218">
        <f>IF($N218="","",INDEX(Staging!$G$2:$G$3001,$N218))</f>
      </c>
      <c r="G218">
        <f>IF($N218="","",INDEX(Staging!$H$2:$H$3001,$N218))</f>
      </c>
      <c r="H218">
        <f>IF($N218="","",INDEX(Staging!$I$2:$I$3001,$N218))</f>
      </c>
      <c r="I218">
        <f>IF($N218="","",INDEX(Staging!$J$2:$J$3001,$N218))</f>
      </c>
      <c r="J218">
        <f>IF($N218="","",INDEX(Staging!$K$2:$K$3001,$N218))</f>
      </c>
      <c r="K218">
        <f>IF($N218="","",INDEX(Staging!$M$2:$M$3001,$N218))</f>
      </c>
      <c r="L218">
        <f>IF($N218="","",INDEX(Staging!$O$2:$O$3001,$N218))</f>
      </c>
      <c r="M218">
        <f>IF($N218="","",INDEX(Staging!$P$2:$P$3001,$N218))</f>
      </c>
      <c r="N218">
        <f t="array" ref="N218">IFERROR(SMALL(IF(Staging!$E$2:$E$3001="MIPPL",ROW(Staging!$E$2:$E$3001)-ROW(Staging!$E$2)+1),217),"")</f>
      </c>
    </row>
    <row r="219" spans="1:14" x14ac:dyDescent="0.25">
      <c r="A219">
        <f>IF($N219="","",INDEX(Staging!$A$2:$A$3001,$N219))</f>
      </c>
      <c r="B219">
        <f>IF($N219="","",INDEX(Staging!$B$2:$B$3001,$N219))</f>
      </c>
      <c r="C219">
        <f>IF($N219="","",INDEX(Staging!$C$2:$C$3001,$N219))</f>
      </c>
      <c r="D219">
        <f>IF($N219="","",INDEX(Staging!$D$2:$D$3001,$N219))</f>
      </c>
      <c r="E219">
        <f>IF($N219="","",INDEX(Staging!$F$2:$F$3001,$N219))</f>
      </c>
      <c r="F219">
        <f>IF($N219="","",INDEX(Staging!$G$2:$G$3001,$N219))</f>
      </c>
      <c r="G219">
        <f>IF($N219="","",INDEX(Staging!$H$2:$H$3001,$N219))</f>
      </c>
      <c r="H219">
        <f>IF($N219="","",INDEX(Staging!$I$2:$I$3001,$N219))</f>
      </c>
      <c r="I219">
        <f>IF($N219="","",INDEX(Staging!$J$2:$J$3001,$N219))</f>
      </c>
      <c r="J219">
        <f>IF($N219="","",INDEX(Staging!$K$2:$K$3001,$N219))</f>
      </c>
      <c r="K219">
        <f>IF($N219="","",INDEX(Staging!$M$2:$M$3001,$N219))</f>
      </c>
      <c r="L219">
        <f>IF($N219="","",INDEX(Staging!$O$2:$O$3001,$N219))</f>
      </c>
      <c r="M219">
        <f>IF($N219="","",INDEX(Staging!$P$2:$P$3001,$N219))</f>
      </c>
      <c r="N219">
        <f t="array" ref="N219">IFERROR(SMALL(IF(Staging!$E$2:$E$3001="MIPPL",ROW(Staging!$E$2:$E$3001)-ROW(Staging!$E$2)+1),218),"")</f>
      </c>
    </row>
    <row r="220" spans="1:14" x14ac:dyDescent="0.25">
      <c r="A220">
        <f>IF($N220="","",INDEX(Staging!$A$2:$A$3001,$N220))</f>
      </c>
      <c r="B220">
        <f>IF($N220="","",INDEX(Staging!$B$2:$B$3001,$N220))</f>
      </c>
      <c r="C220">
        <f>IF($N220="","",INDEX(Staging!$C$2:$C$3001,$N220))</f>
      </c>
      <c r="D220">
        <f>IF($N220="","",INDEX(Staging!$D$2:$D$3001,$N220))</f>
      </c>
      <c r="E220">
        <f>IF($N220="","",INDEX(Staging!$F$2:$F$3001,$N220))</f>
      </c>
      <c r="F220">
        <f>IF($N220="","",INDEX(Staging!$G$2:$G$3001,$N220))</f>
      </c>
      <c r="G220">
        <f>IF($N220="","",INDEX(Staging!$H$2:$H$3001,$N220))</f>
      </c>
      <c r="H220">
        <f>IF($N220="","",INDEX(Staging!$I$2:$I$3001,$N220))</f>
      </c>
      <c r="I220">
        <f>IF($N220="","",INDEX(Staging!$J$2:$J$3001,$N220))</f>
      </c>
      <c r="J220">
        <f>IF($N220="","",INDEX(Staging!$K$2:$K$3001,$N220))</f>
      </c>
      <c r="K220">
        <f>IF($N220="","",INDEX(Staging!$M$2:$M$3001,$N220))</f>
      </c>
      <c r="L220">
        <f>IF($N220="","",INDEX(Staging!$O$2:$O$3001,$N220))</f>
      </c>
      <c r="M220">
        <f>IF($N220="","",INDEX(Staging!$P$2:$P$3001,$N220))</f>
      </c>
      <c r="N220">
        <f t="array" ref="N220">IFERROR(SMALL(IF(Staging!$E$2:$E$3001="MIPPL",ROW(Staging!$E$2:$E$3001)-ROW(Staging!$E$2)+1),219),"")</f>
      </c>
    </row>
    <row r="221" spans="1:14" x14ac:dyDescent="0.25">
      <c r="A221">
        <f>IF($N221="","",INDEX(Staging!$A$2:$A$3001,$N221))</f>
      </c>
      <c r="B221">
        <f>IF($N221="","",INDEX(Staging!$B$2:$B$3001,$N221))</f>
      </c>
      <c r="C221">
        <f>IF($N221="","",INDEX(Staging!$C$2:$C$3001,$N221))</f>
      </c>
      <c r="D221">
        <f>IF($N221="","",INDEX(Staging!$D$2:$D$3001,$N221))</f>
      </c>
      <c r="E221">
        <f>IF($N221="","",INDEX(Staging!$F$2:$F$3001,$N221))</f>
      </c>
      <c r="F221">
        <f>IF($N221="","",INDEX(Staging!$G$2:$G$3001,$N221))</f>
      </c>
      <c r="G221">
        <f>IF($N221="","",INDEX(Staging!$H$2:$H$3001,$N221))</f>
      </c>
      <c r="H221">
        <f>IF($N221="","",INDEX(Staging!$I$2:$I$3001,$N221))</f>
      </c>
      <c r="I221">
        <f>IF($N221="","",INDEX(Staging!$J$2:$J$3001,$N221))</f>
      </c>
      <c r="J221">
        <f>IF($N221="","",INDEX(Staging!$K$2:$K$3001,$N221))</f>
      </c>
      <c r="K221">
        <f>IF($N221="","",INDEX(Staging!$M$2:$M$3001,$N221))</f>
      </c>
      <c r="L221">
        <f>IF($N221="","",INDEX(Staging!$O$2:$O$3001,$N221))</f>
      </c>
      <c r="M221">
        <f>IF($N221="","",INDEX(Staging!$P$2:$P$3001,$N221))</f>
      </c>
      <c r="N221">
        <f t="array" ref="N221">IFERROR(SMALL(IF(Staging!$E$2:$E$3001="MIPPL",ROW(Staging!$E$2:$E$3001)-ROW(Staging!$E$2)+1),220),"")</f>
      </c>
    </row>
    <row r="222" spans="1:14" x14ac:dyDescent="0.25">
      <c r="A222">
        <f>IF($N222="","",INDEX(Staging!$A$2:$A$3001,$N222))</f>
      </c>
      <c r="B222">
        <f>IF($N222="","",INDEX(Staging!$B$2:$B$3001,$N222))</f>
      </c>
      <c r="C222">
        <f>IF($N222="","",INDEX(Staging!$C$2:$C$3001,$N222))</f>
      </c>
      <c r="D222">
        <f>IF($N222="","",INDEX(Staging!$D$2:$D$3001,$N222))</f>
      </c>
      <c r="E222">
        <f>IF($N222="","",INDEX(Staging!$F$2:$F$3001,$N222))</f>
      </c>
      <c r="F222">
        <f>IF($N222="","",INDEX(Staging!$G$2:$G$3001,$N222))</f>
      </c>
      <c r="G222">
        <f>IF($N222="","",INDEX(Staging!$H$2:$H$3001,$N222))</f>
      </c>
      <c r="H222">
        <f>IF($N222="","",INDEX(Staging!$I$2:$I$3001,$N222))</f>
      </c>
      <c r="I222">
        <f>IF($N222="","",INDEX(Staging!$J$2:$J$3001,$N222))</f>
      </c>
      <c r="J222">
        <f>IF($N222="","",INDEX(Staging!$K$2:$K$3001,$N222))</f>
      </c>
      <c r="K222">
        <f>IF($N222="","",INDEX(Staging!$M$2:$M$3001,$N222))</f>
      </c>
      <c r="L222">
        <f>IF($N222="","",INDEX(Staging!$O$2:$O$3001,$N222))</f>
      </c>
      <c r="M222">
        <f>IF($N222="","",INDEX(Staging!$P$2:$P$3001,$N222))</f>
      </c>
      <c r="N222">
        <f t="array" ref="N222">IFERROR(SMALL(IF(Staging!$E$2:$E$3001="MIPPL",ROW(Staging!$E$2:$E$3001)-ROW(Staging!$E$2)+1),221),"")</f>
      </c>
    </row>
    <row r="223" spans="1:14" x14ac:dyDescent="0.25">
      <c r="A223">
        <f>IF($N223="","",INDEX(Staging!$A$2:$A$3001,$N223))</f>
      </c>
      <c r="B223">
        <f>IF($N223="","",INDEX(Staging!$B$2:$B$3001,$N223))</f>
      </c>
      <c r="C223">
        <f>IF($N223="","",INDEX(Staging!$C$2:$C$3001,$N223))</f>
      </c>
      <c r="D223">
        <f>IF($N223="","",INDEX(Staging!$D$2:$D$3001,$N223))</f>
      </c>
      <c r="E223">
        <f>IF($N223="","",INDEX(Staging!$F$2:$F$3001,$N223))</f>
      </c>
      <c r="F223">
        <f>IF($N223="","",INDEX(Staging!$G$2:$G$3001,$N223))</f>
      </c>
      <c r="G223">
        <f>IF($N223="","",INDEX(Staging!$H$2:$H$3001,$N223))</f>
      </c>
      <c r="H223">
        <f>IF($N223="","",INDEX(Staging!$I$2:$I$3001,$N223))</f>
      </c>
      <c r="I223">
        <f>IF($N223="","",INDEX(Staging!$J$2:$J$3001,$N223))</f>
      </c>
      <c r="J223">
        <f>IF($N223="","",INDEX(Staging!$K$2:$K$3001,$N223))</f>
      </c>
      <c r="K223">
        <f>IF($N223="","",INDEX(Staging!$M$2:$M$3001,$N223))</f>
      </c>
      <c r="L223">
        <f>IF($N223="","",INDEX(Staging!$O$2:$O$3001,$N223))</f>
      </c>
      <c r="M223">
        <f>IF($N223="","",INDEX(Staging!$P$2:$P$3001,$N223))</f>
      </c>
      <c r="N223">
        <f t="array" ref="N223">IFERROR(SMALL(IF(Staging!$E$2:$E$3001="MIPPL",ROW(Staging!$E$2:$E$3001)-ROW(Staging!$E$2)+1),222),"")</f>
      </c>
    </row>
    <row r="224" spans="1:14" x14ac:dyDescent="0.25">
      <c r="A224">
        <f>IF($N224="","",INDEX(Staging!$A$2:$A$3001,$N224))</f>
      </c>
      <c r="B224">
        <f>IF($N224="","",INDEX(Staging!$B$2:$B$3001,$N224))</f>
      </c>
      <c r="C224">
        <f>IF($N224="","",INDEX(Staging!$C$2:$C$3001,$N224))</f>
      </c>
      <c r="D224">
        <f>IF($N224="","",INDEX(Staging!$D$2:$D$3001,$N224))</f>
      </c>
      <c r="E224">
        <f>IF($N224="","",INDEX(Staging!$F$2:$F$3001,$N224))</f>
      </c>
      <c r="F224">
        <f>IF($N224="","",INDEX(Staging!$G$2:$G$3001,$N224))</f>
      </c>
      <c r="G224">
        <f>IF($N224="","",INDEX(Staging!$H$2:$H$3001,$N224))</f>
      </c>
      <c r="H224">
        <f>IF($N224="","",INDEX(Staging!$I$2:$I$3001,$N224))</f>
      </c>
      <c r="I224">
        <f>IF($N224="","",INDEX(Staging!$J$2:$J$3001,$N224))</f>
      </c>
      <c r="J224">
        <f>IF($N224="","",INDEX(Staging!$K$2:$K$3001,$N224))</f>
      </c>
      <c r="K224">
        <f>IF($N224="","",INDEX(Staging!$M$2:$M$3001,$N224))</f>
      </c>
      <c r="L224">
        <f>IF($N224="","",INDEX(Staging!$O$2:$O$3001,$N224))</f>
      </c>
      <c r="M224">
        <f>IF($N224="","",INDEX(Staging!$P$2:$P$3001,$N224))</f>
      </c>
      <c r="N224">
        <f t="array" ref="N224">IFERROR(SMALL(IF(Staging!$E$2:$E$3001="MIPPL",ROW(Staging!$E$2:$E$3001)-ROW(Staging!$E$2)+1),223),"")</f>
      </c>
    </row>
    <row r="225" spans="1:14" x14ac:dyDescent="0.25">
      <c r="A225">
        <f>IF($N225="","",INDEX(Staging!$A$2:$A$3001,$N225))</f>
      </c>
      <c r="B225">
        <f>IF($N225="","",INDEX(Staging!$B$2:$B$3001,$N225))</f>
      </c>
      <c r="C225">
        <f>IF($N225="","",INDEX(Staging!$C$2:$C$3001,$N225))</f>
      </c>
      <c r="D225">
        <f>IF($N225="","",INDEX(Staging!$D$2:$D$3001,$N225))</f>
      </c>
      <c r="E225">
        <f>IF($N225="","",INDEX(Staging!$F$2:$F$3001,$N225))</f>
      </c>
      <c r="F225">
        <f>IF($N225="","",INDEX(Staging!$G$2:$G$3001,$N225))</f>
      </c>
      <c r="G225">
        <f>IF($N225="","",INDEX(Staging!$H$2:$H$3001,$N225))</f>
      </c>
      <c r="H225">
        <f>IF($N225="","",INDEX(Staging!$I$2:$I$3001,$N225))</f>
      </c>
      <c r="I225">
        <f>IF($N225="","",INDEX(Staging!$J$2:$J$3001,$N225))</f>
      </c>
      <c r="J225">
        <f>IF($N225="","",INDEX(Staging!$K$2:$K$3001,$N225))</f>
      </c>
      <c r="K225">
        <f>IF($N225="","",INDEX(Staging!$M$2:$M$3001,$N225))</f>
      </c>
      <c r="L225">
        <f>IF($N225="","",INDEX(Staging!$O$2:$O$3001,$N225))</f>
      </c>
      <c r="M225">
        <f>IF($N225="","",INDEX(Staging!$P$2:$P$3001,$N225))</f>
      </c>
      <c r="N225">
        <f t="array" ref="N225">IFERROR(SMALL(IF(Staging!$E$2:$E$3001="MIPPL",ROW(Staging!$E$2:$E$3001)-ROW(Staging!$E$2)+1),224),"")</f>
      </c>
    </row>
    <row r="226" spans="1:14" x14ac:dyDescent="0.25">
      <c r="A226">
        <f>IF($N226="","",INDEX(Staging!$A$2:$A$3001,$N226))</f>
      </c>
      <c r="B226">
        <f>IF($N226="","",INDEX(Staging!$B$2:$B$3001,$N226))</f>
      </c>
      <c r="C226">
        <f>IF($N226="","",INDEX(Staging!$C$2:$C$3001,$N226))</f>
      </c>
      <c r="D226">
        <f>IF($N226="","",INDEX(Staging!$D$2:$D$3001,$N226))</f>
      </c>
      <c r="E226">
        <f>IF($N226="","",INDEX(Staging!$F$2:$F$3001,$N226))</f>
      </c>
      <c r="F226">
        <f>IF($N226="","",INDEX(Staging!$G$2:$G$3001,$N226))</f>
      </c>
      <c r="G226">
        <f>IF($N226="","",INDEX(Staging!$H$2:$H$3001,$N226))</f>
      </c>
      <c r="H226">
        <f>IF($N226="","",INDEX(Staging!$I$2:$I$3001,$N226))</f>
      </c>
      <c r="I226">
        <f>IF($N226="","",INDEX(Staging!$J$2:$J$3001,$N226))</f>
      </c>
      <c r="J226">
        <f>IF($N226="","",INDEX(Staging!$K$2:$K$3001,$N226))</f>
      </c>
      <c r="K226">
        <f>IF($N226="","",INDEX(Staging!$M$2:$M$3001,$N226))</f>
      </c>
      <c r="L226">
        <f>IF($N226="","",INDEX(Staging!$O$2:$O$3001,$N226))</f>
      </c>
      <c r="M226">
        <f>IF($N226="","",INDEX(Staging!$P$2:$P$3001,$N226))</f>
      </c>
      <c r="N226">
        <f t="array" ref="N226">IFERROR(SMALL(IF(Staging!$E$2:$E$3001="MIPPL",ROW(Staging!$E$2:$E$3001)-ROW(Staging!$E$2)+1),225),"")</f>
      </c>
    </row>
    <row r="227" spans="1:14" x14ac:dyDescent="0.25">
      <c r="A227">
        <f>IF($N227="","",INDEX(Staging!$A$2:$A$3001,$N227))</f>
      </c>
      <c r="B227">
        <f>IF($N227="","",INDEX(Staging!$B$2:$B$3001,$N227))</f>
      </c>
      <c r="C227">
        <f>IF($N227="","",INDEX(Staging!$C$2:$C$3001,$N227))</f>
      </c>
      <c r="D227">
        <f>IF($N227="","",INDEX(Staging!$D$2:$D$3001,$N227))</f>
      </c>
      <c r="E227">
        <f>IF($N227="","",INDEX(Staging!$F$2:$F$3001,$N227))</f>
      </c>
      <c r="F227">
        <f>IF($N227="","",INDEX(Staging!$G$2:$G$3001,$N227))</f>
      </c>
      <c r="G227">
        <f>IF($N227="","",INDEX(Staging!$H$2:$H$3001,$N227))</f>
      </c>
      <c r="H227">
        <f>IF($N227="","",INDEX(Staging!$I$2:$I$3001,$N227))</f>
      </c>
      <c r="I227">
        <f>IF($N227="","",INDEX(Staging!$J$2:$J$3001,$N227))</f>
      </c>
      <c r="J227">
        <f>IF($N227="","",INDEX(Staging!$K$2:$K$3001,$N227))</f>
      </c>
      <c r="K227">
        <f>IF($N227="","",INDEX(Staging!$M$2:$M$3001,$N227))</f>
      </c>
      <c r="L227">
        <f>IF($N227="","",INDEX(Staging!$O$2:$O$3001,$N227))</f>
      </c>
      <c r="M227">
        <f>IF($N227="","",INDEX(Staging!$P$2:$P$3001,$N227))</f>
      </c>
      <c r="N227">
        <f t="array" ref="N227">IFERROR(SMALL(IF(Staging!$E$2:$E$3001="MIPPL",ROW(Staging!$E$2:$E$3001)-ROW(Staging!$E$2)+1),226),"")</f>
      </c>
    </row>
    <row r="228" spans="1:14" x14ac:dyDescent="0.25">
      <c r="A228">
        <f>IF($N228="","",INDEX(Staging!$A$2:$A$3001,$N228))</f>
      </c>
      <c r="B228">
        <f>IF($N228="","",INDEX(Staging!$B$2:$B$3001,$N228))</f>
      </c>
      <c r="C228">
        <f>IF($N228="","",INDEX(Staging!$C$2:$C$3001,$N228))</f>
      </c>
      <c r="D228">
        <f>IF($N228="","",INDEX(Staging!$D$2:$D$3001,$N228))</f>
      </c>
      <c r="E228">
        <f>IF($N228="","",INDEX(Staging!$F$2:$F$3001,$N228))</f>
      </c>
      <c r="F228">
        <f>IF($N228="","",INDEX(Staging!$G$2:$G$3001,$N228))</f>
      </c>
      <c r="G228">
        <f>IF($N228="","",INDEX(Staging!$H$2:$H$3001,$N228))</f>
      </c>
      <c r="H228">
        <f>IF($N228="","",INDEX(Staging!$I$2:$I$3001,$N228))</f>
      </c>
      <c r="I228">
        <f>IF($N228="","",INDEX(Staging!$J$2:$J$3001,$N228))</f>
      </c>
      <c r="J228">
        <f>IF($N228="","",INDEX(Staging!$K$2:$K$3001,$N228))</f>
      </c>
      <c r="K228">
        <f>IF($N228="","",INDEX(Staging!$M$2:$M$3001,$N228))</f>
      </c>
      <c r="L228">
        <f>IF($N228="","",INDEX(Staging!$O$2:$O$3001,$N228))</f>
      </c>
      <c r="M228">
        <f>IF($N228="","",INDEX(Staging!$P$2:$P$3001,$N228))</f>
      </c>
      <c r="N228">
        <f t="array" ref="N228">IFERROR(SMALL(IF(Staging!$E$2:$E$3001="MIPPL",ROW(Staging!$E$2:$E$3001)-ROW(Staging!$E$2)+1),227),"")</f>
      </c>
    </row>
    <row r="229" spans="1:14" x14ac:dyDescent="0.25">
      <c r="A229">
        <f>IF($N229="","",INDEX(Staging!$A$2:$A$3001,$N229))</f>
      </c>
      <c r="B229">
        <f>IF($N229="","",INDEX(Staging!$B$2:$B$3001,$N229))</f>
      </c>
      <c r="C229">
        <f>IF($N229="","",INDEX(Staging!$C$2:$C$3001,$N229))</f>
      </c>
      <c r="D229">
        <f>IF($N229="","",INDEX(Staging!$D$2:$D$3001,$N229))</f>
      </c>
      <c r="E229">
        <f>IF($N229="","",INDEX(Staging!$F$2:$F$3001,$N229))</f>
      </c>
      <c r="F229">
        <f>IF($N229="","",INDEX(Staging!$G$2:$G$3001,$N229))</f>
      </c>
      <c r="G229">
        <f>IF($N229="","",INDEX(Staging!$H$2:$H$3001,$N229))</f>
      </c>
      <c r="H229">
        <f>IF($N229="","",INDEX(Staging!$I$2:$I$3001,$N229))</f>
      </c>
      <c r="I229">
        <f>IF($N229="","",INDEX(Staging!$J$2:$J$3001,$N229))</f>
      </c>
      <c r="J229">
        <f>IF($N229="","",INDEX(Staging!$K$2:$K$3001,$N229))</f>
      </c>
      <c r="K229">
        <f>IF($N229="","",INDEX(Staging!$M$2:$M$3001,$N229))</f>
      </c>
      <c r="L229">
        <f>IF($N229="","",INDEX(Staging!$O$2:$O$3001,$N229))</f>
      </c>
      <c r="M229">
        <f>IF($N229="","",INDEX(Staging!$P$2:$P$3001,$N229))</f>
      </c>
      <c r="N229">
        <f t="array" ref="N229">IFERROR(SMALL(IF(Staging!$E$2:$E$3001="MIPPL",ROW(Staging!$E$2:$E$3001)-ROW(Staging!$E$2)+1),228),"")</f>
      </c>
    </row>
    <row r="230" spans="1:14" x14ac:dyDescent="0.25">
      <c r="A230">
        <f>IF($N230="","",INDEX(Staging!$A$2:$A$3001,$N230))</f>
      </c>
      <c r="B230">
        <f>IF($N230="","",INDEX(Staging!$B$2:$B$3001,$N230))</f>
      </c>
      <c r="C230">
        <f>IF($N230="","",INDEX(Staging!$C$2:$C$3001,$N230))</f>
      </c>
      <c r="D230">
        <f>IF($N230="","",INDEX(Staging!$D$2:$D$3001,$N230))</f>
      </c>
      <c r="E230">
        <f>IF($N230="","",INDEX(Staging!$F$2:$F$3001,$N230))</f>
      </c>
      <c r="F230">
        <f>IF($N230="","",INDEX(Staging!$G$2:$G$3001,$N230))</f>
      </c>
      <c r="G230">
        <f>IF($N230="","",INDEX(Staging!$H$2:$H$3001,$N230))</f>
      </c>
      <c r="H230">
        <f>IF($N230="","",INDEX(Staging!$I$2:$I$3001,$N230))</f>
      </c>
      <c r="I230">
        <f>IF($N230="","",INDEX(Staging!$J$2:$J$3001,$N230))</f>
      </c>
      <c r="J230">
        <f>IF($N230="","",INDEX(Staging!$K$2:$K$3001,$N230))</f>
      </c>
      <c r="K230">
        <f>IF($N230="","",INDEX(Staging!$M$2:$M$3001,$N230))</f>
      </c>
      <c r="L230">
        <f>IF($N230="","",INDEX(Staging!$O$2:$O$3001,$N230))</f>
      </c>
      <c r="M230">
        <f>IF($N230="","",INDEX(Staging!$P$2:$P$3001,$N230))</f>
      </c>
      <c r="N230">
        <f t="array" ref="N230">IFERROR(SMALL(IF(Staging!$E$2:$E$3001="MIPPL",ROW(Staging!$E$2:$E$3001)-ROW(Staging!$E$2)+1),229),"")</f>
      </c>
    </row>
    <row r="231" spans="1:14" x14ac:dyDescent="0.25">
      <c r="A231">
        <f>IF($N231="","",INDEX(Staging!$A$2:$A$3001,$N231))</f>
      </c>
      <c r="B231">
        <f>IF($N231="","",INDEX(Staging!$B$2:$B$3001,$N231))</f>
      </c>
      <c r="C231">
        <f>IF($N231="","",INDEX(Staging!$C$2:$C$3001,$N231))</f>
      </c>
      <c r="D231">
        <f>IF($N231="","",INDEX(Staging!$D$2:$D$3001,$N231))</f>
      </c>
      <c r="E231">
        <f>IF($N231="","",INDEX(Staging!$F$2:$F$3001,$N231))</f>
      </c>
      <c r="F231">
        <f>IF($N231="","",INDEX(Staging!$G$2:$G$3001,$N231))</f>
      </c>
      <c r="G231">
        <f>IF($N231="","",INDEX(Staging!$H$2:$H$3001,$N231))</f>
      </c>
      <c r="H231">
        <f>IF($N231="","",INDEX(Staging!$I$2:$I$3001,$N231))</f>
      </c>
      <c r="I231">
        <f>IF($N231="","",INDEX(Staging!$J$2:$J$3001,$N231))</f>
      </c>
      <c r="J231">
        <f>IF($N231="","",INDEX(Staging!$K$2:$K$3001,$N231))</f>
      </c>
      <c r="K231">
        <f>IF($N231="","",INDEX(Staging!$M$2:$M$3001,$N231))</f>
      </c>
      <c r="L231">
        <f>IF($N231="","",INDEX(Staging!$O$2:$O$3001,$N231))</f>
      </c>
      <c r="M231">
        <f>IF($N231="","",INDEX(Staging!$P$2:$P$3001,$N231))</f>
      </c>
      <c r="N231">
        <f t="array" ref="N231">IFERROR(SMALL(IF(Staging!$E$2:$E$3001="MIPPL",ROW(Staging!$E$2:$E$3001)-ROW(Staging!$E$2)+1),230),"")</f>
      </c>
    </row>
    <row r="232" spans="1:14" x14ac:dyDescent="0.25">
      <c r="A232">
        <f>IF($N232="","",INDEX(Staging!$A$2:$A$3001,$N232))</f>
      </c>
      <c r="B232">
        <f>IF($N232="","",INDEX(Staging!$B$2:$B$3001,$N232))</f>
      </c>
      <c r="C232">
        <f>IF($N232="","",INDEX(Staging!$C$2:$C$3001,$N232))</f>
      </c>
      <c r="D232">
        <f>IF($N232="","",INDEX(Staging!$D$2:$D$3001,$N232))</f>
      </c>
      <c r="E232">
        <f>IF($N232="","",INDEX(Staging!$F$2:$F$3001,$N232))</f>
      </c>
      <c r="F232">
        <f>IF($N232="","",INDEX(Staging!$G$2:$G$3001,$N232))</f>
      </c>
      <c r="G232">
        <f>IF($N232="","",INDEX(Staging!$H$2:$H$3001,$N232))</f>
      </c>
      <c r="H232">
        <f>IF($N232="","",INDEX(Staging!$I$2:$I$3001,$N232))</f>
      </c>
      <c r="I232">
        <f>IF($N232="","",INDEX(Staging!$J$2:$J$3001,$N232))</f>
      </c>
      <c r="J232">
        <f>IF($N232="","",INDEX(Staging!$K$2:$K$3001,$N232))</f>
      </c>
      <c r="K232">
        <f>IF($N232="","",INDEX(Staging!$M$2:$M$3001,$N232))</f>
      </c>
      <c r="L232">
        <f>IF($N232="","",INDEX(Staging!$O$2:$O$3001,$N232))</f>
      </c>
      <c r="M232">
        <f>IF($N232="","",INDEX(Staging!$P$2:$P$3001,$N232))</f>
      </c>
      <c r="N232">
        <f t="array" ref="N232">IFERROR(SMALL(IF(Staging!$E$2:$E$3001="MIPPL",ROW(Staging!$E$2:$E$3001)-ROW(Staging!$E$2)+1),231),"")</f>
      </c>
    </row>
    <row r="233" spans="1:14" x14ac:dyDescent="0.25">
      <c r="A233">
        <f>IF($N233="","",INDEX(Staging!$A$2:$A$3001,$N233))</f>
      </c>
      <c r="B233">
        <f>IF($N233="","",INDEX(Staging!$B$2:$B$3001,$N233))</f>
      </c>
      <c r="C233">
        <f>IF($N233="","",INDEX(Staging!$C$2:$C$3001,$N233))</f>
      </c>
      <c r="D233">
        <f>IF($N233="","",INDEX(Staging!$D$2:$D$3001,$N233))</f>
      </c>
      <c r="E233">
        <f>IF($N233="","",INDEX(Staging!$F$2:$F$3001,$N233))</f>
      </c>
      <c r="F233">
        <f>IF($N233="","",INDEX(Staging!$G$2:$G$3001,$N233))</f>
      </c>
      <c r="G233">
        <f>IF($N233="","",INDEX(Staging!$H$2:$H$3001,$N233))</f>
      </c>
      <c r="H233">
        <f>IF($N233="","",INDEX(Staging!$I$2:$I$3001,$N233))</f>
      </c>
      <c r="I233">
        <f>IF($N233="","",INDEX(Staging!$J$2:$J$3001,$N233))</f>
      </c>
      <c r="J233">
        <f>IF($N233="","",INDEX(Staging!$K$2:$K$3001,$N233))</f>
      </c>
      <c r="K233">
        <f>IF($N233="","",INDEX(Staging!$M$2:$M$3001,$N233))</f>
      </c>
      <c r="L233">
        <f>IF($N233="","",INDEX(Staging!$O$2:$O$3001,$N233))</f>
      </c>
      <c r="M233">
        <f>IF($N233="","",INDEX(Staging!$P$2:$P$3001,$N233))</f>
      </c>
      <c r="N233">
        <f t="array" ref="N233">IFERROR(SMALL(IF(Staging!$E$2:$E$3001="MIPPL",ROW(Staging!$E$2:$E$3001)-ROW(Staging!$E$2)+1),232),"")</f>
      </c>
    </row>
    <row r="234" spans="1:14" x14ac:dyDescent="0.25">
      <c r="A234">
        <f>IF($N234="","",INDEX(Staging!$A$2:$A$3001,$N234))</f>
      </c>
      <c r="B234">
        <f>IF($N234="","",INDEX(Staging!$B$2:$B$3001,$N234))</f>
      </c>
      <c r="C234">
        <f>IF($N234="","",INDEX(Staging!$C$2:$C$3001,$N234))</f>
      </c>
      <c r="D234">
        <f>IF($N234="","",INDEX(Staging!$D$2:$D$3001,$N234))</f>
      </c>
      <c r="E234">
        <f>IF($N234="","",INDEX(Staging!$F$2:$F$3001,$N234))</f>
      </c>
      <c r="F234">
        <f>IF($N234="","",INDEX(Staging!$G$2:$G$3001,$N234))</f>
      </c>
      <c r="G234">
        <f>IF($N234="","",INDEX(Staging!$H$2:$H$3001,$N234))</f>
      </c>
      <c r="H234">
        <f>IF($N234="","",INDEX(Staging!$I$2:$I$3001,$N234))</f>
      </c>
      <c r="I234">
        <f>IF($N234="","",INDEX(Staging!$J$2:$J$3001,$N234))</f>
      </c>
      <c r="J234">
        <f>IF($N234="","",INDEX(Staging!$K$2:$K$3001,$N234))</f>
      </c>
      <c r="K234">
        <f>IF($N234="","",INDEX(Staging!$M$2:$M$3001,$N234))</f>
      </c>
      <c r="L234">
        <f>IF($N234="","",INDEX(Staging!$O$2:$O$3001,$N234))</f>
      </c>
      <c r="M234">
        <f>IF($N234="","",INDEX(Staging!$P$2:$P$3001,$N234))</f>
      </c>
      <c r="N234">
        <f t="array" ref="N234">IFERROR(SMALL(IF(Staging!$E$2:$E$3001="MIPPL",ROW(Staging!$E$2:$E$3001)-ROW(Staging!$E$2)+1),233),"")</f>
      </c>
    </row>
    <row r="235" spans="1:14" x14ac:dyDescent="0.25">
      <c r="A235">
        <f>IF($N235="","",INDEX(Staging!$A$2:$A$3001,$N235))</f>
      </c>
      <c r="B235">
        <f>IF($N235="","",INDEX(Staging!$B$2:$B$3001,$N235))</f>
      </c>
      <c r="C235">
        <f>IF($N235="","",INDEX(Staging!$C$2:$C$3001,$N235))</f>
      </c>
      <c r="D235">
        <f>IF($N235="","",INDEX(Staging!$D$2:$D$3001,$N235))</f>
      </c>
      <c r="E235">
        <f>IF($N235="","",INDEX(Staging!$F$2:$F$3001,$N235))</f>
      </c>
      <c r="F235">
        <f>IF($N235="","",INDEX(Staging!$G$2:$G$3001,$N235))</f>
      </c>
      <c r="G235">
        <f>IF($N235="","",INDEX(Staging!$H$2:$H$3001,$N235))</f>
      </c>
      <c r="H235">
        <f>IF($N235="","",INDEX(Staging!$I$2:$I$3001,$N235))</f>
      </c>
      <c r="I235">
        <f>IF($N235="","",INDEX(Staging!$J$2:$J$3001,$N235))</f>
      </c>
      <c r="J235">
        <f>IF($N235="","",INDEX(Staging!$K$2:$K$3001,$N235))</f>
      </c>
      <c r="K235">
        <f>IF($N235="","",INDEX(Staging!$M$2:$M$3001,$N235))</f>
      </c>
      <c r="L235">
        <f>IF($N235="","",INDEX(Staging!$O$2:$O$3001,$N235))</f>
      </c>
      <c r="M235">
        <f>IF($N235="","",INDEX(Staging!$P$2:$P$3001,$N235))</f>
      </c>
      <c r="N235">
        <f t="array" ref="N235">IFERROR(SMALL(IF(Staging!$E$2:$E$3001="MIPPL",ROW(Staging!$E$2:$E$3001)-ROW(Staging!$E$2)+1),234),"")</f>
      </c>
    </row>
    <row r="236" spans="1:14" x14ac:dyDescent="0.25">
      <c r="A236">
        <f>IF($N236="","",INDEX(Staging!$A$2:$A$3001,$N236))</f>
      </c>
      <c r="B236">
        <f>IF($N236="","",INDEX(Staging!$B$2:$B$3001,$N236))</f>
      </c>
      <c r="C236">
        <f>IF($N236="","",INDEX(Staging!$C$2:$C$3001,$N236))</f>
      </c>
      <c r="D236">
        <f>IF($N236="","",INDEX(Staging!$D$2:$D$3001,$N236))</f>
      </c>
      <c r="E236">
        <f>IF($N236="","",INDEX(Staging!$F$2:$F$3001,$N236))</f>
      </c>
      <c r="F236">
        <f>IF($N236="","",INDEX(Staging!$G$2:$G$3001,$N236))</f>
      </c>
      <c r="G236">
        <f>IF($N236="","",INDEX(Staging!$H$2:$H$3001,$N236))</f>
      </c>
      <c r="H236">
        <f>IF($N236="","",INDEX(Staging!$I$2:$I$3001,$N236))</f>
      </c>
      <c r="I236">
        <f>IF($N236="","",INDEX(Staging!$J$2:$J$3001,$N236))</f>
      </c>
      <c r="J236">
        <f>IF($N236="","",INDEX(Staging!$K$2:$K$3001,$N236))</f>
      </c>
      <c r="K236">
        <f>IF($N236="","",INDEX(Staging!$M$2:$M$3001,$N236))</f>
      </c>
      <c r="L236">
        <f>IF($N236="","",INDEX(Staging!$O$2:$O$3001,$N236))</f>
      </c>
      <c r="M236">
        <f>IF($N236="","",INDEX(Staging!$P$2:$P$3001,$N236))</f>
      </c>
      <c r="N236">
        <f t="array" ref="N236">IFERROR(SMALL(IF(Staging!$E$2:$E$3001="MIPPL",ROW(Staging!$E$2:$E$3001)-ROW(Staging!$E$2)+1),235),"")</f>
      </c>
    </row>
    <row r="237" spans="1:14" x14ac:dyDescent="0.25">
      <c r="A237">
        <f>IF($N237="","",INDEX(Staging!$A$2:$A$3001,$N237))</f>
      </c>
      <c r="B237">
        <f>IF($N237="","",INDEX(Staging!$B$2:$B$3001,$N237))</f>
      </c>
      <c r="C237">
        <f>IF($N237="","",INDEX(Staging!$C$2:$C$3001,$N237))</f>
      </c>
      <c r="D237">
        <f>IF($N237="","",INDEX(Staging!$D$2:$D$3001,$N237))</f>
      </c>
      <c r="E237">
        <f>IF($N237="","",INDEX(Staging!$F$2:$F$3001,$N237))</f>
      </c>
      <c r="F237">
        <f>IF($N237="","",INDEX(Staging!$G$2:$G$3001,$N237))</f>
      </c>
      <c r="G237">
        <f>IF($N237="","",INDEX(Staging!$H$2:$H$3001,$N237))</f>
      </c>
      <c r="H237">
        <f>IF($N237="","",INDEX(Staging!$I$2:$I$3001,$N237))</f>
      </c>
      <c r="I237">
        <f>IF($N237="","",INDEX(Staging!$J$2:$J$3001,$N237))</f>
      </c>
      <c r="J237">
        <f>IF($N237="","",INDEX(Staging!$K$2:$K$3001,$N237))</f>
      </c>
      <c r="K237">
        <f>IF($N237="","",INDEX(Staging!$M$2:$M$3001,$N237))</f>
      </c>
      <c r="L237">
        <f>IF($N237="","",INDEX(Staging!$O$2:$O$3001,$N237))</f>
      </c>
      <c r="M237">
        <f>IF($N237="","",INDEX(Staging!$P$2:$P$3001,$N237))</f>
      </c>
      <c r="N237">
        <f t="array" ref="N237">IFERROR(SMALL(IF(Staging!$E$2:$E$3001="MIPPL",ROW(Staging!$E$2:$E$3001)-ROW(Staging!$E$2)+1),236),"")</f>
      </c>
    </row>
    <row r="238" spans="1:14" x14ac:dyDescent="0.25">
      <c r="A238">
        <f>IF($N238="","",INDEX(Staging!$A$2:$A$3001,$N238))</f>
      </c>
      <c r="B238">
        <f>IF($N238="","",INDEX(Staging!$B$2:$B$3001,$N238))</f>
      </c>
      <c r="C238">
        <f>IF($N238="","",INDEX(Staging!$C$2:$C$3001,$N238))</f>
      </c>
      <c r="D238">
        <f>IF($N238="","",INDEX(Staging!$D$2:$D$3001,$N238))</f>
      </c>
      <c r="E238">
        <f>IF($N238="","",INDEX(Staging!$F$2:$F$3001,$N238))</f>
      </c>
      <c r="F238">
        <f>IF($N238="","",INDEX(Staging!$G$2:$G$3001,$N238))</f>
      </c>
      <c r="G238">
        <f>IF($N238="","",INDEX(Staging!$H$2:$H$3001,$N238))</f>
      </c>
      <c r="H238">
        <f>IF($N238="","",INDEX(Staging!$I$2:$I$3001,$N238))</f>
      </c>
      <c r="I238">
        <f>IF($N238="","",INDEX(Staging!$J$2:$J$3001,$N238))</f>
      </c>
      <c r="J238">
        <f>IF($N238="","",INDEX(Staging!$K$2:$K$3001,$N238))</f>
      </c>
      <c r="K238">
        <f>IF($N238="","",INDEX(Staging!$M$2:$M$3001,$N238))</f>
      </c>
      <c r="L238">
        <f>IF($N238="","",INDEX(Staging!$O$2:$O$3001,$N238))</f>
      </c>
      <c r="M238">
        <f>IF($N238="","",INDEX(Staging!$P$2:$P$3001,$N238))</f>
      </c>
      <c r="N238">
        <f t="array" ref="N238">IFERROR(SMALL(IF(Staging!$E$2:$E$3001="MIPPL",ROW(Staging!$E$2:$E$3001)-ROW(Staging!$E$2)+1),237),"")</f>
      </c>
    </row>
    <row r="239" spans="1:14" x14ac:dyDescent="0.25">
      <c r="A239">
        <f>IF($N239="","",INDEX(Staging!$A$2:$A$3001,$N239))</f>
      </c>
      <c r="B239">
        <f>IF($N239="","",INDEX(Staging!$B$2:$B$3001,$N239))</f>
      </c>
      <c r="C239">
        <f>IF($N239="","",INDEX(Staging!$C$2:$C$3001,$N239))</f>
      </c>
      <c r="D239">
        <f>IF($N239="","",INDEX(Staging!$D$2:$D$3001,$N239))</f>
      </c>
      <c r="E239">
        <f>IF($N239="","",INDEX(Staging!$F$2:$F$3001,$N239))</f>
      </c>
      <c r="F239">
        <f>IF($N239="","",INDEX(Staging!$G$2:$G$3001,$N239))</f>
      </c>
      <c r="G239">
        <f>IF($N239="","",INDEX(Staging!$H$2:$H$3001,$N239))</f>
      </c>
      <c r="H239">
        <f>IF($N239="","",INDEX(Staging!$I$2:$I$3001,$N239))</f>
      </c>
      <c r="I239">
        <f>IF($N239="","",INDEX(Staging!$J$2:$J$3001,$N239))</f>
      </c>
      <c r="J239">
        <f>IF($N239="","",INDEX(Staging!$K$2:$K$3001,$N239))</f>
      </c>
      <c r="K239">
        <f>IF($N239="","",INDEX(Staging!$M$2:$M$3001,$N239))</f>
      </c>
      <c r="L239">
        <f>IF($N239="","",INDEX(Staging!$O$2:$O$3001,$N239))</f>
      </c>
      <c r="M239">
        <f>IF($N239="","",INDEX(Staging!$P$2:$P$3001,$N239))</f>
      </c>
      <c r="N239">
        <f t="array" ref="N239">IFERROR(SMALL(IF(Staging!$E$2:$E$3001="MIPPL",ROW(Staging!$E$2:$E$3001)-ROW(Staging!$E$2)+1),238),"")</f>
      </c>
    </row>
    <row r="240" spans="1:14" x14ac:dyDescent="0.25">
      <c r="A240">
        <f>IF($N240="","",INDEX(Staging!$A$2:$A$3001,$N240))</f>
      </c>
      <c r="B240">
        <f>IF($N240="","",INDEX(Staging!$B$2:$B$3001,$N240))</f>
      </c>
      <c r="C240">
        <f>IF($N240="","",INDEX(Staging!$C$2:$C$3001,$N240))</f>
      </c>
      <c r="D240">
        <f>IF($N240="","",INDEX(Staging!$D$2:$D$3001,$N240))</f>
      </c>
      <c r="E240">
        <f>IF($N240="","",INDEX(Staging!$F$2:$F$3001,$N240))</f>
      </c>
      <c r="F240">
        <f>IF($N240="","",INDEX(Staging!$G$2:$G$3001,$N240))</f>
      </c>
      <c r="G240">
        <f>IF($N240="","",INDEX(Staging!$H$2:$H$3001,$N240))</f>
      </c>
      <c r="H240">
        <f>IF($N240="","",INDEX(Staging!$I$2:$I$3001,$N240))</f>
      </c>
      <c r="I240">
        <f>IF($N240="","",INDEX(Staging!$J$2:$J$3001,$N240))</f>
      </c>
      <c r="J240">
        <f>IF($N240="","",INDEX(Staging!$K$2:$K$3001,$N240))</f>
      </c>
      <c r="K240">
        <f>IF($N240="","",INDEX(Staging!$M$2:$M$3001,$N240))</f>
      </c>
      <c r="L240">
        <f>IF($N240="","",INDEX(Staging!$O$2:$O$3001,$N240))</f>
      </c>
      <c r="M240">
        <f>IF($N240="","",INDEX(Staging!$P$2:$P$3001,$N240))</f>
      </c>
      <c r="N240">
        <f t="array" ref="N240">IFERROR(SMALL(IF(Staging!$E$2:$E$3001="MIPPL",ROW(Staging!$E$2:$E$3001)-ROW(Staging!$E$2)+1),239),"")</f>
      </c>
    </row>
    <row r="241" spans="1:14" x14ac:dyDescent="0.25">
      <c r="A241">
        <f>IF($N241="","",INDEX(Staging!$A$2:$A$3001,$N241))</f>
      </c>
      <c r="B241">
        <f>IF($N241="","",INDEX(Staging!$B$2:$B$3001,$N241))</f>
      </c>
      <c r="C241">
        <f>IF($N241="","",INDEX(Staging!$C$2:$C$3001,$N241))</f>
      </c>
      <c r="D241">
        <f>IF($N241="","",INDEX(Staging!$D$2:$D$3001,$N241))</f>
      </c>
      <c r="E241">
        <f>IF($N241="","",INDEX(Staging!$F$2:$F$3001,$N241))</f>
      </c>
      <c r="F241">
        <f>IF($N241="","",INDEX(Staging!$G$2:$G$3001,$N241))</f>
      </c>
      <c r="G241">
        <f>IF($N241="","",INDEX(Staging!$H$2:$H$3001,$N241))</f>
      </c>
      <c r="H241">
        <f>IF($N241="","",INDEX(Staging!$I$2:$I$3001,$N241))</f>
      </c>
      <c r="I241">
        <f>IF($N241="","",INDEX(Staging!$J$2:$J$3001,$N241))</f>
      </c>
      <c r="J241">
        <f>IF($N241="","",INDEX(Staging!$K$2:$K$3001,$N241))</f>
      </c>
      <c r="K241">
        <f>IF($N241="","",INDEX(Staging!$M$2:$M$3001,$N241))</f>
      </c>
      <c r="L241">
        <f>IF($N241="","",INDEX(Staging!$O$2:$O$3001,$N241))</f>
      </c>
      <c r="M241">
        <f>IF($N241="","",INDEX(Staging!$P$2:$P$3001,$N241))</f>
      </c>
      <c r="N241">
        <f t="array" ref="N241">IFERROR(SMALL(IF(Staging!$E$2:$E$3001="MIPPL",ROW(Staging!$E$2:$E$3001)-ROW(Staging!$E$2)+1),240),"")</f>
      </c>
    </row>
    <row r="242" spans="1:14" x14ac:dyDescent="0.25">
      <c r="A242">
        <f>IF($N242="","",INDEX(Staging!$A$2:$A$3001,$N242))</f>
      </c>
      <c r="B242">
        <f>IF($N242="","",INDEX(Staging!$B$2:$B$3001,$N242))</f>
      </c>
      <c r="C242">
        <f>IF($N242="","",INDEX(Staging!$C$2:$C$3001,$N242))</f>
      </c>
      <c r="D242">
        <f>IF($N242="","",INDEX(Staging!$D$2:$D$3001,$N242))</f>
      </c>
      <c r="E242">
        <f>IF($N242="","",INDEX(Staging!$F$2:$F$3001,$N242))</f>
      </c>
      <c r="F242">
        <f>IF($N242="","",INDEX(Staging!$G$2:$G$3001,$N242))</f>
      </c>
      <c r="G242">
        <f>IF($N242="","",INDEX(Staging!$H$2:$H$3001,$N242))</f>
      </c>
      <c r="H242">
        <f>IF($N242="","",INDEX(Staging!$I$2:$I$3001,$N242))</f>
      </c>
      <c r="I242">
        <f>IF($N242="","",INDEX(Staging!$J$2:$J$3001,$N242))</f>
      </c>
      <c r="J242">
        <f>IF($N242="","",INDEX(Staging!$K$2:$K$3001,$N242))</f>
      </c>
      <c r="K242">
        <f>IF($N242="","",INDEX(Staging!$M$2:$M$3001,$N242))</f>
      </c>
      <c r="L242">
        <f>IF($N242="","",INDEX(Staging!$O$2:$O$3001,$N242))</f>
      </c>
      <c r="M242">
        <f>IF($N242="","",INDEX(Staging!$P$2:$P$3001,$N242))</f>
      </c>
      <c r="N242">
        <f t="array" ref="N242">IFERROR(SMALL(IF(Staging!$E$2:$E$3001="MIPPL",ROW(Staging!$E$2:$E$3001)-ROW(Staging!$E$2)+1),241),"")</f>
      </c>
    </row>
    <row r="243" spans="1:14" x14ac:dyDescent="0.25">
      <c r="A243">
        <f>IF($N243="","",INDEX(Staging!$A$2:$A$3001,$N243))</f>
      </c>
      <c r="B243">
        <f>IF($N243="","",INDEX(Staging!$B$2:$B$3001,$N243))</f>
      </c>
      <c r="C243">
        <f>IF($N243="","",INDEX(Staging!$C$2:$C$3001,$N243))</f>
      </c>
      <c r="D243">
        <f>IF($N243="","",INDEX(Staging!$D$2:$D$3001,$N243))</f>
      </c>
      <c r="E243">
        <f>IF($N243="","",INDEX(Staging!$F$2:$F$3001,$N243))</f>
      </c>
      <c r="F243">
        <f>IF($N243="","",INDEX(Staging!$G$2:$G$3001,$N243))</f>
      </c>
      <c r="G243">
        <f>IF($N243="","",INDEX(Staging!$H$2:$H$3001,$N243))</f>
      </c>
      <c r="H243">
        <f>IF($N243="","",INDEX(Staging!$I$2:$I$3001,$N243))</f>
      </c>
      <c r="I243">
        <f>IF($N243="","",INDEX(Staging!$J$2:$J$3001,$N243))</f>
      </c>
      <c r="J243">
        <f>IF($N243="","",INDEX(Staging!$K$2:$K$3001,$N243))</f>
      </c>
      <c r="K243">
        <f>IF($N243="","",INDEX(Staging!$M$2:$M$3001,$N243))</f>
      </c>
      <c r="L243">
        <f>IF($N243="","",INDEX(Staging!$O$2:$O$3001,$N243))</f>
      </c>
      <c r="M243">
        <f>IF($N243="","",INDEX(Staging!$P$2:$P$3001,$N243))</f>
      </c>
      <c r="N243">
        <f t="array" ref="N243">IFERROR(SMALL(IF(Staging!$E$2:$E$3001="MIPPL",ROW(Staging!$E$2:$E$3001)-ROW(Staging!$E$2)+1),242),"")</f>
      </c>
    </row>
    <row r="244" spans="1:14" x14ac:dyDescent="0.25">
      <c r="A244">
        <f>IF($N244="","",INDEX(Staging!$A$2:$A$3001,$N244))</f>
      </c>
      <c r="B244">
        <f>IF($N244="","",INDEX(Staging!$B$2:$B$3001,$N244))</f>
      </c>
      <c r="C244">
        <f>IF($N244="","",INDEX(Staging!$C$2:$C$3001,$N244))</f>
      </c>
      <c r="D244">
        <f>IF($N244="","",INDEX(Staging!$D$2:$D$3001,$N244))</f>
      </c>
      <c r="E244">
        <f>IF($N244="","",INDEX(Staging!$F$2:$F$3001,$N244))</f>
      </c>
      <c r="F244">
        <f>IF($N244="","",INDEX(Staging!$G$2:$G$3001,$N244))</f>
      </c>
      <c r="G244">
        <f>IF($N244="","",INDEX(Staging!$H$2:$H$3001,$N244))</f>
      </c>
      <c r="H244">
        <f>IF($N244="","",INDEX(Staging!$I$2:$I$3001,$N244))</f>
      </c>
      <c r="I244">
        <f>IF($N244="","",INDEX(Staging!$J$2:$J$3001,$N244))</f>
      </c>
      <c r="J244">
        <f>IF($N244="","",INDEX(Staging!$K$2:$K$3001,$N244))</f>
      </c>
      <c r="K244">
        <f>IF($N244="","",INDEX(Staging!$M$2:$M$3001,$N244))</f>
      </c>
      <c r="L244">
        <f>IF($N244="","",INDEX(Staging!$O$2:$O$3001,$N244))</f>
      </c>
      <c r="M244">
        <f>IF($N244="","",INDEX(Staging!$P$2:$P$3001,$N244))</f>
      </c>
      <c r="N244">
        <f t="array" ref="N244">IFERROR(SMALL(IF(Staging!$E$2:$E$3001="MIPPL",ROW(Staging!$E$2:$E$3001)-ROW(Staging!$E$2)+1),243),"")</f>
      </c>
    </row>
    <row r="245" spans="1:14" x14ac:dyDescent="0.25">
      <c r="A245">
        <f>IF($N245="","",INDEX(Staging!$A$2:$A$3001,$N245))</f>
      </c>
      <c r="B245">
        <f>IF($N245="","",INDEX(Staging!$B$2:$B$3001,$N245))</f>
      </c>
      <c r="C245">
        <f>IF($N245="","",INDEX(Staging!$C$2:$C$3001,$N245))</f>
      </c>
      <c r="D245">
        <f>IF($N245="","",INDEX(Staging!$D$2:$D$3001,$N245))</f>
      </c>
      <c r="E245">
        <f>IF($N245="","",INDEX(Staging!$F$2:$F$3001,$N245))</f>
      </c>
      <c r="F245">
        <f>IF($N245="","",INDEX(Staging!$G$2:$G$3001,$N245))</f>
      </c>
      <c r="G245">
        <f>IF($N245="","",INDEX(Staging!$H$2:$H$3001,$N245))</f>
      </c>
      <c r="H245">
        <f>IF($N245="","",INDEX(Staging!$I$2:$I$3001,$N245))</f>
      </c>
      <c r="I245">
        <f>IF($N245="","",INDEX(Staging!$J$2:$J$3001,$N245))</f>
      </c>
      <c r="J245">
        <f>IF($N245="","",INDEX(Staging!$K$2:$K$3001,$N245))</f>
      </c>
      <c r="K245">
        <f>IF($N245="","",INDEX(Staging!$M$2:$M$3001,$N245))</f>
      </c>
      <c r="L245">
        <f>IF($N245="","",INDEX(Staging!$O$2:$O$3001,$N245))</f>
      </c>
      <c r="M245">
        <f>IF($N245="","",INDEX(Staging!$P$2:$P$3001,$N245))</f>
      </c>
      <c r="N245">
        <f t="array" ref="N245">IFERROR(SMALL(IF(Staging!$E$2:$E$3001="MIPPL",ROW(Staging!$E$2:$E$3001)-ROW(Staging!$E$2)+1),244),"")</f>
      </c>
    </row>
    <row r="246" spans="1:14" x14ac:dyDescent="0.25">
      <c r="A246">
        <f>IF($N246="","",INDEX(Staging!$A$2:$A$3001,$N246))</f>
      </c>
      <c r="B246">
        <f>IF($N246="","",INDEX(Staging!$B$2:$B$3001,$N246))</f>
      </c>
      <c r="C246">
        <f>IF($N246="","",INDEX(Staging!$C$2:$C$3001,$N246))</f>
      </c>
      <c r="D246">
        <f>IF($N246="","",INDEX(Staging!$D$2:$D$3001,$N246))</f>
      </c>
      <c r="E246">
        <f>IF($N246="","",INDEX(Staging!$F$2:$F$3001,$N246))</f>
      </c>
      <c r="F246">
        <f>IF($N246="","",INDEX(Staging!$G$2:$G$3001,$N246))</f>
      </c>
      <c r="G246">
        <f>IF($N246="","",INDEX(Staging!$H$2:$H$3001,$N246))</f>
      </c>
      <c r="H246">
        <f>IF($N246="","",INDEX(Staging!$I$2:$I$3001,$N246))</f>
      </c>
      <c r="I246">
        <f>IF($N246="","",INDEX(Staging!$J$2:$J$3001,$N246))</f>
      </c>
      <c r="J246">
        <f>IF($N246="","",INDEX(Staging!$K$2:$K$3001,$N246))</f>
      </c>
      <c r="K246">
        <f>IF($N246="","",INDEX(Staging!$M$2:$M$3001,$N246))</f>
      </c>
      <c r="L246">
        <f>IF($N246="","",INDEX(Staging!$O$2:$O$3001,$N246))</f>
      </c>
      <c r="M246">
        <f>IF($N246="","",INDEX(Staging!$P$2:$P$3001,$N246))</f>
      </c>
      <c r="N246">
        <f t="array" ref="N246">IFERROR(SMALL(IF(Staging!$E$2:$E$3001="MIPPL",ROW(Staging!$E$2:$E$3001)-ROW(Staging!$E$2)+1),245),"")</f>
      </c>
    </row>
    <row r="247" spans="1:14" x14ac:dyDescent="0.25">
      <c r="A247">
        <f>IF($N247="","",INDEX(Staging!$A$2:$A$3001,$N247))</f>
      </c>
      <c r="B247">
        <f>IF($N247="","",INDEX(Staging!$B$2:$B$3001,$N247))</f>
      </c>
      <c r="C247">
        <f>IF($N247="","",INDEX(Staging!$C$2:$C$3001,$N247))</f>
      </c>
      <c r="D247">
        <f>IF($N247="","",INDEX(Staging!$D$2:$D$3001,$N247))</f>
      </c>
      <c r="E247">
        <f>IF($N247="","",INDEX(Staging!$F$2:$F$3001,$N247))</f>
      </c>
      <c r="F247">
        <f>IF($N247="","",INDEX(Staging!$G$2:$G$3001,$N247))</f>
      </c>
      <c r="G247">
        <f>IF($N247="","",INDEX(Staging!$H$2:$H$3001,$N247))</f>
      </c>
      <c r="H247">
        <f>IF($N247="","",INDEX(Staging!$I$2:$I$3001,$N247))</f>
      </c>
      <c r="I247">
        <f>IF($N247="","",INDEX(Staging!$J$2:$J$3001,$N247))</f>
      </c>
      <c r="J247">
        <f>IF($N247="","",INDEX(Staging!$K$2:$K$3001,$N247))</f>
      </c>
      <c r="K247">
        <f>IF($N247="","",INDEX(Staging!$M$2:$M$3001,$N247))</f>
      </c>
      <c r="L247">
        <f>IF($N247="","",INDEX(Staging!$O$2:$O$3001,$N247))</f>
      </c>
      <c r="M247">
        <f>IF($N247="","",INDEX(Staging!$P$2:$P$3001,$N247))</f>
      </c>
      <c r="N247">
        <f t="array" ref="N247">IFERROR(SMALL(IF(Staging!$E$2:$E$3001="MIPPL",ROW(Staging!$E$2:$E$3001)-ROW(Staging!$E$2)+1),246),"")</f>
      </c>
    </row>
    <row r="248" spans="1:14" x14ac:dyDescent="0.25">
      <c r="A248">
        <f>IF($N248="","",INDEX(Staging!$A$2:$A$3001,$N248))</f>
      </c>
      <c r="B248">
        <f>IF($N248="","",INDEX(Staging!$B$2:$B$3001,$N248))</f>
      </c>
      <c r="C248">
        <f>IF($N248="","",INDEX(Staging!$C$2:$C$3001,$N248))</f>
      </c>
      <c r="D248">
        <f>IF($N248="","",INDEX(Staging!$D$2:$D$3001,$N248))</f>
      </c>
      <c r="E248">
        <f>IF($N248="","",INDEX(Staging!$F$2:$F$3001,$N248))</f>
      </c>
      <c r="F248">
        <f>IF($N248="","",INDEX(Staging!$G$2:$G$3001,$N248))</f>
      </c>
      <c r="G248">
        <f>IF($N248="","",INDEX(Staging!$H$2:$H$3001,$N248))</f>
      </c>
      <c r="H248">
        <f>IF($N248="","",INDEX(Staging!$I$2:$I$3001,$N248))</f>
      </c>
      <c r="I248">
        <f>IF($N248="","",INDEX(Staging!$J$2:$J$3001,$N248))</f>
      </c>
      <c r="J248">
        <f>IF($N248="","",INDEX(Staging!$K$2:$K$3001,$N248))</f>
      </c>
      <c r="K248">
        <f>IF($N248="","",INDEX(Staging!$M$2:$M$3001,$N248))</f>
      </c>
      <c r="L248">
        <f>IF($N248="","",INDEX(Staging!$O$2:$O$3001,$N248))</f>
      </c>
      <c r="M248">
        <f>IF($N248="","",INDEX(Staging!$P$2:$P$3001,$N248))</f>
      </c>
      <c r="N248">
        <f t="array" ref="N248">IFERROR(SMALL(IF(Staging!$E$2:$E$3001="MIPPL",ROW(Staging!$E$2:$E$3001)-ROW(Staging!$E$2)+1),247),"")</f>
      </c>
    </row>
    <row r="249" spans="1:14" x14ac:dyDescent="0.25">
      <c r="A249">
        <f>IF($N249="","",INDEX(Staging!$A$2:$A$3001,$N249))</f>
      </c>
      <c r="B249">
        <f>IF($N249="","",INDEX(Staging!$B$2:$B$3001,$N249))</f>
      </c>
      <c r="C249">
        <f>IF($N249="","",INDEX(Staging!$C$2:$C$3001,$N249))</f>
      </c>
      <c r="D249">
        <f>IF($N249="","",INDEX(Staging!$D$2:$D$3001,$N249))</f>
      </c>
      <c r="E249">
        <f>IF($N249="","",INDEX(Staging!$F$2:$F$3001,$N249))</f>
      </c>
      <c r="F249">
        <f>IF($N249="","",INDEX(Staging!$G$2:$G$3001,$N249))</f>
      </c>
      <c r="G249">
        <f>IF($N249="","",INDEX(Staging!$H$2:$H$3001,$N249))</f>
      </c>
      <c r="H249">
        <f>IF($N249="","",INDEX(Staging!$I$2:$I$3001,$N249))</f>
      </c>
      <c r="I249">
        <f>IF($N249="","",INDEX(Staging!$J$2:$J$3001,$N249))</f>
      </c>
      <c r="J249">
        <f>IF($N249="","",INDEX(Staging!$K$2:$K$3001,$N249))</f>
      </c>
      <c r="K249">
        <f>IF($N249="","",INDEX(Staging!$M$2:$M$3001,$N249))</f>
      </c>
      <c r="L249">
        <f>IF($N249="","",INDEX(Staging!$O$2:$O$3001,$N249))</f>
      </c>
      <c r="M249">
        <f>IF($N249="","",INDEX(Staging!$P$2:$P$3001,$N249))</f>
      </c>
      <c r="N249">
        <f t="array" ref="N249">IFERROR(SMALL(IF(Staging!$E$2:$E$3001="MIPPL",ROW(Staging!$E$2:$E$3001)-ROW(Staging!$E$2)+1),248),"")</f>
      </c>
    </row>
    <row r="250" spans="1:14" x14ac:dyDescent="0.25">
      <c r="A250">
        <f>IF($N250="","",INDEX(Staging!$A$2:$A$3001,$N250))</f>
      </c>
      <c r="B250">
        <f>IF($N250="","",INDEX(Staging!$B$2:$B$3001,$N250))</f>
      </c>
      <c r="C250">
        <f>IF($N250="","",INDEX(Staging!$C$2:$C$3001,$N250))</f>
      </c>
      <c r="D250">
        <f>IF($N250="","",INDEX(Staging!$D$2:$D$3001,$N250))</f>
      </c>
      <c r="E250">
        <f>IF($N250="","",INDEX(Staging!$F$2:$F$3001,$N250))</f>
      </c>
      <c r="F250">
        <f>IF($N250="","",INDEX(Staging!$G$2:$G$3001,$N250))</f>
      </c>
      <c r="G250">
        <f>IF($N250="","",INDEX(Staging!$H$2:$H$3001,$N250))</f>
      </c>
      <c r="H250">
        <f>IF($N250="","",INDEX(Staging!$I$2:$I$3001,$N250))</f>
      </c>
      <c r="I250">
        <f>IF($N250="","",INDEX(Staging!$J$2:$J$3001,$N250))</f>
      </c>
      <c r="J250">
        <f>IF($N250="","",INDEX(Staging!$K$2:$K$3001,$N250))</f>
      </c>
      <c r="K250">
        <f>IF($N250="","",INDEX(Staging!$M$2:$M$3001,$N250))</f>
      </c>
      <c r="L250">
        <f>IF($N250="","",INDEX(Staging!$O$2:$O$3001,$N250))</f>
      </c>
      <c r="M250">
        <f>IF($N250="","",INDEX(Staging!$P$2:$P$3001,$N250))</f>
      </c>
      <c r="N250">
        <f t="array" ref="N250">IFERROR(SMALL(IF(Staging!$E$2:$E$3001="MIPPL",ROW(Staging!$E$2:$E$3001)-ROW(Staging!$E$2)+1),249),"")</f>
      </c>
    </row>
    <row r="251" spans="1:14" x14ac:dyDescent="0.25">
      <c r="A251">
        <f>IF($N251="","",INDEX(Staging!$A$2:$A$3001,$N251))</f>
      </c>
      <c r="B251">
        <f>IF($N251="","",INDEX(Staging!$B$2:$B$3001,$N251))</f>
      </c>
      <c r="C251">
        <f>IF($N251="","",INDEX(Staging!$C$2:$C$3001,$N251))</f>
      </c>
      <c r="D251">
        <f>IF($N251="","",INDEX(Staging!$D$2:$D$3001,$N251))</f>
      </c>
      <c r="E251">
        <f>IF($N251="","",INDEX(Staging!$F$2:$F$3001,$N251))</f>
      </c>
      <c r="F251">
        <f>IF($N251="","",INDEX(Staging!$G$2:$G$3001,$N251))</f>
      </c>
      <c r="G251">
        <f>IF($N251="","",INDEX(Staging!$H$2:$H$3001,$N251))</f>
      </c>
      <c r="H251">
        <f>IF($N251="","",INDEX(Staging!$I$2:$I$3001,$N251))</f>
      </c>
      <c r="I251">
        <f>IF($N251="","",INDEX(Staging!$J$2:$J$3001,$N251))</f>
      </c>
      <c r="J251">
        <f>IF($N251="","",INDEX(Staging!$K$2:$K$3001,$N251))</f>
      </c>
      <c r="K251">
        <f>IF($N251="","",INDEX(Staging!$M$2:$M$3001,$N251))</f>
      </c>
      <c r="L251">
        <f>IF($N251="","",INDEX(Staging!$O$2:$O$3001,$N251))</f>
      </c>
      <c r="M251">
        <f>IF($N251="","",INDEX(Staging!$P$2:$P$3001,$N251))</f>
      </c>
      <c r="N251">
        <f t="array" ref="N251">IFERROR(SMALL(IF(Staging!$E$2:$E$3001="MIPPL",ROW(Staging!$E$2:$E$3001)-ROW(Staging!$E$2)+1),250),"")</f>
      </c>
    </row>
    <row r="252" spans="1:14" x14ac:dyDescent="0.25">
      <c r="A252">
        <f>IF($N252="","",INDEX(Staging!$A$2:$A$3001,$N252))</f>
      </c>
      <c r="B252">
        <f>IF($N252="","",INDEX(Staging!$B$2:$B$3001,$N252))</f>
      </c>
      <c r="C252">
        <f>IF($N252="","",INDEX(Staging!$C$2:$C$3001,$N252))</f>
      </c>
      <c r="D252">
        <f>IF($N252="","",INDEX(Staging!$D$2:$D$3001,$N252))</f>
      </c>
      <c r="E252">
        <f>IF($N252="","",INDEX(Staging!$F$2:$F$3001,$N252))</f>
      </c>
      <c r="F252">
        <f>IF($N252="","",INDEX(Staging!$G$2:$G$3001,$N252))</f>
      </c>
      <c r="G252">
        <f>IF($N252="","",INDEX(Staging!$H$2:$H$3001,$N252))</f>
      </c>
      <c r="H252">
        <f>IF($N252="","",INDEX(Staging!$I$2:$I$3001,$N252))</f>
      </c>
      <c r="I252">
        <f>IF($N252="","",INDEX(Staging!$J$2:$J$3001,$N252))</f>
      </c>
      <c r="J252">
        <f>IF($N252="","",INDEX(Staging!$K$2:$K$3001,$N252))</f>
      </c>
      <c r="K252">
        <f>IF($N252="","",INDEX(Staging!$M$2:$M$3001,$N252))</f>
      </c>
      <c r="L252">
        <f>IF($N252="","",INDEX(Staging!$O$2:$O$3001,$N252))</f>
      </c>
      <c r="M252">
        <f>IF($N252="","",INDEX(Staging!$P$2:$P$3001,$N252))</f>
      </c>
      <c r="N252">
        <f t="array" ref="N252">IFERROR(SMALL(IF(Staging!$E$2:$E$3001="MIPPL",ROW(Staging!$E$2:$E$3001)-ROW(Staging!$E$2)+1),251),"")</f>
      </c>
    </row>
    <row r="253" spans="1:14" x14ac:dyDescent="0.25">
      <c r="A253">
        <f>IF($N253="","",INDEX(Staging!$A$2:$A$3001,$N253))</f>
      </c>
      <c r="B253">
        <f>IF($N253="","",INDEX(Staging!$B$2:$B$3001,$N253))</f>
      </c>
      <c r="C253">
        <f>IF($N253="","",INDEX(Staging!$C$2:$C$3001,$N253))</f>
      </c>
      <c r="D253">
        <f>IF($N253="","",INDEX(Staging!$D$2:$D$3001,$N253))</f>
      </c>
      <c r="E253">
        <f>IF($N253="","",INDEX(Staging!$F$2:$F$3001,$N253))</f>
      </c>
      <c r="F253">
        <f>IF($N253="","",INDEX(Staging!$G$2:$G$3001,$N253))</f>
      </c>
      <c r="G253">
        <f>IF($N253="","",INDEX(Staging!$H$2:$H$3001,$N253))</f>
      </c>
      <c r="H253">
        <f>IF($N253="","",INDEX(Staging!$I$2:$I$3001,$N253))</f>
      </c>
      <c r="I253">
        <f>IF($N253="","",INDEX(Staging!$J$2:$J$3001,$N253))</f>
      </c>
      <c r="J253">
        <f>IF($N253="","",INDEX(Staging!$K$2:$K$3001,$N253))</f>
      </c>
      <c r="K253">
        <f>IF($N253="","",INDEX(Staging!$M$2:$M$3001,$N253))</f>
      </c>
      <c r="L253">
        <f>IF($N253="","",INDEX(Staging!$O$2:$O$3001,$N253))</f>
      </c>
      <c r="M253">
        <f>IF($N253="","",INDEX(Staging!$P$2:$P$3001,$N253))</f>
      </c>
      <c r="N253">
        <f t="array" ref="N253">IFERROR(SMALL(IF(Staging!$E$2:$E$3001="MIPPL",ROW(Staging!$E$2:$E$3001)-ROW(Staging!$E$2)+1),252),"")</f>
      </c>
    </row>
    <row r="254" spans="1:14" x14ac:dyDescent="0.25">
      <c r="A254">
        <f>IF($N254="","",INDEX(Staging!$A$2:$A$3001,$N254))</f>
      </c>
      <c r="B254">
        <f>IF($N254="","",INDEX(Staging!$B$2:$B$3001,$N254))</f>
      </c>
      <c r="C254">
        <f>IF($N254="","",INDEX(Staging!$C$2:$C$3001,$N254))</f>
      </c>
      <c r="D254">
        <f>IF($N254="","",INDEX(Staging!$D$2:$D$3001,$N254))</f>
      </c>
      <c r="E254">
        <f>IF($N254="","",INDEX(Staging!$F$2:$F$3001,$N254))</f>
      </c>
      <c r="F254">
        <f>IF($N254="","",INDEX(Staging!$G$2:$G$3001,$N254))</f>
      </c>
      <c r="G254">
        <f>IF($N254="","",INDEX(Staging!$H$2:$H$3001,$N254))</f>
      </c>
      <c r="H254">
        <f>IF($N254="","",INDEX(Staging!$I$2:$I$3001,$N254))</f>
      </c>
      <c r="I254">
        <f>IF($N254="","",INDEX(Staging!$J$2:$J$3001,$N254))</f>
      </c>
      <c r="J254">
        <f>IF($N254="","",INDEX(Staging!$K$2:$K$3001,$N254))</f>
      </c>
      <c r="K254">
        <f>IF($N254="","",INDEX(Staging!$M$2:$M$3001,$N254))</f>
      </c>
      <c r="L254">
        <f>IF($N254="","",INDEX(Staging!$O$2:$O$3001,$N254))</f>
      </c>
      <c r="M254">
        <f>IF($N254="","",INDEX(Staging!$P$2:$P$3001,$N254))</f>
      </c>
      <c r="N254">
        <f t="array" ref="N254">IFERROR(SMALL(IF(Staging!$E$2:$E$3001="MIPPL",ROW(Staging!$E$2:$E$3001)-ROW(Staging!$E$2)+1),253),"")</f>
      </c>
    </row>
    <row r="255" spans="1:14" x14ac:dyDescent="0.25">
      <c r="A255">
        <f>IF($N255="","",INDEX(Staging!$A$2:$A$3001,$N255))</f>
      </c>
      <c r="B255">
        <f>IF($N255="","",INDEX(Staging!$B$2:$B$3001,$N255))</f>
      </c>
      <c r="C255">
        <f>IF($N255="","",INDEX(Staging!$C$2:$C$3001,$N255))</f>
      </c>
      <c r="D255">
        <f>IF($N255="","",INDEX(Staging!$D$2:$D$3001,$N255))</f>
      </c>
      <c r="E255">
        <f>IF($N255="","",INDEX(Staging!$F$2:$F$3001,$N255))</f>
      </c>
      <c r="F255">
        <f>IF($N255="","",INDEX(Staging!$G$2:$G$3001,$N255))</f>
      </c>
      <c r="G255">
        <f>IF($N255="","",INDEX(Staging!$H$2:$H$3001,$N255))</f>
      </c>
      <c r="H255">
        <f>IF($N255="","",INDEX(Staging!$I$2:$I$3001,$N255))</f>
      </c>
      <c r="I255">
        <f>IF($N255="","",INDEX(Staging!$J$2:$J$3001,$N255))</f>
      </c>
      <c r="J255">
        <f>IF($N255="","",INDEX(Staging!$K$2:$K$3001,$N255))</f>
      </c>
      <c r="K255">
        <f>IF($N255="","",INDEX(Staging!$M$2:$M$3001,$N255))</f>
      </c>
      <c r="L255">
        <f>IF($N255="","",INDEX(Staging!$O$2:$O$3001,$N255))</f>
      </c>
      <c r="M255">
        <f>IF($N255="","",INDEX(Staging!$P$2:$P$3001,$N255))</f>
      </c>
      <c r="N255">
        <f t="array" ref="N255">IFERROR(SMALL(IF(Staging!$E$2:$E$3001="MIPPL",ROW(Staging!$E$2:$E$3001)-ROW(Staging!$E$2)+1),254),"")</f>
      </c>
    </row>
    <row r="256" spans="1:14" x14ac:dyDescent="0.25">
      <c r="A256">
        <f>IF($N256="","",INDEX(Staging!$A$2:$A$3001,$N256))</f>
      </c>
      <c r="B256">
        <f>IF($N256="","",INDEX(Staging!$B$2:$B$3001,$N256))</f>
      </c>
      <c r="C256">
        <f>IF($N256="","",INDEX(Staging!$C$2:$C$3001,$N256))</f>
      </c>
      <c r="D256">
        <f>IF($N256="","",INDEX(Staging!$D$2:$D$3001,$N256))</f>
      </c>
      <c r="E256">
        <f>IF($N256="","",INDEX(Staging!$F$2:$F$3001,$N256))</f>
      </c>
      <c r="F256">
        <f>IF($N256="","",INDEX(Staging!$G$2:$G$3001,$N256))</f>
      </c>
      <c r="G256">
        <f>IF($N256="","",INDEX(Staging!$H$2:$H$3001,$N256))</f>
      </c>
      <c r="H256">
        <f>IF($N256="","",INDEX(Staging!$I$2:$I$3001,$N256))</f>
      </c>
      <c r="I256">
        <f>IF($N256="","",INDEX(Staging!$J$2:$J$3001,$N256))</f>
      </c>
      <c r="J256">
        <f>IF($N256="","",INDEX(Staging!$K$2:$K$3001,$N256))</f>
      </c>
      <c r="K256">
        <f>IF($N256="","",INDEX(Staging!$M$2:$M$3001,$N256))</f>
      </c>
      <c r="L256">
        <f>IF($N256="","",INDEX(Staging!$O$2:$O$3001,$N256))</f>
      </c>
      <c r="M256">
        <f>IF($N256="","",INDEX(Staging!$P$2:$P$3001,$N256))</f>
      </c>
      <c r="N256">
        <f t="array" ref="N256">IFERROR(SMALL(IF(Staging!$E$2:$E$3001="MIPPL",ROW(Staging!$E$2:$E$3001)-ROW(Staging!$E$2)+1),255),"")</f>
      </c>
    </row>
    <row r="257" spans="1:14" x14ac:dyDescent="0.25">
      <c r="A257">
        <f>IF($N257="","",INDEX(Staging!$A$2:$A$3001,$N257))</f>
      </c>
      <c r="B257">
        <f>IF($N257="","",INDEX(Staging!$B$2:$B$3001,$N257))</f>
      </c>
      <c r="C257">
        <f>IF($N257="","",INDEX(Staging!$C$2:$C$3001,$N257))</f>
      </c>
      <c r="D257">
        <f>IF($N257="","",INDEX(Staging!$D$2:$D$3001,$N257))</f>
      </c>
      <c r="E257">
        <f>IF($N257="","",INDEX(Staging!$F$2:$F$3001,$N257))</f>
      </c>
      <c r="F257">
        <f>IF($N257="","",INDEX(Staging!$G$2:$G$3001,$N257))</f>
      </c>
      <c r="G257">
        <f>IF($N257="","",INDEX(Staging!$H$2:$H$3001,$N257))</f>
      </c>
      <c r="H257">
        <f>IF($N257="","",INDEX(Staging!$I$2:$I$3001,$N257))</f>
      </c>
      <c r="I257">
        <f>IF($N257="","",INDEX(Staging!$J$2:$J$3001,$N257))</f>
      </c>
      <c r="J257">
        <f>IF($N257="","",INDEX(Staging!$K$2:$K$3001,$N257))</f>
      </c>
      <c r="K257">
        <f>IF($N257="","",INDEX(Staging!$M$2:$M$3001,$N257))</f>
      </c>
      <c r="L257">
        <f>IF($N257="","",INDEX(Staging!$O$2:$O$3001,$N257))</f>
      </c>
      <c r="M257">
        <f>IF($N257="","",INDEX(Staging!$P$2:$P$3001,$N257))</f>
      </c>
      <c r="N257">
        <f t="array" ref="N257">IFERROR(SMALL(IF(Staging!$E$2:$E$3001="MIPPL",ROW(Staging!$E$2:$E$3001)-ROW(Staging!$E$2)+1),256),"")</f>
      </c>
    </row>
    <row r="258" spans="1:14" x14ac:dyDescent="0.25">
      <c r="A258">
        <f>IF($N258="","",INDEX(Staging!$A$2:$A$3001,$N258))</f>
      </c>
      <c r="B258">
        <f>IF($N258="","",INDEX(Staging!$B$2:$B$3001,$N258))</f>
      </c>
      <c r="C258">
        <f>IF($N258="","",INDEX(Staging!$C$2:$C$3001,$N258))</f>
      </c>
      <c r="D258">
        <f>IF($N258="","",INDEX(Staging!$D$2:$D$3001,$N258))</f>
      </c>
      <c r="E258">
        <f>IF($N258="","",INDEX(Staging!$F$2:$F$3001,$N258))</f>
      </c>
      <c r="F258">
        <f>IF($N258="","",INDEX(Staging!$G$2:$G$3001,$N258))</f>
      </c>
      <c r="G258">
        <f>IF($N258="","",INDEX(Staging!$H$2:$H$3001,$N258))</f>
      </c>
      <c r="H258">
        <f>IF($N258="","",INDEX(Staging!$I$2:$I$3001,$N258))</f>
      </c>
      <c r="I258">
        <f>IF($N258="","",INDEX(Staging!$J$2:$J$3001,$N258))</f>
      </c>
      <c r="J258">
        <f>IF($N258="","",INDEX(Staging!$K$2:$K$3001,$N258))</f>
      </c>
      <c r="K258">
        <f>IF($N258="","",INDEX(Staging!$M$2:$M$3001,$N258))</f>
      </c>
      <c r="L258">
        <f>IF($N258="","",INDEX(Staging!$O$2:$O$3001,$N258))</f>
      </c>
      <c r="M258">
        <f>IF($N258="","",INDEX(Staging!$P$2:$P$3001,$N258))</f>
      </c>
      <c r="N258">
        <f t="array" ref="N258">IFERROR(SMALL(IF(Staging!$E$2:$E$3001="MIPPL",ROW(Staging!$E$2:$E$3001)-ROW(Staging!$E$2)+1),257),"")</f>
      </c>
    </row>
    <row r="259" spans="1:14" x14ac:dyDescent="0.25">
      <c r="A259">
        <f>IF($N259="","",INDEX(Staging!$A$2:$A$3001,$N259))</f>
      </c>
      <c r="B259">
        <f>IF($N259="","",INDEX(Staging!$B$2:$B$3001,$N259))</f>
      </c>
      <c r="C259">
        <f>IF($N259="","",INDEX(Staging!$C$2:$C$3001,$N259))</f>
      </c>
      <c r="D259">
        <f>IF($N259="","",INDEX(Staging!$D$2:$D$3001,$N259))</f>
      </c>
      <c r="E259">
        <f>IF($N259="","",INDEX(Staging!$F$2:$F$3001,$N259))</f>
      </c>
      <c r="F259">
        <f>IF($N259="","",INDEX(Staging!$G$2:$G$3001,$N259))</f>
      </c>
      <c r="G259">
        <f>IF($N259="","",INDEX(Staging!$H$2:$H$3001,$N259))</f>
      </c>
      <c r="H259">
        <f>IF($N259="","",INDEX(Staging!$I$2:$I$3001,$N259))</f>
      </c>
      <c r="I259">
        <f>IF($N259="","",INDEX(Staging!$J$2:$J$3001,$N259))</f>
      </c>
      <c r="J259">
        <f>IF($N259="","",INDEX(Staging!$K$2:$K$3001,$N259))</f>
      </c>
      <c r="K259">
        <f>IF($N259="","",INDEX(Staging!$M$2:$M$3001,$N259))</f>
      </c>
      <c r="L259">
        <f>IF($N259="","",INDEX(Staging!$O$2:$O$3001,$N259))</f>
      </c>
      <c r="M259">
        <f>IF($N259="","",INDEX(Staging!$P$2:$P$3001,$N259))</f>
      </c>
      <c r="N259">
        <f t="array" ref="N259">IFERROR(SMALL(IF(Staging!$E$2:$E$3001="MIPPL",ROW(Staging!$E$2:$E$3001)-ROW(Staging!$E$2)+1),258),"")</f>
      </c>
    </row>
    <row r="260" spans="1:14" x14ac:dyDescent="0.25">
      <c r="A260">
        <f>IF($N260="","",INDEX(Staging!$A$2:$A$3001,$N260))</f>
      </c>
      <c r="B260">
        <f>IF($N260="","",INDEX(Staging!$B$2:$B$3001,$N260))</f>
      </c>
      <c r="C260">
        <f>IF($N260="","",INDEX(Staging!$C$2:$C$3001,$N260))</f>
      </c>
      <c r="D260">
        <f>IF($N260="","",INDEX(Staging!$D$2:$D$3001,$N260))</f>
      </c>
      <c r="E260">
        <f>IF($N260="","",INDEX(Staging!$F$2:$F$3001,$N260))</f>
      </c>
      <c r="F260">
        <f>IF($N260="","",INDEX(Staging!$G$2:$G$3001,$N260))</f>
      </c>
      <c r="G260">
        <f>IF($N260="","",INDEX(Staging!$H$2:$H$3001,$N260))</f>
      </c>
      <c r="H260">
        <f>IF($N260="","",INDEX(Staging!$I$2:$I$3001,$N260))</f>
      </c>
      <c r="I260">
        <f>IF($N260="","",INDEX(Staging!$J$2:$J$3001,$N260))</f>
      </c>
      <c r="J260">
        <f>IF($N260="","",INDEX(Staging!$K$2:$K$3001,$N260))</f>
      </c>
      <c r="K260">
        <f>IF($N260="","",INDEX(Staging!$M$2:$M$3001,$N260))</f>
      </c>
      <c r="L260">
        <f>IF($N260="","",INDEX(Staging!$O$2:$O$3001,$N260))</f>
      </c>
      <c r="M260">
        <f>IF($N260="","",INDEX(Staging!$P$2:$P$3001,$N260))</f>
      </c>
      <c r="N260">
        <f t="array" ref="N260">IFERROR(SMALL(IF(Staging!$E$2:$E$3001="MIPPL",ROW(Staging!$E$2:$E$3001)-ROW(Staging!$E$2)+1),259),"")</f>
      </c>
    </row>
    <row r="261" spans="1:14" x14ac:dyDescent="0.25">
      <c r="A261">
        <f>IF($N261="","",INDEX(Staging!$A$2:$A$3001,$N261))</f>
      </c>
      <c r="B261">
        <f>IF($N261="","",INDEX(Staging!$B$2:$B$3001,$N261))</f>
      </c>
      <c r="C261">
        <f>IF($N261="","",INDEX(Staging!$C$2:$C$3001,$N261))</f>
      </c>
      <c r="D261">
        <f>IF($N261="","",INDEX(Staging!$D$2:$D$3001,$N261))</f>
      </c>
      <c r="E261">
        <f>IF($N261="","",INDEX(Staging!$F$2:$F$3001,$N261))</f>
      </c>
      <c r="F261">
        <f>IF($N261="","",INDEX(Staging!$G$2:$G$3001,$N261))</f>
      </c>
      <c r="G261">
        <f>IF($N261="","",INDEX(Staging!$H$2:$H$3001,$N261))</f>
      </c>
      <c r="H261">
        <f>IF($N261="","",INDEX(Staging!$I$2:$I$3001,$N261))</f>
      </c>
      <c r="I261">
        <f>IF($N261="","",INDEX(Staging!$J$2:$J$3001,$N261))</f>
      </c>
      <c r="J261">
        <f>IF($N261="","",INDEX(Staging!$K$2:$K$3001,$N261))</f>
      </c>
      <c r="K261">
        <f>IF($N261="","",INDEX(Staging!$M$2:$M$3001,$N261))</f>
      </c>
      <c r="L261">
        <f>IF($N261="","",INDEX(Staging!$O$2:$O$3001,$N261))</f>
      </c>
      <c r="M261">
        <f>IF($N261="","",INDEX(Staging!$P$2:$P$3001,$N261))</f>
      </c>
      <c r="N261">
        <f t="array" ref="N261">IFERROR(SMALL(IF(Staging!$E$2:$E$3001="MIPPL",ROW(Staging!$E$2:$E$3001)-ROW(Staging!$E$2)+1),260),"")</f>
      </c>
    </row>
    <row r="262" spans="1:14" x14ac:dyDescent="0.25">
      <c r="A262">
        <f>IF($N262="","",INDEX(Staging!$A$2:$A$3001,$N262))</f>
      </c>
      <c r="B262">
        <f>IF($N262="","",INDEX(Staging!$B$2:$B$3001,$N262))</f>
      </c>
      <c r="C262">
        <f>IF($N262="","",INDEX(Staging!$C$2:$C$3001,$N262))</f>
      </c>
      <c r="D262">
        <f>IF($N262="","",INDEX(Staging!$D$2:$D$3001,$N262))</f>
      </c>
      <c r="E262">
        <f>IF($N262="","",INDEX(Staging!$F$2:$F$3001,$N262))</f>
      </c>
      <c r="F262">
        <f>IF($N262="","",INDEX(Staging!$G$2:$G$3001,$N262))</f>
      </c>
      <c r="G262">
        <f>IF($N262="","",INDEX(Staging!$H$2:$H$3001,$N262))</f>
      </c>
      <c r="H262">
        <f>IF($N262="","",INDEX(Staging!$I$2:$I$3001,$N262))</f>
      </c>
      <c r="I262">
        <f>IF($N262="","",INDEX(Staging!$J$2:$J$3001,$N262))</f>
      </c>
      <c r="J262">
        <f>IF($N262="","",INDEX(Staging!$K$2:$K$3001,$N262))</f>
      </c>
      <c r="K262">
        <f>IF($N262="","",INDEX(Staging!$M$2:$M$3001,$N262))</f>
      </c>
      <c r="L262">
        <f>IF($N262="","",INDEX(Staging!$O$2:$O$3001,$N262))</f>
      </c>
      <c r="M262">
        <f>IF($N262="","",INDEX(Staging!$P$2:$P$3001,$N262))</f>
      </c>
      <c r="N262">
        <f t="array" ref="N262">IFERROR(SMALL(IF(Staging!$E$2:$E$3001="MIPPL",ROW(Staging!$E$2:$E$3001)-ROW(Staging!$E$2)+1),261),"")</f>
      </c>
    </row>
    <row r="263" spans="1:14" x14ac:dyDescent="0.25">
      <c r="A263">
        <f>IF($N263="","",INDEX(Staging!$A$2:$A$3001,$N263))</f>
      </c>
      <c r="B263">
        <f>IF($N263="","",INDEX(Staging!$B$2:$B$3001,$N263))</f>
      </c>
      <c r="C263">
        <f>IF($N263="","",INDEX(Staging!$C$2:$C$3001,$N263))</f>
      </c>
      <c r="D263">
        <f>IF($N263="","",INDEX(Staging!$D$2:$D$3001,$N263))</f>
      </c>
      <c r="E263">
        <f>IF($N263="","",INDEX(Staging!$F$2:$F$3001,$N263))</f>
      </c>
      <c r="F263">
        <f>IF($N263="","",INDEX(Staging!$G$2:$G$3001,$N263))</f>
      </c>
      <c r="G263">
        <f>IF($N263="","",INDEX(Staging!$H$2:$H$3001,$N263))</f>
      </c>
      <c r="H263">
        <f>IF($N263="","",INDEX(Staging!$I$2:$I$3001,$N263))</f>
      </c>
      <c r="I263">
        <f>IF($N263="","",INDEX(Staging!$J$2:$J$3001,$N263))</f>
      </c>
      <c r="J263">
        <f>IF($N263="","",INDEX(Staging!$K$2:$K$3001,$N263))</f>
      </c>
      <c r="K263">
        <f>IF($N263="","",INDEX(Staging!$M$2:$M$3001,$N263))</f>
      </c>
      <c r="L263">
        <f>IF($N263="","",INDEX(Staging!$O$2:$O$3001,$N263))</f>
      </c>
      <c r="M263">
        <f>IF($N263="","",INDEX(Staging!$P$2:$P$3001,$N263))</f>
      </c>
      <c r="N263">
        <f t="array" ref="N263">IFERROR(SMALL(IF(Staging!$E$2:$E$3001="MIPPL",ROW(Staging!$E$2:$E$3001)-ROW(Staging!$E$2)+1),262),"")</f>
      </c>
    </row>
    <row r="264" spans="1:14" x14ac:dyDescent="0.25">
      <c r="A264">
        <f>IF($N264="","",INDEX(Staging!$A$2:$A$3001,$N264))</f>
      </c>
      <c r="B264">
        <f>IF($N264="","",INDEX(Staging!$B$2:$B$3001,$N264))</f>
      </c>
      <c r="C264">
        <f>IF($N264="","",INDEX(Staging!$C$2:$C$3001,$N264))</f>
      </c>
      <c r="D264">
        <f>IF($N264="","",INDEX(Staging!$D$2:$D$3001,$N264))</f>
      </c>
      <c r="E264">
        <f>IF($N264="","",INDEX(Staging!$F$2:$F$3001,$N264))</f>
      </c>
      <c r="F264">
        <f>IF($N264="","",INDEX(Staging!$G$2:$G$3001,$N264))</f>
      </c>
      <c r="G264">
        <f>IF($N264="","",INDEX(Staging!$H$2:$H$3001,$N264))</f>
      </c>
      <c r="H264">
        <f>IF($N264="","",INDEX(Staging!$I$2:$I$3001,$N264))</f>
      </c>
      <c r="I264">
        <f>IF($N264="","",INDEX(Staging!$J$2:$J$3001,$N264))</f>
      </c>
      <c r="J264">
        <f>IF($N264="","",INDEX(Staging!$K$2:$K$3001,$N264))</f>
      </c>
      <c r="K264">
        <f>IF($N264="","",INDEX(Staging!$M$2:$M$3001,$N264))</f>
      </c>
      <c r="L264">
        <f>IF($N264="","",INDEX(Staging!$O$2:$O$3001,$N264))</f>
      </c>
      <c r="M264">
        <f>IF($N264="","",INDEX(Staging!$P$2:$P$3001,$N264))</f>
      </c>
      <c r="N264">
        <f t="array" ref="N264">IFERROR(SMALL(IF(Staging!$E$2:$E$3001="MIPPL",ROW(Staging!$E$2:$E$3001)-ROW(Staging!$E$2)+1),263),"")</f>
      </c>
    </row>
    <row r="265" spans="1:14" x14ac:dyDescent="0.25">
      <c r="A265">
        <f>IF($N265="","",INDEX(Staging!$A$2:$A$3001,$N265))</f>
      </c>
      <c r="B265">
        <f>IF($N265="","",INDEX(Staging!$B$2:$B$3001,$N265))</f>
      </c>
      <c r="C265">
        <f>IF($N265="","",INDEX(Staging!$C$2:$C$3001,$N265))</f>
      </c>
      <c r="D265">
        <f>IF($N265="","",INDEX(Staging!$D$2:$D$3001,$N265))</f>
      </c>
      <c r="E265">
        <f>IF($N265="","",INDEX(Staging!$F$2:$F$3001,$N265))</f>
      </c>
      <c r="F265">
        <f>IF($N265="","",INDEX(Staging!$G$2:$G$3001,$N265))</f>
      </c>
      <c r="G265">
        <f>IF($N265="","",INDEX(Staging!$H$2:$H$3001,$N265))</f>
      </c>
      <c r="H265">
        <f>IF($N265="","",INDEX(Staging!$I$2:$I$3001,$N265))</f>
      </c>
      <c r="I265">
        <f>IF($N265="","",INDEX(Staging!$J$2:$J$3001,$N265))</f>
      </c>
      <c r="J265">
        <f>IF($N265="","",INDEX(Staging!$K$2:$K$3001,$N265))</f>
      </c>
      <c r="K265">
        <f>IF($N265="","",INDEX(Staging!$M$2:$M$3001,$N265))</f>
      </c>
      <c r="L265">
        <f>IF($N265="","",INDEX(Staging!$O$2:$O$3001,$N265))</f>
      </c>
      <c r="M265">
        <f>IF($N265="","",INDEX(Staging!$P$2:$P$3001,$N265))</f>
      </c>
      <c r="N265">
        <f t="array" ref="N265">IFERROR(SMALL(IF(Staging!$E$2:$E$3001="MIPPL",ROW(Staging!$E$2:$E$3001)-ROW(Staging!$E$2)+1),264),"")</f>
      </c>
    </row>
    <row r="266" spans="1:14" x14ac:dyDescent="0.25">
      <c r="A266">
        <f>IF($N266="","",INDEX(Staging!$A$2:$A$3001,$N266))</f>
      </c>
      <c r="B266">
        <f>IF($N266="","",INDEX(Staging!$B$2:$B$3001,$N266))</f>
      </c>
      <c r="C266">
        <f>IF($N266="","",INDEX(Staging!$C$2:$C$3001,$N266))</f>
      </c>
      <c r="D266">
        <f>IF($N266="","",INDEX(Staging!$D$2:$D$3001,$N266))</f>
      </c>
      <c r="E266">
        <f>IF($N266="","",INDEX(Staging!$F$2:$F$3001,$N266))</f>
      </c>
      <c r="F266">
        <f>IF($N266="","",INDEX(Staging!$G$2:$G$3001,$N266))</f>
      </c>
      <c r="G266">
        <f>IF($N266="","",INDEX(Staging!$H$2:$H$3001,$N266))</f>
      </c>
      <c r="H266">
        <f>IF($N266="","",INDEX(Staging!$I$2:$I$3001,$N266))</f>
      </c>
      <c r="I266">
        <f>IF($N266="","",INDEX(Staging!$J$2:$J$3001,$N266))</f>
      </c>
      <c r="J266">
        <f>IF($N266="","",INDEX(Staging!$K$2:$K$3001,$N266))</f>
      </c>
      <c r="K266">
        <f>IF($N266="","",INDEX(Staging!$M$2:$M$3001,$N266))</f>
      </c>
      <c r="L266">
        <f>IF($N266="","",INDEX(Staging!$O$2:$O$3001,$N266))</f>
      </c>
      <c r="M266">
        <f>IF($N266="","",INDEX(Staging!$P$2:$P$3001,$N266))</f>
      </c>
      <c r="N266">
        <f t="array" ref="N266">IFERROR(SMALL(IF(Staging!$E$2:$E$3001="MIPPL",ROW(Staging!$E$2:$E$3001)-ROW(Staging!$E$2)+1),265),"")</f>
      </c>
    </row>
    <row r="267" spans="1:14" x14ac:dyDescent="0.25">
      <c r="A267">
        <f>IF($N267="","",INDEX(Staging!$A$2:$A$3001,$N267))</f>
      </c>
      <c r="B267">
        <f>IF($N267="","",INDEX(Staging!$B$2:$B$3001,$N267))</f>
      </c>
      <c r="C267">
        <f>IF($N267="","",INDEX(Staging!$C$2:$C$3001,$N267))</f>
      </c>
      <c r="D267">
        <f>IF($N267="","",INDEX(Staging!$D$2:$D$3001,$N267))</f>
      </c>
      <c r="E267">
        <f>IF($N267="","",INDEX(Staging!$F$2:$F$3001,$N267))</f>
      </c>
      <c r="F267">
        <f>IF($N267="","",INDEX(Staging!$G$2:$G$3001,$N267))</f>
      </c>
      <c r="G267">
        <f>IF($N267="","",INDEX(Staging!$H$2:$H$3001,$N267))</f>
      </c>
      <c r="H267">
        <f>IF($N267="","",INDEX(Staging!$I$2:$I$3001,$N267))</f>
      </c>
      <c r="I267">
        <f>IF($N267="","",INDEX(Staging!$J$2:$J$3001,$N267))</f>
      </c>
      <c r="J267">
        <f>IF($N267="","",INDEX(Staging!$K$2:$K$3001,$N267))</f>
      </c>
      <c r="K267">
        <f>IF($N267="","",INDEX(Staging!$M$2:$M$3001,$N267))</f>
      </c>
      <c r="L267">
        <f>IF($N267="","",INDEX(Staging!$O$2:$O$3001,$N267))</f>
      </c>
      <c r="M267">
        <f>IF($N267="","",INDEX(Staging!$P$2:$P$3001,$N267))</f>
      </c>
      <c r="N267">
        <f t="array" ref="N267">IFERROR(SMALL(IF(Staging!$E$2:$E$3001="MIPPL",ROW(Staging!$E$2:$E$3001)-ROW(Staging!$E$2)+1),266),"")</f>
      </c>
    </row>
    <row r="268" spans="1:14" x14ac:dyDescent="0.25">
      <c r="A268">
        <f>IF($N268="","",INDEX(Staging!$A$2:$A$3001,$N268))</f>
      </c>
      <c r="B268">
        <f>IF($N268="","",INDEX(Staging!$B$2:$B$3001,$N268))</f>
      </c>
      <c r="C268">
        <f>IF($N268="","",INDEX(Staging!$C$2:$C$3001,$N268))</f>
      </c>
      <c r="D268">
        <f>IF($N268="","",INDEX(Staging!$D$2:$D$3001,$N268))</f>
      </c>
      <c r="E268">
        <f>IF($N268="","",INDEX(Staging!$F$2:$F$3001,$N268))</f>
      </c>
      <c r="F268">
        <f>IF($N268="","",INDEX(Staging!$G$2:$G$3001,$N268))</f>
      </c>
      <c r="G268">
        <f>IF($N268="","",INDEX(Staging!$H$2:$H$3001,$N268))</f>
      </c>
      <c r="H268">
        <f>IF($N268="","",INDEX(Staging!$I$2:$I$3001,$N268))</f>
      </c>
      <c r="I268">
        <f>IF($N268="","",INDEX(Staging!$J$2:$J$3001,$N268))</f>
      </c>
      <c r="J268">
        <f>IF($N268="","",INDEX(Staging!$K$2:$K$3001,$N268))</f>
      </c>
      <c r="K268">
        <f>IF($N268="","",INDEX(Staging!$M$2:$M$3001,$N268))</f>
      </c>
      <c r="L268">
        <f>IF($N268="","",INDEX(Staging!$O$2:$O$3001,$N268))</f>
      </c>
      <c r="M268">
        <f>IF($N268="","",INDEX(Staging!$P$2:$P$3001,$N268))</f>
      </c>
      <c r="N268">
        <f t="array" ref="N268">IFERROR(SMALL(IF(Staging!$E$2:$E$3001="MIPPL",ROW(Staging!$E$2:$E$3001)-ROW(Staging!$E$2)+1),267),"")</f>
      </c>
    </row>
    <row r="269" spans="1:14" x14ac:dyDescent="0.25">
      <c r="A269">
        <f>IF($N269="","",INDEX(Staging!$A$2:$A$3001,$N269))</f>
      </c>
      <c r="B269">
        <f>IF($N269="","",INDEX(Staging!$B$2:$B$3001,$N269))</f>
      </c>
      <c r="C269">
        <f>IF($N269="","",INDEX(Staging!$C$2:$C$3001,$N269))</f>
      </c>
      <c r="D269">
        <f>IF($N269="","",INDEX(Staging!$D$2:$D$3001,$N269))</f>
      </c>
      <c r="E269">
        <f>IF($N269="","",INDEX(Staging!$F$2:$F$3001,$N269))</f>
      </c>
      <c r="F269">
        <f>IF($N269="","",INDEX(Staging!$G$2:$G$3001,$N269))</f>
      </c>
      <c r="G269">
        <f>IF($N269="","",INDEX(Staging!$H$2:$H$3001,$N269))</f>
      </c>
      <c r="H269">
        <f>IF($N269="","",INDEX(Staging!$I$2:$I$3001,$N269))</f>
      </c>
      <c r="I269">
        <f>IF($N269="","",INDEX(Staging!$J$2:$J$3001,$N269))</f>
      </c>
      <c r="J269">
        <f>IF($N269="","",INDEX(Staging!$K$2:$K$3001,$N269))</f>
      </c>
      <c r="K269">
        <f>IF($N269="","",INDEX(Staging!$M$2:$M$3001,$N269))</f>
      </c>
      <c r="L269">
        <f>IF($N269="","",INDEX(Staging!$O$2:$O$3001,$N269))</f>
      </c>
      <c r="M269">
        <f>IF($N269="","",INDEX(Staging!$P$2:$P$3001,$N269))</f>
      </c>
      <c r="N269">
        <f t="array" ref="N269">IFERROR(SMALL(IF(Staging!$E$2:$E$3001="MIPPL",ROW(Staging!$E$2:$E$3001)-ROW(Staging!$E$2)+1),268),"")</f>
      </c>
    </row>
    <row r="270" spans="1:14" x14ac:dyDescent="0.25">
      <c r="A270">
        <f>IF($N270="","",INDEX(Staging!$A$2:$A$3001,$N270))</f>
      </c>
      <c r="B270">
        <f>IF($N270="","",INDEX(Staging!$B$2:$B$3001,$N270))</f>
      </c>
      <c r="C270">
        <f>IF($N270="","",INDEX(Staging!$C$2:$C$3001,$N270))</f>
      </c>
      <c r="D270">
        <f>IF($N270="","",INDEX(Staging!$D$2:$D$3001,$N270))</f>
      </c>
      <c r="E270">
        <f>IF($N270="","",INDEX(Staging!$F$2:$F$3001,$N270))</f>
      </c>
      <c r="F270">
        <f>IF($N270="","",INDEX(Staging!$G$2:$G$3001,$N270))</f>
      </c>
      <c r="G270">
        <f>IF($N270="","",INDEX(Staging!$H$2:$H$3001,$N270))</f>
      </c>
      <c r="H270">
        <f>IF($N270="","",INDEX(Staging!$I$2:$I$3001,$N270))</f>
      </c>
      <c r="I270">
        <f>IF($N270="","",INDEX(Staging!$J$2:$J$3001,$N270))</f>
      </c>
      <c r="J270">
        <f>IF($N270="","",INDEX(Staging!$K$2:$K$3001,$N270))</f>
      </c>
      <c r="K270">
        <f>IF($N270="","",INDEX(Staging!$M$2:$M$3001,$N270))</f>
      </c>
      <c r="L270">
        <f>IF($N270="","",INDEX(Staging!$O$2:$O$3001,$N270))</f>
      </c>
      <c r="M270">
        <f>IF($N270="","",INDEX(Staging!$P$2:$P$3001,$N270))</f>
      </c>
      <c r="N270">
        <f t="array" ref="N270">IFERROR(SMALL(IF(Staging!$E$2:$E$3001="MIPPL",ROW(Staging!$E$2:$E$3001)-ROW(Staging!$E$2)+1),269),"")</f>
      </c>
    </row>
    <row r="271" spans="1:14" x14ac:dyDescent="0.25">
      <c r="A271">
        <f>IF($N271="","",INDEX(Staging!$A$2:$A$3001,$N271))</f>
      </c>
      <c r="B271">
        <f>IF($N271="","",INDEX(Staging!$B$2:$B$3001,$N271))</f>
      </c>
      <c r="C271">
        <f>IF($N271="","",INDEX(Staging!$C$2:$C$3001,$N271))</f>
      </c>
      <c r="D271">
        <f>IF($N271="","",INDEX(Staging!$D$2:$D$3001,$N271))</f>
      </c>
      <c r="E271">
        <f>IF($N271="","",INDEX(Staging!$F$2:$F$3001,$N271))</f>
      </c>
      <c r="F271">
        <f>IF($N271="","",INDEX(Staging!$G$2:$G$3001,$N271))</f>
      </c>
      <c r="G271">
        <f>IF($N271="","",INDEX(Staging!$H$2:$H$3001,$N271))</f>
      </c>
      <c r="H271">
        <f>IF($N271="","",INDEX(Staging!$I$2:$I$3001,$N271))</f>
      </c>
      <c r="I271">
        <f>IF($N271="","",INDEX(Staging!$J$2:$J$3001,$N271))</f>
      </c>
      <c r="J271">
        <f>IF($N271="","",INDEX(Staging!$K$2:$K$3001,$N271))</f>
      </c>
      <c r="K271">
        <f>IF($N271="","",INDEX(Staging!$M$2:$M$3001,$N271))</f>
      </c>
      <c r="L271">
        <f>IF($N271="","",INDEX(Staging!$O$2:$O$3001,$N271))</f>
      </c>
      <c r="M271">
        <f>IF($N271="","",INDEX(Staging!$P$2:$P$3001,$N271))</f>
      </c>
      <c r="N271">
        <f t="array" ref="N271">IFERROR(SMALL(IF(Staging!$E$2:$E$3001="MIPPL",ROW(Staging!$E$2:$E$3001)-ROW(Staging!$E$2)+1),270),"")</f>
      </c>
    </row>
    <row r="272" spans="1:14" x14ac:dyDescent="0.25">
      <c r="A272">
        <f>IF($N272="","",INDEX(Staging!$A$2:$A$3001,$N272))</f>
      </c>
      <c r="B272">
        <f>IF($N272="","",INDEX(Staging!$B$2:$B$3001,$N272))</f>
      </c>
      <c r="C272">
        <f>IF($N272="","",INDEX(Staging!$C$2:$C$3001,$N272))</f>
      </c>
      <c r="D272">
        <f>IF($N272="","",INDEX(Staging!$D$2:$D$3001,$N272))</f>
      </c>
      <c r="E272">
        <f>IF($N272="","",INDEX(Staging!$F$2:$F$3001,$N272))</f>
      </c>
      <c r="F272">
        <f>IF($N272="","",INDEX(Staging!$G$2:$G$3001,$N272))</f>
      </c>
      <c r="G272">
        <f>IF($N272="","",INDEX(Staging!$H$2:$H$3001,$N272))</f>
      </c>
      <c r="H272">
        <f>IF($N272="","",INDEX(Staging!$I$2:$I$3001,$N272))</f>
      </c>
      <c r="I272">
        <f>IF($N272="","",INDEX(Staging!$J$2:$J$3001,$N272))</f>
      </c>
      <c r="J272">
        <f>IF($N272="","",INDEX(Staging!$K$2:$K$3001,$N272))</f>
      </c>
      <c r="K272">
        <f>IF($N272="","",INDEX(Staging!$M$2:$M$3001,$N272))</f>
      </c>
      <c r="L272">
        <f>IF($N272="","",INDEX(Staging!$O$2:$O$3001,$N272))</f>
      </c>
      <c r="M272">
        <f>IF($N272="","",INDEX(Staging!$P$2:$P$3001,$N272))</f>
      </c>
      <c r="N272">
        <f t="array" ref="N272">IFERROR(SMALL(IF(Staging!$E$2:$E$3001="MIPPL",ROW(Staging!$E$2:$E$3001)-ROW(Staging!$E$2)+1),271),"")</f>
      </c>
    </row>
    <row r="273" spans="1:14" x14ac:dyDescent="0.25">
      <c r="A273">
        <f>IF($N273="","",INDEX(Staging!$A$2:$A$3001,$N273))</f>
      </c>
      <c r="B273">
        <f>IF($N273="","",INDEX(Staging!$B$2:$B$3001,$N273))</f>
      </c>
      <c r="C273">
        <f>IF($N273="","",INDEX(Staging!$C$2:$C$3001,$N273))</f>
      </c>
      <c r="D273">
        <f>IF($N273="","",INDEX(Staging!$D$2:$D$3001,$N273))</f>
      </c>
      <c r="E273">
        <f>IF($N273="","",INDEX(Staging!$F$2:$F$3001,$N273))</f>
      </c>
      <c r="F273">
        <f>IF($N273="","",INDEX(Staging!$G$2:$G$3001,$N273))</f>
      </c>
      <c r="G273">
        <f>IF($N273="","",INDEX(Staging!$H$2:$H$3001,$N273))</f>
      </c>
      <c r="H273">
        <f>IF($N273="","",INDEX(Staging!$I$2:$I$3001,$N273))</f>
      </c>
      <c r="I273">
        <f>IF($N273="","",INDEX(Staging!$J$2:$J$3001,$N273))</f>
      </c>
      <c r="J273">
        <f>IF($N273="","",INDEX(Staging!$K$2:$K$3001,$N273))</f>
      </c>
      <c r="K273">
        <f>IF($N273="","",INDEX(Staging!$M$2:$M$3001,$N273))</f>
      </c>
      <c r="L273">
        <f>IF($N273="","",INDEX(Staging!$O$2:$O$3001,$N273))</f>
      </c>
      <c r="M273">
        <f>IF($N273="","",INDEX(Staging!$P$2:$P$3001,$N273))</f>
      </c>
      <c r="N273">
        <f t="array" ref="N273">IFERROR(SMALL(IF(Staging!$E$2:$E$3001="MIPPL",ROW(Staging!$E$2:$E$3001)-ROW(Staging!$E$2)+1),272),"")</f>
      </c>
    </row>
    <row r="274" spans="1:14" x14ac:dyDescent="0.25">
      <c r="A274">
        <f>IF($N274="","",INDEX(Staging!$A$2:$A$3001,$N274))</f>
      </c>
      <c r="B274">
        <f>IF($N274="","",INDEX(Staging!$B$2:$B$3001,$N274))</f>
      </c>
      <c r="C274">
        <f>IF($N274="","",INDEX(Staging!$C$2:$C$3001,$N274))</f>
      </c>
      <c r="D274">
        <f>IF($N274="","",INDEX(Staging!$D$2:$D$3001,$N274))</f>
      </c>
      <c r="E274">
        <f>IF($N274="","",INDEX(Staging!$F$2:$F$3001,$N274))</f>
      </c>
      <c r="F274">
        <f>IF($N274="","",INDEX(Staging!$G$2:$G$3001,$N274))</f>
      </c>
      <c r="G274">
        <f>IF($N274="","",INDEX(Staging!$H$2:$H$3001,$N274))</f>
      </c>
      <c r="H274">
        <f>IF($N274="","",INDEX(Staging!$I$2:$I$3001,$N274))</f>
      </c>
      <c r="I274">
        <f>IF($N274="","",INDEX(Staging!$J$2:$J$3001,$N274))</f>
      </c>
      <c r="J274">
        <f>IF($N274="","",INDEX(Staging!$K$2:$K$3001,$N274))</f>
      </c>
      <c r="K274">
        <f>IF($N274="","",INDEX(Staging!$M$2:$M$3001,$N274))</f>
      </c>
      <c r="L274">
        <f>IF($N274="","",INDEX(Staging!$O$2:$O$3001,$N274))</f>
      </c>
      <c r="M274">
        <f>IF($N274="","",INDEX(Staging!$P$2:$P$3001,$N274))</f>
      </c>
      <c r="N274">
        <f t="array" ref="N274">IFERROR(SMALL(IF(Staging!$E$2:$E$3001="MIPPL",ROW(Staging!$E$2:$E$3001)-ROW(Staging!$E$2)+1),273),"")</f>
      </c>
    </row>
    <row r="275" spans="1:14" x14ac:dyDescent="0.25">
      <c r="A275">
        <f>IF($N275="","",INDEX(Staging!$A$2:$A$3001,$N275))</f>
      </c>
      <c r="B275">
        <f>IF($N275="","",INDEX(Staging!$B$2:$B$3001,$N275))</f>
      </c>
      <c r="C275">
        <f>IF($N275="","",INDEX(Staging!$C$2:$C$3001,$N275))</f>
      </c>
      <c r="D275">
        <f>IF($N275="","",INDEX(Staging!$D$2:$D$3001,$N275))</f>
      </c>
      <c r="E275">
        <f>IF($N275="","",INDEX(Staging!$F$2:$F$3001,$N275))</f>
      </c>
      <c r="F275">
        <f>IF($N275="","",INDEX(Staging!$G$2:$G$3001,$N275))</f>
      </c>
      <c r="G275">
        <f>IF($N275="","",INDEX(Staging!$H$2:$H$3001,$N275))</f>
      </c>
      <c r="H275">
        <f>IF($N275="","",INDEX(Staging!$I$2:$I$3001,$N275))</f>
      </c>
      <c r="I275">
        <f>IF($N275="","",INDEX(Staging!$J$2:$J$3001,$N275))</f>
      </c>
      <c r="J275">
        <f>IF($N275="","",INDEX(Staging!$K$2:$K$3001,$N275))</f>
      </c>
      <c r="K275">
        <f>IF($N275="","",INDEX(Staging!$M$2:$M$3001,$N275))</f>
      </c>
      <c r="L275">
        <f>IF($N275="","",INDEX(Staging!$O$2:$O$3001,$N275))</f>
      </c>
      <c r="M275">
        <f>IF($N275="","",INDEX(Staging!$P$2:$P$3001,$N275))</f>
      </c>
      <c r="N275">
        <f t="array" ref="N275">IFERROR(SMALL(IF(Staging!$E$2:$E$3001="MIPPL",ROW(Staging!$E$2:$E$3001)-ROW(Staging!$E$2)+1),274),"")</f>
      </c>
    </row>
    <row r="276" spans="1:14" x14ac:dyDescent="0.25">
      <c r="A276">
        <f>IF($N276="","",INDEX(Staging!$A$2:$A$3001,$N276))</f>
      </c>
      <c r="B276">
        <f>IF($N276="","",INDEX(Staging!$B$2:$B$3001,$N276))</f>
      </c>
      <c r="C276">
        <f>IF($N276="","",INDEX(Staging!$C$2:$C$3001,$N276))</f>
      </c>
      <c r="D276">
        <f>IF($N276="","",INDEX(Staging!$D$2:$D$3001,$N276))</f>
      </c>
      <c r="E276">
        <f>IF($N276="","",INDEX(Staging!$F$2:$F$3001,$N276))</f>
      </c>
      <c r="F276">
        <f>IF($N276="","",INDEX(Staging!$G$2:$G$3001,$N276))</f>
      </c>
      <c r="G276">
        <f>IF($N276="","",INDEX(Staging!$H$2:$H$3001,$N276))</f>
      </c>
      <c r="H276">
        <f>IF($N276="","",INDEX(Staging!$I$2:$I$3001,$N276))</f>
      </c>
      <c r="I276">
        <f>IF($N276="","",INDEX(Staging!$J$2:$J$3001,$N276))</f>
      </c>
      <c r="J276">
        <f>IF($N276="","",INDEX(Staging!$K$2:$K$3001,$N276))</f>
      </c>
      <c r="K276">
        <f>IF($N276="","",INDEX(Staging!$M$2:$M$3001,$N276))</f>
      </c>
      <c r="L276">
        <f>IF($N276="","",INDEX(Staging!$O$2:$O$3001,$N276))</f>
      </c>
      <c r="M276">
        <f>IF($N276="","",INDEX(Staging!$P$2:$P$3001,$N276))</f>
      </c>
      <c r="N276">
        <f t="array" ref="N276">IFERROR(SMALL(IF(Staging!$E$2:$E$3001="MIPPL",ROW(Staging!$E$2:$E$3001)-ROW(Staging!$E$2)+1),275),"")</f>
      </c>
    </row>
    <row r="277" spans="1:14" x14ac:dyDescent="0.25">
      <c r="A277">
        <f>IF($N277="","",INDEX(Staging!$A$2:$A$3001,$N277))</f>
      </c>
      <c r="B277">
        <f>IF($N277="","",INDEX(Staging!$B$2:$B$3001,$N277))</f>
      </c>
      <c r="C277">
        <f>IF($N277="","",INDEX(Staging!$C$2:$C$3001,$N277))</f>
      </c>
      <c r="D277">
        <f>IF($N277="","",INDEX(Staging!$D$2:$D$3001,$N277))</f>
      </c>
      <c r="E277">
        <f>IF($N277="","",INDEX(Staging!$F$2:$F$3001,$N277))</f>
      </c>
      <c r="F277">
        <f>IF($N277="","",INDEX(Staging!$G$2:$G$3001,$N277))</f>
      </c>
      <c r="G277">
        <f>IF($N277="","",INDEX(Staging!$H$2:$H$3001,$N277))</f>
      </c>
      <c r="H277">
        <f>IF($N277="","",INDEX(Staging!$I$2:$I$3001,$N277))</f>
      </c>
      <c r="I277">
        <f>IF($N277="","",INDEX(Staging!$J$2:$J$3001,$N277))</f>
      </c>
      <c r="J277">
        <f>IF($N277="","",INDEX(Staging!$K$2:$K$3001,$N277))</f>
      </c>
      <c r="K277">
        <f>IF($N277="","",INDEX(Staging!$M$2:$M$3001,$N277))</f>
      </c>
      <c r="L277">
        <f>IF($N277="","",INDEX(Staging!$O$2:$O$3001,$N277))</f>
      </c>
      <c r="M277">
        <f>IF($N277="","",INDEX(Staging!$P$2:$P$3001,$N277))</f>
      </c>
      <c r="N277">
        <f t="array" ref="N277">IFERROR(SMALL(IF(Staging!$E$2:$E$3001="MIPPL",ROW(Staging!$E$2:$E$3001)-ROW(Staging!$E$2)+1),276),"")</f>
      </c>
    </row>
    <row r="278" spans="1:14" x14ac:dyDescent="0.25">
      <c r="A278">
        <f>IF($N278="","",INDEX(Staging!$A$2:$A$3001,$N278))</f>
      </c>
      <c r="B278">
        <f>IF($N278="","",INDEX(Staging!$B$2:$B$3001,$N278))</f>
      </c>
      <c r="C278">
        <f>IF($N278="","",INDEX(Staging!$C$2:$C$3001,$N278))</f>
      </c>
      <c r="D278">
        <f>IF($N278="","",INDEX(Staging!$D$2:$D$3001,$N278))</f>
      </c>
      <c r="E278">
        <f>IF($N278="","",INDEX(Staging!$F$2:$F$3001,$N278))</f>
      </c>
      <c r="F278">
        <f>IF($N278="","",INDEX(Staging!$G$2:$G$3001,$N278))</f>
      </c>
      <c r="G278">
        <f>IF($N278="","",INDEX(Staging!$H$2:$H$3001,$N278))</f>
      </c>
      <c r="H278">
        <f>IF($N278="","",INDEX(Staging!$I$2:$I$3001,$N278))</f>
      </c>
      <c r="I278">
        <f>IF($N278="","",INDEX(Staging!$J$2:$J$3001,$N278))</f>
      </c>
      <c r="J278">
        <f>IF($N278="","",INDEX(Staging!$K$2:$K$3001,$N278))</f>
      </c>
      <c r="K278">
        <f>IF($N278="","",INDEX(Staging!$M$2:$M$3001,$N278))</f>
      </c>
      <c r="L278">
        <f>IF($N278="","",INDEX(Staging!$O$2:$O$3001,$N278))</f>
      </c>
      <c r="M278">
        <f>IF($N278="","",INDEX(Staging!$P$2:$P$3001,$N278))</f>
      </c>
      <c r="N278">
        <f t="array" ref="N278">IFERROR(SMALL(IF(Staging!$E$2:$E$3001="MIPPL",ROW(Staging!$E$2:$E$3001)-ROW(Staging!$E$2)+1),277),"")</f>
      </c>
    </row>
    <row r="279" spans="1:14" x14ac:dyDescent="0.25">
      <c r="A279">
        <f>IF($N279="","",INDEX(Staging!$A$2:$A$3001,$N279))</f>
      </c>
      <c r="B279">
        <f>IF($N279="","",INDEX(Staging!$B$2:$B$3001,$N279))</f>
      </c>
      <c r="C279">
        <f>IF($N279="","",INDEX(Staging!$C$2:$C$3001,$N279))</f>
      </c>
      <c r="D279">
        <f>IF($N279="","",INDEX(Staging!$D$2:$D$3001,$N279))</f>
      </c>
      <c r="E279">
        <f>IF($N279="","",INDEX(Staging!$F$2:$F$3001,$N279))</f>
      </c>
      <c r="F279">
        <f>IF($N279="","",INDEX(Staging!$G$2:$G$3001,$N279))</f>
      </c>
      <c r="G279">
        <f>IF($N279="","",INDEX(Staging!$H$2:$H$3001,$N279))</f>
      </c>
      <c r="H279">
        <f>IF($N279="","",INDEX(Staging!$I$2:$I$3001,$N279))</f>
      </c>
      <c r="I279">
        <f>IF($N279="","",INDEX(Staging!$J$2:$J$3001,$N279))</f>
      </c>
      <c r="J279">
        <f>IF($N279="","",INDEX(Staging!$K$2:$K$3001,$N279))</f>
      </c>
      <c r="K279">
        <f>IF($N279="","",INDEX(Staging!$M$2:$M$3001,$N279))</f>
      </c>
      <c r="L279">
        <f>IF($N279="","",INDEX(Staging!$O$2:$O$3001,$N279))</f>
      </c>
      <c r="M279">
        <f>IF($N279="","",INDEX(Staging!$P$2:$P$3001,$N279))</f>
      </c>
      <c r="N279">
        <f t="array" ref="N279">IFERROR(SMALL(IF(Staging!$E$2:$E$3001="MIPPL",ROW(Staging!$E$2:$E$3001)-ROW(Staging!$E$2)+1),278),"")</f>
      </c>
    </row>
    <row r="280" spans="1:14" x14ac:dyDescent="0.25">
      <c r="A280">
        <f>IF($N280="","",INDEX(Staging!$A$2:$A$3001,$N280))</f>
      </c>
      <c r="B280">
        <f>IF($N280="","",INDEX(Staging!$B$2:$B$3001,$N280))</f>
      </c>
      <c r="C280">
        <f>IF($N280="","",INDEX(Staging!$C$2:$C$3001,$N280))</f>
      </c>
      <c r="D280">
        <f>IF($N280="","",INDEX(Staging!$D$2:$D$3001,$N280))</f>
      </c>
      <c r="E280">
        <f>IF($N280="","",INDEX(Staging!$F$2:$F$3001,$N280))</f>
      </c>
      <c r="F280">
        <f>IF($N280="","",INDEX(Staging!$G$2:$G$3001,$N280))</f>
      </c>
      <c r="G280">
        <f>IF($N280="","",INDEX(Staging!$H$2:$H$3001,$N280))</f>
      </c>
      <c r="H280">
        <f>IF($N280="","",INDEX(Staging!$I$2:$I$3001,$N280))</f>
      </c>
      <c r="I280">
        <f>IF($N280="","",INDEX(Staging!$J$2:$J$3001,$N280))</f>
      </c>
      <c r="J280">
        <f>IF($N280="","",INDEX(Staging!$K$2:$K$3001,$N280))</f>
      </c>
      <c r="K280">
        <f>IF($N280="","",INDEX(Staging!$M$2:$M$3001,$N280))</f>
      </c>
      <c r="L280">
        <f>IF($N280="","",INDEX(Staging!$O$2:$O$3001,$N280))</f>
      </c>
      <c r="M280">
        <f>IF($N280="","",INDEX(Staging!$P$2:$P$3001,$N280))</f>
      </c>
      <c r="N280">
        <f t="array" ref="N280">IFERROR(SMALL(IF(Staging!$E$2:$E$3001="MIPPL",ROW(Staging!$E$2:$E$3001)-ROW(Staging!$E$2)+1),279),"")</f>
      </c>
    </row>
    <row r="281" spans="1:14" x14ac:dyDescent="0.25">
      <c r="A281">
        <f>IF($N281="","",INDEX(Staging!$A$2:$A$3001,$N281))</f>
      </c>
      <c r="B281">
        <f>IF($N281="","",INDEX(Staging!$B$2:$B$3001,$N281))</f>
      </c>
      <c r="C281">
        <f>IF($N281="","",INDEX(Staging!$C$2:$C$3001,$N281))</f>
      </c>
      <c r="D281">
        <f>IF($N281="","",INDEX(Staging!$D$2:$D$3001,$N281))</f>
      </c>
      <c r="E281">
        <f>IF($N281="","",INDEX(Staging!$F$2:$F$3001,$N281))</f>
      </c>
      <c r="F281">
        <f>IF($N281="","",INDEX(Staging!$G$2:$G$3001,$N281))</f>
      </c>
      <c r="G281">
        <f>IF($N281="","",INDEX(Staging!$H$2:$H$3001,$N281))</f>
      </c>
      <c r="H281">
        <f>IF($N281="","",INDEX(Staging!$I$2:$I$3001,$N281))</f>
      </c>
      <c r="I281">
        <f>IF($N281="","",INDEX(Staging!$J$2:$J$3001,$N281))</f>
      </c>
      <c r="J281">
        <f>IF($N281="","",INDEX(Staging!$K$2:$K$3001,$N281))</f>
      </c>
      <c r="K281">
        <f>IF($N281="","",INDEX(Staging!$M$2:$M$3001,$N281))</f>
      </c>
      <c r="L281">
        <f>IF($N281="","",INDEX(Staging!$O$2:$O$3001,$N281))</f>
      </c>
      <c r="M281">
        <f>IF($N281="","",INDEX(Staging!$P$2:$P$3001,$N281))</f>
      </c>
      <c r="N281">
        <f t="array" ref="N281">IFERROR(SMALL(IF(Staging!$E$2:$E$3001="MIPPL",ROW(Staging!$E$2:$E$3001)-ROW(Staging!$E$2)+1),280),"")</f>
      </c>
    </row>
    <row r="282" spans="1:14" x14ac:dyDescent="0.25">
      <c r="A282">
        <f>IF($N282="","",INDEX(Staging!$A$2:$A$3001,$N282))</f>
      </c>
      <c r="B282">
        <f>IF($N282="","",INDEX(Staging!$B$2:$B$3001,$N282))</f>
      </c>
      <c r="C282">
        <f>IF($N282="","",INDEX(Staging!$C$2:$C$3001,$N282))</f>
      </c>
      <c r="D282">
        <f>IF($N282="","",INDEX(Staging!$D$2:$D$3001,$N282))</f>
      </c>
      <c r="E282">
        <f>IF($N282="","",INDEX(Staging!$F$2:$F$3001,$N282))</f>
      </c>
      <c r="F282">
        <f>IF($N282="","",INDEX(Staging!$G$2:$G$3001,$N282))</f>
      </c>
      <c r="G282">
        <f>IF($N282="","",INDEX(Staging!$H$2:$H$3001,$N282))</f>
      </c>
      <c r="H282">
        <f>IF($N282="","",INDEX(Staging!$I$2:$I$3001,$N282))</f>
      </c>
      <c r="I282">
        <f>IF($N282="","",INDEX(Staging!$J$2:$J$3001,$N282))</f>
      </c>
      <c r="J282">
        <f>IF($N282="","",INDEX(Staging!$K$2:$K$3001,$N282))</f>
      </c>
      <c r="K282">
        <f>IF($N282="","",INDEX(Staging!$M$2:$M$3001,$N282))</f>
      </c>
      <c r="L282">
        <f>IF($N282="","",INDEX(Staging!$O$2:$O$3001,$N282))</f>
      </c>
      <c r="M282">
        <f>IF($N282="","",INDEX(Staging!$P$2:$P$3001,$N282))</f>
      </c>
      <c r="N282">
        <f t="array" ref="N282">IFERROR(SMALL(IF(Staging!$E$2:$E$3001="MIPPL",ROW(Staging!$E$2:$E$3001)-ROW(Staging!$E$2)+1),281),"")</f>
      </c>
    </row>
    <row r="283" spans="1:14" x14ac:dyDescent="0.25">
      <c r="A283">
        <f>IF($N283="","",INDEX(Staging!$A$2:$A$3001,$N283))</f>
      </c>
      <c r="B283">
        <f>IF($N283="","",INDEX(Staging!$B$2:$B$3001,$N283))</f>
      </c>
      <c r="C283">
        <f>IF($N283="","",INDEX(Staging!$C$2:$C$3001,$N283))</f>
      </c>
      <c r="D283">
        <f>IF($N283="","",INDEX(Staging!$D$2:$D$3001,$N283))</f>
      </c>
      <c r="E283">
        <f>IF($N283="","",INDEX(Staging!$F$2:$F$3001,$N283))</f>
      </c>
      <c r="F283">
        <f>IF($N283="","",INDEX(Staging!$G$2:$G$3001,$N283))</f>
      </c>
      <c r="G283">
        <f>IF($N283="","",INDEX(Staging!$H$2:$H$3001,$N283))</f>
      </c>
      <c r="H283">
        <f>IF($N283="","",INDEX(Staging!$I$2:$I$3001,$N283))</f>
      </c>
      <c r="I283">
        <f>IF($N283="","",INDEX(Staging!$J$2:$J$3001,$N283))</f>
      </c>
      <c r="J283">
        <f>IF($N283="","",INDEX(Staging!$K$2:$K$3001,$N283))</f>
      </c>
      <c r="K283">
        <f>IF($N283="","",INDEX(Staging!$M$2:$M$3001,$N283))</f>
      </c>
      <c r="L283">
        <f>IF($N283="","",INDEX(Staging!$O$2:$O$3001,$N283))</f>
      </c>
      <c r="M283">
        <f>IF($N283="","",INDEX(Staging!$P$2:$P$3001,$N283))</f>
      </c>
      <c r="N283">
        <f t="array" ref="N283">IFERROR(SMALL(IF(Staging!$E$2:$E$3001="MIPPL",ROW(Staging!$E$2:$E$3001)-ROW(Staging!$E$2)+1),282),"")</f>
      </c>
    </row>
    <row r="284" spans="1:14" x14ac:dyDescent="0.25">
      <c r="A284">
        <f>IF($N284="","",INDEX(Staging!$A$2:$A$3001,$N284))</f>
      </c>
      <c r="B284">
        <f>IF($N284="","",INDEX(Staging!$B$2:$B$3001,$N284))</f>
      </c>
      <c r="C284">
        <f>IF($N284="","",INDEX(Staging!$C$2:$C$3001,$N284))</f>
      </c>
      <c r="D284">
        <f>IF($N284="","",INDEX(Staging!$D$2:$D$3001,$N284))</f>
      </c>
      <c r="E284">
        <f>IF($N284="","",INDEX(Staging!$F$2:$F$3001,$N284))</f>
      </c>
      <c r="F284">
        <f>IF($N284="","",INDEX(Staging!$G$2:$G$3001,$N284))</f>
      </c>
      <c r="G284">
        <f>IF($N284="","",INDEX(Staging!$H$2:$H$3001,$N284))</f>
      </c>
      <c r="H284">
        <f>IF($N284="","",INDEX(Staging!$I$2:$I$3001,$N284))</f>
      </c>
      <c r="I284">
        <f>IF($N284="","",INDEX(Staging!$J$2:$J$3001,$N284))</f>
      </c>
      <c r="J284">
        <f>IF($N284="","",INDEX(Staging!$K$2:$K$3001,$N284))</f>
      </c>
      <c r="K284">
        <f>IF($N284="","",INDEX(Staging!$M$2:$M$3001,$N284))</f>
      </c>
      <c r="L284">
        <f>IF($N284="","",INDEX(Staging!$O$2:$O$3001,$N284))</f>
      </c>
      <c r="M284">
        <f>IF($N284="","",INDEX(Staging!$P$2:$P$3001,$N284))</f>
      </c>
      <c r="N284">
        <f t="array" ref="N284">IFERROR(SMALL(IF(Staging!$E$2:$E$3001="MIPPL",ROW(Staging!$E$2:$E$3001)-ROW(Staging!$E$2)+1),283),"")</f>
      </c>
    </row>
    <row r="285" spans="1:14" x14ac:dyDescent="0.25">
      <c r="A285">
        <f>IF($N285="","",INDEX(Staging!$A$2:$A$3001,$N285))</f>
      </c>
      <c r="B285">
        <f>IF($N285="","",INDEX(Staging!$B$2:$B$3001,$N285))</f>
      </c>
      <c r="C285">
        <f>IF($N285="","",INDEX(Staging!$C$2:$C$3001,$N285))</f>
      </c>
      <c r="D285">
        <f>IF($N285="","",INDEX(Staging!$D$2:$D$3001,$N285))</f>
      </c>
      <c r="E285">
        <f>IF($N285="","",INDEX(Staging!$F$2:$F$3001,$N285))</f>
      </c>
      <c r="F285">
        <f>IF($N285="","",INDEX(Staging!$G$2:$G$3001,$N285))</f>
      </c>
      <c r="G285">
        <f>IF($N285="","",INDEX(Staging!$H$2:$H$3001,$N285))</f>
      </c>
      <c r="H285">
        <f>IF($N285="","",INDEX(Staging!$I$2:$I$3001,$N285))</f>
      </c>
      <c r="I285">
        <f>IF($N285="","",INDEX(Staging!$J$2:$J$3001,$N285))</f>
      </c>
      <c r="J285">
        <f>IF($N285="","",INDEX(Staging!$K$2:$K$3001,$N285))</f>
      </c>
      <c r="K285">
        <f>IF($N285="","",INDEX(Staging!$M$2:$M$3001,$N285))</f>
      </c>
      <c r="L285">
        <f>IF($N285="","",INDEX(Staging!$O$2:$O$3001,$N285))</f>
      </c>
      <c r="M285">
        <f>IF($N285="","",INDEX(Staging!$P$2:$P$3001,$N285))</f>
      </c>
      <c r="N285">
        <f t="array" ref="N285">IFERROR(SMALL(IF(Staging!$E$2:$E$3001="MIPPL",ROW(Staging!$E$2:$E$3001)-ROW(Staging!$E$2)+1),284),"")</f>
      </c>
    </row>
    <row r="286" spans="1:14" x14ac:dyDescent="0.25">
      <c r="A286">
        <f>IF($N286="","",INDEX(Staging!$A$2:$A$3001,$N286))</f>
      </c>
      <c r="B286">
        <f>IF($N286="","",INDEX(Staging!$B$2:$B$3001,$N286))</f>
      </c>
      <c r="C286">
        <f>IF($N286="","",INDEX(Staging!$C$2:$C$3001,$N286))</f>
      </c>
      <c r="D286">
        <f>IF($N286="","",INDEX(Staging!$D$2:$D$3001,$N286))</f>
      </c>
      <c r="E286">
        <f>IF($N286="","",INDEX(Staging!$F$2:$F$3001,$N286))</f>
      </c>
      <c r="F286">
        <f>IF($N286="","",INDEX(Staging!$G$2:$G$3001,$N286))</f>
      </c>
      <c r="G286">
        <f>IF($N286="","",INDEX(Staging!$H$2:$H$3001,$N286))</f>
      </c>
      <c r="H286">
        <f>IF($N286="","",INDEX(Staging!$I$2:$I$3001,$N286))</f>
      </c>
      <c r="I286">
        <f>IF($N286="","",INDEX(Staging!$J$2:$J$3001,$N286))</f>
      </c>
      <c r="J286">
        <f>IF($N286="","",INDEX(Staging!$K$2:$K$3001,$N286))</f>
      </c>
      <c r="K286">
        <f>IF($N286="","",INDEX(Staging!$M$2:$M$3001,$N286))</f>
      </c>
      <c r="L286">
        <f>IF($N286="","",INDEX(Staging!$O$2:$O$3001,$N286))</f>
      </c>
      <c r="M286">
        <f>IF($N286="","",INDEX(Staging!$P$2:$P$3001,$N286))</f>
      </c>
      <c r="N286">
        <f t="array" ref="N286">IFERROR(SMALL(IF(Staging!$E$2:$E$3001="MIPPL",ROW(Staging!$E$2:$E$3001)-ROW(Staging!$E$2)+1),285),"")</f>
      </c>
    </row>
    <row r="287" spans="1:14" x14ac:dyDescent="0.25">
      <c r="A287">
        <f>IF($N287="","",INDEX(Staging!$A$2:$A$3001,$N287))</f>
      </c>
      <c r="B287">
        <f>IF($N287="","",INDEX(Staging!$B$2:$B$3001,$N287))</f>
      </c>
      <c r="C287">
        <f>IF($N287="","",INDEX(Staging!$C$2:$C$3001,$N287))</f>
      </c>
      <c r="D287">
        <f>IF($N287="","",INDEX(Staging!$D$2:$D$3001,$N287))</f>
      </c>
      <c r="E287">
        <f>IF($N287="","",INDEX(Staging!$F$2:$F$3001,$N287))</f>
      </c>
      <c r="F287">
        <f>IF($N287="","",INDEX(Staging!$G$2:$G$3001,$N287))</f>
      </c>
      <c r="G287">
        <f>IF($N287="","",INDEX(Staging!$H$2:$H$3001,$N287))</f>
      </c>
      <c r="H287">
        <f>IF($N287="","",INDEX(Staging!$I$2:$I$3001,$N287))</f>
      </c>
      <c r="I287">
        <f>IF($N287="","",INDEX(Staging!$J$2:$J$3001,$N287))</f>
      </c>
      <c r="J287">
        <f>IF($N287="","",INDEX(Staging!$K$2:$K$3001,$N287))</f>
      </c>
      <c r="K287">
        <f>IF($N287="","",INDEX(Staging!$M$2:$M$3001,$N287))</f>
      </c>
      <c r="L287">
        <f>IF($N287="","",INDEX(Staging!$O$2:$O$3001,$N287))</f>
      </c>
      <c r="M287">
        <f>IF($N287="","",INDEX(Staging!$P$2:$P$3001,$N287))</f>
      </c>
      <c r="N287">
        <f t="array" ref="N287">IFERROR(SMALL(IF(Staging!$E$2:$E$3001="MIPPL",ROW(Staging!$E$2:$E$3001)-ROW(Staging!$E$2)+1),286),"")</f>
      </c>
    </row>
    <row r="288" spans="1:14" x14ac:dyDescent="0.25">
      <c r="A288">
        <f>IF($N288="","",INDEX(Staging!$A$2:$A$3001,$N288))</f>
      </c>
      <c r="B288">
        <f>IF($N288="","",INDEX(Staging!$B$2:$B$3001,$N288))</f>
      </c>
      <c r="C288">
        <f>IF($N288="","",INDEX(Staging!$C$2:$C$3001,$N288))</f>
      </c>
      <c r="D288">
        <f>IF($N288="","",INDEX(Staging!$D$2:$D$3001,$N288))</f>
      </c>
      <c r="E288">
        <f>IF($N288="","",INDEX(Staging!$F$2:$F$3001,$N288))</f>
      </c>
      <c r="F288">
        <f>IF($N288="","",INDEX(Staging!$G$2:$G$3001,$N288))</f>
      </c>
      <c r="G288">
        <f>IF($N288="","",INDEX(Staging!$H$2:$H$3001,$N288))</f>
      </c>
      <c r="H288">
        <f>IF($N288="","",INDEX(Staging!$I$2:$I$3001,$N288))</f>
      </c>
      <c r="I288">
        <f>IF($N288="","",INDEX(Staging!$J$2:$J$3001,$N288))</f>
      </c>
      <c r="J288">
        <f>IF($N288="","",INDEX(Staging!$K$2:$K$3001,$N288))</f>
      </c>
      <c r="K288">
        <f>IF($N288="","",INDEX(Staging!$M$2:$M$3001,$N288))</f>
      </c>
      <c r="L288">
        <f>IF($N288="","",INDEX(Staging!$O$2:$O$3001,$N288))</f>
      </c>
      <c r="M288">
        <f>IF($N288="","",INDEX(Staging!$P$2:$P$3001,$N288))</f>
      </c>
      <c r="N288">
        <f t="array" ref="N288">IFERROR(SMALL(IF(Staging!$E$2:$E$3001="MIPPL",ROW(Staging!$E$2:$E$3001)-ROW(Staging!$E$2)+1),287),"")</f>
      </c>
    </row>
    <row r="289" spans="1:14" x14ac:dyDescent="0.25">
      <c r="A289">
        <f>IF($N289="","",INDEX(Staging!$A$2:$A$3001,$N289))</f>
      </c>
      <c r="B289">
        <f>IF($N289="","",INDEX(Staging!$B$2:$B$3001,$N289))</f>
      </c>
      <c r="C289">
        <f>IF($N289="","",INDEX(Staging!$C$2:$C$3001,$N289))</f>
      </c>
      <c r="D289">
        <f>IF($N289="","",INDEX(Staging!$D$2:$D$3001,$N289))</f>
      </c>
      <c r="E289">
        <f>IF($N289="","",INDEX(Staging!$F$2:$F$3001,$N289))</f>
      </c>
      <c r="F289">
        <f>IF($N289="","",INDEX(Staging!$G$2:$G$3001,$N289))</f>
      </c>
      <c r="G289">
        <f>IF($N289="","",INDEX(Staging!$H$2:$H$3001,$N289))</f>
      </c>
      <c r="H289">
        <f>IF($N289="","",INDEX(Staging!$I$2:$I$3001,$N289))</f>
      </c>
      <c r="I289">
        <f>IF($N289="","",INDEX(Staging!$J$2:$J$3001,$N289))</f>
      </c>
      <c r="J289">
        <f>IF($N289="","",INDEX(Staging!$K$2:$K$3001,$N289))</f>
      </c>
      <c r="K289">
        <f>IF($N289="","",INDEX(Staging!$M$2:$M$3001,$N289))</f>
      </c>
      <c r="L289">
        <f>IF($N289="","",INDEX(Staging!$O$2:$O$3001,$N289))</f>
      </c>
      <c r="M289">
        <f>IF($N289="","",INDEX(Staging!$P$2:$P$3001,$N289))</f>
      </c>
      <c r="N289">
        <f t="array" ref="N289">IFERROR(SMALL(IF(Staging!$E$2:$E$3001="MIPPL",ROW(Staging!$E$2:$E$3001)-ROW(Staging!$E$2)+1),288),"")</f>
      </c>
    </row>
    <row r="290" spans="1:14" x14ac:dyDescent="0.25">
      <c r="A290">
        <f>IF($N290="","",INDEX(Staging!$A$2:$A$3001,$N290))</f>
      </c>
      <c r="B290">
        <f>IF($N290="","",INDEX(Staging!$B$2:$B$3001,$N290))</f>
      </c>
      <c r="C290">
        <f>IF($N290="","",INDEX(Staging!$C$2:$C$3001,$N290))</f>
      </c>
      <c r="D290">
        <f>IF($N290="","",INDEX(Staging!$D$2:$D$3001,$N290))</f>
      </c>
      <c r="E290">
        <f>IF($N290="","",INDEX(Staging!$F$2:$F$3001,$N290))</f>
      </c>
      <c r="F290">
        <f>IF($N290="","",INDEX(Staging!$G$2:$G$3001,$N290))</f>
      </c>
      <c r="G290">
        <f>IF($N290="","",INDEX(Staging!$H$2:$H$3001,$N290))</f>
      </c>
      <c r="H290">
        <f>IF($N290="","",INDEX(Staging!$I$2:$I$3001,$N290))</f>
      </c>
      <c r="I290">
        <f>IF($N290="","",INDEX(Staging!$J$2:$J$3001,$N290))</f>
      </c>
      <c r="J290">
        <f>IF($N290="","",INDEX(Staging!$K$2:$K$3001,$N290))</f>
      </c>
      <c r="K290">
        <f>IF($N290="","",INDEX(Staging!$M$2:$M$3001,$N290))</f>
      </c>
      <c r="L290">
        <f>IF($N290="","",INDEX(Staging!$O$2:$O$3001,$N290))</f>
      </c>
      <c r="M290">
        <f>IF($N290="","",INDEX(Staging!$P$2:$P$3001,$N290))</f>
      </c>
      <c r="N290">
        <f t="array" ref="N290">IFERROR(SMALL(IF(Staging!$E$2:$E$3001="MIPPL",ROW(Staging!$E$2:$E$3001)-ROW(Staging!$E$2)+1),289),"")</f>
      </c>
    </row>
    <row r="291" spans="1:14" x14ac:dyDescent="0.25">
      <c r="A291">
        <f>IF($N291="","",INDEX(Staging!$A$2:$A$3001,$N291))</f>
      </c>
      <c r="B291">
        <f>IF($N291="","",INDEX(Staging!$B$2:$B$3001,$N291))</f>
      </c>
      <c r="C291">
        <f>IF($N291="","",INDEX(Staging!$C$2:$C$3001,$N291))</f>
      </c>
      <c r="D291">
        <f>IF($N291="","",INDEX(Staging!$D$2:$D$3001,$N291))</f>
      </c>
      <c r="E291">
        <f>IF($N291="","",INDEX(Staging!$F$2:$F$3001,$N291))</f>
      </c>
      <c r="F291">
        <f>IF($N291="","",INDEX(Staging!$G$2:$G$3001,$N291))</f>
      </c>
      <c r="G291">
        <f>IF($N291="","",INDEX(Staging!$H$2:$H$3001,$N291))</f>
      </c>
      <c r="H291">
        <f>IF($N291="","",INDEX(Staging!$I$2:$I$3001,$N291))</f>
      </c>
      <c r="I291">
        <f>IF($N291="","",INDEX(Staging!$J$2:$J$3001,$N291))</f>
      </c>
      <c r="J291">
        <f>IF($N291="","",INDEX(Staging!$K$2:$K$3001,$N291))</f>
      </c>
      <c r="K291">
        <f>IF($N291="","",INDEX(Staging!$M$2:$M$3001,$N291))</f>
      </c>
      <c r="L291">
        <f>IF($N291="","",INDEX(Staging!$O$2:$O$3001,$N291))</f>
      </c>
      <c r="M291">
        <f>IF($N291="","",INDEX(Staging!$P$2:$P$3001,$N291))</f>
      </c>
      <c r="N291">
        <f t="array" ref="N291">IFERROR(SMALL(IF(Staging!$E$2:$E$3001="MIPPL",ROW(Staging!$E$2:$E$3001)-ROW(Staging!$E$2)+1),290),"")</f>
      </c>
    </row>
    <row r="292" spans="1:14" x14ac:dyDescent="0.25">
      <c r="A292">
        <f>IF($N292="","",INDEX(Staging!$A$2:$A$3001,$N292))</f>
      </c>
      <c r="B292">
        <f>IF($N292="","",INDEX(Staging!$B$2:$B$3001,$N292))</f>
      </c>
      <c r="C292">
        <f>IF($N292="","",INDEX(Staging!$C$2:$C$3001,$N292))</f>
      </c>
      <c r="D292">
        <f>IF($N292="","",INDEX(Staging!$D$2:$D$3001,$N292))</f>
      </c>
      <c r="E292">
        <f>IF($N292="","",INDEX(Staging!$F$2:$F$3001,$N292))</f>
      </c>
      <c r="F292">
        <f>IF($N292="","",INDEX(Staging!$G$2:$G$3001,$N292))</f>
      </c>
      <c r="G292">
        <f>IF($N292="","",INDEX(Staging!$H$2:$H$3001,$N292))</f>
      </c>
      <c r="H292">
        <f>IF($N292="","",INDEX(Staging!$I$2:$I$3001,$N292))</f>
      </c>
      <c r="I292">
        <f>IF($N292="","",INDEX(Staging!$J$2:$J$3001,$N292))</f>
      </c>
      <c r="J292">
        <f>IF($N292="","",INDEX(Staging!$K$2:$K$3001,$N292))</f>
      </c>
      <c r="K292">
        <f>IF($N292="","",INDEX(Staging!$M$2:$M$3001,$N292))</f>
      </c>
      <c r="L292">
        <f>IF($N292="","",INDEX(Staging!$O$2:$O$3001,$N292))</f>
      </c>
      <c r="M292">
        <f>IF($N292="","",INDEX(Staging!$P$2:$P$3001,$N292))</f>
      </c>
      <c r="N292">
        <f t="array" ref="N292">IFERROR(SMALL(IF(Staging!$E$2:$E$3001="MIPPL",ROW(Staging!$E$2:$E$3001)-ROW(Staging!$E$2)+1),291),"")</f>
      </c>
    </row>
    <row r="293" spans="1:14" x14ac:dyDescent="0.25">
      <c r="A293">
        <f>IF($N293="","",INDEX(Staging!$A$2:$A$3001,$N293))</f>
      </c>
      <c r="B293">
        <f>IF($N293="","",INDEX(Staging!$B$2:$B$3001,$N293))</f>
      </c>
      <c r="C293">
        <f>IF($N293="","",INDEX(Staging!$C$2:$C$3001,$N293))</f>
      </c>
      <c r="D293">
        <f>IF($N293="","",INDEX(Staging!$D$2:$D$3001,$N293))</f>
      </c>
      <c r="E293">
        <f>IF($N293="","",INDEX(Staging!$F$2:$F$3001,$N293))</f>
      </c>
      <c r="F293">
        <f>IF($N293="","",INDEX(Staging!$G$2:$G$3001,$N293))</f>
      </c>
      <c r="G293">
        <f>IF($N293="","",INDEX(Staging!$H$2:$H$3001,$N293))</f>
      </c>
      <c r="H293">
        <f>IF($N293="","",INDEX(Staging!$I$2:$I$3001,$N293))</f>
      </c>
      <c r="I293">
        <f>IF($N293="","",INDEX(Staging!$J$2:$J$3001,$N293))</f>
      </c>
      <c r="J293">
        <f>IF($N293="","",INDEX(Staging!$K$2:$K$3001,$N293))</f>
      </c>
      <c r="K293">
        <f>IF($N293="","",INDEX(Staging!$M$2:$M$3001,$N293))</f>
      </c>
      <c r="L293">
        <f>IF($N293="","",INDEX(Staging!$O$2:$O$3001,$N293))</f>
      </c>
      <c r="M293">
        <f>IF($N293="","",INDEX(Staging!$P$2:$P$3001,$N293))</f>
      </c>
      <c r="N293">
        <f t="array" ref="N293">IFERROR(SMALL(IF(Staging!$E$2:$E$3001="MIPPL",ROW(Staging!$E$2:$E$3001)-ROW(Staging!$E$2)+1),292),"")</f>
      </c>
    </row>
    <row r="294" spans="1:14" x14ac:dyDescent="0.25">
      <c r="A294">
        <f>IF($N294="","",INDEX(Staging!$A$2:$A$3001,$N294))</f>
      </c>
      <c r="B294">
        <f>IF($N294="","",INDEX(Staging!$B$2:$B$3001,$N294))</f>
      </c>
      <c r="C294">
        <f>IF($N294="","",INDEX(Staging!$C$2:$C$3001,$N294))</f>
      </c>
      <c r="D294">
        <f>IF($N294="","",INDEX(Staging!$D$2:$D$3001,$N294))</f>
      </c>
      <c r="E294">
        <f>IF($N294="","",INDEX(Staging!$F$2:$F$3001,$N294))</f>
      </c>
      <c r="F294">
        <f>IF($N294="","",INDEX(Staging!$G$2:$G$3001,$N294))</f>
      </c>
      <c r="G294">
        <f>IF($N294="","",INDEX(Staging!$H$2:$H$3001,$N294))</f>
      </c>
      <c r="H294">
        <f>IF($N294="","",INDEX(Staging!$I$2:$I$3001,$N294))</f>
      </c>
      <c r="I294">
        <f>IF($N294="","",INDEX(Staging!$J$2:$J$3001,$N294))</f>
      </c>
      <c r="J294">
        <f>IF($N294="","",INDEX(Staging!$K$2:$K$3001,$N294))</f>
      </c>
      <c r="K294">
        <f>IF($N294="","",INDEX(Staging!$M$2:$M$3001,$N294))</f>
      </c>
      <c r="L294">
        <f>IF($N294="","",INDEX(Staging!$O$2:$O$3001,$N294))</f>
      </c>
      <c r="M294">
        <f>IF($N294="","",INDEX(Staging!$P$2:$P$3001,$N294))</f>
      </c>
      <c r="N294">
        <f t="array" ref="N294">IFERROR(SMALL(IF(Staging!$E$2:$E$3001="MIPPL",ROW(Staging!$E$2:$E$3001)-ROW(Staging!$E$2)+1),293),"")</f>
      </c>
    </row>
    <row r="295" spans="1:14" x14ac:dyDescent="0.25">
      <c r="A295">
        <f>IF($N295="","",INDEX(Staging!$A$2:$A$3001,$N295))</f>
      </c>
      <c r="B295">
        <f>IF($N295="","",INDEX(Staging!$B$2:$B$3001,$N295))</f>
      </c>
      <c r="C295">
        <f>IF($N295="","",INDEX(Staging!$C$2:$C$3001,$N295))</f>
      </c>
      <c r="D295">
        <f>IF($N295="","",INDEX(Staging!$D$2:$D$3001,$N295))</f>
      </c>
      <c r="E295">
        <f>IF($N295="","",INDEX(Staging!$F$2:$F$3001,$N295))</f>
      </c>
      <c r="F295">
        <f>IF($N295="","",INDEX(Staging!$G$2:$G$3001,$N295))</f>
      </c>
      <c r="G295">
        <f>IF($N295="","",INDEX(Staging!$H$2:$H$3001,$N295))</f>
      </c>
      <c r="H295">
        <f>IF($N295="","",INDEX(Staging!$I$2:$I$3001,$N295))</f>
      </c>
      <c r="I295">
        <f>IF($N295="","",INDEX(Staging!$J$2:$J$3001,$N295))</f>
      </c>
      <c r="J295">
        <f>IF($N295="","",INDEX(Staging!$K$2:$K$3001,$N295))</f>
      </c>
      <c r="K295">
        <f>IF($N295="","",INDEX(Staging!$M$2:$M$3001,$N295))</f>
      </c>
      <c r="L295">
        <f>IF($N295="","",INDEX(Staging!$O$2:$O$3001,$N295))</f>
      </c>
      <c r="M295">
        <f>IF($N295="","",INDEX(Staging!$P$2:$P$3001,$N295))</f>
      </c>
      <c r="N295">
        <f t="array" ref="N295">IFERROR(SMALL(IF(Staging!$E$2:$E$3001="MIPPL",ROW(Staging!$E$2:$E$3001)-ROW(Staging!$E$2)+1),294),"")</f>
      </c>
    </row>
    <row r="296" spans="1:14" x14ac:dyDescent="0.25">
      <c r="A296">
        <f>IF($N296="","",INDEX(Staging!$A$2:$A$3001,$N296))</f>
      </c>
      <c r="B296">
        <f>IF($N296="","",INDEX(Staging!$B$2:$B$3001,$N296))</f>
      </c>
      <c r="C296">
        <f>IF($N296="","",INDEX(Staging!$C$2:$C$3001,$N296))</f>
      </c>
      <c r="D296">
        <f>IF($N296="","",INDEX(Staging!$D$2:$D$3001,$N296))</f>
      </c>
      <c r="E296">
        <f>IF($N296="","",INDEX(Staging!$F$2:$F$3001,$N296))</f>
      </c>
      <c r="F296">
        <f>IF($N296="","",INDEX(Staging!$G$2:$G$3001,$N296))</f>
      </c>
      <c r="G296">
        <f>IF($N296="","",INDEX(Staging!$H$2:$H$3001,$N296))</f>
      </c>
      <c r="H296">
        <f>IF($N296="","",INDEX(Staging!$I$2:$I$3001,$N296))</f>
      </c>
      <c r="I296">
        <f>IF($N296="","",INDEX(Staging!$J$2:$J$3001,$N296))</f>
      </c>
      <c r="J296">
        <f>IF($N296="","",INDEX(Staging!$K$2:$K$3001,$N296))</f>
      </c>
      <c r="K296">
        <f>IF($N296="","",INDEX(Staging!$M$2:$M$3001,$N296))</f>
      </c>
      <c r="L296">
        <f>IF($N296="","",INDEX(Staging!$O$2:$O$3001,$N296))</f>
      </c>
      <c r="M296">
        <f>IF($N296="","",INDEX(Staging!$P$2:$P$3001,$N296))</f>
      </c>
      <c r="N296">
        <f t="array" ref="N296">IFERROR(SMALL(IF(Staging!$E$2:$E$3001="MIPPL",ROW(Staging!$E$2:$E$3001)-ROW(Staging!$E$2)+1),295),"")</f>
      </c>
    </row>
    <row r="297" spans="1:14" x14ac:dyDescent="0.25">
      <c r="A297">
        <f>IF($N297="","",INDEX(Staging!$A$2:$A$3001,$N297))</f>
      </c>
      <c r="B297">
        <f>IF($N297="","",INDEX(Staging!$B$2:$B$3001,$N297))</f>
      </c>
      <c r="C297">
        <f>IF($N297="","",INDEX(Staging!$C$2:$C$3001,$N297))</f>
      </c>
      <c r="D297">
        <f>IF($N297="","",INDEX(Staging!$D$2:$D$3001,$N297))</f>
      </c>
      <c r="E297">
        <f>IF($N297="","",INDEX(Staging!$F$2:$F$3001,$N297))</f>
      </c>
      <c r="F297">
        <f>IF($N297="","",INDEX(Staging!$G$2:$G$3001,$N297))</f>
      </c>
      <c r="G297">
        <f>IF($N297="","",INDEX(Staging!$H$2:$H$3001,$N297))</f>
      </c>
      <c r="H297">
        <f>IF($N297="","",INDEX(Staging!$I$2:$I$3001,$N297))</f>
      </c>
      <c r="I297">
        <f>IF($N297="","",INDEX(Staging!$J$2:$J$3001,$N297))</f>
      </c>
      <c r="J297">
        <f>IF($N297="","",INDEX(Staging!$K$2:$K$3001,$N297))</f>
      </c>
      <c r="K297">
        <f>IF($N297="","",INDEX(Staging!$M$2:$M$3001,$N297))</f>
      </c>
      <c r="L297">
        <f>IF($N297="","",INDEX(Staging!$O$2:$O$3001,$N297))</f>
      </c>
      <c r="M297">
        <f>IF($N297="","",INDEX(Staging!$P$2:$P$3001,$N297))</f>
      </c>
      <c r="N297">
        <f t="array" ref="N297">IFERROR(SMALL(IF(Staging!$E$2:$E$3001="MIPPL",ROW(Staging!$E$2:$E$3001)-ROW(Staging!$E$2)+1),296),"")</f>
      </c>
    </row>
    <row r="298" spans="1:14" x14ac:dyDescent="0.25">
      <c r="A298">
        <f>IF($N298="","",INDEX(Staging!$A$2:$A$3001,$N298))</f>
      </c>
      <c r="B298">
        <f>IF($N298="","",INDEX(Staging!$B$2:$B$3001,$N298))</f>
      </c>
      <c r="C298">
        <f>IF($N298="","",INDEX(Staging!$C$2:$C$3001,$N298))</f>
      </c>
      <c r="D298">
        <f>IF($N298="","",INDEX(Staging!$D$2:$D$3001,$N298))</f>
      </c>
      <c r="E298">
        <f>IF($N298="","",INDEX(Staging!$F$2:$F$3001,$N298))</f>
      </c>
      <c r="F298">
        <f>IF($N298="","",INDEX(Staging!$G$2:$G$3001,$N298))</f>
      </c>
      <c r="G298">
        <f>IF($N298="","",INDEX(Staging!$H$2:$H$3001,$N298))</f>
      </c>
      <c r="H298">
        <f>IF($N298="","",INDEX(Staging!$I$2:$I$3001,$N298))</f>
      </c>
      <c r="I298">
        <f>IF($N298="","",INDEX(Staging!$J$2:$J$3001,$N298))</f>
      </c>
      <c r="J298">
        <f>IF($N298="","",INDEX(Staging!$K$2:$K$3001,$N298))</f>
      </c>
      <c r="K298">
        <f>IF($N298="","",INDEX(Staging!$M$2:$M$3001,$N298))</f>
      </c>
      <c r="L298">
        <f>IF($N298="","",INDEX(Staging!$O$2:$O$3001,$N298))</f>
      </c>
      <c r="M298">
        <f>IF($N298="","",INDEX(Staging!$P$2:$P$3001,$N298))</f>
      </c>
      <c r="N298">
        <f t="array" ref="N298">IFERROR(SMALL(IF(Staging!$E$2:$E$3001="MIPPL",ROW(Staging!$E$2:$E$3001)-ROW(Staging!$E$2)+1),297),"")</f>
      </c>
    </row>
    <row r="299" spans="1:14" x14ac:dyDescent="0.25">
      <c r="A299">
        <f>IF($N299="","",INDEX(Staging!$A$2:$A$3001,$N299))</f>
      </c>
      <c r="B299">
        <f>IF($N299="","",INDEX(Staging!$B$2:$B$3001,$N299))</f>
      </c>
      <c r="C299">
        <f>IF($N299="","",INDEX(Staging!$C$2:$C$3001,$N299))</f>
      </c>
      <c r="D299">
        <f>IF($N299="","",INDEX(Staging!$D$2:$D$3001,$N299))</f>
      </c>
      <c r="E299">
        <f>IF($N299="","",INDEX(Staging!$F$2:$F$3001,$N299))</f>
      </c>
      <c r="F299">
        <f>IF($N299="","",INDEX(Staging!$G$2:$G$3001,$N299))</f>
      </c>
      <c r="G299">
        <f>IF($N299="","",INDEX(Staging!$H$2:$H$3001,$N299))</f>
      </c>
      <c r="H299">
        <f>IF($N299="","",INDEX(Staging!$I$2:$I$3001,$N299))</f>
      </c>
      <c r="I299">
        <f>IF($N299="","",INDEX(Staging!$J$2:$J$3001,$N299))</f>
      </c>
      <c r="J299">
        <f>IF($N299="","",INDEX(Staging!$K$2:$K$3001,$N299))</f>
      </c>
      <c r="K299">
        <f>IF($N299="","",INDEX(Staging!$M$2:$M$3001,$N299))</f>
      </c>
      <c r="L299">
        <f>IF($N299="","",INDEX(Staging!$O$2:$O$3001,$N299))</f>
      </c>
      <c r="M299">
        <f>IF($N299="","",INDEX(Staging!$P$2:$P$3001,$N299))</f>
      </c>
      <c r="N299">
        <f t="array" ref="N299">IFERROR(SMALL(IF(Staging!$E$2:$E$3001="MIPPL",ROW(Staging!$E$2:$E$3001)-ROW(Staging!$E$2)+1),298),"")</f>
      </c>
    </row>
    <row r="300" spans="1:14" x14ac:dyDescent="0.25">
      <c r="A300">
        <f>IF($N300="","",INDEX(Staging!$A$2:$A$3001,$N300))</f>
      </c>
      <c r="B300">
        <f>IF($N300="","",INDEX(Staging!$B$2:$B$3001,$N300))</f>
      </c>
      <c r="C300">
        <f>IF($N300="","",INDEX(Staging!$C$2:$C$3001,$N300))</f>
      </c>
      <c r="D300">
        <f>IF($N300="","",INDEX(Staging!$D$2:$D$3001,$N300))</f>
      </c>
      <c r="E300">
        <f>IF($N300="","",INDEX(Staging!$F$2:$F$3001,$N300))</f>
      </c>
      <c r="F300">
        <f>IF($N300="","",INDEX(Staging!$G$2:$G$3001,$N300))</f>
      </c>
      <c r="G300">
        <f>IF($N300="","",INDEX(Staging!$H$2:$H$3001,$N300))</f>
      </c>
      <c r="H300">
        <f>IF($N300="","",INDEX(Staging!$I$2:$I$3001,$N300))</f>
      </c>
      <c r="I300">
        <f>IF($N300="","",INDEX(Staging!$J$2:$J$3001,$N300))</f>
      </c>
      <c r="J300">
        <f>IF($N300="","",INDEX(Staging!$K$2:$K$3001,$N300))</f>
      </c>
      <c r="K300">
        <f>IF($N300="","",INDEX(Staging!$M$2:$M$3001,$N300))</f>
      </c>
      <c r="L300">
        <f>IF($N300="","",INDEX(Staging!$O$2:$O$3001,$N300))</f>
      </c>
      <c r="M300">
        <f>IF($N300="","",INDEX(Staging!$P$2:$P$3001,$N300))</f>
      </c>
      <c r="N300">
        <f t="array" ref="N300">IFERROR(SMALL(IF(Staging!$E$2:$E$3001="MIPPL",ROW(Staging!$E$2:$E$3001)-ROW(Staging!$E$2)+1),299),"")</f>
      </c>
    </row>
    <row r="301" spans="1:14" x14ac:dyDescent="0.25">
      <c r="A301">
        <f>IF($N301="","",INDEX(Staging!$A$2:$A$3001,$N301))</f>
      </c>
      <c r="B301">
        <f>IF($N301="","",INDEX(Staging!$B$2:$B$3001,$N301))</f>
      </c>
      <c r="C301">
        <f>IF($N301="","",INDEX(Staging!$C$2:$C$3001,$N301))</f>
      </c>
      <c r="D301">
        <f>IF($N301="","",INDEX(Staging!$D$2:$D$3001,$N301))</f>
      </c>
      <c r="E301">
        <f>IF($N301="","",INDEX(Staging!$F$2:$F$3001,$N301))</f>
      </c>
      <c r="F301">
        <f>IF($N301="","",INDEX(Staging!$G$2:$G$3001,$N301))</f>
      </c>
      <c r="G301">
        <f>IF($N301="","",INDEX(Staging!$H$2:$H$3001,$N301))</f>
      </c>
      <c r="H301">
        <f>IF($N301="","",INDEX(Staging!$I$2:$I$3001,$N301))</f>
      </c>
      <c r="I301">
        <f>IF($N301="","",INDEX(Staging!$J$2:$J$3001,$N301))</f>
      </c>
      <c r="J301">
        <f>IF($N301="","",INDEX(Staging!$K$2:$K$3001,$N301))</f>
      </c>
      <c r="K301">
        <f>IF($N301="","",INDEX(Staging!$M$2:$M$3001,$N301))</f>
      </c>
      <c r="L301">
        <f>IF($N301="","",INDEX(Staging!$O$2:$O$3001,$N301))</f>
      </c>
      <c r="M301">
        <f>IF($N301="","",INDEX(Staging!$P$2:$P$3001,$N301))</f>
      </c>
      <c r="N301">
        <f t="array" ref="N301">IFERROR(SMALL(IF(Staging!$E$2:$E$3001="MIPPL",ROW(Staging!$E$2:$E$3001)-ROW(Staging!$E$2)+1),300),"")</f>
      </c>
    </row>
    <row r="302" spans="1:14" x14ac:dyDescent="0.25">
      <c r="A302">
        <f>IF($N302="","",INDEX(Staging!$A$2:$A$3001,$N302))</f>
      </c>
      <c r="B302">
        <f>IF($N302="","",INDEX(Staging!$B$2:$B$3001,$N302))</f>
      </c>
      <c r="C302">
        <f>IF($N302="","",INDEX(Staging!$C$2:$C$3001,$N302))</f>
      </c>
      <c r="D302">
        <f>IF($N302="","",INDEX(Staging!$D$2:$D$3001,$N302))</f>
      </c>
      <c r="E302">
        <f>IF($N302="","",INDEX(Staging!$F$2:$F$3001,$N302))</f>
      </c>
      <c r="F302">
        <f>IF($N302="","",INDEX(Staging!$G$2:$G$3001,$N302))</f>
      </c>
      <c r="G302">
        <f>IF($N302="","",INDEX(Staging!$H$2:$H$3001,$N302))</f>
      </c>
      <c r="H302">
        <f>IF($N302="","",INDEX(Staging!$I$2:$I$3001,$N302))</f>
      </c>
      <c r="I302">
        <f>IF($N302="","",INDEX(Staging!$J$2:$J$3001,$N302))</f>
      </c>
      <c r="J302">
        <f>IF($N302="","",INDEX(Staging!$K$2:$K$3001,$N302))</f>
      </c>
      <c r="K302">
        <f>IF($N302="","",INDEX(Staging!$M$2:$M$3001,$N302))</f>
      </c>
      <c r="L302">
        <f>IF($N302="","",INDEX(Staging!$O$2:$O$3001,$N302))</f>
      </c>
      <c r="M302">
        <f>IF($N302="","",INDEX(Staging!$P$2:$P$3001,$N302))</f>
      </c>
      <c r="N302">
        <f t="array" ref="N302">IFERROR(SMALL(IF(Staging!$E$2:$E$3001="MIPPL",ROW(Staging!$E$2:$E$3001)-ROW(Staging!$E$2)+1),301),"")</f>
      </c>
    </row>
    <row r="303" spans="1:14" x14ac:dyDescent="0.25">
      <c r="A303">
        <f>IF($N303="","",INDEX(Staging!$A$2:$A$3001,$N303))</f>
      </c>
      <c r="B303">
        <f>IF($N303="","",INDEX(Staging!$B$2:$B$3001,$N303))</f>
      </c>
      <c r="C303">
        <f>IF($N303="","",INDEX(Staging!$C$2:$C$3001,$N303))</f>
      </c>
      <c r="D303">
        <f>IF($N303="","",INDEX(Staging!$D$2:$D$3001,$N303))</f>
      </c>
      <c r="E303">
        <f>IF($N303="","",INDEX(Staging!$F$2:$F$3001,$N303))</f>
      </c>
      <c r="F303">
        <f>IF($N303="","",INDEX(Staging!$G$2:$G$3001,$N303))</f>
      </c>
      <c r="G303">
        <f>IF($N303="","",INDEX(Staging!$H$2:$H$3001,$N303))</f>
      </c>
      <c r="H303">
        <f>IF($N303="","",INDEX(Staging!$I$2:$I$3001,$N303))</f>
      </c>
      <c r="I303">
        <f>IF($N303="","",INDEX(Staging!$J$2:$J$3001,$N303))</f>
      </c>
      <c r="J303">
        <f>IF($N303="","",INDEX(Staging!$K$2:$K$3001,$N303))</f>
      </c>
      <c r="K303">
        <f>IF($N303="","",INDEX(Staging!$M$2:$M$3001,$N303))</f>
      </c>
      <c r="L303">
        <f>IF($N303="","",INDEX(Staging!$O$2:$O$3001,$N303))</f>
      </c>
      <c r="M303">
        <f>IF($N303="","",INDEX(Staging!$P$2:$P$3001,$N303))</f>
      </c>
      <c r="N303">
        <f t="array" ref="N303">IFERROR(SMALL(IF(Staging!$E$2:$E$3001="MIPPL",ROW(Staging!$E$2:$E$3001)-ROW(Staging!$E$2)+1),302),"")</f>
      </c>
    </row>
    <row r="304" spans="1:14" x14ac:dyDescent="0.25">
      <c r="A304">
        <f>IF($N304="","",INDEX(Staging!$A$2:$A$3001,$N304))</f>
      </c>
      <c r="B304">
        <f>IF($N304="","",INDEX(Staging!$B$2:$B$3001,$N304))</f>
      </c>
      <c r="C304">
        <f>IF($N304="","",INDEX(Staging!$C$2:$C$3001,$N304))</f>
      </c>
      <c r="D304">
        <f>IF($N304="","",INDEX(Staging!$D$2:$D$3001,$N304))</f>
      </c>
      <c r="E304">
        <f>IF($N304="","",INDEX(Staging!$F$2:$F$3001,$N304))</f>
      </c>
      <c r="F304">
        <f>IF($N304="","",INDEX(Staging!$G$2:$G$3001,$N304))</f>
      </c>
      <c r="G304">
        <f>IF($N304="","",INDEX(Staging!$H$2:$H$3001,$N304))</f>
      </c>
      <c r="H304">
        <f>IF($N304="","",INDEX(Staging!$I$2:$I$3001,$N304))</f>
      </c>
      <c r="I304">
        <f>IF($N304="","",INDEX(Staging!$J$2:$J$3001,$N304))</f>
      </c>
      <c r="J304">
        <f>IF($N304="","",INDEX(Staging!$K$2:$K$3001,$N304))</f>
      </c>
      <c r="K304">
        <f>IF($N304="","",INDEX(Staging!$M$2:$M$3001,$N304))</f>
      </c>
      <c r="L304">
        <f>IF($N304="","",INDEX(Staging!$O$2:$O$3001,$N304))</f>
      </c>
      <c r="M304">
        <f>IF($N304="","",INDEX(Staging!$P$2:$P$3001,$N304))</f>
      </c>
      <c r="N304">
        <f t="array" ref="N304">IFERROR(SMALL(IF(Staging!$E$2:$E$3001="MIPPL",ROW(Staging!$E$2:$E$3001)-ROW(Staging!$E$2)+1),303),"")</f>
      </c>
    </row>
    <row r="305" spans="1:14" x14ac:dyDescent="0.25">
      <c r="A305">
        <f>IF($N305="","",INDEX(Staging!$A$2:$A$3001,$N305))</f>
      </c>
      <c r="B305">
        <f>IF($N305="","",INDEX(Staging!$B$2:$B$3001,$N305))</f>
      </c>
      <c r="C305">
        <f>IF($N305="","",INDEX(Staging!$C$2:$C$3001,$N305))</f>
      </c>
      <c r="D305">
        <f>IF($N305="","",INDEX(Staging!$D$2:$D$3001,$N305))</f>
      </c>
      <c r="E305">
        <f>IF($N305="","",INDEX(Staging!$F$2:$F$3001,$N305))</f>
      </c>
      <c r="F305">
        <f>IF($N305="","",INDEX(Staging!$G$2:$G$3001,$N305))</f>
      </c>
      <c r="G305">
        <f>IF($N305="","",INDEX(Staging!$H$2:$H$3001,$N305))</f>
      </c>
      <c r="H305">
        <f>IF($N305="","",INDEX(Staging!$I$2:$I$3001,$N305))</f>
      </c>
      <c r="I305">
        <f>IF($N305="","",INDEX(Staging!$J$2:$J$3001,$N305))</f>
      </c>
      <c r="J305">
        <f>IF($N305="","",INDEX(Staging!$K$2:$K$3001,$N305))</f>
      </c>
      <c r="K305">
        <f>IF($N305="","",INDEX(Staging!$M$2:$M$3001,$N305))</f>
      </c>
      <c r="L305">
        <f>IF($N305="","",INDEX(Staging!$O$2:$O$3001,$N305))</f>
      </c>
      <c r="M305">
        <f>IF($N305="","",INDEX(Staging!$P$2:$P$3001,$N305))</f>
      </c>
      <c r="N305">
        <f t="array" ref="N305">IFERROR(SMALL(IF(Staging!$E$2:$E$3001="MIPPL",ROW(Staging!$E$2:$E$3001)-ROW(Staging!$E$2)+1),304),"")</f>
      </c>
    </row>
    <row r="306" spans="1:14" x14ac:dyDescent="0.25">
      <c r="A306">
        <f>IF($N306="","",INDEX(Staging!$A$2:$A$3001,$N306))</f>
      </c>
      <c r="B306">
        <f>IF($N306="","",INDEX(Staging!$B$2:$B$3001,$N306))</f>
      </c>
      <c r="C306">
        <f>IF($N306="","",INDEX(Staging!$C$2:$C$3001,$N306))</f>
      </c>
      <c r="D306">
        <f>IF($N306="","",INDEX(Staging!$D$2:$D$3001,$N306))</f>
      </c>
      <c r="E306">
        <f>IF($N306="","",INDEX(Staging!$F$2:$F$3001,$N306))</f>
      </c>
      <c r="F306">
        <f>IF($N306="","",INDEX(Staging!$G$2:$G$3001,$N306))</f>
      </c>
      <c r="G306">
        <f>IF($N306="","",INDEX(Staging!$H$2:$H$3001,$N306))</f>
      </c>
      <c r="H306">
        <f>IF($N306="","",INDEX(Staging!$I$2:$I$3001,$N306))</f>
      </c>
      <c r="I306">
        <f>IF($N306="","",INDEX(Staging!$J$2:$J$3001,$N306))</f>
      </c>
      <c r="J306">
        <f>IF($N306="","",INDEX(Staging!$K$2:$K$3001,$N306))</f>
      </c>
      <c r="K306">
        <f>IF($N306="","",INDEX(Staging!$M$2:$M$3001,$N306))</f>
      </c>
      <c r="L306">
        <f>IF($N306="","",INDEX(Staging!$O$2:$O$3001,$N306))</f>
      </c>
      <c r="M306">
        <f>IF($N306="","",INDEX(Staging!$P$2:$P$3001,$N306))</f>
      </c>
      <c r="N306">
        <f t="array" ref="N306">IFERROR(SMALL(IF(Staging!$E$2:$E$3001="MIPPL",ROW(Staging!$E$2:$E$3001)-ROW(Staging!$E$2)+1),305),"")</f>
      </c>
    </row>
    <row r="307" spans="1:14" x14ac:dyDescent="0.25">
      <c r="A307">
        <f>IF($N307="","",INDEX(Staging!$A$2:$A$3001,$N307))</f>
      </c>
      <c r="B307">
        <f>IF($N307="","",INDEX(Staging!$B$2:$B$3001,$N307))</f>
      </c>
      <c r="C307">
        <f>IF($N307="","",INDEX(Staging!$C$2:$C$3001,$N307))</f>
      </c>
      <c r="D307">
        <f>IF($N307="","",INDEX(Staging!$D$2:$D$3001,$N307))</f>
      </c>
      <c r="E307">
        <f>IF($N307="","",INDEX(Staging!$F$2:$F$3001,$N307))</f>
      </c>
      <c r="F307">
        <f>IF($N307="","",INDEX(Staging!$G$2:$G$3001,$N307))</f>
      </c>
      <c r="G307">
        <f>IF($N307="","",INDEX(Staging!$H$2:$H$3001,$N307))</f>
      </c>
      <c r="H307">
        <f>IF($N307="","",INDEX(Staging!$I$2:$I$3001,$N307))</f>
      </c>
      <c r="I307">
        <f>IF($N307="","",INDEX(Staging!$J$2:$J$3001,$N307))</f>
      </c>
      <c r="J307">
        <f>IF($N307="","",INDEX(Staging!$K$2:$K$3001,$N307))</f>
      </c>
      <c r="K307">
        <f>IF($N307="","",INDEX(Staging!$M$2:$M$3001,$N307))</f>
      </c>
      <c r="L307">
        <f>IF($N307="","",INDEX(Staging!$O$2:$O$3001,$N307))</f>
      </c>
      <c r="M307">
        <f>IF($N307="","",INDEX(Staging!$P$2:$P$3001,$N307))</f>
      </c>
      <c r="N307">
        <f t="array" ref="N307">IFERROR(SMALL(IF(Staging!$E$2:$E$3001="MIPPL",ROW(Staging!$E$2:$E$3001)-ROW(Staging!$E$2)+1),306),"")</f>
      </c>
    </row>
    <row r="308" spans="1:14" x14ac:dyDescent="0.25">
      <c r="A308">
        <f>IF($N308="","",INDEX(Staging!$A$2:$A$3001,$N308))</f>
      </c>
      <c r="B308">
        <f>IF($N308="","",INDEX(Staging!$B$2:$B$3001,$N308))</f>
      </c>
      <c r="C308">
        <f>IF($N308="","",INDEX(Staging!$C$2:$C$3001,$N308))</f>
      </c>
      <c r="D308">
        <f>IF($N308="","",INDEX(Staging!$D$2:$D$3001,$N308))</f>
      </c>
      <c r="E308">
        <f>IF($N308="","",INDEX(Staging!$F$2:$F$3001,$N308))</f>
      </c>
      <c r="F308">
        <f>IF($N308="","",INDEX(Staging!$G$2:$G$3001,$N308))</f>
      </c>
      <c r="G308">
        <f>IF($N308="","",INDEX(Staging!$H$2:$H$3001,$N308))</f>
      </c>
      <c r="H308">
        <f>IF($N308="","",INDEX(Staging!$I$2:$I$3001,$N308))</f>
      </c>
      <c r="I308">
        <f>IF($N308="","",INDEX(Staging!$J$2:$J$3001,$N308))</f>
      </c>
      <c r="J308">
        <f>IF($N308="","",INDEX(Staging!$K$2:$K$3001,$N308))</f>
      </c>
      <c r="K308">
        <f>IF($N308="","",INDEX(Staging!$M$2:$M$3001,$N308))</f>
      </c>
      <c r="L308">
        <f>IF($N308="","",INDEX(Staging!$O$2:$O$3001,$N308))</f>
      </c>
      <c r="M308">
        <f>IF($N308="","",INDEX(Staging!$P$2:$P$3001,$N308))</f>
      </c>
      <c r="N308">
        <f t="array" ref="N308">IFERROR(SMALL(IF(Staging!$E$2:$E$3001="MIPPL",ROW(Staging!$E$2:$E$3001)-ROW(Staging!$E$2)+1),307),"")</f>
      </c>
    </row>
    <row r="309" spans="1:14" x14ac:dyDescent="0.25">
      <c r="A309">
        <f>IF($N309="","",INDEX(Staging!$A$2:$A$3001,$N309))</f>
      </c>
      <c r="B309">
        <f>IF($N309="","",INDEX(Staging!$B$2:$B$3001,$N309))</f>
      </c>
      <c r="C309">
        <f>IF($N309="","",INDEX(Staging!$C$2:$C$3001,$N309))</f>
      </c>
      <c r="D309">
        <f>IF($N309="","",INDEX(Staging!$D$2:$D$3001,$N309))</f>
      </c>
      <c r="E309">
        <f>IF($N309="","",INDEX(Staging!$F$2:$F$3001,$N309))</f>
      </c>
      <c r="F309">
        <f>IF($N309="","",INDEX(Staging!$G$2:$G$3001,$N309))</f>
      </c>
      <c r="G309">
        <f>IF($N309="","",INDEX(Staging!$H$2:$H$3001,$N309))</f>
      </c>
      <c r="H309">
        <f>IF($N309="","",INDEX(Staging!$I$2:$I$3001,$N309))</f>
      </c>
      <c r="I309">
        <f>IF($N309="","",INDEX(Staging!$J$2:$J$3001,$N309))</f>
      </c>
      <c r="J309">
        <f>IF($N309="","",INDEX(Staging!$K$2:$K$3001,$N309))</f>
      </c>
      <c r="K309">
        <f>IF($N309="","",INDEX(Staging!$M$2:$M$3001,$N309))</f>
      </c>
      <c r="L309">
        <f>IF($N309="","",INDEX(Staging!$O$2:$O$3001,$N309))</f>
      </c>
      <c r="M309">
        <f>IF($N309="","",INDEX(Staging!$P$2:$P$3001,$N309))</f>
      </c>
      <c r="N309">
        <f t="array" ref="N309">IFERROR(SMALL(IF(Staging!$E$2:$E$3001="MIPPL",ROW(Staging!$E$2:$E$3001)-ROW(Staging!$E$2)+1),308),"")</f>
      </c>
    </row>
    <row r="310" spans="1:14" x14ac:dyDescent="0.25">
      <c r="A310">
        <f>IF($N310="","",INDEX(Staging!$A$2:$A$3001,$N310))</f>
      </c>
      <c r="B310">
        <f>IF($N310="","",INDEX(Staging!$B$2:$B$3001,$N310))</f>
      </c>
      <c r="C310">
        <f>IF($N310="","",INDEX(Staging!$C$2:$C$3001,$N310))</f>
      </c>
      <c r="D310">
        <f>IF($N310="","",INDEX(Staging!$D$2:$D$3001,$N310))</f>
      </c>
      <c r="E310">
        <f>IF($N310="","",INDEX(Staging!$F$2:$F$3001,$N310))</f>
      </c>
      <c r="F310">
        <f>IF($N310="","",INDEX(Staging!$G$2:$G$3001,$N310))</f>
      </c>
      <c r="G310">
        <f>IF($N310="","",INDEX(Staging!$H$2:$H$3001,$N310))</f>
      </c>
      <c r="H310">
        <f>IF($N310="","",INDEX(Staging!$I$2:$I$3001,$N310))</f>
      </c>
      <c r="I310">
        <f>IF($N310="","",INDEX(Staging!$J$2:$J$3001,$N310))</f>
      </c>
      <c r="J310">
        <f>IF($N310="","",INDEX(Staging!$K$2:$K$3001,$N310))</f>
      </c>
      <c r="K310">
        <f>IF($N310="","",INDEX(Staging!$M$2:$M$3001,$N310))</f>
      </c>
      <c r="L310">
        <f>IF($N310="","",INDEX(Staging!$O$2:$O$3001,$N310))</f>
      </c>
      <c r="M310">
        <f>IF($N310="","",INDEX(Staging!$P$2:$P$3001,$N310))</f>
      </c>
      <c r="N310">
        <f t="array" ref="N310">IFERROR(SMALL(IF(Staging!$E$2:$E$3001="MIPPL",ROW(Staging!$E$2:$E$3001)-ROW(Staging!$E$2)+1),309),"")</f>
      </c>
    </row>
    <row r="311" spans="1:14" x14ac:dyDescent="0.25">
      <c r="A311">
        <f>IF($N311="","",INDEX(Staging!$A$2:$A$3001,$N311))</f>
      </c>
      <c r="B311">
        <f>IF($N311="","",INDEX(Staging!$B$2:$B$3001,$N311))</f>
      </c>
      <c r="C311">
        <f>IF($N311="","",INDEX(Staging!$C$2:$C$3001,$N311))</f>
      </c>
      <c r="D311">
        <f>IF($N311="","",INDEX(Staging!$D$2:$D$3001,$N311))</f>
      </c>
      <c r="E311">
        <f>IF($N311="","",INDEX(Staging!$F$2:$F$3001,$N311))</f>
      </c>
      <c r="F311">
        <f>IF($N311="","",INDEX(Staging!$G$2:$G$3001,$N311))</f>
      </c>
      <c r="G311">
        <f>IF($N311="","",INDEX(Staging!$H$2:$H$3001,$N311))</f>
      </c>
      <c r="H311">
        <f>IF($N311="","",INDEX(Staging!$I$2:$I$3001,$N311))</f>
      </c>
      <c r="I311">
        <f>IF($N311="","",INDEX(Staging!$J$2:$J$3001,$N311))</f>
      </c>
      <c r="J311">
        <f>IF($N311="","",INDEX(Staging!$K$2:$K$3001,$N311))</f>
      </c>
      <c r="K311">
        <f>IF($N311="","",INDEX(Staging!$M$2:$M$3001,$N311))</f>
      </c>
      <c r="L311">
        <f>IF($N311="","",INDEX(Staging!$O$2:$O$3001,$N311))</f>
      </c>
      <c r="M311">
        <f>IF($N311="","",INDEX(Staging!$P$2:$P$3001,$N311))</f>
      </c>
      <c r="N311">
        <f t="array" ref="N311">IFERROR(SMALL(IF(Staging!$E$2:$E$3001="MIPPL",ROW(Staging!$E$2:$E$3001)-ROW(Staging!$E$2)+1),310),"")</f>
      </c>
    </row>
    <row r="312" spans="1:14" x14ac:dyDescent="0.25">
      <c r="A312">
        <f>IF($N312="","",INDEX(Staging!$A$2:$A$3001,$N312))</f>
      </c>
      <c r="B312">
        <f>IF($N312="","",INDEX(Staging!$B$2:$B$3001,$N312))</f>
      </c>
      <c r="C312">
        <f>IF($N312="","",INDEX(Staging!$C$2:$C$3001,$N312))</f>
      </c>
      <c r="D312">
        <f>IF($N312="","",INDEX(Staging!$D$2:$D$3001,$N312))</f>
      </c>
      <c r="E312">
        <f>IF($N312="","",INDEX(Staging!$F$2:$F$3001,$N312))</f>
      </c>
      <c r="F312">
        <f>IF($N312="","",INDEX(Staging!$G$2:$G$3001,$N312))</f>
      </c>
      <c r="G312">
        <f>IF($N312="","",INDEX(Staging!$H$2:$H$3001,$N312))</f>
      </c>
      <c r="H312">
        <f>IF($N312="","",INDEX(Staging!$I$2:$I$3001,$N312))</f>
      </c>
      <c r="I312">
        <f>IF($N312="","",INDEX(Staging!$J$2:$J$3001,$N312))</f>
      </c>
      <c r="J312">
        <f>IF($N312="","",INDEX(Staging!$K$2:$K$3001,$N312))</f>
      </c>
      <c r="K312">
        <f>IF($N312="","",INDEX(Staging!$M$2:$M$3001,$N312))</f>
      </c>
      <c r="L312">
        <f>IF($N312="","",INDEX(Staging!$O$2:$O$3001,$N312))</f>
      </c>
      <c r="M312">
        <f>IF($N312="","",INDEX(Staging!$P$2:$P$3001,$N312))</f>
      </c>
      <c r="N312">
        <f t="array" ref="N312">IFERROR(SMALL(IF(Staging!$E$2:$E$3001="MIPPL",ROW(Staging!$E$2:$E$3001)-ROW(Staging!$E$2)+1),311),"")</f>
      </c>
    </row>
    <row r="313" spans="1:14" x14ac:dyDescent="0.25">
      <c r="A313">
        <f>IF($N313="","",INDEX(Staging!$A$2:$A$3001,$N313))</f>
      </c>
      <c r="B313">
        <f>IF($N313="","",INDEX(Staging!$B$2:$B$3001,$N313))</f>
      </c>
      <c r="C313">
        <f>IF($N313="","",INDEX(Staging!$C$2:$C$3001,$N313))</f>
      </c>
      <c r="D313">
        <f>IF($N313="","",INDEX(Staging!$D$2:$D$3001,$N313))</f>
      </c>
      <c r="E313">
        <f>IF($N313="","",INDEX(Staging!$F$2:$F$3001,$N313))</f>
      </c>
      <c r="F313">
        <f>IF($N313="","",INDEX(Staging!$G$2:$G$3001,$N313))</f>
      </c>
      <c r="G313">
        <f>IF($N313="","",INDEX(Staging!$H$2:$H$3001,$N313))</f>
      </c>
      <c r="H313">
        <f>IF($N313="","",INDEX(Staging!$I$2:$I$3001,$N313))</f>
      </c>
      <c r="I313">
        <f>IF($N313="","",INDEX(Staging!$J$2:$J$3001,$N313))</f>
      </c>
      <c r="J313">
        <f>IF($N313="","",INDEX(Staging!$K$2:$K$3001,$N313))</f>
      </c>
      <c r="K313">
        <f>IF($N313="","",INDEX(Staging!$M$2:$M$3001,$N313))</f>
      </c>
      <c r="L313">
        <f>IF($N313="","",INDEX(Staging!$O$2:$O$3001,$N313))</f>
      </c>
      <c r="M313">
        <f>IF($N313="","",INDEX(Staging!$P$2:$P$3001,$N313))</f>
      </c>
      <c r="N313">
        <f t="array" ref="N313">IFERROR(SMALL(IF(Staging!$E$2:$E$3001="MIPPL",ROW(Staging!$E$2:$E$3001)-ROW(Staging!$E$2)+1),312),"")</f>
      </c>
    </row>
    <row r="314" spans="1:14" x14ac:dyDescent="0.25">
      <c r="A314">
        <f>IF($N314="","",INDEX(Staging!$A$2:$A$3001,$N314))</f>
      </c>
      <c r="B314">
        <f>IF($N314="","",INDEX(Staging!$B$2:$B$3001,$N314))</f>
      </c>
      <c r="C314">
        <f>IF($N314="","",INDEX(Staging!$C$2:$C$3001,$N314))</f>
      </c>
      <c r="D314">
        <f>IF($N314="","",INDEX(Staging!$D$2:$D$3001,$N314))</f>
      </c>
      <c r="E314">
        <f>IF($N314="","",INDEX(Staging!$F$2:$F$3001,$N314))</f>
      </c>
      <c r="F314">
        <f>IF($N314="","",INDEX(Staging!$G$2:$G$3001,$N314))</f>
      </c>
      <c r="G314">
        <f>IF($N314="","",INDEX(Staging!$H$2:$H$3001,$N314))</f>
      </c>
      <c r="H314">
        <f>IF($N314="","",INDEX(Staging!$I$2:$I$3001,$N314))</f>
      </c>
      <c r="I314">
        <f>IF($N314="","",INDEX(Staging!$J$2:$J$3001,$N314))</f>
      </c>
      <c r="J314">
        <f>IF($N314="","",INDEX(Staging!$K$2:$K$3001,$N314))</f>
      </c>
      <c r="K314">
        <f>IF($N314="","",INDEX(Staging!$M$2:$M$3001,$N314))</f>
      </c>
      <c r="L314">
        <f>IF($N314="","",INDEX(Staging!$O$2:$O$3001,$N314))</f>
      </c>
      <c r="M314">
        <f>IF($N314="","",INDEX(Staging!$P$2:$P$3001,$N314))</f>
      </c>
      <c r="N314">
        <f t="array" ref="N314">IFERROR(SMALL(IF(Staging!$E$2:$E$3001="MIPPL",ROW(Staging!$E$2:$E$3001)-ROW(Staging!$E$2)+1),313),"")</f>
      </c>
    </row>
    <row r="315" spans="1:14" x14ac:dyDescent="0.25">
      <c r="A315">
        <f>IF($N315="","",INDEX(Staging!$A$2:$A$3001,$N315))</f>
      </c>
      <c r="B315">
        <f>IF($N315="","",INDEX(Staging!$B$2:$B$3001,$N315))</f>
      </c>
      <c r="C315">
        <f>IF($N315="","",INDEX(Staging!$C$2:$C$3001,$N315))</f>
      </c>
      <c r="D315">
        <f>IF($N315="","",INDEX(Staging!$D$2:$D$3001,$N315))</f>
      </c>
      <c r="E315">
        <f>IF($N315="","",INDEX(Staging!$F$2:$F$3001,$N315))</f>
      </c>
      <c r="F315">
        <f>IF($N315="","",INDEX(Staging!$G$2:$G$3001,$N315))</f>
      </c>
      <c r="G315">
        <f>IF($N315="","",INDEX(Staging!$H$2:$H$3001,$N315))</f>
      </c>
      <c r="H315">
        <f>IF($N315="","",INDEX(Staging!$I$2:$I$3001,$N315))</f>
      </c>
      <c r="I315">
        <f>IF($N315="","",INDEX(Staging!$J$2:$J$3001,$N315))</f>
      </c>
      <c r="J315">
        <f>IF($N315="","",INDEX(Staging!$K$2:$K$3001,$N315))</f>
      </c>
      <c r="K315">
        <f>IF($N315="","",INDEX(Staging!$M$2:$M$3001,$N315))</f>
      </c>
      <c r="L315">
        <f>IF($N315="","",INDEX(Staging!$O$2:$O$3001,$N315))</f>
      </c>
      <c r="M315">
        <f>IF($N315="","",INDEX(Staging!$P$2:$P$3001,$N315))</f>
      </c>
      <c r="N315">
        <f t="array" ref="N315">IFERROR(SMALL(IF(Staging!$E$2:$E$3001="MIPPL",ROW(Staging!$E$2:$E$3001)-ROW(Staging!$E$2)+1),314),"")</f>
      </c>
    </row>
    <row r="316" spans="1:14" x14ac:dyDescent="0.25">
      <c r="A316">
        <f>IF($N316="","",INDEX(Staging!$A$2:$A$3001,$N316))</f>
      </c>
      <c r="B316">
        <f>IF($N316="","",INDEX(Staging!$B$2:$B$3001,$N316))</f>
      </c>
      <c r="C316">
        <f>IF($N316="","",INDEX(Staging!$C$2:$C$3001,$N316))</f>
      </c>
      <c r="D316">
        <f>IF($N316="","",INDEX(Staging!$D$2:$D$3001,$N316))</f>
      </c>
      <c r="E316">
        <f>IF($N316="","",INDEX(Staging!$F$2:$F$3001,$N316))</f>
      </c>
      <c r="F316">
        <f>IF($N316="","",INDEX(Staging!$G$2:$G$3001,$N316))</f>
      </c>
      <c r="G316">
        <f>IF($N316="","",INDEX(Staging!$H$2:$H$3001,$N316))</f>
      </c>
      <c r="H316">
        <f>IF($N316="","",INDEX(Staging!$I$2:$I$3001,$N316))</f>
      </c>
      <c r="I316">
        <f>IF($N316="","",INDEX(Staging!$J$2:$J$3001,$N316))</f>
      </c>
      <c r="J316">
        <f>IF($N316="","",INDEX(Staging!$K$2:$K$3001,$N316))</f>
      </c>
      <c r="K316">
        <f>IF($N316="","",INDEX(Staging!$M$2:$M$3001,$N316))</f>
      </c>
      <c r="L316">
        <f>IF($N316="","",INDEX(Staging!$O$2:$O$3001,$N316))</f>
      </c>
      <c r="M316">
        <f>IF($N316="","",INDEX(Staging!$P$2:$P$3001,$N316))</f>
      </c>
      <c r="N316">
        <f t="array" ref="N316">IFERROR(SMALL(IF(Staging!$E$2:$E$3001="MIPPL",ROW(Staging!$E$2:$E$3001)-ROW(Staging!$E$2)+1),315),"")</f>
      </c>
    </row>
    <row r="317" spans="1:14" x14ac:dyDescent="0.25">
      <c r="A317">
        <f>IF($N317="","",INDEX(Staging!$A$2:$A$3001,$N317))</f>
      </c>
      <c r="B317">
        <f>IF($N317="","",INDEX(Staging!$B$2:$B$3001,$N317))</f>
      </c>
      <c r="C317">
        <f>IF($N317="","",INDEX(Staging!$C$2:$C$3001,$N317))</f>
      </c>
      <c r="D317">
        <f>IF($N317="","",INDEX(Staging!$D$2:$D$3001,$N317))</f>
      </c>
      <c r="E317">
        <f>IF($N317="","",INDEX(Staging!$F$2:$F$3001,$N317))</f>
      </c>
      <c r="F317">
        <f>IF($N317="","",INDEX(Staging!$G$2:$G$3001,$N317))</f>
      </c>
      <c r="G317">
        <f>IF($N317="","",INDEX(Staging!$H$2:$H$3001,$N317))</f>
      </c>
      <c r="H317">
        <f>IF($N317="","",INDEX(Staging!$I$2:$I$3001,$N317))</f>
      </c>
      <c r="I317">
        <f>IF($N317="","",INDEX(Staging!$J$2:$J$3001,$N317))</f>
      </c>
      <c r="J317">
        <f>IF($N317="","",INDEX(Staging!$K$2:$K$3001,$N317))</f>
      </c>
      <c r="K317">
        <f>IF($N317="","",INDEX(Staging!$M$2:$M$3001,$N317))</f>
      </c>
      <c r="L317">
        <f>IF($N317="","",INDEX(Staging!$O$2:$O$3001,$N317))</f>
      </c>
      <c r="M317">
        <f>IF($N317="","",INDEX(Staging!$P$2:$P$3001,$N317))</f>
      </c>
      <c r="N317">
        <f t="array" ref="N317">IFERROR(SMALL(IF(Staging!$E$2:$E$3001="MIPPL",ROW(Staging!$E$2:$E$3001)-ROW(Staging!$E$2)+1),316),"")</f>
      </c>
    </row>
    <row r="318" spans="1:14" x14ac:dyDescent="0.25">
      <c r="A318">
        <f>IF($N318="","",INDEX(Staging!$A$2:$A$3001,$N318))</f>
      </c>
      <c r="B318">
        <f>IF($N318="","",INDEX(Staging!$B$2:$B$3001,$N318))</f>
      </c>
      <c r="C318">
        <f>IF($N318="","",INDEX(Staging!$C$2:$C$3001,$N318))</f>
      </c>
      <c r="D318">
        <f>IF($N318="","",INDEX(Staging!$D$2:$D$3001,$N318))</f>
      </c>
      <c r="E318">
        <f>IF($N318="","",INDEX(Staging!$F$2:$F$3001,$N318))</f>
      </c>
      <c r="F318">
        <f>IF($N318="","",INDEX(Staging!$G$2:$G$3001,$N318))</f>
      </c>
      <c r="G318">
        <f>IF($N318="","",INDEX(Staging!$H$2:$H$3001,$N318))</f>
      </c>
      <c r="H318">
        <f>IF($N318="","",INDEX(Staging!$I$2:$I$3001,$N318))</f>
      </c>
      <c r="I318">
        <f>IF($N318="","",INDEX(Staging!$J$2:$J$3001,$N318))</f>
      </c>
      <c r="J318">
        <f>IF($N318="","",INDEX(Staging!$K$2:$K$3001,$N318))</f>
      </c>
      <c r="K318">
        <f>IF($N318="","",INDEX(Staging!$M$2:$M$3001,$N318))</f>
      </c>
      <c r="L318">
        <f>IF($N318="","",INDEX(Staging!$O$2:$O$3001,$N318))</f>
      </c>
      <c r="M318">
        <f>IF($N318="","",INDEX(Staging!$P$2:$P$3001,$N318))</f>
      </c>
      <c r="N318">
        <f t="array" ref="N318">IFERROR(SMALL(IF(Staging!$E$2:$E$3001="MIPPL",ROW(Staging!$E$2:$E$3001)-ROW(Staging!$E$2)+1),317),"")</f>
      </c>
    </row>
    <row r="319" spans="1:14" x14ac:dyDescent="0.25">
      <c r="A319">
        <f>IF($N319="","",INDEX(Staging!$A$2:$A$3001,$N319))</f>
      </c>
      <c r="B319">
        <f>IF($N319="","",INDEX(Staging!$B$2:$B$3001,$N319))</f>
      </c>
      <c r="C319">
        <f>IF($N319="","",INDEX(Staging!$C$2:$C$3001,$N319))</f>
      </c>
      <c r="D319">
        <f>IF($N319="","",INDEX(Staging!$D$2:$D$3001,$N319))</f>
      </c>
      <c r="E319">
        <f>IF($N319="","",INDEX(Staging!$F$2:$F$3001,$N319))</f>
      </c>
      <c r="F319">
        <f>IF($N319="","",INDEX(Staging!$G$2:$G$3001,$N319))</f>
      </c>
      <c r="G319">
        <f>IF($N319="","",INDEX(Staging!$H$2:$H$3001,$N319))</f>
      </c>
      <c r="H319">
        <f>IF($N319="","",INDEX(Staging!$I$2:$I$3001,$N319))</f>
      </c>
      <c r="I319">
        <f>IF($N319="","",INDEX(Staging!$J$2:$J$3001,$N319))</f>
      </c>
      <c r="J319">
        <f>IF($N319="","",INDEX(Staging!$K$2:$K$3001,$N319))</f>
      </c>
      <c r="K319">
        <f>IF($N319="","",INDEX(Staging!$M$2:$M$3001,$N319))</f>
      </c>
      <c r="L319">
        <f>IF($N319="","",INDEX(Staging!$O$2:$O$3001,$N319))</f>
      </c>
      <c r="M319">
        <f>IF($N319="","",INDEX(Staging!$P$2:$P$3001,$N319))</f>
      </c>
      <c r="N319">
        <f t="array" ref="N319">IFERROR(SMALL(IF(Staging!$E$2:$E$3001="MIPPL",ROW(Staging!$E$2:$E$3001)-ROW(Staging!$E$2)+1),318),"")</f>
      </c>
    </row>
    <row r="320" spans="1:14" x14ac:dyDescent="0.25">
      <c r="A320">
        <f>IF($N320="","",INDEX(Staging!$A$2:$A$3001,$N320))</f>
      </c>
      <c r="B320">
        <f>IF($N320="","",INDEX(Staging!$B$2:$B$3001,$N320))</f>
      </c>
      <c r="C320">
        <f>IF($N320="","",INDEX(Staging!$C$2:$C$3001,$N320))</f>
      </c>
      <c r="D320">
        <f>IF($N320="","",INDEX(Staging!$D$2:$D$3001,$N320))</f>
      </c>
      <c r="E320">
        <f>IF($N320="","",INDEX(Staging!$F$2:$F$3001,$N320))</f>
      </c>
      <c r="F320">
        <f>IF($N320="","",INDEX(Staging!$G$2:$G$3001,$N320))</f>
      </c>
      <c r="G320">
        <f>IF($N320="","",INDEX(Staging!$H$2:$H$3001,$N320))</f>
      </c>
      <c r="H320">
        <f>IF($N320="","",INDEX(Staging!$I$2:$I$3001,$N320))</f>
      </c>
      <c r="I320">
        <f>IF($N320="","",INDEX(Staging!$J$2:$J$3001,$N320))</f>
      </c>
      <c r="J320">
        <f>IF($N320="","",INDEX(Staging!$K$2:$K$3001,$N320))</f>
      </c>
      <c r="K320">
        <f>IF($N320="","",INDEX(Staging!$M$2:$M$3001,$N320))</f>
      </c>
      <c r="L320">
        <f>IF($N320="","",INDEX(Staging!$O$2:$O$3001,$N320))</f>
      </c>
      <c r="M320">
        <f>IF($N320="","",INDEX(Staging!$P$2:$P$3001,$N320))</f>
      </c>
      <c r="N320">
        <f t="array" ref="N320">IFERROR(SMALL(IF(Staging!$E$2:$E$3001="MIPPL",ROW(Staging!$E$2:$E$3001)-ROW(Staging!$E$2)+1),319),"")</f>
      </c>
    </row>
    <row r="321" spans="1:14" x14ac:dyDescent="0.25">
      <c r="A321">
        <f>IF($N321="","",INDEX(Staging!$A$2:$A$3001,$N321))</f>
      </c>
      <c r="B321">
        <f>IF($N321="","",INDEX(Staging!$B$2:$B$3001,$N321))</f>
      </c>
      <c r="C321">
        <f>IF($N321="","",INDEX(Staging!$C$2:$C$3001,$N321))</f>
      </c>
      <c r="D321">
        <f>IF($N321="","",INDEX(Staging!$D$2:$D$3001,$N321))</f>
      </c>
      <c r="E321">
        <f>IF($N321="","",INDEX(Staging!$F$2:$F$3001,$N321))</f>
      </c>
      <c r="F321">
        <f>IF($N321="","",INDEX(Staging!$G$2:$G$3001,$N321))</f>
      </c>
      <c r="G321">
        <f>IF($N321="","",INDEX(Staging!$H$2:$H$3001,$N321))</f>
      </c>
      <c r="H321">
        <f>IF($N321="","",INDEX(Staging!$I$2:$I$3001,$N321))</f>
      </c>
      <c r="I321">
        <f>IF($N321="","",INDEX(Staging!$J$2:$J$3001,$N321))</f>
      </c>
      <c r="J321">
        <f>IF($N321="","",INDEX(Staging!$K$2:$K$3001,$N321))</f>
      </c>
      <c r="K321">
        <f>IF($N321="","",INDEX(Staging!$M$2:$M$3001,$N321))</f>
      </c>
      <c r="L321">
        <f>IF($N321="","",INDEX(Staging!$O$2:$O$3001,$N321))</f>
      </c>
      <c r="M321">
        <f>IF($N321="","",INDEX(Staging!$P$2:$P$3001,$N321))</f>
      </c>
      <c r="N321">
        <f t="array" ref="N321">IFERROR(SMALL(IF(Staging!$E$2:$E$3001="MIPPL",ROW(Staging!$E$2:$E$3001)-ROW(Staging!$E$2)+1),320),"")</f>
      </c>
    </row>
    <row r="322" spans="1:14" x14ac:dyDescent="0.25">
      <c r="A322">
        <f>IF($N322="","",INDEX(Staging!$A$2:$A$3001,$N322))</f>
      </c>
      <c r="B322">
        <f>IF($N322="","",INDEX(Staging!$B$2:$B$3001,$N322))</f>
      </c>
      <c r="C322">
        <f>IF($N322="","",INDEX(Staging!$C$2:$C$3001,$N322))</f>
      </c>
      <c r="D322">
        <f>IF($N322="","",INDEX(Staging!$D$2:$D$3001,$N322))</f>
      </c>
      <c r="E322">
        <f>IF($N322="","",INDEX(Staging!$F$2:$F$3001,$N322))</f>
      </c>
      <c r="F322">
        <f>IF($N322="","",INDEX(Staging!$G$2:$G$3001,$N322))</f>
      </c>
      <c r="G322">
        <f>IF($N322="","",INDEX(Staging!$H$2:$H$3001,$N322))</f>
      </c>
      <c r="H322">
        <f>IF($N322="","",INDEX(Staging!$I$2:$I$3001,$N322))</f>
      </c>
      <c r="I322">
        <f>IF($N322="","",INDEX(Staging!$J$2:$J$3001,$N322))</f>
      </c>
      <c r="J322">
        <f>IF($N322="","",INDEX(Staging!$K$2:$K$3001,$N322))</f>
      </c>
      <c r="K322">
        <f>IF($N322="","",INDEX(Staging!$M$2:$M$3001,$N322))</f>
      </c>
      <c r="L322">
        <f>IF($N322="","",INDEX(Staging!$O$2:$O$3001,$N322))</f>
      </c>
      <c r="M322">
        <f>IF($N322="","",INDEX(Staging!$P$2:$P$3001,$N322))</f>
      </c>
      <c r="N322">
        <f t="array" ref="N322">IFERROR(SMALL(IF(Staging!$E$2:$E$3001="MIPPL",ROW(Staging!$E$2:$E$3001)-ROW(Staging!$E$2)+1),321),"")</f>
      </c>
    </row>
    <row r="323" spans="1:14" x14ac:dyDescent="0.25">
      <c r="A323">
        <f>IF($N323="","",INDEX(Staging!$A$2:$A$3001,$N323))</f>
      </c>
      <c r="B323">
        <f>IF($N323="","",INDEX(Staging!$B$2:$B$3001,$N323))</f>
      </c>
      <c r="C323">
        <f>IF($N323="","",INDEX(Staging!$C$2:$C$3001,$N323))</f>
      </c>
      <c r="D323">
        <f>IF($N323="","",INDEX(Staging!$D$2:$D$3001,$N323))</f>
      </c>
      <c r="E323">
        <f>IF($N323="","",INDEX(Staging!$F$2:$F$3001,$N323))</f>
      </c>
      <c r="F323">
        <f>IF($N323="","",INDEX(Staging!$G$2:$G$3001,$N323))</f>
      </c>
      <c r="G323">
        <f>IF($N323="","",INDEX(Staging!$H$2:$H$3001,$N323))</f>
      </c>
      <c r="H323">
        <f>IF($N323="","",INDEX(Staging!$I$2:$I$3001,$N323))</f>
      </c>
      <c r="I323">
        <f>IF($N323="","",INDEX(Staging!$J$2:$J$3001,$N323))</f>
      </c>
      <c r="J323">
        <f>IF($N323="","",INDEX(Staging!$K$2:$K$3001,$N323))</f>
      </c>
      <c r="K323">
        <f>IF($N323="","",INDEX(Staging!$M$2:$M$3001,$N323))</f>
      </c>
      <c r="L323">
        <f>IF($N323="","",INDEX(Staging!$O$2:$O$3001,$N323))</f>
      </c>
      <c r="M323">
        <f>IF($N323="","",INDEX(Staging!$P$2:$P$3001,$N323))</f>
      </c>
      <c r="N323">
        <f t="array" ref="N323">IFERROR(SMALL(IF(Staging!$E$2:$E$3001="MIPPL",ROW(Staging!$E$2:$E$3001)-ROW(Staging!$E$2)+1),322),"")</f>
      </c>
    </row>
    <row r="324" spans="1:14" x14ac:dyDescent="0.25">
      <c r="A324">
        <f>IF($N324="","",INDEX(Staging!$A$2:$A$3001,$N324))</f>
      </c>
      <c r="B324">
        <f>IF($N324="","",INDEX(Staging!$B$2:$B$3001,$N324))</f>
      </c>
      <c r="C324">
        <f>IF($N324="","",INDEX(Staging!$C$2:$C$3001,$N324))</f>
      </c>
      <c r="D324">
        <f>IF($N324="","",INDEX(Staging!$D$2:$D$3001,$N324))</f>
      </c>
      <c r="E324">
        <f>IF($N324="","",INDEX(Staging!$F$2:$F$3001,$N324))</f>
      </c>
      <c r="F324">
        <f>IF($N324="","",INDEX(Staging!$G$2:$G$3001,$N324))</f>
      </c>
      <c r="G324">
        <f>IF($N324="","",INDEX(Staging!$H$2:$H$3001,$N324))</f>
      </c>
      <c r="H324">
        <f>IF($N324="","",INDEX(Staging!$I$2:$I$3001,$N324))</f>
      </c>
      <c r="I324">
        <f>IF($N324="","",INDEX(Staging!$J$2:$J$3001,$N324))</f>
      </c>
      <c r="J324">
        <f>IF($N324="","",INDEX(Staging!$K$2:$K$3001,$N324))</f>
      </c>
      <c r="K324">
        <f>IF($N324="","",INDEX(Staging!$M$2:$M$3001,$N324))</f>
      </c>
      <c r="L324">
        <f>IF($N324="","",INDEX(Staging!$O$2:$O$3001,$N324))</f>
      </c>
      <c r="M324">
        <f>IF($N324="","",INDEX(Staging!$P$2:$P$3001,$N324))</f>
      </c>
      <c r="N324">
        <f t="array" ref="N324">IFERROR(SMALL(IF(Staging!$E$2:$E$3001="MIPPL",ROW(Staging!$E$2:$E$3001)-ROW(Staging!$E$2)+1),323),"")</f>
      </c>
    </row>
    <row r="325" spans="1:14" x14ac:dyDescent="0.25">
      <c r="A325">
        <f>IF($N325="","",INDEX(Staging!$A$2:$A$3001,$N325))</f>
      </c>
      <c r="B325">
        <f>IF($N325="","",INDEX(Staging!$B$2:$B$3001,$N325))</f>
      </c>
      <c r="C325">
        <f>IF($N325="","",INDEX(Staging!$C$2:$C$3001,$N325))</f>
      </c>
      <c r="D325">
        <f>IF($N325="","",INDEX(Staging!$D$2:$D$3001,$N325))</f>
      </c>
      <c r="E325">
        <f>IF($N325="","",INDEX(Staging!$F$2:$F$3001,$N325))</f>
      </c>
      <c r="F325">
        <f>IF($N325="","",INDEX(Staging!$G$2:$G$3001,$N325))</f>
      </c>
      <c r="G325">
        <f>IF($N325="","",INDEX(Staging!$H$2:$H$3001,$N325))</f>
      </c>
      <c r="H325">
        <f>IF($N325="","",INDEX(Staging!$I$2:$I$3001,$N325))</f>
      </c>
      <c r="I325">
        <f>IF($N325="","",INDEX(Staging!$J$2:$J$3001,$N325))</f>
      </c>
      <c r="J325">
        <f>IF($N325="","",INDEX(Staging!$K$2:$K$3001,$N325))</f>
      </c>
      <c r="K325">
        <f>IF($N325="","",INDEX(Staging!$M$2:$M$3001,$N325))</f>
      </c>
      <c r="L325">
        <f>IF($N325="","",INDEX(Staging!$O$2:$O$3001,$N325))</f>
      </c>
      <c r="M325">
        <f>IF($N325="","",INDEX(Staging!$P$2:$P$3001,$N325))</f>
      </c>
      <c r="N325">
        <f t="array" ref="N325">IFERROR(SMALL(IF(Staging!$E$2:$E$3001="MIPPL",ROW(Staging!$E$2:$E$3001)-ROW(Staging!$E$2)+1),324),"")</f>
      </c>
    </row>
    <row r="326" spans="1:14" x14ac:dyDescent="0.25">
      <c r="A326">
        <f>IF($N326="","",INDEX(Staging!$A$2:$A$3001,$N326))</f>
      </c>
      <c r="B326">
        <f>IF($N326="","",INDEX(Staging!$B$2:$B$3001,$N326))</f>
      </c>
      <c r="C326">
        <f>IF($N326="","",INDEX(Staging!$C$2:$C$3001,$N326))</f>
      </c>
      <c r="D326">
        <f>IF($N326="","",INDEX(Staging!$D$2:$D$3001,$N326))</f>
      </c>
      <c r="E326">
        <f>IF($N326="","",INDEX(Staging!$F$2:$F$3001,$N326))</f>
      </c>
      <c r="F326">
        <f>IF($N326="","",INDEX(Staging!$G$2:$G$3001,$N326))</f>
      </c>
      <c r="G326">
        <f>IF($N326="","",INDEX(Staging!$H$2:$H$3001,$N326))</f>
      </c>
      <c r="H326">
        <f>IF($N326="","",INDEX(Staging!$I$2:$I$3001,$N326))</f>
      </c>
      <c r="I326">
        <f>IF($N326="","",INDEX(Staging!$J$2:$J$3001,$N326))</f>
      </c>
      <c r="J326">
        <f>IF($N326="","",INDEX(Staging!$K$2:$K$3001,$N326))</f>
      </c>
      <c r="K326">
        <f>IF($N326="","",INDEX(Staging!$M$2:$M$3001,$N326))</f>
      </c>
      <c r="L326">
        <f>IF($N326="","",INDEX(Staging!$O$2:$O$3001,$N326))</f>
      </c>
      <c r="M326">
        <f>IF($N326="","",INDEX(Staging!$P$2:$P$3001,$N326))</f>
      </c>
      <c r="N326">
        <f t="array" ref="N326">IFERROR(SMALL(IF(Staging!$E$2:$E$3001="MIPPL",ROW(Staging!$E$2:$E$3001)-ROW(Staging!$E$2)+1),325),"")</f>
      </c>
    </row>
    <row r="327" spans="1:14" x14ac:dyDescent="0.25">
      <c r="A327">
        <f>IF($N327="","",INDEX(Staging!$A$2:$A$3001,$N327))</f>
      </c>
      <c r="B327">
        <f>IF($N327="","",INDEX(Staging!$B$2:$B$3001,$N327))</f>
      </c>
      <c r="C327">
        <f>IF($N327="","",INDEX(Staging!$C$2:$C$3001,$N327))</f>
      </c>
      <c r="D327">
        <f>IF($N327="","",INDEX(Staging!$D$2:$D$3001,$N327))</f>
      </c>
      <c r="E327">
        <f>IF($N327="","",INDEX(Staging!$F$2:$F$3001,$N327))</f>
      </c>
      <c r="F327">
        <f>IF($N327="","",INDEX(Staging!$G$2:$G$3001,$N327))</f>
      </c>
      <c r="G327">
        <f>IF($N327="","",INDEX(Staging!$H$2:$H$3001,$N327))</f>
      </c>
      <c r="H327">
        <f>IF($N327="","",INDEX(Staging!$I$2:$I$3001,$N327))</f>
      </c>
      <c r="I327">
        <f>IF($N327="","",INDEX(Staging!$J$2:$J$3001,$N327))</f>
      </c>
      <c r="J327">
        <f>IF($N327="","",INDEX(Staging!$K$2:$K$3001,$N327))</f>
      </c>
      <c r="K327">
        <f>IF($N327="","",INDEX(Staging!$M$2:$M$3001,$N327))</f>
      </c>
      <c r="L327">
        <f>IF($N327="","",INDEX(Staging!$O$2:$O$3001,$N327))</f>
      </c>
      <c r="M327">
        <f>IF($N327="","",INDEX(Staging!$P$2:$P$3001,$N327))</f>
      </c>
      <c r="N327">
        <f t="array" ref="N327">IFERROR(SMALL(IF(Staging!$E$2:$E$3001="MIPPL",ROW(Staging!$E$2:$E$3001)-ROW(Staging!$E$2)+1),326),"")</f>
      </c>
    </row>
    <row r="328" spans="1:14" x14ac:dyDescent="0.25">
      <c r="A328">
        <f>IF($N328="","",INDEX(Staging!$A$2:$A$3001,$N328))</f>
      </c>
      <c r="B328">
        <f>IF($N328="","",INDEX(Staging!$B$2:$B$3001,$N328))</f>
      </c>
      <c r="C328">
        <f>IF($N328="","",INDEX(Staging!$C$2:$C$3001,$N328))</f>
      </c>
      <c r="D328">
        <f>IF($N328="","",INDEX(Staging!$D$2:$D$3001,$N328))</f>
      </c>
      <c r="E328">
        <f>IF($N328="","",INDEX(Staging!$F$2:$F$3001,$N328))</f>
      </c>
      <c r="F328">
        <f>IF($N328="","",INDEX(Staging!$G$2:$G$3001,$N328))</f>
      </c>
      <c r="G328">
        <f>IF($N328="","",INDEX(Staging!$H$2:$H$3001,$N328))</f>
      </c>
      <c r="H328">
        <f>IF($N328="","",INDEX(Staging!$I$2:$I$3001,$N328))</f>
      </c>
      <c r="I328">
        <f>IF($N328="","",INDEX(Staging!$J$2:$J$3001,$N328))</f>
      </c>
      <c r="J328">
        <f>IF($N328="","",INDEX(Staging!$K$2:$K$3001,$N328))</f>
      </c>
      <c r="K328">
        <f>IF($N328="","",INDEX(Staging!$M$2:$M$3001,$N328))</f>
      </c>
      <c r="L328">
        <f>IF($N328="","",INDEX(Staging!$O$2:$O$3001,$N328))</f>
      </c>
      <c r="M328">
        <f>IF($N328="","",INDEX(Staging!$P$2:$P$3001,$N328))</f>
      </c>
      <c r="N328">
        <f t="array" ref="N328">IFERROR(SMALL(IF(Staging!$E$2:$E$3001="MIPPL",ROW(Staging!$E$2:$E$3001)-ROW(Staging!$E$2)+1),327),"")</f>
      </c>
    </row>
    <row r="329" spans="1:14" x14ac:dyDescent="0.25">
      <c r="A329">
        <f>IF($N329="","",INDEX(Staging!$A$2:$A$3001,$N329))</f>
      </c>
      <c r="B329">
        <f>IF($N329="","",INDEX(Staging!$B$2:$B$3001,$N329))</f>
      </c>
      <c r="C329">
        <f>IF($N329="","",INDEX(Staging!$C$2:$C$3001,$N329))</f>
      </c>
      <c r="D329">
        <f>IF($N329="","",INDEX(Staging!$D$2:$D$3001,$N329))</f>
      </c>
      <c r="E329">
        <f>IF($N329="","",INDEX(Staging!$F$2:$F$3001,$N329))</f>
      </c>
      <c r="F329">
        <f>IF($N329="","",INDEX(Staging!$G$2:$G$3001,$N329))</f>
      </c>
      <c r="G329">
        <f>IF($N329="","",INDEX(Staging!$H$2:$H$3001,$N329))</f>
      </c>
      <c r="H329">
        <f>IF($N329="","",INDEX(Staging!$I$2:$I$3001,$N329))</f>
      </c>
      <c r="I329">
        <f>IF($N329="","",INDEX(Staging!$J$2:$J$3001,$N329))</f>
      </c>
      <c r="J329">
        <f>IF($N329="","",INDEX(Staging!$K$2:$K$3001,$N329))</f>
      </c>
      <c r="K329">
        <f>IF($N329="","",INDEX(Staging!$M$2:$M$3001,$N329))</f>
      </c>
      <c r="L329">
        <f>IF($N329="","",INDEX(Staging!$O$2:$O$3001,$N329))</f>
      </c>
      <c r="M329">
        <f>IF($N329="","",INDEX(Staging!$P$2:$P$3001,$N329))</f>
      </c>
      <c r="N329">
        <f t="array" ref="N329">IFERROR(SMALL(IF(Staging!$E$2:$E$3001="MIPPL",ROW(Staging!$E$2:$E$3001)-ROW(Staging!$E$2)+1),328),"")</f>
      </c>
    </row>
    <row r="330" spans="1:14" x14ac:dyDescent="0.25">
      <c r="A330">
        <f>IF($N330="","",INDEX(Staging!$A$2:$A$3001,$N330))</f>
      </c>
      <c r="B330">
        <f>IF($N330="","",INDEX(Staging!$B$2:$B$3001,$N330))</f>
      </c>
      <c r="C330">
        <f>IF($N330="","",INDEX(Staging!$C$2:$C$3001,$N330))</f>
      </c>
      <c r="D330">
        <f>IF($N330="","",INDEX(Staging!$D$2:$D$3001,$N330))</f>
      </c>
      <c r="E330">
        <f>IF($N330="","",INDEX(Staging!$F$2:$F$3001,$N330))</f>
      </c>
      <c r="F330">
        <f>IF($N330="","",INDEX(Staging!$G$2:$G$3001,$N330))</f>
      </c>
      <c r="G330">
        <f>IF($N330="","",INDEX(Staging!$H$2:$H$3001,$N330))</f>
      </c>
      <c r="H330">
        <f>IF($N330="","",INDEX(Staging!$I$2:$I$3001,$N330))</f>
      </c>
      <c r="I330">
        <f>IF($N330="","",INDEX(Staging!$J$2:$J$3001,$N330))</f>
      </c>
      <c r="J330">
        <f>IF($N330="","",INDEX(Staging!$K$2:$K$3001,$N330))</f>
      </c>
      <c r="K330">
        <f>IF($N330="","",INDEX(Staging!$M$2:$M$3001,$N330))</f>
      </c>
      <c r="L330">
        <f>IF($N330="","",INDEX(Staging!$O$2:$O$3001,$N330))</f>
      </c>
      <c r="M330">
        <f>IF($N330="","",INDEX(Staging!$P$2:$P$3001,$N330))</f>
      </c>
      <c r="N330">
        <f t="array" ref="N330">IFERROR(SMALL(IF(Staging!$E$2:$E$3001="MIPPL",ROW(Staging!$E$2:$E$3001)-ROW(Staging!$E$2)+1),329),"")</f>
      </c>
    </row>
    <row r="331" spans="1:14" x14ac:dyDescent="0.25">
      <c r="A331">
        <f>IF($N331="","",INDEX(Staging!$A$2:$A$3001,$N331))</f>
      </c>
      <c r="B331">
        <f>IF($N331="","",INDEX(Staging!$B$2:$B$3001,$N331))</f>
      </c>
      <c r="C331">
        <f>IF($N331="","",INDEX(Staging!$C$2:$C$3001,$N331))</f>
      </c>
      <c r="D331">
        <f>IF($N331="","",INDEX(Staging!$D$2:$D$3001,$N331))</f>
      </c>
      <c r="E331">
        <f>IF($N331="","",INDEX(Staging!$F$2:$F$3001,$N331))</f>
      </c>
      <c r="F331">
        <f>IF($N331="","",INDEX(Staging!$G$2:$G$3001,$N331))</f>
      </c>
      <c r="G331">
        <f>IF($N331="","",INDEX(Staging!$H$2:$H$3001,$N331))</f>
      </c>
      <c r="H331">
        <f>IF($N331="","",INDEX(Staging!$I$2:$I$3001,$N331))</f>
      </c>
      <c r="I331">
        <f>IF($N331="","",INDEX(Staging!$J$2:$J$3001,$N331))</f>
      </c>
      <c r="J331">
        <f>IF($N331="","",INDEX(Staging!$K$2:$K$3001,$N331))</f>
      </c>
      <c r="K331">
        <f>IF($N331="","",INDEX(Staging!$M$2:$M$3001,$N331))</f>
      </c>
      <c r="L331">
        <f>IF($N331="","",INDEX(Staging!$O$2:$O$3001,$N331))</f>
      </c>
      <c r="M331">
        <f>IF($N331="","",INDEX(Staging!$P$2:$P$3001,$N331))</f>
      </c>
      <c r="N331">
        <f t="array" ref="N331">IFERROR(SMALL(IF(Staging!$E$2:$E$3001="MIPPL",ROW(Staging!$E$2:$E$3001)-ROW(Staging!$E$2)+1),330),"")</f>
      </c>
    </row>
    <row r="332" spans="1:14" x14ac:dyDescent="0.25">
      <c r="A332">
        <f>IF($N332="","",INDEX(Staging!$A$2:$A$3001,$N332))</f>
      </c>
      <c r="B332">
        <f>IF($N332="","",INDEX(Staging!$B$2:$B$3001,$N332))</f>
      </c>
      <c r="C332">
        <f>IF($N332="","",INDEX(Staging!$C$2:$C$3001,$N332))</f>
      </c>
      <c r="D332">
        <f>IF($N332="","",INDEX(Staging!$D$2:$D$3001,$N332))</f>
      </c>
      <c r="E332">
        <f>IF($N332="","",INDEX(Staging!$F$2:$F$3001,$N332))</f>
      </c>
      <c r="F332">
        <f>IF($N332="","",INDEX(Staging!$G$2:$G$3001,$N332))</f>
      </c>
      <c r="G332">
        <f>IF($N332="","",INDEX(Staging!$H$2:$H$3001,$N332))</f>
      </c>
      <c r="H332">
        <f>IF($N332="","",INDEX(Staging!$I$2:$I$3001,$N332))</f>
      </c>
      <c r="I332">
        <f>IF($N332="","",INDEX(Staging!$J$2:$J$3001,$N332))</f>
      </c>
      <c r="J332">
        <f>IF($N332="","",INDEX(Staging!$K$2:$K$3001,$N332))</f>
      </c>
      <c r="K332">
        <f>IF($N332="","",INDEX(Staging!$M$2:$M$3001,$N332))</f>
      </c>
      <c r="L332">
        <f>IF($N332="","",INDEX(Staging!$O$2:$O$3001,$N332))</f>
      </c>
      <c r="M332">
        <f>IF($N332="","",INDEX(Staging!$P$2:$P$3001,$N332))</f>
      </c>
      <c r="N332">
        <f t="array" ref="N332">IFERROR(SMALL(IF(Staging!$E$2:$E$3001="MIPPL",ROW(Staging!$E$2:$E$3001)-ROW(Staging!$E$2)+1),331),"")</f>
      </c>
    </row>
    <row r="333" spans="1:14" x14ac:dyDescent="0.25">
      <c r="A333">
        <f>IF($N333="","",INDEX(Staging!$A$2:$A$3001,$N333))</f>
      </c>
      <c r="B333">
        <f>IF($N333="","",INDEX(Staging!$B$2:$B$3001,$N333))</f>
      </c>
      <c r="C333">
        <f>IF($N333="","",INDEX(Staging!$C$2:$C$3001,$N333))</f>
      </c>
      <c r="D333">
        <f>IF($N333="","",INDEX(Staging!$D$2:$D$3001,$N333))</f>
      </c>
      <c r="E333">
        <f>IF($N333="","",INDEX(Staging!$F$2:$F$3001,$N333))</f>
      </c>
      <c r="F333">
        <f>IF($N333="","",INDEX(Staging!$G$2:$G$3001,$N333))</f>
      </c>
      <c r="G333">
        <f>IF($N333="","",INDEX(Staging!$H$2:$H$3001,$N333))</f>
      </c>
      <c r="H333">
        <f>IF($N333="","",INDEX(Staging!$I$2:$I$3001,$N333))</f>
      </c>
      <c r="I333">
        <f>IF($N333="","",INDEX(Staging!$J$2:$J$3001,$N333))</f>
      </c>
      <c r="J333">
        <f>IF($N333="","",INDEX(Staging!$K$2:$K$3001,$N333))</f>
      </c>
      <c r="K333">
        <f>IF($N333="","",INDEX(Staging!$M$2:$M$3001,$N333))</f>
      </c>
      <c r="L333">
        <f>IF($N333="","",INDEX(Staging!$O$2:$O$3001,$N333))</f>
      </c>
      <c r="M333">
        <f>IF($N333="","",INDEX(Staging!$P$2:$P$3001,$N333))</f>
      </c>
      <c r="N333">
        <f t="array" ref="N333">IFERROR(SMALL(IF(Staging!$E$2:$E$3001="MIPPL",ROW(Staging!$E$2:$E$3001)-ROW(Staging!$E$2)+1),332),"")</f>
      </c>
    </row>
    <row r="334" spans="1:14" x14ac:dyDescent="0.25">
      <c r="A334">
        <f>IF($N334="","",INDEX(Staging!$A$2:$A$3001,$N334))</f>
      </c>
      <c r="B334">
        <f>IF($N334="","",INDEX(Staging!$B$2:$B$3001,$N334))</f>
      </c>
      <c r="C334">
        <f>IF($N334="","",INDEX(Staging!$C$2:$C$3001,$N334))</f>
      </c>
      <c r="D334">
        <f>IF($N334="","",INDEX(Staging!$D$2:$D$3001,$N334))</f>
      </c>
      <c r="E334">
        <f>IF($N334="","",INDEX(Staging!$F$2:$F$3001,$N334))</f>
      </c>
      <c r="F334">
        <f>IF($N334="","",INDEX(Staging!$G$2:$G$3001,$N334))</f>
      </c>
      <c r="G334">
        <f>IF($N334="","",INDEX(Staging!$H$2:$H$3001,$N334))</f>
      </c>
      <c r="H334">
        <f>IF($N334="","",INDEX(Staging!$I$2:$I$3001,$N334))</f>
      </c>
      <c r="I334">
        <f>IF($N334="","",INDEX(Staging!$J$2:$J$3001,$N334))</f>
      </c>
      <c r="J334">
        <f>IF($N334="","",INDEX(Staging!$K$2:$K$3001,$N334))</f>
      </c>
      <c r="K334">
        <f>IF($N334="","",INDEX(Staging!$M$2:$M$3001,$N334))</f>
      </c>
      <c r="L334">
        <f>IF($N334="","",INDEX(Staging!$O$2:$O$3001,$N334))</f>
      </c>
      <c r="M334">
        <f>IF($N334="","",INDEX(Staging!$P$2:$P$3001,$N334))</f>
      </c>
      <c r="N334">
        <f t="array" ref="N334">IFERROR(SMALL(IF(Staging!$E$2:$E$3001="MIPPL",ROW(Staging!$E$2:$E$3001)-ROW(Staging!$E$2)+1),333),"")</f>
      </c>
    </row>
    <row r="335" spans="1:14" x14ac:dyDescent="0.25">
      <c r="A335">
        <f>IF($N335="","",INDEX(Staging!$A$2:$A$3001,$N335))</f>
      </c>
      <c r="B335">
        <f>IF($N335="","",INDEX(Staging!$B$2:$B$3001,$N335))</f>
      </c>
      <c r="C335">
        <f>IF($N335="","",INDEX(Staging!$C$2:$C$3001,$N335))</f>
      </c>
      <c r="D335">
        <f>IF($N335="","",INDEX(Staging!$D$2:$D$3001,$N335))</f>
      </c>
      <c r="E335">
        <f>IF($N335="","",INDEX(Staging!$F$2:$F$3001,$N335))</f>
      </c>
      <c r="F335">
        <f>IF($N335="","",INDEX(Staging!$G$2:$G$3001,$N335))</f>
      </c>
      <c r="G335">
        <f>IF($N335="","",INDEX(Staging!$H$2:$H$3001,$N335))</f>
      </c>
      <c r="H335">
        <f>IF($N335="","",INDEX(Staging!$I$2:$I$3001,$N335))</f>
      </c>
      <c r="I335">
        <f>IF($N335="","",INDEX(Staging!$J$2:$J$3001,$N335))</f>
      </c>
      <c r="J335">
        <f>IF($N335="","",INDEX(Staging!$K$2:$K$3001,$N335))</f>
      </c>
      <c r="K335">
        <f>IF($N335="","",INDEX(Staging!$M$2:$M$3001,$N335))</f>
      </c>
      <c r="L335">
        <f>IF($N335="","",INDEX(Staging!$O$2:$O$3001,$N335))</f>
      </c>
      <c r="M335">
        <f>IF($N335="","",INDEX(Staging!$P$2:$P$3001,$N335))</f>
      </c>
      <c r="N335">
        <f t="array" ref="N335">IFERROR(SMALL(IF(Staging!$E$2:$E$3001="MIPPL",ROW(Staging!$E$2:$E$3001)-ROW(Staging!$E$2)+1),334),"")</f>
      </c>
    </row>
    <row r="336" spans="1:14" x14ac:dyDescent="0.25">
      <c r="A336">
        <f>IF($N336="","",INDEX(Staging!$A$2:$A$3001,$N336))</f>
      </c>
      <c r="B336">
        <f>IF($N336="","",INDEX(Staging!$B$2:$B$3001,$N336))</f>
      </c>
      <c r="C336">
        <f>IF($N336="","",INDEX(Staging!$C$2:$C$3001,$N336))</f>
      </c>
      <c r="D336">
        <f>IF($N336="","",INDEX(Staging!$D$2:$D$3001,$N336))</f>
      </c>
      <c r="E336">
        <f>IF($N336="","",INDEX(Staging!$F$2:$F$3001,$N336))</f>
      </c>
      <c r="F336">
        <f>IF($N336="","",INDEX(Staging!$G$2:$G$3001,$N336))</f>
      </c>
      <c r="G336">
        <f>IF($N336="","",INDEX(Staging!$H$2:$H$3001,$N336))</f>
      </c>
      <c r="H336">
        <f>IF($N336="","",INDEX(Staging!$I$2:$I$3001,$N336))</f>
      </c>
      <c r="I336">
        <f>IF($N336="","",INDEX(Staging!$J$2:$J$3001,$N336))</f>
      </c>
      <c r="J336">
        <f>IF($N336="","",INDEX(Staging!$K$2:$K$3001,$N336))</f>
      </c>
      <c r="K336">
        <f>IF($N336="","",INDEX(Staging!$M$2:$M$3001,$N336))</f>
      </c>
      <c r="L336">
        <f>IF($N336="","",INDEX(Staging!$O$2:$O$3001,$N336))</f>
      </c>
      <c r="M336">
        <f>IF($N336="","",INDEX(Staging!$P$2:$P$3001,$N336))</f>
      </c>
      <c r="N336">
        <f t="array" ref="N336">IFERROR(SMALL(IF(Staging!$E$2:$E$3001="MIPPL",ROW(Staging!$E$2:$E$3001)-ROW(Staging!$E$2)+1),335),"")</f>
      </c>
    </row>
    <row r="337" spans="1:14" x14ac:dyDescent="0.25">
      <c r="A337">
        <f>IF($N337="","",INDEX(Staging!$A$2:$A$3001,$N337))</f>
      </c>
      <c r="B337">
        <f>IF($N337="","",INDEX(Staging!$B$2:$B$3001,$N337))</f>
      </c>
      <c r="C337">
        <f>IF($N337="","",INDEX(Staging!$C$2:$C$3001,$N337))</f>
      </c>
      <c r="D337">
        <f>IF($N337="","",INDEX(Staging!$D$2:$D$3001,$N337))</f>
      </c>
      <c r="E337">
        <f>IF($N337="","",INDEX(Staging!$F$2:$F$3001,$N337))</f>
      </c>
      <c r="F337">
        <f>IF($N337="","",INDEX(Staging!$G$2:$G$3001,$N337))</f>
      </c>
      <c r="G337">
        <f>IF($N337="","",INDEX(Staging!$H$2:$H$3001,$N337))</f>
      </c>
      <c r="H337">
        <f>IF($N337="","",INDEX(Staging!$I$2:$I$3001,$N337))</f>
      </c>
      <c r="I337">
        <f>IF($N337="","",INDEX(Staging!$J$2:$J$3001,$N337))</f>
      </c>
      <c r="J337">
        <f>IF($N337="","",INDEX(Staging!$K$2:$K$3001,$N337))</f>
      </c>
      <c r="K337">
        <f>IF($N337="","",INDEX(Staging!$M$2:$M$3001,$N337))</f>
      </c>
      <c r="L337">
        <f>IF($N337="","",INDEX(Staging!$O$2:$O$3001,$N337))</f>
      </c>
      <c r="M337">
        <f>IF($N337="","",INDEX(Staging!$P$2:$P$3001,$N337))</f>
      </c>
      <c r="N337">
        <f t="array" ref="N337">IFERROR(SMALL(IF(Staging!$E$2:$E$3001="MIPPL",ROW(Staging!$E$2:$E$3001)-ROW(Staging!$E$2)+1),336),"")</f>
      </c>
    </row>
    <row r="338" spans="1:14" x14ac:dyDescent="0.25">
      <c r="A338">
        <f>IF($N338="","",INDEX(Staging!$A$2:$A$3001,$N338))</f>
      </c>
      <c r="B338">
        <f>IF($N338="","",INDEX(Staging!$B$2:$B$3001,$N338))</f>
      </c>
      <c r="C338">
        <f>IF($N338="","",INDEX(Staging!$C$2:$C$3001,$N338))</f>
      </c>
      <c r="D338">
        <f>IF($N338="","",INDEX(Staging!$D$2:$D$3001,$N338))</f>
      </c>
      <c r="E338">
        <f>IF($N338="","",INDEX(Staging!$F$2:$F$3001,$N338))</f>
      </c>
      <c r="F338">
        <f>IF($N338="","",INDEX(Staging!$G$2:$G$3001,$N338))</f>
      </c>
      <c r="G338">
        <f>IF($N338="","",INDEX(Staging!$H$2:$H$3001,$N338))</f>
      </c>
      <c r="H338">
        <f>IF($N338="","",INDEX(Staging!$I$2:$I$3001,$N338))</f>
      </c>
      <c r="I338">
        <f>IF($N338="","",INDEX(Staging!$J$2:$J$3001,$N338))</f>
      </c>
      <c r="J338">
        <f>IF($N338="","",INDEX(Staging!$K$2:$K$3001,$N338))</f>
      </c>
      <c r="K338">
        <f>IF($N338="","",INDEX(Staging!$M$2:$M$3001,$N338))</f>
      </c>
      <c r="L338">
        <f>IF($N338="","",INDEX(Staging!$O$2:$O$3001,$N338))</f>
      </c>
      <c r="M338">
        <f>IF($N338="","",INDEX(Staging!$P$2:$P$3001,$N338))</f>
      </c>
      <c r="N338">
        <f t="array" ref="N338">IFERROR(SMALL(IF(Staging!$E$2:$E$3001="MIPPL",ROW(Staging!$E$2:$E$3001)-ROW(Staging!$E$2)+1),337),"")</f>
      </c>
    </row>
    <row r="339" spans="1:14" x14ac:dyDescent="0.25">
      <c r="A339">
        <f>IF($N339="","",INDEX(Staging!$A$2:$A$3001,$N339))</f>
      </c>
      <c r="B339">
        <f>IF($N339="","",INDEX(Staging!$B$2:$B$3001,$N339))</f>
      </c>
      <c r="C339">
        <f>IF($N339="","",INDEX(Staging!$C$2:$C$3001,$N339))</f>
      </c>
      <c r="D339">
        <f>IF($N339="","",INDEX(Staging!$D$2:$D$3001,$N339))</f>
      </c>
      <c r="E339">
        <f>IF($N339="","",INDEX(Staging!$F$2:$F$3001,$N339))</f>
      </c>
      <c r="F339">
        <f>IF($N339="","",INDEX(Staging!$G$2:$G$3001,$N339))</f>
      </c>
      <c r="G339">
        <f>IF($N339="","",INDEX(Staging!$H$2:$H$3001,$N339))</f>
      </c>
      <c r="H339">
        <f>IF($N339="","",INDEX(Staging!$I$2:$I$3001,$N339))</f>
      </c>
      <c r="I339">
        <f>IF($N339="","",INDEX(Staging!$J$2:$J$3001,$N339))</f>
      </c>
      <c r="J339">
        <f>IF($N339="","",INDEX(Staging!$K$2:$K$3001,$N339))</f>
      </c>
      <c r="K339">
        <f>IF($N339="","",INDEX(Staging!$M$2:$M$3001,$N339))</f>
      </c>
      <c r="L339">
        <f>IF($N339="","",INDEX(Staging!$O$2:$O$3001,$N339))</f>
      </c>
      <c r="M339">
        <f>IF($N339="","",INDEX(Staging!$P$2:$P$3001,$N339))</f>
      </c>
      <c r="N339">
        <f t="array" ref="N339">IFERROR(SMALL(IF(Staging!$E$2:$E$3001="MIPPL",ROW(Staging!$E$2:$E$3001)-ROW(Staging!$E$2)+1),338),"")</f>
      </c>
    </row>
    <row r="340" spans="1:14" x14ac:dyDescent="0.25">
      <c r="A340">
        <f>IF($N340="","",INDEX(Staging!$A$2:$A$3001,$N340))</f>
      </c>
      <c r="B340">
        <f>IF($N340="","",INDEX(Staging!$B$2:$B$3001,$N340))</f>
      </c>
      <c r="C340">
        <f>IF($N340="","",INDEX(Staging!$C$2:$C$3001,$N340))</f>
      </c>
      <c r="D340">
        <f>IF($N340="","",INDEX(Staging!$D$2:$D$3001,$N340))</f>
      </c>
      <c r="E340">
        <f>IF($N340="","",INDEX(Staging!$F$2:$F$3001,$N340))</f>
      </c>
      <c r="F340">
        <f>IF($N340="","",INDEX(Staging!$G$2:$G$3001,$N340))</f>
      </c>
      <c r="G340">
        <f>IF($N340="","",INDEX(Staging!$H$2:$H$3001,$N340))</f>
      </c>
      <c r="H340">
        <f>IF($N340="","",INDEX(Staging!$I$2:$I$3001,$N340))</f>
      </c>
      <c r="I340">
        <f>IF($N340="","",INDEX(Staging!$J$2:$J$3001,$N340))</f>
      </c>
      <c r="J340">
        <f>IF($N340="","",INDEX(Staging!$K$2:$K$3001,$N340))</f>
      </c>
      <c r="K340">
        <f>IF($N340="","",INDEX(Staging!$M$2:$M$3001,$N340))</f>
      </c>
      <c r="L340">
        <f>IF($N340="","",INDEX(Staging!$O$2:$O$3001,$N340))</f>
      </c>
      <c r="M340">
        <f>IF($N340="","",INDEX(Staging!$P$2:$P$3001,$N340))</f>
      </c>
      <c r="N340">
        <f t="array" ref="N340">IFERROR(SMALL(IF(Staging!$E$2:$E$3001="MIPPL",ROW(Staging!$E$2:$E$3001)-ROW(Staging!$E$2)+1),339),"")</f>
      </c>
    </row>
    <row r="341" spans="1:14" x14ac:dyDescent="0.25">
      <c r="A341">
        <f>IF($N341="","",INDEX(Staging!$A$2:$A$3001,$N341))</f>
      </c>
      <c r="B341">
        <f>IF($N341="","",INDEX(Staging!$B$2:$B$3001,$N341))</f>
      </c>
      <c r="C341">
        <f>IF($N341="","",INDEX(Staging!$C$2:$C$3001,$N341))</f>
      </c>
      <c r="D341">
        <f>IF($N341="","",INDEX(Staging!$D$2:$D$3001,$N341))</f>
      </c>
      <c r="E341">
        <f>IF($N341="","",INDEX(Staging!$F$2:$F$3001,$N341))</f>
      </c>
      <c r="F341">
        <f>IF($N341="","",INDEX(Staging!$G$2:$G$3001,$N341))</f>
      </c>
      <c r="G341">
        <f>IF($N341="","",INDEX(Staging!$H$2:$H$3001,$N341))</f>
      </c>
      <c r="H341">
        <f>IF($N341="","",INDEX(Staging!$I$2:$I$3001,$N341))</f>
      </c>
      <c r="I341">
        <f>IF($N341="","",INDEX(Staging!$J$2:$J$3001,$N341))</f>
      </c>
      <c r="J341">
        <f>IF($N341="","",INDEX(Staging!$K$2:$K$3001,$N341))</f>
      </c>
      <c r="K341">
        <f>IF($N341="","",INDEX(Staging!$M$2:$M$3001,$N341))</f>
      </c>
      <c r="L341">
        <f>IF($N341="","",INDEX(Staging!$O$2:$O$3001,$N341))</f>
      </c>
      <c r="M341">
        <f>IF($N341="","",INDEX(Staging!$P$2:$P$3001,$N341))</f>
      </c>
      <c r="N341">
        <f t="array" ref="N341">IFERROR(SMALL(IF(Staging!$E$2:$E$3001="MIPPL",ROW(Staging!$E$2:$E$3001)-ROW(Staging!$E$2)+1),340),"")</f>
      </c>
    </row>
    <row r="342" spans="1:14" x14ac:dyDescent="0.25">
      <c r="A342">
        <f>IF($N342="","",INDEX(Staging!$A$2:$A$3001,$N342))</f>
      </c>
      <c r="B342">
        <f>IF($N342="","",INDEX(Staging!$B$2:$B$3001,$N342))</f>
      </c>
      <c r="C342">
        <f>IF($N342="","",INDEX(Staging!$C$2:$C$3001,$N342))</f>
      </c>
      <c r="D342">
        <f>IF($N342="","",INDEX(Staging!$D$2:$D$3001,$N342))</f>
      </c>
      <c r="E342">
        <f>IF($N342="","",INDEX(Staging!$F$2:$F$3001,$N342))</f>
      </c>
      <c r="F342">
        <f>IF($N342="","",INDEX(Staging!$G$2:$G$3001,$N342))</f>
      </c>
      <c r="G342">
        <f>IF($N342="","",INDEX(Staging!$H$2:$H$3001,$N342))</f>
      </c>
      <c r="H342">
        <f>IF($N342="","",INDEX(Staging!$I$2:$I$3001,$N342))</f>
      </c>
      <c r="I342">
        <f>IF($N342="","",INDEX(Staging!$J$2:$J$3001,$N342))</f>
      </c>
      <c r="J342">
        <f>IF($N342="","",INDEX(Staging!$K$2:$K$3001,$N342))</f>
      </c>
      <c r="K342">
        <f>IF($N342="","",INDEX(Staging!$M$2:$M$3001,$N342))</f>
      </c>
      <c r="L342">
        <f>IF($N342="","",INDEX(Staging!$O$2:$O$3001,$N342))</f>
      </c>
      <c r="M342">
        <f>IF($N342="","",INDEX(Staging!$P$2:$P$3001,$N342))</f>
      </c>
      <c r="N342">
        <f t="array" ref="N342">IFERROR(SMALL(IF(Staging!$E$2:$E$3001="MIPPL",ROW(Staging!$E$2:$E$3001)-ROW(Staging!$E$2)+1),341),"")</f>
      </c>
    </row>
    <row r="343" spans="1:14" x14ac:dyDescent="0.25">
      <c r="A343">
        <f>IF($N343="","",INDEX(Staging!$A$2:$A$3001,$N343))</f>
      </c>
      <c r="B343">
        <f>IF($N343="","",INDEX(Staging!$B$2:$B$3001,$N343))</f>
      </c>
      <c r="C343">
        <f>IF($N343="","",INDEX(Staging!$C$2:$C$3001,$N343))</f>
      </c>
      <c r="D343">
        <f>IF($N343="","",INDEX(Staging!$D$2:$D$3001,$N343))</f>
      </c>
      <c r="E343">
        <f>IF($N343="","",INDEX(Staging!$F$2:$F$3001,$N343))</f>
      </c>
      <c r="F343">
        <f>IF($N343="","",INDEX(Staging!$G$2:$G$3001,$N343))</f>
      </c>
      <c r="G343">
        <f>IF($N343="","",INDEX(Staging!$H$2:$H$3001,$N343))</f>
      </c>
      <c r="H343">
        <f>IF($N343="","",INDEX(Staging!$I$2:$I$3001,$N343))</f>
      </c>
      <c r="I343">
        <f>IF($N343="","",INDEX(Staging!$J$2:$J$3001,$N343))</f>
      </c>
      <c r="J343">
        <f>IF($N343="","",INDEX(Staging!$K$2:$K$3001,$N343))</f>
      </c>
      <c r="K343">
        <f>IF($N343="","",INDEX(Staging!$M$2:$M$3001,$N343))</f>
      </c>
      <c r="L343">
        <f>IF($N343="","",INDEX(Staging!$O$2:$O$3001,$N343))</f>
      </c>
      <c r="M343">
        <f>IF($N343="","",INDEX(Staging!$P$2:$P$3001,$N343))</f>
      </c>
      <c r="N343">
        <f t="array" ref="N343">IFERROR(SMALL(IF(Staging!$E$2:$E$3001="MIPPL",ROW(Staging!$E$2:$E$3001)-ROW(Staging!$E$2)+1),342),"")</f>
      </c>
    </row>
    <row r="344" spans="1:14" x14ac:dyDescent="0.25">
      <c r="A344">
        <f>IF($N344="","",INDEX(Staging!$A$2:$A$3001,$N344))</f>
      </c>
      <c r="B344">
        <f>IF($N344="","",INDEX(Staging!$B$2:$B$3001,$N344))</f>
      </c>
      <c r="C344">
        <f>IF($N344="","",INDEX(Staging!$C$2:$C$3001,$N344))</f>
      </c>
      <c r="D344">
        <f>IF($N344="","",INDEX(Staging!$D$2:$D$3001,$N344))</f>
      </c>
      <c r="E344">
        <f>IF($N344="","",INDEX(Staging!$F$2:$F$3001,$N344))</f>
      </c>
      <c r="F344">
        <f>IF($N344="","",INDEX(Staging!$G$2:$G$3001,$N344))</f>
      </c>
      <c r="G344">
        <f>IF($N344="","",INDEX(Staging!$H$2:$H$3001,$N344))</f>
      </c>
      <c r="H344">
        <f>IF($N344="","",INDEX(Staging!$I$2:$I$3001,$N344))</f>
      </c>
      <c r="I344">
        <f>IF($N344="","",INDEX(Staging!$J$2:$J$3001,$N344))</f>
      </c>
      <c r="J344">
        <f>IF($N344="","",INDEX(Staging!$K$2:$K$3001,$N344))</f>
      </c>
      <c r="K344">
        <f>IF($N344="","",INDEX(Staging!$M$2:$M$3001,$N344))</f>
      </c>
      <c r="L344">
        <f>IF($N344="","",INDEX(Staging!$O$2:$O$3001,$N344))</f>
      </c>
      <c r="M344">
        <f>IF($N344="","",INDEX(Staging!$P$2:$P$3001,$N344))</f>
      </c>
      <c r="N344">
        <f t="array" ref="N344">IFERROR(SMALL(IF(Staging!$E$2:$E$3001="MIPPL",ROW(Staging!$E$2:$E$3001)-ROW(Staging!$E$2)+1),343),"")</f>
      </c>
    </row>
    <row r="345" spans="1:14" x14ac:dyDescent="0.25">
      <c r="A345">
        <f>IF($N345="","",INDEX(Staging!$A$2:$A$3001,$N345))</f>
      </c>
      <c r="B345">
        <f>IF($N345="","",INDEX(Staging!$B$2:$B$3001,$N345))</f>
      </c>
      <c r="C345">
        <f>IF($N345="","",INDEX(Staging!$C$2:$C$3001,$N345))</f>
      </c>
      <c r="D345">
        <f>IF($N345="","",INDEX(Staging!$D$2:$D$3001,$N345))</f>
      </c>
      <c r="E345">
        <f>IF($N345="","",INDEX(Staging!$F$2:$F$3001,$N345))</f>
      </c>
      <c r="F345">
        <f>IF($N345="","",INDEX(Staging!$G$2:$G$3001,$N345))</f>
      </c>
      <c r="G345">
        <f>IF($N345="","",INDEX(Staging!$H$2:$H$3001,$N345))</f>
      </c>
      <c r="H345">
        <f>IF($N345="","",INDEX(Staging!$I$2:$I$3001,$N345))</f>
      </c>
      <c r="I345">
        <f>IF($N345="","",INDEX(Staging!$J$2:$J$3001,$N345))</f>
      </c>
      <c r="J345">
        <f>IF($N345="","",INDEX(Staging!$K$2:$K$3001,$N345))</f>
      </c>
      <c r="K345">
        <f>IF($N345="","",INDEX(Staging!$M$2:$M$3001,$N345))</f>
      </c>
      <c r="L345">
        <f>IF($N345="","",INDEX(Staging!$O$2:$O$3001,$N345))</f>
      </c>
      <c r="M345">
        <f>IF($N345="","",INDEX(Staging!$P$2:$P$3001,$N345))</f>
      </c>
      <c r="N345">
        <f t="array" ref="N345">IFERROR(SMALL(IF(Staging!$E$2:$E$3001="MIPPL",ROW(Staging!$E$2:$E$3001)-ROW(Staging!$E$2)+1),344),"")</f>
      </c>
    </row>
    <row r="346" spans="1:14" x14ac:dyDescent="0.25">
      <c r="A346">
        <f>IF($N346="","",INDEX(Staging!$A$2:$A$3001,$N346))</f>
      </c>
      <c r="B346">
        <f>IF($N346="","",INDEX(Staging!$B$2:$B$3001,$N346))</f>
      </c>
      <c r="C346">
        <f>IF($N346="","",INDEX(Staging!$C$2:$C$3001,$N346))</f>
      </c>
      <c r="D346">
        <f>IF($N346="","",INDEX(Staging!$D$2:$D$3001,$N346))</f>
      </c>
      <c r="E346">
        <f>IF($N346="","",INDEX(Staging!$F$2:$F$3001,$N346))</f>
      </c>
      <c r="F346">
        <f>IF($N346="","",INDEX(Staging!$G$2:$G$3001,$N346))</f>
      </c>
      <c r="G346">
        <f>IF($N346="","",INDEX(Staging!$H$2:$H$3001,$N346))</f>
      </c>
      <c r="H346">
        <f>IF($N346="","",INDEX(Staging!$I$2:$I$3001,$N346))</f>
      </c>
      <c r="I346">
        <f>IF($N346="","",INDEX(Staging!$J$2:$J$3001,$N346))</f>
      </c>
      <c r="J346">
        <f>IF($N346="","",INDEX(Staging!$K$2:$K$3001,$N346))</f>
      </c>
      <c r="K346">
        <f>IF($N346="","",INDEX(Staging!$M$2:$M$3001,$N346))</f>
      </c>
      <c r="L346">
        <f>IF($N346="","",INDEX(Staging!$O$2:$O$3001,$N346))</f>
      </c>
      <c r="M346">
        <f>IF($N346="","",INDEX(Staging!$P$2:$P$3001,$N346))</f>
      </c>
      <c r="N346">
        <f t="array" ref="N346">IFERROR(SMALL(IF(Staging!$E$2:$E$3001="MIPPL",ROW(Staging!$E$2:$E$3001)-ROW(Staging!$E$2)+1),345),"")</f>
      </c>
    </row>
    <row r="347" spans="1:14" x14ac:dyDescent="0.25">
      <c r="A347">
        <f>IF($N347="","",INDEX(Staging!$A$2:$A$3001,$N347))</f>
      </c>
      <c r="B347">
        <f>IF($N347="","",INDEX(Staging!$B$2:$B$3001,$N347))</f>
      </c>
      <c r="C347">
        <f>IF($N347="","",INDEX(Staging!$C$2:$C$3001,$N347))</f>
      </c>
      <c r="D347">
        <f>IF($N347="","",INDEX(Staging!$D$2:$D$3001,$N347))</f>
      </c>
      <c r="E347">
        <f>IF($N347="","",INDEX(Staging!$F$2:$F$3001,$N347))</f>
      </c>
      <c r="F347">
        <f>IF($N347="","",INDEX(Staging!$G$2:$G$3001,$N347))</f>
      </c>
      <c r="G347">
        <f>IF($N347="","",INDEX(Staging!$H$2:$H$3001,$N347))</f>
      </c>
      <c r="H347">
        <f>IF($N347="","",INDEX(Staging!$I$2:$I$3001,$N347))</f>
      </c>
      <c r="I347">
        <f>IF($N347="","",INDEX(Staging!$J$2:$J$3001,$N347))</f>
      </c>
      <c r="J347">
        <f>IF($N347="","",INDEX(Staging!$K$2:$K$3001,$N347))</f>
      </c>
      <c r="K347">
        <f>IF($N347="","",INDEX(Staging!$M$2:$M$3001,$N347))</f>
      </c>
      <c r="L347">
        <f>IF($N347="","",INDEX(Staging!$O$2:$O$3001,$N347))</f>
      </c>
      <c r="M347">
        <f>IF($N347="","",INDEX(Staging!$P$2:$P$3001,$N347))</f>
      </c>
      <c r="N347">
        <f t="array" ref="N347">IFERROR(SMALL(IF(Staging!$E$2:$E$3001="MIPPL",ROW(Staging!$E$2:$E$3001)-ROW(Staging!$E$2)+1),346),"")</f>
      </c>
    </row>
    <row r="348" spans="1:14" x14ac:dyDescent="0.25">
      <c r="A348">
        <f>IF($N348="","",INDEX(Staging!$A$2:$A$3001,$N348))</f>
      </c>
      <c r="B348">
        <f>IF($N348="","",INDEX(Staging!$B$2:$B$3001,$N348))</f>
      </c>
      <c r="C348">
        <f>IF($N348="","",INDEX(Staging!$C$2:$C$3001,$N348))</f>
      </c>
      <c r="D348">
        <f>IF($N348="","",INDEX(Staging!$D$2:$D$3001,$N348))</f>
      </c>
      <c r="E348">
        <f>IF($N348="","",INDEX(Staging!$F$2:$F$3001,$N348))</f>
      </c>
      <c r="F348">
        <f>IF($N348="","",INDEX(Staging!$G$2:$G$3001,$N348))</f>
      </c>
      <c r="G348">
        <f>IF($N348="","",INDEX(Staging!$H$2:$H$3001,$N348))</f>
      </c>
      <c r="H348">
        <f>IF($N348="","",INDEX(Staging!$I$2:$I$3001,$N348))</f>
      </c>
      <c r="I348">
        <f>IF($N348="","",INDEX(Staging!$J$2:$J$3001,$N348))</f>
      </c>
      <c r="J348">
        <f>IF($N348="","",INDEX(Staging!$K$2:$K$3001,$N348))</f>
      </c>
      <c r="K348">
        <f>IF($N348="","",INDEX(Staging!$M$2:$M$3001,$N348))</f>
      </c>
      <c r="L348">
        <f>IF($N348="","",INDEX(Staging!$O$2:$O$3001,$N348))</f>
      </c>
      <c r="M348">
        <f>IF($N348="","",INDEX(Staging!$P$2:$P$3001,$N348))</f>
      </c>
      <c r="N348">
        <f t="array" ref="N348">IFERROR(SMALL(IF(Staging!$E$2:$E$3001="MIPPL",ROW(Staging!$E$2:$E$3001)-ROW(Staging!$E$2)+1),347),"")</f>
      </c>
    </row>
    <row r="349" spans="1:14" x14ac:dyDescent="0.25">
      <c r="A349">
        <f>IF($N349="","",INDEX(Staging!$A$2:$A$3001,$N349))</f>
      </c>
      <c r="B349">
        <f>IF($N349="","",INDEX(Staging!$B$2:$B$3001,$N349))</f>
      </c>
      <c r="C349">
        <f>IF($N349="","",INDEX(Staging!$C$2:$C$3001,$N349))</f>
      </c>
      <c r="D349">
        <f>IF($N349="","",INDEX(Staging!$D$2:$D$3001,$N349))</f>
      </c>
      <c r="E349">
        <f>IF($N349="","",INDEX(Staging!$F$2:$F$3001,$N349))</f>
      </c>
      <c r="F349">
        <f>IF($N349="","",INDEX(Staging!$G$2:$G$3001,$N349))</f>
      </c>
      <c r="G349">
        <f>IF($N349="","",INDEX(Staging!$H$2:$H$3001,$N349))</f>
      </c>
      <c r="H349">
        <f>IF($N349="","",INDEX(Staging!$I$2:$I$3001,$N349))</f>
      </c>
      <c r="I349">
        <f>IF($N349="","",INDEX(Staging!$J$2:$J$3001,$N349))</f>
      </c>
      <c r="J349">
        <f>IF($N349="","",INDEX(Staging!$K$2:$K$3001,$N349))</f>
      </c>
      <c r="K349">
        <f>IF($N349="","",INDEX(Staging!$M$2:$M$3001,$N349))</f>
      </c>
      <c r="L349">
        <f>IF($N349="","",INDEX(Staging!$O$2:$O$3001,$N349))</f>
      </c>
      <c r="M349">
        <f>IF($N349="","",INDEX(Staging!$P$2:$P$3001,$N349))</f>
      </c>
      <c r="N349">
        <f t="array" ref="N349">IFERROR(SMALL(IF(Staging!$E$2:$E$3001="MIPPL",ROW(Staging!$E$2:$E$3001)-ROW(Staging!$E$2)+1),348),"")</f>
      </c>
    </row>
    <row r="350" spans="1:14" x14ac:dyDescent="0.25">
      <c r="A350">
        <f>IF($N350="","",INDEX(Staging!$A$2:$A$3001,$N350))</f>
      </c>
      <c r="B350">
        <f>IF($N350="","",INDEX(Staging!$B$2:$B$3001,$N350))</f>
      </c>
      <c r="C350">
        <f>IF($N350="","",INDEX(Staging!$C$2:$C$3001,$N350))</f>
      </c>
      <c r="D350">
        <f>IF($N350="","",INDEX(Staging!$D$2:$D$3001,$N350))</f>
      </c>
      <c r="E350">
        <f>IF($N350="","",INDEX(Staging!$F$2:$F$3001,$N350))</f>
      </c>
      <c r="F350">
        <f>IF($N350="","",INDEX(Staging!$G$2:$G$3001,$N350))</f>
      </c>
      <c r="G350">
        <f>IF($N350="","",INDEX(Staging!$H$2:$H$3001,$N350))</f>
      </c>
      <c r="H350">
        <f>IF($N350="","",INDEX(Staging!$I$2:$I$3001,$N350))</f>
      </c>
      <c r="I350">
        <f>IF($N350="","",INDEX(Staging!$J$2:$J$3001,$N350))</f>
      </c>
      <c r="J350">
        <f>IF($N350="","",INDEX(Staging!$K$2:$K$3001,$N350))</f>
      </c>
      <c r="K350">
        <f>IF($N350="","",INDEX(Staging!$M$2:$M$3001,$N350))</f>
      </c>
      <c r="L350">
        <f>IF($N350="","",INDEX(Staging!$O$2:$O$3001,$N350))</f>
      </c>
      <c r="M350">
        <f>IF($N350="","",INDEX(Staging!$P$2:$P$3001,$N350))</f>
      </c>
      <c r="N350">
        <f t="array" ref="N350">IFERROR(SMALL(IF(Staging!$E$2:$E$3001="MIPPL",ROW(Staging!$E$2:$E$3001)-ROW(Staging!$E$2)+1),349),"")</f>
      </c>
    </row>
    <row r="351" spans="1:14" x14ac:dyDescent="0.25">
      <c r="A351">
        <f>IF($N351="","",INDEX(Staging!$A$2:$A$3001,$N351))</f>
      </c>
      <c r="B351">
        <f>IF($N351="","",INDEX(Staging!$B$2:$B$3001,$N351))</f>
      </c>
      <c r="C351">
        <f>IF($N351="","",INDEX(Staging!$C$2:$C$3001,$N351))</f>
      </c>
      <c r="D351">
        <f>IF($N351="","",INDEX(Staging!$D$2:$D$3001,$N351))</f>
      </c>
      <c r="E351">
        <f>IF($N351="","",INDEX(Staging!$F$2:$F$3001,$N351))</f>
      </c>
      <c r="F351">
        <f>IF($N351="","",INDEX(Staging!$G$2:$G$3001,$N351))</f>
      </c>
      <c r="G351">
        <f>IF($N351="","",INDEX(Staging!$H$2:$H$3001,$N351))</f>
      </c>
      <c r="H351">
        <f>IF($N351="","",INDEX(Staging!$I$2:$I$3001,$N351))</f>
      </c>
      <c r="I351">
        <f>IF($N351="","",INDEX(Staging!$J$2:$J$3001,$N351))</f>
      </c>
      <c r="J351">
        <f>IF($N351="","",INDEX(Staging!$K$2:$K$3001,$N351))</f>
      </c>
      <c r="K351">
        <f>IF($N351="","",INDEX(Staging!$M$2:$M$3001,$N351))</f>
      </c>
      <c r="L351">
        <f>IF($N351="","",INDEX(Staging!$O$2:$O$3001,$N351))</f>
      </c>
      <c r="M351">
        <f>IF($N351="","",INDEX(Staging!$P$2:$P$3001,$N351))</f>
      </c>
      <c r="N351">
        <f t="array" ref="N351">IFERROR(SMALL(IF(Staging!$E$2:$E$3001="MIPPL",ROW(Staging!$E$2:$E$3001)-ROW(Staging!$E$2)+1),350),"")</f>
      </c>
    </row>
    <row r="352" spans="1:14" x14ac:dyDescent="0.25">
      <c r="A352">
        <f>IF($N352="","",INDEX(Staging!$A$2:$A$3001,$N352))</f>
      </c>
      <c r="B352">
        <f>IF($N352="","",INDEX(Staging!$B$2:$B$3001,$N352))</f>
      </c>
      <c r="C352">
        <f>IF($N352="","",INDEX(Staging!$C$2:$C$3001,$N352))</f>
      </c>
      <c r="D352">
        <f>IF($N352="","",INDEX(Staging!$D$2:$D$3001,$N352))</f>
      </c>
      <c r="E352">
        <f>IF($N352="","",INDEX(Staging!$F$2:$F$3001,$N352))</f>
      </c>
      <c r="F352">
        <f>IF($N352="","",INDEX(Staging!$G$2:$G$3001,$N352))</f>
      </c>
      <c r="G352">
        <f>IF($N352="","",INDEX(Staging!$H$2:$H$3001,$N352))</f>
      </c>
      <c r="H352">
        <f>IF($N352="","",INDEX(Staging!$I$2:$I$3001,$N352))</f>
      </c>
      <c r="I352">
        <f>IF($N352="","",INDEX(Staging!$J$2:$J$3001,$N352))</f>
      </c>
      <c r="J352">
        <f>IF($N352="","",INDEX(Staging!$K$2:$K$3001,$N352))</f>
      </c>
      <c r="K352">
        <f>IF($N352="","",INDEX(Staging!$M$2:$M$3001,$N352))</f>
      </c>
      <c r="L352">
        <f>IF($N352="","",INDEX(Staging!$O$2:$O$3001,$N352))</f>
      </c>
      <c r="M352">
        <f>IF($N352="","",INDEX(Staging!$P$2:$P$3001,$N352))</f>
      </c>
      <c r="N352">
        <f t="array" ref="N352">IFERROR(SMALL(IF(Staging!$E$2:$E$3001="MIPPL",ROW(Staging!$E$2:$E$3001)-ROW(Staging!$E$2)+1),351),"")</f>
      </c>
    </row>
    <row r="353" spans="1:14" x14ac:dyDescent="0.25">
      <c r="A353">
        <f>IF($N353="","",INDEX(Staging!$A$2:$A$3001,$N353))</f>
      </c>
      <c r="B353">
        <f>IF($N353="","",INDEX(Staging!$B$2:$B$3001,$N353))</f>
      </c>
      <c r="C353">
        <f>IF($N353="","",INDEX(Staging!$C$2:$C$3001,$N353))</f>
      </c>
      <c r="D353">
        <f>IF($N353="","",INDEX(Staging!$D$2:$D$3001,$N353))</f>
      </c>
      <c r="E353">
        <f>IF($N353="","",INDEX(Staging!$F$2:$F$3001,$N353))</f>
      </c>
      <c r="F353">
        <f>IF($N353="","",INDEX(Staging!$G$2:$G$3001,$N353))</f>
      </c>
      <c r="G353">
        <f>IF($N353="","",INDEX(Staging!$H$2:$H$3001,$N353))</f>
      </c>
      <c r="H353">
        <f>IF($N353="","",INDEX(Staging!$I$2:$I$3001,$N353))</f>
      </c>
      <c r="I353">
        <f>IF($N353="","",INDEX(Staging!$J$2:$J$3001,$N353))</f>
      </c>
      <c r="J353">
        <f>IF($N353="","",INDEX(Staging!$K$2:$K$3001,$N353))</f>
      </c>
      <c r="K353">
        <f>IF($N353="","",INDEX(Staging!$M$2:$M$3001,$N353))</f>
      </c>
      <c r="L353">
        <f>IF($N353="","",INDEX(Staging!$O$2:$O$3001,$N353))</f>
      </c>
      <c r="M353">
        <f>IF($N353="","",INDEX(Staging!$P$2:$P$3001,$N353))</f>
      </c>
      <c r="N353">
        <f t="array" ref="N353">IFERROR(SMALL(IF(Staging!$E$2:$E$3001="MIPPL",ROW(Staging!$E$2:$E$3001)-ROW(Staging!$E$2)+1),352),"")</f>
      </c>
    </row>
    <row r="354" spans="1:14" x14ac:dyDescent="0.25">
      <c r="A354">
        <f>IF($N354="","",INDEX(Staging!$A$2:$A$3001,$N354))</f>
      </c>
      <c r="B354">
        <f>IF($N354="","",INDEX(Staging!$B$2:$B$3001,$N354))</f>
      </c>
      <c r="C354">
        <f>IF($N354="","",INDEX(Staging!$C$2:$C$3001,$N354))</f>
      </c>
      <c r="D354">
        <f>IF($N354="","",INDEX(Staging!$D$2:$D$3001,$N354))</f>
      </c>
      <c r="E354">
        <f>IF($N354="","",INDEX(Staging!$F$2:$F$3001,$N354))</f>
      </c>
      <c r="F354">
        <f>IF($N354="","",INDEX(Staging!$G$2:$G$3001,$N354))</f>
      </c>
      <c r="G354">
        <f>IF($N354="","",INDEX(Staging!$H$2:$H$3001,$N354))</f>
      </c>
      <c r="H354">
        <f>IF($N354="","",INDEX(Staging!$I$2:$I$3001,$N354))</f>
      </c>
      <c r="I354">
        <f>IF($N354="","",INDEX(Staging!$J$2:$J$3001,$N354))</f>
      </c>
      <c r="J354">
        <f>IF($N354="","",INDEX(Staging!$K$2:$K$3001,$N354))</f>
      </c>
      <c r="K354">
        <f>IF($N354="","",INDEX(Staging!$M$2:$M$3001,$N354))</f>
      </c>
      <c r="L354">
        <f>IF($N354="","",INDEX(Staging!$O$2:$O$3001,$N354))</f>
      </c>
      <c r="M354">
        <f>IF($N354="","",INDEX(Staging!$P$2:$P$3001,$N354))</f>
      </c>
      <c r="N354">
        <f t="array" ref="N354">IFERROR(SMALL(IF(Staging!$E$2:$E$3001="MIPPL",ROW(Staging!$E$2:$E$3001)-ROW(Staging!$E$2)+1),353),"")</f>
      </c>
    </row>
    <row r="355" spans="1:14" x14ac:dyDescent="0.25">
      <c r="A355">
        <f>IF($N355="","",INDEX(Staging!$A$2:$A$3001,$N355))</f>
      </c>
      <c r="B355">
        <f>IF($N355="","",INDEX(Staging!$B$2:$B$3001,$N355))</f>
      </c>
      <c r="C355">
        <f>IF($N355="","",INDEX(Staging!$C$2:$C$3001,$N355))</f>
      </c>
      <c r="D355">
        <f>IF($N355="","",INDEX(Staging!$D$2:$D$3001,$N355))</f>
      </c>
      <c r="E355">
        <f>IF($N355="","",INDEX(Staging!$F$2:$F$3001,$N355))</f>
      </c>
      <c r="F355">
        <f>IF($N355="","",INDEX(Staging!$G$2:$G$3001,$N355))</f>
      </c>
      <c r="G355">
        <f>IF($N355="","",INDEX(Staging!$H$2:$H$3001,$N355))</f>
      </c>
      <c r="H355">
        <f>IF($N355="","",INDEX(Staging!$I$2:$I$3001,$N355))</f>
      </c>
      <c r="I355">
        <f>IF($N355="","",INDEX(Staging!$J$2:$J$3001,$N355))</f>
      </c>
      <c r="J355">
        <f>IF($N355="","",INDEX(Staging!$K$2:$K$3001,$N355))</f>
      </c>
      <c r="K355">
        <f>IF($N355="","",INDEX(Staging!$M$2:$M$3001,$N355))</f>
      </c>
      <c r="L355">
        <f>IF($N355="","",INDEX(Staging!$O$2:$O$3001,$N355))</f>
      </c>
      <c r="M355">
        <f>IF($N355="","",INDEX(Staging!$P$2:$P$3001,$N355))</f>
      </c>
      <c r="N355">
        <f t="array" ref="N355">IFERROR(SMALL(IF(Staging!$E$2:$E$3001="MIPPL",ROW(Staging!$E$2:$E$3001)-ROW(Staging!$E$2)+1),354),"")</f>
      </c>
    </row>
    <row r="356" spans="1:14" x14ac:dyDescent="0.25">
      <c r="A356">
        <f>IF($N356="","",INDEX(Staging!$A$2:$A$3001,$N356))</f>
      </c>
      <c r="B356">
        <f>IF($N356="","",INDEX(Staging!$B$2:$B$3001,$N356))</f>
      </c>
      <c r="C356">
        <f>IF($N356="","",INDEX(Staging!$C$2:$C$3001,$N356))</f>
      </c>
      <c r="D356">
        <f>IF($N356="","",INDEX(Staging!$D$2:$D$3001,$N356))</f>
      </c>
      <c r="E356">
        <f>IF($N356="","",INDEX(Staging!$F$2:$F$3001,$N356))</f>
      </c>
      <c r="F356">
        <f>IF($N356="","",INDEX(Staging!$G$2:$G$3001,$N356))</f>
      </c>
      <c r="G356">
        <f>IF($N356="","",INDEX(Staging!$H$2:$H$3001,$N356))</f>
      </c>
      <c r="H356">
        <f>IF($N356="","",INDEX(Staging!$I$2:$I$3001,$N356))</f>
      </c>
      <c r="I356">
        <f>IF($N356="","",INDEX(Staging!$J$2:$J$3001,$N356))</f>
      </c>
      <c r="J356">
        <f>IF($N356="","",INDEX(Staging!$K$2:$K$3001,$N356))</f>
      </c>
      <c r="K356">
        <f>IF($N356="","",INDEX(Staging!$M$2:$M$3001,$N356))</f>
      </c>
      <c r="L356">
        <f>IF($N356="","",INDEX(Staging!$O$2:$O$3001,$N356))</f>
      </c>
      <c r="M356">
        <f>IF($N356="","",INDEX(Staging!$P$2:$P$3001,$N356))</f>
      </c>
      <c r="N356">
        <f t="array" ref="N356">IFERROR(SMALL(IF(Staging!$E$2:$E$3001="MIPPL",ROW(Staging!$E$2:$E$3001)-ROW(Staging!$E$2)+1),355),"")</f>
      </c>
    </row>
    <row r="357" spans="1:14" x14ac:dyDescent="0.25">
      <c r="A357">
        <f>IF($N357="","",INDEX(Staging!$A$2:$A$3001,$N357))</f>
      </c>
      <c r="B357">
        <f>IF($N357="","",INDEX(Staging!$B$2:$B$3001,$N357))</f>
      </c>
      <c r="C357">
        <f>IF($N357="","",INDEX(Staging!$C$2:$C$3001,$N357))</f>
      </c>
      <c r="D357">
        <f>IF($N357="","",INDEX(Staging!$D$2:$D$3001,$N357))</f>
      </c>
      <c r="E357">
        <f>IF($N357="","",INDEX(Staging!$F$2:$F$3001,$N357))</f>
      </c>
      <c r="F357">
        <f>IF($N357="","",INDEX(Staging!$G$2:$G$3001,$N357))</f>
      </c>
      <c r="G357">
        <f>IF($N357="","",INDEX(Staging!$H$2:$H$3001,$N357))</f>
      </c>
      <c r="H357">
        <f>IF($N357="","",INDEX(Staging!$I$2:$I$3001,$N357))</f>
      </c>
      <c r="I357">
        <f>IF($N357="","",INDEX(Staging!$J$2:$J$3001,$N357))</f>
      </c>
      <c r="J357">
        <f>IF($N357="","",INDEX(Staging!$K$2:$K$3001,$N357))</f>
      </c>
      <c r="K357">
        <f>IF($N357="","",INDEX(Staging!$M$2:$M$3001,$N357))</f>
      </c>
      <c r="L357">
        <f>IF($N357="","",INDEX(Staging!$O$2:$O$3001,$N357))</f>
      </c>
      <c r="M357">
        <f>IF($N357="","",INDEX(Staging!$P$2:$P$3001,$N357))</f>
      </c>
      <c r="N357">
        <f t="array" ref="N357">IFERROR(SMALL(IF(Staging!$E$2:$E$3001="MIPPL",ROW(Staging!$E$2:$E$3001)-ROW(Staging!$E$2)+1),356),"")</f>
      </c>
    </row>
    <row r="358" spans="1:14" x14ac:dyDescent="0.25">
      <c r="A358">
        <f>IF($N358="","",INDEX(Staging!$A$2:$A$3001,$N358))</f>
      </c>
      <c r="B358">
        <f>IF($N358="","",INDEX(Staging!$B$2:$B$3001,$N358))</f>
      </c>
      <c r="C358">
        <f>IF($N358="","",INDEX(Staging!$C$2:$C$3001,$N358))</f>
      </c>
      <c r="D358">
        <f>IF($N358="","",INDEX(Staging!$D$2:$D$3001,$N358))</f>
      </c>
      <c r="E358">
        <f>IF($N358="","",INDEX(Staging!$F$2:$F$3001,$N358))</f>
      </c>
      <c r="F358">
        <f>IF($N358="","",INDEX(Staging!$G$2:$G$3001,$N358))</f>
      </c>
      <c r="G358">
        <f>IF($N358="","",INDEX(Staging!$H$2:$H$3001,$N358))</f>
      </c>
      <c r="H358">
        <f>IF($N358="","",INDEX(Staging!$I$2:$I$3001,$N358))</f>
      </c>
      <c r="I358">
        <f>IF($N358="","",INDEX(Staging!$J$2:$J$3001,$N358))</f>
      </c>
      <c r="J358">
        <f>IF($N358="","",INDEX(Staging!$K$2:$K$3001,$N358))</f>
      </c>
      <c r="K358">
        <f>IF($N358="","",INDEX(Staging!$M$2:$M$3001,$N358))</f>
      </c>
      <c r="L358">
        <f>IF($N358="","",INDEX(Staging!$O$2:$O$3001,$N358))</f>
      </c>
      <c r="M358">
        <f>IF($N358="","",INDEX(Staging!$P$2:$P$3001,$N358))</f>
      </c>
      <c r="N358">
        <f t="array" ref="N358">IFERROR(SMALL(IF(Staging!$E$2:$E$3001="MIPPL",ROW(Staging!$E$2:$E$3001)-ROW(Staging!$E$2)+1),357),"")</f>
      </c>
    </row>
    <row r="359" spans="1:14" x14ac:dyDescent="0.25">
      <c r="A359">
        <f>IF($N359="","",INDEX(Staging!$A$2:$A$3001,$N359))</f>
      </c>
      <c r="B359">
        <f>IF($N359="","",INDEX(Staging!$B$2:$B$3001,$N359))</f>
      </c>
      <c r="C359">
        <f>IF($N359="","",INDEX(Staging!$C$2:$C$3001,$N359))</f>
      </c>
      <c r="D359">
        <f>IF($N359="","",INDEX(Staging!$D$2:$D$3001,$N359))</f>
      </c>
      <c r="E359">
        <f>IF($N359="","",INDEX(Staging!$F$2:$F$3001,$N359))</f>
      </c>
      <c r="F359">
        <f>IF($N359="","",INDEX(Staging!$G$2:$G$3001,$N359))</f>
      </c>
      <c r="G359">
        <f>IF($N359="","",INDEX(Staging!$H$2:$H$3001,$N359))</f>
      </c>
      <c r="H359">
        <f>IF($N359="","",INDEX(Staging!$I$2:$I$3001,$N359))</f>
      </c>
      <c r="I359">
        <f>IF($N359="","",INDEX(Staging!$J$2:$J$3001,$N359))</f>
      </c>
      <c r="J359">
        <f>IF($N359="","",INDEX(Staging!$K$2:$K$3001,$N359))</f>
      </c>
      <c r="K359">
        <f>IF($N359="","",INDEX(Staging!$M$2:$M$3001,$N359))</f>
      </c>
      <c r="L359">
        <f>IF($N359="","",INDEX(Staging!$O$2:$O$3001,$N359))</f>
      </c>
      <c r="M359">
        <f>IF($N359="","",INDEX(Staging!$P$2:$P$3001,$N359))</f>
      </c>
      <c r="N359">
        <f t="array" ref="N359">IFERROR(SMALL(IF(Staging!$E$2:$E$3001="MIPPL",ROW(Staging!$E$2:$E$3001)-ROW(Staging!$E$2)+1),358),"")</f>
      </c>
    </row>
    <row r="360" spans="1:14" x14ac:dyDescent="0.25">
      <c r="A360">
        <f>IF($N360="","",INDEX(Staging!$A$2:$A$3001,$N360))</f>
      </c>
      <c r="B360">
        <f>IF($N360="","",INDEX(Staging!$B$2:$B$3001,$N360))</f>
      </c>
      <c r="C360">
        <f>IF($N360="","",INDEX(Staging!$C$2:$C$3001,$N360))</f>
      </c>
      <c r="D360">
        <f>IF($N360="","",INDEX(Staging!$D$2:$D$3001,$N360))</f>
      </c>
      <c r="E360">
        <f>IF($N360="","",INDEX(Staging!$F$2:$F$3001,$N360))</f>
      </c>
      <c r="F360">
        <f>IF($N360="","",INDEX(Staging!$G$2:$G$3001,$N360))</f>
      </c>
      <c r="G360">
        <f>IF($N360="","",INDEX(Staging!$H$2:$H$3001,$N360))</f>
      </c>
      <c r="H360">
        <f>IF($N360="","",INDEX(Staging!$I$2:$I$3001,$N360))</f>
      </c>
      <c r="I360">
        <f>IF($N360="","",INDEX(Staging!$J$2:$J$3001,$N360))</f>
      </c>
      <c r="J360">
        <f>IF($N360="","",INDEX(Staging!$K$2:$K$3001,$N360))</f>
      </c>
      <c r="K360">
        <f>IF($N360="","",INDEX(Staging!$M$2:$M$3001,$N360))</f>
      </c>
      <c r="L360">
        <f>IF($N360="","",INDEX(Staging!$O$2:$O$3001,$N360))</f>
      </c>
      <c r="M360">
        <f>IF($N360="","",INDEX(Staging!$P$2:$P$3001,$N360))</f>
      </c>
      <c r="N360">
        <f t="array" ref="N360">IFERROR(SMALL(IF(Staging!$E$2:$E$3001="MIPPL",ROW(Staging!$E$2:$E$3001)-ROW(Staging!$E$2)+1),359),"")</f>
      </c>
    </row>
    <row r="361" spans="1:14" x14ac:dyDescent="0.25">
      <c r="A361">
        <f>IF($N361="","",INDEX(Staging!$A$2:$A$3001,$N361))</f>
      </c>
      <c r="B361">
        <f>IF($N361="","",INDEX(Staging!$B$2:$B$3001,$N361))</f>
      </c>
      <c r="C361">
        <f>IF($N361="","",INDEX(Staging!$C$2:$C$3001,$N361))</f>
      </c>
      <c r="D361">
        <f>IF($N361="","",INDEX(Staging!$D$2:$D$3001,$N361))</f>
      </c>
      <c r="E361">
        <f>IF($N361="","",INDEX(Staging!$F$2:$F$3001,$N361))</f>
      </c>
      <c r="F361">
        <f>IF($N361="","",INDEX(Staging!$G$2:$G$3001,$N361))</f>
      </c>
      <c r="G361">
        <f>IF($N361="","",INDEX(Staging!$H$2:$H$3001,$N361))</f>
      </c>
      <c r="H361">
        <f>IF($N361="","",INDEX(Staging!$I$2:$I$3001,$N361))</f>
      </c>
      <c r="I361">
        <f>IF($N361="","",INDEX(Staging!$J$2:$J$3001,$N361))</f>
      </c>
      <c r="J361">
        <f>IF($N361="","",INDEX(Staging!$K$2:$K$3001,$N361))</f>
      </c>
      <c r="K361">
        <f>IF($N361="","",INDEX(Staging!$M$2:$M$3001,$N361))</f>
      </c>
      <c r="L361">
        <f>IF($N361="","",INDEX(Staging!$O$2:$O$3001,$N361))</f>
      </c>
      <c r="M361">
        <f>IF($N361="","",INDEX(Staging!$P$2:$P$3001,$N361))</f>
      </c>
      <c r="N361">
        <f t="array" ref="N361">IFERROR(SMALL(IF(Staging!$E$2:$E$3001="MIPPL",ROW(Staging!$E$2:$E$3001)-ROW(Staging!$E$2)+1),360),"")</f>
      </c>
    </row>
    <row r="362" spans="1:14" x14ac:dyDescent="0.25">
      <c r="A362">
        <f>IF($N362="","",INDEX(Staging!$A$2:$A$3001,$N362))</f>
      </c>
      <c r="B362">
        <f>IF($N362="","",INDEX(Staging!$B$2:$B$3001,$N362))</f>
      </c>
      <c r="C362">
        <f>IF($N362="","",INDEX(Staging!$C$2:$C$3001,$N362))</f>
      </c>
      <c r="D362">
        <f>IF($N362="","",INDEX(Staging!$D$2:$D$3001,$N362))</f>
      </c>
      <c r="E362">
        <f>IF($N362="","",INDEX(Staging!$F$2:$F$3001,$N362))</f>
      </c>
      <c r="F362">
        <f>IF($N362="","",INDEX(Staging!$G$2:$G$3001,$N362))</f>
      </c>
      <c r="G362">
        <f>IF($N362="","",INDEX(Staging!$H$2:$H$3001,$N362))</f>
      </c>
      <c r="H362">
        <f>IF($N362="","",INDEX(Staging!$I$2:$I$3001,$N362))</f>
      </c>
      <c r="I362">
        <f>IF($N362="","",INDEX(Staging!$J$2:$J$3001,$N362))</f>
      </c>
      <c r="J362">
        <f>IF($N362="","",INDEX(Staging!$K$2:$K$3001,$N362))</f>
      </c>
      <c r="K362">
        <f>IF($N362="","",INDEX(Staging!$M$2:$M$3001,$N362))</f>
      </c>
      <c r="L362">
        <f>IF($N362="","",INDEX(Staging!$O$2:$O$3001,$N362))</f>
      </c>
      <c r="M362">
        <f>IF($N362="","",INDEX(Staging!$P$2:$P$3001,$N362))</f>
      </c>
      <c r="N362">
        <f t="array" ref="N362">IFERROR(SMALL(IF(Staging!$E$2:$E$3001="MIPPL",ROW(Staging!$E$2:$E$3001)-ROW(Staging!$E$2)+1),361),"")</f>
      </c>
    </row>
    <row r="363" spans="1:14" x14ac:dyDescent="0.25">
      <c r="A363">
        <f>IF($N363="","",INDEX(Staging!$A$2:$A$3001,$N363))</f>
      </c>
      <c r="B363">
        <f>IF($N363="","",INDEX(Staging!$B$2:$B$3001,$N363))</f>
      </c>
      <c r="C363">
        <f>IF($N363="","",INDEX(Staging!$C$2:$C$3001,$N363))</f>
      </c>
      <c r="D363">
        <f>IF($N363="","",INDEX(Staging!$D$2:$D$3001,$N363))</f>
      </c>
      <c r="E363">
        <f>IF($N363="","",INDEX(Staging!$F$2:$F$3001,$N363))</f>
      </c>
      <c r="F363">
        <f>IF($N363="","",INDEX(Staging!$G$2:$G$3001,$N363))</f>
      </c>
      <c r="G363">
        <f>IF($N363="","",INDEX(Staging!$H$2:$H$3001,$N363))</f>
      </c>
      <c r="H363">
        <f>IF($N363="","",INDEX(Staging!$I$2:$I$3001,$N363))</f>
      </c>
      <c r="I363">
        <f>IF($N363="","",INDEX(Staging!$J$2:$J$3001,$N363))</f>
      </c>
      <c r="J363">
        <f>IF($N363="","",INDEX(Staging!$K$2:$K$3001,$N363))</f>
      </c>
      <c r="K363">
        <f>IF($N363="","",INDEX(Staging!$M$2:$M$3001,$N363))</f>
      </c>
      <c r="L363">
        <f>IF($N363="","",INDEX(Staging!$O$2:$O$3001,$N363))</f>
      </c>
      <c r="M363">
        <f>IF($N363="","",INDEX(Staging!$P$2:$P$3001,$N363))</f>
      </c>
      <c r="N363">
        <f t="array" ref="N363">IFERROR(SMALL(IF(Staging!$E$2:$E$3001="MIPPL",ROW(Staging!$E$2:$E$3001)-ROW(Staging!$E$2)+1),362),"")</f>
      </c>
    </row>
    <row r="364" spans="1:14" x14ac:dyDescent="0.25">
      <c r="A364">
        <f>IF($N364="","",INDEX(Staging!$A$2:$A$3001,$N364))</f>
      </c>
      <c r="B364">
        <f>IF($N364="","",INDEX(Staging!$B$2:$B$3001,$N364))</f>
      </c>
      <c r="C364">
        <f>IF($N364="","",INDEX(Staging!$C$2:$C$3001,$N364))</f>
      </c>
      <c r="D364">
        <f>IF($N364="","",INDEX(Staging!$D$2:$D$3001,$N364))</f>
      </c>
      <c r="E364">
        <f>IF($N364="","",INDEX(Staging!$F$2:$F$3001,$N364))</f>
      </c>
      <c r="F364">
        <f>IF($N364="","",INDEX(Staging!$G$2:$G$3001,$N364))</f>
      </c>
      <c r="G364">
        <f>IF($N364="","",INDEX(Staging!$H$2:$H$3001,$N364))</f>
      </c>
      <c r="H364">
        <f>IF($N364="","",INDEX(Staging!$I$2:$I$3001,$N364))</f>
      </c>
      <c r="I364">
        <f>IF($N364="","",INDEX(Staging!$J$2:$J$3001,$N364))</f>
      </c>
      <c r="J364">
        <f>IF($N364="","",INDEX(Staging!$K$2:$K$3001,$N364))</f>
      </c>
      <c r="K364">
        <f>IF($N364="","",INDEX(Staging!$M$2:$M$3001,$N364))</f>
      </c>
      <c r="L364">
        <f>IF($N364="","",INDEX(Staging!$O$2:$O$3001,$N364))</f>
      </c>
      <c r="M364">
        <f>IF($N364="","",INDEX(Staging!$P$2:$P$3001,$N364))</f>
      </c>
      <c r="N364">
        <f t="array" ref="N364">IFERROR(SMALL(IF(Staging!$E$2:$E$3001="MIPPL",ROW(Staging!$E$2:$E$3001)-ROW(Staging!$E$2)+1),363),"")</f>
      </c>
    </row>
    <row r="365" spans="1:14" x14ac:dyDescent="0.25">
      <c r="A365">
        <f>IF($N365="","",INDEX(Staging!$A$2:$A$3001,$N365))</f>
      </c>
      <c r="B365">
        <f>IF($N365="","",INDEX(Staging!$B$2:$B$3001,$N365))</f>
      </c>
      <c r="C365">
        <f>IF($N365="","",INDEX(Staging!$C$2:$C$3001,$N365))</f>
      </c>
      <c r="D365">
        <f>IF($N365="","",INDEX(Staging!$D$2:$D$3001,$N365))</f>
      </c>
      <c r="E365">
        <f>IF($N365="","",INDEX(Staging!$F$2:$F$3001,$N365))</f>
      </c>
      <c r="F365">
        <f>IF($N365="","",INDEX(Staging!$G$2:$G$3001,$N365))</f>
      </c>
      <c r="G365">
        <f>IF($N365="","",INDEX(Staging!$H$2:$H$3001,$N365))</f>
      </c>
      <c r="H365">
        <f>IF($N365="","",INDEX(Staging!$I$2:$I$3001,$N365))</f>
      </c>
      <c r="I365">
        <f>IF($N365="","",INDEX(Staging!$J$2:$J$3001,$N365))</f>
      </c>
      <c r="J365">
        <f>IF($N365="","",INDEX(Staging!$K$2:$K$3001,$N365))</f>
      </c>
      <c r="K365">
        <f>IF($N365="","",INDEX(Staging!$M$2:$M$3001,$N365))</f>
      </c>
      <c r="L365">
        <f>IF($N365="","",INDEX(Staging!$O$2:$O$3001,$N365))</f>
      </c>
      <c r="M365">
        <f>IF($N365="","",INDEX(Staging!$P$2:$P$3001,$N365))</f>
      </c>
      <c r="N365">
        <f t="array" ref="N365">IFERROR(SMALL(IF(Staging!$E$2:$E$3001="MIPPL",ROW(Staging!$E$2:$E$3001)-ROW(Staging!$E$2)+1),364),"")</f>
      </c>
    </row>
    <row r="366" spans="1:14" x14ac:dyDescent="0.25">
      <c r="A366">
        <f>IF($N366="","",INDEX(Staging!$A$2:$A$3001,$N366))</f>
      </c>
      <c r="B366">
        <f>IF($N366="","",INDEX(Staging!$B$2:$B$3001,$N366))</f>
      </c>
      <c r="C366">
        <f>IF($N366="","",INDEX(Staging!$C$2:$C$3001,$N366))</f>
      </c>
      <c r="D366">
        <f>IF($N366="","",INDEX(Staging!$D$2:$D$3001,$N366))</f>
      </c>
      <c r="E366">
        <f>IF($N366="","",INDEX(Staging!$F$2:$F$3001,$N366))</f>
      </c>
      <c r="F366">
        <f>IF($N366="","",INDEX(Staging!$G$2:$G$3001,$N366))</f>
      </c>
      <c r="G366">
        <f>IF($N366="","",INDEX(Staging!$H$2:$H$3001,$N366))</f>
      </c>
      <c r="H366">
        <f>IF($N366="","",INDEX(Staging!$I$2:$I$3001,$N366))</f>
      </c>
      <c r="I366">
        <f>IF($N366="","",INDEX(Staging!$J$2:$J$3001,$N366))</f>
      </c>
      <c r="J366">
        <f>IF($N366="","",INDEX(Staging!$K$2:$K$3001,$N366))</f>
      </c>
      <c r="K366">
        <f>IF($N366="","",INDEX(Staging!$M$2:$M$3001,$N366))</f>
      </c>
      <c r="L366">
        <f>IF($N366="","",INDEX(Staging!$O$2:$O$3001,$N366))</f>
      </c>
      <c r="M366">
        <f>IF($N366="","",INDEX(Staging!$P$2:$P$3001,$N366))</f>
      </c>
      <c r="N366">
        <f t="array" ref="N366">IFERROR(SMALL(IF(Staging!$E$2:$E$3001="MIPPL",ROW(Staging!$E$2:$E$3001)-ROW(Staging!$E$2)+1),365),"")</f>
      </c>
    </row>
    <row r="367" spans="1:14" x14ac:dyDescent="0.25">
      <c r="A367">
        <f>IF($N367="","",INDEX(Staging!$A$2:$A$3001,$N367))</f>
      </c>
      <c r="B367">
        <f>IF($N367="","",INDEX(Staging!$B$2:$B$3001,$N367))</f>
      </c>
      <c r="C367">
        <f>IF($N367="","",INDEX(Staging!$C$2:$C$3001,$N367))</f>
      </c>
      <c r="D367">
        <f>IF($N367="","",INDEX(Staging!$D$2:$D$3001,$N367))</f>
      </c>
      <c r="E367">
        <f>IF($N367="","",INDEX(Staging!$F$2:$F$3001,$N367))</f>
      </c>
      <c r="F367">
        <f>IF($N367="","",INDEX(Staging!$G$2:$G$3001,$N367))</f>
      </c>
      <c r="G367">
        <f>IF($N367="","",INDEX(Staging!$H$2:$H$3001,$N367))</f>
      </c>
      <c r="H367">
        <f>IF($N367="","",INDEX(Staging!$I$2:$I$3001,$N367))</f>
      </c>
      <c r="I367">
        <f>IF($N367="","",INDEX(Staging!$J$2:$J$3001,$N367))</f>
      </c>
      <c r="J367">
        <f>IF($N367="","",INDEX(Staging!$K$2:$K$3001,$N367))</f>
      </c>
      <c r="K367">
        <f>IF($N367="","",INDEX(Staging!$M$2:$M$3001,$N367))</f>
      </c>
      <c r="L367">
        <f>IF($N367="","",INDEX(Staging!$O$2:$O$3001,$N367))</f>
      </c>
      <c r="M367">
        <f>IF($N367="","",INDEX(Staging!$P$2:$P$3001,$N367))</f>
      </c>
      <c r="N367">
        <f t="array" ref="N367">IFERROR(SMALL(IF(Staging!$E$2:$E$3001="MIPPL",ROW(Staging!$E$2:$E$3001)-ROW(Staging!$E$2)+1),366),"")</f>
      </c>
    </row>
    <row r="368" spans="1:14" x14ac:dyDescent="0.25">
      <c r="A368">
        <f>IF($N368="","",INDEX(Staging!$A$2:$A$3001,$N368))</f>
      </c>
      <c r="B368">
        <f>IF($N368="","",INDEX(Staging!$B$2:$B$3001,$N368))</f>
      </c>
      <c r="C368">
        <f>IF($N368="","",INDEX(Staging!$C$2:$C$3001,$N368))</f>
      </c>
      <c r="D368">
        <f>IF($N368="","",INDEX(Staging!$D$2:$D$3001,$N368))</f>
      </c>
      <c r="E368">
        <f>IF($N368="","",INDEX(Staging!$F$2:$F$3001,$N368))</f>
      </c>
      <c r="F368">
        <f>IF($N368="","",INDEX(Staging!$G$2:$G$3001,$N368))</f>
      </c>
      <c r="G368">
        <f>IF($N368="","",INDEX(Staging!$H$2:$H$3001,$N368))</f>
      </c>
      <c r="H368">
        <f>IF($N368="","",INDEX(Staging!$I$2:$I$3001,$N368))</f>
      </c>
      <c r="I368">
        <f>IF($N368="","",INDEX(Staging!$J$2:$J$3001,$N368))</f>
      </c>
      <c r="J368">
        <f>IF($N368="","",INDEX(Staging!$K$2:$K$3001,$N368))</f>
      </c>
      <c r="K368">
        <f>IF($N368="","",INDEX(Staging!$M$2:$M$3001,$N368))</f>
      </c>
      <c r="L368">
        <f>IF($N368="","",INDEX(Staging!$O$2:$O$3001,$N368))</f>
      </c>
      <c r="M368">
        <f>IF($N368="","",INDEX(Staging!$P$2:$P$3001,$N368))</f>
      </c>
      <c r="N368">
        <f t="array" ref="N368">IFERROR(SMALL(IF(Staging!$E$2:$E$3001="MIPPL",ROW(Staging!$E$2:$E$3001)-ROW(Staging!$E$2)+1),367),"")</f>
      </c>
    </row>
    <row r="369" spans="1:14" x14ac:dyDescent="0.25">
      <c r="A369">
        <f>IF($N369="","",INDEX(Staging!$A$2:$A$3001,$N369))</f>
      </c>
      <c r="B369">
        <f>IF($N369="","",INDEX(Staging!$B$2:$B$3001,$N369))</f>
      </c>
      <c r="C369">
        <f>IF($N369="","",INDEX(Staging!$C$2:$C$3001,$N369))</f>
      </c>
      <c r="D369">
        <f>IF($N369="","",INDEX(Staging!$D$2:$D$3001,$N369))</f>
      </c>
      <c r="E369">
        <f>IF($N369="","",INDEX(Staging!$F$2:$F$3001,$N369))</f>
      </c>
      <c r="F369">
        <f>IF($N369="","",INDEX(Staging!$G$2:$G$3001,$N369))</f>
      </c>
      <c r="G369">
        <f>IF($N369="","",INDEX(Staging!$H$2:$H$3001,$N369))</f>
      </c>
      <c r="H369">
        <f>IF($N369="","",INDEX(Staging!$I$2:$I$3001,$N369))</f>
      </c>
      <c r="I369">
        <f>IF($N369="","",INDEX(Staging!$J$2:$J$3001,$N369))</f>
      </c>
      <c r="J369">
        <f>IF($N369="","",INDEX(Staging!$K$2:$K$3001,$N369))</f>
      </c>
      <c r="K369">
        <f>IF($N369="","",INDEX(Staging!$M$2:$M$3001,$N369))</f>
      </c>
      <c r="L369">
        <f>IF($N369="","",INDEX(Staging!$O$2:$O$3001,$N369))</f>
      </c>
      <c r="M369">
        <f>IF($N369="","",INDEX(Staging!$P$2:$P$3001,$N369))</f>
      </c>
      <c r="N369">
        <f t="array" ref="N369">IFERROR(SMALL(IF(Staging!$E$2:$E$3001="MIPPL",ROW(Staging!$E$2:$E$3001)-ROW(Staging!$E$2)+1),368),"")</f>
      </c>
    </row>
    <row r="370" spans="1:14" x14ac:dyDescent="0.25">
      <c r="A370">
        <f>IF($N370="","",INDEX(Staging!$A$2:$A$3001,$N370))</f>
      </c>
      <c r="B370">
        <f>IF($N370="","",INDEX(Staging!$B$2:$B$3001,$N370))</f>
      </c>
      <c r="C370">
        <f>IF($N370="","",INDEX(Staging!$C$2:$C$3001,$N370))</f>
      </c>
      <c r="D370">
        <f>IF($N370="","",INDEX(Staging!$D$2:$D$3001,$N370))</f>
      </c>
      <c r="E370">
        <f>IF($N370="","",INDEX(Staging!$F$2:$F$3001,$N370))</f>
      </c>
      <c r="F370">
        <f>IF($N370="","",INDEX(Staging!$G$2:$G$3001,$N370))</f>
      </c>
      <c r="G370">
        <f>IF($N370="","",INDEX(Staging!$H$2:$H$3001,$N370))</f>
      </c>
      <c r="H370">
        <f>IF($N370="","",INDEX(Staging!$I$2:$I$3001,$N370))</f>
      </c>
      <c r="I370">
        <f>IF($N370="","",INDEX(Staging!$J$2:$J$3001,$N370))</f>
      </c>
      <c r="J370">
        <f>IF($N370="","",INDEX(Staging!$K$2:$K$3001,$N370))</f>
      </c>
      <c r="K370">
        <f>IF($N370="","",INDEX(Staging!$M$2:$M$3001,$N370))</f>
      </c>
      <c r="L370">
        <f>IF($N370="","",INDEX(Staging!$O$2:$O$3001,$N370))</f>
      </c>
      <c r="M370">
        <f>IF($N370="","",INDEX(Staging!$P$2:$P$3001,$N370))</f>
      </c>
      <c r="N370">
        <f t="array" ref="N370">IFERROR(SMALL(IF(Staging!$E$2:$E$3001="MIPPL",ROW(Staging!$E$2:$E$3001)-ROW(Staging!$E$2)+1),369),"")</f>
      </c>
    </row>
    <row r="371" spans="1:14" x14ac:dyDescent="0.25">
      <c r="A371">
        <f>IF($N371="","",INDEX(Staging!$A$2:$A$3001,$N371))</f>
      </c>
      <c r="B371">
        <f>IF($N371="","",INDEX(Staging!$B$2:$B$3001,$N371))</f>
      </c>
      <c r="C371">
        <f>IF($N371="","",INDEX(Staging!$C$2:$C$3001,$N371))</f>
      </c>
      <c r="D371">
        <f>IF($N371="","",INDEX(Staging!$D$2:$D$3001,$N371))</f>
      </c>
      <c r="E371">
        <f>IF($N371="","",INDEX(Staging!$F$2:$F$3001,$N371))</f>
      </c>
      <c r="F371">
        <f>IF($N371="","",INDEX(Staging!$G$2:$G$3001,$N371))</f>
      </c>
      <c r="G371">
        <f>IF($N371="","",INDEX(Staging!$H$2:$H$3001,$N371))</f>
      </c>
      <c r="H371">
        <f>IF($N371="","",INDEX(Staging!$I$2:$I$3001,$N371))</f>
      </c>
      <c r="I371">
        <f>IF($N371="","",INDEX(Staging!$J$2:$J$3001,$N371))</f>
      </c>
      <c r="J371">
        <f>IF($N371="","",INDEX(Staging!$K$2:$K$3001,$N371))</f>
      </c>
      <c r="K371">
        <f>IF($N371="","",INDEX(Staging!$M$2:$M$3001,$N371))</f>
      </c>
      <c r="L371">
        <f>IF($N371="","",INDEX(Staging!$O$2:$O$3001,$N371))</f>
      </c>
      <c r="M371">
        <f>IF($N371="","",INDEX(Staging!$P$2:$P$3001,$N371))</f>
      </c>
      <c r="N371">
        <f t="array" ref="N371">IFERROR(SMALL(IF(Staging!$E$2:$E$3001="MIPPL",ROW(Staging!$E$2:$E$3001)-ROW(Staging!$E$2)+1),370),"")</f>
      </c>
    </row>
    <row r="372" spans="1:14" x14ac:dyDescent="0.25">
      <c r="A372">
        <f>IF($N372="","",INDEX(Staging!$A$2:$A$3001,$N372))</f>
      </c>
      <c r="B372">
        <f>IF($N372="","",INDEX(Staging!$B$2:$B$3001,$N372))</f>
      </c>
      <c r="C372">
        <f>IF($N372="","",INDEX(Staging!$C$2:$C$3001,$N372))</f>
      </c>
      <c r="D372">
        <f>IF($N372="","",INDEX(Staging!$D$2:$D$3001,$N372))</f>
      </c>
      <c r="E372">
        <f>IF($N372="","",INDEX(Staging!$F$2:$F$3001,$N372))</f>
      </c>
      <c r="F372">
        <f>IF($N372="","",INDEX(Staging!$G$2:$G$3001,$N372))</f>
      </c>
      <c r="G372">
        <f>IF($N372="","",INDEX(Staging!$H$2:$H$3001,$N372))</f>
      </c>
      <c r="H372">
        <f>IF($N372="","",INDEX(Staging!$I$2:$I$3001,$N372))</f>
      </c>
      <c r="I372">
        <f>IF($N372="","",INDEX(Staging!$J$2:$J$3001,$N372))</f>
      </c>
      <c r="J372">
        <f>IF($N372="","",INDEX(Staging!$K$2:$K$3001,$N372))</f>
      </c>
      <c r="K372">
        <f>IF($N372="","",INDEX(Staging!$M$2:$M$3001,$N372))</f>
      </c>
      <c r="L372">
        <f>IF($N372="","",INDEX(Staging!$O$2:$O$3001,$N372))</f>
      </c>
      <c r="M372">
        <f>IF($N372="","",INDEX(Staging!$P$2:$P$3001,$N372))</f>
      </c>
      <c r="N372">
        <f t="array" ref="N372">IFERROR(SMALL(IF(Staging!$E$2:$E$3001="MIPPL",ROW(Staging!$E$2:$E$3001)-ROW(Staging!$E$2)+1),371),"")</f>
      </c>
    </row>
    <row r="373" spans="1:14" x14ac:dyDescent="0.25">
      <c r="A373">
        <f>IF($N373="","",INDEX(Staging!$A$2:$A$3001,$N373))</f>
      </c>
      <c r="B373">
        <f>IF($N373="","",INDEX(Staging!$B$2:$B$3001,$N373))</f>
      </c>
      <c r="C373">
        <f>IF($N373="","",INDEX(Staging!$C$2:$C$3001,$N373))</f>
      </c>
      <c r="D373">
        <f>IF($N373="","",INDEX(Staging!$D$2:$D$3001,$N373))</f>
      </c>
      <c r="E373">
        <f>IF($N373="","",INDEX(Staging!$F$2:$F$3001,$N373))</f>
      </c>
      <c r="F373">
        <f>IF($N373="","",INDEX(Staging!$G$2:$G$3001,$N373))</f>
      </c>
      <c r="G373">
        <f>IF($N373="","",INDEX(Staging!$H$2:$H$3001,$N373))</f>
      </c>
      <c r="H373">
        <f>IF($N373="","",INDEX(Staging!$I$2:$I$3001,$N373))</f>
      </c>
      <c r="I373">
        <f>IF($N373="","",INDEX(Staging!$J$2:$J$3001,$N373))</f>
      </c>
      <c r="J373">
        <f>IF($N373="","",INDEX(Staging!$K$2:$K$3001,$N373))</f>
      </c>
      <c r="K373">
        <f>IF($N373="","",INDEX(Staging!$M$2:$M$3001,$N373))</f>
      </c>
      <c r="L373">
        <f>IF($N373="","",INDEX(Staging!$O$2:$O$3001,$N373))</f>
      </c>
      <c r="M373">
        <f>IF($N373="","",INDEX(Staging!$P$2:$P$3001,$N373))</f>
      </c>
      <c r="N373">
        <f t="array" ref="N373">IFERROR(SMALL(IF(Staging!$E$2:$E$3001="MIPPL",ROW(Staging!$E$2:$E$3001)-ROW(Staging!$E$2)+1),372),"")</f>
      </c>
    </row>
    <row r="374" spans="1:14" x14ac:dyDescent="0.25">
      <c r="A374">
        <f>IF($N374="","",INDEX(Staging!$A$2:$A$3001,$N374))</f>
      </c>
      <c r="B374">
        <f>IF($N374="","",INDEX(Staging!$B$2:$B$3001,$N374))</f>
      </c>
      <c r="C374">
        <f>IF($N374="","",INDEX(Staging!$C$2:$C$3001,$N374))</f>
      </c>
      <c r="D374">
        <f>IF($N374="","",INDEX(Staging!$D$2:$D$3001,$N374))</f>
      </c>
      <c r="E374">
        <f>IF($N374="","",INDEX(Staging!$F$2:$F$3001,$N374))</f>
      </c>
      <c r="F374">
        <f>IF($N374="","",INDEX(Staging!$G$2:$G$3001,$N374))</f>
      </c>
      <c r="G374">
        <f>IF($N374="","",INDEX(Staging!$H$2:$H$3001,$N374))</f>
      </c>
      <c r="H374">
        <f>IF($N374="","",INDEX(Staging!$I$2:$I$3001,$N374))</f>
      </c>
      <c r="I374">
        <f>IF($N374="","",INDEX(Staging!$J$2:$J$3001,$N374))</f>
      </c>
      <c r="J374">
        <f>IF($N374="","",INDEX(Staging!$K$2:$K$3001,$N374))</f>
      </c>
      <c r="K374">
        <f>IF($N374="","",INDEX(Staging!$M$2:$M$3001,$N374))</f>
      </c>
      <c r="L374">
        <f>IF($N374="","",INDEX(Staging!$O$2:$O$3001,$N374))</f>
      </c>
      <c r="M374">
        <f>IF($N374="","",INDEX(Staging!$P$2:$P$3001,$N374))</f>
      </c>
      <c r="N374">
        <f t="array" ref="N374">IFERROR(SMALL(IF(Staging!$E$2:$E$3001="MIPPL",ROW(Staging!$E$2:$E$3001)-ROW(Staging!$E$2)+1),373),"")</f>
      </c>
    </row>
    <row r="375" spans="1:14" x14ac:dyDescent="0.25">
      <c r="A375">
        <f>IF($N375="","",INDEX(Staging!$A$2:$A$3001,$N375))</f>
      </c>
      <c r="B375">
        <f>IF($N375="","",INDEX(Staging!$B$2:$B$3001,$N375))</f>
      </c>
      <c r="C375">
        <f>IF($N375="","",INDEX(Staging!$C$2:$C$3001,$N375))</f>
      </c>
      <c r="D375">
        <f>IF($N375="","",INDEX(Staging!$D$2:$D$3001,$N375))</f>
      </c>
      <c r="E375">
        <f>IF($N375="","",INDEX(Staging!$F$2:$F$3001,$N375))</f>
      </c>
      <c r="F375">
        <f>IF($N375="","",INDEX(Staging!$G$2:$G$3001,$N375))</f>
      </c>
      <c r="G375">
        <f>IF($N375="","",INDEX(Staging!$H$2:$H$3001,$N375))</f>
      </c>
      <c r="H375">
        <f>IF($N375="","",INDEX(Staging!$I$2:$I$3001,$N375))</f>
      </c>
      <c r="I375">
        <f>IF($N375="","",INDEX(Staging!$J$2:$J$3001,$N375))</f>
      </c>
      <c r="J375">
        <f>IF($N375="","",INDEX(Staging!$K$2:$K$3001,$N375))</f>
      </c>
      <c r="K375">
        <f>IF($N375="","",INDEX(Staging!$M$2:$M$3001,$N375))</f>
      </c>
      <c r="L375">
        <f>IF($N375="","",INDEX(Staging!$O$2:$O$3001,$N375))</f>
      </c>
      <c r="M375">
        <f>IF($N375="","",INDEX(Staging!$P$2:$P$3001,$N375))</f>
      </c>
      <c r="N375">
        <f t="array" ref="N375">IFERROR(SMALL(IF(Staging!$E$2:$E$3001="MIPPL",ROW(Staging!$E$2:$E$3001)-ROW(Staging!$E$2)+1),374),"")</f>
      </c>
    </row>
    <row r="376" spans="1:14" x14ac:dyDescent="0.25">
      <c r="A376">
        <f>IF($N376="","",INDEX(Staging!$A$2:$A$3001,$N376))</f>
      </c>
      <c r="B376">
        <f>IF($N376="","",INDEX(Staging!$B$2:$B$3001,$N376))</f>
      </c>
      <c r="C376">
        <f>IF($N376="","",INDEX(Staging!$C$2:$C$3001,$N376))</f>
      </c>
      <c r="D376">
        <f>IF($N376="","",INDEX(Staging!$D$2:$D$3001,$N376))</f>
      </c>
      <c r="E376">
        <f>IF($N376="","",INDEX(Staging!$F$2:$F$3001,$N376))</f>
      </c>
      <c r="F376">
        <f>IF($N376="","",INDEX(Staging!$G$2:$G$3001,$N376))</f>
      </c>
      <c r="G376">
        <f>IF($N376="","",INDEX(Staging!$H$2:$H$3001,$N376))</f>
      </c>
      <c r="H376">
        <f>IF($N376="","",INDEX(Staging!$I$2:$I$3001,$N376))</f>
      </c>
      <c r="I376">
        <f>IF($N376="","",INDEX(Staging!$J$2:$J$3001,$N376))</f>
      </c>
      <c r="J376">
        <f>IF($N376="","",INDEX(Staging!$K$2:$K$3001,$N376))</f>
      </c>
      <c r="K376">
        <f>IF($N376="","",INDEX(Staging!$M$2:$M$3001,$N376))</f>
      </c>
      <c r="L376">
        <f>IF($N376="","",INDEX(Staging!$O$2:$O$3001,$N376))</f>
      </c>
      <c r="M376">
        <f>IF($N376="","",INDEX(Staging!$P$2:$P$3001,$N376))</f>
      </c>
      <c r="N376">
        <f t="array" ref="N376">IFERROR(SMALL(IF(Staging!$E$2:$E$3001="MIPPL",ROW(Staging!$E$2:$E$3001)-ROW(Staging!$E$2)+1),375),"")</f>
      </c>
    </row>
    <row r="377" spans="1:14" x14ac:dyDescent="0.25">
      <c r="A377">
        <f>IF($N377="","",INDEX(Staging!$A$2:$A$3001,$N377))</f>
      </c>
      <c r="B377">
        <f>IF($N377="","",INDEX(Staging!$B$2:$B$3001,$N377))</f>
      </c>
      <c r="C377">
        <f>IF($N377="","",INDEX(Staging!$C$2:$C$3001,$N377))</f>
      </c>
      <c r="D377">
        <f>IF($N377="","",INDEX(Staging!$D$2:$D$3001,$N377))</f>
      </c>
      <c r="E377">
        <f>IF($N377="","",INDEX(Staging!$F$2:$F$3001,$N377))</f>
      </c>
      <c r="F377">
        <f>IF($N377="","",INDEX(Staging!$G$2:$G$3001,$N377))</f>
      </c>
      <c r="G377">
        <f>IF($N377="","",INDEX(Staging!$H$2:$H$3001,$N377))</f>
      </c>
      <c r="H377">
        <f>IF($N377="","",INDEX(Staging!$I$2:$I$3001,$N377))</f>
      </c>
      <c r="I377">
        <f>IF($N377="","",INDEX(Staging!$J$2:$J$3001,$N377))</f>
      </c>
      <c r="J377">
        <f>IF($N377="","",INDEX(Staging!$K$2:$K$3001,$N377))</f>
      </c>
      <c r="K377">
        <f>IF($N377="","",INDEX(Staging!$M$2:$M$3001,$N377))</f>
      </c>
      <c r="L377">
        <f>IF($N377="","",INDEX(Staging!$O$2:$O$3001,$N377))</f>
      </c>
      <c r="M377">
        <f>IF($N377="","",INDEX(Staging!$P$2:$P$3001,$N377))</f>
      </c>
      <c r="N377">
        <f t="array" ref="N377">IFERROR(SMALL(IF(Staging!$E$2:$E$3001="MIPPL",ROW(Staging!$E$2:$E$3001)-ROW(Staging!$E$2)+1),376),"")</f>
      </c>
    </row>
    <row r="378" spans="1:14" x14ac:dyDescent="0.25">
      <c r="A378">
        <f>IF($N378="","",INDEX(Staging!$A$2:$A$3001,$N378))</f>
      </c>
      <c r="B378">
        <f>IF($N378="","",INDEX(Staging!$B$2:$B$3001,$N378))</f>
      </c>
      <c r="C378">
        <f>IF($N378="","",INDEX(Staging!$C$2:$C$3001,$N378))</f>
      </c>
      <c r="D378">
        <f>IF($N378="","",INDEX(Staging!$D$2:$D$3001,$N378))</f>
      </c>
      <c r="E378">
        <f>IF($N378="","",INDEX(Staging!$F$2:$F$3001,$N378))</f>
      </c>
      <c r="F378">
        <f>IF($N378="","",INDEX(Staging!$G$2:$G$3001,$N378))</f>
      </c>
      <c r="G378">
        <f>IF($N378="","",INDEX(Staging!$H$2:$H$3001,$N378))</f>
      </c>
      <c r="H378">
        <f>IF($N378="","",INDEX(Staging!$I$2:$I$3001,$N378))</f>
      </c>
      <c r="I378">
        <f>IF($N378="","",INDEX(Staging!$J$2:$J$3001,$N378))</f>
      </c>
      <c r="J378">
        <f>IF($N378="","",INDEX(Staging!$K$2:$K$3001,$N378))</f>
      </c>
      <c r="K378">
        <f>IF($N378="","",INDEX(Staging!$M$2:$M$3001,$N378))</f>
      </c>
      <c r="L378">
        <f>IF($N378="","",INDEX(Staging!$O$2:$O$3001,$N378))</f>
      </c>
      <c r="M378">
        <f>IF($N378="","",INDEX(Staging!$P$2:$P$3001,$N378))</f>
      </c>
      <c r="N378">
        <f t="array" ref="N378">IFERROR(SMALL(IF(Staging!$E$2:$E$3001="MIPPL",ROW(Staging!$E$2:$E$3001)-ROW(Staging!$E$2)+1),377),"")</f>
      </c>
    </row>
    <row r="379" spans="1:14" x14ac:dyDescent="0.25">
      <c r="A379">
        <f>IF($N379="","",INDEX(Staging!$A$2:$A$3001,$N379))</f>
      </c>
      <c r="B379">
        <f>IF($N379="","",INDEX(Staging!$B$2:$B$3001,$N379))</f>
      </c>
      <c r="C379">
        <f>IF($N379="","",INDEX(Staging!$C$2:$C$3001,$N379))</f>
      </c>
      <c r="D379">
        <f>IF($N379="","",INDEX(Staging!$D$2:$D$3001,$N379))</f>
      </c>
      <c r="E379">
        <f>IF($N379="","",INDEX(Staging!$F$2:$F$3001,$N379))</f>
      </c>
      <c r="F379">
        <f>IF($N379="","",INDEX(Staging!$G$2:$G$3001,$N379))</f>
      </c>
      <c r="G379">
        <f>IF($N379="","",INDEX(Staging!$H$2:$H$3001,$N379))</f>
      </c>
      <c r="H379">
        <f>IF($N379="","",INDEX(Staging!$I$2:$I$3001,$N379))</f>
      </c>
      <c r="I379">
        <f>IF($N379="","",INDEX(Staging!$J$2:$J$3001,$N379))</f>
      </c>
      <c r="J379">
        <f>IF($N379="","",INDEX(Staging!$K$2:$K$3001,$N379))</f>
      </c>
      <c r="K379">
        <f>IF($N379="","",INDEX(Staging!$M$2:$M$3001,$N379))</f>
      </c>
      <c r="L379">
        <f>IF($N379="","",INDEX(Staging!$O$2:$O$3001,$N379))</f>
      </c>
      <c r="M379">
        <f>IF($N379="","",INDEX(Staging!$P$2:$P$3001,$N379))</f>
      </c>
      <c r="N379">
        <f t="array" ref="N379">IFERROR(SMALL(IF(Staging!$E$2:$E$3001="MIPPL",ROW(Staging!$E$2:$E$3001)-ROW(Staging!$E$2)+1),378),"")</f>
      </c>
    </row>
    <row r="380" spans="1:14" x14ac:dyDescent="0.25">
      <c r="A380">
        <f>IF($N380="","",INDEX(Staging!$A$2:$A$3001,$N380))</f>
      </c>
      <c r="B380">
        <f>IF($N380="","",INDEX(Staging!$B$2:$B$3001,$N380))</f>
      </c>
      <c r="C380">
        <f>IF($N380="","",INDEX(Staging!$C$2:$C$3001,$N380))</f>
      </c>
      <c r="D380">
        <f>IF($N380="","",INDEX(Staging!$D$2:$D$3001,$N380))</f>
      </c>
      <c r="E380">
        <f>IF($N380="","",INDEX(Staging!$F$2:$F$3001,$N380))</f>
      </c>
      <c r="F380">
        <f>IF($N380="","",INDEX(Staging!$G$2:$G$3001,$N380))</f>
      </c>
      <c r="G380">
        <f>IF($N380="","",INDEX(Staging!$H$2:$H$3001,$N380))</f>
      </c>
      <c r="H380">
        <f>IF($N380="","",INDEX(Staging!$I$2:$I$3001,$N380))</f>
      </c>
      <c r="I380">
        <f>IF($N380="","",INDEX(Staging!$J$2:$J$3001,$N380))</f>
      </c>
      <c r="J380">
        <f>IF($N380="","",INDEX(Staging!$K$2:$K$3001,$N380))</f>
      </c>
      <c r="K380">
        <f>IF($N380="","",INDEX(Staging!$M$2:$M$3001,$N380))</f>
      </c>
      <c r="L380">
        <f>IF($N380="","",INDEX(Staging!$O$2:$O$3001,$N380))</f>
      </c>
      <c r="M380">
        <f>IF($N380="","",INDEX(Staging!$P$2:$P$3001,$N380))</f>
      </c>
      <c r="N380">
        <f t="array" ref="N380">IFERROR(SMALL(IF(Staging!$E$2:$E$3001="MIPPL",ROW(Staging!$E$2:$E$3001)-ROW(Staging!$E$2)+1),379),"")</f>
      </c>
    </row>
    <row r="381" spans="1:14" x14ac:dyDescent="0.25">
      <c r="A381">
        <f>IF($N381="","",INDEX(Staging!$A$2:$A$3001,$N381))</f>
      </c>
      <c r="B381">
        <f>IF($N381="","",INDEX(Staging!$B$2:$B$3001,$N381))</f>
      </c>
      <c r="C381">
        <f>IF($N381="","",INDEX(Staging!$C$2:$C$3001,$N381))</f>
      </c>
      <c r="D381">
        <f>IF($N381="","",INDEX(Staging!$D$2:$D$3001,$N381))</f>
      </c>
      <c r="E381">
        <f>IF($N381="","",INDEX(Staging!$F$2:$F$3001,$N381))</f>
      </c>
      <c r="F381">
        <f>IF($N381="","",INDEX(Staging!$G$2:$G$3001,$N381))</f>
      </c>
      <c r="G381">
        <f>IF($N381="","",INDEX(Staging!$H$2:$H$3001,$N381))</f>
      </c>
      <c r="H381">
        <f>IF($N381="","",INDEX(Staging!$I$2:$I$3001,$N381))</f>
      </c>
      <c r="I381">
        <f>IF($N381="","",INDEX(Staging!$J$2:$J$3001,$N381))</f>
      </c>
      <c r="J381">
        <f>IF($N381="","",INDEX(Staging!$K$2:$K$3001,$N381))</f>
      </c>
      <c r="K381">
        <f>IF($N381="","",INDEX(Staging!$M$2:$M$3001,$N381))</f>
      </c>
      <c r="L381">
        <f>IF($N381="","",INDEX(Staging!$O$2:$O$3001,$N381))</f>
      </c>
      <c r="M381">
        <f>IF($N381="","",INDEX(Staging!$P$2:$P$3001,$N381))</f>
      </c>
      <c r="N381">
        <f t="array" ref="N381">IFERROR(SMALL(IF(Staging!$E$2:$E$3001="MIPPL",ROW(Staging!$E$2:$E$3001)-ROW(Staging!$E$2)+1),380),"")</f>
      </c>
    </row>
    <row r="382" spans="1:14" x14ac:dyDescent="0.25">
      <c r="A382">
        <f>IF($N382="","",INDEX(Staging!$A$2:$A$3001,$N382))</f>
      </c>
      <c r="B382">
        <f>IF($N382="","",INDEX(Staging!$B$2:$B$3001,$N382))</f>
      </c>
      <c r="C382">
        <f>IF($N382="","",INDEX(Staging!$C$2:$C$3001,$N382))</f>
      </c>
      <c r="D382">
        <f>IF($N382="","",INDEX(Staging!$D$2:$D$3001,$N382))</f>
      </c>
      <c r="E382">
        <f>IF($N382="","",INDEX(Staging!$F$2:$F$3001,$N382))</f>
      </c>
      <c r="F382">
        <f>IF($N382="","",INDEX(Staging!$G$2:$G$3001,$N382))</f>
      </c>
      <c r="G382">
        <f>IF($N382="","",INDEX(Staging!$H$2:$H$3001,$N382))</f>
      </c>
      <c r="H382">
        <f>IF($N382="","",INDEX(Staging!$I$2:$I$3001,$N382))</f>
      </c>
      <c r="I382">
        <f>IF($N382="","",INDEX(Staging!$J$2:$J$3001,$N382))</f>
      </c>
      <c r="J382">
        <f>IF($N382="","",INDEX(Staging!$K$2:$K$3001,$N382))</f>
      </c>
      <c r="K382">
        <f>IF($N382="","",INDEX(Staging!$M$2:$M$3001,$N382))</f>
      </c>
      <c r="L382">
        <f>IF($N382="","",INDEX(Staging!$O$2:$O$3001,$N382))</f>
      </c>
      <c r="M382">
        <f>IF($N382="","",INDEX(Staging!$P$2:$P$3001,$N382))</f>
      </c>
      <c r="N382">
        <f t="array" ref="N382">IFERROR(SMALL(IF(Staging!$E$2:$E$3001="MIPPL",ROW(Staging!$E$2:$E$3001)-ROW(Staging!$E$2)+1),381),"")</f>
      </c>
    </row>
    <row r="383" spans="1:14" x14ac:dyDescent="0.25">
      <c r="A383">
        <f>IF($N383="","",INDEX(Staging!$A$2:$A$3001,$N383))</f>
      </c>
      <c r="B383">
        <f>IF($N383="","",INDEX(Staging!$B$2:$B$3001,$N383))</f>
      </c>
      <c r="C383">
        <f>IF($N383="","",INDEX(Staging!$C$2:$C$3001,$N383))</f>
      </c>
      <c r="D383">
        <f>IF($N383="","",INDEX(Staging!$D$2:$D$3001,$N383))</f>
      </c>
      <c r="E383">
        <f>IF($N383="","",INDEX(Staging!$F$2:$F$3001,$N383))</f>
      </c>
      <c r="F383">
        <f>IF($N383="","",INDEX(Staging!$G$2:$G$3001,$N383))</f>
      </c>
      <c r="G383">
        <f>IF($N383="","",INDEX(Staging!$H$2:$H$3001,$N383))</f>
      </c>
      <c r="H383">
        <f>IF($N383="","",INDEX(Staging!$I$2:$I$3001,$N383))</f>
      </c>
      <c r="I383">
        <f>IF($N383="","",INDEX(Staging!$J$2:$J$3001,$N383))</f>
      </c>
      <c r="J383">
        <f>IF($N383="","",INDEX(Staging!$K$2:$K$3001,$N383))</f>
      </c>
      <c r="K383">
        <f>IF($N383="","",INDEX(Staging!$M$2:$M$3001,$N383))</f>
      </c>
      <c r="L383">
        <f>IF($N383="","",INDEX(Staging!$O$2:$O$3001,$N383))</f>
      </c>
      <c r="M383">
        <f>IF($N383="","",INDEX(Staging!$P$2:$P$3001,$N383))</f>
      </c>
      <c r="N383">
        <f t="array" ref="N383">IFERROR(SMALL(IF(Staging!$E$2:$E$3001="MIPPL",ROW(Staging!$E$2:$E$3001)-ROW(Staging!$E$2)+1),382),"")</f>
      </c>
    </row>
    <row r="384" spans="1:14" x14ac:dyDescent="0.25">
      <c r="A384">
        <f>IF($N384="","",INDEX(Staging!$A$2:$A$3001,$N384))</f>
      </c>
      <c r="B384">
        <f>IF($N384="","",INDEX(Staging!$B$2:$B$3001,$N384))</f>
      </c>
      <c r="C384">
        <f>IF($N384="","",INDEX(Staging!$C$2:$C$3001,$N384))</f>
      </c>
      <c r="D384">
        <f>IF($N384="","",INDEX(Staging!$D$2:$D$3001,$N384))</f>
      </c>
      <c r="E384">
        <f>IF($N384="","",INDEX(Staging!$F$2:$F$3001,$N384))</f>
      </c>
      <c r="F384">
        <f>IF($N384="","",INDEX(Staging!$G$2:$G$3001,$N384))</f>
      </c>
      <c r="G384">
        <f>IF($N384="","",INDEX(Staging!$H$2:$H$3001,$N384))</f>
      </c>
      <c r="H384">
        <f>IF($N384="","",INDEX(Staging!$I$2:$I$3001,$N384))</f>
      </c>
      <c r="I384">
        <f>IF($N384="","",INDEX(Staging!$J$2:$J$3001,$N384))</f>
      </c>
      <c r="J384">
        <f>IF($N384="","",INDEX(Staging!$K$2:$K$3001,$N384))</f>
      </c>
      <c r="K384">
        <f>IF($N384="","",INDEX(Staging!$M$2:$M$3001,$N384))</f>
      </c>
      <c r="L384">
        <f>IF($N384="","",INDEX(Staging!$O$2:$O$3001,$N384))</f>
      </c>
      <c r="M384">
        <f>IF($N384="","",INDEX(Staging!$P$2:$P$3001,$N384))</f>
      </c>
      <c r="N384">
        <f t="array" ref="N384">IFERROR(SMALL(IF(Staging!$E$2:$E$3001="MIPPL",ROW(Staging!$E$2:$E$3001)-ROW(Staging!$E$2)+1),383),"")</f>
      </c>
    </row>
    <row r="385" spans="1:14" x14ac:dyDescent="0.25">
      <c r="A385">
        <f>IF($N385="","",INDEX(Staging!$A$2:$A$3001,$N385))</f>
      </c>
      <c r="B385">
        <f>IF($N385="","",INDEX(Staging!$B$2:$B$3001,$N385))</f>
      </c>
      <c r="C385">
        <f>IF($N385="","",INDEX(Staging!$C$2:$C$3001,$N385))</f>
      </c>
      <c r="D385">
        <f>IF($N385="","",INDEX(Staging!$D$2:$D$3001,$N385))</f>
      </c>
      <c r="E385">
        <f>IF($N385="","",INDEX(Staging!$F$2:$F$3001,$N385))</f>
      </c>
      <c r="F385">
        <f>IF($N385="","",INDEX(Staging!$G$2:$G$3001,$N385))</f>
      </c>
      <c r="G385">
        <f>IF($N385="","",INDEX(Staging!$H$2:$H$3001,$N385))</f>
      </c>
      <c r="H385">
        <f>IF($N385="","",INDEX(Staging!$I$2:$I$3001,$N385))</f>
      </c>
      <c r="I385">
        <f>IF($N385="","",INDEX(Staging!$J$2:$J$3001,$N385))</f>
      </c>
      <c r="J385">
        <f>IF($N385="","",INDEX(Staging!$K$2:$K$3001,$N385))</f>
      </c>
      <c r="K385">
        <f>IF($N385="","",INDEX(Staging!$M$2:$M$3001,$N385))</f>
      </c>
      <c r="L385">
        <f>IF($N385="","",INDEX(Staging!$O$2:$O$3001,$N385))</f>
      </c>
      <c r="M385">
        <f>IF($N385="","",INDEX(Staging!$P$2:$P$3001,$N385))</f>
      </c>
      <c r="N385">
        <f t="array" ref="N385">IFERROR(SMALL(IF(Staging!$E$2:$E$3001="MIPPL",ROW(Staging!$E$2:$E$3001)-ROW(Staging!$E$2)+1),384),"")</f>
      </c>
    </row>
    <row r="386" spans="1:14" x14ac:dyDescent="0.25">
      <c r="A386">
        <f>IF($N386="","",INDEX(Staging!$A$2:$A$3001,$N386))</f>
      </c>
      <c r="B386">
        <f>IF($N386="","",INDEX(Staging!$B$2:$B$3001,$N386))</f>
      </c>
      <c r="C386">
        <f>IF($N386="","",INDEX(Staging!$C$2:$C$3001,$N386))</f>
      </c>
      <c r="D386">
        <f>IF($N386="","",INDEX(Staging!$D$2:$D$3001,$N386))</f>
      </c>
      <c r="E386">
        <f>IF($N386="","",INDEX(Staging!$F$2:$F$3001,$N386))</f>
      </c>
      <c r="F386">
        <f>IF($N386="","",INDEX(Staging!$G$2:$G$3001,$N386))</f>
      </c>
      <c r="G386">
        <f>IF($N386="","",INDEX(Staging!$H$2:$H$3001,$N386))</f>
      </c>
      <c r="H386">
        <f>IF($N386="","",INDEX(Staging!$I$2:$I$3001,$N386))</f>
      </c>
      <c r="I386">
        <f>IF($N386="","",INDEX(Staging!$J$2:$J$3001,$N386))</f>
      </c>
      <c r="J386">
        <f>IF($N386="","",INDEX(Staging!$K$2:$K$3001,$N386))</f>
      </c>
      <c r="K386">
        <f>IF($N386="","",INDEX(Staging!$M$2:$M$3001,$N386))</f>
      </c>
      <c r="L386">
        <f>IF($N386="","",INDEX(Staging!$O$2:$O$3001,$N386))</f>
      </c>
      <c r="M386">
        <f>IF($N386="","",INDEX(Staging!$P$2:$P$3001,$N386))</f>
      </c>
      <c r="N386">
        <f t="array" ref="N386">IFERROR(SMALL(IF(Staging!$E$2:$E$3001="MIPPL",ROW(Staging!$E$2:$E$3001)-ROW(Staging!$E$2)+1),385),"")</f>
      </c>
    </row>
    <row r="387" spans="1:14" x14ac:dyDescent="0.25">
      <c r="A387">
        <f>IF($N387="","",INDEX(Staging!$A$2:$A$3001,$N387))</f>
      </c>
      <c r="B387">
        <f>IF($N387="","",INDEX(Staging!$B$2:$B$3001,$N387))</f>
      </c>
      <c r="C387">
        <f>IF($N387="","",INDEX(Staging!$C$2:$C$3001,$N387))</f>
      </c>
      <c r="D387">
        <f>IF($N387="","",INDEX(Staging!$D$2:$D$3001,$N387))</f>
      </c>
      <c r="E387">
        <f>IF($N387="","",INDEX(Staging!$F$2:$F$3001,$N387))</f>
      </c>
      <c r="F387">
        <f>IF($N387="","",INDEX(Staging!$G$2:$G$3001,$N387))</f>
      </c>
      <c r="G387">
        <f>IF($N387="","",INDEX(Staging!$H$2:$H$3001,$N387))</f>
      </c>
      <c r="H387">
        <f>IF($N387="","",INDEX(Staging!$I$2:$I$3001,$N387))</f>
      </c>
      <c r="I387">
        <f>IF($N387="","",INDEX(Staging!$J$2:$J$3001,$N387))</f>
      </c>
      <c r="J387">
        <f>IF($N387="","",INDEX(Staging!$K$2:$K$3001,$N387))</f>
      </c>
      <c r="K387">
        <f>IF($N387="","",INDEX(Staging!$M$2:$M$3001,$N387))</f>
      </c>
      <c r="L387">
        <f>IF($N387="","",INDEX(Staging!$O$2:$O$3001,$N387))</f>
      </c>
      <c r="M387">
        <f>IF($N387="","",INDEX(Staging!$P$2:$P$3001,$N387))</f>
      </c>
      <c r="N387">
        <f t="array" ref="N387">IFERROR(SMALL(IF(Staging!$E$2:$E$3001="MIPPL",ROW(Staging!$E$2:$E$3001)-ROW(Staging!$E$2)+1),386),"")</f>
      </c>
    </row>
    <row r="388" spans="1:14" x14ac:dyDescent="0.25">
      <c r="A388">
        <f>IF($N388="","",INDEX(Staging!$A$2:$A$3001,$N388))</f>
      </c>
      <c r="B388">
        <f>IF($N388="","",INDEX(Staging!$B$2:$B$3001,$N388))</f>
      </c>
      <c r="C388">
        <f>IF($N388="","",INDEX(Staging!$C$2:$C$3001,$N388))</f>
      </c>
      <c r="D388">
        <f>IF($N388="","",INDEX(Staging!$D$2:$D$3001,$N388))</f>
      </c>
      <c r="E388">
        <f>IF($N388="","",INDEX(Staging!$F$2:$F$3001,$N388))</f>
      </c>
      <c r="F388">
        <f>IF($N388="","",INDEX(Staging!$G$2:$G$3001,$N388))</f>
      </c>
      <c r="G388">
        <f>IF($N388="","",INDEX(Staging!$H$2:$H$3001,$N388))</f>
      </c>
      <c r="H388">
        <f>IF($N388="","",INDEX(Staging!$I$2:$I$3001,$N388))</f>
      </c>
      <c r="I388">
        <f>IF($N388="","",INDEX(Staging!$J$2:$J$3001,$N388))</f>
      </c>
      <c r="J388">
        <f>IF($N388="","",INDEX(Staging!$K$2:$K$3001,$N388))</f>
      </c>
      <c r="K388">
        <f>IF($N388="","",INDEX(Staging!$M$2:$M$3001,$N388))</f>
      </c>
      <c r="L388">
        <f>IF($N388="","",INDEX(Staging!$O$2:$O$3001,$N388))</f>
      </c>
      <c r="M388">
        <f>IF($N388="","",INDEX(Staging!$P$2:$P$3001,$N388))</f>
      </c>
      <c r="N388">
        <f t="array" ref="N388">IFERROR(SMALL(IF(Staging!$E$2:$E$3001="MIPPL",ROW(Staging!$E$2:$E$3001)-ROW(Staging!$E$2)+1),387),"")</f>
      </c>
    </row>
    <row r="389" spans="1:14" x14ac:dyDescent="0.25">
      <c r="A389">
        <f>IF($N389="","",INDEX(Staging!$A$2:$A$3001,$N389))</f>
      </c>
      <c r="B389">
        <f>IF($N389="","",INDEX(Staging!$B$2:$B$3001,$N389))</f>
      </c>
      <c r="C389">
        <f>IF($N389="","",INDEX(Staging!$C$2:$C$3001,$N389))</f>
      </c>
      <c r="D389">
        <f>IF($N389="","",INDEX(Staging!$D$2:$D$3001,$N389))</f>
      </c>
      <c r="E389">
        <f>IF($N389="","",INDEX(Staging!$F$2:$F$3001,$N389))</f>
      </c>
      <c r="F389">
        <f>IF($N389="","",INDEX(Staging!$G$2:$G$3001,$N389))</f>
      </c>
      <c r="G389">
        <f>IF($N389="","",INDEX(Staging!$H$2:$H$3001,$N389))</f>
      </c>
      <c r="H389">
        <f>IF($N389="","",INDEX(Staging!$I$2:$I$3001,$N389))</f>
      </c>
      <c r="I389">
        <f>IF($N389="","",INDEX(Staging!$J$2:$J$3001,$N389))</f>
      </c>
      <c r="J389">
        <f>IF($N389="","",INDEX(Staging!$K$2:$K$3001,$N389))</f>
      </c>
      <c r="K389">
        <f>IF($N389="","",INDEX(Staging!$M$2:$M$3001,$N389))</f>
      </c>
      <c r="L389">
        <f>IF($N389="","",INDEX(Staging!$O$2:$O$3001,$N389))</f>
      </c>
      <c r="M389">
        <f>IF($N389="","",INDEX(Staging!$P$2:$P$3001,$N389))</f>
      </c>
      <c r="N389">
        <f t="array" ref="N389">IFERROR(SMALL(IF(Staging!$E$2:$E$3001="MIPPL",ROW(Staging!$E$2:$E$3001)-ROW(Staging!$E$2)+1),388),"")</f>
      </c>
    </row>
    <row r="390" spans="1:14" x14ac:dyDescent="0.25">
      <c r="A390">
        <f>IF($N390="","",INDEX(Staging!$A$2:$A$3001,$N390))</f>
      </c>
      <c r="B390">
        <f>IF($N390="","",INDEX(Staging!$B$2:$B$3001,$N390))</f>
      </c>
      <c r="C390">
        <f>IF($N390="","",INDEX(Staging!$C$2:$C$3001,$N390))</f>
      </c>
      <c r="D390">
        <f>IF($N390="","",INDEX(Staging!$D$2:$D$3001,$N390))</f>
      </c>
      <c r="E390">
        <f>IF($N390="","",INDEX(Staging!$F$2:$F$3001,$N390))</f>
      </c>
      <c r="F390">
        <f>IF($N390="","",INDEX(Staging!$G$2:$G$3001,$N390))</f>
      </c>
      <c r="G390">
        <f>IF($N390="","",INDEX(Staging!$H$2:$H$3001,$N390))</f>
      </c>
      <c r="H390">
        <f>IF($N390="","",INDEX(Staging!$I$2:$I$3001,$N390))</f>
      </c>
      <c r="I390">
        <f>IF($N390="","",INDEX(Staging!$J$2:$J$3001,$N390))</f>
      </c>
      <c r="J390">
        <f>IF($N390="","",INDEX(Staging!$K$2:$K$3001,$N390))</f>
      </c>
      <c r="K390">
        <f>IF($N390="","",INDEX(Staging!$M$2:$M$3001,$N390))</f>
      </c>
      <c r="L390">
        <f>IF($N390="","",INDEX(Staging!$O$2:$O$3001,$N390))</f>
      </c>
      <c r="M390">
        <f>IF($N390="","",INDEX(Staging!$P$2:$P$3001,$N390))</f>
      </c>
      <c r="N390">
        <f t="array" ref="N390">IFERROR(SMALL(IF(Staging!$E$2:$E$3001="MIPPL",ROW(Staging!$E$2:$E$3001)-ROW(Staging!$E$2)+1),389),"")</f>
      </c>
    </row>
    <row r="391" spans="1:14" x14ac:dyDescent="0.25">
      <c r="A391">
        <f>IF($N391="","",INDEX(Staging!$A$2:$A$3001,$N391))</f>
      </c>
      <c r="B391">
        <f>IF($N391="","",INDEX(Staging!$B$2:$B$3001,$N391))</f>
      </c>
      <c r="C391">
        <f>IF($N391="","",INDEX(Staging!$C$2:$C$3001,$N391))</f>
      </c>
      <c r="D391">
        <f>IF($N391="","",INDEX(Staging!$D$2:$D$3001,$N391))</f>
      </c>
      <c r="E391">
        <f>IF($N391="","",INDEX(Staging!$F$2:$F$3001,$N391))</f>
      </c>
      <c r="F391">
        <f>IF($N391="","",INDEX(Staging!$G$2:$G$3001,$N391))</f>
      </c>
      <c r="G391">
        <f>IF($N391="","",INDEX(Staging!$H$2:$H$3001,$N391))</f>
      </c>
      <c r="H391">
        <f>IF($N391="","",INDEX(Staging!$I$2:$I$3001,$N391))</f>
      </c>
      <c r="I391">
        <f>IF($N391="","",INDEX(Staging!$J$2:$J$3001,$N391))</f>
      </c>
      <c r="J391">
        <f>IF($N391="","",INDEX(Staging!$K$2:$K$3001,$N391))</f>
      </c>
      <c r="K391">
        <f>IF($N391="","",INDEX(Staging!$M$2:$M$3001,$N391))</f>
      </c>
      <c r="L391">
        <f>IF($N391="","",INDEX(Staging!$O$2:$O$3001,$N391))</f>
      </c>
      <c r="M391">
        <f>IF($N391="","",INDEX(Staging!$P$2:$P$3001,$N391))</f>
      </c>
      <c r="N391">
        <f t="array" ref="N391">IFERROR(SMALL(IF(Staging!$E$2:$E$3001="MIPPL",ROW(Staging!$E$2:$E$3001)-ROW(Staging!$E$2)+1),390),"")</f>
      </c>
    </row>
    <row r="392" spans="1:14" x14ac:dyDescent="0.25">
      <c r="A392">
        <f>IF($N392="","",INDEX(Staging!$A$2:$A$3001,$N392))</f>
      </c>
      <c r="B392">
        <f>IF($N392="","",INDEX(Staging!$B$2:$B$3001,$N392))</f>
      </c>
      <c r="C392">
        <f>IF($N392="","",INDEX(Staging!$C$2:$C$3001,$N392))</f>
      </c>
      <c r="D392">
        <f>IF($N392="","",INDEX(Staging!$D$2:$D$3001,$N392))</f>
      </c>
      <c r="E392">
        <f>IF($N392="","",INDEX(Staging!$F$2:$F$3001,$N392))</f>
      </c>
      <c r="F392">
        <f>IF($N392="","",INDEX(Staging!$G$2:$G$3001,$N392))</f>
      </c>
      <c r="G392">
        <f>IF($N392="","",INDEX(Staging!$H$2:$H$3001,$N392))</f>
      </c>
      <c r="H392">
        <f>IF($N392="","",INDEX(Staging!$I$2:$I$3001,$N392))</f>
      </c>
      <c r="I392">
        <f>IF($N392="","",INDEX(Staging!$J$2:$J$3001,$N392))</f>
      </c>
      <c r="J392">
        <f>IF($N392="","",INDEX(Staging!$K$2:$K$3001,$N392))</f>
      </c>
      <c r="K392">
        <f>IF($N392="","",INDEX(Staging!$M$2:$M$3001,$N392))</f>
      </c>
      <c r="L392">
        <f>IF($N392="","",INDEX(Staging!$O$2:$O$3001,$N392))</f>
      </c>
      <c r="M392">
        <f>IF($N392="","",INDEX(Staging!$P$2:$P$3001,$N392))</f>
      </c>
      <c r="N392">
        <f t="array" ref="N392">IFERROR(SMALL(IF(Staging!$E$2:$E$3001="MIPPL",ROW(Staging!$E$2:$E$3001)-ROW(Staging!$E$2)+1),391),"")</f>
      </c>
    </row>
    <row r="393" spans="1:14" x14ac:dyDescent="0.25">
      <c r="A393">
        <f>IF($N393="","",INDEX(Staging!$A$2:$A$3001,$N393))</f>
      </c>
      <c r="B393">
        <f>IF($N393="","",INDEX(Staging!$B$2:$B$3001,$N393))</f>
      </c>
      <c r="C393">
        <f>IF($N393="","",INDEX(Staging!$C$2:$C$3001,$N393))</f>
      </c>
      <c r="D393">
        <f>IF($N393="","",INDEX(Staging!$D$2:$D$3001,$N393))</f>
      </c>
      <c r="E393">
        <f>IF($N393="","",INDEX(Staging!$F$2:$F$3001,$N393))</f>
      </c>
      <c r="F393">
        <f>IF($N393="","",INDEX(Staging!$G$2:$G$3001,$N393))</f>
      </c>
      <c r="G393">
        <f>IF($N393="","",INDEX(Staging!$H$2:$H$3001,$N393))</f>
      </c>
      <c r="H393">
        <f>IF($N393="","",INDEX(Staging!$I$2:$I$3001,$N393))</f>
      </c>
      <c r="I393">
        <f>IF($N393="","",INDEX(Staging!$J$2:$J$3001,$N393))</f>
      </c>
      <c r="J393">
        <f>IF($N393="","",INDEX(Staging!$K$2:$K$3001,$N393))</f>
      </c>
      <c r="K393">
        <f>IF($N393="","",INDEX(Staging!$M$2:$M$3001,$N393))</f>
      </c>
      <c r="L393">
        <f>IF($N393="","",INDEX(Staging!$O$2:$O$3001,$N393))</f>
      </c>
      <c r="M393">
        <f>IF($N393="","",INDEX(Staging!$P$2:$P$3001,$N393))</f>
      </c>
      <c r="N393">
        <f t="array" ref="N393">IFERROR(SMALL(IF(Staging!$E$2:$E$3001="MIPPL",ROW(Staging!$E$2:$E$3001)-ROW(Staging!$E$2)+1),392),"")</f>
      </c>
    </row>
    <row r="394" spans="1:14" x14ac:dyDescent="0.25">
      <c r="A394">
        <f>IF($N394="","",INDEX(Staging!$A$2:$A$3001,$N394))</f>
      </c>
      <c r="B394">
        <f>IF($N394="","",INDEX(Staging!$B$2:$B$3001,$N394))</f>
      </c>
      <c r="C394">
        <f>IF($N394="","",INDEX(Staging!$C$2:$C$3001,$N394))</f>
      </c>
      <c r="D394">
        <f>IF($N394="","",INDEX(Staging!$D$2:$D$3001,$N394))</f>
      </c>
      <c r="E394">
        <f>IF($N394="","",INDEX(Staging!$F$2:$F$3001,$N394))</f>
      </c>
      <c r="F394">
        <f>IF($N394="","",INDEX(Staging!$G$2:$G$3001,$N394))</f>
      </c>
      <c r="G394">
        <f>IF($N394="","",INDEX(Staging!$H$2:$H$3001,$N394))</f>
      </c>
      <c r="H394">
        <f>IF($N394="","",INDEX(Staging!$I$2:$I$3001,$N394))</f>
      </c>
      <c r="I394">
        <f>IF($N394="","",INDEX(Staging!$J$2:$J$3001,$N394))</f>
      </c>
      <c r="J394">
        <f>IF($N394="","",INDEX(Staging!$K$2:$K$3001,$N394))</f>
      </c>
      <c r="K394">
        <f>IF($N394="","",INDEX(Staging!$M$2:$M$3001,$N394))</f>
      </c>
      <c r="L394">
        <f>IF($N394="","",INDEX(Staging!$O$2:$O$3001,$N394))</f>
      </c>
      <c r="M394">
        <f>IF($N394="","",INDEX(Staging!$P$2:$P$3001,$N394))</f>
      </c>
      <c r="N394">
        <f t="array" ref="N394">IFERROR(SMALL(IF(Staging!$E$2:$E$3001="MIPPL",ROW(Staging!$E$2:$E$3001)-ROW(Staging!$E$2)+1),393),"")</f>
      </c>
    </row>
    <row r="395" spans="1:14" x14ac:dyDescent="0.25">
      <c r="A395">
        <f>IF($N395="","",INDEX(Staging!$A$2:$A$3001,$N395))</f>
      </c>
      <c r="B395">
        <f>IF($N395="","",INDEX(Staging!$B$2:$B$3001,$N395))</f>
      </c>
      <c r="C395">
        <f>IF($N395="","",INDEX(Staging!$C$2:$C$3001,$N395))</f>
      </c>
      <c r="D395">
        <f>IF($N395="","",INDEX(Staging!$D$2:$D$3001,$N395))</f>
      </c>
      <c r="E395">
        <f>IF($N395="","",INDEX(Staging!$F$2:$F$3001,$N395))</f>
      </c>
      <c r="F395">
        <f>IF($N395="","",INDEX(Staging!$G$2:$G$3001,$N395))</f>
      </c>
      <c r="G395">
        <f>IF($N395="","",INDEX(Staging!$H$2:$H$3001,$N395))</f>
      </c>
      <c r="H395">
        <f>IF($N395="","",INDEX(Staging!$I$2:$I$3001,$N395))</f>
      </c>
      <c r="I395">
        <f>IF($N395="","",INDEX(Staging!$J$2:$J$3001,$N395))</f>
      </c>
      <c r="J395">
        <f>IF($N395="","",INDEX(Staging!$K$2:$K$3001,$N395))</f>
      </c>
      <c r="K395">
        <f>IF($N395="","",INDEX(Staging!$M$2:$M$3001,$N395))</f>
      </c>
      <c r="L395">
        <f>IF($N395="","",INDEX(Staging!$O$2:$O$3001,$N395))</f>
      </c>
      <c r="M395">
        <f>IF($N395="","",INDEX(Staging!$P$2:$P$3001,$N395))</f>
      </c>
      <c r="N395">
        <f t="array" ref="N395">IFERROR(SMALL(IF(Staging!$E$2:$E$3001="MIPPL",ROW(Staging!$E$2:$E$3001)-ROW(Staging!$E$2)+1),394),"")</f>
      </c>
    </row>
    <row r="396" spans="1:14" x14ac:dyDescent="0.25">
      <c r="A396">
        <f>IF($N396="","",INDEX(Staging!$A$2:$A$3001,$N396))</f>
      </c>
      <c r="B396">
        <f>IF($N396="","",INDEX(Staging!$B$2:$B$3001,$N396))</f>
      </c>
      <c r="C396">
        <f>IF($N396="","",INDEX(Staging!$C$2:$C$3001,$N396))</f>
      </c>
      <c r="D396">
        <f>IF($N396="","",INDEX(Staging!$D$2:$D$3001,$N396))</f>
      </c>
      <c r="E396">
        <f>IF($N396="","",INDEX(Staging!$F$2:$F$3001,$N396))</f>
      </c>
      <c r="F396">
        <f>IF($N396="","",INDEX(Staging!$G$2:$G$3001,$N396))</f>
      </c>
      <c r="G396">
        <f>IF($N396="","",INDEX(Staging!$H$2:$H$3001,$N396))</f>
      </c>
      <c r="H396">
        <f>IF($N396="","",INDEX(Staging!$I$2:$I$3001,$N396))</f>
      </c>
      <c r="I396">
        <f>IF($N396="","",INDEX(Staging!$J$2:$J$3001,$N396))</f>
      </c>
      <c r="J396">
        <f>IF($N396="","",INDEX(Staging!$K$2:$K$3001,$N396))</f>
      </c>
      <c r="K396">
        <f>IF($N396="","",INDEX(Staging!$M$2:$M$3001,$N396))</f>
      </c>
      <c r="L396">
        <f>IF($N396="","",INDEX(Staging!$O$2:$O$3001,$N396))</f>
      </c>
      <c r="M396">
        <f>IF($N396="","",INDEX(Staging!$P$2:$P$3001,$N396))</f>
      </c>
      <c r="N396">
        <f t="array" ref="N396">IFERROR(SMALL(IF(Staging!$E$2:$E$3001="MIPPL",ROW(Staging!$E$2:$E$3001)-ROW(Staging!$E$2)+1),395),"")</f>
      </c>
    </row>
    <row r="397" spans="1:14" x14ac:dyDescent="0.25">
      <c r="A397">
        <f>IF($N397="","",INDEX(Staging!$A$2:$A$3001,$N397))</f>
      </c>
      <c r="B397">
        <f>IF($N397="","",INDEX(Staging!$B$2:$B$3001,$N397))</f>
      </c>
      <c r="C397">
        <f>IF($N397="","",INDEX(Staging!$C$2:$C$3001,$N397))</f>
      </c>
      <c r="D397">
        <f>IF($N397="","",INDEX(Staging!$D$2:$D$3001,$N397))</f>
      </c>
      <c r="E397">
        <f>IF($N397="","",INDEX(Staging!$F$2:$F$3001,$N397))</f>
      </c>
      <c r="F397">
        <f>IF($N397="","",INDEX(Staging!$G$2:$G$3001,$N397))</f>
      </c>
      <c r="G397">
        <f>IF($N397="","",INDEX(Staging!$H$2:$H$3001,$N397))</f>
      </c>
      <c r="H397">
        <f>IF($N397="","",INDEX(Staging!$I$2:$I$3001,$N397))</f>
      </c>
      <c r="I397">
        <f>IF($N397="","",INDEX(Staging!$J$2:$J$3001,$N397))</f>
      </c>
      <c r="J397">
        <f>IF($N397="","",INDEX(Staging!$K$2:$K$3001,$N397))</f>
      </c>
      <c r="K397">
        <f>IF($N397="","",INDEX(Staging!$M$2:$M$3001,$N397))</f>
      </c>
      <c r="L397">
        <f>IF($N397="","",INDEX(Staging!$O$2:$O$3001,$N397))</f>
      </c>
      <c r="M397">
        <f>IF($N397="","",INDEX(Staging!$P$2:$P$3001,$N397))</f>
      </c>
      <c r="N397">
        <f t="array" ref="N397">IFERROR(SMALL(IF(Staging!$E$2:$E$3001="MIPPL",ROW(Staging!$E$2:$E$3001)-ROW(Staging!$E$2)+1),396),"")</f>
      </c>
    </row>
    <row r="398" spans="1:14" x14ac:dyDescent="0.25">
      <c r="A398">
        <f>IF($N398="","",INDEX(Staging!$A$2:$A$3001,$N398))</f>
      </c>
      <c r="B398">
        <f>IF($N398="","",INDEX(Staging!$B$2:$B$3001,$N398))</f>
      </c>
      <c r="C398">
        <f>IF($N398="","",INDEX(Staging!$C$2:$C$3001,$N398))</f>
      </c>
      <c r="D398">
        <f>IF($N398="","",INDEX(Staging!$D$2:$D$3001,$N398))</f>
      </c>
      <c r="E398">
        <f>IF($N398="","",INDEX(Staging!$F$2:$F$3001,$N398))</f>
      </c>
      <c r="F398">
        <f>IF($N398="","",INDEX(Staging!$G$2:$G$3001,$N398))</f>
      </c>
      <c r="G398">
        <f>IF($N398="","",INDEX(Staging!$H$2:$H$3001,$N398))</f>
      </c>
      <c r="H398">
        <f>IF($N398="","",INDEX(Staging!$I$2:$I$3001,$N398))</f>
      </c>
      <c r="I398">
        <f>IF($N398="","",INDEX(Staging!$J$2:$J$3001,$N398))</f>
      </c>
      <c r="J398">
        <f>IF($N398="","",INDEX(Staging!$K$2:$K$3001,$N398))</f>
      </c>
      <c r="K398">
        <f>IF($N398="","",INDEX(Staging!$M$2:$M$3001,$N398))</f>
      </c>
      <c r="L398">
        <f>IF($N398="","",INDEX(Staging!$O$2:$O$3001,$N398))</f>
      </c>
      <c r="M398">
        <f>IF($N398="","",INDEX(Staging!$P$2:$P$3001,$N398))</f>
      </c>
      <c r="N398">
        <f t="array" ref="N398">IFERROR(SMALL(IF(Staging!$E$2:$E$3001="MIPPL",ROW(Staging!$E$2:$E$3001)-ROW(Staging!$E$2)+1),397),"")</f>
      </c>
    </row>
    <row r="399" spans="1:14" x14ac:dyDescent="0.25">
      <c r="A399">
        <f>IF($N399="","",INDEX(Staging!$A$2:$A$3001,$N399))</f>
      </c>
      <c r="B399">
        <f>IF($N399="","",INDEX(Staging!$B$2:$B$3001,$N399))</f>
      </c>
      <c r="C399">
        <f>IF($N399="","",INDEX(Staging!$C$2:$C$3001,$N399))</f>
      </c>
      <c r="D399">
        <f>IF($N399="","",INDEX(Staging!$D$2:$D$3001,$N399))</f>
      </c>
      <c r="E399">
        <f>IF($N399="","",INDEX(Staging!$F$2:$F$3001,$N399))</f>
      </c>
      <c r="F399">
        <f>IF($N399="","",INDEX(Staging!$G$2:$G$3001,$N399))</f>
      </c>
      <c r="G399">
        <f>IF($N399="","",INDEX(Staging!$H$2:$H$3001,$N399))</f>
      </c>
      <c r="H399">
        <f>IF($N399="","",INDEX(Staging!$I$2:$I$3001,$N399))</f>
      </c>
      <c r="I399">
        <f>IF($N399="","",INDEX(Staging!$J$2:$J$3001,$N399))</f>
      </c>
      <c r="J399">
        <f>IF($N399="","",INDEX(Staging!$K$2:$K$3001,$N399))</f>
      </c>
      <c r="K399">
        <f>IF($N399="","",INDEX(Staging!$M$2:$M$3001,$N399))</f>
      </c>
      <c r="L399">
        <f>IF($N399="","",INDEX(Staging!$O$2:$O$3001,$N399))</f>
      </c>
      <c r="M399">
        <f>IF($N399="","",INDEX(Staging!$P$2:$P$3001,$N399))</f>
      </c>
      <c r="N399">
        <f t="array" ref="N399">IFERROR(SMALL(IF(Staging!$E$2:$E$3001="MIPPL",ROW(Staging!$E$2:$E$3001)-ROW(Staging!$E$2)+1),398),"")</f>
      </c>
    </row>
    <row r="400" spans="1:14" x14ac:dyDescent="0.25">
      <c r="A400">
        <f>IF($N400="","",INDEX(Staging!$A$2:$A$3001,$N400))</f>
      </c>
      <c r="B400">
        <f>IF($N400="","",INDEX(Staging!$B$2:$B$3001,$N400))</f>
      </c>
      <c r="C400">
        <f>IF($N400="","",INDEX(Staging!$C$2:$C$3001,$N400))</f>
      </c>
      <c r="D400">
        <f>IF($N400="","",INDEX(Staging!$D$2:$D$3001,$N400))</f>
      </c>
      <c r="E400">
        <f>IF($N400="","",INDEX(Staging!$F$2:$F$3001,$N400))</f>
      </c>
      <c r="F400">
        <f>IF($N400="","",INDEX(Staging!$G$2:$G$3001,$N400))</f>
      </c>
      <c r="G400">
        <f>IF($N400="","",INDEX(Staging!$H$2:$H$3001,$N400))</f>
      </c>
      <c r="H400">
        <f>IF($N400="","",INDEX(Staging!$I$2:$I$3001,$N400))</f>
      </c>
      <c r="I400">
        <f>IF($N400="","",INDEX(Staging!$J$2:$J$3001,$N400))</f>
      </c>
      <c r="J400">
        <f>IF($N400="","",INDEX(Staging!$K$2:$K$3001,$N400))</f>
      </c>
      <c r="K400">
        <f>IF($N400="","",INDEX(Staging!$M$2:$M$3001,$N400))</f>
      </c>
      <c r="L400">
        <f>IF($N400="","",INDEX(Staging!$O$2:$O$3001,$N400))</f>
      </c>
      <c r="M400">
        <f>IF($N400="","",INDEX(Staging!$P$2:$P$3001,$N400))</f>
      </c>
      <c r="N400">
        <f t="array" ref="N400">IFERROR(SMALL(IF(Staging!$E$2:$E$3001="MIPPL",ROW(Staging!$E$2:$E$3001)-ROW(Staging!$E$2)+1),399),"")</f>
      </c>
    </row>
    <row r="401" spans="1:14" x14ac:dyDescent="0.25">
      <c r="A401">
        <f>IF($N401="","",INDEX(Staging!$A$2:$A$3001,$N401))</f>
      </c>
      <c r="B401">
        <f>IF($N401="","",INDEX(Staging!$B$2:$B$3001,$N401))</f>
      </c>
      <c r="C401">
        <f>IF($N401="","",INDEX(Staging!$C$2:$C$3001,$N401))</f>
      </c>
      <c r="D401">
        <f>IF($N401="","",INDEX(Staging!$D$2:$D$3001,$N401))</f>
      </c>
      <c r="E401">
        <f>IF($N401="","",INDEX(Staging!$F$2:$F$3001,$N401))</f>
      </c>
      <c r="F401">
        <f>IF($N401="","",INDEX(Staging!$G$2:$G$3001,$N401))</f>
      </c>
      <c r="G401">
        <f>IF($N401="","",INDEX(Staging!$H$2:$H$3001,$N401))</f>
      </c>
      <c r="H401">
        <f>IF($N401="","",INDEX(Staging!$I$2:$I$3001,$N401))</f>
      </c>
      <c r="I401">
        <f>IF($N401="","",INDEX(Staging!$J$2:$J$3001,$N401))</f>
      </c>
      <c r="J401">
        <f>IF($N401="","",INDEX(Staging!$K$2:$K$3001,$N401))</f>
      </c>
      <c r="K401">
        <f>IF($N401="","",INDEX(Staging!$M$2:$M$3001,$N401))</f>
      </c>
      <c r="L401">
        <f>IF($N401="","",INDEX(Staging!$O$2:$O$3001,$N401))</f>
      </c>
      <c r="M401">
        <f>IF($N401="","",INDEX(Staging!$P$2:$P$3001,$N401))</f>
      </c>
      <c r="N401">
        <f t="array" ref="N401">IFERROR(SMALL(IF(Staging!$E$2:$E$3001="MIPPL",ROW(Staging!$E$2:$E$3001)-ROW(Staging!$E$2)+1),400),"")</f>
      </c>
    </row>
    <row r="402" spans="1:14" x14ac:dyDescent="0.25">
      <c r="A402">
        <f>IF($N402="","",INDEX(Staging!$A$2:$A$3001,$N402))</f>
      </c>
      <c r="B402">
        <f>IF($N402="","",INDEX(Staging!$B$2:$B$3001,$N402))</f>
      </c>
      <c r="C402">
        <f>IF($N402="","",INDEX(Staging!$C$2:$C$3001,$N402))</f>
      </c>
      <c r="D402">
        <f>IF($N402="","",INDEX(Staging!$D$2:$D$3001,$N402))</f>
      </c>
      <c r="E402">
        <f>IF($N402="","",INDEX(Staging!$F$2:$F$3001,$N402))</f>
      </c>
      <c r="F402">
        <f>IF($N402="","",INDEX(Staging!$G$2:$G$3001,$N402))</f>
      </c>
      <c r="G402">
        <f>IF($N402="","",INDEX(Staging!$H$2:$H$3001,$N402))</f>
      </c>
      <c r="H402">
        <f>IF($N402="","",INDEX(Staging!$I$2:$I$3001,$N402))</f>
      </c>
      <c r="I402">
        <f>IF($N402="","",INDEX(Staging!$J$2:$J$3001,$N402))</f>
      </c>
      <c r="J402">
        <f>IF($N402="","",INDEX(Staging!$K$2:$K$3001,$N402))</f>
      </c>
      <c r="K402">
        <f>IF($N402="","",INDEX(Staging!$M$2:$M$3001,$N402))</f>
      </c>
      <c r="L402">
        <f>IF($N402="","",INDEX(Staging!$O$2:$O$3001,$N402))</f>
      </c>
      <c r="M402">
        <f>IF($N402="","",INDEX(Staging!$P$2:$P$3001,$N402))</f>
      </c>
      <c r="N402">
        <f t="array" ref="N402">IFERROR(SMALL(IF(Staging!$E$2:$E$3001="MIPPL",ROW(Staging!$E$2:$E$3001)-ROW(Staging!$E$2)+1),401),"")</f>
      </c>
    </row>
    <row r="403" spans="1:14" x14ac:dyDescent="0.25">
      <c r="A403">
        <f>IF($N403="","",INDEX(Staging!$A$2:$A$3001,$N403))</f>
      </c>
      <c r="B403">
        <f>IF($N403="","",INDEX(Staging!$B$2:$B$3001,$N403))</f>
      </c>
      <c r="C403">
        <f>IF($N403="","",INDEX(Staging!$C$2:$C$3001,$N403))</f>
      </c>
      <c r="D403">
        <f>IF($N403="","",INDEX(Staging!$D$2:$D$3001,$N403))</f>
      </c>
      <c r="E403">
        <f>IF($N403="","",INDEX(Staging!$F$2:$F$3001,$N403))</f>
      </c>
      <c r="F403">
        <f>IF($N403="","",INDEX(Staging!$G$2:$G$3001,$N403))</f>
      </c>
      <c r="G403">
        <f>IF($N403="","",INDEX(Staging!$H$2:$H$3001,$N403))</f>
      </c>
      <c r="H403">
        <f>IF($N403="","",INDEX(Staging!$I$2:$I$3001,$N403))</f>
      </c>
      <c r="I403">
        <f>IF($N403="","",INDEX(Staging!$J$2:$J$3001,$N403))</f>
      </c>
      <c r="J403">
        <f>IF($N403="","",INDEX(Staging!$K$2:$K$3001,$N403))</f>
      </c>
      <c r="K403">
        <f>IF($N403="","",INDEX(Staging!$M$2:$M$3001,$N403))</f>
      </c>
      <c r="L403">
        <f>IF($N403="","",INDEX(Staging!$O$2:$O$3001,$N403))</f>
      </c>
      <c r="M403">
        <f>IF($N403="","",INDEX(Staging!$P$2:$P$3001,$N403))</f>
      </c>
      <c r="N403">
        <f t="array" ref="N403">IFERROR(SMALL(IF(Staging!$E$2:$E$3001="MIPPL",ROW(Staging!$E$2:$E$3001)-ROW(Staging!$E$2)+1),402),"")</f>
      </c>
    </row>
    <row r="404" spans="1:14" x14ac:dyDescent="0.25">
      <c r="A404">
        <f>IF($N404="","",INDEX(Staging!$A$2:$A$3001,$N404))</f>
      </c>
      <c r="B404">
        <f>IF($N404="","",INDEX(Staging!$B$2:$B$3001,$N404))</f>
      </c>
      <c r="C404">
        <f>IF($N404="","",INDEX(Staging!$C$2:$C$3001,$N404))</f>
      </c>
      <c r="D404">
        <f>IF($N404="","",INDEX(Staging!$D$2:$D$3001,$N404))</f>
      </c>
      <c r="E404">
        <f>IF($N404="","",INDEX(Staging!$F$2:$F$3001,$N404))</f>
      </c>
      <c r="F404">
        <f>IF($N404="","",INDEX(Staging!$G$2:$G$3001,$N404))</f>
      </c>
      <c r="G404">
        <f>IF($N404="","",INDEX(Staging!$H$2:$H$3001,$N404))</f>
      </c>
      <c r="H404">
        <f>IF($N404="","",INDEX(Staging!$I$2:$I$3001,$N404))</f>
      </c>
      <c r="I404">
        <f>IF($N404="","",INDEX(Staging!$J$2:$J$3001,$N404))</f>
      </c>
      <c r="J404">
        <f>IF($N404="","",INDEX(Staging!$K$2:$K$3001,$N404))</f>
      </c>
      <c r="K404">
        <f>IF($N404="","",INDEX(Staging!$M$2:$M$3001,$N404))</f>
      </c>
      <c r="L404">
        <f>IF($N404="","",INDEX(Staging!$O$2:$O$3001,$N404))</f>
      </c>
      <c r="M404">
        <f>IF($N404="","",INDEX(Staging!$P$2:$P$3001,$N404))</f>
      </c>
      <c r="N404">
        <f t="array" ref="N404">IFERROR(SMALL(IF(Staging!$E$2:$E$3001="MIPPL",ROW(Staging!$E$2:$E$3001)-ROW(Staging!$E$2)+1),403),"")</f>
      </c>
    </row>
    <row r="405" spans="1:14" x14ac:dyDescent="0.25">
      <c r="A405">
        <f>IF($N405="","",INDEX(Staging!$A$2:$A$3001,$N405))</f>
      </c>
      <c r="B405">
        <f>IF($N405="","",INDEX(Staging!$B$2:$B$3001,$N405))</f>
      </c>
      <c r="C405">
        <f>IF($N405="","",INDEX(Staging!$C$2:$C$3001,$N405))</f>
      </c>
      <c r="D405">
        <f>IF($N405="","",INDEX(Staging!$D$2:$D$3001,$N405))</f>
      </c>
      <c r="E405">
        <f>IF($N405="","",INDEX(Staging!$F$2:$F$3001,$N405))</f>
      </c>
      <c r="F405">
        <f>IF($N405="","",INDEX(Staging!$G$2:$G$3001,$N405))</f>
      </c>
      <c r="G405">
        <f>IF($N405="","",INDEX(Staging!$H$2:$H$3001,$N405))</f>
      </c>
      <c r="H405">
        <f>IF($N405="","",INDEX(Staging!$I$2:$I$3001,$N405))</f>
      </c>
      <c r="I405">
        <f>IF($N405="","",INDEX(Staging!$J$2:$J$3001,$N405))</f>
      </c>
      <c r="J405">
        <f>IF($N405="","",INDEX(Staging!$K$2:$K$3001,$N405))</f>
      </c>
      <c r="K405">
        <f>IF($N405="","",INDEX(Staging!$M$2:$M$3001,$N405))</f>
      </c>
      <c r="L405">
        <f>IF($N405="","",INDEX(Staging!$O$2:$O$3001,$N405))</f>
      </c>
      <c r="M405">
        <f>IF($N405="","",INDEX(Staging!$P$2:$P$3001,$N405))</f>
      </c>
      <c r="N405">
        <f t="array" ref="N405">IFERROR(SMALL(IF(Staging!$E$2:$E$3001="MIPPL",ROW(Staging!$E$2:$E$3001)-ROW(Staging!$E$2)+1),404),"")</f>
      </c>
    </row>
    <row r="406" spans="1:14" x14ac:dyDescent="0.25">
      <c r="A406">
        <f>IF($N406="","",INDEX(Staging!$A$2:$A$3001,$N406))</f>
      </c>
      <c r="B406">
        <f>IF($N406="","",INDEX(Staging!$B$2:$B$3001,$N406))</f>
      </c>
      <c r="C406">
        <f>IF($N406="","",INDEX(Staging!$C$2:$C$3001,$N406))</f>
      </c>
      <c r="D406">
        <f>IF($N406="","",INDEX(Staging!$D$2:$D$3001,$N406))</f>
      </c>
      <c r="E406">
        <f>IF($N406="","",INDEX(Staging!$F$2:$F$3001,$N406))</f>
      </c>
      <c r="F406">
        <f>IF($N406="","",INDEX(Staging!$G$2:$G$3001,$N406))</f>
      </c>
      <c r="G406">
        <f>IF($N406="","",INDEX(Staging!$H$2:$H$3001,$N406))</f>
      </c>
      <c r="H406">
        <f>IF($N406="","",INDEX(Staging!$I$2:$I$3001,$N406))</f>
      </c>
      <c r="I406">
        <f>IF($N406="","",INDEX(Staging!$J$2:$J$3001,$N406))</f>
      </c>
      <c r="J406">
        <f>IF($N406="","",INDEX(Staging!$K$2:$K$3001,$N406))</f>
      </c>
      <c r="K406">
        <f>IF($N406="","",INDEX(Staging!$M$2:$M$3001,$N406))</f>
      </c>
      <c r="L406">
        <f>IF($N406="","",INDEX(Staging!$O$2:$O$3001,$N406))</f>
      </c>
      <c r="M406">
        <f>IF($N406="","",INDEX(Staging!$P$2:$P$3001,$N406))</f>
      </c>
      <c r="N406">
        <f t="array" ref="N406">IFERROR(SMALL(IF(Staging!$E$2:$E$3001="MIPPL",ROW(Staging!$E$2:$E$3001)-ROW(Staging!$E$2)+1),405),"")</f>
      </c>
    </row>
    <row r="407" spans="1:14" x14ac:dyDescent="0.25">
      <c r="A407">
        <f>IF($N407="","",INDEX(Staging!$A$2:$A$3001,$N407))</f>
      </c>
      <c r="B407">
        <f>IF($N407="","",INDEX(Staging!$B$2:$B$3001,$N407))</f>
      </c>
      <c r="C407">
        <f>IF($N407="","",INDEX(Staging!$C$2:$C$3001,$N407))</f>
      </c>
      <c r="D407">
        <f>IF($N407="","",INDEX(Staging!$D$2:$D$3001,$N407))</f>
      </c>
      <c r="E407">
        <f>IF($N407="","",INDEX(Staging!$F$2:$F$3001,$N407))</f>
      </c>
      <c r="F407">
        <f>IF($N407="","",INDEX(Staging!$G$2:$G$3001,$N407))</f>
      </c>
      <c r="G407">
        <f>IF($N407="","",INDEX(Staging!$H$2:$H$3001,$N407))</f>
      </c>
      <c r="H407">
        <f>IF($N407="","",INDEX(Staging!$I$2:$I$3001,$N407))</f>
      </c>
      <c r="I407">
        <f>IF($N407="","",INDEX(Staging!$J$2:$J$3001,$N407))</f>
      </c>
      <c r="J407">
        <f>IF($N407="","",INDEX(Staging!$K$2:$K$3001,$N407))</f>
      </c>
      <c r="K407">
        <f>IF($N407="","",INDEX(Staging!$M$2:$M$3001,$N407))</f>
      </c>
      <c r="L407">
        <f>IF($N407="","",INDEX(Staging!$O$2:$O$3001,$N407))</f>
      </c>
      <c r="M407">
        <f>IF($N407="","",INDEX(Staging!$P$2:$P$3001,$N407))</f>
      </c>
      <c r="N407">
        <f t="array" ref="N407">IFERROR(SMALL(IF(Staging!$E$2:$E$3001="MIPPL",ROW(Staging!$E$2:$E$3001)-ROW(Staging!$E$2)+1),406),"")</f>
      </c>
    </row>
    <row r="408" spans="1:14" x14ac:dyDescent="0.25">
      <c r="A408">
        <f>IF($N408="","",INDEX(Staging!$A$2:$A$3001,$N408))</f>
      </c>
      <c r="B408">
        <f>IF($N408="","",INDEX(Staging!$B$2:$B$3001,$N408))</f>
      </c>
      <c r="C408">
        <f>IF($N408="","",INDEX(Staging!$C$2:$C$3001,$N408))</f>
      </c>
      <c r="D408">
        <f>IF($N408="","",INDEX(Staging!$D$2:$D$3001,$N408))</f>
      </c>
      <c r="E408">
        <f>IF($N408="","",INDEX(Staging!$F$2:$F$3001,$N408))</f>
      </c>
      <c r="F408">
        <f>IF($N408="","",INDEX(Staging!$G$2:$G$3001,$N408))</f>
      </c>
      <c r="G408">
        <f>IF($N408="","",INDEX(Staging!$H$2:$H$3001,$N408))</f>
      </c>
      <c r="H408">
        <f>IF($N408="","",INDEX(Staging!$I$2:$I$3001,$N408))</f>
      </c>
      <c r="I408">
        <f>IF($N408="","",INDEX(Staging!$J$2:$J$3001,$N408))</f>
      </c>
      <c r="J408">
        <f>IF($N408="","",INDEX(Staging!$K$2:$K$3001,$N408))</f>
      </c>
      <c r="K408">
        <f>IF($N408="","",INDEX(Staging!$M$2:$M$3001,$N408))</f>
      </c>
      <c r="L408">
        <f>IF($N408="","",INDEX(Staging!$O$2:$O$3001,$N408))</f>
      </c>
      <c r="M408">
        <f>IF($N408="","",INDEX(Staging!$P$2:$P$3001,$N408))</f>
      </c>
      <c r="N408">
        <f t="array" ref="N408">IFERROR(SMALL(IF(Staging!$E$2:$E$3001="MIPPL",ROW(Staging!$E$2:$E$3001)-ROW(Staging!$E$2)+1),407),"")</f>
      </c>
    </row>
    <row r="409" spans="1:14" x14ac:dyDescent="0.25">
      <c r="A409">
        <f>IF($N409="","",INDEX(Staging!$A$2:$A$3001,$N409))</f>
      </c>
      <c r="B409">
        <f>IF($N409="","",INDEX(Staging!$B$2:$B$3001,$N409))</f>
      </c>
      <c r="C409">
        <f>IF($N409="","",INDEX(Staging!$C$2:$C$3001,$N409))</f>
      </c>
      <c r="D409">
        <f>IF($N409="","",INDEX(Staging!$D$2:$D$3001,$N409))</f>
      </c>
      <c r="E409">
        <f>IF($N409="","",INDEX(Staging!$F$2:$F$3001,$N409))</f>
      </c>
      <c r="F409">
        <f>IF($N409="","",INDEX(Staging!$G$2:$G$3001,$N409))</f>
      </c>
      <c r="G409">
        <f>IF($N409="","",INDEX(Staging!$H$2:$H$3001,$N409))</f>
      </c>
      <c r="H409">
        <f>IF($N409="","",INDEX(Staging!$I$2:$I$3001,$N409))</f>
      </c>
      <c r="I409">
        <f>IF($N409="","",INDEX(Staging!$J$2:$J$3001,$N409))</f>
      </c>
      <c r="J409">
        <f>IF($N409="","",INDEX(Staging!$K$2:$K$3001,$N409))</f>
      </c>
      <c r="K409">
        <f>IF($N409="","",INDEX(Staging!$M$2:$M$3001,$N409))</f>
      </c>
      <c r="L409">
        <f>IF($N409="","",INDEX(Staging!$O$2:$O$3001,$N409))</f>
      </c>
      <c r="M409">
        <f>IF($N409="","",INDEX(Staging!$P$2:$P$3001,$N409))</f>
      </c>
      <c r="N409">
        <f t="array" ref="N409">IFERROR(SMALL(IF(Staging!$E$2:$E$3001="MIPPL",ROW(Staging!$E$2:$E$3001)-ROW(Staging!$E$2)+1),408),"")</f>
      </c>
    </row>
    <row r="410" spans="1:14" x14ac:dyDescent="0.25">
      <c r="A410">
        <f>IF($N410="","",INDEX(Staging!$A$2:$A$3001,$N410))</f>
      </c>
      <c r="B410">
        <f>IF($N410="","",INDEX(Staging!$B$2:$B$3001,$N410))</f>
      </c>
      <c r="C410">
        <f>IF($N410="","",INDEX(Staging!$C$2:$C$3001,$N410))</f>
      </c>
      <c r="D410">
        <f>IF($N410="","",INDEX(Staging!$D$2:$D$3001,$N410))</f>
      </c>
      <c r="E410">
        <f>IF($N410="","",INDEX(Staging!$F$2:$F$3001,$N410))</f>
      </c>
      <c r="F410">
        <f>IF($N410="","",INDEX(Staging!$G$2:$G$3001,$N410))</f>
      </c>
      <c r="G410">
        <f>IF($N410="","",INDEX(Staging!$H$2:$H$3001,$N410))</f>
      </c>
      <c r="H410">
        <f>IF($N410="","",INDEX(Staging!$I$2:$I$3001,$N410))</f>
      </c>
      <c r="I410">
        <f>IF($N410="","",INDEX(Staging!$J$2:$J$3001,$N410))</f>
      </c>
      <c r="J410">
        <f>IF($N410="","",INDEX(Staging!$K$2:$K$3001,$N410))</f>
      </c>
      <c r="K410">
        <f>IF($N410="","",INDEX(Staging!$M$2:$M$3001,$N410))</f>
      </c>
      <c r="L410">
        <f>IF($N410="","",INDEX(Staging!$O$2:$O$3001,$N410))</f>
      </c>
      <c r="M410">
        <f>IF($N410="","",INDEX(Staging!$P$2:$P$3001,$N410))</f>
      </c>
      <c r="N410">
        <f t="array" ref="N410">IFERROR(SMALL(IF(Staging!$E$2:$E$3001="MIPPL",ROW(Staging!$E$2:$E$3001)-ROW(Staging!$E$2)+1),409),"")</f>
      </c>
    </row>
    <row r="411" spans="1:14" x14ac:dyDescent="0.25">
      <c r="A411">
        <f>IF($N411="","",INDEX(Staging!$A$2:$A$3001,$N411))</f>
      </c>
      <c r="B411">
        <f>IF($N411="","",INDEX(Staging!$B$2:$B$3001,$N411))</f>
      </c>
      <c r="C411">
        <f>IF($N411="","",INDEX(Staging!$C$2:$C$3001,$N411))</f>
      </c>
      <c r="D411">
        <f>IF($N411="","",INDEX(Staging!$D$2:$D$3001,$N411))</f>
      </c>
      <c r="E411">
        <f>IF($N411="","",INDEX(Staging!$F$2:$F$3001,$N411))</f>
      </c>
      <c r="F411">
        <f>IF($N411="","",INDEX(Staging!$G$2:$G$3001,$N411))</f>
      </c>
      <c r="G411">
        <f>IF($N411="","",INDEX(Staging!$H$2:$H$3001,$N411))</f>
      </c>
      <c r="H411">
        <f>IF($N411="","",INDEX(Staging!$I$2:$I$3001,$N411))</f>
      </c>
      <c r="I411">
        <f>IF($N411="","",INDEX(Staging!$J$2:$J$3001,$N411))</f>
      </c>
      <c r="J411">
        <f>IF($N411="","",INDEX(Staging!$K$2:$K$3001,$N411))</f>
      </c>
      <c r="K411">
        <f>IF($N411="","",INDEX(Staging!$M$2:$M$3001,$N411))</f>
      </c>
      <c r="L411">
        <f>IF($N411="","",INDEX(Staging!$O$2:$O$3001,$N411))</f>
      </c>
      <c r="M411">
        <f>IF($N411="","",INDEX(Staging!$P$2:$P$3001,$N411))</f>
      </c>
      <c r="N411">
        <f t="array" ref="N411">IFERROR(SMALL(IF(Staging!$E$2:$E$3001="MIPPL",ROW(Staging!$E$2:$E$3001)-ROW(Staging!$E$2)+1),410),"")</f>
      </c>
    </row>
    <row r="412" spans="1:14" x14ac:dyDescent="0.25">
      <c r="A412">
        <f>IF($N412="","",INDEX(Staging!$A$2:$A$3001,$N412))</f>
      </c>
      <c r="B412">
        <f>IF($N412="","",INDEX(Staging!$B$2:$B$3001,$N412))</f>
      </c>
      <c r="C412">
        <f>IF($N412="","",INDEX(Staging!$C$2:$C$3001,$N412))</f>
      </c>
      <c r="D412">
        <f>IF($N412="","",INDEX(Staging!$D$2:$D$3001,$N412))</f>
      </c>
      <c r="E412">
        <f>IF($N412="","",INDEX(Staging!$F$2:$F$3001,$N412))</f>
      </c>
      <c r="F412">
        <f>IF($N412="","",INDEX(Staging!$G$2:$G$3001,$N412))</f>
      </c>
      <c r="G412">
        <f>IF($N412="","",INDEX(Staging!$H$2:$H$3001,$N412))</f>
      </c>
      <c r="H412">
        <f>IF($N412="","",INDEX(Staging!$I$2:$I$3001,$N412))</f>
      </c>
      <c r="I412">
        <f>IF($N412="","",INDEX(Staging!$J$2:$J$3001,$N412))</f>
      </c>
      <c r="J412">
        <f>IF($N412="","",INDEX(Staging!$K$2:$K$3001,$N412))</f>
      </c>
      <c r="K412">
        <f>IF($N412="","",INDEX(Staging!$M$2:$M$3001,$N412))</f>
      </c>
      <c r="L412">
        <f>IF($N412="","",INDEX(Staging!$O$2:$O$3001,$N412))</f>
      </c>
      <c r="M412">
        <f>IF($N412="","",INDEX(Staging!$P$2:$P$3001,$N412))</f>
      </c>
      <c r="N412">
        <f t="array" ref="N412">IFERROR(SMALL(IF(Staging!$E$2:$E$3001="MIPPL",ROW(Staging!$E$2:$E$3001)-ROW(Staging!$E$2)+1),411),"")</f>
      </c>
    </row>
    <row r="413" spans="1:14" x14ac:dyDescent="0.25">
      <c r="A413">
        <f>IF($N413="","",INDEX(Staging!$A$2:$A$3001,$N413))</f>
      </c>
      <c r="B413">
        <f>IF($N413="","",INDEX(Staging!$B$2:$B$3001,$N413))</f>
      </c>
      <c r="C413">
        <f>IF($N413="","",INDEX(Staging!$C$2:$C$3001,$N413))</f>
      </c>
      <c r="D413">
        <f>IF($N413="","",INDEX(Staging!$D$2:$D$3001,$N413))</f>
      </c>
      <c r="E413">
        <f>IF($N413="","",INDEX(Staging!$F$2:$F$3001,$N413))</f>
      </c>
      <c r="F413">
        <f>IF($N413="","",INDEX(Staging!$G$2:$G$3001,$N413))</f>
      </c>
      <c r="G413">
        <f>IF($N413="","",INDEX(Staging!$H$2:$H$3001,$N413))</f>
      </c>
      <c r="H413">
        <f>IF($N413="","",INDEX(Staging!$I$2:$I$3001,$N413))</f>
      </c>
      <c r="I413">
        <f>IF($N413="","",INDEX(Staging!$J$2:$J$3001,$N413))</f>
      </c>
      <c r="J413">
        <f>IF($N413="","",INDEX(Staging!$K$2:$K$3001,$N413))</f>
      </c>
      <c r="K413">
        <f>IF($N413="","",INDEX(Staging!$M$2:$M$3001,$N413))</f>
      </c>
      <c r="L413">
        <f>IF($N413="","",INDEX(Staging!$O$2:$O$3001,$N413))</f>
      </c>
      <c r="M413">
        <f>IF($N413="","",INDEX(Staging!$P$2:$P$3001,$N413))</f>
      </c>
      <c r="N413">
        <f t="array" ref="N413">IFERROR(SMALL(IF(Staging!$E$2:$E$3001="MIPPL",ROW(Staging!$E$2:$E$3001)-ROW(Staging!$E$2)+1),412),"")</f>
      </c>
    </row>
    <row r="414" spans="1:14" x14ac:dyDescent="0.25">
      <c r="A414">
        <f>IF($N414="","",INDEX(Staging!$A$2:$A$3001,$N414))</f>
      </c>
      <c r="B414">
        <f>IF($N414="","",INDEX(Staging!$B$2:$B$3001,$N414))</f>
      </c>
      <c r="C414">
        <f>IF($N414="","",INDEX(Staging!$C$2:$C$3001,$N414))</f>
      </c>
      <c r="D414">
        <f>IF($N414="","",INDEX(Staging!$D$2:$D$3001,$N414))</f>
      </c>
      <c r="E414">
        <f>IF($N414="","",INDEX(Staging!$F$2:$F$3001,$N414))</f>
      </c>
      <c r="F414">
        <f>IF($N414="","",INDEX(Staging!$G$2:$G$3001,$N414))</f>
      </c>
      <c r="G414">
        <f>IF($N414="","",INDEX(Staging!$H$2:$H$3001,$N414))</f>
      </c>
      <c r="H414">
        <f>IF($N414="","",INDEX(Staging!$I$2:$I$3001,$N414))</f>
      </c>
      <c r="I414">
        <f>IF($N414="","",INDEX(Staging!$J$2:$J$3001,$N414))</f>
      </c>
      <c r="J414">
        <f>IF($N414="","",INDEX(Staging!$K$2:$K$3001,$N414))</f>
      </c>
      <c r="K414">
        <f>IF($N414="","",INDEX(Staging!$M$2:$M$3001,$N414))</f>
      </c>
      <c r="L414">
        <f>IF($N414="","",INDEX(Staging!$O$2:$O$3001,$N414))</f>
      </c>
      <c r="M414">
        <f>IF($N414="","",INDEX(Staging!$P$2:$P$3001,$N414))</f>
      </c>
      <c r="N414">
        <f t="array" ref="N414">IFERROR(SMALL(IF(Staging!$E$2:$E$3001="MIPPL",ROW(Staging!$E$2:$E$3001)-ROW(Staging!$E$2)+1),413),"")</f>
      </c>
    </row>
    <row r="415" spans="1:14" x14ac:dyDescent="0.25">
      <c r="A415">
        <f>IF($N415="","",INDEX(Staging!$A$2:$A$3001,$N415))</f>
      </c>
      <c r="B415">
        <f>IF($N415="","",INDEX(Staging!$B$2:$B$3001,$N415))</f>
      </c>
      <c r="C415">
        <f>IF($N415="","",INDEX(Staging!$C$2:$C$3001,$N415))</f>
      </c>
      <c r="D415">
        <f>IF($N415="","",INDEX(Staging!$D$2:$D$3001,$N415))</f>
      </c>
      <c r="E415">
        <f>IF($N415="","",INDEX(Staging!$F$2:$F$3001,$N415))</f>
      </c>
      <c r="F415">
        <f>IF($N415="","",INDEX(Staging!$G$2:$G$3001,$N415))</f>
      </c>
      <c r="G415">
        <f>IF($N415="","",INDEX(Staging!$H$2:$H$3001,$N415))</f>
      </c>
      <c r="H415">
        <f>IF($N415="","",INDEX(Staging!$I$2:$I$3001,$N415))</f>
      </c>
      <c r="I415">
        <f>IF($N415="","",INDEX(Staging!$J$2:$J$3001,$N415))</f>
      </c>
      <c r="J415">
        <f>IF($N415="","",INDEX(Staging!$K$2:$K$3001,$N415))</f>
      </c>
      <c r="K415">
        <f>IF($N415="","",INDEX(Staging!$M$2:$M$3001,$N415))</f>
      </c>
      <c r="L415">
        <f>IF($N415="","",INDEX(Staging!$O$2:$O$3001,$N415))</f>
      </c>
      <c r="M415">
        <f>IF($N415="","",INDEX(Staging!$P$2:$P$3001,$N415))</f>
      </c>
      <c r="N415">
        <f t="array" ref="N415">IFERROR(SMALL(IF(Staging!$E$2:$E$3001="MIPPL",ROW(Staging!$E$2:$E$3001)-ROW(Staging!$E$2)+1),414),"")</f>
      </c>
    </row>
    <row r="416" spans="1:14" x14ac:dyDescent="0.25">
      <c r="A416">
        <f>IF($N416="","",INDEX(Staging!$A$2:$A$3001,$N416))</f>
      </c>
      <c r="B416">
        <f>IF($N416="","",INDEX(Staging!$B$2:$B$3001,$N416))</f>
      </c>
      <c r="C416">
        <f>IF($N416="","",INDEX(Staging!$C$2:$C$3001,$N416))</f>
      </c>
      <c r="D416">
        <f>IF($N416="","",INDEX(Staging!$D$2:$D$3001,$N416))</f>
      </c>
      <c r="E416">
        <f>IF($N416="","",INDEX(Staging!$F$2:$F$3001,$N416))</f>
      </c>
      <c r="F416">
        <f>IF($N416="","",INDEX(Staging!$G$2:$G$3001,$N416))</f>
      </c>
      <c r="G416">
        <f>IF($N416="","",INDEX(Staging!$H$2:$H$3001,$N416))</f>
      </c>
      <c r="H416">
        <f>IF($N416="","",INDEX(Staging!$I$2:$I$3001,$N416))</f>
      </c>
      <c r="I416">
        <f>IF($N416="","",INDEX(Staging!$J$2:$J$3001,$N416))</f>
      </c>
      <c r="J416">
        <f>IF($N416="","",INDEX(Staging!$K$2:$K$3001,$N416))</f>
      </c>
      <c r="K416">
        <f>IF($N416="","",INDEX(Staging!$M$2:$M$3001,$N416))</f>
      </c>
      <c r="L416">
        <f>IF($N416="","",INDEX(Staging!$O$2:$O$3001,$N416))</f>
      </c>
      <c r="M416">
        <f>IF($N416="","",INDEX(Staging!$P$2:$P$3001,$N416))</f>
      </c>
      <c r="N416">
        <f t="array" ref="N416">IFERROR(SMALL(IF(Staging!$E$2:$E$3001="MIPPL",ROW(Staging!$E$2:$E$3001)-ROW(Staging!$E$2)+1),415),"")</f>
      </c>
    </row>
    <row r="417" spans="1:14" x14ac:dyDescent="0.25">
      <c r="A417">
        <f>IF($N417="","",INDEX(Staging!$A$2:$A$3001,$N417))</f>
      </c>
      <c r="B417">
        <f>IF($N417="","",INDEX(Staging!$B$2:$B$3001,$N417))</f>
      </c>
      <c r="C417">
        <f>IF($N417="","",INDEX(Staging!$C$2:$C$3001,$N417))</f>
      </c>
      <c r="D417">
        <f>IF($N417="","",INDEX(Staging!$D$2:$D$3001,$N417))</f>
      </c>
      <c r="E417">
        <f>IF($N417="","",INDEX(Staging!$F$2:$F$3001,$N417))</f>
      </c>
      <c r="F417">
        <f>IF($N417="","",INDEX(Staging!$G$2:$G$3001,$N417))</f>
      </c>
      <c r="G417">
        <f>IF($N417="","",INDEX(Staging!$H$2:$H$3001,$N417))</f>
      </c>
      <c r="H417">
        <f>IF($N417="","",INDEX(Staging!$I$2:$I$3001,$N417))</f>
      </c>
      <c r="I417">
        <f>IF($N417="","",INDEX(Staging!$J$2:$J$3001,$N417))</f>
      </c>
      <c r="J417">
        <f>IF($N417="","",INDEX(Staging!$K$2:$K$3001,$N417))</f>
      </c>
      <c r="K417">
        <f>IF($N417="","",INDEX(Staging!$M$2:$M$3001,$N417))</f>
      </c>
      <c r="L417">
        <f>IF($N417="","",INDEX(Staging!$O$2:$O$3001,$N417))</f>
      </c>
      <c r="M417">
        <f>IF($N417="","",INDEX(Staging!$P$2:$P$3001,$N417))</f>
      </c>
      <c r="N417">
        <f t="array" ref="N417">IFERROR(SMALL(IF(Staging!$E$2:$E$3001="MIPPL",ROW(Staging!$E$2:$E$3001)-ROW(Staging!$E$2)+1),416),"")</f>
      </c>
    </row>
    <row r="418" spans="1:14" x14ac:dyDescent="0.25">
      <c r="A418">
        <f>IF($N418="","",INDEX(Staging!$A$2:$A$3001,$N418))</f>
      </c>
      <c r="B418">
        <f>IF($N418="","",INDEX(Staging!$B$2:$B$3001,$N418))</f>
      </c>
      <c r="C418">
        <f>IF($N418="","",INDEX(Staging!$C$2:$C$3001,$N418))</f>
      </c>
      <c r="D418">
        <f>IF($N418="","",INDEX(Staging!$D$2:$D$3001,$N418))</f>
      </c>
      <c r="E418">
        <f>IF($N418="","",INDEX(Staging!$F$2:$F$3001,$N418))</f>
      </c>
      <c r="F418">
        <f>IF($N418="","",INDEX(Staging!$G$2:$G$3001,$N418))</f>
      </c>
      <c r="G418">
        <f>IF($N418="","",INDEX(Staging!$H$2:$H$3001,$N418))</f>
      </c>
      <c r="H418">
        <f>IF($N418="","",INDEX(Staging!$I$2:$I$3001,$N418))</f>
      </c>
      <c r="I418">
        <f>IF($N418="","",INDEX(Staging!$J$2:$J$3001,$N418))</f>
      </c>
      <c r="J418">
        <f>IF($N418="","",INDEX(Staging!$K$2:$K$3001,$N418))</f>
      </c>
      <c r="K418">
        <f>IF($N418="","",INDEX(Staging!$M$2:$M$3001,$N418))</f>
      </c>
      <c r="L418">
        <f>IF($N418="","",INDEX(Staging!$O$2:$O$3001,$N418))</f>
      </c>
      <c r="M418">
        <f>IF($N418="","",INDEX(Staging!$P$2:$P$3001,$N418))</f>
      </c>
      <c r="N418">
        <f t="array" ref="N418">IFERROR(SMALL(IF(Staging!$E$2:$E$3001="MIPPL",ROW(Staging!$E$2:$E$3001)-ROW(Staging!$E$2)+1),417),"")</f>
      </c>
    </row>
    <row r="419" spans="1:14" x14ac:dyDescent="0.25">
      <c r="A419">
        <f>IF($N419="","",INDEX(Staging!$A$2:$A$3001,$N419))</f>
      </c>
      <c r="B419">
        <f>IF($N419="","",INDEX(Staging!$B$2:$B$3001,$N419))</f>
      </c>
      <c r="C419">
        <f>IF($N419="","",INDEX(Staging!$C$2:$C$3001,$N419))</f>
      </c>
      <c r="D419">
        <f>IF($N419="","",INDEX(Staging!$D$2:$D$3001,$N419))</f>
      </c>
      <c r="E419">
        <f>IF($N419="","",INDEX(Staging!$F$2:$F$3001,$N419))</f>
      </c>
      <c r="F419">
        <f>IF($N419="","",INDEX(Staging!$G$2:$G$3001,$N419))</f>
      </c>
      <c r="G419">
        <f>IF($N419="","",INDEX(Staging!$H$2:$H$3001,$N419))</f>
      </c>
      <c r="H419">
        <f>IF($N419="","",INDEX(Staging!$I$2:$I$3001,$N419))</f>
      </c>
      <c r="I419">
        <f>IF($N419="","",INDEX(Staging!$J$2:$J$3001,$N419))</f>
      </c>
      <c r="J419">
        <f>IF($N419="","",INDEX(Staging!$K$2:$K$3001,$N419))</f>
      </c>
      <c r="K419">
        <f>IF($N419="","",INDEX(Staging!$M$2:$M$3001,$N419))</f>
      </c>
      <c r="L419">
        <f>IF($N419="","",INDEX(Staging!$O$2:$O$3001,$N419))</f>
      </c>
      <c r="M419">
        <f>IF($N419="","",INDEX(Staging!$P$2:$P$3001,$N419))</f>
      </c>
      <c r="N419">
        <f t="array" ref="N419">IFERROR(SMALL(IF(Staging!$E$2:$E$3001="MIPPL",ROW(Staging!$E$2:$E$3001)-ROW(Staging!$E$2)+1),418),"")</f>
      </c>
    </row>
    <row r="420" spans="1:14" x14ac:dyDescent="0.25">
      <c r="A420">
        <f>IF($N420="","",INDEX(Staging!$A$2:$A$3001,$N420))</f>
      </c>
      <c r="B420">
        <f>IF($N420="","",INDEX(Staging!$B$2:$B$3001,$N420))</f>
      </c>
      <c r="C420">
        <f>IF($N420="","",INDEX(Staging!$C$2:$C$3001,$N420))</f>
      </c>
      <c r="D420">
        <f>IF($N420="","",INDEX(Staging!$D$2:$D$3001,$N420))</f>
      </c>
      <c r="E420">
        <f>IF($N420="","",INDEX(Staging!$F$2:$F$3001,$N420))</f>
      </c>
      <c r="F420">
        <f>IF($N420="","",INDEX(Staging!$G$2:$G$3001,$N420))</f>
      </c>
      <c r="G420">
        <f>IF($N420="","",INDEX(Staging!$H$2:$H$3001,$N420))</f>
      </c>
      <c r="H420">
        <f>IF($N420="","",INDEX(Staging!$I$2:$I$3001,$N420))</f>
      </c>
      <c r="I420">
        <f>IF($N420="","",INDEX(Staging!$J$2:$J$3001,$N420))</f>
      </c>
      <c r="J420">
        <f>IF($N420="","",INDEX(Staging!$K$2:$K$3001,$N420))</f>
      </c>
      <c r="K420">
        <f>IF($N420="","",INDEX(Staging!$M$2:$M$3001,$N420))</f>
      </c>
      <c r="L420">
        <f>IF($N420="","",INDEX(Staging!$O$2:$O$3001,$N420))</f>
      </c>
      <c r="M420">
        <f>IF($N420="","",INDEX(Staging!$P$2:$P$3001,$N420))</f>
      </c>
      <c r="N420">
        <f t="array" ref="N420">IFERROR(SMALL(IF(Staging!$E$2:$E$3001="MIPPL",ROW(Staging!$E$2:$E$3001)-ROW(Staging!$E$2)+1),419),"")</f>
      </c>
    </row>
    <row r="421" spans="1:14" x14ac:dyDescent="0.25">
      <c r="A421">
        <f>IF($N421="","",INDEX(Staging!$A$2:$A$3001,$N421))</f>
      </c>
      <c r="B421">
        <f>IF($N421="","",INDEX(Staging!$B$2:$B$3001,$N421))</f>
      </c>
      <c r="C421">
        <f>IF($N421="","",INDEX(Staging!$C$2:$C$3001,$N421))</f>
      </c>
      <c r="D421">
        <f>IF($N421="","",INDEX(Staging!$D$2:$D$3001,$N421))</f>
      </c>
      <c r="E421">
        <f>IF($N421="","",INDEX(Staging!$F$2:$F$3001,$N421))</f>
      </c>
      <c r="F421">
        <f>IF($N421="","",INDEX(Staging!$G$2:$G$3001,$N421))</f>
      </c>
      <c r="G421">
        <f>IF($N421="","",INDEX(Staging!$H$2:$H$3001,$N421))</f>
      </c>
      <c r="H421">
        <f>IF($N421="","",INDEX(Staging!$I$2:$I$3001,$N421))</f>
      </c>
      <c r="I421">
        <f>IF($N421="","",INDEX(Staging!$J$2:$J$3001,$N421))</f>
      </c>
      <c r="J421">
        <f>IF($N421="","",INDEX(Staging!$K$2:$K$3001,$N421))</f>
      </c>
      <c r="K421">
        <f>IF($N421="","",INDEX(Staging!$M$2:$M$3001,$N421))</f>
      </c>
      <c r="L421">
        <f>IF($N421="","",INDEX(Staging!$O$2:$O$3001,$N421))</f>
      </c>
      <c r="M421">
        <f>IF($N421="","",INDEX(Staging!$P$2:$P$3001,$N421))</f>
      </c>
      <c r="N421">
        <f t="array" ref="N421">IFERROR(SMALL(IF(Staging!$E$2:$E$3001="MIPPL",ROW(Staging!$E$2:$E$3001)-ROW(Staging!$E$2)+1),420),"")</f>
      </c>
    </row>
    <row r="422" spans="1:14" x14ac:dyDescent="0.25">
      <c r="A422">
        <f>IF($N422="","",INDEX(Staging!$A$2:$A$3001,$N422))</f>
      </c>
      <c r="B422">
        <f>IF($N422="","",INDEX(Staging!$B$2:$B$3001,$N422))</f>
      </c>
      <c r="C422">
        <f>IF($N422="","",INDEX(Staging!$C$2:$C$3001,$N422))</f>
      </c>
      <c r="D422">
        <f>IF($N422="","",INDEX(Staging!$D$2:$D$3001,$N422))</f>
      </c>
      <c r="E422">
        <f>IF($N422="","",INDEX(Staging!$F$2:$F$3001,$N422))</f>
      </c>
      <c r="F422">
        <f>IF($N422="","",INDEX(Staging!$G$2:$G$3001,$N422))</f>
      </c>
      <c r="G422">
        <f>IF($N422="","",INDEX(Staging!$H$2:$H$3001,$N422))</f>
      </c>
      <c r="H422">
        <f>IF($N422="","",INDEX(Staging!$I$2:$I$3001,$N422))</f>
      </c>
      <c r="I422">
        <f>IF($N422="","",INDEX(Staging!$J$2:$J$3001,$N422))</f>
      </c>
      <c r="J422">
        <f>IF($N422="","",INDEX(Staging!$K$2:$K$3001,$N422))</f>
      </c>
      <c r="K422">
        <f>IF($N422="","",INDEX(Staging!$M$2:$M$3001,$N422))</f>
      </c>
      <c r="L422">
        <f>IF($N422="","",INDEX(Staging!$O$2:$O$3001,$N422))</f>
      </c>
      <c r="M422">
        <f>IF($N422="","",INDEX(Staging!$P$2:$P$3001,$N422))</f>
      </c>
      <c r="N422">
        <f t="array" ref="N422">IFERROR(SMALL(IF(Staging!$E$2:$E$3001="MIPPL",ROW(Staging!$E$2:$E$3001)-ROW(Staging!$E$2)+1),421),"")</f>
      </c>
    </row>
    <row r="423" spans="1:14" x14ac:dyDescent="0.25">
      <c r="A423">
        <f>IF($N423="","",INDEX(Staging!$A$2:$A$3001,$N423))</f>
      </c>
      <c r="B423">
        <f>IF($N423="","",INDEX(Staging!$B$2:$B$3001,$N423))</f>
      </c>
      <c r="C423">
        <f>IF($N423="","",INDEX(Staging!$C$2:$C$3001,$N423))</f>
      </c>
      <c r="D423">
        <f>IF($N423="","",INDEX(Staging!$D$2:$D$3001,$N423))</f>
      </c>
      <c r="E423">
        <f>IF($N423="","",INDEX(Staging!$F$2:$F$3001,$N423))</f>
      </c>
      <c r="F423">
        <f>IF($N423="","",INDEX(Staging!$G$2:$G$3001,$N423))</f>
      </c>
      <c r="G423">
        <f>IF($N423="","",INDEX(Staging!$H$2:$H$3001,$N423))</f>
      </c>
      <c r="H423">
        <f>IF($N423="","",INDEX(Staging!$I$2:$I$3001,$N423))</f>
      </c>
      <c r="I423">
        <f>IF($N423="","",INDEX(Staging!$J$2:$J$3001,$N423))</f>
      </c>
      <c r="J423">
        <f>IF($N423="","",INDEX(Staging!$K$2:$K$3001,$N423))</f>
      </c>
      <c r="K423">
        <f>IF($N423="","",INDEX(Staging!$M$2:$M$3001,$N423))</f>
      </c>
      <c r="L423">
        <f>IF($N423="","",INDEX(Staging!$O$2:$O$3001,$N423))</f>
      </c>
      <c r="M423">
        <f>IF($N423="","",INDEX(Staging!$P$2:$P$3001,$N423))</f>
      </c>
      <c r="N423">
        <f t="array" ref="N423">IFERROR(SMALL(IF(Staging!$E$2:$E$3001="MIPPL",ROW(Staging!$E$2:$E$3001)-ROW(Staging!$E$2)+1),422),"")</f>
      </c>
    </row>
    <row r="424" spans="1:14" x14ac:dyDescent="0.25">
      <c r="A424">
        <f>IF($N424="","",INDEX(Staging!$A$2:$A$3001,$N424))</f>
      </c>
      <c r="B424">
        <f>IF($N424="","",INDEX(Staging!$B$2:$B$3001,$N424))</f>
      </c>
      <c r="C424">
        <f>IF($N424="","",INDEX(Staging!$C$2:$C$3001,$N424))</f>
      </c>
      <c r="D424">
        <f>IF($N424="","",INDEX(Staging!$D$2:$D$3001,$N424))</f>
      </c>
      <c r="E424">
        <f>IF($N424="","",INDEX(Staging!$F$2:$F$3001,$N424))</f>
      </c>
      <c r="F424">
        <f>IF($N424="","",INDEX(Staging!$G$2:$G$3001,$N424))</f>
      </c>
      <c r="G424">
        <f>IF($N424="","",INDEX(Staging!$H$2:$H$3001,$N424))</f>
      </c>
      <c r="H424">
        <f>IF($N424="","",INDEX(Staging!$I$2:$I$3001,$N424))</f>
      </c>
      <c r="I424">
        <f>IF($N424="","",INDEX(Staging!$J$2:$J$3001,$N424))</f>
      </c>
      <c r="J424">
        <f>IF($N424="","",INDEX(Staging!$K$2:$K$3001,$N424))</f>
      </c>
      <c r="K424">
        <f>IF($N424="","",INDEX(Staging!$M$2:$M$3001,$N424))</f>
      </c>
      <c r="L424">
        <f>IF($N424="","",INDEX(Staging!$O$2:$O$3001,$N424))</f>
      </c>
      <c r="M424">
        <f>IF($N424="","",INDEX(Staging!$P$2:$P$3001,$N424))</f>
      </c>
      <c r="N424">
        <f t="array" ref="N424">IFERROR(SMALL(IF(Staging!$E$2:$E$3001="MIPPL",ROW(Staging!$E$2:$E$3001)-ROW(Staging!$E$2)+1),423),"")</f>
      </c>
    </row>
    <row r="425" spans="1:14" x14ac:dyDescent="0.25">
      <c r="A425">
        <f>IF($N425="","",INDEX(Staging!$A$2:$A$3001,$N425))</f>
      </c>
      <c r="B425">
        <f>IF($N425="","",INDEX(Staging!$B$2:$B$3001,$N425))</f>
      </c>
      <c r="C425">
        <f>IF($N425="","",INDEX(Staging!$C$2:$C$3001,$N425))</f>
      </c>
      <c r="D425">
        <f>IF($N425="","",INDEX(Staging!$D$2:$D$3001,$N425))</f>
      </c>
      <c r="E425">
        <f>IF($N425="","",INDEX(Staging!$F$2:$F$3001,$N425))</f>
      </c>
      <c r="F425">
        <f>IF($N425="","",INDEX(Staging!$G$2:$G$3001,$N425))</f>
      </c>
      <c r="G425">
        <f>IF($N425="","",INDEX(Staging!$H$2:$H$3001,$N425))</f>
      </c>
      <c r="H425">
        <f>IF($N425="","",INDEX(Staging!$I$2:$I$3001,$N425))</f>
      </c>
      <c r="I425">
        <f>IF($N425="","",INDEX(Staging!$J$2:$J$3001,$N425))</f>
      </c>
      <c r="J425">
        <f>IF($N425="","",INDEX(Staging!$K$2:$K$3001,$N425))</f>
      </c>
      <c r="K425">
        <f>IF($N425="","",INDEX(Staging!$M$2:$M$3001,$N425))</f>
      </c>
      <c r="L425">
        <f>IF($N425="","",INDEX(Staging!$O$2:$O$3001,$N425))</f>
      </c>
      <c r="M425">
        <f>IF($N425="","",INDEX(Staging!$P$2:$P$3001,$N425))</f>
      </c>
      <c r="N425">
        <f t="array" ref="N425">IFERROR(SMALL(IF(Staging!$E$2:$E$3001="MIPPL",ROW(Staging!$E$2:$E$3001)-ROW(Staging!$E$2)+1),424),"")</f>
      </c>
    </row>
    <row r="426" spans="1:14" x14ac:dyDescent="0.25">
      <c r="A426">
        <f>IF($N426="","",INDEX(Staging!$A$2:$A$3001,$N426))</f>
      </c>
      <c r="B426">
        <f>IF($N426="","",INDEX(Staging!$B$2:$B$3001,$N426))</f>
      </c>
      <c r="C426">
        <f>IF($N426="","",INDEX(Staging!$C$2:$C$3001,$N426))</f>
      </c>
      <c r="D426">
        <f>IF($N426="","",INDEX(Staging!$D$2:$D$3001,$N426))</f>
      </c>
      <c r="E426">
        <f>IF($N426="","",INDEX(Staging!$F$2:$F$3001,$N426))</f>
      </c>
      <c r="F426">
        <f>IF($N426="","",INDEX(Staging!$G$2:$G$3001,$N426))</f>
      </c>
      <c r="G426">
        <f>IF($N426="","",INDEX(Staging!$H$2:$H$3001,$N426))</f>
      </c>
      <c r="H426">
        <f>IF($N426="","",INDEX(Staging!$I$2:$I$3001,$N426))</f>
      </c>
      <c r="I426">
        <f>IF($N426="","",INDEX(Staging!$J$2:$J$3001,$N426))</f>
      </c>
      <c r="J426">
        <f>IF($N426="","",INDEX(Staging!$K$2:$K$3001,$N426))</f>
      </c>
      <c r="K426">
        <f>IF($N426="","",INDEX(Staging!$M$2:$M$3001,$N426))</f>
      </c>
      <c r="L426">
        <f>IF($N426="","",INDEX(Staging!$O$2:$O$3001,$N426))</f>
      </c>
      <c r="M426">
        <f>IF($N426="","",INDEX(Staging!$P$2:$P$3001,$N426))</f>
      </c>
      <c r="N426">
        <f t="array" ref="N426">IFERROR(SMALL(IF(Staging!$E$2:$E$3001="MIPPL",ROW(Staging!$E$2:$E$3001)-ROW(Staging!$E$2)+1),425),"")</f>
      </c>
    </row>
    <row r="427" spans="1:14" x14ac:dyDescent="0.25">
      <c r="A427">
        <f>IF($N427="","",INDEX(Staging!$A$2:$A$3001,$N427))</f>
      </c>
      <c r="B427">
        <f>IF($N427="","",INDEX(Staging!$B$2:$B$3001,$N427))</f>
      </c>
      <c r="C427">
        <f>IF($N427="","",INDEX(Staging!$C$2:$C$3001,$N427))</f>
      </c>
      <c r="D427">
        <f>IF($N427="","",INDEX(Staging!$D$2:$D$3001,$N427))</f>
      </c>
      <c r="E427">
        <f>IF($N427="","",INDEX(Staging!$F$2:$F$3001,$N427))</f>
      </c>
      <c r="F427">
        <f>IF($N427="","",INDEX(Staging!$G$2:$G$3001,$N427))</f>
      </c>
      <c r="G427">
        <f>IF($N427="","",INDEX(Staging!$H$2:$H$3001,$N427))</f>
      </c>
      <c r="H427">
        <f>IF($N427="","",INDEX(Staging!$I$2:$I$3001,$N427))</f>
      </c>
      <c r="I427">
        <f>IF($N427="","",INDEX(Staging!$J$2:$J$3001,$N427))</f>
      </c>
      <c r="J427">
        <f>IF($N427="","",INDEX(Staging!$K$2:$K$3001,$N427))</f>
      </c>
      <c r="K427">
        <f>IF($N427="","",INDEX(Staging!$M$2:$M$3001,$N427))</f>
      </c>
      <c r="L427">
        <f>IF($N427="","",INDEX(Staging!$O$2:$O$3001,$N427))</f>
      </c>
      <c r="M427">
        <f>IF($N427="","",INDEX(Staging!$P$2:$P$3001,$N427))</f>
      </c>
      <c r="N427">
        <f t="array" ref="N427">IFERROR(SMALL(IF(Staging!$E$2:$E$3001="MIPPL",ROW(Staging!$E$2:$E$3001)-ROW(Staging!$E$2)+1),426),"")</f>
      </c>
    </row>
    <row r="428" spans="1:14" x14ac:dyDescent="0.25">
      <c r="A428">
        <f>IF($N428="","",INDEX(Staging!$A$2:$A$3001,$N428))</f>
      </c>
      <c r="B428">
        <f>IF($N428="","",INDEX(Staging!$B$2:$B$3001,$N428))</f>
      </c>
      <c r="C428">
        <f>IF($N428="","",INDEX(Staging!$C$2:$C$3001,$N428))</f>
      </c>
      <c r="D428">
        <f>IF($N428="","",INDEX(Staging!$D$2:$D$3001,$N428))</f>
      </c>
      <c r="E428">
        <f>IF($N428="","",INDEX(Staging!$F$2:$F$3001,$N428))</f>
      </c>
      <c r="F428">
        <f>IF($N428="","",INDEX(Staging!$G$2:$G$3001,$N428))</f>
      </c>
      <c r="G428">
        <f>IF($N428="","",INDEX(Staging!$H$2:$H$3001,$N428))</f>
      </c>
      <c r="H428">
        <f>IF($N428="","",INDEX(Staging!$I$2:$I$3001,$N428))</f>
      </c>
      <c r="I428">
        <f>IF($N428="","",INDEX(Staging!$J$2:$J$3001,$N428))</f>
      </c>
      <c r="J428">
        <f>IF($N428="","",INDEX(Staging!$K$2:$K$3001,$N428))</f>
      </c>
      <c r="K428">
        <f>IF($N428="","",INDEX(Staging!$M$2:$M$3001,$N428))</f>
      </c>
      <c r="L428">
        <f>IF($N428="","",INDEX(Staging!$O$2:$O$3001,$N428))</f>
      </c>
      <c r="M428">
        <f>IF($N428="","",INDEX(Staging!$P$2:$P$3001,$N428))</f>
      </c>
      <c r="N428">
        <f t="array" ref="N428">IFERROR(SMALL(IF(Staging!$E$2:$E$3001="MIPPL",ROW(Staging!$E$2:$E$3001)-ROW(Staging!$E$2)+1),427),"")</f>
      </c>
    </row>
    <row r="429" spans="1:14" x14ac:dyDescent="0.25">
      <c r="A429">
        <f>IF($N429="","",INDEX(Staging!$A$2:$A$3001,$N429))</f>
      </c>
      <c r="B429">
        <f>IF($N429="","",INDEX(Staging!$B$2:$B$3001,$N429))</f>
      </c>
      <c r="C429">
        <f>IF($N429="","",INDEX(Staging!$C$2:$C$3001,$N429))</f>
      </c>
      <c r="D429">
        <f>IF($N429="","",INDEX(Staging!$D$2:$D$3001,$N429))</f>
      </c>
      <c r="E429">
        <f>IF($N429="","",INDEX(Staging!$F$2:$F$3001,$N429))</f>
      </c>
      <c r="F429">
        <f>IF($N429="","",INDEX(Staging!$G$2:$G$3001,$N429))</f>
      </c>
      <c r="G429">
        <f>IF($N429="","",INDEX(Staging!$H$2:$H$3001,$N429))</f>
      </c>
      <c r="H429">
        <f>IF($N429="","",INDEX(Staging!$I$2:$I$3001,$N429))</f>
      </c>
      <c r="I429">
        <f>IF($N429="","",INDEX(Staging!$J$2:$J$3001,$N429))</f>
      </c>
      <c r="J429">
        <f>IF($N429="","",INDEX(Staging!$K$2:$K$3001,$N429))</f>
      </c>
      <c r="K429">
        <f>IF($N429="","",INDEX(Staging!$M$2:$M$3001,$N429))</f>
      </c>
      <c r="L429">
        <f>IF($N429="","",INDEX(Staging!$O$2:$O$3001,$N429))</f>
      </c>
      <c r="M429">
        <f>IF($N429="","",INDEX(Staging!$P$2:$P$3001,$N429))</f>
      </c>
      <c r="N429">
        <f t="array" ref="N429">IFERROR(SMALL(IF(Staging!$E$2:$E$3001="MIPPL",ROW(Staging!$E$2:$E$3001)-ROW(Staging!$E$2)+1),428),"")</f>
      </c>
    </row>
    <row r="430" spans="1:14" x14ac:dyDescent="0.25">
      <c r="A430">
        <f>IF($N430="","",INDEX(Staging!$A$2:$A$3001,$N430))</f>
      </c>
      <c r="B430">
        <f>IF($N430="","",INDEX(Staging!$B$2:$B$3001,$N430))</f>
      </c>
      <c r="C430">
        <f>IF($N430="","",INDEX(Staging!$C$2:$C$3001,$N430))</f>
      </c>
      <c r="D430">
        <f>IF($N430="","",INDEX(Staging!$D$2:$D$3001,$N430))</f>
      </c>
      <c r="E430">
        <f>IF($N430="","",INDEX(Staging!$F$2:$F$3001,$N430))</f>
      </c>
      <c r="F430">
        <f>IF($N430="","",INDEX(Staging!$G$2:$G$3001,$N430))</f>
      </c>
      <c r="G430">
        <f>IF($N430="","",INDEX(Staging!$H$2:$H$3001,$N430))</f>
      </c>
      <c r="H430">
        <f>IF($N430="","",INDEX(Staging!$I$2:$I$3001,$N430))</f>
      </c>
      <c r="I430">
        <f>IF($N430="","",INDEX(Staging!$J$2:$J$3001,$N430))</f>
      </c>
      <c r="J430">
        <f>IF($N430="","",INDEX(Staging!$K$2:$K$3001,$N430))</f>
      </c>
      <c r="K430">
        <f>IF($N430="","",INDEX(Staging!$M$2:$M$3001,$N430))</f>
      </c>
      <c r="L430">
        <f>IF($N430="","",INDEX(Staging!$O$2:$O$3001,$N430))</f>
      </c>
      <c r="M430">
        <f>IF($N430="","",INDEX(Staging!$P$2:$P$3001,$N430))</f>
      </c>
      <c r="N430">
        <f t="array" ref="N430">IFERROR(SMALL(IF(Staging!$E$2:$E$3001="MIPPL",ROW(Staging!$E$2:$E$3001)-ROW(Staging!$E$2)+1),429),"")</f>
      </c>
    </row>
    <row r="431" spans="1:14" x14ac:dyDescent="0.25">
      <c r="A431">
        <f>IF($N431="","",INDEX(Staging!$A$2:$A$3001,$N431))</f>
      </c>
      <c r="B431">
        <f>IF($N431="","",INDEX(Staging!$B$2:$B$3001,$N431))</f>
      </c>
      <c r="C431">
        <f>IF($N431="","",INDEX(Staging!$C$2:$C$3001,$N431))</f>
      </c>
      <c r="D431">
        <f>IF($N431="","",INDEX(Staging!$D$2:$D$3001,$N431))</f>
      </c>
      <c r="E431">
        <f>IF($N431="","",INDEX(Staging!$F$2:$F$3001,$N431))</f>
      </c>
      <c r="F431">
        <f>IF($N431="","",INDEX(Staging!$G$2:$G$3001,$N431))</f>
      </c>
      <c r="G431">
        <f>IF($N431="","",INDEX(Staging!$H$2:$H$3001,$N431))</f>
      </c>
      <c r="H431">
        <f>IF($N431="","",INDEX(Staging!$I$2:$I$3001,$N431))</f>
      </c>
      <c r="I431">
        <f>IF($N431="","",INDEX(Staging!$J$2:$J$3001,$N431))</f>
      </c>
      <c r="J431">
        <f>IF($N431="","",INDEX(Staging!$K$2:$K$3001,$N431))</f>
      </c>
      <c r="K431">
        <f>IF($N431="","",INDEX(Staging!$M$2:$M$3001,$N431))</f>
      </c>
      <c r="L431">
        <f>IF($N431="","",INDEX(Staging!$O$2:$O$3001,$N431))</f>
      </c>
      <c r="M431">
        <f>IF($N431="","",INDEX(Staging!$P$2:$P$3001,$N431))</f>
      </c>
      <c r="N431">
        <f t="array" ref="N431">IFERROR(SMALL(IF(Staging!$E$2:$E$3001="MIPPL",ROW(Staging!$E$2:$E$3001)-ROW(Staging!$E$2)+1),430),"")</f>
      </c>
    </row>
    <row r="432" spans="1:14" x14ac:dyDescent="0.25">
      <c r="A432">
        <f>IF($N432="","",INDEX(Staging!$A$2:$A$3001,$N432))</f>
      </c>
      <c r="B432">
        <f>IF($N432="","",INDEX(Staging!$B$2:$B$3001,$N432))</f>
      </c>
      <c r="C432">
        <f>IF($N432="","",INDEX(Staging!$C$2:$C$3001,$N432))</f>
      </c>
      <c r="D432">
        <f>IF($N432="","",INDEX(Staging!$D$2:$D$3001,$N432))</f>
      </c>
      <c r="E432">
        <f>IF($N432="","",INDEX(Staging!$F$2:$F$3001,$N432))</f>
      </c>
      <c r="F432">
        <f>IF($N432="","",INDEX(Staging!$G$2:$G$3001,$N432))</f>
      </c>
      <c r="G432">
        <f>IF($N432="","",INDEX(Staging!$H$2:$H$3001,$N432))</f>
      </c>
      <c r="H432">
        <f>IF($N432="","",INDEX(Staging!$I$2:$I$3001,$N432))</f>
      </c>
      <c r="I432">
        <f>IF($N432="","",INDEX(Staging!$J$2:$J$3001,$N432))</f>
      </c>
      <c r="J432">
        <f>IF($N432="","",INDEX(Staging!$K$2:$K$3001,$N432))</f>
      </c>
      <c r="K432">
        <f>IF($N432="","",INDEX(Staging!$M$2:$M$3001,$N432))</f>
      </c>
      <c r="L432">
        <f>IF($N432="","",INDEX(Staging!$O$2:$O$3001,$N432))</f>
      </c>
      <c r="M432">
        <f>IF($N432="","",INDEX(Staging!$P$2:$P$3001,$N432))</f>
      </c>
      <c r="N432">
        <f t="array" ref="N432">IFERROR(SMALL(IF(Staging!$E$2:$E$3001="MIPPL",ROW(Staging!$E$2:$E$3001)-ROW(Staging!$E$2)+1),431),"")</f>
      </c>
    </row>
    <row r="433" spans="1:14" x14ac:dyDescent="0.25">
      <c r="A433">
        <f>IF($N433="","",INDEX(Staging!$A$2:$A$3001,$N433))</f>
      </c>
      <c r="B433">
        <f>IF($N433="","",INDEX(Staging!$B$2:$B$3001,$N433))</f>
      </c>
      <c r="C433">
        <f>IF($N433="","",INDEX(Staging!$C$2:$C$3001,$N433))</f>
      </c>
      <c r="D433">
        <f>IF($N433="","",INDEX(Staging!$D$2:$D$3001,$N433))</f>
      </c>
      <c r="E433">
        <f>IF($N433="","",INDEX(Staging!$F$2:$F$3001,$N433))</f>
      </c>
      <c r="F433">
        <f>IF($N433="","",INDEX(Staging!$G$2:$G$3001,$N433))</f>
      </c>
      <c r="G433">
        <f>IF($N433="","",INDEX(Staging!$H$2:$H$3001,$N433))</f>
      </c>
      <c r="H433">
        <f>IF($N433="","",INDEX(Staging!$I$2:$I$3001,$N433))</f>
      </c>
      <c r="I433">
        <f>IF($N433="","",INDEX(Staging!$J$2:$J$3001,$N433))</f>
      </c>
      <c r="J433">
        <f>IF($N433="","",INDEX(Staging!$K$2:$K$3001,$N433))</f>
      </c>
      <c r="K433">
        <f>IF($N433="","",INDEX(Staging!$M$2:$M$3001,$N433))</f>
      </c>
      <c r="L433">
        <f>IF($N433="","",INDEX(Staging!$O$2:$O$3001,$N433))</f>
      </c>
      <c r="M433">
        <f>IF($N433="","",INDEX(Staging!$P$2:$P$3001,$N433))</f>
      </c>
      <c r="N433">
        <f t="array" ref="N433">IFERROR(SMALL(IF(Staging!$E$2:$E$3001="MIPPL",ROW(Staging!$E$2:$E$3001)-ROW(Staging!$E$2)+1),432),"")</f>
      </c>
    </row>
    <row r="434" spans="1:14" x14ac:dyDescent="0.25">
      <c r="A434">
        <f>IF($N434="","",INDEX(Staging!$A$2:$A$3001,$N434))</f>
      </c>
      <c r="B434">
        <f>IF($N434="","",INDEX(Staging!$B$2:$B$3001,$N434))</f>
      </c>
      <c r="C434">
        <f>IF($N434="","",INDEX(Staging!$C$2:$C$3001,$N434))</f>
      </c>
      <c r="D434">
        <f>IF($N434="","",INDEX(Staging!$D$2:$D$3001,$N434))</f>
      </c>
      <c r="E434">
        <f>IF($N434="","",INDEX(Staging!$F$2:$F$3001,$N434))</f>
      </c>
      <c r="F434">
        <f>IF($N434="","",INDEX(Staging!$G$2:$G$3001,$N434))</f>
      </c>
      <c r="G434">
        <f>IF($N434="","",INDEX(Staging!$H$2:$H$3001,$N434))</f>
      </c>
      <c r="H434">
        <f>IF($N434="","",INDEX(Staging!$I$2:$I$3001,$N434))</f>
      </c>
      <c r="I434">
        <f>IF($N434="","",INDEX(Staging!$J$2:$J$3001,$N434))</f>
      </c>
      <c r="J434">
        <f>IF($N434="","",INDEX(Staging!$K$2:$K$3001,$N434))</f>
      </c>
      <c r="K434">
        <f>IF($N434="","",INDEX(Staging!$M$2:$M$3001,$N434))</f>
      </c>
      <c r="L434">
        <f>IF($N434="","",INDEX(Staging!$O$2:$O$3001,$N434))</f>
      </c>
      <c r="M434">
        <f>IF($N434="","",INDEX(Staging!$P$2:$P$3001,$N434))</f>
      </c>
      <c r="N434">
        <f t="array" ref="N434">IFERROR(SMALL(IF(Staging!$E$2:$E$3001="MIPPL",ROW(Staging!$E$2:$E$3001)-ROW(Staging!$E$2)+1),433),"")</f>
      </c>
    </row>
    <row r="435" spans="1:14" x14ac:dyDescent="0.25">
      <c r="A435">
        <f>IF($N435="","",INDEX(Staging!$A$2:$A$3001,$N435))</f>
      </c>
      <c r="B435">
        <f>IF($N435="","",INDEX(Staging!$B$2:$B$3001,$N435))</f>
      </c>
      <c r="C435">
        <f>IF($N435="","",INDEX(Staging!$C$2:$C$3001,$N435))</f>
      </c>
      <c r="D435">
        <f>IF($N435="","",INDEX(Staging!$D$2:$D$3001,$N435))</f>
      </c>
      <c r="E435">
        <f>IF($N435="","",INDEX(Staging!$F$2:$F$3001,$N435))</f>
      </c>
      <c r="F435">
        <f>IF($N435="","",INDEX(Staging!$G$2:$G$3001,$N435))</f>
      </c>
      <c r="G435">
        <f>IF($N435="","",INDEX(Staging!$H$2:$H$3001,$N435))</f>
      </c>
      <c r="H435">
        <f>IF($N435="","",INDEX(Staging!$I$2:$I$3001,$N435))</f>
      </c>
      <c r="I435">
        <f>IF($N435="","",INDEX(Staging!$J$2:$J$3001,$N435))</f>
      </c>
      <c r="J435">
        <f>IF($N435="","",INDEX(Staging!$K$2:$K$3001,$N435))</f>
      </c>
      <c r="K435">
        <f>IF($N435="","",INDEX(Staging!$M$2:$M$3001,$N435))</f>
      </c>
      <c r="L435">
        <f>IF($N435="","",INDEX(Staging!$O$2:$O$3001,$N435))</f>
      </c>
      <c r="M435">
        <f>IF($N435="","",INDEX(Staging!$P$2:$P$3001,$N435))</f>
      </c>
      <c r="N435">
        <f t="array" ref="N435">IFERROR(SMALL(IF(Staging!$E$2:$E$3001="MIPPL",ROW(Staging!$E$2:$E$3001)-ROW(Staging!$E$2)+1),434),"")</f>
      </c>
    </row>
    <row r="436" spans="1:14" x14ac:dyDescent="0.25">
      <c r="A436">
        <f>IF($N436="","",INDEX(Staging!$A$2:$A$3001,$N436))</f>
      </c>
      <c r="B436">
        <f>IF($N436="","",INDEX(Staging!$B$2:$B$3001,$N436))</f>
      </c>
      <c r="C436">
        <f>IF($N436="","",INDEX(Staging!$C$2:$C$3001,$N436))</f>
      </c>
      <c r="D436">
        <f>IF($N436="","",INDEX(Staging!$D$2:$D$3001,$N436))</f>
      </c>
      <c r="E436">
        <f>IF($N436="","",INDEX(Staging!$F$2:$F$3001,$N436))</f>
      </c>
      <c r="F436">
        <f>IF($N436="","",INDEX(Staging!$G$2:$G$3001,$N436))</f>
      </c>
      <c r="G436">
        <f>IF($N436="","",INDEX(Staging!$H$2:$H$3001,$N436))</f>
      </c>
      <c r="H436">
        <f>IF($N436="","",INDEX(Staging!$I$2:$I$3001,$N436))</f>
      </c>
      <c r="I436">
        <f>IF($N436="","",INDEX(Staging!$J$2:$J$3001,$N436))</f>
      </c>
      <c r="J436">
        <f>IF($N436="","",INDEX(Staging!$K$2:$K$3001,$N436))</f>
      </c>
      <c r="K436">
        <f>IF($N436="","",INDEX(Staging!$M$2:$M$3001,$N436))</f>
      </c>
      <c r="L436">
        <f>IF($N436="","",INDEX(Staging!$O$2:$O$3001,$N436))</f>
      </c>
      <c r="M436">
        <f>IF($N436="","",INDEX(Staging!$P$2:$P$3001,$N436))</f>
      </c>
      <c r="N436">
        <f t="array" ref="N436">IFERROR(SMALL(IF(Staging!$E$2:$E$3001="MIPPL",ROW(Staging!$E$2:$E$3001)-ROW(Staging!$E$2)+1),435),"")</f>
      </c>
    </row>
    <row r="437" spans="1:14" x14ac:dyDescent="0.25">
      <c r="A437">
        <f>IF($N437="","",INDEX(Staging!$A$2:$A$3001,$N437))</f>
      </c>
      <c r="B437">
        <f>IF($N437="","",INDEX(Staging!$B$2:$B$3001,$N437))</f>
      </c>
      <c r="C437">
        <f>IF($N437="","",INDEX(Staging!$C$2:$C$3001,$N437))</f>
      </c>
      <c r="D437">
        <f>IF($N437="","",INDEX(Staging!$D$2:$D$3001,$N437))</f>
      </c>
      <c r="E437">
        <f>IF($N437="","",INDEX(Staging!$F$2:$F$3001,$N437))</f>
      </c>
      <c r="F437">
        <f>IF($N437="","",INDEX(Staging!$G$2:$G$3001,$N437))</f>
      </c>
      <c r="G437">
        <f>IF($N437="","",INDEX(Staging!$H$2:$H$3001,$N437))</f>
      </c>
      <c r="H437">
        <f>IF($N437="","",INDEX(Staging!$I$2:$I$3001,$N437))</f>
      </c>
      <c r="I437">
        <f>IF($N437="","",INDEX(Staging!$J$2:$J$3001,$N437))</f>
      </c>
      <c r="J437">
        <f>IF($N437="","",INDEX(Staging!$K$2:$K$3001,$N437))</f>
      </c>
      <c r="K437">
        <f>IF($N437="","",INDEX(Staging!$M$2:$M$3001,$N437))</f>
      </c>
      <c r="L437">
        <f>IF($N437="","",INDEX(Staging!$O$2:$O$3001,$N437))</f>
      </c>
      <c r="M437">
        <f>IF($N437="","",INDEX(Staging!$P$2:$P$3001,$N437))</f>
      </c>
      <c r="N437">
        <f t="array" ref="N437">IFERROR(SMALL(IF(Staging!$E$2:$E$3001="MIPPL",ROW(Staging!$E$2:$E$3001)-ROW(Staging!$E$2)+1),436),"")</f>
      </c>
    </row>
    <row r="438" spans="1:14" x14ac:dyDescent="0.25">
      <c r="A438">
        <f>IF($N438="","",INDEX(Staging!$A$2:$A$3001,$N438))</f>
      </c>
      <c r="B438">
        <f>IF($N438="","",INDEX(Staging!$B$2:$B$3001,$N438))</f>
      </c>
      <c r="C438">
        <f>IF($N438="","",INDEX(Staging!$C$2:$C$3001,$N438))</f>
      </c>
      <c r="D438">
        <f>IF($N438="","",INDEX(Staging!$D$2:$D$3001,$N438))</f>
      </c>
      <c r="E438">
        <f>IF($N438="","",INDEX(Staging!$F$2:$F$3001,$N438))</f>
      </c>
      <c r="F438">
        <f>IF($N438="","",INDEX(Staging!$G$2:$G$3001,$N438))</f>
      </c>
      <c r="G438">
        <f>IF($N438="","",INDEX(Staging!$H$2:$H$3001,$N438))</f>
      </c>
      <c r="H438">
        <f>IF($N438="","",INDEX(Staging!$I$2:$I$3001,$N438))</f>
      </c>
      <c r="I438">
        <f>IF($N438="","",INDEX(Staging!$J$2:$J$3001,$N438))</f>
      </c>
      <c r="J438">
        <f>IF($N438="","",INDEX(Staging!$K$2:$K$3001,$N438))</f>
      </c>
      <c r="K438">
        <f>IF($N438="","",INDEX(Staging!$M$2:$M$3001,$N438))</f>
      </c>
      <c r="L438">
        <f>IF($N438="","",INDEX(Staging!$O$2:$O$3001,$N438))</f>
      </c>
      <c r="M438">
        <f>IF($N438="","",INDEX(Staging!$P$2:$P$3001,$N438))</f>
      </c>
      <c r="N438">
        <f t="array" ref="N438">IFERROR(SMALL(IF(Staging!$E$2:$E$3001="MIPPL",ROW(Staging!$E$2:$E$3001)-ROW(Staging!$E$2)+1),437),"")</f>
      </c>
    </row>
    <row r="439" spans="1:14" x14ac:dyDescent="0.25">
      <c r="A439">
        <f>IF($N439="","",INDEX(Staging!$A$2:$A$3001,$N439))</f>
      </c>
      <c r="B439">
        <f>IF($N439="","",INDEX(Staging!$B$2:$B$3001,$N439))</f>
      </c>
      <c r="C439">
        <f>IF($N439="","",INDEX(Staging!$C$2:$C$3001,$N439))</f>
      </c>
      <c r="D439">
        <f>IF($N439="","",INDEX(Staging!$D$2:$D$3001,$N439))</f>
      </c>
      <c r="E439">
        <f>IF($N439="","",INDEX(Staging!$F$2:$F$3001,$N439))</f>
      </c>
      <c r="F439">
        <f>IF($N439="","",INDEX(Staging!$G$2:$G$3001,$N439))</f>
      </c>
      <c r="G439">
        <f>IF($N439="","",INDEX(Staging!$H$2:$H$3001,$N439))</f>
      </c>
      <c r="H439">
        <f>IF($N439="","",INDEX(Staging!$I$2:$I$3001,$N439))</f>
      </c>
      <c r="I439">
        <f>IF($N439="","",INDEX(Staging!$J$2:$J$3001,$N439))</f>
      </c>
      <c r="J439">
        <f>IF($N439="","",INDEX(Staging!$K$2:$K$3001,$N439))</f>
      </c>
      <c r="K439">
        <f>IF($N439="","",INDEX(Staging!$M$2:$M$3001,$N439))</f>
      </c>
      <c r="L439">
        <f>IF($N439="","",INDEX(Staging!$O$2:$O$3001,$N439))</f>
      </c>
      <c r="M439">
        <f>IF($N439="","",INDEX(Staging!$P$2:$P$3001,$N439))</f>
      </c>
      <c r="N439">
        <f t="array" ref="N439">IFERROR(SMALL(IF(Staging!$E$2:$E$3001="MIPPL",ROW(Staging!$E$2:$E$3001)-ROW(Staging!$E$2)+1),438),"")</f>
      </c>
    </row>
    <row r="440" spans="1:14" x14ac:dyDescent="0.25">
      <c r="A440">
        <f>IF($N440="","",INDEX(Staging!$A$2:$A$3001,$N440))</f>
      </c>
      <c r="B440">
        <f>IF($N440="","",INDEX(Staging!$B$2:$B$3001,$N440))</f>
      </c>
      <c r="C440">
        <f>IF($N440="","",INDEX(Staging!$C$2:$C$3001,$N440))</f>
      </c>
      <c r="D440">
        <f>IF($N440="","",INDEX(Staging!$D$2:$D$3001,$N440))</f>
      </c>
      <c r="E440">
        <f>IF($N440="","",INDEX(Staging!$F$2:$F$3001,$N440))</f>
      </c>
      <c r="F440">
        <f>IF($N440="","",INDEX(Staging!$G$2:$G$3001,$N440))</f>
      </c>
      <c r="G440">
        <f>IF($N440="","",INDEX(Staging!$H$2:$H$3001,$N440))</f>
      </c>
      <c r="H440">
        <f>IF($N440="","",INDEX(Staging!$I$2:$I$3001,$N440))</f>
      </c>
      <c r="I440">
        <f>IF($N440="","",INDEX(Staging!$J$2:$J$3001,$N440))</f>
      </c>
      <c r="J440">
        <f>IF($N440="","",INDEX(Staging!$K$2:$K$3001,$N440))</f>
      </c>
      <c r="K440">
        <f>IF($N440="","",INDEX(Staging!$M$2:$M$3001,$N440))</f>
      </c>
      <c r="L440">
        <f>IF($N440="","",INDEX(Staging!$O$2:$O$3001,$N440))</f>
      </c>
      <c r="M440">
        <f>IF($N440="","",INDEX(Staging!$P$2:$P$3001,$N440))</f>
      </c>
      <c r="N440">
        <f t="array" ref="N440">IFERROR(SMALL(IF(Staging!$E$2:$E$3001="MIPPL",ROW(Staging!$E$2:$E$3001)-ROW(Staging!$E$2)+1),439),"")</f>
      </c>
    </row>
    <row r="441" spans="1:14" x14ac:dyDescent="0.25">
      <c r="A441">
        <f>IF($N441="","",INDEX(Staging!$A$2:$A$3001,$N441))</f>
      </c>
      <c r="B441">
        <f>IF($N441="","",INDEX(Staging!$B$2:$B$3001,$N441))</f>
      </c>
      <c r="C441">
        <f>IF($N441="","",INDEX(Staging!$C$2:$C$3001,$N441))</f>
      </c>
      <c r="D441">
        <f>IF($N441="","",INDEX(Staging!$D$2:$D$3001,$N441))</f>
      </c>
      <c r="E441">
        <f>IF($N441="","",INDEX(Staging!$F$2:$F$3001,$N441))</f>
      </c>
      <c r="F441">
        <f>IF($N441="","",INDEX(Staging!$G$2:$G$3001,$N441))</f>
      </c>
      <c r="G441">
        <f>IF($N441="","",INDEX(Staging!$H$2:$H$3001,$N441))</f>
      </c>
      <c r="H441">
        <f>IF($N441="","",INDEX(Staging!$I$2:$I$3001,$N441))</f>
      </c>
      <c r="I441">
        <f>IF($N441="","",INDEX(Staging!$J$2:$J$3001,$N441))</f>
      </c>
      <c r="J441">
        <f>IF($N441="","",INDEX(Staging!$K$2:$K$3001,$N441))</f>
      </c>
      <c r="K441">
        <f>IF($N441="","",INDEX(Staging!$M$2:$M$3001,$N441))</f>
      </c>
      <c r="L441">
        <f>IF($N441="","",INDEX(Staging!$O$2:$O$3001,$N441))</f>
      </c>
      <c r="M441">
        <f>IF($N441="","",INDEX(Staging!$P$2:$P$3001,$N441))</f>
      </c>
      <c r="N441">
        <f t="array" ref="N441">IFERROR(SMALL(IF(Staging!$E$2:$E$3001="MIPPL",ROW(Staging!$E$2:$E$3001)-ROW(Staging!$E$2)+1),440),"")</f>
      </c>
    </row>
    <row r="442" spans="1:14" x14ac:dyDescent="0.25">
      <c r="A442">
        <f>IF($N442="","",INDEX(Staging!$A$2:$A$3001,$N442))</f>
      </c>
      <c r="B442">
        <f>IF($N442="","",INDEX(Staging!$B$2:$B$3001,$N442))</f>
      </c>
      <c r="C442">
        <f>IF($N442="","",INDEX(Staging!$C$2:$C$3001,$N442))</f>
      </c>
      <c r="D442">
        <f>IF($N442="","",INDEX(Staging!$D$2:$D$3001,$N442))</f>
      </c>
      <c r="E442">
        <f>IF($N442="","",INDEX(Staging!$F$2:$F$3001,$N442))</f>
      </c>
      <c r="F442">
        <f>IF($N442="","",INDEX(Staging!$G$2:$G$3001,$N442))</f>
      </c>
      <c r="G442">
        <f>IF($N442="","",INDEX(Staging!$H$2:$H$3001,$N442))</f>
      </c>
      <c r="H442">
        <f>IF($N442="","",INDEX(Staging!$I$2:$I$3001,$N442))</f>
      </c>
      <c r="I442">
        <f>IF($N442="","",INDEX(Staging!$J$2:$J$3001,$N442))</f>
      </c>
      <c r="J442">
        <f>IF($N442="","",INDEX(Staging!$K$2:$K$3001,$N442))</f>
      </c>
      <c r="K442">
        <f>IF($N442="","",INDEX(Staging!$M$2:$M$3001,$N442))</f>
      </c>
      <c r="L442">
        <f>IF($N442="","",INDEX(Staging!$O$2:$O$3001,$N442))</f>
      </c>
      <c r="M442">
        <f>IF($N442="","",INDEX(Staging!$P$2:$P$3001,$N442))</f>
      </c>
      <c r="N442">
        <f t="array" ref="N442">IFERROR(SMALL(IF(Staging!$E$2:$E$3001="MIPPL",ROW(Staging!$E$2:$E$3001)-ROW(Staging!$E$2)+1),441),"")</f>
      </c>
    </row>
    <row r="443" spans="1:14" x14ac:dyDescent="0.25">
      <c r="A443">
        <f>IF($N443="","",INDEX(Staging!$A$2:$A$3001,$N443))</f>
      </c>
      <c r="B443">
        <f>IF($N443="","",INDEX(Staging!$B$2:$B$3001,$N443))</f>
      </c>
      <c r="C443">
        <f>IF($N443="","",INDEX(Staging!$C$2:$C$3001,$N443))</f>
      </c>
      <c r="D443">
        <f>IF($N443="","",INDEX(Staging!$D$2:$D$3001,$N443))</f>
      </c>
      <c r="E443">
        <f>IF($N443="","",INDEX(Staging!$F$2:$F$3001,$N443))</f>
      </c>
      <c r="F443">
        <f>IF($N443="","",INDEX(Staging!$G$2:$G$3001,$N443))</f>
      </c>
      <c r="G443">
        <f>IF($N443="","",INDEX(Staging!$H$2:$H$3001,$N443))</f>
      </c>
      <c r="H443">
        <f>IF($N443="","",INDEX(Staging!$I$2:$I$3001,$N443))</f>
      </c>
      <c r="I443">
        <f>IF($N443="","",INDEX(Staging!$J$2:$J$3001,$N443))</f>
      </c>
      <c r="J443">
        <f>IF($N443="","",INDEX(Staging!$K$2:$K$3001,$N443))</f>
      </c>
      <c r="K443">
        <f>IF($N443="","",INDEX(Staging!$M$2:$M$3001,$N443))</f>
      </c>
      <c r="L443">
        <f>IF($N443="","",INDEX(Staging!$O$2:$O$3001,$N443))</f>
      </c>
      <c r="M443">
        <f>IF($N443="","",INDEX(Staging!$P$2:$P$3001,$N443))</f>
      </c>
      <c r="N443">
        <f t="array" ref="N443">IFERROR(SMALL(IF(Staging!$E$2:$E$3001="MIPPL",ROW(Staging!$E$2:$E$3001)-ROW(Staging!$E$2)+1),442),"")</f>
      </c>
    </row>
    <row r="444" spans="1:14" x14ac:dyDescent="0.25">
      <c r="A444">
        <f>IF($N444="","",INDEX(Staging!$A$2:$A$3001,$N444))</f>
      </c>
      <c r="B444">
        <f>IF($N444="","",INDEX(Staging!$B$2:$B$3001,$N444))</f>
      </c>
      <c r="C444">
        <f>IF($N444="","",INDEX(Staging!$C$2:$C$3001,$N444))</f>
      </c>
      <c r="D444">
        <f>IF($N444="","",INDEX(Staging!$D$2:$D$3001,$N444))</f>
      </c>
      <c r="E444">
        <f>IF($N444="","",INDEX(Staging!$F$2:$F$3001,$N444))</f>
      </c>
      <c r="F444">
        <f>IF($N444="","",INDEX(Staging!$G$2:$G$3001,$N444))</f>
      </c>
      <c r="G444">
        <f>IF($N444="","",INDEX(Staging!$H$2:$H$3001,$N444))</f>
      </c>
      <c r="H444">
        <f>IF($N444="","",INDEX(Staging!$I$2:$I$3001,$N444))</f>
      </c>
      <c r="I444">
        <f>IF($N444="","",INDEX(Staging!$J$2:$J$3001,$N444))</f>
      </c>
      <c r="J444">
        <f>IF($N444="","",INDEX(Staging!$K$2:$K$3001,$N444))</f>
      </c>
      <c r="K444">
        <f>IF($N444="","",INDEX(Staging!$M$2:$M$3001,$N444))</f>
      </c>
      <c r="L444">
        <f>IF($N444="","",INDEX(Staging!$O$2:$O$3001,$N444))</f>
      </c>
      <c r="M444">
        <f>IF($N444="","",INDEX(Staging!$P$2:$P$3001,$N444))</f>
      </c>
      <c r="N444">
        <f t="array" ref="N444">IFERROR(SMALL(IF(Staging!$E$2:$E$3001="MIPPL",ROW(Staging!$E$2:$E$3001)-ROW(Staging!$E$2)+1),443),"")</f>
      </c>
    </row>
    <row r="445" spans="1:14" x14ac:dyDescent="0.25">
      <c r="A445">
        <f>IF($N445="","",INDEX(Staging!$A$2:$A$3001,$N445))</f>
      </c>
      <c r="B445">
        <f>IF($N445="","",INDEX(Staging!$B$2:$B$3001,$N445))</f>
      </c>
      <c r="C445">
        <f>IF($N445="","",INDEX(Staging!$C$2:$C$3001,$N445))</f>
      </c>
      <c r="D445">
        <f>IF($N445="","",INDEX(Staging!$D$2:$D$3001,$N445))</f>
      </c>
      <c r="E445">
        <f>IF($N445="","",INDEX(Staging!$F$2:$F$3001,$N445))</f>
      </c>
      <c r="F445">
        <f>IF($N445="","",INDEX(Staging!$G$2:$G$3001,$N445))</f>
      </c>
      <c r="G445">
        <f>IF($N445="","",INDEX(Staging!$H$2:$H$3001,$N445))</f>
      </c>
      <c r="H445">
        <f>IF($N445="","",INDEX(Staging!$I$2:$I$3001,$N445))</f>
      </c>
      <c r="I445">
        <f>IF($N445="","",INDEX(Staging!$J$2:$J$3001,$N445))</f>
      </c>
      <c r="J445">
        <f>IF($N445="","",INDEX(Staging!$K$2:$K$3001,$N445))</f>
      </c>
      <c r="K445">
        <f>IF($N445="","",INDEX(Staging!$M$2:$M$3001,$N445))</f>
      </c>
      <c r="L445">
        <f>IF($N445="","",INDEX(Staging!$O$2:$O$3001,$N445))</f>
      </c>
      <c r="M445">
        <f>IF($N445="","",INDEX(Staging!$P$2:$P$3001,$N445))</f>
      </c>
      <c r="N445">
        <f t="array" ref="N445">IFERROR(SMALL(IF(Staging!$E$2:$E$3001="MIPPL",ROW(Staging!$E$2:$E$3001)-ROW(Staging!$E$2)+1),444),"")</f>
      </c>
    </row>
    <row r="446" spans="1:14" x14ac:dyDescent="0.25">
      <c r="A446">
        <f>IF($N446="","",INDEX(Staging!$A$2:$A$3001,$N446))</f>
      </c>
      <c r="B446">
        <f>IF($N446="","",INDEX(Staging!$B$2:$B$3001,$N446))</f>
      </c>
      <c r="C446">
        <f>IF($N446="","",INDEX(Staging!$C$2:$C$3001,$N446))</f>
      </c>
      <c r="D446">
        <f>IF($N446="","",INDEX(Staging!$D$2:$D$3001,$N446))</f>
      </c>
      <c r="E446">
        <f>IF($N446="","",INDEX(Staging!$F$2:$F$3001,$N446))</f>
      </c>
      <c r="F446">
        <f>IF($N446="","",INDEX(Staging!$G$2:$G$3001,$N446))</f>
      </c>
      <c r="G446">
        <f>IF($N446="","",INDEX(Staging!$H$2:$H$3001,$N446))</f>
      </c>
      <c r="H446">
        <f>IF($N446="","",INDEX(Staging!$I$2:$I$3001,$N446))</f>
      </c>
      <c r="I446">
        <f>IF($N446="","",INDEX(Staging!$J$2:$J$3001,$N446))</f>
      </c>
      <c r="J446">
        <f>IF($N446="","",INDEX(Staging!$K$2:$K$3001,$N446))</f>
      </c>
      <c r="K446">
        <f>IF($N446="","",INDEX(Staging!$M$2:$M$3001,$N446))</f>
      </c>
      <c r="L446">
        <f>IF($N446="","",INDEX(Staging!$O$2:$O$3001,$N446))</f>
      </c>
      <c r="M446">
        <f>IF($N446="","",INDEX(Staging!$P$2:$P$3001,$N446))</f>
      </c>
      <c r="N446">
        <f t="array" ref="N446">IFERROR(SMALL(IF(Staging!$E$2:$E$3001="MIPPL",ROW(Staging!$E$2:$E$3001)-ROW(Staging!$E$2)+1),445),"")</f>
      </c>
    </row>
    <row r="447" spans="1:14" x14ac:dyDescent="0.25">
      <c r="A447">
        <f>IF($N447="","",INDEX(Staging!$A$2:$A$3001,$N447))</f>
      </c>
      <c r="B447">
        <f>IF($N447="","",INDEX(Staging!$B$2:$B$3001,$N447))</f>
      </c>
      <c r="C447">
        <f>IF($N447="","",INDEX(Staging!$C$2:$C$3001,$N447))</f>
      </c>
      <c r="D447">
        <f>IF($N447="","",INDEX(Staging!$D$2:$D$3001,$N447))</f>
      </c>
      <c r="E447">
        <f>IF($N447="","",INDEX(Staging!$F$2:$F$3001,$N447))</f>
      </c>
      <c r="F447">
        <f>IF($N447="","",INDEX(Staging!$G$2:$G$3001,$N447))</f>
      </c>
      <c r="G447">
        <f>IF($N447="","",INDEX(Staging!$H$2:$H$3001,$N447))</f>
      </c>
      <c r="H447">
        <f>IF($N447="","",INDEX(Staging!$I$2:$I$3001,$N447))</f>
      </c>
      <c r="I447">
        <f>IF($N447="","",INDEX(Staging!$J$2:$J$3001,$N447))</f>
      </c>
      <c r="J447">
        <f>IF($N447="","",INDEX(Staging!$K$2:$K$3001,$N447))</f>
      </c>
      <c r="K447">
        <f>IF($N447="","",INDEX(Staging!$M$2:$M$3001,$N447))</f>
      </c>
      <c r="L447">
        <f>IF($N447="","",INDEX(Staging!$O$2:$O$3001,$N447))</f>
      </c>
      <c r="M447">
        <f>IF($N447="","",INDEX(Staging!$P$2:$P$3001,$N447))</f>
      </c>
      <c r="N447">
        <f t="array" ref="N447">IFERROR(SMALL(IF(Staging!$E$2:$E$3001="MIPPL",ROW(Staging!$E$2:$E$3001)-ROW(Staging!$E$2)+1),446),"")</f>
      </c>
    </row>
    <row r="448" spans="1:14" x14ac:dyDescent="0.25">
      <c r="A448">
        <f>IF($N448="","",INDEX(Staging!$A$2:$A$3001,$N448))</f>
      </c>
      <c r="B448">
        <f>IF($N448="","",INDEX(Staging!$B$2:$B$3001,$N448))</f>
      </c>
      <c r="C448">
        <f>IF($N448="","",INDEX(Staging!$C$2:$C$3001,$N448))</f>
      </c>
      <c r="D448">
        <f>IF($N448="","",INDEX(Staging!$D$2:$D$3001,$N448))</f>
      </c>
      <c r="E448">
        <f>IF($N448="","",INDEX(Staging!$F$2:$F$3001,$N448))</f>
      </c>
      <c r="F448">
        <f>IF($N448="","",INDEX(Staging!$G$2:$G$3001,$N448))</f>
      </c>
      <c r="G448">
        <f>IF($N448="","",INDEX(Staging!$H$2:$H$3001,$N448))</f>
      </c>
      <c r="H448">
        <f>IF($N448="","",INDEX(Staging!$I$2:$I$3001,$N448))</f>
      </c>
      <c r="I448">
        <f>IF($N448="","",INDEX(Staging!$J$2:$J$3001,$N448))</f>
      </c>
      <c r="J448">
        <f>IF($N448="","",INDEX(Staging!$K$2:$K$3001,$N448))</f>
      </c>
      <c r="K448">
        <f>IF($N448="","",INDEX(Staging!$M$2:$M$3001,$N448))</f>
      </c>
      <c r="L448">
        <f>IF($N448="","",INDEX(Staging!$O$2:$O$3001,$N448))</f>
      </c>
      <c r="M448">
        <f>IF($N448="","",INDEX(Staging!$P$2:$P$3001,$N448))</f>
      </c>
      <c r="N448">
        <f t="array" ref="N448">IFERROR(SMALL(IF(Staging!$E$2:$E$3001="MIPPL",ROW(Staging!$E$2:$E$3001)-ROW(Staging!$E$2)+1),447),"")</f>
      </c>
    </row>
    <row r="449" spans="1:14" x14ac:dyDescent="0.25">
      <c r="A449">
        <f>IF($N449="","",INDEX(Staging!$A$2:$A$3001,$N449))</f>
      </c>
      <c r="B449">
        <f>IF($N449="","",INDEX(Staging!$B$2:$B$3001,$N449))</f>
      </c>
      <c r="C449">
        <f>IF($N449="","",INDEX(Staging!$C$2:$C$3001,$N449))</f>
      </c>
      <c r="D449">
        <f>IF($N449="","",INDEX(Staging!$D$2:$D$3001,$N449))</f>
      </c>
      <c r="E449">
        <f>IF($N449="","",INDEX(Staging!$F$2:$F$3001,$N449))</f>
      </c>
      <c r="F449">
        <f>IF($N449="","",INDEX(Staging!$G$2:$G$3001,$N449))</f>
      </c>
      <c r="G449">
        <f>IF($N449="","",INDEX(Staging!$H$2:$H$3001,$N449))</f>
      </c>
      <c r="H449">
        <f>IF($N449="","",INDEX(Staging!$I$2:$I$3001,$N449))</f>
      </c>
      <c r="I449">
        <f>IF($N449="","",INDEX(Staging!$J$2:$J$3001,$N449))</f>
      </c>
      <c r="J449">
        <f>IF($N449="","",INDEX(Staging!$K$2:$K$3001,$N449))</f>
      </c>
      <c r="K449">
        <f>IF($N449="","",INDEX(Staging!$M$2:$M$3001,$N449))</f>
      </c>
      <c r="L449">
        <f>IF($N449="","",INDEX(Staging!$O$2:$O$3001,$N449))</f>
      </c>
      <c r="M449">
        <f>IF($N449="","",INDEX(Staging!$P$2:$P$3001,$N449))</f>
      </c>
      <c r="N449">
        <f t="array" ref="N449">IFERROR(SMALL(IF(Staging!$E$2:$E$3001="MIPPL",ROW(Staging!$E$2:$E$3001)-ROW(Staging!$E$2)+1),448),"")</f>
      </c>
    </row>
    <row r="450" spans="1:14" x14ac:dyDescent="0.25">
      <c r="A450">
        <f>IF($N450="","",INDEX(Staging!$A$2:$A$3001,$N450))</f>
      </c>
      <c r="B450">
        <f>IF($N450="","",INDEX(Staging!$B$2:$B$3001,$N450))</f>
      </c>
      <c r="C450">
        <f>IF($N450="","",INDEX(Staging!$C$2:$C$3001,$N450))</f>
      </c>
      <c r="D450">
        <f>IF($N450="","",INDEX(Staging!$D$2:$D$3001,$N450))</f>
      </c>
      <c r="E450">
        <f>IF($N450="","",INDEX(Staging!$F$2:$F$3001,$N450))</f>
      </c>
      <c r="F450">
        <f>IF($N450="","",INDEX(Staging!$G$2:$G$3001,$N450))</f>
      </c>
      <c r="G450">
        <f>IF($N450="","",INDEX(Staging!$H$2:$H$3001,$N450))</f>
      </c>
      <c r="H450">
        <f>IF($N450="","",INDEX(Staging!$I$2:$I$3001,$N450))</f>
      </c>
      <c r="I450">
        <f>IF($N450="","",INDEX(Staging!$J$2:$J$3001,$N450))</f>
      </c>
      <c r="J450">
        <f>IF($N450="","",INDEX(Staging!$K$2:$K$3001,$N450))</f>
      </c>
      <c r="K450">
        <f>IF($N450="","",INDEX(Staging!$M$2:$M$3001,$N450))</f>
      </c>
      <c r="L450">
        <f>IF($N450="","",INDEX(Staging!$O$2:$O$3001,$N450))</f>
      </c>
      <c r="M450">
        <f>IF($N450="","",INDEX(Staging!$P$2:$P$3001,$N450))</f>
      </c>
      <c r="N450">
        <f t="array" ref="N450">IFERROR(SMALL(IF(Staging!$E$2:$E$3001="MIPPL",ROW(Staging!$E$2:$E$3001)-ROW(Staging!$E$2)+1),449),"")</f>
      </c>
    </row>
    <row r="451" spans="1:14" x14ac:dyDescent="0.25">
      <c r="A451">
        <f>IF($N451="","",INDEX(Staging!$A$2:$A$3001,$N451))</f>
      </c>
      <c r="B451">
        <f>IF($N451="","",INDEX(Staging!$B$2:$B$3001,$N451))</f>
      </c>
      <c r="C451">
        <f>IF($N451="","",INDEX(Staging!$C$2:$C$3001,$N451))</f>
      </c>
      <c r="D451">
        <f>IF($N451="","",INDEX(Staging!$D$2:$D$3001,$N451))</f>
      </c>
      <c r="E451">
        <f>IF($N451="","",INDEX(Staging!$F$2:$F$3001,$N451))</f>
      </c>
      <c r="F451">
        <f>IF($N451="","",INDEX(Staging!$G$2:$G$3001,$N451))</f>
      </c>
      <c r="G451">
        <f>IF($N451="","",INDEX(Staging!$H$2:$H$3001,$N451))</f>
      </c>
      <c r="H451">
        <f>IF($N451="","",INDEX(Staging!$I$2:$I$3001,$N451))</f>
      </c>
      <c r="I451">
        <f>IF($N451="","",INDEX(Staging!$J$2:$J$3001,$N451))</f>
      </c>
      <c r="J451">
        <f>IF($N451="","",INDEX(Staging!$K$2:$K$3001,$N451))</f>
      </c>
      <c r="K451">
        <f>IF($N451="","",INDEX(Staging!$M$2:$M$3001,$N451))</f>
      </c>
      <c r="L451">
        <f>IF($N451="","",INDEX(Staging!$O$2:$O$3001,$N451))</f>
      </c>
      <c r="M451">
        <f>IF($N451="","",INDEX(Staging!$P$2:$P$3001,$N451))</f>
      </c>
      <c r="N451">
        <f t="array" ref="N451">IFERROR(SMALL(IF(Staging!$E$2:$E$3001="MIPPL",ROW(Staging!$E$2:$E$3001)-ROW(Staging!$E$2)+1),450),"")</f>
      </c>
    </row>
    <row r="452" spans="1:14" x14ac:dyDescent="0.25">
      <c r="A452">
        <f>IF($N452="","",INDEX(Staging!$A$2:$A$3001,$N452))</f>
      </c>
      <c r="B452">
        <f>IF($N452="","",INDEX(Staging!$B$2:$B$3001,$N452))</f>
      </c>
      <c r="C452">
        <f>IF($N452="","",INDEX(Staging!$C$2:$C$3001,$N452))</f>
      </c>
      <c r="D452">
        <f>IF($N452="","",INDEX(Staging!$D$2:$D$3001,$N452))</f>
      </c>
      <c r="E452">
        <f>IF($N452="","",INDEX(Staging!$F$2:$F$3001,$N452))</f>
      </c>
      <c r="F452">
        <f>IF($N452="","",INDEX(Staging!$G$2:$G$3001,$N452))</f>
      </c>
      <c r="G452">
        <f>IF($N452="","",INDEX(Staging!$H$2:$H$3001,$N452))</f>
      </c>
      <c r="H452">
        <f>IF($N452="","",INDEX(Staging!$I$2:$I$3001,$N452))</f>
      </c>
      <c r="I452">
        <f>IF($N452="","",INDEX(Staging!$J$2:$J$3001,$N452))</f>
      </c>
      <c r="J452">
        <f>IF($N452="","",INDEX(Staging!$K$2:$K$3001,$N452))</f>
      </c>
      <c r="K452">
        <f>IF($N452="","",INDEX(Staging!$M$2:$M$3001,$N452))</f>
      </c>
      <c r="L452">
        <f>IF($N452="","",INDEX(Staging!$O$2:$O$3001,$N452))</f>
      </c>
      <c r="M452">
        <f>IF($N452="","",INDEX(Staging!$P$2:$P$3001,$N452))</f>
      </c>
      <c r="N452">
        <f t="array" ref="N452">IFERROR(SMALL(IF(Staging!$E$2:$E$3001="MIPPL",ROW(Staging!$E$2:$E$3001)-ROW(Staging!$E$2)+1),451),"")</f>
      </c>
    </row>
    <row r="453" spans="1:14" x14ac:dyDescent="0.25">
      <c r="A453">
        <f>IF($N453="","",INDEX(Staging!$A$2:$A$3001,$N453))</f>
      </c>
      <c r="B453">
        <f>IF($N453="","",INDEX(Staging!$B$2:$B$3001,$N453))</f>
      </c>
      <c r="C453">
        <f>IF($N453="","",INDEX(Staging!$C$2:$C$3001,$N453))</f>
      </c>
      <c r="D453">
        <f>IF($N453="","",INDEX(Staging!$D$2:$D$3001,$N453))</f>
      </c>
      <c r="E453">
        <f>IF($N453="","",INDEX(Staging!$F$2:$F$3001,$N453))</f>
      </c>
      <c r="F453">
        <f>IF($N453="","",INDEX(Staging!$G$2:$G$3001,$N453))</f>
      </c>
      <c r="G453">
        <f>IF($N453="","",INDEX(Staging!$H$2:$H$3001,$N453))</f>
      </c>
      <c r="H453">
        <f>IF($N453="","",INDEX(Staging!$I$2:$I$3001,$N453))</f>
      </c>
      <c r="I453">
        <f>IF($N453="","",INDEX(Staging!$J$2:$J$3001,$N453))</f>
      </c>
      <c r="J453">
        <f>IF($N453="","",INDEX(Staging!$K$2:$K$3001,$N453))</f>
      </c>
      <c r="K453">
        <f>IF($N453="","",INDEX(Staging!$M$2:$M$3001,$N453))</f>
      </c>
      <c r="L453">
        <f>IF($N453="","",INDEX(Staging!$O$2:$O$3001,$N453))</f>
      </c>
      <c r="M453">
        <f>IF($N453="","",INDEX(Staging!$P$2:$P$3001,$N453))</f>
      </c>
      <c r="N453">
        <f t="array" ref="N453">IFERROR(SMALL(IF(Staging!$E$2:$E$3001="MIPPL",ROW(Staging!$E$2:$E$3001)-ROW(Staging!$E$2)+1),452),"")</f>
      </c>
    </row>
    <row r="454" spans="1:14" x14ac:dyDescent="0.25">
      <c r="A454">
        <f>IF($N454="","",INDEX(Staging!$A$2:$A$3001,$N454))</f>
      </c>
      <c r="B454">
        <f>IF($N454="","",INDEX(Staging!$B$2:$B$3001,$N454))</f>
      </c>
      <c r="C454">
        <f>IF($N454="","",INDEX(Staging!$C$2:$C$3001,$N454))</f>
      </c>
      <c r="D454">
        <f>IF($N454="","",INDEX(Staging!$D$2:$D$3001,$N454))</f>
      </c>
      <c r="E454">
        <f>IF($N454="","",INDEX(Staging!$F$2:$F$3001,$N454))</f>
      </c>
      <c r="F454">
        <f>IF($N454="","",INDEX(Staging!$G$2:$G$3001,$N454))</f>
      </c>
      <c r="G454">
        <f>IF($N454="","",INDEX(Staging!$H$2:$H$3001,$N454))</f>
      </c>
      <c r="H454">
        <f>IF($N454="","",INDEX(Staging!$I$2:$I$3001,$N454))</f>
      </c>
      <c r="I454">
        <f>IF($N454="","",INDEX(Staging!$J$2:$J$3001,$N454))</f>
      </c>
      <c r="J454">
        <f>IF($N454="","",INDEX(Staging!$K$2:$K$3001,$N454))</f>
      </c>
      <c r="K454">
        <f>IF($N454="","",INDEX(Staging!$M$2:$M$3001,$N454))</f>
      </c>
      <c r="L454">
        <f>IF($N454="","",INDEX(Staging!$O$2:$O$3001,$N454))</f>
      </c>
      <c r="M454">
        <f>IF($N454="","",INDEX(Staging!$P$2:$P$3001,$N454))</f>
      </c>
      <c r="N454">
        <f t="array" ref="N454">IFERROR(SMALL(IF(Staging!$E$2:$E$3001="MIPPL",ROW(Staging!$E$2:$E$3001)-ROW(Staging!$E$2)+1),453),"")</f>
      </c>
    </row>
    <row r="455" spans="1:14" x14ac:dyDescent="0.25">
      <c r="A455">
        <f>IF($N455="","",INDEX(Staging!$A$2:$A$3001,$N455))</f>
      </c>
      <c r="B455">
        <f>IF($N455="","",INDEX(Staging!$B$2:$B$3001,$N455))</f>
      </c>
      <c r="C455">
        <f>IF($N455="","",INDEX(Staging!$C$2:$C$3001,$N455))</f>
      </c>
      <c r="D455">
        <f>IF($N455="","",INDEX(Staging!$D$2:$D$3001,$N455))</f>
      </c>
      <c r="E455">
        <f>IF($N455="","",INDEX(Staging!$F$2:$F$3001,$N455))</f>
      </c>
      <c r="F455">
        <f>IF($N455="","",INDEX(Staging!$G$2:$G$3001,$N455))</f>
      </c>
      <c r="G455">
        <f>IF($N455="","",INDEX(Staging!$H$2:$H$3001,$N455))</f>
      </c>
      <c r="H455">
        <f>IF($N455="","",INDEX(Staging!$I$2:$I$3001,$N455))</f>
      </c>
      <c r="I455">
        <f>IF($N455="","",INDEX(Staging!$J$2:$J$3001,$N455))</f>
      </c>
      <c r="J455">
        <f>IF($N455="","",INDEX(Staging!$K$2:$K$3001,$N455))</f>
      </c>
      <c r="K455">
        <f>IF($N455="","",INDEX(Staging!$M$2:$M$3001,$N455))</f>
      </c>
      <c r="L455">
        <f>IF($N455="","",INDEX(Staging!$O$2:$O$3001,$N455))</f>
      </c>
      <c r="M455">
        <f>IF($N455="","",INDEX(Staging!$P$2:$P$3001,$N455))</f>
      </c>
      <c r="N455">
        <f t="array" ref="N455">IFERROR(SMALL(IF(Staging!$E$2:$E$3001="MIPPL",ROW(Staging!$E$2:$E$3001)-ROW(Staging!$E$2)+1),454),"")</f>
      </c>
    </row>
    <row r="456" spans="1:14" x14ac:dyDescent="0.25">
      <c r="A456">
        <f>IF($N456="","",INDEX(Staging!$A$2:$A$3001,$N456))</f>
      </c>
      <c r="B456">
        <f>IF($N456="","",INDEX(Staging!$B$2:$B$3001,$N456))</f>
      </c>
      <c r="C456">
        <f>IF($N456="","",INDEX(Staging!$C$2:$C$3001,$N456))</f>
      </c>
      <c r="D456">
        <f>IF($N456="","",INDEX(Staging!$D$2:$D$3001,$N456))</f>
      </c>
      <c r="E456">
        <f>IF($N456="","",INDEX(Staging!$F$2:$F$3001,$N456))</f>
      </c>
      <c r="F456">
        <f>IF($N456="","",INDEX(Staging!$G$2:$G$3001,$N456))</f>
      </c>
      <c r="G456">
        <f>IF($N456="","",INDEX(Staging!$H$2:$H$3001,$N456))</f>
      </c>
      <c r="H456">
        <f>IF($N456="","",INDEX(Staging!$I$2:$I$3001,$N456))</f>
      </c>
      <c r="I456">
        <f>IF($N456="","",INDEX(Staging!$J$2:$J$3001,$N456))</f>
      </c>
      <c r="J456">
        <f>IF($N456="","",INDEX(Staging!$K$2:$K$3001,$N456))</f>
      </c>
      <c r="K456">
        <f>IF($N456="","",INDEX(Staging!$M$2:$M$3001,$N456))</f>
      </c>
      <c r="L456">
        <f>IF($N456="","",INDEX(Staging!$O$2:$O$3001,$N456))</f>
      </c>
      <c r="M456">
        <f>IF($N456="","",INDEX(Staging!$P$2:$P$3001,$N456))</f>
      </c>
      <c r="N456">
        <f t="array" ref="N456">IFERROR(SMALL(IF(Staging!$E$2:$E$3001="MIPPL",ROW(Staging!$E$2:$E$3001)-ROW(Staging!$E$2)+1),455),"")</f>
      </c>
    </row>
    <row r="457" spans="1:14" x14ac:dyDescent="0.25">
      <c r="A457">
        <f>IF($N457="","",INDEX(Staging!$A$2:$A$3001,$N457))</f>
      </c>
      <c r="B457">
        <f>IF($N457="","",INDEX(Staging!$B$2:$B$3001,$N457))</f>
      </c>
      <c r="C457">
        <f>IF($N457="","",INDEX(Staging!$C$2:$C$3001,$N457))</f>
      </c>
      <c r="D457">
        <f>IF($N457="","",INDEX(Staging!$D$2:$D$3001,$N457))</f>
      </c>
      <c r="E457">
        <f>IF($N457="","",INDEX(Staging!$F$2:$F$3001,$N457))</f>
      </c>
      <c r="F457">
        <f>IF($N457="","",INDEX(Staging!$G$2:$G$3001,$N457))</f>
      </c>
      <c r="G457">
        <f>IF($N457="","",INDEX(Staging!$H$2:$H$3001,$N457))</f>
      </c>
      <c r="H457">
        <f>IF($N457="","",INDEX(Staging!$I$2:$I$3001,$N457))</f>
      </c>
      <c r="I457">
        <f>IF($N457="","",INDEX(Staging!$J$2:$J$3001,$N457))</f>
      </c>
      <c r="J457">
        <f>IF($N457="","",INDEX(Staging!$K$2:$K$3001,$N457))</f>
      </c>
      <c r="K457">
        <f>IF($N457="","",INDEX(Staging!$M$2:$M$3001,$N457))</f>
      </c>
      <c r="L457">
        <f>IF($N457="","",INDEX(Staging!$O$2:$O$3001,$N457))</f>
      </c>
      <c r="M457">
        <f>IF($N457="","",INDEX(Staging!$P$2:$P$3001,$N457))</f>
      </c>
      <c r="N457">
        <f t="array" ref="N457">IFERROR(SMALL(IF(Staging!$E$2:$E$3001="MIPPL",ROW(Staging!$E$2:$E$3001)-ROW(Staging!$E$2)+1),456),"")</f>
      </c>
    </row>
    <row r="458" spans="1:14" x14ac:dyDescent="0.25">
      <c r="A458">
        <f>IF($N458="","",INDEX(Staging!$A$2:$A$3001,$N458))</f>
      </c>
      <c r="B458">
        <f>IF($N458="","",INDEX(Staging!$B$2:$B$3001,$N458))</f>
      </c>
      <c r="C458">
        <f>IF($N458="","",INDEX(Staging!$C$2:$C$3001,$N458))</f>
      </c>
      <c r="D458">
        <f>IF($N458="","",INDEX(Staging!$D$2:$D$3001,$N458))</f>
      </c>
      <c r="E458">
        <f>IF($N458="","",INDEX(Staging!$F$2:$F$3001,$N458))</f>
      </c>
      <c r="F458">
        <f>IF($N458="","",INDEX(Staging!$G$2:$G$3001,$N458))</f>
      </c>
      <c r="G458">
        <f>IF($N458="","",INDEX(Staging!$H$2:$H$3001,$N458))</f>
      </c>
      <c r="H458">
        <f>IF($N458="","",INDEX(Staging!$I$2:$I$3001,$N458))</f>
      </c>
      <c r="I458">
        <f>IF($N458="","",INDEX(Staging!$J$2:$J$3001,$N458))</f>
      </c>
      <c r="J458">
        <f>IF($N458="","",INDEX(Staging!$K$2:$K$3001,$N458))</f>
      </c>
      <c r="K458">
        <f>IF($N458="","",INDEX(Staging!$M$2:$M$3001,$N458))</f>
      </c>
      <c r="L458">
        <f>IF($N458="","",INDEX(Staging!$O$2:$O$3001,$N458))</f>
      </c>
      <c r="M458">
        <f>IF($N458="","",INDEX(Staging!$P$2:$P$3001,$N458))</f>
      </c>
      <c r="N458">
        <f t="array" ref="N458">IFERROR(SMALL(IF(Staging!$E$2:$E$3001="MIPPL",ROW(Staging!$E$2:$E$3001)-ROW(Staging!$E$2)+1),457),"")</f>
      </c>
    </row>
    <row r="459" spans="1:14" x14ac:dyDescent="0.25">
      <c r="A459">
        <f>IF($N459="","",INDEX(Staging!$A$2:$A$3001,$N459))</f>
      </c>
      <c r="B459">
        <f>IF($N459="","",INDEX(Staging!$B$2:$B$3001,$N459))</f>
      </c>
      <c r="C459">
        <f>IF($N459="","",INDEX(Staging!$C$2:$C$3001,$N459))</f>
      </c>
      <c r="D459">
        <f>IF($N459="","",INDEX(Staging!$D$2:$D$3001,$N459))</f>
      </c>
      <c r="E459">
        <f>IF($N459="","",INDEX(Staging!$F$2:$F$3001,$N459))</f>
      </c>
      <c r="F459">
        <f>IF($N459="","",INDEX(Staging!$G$2:$G$3001,$N459))</f>
      </c>
      <c r="G459">
        <f>IF($N459="","",INDEX(Staging!$H$2:$H$3001,$N459))</f>
      </c>
      <c r="H459">
        <f>IF($N459="","",INDEX(Staging!$I$2:$I$3001,$N459))</f>
      </c>
      <c r="I459">
        <f>IF($N459="","",INDEX(Staging!$J$2:$J$3001,$N459))</f>
      </c>
      <c r="J459">
        <f>IF($N459="","",INDEX(Staging!$K$2:$K$3001,$N459))</f>
      </c>
      <c r="K459">
        <f>IF($N459="","",INDEX(Staging!$M$2:$M$3001,$N459))</f>
      </c>
      <c r="L459">
        <f>IF($N459="","",INDEX(Staging!$O$2:$O$3001,$N459))</f>
      </c>
      <c r="M459">
        <f>IF($N459="","",INDEX(Staging!$P$2:$P$3001,$N459))</f>
      </c>
      <c r="N459">
        <f t="array" ref="N459">IFERROR(SMALL(IF(Staging!$E$2:$E$3001="MIPPL",ROW(Staging!$E$2:$E$3001)-ROW(Staging!$E$2)+1),458),"")</f>
      </c>
    </row>
    <row r="460" spans="1:14" x14ac:dyDescent="0.25">
      <c r="A460">
        <f>IF($N460="","",INDEX(Staging!$A$2:$A$3001,$N460))</f>
      </c>
      <c r="B460">
        <f>IF($N460="","",INDEX(Staging!$B$2:$B$3001,$N460))</f>
      </c>
      <c r="C460">
        <f>IF($N460="","",INDEX(Staging!$C$2:$C$3001,$N460))</f>
      </c>
      <c r="D460">
        <f>IF($N460="","",INDEX(Staging!$D$2:$D$3001,$N460))</f>
      </c>
      <c r="E460">
        <f>IF($N460="","",INDEX(Staging!$F$2:$F$3001,$N460))</f>
      </c>
      <c r="F460">
        <f>IF($N460="","",INDEX(Staging!$G$2:$G$3001,$N460))</f>
      </c>
      <c r="G460">
        <f>IF($N460="","",INDEX(Staging!$H$2:$H$3001,$N460))</f>
      </c>
      <c r="H460">
        <f>IF($N460="","",INDEX(Staging!$I$2:$I$3001,$N460))</f>
      </c>
      <c r="I460">
        <f>IF($N460="","",INDEX(Staging!$J$2:$J$3001,$N460))</f>
      </c>
      <c r="J460">
        <f>IF($N460="","",INDEX(Staging!$K$2:$K$3001,$N460))</f>
      </c>
      <c r="K460">
        <f>IF($N460="","",INDEX(Staging!$M$2:$M$3001,$N460))</f>
      </c>
      <c r="L460">
        <f>IF($N460="","",INDEX(Staging!$O$2:$O$3001,$N460))</f>
      </c>
      <c r="M460">
        <f>IF($N460="","",INDEX(Staging!$P$2:$P$3001,$N460))</f>
      </c>
      <c r="N460">
        <f t="array" ref="N460">IFERROR(SMALL(IF(Staging!$E$2:$E$3001="MIPPL",ROW(Staging!$E$2:$E$3001)-ROW(Staging!$E$2)+1),459),"")</f>
      </c>
    </row>
    <row r="461" spans="1:14" x14ac:dyDescent="0.25">
      <c r="A461">
        <f>IF($N461="","",INDEX(Staging!$A$2:$A$3001,$N461))</f>
      </c>
      <c r="B461">
        <f>IF($N461="","",INDEX(Staging!$B$2:$B$3001,$N461))</f>
      </c>
      <c r="C461">
        <f>IF($N461="","",INDEX(Staging!$C$2:$C$3001,$N461))</f>
      </c>
      <c r="D461">
        <f>IF($N461="","",INDEX(Staging!$D$2:$D$3001,$N461))</f>
      </c>
      <c r="E461">
        <f>IF($N461="","",INDEX(Staging!$F$2:$F$3001,$N461))</f>
      </c>
      <c r="F461">
        <f>IF($N461="","",INDEX(Staging!$G$2:$G$3001,$N461))</f>
      </c>
      <c r="G461">
        <f>IF($N461="","",INDEX(Staging!$H$2:$H$3001,$N461))</f>
      </c>
      <c r="H461">
        <f>IF($N461="","",INDEX(Staging!$I$2:$I$3001,$N461))</f>
      </c>
      <c r="I461">
        <f>IF($N461="","",INDEX(Staging!$J$2:$J$3001,$N461))</f>
      </c>
      <c r="J461">
        <f>IF($N461="","",INDEX(Staging!$K$2:$K$3001,$N461))</f>
      </c>
      <c r="K461">
        <f>IF($N461="","",INDEX(Staging!$M$2:$M$3001,$N461))</f>
      </c>
      <c r="L461">
        <f>IF($N461="","",INDEX(Staging!$O$2:$O$3001,$N461))</f>
      </c>
      <c r="M461">
        <f>IF($N461="","",INDEX(Staging!$P$2:$P$3001,$N461))</f>
      </c>
      <c r="N461">
        <f t="array" ref="N461">IFERROR(SMALL(IF(Staging!$E$2:$E$3001="MIPPL",ROW(Staging!$E$2:$E$3001)-ROW(Staging!$E$2)+1),460),"")</f>
      </c>
    </row>
    <row r="462" spans="1:14" x14ac:dyDescent="0.25">
      <c r="A462">
        <f>IF($N462="","",INDEX(Staging!$A$2:$A$3001,$N462))</f>
      </c>
      <c r="B462">
        <f>IF($N462="","",INDEX(Staging!$B$2:$B$3001,$N462))</f>
      </c>
      <c r="C462">
        <f>IF($N462="","",INDEX(Staging!$C$2:$C$3001,$N462))</f>
      </c>
      <c r="D462">
        <f>IF($N462="","",INDEX(Staging!$D$2:$D$3001,$N462))</f>
      </c>
      <c r="E462">
        <f>IF($N462="","",INDEX(Staging!$F$2:$F$3001,$N462))</f>
      </c>
      <c r="F462">
        <f>IF($N462="","",INDEX(Staging!$G$2:$G$3001,$N462))</f>
      </c>
      <c r="G462">
        <f>IF($N462="","",INDEX(Staging!$H$2:$H$3001,$N462))</f>
      </c>
      <c r="H462">
        <f>IF($N462="","",INDEX(Staging!$I$2:$I$3001,$N462))</f>
      </c>
      <c r="I462">
        <f>IF($N462="","",INDEX(Staging!$J$2:$J$3001,$N462))</f>
      </c>
      <c r="J462">
        <f>IF($N462="","",INDEX(Staging!$K$2:$K$3001,$N462))</f>
      </c>
      <c r="K462">
        <f>IF($N462="","",INDEX(Staging!$M$2:$M$3001,$N462))</f>
      </c>
      <c r="L462">
        <f>IF($N462="","",INDEX(Staging!$O$2:$O$3001,$N462))</f>
      </c>
      <c r="M462">
        <f>IF($N462="","",INDEX(Staging!$P$2:$P$3001,$N462))</f>
      </c>
      <c r="N462">
        <f t="array" ref="N462">IFERROR(SMALL(IF(Staging!$E$2:$E$3001="MIPPL",ROW(Staging!$E$2:$E$3001)-ROW(Staging!$E$2)+1),461),"")</f>
      </c>
    </row>
    <row r="463" spans="1:14" x14ac:dyDescent="0.25">
      <c r="A463">
        <f>IF($N463="","",INDEX(Staging!$A$2:$A$3001,$N463))</f>
      </c>
      <c r="B463">
        <f>IF($N463="","",INDEX(Staging!$B$2:$B$3001,$N463))</f>
      </c>
      <c r="C463">
        <f>IF($N463="","",INDEX(Staging!$C$2:$C$3001,$N463))</f>
      </c>
      <c r="D463">
        <f>IF($N463="","",INDEX(Staging!$D$2:$D$3001,$N463))</f>
      </c>
      <c r="E463">
        <f>IF($N463="","",INDEX(Staging!$F$2:$F$3001,$N463))</f>
      </c>
      <c r="F463">
        <f>IF($N463="","",INDEX(Staging!$G$2:$G$3001,$N463))</f>
      </c>
      <c r="G463">
        <f>IF($N463="","",INDEX(Staging!$H$2:$H$3001,$N463))</f>
      </c>
      <c r="H463">
        <f>IF($N463="","",INDEX(Staging!$I$2:$I$3001,$N463))</f>
      </c>
      <c r="I463">
        <f>IF($N463="","",INDEX(Staging!$J$2:$J$3001,$N463))</f>
      </c>
      <c r="J463">
        <f>IF($N463="","",INDEX(Staging!$K$2:$K$3001,$N463))</f>
      </c>
      <c r="K463">
        <f>IF($N463="","",INDEX(Staging!$M$2:$M$3001,$N463))</f>
      </c>
      <c r="L463">
        <f>IF($N463="","",INDEX(Staging!$O$2:$O$3001,$N463))</f>
      </c>
      <c r="M463">
        <f>IF($N463="","",INDEX(Staging!$P$2:$P$3001,$N463))</f>
      </c>
      <c r="N463">
        <f t="array" ref="N463">IFERROR(SMALL(IF(Staging!$E$2:$E$3001="MIPPL",ROW(Staging!$E$2:$E$3001)-ROW(Staging!$E$2)+1),462),"")</f>
      </c>
    </row>
    <row r="464" spans="1:14" x14ac:dyDescent="0.25">
      <c r="A464">
        <f>IF($N464="","",INDEX(Staging!$A$2:$A$3001,$N464))</f>
      </c>
      <c r="B464">
        <f>IF($N464="","",INDEX(Staging!$B$2:$B$3001,$N464))</f>
      </c>
      <c r="C464">
        <f>IF($N464="","",INDEX(Staging!$C$2:$C$3001,$N464))</f>
      </c>
      <c r="D464">
        <f>IF($N464="","",INDEX(Staging!$D$2:$D$3001,$N464))</f>
      </c>
      <c r="E464">
        <f>IF($N464="","",INDEX(Staging!$F$2:$F$3001,$N464))</f>
      </c>
      <c r="F464">
        <f>IF($N464="","",INDEX(Staging!$G$2:$G$3001,$N464))</f>
      </c>
      <c r="G464">
        <f>IF($N464="","",INDEX(Staging!$H$2:$H$3001,$N464))</f>
      </c>
      <c r="H464">
        <f>IF($N464="","",INDEX(Staging!$I$2:$I$3001,$N464))</f>
      </c>
      <c r="I464">
        <f>IF($N464="","",INDEX(Staging!$J$2:$J$3001,$N464))</f>
      </c>
      <c r="J464">
        <f>IF($N464="","",INDEX(Staging!$K$2:$K$3001,$N464))</f>
      </c>
      <c r="K464">
        <f>IF($N464="","",INDEX(Staging!$M$2:$M$3001,$N464))</f>
      </c>
      <c r="L464">
        <f>IF($N464="","",INDEX(Staging!$O$2:$O$3001,$N464))</f>
      </c>
      <c r="M464">
        <f>IF($N464="","",INDEX(Staging!$P$2:$P$3001,$N464))</f>
      </c>
      <c r="N464">
        <f t="array" ref="N464">IFERROR(SMALL(IF(Staging!$E$2:$E$3001="MIPPL",ROW(Staging!$E$2:$E$3001)-ROW(Staging!$E$2)+1),463),"")</f>
      </c>
    </row>
    <row r="465" spans="1:14" x14ac:dyDescent="0.25">
      <c r="A465">
        <f>IF($N465="","",INDEX(Staging!$A$2:$A$3001,$N465))</f>
      </c>
      <c r="B465">
        <f>IF($N465="","",INDEX(Staging!$B$2:$B$3001,$N465))</f>
      </c>
      <c r="C465">
        <f>IF($N465="","",INDEX(Staging!$C$2:$C$3001,$N465))</f>
      </c>
      <c r="D465">
        <f>IF($N465="","",INDEX(Staging!$D$2:$D$3001,$N465))</f>
      </c>
      <c r="E465">
        <f>IF($N465="","",INDEX(Staging!$F$2:$F$3001,$N465))</f>
      </c>
      <c r="F465">
        <f>IF($N465="","",INDEX(Staging!$G$2:$G$3001,$N465))</f>
      </c>
      <c r="G465">
        <f>IF($N465="","",INDEX(Staging!$H$2:$H$3001,$N465))</f>
      </c>
      <c r="H465">
        <f>IF($N465="","",INDEX(Staging!$I$2:$I$3001,$N465))</f>
      </c>
      <c r="I465">
        <f>IF($N465="","",INDEX(Staging!$J$2:$J$3001,$N465))</f>
      </c>
      <c r="J465">
        <f>IF($N465="","",INDEX(Staging!$K$2:$K$3001,$N465))</f>
      </c>
      <c r="K465">
        <f>IF($N465="","",INDEX(Staging!$M$2:$M$3001,$N465))</f>
      </c>
      <c r="L465">
        <f>IF($N465="","",INDEX(Staging!$O$2:$O$3001,$N465))</f>
      </c>
      <c r="M465">
        <f>IF($N465="","",INDEX(Staging!$P$2:$P$3001,$N465))</f>
      </c>
      <c r="N465">
        <f t="array" ref="N465">IFERROR(SMALL(IF(Staging!$E$2:$E$3001="MIPPL",ROW(Staging!$E$2:$E$3001)-ROW(Staging!$E$2)+1),464),"")</f>
      </c>
    </row>
    <row r="466" spans="1:14" x14ac:dyDescent="0.25">
      <c r="A466">
        <f>IF($N466="","",INDEX(Staging!$A$2:$A$3001,$N466))</f>
      </c>
      <c r="B466">
        <f>IF($N466="","",INDEX(Staging!$B$2:$B$3001,$N466))</f>
      </c>
      <c r="C466">
        <f>IF($N466="","",INDEX(Staging!$C$2:$C$3001,$N466))</f>
      </c>
      <c r="D466">
        <f>IF($N466="","",INDEX(Staging!$D$2:$D$3001,$N466))</f>
      </c>
      <c r="E466">
        <f>IF($N466="","",INDEX(Staging!$F$2:$F$3001,$N466))</f>
      </c>
      <c r="F466">
        <f>IF($N466="","",INDEX(Staging!$G$2:$G$3001,$N466))</f>
      </c>
      <c r="G466">
        <f>IF($N466="","",INDEX(Staging!$H$2:$H$3001,$N466))</f>
      </c>
      <c r="H466">
        <f>IF($N466="","",INDEX(Staging!$I$2:$I$3001,$N466))</f>
      </c>
      <c r="I466">
        <f>IF($N466="","",INDEX(Staging!$J$2:$J$3001,$N466))</f>
      </c>
      <c r="J466">
        <f>IF($N466="","",INDEX(Staging!$K$2:$K$3001,$N466))</f>
      </c>
      <c r="K466">
        <f>IF($N466="","",INDEX(Staging!$M$2:$M$3001,$N466))</f>
      </c>
      <c r="L466">
        <f>IF($N466="","",INDEX(Staging!$O$2:$O$3001,$N466))</f>
      </c>
      <c r="M466">
        <f>IF($N466="","",INDEX(Staging!$P$2:$P$3001,$N466))</f>
      </c>
      <c r="N466">
        <f t="array" ref="N466">IFERROR(SMALL(IF(Staging!$E$2:$E$3001="MIPPL",ROW(Staging!$E$2:$E$3001)-ROW(Staging!$E$2)+1),465),"")</f>
      </c>
    </row>
    <row r="467" spans="1:14" x14ac:dyDescent="0.25">
      <c r="A467">
        <f>IF($N467="","",INDEX(Staging!$A$2:$A$3001,$N467))</f>
      </c>
      <c r="B467">
        <f>IF($N467="","",INDEX(Staging!$B$2:$B$3001,$N467))</f>
      </c>
      <c r="C467">
        <f>IF($N467="","",INDEX(Staging!$C$2:$C$3001,$N467))</f>
      </c>
      <c r="D467">
        <f>IF($N467="","",INDEX(Staging!$D$2:$D$3001,$N467))</f>
      </c>
      <c r="E467">
        <f>IF($N467="","",INDEX(Staging!$F$2:$F$3001,$N467))</f>
      </c>
      <c r="F467">
        <f>IF($N467="","",INDEX(Staging!$G$2:$G$3001,$N467))</f>
      </c>
      <c r="G467">
        <f>IF($N467="","",INDEX(Staging!$H$2:$H$3001,$N467))</f>
      </c>
      <c r="H467">
        <f>IF($N467="","",INDEX(Staging!$I$2:$I$3001,$N467))</f>
      </c>
      <c r="I467">
        <f>IF($N467="","",INDEX(Staging!$J$2:$J$3001,$N467))</f>
      </c>
      <c r="J467">
        <f>IF($N467="","",INDEX(Staging!$K$2:$K$3001,$N467))</f>
      </c>
      <c r="K467">
        <f>IF($N467="","",INDEX(Staging!$M$2:$M$3001,$N467))</f>
      </c>
      <c r="L467">
        <f>IF($N467="","",INDEX(Staging!$O$2:$O$3001,$N467))</f>
      </c>
      <c r="M467">
        <f>IF($N467="","",INDEX(Staging!$P$2:$P$3001,$N467))</f>
      </c>
      <c r="N467">
        <f t="array" ref="N467">IFERROR(SMALL(IF(Staging!$E$2:$E$3001="MIPPL",ROW(Staging!$E$2:$E$3001)-ROW(Staging!$E$2)+1),466),"")</f>
      </c>
    </row>
    <row r="468" spans="1:14" x14ac:dyDescent="0.25">
      <c r="A468">
        <f>IF($N468="","",INDEX(Staging!$A$2:$A$3001,$N468))</f>
      </c>
      <c r="B468">
        <f>IF($N468="","",INDEX(Staging!$B$2:$B$3001,$N468))</f>
      </c>
      <c r="C468">
        <f>IF($N468="","",INDEX(Staging!$C$2:$C$3001,$N468))</f>
      </c>
      <c r="D468">
        <f>IF($N468="","",INDEX(Staging!$D$2:$D$3001,$N468))</f>
      </c>
      <c r="E468">
        <f>IF($N468="","",INDEX(Staging!$F$2:$F$3001,$N468))</f>
      </c>
      <c r="F468">
        <f>IF($N468="","",INDEX(Staging!$G$2:$G$3001,$N468))</f>
      </c>
      <c r="G468">
        <f>IF($N468="","",INDEX(Staging!$H$2:$H$3001,$N468))</f>
      </c>
      <c r="H468">
        <f>IF($N468="","",INDEX(Staging!$I$2:$I$3001,$N468))</f>
      </c>
      <c r="I468">
        <f>IF($N468="","",INDEX(Staging!$J$2:$J$3001,$N468))</f>
      </c>
      <c r="J468">
        <f>IF($N468="","",INDEX(Staging!$K$2:$K$3001,$N468))</f>
      </c>
      <c r="K468">
        <f>IF($N468="","",INDEX(Staging!$M$2:$M$3001,$N468))</f>
      </c>
      <c r="L468">
        <f>IF($N468="","",INDEX(Staging!$O$2:$O$3001,$N468))</f>
      </c>
      <c r="M468">
        <f>IF($N468="","",INDEX(Staging!$P$2:$P$3001,$N468))</f>
      </c>
      <c r="N468">
        <f t="array" ref="N468">IFERROR(SMALL(IF(Staging!$E$2:$E$3001="MIPPL",ROW(Staging!$E$2:$E$3001)-ROW(Staging!$E$2)+1),467),"")</f>
      </c>
    </row>
    <row r="469" spans="1:14" x14ac:dyDescent="0.25">
      <c r="A469">
        <f>IF($N469="","",INDEX(Staging!$A$2:$A$3001,$N469))</f>
      </c>
      <c r="B469">
        <f>IF($N469="","",INDEX(Staging!$B$2:$B$3001,$N469))</f>
      </c>
      <c r="C469">
        <f>IF($N469="","",INDEX(Staging!$C$2:$C$3001,$N469))</f>
      </c>
      <c r="D469">
        <f>IF($N469="","",INDEX(Staging!$D$2:$D$3001,$N469))</f>
      </c>
      <c r="E469">
        <f>IF($N469="","",INDEX(Staging!$F$2:$F$3001,$N469))</f>
      </c>
      <c r="F469">
        <f>IF($N469="","",INDEX(Staging!$G$2:$G$3001,$N469))</f>
      </c>
      <c r="G469">
        <f>IF($N469="","",INDEX(Staging!$H$2:$H$3001,$N469))</f>
      </c>
      <c r="H469">
        <f>IF($N469="","",INDEX(Staging!$I$2:$I$3001,$N469))</f>
      </c>
      <c r="I469">
        <f>IF($N469="","",INDEX(Staging!$J$2:$J$3001,$N469))</f>
      </c>
      <c r="J469">
        <f>IF($N469="","",INDEX(Staging!$K$2:$K$3001,$N469))</f>
      </c>
      <c r="K469">
        <f>IF($N469="","",INDEX(Staging!$M$2:$M$3001,$N469))</f>
      </c>
      <c r="L469">
        <f>IF($N469="","",INDEX(Staging!$O$2:$O$3001,$N469))</f>
      </c>
      <c r="M469">
        <f>IF($N469="","",INDEX(Staging!$P$2:$P$3001,$N469))</f>
      </c>
      <c r="N469">
        <f t="array" ref="N469">IFERROR(SMALL(IF(Staging!$E$2:$E$3001="MIPPL",ROW(Staging!$E$2:$E$3001)-ROW(Staging!$E$2)+1),468),"")</f>
      </c>
    </row>
    <row r="470" spans="1:14" x14ac:dyDescent="0.25">
      <c r="A470">
        <f>IF($N470="","",INDEX(Staging!$A$2:$A$3001,$N470))</f>
      </c>
      <c r="B470">
        <f>IF($N470="","",INDEX(Staging!$B$2:$B$3001,$N470))</f>
      </c>
      <c r="C470">
        <f>IF($N470="","",INDEX(Staging!$C$2:$C$3001,$N470))</f>
      </c>
      <c r="D470">
        <f>IF($N470="","",INDEX(Staging!$D$2:$D$3001,$N470))</f>
      </c>
      <c r="E470">
        <f>IF($N470="","",INDEX(Staging!$F$2:$F$3001,$N470))</f>
      </c>
      <c r="F470">
        <f>IF($N470="","",INDEX(Staging!$G$2:$G$3001,$N470))</f>
      </c>
      <c r="G470">
        <f>IF($N470="","",INDEX(Staging!$H$2:$H$3001,$N470))</f>
      </c>
      <c r="H470">
        <f>IF($N470="","",INDEX(Staging!$I$2:$I$3001,$N470))</f>
      </c>
      <c r="I470">
        <f>IF($N470="","",INDEX(Staging!$J$2:$J$3001,$N470))</f>
      </c>
      <c r="J470">
        <f>IF($N470="","",INDEX(Staging!$K$2:$K$3001,$N470))</f>
      </c>
      <c r="K470">
        <f>IF($N470="","",INDEX(Staging!$M$2:$M$3001,$N470))</f>
      </c>
      <c r="L470">
        <f>IF($N470="","",INDEX(Staging!$O$2:$O$3001,$N470))</f>
      </c>
      <c r="M470">
        <f>IF($N470="","",INDEX(Staging!$P$2:$P$3001,$N470))</f>
      </c>
      <c r="N470">
        <f t="array" ref="N470">IFERROR(SMALL(IF(Staging!$E$2:$E$3001="MIPPL",ROW(Staging!$E$2:$E$3001)-ROW(Staging!$E$2)+1),469),"")</f>
      </c>
    </row>
    <row r="471" spans="1:14" x14ac:dyDescent="0.25">
      <c r="A471">
        <f>IF($N471="","",INDEX(Staging!$A$2:$A$3001,$N471))</f>
      </c>
      <c r="B471">
        <f>IF($N471="","",INDEX(Staging!$B$2:$B$3001,$N471))</f>
      </c>
      <c r="C471">
        <f>IF($N471="","",INDEX(Staging!$C$2:$C$3001,$N471))</f>
      </c>
      <c r="D471">
        <f>IF($N471="","",INDEX(Staging!$D$2:$D$3001,$N471))</f>
      </c>
      <c r="E471">
        <f>IF($N471="","",INDEX(Staging!$F$2:$F$3001,$N471))</f>
      </c>
      <c r="F471">
        <f>IF($N471="","",INDEX(Staging!$G$2:$G$3001,$N471))</f>
      </c>
      <c r="G471">
        <f>IF($N471="","",INDEX(Staging!$H$2:$H$3001,$N471))</f>
      </c>
      <c r="H471">
        <f>IF($N471="","",INDEX(Staging!$I$2:$I$3001,$N471))</f>
      </c>
      <c r="I471">
        <f>IF($N471="","",INDEX(Staging!$J$2:$J$3001,$N471))</f>
      </c>
      <c r="J471">
        <f>IF($N471="","",INDEX(Staging!$K$2:$K$3001,$N471))</f>
      </c>
      <c r="K471">
        <f>IF($N471="","",INDEX(Staging!$M$2:$M$3001,$N471))</f>
      </c>
      <c r="L471">
        <f>IF($N471="","",INDEX(Staging!$O$2:$O$3001,$N471))</f>
      </c>
      <c r="M471">
        <f>IF($N471="","",INDEX(Staging!$P$2:$P$3001,$N471))</f>
      </c>
      <c r="N471">
        <f t="array" ref="N471">IFERROR(SMALL(IF(Staging!$E$2:$E$3001="MIPPL",ROW(Staging!$E$2:$E$3001)-ROW(Staging!$E$2)+1),470),"")</f>
      </c>
    </row>
    <row r="472" spans="1:14" x14ac:dyDescent="0.25">
      <c r="A472">
        <f>IF($N472="","",INDEX(Staging!$A$2:$A$3001,$N472))</f>
      </c>
      <c r="B472">
        <f>IF($N472="","",INDEX(Staging!$B$2:$B$3001,$N472))</f>
      </c>
      <c r="C472">
        <f>IF($N472="","",INDEX(Staging!$C$2:$C$3001,$N472))</f>
      </c>
      <c r="D472">
        <f>IF($N472="","",INDEX(Staging!$D$2:$D$3001,$N472))</f>
      </c>
      <c r="E472">
        <f>IF($N472="","",INDEX(Staging!$F$2:$F$3001,$N472))</f>
      </c>
      <c r="F472">
        <f>IF($N472="","",INDEX(Staging!$G$2:$G$3001,$N472))</f>
      </c>
      <c r="G472">
        <f>IF($N472="","",INDEX(Staging!$H$2:$H$3001,$N472))</f>
      </c>
      <c r="H472">
        <f>IF($N472="","",INDEX(Staging!$I$2:$I$3001,$N472))</f>
      </c>
      <c r="I472">
        <f>IF($N472="","",INDEX(Staging!$J$2:$J$3001,$N472))</f>
      </c>
      <c r="J472">
        <f>IF($N472="","",INDEX(Staging!$K$2:$K$3001,$N472))</f>
      </c>
      <c r="K472">
        <f>IF($N472="","",INDEX(Staging!$M$2:$M$3001,$N472))</f>
      </c>
      <c r="L472">
        <f>IF($N472="","",INDEX(Staging!$O$2:$O$3001,$N472))</f>
      </c>
      <c r="M472">
        <f>IF($N472="","",INDEX(Staging!$P$2:$P$3001,$N472))</f>
      </c>
      <c r="N472">
        <f t="array" ref="N472">IFERROR(SMALL(IF(Staging!$E$2:$E$3001="MIPPL",ROW(Staging!$E$2:$E$3001)-ROW(Staging!$E$2)+1),471),"")</f>
      </c>
    </row>
    <row r="473" spans="1:14" x14ac:dyDescent="0.25">
      <c r="A473">
        <f>IF($N473="","",INDEX(Staging!$A$2:$A$3001,$N473))</f>
      </c>
      <c r="B473">
        <f>IF($N473="","",INDEX(Staging!$B$2:$B$3001,$N473))</f>
      </c>
      <c r="C473">
        <f>IF($N473="","",INDEX(Staging!$C$2:$C$3001,$N473))</f>
      </c>
      <c r="D473">
        <f>IF($N473="","",INDEX(Staging!$D$2:$D$3001,$N473))</f>
      </c>
      <c r="E473">
        <f>IF($N473="","",INDEX(Staging!$F$2:$F$3001,$N473))</f>
      </c>
      <c r="F473">
        <f>IF($N473="","",INDEX(Staging!$G$2:$G$3001,$N473))</f>
      </c>
      <c r="G473">
        <f>IF($N473="","",INDEX(Staging!$H$2:$H$3001,$N473))</f>
      </c>
      <c r="H473">
        <f>IF($N473="","",INDEX(Staging!$I$2:$I$3001,$N473))</f>
      </c>
      <c r="I473">
        <f>IF($N473="","",INDEX(Staging!$J$2:$J$3001,$N473))</f>
      </c>
      <c r="J473">
        <f>IF($N473="","",INDEX(Staging!$K$2:$K$3001,$N473))</f>
      </c>
      <c r="K473">
        <f>IF($N473="","",INDEX(Staging!$M$2:$M$3001,$N473))</f>
      </c>
      <c r="L473">
        <f>IF($N473="","",INDEX(Staging!$O$2:$O$3001,$N473))</f>
      </c>
      <c r="M473">
        <f>IF($N473="","",INDEX(Staging!$P$2:$P$3001,$N473))</f>
      </c>
      <c r="N473">
        <f t="array" ref="N473">IFERROR(SMALL(IF(Staging!$E$2:$E$3001="MIPPL",ROW(Staging!$E$2:$E$3001)-ROW(Staging!$E$2)+1),472),"")</f>
      </c>
    </row>
    <row r="474" spans="1:14" x14ac:dyDescent="0.25">
      <c r="A474">
        <f>IF($N474="","",INDEX(Staging!$A$2:$A$3001,$N474))</f>
      </c>
      <c r="B474">
        <f>IF($N474="","",INDEX(Staging!$B$2:$B$3001,$N474))</f>
      </c>
      <c r="C474">
        <f>IF($N474="","",INDEX(Staging!$C$2:$C$3001,$N474))</f>
      </c>
      <c r="D474">
        <f>IF($N474="","",INDEX(Staging!$D$2:$D$3001,$N474))</f>
      </c>
      <c r="E474">
        <f>IF($N474="","",INDEX(Staging!$F$2:$F$3001,$N474))</f>
      </c>
      <c r="F474">
        <f>IF($N474="","",INDEX(Staging!$G$2:$G$3001,$N474))</f>
      </c>
      <c r="G474">
        <f>IF($N474="","",INDEX(Staging!$H$2:$H$3001,$N474))</f>
      </c>
      <c r="H474">
        <f>IF($N474="","",INDEX(Staging!$I$2:$I$3001,$N474))</f>
      </c>
      <c r="I474">
        <f>IF($N474="","",INDEX(Staging!$J$2:$J$3001,$N474))</f>
      </c>
      <c r="J474">
        <f>IF($N474="","",INDEX(Staging!$K$2:$K$3001,$N474))</f>
      </c>
      <c r="K474">
        <f>IF($N474="","",INDEX(Staging!$M$2:$M$3001,$N474))</f>
      </c>
      <c r="L474">
        <f>IF($N474="","",INDEX(Staging!$O$2:$O$3001,$N474))</f>
      </c>
      <c r="M474">
        <f>IF($N474="","",INDEX(Staging!$P$2:$P$3001,$N474))</f>
      </c>
      <c r="N474">
        <f t="array" ref="N474">IFERROR(SMALL(IF(Staging!$E$2:$E$3001="MIPPL",ROW(Staging!$E$2:$E$3001)-ROW(Staging!$E$2)+1),473),"")</f>
      </c>
    </row>
    <row r="475" spans="1:14" x14ac:dyDescent="0.25">
      <c r="A475">
        <f>IF($N475="","",INDEX(Staging!$A$2:$A$3001,$N475))</f>
      </c>
      <c r="B475">
        <f>IF($N475="","",INDEX(Staging!$B$2:$B$3001,$N475))</f>
      </c>
      <c r="C475">
        <f>IF($N475="","",INDEX(Staging!$C$2:$C$3001,$N475))</f>
      </c>
      <c r="D475">
        <f>IF($N475="","",INDEX(Staging!$D$2:$D$3001,$N475))</f>
      </c>
      <c r="E475">
        <f>IF($N475="","",INDEX(Staging!$F$2:$F$3001,$N475))</f>
      </c>
      <c r="F475">
        <f>IF($N475="","",INDEX(Staging!$G$2:$G$3001,$N475))</f>
      </c>
      <c r="G475">
        <f>IF($N475="","",INDEX(Staging!$H$2:$H$3001,$N475))</f>
      </c>
      <c r="H475">
        <f>IF($N475="","",INDEX(Staging!$I$2:$I$3001,$N475))</f>
      </c>
      <c r="I475">
        <f>IF($N475="","",INDEX(Staging!$J$2:$J$3001,$N475))</f>
      </c>
      <c r="J475">
        <f>IF($N475="","",INDEX(Staging!$K$2:$K$3001,$N475))</f>
      </c>
      <c r="K475">
        <f>IF($N475="","",INDEX(Staging!$M$2:$M$3001,$N475))</f>
      </c>
      <c r="L475">
        <f>IF($N475="","",INDEX(Staging!$O$2:$O$3001,$N475))</f>
      </c>
      <c r="M475">
        <f>IF($N475="","",INDEX(Staging!$P$2:$P$3001,$N475))</f>
      </c>
      <c r="N475">
        <f t="array" ref="N475">IFERROR(SMALL(IF(Staging!$E$2:$E$3001="MIPPL",ROW(Staging!$E$2:$E$3001)-ROW(Staging!$E$2)+1),474),"")</f>
      </c>
    </row>
    <row r="476" spans="1:14" x14ac:dyDescent="0.25">
      <c r="A476">
        <f>IF($N476="","",INDEX(Staging!$A$2:$A$3001,$N476))</f>
      </c>
      <c r="B476">
        <f>IF($N476="","",INDEX(Staging!$B$2:$B$3001,$N476))</f>
      </c>
      <c r="C476">
        <f>IF($N476="","",INDEX(Staging!$C$2:$C$3001,$N476))</f>
      </c>
      <c r="D476">
        <f>IF($N476="","",INDEX(Staging!$D$2:$D$3001,$N476))</f>
      </c>
      <c r="E476">
        <f>IF($N476="","",INDEX(Staging!$F$2:$F$3001,$N476))</f>
      </c>
      <c r="F476">
        <f>IF($N476="","",INDEX(Staging!$G$2:$G$3001,$N476))</f>
      </c>
      <c r="G476">
        <f>IF($N476="","",INDEX(Staging!$H$2:$H$3001,$N476))</f>
      </c>
      <c r="H476">
        <f>IF($N476="","",INDEX(Staging!$I$2:$I$3001,$N476))</f>
      </c>
      <c r="I476">
        <f>IF($N476="","",INDEX(Staging!$J$2:$J$3001,$N476))</f>
      </c>
      <c r="J476">
        <f>IF($N476="","",INDEX(Staging!$K$2:$K$3001,$N476))</f>
      </c>
      <c r="K476">
        <f>IF($N476="","",INDEX(Staging!$M$2:$M$3001,$N476))</f>
      </c>
      <c r="L476">
        <f>IF($N476="","",INDEX(Staging!$O$2:$O$3001,$N476))</f>
      </c>
      <c r="M476">
        <f>IF($N476="","",INDEX(Staging!$P$2:$P$3001,$N476))</f>
      </c>
      <c r="N476">
        <f t="array" ref="N476">IFERROR(SMALL(IF(Staging!$E$2:$E$3001="MIPPL",ROW(Staging!$E$2:$E$3001)-ROW(Staging!$E$2)+1),475),"")</f>
      </c>
    </row>
    <row r="477" spans="1:14" x14ac:dyDescent="0.25">
      <c r="A477">
        <f>IF($N477="","",INDEX(Staging!$A$2:$A$3001,$N477))</f>
      </c>
      <c r="B477">
        <f>IF($N477="","",INDEX(Staging!$B$2:$B$3001,$N477))</f>
      </c>
      <c r="C477">
        <f>IF($N477="","",INDEX(Staging!$C$2:$C$3001,$N477))</f>
      </c>
      <c r="D477">
        <f>IF($N477="","",INDEX(Staging!$D$2:$D$3001,$N477))</f>
      </c>
      <c r="E477">
        <f>IF($N477="","",INDEX(Staging!$F$2:$F$3001,$N477))</f>
      </c>
      <c r="F477">
        <f>IF($N477="","",INDEX(Staging!$G$2:$G$3001,$N477))</f>
      </c>
      <c r="G477">
        <f>IF($N477="","",INDEX(Staging!$H$2:$H$3001,$N477))</f>
      </c>
      <c r="H477">
        <f>IF($N477="","",INDEX(Staging!$I$2:$I$3001,$N477))</f>
      </c>
      <c r="I477">
        <f>IF($N477="","",INDEX(Staging!$J$2:$J$3001,$N477))</f>
      </c>
      <c r="J477">
        <f>IF($N477="","",INDEX(Staging!$K$2:$K$3001,$N477))</f>
      </c>
      <c r="K477">
        <f>IF($N477="","",INDEX(Staging!$M$2:$M$3001,$N477))</f>
      </c>
      <c r="L477">
        <f>IF($N477="","",INDEX(Staging!$O$2:$O$3001,$N477))</f>
      </c>
      <c r="M477">
        <f>IF($N477="","",INDEX(Staging!$P$2:$P$3001,$N477))</f>
      </c>
      <c r="N477">
        <f t="array" ref="N477">IFERROR(SMALL(IF(Staging!$E$2:$E$3001="MIPPL",ROW(Staging!$E$2:$E$3001)-ROW(Staging!$E$2)+1),476),"")</f>
      </c>
    </row>
    <row r="478" spans="1:14" x14ac:dyDescent="0.25">
      <c r="A478">
        <f>IF($N478="","",INDEX(Staging!$A$2:$A$3001,$N478))</f>
      </c>
      <c r="B478">
        <f>IF($N478="","",INDEX(Staging!$B$2:$B$3001,$N478))</f>
      </c>
      <c r="C478">
        <f>IF($N478="","",INDEX(Staging!$C$2:$C$3001,$N478))</f>
      </c>
      <c r="D478">
        <f>IF($N478="","",INDEX(Staging!$D$2:$D$3001,$N478))</f>
      </c>
      <c r="E478">
        <f>IF($N478="","",INDEX(Staging!$F$2:$F$3001,$N478))</f>
      </c>
      <c r="F478">
        <f>IF($N478="","",INDEX(Staging!$G$2:$G$3001,$N478))</f>
      </c>
      <c r="G478">
        <f>IF($N478="","",INDEX(Staging!$H$2:$H$3001,$N478))</f>
      </c>
      <c r="H478">
        <f>IF($N478="","",INDEX(Staging!$I$2:$I$3001,$N478))</f>
      </c>
      <c r="I478">
        <f>IF($N478="","",INDEX(Staging!$J$2:$J$3001,$N478))</f>
      </c>
      <c r="J478">
        <f>IF($N478="","",INDEX(Staging!$K$2:$K$3001,$N478))</f>
      </c>
      <c r="K478">
        <f>IF($N478="","",INDEX(Staging!$M$2:$M$3001,$N478))</f>
      </c>
      <c r="L478">
        <f>IF($N478="","",INDEX(Staging!$O$2:$O$3001,$N478))</f>
      </c>
      <c r="M478">
        <f>IF($N478="","",INDEX(Staging!$P$2:$P$3001,$N478))</f>
      </c>
      <c r="N478">
        <f t="array" ref="N478">IFERROR(SMALL(IF(Staging!$E$2:$E$3001="MIPPL",ROW(Staging!$E$2:$E$3001)-ROW(Staging!$E$2)+1),477),"")</f>
      </c>
    </row>
    <row r="479" spans="1:14" x14ac:dyDescent="0.25">
      <c r="A479">
        <f>IF($N479="","",INDEX(Staging!$A$2:$A$3001,$N479))</f>
      </c>
      <c r="B479">
        <f>IF($N479="","",INDEX(Staging!$B$2:$B$3001,$N479))</f>
      </c>
      <c r="C479">
        <f>IF($N479="","",INDEX(Staging!$C$2:$C$3001,$N479))</f>
      </c>
      <c r="D479">
        <f>IF($N479="","",INDEX(Staging!$D$2:$D$3001,$N479))</f>
      </c>
      <c r="E479">
        <f>IF($N479="","",INDEX(Staging!$F$2:$F$3001,$N479))</f>
      </c>
      <c r="F479">
        <f>IF($N479="","",INDEX(Staging!$G$2:$G$3001,$N479))</f>
      </c>
      <c r="G479">
        <f>IF($N479="","",INDEX(Staging!$H$2:$H$3001,$N479))</f>
      </c>
      <c r="H479">
        <f>IF($N479="","",INDEX(Staging!$I$2:$I$3001,$N479))</f>
      </c>
      <c r="I479">
        <f>IF($N479="","",INDEX(Staging!$J$2:$J$3001,$N479))</f>
      </c>
      <c r="J479">
        <f>IF($N479="","",INDEX(Staging!$K$2:$K$3001,$N479))</f>
      </c>
      <c r="K479">
        <f>IF($N479="","",INDEX(Staging!$M$2:$M$3001,$N479))</f>
      </c>
      <c r="L479">
        <f>IF($N479="","",INDEX(Staging!$O$2:$O$3001,$N479))</f>
      </c>
      <c r="M479">
        <f>IF($N479="","",INDEX(Staging!$P$2:$P$3001,$N479))</f>
      </c>
      <c r="N479">
        <f t="array" ref="N479">IFERROR(SMALL(IF(Staging!$E$2:$E$3001="MIPPL",ROW(Staging!$E$2:$E$3001)-ROW(Staging!$E$2)+1),478),"")</f>
      </c>
    </row>
    <row r="480" spans="1:14" x14ac:dyDescent="0.25">
      <c r="A480">
        <f>IF($N480="","",INDEX(Staging!$A$2:$A$3001,$N480))</f>
      </c>
      <c r="B480">
        <f>IF($N480="","",INDEX(Staging!$B$2:$B$3001,$N480))</f>
      </c>
      <c r="C480">
        <f>IF($N480="","",INDEX(Staging!$C$2:$C$3001,$N480))</f>
      </c>
      <c r="D480">
        <f>IF($N480="","",INDEX(Staging!$D$2:$D$3001,$N480))</f>
      </c>
      <c r="E480">
        <f>IF($N480="","",INDEX(Staging!$F$2:$F$3001,$N480))</f>
      </c>
      <c r="F480">
        <f>IF($N480="","",INDEX(Staging!$G$2:$G$3001,$N480))</f>
      </c>
      <c r="G480">
        <f>IF($N480="","",INDEX(Staging!$H$2:$H$3001,$N480))</f>
      </c>
      <c r="H480">
        <f>IF($N480="","",INDEX(Staging!$I$2:$I$3001,$N480))</f>
      </c>
      <c r="I480">
        <f>IF($N480="","",INDEX(Staging!$J$2:$J$3001,$N480))</f>
      </c>
      <c r="J480">
        <f>IF($N480="","",INDEX(Staging!$K$2:$K$3001,$N480))</f>
      </c>
      <c r="K480">
        <f>IF($N480="","",INDEX(Staging!$M$2:$M$3001,$N480))</f>
      </c>
      <c r="L480">
        <f>IF($N480="","",INDEX(Staging!$O$2:$O$3001,$N480))</f>
      </c>
      <c r="M480">
        <f>IF($N480="","",INDEX(Staging!$P$2:$P$3001,$N480))</f>
      </c>
      <c r="N480">
        <f t="array" ref="N480">IFERROR(SMALL(IF(Staging!$E$2:$E$3001="MIPPL",ROW(Staging!$E$2:$E$3001)-ROW(Staging!$E$2)+1),479),"")</f>
      </c>
    </row>
    <row r="481" spans="1:14" x14ac:dyDescent="0.25">
      <c r="A481">
        <f>IF($N481="","",INDEX(Staging!$A$2:$A$3001,$N481))</f>
      </c>
      <c r="B481">
        <f>IF($N481="","",INDEX(Staging!$B$2:$B$3001,$N481))</f>
      </c>
      <c r="C481">
        <f>IF($N481="","",INDEX(Staging!$C$2:$C$3001,$N481))</f>
      </c>
      <c r="D481">
        <f>IF($N481="","",INDEX(Staging!$D$2:$D$3001,$N481))</f>
      </c>
      <c r="E481">
        <f>IF($N481="","",INDEX(Staging!$F$2:$F$3001,$N481))</f>
      </c>
      <c r="F481">
        <f>IF($N481="","",INDEX(Staging!$G$2:$G$3001,$N481))</f>
      </c>
      <c r="G481">
        <f>IF($N481="","",INDEX(Staging!$H$2:$H$3001,$N481))</f>
      </c>
      <c r="H481">
        <f>IF($N481="","",INDEX(Staging!$I$2:$I$3001,$N481))</f>
      </c>
      <c r="I481">
        <f>IF($N481="","",INDEX(Staging!$J$2:$J$3001,$N481))</f>
      </c>
      <c r="J481">
        <f>IF($N481="","",INDEX(Staging!$K$2:$K$3001,$N481))</f>
      </c>
      <c r="K481">
        <f>IF($N481="","",INDEX(Staging!$M$2:$M$3001,$N481))</f>
      </c>
      <c r="L481">
        <f>IF($N481="","",INDEX(Staging!$O$2:$O$3001,$N481))</f>
      </c>
      <c r="M481">
        <f>IF($N481="","",INDEX(Staging!$P$2:$P$3001,$N481))</f>
      </c>
      <c r="N481">
        <f t="array" ref="N481">IFERROR(SMALL(IF(Staging!$E$2:$E$3001="MIPPL",ROW(Staging!$E$2:$E$3001)-ROW(Staging!$E$2)+1),480),"")</f>
      </c>
    </row>
    <row r="482" spans="1:14" x14ac:dyDescent="0.25">
      <c r="A482">
        <f>IF($N482="","",INDEX(Staging!$A$2:$A$3001,$N482))</f>
      </c>
      <c r="B482">
        <f>IF($N482="","",INDEX(Staging!$B$2:$B$3001,$N482))</f>
      </c>
      <c r="C482">
        <f>IF($N482="","",INDEX(Staging!$C$2:$C$3001,$N482))</f>
      </c>
      <c r="D482">
        <f>IF($N482="","",INDEX(Staging!$D$2:$D$3001,$N482))</f>
      </c>
      <c r="E482">
        <f>IF($N482="","",INDEX(Staging!$F$2:$F$3001,$N482))</f>
      </c>
      <c r="F482">
        <f>IF($N482="","",INDEX(Staging!$G$2:$G$3001,$N482))</f>
      </c>
      <c r="G482">
        <f>IF($N482="","",INDEX(Staging!$H$2:$H$3001,$N482))</f>
      </c>
      <c r="H482">
        <f>IF($N482="","",INDEX(Staging!$I$2:$I$3001,$N482))</f>
      </c>
      <c r="I482">
        <f>IF($N482="","",INDEX(Staging!$J$2:$J$3001,$N482))</f>
      </c>
      <c r="J482">
        <f>IF($N482="","",INDEX(Staging!$K$2:$K$3001,$N482))</f>
      </c>
      <c r="K482">
        <f>IF($N482="","",INDEX(Staging!$M$2:$M$3001,$N482))</f>
      </c>
      <c r="L482">
        <f>IF($N482="","",INDEX(Staging!$O$2:$O$3001,$N482))</f>
      </c>
      <c r="M482">
        <f>IF($N482="","",INDEX(Staging!$P$2:$P$3001,$N482))</f>
      </c>
      <c r="N482">
        <f t="array" ref="N482">IFERROR(SMALL(IF(Staging!$E$2:$E$3001="MIPPL",ROW(Staging!$E$2:$E$3001)-ROW(Staging!$E$2)+1),481),"")</f>
      </c>
    </row>
    <row r="483" spans="1:14" x14ac:dyDescent="0.25">
      <c r="A483">
        <f>IF($N483="","",INDEX(Staging!$A$2:$A$3001,$N483))</f>
      </c>
      <c r="B483">
        <f>IF($N483="","",INDEX(Staging!$B$2:$B$3001,$N483))</f>
      </c>
      <c r="C483">
        <f>IF($N483="","",INDEX(Staging!$C$2:$C$3001,$N483))</f>
      </c>
      <c r="D483">
        <f>IF($N483="","",INDEX(Staging!$D$2:$D$3001,$N483))</f>
      </c>
      <c r="E483">
        <f>IF($N483="","",INDEX(Staging!$F$2:$F$3001,$N483))</f>
      </c>
      <c r="F483">
        <f>IF($N483="","",INDEX(Staging!$G$2:$G$3001,$N483))</f>
      </c>
      <c r="G483">
        <f>IF($N483="","",INDEX(Staging!$H$2:$H$3001,$N483))</f>
      </c>
      <c r="H483">
        <f>IF($N483="","",INDEX(Staging!$I$2:$I$3001,$N483))</f>
      </c>
      <c r="I483">
        <f>IF($N483="","",INDEX(Staging!$J$2:$J$3001,$N483))</f>
      </c>
      <c r="J483">
        <f>IF($N483="","",INDEX(Staging!$K$2:$K$3001,$N483))</f>
      </c>
      <c r="K483">
        <f>IF($N483="","",INDEX(Staging!$M$2:$M$3001,$N483))</f>
      </c>
      <c r="L483">
        <f>IF($N483="","",INDEX(Staging!$O$2:$O$3001,$N483))</f>
      </c>
      <c r="M483">
        <f>IF($N483="","",INDEX(Staging!$P$2:$P$3001,$N483))</f>
      </c>
      <c r="N483">
        <f t="array" ref="N483">IFERROR(SMALL(IF(Staging!$E$2:$E$3001="MIPPL",ROW(Staging!$E$2:$E$3001)-ROW(Staging!$E$2)+1),482),"")</f>
      </c>
    </row>
    <row r="484" spans="1:14" x14ac:dyDescent="0.25">
      <c r="A484">
        <f>IF($N484="","",INDEX(Staging!$A$2:$A$3001,$N484))</f>
      </c>
      <c r="B484">
        <f>IF($N484="","",INDEX(Staging!$B$2:$B$3001,$N484))</f>
      </c>
      <c r="C484">
        <f>IF($N484="","",INDEX(Staging!$C$2:$C$3001,$N484))</f>
      </c>
      <c r="D484">
        <f>IF($N484="","",INDEX(Staging!$D$2:$D$3001,$N484))</f>
      </c>
      <c r="E484">
        <f>IF($N484="","",INDEX(Staging!$F$2:$F$3001,$N484))</f>
      </c>
      <c r="F484">
        <f>IF($N484="","",INDEX(Staging!$G$2:$G$3001,$N484))</f>
      </c>
      <c r="G484">
        <f>IF($N484="","",INDEX(Staging!$H$2:$H$3001,$N484))</f>
      </c>
      <c r="H484">
        <f>IF($N484="","",INDEX(Staging!$I$2:$I$3001,$N484))</f>
      </c>
      <c r="I484">
        <f>IF($N484="","",INDEX(Staging!$J$2:$J$3001,$N484))</f>
      </c>
      <c r="J484">
        <f>IF($N484="","",INDEX(Staging!$K$2:$K$3001,$N484))</f>
      </c>
      <c r="K484">
        <f>IF($N484="","",INDEX(Staging!$M$2:$M$3001,$N484))</f>
      </c>
      <c r="L484">
        <f>IF($N484="","",INDEX(Staging!$O$2:$O$3001,$N484))</f>
      </c>
      <c r="M484">
        <f>IF($N484="","",INDEX(Staging!$P$2:$P$3001,$N484))</f>
      </c>
      <c r="N484">
        <f t="array" ref="N484">IFERROR(SMALL(IF(Staging!$E$2:$E$3001="MIPPL",ROW(Staging!$E$2:$E$3001)-ROW(Staging!$E$2)+1),483),"")</f>
      </c>
    </row>
    <row r="485" spans="1:14" x14ac:dyDescent="0.25">
      <c r="A485">
        <f>IF($N485="","",INDEX(Staging!$A$2:$A$3001,$N485))</f>
      </c>
      <c r="B485">
        <f>IF($N485="","",INDEX(Staging!$B$2:$B$3001,$N485))</f>
      </c>
      <c r="C485">
        <f>IF($N485="","",INDEX(Staging!$C$2:$C$3001,$N485))</f>
      </c>
      <c r="D485">
        <f>IF($N485="","",INDEX(Staging!$D$2:$D$3001,$N485))</f>
      </c>
      <c r="E485">
        <f>IF($N485="","",INDEX(Staging!$F$2:$F$3001,$N485))</f>
      </c>
      <c r="F485">
        <f>IF($N485="","",INDEX(Staging!$G$2:$G$3001,$N485))</f>
      </c>
      <c r="G485">
        <f>IF($N485="","",INDEX(Staging!$H$2:$H$3001,$N485))</f>
      </c>
      <c r="H485">
        <f>IF($N485="","",INDEX(Staging!$I$2:$I$3001,$N485))</f>
      </c>
      <c r="I485">
        <f>IF($N485="","",INDEX(Staging!$J$2:$J$3001,$N485))</f>
      </c>
      <c r="J485">
        <f>IF($N485="","",INDEX(Staging!$K$2:$K$3001,$N485))</f>
      </c>
      <c r="K485">
        <f>IF($N485="","",INDEX(Staging!$M$2:$M$3001,$N485))</f>
      </c>
      <c r="L485">
        <f>IF($N485="","",INDEX(Staging!$O$2:$O$3001,$N485))</f>
      </c>
      <c r="M485">
        <f>IF($N485="","",INDEX(Staging!$P$2:$P$3001,$N485))</f>
      </c>
      <c r="N485">
        <f t="array" ref="N485">IFERROR(SMALL(IF(Staging!$E$2:$E$3001="MIPPL",ROW(Staging!$E$2:$E$3001)-ROW(Staging!$E$2)+1),484),"")</f>
      </c>
    </row>
    <row r="486" spans="1:14" x14ac:dyDescent="0.25">
      <c r="A486">
        <f>IF($N486="","",INDEX(Staging!$A$2:$A$3001,$N486))</f>
      </c>
      <c r="B486">
        <f>IF($N486="","",INDEX(Staging!$B$2:$B$3001,$N486))</f>
      </c>
      <c r="C486">
        <f>IF($N486="","",INDEX(Staging!$C$2:$C$3001,$N486))</f>
      </c>
      <c r="D486">
        <f>IF($N486="","",INDEX(Staging!$D$2:$D$3001,$N486))</f>
      </c>
      <c r="E486">
        <f>IF($N486="","",INDEX(Staging!$F$2:$F$3001,$N486))</f>
      </c>
      <c r="F486">
        <f>IF($N486="","",INDEX(Staging!$G$2:$G$3001,$N486))</f>
      </c>
      <c r="G486">
        <f>IF($N486="","",INDEX(Staging!$H$2:$H$3001,$N486))</f>
      </c>
      <c r="H486">
        <f>IF($N486="","",INDEX(Staging!$I$2:$I$3001,$N486))</f>
      </c>
      <c r="I486">
        <f>IF($N486="","",INDEX(Staging!$J$2:$J$3001,$N486))</f>
      </c>
      <c r="J486">
        <f>IF($N486="","",INDEX(Staging!$K$2:$K$3001,$N486))</f>
      </c>
      <c r="K486">
        <f>IF($N486="","",INDEX(Staging!$M$2:$M$3001,$N486))</f>
      </c>
      <c r="L486">
        <f>IF($N486="","",INDEX(Staging!$O$2:$O$3001,$N486))</f>
      </c>
      <c r="M486">
        <f>IF($N486="","",INDEX(Staging!$P$2:$P$3001,$N486))</f>
      </c>
      <c r="N486">
        <f t="array" ref="N486">IFERROR(SMALL(IF(Staging!$E$2:$E$3001="MIPPL",ROW(Staging!$E$2:$E$3001)-ROW(Staging!$E$2)+1),485),"")</f>
      </c>
    </row>
    <row r="487" spans="1:14" x14ac:dyDescent="0.25">
      <c r="A487">
        <f>IF($N487="","",INDEX(Staging!$A$2:$A$3001,$N487))</f>
      </c>
      <c r="B487">
        <f>IF($N487="","",INDEX(Staging!$B$2:$B$3001,$N487))</f>
      </c>
      <c r="C487">
        <f>IF($N487="","",INDEX(Staging!$C$2:$C$3001,$N487))</f>
      </c>
      <c r="D487">
        <f>IF($N487="","",INDEX(Staging!$D$2:$D$3001,$N487))</f>
      </c>
      <c r="E487">
        <f>IF($N487="","",INDEX(Staging!$F$2:$F$3001,$N487))</f>
      </c>
      <c r="F487">
        <f>IF($N487="","",INDEX(Staging!$G$2:$G$3001,$N487))</f>
      </c>
      <c r="G487">
        <f>IF($N487="","",INDEX(Staging!$H$2:$H$3001,$N487))</f>
      </c>
      <c r="H487">
        <f>IF($N487="","",INDEX(Staging!$I$2:$I$3001,$N487))</f>
      </c>
      <c r="I487">
        <f>IF($N487="","",INDEX(Staging!$J$2:$J$3001,$N487))</f>
      </c>
      <c r="J487">
        <f>IF($N487="","",INDEX(Staging!$K$2:$K$3001,$N487))</f>
      </c>
      <c r="K487">
        <f>IF($N487="","",INDEX(Staging!$M$2:$M$3001,$N487))</f>
      </c>
      <c r="L487">
        <f>IF($N487="","",INDEX(Staging!$O$2:$O$3001,$N487))</f>
      </c>
      <c r="M487">
        <f>IF($N487="","",INDEX(Staging!$P$2:$P$3001,$N487))</f>
      </c>
      <c r="N487">
        <f t="array" ref="N487">IFERROR(SMALL(IF(Staging!$E$2:$E$3001="MIPPL",ROW(Staging!$E$2:$E$3001)-ROW(Staging!$E$2)+1),486),"")</f>
      </c>
    </row>
    <row r="488" spans="1:14" x14ac:dyDescent="0.25">
      <c r="A488">
        <f>IF($N488="","",INDEX(Staging!$A$2:$A$3001,$N488))</f>
      </c>
      <c r="B488">
        <f>IF($N488="","",INDEX(Staging!$B$2:$B$3001,$N488))</f>
      </c>
      <c r="C488">
        <f>IF($N488="","",INDEX(Staging!$C$2:$C$3001,$N488))</f>
      </c>
      <c r="D488">
        <f>IF($N488="","",INDEX(Staging!$D$2:$D$3001,$N488))</f>
      </c>
      <c r="E488">
        <f>IF($N488="","",INDEX(Staging!$F$2:$F$3001,$N488))</f>
      </c>
      <c r="F488">
        <f>IF($N488="","",INDEX(Staging!$G$2:$G$3001,$N488))</f>
      </c>
      <c r="G488">
        <f>IF($N488="","",INDEX(Staging!$H$2:$H$3001,$N488))</f>
      </c>
      <c r="H488">
        <f>IF($N488="","",INDEX(Staging!$I$2:$I$3001,$N488))</f>
      </c>
      <c r="I488">
        <f>IF($N488="","",INDEX(Staging!$J$2:$J$3001,$N488))</f>
      </c>
      <c r="J488">
        <f>IF($N488="","",INDEX(Staging!$K$2:$K$3001,$N488))</f>
      </c>
      <c r="K488">
        <f>IF($N488="","",INDEX(Staging!$M$2:$M$3001,$N488))</f>
      </c>
      <c r="L488">
        <f>IF($N488="","",INDEX(Staging!$O$2:$O$3001,$N488))</f>
      </c>
      <c r="M488">
        <f>IF($N488="","",INDEX(Staging!$P$2:$P$3001,$N488))</f>
      </c>
      <c r="N488">
        <f t="array" ref="N488">IFERROR(SMALL(IF(Staging!$E$2:$E$3001="MIPPL",ROW(Staging!$E$2:$E$3001)-ROW(Staging!$E$2)+1),487),"")</f>
      </c>
    </row>
    <row r="489" spans="1:14" x14ac:dyDescent="0.25">
      <c r="A489">
        <f>IF($N489="","",INDEX(Staging!$A$2:$A$3001,$N489))</f>
      </c>
      <c r="B489">
        <f>IF($N489="","",INDEX(Staging!$B$2:$B$3001,$N489))</f>
      </c>
      <c r="C489">
        <f>IF($N489="","",INDEX(Staging!$C$2:$C$3001,$N489))</f>
      </c>
      <c r="D489">
        <f>IF($N489="","",INDEX(Staging!$D$2:$D$3001,$N489))</f>
      </c>
      <c r="E489">
        <f>IF($N489="","",INDEX(Staging!$F$2:$F$3001,$N489))</f>
      </c>
      <c r="F489">
        <f>IF($N489="","",INDEX(Staging!$G$2:$G$3001,$N489))</f>
      </c>
      <c r="G489">
        <f>IF($N489="","",INDEX(Staging!$H$2:$H$3001,$N489))</f>
      </c>
      <c r="H489">
        <f>IF($N489="","",INDEX(Staging!$I$2:$I$3001,$N489))</f>
      </c>
      <c r="I489">
        <f>IF($N489="","",INDEX(Staging!$J$2:$J$3001,$N489))</f>
      </c>
      <c r="J489">
        <f>IF($N489="","",INDEX(Staging!$K$2:$K$3001,$N489))</f>
      </c>
      <c r="K489">
        <f>IF($N489="","",INDEX(Staging!$M$2:$M$3001,$N489))</f>
      </c>
      <c r="L489">
        <f>IF($N489="","",INDEX(Staging!$O$2:$O$3001,$N489))</f>
      </c>
      <c r="M489">
        <f>IF($N489="","",INDEX(Staging!$P$2:$P$3001,$N489))</f>
      </c>
      <c r="N489">
        <f t="array" ref="N489">IFERROR(SMALL(IF(Staging!$E$2:$E$3001="MIPPL",ROW(Staging!$E$2:$E$3001)-ROW(Staging!$E$2)+1),488),"")</f>
      </c>
    </row>
    <row r="490" spans="1:14" x14ac:dyDescent="0.25">
      <c r="A490">
        <f>IF($N490="","",INDEX(Staging!$A$2:$A$3001,$N490))</f>
      </c>
      <c r="B490">
        <f>IF($N490="","",INDEX(Staging!$B$2:$B$3001,$N490))</f>
      </c>
      <c r="C490">
        <f>IF($N490="","",INDEX(Staging!$C$2:$C$3001,$N490))</f>
      </c>
      <c r="D490">
        <f>IF($N490="","",INDEX(Staging!$D$2:$D$3001,$N490))</f>
      </c>
      <c r="E490">
        <f>IF($N490="","",INDEX(Staging!$F$2:$F$3001,$N490))</f>
      </c>
      <c r="F490">
        <f>IF($N490="","",INDEX(Staging!$G$2:$G$3001,$N490))</f>
      </c>
      <c r="G490">
        <f>IF($N490="","",INDEX(Staging!$H$2:$H$3001,$N490))</f>
      </c>
      <c r="H490">
        <f>IF($N490="","",INDEX(Staging!$I$2:$I$3001,$N490))</f>
      </c>
      <c r="I490">
        <f>IF($N490="","",INDEX(Staging!$J$2:$J$3001,$N490))</f>
      </c>
      <c r="J490">
        <f>IF($N490="","",INDEX(Staging!$K$2:$K$3001,$N490))</f>
      </c>
      <c r="K490">
        <f>IF($N490="","",INDEX(Staging!$M$2:$M$3001,$N490))</f>
      </c>
      <c r="L490">
        <f>IF($N490="","",INDEX(Staging!$O$2:$O$3001,$N490))</f>
      </c>
      <c r="M490">
        <f>IF($N490="","",INDEX(Staging!$P$2:$P$3001,$N490))</f>
      </c>
      <c r="N490">
        <f t="array" ref="N490">IFERROR(SMALL(IF(Staging!$E$2:$E$3001="MIPPL",ROW(Staging!$E$2:$E$3001)-ROW(Staging!$E$2)+1),489),"")</f>
      </c>
    </row>
    <row r="491" spans="1:14" x14ac:dyDescent="0.25">
      <c r="A491">
        <f>IF($N491="","",INDEX(Staging!$A$2:$A$3001,$N491))</f>
      </c>
      <c r="B491">
        <f>IF($N491="","",INDEX(Staging!$B$2:$B$3001,$N491))</f>
      </c>
      <c r="C491">
        <f>IF($N491="","",INDEX(Staging!$C$2:$C$3001,$N491))</f>
      </c>
      <c r="D491">
        <f>IF($N491="","",INDEX(Staging!$D$2:$D$3001,$N491))</f>
      </c>
      <c r="E491">
        <f>IF($N491="","",INDEX(Staging!$F$2:$F$3001,$N491))</f>
      </c>
      <c r="F491">
        <f>IF($N491="","",INDEX(Staging!$G$2:$G$3001,$N491))</f>
      </c>
      <c r="G491">
        <f>IF($N491="","",INDEX(Staging!$H$2:$H$3001,$N491))</f>
      </c>
      <c r="H491">
        <f>IF($N491="","",INDEX(Staging!$I$2:$I$3001,$N491))</f>
      </c>
      <c r="I491">
        <f>IF($N491="","",INDEX(Staging!$J$2:$J$3001,$N491))</f>
      </c>
      <c r="J491">
        <f>IF($N491="","",INDEX(Staging!$K$2:$K$3001,$N491))</f>
      </c>
      <c r="K491">
        <f>IF($N491="","",INDEX(Staging!$M$2:$M$3001,$N491))</f>
      </c>
      <c r="L491">
        <f>IF($N491="","",INDEX(Staging!$O$2:$O$3001,$N491))</f>
      </c>
      <c r="M491">
        <f>IF($N491="","",INDEX(Staging!$P$2:$P$3001,$N491))</f>
      </c>
      <c r="N491">
        <f t="array" ref="N491">IFERROR(SMALL(IF(Staging!$E$2:$E$3001="MIPPL",ROW(Staging!$E$2:$E$3001)-ROW(Staging!$E$2)+1),490),"")</f>
      </c>
    </row>
    <row r="492" spans="1:14" x14ac:dyDescent="0.25">
      <c r="A492">
        <f>IF($N492="","",INDEX(Staging!$A$2:$A$3001,$N492))</f>
      </c>
      <c r="B492">
        <f>IF($N492="","",INDEX(Staging!$B$2:$B$3001,$N492))</f>
      </c>
      <c r="C492">
        <f>IF($N492="","",INDEX(Staging!$C$2:$C$3001,$N492))</f>
      </c>
      <c r="D492">
        <f>IF($N492="","",INDEX(Staging!$D$2:$D$3001,$N492))</f>
      </c>
      <c r="E492">
        <f>IF($N492="","",INDEX(Staging!$F$2:$F$3001,$N492))</f>
      </c>
      <c r="F492">
        <f>IF($N492="","",INDEX(Staging!$G$2:$G$3001,$N492))</f>
      </c>
      <c r="G492">
        <f>IF($N492="","",INDEX(Staging!$H$2:$H$3001,$N492))</f>
      </c>
      <c r="H492">
        <f>IF($N492="","",INDEX(Staging!$I$2:$I$3001,$N492))</f>
      </c>
      <c r="I492">
        <f>IF($N492="","",INDEX(Staging!$J$2:$J$3001,$N492))</f>
      </c>
      <c r="J492">
        <f>IF($N492="","",INDEX(Staging!$K$2:$K$3001,$N492))</f>
      </c>
      <c r="K492">
        <f>IF($N492="","",INDEX(Staging!$M$2:$M$3001,$N492))</f>
      </c>
      <c r="L492">
        <f>IF($N492="","",INDEX(Staging!$O$2:$O$3001,$N492))</f>
      </c>
      <c r="M492">
        <f>IF($N492="","",INDEX(Staging!$P$2:$P$3001,$N492))</f>
      </c>
      <c r="N492">
        <f t="array" ref="N492">IFERROR(SMALL(IF(Staging!$E$2:$E$3001="MIPPL",ROW(Staging!$E$2:$E$3001)-ROW(Staging!$E$2)+1),491),"")</f>
      </c>
    </row>
    <row r="493" spans="1:14" x14ac:dyDescent="0.25">
      <c r="A493">
        <f>IF($N493="","",INDEX(Staging!$A$2:$A$3001,$N493))</f>
      </c>
      <c r="B493">
        <f>IF($N493="","",INDEX(Staging!$B$2:$B$3001,$N493))</f>
      </c>
      <c r="C493">
        <f>IF($N493="","",INDEX(Staging!$C$2:$C$3001,$N493))</f>
      </c>
      <c r="D493">
        <f>IF($N493="","",INDEX(Staging!$D$2:$D$3001,$N493))</f>
      </c>
      <c r="E493">
        <f>IF($N493="","",INDEX(Staging!$F$2:$F$3001,$N493))</f>
      </c>
      <c r="F493">
        <f>IF($N493="","",INDEX(Staging!$G$2:$G$3001,$N493))</f>
      </c>
      <c r="G493">
        <f>IF($N493="","",INDEX(Staging!$H$2:$H$3001,$N493))</f>
      </c>
      <c r="H493">
        <f>IF($N493="","",INDEX(Staging!$I$2:$I$3001,$N493))</f>
      </c>
      <c r="I493">
        <f>IF($N493="","",INDEX(Staging!$J$2:$J$3001,$N493))</f>
      </c>
      <c r="J493">
        <f>IF($N493="","",INDEX(Staging!$K$2:$K$3001,$N493))</f>
      </c>
      <c r="K493">
        <f>IF($N493="","",INDEX(Staging!$M$2:$M$3001,$N493))</f>
      </c>
      <c r="L493">
        <f>IF($N493="","",INDEX(Staging!$O$2:$O$3001,$N493))</f>
      </c>
      <c r="M493">
        <f>IF($N493="","",INDEX(Staging!$P$2:$P$3001,$N493))</f>
      </c>
      <c r="N493">
        <f t="array" ref="N493">IFERROR(SMALL(IF(Staging!$E$2:$E$3001="MIPPL",ROW(Staging!$E$2:$E$3001)-ROW(Staging!$E$2)+1),492),"")</f>
      </c>
    </row>
    <row r="494" spans="1:14" x14ac:dyDescent="0.25">
      <c r="A494">
        <f>IF($N494="","",INDEX(Staging!$A$2:$A$3001,$N494))</f>
      </c>
      <c r="B494">
        <f>IF($N494="","",INDEX(Staging!$B$2:$B$3001,$N494))</f>
      </c>
      <c r="C494">
        <f>IF($N494="","",INDEX(Staging!$C$2:$C$3001,$N494))</f>
      </c>
      <c r="D494">
        <f>IF($N494="","",INDEX(Staging!$D$2:$D$3001,$N494))</f>
      </c>
      <c r="E494">
        <f>IF($N494="","",INDEX(Staging!$F$2:$F$3001,$N494))</f>
      </c>
      <c r="F494">
        <f>IF($N494="","",INDEX(Staging!$G$2:$G$3001,$N494))</f>
      </c>
      <c r="G494">
        <f>IF($N494="","",INDEX(Staging!$H$2:$H$3001,$N494))</f>
      </c>
      <c r="H494">
        <f>IF($N494="","",INDEX(Staging!$I$2:$I$3001,$N494))</f>
      </c>
      <c r="I494">
        <f>IF($N494="","",INDEX(Staging!$J$2:$J$3001,$N494))</f>
      </c>
      <c r="J494">
        <f>IF($N494="","",INDEX(Staging!$K$2:$K$3001,$N494))</f>
      </c>
      <c r="K494">
        <f>IF($N494="","",INDEX(Staging!$M$2:$M$3001,$N494))</f>
      </c>
      <c r="L494">
        <f>IF($N494="","",INDEX(Staging!$O$2:$O$3001,$N494))</f>
      </c>
      <c r="M494">
        <f>IF($N494="","",INDEX(Staging!$P$2:$P$3001,$N494))</f>
      </c>
      <c r="N494">
        <f t="array" ref="N494">IFERROR(SMALL(IF(Staging!$E$2:$E$3001="MIPPL",ROW(Staging!$E$2:$E$3001)-ROW(Staging!$E$2)+1),493),"")</f>
      </c>
    </row>
    <row r="495" spans="1:14" x14ac:dyDescent="0.25">
      <c r="A495">
        <f>IF($N495="","",INDEX(Staging!$A$2:$A$3001,$N495))</f>
      </c>
      <c r="B495">
        <f>IF($N495="","",INDEX(Staging!$B$2:$B$3001,$N495))</f>
      </c>
      <c r="C495">
        <f>IF($N495="","",INDEX(Staging!$C$2:$C$3001,$N495))</f>
      </c>
      <c r="D495">
        <f>IF($N495="","",INDEX(Staging!$D$2:$D$3001,$N495))</f>
      </c>
      <c r="E495">
        <f>IF($N495="","",INDEX(Staging!$F$2:$F$3001,$N495))</f>
      </c>
      <c r="F495">
        <f>IF($N495="","",INDEX(Staging!$G$2:$G$3001,$N495))</f>
      </c>
      <c r="G495">
        <f>IF($N495="","",INDEX(Staging!$H$2:$H$3001,$N495))</f>
      </c>
      <c r="H495">
        <f>IF($N495="","",INDEX(Staging!$I$2:$I$3001,$N495))</f>
      </c>
      <c r="I495">
        <f>IF($N495="","",INDEX(Staging!$J$2:$J$3001,$N495))</f>
      </c>
      <c r="J495">
        <f>IF($N495="","",INDEX(Staging!$K$2:$K$3001,$N495))</f>
      </c>
      <c r="K495">
        <f>IF($N495="","",INDEX(Staging!$M$2:$M$3001,$N495))</f>
      </c>
      <c r="L495">
        <f>IF($N495="","",INDEX(Staging!$O$2:$O$3001,$N495))</f>
      </c>
      <c r="M495">
        <f>IF($N495="","",INDEX(Staging!$P$2:$P$3001,$N495))</f>
      </c>
      <c r="N495">
        <f t="array" ref="N495">IFERROR(SMALL(IF(Staging!$E$2:$E$3001="MIPPL",ROW(Staging!$E$2:$E$3001)-ROW(Staging!$E$2)+1),494),"")</f>
      </c>
    </row>
    <row r="496" spans="1:14" x14ac:dyDescent="0.25">
      <c r="A496">
        <f>IF($N496="","",INDEX(Staging!$A$2:$A$3001,$N496))</f>
      </c>
      <c r="B496">
        <f>IF($N496="","",INDEX(Staging!$B$2:$B$3001,$N496))</f>
      </c>
      <c r="C496">
        <f>IF($N496="","",INDEX(Staging!$C$2:$C$3001,$N496))</f>
      </c>
      <c r="D496">
        <f>IF($N496="","",INDEX(Staging!$D$2:$D$3001,$N496))</f>
      </c>
      <c r="E496">
        <f>IF($N496="","",INDEX(Staging!$F$2:$F$3001,$N496))</f>
      </c>
      <c r="F496">
        <f>IF($N496="","",INDEX(Staging!$G$2:$G$3001,$N496))</f>
      </c>
      <c r="G496">
        <f>IF($N496="","",INDEX(Staging!$H$2:$H$3001,$N496))</f>
      </c>
      <c r="H496">
        <f>IF($N496="","",INDEX(Staging!$I$2:$I$3001,$N496))</f>
      </c>
      <c r="I496">
        <f>IF($N496="","",INDEX(Staging!$J$2:$J$3001,$N496))</f>
      </c>
      <c r="J496">
        <f>IF($N496="","",INDEX(Staging!$K$2:$K$3001,$N496))</f>
      </c>
      <c r="K496">
        <f>IF($N496="","",INDEX(Staging!$M$2:$M$3001,$N496))</f>
      </c>
      <c r="L496">
        <f>IF($N496="","",INDEX(Staging!$O$2:$O$3001,$N496))</f>
      </c>
      <c r="M496">
        <f>IF($N496="","",INDEX(Staging!$P$2:$P$3001,$N496))</f>
      </c>
      <c r="N496">
        <f t="array" ref="N496">IFERROR(SMALL(IF(Staging!$E$2:$E$3001="MIPPL",ROW(Staging!$E$2:$E$3001)-ROW(Staging!$E$2)+1),495),"")</f>
      </c>
    </row>
    <row r="497" spans="1:14" x14ac:dyDescent="0.25">
      <c r="A497">
        <f>IF($N497="","",INDEX(Staging!$A$2:$A$3001,$N497))</f>
      </c>
      <c r="B497">
        <f>IF($N497="","",INDEX(Staging!$B$2:$B$3001,$N497))</f>
      </c>
      <c r="C497">
        <f>IF($N497="","",INDEX(Staging!$C$2:$C$3001,$N497))</f>
      </c>
      <c r="D497">
        <f>IF($N497="","",INDEX(Staging!$D$2:$D$3001,$N497))</f>
      </c>
      <c r="E497">
        <f>IF($N497="","",INDEX(Staging!$F$2:$F$3001,$N497))</f>
      </c>
      <c r="F497">
        <f>IF($N497="","",INDEX(Staging!$G$2:$G$3001,$N497))</f>
      </c>
      <c r="G497">
        <f>IF($N497="","",INDEX(Staging!$H$2:$H$3001,$N497))</f>
      </c>
      <c r="H497">
        <f>IF($N497="","",INDEX(Staging!$I$2:$I$3001,$N497))</f>
      </c>
      <c r="I497">
        <f>IF($N497="","",INDEX(Staging!$J$2:$J$3001,$N497))</f>
      </c>
      <c r="J497">
        <f>IF($N497="","",INDEX(Staging!$K$2:$K$3001,$N497))</f>
      </c>
      <c r="K497">
        <f>IF($N497="","",INDEX(Staging!$M$2:$M$3001,$N497))</f>
      </c>
      <c r="L497">
        <f>IF($N497="","",INDEX(Staging!$O$2:$O$3001,$N497))</f>
      </c>
      <c r="M497">
        <f>IF($N497="","",INDEX(Staging!$P$2:$P$3001,$N497))</f>
      </c>
      <c r="N497">
        <f t="array" ref="N497">IFERROR(SMALL(IF(Staging!$E$2:$E$3001="MIPPL",ROW(Staging!$E$2:$E$3001)-ROW(Staging!$E$2)+1),496),"")</f>
      </c>
    </row>
    <row r="498" spans="1:14" x14ac:dyDescent="0.25">
      <c r="A498">
        <f>IF($N498="","",INDEX(Staging!$A$2:$A$3001,$N498))</f>
      </c>
      <c r="B498">
        <f>IF($N498="","",INDEX(Staging!$B$2:$B$3001,$N498))</f>
      </c>
      <c r="C498">
        <f>IF($N498="","",INDEX(Staging!$C$2:$C$3001,$N498))</f>
      </c>
      <c r="D498">
        <f>IF($N498="","",INDEX(Staging!$D$2:$D$3001,$N498))</f>
      </c>
      <c r="E498">
        <f>IF($N498="","",INDEX(Staging!$F$2:$F$3001,$N498))</f>
      </c>
      <c r="F498">
        <f>IF($N498="","",INDEX(Staging!$G$2:$G$3001,$N498))</f>
      </c>
      <c r="G498">
        <f>IF($N498="","",INDEX(Staging!$H$2:$H$3001,$N498))</f>
      </c>
      <c r="H498">
        <f>IF($N498="","",INDEX(Staging!$I$2:$I$3001,$N498))</f>
      </c>
      <c r="I498">
        <f>IF($N498="","",INDEX(Staging!$J$2:$J$3001,$N498))</f>
      </c>
      <c r="J498">
        <f>IF($N498="","",INDEX(Staging!$K$2:$K$3001,$N498))</f>
      </c>
      <c r="K498">
        <f>IF($N498="","",INDEX(Staging!$M$2:$M$3001,$N498))</f>
      </c>
      <c r="L498">
        <f>IF($N498="","",INDEX(Staging!$O$2:$O$3001,$N498))</f>
      </c>
      <c r="M498">
        <f>IF($N498="","",INDEX(Staging!$P$2:$P$3001,$N498))</f>
      </c>
      <c r="N498">
        <f t="array" ref="N498">IFERROR(SMALL(IF(Staging!$E$2:$E$3001="MIPPL",ROW(Staging!$E$2:$E$3001)-ROW(Staging!$E$2)+1),497),"")</f>
      </c>
    </row>
    <row r="499" spans="1:14" x14ac:dyDescent="0.25">
      <c r="A499">
        <f>IF($N499="","",INDEX(Staging!$A$2:$A$3001,$N499))</f>
      </c>
      <c r="B499">
        <f>IF($N499="","",INDEX(Staging!$B$2:$B$3001,$N499))</f>
      </c>
      <c r="C499">
        <f>IF($N499="","",INDEX(Staging!$C$2:$C$3001,$N499))</f>
      </c>
      <c r="D499">
        <f>IF($N499="","",INDEX(Staging!$D$2:$D$3001,$N499))</f>
      </c>
      <c r="E499">
        <f>IF($N499="","",INDEX(Staging!$F$2:$F$3001,$N499))</f>
      </c>
      <c r="F499">
        <f>IF($N499="","",INDEX(Staging!$G$2:$G$3001,$N499))</f>
      </c>
      <c r="G499">
        <f>IF($N499="","",INDEX(Staging!$H$2:$H$3001,$N499))</f>
      </c>
      <c r="H499">
        <f>IF($N499="","",INDEX(Staging!$I$2:$I$3001,$N499))</f>
      </c>
      <c r="I499">
        <f>IF($N499="","",INDEX(Staging!$J$2:$J$3001,$N499))</f>
      </c>
      <c r="J499">
        <f>IF($N499="","",INDEX(Staging!$K$2:$K$3001,$N499))</f>
      </c>
      <c r="K499">
        <f>IF($N499="","",INDEX(Staging!$M$2:$M$3001,$N499))</f>
      </c>
      <c r="L499">
        <f>IF($N499="","",INDEX(Staging!$O$2:$O$3001,$N499))</f>
      </c>
      <c r="M499">
        <f>IF($N499="","",INDEX(Staging!$P$2:$P$3001,$N499))</f>
      </c>
      <c r="N499">
        <f t="array" ref="N499">IFERROR(SMALL(IF(Staging!$E$2:$E$3001="MIPPL",ROW(Staging!$E$2:$E$3001)-ROW(Staging!$E$2)+1),498),"")</f>
      </c>
    </row>
    <row r="500" spans="1:14" x14ac:dyDescent="0.25">
      <c r="A500">
        <f>IF($N500="","",INDEX(Staging!$A$2:$A$3001,$N500))</f>
      </c>
      <c r="B500">
        <f>IF($N500="","",INDEX(Staging!$B$2:$B$3001,$N500))</f>
      </c>
      <c r="C500">
        <f>IF($N500="","",INDEX(Staging!$C$2:$C$3001,$N500))</f>
      </c>
      <c r="D500">
        <f>IF($N500="","",INDEX(Staging!$D$2:$D$3001,$N500))</f>
      </c>
      <c r="E500">
        <f>IF($N500="","",INDEX(Staging!$F$2:$F$3001,$N500))</f>
      </c>
      <c r="F500">
        <f>IF($N500="","",INDEX(Staging!$G$2:$G$3001,$N500))</f>
      </c>
      <c r="G500">
        <f>IF($N500="","",INDEX(Staging!$H$2:$H$3001,$N500))</f>
      </c>
      <c r="H500">
        <f>IF($N500="","",INDEX(Staging!$I$2:$I$3001,$N500))</f>
      </c>
      <c r="I500">
        <f>IF($N500="","",INDEX(Staging!$J$2:$J$3001,$N500))</f>
      </c>
      <c r="J500">
        <f>IF($N500="","",INDEX(Staging!$K$2:$K$3001,$N500))</f>
      </c>
      <c r="K500">
        <f>IF($N500="","",INDEX(Staging!$M$2:$M$3001,$N500))</f>
      </c>
      <c r="L500">
        <f>IF($N500="","",INDEX(Staging!$O$2:$O$3001,$N500))</f>
      </c>
      <c r="M500">
        <f>IF($N500="","",INDEX(Staging!$P$2:$P$3001,$N500))</f>
      </c>
      <c r="N500">
        <f t="array" ref="N500">IFERROR(SMALL(IF(Staging!$E$2:$E$3001="MIPPL",ROW(Staging!$E$2:$E$3001)-ROW(Staging!$E$2)+1),499),"")</f>
      </c>
    </row>
    <row r="501" spans="1:14" x14ac:dyDescent="0.25">
      <c r="A501">
        <f>IF($N501="","",INDEX(Staging!$A$2:$A$3001,$N501))</f>
      </c>
      <c r="B501">
        <f>IF($N501="","",INDEX(Staging!$B$2:$B$3001,$N501))</f>
      </c>
      <c r="C501">
        <f>IF($N501="","",INDEX(Staging!$C$2:$C$3001,$N501))</f>
      </c>
      <c r="D501">
        <f>IF($N501="","",INDEX(Staging!$D$2:$D$3001,$N501))</f>
      </c>
      <c r="E501">
        <f>IF($N501="","",INDEX(Staging!$F$2:$F$3001,$N501))</f>
      </c>
      <c r="F501">
        <f>IF($N501="","",INDEX(Staging!$G$2:$G$3001,$N501))</f>
      </c>
      <c r="G501">
        <f>IF($N501="","",INDEX(Staging!$H$2:$H$3001,$N501))</f>
      </c>
      <c r="H501">
        <f>IF($N501="","",INDEX(Staging!$I$2:$I$3001,$N501))</f>
      </c>
      <c r="I501">
        <f>IF($N501="","",INDEX(Staging!$J$2:$J$3001,$N501))</f>
      </c>
      <c r="J501">
        <f>IF($N501="","",INDEX(Staging!$K$2:$K$3001,$N501))</f>
      </c>
      <c r="K501">
        <f>IF($N501="","",INDEX(Staging!$M$2:$M$3001,$N501))</f>
      </c>
      <c r="L501">
        <f>IF($N501="","",INDEX(Staging!$O$2:$O$3001,$N501))</f>
      </c>
      <c r="M501">
        <f>IF($N501="","",INDEX(Staging!$P$2:$P$3001,$N501))</f>
      </c>
      <c r="N501">
        <f t="array" ref="N501">IFERROR(SMALL(IF(Staging!$E$2:$E$3001="MIPPL",ROW(Staging!$E$2:$E$3001)-ROW(Staging!$E$2)+1),500),"")</f>
      </c>
    </row>
    <row r="502" spans="1:14" x14ac:dyDescent="0.25">
      <c r="A502">
        <f>IF($N502="","",INDEX(Staging!$A$2:$A$3001,$N502))</f>
      </c>
      <c r="B502">
        <f>IF($N502="","",INDEX(Staging!$B$2:$B$3001,$N502))</f>
      </c>
      <c r="C502">
        <f>IF($N502="","",INDEX(Staging!$C$2:$C$3001,$N502))</f>
      </c>
      <c r="D502">
        <f>IF($N502="","",INDEX(Staging!$D$2:$D$3001,$N502))</f>
      </c>
      <c r="E502">
        <f>IF($N502="","",INDEX(Staging!$F$2:$F$3001,$N502))</f>
      </c>
      <c r="F502">
        <f>IF($N502="","",INDEX(Staging!$G$2:$G$3001,$N502))</f>
      </c>
      <c r="G502">
        <f>IF($N502="","",INDEX(Staging!$H$2:$H$3001,$N502))</f>
      </c>
      <c r="H502">
        <f>IF($N502="","",INDEX(Staging!$I$2:$I$3001,$N502))</f>
      </c>
      <c r="I502">
        <f>IF($N502="","",INDEX(Staging!$J$2:$J$3001,$N502))</f>
      </c>
      <c r="J502">
        <f>IF($N502="","",INDEX(Staging!$K$2:$K$3001,$N502))</f>
      </c>
      <c r="K502">
        <f>IF($N502="","",INDEX(Staging!$M$2:$M$3001,$N502))</f>
      </c>
      <c r="L502">
        <f>IF($N502="","",INDEX(Staging!$O$2:$O$3001,$N502))</f>
      </c>
      <c r="M502">
        <f>IF($N502="","",INDEX(Staging!$P$2:$P$3001,$N502))</f>
      </c>
      <c r="N502">
        <f t="array" ref="N502">IFERROR(SMALL(IF(Staging!$E$2:$E$3001="MIPPL",ROW(Staging!$E$2:$E$3001)-ROW(Staging!$E$2)+1),501),"")</f>
      </c>
    </row>
    <row r="503" spans="1:14" x14ac:dyDescent="0.25">
      <c r="A503">
        <f>IF($N503="","",INDEX(Staging!$A$2:$A$3001,$N503))</f>
      </c>
      <c r="B503">
        <f>IF($N503="","",INDEX(Staging!$B$2:$B$3001,$N503))</f>
      </c>
      <c r="C503">
        <f>IF($N503="","",INDEX(Staging!$C$2:$C$3001,$N503))</f>
      </c>
      <c r="D503">
        <f>IF($N503="","",INDEX(Staging!$D$2:$D$3001,$N503))</f>
      </c>
      <c r="E503">
        <f>IF($N503="","",INDEX(Staging!$F$2:$F$3001,$N503))</f>
      </c>
      <c r="F503">
        <f>IF($N503="","",INDEX(Staging!$G$2:$G$3001,$N503))</f>
      </c>
      <c r="G503">
        <f>IF($N503="","",INDEX(Staging!$H$2:$H$3001,$N503))</f>
      </c>
      <c r="H503">
        <f>IF($N503="","",INDEX(Staging!$I$2:$I$3001,$N503))</f>
      </c>
      <c r="I503">
        <f>IF($N503="","",INDEX(Staging!$J$2:$J$3001,$N503))</f>
      </c>
      <c r="J503">
        <f>IF($N503="","",INDEX(Staging!$K$2:$K$3001,$N503))</f>
      </c>
      <c r="K503">
        <f>IF($N503="","",INDEX(Staging!$M$2:$M$3001,$N503))</f>
      </c>
      <c r="L503">
        <f>IF($N503="","",INDEX(Staging!$O$2:$O$3001,$N503))</f>
      </c>
      <c r="M503">
        <f>IF($N503="","",INDEX(Staging!$P$2:$P$3001,$N503))</f>
      </c>
      <c r="N503">
        <f t="array" ref="N503">IFERROR(SMALL(IF(Staging!$E$2:$E$3001="MIPPL",ROW(Staging!$E$2:$E$3001)-ROW(Staging!$E$2)+1),502),"")</f>
      </c>
    </row>
    <row r="504" spans="1:14" x14ac:dyDescent="0.25">
      <c r="A504">
        <f>IF($N504="","",INDEX(Staging!$A$2:$A$3001,$N504))</f>
      </c>
      <c r="B504">
        <f>IF($N504="","",INDEX(Staging!$B$2:$B$3001,$N504))</f>
      </c>
      <c r="C504">
        <f>IF($N504="","",INDEX(Staging!$C$2:$C$3001,$N504))</f>
      </c>
      <c r="D504">
        <f>IF($N504="","",INDEX(Staging!$D$2:$D$3001,$N504))</f>
      </c>
      <c r="E504">
        <f>IF($N504="","",INDEX(Staging!$F$2:$F$3001,$N504))</f>
      </c>
      <c r="F504">
        <f>IF($N504="","",INDEX(Staging!$G$2:$G$3001,$N504))</f>
      </c>
      <c r="G504">
        <f>IF($N504="","",INDEX(Staging!$H$2:$H$3001,$N504))</f>
      </c>
      <c r="H504">
        <f>IF($N504="","",INDEX(Staging!$I$2:$I$3001,$N504))</f>
      </c>
      <c r="I504">
        <f>IF($N504="","",INDEX(Staging!$J$2:$J$3001,$N504))</f>
      </c>
      <c r="J504">
        <f>IF($N504="","",INDEX(Staging!$K$2:$K$3001,$N504))</f>
      </c>
      <c r="K504">
        <f>IF($N504="","",INDEX(Staging!$M$2:$M$3001,$N504))</f>
      </c>
      <c r="L504">
        <f>IF($N504="","",INDEX(Staging!$O$2:$O$3001,$N504))</f>
      </c>
      <c r="M504">
        <f>IF($N504="","",INDEX(Staging!$P$2:$P$3001,$N504))</f>
      </c>
      <c r="N504">
        <f t="array" ref="N504">IFERROR(SMALL(IF(Staging!$E$2:$E$3001="MIPPL",ROW(Staging!$E$2:$E$3001)-ROW(Staging!$E$2)+1),503),"")</f>
      </c>
    </row>
    <row r="505" spans="1:14" x14ac:dyDescent="0.25">
      <c r="A505">
        <f>IF($N505="","",INDEX(Staging!$A$2:$A$3001,$N505))</f>
      </c>
      <c r="B505">
        <f>IF($N505="","",INDEX(Staging!$B$2:$B$3001,$N505))</f>
      </c>
      <c r="C505">
        <f>IF($N505="","",INDEX(Staging!$C$2:$C$3001,$N505))</f>
      </c>
      <c r="D505">
        <f>IF($N505="","",INDEX(Staging!$D$2:$D$3001,$N505))</f>
      </c>
      <c r="E505">
        <f>IF($N505="","",INDEX(Staging!$F$2:$F$3001,$N505))</f>
      </c>
      <c r="F505">
        <f>IF($N505="","",INDEX(Staging!$G$2:$G$3001,$N505))</f>
      </c>
      <c r="G505">
        <f>IF($N505="","",INDEX(Staging!$H$2:$H$3001,$N505))</f>
      </c>
      <c r="H505">
        <f>IF($N505="","",INDEX(Staging!$I$2:$I$3001,$N505))</f>
      </c>
      <c r="I505">
        <f>IF($N505="","",INDEX(Staging!$J$2:$J$3001,$N505))</f>
      </c>
      <c r="J505">
        <f>IF($N505="","",INDEX(Staging!$K$2:$K$3001,$N505))</f>
      </c>
      <c r="K505">
        <f>IF($N505="","",INDEX(Staging!$M$2:$M$3001,$N505))</f>
      </c>
      <c r="L505">
        <f>IF($N505="","",INDEX(Staging!$O$2:$O$3001,$N505))</f>
      </c>
      <c r="M505">
        <f>IF($N505="","",INDEX(Staging!$P$2:$P$3001,$N505))</f>
      </c>
      <c r="N505">
        <f t="array" ref="N505">IFERROR(SMALL(IF(Staging!$E$2:$E$3001="MIPPL",ROW(Staging!$E$2:$E$3001)-ROW(Staging!$E$2)+1),504),"")</f>
      </c>
    </row>
    <row r="506" spans="1:14" x14ac:dyDescent="0.25">
      <c r="A506">
        <f>IF($N506="","",INDEX(Staging!$A$2:$A$3001,$N506))</f>
      </c>
      <c r="B506">
        <f>IF($N506="","",INDEX(Staging!$B$2:$B$3001,$N506))</f>
      </c>
      <c r="C506">
        <f>IF($N506="","",INDEX(Staging!$C$2:$C$3001,$N506))</f>
      </c>
      <c r="D506">
        <f>IF($N506="","",INDEX(Staging!$D$2:$D$3001,$N506))</f>
      </c>
      <c r="E506">
        <f>IF($N506="","",INDEX(Staging!$F$2:$F$3001,$N506))</f>
      </c>
      <c r="F506">
        <f>IF($N506="","",INDEX(Staging!$G$2:$G$3001,$N506))</f>
      </c>
      <c r="G506">
        <f>IF($N506="","",INDEX(Staging!$H$2:$H$3001,$N506))</f>
      </c>
      <c r="H506">
        <f>IF($N506="","",INDEX(Staging!$I$2:$I$3001,$N506))</f>
      </c>
      <c r="I506">
        <f>IF($N506="","",INDEX(Staging!$J$2:$J$3001,$N506))</f>
      </c>
      <c r="J506">
        <f>IF($N506="","",INDEX(Staging!$K$2:$K$3001,$N506))</f>
      </c>
      <c r="K506">
        <f>IF($N506="","",INDEX(Staging!$M$2:$M$3001,$N506))</f>
      </c>
      <c r="L506">
        <f>IF($N506="","",INDEX(Staging!$O$2:$O$3001,$N506))</f>
      </c>
      <c r="M506">
        <f>IF($N506="","",INDEX(Staging!$P$2:$P$3001,$N506))</f>
      </c>
      <c r="N506">
        <f t="array" ref="N506">IFERROR(SMALL(IF(Staging!$E$2:$E$3001="MIPPL",ROW(Staging!$E$2:$E$3001)-ROW(Staging!$E$2)+1),505),"")</f>
      </c>
    </row>
    <row r="507" spans="1:14" x14ac:dyDescent="0.25">
      <c r="A507">
        <f>IF($N507="","",INDEX(Staging!$A$2:$A$3001,$N507))</f>
      </c>
      <c r="B507">
        <f>IF($N507="","",INDEX(Staging!$B$2:$B$3001,$N507))</f>
      </c>
      <c r="C507">
        <f>IF($N507="","",INDEX(Staging!$C$2:$C$3001,$N507))</f>
      </c>
      <c r="D507">
        <f>IF($N507="","",INDEX(Staging!$D$2:$D$3001,$N507))</f>
      </c>
      <c r="E507">
        <f>IF($N507="","",INDEX(Staging!$F$2:$F$3001,$N507))</f>
      </c>
      <c r="F507">
        <f>IF($N507="","",INDEX(Staging!$G$2:$G$3001,$N507))</f>
      </c>
      <c r="G507">
        <f>IF($N507="","",INDEX(Staging!$H$2:$H$3001,$N507))</f>
      </c>
      <c r="H507">
        <f>IF($N507="","",INDEX(Staging!$I$2:$I$3001,$N507))</f>
      </c>
      <c r="I507">
        <f>IF($N507="","",INDEX(Staging!$J$2:$J$3001,$N507))</f>
      </c>
      <c r="J507">
        <f>IF($N507="","",INDEX(Staging!$K$2:$K$3001,$N507))</f>
      </c>
      <c r="K507">
        <f>IF($N507="","",INDEX(Staging!$M$2:$M$3001,$N507))</f>
      </c>
      <c r="L507">
        <f>IF($N507="","",INDEX(Staging!$O$2:$O$3001,$N507))</f>
      </c>
      <c r="M507">
        <f>IF($N507="","",INDEX(Staging!$P$2:$P$3001,$N507))</f>
      </c>
      <c r="N507">
        <f t="array" ref="N507">IFERROR(SMALL(IF(Staging!$E$2:$E$3001="MIPPL",ROW(Staging!$E$2:$E$3001)-ROW(Staging!$E$2)+1),506),"")</f>
      </c>
    </row>
    <row r="508" spans="1:14" x14ac:dyDescent="0.25">
      <c r="A508">
        <f>IF($N508="","",INDEX(Staging!$A$2:$A$3001,$N508))</f>
      </c>
      <c r="B508">
        <f>IF($N508="","",INDEX(Staging!$B$2:$B$3001,$N508))</f>
      </c>
      <c r="C508">
        <f>IF($N508="","",INDEX(Staging!$C$2:$C$3001,$N508))</f>
      </c>
      <c r="D508">
        <f>IF($N508="","",INDEX(Staging!$D$2:$D$3001,$N508))</f>
      </c>
      <c r="E508">
        <f>IF($N508="","",INDEX(Staging!$F$2:$F$3001,$N508))</f>
      </c>
      <c r="F508">
        <f>IF($N508="","",INDEX(Staging!$G$2:$G$3001,$N508))</f>
      </c>
      <c r="G508">
        <f>IF($N508="","",INDEX(Staging!$H$2:$H$3001,$N508))</f>
      </c>
      <c r="H508">
        <f>IF($N508="","",INDEX(Staging!$I$2:$I$3001,$N508))</f>
      </c>
      <c r="I508">
        <f>IF($N508="","",INDEX(Staging!$J$2:$J$3001,$N508))</f>
      </c>
      <c r="J508">
        <f>IF($N508="","",INDEX(Staging!$K$2:$K$3001,$N508))</f>
      </c>
      <c r="K508">
        <f>IF($N508="","",INDEX(Staging!$M$2:$M$3001,$N508))</f>
      </c>
      <c r="L508">
        <f>IF($N508="","",INDEX(Staging!$O$2:$O$3001,$N508))</f>
      </c>
      <c r="M508">
        <f>IF($N508="","",INDEX(Staging!$P$2:$P$3001,$N508))</f>
      </c>
      <c r="N508">
        <f t="array" ref="N508">IFERROR(SMALL(IF(Staging!$E$2:$E$3001="MIPPL",ROW(Staging!$E$2:$E$3001)-ROW(Staging!$E$2)+1),507),"")</f>
      </c>
    </row>
    <row r="509" spans="1:14" x14ac:dyDescent="0.25">
      <c r="A509">
        <f>IF($N509="","",INDEX(Staging!$A$2:$A$3001,$N509))</f>
      </c>
      <c r="B509">
        <f>IF($N509="","",INDEX(Staging!$B$2:$B$3001,$N509))</f>
      </c>
      <c r="C509">
        <f>IF($N509="","",INDEX(Staging!$C$2:$C$3001,$N509))</f>
      </c>
      <c r="D509">
        <f>IF($N509="","",INDEX(Staging!$D$2:$D$3001,$N509))</f>
      </c>
      <c r="E509">
        <f>IF($N509="","",INDEX(Staging!$F$2:$F$3001,$N509))</f>
      </c>
      <c r="F509">
        <f>IF($N509="","",INDEX(Staging!$G$2:$G$3001,$N509))</f>
      </c>
      <c r="G509">
        <f>IF($N509="","",INDEX(Staging!$H$2:$H$3001,$N509))</f>
      </c>
      <c r="H509">
        <f>IF($N509="","",INDEX(Staging!$I$2:$I$3001,$N509))</f>
      </c>
      <c r="I509">
        <f>IF($N509="","",INDEX(Staging!$J$2:$J$3001,$N509))</f>
      </c>
      <c r="J509">
        <f>IF($N509="","",INDEX(Staging!$K$2:$K$3001,$N509))</f>
      </c>
      <c r="K509">
        <f>IF($N509="","",INDEX(Staging!$M$2:$M$3001,$N509))</f>
      </c>
      <c r="L509">
        <f>IF($N509="","",INDEX(Staging!$O$2:$O$3001,$N509))</f>
      </c>
      <c r="M509">
        <f>IF($N509="","",INDEX(Staging!$P$2:$P$3001,$N509))</f>
      </c>
      <c r="N509">
        <f t="array" ref="N509">IFERROR(SMALL(IF(Staging!$E$2:$E$3001="MIPPL",ROW(Staging!$E$2:$E$3001)-ROW(Staging!$E$2)+1),508),"")</f>
      </c>
    </row>
    <row r="510" spans="1:14" x14ac:dyDescent="0.25">
      <c r="A510">
        <f>IF($N510="","",INDEX(Staging!$A$2:$A$3001,$N510))</f>
      </c>
      <c r="B510">
        <f>IF($N510="","",INDEX(Staging!$B$2:$B$3001,$N510))</f>
      </c>
      <c r="C510">
        <f>IF($N510="","",INDEX(Staging!$C$2:$C$3001,$N510))</f>
      </c>
      <c r="D510">
        <f>IF($N510="","",INDEX(Staging!$D$2:$D$3001,$N510))</f>
      </c>
      <c r="E510">
        <f>IF($N510="","",INDEX(Staging!$F$2:$F$3001,$N510))</f>
      </c>
      <c r="F510">
        <f>IF($N510="","",INDEX(Staging!$G$2:$G$3001,$N510))</f>
      </c>
      <c r="G510">
        <f>IF($N510="","",INDEX(Staging!$H$2:$H$3001,$N510))</f>
      </c>
      <c r="H510">
        <f>IF($N510="","",INDEX(Staging!$I$2:$I$3001,$N510))</f>
      </c>
      <c r="I510">
        <f>IF($N510="","",INDEX(Staging!$J$2:$J$3001,$N510))</f>
      </c>
      <c r="J510">
        <f>IF($N510="","",INDEX(Staging!$K$2:$K$3001,$N510))</f>
      </c>
      <c r="K510">
        <f>IF($N510="","",INDEX(Staging!$M$2:$M$3001,$N510))</f>
      </c>
      <c r="L510">
        <f>IF($N510="","",INDEX(Staging!$O$2:$O$3001,$N510))</f>
      </c>
      <c r="M510">
        <f>IF($N510="","",INDEX(Staging!$P$2:$P$3001,$N510))</f>
      </c>
      <c r="N510">
        <f t="array" ref="N510">IFERROR(SMALL(IF(Staging!$E$2:$E$3001="MIPPL",ROW(Staging!$E$2:$E$3001)-ROW(Staging!$E$2)+1),509),"")</f>
      </c>
    </row>
    <row r="511" spans="1:14" x14ac:dyDescent="0.25">
      <c r="A511">
        <f>IF($N511="","",INDEX(Staging!$A$2:$A$3001,$N511))</f>
      </c>
      <c r="B511">
        <f>IF($N511="","",INDEX(Staging!$B$2:$B$3001,$N511))</f>
      </c>
      <c r="C511">
        <f>IF($N511="","",INDEX(Staging!$C$2:$C$3001,$N511))</f>
      </c>
      <c r="D511">
        <f>IF($N511="","",INDEX(Staging!$D$2:$D$3001,$N511))</f>
      </c>
      <c r="E511">
        <f>IF($N511="","",INDEX(Staging!$F$2:$F$3001,$N511))</f>
      </c>
      <c r="F511">
        <f>IF($N511="","",INDEX(Staging!$G$2:$G$3001,$N511))</f>
      </c>
      <c r="G511">
        <f>IF($N511="","",INDEX(Staging!$H$2:$H$3001,$N511))</f>
      </c>
      <c r="H511">
        <f>IF($N511="","",INDEX(Staging!$I$2:$I$3001,$N511))</f>
      </c>
      <c r="I511">
        <f>IF($N511="","",INDEX(Staging!$J$2:$J$3001,$N511))</f>
      </c>
      <c r="J511">
        <f>IF($N511="","",INDEX(Staging!$K$2:$K$3001,$N511))</f>
      </c>
      <c r="K511">
        <f>IF($N511="","",INDEX(Staging!$M$2:$M$3001,$N511))</f>
      </c>
      <c r="L511">
        <f>IF($N511="","",INDEX(Staging!$O$2:$O$3001,$N511))</f>
      </c>
      <c r="M511">
        <f>IF($N511="","",INDEX(Staging!$P$2:$P$3001,$N511))</f>
      </c>
      <c r="N511">
        <f t="array" ref="N511">IFERROR(SMALL(IF(Staging!$E$2:$E$3001="MIPPL",ROW(Staging!$E$2:$E$3001)-ROW(Staging!$E$2)+1),510),"")</f>
      </c>
    </row>
    <row r="512" spans="1:14" x14ac:dyDescent="0.25">
      <c r="A512">
        <f>IF($N512="","",INDEX(Staging!$A$2:$A$3001,$N512))</f>
      </c>
      <c r="B512">
        <f>IF($N512="","",INDEX(Staging!$B$2:$B$3001,$N512))</f>
      </c>
      <c r="C512">
        <f>IF($N512="","",INDEX(Staging!$C$2:$C$3001,$N512))</f>
      </c>
      <c r="D512">
        <f>IF($N512="","",INDEX(Staging!$D$2:$D$3001,$N512))</f>
      </c>
      <c r="E512">
        <f>IF($N512="","",INDEX(Staging!$F$2:$F$3001,$N512))</f>
      </c>
      <c r="F512">
        <f>IF($N512="","",INDEX(Staging!$G$2:$G$3001,$N512))</f>
      </c>
      <c r="G512">
        <f>IF($N512="","",INDEX(Staging!$H$2:$H$3001,$N512))</f>
      </c>
      <c r="H512">
        <f>IF($N512="","",INDEX(Staging!$I$2:$I$3001,$N512))</f>
      </c>
      <c r="I512">
        <f>IF($N512="","",INDEX(Staging!$J$2:$J$3001,$N512))</f>
      </c>
      <c r="J512">
        <f>IF($N512="","",INDEX(Staging!$K$2:$K$3001,$N512))</f>
      </c>
      <c r="K512">
        <f>IF($N512="","",INDEX(Staging!$M$2:$M$3001,$N512))</f>
      </c>
      <c r="L512">
        <f>IF($N512="","",INDEX(Staging!$O$2:$O$3001,$N512))</f>
      </c>
      <c r="M512">
        <f>IF($N512="","",INDEX(Staging!$P$2:$P$3001,$N512))</f>
      </c>
      <c r="N512">
        <f t="array" ref="N512">IFERROR(SMALL(IF(Staging!$E$2:$E$3001="MIPPL",ROW(Staging!$E$2:$E$3001)-ROW(Staging!$E$2)+1),511),"")</f>
      </c>
    </row>
    <row r="513" spans="1:14" x14ac:dyDescent="0.25">
      <c r="A513">
        <f>IF($N513="","",INDEX(Staging!$A$2:$A$3001,$N513))</f>
      </c>
      <c r="B513">
        <f>IF($N513="","",INDEX(Staging!$B$2:$B$3001,$N513))</f>
      </c>
      <c r="C513">
        <f>IF($N513="","",INDEX(Staging!$C$2:$C$3001,$N513))</f>
      </c>
      <c r="D513">
        <f>IF($N513="","",INDEX(Staging!$D$2:$D$3001,$N513))</f>
      </c>
      <c r="E513">
        <f>IF($N513="","",INDEX(Staging!$F$2:$F$3001,$N513))</f>
      </c>
      <c r="F513">
        <f>IF($N513="","",INDEX(Staging!$G$2:$G$3001,$N513))</f>
      </c>
      <c r="G513">
        <f>IF($N513="","",INDEX(Staging!$H$2:$H$3001,$N513))</f>
      </c>
      <c r="H513">
        <f>IF($N513="","",INDEX(Staging!$I$2:$I$3001,$N513))</f>
      </c>
      <c r="I513">
        <f>IF($N513="","",INDEX(Staging!$J$2:$J$3001,$N513))</f>
      </c>
      <c r="J513">
        <f>IF($N513="","",INDEX(Staging!$K$2:$K$3001,$N513))</f>
      </c>
      <c r="K513">
        <f>IF($N513="","",INDEX(Staging!$M$2:$M$3001,$N513))</f>
      </c>
      <c r="L513">
        <f>IF($N513="","",INDEX(Staging!$O$2:$O$3001,$N513))</f>
      </c>
      <c r="M513">
        <f>IF($N513="","",INDEX(Staging!$P$2:$P$3001,$N513))</f>
      </c>
      <c r="N513">
        <f t="array" ref="N513">IFERROR(SMALL(IF(Staging!$E$2:$E$3001="MIPPL",ROW(Staging!$E$2:$E$3001)-ROW(Staging!$E$2)+1),512),"")</f>
      </c>
    </row>
    <row r="514" spans="1:14" x14ac:dyDescent="0.25">
      <c r="A514">
        <f>IF($N514="","",INDEX(Staging!$A$2:$A$3001,$N514))</f>
      </c>
      <c r="B514">
        <f>IF($N514="","",INDEX(Staging!$B$2:$B$3001,$N514))</f>
      </c>
      <c r="C514">
        <f>IF($N514="","",INDEX(Staging!$C$2:$C$3001,$N514))</f>
      </c>
      <c r="D514">
        <f>IF($N514="","",INDEX(Staging!$D$2:$D$3001,$N514))</f>
      </c>
      <c r="E514">
        <f>IF($N514="","",INDEX(Staging!$F$2:$F$3001,$N514))</f>
      </c>
      <c r="F514">
        <f>IF($N514="","",INDEX(Staging!$G$2:$G$3001,$N514))</f>
      </c>
      <c r="G514">
        <f>IF($N514="","",INDEX(Staging!$H$2:$H$3001,$N514))</f>
      </c>
      <c r="H514">
        <f>IF($N514="","",INDEX(Staging!$I$2:$I$3001,$N514))</f>
      </c>
      <c r="I514">
        <f>IF($N514="","",INDEX(Staging!$J$2:$J$3001,$N514))</f>
      </c>
      <c r="J514">
        <f>IF($N514="","",INDEX(Staging!$K$2:$K$3001,$N514))</f>
      </c>
      <c r="K514">
        <f>IF($N514="","",INDEX(Staging!$M$2:$M$3001,$N514))</f>
      </c>
      <c r="L514">
        <f>IF($N514="","",INDEX(Staging!$O$2:$O$3001,$N514))</f>
      </c>
      <c r="M514">
        <f>IF($N514="","",INDEX(Staging!$P$2:$P$3001,$N514))</f>
      </c>
      <c r="N514">
        <f t="array" ref="N514">IFERROR(SMALL(IF(Staging!$E$2:$E$3001="MIPPL",ROW(Staging!$E$2:$E$3001)-ROW(Staging!$E$2)+1),513),"")</f>
      </c>
    </row>
    <row r="515" spans="1:14" x14ac:dyDescent="0.25">
      <c r="A515">
        <f>IF($N515="","",INDEX(Staging!$A$2:$A$3001,$N515))</f>
      </c>
      <c r="B515">
        <f>IF($N515="","",INDEX(Staging!$B$2:$B$3001,$N515))</f>
      </c>
      <c r="C515">
        <f>IF($N515="","",INDEX(Staging!$C$2:$C$3001,$N515))</f>
      </c>
      <c r="D515">
        <f>IF($N515="","",INDEX(Staging!$D$2:$D$3001,$N515))</f>
      </c>
      <c r="E515">
        <f>IF($N515="","",INDEX(Staging!$F$2:$F$3001,$N515))</f>
      </c>
      <c r="F515">
        <f>IF($N515="","",INDEX(Staging!$G$2:$G$3001,$N515))</f>
      </c>
      <c r="G515">
        <f>IF($N515="","",INDEX(Staging!$H$2:$H$3001,$N515))</f>
      </c>
      <c r="H515">
        <f>IF($N515="","",INDEX(Staging!$I$2:$I$3001,$N515))</f>
      </c>
      <c r="I515">
        <f>IF($N515="","",INDEX(Staging!$J$2:$J$3001,$N515))</f>
      </c>
      <c r="J515">
        <f>IF($N515="","",INDEX(Staging!$K$2:$K$3001,$N515))</f>
      </c>
      <c r="K515">
        <f>IF($N515="","",INDEX(Staging!$M$2:$M$3001,$N515))</f>
      </c>
      <c r="L515">
        <f>IF($N515="","",INDEX(Staging!$O$2:$O$3001,$N515))</f>
      </c>
      <c r="M515">
        <f>IF($N515="","",INDEX(Staging!$P$2:$P$3001,$N515))</f>
      </c>
      <c r="N515">
        <f t="array" ref="N515">IFERROR(SMALL(IF(Staging!$E$2:$E$3001="MIPPL",ROW(Staging!$E$2:$E$3001)-ROW(Staging!$E$2)+1),514),"")</f>
      </c>
    </row>
    <row r="516" spans="1:14" x14ac:dyDescent="0.25">
      <c r="A516">
        <f>IF($N516="","",INDEX(Staging!$A$2:$A$3001,$N516))</f>
      </c>
      <c r="B516">
        <f>IF($N516="","",INDEX(Staging!$B$2:$B$3001,$N516))</f>
      </c>
      <c r="C516">
        <f>IF($N516="","",INDEX(Staging!$C$2:$C$3001,$N516))</f>
      </c>
      <c r="D516">
        <f>IF($N516="","",INDEX(Staging!$D$2:$D$3001,$N516))</f>
      </c>
      <c r="E516">
        <f>IF($N516="","",INDEX(Staging!$F$2:$F$3001,$N516))</f>
      </c>
      <c r="F516">
        <f>IF($N516="","",INDEX(Staging!$G$2:$G$3001,$N516))</f>
      </c>
      <c r="G516">
        <f>IF($N516="","",INDEX(Staging!$H$2:$H$3001,$N516))</f>
      </c>
      <c r="H516">
        <f>IF($N516="","",INDEX(Staging!$I$2:$I$3001,$N516))</f>
      </c>
      <c r="I516">
        <f>IF($N516="","",INDEX(Staging!$J$2:$J$3001,$N516))</f>
      </c>
      <c r="J516">
        <f>IF($N516="","",INDEX(Staging!$K$2:$K$3001,$N516))</f>
      </c>
      <c r="K516">
        <f>IF($N516="","",INDEX(Staging!$M$2:$M$3001,$N516))</f>
      </c>
      <c r="L516">
        <f>IF($N516="","",INDEX(Staging!$O$2:$O$3001,$N516))</f>
      </c>
      <c r="M516">
        <f>IF($N516="","",INDEX(Staging!$P$2:$P$3001,$N516))</f>
      </c>
      <c r="N516">
        <f t="array" ref="N516">IFERROR(SMALL(IF(Staging!$E$2:$E$3001="MIPPL",ROW(Staging!$E$2:$E$3001)-ROW(Staging!$E$2)+1),515),"")</f>
      </c>
    </row>
    <row r="517" spans="1:14" x14ac:dyDescent="0.25">
      <c r="A517">
        <f>IF($N517="","",INDEX(Staging!$A$2:$A$3001,$N517))</f>
      </c>
      <c r="B517">
        <f>IF($N517="","",INDEX(Staging!$B$2:$B$3001,$N517))</f>
      </c>
      <c r="C517">
        <f>IF($N517="","",INDEX(Staging!$C$2:$C$3001,$N517))</f>
      </c>
      <c r="D517">
        <f>IF($N517="","",INDEX(Staging!$D$2:$D$3001,$N517))</f>
      </c>
      <c r="E517">
        <f>IF($N517="","",INDEX(Staging!$F$2:$F$3001,$N517))</f>
      </c>
      <c r="F517">
        <f>IF($N517="","",INDEX(Staging!$G$2:$G$3001,$N517))</f>
      </c>
      <c r="G517">
        <f>IF($N517="","",INDEX(Staging!$H$2:$H$3001,$N517))</f>
      </c>
      <c r="H517">
        <f>IF($N517="","",INDEX(Staging!$I$2:$I$3001,$N517))</f>
      </c>
      <c r="I517">
        <f>IF($N517="","",INDEX(Staging!$J$2:$J$3001,$N517))</f>
      </c>
      <c r="J517">
        <f>IF($N517="","",INDEX(Staging!$K$2:$K$3001,$N517))</f>
      </c>
      <c r="K517">
        <f>IF($N517="","",INDEX(Staging!$M$2:$M$3001,$N517))</f>
      </c>
      <c r="L517">
        <f>IF($N517="","",INDEX(Staging!$O$2:$O$3001,$N517))</f>
      </c>
      <c r="M517">
        <f>IF($N517="","",INDEX(Staging!$P$2:$P$3001,$N517))</f>
      </c>
      <c r="N517">
        <f t="array" ref="N517">IFERROR(SMALL(IF(Staging!$E$2:$E$3001="MIPPL",ROW(Staging!$E$2:$E$3001)-ROW(Staging!$E$2)+1),516),"")</f>
      </c>
    </row>
    <row r="518" spans="1:14" x14ac:dyDescent="0.25">
      <c r="A518">
        <f>IF($N518="","",INDEX(Staging!$A$2:$A$3001,$N518))</f>
      </c>
      <c r="B518">
        <f>IF($N518="","",INDEX(Staging!$B$2:$B$3001,$N518))</f>
      </c>
      <c r="C518">
        <f>IF($N518="","",INDEX(Staging!$C$2:$C$3001,$N518))</f>
      </c>
      <c r="D518">
        <f>IF($N518="","",INDEX(Staging!$D$2:$D$3001,$N518))</f>
      </c>
      <c r="E518">
        <f>IF($N518="","",INDEX(Staging!$F$2:$F$3001,$N518))</f>
      </c>
      <c r="F518">
        <f>IF($N518="","",INDEX(Staging!$G$2:$G$3001,$N518))</f>
      </c>
      <c r="G518">
        <f>IF($N518="","",INDEX(Staging!$H$2:$H$3001,$N518))</f>
      </c>
      <c r="H518">
        <f>IF($N518="","",INDEX(Staging!$I$2:$I$3001,$N518))</f>
      </c>
      <c r="I518">
        <f>IF($N518="","",INDEX(Staging!$J$2:$J$3001,$N518))</f>
      </c>
      <c r="J518">
        <f>IF($N518="","",INDEX(Staging!$K$2:$K$3001,$N518))</f>
      </c>
      <c r="K518">
        <f>IF($N518="","",INDEX(Staging!$M$2:$M$3001,$N518))</f>
      </c>
      <c r="L518">
        <f>IF($N518="","",INDEX(Staging!$O$2:$O$3001,$N518))</f>
      </c>
      <c r="M518">
        <f>IF($N518="","",INDEX(Staging!$P$2:$P$3001,$N518))</f>
      </c>
      <c r="N518">
        <f t="array" ref="N518">IFERROR(SMALL(IF(Staging!$E$2:$E$3001="MIPPL",ROW(Staging!$E$2:$E$3001)-ROW(Staging!$E$2)+1),517),"")</f>
      </c>
    </row>
    <row r="519" spans="1:14" x14ac:dyDescent="0.25">
      <c r="A519">
        <f>IF($N519="","",INDEX(Staging!$A$2:$A$3001,$N519))</f>
      </c>
      <c r="B519">
        <f>IF($N519="","",INDEX(Staging!$B$2:$B$3001,$N519))</f>
      </c>
      <c r="C519">
        <f>IF($N519="","",INDEX(Staging!$C$2:$C$3001,$N519))</f>
      </c>
      <c r="D519">
        <f>IF($N519="","",INDEX(Staging!$D$2:$D$3001,$N519))</f>
      </c>
      <c r="E519">
        <f>IF($N519="","",INDEX(Staging!$F$2:$F$3001,$N519))</f>
      </c>
      <c r="F519">
        <f>IF($N519="","",INDEX(Staging!$G$2:$G$3001,$N519))</f>
      </c>
      <c r="G519">
        <f>IF($N519="","",INDEX(Staging!$H$2:$H$3001,$N519))</f>
      </c>
      <c r="H519">
        <f>IF($N519="","",INDEX(Staging!$I$2:$I$3001,$N519))</f>
      </c>
      <c r="I519">
        <f>IF($N519="","",INDEX(Staging!$J$2:$J$3001,$N519))</f>
      </c>
      <c r="J519">
        <f>IF($N519="","",INDEX(Staging!$K$2:$K$3001,$N519))</f>
      </c>
      <c r="K519">
        <f>IF($N519="","",INDEX(Staging!$M$2:$M$3001,$N519))</f>
      </c>
      <c r="L519">
        <f>IF($N519="","",INDEX(Staging!$O$2:$O$3001,$N519))</f>
      </c>
      <c r="M519">
        <f>IF($N519="","",INDEX(Staging!$P$2:$P$3001,$N519))</f>
      </c>
      <c r="N519">
        <f t="array" ref="N519">IFERROR(SMALL(IF(Staging!$E$2:$E$3001="MIPPL",ROW(Staging!$E$2:$E$3001)-ROW(Staging!$E$2)+1),518),"")</f>
      </c>
    </row>
    <row r="520" spans="1:14" x14ac:dyDescent="0.25">
      <c r="A520">
        <f>IF($N520="","",INDEX(Staging!$A$2:$A$3001,$N520))</f>
      </c>
      <c r="B520">
        <f>IF($N520="","",INDEX(Staging!$B$2:$B$3001,$N520))</f>
      </c>
      <c r="C520">
        <f>IF($N520="","",INDEX(Staging!$C$2:$C$3001,$N520))</f>
      </c>
      <c r="D520">
        <f>IF($N520="","",INDEX(Staging!$D$2:$D$3001,$N520))</f>
      </c>
      <c r="E520">
        <f>IF($N520="","",INDEX(Staging!$F$2:$F$3001,$N520))</f>
      </c>
      <c r="F520">
        <f>IF($N520="","",INDEX(Staging!$G$2:$G$3001,$N520))</f>
      </c>
      <c r="G520">
        <f>IF($N520="","",INDEX(Staging!$H$2:$H$3001,$N520))</f>
      </c>
      <c r="H520">
        <f>IF($N520="","",INDEX(Staging!$I$2:$I$3001,$N520))</f>
      </c>
      <c r="I520">
        <f>IF($N520="","",INDEX(Staging!$J$2:$J$3001,$N520))</f>
      </c>
      <c r="J520">
        <f>IF($N520="","",INDEX(Staging!$K$2:$K$3001,$N520))</f>
      </c>
      <c r="K520">
        <f>IF($N520="","",INDEX(Staging!$M$2:$M$3001,$N520))</f>
      </c>
      <c r="L520">
        <f>IF($N520="","",INDEX(Staging!$O$2:$O$3001,$N520))</f>
      </c>
      <c r="M520">
        <f>IF($N520="","",INDEX(Staging!$P$2:$P$3001,$N520))</f>
      </c>
      <c r="N520">
        <f t="array" ref="N520">IFERROR(SMALL(IF(Staging!$E$2:$E$3001="MIPPL",ROW(Staging!$E$2:$E$3001)-ROW(Staging!$E$2)+1),519),"")</f>
      </c>
    </row>
    <row r="521" spans="1:14" x14ac:dyDescent="0.25">
      <c r="A521">
        <f>IF($N521="","",INDEX(Staging!$A$2:$A$3001,$N521))</f>
      </c>
      <c r="B521">
        <f>IF($N521="","",INDEX(Staging!$B$2:$B$3001,$N521))</f>
      </c>
      <c r="C521">
        <f>IF($N521="","",INDEX(Staging!$C$2:$C$3001,$N521))</f>
      </c>
      <c r="D521">
        <f>IF($N521="","",INDEX(Staging!$D$2:$D$3001,$N521))</f>
      </c>
      <c r="E521">
        <f>IF($N521="","",INDEX(Staging!$F$2:$F$3001,$N521))</f>
      </c>
      <c r="F521">
        <f>IF($N521="","",INDEX(Staging!$G$2:$G$3001,$N521))</f>
      </c>
      <c r="G521">
        <f>IF($N521="","",INDEX(Staging!$H$2:$H$3001,$N521))</f>
      </c>
      <c r="H521">
        <f>IF($N521="","",INDEX(Staging!$I$2:$I$3001,$N521))</f>
      </c>
      <c r="I521">
        <f>IF($N521="","",INDEX(Staging!$J$2:$J$3001,$N521))</f>
      </c>
      <c r="J521">
        <f>IF($N521="","",INDEX(Staging!$K$2:$K$3001,$N521))</f>
      </c>
      <c r="K521">
        <f>IF($N521="","",INDEX(Staging!$M$2:$M$3001,$N521))</f>
      </c>
      <c r="L521">
        <f>IF($N521="","",INDEX(Staging!$O$2:$O$3001,$N521))</f>
      </c>
      <c r="M521">
        <f>IF($N521="","",INDEX(Staging!$P$2:$P$3001,$N521))</f>
      </c>
      <c r="N521">
        <f t="array" ref="N521">IFERROR(SMALL(IF(Staging!$E$2:$E$3001="MIPPL",ROW(Staging!$E$2:$E$3001)-ROW(Staging!$E$2)+1),520),"")</f>
      </c>
    </row>
    <row r="522" spans="1:14" x14ac:dyDescent="0.25">
      <c r="A522">
        <f>IF($N522="","",INDEX(Staging!$A$2:$A$3001,$N522))</f>
      </c>
      <c r="B522">
        <f>IF($N522="","",INDEX(Staging!$B$2:$B$3001,$N522))</f>
      </c>
      <c r="C522">
        <f>IF($N522="","",INDEX(Staging!$C$2:$C$3001,$N522))</f>
      </c>
      <c r="D522">
        <f>IF($N522="","",INDEX(Staging!$D$2:$D$3001,$N522))</f>
      </c>
      <c r="E522">
        <f>IF($N522="","",INDEX(Staging!$F$2:$F$3001,$N522))</f>
      </c>
      <c r="F522">
        <f>IF($N522="","",INDEX(Staging!$G$2:$G$3001,$N522))</f>
      </c>
      <c r="G522">
        <f>IF($N522="","",INDEX(Staging!$H$2:$H$3001,$N522))</f>
      </c>
      <c r="H522">
        <f>IF($N522="","",INDEX(Staging!$I$2:$I$3001,$N522))</f>
      </c>
      <c r="I522">
        <f>IF($N522="","",INDEX(Staging!$J$2:$J$3001,$N522))</f>
      </c>
      <c r="J522">
        <f>IF($N522="","",INDEX(Staging!$K$2:$K$3001,$N522))</f>
      </c>
      <c r="K522">
        <f>IF($N522="","",INDEX(Staging!$M$2:$M$3001,$N522))</f>
      </c>
      <c r="L522">
        <f>IF($N522="","",INDEX(Staging!$O$2:$O$3001,$N522))</f>
      </c>
      <c r="M522">
        <f>IF($N522="","",INDEX(Staging!$P$2:$P$3001,$N522))</f>
      </c>
      <c r="N522">
        <f t="array" ref="N522">IFERROR(SMALL(IF(Staging!$E$2:$E$3001="MIPPL",ROW(Staging!$E$2:$E$3001)-ROW(Staging!$E$2)+1),521),"")</f>
      </c>
    </row>
    <row r="523" spans="1:14" x14ac:dyDescent="0.25">
      <c r="A523">
        <f>IF($N523="","",INDEX(Staging!$A$2:$A$3001,$N523))</f>
      </c>
      <c r="B523">
        <f>IF($N523="","",INDEX(Staging!$B$2:$B$3001,$N523))</f>
      </c>
      <c r="C523">
        <f>IF($N523="","",INDEX(Staging!$C$2:$C$3001,$N523))</f>
      </c>
      <c r="D523">
        <f>IF($N523="","",INDEX(Staging!$D$2:$D$3001,$N523))</f>
      </c>
      <c r="E523">
        <f>IF($N523="","",INDEX(Staging!$F$2:$F$3001,$N523))</f>
      </c>
      <c r="F523">
        <f>IF($N523="","",INDEX(Staging!$G$2:$G$3001,$N523))</f>
      </c>
      <c r="G523">
        <f>IF($N523="","",INDEX(Staging!$H$2:$H$3001,$N523))</f>
      </c>
      <c r="H523">
        <f>IF($N523="","",INDEX(Staging!$I$2:$I$3001,$N523))</f>
      </c>
      <c r="I523">
        <f>IF($N523="","",INDEX(Staging!$J$2:$J$3001,$N523))</f>
      </c>
      <c r="J523">
        <f>IF($N523="","",INDEX(Staging!$K$2:$K$3001,$N523))</f>
      </c>
      <c r="K523">
        <f>IF($N523="","",INDEX(Staging!$M$2:$M$3001,$N523))</f>
      </c>
      <c r="L523">
        <f>IF($N523="","",INDEX(Staging!$O$2:$O$3001,$N523))</f>
      </c>
      <c r="M523">
        <f>IF($N523="","",INDEX(Staging!$P$2:$P$3001,$N523))</f>
      </c>
      <c r="N523">
        <f t="array" ref="N523">IFERROR(SMALL(IF(Staging!$E$2:$E$3001="MIPPL",ROW(Staging!$E$2:$E$3001)-ROW(Staging!$E$2)+1),522),"")</f>
      </c>
    </row>
    <row r="524" spans="1:14" x14ac:dyDescent="0.25">
      <c r="A524">
        <f>IF($N524="","",INDEX(Staging!$A$2:$A$3001,$N524))</f>
      </c>
      <c r="B524">
        <f>IF($N524="","",INDEX(Staging!$B$2:$B$3001,$N524))</f>
      </c>
      <c r="C524">
        <f>IF($N524="","",INDEX(Staging!$C$2:$C$3001,$N524))</f>
      </c>
      <c r="D524">
        <f>IF($N524="","",INDEX(Staging!$D$2:$D$3001,$N524))</f>
      </c>
      <c r="E524">
        <f>IF($N524="","",INDEX(Staging!$F$2:$F$3001,$N524))</f>
      </c>
      <c r="F524">
        <f>IF($N524="","",INDEX(Staging!$G$2:$G$3001,$N524))</f>
      </c>
      <c r="G524">
        <f>IF($N524="","",INDEX(Staging!$H$2:$H$3001,$N524))</f>
      </c>
      <c r="H524">
        <f>IF($N524="","",INDEX(Staging!$I$2:$I$3001,$N524))</f>
      </c>
      <c r="I524">
        <f>IF($N524="","",INDEX(Staging!$J$2:$J$3001,$N524))</f>
      </c>
      <c r="J524">
        <f>IF($N524="","",INDEX(Staging!$K$2:$K$3001,$N524))</f>
      </c>
      <c r="K524">
        <f>IF($N524="","",INDEX(Staging!$M$2:$M$3001,$N524))</f>
      </c>
      <c r="L524">
        <f>IF($N524="","",INDEX(Staging!$O$2:$O$3001,$N524))</f>
      </c>
      <c r="M524">
        <f>IF($N524="","",INDEX(Staging!$P$2:$P$3001,$N524))</f>
      </c>
      <c r="N524">
        <f t="array" ref="N524">IFERROR(SMALL(IF(Staging!$E$2:$E$3001="MIPPL",ROW(Staging!$E$2:$E$3001)-ROW(Staging!$E$2)+1),523),"")</f>
      </c>
    </row>
    <row r="525" spans="1:14" x14ac:dyDescent="0.25">
      <c r="A525">
        <f>IF($N525="","",INDEX(Staging!$A$2:$A$3001,$N525))</f>
      </c>
      <c r="B525">
        <f>IF($N525="","",INDEX(Staging!$B$2:$B$3001,$N525))</f>
      </c>
      <c r="C525">
        <f>IF($N525="","",INDEX(Staging!$C$2:$C$3001,$N525))</f>
      </c>
      <c r="D525">
        <f>IF($N525="","",INDEX(Staging!$D$2:$D$3001,$N525))</f>
      </c>
      <c r="E525">
        <f>IF($N525="","",INDEX(Staging!$F$2:$F$3001,$N525))</f>
      </c>
      <c r="F525">
        <f>IF($N525="","",INDEX(Staging!$G$2:$G$3001,$N525))</f>
      </c>
      <c r="G525">
        <f>IF($N525="","",INDEX(Staging!$H$2:$H$3001,$N525))</f>
      </c>
      <c r="H525">
        <f>IF($N525="","",INDEX(Staging!$I$2:$I$3001,$N525))</f>
      </c>
      <c r="I525">
        <f>IF($N525="","",INDEX(Staging!$J$2:$J$3001,$N525))</f>
      </c>
      <c r="J525">
        <f>IF($N525="","",INDEX(Staging!$K$2:$K$3001,$N525))</f>
      </c>
      <c r="K525">
        <f>IF($N525="","",INDEX(Staging!$M$2:$M$3001,$N525))</f>
      </c>
      <c r="L525">
        <f>IF($N525="","",INDEX(Staging!$O$2:$O$3001,$N525))</f>
      </c>
      <c r="M525">
        <f>IF($N525="","",INDEX(Staging!$P$2:$P$3001,$N525))</f>
      </c>
      <c r="N525">
        <f t="array" ref="N525">IFERROR(SMALL(IF(Staging!$E$2:$E$3001="MIPPL",ROW(Staging!$E$2:$E$3001)-ROW(Staging!$E$2)+1),524),"")</f>
      </c>
    </row>
    <row r="526" spans="1:14" x14ac:dyDescent="0.25">
      <c r="A526">
        <f>IF($N526="","",INDEX(Staging!$A$2:$A$3001,$N526))</f>
      </c>
      <c r="B526">
        <f>IF($N526="","",INDEX(Staging!$B$2:$B$3001,$N526))</f>
      </c>
      <c r="C526">
        <f>IF($N526="","",INDEX(Staging!$C$2:$C$3001,$N526))</f>
      </c>
      <c r="D526">
        <f>IF($N526="","",INDEX(Staging!$D$2:$D$3001,$N526))</f>
      </c>
      <c r="E526">
        <f>IF($N526="","",INDEX(Staging!$F$2:$F$3001,$N526))</f>
      </c>
      <c r="F526">
        <f>IF($N526="","",INDEX(Staging!$G$2:$G$3001,$N526))</f>
      </c>
      <c r="G526">
        <f>IF($N526="","",INDEX(Staging!$H$2:$H$3001,$N526))</f>
      </c>
      <c r="H526">
        <f>IF($N526="","",INDEX(Staging!$I$2:$I$3001,$N526))</f>
      </c>
      <c r="I526">
        <f>IF($N526="","",INDEX(Staging!$J$2:$J$3001,$N526))</f>
      </c>
      <c r="J526">
        <f>IF($N526="","",INDEX(Staging!$K$2:$K$3001,$N526))</f>
      </c>
      <c r="K526">
        <f>IF($N526="","",INDEX(Staging!$M$2:$M$3001,$N526))</f>
      </c>
      <c r="L526">
        <f>IF($N526="","",INDEX(Staging!$O$2:$O$3001,$N526))</f>
      </c>
      <c r="M526">
        <f>IF($N526="","",INDEX(Staging!$P$2:$P$3001,$N526))</f>
      </c>
      <c r="N526">
        <f t="array" ref="N526">IFERROR(SMALL(IF(Staging!$E$2:$E$3001="MIPPL",ROW(Staging!$E$2:$E$3001)-ROW(Staging!$E$2)+1),525),"")</f>
      </c>
    </row>
    <row r="527" spans="1:14" x14ac:dyDescent="0.25">
      <c r="A527">
        <f>IF($N527="","",INDEX(Staging!$A$2:$A$3001,$N527))</f>
      </c>
      <c r="B527">
        <f>IF($N527="","",INDEX(Staging!$B$2:$B$3001,$N527))</f>
      </c>
      <c r="C527">
        <f>IF($N527="","",INDEX(Staging!$C$2:$C$3001,$N527))</f>
      </c>
      <c r="D527">
        <f>IF($N527="","",INDEX(Staging!$D$2:$D$3001,$N527))</f>
      </c>
      <c r="E527">
        <f>IF($N527="","",INDEX(Staging!$F$2:$F$3001,$N527))</f>
      </c>
      <c r="F527">
        <f>IF($N527="","",INDEX(Staging!$G$2:$G$3001,$N527))</f>
      </c>
      <c r="G527">
        <f>IF($N527="","",INDEX(Staging!$H$2:$H$3001,$N527))</f>
      </c>
      <c r="H527">
        <f>IF($N527="","",INDEX(Staging!$I$2:$I$3001,$N527))</f>
      </c>
      <c r="I527">
        <f>IF($N527="","",INDEX(Staging!$J$2:$J$3001,$N527))</f>
      </c>
      <c r="J527">
        <f>IF($N527="","",INDEX(Staging!$K$2:$K$3001,$N527))</f>
      </c>
      <c r="K527">
        <f>IF($N527="","",INDEX(Staging!$M$2:$M$3001,$N527))</f>
      </c>
      <c r="L527">
        <f>IF($N527="","",INDEX(Staging!$O$2:$O$3001,$N527))</f>
      </c>
      <c r="M527">
        <f>IF($N527="","",INDEX(Staging!$P$2:$P$3001,$N527))</f>
      </c>
      <c r="N527">
        <f t="array" ref="N527">IFERROR(SMALL(IF(Staging!$E$2:$E$3001="MIPPL",ROW(Staging!$E$2:$E$3001)-ROW(Staging!$E$2)+1),526),"")</f>
      </c>
    </row>
    <row r="528" spans="1:14" x14ac:dyDescent="0.25">
      <c r="A528">
        <f>IF($N528="","",INDEX(Staging!$A$2:$A$3001,$N528))</f>
      </c>
      <c r="B528">
        <f>IF($N528="","",INDEX(Staging!$B$2:$B$3001,$N528))</f>
      </c>
      <c r="C528">
        <f>IF($N528="","",INDEX(Staging!$C$2:$C$3001,$N528))</f>
      </c>
      <c r="D528">
        <f>IF($N528="","",INDEX(Staging!$D$2:$D$3001,$N528))</f>
      </c>
      <c r="E528">
        <f>IF($N528="","",INDEX(Staging!$F$2:$F$3001,$N528))</f>
      </c>
      <c r="F528">
        <f>IF($N528="","",INDEX(Staging!$G$2:$G$3001,$N528))</f>
      </c>
      <c r="G528">
        <f>IF($N528="","",INDEX(Staging!$H$2:$H$3001,$N528))</f>
      </c>
      <c r="H528">
        <f>IF($N528="","",INDEX(Staging!$I$2:$I$3001,$N528))</f>
      </c>
      <c r="I528">
        <f>IF($N528="","",INDEX(Staging!$J$2:$J$3001,$N528))</f>
      </c>
      <c r="J528">
        <f>IF($N528="","",INDEX(Staging!$K$2:$K$3001,$N528))</f>
      </c>
      <c r="K528">
        <f>IF($N528="","",INDEX(Staging!$M$2:$M$3001,$N528))</f>
      </c>
      <c r="L528">
        <f>IF($N528="","",INDEX(Staging!$O$2:$O$3001,$N528))</f>
      </c>
      <c r="M528">
        <f>IF($N528="","",INDEX(Staging!$P$2:$P$3001,$N528))</f>
      </c>
      <c r="N528">
        <f t="array" ref="N528">IFERROR(SMALL(IF(Staging!$E$2:$E$3001="MIPPL",ROW(Staging!$E$2:$E$3001)-ROW(Staging!$E$2)+1),527),"")</f>
      </c>
    </row>
    <row r="529" spans="1:14" x14ac:dyDescent="0.25">
      <c r="A529">
        <f>IF($N529="","",INDEX(Staging!$A$2:$A$3001,$N529))</f>
      </c>
      <c r="B529">
        <f>IF($N529="","",INDEX(Staging!$B$2:$B$3001,$N529))</f>
      </c>
      <c r="C529">
        <f>IF($N529="","",INDEX(Staging!$C$2:$C$3001,$N529))</f>
      </c>
      <c r="D529">
        <f>IF($N529="","",INDEX(Staging!$D$2:$D$3001,$N529))</f>
      </c>
      <c r="E529">
        <f>IF($N529="","",INDEX(Staging!$F$2:$F$3001,$N529))</f>
      </c>
      <c r="F529">
        <f>IF($N529="","",INDEX(Staging!$G$2:$G$3001,$N529))</f>
      </c>
      <c r="G529">
        <f>IF($N529="","",INDEX(Staging!$H$2:$H$3001,$N529))</f>
      </c>
      <c r="H529">
        <f>IF($N529="","",INDEX(Staging!$I$2:$I$3001,$N529))</f>
      </c>
      <c r="I529">
        <f>IF($N529="","",INDEX(Staging!$J$2:$J$3001,$N529))</f>
      </c>
      <c r="J529">
        <f>IF($N529="","",INDEX(Staging!$K$2:$K$3001,$N529))</f>
      </c>
      <c r="K529">
        <f>IF($N529="","",INDEX(Staging!$M$2:$M$3001,$N529))</f>
      </c>
      <c r="L529">
        <f>IF($N529="","",INDEX(Staging!$O$2:$O$3001,$N529))</f>
      </c>
      <c r="M529">
        <f>IF($N529="","",INDEX(Staging!$P$2:$P$3001,$N529))</f>
      </c>
      <c r="N529">
        <f t="array" ref="N529">IFERROR(SMALL(IF(Staging!$E$2:$E$3001="MIPPL",ROW(Staging!$E$2:$E$3001)-ROW(Staging!$E$2)+1),528),"")</f>
      </c>
    </row>
    <row r="530" spans="1:14" x14ac:dyDescent="0.25">
      <c r="A530">
        <f>IF($N530="","",INDEX(Staging!$A$2:$A$3001,$N530))</f>
      </c>
      <c r="B530">
        <f>IF($N530="","",INDEX(Staging!$B$2:$B$3001,$N530))</f>
      </c>
      <c r="C530">
        <f>IF($N530="","",INDEX(Staging!$C$2:$C$3001,$N530))</f>
      </c>
      <c r="D530">
        <f>IF($N530="","",INDEX(Staging!$D$2:$D$3001,$N530))</f>
      </c>
      <c r="E530">
        <f>IF($N530="","",INDEX(Staging!$F$2:$F$3001,$N530))</f>
      </c>
      <c r="F530">
        <f>IF($N530="","",INDEX(Staging!$G$2:$G$3001,$N530))</f>
      </c>
      <c r="G530">
        <f>IF($N530="","",INDEX(Staging!$H$2:$H$3001,$N530))</f>
      </c>
      <c r="H530">
        <f>IF($N530="","",INDEX(Staging!$I$2:$I$3001,$N530))</f>
      </c>
      <c r="I530">
        <f>IF($N530="","",INDEX(Staging!$J$2:$J$3001,$N530))</f>
      </c>
      <c r="J530">
        <f>IF($N530="","",INDEX(Staging!$K$2:$K$3001,$N530))</f>
      </c>
      <c r="K530">
        <f>IF($N530="","",INDEX(Staging!$M$2:$M$3001,$N530))</f>
      </c>
      <c r="L530">
        <f>IF($N530="","",INDEX(Staging!$O$2:$O$3001,$N530))</f>
      </c>
      <c r="M530">
        <f>IF($N530="","",INDEX(Staging!$P$2:$P$3001,$N530))</f>
      </c>
      <c r="N530">
        <f t="array" ref="N530">IFERROR(SMALL(IF(Staging!$E$2:$E$3001="MIPPL",ROW(Staging!$E$2:$E$3001)-ROW(Staging!$E$2)+1),529),"")</f>
      </c>
    </row>
    <row r="531" spans="1:14" x14ac:dyDescent="0.25">
      <c r="A531">
        <f>IF($N531="","",INDEX(Staging!$A$2:$A$3001,$N531))</f>
      </c>
      <c r="B531">
        <f>IF($N531="","",INDEX(Staging!$B$2:$B$3001,$N531))</f>
      </c>
      <c r="C531">
        <f>IF($N531="","",INDEX(Staging!$C$2:$C$3001,$N531))</f>
      </c>
      <c r="D531">
        <f>IF($N531="","",INDEX(Staging!$D$2:$D$3001,$N531))</f>
      </c>
      <c r="E531">
        <f>IF($N531="","",INDEX(Staging!$F$2:$F$3001,$N531))</f>
      </c>
      <c r="F531">
        <f>IF($N531="","",INDEX(Staging!$G$2:$G$3001,$N531))</f>
      </c>
      <c r="G531">
        <f>IF($N531="","",INDEX(Staging!$H$2:$H$3001,$N531))</f>
      </c>
      <c r="H531">
        <f>IF($N531="","",INDEX(Staging!$I$2:$I$3001,$N531))</f>
      </c>
      <c r="I531">
        <f>IF($N531="","",INDEX(Staging!$J$2:$J$3001,$N531))</f>
      </c>
      <c r="J531">
        <f>IF($N531="","",INDEX(Staging!$K$2:$K$3001,$N531))</f>
      </c>
      <c r="K531">
        <f>IF($N531="","",INDEX(Staging!$M$2:$M$3001,$N531))</f>
      </c>
      <c r="L531">
        <f>IF($N531="","",INDEX(Staging!$O$2:$O$3001,$N531))</f>
      </c>
      <c r="M531">
        <f>IF($N531="","",INDEX(Staging!$P$2:$P$3001,$N531))</f>
      </c>
      <c r="N531">
        <f t="array" ref="N531">IFERROR(SMALL(IF(Staging!$E$2:$E$3001="MIPPL",ROW(Staging!$E$2:$E$3001)-ROW(Staging!$E$2)+1),530),"")</f>
      </c>
    </row>
    <row r="532" spans="1:14" x14ac:dyDescent="0.25">
      <c r="A532">
        <f>IF($N532="","",INDEX(Staging!$A$2:$A$3001,$N532))</f>
      </c>
      <c r="B532">
        <f>IF($N532="","",INDEX(Staging!$B$2:$B$3001,$N532))</f>
      </c>
      <c r="C532">
        <f>IF($N532="","",INDEX(Staging!$C$2:$C$3001,$N532))</f>
      </c>
      <c r="D532">
        <f>IF($N532="","",INDEX(Staging!$D$2:$D$3001,$N532))</f>
      </c>
      <c r="E532">
        <f>IF($N532="","",INDEX(Staging!$F$2:$F$3001,$N532))</f>
      </c>
      <c r="F532">
        <f>IF($N532="","",INDEX(Staging!$G$2:$G$3001,$N532))</f>
      </c>
      <c r="G532">
        <f>IF($N532="","",INDEX(Staging!$H$2:$H$3001,$N532))</f>
      </c>
      <c r="H532">
        <f>IF($N532="","",INDEX(Staging!$I$2:$I$3001,$N532))</f>
      </c>
      <c r="I532">
        <f>IF($N532="","",INDEX(Staging!$J$2:$J$3001,$N532))</f>
      </c>
      <c r="J532">
        <f>IF($N532="","",INDEX(Staging!$K$2:$K$3001,$N532))</f>
      </c>
      <c r="K532">
        <f>IF($N532="","",INDEX(Staging!$M$2:$M$3001,$N532))</f>
      </c>
      <c r="L532">
        <f>IF($N532="","",INDEX(Staging!$O$2:$O$3001,$N532))</f>
      </c>
      <c r="M532">
        <f>IF($N532="","",INDEX(Staging!$P$2:$P$3001,$N532))</f>
      </c>
      <c r="N532">
        <f t="array" ref="N532">IFERROR(SMALL(IF(Staging!$E$2:$E$3001="MIPPL",ROW(Staging!$E$2:$E$3001)-ROW(Staging!$E$2)+1),531),"")</f>
      </c>
    </row>
    <row r="533" spans="1:14" x14ac:dyDescent="0.25">
      <c r="A533">
        <f>IF($N533="","",INDEX(Staging!$A$2:$A$3001,$N533))</f>
      </c>
      <c r="B533">
        <f>IF($N533="","",INDEX(Staging!$B$2:$B$3001,$N533))</f>
      </c>
      <c r="C533">
        <f>IF($N533="","",INDEX(Staging!$C$2:$C$3001,$N533))</f>
      </c>
      <c r="D533">
        <f>IF($N533="","",INDEX(Staging!$D$2:$D$3001,$N533))</f>
      </c>
      <c r="E533">
        <f>IF($N533="","",INDEX(Staging!$F$2:$F$3001,$N533))</f>
      </c>
      <c r="F533">
        <f>IF($N533="","",INDEX(Staging!$G$2:$G$3001,$N533))</f>
      </c>
      <c r="G533">
        <f>IF($N533="","",INDEX(Staging!$H$2:$H$3001,$N533))</f>
      </c>
      <c r="H533">
        <f>IF($N533="","",INDEX(Staging!$I$2:$I$3001,$N533))</f>
      </c>
      <c r="I533">
        <f>IF($N533="","",INDEX(Staging!$J$2:$J$3001,$N533))</f>
      </c>
      <c r="J533">
        <f>IF($N533="","",INDEX(Staging!$K$2:$K$3001,$N533))</f>
      </c>
      <c r="K533">
        <f>IF($N533="","",INDEX(Staging!$M$2:$M$3001,$N533))</f>
      </c>
      <c r="L533">
        <f>IF($N533="","",INDEX(Staging!$O$2:$O$3001,$N533))</f>
      </c>
      <c r="M533">
        <f>IF($N533="","",INDEX(Staging!$P$2:$P$3001,$N533))</f>
      </c>
      <c r="N533">
        <f t="array" ref="N533">IFERROR(SMALL(IF(Staging!$E$2:$E$3001="MIPPL",ROW(Staging!$E$2:$E$3001)-ROW(Staging!$E$2)+1),532),"")</f>
      </c>
    </row>
    <row r="534" spans="1:14" x14ac:dyDescent="0.25">
      <c r="A534">
        <f>IF($N534="","",INDEX(Staging!$A$2:$A$3001,$N534))</f>
      </c>
      <c r="B534">
        <f>IF($N534="","",INDEX(Staging!$B$2:$B$3001,$N534))</f>
      </c>
      <c r="C534">
        <f>IF($N534="","",INDEX(Staging!$C$2:$C$3001,$N534))</f>
      </c>
      <c r="D534">
        <f>IF($N534="","",INDEX(Staging!$D$2:$D$3001,$N534))</f>
      </c>
      <c r="E534">
        <f>IF($N534="","",INDEX(Staging!$F$2:$F$3001,$N534))</f>
      </c>
      <c r="F534">
        <f>IF($N534="","",INDEX(Staging!$G$2:$G$3001,$N534))</f>
      </c>
      <c r="G534">
        <f>IF($N534="","",INDEX(Staging!$H$2:$H$3001,$N534))</f>
      </c>
      <c r="H534">
        <f>IF($N534="","",INDEX(Staging!$I$2:$I$3001,$N534))</f>
      </c>
      <c r="I534">
        <f>IF($N534="","",INDEX(Staging!$J$2:$J$3001,$N534))</f>
      </c>
      <c r="J534">
        <f>IF($N534="","",INDEX(Staging!$K$2:$K$3001,$N534))</f>
      </c>
      <c r="K534">
        <f>IF($N534="","",INDEX(Staging!$M$2:$M$3001,$N534))</f>
      </c>
      <c r="L534">
        <f>IF($N534="","",INDEX(Staging!$O$2:$O$3001,$N534))</f>
      </c>
      <c r="M534">
        <f>IF($N534="","",INDEX(Staging!$P$2:$P$3001,$N534))</f>
      </c>
      <c r="N534">
        <f t="array" ref="N534">IFERROR(SMALL(IF(Staging!$E$2:$E$3001="MIPPL",ROW(Staging!$E$2:$E$3001)-ROW(Staging!$E$2)+1),533),"")</f>
      </c>
    </row>
    <row r="535" spans="1:14" x14ac:dyDescent="0.25">
      <c r="A535">
        <f>IF($N535="","",INDEX(Staging!$A$2:$A$3001,$N535))</f>
      </c>
      <c r="B535">
        <f>IF($N535="","",INDEX(Staging!$B$2:$B$3001,$N535))</f>
      </c>
      <c r="C535">
        <f>IF($N535="","",INDEX(Staging!$C$2:$C$3001,$N535))</f>
      </c>
      <c r="D535">
        <f>IF($N535="","",INDEX(Staging!$D$2:$D$3001,$N535))</f>
      </c>
      <c r="E535">
        <f>IF($N535="","",INDEX(Staging!$F$2:$F$3001,$N535))</f>
      </c>
      <c r="F535">
        <f>IF($N535="","",INDEX(Staging!$G$2:$G$3001,$N535))</f>
      </c>
      <c r="G535">
        <f>IF($N535="","",INDEX(Staging!$H$2:$H$3001,$N535))</f>
      </c>
      <c r="H535">
        <f>IF($N535="","",INDEX(Staging!$I$2:$I$3001,$N535))</f>
      </c>
      <c r="I535">
        <f>IF($N535="","",INDEX(Staging!$J$2:$J$3001,$N535))</f>
      </c>
      <c r="J535">
        <f>IF($N535="","",INDEX(Staging!$K$2:$K$3001,$N535))</f>
      </c>
      <c r="K535">
        <f>IF($N535="","",INDEX(Staging!$M$2:$M$3001,$N535))</f>
      </c>
      <c r="L535">
        <f>IF($N535="","",INDEX(Staging!$O$2:$O$3001,$N535))</f>
      </c>
      <c r="M535">
        <f>IF($N535="","",INDEX(Staging!$P$2:$P$3001,$N535))</f>
      </c>
      <c r="N535">
        <f t="array" ref="N535">IFERROR(SMALL(IF(Staging!$E$2:$E$3001="MIPPL",ROW(Staging!$E$2:$E$3001)-ROW(Staging!$E$2)+1),534),"")</f>
      </c>
    </row>
    <row r="536" spans="1:14" x14ac:dyDescent="0.25">
      <c r="A536">
        <f>IF($N536="","",INDEX(Staging!$A$2:$A$3001,$N536))</f>
      </c>
      <c r="B536">
        <f>IF($N536="","",INDEX(Staging!$B$2:$B$3001,$N536))</f>
      </c>
      <c r="C536">
        <f>IF($N536="","",INDEX(Staging!$C$2:$C$3001,$N536))</f>
      </c>
      <c r="D536">
        <f>IF($N536="","",INDEX(Staging!$D$2:$D$3001,$N536))</f>
      </c>
      <c r="E536">
        <f>IF($N536="","",INDEX(Staging!$F$2:$F$3001,$N536))</f>
      </c>
      <c r="F536">
        <f>IF($N536="","",INDEX(Staging!$G$2:$G$3001,$N536))</f>
      </c>
      <c r="G536">
        <f>IF($N536="","",INDEX(Staging!$H$2:$H$3001,$N536))</f>
      </c>
      <c r="H536">
        <f>IF($N536="","",INDEX(Staging!$I$2:$I$3001,$N536))</f>
      </c>
      <c r="I536">
        <f>IF($N536="","",INDEX(Staging!$J$2:$J$3001,$N536))</f>
      </c>
      <c r="J536">
        <f>IF($N536="","",INDEX(Staging!$K$2:$K$3001,$N536))</f>
      </c>
      <c r="K536">
        <f>IF($N536="","",INDEX(Staging!$M$2:$M$3001,$N536))</f>
      </c>
      <c r="L536">
        <f>IF($N536="","",INDEX(Staging!$O$2:$O$3001,$N536))</f>
      </c>
      <c r="M536">
        <f>IF($N536="","",INDEX(Staging!$P$2:$P$3001,$N536))</f>
      </c>
      <c r="N536">
        <f t="array" ref="N536">IFERROR(SMALL(IF(Staging!$E$2:$E$3001="MIPPL",ROW(Staging!$E$2:$E$3001)-ROW(Staging!$E$2)+1),535),"")</f>
      </c>
    </row>
    <row r="537" spans="1:14" x14ac:dyDescent="0.25">
      <c r="A537">
        <f>IF($N537="","",INDEX(Staging!$A$2:$A$3001,$N537))</f>
      </c>
      <c r="B537">
        <f>IF($N537="","",INDEX(Staging!$B$2:$B$3001,$N537))</f>
      </c>
      <c r="C537">
        <f>IF($N537="","",INDEX(Staging!$C$2:$C$3001,$N537))</f>
      </c>
      <c r="D537">
        <f>IF($N537="","",INDEX(Staging!$D$2:$D$3001,$N537))</f>
      </c>
      <c r="E537">
        <f>IF($N537="","",INDEX(Staging!$F$2:$F$3001,$N537))</f>
      </c>
      <c r="F537">
        <f>IF($N537="","",INDEX(Staging!$G$2:$G$3001,$N537))</f>
      </c>
      <c r="G537">
        <f>IF($N537="","",INDEX(Staging!$H$2:$H$3001,$N537))</f>
      </c>
      <c r="H537">
        <f>IF($N537="","",INDEX(Staging!$I$2:$I$3001,$N537))</f>
      </c>
      <c r="I537">
        <f>IF($N537="","",INDEX(Staging!$J$2:$J$3001,$N537))</f>
      </c>
      <c r="J537">
        <f>IF($N537="","",INDEX(Staging!$K$2:$K$3001,$N537))</f>
      </c>
      <c r="K537">
        <f>IF($N537="","",INDEX(Staging!$M$2:$M$3001,$N537))</f>
      </c>
      <c r="L537">
        <f>IF($N537="","",INDEX(Staging!$O$2:$O$3001,$N537))</f>
      </c>
      <c r="M537">
        <f>IF($N537="","",INDEX(Staging!$P$2:$P$3001,$N537))</f>
      </c>
      <c r="N537">
        <f t="array" ref="N537">IFERROR(SMALL(IF(Staging!$E$2:$E$3001="MIPPL",ROW(Staging!$E$2:$E$3001)-ROW(Staging!$E$2)+1),536),"")</f>
      </c>
    </row>
    <row r="538" spans="1:14" x14ac:dyDescent="0.25">
      <c r="A538">
        <f>IF($N538="","",INDEX(Staging!$A$2:$A$3001,$N538))</f>
      </c>
      <c r="B538">
        <f>IF($N538="","",INDEX(Staging!$B$2:$B$3001,$N538))</f>
      </c>
      <c r="C538">
        <f>IF($N538="","",INDEX(Staging!$C$2:$C$3001,$N538))</f>
      </c>
      <c r="D538">
        <f>IF($N538="","",INDEX(Staging!$D$2:$D$3001,$N538))</f>
      </c>
      <c r="E538">
        <f>IF($N538="","",INDEX(Staging!$F$2:$F$3001,$N538))</f>
      </c>
      <c r="F538">
        <f>IF($N538="","",INDEX(Staging!$G$2:$G$3001,$N538))</f>
      </c>
      <c r="G538">
        <f>IF($N538="","",INDEX(Staging!$H$2:$H$3001,$N538))</f>
      </c>
      <c r="H538">
        <f>IF($N538="","",INDEX(Staging!$I$2:$I$3001,$N538))</f>
      </c>
      <c r="I538">
        <f>IF($N538="","",INDEX(Staging!$J$2:$J$3001,$N538))</f>
      </c>
      <c r="J538">
        <f>IF($N538="","",INDEX(Staging!$K$2:$K$3001,$N538))</f>
      </c>
      <c r="K538">
        <f>IF($N538="","",INDEX(Staging!$M$2:$M$3001,$N538))</f>
      </c>
      <c r="L538">
        <f>IF($N538="","",INDEX(Staging!$O$2:$O$3001,$N538))</f>
      </c>
      <c r="M538">
        <f>IF($N538="","",INDEX(Staging!$P$2:$P$3001,$N538))</f>
      </c>
      <c r="N538">
        <f t="array" ref="N538">IFERROR(SMALL(IF(Staging!$E$2:$E$3001="MIPPL",ROW(Staging!$E$2:$E$3001)-ROW(Staging!$E$2)+1),537),"")</f>
      </c>
    </row>
    <row r="539" spans="1:14" x14ac:dyDescent="0.25">
      <c r="A539">
        <f>IF($N539="","",INDEX(Staging!$A$2:$A$3001,$N539))</f>
      </c>
      <c r="B539">
        <f>IF($N539="","",INDEX(Staging!$B$2:$B$3001,$N539))</f>
      </c>
      <c r="C539">
        <f>IF($N539="","",INDEX(Staging!$C$2:$C$3001,$N539))</f>
      </c>
      <c r="D539">
        <f>IF($N539="","",INDEX(Staging!$D$2:$D$3001,$N539))</f>
      </c>
      <c r="E539">
        <f>IF($N539="","",INDEX(Staging!$F$2:$F$3001,$N539))</f>
      </c>
      <c r="F539">
        <f>IF($N539="","",INDEX(Staging!$G$2:$G$3001,$N539))</f>
      </c>
      <c r="G539">
        <f>IF($N539="","",INDEX(Staging!$H$2:$H$3001,$N539))</f>
      </c>
      <c r="H539">
        <f>IF($N539="","",INDEX(Staging!$I$2:$I$3001,$N539))</f>
      </c>
      <c r="I539">
        <f>IF($N539="","",INDEX(Staging!$J$2:$J$3001,$N539))</f>
      </c>
      <c r="J539">
        <f>IF($N539="","",INDEX(Staging!$K$2:$K$3001,$N539))</f>
      </c>
      <c r="K539">
        <f>IF($N539="","",INDEX(Staging!$M$2:$M$3001,$N539))</f>
      </c>
      <c r="L539">
        <f>IF($N539="","",INDEX(Staging!$O$2:$O$3001,$N539))</f>
      </c>
      <c r="M539">
        <f>IF($N539="","",INDEX(Staging!$P$2:$P$3001,$N539))</f>
      </c>
      <c r="N539">
        <f t="array" ref="N539">IFERROR(SMALL(IF(Staging!$E$2:$E$3001="MIPPL",ROW(Staging!$E$2:$E$3001)-ROW(Staging!$E$2)+1),538),"")</f>
      </c>
    </row>
    <row r="540" spans="1:14" x14ac:dyDescent="0.25">
      <c r="A540">
        <f>IF($N540="","",INDEX(Staging!$A$2:$A$3001,$N540))</f>
      </c>
      <c r="B540">
        <f>IF($N540="","",INDEX(Staging!$B$2:$B$3001,$N540))</f>
      </c>
      <c r="C540">
        <f>IF($N540="","",INDEX(Staging!$C$2:$C$3001,$N540))</f>
      </c>
      <c r="D540">
        <f>IF($N540="","",INDEX(Staging!$D$2:$D$3001,$N540))</f>
      </c>
      <c r="E540">
        <f>IF($N540="","",INDEX(Staging!$F$2:$F$3001,$N540))</f>
      </c>
      <c r="F540">
        <f>IF($N540="","",INDEX(Staging!$G$2:$G$3001,$N540))</f>
      </c>
      <c r="G540">
        <f>IF($N540="","",INDEX(Staging!$H$2:$H$3001,$N540))</f>
      </c>
      <c r="H540">
        <f>IF($N540="","",INDEX(Staging!$I$2:$I$3001,$N540))</f>
      </c>
      <c r="I540">
        <f>IF($N540="","",INDEX(Staging!$J$2:$J$3001,$N540))</f>
      </c>
      <c r="J540">
        <f>IF($N540="","",INDEX(Staging!$K$2:$K$3001,$N540))</f>
      </c>
      <c r="K540">
        <f>IF($N540="","",INDEX(Staging!$M$2:$M$3001,$N540))</f>
      </c>
      <c r="L540">
        <f>IF($N540="","",INDEX(Staging!$O$2:$O$3001,$N540))</f>
      </c>
      <c r="M540">
        <f>IF($N540="","",INDEX(Staging!$P$2:$P$3001,$N540))</f>
      </c>
      <c r="N540">
        <f t="array" ref="N540">IFERROR(SMALL(IF(Staging!$E$2:$E$3001="MIPPL",ROW(Staging!$E$2:$E$3001)-ROW(Staging!$E$2)+1),539),"")</f>
      </c>
    </row>
    <row r="541" spans="1:14" x14ac:dyDescent="0.25">
      <c r="A541">
        <f>IF($N541="","",INDEX(Staging!$A$2:$A$3001,$N541))</f>
      </c>
      <c r="B541">
        <f>IF($N541="","",INDEX(Staging!$B$2:$B$3001,$N541))</f>
      </c>
      <c r="C541">
        <f>IF($N541="","",INDEX(Staging!$C$2:$C$3001,$N541))</f>
      </c>
      <c r="D541">
        <f>IF($N541="","",INDEX(Staging!$D$2:$D$3001,$N541))</f>
      </c>
      <c r="E541">
        <f>IF($N541="","",INDEX(Staging!$F$2:$F$3001,$N541))</f>
      </c>
      <c r="F541">
        <f>IF($N541="","",INDEX(Staging!$G$2:$G$3001,$N541))</f>
      </c>
      <c r="G541">
        <f>IF($N541="","",INDEX(Staging!$H$2:$H$3001,$N541))</f>
      </c>
      <c r="H541">
        <f>IF($N541="","",INDEX(Staging!$I$2:$I$3001,$N541))</f>
      </c>
      <c r="I541">
        <f>IF($N541="","",INDEX(Staging!$J$2:$J$3001,$N541))</f>
      </c>
      <c r="J541">
        <f>IF($N541="","",INDEX(Staging!$K$2:$K$3001,$N541))</f>
      </c>
      <c r="K541">
        <f>IF($N541="","",INDEX(Staging!$M$2:$M$3001,$N541))</f>
      </c>
      <c r="L541">
        <f>IF($N541="","",INDEX(Staging!$O$2:$O$3001,$N541))</f>
      </c>
      <c r="M541">
        <f>IF($N541="","",INDEX(Staging!$P$2:$P$3001,$N541))</f>
      </c>
      <c r="N541">
        <f t="array" ref="N541">IFERROR(SMALL(IF(Staging!$E$2:$E$3001="MIPPL",ROW(Staging!$E$2:$E$3001)-ROW(Staging!$E$2)+1),540),"")</f>
      </c>
    </row>
    <row r="542" spans="1:14" x14ac:dyDescent="0.25">
      <c r="A542">
        <f>IF($N542="","",INDEX(Staging!$A$2:$A$3001,$N542))</f>
      </c>
      <c r="B542">
        <f>IF($N542="","",INDEX(Staging!$B$2:$B$3001,$N542))</f>
      </c>
      <c r="C542">
        <f>IF($N542="","",INDEX(Staging!$C$2:$C$3001,$N542))</f>
      </c>
      <c r="D542">
        <f>IF($N542="","",INDEX(Staging!$D$2:$D$3001,$N542))</f>
      </c>
      <c r="E542">
        <f>IF($N542="","",INDEX(Staging!$F$2:$F$3001,$N542))</f>
      </c>
      <c r="F542">
        <f>IF($N542="","",INDEX(Staging!$G$2:$G$3001,$N542))</f>
      </c>
      <c r="G542">
        <f>IF($N542="","",INDEX(Staging!$H$2:$H$3001,$N542))</f>
      </c>
      <c r="H542">
        <f>IF($N542="","",INDEX(Staging!$I$2:$I$3001,$N542))</f>
      </c>
      <c r="I542">
        <f>IF($N542="","",INDEX(Staging!$J$2:$J$3001,$N542))</f>
      </c>
      <c r="J542">
        <f>IF($N542="","",INDEX(Staging!$K$2:$K$3001,$N542))</f>
      </c>
      <c r="K542">
        <f>IF($N542="","",INDEX(Staging!$M$2:$M$3001,$N542))</f>
      </c>
      <c r="L542">
        <f>IF($N542="","",INDEX(Staging!$O$2:$O$3001,$N542))</f>
      </c>
      <c r="M542">
        <f>IF($N542="","",INDEX(Staging!$P$2:$P$3001,$N542))</f>
      </c>
      <c r="N542">
        <f t="array" ref="N542">IFERROR(SMALL(IF(Staging!$E$2:$E$3001="MIPPL",ROW(Staging!$E$2:$E$3001)-ROW(Staging!$E$2)+1),541),"")</f>
      </c>
    </row>
    <row r="543" spans="1:14" x14ac:dyDescent="0.25">
      <c r="A543">
        <f>IF($N543="","",INDEX(Staging!$A$2:$A$3001,$N543))</f>
      </c>
      <c r="B543">
        <f>IF($N543="","",INDEX(Staging!$B$2:$B$3001,$N543))</f>
      </c>
      <c r="C543">
        <f>IF($N543="","",INDEX(Staging!$C$2:$C$3001,$N543))</f>
      </c>
      <c r="D543">
        <f>IF($N543="","",INDEX(Staging!$D$2:$D$3001,$N543))</f>
      </c>
      <c r="E543">
        <f>IF($N543="","",INDEX(Staging!$F$2:$F$3001,$N543))</f>
      </c>
      <c r="F543">
        <f>IF($N543="","",INDEX(Staging!$G$2:$G$3001,$N543))</f>
      </c>
      <c r="G543">
        <f>IF($N543="","",INDEX(Staging!$H$2:$H$3001,$N543))</f>
      </c>
      <c r="H543">
        <f>IF($N543="","",INDEX(Staging!$I$2:$I$3001,$N543))</f>
      </c>
      <c r="I543">
        <f>IF($N543="","",INDEX(Staging!$J$2:$J$3001,$N543))</f>
      </c>
      <c r="J543">
        <f>IF($N543="","",INDEX(Staging!$K$2:$K$3001,$N543))</f>
      </c>
      <c r="K543">
        <f>IF($N543="","",INDEX(Staging!$M$2:$M$3001,$N543))</f>
      </c>
      <c r="L543">
        <f>IF($N543="","",INDEX(Staging!$O$2:$O$3001,$N543))</f>
      </c>
      <c r="M543">
        <f>IF($N543="","",INDEX(Staging!$P$2:$P$3001,$N543))</f>
      </c>
      <c r="N543">
        <f t="array" ref="N543">IFERROR(SMALL(IF(Staging!$E$2:$E$3001="MIPPL",ROW(Staging!$E$2:$E$3001)-ROW(Staging!$E$2)+1),542),"")</f>
      </c>
    </row>
    <row r="544" spans="1:14" x14ac:dyDescent="0.25">
      <c r="A544">
        <f>IF($N544="","",INDEX(Staging!$A$2:$A$3001,$N544))</f>
      </c>
      <c r="B544">
        <f>IF($N544="","",INDEX(Staging!$B$2:$B$3001,$N544))</f>
      </c>
      <c r="C544">
        <f>IF($N544="","",INDEX(Staging!$C$2:$C$3001,$N544))</f>
      </c>
      <c r="D544">
        <f>IF($N544="","",INDEX(Staging!$D$2:$D$3001,$N544))</f>
      </c>
      <c r="E544">
        <f>IF($N544="","",INDEX(Staging!$F$2:$F$3001,$N544))</f>
      </c>
      <c r="F544">
        <f>IF($N544="","",INDEX(Staging!$G$2:$G$3001,$N544))</f>
      </c>
      <c r="G544">
        <f>IF($N544="","",INDEX(Staging!$H$2:$H$3001,$N544))</f>
      </c>
      <c r="H544">
        <f>IF($N544="","",INDEX(Staging!$I$2:$I$3001,$N544))</f>
      </c>
      <c r="I544">
        <f>IF($N544="","",INDEX(Staging!$J$2:$J$3001,$N544))</f>
      </c>
      <c r="J544">
        <f>IF($N544="","",INDEX(Staging!$K$2:$K$3001,$N544))</f>
      </c>
      <c r="K544">
        <f>IF($N544="","",INDEX(Staging!$M$2:$M$3001,$N544))</f>
      </c>
      <c r="L544">
        <f>IF($N544="","",INDEX(Staging!$O$2:$O$3001,$N544))</f>
      </c>
      <c r="M544">
        <f>IF($N544="","",INDEX(Staging!$P$2:$P$3001,$N544))</f>
      </c>
      <c r="N544">
        <f t="array" ref="N544">IFERROR(SMALL(IF(Staging!$E$2:$E$3001="MIPPL",ROW(Staging!$E$2:$E$3001)-ROW(Staging!$E$2)+1),543),"")</f>
      </c>
    </row>
    <row r="545" spans="1:14" x14ac:dyDescent="0.25">
      <c r="A545">
        <f>IF($N545="","",INDEX(Staging!$A$2:$A$3001,$N545))</f>
      </c>
      <c r="B545">
        <f>IF($N545="","",INDEX(Staging!$B$2:$B$3001,$N545))</f>
      </c>
      <c r="C545">
        <f>IF($N545="","",INDEX(Staging!$C$2:$C$3001,$N545))</f>
      </c>
      <c r="D545">
        <f>IF($N545="","",INDEX(Staging!$D$2:$D$3001,$N545))</f>
      </c>
      <c r="E545">
        <f>IF($N545="","",INDEX(Staging!$F$2:$F$3001,$N545))</f>
      </c>
      <c r="F545">
        <f>IF($N545="","",INDEX(Staging!$G$2:$G$3001,$N545))</f>
      </c>
      <c r="G545">
        <f>IF($N545="","",INDEX(Staging!$H$2:$H$3001,$N545))</f>
      </c>
      <c r="H545">
        <f>IF($N545="","",INDEX(Staging!$I$2:$I$3001,$N545))</f>
      </c>
      <c r="I545">
        <f>IF($N545="","",INDEX(Staging!$J$2:$J$3001,$N545))</f>
      </c>
      <c r="J545">
        <f>IF($N545="","",INDEX(Staging!$K$2:$K$3001,$N545))</f>
      </c>
      <c r="K545">
        <f>IF($N545="","",INDEX(Staging!$M$2:$M$3001,$N545))</f>
      </c>
      <c r="L545">
        <f>IF($N545="","",INDEX(Staging!$O$2:$O$3001,$N545))</f>
      </c>
      <c r="M545">
        <f>IF($N545="","",INDEX(Staging!$P$2:$P$3001,$N545))</f>
      </c>
      <c r="N545">
        <f t="array" ref="N545">IFERROR(SMALL(IF(Staging!$E$2:$E$3001="MIPPL",ROW(Staging!$E$2:$E$3001)-ROW(Staging!$E$2)+1),544),"")</f>
      </c>
    </row>
    <row r="546" spans="1:14" x14ac:dyDescent="0.25">
      <c r="A546">
        <f>IF($N546="","",INDEX(Staging!$A$2:$A$3001,$N546))</f>
      </c>
      <c r="B546">
        <f>IF($N546="","",INDEX(Staging!$B$2:$B$3001,$N546))</f>
      </c>
      <c r="C546">
        <f>IF($N546="","",INDEX(Staging!$C$2:$C$3001,$N546))</f>
      </c>
      <c r="D546">
        <f>IF($N546="","",INDEX(Staging!$D$2:$D$3001,$N546))</f>
      </c>
      <c r="E546">
        <f>IF($N546="","",INDEX(Staging!$F$2:$F$3001,$N546))</f>
      </c>
      <c r="F546">
        <f>IF($N546="","",INDEX(Staging!$G$2:$G$3001,$N546))</f>
      </c>
      <c r="G546">
        <f>IF($N546="","",INDEX(Staging!$H$2:$H$3001,$N546))</f>
      </c>
      <c r="H546">
        <f>IF($N546="","",INDEX(Staging!$I$2:$I$3001,$N546))</f>
      </c>
      <c r="I546">
        <f>IF($N546="","",INDEX(Staging!$J$2:$J$3001,$N546))</f>
      </c>
      <c r="J546">
        <f>IF($N546="","",INDEX(Staging!$K$2:$K$3001,$N546))</f>
      </c>
      <c r="K546">
        <f>IF($N546="","",INDEX(Staging!$M$2:$M$3001,$N546))</f>
      </c>
      <c r="L546">
        <f>IF($N546="","",INDEX(Staging!$O$2:$O$3001,$N546))</f>
      </c>
      <c r="M546">
        <f>IF($N546="","",INDEX(Staging!$P$2:$P$3001,$N546))</f>
      </c>
      <c r="N546">
        <f t="array" ref="N546">IFERROR(SMALL(IF(Staging!$E$2:$E$3001="MIPPL",ROW(Staging!$E$2:$E$3001)-ROW(Staging!$E$2)+1),545),"")</f>
      </c>
    </row>
    <row r="547" spans="1:14" x14ac:dyDescent="0.25">
      <c r="A547">
        <f>IF($N547="","",INDEX(Staging!$A$2:$A$3001,$N547))</f>
      </c>
      <c r="B547">
        <f>IF($N547="","",INDEX(Staging!$B$2:$B$3001,$N547))</f>
      </c>
      <c r="C547">
        <f>IF($N547="","",INDEX(Staging!$C$2:$C$3001,$N547))</f>
      </c>
      <c r="D547">
        <f>IF($N547="","",INDEX(Staging!$D$2:$D$3001,$N547))</f>
      </c>
      <c r="E547">
        <f>IF($N547="","",INDEX(Staging!$F$2:$F$3001,$N547))</f>
      </c>
      <c r="F547">
        <f>IF($N547="","",INDEX(Staging!$G$2:$G$3001,$N547))</f>
      </c>
      <c r="G547">
        <f>IF($N547="","",INDEX(Staging!$H$2:$H$3001,$N547))</f>
      </c>
      <c r="H547">
        <f>IF($N547="","",INDEX(Staging!$I$2:$I$3001,$N547))</f>
      </c>
      <c r="I547">
        <f>IF($N547="","",INDEX(Staging!$J$2:$J$3001,$N547))</f>
      </c>
      <c r="J547">
        <f>IF($N547="","",INDEX(Staging!$K$2:$K$3001,$N547))</f>
      </c>
      <c r="K547">
        <f>IF($N547="","",INDEX(Staging!$M$2:$M$3001,$N547))</f>
      </c>
      <c r="L547">
        <f>IF($N547="","",INDEX(Staging!$O$2:$O$3001,$N547))</f>
      </c>
      <c r="M547">
        <f>IF($N547="","",INDEX(Staging!$P$2:$P$3001,$N547))</f>
      </c>
      <c r="N547">
        <f t="array" ref="N547">IFERROR(SMALL(IF(Staging!$E$2:$E$3001="MIPPL",ROW(Staging!$E$2:$E$3001)-ROW(Staging!$E$2)+1),546),"")</f>
      </c>
    </row>
    <row r="548" spans="1:14" x14ac:dyDescent="0.25">
      <c r="A548">
        <f>IF($N548="","",INDEX(Staging!$A$2:$A$3001,$N548))</f>
      </c>
      <c r="B548">
        <f>IF($N548="","",INDEX(Staging!$B$2:$B$3001,$N548))</f>
      </c>
      <c r="C548">
        <f>IF($N548="","",INDEX(Staging!$C$2:$C$3001,$N548))</f>
      </c>
      <c r="D548">
        <f>IF($N548="","",INDEX(Staging!$D$2:$D$3001,$N548))</f>
      </c>
      <c r="E548">
        <f>IF($N548="","",INDEX(Staging!$F$2:$F$3001,$N548))</f>
      </c>
      <c r="F548">
        <f>IF($N548="","",INDEX(Staging!$G$2:$G$3001,$N548))</f>
      </c>
      <c r="G548">
        <f>IF($N548="","",INDEX(Staging!$H$2:$H$3001,$N548))</f>
      </c>
      <c r="H548">
        <f>IF($N548="","",INDEX(Staging!$I$2:$I$3001,$N548))</f>
      </c>
      <c r="I548">
        <f>IF($N548="","",INDEX(Staging!$J$2:$J$3001,$N548))</f>
      </c>
      <c r="J548">
        <f>IF($N548="","",INDEX(Staging!$K$2:$K$3001,$N548))</f>
      </c>
      <c r="K548">
        <f>IF($N548="","",INDEX(Staging!$M$2:$M$3001,$N548))</f>
      </c>
      <c r="L548">
        <f>IF($N548="","",INDEX(Staging!$O$2:$O$3001,$N548))</f>
      </c>
      <c r="M548">
        <f>IF($N548="","",INDEX(Staging!$P$2:$P$3001,$N548))</f>
      </c>
      <c r="N548">
        <f t="array" ref="N548">IFERROR(SMALL(IF(Staging!$E$2:$E$3001="MIPPL",ROW(Staging!$E$2:$E$3001)-ROW(Staging!$E$2)+1),547),"")</f>
      </c>
    </row>
    <row r="549" spans="1:14" x14ac:dyDescent="0.25">
      <c r="A549">
        <f>IF($N549="","",INDEX(Staging!$A$2:$A$3001,$N549))</f>
      </c>
      <c r="B549">
        <f>IF($N549="","",INDEX(Staging!$B$2:$B$3001,$N549))</f>
      </c>
      <c r="C549">
        <f>IF($N549="","",INDEX(Staging!$C$2:$C$3001,$N549))</f>
      </c>
      <c r="D549">
        <f>IF($N549="","",INDEX(Staging!$D$2:$D$3001,$N549))</f>
      </c>
      <c r="E549">
        <f>IF($N549="","",INDEX(Staging!$F$2:$F$3001,$N549))</f>
      </c>
      <c r="F549">
        <f>IF($N549="","",INDEX(Staging!$G$2:$G$3001,$N549))</f>
      </c>
      <c r="G549">
        <f>IF($N549="","",INDEX(Staging!$H$2:$H$3001,$N549))</f>
      </c>
      <c r="H549">
        <f>IF($N549="","",INDEX(Staging!$I$2:$I$3001,$N549))</f>
      </c>
      <c r="I549">
        <f>IF($N549="","",INDEX(Staging!$J$2:$J$3001,$N549))</f>
      </c>
      <c r="J549">
        <f>IF($N549="","",INDEX(Staging!$K$2:$K$3001,$N549))</f>
      </c>
      <c r="K549">
        <f>IF($N549="","",INDEX(Staging!$M$2:$M$3001,$N549))</f>
      </c>
      <c r="L549">
        <f>IF($N549="","",INDEX(Staging!$O$2:$O$3001,$N549))</f>
      </c>
      <c r="M549">
        <f>IF($N549="","",INDEX(Staging!$P$2:$P$3001,$N549))</f>
      </c>
      <c r="N549">
        <f t="array" ref="N549">IFERROR(SMALL(IF(Staging!$E$2:$E$3001="MIPPL",ROW(Staging!$E$2:$E$3001)-ROW(Staging!$E$2)+1),548),"")</f>
      </c>
    </row>
    <row r="550" spans="1:14" x14ac:dyDescent="0.25">
      <c r="A550">
        <f>IF($N550="","",INDEX(Staging!$A$2:$A$3001,$N550))</f>
      </c>
      <c r="B550">
        <f>IF($N550="","",INDEX(Staging!$B$2:$B$3001,$N550))</f>
      </c>
      <c r="C550">
        <f>IF($N550="","",INDEX(Staging!$C$2:$C$3001,$N550))</f>
      </c>
      <c r="D550">
        <f>IF($N550="","",INDEX(Staging!$D$2:$D$3001,$N550))</f>
      </c>
      <c r="E550">
        <f>IF($N550="","",INDEX(Staging!$F$2:$F$3001,$N550))</f>
      </c>
      <c r="F550">
        <f>IF($N550="","",INDEX(Staging!$G$2:$G$3001,$N550))</f>
      </c>
      <c r="G550">
        <f>IF($N550="","",INDEX(Staging!$H$2:$H$3001,$N550))</f>
      </c>
      <c r="H550">
        <f>IF($N550="","",INDEX(Staging!$I$2:$I$3001,$N550))</f>
      </c>
      <c r="I550">
        <f>IF($N550="","",INDEX(Staging!$J$2:$J$3001,$N550))</f>
      </c>
      <c r="J550">
        <f>IF($N550="","",INDEX(Staging!$K$2:$K$3001,$N550))</f>
      </c>
      <c r="K550">
        <f>IF($N550="","",INDEX(Staging!$M$2:$M$3001,$N550))</f>
      </c>
      <c r="L550">
        <f>IF($N550="","",INDEX(Staging!$O$2:$O$3001,$N550))</f>
      </c>
      <c r="M550">
        <f>IF($N550="","",INDEX(Staging!$P$2:$P$3001,$N550))</f>
      </c>
      <c r="N550">
        <f t="array" ref="N550">IFERROR(SMALL(IF(Staging!$E$2:$E$3001="MIPPL",ROW(Staging!$E$2:$E$3001)-ROW(Staging!$E$2)+1),549),"")</f>
      </c>
    </row>
    <row r="551" spans="1:14" x14ac:dyDescent="0.25">
      <c r="A551">
        <f>IF($N551="","",INDEX(Staging!$A$2:$A$3001,$N551))</f>
      </c>
      <c r="B551">
        <f>IF($N551="","",INDEX(Staging!$B$2:$B$3001,$N551))</f>
      </c>
      <c r="C551">
        <f>IF($N551="","",INDEX(Staging!$C$2:$C$3001,$N551))</f>
      </c>
      <c r="D551">
        <f>IF($N551="","",INDEX(Staging!$D$2:$D$3001,$N551))</f>
      </c>
      <c r="E551">
        <f>IF($N551="","",INDEX(Staging!$F$2:$F$3001,$N551))</f>
      </c>
      <c r="F551">
        <f>IF($N551="","",INDEX(Staging!$G$2:$G$3001,$N551))</f>
      </c>
      <c r="G551">
        <f>IF($N551="","",INDEX(Staging!$H$2:$H$3001,$N551))</f>
      </c>
      <c r="H551">
        <f>IF($N551="","",INDEX(Staging!$I$2:$I$3001,$N551))</f>
      </c>
      <c r="I551">
        <f>IF($N551="","",INDEX(Staging!$J$2:$J$3001,$N551))</f>
      </c>
      <c r="J551">
        <f>IF($N551="","",INDEX(Staging!$K$2:$K$3001,$N551))</f>
      </c>
      <c r="K551">
        <f>IF($N551="","",INDEX(Staging!$M$2:$M$3001,$N551))</f>
      </c>
      <c r="L551">
        <f>IF($N551="","",INDEX(Staging!$O$2:$O$3001,$N551))</f>
      </c>
      <c r="M551">
        <f>IF($N551="","",INDEX(Staging!$P$2:$P$3001,$N551))</f>
      </c>
      <c r="N551">
        <f t="array" ref="N551">IFERROR(SMALL(IF(Staging!$E$2:$E$3001="MIPPL",ROW(Staging!$E$2:$E$3001)-ROW(Staging!$E$2)+1),550),"")</f>
      </c>
    </row>
    <row r="552" spans="1:14" x14ac:dyDescent="0.25">
      <c r="A552">
        <f>IF($N552="","",INDEX(Staging!$A$2:$A$3001,$N552))</f>
      </c>
      <c r="B552">
        <f>IF($N552="","",INDEX(Staging!$B$2:$B$3001,$N552))</f>
      </c>
      <c r="C552">
        <f>IF($N552="","",INDEX(Staging!$C$2:$C$3001,$N552))</f>
      </c>
      <c r="D552">
        <f>IF($N552="","",INDEX(Staging!$D$2:$D$3001,$N552))</f>
      </c>
      <c r="E552">
        <f>IF($N552="","",INDEX(Staging!$F$2:$F$3001,$N552))</f>
      </c>
      <c r="F552">
        <f>IF($N552="","",INDEX(Staging!$G$2:$G$3001,$N552))</f>
      </c>
      <c r="G552">
        <f>IF($N552="","",INDEX(Staging!$H$2:$H$3001,$N552))</f>
      </c>
      <c r="H552">
        <f>IF($N552="","",INDEX(Staging!$I$2:$I$3001,$N552))</f>
      </c>
      <c r="I552">
        <f>IF($N552="","",INDEX(Staging!$J$2:$J$3001,$N552))</f>
      </c>
      <c r="J552">
        <f>IF($N552="","",INDEX(Staging!$K$2:$K$3001,$N552))</f>
      </c>
      <c r="K552">
        <f>IF($N552="","",INDEX(Staging!$M$2:$M$3001,$N552))</f>
      </c>
      <c r="L552">
        <f>IF($N552="","",INDEX(Staging!$O$2:$O$3001,$N552))</f>
      </c>
      <c r="M552">
        <f>IF($N552="","",INDEX(Staging!$P$2:$P$3001,$N552))</f>
      </c>
      <c r="N552">
        <f t="array" ref="N552">IFERROR(SMALL(IF(Staging!$E$2:$E$3001="MIPPL",ROW(Staging!$E$2:$E$3001)-ROW(Staging!$E$2)+1),551),"")</f>
      </c>
    </row>
    <row r="553" spans="1:14" x14ac:dyDescent="0.25">
      <c r="A553">
        <f>IF($N553="","",INDEX(Staging!$A$2:$A$3001,$N553))</f>
      </c>
      <c r="B553">
        <f>IF($N553="","",INDEX(Staging!$B$2:$B$3001,$N553))</f>
      </c>
      <c r="C553">
        <f>IF($N553="","",INDEX(Staging!$C$2:$C$3001,$N553))</f>
      </c>
      <c r="D553">
        <f>IF($N553="","",INDEX(Staging!$D$2:$D$3001,$N553))</f>
      </c>
      <c r="E553">
        <f>IF($N553="","",INDEX(Staging!$F$2:$F$3001,$N553))</f>
      </c>
      <c r="F553">
        <f>IF($N553="","",INDEX(Staging!$G$2:$G$3001,$N553))</f>
      </c>
      <c r="G553">
        <f>IF($N553="","",INDEX(Staging!$H$2:$H$3001,$N553))</f>
      </c>
      <c r="H553">
        <f>IF($N553="","",INDEX(Staging!$I$2:$I$3001,$N553))</f>
      </c>
      <c r="I553">
        <f>IF($N553="","",INDEX(Staging!$J$2:$J$3001,$N553))</f>
      </c>
      <c r="J553">
        <f>IF($N553="","",INDEX(Staging!$K$2:$K$3001,$N553))</f>
      </c>
      <c r="K553">
        <f>IF($N553="","",INDEX(Staging!$M$2:$M$3001,$N553))</f>
      </c>
      <c r="L553">
        <f>IF($N553="","",INDEX(Staging!$O$2:$O$3001,$N553))</f>
      </c>
      <c r="M553">
        <f>IF($N553="","",INDEX(Staging!$P$2:$P$3001,$N553))</f>
      </c>
      <c r="N553">
        <f t="array" ref="N553">IFERROR(SMALL(IF(Staging!$E$2:$E$3001="MIPPL",ROW(Staging!$E$2:$E$3001)-ROW(Staging!$E$2)+1),552),"")</f>
      </c>
    </row>
    <row r="554" spans="1:14" x14ac:dyDescent="0.25">
      <c r="A554">
        <f>IF($N554="","",INDEX(Staging!$A$2:$A$3001,$N554))</f>
      </c>
      <c r="B554">
        <f>IF($N554="","",INDEX(Staging!$B$2:$B$3001,$N554))</f>
      </c>
      <c r="C554">
        <f>IF($N554="","",INDEX(Staging!$C$2:$C$3001,$N554))</f>
      </c>
      <c r="D554">
        <f>IF($N554="","",INDEX(Staging!$D$2:$D$3001,$N554))</f>
      </c>
      <c r="E554">
        <f>IF($N554="","",INDEX(Staging!$F$2:$F$3001,$N554))</f>
      </c>
      <c r="F554">
        <f>IF($N554="","",INDEX(Staging!$G$2:$G$3001,$N554))</f>
      </c>
      <c r="G554">
        <f>IF($N554="","",INDEX(Staging!$H$2:$H$3001,$N554))</f>
      </c>
      <c r="H554">
        <f>IF($N554="","",INDEX(Staging!$I$2:$I$3001,$N554))</f>
      </c>
      <c r="I554">
        <f>IF($N554="","",INDEX(Staging!$J$2:$J$3001,$N554))</f>
      </c>
      <c r="J554">
        <f>IF($N554="","",INDEX(Staging!$K$2:$K$3001,$N554))</f>
      </c>
      <c r="K554">
        <f>IF($N554="","",INDEX(Staging!$M$2:$M$3001,$N554))</f>
      </c>
      <c r="L554">
        <f>IF($N554="","",INDEX(Staging!$O$2:$O$3001,$N554))</f>
      </c>
      <c r="M554">
        <f>IF($N554="","",INDEX(Staging!$P$2:$P$3001,$N554))</f>
      </c>
      <c r="N554">
        <f t="array" ref="N554">IFERROR(SMALL(IF(Staging!$E$2:$E$3001="MIPPL",ROW(Staging!$E$2:$E$3001)-ROW(Staging!$E$2)+1),553),"")</f>
      </c>
    </row>
    <row r="555" spans="1:14" x14ac:dyDescent="0.25">
      <c r="A555">
        <f>IF($N555="","",INDEX(Staging!$A$2:$A$3001,$N555))</f>
      </c>
      <c r="B555">
        <f>IF($N555="","",INDEX(Staging!$B$2:$B$3001,$N555))</f>
      </c>
      <c r="C555">
        <f>IF($N555="","",INDEX(Staging!$C$2:$C$3001,$N555))</f>
      </c>
      <c r="D555">
        <f>IF($N555="","",INDEX(Staging!$D$2:$D$3001,$N555))</f>
      </c>
      <c r="E555">
        <f>IF($N555="","",INDEX(Staging!$F$2:$F$3001,$N555))</f>
      </c>
      <c r="F555">
        <f>IF($N555="","",INDEX(Staging!$G$2:$G$3001,$N555))</f>
      </c>
      <c r="G555">
        <f>IF($N555="","",INDEX(Staging!$H$2:$H$3001,$N555))</f>
      </c>
      <c r="H555">
        <f>IF($N555="","",INDEX(Staging!$I$2:$I$3001,$N555))</f>
      </c>
      <c r="I555">
        <f>IF($N555="","",INDEX(Staging!$J$2:$J$3001,$N555))</f>
      </c>
      <c r="J555">
        <f>IF($N555="","",INDEX(Staging!$K$2:$K$3001,$N555))</f>
      </c>
      <c r="K555">
        <f>IF($N555="","",INDEX(Staging!$M$2:$M$3001,$N555))</f>
      </c>
      <c r="L555">
        <f>IF($N555="","",INDEX(Staging!$O$2:$O$3001,$N555))</f>
      </c>
      <c r="M555">
        <f>IF($N555="","",INDEX(Staging!$P$2:$P$3001,$N555))</f>
      </c>
      <c r="N555">
        <f t="array" ref="N555">IFERROR(SMALL(IF(Staging!$E$2:$E$3001="MIPPL",ROW(Staging!$E$2:$E$3001)-ROW(Staging!$E$2)+1),554),"")</f>
      </c>
    </row>
    <row r="556" spans="1:14" x14ac:dyDescent="0.25">
      <c r="A556">
        <f>IF($N556="","",INDEX(Staging!$A$2:$A$3001,$N556))</f>
      </c>
      <c r="B556">
        <f>IF($N556="","",INDEX(Staging!$B$2:$B$3001,$N556))</f>
      </c>
      <c r="C556">
        <f>IF($N556="","",INDEX(Staging!$C$2:$C$3001,$N556))</f>
      </c>
      <c r="D556">
        <f>IF($N556="","",INDEX(Staging!$D$2:$D$3001,$N556))</f>
      </c>
      <c r="E556">
        <f>IF($N556="","",INDEX(Staging!$F$2:$F$3001,$N556))</f>
      </c>
      <c r="F556">
        <f>IF($N556="","",INDEX(Staging!$G$2:$G$3001,$N556))</f>
      </c>
      <c r="G556">
        <f>IF($N556="","",INDEX(Staging!$H$2:$H$3001,$N556))</f>
      </c>
      <c r="H556">
        <f>IF($N556="","",INDEX(Staging!$I$2:$I$3001,$N556))</f>
      </c>
      <c r="I556">
        <f>IF($N556="","",INDEX(Staging!$J$2:$J$3001,$N556))</f>
      </c>
      <c r="J556">
        <f>IF($N556="","",INDEX(Staging!$K$2:$K$3001,$N556))</f>
      </c>
      <c r="K556">
        <f>IF($N556="","",INDEX(Staging!$M$2:$M$3001,$N556))</f>
      </c>
      <c r="L556">
        <f>IF($N556="","",INDEX(Staging!$O$2:$O$3001,$N556))</f>
      </c>
      <c r="M556">
        <f>IF($N556="","",INDEX(Staging!$P$2:$P$3001,$N556))</f>
      </c>
      <c r="N556">
        <f t="array" ref="N556">IFERROR(SMALL(IF(Staging!$E$2:$E$3001="MIPPL",ROW(Staging!$E$2:$E$3001)-ROW(Staging!$E$2)+1),555),"")</f>
      </c>
    </row>
    <row r="557" spans="1:14" x14ac:dyDescent="0.25">
      <c r="A557">
        <f>IF($N557="","",INDEX(Staging!$A$2:$A$3001,$N557))</f>
      </c>
      <c r="B557">
        <f>IF($N557="","",INDEX(Staging!$B$2:$B$3001,$N557))</f>
      </c>
      <c r="C557">
        <f>IF($N557="","",INDEX(Staging!$C$2:$C$3001,$N557))</f>
      </c>
      <c r="D557">
        <f>IF($N557="","",INDEX(Staging!$D$2:$D$3001,$N557))</f>
      </c>
      <c r="E557">
        <f>IF($N557="","",INDEX(Staging!$F$2:$F$3001,$N557))</f>
      </c>
      <c r="F557">
        <f>IF($N557="","",INDEX(Staging!$G$2:$G$3001,$N557))</f>
      </c>
      <c r="G557">
        <f>IF($N557="","",INDEX(Staging!$H$2:$H$3001,$N557))</f>
      </c>
      <c r="H557">
        <f>IF($N557="","",INDEX(Staging!$I$2:$I$3001,$N557))</f>
      </c>
      <c r="I557">
        <f>IF($N557="","",INDEX(Staging!$J$2:$J$3001,$N557))</f>
      </c>
      <c r="J557">
        <f>IF($N557="","",INDEX(Staging!$K$2:$K$3001,$N557))</f>
      </c>
      <c r="K557">
        <f>IF($N557="","",INDEX(Staging!$M$2:$M$3001,$N557))</f>
      </c>
      <c r="L557">
        <f>IF($N557="","",INDEX(Staging!$O$2:$O$3001,$N557))</f>
      </c>
      <c r="M557">
        <f>IF($N557="","",INDEX(Staging!$P$2:$P$3001,$N557))</f>
      </c>
      <c r="N557">
        <f t="array" ref="N557">IFERROR(SMALL(IF(Staging!$E$2:$E$3001="MIPPL",ROW(Staging!$E$2:$E$3001)-ROW(Staging!$E$2)+1),556),"")</f>
      </c>
    </row>
    <row r="558" spans="1:14" x14ac:dyDescent="0.25">
      <c r="A558">
        <f>IF($N558="","",INDEX(Staging!$A$2:$A$3001,$N558))</f>
      </c>
      <c r="B558">
        <f>IF($N558="","",INDEX(Staging!$B$2:$B$3001,$N558))</f>
      </c>
      <c r="C558">
        <f>IF($N558="","",INDEX(Staging!$C$2:$C$3001,$N558))</f>
      </c>
      <c r="D558">
        <f>IF($N558="","",INDEX(Staging!$D$2:$D$3001,$N558))</f>
      </c>
      <c r="E558">
        <f>IF($N558="","",INDEX(Staging!$F$2:$F$3001,$N558))</f>
      </c>
      <c r="F558">
        <f>IF($N558="","",INDEX(Staging!$G$2:$G$3001,$N558))</f>
      </c>
      <c r="G558">
        <f>IF($N558="","",INDEX(Staging!$H$2:$H$3001,$N558))</f>
      </c>
      <c r="H558">
        <f>IF($N558="","",INDEX(Staging!$I$2:$I$3001,$N558))</f>
      </c>
      <c r="I558">
        <f>IF($N558="","",INDEX(Staging!$J$2:$J$3001,$N558))</f>
      </c>
      <c r="J558">
        <f>IF($N558="","",INDEX(Staging!$K$2:$K$3001,$N558))</f>
      </c>
      <c r="K558">
        <f>IF($N558="","",INDEX(Staging!$M$2:$M$3001,$N558))</f>
      </c>
      <c r="L558">
        <f>IF($N558="","",INDEX(Staging!$O$2:$O$3001,$N558))</f>
      </c>
      <c r="M558">
        <f>IF($N558="","",INDEX(Staging!$P$2:$P$3001,$N558))</f>
      </c>
      <c r="N558">
        <f t="array" ref="N558">IFERROR(SMALL(IF(Staging!$E$2:$E$3001="MIPPL",ROW(Staging!$E$2:$E$3001)-ROW(Staging!$E$2)+1),557),"")</f>
      </c>
    </row>
    <row r="559" spans="1:14" x14ac:dyDescent="0.25">
      <c r="A559">
        <f>IF($N559="","",INDEX(Staging!$A$2:$A$3001,$N559))</f>
      </c>
      <c r="B559">
        <f>IF($N559="","",INDEX(Staging!$B$2:$B$3001,$N559))</f>
      </c>
      <c r="C559">
        <f>IF($N559="","",INDEX(Staging!$C$2:$C$3001,$N559))</f>
      </c>
      <c r="D559">
        <f>IF($N559="","",INDEX(Staging!$D$2:$D$3001,$N559))</f>
      </c>
      <c r="E559">
        <f>IF($N559="","",INDEX(Staging!$F$2:$F$3001,$N559))</f>
      </c>
      <c r="F559">
        <f>IF($N559="","",INDEX(Staging!$G$2:$G$3001,$N559))</f>
      </c>
      <c r="G559">
        <f>IF($N559="","",INDEX(Staging!$H$2:$H$3001,$N559))</f>
      </c>
      <c r="H559">
        <f>IF($N559="","",INDEX(Staging!$I$2:$I$3001,$N559))</f>
      </c>
      <c r="I559">
        <f>IF($N559="","",INDEX(Staging!$J$2:$J$3001,$N559))</f>
      </c>
      <c r="J559">
        <f>IF($N559="","",INDEX(Staging!$K$2:$K$3001,$N559))</f>
      </c>
      <c r="K559">
        <f>IF($N559="","",INDEX(Staging!$M$2:$M$3001,$N559))</f>
      </c>
      <c r="L559">
        <f>IF($N559="","",INDEX(Staging!$O$2:$O$3001,$N559))</f>
      </c>
      <c r="M559">
        <f>IF($N559="","",INDEX(Staging!$P$2:$P$3001,$N559))</f>
      </c>
      <c r="N559">
        <f t="array" ref="N559">IFERROR(SMALL(IF(Staging!$E$2:$E$3001="MIPPL",ROW(Staging!$E$2:$E$3001)-ROW(Staging!$E$2)+1),558),"")</f>
      </c>
    </row>
    <row r="560" spans="1:14" x14ac:dyDescent="0.25">
      <c r="A560">
        <f>IF($N560="","",INDEX(Staging!$A$2:$A$3001,$N560))</f>
      </c>
      <c r="B560">
        <f>IF($N560="","",INDEX(Staging!$B$2:$B$3001,$N560))</f>
      </c>
      <c r="C560">
        <f>IF($N560="","",INDEX(Staging!$C$2:$C$3001,$N560))</f>
      </c>
      <c r="D560">
        <f>IF($N560="","",INDEX(Staging!$D$2:$D$3001,$N560))</f>
      </c>
      <c r="E560">
        <f>IF($N560="","",INDEX(Staging!$F$2:$F$3001,$N560))</f>
      </c>
      <c r="F560">
        <f>IF($N560="","",INDEX(Staging!$G$2:$G$3001,$N560))</f>
      </c>
      <c r="G560">
        <f>IF($N560="","",INDEX(Staging!$H$2:$H$3001,$N560))</f>
      </c>
      <c r="H560">
        <f>IF($N560="","",INDEX(Staging!$I$2:$I$3001,$N560))</f>
      </c>
      <c r="I560">
        <f>IF($N560="","",INDEX(Staging!$J$2:$J$3001,$N560))</f>
      </c>
      <c r="J560">
        <f>IF($N560="","",INDEX(Staging!$K$2:$K$3001,$N560))</f>
      </c>
      <c r="K560">
        <f>IF($N560="","",INDEX(Staging!$M$2:$M$3001,$N560))</f>
      </c>
      <c r="L560">
        <f>IF($N560="","",INDEX(Staging!$O$2:$O$3001,$N560))</f>
      </c>
      <c r="M560">
        <f>IF($N560="","",INDEX(Staging!$P$2:$P$3001,$N560))</f>
      </c>
      <c r="N560">
        <f t="array" ref="N560">IFERROR(SMALL(IF(Staging!$E$2:$E$3001="MIPPL",ROW(Staging!$E$2:$E$3001)-ROW(Staging!$E$2)+1),559),"")</f>
      </c>
    </row>
    <row r="561" spans="1:14" x14ac:dyDescent="0.25">
      <c r="A561">
        <f>IF($N561="","",INDEX(Staging!$A$2:$A$3001,$N561))</f>
      </c>
      <c r="B561">
        <f>IF($N561="","",INDEX(Staging!$B$2:$B$3001,$N561))</f>
      </c>
      <c r="C561">
        <f>IF($N561="","",INDEX(Staging!$C$2:$C$3001,$N561))</f>
      </c>
      <c r="D561">
        <f>IF($N561="","",INDEX(Staging!$D$2:$D$3001,$N561))</f>
      </c>
      <c r="E561">
        <f>IF($N561="","",INDEX(Staging!$F$2:$F$3001,$N561))</f>
      </c>
      <c r="F561">
        <f>IF($N561="","",INDEX(Staging!$G$2:$G$3001,$N561))</f>
      </c>
      <c r="G561">
        <f>IF($N561="","",INDEX(Staging!$H$2:$H$3001,$N561))</f>
      </c>
      <c r="H561">
        <f>IF($N561="","",INDEX(Staging!$I$2:$I$3001,$N561))</f>
      </c>
      <c r="I561">
        <f>IF($N561="","",INDEX(Staging!$J$2:$J$3001,$N561))</f>
      </c>
      <c r="J561">
        <f>IF($N561="","",INDEX(Staging!$K$2:$K$3001,$N561))</f>
      </c>
      <c r="K561">
        <f>IF($N561="","",INDEX(Staging!$M$2:$M$3001,$N561))</f>
      </c>
      <c r="L561">
        <f>IF($N561="","",INDEX(Staging!$O$2:$O$3001,$N561))</f>
      </c>
      <c r="M561">
        <f>IF($N561="","",INDEX(Staging!$P$2:$P$3001,$N561))</f>
      </c>
      <c r="N561">
        <f t="array" ref="N561">IFERROR(SMALL(IF(Staging!$E$2:$E$3001="MIPPL",ROW(Staging!$E$2:$E$3001)-ROW(Staging!$E$2)+1),560),"")</f>
      </c>
    </row>
    <row r="562" spans="1:14" x14ac:dyDescent="0.25">
      <c r="A562">
        <f>IF($N562="","",INDEX(Staging!$A$2:$A$3001,$N562))</f>
      </c>
      <c r="B562">
        <f>IF($N562="","",INDEX(Staging!$B$2:$B$3001,$N562))</f>
      </c>
      <c r="C562">
        <f>IF($N562="","",INDEX(Staging!$C$2:$C$3001,$N562))</f>
      </c>
      <c r="D562">
        <f>IF($N562="","",INDEX(Staging!$D$2:$D$3001,$N562))</f>
      </c>
      <c r="E562">
        <f>IF($N562="","",INDEX(Staging!$F$2:$F$3001,$N562))</f>
      </c>
      <c r="F562">
        <f>IF($N562="","",INDEX(Staging!$G$2:$G$3001,$N562))</f>
      </c>
      <c r="G562">
        <f>IF($N562="","",INDEX(Staging!$H$2:$H$3001,$N562))</f>
      </c>
      <c r="H562">
        <f>IF($N562="","",INDEX(Staging!$I$2:$I$3001,$N562))</f>
      </c>
      <c r="I562">
        <f>IF($N562="","",INDEX(Staging!$J$2:$J$3001,$N562))</f>
      </c>
      <c r="J562">
        <f>IF($N562="","",INDEX(Staging!$K$2:$K$3001,$N562))</f>
      </c>
      <c r="K562">
        <f>IF($N562="","",INDEX(Staging!$M$2:$M$3001,$N562))</f>
      </c>
      <c r="L562">
        <f>IF($N562="","",INDEX(Staging!$O$2:$O$3001,$N562))</f>
      </c>
      <c r="M562">
        <f>IF($N562="","",INDEX(Staging!$P$2:$P$3001,$N562))</f>
      </c>
      <c r="N562">
        <f t="array" ref="N562">IFERROR(SMALL(IF(Staging!$E$2:$E$3001="MIPPL",ROW(Staging!$E$2:$E$3001)-ROW(Staging!$E$2)+1),561),"")</f>
      </c>
    </row>
    <row r="563" spans="1:14" x14ac:dyDescent="0.25">
      <c r="A563">
        <f>IF($N563="","",INDEX(Staging!$A$2:$A$3001,$N563))</f>
      </c>
      <c r="B563">
        <f>IF($N563="","",INDEX(Staging!$B$2:$B$3001,$N563))</f>
      </c>
      <c r="C563">
        <f>IF($N563="","",INDEX(Staging!$C$2:$C$3001,$N563))</f>
      </c>
      <c r="D563">
        <f>IF($N563="","",INDEX(Staging!$D$2:$D$3001,$N563))</f>
      </c>
      <c r="E563">
        <f>IF($N563="","",INDEX(Staging!$F$2:$F$3001,$N563))</f>
      </c>
      <c r="F563">
        <f>IF($N563="","",INDEX(Staging!$G$2:$G$3001,$N563))</f>
      </c>
      <c r="G563">
        <f>IF($N563="","",INDEX(Staging!$H$2:$H$3001,$N563))</f>
      </c>
      <c r="H563">
        <f>IF($N563="","",INDEX(Staging!$I$2:$I$3001,$N563))</f>
      </c>
      <c r="I563">
        <f>IF($N563="","",INDEX(Staging!$J$2:$J$3001,$N563))</f>
      </c>
      <c r="J563">
        <f>IF($N563="","",INDEX(Staging!$K$2:$K$3001,$N563))</f>
      </c>
      <c r="K563">
        <f>IF($N563="","",INDEX(Staging!$M$2:$M$3001,$N563))</f>
      </c>
      <c r="L563">
        <f>IF($N563="","",INDEX(Staging!$O$2:$O$3001,$N563))</f>
      </c>
      <c r="M563">
        <f>IF($N563="","",INDEX(Staging!$P$2:$P$3001,$N563))</f>
      </c>
      <c r="N563">
        <f t="array" ref="N563">IFERROR(SMALL(IF(Staging!$E$2:$E$3001="MIPPL",ROW(Staging!$E$2:$E$3001)-ROW(Staging!$E$2)+1),562),"")</f>
      </c>
    </row>
    <row r="564" spans="1:14" x14ac:dyDescent="0.25">
      <c r="A564">
        <f>IF($N564="","",INDEX(Staging!$A$2:$A$3001,$N564))</f>
      </c>
      <c r="B564">
        <f>IF($N564="","",INDEX(Staging!$B$2:$B$3001,$N564))</f>
      </c>
      <c r="C564">
        <f>IF($N564="","",INDEX(Staging!$C$2:$C$3001,$N564))</f>
      </c>
      <c r="D564">
        <f>IF($N564="","",INDEX(Staging!$D$2:$D$3001,$N564))</f>
      </c>
      <c r="E564">
        <f>IF($N564="","",INDEX(Staging!$F$2:$F$3001,$N564))</f>
      </c>
      <c r="F564">
        <f>IF($N564="","",INDEX(Staging!$G$2:$G$3001,$N564))</f>
      </c>
      <c r="G564">
        <f>IF($N564="","",INDEX(Staging!$H$2:$H$3001,$N564))</f>
      </c>
      <c r="H564">
        <f>IF($N564="","",INDEX(Staging!$I$2:$I$3001,$N564))</f>
      </c>
      <c r="I564">
        <f>IF($N564="","",INDEX(Staging!$J$2:$J$3001,$N564))</f>
      </c>
      <c r="J564">
        <f>IF($N564="","",INDEX(Staging!$K$2:$K$3001,$N564))</f>
      </c>
      <c r="K564">
        <f>IF($N564="","",INDEX(Staging!$M$2:$M$3001,$N564))</f>
      </c>
      <c r="L564">
        <f>IF($N564="","",INDEX(Staging!$O$2:$O$3001,$N564))</f>
      </c>
      <c r="M564">
        <f>IF($N564="","",INDEX(Staging!$P$2:$P$3001,$N564))</f>
      </c>
      <c r="N564">
        <f t="array" ref="N564">IFERROR(SMALL(IF(Staging!$E$2:$E$3001="MIPPL",ROW(Staging!$E$2:$E$3001)-ROW(Staging!$E$2)+1),563),"")</f>
      </c>
    </row>
    <row r="565" spans="1:14" x14ac:dyDescent="0.25">
      <c r="A565">
        <f>IF($N565="","",INDEX(Staging!$A$2:$A$3001,$N565))</f>
      </c>
      <c r="B565">
        <f>IF($N565="","",INDEX(Staging!$B$2:$B$3001,$N565))</f>
      </c>
      <c r="C565">
        <f>IF($N565="","",INDEX(Staging!$C$2:$C$3001,$N565))</f>
      </c>
      <c r="D565">
        <f>IF($N565="","",INDEX(Staging!$D$2:$D$3001,$N565))</f>
      </c>
      <c r="E565">
        <f>IF($N565="","",INDEX(Staging!$F$2:$F$3001,$N565))</f>
      </c>
      <c r="F565">
        <f>IF($N565="","",INDEX(Staging!$G$2:$G$3001,$N565))</f>
      </c>
      <c r="G565">
        <f>IF($N565="","",INDEX(Staging!$H$2:$H$3001,$N565))</f>
      </c>
      <c r="H565">
        <f>IF($N565="","",INDEX(Staging!$I$2:$I$3001,$N565))</f>
      </c>
      <c r="I565">
        <f>IF($N565="","",INDEX(Staging!$J$2:$J$3001,$N565))</f>
      </c>
      <c r="J565">
        <f>IF($N565="","",INDEX(Staging!$K$2:$K$3001,$N565))</f>
      </c>
      <c r="K565">
        <f>IF($N565="","",INDEX(Staging!$M$2:$M$3001,$N565))</f>
      </c>
      <c r="L565">
        <f>IF($N565="","",INDEX(Staging!$O$2:$O$3001,$N565))</f>
      </c>
      <c r="M565">
        <f>IF($N565="","",INDEX(Staging!$P$2:$P$3001,$N565))</f>
      </c>
      <c r="N565">
        <f t="array" ref="N565">IFERROR(SMALL(IF(Staging!$E$2:$E$3001="MIPPL",ROW(Staging!$E$2:$E$3001)-ROW(Staging!$E$2)+1),564),"")</f>
      </c>
    </row>
    <row r="566" spans="1:14" x14ac:dyDescent="0.25">
      <c r="A566">
        <f>IF($N566="","",INDEX(Staging!$A$2:$A$3001,$N566))</f>
      </c>
      <c r="B566">
        <f>IF($N566="","",INDEX(Staging!$B$2:$B$3001,$N566))</f>
      </c>
      <c r="C566">
        <f>IF($N566="","",INDEX(Staging!$C$2:$C$3001,$N566))</f>
      </c>
      <c r="D566">
        <f>IF($N566="","",INDEX(Staging!$D$2:$D$3001,$N566))</f>
      </c>
      <c r="E566">
        <f>IF($N566="","",INDEX(Staging!$F$2:$F$3001,$N566))</f>
      </c>
      <c r="F566">
        <f>IF($N566="","",INDEX(Staging!$G$2:$G$3001,$N566))</f>
      </c>
      <c r="G566">
        <f>IF($N566="","",INDEX(Staging!$H$2:$H$3001,$N566))</f>
      </c>
      <c r="H566">
        <f>IF($N566="","",INDEX(Staging!$I$2:$I$3001,$N566))</f>
      </c>
      <c r="I566">
        <f>IF($N566="","",INDEX(Staging!$J$2:$J$3001,$N566))</f>
      </c>
      <c r="J566">
        <f>IF($N566="","",INDEX(Staging!$K$2:$K$3001,$N566))</f>
      </c>
      <c r="K566">
        <f>IF($N566="","",INDEX(Staging!$M$2:$M$3001,$N566))</f>
      </c>
      <c r="L566">
        <f>IF($N566="","",INDEX(Staging!$O$2:$O$3001,$N566))</f>
      </c>
      <c r="M566">
        <f>IF($N566="","",INDEX(Staging!$P$2:$P$3001,$N566))</f>
      </c>
      <c r="N566">
        <f t="array" ref="N566">IFERROR(SMALL(IF(Staging!$E$2:$E$3001="MIPPL",ROW(Staging!$E$2:$E$3001)-ROW(Staging!$E$2)+1),565),"")</f>
      </c>
    </row>
    <row r="567" spans="1:14" x14ac:dyDescent="0.25">
      <c r="A567">
        <f>IF($N567="","",INDEX(Staging!$A$2:$A$3001,$N567))</f>
      </c>
      <c r="B567">
        <f>IF($N567="","",INDEX(Staging!$B$2:$B$3001,$N567))</f>
      </c>
      <c r="C567">
        <f>IF($N567="","",INDEX(Staging!$C$2:$C$3001,$N567))</f>
      </c>
      <c r="D567">
        <f>IF($N567="","",INDEX(Staging!$D$2:$D$3001,$N567))</f>
      </c>
      <c r="E567">
        <f>IF($N567="","",INDEX(Staging!$F$2:$F$3001,$N567))</f>
      </c>
      <c r="F567">
        <f>IF($N567="","",INDEX(Staging!$G$2:$G$3001,$N567))</f>
      </c>
      <c r="G567">
        <f>IF($N567="","",INDEX(Staging!$H$2:$H$3001,$N567))</f>
      </c>
      <c r="H567">
        <f>IF($N567="","",INDEX(Staging!$I$2:$I$3001,$N567))</f>
      </c>
      <c r="I567">
        <f>IF($N567="","",INDEX(Staging!$J$2:$J$3001,$N567))</f>
      </c>
      <c r="J567">
        <f>IF($N567="","",INDEX(Staging!$K$2:$K$3001,$N567))</f>
      </c>
      <c r="K567">
        <f>IF($N567="","",INDEX(Staging!$M$2:$M$3001,$N567))</f>
      </c>
      <c r="L567">
        <f>IF($N567="","",INDEX(Staging!$O$2:$O$3001,$N567))</f>
      </c>
      <c r="M567">
        <f>IF($N567="","",INDEX(Staging!$P$2:$P$3001,$N567))</f>
      </c>
      <c r="N567">
        <f t="array" ref="N567">IFERROR(SMALL(IF(Staging!$E$2:$E$3001="MIPPL",ROW(Staging!$E$2:$E$3001)-ROW(Staging!$E$2)+1),566),"")</f>
      </c>
    </row>
    <row r="568" spans="1:14" x14ac:dyDescent="0.25">
      <c r="A568">
        <f>IF($N568="","",INDEX(Staging!$A$2:$A$3001,$N568))</f>
      </c>
      <c r="B568">
        <f>IF($N568="","",INDEX(Staging!$B$2:$B$3001,$N568))</f>
      </c>
      <c r="C568">
        <f>IF($N568="","",INDEX(Staging!$C$2:$C$3001,$N568))</f>
      </c>
      <c r="D568">
        <f>IF($N568="","",INDEX(Staging!$D$2:$D$3001,$N568))</f>
      </c>
      <c r="E568">
        <f>IF($N568="","",INDEX(Staging!$F$2:$F$3001,$N568))</f>
      </c>
      <c r="F568">
        <f>IF($N568="","",INDEX(Staging!$G$2:$G$3001,$N568))</f>
      </c>
      <c r="G568">
        <f>IF($N568="","",INDEX(Staging!$H$2:$H$3001,$N568))</f>
      </c>
      <c r="H568">
        <f>IF($N568="","",INDEX(Staging!$I$2:$I$3001,$N568))</f>
      </c>
      <c r="I568">
        <f>IF($N568="","",INDEX(Staging!$J$2:$J$3001,$N568))</f>
      </c>
      <c r="J568">
        <f>IF($N568="","",INDEX(Staging!$K$2:$K$3001,$N568))</f>
      </c>
      <c r="K568">
        <f>IF($N568="","",INDEX(Staging!$M$2:$M$3001,$N568))</f>
      </c>
      <c r="L568">
        <f>IF($N568="","",INDEX(Staging!$O$2:$O$3001,$N568))</f>
      </c>
      <c r="M568">
        <f>IF($N568="","",INDEX(Staging!$P$2:$P$3001,$N568))</f>
      </c>
      <c r="N568">
        <f t="array" ref="N568">IFERROR(SMALL(IF(Staging!$E$2:$E$3001="MIPPL",ROW(Staging!$E$2:$E$3001)-ROW(Staging!$E$2)+1),567),"")</f>
      </c>
    </row>
    <row r="569" spans="1:14" x14ac:dyDescent="0.25">
      <c r="A569">
        <f>IF($N569="","",INDEX(Staging!$A$2:$A$3001,$N569))</f>
      </c>
      <c r="B569">
        <f>IF($N569="","",INDEX(Staging!$B$2:$B$3001,$N569))</f>
      </c>
      <c r="C569">
        <f>IF($N569="","",INDEX(Staging!$C$2:$C$3001,$N569))</f>
      </c>
      <c r="D569">
        <f>IF($N569="","",INDEX(Staging!$D$2:$D$3001,$N569))</f>
      </c>
      <c r="E569">
        <f>IF($N569="","",INDEX(Staging!$F$2:$F$3001,$N569))</f>
      </c>
      <c r="F569">
        <f>IF($N569="","",INDEX(Staging!$G$2:$G$3001,$N569))</f>
      </c>
      <c r="G569">
        <f>IF($N569="","",INDEX(Staging!$H$2:$H$3001,$N569))</f>
      </c>
      <c r="H569">
        <f>IF($N569="","",INDEX(Staging!$I$2:$I$3001,$N569))</f>
      </c>
      <c r="I569">
        <f>IF($N569="","",INDEX(Staging!$J$2:$J$3001,$N569))</f>
      </c>
      <c r="J569">
        <f>IF($N569="","",INDEX(Staging!$K$2:$K$3001,$N569))</f>
      </c>
      <c r="K569">
        <f>IF($N569="","",INDEX(Staging!$M$2:$M$3001,$N569))</f>
      </c>
      <c r="L569">
        <f>IF($N569="","",INDEX(Staging!$O$2:$O$3001,$N569))</f>
      </c>
      <c r="M569">
        <f>IF($N569="","",INDEX(Staging!$P$2:$P$3001,$N569))</f>
      </c>
      <c r="N569">
        <f t="array" ref="N569">IFERROR(SMALL(IF(Staging!$E$2:$E$3001="MIPPL",ROW(Staging!$E$2:$E$3001)-ROW(Staging!$E$2)+1),568),"")</f>
      </c>
    </row>
    <row r="570" spans="1:14" x14ac:dyDescent="0.25">
      <c r="A570">
        <f>IF($N570="","",INDEX(Staging!$A$2:$A$3001,$N570))</f>
      </c>
      <c r="B570">
        <f>IF($N570="","",INDEX(Staging!$B$2:$B$3001,$N570))</f>
      </c>
      <c r="C570">
        <f>IF($N570="","",INDEX(Staging!$C$2:$C$3001,$N570))</f>
      </c>
      <c r="D570">
        <f>IF($N570="","",INDEX(Staging!$D$2:$D$3001,$N570))</f>
      </c>
      <c r="E570">
        <f>IF($N570="","",INDEX(Staging!$F$2:$F$3001,$N570))</f>
      </c>
      <c r="F570">
        <f>IF($N570="","",INDEX(Staging!$G$2:$G$3001,$N570))</f>
      </c>
      <c r="G570">
        <f>IF($N570="","",INDEX(Staging!$H$2:$H$3001,$N570))</f>
      </c>
      <c r="H570">
        <f>IF($N570="","",INDEX(Staging!$I$2:$I$3001,$N570))</f>
      </c>
      <c r="I570">
        <f>IF($N570="","",INDEX(Staging!$J$2:$J$3001,$N570))</f>
      </c>
      <c r="J570">
        <f>IF($N570="","",INDEX(Staging!$K$2:$K$3001,$N570))</f>
      </c>
      <c r="K570">
        <f>IF($N570="","",INDEX(Staging!$M$2:$M$3001,$N570))</f>
      </c>
      <c r="L570">
        <f>IF($N570="","",INDEX(Staging!$O$2:$O$3001,$N570))</f>
      </c>
      <c r="M570">
        <f>IF($N570="","",INDEX(Staging!$P$2:$P$3001,$N570))</f>
      </c>
      <c r="N570">
        <f t="array" ref="N570">IFERROR(SMALL(IF(Staging!$E$2:$E$3001="MIPPL",ROW(Staging!$E$2:$E$3001)-ROW(Staging!$E$2)+1),569),"")</f>
      </c>
    </row>
    <row r="571" spans="1:14" x14ac:dyDescent="0.25">
      <c r="A571">
        <f>IF($N571="","",INDEX(Staging!$A$2:$A$3001,$N571))</f>
      </c>
      <c r="B571">
        <f>IF($N571="","",INDEX(Staging!$B$2:$B$3001,$N571))</f>
      </c>
      <c r="C571">
        <f>IF($N571="","",INDEX(Staging!$C$2:$C$3001,$N571))</f>
      </c>
      <c r="D571">
        <f>IF($N571="","",INDEX(Staging!$D$2:$D$3001,$N571))</f>
      </c>
      <c r="E571">
        <f>IF($N571="","",INDEX(Staging!$F$2:$F$3001,$N571))</f>
      </c>
      <c r="F571">
        <f>IF($N571="","",INDEX(Staging!$G$2:$G$3001,$N571))</f>
      </c>
      <c r="G571">
        <f>IF($N571="","",INDEX(Staging!$H$2:$H$3001,$N571))</f>
      </c>
      <c r="H571">
        <f>IF($N571="","",INDEX(Staging!$I$2:$I$3001,$N571))</f>
      </c>
      <c r="I571">
        <f>IF($N571="","",INDEX(Staging!$J$2:$J$3001,$N571))</f>
      </c>
      <c r="J571">
        <f>IF($N571="","",INDEX(Staging!$K$2:$K$3001,$N571))</f>
      </c>
      <c r="K571">
        <f>IF($N571="","",INDEX(Staging!$M$2:$M$3001,$N571))</f>
      </c>
      <c r="L571">
        <f>IF($N571="","",INDEX(Staging!$O$2:$O$3001,$N571))</f>
      </c>
      <c r="M571">
        <f>IF($N571="","",INDEX(Staging!$P$2:$P$3001,$N571))</f>
      </c>
      <c r="N571">
        <f t="array" ref="N571">IFERROR(SMALL(IF(Staging!$E$2:$E$3001="MIPPL",ROW(Staging!$E$2:$E$3001)-ROW(Staging!$E$2)+1),570),"")</f>
      </c>
    </row>
    <row r="572" spans="1:14" x14ac:dyDescent="0.25">
      <c r="A572">
        <f>IF($N572="","",INDEX(Staging!$A$2:$A$3001,$N572))</f>
      </c>
      <c r="B572">
        <f>IF($N572="","",INDEX(Staging!$B$2:$B$3001,$N572))</f>
      </c>
      <c r="C572">
        <f>IF($N572="","",INDEX(Staging!$C$2:$C$3001,$N572))</f>
      </c>
      <c r="D572">
        <f>IF($N572="","",INDEX(Staging!$D$2:$D$3001,$N572))</f>
      </c>
      <c r="E572">
        <f>IF($N572="","",INDEX(Staging!$F$2:$F$3001,$N572))</f>
      </c>
      <c r="F572">
        <f>IF($N572="","",INDEX(Staging!$G$2:$G$3001,$N572))</f>
      </c>
      <c r="G572">
        <f>IF($N572="","",INDEX(Staging!$H$2:$H$3001,$N572))</f>
      </c>
      <c r="H572">
        <f>IF($N572="","",INDEX(Staging!$I$2:$I$3001,$N572))</f>
      </c>
      <c r="I572">
        <f>IF($N572="","",INDEX(Staging!$J$2:$J$3001,$N572))</f>
      </c>
      <c r="J572">
        <f>IF($N572="","",INDEX(Staging!$K$2:$K$3001,$N572))</f>
      </c>
      <c r="K572">
        <f>IF($N572="","",INDEX(Staging!$M$2:$M$3001,$N572))</f>
      </c>
      <c r="L572">
        <f>IF($N572="","",INDEX(Staging!$O$2:$O$3001,$N572))</f>
      </c>
      <c r="M572">
        <f>IF($N572="","",INDEX(Staging!$P$2:$P$3001,$N572))</f>
      </c>
      <c r="N572">
        <f t="array" ref="N572">IFERROR(SMALL(IF(Staging!$E$2:$E$3001="MIPPL",ROW(Staging!$E$2:$E$3001)-ROW(Staging!$E$2)+1),571),"")</f>
      </c>
    </row>
    <row r="573" spans="1:14" x14ac:dyDescent="0.25">
      <c r="A573">
        <f>IF($N573="","",INDEX(Staging!$A$2:$A$3001,$N573))</f>
      </c>
      <c r="B573">
        <f>IF($N573="","",INDEX(Staging!$B$2:$B$3001,$N573))</f>
      </c>
      <c r="C573">
        <f>IF($N573="","",INDEX(Staging!$C$2:$C$3001,$N573))</f>
      </c>
      <c r="D573">
        <f>IF($N573="","",INDEX(Staging!$D$2:$D$3001,$N573))</f>
      </c>
      <c r="E573">
        <f>IF($N573="","",INDEX(Staging!$F$2:$F$3001,$N573))</f>
      </c>
      <c r="F573">
        <f>IF($N573="","",INDEX(Staging!$G$2:$G$3001,$N573))</f>
      </c>
      <c r="G573">
        <f>IF($N573="","",INDEX(Staging!$H$2:$H$3001,$N573))</f>
      </c>
      <c r="H573">
        <f>IF($N573="","",INDEX(Staging!$I$2:$I$3001,$N573))</f>
      </c>
      <c r="I573">
        <f>IF($N573="","",INDEX(Staging!$J$2:$J$3001,$N573))</f>
      </c>
      <c r="J573">
        <f>IF($N573="","",INDEX(Staging!$K$2:$K$3001,$N573))</f>
      </c>
      <c r="K573">
        <f>IF($N573="","",INDEX(Staging!$M$2:$M$3001,$N573))</f>
      </c>
      <c r="L573">
        <f>IF($N573="","",INDEX(Staging!$O$2:$O$3001,$N573))</f>
      </c>
      <c r="M573">
        <f>IF($N573="","",INDEX(Staging!$P$2:$P$3001,$N573))</f>
      </c>
      <c r="N573">
        <f t="array" ref="N573">IFERROR(SMALL(IF(Staging!$E$2:$E$3001="MIPPL",ROW(Staging!$E$2:$E$3001)-ROW(Staging!$E$2)+1),572),"")</f>
      </c>
    </row>
    <row r="574" spans="1:14" x14ac:dyDescent="0.25">
      <c r="A574">
        <f>IF($N574="","",INDEX(Staging!$A$2:$A$3001,$N574))</f>
      </c>
      <c r="B574">
        <f>IF($N574="","",INDEX(Staging!$B$2:$B$3001,$N574))</f>
      </c>
      <c r="C574">
        <f>IF($N574="","",INDEX(Staging!$C$2:$C$3001,$N574))</f>
      </c>
      <c r="D574">
        <f>IF($N574="","",INDEX(Staging!$D$2:$D$3001,$N574))</f>
      </c>
      <c r="E574">
        <f>IF($N574="","",INDEX(Staging!$F$2:$F$3001,$N574))</f>
      </c>
      <c r="F574">
        <f>IF($N574="","",INDEX(Staging!$G$2:$G$3001,$N574))</f>
      </c>
      <c r="G574">
        <f>IF($N574="","",INDEX(Staging!$H$2:$H$3001,$N574))</f>
      </c>
      <c r="H574">
        <f>IF($N574="","",INDEX(Staging!$I$2:$I$3001,$N574))</f>
      </c>
      <c r="I574">
        <f>IF($N574="","",INDEX(Staging!$J$2:$J$3001,$N574))</f>
      </c>
      <c r="J574">
        <f>IF($N574="","",INDEX(Staging!$K$2:$K$3001,$N574))</f>
      </c>
      <c r="K574">
        <f>IF($N574="","",INDEX(Staging!$M$2:$M$3001,$N574))</f>
      </c>
      <c r="L574">
        <f>IF($N574="","",INDEX(Staging!$O$2:$O$3001,$N574))</f>
      </c>
      <c r="M574">
        <f>IF($N574="","",INDEX(Staging!$P$2:$P$3001,$N574))</f>
      </c>
      <c r="N574">
        <f t="array" ref="N574">IFERROR(SMALL(IF(Staging!$E$2:$E$3001="MIPPL",ROW(Staging!$E$2:$E$3001)-ROW(Staging!$E$2)+1),573),"")</f>
      </c>
    </row>
    <row r="575" spans="1:14" x14ac:dyDescent="0.25">
      <c r="A575">
        <f>IF($N575="","",INDEX(Staging!$A$2:$A$3001,$N575))</f>
      </c>
      <c r="B575">
        <f>IF($N575="","",INDEX(Staging!$B$2:$B$3001,$N575))</f>
      </c>
      <c r="C575">
        <f>IF($N575="","",INDEX(Staging!$C$2:$C$3001,$N575))</f>
      </c>
      <c r="D575">
        <f>IF($N575="","",INDEX(Staging!$D$2:$D$3001,$N575))</f>
      </c>
      <c r="E575">
        <f>IF($N575="","",INDEX(Staging!$F$2:$F$3001,$N575))</f>
      </c>
      <c r="F575">
        <f>IF($N575="","",INDEX(Staging!$G$2:$G$3001,$N575))</f>
      </c>
      <c r="G575">
        <f>IF($N575="","",INDEX(Staging!$H$2:$H$3001,$N575))</f>
      </c>
      <c r="H575">
        <f>IF($N575="","",INDEX(Staging!$I$2:$I$3001,$N575))</f>
      </c>
      <c r="I575">
        <f>IF($N575="","",INDEX(Staging!$J$2:$J$3001,$N575))</f>
      </c>
      <c r="J575">
        <f>IF($N575="","",INDEX(Staging!$K$2:$K$3001,$N575))</f>
      </c>
      <c r="K575">
        <f>IF($N575="","",INDEX(Staging!$M$2:$M$3001,$N575))</f>
      </c>
      <c r="L575">
        <f>IF($N575="","",INDEX(Staging!$O$2:$O$3001,$N575))</f>
      </c>
      <c r="M575">
        <f>IF($N575="","",INDEX(Staging!$P$2:$P$3001,$N575))</f>
      </c>
      <c r="N575">
        <f t="array" ref="N575">IFERROR(SMALL(IF(Staging!$E$2:$E$3001="MIPPL",ROW(Staging!$E$2:$E$3001)-ROW(Staging!$E$2)+1),574),"")</f>
      </c>
    </row>
    <row r="576" spans="1:14" x14ac:dyDescent="0.25">
      <c r="A576">
        <f>IF($N576="","",INDEX(Staging!$A$2:$A$3001,$N576))</f>
      </c>
      <c r="B576">
        <f>IF($N576="","",INDEX(Staging!$B$2:$B$3001,$N576))</f>
      </c>
      <c r="C576">
        <f>IF($N576="","",INDEX(Staging!$C$2:$C$3001,$N576))</f>
      </c>
      <c r="D576">
        <f>IF($N576="","",INDEX(Staging!$D$2:$D$3001,$N576))</f>
      </c>
      <c r="E576">
        <f>IF($N576="","",INDEX(Staging!$F$2:$F$3001,$N576))</f>
      </c>
      <c r="F576">
        <f>IF($N576="","",INDEX(Staging!$G$2:$G$3001,$N576))</f>
      </c>
      <c r="G576">
        <f>IF($N576="","",INDEX(Staging!$H$2:$H$3001,$N576))</f>
      </c>
      <c r="H576">
        <f>IF($N576="","",INDEX(Staging!$I$2:$I$3001,$N576))</f>
      </c>
      <c r="I576">
        <f>IF($N576="","",INDEX(Staging!$J$2:$J$3001,$N576))</f>
      </c>
      <c r="J576">
        <f>IF($N576="","",INDEX(Staging!$K$2:$K$3001,$N576))</f>
      </c>
      <c r="K576">
        <f>IF($N576="","",INDEX(Staging!$M$2:$M$3001,$N576))</f>
      </c>
      <c r="L576">
        <f>IF($N576="","",INDEX(Staging!$O$2:$O$3001,$N576))</f>
      </c>
      <c r="M576">
        <f>IF($N576="","",INDEX(Staging!$P$2:$P$3001,$N576))</f>
      </c>
      <c r="N576">
        <f t="array" ref="N576">IFERROR(SMALL(IF(Staging!$E$2:$E$3001="MIPPL",ROW(Staging!$E$2:$E$3001)-ROW(Staging!$E$2)+1),575),"")</f>
      </c>
    </row>
    <row r="577" spans="1:14" x14ac:dyDescent="0.25">
      <c r="A577">
        <f>IF($N577="","",INDEX(Staging!$A$2:$A$3001,$N577))</f>
      </c>
      <c r="B577">
        <f>IF($N577="","",INDEX(Staging!$B$2:$B$3001,$N577))</f>
      </c>
      <c r="C577">
        <f>IF($N577="","",INDEX(Staging!$C$2:$C$3001,$N577))</f>
      </c>
      <c r="D577">
        <f>IF($N577="","",INDEX(Staging!$D$2:$D$3001,$N577))</f>
      </c>
      <c r="E577">
        <f>IF($N577="","",INDEX(Staging!$F$2:$F$3001,$N577))</f>
      </c>
      <c r="F577">
        <f>IF($N577="","",INDEX(Staging!$G$2:$G$3001,$N577))</f>
      </c>
      <c r="G577">
        <f>IF($N577="","",INDEX(Staging!$H$2:$H$3001,$N577))</f>
      </c>
      <c r="H577">
        <f>IF($N577="","",INDEX(Staging!$I$2:$I$3001,$N577))</f>
      </c>
      <c r="I577">
        <f>IF($N577="","",INDEX(Staging!$J$2:$J$3001,$N577))</f>
      </c>
      <c r="J577">
        <f>IF($N577="","",INDEX(Staging!$K$2:$K$3001,$N577))</f>
      </c>
      <c r="K577">
        <f>IF($N577="","",INDEX(Staging!$M$2:$M$3001,$N577))</f>
      </c>
      <c r="L577">
        <f>IF($N577="","",INDEX(Staging!$O$2:$O$3001,$N577))</f>
      </c>
      <c r="M577">
        <f>IF($N577="","",INDEX(Staging!$P$2:$P$3001,$N577))</f>
      </c>
      <c r="N577">
        <f t="array" ref="N577">IFERROR(SMALL(IF(Staging!$E$2:$E$3001="MIPPL",ROW(Staging!$E$2:$E$3001)-ROW(Staging!$E$2)+1),576),"")</f>
      </c>
    </row>
    <row r="578" spans="1:14" x14ac:dyDescent="0.25">
      <c r="A578">
        <f>IF($N578="","",INDEX(Staging!$A$2:$A$3001,$N578))</f>
      </c>
      <c r="B578">
        <f>IF($N578="","",INDEX(Staging!$B$2:$B$3001,$N578))</f>
      </c>
      <c r="C578">
        <f>IF($N578="","",INDEX(Staging!$C$2:$C$3001,$N578))</f>
      </c>
      <c r="D578">
        <f>IF($N578="","",INDEX(Staging!$D$2:$D$3001,$N578))</f>
      </c>
      <c r="E578">
        <f>IF($N578="","",INDEX(Staging!$F$2:$F$3001,$N578))</f>
      </c>
      <c r="F578">
        <f>IF($N578="","",INDEX(Staging!$G$2:$G$3001,$N578))</f>
      </c>
      <c r="G578">
        <f>IF($N578="","",INDEX(Staging!$H$2:$H$3001,$N578))</f>
      </c>
      <c r="H578">
        <f>IF($N578="","",INDEX(Staging!$I$2:$I$3001,$N578))</f>
      </c>
      <c r="I578">
        <f>IF($N578="","",INDEX(Staging!$J$2:$J$3001,$N578))</f>
      </c>
      <c r="J578">
        <f>IF($N578="","",INDEX(Staging!$K$2:$K$3001,$N578))</f>
      </c>
      <c r="K578">
        <f>IF($N578="","",INDEX(Staging!$M$2:$M$3001,$N578))</f>
      </c>
      <c r="L578">
        <f>IF($N578="","",INDEX(Staging!$O$2:$O$3001,$N578))</f>
      </c>
      <c r="M578">
        <f>IF($N578="","",INDEX(Staging!$P$2:$P$3001,$N578))</f>
      </c>
      <c r="N578">
        <f t="array" ref="N578">IFERROR(SMALL(IF(Staging!$E$2:$E$3001="MIPPL",ROW(Staging!$E$2:$E$3001)-ROW(Staging!$E$2)+1),577),"")</f>
      </c>
    </row>
    <row r="579" spans="1:14" x14ac:dyDescent="0.25">
      <c r="A579">
        <f>IF($N579="","",INDEX(Staging!$A$2:$A$3001,$N579))</f>
      </c>
      <c r="B579">
        <f>IF($N579="","",INDEX(Staging!$B$2:$B$3001,$N579))</f>
      </c>
      <c r="C579">
        <f>IF($N579="","",INDEX(Staging!$C$2:$C$3001,$N579))</f>
      </c>
      <c r="D579">
        <f>IF($N579="","",INDEX(Staging!$D$2:$D$3001,$N579))</f>
      </c>
      <c r="E579">
        <f>IF($N579="","",INDEX(Staging!$F$2:$F$3001,$N579))</f>
      </c>
      <c r="F579">
        <f>IF($N579="","",INDEX(Staging!$G$2:$G$3001,$N579))</f>
      </c>
      <c r="G579">
        <f>IF($N579="","",INDEX(Staging!$H$2:$H$3001,$N579))</f>
      </c>
      <c r="H579">
        <f>IF($N579="","",INDEX(Staging!$I$2:$I$3001,$N579))</f>
      </c>
      <c r="I579">
        <f>IF($N579="","",INDEX(Staging!$J$2:$J$3001,$N579))</f>
      </c>
      <c r="J579">
        <f>IF($N579="","",INDEX(Staging!$K$2:$K$3001,$N579))</f>
      </c>
      <c r="K579">
        <f>IF($N579="","",INDEX(Staging!$M$2:$M$3001,$N579))</f>
      </c>
      <c r="L579">
        <f>IF($N579="","",INDEX(Staging!$O$2:$O$3001,$N579))</f>
      </c>
      <c r="M579">
        <f>IF($N579="","",INDEX(Staging!$P$2:$P$3001,$N579))</f>
      </c>
      <c r="N579">
        <f t="array" ref="N579">IFERROR(SMALL(IF(Staging!$E$2:$E$3001="MIPPL",ROW(Staging!$E$2:$E$3001)-ROW(Staging!$E$2)+1),578),"")</f>
      </c>
    </row>
    <row r="580" spans="1:14" x14ac:dyDescent="0.25">
      <c r="A580">
        <f>IF($N580="","",INDEX(Staging!$A$2:$A$3001,$N580))</f>
      </c>
      <c r="B580">
        <f>IF($N580="","",INDEX(Staging!$B$2:$B$3001,$N580))</f>
      </c>
      <c r="C580">
        <f>IF($N580="","",INDEX(Staging!$C$2:$C$3001,$N580))</f>
      </c>
      <c r="D580">
        <f>IF($N580="","",INDEX(Staging!$D$2:$D$3001,$N580))</f>
      </c>
      <c r="E580">
        <f>IF($N580="","",INDEX(Staging!$F$2:$F$3001,$N580))</f>
      </c>
      <c r="F580">
        <f>IF($N580="","",INDEX(Staging!$G$2:$G$3001,$N580))</f>
      </c>
      <c r="G580">
        <f>IF($N580="","",INDEX(Staging!$H$2:$H$3001,$N580))</f>
      </c>
      <c r="H580">
        <f>IF($N580="","",INDEX(Staging!$I$2:$I$3001,$N580))</f>
      </c>
      <c r="I580">
        <f>IF($N580="","",INDEX(Staging!$J$2:$J$3001,$N580))</f>
      </c>
      <c r="J580">
        <f>IF($N580="","",INDEX(Staging!$K$2:$K$3001,$N580))</f>
      </c>
      <c r="K580">
        <f>IF($N580="","",INDEX(Staging!$M$2:$M$3001,$N580))</f>
      </c>
      <c r="L580">
        <f>IF($N580="","",INDEX(Staging!$O$2:$O$3001,$N580))</f>
      </c>
      <c r="M580">
        <f>IF($N580="","",INDEX(Staging!$P$2:$P$3001,$N580))</f>
      </c>
      <c r="N580">
        <f t="array" ref="N580">IFERROR(SMALL(IF(Staging!$E$2:$E$3001="MIPPL",ROW(Staging!$E$2:$E$3001)-ROW(Staging!$E$2)+1),579),"")</f>
      </c>
    </row>
    <row r="581" spans="1:14" x14ac:dyDescent="0.25">
      <c r="A581">
        <f>IF($N581="","",INDEX(Staging!$A$2:$A$3001,$N581))</f>
      </c>
      <c r="B581">
        <f>IF($N581="","",INDEX(Staging!$B$2:$B$3001,$N581))</f>
      </c>
      <c r="C581">
        <f>IF($N581="","",INDEX(Staging!$C$2:$C$3001,$N581))</f>
      </c>
      <c r="D581">
        <f>IF($N581="","",INDEX(Staging!$D$2:$D$3001,$N581))</f>
      </c>
      <c r="E581">
        <f>IF($N581="","",INDEX(Staging!$F$2:$F$3001,$N581))</f>
      </c>
      <c r="F581">
        <f>IF($N581="","",INDEX(Staging!$G$2:$G$3001,$N581))</f>
      </c>
      <c r="G581">
        <f>IF($N581="","",INDEX(Staging!$H$2:$H$3001,$N581))</f>
      </c>
      <c r="H581">
        <f>IF($N581="","",INDEX(Staging!$I$2:$I$3001,$N581))</f>
      </c>
      <c r="I581">
        <f>IF($N581="","",INDEX(Staging!$J$2:$J$3001,$N581))</f>
      </c>
      <c r="J581">
        <f>IF($N581="","",INDEX(Staging!$K$2:$K$3001,$N581))</f>
      </c>
      <c r="K581">
        <f>IF($N581="","",INDEX(Staging!$M$2:$M$3001,$N581))</f>
      </c>
      <c r="L581">
        <f>IF($N581="","",INDEX(Staging!$O$2:$O$3001,$N581))</f>
      </c>
      <c r="M581">
        <f>IF($N581="","",INDEX(Staging!$P$2:$P$3001,$N581))</f>
      </c>
      <c r="N581">
        <f t="array" ref="N581">IFERROR(SMALL(IF(Staging!$E$2:$E$3001="MIPPL",ROW(Staging!$E$2:$E$3001)-ROW(Staging!$E$2)+1),580),"")</f>
      </c>
    </row>
    <row r="582" spans="1:14" x14ac:dyDescent="0.25">
      <c r="A582">
        <f>IF($N582="","",INDEX(Staging!$A$2:$A$3001,$N582))</f>
      </c>
      <c r="B582">
        <f>IF($N582="","",INDEX(Staging!$B$2:$B$3001,$N582))</f>
      </c>
      <c r="C582">
        <f>IF($N582="","",INDEX(Staging!$C$2:$C$3001,$N582))</f>
      </c>
      <c r="D582">
        <f>IF($N582="","",INDEX(Staging!$D$2:$D$3001,$N582))</f>
      </c>
      <c r="E582">
        <f>IF($N582="","",INDEX(Staging!$F$2:$F$3001,$N582))</f>
      </c>
      <c r="F582">
        <f>IF($N582="","",INDEX(Staging!$G$2:$G$3001,$N582))</f>
      </c>
      <c r="G582">
        <f>IF($N582="","",INDEX(Staging!$H$2:$H$3001,$N582))</f>
      </c>
      <c r="H582">
        <f>IF($N582="","",INDEX(Staging!$I$2:$I$3001,$N582))</f>
      </c>
      <c r="I582">
        <f>IF($N582="","",INDEX(Staging!$J$2:$J$3001,$N582))</f>
      </c>
      <c r="J582">
        <f>IF($N582="","",INDEX(Staging!$K$2:$K$3001,$N582))</f>
      </c>
      <c r="K582">
        <f>IF($N582="","",INDEX(Staging!$M$2:$M$3001,$N582))</f>
      </c>
      <c r="L582">
        <f>IF($N582="","",INDEX(Staging!$O$2:$O$3001,$N582))</f>
      </c>
      <c r="M582">
        <f>IF($N582="","",INDEX(Staging!$P$2:$P$3001,$N582))</f>
      </c>
      <c r="N582">
        <f t="array" ref="N582">IFERROR(SMALL(IF(Staging!$E$2:$E$3001="MIPPL",ROW(Staging!$E$2:$E$3001)-ROW(Staging!$E$2)+1),581),"")</f>
      </c>
    </row>
    <row r="583" spans="1:14" x14ac:dyDescent="0.25">
      <c r="A583">
        <f>IF($N583="","",INDEX(Staging!$A$2:$A$3001,$N583))</f>
      </c>
      <c r="B583">
        <f>IF($N583="","",INDEX(Staging!$B$2:$B$3001,$N583))</f>
      </c>
      <c r="C583">
        <f>IF($N583="","",INDEX(Staging!$C$2:$C$3001,$N583))</f>
      </c>
      <c r="D583">
        <f>IF($N583="","",INDEX(Staging!$D$2:$D$3001,$N583))</f>
      </c>
      <c r="E583">
        <f>IF($N583="","",INDEX(Staging!$F$2:$F$3001,$N583))</f>
      </c>
      <c r="F583">
        <f>IF($N583="","",INDEX(Staging!$G$2:$G$3001,$N583))</f>
      </c>
      <c r="G583">
        <f>IF($N583="","",INDEX(Staging!$H$2:$H$3001,$N583))</f>
      </c>
      <c r="H583">
        <f>IF($N583="","",INDEX(Staging!$I$2:$I$3001,$N583))</f>
      </c>
      <c r="I583">
        <f>IF($N583="","",INDEX(Staging!$J$2:$J$3001,$N583))</f>
      </c>
      <c r="J583">
        <f>IF($N583="","",INDEX(Staging!$K$2:$K$3001,$N583))</f>
      </c>
      <c r="K583">
        <f>IF($N583="","",INDEX(Staging!$M$2:$M$3001,$N583))</f>
      </c>
      <c r="L583">
        <f>IF($N583="","",INDEX(Staging!$O$2:$O$3001,$N583))</f>
      </c>
      <c r="M583">
        <f>IF($N583="","",INDEX(Staging!$P$2:$P$3001,$N583))</f>
      </c>
      <c r="N583">
        <f t="array" ref="N583">IFERROR(SMALL(IF(Staging!$E$2:$E$3001="MIPPL",ROW(Staging!$E$2:$E$3001)-ROW(Staging!$E$2)+1),582),"")</f>
      </c>
    </row>
    <row r="584" spans="1:14" x14ac:dyDescent="0.25">
      <c r="A584">
        <f>IF($N584="","",INDEX(Staging!$A$2:$A$3001,$N584))</f>
      </c>
      <c r="B584">
        <f>IF($N584="","",INDEX(Staging!$B$2:$B$3001,$N584))</f>
      </c>
      <c r="C584">
        <f>IF($N584="","",INDEX(Staging!$C$2:$C$3001,$N584))</f>
      </c>
      <c r="D584">
        <f>IF($N584="","",INDEX(Staging!$D$2:$D$3001,$N584))</f>
      </c>
      <c r="E584">
        <f>IF($N584="","",INDEX(Staging!$F$2:$F$3001,$N584))</f>
      </c>
      <c r="F584">
        <f>IF($N584="","",INDEX(Staging!$G$2:$G$3001,$N584))</f>
      </c>
      <c r="G584">
        <f>IF($N584="","",INDEX(Staging!$H$2:$H$3001,$N584))</f>
      </c>
      <c r="H584">
        <f>IF($N584="","",INDEX(Staging!$I$2:$I$3001,$N584))</f>
      </c>
      <c r="I584">
        <f>IF($N584="","",INDEX(Staging!$J$2:$J$3001,$N584))</f>
      </c>
      <c r="J584">
        <f>IF($N584="","",INDEX(Staging!$K$2:$K$3001,$N584))</f>
      </c>
      <c r="K584">
        <f>IF($N584="","",INDEX(Staging!$M$2:$M$3001,$N584))</f>
      </c>
      <c r="L584">
        <f>IF($N584="","",INDEX(Staging!$O$2:$O$3001,$N584))</f>
      </c>
      <c r="M584">
        <f>IF($N584="","",INDEX(Staging!$P$2:$P$3001,$N584))</f>
      </c>
      <c r="N584">
        <f t="array" ref="N584">IFERROR(SMALL(IF(Staging!$E$2:$E$3001="MIPPL",ROW(Staging!$E$2:$E$3001)-ROW(Staging!$E$2)+1),583),"")</f>
      </c>
    </row>
    <row r="585" spans="1:14" x14ac:dyDescent="0.25">
      <c r="A585">
        <f>IF($N585="","",INDEX(Staging!$A$2:$A$3001,$N585))</f>
      </c>
      <c r="B585">
        <f>IF($N585="","",INDEX(Staging!$B$2:$B$3001,$N585))</f>
      </c>
      <c r="C585">
        <f>IF($N585="","",INDEX(Staging!$C$2:$C$3001,$N585))</f>
      </c>
      <c r="D585">
        <f>IF($N585="","",INDEX(Staging!$D$2:$D$3001,$N585))</f>
      </c>
      <c r="E585">
        <f>IF($N585="","",INDEX(Staging!$F$2:$F$3001,$N585))</f>
      </c>
      <c r="F585">
        <f>IF($N585="","",INDEX(Staging!$G$2:$G$3001,$N585))</f>
      </c>
      <c r="G585">
        <f>IF($N585="","",INDEX(Staging!$H$2:$H$3001,$N585))</f>
      </c>
      <c r="H585">
        <f>IF($N585="","",INDEX(Staging!$I$2:$I$3001,$N585))</f>
      </c>
      <c r="I585">
        <f>IF($N585="","",INDEX(Staging!$J$2:$J$3001,$N585))</f>
      </c>
      <c r="J585">
        <f>IF($N585="","",INDEX(Staging!$K$2:$K$3001,$N585))</f>
      </c>
      <c r="K585">
        <f>IF($N585="","",INDEX(Staging!$M$2:$M$3001,$N585))</f>
      </c>
      <c r="L585">
        <f>IF($N585="","",INDEX(Staging!$O$2:$O$3001,$N585))</f>
      </c>
      <c r="M585">
        <f>IF($N585="","",INDEX(Staging!$P$2:$P$3001,$N585))</f>
      </c>
      <c r="N585">
        <f t="array" ref="N585">IFERROR(SMALL(IF(Staging!$E$2:$E$3001="MIPPL",ROW(Staging!$E$2:$E$3001)-ROW(Staging!$E$2)+1),584),"")</f>
      </c>
    </row>
    <row r="586" spans="1:14" x14ac:dyDescent="0.25">
      <c r="A586">
        <f>IF($N586="","",INDEX(Staging!$A$2:$A$3001,$N586))</f>
      </c>
      <c r="B586">
        <f>IF($N586="","",INDEX(Staging!$B$2:$B$3001,$N586))</f>
      </c>
      <c r="C586">
        <f>IF($N586="","",INDEX(Staging!$C$2:$C$3001,$N586))</f>
      </c>
      <c r="D586">
        <f>IF($N586="","",INDEX(Staging!$D$2:$D$3001,$N586))</f>
      </c>
      <c r="E586">
        <f>IF($N586="","",INDEX(Staging!$F$2:$F$3001,$N586))</f>
      </c>
      <c r="F586">
        <f>IF($N586="","",INDEX(Staging!$G$2:$G$3001,$N586))</f>
      </c>
      <c r="G586">
        <f>IF($N586="","",INDEX(Staging!$H$2:$H$3001,$N586))</f>
      </c>
      <c r="H586">
        <f>IF($N586="","",INDEX(Staging!$I$2:$I$3001,$N586))</f>
      </c>
      <c r="I586">
        <f>IF($N586="","",INDEX(Staging!$J$2:$J$3001,$N586))</f>
      </c>
      <c r="J586">
        <f>IF($N586="","",INDEX(Staging!$K$2:$K$3001,$N586))</f>
      </c>
      <c r="K586">
        <f>IF($N586="","",INDEX(Staging!$M$2:$M$3001,$N586))</f>
      </c>
      <c r="L586">
        <f>IF($N586="","",INDEX(Staging!$O$2:$O$3001,$N586))</f>
      </c>
      <c r="M586">
        <f>IF($N586="","",INDEX(Staging!$P$2:$P$3001,$N586))</f>
      </c>
      <c r="N586">
        <f t="array" ref="N586">IFERROR(SMALL(IF(Staging!$E$2:$E$3001="MIPPL",ROW(Staging!$E$2:$E$3001)-ROW(Staging!$E$2)+1),585),"")</f>
      </c>
    </row>
    <row r="587" spans="1:14" x14ac:dyDescent="0.25">
      <c r="A587">
        <f>IF($N587="","",INDEX(Staging!$A$2:$A$3001,$N587))</f>
      </c>
      <c r="B587">
        <f>IF($N587="","",INDEX(Staging!$B$2:$B$3001,$N587))</f>
      </c>
      <c r="C587">
        <f>IF($N587="","",INDEX(Staging!$C$2:$C$3001,$N587))</f>
      </c>
      <c r="D587">
        <f>IF($N587="","",INDEX(Staging!$D$2:$D$3001,$N587))</f>
      </c>
      <c r="E587">
        <f>IF($N587="","",INDEX(Staging!$F$2:$F$3001,$N587))</f>
      </c>
      <c r="F587">
        <f>IF($N587="","",INDEX(Staging!$G$2:$G$3001,$N587))</f>
      </c>
      <c r="G587">
        <f>IF($N587="","",INDEX(Staging!$H$2:$H$3001,$N587))</f>
      </c>
      <c r="H587">
        <f>IF($N587="","",INDEX(Staging!$I$2:$I$3001,$N587))</f>
      </c>
      <c r="I587">
        <f>IF($N587="","",INDEX(Staging!$J$2:$J$3001,$N587))</f>
      </c>
      <c r="J587">
        <f>IF($N587="","",INDEX(Staging!$K$2:$K$3001,$N587))</f>
      </c>
      <c r="K587">
        <f>IF($N587="","",INDEX(Staging!$M$2:$M$3001,$N587))</f>
      </c>
      <c r="L587">
        <f>IF($N587="","",INDEX(Staging!$O$2:$O$3001,$N587))</f>
      </c>
      <c r="M587">
        <f>IF($N587="","",INDEX(Staging!$P$2:$P$3001,$N587))</f>
      </c>
      <c r="N587">
        <f t="array" ref="N587">IFERROR(SMALL(IF(Staging!$E$2:$E$3001="MIPPL",ROW(Staging!$E$2:$E$3001)-ROW(Staging!$E$2)+1),586),"")</f>
      </c>
    </row>
    <row r="588" spans="1:14" x14ac:dyDescent="0.25">
      <c r="A588">
        <f>IF($N588="","",INDEX(Staging!$A$2:$A$3001,$N588))</f>
      </c>
      <c r="B588">
        <f>IF($N588="","",INDEX(Staging!$B$2:$B$3001,$N588))</f>
      </c>
      <c r="C588">
        <f>IF($N588="","",INDEX(Staging!$C$2:$C$3001,$N588))</f>
      </c>
      <c r="D588">
        <f>IF($N588="","",INDEX(Staging!$D$2:$D$3001,$N588))</f>
      </c>
      <c r="E588">
        <f>IF($N588="","",INDEX(Staging!$F$2:$F$3001,$N588))</f>
      </c>
      <c r="F588">
        <f>IF($N588="","",INDEX(Staging!$G$2:$G$3001,$N588))</f>
      </c>
      <c r="G588">
        <f>IF($N588="","",INDEX(Staging!$H$2:$H$3001,$N588))</f>
      </c>
      <c r="H588">
        <f>IF($N588="","",INDEX(Staging!$I$2:$I$3001,$N588))</f>
      </c>
      <c r="I588">
        <f>IF($N588="","",INDEX(Staging!$J$2:$J$3001,$N588))</f>
      </c>
      <c r="J588">
        <f>IF($N588="","",INDEX(Staging!$K$2:$K$3001,$N588))</f>
      </c>
      <c r="K588">
        <f>IF($N588="","",INDEX(Staging!$M$2:$M$3001,$N588))</f>
      </c>
      <c r="L588">
        <f>IF($N588="","",INDEX(Staging!$O$2:$O$3001,$N588))</f>
      </c>
      <c r="M588">
        <f>IF($N588="","",INDEX(Staging!$P$2:$P$3001,$N588))</f>
      </c>
      <c r="N588">
        <f t="array" ref="N588">IFERROR(SMALL(IF(Staging!$E$2:$E$3001="MIPPL",ROW(Staging!$E$2:$E$3001)-ROW(Staging!$E$2)+1),587),"")</f>
      </c>
    </row>
    <row r="589" spans="1:14" x14ac:dyDescent="0.25">
      <c r="A589">
        <f>IF($N589="","",INDEX(Staging!$A$2:$A$3001,$N589))</f>
      </c>
      <c r="B589">
        <f>IF($N589="","",INDEX(Staging!$B$2:$B$3001,$N589))</f>
      </c>
      <c r="C589">
        <f>IF($N589="","",INDEX(Staging!$C$2:$C$3001,$N589))</f>
      </c>
      <c r="D589">
        <f>IF($N589="","",INDEX(Staging!$D$2:$D$3001,$N589))</f>
      </c>
      <c r="E589">
        <f>IF($N589="","",INDEX(Staging!$F$2:$F$3001,$N589))</f>
      </c>
      <c r="F589">
        <f>IF($N589="","",INDEX(Staging!$G$2:$G$3001,$N589))</f>
      </c>
      <c r="G589">
        <f>IF($N589="","",INDEX(Staging!$H$2:$H$3001,$N589))</f>
      </c>
      <c r="H589">
        <f>IF($N589="","",INDEX(Staging!$I$2:$I$3001,$N589))</f>
      </c>
      <c r="I589">
        <f>IF($N589="","",INDEX(Staging!$J$2:$J$3001,$N589))</f>
      </c>
      <c r="J589">
        <f>IF($N589="","",INDEX(Staging!$K$2:$K$3001,$N589))</f>
      </c>
      <c r="K589">
        <f>IF($N589="","",INDEX(Staging!$M$2:$M$3001,$N589))</f>
      </c>
      <c r="L589">
        <f>IF($N589="","",INDEX(Staging!$O$2:$O$3001,$N589))</f>
      </c>
      <c r="M589">
        <f>IF($N589="","",INDEX(Staging!$P$2:$P$3001,$N589))</f>
      </c>
      <c r="N589">
        <f t="array" ref="N589">IFERROR(SMALL(IF(Staging!$E$2:$E$3001="MIPPL",ROW(Staging!$E$2:$E$3001)-ROW(Staging!$E$2)+1),588),"")</f>
      </c>
    </row>
    <row r="590" spans="1:14" x14ac:dyDescent="0.25">
      <c r="A590">
        <f>IF($N590="","",INDEX(Staging!$A$2:$A$3001,$N590))</f>
      </c>
      <c r="B590">
        <f>IF($N590="","",INDEX(Staging!$B$2:$B$3001,$N590))</f>
      </c>
      <c r="C590">
        <f>IF($N590="","",INDEX(Staging!$C$2:$C$3001,$N590))</f>
      </c>
      <c r="D590">
        <f>IF($N590="","",INDEX(Staging!$D$2:$D$3001,$N590))</f>
      </c>
      <c r="E590">
        <f>IF($N590="","",INDEX(Staging!$F$2:$F$3001,$N590))</f>
      </c>
      <c r="F590">
        <f>IF($N590="","",INDEX(Staging!$G$2:$G$3001,$N590))</f>
      </c>
      <c r="G590">
        <f>IF($N590="","",INDEX(Staging!$H$2:$H$3001,$N590))</f>
      </c>
      <c r="H590">
        <f>IF($N590="","",INDEX(Staging!$I$2:$I$3001,$N590))</f>
      </c>
      <c r="I590">
        <f>IF($N590="","",INDEX(Staging!$J$2:$J$3001,$N590))</f>
      </c>
      <c r="J590">
        <f>IF($N590="","",INDEX(Staging!$K$2:$K$3001,$N590))</f>
      </c>
      <c r="K590">
        <f>IF($N590="","",INDEX(Staging!$M$2:$M$3001,$N590))</f>
      </c>
      <c r="L590">
        <f>IF($N590="","",INDEX(Staging!$O$2:$O$3001,$N590))</f>
      </c>
      <c r="M590">
        <f>IF($N590="","",INDEX(Staging!$P$2:$P$3001,$N590))</f>
      </c>
      <c r="N590">
        <f t="array" ref="N590">IFERROR(SMALL(IF(Staging!$E$2:$E$3001="MIPPL",ROW(Staging!$E$2:$E$3001)-ROW(Staging!$E$2)+1),589),"")</f>
      </c>
    </row>
    <row r="591" spans="1:14" x14ac:dyDescent="0.25">
      <c r="A591">
        <f>IF($N591="","",INDEX(Staging!$A$2:$A$3001,$N591))</f>
      </c>
      <c r="B591">
        <f>IF($N591="","",INDEX(Staging!$B$2:$B$3001,$N591))</f>
      </c>
      <c r="C591">
        <f>IF($N591="","",INDEX(Staging!$C$2:$C$3001,$N591))</f>
      </c>
      <c r="D591">
        <f>IF($N591="","",INDEX(Staging!$D$2:$D$3001,$N591))</f>
      </c>
      <c r="E591">
        <f>IF($N591="","",INDEX(Staging!$F$2:$F$3001,$N591))</f>
      </c>
      <c r="F591">
        <f>IF($N591="","",INDEX(Staging!$G$2:$G$3001,$N591))</f>
      </c>
      <c r="G591">
        <f>IF($N591="","",INDEX(Staging!$H$2:$H$3001,$N591))</f>
      </c>
      <c r="H591">
        <f>IF($N591="","",INDEX(Staging!$I$2:$I$3001,$N591))</f>
      </c>
      <c r="I591">
        <f>IF($N591="","",INDEX(Staging!$J$2:$J$3001,$N591))</f>
      </c>
      <c r="J591">
        <f>IF($N591="","",INDEX(Staging!$K$2:$K$3001,$N591))</f>
      </c>
      <c r="K591">
        <f>IF($N591="","",INDEX(Staging!$M$2:$M$3001,$N591))</f>
      </c>
      <c r="L591">
        <f>IF($N591="","",INDEX(Staging!$O$2:$O$3001,$N591))</f>
      </c>
      <c r="M591">
        <f>IF($N591="","",INDEX(Staging!$P$2:$P$3001,$N591))</f>
      </c>
      <c r="N591">
        <f t="array" ref="N591">IFERROR(SMALL(IF(Staging!$E$2:$E$3001="MIPPL",ROW(Staging!$E$2:$E$3001)-ROW(Staging!$E$2)+1),590),"")</f>
      </c>
    </row>
    <row r="592" spans="1:14" x14ac:dyDescent="0.25">
      <c r="A592">
        <f>IF($N592="","",INDEX(Staging!$A$2:$A$3001,$N592))</f>
      </c>
      <c r="B592">
        <f>IF($N592="","",INDEX(Staging!$B$2:$B$3001,$N592))</f>
      </c>
      <c r="C592">
        <f>IF($N592="","",INDEX(Staging!$C$2:$C$3001,$N592))</f>
      </c>
      <c r="D592">
        <f>IF($N592="","",INDEX(Staging!$D$2:$D$3001,$N592))</f>
      </c>
      <c r="E592">
        <f>IF($N592="","",INDEX(Staging!$F$2:$F$3001,$N592))</f>
      </c>
      <c r="F592">
        <f>IF($N592="","",INDEX(Staging!$G$2:$G$3001,$N592))</f>
      </c>
      <c r="G592">
        <f>IF($N592="","",INDEX(Staging!$H$2:$H$3001,$N592))</f>
      </c>
      <c r="H592">
        <f>IF($N592="","",INDEX(Staging!$I$2:$I$3001,$N592))</f>
      </c>
      <c r="I592">
        <f>IF($N592="","",INDEX(Staging!$J$2:$J$3001,$N592))</f>
      </c>
      <c r="J592">
        <f>IF($N592="","",INDEX(Staging!$K$2:$K$3001,$N592))</f>
      </c>
      <c r="K592">
        <f>IF($N592="","",INDEX(Staging!$M$2:$M$3001,$N592))</f>
      </c>
      <c r="L592">
        <f>IF($N592="","",INDEX(Staging!$O$2:$O$3001,$N592))</f>
      </c>
      <c r="M592">
        <f>IF($N592="","",INDEX(Staging!$P$2:$P$3001,$N592))</f>
      </c>
      <c r="N592">
        <f t="array" ref="N592">IFERROR(SMALL(IF(Staging!$E$2:$E$3001="MIPPL",ROW(Staging!$E$2:$E$3001)-ROW(Staging!$E$2)+1),591),"")</f>
      </c>
    </row>
    <row r="593" spans="1:14" x14ac:dyDescent="0.25">
      <c r="A593">
        <f>IF($N593="","",INDEX(Staging!$A$2:$A$3001,$N593))</f>
      </c>
      <c r="B593">
        <f>IF($N593="","",INDEX(Staging!$B$2:$B$3001,$N593))</f>
      </c>
      <c r="C593">
        <f>IF($N593="","",INDEX(Staging!$C$2:$C$3001,$N593))</f>
      </c>
      <c r="D593">
        <f>IF($N593="","",INDEX(Staging!$D$2:$D$3001,$N593))</f>
      </c>
      <c r="E593">
        <f>IF($N593="","",INDEX(Staging!$F$2:$F$3001,$N593))</f>
      </c>
      <c r="F593">
        <f>IF($N593="","",INDEX(Staging!$G$2:$G$3001,$N593))</f>
      </c>
      <c r="G593">
        <f>IF($N593="","",INDEX(Staging!$H$2:$H$3001,$N593))</f>
      </c>
      <c r="H593">
        <f>IF($N593="","",INDEX(Staging!$I$2:$I$3001,$N593))</f>
      </c>
      <c r="I593">
        <f>IF($N593="","",INDEX(Staging!$J$2:$J$3001,$N593))</f>
      </c>
      <c r="J593">
        <f>IF($N593="","",INDEX(Staging!$K$2:$K$3001,$N593))</f>
      </c>
      <c r="K593">
        <f>IF($N593="","",INDEX(Staging!$M$2:$M$3001,$N593))</f>
      </c>
      <c r="L593">
        <f>IF($N593="","",INDEX(Staging!$O$2:$O$3001,$N593))</f>
      </c>
      <c r="M593">
        <f>IF($N593="","",INDEX(Staging!$P$2:$P$3001,$N593))</f>
      </c>
      <c r="N593">
        <f t="array" ref="N593">IFERROR(SMALL(IF(Staging!$E$2:$E$3001="MIPPL",ROW(Staging!$E$2:$E$3001)-ROW(Staging!$E$2)+1),592),"")</f>
      </c>
    </row>
    <row r="594" spans="1:14" x14ac:dyDescent="0.25">
      <c r="A594">
        <f>IF($N594="","",INDEX(Staging!$A$2:$A$3001,$N594))</f>
      </c>
      <c r="B594">
        <f>IF($N594="","",INDEX(Staging!$B$2:$B$3001,$N594))</f>
      </c>
      <c r="C594">
        <f>IF($N594="","",INDEX(Staging!$C$2:$C$3001,$N594))</f>
      </c>
      <c r="D594">
        <f>IF($N594="","",INDEX(Staging!$D$2:$D$3001,$N594))</f>
      </c>
      <c r="E594">
        <f>IF($N594="","",INDEX(Staging!$F$2:$F$3001,$N594))</f>
      </c>
      <c r="F594">
        <f>IF($N594="","",INDEX(Staging!$G$2:$G$3001,$N594))</f>
      </c>
      <c r="G594">
        <f>IF($N594="","",INDEX(Staging!$H$2:$H$3001,$N594))</f>
      </c>
      <c r="H594">
        <f>IF($N594="","",INDEX(Staging!$I$2:$I$3001,$N594))</f>
      </c>
      <c r="I594">
        <f>IF($N594="","",INDEX(Staging!$J$2:$J$3001,$N594))</f>
      </c>
      <c r="J594">
        <f>IF($N594="","",INDEX(Staging!$K$2:$K$3001,$N594))</f>
      </c>
      <c r="K594">
        <f>IF($N594="","",INDEX(Staging!$M$2:$M$3001,$N594))</f>
      </c>
      <c r="L594">
        <f>IF($N594="","",INDEX(Staging!$O$2:$O$3001,$N594))</f>
      </c>
      <c r="M594">
        <f>IF($N594="","",INDEX(Staging!$P$2:$P$3001,$N594))</f>
      </c>
      <c r="N594">
        <f t="array" ref="N594">IFERROR(SMALL(IF(Staging!$E$2:$E$3001="MIPPL",ROW(Staging!$E$2:$E$3001)-ROW(Staging!$E$2)+1),593),"")</f>
      </c>
    </row>
    <row r="595" spans="1:14" x14ac:dyDescent="0.25">
      <c r="A595">
        <f>IF($N595="","",INDEX(Staging!$A$2:$A$3001,$N595))</f>
      </c>
      <c r="B595">
        <f>IF($N595="","",INDEX(Staging!$B$2:$B$3001,$N595))</f>
      </c>
      <c r="C595">
        <f>IF($N595="","",INDEX(Staging!$C$2:$C$3001,$N595))</f>
      </c>
      <c r="D595">
        <f>IF($N595="","",INDEX(Staging!$D$2:$D$3001,$N595))</f>
      </c>
      <c r="E595">
        <f>IF($N595="","",INDEX(Staging!$F$2:$F$3001,$N595))</f>
      </c>
      <c r="F595">
        <f>IF($N595="","",INDEX(Staging!$G$2:$G$3001,$N595))</f>
      </c>
      <c r="G595">
        <f>IF($N595="","",INDEX(Staging!$H$2:$H$3001,$N595))</f>
      </c>
      <c r="H595">
        <f>IF($N595="","",INDEX(Staging!$I$2:$I$3001,$N595))</f>
      </c>
      <c r="I595">
        <f>IF($N595="","",INDEX(Staging!$J$2:$J$3001,$N595))</f>
      </c>
      <c r="J595">
        <f>IF($N595="","",INDEX(Staging!$K$2:$K$3001,$N595))</f>
      </c>
      <c r="K595">
        <f>IF($N595="","",INDEX(Staging!$M$2:$M$3001,$N595))</f>
      </c>
      <c r="L595">
        <f>IF($N595="","",INDEX(Staging!$O$2:$O$3001,$N595))</f>
      </c>
      <c r="M595">
        <f>IF($N595="","",INDEX(Staging!$P$2:$P$3001,$N595))</f>
      </c>
      <c r="N595">
        <f t="array" ref="N595">IFERROR(SMALL(IF(Staging!$E$2:$E$3001="MIPPL",ROW(Staging!$E$2:$E$3001)-ROW(Staging!$E$2)+1),594),"")</f>
      </c>
    </row>
    <row r="596" spans="1:14" x14ac:dyDescent="0.25">
      <c r="A596">
        <f>IF($N596="","",INDEX(Staging!$A$2:$A$3001,$N596))</f>
      </c>
      <c r="B596">
        <f>IF($N596="","",INDEX(Staging!$B$2:$B$3001,$N596))</f>
      </c>
      <c r="C596">
        <f>IF($N596="","",INDEX(Staging!$C$2:$C$3001,$N596))</f>
      </c>
      <c r="D596">
        <f>IF($N596="","",INDEX(Staging!$D$2:$D$3001,$N596))</f>
      </c>
      <c r="E596">
        <f>IF($N596="","",INDEX(Staging!$F$2:$F$3001,$N596))</f>
      </c>
      <c r="F596">
        <f>IF($N596="","",INDEX(Staging!$G$2:$G$3001,$N596))</f>
      </c>
      <c r="G596">
        <f>IF($N596="","",INDEX(Staging!$H$2:$H$3001,$N596))</f>
      </c>
      <c r="H596">
        <f>IF($N596="","",INDEX(Staging!$I$2:$I$3001,$N596))</f>
      </c>
      <c r="I596">
        <f>IF($N596="","",INDEX(Staging!$J$2:$J$3001,$N596))</f>
      </c>
      <c r="J596">
        <f>IF($N596="","",INDEX(Staging!$K$2:$K$3001,$N596))</f>
      </c>
      <c r="K596">
        <f>IF($N596="","",INDEX(Staging!$M$2:$M$3001,$N596))</f>
      </c>
      <c r="L596">
        <f>IF($N596="","",INDEX(Staging!$O$2:$O$3001,$N596))</f>
      </c>
      <c r="M596">
        <f>IF($N596="","",INDEX(Staging!$P$2:$P$3001,$N596))</f>
      </c>
      <c r="N596">
        <f t="array" ref="N596">IFERROR(SMALL(IF(Staging!$E$2:$E$3001="MIPPL",ROW(Staging!$E$2:$E$3001)-ROW(Staging!$E$2)+1),595),"")</f>
      </c>
    </row>
    <row r="597" spans="1:14" x14ac:dyDescent="0.25">
      <c r="A597">
        <f>IF($N597="","",INDEX(Staging!$A$2:$A$3001,$N597))</f>
      </c>
      <c r="B597">
        <f>IF($N597="","",INDEX(Staging!$B$2:$B$3001,$N597))</f>
      </c>
      <c r="C597">
        <f>IF($N597="","",INDEX(Staging!$C$2:$C$3001,$N597))</f>
      </c>
      <c r="D597">
        <f>IF($N597="","",INDEX(Staging!$D$2:$D$3001,$N597))</f>
      </c>
      <c r="E597">
        <f>IF($N597="","",INDEX(Staging!$F$2:$F$3001,$N597))</f>
      </c>
      <c r="F597">
        <f>IF($N597="","",INDEX(Staging!$G$2:$G$3001,$N597))</f>
      </c>
      <c r="G597">
        <f>IF($N597="","",INDEX(Staging!$H$2:$H$3001,$N597))</f>
      </c>
      <c r="H597">
        <f>IF($N597="","",INDEX(Staging!$I$2:$I$3001,$N597))</f>
      </c>
      <c r="I597">
        <f>IF($N597="","",INDEX(Staging!$J$2:$J$3001,$N597))</f>
      </c>
      <c r="J597">
        <f>IF($N597="","",INDEX(Staging!$K$2:$K$3001,$N597))</f>
      </c>
      <c r="K597">
        <f>IF($N597="","",INDEX(Staging!$M$2:$M$3001,$N597))</f>
      </c>
      <c r="L597">
        <f>IF($N597="","",INDEX(Staging!$O$2:$O$3001,$N597))</f>
      </c>
      <c r="M597">
        <f>IF($N597="","",INDEX(Staging!$P$2:$P$3001,$N597))</f>
      </c>
      <c r="N597">
        <f t="array" ref="N597">IFERROR(SMALL(IF(Staging!$E$2:$E$3001="MIPPL",ROW(Staging!$E$2:$E$3001)-ROW(Staging!$E$2)+1),596),"")</f>
      </c>
    </row>
    <row r="598" spans="1:14" x14ac:dyDescent="0.25">
      <c r="A598">
        <f>IF($N598="","",INDEX(Staging!$A$2:$A$3001,$N598))</f>
      </c>
      <c r="B598">
        <f>IF($N598="","",INDEX(Staging!$B$2:$B$3001,$N598))</f>
      </c>
      <c r="C598">
        <f>IF($N598="","",INDEX(Staging!$C$2:$C$3001,$N598))</f>
      </c>
      <c r="D598">
        <f>IF($N598="","",INDEX(Staging!$D$2:$D$3001,$N598))</f>
      </c>
      <c r="E598">
        <f>IF($N598="","",INDEX(Staging!$F$2:$F$3001,$N598))</f>
      </c>
      <c r="F598">
        <f>IF($N598="","",INDEX(Staging!$G$2:$G$3001,$N598))</f>
      </c>
      <c r="G598">
        <f>IF($N598="","",INDEX(Staging!$H$2:$H$3001,$N598))</f>
      </c>
      <c r="H598">
        <f>IF($N598="","",INDEX(Staging!$I$2:$I$3001,$N598))</f>
      </c>
      <c r="I598">
        <f>IF($N598="","",INDEX(Staging!$J$2:$J$3001,$N598))</f>
      </c>
      <c r="J598">
        <f>IF($N598="","",INDEX(Staging!$K$2:$K$3001,$N598))</f>
      </c>
      <c r="K598">
        <f>IF($N598="","",INDEX(Staging!$M$2:$M$3001,$N598))</f>
      </c>
      <c r="L598">
        <f>IF($N598="","",INDEX(Staging!$O$2:$O$3001,$N598))</f>
      </c>
      <c r="M598">
        <f>IF($N598="","",INDEX(Staging!$P$2:$P$3001,$N598))</f>
      </c>
      <c r="N598">
        <f t="array" ref="N598">IFERROR(SMALL(IF(Staging!$E$2:$E$3001="MIPPL",ROW(Staging!$E$2:$E$3001)-ROW(Staging!$E$2)+1),597),"")</f>
      </c>
    </row>
    <row r="599" spans="1:14" x14ac:dyDescent="0.25">
      <c r="A599">
        <f>IF($N599="","",INDEX(Staging!$A$2:$A$3001,$N599))</f>
      </c>
      <c r="B599">
        <f>IF($N599="","",INDEX(Staging!$B$2:$B$3001,$N599))</f>
      </c>
      <c r="C599">
        <f>IF($N599="","",INDEX(Staging!$C$2:$C$3001,$N599))</f>
      </c>
      <c r="D599">
        <f>IF($N599="","",INDEX(Staging!$D$2:$D$3001,$N599))</f>
      </c>
      <c r="E599">
        <f>IF($N599="","",INDEX(Staging!$F$2:$F$3001,$N599))</f>
      </c>
      <c r="F599">
        <f>IF($N599="","",INDEX(Staging!$G$2:$G$3001,$N599))</f>
      </c>
      <c r="G599">
        <f>IF($N599="","",INDEX(Staging!$H$2:$H$3001,$N599))</f>
      </c>
      <c r="H599">
        <f>IF($N599="","",INDEX(Staging!$I$2:$I$3001,$N599))</f>
      </c>
      <c r="I599">
        <f>IF($N599="","",INDEX(Staging!$J$2:$J$3001,$N599))</f>
      </c>
      <c r="J599">
        <f>IF($N599="","",INDEX(Staging!$K$2:$K$3001,$N599))</f>
      </c>
      <c r="K599">
        <f>IF($N599="","",INDEX(Staging!$M$2:$M$3001,$N599))</f>
      </c>
      <c r="L599">
        <f>IF($N599="","",INDEX(Staging!$O$2:$O$3001,$N599))</f>
      </c>
      <c r="M599">
        <f>IF($N599="","",INDEX(Staging!$P$2:$P$3001,$N599))</f>
      </c>
      <c r="N599">
        <f t="array" ref="N599">IFERROR(SMALL(IF(Staging!$E$2:$E$3001="MIPPL",ROW(Staging!$E$2:$E$3001)-ROW(Staging!$E$2)+1),598),"")</f>
      </c>
    </row>
    <row r="600" spans="1:14" x14ac:dyDescent="0.25">
      <c r="A600">
        <f>IF($N600="","",INDEX(Staging!$A$2:$A$3001,$N600))</f>
      </c>
      <c r="B600">
        <f>IF($N600="","",INDEX(Staging!$B$2:$B$3001,$N600))</f>
      </c>
      <c r="C600">
        <f>IF($N600="","",INDEX(Staging!$C$2:$C$3001,$N600))</f>
      </c>
      <c r="D600">
        <f>IF($N600="","",INDEX(Staging!$D$2:$D$3001,$N600))</f>
      </c>
      <c r="E600">
        <f>IF($N600="","",INDEX(Staging!$F$2:$F$3001,$N600))</f>
      </c>
      <c r="F600">
        <f>IF($N600="","",INDEX(Staging!$G$2:$G$3001,$N600))</f>
      </c>
      <c r="G600">
        <f>IF($N600="","",INDEX(Staging!$H$2:$H$3001,$N600))</f>
      </c>
      <c r="H600">
        <f>IF($N600="","",INDEX(Staging!$I$2:$I$3001,$N600))</f>
      </c>
      <c r="I600">
        <f>IF($N600="","",INDEX(Staging!$J$2:$J$3001,$N600))</f>
      </c>
      <c r="J600">
        <f>IF($N600="","",INDEX(Staging!$K$2:$K$3001,$N600))</f>
      </c>
      <c r="K600">
        <f>IF($N600="","",INDEX(Staging!$M$2:$M$3001,$N600))</f>
      </c>
      <c r="L600">
        <f>IF($N600="","",INDEX(Staging!$O$2:$O$3001,$N600))</f>
      </c>
      <c r="M600">
        <f>IF($N600="","",INDEX(Staging!$P$2:$P$3001,$N600))</f>
      </c>
      <c r="N600">
        <f t="array" ref="N600">IFERROR(SMALL(IF(Staging!$E$2:$E$3001="MIPPL",ROW(Staging!$E$2:$E$3001)-ROW(Staging!$E$2)+1),599),"")</f>
      </c>
    </row>
    <row r="601" spans="1:14" x14ac:dyDescent="0.25">
      <c r="A601">
        <f>IF($N601="","",INDEX(Staging!$A$2:$A$3001,$N601))</f>
      </c>
      <c r="B601">
        <f>IF($N601="","",INDEX(Staging!$B$2:$B$3001,$N601))</f>
      </c>
      <c r="C601">
        <f>IF($N601="","",INDEX(Staging!$C$2:$C$3001,$N601))</f>
      </c>
      <c r="D601">
        <f>IF($N601="","",INDEX(Staging!$D$2:$D$3001,$N601))</f>
      </c>
      <c r="E601">
        <f>IF($N601="","",INDEX(Staging!$F$2:$F$3001,$N601))</f>
      </c>
      <c r="F601">
        <f>IF($N601="","",INDEX(Staging!$G$2:$G$3001,$N601))</f>
      </c>
      <c r="G601">
        <f>IF($N601="","",INDEX(Staging!$H$2:$H$3001,$N601))</f>
      </c>
      <c r="H601">
        <f>IF($N601="","",INDEX(Staging!$I$2:$I$3001,$N601))</f>
      </c>
      <c r="I601">
        <f>IF($N601="","",INDEX(Staging!$J$2:$J$3001,$N601))</f>
      </c>
      <c r="J601">
        <f>IF($N601="","",INDEX(Staging!$K$2:$K$3001,$N601))</f>
      </c>
      <c r="K601">
        <f>IF($N601="","",INDEX(Staging!$M$2:$M$3001,$N601))</f>
      </c>
      <c r="L601">
        <f>IF($N601="","",INDEX(Staging!$O$2:$O$3001,$N601))</f>
      </c>
      <c r="M601">
        <f>IF($N601="","",INDEX(Staging!$P$2:$P$3001,$N601))</f>
      </c>
      <c r="N601">
        <f t="array" ref="N601">IFERROR(SMALL(IF(Staging!$E$2:$E$3001="MIPPL",ROW(Staging!$E$2:$E$3001)-ROW(Staging!$E$2)+1),600),"")</f>
      </c>
    </row>
    <row r="602" spans="1:14" x14ac:dyDescent="0.25">
      <c r="A602">
        <f>IF($N602="","",INDEX(Staging!$A$2:$A$3001,$N602))</f>
      </c>
      <c r="B602">
        <f>IF($N602="","",INDEX(Staging!$B$2:$B$3001,$N602))</f>
      </c>
      <c r="C602">
        <f>IF($N602="","",INDEX(Staging!$C$2:$C$3001,$N602))</f>
      </c>
      <c r="D602">
        <f>IF($N602="","",INDEX(Staging!$D$2:$D$3001,$N602))</f>
      </c>
      <c r="E602">
        <f>IF($N602="","",INDEX(Staging!$F$2:$F$3001,$N602))</f>
      </c>
      <c r="F602">
        <f>IF($N602="","",INDEX(Staging!$G$2:$G$3001,$N602))</f>
      </c>
      <c r="G602">
        <f>IF($N602="","",INDEX(Staging!$H$2:$H$3001,$N602))</f>
      </c>
      <c r="H602">
        <f>IF($N602="","",INDEX(Staging!$I$2:$I$3001,$N602))</f>
      </c>
      <c r="I602">
        <f>IF($N602="","",INDEX(Staging!$J$2:$J$3001,$N602))</f>
      </c>
      <c r="J602">
        <f>IF($N602="","",INDEX(Staging!$K$2:$K$3001,$N602))</f>
      </c>
      <c r="K602">
        <f>IF($N602="","",INDEX(Staging!$M$2:$M$3001,$N602))</f>
      </c>
      <c r="L602">
        <f>IF($N602="","",INDEX(Staging!$O$2:$O$3001,$N602))</f>
      </c>
      <c r="M602">
        <f>IF($N602="","",INDEX(Staging!$P$2:$P$3001,$N602))</f>
      </c>
      <c r="N602">
        <f t="array" ref="N602">IFERROR(SMALL(IF(Staging!$E$2:$E$3001="MIPPL",ROW(Staging!$E$2:$E$3001)-ROW(Staging!$E$2)+1),601),"")</f>
      </c>
    </row>
    <row r="603" spans="1:14" x14ac:dyDescent="0.25">
      <c r="A603">
        <f>IF($N603="","",INDEX(Staging!$A$2:$A$3001,$N603))</f>
      </c>
      <c r="B603">
        <f>IF($N603="","",INDEX(Staging!$B$2:$B$3001,$N603))</f>
      </c>
      <c r="C603">
        <f>IF($N603="","",INDEX(Staging!$C$2:$C$3001,$N603))</f>
      </c>
      <c r="D603">
        <f>IF($N603="","",INDEX(Staging!$D$2:$D$3001,$N603))</f>
      </c>
      <c r="E603">
        <f>IF($N603="","",INDEX(Staging!$F$2:$F$3001,$N603))</f>
      </c>
      <c r="F603">
        <f>IF($N603="","",INDEX(Staging!$G$2:$G$3001,$N603))</f>
      </c>
      <c r="G603">
        <f>IF($N603="","",INDEX(Staging!$H$2:$H$3001,$N603))</f>
      </c>
      <c r="H603">
        <f>IF($N603="","",INDEX(Staging!$I$2:$I$3001,$N603))</f>
      </c>
      <c r="I603">
        <f>IF($N603="","",INDEX(Staging!$J$2:$J$3001,$N603))</f>
      </c>
      <c r="J603">
        <f>IF($N603="","",INDEX(Staging!$K$2:$K$3001,$N603))</f>
      </c>
      <c r="K603">
        <f>IF($N603="","",INDEX(Staging!$M$2:$M$3001,$N603))</f>
      </c>
      <c r="L603">
        <f>IF($N603="","",INDEX(Staging!$O$2:$O$3001,$N603))</f>
      </c>
      <c r="M603">
        <f>IF($N603="","",INDEX(Staging!$P$2:$P$3001,$N603))</f>
      </c>
      <c r="N603">
        <f t="array" ref="N603">IFERROR(SMALL(IF(Staging!$E$2:$E$3001="MIPPL",ROW(Staging!$E$2:$E$3001)-ROW(Staging!$E$2)+1),602),"")</f>
      </c>
    </row>
    <row r="604" spans="1:14" x14ac:dyDescent="0.25">
      <c r="A604">
        <f>IF($N604="","",INDEX(Staging!$A$2:$A$3001,$N604))</f>
      </c>
      <c r="B604">
        <f>IF($N604="","",INDEX(Staging!$B$2:$B$3001,$N604))</f>
      </c>
      <c r="C604">
        <f>IF($N604="","",INDEX(Staging!$C$2:$C$3001,$N604))</f>
      </c>
      <c r="D604">
        <f>IF($N604="","",INDEX(Staging!$D$2:$D$3001,$N604))</f>
      </c>
      <c r="E604">
        <f>IF($N604="","",INDEX(Staging!$F$2:$F$3001,$N604))</f>
      </c>
      <c r="F604">
        <f>IF($N604="","",INDEX(Staging!$G$2:$G$3001,$N604))</f>
      </c>
      <c r="G604">
        <f>IF($N604="","",INDEX(Staging!$H$2:$H$3001,$N604))</f>
      </c>
      <c r="H604">
        <f>IF($N604="","",INDEX(Staging!$I$2:$I$3001,$N604))</f>
      </c>
      <c r="I604">
        <f>IF($N604="","",INDEX(Staging!$J$2:$J$3001,$N604))</f>
      </c>
      <c r="J604">
        <f>IF($N604="","",INDEX(Staging!$K$2:$K$3001,$N604))</f>
      </c>
      <c r="K604">
        <f>IF($N604="","",INDEX(Staging!$M$2:$M$3001,$N604))</f>
      </c>
      <c r="L604">
        <f>IF($N604="","",INDEX(Staging!$O$2:$O$3001,$N604))</f>
      </c>
      <c r="M604">
        <f>IF($N604="","",INDEX(Staging!$P$2:$P$3001,$N604))</f>
      </c>
      <c r="N604">
        <f t="array" ref="N604">IFERROR(SMALL(IF(Staging!$E$2:$E$3001="MIPPL",ROW(Staging!$E$2:$E$3001)-ROW(Staging!$E$2)+1),603),"")</f>
      </c>
    </row>
    <row r="605" spans="1:14" x14ac:dyDescent="0.25">
      <c r="A605">
        <f>IF($N605="","",INDEX(Staging!$A$2:$A$3001,$N605))</f>
      </c>
      <c r="B605">
        <f>IF($N605="","",INDEX(Staging!$B$2:$B$3001,$N605))</f>
      </c>
      <c r="C605">
        <f>IF($N605="","",INDEX(Staging!$C$2:$C$3001,$N605))</f>
      </c>
      <c r="D605">
        <f>IF($N605="","",INDEX(Staging!$D$2:$D$3001,$N605))</f>
      </c>
      <c r="E605">
        <f>IF($N605="","",INDEX(Staging!$F$2:$F$3001,$N605))</f>
      </c>
      <c r="F605">
        <f>IF($N605="","",INDEX(Staging!$G$2:$G$3001,$N605))</f>
      </c>
      <c r="G605">
        <f>IF($N605="","",INDEX(Staging!$H$2:$H$3001,$N605))</f>
      </c>
      <c r="H605">
        <f>IF($N605="","",INDEX(Staging!$I$2:$I$3001,$N605))</f>
      </c>
      <c r="I605">
        <f>IF($N605="","",INDEX(Staging!$J$2:$J$3001,$N605))</f>
      </c>
      <c r="J605">
        <f>IF($N605="","",INDEX(Staging!$K$2:$K$3001,$N605))</f>
      </c>
      <c r="K605">
        <f>IF($N605="","",INDEX(Staging!$M$2:$M$3001,$N605))</f>
      </c>
      <c r="L605">
        <f>IF($N605="","",INDEX(Staging!$O$2:$O$3001,$N605))</f>
      </c>
      <c r="M605">
        <f>IF($N605="","",INDEX(Staging!$P$2:$P$3001,$N605))</f>
      </c>
      <c r="N605">
        <f t="array" ref="N605">IFERROR(SMALL(IF(Staging!$E$2:$E$3001="MIPPL",ROW(Staging!$E$2:$E$3001)-ROW(Staging!$E$2)+1),604),"")</f>
      </c>
    </row>
    <row r="606" spans="1:14" x14ac:dyDescent="0.25">
      <c r="A606">
        <f>IF($N606="","",INDEX(Staging!$A$2:$A$3001,$N606))</f>
      </c>
      <c r="B606">
        <f>IF($N606="","",INDEX(Staging!$B$2:$B$3001,$N606))</f>
      </c>
      <c r="C606">
        <f>IF($N606="","",INDEX(Staging!$C$2:$C$3001,$N606))</f>
      </c>
      <c r="D606">
        <f>IF($N606="","",INDEX(Staging!$D$2:$D$3001,$N606))</f>
      </c>
      <c r="E606">
        <f>IF($N606="","",INDEX(Staging!$F$2:$F$3001,$N606))</f>
      </c>
      <c r="F606">
        <f>IF($N606="","",INDEX(Staging!$G$2:$G$3001,$N606))</f>
      </c>
      <c r="G606">
        <f>IF($N606="","",INDEX(Staging!$H$2:$H$3001,$N606))</f>
      </c>
      <c r="H606">
        <f>IF($N606="","",INDEX(Staging!$I$2:$I$3001,$N606))</f>
      </c>
      <c r="I606">
        <f>IF($N606="","",INDEX(Staging!$J$2:$J$3001,$N606))</f>
      </c>
      <c r="J606">
        <f>IF($N606="","",INDEX(Staging!$K$2:$K$3001,$N606))</f>
      </c>
      <c r="K606">
        <f>IF($N606="","",INDEX(Staging!$M$2:$M$3001,$N606))</f>
      </c>
      <c r="L606">
        <f>IF($N606="","",INDEX(Staging!$O$2:$O$3001,$N606))</f>
      </c>
      <c r="M606">
        <f>IF($N606="","",INDEX(Staging!$P$2:$P$3001,$N606))</f>
      </c>
      <c r="N606">
        <f t="array" ref="N606">IFERROR(SMALL(IF(Staging!$E$2:$E$3001="MIPPL",ROW(Staging!$E$2:$E$3001)-ROW(Staging!$E$2)+1),605),"")</f>
      </c>
    </row>
    <row r="607" spans="1:14" x14ac:dyDescent="0.25">
      <c r="A607">
        <f>IF($N607="","",INDEX(Staging!$A$2:$A$3001,$N607))</f>
      </c>
      <c r="B607">
        <f>IF($N607="","",INDEX(Staging!$B$2:$B$3001,$N607))</f>
      </c>
      <c r="C607">
        <f>IF($N607="","",INDEX(Staging!$C$2:$C$3001,$N607))</f>
      </c>
      <c r="D607">
        <f>IF($N607="","",INDEX(Staging!$D$2:$D$3001,$N607))</f>
      </c>
      <c r="E607">
        <f>IF($N607="","",INDEX(Staging!$F$2:$F$3001,$N607))</f>
      </c>
      <c r="F607">
        <f>IF($N607="","",INDEX(Staging!$G$2:$G$3001,$N607))</f>
      </c>
      <c r="G607">
        <f>IF($N607="","",INDEX(Staging!$H$2:$H$3001,$N607))</f>
      </c>
      <c r="H607">
        <f>IF($N607="","",INDEX(Staging!$I$2:$I$3001,$N607))</f>
      </c>
      <c r="I607">
        <f>IF($N607="","",INDEX(Staging!$J$2:$J$3001,$N607))</f>
      </c>
      <c r="J607">
        <f>IF($N607="","",INDEX(Staging!$K$2:$K$3001,$N607))</f>
      </c>
      <c r="K607">
        <f>IF($N607="","",INDEX(Staging!$M$2:$M$3001,$N607))</f>
      </c>
      <c r="L607">
        <f>IF($N607="","",INDEX(Staging!$O$2:$O$3001,$N607))</f>
      </c>
      <c r="M607">
        <f>IF($N607="","",INDEX(Staging!$P$2:$P$3001,$N607))</f>
      </c>
      <c r="N607">
        <f t="array" ref="N607">IFERROR(SMALL(IF(Staging!$E$2:$E$3001="MIPPL",ROW(Staging!$E$2:$E$3001)-ROW(Staging!$E$2)+1),606),"")</f>
      </c>
    </row>
    <row r="608" spans="1:14" x14ac:dyDescent="0.25">
      <c r="A608">
        <f>IF($N608="","",INDEX(Staging!$A$2:$A$3001,$N608))</f>
      </c>
      <c r="B608">
        <f>IF($N608="","",INDEX(Staging!$B$2:$B$3001,$N608))</f>
      </c>
      <c r="C608">
        <f>IF($N608="","",INDEX(Staging!$C$2:$C$3001,$N608))</f>
      </c>
      <c r="D608">
        <f>IF($N608="","",INDEX(Staging!$D$2:$D$3001,$N608))</f>
      </c>
      <c r="E608">
        <f>IF($N608="","",INDEX(Staging!$F$2:$F$3001,$N608))</f>
      </c>
      <c r="F608">
        <f>IF($N608="","",INDEX(Staging!$G$2:$G$3001,$N608))</f>
      </c>
      <c r="G608">
        <f>IF($N608="","",INDEX(Staging!$H$2:$H$3001,$N608))</f>
      </c>
      <c r="H608">
        <f>IF($N608="","",INDEX(Staging!$I$2:$I$3001,$N608))</f>
      </c>
      <c r="I608">
        <f>IF($N608="","",INDEX(Staging!$J$2:$J$3001,$N608))</f>
      </c>
      <c r="J608">
        <f>IF($N608="","",INDEX(Staging!$K$2:$K$3001,$N608))</f>
      </c>
      <c r="K608">
        <f>IF($N608="","",INDEX(Staging!$M$2:$M$3001,$N608))</f>
      </c>
      <c r="L608">
        <f>IF($N608="","",INDEX(Staging!$O$2:$O$3001,$N608))</f>
      </c>
      <c r="M608">
        <f>IF($N608="","",INDEX(Staging!$P$2:$P$3001,$N608))</f>
      </c>
      <c r="N608">
        <f t="array" ref="N608">IFERROR(SMALL(IF(Staging!$E$2:$E$3001="MIPPL",ROW(Staging!$E$2:$E$3001)-ROW(Staging!$E$2)+1),607),"")</f>
      </c>
    </row>
    <row r="609" spans="1:14" x14ac:dyDescent="0.25">
      <c r="A609">
        <f>IF($N609="","",INDEX(Staging!$A$2:$A$3001,$N609))</f>
      </c>
      <c r="B609">
        <f>IF($N609="","",INDEX(Staging!$B$2:$B$3001,$N609))</f>
      </c>
      <c r="C609">
        <f>IF($N609="","",INDEX(Staging!$C$2:$C$3001,$N609))</f>
      </c>
      <c r="D609">
        <f>IF($N609="","",INDEX(Staging!$D$2:$D$3001,$N609))</f>
      </c>
      <c r="E609">
        <f>IF($N609="","",INDEX(Staging!$F$2:$F$3001,$N609))</f>
      </c>
      <c r="F609">
        <f>IF($N609="","",INDEX(Staging!$G$2:$G$3001,$N609))</f>
      </c>
      <c r="G609">
        <f>IF($N609="","",INDEX(Staging!$H$2:$H$3001,$N609))</f>
      </c>
      <c r="H609">
        <f>IF($N609="","",INDEX(Staging!$I$2:$I$3001,$N609))</f>
      </c>
      <c r="I609">
        <f>IF($N609="","",INDEX(Staging!$J$2:$J$3001,$N609))</f>
      </c>
      <c r="J609">
        <f>IF($N609="","",INDEX(Staging!$K$2:$K$3001,$N609))</f>
      </c>
      <c r="K609">
        <f>IF($N609="","",INDEX(Staging!$M$2:$M$3001,$N609))</f>
      </c>
      <c r="L609">
        <f>IF($N609="","",INDEX(Staging!$O$2:$O$3001,$N609))</f>
      </c>
      <c r="M609">
        <f>IF($N609="","",INDEX(Staging!$P$2:$P$3001,$N609))</f>
      </c>
      <c r="N609">
        <f t="array" ref="N609">IFERROR(SMALL(IF(Staging!$E$2:$E$3001="MIPPL",ROW(Staging!$E$2:$E$3001)-ROW(Staging!$E$2)+1),608),"")</f>
      </c>
    </row>
    <row r="610" spans="1:14" x14ac:dyDescent="0.25">
      <c r="A610">
        <f>IF($N610="","",INDEX(Staging!$A$2:$A$3001,$N610))</f>
      </c>
      <c r="B610">
        <f>IF($N610="","",INDEX(Staging!$B$2:$B$3001,$N610))</f>
      </c>
      <c r="C610">
        <f>IF($N610="","",INDEX(Staging!$C$2:$C$3001,$N610))</f>
      </c>
      <c r="D610">
        <f>IF($N610="","",INDEX(Staging!$D$2:$D$3001,$N610))</f>
      </c>
      <c r="E610">
        <f>IF($N610="","",INDEX(Staging!$F$2:$F$3001,$N610))</f>
      </c>
      <c r="F610">
        <f>IF($N610="","",INDEX(Staging!$G$2:$G$3001,$N610))</f>
      </c>
      <c r="G610">
        <f>IF($N610="","",INDEX(Staging!$H$2:$H$3001,$N610))</f>
      </c>
      <c r="H610">
        <f>IF($N610="","",INDEX(Staging!$I$2:$I$3001,$N610))</f>
      </c>
      <c r="I610">
        <f>IF($N610="","",INDEX(Staging!$J$2:$J$3001,$N610))</f>
      </c>
      <c r="J610">
        <f>IF($N610="","",INDEX(Staging!$K$2:$K$3001,$N610))</f>
      </c>
      <c r="K610">
        <f>IF($N610="","",INDEX(Staging!$M$2:$M$3001,$N610))</f>
      </c>
      <c r="L610">
        <f>IF($N610="","",INDEX(Staging!$O$2:$O$3001,$N610))</f>
      </c>
      <c r="M610">
        <f>IF($N610="","",INDEX(Staging!$P$2:$P$3001,$N610))</f>
      </c>
      <c r="N610">
        <f t="array" ref="N610">IFERROR(SMALL(IF(Staging!$E$2:$E$3001="MIPPL",ROW(Staging!$E$2:$E$3001)-ROW(Staging!$E$2)+1),609),"")</f>
      </c>
    </row>
    <row r="611" spans="1:14" x14ac:dyDescent="0.25">
      <c r="A611">
        <f>IF($N611="","",INDEX(Staging!$A$2:$A$3001,$N611))</f>
      </c>
      <c r="B611">
        <f>IF($N611="","",INDEX(Staging!$B$2:$B$3001,$N611))</f>
      </c>
      <c r="C611">
        <f>IF($N611="","",INDEX(Staging!$C$2:$C$3001,$N611))</f>
      </c>
      <c r="D611">
        <f>IF($N611="","",INDEX(Staging!$D$2:$D$3001,$N611))</f>
      </c>
      <c r="E611">
        <f>IF($N611="","",INDEX(Staging!$F$2:$F$3001,$N611))</f>
      </c>
      <c r="F611">
        <f>IF($N611="","",INDEX(Staging!$G$2:$G$3001,$N611))</f>
      </c>
      <c r="G611">
        <f>IF($N611="","",INDEX(Staging!$H$2:$H$3001,$N611))</f>
      </c>
      <c r="H611">
        <f>IF($N611="","",INDEX(Staging!$I$2:$I$3001,$N611))</f>
      </c>
      <c r="I611">
        <f>IF($N611="","",INDEX(Staging!$J$2:$J$3001,$N611))</f>
      </c>
      <c r="J611">
        <f>IF($N611="","",INDEX(Staging!$K$2:$K$3001,$N611))</f>
      </c>
      <c r="K611">
        <f>IF($N611="","",INDEX(Staging!$M$2:$M$3001,$N611))</f>
      </c>
      <c r="L611">
        <f>IF($N611="","",INDEX(Staging!$O$2:$O$3001,$N611))</f>
      </c>
      <c r="M611">
        <f>IF($N611="","",INDEX(Staging!$P$2:$P$3001,$N611))</f>
      </c>
      <c r="N611">
        <f t="array" ref="N611">IFERROR(SMALL(IF(Staging!$E$2:$E$3001="MIPPL",ROW(Staging!$E$2:$E$3001)-ROW(Staging!$E$2)+1),610),"")</f>
      </c>
    </row>
    <row r="612" spans="1:14" x14ac:dyDescent="0.25">
      <c r="A612">
        <f>IF($N612="","",INDEX(Staging!$A$2:$A$3001,$N612))</f>
      </c>
      <c r="B612">
        <f>IF($N612="","",INDEX(Staging!$B$2:$B$3001,$N612))</f>
      </c>
      <c r="C612">
        <f>IF($N612="","",INDEX(Staging!$C$2:$C$3001,$N612))</f>
      </c>
      <c r="D612">
        <f>IF($N612="","",INDEX(Staging!$D$2:$D$3001,$N612))</f>
      </c>
      <c r="E612">
        <f>IF($N612="","",INDEX(Staging!$F$2:$F$3001,$N612))</f>
      </c>
      <c r="F612">
        <f>IF($N612="","",INDEX(Staging!$G$2:$G$3001,$N612))</f>
      </c>
      <c r="G612">
        <f>IF($N612="","",INDEX(Staging!$H$2:$H$3001,$N612))</f>
      </c>
      <c r="H612">
        <f>IF($N612="","",INDEX(Staging!$I$2:$I$3001,$N612))</f>
      </c>
      <c r="I612">
        <f>IF($N612="","",INDEX(Staging!$J$2:$J$3001,$N612))</f>
      </c>
      <c r="J612">
        <f>IF($N612="","",INDEX(Staging!$K$2:$K$3001,$N612))</f>
      </c>
      <c r="K612">
        <f>IF($N612="","",INDEX(Staging!$M$2:$M$3001,$N612))</f>
      </c>
      <c r="L612">
        <f>IF($N612="","",INDEX(Staging!$O$2:$O$3001,$N612))</f>
      </c>
      <c r="M612">
        <f>IF($N612="","",INDEX(Staging!$P$2:$P$3001,$N612))</f>
      </c>
      <c r="N612">
        <f t="array" ref="N612">IFERROR(SMALL(IF(Staging!$E$2:$E$3001="MIPPL",ROW(Staging!$E$2:$E$3001)-ROW(Staging!$E$2)+1),611),"")</f>
      </c>
    </row>
    <row r="613" spans="1:14" x14ac:dyDescent="0.25">
      <c r="A613">
        <f>IF($N613="","",INDEX(Staging!$A$2:$A$3001,$N613))</f>
      </c>
      <c r="B613">
        <f>IF($N613="","",INDEX(Staging!$B$2:$B$3001,$N613))</f>
      </c>
      <c r="C613">
        <f>IF($N613="","",INDEX(Staging!$C$2:$C$3001,$N613))</f>
      </c>
      <c r="D613">
        <f>IF($N613="","",INDEX(Staging!$D$2:$D$3001,$N613))</f>
      </c>
      <c r="E613">
        <f>IF($N613="","",INDEX(Staging!$F$2:$F$3001,$N613))</f>
      </c>
      <c r="F613">
        <f>IF($N613="","",INDEX(Staging!$G$2:$G$3001,$N613))</f>
      </c>
      <c r="G613">
        <f>IF($N613="","",INDEX(Staging!$H$2:$H$3001,$N613))</f>
      </c>
      <c r="H613">
        <f>IF($N613="","",INDEX(Staging!$I$2:$I$3001,$N613))</f>
      </c>
      <c r="I613">
        <f>IF($N613="","",INDEX(Staging!$J$2:$J$3001,$N613))</f>
      </c>
      <c r="J613">
        <f>IF($N613="","",INDEX(Staging!$K$2:$K$3001,$N613))</f>
      </c>
      <c r="K613">
        <f>IF($N613="","",INDEX(Staging!$M$2:$M$3001,$N613))</f>
      </c>
      <c r="L613">
        <f>IF($N613="","",INDEX(Staging!$O$2:$O$3001,$N613))</f>
      </c>
      <c r="M613">
        <f>IF($N613="","",INDEX(Staging!$P$2:$P$3001,$N613))</f>
      </c>
      <c r="N613">
        <f t="array" ref="N613">IFERROR(SMALL(IF(Staging!$E$2:$E$3001="MIPPL",ROW(Staging!$E$2:$E$3001)-ROW(Staging!$E$2)+1),612),"")</f>
      </c>
    </row>
    <row r="614" spans="1:14" x14ac:dyDescent="0.25">
      <c r="A614">
        <f>IF($N614="","",INDEX(Staging!$A$2:$A$3001,$N614))</f>
      </c>
      <c r="B614">
        <f>IF($N614="","",INDEX(Staging!$B$2:$B$3001,$N614))</f>
      </c>
      <c r="C614">
        <f>IF($N614="","",INDEX(Staging!$C$2:$C$3001,$N614))</f>
      </c>
      <c r="D614">
        <f>IF($N614="","",INDEX(Staging!$D$2:$D$3001,$N614))</f>
      </c>
      <c r="E614">
        <f>IF($N614="","",INDEX(Staging!$F$2:$F$3001,$N614))</f>
      </c>
      <c r="F614">
        <f>IF($N614="","",INDEX(Staging!$G$2:$G$3001,$N614))</f>
      </c>
      <c r="G614">
        <f>IF($N614="","",INDEX(Staging!$H$2:$H$3001,$N614))</f>
      </c>
      <c r="H614">
        <f>IF($N614="","",INDEX(Staging!$I$2:$I$3001,$N614))</f>
      </c>
      <c r="I614">
        <f>IF($N614="","",INDEX(Staging!$J$2:$J$3001,$N614))</f>
      </c>
      <c r="J614">
        <f>IF($N614="","",INDEX(Staging!$K$2:$K$3001,$N614))</f>
      </c>
      <c r="K614">
        <f>IF($N614="","",INDEX(Staging!$M$2:$M$3001,$N614))</f>
      </c>
      <c r="L614">
        <f>IF($N614="","",INDEX(Staging!$O$2:$O$3001,$N614))</f>
      </c>
      <c r="M614">
        <f>IF($N614="","",INDEX(Staging!$P$2:$P$3001,$N614))</f>
      </c>
      <c r="N614">
        <f t="array" ref="N614">IFERROR(SMALL(IF(Staging!$E$2:$E$3001="MIPPL",ROW(Staging!$E$2:$E$3001)-ROW(Staging!$E$2)+1),613),"")</f>
      </c>
    </row>
    <row r="615" spans="1:14" x14ac:dyDescent="0.25">
      <c r="A615">
        <f>IF($N615="","",INDEX(Staging!$A$2:$A$3001,$N615))</f>
      </c>
      <c r="B615">
        <f>IF($N615="","",INDEX(Staging!$B$2:$B$3001,$N615))</f>
      </c>
      <c r="C615">
        <f>IF($N615="","",INDEX(Staging!$C$2:$C$3001,$N615))</f>
      </c>
      <c r="D615">
        <f>IF($N615="","",INDEX(Staging!$D$2:$D$3001,$N615))</f>
      </c>
      <c r="E615">
        <f>IF($N615="","",INDEX(Staging!$F$2:$F$3001,$N615))</f>
      </c>
      <c r="F615">
        <f>IF($N615="","",INDEX(Staging!$G$2:$G$3001,$N615))</f>
      </c>
      <c r="G615">
        <f>IF($N615="","",INDEX(Staging!$H$2:$H$3001,$N615))</f>
      </c>
      <c r="H615">
        <f>IF($N615="","",INDEX(Staging!$I$2:$I$3001,$N615))</f>
      </c>
      <c r="I615">
        <f>IF($N615="","",INDEX(Staging!$J$2:$J$3001,$N615))</f>
      </c>
      <c r="J615">
        <f>IF($N615="","",INDEX(Staging!$K$2:$K$3001,$N615))</f>
      </c>
      <c r="K615">
        <f>IF($N615="","",INDEX(Staging!$M$2:$M$3001,$N615))</f>
      </c>
      <c r="L615">
        <f>IF($N615="","",INDEX(Staging!$O$2:$O$3001,$N615))</f>
      </c>
      <c r="M615">
        <f>IF($N615="","",INDEX(Staging!$P$2:$P$3001,$N615))</f>
      </c>
      <c r="N615">
        <f t="array" ref="N615">IFERROR(SMALL(IF(Staging!$E$2:$E$3001="MIPPL",ROW(Staging!$E$2:$E$3001)-ROW(Staging!$E$2)+1),614),"")</f>
      </c>
    </row>
    <row r="616" spans="1:14" x14ac:dyDescent="0.25">
      <c r="A616">
        <f>IF($N616="","",INDEX(Staging!$A$2:$A$3001,$N616))</f>
      </c>
      <c r="B616">
        <f>IF($N616="","",INDEX(Staging!$B$2:$B$3001,$N616))</f>
      </c>
      <c r="C616">
        <f>IF($N616="","",INDEX(Staging!$C$2:$C$3001,$N616))</f>
      </c>
      <c r="D616">
        <f>IF($N616="","",INDEX(Staging!$D$2:$D$3001,$N616))</f>
      </c>
      <c r="E616">
        <f>IF($N616="","",INDEX(Staging!$F$2:$F$3001,$N616))</f>
      </c>
      <c r="F616">
        <f>IF($N616="","",INDEX(Staging!$G$2:$G$3001,$N616))</f>
      </c>
      <c r="G616">
        <f>IF($N616="","",INDEX(Staging!$H$2:$H$3001,$N616))</f>
      </c>
      <c r="H616">
        <f>IF($N616="","",INDEX(Staging!$I$2:$I$3001,$N616))</f>
      </c>
      <c r="I616">
        <f>IF($N616="","",INDEX(Staging!$J$2:$J$3001,$N616))</f>
      </c>
      <c r="J616">
        <f>IF($N616="","",INDEX(Staging!$K$2:$K$3001,$N616))</f>
      </c>
      <c r="K616">
        <f>IF($N616="","",INDEX(Staging!$M$2:$M$3001,$N616))</f>
      </c>
      <c r="L616">
        <f>IF($N616="","",INDEX(Staging!$O$2:$O$3001,$N616))</f>
      </c>
      <c r="M616">
        <f>IF($N616="","",INDEX(Staging!$P$2:$P$3001,$N616))</f>
      </c>
      <c r="N616">
        <f t="array" ref="N616">IFERROR(SMALL(IF(Staging!$E$2:$E$3001="MIPPL",ROW(Staging!$E$2:$E$3001)-ROW(Staging!$E$2)+1),615),"")</f>
      </c>
    </row>
    <row r="617" spans="1:14" x14ac:dyDescent="0.25">
      <c r="A617">
        <f>IF($N617="","",INDEX(Staging!$A$2:$A$3001,$N617))</f>
      </c>
      <c r="B617">
        <f>IF($N617="","",INDEX(Staging!$B$2:$B$3001,$N617))</f>
      </c>
      <c r="C617">
        <f>IF($N617="","",INDEX(Staging!$C$2:$C$3001,$N617))</f>
      </c>
      <c r="D617">
        <f>IF($N617="","",INDEX(Staging!$D$2:$D$3001,$N617))</f>
      </c>
      <c r="E617">
        <f>IF($N617="","",INDEX(Staging!$F$2:$F$3001,$N617))</f>
      </c>
      <c r="F617">
        <f>IF($N617="","",INDEX(Staging!$G$2:$G$3001,$N617))</f>
      </c>
      <c r="G617">
        <f>IF($N617="","",INDEX(Staging!$H$2:$H$3001,$N617))</f>
      </c>
      <c r="H617">
        <f>IF($N617="","",INDEX(Staging!$I$2:$I$3001,$N617))</f>
      </c>
      <c r="I617">
        <f>IF($N617="","",INDEX(Staging!$J$2:$J$3001,$N617))</f>
      </c>
      <c r="J617">
        <f>IF($N617="","",INDEX(Staging!$K$2:$K$3001,$N617))</f>
      </c>
      <c r="K617">
        <f>IF($N617="","",INDEX(Staging!$M$2:$M$3001,$N617))</f>
      </c>
      <c r="L617">
        <f>IF($N617="","",INDEX(Staging!$O$2:$O$3001,$N617))</f>
      </c>
      <c r="M617">
        <f>IF($N617="","",INDEX(Staging!$P$2:$P$3001,$N617))</f>
      </c>
      <c r="N617">
        <f t="array" ref="N617">IFERROR(SMALL(IF(Staging!$E$2:$E$3001="MIPPL",ROW(Staging!$E$2:$E$3001)-ROW(Staging!$E$2)+1),616),"")</f>
      </c>
    </row>
    <row r="618" spans="1:14" x14ac:dyDescent="0.25">
      <c r="A618">
        <f>IF($N618="","",INDEX(Staging!$A$2:$A$3001,$N618))</f>
      </c>
      <c r="B618">
        <f>IF($N618="","",INDEX(Staging!$B$2:$B$3001,$N618))</f>
      </c>
      <c r="C618">
        <f>IF($N618="","",INDEX(Staging!$C$2:$C$3001,$N618))</f>
      </c>
      <c r="D618">
        <f>IF($N618="","",INDEX(Staging!$D$2:$D$3001,$N618))</f>
      </c>
      <c r="E618">
        <f>IF($N618="","",INDEX(Staging!$F$2:$F$3001,$N618))</f>
      </c>
      <c r="F618">
        <f>IF($N618="","",INDEX(Staging!$G$2:$G$3001,$N618))</f>
      </c>
      <c r="G618">
        <f>IF($N618="","",INDEX(Staging!$H$2:$H$3001,$N618))</f>
      </c>
      <c r="H618">
        <f>IF($N618="","",INDEX(Staging!$I$2:$I$3001,$N618))</f>
      </c>
      <c r="I618">
        <f>IF($N618="","",INDEX(Staging!$J$2:$J$3001,$N618))</f>
      </c>
      <c r="J618">
        <f>IF($N618="","",INDEX(Staging!$K$2:$K$3001,$N618))</f>
      </c>
      <c r="K618">
        <f>IF($N618="","",INDEX(Staging!$M$2:$M$3001,$N618))</f>
      </c>
      <c r="L618">
        <f>IF($N618="","",INDEX(Staging!$O$2:$O$3001,$N618))</f>
      </c>
      <c r="M618">
        <f>IF($N618="","",INDEX(Staging!$P$2:$P$3001,$N618))</f>
      </c>
      <c r="N618">
        <f t="array" ref="N618">IFERROR(SMALL(IF(Staging!$E$2:$E$3001="MIPPL",ROW(Staging!$E$2:$E$3001)-ROW(Staging!$E$2)+1),617),"")</f>
      </c>
    </row>
    <row r="619" spans="1:14" x14ac:dyDescent="0.25">
      <c r="A619">
        <f>IF($N619="","",INDEX(Staging!$A$2:$A$3001,$N619))</f>
      </c>
      <c r="B619">
        <f>IF($N619="","",INDEX(Staging!$B$2:$B$3001,$N619))</f>
      </c>
      <c r="C619">
        <f>IF($N619="","",INDEX(Staging!$C$2:$C$3001,$N619))</f>
      </c>
      <c r="D619">
        <f>IF($N619="","",INDEX(Staging!$D$2:$D$3001,$N619))</f>
      </c>
      <c r="E619">
        <f>IF($N619="","",INDEX(Staging!$F$2:$F$3001,$N619))</f>
      </c>
      <c r="F619">
        <f>IF($N619="","",INDEX(Staging!$G$2:$G$3001,$N619))</f>
      </c>
      <c r="G619">
        <f>IF($N619="","",INDEX(Staging!$H$2:$H$3001,$N619))</f>
      </c>
      <c r="H619">
        <f>IF($N619="","",INDEX(Staging!$I$2:$I$3001,$N619))</f>
      </c>
      <c r="I619">
        <f>IF($N619="","",INDEX(Staging!$J$2:$J$3001,$N619))</f>
      </c>
      <c r="J619">
        <f>IF($N619="","",INDEX(Staging!$K$2:$K$3001,$N619))</f>
      </c>
      <c r="K619">
        <f>IF($N619="","",INDEX(Staging!$M$2:$M$3001,$N619))</f>
      </c>
      <c r="L619">
        <f>IF($N619="","",INDEX(Staging!$O$2:$O$3001,$N619))</f>
      </c>
      <c r="M619">
        <f>IF($N619="","",INDEX(Staging!$P$2:$P$3001,$N619))</f>
      </c>
      <c r="N619">
        <f t="array" ref="N619">IFERROR(SMALL(IF(Staging!$E$2:$E$3001="MIPPL",ROW(Staging!$E$2:$E$3001)-ROW(Staging!$E$2)+1),618),"")</f>
      </c>
    </row>
    <row r="620" spans="1:14" x14ac:dyDescent="0.25">
      <c r="A620">
        <f>IF($N620="","",INDEX(Staging!$A$2:$A$3001,$N620))</f>
      </c>
      <c r="B620">
        <f>IF($N620="","",INDEX(Staging!$B$2:$B$3001,$N620))</f>
      </c>
      <c r="C620">
        <f>IF($N620="","",INDEX(Staging!$C$2:$C$3001,$N620))</f>
      </c>
      <c r="D620">
        <f>IF($N620="","",INDEX(Staging!$D$2:$D$3001,$N620))</f>
      </c>
      <c r="E620">
        <f>IF($N620="","",INDEX(Staging!$F$2:$F$3001,$N620))</f>
      </c>
      <c r="F620">
        <f>IF($N620="","",INDEX(Staging!$G$2:$G$3001,$N620))</f>
      </c>
      <c r="G620">
        <f>IF($N620="","",INDEX(Staging!$H$2:$H$3001,$N620))</f>
      </c>
      <c r="H620">
        <f>IF($N620="","",INDEX(Staging!$I$2:$I$3001,$N620))</f>
      </c>
      <c r="I620">
        <f>IF($N620="","",INDEX(Staging!$J$2:$J$3001,$N620))</f>
      </c>
      <c r="J620">
        <f>IF($N620="","",INDEX(Staging!$K$2:$K$3001,$N620))</f>
      </c>
      <c r="K620">
        <f>IF($N620="","",INDEX(Staging!$M$2:$M$3001,$N620))</f>
      </c>
      <c r="L620">
        <f>IF($N620="","",INDEX(Staging!$O$2:$O$3001,$N620))</f>
      </c>
      <c r="M620">
        <f>IF($N620="","",INDEX(Staging!$P$2:$P$3001,$N620))</f>
      </c>
      <c r="N620">
        <f t="array" ref="N620">IFERROR(SMALL(IF(Staging!$E$2:$E$3001="MIPPL",ROW(Staging!$E$2:$E$3001)-ROW(Staging!$E$2)+1),619),"")</f>
      </c>
    </row>
    <row r="621" spans="1:14" x14ac:dyDescent="0.25">
      <c r="A621">
        <f>IF($N621="","",INDEX(Staging!$A$2:$A$3001,$N621))</f>
      </c>
      <c r="B621">
        <f>IF($N621="","",INDEX(Staging!$B$2:$B$3001,$N621))</f>
      </c>
      <c r="C621">
        <f>IF($N621="","",INDEX(Staging!$C$2:$C$3001,$N621))</f>
      </c>
      <c r="D621">
        <f>IF($N621="","",INDEX(Staging!$D$2:$D$3001,$N621))</f>
      </c>
      <c r="E621">
        <f>IF($N621="","",INDEX(Staging!$F$2:$F$3001,$N621))</f>
      </c>
      <c r="F621">
        <f>IF($N621="","",INDEX(Staging!$G$2:$G$3001,$N621))</f>
      </c>
      <c r="G621">
        <f>IF($N621="","",INDEX(Staging!$H$2:$H$3001,$N621))</f>
      </c>
      <c r="H621">
        <f>IF($N621="","",INDEX(Staging!$I$2:$I$3001,$N621))</f>
      </c>
      <c r="I621">
        <f>IF($N621="","",INDEX(Staging!$J$2:$J$3001,$N621))</f>
      </c>
      <c r="J621">
        <f>IF($N621="","",INDEX(Staging!$K$2:$K$3001,$N621))</f>
      </c>
      <c r="K621">
        <f>IF($N621="","",INDEX(Staging!$M$2:$M$3001,$N621))</f>
      </c>
      <c r="L621">
        <f>IF($N621="","",INDEX(Staging!$O$2:$O$3001,$N621))</f>
      </c>
      <c r="M621">
        <f>IF($N621="","",INDEX(Staging!$P$2:$P$3001,$N621))</f>
      </c>
      <c r="N621">
        <f t="array" ref="N621">IFERROR(SMALL(IF(Staging!$E$2:$E$3001="MIPPL",ROW(Staging!$E$2:$E$3001)-ROW(Staging!$E$2)+1),620),"")</f>
      </c>
    </row>
    <row r="622" spans="1:14" x14ac:dyDescent="0.25">
      <c r="A622">
        <f>IF($N622="","",INDEX(Staging!$A$2:$A$3001,$N622))</f>
      </c>
      <c r="B622">
        <f>IF($N622="","",INDEX(Staging!$B$2:$B$3001,$N622))</f>
      </c>
      <c r="C622">
        <f>IF($N622="","",INDEX(Staging!$C$2:$C$3001,$N622))</f>
      </c>
      <c r="D622">
        <f>IF($N622="","",INDEX(Staging!$D$2:$D$3001,$N622))</f>
      </c>
      <c r="E622">
        <f>IF($N622="","",INDEX(Staging!$F$2:$F$3001,$N622))</f>
      </c>
      <c r="F622">
        <f>IF($N622="","",INDEX(Staging!$G$2:$G$3001,$N622))</f>
      </c>
      <c r="G622">
        <f>IF($N622="","",INDEX(Staging!$H$2:$H$3001,$N622))</f>
      </c>
      <c r="H622">
        <f>IF($N622="","",INDEX(Staging!$I$2:$I$3001,$N622))</f>
      </c>
      <c r="I622">
        <f>IF($N622="","",INDEX(Staging!$J$2:$J$3001,$N622))</f>
      </c>
      <c r="J622">
        <f>IF($N622="","",INDEX(Staging!$K$2:$K$3001,$N622))</f>
      </c>
      <c r="K622">
        <f>IF($N622="","",INDEX(Staging!$M$2:$M$3001,$N622))</f>
      </c>
      <c r="L622">
        <f>IF($N622="","",INDEX(Staging!$O$2:$O$3001,$N622))</f>
      </c>
      <c r="M622">
        <f>IF($N622="","",INDEX(Staging!$P$2:$P$3001,$N622))</f>
      </c>
      <c r="N622">
        <f t="array" ref="N622">IFERROR(SMALL(IF(Staging!$E$2:$E$3001="MIPPL",ROW(Staging!$E$2:$E$3001)-ROW(Staging!$E$2)+1),621),"")</f>
      </c>
    </row>
    <row r="623" spans="1:14" x14ac:dyDescent="0.25">
      <c r="A623">
        <f>IF($N623="","",INDEX(Staging!$A$2:$A$3001,$N623))</f>
      </c>
      <c r="B623">
        <f>IF($N623="","",INDEX(Staging!$B$2:$B$3001,$N623))</f>
      </c>
      <c r="C623">
        <f>IF($N623="","",INDEX(Staging!$C$2:$C$3001,$N623))</f>
      </c>
      <c r="D623">
        <f>IF($N623="","",INDEX(Staging!$D$2:$D$3001,$N623))</f>
      </c>
      <c r="E623">
        <f>IF($N623="","",INDEX(Staging!$F$2:$F$3001,$N623))</f>
      </c>
      <c r="F623">
        <f>IF($N623="","",INDEX(Staging!$G$2:$G$3001,$N623))</f>
      </c>
      <c r="G623">
        <f>IF($N623="","",INDEX(Staging!$H$2:$H$3001,$N623))</f>
      </c>
      <c r="H623">
        <f>IF($N623="","",INDEX(Staging!$I$2:$I$3001,$N623))</f>
      </c>
      <c r="I623">
        <f>IF($N623="","",INDEX(Staging!$J$2:$J$3001,$N623))</f>
      </c>
      <c r="J623">
        <f>IF($N623="","",INDEX(Staging!$K$2:$K$3001,$N623))</f>
      </c>
      <c r="K623">
        <f>IF($N623="","",INDEX(Staging!$M$2:$M$3001,$N623))</f>
      </c>
      <c r="L623">
        <f>IF($N623="","",INDEX(Staging!$O$2:$O$3001,$N623))</f>
      </c>
      <c r="M623">
        <f>IF($N623="","",INDEX(Staging!$P$2:$P$3001,$N623))</f>
      </c>
      <c r="N623">
        <f t="array" ref="N623">IFERROR(SMALL(IF(Staging!$E$2:$E$3001="MIPPL",ROW(Staging!$E$2:$E$3001)-ROW(Staging!$E$2)+1),622),"")</f>
      </c>
    </row>
    <row r="624" spans="1:14" x14ac:dyDescent="0.25">
      <c r="A624">
        <f>IF($N624="","",INDEX(Staging!$A$2:$A$3001,$N624))</f>
      </c>
      <c r="B624">
        <f>IF($N624="","",INDEX(Staging!$B$2:$B$3001,$N624))</f>
      </c>
      <c r="C624">
        <f>IF($N624="","",INDEX(Staging!$C$2:$C$3001,$N624))</f>
      </c>
      <c r="D624">
        <f>IF($N624="","",INDEX(Staging!$D$2:$D$3001,$N624))</f>
      </c>
      <c r="E624">
        <f>IF($N624="","",INDEX(Staging!$F$2:$F$3001,$N624))</f>
      </c>
      <c r="F624">
        <f>IF($N624="","",INDEX(Staging!$G$2:$G$3001,$N624))</f>
      </c>
      <c r="G624">
        <f>IF($N624="","",INDEX(Staging!$H$2:$H$3001,$N624))</f>
      </c>
      <c r="H624">
        <f>IF($N624="","",INDEX(Staging!$I$2:$I$3001,$N624))</f>
      </c>
      <c r="I624">
        <f>IF($N624="","",INDEX(Staging!$J$2:$J$3001,$N624))</f>
      </c>
      <c r="J624">
        <f>IF($N624="","",INDEX(Staging!$K$2:$K$3001,$N624))</f>
      </c>
      <c r="K624">
        <f>IF($N624="","",INDEX(Staging!$M$2:$M$3001,$N624))</f>
      </c>
      <c r="L624">
        <f>IF($N624="","",INDEX(Staging!$O$2:$O$3001,$N624))</f>
      </c>
      <c r="M624">
        <f>IF($N624="","",INDEX(Staging!$P$2:$P$3001,$N624))</f>
      </c>
      <c r="N624">
        <f t="array" ref="N624">IFERROR(SMALL(IF(Staging!$E$2:$E$3001="MIPPL",ROW(Staging!$E$2:$E$3001)-ROW(Staging!$E$2)+1),623),"")</f>
      </c>
    </row>
    <row r="625" spans="1:14" x14ac:dyDescent="0.25">
      <c r="A625">
        <f>IF($N625="","",INDEX(Staging!$A$2:$A$3001,$N625))</f>
      </c>
      <c r="B625">
        <f>IF($N625="","",INDEX(Staging!$B$2:$B$3001,$N625))</f>
      </c>
      <c r="C625">
        <f>IF($N625="","",INDEX(Staging!$C$2:$C$3001,$N625))</f>
      </c>
      <c r="D625">
        <f>IF($N625="","",INDEX(Staging!$D$2:$D$3001,$N625))</f>
      </c>
      <c r="E625">
        <f>IF($N625="","",INDEX(Staging!$F$2:$F$3001,$N625))</f>
      </c>
      <c r="F625">
        <f>IF($N625="","",INDEX(Staging!$G$2:$G$3001,$N625))</f>
      </c>
      <c r="G625">
        <f>IF($N625="","",INDEX(Staging!$H$2:$H$3001,$N625))</f>
      </c>
      <c r="H625">
        <f>IF($N625="","",INDEX(Staging!$I$2:$I$3001,$N625))</f>
      </c>
      <c r="I625">
        <f>IF($N625="","",INDEX(Staging!$J$2:$J$3001,$N625))</f>
      </c>
      <c r="J625">
        <f>IF($N625="","",INDEX(Staging!$K$2:$K$3001,$N625))</f>
      </c>
      <c r="K625">
        <f>IF($N625="","",INDEX(Staging!$M$2:$M$3001,$N625))</f>
      </c>
      <c r="L625">
        <f>IF($N625="","",INDEX(Staging!$O$2:$O$3001,$N625))</f>
      </c>
      <c r="M625">
        <f>IF($N625="","",INDEX(Staging!$P$2:$P$3001,$N625))</f>
      </c>
      <c r="N625">
        <f t="array" ref="N625">IFERROR(SMALL(IF(Staging!$E$2:$E$3001="MIPPL",ROW(Staging!$E$2:$E$3001)-ROW(Staging!$E$2)+1),624),"")</f>
      </c>
    </row>
    <row r="626" spans="1:14" x14ac:dyDescent="0.25">
      <c r="A626">
        <f>IF($N626="","",INDEX(Staging!$A$2:$A$3001,$N626))</f>
      </c>
      <c r="B626">
        <f>IF($N626="","",INDEX(Staging!$B$2:$B$3001,$N626))</f>
      </c>
      <c r="C626">
        <f>IF($N626="","",INDEX(Staging!$C$2:$C$3001,$N626))</f>
      </c>
      <c r="D626">
        <f>IF($N626="","",INDEX(Staging!$D$2:$D$3001,$N626))</f>
      </c>
      <c r="E626">
        <f>IF($N626="","",INDEX(Staging!$F$2:$F$3001,$N626))</f>
      </c>
      <c r="F626">
        <f>IF($N626="","",INDEX(Staging!$G$2:$G$3001,$N626))</f>
      </c>
      <c r="G626">
        <f>IF($N626="","",INDEX(Staging!$H$2:$H$3001,$N626))</f>
      </c>
      <c r="H626">
        <f>IF($N626="","",INDEX(Staging!$I$2:$I$3001,$N626))</f>
      </c>
      <c r="I626">
        <f>IF($N626="","",INDEX(Staging!$J$2:$J$3001,$N626))</f>
      </c>
      <c r="J626">
        <f>IF($N626="","",INDEX(Staging!$K$2:$K$3001,$N626))</f>
      </c>
      <c r="K626">
        <f>IF($N626="","",INDEX(Staging!$M$2:$M$3001,$N626))</f>
      </c>
      <c r="L626">
        <f>IF($N626="","",INDEX(Staging!$O$2:$O$3001,$N626))</f>
      </c>
      <c r="M626">
        <f>IF($N626="","",INDEX(Staging!$P$2:$P$3001,$N626))</f>
      </c>
      <c r="N626">
        <f t="array" ref="N626">IFERROR(SMALL(IF(Staging!$E$2:$E$3001="MIPPL",ROW(Staging!$E$2:$E$3001)-ROW(Staging!$E$2)+1),625),"")</f>
      </c>
    </row>
    <row r="627" spans="1:14" x14ac:dyDescent="0.25">
      <c r="A627">
        <f>IF($N627="","",INDEX(Staging!$A$2:$A$3001,$N627))</f>
      </c>
      <c r="B627">
        <f>IF($N627="","",INDEX(Staging!$B$2:$B$3001,$N627))</f>
      </c>
      <c r="C627">
        <f>IF($N627="","",INDEX(Staging!$C$2:$C$3001,$N627))</f>
      </c>
      <c r="D627">
        <f>IF($N627="","",INDEX(Staging!$D$2:$D$3001,$N627))</f>
      </c>
      <c r="E627">
        <f>IF($N627="","",INDEX(Staging!$F$2:$F$3001,$N627))</f>
      </c>
      <c r="F627">
        <f>IF($N627="","",INDEX(Staging!$G$2:$G$3001,$N627))</f>
      </c>
      <c r="G627">
        <f>IF($N627="","",INDEX(Staging!$H$2:$H$3001,$N627))</f>
      </c>
      <c r="H627">
        <f>IF($N627="","",INDEX(Staging!$I$2:$I$3001,$N627))</f>
      </c>
      <c r="I627">
        <f>IF($N627="","",INDEX(Staging!$J$2:$J$3001,$N627))</f>
      </c>
      <c r="J627">
        <f>IF($N627="","",INDEX(Staging!$K$2:$K$3001,$N627))</f>
      </c>
      <c r="K627">
        <f>IF($N627="","",INDEX(Staging!$M$2:$M$3001,$N627))</f>
      </c>
      <c r="L627">
        <f>IF($N627="","",INDEX(Staging!$O$2:$O$3001,$N627))</f>
      </c>
      <c r="M627">
        <f>IF($N627="","",INDEX(Staging!$P$2:$P$3001,$N627))</f>
      </c>
      <c r="N627">
        <f t="array" ref="N627">IFERROR(SMALL(IF(Staging!$E$2:$E$3001="MIPPL",ROW(Staging!$E$2:$E$3001)-ROW(Staging!$E$2)+1),626),"")</f>
      </c>
    </row>
    <row r="628" spans="1:14" x14ac:dyDescent="0.25">
      <c r="A628">
        <f>IF($N628="","",INDEX(Staging!$A$2:$A$3001,$N628))</f>
      </c>
      <c r="B628">
        <f>IF($N628="","",INDEX(Staging!$B$2:$B$3001,$N628))</f>
      </c>
      <c r="C628">
        <f>IF($N628="","",INDEX(Staging!$C$2:$C$3001,$N628))</f>
      </c>
      <c r="D628">
        <f>IF($N628="","",INDEX(Staging!$D$2:$D$3001,$N628))</f>
      </c>
      <c r="E628">
        <f>IF($N628="","",INDEX(Staging!$F$2:$F$3001,$N628))</f>
      </c>
      <c r="F628">
        <f>IF($N628="","",INDEX(Staging!$G$2:$G$3001,$N628))</f>
      </c>
      <c r="G628">
        <f>IF($N628="","",INDEX(Staging!$H$2:$H$3001,$N628))</f>
      </c>
      <c r="H628">
        <f>IF($N628="","",INDEX(Staging!$I$2:$I$3001,$N628))</f>
      </c>
      <c r="I628">
        <f>IF($N628="","",INDEX(Staging!$J$2:$J$3001,$N628))</f>
      </c>
      <c r="J628">
        <f>IF($N628="","",INDEX(Staging!$K$2:$K$3001,$N628))</f>
      </c>
      <c r="K628">
        <f>IF($N628="","",INDEX(Staging!$M$2:$M$3001,$N628))</f>
      </c>
      <c r="L628">
        <f>IF($N628="","",INDEX(Staging!$O$2:$O$3001,$N628))</f>
      </c>
      <c r="M628">
        <f>IF($N628="","",INDEX(Staging!$P$2:$P$3001,$N628))</f>
      </c>
      <c r="N628">
        <f t="array" ref="N628">IFERROR(SMALL(IF(Staging!$E$2:$E$3001="MIPPL",ROW(Staging!$E$2:$E$3001)-ROW(Staging!$E$2)+1),627),"")</f>
      </c>
    </row>
    <row r="629" spans="1:14" x14ac:dyDescent="0.25">
      <c r="A629">
        <f>IF($N629="","",INDEX(Staging!$A$2:$A$3001,$N629))</f>
      </c>
      <c r="B629">
        <f>IF($N629="","",INDEX(Staging!$B$2:$B$3001,$N629))</f>
      </c>
      <c r="C629">
        <f>IF($N629="","",INDEX(Staging!$C$2:$C$3001,$N629))</f>
      </c>
      <c r="D629">
        <f>IF($N629="","",INDEX(Staging!$D$2:$D$3001,$N629))</f>
      </c>
      <c r="E629">
        <f>IF($N629="","",INDEX(Staging!$F$2:$F$3001,$N629))</f>
      </c>
      <c r="F629">
        <f>IF($N629="","",INDEX(Staging!$G$2:$G$3001,$N629))</f>
      </c>
      <c r="G629">
        <f>IF($N629="","",INDEX(Staging!$H$2:$H$3001,$N629))</f>
      </c>
      <c r="H629">
        <f>IF($N629="","",INDEX(Staging!$I$2:$I$3001,$N629))</f>
      </c>
      <c r="I629">
        <f>IF($N629="","",INDEX(Staging!$J$2:$J$3001,$N629))</f>
      </c>
      <c r="J629">
        <f>IF($N629="","",INDEX(Staging!$K$2:$K$3001,$N629))</f>
      </c>
      <c r="K629">
        <f>IF($N629="","",INDEX(Staging!$M$2:$M$3001,$N629))</f>
      </c>
      <c r="L629">
        <f>IF($N629="","",INDEX(Staging!$O$2:$O$3001,$N629))</f>
      </c>
      <c r="M629">
        <f>IF($N629="","",INDEX(Staging!$P$2:$P$3001,$N629))</f>
      </c>
      <c r="N629">
        <f t="array" ref="N629">IFERROR(SMALL(IF(Staging!$E$2:$E$3001="MIPPL",ROW(Staging!$E$2:$E$3001)-ROW(Staging!$E$2)+1),628),"")</f>
      </c>
    </row>
    <row r="630" spans="1:14" x14ac:dyDescent="0.25">
      <c r="A630">
        <f>IF($N630="","",INDEX(Staging!$A$2:$A$3001,$N630))</f>
      </c>
      <c r="B630">
        <f>IF($N630="","",INDEX(Staging!$B$2:$B$3001,$N630))</f>
      </c>
      <c r="C630">
        <f>IF($N630="","",INDEX(Staging!$C$2:$C$3001,$N630))</f>
      </c>
      <c r="D630">
        <f>IF($N630="","",INDEX(Staging!$D$2:$D$3001,$N630))</f>
      </c>
      <c r="E630">
        <f>IF($N630="","",INDEX(Staging!$F$2:$F$3001,$N630))</f>
      </c>
      <c r="F630">
        <f>IF($N630="","",INDEX(Staging!$G$2:$G$3001,$N630))</f>
      </c>
      <c r="G630">
        <f>IF($N630="","",INDEX(Staging!$H$2:$H$3001,$N630))</f>
      </c>
      <c r="H630">
        <f>IF($N630="","",INDEX(Staging!$I$2:$I$3001,$N630))</f>
      </c>
      <c r="I630">
        <f>IF($N630="","",INDEX(Staging!$J$2:$J$3001,$N630))</f>
      </c>
      <c r="J630">
        <f>IF($N630="","",INDEX(Staging!$K$2:$K$3001,$N630))</f>
      </c>
      <c r="K630">
        <f>IF($N630="","",INDEX(Staging!$M$2:$M$3001,$N630))</f>
      </c>
      <c r="L630">
        <f>IF($N630="","",INDEX(Staging!$O$2:$O$3001,$N630))</f>
      </c>
      <c r="M630">
        <f>IF($N630="","",INDEX(Staging!$P$2:$P$3001,$N630))</f>
      </c>
      <c r="N630">
        <f t="array" ref="N630">IFERROR(SMALL(IF(Staging!$E$2:$E$3001="MIPPL",ROW(Staging!$E$2:$E$3001)-ROW(Staging!$E$2)+1),629),"")</f>
      </c>
    </row>
    <row r="631" spans="1:14" x14ac:dyDescent="0.25">
      <c r="A631">
        <f>IF($N631="","",INDEX(Staging!$A$2:$A$3001,$N631))</f>
      </c>
      <c r="B631">
        <f>IF($N631="","",INDEX(Staging!$B$2:$B$3001,$N631))</f>
      </c>
      <c r="C631">
        <f>IF($N631="","",INDEX(Staging!$C$2:$C$3001,$N631))</f>
      </c>
      <c r="D631">
        <f>IF($N631="","",INDEX(Staging!$D$2:$D$3001,$N631))</f>
      </c>
      <c r="E631">
        <f>IF($N631="","",INDEX(Staging!$F$2:$F$3001,$N631))</f>
      </c>
      <c r="F631">
        <f>IF($N631="","",INDEX(Staging!$G$2:$G$3001,$N631))</f>
      </c>
      <c r="G631">
        <f>IF($N631="","",INDEX(Staging!$H$2:$H$3001,$N631))</f>
      </c>
      <c r="H631">
        <f>IF($N631="","",INDEX(Staging!$I$2:$I$3001,$N631))</f>
      </c>
      <c r="I631">
        <f>IF($N631="","",INDEX(Staging!$J$2:$J$3001,$N631))</f>
      </c>
      <c r="J631">
        <f>IF($N631="","",INDEX(Staging!$K$2:$K$3001,$N631))</f>
      </c>
      <c r="K631">
        <f>IF($N631="","",INDEX(Staging!$M$2:$M$3001,$N631))</f>
      </c>
      <c r="L631">
        <f>IF($N631="","",INDEX(Staging!$O$2:$O$3001,$N631))</f>
      </c>
      <c r="M631">
        <f>IF($N631="","",INDEX(Staging!$P$2:$P$3001,$N631))</f>
      </c>
      <c r="N631">
        <f t="array" ref="N631">IFERROR(SMALL(IF(Staging!$E$2:$E$3001="MIPPL",ROW(Staging!$E$2:$E$3001)-ROW(Staging!$E$2)+1),630),"")</f>
      </c>
    </row>
    <row r="632" spans="1:14" x14ac:dyDescent="0.25">
      <c r="A632">
        <f>IF($N632="","",INDEX(Staging!$A$2:$A$3001,$N632))</f>
      </c>
      <c r="B632">
        <f>IF($N632="","",INDEX(Staging!$B$2:$B$3001,$N632))</f>
      </c>
      <c r="C632">
        <f>IF($N632="","",INDEX(Staging!$C$2:$C$3001,$N632))</f>
      </c>
      <c r="D632">
        <f>IF($N632="","",INDEX(Staging!$D$2:$D$3001,$N632))</f>
      </c>
      <c r="E632">
        <f>IF($N632="","",INDEX(Staging!$F$2:$F$3001,$N632))</f>
      </c>
      <c r="F632">
        <f>IF($N632="","",INDEX(Staging!$G$2:$G$3001,$N632))</f>
      </c>
      <c r="G632">
        <f>IF($N632="","",INDEX(Staging!$H$2:$H$3001,$N632))</f>
      </c>
      <c r="H632">
        <f>IF($N632="","",INDEX(Staging!$I$2:$I$3001,$N632))</f>
      </c>
      <c r="I632">
        <f>IF($N632="","",INDEX(Staging!$J$2:$J$3001,$N632))</f>
      </c>
      <c r="J632">
        <f>IF($N632="","",INDEX(Staging!$K$2:$K$3001,$N632))</f>
      </c>
      <c r="K632">
        <f>IF($N632="","",INDEX(Staging!$M$2:$M$3001,$N632))</f>
      </c>
      <c r="L632">
        <f>IF($N632="","",INDEX(Staging!$O$2:$O$3001,$N632))</f>
      </c>
      <c r="M632">
        <f>IF($N632="","",INDEX(Staging!$P$2:$P$3001,$N632))</f>
      </c>
      <c r="N632">
        <f t="array" ref="N632">IFERROR(SMALL(IF(Staging!$E$2:$E$3001="MIPPL",ROW(Staging!$E$2:$E$3001)-ROW(Staging!$E$2)+1),631),"")</f>
      </c>
    </row>
    <row r="633" spans="1:14" x14ac:dyDescent="0.25">
      <c r="A633">
        <f>IF($N633="","",INDEX(Staging!$A$2:$A$3001,$N633))</f>
      </c>
      <c r="B633">
        <f>IF($N633="","",INDEX(Staging!$B$2:$B$3001,$N633))</f>
      </c>
      <c r="C633">
        <f>IF($N633="","",INDEX(Staging!$C$2:$C$3001,$N633))</f>
      </c>
      <c r="D633">
        <f>IF($N633="","",INDEX(Staging!$D$2:$D$3001,$N633))</f>
      </c>
      <c r="E633">
        <f>IF($N633="","",INDEX(Staging!$F$2:$F$3001,$N633))</f>
      </c>
      <c r="F633">
        <f>IF($N633="","",INDEX(Staging!$G$2:$G$3001,$N633))</f>
      </c>
      <c r="G633">
        <f>IF($N633="","",INDEX(Staging!$H$2:$H$3001,$N633))</f>
      </c>
      <c r="H633">
        <f>IF($N633="","",INDEX(Staging!$I$2:$I$3001,$N633))</f>
      </c>
      <c r="I633">
        <f>IF($N633="","",INDEX(Staging!$J$2:$J$3001,$N633))</f>
      </c>
      <c r="J633">
        <f>IF($N633="","",INDEX(Staging!$K$2:$K$3001,$N633))</f>
      </c>
      <c r="K633">
        <f>IF($N633="","",INDEX(Staging!$M$2:$M$3001,$N633))</f>
      </c>
      <c r="L633">
        <f>IF($N633="","",INDEX(Staging!$O$2:$O$3001,$N633))</f>
      </c>
      <c r="M633">
        <f>IF($N633="","",INDEX(Staging!$P$2:$P$3001,$N633))</f>
      </c>
      <c r="N633">
        <f t="array" ref="N633">IFERROR(SMALL(IF(Staging!$E$2:$E$3001="MIPPL",ROW(Staging!$E$2:$E$3001)-ROW(Staging!$E$2)+1),632),"")</f>
      </c>
    </row>
    <row r="634" spans="1:14" x14ac:dyDescent="0.25">
      <c r="A634">
        <f>IF($N634="","",INDEX(Staging!$A$2:$A$3001,$N634))</f>
      </c>
      <c r="B634">
        <f>IF($N634="","",INDEX(Staging!$B$2:$B$3001,$N634))</f>
      </c>
      <c r="C634">
        <f>IF($N634="","",INDEX(Staging!$C$2:$C$3001,$N634))</f>
      </c>
      <c r="D634">
        <f>IF($N634="","",INDEX(Staging!$D$2:$D$3001,$N634))</f>
      </c>
      <c r="E634">
        <f>IF($N634="","",INDEX(Staging!$F$2:$F$3001,$N634))</f>
      </c>
      <c r="F634">
        <f>IF($N634="","",INDEX(Staging!$G$2:$G$3001,$N634))</f>
      </c>
      <c r="G634">
        <f>IF($N634="","",INDEX(Staging!$H$2:$H$3001,$N634))</f>
      </c>
      <c r="H634">
        <f>IF($N634="","",INDEX(Staging!$I$2:$I$3001,$N634))</f>
      </c>
      <c r="I634">
        <f>IF($N634="","",INDEX(Staging!$J$2:$J$3001,$N634))</f>
      </c>
      <c r="J634">
        <f>IF($N634="","",INDEX(Staging!$K$2:$K$3001,$N634))</f>
      </c>
      <c r="K634">
        <f>IF($N634="","",INDEX(Staging!$M$2:$M$3001,$N634))</f>
      </c>
      <c r="L634">
        <f>IF($N634="","",INDEX(Staging!$O$2:$O$3001,$N634))</f>
      </c>
      <c r="M634">
        <f>IF($N634="","",INDEX(Staging!$P$2:$P$3001,$N634))</f>
      </c>
      <c r="N634">
        <f t="array" ref="N634">IFERROR(SMALL(IF(Staging!$E$2:$E$3001="MIPPL",ROW(Staging!$E$2:$E$3001)-ROW(Staging!$E$2)+1),633),"")</f>
      </c>
    </row>
    <row r="635" spans="1:14" x14ac:dyDescent="0.25">
      <c r="A635">
        <f>IF($N635="","",INDEX(Staging!$A$2:$A$3001,$N635))</f>
      </c>
      <c r="B635">
        <f>IF($N635="","",INDEX(Staging!$B$2:$B$3001,$N635))</f>
      </c>
      <c r="C635">
        <f>IF($N635="","",INDEX(Staging!$C$2:$C$3001,$N635))</f>
      </c>
      <c r="D635">
        <f>IF($N635="","",INDEX(Staging!$D$2:$D$3001,$N635))</f>
      </c>
      <c r="E635">
        <f>IF($N635="","",INDEX(Staging!$F$2:$F$3001,$N635))</f>
      </c>
      <c r="F635">
        <f>IF($N635="","",INDEX(Staging!$G$2:$G$3001,$N635))</f>
      </c>
      <c r="G635">
        <f>IF($N635="","",INDEX(Staging!$H$2:$H$3001,$N635))</f>
      </c>
      <c r="H635">
        <f>IF($N635="","",INDEX(Staging!$I$2:$I$3001,$N635))</f>
      </c>
      <c r="I635">
        <f>IF($N635="","",INDEX(Staging!$J$2:$J$3001,$N635))</f>
      </c>
      <c r="J635">
        <f>IF($N635="","",INDEX(Staging!$K$2:$K$3001,$N635))</f>
      </c>
      <c r="K635">
        <f>IF($N635="","",INDEX(Staging!$M$2:$M$3001,$N635))</f>
      </c>
      <c r="L635">
        <f>IF($N635="","",INDEX(Staging!$O$2:$O$3001,$N635))</f>
      </c>
      <c r="M635">
        <f>IF($N635="","",INDEX(Staging!$P$2:$P$3001,$N635))</f>
      </c>
      <c r="N635">
        <f t="array" ref="N635">IFERROR(SMALL(IF(Staging!$E$2:$E$3001="MIPPL",ROW(Staging!$E$2:$E$3001)-ROW(Staging!$E$2)+1),634),"")</f>
      </c>
    </row>
    <row r="636" spans="1:14" x14ac:dyDescent="0.25">
      <c r="A636">
        <f>IF($N636="","",INDEX(Staging!$A$2:$A$3001,$N636))</f>
      </c>
      <c r="B636">
        <f>IF($N636="","",INDEX(Staging!$B$2:$B$3001,$N636))</f>
      </c>
      <c r="C636">
        <f>IF($N636="","",INDEX(Staging!$C$2:$C$3001,$N636))</f>
      </c>
      <c r="D636">
        <f>IF($N636="","",INDEX(Staging!$D$2:$D$3001,$N636))</f>
      </c>
      <c r="E636">
        <f>IF($N636="","",INDEX(Staging!$F$2:$F$3001,$N636))</f>
      </c>
      <c r="F636">
        <f>IF($N636="","",INDEX(Staging!$G$2:$G$3001,$N636))</f>
      </c>
      <c r="G636">
        <f>IF($N636="","",INDEX(Staging!$H$2:$H$3001,$N636))</f>
      </c>
      <c r="H636">
        <f>IF($N636="","",INDEX(Staging!$I$2:$I$3001,$N636))</f>
      </c>
      <c r="I636">
        <f>IF($N636="","",INDEX(Staging!$J$2:$J$3001,$N636))</f>
      </c>
      <c r="J636">
        <f>IF($N636="","",INDEX(Staging!$K$2:$K$3001,$N636))</f>
      </c>
      <c r="K636">
        <f>IF($N636="","",INDEX(Staging!$M$2:$M$3001,$N636))</f>
      </c>
      <c r="L636">
        <f>IF($N636="","",INDEX(Staging!$O$2:$O$3001,$N636))</f>
      </c>
      <c r="M636">
        <f>IF($N636="","",INDEX(Staging!$P$2:$P$3001,$N636))</f>
      </c>
      <c r="N636">
        <f t="array" ref="N636">IFERROR(SMALL(IF(Staging!$E$2:$E$3001="MIPPL",ROW(Staging!$E$2:$E$3001)-ROW(Staging!$E$2)+1),635),"")</f>
      </c>
    </row>
    <row r="637" spans="1:14" x14ac:dyDescent="0.25">
      <c r="A637">
        <f>IF($N637="","",INDEX(Staging!$A$2:$A$3001,$N637))</f>
      </c>
      <c r="B637">
        <f>IF($N637="","",INDEX(Staging!$B$2:$B$3001,$N637))</f>
      </c>
      <c r="C637">
        <f>IF($N637="","",INDEX(Staging!$C$2:$C$3001,$N637))</f>
      </c>
      <c r="D637">
        <f>IF($N637="","",INDEX(Staging!$D$2:$D$3001,$N637))</f>
      </c>
      <c r="E637">
        <f>IF($N637="","",INDEX(Staging!$F$2:$F$3001,$N637))</f>
      </c>
      <c r="F637">
        <f>IF($N637="","",INDEX(Staging!$G$2:$G$3001,$N637))</f>
      </c>
      <c r="G637">
        <f>IF($N637="","",INDEX(Staging!$H$2:$H$3001,$N637))</f>
      </c>
      <c r="H637">
        <f>IF($N637="","",INDEX(Staging!$I$2:$I$3001,$N637))</f>
      </c>
      <c r="I637">
        <f>IF($N637="","",INDEX(Staging!$J$2:$J$3001,$N637))</f>
      </c>
      <c r="J637">
        <f>IF($N637="","",INDEX(Staging!$K$2:$K$3001,$N637))</f>
      </c>
      <c r="K637">
        <f>IF($N637="","",INDEX(Staging!$M$2:$M$3001,$N637))</f>
      </c>
      <c r="L637">
        <f>IF($N637="","",INDEX(Staging!$O$2:$O$3001,$N637))</f>
      </c>
      <c r="M637">
        <f>IF($N637="","",INDEX(Staging!$P$2:$P$3001,$N637))</f>
      </c>
      <c r="N637">
        <f t="array" ref="N637">IFERROR(SMALL(IF(Staging!$E$2:$E$3001="MIPPL",ROW(Staging!$E$2:$E$3001)-ROW(Staging!$E$2)+1),636),"")</f>
      </c>
    </row>
    <row r="638" spans="1:14" x14ac:dyDescent="0.25">
      <c r="A638">
        <f>IF($N638="","",INDEX(Staging!$A$2:$A$3001,$N638))</f>
      </c>
      <c r="B638">
        <f>IF($N638="","",INDEX(Staging!$B$2:$B$3001,$N638))</f>
      </c>
      <c r="C638">
        <f>IF($N638="","",INDEX(Staging!$C$2:$C$3001,$N638))</f>
      </c>
      <c r="D638">
        <f>IF($N638="","",INDEX(Staging!$D$2:$D$3001,$N638))</f>
      </c>
      <c r="E638">
        <f>IF($N638="","",INDEX(Staging!$F$2:$F$3001,$N638))</f>
      </c>
      <c r="F638">
        <f>IF($N638="","",INDEX(Staging!$G$2:$G$3001,$N638))</f>
      </c>
      <c r="G638">
        <f>IF($N638="","",INDEX(Staging!$H$2:$H$3001,$N638))</f>
      </c>
      <c r="H638">
        <f>IF($N638="","",INDEX(Staging!$I$2:$I$3001,$N638))</f>
      </c>
      <c r="I638">
        <f>IF($N638="","",INDEX(Staging!$J$2:$J$3001,$N638))</f>
      </c>
      <c r="J638">
        <f>IF($N638="","",INDEX(Staging!$K$2:$K$3001,$N638))</f>
      </c>
      <c r="K638">
        <f>IF($N638="","",INDEX(Staging!$M$2:$M$3001,$N638))</f>
      </c>
      <c r="L638">
        <f>IF($N638="","",INDEX(Staging!$O$2:$O$3001,$N638))</f>
      </c>
      <c r="M638">
        <f>IF($N638="","",INDEX(Staging!$P$2:$P$3001,$N638))</f>
      </c>
      <c r="N638">
        <f t="array" ref="N638">IFERROR(SMALL(IF(Staging!$E$2:$E$3001="MIPPL",ROW(Staging!$E$2:$E$3001)-ROW(Staging!$E$2)+1),637),"")</f>
      </c>
    </row>
    <row r="639" spans="1:14" x14ac:dyDescent="0.25">
      <c r="A639">
        <f>IF($N639="","",INDEX(Staging!$A$2:$A$3001,$N639))</f>
      </c>
      <c r="B639">
        <f>IF($N639="","",INDEX(Staging!$B$2:$B$3001,$N639))</f>
      </c>
      <c r="C639">
        <f>IF($N639="","",INDEX(Staging!$C$2:$C$3001,$N639))</f>
      </c>
      <c r="D639">
        <f>IF($N639="","",INDEX(Staging!$D$2:$D$3001,$N639))</f>
      </c>
      <c r="E639">
        <f>IF($N639="","",INDEX(Staging!$F$2:$F$3001,$N639))</f>
      </c>
      <c r="F639">
        <f>IF($N639="","",INDEX(Staging!$G$2:$G$3001,$N639))</f>
      </c>
      <c r="G639">
        <f>IF($N639="","",INDEX(Staging!$H$2:$H$3001,$N639))</f>
      </c>
      <c r="H639">
        <f>IF($N639="","",INDEX(Staging!$I$2:$I$3001,$N639))</f>
      </c>
      <c r="I639">
        <f>IF($N639="","",INDEX(Staging!$J$2:$J$3001,$N639))</f>
      </c>
      <c r="J639">
        <f>IF($N639="","",INDEX(Staging!$K$2:$K$3001,$N639))</f>
      </c>
      <c r="K639">
        <f>IF($N639="","",INDEX(Staging!$M$2:$M$3001,$N639))</f>
      </c>
      <c r="L639">
        <f>IF($N639="","",INDEX(Staging!$O$2:$O$3001,$N639))</f>
      </c>
      <c r="M639">
        <f>IF($N639="","",INDEX(Staging!$P$2:$P$3001,$N639))</f>
      </c>
      <c r="N639">
        <f t="array" ref="N639">IFERROR(SMALL(IF(Staging!$E$2:$E$3001="MIPPL",ROW(Staging!$E$2:$E$3001)-ROW(Staging!$E$2)+1),638),"")</f>
      </c>
    </row>
    <row r="640" spans="1:14" x14ac:dyDescent="0.25">
      <c r="A640">
        <f>IF($N640="","",INDEX(Staging!$A$2:$A$3001,$N640))</f>
      </c>
      <c r="B640">
        <f>IF($N640="","",INDEX(Staging!$B$2:$B$3001,$N640))</f>
      </c>
      <c r="C640">
        <f>IF($N640="","",INDEX(Staging!$C$2:$C$3001,$N640))</f>
      </c>
      <c r="D640">
        <f>IF($N640="","",INDEX(Staging!$D$2:$D$3001,$N640))</f>
      </c>
      <c r="E640">
        <f>IF($N640="","",INDEX(Staging!$F$2:$F$3001,$N640))</f>
      </c>
      <c r="F640">
        <f>IF($N640="","",INDEX(Staging!$G$2:$G$3001,$N640))</f>
      </c>
      <c r="G640">
        <f>IF($N640="","",INDEX(Staging!$H$2:$H$3001,$N640))</f>
      </c>
      <c r="H640">
        <f>IF($N640="","",INDEX(Staging!$I$2:$I$3001,$N640))</f>
      </c>
      <c r="I640">
        <f>IF($N640="","",INDEX(Staging!$J$2:$J$3001,$N640))</f>
      </c>
      <c r="J640">
        <f>IF($N640="","",INDEX(Staging!$K$2:$K$3001,$N640))</f>
      </c>
      <c r="K640">
        <f>IF($N640="","",INDEX(Staging!$M$2:$M$3001,$N640))</f>
      </c>
      <c r="L640">
        <f>IF($N640="","",INDEX(Staging!$O$2:$O$3001,$N640))</f>
      </c>
      <c r="M640">
        <f>IF($N640="","",INDEX(Staging!$P$2:$P$3001,$N640))</f>
      </c>
      <c r="N640">
        <f t="array" ref="N640">IFERROR(SMALL(IF(Staging!$E$2:$E$3001="MIPPL",ROW(Staging!$E$2:$E$3001)-ROW(Staging!$E$2)+1),639),"")</f>
      </c>
    </row>
    <row r="641" spans="1:14" x14ac:dyDescent="0.25">
      <c r="A641">
        <f>IF($N641="","",INDEX(Staging!$A$2:$A$3001,$N641))</f>
      </c>
      <c r="B641">
        <f>IF($N641="","",INDEX(Staging!$B$2:$B$3001,$N641))</f>
      </c>
      <c r="C641">
        <f>IF($N641="","",INDEX(Staging!$C$2:$C$3001,$N641))</f>
      </c>
      <c r="D641">
        <f>IF($N641="","",INDEX(Staging!$D$2:$D$3001,$N641))</f>
      </c>
      <c r="E641">
        <f>IF($N641="","",INDEX(Staging!$F$2:$F$3001,$N641))</f>
      </c>
      <c r="F641">
        <f>IF($N641="","",INDEX(Staging!$G$2:$G$3001,$N641))</f>
      </c>
      <c r="G641">
        <f>IF($N641="","",INDEX(Staging!$H$2:$H$3001,$N641))</f>
      </c>
      <c r="H641">
        <f>IF($N641="","",INDEX(Staging!$I$2:$I$3001,$N641))</f>
      </c>
      <c r="I641">
        <f>IF($N641="","",INDEX(Staging!$J$2:$J$3001,$N641))</f>
      </c>
      <c r="J641">
        <f>IF($N641="","",INDEX(Staging!$K$2:$K$3001,$N641))</f>
      </c>
      <c r="K641">
        <f>IF($N641="","",INDEX(Staging!$M$2:$M$3001,$N641))</f>
      </c>
      <c r="L641">
        <f>IF($N641="","",INDEX(Staging!$O$2:$O$3001,$N641))</f>
      </c>
      <c r="M641">
        <f>IF($N641="","",INDEX(Staging!$P$2:$P$3001,$N641))</f>
      </c>
      <c r="N641">
        <f t="array" ref="N641">IFERROR(SMALL(IF(Staging!$E$2:$E$3001="MIPPL",ROW(Staging!$E$2:$E$3001)-ROW(Staging!$E$2)+1),640),"")</f>
      </c>
    </row>
    <row r="642" spans="1:14" x14ac:dyDescent="0.25">
      <c r="A642">
        <f>IF($N642="","",INDEX(Staging!$A$2:$A$3001,$N642))</f>
      </c>
      <c r="B642">
        <f>IF($N642="","",INDEX(Staging!$B$2:$B$3001,$N642))</f>
      </c>
      <c r="C642">
        <f>IF($N642="","",INDEX(Staging!$C$2:$C$3001,$N642))</f>
      </c>
      <c r="D642">
        <f>IF($N642="","",INDEX(Staging!$D$2:$D$3001,$N642))</f>
      </c>
      <c r="E642">
        <f>IF($N642="","",INDEX(Staging!$F$2:$F$3001,$N642))</f>
      </c>
      <c r="F642">
        <f>IF($N642="","",INDEX(Staging!$G$2:$G$3001,$N642))</f>
      </c>
      <c r="G642">
        <f>IF($N642="","",INDEX(Staging!$H$2:$H$3001,$N642))</f>
      </c>
      <c r="H642">
        <f>IF($N642="","",INDEX(Staging!$I$2:$I$3001,$N642))</f>
      </c>
      <c r="I642">
        <f>IF($N642="","",INDEX(Staging!$J$2:$J$3001,$N642))</f>
      </c>
      <c r="J642">
        <f>IF($N642="","",INDEX(Staging!$K$2:$K$3001,$N642))</f>
      </c>
      <c r="K642">
        <f>IF($N642="","",INDEX(Staging!$M$2:$M$3001,$N642))</f>
      </c>
      <c r="L642">
        <f>IF($N642="","",INDEX(Staging!$O$2:$O$3001,$N642))</f>
      </c>
      <c r="M642">
        <f>IF($N642="","",INDEX(Staging!$P$2:$P$3001,$N642))</f>
      </c>
      <c r="N642">
        <f t="array" ref="N642">IFERROR(SMALL(IF(Staging!$E$2:$E$3001="MIPPL",ROW(Staging!$E$2:$E$3001)-ROW(Staging!$E$2)+1),641),"")</f>
      </c>
    </row>
    <row r="643" spans="1:14" x14ac:dyDescent="0.25">
      <c r="A643">
        <f>IF($N643="","",INDEX(Staging!$A$2:$A$3001,$N643))</f>
      </c>
      <c r="B643">
        <f>IF($N643="","",INDEX(Staging!$B$2:$B$3001,$N643))</f>
      </c>
      <c r="C643">
        <f>IF($N643="","",INDEX(Staging!$C$2:$C$3001,$N643))</f>
      </c>
      <c r="D643">
        <f>IF($N643="","",INDEX(Staging!$D$2:$D$3001,$N643))</f>
      </c>
      <c r="E643">
        <f>IF($N643="","",INDEX(Staging!$F$2:$F$3001,$N643))</f>
      </c>
      <c r="F643">
        <f>IF($N643="","",INDEX(Staging!$G$2:$G$3001,$N643))</f>
      </c>
      <c r="G643">
        <f>IF($N643="","",INDEX(Staging!$H$2:$H$3001,$N643))</f>
      </c>
      <c r="H643">
        <f>IF($N643="","",INDEX(Staging!$I$2:$I$3001,$N643))</f>
      </c>
      <c r="I643">
        <f>IF($N643="","",INDEX(Staging!$J$2:$J$3001,$N643))</f>
      </c>
      <c r="J643">
        <f>IF($N643="","",INDEX(Staging!$K$2:$K$3001,$N643))</f>
      </c>
      <c r="K643">
        <f>IF($N643="","",INDEX(Staging!$M$2:$M$3001,$N643))</f>
      </c>
      <c r="L643">
        <f>IF($N643="","",INDEX(Staging!$O$2:$O$3001,$N643))</f>
      </c>
      <c r="M643">
        <f>IF($N643="","",INDEX(Staging!$P$2:$P$3001,$N643))</f>
      </c>
      <c r="N643">
        <f t="array" ref="N643">IFERROR(SMALL(IF(Staging!$E$2:$E$3001="MIPPL",ROW(Staging!$E$2:$E$3001)-ROW(Staging!$E$2)+1),642),"")</f>
      </c>
    </row>
    <row r="644" spans="1:14" x14ac:dyDescent="0.25">
      <c r="A644">
        <f>IF($N644="","",INDEX(Staging!$A$2:$A$3001,$N644))</f>
      </c>
      <c r="B644">
        <f>IF($N644="","",INDEX(Staging!$B$2:$B$3001,$N644))</f>
      </c>
      <c r="C644">
        <f>IF($N644="","",INDEX(Staging!$C$2:$C$3001,$N644))</f>
      </c>
      <c r="D644">
        <f>IF($N644="","",INDEX(Staging!$D$2:$D$3001,$N644))</f>
      </c>
      <c r="E644">
        <f>IF($N644="","",INDEX(Staging!$F$2:$F$3001,$N644))</f>
      </c>
      <c r="F644">
        <f>IF($N644="","",INDEX(Staging!$G$2:$G$3001,$N644))</f>
      </c>
      <c r="G644">
        <f>IF($N644="","",INDEX(Staging!$H$2:$H$3001,$N644))</f>
      </c>
      <c r="H644">
        <f>IF($N644="","",INDEX(Staging!$I$2:$I$3001,$N644))</f>
      </c>
      <c r="I644">
        <f>IF($N644="","",INDEX(Staging!$J$2:$J$3001,$N644))</f>
      </c>
      <c r="J644">
        <f>IF($N644="","",INDEX(Staging!$K$2:$K$3001,$N644))</f>
      </c>
      <c r="K644">
        <f>IF($N644="","",INDEX(Staging!$M$2:$M$3001,$N644))</f>
      </c>
      <c r="L644">
        <f>IF($N644="","",INDEX(Staging!$O$2:$O$3001,$N644))</f>
      </c>
      <c r="M644">
        <f>IF($N644="","",INDEX(Staging!$P$2:$P$3001,$N644))</f>
      </c>
      <c r="N644">
        <f t="array" ref="N644">IFERROR(SMALL(IF(Staging!$E$2:$E$3001="MIPPL",ROW(Staging!$E$2:$E$3001)-ROW(Staging!$E$2)+1),643),"")</f>
      </c>
    </row>
    <row r="645" spans="1:14" x14ac:dyDescent="0.25">
      <c r="A645">
        <f>IF($N645="","",INDEX(Staging!$A$2:$A$3001,$N645))</f>
      </c>
      <c r="B645">
        <f>IF($N645="","",INDEX(Staging!$B$2:$B$3001,$N645))</f>
      </c>
      <c r="C645">
        <f>IF($N645="","",INDEX(Staging!$C$2:$C$3001,$N645))</f>
      </c>
      <c r="D645">
        <f>IF($N645="","",INDEX(Staging!$D$2:$D$3001,$N645))</f>
      </c>
      <c r="E645">
        <f>IF($N645="","",INDEX(Staging!$F$2:$F$3001,$N645))</f>
      </c>
      <c r="F645">
        <f>IF($N645="","",INDEX(Staging!$G$2:$G$3001,$N645))</f>
      </c>
      <c r="G645">
        <f>IF($N645="","",INDEX(Staging!$H$2:$H$3001,$N645))</f>
      </c>
      <c r="H645">
        <f>IF($N645="","",INDEX(Staging!$I$2:$I$3001,$N645))</f>
      </c>
      <c r="I645">
        <f>IF($N645="","",INDEX(Staging!$J$2:$J$3001,$N645))</f>
      </c>
      <c r="J645">
        <f>IF($N645="","",INDEX(Staging!$K$2:$K$3001,$N645))</f>
      </c>
      <c r="K645">
        <f>IF($N645="","",INDEX(Staging!$M$2:$M$3001,$N645))</f>
      </c>
      <c r="L645">
        <f>IF($N645="","",INDEX(Staging!$O$2:$O$3001,$N645))</f>
      </c>
      <c r="M645">
        <f>IF($N645="","",INDEX(Staging!$P$2:$P$3001,$N645))</f>
      </c>
      <c r="N645">
        <f t="array" ref="N645">IFERROR(SMALL(IF(Staging!$E$2:$E$3001="MIPPL",ROW(Staging!$E$2:$E$3001)-ROW(Staging!$E$2)+1),644),"")</f>
      </c>
    </row>
    <row r="646" spans="1:14" x14ac:dyDescent="0.25">
      <c r="A646">
        <f>IF($N646="","",INDEX(Staging!$A$2:$A$3001,$N646))</f>
      </c>
      <c r="B646">
        <f>IF($N646="","",INDEX(Staging!$B$2:$B$3001,$N646))</f>
      </c>
      <c r="C646">
        <f>IF($N646="","",INDEX(Staging!$C$2:$C$3001,$N646))</f>
      </c>
      <c r="D646">
        <f>IF($N646="","",INDEX(Staging!$D$2:$D$3001,$N646))</f>
      </c>
      <c r="E646">
        <f>IF($N646="","",INDEX(Staging!$F$2:$F$3001,$N646))</f>
      </c>
      <c r="F646">
        <f>IF($N646="","",INDEX(Staging!$G$2:$G$3001,$N646))</f>
      </c>
      <c r="G646">
        <f>IF($N646="","",INDEX(Staging!$H$2:$H$3001,$N646))</f>
      </c>
      <c r="H646">
        <f>IF($N646="","",INDEX(Staging!$I$2:$I$3001,$N646))</f>
      </c>
      <c r="I646">
        <f>IF($N646="","",INDEX(Staging!$J$2:$J$3001,$N646))</f>
      </c>
      <c r="J646">
        <f>IF($N646="","",INDEX(Staging!$K$2:$K$3001,$N646))</f>
      </c>
      <c r="K646">
        <f>IF($N646="","",INDEX(Staging!$M$2:$M$3001,$N646))</f>
      </c>
      <c r="L646">
        <f>IF($N646="","",INDEX(Staging!$O$2:$O$3001,$N646))</f>
      </c>
      <c r="M646">
        <f>IF($N646="","",INDEX(Staging!$P$2:$P$3001,$N646))</f>
      </c>
      <c r="N646">
        <f t="array" ref="N646">IFERROR(SMALL(IF(Staging!$E$2:$E$3001="MIPPL",ROW(Staging!$E$2:$E$3001)-ROW(Staging!$E$2)+1),645),"")</f>
      </c>
    </row>
    <row r="647" spans="1:14" x14ac:dyDescent="0.25">
      <c r="A647">
        <f>IF($N647="","",INDEX(Staging!$A$2:$A$3001,$N647))</f>
      </c>
      <c r="B647">
        <f>IF($N647="","",INDEX(Staging!$B$2:$B$3001,$N647))</f>
      </c>
      <c r="C647">
        <f>IF($N647="","",INDEX(Staging!$C$2:$C$3001,$N647))</f>
      </c>
      <c r="D647">
        <f>IF($N647="","",INDEX(Staging!$D$2:$D$3001,$N647))</f>
      </c>
      <c r="E647">
        <f>IF($N647="","",INDEX(Staging!$F$2:$F$3001,$N647))</f>
      </c>
      <c r="F647">
        <f>IF($N647="","",INDEX(Staging!$G$2:$G$3001,$N647))</f>
      </c>
      <c r="G647">
        <f>IF($N647="","",INDEX(Staging!$H$2:$H$3001,$N647))</f>
      </c>
      <c r="H647">
        <f>IF($N647="","",INDEX(Staging!$I$2:$I$3001,$N647))</f>
      </c>
      <c r="I647">
        <f>IF($N647="","",INDEX(Staging!$J$2:$J$3001,$N647))</f>
      </c>
      <c r="J647">
        <f>IF($N647="","",INDEX(Staging!$K$2:$K$3001,$N647))</f>
      </c>
      <c r="K647">
        <f>IF($N647="","",INDEX(Staging!$M$2:$M$3001,$N647))</f>
      </c>
      <c r="L647">
        <f>IF($N647="","",INDEX(Staging!$O$2:$O$3001,$N647))</f>
      </c>
      <c r="M647">
        <f>IF($N647="","",INDEX(Staging!$P$2:$P$3001,$N647))</f>
      </c>
      <c r="N647">
        <f t="array" ref="N647">IFERROR(SMALL(IF(Staging!$E$2:$E$3001="MIPPL",ROW(Staging!$E$2:$E$3001)-ROW(Staging!$E$2)+1),646),"")</f>
      </c>
    </row>
    <row r="648" spans="1:14" x14ac:dyDescent="0.25">
      <c r="A648">
        <f>IF($N648="","",INDEX(Staging!$A$2:$A$3001,$N648))</f>
      </c>
      <c r="B648">
        <f>IF($N648="","",INDEX(Staging!$B$2:$B$3001,$N648))</f>
      </c>
      <c r="C648">
        <f>IF($N648="","",INDEX(Staging!$C$2:$C$3001,$N648))</f>
      </c>
      <c r="D648">
        <f>IF($N648="","",INDEX(Staging!$D$2:$D$3001,$N648))</f>
      </c>
      <c r="E648">
        <f>IF($N648="","",INDEX(Staging!$F$2:$F$3001,$N648))</f>
      </c>
      <c r="F648">
        <f>IF($N648="","",INDEX(Staging!$G$2:$G$3001,$N648))</f>
      </c>
      <c r="G648">
        <f>IF($N648="","",INDEX(Staging!$H$2:$H$3001,$N648))</f>
      </c>
      <c r="H648">
        <f>IF($N648="","",INDEX(Staging!$I$2:$I$3001,$N648))</f>
      </c>
      <c r="I648">
        <f>IF($N648="","",INDEX(Staging!$J$2:$J$3001,$N648))</f>
      </c>
      <c r="J648">
        <f>IF($N648="","",INDEX(Staging!$K$2:$K$3001,$N648))</f>
      </c>
      <c r="K648">
        <f>IF($N648="","",INDEX(Staging!$M$2:$M$3001,$N648))</f>
      </c>
      <c r="L648">
        <f>IF($N648="","",INDEX(Staging!$O$2:$O$3001,$N648))</f>
      </c>
      <c r="M648">
        <f>IF($N648="","",INDEX(Staging!$P$2:$P$3001,$N648))</f>
      </c>
      <c r="N648">
        <f t="array" ref="N648">IFERROR(SMALL(IF(Staging!$E$2:$E$3001="MIPPL",ROW(Staging!$E$2:$E$3001)-ROW(Staging!$E$2)+1),647),"")</f>
      </c>
    </row>
    <row r="649" spans="1:14" x14ac:dyDescent="0.25">
      <c r="A649">
        <f>IF($N649="","",INDEX(Staging!$A$2:$A$3001,$N649))</f>
      </c>
      <c r="B649">
        <f>IF($N649="","",INDEX(Staging!$B$2:$B$3001,$N649))</f>
      </c>
      <c r="C649">
        <f>IF($N649="","",INDEX(Staging!$C$2:$C$3001,$N649))</f>
      </c>
      <c r="D649">
        <f>IF($N649="","",INDEX(Staging!$D$2:$D$3001,$N649))</f>
      </c>
      <c r="E649">
        <f>IF($N649="","",INDEX(Staging!$F$2:$F$3001,$N649))</f>
      </c>
      <c r="F649">
        <f>IF($N649="","",INDEX(Staging!$G$2:$G$3001,$N649))</f>
      </c>
      <c r="G649">
        <f>IF($N649="","",INDEX(Staging!$H$2:$H$3001,$N649))</f>
      </c>
      <c r="H649">
        <f>IF($N649="","",INDEX(Staging!$I$2:$I$3001,$N649))</f>
      </c>
      <c r="I649">
        <f>IF($N649="","",INDEX(Staging!$J$2:$J$3001,$N649))</f>
      </c>
      <c r="J649">
        <f>IF($N649="","",INDEX(Staging!$K$2:$K$3001,$N649))</f>
      </c>
      <c r="K649">
        <f>IF($N649="","",INDEX(Staging!$M$2:$M$3001,$N649))</f>
      </c>
      <c r="L649">
        <f>IF($N649="","",INDEX(Staging!$O$2:$O$3001,$N649))</f>
      </c>
      <c r="M649">
        <f>IF($N649="","",INDEX(Staging!$P$2:$P$3001,$N649))</f>
      </c>
      <c r="N649">
        <f t="array" ref="N649">IFERROR(SMALL(IF(Staging!$E$2:$E$3001="MIPPL",ROW(Staging!$E$2:$E$3001)-ROW(Staging!$E$2)+1),648),"")</f>
      </c>
    </row>
    <row r="650" spans="1:14" x14ac:dyDescent="0.25">
      <c r="A650">
        <f>IF($N650="","",INDEX(Staging!$A$2:$A$3001,$N650))</f>
      </c>
      <c r="B650">
        <f>IF($N650="","",INDEX(Staging!$B$2:$B$3001,$N650))</f>
      </c>
      <c r="C650">
        <f>IF($N650="","",INDEX(Staging!$C$2:$C$3001,$N650))</f>
      </c>
      <c r="D650">
        <f>IF($N650="","",INDEX(Staging!$D$2:$D$3001,$N650))</f>
      </c>
      <c r="E650">
        <f>IF($N650="","",INDEX(Staging!$F$2:$F$3001,$N650))</f>
      </c>
      <c r="F650">
        <f>IF($N650="","",INDEX(Staging!$G$2:$G$3001,$N650))</f>
      </c>
      <c r="G650">
        <f>IF($N650="","",INDEX(Staging!$H$2:$H$3001,$N650))</f>
      </c>
      <c r="H650">
        <f>IF($N650="","",INDEX(Staging!$I$2:$I$3001,$N650))</f>
      </c>
      <c r="I650">
        <f>IF($N650="","",INDEX(Staging!$J$2:$J$3001,$N650))</f>
      </c>
      <c r="J650">
        <f>IF($N650="","",INDEX(Staging!$K$2:$K$3001,$N650))</f>
      </c>
      <c r="K650">
        <f>IF($N650="","",INDEX(Staging!$M$2:$M$3001,$N650))</f>
      </c>
      <c r="L650">
        <f>IF($N650="","",INDEX(Staging!$O$2:$O$3001,$N650))</f>
      </c>
      <c r="M650">
        <f>IF($N650="","",INDEX(Staging!$P$2:$P$3001,$N650))</f>
      </c>
      <c r="N650">
        <f t="array" ref="N650">IFERROR(SMALL(IF(Staging!$E$2:$E$3001="MIPPL",ROW(Staging!$E$2:$E$3001)-ROW(Staging!$E$2)+1),649),"")</f>
      </c>
    </row>
    <row r="651" spans="1:14" x14ac:dyDescent="0.25">
      <c r="A651">
        <f>IF($N651="","",INDEX(Staging!$A$2:$A$3001,$N651))</f>
      </c>
      <c r="B651">
        <f>IF($N651="","",INDEX(Staging!$B$2:$B$3001,$N651))</f>
      </c>
      <c r="C651">
        <f>IF($N651="","",INDEX(Staging!$C$2:$C$3001,$N651))</f>
      </c>
      <c r="D651">
        <f>IF($N651="","",INDEX(Staging!$D$2:$D$3001,$N651))</f>
      </c>
      <c r="E651">
        <f>IF($N651="","",INDEX(Staging!$F$2:$F$3001,$N651))</f>
      </c>
      <c r="F651">
        <f>IF($N651="","",INDEX(Staging!$G$2:$G$3001,$N651))</f>
      </c>
      <c r="G651">
        <f>IF($N651="","",INDEX(Staging!$H$2:$H$3001,$N651))</f>
      </c>
      <c r="H651">
        <f>IF($N651="","",INDEX(Staging!$I$2:$I$3001,$N651))</f>
      </c>
      <c r="I651">
        <f>IF($N651="","",INDEX(Staging!$J$2:$J$3001,$N651))</f>
      </c>
      <c r="J651">
        <f>IF($N651="","",INDEX(Staging!$K$2:$K$3001,$N651))</f>
      </c>
      <c r="K651">
        <f>IF($N651="","",INDEX(Staging!$M$2:$M$3001,$N651))</f>
      </c>
      <c r="L651">
        <f>IF($N651="","",INDEX(Staging!$O$2:$O$3001,$N651))</f>
      </c>
      <c r="M651">
        <f>IF($N651="","",INDEX(Staging!$P$2:$P$3001,$N651))</f>
      </c>
      <c r="N651">
        <f t="array" ref="N651">IFERROR(SMALL(IF(Staging!$E$2:$E$3001="MIPPL",ROW(Staging!$E$2:$E$3001)-ROW(Staging!$E$2)+1),650),"")</f>
      </c>
    </row>
    <row r="652" spans="1:14" x14ac:dyDescent="0.25">
      <c r="A652">
        <f>IF($N652="","",INDEX(Staging!$A$2:$A$3001,$N652))</f>
      </c>
      <c r="B652">
        <f>IF($N652="","",INDEX(Staging!$B$2:$B$3001,$N652))</f>
      </c>
      <c r="C652">
        <f>IF($N652="","",INDEX(Staging!$C$2:$C$3001,$N652))</f>
      </c>
      <c r="D652">
        <f>IF($N652="","",INDEX(Staging!$D$2:$D$3001,$N652))</f>
      </c>
      <c r="E652">
        <f>IF($N652="","",INDEX(Staging!$F$2:$F$3001,$N652))</f>
      </c>
      <c r="F652">
        <f>IF($N652="","",INDEX(Staging!$G$2:$G$3001,$N652))</f>
      </c>
      <c r="G652">
        <f>IF($N652="","",INDEX(Staging!$H$2:$H$3001,$N652))</f>
      </c>
      <c r="H652">
        <f>IF($N652="","",INDEX(Staging!$I$2:$I$3001,$N652))</f>
      </c>
      <c r="I652">
        <f>IF($N652="","",INDEX(Staging!$J$2:$J$3001,$N652))</f>
      </c>
      <c r="J652">
        <f>IF($N652="","",INDEX(Staging!$K$2:$K$3001,$N652))</f>
      </c>
      <c r="K652">
        <f>IF($N652="","",INDEX(Staging!$M$2:$M$3001,$N652))</f>
      </c>
      <c r="L652">
        <f>IF($N652="","",INDEX(Staging!$O$2:$O$3001,$N652))</f>
      </c>
      <c r="M652">
        <f>IF($N652="","",INDEX(Staging!$P$2:$P$3001,$N652))</f>
      </c>
      <c r="N652">
        <f t="array" ref="N652">IFERROR(SMALL(IF(Staging!$E$2:$E$3001="MIPPL",ROW(Staging!$E$2:$E$3001)-ROW(Staging!$E$2)+1),651),"")</f>
      </c>
    </row>
    <row r="653" spans="1:14" x14ac:dyDescent="0.25">
      <c r="A653">
        <f>IF($N653="","",INDEX(Staging!$A$2:$A$3001,$N653))</f>
      </c>
      <c r="B653">
        <f>IF($N653="","",INDEX(Staging!$B$2:$B$3001,$N653))</f>
      </c>
      <c r="C653">
        <f>IF($N653="","",INDEX(Staging!$C$2:$C$3001,$N653))</f>
      </c>
      <c r="D653">
        <f>IF($N653="","",INDEX(Staging!$D$2:$D$3001,$N653))</f>
      </c>
      <c r="E653">
        <f>IF($N653="","",INDEX(Staging!$F$2:$F$3001,$N653))</f>
      </c>
      <c r="F653">
        <f>IF($N653="","",INDEX(Staging!$G$2:$G$3001,$N653))</f>
      </c>
      <c r="G653">
        <f>IF($N653="","",INDEX(Staging!$H$2:$H$3001,$N653))</f>
      </c>
      <c r="H653">
        <f>IF($N653="","",INDEX(Staging!$I$2:$I$3001,$N653))</f>
      </c>
      <c r="I653">
        <f>IF($N653="","",INDEX(Staging!$J$2:$J$3001,$N653))</f>
      </c>
      <c r="J653">
        <f>IF($N653="","",INDEX(Staging!$K$2:$K$3001,$N653))</f>
      </c>
      <c r="K653">
        <f>IF($N653="","",INDEX(Staging!$M$2:$M$3001,$N653))</f>
      </c>
      <c r="L653">
        <f>IF($N653="","",INDEX(Staging!$O$2:$O$3001,$N653))</f>
      </c>
      <c r="M653">
        <f>IF($N653="","",INDEX(Staging!$P$2:$P$3001,$N653))</f>
      </c>
      <c r="N653">
        <f t="array" ref="N653">IFERROR(SMALL(IF(Staging!$E$2:$E$3001="MIPPL",ROW(Staging!$E$2:$E$3001)-ROW(Staging!$E$2)+1),652),"")</f>
      </c>
    </row>
    <row r="654" spans="1:14" x14ac:dyDescent="0.25">
      <c r="A654">
        <f>IF($N654="","",INDEX(Staging!$A$2:$A$3001,$N654))</f>
      </c>
      <c r="B654">
        <f>IF($N654="","",INDEX(Staging!$B$2:$B$3001,$N654))</f>
      </c>
      <c r="C654">
        <f>IF($N654="","",INDEX(Staging!$C$2:$C$3001,$N654))</f>
      </c>
      <c r="D654">
        <f>IF($N654="","",INDEX(Staging!$D$2:$D$3001,$N654))</f>
      </c>
      <c r="E654">
        <f>IF($N654="","",INDEX(Staging!$F$2:$F$3001,$N654))</f>
      </c>
      <c r="F654">
        <f>IF($N654="","",INDEX(Staging!$G$2:$G$3001,$N654))</f>
      </c>
      <c r="G654">
        <f>IF($N654="","",INDEX(Staging!$H$2:$H$3001,$N654))</f>
      </c>
      <c r="H654">
        <f>IF($N654="","",INDEX(Staging!$I$2:$I$3001,$N654))</f>
      </c>
      <c r="I654">
        <f>IF($N654="","",INDEX(Staging!$J$2:$J$3001,$N654))</f>
      </c>
      <c r="J654">
        <f>IF($N654="","",INDEX(Staging!$K$2:$K$3001,$N654))</f>
      </c>
      <c r="K654">
        <f>IF($N654="","",INDEX(Staging!$M$2:$M$3001,$N654))</f>
      </c>
      <c r="L654">
        <f>IF($N654="","",INDEX(Staging!$O$2:$O$3001,$N654))</f>
      </c>
      <c r="M654">
        <f>IF($N654="","",INDEX(Staging!$P$2:$P$3001,$N654))</f>
      </c>
      <c r="N654">
        <f t="array" ref="N654">IFERROR(SMALL(IF(Staging!$E$2:$E$3001="MIPPL",ROW(Staging!$E$2:$E$3001)-ROW(Staging!$E$2)+1),653),"")</f>
      </c>
    </row>
    <row r="655" spans="1:14" x14ac:dyDescent="0.25">
      <c r="A655">
        <f>IF($N655="","",INDEX(Staging!$A$2:$A$3001,$N655))</f>
      </c>
      <c r="B655">
        <f>IF($N655="","",INDEX(Staging!$B$2:$B$3001,$N655))</f>
      </c>
      <c r="C655">
        <f>IF($N655="","",INDEX(Staging!$C$2:$C$3001,$N655))</f>
      </c>
      <c r="D655">
        <f>IF($N655="","",INDEX(Staging!$D$2:$D$3001,$N655))</f>
      </c>
      <c r="E655">
        <f>IF($N655="","",INDEX(Staging!$F$2:$F$3001,$N655))</f>
      </c>
      <c r="F655">
        <f>IF($N655="","",INDEX(Staging!$G$2:$G$3001,$N655))</f>
      </c>
      <c r="G655">
        <f>IF($N655="","",INDEX(Staging!$H$2:$H$3001,$N655))</f>
      </c>
      <c r="H655">
        <f>IF($N655="","",INDEX(Staging!$I$2:$I$3001,$N655))</f>
      </c>
      <c r="I655">
        <f>IF($N655="","",INDEX(Staging!$J$2:$J$3001,$N655))</f>
      </c>
      <c r="J655">
        <f>IF($N655="","",INDEX(Staging!$K$2:$K$3001,$N655))</f>
      </c>
      <c r="K655">
        <f>IF($N655="","",INDEX(Staging!$M$2:$M$3001,$N655))</f>
      </c>
      <c r="L655">
        <f>IF($N655="","",INDEX(Staging!$O$2:$O$3001,$N655))</f>
      </c>
      <c r="M655">
        <f>IF($N655="","",INDEX(Staging!$P$2:$P$3001,$N655))</f>
      </c>
      <c r="N655">
        <f t="array" ref="N655">IFERROR(SMALL(IF(Staging!$E$2:$E$3001="MIPPL",ROW(Staging!$E$2:$E$3001)-ROW(Staging!$E$2)+1),654),"")</f>
      </c>
    </row>
    <row r="656" spans="1:14" x14ac:dyDescent="0.25">
      <c r="A656">
        <f>IF($N656="","",INDEX(Staging!$A$2:$A$3001,$N656))</f>
      </c>
      <c r="B656">
        <f>IF($N656="","",INDEX(Staging!$B$2:$B$3001,$N656))</f>
      </c>
      <c r="C656">
        <f>IF($N656="","",INDEX(Staging!$C$2:$C$3001,$N656))</f>
      </c>
      <c r="D656">
        <f>IF($N656="","",INDEX(Staging!$D$2:$D$3001,$N656))</f>
      </c>
      <c r="E656">
        <f>IF($N656="","",INDEX(Staging!$F$2:$F$3001,$N656))</f>
      </c>
      <c r="F656">
        <f>IF($N656="","",INDEX(Staging!$G$2:$G$3001,$N656))</f>
      </c>
      <c r="G656">
        <f>IF($N656="","",INDEX(Staging!$H$2:$H$3001,$N656))</f>
      </c>
      <c r="H656">
        <f>IF($N656="","",INDEX(Staging!$I$2:$I$3001,$N656))</f>
      </c>
      <c r="I656">
        <f>IF($N656="","",INDEX(Staging!$J$2:$J$3001,$N656))</f>
      </c>
      <c r="J656">
        <f>IF($N656="","",INDEX(Staging!$K$2:$K$3001,$N656))</f>
      </c>
      <c r="K656">
        <f>IF($N656="","",INDEX(Staging!$M$2:$M$3001,$N656))</f>
      </c>
      <c r="L656">
        <f>IF($N656="","",INDEX(Staging!$O$2:$O$3001,$N656))</f>
      </c>
      <c r="M656">
        <f>IF($N656="","",INDEX(Staging!$P$2:$P$3001,$N656))</f>
      </c>
      <c r="N656">
        <f t="array" ref="N656">IFERROR(SMALL(IF(Staging!$E$2:$E$3001="MIPPL",ROW(Staging!$E$2:$E$3001)-ROW(Staging!$E$2)+1),655),"")</f>
      </c>
    </row>
    <row r="657" spans="1:14" x14ac:dyDescent="0.25">
      <c r="A657">
        <f>IF($N657="","",INDEX(Staging!$A$2:$A$3001,$N657))</f>
      </c>
      <c r="B657">
        <f>IF($N657="","",INDEX(Staging!$B$2:$B$3001,$N657))</f>
      </c>
      <c r="C657">
        <f>IF($N657="","",INDEX(Staging!$C$2:$C$3001,$N657))</f>
      </c>
      <c r="D657">
        <f>IF($N657="","",INDEX(Staging!$D$2:$D$3001,$N657))</f>
      </c>
      <c r="E657">
        <f>IF($N657="","",INDEX(Staging!$F$2:$F$3001,$N657))</f>
      </c>
      <c r="F657">
        <f>IF($N657="","",INDEX(Staging!$G$2:$G$3001,$N657))</f>
      </c>
      <c r="G657">
        <f>IF($N657="","",INDEX(Staging!$H$2:$H$3001,$N657))</f>
      </c>
      <c r="H657">
        <f>IF($N657="","",INDEX(Staging!$I$2:$I$3001,$N657))</f>
      </c>
      <c r="I657">
        <f>IF($N657="","",INDEX(Staging!$J$2:$J$3001,$N657))</f>
      </c>
      <c r="J657">
        <f>IF($N657="","",INDEX(Staging!$K$2:$K$3001,$N657))</f>
      </c>
      <c r="K657">
        <f>IF($N657="","",INDEX(Staging!$M$2:$M$3001,$N657))</f>
      </c>
      <c r="L657">
        <f>IF($N657="","",INDEX(Staging!$O$2:$O$3001,$N657))</f>
      </c>
      <c r="M657">
        <f>IF($N657="","",INDEX(Staging!$P$2:$P$3001,$N657))</f>
      </c>
      <c r="N657">
        <f t="array" ref="N657">IFERROR(SMALL(IF(Staging!$E$2:$E$3001="MIPPL",ROW(Staging!$E$2:$E$3001)-ROW(Staging!$E$2)+1),656),"")</f>
      </c>
    </row>
    <row r="658" spans="1:14" x14ac:dyDescent="0.25">
      <c r="A658">
        <f>IF($N658="","",INDEX(Staging!$A$2:$A$3001,$N658))</f>
      </c>
      <c r="B658">
        <f>IF($N658="","",INDEX(Staging!$B$2:$B$3001,$N658))</f>
      </c>
      <c r="C658">
        <f>IF($N658="","",INDEX(Staging!$C$2:$C$3001,$N658))</f>
      </c>
      <c r="D658">
        <f>IF($N658="","",INDEX(Staging!$D$2:$D$3001,$N658))</f>
      </c>
      <c r="E658">
        <f>IF($N658="","",INDEX(Staging!$F$2:$F$3001,$N658))</f>
      </c>
      <c r="F658">
        <f>IF($N658="","",INDEX(Staging!$G$2:$G$3001,$N658))</f>
      </c>
      <c r="G658">
        <f>IF($N658="","",INDEX(Staging!$H$2:$H$3001,$N658))</f>
      </c>
      <c r="H658">
        <f>IF($N658="","",INDEX(Staging!$I$2:$I$3001,$N658))</f>
      </c>
      <c r="I658">
        <f>IF($N658="","",INDEX(Staging!$J$2:$J$3001,$N658))</f>
      </c>
      <c r="J658">
        <f>IF($N658="","",INDEX(Staging!$K$2:$K$3001,$N658))</f>
      </c>
      <c r="K658">
        <f>IF($N658="","",INDEX(Staging!$M$2:$M$3001,$N658))</f>
      </c>
      <c r="L658">
        <f>IF($N658="","",INDEX(Staging!$O$2:$O$3001,$N658))</f>
      </c>
      <c r="M658">
        <f>IF($N658="","",INDEX(Staging!$P$2:$P$3001,$N658))</f>
      </c>
      <c r="N658">
        <f t="array" ref="N658">IFERROR(SMALL(IF(Staging!$E$2:$E$3001="MIPPL",ROW(Staging!$E$2:$E$3001)-ROW(Staging!$E$2)+1),657),"")</f>
      </c>
    </row>
    <row r="659" spans="1:14" x14ac:dyDescent="0.25">
      <c r="A659">
        <f>IF($N659="","",INDEX(Staging!$A$2:$A$3001,$N659))</f>
      </c>
      <c r="B659">
        <f>IF($N659="","",INDEX(Staging!$B$2:$B$3001,$N659))</f>
      </c>
      <c r="C659">
        <f>IF($N659="","",INDEX(Staging!$C$2:$C$3001,$N659))</f>
      </c>
      <c r="D659">
        <f>IF($N659="","",INDEX(Staging!$D$2:$D$3001,$N659))</f>
      </c>
      <c r="E659">
        <f>IF($N659="","",INDEX(Staging!$F$2:$F$3001,$N659))</f>
      </c>
      <c r="F659">
        <f>IF($N659="","",INDEX(Staging!$G$2:$G$3001,$N659))</f>
      </c>
      <c r="G659">
        <f>IF($N659="","",INDEX(Staging!$H$2:$H$3001,$N659))</f>
      </c>
      <c r="H659">
        <f>IF($N659="","",INDEX(Staging!$I$2:$I$3001,$N659))</f>
      </c>
      <c r="I659">
        <f>IF($N659="","",INDEX(Staging!$J$2:$J$3001,$N659))</f>
      </c>
      <c r="J659">
        <f>IF($N659="","",INDEX(Staging!$K$2:$K$3001,$N659))</f>
      </c>
      <c r="K659">
        <f>IF($N659="","",INDEX(Staging!$M$2:$M$3001,$N659))</f>
      </c>
      <c r="L659">
        <f>IF($N659="","",INDEX(Staging!$O$2:$O$3001,$N659))</f>
      </c>
      <c r="M659">
        <f>IF($N659="","",INDEX(Staging!$P$2:$P$3001,$N659))</f>
      </c>
      <c r="N659">
        <f t="array" ref="N659">IFERROR(SMALL(IF(Staging!$E$2:$E$3001="MIPPL",ROW(Staging!$E$2:$E$3001)-ROW(Staging!$E$2)+1),658),"")</f>
      </c>
    </row>
    <row r="660" spans="1:14" x14ac:dyDescent="0.25">
      <c r="A660">
        <f>IF($N660="","",INDEX(Staging!$A$2:$A$3001,$N660))</f>
      </c>
      <c r="B660">
        <f>IF($N660="","",INDEX(Staging!$B$2:$B$3001,$N660))</f>
      </c>
      <c r="C660">
        <f>IF($N660="","",INDEX(Staging!$C$2:$C$3001,$N660))</f>
      </c>
      <c r="D660">
        <f>IF($N660="","",INDEX(Staging!$D$2:$D$3001,$N660))</f>
      </c>
      <c r="E660">
        <f>IF($N660="","",INDEX(Staging!$F$2:$F$3001,$N660))</f>
      </c>
      <c r="F660">
        <f>IF($N660="","",INDEX(Staging!$G$2:$G$3001,$N660))</f>
      </c>
      <c r="G660">
        <f>IF($N660="","",INDEX(Staging!$H$2:$H$3001,$N660))</f>
      </c>
      <c r="H660">
        <f>IF($N660="","",INDEX(Staging!$I$2:$I$3001,$N660))</f>
      </c>
      <c r="I660">
        <f>IF($N660="","",INDEX(Staging!$J$2:$J$3001,$N660))</f>
      </c>
      <c r="J660">
        <f>IF($N660="","",INDEX(Staging!$K$2:$K$3001,$N660))</f>
      </c>
      <c r="K660">
        <f>IF($N660="","",INDEX(Staging!$M$2:$M$3001,$N660))</f>
      </c>
      <c r="L660">
        <f>IF($N660="","",INDEX(Staging!$O$2:$O$3001,$N660))</f>
      </c>
      <c r="M660">
        <f>IF($N660="","",INDEX(Staging!$P$2:$P$3001,$N660))</f>
      </c>
      <c r="N660">
        <f t="array" ref="N660">IFERROR(SMALL(IF(Staging!$E$2:$E$3001="MIPPL",ROW(Staging!$E$2:$E$3001)-ROW(Staging!$E$2)+1),659),"")</f>
      </c>
    </row>
    <row r="661" spans="1:14" x14ac:dyDescent="0.25">
      <c r="A661">
        <f>IF($N661="","",INDEX(Staging!$A$2:$A$3001,$N661))</f>
      </c>
      <c r="B661">
        <f>IF($N661="","",INDEX(Staging!$B$2:$B$3001,$N661))</f>
      </c>
      <c r="C661">
        <f>IF($N661="","",INDEX(Staging!$C$2:$C$3001,$N661))</f>
      </c>
      <c r="D661">
        <f>IF($N661="","",INDEX(Staging!$D$2:$D$3001,$N661))</f>
      </c>
      <c r="E661">
        <f>IF($N661="","",INDEX(Staging!$F$2:$F$3001,$N661))</f>
      </c>
      <c r="F661">
        <f>IF($N661="","",INDEX(Staging!$G$2:$G$3001,$N661))</f>
      </c>
      <c r="G661">
        <f>IF($N661="","",INDEX(Staging!$H$2:$H$3001,$N661))</f>
      </c>
      <c r="H661">
        <f>IF($N661="","",INDEX(Staging!$I$2:$I$3001,$N661))</f>
      </c>
      <c r="I661">
        <f>IF($N661="","",INDEX(Staging!$J$2:$J$3001,$N661))</f>
      </c>
      <c r="J661">
        <f>IF($N661="","",INDEX(Staging!$K$2:$K$3001,$N661))</f>
      </c>
      <c r="K661">
        <f>IF($N661="","",INDEX(Staging!$M$2:$M$3001,$N661))</f>
      </c>
      <c r="L661">
        <f>IF($N661="","",INDEX(Staging!$O$2:$O$3001,$N661))</f>
      </c>
      <c r="M661">
        <f>IF($N661="","",INDEX(Staging!$P$2:$P$3001,$N661))</f>
      </c>
      <c r="N661">
        <f t="array" ref="N661">IFERROR(SMALL(IF(Staging!$E$2:$E$3001="MIPPL",ROW(Staging!$E$2:$E$3001)-ROW(Staging!$E$2)+1),660),"")</f>
      </c>
    </row>
    <row r="662" spans="1:14" x14ac:dyDescent="0.25">
      <c r="A662">
        <f>IF($N662="","",INDEX(Staging!$A$2:$A$3001,$N662))</f>
      </c>
      <c r="B662">
        <f>IF($N662="","",INDEX(Staging!$B$2:$B$3001,$N662))</f>
      </c>
      <c r="C662">
        <f>IF($N662="","",INDEX(Staging!$C$2:$C$3001,$N662))</f>
      </c>
      <c r="D662">
        <f>IF($N662="","",INDEX(Staging!$D$2:$D$3001,$N662))</f>
      </c>
      <c r="E662">
        <f>IF($N662="","",INDEX(Staging!$F$2:$F$3001,$N662))</f>
      </c>
      <c r="F662">
        <f>IF($N662="","",INDEX(Staging!$G$2:$G$3001,$N662))</f>
      </c>
      <c r="G662">
        <f>IF($N662="","",INDEX(Staging!$H$2:$H$3001,$N662))</f>
      </c>
      <c r="H662">
        <f>IF($N662="","",INDEX(Staging!$I$2:$I$3001,$N662))</f>
      </c>
      <c r="I662">
        <f>IF($N662="","",INDEX(Staging!$J$2:$J$3001,$N662))</f>
      </c>
      <c r="J662">
        <f>IF($N662="","",INDEX(Staging!$K$2:$K$3001,$N662))</f>
      </c>
      <c r="K662">
        <f>IF($N662="","",INDEX(Staging!$M$2:$M$3001,$N662))</f>
      </c>
      <c r="L662">
        <f>IF($N662="","",INDEX(Staging!$O$2:$O$3001,$N662))</f>
      </c>
      <c r="M662">
        <f>IF($N662="","",INDEX(Staging!$P$2:$P$3001,$N662))</f>
      </c>
      <c r="N662">
        <f t="array" ref="N662">IFERROR(SMALL(IF(Staging!$E$2:$E$3001="MIPPL",ROW(Staging!$E$2:$E$3001)-ROW(Staging!$E$2)+1),661),"")</f>
      </c>
    </row>
    <row r="663" spans="1:14" x14ac:dyDescent="0.25">
      <c r="A663">
        <f>IF($N663="","",INDEX(Staging!$A$2:$A$3001,$N663))</f>
      </c>
      <c r="B663">
        <f>IF($N663="","",INDEX(Staging!$B$2:$B$3001,$N663))</f>
      </c>
      <c r="C663">
        <f>IF($N663="","",INDEX(Staging!$C$2:$C$3001,$N663))</f>
      </c>
      <c r="D663">
        <f>IF($N663="","",INDEX(Staging!$D$2:$D$3001,$N663))</f>
      </c>
      <c r="E663">
        <f>IF($N663="","",INDEX(Staging!$F$2:$F$3001,$N663))</f>
      </c>
      <c r="F663">
        <f>IF($N663="","",INDEX(Staging!$G$2:$G$3001,$N663))</f>
      </c>
      <c r="G663">
        <f>IF($N663="","",INDEX(Staging!$H$2:$H$3001,$N663))</f>
      </c>
      <c r="H663">
        <f>IF($N663="","",INDEX(Staging!$I$2:$I$3001,$N663))</f>
      </c>
      <c r="I663">
        <f>IF($N663="","",INDEX(Staging!$J$2:$J$3001,$N663))</f>
      </c>
      <c r="J663">
        <f>IF($N663="","",INDEX(Staging!$K$2:$K$3001,$N663))</f>
      </c>
      <c r="K663">
        <f>IF($N663="","",INDEX(Staging!$M$2:$M$3001,$N663))</f>
      </c>
      <c r="L663">
        <f>IF($N663="","",INDEX(Staging!$O$2:$O$3001,$N663))</f>
      </c>
      <c r="M663">
        <f>IF($N663="","",INDEX(Staging!$P$2:$P$3001,$N663))</f>
      </c>
      <c r="N663">
        <f t="array" ref="N663">IFERROR(SMALL(IF(Staging!$E$2:$E$3001="MIPPL",ROW(Staging!$E$2:$E$3001)-ROW(Staging!$E$2)+1),662),"")</f>
      </c>
    </row>
    <row r="664" spans="1:14" x14ac:dyDescent="0.25">
      <c r="A664">
        <f>IF($N664="","",INDEX(Staging!$A$2:$A$3001,$N664))</f>
      </c>
      <c r="B664">
        <f>IF($N664="","",INDEX(Staging!$B$2:$B$3001,$N664))</f>
      </c>
      <c r="C664">
        <f>IF($N664="","",INDEX(Staging!$C$2:$C$3001,$N664))</f>
      </c>
      <c r="D664">
        <f>IF($N664="","",INDEX(Staging!$D$2:$D$3001,$N664))</f>
      </c>
      <c r="E664">
        <f>IF($N664="","",INDEX(Staging!$F$2:$F$3001,$N664))</f>
      </c>
      <c r="F664">
        <f>IF($N664="","",INDEX(Staging!$G$2:$G$3001,$N664))</f>
      </c>
      <c r="G664">
        <f>IF($N664="","",INDEX(Staging!$H$2:$H$3001,$N664))</f>
      </c>
      <c r="H664">
        <f>IF($N664="","",INDEX(Staging!$I$2:$I$3001,$N664))</f>
      </c>
      <c r="I664">
        <f>IF($N664="","",INDEX(Staging!$J$2:$J$3001,$N664))</f>
      </c>
      <c r="J664">
        <f>IF($N664="","",INDEX(Staging!$K$2:$K$3001,$N664))</f>
      </c>
      <c r="K664">
        <f>IF($N664="","",INDEX(Staging!$M$2:$M$3001,$N664))</f>
      </c>
      <c r="L664">
        <f>IF($N664="","",INDEX(Staging!$O$2:$O$3001,$N664))</f>
      </c>
      <c r="M664">
        <f>IF($N664="","",INDEX(Staging!$P$2:$P$3001,$N664))</f>
      </c>
      <c r="N664">
        <f t="array" ref="N664">IFERROR(SMALL(IF(Staging!$E$2:$E$3001="MIPPL",ROW(Staging!$E$2:$E$3001)-ROW(Staging!$E$2)+1),663),"")</f>
      </c>
    </row>
    <row r="665" spans="1:14" x14ac:dyDescent="0.25">
      <c r="A665">
        <f>IF($N665="","",INDEX(Staging!$A$2:$A$3001,$N665))</f>
      </c>
      <c r="B665">
        <f>IF($N665="","",INDEX(Staging!$B$2:$B$3001,$N665))</f>
      </c>
      <c r="C665">
        <f>IF($N665="","",INDEX(Staging!$C$2:$C$3001,$N665))</f>
      </c>
      <c r="D665">
        <f>IF($N665="","",INDEX(Staging!$D$2:$D$3001,$N665))</f>
      </c>
      <c r="E665">
        <f>IF($N665="","",INDEX(Staging!$F$2:$F$3001,$N665))</f>
      </c>
      <c r="F665">
        <f>IF($N665="","",INDEX(Staging!$G$2:$G$3001,$N665))</f>
      </c>
      <c r="G665">
        <f>IF($N665="","",INDEX(Staging!$H$2:$H$3001,$N665))</f>
      </c>
      <c r="H665">
        <f>IF($N665="","",INDEX(Staging!$I$2:$I$3001,$N665))</f>
      </c>
      <c r="I665">
        <f>IF($N665="","",INDEX(Staging!$J$2:$J$3001,$N665))</f>
      </c>
      <c r="J665">
        <f>IF($N665="","",INDEX(Staging!$K$2:$K$3001,$N665))</f>
      </c>
      <c r="K665">
        <f>IF($N665="","",INDEX(Staging!$M$2:$M$3001,$N665))</f>
      </c>
      <c r="L665">
        <f>IF($N665="","",INDEX(Staging!$O$2:$O$3001,$N665))</f>
      </c>
      <c r="M665">
        <f>IF($N665="","",INDEX(Staging!$P$2:$P$3001,$N665))</f>
      </c>
      <c r="N665">
        <f t="array" ref="N665">IFERROR(SMALL(IF(Staging!$E$2:$E$3001="MIPPL",ROW(Staging!$E$2:$E$3001)-ROW(Staging!$E$2)+1),664),"")</f>
      </c>
    </row>
    <row r="666" spans="1:14" x14ac:dyDescent="0.25">
      <c r="A666">
        <f>IF($N666="","",INDEX(Staging!$A$2:$A$3001,$N666))</f>
      </c>
      <c r="B666">
        <f>IF($N666="","",INDEX(Staging!$B$2:$B$3001,$N666))</f>
      </c>
      <c r="C666">
        <f>IF($N666="","",INDEX(Staging!$C$2:$C$3001,$N666))</f>
      </c>
      <c r="D666">
        <f>IF($N666="","",INDEX(Staging!$D$2:$D$3001,$N666))</f>
      </c>
      <c r="E666">
        <f>IF($N666="","",INDEX(Staging!$F$2:$F$3001,$N666))</f>
      </c>
      <c r="F666">
        <f>IF($N666="","",INDEX(Staging!$G$2:$G$3001,$N666))</f>
      </c>
      <c r="G666">
        <f>IF($N666="","",INDEX(Staging!$H$2:$H$3001,$N666))</f>
      </c>
      <c r="H666">
        <f>IF($N666="","",INDEX(Staging!$I$2:$I$3001,$N666))</f>
      </c>
      <c r="I666">
        <f>IF($N666="","",INDEX(Staging!$J$2:$J$3001,$N666))</f>
      </c>
      <c r="J666">
        <f>IF($N666="","",INDEX(Staging!$K$2:$K$3001,$N666))</f>
      </c>
      <c r="K666">
        <f>IF($N666="","",INDEX(Staging!$M$2:$M$3001,$N666))</f>
      </c>
      <c r="L666">
        <f>IF($N666="","",INDEX(Staging!$O$2:$O$3001,$N666))</f>
      </c>
      <c r="M666">
        <f>IF($N666="","",INDEX(Staging!$P$2:$P$3001,$N666))</f>
      </c>
      <c r="N666">
        <f t="array" ref="N666">IFERROR(SMALL(IF(Staging!$E$2:$E$3001="MIPPL",ROW(Staging!$E$2:$E$3001)-ROW(Staging!$E$2)+1),665),"")</f>
      </c>
    </row>
    <row r="667" spans="1:14" x14ac:dyDescent="0.25">
      <c r="A667">
        <f>IF($N667="","",INDEX(Staging!$A$2:$A$3001,$N667))</f>
      </c>
      <c r="B667">
        <f>IF($N667="","",INDEX(Staging!$B$2:$B$3001,$N667))</f>
      </c>
      <c r="C667">
        <f>IF($N667="","",INDEX(Staging!$C$2:$C$3001,$N667))</f>
      </c>
      <c r="D667">
        <f>IF($N667="","",INDEX(Staging!$D$2:$D$3001,$N667))</f>
      </c>
      <c r="E667">
        <f>IF($N667="","",INDEX(Staging!$F$2:$F$3001,$N667))</f>
      </c>
      <c r="F667">
        <f>IF($N667="","",INDEX(Staging!$G$2:$G$3001,$N667))</f>
      </c>
      <c r="G667">
        <f>IF($N667="","",INDEX(Staging!$H$2:$H$3001,$N667))</f>
      </c>
      <c r="H667">
        <f>IF($N667="","",INDEX(Staging!$I$2:$I$3001,$N667))</f>
      </c>
      <c r="I667">
        <f>IF($N667="","",INDEX(Staging!$J$2:$J$3001,$N667))</f>
      </c>
      <c r="J667">
        <f>IF($N667="","",INDEX(Staging!$K$2:$K$3001,$N667))</f>
      </c>
      <c r="K667">
        <f>IF($N667="","",INDEX(Staging!$M$2:$M$3001,$N667))</f>
      </c>
      <c r="L667">
        <f>IF($N667="","",INDEX(Staging!$O$2:$O$3001,$N667))</f>
      </c>
      <c r="M667">
        <f>IF($N667="","",INDEX(Staging!$P$2:$P$3001,$N667))</f>
      </c>
      <c r="N667">
        <f t="array" ref="N667">IFERROR(SMALL(IF(Staging!$E$2:$E$3001="MIPPL",ROW(Staging!$E$2:$E$3001)-ROW(Staging!$E$2)+1),666),"")</f>
      </c>
    </row>
    <row r="668" spans="1:14" x14ac:dyDescent="0.25">
      <c r="A668">
        <f>IF($N668="","",INDEX(Staging!$A$2:$A$3001,$N668))</f>
      </c>
      <c r="B668">
        <f>IF($N668="","",INDEX(Staging!$B$2:$B$3001,$N668))</f>
      </c>
      <c r="C668">
        <f>IF($N668="","",INDEX(Staging!$C$2:$C$3001,$N668))</f>
      </c>
      <c r="D668">
        <f>IF($N668="","",INDEX(Staging!$D$2:$D$3001,$N668))</f>
      </c>
      <c r="E668">
        <f>IF($N668="","",INDEX(Staging!$F$2:$F$3001,$N668))</f>
      </c>
      <c r="F668">
        <f>IF($N668="","",INDEX(Staging!$G$2:$G$3001,$N668))</f>
      </c>
      <c r="G668">
        <f>IF($N668="","",INDEX(Staging!$H$2:$H$3001,$N668))</f>
      </c>
      <c r="H668">
        <f>IF($N668="","",INDEX(Staging!$I$2:$I$3001,$N668))</f>
      </c>
      <c r="I668">
        <f>IF($N668="","",INDEX(Staging!$J$2:$J$3001,$N668))</f>
      </c>
      <c r="J668">
        <f>IF($N668="","",INDEX(Staging!$K$2:$K$3001,$N668))</f>
      </c>
      <c r="K668">
        <f>IF($N668="","",INDEX(Staging!$M$2:$M$3001,$N668))</f>
      </c>
      <c r="L668">
        <f>IF($N668="","",INDEX(Staging!$O$2:$O$3001,$N668))</f>
      </c>
      <c r="M668">
        <f>IF($N668="","",INDEX(Staging!$P$2:$P$3001,$N668))</f>
      </c>
      <c r="N668">
        <f t="array" ref="N668">IFERROR(SMALL(IF(Staging!$E$2:$E$3001="MIPPL",ROW(Staging!$E$2:$E$3001)-ROW(Staging!$E$2)+1),667),"")</f>
      </c>
    </row>
    <row r="669" spans="1:14" x14ac:dyDescent="0.25">
      <c r="A669">
        <f>IF($N669="","",INDEX(Staging!$A$2:$A$3001,$N669))</f>
      </c>
      <c r="B669">
        <f>IF($N669="","",INDEX(Staging!$B$2:$B$3001,$N669))</f>
      </c>
      <c r="C669">
        <f>IF($N669="","",INDEX(Staging!$C$2:$C$3001,$N669))</f>
      </c>
      <c r="D669">
        <f>IF($N669="","",INDEX(Staging!$D$2:$D$3001,$N669))</f>
      </c>
      <c r="E669">
        <f>IF($N669="","",INDEX(Staging!$F$2:$F$3001,$N669))</f>
      </c>
      <c r="F669">
        <f>IF($N669="","",INDEX(Staging!$G$2:$G$3001,$N669))</f>
      </c>
      <c r="G669">
        <f>IF($N669="","",INDEX(Staging!$H$2:$H$3001,$N669))</f>
      </c>
      <c r="H669">
        <f>IF($N669="","",INDEX(Staging!$I$2:$I$3001,$N669))</f>
      </c>
      <c r="I669">
        <f>IF($N669="","",INDEX(Staging!$J$2:$J$3001,$N669))</f>
      </c>
      <c r="J669">
        <f>IF($N669="","",INDEX(Staging!$K$2:$K$3001,$N669))</f>
      </c>
      <c r="K669">
        <f>IF($N669="","",INDEX(Staging!$M$2:$M$3001,$N669))</f>
      </c>
      <c r="L669">
        <f>IF($N669="","",INDEX(Staging!$O$2:$O$3001,$N669))</f>
      </c>
      <c r="M669">
        <f>IF($N669="","",INDEX(Staging!$P$2:$P$3001,$N669))</f>
      </c>
      <c r="N669">
        <f t="array" ref="N669">IFERROR(SMALL(IF(Staging!$E$2:$E$3001="MIPPL",ROW(Staging!$E$2:$E$3001)-ROW(Staging!$E$2)+1),668),"")</f>
      </c>
    </row>
    <row r="670" spans="1:14" x14ac:dyDescent="0.25">
      <c r="A670">
        <f>IF($N670="","",INDEX(Staging!$A$2:$A$3001,$N670))</f>
      </c>
      <c r="B670">
        <f>IF($N670="","",INDEX(Staging!$B$2:$B$3001,$N670))</f>
      </c>
      <c r="C670">
        <f>IF($N670="","",INDEX(Staging!$C$2:$C$3001,$N670))</f>
      </c>
      <c r="D670">
        <f>IF($N670="","",INDEX(Staging!$D$2:$D$3001,$N670))</f>
      </c>
      <c r="E670">
        <f>IF($N670="","",INDEX(Staging!$F$2:$F$3001,$N670))</f>
      </c>
      <c r="F670">
        <f>IF($N670="","",INDEX(Staging!$G$2:$G$3001,$N670))</f>
      </c>
      <c r="G670">
        <f>IF($N670="","",INDEX(Staging!$H$2:$H$3001,$N670))</f>
      </c>
      <c r="H670">
        <f>IF($N670="","",INDEX(Staging!$I$2:$I$3001,$N670))</f>
      </c>
      <c r="I670">
        <f>IF($N670="","",INDEX(Staging!$J$2:$J$3001,$N670))</f>
      </c>
      <c r="J670">
        <f>IF($N670="","",INDEX(Staging!$K$2:$K$3001,$N670))</f>
      </c>
      <c r="K670">
        <f>IF($N670="","",INDEX(Staging!$M$2:$M$3001,$N670))</f>
      </c>
      <c r="L670">
        <f>IF($N670="","",INDEX(Staging!$O$2:$O$3001,$N670))</f>
      </c>
      <c r="M670">
        <f>IF($N670="","",INDEX(Staging!$P$2:$P$3001,$N670))</f>
      </c>
      <c r="N670">
        <f t="array" ref="N670">IFERROR(SMALL(IF(Staging!$E$2:$E$3001="MIPPL",ROW(Staging!$E$2:$E$3001)-ROW(Staging!$E$2)+1),669),"")</f>
      </c>
    </row>
    <row r="671" spans="1:14" x14ac:dyDescent="0.25">
      <c r="A671">
        <f>IF($N671="","",INDEX(Staging!$A$2:$A$3001,$N671))</f>
      </c>
      <c r="B671">
        <f>IF($N671="","",INDEX(Staging!$B$2:$B$3001,$N671))</f>
      </c>
      <c r="C671">
        <f>IF($N671="","",INDEX(Staging!$C$2:$C$3001,$N671))</f>
      </c>
      <c r="D671">
        <f>IF($N671="","",INDEX(Staging!$D$2:$D$3001,$N671))</f>
      </c>
      <c r="E671">
        <f>IF($N671="","",INDEX(Staging!$F$2:$F$3001,$N671))</f>
      </c>
      <c r="F671">
        <f>IF($N671="","",INDEX(Staging!$G$2:$G$3001,$N671))</f>
      </c>
      <c r="G671">
        <f>IF($N671="","",INDEX(Staging!$H$2:$H$3001,$N671))</f>
      </c>
      <c r="H671">
        <f>IF($N671="","",INDEX(Staging!$I$2:$I$3001,$N671))</f>
      </c>
      <c r="I671">
        <f>IF($N671="","",INDEX(Staging!$J$2:$J$3001,$N671))</f>
      </c>
      <c r="J671">
        <f>IF($N671="","",INDEX(Staging!$K$2:$K$3001,$N671))</f>
      </c>
      <c r="K671">
        <f>IF($N671="","",INDEX(Staging!$M$2:$M$3001,$N671))</f>
      </c>
      <c r="L671">
        <f>IF($N671="","",INDEX(Staging!$O$2:$O$3001,$N671))</f>
      </c>
      <c r="M671">
        <f>IF($N671="","",INDEX(Staging!$P$2:$P$3001,$N671))</f>
      </c>
      <c r="N671">
        <f t="array" ref="N671">IFERROR(SMALL(IF(Staging!$E$2:$E$3001="MIPPL",ROW(Staging!$E$2:$E$3001)-ROW(Staging!$E$2)+1),670),"")</f>
      </c>
    </row>
    <row r="672" spans="1:14" x14ac:dyDescent="0.25">
      <c r="A672">
        <f>IF($N672="","",INDEX(Staging!$A$2:$A$3001,$N672))</f>
      </c>
      <c r="B672">
        <f>IF($N672="","",INDEX(Staging!$B$2:$B$3001,$N672))</f>
      </c>
      <c r="C672">
        <f>IF($N672="","",INDEX(Staging!$C$2:$C$3001,$N672))</f>
      </c>
      <c r="D672">
        <f>IF($N672="","",INDEX(Staging!$D$2:$D$3001,$N672))</f>
      </c>
      <c r="E672">
        <f>IF($N672="","",INDEX(Staging!$F$2:$F$3001,$N672))</f>
      </c>
      <c r="F672">
        <f>IF($N672="","",INDEX(Staging!$G$2:$G$3001,$N672))</f>
      </c>
      <c r="G672">
        <f>IF($N672="","",INDEX(Staging!$H$2:$H$3001,$N672))</f>
      </c>
      <c r="H672">
        <f>IF($N672="","",INDEX(Staging!$I$2:$I$3001,$N672))</f>
      </c>
      <c r="I672">
        <f>IF($N672="","",INDEX(Staging!$J$2:$J$3001,$N672))</f>
      </c>
      <c r="J672">
        <f>IF($N672="","",INDEX(Staging!$K$2:$K$3001,$N672))</f>
      </c>
      <c r="K672">
        <f>IF($N672="","",INDEX(Staging!$M$2:$M$3001,$N672))</f>
      </c>
      <c r="L672">
        <f>IF($N672="","",INDEX(Staging!$O$2:$O$3001,$N672))</f>
      </c>
      <c r="M672">
        <f>IF($N672="","",INDEX(Staging!$P$2:$P$3001,$N672))</f>
      </c>
      <c r="N672">
        <f t="array" ref="N672">IFERROR(SMALL(IF(Staging!$E$2:$E$3001="MIPPL",ROW(Staging!$E$2:$E$3001)-ROW(Staging!$E$2)+1),671),"")</f>
      </c>
    </row>
    <row r="673" spans="1:14" x14ac:dyDescent="0.25">
      <c r="A673">
        <f>IF($N673="","",INDEX(Staging!$A$2:$A$3001,$N673))</f>
      </c>
      <c r="B673">
        <f>IF($N673="","",INDEX(Staging!$B$2:$B$3001,$N673))</f>
      </c>
      <c r="C673">
        <f>IF($N673="","",INDEX(Staging!$C$2:$C$3001,$N673))</f>
      </c>
      <c r="D673">
        <f>IF($N673="","",INDEX(Staging!$D$2:$D$3001,$N673))</f>
      </c>
      <c r="E673">
        <f>IF($N673="","",INDEX(Staging!$F$2:$F$3001,$N673))</f>
      </c>
      <c r="F673">
        <f>IF($N673="","",INDEX(Staging!$G$2:$G$3001,$N673))</f>
      </c>
      <c r="G673">
        <f>IF($N673="","",INDEX(Staging!$H$2:$H$3001,$N673))</f>
      </c>
      <c r="H673">
        <f>IF($N673="","",INDEX(Staging!$I$2:$I$3001,$N673))</f>
      </c>
      <c r="I673">
        <f>IF($N673="","",INDEX(Staging!$J$2:$J$3001,$N673))</f>
      </c>
      <c r="J673">
        <f>IF($N673="","",INDEX(Staging!$K$2:$K$3001,$N673))</f>
      </c>
      <c r="K673">
        <f>IF($N673="","",INDEX(Staging!$M$2:$M$3001,$N673))</f>
      </c>
      <c r="L673">
        <f>IF($N673="","",INDEX(Staging!$O$2:$O$3001,$N673))</f>
      </c>
      <c r="M673">
        <f>IF($N673="","",INDEX(Staging!$P$2:$P$3001,$N673))</f>
      </c>
      <c r="N673">
        <f t="array" ref="N673">IFERROR(SMALL(IF(Staging!$E$2:$E$3001="MIPPL",ROW(Staging!$E$2:$E$3001)-ROW(Staging!$E$2)+1),672),"")</f>
      </c>
    </row>
    <row r="674" spans="1:14" x14ac:dyDescent="0.25">
      <c r="A674">
        <f>IF($N674="","",INDEX(Staging!$A$2:$A$3001,$N674))</f>
      </c>
      <c r="B674">
        <f>IF($N674="","",INDEX(Staging!$B$2:$B$3001,$N674))</f>
      </c>
      <c r="C674">
        <f>IF($N674="","",INDEX(Staging!$C$2:$C$3001,$N674))</f>
      </c>
      <c r="D674">
        <f>IF($N674="","",INDEX(Staging!$D$2:$D$3001,$N674))</f>
      </c>
      <c r="E674">
        <f>IF($N674="","",INDEX(Staging!$F$2:$F$3001,$N674))</f>
      </c>
      <c r="F674">
        <f>IF($N674="","",INDEX(Staging!$G$2:$G$3001,$N674))</f>
      </c>
      <c r="G674">
        <f>IF($N674="","",INDEX(Staging!$H$2:$H$3001,$N674))</f>
      </c>
      <c r="H674">
        <f>IF($N674="","",INDEX(Staging!$I$2:$I$3001,$N674))</f>
      </c>
      <c r="I674">
        <f>IF($N674="","",INDEX(Staging!$J$2:$J$3001,$N674))</f>
      </c>
      <c r="J674">
        <f>IF($N674="","",INDEX(Staging!$K$2:$K$3001,$N674))</f>
      </c>
      <c r="K674">
        <f>IF($N674="","",INDEX(Staging!$M$2:$M$3001,$N674))</f>
      </c>
      <c r="L674">
        <f>IF($N674="","",INDEX(Staging!$O$2:$O$3001,$N674))</f>
      </c>
      <c r="M674">
        <f>IF($N674="","",INDEX(Staging!$P$2:$P$3001,$N674))</f>
      </c>
      <c r="N674">
        <f t="array" ref="N674">IFERROR(SMALL(IF(Staging!$E$2:$E$3001="MIPPL",ROW(Staging!$E$2:$E$3001)-ROW(Staging!$E$2)+1),673),"")</f>
      </c>
    </row>
    <row r="675" spans="1:14" x14ac:dyDescent="0.25">
      <c r="A675">
        <f>IF($N675="","",INDEX(Staging!$A$2:$A$3001,$N675))</f>
      </c>
      <c r="B675">
        <f>IF($N675="","",INDEX(Staging!$B$2:$B$3001,$N675))</f>
      </c>
      <c r="C675">
        <f>IF($N675="","",INDEX(Staging!$C$2:$C$3001,$N675))</f>
      </c>
      <c r="D675">
        <f>IF($N675="","",INDEX(Staging!$D$2:$D$3001,$N675))</f>
      </c>
      <c r="E675">
        <f>IF($N675="","",INDEX(Staging!$F$2:$F$3001,$N675))</f>
      </c>
      <c r="F675">
        <f>IF($N675="","",INDEX(Staging!$G$2:$G$3001,$N675))</f>
      </c>
      <c r="G675">
        <f>IF($N675="","",INDEX(Staging!$H$2:$H$3001,$N675))</f>
      </c>
      <c r="H675">
        <f>IF($N675="","",INDEX(Staging!$I$2:$I$3001,$N675))</f>
      </c>
      <c r="I675">
        <f>IF($N675="","",INDEX(Staging!$J$2:$J$3001,$N675))</f>
      </c>
      <c r="J675">
        <f>IF($N675="","",INDEX(Staging!$K$2:$K$3001,$N675))</f>
      </c>
      <c r="K675">
        <f>IF($N675="","",INDEX(Staging!$M$2:$M$3001,$N675))</f>
      </c>
      <c r="L675">
        <f>IF($N675="","",INDEX(Staging!$O$2:$O$3001,$N675))</f>
      </c>
      <c r="M675">
        <f>IF($N675="","",INDEX(Staging!$P$2:$P$3001,$N675))</f>
      </c>
      <c r="N675">
        <f t="array" ref="N675">IFERROR(SMALL(IF(Staging!$E$2:$E$3001="MIPPL",ROW(Staging!$E$2:$E$3001)-ROW(Staging!$E$2)+1),674),"")</f>
      </c>
    </row>
    <row r="676" spans="1:14" x14ac:dyDescent="0.25">
      <c r="A676">
        <f>IF($N676="","",INDEX(Staging!$A$2:$A$3001,$N676))</f>
      </c>
      <c r="B676">
        <f>IF($N676="","",INDEX(Staging!$B$2:$B$3001,$N676))</f>
      </c>
      <c r="C676">
        <f>IF($N676="","",INDEX(Staging!$C$2:$C$3001,$N676))</f>
      </c>
      <c r="D676">
        <f>IF($N676="","",INDEX(Staging!$D$2:$D$3001,$N676))</f>
      </c>
      <c r="E676">
        <f>IF($N676="","",INDEX(Staging!$F$2:$F$3001,$N676))</f>
      </c>
      <c r="F676">
        <f>IF($N676="","",INDEX(Staging!$G$2:$G$3001,$N676))</f>
      </c>
      <c r="G676">
        <f>IF($N676="","",INDEX(Staging!$H$2:$H$3001,$N676))</f>
      </c>
      <c r="H676">
        <f>IF($N676="","",INDEX(Staging!$I$2:$I$3001,$N676))</f>
      </c>
      <c r="I676">
        <f>IF($N676="","",INDEX(Staging!$J$2:$J$3001,$N676))</f>
      </c>
      <c r="J676">
        <f>IF($N676="","",INDEX(Staging!$K$2:$K$3001,$N676))</f>
      </c>
      <c r="K676">
        <f>IF($N676="","",INDEX(Staging!$M$2:$M$3001,$N676))</f>
      </c>
      <c r="L676">
        <f>IF($N676="","",INDEX(Staging!$O$2:$O$3001,$N676))</f>
      </c>
      <c r="M676">
        <f>IF($N676="","",INDEX(Staging!$P$2:$P$3001,$N676))</f>
      </c>
      <c r="N676">
        <f t="array" ref="N676">IFERROR(SMALL(IF(Staging!$E$2:$E$3001="MIPPL",ROW(Staging!$E$2:$E$3001)-ROW(Staging!$E$2)+1),675),"")</f>
      </c>
    </row>
    <row r="677" spans="1:14" x14ac:dyDescent="0.25">
      <c r="A677">
        <f>IF($N677="","",INDEX(Staging!$A$2:$A$3001,$N677))</f>
      </c>
      <c r="B677">
        <f>IF($N677="","",INDEX(Staging!$B$2:$B$3001,$N677))</f>
      </c>
      <c r="C677">
        <f>IF($N677="","",INDEX(Staging!$C$2:$C$3001,$N677))</f>
      </c>
      <c r="D677">
        <f>IF($N677="","",INDEX(Staging!$D$2:$D$3001,$N677))</f>
      </c>
      <c r="E677">
        <f>IF($N677="","",INDEX(Staging!$F$2:$F$3001,$N677))</f>
      </c>
      <c r="F677">
        <f>IF($N677="","",INDEX(Staging!$G$2:$G$3001,$N677))</f>
      </c>
      <c r="G677">
        <f>IF($N677="","",INDEX(Staging!$H$2:$H$3001,$N677))</f>
      </c>
      <c r="H677">
        <f>IF($N677="","",INDEX(Staging!$I$2:$I$3001,$N677))</f>
      </c>
      <c r="I677">
        <f>IF($N677="","",INDEX(Staging!$J$2:$J$3001,$N677))</f>
      </c>
      <c r="J677">
        <f>IF($N677="","",INDEX(Staging!$K$2:$K$3001,$N677))</f>
      </c>
      <c r="K677">
        <f>IF($N677="","",INDEX(Staging!$M$2:$M$3001,$N677))</f>
      </c>
      <c r="L677">
        <f>IF($N677="","",INDEX(Staging!$O$2:$O$3001,$N677))</f>
      </c>
      <c r="M677">
        <f>IF($N677="","",INDEX(Staging!$P$2:$P$3001,$N677))</f>
      </c>
      <c r="N677">
        <f t="array" ref="N677">IFERROR(SMALL(IF(Staging!$E$2:$E$3001="MIPPL",ROW(Staging!$E$2:$E$3001)-ROW(Staging!$E$2)+1),676),"")</f>
      </c>
    </row>
    <row r="678" spans="1:14" x14ac:dyDescent="0.25">
      <c r="A678">
        <f>IF($N678="","",INDEX(Staging!$A$2:$A$3001,$N678))</f>
      </c>
      <c r="B678">
        <f>IF($N678="","",INDEX(Staging!$B$2:$B$3001,$N678))</f>
      </c>
      <c r="C678">
        <f>IF($N678="","",INDEX(Staging!$C$2:$C$3001,$N678))</f>
      </c>
      <c r="D678">
        <f>IF($N678="","",INDEX(Staging!$D$2:$D$3001,$N678))</f>
      </c>
      <c r="E678">
        <f>IF($N678="","",INDEX(Staging!$F$2:$F$3001,$N678))</f>
      </c>
      <c r="F678">
        <f>IF($N678="","",INDEX(Staging!$G$2:$G$3001,$N678))</f>
      </c>
      <c r="G678">
        <f>IF($N678="","",INDEX(Staging!$H$2:$H$3001,$N678))</f>
      </c>
      <c r="H678">
        <f>IF($N678="","",INDEX(Staging!$I$2:$I$3001,$N678))</f>
      </c>
      <c r="I678">
        <f>IF($N678="","",INDEX(Staging!$J$2:$J$3001,$N678))</f>
      </c>
      <c r="J678">
        <f>IF($N678="","",INDEX(Staging!$K$2:$K$3001,$N678))</f>
      </c>
      <c r="K678">
        <f>IF($N678="","",INDEX(Staging!$M$2:$M$3001,$N678))</f>
      </c>
      <c r="L678">
        <f>IF($N678="","",INDEX(Staging!$O$2:$O$3001,$N678))</f>
      </c>
      <c r="M678">
        <f>IF($N678="","",INDEX(Staging!$P$2:$P$3001,$N678))</f>
      </c>
      <c r="N678">
        <f t="array" ref="N678">IFERROR(SMALL(IF(Staging!$E$2:$E$3001="MIPPL",ROW(Staging!$E$2:$E$3001)-ROW(Staging!$E$2)+1),677),"")</f>
      </c>
    </row>
    <row r="679" spans="1:14" x14ac:dyDescent="0.25">
      <c r="A679">
        <f>IF($N679="","",INDEX(Staging!$A$2:$A$3001,$N679))</f>
      </c>
      <c r="B679">
        <f>IF($N679="","",INDEX(Staging!$B$2:$B$3001,$N679))</f>
      </c>
      <c r="C679">
        <f>IF($N679="","",INDEX(Staging!$C$2:$C$3001,$N679))</f>
      </c>
      <c r="D679">
        <f>IF($N679="","",INDEX(Staging!$D$2:$D$3001,$N679))</f>
      </c>
      <c r="E679">
        <f>IF($N679="","",INDEX(Staging!$F$2:$F$3001,$N679))</f>
      </c>
      <c r="F679">
        <f>IF($N679="","",INDEX(Staging!$G$2:$G$3001,$N679))</f>
      </c>
      <c r="G679">
        <f>IF($N679="","",INDEX(Staging!$H$2:$H$3001,$N679))</f>
      </c>
      <c r="H679">
        <f>IF($N679="","",INDEX(Staging!$I$2:$I$3001,$N679))</f>
      </c>
      <c r="I679">
        <f>IF($N679="","",INDEX(Staging!$J$2:$J$3001,$N679))</f>
      </c>
      <c r="J679">
        <f>IF($N679="","",INDEX(Staging!$K$2:$K$3001,$N679))</f>
      </c>
      <c r="K679">
        <f>IF($N679="","",INDEX(Staging!$M$2:$M$3001,$N679))</f>
      </c>
      <c r="L679">
        <f>IF($N679="","",INDEX(Staging!$O$2:$O$3001,$N679))</f>
      </c>
      <c r="M679">
        <f>IF($N679="","",INDEX(Staging!$P$2:$P$3001,$N679))</f>
      </c>
      <c r="N679">
        <f t="array" ref="N679">IFERROR(SMALL(IF(Staging!$E$2:$E$3001="MIPPL",ROW(Staging!$E$2:$E$3001)-ROW(Staging!$E$2)+1),678),"")</f>
      </c>
    </row>
    <row r="680" spans="1:14" x14ac:dyDescent="0.25">
      <c r="A680">
        <f>IF($N680="","",INDEX(Staging!$A$2:$A$3001,$N680))</f>
      </c>
      <c r="B680">
        <f>IF($N680="","",INDEX(Staging!$B$2:$B$3001,$N680))</f>
      </c>
      <c r="C680">
        <f>IF($N680="","",INDEX(Staging!$C$2:$C$3001,$N680))</f>
      </c>
      <c r="D680">
        <f>IF($N680="","",INDEX(Staging!$D$2:$D$3001,$N680))</f>
      </c>
      <c r="E680">
        <f>IF($N680="","",INDEX(Staging!$F$2:$F$3001,$N680))</f>
      </c>
      <c r="F680">
        <f>IF($N680="","",INDEX(Staging!$G$2:$G$3001,$N680))</f>
      </c>
      <c r="G680">
        <f>IF($N680="","",INDEX(Staging!$H$2:$H$3001,$N680))</f>
      </c>
      <c r="H680">
        <f>IF($N680="","",INDEX(Staging!$I$2:$I$3001,$N680))</f>
      </c>
      <c r="I680">
        <f>IF($N680="","",INDEX(Staging!$J$2:$J$3001,$N680))</f>
      </c>
      <c r="J680">
        <f>IF($N680="","",INDEX(Staging!$K$2:$K$3001,$N680))</f>
      </c>
      <c r="K680">
        <f>IF($N680="","",INDEX(Staging!$M$2:$M$3001,$N680))</f>
      </c>
      <c r="L680">
        <f>IF($N680="","",INDEX(Staging!$O$2:$O$3001,$N680))</f>
      </c>
      <c r="M680">
        <f>IF($N680="","",INDEX(Staging!$P$2:$P$3001,$N680))</f>
      </c>
      <c r="N680">
        <f t="array" ref="N680">IFERROR(SMALL(IF(Staging!$E$2:$E$3001="MIPPL",ROW(Staging!$E$2:$E$3001)-ROW(Staging!$E$2)+1),679),"")</f>
      </c>
    </row>
    <row r="681" spans="1:14" x14ac:dyDescent="0.25">
      <c r="A681">
        <f>IF($N681="","",INDEX(Staging!$A$2:$A$3001,$N681))</f>
      </c>
      <c r="B681">
        <f>IF($N681="","",INDEX(Staging!$B$2:$B$3001,$N681))</f>
      </c>
      <c r="C681">
        <f>IF($N681="","",INDEX(Staging!$C$2:$C$3001,$N681))</f>
      </c>
      <c r="D681">
        <f>IF($N681="","",INDEX(Staging!$D$2:$D$3001,$N681))</f>
      </c>
      <c r="E681">
        <f>IF($N681="","",INDEX(Staging!$F$2:$F$3001,$N681))</f>
      </c>
      <c r="F681">
        <f>IF($N681="","",INDEX(Staging!$G$2:$G$3001,$N681))</f>
      </c>
      <c r="G681">
        <f>IF($N681="","",INDEX(Staging!$H$2:$H$3001,$N681))</f>
      </c>
      <c r="H681">
        <f>IF($N681="","",INDEX(Staging!$I$2:$I$3001,$N681))</f>
      </c>
      <c r="I681">
        <f>IF($N681="","",INDEX(Staging!$J$2:$J$3001,$N681))</f>
      </c>
      <c r="J681">
        <f>IF($N681="","",INDEX(Staging!$K$2:$K$3001,$N681))</f>
      </c>
      <c r="K681">
        <f>IF($N681="","",INDEX(Staging!$M$2:$M$3001,$N681))</f>
      </c>
      <c r="L681">
        <f>IF($N681="","",INDEX(Staging!$O$2:$O$3001,$N681))</f>
      </c>
      <c r="M681">
        <f>IF($N681="","",INDEX(Staging!$P$2:$P$3001,$N681))</f>
      </c>
      <c r="N681">
        <f t="array" ref="N681">IFERROR(SMALL(IF(Staging!$E$2:$E$3001="MIPPL",ROW(Staging!$E$2:$E$3001)-ROW(Staging!$E$2)+1),680),"")</f>
      </c>
    </row>
    <row r="682" spans="1:14" x14ac:dyDescent="0.25">
      <c r="A682">
        <f>IF($N682="","",INDEX(Staging!$A$2:$A$3001,$N682))</f>
      </c>
      <c r="B682">
        <f>IF($N682="","",INDEX(Staging!$B$2:$B$3001,$N682))</f>
      </c>
      <c r="C682">
        <f>IF($N682="","",INDEX(Staging!$C$2:$C$3001,$N682))</f>
      </c>
      <c r="D682">
        <f>IF($N682="","",INDEX(Staging!$D$2:$D$3001,$N682))</f>
      </c>
      <c r="E682">
        <f>IF($N682="","",INDEX(Staging!$F$2:$F$3001,$N682))</f>
      </c>
      <c r="F682">
        <f>IF($N682="","",INDEX(Staging!$G$2:$G$3001,$N682))</f>
      </c>
      <c r="G682">
        <f>IF($N682="","",INDEX(Staging!$H$2:$H$3001,$N682))</f>
      </c>
      <c r="H682">
        <f>IF($N682="","",INDEX(Staging!$I$2:$I$3001,$N682))</f>
      </c>
      <c r="I682">
        <f>IF($N682="","",INDEX(Staging!$J$2:$J$3001,$N682))</f>
      </c>
      <c r="J682">
        <f>IF($N682="","",INDEX(Staging!$K$2:$K$3001,$N682))</f>
      </c>
      <c r="K682">
        <f>IF($N682="","",INDEX(Staging!$M$2:$M$3001,$N682))</f>
      </c>
      <c r="L682">
        <f>IF($N682="","",INDEX(Staging!$O$2:$O$3001,$N682))</f>
      </c>
      <c r="M682">
        <f>IF($N682="","",INDEX(Staging!$P$2:$P$3001,$N682))</f>
      </c>
      <c r="N682">
        <f t="array" ref="N682">IFERROR(SMALL(IF(Staging!$E$2:$E$3001="MIPPL",ROW(Staging!$E$2:$E$3001)-ROW(Staging!$E$2)+1),681),"")</f>
      </c>
    </row>
    <row r="683" spans="1:14" x14ac:dyDescent="0.25">
      <c r="A683">
        <f>IF($N683="","",INDEX(Staging!$A$2:$A$3001,$N683))</f>
      </c>
      <c r="B683">
        <f>IF($N683="","",INDEX(Staging!$B$2:$B$3001,$N683))</f>
      </c>
      <c r="C683">
        <f>IF($N683="","",INDEX(Staging!$C$2:$C$3001,$N683))</f>
      </c>
      <c r="D683">
        <f>IF($N683="","",INDEX(Staging!$D$2:$D$3001,$N683))</f>
      </c>
      <c r="E683">
        <f>IF($N683="","",INDEX(Staging!$F$2:$F$3001,$N683))</f>
      </c>
      <c r="F683">
        <f>IF($N683="","",INDEX(Staging!$G$2:$G$3001,$N683))</f>
      </c>
      <c r="G683">
        <f>IF($N683="","",INDEX(Staging!$H$2:$H$3001,$N683))</f>
      </c>
      <c r="H683">
        <f>IF($N683="","",INDEX(Staging!$I$2:$I$3001,$N683))</f>
      </c>
      <c r="I683">
        <f>IF($N683="","",INDEX(Staging!$J$2:$J$3001,$N683))</f>
      </c>
      <c r="J683">
        <f>IF($N683="","",INDEX(Staging!$K$2:$K$3001,$N683))</f>
      </c>
      <c r="K683">
        <f>IF($N683="","",INDEX(Staging!$M$2:$M$3001,$N683))</f>
      </c>
      <c r="L683">
        <f>IF($N683="","",INDEX(Staging!$O$2:$O$3001,$N683))</f>
      </c>
      <c r="M683">
        <f>IF($N683="","",INDEX(Staging!$P$2:$P$3001,$N683))</f>
      </c>
      <c r="N683">
        <f t="array" ref="N683">IFERROR(SMALL(IF(Staging!$E$2:$E$3001="MIPPL",ROW(Staging!$E$2:$E$3001)-ROW(Staging!$E$2)+1),682),"")</f>
      </c>
    </row>
    <row r="684" spans="1:14" x14ac:dyDescent="0.25">
      <c r="A684">
        <f>IF($N684="","",INDEX(Staging!$A$2:$A$3001,$N684))</f>
      </c>
      <c r="B684">
        <f>IF($N684="","",INDEX(Staging!$B$2:$B$3001,$N684))</f>
      </c>
      <c r="C684">
        <f>IF($N684="","",INDEX(Staging!$C$2:$C$3001,$N684))</f>
      </c>
      <c r="D684">
        <f>IF($N684="","",INDEX(Staging!$D$2:$D$3001,$N684))</f>
      </c>
      <c r="E684">
        <f>IF($N684="","",INDEX(Staging!$F$2:$F$3001,$N684))</f>
      </c>
      <c r="F684">
        <f>IF($N684="","",INDEX(Staging!$G$2:$G$3001,$N684))</f>
      </c>
      <c r="G684">
        <f>IF($N684="","",INDEX(Staging!$H$2:$H$3001,$N684))</f>
      </c>
      <c r="H684">
        <f>IF($N684="","",INDEX(Staging!$I$2:$I$3001,$N684))</f>
      </c>
      <c r="I684">
        <f>IF($N684="","",INDEX(Staging!$J$2:$J$3001,$N684))</f>
      </c>
      <c r="J684">
        <f>IF($N684="","",INDEX(Staging!$K$2:$K$3001,$N684))</f>
      </c>
      <c r="K684">
        <f>IF($N684="","",INDEX(Staging!$M$2:$M$3001,$N684))</f>
      </c>
      <c r="L684">
        <f>IF($N684="","",INDEX(Staging!$O$2:$O$3001,$N684))</f>
      </c>
      <c r="M684">
        <f>IF($N684="","",INDEX(Staging!$P$2:$P$3001,$N684))</f>
      </c>
      <c r="N684">
        <f t="array" ref="N684">IFERROR(SMALL(IF(Staging!$E$2:$E$3001="MIPPL",ROW(Staging!$E$2:$E$3001)-ROW(Staging!$E$2)+1),683),"")</f>
      </c>
    </row>
    <row r="685" spans="1:14" x14ac:dyDescent="0.25">
      <c r="A685">
        <f>IF($N685="","",INDEX(Staging!$A$2:$A$3001,$N685))</f>
      </c>
      <c r="B685">
        <f>IF($N685="","",INDEX(Staging!$B$2:$B$3001,$N685))</f>
      </c>
      <c r="C685">
        <f>IF($N685="","",INDEX(Staging!$C$2:$C$3001,$N685))</f>
      </c>
      <c r="D685">
        <f>IF($N685="","",INDEX(Staging!$D$2:$D$3001,$N685))</f>
      </c>
      <c r="E685">
        <f>IF($N685="","",INDEX(Staging!$F$2:$F$3001,$N685))</f>
      </c>
      <c r="F685">
        <f>IF($N685="","",INDEX(Staging!$G$2:$G$3001,$N685))</f>
      </c>
      <c r="G685">
        <f>IF($N685="","",INDEX(Staging!$H$2:$H$3001,$N685))</f>
      </c>
      <c r="H685">
        <f>IF($N685="","",INDEX(Staging!$I$2:$I$3001,$N685))</f>
      </c>
      <c r="I685">
        <f>IF($N685="","",INDEX(Staging!$J$2:$J$3001,$N685))</f>
      </c>
      <c r="J685">
        <f>IF($N685="","",INDEX(Staging!$K$2:$K$3001,$N685))</f>
      </c>
      <c r="K685">
        <f>IF($N685="","",INDEX(Staging!$M$2:$M$3001,$N685))</f>
      </c>
      <c r="L685">
        <f>IF($N685="","",INDEX(Staging!$O$2:$O$3001,$N685))</f>
      </c>
      <c r="M685">
        <f>IF($N685="","",INDEX(Staging!$P$2:$P$3001,$N685))</f>
      </c>
      <c r="N685">
        <f t="array" ref="N685">IFERROR(SMALL(IF(Staging!$E$2:$E$3001="MIPPL",ROW(Staging!$E$2:$E$3001)-ROW(Staging!$E$2)+1),684),"")</f>
      </c>
    </row>
    <row r="686" spans="1:14" x14ac:dyDescent="0.25">
      <c r="A686">
        <f>IF($N686="","",INDEX(Staging!$A$2:$A$3001,$N686))</f>
      </c>
      <c r="B686">
        <f>IF($N686="","",INDEX(Staging!$B$2:$B$3001,$N686))</f>
      </c>
      <c r="C686">
        <f>IF($N686="","",INDEX(Staging!$C$2:$C$3001,$N686))</f>
      </c>
      <c r="D686">
        <f>IF($N686="","",INDEX(Staging!$D$2:$D$3001,$N686))</f>
      </c>
      <c r="E686">
        <f>IF($N686="","",INDEX(Staging!$F$2:$F$3001,$N686))</f>
      </c>
      <c r="F686">
        <f>IF($N686="","",INDEX(Staging!$G$2:$G$3001,$N686))</f>
      </c>
      <c r="G686">
        <f>IF($N686="","",INDEX(Staging!$H$2:$H$3001,$N686))</f>
      </c>
      <c r="H686">
        <f>IF($N686="","",INDEX(Staging!$I$2:$I$3001,$N686))</f>
      </c>
      <c r="I686">
        <f>IF($N686="","",INDEX(Staging!$J$2:$J$3001,$N686))</f>
      </c>
      <c r="J686">
        <f>IF($N686="","",INDEX(Staging!$K$2:$K$3001,$N686))</f>
      </c>
      <c r="K686">
        <f>IF($N686="","",INDEX(Staging!$M$2:$M$3001,$N686))</f>
      </c>
      <c r="L686">
        <f>IF($N686="","",INDEX(Staging!$O$2:$O$3001,$N686))</f>
      </c>
      <c r="M686">
        <f>IF($N686="","",INDEX(Staging!$P$2:$P$3001,$N686))</f>
      </c>
      <c r="N686">
        <f t="array" ref="N686">IFERROR(SMALL(IF(Staging!$E$2:$E$3001="MIPPL",ROW(Staging!$E$2:$E$3001)-ROW(Staging!$E$2)+1),685),"")</f>
      </c>
    </row>
    <row r="687" spans="1:14" x14ac:dyDescent="0.25">
      <c r="A687">
        <f>IF($N687="","",INDEX(Staging!$A$2:$A$3001,$N687))</f>
      </c>
      <c r="B687">
        <f>IF($N687="","",INDEX(Staging!$B$2:$B$3001,$N687))</f>
      </c>
      <c r="C687">
        <f>IF($N687="","",INDEX(Staging!$C$2:$C$3001,$N687))</f>
      </c>
      <c r="D687">
        <f>IF($N687="","",INDEX(Staging!$D$2:$D$3001,$N687))</f>
      </c>
      <c r="E687">
        <f>IF($N687="","",INDEX(Staging!$F$2:$F$3001,$N687))</f>
      </c>
      <c r="F687">
        <f>IF($N687="","",INDEX(Staging!$G$2:$G$3001,$N687))</f>
      </c>
      <c r="G687">
        <f>IF($N687="","",INDEX(Staging!$H$2:$H$3001,$N687))</f>
      </c>
      <c r="H687">
        <f>IF($N687="","",INDEX(Staging!$I$2:$I$3001,$N687))</f>
      </c>
      <c r="I687">
        <f>IF($N687="","",INDEX(Staging!$J$2:$J$3001,$N687))</f>
      </c>
      <c r="J687">
        <f>IF($N687="","",INDEX(Staging!$K$2:$K$3001,$N687))</f>
      </c>
      <c r="K687">
        <f>IF($N687="","",INDEX(Staging!$M$2:$M$3001,$N687))</f>
      </c>
      <c r="L687">
        <f>IF($N687="","",INDEX(Staging!$O$2:$O$3001,$N687))</f>
      </c>
      <c r="M687">
        <f>IF($N687="","",INDEX(Staging!$P$2:$P$3001,$N687))</f>
      </c>
      <c r="N687">
        <f t="array" ref="N687">IFERROR(SMALL(IF(Staging!$E$2:$E$3001="MIPPL",ROW(Staging!$E$2:$E$3001)-ROW(Staging!$E$2)+1),686),"")</f>
      </c>
    </row>
    <row r="688" spans="1:14" x14ac:dyDescent="0.25">
      <c r="A688">
        <f>IF($N688="","",INDEX(Staging!$A$2:$A$3001,$N688))</f>
      </c>
      <c r="B688">
        <f>IF($N688="","",INDEX(Staging!$B$2:$B$3001,$N688))</f>
      </c>
      <c r="C688">
        <f>IF($N688="","",INDEX(Staging!$C$2:$C$3001,$N688))</f>
      </c>
      <c r="D688">
        <f>IF($N688="","",INDEX(Staging!$D$2:$D$3001,$N688))</f>
      </c>
      <c r="E688">
        <f>IF($N688="","",INDEX(Staging!$F$2:$F$3001,$N688))</f>
      </c>
      <c r="F688">
        <f>IF($N688="","",INDEX(Staging!$G$2:$G$3001,$N688))</f>
      </c>
      <c r="G688">
        <f>IF($N688="","",INDEX(Staging!$H$2:$H$3001,$N688))</f>
      </c>
      <c r="H688">
        <f>IF($N688="","",INDEX(Staging!$I$2:$I$3001,$N688))</f>
      </c>
      <c r="I688">
        <f>IF($N688="","",INDEX(Staging!$J$2:$J$3001,$N688))</f>
      </c>
      <c r="J688">
        <f>IF($N688="","",INDEX(Staging!$K$2:$K$3001,$N688))</f>
      </c>
      <c r="K688">
        <f>IF($N688="","",INDEX(Staging!$M$2:$M$3001,$N688))</f>
      </c>
      <c r="L688">
        <f>IF($N688="","",INDEX(Staging!$O$2:$O$3001,$N688))</f>
      </c>
      <c r="M688">
        <f>IF($N688="","",INDEX(Staging!$P$2:$P$3001,$N688))</f>
      </c>
      <c r="N688">
        <f t="array" ref="N688">IFERROR(SMALL(IF(Staging!$E$2:$E$3001="MIPPL",ROW(Staging!$E$2:$E$3001)-ROW(Staging!$E$2)+1),687),"")</f>
      </c>
    </row>
    <row r="689" spans="1:14" x14ac:dyDescent="0.25">
      <c r="A689">
        <f>IF($N689="","",INDEX(Staging!$A$2:$A$3001,$N689))</f>
      </c>
      <c r="B689">
        <f>IF($N689="","",INDEX(Staging!$B$2:$B$3001,$N689))</f>
      </c>
      <c r="C689">
        <f>IF($N689="","",INDEX(Staging!$C$2:$C$3001,$N689))</f>
      </c>
      <c r="D689">
        <f>IF($N689="","",INDEX(Staging!$D$2:$D$3001,$N689))</f>
      </c>
      <c r="E689">
        <f>IF($N689="","",INDEX(Staging!$F$2:$F$3001,$N689))</f>
      </c>
      <c r="F689">
        <f>IF($N689="","",INDEX(Staging!$G$2:$G$3001,$N689))</f>
      </c>
      <c r="G689">
        <f>IF($N689="","",INDEX(Staging!$H$2:$H$3001,$N689))</f>
      </c>
      <c r="H689">
        <f>IF($N689="","",INDEX(Staging!$I$2:$I$3001,$N689))</f>
      </c>
      <c r="I689">
        <f>IF($N689="","",INDEX(Staging!$J$2:$J$3001,$N689))</f>
      </c>
      <c r="J689">
        <f>IF($N689="","",INDEX(Staging!$K$2:$K$3001,$N689))</f>
      </c>
      <c r="K689">
        <f>IF($N689="","",INDEX(Staging!$M$2:$M$3001,$N689))</f>
      </c>
      <c r="L689">
        <f>IF($N689="","",INDEX(Staging!$O$2:$O$3001,$N689))</f>
      </c>
      <c r="M689">
        <f>IF($N689="","",INDEX(Staging!$P$2:$P$3001,$N689))</f>
      </c>
      <c r="N689">
        <f t="array" ref="N689">IFERROR(SMALL(IF(Staging!$E$2:$E$3001="MIPPL",ROW(Staging!$E$2:$E$3001)-ROW(Staging!$E$2)+1),688),"")</f>
      </c>
    </row>
    <row r="690" spans="1:14" x14ac:dyDescent="0.25">
      <c r="A690">
        <f>IF($N690="","",INDEX(Staging!$A$2:$A$3001,$N690))</f>
      </c>
      <c r="B690">
        <f>IF($N690="","",INDEX(Staging!$B$2:$B$3001,$N690))</f>
      </c>
      <c r="C690">
        <f>IF($N690="","",INDEX(Staging!$C$2:$C$3001,$N690))</f>
      </c>
      <c r="D690">
        <f>IF($N690="","",INDEX(Staging!$D$2:$D$3001,$N690))</f>
      </c>
      <c r="E690">
        <f>IF($N690="","",INDEX(Staging!$F$2:$F$3001,$N690))</f>
      </c>
      <c r="F690">
        <f>IF($N690="","",INDEX(Staging!$G$2:$G$3001,$N690))</f>
      </c>
      <c r="G690">
        <f>IF($N690="","",INDEX(Staging!$H$2:$H$3001,$N690))</f>
      </c>
      <c r="H690">
        <f>IF($N690="","",INDEX(Staging!$I$2:$I$3001,$N690))</f>
      </c>
      <c r="I690">
        <f>IF($N690="","",INDEX(Staging!$J$2:$J$3001,$N690))</f>
      </c>
      <c r="J690">
        <f>IF($N690="","",INDEX(Staging!$K$2:$K$3001,$N690))</f>
      </c>
      <c r="K690">
        <f>IF($N690="","",INDEX(Staging!$M$2:$M$3001,$N690))</f>
      </c>
      <c r="L690">
        <f>IF($N690="","",INDEX(Staging!$O$2:$O$3001,$N690))</f>
      </c>
      <c r="M690">
        <f>IF($N690="","",INDEX(Staging!$P$2:$P$3001,$N690))</f>
      </c>
      <c r="N690">
        <f t="array" ref="N690">IFERROR(SMALL(IF(Staging!$E$2:$E$3001="MIPPL",ROW(Staging!$E$2:$E$3001)-ROW(Staging!$E$2)+1),689),"")</f>
      </c>
    </row>
    <row r="691" spans="1:14" x14ac:dyDescent="0.25">
      <c r="A691">
        <f>IF($N691="","",INDEX(Staging!$A$2:$A$3001,$N691))</f>
      </c>
      <c r="B691">
        <f>IF($N691="","",INDEX(Staging!$B$2:$B$3001,$N691))</f>
      </c>
      <c r="C691">
        <f>IF($N691="","",INDEX(Staging!$C$2:$C$3001,$N691))</f>
      </c>
      <c r="D691">
        <f>IF($N691="","",INDEX(Staging!$D$2:$D$3001,$N691))</f>
      </c>
      <c r="E691">
        <f>IF($N691="","",INDEX(Staging!$F$2:$F$3001,$N691))</f>
      </c>
      <c r="F691">
        <f>IF($N691="","",INDEX(Staging!$G$2:$G$3001,$N691))</f>
      </c>
      <c r="G691">
        <f>IF($N691="","",INDEX(Staging!$H$2:$H$3001,$N691))</f>
      </c>
      <c r="H691">
        <f>IF($N691="","",INDEX(Staging!$I$2:$I$3001,$N691))</f>
      </c>
      <c r="I691">
        <f>IF($N691="","",INDEX(Staging!$J$2:$J$3001,$N691))</f>
      </c>
      <c r="J691">
        <f>IF($N691="","",INDEX(Staging!$K$2:$K$3001,$N691))</f>
      </c>
      <c r="K691">
        <f>IF($N691="","",INDEX(Staging!$M$2:$M$3001,$N691))</f>
      </c>
      <c r="L691">
        <f>IF($N691="","",INDEX(Staging!$O$2:$O$3001,$N691))</f>
      </c>
      <c r="M691">
        <f>IF($N691="","",INDEX(Staging!$P$2:$P$3001,$N691))</f>
      </c>
      <c r="N691">
        <f t="array" ref="N691">IFERROR(SMALL(IF(Staging!$E$2:$E$3001="MIPPL",ROW(Staging!$E$2:$E$3001)-ROW(Staging!$E$2)+1),690),"")</f>
      </c>
    </row>
    <row r="692" spans="1:14" x14ac:dyDescent="0.25">
      <c r="A692">
        <f>IF($N692="","",INDEX(Staging!$A$2:$A$3001,$N692))</f>
      </c>
      <c r="B692">
        <f>IF($N692="","",INDEX(Staging!$B$2:$B$3001,$N692))</f>
      </c>
      <c r="C692">
        <f>IF($N692="","",INDEX(Staging!$C$2:$C$3001,$N692))</f>
      </c>
      <c r="D692">
        <f>IF($N692="","",INDEX(Staging!$D$2:$D$3001,$N692))</f>
      </c>
      <c r="E692">
        <f>IF($N692="","",INDEX(Staging!$F$2:$F$3001,$N692))</f>
      </c>
      <c r="F692">
        <f>IF($N692="","",INDEX(Staging!$G$2:$G$3001,$N692))</f>
      </c>
      <c r="G692">
        <f>IF($N692="","",INDEX(Staging!$H$2:$H$3001,$N692))</f>
      </c>
      <c r="H692">
        <f>IF($N692="","",INDEX(Staging!$I$2:$I$3001,$N692))</f>
      </c>
      <c r="I692">
        <f>IF($N692="","",INDEX(Staging!$J$2:$J$3001,$N692))</f>
      </c>
      <c r="J692">
        <f>IF($N692="","",INDEX(Staging!$K$2:$K$3001,$N692))</f>
      </c>
      <c r="K692">
        <f>IF($N692="","",INDEX(Staging!$M$2:$M$3001,$N692))</f>
      </c>
      <c r="L692">
        <f>IF($N692="","",INDEX(Staging!$O$2:$O$3001,$N692))</f>
      </c>
      <c r="M692">
        <f>IF($N692="","",INDEX(Staging!$P$2:$P$3001,$N692))</f>
      </c>
      <c r="N692">
        <f t="array" ref="N692">IFERROR(SMALL(IF(Staging!$E$2:$E$3001="MIPPL",ROW(Staging!$E$2:$E$3001)-ROW(Staging!$E$2)+1),691),"")</f>
      </c>
    </row>
    <row r="693" spans="1:14" x14ac:dyDescent="0.25">
      <c r="A693">
        <f>IF($N693="","",INDEX(Staging!$A$2:$A$3001,$N693))</f>
      </c>
      <c r="B693">
        <f>IF($N693="","",INDEX(Staging!$B$2:$B$3001,$N693))</f>
      </c>
      <c r="C693">
        <f>IF($N693="","",INDEX(Staging!$C$2:$C$3001,$N693))</f>
      </c>
      <c r="D693">
        <f>IF($N693="","",INDEX(Staging!$D$2:$D$3001,$N693))</f>
      </c>
      <c r="E693">
        <f>IF($N693="","",INDEX(Staging!$F$2:$F$3001,$N693))</f>
      </c>
      <c r="F693">
        <f>IF($N693="","",INDEX(Staging!$G$2:$G$3001,$N693))</f>
      </c>
      <c r="G693">
        <f>IF($N693="","",INDEX(Staging!$H$2:$H$3001,$N693))</f>
      </c>
      <c r="H693">
        <f>IF($N693="","",INDEX(Staging!$I$2:$I$3001,$N693))</f>
      </c>
      <c r="I693">
        <f>IF($N693="","",INDEX(Staging!$J$2:$J$3001,$N693))</f>
      </c>
      <c r="J693">
        <f>IF($N693="","",INDEX(Staging!$K$2:$K$3001,$N693))</f>
      </c>
      <c r="K693">
        <f>IF($N693="","",INDEX(Staging!$M$2:$M$3001,$N693))</f>
      </c>
      <c r="L693">
        <f>IF($N693="","",INDEX(Staging!$O$2:$O$3001,$N693))</f>
      </c>
      <c r="M693">
        <f>IF($N693="","",INDEX(Staging!$P$2:$P$3001,$N693))</f>
      </c>
      <c r="N693">
        <f t="array" ref="N693">IFERROR(SMALL(IF(Staging!$E$2:$E$3001="MIPPL",ROW(Staging!$E$2:$E$3001)-ROW(Staging!$E$2)+1),692),"")</f>
      </c>
    </row>
    <row r="694" spans="1:14" x14ac:dyDescent="0.25">
      <c r="A694">
        <f>IF($N694="","",INDEX(Staging!$A$2:$A$3001,$N694))</f>
      </c>
      <c r="B694">
        <f>IF($N694="","",INDEX(Staging!$B$2:$B$3001,$N694))</f>
      </c>
      <c r="C694">
        <f>IF($N694="","",INDEX(Staging!$C$2:$C$3001,$N694))</f>
      </c>
      <c r="D694">
        <f>IF($N694="","",INDEX(Staging!$D$2:$D$3001,$N694))</f>
      </c>
      <c r="E694">
        <f>IF($N694="","",INDEX(Staging!$F$2:$F$3001,$N694))</f>
      </c>
      <c r="F694">
        <f>IF($N694="","",INDEX(Staging!$G$2:$G$3001,$N694))</f>
      </c>
      <c r="G694">
        <f>IF($N694="","",INDEX(Staging!$H$2:$H$3001,$N694))</f>
      </c>
      <c r="H694">
        <f>IF($N694="","",INDEX(Staging!$I$2:$I$3001,$N694))</f>
      </c>
      <c r="I694">
        <f>IF($N694="","",INDEX(Staging!$J$2:$J$3001,$N694))</f>
      </c>
      <c r="J694">
        <f>IF($N694="","",INDEX(Staging!$K$2:$K$3001,$N694))</f>
      </c>
      <c r="K694">
        <f>IF($N694="","",INDEX(Staging!$M$2:$M$3001,$N694))</f>
      </c>
      <c r="L694">
        <f>IF($N694="","",INDEX(Staging!$O$2:$O$3001,$N694))</f>
      </c>
      <c r="M694">
        <f>IF($N694="","",INDEX(Staging!$P$2:$P$3001,$N694))</f>
      </c>
      <c r="N694">
        <f t="array" ref="N694">IFERROR(SMALL(IF(Staging!$E$2:$E$3001="MIPPL",ROW(Staging!$E$2:$E$3001)-ROW(Staging!$E$2)+1),693),"")</f>
      </c>
    </row>
    <row r="695" spans="1:14" x14ac:dyDescent="0.25">
      <c r="A695">
        <f>IF($N695="","",INDEX(Staging!$A$2:$A$3001,$N695))</f>
      </c>
      <c r="B695">
        <f>IF($N695="","",INDEX(Staging!$B$2:$B$3001,$N695))</f>
      </c>
      <c r="C695">
        <f>IF($N695="","",INDEX(Staging!$C$2:$C$3001,$N695))</f>
      </c>
      <c r="D695">
        <f>IF($N695="","",INDEX(Staging!$D$2:$D$3001,$N695))</f>
      </c>
      <c r="E695">
        <f>IF($N695="","",INDEX(Staging!$F$2:$F$3001,$N695))</f>
      </c>
      <c r="F695">
        <f>IF($N695="","",INDEX(Staging!$G$2:$G$3001,$N695))</f>
      </c>
      <c r="G695">
        <f>IF($N695="","",INDEX(Staging!$H$2:$H$3001,$N695))</f>
      </c>
      <c r="H695">
        <f>IF($N695="","",INDEX(Staging!$I$2:$I$3001,$N695))</f>
      </c>
      <c r="I695">
        <f>IF($N695="","",INDEX(Staging!$J$2:$J$3001,$N695))</f>
      </c>
      <c r="J695">
        <f>IF($N695="","",INDEX(Staging!$K$2:$K$3001,$N695))</f>
      </c>
      <c r="K695">
        <f>IF($N695="","",INDEX(Staging!$M$2:$M$3001,$N695))</f>
      </c>
      <c r="L695">
        <f>IF($N695="","",INDEX(Staging!$O$2:$O$3001,$N695))</f>
      </c>
      <c r="M695">
        <f>IF($N695="","",INDEX(Staging!$P$2:$P$3001,$N695))</f>
      </c>
      <c r="N695">
        <f t="array" ref="N695">IFERROR(SMALL(IF(Staging!$E$2:$E$3001="MIPPL",ROW(Staging!$E$2:$E$3001)-ROW(Staging!$E$2)+1),694),"")</f>
      </c>
    </row>
    <row r="696" spans="1:14" x14ac:dyDescent="0.25">
      <c r="A696">
        <f>IF($N696="","",INDEX(Staging!$A$2:$A$3001,$N696))</f>
      </c>
      <c r="B696">
        <f>IF($N696="","",INDEX(Staging!$B$2:$B$3001,$N696))</f>
      </c>
      <c r="C696">
        <f>IF($N696="","",INDEX(Staging!$C$2:$C$3001,$N696))</f>
      </c>
      <c r="D696">
        <f>IF($N696="","",INDEX(Staging!$D$2:$D$3001,$N696))</f>
      </c>
      <c r="E696">
        <f>IF($N696="","",INDEX(Staging!$F$2:$F$3001,$N696))</f>
      </c>
      <c r="F696">
        <f>IF($N696="","",INDEX(Staging!$G$2:$G$3001,$N696))</f>
      </c>
      <c r="G696">
        <f>IF($N696="","",INDEX(Staging!$H$2:$H$3001,$N696))</f>
      </c>
      <c r="H696">
        <f>IF($N696="","",INDEX(Staging!$I$2:$I$3001,$N696))</f>
      </c>
      <c r="I696">
        <f>IF($N696="","",INDEX(Staging!$J$2:$J$3001,$N696))</f>
      </c>
      <c r="J696">
        <f>IF($N696="","",INDEX(Staging!$K$2:$K$3001,$N696))</f>
      </c>
      <c r="K696">
        <f>IF($N696="","",INDEX(Staging!$M$2:$M$3001,$N696))</f>
      </c>
      <c r="L696">
        <f>IF($N696="","",INDEX(Staging!$O$2:$O$3001,$N696))</f>
      </c>
      <c r="M696">
        <f>IF($N696="","",INDEX(Staging!$P$2:$P$3001,$N696))</f>
      </c>
      <c r="N696">
        <f t="array" ref="N696">IFERROR(SMALL(IF(Staging!$E$2:$E$3001="MIPPL",ROW(Staging!$E$2:$E$3001)-ROW(Staging!$E$2)+1),695),"")</f>
      </c>
    </row>
    <row r="697" spans="1:14" x14ac:dyDescent="0.25">
      <c r="A697">
        <f>IF($N697="","",INDEX(Staging!$A$2:$A$3001,$N697))</f>
      </c>
      <c r="B697">
        <f>IF($N697="","",INDEX(Staging!$B$2:$B$3001,$N697))</f>
      </c>
      <c r="C697">
        <f>IF($N697="","",INDEX(Staging!$C$2:$C$3001,$N697))</f>
      </c>
      <c r="D697">
        <f>IF($N697="","",INDEX(Staging!$D$2:$D$3001,$N697))</f>
      </c>
      <c r="E697">
        <f>IF($N697="","",INDEX(Staging!$F$2:$F$3001,$N697))</f>
      </c>
      <c r="F697">
        <f>IF($N697="","",INDEX(Staging!$G$2:$G$3001,$N697))</f>
      </c>
      <c r="G697">
        <f>IF($N697="","",INDEX(Staging!$H$2:$H$3001,$N697))</f>
      </c>
      <c r="H697">
        <f>IF($N697="","",INDEX(Staging!$I$2:$I$3001,$N697))</f>
      </c>
      <c r="I697">
        <f>IF($N697="","",INDEX(Staging!$J$2:$J$3001,$N697))</f>
      </c>
      <c r="J697">
        <f>IF($N697="","",INDEX(Staging!$K$2:$K$3001,$N697))</f>
      </c>
      <c r="K697">
        <f>IF($N697="","",INDEX(Staging!$M$2:$M$3001,$N697))</f>
      </c>
      <c r="L697">
        <f>IF($N697="","",INDEX(Staging!$O$2:$O$3001,$N697))</f>
      </c>
      <c r="M697">
        <f>IF($N697="","",INDEX(Staging!$P$2:$P$3001,$N697))</f>
      </c>
      <c r="N697">
        <f t="array" ref="N697">IFERROR(SMALL(IF(Staging!$E$2:$E$3001="MIPPL",ROW(Staging!$E$2:$E$3001)-ROW(Staging!$E$2)+1),696),"")</f>
      </c>
    </row>
    <row r="698" spans="1:14" x14ac:dyDescent="0.25">
      <c r="A698">
        <f>IF($N698="","",INDEX(Staging!$A$2:$A$3001,$N698))</f>
      </c>
      <c r="B698">
        <f>IF($N698="","",INDEX(Staging!$B$2:$B$3001,$N698))</f>
      </c>
      <c r="C698">
        <f>IF($N698="","",INDEX(Staging!$C$2:$C$3001,$N698))</f>
      </c>
      <c r="D698">
        <f>IF($N698="","",INDEX(Staging!$D$2:$D$3001,$N698))</f>
      </c>
      <c r="E698">
        <f>IF($N698="","",INDEX(Staging!$F$2:$F$3001,$N698))</f>
      </c>
      <c r="F698">
        <f>IF($N698="","",INDEX(Staging!$G$2:$G$3001,$N698))</f>
      </c>
      <c r="G698">
        <f>IF($N698="","",INDEX(Staging!$H$2:$H$3001,$N698))</f>
      </c>
      <c r="H698">
        <f>IF($N698="","",INDEX(Staging!$I$2:$I$3001,$N698))</f>
      </c>
      <c r="I698">
        <f>IF($N698="","",INDEX(Staging!$J$2:$J$3001,$N698))</f>
      </c>
      <c r="J698">
        <f>IF($N698="","",INDEX(Staging!$K$2:$K$3001,$N698))</f>
      </c>
      <c r="K698">
        <f>IF($N698="","",INDEX(Staging!$M$2:$M$3001,$N698))</f>
      </c>
      <c r="L698">
        <f>IF($N698="","",INDEX(Staging!$O$2:$O$3001,$N698))</f>
      </c>
      <c r="M698">
        <f>IF($N698="","",INDEX(Staging!$P$2:$P$3001,$N698))</f>
      </c>
      <c r="N698">
        <f t="array" ref="N698">IFERROR(SMALL(IF(Staging!$E$2:$E$3001="MIPPL",ROW(Staging!$E$2:$E$3001)-ROW(Staging!$E$2)+1),697),"")</f>
      </c>
    </row>
    <row r="699" spans="1:14" x14ac:dyDescent="0.25">
      <c r="A699">
        <f>IF($N699="","",INDEX(Staging!$A$2:$A$3001,$N699))</f>
      </c>
      <c r="B699">
        <f>IF($N699="","",INDEX(Staging!$B$2:$B$3001,$N699))</f>
      </c>
      <c r="C699">
        <f>IF($N699="","",INDEX(Staging!$C$2:$C$3001,$N699))</f>
      </c>
      <c r="D699">
        <f>IF($N699="","",INDEX(Staging!$D$2:$D$3001,$N699))</f>
      </c>
      <c r="E699">
        <f>IF($N699="","",INDEX(Staging!$F$2:$F$3001,$N699))</f>
      </c>
      <c r="F699">
        <f>IF($N699="","",INDEX(Staging!$G$2:$G$3001,$N699))</f>
      </c>
      <c r="G699">
        <f>IF($N699="","",INDEX(Staging!$H$2:$H$3001,$N699))</f>
      </c>
      <c r="H699">
        <f>IF($N699="","",INDEX(Staging!$I$2:$I$3001,$N699))</f>
      </c>
      <c r="I699">
        <f>IF($N699="","",INDEX(Staging!$J$2:$J$3001,$N699))</f>
      </c>
      <c r="J699">
        <f>IF($N699="","",INDEX(Staging!$K$2:$K$3001,$N699))</f>
      </c>
      <c r="K699">
        <f>IF($N699="","",INDEX(Staging!$M$2:$M$3001,$N699))</f>
      </c>
      <c r="L699">
        <f>IF($N699="","",INDEX(Staging!$O$2:$O$3001,$N699))</f>
      </c>
      <c r="M699">
        <f>IF($N699="","",INDEX(Staging!$P$2:$P$3001,$N699))</f>
      </c>
      <c r="N699">
        <f t="array" ref="N699">IFERROR(SMALL(IF(Staging!$E$2:$E$3001="MIPPL",ROW(Staging!$E$2:$E$3001)-ROW(Staging!$E$2)+1),698),"")</f>
      </c>
    </row>
    <row r="700" spans="1:14" x14ac:dyDescent="0.25">
      <c r="A700">
        <f>IF($N700="","",INDEX(Staging!$A$2:$A$3001,$N700))</f>
      </c>
      <c r="B700">
        <f>IF($N700="","",INDEX(Staging!$B$2:$B$3001,$N700))</f>
      </c>
      <c r="C700">
        <f>IF($N700="","",INDEX(Staging!$C$2:$C$3001,$N700))</f>
      </c>
      <c r="D700">
        <f>IF($N700="","",INDEX(Staging!$D$2:$D$3001,$N700))</f>
      </c>
      <c r="E700">
        <f>IF($N700="","",INDEX(Staging!$F$2:$F$3001,$N700))</f>
      </c>
      <c r="F700">
        <f>IF($N700="","",INDEX(Staging!$G$2:$G$3001,$N700))</f>
      </c>
      <c r="G700">
        <f>IF($N700="","",INDEX(Staging!$H$2:$H$3001,$N700))</f>
      </c>
      <c r="H700">
        <f>IF($N700="","",INDEX(Staging!$I$2:$I$3001,$N700))</f>
      </c>
      <c r="I700">
        <f>IF($N700="","",INDEX(Staging!$J$2:$J$3001,$N700))</f>
      </c>
      <c r="J700">
        <f>IF($N700="","",INDEX(Staging!$K$2:$K$3001,$N700))</f>
      </c>
      <c r="K700">
        <f>IF($N700="","",INDEX(Staging!$M$2:$M$3001,$N700))</f>
      </c>
      <c r="L700">
        <f>IF($N700="","",INDEX(Staging!$O$2:$O$3001,$N700))</f>
      </c>
      <c r="M700">
        <f>IF($N700="","",INDEX(Staging!$P$2:$P$3001,$N700))</f>
      </c>
      <c r="N700">
        <f t="array" ref="N700">IFERROR(SMALL(IF(Staging!$E$2:$E$3001="MIPPL",ROW(Staging!$E$2:$E$3001)-ROW(Staging!$E$2)+1),699),"")</f>
      </c>
    </row>
    <row r="701" spans="1:14" x14ac:dyDescent="0.25">
      <c r="A701">
        <f>IF($N701="","",INDEX(Staging!$A$2:$A$3001,$N701))</f>
      </c>
      <c r="B701">
        <f>IF($N701="","",INDEX(Staging!$B$2:$B$3001,$N701))</f>
      </c>
      <c r="C701">
        <f>IF($N701="","",INDEX(Staging!$C$2:$C$3001,$N701))</f>
      </c>
      <c r="D701">
        <f>IF($N701="","",INDEX(Staging!$D$2:$D$3001,$N701))</f>
      </c>
      <c r="E701">
        <f>IF($N701="","",INDEX(Staging!$F$2:$F$3001,$N701))</f>
      </c>
      <c r="F701">
        <f>IF($N701="","",INDEX(Staging!$G$2:$G$3001,$N701))</f>
      </c>
      <c r="G701">
        <f>IF($N701="","",INDEX(Staging!$H$2:$H$3001,$N701))</f>
      </c>
      <c r="H701">
        <f>IF($N701="","",INDEX(Staging!$I$2:$I$3001,$N701))</f>
      </c>
      <c r="I701">
        <f>IF($N701="","",INDEX(Staging!$J$2:$J$3001,$N701))</f>
      </c>
      <c r="J701">
        <f>IF($N701="","",INDEX(Staging!$K$2:$K$3001,$N701))</f>
      </c>
      <c r="K701">
        <f>IF($N701="","",INDEX(Staging!$M$2:$M$3001,$N701))</f>
      </c>
      <c r="L701">
        <f>IF($N701="","",INDEX(Staging!$O$2:$O$3001,$N701))</f>
      </c>
      <c r="M701">
        <f>IF($N701="","",INDEX(Staging!$P$2:$P$3001,$N701))</f>
      </c>
      <c r="N701">
        <f t="array" ref="N701">IFERROR(SMALL(IF(Staging!$E$2:$E$3001="MIPPL",ROW(Staging!$E$2:$E$3001)-ROW(Staging!$E$2)+1),700),"")</f>
      </c>
    </row>
    <row r="702" spans="1:14" x14ac:dyDescent="0.25">
      <c r="A702">
        <f>IF($N702="","",INDEX(Staging!$A$2:$A$3001,$N702))</f>
      </c>
      <c r="B702">
        <f>IF($N702="","",INDEX(Staging!$B$2:$B$3001,$N702))</f>
      </c>
      <c r="C702">
        <f>IF($N702="","",INDEX(Staging!$C$2:$C$3001,$N702))</f>
      </c>
      <c r="D702">
        <f>IF($N702="","",INDEX(Staging!$D$2:$D$3001,$N702))</f>
      </c>
      <c r="E702">
        <f>IF($N702="","",INDEX(Staging!$F$2:$F$3001,$N702))</f>
      </c>
      <c r="F702">
        <f>IF($N702="","",INDEX(Staging!$G$2:$G$3001,$N702))</f>
      </c>
      <c r="G702">
        <f>IF($N702="","",INDEX(Staging!$H$2:$H$3001,$N702))</f>
      </c>
      <c r="H702">
        <f>IF($N702="","",INDEX(Staging!$I$2:$I$3001,$N702))</f>
      </c>
      <c r="I702">
        <f>IF($N702="","",INDEX(Staging!$J$2:$J$3001,$N702))</f>
      </c>
      <c r="J702">
        <f>IF($N702="","",INDEX(Staging!$K$2:$K$3001,$N702))</f>
      </c>
      <c r="K702">
        <f>IF($N702="","",INDEX(Staging!$M$2:$M$3001,$N702))</f>
      </c>
      <c r="L702">
        <f>IF($N702="","",INDEX(Staging!$O$2:$O$3001,$N702))</f>
      </c>
      <c r="M702">
        <f>IF($N702="","",INDEX(Staging!$P$2:$P$3001,$N702))</f>
      </c>
      <c r="N702">
        <f t="array" ref="N702">IFERROR(SMALL(IF(Staging!$E$2:$E$3001="MIPPL",ROW(Staging!$E$2:$E$3001)-ROW(Staging!$E$2)+1),701),"")</f>
      </c>
    </row>
    <row r="703" spans="1:14" x14ac:dyDescent="0.25">
      <c r="A703">
        <f>IF($N703="","",INDEX(Staging!$A$2:$A$3001,$N703))</f>
      </c>
      <c r="B703">
        <f>IF($N703="","",INDEX(Staging!$B$2:$B$3001,$N703))</f>
      </c>
      <c r="C703">
        <f>IF($N703="","",INDEX(Staging!$C$2:$C$3001,$N703))</f>
      </c>
      <c r="D703">
        <f>IF($N703="","",INDEX(Staging!$D$2:$D$3001,$N703))</f>
      </c>
      <c r="E703">
        <f>IF($N703="","",INDEX(Staging!$F$2:$F$3001,$N703))</f>
      </c>
      <c r="F703">
        <f>IF($N703="","",INDEX(Staging!$G$2:$G$3001,$N703))</f>
      </c>
      <c r="G703">
        <f>IF($N703="","",INDEX(Staging!$H$2:$H$3001,$N703))</f>
      </c>
      <c r="H703">
        <f>IF($N703="","",INDEX(Staging!$I$2:$I$3001,$N703))</f>
      </c>
      <c r="I703">
        <f>IF($N703="","",INDEX(Staging!$J$2:$J$3001,$N703))</f>
      </c>
      <c r="J703">
        <f>IF($N703="","",INDEX(Staging!$K$2:$K$3001,$N703))</f>
      </c>
      <c r="K703">
        <f>IF($N703="","",INDEX(Staging!$M$2:$M$3001,$N703))</f>
      </c>
      <c r="L703">
        <f>IF($N703="","",INDEX(Staging!$O$2:$O$3001,$N703))</f>
      </c>
      <c r="M703">
        <f>IF($N703="","",INDEX(Staging!$P$2:$P$3001,$N703))</f>
      </c>
      <c r="N703">
        <f t="array" ref="N703">IFERROR(SMALL(IF(Staging!$E$2:$E$3001="MIPPL",ROW(Staging!$E$2:$E$3001)-ROW(Staging!$E$2)+1),702),"")</f>
      </c>
    </row>
    <row r="704" spans="1:14" x14ac:dyDescent="0.25">
      <c r="A704">
        <f>IF($N704="","",INDEX(Staging!$A$2:$A$3001,$N704))</f>
      </c>
      <c r="B704">
        <f>IF($N704="","",INDEX(Staging!$B$2:$B$3001,$N704))</f>
      </c>
      <c r="C704">
        <f>IF($N704="","",INDEX(Staging!$C$2:$C$3001,$N704))</f>
      </c>
      <c r="D704">
        <f>IF($N704="","",INDEX(Staging!$D$2:$D$3001,$N704))</f>
      </c>
      <c r="E704">
        <f>IF($N704="","",INDEX(Staging!$F$2:$F$3001,$N704))</f>
      </c>
      <c r="F704">
        <f>IF($N704="","",INDEX(Staging!$G$2:$G$3001,$N704))</f>
      </c>
      <c r="G704">
        <f>IF($N704="","",INDEX(Staging!$H$2:$H$3001,$N704))</f>
      </c>
      <c r="H704">
        <f>IF($N704="","",INDEX(Staging!$I$2:$I$3001,$N704))</f>
      </c>
      <c r="I704">
        <f>IF($N704="","",INDEX(Staging!$J$2:$J$3001,$N704))</f>
      </c>
      <c r="J704">
        <f>IF($N704="","",INDEX(Staging!$K$2:$K$3001,$N704))</f>
      </c>
      <c r="K704">
        <f>IF($N704="","",INDEX(Staging!$M$2:$M$3001,$N704))</f>
      </c>
      <c r="L704">
        <f>IF($N704="","",INDEX(Staging!$O$2:$O$3001,$N704))</f>
      </c>
      <c r="M704">
        <f>IF($N704="","",INDEX(Staging!$P$2:$P$3001,$N704))</f>
      </c>
      <c r="N704">
        <f t="array" ref="N704">IFERROR(SMALL(IF(Staging!$E$2:$E$3001="MIPPL",ROW(Staging!$E$2:$E$3001)-ROW(Staging!$E$2)+1),703),"")</f>
      </c>
    </row>
    <row r="705" spans="1:14" x14ac:dyDescent="0.25">
      <c r="A705">
        <f>IF($N705="","",INDEX(Staging!$A$2:$A$3001,$N705))</f>
      </c>
      <c r="B705">
        <f>IF($N705="","",INDEX(Staging!$B$2:$B$3001,$N705))</f>
      </c>
      <c r="C705">
        <f>IF($N705="","",INDEX(Staging!$C$2:$C$3001,$N705))</f>
      </c>
      <c r="D705">
        <f>IF($N705="","",INDEX(Staging!$D$2:$D$3001,$N705))</f>
      </c>
      <c r="E705">
        <f>IF($N705="","",INDEX(Staging!$F$2:$F$3001,$N705))</f>
      </c>
      <c r="F705">
        <f>IF($N705="","",INDEX(Staging!$G$2:$G$3001,$N705))</f>
      </c>
      <c r="G705">
        <f>IF($N705="","",INDEX(Staging!$H$2:$H$3001,$N705))</f>
      </c>
      <c r="H705">
        <f>IF($N705="","",INDEX(Staging!$I$2:$I$3001,$N705))</f>
      </c>
      <c r="I705">
        <f>IF($N705="","",INDEX(Staging!$J$2:$J$3001,$N705))</f>
      </c>
      <c r="J705">
        <f>IF($N705="","",INDEX(Staging!$K$2:$K$3001,$N705))</f>
      </c>
      <c r="K705">
        <f>IF($N705="","",INDEX(Staging!$M$2:$M$3001,$N705))</f>
      </c>
      <c r="L705">
        <f>IF($N705="","",INDEX(Staging!$O$2:$O$3001,$N705))</f>
      </c>
      <c r="M705">
        <f>IF($N705="","",INDEX(Staging!$P$2:$P$3001,$N705))</f>
      </c>
      <c r="N705">
        <f t="array" ref="N705">IFERROR(SMALL(IF(Staging!$E$2:$E$3001="MIPPL",ROW(Staging!$E$2:$E$3001)-ROW(Staging!$E$2)+1),704),"")</f>
      </c>
    </row>
    <row r="706" spans="1:14" x14ac:dyDescent="0.25">
      <c r="A706">
        <f>IF($N706="","",INDEX(Staging!$A$2:$A$3001,$N706))</f>
      </c>
      <c r="B706">
        <f>IF($N706="","",INDEX(Staging!$B$2:$B$3001,$N706))</f>
      </c>
      <c r="C706">
        <f>IF($N706="","",INDEX(Staging!$C$2:$C$3001,$N706))</f>
      </c>
      <c r="D706">
        <f>IF($N706="","",INDEX(Staging!$D$2:$D$3001,$N706))</f>
      </c>
      <c r="E706">
        <f>IF($N706="","",INDEX(Staging!$F$2:$F$3001,$N706))</f>
      </c>
      <c r="F706">
        <f>IF($N706="","",INDEX(Staging!$G$2:$G$3001,$N706))</f>
      </c>
      <c r="G706">
        <f>IF($N706="","",INDEX(Staging!$H$2:$H$3001,$N706))</f>
      </c>
      <c r="H706">
        <f>IF($N706="","",INDEX(Staging!$I$2:$I$3001,$N706))</f>
      </c>
      <c r="I706">
        <f>IF($N706="","",INDEX(Staging!$J$2:$J$3001,$N706))</f>
      </c>
      <c r="J706">
        <f>IF($N706="","",INDEX(Staging!$K$2:$K$3001,$N706))</f>
      </c>
      <c r="K706">
        <f>IF($N706="","",INDEX(Staging!$M$2:$M$3001,$N706))</f>
      </c>
      <c r="L706">
        <f>IF($N706="","",INDEX(Staging!$O$2:$O$3001,$N706))</f>
      </c>
      <c r="M706">
        <f>IF($N706="","",INDEX(Staging!$P$2:$P$3001,$N706))</f>
      </c>
      <c r="N706">
        <f t="array" ref="N706">IFERROR(SMALL(IF(Staging!$E$2:$E$3001="MIPPL",ROW(Staging!$E$2:$E$3001)-ROW(Staging!$E$2)+1),705),"")</f>
      </c>
    </row>
    <row r="707" spans="1:14" x14ac:dyDescent="0.25">
      <c r="A707">
        <f>IF($N707="","",INDEX(Staging!$A$2:$A$3001,$N707))</f>
      </c>
      <c r="B707">
        <f>IF($N707="","",INDEX(Staging!$B$2:$B$3001,$N707))</f>
      </c>
      <c r="C707">
        <f>IF($N707="","",INDEX(Staging!$C$2:$C$3001,$N707))</f>
      </c>
      <c r="D707">
        <f>IF($N707="","",INDEX(Staging!$D$2:$D$3001,$N707))</f>
      </c>
      <c r="E707">
        <f>IF($N707="","",INDEX(Staging!$F$2:$F$3001,$N707))</f>
      </c>
      <c r="F707">
        <f>IF($N707="","",INDEX(Staging!$G$2:$G$3001,$N707))</f>
      </c>
      <c r="G707">
        <f>IF($N707="","",INDEX(Staging!$H$2:$H$3001,$N707))</f>
      </c>
      <c r="H707">
        <f>IF($N707="","",INDEX(Staging!$I$2:$I$3001,$N707))</f>
      </c>
      <c r="I707">
        <f>IF($N707="","",INDEX(Staging!$J$2:$J$3001,$N707))</f>
      </c>
      <c r="J707">
        <f>IF($N707="","",INDEX(Staging!$K$2:$K$3001,$N707))</f>
      </c>
      <c r="K707">
        <f>IF($N707="","",INDEX(Staging!$M$2:$M$3001,$N707))</f>
      </c>
      <c r="L707">
        <f>IF($N707="","",INDEX(Staging!$O$2:$O$3001,$N707))</f>
      </c>
      <c r="M707">
        <f>IF($N707="","",INDEX(Staging!$P$2:$P$3001,$N707))</f>
      </c>
      <c r="N707">
        <f t="array" ref="N707">IFERROR(SMALL(IF(Staging!$E$2:$E$3001="MIPPL",ROW(Staging!$E$2:$E$3001)-ROW(Staging!$E$2)+1),706),"")</f>
      </c>
    </row>
    <row r="708" spans="1:14" x14ac:dyDescent="0.25">
      <c r="A708">
        <f>IF($N708="","",INDEX(Staging!$A$2:$A$3001,$N708))</f>
      </c>
      <c r="B708">
        <f>IF($N708="","",INDEX(Staging!$B$2:$B$3001,$N708))</f>
      </c>
      <c r="C708">
        <f>IF($N708="","",INDEX(Staging!$C$2:$C$3001,$N708))</f>
      </c>
      <c r="D708">
        <f>IF($N708="","",INDEX(Staging!$D$2:$D$3001,$N708))</f>
      </c>
      <c r="E708">
        <f>IF($N708="","",INDEX(Staging!$F$2:$F$3001,$N708))</f>
      </c>
      <c r="F708">
        <f>IF($N708="","",INDEX(Staging!$G$2:$G$3001,$N708))</f>
      </c>
      <c r="G708">
        <f>IF($N708="","",INDEX(Staging!$H$2:$H$3001,$N708))</f>
      </c>
      <c r="H708">
        <f>IF($N708="","",INDEX(Staging!$I$2:$I$3001,$N708))</f>
      </c>
      <c r="I708">
        <f>IF($N708="","",INDEX(Staging!$J$2:$J$3001,$N708))</f>
      </c>
      <c r="J708">
        <f>IF($N708="","",INDEX(Staging!$K$2:$K$3001,$N708))</f>
      </c>
      <c r="K708">
        <f>IF($N708="","",INDEX(Staging!$M$2:$M$3001,$N708))</f>
      </c>
      <c r="L708">
        <f>IF($N708="","",INDEX(Staging!$O$2:$O$3001,$N708))</f>
      </c>
      <c r="M708">
        <f>IF($N708="","",INDEX(Staging!$P$2:$P$3001,$N708))</f>
      </c>
      <c r="N708">
        <f t="array" ref="N708">IFERROR(SMALL(IF(Staging!$E$2:$E$3001="MIPPL",ROW(Staging!$E$2:$E$3001)-ROW(Staging!$E$2)+1),707),"")</f>
      </c>
    </row>
    <row r="709" spans="1:14" x14ac:dyDescent="0.25">
      <c r="A709">
        <f>IF($N709="","",INDEX(Staging!$A$2:$A$3001,$N709))</f>
      </c>
      <c r="B709">
        <f>IF($N709="","",INDEX(Staging!$B$2:$B$3001,$N709))</f>
      </c>
      <c r="C709">
        <f>IF($N709="","",INDEX(Staging!$C$2:$C$3001,$N709))</f>
      </c>
      <c r="D709">
        <f>IF($N709="","",INDEX(Staging!$D$2:$D$3001,$N709))</f>
      </c>
      <c r="E709">
        <f>IF($N709="","",INDEX(Staging!$F$2:$F$3001,$N709))</f>
      </c>
      <c r="F709">
        <f>IF($N709="","",INDEX(Staging!$G$2:$G$3001,$N709))</f>
      </c>
      <c r="G709">
        <f>IF($N709="","",INDEX(Staging!$H$2:$H$3001,$N709))</f>
      </c>
      <c r="H709">
        <f>IF($N709="","",INDEX(Staging!$I$2:$I$3001,$N709))</f>
      </c>
      <c r="I709">
        <f>IF($N709="","",INDEX(Staging!$J$2:$J$3001,$N709))</f>
      </c>
      <c r="J709">
        <f>IF($N709="","",INDEX(Staging!$K$2:$K$3001,$N709))</f>
      </c>
      <c r="K709">
        <f>IF($N709="","",INDEX(Staging!$M$2:$M$3001,$N709))</f>
      </c>
      <c r="L709">
        <f>IF($N709="","",INDEX(Staging!$O$2:$O$3001,$N709))</f>
      </c>
      <c r="M709">
        <f>IF($N709="","",INDEX(Staging!$P$2:$P$3001,$N709))</f>
      </c>
      <c r="N709">
        <f t="array" ref="N709">IFERROR(SMALL(IF(Staging!$E$2:$E$3001="MIPPL",ROW(Staging!$E$2:$E$3001)-ROW(Staging!$E$2)+1),708),"")</f>
      </c>
    </row>
    <row r="710" spans="1:14" x14ac:dyDescent="0.25">
      <c r="A710">
        <f>IF($N710="","",INDEX(Staging!$A$2:$A$3001,$N710))</f>
      </c>
      <c r="B710">
        <f>IF($N710="","",INDEX(Staging!$B$2:$B$3001,$N710))</f>
      </c>
      <c r="C710">
        <f>IF($N710="","",INDEX(Staging!$C$2:$C$3001,$N710))</f>
      </c>
      <c r="D710">
        <f>IF($N710="","",INDEX(Staging!$D$2:$D$3001,$N710))</f>
      </c>
      <c r="E710">
        <f>IF($N710="","",INDEX(Staging!$F$2:$F$3001,$N710))</f>
      </c>
      <c r="F710">
        <f>IF($N710="","",INDEX(Staging!$G$2:$G$3001,$N710))</f>
      </c>
      <c r="G710">
        <f>IF($N710="","",INDEX(Staging!$H$2:$H$3001,$N710))</f>
      </c>
      <c r="H710">
        <f>IF($N710="","",INDEX(Staging!$I$2:$I$3001,$N710))</f>
      </c>
      <c r="I710">
        <f>IF($N710="","",INDEX(Staging!$J$2:$J$3001,$N710))</f>
      </c>
      <c r="J710">
        <f>IF($N710="","",INDEX(Staging!$K$2:$K$3001,$N710))</f>
      </c>
      <c r="K710">
        <f>IF($N710="","",INDEX(Staging!$M$2:$M$3001,$N710))</f>
      </c>
      <c r="L710">
        <f>IF($N710="","",INDEX(Staging!$O$2:$O$3001,$N710))</f>
      </c>
      <c r="M710">
        <f>IF($N710="","",INDEX(Staging!$P$2:$P$3001,$N710))</f>
      </c>
      <c r="N710">
        <f t="array" ref="N710">IFERROR(SMALL(IF(Staging!$E$2:$E$3001="MIPPL",ROW(Staging!$E$2:$E$3001)-ROW(Staging!$E$2)+1),709),"")</f>
      </c>
    </row>
    <row r="711" spans="1:14" x14ac:dyDescent="0.25">
      <c r="A711">
        <f>IF($N711="","",INDEX(Staging!$A$2:$A$3001,$N711))</f>
      </c>
      <c r="B711">
        <f>IF($N711="","",INDEX(Staging!$B$2:$B$3001,$N711))</f>
      </c>
      <c r="C711">
        <f>IF($N711="","",INDEX(Staging!$C$2:$C$3001,$N711))</f>
      </c>
      <c r="D711">
        <f>IF($N711="","",INDEX(Staging!$D$2:$D$3001,$N711))</f>
      </c>
      <c r="E711">
        <f>IF($N711="","",INDEX(Staging!$F$2:$F$3001,$N711))</f>
      </c>
      <c r="F711">
        <f>IF($N711="","",INDEX(Staging!$G$2:$G$3001,$N711))</f>
      </c>
      <c r="G711">
        <f>IF($N711="","",INDEX(Staging!$H$2:$H$3001,$N711))</f>
      </c>
      <c r="H711">
        <f>IF($N711="","",INDEX(Staging!$I$2:$I$3001,$N711))</f>
      </c>
      <c r="I711">
        <f>IF($N711="","",INDEX(Staging!$J$2:$J$3001,$N711))</f>
      </c>
      <c r="J711">
        <f>IF($N711="","",INDEX(Staging!$K$2:$K$3001,$N711))</f>
      </c>
      <c r="K711">
        <f>IF($N711="","",INDEX(Staging!$M$2:$M$3001,$N711))</f>
      </c>
      <c r="L711">
        <f>IF($N711="","",INDEX(Staging!$O$2:$O$3001,$N711))</f>
      </c>
      <c r="M711">
        <f>IF($N711="","",INDEX(Staging!$P$2:$P$3001,$N711))</f>
      </c>
      <c r="N711">
        <f t="array" ref="N711">IFERROR(SMALL(IF(Staging!$E$2:$E$3001="MIPPL",ROW(Staging!$E$2:$E$3001)-ROW(Staging!$E$2)+1),710),"")</f>
      </c>
    </row>
    <row r="712" spans="1:14" x14ac:dyDescent="0.25">
      <c r="A712">
        <f>IF($N712="","",INDEX(Staging!$A$2:$A$3001,$N712))</f>
      </c>
      <c r="B712">
        <f>IF($N712="","",INDEX(Staging!$B$2:$B$3001,$N712))</f>
      </c>
      <c r="C712">
        <f>IF($N712="","",INDEX(Staging!$C$2:$C$3001,$N712))</f>
      </c>
      <c r="D712">
        <f>IF($N712="","",INDEX(Staging!$D$2:$D$3001,$N712))</f>
      </c>
      <c r="E712">
        <f>IF($N712="","",INDEX(Staging!$F$2:$F$3001,$N712))</f>
      </c>
      <c r="F712">
        <f>IF($N712="","",INDEX(Staging!$G$2:$G$3001,$N712))</f>
      </c>
      <c r="G712">
        <f>IF($N712="","",INDEX(Staging!$H$2:$H$3001,$N712))</f>
      </c>
      <c r="H712">
        <f>IF($N712="","",INDEX(Staging!$I$2:$I$3001,$N712))</f>
      </c>
      <c r="I712">
        <f>IF($N712="","",INDEX(Staging!$J$2:$J$3001,$N712))</f>
      </c>
      <c r="J712">
        <f>IF($N712="","",INDEX(Staging!$K$2:$K$3001,$N712))</f>
      </c>
      <c r="K712">
        <f>IF($N712="","",INDEX(Staging!$M$2:$M$3001,$N712))</f>
      </c>
      <c r="L712">
        <f>IF($N712="","",INDEX(Staging!$O$2:$O$3001,$N712))</f>
      </c>
      <c r="M712">
        <f>IF($N712="","",INDEX(Staging!$P$2:$P$3001,$N712))</f>
      </c>
      <c r="N712">
        <f t="array" ref="N712">IFERROR(SMALL(IF(Staging!$E$2:$E$3001="MIPPL",ROW(Staging!$E$2:$E$3001)-ROW(Staging!$E$2)+1),711),"")</f>
      </c>
    </row>
    <row r="713" spans="1:14" x14ac:dyDescent="0.25">
      <c r="A713">
        <f>IF($N713="","",INDEX(Staging!$A$2:$A$3001,$N713))</f>
      </c>
      <c r="B713">
        <f>IF($N713="","",INDEX(Staging!$B$2:$B$3001,$N713))</f>
      </c>
      <c r="C713">
        <f>IF($N713="","",INDEX(Staging!$C$2:$C$3001,$N713))</f>
      </c>
      <c r="D713">
        <f>IF($N713="","",INDEX(Staging!$D$2:$D$3001,$N713))</f>
      </c>
      <c r="E713">
        <f>IF($N713="","",INDEX(Staging!$F$2:$F$3001,$N713))</f>
      </c>
      <c r="F713">
        <f>IF($N713="","",INDEX(Staging!$G$2:$G$3001,$N713))</f>
      </c>
      <c r="G713">
        <f>IF($N713="","",INDEX(Staging!$H$2:$H$3001,$N713))</f>
      </c>
      <c r="H713">
        <f>IF($N713="","",INDEX(Staging!$I$2:$I$3001,$N713))</f>
      </c>
      <c r="I713">
        <f>IF($N713="","",INDEX(Staging!$J$2:$J$3001,$N713))</f>
      </c>
      <c r="J713">
        <f>IF($N713="","",INDEX(Staging!$K$2:$K$3001,$N713))</f>
      </c>
      <c r="K713">
        <f>IF($N713="","",INDEX(Staging!$M$2:$M$3001,$N713))</f>
      </c>
      <c r="L713">
        <f>IF($N713="","",INDEX(Staging!$O$2:$O$3001,$N713))</f>
      </c>
      <c r="M713">
        <f>IF($N713="","",INDEX(Staging!$P$2:$P$3001,$N713))</f>
      </c>
      <c r="N713">
        <f t="array" ref="N713">IFERROR(SMALL(IF(Staging!$E$2:$E$3001="MIPPL",ROW(Staging!$E$2:$E$3001)-ROW(Staging!$E$2)+1),712),"")</f>
      </c>
    </row>
    <row r="714" spans="1:14" x14ac:dyDescent="0.25">
      <c r="A714">
        <f>IF($N714="","",INDEX(Staging!$A$2:$A$3001,$N714))</f>
      </c>
      <c r="B714">
        <f>IF($N714="","",INDEX(Staging!$B$2:$B$3001,$N714))</f>
      </c>
      <c r="C714">
        <f>IF($N714="","",INDEX(Staging!$C$2:$C$3001,$N714))</f>
      </c>
      <c r="D714">
        <f>IF($N714="","",INDEX(Staging!$D$2:$D$3001,$N714))</f>
      </c>
      <c r="E714">
        <f>IF($N714="","",INDEX(Staging!$F$2:$F$3001,$N714))</f>
      </c>
      <c r="F714">
        <f>IF($N714="","",INDEX(Staging!$G$2:$G$3001,$N714))</f>
      </c>
      <c r="G714">
        <f>IF($N714="","",INDEX(Staging!$H$2:$H$3001,$N714))</f>
      </c>
      <c r="H714">
        <f>IF($N714="","",INDEX(Staging!$I$2:$I$3001,$N714))</f>
      </c>
      <c r="I714">
        <f>IF($N714="","",INDEX(Staging!$J$2:$J$3001,$N714))</f>
      </c>
      <c r="J714">
        <f>IF($N714="","",INDEX(Staging!$K$2:$K$3001,$N714))</f>
      </c>
      <c r="K714">
        <f>IF($N714="","",INDEX(Staging!$M$2:$M$3001,$N714))</f>
      </c>
      <c r="L714">
        <f>IF($N714="","",INDEX(Staging!$O$2:$O$3001,$N714))</f>
      </c>
      <c r="M714">
        <f>IF($N714="","",INDEX(Staging!$P$2:$P$3001,$N714))</f>
      </c>
      <c r="N714">
        <f t="array" ref="N714">IFERROR(SMALL(IF(Staging!$E$2:$E$3001="MIPPL",ROW(Staging!$E$2:$E$3001)-ROW(Staging!$E$2)+1),713),"")</f>
      </c>
    </row>
    <row r="715" spans="1:14" x14ac:dyDescent="0.25">
      <c r="A715">
        <f>IF($N715="","",INDEX(Staging!$A$2:$A$3001,$N715))</f>
      </c>
      <c r="B715">
        <f>IF($N715="","",INDEX(Staging!$B$2:$B$3001,$N715))</f>
      </c>
      <c r="C715">
        <f>IF($N715="","",INDEX(Staging!$C$2:$C$3001,$N715))</f>
      </c>
      <c r="D715">
        <f>IF($N715="","",INDEX(Staging!$D$2:$D$3001,$N715))</f>
      </c>
      <c r="E715">
        <f>IF($N715="","",INDEX(Staging!$F$2:$F$3001,$N715))</f>
      </c>
      <c r="F715">
        <f>IF($N715="","",INDEX(Staging!$G$2:$G$3001,$N715))</f>
      </c>
      <c r="G715">
        <f>IF($N715="","",INDEX(Staging!$H$2:$H$3001,$N715))</f>
      </c>
      <c r="H715">
        <f>IF($N715="","",INDEX(Staging!$I$2:$I$3001,$N715))</f>
      </c>
      <c r="I715">
        <f>IF($N715="","",INDEX(Staging!$J$2:$J$3001,$N715))</f>
      </c>
      <c r="J715">
        <f>IF($N715="","",INDEX(Staging!$K$2:$K$3001,$N715))</f>
      </c>
      <c r="K715">
        <f>IF($N715="","",INDEX(Staging!$M$2:$M$3001,$N715))</f>
      </c>
      <c r="L715">
        <f>IF($N715="","",INDEX(Staging!$O$2:$O$3001,$N715))</f>
      </c>
      <c r="M715">
        <f>IF($N715="","",INDEX(Staging!$P$2:$P$3001,$N715))</f>
      </c>
      <c r="N715">
        <f t="array" ref="N715">IFERROR(SMALL(IF(Staging!$E$2:$E$3001="MIPPL",ROW(Staging!$E$2:$E$3001)-ROW(Staging!$E$2)+1),714),"")</f>
      </c>
    </row>
    <row r="716" spans="1:14" x14ac:dyDescent="0.25">
      <c r="A716">
        <f>IF($N716="","",INDEX(Staging!$A$2:$A$3001,$N716))</f>
      </c>
      <c r="B716">
        <f>IF($N716="","",INDEX(Staging!$B$2:$B$3001,$N716))</f>
      </c>
      <c r="C716">
        <f>IF($N716="","",INDEX(Staging!$C$2:$C$3001,$N716))</f>
      </c>
      <c r="D716">
        <f>IF($N716="","",INDEX(Staging!$D$2:$D$3001,$N716))</f>
      </c>
      <c r="E716">
        <f>IF($N716="","",INDEX(Staging!$F$2:$F$3001,$N716))</f>
      </c>
      <c r="F716">
        <f>IF($N716="","",INDEX(Staging!$G$2:$G$3001,$N716))</f>
      </c>
      <c r="G716">
        <f>IF($N716="","",INDEX(Staging!$H$2:$H$3001,$N716))</f>
      </c>
      <c r="H716">
        <f>IF($N716="","",INDEX(Staging!$I$2:$I$3001,$N716))</f>
      </c>
      <c r="I716">
        <f>IF($N716="","",INDEX(Staging!$J$2:$J$3001,$N716))</f>
      </c>
      <c r="J716">
        <f>IF($N716="","",INDEX(Staging!$K$2:$K$3001,$N716))</f>
      </c>
      <c r="K716">
        <f>IF($N716="","",INDEX(Staging!$M$2:$M$3001,$N716))</f>
      </c>
      <c r="L716">
        <f>IF($N716="","",INDEX(Staging!$O$2:$O$3001,$N716))</f>
      </c>
      <c r="M716">
        <f>IF($N716="","",INDEX(Staging!$P$2:$P$3001,$N716))</f>
      </c>
      <c r="N716">
        <f t="array" ref="N716">IFERROR(SMALL(IF(Staging!$E$2:$E$3001="MIPPL",ROW(Staging!$E$2:$E$3001)-ROW(Staging!$E$2)+1),715),"")</f>
      </c>
    </row>
    <row r="717" spans="1:14" x14ac:dyDescent="0.25">
      <c r="A717">
        <f>IF($N717="","",INDEX(Staging!$A$2:$A$3001,$N717))</f>
      </c>
      <c r="B717">
        <f>IF($N717="","",INDEX(Staging!$B$2:$B$3001,$N717))</f>
      </c>
      <c r="C717">
        <f>IF($N717="","",INDEX(Staging!$C$2:$C$3001,$N717))</f>
      </c>
      <c r="D717">
        <f>IF($N717="","",INDEX(Staging!$D$2:$D$3001,$N717))</f>
      </c>
      <c r="E717">
        <f>IF($N717="","",INDEX(Staging!$F$2:$F$3001,$N717))</f>
      </c>
      <c r="F717">
        <f>IF($N717="","",INDEX(Staging!$G$2:$G$3001,$N717))</f>
      </c>
      <c r="G717">
        <f>IF($N717="","",INDEX(Staging!$H$2:$H$3001,$N717))</f>
      </c>
      <c r="H717">
        <f>IF($N717="","",INDEX(Staging!$I$2:$I$3001,$N717))</f>
      </c>
      <c r="I717">
        <f>IF($N717="","",INDEX(Staging!$J$2:$J$3001,$N717))</f>
      </c>
      <c r="J717">
        <f>IF($N717="","",INDEX(Staging!$K$2:$K$3001,$N717))</f>
      </c>
      <c r="K717">
        <f>IF($N717="","",INDEX(Staging!$M$2:$M$3001,$N717))</f>
      </c>
      <c r="L717">
        <f>IF($N717="","",INDEX(Staging!$O$2:$O$3001,$N717))</f>
      </c>
      <c r="M717">
        <f>IF($N717="","",INDEX(Staging!$P$2:$P$3001,$N717))</f>
      </c>
      <c r="N717">
        <f t="array" ref="N717">IFERROR(SMALL(IF(Staging!$E$2:$E$3001="MIPPL",ROW(Staging!$E$2:$E$3001)-ROW(Staging!$E$2)+1),716),"")</f>
      </c>
    </row>
    <row r="718" spans="1:14" x14ac:dyDescent="0.25">
      <c r="A718">
        <f>IF($N718="","",INDEX(Staging!$A$2:$A$3001,$N718))</f>
      </c>
      <c r="B718">
        <f>IF($N718="","",INDEX(Staging!$B$2:$B$3001,$N718))</f>
      </c>
      <c r="C718">
        <f>IF($N718="","",INDEX(Staging!$C$2:$C$3001,$N718))</f>
      </c>
      <c r="D718">
        <f>IF($N718="","",INDEX(Staging!$D$2:$D$3001,$N718))</f>
      </c>
      <c r="E718">
        <f>IF($N718="","",INDEX(Staging!$F$2:$F$3001,$N718))</f>
      </c>
      <c r="F718">
        <f>IF($N718="","",INDEX(Staging!$G$2:$G$3001,$N718))</f>
      </c>
      <c r="G718">
        <f>IF($N718="","",INDEX(Staging!$H$2:$H$3001,$N718))</f>
      </c>
      <c r="H718">
        <f>IF($N718="","",INDEX(Staging!$I$2:$I$3001,$N718))</f>
      </c>
      <c r="I718">
        <f>IF($N718="","",INDEX(Staging!$J$2:$J$3001,$N718))</f>
      </c>
      <c r="J718">
        <f>IF($N718="","",INDEX(Staging!$K$2:$K$3001,$N718))</f>
      </c>
      <c r="K718">
        <f>IF($N718="","",INDEX(Staging!$M$2:$M$3001,$N718))</f>
      </c>
      <c r="L718">
        <f>IF($N718="","",INDEX(Staging!$O$2:$O$3001,$N718))</f>
      </c>
      <c r="M718">
        <f>IF($N718="","",INDEX(Staging!$P$2:$P$3001,$N718))</f>
      </c>
      <c r="N718">
        <f t="array" ref="N718">IFERROR(SMALL(IF(Staging!$E$2:$E$3001="MIPPL",ROW(Staging!$E$2:$E$3001)-ROW(Staging!$E$2)+1),717),"")</f>
      </c>
    </row>
    <row r="719" spans="1:14" x14ac:dyDescent="0.25">
      <c r="A719">
        <f>IF($N719="","",INDEX(Staging!$A$2:$A$3001,$N719))</f>
      </c>
      <c r="B719">
        <f>IF($N719="","",INDEX(Staging!$B$2:$B$3001,$N719))</f>
      </c>
      <c r="C719">
        <f>IF($N719="","",INDEX(Staging!$C$2:$C$3001,$N719))</f>
      </c>
      <c r="D719">
        <f>IF($N719="","",INDEX(Staging!$D$2:$D$3001,$N719))</f>
      </c>
      <c r="E719">
        <f>IF($N719="","",INDEX(Staging!$F$2:$F$3001,$N719))</f>
      </c>
      <c r="F719">
        <f>IF($N719="","",INDEX(Staging!$G$2:$G$3001,$N719))</f>
      </c>
      <c r="G719">
        <f>IF($N719="","",INDEX(Staging!$H$2:$H$3001,$N719))</f>
      </c>
      <c r="H719">
        <f>IF($N719="","",INDEX(Staging!$I$2:$I$3001,$N719))</f>
      </c>
      <c r="I719">
        <f>IF($N719="","",INDEX(Staging!$J$2:$J$3001,$N719))</f>
      </c>
      <c r="J719">
        <f>IF($N719="","",INDEX(Staging!$K$2:$K$3001,$N719))</f>
      </c>
      <c r="K719">
        <f>IF($N719="","",INDEX(Staging!$M$2:$M$3001,$N719))</f>
      </c>
      <c r="L719">
        <f>IF($N719="","",INDEX(Staging!$O$2:$O$3001,$N719))</f>
      </c>
      <c r="M719">
        <f>IF($N719="","",INDEX(Staging!$P$2:$P$3001,$N719))</f>
      </c>
      <c r="N719">
        <f t="array" ref="N719">IFERROR(SMALL(IF(Staging!$E$2:$E$3001="MIPPL",ROW(Staging!$E$2:$E$3001)-ROW(Staging!$E$2)+1),718),"")</f>
      </c>
    </row>
    <row r="720" spans="1:14" x14ac:dyDescent="0.25">
      <c r="A720">
        <f>IF($N720="","",INDEX(Staging!$A$2:$A$3001,$N720))</f>
      </c>
      <c r="B720">
        <f>IF($N720="","",INDEX(Staging!$B$2:$B$3001,$N720))</f>
      </c>
      <c r="C720">
        <f>IF($N720="","",INDEX(Staging!$C$2:$C$3001,$N720))</f>
      </c>
      <c r="D720">
        <f>IF($N720="","",INDEX(Staging!$D$2:$D$3001,$N720))</f>
      </c>
      <c r="E720">
        <f>IF($N720="","",INDEX(Staging!$F$2:$F$3001,$N720))</f>
      </c>
      <c r="F720">
        <f>IF($N720="","",INDEX(Staging!$G$2:$G$3001,$N720))</f>
      </c>
      <c r="G720">
        <f>IF($N720="","",INDEX(Staging!$H$2:$H$3001,$N720))</f>
      </c>
      <c r="H720">
        <f>IF($N720="","",INDEX(Staging!$I$2:$I$3001,$N720))</f>
      </c>
      <c r="I720">
        <f>IF($N720="","",INDEX(Staging!$J$2:$J$3001,$N720))</f>
      </c>
      <c r="J720">
        <f>IF($N720="","",INDEX(Staging!$K$2:$K$3001,$N720))</f>
      </c>
      <c r="K720">
        <f>IF($N720="","",INDEX(Staging!$M$2:$M$3001,$N720))</f>
      </c>
      <c r="L720">
        <f>IF($N720="","",INDEX(Staging!$O$2:$O$3001,$N720))</f>
      </c>
      <c r="M720">
        <f>IF($N720="","",INDEX(Staging!$P$2:$P$3001,$N720))</f>
      </c>
      <c r="N720">
        <f t="array" ref="N720">IFERROR(SMALL(IF(Staging!$E$2:$E$3001="MIPPL",ROW(Staging!$E$2:$E$3001)-ROW(Staging!$E$2)+1),719),"")</f>
      </c>
    </row>
    <row r="721" spans="1:14" x14ac:dyDescent="0.25">
      <c r="A721">
        <f>IF($N721="","",INDEX(Staging!$A$2:$A$3001,$N721))</f>
      </c>
      <c r="B721">
        <f>IF($N721="","",INDEX(Staging!$B$2:$B$3001,$N721))</f>
      </c>
      <c r="C721">
        <f>IF($N721="","",INDEX(Staging!$C$2:$C$3001,$N721))</f>
      </c>
      <c r="D721">
        <f>IF($N721="","",INDEX(Staging!$D$2:$D$3001,$N721))</f>
      </c>
      <c r="E721">
        <f>IF($N721="","",INDEX(Staging!$F$2:$F$3001,$N721))</f>
      </c>
      <c r="F721">
        <f>IF($N721="","",INDEX(Staging!$G$2:$G$3001,$N721))</f>
      </c>
      <c r="G721">
        <f>IF($N721="","",INDEX(Staging!$H$2:$H$3001,$N721))</f>
      </c>
      <c r="H721">
        <f>IF($N721="","",INDEX(Staging!$I$2:$I$3001,$N721))</f>
      </c>
      <c r="I721">
        <f>IF($N721="","",INDEX(Staging!$J$2:$J$3001,$N721))</f>
      </c>
      <c r="J721">
        <f>IF($N721="","",INDEX(Staging!$K$2:$K$3001,$N721))</f>
      </c>
      <c r="K721">
        <f>IF($N721="","",INDEX(Staging!$M$2:$M$3001,$N721))</f>
      </c>
      <c r="L721">
        <f>IF($N721="","",INDEX(Staging!$O$2:$O$3001,$N721))</f>
      </c>
      <c r="M721">
        <f>IF($N721="","",INDEX(Staging!$P$2:$P$3001,$N721))</f>
      </c>
      <c r="N721">
        <f t="array" ref="N721">IFERROR(SMALL(IF(Staging!$E$2:$E$3001="MIPPL",ROW(Staging!$E$2:$E$3001)-ROW(Staging!$E$2)+1),720),"")</f>
      </c>
    </row>
    <row r="722" spans="1:14" x14ac:dyDescent="0.25">
      <c r="A722">
        <f>IF($N722="","",INDEX(Staging!$A$2:$A$3001,$N722))</f>
      </c>
      <c r="B722">
        <f>IF($N722="","",INDEX(Staging!$B$2:$B$3001,$N722))</f>
      </c>
      <c r="C722">
        <f>IF($N722="","",INDEX(Staging!$C$2:$C$3001,$N722))</f>
      </c>
      <c r="D722">
        <f>IF($N722="","",INDEX(Staging!$D$2:$D$3001,$N722))</f>
      </c>
      <c r="E722">
        <f>IF($N722="","",INDEX(Staging!$F$2:$F$3001,$N722))</f>
      </c>
      <c r="F722">
        <f>IF($N722="","",INDEX(Staging!$G$2:$G$3001,$N722))</f>
      </c>
      <c r="G722">
        <f>IF($N722="","",INDEX(Staging!$H$2:$H$3001,$N722))</f>
      </c>
      <c r="H722">
        <f>IF($N722="","",INDEX(Staging!$I$2:$I$3001,$N722))</f>
      </c>
      <c r="I722">
        <f>IF($N722="","",INDEX(Staging!$J$2:$J$3001,$N722))</f>
      </c>
      <c r="J722">
        <f>IF($N722="","",INDEX(Staging!$K$2:$K$3001,$N722))</f>
      </c>
      <c r="K722">
        <f>IF($N722="","",INDEX(Staging!$M$2:$M$3001,$N722))</f>
      </c>
      <c r="L722">
        <f>IF($N722="","",INDEX(Staging!$O$2:$O$3001,$N722))</f>
      </c>
      <c r="M722">
        <f>IF($N722="","",INDEX(Staging!$P$2:$P$3001,$N722))</f>
      </c>
      <c r="N722">
        <f t="array" ref="N722">IFERROR(SMALL(IF(Staging!$E$2:$E$3001="MIPPL",ROW(Staging!$E$2:$E$3001)-ROW(Staging!$E$2)+1),721),"")</f>
      </c>
    </row>
    <row r="723" spans="1:14" x14ac:dyDescent="0.25">
      <c r="A723">
        <f>IF($N723="","",INDEX(Staging!$A$2:$A$3001,$N723))</f>
      </c>
      <c r="B723">
        <f>IF($N723="","",INDEX(Staging!$B$2:$B$3001,$N723))</f>
      </c>
      <c r="C723">
        <f>IF($N723="","",INDEX(Staging!$C$2:$C$3001,$N723))</f>
      </c>
      <c r="D723">
        <f>IF($N723="","",INDEX(Staging!$D$2:$D$3001,$N723))</f>
      </c>
      <c r="E723">
        <f>IF($N723="","",INDEX(Staging!$F$2:$F$3001,$N723))</f>
      </c>
      <c r="F723">
        <f>IF($N723="","",INDEX(Staging!$G$2:$G$3001,$N723))</f>
      </c>
      <c r="G723">
        <f>IF($N723="","",INDEX(Staging!$H$2:$H$3001,$N723))</f>
      </c>
      <c r="H723">
        <f>IF($N723="","",INDEX(Staging!$I$2:$I$3001,$N723))</f>
      </c>
      <c r="I723">
        <f>IF($N723="","",INDEX(Staging!$J$2:$J$3001,$N723))</f>
      </c>
      <c r="J723">
        <f>IF($N723="","",INDEX(Staging!$K$2:$K$3001,$N723))</f>
      </c>
      <c r="K723">
        <f>IF($N723="","",INDEX(Staging!$M$2:$M$3001,$N723))</f>
      </c>
      <c r="L723">
        <f>IF($N723="","",INDEX(Staging!$O$2:$O$3001,$N723))</f>
      </c>
      <c r="M723">
        <f>IF($N723="","",INDEX(Staging!$P$2:$P$3001,$N723))</f>
      </c>
      <c r="N723">
        <f t="array" ref="N723">IFERROR(SMALL(IF(Staging!$E$2:$E$3001="MIPPL",ROW(Staging!$E$2:$E$3001)-ROW(Staging!$E$2)+1),722),"")</f>
      </c>
    </row>
    <row r="724" spans="1:14" x14ac:dyDescent="0.25">
      <c r="A724">
        <f>IF($N724="","",INDEX(Staging!$A$2:$A$3001,$N724))</f>
      </c>
      <c r="B724">
        <f>IF($N724="","",INDEX(Staging!$B$2:$B$3001,$N724))</f>
      </c>
      <c r="C724">
        <f>IF($N724="","",INDEX(Staging!$C$2:$C$3001,$N724))</f>
      </c>
      <c r="D724">
        <f>IF($N724="","",INDEX(Staging!$D$2:$D$3001,$N724))</f>
      </c>
      <c r="E724">
        <f>IF($N724="","",INDEX(Staging!$F$2:$F$3001,$N724))</f>
      </c>
      <c r="F724">
        <f>IF($N724="","",INDEX(Staging!$G$2:$G$3001,$N724))</f>
      </c>
      <c r="G724">
        <f>IF($N724="","",INDEX(Staging!$H$2:$H$3001,$N724))</f>
      </c>
      <c r="H724">
        <f>IF($N724="","",INDEX(Staging!$I$2:$I$3001,$N724))</f>
      </c>
      <c r="I724">
        <f>IF($N724="","",INDEX(Staging!$J$2:$J$3001,$N724))</f>
      </c>
      <c r="J724">
        <f>IF($N724="","",INDEX(Staging!$K$2:$K$3001,$N724))</f>
      </c>
      <c r="K724">
        <f>IF($N724="","",INDEX(Staging!$M$2:$M$3001,$N724))</f>
      </c>
      <c r="L724">
        <f>IF($N724="","",INDEX(Staging!$O$2:$O$3001,$N724))</f>
      </c>
      <c r="M724">
        <f>IF($N724="","",INDEX(Staging!$P$2:$P$3001,$N724))</f>
      </c>
      <c r="N724">
        <f t="array" ref="N724">IFERROR(SMALL(IF(Staging!$E$2:$E$3001="MIPPL",ROW(Staging!$E$2:$E$3001)-ROW(Staging!$E$2)+1),723),"")</f>
      </c>
    </row>
    <row r="725" spans="1:14" x14ac:dyDescent="0.25">
      <c r="A725">
        <f>IF($N725="","",INDEX(Staging!$A$2:$A$3001,$N725))</f>
      </c>
      <c r="B725">
        <f>IF($N725="","",INDEX(Staging!$B$2:$B$3001,$N725))</f>
      </c>
      <c r="C725">
        <f>IF($N725="","",INDEX(Staging!$C$2:$C$3001,$N725))</f>
      </c>
      <c r="D725">
        <f>IF($N725="","",INDEX(Staging!$D$2:$D$3001,$N725))</f>
      </c>
      <c r="E725">
        <f>IF($N725="","",INDEX(Staging!$F$2:$F$3001,$N725))</f>
      </c>
      <c r="F725">
        <f>IF($N725="","",INDEX(Staging!$G$2:$G$3001,$N725))</f>
      </c>
      <c r="G725">
        <f>IF($N725="","",INDEX(Staging!$H$2:$H$3001,$N725))</f>
      </c>
      <c r="H725">
        <f>IF($N725="","",INDEX(Staging!$I$2:$I$3001,$N725))</f>
      </c>
      <c r="I725">
        <f>IF($N725="","",INDEX(Staging!$J$2:$J$3001,$N725))</f>
      </c>
      <c r="J725">
        <f>IF($N725="","",INDEX(Staging!$K$2:$K$3001,$N725))</f>
      </c>
      <c r="K725">
        <f>IF($N725="","",INDEX(Staging!$M$2:$M$3001,$N725))</f>
      </c>
      <c r="L725">
        <f>IF($N725="","",INDEX(Staging!$O$2:$O$3001,$N725))</f>
      </c>
      <c r="M725">
        <f>IF($N725="","",INDEX(Staging!$P$2:$P$3001,$N725))</f>
      </c>
      <c r="N725">
        <f t="array" ref="N725">IFERROR(SMALL(IF(Staging!$E$2:$E$3001="MIPPL",ROW(Staging!$E$2:$E$3001)-ROW(Staging!$E$2)+1),724),"")</f>
      </c>
    </row>
    <row r="726" spans="1:14" x14ac:dyDescent="0.25">
      <c r="A726">
        <f>IF($N726="","",INDEX(Staging!$A$2:$A$3001,$N726))</f>
      </c>
      <c r="B726">
        <f>IF($N726="","",INDEX(Staging!$B$2:$B$3001,$N726))</f>
      </c>
      <c r="C726">
        <f>IF($N726="","",INDEX(Staging!$C$2:$C$3001,$N726))</f>
      </c>
      <c r="D726">
        <f>IF($N726="","",INDEX(Staging!$D$2:$D$3001,$N726))</f>
      </c>
      <c r="E726">
        <f>IF($N726="","",INDEX(Staging!$F$2:$F$3001,$N726))</f>
      </c>
      <c r="F726">
        <f>IF($N726="","",INDEX(Staging!$G$2:$G$3001,$N726))</f>
      </c>
      <c r="G726">
        <f>IF($N726="","",INDEX(Staging!$H$2:$H$3001,$N726))</f>
      </c>
      <c r="H726">
        <f>IF($N726="","",INDEX(Staging!$I$2:$I$3001,$N726))</f>
      </c>
      <c r="I726">
        <f>IF($N726="","",INDEX(Staging!$J$2:$J$3001,$N726))</f>
      </c>
      <c r="J726">
        <f>IF($N726="","",INDEX(Staging!$K$2:$K$3001,$N726))</f>
      </c>
      <c r="K726">
        <f>IF($N726="","",INDEX(Staging!$M$2:$M$3001,$N726))</f>
      </c>
      <c r="L726">
        <f>IF($N726="","",INDEX(Staging!$O$2:$O$3001,$N726))</f>
      </c>
      <c r="M726">
        <f>IF($N726="","",INDEX(Staging!$P$2:$P$3001,$N726))</f>
      </c>
      <c r="N726">
        <f t="array" ref="N726">IFERROR(SMALL(IF(Staging!$E$2:$E$3001="MIPPL",ROW(Staging!$E$2:$E$3001)-ROW(Staging!$E$2)+1),725),"")</f>
      </c>
    </row>
    <row r="727" spans="1:14" x14ac:dyDescent="0.25">
      <c r="A727">
        <f>IF($N727="","",INDEX(Staging!$A$2:$A$3001,$N727))</f>
      </c>
      <c r="B727">
        <f>IF($N727="","",INDEX(Staging!$B$2:$B$3001,$N727))</f>
      </c>
      <c r="C727">
        <f>IF($N727="","",INDEX(Staging!$C$2:$C$3001,$N727))</f>
      </c>
      <c r="D727">
        <f>IF($N727="","",INDEX(Staging!$D$2:$D$3001,$N727))</f>
      </c>
      <c r="E727">
        <f>IF($N727="","",INDEX(Staging!$F$2:$F$3001,$N727))</f>
      </c>
      <c r="F727">
        <f>IF($N727="","",INDEX(Staging!$G$2:$G$3001,$N727))</f>
      </c>
      <c r="G727">
        <f>IF($N727="","",INDEX(Staging!$H$2:$H$3001,$N727))</f>
      </c>
      <c r="H727">
        <f>IF($N727="","",INDEX(Staging!$I$2:$I$3001,$N727))</f>
      </c>
      <c r="I727">
        <f>IF($N727="","",INDEX(Staging!$J$2:$J$3001,$N727))</f>
      </c>
      <c r="J727">
        <f>IF($N727="","",INDEX(Staging!$K$2:$K$3001,$N727))</f>
      </c>
      <c r="K727">
        <f>IF($N727="","",INDEX(Staging!$M$2:$M$3001,$N727))</f>
      </c>
      <c r="L727">
        <f>IF($N727="","",INDEX(Staging!$O$2:$O$3001,$N727))</f>
      </c>
      <c r="M727">
        <f>IF($N727="","",INDEX(Staging!$P$2:$P$3001,$N727))</f>
      </c>
      <c r="N727">
        <f t="array" ref="N727">IFERROR(SMALL(IF(Staging!$E$2:$E$3001="MIPPL",ROW(Staging!$E$2:$E$3001)-ROW(Staging!$E$2)+1),726),"")</f>
      </c>
    </row>
    <row r="728" spans="1:14" x14ac:dyDescent="0.25">
      <c r="A728">
        <f>IF($N728="","",INDEX(Staging!$A$2:$A$3001,$N728))</f>
      </c>
      <c r="B728">
        <f>IF($N728="","",INDEX(Staging!$B$2:$B$3001,$N728))</f>
      </c>
      <c r="C728">
        <f>IF($N728="","",INDEX(Staging!$C$2:$C$3001,$N728))</f>
      </c>
      <c r="D728">
        <f>IF($N728="","",INDEX(Staging!$D$2:$D$3001,$N728))</f>
      </c>
      <c r="E728">
        <f>IF($N728="","",INDEX(Staging!$F$2:$F$3001,$N728))</f>
      </c>
      <c r="F728">
        <f>IF($N728="","",INDEX(Staging!$G$2:$G$3001,$N728))</f>
      </c>
      <c r="G728">
        <f>IF($N728="","",INDEX(Staging!$H$2:$H$3001,$N728))</f>
      </c>
      <c r="H728">
        <f>IF($N728="","",INDEX(Staging!$I$2:$I$3001,$N728))</f>
      </c>
      <c r="I728">
        <f>IF($N728="","",INDEX(Staging!$J$2:$J$3001,$N728))</f>
      </c>
      <c r="J728">
        <f>IF($N728="","",INDEX(Staging!$K$2:$K$3001,$N728))</f>
      </c>
      <c r="K728">
        <f>IF($N728="","",INDEX(Staging!$M$2:$M$3001,$N728))</f>
      </c>
      <c r="L728">
        <f>IF($N728="","",INDEX(Staging!$O$2:$O$3001,$N728))</f>
      </c>
      <c r="M728">
        <f>IF($N728="","",INDEX(Staging!$P$2:$P$3001,$N728))</f>
      </c>
      <c r="N728">
        <f t="array" ref="N728">IFERROR(SMALL(IF(Staging!$E$2:$E$3001="MIPPL",ROW(Staging!$E$2:$E$3001)-ROW(Staging!$E$2)+1),727),"")</f>
      </c>
    </row>
    <row r="729" spans="1:14" x14ac:dyDescent="0.25">
      <c r="A729">
        <f>IF($N729="","",INDEX(Staging!$A$2:$A$3001,$N729))</f>
      </c>
      <c r="B729">
        <f>IF($N729="","",INDEX(Staging!$B$2:$B$3001,$N729))</f>
      </c>
      <c r="C729">
        <f>IF($N729="","",INDEX(Staging!$C$2:$C$3001,$N729))</f>
      </c>
      <c r="D729">
        <f>IF($N729="","",INDEX(Staging!$D$2:$D$3001,$N729))</f>
      </c>
      <c r="E729">
        <f>IF($N729="","",INDEX(Staging!$F$2:$F$3001,$N729))</f>
      </c>
      <c r="F729">
        <f>IF($N729="","",INDEX(Staging!$G$2:$G$3001,$N729))</f>
      </c>
      <c r="G729">
        <f>IF($N729="","",INDEX(Staging!$H$2:$H$3001,$N729))</f>
      </c>
      <c r="H729">
        <f>IF($N729="","",INDEX(Staging!$I$2:$I$3001,$N729))</f>
      </c>
      <c r="I729">
        <f>IF($N729="","",INDEX(Staging!$J$2:$J$3001,$N729))</f>
      </c>
      <c r="J729">
        <f>IF($N729="","",INDEX(Staging!$K$2:$K$3001,$N729))</f>
      </c>
      <c r="K729">
        <f>IF($N729="","",INDEX(Staging!$M$2:$M$3001,$N729))</f>
      </c>
      <c r="L729">
        <f>IF($N729="","",INDEX(Staging!$O$2:$O$3001,$N729))</f>
      </c>
      <c r="M729">
        <f>IF($N729="","",INDEX(Staging!$P$2:$P$3001,$N729))</f>
      </c>
      <c r="N729">
        <f t="array" ref="N729">IFERROR(SMALL(IF(Staging!$E$2:$E$3001="MIPPL",ROW(Staging!$E$2:$E$3001)-ROW(Staging!$E$2)+1),728),"")</f>
      </c>
    </row>
    <row r="730" spans="1:14" x14ac:dyDescent="0.25">
      <c r="A730">
        <f>IF($N730="","",INDEX(Staging!$A$2:$A$3001,$N730))</f>
      </c>
      <c r="B730">
        <f>IF($N730="","",INDEX(Staging!$B$2:$B$3001,$N730))</f>
      </c>
      <c r="C730">
        <f>IF($N730="","",INDEX(Staging!$C$2:$C$3001,$N730))</f>
      </c>
      <c r="D730">
        <f>IF($N730="","",INDEX(Staging!$D$2:$D$3001,$N730))</f>
      </c>
      <c r="E730">
        <f>IF($N730="","",INDEX(Staging!$F$2:$F$3001,$N730))</f>
      </c>
      <c r="F730">
        <f>IF($N730="","",INDEX(Staging!$G$2:$G$3001,$N730))</f>
      </c>
      <c r="G730">
        <f>IF($N730="","",INDEX(Staging!$H$2:$H$3001,$N730))</f>
      </c>
      <c r="H730">
        <f>IF($N730="","",INDEX(Staging!$I$2:$I$3001,$N730))</f>
      </c>
      <c r="I730">
        <f>IF($N730="","",INDEX(Staging!$J$2:$J$3001,$N730))</f>
      </c>
      <c r="J730">
        <f>IF($N730="","",INDEX(Staging!$K$2:$K$3001,$N730))</f>
      </c>
      <c r="K730">
        <f>IF($N730="","",INDEX(Staging!$M$2:$M$3001,$N730))</f>
      </c>
      <c r="L730">
        <f>IF($N730="","",INDEX(Staging!$O$2:$O$3001,$N730))</f>
      </c>
      <c r="M730">
        <f>IF($N730="","",INDEX(Staging!$P$2:$P$3001,$N730))</f>
      </c>
      <c r="N730">
        <f t="array" ref="N730">IFERROR(SMALL(IF(Staging!$E$2:$E$3001="MIPPL",ROW(Staging!$E$2:$E$3001)-ROW(Staging!$E$2)+1),729),"")</f>
      </c>
    </row>
    <row r="731" spans="1:14" x14ac:dyDescent="0.25">
      <c r="A731">
        <f>IF($N731="","",INDEX(Staging!$A$2:$A$3001,$N731))</f>
      </c>
      <c r="B731">
        <f>IF($N731="","",INDEX(Staging!$B$2:$B$3001,$N731))</f>
      </c>
      <c r="C731">
        <f>IF($N731="","",INDEX(Staging!$C$2:$C$3001,$N731))</f>
      </c>
      <c r="D731">
        <f>IF($N731="","",INDEX(Staging!$D$2:$D$3001,$N731))</f>
      </c>
      <c r="E731">
        <f>IF($N731="","",INDEX(Staging!$F$2:$F$3001,$N731))</f>
      </c>
      <c r="F731">
        <f>IF($N731="","",INDEX(Staging!$G$2:$G$3001,$N731))</f>
      </c>
      <c r="G731">
        <f>IF($N731="","",INDEX(Staging!$H$2:$H$3001,$N731))</f>
      </c>
      <c r="H731">
        <f>IF($N731="","",INDEX(Staging!$I$2:$I$3001,$N731))</f>
      </c>
      <c r="I731">
        <f>IF($N731="","",INDEX(Staging!$J$2:$J$3001,$N731))</f>
      </c>
      <c r="J731">
        <f>IF($N731="","",INDEX(Staging!$K$2:$K$3001,$N731))</f>
      </c>
      <c r="K731">
        <f>IF($N731="","",INDEX(Staging!$M$2:$M$3001,$N731))</f>
      </c>
      <c r="L731">
        <f>IF($N731="","",INDEX(Staging!$O$2:$O$3001,$N731))</f>
      </c>
      <c r="M731">
        <f>IF($N731="","",INDEX(Staging!$P$2:$P$3001,$N731))</f>
      </c>
      <c r="N731">
        <f t="array" ref="N731">IFERROR(SMALL(IF(Staging!$E$2:$E$3001="MIPPL",ROW(Staging!$E$2:$E$3001)-ROW(Staging!$E$2)+1),730),"")</f>
      </c>
    </row>
    <row r="732" spans="1:14" x14ac:dyDescent="0.25">
      <c r="A732">
        <f>IF($N732="","",INDEX(Staging!$A$2:$A$3001,$N732))</f>
      </c>
      <c r="B732">
        <f>IF($N732="","",INDEX(Staging!$B$2:$B$3001,$N732))</f>
      </c>
      <c r="C732">
        <f>IF($N732="","",INDEX(Staging!$C$2:$C$3001,$N732))</f>
      </c>
      <c r="D732">
        <f>IF($N732="","",INDEX(Staging!$D$2:$D$3001,$N732))</f>
      </c>
      <c r="E732">
        <f>IF($N732="","",INDEX(Staging!$F$2:$F$3001,$N732))</f>
      </c>
      <c r="F732">
        <f>IF($N732="","",INDEX(Staging!$G$2:$G$3001,$N732))</f>
      </c>
      <c r="G732">
        <f>IF($N732="","",INDEX(Staging!$H$2:$H$3001,$N732))</f>
      </c>
      <c r="H732">
        <f>IF($N732="","",INDEX(Staging!$I$2:$I$3001,$N732))</f>
      </c>
      <c r="I732">
        <f>IF($N732="","",INDEX(Staging!$J$2:$J$3001,$N732))</f>
      </c>
      <c r="J732">
        <f>IF($N732="","",INDEX(Staging!$K$2:$K$3001,$N732))</f>
      </c>
      <c r="K732">
        <f>IF($N732="","",INDEX(Staging!$M$2:$M$3001,$N732))</f>
      </c>
      <c r="L732">
        <f>IF($N732="","",INDEX(Staging!$O$2:$O$3001,$N732))</f>
      </c>
      <c r="M732">
        <f>IF($N732="","",INDEX(Staging!$P$2:$P$3001,$N732))</f>
      </c>
      <c r="N732">
        <f t="array" ref="N732">IFERROR(SMALL(IF(Staging!$E$2:$E$3001="MIPPL",ROW(Staging!$E$2:$E$3001)-ROW(Staging!$E$2)+1),731),"")</f>
      </c>
    </row>
    <row r="733" spans="1:14" x14ac:dyDescent="0.25">
      <c r="A733">
        <f>IF($N733="","",INDEX(Staging!$A$2:$A$3001,$N733))</f>
      </c>
      <c r="B733">
        <f>IF($N733="","",INDEX(Staging!$B$2:$B$3001,$N733))</f>
      </c>
      <c r="C733">
        <f>IF($N733="","",INDEX(Staging!$C$2:$C$3001,$N733))</f>
      </c>
      <c r="D733">
        <f>IF($N733="","",INDEX(Staging!$D$2:$D$3001,$N733))</f>
      </c>
      <c r="E733">
        <f>IF($N733="","",INDEX(Staging!$F$2:$F$3001,$N733))</f>
      </c>
      <c r="F733">
        <f>IF($N733="","",INDEX(Staging!$G$2:$G$3001,$N733))</f>
      </c>
      <c r="G733">
        <f>IF($N733="","",INDEX(Staging!$H$2:$H$3001,$N733))</f>
      </c>
      <c r="H733">
        <f>IF($N733="","",INDEX(Staging!$I$2:$I$3001,$N733))</f>
      </c>
      <c r="I733">
        <f>IF($N733="","",INDEX(Staging!$J$2:$J$3001,$N733))</f>
      </c>
      <c r="J733">
        <f>IF($N733="","",INDEX(Staging!$K$2:$K$3001,$N733))</f>
      </c>
      <c r="K733">
        <f>IF($N733="","",INDEX(Staging!$M$2:$M$3001,$N733))</f>
      </c>
      <c r="L733">
        <f>IF($N733="","",INDEX(Staging!$O$2:$O$3001,$N733))</f>
      </c>
      <c r="M733">
        <f>IF($N733="","",INDEX(Staging!$P$2:$P$3001,$N733))</f>
      </c>
      <c r="N733">
        <f t="array" ref="N733">IFERROR(SMALL(IF(Staging!$E$2:$E$3001="MIPPL",ROW(Staging!$E$2:$E$3001)-ROW(Staging!$E$2)+1),732),"")</f>
      </c>
    </row>
    <row r="734" spans="1:14" x14ac:dyDescent="0.25">
      <c r="A734">
        <f>IF($N734="","",INDEX(Staging!$A$2:$A$3001,$N734))</f>
      </c>
      <c r="B734">
        <f>IF($N734="","",INDEX(Staging!$B$2:$B$3001,$N734))</f>
      </c>
      <c r="C734">
        <f>IF($N734="","",INDEX(Staging!$C$2:$C$3001,$N734))</f>
      </c>
      <c r="D734">
        <f>IF($N734="","",INDEX(Staging!$D$2:$D$3001,$N734))</f>
      </c>
      <c r="E734">
        <f>IF($N734="","",INDEX(Staging!$F$2:$F$3001,$N734))</f>
      </c>
      <c r="F734">
        <f>IF($N734="","",INDEX(Staging!$G$2:$G$3001,$N734))</f>
      </c>
      <c r="G734">
        <f>IF($N734="","",INDEX(Staging!$H$2:$H$3001,$N734))</f>
      </c>
      <c r="H734">
        <f>IF($N734="","",INDEX(Staging!$I$2:$I$3001,$N734))</f>
      </c>
      <c r="I734">
        <f>IF($N734="","",INDEX(Staging!$J$2:$J$3001,$N734))</f>
      </c>
      <c r="J734">
        <f>IF($N734="","",INDEX(Staging!$K$2:$K$3001,$N734))</f>
      </c>
      <c r="K734">
        <f>IF($N734="","",INDEX(Staging!$M$2:$M$3001,$N734))</f>
      </c>
      <c r="L734">
        <f>IF($N734="","",INDEX(Staging!$O$2:$O$3001,$N734))</f>
      </c>
      <c r="M734">
        <f>IF($N734="","",INDEX(Staging!$P$2:$P$3001,$N734))</f>
      </c>
      <c r="N734">
        <f t="array" ref="N734">IFERROR(SMALL(IF(Staging!$E$2:$E$3001="MIPPL",ROW(Staging!$E$2:$E$3001)-ROW(Staging!$E$2)+1),733),"")</f>
      </c>
    </row>
    <row r="735" spans="1:14" x14ac:dyDescent="0.25">
      <c r="A735">
        <f>IF($N735="","",INDEX(Staging!$A$2:$A$3001,$N735))</f>
      </c>
      <c r="B735">
        <f>IF($N735="","",INDEX(Staging!$B$2:$B$3001,$N735))</f>
      </c>
      <c r="C735">
        <f>IF($N735="","",INDEX(Staging!$C$2:$C$3001,$N735))</f>
      </c>
      <c r="D735">
        <f>IF($N735="","",INDEX(Staging!$D$2:$D$3001,$N735))</f>
      </c>
      <c r="E735">
        <f>IF($N735="","",INDEX(Staging!$F$2:$F$3001,$N735))</f>
      </c>
      <c r="F735">
        <f>IF($N735="","",INDEX(Staging!$G$2:$G$3001,$N735))</f>
      </c>
      <c r="G735">
        <f>IF($N735="","",INDEX(Staging!$H$2:$H$3001,$N735))</f>
      </c>
      <c r="H735">
        <f>IF($N735="","",INDEX(Staging!$I$2:$I$3001,$N735))</f>
      </c>
      <c r="I735">
        <f>IF($N735="","",INDEX(Staging!$J$2:$J$3001,$N735))</f>
      </c>
      <c r="J735">
        <f>IF($N735="","",INDEX(Staging!$K$2:$K$3001,$N735))</f>
      </c>
      <c r="K735">
        <f>IF($N735="","",INDEX(Staging!$M$2:$M$3001,$N735))</f>
      </c>
      <c r="L735">
        <f>IF($N735="","",INDEX(Staging!$O$2:$O$3001,$N735))</f>
      </c>
      <c r="M735">
        <f>IF($N735="","",INDEX(Staging!$P$2:$P$3001,$N735))</f>
      </c>
      <c r="N735">
        <f t="array" ref="N735">IFERROR(SMALL(IF(Staging!$E$2:$E$3001="MIPPL",ROW(Staging!$E$2:$E$3001)-ROW(Staging!$E$2)+1),734),"")</f>
      </c>
    </row>
    <row r="736" spans="1:14" x14ac:dyDescent="0.25">
      <c r="A736">
        <f>IF($N736="","",INDEX(Staging!$A$2:$A$3001,$N736))</f>
      </c>
      <c r="B736">
        <f>IF($N736="","",INDEX(Staging!$B$2:$B$3001,$N736))</f>
      </c>
      <c r="C736">
        <f>IF($N736="","",INDEX(Staging!$C$2:$C$3001,$N736))</f>
      </c>
      <c r="D736">
        <f>IF($N736="","",INDEX(Staging!$D$2:$D$3001,$N736))</f>
      </c>
      <c r="E736">
        <f>IF($N736="","",INDEX(Staging!$F$2:$F$3001,$N736))</f>
      </c>
      <c r="F736">
        <f>IF($N736="","",INDEX(Staging!$G$2:$G$3001,$N736))</f>
      </c>
      <c r="G736">
        <f>IF($N736="","",INDEX(Staging!$H$2:$H$3001,$N736))</f>
      </c>
      <c r="H736">
        <f>IF($N736="","",INDEX(Staging!$I$2:$I$3001,$N736))</f>
      </c>
      <c r="I736">
        <f>IF($N736="","",INDEX(Staging!$J$2:$J$3001,$N736))</f>
      </c>
      <c r="J736">
        <f>IF($N736="","",INDEX(Staging!$K$2:$K$3001,$N736))</f>
      </c>
      <c r="K736">
        <f>IF($N736="","",INDEX(Staging!$M$2:$M$3001,$N736))</f>
      </c>
      <c r="L736">
        <f>IF($N736="","",INDEX(Staging!$O$2:$O$3001,$N736))</f>
      </c>
      <c r="M736">
        <f>IF($N736="","",INDEX(Staging!$P$2:$P$3001,$N736))</f>
      </c>
      <c r="N736">
        <f t="array" ref="N736">IFERROR(SMALL(IF(Staging!$E$2:$E$3001="MIPPL",ROW(Staging!$E$2:$E$3001)-ROW(Staging!$E$2)+1),735),"")</f>
      </c>
    </row>
    <row r="737" spans="1:14" x14ac:dyDescent="0.25">
      <c r="A737">
        <f>IF($N737="","",INDEX(Staging!$A$2:$A$3001,$N737))</f>
      </c>
      <c r="B737">
        <f>IF($N737="","",INDEX(Staging!$B$2:$B$3001,$N737))</f>
      </c>
      <c r="C737">
        <f>IF($N737="","",INDEX(Staging!$C$2:$C$3001,$N737))</f>
      </c>
      <c r="D737">
        <f>IF($N737="","",INDEX(Staging!$D$2:$D$3001,$N737))</f>
      </c>
      <c r="E737">
        <f>IF($N737="","",INDEX(Staging!$F$2:$F$3001,$N737))</f>
      </c>
      <c r="F737">
        <f>IF($N737="","",INDEX(Staging!$G$2:$G$3001,$N737))</f>
      </c>
      <c r="G737">
        <f>IF($N737="","",INDEX(Staging!$H$2:$H$3001,$N737))</f>
      </c>
      <c r="H737">
        <f>IF($N737="","",INDEX(Staging!$I$2:$I$3001,$N737))</f>
      </c>
      <c r="I737">
        <f>IF($N737="","",INDEX(Staging!$J$2:$J$3001,$N737))</f>
      </c>
      <c r="J737">
        <f>IF($N737="","",INDEX(Staging!$K$2:$K$3001,$N737))</f>
      </c>
      <c r="K737">
        <f>IF($N737="","",INDEX(Staging!$M$2:$M$3001,$N737))</f>
      </c>
      <c r="L737">
        <f>IF($N737="","",INDEX(Staging!$O$2:$O$3001,$N737))</f>
      </c>
      <c r="M737">
        <f>IF($N737="","",INDEX(Staging!$P$2:$P$3001,$N737))</f>
      </c>
      <c r="N737">
        <f t="array" ref="N737">IFERROR(SMALL(IF(Staging!$E$2:$E$3001="MIPPL",ROW(Staging!$E$2:$E$3001)-ROW(Staging!$E$2)+1),736),"")</f>
      </c>
    </row>
    <row r="738" spans="1:14" x14ac:dyDescent="0.25">
      <c r="A738">
        <f>IF($N738="","",INDEX(Staging!$A$2:$A$3001,$N738))</f>
      </c>
      <c r="B738">
        <f>IF($N738="","",INDEX(Staging!$B$2:$B$3001,$N738))</f>
      </c>
      <c r="C738">
        <f>IF($N738="","",INDEX(Staging!$C$2:$C$3001,$N738))</f>
      </c>
      <c r="D738">
        <f>IF($N738="","",INDEX(Staging!$D$2:$D$3001,$N738))</f>
      </c>
      <c r="E738">
        <f>IF($N738="","",INDEX(Staging!$F$2:$F$3001,$N738))</f>
      </c>
      <c r="F738">
        <f>IF($N738="","",INDEX(Staging!$G$2:$G$3001,$N738))</f>
      </c>
      <c r="G738">
        <f>IF($N738="","",INDEX(Staging!$H$2:$H$3001,$N738))</f>
      </c>
      <c r="H738">
        <f>IF($N738="","",INDEX(Staging!$I$2:$I$3001,$N738))</f>
      </c>
      <c r="I738">
        <f>IF($N738="","",INDEX(Staging!$J$2:$J$3001,$N738))</f>
      </c>
      <c r="J738">
        <f>IF($N738="","",INDEX(Staging!$K$2:$K$3001,$N738))</f>
      </c>
      <c r="K738">
        <f>IF($N738="","",INDEX(Staging!$M$2:$M$3001,$N738))</f>
      </c>
      <c r="L738">
        <f>IF($N738="","",INDEX(Staging!$O$2:$O$3001,$N738))</f>
      </c>
      <c r="M738">
        <f>IF($N738="","",INDEX(Staging!$P$2:$P$3001,$N738))</f>
      </c>
      <c r="N738">
        <f t="array" ref="N738">IFERROR(SMALL(IF(Staging!$E$2:$E$3001="MIPPL",ROW(Staging!$E$2:$E$3001)-ROW(Staging!$E$2)+1),737),"")</f>
      </c>
    </row>
    <row r="739" spans="1:14" x14ac:dyDescent="0.25">
      <c r="A739">
        <f>IF($N739="","",INDEX(Staging!$A$2:$A$3001,$N739))</f>
      </c>
      <c r="B739">
        <f>IF($N739="","",INDEX(Staging!$B$2:$B$3001,$N739))</f>
      </c>
      <c r="C739">
        <f>IF($N739="","",INDEX(Staging!$C$2:$C$3001,$N739))</f>
      </c>
      <c r="D739">
        <f>IF($N739="","",INDEX(Staging!$D$2:$D$3001,$N739))</f>
      </c>
      <c r="E739">
        <f>IF($N739="","",INDEX(Staging!$F$2:$F$3001,$N739))</f>
      </c>
      <c r="F739">
        <f>IF($N739="","",INDEX(Staging!$G$2:$G$3001,$N739))</f>
      </c>
      <c r="G739">
        <f>IF($N739="","",INDEX(Staging!$H$2:$H$3001,$N739))</f>
      </c>
      <c r="H739">
        <f>IF($N739="","",INDEX(Staging!$I$2:$I$3001,$N739))</f>
      </c>
      <c r="I739">
        <f>IF($N739="","",INDEX(Staging!$J$2:$J$3001,$N739))</f>
      </c>
      <c r="J739">
        <f>IF($N739="","",INDEX(Staging!$K$2:$K$3001,$N739))</f>
      </c>
      <c r="K739">
        <f>IF($N739="","",INDEX(Staging!$M$2:$M$3001,$N739))</f>
      </c>
      <c r="L739">
        <f>IF($N739="","",INDEX(Staging!$O$2:$O$3001,$N739))</f>
      </c>
      <c r="M739">
        <f>IF($N739="","",INDEX(Staging!$P$2:$P$3001,$N739))</f>
      </c>
      <c r="N739">
        <f t="array" ref="N739">IFERROR(SMALL(IF(Staging!$E$2:$E$3001="MIPPL",ROW(Staging!$E$2:$E$3001)-ROW(Staging!$E$2)+1),738),"")</f>
      </c>
    </row>
    <row r="740" spans="1:14" x14ac:dyDescent="0.25">
      <c r="A740">
        <f>IF($N740="","",INDEX(Staging!$A$2:$A$3001,$N740))</f>
      </c>
      <c r="B740">
        <f>IF($N740="","",INDEX(Staging!$B$2:$B$3001,$N740))</f>
      </c>
      <c r="C740">
        <f>IF($N740="","",INDEX(Staging!$C$2:$C$3001,$N740))</f>
      </c>
      <c r="D740">
        <f>IF($N740="","",INDEX(Staging!$D$2:$D$3001,$N740))</f>
      </c>
      <c r="E740">
        <f>IF($N740="","",INDEX(Staging!$F$2:$F$3001,$N740))</f>
      </c>
      <c r="F740">
        <f>IF($N740="","",INDEX(Staging!$G$2:$G$3001,$N740))</f>
      </c>
      <c r="G740">
        <f>IF($N740="","",INDEX(Staging!$H$2:$H$3001,$N740))</f>
      </c>
      <c r="H740">
        <f>IF($N740="","",INDEX(Staging!$I$2:$I$3001,$N740))</f>
      </c>
      <c r="I740">
        <f>IF($N740="","",INDEX(Staging!$J$2:$J$3001,$N740))</f>
      </c>
      <c r="J740">
        <f>IF($N740="","",INDEX(Staging!$K$2:$K$3001,$N740))</f>
      </c>
      <c r="K740">
        <f>IF($N740="","",INDEX(Staging!$M$2:$M$3001,$N740))</f>
      </c>
      <c r="L740">
        <f>IF($N740="","",INDEX(Staging!$O$2:$O$3001,$N740))</f>
      </c>
      <c r="M740">
        <f>IF($N740="","",INDEX(Staging!$P$2:$P$3001,$N740))</f>
      </c>
      <c r="N740">
        <f t="array" ref="N740">IFERROR(SMALL(IF(Staging!$E$2:$E$3001="MIPPL",ROW(Staging!$E$2:$E$3001)-ROW(Staging!$E$2)+1),739),"")</f>
      </c>
    </row>
    <row r="741" spans="1:14" x14ac:dyDescent="0.25">
      <c r="A741">
        <f>IF($N741="","",INDEX(Staging!$A$2:$A$3001,$N741))</f>
      </c>
      <c r="B741">
        <f>IF($N741="","",INDEX(Staging!$B$2:$B$3001,$N741))</f>
      </c>
      <c r="C741">
        <f>IF($N741="","",INDEX(Staging!$C$2:$C$3001,$N741))</f>
      </c>
      <c r="D741">
        <f>IF($N741="","",INDEX(Staging!$D$2:$D$3001,$N741))</f>
      </c>
      <c r="E741">
        <f>IF($N741="","",INDEX(Staging!$F$2:$F$3001,$N741))</f>
      </c>
      <c r="F741">
        <f>IF($N741="","",INDEX(Staging!$G$2:$G$3001,$N741))</f>
      </c>
      <c r="G741">
        <f>IF($N741="","",INDEX(Staging!$H$2:$H$3001,$N741))</f>
      </c>
      <c r="H741">
        <f>IF($N741="","",INDEX(Staging!$I$2:$I$3001,$N741))</f>
      </c>
      <c r="I741">
        <f>IF($N741="","",INDEX(Staging!$J$2:$J$3001,$N741))</f>
      </c>
      <c r="J741">
        <f>IF($N741="","",INDEX(Staging!$K$2:$K$3001,$N741))</f>
      </c>
      <c r="K741">
        <f>IF($N741="","",INDEX(Staging!$M$2:$M$3001,$N741))</f>
      </c>
      <c r="L741">
        <f>IF($N741="","",INDEX(Staging!$O$2:$O$3001,$N741))</f>
      </c>
      <c r="M741">
        <f>IF($N741="","",INDEX(Staging!$P$2:$P$3001,$N741))</f>
      </c>
      <c r="N741">
        <f t="array" ref="N741">IFERROR(SMALL(IF(Staging!$E$2:$E$3001="MIPPL",ROW(Staging!$E$2:$E$3001)-ROW(Staging!$E$2)+1),740),"")</f>
      </c>
    </row>
    <row r="742" spans="1:14" x14ac:dyDescent="0.25">
      <c r="A742">
        <f>IF($N742="","",INDEX(Staging!$A$2:$A$3001,$N742))</f>
      </c>
      <c r="B742">
        <f>IF($N742="","",INDEX(Staging!$B$2:$B$3001,$N742))</f>
      </c>
      <c r="C742">
        <f>IF($N742="","",INDEX(Staging!$C$2:$C$3001,$N742))</f>
      </c>
      <c r="D742">
        <f>IF($N742="","",INDEX(Staging!$D$2:$D$3001,$N742))</f>
      </c>
      <c r="E742">
        <f>IF($N742="","",INDEX(Staging!$F$2:$F$3001,$N742))</f>
      </c>
      <c r="F742">
        <f>IF($N742="","",INDEX(Staging!$G$2:$G$3001,$N742))</f>
      </c>
      <c r="G742">
        <f>IF($N742="","",INDEX(Staging!$H$2:$H$3001,$N742))</f>
      </c>
      <c r="H742">
        <f>IF($N742="","",INDEX(Staging!$I$2:$I$3001,$N742))</f>
      </c>
      <c r="I742">
        <f>IF($N742="","",INDEX(Staging!$J$2:$J$3001,$N742))</f>
      </c>
      <c r="J742">
        <f>IF($N742="","",INDEX(Staging!$K$2:$K$3001,$N742))</f>
      </c>
      <c r="K742">
        <f>IF($N742="","",INDEX(Staging!$M$2:$M$3001,$N742))</f>
      </c>
      <c r="L742">
        <f>IF($N742="","",INDEX(Staging!$O$2:$O$3001,$N742))</f>
      </c>
      <c r="M742">
        <f>IF($N742="","",INDEX(Staging!$P$2:$P$3001,$N742))</f>
      </c>
      <c r="N742">
        <f t="array" ref="N742">IFERROR(SMALL(IF(Staging!$E$2:$E$3001="MIPPL",ROW(Staging!$E$2:$E$3001)-ROW(Staging!$E$2)+1),741),"")</f>
      </c>
    </row>
    <row r="743" spans="1:14" x14ac:dyDescent="0.25">
      <c r="A743">
        <f>IF($N743="","",INDEX(Staging!$A$2:$A$3001,$N743))</f>
      </c>
      <c r="B743">
        <f>IF($N743="","",INDEX(Staging!$B$2:$B$3001,$N743))</f>
      </c>
      <c r="C743">
        <f>IF($N743="","",INDEX(Staging!$C$2:$C$3001,$N743))</f>
      </c>
      <c r="D743">
        <f>IF($N743="","",INDEX(Staging!$D$2:$D$3001,$N743))</f>
      </c>
      <c r="E743">
        <f>IF($N743="","",INDEX(Staging!$F$2:$F$3001,$N743))</f>
      </c>
      <c r="F743">
        <f>IF($N743="","",INDEX(Staging!$G$2:$G$3001,$N743))</f>
      </c>
      <c r="G743">
        <f>IF($N743="","",INDEX(Staging!$H$2:$H$3001,$N743))</f>
      </c>
      <c r="H743">
        <f>IF($N743="","",INDEX(Staging!$I$2:$I$3001,$N743))</f>
      </c>
      <c r="I743">
        <f>IF($N743="","",INDEX(Staging!$J$2:$J$3001,$N743))</f>
      </c>
      <c r="J743">
        <f>IF($N743="","",INDEX(Staging!$K$2:$K$3001,$N743))</f>
      </c>
      <c r="K743">
        <f>IF($N743="","",INDEX(Staging!$M$2:$M$3001,$N743))</f>
      </c>
      <c r="L743">
        <f>IF($N743="","",INDEX(Staging!$O$2:$O$3001,$N743))</f>
      </c>
      <c r="M743">
        <f>IF($N743="","",INDEX(Staging!$P$2:$P$3001,$N743))</f>
      </c>
      <c r="N743">
        <f t="array" ref="N743">IFERROR(SMALL(IF(Staging!$E$2:$E$3001="MIPPL",ROW(Staging!$E$2:$E$3001)-ROW(Staging!$E$2)+1),742),"")</f>
      </c>
    </row>
    <row r="744" spans="1:14" x14ac:dyDescent="0.25">
      <c r="A744">
        <f>IF($N744="","",INDEX(Staging!$A$2:$A$3001,$N744))</f>
      </c>
      <c r="B744">
        <f>IF($N744="","",INDEX(Staging!$B$2:$B$3001,$N744))</f>
      </c>
      <c r="C744">
        <f>IF($N744="","",INDEX(Staging!$C$2:$C$3001,$N744))</f>
      </c>
      <c r="D744">
        <f>IF($N744="","",INDEX(Staging!$D$2:$D$3001,$N744))</f>
      </c>
      <c r="E744">
        <f>IF($N744="","",INDEX(Staging!$F$2:$F$3001,$N744))</f>
      </c>
      <c r="F744">
        <f>IF($N744="","",INDEX(Staging!$G$2:$G$3001,$N744))</f>
      </c>
      <c r="G744">
        <f>IF($N744="","",INDEX(Staging!$H$2:$H$3001,$N744))</f>
      </c>
      <c r="H744">
        <f>IF($N744="","",INDEX(Staging!$I$2:$I$3001,$N744))</f>
      </c>
      <c r="I744">
        <f>IF($N744="","",INDEX(Staging!$J$2:$J$3001,$N744))</f>
      </c>
      <c r="J744">
        <f>IF($N744="","",INDEX(Staging!$K$2:$K$3001,$N744))</f>
      </c>
      <c r="K744">
        <f>IF($N744="","",INDEX(Staging!$M$2:$M$3001,$N744))</f>
      </c>
      <c r="L744">
        <f>IF($N744="","",INDEX(Staging!$O$2:$O$3001,$N744))</f>
      </c>
      <c r="M744">
        <f>IF($N744="","",INDEX(Staging!$P$2:$P$3001,$N744))</f>
      </c>
      <c r="N744">
        <f t="array" ref="N744">IFERROR(SMALL(IF(Staging!$E$2:$E$3001="MIPPL",ROW(Staging!$E$2:$E$3001)-ROW(Staging!$E$2)+1),743),"")</f>
      </c>
    </row>
    <row r="745" spans="1:14" x14ac:dyDescent="0.25">
      <c r="A745">
        <f>IF($N745="","",INDEX(Staging!$A$2:$A$3001,$N745))</f>
      </c>
      <c r="B745">
        <f>IF($N745="","",INDEX(Staging!$B$2:$B$3001,$N745))</f>
      </c>
      <c r="C745">
        <f>IF($N745="","",INDEX(Staging!$C$2:$C$3001,$N745))</f>
      </c>
      <c r="D745">
        <f>IF($N745="","",INDEX(Staging!$D$2:$D$3001,$N745))</f>
      </c>
      <c r="E745">
        <f>IF($N745="","",INDEX(Staging!$F$2:$F$3001,$N745))</f>
      </c>
      <c r="F745">
        <f>IF($N745="","",INDEX(Staging!$G$2:$G$3001,$N745))</f>
      </c>
      <c r="G745">
        <f>IF($N745="","",INDEX(Staging!$H$2:$H$3001,$N745))</f>
      </c>
      <c r="H745">
        <f>IF($N745="","",INDEX(Staging!$I$2:$I$3001,$N745))</f>
      </c>
      <c r="I745">
        <f>IF($N745="","",INDEX(Staging!$J$2:$J$3001,$N745))</f>
      </c>
      <c r="J745">
        <f>IF($N745="","",INDEX(Staging!$K$2:$K$3001,$N745))</f>
      </c>
      <c r="K745">
        <f>IF($N745="","",INDEX(Staging!$M$2:$M$3001,$N745))</f>
      </c>
      <c r="L745">
        <f>IF($N745="","",INDEX(Staging!$O$2:$O$3001,$N745))</f>
      </c>
      <c r="M745">
        <f>IF($N745="","",INDEX(Staging!$P$2:$P$3001,$N745))</f>
      </c>
      <c r="N745">
        <f t="array" ref="N745">IFERROR(SMALL(IF(Staging!$E$2:$E$3001="MIPPL",ROW(Staging!$E$2:$E$3001)-ROW(Staging!$E$2)+1),744),"")</f>
      </c>
    </row>
    <row r="746" spans="1:14" x14ac:dyDescent="0.25">
      <c r="A746">
        <f>IF($N746="","",INDEX(Staging!$A$2:$A$3001,$N746))</f>
      </c>
      <c r="B746">
        <f>IF($N746="","",INDEX(Staging!$B$2:$B$3001,$N746))</f>
      </c>
      <c r="C746">
        <f>IF($N746="","",INDEX(Staging!$C$2:$C$3001,$N746))</f>
      </c>
      <c r="D746">
        <f>IF($N746="","",INDEX(Staging!$D$2:$D$3001,$N746))</f>
      </c>
      <c r="E746">
        <f>IF($N746="","",INDEX(Staging!$F$2:$F$3001,$N746))</f>
      </c>
      <c r="F746">
        <f>IF($N746="","",INDEX(Staging!$G$2:$G$3001,$N746))</f>
      </c>
      <c r="G746">
        <f>IF($N746="","",INDEX(Staging!$H$2:$H$3001,$N746))</f>
      </c>
      <c r="H746">
        <f>IF($N746="","",INDEX(Staging!$I$2:$I$3001,$N746))</f>
      </c>
      <c r="I746">
        <f>IF($N746="","",INDEX(Staging!$J$2:$J$3001,$N746))</f>
      </c>
      <c r="J746">
        <f>IF($N746="","",INDEX(Staging!$K$2:$K$3001,$N746))</f>
      </c>
      <c r="K746">
        <f>IF($N746="","",INDEX(Staging!$M$2:$M$3001,$N746))</f>
      </c>
      <c r="L746">
        <f>IF($N746="","",INDEX(Staging!$O$2:$O$3001,$N746))</f>
      </c>
      <c r="M746">
        <f>IF($N746="","",INDEX(Staging!$P$2:$P$3001,$N746))</f>
      </c>
      <c r="N746">
        <f t="array" ref="N746">IFERROR(SMALL(IF(Staging!$E$2:$E$3001="MIPPL",ROW(Staging!$E$2:$E$3001)-ROW(Staging!$E$2)+1),745),"")</f>
      </c>
    </row>
    <row r="747" spans="1:14" x14ac:dyDescent="0.25">
      <c r="A747">
        <f>IF($N747="","",INDEX(Staging!$A$2:$A$3001,$N747))</f>
      </c>
      <c r="B747">
        <f>IF($N747="","",INDEX(Staging!$B$2:$B$3001,$N747))</f>
      </c>
      <c r="C747">
        <f>IF($N747="","",INDEX(Staging!$C$2:$C$3001,$N747))</f>
      </c>
      <c r="D747">
        <f>IF($N747="","",INDEX(Staging!$D$2:$D$3001,$N747))</f>
      </c>
      <c r="E747">
        <f>IF($N747="","",INDEX(Staging!$F$2:$F$3001,$N747))</f>
      </c>
      <c r="F747">
        <f>IF($N747="","",INDEX(Staging!$G$2:$G$3001,$N747))</f>
      </c>
      <c r="G747">
        <f>IF($N747="","",INDEX(Staging!$H$2:$H$3001,$N747))</f>
      </c>
      <c r="H747">
        <f>IF($N747="","",INDEX(Staging!$I$2:$I$3001,$N747))</f>
      </c>
      <c r="I747">
        <f>IF($N747="","",INDEX(Staging!$J$2:$J$3001,$N747))</f>
      </c>
      <c r="J747">
        <f>IF($N747="","",INDEX(Staging!$K$2:$K$3001,$N747))</f>
      </c>
      <c r="K747">
        <f>IF($N747="","",INDEX(Staging!$M$2:$M$3001,$N747))</f>
      </c>
      <c r="L747">
        <f>IF($N747="","",INDEX(Staging!$O$2:$O$3001,$N747))</f>
      </c>
      <c r="M747">
        <f>IF($N747="","",INDEX(Staging!$P$2:$P$3001,$N747))</f>
      </c>
      <c r="N747">
        <f t="array" ref="N747">IFERROR(SMALL(IF(Staging!$E$2:$E$3001="MIPPL",ROW(Staging!$E$2:$E$3001)-ROW(Staging!$E$2)+1),746),"")</f>
      </c>
    </row>
    <row r="748" spans="1:14" x14ac:dyDescent="0.25">
      <c r="A748">
        <f>IF($N748="","",INDEX(Staging!$A$2:$A$3001,$N748))</f>
      </c>
      <c r="B748">
        <f>IF($N748="","",INDEX(Staging!$B$2:$B$3001,$N748))</f>
      </c>
      <c r="C748">
        <f>IF($N748="","",INDEX(Staging!$C$2:$C$3001,$N748))</f>
      </c>
      <c r="D748">
        <f>IF($N748="","",INDEX(Staging!$D$2:$D$3001,$N748))</f>
      </c>
      <c r="E748">
        <f>IF($N748="","",INDEX(Staging!$F$2:$F$3001,$N748))</f>
      </c>
      <c r="F748">
        <f>IF($N748="","",INDEX(Staging!$G$2:$G$3001,$N748))</f>
      </c>
      <c r="G748">
        <f>IF($N748="","",INDEX(Staging!$H$2:$H$3001,$N748))</f>
      </c>
      <c r="H748">
        <f>IF($N748="","",INDEX(Staging!$I$2:$I$3001,$N748))</f>
      </c>
      <c r="I748">
        <f>IF($N748="","",INDEX(Staging!$J$2:$J$3001,$N748))</f>
      </c>
      <c r="J748">
        <f>IF($N748="","",INDEX(Staging!$K$2:$K$3001,$N748))</f>
      </c>
      <c r="K748">
        <f>IF($N748="","",INDEX(Staging!$M$2:$M$3001,$N748))</f>
      </c>
      <c r="L748">
        <f>IF($N748="","",INDEX(Staging!$O$2:$O$3001,$N748))</f>
      </c>
      <c r="M748">
        <f>IF($N748="","",INDEX(Staging!$P$2:$P$3001,$N748))</f>
      </c>
      <c r="N748">
        <f t="array" ref="N748">IFERROR(SMALL(IF(Staging!$E$2:$E$3001="MIPPL",ROW(Staging!$E$2:$E$3001)-ROW(Staging!$E$2)+1),747),"")</f>
      </c>
    </row>
    <row r="749" spans="1:14" x14ac:dyDescent="0.25">
      <c r="A749">
        <f>IF($N749="","",INDEX(Staging!$A$2:$A$3001,$N749))</f>
      </c>
      <c r="B749">
        <f>IF($N749="","",INDEX(Staging!$B$2:$B$3001,$N749))</f>
      </c>
      <c r="C749">
        <f>IF($N749="","",INDEX(Staging!$C$2:$C$3001,$N749))</f>
      </c>
      <c r="D749">
        <f>IF($N749="","",INDEX(Staging!$D$2:$D$3001,$N749))</f>
      </c>
      <c r="E749">
        <f>IF($N749="","",INDEX(Staging!$F$2:$F$3001,$N749))</f>
      </c>
      <c r="F749">
        <f>IF($N749="","",INDEX(Staging!$G$2:$G$3001,$N749))</f>
      </c>
      <c r="G749">
        <f>IF($N749="","",INDEX(Staging!$H$2:$H$3001,$N749))</f>
      </c>
      <c r="H749">
        <f>IF($N749="","",INDEX(Staging!$I$2:$I$3001,$N749))</f>
      </c>
      <c r="I749">
        <f>IF($N749="","",INDEX(Staging!$J$2:$J$3001,$N749))</f>
      </c>
      <c r="J749">
        <f>IF($N749="","",INDEX(Staging!$K$2:$K$3001,$N749))</f>
      </c>
      <c r="K749">
        <f>IF($N749="","",INDEX(Staging!$M$2:$M$3001,$N749))</f>
      </c>
      <c r="L749">
        <f>IF($N749="","",INDEX(Staging!$O$2:$O$3001,$N749))</f>
      </c>
      <c r="M749">
        <f>IF($N749="","",INDEX(Staging!$P$2:$P$3001,$N749))</f>
      </c>
      <c r="N749">
        <f t="array" ref="N749">IFERROR(SMALL(IF(Staging!$E$2:$E$3001="MIPPL",ROW(Staging!$E$2:$E$3001)-ROW(Staging!$E$2)+1),748),"")</f>
      </c>
    </row>
    <row r="750" spans="1:14" x14ac:dyDescent="0.25">
      <c r="A750">
        <f>IF($N750="","",INDEX(Staging!$A$2:$A$3001,$N750))</f>
      </c>
      <c r="B750">
        <f>IF($N750="","",INDEX(Staging!$B$2:$B$3001,$N750))</f>
      </c>
      <c r="C750">
        <f>IF($N750="","",INDEX(Staging!$C$2:$C$3001,$N750))</f>
      </c>
      <c r="D750">
        <f>IF($N750="","",INDEX(Staging!$D$2:$D$3001,$N750))</f>
      </c>
      <c r="E750">
        <f>IF($N750="","",INDEX(Staging!$F$2:$F$3001,$N750))</f>
      </c>
      <c r="F750">
        <f>IF($N750="","",INDEX(Staging!$G$2:$G$3001,$N750))</f>
      </c>
      <c r="G750">
        <f>IF($N750="","",INDEX(Staging!$H$2:$H$3001,$N750))</f>
      </c>
      <c r="H750">
        <f>IF($N750="","",INDEX(Staging!$I$2:$I$3001,$N750))</f>
      </c>
      <c r="I750">
        <f>IF($N750="","",INDEX(Staging!$J$2:$J$3001,$N750))</f>
      </c>
      <c r="J750">
        <f>IF($N750="","",INDEX(Staging!$K$2:$K$3001,$N750))</f>
      </c>
      <c r="K750">
        <f>IF($N750="","",INDEX(Staging!$M$2:$M$3001,$N750))</f>
      </c>
      <c r="L750">
        <f>IF($N750="","",INDEX(Staging!$O$2:$O$3001,$N750))</f>
      </c>
      <c r="M750">
        <f>IF($N750="","",INDEX(Staging!$P$2:$P$3001,$N750))</f>
      </c>
      <c r="N750">
        <f t="array" ref="N750">IFERROR(SMALL(IF(Staging!$E$2:$E$3001="MIPPL",ROW(Staging!$E$2:$E$3001)-ROW(Staging!$E$2)+1),749),"")</f>
      </c>
    </row>
    <row r="751" spans="1:14" x14ac:dyDescent="0.25">
      <c r="A751">
        <f>IF($N751="","",INDEX(Staging!$A$2:$A$3001,$N751))</f>
      </c>
      <c r="B751">
        <f>IF($N751="","",INDEX(Staging!$B$2:$B$3001,$N751))</f>
      </c>
      <c r="C751">
        <f>IF($N751="","",INDEX(Staging!$C$2:$C$3001,$N751))</f>
      </c>
      <c r="D751">
        <f>IF($N751="","",INDEX(Staging!$D$2:$D$3001,$N751))</f>
      </c>
      <c r="E751">
        <f>IF($N751="","",INDEX(Staging!$F$2:$F$3001,$N751))</f>
      </c>
      <c r="F751">
        <f>IF($N751="","",INDEX(Staging!$G$2:$G$3001,$N751))</f>
      </c>
      <c r="G751">
        <f>IF($N751="","",INDEX(Staging!$H$2:$H$3001,$N751))</f>
      </c>
      <c r="H751">
        <f>IF($N751="","",INDEX(Staging!$I$2:$I$3001,$N751))</f>
      </c>
      <c r="I751">
        <f>IF($N751="","",INDEX(Staging!$J$2:$J$3001,$N751))</f>
      </c>
      <c r="J751">
        <f>IF($N751="","",INDEX(Staging!$K$2:$K$3001,$N751))</f>
      </c>
      <c r="K751">
        <f>IF($N751="","",INDEX(Staging!$M$2:$M$3001,$N751))</f>
      </c>
      <c r="L751">
        <f>IF($N751="","",INDEX(Staging!$O$2:$O$3001,$N751))</f>
      </c>
      <c r="M751">
        <f>IF($N751="","",INDEX(Staging!$P$2:$P$3001,$N751))</f>
      </c>
      <c r="N751">
        <f t="array" ref="N751">IFERROR(SMALL(IF(Staging!$E$2:$E$3001="MIPPL",ROW(Staging!$E$2:$E$3001)-ROW(Staging!$E$2)+1),750),"")</f>
      </c>
    </row>
    <row r="752" spans="1:14" x14ac:dyDescent="0.25">
      <c r="A752">
        <f>IF($N752="","",INDEX(Staging!$A$2:$A$3001,$N752))</f>
      </c>
      <c r="B752">
        <f>IF($N752="","",INDEX(Staging!$B$2:$B$3001,$N752))</f>
      </c>
      <c r="C752">
        <f>IF($N752="","",INDEX(Staging!$C$2:$C$3001,$N752))</f>
      </c>
      <c r="D752">
        <f>IF($N752="","",INDEX(Staging!$D$2:$D$3001,$N752))</f>
      </c>
      <c r="E752">
        <f>IF($N752="","",INDEX(Staging!$F$2:$F$3001,$N752))</f>
      </c>
      <c r="F752">
        <f>IF($N752="","",INDEX(Staging!$G$2:$G$3001,$N752))</f>
      </c>
      <c r="G752">
        <f>IF($N752="","",INDEX(Staging!$H$2:$H$3001,$N752))</f>
      </c>
      <c r="H752">
        <f>IF($N752="","",INDEX(Staging!$I$2:$I$3001,$N752))</f>
      </c>
      <c r="I752">
        <f>IF($N752="","",INDEX(Staging!$J$2:$J$3001,$N752))</f>
      </c>
      <c r="J752">
        <f>IF($N752="","",INDEX(Staging!$K$2:$K$3001,$N752))</f>
      </c>
      <c r="K752">
        <f>IF($N752="","",INDEX(Staging!$M$2:$M$3001,$N752))</f>
      </c>
      <c r="L752">
        <f>IF($N752="","",INDEX(Staging!$O$2:$O$3001,$N752))</f>
      </c>
      <c r="M752">
        <f>IF($N752="","",INDEX(Staging!$P$2:$P$3001,$N752))</f>
      </c>
      <c r="N752">
        <f t="array" ref="N752">IFERROR(SMALL(IF(Staging!$E$2:$E$3001="MIPPL",ROW(Staging!$E$2:$E$3001)-ROW(Staging!$E$2)+1),751),"")</f>
      </c>
    </row>
    <row r="753" spans="1:14" x14ac:dyDescent="0.25">
      <c r="A753">
        <f>IF($N753="","",INDEX(Staging!$A$2:$A$3001,$N753))</f>
      </c>
      <c r="B753">
        <f>IF($N753="","",INDEX(Staging!$B$2:$B$3001,$N753))</f>
      </c>
      <c r="C753">
        <f>IF($N753="","",INDEX(Staging!$C$2:$C$3001,$N753))</f>
      </c>
      <c r="D753">
        <f>IF($N753="","",INDEX(Staging!$D$2:$D$3001,$N753))</f>
      </c>
      <c r="E753">
        <f>IF($N753="","",INDEX(Staging!$F$2:$F$3001,$N753))</f>
      </c>
      <c r="F753">
        <f>IF($N753="","",INDEX(Staging!$G$2:$G$3001,$N753))</f>
      </c>
      <c r="G753">
        <f>IF($N753="","",INDEX(Staging!$H$2:$H$3001,$N753))</f>
      </c>
      <c r="H753">
        <f>IF($N753="","",INDEX(Staging!$I$2:$I$3001,$N753))</f>
      </c>
      <c r="I753">
        <f>IF($N753="","",INDEX(Staging!$J$2:$J$3001,$N753))</f>
      </c>
      <c r="J753">
        <f>IF($N753="","",INDEX(Staging!$K$2:$K$3001,$N753))</f>
      </c>
      <c r="K753">
        <f>IF($N753="","",INDEX(Staging!$M$2:$M$3001,$N753))</f>
      </c>
      <c r="L753">
        <f>IF($N753="","",INDEX(Staging!$O$2:$O$3001,$N753))</f>
      </c>
      <c r="M753">
        <f>IF($N753="","",INDEX(Staging!$P$2:$P$3001,$N753))</f>
      </c>
      <c r="N753">
        <f t="array" ref="N753">IFERROR(SMALL(IF(Staging!$E$2:$E$3001="MIPPL",ROW(Staging!$E$2:$E$3001)-ROW(Staging!$E$2)+1),752),"")</f>
      </c>
    </row>
    <row r="754" spans="1:14" x14ac:dyDescent="0.25">
      <c r="A754">
        <f>IF($N754="","",INDEX(Staging!$A$2:$A$3001,$N754))</f>
      </c>
      <c r="B754">
        <f>IF($N754="","",INDEX(Staging!$B$2:$B$3001,$N754))</f>
      </c>
      <c r="C754">
        <f>IF($N754="","",INDEX(Staging!$C$2:$C$3001,$N754))</f>
      </c>
      <c r="D754">
        <f>IF($N754="","",INDEX(Staging!$D$2:$D$3001,$N754))</f>
      </c>
      <c r="E754">
        <f>IF($N754="","",INDEX(Staging!$F$2:$F$3001,$N754))</f>
      </c>
      <c r="F754">
        <f>IF($N754="","",INDEX(Staging!$G$2:$G$3001,$N754))</f>
      </c>
      <c r="G754">
        <f>IF($N754="","",INDEX(Staging!$H$2:$H$3001,$N754))</f>
      </c>
      <c r="H754">
        <f>IF($N754="","",INDEX(Staging!$I$2:$I$3001,$N754))</f>
      </c>
      <c r="I754">
        <f>IF($N754="","",INDEX(Staging!$J$2:$J$3001,$N754))</f>
      </c>
      <c r="J754">
        <f>IF($N754="","",INDEX(Staging!$K$2:$K$3001,$N754))</f>
      </c>
      <c r="K754">
        <f>IF($N754="","",INDEX(Staging!$M$2:$M$3001,$N754))</f>
      </c>
      <c r="L754">
        <f>IF($N754="","",INDEX(Staging!$O$2:$O$3001,$N754))</f>
      </c>
      <c r="M754">
        <f>IF($N754="","",INDEX(Staging!$P$2:$P$3001,$N754))</f>
      </c>
      <c r="N754">
        <f t="array" ref="N754">IFERROR(SMALL(IF(Staging!$E$2:$E$3001="MIPPL",ROW(Staging!$E$2:$E$3001)-ROW(Staging!$E$2)+1),753),"")</f>
      </c>
    </row>
    <row r="755" spans="1:14" x14ac:dyDescent="0.25">
      <c r="A755">
        <f>IF($N755="","",INDEX(Staging!$A$2:$A$3001,$N755))</f>
      </c>
      <c r="B755">
        <f>IF($N755="","",INDEX(Staging!$B$2:$B$3001,$N755))</f>
      </c>
      <c r="C755">
        <f>IF($N755="","",INDEX(Staging!$C$2:$C$3001,$N755))</f>
      </c>
      <c r="D755">
        <f>IF($N755="","",INDEX(Staging!$D$2:$D$3001,$N755))</f>
      </c>
      <c r="E755">
        <f>IF($N755="","",INDEX(Staging!$F$2:$F$3001,$N755))</f>
      </c>
      <c r="F755">
        <f>IF($N755="","",INDEX(Staging!$G$2:$G$3001,$N755))</f>
      </c>
      <c r="G755">
        <f>IF($N755="","",INDEX(Staging!$H$2:$H$3001,$N755))</f>
      </c>
      <c r="H755">
        <f>IF($N755="","",INDEX(Staging!$I$2:$I$3001,$N755))</f>
      </c>
      <c r="I755">
        <f>IF($N755="","",INDEX(Staging!$J$2:$J$3001,$N755))</f>
      </c>
      <c r="J755">
        <f>IF($N755="","",INDEX(Staging!$K$2:$K$3001,$N755))</f>
      </c>
      <c r="K755">
        <f>IF($N755="","",INDEX(Staging!$M$2:$M$3001,$N755))</f>
      </c>
      <c r="L755">
        <f>IF($N755="","",INDEX(Staging!$O$2:$O$3001,$N755))</f>
      </c>
      <c r="M755">
        <f>IF($N755="","",INDEX(Staging!$P$2:$P$3001,$N755))</f>
      </c>
      <c r="N755">
        <f t="array" ref="N755">IFERROR(SMALL(IF(Staging!$E$2:$E$3001="MIPPL",ROW(Staging!$E$2:$E$3001)-ROW(Staging!$E$2)+1),754),"")</f>
      </c>
    </row>
    <row r="756" spans="1:14" x14ac:dyDescent="0.25">
      <c r="A756">
        <f>IF($N756="","",INDEX(Staging!$A$2:$A$3001,$N756))</f>
      </c>
      <c r="B756">
        <f>IF($N756="","",INDEX(Staging!$B$2:$B$3001,$N756))</f>
      </c>
      <c r="C756">
        <f>IF($N756="","",INDEX(Staging!$C$2:$C$3001,$N756))</f>
      </c>
      <c r="D756">
        <f>IF($N756="","",INDEX(Staging!$D$2:$D$3001,$N756))</f>
      </c>
      <c r="E756">
        <f>IF($N756="","",INDEX(Staging!$F$2:$F$3001,$N756))</f>
      </c>
      <c r="F756">
        <f>IF($N756="","",INDEX(Staging!$G$2:$G$3001,$N756))</f>
      </c>
      <c r="G756">
        <f>IF($N756="","",INDEX(Staging!$H$2:$H$3001,$N756))</f>
      </c>
      <c r="H756">
        <f>IF($N756="","",INDEX(Staging!$I$2:$I$3001,$N756))</f>
      </c>
      <c r="I756">
        <f>IF($N756="","",INDEX(Staging!$J$2:$J$3001,$N756))</f>
      </c>
      <c r="J756">
        <f>IF($N756="","",INDEX(Staging!$K$2:$K$3001,$N756))</f>
      </c>
      <c r="K756">
        <f>IF($N756="","",INDEX(Staging!$M$2:$M$3001,$N756))</f>
      </c>
      <c r="L756">
        <f>IF($N756="","",INDEX(Staging!$O$2:$O$3001,$N756))</f>
      </c>
      <c r="M756">
        <f>IF($N756="","",INDEX(Staging!$P$2:$P$3001,$N756))</f>
      </c>
      <c r="N756">
        <f t="array" ref="N756">IFERROR(SMALL(IF(Staging!$E$2:$E$3001="MIPPL",ROW(Staging!$E$2:$E$3001)-ROW(Staging!$E$2)+1),755),"")</f>
      </c>
    </row>
    <row r="757" spans="1:14" x14ac:dyDescent="0.25">
      <c r="A757">
        <f>IF($N757="","",INDEX(Staging!$A$2:$A$3001,$N757))</f>
      </c>
      <c r="B757">
        <f>IF($N757="","",INDEX(Staging!$B$2:$B$3001,$N757))</f>
      </c>
      <c r="C757">
        <f>IF($N757="","",INDEX(Staging!$C$2:$C$3001,$N757))</f>
      </c>
      <c r="D757">
        <f>IF($N757="","",INDEX(Staging!$D$2:$D$3001,$N757))</f>
      </c>
      <c r="E757">
        <f>IF($N757="","",INDEX(Staging!$F$2:$F$3001,$N757))</f>
      </c>
      <c r="F757">
        <f>IF($N757="","",INDEX(Staging!$G$2:$G$3001,$N757))</f>
      </c>
      <c r="G757">
        <f>IF($N757="","",INDEX(Staging!$H$2:$H$3001,$N757))</f>
      </c>
      <c r="H757">
        <f>IF($N757="","",INDEX(Staging!$I$2:$I$3001,$N757))</f>
      </c>
      <c r="I757">
        <f>IF($N757="","",INDEX(Staging!$J$2:$J$3001,$N757))</f>
      </c>
      <c r="J757">
        <f>IF($N757="","",INDEX(Staging!$K$2:$K$3001,$N757))</f>
      </c>
      <c r="K757">
        <f>IF($N757="","",INDEX(Staging!$M$2:$M$3001,$N757))</f>
      </c>
      <c r="L757">
        <f>IF($N757="","",INDEX(Staging!$O$2:$O$3001,$N757))</f>
      </c>
      <c r="M757">
        <f>IF($N757="","",INDEX(Staging!$P$2:$P$3001,$N757))</f>
      </c>
      <c r="N757">
        <f t="array" ref="N757">IFERROR(SMALL(IF(Staging!$E$2:$E$3001="MIPPL",ROW(Staging!$E$2:$E$3001)-ROW(Staging!$E$2)+1),756),"")</f>
      </c>
    </row>
    <row r="758" spans="1:14" x14ac:dyDescent="0.25">
      <c r="A758">
        <f>IF($N758="","",INDEX(Staging!$A$2:$A$3001,$N758))</f>
      </c>
      <c r="B758">
        <f>IF($N758="","",INDEX(Staging!$B$2:$B$3001,$N758))</f>
      </c>
      <c r="C758">
        <f>IF($N758="","",INDEX(Staging!$C$2:$C$3001,$N758))</f>
      </c>
      <c r="D758">
        <f>IF($N758="","",INDEX(Staging!$D$2:$D$3001,$N758))</f>
      </c>
      <c r="E758">
        <f>IF($N758="","",INDEX(Staging!$F$2:$F$3001,$N758))</f>
      </c>
      <c r="F758">
        <f>IF($N758="","",INDEX(Staging!$G$2:$G$3001,$N758))</f>
      </c>
      <c r="G758">
        <f>IF($N758="","",INDEX(Staging!$H$2:$H$3001,$N758))</f>
      </c>
      <c r="H758">
        <f>IF($N758="","",INDEX(Staging!$I$2:$I$3001,$N758))</f>
      </c>
      <c r="I758">
        <f>IF($N758="","",INDEX(Staging!$J$2:$J$3001,$N758))</f>
      </c>
      <c r="J758">
        <f>IF($N758="","",INDEX(Staging!$K$2:$K$3001,$N758))</f>
      </c>
      <c r="K758">
        <f>IF($N758="","",INDEX(Staging!$M$2:$M$3001,$N758))</f>
      </c>
      <c r="L758">
        <f>IF($N758="","",INDEX(Staging!$O$2:$O$3001,$N758))</f>
      </c>
      <c r="M758">
        <f>IF($N758="","",INDEX(Staging!$P$2:$P$3001,$N758))</f>
      </c>
      <c r="N758">
        <f t="array" ref="N758">IFERROR(SMALL(IF(Staging!$E$2:$E$3001="MIPPL",ROW(Staging!$E$2:$E$3001)-ROW(Staging!$E$2)+1),757),"")</f>
      </c>
    </row>
    <row r="759" spans="1:14" x14ac:dyDescent="0.25">
      <c r="A759">
        <f>IF($N759="","",INDEX(Staging!$A$2:$A$3001,$N759))</f>
      </c>
      <c r="B759">
        <f>IF($N759="","",INDEX(Staging!$B$2:$B$3001,$N759))</f>
      </c>
      <c r="C759">
        <f>IF($N759="","",INDEX(Staging!$C$2:$C$3001,$N759))</f>
      </c>
      <c r="D759">
        <f>IF($N759="","",INDEX(Staging!$D$2:$D$3001,$N759))</f>
      </c>
      <c r="E759">
        <f>IF($N759="","",INDEX(Staging!$F$2:$F$3001,$N759))</f>
      </c>
      <c r="F759">
        <f>IF($N759="","",INDEX(Staging!$G$2:$G$3001,$N759))</f>
      </c>
      <c r="G759">
        <f>IF($N759="","",INDEX(Staging!$H$2:$H$3001,$N759))</f>
      </c>
      <c r="H759">
        <f>IF($N759="","",INDEX(Staging!$I$2:$I$3001,$N759))</f>
      </c>
      <c r="I759">
        <f>IF($N759="","",INDEX(Staging!$J$2:$J$3001,$N759))</f>
      </c>
      <c r="J759">
        <f>IF($N759="","",INDEX(Staging!$K$2:$K$3001,$N759))</f>
      </c>
      <c r="K759">
        <f>IF($N759="","",INDEX(Staging!$M$2:$M$3001,$N759))</f>
      </c>
      <c r="L759">
        <f>IF($N759="","",INDEX(Staging!$O$2:$O$3001,$N759))</f>
      </c>
      <c r="M759">
        <f>IF($N759="","",INDEX(Staging!$P$2:$P$3001,$N759))</f>
      </c>
      <c r="N759">
        <f t="array" ref="N759">IFERROR(SMALL(IF(Staging!$E$2:$E$3001="MIPPL",ROW(Staging!$E$2:$E$3001)-ROW(Staging!$E$2)+1),758),"")</f>
      </c>
    </row>
    <row r="760" spans="1:14" x14ac:dyDescent="0.25">
      <c r="A760">
        <f>IF($N760="","",INDEX(Staging!$A$2:$A$3001,$N760))</f>
      </c>
      <c r="B760">
        <f>IF($N760="","",INDEX(Staging!$B$2:$B$3001,$N760))</f>
      </c>
      <c r="C760">
        <f>IF($N760="","",INDEX(Staging!$C$2:$C$3001,$N760))</f>
      </c>
      <c r="D760">
        <f>IF($N760="","",INDEX(Staging!$D$2:$D$3001,$N760))</f>
      </c>
      <c r="E760">
        <f>IF($N760="","",INDEX(Staging!$F$2:$F$3001,$N760))</f>
      </c>
      <c r="F760">
        <f>IF($N760="","",INDEX(Staging!$G$2:$G$3001,$N760))</f>
      </c>
      <c r="G760">
        <f>IF($N760="","",INDEX(Staging!$H$2:$H$3001,$N760))</f>
      </c>
      <c r="H760">
        <f>IF($N760="","",INDEX(Staging!$I$2:$I$3001,$N760))</f>
      </c>
      <c r="I760">
        <f>IF($N760="","",INDEX(Staging!$J$2:$J$3001,$N760))</f>
      </c>
      <c r="J760">
        <f>IF($N760="","",INDEX(Staging!$K$2:$K$3001,$N760))</f>
      </c>
      <c r="K760">
        <f>IF($N760="","",INDEX(Staging!$M$2:$M$3001,$N760))</f>
      </c>
      <c r="L760">
        <f>IF($N760="","",INDEX(Staging!$O$2:$O$3001,$N760))</f>
      </c>
      <c r="M760">
        <f>IF($N760="","",INDEX(Staging!$P$2:$P$3001,$N760))</f>
      </c>
      <c r="N760">
        <f t="array" ref="N760">IFERROR(SMALL(IF(Staging!$E$2:$E$3001="MIPPL",ROW(Staging!$E$2:$E$3001)-ROW(Staging!$E$2)+1),759),"")</f>
      </c>
    </row>
    <row r="761" spans="1:14" x14ac:dyDescent="0.25">
      <c r="A761">
        <f>IF($N761="","",INDEX(Staging!$A$2:$A$3001,$N761))</f>
      </c>
      <c r="B761">
        <f>IF($N761="","",INDEX(Staging!$B$2:$B$3001,$N761))</f>
      </c>
      <c r="C761">
        <f>IF($N761="","",INDEX(Staging!$C$2:$C$3001,$N761))</f>
      </c>
      <c r="D761">
        <f>IF($N761="","",INDEX(Staging!$D$2:$D$3001,$N761))</f>
      </c>
      <c r="E761">
        <f>IF($N761="","",INDEX(Staging!$F$2:$F$3001,$N761))</f>
      </c>
      <c r="F761">
        <f>IF($N761="","",INDEX(Staging!$G$2:$G$3001,$N761))</f>
      </c>
      <c r="G761">
        <f>IF($N761="","",INDEX(Staging!$H$2:$H$3001,$N761))</f>
      </c>
      <c r="H761">
        <f>IF($N761="","",INDEX(Staging!$I$2:$I$3001,$N761))</f>
      </c>
      <c r="I761">
        <f>IF($N761="","",INDEX(Staging!$J$2:$J$3001,$N761))</f>
      </c>
      <c r="J761">
        <f>IF($N761="","",INDEX(Staging!$K$2:$K$3001,$N761))</f>
      </c>
      <c r="K761">
        <f>IF($N761="","",INDEX(Staging!$M$2:$M$3001,$N761))</f>
      </c>
      <c r="L761">
        <f>IF($N761="","",INDEX(Staging!$O$2:$O$3001,$N761))</f>
      </c>
      <c r="M761">
        <f>IF($N761="","",INDEX(Staging!$P$2:$P$3001,$N761))</f>
      </c>
      <c r="N761">
        <f t="array" ref="N761">IFERROR(SMALL(IF(Staging!$E$2:$E$3001="MIPPL",ROW(Staging!$E$2:$E$3001)-ROW(Staging!$E$2)+1),760),"")</f>
      </c>
    </row>
    <row r="762" spans="1:14" x14ac:dyDescent="0.25">
      <c r="A762">
        <f>IF($N762="","",INDEX(Staging!$A$2:$A$3001,$N762))</f>
      </c>
      <c r="B762">
        <f>IF($N762="","",INDEX(Staging!$B$2:$B$3001,$N762))</f>
      </c>
      <c r="C762">
        <f>IF($N762="","",INDEX(Staging!$C$2:$C$3001,$N762))</f>
      </c>
      <c r="D762">
        <f>IF($N762="","",INDEX(Staging!$D$2:$D$3001,$N762))</f>
      </c>
      <c r="E762">
        <f>IF($N762="","",INDEX(Staging!$F$2:$F$3001,$N762))</f>
      </c>
      <c r="F762">
        <f>IF($N762="","",INDEX(Staging!$G$2:$G$3001,$N762))</f>
      </c>
      <c r="G762">
        <f>IF($N762="","",INDEX(Staging!$H$2:$H$3001,$N762))</f>
      </c>
      <c r="H762">
        <f>IF($N762="","",INDEX(Staging!$I$2:$I$3001,$N762))</f>
      </c>
      <c r="I762">
        <f>IF($N762="","",INDEX(Staging!$J$2:$J$3001,$N762))</f>
      </c>
      <c r="J762">
        <f>IF($N762="","",INDEX(Staging!$K$2:$K$3001,$N762))</f>
      </c>
      <c r="K762">
        <f>IF($N762="","",INDEX(Staging!$M$2:$M$3001,$N762))</f>
      </c>
      <c r="L762">
        <f>IF($N762="","",INDEX(Staging!$O$2:$O$3001,$N762))</f>
      </c>
      <c r="M762">
        <f>IF($N762="","",INDEX(Staging!$P$2:$P$3001,$N762))</f>
      </c>
      <c r="N762">
        <f t="array" ref="N762">IFERROR(SMALL(IF(Staging!$E$2:$E$3001="MIPPL",ROW(Staging!$E$2:$E$3001)-ROW(Staging!$E$2)+1),761),"")</f>
      </c>
    </row>
    <row r="763" spans="1:14" x14ac:dyDescent="0.25">
      <c r="A763">
        <f>IF($N763="","",INDEX(Staging!$A$2:$A$3001,$N763))</f>
      </c>
      <c r="B763">
        <f>IF($N763="","",INDEX(Staging!$B$2:$B$3001,$N763))</f>
      </c>
      <c r="C763">
        <f>IF($N763="","",INDEX(Staging!$C$2:$C$3001,$N763))</f>
      </c>
      <c r="D763">
        <f>IF($N763="","",INDEX(Staging!$D$2:$D$3001,$N763))</f>
      </c>
      <c r="E763">
        <f>IF($N763="","",INDEX(Staging!$F$2:$F$3001,$N763))</f>
      </c>
      <c r="F763">
        <f>IF($N763="","",INDEX(Staging!$G$2:$G$3001,$N763))</f>
      </c>
      <c r="G763">
        <f>IF($N763="","",INDEX(Staging!$H$2:$H$3001,$N763))</f>
      </c>
      <c r="H763">
        <f>IF($N763="","",INDEX(Staging!$I$2:$I$3001,$N763))</f>
      </c>
      <c r="I763">
        <f>IF($N763="","",INDEX(Staging!$J$2:$J$3001,$N763))</f>
      </c>
      <c r="J763">
        <f>IF($N763="","",INDEX(Staging!$K$2:$K$3001,$N763))</f>
      </c>
      <c r="K763">
        <f>IF($N763="","",INDEX(Staging!$M$2:$M$3001,$N763))</f>
      </c>
      <c r="L763">
        <f>IF($N763="","",INDEX(Staging!$O$2:$O$3001,$N763))</f>
      </c>
      <c r="M763">
        <f>IF($N763="","",INDEX(Staging!$P$2:$P$3001,$N763))</f>
      </c>
      <c r="N763">
        <f t="array" ref="N763">IFERROR(SMALL(IF(Staging!$E$2:$E$3001="MIPPL",ROW(Staging!$E$2:$E$3001)-ROW(Staging!$E$2)+1),762),"")</f>
      </c>
    </row>
    <row r="764" spans="1:14" x14ac:dyDescent="0.25">
      <c r="A764">
        <f>IF($N764="","",INDEX(Staging!$A$2:$A$3001,$N764))</f>
      </c>
      <c r="B764">
        <f>IF($N764="","",INDEX(Staging!$B$2:$B$3001,$N764))</f>
      </c>
      <c r="C764">
        <f>IF($N764="","",INDEX(Staging!$C$2:$C$3001,$N764))</f>
      </c>
      <c r="D764">
        <f>IF($N764="","",INDEX(Staging!$D$2:$D$3001,$N764))</f>
      </c>
      <c r="E764">
        <f>IF($N764="","",INDEX(Staging!$F$2:$F$3001,$N764))</f>
      </c>
      <c r="F764">
        <f>IF($N764="","",INDEX(Staging!$G$2:$G$3001,$N764))</f>
      </c>
      <c r="G764">
        <f>IF($N764="","",INDEX(Staging!$H$2:$H$3001,$N764))</f>
      </c>
      <c r="H764">
        <f>IF($N764="","",INDEX(Staging!$I$2:$I$3001,$N764))</f>
      </c>
      <c r="I764">
        <f>IF($N764="","",INDEX(Staging!$J$2:$J$3001,$N764))</f>
      </c>
      <c r="J764">
        <f>IF($N764="","",INDEX(Staging!$K$2:$K$3001,$N764))</f>
      </c>
      <c r="K764">
        <f>IF($N764="","",INDEX(Staging!$M$2:$M$3001,$N764))</f>
      </c>
      <c r="L764">
        <f>IF($N764="","",INDEX(Staging!$O$2:$O$3001,$N764))</f>
      </c>
      <c r="M764">
        <f>IF($N764="","",INDEX(Staging!$P$2:$P$3001,$N764))</f>
      </c>
      <c r="N764">
        <f t="array" ref="N764">IFERROR(SMALL(IF(Staging!$E$2:$E$3001="MIPPL",ROW(Staging!$E$2:$E$3001)-ROW(Staging!$E$2)+1),763),"")</f>
      </c>
    </row>
    <row r="765" spans="1:14" x14ac:dyDescent="0.25">
      <c r="A765">
        <f>IF($N765="","",INDEX(Staging!$A$2:$A$3001,$N765))</f>
      </c>
      <c r="B765">
        <f>IF($N765="","",INDEX(Staging!$B$2:$B$3001,$N765))</f>
      </c>
      <c r="C765">
        <f>IF($N765="","",INDEX(Staging!$C$2:$C$3001,$N765))</f>
      </c>
      <c r="D765">
        <f>IF($N765="","",INDEX(Staging!$D$2:$D$3001,$N765))</f>
      </c>
      <c r="E765">
        <f>IF($N765="","",INDEX(Staging!$F$2:$F$3001,$N765))</f>
      </c>
      <c r="F765">
        <f>IF($N765="","",INDEX(Staging!$G$2:$G$3001,$N765))</f>
      </c>
      <c r="G765">
        <f>IF($N765="","",INDEX(Staging!$H$2:$H$3001,$N765))</f>
      </c>
      <c r="H765">
        <f>IF($N765="","",INDEX(Staging!$I$2:$I$3001,$N765))</f>
      </c>
      <c r="I765">
        <f>IF($N765="","",INDEX(Staging!$J$2:$J$3001,$N765))</f>
      </c>
      <c r="J765">
        <f>IF($N765="","",INDEX(Staging!$K$2:$K$3001,$N765))</f>
      </c>
      <c r="K765">
        <f>IF($N765="","",INDEX(Staging!$M$2:$M$3001,$N765))</f>
      </c>
      <c r="L765">
        <f>IF($N765="","",INDEX(Staging!$O$2:$O$3001,$N765))</f>
      </c>
      <c r="M765">
        <f>IF($N765="","",INDEX(Staging!$P$2:$P$3001,$N765))</f>
      </c>
      <c r="N765">
        <f t="array" ref="N765">IFERROR(SMALL(IF(Staging!$E$2:$E$3001="MIPPL",ROW(Staging!$E$2:$E$3001)-ROW(Staging!$E$2)+1),764),"")</f>
      </c>
    </row>
    <row r="766" spans="1:14" x14ac:dyDescent="0.25">
      <c r="A766">
        <f>IF($N766="","",INDEX(Staging!$A$2:$A$3001,$N766))</f>
      </c>
      <c r="B766">
        <f>IF($N766="","",INDEX(Staging!$B$2:$B$3001,$N766))</f>
      </c>
      <c r="C766">
        <f>IF($N766="","",INDEX(Staging!$C$2:$C$3001,$N766))</f>
      </c>
      <c r="D766">
        <f>IF($N766="","",INDEX(Staging!$D$2:$D$3001,$N766))</f>
      </c>
      <c r="E766">
        <f>IF($N766="","",INDEX(Staging!$F$2:$F$3001,$N766))</f>
      </c>
      <c r="F766">
        <f>IF($N766="","",INDEX(Staging!$G$2:$G$3001,$N766))</f>
      </c>
      <c r="G766">
        <f>IF($N766="","",INDEX(Staging!$H$2:$H$3001,$N766))</f>
      </c>
      <c r="H766">
        <f>IF($N766="","",INDEX(Staging!$I$2:$I$3001,$N766))</f>
      </c>
      <c r="I766">
        <f>IF($N766="","",INDEX(Staging!$J$2:$J$3001,$N766))</f>
      </c>
      <c r="J766">
        <f>IF($N766="","",INDEX(Staging!$K$2:$K$3001,$N766))</f>
      </c>
      <c r="K766">
        <f>IF($N766="","",INDEX(Staging!$M$2:$M$3001,$N766))</f>
      </c>
      <c r="L766">
        <f>IF($N766="","",INDEX(Staging!$O$2:$O$3001,$N766))</f>
      </c>
      <c r="M766">
        <f>IF($N766="","",INDEX(Staging!$P$2:$P$3001,$N766))</f>
      </c>
      <c r="N766">
        <f t="array" ref="N766">IFERROR(SMALL(IF(Staging!$E$2:$E$3001="MIPPL",ROW(Staging!$E$2:$E$3001)-ROW(Staging!$E$2)+1),765),"")</f>
      </c>
    </row>
    <row r="767" spans="1:14" x14ac:dyDescent="0.25">
      <c r="A767">
        <f>IF($N767="","",INDEX(Staging!$A$2:$A$3001,$N767))</f>
      </c>
      <c r="B767">
        <f>IF($N767="","",INDEX(Staging!$B$2:$B$3001,$N767))</f>
      </c>
      <c r="C767">
        <f>IF($N767="","",INDEX(Staging!$C$2:$C$3001,$N767))</f>
      </c>
      <c r="D767">
        <f>IF($N767="","",INDEX(Staging!$D$2:$D$3001,$N767))</f>
      </c>
      <c r="E767">
        <f>IF($N767="","",INDEX(Staging!$F$2:$F$3001,$N767))</f>
      </c>
      <c r="F767">
        <f>IF($N767="","",INDEX(Staging!$G$2:$G$3001,$N767))</f>
      </c>
      <c r="G767">
        <f>IF($N767="","",INDEX(Staging!$H$2:$H$3001,$N767))</f>
      </c>
      <c r="H767">
        <f>IF($N767="","",INDEX(Staging!$I$2:$I$3001,$N767))</f>
      </c>
      <c r="I767">
        <f>IF($N767="","",INDEX(Staging!$J$2:$J$3001,$N767))</f>
      </c>
      <c r="J767">
        <f>IF($N767="","",INDEX(Staging!$K$2:$K$3001,$N767))</f>
      </c>
      <c r="K767">
        <f>IF($N767="","",INDEX(Staging!$M$2:$M$3001,$N767))</f>
      </c>
      <c r="L767">
        <f>IF($N767="","",INDEX(Staging!$O$2:$O$3001,$N767))</f>
      </c>
      <c r="M767">
        <f>IF($N767="","",INDEX(Staging!$P$2:$P$3001,$N767))</f>
      </c>
      <c r="N767">
        <f t="array" ref="N767">IFERROR(SMALL(IF(Staging!$E$2:$E$3001="MIPPL",ROW(Staging!$E$2:$E$3001)-ROW(Staging!$E$2)+1),766),"")</f>
      </c>
    </row>
    <row r="768" spans="1:14" x14ac:dyDescent="0.25">
      <c r="A768">
        <f>IF($N768="","",INDEX(Staging!$A$2:$A$3001,$N768))</f>
      </c>
      <c r="B768">
        <f>IF($N768="","",INDEX(Staging!$B$2:$B$3001,$N768))</f>
      </c>
      <c r="C768">
        <f>IF($N768="","",INDEX(Staging!$C$2:$C$3001,$N768))</f>
      </c>
      <c r="D768">
        <f>IF($N768="","",INDEX(Staging!$D$2:$D$3001,$N768))</f>
      </c>
      <c r="E768">
        <f>IF($N768="","",INDEX(Staging!$F$2:$F$3001,$N768))</f>
      </c>
      <c r="F768">
        <f>IF($N768="","",INDEX(Staging!$G$2:$G$3001,$N768))</f>
      </c>
      <c r="G768">
        <f>IF($N768="","",INDEX(Staging!$H$2:$H$3001,$N768))</f>
      </c>
      <c r="H768">
        <f>IF($N768="","",INDEX(Staging!$I$2:$I$3001,$N768))</f>
      </c>
      <c r="I768">
        <f>IF($N768="","",INDEX(Staging!$J$2:$J$3001,$N768))</f>
      </c>
      <c r="J768">
        <f>IF($N768="","",INDEX(Staging!$K$2:$K$3001,$N768))</f>
      </c>
      <c r="K768">
        <f>IF($N768="","",INDEX(Staging!$M$2:$M$3001,$N768))</f>
      </c>
      <c r="L768">
        <f>IF($N768="","",INDEX(Staging!$O$2:$O$3001,$N768))</f>
      </c>
      <c r="M768">
        <f>IF($N768="","",INDEX(Staging!$P$2:$P$3001,$N768))</f>
      </c>
      <c r="N768">
        <f t="array" ref="N768">IFERROR(SMALL(IF(Staging!$E$2:$E$3001="MIPPL",ROW(Staging!$E$2:$E$3001)-ROW(Staging!$E$2)+1),767),"")</f>
      </c>
    </row>
    <row r="769" spans="1:14" x14ac:dyDescent="0.25">
      <c r="A769">
        <f>IF($N769="","",INDEX(Staging!$A$2:$A$3001,$N769))</f>
      </c>
      <c r="B769">
        <f>IF($N769="","",INDEX(Staging!$B$2:$B$3001,$N769))</f>
      </c>
      <c r="C769">
        <f>IF($N769="","",INDEX(Staging!$C$2:$C$3001,$N769))</f>
      </c>
      <c r="D769">
        <f>IF($N769="","",INDEX(Staging!$D$2:$D$3001,$N769))</f>
      </c>
      <c r="E769">
        <f>IF($N769="","",INDEX(Staging!$F$2:$F$3001,$N769))</f>
      </c>
      <c r="F769">
        <f>IF($N769="","",INDEX(Staging!$G$2:$G$3001,$N769))</f>
      </c>
      <c r="G769">
        <f>IF($N769="","",INDEX(Staging!$H$2:$H$3001,$N769))</f>
      </c>
      <c r="H769">
        <f>IF($N769="","",INDEX(Staging!$I$2:$I$3001,$N769))</f>
      </c>
      <c r="I769">
        <f>IF($N769="","",INDEX(Staging!$J$2:$J$3001,$N769))</f>
      </c>
      <c r="J769">
        <f>IF($N769="","",INDEX(Staging!$K$2:$K$3001,$N769))</f>
      </c>
      <c r="K769">
        <f>IF($N769="","",INDEX(Staging!$M$2:$M$3001,$N769))</f>
      </c>
      <c r="L769">
        <f>IF($N769="","",INDEX(Staging!$O$2:$O$3001,$N769))</f>
      </c>
      <c r="M769">
        <f>IF($N769="","",INDEX(Staging!$P$2:$P$3001,$N769))</f>
      </c>
      <c r="N769">
        <f t="array" ref="N769">IFERROR(SMALL(IF(Staging!$E$2:$E$3001="MIPPL",ROW(Staging!$E$2:$E$3001)-ROW(Staging!$E$2)+1),768),"")</f>
      </c>
    </row>
    <row r="770" spans="1:14" x14ac:dyDescent="0.25">
      <c r="A770">
        <f>IF($N770="","",INDEX(Staging!$A$2:$A$3001,$N770))</f>
      </c>
      <c r="B770">
        <f>IF($N770="","",INDEX(Staging!$B$2:$B$3001,$N770))</f>
      </c>
      <c r="C770">
        <f>IF($N770="","",INDEX(Staging!$C$2:$C$3001,$N770))</f>
      </c>
      <c r="D770">
        <f>IF($N770="","",INDEX(Staging!$D$2:$D$3001,$N770))</f>
      </c>
      <c r="E770">
        <f>IF($N770="","",INDEX(Staging!$F$2:$F$3001,$N770))</f>
      </c>
      <c r="F770">
        <f>IF($N770="","",INDEX(Staging!$G$2:$G$3001,$N770))</f>
      </c>
      <c r="G770">
        <f>IF($N770="","",INDEX(Staging!$H$2:$H$3001,$N770))</f>
      </c>
      <c r="H770">
        <f>IF($N770="","",INDEX(Staging!$I$2:$I$3001,$N770))</f>
      </c>
      <c r="I770">
        <f>IF($N770="","",INDEX(Staging!$J$2:$J$3001,$N770))</f>
      </c>
      <c r="J770">
        <f>IF($N770="","",INDEX(Staging!$K$2:$K$3001,$N770))</f>
      </c>
      <c r="K770">
        <f>IF($N770="","",INDEX(Staging!$M$2:$M$3001,$N770))</f>
      </c>
      <c r="L770">
        <f>IF($N770="","",INDEX(Staging!$O$2:$O$3001,$N770))</f>
      </c>
      <c r="M770">
        <f>IF($N770="","",INDEX(Staging!$P$2:$P$3001,$N770))</f>
      </c>
      <c r="N770">
        <f t="array" ref="N770">IFERROR(SMALL(IF(Staging!$E$2:$E$3001="MIPPL",ROW(Staging!$E$2:$E$3001)-ROW(Staging!$E$2)+1),769),"")</f>
      </c>
    </row>
    <row r="771" spans="1:14" x14ac:dyDescent="0.25">
      <c r="A771">
        <f>IF($N771="","",INDEX(Staging!$A$2:$A$3001,$N771))</f>
      </c>
      <c r="B771">
        <f>IF($N771="","",INDEX(Staging!$B$2:$B$3001,$N771))</f>
      </c>
      <c r="C771">
        <f>IF($N771="","",INDEX(Staging!$C$2:$C$3001,$N771))</f>
      </c>
      <c r="D771">
        <f>IF($N771="","",INDEX(Staging!$D$2:$D$3001,$N771))</f>
      </c>
      <c r="E771">
        <f>IF($N771="","",INDEX(Staging!$F$2:$F$3001,$N771))</f>
      </c>
      <c r="F771">
        <f>IF($N771="","",INDEX(Staging!$G$2:$G$3001,$N771))</f>
      </c>
      <c r="G771">
        <f>IF($N771="","",INDEX(Staging!$H$2:$H$3001,$N771))</f>
      </c>
      <c r="H771">
        <f>IF($N771="","",INDEX(Staging!$I$2:$I$3001,$N771))</f>
      </c>
      <c r="I771">
        <f>IF($N771="","",INDEX(Staging!$J$2:$J$3001,$N771))</f>
      </c>
      <c r="J771">
        <f>IF($N771="","",INDEX(Staging!$K$2:$K$3001,$N771))</f>
      </c>
      <c r="K771">
        <f>IF($N771="","",INDEX(Staging!$M$2:$M$3001,$N771))</f>
      </c>
      <c r="L771">
        <f>IF($N771="","",INDEX(Staging!$O$2:$O$3001,$N771))</f>
      </c>
      <c r="M771">
        <f>IF($N771="","",INDEX(Staging!$P$2:$P$3001,$N771))</f>
      </c>
      <c r="N771">
        <f t="array" ref="N771">IFERROR(SMALL(IF(Staging!$E$2:$E$3001="MIPPL",ROW(Staging!$E$2:$E$3001)-ROW(Staging!$E$2)+1),770),"")</f>
      </c>
    </row>
    <row r="772" spans="1:14" x14ac:dyDescent="0.25">
      <c r="A772">
        <f>IF($N772="","",INDEX(Staging!$A$2:$A$3001,$N772))</f>
      </c>
      <c r="B772">
        <f>IF($N772="","",INDEX(Staging!$B$2:$B$3001,$N772))</f>
      </c>
      <c r="C772">
        <f>IF($N772="","",INDEX(Staging!$C$2:$C$3001,$N772))</f>
      </c>
      <c r="D772">
        <f>IF($N772="","",INDEX(Staging!$D$2:$D$3001,$N772))</f>
      </c>
      <c r="E772">
        <f>IF($N772="","",INDEX(Staging!$F$2:$F$3001,$N772))</f>
      </c>
      <c r="F772">
        <f>IF($N772="","",INDEX(Staging!$G$2:$G$3001,$N772))</f>
      </c>
      <c r="G772">
        <f>IF($N772="","",INDEX(Staging!$H$2:$H$3001,$N772))</f>
      </c>
      <c r="H772">
        <f>IF($N772="","",INDEX(Staging!$I$2:$I$3001,$N772))</f>
      </c>
      <c r="I772">
        <f>IF($N772="","",INDEX(Staging!$J$2:$J$3001,$N772))</f>
      </c>
      <c r="J772">
        <f>IF($N772="","",INDEX(Staging!$K$2:$K$3001,$N772))</f>
      </c>
      <c r="K772">
        <f>IF($N772="","",INDEX(Staging!$M$2:$M$3001,$N772))</f>
      </c>
      <c r="L772">
        <f>IF($N772="","",INDEX(Staging!$O$2:$O$3001,$N772))</f>
      </c>
      <c r="M772">
        <f>IF($N772="","",INDEX(Staging!$P$2:$P$3001,$N772))</f>
      </c>
      <c r="N772">
        <f t="array" ref="N772">IFERROR(SMALL(IF(Staging!$E$2:$E$3001="MIPPL",ROW(Staging!$E$2:$E$3001)-ROW(Staging!$E$2)+1),771),"")</f>
      </c>
    </row>
    <row r="773" spans="1:14" x14ac:dyDescent="0.25">
      <c r="A773">
        <f>IF($N773="","",INDEX(Staging!$A$2:$A$3001,$N773))</f>
      </c>
      <c r="B773">
        <f>IF($N773="","",INDEX(Staging!$B$2:$B$3001,$N773))</f>
      </c>
      <c r="C773">
        <f>IF($N773="","",INDEX(Staging!$C$2:$C$3001,$N773))</f>
      </c>
      <c r="D773">
        <f>IF($N773="","",INDEX(Staging!$D$2:$D$3001,$N773))</f>
      </c>
      <c r="E773">
        <f>IF($N773="","",INDEX(Staging!$F$2:$F$3001,$N773))</f>
      </c>
      <c r="F773">
        <f>IF($N773="","",INDEX(Staging!$G$2:$G$3001,$N773))</f>
      </c>
      <c r="G773">
        <f>IF($N773="","",INDEX(Staging!$H$2:$H$3001,$N773))</f>
      </c>
      <c r="H773">
        <f>IF($N773="","",INDEX(Staging!$I$2:$I$3001,$N773))</f>
      </c>
      <c r="I773">
        <f>IF($N773="","",INDEX(Staging!$J$2:$J$3001,$N773))</f>
      </c>
      <c r="J773">
        <f>IF($N773="","",INDEX(Staging!$K$2:$K$3001,$N773))</f>
      </c>
      <c r="K773">
        <f>IF($N773="","",INDEX(Staging!$M$2:$M$3001,$N773))</f>
      </c>
      <c r="L773">
        <f>IF($N773="","",INDEX(Staging!$O$2:$O$3001,$N773))</f>
      </c>
      <c r="M773">
        <f>IF($N773="","",INDEX(Staging!$P$2:$P$3001,$N773))</f>
      </c>
      <c r="N773">
        <f t="array" ref="N773">IFERROR(SMALL(IF(Staging!$E$2:$E$3001="MIPPL",ROW(Staging!$E$2:$E$3001)-ROW(Staging!$E$2)+1),772),"")</f>
      </c>
    </row>
    <row r="774" spans="1:14" x14ac:dyDescent="0.25">
      <c r="A774">
        <f>IF($N774="","",INDEX(Staging!$A$2:$A$3001,$N774))</f>
      </c>
      <c r="B774">
        <f>IF($N774="","",INDEX(Staging!$B$2:$B$3001,$N774))</f>
      </c>
      <c r="C774">
        <f>IF($N774="","",INDEX(Staging!$C$2:$C$3001,$N774))</f>
      </c>
      <c r="D774">
        <f>IF($N774="","",INDEX(Staging!$D$2:$D$3001,$N774))</f>
      </c>
      <c r="E774">
        <f>IF($N774="","",INDEX(Staging!$F$2:$F$3001,$N774))</f>
      </c>
      <c r="F774">
        <f>IF($N774="","",INDEX(Staging!$G$2:$G$3001,$N774))</f>
      </c>
      <c r="G774">
        <f>IF($N774="","",INDEX(Staging!$H$2:$H$3001,$N774))</f>
      </c>
      <c r="H774">
        <f>IF($N774="","",INDEX(Staging!$I$2:$I$3001,$N774))</f>
      </c>
      <c r="I774">
        <f>IF($N774="","",INDEX(Staging!$J$2:$J$3001,$N774))</f>
      </c>
      <c r="J774">
        <f>IF($N774="","",INDEX(Staging!$K$2:$K$3001,$N774))</f>
      </c>
      <c r="K774">
        <f>IF($N774="","",INDEX(Staging!$M$2:$M$3001,$N774))</f>
      </c>
      <c r="L774">
        <f>IF($N774="","",INDEX(Staging!$O$2:$O$3001,$N774))</f>
      </c>
      <c r="M774">
        <f>IF($N774="","",INDEX(Staging!$P$2:$P$3001,$N774))</f>
      </c>
      <c r="N774">
        <f t="array" ref="N774">IFERROR(SMALL(IF(Staging!$E$2:$E$3001="MIPPL",ROW(Staging!$E$2:$E$3001)-ROW(Staging!$E$2)+1),773),"")</f>
      </c>
    </row>
    <row r="775" spans="1:14" x14ac:dyDescent="0.25">
      <c r="A775">
        <f>IF($N775="","",INDEX(Staging!$A$2:$A$3001,$N775))</f>
      </c>
      <c r="B775">
        <f>IF($N775="","",INDEX(Staging!$B$2:$B$3001,$N775))</f>
      </c>
      <c r="C775">
        <f>IF($N775="","",INDEX(Staging!$C$2:$C$3001,$N775))</f>
      </c>
      <c r="D775">
        <f>IF($N775="","",INDEX(Staging!$D$2:$D$3001,$N775))</f>
      </c>
      <c r="E775">
        <f>IF($N775="","",INDEX(Staging!$F$2:$F$3001,$N775))</f>
      </c>
      <c r="F775">
        <f>IF($N775="","",INDEX(Staging!$G$2:$G$3001,$N775))</f>
      </c>
      <c r="G775">
        <f>IF($N775="","",INDEX(Staging!$H$2:$H$3001,$N775))</f>
      </c>
      <c r="H775">
        <f>IF($N775="","",INDEX(Staging!$I$2:$I$3001,$N775))</f>
      </c>
      <c r="I775">
        <f>IF($N775="","",INDEX(Staging!$J$2:$J$3001,$N775))</f>
      </c>
      <c r="J775">
        <f>IF($N775="","",INDEX(Staging!$K$2:$K$3001,$N775))</f>
      </c>
      <c r="K775">
        <f>IF($N775="","",INDEX(Staging!$M$2:$M$3001,$N775))</f>
      </c>
      <c r="L775">
        <f>IF($N775="","",INDEX(Staging!$O$2:$O$3001,$N775))</f>
      </c>
      <c r="M775">
        <f>IF($N775="","",INDEX(Staging!$P$2:$P$3001,$N775))</f>
      </c>
      <c r="N775">
        <f t="array" ref="N775">IFERROR(SMALL(IF(Staging!$E$2:$E$3001="MIPPL",ROW(Staging!$E$2:$E$3001)-ROW(Staging!$E$2)+1),774),"")</f>
      </c>
    </row>
    <row r="776" spans="1:14" x14ac:dyDescent="0.25">
      <c r="A776">
        <f>IF($N776="","",INDEX(Staging!$A$2:$A$3001,$N776))</f>
      </c>
      <c r="B776">
        <f>IF($N776="","",INDEX(Staging!$B$2:$B$3001,$N776))</f>
      </c>
      <c r="C776">
        <f>IF($N776="","",INDEX(Staging!$C$2:$C$3001,$N776))</f>
      </c>
      <c r="D776">
        <f>IF($N776="","",INDEX(Staging!$D$2:$D$3001,$N776))</f>
      </c>
      <c r="E776">
        <f>IF($N776="","",INDEX(Staging!$F$2:$F$3001,$N776))</f>
      </c>
      <c r="F776">
        <f>IF($N776="","",INDEX(Staging!$G$2:$G$3001,$N776))</f>
      </c>
      <c r="G776">
        <f>IF($N776="","",INDEX(Staging!$H$2:$H$3001,$N776))</f>
      </c>
      <c r="H776">
        <f>IF($N776="","",INDEX(Staging!$I$2:$I$3001,$N776))</f>
      </c>
      <c r="I776">
        <f>IF($N776="","",INDEX(Staging!$J$2:$J$3001,$N776))</f>
      </c>
      <c r="J776">
        <f>IF($N776="","",INDEX(Staging!$K$2:$K$3001,$N776))</f>
      </c>
      <c r="K776">
        <f>IF($N776="","",INDEX(Staging!$M$2:$M$3001,$N776))</f>
      </c>
      <c r="L776">
        <f>IF($N776="","",INDEX(Staging!$O$2:$O$3001,$N776))</f>
      </c>
      <c r="M776">
        <f>IF($N776="","",INDEX(Staging!$P$2:$P$3001,$N776))</f>
      </c>
      <c r="N776">
        <f t="array" ref="N776">IFERROR(SMALL(IF(Staging!$E$2:$E$3001="MIPPL",ROW(Staging!$E$2:$E$3001)-ROW(Staging!$E$2)+1),775),"")</f>
      </c>
    </row>
    <row r="777" spans="1:14" x14ac:dyDescent="0.25">
      <c r="A777">
        <f>IF($N777="","",INDEX(Staging!$A$2:$A$3001,$N777))</f>
      </c>
      <c r="B777">
        <f>IF($N777="","",INDEX(Staging!$B$2:$B$3001,$N777))</f>
      </c>
      <c r="C777">
        <f>IF($N777="","",INDEX(Staging!$C$2:$C$3001,$N777))</f>
      </c>
      <c r="D777">
        <f>IF($N777="","",INDEX(Staging!$D$2:$D$3001,$N777))</f>
      </c>
      <c r="E777">
        <f>IF($N777="","",INDEX(Staging!$F$2:$F$3001,$N777))</f>
      </c>
      <c r="F777">
        <f>IF($N777="","",INDEX(Staging!$G$2:$G$3001,$N777))</f>
      </c>
      <c r="G777">
        <f>IF($N777="","",INDEX(Staging!$H$2:$H$3001,$N777))</f>
      </c>
      <c r="H777">
        <f>IF($N777="","",INDEX(Staging!$I$2:$I$3001,$N777))</f>
      </c>
      <c r="I777">
        <f>IF($N777="","",INDEX(Staging!$J$2:$J$3001,$N777))</f>
      </c>
      <c r="J777">
        <f>IF($N777="","",INDEX(Staging!$K$2:$K$3001,$N777))</f>
      </c>
      <c r="K777">
        <f>IF($N777="","",INDEX(Staging!$M$2:$M$3001,$N777))</f>
      </c>
      <c r="L777">
        <f>IF($N777="","",INDEX(Staging!$O$2:$O$3001,$N777))</f>
      </c>
      <c r="M777">
        <f>IF($N777="","",INDEX(Staging!$P$2:$P$3001,$N777))</f>
      </c>
      <c r="N777">
        <f t="array" ref="N777">IFERROR(SMALL(IF(Staging!$E$2:$E$3001="MIPPL",ROW(Staging!$E$2:$E$3001)-ROW(Staging!$E$2)+1),776),"")</f>
      </c>
    </row>
    <row r="778" spans="1:14" x14ac:dyDescent="0.25">
      <c r="A778">
        <f>IF($N778="","",INDEX(Staging!$A$2:$A$3001,$N778))</f>
      </c>
      <c r="B778">
        <f>IF($N778="","",INDEX(Staging!$B$2:$B$3001,$N778))</f>
      </c>
      <c r="C778">
        <f>IF($N778="","",INDEX(Staging!$C$2:$C$3001,$N778))</f>
      </c>
      <c r="D778">
        <f>IF($N778="","",INDEX(Staging!$D$2:$D$3001,$N778))</f>
      </c>
      <c r="E778">
        <f>IF($N778="","",INDEX(Staging!$F$2:$F$3001,$N778))</f>
      </c>
      <c r="F778">
        <f>IF($N778="","",INDEX(Staging!$G$2:$G$3001,$N778))</f>
      </c>
      <c r="G778">
        <f>IF($N778="","",INDEX(Staging!$H$2:$H$3001,$N778))</f>
      </c>
      <c r="H778">
        <f>IF($N778="","",INDEX(Staging!$I$2:$I$3001,$N778))</f>
      </c>
      <c r="I778">
        <f>IF($N778="","",INDEX(Staging!$J$2:$J$3001,$N778))</f>
      </c>
      <c r="J778">
        <f>IF($N778="","",INDEX(Staging!$K$2:$K$3001,$N778))</f>
      </c>
      <c r="K778">
        <f>IF($N778="","",INDEX(Staging!$M$2:$M$3001,$N778))</f>
      </c>
      <c r="L778">
        <f>IF($N778="","",INDEX(Staging!$O$2:$O$3001,$N778))</f>
      </c>
      <c r="M778">
        <f>IF($N778="","",INDEX(Staging!$P$2:$P$3001,$N778))</f>
      </c>
      <c r="N778">
        <f t="array" ref="N778">IFERROR(SMALL(IF(Staging!$E$2:$E$3001="MIPPL",ROW(Staging!$E$2:$E$3001)-ROW(Staging!$E$2)+1),777),"")</f>
      </c>
    </row>
    <row r="779" spans="1:14" x14ac:dyDescent="0.25">
      <c r="A779">
        <f>IF($N779="","",INDEX(Staging!$A$2:$A$3001,$N779))</f>
      </c>
      <c r="B779">
        <f>IF($N779="","",INDEX(Staging!$B$2:$B$3001,$N779))</f>
      </c>
      <c r="C779">
        <f>IF($N779="","",INDEX(Staging!$C$2:$C$3001,$N779))</f>
      </c>
      <c r="D779">
        <f>IF($N779="","",INDEX(Staging!$D$2:$D$3001,$N779))</f>
      </c>
      <c r="E779">
        <f>IF($N779="","",INDEX(Staging!$F$2:$F$3001,$N779))</f>
      </c>
      <c r="F779">
        <f>IF($N779="","",INDEX(Staging!$G$2:$G$3001,$N779))</f>
      </c>
      <c r="G779">
        <f>IF($N779="","",INDEX(Staging!$H$2:$H$3001,$N779))</f>
      </c>
      <c r="H779">
        <f>IF($N779="","",INDEX(Staging!$I$2:$I$3001,$N779))</f>
      </c>
      <c r="I779">
        <f>IF($N779="","",INDEX(Staging!$J$2:$J$3001,$N779))</f>
      </c>
      <c r="J779">
        <f>IF($N779="","",INDEX(Staging!$K$2:$K$3001,$N779))</f>
      </c>
      <c r="K779">
        <f>IF($N779="","",INDEX(Staging!$M$2:$M$3001,$N779))</f>
      </c>
      <c r="L779">
        <f>IF($N779="","",INDEX(Staging!$O$2:$O$3001,$N779))</f>
      </c>
      <c r="M779">
        <f>IF($N779="","",INDEX(Staging!$P$2:$P$3001,$N779))</f>
      </c>
      <c r="N779">
        <f t="array" ref="N779">IFERROR(SMALL(IF(Staging!$E$2:$E$3001="MIPPL",ROW(Staging!$E$2:$E$3001)-ROW(Staging!$E$2)+1),778),"")</f>
      </c>
    </row>
    <row r="780" spans="1:14" x14ac:dyDescent="0.25">
      <c r="A780">
        <f>IF($N780="","",INDEX(Staging!$A$2:$A$3001,$N780))</f>
      </c>
      <c r="B780">
        <f>IF($N780="","",INDEX(Staging!$B$2:$B$3001,$N780))</f>
      </c>
      <c r="C780">
        <f>IF($N780="","",INDEX(Staging!$C$2:$C$3001,$N780))</f>
      </c>
      <c r="D780">
        <f>IF($N780="","",INDEX(Staging!$D$2:$D$3001,$N780))</f>
      </c>
      <c r="E780">
        <f>IF($N780="","",INDEX(Staging!$F$2:$F$3001,$N780))</f>
      </c>
      <c r="F780">
        <f>IF($N780="","",INDEX(Staging!$G$2:$G$3001,$N780))</f>
      </c>
      <c r="G780">
        <f>IF($N780="","",INDEX(Staging!$H$2:$H$3001,$N780))</f>
      </c>
      <c r="H780">
        <f>IF($N780="","",INDEX(Staging!$I$2:$I$3001,$N780))</f>
      </c>
      <c r="I780">
        <f>IF($N780="","",INDEX(Staging!$J$2:$J$3001,$N780))</f>
      </c>
      <c r="J780">
        <f>IF($N780="","",INDEX(Staging!$K$2:$K$3001,$N780))</f>
      </c>
      <c r="K780">
        <f>IF($N780="","",INDEX(Staging!$M$2:$M$3001,$N780))</f>
      </c>
      <c r="L780">
        <f>IF($N780="","",INDEX(Staging!$O$2:$O$3001,$N780))</f>
      </c>
      <c r="M780">
        <f>IF($N780="","",INDEX(Staging!$P$2:$P$3001,$N780))</f>
      </c>
      <c r="N780">
        <f t="array" ref="N780">IFERROR(SMALL(IF(Staging!$E$2:$E$3001="MIPPL",ROW(Staging!$E$2:$E$3001)-ROW(Staging!$E$2)+1),779),"")</f>
      </c>
    </row>
    <row r="781" spans="1:14" x14ac:dyDescent="0.25">
      <c r="A781">
        <f>IF($N781="","",INDEX(Staging!$A$2:$A$3001,$N781))</f>
      </c>
      <c r="B781">
        <f>IF($N781="","",INDEX(Staging!$B$2:$B$3001,$N781))</f>
      </c>
      <c r="C781">
        <f>IF($N781="","",INDEX(Staging!$C$2:$C$3001,$N781))</f>
      </c>
      <c r="D781">
        <f>IF($N781="","",INDEX(Staging!$D$2:$D$3001,$N781))</f>
      </c>
      <c r="E781">
        <f>IF($N781="","",INDEX(Staging!$F$2:$F$3001,$N781))</f>
      </c>
      <c r="F781">
        <f>IF($N781="","",INDEX(Staging!$G$2:$G$3001,$N781))</f>
      </c>
      <c r="G781">
        <f>IF($N781="","",INDEX(Staging!$H$2:$H$3001,$N781))</f>
      </c>
      <c r="H781">
        <f>IF($N781="","",INDEX(Staging!$I$2:$I$3001,$N781))</f>
      </c>
      <c r="I781">
        <f>IF($N781="","",INDEX(Staging!$J$2:$J$3001,$N781))</f>
      </c>
      <c r="J781">
        <f>IF($N781="","",INDEX(Staging!$K$2:$K$3001,$N781))</f>
      </c>
      <c r="K781">
        <f>IF($N781="","",INDEX(Staging!$M$2:$M$3001,$N781))</f>
      </c>
      <c r="L781">
        <f>IF($N781="","",INDEX(Staging!$O$2:$O$3001,$N781))</f>
      </c>
      <c r="M781">
        <f>IF($N781="","",INDEX(Staging!$P$2:$P$3001,$N781))</f>
      </c>
      <c r="N781">
        <f t="array" ref="N781">IFERROR(SMALL(IF(Staging!$E$2:$E$3001="MIPPL",ROW(Staging!$E$2:$E$3001)-ROW(Staging!$E$2)+1),780),"")</f>
      </c>
    </row>
    <row r="782" spans="1:14" x14ac:dyDescent="0.25">
      <c r="A782">
        <f>IF($N782="","",INDEX(Staging!$A$2:$A$3001,$N782))</f>
      </c>
      <c r="B782">
        <f>IF($N782="","",INDEX(Staging!$B$2:$B$3001,$N782))</f>
      </c>
      <c r="C782">
        <f>IF($N782="","",INDEX(Staging!$C$2:$C$3001,$N782))</f>
      </c>
      <c r="D782">
        <f>IF($N782="","",INDEX(Staging!$D$2:$D$3001,$N782))</f>
      </c>
      <c r="E782">
        <f>IF($N782="","",INDEX(Staging!$F$2:$F$3001,$N782))</f>
      </c>
      <c r="F782">
        <f>IF($N782="","",INDEX(Staging!$G$2:$G$3001,$N782))</f>
      </c>
      <c r="G782">
        <f>IF($N782="","",INDEX(Staging!$H$2:$H$3001,$N782))</f>
      </c>
      <c r="H782">
        <f>IF($N782="","",INDEX(Staging!$I$2:$I$3001,$N782))</f>
      </c>
      <c r="I782">
        <f>IF($N782="","",INDEX(Staging!$J$2:$J$3001,$N782))</f>
      </c>
      <c r="J782">
        <f>IF($N782="","",INDEX(Staging!$K$2:$K$3001,$N782))</f>
      </c>
      <c r="K782">
        <f>IF($N782="","",INDEX(Staging!$M$2:$M$3001,$N782))</f>
      </c>
      <c r="L782">
        <f>IF($N782="","",INDEX(Staging!$O$2:$O$3001,$N782))</f>
      </c>
      <c r="M782">
        <f>IF($N782="","",INDEX(Staging!$P$2:$P$3001,$N782))</f>
      </c>
      <c r="N782">
        <f t="array" ref="N782">IFERROR(SMALL(IF(Staging!$E$2:$E$3001="MIPPL",ROW(Staging!$E$2:$E$3001)-ROW(Staging!$E$2)+1),781),"")</f>
      </c>
    </row>
    <row r="783" spans="1:14" x14ac:dyDescent="0.25">
      <c r="A783">
        <f>IF($N783="","",INDEX(Staging!$A$2:$A$3001,$N783))</f>
      </c>
      <c r="B783">
        <f>IF($N783="","",INDEX(Staging!$B$2:$B$3001,$N783))</f>
      </c>
      <c r="C783">
        <f>IF($N783="","",INDEX(Staging!$C$2:$C$3001,$N783))</f>
      </c>
      <c r="D783">
        <f>IF($N783="","",INDEX(Staging!$D$2:$D$3001,$N783))</f>
      </c>
      <c r="E783">
        <f>IF($N783="","",INDEX(Staging!$F$2:$F$3001,$N783))</f>
      </c>
      <c r="F783">
        <f>IF($N783="","",INDEX(Staging!$G$2:$G$3001,$N783))</f>
      </c>
      <c r="G783">
        <f>IF($N783="","",INDEX(Staging!$H$2:$H$3001,$N783))</f>
      </c>
      <c r="H783">
        <f>IF($N783="","",INDEX(Staging!$I$2:$I$3001,$N783))</f>
      </c>
      <c r="I783">
        <f>IF($N783="","",INDEX(Staging!$J$2:$J$3001,$N783))</f>
      </c>
      <c r="J783">
        <f>IF($N783="","",INDEX(Staging!$K$2:$K$3001,$N783))</f>
      </c>
      <c r="K783">
        <f>IF($N783="","",INDEX(Staging!$M$2:$M$3001,$N783))</f>
      </c>
      <c r="L783">
        <f>IF($N783="","",INDEX(Staging!$O$2:$O$3001,$N783))</f>
      </c>
      <c r="M783">
        <f>IF($N783="","",INDEX(Staging!$P$2:$P$3001,$N783))</f>
      </c>
      <c r="N783">
        <f t="array" ref="N783">IFERROR(SMALL(IF(Staging!$E$2:$E$3001="MIPPL",ROW(Staging!$E$2:$E$3001)-ROW(Staging!$E$2)+1),782),"")</f>
      </c>
    </row>
    <row r="784" spans="1:14" x14ac:dyDescent="0.25">
      <c r="A784">
        <f>IF($N784="","",INDEX(Staging!$A$2:$A$3001,$N784))</f>
      </c>
      <c r="B784">
        <f>IF($N784="","",INDEX(Staging!$B$2:$B$3001,$N784))</f>
      </c>
      <c r="C784">
        <f>IF($N784="","",INDEX(Staging!$C$2:$C$3001,$N784))</f>
      </c>
      <c r="D784">
        <f>IF($N784="","",INDEX(Staging!$D$2:$D$3001,$N784))</f>
      </c>
      <c r="E784">
        <f>IF($N784="","",INDEX(Staging!$F$2:$F$3001,$N784))</f>
      </c>
      <c r="F784">
        <f>IF($N784="","",INDEX(Staging!$G$2:$G$3001,$N784))</f>
      </c>
      <c r="G784">
        <f>IF($N784="","",INDEX(Staging!$H$2:$H$3001,$N784))</f>
      </c>
      <c r="H784">
        <f>IF($N784="","",INDEX(Staging!$I$2:$I$3001,$N784))</f>
      </c>
      <c r="I784">
        <f>IF($N784="","",INDEX(Staging!$J$2:$J$3001,$N784))</f>
      </c>
      <c r="J784">
        <f>IF($N784="","",INDEX(Staging!$K$2:$K$3001,$N784))</f>
      </c>
      <c r="K784">
        <f>IF($N784="","",INDEX(Staging!$M$2:$M$3001,$N784))</f>
      </c>
      <c r="L784">
        <f>IF($N784="","",INDEX(Staging!$O$2:$O$3001,$N784))</f>
      </c>
      <c r="M784">
        <f>IF($N784="","",INDEX(Staging!$P$2:$P$3001,$N784))</f>
      </c>
      <c r="N784">
        <f t="array" ref="N784">IFERROR(SMALL(IF(Staging!$E$2:$E$3001="MIPPL",ROW(Staging!$E$2:$E$3001)-ROW(Staging!$E$2)+1),783),"")</f>
      </c>
    </row>
    <row r="785" spans="1:14" x14ac:dyDescent="0.25">
      <c r="A785">
        <f>IF($N785="","",INDEX(Staging!$A$2:$A$3001,$N785))</f>
      </c>
      <c r="B785">
        <f>IF($N785="","",INDEX(Staging!$B$2:$B$3001,$N785))</f>
      </c>
      <c r="C785">
        <f>IF($N785="","",INDEX(Staging!$C$2:$C$3001,$N785))</f>
      </c>
      <c r="D785">
        <f>IF($N785="","",INDEX(Staging!$D$2:$D$3001,$N785))</f>
      </c>
      <c r="E785">
        <f>IF($N785="","",INDEX(Staging!$F$2:$F$3001,$N785))</f>
      </c>
      <c r="F785">
        <f>IF($N785="","",INDEX(Staging!$G$2:$G$3001,$N785))</f>
      </c>
      <c r="G785">
        <f>IF($N785="","",INDEX(Staging!$H$2:$H$3001,$N785))</f>
      </c>
      <c r="H785">
        <f>IF($N785="","",INDEX(Staging!$I$2:$I$3001,$N785))</f>
      </c>
      <c r="I785">
        <f>IF($N785="","",INDEX(Staging!$J$2:$J$3001,$N785))</f>
      </c>
      <c r="J785">
        <f>IF($N785="","",INDEX(Staging!$K$2:$K$3001,$N785))</f>
      </c>
      <c r="K785">
        <f>IF($N785="","",INDEX(Staging!$M$2:$M$3001,$N785))</f>
      </c>
      <c r="L785">
        <f>IF($N785="","",INDEX(Staging!$O$2:$O$3001,$N785))</f>
      </c>
      <c r="M785">
        <f>IF($N785="","",INDEX(Staging!$P$2:$P$3001,$N785))</f>
      </c>
      <c r="N785">
        <f t="array" ref="N785">IFERROR(SMALL(IF(Staging!$E$2:$E$3001="MIPPL",ROW(Staging!$E$2:$E$3001)-ROW(Staging!$E$2)+1),784),"")</f>
      </c>
    </row>
    <row r="786" spans="1:14" x14ac:dyDescent="0.25">
      <c r="A786">
        <f>IF($N786="","",INDEX(Staging!$A$2:$A$3001,$N786))</f>
      </c>
      <c r="B786">
        <f>IF($N786="","",INDEX(Staging!$B$2:$B$3001,$N786))</f>
      </c>
      <c r="C786">
        <f>IF($N786="","",INDEX(Staging!$C$2:$C$3001,$N786))</f>
      </c>
      <c r="D786">
        <f>IF($N786="","",INDEX(Staging!$D$2:$D$3001,$N786))</f>
      </c>
      <c r="E786">
        <f>IF($N786="","",INDEX(Staging!$F$2:$F$3001,$N786))</f>
      </c>
      <c r="F786">
        <f>IF($N786="","",INDEX(Staging!$G$2:$G$3001,$N786))</f>
      </c>
      <c r="G786">
        <f>IF($N786="","",INDEX(Staging!$H$2:$H$3001,$N786))</f>
      </c>
      <c r="H786">
        <f>IF($N786="","",INDEX(Staging!$I$2:$I$3001,$N786))</f>
      </c>
      <c r="I786">
        <f>IF($N786="","",INDEX(Staging!$J$2:$J$3001,$N786))</f>
      </c>
      <c r="J786">
        <f>IF($N786="","",INDEX(Staging!$K$2:$K$3001,$N786))</f>
      </c>
      <c r="K786">
        <f>IF($N786="","",INDEX(Staging!$M$2:$M$3001,$N786))</f>
      </c>
      <c r="L786">
        <f>IF($N786="","",INDEX(Staging!$O$2:$O$3001,$N786))</f>
      </c>
      <c r="M786">
        <f>IF($N786="","",INDEX(Staging!$P$2:$P$3001,$N786))</f>
      </c>
      <c r="N786">
        <f t="array" ref="N786">IFERROR(SMALL(IF(Staging!$E$2:$E$3001="MIPPL",ROW(Staging!$E$2:$E$3001)-ROW(Staging!$E$2)+1),785),"")</f>
      </c>
    </row>
    <row r="787" spans="1:14" x14ac:dyDescent="0.25">
      <c r="A787">
        <f>IF($N787="","",INDEX(Staging!$A$2:$A$3001,$N787))</f>
      </c>
      <c r="B787">
        <f>IF($N787="","",INDEX(Staging!$B$2:$B$3001,$N787))</f>
      </c>
      <c r="C787">
        <f>IF($N787="","",INDEX(Staging!$C$2:$C$3001,$N787))</f>
      </c>
      <c r="D787">
        <f>IF($N787="","",INDEX(Staging!$D$2:$D$3001,$N787))</f>
      </c>
      <c r="E787">
        <f>IF($N787="","",INDEX(Staging!$F$2:$F$3001,$N787))</f>
      </c>
      <c r="F787">
        <f>IF($N787="","",INDEX(Staging!$G$2:$G$3001,$N787))</f>
      </c>
      <c r="G787">
        <f>IF($N787="","",INDEX(Staging!$H$2:$H$3001,$N787))</f>
      </c>
      <c r="H787">
        <f>IF($N787="","",INDEX(Staging!$I$2:$I$3001,$N787))</f>
      </c>
      <c r="I787">
        <f>IF($N787="","",INDEX(Staging!$J$2:$J$3001,$N787))</f>
      </c>
      <c r="J787">
        <f>IF($N787="","",INDEX(Staging!$K$2:$K$3001,$N787))</f>
      </c>
      <c r="K787">
        <f>IF($N787="","",INDEX(Staging!$M$2:$M$3001,$N787))</f>
      </c>
      <c r="L787">
        <f>IF($N787="","",INDEX(Staging!$O$2:$O$3001,$N787))</f>
      </c>
      <c r="M787">
        <f>IF($N787="","",INDEX(Staging!$P$2:$P$3001,$N787))</f>
      </c>
      <c r="N787">
        <f t="array" ref="N787">IFERROR(SMALL(IF(Staging!$E$2:$E$3001="MIPPL",ROW(Staging!$E$2:$E$3001)-ROW(Staging!$E$2)+1),786),"")</f>
      </c>
    </row>
    <row r="788" spans="1:14" x14ac:dyDescent="0.25">
      <c r="A788">
        <f>IF($N788="","",INDEX(Staging!$A$2:$A$3001,$N788))</f>
      </c>
      <c r="B788">
        <f>IF($N788="","",INDEX(Staging!$B$2:$B$3001,$N788))</f>
      </c>
      <c r="C788">
        <f>IF($N788="","",INDEX(Staging!$C$2:$C$3001,$N788))</f>
      </c>
      <c r="D788">
        <f>IF($N788="","",INDEX(Staging!$D$2:$D$3001,$N788))</f>
      </c>
      <c r="E788">
        <f>IF($N788="","",INDEX(Staging!$F$2:$F$3001,$N788))</f>
      </c>
      <c r="F788">
        <f>IF($N788="","",INDEX(Staging!$G$2:$G$3001,$N788))</f>
      </c>
      <c r="G788">
        <f>IF($N788="","",INDEX(Staging!$H$2:$H$3001,$N788))</f>
      </c>
      <c r="H788">
        <f>IF($N788="","",INDEX(Staging!$I$2:$I$3001,$N788))</f>
      </c>
      <c r="I788">
        <f>IF($N788="","",INDEX(Staging!$J$2:$J$3001,$N788))</f>
      </c>
      <c r="J788">
        <f>IF($N788="","",INDEX(Staging!$K$2:$K$3001,$N788))</f>
      </c>
      <c r="K788">
        <f>IF($N788="","",INDEX(Staging!$M$2:$M$3001,$N788))</f>
      </c>
      <c r="L788">
        <f>IF($N788="","",INDEX(Staging!$O$2:$O$3001,$N788))</f>
      </c>
      <c r="M788">
        <f>IF($N788="","",INDEX(Staging!$P$2:$P$3001,$N788))</f>
      </c>
      <c r="N788">
        <f t="array" ref="N788">IFERROR(SMALL(IF(Staging!$E$2:$E$3001="MIPPL",ROW(Staging!$E$2:$E$3001)-ROW(Staging!$E$2)+1),787),"")</f>
      </c>
    </row>
    <row r="789" spans="1:14" x14ac:dyDescent="0.25">
      <c r="A789">
        <f>IF($N789="","",INDEX(Staging!$A$2:$A$3001,$N789))</f>
      </c>
      <c r="B789">
        <f>IF($N789="","",INDEX(Staging!$B$2:$B$3001,$N789))</f>
      </c>
      <c r="C789">
        <f>IF($N789="","",INDEX(Staging!$C$2:$C$3001,$N789))</f>
      </c>
      <c r="D789">
        <f>IF($N789="","",INDEX(Staging!$D$2:$D$3001,$N789))</f>
      </c>
      <c r="E789">
        <f>IF($N789="","",INDEX(Staging!$F$2:$F$3001,$N789))</f>
      </c>
      <c r="F789">
        <f>IF($N789="","",INDEX(Staging!$G$2:$G$3001,$N789))</f>
      </c>
      <c r="G789">
        <f>IF($N789="","",INDEX(Staging!$H$2:$H$3001,$N789))</f>
      </c>
      <c r="H789">
        <f>IF($N789="","",INDEX(Staging!$I$2:$I$3001,$N789))</f>
      </c>
      <c r="I789">
        <f>IF($N789="","",INDEX(Staging!$J$2:$J$3001,$N789))</f>
      </c>
      <c r="J789">
        <f>IF($N789="","",INDEX(Staging!$K$2:$K$3001,$N789))</f>
      </c>
      <c r="K789">
        <f>IF($N789="","",INDEX(Staging!$M$2:$M$3001,$N789))</f>
      </c>
      <c r="L789">
        <f>IF($N789="","",INDEX(Staging!$O$2:$O$3001,$N789))</f>
      </c>
      <c r="M789">
        <f>IF($N789="","",INDEX(Staging!$P$2:$P$3001,$N789))</f>
      </c>
      <c r="N789">
        <f t="array" ref="N789">IFERROR(SMALL(IF(Staging!$E$2:$E$3001="MIPPL",ROW(Staging!$E$2:$E$3001)-ROW(Staging!$E$2)+1),788),"")</f>
      </c>
    </row>
    <row r="790" spans="1:14" x14ac:dyDescent="0.25">
      <c r="A790">
        <f>IF($N790="","",INDEX(Staging!$A$2:$A$3001,$N790))</f>
      </c>
      <c r="B790">
        <f>IF($N790="","",INDEX(Staging!$B$2:$B$3001,$N790))</f>
      </c>
      <c r="C790">
        <f>IF($N790="","",INDEX(Staging!$C$2:$C$3001,$N790))</f>
      </c>
      <c r="D790">
        <f>IF($N790="","",INDEX(Staging!$D$2:$D$3001,$N790))</f>
      </c>
      <c r="E790">
        <f>IF($N790="","",INDEX(Staging!$F$2:$F$3001,$N790))</f>
      </c>
      <c r="F790">
        <f>IF($N790="","",INDEX(Staging!$G$2:$G$3001,$N790))</f>
      </c>
      <c r="G790">
        <f>IF($N790="","",INDEX(Staging!$H$2:$H$3001,$N790))</f>
      </c>
      <c r="H790">
        <f>IF($N790="","",INDEX(Staging!$I$2:$I$3001,$N790))</f>
      </c>
      <c r="I790">
        <f>IF($N790="","",INDEX(Staging!$J$2:$J$3001,$N790))</f>
      </c>
      <c r="J790">
        <f>IF($N790="","",INDEX(Staging!$K$2:$K$3001,$N790))</f>
      </c>
      <c r="K790">
        <f>IF($N790="","",INDEX(Staging!$M$2:$M$3001,$N790))</f>
      </c>
      <c r="L790">
        <f>IF($N790="","",INDEX(Staging!$O$2:$O$3001,$N790))</f>
      </c>
      <c r="M790">
        <f>IF($N790="","",INDEX(Staging!$P$2:$P$3001,$N790))</f>
      </c>
      <c r="N790">
        <f t="array" ref="N790">IFERROR(SMALL(IF(Staging!$E$2:$E$3001="MIPPL",ROW(Staging!$E$2:$E$3001)-ROW(Staging!$E$2)+1),789),"")</f>
      </c>
    </row>
    <row r="791" spans="1:14" x14ac:dyDescent="0.25">
      <c r="A791">
        <f>IF($N791="","",INDEX(Staging!$A$2:$A$3001,$N791))</f>
      </c>
      <c r="B791">
        <f>IF($N791="","",INDEX(Staging!$B$2:$B$3001,$N791))</f>
      </c>
      <c r="C791">
        <f>IF($N791="","",INDEX(Staging!$C$2:$C$3001,$N791))</f>
      </c>
      <c r="D791">
        <f>IF($N791="","",INDEX(Staging!$D$2:$D$3001,$N791))</f>
      </c>
      <c r="E791">
        <f>IF($N791="","",INDEX(Staging!$F$2:$F$3001,$N791))</f>
      </c>
      <c r="F791">
        <f>IF($N791="","",INDEX(Staging!$G$2:$G$3001,$N791))</f>
      </c>
      <c r="G791">
        <f>IF($N791="","",INDEX(Staging!$H$2:$H$3001,$N791))</f>
      </c>
      <c r="H791">
        <f>IF($N791="","",INDEX(Staging!$I$2:$I$3001,$N791))</f>
      </c>
      <c r="I791">
        <f>IF($N791="","",INDEX(Staging!$J$2:$J$3001,$N791))</f>
      </c>
      <c r="J791">
        <f>IF($N791="","",INDEX(Staging!$K$2:$K$3001,$N791))</f>
      </c>
      <c r="K791">
        <f>IF($N791="","",INDEX(Staging!$M$2:$M$3001,$N791))</f>
      </c>
      <c r="L791">
        <f>IF($N791="","",INDEX(Staging!$O$2:$O$3001,$N791))</f>
      </c>
      <c r="M791">
        <f>IF($N791="","",INDEX(Staging!$P$2:$P$3001,$N791))</f>
      </c>
      <c r="N791">
        <f t="array" ref="N791">IFERROR(SMALL(IF(Staging!$E$2:$E$3001="MIPPL",ROW(Staging!$E$2:$E$3001)-ROW(Staging!$E$2)+1),790),"")</f>
      </c>
    </row>
    <row r="792" spans="1:14" x14ac:dyDescent="0.25">
      <c r="A792">
        <f>IF($N792="","",INDEX(Staging!$A$2:$A$3001,$N792))</f>
      </c>
      <c r="B792">
        <f>IF($N792="","",INDEX(Staging!$B$2:$B$3001,$N792))</f>
      </c>
      <c r="C792">
        <f>IF($N792="","",INDEX(Staging!$C$2:$C$3001,$N792))</f>
      </c>
      <c r="D792">
        <f>IF($N792="","",INDEX(Staging!$D$2:$D$3001,$N792))</f>
      </c>
      <c r="E792">
        <f>IF($N792="","",INDEX(Staging!$F$2:$F$3001,$N792))</f>
      </c>
      <c r="F792">
        <f>IF($N792="","",INDEX(Staging!$G$2:$G$3001,$N792))</f>
      </c>
      <c r="G792">
        <f>IF($N792="","",INDEX(Staging!$H$2:$H$3001,$N792))</f>
      </c>
      <c r="H792">
        <f>IF($N792="","",INDEX(Staging!$I$2:$I$3001,$N792))</f>
      </c>
      <c r="I792">
        <f>IF($N792="","",INDEX(Staging!$J$2:$J$3001,$N792))</f>
      </c>
      <c r="J792">
        <f>IF($N792="","",INDEX(Staging!$K$2:$K$3001,$N792))</f>
      </c>
      <c r="K792">
        <f>IF($N792="","",INDEX(Staging!$M$2:$M$3001,$N792))</f>
      </c>
      <c r="L792">
        <f>IF($N792="","",INDEX(Staging!$O$2:$O$3001,$N792))</f>
      </c>
      <c r="M792">
        <f>IF($N792="","",INDEX(Staging!$P$2:$P$3001,$N792))</f>
      </c>
      <c r="N792">
        <f t="array" ref="N792">IFERROR(SMALL(IF(Staging!$E$2:$E$3001="MIPPL",ROW(Staging!$E$2:$E$3001)-ROW(Staging!$E$2)+1),791),"")</f>
      </c>
    </row>
    <row r="793" spans="1:14" x14ac:dyDescent="0.25">
      <c r="A793">
        <f>IF($N793="","",INDEX(Staging!$A$2:$A$3001,$N793))</f>
      </c>
      <c r="B793">
        <f>IF($N793="","",INDEX(Staging!$B$2:$B$3001,$N793))</f>
      </c>
      <c r="C793">
        <f>IF($N793="","",INDEX(Staging!$C$2:$C$3001,$N793))</f>
      </c>
      <c r="D793">
        <f>IF($N793="","",INDEX(Staging!$D$2:$D$3001,$N793))</f>
      </c>
      <c r="E793">
        <f>IF($N793="","",INDEX(Staging!$F$2:$F$3001,$N793))</f>
      </c>
      <c r="F793">
        <f>IF($N793="","",INDEX(Staging!$G$2:$G$3001,$N793))</f>
      </c>
      <c r="G793">
        <f>IF($N793="","",INDEX(Staging!$H$2:$H$3001,$N793))</f>
      </c>
      <c r="H793">
        <f>IF($N793="","",INDEX(Staging!$I$2:$I$3001,$N793))</f>
      </c>
      <c r="I793">
        <f>IF($N793="","",INDEX(Staging!$J$2:$J$3001,$N793))</f>
      </c>
      <c r="J793">
        <f>IF($N793="","",INDEX(Staging!$K$2:$K$3001,$N793))</f>
      </c>
      <c r="K793">
        <f>IF($N793="","",INDEX(Staging!$M$2:$M$3001,$N793))</f>
      </c>
      <c r="L793">
        <f>IF($N793="","",INDEX(Staging!$O$2:$O$3001,$N793))</f>
      </c>
      <c r="M793">
        <f>IF($N793="","",INDEX(Staging!$P$2:$P$3001,$N793))</f>
      </c>
      <c r="N793">
        <f t="array" ref="N793">IFERROR(SMALL(IF(Staging!$E$2:$E$3001="MIPPL",ROW(Staging!$E$2:$E$3001)-ROW(Staging!$E$2)+1),792),"")</f>
      </c>
    </row>
    <row r="794" spans="1:14" x14ac:dyDescent="0.25">
      <c r="A794">
        <f>IF($N794="","",INDEX(Staging!$A$2:$A$3001,$N794))</f>
      </c>
      <c r="B794">
        <f>IF($N794="","",INDEX(Staging!$B$2:$B$3001,$N794))</f>
      </c>
      <c r="C794">
        <f>IF($N794="","",INDEX(Staging!$C$2:$C$3001,$N794))</f>
      </c>
      <c r="D794">
        <f>IF($N794="","",INDEX(Staging!$D$2:$D$3001,$N794))</f>
      </c>
      <c r="E794">
        <f>IF($N794="","",INDEX(Staging!$F$2:$F$3001,$N794))</f>
      </c>
      <c r="F794">
        <f>IF($N794="","",INDEX(Staging!$G$2:$G$3001,$N794))</f>
      </c>
      <c r="G794">
        <f>IF($N794="","",INDEX(Staging!$H$2:$H$3001,$N794))</f>
      </c>
      <c r="H794">
        <f>IF($N794="","",INDEX(Staging!$I$2:$I$3001,$N794))</f>
      </c>
      <c r="I794">
        <f>IF($N794="","",INDEX(Staging!$J$2:$J$3001,$N794))</f>
      </c>
      <c r="J794">
        <f>IF($N794="","",INDEX(Staging!$K$2:$K$3001,$N794))</f>
      </c>
      <c r="K794">
        <f>IF($N794="","",INDEX(Staging!$M$2:$M$3001,$N794))</f>
      </c>
      <c r="L794">
        <f>IF($N794="","",INDEX(Staging!$O$2:$O$3001,$N794))</f>
      </c>
      <c r="M794">
        <f>IF($N794="","",INDEX(Staging!$P$2:$P$3001,$N794))</f>
      </c>
      <c r="N794">
        <f t="array" ref="N794">IFERROR(SMALL(IF(Staging!$E$2:$E$3001="MIPPL",ROW(Staging!$E$2:$E$3001)-ROW(Staging!$E$2)+1),793),"")</f>
      </c>
    </row>
    <row r="795" spans="1:14" x14ac:dyDescent="0.25">
      <c r="A795">
        <f>IF($N795="","",INDEX(Staging!$A$2:$A$3001,$N795))</f>
      </c>
      <c r="B795">
        <f>IF($N795="","",INDEX(Staging!$B$2:$B$3001,$N795))</f>
      </c>
      <c r="C795">
        <f>IF($N795="","",INDEX(Staging!$C$2:$C$3001,$N795))</f>
      </c>
      <c r="D795">
        <f>IF($N795="","",INDEX(Staging!$D$2:$D$3001,$N795))</f>
      </c>
      <c r="E795">
        <f>IF($N795="","",INDEX(Staging!$F$2:$F$3001,$N795))</f>
      </c>
      <c r="F795">
        <f>IF($N795="","",INDEX(Staging!$G$2:$G$3001,$N795))</f>
      </c>
      <c r="G795">
        <f>IF($N795="","",INDEX(Staging!$H$2:$H$3001,$N795))</f>
      </c>
      <c r="H795">
        <f>IF($N795="","",INDEX(Staging!$I$2:$I$3001,$N795))</f>
      </c>
      <c r="I795">
        <f>IF($N795="","",INDEX(Staging!$J$2:$J$3001,$N795))</f>
      </c>
      <c r="J795">
        <f>IF($N795="","",INDEX(Staging!$K$2:$K$3001,$N795))</f>
      </c>
      <c r="K795">
        <f>IF($N795="","",INDEX(Staging!$M$2:$M$3001,$N795))</f>
      </c>
      <c r="L795">
        <f>IF($N795="","",INDEX(Staging!$O$2:$O$3001,$N795))</f>
      </c>
      <c r="M795">
        <f>IF($N795="","",INDEX(Staging!$P$2:$P$3001,$N795))</f>
      </c>
      <c r="N795">
        <f t="array" ref="N795">IFERROR(SMALL(IF(Staging!$E$2:$E$3001="MIPPL",ROW(Staging!$E$2:$E$3001)-ROW(Staging!$E$2)+1),794),"")</f>
      </c>
    </row>
    <row r="796" spans="1:14" x14ac:dyDescent="0.25">
      <c r="A796">
        <f>IF($N796="","",INDEX(Staging!$A$2:$A$3001,$N796))</f>
      </c>
      <c r="B796">
        <f>IF($N796="","",INDEX(Staging!$B$2:$B$3001,$N796))</f>
      </c>
      <c r="C796">
        <f>IF($N796="","",INDEX(Staging!$C$2:$C$3001,$N796))</f>
      </c>
      <c r="D796">
        <f>IF($N796="","",INDEX(Staging!$D$2:$D$3001,$N796))</f>
      </c>
      <c r="E796">
        <f>IF($N796="","",INDEX(Staging!$F$2:$F$3001,$N796))</f>
      </c>
      <c r="F796">
        <f>IF($N796="","",INDEX(Staging!$G$2:$G$3001,$N796))</f>
      </c>
      <c r="G796">
        <f>IF($N796="","",INDEX(Staging!$H$2:$H$3001,$N796))</f>
      </c>
      <c r="H796">
        <f>IF($N796="","",INDEX(Staging!$I$2:$I$3001,$N796))</f>
      </c>
      <c r="I796">
        <f>IF($N796="","",INDEX(Staging!$J$2:$J$3001,$N796))</f>
      </c>
      <c r="J796">
        <f>IF($N796="","",INDEX(Staging!$K$2:$K$3001,$N796))</f>
      </c>
      <c r="K796">
        <f>IF($N796="","",INDEX(Staging!$M$2:$M$3001,$N796))</f>
      </c>
      <c r="L796">
        <f>IF($N796="","",INDEX(Staging!$O$2:$O$3001,$N796))</f>
      </c>
      <c r="M796">
        <f>IF($N796="","",INDEX(Staging!$P$2:$P$3001,$N796))</f>
      </c>
      <c r="N796">
        <f t="array" ref="N796">IFERROR(SMALL(IF(Staging!$E$2:$E$3001="MIPPL",ROW(Staging!$E$2:$E$3001)-ROW(Staging!$E$2)+1),795),"")</f>
      </c>
    </row>
    <row r="797" spans="1:14" x14ac:dyDescent="0.25">
      <c r="A797">
        <f>IF($N797="","",INDEX(Staging!$A$2:$A$3001,$N797))</f>
      </c>
      <c r="B797">
        <f>IF($N797="","",INDEX(Staging!$B$2:$B$3001,$N797))</f>
      </c>
      <c r="C797">
        <f>IF($N797="","",INDEX(Staging!$C$2:$C$3001,$N797))</f>
      </c>
      <c r="D797">
        <f>IF($N797="","",INDEX(Staging!$D$2:$D$3001,$N797))</f>
      </c>
      <c r="E797">
        <f>IF($N797="","",INDEX(Staging!$F$2:$F$3001,$N797))</f>
      </c>
      <c r="F797">
        <f>IF($N797="","",INDEX(Staging!$G$2:$G$3001,$N797))</f>
      </c>
      <c r="G797">
        <f>IF($N797="","",INDEX(Staging!$H$2:$H$3001,$N797))</f>
      </c>
      <c r="H797">
        <f>IF($N797="","",INDEX(Staging!$I$2:$I$3001,$N797))</f>
      </c>
      <c r="I797">
        <f>IF($N797="","",INDEX(Staging!$J$2:$J$3001,$N797))</f>
      </c>
      <c r="J797">
        <f>IF($N797="","",INDEX(Staging!$K$2:$K$3001,$N797))</f>
      </c>
      <c r="K797">
        <f>IF($N797="","",INDEX(Staging!$M$2:$M$3001,$N797))</f>
      </c>
      <c r="L797">
        <f>IF($N797="","",INDEX(Staging!$O$2:$O$3001,$N797))</f>
      </c>
      <c r="M797">
        <f>IF($N797="","",INDEX(Staging!$P$2:$P$3001,$N797))</f>
      </c>
      <c r="N797">
        <f t="array" ref="N797">IFERROR(SMALL(IF(Staging!$E$2:$E$3001="MIPPL",ROW(Staging!$E$2:$E$3001)-ROW(Staging!$E$2)+1),796),"")</f>
      </c>
    </row>
    <row r="798" spans="1:14" x14ac:dyDescent="0.25">
      <c r="A798">
        <f>IF($N798="","",INDEX(Staging!$A$2:$A$3001,$N798))</f>
      </c>
      <c r="B798">
        <f>IF($N798="","",INDEX(Staging!$B$2:$B$3001,$N798))</f>
      </c>
      <c r="C798">
        <f>IF($N798="","",INDEX(Staging!$C$2:$C$3001,$N798))</f>
      </c>
      <c r="D798">
        <f>IF($N798="","",INDEX(Staging!$D$2:$D$3001,$N798))</f>
      </c>
      <c r="E798">
        <f>IF($N798="","",INDEX(Staging!$F$2:$F$3001,$N798))</f>
      </c>
      <c r="F798">
        <f>IF($N798="","",INDEX(Staging!$G$2:$G$3001,$N798))</f>
      </c>
      <c r="G798">
        <f>IF($N798="","",INDEX(Staging!$H$2:$H$3001,$N798))</f>
      </c>
      <c r="H798">
        <f>IF($N798="","",INDEX(Staging!$I$2:$I$3001,$N798))</f>
      </c>
      <c r="I798">
        <f>IF($N798="","",INDEX(Staging!$J$2:$J$3001,$N798))</f>
      </c>
      <c r="J798">
        <f>IF($N798="","",INDEX(Staging!$K$2:$K$3001,$N798))</f>
      </c>
      <c r="K798">
        <f>IF($N798="","",INDEX(Staging!$M$2:$M$3001,$N798))</f>
      </c>
      <c r="L798">
        <f>IF($N798="","",INDEX(Staging!$O$2:$O$3001,$N798))</f>
      </c>
      <c r="M798">
        <f>IF($N798="","",INDEX(Staging!$P$2:$P$3001,$N798))</f>
      </c>
      <c r="N798">
        <f t="array" ref="N798">IFERROR(SMALL(IF(Staging!$E$2:$E$3001="MIPPL",ROW(Staging!$E$2:$E$3001)-ROW(Staging!$E$2)+1),797),"")</f>
      </c>
    </row>
    <row r="799" spans="1:14" x14ac:dyDescent="0.25">
      <c r="A799">
        <f>IF($N799="","",INDEX(Staging!$A$2:$A$3001,$N799))</f>
      </c>
      <c r="B799">
        <f>IF($N799="","",INDEX(Staging!$B$2:$B$3001,$N799))</f>
      </c>
      <c r="C799">
        <f>IF($N799="","",INDEX(Staging!$C$2:$C$3001,$N799))</f>
      </c>
      <c r="D799">
        <f>IF($N799="","",INDEX(Staging!$D$2:$D$3001,$N799))</f>
      </c>
      <c r="E799">
        <f>IF($N799="","",INDEX(Staging!$F$2:$F$3001,$N799))</f>
      </c>
      <c r="F799">
        <f>IF($N799="","",INDEX(Staging!$G$2:$G$3001,$N799))</f>
      </c>
      <c r="G799">
        <f>IF($N799="","",INDEX(Staging!$H$2:$H$3001,$N799))</f>
      </c>
      <c r="H799">
        <f>IF($N799="","",INDEX(Staging!$I$2:$I$3001,$N799))</f>
      </c>
      <c r="I799">
        <f>IF($N799="","",INDEX(Staging!$J$2:$J$3001,$N799))</f>
      </c>
      <c r="J799">
        <f>IF($N799="","",INDEX(Staging!$K$2:$K$3001,$N799))</f>
      </c>
      <c r="K799">
        <f>IF($N799="","",INDEX(Staging!$M$2:$M$3001,$N799))</f>
      </c>
      <c r="L799">
        <f>IF($N799="","",INDEX(Staging!$O$2:$O$3001,$N799))</f>
      </c>
      <c r="M799">
        <f>IF($N799="","",INDEX(Staging!$P$2:$P$3001,$N799))</f>
      </c>
      <c r="N799">
        <f t="array" ref="N799">IFERROR(SMALL(IF(Staging!$E$2:$E$3001="MIPPL",ROW(Staging!$E$2:$E$3001)-ROW(Staging!$E$2)+1),798),"")</f>
      </c>
    </row>
    <row r="800" spans="1:14" x14ac:dyDescent="0.25">
      <c r="A800">
        <f>IF($N800="","",INDEX(Staging!$A$2:$A$3001,$N800))</f>
      </c>
      <c r="B800">
        <f>IF($N800="","",INDEX(Staging!$B$2:$B$3001,$N800))</f>
      </c>
      <c r="C800">
        <f>IF($N800="","",INDEX(Staging!$C$2:$C$3001,$N800))</f>
      </c>
      <c r="D800">
        <f>IF($N800="","",INDEX(Staging!$D$2:$D$3001,$N800))</f>
      </c>
      <c r="E800">
        <f>IF($N800="","",INDEX(Staging!$F$2:$F$3001,$N800))</f>
      </c>
      <c r="F800">
        <f>IF($N800="","",INDEX(Staging!$G$2:$G$3001,$N800))</f>
      </c>
      <c r="G800">
        <f>IF($N800="","",INDEX(Staging!$H$2:$H$3001,$N800))</f>
      </c>
      <c r="H800">
        <f>IF($N800="","",INDEX(Staging!$I$2:$I$3001,$N800))</f>
      </c>
      <c r="I800">
        <f>IF($N800="","",INDEX(Staging!$J$2:$J$3001,$N800))</f>
      </c>
      <c r="J800">
        <f>IF($N800="","",INDEX(Staging!$K$2:$K$3001,$N800))</f>
      </c>
      <c r="K800">
        <f>IF($N800="","",INDEX(Staging!$M$2:$M$3001,$N800))</f>
      </c>
      <c r="L800">
        <f>IF($N800="","",INDEX(Staging!$O$2:$O$3001,$N800))</f>
      </c>
      <c r="M800">
        <f>IF($N800="","",INDEX(Staging!$P$2:$P$3001,$N800))</f>
      </c>
      <c r="N800">
        <f t="array" ref="N800">IFERROR(SMALL(IF(Staging!$E$2:$E$3001="MIPPL",ROW(Staging!$E$2:$E$3001)-ROW(Staging!$E$2)+1),799),"")</f>
      </c>
    </row>
    <row r="801" spans="1:14" x14ac:dyDescent="0.25">
      <c r="A801">
        <f>IF($N801="","",INDEX(Staging!$A$2:$A$3001,$N801))</f>
      </c>
      <c r="B801">
        <f>IF($N801="","",INDEX(Staging!$B$2:$B$3001,$N801))</f>
      </c>
      <c r="C801">
        <f>IF($N801="","",INDEX(Staging!$C$2:$C$3001,$N801))</f>
      </c>
      <c r="D801">
        <f>IF($N801="","",INDEX(Staging!$D$2:$D$3001,$N801))</f>
      </c>
      <c r="E801">
        <f>IF($N801="","",INDEX(Staging!$F$2:$F$3001,$N801))</f>
      </c>
      <c r="F801">
        <f>IF($N801="","",INDEX(Staging!$G$2:$G$3001,$N801))</f>
      </c>
      <c r="G801">
        <f>IF($N801="","",INDEX(Staging!$H$2:$H$3001,$N801))</f>
      </c>
      <c r="H801">
        <f>IF($N801="","",INDEX(Staging!$I$2:$I$3001,$N801))</f>
      </c>
      <c r="I801">
        <f>IF($N801="","",INDEX(Staging!$J$2:$J$3001,$N801))</f>
      </c>
      <c r="J801">
        <f>IF($N801="","",INDEX(Staging!$K$2:$K$3001,$N801))</f>
      </c>
      <c r="K801">
        <f>IF($N801="","",INDEX(Staging!$M$2:$M$3001,$N801))</f>
      </c>
      <c r="L801">
        <f>IF($N801="","",INDEX(Staging!$O$2:$O$3001,$N801))</f>
      </c>
      <c r="M801">
        <f>IF($N801="","",INDEX(Staging!$P$2:$P$3001,$N801))</f>
      </c>
      <c r="N801">
        <f t="array" ref="N801">IFERROR(SMALL(IF(Staging!$E$2:$E$3001="MIPPL",ROW(Staging!$E$2:$E$3001)-ROW(Staging!$E$2)+1),800),"")</f>
      </c>
    </row>
    <row r="802" spans="1:14" x14ac:dyDescent="0.25">
      <c r="A802">
        <f>IF($N802="","",INDEX(Staging!$A$2:$A$3001,$N802))</f>
      </c>
      <c r="B802">
        <f>IF($N802="","",INDEX(Staging!$B$2:$B$3001,$N802))</f>
      </c>
      <c r="C802">
        <f>IF($N802="","",INDEX(Staging!$C$2:$C$3001,$N802))</f>
      </c>
      <c r="D802">
        <f>IF($N802="","",INDEX(Staging!$D$2:$D$3001,$N802))</f>
      </c>
      <c r="E802">
        <f>IF($N802="","",INDEX(Staging!$F$2:$F$3001,$N802))</f>
      </c>
      <c r="F802">
        <f>IF($N802="","",INDEX(Staging!$G$2:$G$3001,$N802))</f>
      </c>
      <c r="G802">
        <f>IF($N802="","",INDEX(Staging!$H$2:$H$3001,$N802))</f>
      </c>
      <c r="H802">
        <f>IF($N802="","",INDEX(Staging!$I$2:$I$3001,$N802))</f>
      </c>
      <c r="I802">
        <f>IF($N802="","",INDEX(Staging!$J$2:$J$3001,$N802))</f>
      </c>
      <c r="J802">
        <f>IF($N802="","",INDEX(Staging!$K$2:$K$3001,$N802))</f>
      </c>
      <c r="K802">
        <f>IF($N802="","",INDEX(Staging!$M$2:$M$3001,$N802))</f>
      </c>
      <c r="L802">
        <f>IF($N802="","",INDEX(Staging!$O$2:$O$3001,$N802))</f>
      </c>
      <c r="M802">
        <f>IF($N802="","",INDEX(Staging!$P$2:$P$3001,$N802))</f>
      </c>
      <c r="N802">
        <f t="array" ref="N802">IFERROR(SMALL(IF(Staging!$E$2:$E$3001="MIPPL",ROW(Staging!$E$2:$E$3001)-ROW(Staging!$E$2)+1),801),"")</f>
      </c>
    </row>
    <row r="803" spans="1:14" x14ac:dyDescent="0.25">
      <c r="A803">
        <f>IF($N803="","",INDEX(Staging!$A$2:$A$3001,$N803))</f>
      </c>
      <c r="B803">
        <f>IF($N803="","",INDEX(Staging!$B$2:$B$3001,$N803))</f>
      </c>
      <c r="C803">
        <f>IF($N803="","",INDEX(Staging!$C$2:$C$3001,$N803))</f>
      </c>
      <c r="D803">
        <f>IF($N803="","",INDEX(Staging!$D$2:$D$3001,$N803))</f>
      </c>
      <c r="E803">
        <f>IF($N803="","",INDEX(Staging!$F$2:$F$3001,$N803))</f>
      </c>
      <c r="F803">
        <f>IF($N803="","",INDEX(Staging!$G$2:$G$3001,$N803))</f>
      </c>
      <c r="G803">
        <f>IF($N803="","",INDEX(Staging!$H$2:$H$3001,$N803))</f>
      </c>
      <c r="H803">
        <f>IF($N803="","",INDEX(Staging!$I$2:$I$3001,$N803))</f>
      </c>
      <c r="I803">
        <f>IF($N803="","",INDEX(Staging!$J$2:$J$3001,$N803))</f>
      </c>
      <c r="J803">
        <f>IF($N803="","",INDEX(Staging!$K$2:$K$3001,$N803))</f>
      </c>
      <c r="K803">
        <f>IF($N803="","",INDEX(Staging!$M$2:$M$3001,$N803))</f>
      </c>
      <c r="L803">
        <f>IF($N803="","",INDEX(Staging!$O$2:$O$3001,$N803))</f>
      </c>
      <c r="M803">
        <f>IF($N803="","",INDEX(Staging!$P$2:$P$3001,$N803))</f>
      </c>
      <c r="N803">
        <f t="array" ref="N803">IFERROR(SMALL(IF(Staging!$E$2:$E$3001="MIPPL",ROW(Staging!$E$2:$E$3001)-ROW(Staging!$E$2)+1),802),"")</f>
      </c>
    </row>
    <row r="804" spans="1:14" x14ac:dyDescent="0.25">
      <c r="A804">
        <f>IF($N804="","",INDEX(Staging!$A$2:$A$3001,$N804))</f>
      </c>
      <c r="B804">
        <f>IF($N804="","",INDEX(Staging!$B$2:$B$3001,$N804))</f>
      </c>
      <c r="C804">
        <f>IF($N804="","",INDEX(Staging!$C$2:$C$3001,$N804))</f>
      </c>
      <c r="D804">
        <f>IF($N804="","",INDEX(Staging!$D$2:$D$3001,$N804))</f>
      </c>
      <c r="E804">
        <f>IF($N804="","",INDEX(Staging!$F$2:$F$3001,$N804))</f>
      </c>
      <c r="F804">
        <f>IF($N804="","",INDEX(Staging!$G$2:$G$3001,$N804))</f>
      </c>
      <c r="G804">
        <f>IF($N804="","",INDEX(Staging!$H$2:$H$3001,$N804))</f>
      </c>
      <c r="H804">
        <f>IF($N804="","",INDEX(Staging!$I$2:$I$3001,$N804))</f>
      </c>
      <c r="I804">
        <f>IF($N804="","",INDEX(Staging!$J$2:$J$3001,$N804))</f>
      </c>
      <c r="J804">
        <f>IF($N804="","",INDEX(Staging!$K$2:$K$3001,$N804))</f>
      </c>
      <c r="K804">
        <f>IF($N804="","",INDEX(Staging!$M$2:$M$3001,$N804))</f>
      </c>
      <c r="L804">
        <f>IF($N804="","",INDEX(Staging!$O$2:$O$3001,$N804))</f>
      </c>
      <c r="M804">
        <f>IF($N804="","",INDEX(Staging!$P$2:$P$3001,$N804))</f>
      </c>
      <c r="N804">
        <f t="array" ref="N804">IFERROR(SMALL(IF(Staging!$E$2:$E$3001="MIPPL",ROW(Staging!$E$2:$E$3001)-ROW(Staging!$E$2)+1),803),"")</f>
      </c>
    </row>
    <row r="805" spans="1:14" x14ac:dyDescent="0.25">
      <c r="A805">
        <f>IF($N805="","",INDEX(Staging!$A$2:$A$3001,$N805))</f>
      </c>
      <c r="B805">
        <f>IF($N805="","",INDEX(Staging!$B$2:$B$3001,$N805))</f>
      </c>
      <c r="C805">
        <f>IF($N805="","",INDEX(Staging!$C$2:$C$3001,$N805))</f>
      </c>
      <c r="D805">
        <f>IF($N805="","",INDEX(Staging!$D$2:$D$3001,$N805))</f>
      </c>
      <c r="E805">
        <f>IF($N805="","",INDEX(Staging!$F$2:$F$3001,$N805))</f>
      </c>
      <c r="F805">
        <f>IF($N805="","",INDEX(Staging!$G$2:$G$3001,$N805))</f>
      </c>
      <c r="G805">
        <f>IF($N805="","",INDEX(Staging!$H$2:$H$3001,$N805))</f>
      </c>
      <c r="H805">
        <f>IF($N805="","",INDEX(Staging!$I$2:$I$3001,$N805))</f>
      </c>
      <c r="I805">
        <f>IF($N805="","",INDEX(Staging!$J$2:$J$3001,$N805))</f>
      </c>
      <c r="J805">
        <f>IF($N805="","",INDEX(Staging!$K$2:$K$3001,$N805))</f>
      </c>
      <c r="K805">
        <f>IF($N805="","",INDEX(Staging!$M$2:$M$3001,$N805))</f>
      </c>
      <c r="L805">
        <f>IF($N805="","",INDEX(Staging!$O$2:$O$3001,$N805))</f>
      </c>
      <c r="M805">
        <f>IF($N805="","",INDEX(Staging!$P$2:$P$3001,$N805))</f>
      </c>
      <c r="N805">
        <f t="array" ref="N805">IFERROR(SMALL(IF(Staging!$E$2:$E$3001="MIPPL",ROW(Staging!$E$2:$E$3001)-ROW(Staging!$E$2)+1),804),"")</f>
      </c>
    </row>
    <row r="806" spans="1:14" x14ac:dyDescent="0.25">
      <c r="A806">
        <f>IF($N806="","",INDEX(Staging!$A$2:$A$3001,$N806))</f>
      </c>
      <c r="B806">
        <f>IF($N806="","",INDEX(Staging!$B$2:$B$3001,$N806))</f>
      </c>
      <c r="C806">
        <f>IF($N806="","",INDEX(Staging!$C$2:$C$3001,$N806))</f>
      </c>
      <c r="D806">
        <f>IF($N806="","",INDEX(Staging!$D$2:$D$3001,$N806))</f>
      </c>
      <c r="E806">
        <f>IF($N806="","",INDEX(Staging!$F$2:$F$3001,$N806))</f>
      </c>
      <c r="F806">
        <f>IF($N806="","",INDEX(Staging!$G$2:$G$3001,$N806))</f>
      </c>
      <c r="G806">
        <f>IF($N806="","",INDEX(Staging!$H$2:$H$3001,$N806))</f>
      </c>
      <c r="H806">
        <f>IF($N806="","",INDEX(Staging!$I$2:$I$3001,$N806))</f>
      </c>
      <c r="I806">
        <f>IF($N806="","",INDEX(Staging!$J$2:$J$3001,$N806))</f>
      </c>
      <c r="J806">
        <f>IF($N806="","",INDEX(Staging!$K$2:$K$3001,$N806))</f>
      </c>
      <c r="K806">
        <f>IF($N806="","",INDEX(Staging!$M$2:$M$3001,$N806))</f>
      </c>
      <c r="L806">
        <f>IF($N806="","",INDEX(Staging!$O$2:$O$3001,$N806))</f>
      </c>
      <c r="M806">
        <f>IF($N806="","",INDEX(Staging!$P$2:$P$3001,$N806))</f>
      </c>
      <c r="N806">
        <f t="array" ref="N806">IFERROR(SMALL(IF(Staging!$E$2:$E$3001="MIPPL",ROW(Staging!$E$2:$E$3001)-ROW(Staging!$E$2)+1),805),"")</f>
      </c>
    </row>
    <row r="807" spans="1:14" x14ac:dyDescent="0.25">
      <c r="A807">
        <f>IF($N807="","",INDEX(Staging!$A$2:$A$3001,$N807))</f>
      </c>
      <c r="B807">
        <f>IF($N807="","",INDEX(Staging!$B$2:$B$3001,$N807))</f>
      </c>
      <c r="C807">
        <f>IF($N807="","",INDEX(Staging!$C$2:$C$3001,$N807))</f>
      </c>
      <c r="D807">
        <f>IF($N807="","",INDEX(Staging!$D$2:$D$3001,$N807))</f>
      </c>
      <c r="E807">
        <f>IF($N807="","",INDEX(Staging!$F$2:$F$3001,$N807))</f>
      </c>
      <c r="F807">
        <f>IF($N807="","",INDEX(Staging!$G$2:$G$3001,$N807))</f>
      </c>
      <c r="G807">
        <f>IF($N807="","",INDEX(Staging!$H$2:$H$3001,$N807))</f>
      </c>
      <c r="H807">
        <f>IF($N807="","",INDEX(Staging!$I$2:$I$3001,$N807))</f>
      </c>
      <c r="I807">
        <f>IF($N807="","",INDEX(Staging!$J$2:$J$3001,$N807))</f>
      </c>
      <c r="J807">
        <f>IF($N807="","",INDEX(Staging!$K$2:$K$3001,$N807))</f>
      </c>
      <c r="K807">
        <f>IF($N807="","",INDEX(Staging!$M$2:$M$3001,$N807))</f>
      </c>
      <c r="L807">
        <f>IF($N807="","",INDEX(Staging!$O$2:$O$3001,$N807))</f>
      </c>
      <c r="M807">
        <f>IF($N807="","",INDEX(Staging!$P$2:$P$3001,$N807))</f>
      </c>
      <c r="N807">
        <f t="array" ref="N807">IFERROR(SMALL(IF(Staging!$E$2:$E$3001="MIPPL",ROW(Staging!$E$2:$E$3001)-ROW(Staging!$E$2)+1),806),"")</f>
      </c>
    </row>
    <row r="808" spans="1:14" x14ac:dyDescent="0.25">
      <c r="A808">
        <f>IF($N808="","",INDEX(Staging!$A$2:$A$3001,$N808))</f>
      </c>
      <c r="B808">
        <f>IF($N808="","",INDEX(Staging!$B$2:$B$3001,$N808))</f>
      </c>
      <c r="C808">
        <f>IF($N808="","",INDEX(Staging!$C$2:$C$3001,$N808))</f>
      </c>
      <c r="D808">
        <f>IF($N808="","",INDEX(Staging!$D$2:$D$3001,$N808))</f>
      </c>
      <c r="E808">
        <f>IF($N808="","",INDEX(Staging!$F$2:$F$3001,$N808))</f>
      </c>
      <c r="F808">
        <f>IF($N808="","",INDEX(Staging!$G$2:$G$3001,$N808))</f>
      </c>
      <c r="G808">
        <f>IF($N808="","",INDEX(Staging!$H$2:$H$3001,$N808))</f>
      </c>
      <c r="H808">
        <f>IF($N808="","",INDEX(Staging!$I$2:$I$3001,$N808))</f>
      </c>
      <c r="I808">
        <f>IF($N808="","",INDEX(Staging!$J$2:$J$3001,$N808))</f>
      </c>
      <c r="J808">
        <f>IF($N808="","",INDEX(Staging!$K$2:$K$3001,$N808))</f>
      </c>
      <c r="K808">
        <f>IF($N808="","",INDEX(Staging!$M$2:$M$3001,$N808))</f>
      </c>
      <c r="L808">
        <f>IF($N808="","",INDEX(Staging!$O$2:$O$3001,$N808))</f>
      </c>
      <c r="M808">
        <f>IF($N808="","",INDEX(Staging!$P$2:$P$3001,$N808))</f>
      </c>
      <c r="N808">
        <f t="array" ref="N808">IFERROR(SMALL(IF(Staging!$E$2:$E$3001="MIPPL",ROW(Staging!$E$2:$E$3001)-ROW(Staging!$E$2)+1),807),"")</f>
      </c>
    </row>
    <row r="809" spans="1:14" x14ac:dyDescent="0.25">
      <c r="A809">
        <f>IF($N809="","",INDEX(Staging!$A$2:$A$3001,$N809))</f>
      </c>
      <c r="B809">
        <f>IF($N809="","",INDEX(Staging!$B$2:$B$3001,$N809))</f>
      </c>
      <c r="C809">
        <f>IF($N809="","",INDEX(Staging!$C$2:$C$3001,$N809))</f>
      </c>
      <c r="D809">
        <f>IF($N809="","",INDEX(Staging!$D$2:$D$3001,$N809))</f>
      </c>
      <c r="E809">
        <f>IF($N809="","",INDEX(Staging!$F$2:$F$3001,$N809))</f>
      </c>
      <c r="F809">
        <f>IF($N809="","",INDEX(Staging!$G$2:$G$3001,$N809))</f>
      </c>
      <c r="G809">
        <f>IF($N809="","",INDEX(Staging!$H$2:$H$3001,$N809))</f>
      </c>
      <c r="H809">
        <f>IF($N809="","",INDEX(Staging!$I$2:$I$3001,$N809))</f>
      </c>
      <c r="I809">
        <f>IF($N809="","",INDEX(Staging!$J$2:$J$3001,$N809))</f>
      </c>
      <c r="J809">
        <f>IF($N809="","",INDEX(Staging!$K$2:$K$3001,$N809))</f>
      </c>
      <c r="K809">
        <f>IF($N809="","",INDEX(Staging!$M$2:$M$3001,$N809))</f>
      </c>
      <c r="L809">
        <f>IF($N809="","",INDEX(Staging!$O$2:$O$3001,$N809))</f>
      </c>
      <c r="M809">
        <f>IF($N809="","",INDEX(Staging!$P$2:$P$3001,$N809))</f>
      </c>
      <c r="N809">
        <f t="array" ref="N809">IFERROR(SMALL(IF(Staging!$E$2:$E$3001="MIPPL",ROW(Staging!$E$2:$E$3001)-ROW(Staging!$E$2)+1),808),"")</f>
      </c>
    </row>
    <row r="810" spans="1:14" x14ac:dyDescent="0.25">
      <c r="A810">
        <f>IF($N810="","",INDEX(Staging!$A$2:$A$3001,$N810))</f>
      </c>
      <c r="B810">
        <f>IF($N810="","",INDEX(Staging!$B$2:$B$3001,$N810))</f>
      </c>
      <c r="C810">
        <f>IF($N810="","",INDEX(Staging!$C$2:$C$3001,$N810))</f>
      </c>
      <c r="D810">
        <f>IF($N810="","",INDEX(Staging!$D$2:$D$3001,$N810))</f>
      </c>
      <c r="E810">
        <f>IF($N810="","",INDEX(Staging!$F$2:$F$3001,$N810))</f>
      </c>
      <c r="F810">
        <f>IF($N810="","",INDEX(Staging!$G$2:$G$3001,$N810))</f>
      </c>
      <c r="G810">
        <f>IF($N810="","",INDEX(Staging!$H$2:$H$3001,$N810))</f>
      </c>
      <c r="H810">
        <f>IF($N810="","",INDEX(Staging!$I$2:$I$3001,$N810))</f>
      </c>
      <c r="I810">
        <f>IF($N810="","",INDEX(Staging!$J$2:$J$3001,$N810))</f>
      </c>
      <c r="J810">
        <f>IF($N810="","",INDEX(Staging!$K$2:$K$3001,$N810))</f>
      </c>
      <c r="K810">
        <f>IF($N810="","",INDEX(Staging!$M$2:$M$3001,$N810))</f>
      </c>
      <c r="L810">
        <f>IF($N810="","",INDEX(Staging!$O$2:$O$3001,$N810))</f>
      </c>
      <c r="M810">
        <f>IF($N810="","",INDEX(Staging!$P$2:$P$3001,$N810))</f>
      </c>
      <c r="N810">
        <f t="array" ref="N810">IFERROR(SMALL(IF(Staging!$E$2:$E$3001="MIPPL",ROW(Staging!$E$2:$E$3001)-ROW(Staging!$E$2)+1),809),"")</f>
      </c>
    </row>
    <row r="811" spans="1:14" x14ac:dyDescent="0.25">
      <c r="A811">
        <f>IF($N811="","",INDEX(Staging!$A$2:$A$3001,$N811))</f>
      </c>
      <c r="B811">
        <f>IF($N811="","",INDEX(Staging!$B$2:$B$3001,$N811))</f>
      </c>
      <c r="C811">
        <f>IF($N811="","",INDEX(Staging!$C$2:$C$3001,$N811))</f>
      </c>
      <c r="D811">
        <f>IF($N811="","",INDEX(Staging!$D$2:$D$3001,$N811))</f>
      </c>
      <c r="E811">
        <f>IF($N811="","",INDEX(Staging!$F$2:$F$3001,$N811))</f>
      </c>
      <c r="F811">
        <f>IF($N811="","",INDEX(Staging!$G$2:$G$3001,$N811))</f>
      </c>
      <c r="G811">
        <f>IF($N811="","",INDEX(Staging!$H$2:$H$3001,$N811))</f>
      </c>
      <c r="H811">
        <f>IF($N811="","",INDEX(Staging!$I$2:$I$3001,$N811))</f>
      </c>
      <c r="I811">
        <f>IF($N811="","",INDEX(Staging!$J$2:$J$3001,$N811))</f>
      </c>
      <c r="J811">
        <f>IF($N811="","",INDEX(Staging!$K$2:$K$3001,$N811))</f>
      </c>
      <c r="K811">
        <f>IF($N811="","",INDEX(Staging!$M$2:$M$3001,$N811))</f>
      </c>
      <c r="L811">
        <f>IF($N811="","",INDEX(Staging!$O$2:$O$3001,$N811))</f>
      </c>
      <c r="M811">
        <f>IF($N811="","",INDEX(Staging!$P$2:$P$3001,$N811))</f>
      </c>
      <c r="N811">
        <f t="array" ref="N811">IFERROR(SMALL(IF(Staging!$E$2:$E$3001="MIPPL",ROW(Staging!$E$2:$E$3001)-ROW(Staging!$E$2)+1),810),"")</f>
      </c>
    </row>
    <row r="812" spans="1:14" x14ac:dyDescent="0.25">
      <c r="A812">
        <f>IF($N812="","",INDEX(Staging!$A$2:$A$3001,$N812))</f>
      </c>
      <c r="B812">
        <f>IF($N812="","",INDEX(Staging!$B$2:$B$3001,$N812))</f>
      </c>
      <c r="C812">
        <f>IF($N812="","",INDEX(Staging!$C$2:$C$3001,$N812))</f>
      </c>
      <c r="D812">
        <f>IF($N812="","",INDEX(Staging!$D$2:$D$3001,$N812))</f>
      </c>
      <c r="E812">
        <f>IF($N812="","",INDEX(Staging!$F$2:$F$3001,$N812))</f>
      </c>
      <c r="F812">
        <f>IF($N812="","",INDEX(Staging!$G$2:$G$3001,$N812))</f>
      </c>
      <c r="G812">
        <f>IF($N812="","",INDEX(Staging!$H$2:$H$3001,$N812))</f>
      </c>
      <c r="H812">
        <f>IF($N812="","",INDEX(Staging!$I$2:$I$3001,$N812))</f>
      </c>
      <c r="I812">
        <f>IF($N812="","",INDEX(Staging!$J$2:$J$3001,$N812))</f>
      </c>
      <c r="J812">
        <f>IF($N812="","",INDEX(Staging!$K$2:$K$3001,$N812))</f>
      </c>
      <c r="K812">
        <f>IF($N812="","",INDEX(Staging!$M$2:$M$3001,$N812))</f>
      </c>
      <c r="L812">
        <f>IF($N812="","",INDEX(Staging!$O$2:$O$3001,$N812))</f>
      </c>
      <c r="M812">
        <f>IF($N812="","",INDEX(Staging!$P$2:$P$3001,$N812))</f>
      </c>
      <c r="N812">
        <f t="array" ref="N812">IFERROR(SMALL(IF(Staging!$E$2:$E$3001="MIPPL",ROW(Staging!$E$2:$E$3001)-ROW(Staging!$E$2)+1),811),"")</f>
      </c>
    </row>
    <row r="813" spans="1:14" x14ac:dyDescent="0.25">
      <c r="A813">
        <f>IF($N813="","",INDEX(Staging!$A$2:$A$3001,$N813))</f>
      </c>
      <c r="B813">
        <f>IF($N813="","",INDEX(Staging!$B$2:$B$3001,$N813))</f>
      </c>
      <c r="C813">
        <f>IF($N813="","",INDEX(Staging!$C$2:$C$3001,$N813))</f>
      </c>
      <c r="D813">
        <f>IF($N813="","",INDEX(Staging!$D$2:$D$3001,$N813))</f>
      </c>
      <c r="E813">
        <f>IF($N813="","",INDEX(Staging!$F$2:$F$3001,$N813))</f>
      </c>
      <c r="F813">
        <f>IF($N813="","",INDEX(Staging!$G$2:$G$3001,$N813))</f>
      </c>
      <c r="G813">
        <f>IF($N813="","",INDEX(Staging!$H$2:$H$3001,$N813))</f>
      </c>
      <c r="H813">
        <f>IF($N813="","",INDEX(Staging!$I$2:$I$3001,$N813))</f>
      </c>
      <c r="I813">
        <f>IF($N813="","",INDEX(Staging!$J$2:$J$3001,$N813))</f>
      </c>
      <c r="J813">
        <f>IF($N813="","",INDEX(Staging!$K$2:$K$3001,$N813))</f>
      </c>
      <c r="K813">
        <f>IF($N813="","",INDEX(Staging!$M$2:$M$3001,$N813))</f>
      </c>
      <c r="L813">
        <f>IF($N813="","",INDEX(Staging!$O$2:$O$3001,$N813))</f>
      </c>
      <c r="M813">
        <f>IF($N813="","",INDEX(Staging!$P$2:$P$3001,$N813))</f>
      </c>
      <c r="N813">
        <f t="array" ref="N813">IFERROR(SMALL(IF(Staging!$E$2:$E$3001="MIPPL",ROW(Staging!$E$2:$E$3001)-ROW(Staging!$E$2)+1),812),"")</f>
      </c>
    </row>
    <row r="814" spans="1:14" x14ac:dyDescent="0.25">
      <c r="A814">
        <f>IF($N814="","",INDEX(Staging!$A$2:$A$3001,$N814))</f>
      </c>
      <c r="B814">
        <f>IF($N814="","",INDEX(Staging!$B$2:$B$3001,$N814))</f>
      </c>
      <c r="C814">
        <f>IF($N814="","",INDEX(Staging!$C$2:$C$3001,$N814))</f>
      </c>
      <c r="D814">
        <f>IF($N814="","",INDEX(Staging!$D$2:$D$3001,$N814))</f>
      </c>
      <c r="E814">
        <f>IF($N814="","",INDEX(Staging!$F$2:$F$3001,$N814))</f>
      </c>
      <c r="F814">
        <f>IF($N814="","",INDEX(Staging!$G$2:$G$3001,$N814))</f>
      </c>
      <c r="G814">
        <f>IF($N814="","",INDEX(Staging!$H$2:$H$3001,$N814))</f>
      </c>
      <c r="H814">
        <f>IF($N814="","",INDEX(Staging!$I$2:$I$3001,$N814))</f>
      </c>
      <c r="I814">
        <f>IF($N814="","",INDEX(Staging!$J$2:$J$3001,$N814))</f>
      </c>
      <c r="J814">
        <f>IF($N814="","",INDEX(Staging!$K$2:$K$3001,$N814))</f>
      </c>
      <c r="K814">
        <f>IF($N814="","",INDEX(Staging!$M$2:$M$3001,$N814))</f>
      </c>
      <c r="L814">
        <f>IF($N814="","",INDEX(Staging!$O$2:$O$3001,$N814))</f>
      </c>
      <c r="M814">
        <f>IF($N814="","",INDEX(Staging!$P$2:$P$3001,$N814))</f>
      </c>
      <c r="N814">
        <f t="array" ref="N814">IFERROR(SMALL(IF(Staging!$E$2:$E$3001="MIPPL",ROW(Staging!$E$2:$E$3001)-ROW(Staging!$E$2)+1),813),"")</f>
      </c>
    </row>
    <row r="815" spans="1:14" x14ac:dyDescent="0.25">
      <c r="A815">
        <f>IF($N815="","",INDEX(Staging!$A$2:$A$3001,$N815))</f>
      </c>
      <c r="B815">
        <f>IF($N815="","",INDEX(Staging!$B$2:$B$3001,$N815))</f>
      </c>
      <c r="C815">
        <f>IF($N815="","",INDEX(Staging!$C$2:$C$3001,$N815))</f>
      </c>
      <c r="D815">
        <f>IF($N815="","",INDEX(Staging!$D$2:$D$3001,$N815))</f>
      </c>
      <c r="E815">
        <f>IF($N815="","",INDEX(Staging!$F$2:$F$3001,$N815))</f>
      </c>
      <c r="F815">
        <f>IF($N815="","",INDEX(Staging!$G$2:$G$3001,$N815))</f>
      </c>
      <c r="G815">
        <f>IF($N815="","",INDEX(Staging!$H$2:$H$3001,$N815))</f>
      </c>
      <c r="H815">
        <f>IF($N815="","",INDEX(Staging!$I$2:$I$3001,$N815))</f>
      </c>
      <c r="I815">
        <f>IF($N815="","",INDEX(Staging!$J$2:$J$3001,$N815))</f>
      </c>
      <c r="J815">
        <f>IF($N815="","",INDEX(Staging!$K$2:$K$3001,$N815))</f>
      </c>
      <c r="K815">
        <f>IF($N815="","",INDEX(Staging!$M$2:$M$3001,$N815))</f>
      </c>
      <c r="L815">
        <f>IF($N815="","",INDEX(Staging!$O$2:$O$3001,$N815))</f>
      </c>
      <c r="M815">
        <f>IF($N815="","",INDEX(Staging!$P$2:$P$3001,$N815))</f>
      </c>
      <c r="N815">
        <f t="array" ref="N815">IFERROR(SMALL(IF(Staging!$E$2:$E$3001="MIPPL",ROW(Staging!$E$2:$E$3001)-ROW(Staging!$E$2)+1),814),"")</f>
      </c>
    </row>
    <row r="816" spans="1:14" x14ac:dyDescent="0.25">
      <c r="A816">
        <f>IF($N816="","",INDEX(Staging!$A$2:$A$3001,$N816))</f>
      </c>
      <c r="B816">
        <f>IF($N816="","",INDEX(Staging!$B$2:$B$3001,$N816))</f>
      </c>
      <c r="C816">
        <f>IF($N816="","",INDEX(Staging!$C$2:$C$3001,$N816))</f>
      </c>
      <c r="D816">
        <f>IF($N816="","",INDEX(Staging!$D$2:$D$3001,$N816))</f>
      </c>
      <c r="E816">
        <f>IF($N816="","",INDEX(Staging!$F$2:$F$3001,$N816))</f>
      </c>
      <c r="F816">
        <f>IF($N816="","",INDEX(Staging!$G$2:$G$3001,$N816))</f>
      </c>
      <c r="G816">
        <f>IF($N816="","",INDEX(Staging!$H$2:$H$3001,$N816))</f>
      </c>
      <c r="H816">
        <f>IF($N816="","",INDEX(Staging!$I$2:$I$3001,$N816))</f>
      </c>
      <c r="I816">
        <f>IF($N816="","",INDEX(Staging!$J$2:$J$3001,$N816))</f>
      </c>
      <c r="J816">
        <f>IF($N816="","",INDEX(Staging!$K$2:$K$3001,$N816))</f>
      </c>
      <c r="K816">
        <f>IF($N816="","",INDEX(Staging!$M$2:$M$3001,$N816))</f>
      </c>
      <c r="L816">
        <f>IF($N816="","",INDEX(Staging!$O$2:$O$3001,$N816))</f>
      </c>
      <c r="M816">
        <f>IF($N816="","",INDEX(Staging!$P$2:$P$3001,$N816))</f>
      </c>
      <c r="N816">
        <f t="array" ref="N816">IFERROR(SMALL(IF(Staging!$E$2:$E$3001="MIPPL",ROW(Staging!$E$2:$E$3001)-ROW(Staging!$E$2)+1),815),"")</f>
      </c>
    </row>
    <row r="817" spans="1:14" x14ac:dyDescent="0.25">
      <c r="A817">
        <f>IF($N817="","",INDEX(Staging!$A$2:$A$3001,$N817))</f>
      </c>
      <c r="B817">
        <f>IF($N817="","",INDEX(Staging!$B$2:$B$3001,$N817))</f>
      </c>
      <c r="C817">
        <f>IF($N817="","",INDEX(Staging!$C$2:$C$3001,$N817))</f>
      </c>
      <c r="D817">
        <f>IF($N817="","",INDEX(Staging!$D$2:$D$3001,$N817))</f>
      </c>
      <c r="E817">
        <f>IF($N817="","",INDEX(Staging!$F$2:$F$3001,$N817))</f>
      </c>
      <c r="F817">
        <f>IF($N817="","",INDEX(Staging!$G$2:$G$3001,$N817))</f>
      </c>
      <c r="G817">
        <f>IF($N817="","",INDEX(Staging!$H$2:$H$3001,$N817))</f>
      </c>
      <c r="H817">
        <f>IF($N817="","",INDEX(Staging!$I$2:$I$3001,$N817))</f>
      </c>
      <c r="I817">
        <f>IF($N817="","",INDEX(Staging!$J$2:$J$3001,$N817))</f>
      </c>
      <c r="J817">
        <f>IF($N817="","",INDEX(Staging!$K$2:$K$3001,$N817))</f>
      </c>
      <c r="K817">
        <f>IF($N817="","",INDEX(Staging!$M$2:$M$3001,$N817))</f>
      </c>
      <c r="L817">
        <f>IF($N817="","",INDEX(Staging!$O$2:$O$3001,$N817))</f>
      </c>
      <c r="M817">
        <f>IF($N817="","",INDEX(Staging!$P$2:$P$3001,$N817))</f>
      </c>
      <c r="N817">
        <f t="array" ref="N817">IFERROR(SMALL(IF(Staging!$E$2:$E$3001="MIPPL",ROW(Staging!$E$2:$E$3001)-ROW(Staging!$E$2)+1),816),"")</f>
      </c>
    </row>
    <row r="818" spans="1:14" x14ac:dyDescent="0.25">
      <c r="A818">
        <f>IF($N818="","",INDEX(Staging!$A$2:$A$3001,$N818))</f>
      </c>
      <c r="B818">
        <f>IF($N818="","",INDEX(Staging!$B$2:$B$3001,$N818))</f>
      </c>
      <c r="C818">
        <f>IF($N818="","",INDEX(Staging!$C$2:$C$3001,$N818))</f>
      </c>
      <c r="D818">
        <f>IF($N818="","",INDEX(Staging!$D$2:$D$3001,$N818))</f>
      </c>
      <c r="E818">
        <f>IF($N818="","",INDEX(Staging!$F$2:$F$3001,$N818))</f>
      </c>
      <c r="F818">
        <f>IF($N818="","",INDEX(Staging!$G$2:$G$3001,$N818))</f>
      </c>
      <c r="G818">
        <f>IF($N818="","",INDEX(Staging!$H$2:$H$3001,$N818))</f>
      </c>
      <c r="H818">
        <f>IF($N818="","",INDEX(Staging!$I$2:$I$3001,$N818))</f>
      </c>
      <c r="I818">
        <f>IF($N818="","",INDEX(Staging!$J$2:$J$3001,$N818))</f>
      </c>
      <c r="J818">
        <f>IF($N818="","",INDEX(Staging!$K$2:$K$3001,$N818))</f>
      </c>
      <c r="K818">
        <f>IF($N818="","",INDEX(Staging!$M$2:$M$3001,$N818))</f>
      </c>
      <c r="L818">
        <f>IF($N818="","",INDEX(Staging!$O$2:$O$3001,$N818))</f>
      </c>
      <c r="M818">
        <f>IF($N818="","",INDEX(Staging!$P$2:$P$3001,$N818))</f>
      </c>
      <c r="N818">
        <f t="array" ref="N818">IFERROR(SMALL(IF(Staging!$E$2:$E$3001="MIPPL",ROW(Staging!$E$2:$E$3001)-ROW(Staging!$E$2)+1),817),"")</f>
      </c>
    </row>
    <row r="819" spans="1:14" x14ac:dyDescent="0.25">
      <c r="A819">
        <f>IF($N819="","",INDEX(Staging!$A$2:$A$3001,$N819))</f>
      </c>
      <c r="B819">
        <f>IF($N819="","",INDEX(Staging!$B$2:$B$3001,$N819))</f>
      </c>
      <c r="C819">
        <f>IF($N819="","",INDEX(Staging!$C$2:$C$3001,$N819))</f>
      </c>
      <c r="D819">
        <f>IF($N819="","",INDEX(Staging!$D$2:$D$3001,$N819))</f>
      </c>
      <c r="E819">
        <f>IF($N819="","",INDEX(Staging!$F$2:$F$3001,$N819))</f>
      </c>
      <c r="F819">
        <f>IF($N819="","",INDEX(Staging!$G$2:$G$3001,$N819))</f>
      </c>
      <c r="G819">
        <f>IF($N819="","",INDEX(Staging!$H$2:$H$3001,$N819))</f>
      </c>
      <c r="H819">
        <f>IF($N819="","",INDEX(Staging!$I$2:$I$3001,$N819))</f>
      </c>
      <c r="I819">
        <f>IF($N819="","",INDEX(Staging!$J$2:$J$3001,$N819))</f>
      </c>
      <c r="J819">
        <f>IF($N819="","",INDEX(Staging!$K$2:$K$3001,$N819))</f>
      </c>
      <c r="K819">
        <f>IF($N819="","",INDEX(Staging!$M$2:$M$3001,$N819))</f>
      </c>
      <c r="L819">
        <f>IF($N819="","",INDEX(Staging!$O$2:$O$3001,$N819))</f>
      </c>
      <c r="M819">
        <f>IF($N819="","",INDEX(Staging!$P$2:$P$3001,$N819))</f>
      </c>
      <c r="N819">
        <f t="array" ref="N819">IFERROR(SMALL(IF(Staging!$E$2:$E$3001="MIPPL",ROW(Staging!$E$2:$E$3001)-ROW(Staging!$E$2)+1),818),"")</f>
      </c>
    </row>
    <row r="820" spans="1:14" x14ac:dyDescent="0.25">
      <c r="A820">
        <f>IF($N820="","",INDEX(Staging!$A$2:$A$3001,$N820))</f>
      </c>
      <c r="B820">
        <f>IF($N820="","",INDEX(Staging!$B$2:$B$3001,$N820))</f>
      </c>
      <c r="C820">
        <f>IF($N820="","",INDEX(Staging!$C$2:$C$3001,$N820))</f>
      </c>
      <c r="D820">
        <f>IF($N820="","",INDEX(Staging!$D$2:$D$3001,$N820))</f>
      </c>
      <c r="E820">
        <f>IF($N820="","",INDEX(Staging!$F$2:$F$3001,$N820))</f>
      </c>
      <c r="F820">
        <f>IF($N820="","",INDEX(Staging!$G$2:$G$3001,$N820))</f>
      </c>
      <c r="G820">
        <f>IF($N820="","",INDEX(Staging!$H$2:$H$3001,$N820))</f>
      </c>
      <c r="H820">
        <f>IF($N820="","",INDEX(Staging!$I$2:$I$3001,$N820))</f>
      </c>
      <c r="I820">
        <f>IF($N820="","",INDEX(Staging!$J$2:$J$3001,$N820))</f>
      </c>
      <c r="J820">
        <f>IF($N820="","",INDEX(Staging!$K$2:$K$3001,$N820))</f>
      </c>
      <c r="K820">
        <f>IF($N820="","",INDEX(Staging!$M$2:$M$3001,$N820))</f>
      </c>
      <c r="L820">
        <f>IF($N820="","",INDEX(Staging!$O$2:$O$3001,$N820))</f>
      </c>
      <c r="M820">
        <f>IF($N820="","",INDEX(Staging!$P$2:$P$3001,$N820))</f>
      </c>
      <c r="N820">
        <f t="array" ref="N820">IFERROR(SMALL(IF(Staging!$E$2:$E$3001="MIPPL",ROW(Staging!$E$2:$E$3001)-ROW(Staging!$E$2)+1),819),"")</f>
      </c>
    </row>
    <row r="821" spans="1:14" x14ac:dyDescent="0.25">
      <c r="A821">
        <f>IF($N821="","",INDEX(Staging!$A$2:$A$3001,$N821))</f>
      </c>
      <c r="B821">
        <f>IF($N821="","",INDEX(Staging!$B$2:$B$3001,$N821))</f>
      </c>
      <c r="C821">
        <f>IF($N821="","",INDEX(Staging!$C$2:$C$3001,$N821))</f>
      </c>
      <c r="D821">
        <f>IF($N821="","",INDEX(Staging!$D$2:$D$3001,$N821))</f>
      </c>
      <c r="E821">
        <f>IF($N821="","",INDEX(Staging!$F$2:$F$3001,$N821))</f>
      </c>
      <c r="F821">
        <f>IF($N821="","",INDEX(Staging!$G$2:$G$3001,$N821))</f>
      </c>
      <c r="G821">
        <f>IF($N821="","",INDEX(Staging!$H$2:$H$3001,$N821))</f>
      </c>
      <c r="H821">
        <f>IF($N821="","",INDEX(Staging!$I$2:$I$3001,$N821))</f>
      </c>
      <c r="I821">
        <f>IF($N821="","",INDEX(Staging!$J$2:$J$3001,$N821))</f>
      </c>
      <c r="J821">
        <f>IF($N821="","",INDEX(Staging!$K$2:$K$3001,$N821))</f>
      </c>
      <c r="K821">
        <f>IF($N821="","",INDEX(Staging!$M$2:$M$3001,$N821))</f>
      </c>
      <c r="L821">
        <f>IF($N821="","",INDEX(Staging!$O$2:$O$3001,$N821))</f>
      </c>
      <c r="M821">
        <f>IF($N821="","",INDEX(Staging!$P$2:$P$3001,$N821))</f>
      </c>
      <c r="N821">
        <f t="array" ref="N821">IFERROR(SMALL(IF(Staging!$E$2:$E$3001="MIPPL",ROW(Staging!$E$2:$E$3001)-ROW(Staging!$E$2)+1),820),"")</f>
      </c>
    </row>
    <row r="822" spans="1:14" x14ac:dyDescent="0.25">
      <c r="A822">
        <f>IF($N822="","",INDEX(Staging!$A$2:$A$3001,$N822))</f>
      </c>
      <c r="B822">
        <f>IF($N822="","",INDEX(Staging!$B$2:$B$3001,$N822))</f>
      </c>
      <c r="C822">
        <f>IF($N822="","",INDEX(Staging!$C$2:$C$3001,$N822))</f>
      </c>
      <c r="D822">
        <f>IF($N822="","",INDEX(Staging!$D$2:$D$3001,$N822))</f>
      </c>
      <c r="E822">
        <f>IF($N822="","",INDEX(Staging!$F$2:$F$3001,$N822))</f>
      </c>
      <c r="F822">
        <f>IF($N822="","",INDEX(Staging!$G$2:$G$3001,$N822))</f>
      </c>
      <c r="G822">
        <f>IF($N822="","",INDEX(Staging!$H$2:$H$3001,$N822))</f>
      </c>
      <c r="H822">
        <f>IF($N822="","",INDEX(Staging!$I$2:$I$3001,$N822))</f>
      </c>
      <c r="I822">
        <f>IF($N822="","",INDEX(Staging!$J$2:$J$3001,$N822))</f>
      </c>
      <c r="J822">
        <f>IF($N822="","",INDEX(Staging!$K$2:$K$3001,$N822))</f>
      </c>
      <c r="K822">
        <f>IF($N822="","",INDEX(Staging!$M$2:$M$3001,$N822))</f>
      </c>
      <c r="L822">
        <f>IF($N822="","",INDEX(Staging!$O$2:$O$3001,$N822))</f>
      </c>
      <c r="M822">
        <f>IF($N822="","",INDEX(Staging!$P$2:$P$3001,$N822))</f>
      </c>
      <c r="N822">
        <f t="array" ref="N822">IFERROR(SMALL(IF(Staging!$E$2:$E$3001="MIPPL",ROW(Staging!$E$2:$E$3001)-ROW(Staging!$E$2)+1),821),"")</f>
      </c>
    </row>
    <row r="823" spans="1:14" x14ac:dyDescent="0.25">
      <c r="A823">
        <f>IF($N823="","",INDEX(Staging!$A$2:$A$3001,$N823))</f>
      </c>
      <c r="B823">
        <f>IF($N823="","",INDEX(Staging!$B$2:$B$3001,$N823))</f>
      </c>
      <c r="C823">
        <f>IF($N823="","",INDEX(Staging!$C$2:$C$3001,$N823))</f>
      </c>
      <c r="D823">
        <f>IF($N823="","",INDEX(Staging!$D$2:$D$3001,$N823))</f>
      </c>
      <c r="E823">
        <f>IF($N823="","",INDEX(Staging!$F$2:$F$3001,$N823))</f>
      </c>
      <c r="F823">
        <f>IF($N823="","",INDEX(Staging!$G$2:$G$3001,$N823))</f>
      </c>
      <c r="G823">
        <f>IF($N823="","",INDEX(Staging!$H$2:$H$3001,$N823))</f>
      </c>
      <c r="H823">
        <f>IF($N823="","",INDEX(Staging!$I$2:$I$3001,$N823))</f>
      </c>
      <c r="I823">
        <f>IF($N823="","",INDEX(Staging!$J$2:$J$3001,$N823))</f>
      </c>
      <c r="J823">
        <f>IF($N823="","",INDEX(Staging!$K$2:$K$3001,$N823))</f>
      </c>
      <c r="K823">
        <f>IF($N823="","",INDEX(Staging!$M$2:$M$3001,$N823))</f>
      </c>
      <c r="L823">
        <f>IF($N823="","",INDEX(Staging!$O$2:$O$3001,$N823))</f>
      </c>
      <c r="M823">
        <f>IF($N823="","",INDEX(Staging!$P$2:$P$3001,$N823))</f>
      </c>
      <c r="N823">
        <f t="array" ref="N823">IFERROR(SMALL(IF(Staging!$E$2:$E$3001="MIPPL",ROW(Staging!$E$2:$E$3001)-ROW(Staging!$E$2)+1),822),"")</f>
      </c>
    </row>
    <row r="824" spans="1:14" x14ac:dyDescent="0.25">
      <c r="A824">
        <f>IF($N824="","",INDEX(Staging!$A$2:$A$3001,$N824))</f>
      </c>
      <c r="B824">
        <f>IF($N824="","",INDEX(Staging!$B$2:$B$3001,$N824))</f>
      </c>
      <c r="C824">
        <f>IF($N824="","",INDEX(Staging!$C$2:$C$3001,$N824))</f>
      </c>
      <c r="D824">
        <f>IF($N824="","",INDEX(Staging!$D$2:$D$3001,$N824))</f>
      </c>
      <c r="E824">
        <f>IF($N824="","",INDEX(Staging!$F$2:$F$3001,$N824))</f>
      </c>
      <c r="F824">
        <f>IF($N824="","",INDEX(Staging!$G$2:$G$3001,$N824))</f>
      </c>
      <c r="G824">
        <f>IF($N824="","",INDEX(Staging!$H$2:$H$3001,$N824))</f>
      </c>
      <c r="H824">
        <f>IF($N824="","",INDEX(Staging!$I$2:$I$3001,$N824))</f>
      </c>
      <c r="I824">
        <f>IF($N824="","",INDEX(Staging!$J$2:$J$3001,$N824))</f>
      </c>
      <c r="J824">
        <f>IF($N824="","",INDEX(Staging!$K$2:$K$3001,$N824))</f>
      </c>
      <c r="K824">
        <f>IF($N824="","",INDEX(Staging!$M$2:$M$3001,$N824))</f>
      </c>
      <c r="L824">
        <f>IF($N824="","",INDEX(Staging!$O$2:$O$3001,$N824))</f>
      </c>
      <c r="M824">
        <f>IF($N824="","",INDEX(Staging!$P$2:$P$3001,$N824))</f>
      </c>
      <c r="N824">
        <f t="array" ref="N824">IFERROR(SMALL(IF(Staging!$E$2:$E$3001="MIPPL",ROW(Staging!$E$2:$E$3001)-ROW(Staging!$E$2)+1),823),"")</f>
      </c>
    </row>
    <row r="825" spans="1:14" x14ac:dyDescent="0.25">
      <c r="A825">
        <f>IF($N825="","",INDEX(Staging!$A$2:$A$3001,$N825))</f>
      </c>
      <c r="B825">
        <f>IF($N825="","",INDEX(Staging!$B$2:$B$3001,$N825))</f>
      </c>
      <c r="C825">
        <f>IF($N825="","",INDEX(Staging!$C$2:$C$3001,$N825))</f>
      </c>
      <c r="D825">
        <f>IF($N825="","",INDEX(Staging!$D$2:$D$3001,$N825))</f>
      </c>
      <c r="E825">
        <f>IF($N825="","",INDEX(Staging!$F$2:$F$3001,$N825))</f>
      </c>
      <c r="F825">
        <f>IF($N825="","",INDEX(Staging!$G$2:$G$3001,$N825))</f>
      </c>
      <c r="G825">
        <f>IF($N825="","",INDEX(Staging!$H$2:$H$3001,$N825))</f>
      </c>
      <c r="H825">
        <f>IF($N825="","",INDEX(Staging!$I$2:$I$3001,$N825))</f>
      </c>
      <c r="I825">
        <f>IF($N825="","",INDEX(Staging!$J$2:$J$3001,$N825))</f>
      </c>
      <c r="J825">
        <f>IF($N825="","",INDEX(Staging!$K$2:$K$3001,$N825))</f>
      </c>
      <c r="K825">
        <f>IF($N825="","",INDEX(Staging!$M$2:$M$3001,$N825))</f>
      </c>
      <c r="L825">
        <f>IF($N825="","",INDEX(Staging!$O$2:$O$3001,$N825))</f>
      </c>
      <c r="M825">
        <f>IF($N825="","",INDEX(Staging!$P$2:$P$3001,$N825))</f>
      </c>
      <c r="N825">
        <f t="array" ref="N825">IFERROR(SMALL(IF(Staging!$E$2:$E$3001="MIPPL",ROW(Staging!$E$2:$E$3001)-ROW(Staging!$E$2)+1),824),"")</f>
      </c>
    </row>
    <row r="826" spans="1:14" x14ac:dyDescent="0.25">
      <c r="A826">
        <f>IF($N826="","",INDEX(Staging!$A$2:$A$3001,$N826))</f>
      </c>
      <c r="B826">
        <f>IF($N826="","",INDEX(Staging!$B$2:$B$3001,$N826))</f>
      </c>
      <c r="C826">
        <f>IF($N826="","",INDEX(Staging!$C$2:$C$3001,$N826))</f>
      </c>
      <c r="D826">
        <f>IF($N826="","",INDEX(Staging!$D$2:$D$3001,$N826))</f>
      </c>
      <c r="E826">
        <f>IF($N826="","",INDEX(Staging!$F$2:$F$3001,$N826))</f>
      </c>
      <c r="F826">
        <f>IF($N826="","",INDEX(Staging!$G$2:$G$3001,$N826))</f>
      </c>
      <c r="G826">
        <f>IF($N826="","",INDEX(Staging!$H$2:$H$3001,$N826))</f>
      </c>
      <c r="H826">
        <f>IF($N826="","",INDEX(Staging!$I$2:$I$3001,$N826))</f>
      </c>
      <c r="I826">
        <f>IF($N826="","",INDEX(Staging!$J$2:$J$3001,$N826))</f>
      </c>
      <c r="J826">
        <f>IF($N826="","",INDEX(Staging!$K$2:$K$3001,$N826))</f>
      </c>
      <c r="K826">
        <f>IF($N826="","",INDEX(Staging!$M$2:$M$3001,$N826))</f>
      </c>
      <c r="L826">
        <f>IF($N826="","",INDEX(Staging!$O$2:$O$3001,$N826))</f>
      </c>
      <c r="M826">
        <f>IF($N826="","",INDEX(Staging!$P$2:$P$3001,$N826))</f>
      </c>
      <c r="N826">
        <f t="array" ref="N826">IFERROR(SMALL(IF(Staging!$E$2:$E$3001="MIPPL",ROW(Staging!$E$2:$E$3001)-ROW(Staging!$E$2)+1),825),"")</f>
      </c>
    </row>
    <row r="827" spans="1:14" x14ac:dyDescent="0.25">
      <c r="A827">
        <f>IF($N827="","",INDEX(Staging!$A$2:$A$3001,$N827))</f>
      </c>
      <c r="B827">
        <f>IF($N827="","",INDEX(Staging!$B$2:$B$3001,$N827))</f>
      </c>
      <c r="C827">
        <f>IF($N827="","",INDEX(Staging!$C$2:$C$3001,$N827))</f>
      </c>
      <c r="D827">
        <f>IF($N827="","",INDEX(Staging!$D$2:$D$3001,$N827))</f>
      </c>
      <c r="E827">
        <f>IF($N827="","",INDEX(Staging!$F$2:$F$3001,$N827))</f>
      </c>
      <c r="F827">
        <f>IF($N827="","",INDEX(Staging!$G$2:$G$3001,$N827))</f>
      </c>
      <c r="G827">
        <f>IF($N827="","",INDEX(Staging!$H$2:$H$3001,$N827))</f>
      </c>
      <c r="H827">
        <f>IF($N827="","",INDEX(Staging!$I$2:$I$3001,$N827))</f>
      </c>
      <c r="I827">
        <f>IF($N827="","",INDEX(Staging!$J$2:$J$3001,$N827))</f>
      </c>
      <c r="J827">
        <f>IF($N827="","",INDEX(Staging!$K$2:$K$3001,$N827))</f>
      </c>
      <c r="K827">
        <f>IF($N827="","",INDEX(Staging!$M$2:$M$3001,$N827))</f>
      </c>
      <c r="L827">
        <f>IF($N827="","",INDEX(Staging!$O$2:$O$3001,$N827))</f>
      </c>
      <c r="M827">
        <f>IF($N827="","",INDEX(Staging!$P$2:$P$3001,$N827))</f>
      </c>
      <c r="N827">
        <f t="array" ref="N827">IFERROR(SMALL(IF(Staging!$E$2:$E$3001="MIPPL",ROW(Staging!$E$2:$E$3001)-ROW(Staging!$E$2)+1),826),"")</f>
      </c>
    </row>
    <row r="828" spans="1:14" x14ac:dyDescent="0.25">
      <c r="A828">
        <f>IF($N828="","",INDEX(Staging!$A$2:$A$3001,$N828))</f>
      </c>
      <c r="B828">
        <f>IF($N828="","",INDEX(Staging!$B$2:$B$3001,$N828))</f>
      </c>
      <c r="C828">
        <f>IF($N828="","",INDEX(Staging!$C$2:$C$3001,$N828))</f>
      </c>
      <c r="D828">
        <f>IF($N828="","",INDEX(Staging!$D$2:$D$3001,$N828))</f>
      </c>
      <c r="E828">
        <f>IF($N828="","",INDEX(Staging!$F$2:$F$3001,$N828))</f>
      </c>
      <c r="F828">
        <f>IF($N828="","",INDEX(Staging!$G$2:$G$3001,$N828))</f>
      </c>
      <c r="G828">
        <f>IF($N828="","",INDEX(Staging!$H$2:$H$3001,$N828))</f>
      </c>
      <c r="H828">
        <f>IF($N828="","",INDEX(Staging!$I$2:$I$3001,$N828))</f>
      </c>
      <c r="I828">
        <f>IF($N828="","",INDEX(Staging!$J$2:$J$3001,$N828))</f>
      </c>
      <c r="J828">
        <f>IF($N828="","",INDEX(Staging!$K$2:$K$3001,$N828))</f>
      </c>
      <c r="K828">
        <f>IF($N828="","",INDEX(Staging!$M$2:$M$3001,$N828))</f>
      </c>
      <c r="L828">
        <f>IF($N828="","",INDEX(Staging!$O$2:$O$3001,$N828))</f>
      </c>
      <c r="M828">
        <f>IF($N828="","",INDEX(Staging!$P$2:$P$3001,$N828))</f>
      </c>
      <c r="N828">
        <f t="array" ref="N828">IFERROR(SMALL(IF(Staging!$E$2:$E$3001="MIPPL",ROW(Staging!$E$2:$E$3001)-ROW(Staging!$E$2)+1),827),"")</f>
      </c>
    </row>
    <row r="829" spans="1:14" x14ac:dyDescent="0.25">
      <c r="A829">
        <f>IF($N829="","",INDEX(Staging!$A$2:$A$3001,$N829))</f>
      </c>
      <c r="B829">
        <f>IF($N829="","",INDEX(Staging!$B$2:$B$3001,$N829))</f>
      </c>
      <c r="C829">
        <f>IF($N829="","",INDEX(Staging!$C$2:$C$3001,$N829))</f>
      </c>
      <c r="D829">
        <f>IF($N829="","",INDEX(Staging!$D$2:$D$3001,$N829))</f>
      </c>
      <c r="E829">
        <f>IF($N829="","",INDEX(Staging!$F$2:$F$3001,$N829))</f>
      </c>
      <c r="F829">
        <f>IF($N829="","",INDEX(Staging!$G$2:$G$3001,$N829))</f>
      </c>
      <c r="G829">
        <f>IF($N829="","",INDEX(Staging!$H$2:$H$3001,$N829))</f>
      </c>
      <c r="H829">
        <f>IF($N829="","",INDEX(Staging!$I$2:$I$3001,$N829))</f>
      </c>
      <c r="I829">
        <f>IF($N829="","",INDEX(Staging!$J$2:$J$3001,$N829))</f>
      </c>
      <c r="J829">
        <f>IF($N829="","",INDEX(Staging!$K$2:$K$3001,$N829))</f>
      </c>
      <c r="K829">
        <f>IF($N829="","",INDEX(Staging!$M$2:$M$3001,$N829))</f>
      </c>
      <c r="L829">
        <f>IF($N829="","",INDEX(Staging!$O$2:$O$3001,$N829))</f>
      </c>
      <c r="M829">
        <f>IF($N829="","",INDEX(Staging!$P$2:$P$3001,$N829))</f>
      </c>
      <c r="N829">
        <f t="array" ref="N829">IFERROR(SMALL(IF(Staging!$E$2:$E$3001="MIPPL",ROW(Staging!$E$2:$E$3001)-ROW(Staging!$E$2)+1),828),"")</f>
      </c>
    </row>
    <row r="830" spans="1:14" x14ac:dyDescent="0.25">
      <c r="A830">
        <f>IF($N830="","",INDEX(Staging!$A$2:$A$3001,$N830))</f>
      </c>
      <c r="B830">
        <f>IF($N830="","",INDEX(Staging!$B$2:$B$3001,$N830))</f>
      </c>
      <c r="C830">
        <f>IF($N830="","",INDEX(Staging!$C$2:$C$3001,$N830))</f>
      </c>
      <c r="D830">
        <f>IF($N830="","",INDEX(Staging!$D$2:$D$3001,$N830))</f>
      </c>
      <c r="E830">
        <f>IF($N830="","",INDEX(Staging!$F$2:$F$3001,$N830))</f>
      </c>
      <c r="F830">
        <f>IF($N830="","",INDEX(Staging!$G$2:$G$3001,$N830))</f>
      </c>
      <c r="G830">
        <f>IF($N830="","",INDEX(Staging!$H$2:$H$3001,$N830))</f>
      </c>
      <c r="H830">
        <f>IF($N830="","",INDEX(Staging!$I$2:$I$3001,$N830))</f>
      </c>
      <c r="I830">
        <f>IF($N830="","",INDEX(Staging!$J$2:$J$3001,$N830))</f>
      </c>
      <c r="J830">
        <f>IF($N830="","",INDEX(Staging!$K$2:$K$3001,$N830))</f>
      </c>
      <c r="K830">
        <f>IF($N830="","",INDEX(Staging!$M$2:$M$3001,$N830))</f>
      </c>
      <c r="L830">
        <f>IF($N830="","",INDEX(Staging!$O$2:$O$3001,$N830))</f>
      </c>
      <c r="M830">
        <f>IF($N830="","",INDEX(Staging!$P$2:$P$3001,$N830))</f>
      </c>
      <c r="N830">
        <f t="array" ref="N830">IFERROR(SMALL(IF(Staging!$E$2:$E$3001="MIPPL",ROW(Staging!$E$2:$E$3001)-ROW(Staging!$E$2)+1),829),"")</f>
      </c>
    </row>
    <row r="831" spans="1:14" x14ac:dyDescent="0.25">
      <c r="A831">
        <f>IF($N831="","",INDEX(Staging!$A$2:$A$3001,$N831))</f>
      </c>
      <c r="B831">
        <f>IF($N831="","",INDEX(Staging!$B$2:$B$3001,$N831))</f>
      </c>
      <c r="C831">
        <f>IF($N831="","",INDEX(Staging!$C$2:$C$3001,$N831))</f>
      </c>
      <c r="D831">
        <f>IF($N831="","",INDEX(Staging!$D$2:$D$3001,$N831))</f>
      </c>
      <c r="E831">
        <f>IF($N831="","",INDEX(Staging!$F$2:$F$3001,$N831))</f>
      </c>
      <c r="F831">
        <f>IF($N831="","",INDEX(Staging!$G$2:$G$3001,$N831))</f>
      </c>
      <c r="G831">
        <f>IF($N831="","",INDEX(Staging!$H$2:$H$3001,$N831))</f>
      </c>
      <c r="H831">
        <f>IF($N831="","",INDEX(Staging!$I$2:$I$3001,$N831))</f>
      </c>
      <c r="I831">
        <f>IF($N831="","",INDEX(Staging!$J$2:$J$3001,$N831))</f>
      </c>
      <c r="J831">
        <f>IF($N831="","",INDEX(Staging!$K$2:$K$3001,$N831))</f>
      </c>
      <c r="K831">
        <f>IF($N831="","",INDEX(Staging!$M$2:$M$3001,$N831))</f>
      </c>
      <c r="L831">
        <f>IF($N831="","",INDEX(Staging!$O$2:$O$3001,$N831))</f>
      </c>
      <c r="M831">
        <f>IF($N831="","",INDEX(Staging!$P$2:$P$3001,$N831))</f>
      </c>
      <c r="N831">
        <f t="array" ref="N831">IFERROR(SMALL(IF(Staging!$E$2:$E$3001="MIPPL",ROW(Staging!$E$2:$E$3001)-ROW(Staging!$E$2)+1),830),"")</f>
      </c>
    </row>
    <row r="832" spans="1:14" x14ac:dyDescent="0.25">
      <c r="A832">
        <f>IF($N832="","",INDEX(Staging!$A$2:$A$3001,$N832))</f>
      </c>
      <c r="B832">
        <f>IF($N832="","",INDEX(Staging!$B$2:$B$3001,$N832))</f>
      </c>
      <c r="C832">
        <f>IF($N832="","",INDEX(Staging!$C$2:$C$3001,$N832))</f>
      </c>
      <c r="D832">
        <f>IF($N832="","",INDEX(Staging!$D$2:$D$3001,$N832))</f>
      </c>
      <c r="E832">
        <f>IF($N832="","",INDEX(Staging!$F$2:$F$3001,$N832))</f>
      </c>
      <c r="F832">
        <f>IF($N832="","",INDEX(Staging!$G$2:$G$3001,$N832))</f>
      </c>
      <c r="G832">
        <f>IF($N832="","",INDEX(Staging!$H$2:$H$3001,$N832))</f>
      </c>
      <c r="H832">
        <f>IF($N832="","",INDEX(Staging!$I$2:$I$3001,$N832))</f>
      </c>
      <c r="I832">
        <f>IF($N832="","",INDEX(Staging!$J$2:$J$3001,$N832))</f>
      </c>
      <c r="J832">
        <f>IF($N832="","",INDEX(Staging!$K$2:$K$3001,$N832))</f>
      </c>
      <c r="K832">
        <f>IF($N832="","",INDEX(Staging!$M$2:$M$3001,$N832))</f>
      </c>
      <c r="L832">
        <f>IF($N832="","",INDEX(Staging!$O$2:$O$3001,$N832))</f>
      </c>
      <c r="M832">
        <f>IF($N832="","",INDEX(Staging!$P$2:$P$3001,$N832))</f>
      </c>
      <c r="N832">
        <f t="array" ref="N832">IFERROR(SMALL(IF(Staging!$E$2:$E$3001="MIPPL",ROW(Staging!$E$2:$E$3001)-ROW(Staging!$E$2)+1),831),"")</f>
      </c>
    </row>
    <row r="833" spans="1:14" x14ac:dyDescent="0.25">
      <c r="A833">
        <f>IF($N833="","",INDEX(Staging!$A$2:$A$3001,$N833))</f>
      </c>
      <c r="B833">
        <f>IF($N833="","",INDEX(Staging!$B$2:$B$3001,$N833))</f>
      </c>
      <c r="C833">
        <f>IF($N833="","",INDEX(Staging!$C$2:$C$3001,$N833))</f>
      </c>
      <c r="D833">
        <f>IF($N833="","",INDEX(Staging!$D$2:$D$3001,$N833))</f>
      </c>
      <c r="E833">
        <f>IF($N833="","",INDEX(Staging!$F$2:$F$3001,$N833))</f>
      </c>
      <c r="F833">
        <f>IF($N833="","",INDEX(Staging!$G$2:$G$3001,$N833))</f>
      </c>
      <c r="G833">
        <f>IF($N833="","",INDEX(Staging!$H$2:$H$3001,$N833))</f>
      </c>
      <c r="H833">
        <f>IF($N833="","",INDEX(Staging!$I$2:$I$3001,$N833))</f>
      </c>
      <c r="I833">
        <f>IF($N833="","",INDEX(Staging!$J$2:$J$3001,$N833))</f>
      </c>
      <c r="J833">
        <f>IF($N833="","",INDEX(Staging!$K$2:$K$3001,$N833))</f>
      </c>
      <c r="K833">
        <f>IF($N833="","",INDEX(Staging!$M$2:$M$3001,$N833))</f>
      </c>
      <c r="L833">
        <f>IF($N833="","",INDEX(Staging!$O$2:$O$3001,$N833))</f>
      </c>
      <c r="M833">
        <f>IF($N833="","",INDEX(Staging!$P$2:$P$3001,$N833))</f>
      </c>
      <c r="N833">
        <f t="array" ref="N833">IFERROR(SMALL(IF(Staging!$E$2:$E$3001="MIPPL",ROW(Staging!$E$2:$E$3001)-ROW(Staging!$E$2)+1),832),"")</f>
      </c>
    </row>
    <row r="834" spans="1:14" x14ac:dyDescent="0.25">
      <c r="A834">
        <f>IF($N834="","",INDEX(Staging!$A$2:$A$3001,$N834))</f>
      </c>
      <c r="B834">
        <f>IF($N834="","",INDEX(Staging!$B$2:$B$3001,$N834))</f>
      </c>
      <c r="C834">
        <f>IF($N834="","",INDEX(Staging!$C$2:$C$3001,$N834))</f>
      </c>
      <c r="D834">
        <f>IF($N834="","",INDEX(Staging!$D$2:$D$3001,$N834))</f>
      </c>
      <c r="E834">
        <f>IF($N834="","",INDEX(Staging!$F$2:$F$3001,$N834))</f>
      </c>
      <c r="F834">
        <f>IF($N834="","",INDEX(Staging!$G$2:$G$3001,$N834))</f>
      </c>
      <c r="G834">
        <f>IF($N834="","",INDEX(Staging!$H$2:$H$3001,$N834))</f>
      </c>
      <c r="H834">
        <f>IF($N834="","",INDEX(Staging!$I$2:$I$3001,$N834))</f>
      </c>
      <c r="I834">
        <f>IF($N834="","",INDEX(Staging!$J$2:$J$3001,$N834))</f>
      </c>
      <c r="J834">
        <f>IF($N834="","",INDEX(Staging!$K$2:$K$3001,$N834))</f>
      </c>
      <c r="K834">
        <f>IF($N834="","",INDEX(Staging!$M$2:$M$3001,$N834))</f>
      </c>
      <c r="L834">
        <f>IF($N834="","",INDEX(Staging!$O$2:$O$3001,$N834))</f>
      </c>
      <c r="M834">
        <f>IF($N834="","",INDEX(Staging!$P$2:$P$3001,$N834))</f>
      </c>
      <c r="N834">
        <f t="array" ref="N834">IFERROR(SMALL(IF(Staging!$E$2:$E$3001="MIPPL",ROW(Staging!$E$2:$E$3001)-ROW(Staging!$E$2)+1),833),"")</f>
      </c>
    </row>
    <row r="835" spans="1:14" x14ac:dyDescent="0.25">
      <c r="A835">
        <f>IF($N835="","",INDEX(Staging!$A$2:$A$3001,$N835))</f>
      </c>
      <c r="B835">
        <f>IF($N835="","",INDEX(Staging!$B$2:$B$3001,$N835))</f>
      </c>
      <c r="C835">
        <f>IF($N835="","",INDEX(Staging!$C$2:$C$3001,$N835))</f>
      </c>
      <c r="D835">
        <f>IF($N835="","",INDEX(Staging!$D$2:$D$3001,$N835))</f>
      </c>
      <c r="E835">
        <f>IF($N835="","",INDEX(Staging!$F$2:$F$3001,$N835))</f>
      </c>
      <c r="F835">
        <f>IF($N835="","",INDEX(Staging!$G$2:$G$3001,$N835))</f>
      </c>
      <c r="G835">
        <f>IF($N835="","",INDEX(Staging!$H$2:$H$3001,$N835))</f>
      </c>
      <c r="H835">
        <f>IF($N835="","",INDEX(Staging!$I$2:$I$3001,$N835))</f>
      </c>
      <c r="I835">
        <f>IF($N835="","",INDEX(Staging!$J$2:$J$3001,$N835))</f>
      </c>
      <c r="J835">
        <f>IF($N835="","",INDEX(Staging!$K$2:$K$3001,$N835))</f>
      </c>
      <c r="K835">
        <f>IF($N835="","",INDEX(Staging!$M$2:$M$3001,$N835))</f>
      </c>
      <c r="L835">
        <f>IF($N835="","",INDEX(Staging!$O$2:$O$3001,$N835))</f>
      </c>
      <c r="M835">
        <f>IF($N835="","",INDEX(Staging!$P$2:$P$3001,$N835))</f>
      </c>
      <c r="N835">
        <f t="array" ref="N835">IFERROR(SMALL(IF(Staging!$E$2:$E$3001="MIPPL",ROW(Staging!$E$2:$E$3001)-ROW(Staging!$E$2)+1),834),"")</f>
      </c>
    </row>
    <row r="836" spans="1:14" x14ac:dyDescent="0.25">
      <c r="A836">
        <f>IF($N836="","",INDEX(Staging!$A$2:$A$3001,$N836))</f>
      </c>
      <c r="B836">
        <f>IF($N836="","",INDEX(Staging!$B$2:$B$3001,$N836))</f>
      </c>
      <c r="C836">
        <f>IF($N836="","",INDEX(Staging!$C$2:$C$3001,$N836))</f>
      </c>
      <c r="D836">
        <f>IF($N836="","",INDEX(Staging!$D$2:$D$3001,$N836))</f>
      </c>
      <c r="E836">
        <f>IF($N836="","",INDEX(Staging!$F$2:$F$3001,$N836))</f>
      </c>
      <c r="F836">
        <f>IF($N836="","",INDEX(Staging!$G$2:$G$3001,$N836))</f>
      </c>
      <c r="G836">
        <f>IF($N836="","",INDEX(Staging!$H$2:$H$3001,$N836))</f>
      </c>
      <c r="H836">
        <f>IF($N836="","",INDEX(Staging!$I$2:$I$3001,$N836))</f>
      </c>
      <c r="I836">
        <f>IF($N836="","",INDEX(Staging!$J$2:$J$3001,$N836))</f>
      </c>
      <c r="J836">
        <f>IF($N836="","",INDEX(Staging!$K$2:$K$3001,$N836))</f>
      </c>
      <c r="K836">
        <f>IF($N836="","",INDEX(Staging!$M$2:$M$3001,$N836))</f>
      </c>
      <c r="L836">
        <f>IF($N836="","",INDEX(Staging!$O$2:$O$3001,$N836))</f>
      </c>
      <c r="M836">
        <f>IF($N836="","",INDEX(Staging!$P$2:$P$3001,$N836))</f>
      </c>
      <c r="N836">
        <f t="array" ref="N836">IFERROR(SMALL(IF(Staging!$E$2:$E$3001="MIPPL",ROW(Staging!$E$2:$E$3001)-ROW(Staging!$E$2)+1),835),"")</f>
      </c>
    </row>
    <row r="837" spans="1:14" x14ac:dyDescent="0.25">
      <c r="A837">
        <f>IF($N837="","",INDEX(Staging!$A$2:$A$3001,$N837))</f>
      </c>
      <c r="B837">
        <f>IF($N837="","",INDEX(Staging!$B$2:$B$3001,$N837))</f>
      </c>
      <c r="C837">
        <f>IF($N837="","",INDEX(Staging!$C$2:$C$3001,$N837))</f>
      </c>
      <c r="D837">
        <f>IF($N837="","",INDEX(Staging!$D$2:$D$3001,$N837))</f>
      </c>
      <c r="E837">
        <f>IF($N837="","",INDEX(Staging!$F$2:$F$3001,$N837))</f>
      </c>
      <c r="F837">
        <f>IF($N837="","",INDEX(Staging!$G$2:$G$3001,$N837))</f>
      </c>
      <c r="G837">
        <f>IF($N837="","",INDEX(Staging!$H$2:$H$3001,$N837))</f>
      </c>
      <c r="H837">
        <f>IF($N837="","",INDEX(Staging!$I$2:$I$3001,$N837))</f>
      </c>
      <c r="I837">
        <f>IF($N837="","",INDEX(Staging!$J$2:$J$3001,$N837))</f>
      </c>
      <c r="J837">
        <f>IF($N837="","",INDEX(Staging!$K$2:$K$3001,$N837))</f>
      </c>
      <c r="K837">
        <f>IF($N837="","",INDEX(Staging!$M$2:$M$3001,$N837))</f>
      </c>
      <c r="L837">
        <f>IF($N837="","",INDEX(Staging!$O$2:$O$3001,$N837))</f>
      </c>
      <c r="M837">
        <f>IF($N837="","",INDEX(Staging!$P$2:$P$3001,$N837))</f>
      </c>
      <c r="N837">
        <f t="array" ref="N837">IFERROR(SMALL(IF(Staging!$E$2:$E$3001="MIPPL",ROW(Staging!$E$2:$E$3001)-ROW(Staging!$E$2)+1),836),"")</f>
      </c>
    </row>
    <row r="838" spans="1:14" x14ac:dyDescent="0.25">
      <c r="A838">
        <f>IF($N838="","",INDEX(Staging!$A$2:$A$3001,$N838))</f>
      </c>
      <c r="B838">
        <f>IF($N838="","",INDEX(Staging!$B$2:$B$3001,$N838))</f>
      </c>
      <c r="C838">
        <f>IF($N838="","",INDEX(Staging!$C$2:$C$3001,$N838))</f>
      </c>
      <c r="D838">
        <f>IF($N838="","",INDEX(Staging!$D$2:$D$3001,$N838))</f>
      </c>
      <c r="E838">
        <f>IF($N838="","",INDEX(Staging!$F$2:$F$3001,$N838))</f>
      </c>
      <c r="F838">
        <f>IF($N838="","",INDEX(Staging!$G$2:$G$3001,$N838))</f>
      </c>
      <c r="G838">
        <f>IF($N838="","",INDEX(Staging!$H$2:$H$3001,$N838))</f>
      </c>
      <c r="H838">
        <f>IF($N838="","",INDEX(Staging!$I$2:$I$3001,$N838))</f>
      </c>
      <c r="I838">
        <f>IF($N838="","",INDEX(Staging!$J$2:$J$3001,$N838))</f>
      </c>
      <c r="J838">
        <f>IF($N838="","",INDEX(Staging!$K$2:$K$3001,$N838))</f>
      </c>
      <c r="K838">
        <f>IF($N838="","",INDEX(Staging!$M$2:$M$3001,$N838))</f>
      </c>
      <c r="L838">
        <f>IF($N838="","",INDEX(Staging!$O$2:$O$3001,$N838))</f>
      </c>
      <c r="M838">
        <f>IF($N838="","",INDEX(Staging!$P$2:$P$3001,$N838))</f>
      </c>
      <c r="N838">
        <f t="array" ref="N838">IFERROR(SMALL(IF(Staging!$E$2:$E$3001="MIPPL",ROW(Staging!$E$2:$E$3001)-ROW(Staging!$E$2)+1),837),"")</f>
      </c>
    </row>
    <row r="839" spans="1:14" x14ac:dyDescent="0.25">
      <c r="A839">
        <f>IF($N839="","",INDEX(Staging!$A$2:$A$3001,$N839))</f>
      </c>
      <c r="B839">
        <f>IF($N839="","",INDEX(Staging!$B$2:$B$3001,$N839))</f>
      </c>
      <c r="C839">
        <f>IF($N839="","",INDEX(Staging!$C$2:$C$3001,$N839))</f>
      </c>
      <c r="D839">
        <f>IF($N839="","",INDEX(Staging!$D$2:$D$3001,$N839))</f>
      </c>
      <c r="E839">
        <f>IF($N839="","",INDEX(Staging!$F$2:$F$3001,$N839))</f>
      </c>
      <c r="F839">
        <f>IF($N839="","",INDEX(Staging!$G$2:$G$3001,$N839))</f>
      </c>
      <c r="G839">
        <f>IF($N839="","",INDEX(Staging!$H$2:$H$3001,$N839))</f>
      </c>
      <c r="H839">
        <f>IF($N839="","",INDEX(Staging!$I$2:$I$3001,$N839))</f>
      </c>
      <c r="I839">
        <f>IF($N839="","",INDEX(Staging!$J$2:$J$3001,$N839))</f>
      </c>
      <c r="J839">
        <f>IF($N839="","",INDEX(Staging!$K$2:$K$3001,$N839))</f>
      </c>
      <c r="K839">
        <f>IF($N839="","",INDEX(Staging!$M$2:$M$3001,$N839))</f>
      </c>
      <c r="L839">
        <f>IF($N839="","",INDEX(Staging!$O$2:$O$3001,$N839))</f>
      </c>
      <c r="M839">
        <f>IF($N839="","",INDEX(Staging!$P$2:$P$3001,$N839))</f>
      </c>
      <c r="N839">
        <f t="array" ref="N839">IFERROR(SMALL(IF(Staging!$E$2:$E$3001="MIPPL",ROW(Staging!$E$2:$E$3001)-ROW(Staging!$E$2)+1),838),"")</f>
      </c>
    </row>
    <row r="840" spans="1:14" x14ac:dyDescent="0.25">
      <c r="A840">
        <f>IF($N840="","",INDEX(Staging!$A$2:$A$3001,$N840))</f>
      </c>
      <c r="B840">
        <f>IF($N840="","",INDEX(Staging!$B$2:$B$3001,$N840))</f>
      </c>
      <c r="C840">
        <f>IF($N840="","",INDEX(Staging!$C$2:$C$3001,$N840))</f>
      </c>
      <c r="D840">
        <f>IF($N840="","",INDEX(Staging!$D$2:$D$3001,$N840))</f>
      </c>
      <c r="E840">
        <f>IF($N840="","",INDEX(Staging!$F$2:$F$3001,$N840))</f>
      </c>
      <c r="F840">
        <f>IF($N840="","",INDEX(Staging!$G$2:$G$3001,$N840))</f>
      </c>
      <c r="G840">
        <f>IF($N840="","",INDEX(Staging!$H$2:$H$3001,$N840))</f>
      </c>
      <c r="H840">
        <f>IF($N840="","",INDEX(Staging!$I$2:$I$3001,$N840))</f>
      </c>
      <c r="I840">
        <f>IF($N840="","",INDEX(Staging!$J$2:$J$3001,$N840))</f>
      </c>
      <c r="J840">
        <f>IF($N840="","",INDEX(Staging!$K$2:$K$3001,$N840))</f>
      </c>
      <c r="K840">
        <f>IF($N840="","",INDEX(Staging!$M$2:$M$3001,$N840))</f>
      </c>
      <c r="L840">
        <f>IF($N840="","",INDEX(Staging!$O$2:$O$3001,$N840))</f>
      </c>
      <c r="M840">
        <f>IF($N840="","",INDEX(Staging!$P$2:$P$3001,$N840))</f>
      </c>
      <c r="N840">
        <f t="array" ref="N840">IFERROR(SMALL(IF(Staging!$E$2:$E$3001="MIPPL",ROW(Staging!$E$2:$E$3001)-ROW(Staging!$E$2)+1),839),"")</f>
      </c>
    </row>
    <row r="841" spans="1:14" x14ac:dyDescent="0.25">
      <c r="A841">
        <f>IF($N841="","",INDEX(Staging!$A$2:$A$3001,$N841))</f>
      </c>
      <c r="B841">
        <f>IF($N841="","",INDEX(Staging!$B$2:$B$3001,$N841))</f>
      </c>
      <c r="C841">
        <f>IF($N841="","",INDEX(Staging!$C$2:$C$3001,$N841))</f>
      </c>
      <c r="D841">
        <f>IF($N841="","",INDEX(Staging!$D$2:$D$3001,$N841))</f>
      </c>
      <c r="E841">
        <f>IF($N841="","",INDEX(Staging!$F$2:$F$3001,$N841))</f>
      </c>
      <c r="F841">
        <f>IF($N841="","",INDEX(Staging!$G$2:$G$3001,$N841))</f>
      </c>
      <c r="G841">
        <f>IF($N841="","",INDEX(Staging!$H$2:$H$3001,$N841))</f>
      </c>
      <c r="H841">
        <f>IF($N841="","",INDEX(Staging!$I$2:$I$3001,$N841))</f>
      </c>
      <c r="I841">
        <f>IF($N841="","",INDEX(Staging!$J$2:$J$3001,$N841))</f>
      </c>
      <c r="J841">
        <f>IF($N841="","",INDEX(Staging!$K$2:$K$3001,$N841))</f>
      </c>
      <c r="K841">
        <f>IF($N841="","",INDEX(Staging!$M$2:$M$3001,$N841))</f>
      </c>
      <c r="L841">
        <f>IF($N841="","",INDEX(Staging!$O$2:$O$3001,$N841))</f>
      </c>
      <c r="M841">
        <f>IF($N841="","",INDEX(Staging!$P$2:$P$3001,$N841))</f>
      </c>
      <c r="N841">
        <f t="array" ref="N841">IFERROR(SMALL(IF(Staging!$E$2:$E$3001="MIPPL",ROW(Staging!$E$2:$E$3001)-ROW(Staging!$E$2)+1),840),"")</f>
      </c>
    </row>
    <row r="842" spans="1:14" x14ac:dyDescent="0.25">
      <c r="A842">
        <f>IF($N842="","",INDEX(Staging!$A$2:$A$3001,$N842))</f>
      </c>
      <c r="B842">
        <f>IF($N842="","",INDEX(Staging!$B$2:$B$3001,$N842))</f>
      </c>
      <c r="C842">
        <f>IF($N842="","",INDEX(Staging!$C$2:$C$3001,$N842))</f>
      </c>
      <c r="D842">
        <f>IF($N842="","",INDEX(Staging!$D$2:$D$3001,$N842))</f>
      </c>
      <c r="E842">
        <f>IF($N842="","",INDEX(Staging!$F$2:$F$3001,$N842))</f>
      </c>
      <c r="F842">
        <f>IF($N842="","",INDEX(Staging!$G$2:$G$3001,$N842))</f>
      </c>
      <c r="G842">
        <f>IF($N842="","",INDEX(Staging!$H$2:$H$3001,$N842))</f>
      </c>
      <c r="H842">
        <f>IF($N842="","",INDEX(Staging!$I$2:$I$3001,$N842))</f>
      </c>
      <c r="I842">
        <f>IF($N842="","",INDEX(Staging!$J$2:$J$3001,$N842))</f>
      </c>
      <c r="J842">
        <f>IF($N842="","",INDEX(Staging!$K$2:$K$3001,$N842))</f>
      </c>
      <c r="K842">
        <f>IF($N842="","",INDEX(Staging!$M$2:$M$3001,$N842))</f>
      </c>
      <c r="L842">
        <f>IF($N842="","",INDEX(Staging!$O$2:$O$3001,$N842))</f>
      </c>
      <c r="M842">
        <f>IF($N842="","",INDEX(Staging!$P$2:$P$3001,$N842))</f>
      </c>
      <c r="N842">
        <f t="array" ref="N842">IFERROR(SMALL(IF(Staging!$E$2:$E$3001="MIPPL",ROW(Staging!$E$2:$E$3001)-ROW(Staging!$E$2)+1),841),"")</f>
      </c>
    </row>
    <row r="843" spans="1:14" x14ac:dyDescent="0.25">
      <c r="A843">
        <f>IF($N843="","",INDEX(Staging!$A$2:$A$3001,$N843))</f>
      </c>
      <c r="B843">
        <f>IF($N843="","",INDEX(Staging!$B$2:$B$3001,$N843))</f>
      </c>
      <c r="C843">
        <f>IF($N843="","",INDEX(Staging!$C$2:$C$3001,$N843))</f>
      </c>
      <c r="D843">
        <f>IF($N843="","",INDEX(Staging!$D$2:$D$3001,$N843))</f>
      </c>
      <c r="E843">
        <f>IF($N843="","",INDEX(Staging!$F$2:$F$3001,$N843))</f>
      </c>
      <c r="F843">
        <f>IF($N843="","",INDEX(Staging!$G$2:$G$3001,$N843))</f>
      </c>
      <c r="G843">
        <f>IF($N843="","",INDEX(Staging!$H$2:$H$3001,$N843))</f>
      </c>
      <c r="H843">
        <f>IF($N843="","",INDEX(Staging!$I$2:$I$3001,$N843))</f>
      </c>
      <c r="I843">
        <f>IF($N843="","",INDEX(Staging!$J$2:$J$3001,$N843))</f>
      </c>
      <c r="J843">
        <f>IF($N843="","",INDEX(Staging!$K$2:$K$3001,$N843))</f>
      </c>
      <c r="K843">
        <f>IF($N843="","",INDEX(Staging!$M$2:$M$3001,$N843))</f>
      </c>
      <c r="L843">
        <f>IF($N843="","",INDEX(Staging!$O$2:$O$3001,$N843))</f>
      </c>
      <c r="M843">
        <f>IF($N843="","",INDEX(Staging!$P$2:$P$3001,$N843))</f>
      </c>
      <c r="N843">
        <f t="array" ref="N843">IFERROR(SMALL(IF(Staging!$E$2:$E$3001="MIPPL",ROW(Staging!$E$2:$E$3001)-ROW(Staging!$E$2)+1),842),"")</f>
      </c>
    </row>
    <row r="844" spans="1:14" x14ac:dyDescent="0.25">
      <c r="A844">
        <f>IF($N844="","",INDEX(Staging!$A$2:$A$3001,$N844))</f>
      </c>
      <c r="B844">
        <f>IF($N844="","",INDEX(Staging!$B$2:$B$3001,$N844))</f>
      </c>
      <c r="C844">
        <f>IF($N844="","",INDEX(Staging!$C$2:$C$3001,$N844))</f>
      </c>
      <c r="D844">
        <f>IF($N844="","",INDEX(Staging!$D$2:$D$3001,$N844))</f>
      </c>
      <c r="E844">
        <f>IF($N844="","",INDEX(Staging!$F$2:$F$3001,$N844))</f>
      </c>
      <c r="F844">
        <f>IF($N844="","",INDEX(Staging!$G$2:$G$3001,$N844))</f>
      </c>
      <c r="G844">
        <f>IF($N844="","",INDEX(Staging!$H$2:$H$3001,$N844))</f>
      </c>
      <c r="H844">
        <f>IF($N844="","",INDEX(Staging!$I$2:$I$3001,$N844))</f>
      </c>
      <c r="I844">
        <f>IF($N844="","",INDEX(Staging!$J$2:$J$3001,$N844))</f>
      </c>
      <c r="J844">
        <f>IF($N844="","",INDEX(Staging!$K$2:$K$3001,$N844))</f>
      </c>
      <c r="K844">
        <f>IF($N844="","",INDEX(Staging!$M$2:$M$3001,$N844))</f>
      </c>
      <c r="L844">
        <f>IF($N844="","",INDEX(Staging!$O$2:$O$3001,$N844))</f>
      </c>
      <c r="M844">
        <f>IF($N844="","",INDEX(Staging!$P$2:$P$3001,$N844))</f>
      </c>
      <c r="N844">
        <f t="array" ref="N844">IFERROR(SMALL(IF(Staging!$E$2:$E$3001="MIPPL",ROW(Staging!$E$2:$E$3001)-ROW(Staging!$E$2)+1),843),"")</f>
      </c>
    </row>
    <row r="845" spans="1:14" x14ac:dyDescent="0.25">
      <c r="A845">
        <f>IF($N845="","",INDEX(Staging!$A$2:$A$3001,$N845))</f>
      </c>
      <c r="B845">
        <f>IF($N845="","",INDEX(Staging!$B$2:$B$3001,$N845))</f>
      </c>
      <c r="C845">
        <f>IF($N845="","",INDEX(Staging!$C$2:$C$3001,$N845))</f>
      </c>
      <c r="D845">
        <f>IF($N845="","",INDEX(Staging!$D$2:$D$3001,$N845))</f>
      </c>
      <c r="E845">
        <f>IF($N845="","",INDEX(Staging!$F$2:$F$3001,$N845))</f>
      </c>
      <c r="F845">
        <f>IF($N845="","",INDEX(Staging!$G$2:$G$3001,$N845))</f>
      </c>
      <c r="G845">
        <f>IF($N845="","",INDEX(Staging!$H$2:$H$3001,$N845))</f>
      </c>
      <c r="H845">
        <f>IF($N845="","",INDEX(Staging!$I$2:$I$3001,$N845))</f>
      </c>
      <c r="I845">
        <f>IF($N845="","",INDEX(Staging!$J$2:$J$3001,$N845))</f>
      </c>
      <c r="J845">
        <f>IF($N845="","",INDEX(Staging!$K$2:$K$3001,$N845))</f>
      </c>
      <c r="K845">
        <f>IF($N845="","",INDEX(Staging!$M$2:$M$3001,$N845))</f>
      </c>
      <c r="L845">
        <f>IF($N845="","",INDEX(Staging!$O$2:$O$3001,$N845))</f>
      </c>
      <c r="M845">
        <f>IF($N845="","",INDEX(Staging!$P$2:$P$3001,$N845))</f>
      </c>
      <c r="N845">
        <f t="array" ref="N845">IFERROR(SMALL(IF(Staging!$E$2:$E$3001="MIPPL",ROW(Staging!$E$2:$E$3001)-ROW(Staging!$E$2)+1),844),"")</f>
      </c>
    </row>
    <row r="846" spans="1:14" x14ac:dyDescent="0.25">
      <c r="A846">
        <f>IF($N846="","",INDEX(Staging!$A$2:$A$3001,$N846))</f>
      </c>
      <c r="B846">
        <f>IF($N846="","",INDEX(Staging!$B$2:$B$3001,$N846))</f>
      </c>
      <c r="C846">
        <f>IF($N846="","",INDEX(Staging!$C$2:$C$3001,$N846))</f>
      </c>
      <c r="D846">
        <f>IF($N846="","",INDEX(Staging!$D$2:$D$3001,$N846))</f>
      </c>
      <c r="E846">
        <f>IF($N846="","",INDEX(Staging!$F$2:$F$3001,$N846))</f>
      </c>
      <c r="F846">
        <f>IF($N846="","",INDEX(Staging!$G$2:$G$3001,$N846))</f>
      </c>
      <c r="G846">
        <f>IF($N846="","",INDEX(Staging!$H$2:$H$3001,$N846))</f>
      </c>
      <c r="H846">
        <f>IF($N846="","",INDEX(Staging!$I$2:$I$3001,$N846))</f>
      </c>
      <c r="I846">
        <f>IF($N846="","",INDEX(Staging!$J$2:$J$3001,$N846))</f>
      </c>
      <c r="J846">
        <f>IF($N846="","",INDEX(Staging!$K$2:$K$3001,$N846))</f>
      </c>
      <c r="K846">
        <f>IF($N846="","",INDEX(Staging!$M$2:$M$3001,$N846))</f>
      </c>
      <c r="L846">
        <f>IF($N846="","",INDEX(Staging!$O$2:$O$3001,$N846))</f>
      </c>
      <c r="M846">
        <f>IF($N846="","",INDEX(Staging!$P$2:$P$3001,$N846))</f>
      </c>
      <c r="N846">
        <f t="array" ref="N846">IFERROR(SMALL(IF(Staging!$E$2:$E$3001="MIPPL",ROW(Staging!$E$2:$E$3001)-ROW(Staging!$E$2)+1),845),"")</f>
      </c>
    </row>
    <row r="847" spans="1:14" x14ac:dyDescent="0.25">
      <c r="A847">
        <f>IF($N847="","",INDEX(Staging!$A$2:$A$3001,$N847))</f>
      </c>
      <c r="B847">
        <f>IF($N847="","",INDEX(Staging!$B$2:$B$3001,$N847))</f>
      </c>
      <c r="C847">
        <f>IF($N847="","",INDEX(Staging!$C$2:$C$3001,$N847))</f>
      </c>
      <c r="D847">
        <f>IF($N847="","",INDEX(Staging!$D$2:$D$3001,$N847))</f>
      </c>
      <c r="E847">
        <f>IF($N847="","",INDEX(Staging!$F$2:$F$3001,$N847))</f>
      </c>
      <c r="F847">
        <f>IF($N847="","",INDEX(Staging!$G$2:$G$3001,$N847))</f>
      </c>
      <c r="G847">
        <f>IF($N847="","",INDEX(Staging!$H$2:$H$3001,$N847))</f>
      </c>
      <c r="H847">
        <f>IF($N847="","",INDEX(Staging!$I$2:$I$3001,$N847))</f>
      </c>
      <c r="I847">
        <f>IF($N847="","",INDEX(Staging!$J$2:$J$3001,$N847))</f>
      </c>
      <c r="J847">
        <f>IF($N847="","",INDEX(Staging!$K$2:$K$3001,$N847))</f>
      </c>
      <c r="K847">
        <f>IF($N847="","",INDEX(Staging!$M$2:$M$3001,$N847))</f>
      </c>
      <c r="L847">
        <f>IF($N847="","",INDEX(Staging!$O$2:$O$3001,$N847))</f>
      </c>
      <c r="M847">
        <f>IF($N847="","",INDEX(Staging!$P$2:$P$3001,$N847))</f>
      </c>
      <c r="N847">
        <f t="array" ref="N847">IFERROR(SMALL(IF(Staging!$E$2:$E$3001="MIPPL",ROW(Staging!$E$2:$E$3001)-ROW(Staging!$E$2)+1),846),"")</f>
      </c>
    </row>
    <row r="848" spans="1:14" x14ac:dyDescent="0.25">
      <c r="A848">
        <f>IF($N848="","",INDEX(Staging!$A$2:$A$3001,$N848))</f>
      </c>
      <c r="B848">
        <f>IF($N848="","",INDEX(Staging!$B$2:$B$3001,$N848))</f>
      </c>
      <c r="C848">
        <f>IF($N848="","",INDEX(Staging!$C$2:$C$3001,$N848))</f>
      </c>
      <c r="D848">
        <f>IF($N848="","",INDEX(Staging!$D$2:$D$3001,$N848))</f>
      </c>
      <c r="E848">
        <f>IF($N848="","",INDEX(Staging!$F$2:$F$3001,$N848))</f>
      </c>
      <c r="F848">
        <f>IF($N848="","",INDEX(Staging!$G$2:$G$3001,$N848))</f>
      </c>
      <c r="G848">
        <f>IF($N848="","",INDEX(Staging!$H$2:$H$3001,$N848))</f>
      </c>
      <c r="H848">
        <f>IF($N848="","",INDEX(Staging!$I$2:$I$3001,$N848))</f>
      </c>
      <c r="I848">
        <f>IF($N848="","",INDEX(Staging!$J$2:$J$3001,$N848))</f>
      </c>
      <c r="J848">
        <f>IF($N848="","",INDEX(Staging!$K$2:$K$3001,$N848))</f>
      </c>
      <c r="K848">
        <f>IF($N848="","",INDEX(Staging!$M$2:$M$3001,$N848))</f>
      </c>
      <c r="L848">
        <f>IF($N848="","",INDEX(Staging!$O$2:$O$3001,$N848))</f>
      </c>
      <c r="M848">
        <f>IF($N848="","",INDEX(Staging!$P$2:$P$3001,$N848))</f>
      </c>
      <c r="N848">
        <f t="array" ref="N848">IFERROR(SMALL(IF(Staging!$E$2:$E$3001="MIPPL",ROW(Staging!$E$2:$E$3001)-ROW(Staging!$E$2)+1),847),"")</f>
      </c>
    </row>
    <row r="849" spans="1:14" x14ac:dyDescent="0.25">
      <c r="A849">
        <f>IF($N849="","",INDEX(Staging!$A$2:$A$3001,$N849))</f>
      </c>
      <c r="B849">
        <f>IF($N849="","",INDEX(Staging!$B$2:$B$3001,$N849))</f>
      </c>
      <c r="C849">
        <f>IF($N849="","",INDEX(Staging!$C$2:$C$3001,$N849))</f>
      </c>
      <c r="D849">
        <f>IF($N849="","",INDEX(Staging!$D$2:$D$3001,$N849))</f>
      </c>
      <c r="E849">
        <f>IF($N849="","",INDEX(Staging!$F$2:$F$3001,$N849))</f>
      </c>
      <c r="F849">
        <f>IF($N849="","",INDEX(Staging!$G$2:$G$3001,$N849))</f>
      </c>
      <c r="G849">
        <f>IF($N849="","",INDEX(Staging!$H$2:$H$3001,$N849))</f>
      </c>
      <c r="H849">
        <f>IF($N849="","",INDEX(Staging!$I$2:$I$3001,$N849))</f>
      </c>
      <c r="I849">
        <f>IF($N849="","",INDEX(Staging!$J$2:$J$3001,$N849))</f>
      </c>
      <c r="J849">
        <f>IF($N849="","",INDEX(Staging!$K$2:$K$3001,$N849))</f>
      </c>
      <c r="K849">
        <f>IF($N849="","",INDEX(Staging!$M$2:$M$3001,$N849))</f>
      </c>
      <c r="L849">
        <f>IF($N849="","",INDEX(Staging!$O$2:$O$3001,$N849))</f>
      </c>
      <c r="M849">
        <f>IF($N849="","",INDEX(Staging!$P$2:$P$3001,$N849))</f>
      </c>
      <c r="N849">
        <f t="array" ref="N849">IFERROR(SMALL(IF(Staging!$E$2:$E$3001="MIPPL",ROW(Staging!$E$2:$E$3001)-ROW(Staging!$E$2)+1),848),"")</f>
      </c>
    </row>
    <row r="850" spans="1:14" x14ac:dyDescent="0.25">
      <c r="A850">
        <f>IF($N850="","",INDEX(Staging!$A$2:$A$3001,$N850))</f>
      </c>
      <c r="B850">
        <f>IF($N850="","",INDEX(Staging!$B$2:$B$3001,$N850))</f>
      </c>
      <c r="C850">
        <f>IF($N850="","",INDEX(Staging!$C$2:$C$3001,$N850))</f>
      </c>
      <c r="D850">
        <f>IF($N850="","",INDEX(Staging!$D$2:$D$3001,$N850))</f>
      </c>
      <c r="E850">
        <f>IF($N850="","",INDEX(Staging!$F$2:$F$3001,$N850))</f>
      </c>
      <c r="F850">
        <f>IF($N850="","",INDEX(Staging!$G$2:$G$3001,$N850))</f>
      </c>
      <c r="G850">
        <f>IF($N850="","",INDEX(Staging!$H$2:$H$3001,$N850))</f>
      </c>
      <c r="H850">
        <f>IF($N850="","",INDEX(Staging!$I$2:$I$3001,$N850))</f>
      </c>
      <c r="I850">
        <f>IF($N850="","",INDEX(Staging!$J$2:$J$3001,$N850))</f>
      </c>
      <c r="J850">
        <f>IF($N850="","",INDEX(Staging!$K$2:$K$3001,$N850))</f>
      </c>
      <c r="K850">
        <f>IF($N850="","",INDEX(Staging!$M$2:$M$3001,$N850))</f>
      </c>
      <c r="L850">
        <f>IF($N850="","",INDEX(Staging!$O$2:$O$3001,$N850))</f>
      </c>
      <c r="M850">
        <f>IF($N850="","",INDEX(Staging!$P$2:$P$3001,$N850))</f>
      </c>
      <c r="N850">
        <f t="array" ref="N850">IFERROR(SMALL(IF(Staging!$E$2:$E$3001="MIPPL",ROW(Staging!$E$2:$E$3001)-ROW(Staging!$E$2)+1),849),"")</f>
      </c>
    </row>
    <row r="851" spans="1:14" x14ac:dyDescent="0.25">
      <c r="A851">
        <f>IF($N851="","",INDEX(Staging!$A$2:$A$3001,$N851))</f>
      </c>
      <c r="B851">
        <f>IF($N851="","",INDEX(Staging!$B$2:$B$3001,$N851))</f>
      </c>
      <c r="C851">
        <f>IF($N851="","",INDEX(Staging!$C$2:$C$3001,$N851))</f>
      </c>
      <c r="D851">
        <f>IF($N851="","",INDEX(Staging!$D$2:$D$3001,$N851))</f>
      </c>
      <c r="E851">
        <f>IF($N851="","",INDEX(Staging!$F$2:$F$3001,$N851))</f>
      </c>
      <c r="F851">
        <f>IF($N851="","",INDEX(Staging!$G$2:$G$3001,$N851))</f>
      </c>
      <c r="G851">
        <f>IF($N851="","",INDEX(Staging!$H$2:$H$3001,$N851))</f>
      </c>
      <c r="H851">
        <f>IF($N851="","",INDEX(Staging!$I$2:$I$3001,$N851))</f>
      </c>
      <c r="I851">
        <f>IF($N851="","",INDEX(Staging!$J$2:$J$3001,$N851))</f>
      </c>
      <c r="J851">
        <f>IF($N851="","",INDEX(Staging!$K$2:$K$3001,$N851))</f>
      </c>
      <c r="K851">
        <f>IF($N851="","",INDEX(Staging!$M$2:$M$3001,$N851))</f>
      </c>
      <c r="L851">
        <f>IF($N851="","",INDEX(Staging!$O$2:$O$3001,$N851))</f>
      </c>
      <c r="M851">
        <f>IF($N851="","",INDEX(Staging!$P$2:$P$3001,$N851))</f>
      </c>
      <c r="N851">
        <f t="array" ref="N851">IFERROR(SMALL(IF(Staging!$E$2:$E$3001="MIPPL",ROW(Staging!$E$2:$E$3001)-ROW(Staging!$E$2)+1),850),"")</f>
      </c>
    </row>
    <row r="852" spans="1:14" x14ac:dyDescent="0.25">
      <c r="A852">
        <f>IF($N852="","",INDEX(Staging!$A$2:$A$3001,$N852))</f>
      </c>
      <c r="B852">
        <f>IF($N852="","",INDEX(Staging!$B$2:$B$3001,$N852))</f>
      </c>
      <c r="C852">
        <f>IF($N852="","",INDEX(Staging!$C$2:$C$3001,$N852))</f>
      </c>
      <c r="D852">
        <f>IF($N852="","",INDEX(Staging!$D$2:$D$3001,$N852))</f>
      </c>
      <c r="E852">
        <f>IF($N852="","",INDEX(Staging!$F$2:$F$3001,$N852))</f>
      </c>
      <c r="F852">
        <f>IF($N852="","",INDEX(Staging!$G$2:$G$3001,$N852))</f>
      </c>
      <c r="G852">
        <f>IF($N852="","",INDEX(Staging!$H$2:$H$3001,$N852))</f>
      </c>
      <c r="H852">
        <f>IF($N852="","",INDEX(Staging!$I$2:$I$3001,$N852))</f>
      </c>
      <c r="I852">
        <f>IF($N852="","",INDEX(Staging!$J$2:$J$3001,$N852))</f>
      </c>
      <c r="J852">
        <f>IF($N852="","",INDEX(Staging!$K$2:$K$3001,$N852))</f>
      </c>
      <c r="K852">
        <f>IF($N852="","",INDEX(Staging!$M$2:$M$3001,$N852))</f>
      </c>
      <c r="L852">
        <f>IF($N852="","",INDEX(Staging!$O$2:$O$3001,$N852))</f>
      </c>
      <c r="M852">
        <f>IF($N852="","",INDEX(Staging!$P$2:$P$3001,$N852))</f>
      </c>
      <c r="N852">
        <f t="array" ref="N852">IFERROR(SMALL(IF(Staging!$E$2:$E$3001="MIPPL",ROW(Staging!$E$2:$E$3001)-ROW(Staging!$E$2)+1),851),"")</f>
      </c>
    </row>
    <row r="853" spans="1:14" x14ac:dyDescent="0.25">
      <c r="A853">
        <f>IF($N853="","",INDEX(Staging!$A$2:$A$3001,$N853))</f>
      </c>
      <c r="B853">
        <f>IF($N853="","",INDEX(Staging!$B$2:$B$3001,$N853))</f>
      </c>
      <c r="C853">
        <f>IF($N853="","",INDEX(Staging!$C$2:$C$3001,$N853))</f>
      </c>
      <c r="D853">
        <f>IF($N853="","",INDEX(Staging!$D$2:$D$3001,$N853))</f>
      </c>
      <c r="E853">
        <f>IF($N853="","",INDEX(Staging!$F$2:$F$3001,$N853))</f>
      </c>
      <c r="F853">
        <f>IF($N853="","",INDEX(Staging!$G$2:$G$3001,$N853))</f>
      </c>
      <c r="G853">
        <f>IF($N853="","",INDEX(Staging!$H$2:$H$3001,$N853))</f>
      </c>
      <c r="H853">
        <f>IF($N853="","",INDEX(Staging!$I$2:$I$3001,$N853))</f>
      </c>
      <c r="I853">
        <f>IF($N853="","",INDEX(Staging!$J$2:$J$3001,$N853))</f>
      </c>
      <c r="J853">
        <f>IF($N853="","",INDEX(Staging!$K$2:$K$3001,$N853))</f>
      </c>
      <c r="K853">
        <f>IF($N853="","",INDEX(Staging!$M$2:$M$3001,$N853))</f>
      </c>
      <c r="L853">
        <f>IF($N853="","",INDEX(Staging!$O$2:$O$3001,$N853))</f>
      </c>
      <c r="M853">
        <f>IF($N853="","",INDEX(Staging!$P$2:$P$3001,$N853))</f>
      </c>
      <c r="N853">
        <f t="array" ref="N853">IFERROR(SMALL(IF(Staging!$E$2:$E$3001="MIPPL",ROW(Staging!$E$2:$E$3001)-ROW(Staging!$E$2)+1),852),"")</f>
      </c>
    </row>
    <row r="854" spans="1:14" x14ac:dyDescent="0.25">
      <c r="A854">
        <f>IF($N854="","",INDEX(Staging!$A$2:$A$3001,$N854))</f>
      </c>
      <c r="B854">
        <f>IF($N854="","",INDEX(Staging!$B$2:$B$3001,$N854))</f>
      </c>
      <c r="C854">
        <f>IF($N854="","",INDEX(Staging!$C$2:$C$3001,$N854))</f>
      </c>
      <c r="D854">
        <f>IF($N854="","",INDEX(Staging!$D$2:$D$3001,$N854))</f>
      </c>
      <c r="E854">
        <f>IF($N854="","",INDEX(Staging!$F$2:$F$3001,$N854))</f>
      </c>
      <c r="F854">
        <f>IF($N854="","",INDEX(Staging!$G$2:$G$3001,$N854))</f>
      </c>
      <c r="G854">
        <f>IF($N854="","",INDEX(Staging!$H$2:$H$3001,$N854))</f>
      </c>
      <c r="H854">
        <f>IF($N854="","",INDEX(Staging!$I$2:$I$3001,$N854))</f>
      </c>
      <c r="I854">
        <f>IF($N854="","",INDEX(Staging!$J$2:$J$3001,$N854))</f>
      </c>
      <c r="J854">
        <f>IF($N854="","",INDEX(Staging!$K$2:$K$3001,$N854))</f>
      </c>
      <c r="K854">
        <f>IF($N854="","",INDEX(Staging!$M$2:$M$3001,$N854))</f>
      </c>
      <c r="L854">
        <f>IF($N854="","",INDEX(Staging!$O$2:$O$3001,$N854))</f>
      </c>
      <c r="M854">
        <f>IF($N854="","",INDEX(Staging!$P$2:$P$3001,$N854))</f>
      </c>
      <c r="N854">
        <f t="array" ref="N854">IFERROR(SMALL(IF(Staging!$E$2:$E$3001="MIPPL",ROW(Staging!$E$2:$E$3001)-ROW(Staging!$E$2)+1),853),"")</f>
      </c>
    </row>
    <row r="855" spans="1:14" x14ac:dyDescent="0.25">
      <c r="A855">
        <f>IF($N855="","",INDEX(Staging!$A$2:$A$3001,$N855))</f>
      </c>
      <c r="B855">
        <f>IF($N855="","",INDEX(Staging!$B$2:$B$3001,$N855))</f>
      </c>
      <c r="C855">
        <f>IF($N855="","",INDEX(Staging!$C$2:$C$3001,$N855))</f>
      </c>
      <c r="D855">
        <f>IF($N855="","",INDEX(Staging!$D$2:$D$3001,$N855))</f>
      </c>
      <c r="E855">
        <f>IF($N855="","",INDEX(Staging!$F$2:$F$3001,$N855))</f>
      </c>
      <c r="F855">
        <f>IF($N855="","",INDEX(Staging!$G$2:$G$3001,$N855))</f>
      </c>
      <c r="G855">
        <f>IF($N855="","",INDEX(Staging!$H$2:$H$3001,$N855))</f>
      </c>
      <c r="H855">
        <f>IF($N855="","",INDEX(Staging!$I$2:$I$3001,$N855))</f>
      </c>
      <c r="I855">
        <f>IF($N855="","",INDEX(Staging!$J$2:$J$3001,$N855))</f>
      </c>
      <c r="J855">
        <f>IF($N855="","",INDEX(Staging!$K$2:$K$3001,$N855))</f>
      </c>
      <c r="K855">
        <f>IF($N855="","",INDEX(Staging!$M$2:$M$3001,$N855))</f>
      </c>
      <c r="L855">
        <f>IF($N855="","",INDEX(Staging!$O$2:$O$3001,$N855))</f>
      </c>
      <c r="M855">
        <f>IF($N855="","",INDEX(Staging!$P$2:$P$3001,$N855))</f>
      </c>
      <c r="N855">
        <f t="array" ref="N855">IFERROR(SMALL(IF(Staging!$E$2:$E$3001="MIPPL",ROW(Staging!$E$2:$E$3001)-ROW(Staging!$E$2)+1),854),"")</f>
      </c>
    </row>
    <row r="856" spans="1:14" x14ac:dyDescent="0.25">
      <c r="A856">
        <f>IF($N856="","",INDEX(Staging!$A$2:$A$3001,$N856))</f>
      </c>
      <c r="B856">
        <f>IF($N856="","",INDEX(Staging!$B$2:$B$3001,$N856))</f>
      </c>
      <c r="C856">
        <f>IF($N856="","",INDEX(Staging!$C$2:$C$3001,$N856))</f>
      </c>
      <c r="D856">
        <f>IF($N856="","",INDEX(Staging!$D$2:$D$3001,$N856))</f>
      </c>
      <c r="E856">
        <f>IF($N856="","",INDEX(Staging!$F$2:$F$3001,$N856))</f>
      </c>
      <c r="F856">
        <f>IF($N856="","",INDEX(Staging!$G$2:$G$3001,$N856))</f>
      </c>
      <c r="G856">
        <f>IF($N856="","",INDEX(Staging!$H$2:$H$3001,$N856))</f>
      </c>
      <c r="H856">
        <f>IF($N856="","",INDEX(Staging!$I$2:$I$3001,$N856))</f>
      </c>
      <c r="I856">
        <f>IF($N856="","",INDEX(Staging!$J$2:$J$3001,$N856))</f>
      </c>
      <c r="J856">
        <f>IF($N856="","",INDEX(Staging!$K$2:$K$3001,$N856))</f>
      </c>
      <c r="K856">
        <f>IF($N856="","",INDEX(Staging!$M$2:$M$3001,$N856))</f>
      </c>
      <c r="L856">
        <f>IF($N856="","",INDEX(Staging!$O$2:$O$3001,$N856))</f>
      </c>
      <c r="M856">
        <f>IF($N856="","",INDEX(Staging!$P$2:$P$3001,$N856))</f>
      </c>
      <c r="N856">
        <f t="array" ref="N856">IFERROR(SMALL(IF(Staging!$E$2:$E$3001="MIPPL",ROW(Staging!$E$2:$E$3001)-ROW(Staging!$E$2)+1),855),"")</f>
      </c>
    </row>
    <row r="857" spans="1:14" x14ac:dyDescent="0.25">
      <c r="A857">
        <f>IF($N857="","",INDEX(Staging!$A$2:$A$3001,$N857))</f>
      </c>
      <c r="B857">
        <f>IF($N857="","",INDEX(Staging!$B$2:$B$3001,$N857))</f>
      </c>
      <c r="C857">
        <f>IF($N857="","",INDEX(Staging!$C$2:$C$3001,$N857))</f>
      </c>
      <c r="D857">
        <f>IF($N857="","",INDEX(Staging!$D$2:$D$3001,$N857))</f>
      </c>
      <c r="E857">
        <f>IF($N857="","",INDEX(Staging!$F$2:$F$3001,$N857))</f>
      </c>
      <c r="F857">
        <f>IF($N857="","",INDEX(Staging!$G$2:$G$3001,$N857))</f>
      </c>
      <c r="G857">
        <f>IF($N857="","",INDEX(Staging!$H$2:$H$3001,$N857))</f>
      </c>
      <c r="H857">
        <f>IF($N857="","",INDEX(Staging!$I$2:$I$3001,$N857))</f>
      </c>
      <c r="I857">
        <f>IF($N857="","",INDEX(Staging!$J$2:$J$3001,$N857))</f>
      </c>
      <c r="J857">
        <f>IF($N857="","",INDEX(Staging!$K$2:$K$3001,$N857))</f>
      </c>
      <c r="K857">
        <f>IF($N857="","",INDEX(Staging!$M$2:$M$3001,$N857))</f>
      </c>
      <c r="L857">
        <f>IF($N857="","",INDEX(Staging!$O$2:$O$3001,$N857))</f>
      </c>
      <c r="M857">
        <f>IF($N857="","",INDEX(Staging!$P$2:$P$3001,$N857))</f>
      </c>
      <c r="N857">
        <f t="array" ref="N857">IFERROR(SMALL(IF(Staging!$E$2:$E$3001="MIPPL",ROW(Staging!$E$2:$E$3001)-ROW(Staging!$E$2)+1),856),"")</f>
      </c>
    </row>
    <row r="858" spans="1:14" x14ac:dyDescent="0.25">
      <c r="A858">
        <f>IF($N858="","",INDEX(Staging!$A$2:$A$3001,$N858))</f>
      </c>
      <c r="B858">
        <f>IF($N858="","",INDEX(Staging!$B$2:$B$3001,$N858))</f>
      </c>
      <c r="C858">
        <f>IF($N858="","",INDEX(Staging!$C$2:$C$3001,$N858))</f>
      </c>
      <c r="D858">
        <f>IF($N858="","",INDEX(Staging!$D$2:$D$3001,$N858))</f>
      </c>
      <c r="E858">
        <f>IF($N858="","",INDEX(Staging!$F$2:$F$3001,$N858))</f>
      </c>
      <c r="F858">
        <f>IF($N858="","",INDEX(Staging!$G$2:$G$3001,$N858))</f>
      </c>
      <c r="G858">
        <f>IF($N858="","",INDEX(Staging!$H$2:$H$3001,$N858))</f>
      </c>
      <c r="H858">
        <f>IF($N858="","",INDEX(Staging!$I$2:$I$3001,$N858))</f>
      </c>
      <c r="I858">
        <f>IF($N858="","",INDEX(Staging!$J$2:$J$3001,$N858))</f>
      </c>
      <c r="J858">
        <f>IF($N858="","",INDEX(Staging!$K$2:$K$3001,$N858))</f>
      </c>
      <c r="K858">
        <f>IF($N858="","",INDEX(Staging!$M$2:$M$3001,$N858))</f>
      </c>
      <c r="L858">
        <f>IF($N858="","",INDEX(Staging!$O$2:$O$3001,$N858))</f>
      </c>
      <c r="M858">
        <f>IF($N858="","",INDEX(Staging!$P$2:$P$3001,$N858))</f>
      </c>
      <c r="N858">
        <f t="array" ref="N858">IFERROR(SMALL(IF(Staging!$E$2:$E$3001="MIPPL",ROW(Staging!$E$2:$E$3001)-ROW(Staging!$E$2)+1),857),"")</f>
      </c>
    </row>
    <row r="859" spans="1:14" x14ac:dyDescent="0.25">
      <c r="A859">
        <f>IF($N859="","",INDEX(Staging!$A$2:$A$3001,$N859))</f>
      </c>
      <c r="B859">
        <f>IF($N859="","",INDEX(Staging!$B$2:$B$3001,$N859))</f>
      </c>
      <c r="C859">
        <f>IF($N859="","",INDEX(Staging!$C$2:$C$3001,$N859))</f>
      </c>
      <c r="D859">
        <f>IF($N859="","",INDEX(Staging!$D$2:$D$3001,$N859))</f>
      </c>
      <c r="E859">
        <f>IF($N859="","",INDEX(Staging!$F$2:$F$3001,$N859))</f>
      </c>
      <c r="F859">
        <f>IF($N859="","",INDEX(Staging!$G$2:$G$3001,$N859))</f>
      </c>
      <c r="G859">
        <f>IF($N859="","",INDEX(Staging!$H$2:$H$3001,$N859))</f>
      </c>
      <c r="H859">
        <f>IF($N859="","",INDEX(Staging!$I$2:$I$3001,$N859))</f>
      </c>
      <c r="I859">
        <f>IF($N859="","",INDEX(Staging!$J$2:$J$3001,$N859))</f>
      </c>
      <c r="J859">
        <f>IF($N859="","",INDEX(Staging!$K$2:$K$3001,$N859))</f>
      </c>
      <c r="K859">
        <f>IF($N859="","",INDEX(Staging!$M$2:$M$3001,$N859))</f>
      </c>
      <c r="L859">
        <f>IF($N859="","",INDEX(Staging!$O$2:$O$3001,$N859))</f>
      </c>
      <c r="M859">
        <f>IF($N859="","",INDEX(Staging!$P$2:$P$3001,$N859))</f>
      </c>
      <c r="N859">
        <f t="array" ref="N859">IFERROR(SMALL(IF(Staging!$E$2:$E$3001="MIPPL",ROW(Staging!$E$2:$E$3001)-ROW(Staging!$E$2)+1),858),"")</f>
      </c>
    </row>
    <row r="860" spans="1:14" x14ac:dyDescent="0.25">
      <c r="A860">
        <f>IF($N860="","",INDEX(Staging!$A$2:$A$3001,$N860))</f>
      </c>
      <c r="B860">
        <f>IF($N860="","",INDEX(Staging!$B$2:$B$3001,$N860))</f>
      </c>
      <c r="C860">
        <f>IF($N860="","",INDEX(Staging!$C$2:$C$3001,$N860))</f>
      </c>
      <c r="D860">
        <f>IF($N860="","",INDEX(Staging!$D$2:$D$3001,$N860))</f>
      </c>
      <c r="E860">
        <f>IF($N860="","",INDEX(Staging!$F$2:$F$3001,$N860))</f>
      </c>
      <c r="F860">
        <f>IF($N860="","",INDEX(Staging!$G$2:$G$3001,$N860))</f>
      </c>
      <c r="G860">
        <f>IF($N860="","",INDEX(Staging!$H$2:$H$3001,$N860))</f>
      </c>
      <c r="H860">
        <f>IF($N860="","",INDEX(Staging!$I$2:$I$3001,$N860))</f>
      </c>
      <c r="I860">
        <f>IF($N860="","",INDEX(Staging!$J$2:$J$3001,$N860))</f>
      </c>
      <c r="J860">
        <f>IF($N860="","",INDEX(Staging!$K$2:$K$3001,$N860))</f>
      </c>
      <c r="K860">
        <f>IF($N860="","",INDEX(Staging!$M$2:$M$3001,$N860))</f>
      </c>
      <c r="L860">
        <f>IF($N860="","",INDEX(Staging!$O$2:$O$3001,$N860))</f>
      </c>
      <c r="M860">
        <f>IF($N860="","",INDEX(Staging!$P$2:$P$3001,$N860))</f>
      </c>
      <c r="N860">
        <f t="array" ref="N860">IFERROR(SMALL(IF(Staging!$E$2:$E$3001="MIPPL",ROW(Staging!$E$2:$E$3001)-ROW(Staging!$E$2)+1),859),"")</f>
      </c>
    </row>
    <row r="861" spans="1:14" x14ac:dyDescent="0.25">
      <c r="A861">
        <f>IF($N861="","",INDEX(Staging!$A$2:$A$3001,$N861))</f>
      </c>
      <c r="B861">
        <f>IF($N861="","",INDEX(Staging!$B$2:$B$3001,$N861))</f>
      </c>
      <c r="C861">
        <f>IF($N861="","",INDEX(Staging!$C$2:$C$3001,$N861))</f>
      </c>
      <c r="D861">
        <f>IF($N861="","",INDEX(Staging!$D$2:$D$3001,$N861))</f>
      </c>
      <c r="E861">
        <f>IF($N861="","",INDEX(Staging!$F$2:$F$3001,$N861))</f>
      </c>
      <c r="F861">
        <f>IF($N861="","",INDEX(Staging!$G$2:$G$3001,$N861))</f>
      </c>
      <c r="G861">
        <f>IF($N861="","",INDEX(Staging!$H$2:$H$3001,$N861))</f>
      </c>
      <c r="H861">
        <f>IF($N861="","",INDEX(Staging!$I$2:$I$3001,$N861))</f>
      </c>
      <c r="I861">
        <f>IF($N861="","",INDEX(Staging!$J$2:$J$3001,$N861))</f>
      </c>
      <c r="J861">
        <f>IF($N861="","",INDEX(Staging!$K$2:$K$3001,$N861))</f>
      </c>
      <c r="K861">
        <f>IF($N861="","",INDEX(Staging!$M$2:$M$3001,$N861))</f>
      </c>
      <c r="L861">
        <f>IF($N861="","",INDEX(Staging!$O$2:$O$3001,$N861))</f>
      </c>
      <c r="M861">
        <f>IF($N861="","",INDEX(Staging!$P$2:$P$3001,$N861))</f>
      </c>
      <c r="N861">
        <f t="array" ref="N861">IFERROR(SMALL(IF(Staging!$E$2:$E$3001="MIPPL",ROW(Staging!$E$2:$E$3001)-ROW(Staging!$E$2)+1),860),"")</f>
      </c>
    </row>
    <row r="862" spans="1:14" x14ac:dyDescent="0.25">
      <c r="A862">
        <f>IF($N862="","",INDEX(Staging!$A$2:$A$3001,$N862))</f>
      </c>
      <c r="B862">
        <f>IF($N862="","",INDEX(Staging!$B$2:$B$3001,$N862))</f>
      </c>
      <c r="C862">
        <f>IF($N862="","",INDEX(Staging!$C$2:$C$3001,$N862))</f>
      </c>
      <c r="D862">
        <f>IF($N862="","",INDEX(Staging!$D$2:$D$3001,$N862))</f>
      </c>
      <c r="E862">
        <f>IF($N862="","",INDEX(Staging!$F$2:$F$3001,$N862))</f>
      </c>
      <c r="F862">
        <f>IF($N862="","",INDEX(Staging!$G$2:$G$3001,$N862))</f>
      </c>
      <c r="G862">
        <f>IF($N862="","",INDEX(Staging!$H$2:$H$3001,$N862))</f>
      </c>
      <c r="H862">
        <f>IF($N862="","",INDEX(Staging!$I$2:$I$3001,$N862))</f>
      </c>
      <c r="I862">
        <f>IF($N862="","",INDEX(Staging!$J$2:$J$3001,$N862))</f>
      </c>
      <c r="J862">
        <f>IF($N862="","",INDEX(Staging!$K$2:$K$3001,$N862))</f>
      </c>
      <c r="K862">
        <f>IF($N862="","",INDEX(Staging!$M$2:$M$3001,$N862))</f>
      </c>
      <c r="L862">
        <f>IF($N862="","",INDEX(Staging!$O$2:$O$3001,$N862))</f>
      </c>
      <c r="M862">
        <f>IF($N862="","",INDEX(Staging!$P$2:$P$3001,$N862))</f>
      </c>
      <c r="N862">
        <f t="array" ref="N862">IFERROR(SMALL(IF(Staging!$E$2:$E$3001="MIPPL",ROW(Staging!$E$2:$E$3001)-ROW(Staging!$E$2)+1),861),"")</f>
      </c>
    </row>
    <row r="863" spans="1:14" x14ac:dyDescent="0.25">
      <c r="A863">
        <f>IF($N863="","",INDEX(Staging!$A$2:$A$3001,$N863))</f>
      </c>
      <c r="B863">
        <f>IF($N863="","",INDEX(Staging!$B$2:$B$3001,$N863))</f>
      </c>
      <c r="C863">
        <f>IF($N863="","",INDEX(Staging!$C$2:$C$3001,$N863))</f>
      </c>
      <c r="D863">
        <f>IF($N863="","",INDEX(Staging!$D$2:$D$3001,$N863))</f>
      </c>
      <c r="E863">
        <f>IF($N863="","",INDEX(Staging!$F$2:$F$3001,$N863))</f>
      </c>
      <c r="F863">
        <f>IF($N863="","",INDEX(Staging!$G$2:$G$3001,$N863))</f>
      </c>
      <c r="G863">
        <f>IF($N863="","",INDEX(Staging!$H$2:$H$3001,$N863))</f>
      </c>
      <c r="H863">
        <f>IF($N863="","",INDEX(Staging!$I$2:$I$3001,$N863))</f>
      </c>
      <c r="I863">
        <f>IF($N863="","",INDEX(Staging!$J$2:$J$3001,$N863))</f>
      </c>
      <c r="J863">
        <f>IF($N863="","",INDEX(Staging!$K$2:$K$3001,$N863))</f>
      </c>
      <c r="K863">
        <f>IF($N863="","",INDEX(Staging!$M$2:$M$3001,$N863))</f>
      </c>
      <c r="L863">
        <f>IF($N863="","",INDEX(Staging!$O$2:$O$3001,$N863))</f>
      </c>
      <c r="M863">
        <f>IF($N863="","",INDEX(Staging!$P$2:$P$3001,$N863))</f>
      </c>
      <c r="N863">
        <f t="array" ref="N863">IFERROR(SMALL(IF(Staging!$E$2:$E$3001="MIPPL",ROW(Staging!$E$2:$E$3001)-ROW(Staging!$E$2)+1),862),"")</f>
      </c>
    </row>
    <row r="864" spans="1:14" x14ac:dyDescent="0.25">
      <c r="A864">
        <f>IF($N864="","",INDEX(Staging!$A$2:$A$3001,$N864))</f>
      </c>
      <c r="B864">
        <f>IF($N864="","",INDEX(Staging!$B$2:$B$3001,$N864))</f>
      </c>
      <c r="C864">
        <f>IF($N864="","",INDEX(Staging!$C$2:$C$3001,$N864))</f>
      </c>
      <c r="D864">
        <f>IF($N864="","",INDEX(Staging!$D$2:$D$3001,$N864))</f>
      </c>
      <c r="E864">
        <f>IF($N864="","",INDEX(Staging!$F$2:$F$3001,$N864))</f>
      </c>
      <c r="F864">
        <f>IF($N864="","",INDEX(Staging!$G$2:$G$3001,$N864))</f>
      </c>
      <c r="G864">
        <f>IF($N864="","",INDEX(Staging!$H$2:$H$3001,$N864))</f>
      </c>
      <c r="H864">
        <f>IF($N864="","",INDEX(Staging!$I$2:$I$3001,$N864))</f>
      </c>
      <c r="I864">
        <f>IF($N864="","",INDEX(Staging!$J$2:$J$3001,$N864))</f>
      </c>
      <c r="J864">
        <f>IF($N864="","",INDEX(Staging!$K$2:$K$3001,$N864))</f>
      </c>
      <c r="K864">
        <f>IF($N864="","",INDEX(Staging!$M$2:$M$3001,$N864))</f>
      </c>
      <c r="L864">
        <f>IF($N864="","",INDEX(Staging!$O$2:$O$3001,$N864))</f>
      </c>
      <c r="M864">
        <f>IF($N864="","",INDEX(Staging!$P$2:$P$3001,$N864))</f>
      </c>
      <c r="N864">
        <f t="array" ref="N864">IFERROR(SMALL(IF(Staging!$E$2:$E$3001="MIPPL",ROW(Staging!$E$2:$E$3001)-ROW(Staging!$E$2)+1),863),"")</f>
      </c>
    </row>
    <row r="865" spans="1:14" x14ac:dyDescent="0.25">
      <c r="A865">
        <f>IF($N865="","",INDEX(Staging!$A$2:$A$3001,$N865))</f>
      </c>
      <c r="B865">
        <f>IF($N865="","",INDEX(Staging!$B$2:$B$3001,$N865))</f>
      </c>
      <c r="C865">
        <f>IF($N865="","",INDEX(Staging!$C$2:$C$3001,$N865))</f>
      </c>
      <c r="D865">
        <f>IF($N865="","",INDEX(Staging!$D$2:$D$3001,$N865))</f>
      </c>
      <c r="E865">
        <f>IF($N865="","",INDEX(Staging!$F$2:$F$3001,$N865))</f>
      </c>
      <c r="F865">
        <f>IF($N865="","",INDEX(Staging!$G$2:$G$3001,$N865))</f>
      </c>
      <c r="G865">
        <f>IF($N865="","",INDEX(Staging!$H$2:$H$3001,$N865))</f>
      </c>
      <c r="H865">
        <f>IF($N865="","",INDEX(Staging!$I$2:$I$3001,$N865))</f>
      </c>
      <c r="I865">
        <f>IF($N865="","",INDEX(Staging!$J$2:$J$3001,$N865))</f>
      </c>
      <c r="J865">
        <f>IF($N865="","",INDEX(Staging!$K$2:$K$3001,$N865))</f>
      </c>
      <c r="K865">
        <f>IF($N865="","",INDEX(Staging!$M$2:$M$3001,$N865))</f>
      </c>
      <c r="L865">
        <f>IF($N865="","",INDEX(Staging!$O$2:$O$3001,$N865))</f>
      </c>
      <c r="M865">
        <f>IF($N865="","",INDEX(Staging!$P$2:$P$3001,$N865))</f>
      </c>
      <c r="N865">
        <f t="array" ref="N865">IFERROR(SMALL(IF(Staging!$E$2:$E$3001="MIPPL",ROW(Staging!$E$2:$E$3001)-ROW(Staging!$E$2)+1),864),"")</f>
      </c>
    </row>
    <row r="866" spans="1:14" x14ac:dyDescent="0.25">
      <c r="A866">
        <f>IF($N866="","",INDEX(Staging!$A$2:$A$3001,$N866))</f>
      </c>
      <c r="B866">
        <f>IF($N866="","",INDEX(Staging!$B$2:$B$3001,$N866))</f>
      </c>
      <c r="C866">
        <f>IF($N866="","",INDEX(Staging!$C$2:$C$3001,$N866))</f>
      </c>
      <c r="D866">
        <f>IF($N866="","",INDEX(Staging!$D$2:$D$3001,$N866))</f>
      </c>
      <c r="E866">
        <f>IF($N866="","",INDEX(Staging!$F$2:$F$3001,$N866))</f>
      </c>
      <c r="F866">
        <f>IF($N866="","",INDEX(Staging!$G$2:$G$3001,$N866))</f>
      </c>
      <c r="G866">
        <f>IF($N866="","",INDEX(Staging!$H$2:$H$3001,$N866))</f>
      </c>
      <c r="H866">
        <f>IF($N866="","",INDEX(Staging!$I$2:$I$3001,$N866))</f>
      </c>
      <c r="I866">
        <f>IF($N866="","",INDEX(Staging!$J$2:$J$3001,$N866))</f>
      </c>
      <c r="J866">
        <f>IF($N866="","",INDEX(Staging!$K$2:$K$3001,$N866))</f>
      </c>
      <c r="K866">
        <f>IF($N866="","",INDEX(Staging!$M$2:$M$3001,$N866))</f>
      </c>
      <c r="L866">
        <f>IF($N866="","",INDEX(Staging!$O$2:$O$3001,$N866))</f>
      </c>
      <c r="M866">
        <f>IF($N866="","",INDEX(Staging!$P$2:$P$3001,$N866))</f>
      </c>
      <c r="N866">
        <f t="array" ref="N866">IFERROR(SMALL(IF(Staging!$E$2:$E$3001="MIPPL",ROW(Staging!$E$2:$E$3001)-ROW(Staging!$E$2)+1),865),"")</f>
      </c>
    </row>
    <row r="867" spans="1:14" x14ac:dyDescent="0.25">
      <c r="A867">
        <f>IF($N867="","",INDEX(Staging!$A$2:$A$3001,$N867))</f>
      </c>
      <c r="B867">
        <f>IF($N867="","",INDEX(Staging!$B$2:$B$3001,$N867))</f>
      </c>
      <c r="C867">
        <f>IF($N867="","",INDEX(Staging!$C$2:$C$3001,$N867))</f>
      </c>
      <c r="D867">
        <f>IF($N867="","",INDEX(Staging!$D$2:$D$3001,$N867))</f>
      </c>
      <c r="E867">
        <f>IF($N867="","",INDEX(Staging!$F$2:$F$3001,$N867))</f>
      </c>
      <c r="F867">
        <f>IF($N867="","",INDEX(Staging!$G$2:$G$3001,$N867))</f>
      </c>
      <c r="G867">
        <f>IF($N867="","",INDEX(Staging!$H$2:$H$3001,$N867))</f>
      </c>
      <c r="H867">
        <f>IF($N867="","",INDEX(Staging!$I$2:$I$3001,$N867))</f>
      </c>
      <c r="I867">
        <f>IF($N867="","",INDEX(Staging!$J$2:$J$3001,$N867))</f>
      </c>
      <c r="J867">
        <f>IF($N867="","",INDEX(Staging!$K$2:$K$3001,$N867))</f>
      </c>
      <c r="K867">
        <f>IF($N867="","",INDEX(Staging!$M$2:$M$3001,$N867))</f>
      </c>
      <c r="L867">
        <f>IF($N867="","",INDEX(Staging!$O$2:$O$3001,$N867))</f>
      </c>
      <c r="M867">
        <f>IF($N867="","",INDEX(Staging!$P$2:$P$3001,$N867))</f>
      </c>
      <c r="N867">
        <f t="array" ref="N867">IFERROR(SMALL(IF(Staging!$E$2:$E$3001="MIPPL",ROW(Staging!$E$2:$E$3001)-ROW(Staging!$E$2)+1),866),"")</f>
      </c>
    </row>
    <row r="868" spans="1:14" x14ac:dyDescent="0.25">
      <c r="A868">
        <f>IF($N868="","",INDEX(Staging!$A$2:$A$3001,$N868))</f>
      </c>
      <c r="B868">
        <f>IF($N868="","",INDEX(Staging!$B$2:$B$3001,$N868))</f>
      </c>
      <c r="C868">
        <f>IF($N868="","",INDEX(Staging!$C$2:$C$3001,$N868))</f>
      </c>
      <c r="D868">
        <f>IF($N868="","",INDEX(Staging!$D$2:$D$3001,$N868))</f>
      </c>
      <c r="E868">
        <f>IF($N868="","",INDEX(Staging!$F$2:$F$3001,$N868))</f>
      </c>
      <c r="F868">
        <f>IF($N868="","",INDEX(Staging!$G$2:$G$3001,$N868))</f>
      </c>
      <c r="G868">
        <f>IF($N868="","",INDEX(Staging!$H$2:$H$3001,$N868))</f>
      </c>
      <c r="H868">
        <f>IF($N868="","",INDEX(Staging!$I$2:$I$3001,$N868))</f>
      </c>
      <c r="I868">
        <f>IF($N868="","",INDEX(Staging!$J$2:$J$3001,$N868))</f>
      </c>
      <c r="J868">
        <f>IF($N868="","",INDEX(Staging!$K$2:$K$3001,$N868))</f>
      </c>
      <c r="K868">
        <f>IF($N868="","",INDEX(Staging!$M$2:$M$3001,$N868))</f>
      </c>
      <c r="L868">
        <f>IF($N868="","",INDEX(Staging!$O$2:$O$3001,$N868))</f>
      </c>
      <c r="M868">
        <f>IF($N868="","",INDEX(Staging!$P$2:$P$3001,$N868))</f>
      </c>
      <c r="N868">
        <f t="array" ref="N868">IFERROR(SMALL(IF(Staging!$E$2:$E$3001="MIPPL",ROW(Staging!$E$2:$E$3001)-ROW(Staging!$E$2)+1),867),"")</f>
      </c>
    </row>
    <row r="869" spans="1:14" x14ac:dyDescent="0.25">
      <c r="A869">
        <f>IF($N869="","",INDEX(Staging!$A$2:$A$3001,$N869))</f>
      </c>
      <c r="B869">
        <f>IF($N869="","",INDEX(Staging!$B$2:$B$3001,$N869))</f>
      </c>
      <c r="C869">
        <f>IF($N869="","",INDEX(Staging!$C$2:$C$3001,$N869))</f>
      </c>
      <c r="D869">
        <f>IF($N869="","",INDEX(Staging!$D$2:$D$3001,$N869))</f>
      </c>
      <c r="E869">
        <f>IF($N869="","",INDEX(Staging!$F$2:$F$3001,$N869))</f>
      </c>
      <c r="F869">
        <f>IF($N869="","",INDEX(Staging!$G$2:$G$3001,$N869))</f>
      </c>
      <c r="G869">
        <f>IF($N869="","",INDEX(Staging!$H$2:$H$3001,$N869))</f>
      </c>
      <c r="H869">
        <f>IF($N869="","",INDEX(Staging!$I$2:$I$3001,$N869))</f>
      </c>
      <c r="I869">
        <f>IF($N869="","",INDEX(Staging!$J$2:$J$3001,$N869))</f>
      </c>
      <c r="J869">
        <f>IF($N869="","",INDEX(Staging!$K$2:$K$3001,$N869))</f>
      </c>
      <c r="K869">
        <f>IF($N869="","",INDEX(Staging!$M$2:$M$3001,$N869))</f>
      </c>
      <c r="L869">
        <f>IF($N869="","",INDEX(Staging!$O$2:$O$3001,$N869))</f>
      </c>
      <c r="M869">
        <f>IF($N869="","",INDEX(Staging!$P$2:$P$3001,$N869))</f>
      </c>
      <c r="N869">
        <f t="array" ref="N869">IFERROR(SMALL(IF(Staging!$E$2:$E$3001="MIPPL",ROW(Staging!$E$2:$E$3001)-ROW(Staging!$E$2)+1),868),"")</f>
      </c>
    </row>
    <row r="870" spans="1:14" x14ac:dyDescent="0.25">
      <c r="A870">
        <f>IF($N870="","",INDEX(Staging!$A$2:$A$3001,$N870))</f>
      </c>
      <c r="B870">
        <f>IF($N870="","",INDEX(Staging!$B$2:$B$3001,$N870))</f>
      </c>
      <c r="C870">
        <f>IF($N870="","",INDEX(Staging!$C$2:$C$3001,$N870))</f>
      </c>
      <c r="D870">
        <f>IF($N870="","",INDEX(Staging!$D$2:$D$3001,$N870))</f>
      </c>
      <c r="E870">
        <f>IF($N870="","",INDEX(Staging!$F$2:$F$3001,$N870))</f>
      </c>
      <c r="F870">
        <f>IF($N870="","",INDEX(Staging!$G$2:$G$3001,$N870))</f>
      </c>
      <c r="G870">
        <f>IF($N870="","",INDEX(Staging!$H$2:$H$3001,$N870))</f>
      </c>
      <c r="H870">
        <f>IF($N870="","",INDEX(Staging!$I$2:$I$3001,$N870))</f>
      </c>
      <c r="I870">
        <f>IF($N870="","",INDEX(Staging!$J$2:$J$3001,$N870))</f>
      </c>
      <c r="J870">
        <f>IF($N870="","",INDEX(Staging!$K$2:$K$3001,$N870))</f>
      </c>
      <c r="K870">
        <f>IF($N870="","",INDEX(Staging!$M$2:$M$3001,$N870))</f>
      </c>
      <c r="L870">
        <f>IF($N870="","",INDEX(Staging!$O$2:$O$3001,$N870))</f>
      </c>
      <c r="M870">
        <f>IF($N870="","",INDEX(Staging!$P$2:$P$3001,$N870))</f>
      </c>
      <c r="N870">
        <f t="array" ref="N870">IFERROR(SMALL(IF(Staging!$E$2:$E$3001="MIPPL",ROW(Staging!$E$2:$E$3001)-ROW(Staging!$E$2)+1),869),"")</f>
      </c>
    </row>
    <row r="871" spans="1:14" x14ac:dyDescent="0.25">
      <c r="A871">
        <f>IF($N871="","",INDEX(Staging!$A$2:$A$3001,$N871))</f>
      </c>
      <c r="B871">
        <f>IF($N871="","",INDEX(Staging!$B$2:$B$3001,$N871))</f>
      </c>
      <c r="C871">
        <f>IF($N871="","",INDEX(Staging!$C$2:$C$3001,$N871))</f>
      </c>
      <c r="D871">
        <f>IF($N871="","",INDEX(Staging!$D$2:$D$3001,$N871))</f>
      </c>
      <c r="E871">
        <f>IF($N871="","",INDEX(Staging!$F$2:$F$3001,$N871))</f>
      </c>
      <c r="F871">
        <f>IF($N871="","",INDEX(Staging!$G$2:$G$3001,$N871))</f>
      </c>
      <c r="G871">
        <f>IF($N871="","",INDEX(Staging!$H$2:$H$3001,$N871))</f>
      </c>
      <c r="H871">
        <f>IF($N871="","",INDEX(Staging!$I$2:$I$3001,$N871))</f>
      </c>
      <c r="I871">
        <f>IF($N871="","",INDEX(Staging!$J$2:$J$3001,$N871))</f>
      </c>
      <c r="J871">
        <f>IF($N871="","",INDEX(Staging!$K$2:$K$3001,$N871))</f>
      </c>
      <c r="K871">
        <f>IF($N871="","",INDEX(Staging!$M$2:$M$3001,$N871))</f>
      </c>
      <c r="L871">
        <f>IF($N871="","",INDEX(Staging!$O$2:$O$3001,$N871))</f>
      </c>
      <c r="M871">
        <f>IF($N871="","",INDEX(Staging!$P$2:$P$3001,$N871))</f>
      </c>
      <c r="N871">
        <f t="array" ref="N871">IFERROR(SMALL(IF(Staging!$E$2:$E$3001="MIPPL",ROW(Staging!$E$2:$E$3001)-ROW(Staging!$E$2)+1),870),"")</f>
      </c>
    </row>
    <row r="872" spans="1:14" x14ac:dyDescent="0.25">
      <c r="A872">
        <f>IF($N872="","",INDEX(Staging!$A$2:$A$3001,$N872))</f>
      </c>
      <c r="B872">
        <f>IF($N872="","",INDEX(Staging!$B$2:$B$3001,$N872))</f>
      </c>
      <c r="C872">
        <f>IF($N872="","",INDEX(Staging!$C$2:$C$3001,$N872))</f>
      </c>
      <c r="D872">
        <f>IF($N872="","",INDEX(Staging!$D$2:$D$3001,$N872))</f>
      </c>
      <c r="E872">
        <f>IF($N872="","",INDEX(Staging!$F$2:$F$3001,$N872))</f>
      </c>
      <c r="F872">
        <f>IF($N872="","",INDEX(Staging!$G$2:$G$3001,$N872))</f>
      </c>
      <c r="G872">
        <f>IF($N872="","",INDEX(Staging!$H$2:$H$3001,$N872))</f>
      </c>
      <c r="H872">
        <f>IF($N872="","",INDEX(Staging!$I$2:$I$3001,$N872))</f>
      </c>
      <c r="I872">
        <f>IF($N872="","",INDEX(Staging!$J$2:$J$3001,$N872))</f>
      </c>
      <c r="J872">
        <f>IF($N872="","",INDEX(Staging!$K$2:$K$3001,$N872))</f>
      </c>
      <c r="K872">
        <f>IF($N872="","",INDEX(Staging!$M$2:$M$3001,$N872))</f>
      </c>
      <c r="L872">
        <f>IF($N872="","",INDEX(Staging!$O$2:$O$3001,$N872))</f>
      </c>
      <c r="M872">
        <f>IF($N872="","",INDEX(Staging!$P$2:$P$3001,$N872))</f>
      </c>
      <c r="N872">
        <f t="array" ref="N872">IFERROR(SMALL(IF(Staging!$E$2:$E$3001="MIPPL",ROW(Staging!$E$2:$E$3001)-ROW(Staging!$E$2)+1),871),"")</f>
      </c>
    </row>
    <row r="873" spans="1:14" x14ac:dyDescent="0.25">
      <c r="A873">
        <f>IF($N873="","",INDEX(Staging!$A$2:$A$3001,$N873))</f>
      </c>
      <c r="B873">
        <f>IF($N873="","",INDEX(Staging!$B$2:$B$3001,$N873))</f>
      </c>
      <c r="C873">
        <f>IF($N873="","",INDEX(Staging!$C$2:$C$3001,$N873))</f>
      </c>
      <c r="D873">
        <f>IF($N873="","",INDEX(Staging!$D$2:$D$3001,$N873))</f>
      </c>
      <c r="E873">
        <f>IF($N873="","",INDEX(Staging!$F$2:$F$3001,$N873))</f>
      </c>
      <c r="F873">
        <f>IF($N873="","",INDEX(Staging!$G$2:$G$3001,$N873))</f>
      </c>
      <c r="G873">
        <f>IF($N873="","",INDEX(Staging!$H$2:$H$3001,$N873))</f>
      </c>
      <c r="H873">
        <f>IF($N873="","",INDEX(Staging!$I$2:$I$3001,$N873))</f>
      </c>
      <c r="I873">
        <f>IF($N873="","",INDEX(Staging!$J$2:$J$3001,$N873))</f>
      </c>
      <c r="J873">
        <f>IF($N873="","",INDEX(Staging!$K$2:$K$3001,$N873))</f>
      </c>
      <c r="K873">
        <f>IF($N873="","",INDEX(Staging!$M$2:$M$3001,$N873))</f>
      </c>
      <c r="L873">
        <f>IF($N873="","",INDEX(Staging!$O$2:$O$3001,$N873))</f>
      </c>
      <c r="M873">
        <f>IF($N873="","",INDEX(Staging!$P$2:$P$3001,$N873))</f>
      </c>
      <c r="N873">
        <f t="array" ref="N873">IFERROR(SMALL(IF(Staging!$E$2:$E$3001="MIPPL",ROW(Staging!$E$2:$E$3001)-ROW(Staging!$E$2)+1),872),"")</f>
      </c>
    </row>
    <row r="874" spans="1:14" x14ac:dyDescent="0.25">
      <c r="A874">
        <f>IF($N874="","",INDEX(Staging!$A$2:$A$3001,$N874))</f>
      </c>
      <c r="B874">
        <f>IF($N874="","",INDEX(Staging!$B$2:$B$3001,$N874))</f>
      </c>
      <c r="C874">
        <f>IF($N874="","",INDEX(Staging!$C$2:$C$3001,$N874))</f>
      </c>
      <c r="D874">
        <f>IF($N874="","",INDEX(Staging!$D$2:$D$3001,$N874))</f>
      </c>
      <c r="E874">
        <f>IF($N874="","",INDEX(Staging!$F$2:$F$3001,$N874))</f>
      </c>
      <c r="F874">
        <f>IF($N874="","",INDEX(Staging!$G$2:$G$3001,$N874))</f>
      </c>
      <c r="G874">
        <f>IF($N874="","",INDEX(Staging!$H$2:$H$3001,$N874))</f>
      </c>
      <c r="H874">
        <f>IF($N874="","",INDEX(Staging!$I$2:$I$3001,$N874))</f>
      </c>
      <c r="I874">
        <f>IF($N874="","",INDEX(Staging!$J$2:$J$3001,$N874))</f>
      </c>
      <c r="J874">
        <f>IF($N874="","",INDEX(Staging!$K$2:$K$3001,$N874))</f>
      </c>
      <c r="K874">
        <f>IF($N874="","",INDEX(Staging!$M$2:$M$3001,$N874))</f>
      </c>
      <c r="L874">
        <f>IF($N874="","",INDEX(Staging!$O$2:$O$3001,$N874))</f>
      </c>
      <c r="M874">
        <f>IF($N874="","",INDEX(Staging!$P$2:$P$3001,$N874))</f>
      </c>
      <c r="N874">
        <f t="array" ref="N874">IFERROR(SMALL(IF(Staging!$E$2:$E$3001="MIPPL",ROW(Staging!$E$2:$E$3001)-ROW(Staging!$E$2)+1),873),"")</f>
      </c>
    </row>
    <row r="875" spans="1:14" x14ac:dyDescent="0.25">
      <c r="A875">
        <f>IF($N875="","",INDEX(Staging!$A$2:$A$3001,$N875))</f>
      </c>
      <c r="B875">
        <f>IF($N875="","",INDEX(Staging!$B$2:$B$3001,$N875))</f>
      </c>
      <c r="C875">
        <f>IF($N875="","",INDEX(Staging!$C$2:$C$3001,$N875))</f>
      </c>
      <c r="D875">
        <f>IF($N875="","",INDEX(Staging!$D$2:$D$3001,$N875))</f>
      </c>
      <c r="E875">
        <f>IF($N875="","",INDEX(Staging!$F$2:$F$3001,$N875))</f>
      </c>
      <c r="F875">
        <f>IF($N875="","",INDEX(Staging!$G$2:$G$3001,$N875))</f>
      </c>
      <c r="G875">
        <f>IF($N875="","",INDEX(Staging!$H$2:$H$3001,$N875))</f>
      </c>
      <c r="H875">
        <f>IF($N875="","",INDEX(Staging!$I$2:$I$3001,$N875))</f>
      </c>
      <c r="I875">
        <f>IF($N875="","",INDEX(Staging!$J$2:$J$3001,$N875))</f>
      </c>
      <c r="J875">
        <f>IF($N875="","",INDEX(Staging!$K$2:$K$3001,$N875))</f>
      </c>
      <c r="K875">
        <f>IF($N875="","",INDEX(Staging!$M$2:$M$3001,$N875))</f>
      </c>
      <c r="L875">
        <f>IF($N875="","",INDEX(Staging!$O$2:$O$3001,$N875))</f>
      </c>
      <c r="M875">
        <f>IF($N875="","",INDEX(Staging!$P$2:$P$3001,$N875))</f>
      </c>
      <c r="N875">
        <f t="array" ref="N875">IFERROR(SMALL(IF(Staging!$E$2:$E$3001="MIPPL",ROW(Staging!$E$2:$E$3001)-ROW(Staging!$E$2)+1),874),"")</f>
      </c>
    </row>
    <row r="876" spans="1:14" x14ac:dyDescent="0.25">
      <c r="A876">
        <f>IF($N876="","",INDEX(Staging!$A$2:$A$3001,$N876))</f>
      </c>
      <c r="B876">
        <f>IF($N876="","",INDEX(Staging!$B$2:$B$3001,$N876))</f>
      </c>
      <c r="C876">
        <f>IF($N876="","",INDEX(Staging!$C$2:$C$3001,$N876))</f>
      </c>
      <c r="D876">
        <f>IF($N876="","",INDEX(Staging!$D$2:$D$3001,$N876))</f>
      </c>
      <c r="E876">
        <f>IF($N876="","",INDEX(Staging!$F$2:$F$3001,$N876))</f>
      </c>
      <c r="F876">
        <f>IF($N876="","",INDEX(Staging!$G$2:$G$3001,$N876))</f>
      </c>
      <c r="G876">
        <f>IF($N876="","",INDEX(Staging!$H$2:$H$3001,$N876))</f>
      </c>
      <c r="H876">
        <f>IF($N876="","",INDEX(Staging!$I$2:$I$3001,$N876))</f>
      </c>
      <c r="I876">
        <f>IF($N876="","",INDEX(Staging!$J$2:$J$3001,$N876))</f>
      </c>
      <c r="J876">
        <f>IF($N876="","",INDEX(Staging!$K$2:$K$3001,$N876))</f>
      </c>
      <c r="K876">
        <f>IF($N876="","",INDEX(Staging!$M$2:$M$3001,$N876))</f>
      </c>
      <c r="L876">
        <f>IF($N876="","",INDEX(Staging!$O$2:$O$3001,$N876))</f>
      </c>
      <c r="M876">
        <f>IF($N876="","",INDEX(Staging!$P$2:$P$3001,$N876))</f>
      </c>
      <c r="N876">
        <f t="array" ref="N876">IFERROR(SMALL(IF(Staging!$E$2:$E$3001="MIPPL",ROW(Staging!$E$2:$E$3001)-ROW(Staging!$E$2)+1),875),"")</f>
      </c>
    </row>
    <row r="877" spans="1:14" x14ac:dyDescent="0.25">
      <c r="A877">
        <f>IF($N877="","",INDEX(Staging!$A$2:$A$3001,$N877))</f>
      </c>
      <c r="B877">
        <f>IF($N877="","",INDEX(Staging!$B$2:$B$3001,$N877))</f>
      </c>
      <c r="C877">
        <f>IF($N877="","",INDEX(Staging!$C$2:$C$3001,$N877))</f>
      </c>
      <c r="D877">
        <f>IF($N877="","",INDEX(Staging!$D$2:$D$3001,$N877))</f>
      </c>
      <c r="E877">
        <f>IF($N877="","",INDEX(Staging!$F$2:$F$3001,$N877))</f>
      </c>
      <c r="F877">
        <f>IF($N877="","",INDEX(Staging!$G$2:$G$3001,$N877))</f>
      </c>
      <c r="G877">
        <f>IF($N877="","",INDEX(Staging!$H$2:$H$3001,$N877))</f>
      </c>
      <c r="H877">
        <f>IF($N877="","",INDEX(Staging!$I$2:$I$3001,$N877))</f>
      </c>
      <c r="I877">
        <f>IF($N877="","",INDEX(Staging!$J$2:$J$3001,$N877))</f>
      </c>
      <c r="J877">
        <f>IF($N877="","",INDEX(Staging!$K$2:$K$3001,$N877))</f>
      </c>
      <c r="K877">
        <f>IF($N877="","",INDEX(Staging!$M$2:$M$3001,$N877))</f>
      </c>
      <c r="L877">
        <f>IF($N877="","",INDEX(Staging!$O$2:$O$3001,$N877))</f>
      </c>
      <c r="M877">
        <f>IF($N877="","",INDEX(Staging!$P$2:$P$3001,$N877))</f>
      </c>
      <c r="N877">
        <f t="array" ref="N877">IFERROR(SMALL(IF(Staging!$E$2:$E$3001="MIPPL",ROW(Staging!$E$2:$E$3001)-ROW(Staging!$E$2)+1),876),"")</f>
      </c>
    </row>
    <row r="878" spans="1:14" x14ac:dyDescent="0.25">
      <c r="A878">
        <f>IF($N878="","",INDEX(Staging!$A$2:$A$3001,$N878))</f>
      </c>
      <c r="B878">
        <f>IF($N878="","",INDEX(Staging!$B$2:$B$3001,$N878))</f>
      </c>
      <c r="C878">
        <f>IF($N878="","",INDEX(Staging!$C$2:$C$3001,$N878))</f>
      </c>
      <c r="D878">
        <f>IF($N878="","",INDEX(Staging!$D$2:$D$3001,$N878))</f>
      </c>
      <c r="E878">
        <f>IF($N878="","",INDEX(Staging!$F$2:$F$3001,$N878))</f>
      </c>
      <c r="F878">
        <f>IF($N878="","",INDEX(Staging!$G$2:$G$3001,$N878))</f>
      </c>
      <c r="G878">
        <f>IF($N878="","",INDEX(Staging!$H$2:$H$3001,$N878))</f>
      </c>
      <c r="H878">
        <f>IF($N878="","",INDEX(Staging!$I$2:$I$3001,$N878))</f>
      </c>
      <c r="I878">
        <f>IF($N878="","",INDEX(Staging!$J$2:$J$3001,$N878))</f>
      </c>
      <c r="J878">
        <f>IF($N878="","",INDEX(Staging!$K$2:$K$3001,$N878))</f>
      </c>
      <c r="K878">
        <f>IF($N878="","",INDEX(Staging!$M$2:$M$3001,$N878))</f>
      </c>
      <c r="L878">
        <f>IF($N878="","",INDEX(Staging!$O$2:$O$3001,$N878))</f>
      </c>
      <c r="M878">
        <f>IF($N878="","",INDEX(Staging!$P$2:$P$3001,$N878))</f>
      </c>
      <c r="N878">
        <f t="array" ref="N878">IFERROR(SMALL(IF(Staging!$E$2:$E$3001="MIPPL",ROW(Staging!$E$2:$E$3001)-ROW(Staging!$E$2)+1),877),"")</f>
      </c>
    </row>
    <row r="879" spans="1:14" x14ac:dyDescent="0.25">
      <c r="A879">
        <f>IF($N879="","",INDEX(Staging!$A$2:$A$3001,$N879))</f>
      </c>
      <c r="B879">
        <f>IF($N879="","",INDEX(Staging!$B$2:$B$3001,$N879))</f>
      </c>
      <c r="C879">
        <f>IF($N879="","",INDEX(Staging!$C$2:$C$3001,$N879))</f>
      </c>
      <c r="D879">
        <f>IF($N879="","",INDEX(Staging!$D$2:$D$3001,$N879))</f>
      </c>
      <c r="E879">
        <f>IF($N879="","",INDEX(Staging!$F$2:$F$3001,$N879))</f>
      </c>
      <c r="F879">
        <f>IF($N879="","",INDEX(Staging!$G$2:$G$3001,$N879))</f>
      </c>
      <c r="G879">
        <f>IF($N879="","",INDEX(Staging!$H$2:$H$3001,$N879))</f>
      </c>
      <c r="H879">
        <f>IF($N879="","",INDEX(Staging!$I$2:$I$3001,$N879))</f>
      </c>
      <c r="I879">
        <f>IF($N879="","",INDEX(Staging!$J$2:$J$3001,$N879))</f>
      </c>
      <c r="J879">
        <f>IF($N879="","",INDEX(Staging!$K$2:$K$3001,$N879))</f>
      </c>
      <c r="K879">
        <f>IF($N879="","",INDEX(Staging!$M$2:$M$3001,$N879))</f>
      </c>
      <c r="L879">
        <f>IF($N879="","",INDEX(Staging!$O$2:$O$3001,$N879))</f>
      </c>
      <c r="M879">
        <f>IF($N879="","",INDEX(Staging!$P$2:$P$3001,$N879))</f>
      </c>
      <c r="N879">
        <f t="array" ref="N879">IFERROR(SMALL(IF(Staging!$E$2:$E$3001="MIPPL",ROW(Staging!$E$2:$E$3001)-ROW(Staging!$E$2)+1),878),"")</f>
      </c>
    </row>
    <row r="880" spans="1:14" x14ac:dyDescent="0.25">
      <c r="A880">
        <f>IF($N880="","",INDEX(Staging!$A$2:$A$3001,$N880))</f>
      </c>
      <c r="B880">
        <f>IF($N880="","",INDEX(Staging!$B$2:$B$3001,$N880))</f>
      </c>
      <c r="C880">
        <f>IF($N880="","",INDEX(Staging!$C$2:$C$3001,$N880))</f>
      </c>
      <c r="D880">
        <f>IF($N880="","",INDEX(Staging!$D$2:$D$3001,$N880))</f>
      </c>
      <c r="E880">
        <f>IF($N880="","",INDEX(Staging!$F$2:$F$3001,$N880))</f>
      </c>
      <c r="F880">
        <f>IF($N880="","",INDEX(Staging!$G$2:$G$3001,$N880))</f>
      </c>
      <c r="G880">
        <f>IF($N880="","",INDEX(Staging!$H$2:$H$3001,$N880))</f>
      </c>
      <c r="H880">
        <f>IF($N880="","",INDEX(Staging!$I$2:$I$3001,$N880))</f>
      </c>
      <c r="I880">
        <f>IF($N880="","",INDEX(Staging!$J$2:$J$3001,$N880))</f>
      </c>
      <c r="J880">
        <f>IF($N880="","",INDEX(Staging!$K$2:$K$3001,$N880))</f>
      </c>
      <c r="K880">
        <f>IF($N880="","",INDEX(Staging!$M$2:$M$3001,$N880))</f>
      </c>
      <c r="L880">
        <f>IF($N880="","",INDEX(Staging!$O$2:$O$3001,$N880))</f>
      </c>
      <c r="M880">
        <f>IF($N880="","",INDEX(Staging!$P$2:$P$3001,$N880))</f>
      </c>
      <c r="N880">
        <f t="array" ref="N880">IFERROR(SMALL(IF(Staging!$E$2:$E$3001="MIPPL",ROW(Staging!$E$2:$E$3001)-ROW(Staging!$E$2)+1),879),"")</f>
      </c>
    </row>
    <row r="881" spans="1:14" x14ac:dyDescent="0.25">
      <c r="A881">
        <f>IF($N881="","",INDEX(Staging!$A$2:$A$3001,$N881))</f>
      </c>
      <c r="B881">
        <f>IF($N881="","",INDEX(Staging!$B$2:$B$3001,$N881))</f>
      </c>
      <c r="C881">
        <f>IF($N881="","",INDEX(Staging!$C$2:$C$3001,$N881))</f>
      </c>
      <c r="D881">
        <f>IF($N881="","",INDEX(Staging!$D$2:$D$3001,$N881))</f>
      </c>
      <c r="E881">
        <f>IF($N881="","",INDEX(Staging!$F$2:$F$3001,$N881))</f>
      </c>
      <c r="F881">
        <f>IF($N881="","",INDEX(Staging!$G$2:$G$3001,$N881))</f>
      </c>
      <c r="G881">
        <f>IF($N881="","",INDEX(Staging!$H$2:$H$3001,$N881))</f>
      </c>
      <c r="H881">
        <f>IF($N881="","",INDEX(Staging!$I$2:$I$3001,$N881))</f>
      </c>
      <c r="I881">
        <f>IF($N881="","",INDEX(Staging!$J$2:$J$3001,$N881))</f>
      </c>
      <c r="J881">
        <f>IF($N881="","",INDEX(Staging!$K$2:$K$3001,$N881))</f>
      </c>
      <c r="K881">
        <f>IF($N881="","",INDEX(Staging!$M$2:$M$3001,$N881))</f>
      </c>
      <c r="L881">
        <f>IF($N881="","",INDEX(Staging!$O$2:$O$3001,$N881))</f>
      </c>
      <c r="M881">
        <f>IF($N881="","",INDEX(Staging!$P$2:$P$3001,$N881))</f>
      </c>
      <c r="N881">
        <f t="array" ref="N881">IFERROR(SMALL(IF(Staging!$E$2:$E$3001="MIPPL",ROW(Staging!$E$2:$E$3001)-ROW(Staging!$E$2)+1),880),"")</f>
      </c>
    </row>
    <row r="882" spans="1:14" x14ac:dyDescent="0.25">
      <c r="A882">
        <f>IF($N882="","",INDEX(Staging!$A$2:$A$3001,$N882))</f>
      </c>
      <c r="B882">
        <f>IF($N882="","",INDEX(Staging!$B$2:$B$3001,$N882))</f>
      </c>
      <c r="C882">
        <f>IF($N882="","",INDEX(Staging!$C$2:$C$3001,$N882))</f>
      </c>
      <c r="D882">
        <f>IF($N882="","",INDEX(Staging!$D$2:$D$3001,$N882))</f>
      </c>
      <c r="E882">
        <f>IF($N882="","",INDEX(Staging!$F$2:$F$3001,$N882))</f>
      </c>
      <c r="F882">
        <f>IF($N882="","",INDEX(Staging!$G$2:$G$3001,$N882))</f>
      </c>
      <c r="G882">
        <f>IF($N882="","",INDEX(Staging!$H$2:$H$3001,$N882))</f>
      </c>
      <c r="H882">
        <f>IF($N882="","",INDEX(Staging!$I$2:$I$3001,$N882))</f>
      </c>
      <c r="I882">
        <f>IF($N882="","",INDEX(Staging!$J$2:$J$3001,$N882))</f>
      </c>
      <c r="J882">
        <f>IF($N882="","",INDEX(Staging!$K$2:$K$3001,$N882))</f>
      </c>
      <c r="K882">
        <f>IF($N882="","",INDEX(Staging!$M$2:$M$3001,$N882))</f>
      </c>
      <c r="L882">
        <f>IF($N882="","",INDEX(Staging!$O$2:$O$3001,$N882))</f>
      </c>
      <c r="M882">
        <f>IF($N882="","",INDEX(Staging!$P$2:$P$3001,$N882))</f>
      </c>
      <c r="N882">
        <f t="array" ref="N882">IFERROR(SMALL(IF(Staging!$E$2:$E$3001="MIPPL",ROW(Staging!$E$2:$E$3001)-ROW(Staging!$E$2)+1),881),"")</f>
      </c>
    </row>
    <row r="883" spans="1:14" x14ac:dyDescent="0.25">
      <c r="A883">
        <f>IF($N883="","",INDEX(Staging!$A$2:$A$3001,$N883))</f>
      </c>
      <c r="B883">
        <f>IF($N883="","",INDEX(Staging!$B$2:$B$3001,$N883))</f>
      </c>
      <c r="C883">
        <f>IF($N883="","",INDEX(Staging!$C$2:$C$3001,$N883))</f>
      </c>
      <c r="D883">
        <f>IF($N883="","",INDEX(Staging!$D$2:$D$3001,$N883))</f>
      </c>
      <c r="E883">
        <f>IF($N883="","",INDEX(Staging!$F$2:$F$3001,$N883))</f>
      </c>
      <c r="F883">
        <f>IF($N883="","",INDEX(Staging!$G$2:$G$3001,$N883))</f>
      </c>
      <c r="G883">
        <f>IF($N883="","",INDEX(Staging!$H$2:$H$3001,$N883))</f>
      </c>
      <c r="H883">
        <f>IF($N883="","",INDEX(Staging!$I$2:$I$3001,$N883))</f>
      </c>
      <c r="I883">
        <f>IF($N883="","",INDEX(Staging!$J$2:$J$3001,$N883))</f>
      </c>
      <c r="J883">
        <f>IF($N883="","",INDEX(Staging!$K$2:$K$3001,$N883))</f>
      </c>
      <c r="K883">
        <f>IF($N883="","",INDEX(Staging!$M$2:$M$3001,$N883))</f>
      </c>
      <c r="L883">
        <f>IF($N883="","",INDEX(Staging!$O$2:$O$3001,$N883))</f>
      </c>
      <c r="M883">
        <f>IF($N883="","",INDEX(Staging!$P$2:$P$3001,$N883))</f>
      </c>
      <c r="N883">
        <f t="array" ref="N883">IFERROR(SMALL(IF(Staging!$E$2:$E$3001="MIPPL",ROW(Staging!$E$2:$E$3001)-ROW(Staging!$E$2)+1),882),"")</f>
      </c>
    </row>
    <row r="884" spans="1:14" x14ac:dyDescent="0.25">
      <c r="A884">
        <f>IF($N884="","",INDEX(Staging!$A$2:$A$3001,$N884))</f>
      </c>
      <c r="B884">
        <f>IF($N884="","",INDEX(Staging!$B$2:$B$3001,$N884))</f>
      </c>
      <c r="C884">
        <f>IF($N884="","",INDEX(Staging!$C$2:$C$3001,$N884))</f>
      </c>
      <c r="D884">
        <f>IF($N884="","",INDEX(Staging!$D$2:$D$3001,$N884))</f>
      </c>
      <c r="E884">
        <f>IF($N884="","",INDEX(Staging!$F$2:$F$3001,$N884))</f>
      </c>
      <c r="F884">
        <f>IF($N884="","",INDEX(Staging!$G$2:$G$3001,$N884))</f>
      </c>
      <c r="G884">
        <f>IF($N884="","",INDEX(Staging!$H$2:$H$3001,$N884))</f>
      </c>
      <c r="H884">
        <f>IF($N884="","",INDEX(Staging!$I$2:$I$3001,$N884))</f>
      </c>
      <c r="I884">
        <f>IF($N884="","",INDEX(Staging!$J$2:$J$3001,$N884))</f>
      </c>
      <c r="J884">
        <f>IF($N884="","",INDEX(Staging!$K$2:$K$3001,$N884))</f>
      </c>
      <c r="K884">
        <f>IF($N884="","",INDEX(Staging!$M$2:$M$3001,$N884))</f>
      </c>
      <c r="L884">
        <f>IF($N884="","",INDEX(Staging!$O$2:$O$3001,$N884))</f>
      </c>
      <c r="M884">
        <f>IF($N884="","",INDEX(Staging!$P$2:$P$3001,$N884))</f>
      </c>
      <c r="N884">
        <f t="array" ref="N884">IFERROR(SMALL(IF(Staging!$E$2:$E$3001="MIPPL",ROW(Staging!$E$2:$E$3001)-ROW(Staging!$E$2)+1),883),"")</f>
      </c>
    </row>
    <row r="885" spans="1:14" x14ac:dyDescent="0.25">
      <c r="A885">
        <f>IF($N885="","",INDEX(Staging!$A$2:$A$3001,$N885))</f>
      </c>
      <c r="B885">
        <f>IF($N885="","",INDEX(Staging!$B$2:$B$3001,$N885))</f>
      </c>
      <c r="C885">
        <f>IF($N885="","",INDEX(Staging!$C$2:$C$3001,$N885))</f>
      </c>
      <c r="D885">
        <f>IF($N885="","",INDEX(Staging!$D$2:$D$3001,$N885))</f>
      </c>
      <c r="E885">
        <f>IF($N885="","",INDEX(Staging!$F$2:$F$3001,$N885))</f>
      </c>
      <c r="F885">
        <f>IF($N885="","",INDEX(Staging!$G$2:$G$3001,$N885))</f>
      </c>
      <c r="G885">
        <f>IF($N885="","",INDEX(Staging!$H$2:$H$3001,$N885))</f>
      </c>
      <c r="H885">
        <f>IF($N885="","",INDEX(Staging!$I$2:$I$3001,$N885))</f>
      </c>
      <c r="I885">
        <f>IF($N885="","",INDEX(Staging!$J$2:$J$3001,$N885))</f>
      </c>
      <c r="J885">
        <f>IF($N885="","",INDEX(Staging!$K$2:$K$3001,$N885))</f>
      </c>
      <c r="K885">
        <f>IF($N885="","",INDEX(Staging!$M$2:$M$3001,$N885))</f>
      </c>
      <c r="L885">
        <f>IF($N885="","",INDEX(Staging!$O$2:$O$3001,$N885))</f>
      </c>
      <c r="M885">
        <f>IF($N885="","",INDEX(Staging!$P$2:$P$3001,$N885))</f>
      </c>
      <c r="N885">
        <f t="array" ref="N885">IFERROR(SMALL(IF(Staging!$E$2:$E$3001="MIPPL",ROW(Staging!$E$2:$E$3001)-ROW(Staging!$E$2)+1),884),"")</f>
      </c>
    </row>
    <row r="886" spans="1:14" x14ac:dyDescent="0.25">
      <c r="A886">
        <f>IF($N886="","",INDEX(Staging!$A$2:$A$3001,$N886))</f>
      </c>
      <c r="B886">
        <f>IF($N886="","",INDEX(Staging!$B$2:$B$3001,$N886))</f>
      </c>
      <c r="C886">
        <f>IF($N886="","",INDEX(Staging!$C$2:$C$3001,$N886))</f>
      </c>
      <c r="D886">
        <f>IF($N886="","",INDEX(Staging!$D$2:$D$3001,$N886))</f>
      </c>
      <c r="E886">
        <f>IF($N886="","",INDEX(Staging!$F$2:$F$3001,$N886))</f>
      </c>
      <c r="F886">
        <f>IF($N886="","",INDEX(Staging!$G$2:$G$3001,$N886))</f>
      </c>
      <c r="G886">
        <f>IF($N886="","",INDEX(Staging!$H$2:$H$3001,$N886))</f>
      </c>
      <c r="H886">
        <f>IF($N886="","",INDEX(Staging!$I$2:$I$3001,$N886))</f>
      </c>
      <c r="I886">
        <f>IF($N886="","",INDEX(Staging!$J$2:$J$3001,$N886))</f>
      </c>
      <c r="J886">
        <f>IF($N886="","",INDEX(Staging!$K$2:$K$3001,$N886))</f>
      </c>
      <c r="K886">
        <f>IF($N886="","",INDEX(Staging!$M$2:$M$3001,$N886))</f>
      </c>
      <c r="L886">
        <f>IF($N886="","",INDEX(Staging!$O$2:$O$3001,$N886))</f>
      </c>
      <c r="M886">
        <f>IF($N886="","",INDEX(Staging!$P$2:$P$3001,$N886))</f>
      </c>
      <c r="N886">
        <f t="array" ref="N886">IFERROR(SMALL(IF(Staging!$E$2:$E$3001="MIPPL",ROW(Staging!$E$2:$E$3001)-ROW(Staging!$E$2)+1),885),"")</f>
      </c>
    </row>
    <row r="887" spans="1:14" x14ac:dyDescent="0.25">
      <c r="A887">
        <f>IF($N887="","",INDEX(Staging!$A$2:$A$3001,$N887))</f>
      </c>
      <c r="B887">
        <f>IF($N887="","",INDEX(Staging!$B$2:$B$3001,$N887))</f>
      </c>
      <c r="C887">
        <f>IF($N887="","",INDEX(Staging!$C$2:$C$3001,$N887))</f>
      </c>
      <c r="D887">
        <f>IF($N887="","",INDEX(Staging!$D$2:$D$3001,$N887))</f>
      </c>
      <c r="E887">
        <f>IF($N887="","",INDEX(Staging!$F$2:$F$3001,$N887))</f>
      </c>
      <c r="F887">
        <f>IF($N887="","",INDEX(Staging!$G$2:$G$3001,$N887))</f>
      </c>
      <c r="G887">
        <f>IF($N887="","",INDEX(Staging!$H$2:$H$3001,$N887))</f>
      </c>
      <c r="H887">
        <f>IF($N887="","",INDEX(Staging!$I$2:$I$3001,$N887))</f>
      </c>
      <c r="I887">
        <f>IF($N887="","",INDEX(Staging!$J$2:$J$3001,$N887))</f>
      </c>
      <c r="J887">
        <f>IF($N887="","",INDEX(Staging!$K$2:$K$3001,$N887))</f>
      </c>
      <c r="K887">
        <f>IF($N887="","",INDEX(Staging!$M$2:$M$3001,$N887))</f>
      </c>
      <c r="L887">
        <f>IF($N887="","",INDEX(Staging!$O$2:$O$3001,$N887))</f>
      </c>
      <c r="M887">
        <f>IF($N887="","",INDEX(Staging!$P$2:$P$3001,$N887))</f>
      </c>
      <c r="N887">
        <f t="array" ref="N887">IFERROR(SMALL(IF(Staging!$E$2:$E$3001="MIPPL",ROW(Staging!$E$2:$E$3001)-ROW(Staging!$E$2)+1),886),"")</f>
      </c>
    </row>
    <row r="888" spans="1:14" x14ac:dyDescent="0.25">
      <c r="A888">
        <f>IF($N888="","",INDEX(Staging!$A$2:$A$3001,$N888))</f>
      </c>
      <c r="B888">
        <f>IF($N888="","",INDEX(Staging!$B$2:$B$3001,$N888))</f>
      </c>
      <c r="C888">
        <f>IF($N888="","",INDEX(Staging!$C$2:$C$3001,$N888))</f>
      </c>
      <c r="D888">
        <f>IF($N888="","",INDEX(Staging!$D$2:$D$3001,$N888))</f>
      </c>
      <c r="E888">
        <f>IF($N888="","",INDEX(Staging!$F$2:$F$3001,$N888))</f>
      </c>
      <c r="F888">
        <f>IF($N888="","",INDEX(Staging!$G$2:$G$3001,$N888))</f>
      </c>
      <c r="G888">
        <f>IF($N888="","",INDEX(Staging!$H$2:$H$3001,$N888))</f>
      </c>
      <c r="H888">
        <f>IF($N888="","",INDEX(Staging!$I$2:$I$3001,$N888))</f>
      </c>
      <c r="I888">
        <f>IF($N888="","",INDEX(Staging!$J$2:$J$3001,$N888))</f>
      </c>
      <c r="J888">
        <f>IF($N888="","",INDEX(Staging!$K$2:$K$3001,$N888))</f>
      </c>
      <c r="K888">
        <f>IF($N888="","",INDEX(Staging!$M$2:$M$3001,$N888))</f>
      </c>
      <c r="L888">
        <f>IF($N888="","",INDEX(Staging!$O$2:$O$3001,$N888))</f>
      </c>
      <c r="M888">
        <f>IF($N888="","",INDEX(Staging!$P$2:$P$3001,$N888))</f>
      </c>
      <c r="N888">
        <f t="array" ref="N888">IFERROR(SMALL(IF(Staging!$E$2:$E$3001="MIPPL",ROW(Staging!$E$2:$E$3001)-ROW(Staging!$E$2)+1),887),"")</f>
      </c>
    </row>
    <row r="889" spans="1:14" x14ac:dyDescent="0.25">
      <c r="A889">
        <f>IF($N889="","",INDEX(Staging!$A$2:$A$3001,$N889))</f>
      </c>
      <c r="B889">
        <f>IF($N889="","",INDEX(Staging!$B$2:$B$3001,$N889))</f>
      </c>
      <c r="C889">
        <f>IF($N889="","",INDEX(Staging!$C$2:$C$3001,$N889))</f>
      </c>
      <c r="D889">
        <f>IF($N889="","",INDEX(Staging!$D$2:$D$3001,$N889))</f>
      </c>
      <c r="E889">
        <f>IF($N889="","",INDEX(Staging!$F$2:$F$3001,$N889))</f>
      </c>
      <c r="F889">
        <f>IF($N889="","",INDEX(Staging!$G$2:$G$3001,$N889))</f>
      </c>
      <c r="G889">
        <f>IF($N889="","",INDEX(Staging!$H$2:$H$3001,$N889))</f>
      </c>
      <c r="H889">
        <f>IF($N889="","",INDEX(Staging!$I$2:$I$3001,$N889))</f>
      </c>
      <c r="I889">
        <f>IF($N889="","",INDEX(Staging!$J$2:$J$3001,$N889))</f>
      </c>
      <c r="J889">
        <f>IF($N889="","",INDEX(Staging!$K$2:$K$3001,$N889))</f>
      </c>
      <c r="K889">
        <f>IF($N889="","",INDEX(Staging!$M$2:$M$3001,$N889))</f>
      </c>
      <c r="L889">
        <f>IF($N889="","",INDEX(Staging!$O$2:$O$3001,$N889))</f>
      </c>
      <c r="M889">
        <f>IF($N889="","",INDEX(Staging!$P$2:$P$3001,$N889))</f>
      </c>
      <c r="N889">
        <f t="array" ref="N889">IFERROR(SMALL(IF(Staging!$E$2:$E$3001="MIPPL",ROW(Staging!$E$2:$E$3001)-ROW(Staging!$E$2)+1),888),"")</f>
      </c>
    </row>
    <row r="890" spans="1:14" x14ac:dyDescent="0.25">
      <c r="A890">
        <f>IF($N890="","",INDEX(Staging!$A$2:$A$3001,$N890))</f>
      </c>
      <c r="B890">
        <f>IF($N890="","",INDEX(Staging!$B$2:$B$3001,$N890))</f>
      </c>
      <c r="C890">
        <f>IF($N890="","",INDEX(Staging!$C$2:$C$3001,$N890))</f>
      </c>
      <c r="D890">
        <f>IF($N890="","",INDEX(Staging!$D$2:$D$3001,$N890))</f>
      </c>
      <c r="E890">
        <f>IF($N890="","",INDEX(Staging!$F$2:$F$3001,$N890))</f>
      </c>
      <c r="F890">
        <f>IF($N890="","",INDEX(Staging!$G$2:$G$3001,$N890))</f>
      </c>
      <c r="G890">
        <f>IF($N890="","",INDEX(Staging!$H$2:$H$3001,$N890))</f>
      </c>
      <c r="H890">
        <f>IF($N890="","",INDEX(Staging!$I$2:$I$3001,$N890))</f>
      </c>
      <c r="I890">
        <f>IF($N890="","",INDEX(Staging!$J$2:$J$3001,$N890))</f>
      </c>
      <c r="J890">
        <f>IF($N890="","",INDEX(Staging!$K$2:$K$3001,$N890))</f>
      </c>
      <c r="K890">
        <f>IF($N890="","",INDEX(Staging!$M$2:$M$3001,$N890))</f>
      </c>
      <c r="L890">
        <f>IF($N890="","",INDEX(Staging!$O$2:$O$3001,$N890))</f>
      </c>
      <c r="M890">
        <f>IF($N890="","",INDEX(Staging!$P$2:$P$3001,$N890))</f>
      </c>
      <c r="N890">
        <f t="array" ref="N890">IFERROR(SMALL(IF(Staging!$E$2:$E$3001="MIPPL",ROW(Staging!$E$2:$E$3001)-ROW(Staging!$E$2)+1),889),"")</f>
      </c>
    </row>
    <row r="891" spans="1:14" x14ac:dyDescent="0.25">
      <c r="A891">
        <f>IF($N891="","",INDEX(Staging!$A$2:$A$3001,$N891))</f>
      </c>
      <c r="B891">
        <f>IF($N891="","",INDEX(Staging!$B$2:$B$3001,$N891))</f>
      </c>
      <c r="C891">
        <f>IF($N891="","",INDEX(Staging!$C$2:$C$3001,$N891))</f>
      </c>
      <c r="D891">
        <f>IF($N891="","",INDEX(Staging!$D$2:$D$3001,$N891))</f>
      </c>
      <c r="E891">
        <f>IF($N891="","",INDEX(Staging!$F$2:$F$3001,$N891))</f>
      </c>
      <c r="F891">
        <f>IF($N891="","",INDEX(Staging!$G$2:$G$3001,$N891))</f>
      </c>
      <c r="G891">
        <f>IF($N891="","",INDEX(Staging!$H$2:$H$3001,$N891))</f>
      </c>
      <c r="H891">
        <f>IF($N891="","",INDEX(Staging!$I$2:$I$3001,$N891))</f>
      </c>
      <c r="I891">
        <f>IF($N891="","",INDEX(Staging!$J$2:$J$3001,$N891))</f>
      </c>
      <c r="J891">
        <f>IF($N891="","",INDEX(Staging!$K$2:$K$3001,$N891))</f>
      </c>
      <c r="K891">
        <f>IF($N891="","",INDEX(Staging!$M$2:$M$3001,$N891))</f>
      </c>
      <c r="L891">
        <f>IF($N891="","",INDEX(Staging!$O$2:$O$3001,$N891))</f>
      </c>
      <c r="M891">
        <f>IF($N891="","",INDEX(Staging!$P$2:$P$3001,$N891))</f>
      </c>
      <c r="N891">
        <f t="array" ref="N891">IFERROR(SMALL(IF(Staging!$E$2:$E$3001="MIPPL",ROW(Staging!$E$2:$E$3001)-ROW(Staging!$E$2)+1),890),"")</f>
      </c>
    </row>
    <row r="892" spans="1:14" x14ac:dyDescent="0.25">
      <c r="A892">
        <f>IF($N892="","",INDEX(Staging!$A$2:$A$3001,$N892))</f>
      </c>
      <c r="B892">
        <f>IF($N892="","",INDEX(Staging!$B$2:$B$3001,$N892))</f>
      </c>
      <c r="C892">
        <f>IF($N892="","",INDEX(Staging!$C$2:$C$3001,$N892))</f>
      </c>
      <c r="D892">
        <f>IF($N892="","",INDEX(Staging!$D$2:$D$3001,$N892))</f>
      </c>
      <c r="E892">
        <f>IF($N892="","",INDEX(Staging!$F$2:$F$3001,$N892))</f>
      </c>
      <c r="F892">
        <f>IF($N892="","",INDEX(Staging!$G$2:$G$3001,$N892))</f>
      </c>
      <c r="G892">
        <f>IF($N892="","",INDEX(Staging!$H$2:$H$3001,$N892))</f>
      </c>
      <c r="H892">
        <f>IF($N892="","",INDEX(Staging!$I$2:$I$3001,$N892))</f>
      </c>
      <c r="I892">
        <f>IF($N892="","",INDEX(Staging!$J$2:$J$3001,$N892))</f>
      </c>
      <c r="J892">
        <f>IF($N892="","",INDEX(Staging!$K$2:$K$3001,$N892))</f>
      </c>
      <c r="K892">
        <f>IF($N892="","",INDEX(Staging!$M$2:$M$3001,$N892))</f>
      </c>
      <c r="L892">
        <f>IF($N892="","",INDEX(Staging!$O$2:$O$3001,$N892))</f>
      </c>
      <c r="M892">
        <f>IF($N892="","",INDEX(Staging!$P$2:$P$3001,$N892))</f>
      </c>
      <c r="N892">
        <f t="array" ref="N892">IFERROR(SMALL(IF(Staging!$E$2:$E$3001="MIPPL",ROW(Staging!$E$2:$E$3001)-ROW(Staging!$E$2)+1),891),"")</f>
      </c>
    </row>
    <row r="893" spans="1:14" x14ac:dyDescent="0.25">
      <c r="A893">
        <f>IF($N893="","",INDEX(Staging!$A$2:$A$3001,$N893))</f>
      </c>
      <c r="B893">
        <f>IF($N893="","",INDEX(Staging!$B$2:$B$3001,$N893))</f>
      </c>
      <c r="C893">
        <f>IF($N893="","",INDEX(Staging!$C$2:$C$3001,$N893))</f>
      </c>
      <c r="D893">
        <f>IF($N893="","",INDEX(Staging!$D$2:$D$3001,$N893))</f>
      </c>
      <c r="E893">
        <f>IF($N893="","",INDEX(Staging!$F$2:$F$3001,$N893))</f>
      </c>
      <c r="F893">
        <f>IF($N893="","",INDEX(Staging!$G$2:$G$3001,$N893))</f>
      </c>
      <c r="G893">
        <f>IF($N893="","",INDEX(Staging!$H$2:$H$3001,$N893))</f>
      </c>
      <c r="H893">
        <f>IF($N893="","",INDEX(Staging!$I$2:$I$3001,$N893))</f>
      </c>
      <c r="I893">
        <f>IF($N893="","",INDEX(Staging!$J$2:$J$3001,$N893))</f>
      </c>
      <c r="J893">
        <f>IF($N893="","",INDEX(Staging!$K$2:$K$3001,$N893))</f>
      </c>
      <c r="K893">
        <f>IF($N893="","",INDEX(Staging!$M$2:$M$3001,$N893))</f>
      </c>
      <c r="L893">
        <f>IF($N893="","",INDEX(Staging!$O$2:$O$3001,$N893))</f>
      </c>
      <c r="M893">
        <f>IF($N893="","",INDEX(Staging!$P$2:$P$3001,$N893))</f>
      </c>
      <c r="N893">
        <f t="array" ref="N893">IFERROR(SMALL(IF(Staging!$E$2:$E$3001="MIPPL",ROW(Staging!$E$2:$E$3001)-ROW(Staging!$E$2)+1),892),"")</f>
      </c>
    </row>
    <row r="894" spans="1:14" x14ac:dyDescent="0.25">
      <c r="A894">
        <f>IF($N894="","",INDEX(Staging!$A$2:$A$3001,$N894))</f>
      </c>
      <c r="B894">
        <f>IF($N894="","",INDEX(Staging!$B$2:$B$3001,$N894))</f>
      </c>
      <c r="C894">
        <f>IF($N894="","",INDEX(Staging!$C$2:$C$3001,$N894))</f>
      </c>
      <c r="D894">
        <f>IF($N894="","",INDEX(Staging!$D$2:$D$3001,$N894))</f>
      </c>
      <c r="E894">
        <f>IF($N894="","",INDEX(Staging!$F$2:$F$3001,$N894))</f>
      </c>
      <c r="F894">
        <f>IF($N894="","",INDEX(Staging!$G$2:$G$3001,$N894))</f>
      </c>
      <c r="G894">
        <f>IF($N894="","",INDEX(Staging!$H$2:$H$3001,$N894))</f>
      </c>
      <c r="H894">
        <f>IF($N894="","",INDEX(Staging!$I$2:$I$3001,$N894))</f>
      </c>
      <c r="I894">
        <f>IF($N894="","",INDEX(Staging!$J$2:$J$3001,$N894))</f>
      </c>
      <c r="J894">
        <f>IF($N894="","",INDEX(Staging!$K$2:$K$3001,$N894))</f>
      </c>
      <c r="K894">
        <f>IF($N894="","",INDEX(Staging!$M$2:$M$3001,$N894))</f>
      </c>
      <c r="L894">
        <f>IF($N894="","",INDEX(Staging!$O$2:$O$3001,$N894))</f>
      </c>
      <c r="M894">
        <f>IF($N894="","",INDEX(Staging!$P$2:$P$3001,$N894))</f>
      </c>
      <c r="N894">
        <f t="array" ref="N894">IFERROR(SMALL(IF(Staging!$E$2:$E$3001="MIPPL",ROW(Staging!$E$2:$E$3001)-ROW(Staging!$E$2)+1),893),"")</f>
      </c>
    </row>
    <row r="895" spans="1:14" x14ac:dyDescent="0.25">
      <c r="A895">
        <f>IF($N895="","",INDEX(Staging!$A$2:$A$3001,$N895))</f>
      </c>
      <c r="B895">
        <f>IF($N895="","",INDEX(Staging!$B$2:$B$3001,$N895))</f>
      </c>
      <c r="C895">
        <f>IF($N895="","",INDEX(Staging!$C$2:$C$3001,$N895))</f>
      </c>
      <c r="D895">
        <f>IF($N895="","",INDEX(Staging!$D$2:$D$3001,$N895))</f>
      </c>
      <c r="E895">
        <f>IF($N895="","",INDEX(Staging!$F$2:$F$3001,$N895))</f>
      </c>
      <c r="F895">
        <f>IF($N895="","",INDEX(Staging!$G$2:$G$3001,$N895))</f>
      </c>
      <c r="G895">
        <f>IF($N895="","",INDEX(Staging!$H$2:$H$3001,$N895))</f>
      </c>
      <c r="H895">
        <f>IF($N895="","",INDEX(Staging!$I$2:$I$3001,$N895))</f>
      </c>
      <c r="I895">
        <f>IF($N895="","",INDEX(Staging!$J$2:$J$3001,$N895))</f>
      </c>
      <c r="J895">
        <f>IF($N895="","",INDEX(Staging!$K$2:$K$3001,$N895))</f>
      </c>
      <c r="K895">
        <f>IF($N895="","",INDEX(Staging!$M$2:$M$3001,$N895))</f>
      </c>
      <c r="L895">
        <f>IF($N895="","",INDEX(Staging!$O$2:$O$3001,$N895))</f>
      </c>
      <c r="M895">
        <f>IF($N895="","",INDEX(Staging!$P$2:$P$3001,$N895))</f>
      </c>
      <c r="N895">
        <f t="array" ref="N895">IFERROR(SMALL(IF(Staging!$E$2:$E$3001="MIPPL",ROW(Staging!$E$2:$E$3001)-ROW(Staging!$E$2)+1),894),"")</f>
      </c>
    </row>
    <row r="896" spans="1:14" x14ac:dyDescent="0.25">
      <c r="A896">
        <f>IF($N896="","",INDEX(Staging!$A$2:$A$3001,$N896))</f>
      </c>
      <c r="B896">
        <f>IF($N896="","",INDEX(Staging!$B$2:$B$3001,$N896))</f>
      </c>
      <c r="C896">
        <f>IF($N896="","",INDEX(Staging!$C$2:$C$3001,$N896))</f>
      </c>
      <c r="D896">
        <f>IF($N896="","",INDEX(Staging!$D$2:$D$3001,$N896))</f>
      </c>
      <c r="E896">
        <f>IF($N896="","",INDEX(Staging!$F$2:$F$3001,$N896))</f>
      </c>
      <c r="F896">
        <f>IF($N896="","",INDEX(Staging!$G$2:$G$3001,$N896))</f>
      </c>
      <c r="G896">
        <f>IF($N896="","",INDEX(Staging!$H$2:$H$3001,$N896))</f>
      </c>
      <c r="H896">
        <f>IF($N896="","",INDEX(Staging!$I$2:$I$3001,$N896))</f>
      </c>
      <c r="I896">
        <f>IF($N896="","",INDEX(Staging!$J$2:$J$3001,$N896))</f>
      </c>
      <c r="J896">
        <f>IF($N896="","",INDEX(Staging!$K$2:$K$3001,$N896))</f>
      </c>
      <c r="K896">
        <f>IF($N896="","",INDEX(Staging!$M$2:$M$3001,$N896))</f>
      </c>
      <c r="L896">
        <f>IF($N896="","",INDEX(Staging!$O$2:$O$3001,$N896))</f>
      </c>
      <c r="M896">
        <f>IF($N896="","",INDEX(Staging!$P$2:$P$3001,$N896))</f>
      </c>
      <c r="N896">
        <f t="array" ref="N896">IFERROR(SMALL(IF(Staging!$E$2:$E$3001="MIPPL",ROW(Staging!$E$2:$E$3001)-ROW(Staging!$E$2)+1),895),"")</f>
      </c>
    </row>
    <row r="897" spans="1:14" x14ac:dyDescent="0.25">
      <c r="A897">
        <f>IF($N897="","",INDEX(Staging!$A$2:$A$3001,$N897))</f>
      </c>
      <c r="B897">
        <f>IF($N897="","",INDEX(Staging!$B$2:$B$3001,$N897))</f>
      </c>
      <c r="C897">
        <f>IF($N897="","",INDEX(Staging!$C$2:$C$3001,$N897))</f>
      </c>
      <c r="D897">
        <f>IF($N897="","",INDEX(Staging!$D$2:$D$3001,$N897))</f>
      </c>
      <c r="E897">
        <f>IF($N897="","",INDEX(Staging!$F$2:$F$3001,$N897))</f>
      </c>
      <c r="F897">
        <f>IF($N897="","",INDEX(Staging!$G$2:$G$3001,$N897))</f>
      </c>
      <c r="G897">
        <f>IF($N897="","",INDEX(Staging!$H$2:$H$3001,$N897))</f>
      </c>
      <c r="H897">
        <f>IF($N897="","",INDEX(Staging!$I$2:$I$3001,$N897))</f>
      </c>
      <c r="I897">
        <f>IF($N897="","",INDEX(Staging!$J$2:$J$3001,$N897))</f>
      </c>
      <c r="J897">
        <f>IF($N897="","",INDEX(Staging!$K$2:$K$3001,$N897))</f>
      </c>
      <c r="K897">
        <f>IF($N897="","",INDEX(Staging!$M$2:$M$3001,$N897))</f>
      </c>
      <c r="L897">
        <f>IF($N897="","",INDEX(Staging!$O$2:$O$3001,$N897))</f>
      </c>
      <c r="M897">
        <f>IF($N897="","",INDEX(Staging!$P$2:$P$3001,$N897))</f>
      </c>
      <c r="N897">
        <f t="array" ref="N897">IFERROR(SMALL(IF(Staging!$E$2:$E$3001="MIPPL",ROW(Staging!$E$2:$E$3001)-ROW(Staging!$E$2)+1),896),"")</f>
      </c>
    </row>
    <row r="898" spans="1:14" x14ac:dyDescent="0.25">
      <c r="A898">
        <f>IF($N898="","",INDEX(Staging!$A$2:$A$3001,$N898))</f>
      </c>
      <c r="B898">
        <f>IF($N898="","",INDEX(Staging!$B$2:$B$3001,$N898))</f>
      </c>
      <c r="C898">
        <f>IF($N898="","",INDEX(Staging!$C$2:$C$3001,$N898))</f>
      </c>
      <c r="D898">
        <f>IF($N898="","",INDEX(Staging!$D$2:$D$3001,$N898))</f>
      </c>
      <c r="E898">
        <f>IF($N898="","",INDEX(Staging!$F$2:$F$3001,$N898))</f>
      </c>
      <c r="F898">
        <f>IF($N898="","",INDEX(Staging!$G$2:$G$3001,$N898))</f>
      </c>
      <c r="G898">
        <f>IF($N898="","",INDEX(Staging!$H$2:$H$3001,$N898))</f>
      </c>
      <c r="H898">
        <f>IF($N898="","",INDEX(Staging!$I$2:$I$3001,$N898))</f>
      </c>
      <c r="I898">
        <f>IF($N898="","",INDEX(Staging!$J$2:$J$3001,$N898))</f>
      </c>
      <c r="J898">
        <f>IF($N898="","",INDEX(Staging!$K$2:$K$3001,$N898))</f>
      </c>
      <c r="K898">
        <f>IF($N898="","",INDEX(Staging!$M$2:$M$3001,$N898))</f>
      </c>
      <c r="L898">
        <f>IF($N898="","",INDEX(Staging!$O$2:$O$3001,$N898))</f>
      </c>
      <c r="M898">
        <f>IF($N898="","",INDEX(Staging!$P$2:$P$3001,$N898))</f>
      </c>
      <c r="N898">
        <f t="array" ref="N898">IFERROR(SMALL(IF(Staging!$E$2:$E$3001="MIPPL",ROW(Staging!$E$2:$E$3001)-ROW(Staging!$E$2)+1),897),"")</f>
      </c>
    </row>
    <row r="899" spans="1:14" x14ac:dyDescent="0.25">
      <c r="A899">
        <f>IF($N899="","",INDEX(Staging!$A$2:$A$3001,$N899))</f>
      </c>
      <c r="B899">
        <f>IF($N899="","",INDEX(Staging!$B$2:$B$3001,$N899))</f>
      </c>
      <c r="C899">
        <f>IF($N899="","",INDEX(Staging!$C$2:$C$3001,$N899))</f>
      </c>
      <c r="D899">
        <f>IF($N899="","",INDEX(Staging!$D$2:$D$3001,$N899))</f>
      </c>
      <c r="E899">
        <f>IF($N899="","",INDEX(Staging!$F$2:$F$3001,$N899))</f>
      </c>
      <c r="F899">
        <f>IF($N899="","",INDEX(Staging!$G$2:$G$3001,$N899))</f>
      </c>
      <c r="G899">
        <f>IF($N899="","",INDEX(Staging!$H$2:$H$3001,$N899))</f>
      </c>
      <c r="H899">
        <f>IF($N899="","",INDEX(Staging!$I$2:$I$3001,$N899))</f>
      </c>
      <c r="I899">
        <f>IF($N899="","",INDEX(Staging!$J$2:$J$3001,$N899))</f>
      </c>
      <c r="J899">
        <f>IF($N899="","",INDEX(Staging!$K$2:$K$3001,$N899))</f>
      </c>
      <c r="K899">
        <f>IF($N899="","",INDEX(Staging!$M$2:$M$3001,$N899))</f>
      </c>
      <c r="L899">
        <f>IF($N899="","",INDEX(Staging!$O$2:$O$3001,$N899))</f>
      </c>
      <c r="M899">
        <f>IF($N899="","",INDEX(Staging!$P$2:$P$3001,$N899))</f>
      </c>
      <c r="N899">
        <f t="array" ref="N899">IFERROR(SMALL(IF(Staging!$E$2:$E$3001="MIPPL",ROW(Staging!$E$2:$E$3001)-ROW(Staging!$E$2)+1),898),"")</f>
      </c>
    </row>
    <row r="900" spans="1:14" x14ac:dyDescent="0.25">
      <c r="A900">
        <f>IF($N900="","",INDEX(Staging!$A$2:$A$3001,$N900))</f>
      </c>
      <c r="B900">
        <f>IF($N900="","",INDEX(Staging!$B$2:$B$3001,$N900))</f>
      </c>
      <c r="C900">
        <f>IF($N900="","",INDEX(Staging!$C$2:$C$3001,$N900))</f>
      </c>
      <c r="D900">
        <f>IF($N900="","",INDEX(Staging!$D$2:$D$3001,$N900))</f>
      </c>
      <c r="E900">
        <f>IF($N900="","",INDEX(Staging!$F$2:$F$3001,$N900))</f>
      </c>
      <c r="F900">
        <f>IF($N900="","",INDEX(Staging!$G$2:$G$3001,$N900))</f>
      </c>
      <c r="G900">
        <f>IF($N900="","",INDEX(Staging!$H$2:$H$3001,$N900))</f>
      </c>
      <c r="H900">
        <f>IF($N900="","",INDEX(Staging!$I$2:$I$3001,$N900))</f>
      </c>
      <c r="I900">
        <f>IF($N900="","",INDEX(Staging!$J$2:$J$3001,$N900))</f>
      </c>
      <c r="J900">
        <f>IF($N900="","",INDEX(Staging!$K$2:$K$3001,$N900))</f>
      </c>
      <c r="K900">
        <f>IF($N900="","",INDEX(Staging!$M$2:$M$3001,$N900))</f>
      </c>
      <c r="L900">
        <f>IF($N900="","",INDEX(Staging!$O$2:$O$3001,$N900))</f>
      </c>
      <c r="M900">
        <f>IF($N900="","",INDEX(Staging!$P$2:$P$3001,$N900))</f>
      </c>
      <c r="N900">
        <f t="array" ref="N900">IFERROR(SMALL(IF(Staging!$E$2:$E$3001="MIPPL",ROW(Staging!$E$2:$E$3001)-ROW(Staging!$E$2)+1),899),"")</f>
      </c>
    </row>
    <row r="901" spans="1:14" x14ac:dyDescent="0.25">
      <c r="A901">
        <f>IF($N901="","",INDEX(Staging!$A$2:$A$3001,$N901))</f>
      </c>
      <c r="B901">
        <f>IF($N901="","",INDEX(Staging!$B$2:$B$3001,$N901))</f>
      </c>
      <c r="C901">
        <f>IF($N901="","",INDEX(Staging!$C$2:$C$3001,$N901))</f>
      </c>
      <c r="D901">
        <f>IF($N901="","",INDEX(Staging!$D$2:$D$3001,$N901))</f>
      </c>
      <c r="E901">
        <f>IF($N901="","",INDEX(Staging!$F$2:$F$3001,$N901))</f>
      </c>
      <c r="F901">
        <f>IF($N901="","",INDEX(Staging!$G$2:$G$3001,$N901))</f>
      </c>
      <c r="G901">
        <f>IF($N901="","",INDEX(Staging!$H$2:$H$3001,$N901))</f>
      </c>
      <c r="H901">
        <f>IF($N901="","",INDEX(Staging!$I$2:$I$3001,$N901))</f>
      </c>
      <c r="I901">
        <f>IF($N901="","",INDEX(Staging!$J$2:$J$3001,$N901))</f>
      </c>
      <c r="J901">
        <f>IF($N901="","",INDEX(Staging!$K$2:$K$3001,$N901))</f>
      </c>
      <c r="K901">
        <f>IF($N901="","",INDEX(Staging!$M$2:$M$3001,$N901))</f>
      </c>
      <c r="L901">
        <f>IF($N901="","",INDEX(Staging!$O$2:$O$3001,$N901))</f>
      </c>
      <c r="M901">
        <f>IF($N901="","",INDEX(Staging!$P$2:$P$3001,$N901))</f>
      </c>
      <c r="N901">
        <f t="array" ref="N901">IFERROR(SMALL(IF(Staging!$E$2:$E$3001="MIPPL",ROW(Staging!$E$2:$E$3001)-ROW(Staging!$E$2)+1),900),"")</f>
      </c>
    </row>
    <row r="902" spans="1:14" x14ac:dyDescent="0.25">
      <c r="A902">
        <f>IF($N902="","",INDEX(Staging!$A$2:$A$3001,$N902))</f>
      </c>
      <c r="B902">
        <f>IF($N902="","",INDEX(Staging!$B$2:$B$3001,$N902))</f>
      </c>
      <c r="C902">
        <f>IF($N902="","",INDEX(Staging!$C$2:$C$3001,$N902))</f>
      </c>
      <c r="D902">
        <f>IF($N902="","",INDEX(Staging!$D$2:$D$3001,$N902))</f>
      </c>
      <c r="E902">
        <f>IF($N902="","",INDEX(Staging!$F$2:$F$3001,$N902))</f>
      </c>
      <c r="F902">
        <f>IF($N902="","",INDEX(Staging!$G$2:$G$3001,$N902))</f>
      </c>
      <c r="G902">
        <f>IF($N902="","",INDEX(Staging!$H$2:$H$3001,$N902))</f>
      </c>
      <c r="H902">
        <f>IF($N902="","",INDEX(Staging!$I$2:$I$3001,$N902))</f>
      </c>
      <c r="I902">
        <f>IF($N902="","",INDEX(Staging!$J$2:$J$3001,$N902))</f>
      </c>
      <c r="J902">
        <f>IF($N902="","",INDEX(Staging!$K$2:$K$3001,$N902))</f>
      </c>
      <c r="K902">
        <f>IF($N902="","",INDEX(Staging!$M$2:$M$3001,$N902))</f>
      </c>
      <c r="L902">
        <f>IF($N902="","",INDEX(Staging!$O$2:$O$3001,$N902))</f>
      </c>
      <c r="M902">
        <f>IF($N902="","",INDEX(Staging!$P$2:$P$3001,$N902))</f>
      </c>
      <c r="N902">
        <f t="array" ref="N902">IFERROR(SMALL(IF(Staging!$E$2:$E$3001="MIPPL",ROW(Staging!$E$2:$E$3001)-ROW(Staging!$E$2)+1),901),"")</f>
      </c>
    </row>
    <row r="903" spans="1:14" x14ac:dyDescent="0.25">
      <c r="A903">
        <f>IF($N903="","",INDEX(Staging!$A$2:$A$3001,$N903))</f>
      </c>
      <c r="B903">
        <f>IF($N903="","",INDEX(Staging!$B$2:$B$3001,$N903))</f>
      </c>
      <c r="C903">
        <f>IF($N903="","",INDEX(Staging!$C$2:$C$3001,$N903))</f>
      </c>
      <c r="D903">
        <f>IF($N903="","",INDEX(Staging!$D$2:$D$3001,$N903))</f>
      </c>
      <c r="E903">
        <f>IF($N903="","",INDEX(Staging!$F$2:$F$3001,$N903))</f>
      </c>
      <c r="F903">
        <f>IF($N903="","",INDEX(Staging!$G$2:$G$3001,$N903))</f>
      </c>
      <c r="G903">
        <f>IF($N903="","",INDEX(Staging!$H$2:$H$3001,$N903))</f>
      </c>
      <c r="H903">
        <f>IF($N903="","",INDEX(Staging!$I$2:$I$3001,$N903))</f>
      </c>
      <c r="I903">
        <f>IF($N903="","",INDEX(Staging!$J$2:$J$3001,$N903))</f>
      </c>
      <c r="J903">
        <f>IF($N903="","",INDEX(Staging!$K$2:$K$3001,$N903))</f>
      </c>
      <c r="K903">
        <f>IF($N903="","",INDEX(Staging!$M$2:$M$3001,$N903))</f>
      </c>
      <c r="L903">
        <f>IF($N903="","",INDEX(Staging!$O$2:$O$3001,$N903))</f>
      </c>
      <c r="M903">
        <f>IF($N903="","",INDEX(Staging!$P$2:$P$3001,$N903))</f>
      </c>
      <c r="N903">
        <f t="array" ref="N903">IFERROR(SMALL(IF(Staging!$E$2:$E$3001="MIPPL",ROW(Staging!$E$2:$E$3001)-ROW(Staging!$E$2)+1),902),"")</f>
      </c>
    </row>
    <row r="904" spans="1:14" x14ac:dyDescent="0.25">
      <c r="A904">
        <f>IF($N904="","",INDEX(Staging!$A$2:$A$3001,$N904))</f>
      </c>
      <c r="B904">
        <f>IF($N904="","",INDEX(Staging!$B$2:$B$3001,$N904))</f>
      </c>
      <c r="C904">
        <f>IF($N904="","",INDEX(Staging!$C$2:$C$3001,$N904))</f>
      </c>
      <c r="D904">
        <f>IF($N904="","",INDEX(Staging!$D$2:$D$3001,$N904))</f>
      </c>
      <c r="E904">
        <f>IF($N904="","",INDEX(Staging!$F$2:$F$3001,$N904))</f>
      </c>
      <c r="F904">
        <f>IF($N904="","",INDEX(Staging!$G$2:$G$3001,$N904))</f>
      </c>
      <c r="G904">
        <f>IF($N904="","",INDEX(Staging!$H$2:$H$3001,$N904))</f>
      </c>
      <c r="H904">
        <f>IF($N904="","",INDEX(Staging!$I$2:$I$3001,$N904))</f>
      </c>
      <c r="I904">
        <f>IF($N904="","",INDEX(Staging!$J$2:$J$3001,$N904))</f>
      </c>
      <c r="J904">
        <f>IF($N904="","",INDEX(Staging!$K$2:$K$3001,$N904))</f>
      </c>
      <c r="K904">
        <f>IF($N904="","",INDEX(Staging!$M$2:$M$3001,$N904))</f>
      </c>
      <c r="L904">
        <f>IF($N904="","",INDEX(Staging!$O$2:$O$3001,$N904))</f>
      </c>
      <c r="M904">
        <f>IF($N904="","",INDEX(Staging!$P$2:$P$3001,$N904))</f>
      </c>
      <c r="N904">
        <f t="array" ref="N904">IFERROR(SMALL(IF(Staging!$E$2:$E$3001="MIPPL",ROW(Staging!$E$2:$E$3001)-ROW(Staging!$E$2)+1),903),"")</f>
      </c>
    </row>
    <row r="905" spans="1:14" x14ac:dyDescent="0.25">
      <c r="A905">
        <f>IF($N905="","",INDEX(Staging!$A$2:$A$3001,$N905))</f>
      </c>
      <c r="B905">
        <f>IF($N905="","",INDEX(Staging!$B$2:$B$3001,$N905))</f>
      </c>
      <c r="C905">
        <f>IF($N905="","",INDEX(Staging!$C$2:$C$3001,$N905))</f>
      </c>
      <c r="D905">
        <f>IF($N905="","",INDEX(Staging!$D$2:$D$3001,$N905))</f>
      </c>
      <c r="E905">
        <f>IF($N905="","",INDEX(Staging!$F$2:$F$3001,$N905))</f>
      </c>
      <c r="F905">
        <f>IF($N905="","",INDEX(Staging!$G$2:$G$3001,$N905))</f>
      </c>
      <c r="G905">
        <f>IF($N905="","",INDEX(Staging!$H$2:$H$3001,$N905))</f>
      </c>
      <c r="H905">
        <f>IF($N905="","",INDEX(Staging!$I$2:$I$3001,$N905))</f>
      </c>
      <c r="I905">
        <f>IF($N905="","",INDEX(Staging!$J$2:$J$3001,$N905))</f>
      </c>
      <c r="J905">
        <f>IF($N905="","",INDEX(Staging!$K$2:$K$3001,$N905))</f>
      </c>
      <c r="K905">
        <f>IF($N905="","",INDEX(Staging!$M$2:$M$3001,$N905))</f>
      </c>
      <c r="L905">
        <f>IF($N905="","",INDEX(Staging!$O$2:$O$3001,$N905))</f>
      </c>
      <c r="M905">
        <f>IF($N905="","",INDEX(Staging!$P$2:$P$3001,$N905))</f>
      </c>
      <c r="N905">
        <f t="array" ref="N905">IFERROR(SMALL(IF(Staging!$E$2:$E$3001="MIPPL",ROW(Staging!$E$2:$E$3001)-ROW(Staging!$E$2)+1),904),"")</f>
      </c>
    </row>
    <row r="906" spans="1:14" x14ac:dyDescent="0.25">
      <c r="A906">
        <f>IF($N906="","",INDEX(Staging!$A$2:$A$3001,$N906))</f>
      </c>
      <c r="B906">
        <f>IF($N906="","",INDEX(Staging!$B$2:$B$3001,$N906))</f>
      </c>
      <c r="C906">
        <f>IF($N906="","",INDEX(Staging!$C$2:$C$3001,$N906))</f>
      </c>
      <c r="D906">
        <f>IF($N906="","",INDEX(Staging!$D$2:$D$3001,$N906))</f>
      </c>
      <c r="E906">
        <f>IF($N906="","",INDEX(Staging!$F$2:$F$3001,$N906))</f>
      </c>
      <c r="F906">
        <f>IF($N906="","",INDEX(Staging!$G$2:$G$3001,$N906))</f>
      </c>
      <c r="G906">
        <f>IF($N906="","",INDEX(Staging!$H$2:$H$3001,$N906))</f>
      </c>
      <c r="H906">
        <f>IF($N906="","",INDEX(Staging!$I$2:$I$3001,$N906))</f>
      </c>
      <c r="I906">
        <f>IF($N906="","",INDEX(Staging!$J$2:$J$3001,$N906))</f>
      </c>
      <c r="J906">
        <f>IF($N906="","",INDEX(Staging!$K$2:$K$3001,$N906))</f>
      </c>
      <c r="K906">
        <f>IF($N906="","",INDEX(Staging!$M$2:$M$3001,$N906))</f>
      </c>
      <c r="L906">
        <f>IF($N906="","",INDEX(Staging!$O$2:$O$3001,$N906))</f>
      </c>
      <c r="M906">
        <f>IF($N906="","",INDEX(Staging!$P$2:$P$3001,$N906))</f>
      </c>
      <c r="N906">
        <f t="array" ref="N906">IFERROR(SMALL(IF(Staging!$E$2:$E$3001="MIPPL",ROW(Staging!$E$2:$E$3001)-ROW(Staging!$E$2)+1),905),"")</f>
      </c>
    </row>
    <row r="907" spans="1:14" x14ac:dyDescent="0.25">
      <c r="A907">
        <f>IF($N907="","",INDEX(Staging!$A$2:$A$3001,$N907))</f>
      </c>
      <c r="B907">
        <f>IF($N907="","",INDEX(Staging!$B$2:$B$3001,$N907))</f>
      </c>
      <c r="C907">
        <f>IF($N907="","",INDEX(Staging!$C$2:$C$3001,$N907))</f>
      </c>
      <c r="D907">
        <f>IF($N907="","",INDEX(Staging!$D$2:$D$3001,$N907))</f>
      </c>
      <c r="E907">
        <f>IF($N907="","",INDEX(Staging!$F$2:$F$3001,$N907))</f>
      </c>
      <c r="F907">
        <f>IF($N907="","",INDEX(Staging!$G$2:$G$3001,$N907))</f>
      </c>
      <c r="G907">
        <f>IF($N907="","",INDEX(Staging!$H$2:$H$3001,$N907))</f>
      </c>
      <c r="H907">
        <f>IF($N907="","",INDEX(Staging!$I$2:$I$3001,$N907))</f>
      </c>
      <c r="I907">
        <f>IF($N907="","",INDEX(Staging!$J$2:$J$3001,$N907))</f>
      </c>
      <c r="J907">
        <f>IF($N907="","",INDEX(Staging!$K$2:$K$3001,$N907))</f>
      </c>
      <c r="K907">
        <f>IF($N907="","",INDEX(Staging!$M$2:$M$3001,$N907))</f>
      </c>
      <c r="L907">
        <f>IF($N907="","",INDEX(Staging!$O$2:$O$3001,$N907))</f>
      </c>
      <c r="M907">
        <f>IF($N907="","",INDEX(Staging!$P$2:$P$3001,$N907))</f>
      </c>
      <c r="N907">
        <f t="array" ref="N907">IFERROR(SMALL(IF(Staging!$E$2:$E$3001="MIPPL",ROW(Staging!$E$2:$E$3001)-ROW(Staging!$E$2)+1),906),"")</f>
      </c>
    </row>
    <row r="908" spans="1:14" x14ac:dyDescent="0.25">
      <c r="A908">
        <f>IF($N908="","",INDEX(Staging!$A$2:$A$3001,$N908))</f>
      </c>
      <c r="B908">
        <f>IF($N908="","",INDEX(Staging!$B$2:$B$3001,$N908))</f>
      </c>
      <c r="C908">
        <f>IF($N908="","",INDEX(Staging!$C$2:$C$3001,$N908))</f>
      </c>
      <c r="D908">
        <f>IF($N908="","",INDEX(Staging!$D$2:$D$3001,$N908))</f>
      </c>
      <c r="E908">
        <f>IF($N908="","",INDEX(Staging!$F$2:$F$3001,$N908))</f>
      </c>
      <c r="F908">
        <f>IF($N908="","",INDEX(Staging!$G$2:$G$3001,$N908))</f>
      </c>
      <c r="G908">
        <f>IF($N908="","",INDEX(Staging!$H$2:$H$3001,$N908))</f>
      </c>
      <c r="H908">
        <f>IF($N908="","",INDEX(Staging!$I$2:$I$3001,$N908))</f>
      </c>
      <c r="I908">
        <f>IF($N908="","",INDEX(Staging!$J$2:$J$3001,$N908))</f>
      </c>
      <c r="J908">
        <f>IF($N908="","",INDEX(Staging!$K$2:$K$3001,$N908))</f>
      </c>
      <c r="K908">
        <f>IF($N908="","",INDEX(Staging!$M$2:$M$3001,$N908))</f>
      </c>
      <c r="L908">
        <f>IF($N908="","",INDEX(Staging!$O$2:$O$3001,$N908))</f>
      </c>
      <c r="M908">
        <f>IF($N908="","",INDEX(Staging!$P$2:$P$3001,$N908))</f>
      </c>
      <c r="N908">
        <f t="array" ref="N908">IFERROR(SMALL(IF(Staging!$E$2:$E$3001="MIPPL",ROW(Staging!$E$2:$E$3001)-ROW(Staging!$E$2)+1),907),"")</f>
      </c>
    </row>
    <row r="909" spans="1:14" x14ac:dyDescent="0.25">
      <c r="A909">
        <f>IF($N909="","",INDEX(Staging!$A$2:$A$3001,$N909))</f>
      </c>
      <c r="B909">
        <f>IF($N909="","",INDEX(Staging!$B$2:$B$3001,$N909))</f>
      </c>
      <c r="C909">
        <f>IF($N909="","",INDEX(Staging!$C$2:$C$3001,$N909))</f>
      </c>
      <c r="D909">
        <f>IF($N909="","",INDEX(Staging!$D$2:$D$3001,$N909))</f>
      </c>
      <c r="E909">
        <f>IF($N909="","",INDEX(Staging!$F$2:$F$3001,$N909))</f>
      </c>
      <c r="F909">
        <f>IF($N909="","",INDEX(Staging!$G$2:$G$3001,$N909))</f>
      </c>
      <c r="G909">
        <f>IF($N909="","",INDEX(Staging!$H$2:$H$3001,$N909))</f>
      </c>
      <c r="H909">
        <f>IF($N909="","",INDEX(Staging!$I$2:$I$3001,$N909))</f>
      </c>
      <c r="I909">
        <f>IF($N909="","",INDEX(Staging!$J$2:$J$3001,$N909))</f>
      </c>
      <c r="J909">
        <f>IF($N909="","",INDEX(Staging!$K$2:$K$3001,$N909))</f>
      </c>
      <c r="K909">
        <f>IF($N909="","",INDEX(Staging!$M$2:$M$3001,$N909))</f>
      </c>
      <c r="L909">
        <f>IF($N909="","",INDEX(Staging!$O$2:$O$3001,$N909))</f>
      </c>
      <c r="M909">
        <f>IF($N909="","",INDEX(Staging!$P$2:$P$3001,$N909))</f>
      </c>
      <c r="N909">
        <f t="array" ref="N909">IFERROR(SMALL(IF(Staging!$E$2:$E$3001="MIPPL",ROW(Staging!$E$2:$E$3001)-ROW(Staging!$E$2)+1),908),"")</f>
      </c>
    </row>
    <row r="910" spans="1:14" x14ac:dyDescent="0.25">
      <c r="A910">
        <f>IF($N910="","",INDEX(Staging!$A$2:$A$3001,$N910))</f>
      </c>
      <c r="B910">
        <f>IF($N910="","",INDEX(Staging!$B$2:$B$3001,$N910))</f>
      </c>
      <c r="C910">
        <f>IF($N910="","",INDEX(Staging!$C$2:$C$3001,$N910))</f>
      </c>
      <c r="D910">
        <f>IF($N910="","",INDEX(Staging!$D$2:$D$3001,$N910))</f>
      </c>
      <c r="E910">
        <f>IF($N910="","",INDEX(Staging!$F$2:$F$3001,$N910))</f>
      </c>
      <c r="F910">
        <f>IF($N910="","",INDEX(Staging!$G$2:$G$3001,$N910))</f>
      </c>
      <c r="G910">
        <f>IF($N910="","",INDEX(Staging!$H$2:$H$3001,$N910))</f>
      </c>
      <c r="H910">
        <f>IF($N910="","",INDEX(Staging!$I$2:$I$3001,$N910))</f>
      </c>
      <c r="I910">
        <f>IF($N910="","",INDEX(Staging!$J$2:$J$3001,$N910))</f>
      </c>
      <c r="J910">
        <f>IF($N910="","",INDEX(Staging!$K$2:$K$3001,$N910))</f>
      </c>
      <c r="K910">
        <f>IF($N910="","",INDEX(Staging!$M$2:$M$3001,$N910))</f>
      </c>
      <c r="L910">
        <f>IF($N910="","",INDEX(Staging!$O$2:$O$3001,$N910))</f>
      </c>
      <c r="M910">
        <f>IF($N910="","",INDEX(Staging!$P$2:$P$3001,$N910))</f>
      </c>
      <c r="N910">
        <f t="array" ref="N910">IFERROR(SMALL(IF(Staging!$E$2:$E$3001="MIPPL",ROW(Staging!$E$2:$E$3001)-ROW(Staging!$E$2)+1),909),"")</f>
      </c>
    </row>
    <row r="911" spans="1:14" x14ac:dyDescent="0.25">
      <c r="A911">
        <f>IF($N911="","",INDEX(Staging!$A$2:$A$3001,$N911))</f>
      </c>
      <c r="B911">
        <f>IF($N911="","",INDEX(Staging!$B$2:$B$3001,$N911))</f>
      </c>
      <c r="C911">
        <f>IF($N911="","",INDEX(Staging!$C$2:$C$3001,$N911))</f>
      </c>
      <c r="D911">
        <f>IF($N911="","",INDEX(Staging!$D$2:$D$3001,$N911))</f>
      </c>
      <c r="E911">
        <f>IF($N911="","",INDEX(Staging!$F$2:$F$3001,$N911))</f>
      </c>
      <c r="F911">
        <f>IF($N911="","",INDEX(Staging!$G$2:$G$3001,$N911))</f>
      </c>
      <c r="G911">
        <f>IF($N911="","",INDEX(Staging!$H$2:$H$3001,$N911))</f>
      </c>
      <c r="H911">
        <f>IF($N911="","",INDEX(Staging!$I$2:$I$3001,$N911))</f>
      </c>
      <c r="I911">
        <f>IF($N911="","",INDEX(Staging!$J$2:$J$3001,$N911))</f>
      </c>
      <c r="J911">
        <f>IF($N911="","",INDEX(Staging!$K$2:$K$3001,$N911))</f>
      </c>
      <c r="K911">
        <f>IF($N911="","",INDEX(Staging!$M$2:$M$3001,$N911))</f>
      </c>
      <c r="L911">
        <f>IF($N911="","",INDEX(Staging!$O$2:$O$3001,$N911))</f>
      </c>
      <c r="M911">
        <f>IF($N911="","",INDEX(Staging!$P$2:$P$3001,$N911))</f>
      </c>
      <c r="N911">
        <f t="array" ref="N911">IFERROR(SMALL(IF(Staging!$E$2:$E$3001="MIPPL",ROW(Staging!$E$2:$E$3001)-ROW(Staging!$E$2)+1),910),"")</f>
      </c>
    </row>
    <row r="912" spans="1:14" x14ac:dyDescent="0.25">
      <c r="A912">
        <f>IF($N912="","",INDEX(Staging!$A$2:$A$3001,$N912))</f>
      </c>
      <c r="B912">
        <f>IF($N912="","",INDEX(Staging!$B$2:$B$3001,$N912))</f>
      </c>
      <c r="C912">
        <f>IF($N912="","",INDEX(Staging!$C$2:$C$3001,$N912))</f>
      </c>
      <c r="D912">
        <f>IF($N912="","",INDEX(Staging!$D$2:$D$3001,$N912))</f>
      </c>
      <c r="E912">
        <f>IF($N912="","",INDEX(Staging!$F$2:$F$3001,$N912))</f>
      </c>
      <c r="F912">
        <f>IF($N912="","",INDEX(Staging!$G$2:$G$3001,$N912))</f>
      </c>
      <c r="G912">
        <f>IF($N912="","",INDEX(Staging!$H$2:$H$3001,$N912))</f>
      </c>
      <c r="H912">
        <f>IF($N912="","",INDEX(Staging!$I$2:$I$3001,$N912))</f>
      </c>
      <c r="I912">
        <f>IF($N912="","",INDEX(Staging!$J$2:$J$3001,$N912))</f>
      </c>
      <c r="J912">
        <f>IF($N912="","",INDEX(Staging!$K$2:$K$3001,$N912))</f>
      </c>
      <c r="K912">
        <f>IF($N912="","",INDEX(Staging!$M$2:$M$3001,$N912))</f>
      </c>
      <c r="L912">
        <f>IF($N912="","",INDEX(Staging!$O$2:$O$3001,$N912))</f>
      </c>
      <c r="M912">
        <f>IF($N912="","",INDEX(Staging!$P$2:$P$3001,$N912))</f>
      </c>
      <c r="N912">
        <f t="array" ref="N912">IFERROR(SMALL(IF(Staging!$E$2:$E$3001="MIPPL",ROW(Staging!$E$2:$E$3001)-ROW(Staging!$E$2)+1),911),"")</f>
      </c>
    </row>
    <row r="913" spans="1:14" x14ac:dyDescent="0.25">
      <c r="A913">
        <f>IF($N913="","",INDEX(Staging!$A$2:$A$3001,$N913))</f>
      </c>
      <c r="B913">
        <f>IF($N913="","",INDEX(Staging!$B$2:$B$3001,$N913))</f>
      </c>
      <c r="C913">
        <f>IF($N913="","",INDEX(Staging!$C$2:$C$3001,$N913))</f>
      </c>
      <c r="D913">
        <f>IF($N913="","",INDEX(Staging!$D$2:$D$3001,$N913))</f>
      </c>
      <c r="E913">
        <f>IF($N913="","",INDEX(Staging!$F$2:$F$3001,$N913))</f>
      </c>
      <c r="F913">
        <f>IF($N913="","",INDEX(Staging!$G$2:$G$3001,$N913))</f>
      </c>
      <c r="G913">
        <f>IF($N913="","",INDEX(Staging!$H$2:$H$3001,$N913))</f>
      </c>
      <c r="H913">
        <f>IF($N913="","",INDEX(Staging!$I$2:$I$3001,$N913))</f>
      </c>
      <c r="I913">
        <f>IF($N913="","",INDEX(Staging!$J$2:$J$3001,$N913))</f>
      </c>
      <c r="J913">
        <f>IF($N913="","",INDEX(Staging!$K$2:$K$3001,$N913))</f>
      </c>
      <c r="K913">
        <f>IF($N913="","",INDEX(Staging!$M$2:$M$3001,$N913))</f>
      </c>
      <c r="L913">
        <f>IF($N913="","",INDEX(Staging!$O$2:$O$3001,$N913))</f>
      </c>
      <c r="M913">
        <f>IF($N913="","",INDEX(Staging!$P$2:$P$3001,$N913))</f>
      </c>
      <c r="N913">
        <f t="array" ref="N913">IFERROR(SMALL(IF(Staging!$E$2:$E$3001="MIPPL",ROW(Staging!$E$2:$E$3001)-ROW(Staging!$E$2)+1),912),"")</f>
      </c>
    </row>
    <row r="914" spans="1:14" x14ac:dyDescent="0.25">
      <c r="A914">
        <f>IF($N914="","",INDEX(Staging!$A$2:$A$3001,$N914))</f>
      </c>
      <c r="B914">
        <f>IF($N914="","",INDEX(Staging!$B$2:$B$3001,$N914))</f>
      </c>
      <c r="C914">
        <f>IF($N914="","",INDEX(Staging!$C$2:$C$3001,$N914))</f>
      </c>
      <c r="D914">
        <f>IF($N914="","",INDEX(Staging!$D$2:$D$3001,$N914))</f>
      </c>
      <c r="E914">
        <f>IF($N914="","",INDEX(Staging!$F$2:$F$3001,$N914))</f>
      </c>
      <c r="F914">
        <f>IF($N914="","",INDEX(Staging!$G$2:$G$3001,$N914))</f>
      </c>
      <c r="G914">
        <f>IF($N914="","",INDEX(Staging!$H$2:$H$3001,$N914))</f>
      </c>
      <c r="H914">
        <f>IF($N914="","",INDEX(Staging!$I$2:$I$3001,$N914))</f>
      </c>
      <c r="I914">
        <f>IF($N914="","",INDEX(Staging!$J$2:$J$3001,$N914))</f>
      </c>
      <c r="J914">
        <f>IF($N914="","",INDEX(Staging!$K$2:$K$3001,$N914))</f>
      </c>
      <c r="K914">
        <f>IF($N914="","",INDEX(Staging!$M$2:$M$3001,$N914))</f>
      </c>
      <c r="L914">
        <f>IF($N914="","",INDEX(Staging!$O$2:$O$3001,$N914))</f>
      </c>
      <c r="M914">
        <f>IF($N914="","",INDEX(Staging!$P$2:$P$3001,$N914))</f>
      </c>
      <c r="N914">
        <f t="array" ref="N914">IFERROR(SMALL(IF(Staging!$E$2:$E$3001="MIPPL",ROW(Staging!$E$2:$E$3001)-ROW(Staging!$E$2)+1),913),"")</f>
      </c>
    </row>
    <row r="915" spans="1:14" x14ac:dyDescent="0.25">
      <c r="A915">
        <f>IF($N915="","",INDEX(Staging!$A$2:$A$3001,$N915))</f>
      </c>
      <c r="B915">
        <f>IF($N915="","",INDEX(Staging!$B$2:$B$3001,$N915))</f>
      </c>
      <c r="C915">
        <f>IF($N915="","",INDEX(Staging!$C$2:$C$3001,$N915))</f>
      </c>
      <c r="D915">
        <f>IF($N915="","",INDEX(Staging!$D$2:$D$3001,$N915))</f>
      </c>
      <c r="E915">
        <f>IF($N915="","",INDEX(Staging!$F$2:$F$3001,$N915))</f>
      </c>
      <c r="F915">
        <f>IF($N915="","",INDEX(Staging!$G$2:$G$3001,$N915))</f>
      </c>
      <c r="G915">
        <f>IF($N915="","",INDEX(Staging!$H$2:$H$3001,$N915))</f>
      </c>
      <c r="H915">
        <f>IF($N915="","",INDEX(Staging!$I$2:$I$3001,$N915))</f>
      </c>
      <c r="I915">
        <f>IF($N915="","",INDEX(Staging!$J$2:$J$3001,$N915))</f>
      </c>
      <c r="J915">
        <f>IF($N915="","",INDEX(Staging!$K$2:$K$3001,$N915))</f>
      </c>
      <c r="K915">
        <f>IF($N915="","",INDEX(Staging!$M$2:$M$3001,$N915))</f>
      </c>
      <c r="L915">
        <f>IF($N915="","",INDEX(Staging!$O$2:$O$3001,$N915))</f>
      </c>
      <c r="M915">
        <f>IF($N915="","",INDEX(Staging!$P$2:$P$3001,$N915))</f>
      </c>
      <c r="N915">
        <f t="array" ref="N915">IFERROR(SMALL(IF(Staging!$E$2:$E$3001="MIPPL",ROW(Staging!$E$2:$E$3001)-ROW(Staging!$E$2)+1),914),"")</f>
      </c>
    </row>
    <row r="916" spans="1:14" x14ac:dyDescent="0.25">
      <c r="A916">
        <f>IF($N916="","",INDEX(Staging!$A$2:$A$3001,$N916))</f>
      </c>
      <c r="B916">
        <f>IF($N916="","",INDEX(Staging!$B$2:$B$3001,$N916))</f>
      </c>
      <c r="C916">
        <f>IF($N916="","",INDEX(Staging!$C$2:$C$3001,$N916))</f>
      </c>
      <c r="D916">
        <f>IF($N916="","",INDEX(Staging!$D$2:$D$3001,$N916))</f>
      </c>
      <c r="E916">
        <f>IF($N916="","",INDEX(Staging!$F$2:$F$3001,$N916))</f>
      </c>
      <c r="F916">
        <f>IF($N916="","",INDEX(Staging!$G$2:$G$3001,$N916))</f>
      </c>
      <c r="G916">
        <f>IF($N916="","",INDEX(Staging!$H$2:$H$3001,$N916))</f>
      </c>
      <c r="H916">
        <f>IF($N916="","",INDEX(Staging!$I$2:$I$3001,$N916))</f>
      </c>
      <c r="I916">
        <f>IF($N916="","",INDEX(Staging!$J$2:$J$3001,$N916))</f>
      </c>
      <c r="J916">
        <f>IF($N916="","",INDEX(Staging!$K$2:$K$3001,$N916))</f>
      </c>
      <c r="K916">
        <f>IF($N916="","",INDEX(Staging!$M$2:$M$3001,$N916))</f>
      </c>
      <c r="L916">
        <f>IF($N916="","",INDEX(Staging!$O$2:$O$3001,$N916))</f>
      </c>
      <c r="M916">
        <f>IF($N916="","",INDEX(Staging!$P$2:$P$3001,$N916))</f>
      </c>
      <c r="N916">
        <f t="array" ref="N916">IFERROR(SMALL(IF(Staging!$E$2:$E$3001="MIPPL",ROW(Staging!$E$2:$E$3001)-ROW(Staging!$E$2)+1),915),"")</f>
      </c>
    </row>
    <row r="917" spans="1:14" x14ac:dyDescent="0.25">
      <c r="A917">
        <f>IF($N917="","",INDEX(Staging!$A$2:$A$3001,$N917))</f>
      </c>
      <c r="B917">
        <f>IF($N917="","",INDEX(Staging!$B$2:$B$3001,$N917))</f>
      </c>
      <c r="C917">
        <f>IF($N917="","",INDEX(Staging!$C$2:$C$3001,$N917))</f>
      </c>
      <c r="D917">
        <f>IF($N917="","",INDEX(Staging!$D$2:$D$3001,$N917))</f>
      </c>
      <c r="E917">
        <f>IF($N917="","",INDEX(Staging!$F$2:$F$3001,$N917))</f>
      </c>
      <c r="F917">
        <f>IF($N917="","",INDEX(Staging!$G$2:$G$3001,$N917))</f>
      </c>
      <c r="G917">
        <f>IF($N917="","",INDEX(Staging!$H$2:$H$3001,$N917))</f>
      </c>
      <c r="H917">
        <f>IF($N917="","",INDEX(Staging!$I$2:$I$3001,$N917))</f>
      </c>
      <c r="I917">
        <f>IF($N917="","",INDEX(Staging!$J$2:$J$3001,$N917))</f>
      </c>
      <c r="J917">
        <f>IF($N917="","",INDEX(Staging!$K$2:$K$3001,$N917))</f>
      </c>
      <c r="K917">
        <f>IF($N917="","",INDEX(Staging!$M$2:$M$3001,$N917))</f>
      </c>
      <c r="L917">
        <f>IF($N917="","",INDEX(Staging!$O$2:$O$3001,$N917))</f>
      </c>
      <c r="M917">
        <f>IF($N917="","",INDEX(Staging!$P$2:$P$3001,$N917))</f>
      </c>
      <c r="N917">
        <f t="array" ref="N917">IFERROR(SMALL(IF(Staging!$E$2:$E$3001="MIPPL",ROW(Staging!$E$2:$E$3001)-ROW(Staging!$E$2)+1),916),"")</f>
      </c>
    </row>
    <row r="918" spans="1:14" x14ac:dyDescent="0.25">
      <c r="A918">
        <f>IF($N918="","",INDEX(Staging!$A$2:$A$3001,$N918))</f>
      </c>
      <c r="B918">
        <f>IF($N918="","",INDEX(Staging!$B$2:$B$3001,$N918))</f>
      </c>
      <c r="C918">
        <f>IF($N918="","",INDEX(Staging!$C$2:$C$3001,$N918))</f>
      </c>
      <c r="D918">
        <f>IF($N918="","",INDEX(Staging!$D$2:$D$3001,$N918))</f>
      </c>
      <c r="E918">
        <f>IF($N918="","",INDEX(Staging!$F$2:$F$3001,$N918))</f>
      </c>
      <c r="F918">
        <f>IF($N918="","",INDEX(Staging!$G$2:$G$3001,$N918))</f>
      </c>
      <c r="G918">
        <f>IF($N918="","",INDEX(Staging!$H$2:$H$3001,$N918))</f>
      </c>
      <c r="H918">
        <f>IF($N918="","",INDEX(Staging!$I$2:$I$3001,$N918))</f>
      </c>
      <c r="I918">
        <f>IF($N918="","",INDEX(Staging!$J$2:$J$3001,$N918))</f>
      </c>
      <c r="J918">
        <f>IF($N918="","",INDEX(Staging!$K$2:$K$3001,$N918))</f>
      </c>
      <c r="K918">
        <f>IF($N918="","",INDEX(Staging!$M$2:$M$3001,$N918))</f>
      </c>
      <c r="L918">
        <f>IF($N918="","",INDEX(Staging!$O$2:$O$3001,$N918))</f>
      </c>
      <c r="M918">
        <f>IF($N918="","",INDEX(Staging!$P$2:$P$3001,$N918))</f>
      </c>
      <c r="N918">
        <f t="array" ref="N918">IFERROR(SMALL(IF(Staging!$E$2:$E$3001="MIPPL",ROW(Staging!$E$2:$E$3001)-ROW(Staging!$E$2)+1),917),"")</f>
      </c>
    </row>
    <row r="919" spans="1:14" x14ac:dyDescent="0.25">
      <c r="A919">
        <f>IF($N919="","",INDEX(Staging!$A$2:$A$3001,$N919))</f>
      </c>
      <c r="B919">
        <f>IF($N919="","",INDEX(Staging!$B$2:$B$3001,$N919))</f>
      </c>
      <c r="C919">
        <f>IF($N919="","",INDEX(Staging!$C$2:$C$3001,$N919))</f>
      </c>
      <c r="D919">
        <f>IF($N919="","",INDEX(Staging!$D$2:$D$3001,$N919))</f>
      </c>
      <c r="E919">
        <f>IF($N919="","",INDEX(Staging!$F$2:$F$3001,$N919))</f>
      </c>
      <c r="F919">
        <f>IF($N919="","",INDEX(Staging!$G$2:$G$3001,$N919))</f>
      </c>
      <c r="G919">
        <f>IF($N919="","",INDEX(Staging!$H$2:$H$3001,$N919))</f>
      </c>
      <c r="H919">
        <f>IF($N919="","",INDEX(Staging!$I$2:$I$3001,$N919))</f>
      </c>
      <c r="I919">
        <f>IF($N919="","",INDEX(Staging!$J$2:$J$3001,$N919))</f>
      </c>
      <c r="J919">
        <f>IF($N919="","",INDEX(Staging!$K$2:$K$3001,$N919))</f>
      </c>
      <c r="K919">
        <f>IF($N919="","",INDEX(Staging!$M$2:$M$3001,$N919))</f>
      </c>
      <c r="L919">
        <f>IF($N919="","",INDEX(Staging!$O$2:$O$3001,$N919))</f>
      </c>
      <c r="M919">
        <f>IF($N919="","",INDEX(Staging!$P$2:$P$3001,$N919))</f>
      </c>
      <c r="N919">
        <f t="array" ref="N919">IFERROR(SMALL(IF(Staging!$E$2:$E$3001="MIPPL",ROW(Staging!$E$2:$E$3001)-ROW(Staging!$E$2)+1),918),"")</f>
      </c>
    </row>
    <row r="920" spans="1:14" x14ac:dyDescent="0.25">
      <c r="A920">
        <f>IF($N920="","",INDEX(Staging!$A$2:$A$3001,$N920))</f>
      </c>
      <c r="B920">
        <f>IF($N920="","",INDEX(Staging!$B$2:$B$3001,$N920))</f>
      </c>
      <c r="C920">
        <f>IF($N920="","",INDEX(Staging!$C$2:$C$3001,$N920))</f>
      </c>
      <c r="D920">
        <f>IF($N920="","",INDEX(Staging!$D$2:$D$3001,$N920))</f>
      </c>
      <c r="E920">
        <f>IF($N920="","",INDEX(Staging!$F$2:$F$3001,$N920))</f>
      </c>
      <c r="F920">
        <f>IF($N920="","",INDEX(Staging!$G$2:$G$3001,$N920))</f>
      </c>
      <c r="G920">
        <f>IF($N920="","",INDEX(Staging!$H$2:$H$3001,$N920))</f>
      </c>
      <c r="H920">
        <f>IF($N920="","",INDEX(Staging!$I$2:$I$3001,$N920))</f>
      </c>
      <c r="I920">
        <f>IF($N920="","",INDEX(Staging!$J$2:$J$3001,$N920))</f>
      </c>
      <c r="J920">
        <f>IF($N920="","",INDEX(Staging!$K$2:$K$3001,$N920))</f>
      </c>
      <c r="K920">
        <f>IF($N920="","",INDEX(Staging!$M$2:$M$3001,$N920))</f>
      </c>
      <c r="L920">
        <f>IF($N920="","",INDEX(Staging!$O$2:$O$3001,$N920))</f>
      </c>
      <c r="M920">
        <f>IF($N920="","",INDEX(Staging!$P$2:$P$3001,$N920))</f>
      </c>
      <c r="N920">
        <f t="array" ref="N920">IFERROR(SMALL(IF(Staging!$E$2:$E$3001="MIPPL",ROW(Staging!$E$2:$E$3001)-ROW(Staging!$E$2)+1),919),"")</f>
      </c>
    </row>
    <row r="921" spans="1:14" x14ac:dyDescent="0.25">
      <c r="A921">
        <f>IF($N921="","",INDEX(Staging!$A$2:$A$3001,$N921))</f>
      </c>
      <c r="B921">
        <f>IF($N921="","",INDEX(Staging!$B$2:$B$3001,$N921))</f>
      </c>
      <c r="C921">
        <f>IF($N921="","",INDEX(Staging!$C$2:$C$3001,$N921))</f>
      </c>
      <c r="D921">
        <f>IF($N921="","",INDEX(Staging!$D$2:$D$3001,$N921))</f>
      </c>
      <c r="E921">
        <f>IF($N921="","",INDEX(Staging!$F$2:$F$3001,$N921))</f>
      </c>
      <c r="F921">
        <f>IF($N921="","",INDEX(Staging!$G$2:$G$3001,$N921))</f>
      </c>
      <c r="G921">
        <f>IF($N921="","",INDEX(Staging!$H$2:$H$3001,$N921))</f>
      </c>
      <c r="H921">
        <f>IF($N921="","",INDEX(Staging!$I$2:$I$3001,$N921))</f>
      </c>
      <c r="I921">
        <f>IF($N921="","",INDEX(Staging!$J$2:$J$3001,$N921))</f>
      </c>
      <c r="J921">
        <f>IF($N921="","",INDEX(Staging!$K$2:$K$3001,$N921))</f>
      </c>
      <c r="K921">
        <f>IF($N921="","",INDEX(Staging!$M$2:$M$3001,$N921))</f>
      </c>
      <c r="L921">
        <f>IF($N921="","",INDEX(Staging!$O$2:$O$3001,$N921))</f>
      </c>
      <c r="M921">
        <f>IF($N921="","",INDEX(Staging!$P$2:$P$3001,$N921))</f>
      </c>
      <c r="N921">
        <f t="array" ref="N921">IFERROR(SMALL(IF(Staging!$E$2:$E$3001="MIPPL",ROW(Staging!$E$2:$E$3001)-ROW(Staging!$E$2)+1),920),"")</f>
      </c>
    </row>
    <row r="922" spans="1:14" x14ac:dyDescent="0.25">
      <c r="A922">
        <f>IF($N922="","",INDEX(Staging!$A$2:$A$3001,$N922))</f>
      </c>
      <c r="B922">
        <f>IF($N922="","",INDEX(Staging!$B$2:$B$3001,$N922))</f>
      </c>
      <c r="C922">
        <f>IF($N922="","",INDEX(Staging!$C$2:$C$3001,$N922))</f>
      </c>
      <c r="D922">
        <f>IF($N922="","",INDEX(Staging!$D$2:$D$3001,$N922))</f>
      </c>
      <c r="E922">
        <f>IF($N922="","",INDEX(Staging!$F$2:$F$3001,$N922))</f>
      </c>
      <c r="F922">
        <f>IF($N922="","",INDEX(Staging!$G$2:$G$3001,$N922))</f>
      </c>
      <c r="G922">
        <f>IF($N922="","",INDEX(Staging!$H$2:$H$3001,$N922))</f>
      </c>
      <c r="H922">
        <f>IF($N922="","",INDEX(Staging!$I$2:$I$3001,$N922))</f>
      </c>
      <c r="I922">
        <f>IF($N922="","",INDEX(Staging!$J$2:$J$3001,$N922))</f>
      </c>
      <c r="J922">
        <f>IF($N922="","",INDEX(Staging!$K$2:$K$3001,$N922))</f>
      </c>
      <c r="K922">
        <f>IF($N922="","",INDEX(Staging!$M$2:$M$3001,$N922))</f>
      </c>
      <c r="L922">
        <f>IF($N922="","",INDEX(Staging!$O$2:$O$3001,$N922))</f>
      </c>
      <c r="M922">
        <f>IF($N922="","",INDEX(Staging!$P$2:$P$3001,$N922))</f>
      </c>
      <c r="N922">
        <f t="array" ref="N922">IFERROR(SMALL(IF(Staging!$E$2:$E$3001="MIPPL",ROW(Staging!$E$2:$E$3001)-ROW(Staging!$E$2)+1),921),"")</f>
      </c>
    </row>
    <row r="923" spans="1:14" x14ac:dyDescent="0.25">
      <c r="A923">
        <f>IF($N923="","",INDEX(Staging!$A$2:$A$3001,$N923))</f>
      </c>
      <c r="B923">
        <f>IF($N923="","",INDEX(Staging!$B$2:$B$3001,$N923))</f>
      </c>
      <c r="C923">
        <f>IF($N923="","",INDEX(Staging!$C$2:$C$3001,$N923))</f>
      </c>
      <c r="D923">
        <f>IF($N923="","",INDEX(Staging!$D$2:$D$3001,$N923))</f>
      </c>
      <c r="E923">
        <f>IF($N923="","",INDEX(Staging!$F$2:$F$3001,$N923))</f>
      </c>
      <c r="F923">
        <f>IF($N923="","",INDEX(Staging!$G$2:$G$3001,$N923))</f>
      </c>
      <c r="G923">
        <f>IF($N923="","",INDEX(Staging!$H$2:$H$3001,$N923))</f>
      </c>
      <c r="H923">
        <f>IF($N923="","",INDEX(Staging!$I$2:$I$3001,$N923))</f>
      </c>
      <c r="I923">
        <f>IF($N923="","",INDEX(Staging!$J$2:$J$3001,$N923))</f>
      </c>
      <c r="J923">
        <f>IF($N923="","",INDEX(Staging!$K$2:$K$3001,$N923))</f>
      </c>
      <c r="K923">
        <f>IF($N923="","",INDEX(Staging!$M$2:$M$3001,$N923))</f>
      </c>
      <c r="L923">
        <f>IF($N923="","",INDEX(Staging!$O$2:$O$3001,$N923))</f>
      </c>
      <c r="M923">
        <f>IF($N923="","",INDEX(Staging!$P$2:$P$3001,$N923))</f>
      </c>
      <c r="N923">
        <f t="array" ref="N923">IFERROR(SMALL(IF(Staging!$E$2:$E$3001="MIPPL",ROW(Staging!$E$2:$E$3001)-ROW(Staging!$E$2)+1),922),"")</f>
      </c>
    </row>
    <row r="924" spans="1:14" x14ac:dyDescent="0.25">
      <c r="A924">
        <f>IF($N924="","",INDEX(Staging!$A$2:$A$3001,$N924))</f>
      </c>
      <c r="B924">
        <f>IF($N924="","",INDEX(Staging!$B$2:$B$3001,$N924))</f>
      </c>
      <c r="C924">
        <f>IF($N924="","",INDEX(Staging!$C$2:$C$3001,$N924))</f>
      </c>
      <c r="D924">
        <f>IF($N924="","",INDEX(Staging!$D$2:$D$3001,$N924))</f>
      </c>
      <c r="E924">
        <f>IF($N924="","",INDEX(Staging!$F$2:$F$3001,$N924))</f>
      </c>
      <c r="F924">
        <f>IF($N924="","",INDEX(Staging!$G$2:$G$3001,$N924))</f>
      </c>
      <c r="G924">
        <f>IF($N924="","",INDEX(Staging!$H$2:$H$3001,$N924))</f>
      </c>
      <c r="H924">
        <f>IF($N924="","",INDEX(Staging!$I$2:$I$3001,$N924))</f>
      </c>
      <c r="I924">
        <f>IF($N924="","",INDEX(Staging!$J$2:$J$3001,$N924))</f>
      </c>
      <c r="J924">
        <f>IF($N924="","",INDEX(Staging!$K$2:$K$3001,$N924))</f>
      </c>
      <c r="K924">
        <f>IF($N924="","",INDEX(Staging!$M$2:$M$3001,$N924))</f>
      </c>
      <c r="L924">
        <f>IF($N924="","",INDEX(Staging!$O$2:$O$3001,$N924))</f>
      </c>
      <c r="M924">
        <f>IF($N924="","",INDEX(Staging!$P$2:$P$3001,$N924))</f>
      </c>
      <c r="N924">
        <f t="array" ref="N924">IFERROR(SMALL(IF(Staging!$E$2:$E$3001="MIPPL",ROW(Staging!$E$2:$E$3001)-ROW(Staging!$E$2)+1),923),"")</f>
      </c>
    </row>
    <row r="925" spans="1:14" x14ac:dyDescent="0.25">
      <c r="A925">
        <f>IF($N925="","",INDEX(Staging!$A$2:$A$3001,$N925))</f>
      </c>
      <c r="B925">
        <f>IF($N925="","",INDEX(Staging!$B$2:$B$3001,$N925))</f>
      </c>
      <c r="C925">
        <f>IF($N925="","",INDEX(Staging!$C$2:$C$3001,$N925))</f>
      </c>
      <c r="D925">
        <f>IF($N925="","",INDEX(Staging!$D$2:$D$3001,$N925))</f>
      </c>
      <c r="E925">
        <f>IF($N925="","",INDEX(Staging!$F$2:$F$3001,$N925))</f>
      </c>
      <c r="F925">
        <f>IF($N925="","",INDEX(Staging!$G$2:$G$3001,$N925))</f>
      </c>
      <c r="G925">
        <f>IF($N925="","",INDEX(Staging!$H$2:$H$3001,$N925))</f>
      </c>
      <c r="H925">
        <f>IF($N925="","",INDEX(Staging!$I$2:$I$3001,$N925))</f>
      </c>
      <c r="I925">
        <f>IF($N925="","",INDEX(Staging!$J$2:$J$3001,$N925))</f>
      </c>
      <c r="J925">
        <f>IF($N925="","",INDEX(Staging!$K$2:$K$3001,$N925))</f>
      </c>
      <c r="K925">
        <f>IF($N925="","",INDEX(Staging!$M$2:$M$3001,$N925))</f>
      </c>
      <c r="L925">
        <f>IF($N925="","",INDEX(Staging!$O$2:$O$3001,$N925))</f>
      </c>
      <c r="M925">
        <f>IF($N925="","",INDEX(Staging!$P$2:$P$3001,$N925))</f>
      </c>
      <c r="N925">
        <f t="array" ref="N925">IFERROR(SMALL(IF(Staging!$E$2:$E$3001="MIPPL",ROW(Staging!$E$2:$E$3001)-ROW(Staging!$E$2)+1),924),"")</f>
      </c>
    </row>
    <row r="926" spans="1:14" x14ac:dyDescent="0.25">
      <c r="A926">
        <f>IF($N926="","",INDEX(Staging!$A$2:$A$3001,$N926))</f>
      </c>
      <c r="B926">
        <f>IF($N926="","",INDEX(Staging!$B$2:$B$3001,$N926))</f>
      </c>
      <c r="C926">
        <f>IF($N926="","",INDEX(Staging!$C$2:$C$3001,$N926))</f>
      </c>
      <c r="D926">
        <f>IF($N926="","",INDEX(Staging!$D$2:$D$3001,$N926))</f>
      </c>
      <c r="E926">
        <f>IF($N926="","",INDEX(Staging!$F$2:$F$3001,$N926))</f>
      </c>
      <c r="F926">
        <f>IF($N926="","",INDEX(Staging!$G$2:$G$3001,$N926))</f>
      </c>
      <c r="G926">
        <f>IF($N926="","",INDEX(Staging!$H$2:$H$3001,$N926))</f>
      </c>
      <c r="H926">
        <f>IF($N926="","",INDEX(Staging!$I$2:$I$3001,$N926))</f>
      </c>
      <c r="I926">
        <f>IF($N926="","",INDEX(Staging!$J$2:$J$3001,$N926))</f>
      </c>
      <c r="J926">
        <f>IF($N926="","",INDEX(Staging!$K$2:$K$3001,$N926))</f>
      </c>
      <c r="K926">
        <f>IF($N926="","",INDEX(Staging!$M$2:$M$3001,$N926))</f>
      </c>
      <c r="L926">
        <f>IF($N926="","",INDEX(Staging!$O$2:$O$3001,$N926))</f>
      </c>
      <c r="M926">
        <f>IF($N926="","",INDEX(Staging!$P$2:$P$3001,$N926))</f>
      </c>
      <c r="N926">
        <f t="array" ref="N926">IFERROR(SMALL(IF(Staging!$E$2:$E$3001="MIPPL",ROW(Staging!$E$2:$E$3001)-ROW(Staging!$E$2)+1),925),"")</f>
      </c>
    </row>
    <row r="927" spans="1:14" x14ac:dyDescent="0.25">
      <c r="A927">
        <f>IF($N927="","",INDEX(Staging!$A$2:$A$3001,$N927))</f>
      </c>
      <c r="B927">
        <f>IF($N927="","",INDEX(Staging!$B$2:$B$3001,$N927))</f>
      </c>
      <c r="C927">
        <f>IF($N927="","",INDEX(Staging!$C$2:$C$3001,$N927))</f>
      </c>
      <c r="D927">
        <f>IF($N927="","",INDEX(Staging!$D$2:$D$3001,$N927))</f>
      </c>
      <c r="E927">
        <f>IF($N927="","",INDEX(Staging!$F$2:$F$3001,$N927))</f>
      </c>
      <c r="F927">
        <f>IF($N927="","",INDEX(Staging!$G$2:$G$3001,$N927))</f>
      </c>
      <c r="G927">
        <f>IF($N927="","",INDEX(Staging!$H$2:$H$3001,$N927))</f>
      </c>
      <c r="H927">
        <f>IF($N927="","",INDEX(Staging!$I$2:$I$3001,$N927))</f>
      </c>
      <c r="I927">
        <f>IF($N927="","",INDEX(Staging!$J$2:$J$3001,$N927))</f>
      </c>
      <c r="J927">
        <f>IF($N927="","",INDEX(Staging!$K$2:$K$3001,$N927))</f>
      </c>
      <c r="K927">
        <f>IF($N927="","",INDEX(Staging!$M$2:$M$3001,$N927))</f>
      </c>
      <c r="L927">
        <f>IF($N927="","",INDEX(Staging!$O$2:$O$3001,$N927))</f>
      </c>
      <c r="M927">
        <f>IF($N927="","",INDEX(Staging!$P$2:$P$3001,$N927))</f>
      </c>
      <c r="N927">
        <f t="array" ref="N927">IFERROR(SMALL(IF(Staging!$E$2:$E$3001="MIPPL",ROW(Staging!$E$2:$E$3001)-ROW(Staging!$E$2)+1),926),"")</f>
      </c>
    </row>
    <row r="928" spans="1:14" x14ac:dyDescent="0.25">
      <c r="A928">
        <f>IF($N928="","",INDEX(Staging!$A$2:$A$3001,$N928))</f>
      </c>
      <c r="B928">
        <f>IF($N928="","",INDEX(Staging!$B$2:$B$3001,$N928))</f>
      </c>
      <c r="C928">
        <f>IF($N928="","",INDEX(Staging!$C$2:$C$3001,$N928))</f>
      </c>
      <c r="D928">
        <f>IF($N928="","",INDEX(Staging!$D$2:$D$3001,$N928))</f>
      </c>
      <c r="E928">
        <f>IF($N928="","",INDEX(Staging!$F$2:$F$3001,$N928))</f>
      </c>
      <c r="F928">
        <f>IF($N928="","",INDEX(Staging!$G$2:$G$3001,$N928))</f>
      </c>
      <c r="G928">
        <f>IF($N928="","",INDEX(Staging!$H$2:$H$3001,$N928))</f>
      </c>
      <c r="H928">
        <f>IF($N928="","",INDEX(Staging!$I$2:$I$3001,$N928))</f>
      </c>
      <c r="I928">
        <f>IF($N928="","",INDEX(Staging!$J$2:$J$3001,$N928))</f>
      </c>
      <c r="J928">
        <f>IF($N928="","",INDEX(Staging!$K$2:$K$3001,$N928))</f>
      </c>
      <c r="K928">
        <f>IF($N928="","",INDEX(Staging!$M$2:$M$3001,$N928))</f>
      </c>
      <c r="L928">
        <f>IF($N928="","",INDEX(Staging!$O$2:$O$3001,$N928))</f>
      </c>
      <c r="M928">
        <f>IF($N928="","",INDEX(Staging!$P$2:$P$3001,$N928))</f>
      </c>
      <c r="N928">
        <f t="array" ref="N928">IFERROR(SMALL(IF(Staging!$E$2:$E$3001="MIPPL",ROW(Staging!$E$2:$E$3001)-ROW(Staging!$E$2)+1),927),"")</f>
      </c>
    </row>
    <row r="929" spans="1:14" x14ac:dyDescent="0.25">
      <c r="A929">
        <f>IF($N929="","",INDEX(Staging!$A$2:$A$3001,$N929))</f>
      </c>
      <c r="B929">
        <f>IF($N929="","",INDEX(Staging!$B$2:$B$3001,$N929))</f>
      </c>
      <c r="C929">
        <f>IF($N929="","",INDEX(Staging!$C$2:$C$3001,$N929))</f>
      </c>
      <c r="D929">
        <f>IF($N929="","",INDEX(Staging!$D$2:$D$3001,$N929))</f>
      </c>
      <c r="E929">
        <f>IF($N929="","",INDEX(Staging!$F$2:$F$3001,$N929))</f>
      </c>
      <c r="F929">
        <f>IF($N929="","",INDEX(Staging!$G$2:$G$3001,$N929))</f>
      </c>
      <c r="G929">
        <f>IF($N929="","",INDEX(Staging!$H$2:$H$3001,$N929))</f>
      </c>
      <c r="H929">
        <f>IF($N929="","",INDEX(Staging!$I$2:$I$3001,$N929))</f>
      </c>
      <c r="I929">
        <f>IF($N929="","",INDEX(Staging!$J$2:$J$3001,$N929))</f>
      </c>
      <c r="J929">
        <f>IF($N929="","",INDEX(Staging!$K$2:$K$3001,$N929))</f>
      </c>
      <c r="K929">
        <f>IF($N929="","",INDEX(Staging!$M$2:$M$3001,$N929))</f>
      </c>
      <c r="L929">
        <f>IF($N929="","",INDEX(Staging!$O$2:$O$3001,$N929))</f>
      </c>
      <c r="M929">
        <f>IF($N929="","",INDEX(Staging!$P$2:$P$3001,$N929))</f>
      </c>
      <c r="N929">
        <f t="array" ref="N929">IFERROR(SMALL(IF(Staging!$E$2:$E$3001="MIPPL",ROW(Staging!$E$2:$E$3001)-ROW(Staging!$E$2)+1),928),"")</f>
      </c>
    </row>
    <row r="930" spans="1:14" x14ac:dyDescent="0.25">
      <c r="A930">
        <f>IF($N930="","",INDEX(Staging!$A$2:$A$3001,$N930))</f>
      </c>
      <c r="B930">
        <f>IF($N930="","",INDEX(Staging!$B$2:$B$3001,$N930))</f>
      </c>
      <c r="C930">
        <f>IF($N930="","",INDEX(Staging!$C$2:$C$3001,$N930))</f>
      </c>
      <c r="D930">
        <f>IF($N930="","",INDEX(Staging!$D$2:$D$3001,$N930))</f>
      </c>
      <c r="E930">
        <f>IF($N930="","",INDEX(Staging!$F$2:$F$3001,$N930))</f>
      </c>
      <c r="F930">
        <f>IF($N930="","",INDEX(Staging!$G$2:$G$3001,$N930))</f>
      </c>
      <c r="G930">
        <f>IF($N930="","",INDEX(Staging!$H$2:$H$3001,$N930))</f>
      </c>
      <c r="H930">
        <f>IF($N930="","",INDEX(Staging!$I$2:$I$3001,$N930))</f>
      </c>
      <c r="I930">
        <f>IF($N930="","",INDEX(Staging!$J$2:$J$3001,$N930))</f>
      </c>
      <c r="J930">
        <f>IF($N930="","",INDEX(Staging!$K$2:$K$3001,$N930))</f>
      </c>
      <c r="K930">
        <f>IF($N930="","",INDEX(Staging!$M$2:$M$3001,$N930))</f>
      </c>
      <c r="L930">
        <f>IF($N930="","",INDEX(Staging!$O$2:$O$3001,$N930))</f>
      </c>
      <c r="M930">
        <f>IF($N930="","",INDEX(Staging!$P$2:$P$3001,$N930))</f>
      </c>
      <c r="N930">
        <f t="array" ref="N930">IFERROR(SMALL(IF(Staging!$E$2:$E$3001="MIPPL",ROW(Staging!$E$2:$E$3001)-ROW(Staging!$E$2)+1),929),"")</f>
      </c>
    </row>
    <row r="931" spans="1:14" x14ac:dyDescent="0.25">
      <c r="A931">
        <f>IF($N931="","",INDEX(Staging!$A$2:$A$3001,$N931))</f>
      </c>
      <c r="B931">
        <f>IF($N931="","",INDEX(Staging!$B$2:$B$3001,$N931))</f>
      </c>
      <c r="C931">
        <f>IF($N931="","",INDEX(Staging!$C$2:$C$3001,$N931))</f>
      </c>
      <c r="D931">
        <f>IF($N931="","",INDEX(Staging!$D$2:$D$3001,$N931))</f>
      </c>
      <c r="E931">
        <f>IF($N931="","",INDEX(Staging!$F$2:$F$3001,$N931))</f>
      </c>
      <c r="F931">
        <f>IF($N931="","",INDEX(Staging!$G$2:$G$3001,$N931))</f>
      </c>
      <c r="G931">
        <f>IF($N931="","",INDEX(Staging!$H$2:$H$3001,$N931))</f>
      </c>
      <c r="H931">
        <f>IF($N931="","",INDEX(Staging!$I$2:$I$3001,$N931))</f>
      </c>
      <c r="I931">
        <f>IF($N931="","",INDEX(Staging!$J$2:$J$3001,$N931))</f>
      </c>
      <c r="J931">
        <f>IF($N931="","",INDEX(Staging!$K$2:$K$3001,$N931))</f>
      </c>
      <c r="K931">
        <f>IF($N931="","",INDEX(Staging!$M$2:$M$3001,$N931))</f>
      </c>
      <c r="L931">
        <f>IF($N931="","",INDEX(Staging!$O$2:$O$3001,$N931))</f>
      </c>
      <c r="M931">
        <f>IF($N931="","",INDEX(Staging!$P$2:$P$3001,$N931))</f>
      </c>
      <c r="N931">
        <f t="array" ref="N931">IFERROR(SMALL(IF(Staging!$E$2:$E$3001="MIPPL",ROW(Staging!$E$2:$E$3001)-ROW(Staging!$E$2)+1),930),"")</f>
      </c>
    </row>
    <row r="932" spans="1:14" x14ac:dyDescent="0.25">
      <c r="A932">
        <f>IF($N932="","",INDEX(Staging!$A$2:$A$3001,$N932))</f>
      </c>
      <c r="B932">
        <f>IF($N932="","",INDEX(Staging!$B$2:$B$3001,$N932))</f>
      </c>
      <c r="C932">
        <f>IF($N932="","",INDEX(Staging!$C$2:$C$3001,$N932))</f>
      </c>
      <c r="D932">
        <f>IF($N932="","",INDEX(Staging!$D$2:$D$3001,$N932))</f>
      </c>
      <c r="E932">
        <f>IF($N932="","",INDEX(Staging!$F$2:$F$3001,$N932))</f>
      </c>
      <c r="F932">
        <f>IF($N932="","",INDEX(Staging!$G$2:$G$3001,$N932))</f>
      </c>
      <c r="G932">
        <f>IF($N932="","",INDEX(Staging!$H$2:$H$3001,$N932))</f>
      </c>
      <c r="H932">
        <f>IF($N932="","",INDEX(Staging!$I$2:$I$3001,$N932))</f>
      </c>
      <c r="I932">
        <f>IF($N932="","",INDEX(Staging!$J$2:$J$3001,$N932))</f>
      </c>
      <c r="J932">
        <f>IF($N932="","",INDEX(Staging!$K$2:$K$3001,$N932))</f>
      </c>
      <c r="K932">
        <f>IF($N932="","",INDEX(Staging!$M$2:$M$3001,$N932))</f>
      </c>
      <c r="L932">
        <f>IF($N932="","",INDEX(Staging!$O$2:$O$3001,$N932))</f>
      </c>
      <c r="M932">
        <f>IF($N932="","",INDEX(Staging!$P$2:$P$3001,$N932))</f>
      </c>
      <c r="N932">
        <f t="array" ref="N932">IFERROR(SMALL(IF(Staging!$E$2:$E$3001="MIPPL",ROW(Staging!$E$2:$E$3001)-ROW(Staging!$E$2)+1),931),"")</f>
      </c>
    </row>
    <row r="933" spans="1:14" x14ac:dyDescent="0.25">
      <c r="A933">
        <f>IF($N933="","",INDEX(Staging!$A$2:$A$3001,$N933))</f>
      </c>
      <c r="B933">
        <f>IF($N933="","",INDEX(Staging!$B$2:$B$3001,$N933))</f>
      </c>
      <c r="C933">
        <f>IF($N933="","",INDEX(Staging!$C$2:$C$3001,$N933))</f>
      </c>
      <c r="D933">
        <f>IF($N933="","",INDEX(Staging!$D$2:$D$3001,$N933))</f>
      </c>
      <c r="E933">
        <f>IF($N933="","",INDEX(Staging!$F$2:$F$3001,$N933))</f>
      </c>
      <c r="F933">
        <f>IF($N933="","",INDEX(Staging!$G$2:$G$3001,$N933))</f>
      </c>
      <c r="G933">
        <f>IF($N933="","",INDEX(Staging!$H$2:$H$3001,$N933))</f>
      </c>
      <c r="H933">
        <f>IF($N933="","",INDEX(Staging!$I$2:$I$3001,$N933))</f>
      </c>
      <c r="I933">
        <f>IF($N933="","",INDEX(Staging!$J$2:$J$3001,$N933))</f>
      </c>
      <c r="J933">
        <f>IF($N933="","",INDEX(Staging!$K$2:$K$3001,$N933))</f>
      </c>
      <c r="K933">
        <f>IF($N933="","",INDEX(Staging!$M$2:$M$3001,$N933))</f>
      </c>
      <c r="L933">
        <f>IF($N933="","",INDEX(Staging!$O$2:$O$3001,$N933))</f>
      </c>
      <c r="M933">
        <f>IF($N933="","",INDEX(Staging!$P$2:$P$3001,$N933))</f>
      </c>
      <c r="N933">
        <f t="array" ref="N933">IFERROR(SMALL(IF(Staging!$E$2:$E$3001="MIPPL",ROW(Staging!$E$2:$E$3001)-ROW(Staging!$E$2)+1),932),"")</f>
      </c>
    </row>
    <row r="934" spans="1:14" x14ac:dyDescent="0.25">
      <c r="A934">
        <f>IF($N934="","",INDEX(Staging!$A$2:$A$3001,$N934))</f>
      </c>
      <c r="B934">
        <f>IF($N934="","",INDEX(Staging!$B$2:$B$3001,$N934))</f>
      </c>
      <c r="C934">
        <f>IF($N934="","",INDEX(Staging!$C$2:$C$3001,$N934))</f>
      </c>
      <c r="D934">
        <f>IF($N934="","",INDEX(Staging!$D$2:$D$3001,$N934))</f>
      </c>
      <c r="E934">
        <f>IF($N934="","",INDEX(Staging!$F$2:$F$3001,$N934))</f>
      </c>
      <c r="F934">
        <f>IF($N934="","",INDEX(Staging!$G$2:$G$3001,$N934))</f>
      </c>
      <c r="G934">
        <f>IF($N934="","",INDEX(Staging!$H$2:$H$3001,$N934))</f>
      </c>
      <c r="H934">
        <f>IF($N934="","",INDEX(Staging!$I$2:$I$3001,$N934))</f>
      </c>
      <c r="I934">
        <f>IF($N934="","",INDEX(Staging!$J$2:$J$3001,$N934))</f>
      </c>
      <c r="J934">
        <f>IF($N934="","",INDEX(Staging!$K$2:$K$3001,$N934))</f>
      </c>
      <c r="K934">
        <f>IF($N934="","",INDEX(Staging!$M$2:$M$3001,$N934))</f>
      </c>
      <c r="L934">
        <f>IF($N934="","",INDEX(Staging!$O$2:$O$3001,$N934))</f>
      </c>
      <c r="M934">
        <f>IF($N934="","",INDEX(Staging!$P$2:$P$3001,$N934))</f>
      </c>
      <c r="N934">
        <f t="array" ref="N934">IFERROR(SMALL(IF(Staging!$E$2:$E$3001="MIPPL",ROW(Staging!$E$2:$E$3001)-ROW(Staging!$E$2)+1),933),"")</f>
      </c>
    </row>
    <row r="935" spans="1:14" x14ac:dyDescent="0.25">
      <c r="A935">
        <f>IF($N935="","",INDEX(Staging!$A$2:$A$3001,$N935))</f>
      </c>
      <c r="B935">
        <f>IF($N935="","",INDEX(Staging!$B$2:$B$3001,$N935))</f>
      </c>
      <c r="C935">
        <f>IF($N935="","",INDEX(Staging!$C$2:$C$3001,$N935))</f>
      </c>
      <c r="D935">
        <f>IF($N935="","",INDEX(Staging!$D$2:$D$3001,$N935))</f>
      </c>
      <c r="E935">
        <f>IF($N935="","",INDEX(Staging!$F$2:$F$3001,$N935))</f>
      </c>
      <c r="F935">
        <f>IF($N935="","",INDEX(Staging!$G$2:$G$3001,$N935))</f>
      </c>
      <c r="G935">
        <f>IF($N935="","",INDEX(Staging!$H$2:$H$3001,$N935))</f>
      </c>
      <c r="H935">
        <f>IF($N935="","",INDEX(Staging!$I$2:$I$3001,$N935))</f>
      </c>
      <c r="I935">
        <f>IF($N935="","",INDEX(Staging!$J$2:$J$3001,$N935))</f>
      </c>
      <c r="J935">
        <f>IF($N935="","",INDEX(Staging!$K$2:$K$3001,$N935))</f>
      </c>
      <c r="K935">
        <f>IF($N935="","",INDEX(Staging!$M$2:$M$3001,$N935))</f>
      </c>
      <c r="L935">
        <f>IF($N935="","",INDEX(Staging!$O$2:$O$3001,$N935))</f>
      </c>
      <c r="M935">
        <f>IF($N935="","",INDEX(Staging!$P$2:$P$3001,$N935))</f>
      </c>
      <c r="N935">
        <f t="array" ref="N935">IFERROR(SMALL(IF(Staging!$E$2:$E$3001="MIPPL",ROW(Staging!$E$2:$E$3001)-ROW(Staging!$E$2)+1),934),"")</f>
      </c>
    </row>
    <row r="936" spans="1:14" x14ac:dyDescent="0.25">
      <c r="A936">
        <f>IF($N936="","",INDEX(Staging!$A$2:$A$3001,$N936))</f>
      </c>
      <c r="B936">
        <f>IF($N936="","",INDEX(Staging!$B$2:$B$3001,$N936))</f>
      </c>
      <c r="C936">
        <f>IF($N936="","",INDEX(Staging!$C$2:$C$3001,$N936))</f>
      </c>
      <c r="D936">
        <f>IF($N936="","",INDEX(Staging!$D$2:$D$3001,$N936))</f>
      </c>
      <c r="E936">
        <f>IF($N936="","",INDEX(Staging!$F$2:$F$3001,$N936))</f>
      </c>
      <c r="F936">
        <f>IF($N936="","",INDEX(Staging!$G$2:$G$3001,$N936))</f>
      </c>
      <c r="G936">
        <f>IF($N936="","",INDEX(Staging!$H$2:$H$3001,$N936))</f>
      </c>
      <c r="H936">
        <f>IF($N936="","",INDEX(Staging!$I$2:$I$3001,$N936))</f>
      </c>
      <c r="I936">
        <f>IF($N936="","",INDEX(Staging!$J$2:$J$3001,$N936))</f>
      </c>
      <c r="J936">
        <f>IF($N936="","",INDEX(Staging!$K$2:$K$3001,$N936))</f>
      </c>
      <c r="K936">
        <f>IF($N936="","",INDEX(Staging!$M$2:$M$3001,$N936))</f>
      </c>
      <c r="L936">
        <f>IF($N936="","",INDEX(Staging!$O$2:$O$3001,$N936))</f>
      </c>
      <c r="M936">
        <f>IF($N936="","",INDEX(Staging!$P$2:$P$3001,$N936))</f>
      </c>
      <c r="N936">
        <f t="array" ref="N936">IFERROR(SMALL(IF(Staging!$E$2:$E$3001="MIPPL",ROW(Staging!$E$2:$E$3001)-ROW(Staging!$E$2)+1),935),"")</f>
      </c>
    </row>
    <row r="937" spans="1:14" x14ac:dyDescent="0.25">
      <c r="A937">
        <f>IF($N937="","",INDEX(Staging!$A$2:$A$3001,$N937))</f>
      </c>
      <c r="B937">
        <f>IF($N937="","",INDEX(Staging!$B$2:$B$3001,$N937))</f>
      </c>
      <c r="C937">
        <f>IF($N937="","",INDEX(Staging!$C$2:$C$3001,$N937))</f>
      </c>
      <c r="D937">
        <f>IF($N937="","",INDEX(Staging!$D$2:$D$3001,$N937))</f>
      </c>
      <c r="E937">
        <f>IF($N937="","",INDEX(Staging!$F$2:$F$3001,$N937))</f>
      </c>
      <c r="F937">
        <f>IF($N937="","",INDEX(Staging!$G$2:$G$3001,$N937))</f>
      </c>
      <c r="G937">
        <f>IF($N937="","",INDEX(Staging!$H$2:$H$3001,$N937))</f>
      </c>
      <c r="H937">
        <f>IF($N937="","",INDEX(Staging!$I$2:$I$3001,$N937))</f>
      </c>
      <c r="I937">
        <f>IF($N937="","",INDEX(Staging!$J$2:$J$3001,$N937))</f>
      </c>
      <c r="J937">
        <f>IF($N937="","",INDEX(Staging!$K$2:$K$3001,$N937))</f>
      </c>
      <c r="K937">
        <f>IF($N937="","",INDEX(Staging!$M$2:$M$3001,$N937))</f>
      </c>
      <c r="L937">
        <f>IF($N937="","",INDEX(Staging!$O$2:$O$3001,$N937))</f>
      </c>
      <c r="M937">
        <f>IF($N937="","",INDEX(Staging!$P$2:$P$3001,$N937))</f>
      </c>
      <c r="N937">
        <f t="array" ref="N937">IFERROR(SMALL(IF(Staging!$E$2:$E$3001="MIPPL",ROW(Staging!$E$2:$E$3001)-ROW(Staging!$E$2)+1),936),"")</f>
      </c>
    </row>
    <row r="938" spans="1:14" x14ac:dyDescent="0.25">
      <c r="A938">
        <f>IF($N938="","",INDEX(Staging!$A$2:$A$3001,$N938))</f>
      </c>
      <c r="B938">
        <f>IF($N938="","",INDEX(Staging!$B$2:$B$3001,$N938))</f>
      </c>
      <c r="C938">
        <f>IF($N938="","",INDEX(Staging!$C$2:$C$3001,$N938))</f>
      </c>
      <c r="D938">
        <f>IF($N938="","",INDEX(Staging!$D$2:$D$3001,$N938))</f>
      </c>
      <c r="E938">
        <f>IF($N938="","",INDEX(Staging!$F$2:$F$3001,$N938))</f>
      </c>
      <c r="F938">
        <f>IF($N938="","",INDEX(Staging!$G$2:$G$3001,$N938))</f>
      </c>
      <c r="G938">
        <f>IF($N938="","",INDEX(Staging!$H$2:$H$3001,$N938))</f>
      </c>
      <c r="H938">
        <f>IF($N938="","",INDEX(Staging!$I$2:$I$3001,$N938))</f>
      </c>
      <c r="I938">
        <f>IF($N938="","",INDEX(Staging!$J$2:$J$3001,$N938))</f>
      </c>
      <c r="J938">
        <f>IF($N938="","",INDEX(Staging!$K$2:$K$3001,$N938))</f>
      </c>
      <c r="K938">
        <f>IF($N938="","",INDEX(Staging!$M$2:$M$3001,$N938))</f>
      </c>
      <c r="L938">
        <f>IF($N938="","",INDEX(Staging!$O$2:$O$3001,$N938))</f>
      </c>
      <c r="M938">
        <f>IF($N938="","",INDEX(Staging!$P$2:$P$3001,$N938))</f>
      </c>
      <c r="N938">
        <f t="array" ref="N938">IFERROR(SMALL(IF(Staging!$E$2:$E$3001="MIPPL",ROW(Staging!$E$2:$E$3001)-ROW(Staging!$E$2)+1),937),"")</f>
      </c>
    </row>
    <row r="939" spans="1:14" x14ac:dyDescent="0.25">
      <c r="A939">
        <f>IF($N939="","",INDEX(Staging!$A$2:$A$3001,$N939))</f>
      </c>
      <c r="B939">
        <f>IF($N939="","",INDEX(Staging!$B$2:$B$3001,$N939))</f>
      </c>
      <c r="C939">
        <f>IF($N939="","",INDEX(Staging!$C$2:$C$3001,$N939))</f>
      </c>
      <c r="D939">
        <f>IF($N939="","",INDEX(Staging!$D$2:$D$3001,$N939))</f>
      </c>
      <c r="E939">
        <f>IF($N939="","",INDEX(Staging!$F$2:$F$3001,$N939))</f>
      </c>
      <c r="F939">
        <f>IF($N939="","",INDEX(Staging!$G$2:$G$3001,$N939))</f>
      </c>
      <c r="G939">
        <f>IF($N939="","",INDEX(Staging!$H$2:$H$3001,$N939))</f>
      </c>
      <c r="H939">
        <f>IF($N939="","",INDEX(Staging!$I$2:$I$3001,$N939))</f>
      </c>
      <c r="I939">
        <f>IF($N939="","",INDEX(Staging!$J$2:$J$3001,$N939))</f>
      </c>
      <c r="J939">
        <f>IF($N939="","",INDEX(Staging!$K$2:$K$3001,$N939))</f>
      </c>
      <c r="K939">
        <f>IF($N939="","",INDEX(Staging!$M$2:$M$3001,$N939))</f>
      </c>
      <c r="L939">
        <f>IF($N939="","",INDEX(Staging!$O$2:$O$3001,$N939))</f>
      </c>
      <c r="M939">
        <f>IF($N939="","",INDEX(Staging!$P$2:$P$3001,$N939))</f>
      </c>
      <c r="N939">
        <f t="array" ref="N939">IFERROR(SMALL(IF(Staging!$E$2:$E$3001="MIPPL",ROW(Staging!$E$2:$E$3001)-ROW(Staging!$E$2)+1),938),"")</f>
      </c>
    </row>
    <row r="940" spans="1:14" x14ac:dyDescent="0.25">
      <c r="A940">
        <f>IF($N940="","",INDEX(Staging!$A$2:$A$3001,$N940))</f>
      </c>
      <c r="B940">
        <f>IF($N940="","",INDEX(Staging!$B$2:$B$3001,$N940))</f>
      </c>
      <c r="C940">
        <f>IF($N940="","",INDEX(Staging!$C$2:$C$3001,$N940))</f>
      </c>
      <c r="D940">
        <f>IF($N940="","",INDEX(Staging!$D$2:$D$3001,$N940))</f>
      </c>
      <c r="E940">
        <f>IF($N940="","",INDEX(Staging!$F$2:$F$3001,$N940))</f>
      </c>
      <c r="F940">
        <f>IF($N940="","",INDEX(Staging!$G$2:$G$3001,$N940))</f>
      </c>
      <c r="G940">
        <f>IF($N940="","",INDEX(Staging!$H$2:$H$3001,$N940))</f>
      </c>
      <c r="H940">
        <f>IF($N940="","",INDEX(Staging!$I$2:$I$3001,$N940))</f>
      </c>
      <c r="I940">
        <f>IF($N940="","",INDEX(Staging!$J$2:$J$3001,$N940))</f>
      </c>
      <c r="J940">
        <f>IF($N940="","",INDEX(Staging!$K$2:$K$3001,$N940))</f>
      </c>
      <c r="K940">
        <f>IF($N940="","",INDEX(Staging!$M$2:$M$3001,$N940))</f>
      </c>
      <c r="L940">
        <f>IF($N940="","",INDEX(Staging!$O$2:$O$3001,$N940))</f>
      </c>
      <c r="M940">
        <f>IF($N940="","",INDEX(Staging!$P$2:$P$3001,$N940))</f>
      </c>
      <c r="N940">
        <f t="array" ref="N940">IFERROR(SMALL(IF(Staging!$E$2:$E$3001="MIPPL",ROW(Staging!$E$2:$E$3001)-ROW(Staging!$E$2)+1),939),"")</f>
      </c>
    </row>
    <row r="941" spans="1:14" x14ac:dyDescent="0.25">
      <c r="A941">
        <f>IF($N941="","",INDEX(Staging!$A$2:$A$3001,$N941))</f>
      </c>
      <c r="B941">
        <f>IF($N941="","",INDEX(Staging!$B$2:$B$3001,$N941))</f>
      </c>
      <c r="C941">
        <f>IF($N941="","",INDEX(Staging!$C$2:$C$3001,$N941))</f>
      </c>
      <c r="D941">
        <f>IF($N941="","",INDEX(Staging!$D$2:$D$3001,$N941))</f>
      </c>
      <c r="E941">
        <f>IF($N941="","",INDEX(Staging!$F$2:$F$3001,$N941))</f>
      </c>
      <c r="F941">
        <f>IF($N941="","",INDEX(Staging!$G$2:$G$3001,$N941))</f>
      </c>
      <c r="G941">
        <f>IF($N941="","",INDEX(Staging!$H$2:$H$3001,$N941))</f>
      </c>
      <c r="H941">
        <f>IF($N941="","",INDEX(Staging!$I$2:$I$3001,$N941))</f>
      </c>
      <c r="I941">
        <f>IF($N941="","",INDEX(Staging!$J$2:$J$3001,$N941))</f>
      </c>
      <c r="J941">
        <f>IF($N941="","",INDEX(Staging!$K$2:$K$3001,$N941))</f>
      </c>
      <c r="K941">
        <f>IF($N941="","",INDEX(Staging!$M$2:$M$3001,$N941))</f>
      </c>
      <c r="L941">
        <f>IF($N941="","",INDEX(Staging!$O$2:$O$3001,$N941))</f>
      </c>
      <c r="M941">
        <f>IF($N941="","",INDEX(Staging!$P$2:$P$3001,$N941))</f>
      </c>
      <c r="N941">
        <f t="array" ref="N941">IFERROR(SMALL(IF(Staging!$E$2:$E$3001="MIPPL",ROW(Staging!$E$2:$E$3001)-ROW(Staging!$E$2)+1),940),"")</f>
      </c>
    </row>
    <row r="942" spans="1:14" x14ac:dyDescent="0.25">
      <c r="A942">
        <f>IF($N942="","",INDEX(Staging!$A$2:$A$3001,$N942))</f>
      </c>
      <c r="B942">
        <f>IF($N942="","",INDEX(Staging!$B$2:$B$3001,$N942))</f>
      </c>
      <c r="C942">
        <f>IF($N942="","",INDEX(Staging!$C$2:$C$3001,$N942))</f>
      </c>
      <c r="D942">
        <f>IF($N942="","",INDEX(Staging!$D$2:$D$3001,$N942))</f>
      </c>
      <c r="E942">
        <f>IF($N942="","",INDEX(Staging!$F$2:$F$3001,$N942))</f>
      </c>
      <c r="F942">
        <f>IF($N942="","",INDEX(Staging!$G$2:$G$3001,$N942))</f>
      </c>
      <c r="G942">
        <f>IF($N942="","",INDEX(Staging!$H$2:$H$3001,$N942))</f>
      </c>
      <c r="H942">
        <f>IF($N942="","",INDEX(Staging!$I$2:$I$3001,$N942))</f>
      </c>
      <c r="I942">
        <f>IF($N942="","",INDEX(Staging!$J$2:$J$3001,$N942))</f>
      </c>
      <c r="J942">
        <f>IF($N942="","",INDEX(Staging!$K$2:$K$3001,$N942))</f>
      </c>
      <c r="K942">
        <f>IF($N942="","",INDEX(Staging!$M$2:$M$3001,$N942))</f>
      </c>
      <c r="L942">
        <f>IF($N942="","",INDEX(Staging!$O$2:$O$3001,$N942))</f>
      </c>
      <c r="M942">
        <f>IF($N942="","",INDEX(Staging!$P$2:$P$3001,$N942))</f>
      </c>
      <c r="N942">
        <f t="array" ref="N942">IFERROR(SMALL(IF(Staging!$E$2:$E$3001="MIPPL",ROW(Staging!$E$2:$E$3001)-ROW(Staging!$E$2)+1),941),"")</f>
      </c>
    </row>
    <row r="943" spans="1:14" x14ac:dyDescent="0.25">
      <c r="A943">
        <f>IF($N943="","",INDEX(Staging!$A$2:$A$3001,$N943))</f>
      </c>
      <c r="B943">
        <f>IF($N943="","",INDEX(Staging!$B$2:$B$3001,$N943))</f>
      </c>
      <c r="C943">
        <f>IF($N943="","",INDEX(Staging!$C$2:$C$3001,$N943))</f>
      </c>
      <c r="D943">
        <f>IF($N943="","",INDEX(Staging!$D$2:$D$3001,$N943))</f>
      </c>
      <c r="E943">
        <f>IF($N943="","",INDEX(Staging!$F$2:$F$3001,$N943))</f>
      </c>
      <c r="F943">
        <f>IF($N943="","",INDEX(Staging!$G$2:$G$3001,$N943))</f>
      </c>
      <c r="G943">
        <f>IF($N943="","",INDEX(Staging!$H$2:$H$3001,$N943))</f>
      </c>
      <c r="H943">
        <f>IF($N943="","",INDEX(Staging!$I$2:$I$3001,$N943))</f>
      </c>
      <c r="I943">
        <f>IF($N943="","",INDEX(Staging!$J$2:$J$3001,$N943))</f>
      </c>
      <c r="J943">
        <f>IF($N943="","",INDEX(Staging!$K$2:$K$3001,$N943))</f>
      </c>
      <c r="K943">
        <f>IF($N943="","",INDEX(Staging!$M$2:$M$3001,$N943))</f>
      </c>
      <c r="L943">
        <f>IF($N943="","",INDEX(Staging!$O$2:$O$3001,$N943))</f>
      </c>
      <c r="M943">
        <f>IF($N943="","",INDEX(Staging!$P$2:$P$3001,$N943))</f>
      </c>
      <c r="N943">
        <f t="array" ref="N943">IFERROR(SMALL(IF(Staging!$E$2:$E$3001="MIPPL",ROW(Staging!$E$2:$E$3001)-ROW(Staging!$E$2)+1),942),"")</f>
      </c>
    </row>
    <row r="944" spans="1:14" x14ac:dyDescent="0.25">
      <c r="A944">
        <f>IF($N944="","",INDEX(Staging!$A$2:$A$3001,$N944))</f>
      </c>
      <c r="B944">
        <f>IF($N944="","",INDEX(Staging!$B$2:$B$3001,$N944))</f>
      </c>
      <c r="C944">
        <f>IF($N944="","",INDEX(Staging!$C$2:$C$3001,$N944))</f>
      </c>
      <c r="D944">
        <f>IF($N944="","",INDEX(Staging!$D$2:$D$3001,$N944))</f>
      </c>
      <c r="E944">
        <f>IF($N944="","",INDEX(Staging!$F$2:$F$3001,$N944))</f>
      </c>
      <c r="F944">
        <f>IF($N944="","",INDEX(Staging!$G$2:$G$3001,$N944))</f>
      </c>
      <c r="G944">
        <f>IF($N944="","",INDEX(Staging!$H$2:$H$3001,$N944))</f>
      </c>
      <c r="H944">
        <f>IF($N944="","",INDEX(Staging!$I$2:$I$3001,$N944))</f>
      </c>
      <c r="I944">
        <f>IF($N944="","",INDEX(Staging!$J$2:$J$3001,$N944))</f>
      </c>
      <c r="J944">
        <f>IF($N944="","",INDEX(Staging!$K$2:$K$3001,$N944))</f>
      </c>
      <c r="K944">
        <f>IF($N944="","",INDEX(Staging!$M$2:$M$3001,$N944))</f>
      </c>
      <c r="L944">
        <f>IF($N944="","",INDEX(Staging!$O$2:$O$3001,$N944))</f>
      </c>
      <c r="M944">
        <f>IF($N944="","",INDEX(Staging!$P$2:$P$3001,$N944))</f>
      </c>
      <c r="N944">
        <f t="array" ref="N944">IFERROR(SMALL(IF(Staging!$E$2:$E$3001="MIPPL",ROW(Staging!$E$2:$E$3001)-ROW(Staging!$E$2)+1),943),"")</f>
      </c>
    </row>
    <row r="945" spans="1:14" x14ac:dyDescent="0.25">
      <c r="A945">
        <f>IF($N945="","",INDEX(Staging!$A$2:$A$3001,$N945))</f>
      </c>
      <c r="B945">
        <f>IF($N945="","",INDEX(Staging!$B$2:$B$3001,$N945))</f>
      </c>
      <c r="C945">
        <f>IF($N945="","",INDEX(Staging!$C$2:$C$3001,$N945))</f>
      </c>
      <c r="D945">
        <f>IF($N945="","",INDEX(Staging!$D$2:$D$3001,$N945))</f>
      </c>
      <c r="E945">
        <f>IF($N945="","",INDEX(Staging!$F$2:$F$3001,$N945))</f>
      </c>
      <c r="F945">
        <f>IF($N945="","",INDEX(Staging!$G$2:$G$3001,$N945))</f>
      </c>
      <c r="G945">
        <f>IF($N945="","",INDEX(Staging!$H$2:$H$3001,$N945))</f>
      </c>
      <c r="H945">
        <f>IF($N945="","",INDEX(Staging!$I$2:$I$3001,$N945))</f>
      </c>
      <c r="I945">
        <f>IF($N945="","",INDEX(Staging!$J$2:$J$3001,$N945))</f>
      </c>
      <c r="J945">
        <f>IF($N945="","",INDEX(Staging!$K$2:$K$3001,$N945))</f>
      </c>
      <c r="K945">
        <f>IF($N945="","",INDEX(Staging!$M$2:$M$3001,$N945))</f>
      </c>
      <c r="L945">
        <f>IF($N945="","",INDEX(Staging!$O$2:$O$3001,$N945))</f>
      </c>
      <c r="M945">
        <f>IF($N945="","",INDEX(Staging!$P$2:$P$3001,$N945))</f>
      </c>
      <c r="N945">
        <f t="array" ref="N945">IFERROR(SMALL(IF(Staging!$E$2:$E$3001="MIPPL",ROW(Staging!$E$2:$E$3001)-ROW(Staging!$E$2)+1),944),"")</f>
      </c>
    </row>
    <row r="946" spans="1:14" x14ac:dyDescent="0.25">
      <c r="A946">
        <f>IF($N946="","",INDEX(Staging!$A$2:$A$3001,$N946))</f>
      </c>
      <c r="B946">
        <f>IF($N946="","",INDEX(Staging!$B$2:$B$3001,$N946))</f>
      </c>
      <c r="C946">
        <f>IF($N946="","",INDEX(Staging!$C$2:$C$3001,$N946))</f>
      </c>
      <c r="D946">
        <f>IF($N946="","",INDEX(Staging!$D$2:$D$3001,$N946))</f>
      </c>
      <c r="E946">
        <f>IF($N946="","",INDEX(Staging!$F$2:$F$3001,$N946))</f>
      </c>
      <c r="F946">
        <f>IF($N946="","",INDEX(Staging!$G$2:$G$3001,$N946))</f>
      </c>
      <c r="G946">
        <f>IF($N946="","",INDEX(Staging!$H$2:$H$3001,$N946))</f>
      </c>
      <c r="H946">
        <f>IF($N946="","",INDEX(Staging!$I$2:$I$3001,$N946))</f>
      </c>
      <c r="I946">
        <f>IF($N946="","",INDEX(Staging!$J$2:$J$3001,$N946))</f>
      </c>
      <c r="J946">
        <f>IF($N946="","",INDEX(Staging!$K$2:$K$3001,$N946))</f>
      </c>
      <c r="K946">
        <f>IF($N946="","",INDEX(Staging!$M$2:$M$3001,$N946))</f>
      </c>
      <c r="L946">
        <f>IF($N946="","",INDEX(Staging!$O$2:$O$3001,$N946))</f>
      </c>
      <c r="M946">
        <f>IF($N946="","",INDEX(Staging!$P$2:$P$3001,$N946))</f>
      </c>
      <c r="N946">
        <f t="array" ref="N946">IFERROR(SMALL(IF(Staging!$E$2:$E$3001="MIPPL",ROW(Staging!$E$2:$E$3001)-ROW(Staging!$E$2)+1),945),"")</f>
      </c>
    </row>
    <row r="947" spans="1:14" x14ac:dyDescent="0.25">
      <c r="A947">
        <f>IF($N947="","",INDEX(Staging!$A$2:$A$3001,$N947))</f>
      </c>
      <c r="B947">
        <f>IF($N947="","",INDEX(Staging!$B$2:$B$3001,$N947))</f>
      </c>
      <c r="C947">
        <f>IF($N947="","",INDEX(Staging!$C$2:$C$3001,$N947))</f>
      </c>
      <c r="D947">
        <f>IF($N947="","",INDEX(Staging!$D$2:$D$3001,$N947))</f>
      </c>
      <c r="E947">
        <f>IF($N947="","",INDEX(Staging!$F$2:$F$3001,$N947))</f>
      </c>
      <c r="F947">
        <f>IF($N947="","",INDEX(Staging!$G$2:$G$3001,$N947))</f>
      </c>
      <c r="G947">
        <f>IF($N947="","",INDEX(Staging!$H$2:$H$3001,$N947))</f>
      </c>
      <c r="H947">
        <f>IF($N947="","",INDEX(Staging!$I$2:$I$3001,$N947))</f>
      </c>
      <c r="I947">
        <f>IF($N947="","",INDEX(Staging!$J$2:$J$3001,$N947))</f>
      </c>
      <c r="J947">
        <f>IF($N947="","",INDEX(Staging!$K$2:$K$3001,$N947))</f>
      </c>
      <c r="K947">
        <f>IF($N947="","",INDEX(Staging!$M$2:$M$3001,$N947))</f>
      </c>
      <c r="L947">
        <f>IF($N947="","",INDEX(Staging!$O$2:$O$3001,$N947))</f>
      </c>
      <c r="M947">
        <f>IF($N947="","",INDEX(Staging!$P$2:$P$3001,$N947))</f>
      </c>
      <c r="N947">
        <f t="array" ref="N947">IFERROR(SMALL(IF(Staging!$E$2:$E$3001="MIPPL",ROW(Staging!$E$2:$E$3001)-ROW(Staging!$E$2)+1),946),"")</f>
      </c>
    </row>
    <row r="948" spans="1:14" x14ac:dyDescent="0.25">
      <c r="A948">
        <f>IF($N948="","",INDEX(Staging!$A$2:$A$3001,$N948))</f>
      </c>
      <c r="B948">
        <f>IF($N948="","",INDEX(Staging!$B$2:$B$3001,$N948))</f>
      </c>
      <c r="C948">
        <f>IF($N948="","",INDEX(Staging!$C$2:$C$3001,$N948))</f>
      </c>
      <c r="D948">
        <f>IF($N948="","",INDEX(Staging!$D$2:$D$3001,$N948))</f>
      </c>
      <c r="E948">
        <f>IF($N948="","",INDEX(Staging!$F$2:$F$3001,$N948))</f>
      </c>
      <c r="F948">
        <f>IF($N948="","",INDEX(Staging!$G$2:$G$3001,$N948))</f>
      </c>
      <c r="G948">
        <f>IF($N948="","",INDEX(Staging!$H$2:$H$3001,$N948))</f>
      </c>
      <c r="H948">
        <f>IF($N948="","",INDEX(Staging!$I$2:$I$3001,$N948))</f>
      </c>
      <c r="I948">
        <f>IF($N948="","",INDEX(Staging!$J$2:$J$3001,$N948))</f>
      </c>
      <c r="J948">
        <f>IF($N948="","",INDEX(Staging!$K$2:$K$3001,$N948))</f>
      </c>
      <c r="K948">
        <f>IF($N948="","",INDEX(Staging!$M$2:$M$3001,$N948))</f>
      </c>
      <c r="L948">
        <f>IF($N948="","",INDEX(Staging!$O$2:$O$3001,$N948))</f>
      </c>
      <c r="M948">
        <f>IF($N948="","",INDEX(Staging!$P$2:$P$3001,$N948))</f>
      </c>
      <c r="N948">
        <f t="array" ref="N948">IFERROR(SMALL(IF(Staging!$E$2:$E$3001="MIPPL",ROW(Staging!$E$2:$E$3001)-ROW(Staging!$E$2)+1),947),"")</f>
      </c>
    </row>
    <row r="949" spans="1:14" x14ac:dyDescent="0.25">
      <c r="A949">
        <f>IF($N949="","",INDEX(Staging!$A$2:$A$3001,$N949))</f>
      </c>
      <c r="B949">
        <f>IF($N949="","",INDEX(Staging!$B$2:$B$3001,$N949))</f>
      </c>
      <c r="C949">
        <f>IF($N949="","",INDEX(Staging!$C$2:$C$3001,$N949))</f>
      </c>
      <c r="D949">
        <f>IF($N949="","",INDEX(Staging!$D$2:$D$3001,$N949))</f>
      </c>
      <c r="E949">
        <f>IF($N949="","",INDEX(Staging!$F$2:$F$3001,$N949))</f>
      </c>
      <c r="F949">
        <f>IF($N949="","",INDEX(Staging!$G$2:$G$3001,$N949))</f>
      </c>
      <c r="G949">
        <f>IF($N949="","",INDEX(Staging!$H$2:$H$3001,$N949))</f>
      </c>
      <c r="H949">
        <f>IF($N949="","",INDEX(Staging!$I$2:$I$3001,$N949))</f>
      </c>
      <c r="I949">
        <f>IF($N949="","",INDEX(Staging!$J$2:$J$3001,$N949))</f>
      </c>
      <c r="J949">
        <f>IF($N949="","",INDEX(Staging!$K$2:$K$3001,$N949))</f>
      </c>
      <c r="K949">
        <f>IF($N949="","",INDEX(Staging!$M$2:$M$3001,$N949))</f>
      </c>
      <c r="L949">
        <f>IF($N949="","",INDEX(Staging!$O$2:$O$3001,$N949))</f>
      </c>
      <c r="M949">
        <f>IF($N949="","",INDEX(Staging!$P$2:$P$3001,$N949))</f>
      </c>
      <c r="N949">
        <f t="array" ref="N949">IFERROR(SMALL(IF(Staging!$E$2:$E$3001="MIPPL",ROW(Staging!$E$2:$E$3001)-ROW(Staging!$E$2)+1),948),"")</f>
      </c>
    </row>
    <row r="950" spans="1:14" x14ac:dyDescent="0.25">
      <c r="A950">
        <f>IF($N950="","",INDEX(Staging!$A$2:$A$3001,$N950))</f>
      </c>
      <c r="B950">
        <f>IF($N950="","",INDEX(Staging!$B$2:$B$3001,$N950))</f>
      </c>
      <c r="C950">
        <f>IF($N950="","",INDEX(Staging!$C$2:$C$3001,$N950))</f>
      </c>
      <c r="D950">
        <f>IF($N950="","",INDEX(Staging!$D$2:$D$3001,$N950))</f>
      </c>
      <c r="E950">
        <f>IF($N950="","",INDEX(Staging!$F$2:$F$3001,$N950))</f>
      </c>
      <c r="F950">
        <f>IF($N950="","",INDEX(Staging!$G$2:$G$3001,$N950))</f>
      </c>
      <c r="G950">
        <f>IF($N950="","",INDEX(Staging!$H$2:$H$3001,$N950))</f>
      </c>
      <c r="H950">
        <f>IF($N950="","",INDEX(Staging!$I$2:$I$3001,$N950))</f>
      </c>
      <c r="I950">
        <f>IF($N950="","",INDEX(Staging!$J$2:$J$3001,$N950))</f>
      </c>
      <c r="J950">
        <f>IF($N950="","",INDEX(Staging!$K$2:$K$3001,$N950))</f>
      </c>
      <c r="K950">
        <f>IF($N950="","",INDEX(Staging!$M$2:$M$3001,$N950))</f>
      </c>
      <c r="L950">
        <f>IF($N950="","",INDEX(Staging!$O$2:$O$3001,$N950))</f>
      </c>
      <c r="M950">
        <f>IF($N950="","",INDEX(Staging!$P$2:$P$3001,$N950))</f>
      </c>
      <c r="N950">
        <f t="array" ref="N950">IFERROR(SMALL(IF(Staging!$E$2:$E$3001="MIPPL",ROW(Staging!$E$2:$E$3001)-ROW(Staging!$E$2)+1),949),"")</f>
      </c>
    </row>
    <row r="951" spans="1:14" x14ac:dyDescent="0.25">
      <c r="A951">
        <f>IF($N951="","",INDEX(Staging!$A$2:$A$3001,$N951))</f>
      </c>
      <c r="B951">
        <f>IF($N951="","",INDEX(Staging!$B$2:$B$3001,$N951))</f>
      </c>
      <c r="C951">
        <f>IF($N951="","",INDEX(Staging!$C$2:$C$3001,$N951))</f>
      </c>
      <c r="D951">
        <f>IF($N951="","",INDEX(Staging!$D$2:$D$3001,$N951))</f>
      </c>
      <c r="E951">
        <f>IF($N951="","",INDEX(Staging!$F$2:$F$3001,$N951))</f>
      </c>
      <c r="F951">
        <f>IF($N951="","",INDEX(Staging!$G$2:$G$3001,$N951))</f>
      </c>
      <c r="G951">
        <f>IF($N951="","",INDEX(Staging!$H$2:$H$3001,$N951))</f>
      </c>
      <c r="H951">
        <f>IF($N951="","",INDEX(Staging!$I$2:$I$3001,$N951))</f>
      </c>
      <c r="I951">
        <f>IF($N951="","",INDEX(Staging!$J$2:$J$3001,$N951))</f>
      </c>
      <c r="J951">
        <f>IF($N951="","",INDEX(Staging!$K$2:$K$3001,$N951))</f>
      </c>
      <c r="K951">
        <f>IF($N951="","",INDEX(Staging!$M$2:$M$3001,$N951))</f>
      </c>
      <c r="L951">
        <f>IF($N951="","",INDEX(Staging!$O$2:$O$3001,$N951))</f>
      </c>
      <c r="M951">
        <f>IF($N951="","",INDEX(Staging!$P$2:$P$3001,$N951))</f>
      </c>
      <c r="N951">
        <f t="array" ref="N951">IFERROR(SMALL(IF(Staging!$E$2:$E$3001="MIPPL",ROW(Staging!$E$2:$E$3001)-ROW(Staging!$E$2)+1),950),"")</f>
      </c>
    </row>
    <row r="952" spans="1:14" x14ac:dyDescent="0.25">
      <c r="A952">
        <f>IF($N952="","",INDEX(Staging!$A$2:$A$3001,$N952))</f>
      </c>
      <c r="B952">
        <f>IF($N952="","",INDEX(Staging!$B$2:$B$3001,$N952))</f>
      </c>
      <c r="C952">
        <f>IF($N952="","",INDEX(Staging!$C$2:$C$3001,$N952))</f>
      </c>
      <c r="D952">
        <f>IF($N952="","",INDEX(Staging!$D$2:$D$3001,$N952))</f>
      </c>
      <c r="E952">
        <f>IF($N952="","",INDEX(Staging!$F$2:$F$3001,$N952))</f>
      </c>
      <c r="F952">
        <f>IF($N952="","",INDEX(Staging!$G$2:$G$3001,$N952))</f>
      </c>
      <c r="G952">
        <f>IF($N952="","",INDEX(Staging!$H$2:$H$3001,$N952))</f>
      </c>
      <c r="H952">
        <f>IF($N952="","",INDEX(Staging!$I$2:$I$3001,$N952))</f>
      </c>
      <c r="I952">
        <f>IF($N952="","",INDEX(Staging!$J$2:$J$3001,$N952))</f>
      </c>
      <c r="J952">
        <f>IF($N952="","",INDEX(Staging!$K$2:$K$3001,$N952))</f>
      </c>
      <c r="K952">
        <f>IF($N952="","",INDEX(Staging!$M$2:$M$3001,$N952))</f>
      </c>
      <c r="L952">
        <f>IF($N952="","",INDEX(Staging!$O$2:$O$3001,$N952))</f>
      </c>
      <c r="M952">
        <f>IF($N952="","",INDEX(Staging!$P$2:$P$3001,$N952))</f>
      </c>
      <c r="N952">
        <f t="array" ref="N952">IFERROR(SMALL(IF(Staging!$E$2:$E$3001="MIPPL",ROW(Staging!$E$2:$E$3001)-ROW(Staging!$E$2)+1),951),"")</f>
      </c>
    </row>
    <row r="953" spans="1:14" x14ac:dyDescent="0.25">
      <c r="A953">
        <f>IF($N953="","",INDEX(Staging!$A$2:$A$3001,$N953))</f>
      </c>
      <c r="B953">
        <f>IF($N953="","",INDEX(Staging!$B$2:$B$3001,$N953))</f>
      </c>
      <c r="C953">
        <f>IF($N953="","",INDEX(Staging!$C$2:$C$3001,$N953))</f>
      </c>
      <c r="D953">
        <f>IF($N953="","",INDEX(Staging!$D$2:$D$3001,$N953))</f>
      </c>
      <c r="E953">
        <f>IF($N953="","",INDEX(Staging!$F$2:$F$3001,$N953))</f>
      </c>
      <c r="F953">
        <f>IF($N953="","",INDEX(Staging!$G$2:$G$3001,$N953))</f>
      </c>
      <c r="G953">
        <f>IF($N953="","",INDEX(Staging!$H$2:$H$3001,$N953))</f>
      </c>
      <c r="H953">
        <f>IF($N953="","",INDEX(Staging!$I$2:$I$3001,$N953))</f>
      </c>
      <c r="I953">
        <f>IF($N953="","",INDEX(Staging!$J$2:$J$3001,$N953))</f>
      </c>
      <c r="J953">
        <f>IF($N953="","",INDEX(Staging!$K$2:$K$3001,$N953))</f>
      </c>
      <c r="K953">
        <f>IF($N953="","",INDEX(Staging!$M$2:$M$3001,$N953))</f>
      </c>
      <c r="L953">
        <f>IF($N953="","",INDEX(Staging!$O$2:$O$3001,$N953))</f>
      </c>
      <c r="M953">
        <f>IF($N953="","",INDEX(Staging!$P$2:$P$3001,$N953))</f>
      </c>
      <c r="N953">
        <f t="array" ref="N953">IFERROR(SMALL(IF(Staging!$E$2:$E$3001="MIPPL",ROW(Staging!$E$2:$E$3001)-ROW(Staging!$E$2)+1),952),"")</f>
      </c>
    </row>
    <row r="954" spans="1:14" x14ac:dyDescent="0.25">
      <c r="A954">
        <f>IF($N954="","",INDEX(Staging!$A$2:$A$3001,$N954))</f>
      </c>
      <c r="B954">
        <f>IF($N954="","",INDEX(Staging!$B$2:$B$3001,$N954))</f>
      </c>
      <c r="C954">
        <f>IF($N954="","",INDEX(Staging!$C$2:$C$3001,$N954))</f>
      </c>
      <c r="D954">
        <f>IF($N954="","",INDEX(Staging!$D$2:$D$3001,$N954))</f>
      </c>
      <c r="E954">
        <f>IF($N954="","",INDEX(Staging!$F$2:$F$3001,$N954))</f>
      </c>
      <c r="F954">
        <f>IF($N954="","",INDEX(Staging!$G$2:$G$3001,$N954))</f>
      </c>
      <c r="G954">
        <f>IF($N954="","",INDEX(Staging!$H$2:$H$3001,$N954))</f>
      </c>
      <c r="H954">
        <f>IF($N954="","",INDEX(Staging!$I$2:$I$3001,$N954))</f>
      </c>
      <c r="I954">
        <f>IF($N954="","",INDEX(Staging!$J$2:$J$3001,$N954))</f>
      </c>
      <c r="J954">
        <f>IF($N954="","",INDEX(Staging!$K$2:$K$3001,$N954))</f>
      </c>
      <c r="K954">
        <f>IF($N954="","",INDEX(Staging!$M$2:$M$3001,$N954))</f>
      </c>
      <c r="L954">
        <f>IF($N954="","",INDEX(Staging!$O$2:$O$3001,$N954))</f>
      </c>
      <c r="M954">
        <f>IF($N954="","",INDEX(Staging!$P$2:$P$3001,$N954))</f>
      </c>
      <c r="N954">
        <f t="array" ref="N954">IFERROR(SMALL(IF(Staging!$E$2:$E$3001="MIPPL",ROW(Staging!$E$2:$E$3001)-ROW(Staging!$E$2)+1),953),"")</f>
      </c>
    </row>
    <row r="955" spans="1:14" x14ac:dyDescent="0.25">
      <c r="A955">
        <f>IF($N955="","",INDEX(Staging!$A$2:$A$3001,$N955))</f>
      </c>
      <c r="B955">
        <f>IF($N955="","",INDEX(Staging!$B$2:$B$3001,$N955))</f>
      </c>
      <c r="C955">
        <f>IF($N955="","",INDEX(Staging!$C$2:$C$3001,$N955))</f>
      </c>
      <c r="D955">
        <f>IF($N955="","",INDEX(Staging!$D$2:$D$3001,$N955))</f>
      </c>
      <c r="E955">
        <f>IF($N955="","",INDEX(Staging!$F$2:$F$3001,$N955))</f>
      </c>
      <c r="F955">
        <f>IF($N955="","",INDEX(Staging!$G$2:$G$3001,$N955))</f>
      </c>
      <c r="G955">
        <f>IF($N955="","",INDEX(Staging!$H$2:$H$3001,$N955))</f>
      </c>
      <c r="H955">
        <f>IF($N955="","",INDEX(Staging!$I$2:$I$3001,$N955))</f>
      </c>
      <c r="I955">
        <f>IF($N955="","",INDEX(Staging!$J$2:$J$3001,$N955))</f>
      </c>
      <c r="J955">
        <f>IF($N955="","",INDEX(Staging!$K$2:$K$3001,$N955))</f>
      </c>
      <c r="K955">
        <f>IF($N955="","",INDEX(Staging!$M$2:$M$3001,$N955))</f>
      </c>
      <c r="L955">
        <f>IF($N955="","",INDEX(Staging!$O$2:$O$3001,$N955))</f>
      </c>
      <c r="M955">
        <f>IF($N955="","",INDEX(Staging!$P$2:$P$3001,$N955))</f>
      </c>
      <c r="N955">
        <f t="array" ref="N955">IFERROR(SMALL(IF(Staging!$E$2:$E$3001="MIPPL",ROW(Staging!$E$2:$E$3001)-ROW(Staging!$E$2)+1),954),"")</f>
      </c>
    </row>
    <row r="956" spans="1:14" x14ac:dyDescent="0.25">
      <c r="A956">
        <f>IF($N956="","",INDEX(Staging!$A$2:$A$3001,$N956))</f>
      </c>
      <c r="B956">
        <f>IF($N956="","",INDEX(Staging!$B$2:$B$3001,$N956))</f>
      </c>
      <c r="C956">
        <f>IF($N956="","",INDEX(Staging!$C$2:$C$3001,$N956))</f>
      </c>
      <c r="D956">
        <f>IF($N956="","",INDEX(Staging!$D$2:$D$3001,$N956))</f>
      </c>
      <c r="E956">
        <f>IF($N956="","",INDEX(Staging!$F$2:$F$3001,$N956))</f>
      </c>
      <c r="F956">
        <f>IF($N956="","",INDEX(Staging!$G$2:$G$3001,$N956))</f>
      </c>
      <c r="G956">
        <f>IF($N956="","",INDEX(Staging!$H$2:$H$3001,$N956))</f>
      </c>
      <c r="H956">
        <f>IF($N956="","",INDEX(Staging!$I$2:$I$3001,$N956))</f>
      </c>
      <c r="I956">
        <f>IF($N956="","",INDEX(Staging!$J$2:$J$3001,$N956))</f>
      </c>
      <c r="J956">
        <f>IF($N956="","",INDEX(Staging!$K$2:$K$3001,$N956))</f>
      </c>
      <c r="K956">
        <f>IF($N956="","",INDEX(Staging!$M$2:$M$3001,$N956))</f>
      </c>
      <c r="L956">
        <f>IF($N956="","",INDEX(Staging!$O$2:$O$3001,$N956))</f>
      </c>
      <c r="M956">
        <f>IF($N956="","",INDEX(Staging!$P$2:$P$3001,$N956))</f>
      </c>
      <c r="N956">
        <f t="array" ref="N956">IFERROR(SMALL(IF(Staging!$E$2:$E$3001="MIPPL",ROW(Staging!$E$2:$E$3001)-ROW(Staging!$E$2)+1),955),"")</f>
      </c>
    </row>
    <row r="957" spans="1:14" x14ac:dyDescent="0.25">
      <c r="A957">
        <f>IF($N957="","",INDEX(Staging!$A$2:$A$3001,$N957))</f>
      </c>
      <c r="B957">
        <f>IF($N957="","",INDEX(Staging!$B$2:$B$3001,$N957))</f>
      </c>
      <c r="C957">
        <f>IF($N957="","",INDEX(Staging!$C$2:$C$3001,$N957))</f>
      </c>
      <c r="D957">
        <f>IF($N957="","",INDEX(Staging!$D$2:$D$3001,$N957))</f>
      </c>
      <c r="E957">
        <f>IF($N957="","",INDEX(Staging!$F$2:$F$3001,$N957))</f>
      </c>
      <c r="F957">
        <f>IF($N957="","",INDEX(Staging!$G$2:$G$3001,$N957))</f>
      </c>
      <c r="G957">
        <f>IF($N957="","",INDEX(Staging!$H$2:$H$3001,$N957))</f>
      </c>
      <c r="H957">
        <f>IF($N957="","",INDEX(Staging!$I$2:$I$3001,$N957))</f>
      </c>
      <c r="I957">
        <f>IF($N957="","",INDEX(Staging!$J$2:$J$3001,$N957))</f>
      </c>
      <c r="J957">
        <f>IF($N957="","",INDEX(Staging!$K$2:$K$3001,$N957))</f>
      </c>
      <c r="K957">
        <f>IF($N957="","",INDEX(Staging!$M$2:$M$3001,$N957))</f>
      </c>
      <c r="L957">
        <f>IF($N957="","",INDEX(Staging!$O$2:$O$3001,$N957))</f>
      </c>
      <c r="M957">
        <f>IF($N957="","",INDEX(Staging!$P$2:$P$3001,$N957))</f>
      </c>
      <c r="N957">
        <f t="array" ref="N957">IFERROR(SMALL(IF(Staging!$E$2:$E$3001="MIPPL",ROW(Staging!$E$2:$E$3001)-ROW(Staging!$E$2)+1),956),"")</f>
      </c>
    </row>
    <row r="958" spans="1:14" x14ac:dyDescent="0.25">
      <c r="A958">
        <f>IF($N958="","",INDEX(Staging!$A$2:$A$3001,$N958))</f>
      </c>
      <c r="B958">
        <f>IF($N958="","",INDEX(Staging!$B$2:$B$3001,$N958))</f>
      </c>
      <c r="C958">
        <f>IF($N958="","",INDEX(Staging!$C$2:$C$3001,$N958))</f>
      </c>
      <c r="D958">
        <f>IF($N958="","",INDEX(Staging!$D$2:$D$3001,$N958))</f>
      </c>
      <c r="E958">
        <f>IF($N958="","",INDEX(Staging!$F$2:$F$3001,$N958))</f>
      </c>
      <c r="F958">
        <f>IF($N958="","",INDEX(Staging!$G$2:$G$3001,$N958))</f>
      </c>
      <c r="G958">
        <f>IF($N958="","",INDEX(Staging!$H$2:$H$3001,$N958))</f>
      </c>
      <c r="H958">
        <f>IF($N958="","",INDEX(Staging!$I$2:$I$3001,$N958))</f>
      </c>
      <c r="I958">
        <f>IF($N958="","",INDEX(Staging!$J$2:$J$3001,$N958))</f>
      </c>
      <c r="J958">
        <f>IF($N958="","",INDEX(Staging!$K$2:$K$3001,$N958))</f>
      </c>
      <c r="K958">
        <f>IF($N958="","",INDEX(Staging!$M$2:$M$3001,$N958))</f>
      </c>
      <c r="L958">
        <f>IF($N958="","",INDEX(Staging!$O$2:$O$3001,$N958))</f>
      </c>
      <c r="M958">
        <f>IF($N958="","",INDEX(Staging!$P$2:$P$3001,$N958))</f>
      </c>
      <c r="N958">
        <f t="array" ref="N958">IFERROR(SMALL(IF(Staging!$E$2:$E$3001="MIPPL",ROW(Staging!$E$2:$E$3001)-ROW(Staging!$E$2)+1),957),"")</f>
      </c>
    </row>
    <row r="959" spans="1:14" x14ac:dyDescent="0.25">
      <c r="A959">
        <f>IF($N959="","",INDEX(Staging!$A$2:$A$3001,$N959))</f>
      </c>
      <c r="B959">
        <f>IF($N959="","",INDEX(Staging!$B$2:$B$3001,$N959))</f>
      </c>
      <c r="C959">
        <f>IF($N959="","",INDEX(Staging!$C$2:$C$3001,$N959))</f>
      </c>
      <c r="D959">
        <f>IF($N959="","",INDEX(Staging!$D$2:$D$3001,$N959))</f>
      </c>
      <c r="E959">
        <f>IF($N959="","",INDEX(Staging!$F$2:$F$3001,$N959))</f>
      </c>
      <c r="F959">
        <f>IF($N959="","",INDEX(Staging!$G$2:$G$3001,$N959))</f>
      </c>
      <c r="G959">
        <f>IF($N959="","",INDEX(Staging!$H$2:$H$3001,$N959))</f>
      </c>
      <c r="H959">
        <f>IF($N959="","",INDEX(Staging!$I$2:$I$3001,$N959))</f>
      </c>
      <c r="I959">
        <f>IF($N959="","",INDEX(Staging!$J$2:$J$3001,$N959))</f>
      </c>
      <c r="J959">
        <f>IF($N959="","",INDEX(Staging!$K$2:$K$3001,$N959))</f>
      </c>
      <c r="K959">
        <f>IF($N959="","",INDEX(Staging!$M$2:$M$3001,$N959))</f>
      </c>
      <c r="L959">
        <f>IF($N959="","",INDEX(Staging!$O$2:$O$3001,$N959))</f>
      </c>
      <c r="M959">
        <f>IF($N959="","",INDEX(Staging!$P$2:$P$3001,$N959))</f>
      </c>
      <c r="N959">
        <f t="array" ref="N959">IFERROR(SMALL(IF(Staging!$E$2:$E$3001="MIPPL",ROW(Staging!$E$2:$E$3001)-ROW(Staging!$E$2)+1),958),"")</f>
      </c>
    </row>
    <row r="960" spans="1:14" x14ac:dyDescent="0.25">
      <c r="A960">
        <f>IF($N960="","",INDEX(Staging!$A$2:$A$3001,$N960))</f>
      </c>
      <c r="B960">
        <f>IF($N960="","",INDEX(Staging!$B$2:$B$3001,$N960))</f>
      </c>
      <c r="C960">
        <f>IF($N960="","",INDEX(Staging!$C$2:$C$3001,$N960))</f>
      </c>
      <c r="D960">
        <f>IF($N960="","",INDEX(Staging!$D$2:$D$3001,$N960))</f>
      </c>
      <c r="E960">
        <f>IF($N960="","",INDEX(Staging!$F$2:$F$3001,$N960))</f>
      </c>
      <c r="F960">
        <f>IF($N960="","",INDEX(Staging!$G$2:$G$3001,$N960))</f>
      </c>
      <c r="G960">
        <f>IF($N960="","",INDEX(Staging!$H$2:$H$3001,$N960))</f>
      </c>
      <c r="H960">
        <f>IF($N960="","",INDEX(Staging!$I$2:$I$3001,$N960))</f>
      </c>
      <c r="I960">
        <f>IF($N960="","",INDEX(Staging!$J$2:$J$3001,$N960))</f>
      </c>
      <c r="J960">
        <f>IF($N960="","",INDEX(Staging!$K$2:$K$3001,$N960))</f>
      </c>
      <c r="K960">
        <f>IF($N960="","",INDEX(Staging!$M$2:$M$3001,$N960))</f>
      </c>
      <c r="L960">
        <f>IF($N960="","",INDEX(Staging!$O$2:$O$3001,$N960))</f>
      </c>
      <c r="M960">
        <f>IF($N960="","",INDEX(Staging!$P$2:$P$3001,$N960))</f>
      </c>
      <c r="N960">
        <f t="array" ref="N960">IFERROR(SMALL(IF(Staging!$E$2:$E$3001="MIPPL",ROW(Staging!$E$2:$E$3001)-ROW(Staging!$E$2)+1),959),"")</f>
      </c>
    </row>
    <row r="961" spans="1:14" x14ac:dyDescent="0.25">
      <c r="A961">
        <f>IF($N961="","",INDEX(Staging!$A$2:$A$3001,$N961))</f>
      </c>
      <c r="B961">
        <f>IF($N961="","",INDEX(Staging!$B$2:$B$3001,$N961))</f>
      </c>
      <c r="C961">
        <f>IF($N961="","",INDEX(Staging!$C$2:$C$3001,$N961))</f>
      </c>
      <c r="D961">
        <f>IF($N961="","",INDEX(Staging!$D$2:$D$3001,$N961))</f>
      </c>
      <c r="E961">
        <f>IF($N961="","",INDEX(Staging!$F$2:$F$3001,$N961))</f>
      </c>
      <c r="F961">
        <f>IF($N961="","",INDEX(Staging!$G$2:$G$3001,$N961))</f>
      </c>
      <c r="G961">
        <f>IF($N961="","",INDEX(Staging!$H$2:$H$3001,$N961))</f>
      </c>
      <c r="H961">
        <f>IF($N961="","",INDEX(Staging!$I$2:$I$3001,$N961))</f>
      </c>
      <c r="I961">
        <f>IF($N961="","",INDEX(Staging!$J$2:$J$3001,$N961))</f>
      </c>
      <c r="J961">
        <f>IF($N961="","",INDEX(Staging!$K$2:$K$3001,$N961))</f>
      </c>
      <c r="K961">
        <f>IF($N961="","",INDEX(Staging!$M$2:$M$3001,$N961))</f>
      </c>
      <c r="L961">
        <f>IF($N961="","",INDEX(Staging!$O$2:$O$3001,$N961))</f>
      </c>
      <c r="M961">
        <f>IF($N961="","",INDEX(Staging!$P$2:$P$3001,$N961))</f>
      </c>
      <c r="N961">
        <f t="array" ref="N961">IFERROR(SMALL(IF(Staging!$E$2:$E$3001="MIPPL",ROW(Staging!$E$2:$E$3001)-ROW(Staging!$E$2)+1),960),"")</f>
      </c>
    </row>
    <row r="962" spans="1:14" x14ac:dyDescent="0.25">
      <c r="A962">
        <f>IF($N962="","",INDEX(Staging!$A$2:$A$3001,$N962))</f>
      </c>
      <c r="B962">
        <f>IF($N962="","",INDEX(Staging!$B$2:$B$3001,$N962))</f>
      </c>
      <c r="C962">
        <f>IF($N962="","",INDEX(Staging!$C$2:$C$3001,$N962))</f>
      </c>
      <c r="D962">
        <f>IF($N962="","",INDEX(Staging!$D$2:$D$3001,$N962))</f>
      </c>
      <c r="E962">
        <f>IF($N962="","",INDEX(Staging!$F$2:$F$3001,$N962))</f>
      </c>
      <c r="F962">
        <f>IF($N962="","",INDEX(Staging!$G$2:$G$3001,$N962))</f>
      </c>
      <c r="G962">
        <f>IF($N962="","",INDEX(Staging!$H$2:$H$3001,$N962))</f>
      </c>
      <c r="H962">
        <f>IF($N962="","",INDEX(Staging!$I$2:$I$3001,$N962))</f>
      </c>
      <c r="I962">
        <f>IF($N962="","",INDEX(Staging!$J$2:$J$3001,$N962))</f>
      </c>
      <c r="J962">
        <f>IF($N962="","",INDEX(Staging!$K$2:$K$3001,$N962))</f>
      </c>
      <c r="K962">
        <f>IF($N962="","",INDEX(Staging!$M$2:$M$3001,$N962))</f>
      </c>
      <c r="L962">
        <f>IF($N962="","",INDEX(Staging!$O$2:$O$3001,$N962))</f>
      </c>
      <c r="M962">
        <f>IF($N962="","",INDEX(Staging!$P$2:$P$3001,$N962))</f>
      </c>
      <c r="N962">
        <f t="array" ref="N962">IFERROR(SMALL(IF(Staging!$E$2:$E$3001="MIPPL",ROW(Staging!$E$2:$E$3001)-ROW(Staging!$E$2)+1),961),"")</f>
      </c>
    </row>
    <row r="963" spans="1:14" x14ac:dyDescent="0.25">
      <c r="A963">
        <f>IF($N963="","",INDEX(Staging!$A$2:$A$3001,$N963))</f>
      </c>
      <c r="B963">
        <f>IF($N963="","",INDEX(Staging!$B$2:$B$3001,$N963))</f>
      </c>
      <c r="C963">
        <f>IF($N963="","",INDEX(Staging!$C$2:$C$3001,$N963))</f>
      </c>
      <c r="D963">
        <f>IF($N963="","",INDEX(Staging!$D$2:$D$3001,$N963))</f>
      </c>
      <c r="E963">
        <f>IF($N963="","",INDEX(Staging!$F$2:$F$3001,$N963))</f>
      </c>
      <c r="F963">
        <f>IF($N963="","",INDEX(Staging!$G$2:$G$3001,$N963))</f>
      </c>
      <c r="G963">
        <f>IF($N963="","",INDEX(Staging!$H$2:$H$3001,$N963))</f>
      </c>
      <c r="H963">
        <f>IF($N963="","",INDEX(Staging!$I$2:$I$3001,$N963))</f>
      </c>
      <c r="I963">
        <f>IF($N963="","",INDEX(Staging!$J$2:$J$3001,$N963))</f>
      </c>
      <c r="J963">
        <f>IF($N963="","",INDEX(Staging!$K$2:$K$3001,$N963))</f>
      </c>
      <c r="K963">
        <f>IF($N963="","",INDEX(Staging!$M$2:$M$3001,$N963))</f>
      </c>
      <c r="L963">
        <f>IF($N963="","",INDEX(Staging!$O$2:$O$3001,$N963))</f>
      </c>
      <c r="M963">
        <f>IF($N963="","",INDEX(Staging!$P$2:$P$3001,$N963))</f>
      </c>
      <c r="N963">
        <f t="array" ref="N963">IFERROR(SMALL(IF(Staging!$E$2:$E$3001="MIPPL",ROW(Staging!$E$2:$E$3001)-ROW(Staging!$E$2)+1),962),"")</f>
      </c>
    </row>
    <row r="964" spans="1:14" x14ac:dyDescent="0.25">
      <c r="A964">
        <f>IF($N964="","",INDEX(Staging!$A$2:$A$3001,$N964))</f>
      </c>
      <c r="B964">
        <f>IF($N964="","",INDEX(Staging!$B$2:$B$3001,$N964))</f>
      </c>
      <c r="C964">
        <f>IF($N964="","",INDEX(Staging!$C$2:$C$3001,$N964))</f>
      </c>
      <c r="D964">
        <f>IF($N964="","",INDEX(Staging!$D$2:$D$3001,$N964))</f>
      </c>
      <c r="E964">
        <f>IF($N964="","",INDEX(Staging!$F$2:$F$3001,$N964))</f>
      </c>
      <c r="F964">
        <f>IF($N964="","",INDEX(Staging!$G$2:$G$3001,$N964))</f>
      </c>
      <c r="G964">
        <f>IF($N964="","",INDEX(Staging!$H$2:$H$3001,$N964))</f>
      </c>
      <c r="H964">
        <f>IF($N964="","",INDEX(Staging!$I$2:$I$3001,$N964))</f>
      </c>
      <c r="I964">
        <f>IF($N964="","",INDEX(Staging!$J$2:$J$3001,$N964))</f>
      </c>
      <c r="J964">
        <f>IF($N964="","",INDEX(Staging!$K$2:$K$3001,$N964))</f>
      </c>
      <c r="K964">
        <f>IF($N964="","",INDEX(Staging!$M$2:$M$3001,$N964))</f>
      </c>
      <c r="L964">
        <f>IF($N964="","",INDEX(Staging!$O$2:$O$3001,$N964))</f>
      </c>
      <c r="M964">
        <f>IF($N964="","",INDEX(Staging!$P$2:$P$3001,$N964))</f>
      </c>
      <c r="N964">
        <f t="array" ref="N964">IFERROR(SMALL(IF(Staging!$E$2:$E$3001="MIPPL",ROW(Staging!$E$2:$E$3001)-ROW(Staging!$E$2)+1),963),"")</f>
      </c>
    </row>
    <row r="965" spans="1:14" x14ac:dyDescent="0.25">
      <c r="A965">
        <f>IF($N965="","",INDEX(Staging!$A$2:$A$3001,$N965))</f>
      </c>
      <c r="B965">
        <f>IF($N965="","",INDEX(Staging!$B$2:$B$3001,$N965))</f>
      </c>
      <c r="C965">
        <f>IF($N965="","",INDEX(Staging!$C$2:$C$3001,$N965))</f>
      </c>
      <c r="D965">
        <f>IF($N965="","",INDEX(Staging!$D$2:$D$3001,$N965))</f>
      </c>
      <c r="E965">
        <f>IF($N965="","",INDEX(Staging!$F$2:$F$3001,$N965))</f>
      </c>
      <c r="F965">
        <f>IF($N965="","",INDEX(Staging!$G$2:$G$3001,$N965))</f>
      </c>
      <c r="G965">
        <f>IF($N965="","",INDEX(Staging!$H$2:$H$3001,$N965))</f>
      </c>
      <c r="H965">
        <f>IF($N965="","",INDEX(Staging!$I$2:$I$3001,$N965))</f>
      </c>
      <c r="I965">
        <f>IF($N965="","",INDEX(Staging!$J$2:$J$3001,$N965))</f>
      </c>
      <c r="J965">
        <f>IF($N965="","",INDEX(Staging!$K$2:$K$3001,$N965))</f>
      </c>
      <c r="K965">
        <f>IF($N965="","",INDEX(Staging!$M$2:$M$3001,$N965))</f>
      </c>
      <c r="L965">
        <f>IF($N965="","",INDEX(Staging!$O$2:$O$3001,$N965))</f>
      </c>
      <c r="M965">
        <f>IF($N965="","",INDEX(Staging!$P$2:$P$3001,$N965))</f>
      </c>
      <c r="N965">
        <f t="array" ref="N965">IFERROR(SMALL(IF(Staging!$E$2:$E$3001="MIPPL",ROW(Staging!$E$2:$E$3001)-ROW(Staging!$E$2)+1),964),"")</f>
      </c>
    </row>
    <row r="966" spans="1:14" x14ac:dyDescent="0.25">
      <c r="A966">
        <f>IF($N966="","",INDEX(Staging!$A$2:$A$3001,$N966))</f>
      </c>
      <c r="B966">
        <f>IF($N966="","",INDEX(Staging!$B$2:$B$3001,$N966))</f>
      </c>
      <c r="C966">
        <f>IF($N966="","",INDEX(Staging!$C$2:$C$3001,$N966))</f>
      </c>
      <c r="D966">
        <f>IF($N966="","",INDEX(Staging!$D$2:$D$3001,$N966))</f>
      </c>
      <c r="E966">
        <f>IF($N966="","",INDEX(Staging!$F$2:$F$3001,$N966))</f>
      </c>
      <c r="F966">
        <f>IF($N966="","",INDEX(Staging!$G$2:$G$3001,$N966))</f>
      </c>
      <c r="G966">
        <f>IF($N966="","",INDEX(Staging!$H$2:$H$3001,$N966))</f>
      </c>
      <c r="H966">
        <f>IF($N966="","",INDEX(Staging!$I$2:$I$3001,$N966))</f>
      </c>
      <c r="I966">
        <f>IF($N966="","",INDEX(Staging!$J$2:$J$3001,$N966))</f>
      </c>
      <c r="J966">
        <f>IF($N966="","",INDEX(Staging!$K$2:$K$3001,$N966))</f>
      </c>
      <c r="K966">
        <f>IF($N966="","",INDEX(Staging!$M$2:$M$3001,$N966))</f>
      </c>
      <c r="L966">
        <f>IF($N966="","",INDEX(Staging!$O$2:$O$3001,$N966))</f>
      </c>
      <c r="M966">
        <f>IF($N966="","",INDEX(Staging!$P$2:$P$3001,$N966))</f>
      </c>
      <c r="N966">
        <f t="array" ref="N966">IFERROR(SMALL(IF(Staging!$E$2:$E$3001="MIPPL",ROW(Staging!$E$2:$E$3001)-ROW(Staging!$E$2)+1),965),"")</f>
      </c>
    </row>
    <row r="967" spans="1:14" x14ac:dyDescent="0.25">
      <c r="A967">
        <f>IF($N967="","",INDEX(Staging!$A$2:$A$3001,$N967))</f>
      </c>
      <c r="B967">
        <f>IF($N967="","",INDEX(Staging!$B$2:$B$3001,$N967))</f>
      </c>
      <c r="C967">
        <f>IF($N967="","",INDEX(Staging!$C$2:$C$3001,$N967))</f>
      </c>
      <c r="D967">
        <f>IF($N967="","",INDEX(Staging!$D$2:$D$3001,$N967))</f>
      </c>
      <c r="E967">
        <f>IF($N967="","",INDEX(Staging!$F$2:$F$3001,$N967))</f>
      </c>
      <c r="F967">
        <f>IF($N967="","",INDEX(Staging!$G$2:$G$3001,$N967))</f>
      </c>
      <c r="G967">
        <f>IF($N967="","",INDEX(Staging!$H$2:$H$3001,$N967))</f>
      </c>
      <c r="H967">
        <f>IF($N967="","",INDEX(Staging!$I$2:$I$3001,$N967))</f>
      </c>
      <c r="I967">
        <f>IF($N967="","",INDEX(Staging!$J$2:$J$3001,$N967))</f>
      </c>
      <c r="J967">
        <f>IF($N967="","",INDEX(Staging!$K$2:$K$3001,$N967))</f>
      </c>
      <c r="K967">
        <f>IF($N967="","",INDEX(Staging!$M$2:$M$3001,$N967))</f>
      </c>
      <c r="L967">
        <f>IF($N967="","",INDEX(Staging!$O$2:$O$3001,$N967))</f>
      </c>
      <c r="M967">
        <f>IF($N967="","",INDEX(Staging!$P$2:$P$3001,$N967))</f>
      </c>
      <c r="N967">
        <f t="array" ref="N967">IFERROR(SMALL(IF(Staging!$E$2:$E$3001="MIPPL",ROW(Staging!$E$2:$E$3001)-ROW(Staging!$E$2)+1),966),"")</f>
      </c>
    </row>
    <row r="968" spans="1:14" x14ac:dyDescent="0.25">
      <c r="A968">
        <f>IF($N968="","",INDEX(Staging!$A$2:$A$3001,$N968))</f>
      </c>
      <c r="B968">
        <f>IF($N968="","",INDEX(Staging!$B$2:$B$3001,$N968))</f>
      </c>
      <c r="C968">
        <f>IF($N968="","",INDEX(Staging!$C$2:$C$3001,$N968))</f>
      </c>
      <c r="D968">
        <f>IF($N968="","",INDEX(Staging!$D$2:$D$3001,$N968))</f>
      </c>
      <c r="E968">
        <f>IF($N968="","",INDEX(Staging!$F$2:$F$3001,$N968))</f>
      </c>
      <c r="F968">
        <f>IF($N968="","",INDEX(Staging!$G$2:$G$3001,$N968))</f>
      </c>
      <c r="G968">
        <f>IF($N968="","",INDEX(Staging!$H$2:$H$3001,$N968))</f>
      </c>
      <c r="H968">
        <f>IF($N968="","",INDEX(Staging!$I$2:$I$3001,$N968))</f>
      </c>
      <c r="I968">
        <f>IF($N968="","",INDEX(Staging!$J$2:$J$3001,$N968))</f>
      </c>
      <c r="J968">
        <f>IF($N968="","",INDEX(Staging!$K$2:$K$3001,$N968))</f>
      </c>
      <c r="K968">
        <f>IF($N968="","",INDEX(Staging!$M$2:$M$3001,$N968))</f>
      </c>
      <c r="L968">
        <f>IF($N968="","",INDEX(Staging!$O$2:$O$3001,$N968))</f>
      </c>
      <c r="M968">
        <f>IF($N968="","",INDEX(Staging!$P$2:$P$3001,$N968))</f>
      </c>
      <c r="N968">
        <f t="array" ref="N968">IFERROR(SMALL(IF(Staging!$E$2:$E$3001="MIPPL",ROW(Staging!$E$2:$E$3001)-ROW(Staging!$E$2)+1),967),"")</f>
      </c>
    </row>
    <row r="969" spans="1:14" x14ac:dyDescent="0.25">
      <c r="A969">
        <f>IF($N969="","",INDEX(Staging!$A$2:$A$3001,$N969))</f>
      </c>
      <c r="B969">
        <f>IF($N969="","",INDEX(Staging!$B$2:$B$3001,$N969))</f>
      </c>
      <c r="C969">
        <f>IF($N969="","",INDEX(Staging!$C$2:$C$3001,$N969))</f>
      </c>
      <c r="D969">
        <f>IF($N969="","",INDEX(Staging!$D$2:$D$3001,$N969))</f>
      </c>
      <c r="E969">
        <f>IF($N969="","",INDEX(Staging!$F$2:$F$3001,$N969))</f>
      </c>
      <c r="F969">
        <f>IF($N969="","",INDEX(Staging!$G$2:$G$3001,$N969))</f>
      </c>
      <c r="G969">
        <f>IF($N969="","",INDEX(Staging!$H$2:$H$3001,$N969))</f>
      </c>
      <c r="H969">
        <f>IF($N969="","",INDEX(Staging!$I$2:$I$3001,$N969))</f>
      </c>
      <c r="I969">
        <f>IF($N969="","",INDEX(Staging!$J$2:$J$3001,$N969))</f>
      </c>
      <c r="J969">
        <f>IF($N969="","",INDEX(Staging!$K$2:$K$3001,$N969))</f>
      </c>
      <c r="K969">
        <f>IF($N969="","",INDEX(Staging!$M$2:$M$3001,$N969))</f>
      </c>
      <c r="L969">
        <f>IF($N969="","",INDEX(Staging!$O$2:$O$3001,$N969))</f>
      </c>
      <c r="M969">
        <f>IF($N969="","",INDEX(Staging!$P$2:$P$3001,$N969))</f>
      </c>
      <c r="N969">
        <f t="array" ref="N969">IFERROR(SMALL(IF(Staging!$E$2:$E$3001="MIPPL",ROW(Staging!$E$2:$E$3001)-ROW(Staging!$E$2)+1),968),"")</f>
      </c>
    </row>
    <row r="970" spans="1:14" x14ac:dyDescent="0.25">
      <c r="A970">
        <f>IF($N970="","",INDEX(Staging!$A$2:$A$3001,$N970))</f>
      </c>
      <c r="B970">
        <f>IF($N970="","",INDEX(Staging!$B$2:$B$3001,$N970))</f>
      </c>
      <c r="C970">
        <f>IF($N970="","",INDEX(Staging!$C$2:$C$3001,$N970))</f>
      </c>
      <c r="D970">
        <f>IF($N970="","",INDEX(Staging!$D$2:$D$3001,$N970))</f>
      </c>
      <c r="E970">
        <f>IF($N970="","",INDEX(Staging!$F$2:$F$3001,$N970))</f>
      </c>
      <c r="F970">
        <f>IF($N970="","",INDEX(Staging!$G$2:$G$3001,$N970))</f>
      </c>
      <c r="G970">
        <f>IF($N970="","",INDEX(Staging!$H$2:$H$3001,$N970))</f>
      </c>
      <c r="H970">
        <f>IF($N970="","",INDEX(Staging!$I$2:$I$3001,$N970))</f>
      </c>
      <c r="I970">
        <f>IF($N970="","",INDEX(Staging!$J$2:$J$3001,$N970))</f>
      </c>
      <c r="J970">
        <f>IF($N970="","",INDEX(Staging!$K$2:$K$3001,$N970))</f>
      </c>
      <c r="K970">
        <f>IF($N970="","",INDEX(Staging!$M$2:$M$3001,$N970))</f>
      </c>
      <c r="L970">
        <f>IF($N970="","",INDEX(Staging!$O$2:$O$3001,$N970))</f>
      </c>
      <c r="M970">
        <f>IF($N970="","",INDEX(Staging!$P$2:$P$3001,$N970))</f>
      </c>
      <c r="N970">
        <f t="array" ref="N970">IFERROR(SMALL(IF(Staging!$E$2:$E$3001="MIPPL",ROW(Staging!$E$2:$E$3001)-ROW(Staging!$E$2)+1),969),"")</f>
      </c>
    </row>
    <row r="971" spans="1:14" x14ac:dyDescent="0.25">
      <c r="A971">
        <f>IF($N971="","",INDEX(Staging!$A$2:$A$3001,$N971))</f>
      </c>
      <c r="B971">
        <f>IF($N971="","",INDEX(Staging!$B$2:$B$3001,$N971))</f>
      </c>
      <c r="C971">
        <f>IF($N971="","",INDEX(Staging!$C$2:$C$3001,$N971))</f>
      </c>
      <c r="D971">
        <f>IF($N971="","",INDEX(Staging!$D$2:$D$3001,$N971))</f>
      </c>
      <c r="E971">
        <f>IF($N971="","",INDEX(Staging!$F$2:$F$3001,$N971))</f>
      </c>
      <c r="F971">
        <f>IF($N971="","",INDEX(Staging!$G$2:$G$3001,$N971))</f>
      </c>
      <c r="G971">
        <f>IF($N971="","",INDEX(Staging!$H$2:$H$3001,$N971))</f>
      </c>
      <c r="H971">
        <f>IF($N971="","",INDEX(Staging!$I$2:$I$3001,$N971))</f>
      </c>
      <c r="I971">
        <f>IF($N971="","",INDEX(Staging!$J$2:$J$3001,$N971))</f>
      </c>
      <c r="J971">
        <f>IF($N971="","",INDEX(Staging!$K$2:$K$3001,$N971))</f>
      </c>
      <c r="K971">
        <f>IF($N971="","",INDEX(Staging!$M$2:$M$3001,$N971))</f>
      </c>
      <c r="L971">
        <f>IF($N971="","",INDEX(Staging!$O$2:$O$3001,$N971))</f>
      </c>
      <c r="M971">
        <f>IF($N971="","",INDEX(Staging!$P$2:$P$3001,$N971))</f>
      </c>
      <c r="N971">
        <f t="array" ref="N971">IFERROR(SMALL(IF(Staging!$E$2:$E$3001="MIPPL",ROW(Staging!$E$2:$E$3001)-ROW(Staging!$E$2)+1),970),"")</f>
      </c>
    </row>
    <row r="972" spans="1:14" x14ac:dyDescent="0.25">
      <c r="A972">
        <f>IF($N972="","",INDEX(Staging!$A$2:$A$3001,$N972))</f>
      </c>
      <c r="B972">
        <f>IF($N972="","",INDEX(Staging!$B$2:$B$3001,$N972))</f>
      </c>
      <c r="C972">
        <f>IF($N972="","",INDEX(Staging!$C$2:$C$3001,$N972))</f>
      </c>
      <c r="D972">
        <f>IF($N972="","",INDEX(Staging!$D$2:$D$3001,$N972))</f>
      </c>
      <c r="E972">
        <f>IF($N972="","",INDEX(Staging!$F$2:$F$3001,$N972))</f>
      </c>
      <c r="F972">
        <f>IF($N972="","",INDEX(Staging!$G$2:$G$3001,$N972))</f>
      </c>
      <c r="G972">
        <f>IF($N972="","",INDEX(Staging!$H$2:$H$3001,$N972))</f>
      </c>
      <c r="H972">
        <f>IF($N972="","",INDEX(Staging!$I$2:$I$3001,$N972))</f>
      </c>
      <c r="I972">
        <f>IF($N972="","",INDEX(Staging!$J$2:$J$3001,$N972))</f>
      </c>
      <c r="J972">
        <f>IF($N972="","",INDEX(Staging!$K$2:$K$3001,$N972))</f>
      </c>
      <c r="K972">
        <f>IF($N972="","",INDEX(Staging!$M$2:$M$3001,$N972))</f>
      </c>
      <c r="L972">
        <f>IF($N972="","",INDEX(Staging!$O$2:$O$3001,$N972))</f>
      </c>
      <c r="M972">
        <f>IF($N972="","",INDEX(Staging!$P$2:$P$3001,$N972))</f>
      </c>
      <c r="N972">
        <f t="array" ref="N972">IFERROR(SMALL(IF(Staging!$E$2:$E$3001="MIPPL",ROW(Staging!$E$2:$E$3001)-ROW(Staging!$E$2)+1),971),"")</f>
      </c>
    </row>
    <row r="973" spans="1:14" x14ac:dyDescent="0.25">
      <c r="A973">
        <f>IF($N973="","",INDEX(Staging!$A$2:$A$3001,$N973))</f>
      </c>
      <c r="B973">
        <f>IF($N973="","",INDEX(Staging!$B$2:$B$3001,$N973))</f>
      </c>
      <c r="C973">
        <f>IF($N973="","",INDEX(Staging!$C$2:$C$3001,$N973))</f>
      </c>
      <c r="D973">
        <f>IF($N973="","",INDEX(Staging!$D$2:$D$3001,$N973))</f>
      </c>
      <c r="E973">
        <f>IF($N973="","",INDEX(Staging!$F$2:$F$3001,$N973))</f>
      </c>
      <c r="F973">
        <f>IF($N973="","",INDEX(Staging!$G$2:$G$3001,$N973))</f>
      </c>
      <c r="G973">
        <f>IF($N973="","",INDEX(Staging!$H$2:$H$3001,$N973))</f>
      </c>
      <c r="H973">
        <f>IF($N973="","",INDEX(Staging!$I$2:$I$3001,$N973))</f>
      </c>
      <c r="I973">
        <f>IF($N973="","",INDEX(Staging!$J$2:$J$3001,$N973))</f>
      </c>
      <c r="J973">
        <f>IF($N973="","",INDEX(Staging!$K$2:$K$3001,$N973))</f>
      </c>
      <c r="K973">
        <f>IF($N973="","",INDEX(Staging!$M$2:$M$3001,$N973))</f>
      </c>
      <c r="L973">
        <f>IF($N973="","",INDEX(Staging!$O$2:$O$3001,$N973))</f>
      </c>
      <c r="M973">
        <f>IF($N973="","",INDEX(Staging!$P$2:$P$3001,$N973))</f>
      </c>
      <c r="N973">
        <f t="array" ref="N973">IFERROR(SMALL(IF(Staging!$E$2:$E$3001="MIPPL",ROW(Staging!$E$2:$E$3001)-ROW(Staging!$E$2)+1),972),"")</f>
      </c>
    </row>
    <row r="974" spans="1:14" x14ac:dyDescent="0.25">
      <c r="A974">
        <f>IF($N974="","",INDEX(Staging!$A$2:$A$3001,$N974))</f>
      </c>
      <c r="B974">
        <f>IF($N974="","",INDEX(Staging!$B$2:$B$3001,$N974))</f>
      </c>
      <c r="C974">
        <f>IF($N974="","",INDEX(Staging!$C$2:$C$3001,$N974))</f>
      </c>
      <c r="D974">
        <f>IF($N974="","",INDEX(Staging!$D$2:$D$3001,$N974))</f>
      </c>
      <c r="E974">
        <f>IF($N974="","",INDEX(Staging!$F$2:$F$3001,$N974))</f>
      </c>
      <c r="F974">
        <f>IF($N974="","",INDEX(Staging!$G$2:$G$3001,$N974))</f>
      </c>
      <c r="G974">
        <f>IF($N974="","",INDEX(Staging!$H$2:$H$3001,$N974))</f>
      </c>
      <c r="H974">
        <f>IF($N974="","",INDEX(Staging!$I$2:$I$3001,$N974))</f>
      </c>
      <c r="I974">
        <f>IF($N974="","",INDEX(Staging!$J$2:$J$3001,$N974))</f>
      </c>
      <c r="J974">
        <f>IF($N974="","",INDEX(Staging!$K$2:$K$3001,$N974))</f>
      </c>
      <c r="K974">
        <f>IF($N974="","",INDEX(Staging!$M$2:$M$3001,$N974))</f>
      </c>
      <c r="L974">
        <f>IF($N974="","",INDEX(Staging!$O$2:$O$3001,$N974))</f>
      </c>
      <c r="M974">
        <f>IF($N974="","",INDEX(Staging!$P$2:$P$3001,$N974))</f>
      </c>
      <c r="N974">
        <f t="array" ref="N974">IFERROR(SMALL(IF(Staging!$E$2:$E$3001="MIPPL",ROW(Staging!$E$2:$E$3001)-ROW(Staging!$E$2)+1),973),"")</f>
      </c>
    </row>
    <row r="975" spans="1:14" x14ac:dyDescent="0.25">
      <c r="A975">
        <f>IF($N975="","",INDEX(Staging!$A$2:$A$3001,$N975))</f>
      </c>
      <c r="B975">
        <f>IF($N975="","",INDEX(Staging!$B$2:$B$3001,$N975))</f>
      </c>
      <c r="C975">
        <f>IF($N975="","",INDEX(Staging!$C$2:$C$3001,$N975))</f>
      </c>
      <c r="D975">
        <f>IF($N975="","",INDEX(Staging!$D$2:$D$3001,$N975))</f>
      </c>
      <c r="E975">
        <f>IF($N975="","",INDEX(Staging!$F$2:$F$3001,$N975))</f>
      </c>
      <c r="F975">
        <f>IF($N975="","",INDEX(Staging!$G$2:$G$3001,$N975))</f>
      </c>
      <c r="G975">
        <f>IF($N975="","",INDEX(Staging!$H$2:$H$3001,$N975))</f>
      </c>
      <c r="H975">
        <f>IF($N975="","",INDEX(Staging!$I$2:$I$3001,$N975))</f>
      </c>
      <c r="I975">
        <f>IF($N975="","",INDEX(Staging!$J$2:$J$3001,$N975))</f>
      </c>
      <c r="J975">
        <f>IF($N975="","",INDEX(Staging!$K$2:$K$3001,$N975))</f>
      </c>
      <c r="K975">
        <f>IF($N975="","",INDEX(Staging!$M$2:$M$3001,$N975))</f>
      </c>
      <c r="L975">
        <f>IF($N975="","",INDEX(Staging!$O$2:$O$3001,$N975))</f>
      </c>
      <c r="M975">
        <f>IF($N975="","",INDEX(Staging!$P$2:$P$3001,$N975))</f>
      </c>
      <c r="N975">
        <f t="array" ref="N975">IFERROR(SMALL(IF(Staging!$E$2:$E$3001="MIPPL",ROW(Staging!$E$2:$E$3001)-ROW(Staging!$E$2)+1),974),"")</f>
      </c>
    </row>
    <row r="976" spans="1:14" x14ac:dyDescent="0.25">
      <c r="A976">
        <f>IF($N976="","",INDEX(Staging!$A$2:$A$3001,$N976))</f>
      </c>
      <c r="B976">
        <f>IF($N976="","",INDEX(Staging!$B$2:$B$3001,$N976))</f>
      </c>
      <c r="C976">
        <f>IF($N976="","",INDEX(Staging!$C$2:$C$3001,$N976))</f>
      </c>
      <c r="D976">
        <f>IF($N976="","",INDEX(Staging!$D$2:$D$3001,$N976))</f>
      </c>
      <c r="E976">
        <f>IF($N976="","",INDEX(Staging!$F$2:$F$3001,$N976))</f>
      </c>
      <c r="F976">
        <f>IF($N976="","",INDEX(Staging!$G$2:$G$3001,$N976))</f>
      </c>
      <c r="G976">
        <f>IF($N976="","",INDEX(Staging!$H$2:$H$3001,$N976))</f>
      </c>
      <c r="H976">
        <f>IF($N976="","",INDEX(Staging!$I$2:$I$3001,$N976))</f>
      </c>
      <c r="I976">
        <f>IF($N976="","",INDEX(Staging!$J$2:$J$3001,$N976))</f>
      </c>
      <c r="J976">
        <f>IF($N976="","",INDEX(Staging!$K$2:$K$3001,$N976))</f>
      </c>
      <c r="K976">
        <f>IF($N976="","",INDEX(Staging!$M$2:$M$3001,$N976))</f>
      </c>
      <c r="L976">
        <f>IF($N976="","",INDEX(Staging!$O$2:$O$3001,$N976))</f>
      </c>
      <c r="M976">
        <f>IF($N976="","",INDEX(Staging!$P$2:$P$3001,$N976))</f>
      </c>
      <c r="N976">
        <f t="array" ref="N976">IFERROR(SMALL(IF(Staging!$E$2:$E$3001="MIPPL",ROW(Staging!$E$2:$E$3001)-ROW(Staging!$E$2)+1),975),"")</f>
      </c>
    </row>
    <row r="977" spans="1:14" x14ac:dyDescent="0.25">
      <c r="A977">
        <f>IF($N977="","",INDEX(Staging!$A$2:$A$3001,$N977))</f>
      </c>
      <c r="B977">
        <f>IF($N977="","",INDEX(Staging!$B$2:$B$3001,$N977))</f>
      </c>
      <c r="C977">
        <f>IF($N977="","",INDEX(Staging!$C$2:$C$3001,$N977))</f>
      </c>
      <c r="D977">
        <f>IF($N977="","",INDEX(Staging!$D$2:$D$3001,$N977))</f>
      </c>
      <c r="E977">
        <f>IF($N977="","",INDEX(Staging!$F$2:$F$3001,$N977))</f>
      </c>
      <c r="F977">
        <f>IF($N977="","",INDEX(Staging!$G$2:$G$3001,$N977))</f>
      </c>
      <c r="G977">
        <f>IF($N977="","",INDEX(Staging!$H$2:$H$3001,$N977))</f>
      </c>
      <c r="H977">
        <f>IF($N977="","",INDEX(Staging!$I$2:$I$3001,$N977))</f>
      </c>
      <c r="I977">
        <f>IF($N977="","",INDEX(Staging!$J$2:$J$3001,$N977))</f>
      </c>
      <c r="J977">
        <f>IF($N977="","",INDEX(Staging!$K$2:$K$3001,$N977))</f>
      </c>
      <c r="K977">
        <f>IF($N977="","",INDEX(Staging!$M$2:$M$3001,$N977))</f>
      </c>
      <c r="L977">
        <f>IF($N977="","",INDEX(Staging!$O$2:$O$3001,$N977))</f>
      </c>
      <c r="M977">
        <f>IF($N977="","",INDEX(Staging!$P$2:$P$3001,$N977))</f>
      </c>
      <c r="N977">
        <f t="array" ref="N977">IFERROR(SMALL(IF(Staging!$E$2:$E$3001="MIPPL",ROW(Staging!$E$2:$E$3001)-ROW(Staging!$E$2)+1),976),"")</f>
      </c>
    </row>
    <row r="978" spans="1:14" x14ac:dyDescent="0.25">
      <c r="A978">
        <f>IF($N978="","",INDEX(Staging!$A$2:$A$3001,$N978))</f>
      </c>
      <c r="B978">
        <f>IF($N978="","",INDEX(Staging!$B$2:$B$3001,$N978))</f>
      </c>
      <c r="C978">
        <f>IF($N978="","",INDEX(Staging!$C$2:$C$3001,$N978))</f>
      </c>
      <c r="D978">
        <f>IF($N978="","",INDEX(Staging!$D$2:$D$3001,$N978))</f>
      </c>
      <c r="E978">
        <f>IF($N978="","",INDEX(Staging!$F$2:$F$3001,$N978))</f>
      </c>
      <c r="F978">
        <f>IF($N978="","",INDEX(Staging!$G$2:$G$3001,$N978))</f>
      </c>
      <c r="G978">
        <f>IF($N978="","",INDEX(Staging!$H$2:$H$3001,$N978))</f>
      </c>
      <c r="H978">
        <f>IF($N978="","",INDEX(Staging!$I$2:$I$3001,$N978))</f>
      </c>
      <c r="I978">
        <f>IF($N978="","",INDEX(Staging!$J$2:$J$3001,$N978))</f>
      </c>
      <c r="J978">
        <f>IF($N978="","",INDEX(Staging!$K$2:$K$3001,$N978))</f>
      </c>
      <c r="K978">
        <f>IF($N978="","",INDEX(Staging!$M$2:$M$3001,$N978))</f>
      </c>
      <c r="L978">
        <f>IF($N978="","",INDEX(Staging!$O$2:$O$3001,$N978))</f>
      </c>
      <c r="M978">
        <f>IF($N978="","",INDEX(Staging!$P$2:$P$3001,$N978))</f>
      </c>
      <c r="N978">
        <f t="array" ref="N978">IFERROR(SMALL(IF(Staging!$E$2:$E$3001="MIPPL",ROW(Staging!$E$2:$E$3001)-ROW(Staging!$E$2)+1),977),"")</f>
      </c>
    </row>
    <row r="979" spans="1:14" x14ac:dyDescent="0.25">
      <c r="A979">
        <f>IF($N979="","",INDEX(Staging!$A$2:$A$3001,$N979))</f>
      </c>
      <c r="B979">
        <f>IF($N979="","",INDEX(Staging!$B$2:$B$3001,$N979))</f>
      </c>
      <c r="C979">
        <f>IF($N979="","",INDEX(Staging!$C$2:$C$3001,$N979))</f>
      </c>
      <c r="D979">
        <f>IF($N979="","",INDEX(Staging!$D$2:$D$3001,$N979))</f>
      </c>
      <c r="E979">
        <f>IF($N979="","",INDEX(Staging!$F$2:$F$3001,$N979))</f>
      </c>
      <c r="F979">
        <f>IF($N979="","",INDEX(Staging!$G$2:$G$3001,$N979))</f>
      </c>
      <c r="G979">
        <f>IF($N979="","",INDEX(Staging!$H$2:$H$3001,$N979))</f>
      </c>
      <c r="H979">
        <f>IF($N979="","",INDEX(Staging!$I$2:$I$3001,$N979))</f>
      </c>
      <c r="I979">
        <f>IF($N979="","",INDEX(Staging!$J$2:$J$3001,$N979))</f>
      </c>
      <c r="J979">
        <f>IF($N979="","",INDEX(Staging!$K$2:$K$3001,$N979))</f>
      </c>
      <c r="K979">
        <f>IF($N979="","",INDEX(Staging!$M$2:$M$3001,$N979))</f>
      </c>
      <c r="L979">
        <f>IF($N979="","",INDEX(Staging!$O$2:$O$3001,$N979))</f>
      </c>
      <c r="M979">
        <f>IF($N979="","",INDEX(Staging!$P$2:$P$3001,$N979))</f>
      </c>
      <c r="N979">
        <f t="array" ref="N979">IFERROR(SMALL(IF(Staging!$E$2:$E$3001="MIPPL",ROW(Staging!$E$2:$E$3001)-ROW(Staging!$E$2)+1),978),"")</f>
      </c>
    </row>
    <row r="980" spans="1:14" x14ac:dyDescent="0.25">
      <c r="A980">
        <f>IF($N980="","",INDEX(Staging!$A$2:$A$3001,$N980))</f>
      </c>
      <c r="B980">
        <f>IF($N980="","",INDEX(Staging!$B$2:$B$3001,$N980))</f>
      </c>
      <c r="C980">
        <f>IF($N980="","",INDEX(Staging!$C$2:$C$3001,$N980))</f>
      </c>
      <c r="D980">
        <f>IF($N980="","",INDEX(Staging!$D$2:$D$3001,$N980))</f>
      </c>
      <c r="E980">
        <f>IF($N980="","",INDEX(Staging!$F$2:$F$3001,$N980))</f>
      </c>
      <c r="F980">
        <f>IF($N980="","",INDEX(Staging!$G$2:$G$3001,$N980))</f>
      </c>
      <c r="G980">
        <f>IF($N980="","",INDEX(Staging!$H$2:$H$3001,$N980))</f>
      </c>
      <c r="H980">
        <f>IF($N980="","",INDEX(Staging!$I$2:$I$3001,$N980))</f>
      </c>
      <c r="I980">
        <f>IF($N980="","",INDEX(Staging!$J$2:$J$3001,$N980))</f>
      </c>
      <c r="J980">
        <f>IF($N980="","",INDEX(Staging!$K$2:$K$3001,$N980))</f>
      </c>
      <c r="K980">
        <f>IF($N980="","",INDEX(Staging!$M$2:$M$3001,$N980))</f>
      </c>
      <c r="L980">
        <f>IF($N980="","",INDEX(Staging!$O$2:$O$3001,$N980))</f>
      </c>
      <c r="M980">
        <f>IF($N980="","",INDEX(Staging!$P$2:$P$3001,$N980))</f>
      </c>
      <c r="N980">
        <f t="array" ref="N980">IFERROR(SMALL(IF(Staging!$E$2:$E$3001="MIPPL",ROW(Staging!$E$2:$E$3001)-ROW(Staging!$E$2)+1),979),"")</f>
      </c>
    </row>
    <row r="981" spans="1:14" x14ac:dyDescent="0.25">
      <c r="A981">
        <f>IF($N981="","",INDEX(Staging!$A$2:$A$3001,$N981))</f>
      </c>
      <c r="B981">
        <f>IF($N981="","",INDEX(Staging!$B$2:$B$3001,$N981))</f>
      </c>
      <c r="C981">
        <f>IF($N981="","",INDEX(Staging!$C$2:$C$3001,$N981))</f>
      </c>
      <c r="D981">
        <f>IF($N981="","",INDEX(Staging!$D$2:$D$3001,$N981))</f>
      </c>
      <c r="E981">
        <f>IF($N981="","",INDEX(Staging!$F$2:$F$3001,$N981))</f>
      </c>
      <c r="F981">
        <f>IF($N981="","",INDEX(Staging!$G$2:$G$3001,$N981))</f>
      </c>
      <c r="G981">
        <f>IF($N981="","",INDEX(Staging!$H$2:$H$3001,$N981))</f>
      </c>
      <c r="H981">
        <f>IF($N981="","",INDEX(Staging!$I$2:$I$3001,$N981))</f>
      </c>
      <c r="I981">
        <f>IF($N981="","",INDEX(Staging!$J$2:$J$3001,$N981))</f>
      </c>
      <c r="J981">
        <f>IF($N981="","",INDEX(Staging!$K$2:$K$3001,$N981))</f>
      </c>
      <c r="K981">
        <f>IF($N981="","",INDEX(Staging!$M$2:$M$3001,$N981))</f>
      </c>
      <c r="L981">
        <f>IF($N981="","",INDEX(Staging!$O$2:$O$3001,$N981))</f>
      </c>
      <c r="M981">
        <f>IF($N981="","",INDEX(Staging!$P$2:$P$3001,$N981))</f>
      </c>
      <c r="N981">
        <f t="array" ref="N981">IFERROR(SMALL(IF(Staging!$E$2:$E$3001="MIPPL",ROW(Staging!$E$2:$E$3001)-ROW(Staging!$E$2)+1),980),"")</f>
      </c>
    </row>
    <row r="982" spans="1:14" x14ac:dyDescent="0.25">
      <c r="A982">
        <f>IF($N982="","",INDEX(Staging!$A$2:$A$3001,$N982))</f>
      </c>
      <c r="B982">
        <f>IF($N982="","",INDEX(Staging!$B$2:$B$3001,$N982))</f>
      </c>
      <c r="C982">
        <f>IF($N982="","",INDEX(Staging!$C$2:$C$3001,$N982))</f>
      </c>
      <c r="D982">
        <f>IF($N982="","",INDEX(Staging!$D$2:$D$3001,$N982))</f>
      </c>
      <c r="E982">
        <f>IF($N982="","",INDEX(Staging!$F$2:$F$3001,$N982))</f>
      </c>
      <c r="F982">
        <f>IF($N982="","",INDEX(Staging!$G$2:$G$3001,$N982))</f>
      </c>
      <c r="G982">
        <f>IF($N982="","",INDEX(Staging!$H$2:$H$3001,$N982))</f>
      </c>
      <c r="H982">
        <f>IF($N982="","",INDEX(Staging!$I$2:$I$3001,$N982))</f>
      </c>
      <c r="I982">
        <f>IF($N982="","",INDEX(Staging!$J$2:$J$3001,$N982))</f>
      </c>
      <c r="J982">
        <f>IF($N982="","",INDEX(Staging!$K$2:$K$3001,$N982))</f>
      </c>
      <c r="K982">
        <f>IF($N982="","",INDEX(Staging!$M$2:$M$3001,$N982))</f>
      </c>
      <c r="L982">
        <f>IF($N982="","",INDEX(Staging!$O$2:$O$3001,$N982))</f>
      </c>
      <c r="M982">
        <f>IF($N982="","",INDEX(Staging!$P$2:$P$3001,$N982))</f>
      </c>
      <c r="N982">
        <f t="array" ref="N982">IFERROR(SMALL(IF(Staging!$E$2:$E$3001="MIPPL",ROW(Staging!$E$2:$E$3001)-ROW(Staging!$E$2)+1),981),"")</f>
      </c>
    </row>
    <row r="983" spans="1:14" x14ac:dyDescent="0.25">
      <c r="A983">
        <f>IF($N983="","",INDEX(Staging!$A$2:$A$3001,$N983))</f>
      </c>
      <c r="B983">
        <f>IF($N983="","",INDEX(Staging!$B$2:$B$3001,$N983))</f>
      </c>
      <c r="C983">
        <f>IF($N983="","",INDEX(Staging!$C$2:$C$3001,$N983))</f>
      </c>
      <c r="D983">
        <f>IF($N983="","",INDEX(Staging!$D$2:$D$3001,$N983))</f>
      </c>
      <c r="E983">
        <f>IF($N983="","",INDEX(Staging!$F$2:$F$3001,$N983))</f>
      </c>
      <c r="F983">
        <f>IF($N983="","",INDEX(Staging!$G$2:$G$3001,$N983))</f>
      </c>
      <c r="G983">
        <f>IF($N983="","",INDEX(Staging!$H$2:$H$3001,$N983))</f>
      </c>
      <c r="H983">
        <f>IF($N983="","",INDEX(Staging!$I$2:$I$3001,$N983))</f>
      </c>
      <c r="I983">
        <f>IF($N983="","",INDEX(Staging!$J$2:$J$3001,$N983))</f>
      </c>
      <c r="J983">
        <f>IF($N983="","",INDEX(Staging!$K$2:$K$3001,$N983))</f>
      </c>
      <c r="K983">
        <f>IF($N983="","",INDEX(Staging!$M$2:$M$3001,$N983))</f>
      </c>
      <c r="L983">
        <f>IF($N983="","",INDEX(Staging!$O$2:$O$3001,$N983))</f>
      </c>
      <c r="M983">
        <f>IF($N983="","",INDEX(Staging!$P$2:$P$3001,$N983))</f>
      </c>
      <c r="N983">
        <f t="array" ref="N983">IFERROR(SMALL(IF(Staging!$E$2:$E$3001="MIPPL",ROW(Staging!$E$2:$E$3001)-ROW(Staging!$E$2)+1),982),"")</f>
      </c>
    </row>
    <row r="984" spans="1:14" x14ac:dyDescent="0.25">
      <c r="A984">
        <f>IF($N984="","",INDEX(Staging!$A$2:$A$3001,$N984))</f>
      </c>
      <c r="B984">
        <f>IF($N984="","",INDEX(Staging!$B$2:$B$3001,$N984))</f>
      </c>
      <c r="C984">
        <f>IF($N984="","",INDEX(Staging!$C$2:$C$3001,$N984))</f>
      </c>
      <c r="D984">
        <f>IF($N984="","",INDEX(Staging!$D$2:$D$3001,$N984))</f>
      </c>
      <c r="E984">
        <f>IF($N984="","",INDEX(Staging!$F$2:$F$3001,$N984))</f>
      </c>
      <c r="F984">
        <f>IF($N984="","",INDEX(Staging!$G$2:$G$3001,$N984))</f>
      </c>
      <c r="G984">
        <f>IF($N984="","",INDEX(Staging!$H$2:$H$3001,$N984))</f>
      </c>
      <c r="H984">
        <f>IF($N984="","",INDEX(Staging!$I$2:$I$3001,$N984))</f>
      </c>
      <c r="I984">
        <f>IF($N984="","",INDEX(Staging!$J$2:$J$3001,$N984))</f>
      </c>
      <c r="J984">
        <f>IF($N984="","",INDEX(Staging!$K$2:$K$3001,$N984))</f>
      </c>
      <c r="K984">
        <f>IF($N984="","",INDEX(Staging!$M$2:$M$3001,$N984))</f>
      </c>
      <c r="L984">
        <f>IF($N984="","",INDEX(Staging!$O$2:$O$3001,$N984))</f>
      </c>
      <c r="M984">
        <f>IF($N984="","",INDEX(Staging!$P$2:$P$3001,$N984))</f>
      </c>
      <c r="N984">
        <f t="array" ref="N984">IFERROR(SMALL(IF(Staging!$E$2:$E$3001="MIPPL",ROW(Staging!$E$2:$E$3001)-ROW(Staging!$E$2)+1),983),"")</f>
      </c>
    </row>
    <row r="985" spans="1:14" x14ac:dyDescent="0.25">
      <c r="A985">
        <f>IF($N985="","",INDEX(Staging!$A$2:$A$3001,$N985))</f>
      </c>
      <c r="B985">
        <f>IF($N985="","",INDEX(Staging!$B$2:$B$3001,$N985))</f>
      </c>
      <c r="C985">
        <f>IF($N985="","",INDEX(Staging!$C$2:$C$3001,$N985))</f>
      </c>
      <c r="D985">
        <f>IF($N985="","",INDEX(Staging!$D$2:$D$3001,$N985))</f>
      </c>
      <c r="E985">
        <f>IF($N985="","",INDEX(Staging!$F$2:$F$3001,$N985))</f>
      </c>
      <c r="F985">
        <f>IF($N985="","",INDEX(Staging!$G$2:$G$3001,$N985))</f>
      </c>
      <c r="G985">
        <f>IF($N985="","",INDEX(Staging!$H$2:$H$3001,$N985))</f>
      </c>
      <c r="H985">
        <f>IF($N985="","",INDEX(Staging!$I$2:$I$3001,$N985))</f>
      </c>
      <c r="I985">
        <f>IF($N985="","",INDEX(Staging!$J$2:$J$3001,$N985))</f>
      </c>
      <c r="J985">
        <f>IF($N985="","",INDEX(Staging!$K$2:$K$3001,$N985))</f>
      </c>
      <c r="K985">
        <f>IF($N985="","",INDEX(Staging!$M$2:$M$3001,$N985))</f>
      </c>
      <c r="L985">
        <f>IF($N985="","",INDEX(Staging!$O$2:$O$3001,$N985))</f>
      </c>
      <c r="M985">
        <f>IF($N985="","",INDEX(Staging!$P$2:$P$3001,$N985))</f>
      </c>
      <c r="N985">
        <f t="array" ref="N985">IFERROR(SMALL(IF(Staging!$E$2:$E$3001="MIPPL",ROW(Staging!$E$2:$E$3001)-ROW(Staging!$E$2)+1),984),"")</f>
      </c>
    </row>
    <row r="986" spans="1:14" x14ac:dyDescent="0.25">
      <c r="A986">
        <f>IF($N986="","",INDEX(Staging!$A$2:$A$3001,$N986))</f>
      </c>
      <c r="B986">
        <f>IF($N986="","",INDEX(Staging!$B$2:$B$3001,$N986))</f>
      </c>
      <c r="C986">
        <f>IF($N986="","",INDEX(Staging!$C$2:$C$3001,$N986))</f>
      </c>
      <c r="D986">
        <f>IF($N986="","",INDEX(Staging!$D$2:$D$3001,$N986))</f>
      </c>
      <c r="E986">
        <f>IF($N986="","",INDEX(Staging!$F$2:$F$3001,$N986))</f>
      </c>
      <c r="F986">
        <f>IF($N986="","",INDEX(Staging!$G$2:$G$3001,$N986))</f>
      </c>
      <c r="G986">
        <f>IF($N986="","",INDEX(Staging!$H$2:$H$3001,$N986))</f>
      </c>
      <c r="H986">
        <f>IF($N986="","",INDEX(Staging!$I$2:$I$3001,$N986))</f>
      </c>
      <c r="I986">
        <f>IF($N986="","",INDEX(Staging!$J$2:$J$3001,$N986))</f>
      </c>
      <c r="J986">
        <f>IF($N986="","",INDEX(Staging!$K$2:$K$3001,$N986))</f>
      </c>
      <c r="K986">
        <f>IF($N986="","",INDEX(Staging!$M$2:$M$3001,$N986))</f>
      </c>
      <c r="L986">
        <f>IF($N986="","",INDEX(Staging!$O$2:$O$3001,$N986))</f>
      </c>
      <c r="M986">
        <f>IF($N986="","",INDEX(Staging!$P$2:$P$3001,$N986))</f>
      </c>
      <c r="N986">
        <f t="array" ref="N986">IFERROR(SMALL(IF(Staging!$E$2:$E$3001="MIPPL",ROW(Staging!$E$2:$E$3001)-ROW(Staging!$E$2)+1),985),"")</f>
      </c>
    </row>
    <row r="987" spans="1:14" x14ac:dyDescent="0.25">
      <c r="A987">
        <f>IF($N987="","",INDEX(Staging!$A$2:$A$3001,$N987))</f>
      </c>
      <c r="B987">
        <f>IF($N987="","",INDEX(Staging!$B$2:$B$3001,$N987))</f>
      </c>
      <c r="C987">
        <f>IF($N987="","",INDEX(Staging!$C$2:$C$3001,$N987))</f>
      </c>
      <c r="D987">
        <f>IF($N987="","",INDEX(Staging!$D$2:$D$3001,$N987))</f>
      </c>
      <c r="E987">
        <f>IF($N987="","",INDEX(Staging!$F$2:$F$3001,$N987))</f>
      </c>
      <c r="F987">
        <f>IF($N987="","",INDEX(Staging!$G$2:$G$3001,$N987))</f>
      </c>
      <c r="G987">
        <f>IF($N987="","",INDEX(Staging!$H$2:$H$3001,$N987))</f>
      </c>
      <c r="H987">
        <f>IF($N987="","",INDEX(Staging!$I$2:$I$3001,$N987))</f>
      </c>
      <c r="I987">
        <f>IF($N987="","",INDEX(Staging!$J$2:$J$3001,$N987))</f>
      </c>
      <c r="J987">
        <f>IF($N987="","",INDEX(Staging!$K$2:$K$3001,$N987))</f>
      </c>
      <c r="K987">
        <f>IF($N987="","",INDEX(Staging!$M$2:$M$3001,$N987))</f>
      </c>
      <c r="L987">
        <f>IF($N987="","",INDEX(Staging!$O$2:$O$3001,$N987))</f>
      </c>
      <c r="M987">
        <f>IF($N987="","",INDEX(Staging!$P$2:$P$3001,$N987))</f>
      </c>
      <c r="N987">
        <f t="array" ref="N987">IFERROR(SMALL(IF(Staging!$E$2:$E$3001="MIPPL",ROW(Staging!$E$2:$E$3001)-ROW(Staging!$E$2)+1),986),"")</f>
      </c>
    </row>
    <row r="988" spans="1:14" x14ac:dyDescent="0.25">
      <c r="A988">
        <f>IF($N988="","",INDEX(Staging!$A$2:$A$3001,$N988))</f>
      </c>
      <c r="B988">
        <f>IF($N988="","",INDEX(Staging!$B$2:$B$3001,$N988))</f>
      </c>
      <c r="C988">
        <f>IF($N988="","",INDEX(Staging!$C$2:$C$3001,$N988))</f>
      </c>
      <c r="D988">
        <f>IF($N988="","",INDEX(Staging!$D$2:$D$3001,$N988))</f>
      </c>
      <c r="E988">
        <f>IF($N988="","",INDEX(Staging!$F$2:$F$3001,$N988))</f>
      </c>
      <c r="F988">
        <f>IF($N988="","",INDEX(Staging!$G$2:$G$3001,$N988))</f>
      </c>
      <c r="G988">
        <f>IF($N988="","",INDEX(Staging!$H$2:$H$3001,$N988))</f>
      </c>
      <c r="H988">
        <f>IF($N988="","",INDEX(Staging!$I$2:$I$3001,$N988))</f>
      </c>
      <c r="I988">
        <f>IF($N988="","",INDEX(Staging!$J$2:$J$3001,$N988))</f>
      </c>
      <c r="J988">
        <f>IF($N988="","",INDEX(Staging!$K$2:$K$3001,$N988))</f>
      </c>
      <c r="K988">
        <f>IF($N988="","",INDEX(Staging!$M$2:$M$3001,$N988))</f>
      </c>
      <c r="L988">
        <f>IF($N988="","",INDEX(Staging!$O$2:$O$3001,$N988))</f>
      </c>
      <c r="M988">
        <f>IF($N988="","",INDEX(Staging!$P$2:$P$3001,$N988))</f>
      </c>
      <c r="N988">
        <f t="array" ref="N988">IFERROR(SMALL(IF(Staging!$E$2:$E$3001="MIPPL",ROW(Staging!$E$2:$E$3001)-ROW(Staging!$E$2)+1),987),"")</f>
      </c>
    </row>
    <row r="989" spans="1:14" x14ac:dyDescent="0.25">
      <c r="A989">
        <f>IF($N989="","",INDEX(Staging!$A$2:$A$3001,$N989))</f>
      </c>
      <c r="B989">
        <f>IF($N989="","",INDEX(Staging!$B$2:$B$3001,$N989))</f>
      </c>
      <c r="C989">
        <f>IF($N989="","",INDEX(Staging!$C$2:$C$3001,$N989))</f>
      </c>
      <c r="D989">
        <f>IF($N989="","",INDEX(Staging!$D$2:$D$3001,$N989))</f>
      </c>
      <c r="E989">
        <f>IF($N989="","",INDEX(Staging!$F$2:$F$3001,$N989))</f>
      </c>
      <c r="F989">
        <f>IF($N989="","",INDEX(Staging!$G$2:$G$3001,$N989))</f>
      </c>
      <c r="G989">
        <f>IF($N989="","",INDEX(Staging!$H$2:$H$3001,$N989))</f>
      </c>
      <c r="H989">
        <f>IF($N989="","",INDEX(Staging!$I$2:$I$3001,$N989))</f>
      </c>
      <c r="I989">
        <f>IF($N989="","",INDEX(Staging!$J$2:$J$3001,$N989))</f>
      </c>
      <c r="J989">
        <f>IF($N989="","",INDEX(Staging!$K$2:$K$3001,$N989))</f>
      </c>
      <c r="K989">
        <f>IF($N989="","",INDEX(Staging!$M$2:$M$3001,$N989))</f>
      </c>
      <c r="L989">
        <f>IF($N989="","",INDEX(Staging!$O$2:$O$3001,$N989))</f>
      </c>
      <c r="M989">
        <f>IF($N989="","",INDEX(Staging!$P$2:$P$3001,$N989))</f>
      </c>
      <c r="N989">
        <f t="array" ref="N989">IFERROR(SMALL(IF(Staging!$E$2:$E$3001="MIPPL",ROW(Staging!$E$2:$E$3001)-ROW(Staging!$E$2)+1),988),"")</f>
      </c>
    </row>
    <row r="990" spans="1:14" x14ac:dyDescent="0.25">
      <c r="A990">
        <f>IF($N990="","",INDEX(Staging!$A$2:$A$3001,$N990))</f>
      </c>
      <c r="B990">
        <f>IF($N990="","",INDEX(Staging!$B$2:$B$3001,$N990))</f>
      </c>
      <c r="C990">
        <f>IF($N990="","",INDEX(Staging!$C$2:$C$3001,$N990))</f>
      </c>
      <c r="D990">
        <f>IF($N990="","",INDEX(Staging!$D$2:$D$3001,$N990))</f>
      </c>
      <c r="E990">
        <f>IF($N990="","",INDEX(Staging!$F$2:$F$3001,$N990))</f>
      </c>
      <c r="F990">
        <f>IF($N990="","",INDEX(Staging!$G$2:$G$3001,$N990))</f>
      </c>
      <c r="G990">
        <f>IF($N990="","",INDEX(Staging!$H$2:$H$3001,$N990))</f>
      </c>
      <c r="H990">
        <f>IF($N990="","",INDEX(Staging!$I$2:$I$3001,$N990))</f>
      </c>
      <c r="I990">
        <f>IF($N990="","",INDEX(Staging!$J$2:$J$3001,$N990))</f>
      </c>
      <c r="J990">
        <f>IF($N990="","",INDEX(Staging!$K$2:$K$3001,$N990))</f>
      </c>
      <c r="K990">
        <f>IF($N990="","",INDEX(Staging!$M$2:$M$3001,$N990))</f>
      </c>
      <c r="L990">
        <f>IF($N990="","",INDEX(Staging!$O$2:$O$3001,$N990))</f>
      </c>
      <c r="M990">
        <f>IF($N990="","",INDEX(Staging!$P$2:$P$3001,$N990))</f>
      </c>
      <c r="N990">
        <f t="array" ref="N990">IFERROR(SMALL(IF(Staging!$E$2:$E$3001="MIPPL",ROW(Staging!$E$2:$E$3001)-ROW(Staging!$E$2)+1),989),"")</f>
      </c>
    </row>
    <row r="991" spans="1:14" x14ac:dyDescent="0.25">
      <c r="A991">
        <f>IF($N991="","",INDEX(Staging!$A$2:$A$3001,$N991))</f>
      </c>
      <c r="B991">
        <f>IF($N991="","",INDEX(Staging!$B$2:$B$3001,$N991))</f>
      </c>
      <c r="C991">
        <f>IF($N991="","",INDEX(Staging!$C$2:$C$3001,$N991))</f>
      </c>
      <c r="D991">
        <f>IF($N991="","",INDEX(Staging!$D$2:$D$3001,$N991))</f>
      </c>
      <c r="E991">
        <f>IF($N991="","",INDEX(Staging!$F$2:$F$3001,$N991))</f>
      </c>
      <c r="F991">
        <f>IF($N991="","",INDEX(Staging!$G$2:$G$3001,$N991))</f>
      </c>
      <c r="G991">
        <f>IF($N991="","",INDEX(Staging!$H$2:$H$3001,$N991))</f>
      </c>
      <c r="H991">
        <f>IF($N991="","",INDEX(Staging!$I$2:$I$3001,$N991))</f>
      </c>
      <c r="I991">
        <f>IF($N991="","",INDEX(Staging!$J$2:$J$3001,$N991))</f>
      </c>
      <c r="J991">
        <f>IF($N991="","",INDEX(Staging!$K$2:$K$3001,$N991))</f>
      </c>
      <c r="K991">
        <f>IF($N991="","",INDEX(Staging!$M$2:$M$3001,$N991))</f>
      </c>
      <c r="L991">
        <f>IF($N991="","",INDEX(Staging!$O$2:$O$3001,$N991))</f>
      </c>
      <c r="M991">
        <f>IF($N991="","",INDEX(Staging!$P$2:$P$3001,$N991))</f>
      </c>
      <c r="N991">
        <f t="array" ref="N991">IFERROR(SMALL(IF(Staging!$E$2:$E$3001="MIPPL",ROW(Staging!$E$2:$E$3001)-ROW(Staging!$E$2)+1),990),"")</f>
      </c>
    </row>
    <row r="992" spans="1:14" x14ac:dyDescent="0.25">
      <c r="A992">
        <f>IF($N992="","",INDEX(Staging!$A$2:$A$3001,$N992))</f>
      </c>
      <c r="B992">
        <f>IF($N992="","",INDEX(Staging!$B$2:$B$3001,$N992))</f>
      </c>
      <c r="C992">
        <f>IF($N992="","",INDEX(Staging!$C$2:$C$3001,$N992))</f>
      </c>
      <c r="D992">
        <f>IF($N992="","",INDEX(Staging!$D$2:$D$3001,$N992))</f>
      </c>
      <c r="E992">
        <f>IF($N992="","",INDEX(Staging!$F$2:$F$3001,$N992))</f>
      </c>
      <c r="F992">
        <f>IF($N992="","",INDEX(Staging!$G$2:$G$3001,$N992))</f>
      </c>
      <c r="G992">
        <f>IF($N992="","",INDEX(Staging!$H$2:$H$3001,$N992))</f>
      </c>
      <c r="H992">
        <f>IF($N992="","",INDEX(Staging!$I$2:$I$3001,$N992))</f>
      </c>
      <c r="I992">
        <f>IF($N992="","",INDEX(Staging!$J$2:$J$3001,$N992))</f>
      </c>
      <c r="J992">
        <f>IF($N992="","",INDEX(Staging!$K$2:$K$3001,$N992))</f>
      </c>
      <c r="K992">
        <f>IF($N992="","",INDEX(Staging!$M$2:$M$3001,$N992))</f>
      </c>
      <c r="L992">
        <f>IF($N992="","",INDEX(Staging!$O$2:$O$3001,$N992))</f>
      </c>
      <c r="M992">
        <f>IF($N992="","",INDEX(Staging!$P$2:$P$3001,$N992))</f>
      </c>
      <c r="N992">
        <f t="array" ref="N992">IFERROR(SMALL(IF(Staging!$E$2:$E$3001="MIPPL",ROW(Staging!$E$2:$E$3001)-ROW(Staging!$E$2)+1),991),"")</f>
      </c>
    </row>
    <row r="993" spans="1:14" x14ac:dyDescent="0.25">
      <c r="A993">
        <f>IF($N993="","",INDEX(Staging!$A$2:$A$3001,$N993))</f>
      </c>
      <c r="B993">
        <f>IF($N993="","",INDEX(Staging!$B$2:$B$3001,$N993))</f>
      </c>
      <c r="C993">
        <f>IF($N993="","",INDEX(Staging!$C$2:$C$3001,$N993))</f>
      </c>
      <c r="D993">
        <f>IF($N993="","",INDEX(Staging!$D$2:$D$3001,$N993))</f>
      </c>
      <c r="E993">
        <f>IF($N993="","",INDEX(Staging!$F$2:$F$3001,$N993))</f>
      </c>
      <c r="F993">
        <f>IF($N993="","",INDEX(Staging!$G$2:$G$3001,$N993))</f>
      </c>
      <c r="G993">
        <f>IF($N993="","",INDEX(Staging!$H$2:$H$3001,$N993))</f>
      </c>
      <c r="H993">
        <f>IF($N993="","",INDEX(Staging!$I$2:$I$3001,$N993))</f>
      </c>
      <c r="I993">
        <f>IF($N993="","",INDEX(Staging!$J$2:$J$3001,$N993))</f>
      </c>
      <c r="J993">
        <f>IF($N993="","",INDEX(Staging!$K$2:$K$3001,$N993))</f>
      </c>
      <c r="K993">
        <f>IF($N993="","",INDEX(Staging!$M$2:$M$3001,$N993))</f>
      </c>
      <c r="L993">
        <f>IF($N993="","",INDEX(Staging!$O$2:$O$3001,$N993))</f>
      </c>
      <c r="M993">
        <f>IF($N993="","",INDEX(Staging!$P$2:$P$3001,$N993))</f>
      </c>
      <c r="N993">
        <f t="array" ref="N993">IFERROR(SMALL(IF(Staging!$E$2:$E$3001="MIPPL",ROW(Staging!$E$2:$E$3001)-ROW(Staging!$E$2)+1),992),"")</f>
      </c>
    </row>
    <row r="994" spans="1:14" x14ac:dyDescent="0.25">
      <c r="A994">
        <f>IF($N994="","",INDEX(Staging!$A$2:$A$3001,$N994))</f>
      </c>
      <c r="B994">
        <f>IF($N994="","",INDEX(Staging!$B$2:$B$3001,$N994))</f>
      </c>
      <c r="C994">
        <f>IF($N994="","",INDEX(Staging!$C$2:$C$3001,$N994))</f>
      </c>
      <c r="D994">
        <f>IF($N994="","",INDEX(Staging!$D$2:$D$3001,$N994))</f>
      </c>
      <c r="E994">
        <f>IF($N994="","",INDEX(Staging!$F$2:$F$3001,$N994))</f>
      </c>
      <c r="F994">
        <f>IF($N994="","",INDEX(Staging!$G$2:$G$3001,$N994))</f>
      </c>
      <c r="G994">
        <f>IF($N994="","",INDEX(Staging!$H$2:$H$3001,$N994))</f>
      </c>
      <c r="H994">
        <f>IF($N994="","",INDEX(Staging!$I$2:$I$3001,$N994))</f>
      </c>
      <c r="I994">
        <f>IF($N994="","",INDEX(Staging!$J$2:$J$3001,$N994))</f>
      </c>
      <c r="J994">
        <f>IF($N994="","",INDEX(Staging!$K$2:$K$3001,$N994))</f>
      </c>
      <c r="K994">
        <f>IF($N994="","",INDEX(Staging!$M$2:$M$3001,$N994))</f>
      </c>
      <c r="L994">
        <f>IF($N994="","",INDEX(Staging!$O$2:$O$3001,$N994))</f>
      </c>
      <c r="M994">
        <f>IF($N994="","",INDEX(Staging!$P$2:$P$3001,$N994))</f>
      </c>
      <c r="N994">
        <f t="array" ref="N994">IFERROR(SMALL(IF(Staging!$E$2:$E$3001="MIPPL",ROW(Staging!$E$2:$E$3001)-ROW(Staging!$E$2)+1),993),"")</f>
      </c>
    </row>
    <row r="995" spans="1:14" x14ac:dyDescent="0.25">
      <c r="A995">
        <f>IF($N995="","",INDEX(Staging!$A$2:$A$3001,$N995))</f>
      </c>
      <c r="B995">
        <f>IF($N995="","",INDEX(Staging!$B$2:$B$3001,$N995))</f>
      </c>
      <c r="C995">
        <f>IF($N995="","",INDEX(Staging!$C$2:$C$3001,$N995))</f>
      </c>
      <c r="D995">
        <f>IF($N995="","",INDEX(Staging!$D$2:$D$3001,$N995))</f>
      </c>
      <c r="E995">
        <f>IF($N995="","",INDEX(Staging!$F$2:$F$3001,$N995))</f>
      </c>
      <c r="F995">
        <f>IF($N995="","",INDEX(Staging!$G$2:$G$3001,$N995))</f>
      </c>
      <c r="G995">
        <f>IF($N995="","",INDEX(Staging!$H$2:$H$3001,$N995))</f>
      </c>
      <c r="H995">
        <f>IF($N995="","",INDEX(Staging!$I$2:$I$3001,$N995))</f>
      </c>
      <c r="I995">
        <f>IF($N995="","",INDEX(Staging!$J$2:$J$3001,$N995))</f>
      </c>
      <c r="J995">
        <f>IF($N995="","",INDEX(Staging!$K$2:$K$3001,$N995))</f>
      </c>
      <c r="K995">
        <f>IF($N995="","",INDEX(Staging!$M$2:$M$3001,$N995))</f>
      </c>
      <c r="L995">
        <f>IF($N995="","",INDEX(Staging!$O$2:$O$3001,$N995))</f>
      </c>
      <c r="M995">
        <f>IF($N995="","",INDEX(Staging!$P$2:$P$3001,$N995))</f>
      </c>
      <c r="N995">
        <f t="array" ref="N995">IFERROR(SMALL(IF(Staging!$E$2:$E$3001="MIPPL",ROW(Staging!$E$2:$E$3001)-ROW(Staging!$E$2)+1),994),"")</f>
      </c>
    </row>
    <row r="996" spans="1:14" x14ac:dyDescent="0.25">
      <c r="A996">
        <f>IF($N996="","",INDEX(Staging!$A$2:$A$3001,$N996))</f>
      </c>
      <c r="B996">
        <f>IF($N996="","",INDEX(Staging!$B$2:$B$3001,$N996))</f>
      </c>
      <c r="C996">
        <f>IF($N996="","",INDEX(Staging!$C$2:$C$3001,$N996))</f>
      </c>
      <c r="D996">
        <f>IF($N996="","",INDEX(Staging!$D$2:$D$3001,$N996))</f>
      </c>
      <c r="E996">
        <f>IF($N996="","",INDEX(Staging!$F$2:$F$3001,$N996))</f>
      </c>
      <c r="F996">
        <f>IF($N996="","",INDEX(Staging!$G$2:$G$3001,$N996))</f>
      </c>
      <c r="G996">
        <f>IF($N996="","",INDEX(Staging!$H$2:$H$3001,$N996))</f>
      </c>
      <c r="H996">
        <f>IF($N996="","",INDEX(Staging!$I$2:$I$3001,$N996))</f>
      </c>
      <c r="I996">
        <f>IF($N996="","",INDEX(Staging!$J$2:$J$3001,$N996))</f>
      </c>
      <c r="J996">
        <f>IF($N996="","",INDEX(Staging!$K$2:$K$3001,$N996))</f>
      </c>
      <c r="K996">
        <f>IF($N996="","",INDEX(Staging!$M$2:$M$3001,$N996))</f>
      </c>
      <c r="L996">
        <f>IF($N996="","",INDEX(Staging!$O$2:$O$3001,$N996))</f>
      </c>
      <c r="M996">
        <f>IF($N996="","",INDEX(Staging!$P$2:$P$3001,$N996))</f>
      </c>
      <c r="N996">
        <f t="array" ref="N996">IFERROR(SMALL(IF(Staging!$E$2:$E$3001="MIPPL",ROW(Staging!$E$2:$E$3001)-ROW(Staging!$E$2)+1),995),"")</f>
      </c>
    </row>
    <row r="997" spans="1:14" x14ac:dyDescent="0.25">
      <c r="A997">
        <f>IF($N997="","",INDEX(Staging!$A$2:$A$3001,$N997))</f>
      </c>
      <c r="B997">
        <f>IF($N997="","",INDEX(Staging!$B$2:$B$3001,$N997))</f>
      </c>
      <c r="C997">
        <f>IF($N997="","",INDEX(Staging!$C$2:$C$3001,$N997))</f>
      </c>
      <c r="D997">
        <f>IF($N997="","",INDEX(Staging!$D$2:$D$3001,$N997))</f>
      </c>
      <c r="E997">
        <f>IF($N997="","",INDEX(Staging!$F$2:$F$3001,$N997))</f>
      </c>
      <c r="F997">
        <f>IF($N997="","",INDEX(Staging!$G$2:$G$3001,$N997))</f>
      </c>
      <c r="G997">
        <f>IF($N997="","",INDEX(Staging!$H$2:$H$3001,$N997))</f>
      </c>
      <c r="H997">
        <f>IF($N997="","",INDEX(Staging!$I$2:$I$3001,$N997))</f>
      </c>
      <c r="I997">
        <f>IF($N997="","",INDEX(Staging!$J$2:$J$3001,$N997))</f>
      </c>
      <c r="J997">
        <f>IF($N997="","",INDEX(Staging!$K$2:$K$3001,$N997))</f>
      </c>
      <c r="K997">
        <f>IF($N997="","",INDEX(Staging!$M$2:$M$3001,$N997))</f>
      </c>
      <c r="L997">
        <f>IF($N997="","",INDEX(Staging!$O$2:$O$3001,$N997))</f>
      </c>
      <c r="M997">
        <f>IF($N997="","",INDEX(Staging!$P$2:$P$3001,$N997))</f>
      </c>
      <c r="N997">
        <f t="array" ref="N997">IFERROR(SMALL(IF(Staging!$E$2:$E$3001="MIPPL",ROW(Staging!$E$2:$E$3001)-ROW(Staging!$E$2)+1),996),"")</f>
      </c>
    </row>
    <row r="998" spans="1:14" x14ac:dyDescent="0.25">
      <c r="A998">
        <f>IF($N998="","",INDEX(Staging!$A$2:$A$3001,$N998))</f>
      </c>
      <c r="B998">
        <f>IF($N998="","",INDEX(Staging!$B$2:$B$3001,$N998))</f>
      </c>
      <c r="C998">
        <f>IF($N998="","",INDEX(Staging!$C$2:$C$3001,$N998))</f>
      </c>
      <c r="D998">
        <f>IF($N998="","",INDEX(Staging!$D$2:$D$3001,$N998))</f>
      </c>
      <c r="E998">
        <f>IF($N998="","",INDEX(Staging!$F$2:$F$3001,$N998))</f>
      </c>
      <c r="F998">
        <f>IF($N998="","",INDEX(Staging!$G$2:$G$3001,$N998))</f>
      </c>
      <c r="G998">
        <f>IF($N998="","",INDEX(Staging!$H$2:$H$3001,$N998))</f>
      </c>
      <c r="H998">
        <f>IF($N998="","",INDEX(Staging!$I$2:$I$3001,$N998))</f>
      </c>
      <c r="I998">
        <f>IF($N998="","",INDEX(Staging!$J$2:$J$3001,$N998))</f>
      </c>
      <c r="J998">
        <f>IF($N998="","",INDEX(Staging!$K$2:$K$3001,$N998))</f>
      </c>
      <c r="K998">
        <f>IF($N998="","",INDEX(Staging!$M$2:$M$3001,$N998))</f>
      </c>
      <c r="L998">
        <f>IF($N998="","",INDEX(Staging!$O$2:$O$3001,$N998))</f>
      </c>
      <c r="M998">
        <f>IF($N998="","",INDEX(Staging!$P$2:$P$3001,$N998))</f>
      </c>
      <c r="N998">
        <f t="array" ref="N998">IFERROR(SMALL(IF(Staging!$E$2:$E$3001="MIPPL",ROW(Staging!$E$2:$E$3001)-ROW(Staging!$E$2)+1),997),"")</f>
      </c>
    </row>
    <row r="999" spans="1:14" x14ac:dyDescent="0.25">
      <c r="A999">
        <f>IF($N999="","",INDEX(Staging!$A$2:$A$3001,$N999))</f>
      </c>
      <c r="B999">
        <f>IF($N999="","",INDEX(Staging!$B$2:$B$3001,$N999))</f>
      </c>
      <c r="C999">
        <f>IF($N999="","",INDEX(Staging!$C$2:$C$3001,$N999))</f>
      </c>
      <c r="D999">
        <f>IF($N999="","",INDEX(Staging!$D$2:$D$3001,$N999))</f>
      </c>
      <c r="E999">
        <f>IF($N999="","",INDEX(Staging!$F$2:$F$3001,$N999))</f>
      </c>
      <c r="F999">
        <f>IF($N999="","",INDEX(Staging!$G$2:$G$3001,$N999))</f>
      </c>
      <c r="G999">
        <f>IF($N999="","",INDEX(Staging!$H$2:$H$3001,$N999))</f>
      </c>
      <c r="H999">
        <f>IF($N999="","",INDEX(Staging!$I$2:$I$3001,$N999))</f>
      </c>
      <c r="I999">
        <f>IF($N999="","",INDEX(Staging!$J$2:$J$3001,$N999))</f>
      </c>
      <c r="J999">
        <f>IF($N999="","",INDEX(Staging!$K$2:$K$3001,$N999))</f>
      </c>
      <c r="K999">
        <f>IF($N999="","",INDEX(Staging!$M$2:$M$3001,$N999))</f>
      </c>
      <c r="L999">
        <f>IF($N999="","",INDEX(Staging!$O$2:$O$3001,$N999))</f>
      </c>
      <c r="M999">
        <f>IF($N999="","",INDEX(Staging!$P$2:$P$3001,$N999))</f>
      </c>
      <c r="N999">
        <f t="array" ref="N999">IFERROR(SMALL(IF(Staging!$E$2:$E$3001="MIPPL",ROW(Staging!$E$2:$E$3001)-ROW(Staging!$E$2)+1),998),"")</f>
      </c>
    </row>
    <row r="1000" spans="1:14" x14ac:dyDescent="0.25">
      <c r="A1000">
        <f>IF($N1000="","",INDEX(Staging!$A$2:$A$3001,$N1000))</f>
      </c>
      <c r="B1000">
        <f>IF($N1000="","",INDEX(Staging!$B$2:$B$3001,$N1000))</f>
      </c>
      <c r="C1000">
        <f>IF($N1000="","",INDEX(Staging!$C$2:$C$3001,$N1000))</f>
      </c>
      <c r="D1000">
        <f>IF($N1000="","",INDEX(Staging!$D$2:$D$3001,$N1000))</f>
      </c>
      <c r="E1000">
        <f>IF($N1000="","",INDEX(Staging!$F$2:$F$3001,$N1000))</f>
      </c>
      <c r="F1000">
        <f>IF($N1000="","",INDEX(Staging!$G$2:$G$3001,$N1000))</f>
      </c>
      <c r="G1000">
        <f>IF($N1000="","",INDEX(Staging!$H$2:$H$3001,$N1000))</f>
      </c>
      <c r="H1000">
        <f>IF($N1000="","",INDEX(Staging!$I$2:$I$3001,$N1000))</f>
      </c>
      <c r="I1000">
        <f>IF($N1000="","",INDEX(Staging!$J$2:$J$3001,$N1000))</f>
      </c>
      <c r="J1000">
        <f>IF($N1000="","",INDEX(Staging!$K$2:$K$3001,$N1000))</f>
      </c>
      <c r="K1000">
        <f>IF($N1000="","",INDEX(Staging!$M$2:$M$3001,$N1000))</f>
      </c>
      <c r="L1000">
        <f>IF($N1000="","",INDEX(Staging!$O$2:$O$3001,$N1000))</f>
      </c>
      <c r="M1000">
        <f>IF($N1000="","",INDEX(Staging!$P$2:$P$3001,$N1000))</f>
      </c>
      <c r="N1000">
        <f t="array" ref="N1000">IFERROR(SMALL(IF(Staging!$E$2:$E$3001="MIPPL",ROW(Staging!$E$2:$E$3001)-ROW(Staging!$E$2)+1),999),"")</f>
      </c>
    </row>
    <row r="1001" spans="1:14" x14ac:dyDescent="0.25">
      <c r="A1001">
        <f>IF($N1001="","",INDEX(Staging!$A$2:$A$3001,$N1001))</f>
      </c>
      <c r="B1001">
        <f>IF($N1001="","",INDEX(Staging!$B$2:$B$3001,$N1001))</f>
      </c>
      <c r="C1001">
        <f>IF($N1001="","",INDEX(Staging!$C$2:$C$3001,$N1001))</f>
      </c>
      <c r="D1001">
        <f>IF($N1001="","",INDEX(Staging!$D$2:$D$3001,$N1001))</f>
      </c>
      <c r="E1001">
        <f>IF($N1001="","",INDEX(Staging!$F$2:$F$3001,$N1001))</f>
      </c>
      <c r="F1001">
        <f>IF($N1001="","",INDEX(Staging!$G$2:$G$3001,$N1001))</f>
      </c>
      <c r="G1001">
        <f>IF($N1001="","",INDEX(Staging!$H$2:$H$3001,$N1001))</f>
      </c>
      <c r="H1001">
        <f>IF($N1001="","",INDEX(Staging!$I$2:$I$3001,$N1001))</f>
      </c>
      <c r="I1001">
        <f>IF($N1001="","",INDEX(Staging!$J$2:$J$3001,$N1001))</f>
      </c>
      <c r="J1001">
        <f>IF($N1001="","",INDEX(Staging!$K$2:$K$3001,$N1001))</f>
      </c>
      <c r="K1001">
        <f>IF($N1001="","",INDEX(Staging!$M$2:$M$3001,$N1001))</f>
      </c>
      <c r="L1001">
        <f>IF($N1001="","",INDEX(Staging!$O$2:$O$3001,$N1001))</f>
      </c>
      <c r="M1001">
        <f>IF($N1001="","",INDEX(Staging!$P$2:$P$3001,$N1001))</f>
      </c>
      <c r="N1001">
        <f t="array" ref="N1001">IFERROR(SMALL(IF(Staging!$E$2:$E$3001="MIPPL",ROW(Staging!$E$2:$E$3001)-ROW(Staging!$E$2)+1),1000),"")</f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1"/>
  <sheetViews>
    <sheetView workbookViewId="0"/>
  </sheetViews>
  <sheetFormatPr defaultRowHeight="15" x14ac:dyDescent="0.25"/>
  <sheetData>
    <row r="1" spans="1:16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67</v>
      </c>
      <c r="M1" t="s">
        <v>58</v>
      </c>
      <c r="N1" t="s">
        <v>68</v>
      </c>
      <c r="O1" t="s">
        <v>69</v>
      </c>
      <c r="P1" t="s">
        <v>70</v>
      </c>
    </row>
    <row r="2" spans="1:16" x14ac:dyDescent="0.25">
      <c r="A2">
        <f>IF(OR('R.M Billets Reports'!A1="Date-",'R.M Billets Reports'!A1="Date:-"),IF(IF(IF(ISNUMBER(SEARCH("Party Name:-",'R.M Billets Reports'!D1)),TRIM('R.M Billets Reports'!F1),IF(ISNUMBER(SEARCH("Party Name-",'R.M Billets Reports'!D1)),TRIM(MID('R.M Billets Reports'!D1,SEARCH("-",'R.M Billets Reports'!D1)+1,200)),""))&lt;&gt;"",IF(ISNUMBER(SEARCH("Party Name:-",'R.M Billets Reports'!D1)),TRIM('R.M Billets Reports'!F1),IF(ISNUMBER(SEARCH("Party Name-",'R.M Billets Reports'!D1)),TRIM(MID('R.M Billets Reports'!D1,SEARCH("-",'R.M Billets Reports'!D1)+1,200)),"")),IF(ISNUMBER(SEARCH("Party Name:-",'R.M Billets Reports'!D2)),TRIM('R.M Billets Reports'!F2),IF(ISNUMBER(SEARCH("Party Name-",'R.M Billets Reports'!D2)),TRIM(MID('R.M Billets Reports'!D2,SEARCH("-",'R.M Billets Reports'!D2)+1,200)),"")))="VRKP ISPAT PVT LTD","VRKP",IF(IF(IF(ISNUMBER(SEARCH("Party Name:-",'R.M Billets Reports'!D1)),TRIM('R.M Billets Reports'!F1),IF(ISNUMBER(SEARCH("Party Name-",'R.M Billets Reports'!D1)),TRIM(MID('R.M Billets Reports'!D1,SEARCH("-",'R.M Billets Reports'!D1)+1,200)),""))&lt;&gt;"",IF(ISNUMBER(SEARCH("Party Name:-",'R.M Billets Reports'!D1)),TRIM('R.M Billets Reports'!F1),IF(ISNUMBER(SEARCH("Party Name-",'R.M Billets Reports'!D1)),TRIM(MID('R.M Billets Reports'!D1,SEARCH("-",'R.M Billets Reports'!D1)+1,200)),"")),IF(ISNUMBER(SEARCH("Party Name:-",'R.M Billets Reports'!D2)),TRIM('R.M Billets Reports'!F2),IF(ISNUMBER(SEARCH("Party Name-",'R.M Billets Reports'!D2)),TRIM(MID('R.M Billets Reports'!D2,SEARCH("-",'R.M Billets Reports'!D2)+1,200)),"")))="SHRI RADHE","SHREE RADHE",IF(IF(IF(ISNUMBER(SEARCH("Party Name:-",'R.M Billets Reports'!D1)),TRIM('R.M Billets Reports'!F1),IF(ISNUMBER(SEARCH("Party Name-",'R.M Billets Reports'!D1)),TRIM(MID('R.M Billets Reports'!D1,SEARCH("-",'R.M Billets Reports'!D1)+1,200)),""))&lt;&gt;"",IF(ISNUMBER(SEARCH("Party Name:-",'R.M Billets Reports'!D1)),TRIM('R.M Billets Reports'!F1),IF(ISNUMBER(SEARCH("Party Name-",'R.M Billets Reports'!D1)),TRIM(MID('R.M Billets Reports'!D1,SEARCH("-",'R.M Billets Reports'!D1)+1,200)),"")),IF(ISNUMBER(SEARCH("Party Name:-",'R.M Billets Reports'!D2)),TRIM('R.M Billets Reports'!F2),IF(ISNUMBER(SEARCH("Party Name-",'R.M Billets Reports'!D2)),TRIM(MID('R.M Billets Reports'!D2,SEARCH("-",'R.M Billets Reports'!D2)+1,200)),"")))="SHREE RADHE SHAKTI SPONGE AND POWER PVT. LTD.","SHREE RADHE",IF(IF(ISNUMBER(SEARCH("Party Name:-",'R.M Billets Reports'!D1)),TRIM('R.M Billets Reports'!F1),IF(ISNUMBER(SEARCH("Party Name-",'R.M Billets Reports'!D1)),TRIM(MID('R.M Billets Reports'!D1,SEARCH("-",'R.M Billets Reports'!D1)+1,200)),""))&lt;&gt;"",IF(ISNUMBER(SEARCH("Party Name:-",'R.M Billets Reports'!D1)),TRIM('R.M Billets Reports'!F1),IF(ISNUMBER(SEARCH("Party Name-",'R.M Billets Reports'!D1)),TRIM(MID('R.M Billets Reports'!D1,SEARCH("-",'R.M Billets Reports'!D1)+1,200)),"")),IF(ISNUMBER(SEARCH("Party Name:-",'R.M Billets Reports'!D2)),TRIM('R.M Billets Reports'!F2),IF(ISNUMBER(SEARCH("Party Name-",'R.M Billets Reports'!D2)),TRIM(MID('R.M Billets Reports'!D2,SEARCH("-",'R.M Billets Reports'!D2)+1,200)),"")))))),IF(ROW()=2,"",A1))</f>
      </c>
      <c r="B2">
        <f>IF(OR('R.M Billets Reports'!A1="Date-",'R.M Billets Reports'!A1="Date:-"),'R.M Billets Reports'!B1,IF(ROW()=2,"",B1))</f>
      </c>
      <c r="C2">
        <f>IF('R.M Billets Reports'!A1="V.No.",'R.M Billets Reports'!B1,IF(ROW()=2,"",C1))</f>
      </c>
      <c r="D2">
        <f>IF('R.M Billets Reports'!A1&lt;&gt;"",'R.M Billets Reports'!A1,IF(ROW()=2,"",D1))</f>
      </c>
      <c r="E2">
        <f>IF('R.M Billets Reports'!B1="","",TRIM('R.M Billets Reports'!B1))</f>
      </c>
      <c r="F2">
        <f>'R.M Billets Reports'!C1</f>
      </c>
      <c r="G2">
        <f>'R.M Billets Reports'!D1</f>
      </c>
      <c r="H2">
        <f>'R.M Billets Reports'!E1</f>
      </c>
      <c r="I2">
        <f>'R.M Billets Reports'!F1</f>
      </c>
      <c r="J2">
        <f>'R.M Billets Reports'!G1</f>
      </c>
      <c r="K2">
        <f>'R.M Billets Reports'!H1</f>
      </c>
      <c r="L2">
        <f>IF('R.M Billets Reports'!I1="","",'R.M Billets Reports'!I1)</f>
      </c>
      <c r="M2">
        <f>IF(L2&lt;&gt;"",L2,"")</f>
      </c>
      <c r="N2">
        <f>IF('R.M Billets Reports'!J1="","",'R.M Billets Reports'!J1)</f>
      </c>
      <c r="O2">
        <f>IF(N2&lt;&gt;"",N2,"")</f>
      </c>
      <c r="P2">
        <f>IF('R.M Billets Reports'!A1="SIZE",'R.M Billets Reports'!B1,"")</f>
      </c>
    </row>
    <row r="3" spans="1:16" x14ac:dyDescent="0.25">
      <c r="A3">
        <f>IF(OR('R.M Billets Reports'!A2="Date-",'R.M Billets Reports'!A2="Date:-"),IF(IF(IF(ISNUMBER(SEARCH("Party Name:-",'R.M Billets Reports'!D2)),TRIM('R.M Billets Reports'!F2),IF(ISNUMBER(SEARCH("Party Name-",'R.M Billets Reports'!D2)),TRIM(MID('R.M Billets Reports'!D2,SEARCH("-",'R.M Billets Reports'!D2)+1,200)),""))&lt;&gt;"",IF(ISNUMBER(SEARCH("Party Name:-",'R.M Billets Reports'!D2)),TRIM('R.M Billets Reports'!F2),IF(ISNUMBER(SEARCH("Party Name-",'R.M Billets Reports'!D2)),TRIM(MID('R.M Billets Reports'!D2,SEARCH("-",'R.M Billets Reports'!D2)+1,200)),"")),IF(ISNUMBER(SEARCH("Party Name:-",'R.M Billets Reports'!D3)),TRIM('R.M Billets Reports'!F3),IF(ISNUMBER(SEARCH("Party Name-",'R.M Billets Reports'!D3)),TRIM(MID('R.M Billets Reports'!D3,SEARCH("-",'R.M Billets Reports'!D3)+1,200)),"")))="VRKP ISPAT PVT LTD","VRKP",IF(IF(IF(ISNUMBER(SEARCH("Party Name:-",'R.M Billets Reports'!D2)),TRIM('R.M Billets Reports'!F2),IF(ISNUMBER(SEARCH("Party Name-",'R.M Billets Reports'!D2)),TRIM(MID('R.M Billets Reports'!D2,SEARCH("-",'R.M Billets Reports'!D2)+1,200)),""))&lt;&gt;"",IF(ISNUMBER(SEARCH("Party Name:-",'R.M Billets Reports'!D2)),TRIM('R.M Billets Reports'!F2),IF(ISNUMBER(SEARCH("Party Name-",'R.M Billets Reports'!D2)),TRIM(MID('R.M Billets Reports'!D2,SEARCH("-",'R.M Billets Reports'!D2)+1,200)),"")),IF(ISNUMBER(SEARCH("Party Name:-",'R.M Billets Reports'!D3)),TRIM('R.M Billets Reports'!F3),IF(ISNUMBER(SEARCH("Party Name-",'R.M Billets Reports'!D3)),TRIM(MID('R.M Billets Reports'!D3,SEARCH("-",'R.M Billets Reports'!D3)+1,200)),"")))="SHRI RADHE","SHREE RADHE",IF(IF(IF(ISNUMBER(SEARCH("Party Name:-",'R.M Billets Reports'!D2)),TRIM('R.M Billets Reports'!F2),IF(ISNUMBER(SEARCH("Party Name-",'R.M Billets Reports'!D2)),TRIM(MID('R.M Billets Reports'!D2,SEARCH("-",'R.M Billets Reports'!D2)+1,200)),""))&lt;&gt;"",IF(ISNUMBER(SEARCH("Party Name:-",'R.M Billets Reports'!D2)),TRIM('R.M Billets Reports'!F2),IF(ISNUMBER(SEARCH("Party Name-",'R.M Billets Reports'!D2)),TRIM(MID('R.M Billets Reports'!D2,SEARCH("-",'R.M Billets Reports'!D2)+1,200)),"")),IF(ISNUMBER(SEARCH("Party Name:-",'R.M Billets Reports'!D3)),TRIM('R.M Billets Reports'!F3),IF(ISNUMBER(SEARCH("Party Name-",'R.M Billets Reports'!D3)),TRIM(MID('R.M Billets Reports'!D3,SEARCH("-",'R.M Billets Reports'!D3)+1,200)),"")))="SHREE RADHE SHAKTI SPONGE AND POWER PVT. LTD.","SHREE RADHE",IF(IF(ISNUMBER(SEARCH("Party Name:-",'R.M Billets Reports'!D2)),TRIM('R.M Billets Reports'!F2),IF(ISNUMBER(SEARCH("Party Name-",'R.M Billets Reports'!D2)),TRIM(MID('R.M Billets Reports'!D2,SEARCH("-",'R.M Billets Reports'!D2)+1,200)),""))&lt;&gt;"",IF(ISNUMBER(SEARCH("Party Name:-",'R.M Billets Reports'!D2)),TRIM('R.M Billets Reports'!F2),IF(ISNUMBER(SEARCH("Party Name-",'R.M Billets Reports'!D2)),TRIM(MID('R.M Billets Reports'!D2,SEARCH("-",'R.M Billets Reports'!D2)+1,200)),"")),IF(ISNUMBER(SEARCH("Party Name:-",'R.M Billets Reports'!D3)),TRIM('R.M Billets Reports'!F3),IF(ISNUMBER(SEARCH("Party Name-",'R.M Billets Reports'!D3)),TRIM(MID('R.M Billets Reports'!D3,SEARCH("-",'R.M Billets Reports'!D3)+1,200)),"")))))),IF(ROW()=2,"",A2))</f>
      </c>
      <c r="B3">
        <f>IF(OR('R.M Billets Reports'!A2="Date-",'R.M Billets Reports'!A2="Date:-"),'R.M Billets Reports'!B2,IF(ROW()=2,"",B2))</f>
      </c>
      <c r="C3">
        <f>IF('R.M Billets Reports'!A2="V.No.",'R.M Billets Reports'!B2,IF(ROW()=2,"",C2))</f>
      </c>
      <c r="D3">
        <f>IF('R.M Billets Reports'!A2&lt;&gt;"",'R.M Billets Reports'!A2,IF(ROW()=2,"",D2))</f>
      </c>
      <c r="E3">
        <f>IF('R.M Billets Reports'!B2="","",TRIM('R.M Billets Reports'!B2))</f>
      </c>
      <c r="F3">
        <f>'R.M Billets Reports'!C2</f>
      </c>
      <c r="G3">
        <f>'R.M Billets Reports'!D2</f>
      </c>
      <c r="H3">
        <f>'R.M Billets Reports'!E2</f>
      </c>
      <c r="I3">
        <f>'R.M Billets Reports'!F2</f>
      </c>
      <c r="J3">
        <f>'R.M Billets Reports'!G2</f>
      </c>
      <c r="K3">
        <f>'R.M Billets Reports'!H2</f>
      </c>
      <c r="L3">
        <f>IF('R.M Billets Reports'!I2="","",'R.M Billets Reports'!I2)</f>
      </c>
      <c r="M3">
        <f t="shared" ref="M3:M66" si="0">IF(L3&lt;&gt;"",L3,IF(D3=D2,M2,""))</f>
      </c>
      <c r="N3">
        <f>IF('R.M Billets Reports'!J2="","",'R.M Billets Reports'!J2)</f>
      </c>
      <c r="O3">
        <f t="shared" ref="O3:O66" si="1">IF(N3&lt;&gt;"",N3,IF(D3=D2,O2,""))</f>
      </c>
      <c r="P3">
        <f>IF('R.M Billets Reports'!A2="SIZE",'R.M Billets Reports'!B2,P2)</f>
      </c>
    </row>
    <row r="4" spans="1:16" x14ac:dyDescent="0.25">
      <c r="A4">
        <f>IF(OR('R.M Billets Reports'!A3="Date-",'R.M Billets Reports'!A3="Date:-"),IF(IF(IF(ISNUMBER(SEARCH("Party Name:-",'R.M Billets Reports'!D3)),TRIM('R.M Billets Reports'!F3),IF(ISNUMBER(SEARCH("Party Name-",'R.M Billets Reports'!D3)),TRIM(MID('R.M Billets Reports'!D3,SEARCH("-",'R.M Billets Reports'!D3)+1,200)),""))&lt;&gt;"",IF(ISNUMBER(SEARCH("Party Name:-",'R.M Billets Reports'!D3)),TRIM('R.M Billets Reports'!F3),IF(ISNUMBER(SEARCH("Party Name-",'R.M Billets Reports'!D3)),TRIM(MID('R.M Billets Reports'!D3,SEARCH("-",'R.M Billets Reports'!D3)+1,200)),"")),IF(ISNUMBER(SEARCH("Party Name:-",'R.M Billets Reports'!D4)),TRIM('R.M Billets Reports'!F4),IF(ISNUMBER(SEARCH("Party Name-",'R.M Billets Reports'!D4)),TRIM(MID('R.M Billets Reports'!D4,SEARCH("-",'R.M Billets Reports'!D4)+1,200)),"")))="VRKP ISPAT PVT LTD","VRKP",IF(IF(IF(ISNUMBER(SEARCH("Party Name:-",'R.M Billets Reports'!D3)),TRIM('R.M Billets Reports'!F3),IF(ISNUMBER(SEARCH("Party Name-",'R.M Billets Reports'!D3)),TRIM(MID('R.M Billets Reports'!D3,SEARCH("-",'R.M Billets Reports'!D3)+1,200)),""))&lt;&gt;"",IF(ISNUMBER(SEARCH("Party Name:-",'R.M Billets Reports'!D3)),TRIM('R.M Billets Reports'!F3),IF(ISNUMBER(SEARCH("Party Name-",'R.M Billets Reports'!D3)),TRIM(MID('R.M Billets Reports'!D3,SEARCH("-",'R.M Billets Reports'!D3)+1,200)),"")),IF(ISNUMBER(SEARCH("Party Name:-",'R.M Billets Reports'!D4)),TRIM('R.M Billets Reports'!F4),IF(ISNUMBER(SEARCH("Party Name-",'R.M Billets Reports'!D4)),TRIM(MID('R.M Billets Reports'!D4,SEARCH("-",'R.M Billets Reports'!D4)+1,200)),"")))="SHRI RADHE","SHREE RADHE",IF(IF(IF(ISNUMBER(SEARCH("Party Name:-",'R.M Billets Reports'!D3)),TRIM('R.M Billets Reports'!F3),IF(ISNUMBER(SEARCH("Party Name-",'R.M Billets Reports'!D3)),TRIM(MID('R.M Billets Reports'!D3,SEARCH("-",'R.M Billets Reports'!D3)+1,200)),""))&lt;&gt;"",IF(ISNUMBER(SEARCH("Party Name:-",'R.M Billets Reports'!D3)),TRIM('R.M Billets Reports'!F3),IF(ISNUMBER(SEARCH("Party Name-",'R.M Billets Reports'!D3)),TRIM(MID('R.M Billets Reports'!D3,SEARCH("-",'R.M Billets Reports'!D3)+1,200)),"")),IF(ISNUMBER(SEARCH("Party Name:-",'R.M Billets Reports'!D4)),TRIM('R.M Billets Reports'!F4),IF(ISNUMBER(SEARCH("Party Name-",'R.M Billets Reports'!D4)),TRIM(MID('R.M Billets Reports'!D4,SEARCH("-",'R.M Billets Reports'!D4)+1,200)),"")))="SHREE RADHE SHAKTI SPONGE AND POWER PVT. LTD.","SHREE RADHE",IF(IF(ISNUMBER(SEARCH("Party Name:-",'R.M Billets Reports'!D3)),TRIM('R.M Billets Reports'!F3),IF(ISNUMBER(SEARCH("Party Name-",'R.M Billets Reports'!D3)),TRIM(MID('R.M Billets Reports'!D3,SEARCH("-",'R.M Billets Reports'!D3)+1,200)),""))&lt;&gt;"",IF(ISNUMBER(SEARCH("Party Name:-",'R.M Billets Reports'!D3)),TRIM('R.M Billets Reports'!F3),IF(ISNUMBER(SEARCH("Party Name-",'R.M Billets Reports'!D3)),TRIM(MID('R.M Billets Reports'!D3,SEARCH("-",'R.M Billets Reports'!D3)+1,200)),"")),IF(ISNUMBER(SEARCH("Party Name:-",'R.M Billets Reports'!D4)),TRIM('R.M Billets Reports'!F4),IF(ISNUMBER(SEARCH("Party Name-",'R.M Billets Reports'!D4)),TRIM(MID('R.M Billets Reports'!D4,SEARCH("-",'R.M Billets Reports'!D4)+1,200)),"")))))),IF(ROW()=2,"",A3))</f>
      </c>
      <c r="B4">
        <f>IF(OR('R.M Billets Reports'!A3="Date-",'R.M Billets Reports'!A3="Date:-"),'R.M Billets Reports'!B3,IF(ROW()=2,"",B3))</f>
      </c>
      <c r="C4">
        <f>IF('R.M Billets Reports'!A3="V.No.",'R.M Billets Reports'!B3,IF(ROW()=2,"",C3))</f>
      </c>
      <c r="D4">
        <f>IF('R.M Billets Reports'!A3&lt;&gt;"",'R.M Billets Reports'!A3,IF(ROW()=2,"",D3))</f>
      </c>
      <c r="E4">
        <f>IF('R.M Billets Reports'!B3="","",TRIM('R.M Billets Reports'!B3))</f>
      </c>
      <c r="F4">
        <f>'R.M Billets Reports'!C3</f>
      </c>
      <c r="G4">
        <f>'R.M Billets Reports'!D3</f>
      </c>
      <c r="H4">
        <f>'R.M Billets Reports'!E3</f>
      </c>
      <c r="I4">
        <f>'R.M Billets Reports'!F3</f>
      </c>
      <c r="J4">
        <f>'R.M Billets Reports'!G3</f>
      </c>
      <c r="K4">
        <f>'R.M Billets Reports'!H3</f>
      </c>
      <c r="L4">
        <f>IF('R.M Billets Reports'!I3="","",'R.M Billets Reports'!I3)</f>
      </c>
      <c r="M4">
        <f t="shared" si="0"/>
      </c>
      <c r="N4">
        <f>IF('R.M Billets Reports'!J3="","",'R.M Billets Reports'!J3)</f>
      </c>
      <c r="O4">
        <f t="shared" si="1"/>
      </c>
      <c r="P4">
        <f>IF('R.M Billets Reports'!A3="SIZE",'R.M Billets Reports'!B3,P3)</f>
      </c>
    </row>
    <row r="5" spans="1:16" x14ac:dyDescent="0.25">
      <c r="A5">
        <f>IF(OR('R.M Billets Reports'!A4="Date-",'R.M Billets Reports'!A4="Date:-"),IF(IF(IF(ISNUMBER(SEARCH("Party Name:-",'R.M Billets Reports'!D4)),TRIM('R.M Billets Reports'!F4),IF(ISNUMBER(SEARCH("Party Name-",'R.M Billets Reports'!D4)),TRIM(MID('R.M Billets Reports'!D4,SEARCH("-",'R.M Billets Reports'!D4)+1,200)),""))&lt;&gt;"",IF(ISNUMBER(SEARCH("Party Name:-",'R.M Billets Reports'!D4)),TRIM('R.M Billets Reports'!F4),IF(ISNUMBER(SEARCH("Party Name-",'R.M Billets Reports'!D4)),TRIM(MID('R.M Billets Reports'!D4,SEARCH("-",'R.M Billets Reports'!D4)+1,200)),"")),IF(ISNUMBER(SEARCH("Party Name:-",'R.M Billets Reports'!D5)),TRIM('R.M Billets Reports'!F5),IF(ISNUMBER(SEARCH("Party Name-",'R.M Billets Reports'!D5)),TRIM(MID('R.M Billets Reports'!D5,SEARCH("-",'R.M Billets Reports'!D5)+1,200)),"")))="VRKP ISPAT PVT LTD","VRKP",IF(IF(IF(ISNUMBER(SEARCH("Party Name:-",'R.M Billets Reports'!D4)),TRIM('R.M Billets Reports'!F4),IF(ISNUMBER(SEARCH("Party Name-",'R.M Billets Reports'!D4)),TRIM(MID('R.M Billets Reports'!D4,SEARCH("-",'R.M Billets Reports'!D4)+1,200)),""))&lt;&gt;"",IF(ISNUMBER(SEARCH("Party Name:-",'R.M Billets Reports'!D4)),TRIM('R.M Billets Reports'!F4),IF(ISNUMBER(SEARCH("Party Name-",'R.M Billets Reports'!D4)),TRIM(MID('R.M Billets Reports'!D4,SEARCH("-",'R.M Billets Reports'!D4)+1,200)),"")),IF(ISNUMBER(SEARCH("Party Name:-",'R.M Billets Reports'!D5)),TRIM('R.M Billets Reports'!F5),IF(ISNUMBER(SEARCH("Party Name-",'R.M Billets Reports'!D5)),TRIM(MID('R.M Billets Reports'!D5,SEARCH("-",'R.M Billets Reports'!D5)+1,200)),"")))="SHRI RADHE","SHREE RADHE",IF(IF(IF(ISNUMBER(SEARCH("Party Name:-",'R.M Billets Reports'!D4)),TRIM('R.M Billets Reports'!F4),IF(ISNUMBER(SEARCH("Party Name-",'R.M Billets Reports'!D4)),TRIM(MID('R.M Billets Reports'!D4,SEARCH("-",'R.M Billets Reports'!D4)+1,200)),""))&lt;&gt;"",IF(ISNUMBER(SEARCH("Party Name:-",'R.M Billets Reports'!D4)),TRIM('R.M Billets Reports'!F4),IF(ISNUMBER(SEARCH("Party Name-",'R.M Billets Reports'!D4)),TRIM(MID('R.M Billets Reports'!D4,SEARCH("-",'R.M Billets Reports'!D4)+1,200)),"")),IF(ISNUMBER(SEARCH("Party Name:-",'R.M Billets Reports'!D5)),TRIM('R.M Billets Reports'!F5),IF(ISNUMBER(SEARCH("Party Name-",'R.M Billets Reports'!D5)),TRIM(MID('R.M Billets Reports'!D5,SEARCH("-",'R.M Billets Reports'!D5)+1,200)),"")))="SHREE RADHE SHAKTI SPONGE AND POWER PVT. LTD.","SHREE RADHE",IF(IF(ISNUMBER(SEARCH("Party Name:-",'R.M Billets Reports'!D4)),TRIM('R.M Billets Reports'!F4),IF(ISNUMBER(SEARCH("Party Name-",'R.M Billets Reports'!D4)),TRIM(MID('R.M Billets Reports'!D4,SEARCH("-",'R.M Billets Reports'!D4)+1,200)),""))&lt;&gt;"",IF(ISNUMBER(SEARCH("Party Name:-",'R.M Billets Reports'!D4)),TRIM('R.M Billets Reports'!F4),IF(ISNUMBER(SEARCH("Party Name-",'R.M Billets Reports'!D4)),TRIM(MID('R.M Billets Reports'!D4,SEARCH("-",'R.M Billets Reports'!D4)+1,200)),"")),IF(ISNUMBER(SEARCH("Party Name:-",'R.M Billets Reports'!D5)),TRIM('R.M Billets Reports'!F5),IF(ISNUMBER(SEARCH("Party Name-",'R.M Billets Reports'!D5)),TRIM(MID('R.M Billets Reports'!D5,SEARCH("-",'R.M Billets Reports'!D5)+1,200)),"")))))),IF(ROW()=2,"",A4))</f>
      </c>
      <c r="B5">
        <f>IF(OR('R.M Billets Reports'!A4="Date-",'R.M Billets Reports'!A4="Date:-"),'R.M Billets Reports'!B4,IF(ROW()=2,"",B4))</f>
      </c>
      <c r="C5">
        <f>IF('R.M Billets Reports'!A4="V.No.",'R.M Billets Reports'!B4,IF(ROW()=2,"",C4))</f>
      </c>
      <c r="D5">
        <f>IF('R.M Billets Reports'!A4&lt;&gt;"",'R.M Billets Reports'!A4,IF(ROW()=2,"",D4))</f>
      </c>
      <c r="E5">
        <f>IF('R.M Billets Reports'!B4="","",TRIM('R.M Billets Reports'!B4))</f>
      </c>
      <c r="F5">
        <f>'R.M Billets Reports'!C4</f>
      </c>
      <c r="G5">
        <f>'R.M Billets Reports'!D4</f>
      </c>
      <c r="H5">
        <f>'R.M Billets Reports'!E4</f>
      </c>
      <c r="I5">
        <f>'R.M Billets Reports'!F4</f>
      </c>
      <c r="J5">
        <f>'R.M Billets Reports'!G4</f>
      </c>
      <c r="K5">
        <f>'R.M Billets Reports'!H4</f>
      </c>
      <c r="L5">
        <f>IF('R.M Billets Reports'!I4="","",'R.M Billets Reports'!I4)</f>
      </c>
      <c r="M5">
        <f t="shared" si="0"/>
      </c>
      <c r="N5">
        <f>IF('R.M Billets Reports'!J4="","",'R.M Billets Reports'!J4)</f>
      </c>
      <c r="O5">
        <f t="shared" si="1"/>
      </c>
      <c r="P5">
        <f>IF('R.M Billets Reports'!A4="SIZE",'R.M Billets Reports'!B4,P4)</f>
      </c>
    </row>
    <row r="6" spans="1:16" x14ac:dyDescent="0.25">
      <c r="A6">
        <f>IF(OR('R.M Billets Reports'!A5="Date-",'R.M Billets Reports'!A5="Date:-"),IF(IF(IF(ISNUMBER(SEARCH("Party Name:-",'R.M Billets Reports'!D5)),TRIM('R.M Billets Reports'!F5),IF(ISNUMBER(SEARCH("Party Name-",'R.M Billets Reports'!D5)),TRIM(MID('R.M Billets Reports'!D5,SEARCH("-",'R.M Billets Reports'!D5)+1,200)),""))&lt;&gt;"",IF(ISNUMBER(SEARCH("Party Name:-",'R.M Billets Reports'!D5)),TRIM('R.M Billets Reports'!F5),IF(ISNUMBER(SEARCH("Party Name-",'R.M Billets Reports'!D5)),TRIM(MID('R.M Billets Reports'!D5,SEARCH("-",'R.M Billets Reports'!D5)+1,200)),"")),IF(ISNUMBER(SEARCH("Party Name:-",'R.M Billets Reports'!D6)),TRIM('R.M Billets Reports'!F6),IF(ISNUMBER(SEARCH("Party Name-",'R.M Billets Reports'!D6)),TRIM(MID('R.M Billets Reports'!D6,SEARCH("-",'R.M Billets Reports'!D6)+1,200)),"")))="VRKP ISPAT PVT LTD","VRKP",IF(IF(IF(ISNUMBER(SEARCH("Party Name:-",'R.M Billets Reports'!D5)),TRIM('R.M Billets Reports'!F5),IF(ISNUMBER(SEARCH("Party Name-",'R.M Billets Reports'!D5)),TRIM(MID('R.M Billets Reports'!D5,SEARCH("-",'R.M Billets Reports'!D5)+1,200)),""))&lt;&gt;"",IF(ISNUMBER(SEARCH("Party Name:-",'R.M Billets Reports'!D5)),TRIM('R.M Billets Reports'!F5),IF(ISNUMBER(SEARCH("Party Name-",'R.M Billets Reports'!D5)),TRIM(MID('R.M Billets Reports'!D5,SEARCH("-",'R.M Billets Reports'!D5)+1,200)),"")),IF(ISNUMBER(SEARCH("Party Name:-",'R.M Billets Reports'!D6)),TRIM('R.M Billets Reports'!F6),IF(ISNUMBER(SEARCH("Party Name-",'R.M Billets Reports'!D6)),TRIM(MID('R.M Billets Reports'!D6,SEARCH("-",'R.M Billets Reports'!D6)+1,200)),"")))="SHRI RADHE","SHREE RADHE",IF(IF(IF(ISNUMBER(SEARCH("Party Name:-",'R.M Billets Reports'!D5)),TRIM('R.M Billets Reports'!F5),IF(ISNUMBER(SEARCH("Party Name-",'R.M Billets Reports'!D5)),TRIM(MID('R.M Billets Reports'!D5,SEARCH("-",'R.M Billets Reports'!D5)+1,200)),""))&lt;&gt;"",IF(ISNUMBER(SEARCH("Party Name:-",'R.M Billets Reports'!D5)),TRIM('R.M Billets Reports'!F5),IF(ISNUMBER(SEARCH("Party Name-",'R.M Billets Reports'!D5)),TRIM(MID('R.M Billets Reports'!D5,SEARCH("-",'R.M Billets Reports'!D5)+1,200)),"")),IF(ISNUMBER(SEARCH("Party Name:-",'R.M Billets Reports'!D6)),TRIM('R.M Billets Reports'!F6),IF(ISNUMBER(SEARCH("Party Name-",'R.M Billets Reports'!D6)),TRIM(MID('R.M Billets Reports'!D6,SEARCH("-",'R.M Billets Reports'!D6)+1,200)),"")))="SHREE RADHE SHAKTI SPONGE AND POWER PVT. LTD.","SHREE RADHE",IF(IF(ISNUMBER(SEARCH("Party Name:-",'R.M Billets Reports'!D5)),TRIM('R.M Billets Reports'!F5),IF(ISNUMBER(SEARCH("Party Name-",'R.M Billets Reports'!D5)),TRIM(MID('R.M Billets Reports'!D5,SEARCH("-",'R.M Billets Reports'!D5)+1,200)),""))&lt;&gt;"",IF(ISNUMBER(SEARCH("Party Name:-",'R.M Billets Reports'!D5)),TRIM('R.M Billets Reports'!F5),IF(ISNUMBER(SEARCH("Party Name-",'R.M Billets Reports'!D5)),TRIM(MID('R.M Billets Reports'!D5,SEARCH("-",'R.M Billets Reports'!D5)+1,200)),"")),IF(ISNUMBER(SEARCH("Party Name:-",'R.M Billets Reports'!D6)),TRIM('R.M Billets Reports'!F6),IF(ISNUMBER(SEARCH("Party Name-",'R.M Billets Reports'!D6)),TRIM(MID('R.M Billets Reports'!D6,SEARCH("-",'R.M Billets Reports'!D6)+1,200)),"")))))),IF(ROW()=2,"",A5))</f>
      </c>
      <c r="B6">
        <f>IF(OR('R.M Billets Reports'!A5="Date-",'R.M Billets Reports'!A5="Date:-"),'R.M Billets Reports'!B5,IF(ROW()=2,"",B5))</f>
      </c>
      <c r="C6">
        <f>IF('R.M Billets Reports'!A5="V.No.",'R.M Billets Reports'!B5,IF(ROW()=2,"",C5))</f>
      </c>
      <c r="D6">
        <f>IF('R.M Billets Reports'!A5&lt;&gt;"",'R.M Billets Reports'!A5,IF(ROW()=2,"",D5))</f>
      </c>
      <c r="E6">
        <f>IF('R.M Billets Reports'!B5="","",TRIM('R.M Billets Reports'!B5))</f>
      </c>
      <c r="F6">
        <f>'R.M Billets Reports'!C5</f>
      </c>
      <c r="G6">
        <f>'R.M Billets Reports'!D5</f>
      </c>
      <c r="H6">
        <f>'R.M Billets Reports'!E5</f>
      </c>
      <c r="I6">
        <f>'R.M Billets Reports'!F5</f>
      </c>
      <c r="J6">
        <f>'R.M Billets Reports'!G5</f>
      </c>
      <c r="K6">
        <f>'R.M Billets Reports'!H5</f>
      </c>
      <c r="L6">
        <f>IF('R.M Billets Reports'!I5="","",'R.M Billets Reports'!I5)</f>
      </c>
      <c r="M6">
        <f t="shared" si="0"/>
      </c>
      <c r="N6">
        <f>IF('R.M Billets Reports'!J5="","",'R.M Billets Reports'!J5)</f>
      </c>
      <c r="O6">
        <f t="shared" si="1"/>
      </c>
      <c r="P6">
        <f>IF('R.M Billets Reports'!A5="SIZE",'R.M Billets Reports'!B5,P5)</f>
      </c>
    </row>
    <row r="7" spans="1:16" x14ac:dyDescent="0.25">
      <c r="A7">
        <f>IF(OR('R.M Billets Reports'!A6="Date-",'R.M Billets Reports'!A6="Date:-"),IF(IF(IF(ISNUMBER(SEARCH("Party Name:-",'R.M Billets Reports'!D6)),TRIM('R.M Billets Reports'!F6),IF(ISNUMBER(SEARCH("Party Name-",'R.M Billets Reports'!D6)),TRIM(MID('R.M Billets Reports'!D6,SEARCH("-",'R.M Billets Reports'!D6)+1,200)),""))&lt;&gt;"",IF(ISNUMBER(SEARCH("Party Name:-",'R.M Billets Reports'!D6)),TRIM('R.M Billets Reports'!F6),IF(ISNUMBER(SEARCH("Party Name-",'R.M Billets Reports'!D6)),TRIM(MID('R.M Billets Reports'!D6,SEARCH("-",'R.M Billets Reports'!D6)+1,200)),"")),IF(ISNUMBER(SEARCH("Party Name:-",'R.M Billets Reports'!D7)),TRIM('R.M Billets Reports'!F7),IF(ISNUMBER(SEARCH("Party Name-",'R.M Billets Reports'!D7)),TRIM(MID('R.M Billets Reports'!D7,SEARCH("-",'R.M Billets Reports'!D7)+1,200)),"")))="VRKP ISPAT PVT LTD","VRKP",IF(IF(IF(ISNUMBER(SEARCH("Party Name:-",'R.M Billets Reports'!D6)),TRIM('R.M Billets Reports'!F6),IF(ISNUMBER(SEARCH("Party Name-",'R.M Billets Reports'!D6)),TRIM(MID('R.M Billets Reports'!D6,SEARCH("-",'R.M Billets Reports'!D6)+1,200)),""))&lt;&gt;"",IF(ISNUMBER(SEARCH("Party Name:-",'R.M Billets Reports'!D6)),TRIM('R.M Billets Reports'!F6),IF(ISNUMBER(SEARCH("Party Name-",'R.M Billets Reports'!D6)),TRIM(MID('R.M Billets Reports'!D6,SEARCH("-",'R.M Billets Reports'!D6)+1,200)),"")),IF(ISNUMBER(SEARCH("Party Name:-",'R.M Billets Reports'!D7)),TRIM('R.M Billets Reports'!F7),IF(ISNUMBER(SEARCH("Party Name-",'R.M Billets Reports'!D7)),TRIM(MID('R.M Billets Reports'!D7,SEARCH("-",'R.M Billets Reports'!D7)+1,200)),"")))="SHRI RADHE","SHREE RADHE",IF(IF(IF(ISNUMBER(SEARCH("Party Name:-",'R.M Billets Reports'!D6)),TRIM('R.M Billets Reports'!F6),IF(ISNUMBER(SEARCH("Party Name-",'R.M Billets Reports'!D6)),TRIM(MID('R.M Billets Reports'!D6,SEARCH("-",'R.M Billets Reports'!D6)+1,200)),""))&lt;&gt;"",IF(ISNUMBER(SEARCH("Party Name:-",'R.M Billets Reports'!D6)),TRIM('R.M Billets Reports'!F6),IF(ISNUMBER(SEARCH("Party Name-",'R.M Billets Reports'!D6)),TRIM(MID('R.M Billets Reports'!D6,SEARCH("-",'R.M Billets Reports'!D6)+1,200)),"")),IF(ISNUMBER(SEARCH("Party Name:-",'R.M Billets Reports'!D7)),TRIM('R.M Billets Reports'!F7),IF(ISNUMBER(SEARCH("Party Name-",'R.M Billets Reports'!D7)),TRIM(MID('R.M Billets Reports'!D7,SEARCH("-",'R.M Billets Reports'!D7)+1,200)),"")))="SHREE RADHE SHAKTI SPONGE AND POWER PVT. LTD.","SHREE RADHE",IF(IF(ISNUMBER(SEARCH("Party Name:-",'R.M Billets Reports'!D6)),TRIM('R.M Billets Reports'!F6),IF(ISNUMBER(SEARCH("Party Name-",'R.M Billets Reports'!D6)),TRIM(MID('R.M Billets Reports'!D6,SEARCH("-",'R.M Billets Reports'!D6)+1,200)),""))&lt;&gt;"",IF(ISNUMBER(SEARCH("Party Name:-",'R.M Billets Reports'!D6)),TRIM('R.M Billets Reports'!F6),IF(ISNUMBER(SEARCH("Party Name-",'R.M Billets Reports'!D6)),TRIM(MID('R.M Billets Reports'!D6,SEARCH("-",'R.M Billets Reports'!D6)+1,200)),"")),IF(ISNUMBER(SEARCH("Party Name:-",'R.M Billets Reports'!D7)),TRIM('R.M Billets Reports'!F7),IF(ISNUMBER(SEARCH("Party Name-",'R.M Billets Reports'!D7)),TRIM(MID('R.M Billets Reports'!D7,SEARCH("-",'R.M Billets Reports'!D7)+1,200)),"")))))),IF(ROW()=2,"",A6))</f>
      </c>
      <c r="B7">
        <f>IF(OR('R.M Billets Reports'!A6="Date-",'R.M Billets Reports'!A6="Date:-"),'R.M Billets Reports'!B6,IF(ROW()=2,"",B6))</f>
      </c>
      <c r="C7">
        <f>IF('R.M Billets Reports'!A6="V.No.",'R.M Billets Reports'!B6,IF(ROW()=2,"",C6))</f>
      </c>
      <c r="D7">
        <f>IF('R.M Billets Reports'!A6&lt;&gt;"",'R.M Billets Reports'!A6,IF(ROW()=2,"",D6))</f>
      </c>
      <c r="E7">
        <f>IF('R.M Billets Reports'!B6="","",TRIM('R.M Billets Reports'!B6))</f>
      </c>
      <c r="F7">
        <f>'R.M Billets Reports'!C6</f>
      </c>
      <c r="G7">
        <f>'R.M Billets Reports'!D6</f>
      </c>
      <c r="H7">
        <f>'R.M Billets Reports'!E6</f>
      </c>
      <c r="I7">
        <f>'R.M Billets Reports'!F6</f>
      </c>
      <c r="J7">
        <f>'R.M Billets Reports'!G6</f>
      </c>
      <c r="K7">
        <f>'R.M Billets Reports'!H6</f>
      </c>
      <c r="L7">
        <f>IF('R.M Billets Reports'!I6="","",'R.M Billets Reports'!I6)</f>
      </c>
      <c r="M7">
        <f t="shared" si="0"/>
      </c>
      <c r="N7">
        <f>IF('R.M Billets Reports'!J6="","",'R.M Billets Reports'!J6)</f>
      </c>
      <c r="O7">
        <f t="shared" si="1"/>
      </c>
      <c r="P7">
        <f>IF('R.M Billets Reports'!A6="SIZE",'R.M Billets Reports'!B6,P6)</f>
      </c>
    </row>
    <row r="8" spans="1:16" x14ac:dyDescent="0.25">
      <c r="A8">
        <f>IF(OR('R.M Billets Reports'!A7="Date-",'R.M Billets Reports'!A7="Date:-"),IF(IF(IF(ISNUMBER(SEARCH("Party Name:-",'R.M Billets Reports'!D7)),TRIM('R.M Billets Reports'!F7),IF(ISNUMBER(SEARCH("Party Name-",'R.M Billets Reports'!D7)),TRIM(MID('R.M Billets Reports'!D7,SEARCH("-",'R.M Billets Reports'!D7)+1,200)),""))&lt;&gt;"",IF(ISNUMBER(SEARCH("Party Name:-",'R.M Billets Reports'!D7)),TRIM('R.M Billets Reports'!F7),IF(ISNUMBER(SEARCH("Party Name-",'R.M Billets Reports'!D7)),TRIM(MID('R.M Billets Reports'!D7,SEARCH("-",'R.M Billets Reports'!D7)+1,200)),"")),IF(ISNUMBER(SEARCH("Party Name:-",'R.M Billets Reports'!D8)),TRIM('R.M Billets Reports'!F8),IF(ISNUMBER(SEARCH("Party Name-",'R.M Billets Reports'!D8)),TRIM(MID('R.M Billets Reports'!D8,SEARCH("-",'R.M Billets Reports'!D8)+1,200)),"")))="VRKP ISPAT PVT LTD","VRKP",IF(IF(IF(ISNUMBER(SEARCH("Party Name:-",'R.M Billets Reports'!D7)),TRIM('R.M Billets Reports'!F7),IF(ISNUMBER(SEARCH("Party Name-",'R.M Billets Reports'!D7)),TRIM(MID('R.M Billets Reports'!D7,SEARCH("-",'R.M Billets Reports'!D7)+1,200)),""))&lt;&gt;"",IF(ISNUMBER(SEARCH("Party Name:-",'R.M Billets Reports'!D7)),TRIM('R.M Billets Reports'!F7),IF(ISNUMBER(SEARCH("Party Name-",'R.M Billets Reports'!D7)),TRIM(MID('R.M Billets Reports'!D7,SEARCH("-",'R.M Billets Reports'!D7)+1,200)),"")),IF(ISNUMBER(SEARCH("Party Name:-",'R.M Billets Reports'!D8)),TRIM('R.M Billets Reports'!F8),IF(ISNUMBER(SEARCH("Party Name-",'R.M Billets Reports'!D8)),TRIM(MID('R.M Billets Reports'!D8,SEARCH("-",'R.M Billets Reports'!D8)+1,200)),"")))="SHRI RADHE","SHREE RADHE",IF(IF(IF(ISNUMBER(SEARCH("Party Name:-",'R.M Billets Reports'!D7)),TRIM('R.M Billets Reports'!F7),IF(ISNUMBER(SEARCH("Party Name-",'R.M Billets Reports'!D7)),TRIM(MID('R.M Billets Reports'!D7,SEARCH("-",'R.M Billets Reports'!D7)+1,200)),""))&lt;&gt;"",IF(ISNUMBER(SEARCH("Party Name:-",'R.M Billets Reports'!D7)),TRIM('R.M Billets Reports'!F7),IF(ISNUMBER(SEARCH("Party Name-",'R.M Billets Reports'!D7)),TRIM(MID('R.M Billets Reports'!D7,SEARCH("-",'R.M Billets Reports'!D7)+1,200)),"")),IF(ISNUMBER(SEARCH("Party Name:-",'R.M Billets Reports'!D8)),TRIM('R.M Billets Reports'!F8),IF(ISNUMBER(SEARCH("Party Name-",'R.M Billets Reports'!D8)),TRIM(MID('R.M Billets Reports'!D8,SEARCH("-",'R.M Billets Reports'!D8)+1,200)),"")))="SHREE RADHE SHAKTI SPONGE AND POWER PVT. LTD.","SHREE RADHE",IF(IF(ISNUMBER(SEARCH("Party Name:-",'R.M Billets Reports'!D7)),TRIM('R.M Billets Reports'!F7),IF(ISNUMBER(SEARCH("Party Name-",'R.M Billets Reports'!D7)),TRIM(MID('R.M Billets Reports'!D7,SEARCH("-",'R.M Billets Reports'!D7)+1,200)),""))&lt;&gt;"",IF(ISNUMBER(SEARCH("Party Name:-",'R.M Billets Reports'!D7)),TRIM('R.M Billets Reports'!F7),IF(ISNUMBER(SEARCH("Party Name-",'R.M Billets Reports'!D7)),TRIM(MID('R.M Billets Reports'!D7,SEARCH("-",'R.M Billets Reports'!D7)+1,200)),"")),IF(ISNUMBER(SEARCH("Party Name:-",'R.M Billets Reports'!D8)),TRIM('R.M Billets Reports'!F8),IF(ISNUMBER(SEARCH("Party Name-",'R.M Billets Reports'!D8)),TRIM(MID('R.M Billets Reports'!D8,SEARCH("-",'R.M Billets Reports'!D8)+1,200)),"")))))),IF(ROW()=2,"",A7))</f>
      </c>
      <c r="B8">
        <f>IF(OR('R.M Billets Reports'!A7="Date-",'R.M Billets Reports'!A7="Date:-"),'R.M Billets Reports'!B7,IF(ROW()=2,"",B7))</f>
      </c>
      <c r="C8">
        <f>IF('R.M Billets Reports'!A7="V.No.",'R.M Billets Reports'!B7,IF(ROW()=2,"",C7))</f>
      </c>
      <c r="D8">
        <f>IF('R.M Billets Reports'!A7&lt;&gt;"",'R.M Billets Reports'!A7,IF(ROW()=2,"",D7))</f>
      </c>
      <c r="E8">
        <f>IF('R.M Billets Reports'!B7="","",TRIM('R.M Billets Reports'!B7))</f>
      </c>
      <c r="F8">
        <f>'R.M Billets Reports'!C7</f>
      </c>
      <c r="G8">
        <f>'R.M Billets Reports'!D7</f>
      </c>
      <c r="H8">
        <f>'R.M Billets Reports'!E7</f>
      </c>
      <c r="I8">
        <f>'R.M Billets Reports'!F7</f>
      </c>
      <c r="J8">
        <f>'R.M Billets Reports'!G7</f>
      </c>
      <c r="K8">
        <f>'R.M Billets Reports'!H7</f>
      </c>
      <c r="L8">
        <f>IF('R.M Billets Reports'!I7="","",'R.M Billets Reports'!I7)</f>
      </c>
      <c r="M8">
        <f t="shared" si="0"/>
      </c>
      <c r="N8">
        <f>IF('R.M Billets Reports'!J7="","",'R.M Billets Reports'!J7)</f>
      </c>
      <c r="O8">
        <f t="shared" si="1"/>
      </c>
      <c r="P8">
        <f>IF('R.M Billets Reports'!A7="SIZE",'R.M Billets Reports'!B7,P7)</f>
      </c>
    </row>
    <row r="9" spans="1:16" x14ac:dyDescent="0.25">
      <c r="A9">
        <f>IF(OR('R.M Billets Reports'!A8="Date-",'R.M Billets Reports'!A8="Date:-"),IF(IF(IF(ISNUMBER(SEARCH("Party Name:-",'R.M Billets Reports'!D8)),TRIM('R.M Billets Reports'!F8),IF(ISNUMBER(SEARCH("Party Name-",'R.M Billets Reports'!D8)),TRIM(MID('R.M Billets Reports'!D8,SEARCH("-",'R.M Billets Reports'!D8)+1,200)),""))&lt;&gt;"",IF(ISNUMBER(SEARCH("Party Name:-",'R.M Billets Reports'!D8)),TRIM('R.M Billets Reports'!F8),IF(ISNUMBER(SEARCH("Party Name-",'R.M Billets Reports'!D8)),TRIM(MID('R.M Billets Reports'!D8,SEARCH("-",'R.M Billets Reports'!D8)+1,200)),"")),IF(ISNUMBER(SEARCH("Party Name:-",'R.M Billets Reports'!D9)),TRIM('R.M Billets Reports'!F9),IF(ISNUMBER(SEARCH("Party Name-",'R.M Billets Reports'!D9)),TRIM(MID('R.M Billets Reports'!D9,SEARCH("-",'R.M Billets Reports'!D9)+1,200)),"")))="VRKP ISPAT PVT LTD","VRKP",IF(IF(IF(ISNUMBER(SEARCH("Party Name:-",'R.M Billets Reports'!D8)),TRIM('R.M Billets Reports'!F8),IF(ISNUMBER(SEARCH("Party Name-",'R.M Billets Reports'!D8)),TRIM(MID('R.M Billets Reports'!D8,SEARCH("-",'R.M Billets Reports'!D8)+1,200)),""))&lt;&gt;"",IF(ISNUMBER(SEARCH("Party Name:-",'R.M Billets Reports'!D8)),TRIM('R.M Billets Reports'!F8),IF(ISNUMBER(SEARCH("Party Name-",'R.M Billets Reports'!D8)),TRIM(MID('R.M Billets Reports'!D8,SEARCH("-",'R.M Billets Reports'!D8)+1,200)),"")),IF(ISNUMBER(SEARCH("Party Name:-",'R.M Billets Reports'!D9)),TRIM('R.M Billets Reports'!F9),IF(ISNUMBER(SEARCH("Party Name-",'R.M Billets Reports'!D9)),TRIM(MID('R.M Billets Reports'!D9,SEARCH("-",'R.M Billets Reports'!D9)+1,200)),"")))="SHRI RADHE","SHREE RADHE",IF(IF(IF(ISNUMBER(SEARCH("Party Name:-",'R.M Billets Reports'!D8)),TRIM('R.M Billets Reports'!F8),IF(ISNUMBER(SEARCH("Party Name-",'R.M Billets Reports'!D8)),TRIM(MID('R.M Billets Reports'!D8,SEARCH("-",'R.M Billets Reports'!D8)+1,200)),""))&lt;&gt;"",IF(ISNUMBER(SEARCH("Party Name:-",'R.M Billets Reports'!D8)),TRIM('R.M Billets Reports'!F8),IF(ISNUMBER(SEARCH("Party Name-",'R.M Billets Reports'!D8)),TRIM(MID('R.M Billets Reports'!D8,SEARCH("-",'R.M Billets Reports'!D8)+1,200)),"")),IF(ISNUMBER(SEARCH("Party Name:-",'R.M Billets Reports'!D9)),TRIM('R.M Billets Reports'!F9),IF(ISNUMBER(SEARCH("Party Name-",'R.M Billets Reports'!D9)),TRIM(MID('R.M Billets Reports'!D9,SEARCH("-",'R.M Billets Reports'!D9)+1,200)),"")))="SHREE RADHE SHAKTI SPONGE AND POWER PVT. LTD.","SHREE RADHE",IF(IF(ISNUMBER(SEARCH("Party Name:-",'R.M Billets Reports'!D8)),TRIM('R.M Billets Reports'!F8),IF(ISNUMBER(SEARCH("Party Name-",'R.M Billets Reports'!D8)),TRIM(MID('R.M Billets Reports'!D8,SEARCH("-",'R.M Billets Reports'!D8)+1,200)),""))&lt;&gt;"",IF(ISNUMBER(SEARCH("Party Name:-",'R.M Billets Reports'!D8)),TRIM('R.M Billets Reports'!F8),IF(ISNUMBER(SEARCH("Party Name-",'R.M Billets Reports'!D8)),TRIM(MID('R.M Billets Reports'!D8,SEARCH("-",'R.M Billets Reports'!D8)+1,200)),"")),IF(ISNUMBER(SEARCH("Party Name:-",'R.M Billets Reports'!D9)),TRIM('R.M Billets Reports'!F9),IF(ISNUMBER(SEARCH("Party Name-",'R.M Billets Reports'!D9)),TRIM(MID('R.M Billets Reports'!D9,SEARCH("-",'R.M Billets Reports'!D9)+1,200)),"")))))),IF(ROW()=2,"",A8))</f>
      </c>
      <c r="B9">
        <f>IF(OR('R.M Billets Reports'!A8="Date-",'R.M Billets Reports'!A8="Date:-"),'R.M Billets Reports'!B8,IF(ROW()=2,"",B8))</f>
      </c>
      <c r="C9">
        <f>IF('R.M Billets Reports'!A8="V.No.",'R.M Billets Reports'!B8,IF(ROW()=2,"",C8))</f>
      </c>
      <c r="D9">
        <f>IF('R.M Billets Reports'!A8&lt;&gt;"",'R.M Billets Reports'!A8,IF(ROW()=2,"",D8))</f>
      </c>
      <c r="E9">
        <f>IF('R.M Billets Reports'!B8="","",TRIM('R.M Billets Reports'!B8))</f>
      </c>
      <c r="F9">
        <f>'R.M Billets Reports'!C8</f>
      </c>
      <c r="G9">
        <f>'R.M Billets Reports'!D8</f>
      </c>
      <c r="H9">
        <f>'R.M Billets Reports'!E8</f>
      </c>
      <c r="I9">
        <f>'R.M Billets Reports'!F8</f>
      </c>
      <c r="J9">
        <f>'R.M Billets Reports'!G8</f>
      </c>
      <c r="K9">
        <f>'R.M Billets Reports'!H8</f>
      </c>
      <c r="L9">
        <f>IF('R.M Billets Reports'!I8="","",'R.M Billets Reports'!I8)</f>
      </c>
      <c r="M9">
        <f t="shared" si="0"/>
      </c>
      <c r="N9">
        <f>IF('R.M Billets Reports'!J8="","",'R.M Billets Reports'!J8)</f>
      </c>
      <c r="O9">
        <f t="shared" si="1"/>
      </c>
      <c r="P9">
        <f>IF('R.M Billets Reports'!A8="SIZE",'R.M Billets Reports'!B8,P8)</f>
      </c>
    </row>
    <row r="10" spans="1:16" x14ac:dyDescent="0.25">
      <c r="A10">
        <f>IF(OR('R.M Billets Reports'!A9="Date-",'R.M Billets Reports'!A9="Date:-"),IF(IF(IF(ISNUMBER(SEARCH("Party Name:-",'R.M Billets Reports'!D9)),TRIM('R.M Billets Reports'!F9),IF(ISNUMBER(SEARCH("Party Name-",'R.M Billets Reports'!D9)),TRIM(MID('R.M Billets Reports'!D9,SEARCH("-",'R.M Billets Reports'!D9)+1,200)),""))&lt;&gt;"",IF(ISNUMBER(SEARCH("Party Name:-",'R.M Billets Reports'!D9)),TRIM('R.M Billets Reports'!F9),IF(ISNUMBER(SEARCH("Party Name-",'R.M Billets Reports'!D9)),TRIM(MID('R.M Billets Reports'!D9,SEARCH("-",'R.M Billets Reports'!D9)+1,200)),"")),IF(ISNUMBER(SEARCH("Party Name:-",'R.M Billets Reports'!D10)),TRIM('R.M Billets Reports'!F10),IF(ISNUMBER(SEARCH("Party Name-",'R.M Billets Reports'!D10)),TRIM(MID('R.M Billets Reports'!D10,SEARCH("-",'R.M Billets Reports'!D10)+1,200)),"")))="VRKP ISPAT PVT LTD","VRKP",IF(IF(IF(ISNUMBER(SEARCH("Party Name:-",'R.M Billets Reports'!D9)),TRIM('R.M Billets Reports'!F9),IF(ISNUMBER(SEARCH("Party Name-",'R.M Billets Reports'!D9)),TRIM(MID('R.M Billets Reports'!D9,SEARCH("-",'R.M Billets Reports'!D9)+1,200)),""))&lt;&gt;"",IF(ISNUMBER(SEARCH("Party Name:-",'R.M Billets Reports'!D9)),TRIM('R.M Billets Reports'!F9),IF(ISNUMBER(SEARCH("Party Name-",'R.M Billets Reports'!D9)),TRIM(MID('R.M Billets Reports'!D9,SEARCH("-",'R.M Billets Reports'!D9)+1,200)),"")),IF(ISNUMBER(SEARCH("Party Name:-",'R.M Billets Reports'!D10)),TRIM('R.M Billets Reports'!F10),IF(ISNUMBER(SEARCH("Party Name-",'R.M Billets Reports'!D10)),TRIM(MID('R.M Billets Reports'!D10,SEARCH("-",'R.M Billets Reports'!D10)+1,200)),"")))="SHRI RADHE","SHREE RADHE",IF(IF(IF(ISNUMBER(SEARCH("Party Name:-",'R.M Billets Reports'!D9)),TRIM('R.M Billets Reports'!F9),IF(ISNUMBER(SEARCH("Party Name-",'R.M Billets Reports'!D9)),TRIM(MID('R.M Billets Reports'!D9,SEARCH("-",'R.M Billets Reports'!D9)+1,200)),""))&lt;&gt;"",IF(ISNUMBER(SEARCH("Party Name:-",'R.M Billets Reports'!D9)),TRIM('R.M Billets Reports'!F9),IF(ISNUMBER(SEARCH("Party Name-",'R.M Billets Reports'!D9)),TRIM(MID('R.M Billets Reports'!D9,SEARCH("-",'R.M Billets Reports'!D9)+1,200)),"")),IF(ISNUMBER(SEARCH("Party Name:-",'R.M Billets Reports'!D10)),TRIM('R.M Billets Reports'!F10),IF(ISNUMBER(SEARCH("Party Name-",'R.M Billets Reports'!D10)),TRIM(MID('R.M Billets Reports'!D10,SEARCH("-",'R.M Billets Reports'!D10)+1,200)),"")))="SHREE RADHE SHAKTI SPONGE AND POWER PVT. LTD.","SHREE RADHE",IF(IF(ISNUMBER(SEARCH("Party Name:-",'R.M Billets Reports'!D9)),TRIM('R.M Billets Reports'!F9),IF(ISNUMBER(SEARCH("Party Name-",'R.M Billets Reports'!D9)),TRIM(MID('R.M Billets Reports'!D9,SEARCH("-",'R.M Billets Reports'!D9)+1,200)),""))&lt;&gt;"",IF(ISNUMBER(SEARCH("Party Name:-",'R.M Billets Reports'!D9)),TRIM('R.M Billets Reports'!F9),IF(ISNUMBER(SEARCH("Party Name-",'R.M Billets Reports'!D9)),TRIM(MID('R.M Billets Reports'!D9,SEARCH("-",'R.M Billets Reports'!D9)+1,200)),"")),IF(ISNUMBER(SEARCH("Party Name:-",'R.M Billets Reports'!D10)),TRIM('R.M Billets Reports'!F10),IF(ISNUMBER(SEARCH("Party Name-",'R.M Billets Reports'!D10)),TRIM(MID('R.M Billets Reports'!D10,SEARCH("-",'R.M Billets Reports'!D10)+1,200)),"")))))),IF(ROW()=2,"",A9))</f>
      </c>
      <c r="B10">
        <f>IF(OR('R.M Billets Reports'!A9="Date-",'R.M Billets Reports'!A9="Date:-"),'R.M Billets Reports'!B9,IF(ROW()=2,"",B9))</f>
      </c>
      <c r="C10">
        <f>IF('R.M Billets Reports'!A9="V.No.",'R.M Billets Reports'!B9,IF(ROW()=2,"",C9))</f>
      </c>
      <c r="D10">
        <f>IF('R.M Billets Reports'!A9&lt;&gt;"",'R.M Billets Reports'!A9,IF(ROW()=2,"",D9))</f>
      </c>
      <c r="E10">
        <f>IF('R.M Billets Reports'!B9="","",TRIM('R.M Billets Reports'!B9))</f>
      </c>
      <c r="F10">
        <f>'R.M Billets Reports'!C9</f>
      </c>
      <c r="G10">
        <f>'R.M Billets Reports'!D9</f>
      </c>
      <c r="H10">
        <f>'R.M Billets Reports'!E9</f>
      </c>
      <c r="I10">
        <f>'R.M Billets Reports'!F9</f>
      </c>
      <c r="J10">
        <f>'R.M Billets Reports'!G9</f>
      </c>
      <c r="K10">
        <f>'R.M Billets Reports'!H9</f>
      </c>
      <c r="L10">
        <f>IF('R.M Billets Reports'!I9="","",'R.M Billets Reports'!I9)</f>
      </c>
      <c r="M10">
        <f t="shared" si="0"/>
      </c>
      <c r="N10">
        <f>IF('R.M Billets Reports'!J9="","",'R.M Billets Reports'!J9)</f>
      </c>
      <c r="O10">
        <f t="shared" si="1"/>
      </c>
      <c r="P10">
        <f>IF('R.M Billets Reports'!A9="SIZE",'R.M Billets Reports'!B9,P9)</f>
      </c>
    </row>
    <row r="11" spans="1:16" x14ac:dyDescent="0.25">
      <c r="A11">
        <f>IF(OR('R.M Billets Reports'!A10="Date-",'R.M Billets Reports'!A10="Date:-"),IF(IF(IF(ISNUMBER(SEARCH("Party Name:-",'R.M Billets Reports'!D10)),TRIM('R.M Billets Reports'!F10),IF(ISNUMBER(SEARCH("Party Name-",'R.M Billets Reports'!D10)),TRIM(MID('R.M Billets Reports'!D10,SEARCH("-",'R.M Billets Reports'!D10)+1,200)),""))&lt;&gt;"",IF(ISNUMBER(SEARCH("Party Name:-",'R.M Billets Reports'!D10)),TRIM('R.M Billets Reports'!F10),IF(ISNUMBER(SEARCH("Party Name-",'R.M Billets Reports'!D10)),TRIM(MID('R.M Billets Reports'!D10,SEARCH("-",'R.M Billets Reports'!D10)+1,200)),"")),IF(ISNUMBER(SEARCH("Party Name:-",'R.M Billets Reports'!D11)),TRIM('R.M Billets Reports'!F11),IF(ISNUMBER(SEARCH("Party Name-",'R.M Billets Reports'!D11)),TRIM(MID('R.M Billets Reports'!D11,SEARCH("-",'R.M Billets Reports'!D11)+1,200)),"")))="VRKP ISPAT PVT LTD","VRKP",IF(IF(IF(ISNUMBER(SEARCH("Party Name:-",'R.M Billets Reports'!D10)),TRIM('R.M Billets Reports'!F10),IF(ISNUMBER(SEARCH("Party Name-",'R.M Billets Reports'!D10)),TRIM(MID('R.M Billets Reports'!D10,SEARCH("-",'R.M Billets Reports'!D10)+1,200)),""))&lt;&gt;"",IF(ISNUMBER(SEARCH("Party Name:-",'R.M Billets Reports'!D10)),TRIM('R.M Billets Reports'!F10),IF(ISNUMBER(SEARCH("Party Name-",'R.M Billets Reports'!D10)),TRIM(MID('R.M Billets Reports'!D10,SEARCH("-",'R.M Billets Reports'!D10)+1,200)),"")),IF(ISNUMBER(SEARCH("Party Name:-",'R.M Billets Reports'!D11)),TRIM('R.M Billets Reports'!F11),IF(ISNUMBER(SEARCH("Party Name-",'R.M Billets Reports'!D11)),TRIM(MID('R.M Billets Reports'!D11,SEARCH("-",'R.M Billets Reports'!D11)+1,200)),"")))="SHRI RADHE","SHREE RADHE",IF(IF(IF(ISNUMBER(SEARCH("Party Name:-",'R.M Billets Reports'!D10)),TRIM('R.M Billets Reports'!F10),IF(ISNUMBER(SEARCH("Party Name-",'R.M Billets Reports'!D10)),TRIM(MID('R.M Billets Reports'!D10,SEARCH("-",'R.M Billets Reports'!D10)+1,200)),""))&lt;&gt;"",IF(ISNUMBER(SEARCH("Party Name:-",'R.M Billets Reports'!D10)),TRIM('R.M Billets Reports'!F10),IF(ISNUMBER(SEARCH("Party Name-",'R.M Billets Reports'!D10)),TRIM(MID('R.M Billets Reports'!D10,SEARCH("-",'R.M Billets Reports'!D10)+1,200)),"")),IF(ISNUMBER(SEARCH("Party Name:-",'R.M Billets Reports'!D11)),TRIM('R.M Billets Reports'!F11),IF(ISNUMBER(SEARCH("Party Name-",'R.M Billets Reports'!D11)),TRIM(MID('R.M Billets Reports'!D11,SEARCH("-",'R.M Billets Reports'!D11)+1,200)),"")))="SHREE RADHE SHAKTI SPONGE AND POWER PVT. LTD.","SHREE RADHE",IF(IF(ISNUMBER(SEARCH("Party Name:-",'R.M Billets Reports'!D10)),TRIM('R.M Billets Reports'!F10),IF(ISNUMBER(SEARCH("Party Name-",'R.M Billets Reports'!D10)),TRIM(MID('R.M Billets Reports'!D10,SEARCH("-",'R.M Billets Reports'!D10)+1,200)),""))&lt;&gt;"",IF(ISNUMBER(SEARCH("Party Name:-",'R.M Billets Reports'!D10)),TRIM('R.M Billets Reports'!F10),IF(ISNUMBER(SEARCH("Party Name-",'R.M Billets Reports'!D10)),TRIM(MID('R.M Billets Reports'!D10,SEARCH("-",'R.M Billets Reports'!D10)+1,200)),"")),IF(ISNUMBER(SEARCH("Party Name:-",'R.M Billets Reports'!D11)),TRIM('R.M Billets Reports'!F11),IF(ISNUMBER(SEARCH("Party Name-",'R.M Billets Reports'!D11)),TRIM(MID('R.M Billets Reports'!D11,SEARCH("-",'R.M Billets Reports'!D11)+1,200)),"")))))),IF(ROW()=2,"",A10))</f>
      </c>
      <c r="B11">
        <f>IF(OR('R.M Billets Reports'!A10="Date-",'R.M Billets Reports'!A10="Date:-"),'R.M Billets Reports'!B10,IF(ROW()=2,"",B10))</f>
      </c>
      <c r="C11">
        <f>IF('R.M Billets Reports'!A10="V.No.",'R.M Billets Reports'!B10,IF(ROW()=2,"",C10))</f>
      </c>
      <c r="D11">
        <f>IF('R.M Billets Reports'!A10&lt;&gt;"",'R.M Billets Reports'!A10,IF(ROW()=2,"",D10))</f>
      </c>
      <c r="E11">
        <f>IF('R.M Billets Reports'!B10="","",TRIM('R.M Billets Reports'!B10))</f>
      </c>
      <c r="F11">
        <f>'R.M Billets Reports'!C10</f>
      </c>
      <c r="G11">
        <f>'R.M Billets Reports'!D10</f>
      </c>
      <c r="H11">
        <f>'R.M Billets Reports'!E10</f>
      </c>
      <c r="I11">
        <f>'R.M Billets Reports'!F10</f>
      </c>
      <c r="J11">
        <f>'R.M Billets Reports'!G10</f>
      </c>
      <c r="K11">
        <f>'R.M Billets Reports'!H10</f>
      </c>
      <c r="L11">
        <f>IF('R.M Billets Reports'!I10="","",'R.M Billets Reports'!I10)</f>
      </c>
      <c r="M11">
        <f t="shared" si="0"/>
      </c>
      <c r="N11">
        <f>IF('R.M Billets Reports'!J10="","",'R.M Billets Reports'!J10)</f>
      </c>
      <c r="O11">
        <f t="shared" si="1"/>
      </c>
      <c r="P11">
        <f>IF('R.M Billets Reports'!A10="SIZE",'R.M Billets Reports'!B10,P10)</f>
      </c>
    </row>
    <row r="12" spans="1:16" x14ac:dyDescent="0.25">
      <c r="A12">
        <f>IF(OR('R.M Billets Reports'!A11="Date-",'R.M Billets Reports'!A11="Date:-"),IF(IF(IF(ISNUMBER(SEARCH("Party Name:-",'R.M Billets Reports'!D11)),TRIM('R.M Billets Reports'!F11),IF(ISNUMBER(SEARCH("Party Name-",'R.M Billets Reports'!D11)),TRIM(MID('R.M Billets Reports'!D11,SEARCH("-",'R.M Billets Reports'!D11)+1,200)),""))&lt;&gt;"",IF(ISNUMBER(SEARCH("Party Name:-",'R.M Billets Reports'!D11)),TRIM('R.M Billets Reports'!F11),IF(ISNUMBER(SEARCH("Party Name-",'R.M Billets Reports'!D11)),TRIM(MID('R.M Billets Reports'!D11,SEARCH("-",'R.M Billets Reports'!D11)+1,200)),"")),IF(ISNUMBER(SEARCH("Party Name:-",'R.M Billets Reports'!D12)),TRIM('R.M Billets Reports'!F12),IF(ISNUMBER(SEARCH("Party Name-",'R.M Billets Reports'!D12)),TRIM(MID('R.M Billets Reports'!D12,SEARCH("-",'R.M Billets Reports'!D12)+1,200)),"")))="VRKP ISPAT PVT LTD","VRKP",IF(IF(IF(ISNUMBER(SEARCH("Party Name:-",'R.M Billets Reports'!D11)),TRIM('R.M Billets Reports'!F11),IF(ISNUMBER(SEARCH("Party Name-",'R.M Billets Reports'!D11)),TRIM(MID('R.M Billets Reports'!D11,SEARCH("-",'R.M Billets Reports'!D11)+1,200)),""))&lt;&gt;"",IF(ISNUMBER(SEARCH("Party Name:-",'R.M Billets Reports'!D11)),TRIM('R.M Billets Reports'!F11),IF(ISNUMBER(SEARCH("Party Name-",'R.M Billets Reports'!D11)),TRIM(MID('R.M Billets Reports'!D11,SEARCH("-",'R.M Billets Reports'!D11)+1,200)),"")),IF(ISNUMBER(SEARCH("Party Name:-",'R.M Billets Reports'!D12)),TRIM('R.M Billets Reports'!F12),IF(ISNUMBER(SEARCH("Party Name-",'R.M Billets Reports'!D12)),TRIM(MID('R.M Billets Reports'!D12,SEARCH("-",'R.M Billets Reports'!D12)+1,200)),"")))="SHRI RADHE","SHREE RADHE",IF(IF(IF(ISNUMBER(SEARCH("Party Name:-",'R.M Billets Reports'!D11)),TRIM('R.M Billets Reports'!F11),IF(ISNUMBER(SEARCH("Party Name-",'R.M Billets Reports'!D11)),TRIM(MID('R.M Billets Reports'!D11,SEARCH("-",'R.M Billets Reports'!D11)+1,200)),""))&lt;&gt;"",IF(ISNUMBER(SEARCH("Party Name:-",'R.M Billets Reports'!D11)),TRIM('R.M Billets Reports'!F11),IF(ISNUMBER(SEARCH("Party Name-",'R.M Billets Reports'!D11)),TRIM(MID('R.M Billets Reports'!D11,SEARCH("-",'R.M Billets Reports'!D11)+1,200)),"")),IF(ISNUMBER(SEARCH("Party Name:-",'R.M Billets Reports'!D12)),TRIM('R.M Billets Reports'!F12),IF(ISNUMBER(SEARCH("Party Name-",'R.M Billets Reports'!D12)),TRIM(MID('R.M Billets Reports'!D12,SEARCH("-",'R.M Billets Reports'!D12)+1,200)),"")))="SHREE RADHE SHAKTI SPONGE AND POWER PVT. LTD.","SHREE RADHE",IF(IF(ISNUMBER(SEARCH("Party Name:-",'R.M Billets Reports'!D11)),TRIM('R.M Billets Reports'!F11),IF(ISNUMBER(SEARCH("Party Name-",'R.M Billets Reports'!D11)),TRIM(MID('R.M Billets Reports'!D11,SEARCH("-",'R.M Billets Reports'!D11)+1,200)),""))&lt;&gt;"",IF(ISNUMBER(SEARCH("Party Name:-",'R.M Billets Reports'!D11)),TRIM('R.M Billets Reports'!F11),IF(ISNUMBER(SEARCH("Party Name-",'R.M Billets Reports'!D11)),TRIM(MID('R.M Billets Reports'!D11,SEARCH("-",'R.M Billets Reports'!D11)+1,200)),"")),IF(ISNUMBER(SEARCH("Party Name:-",'R.M Billets Reports'!D12)),TRIM('R.M Billets Reports'!F12),IF(ISNUMBER(SEARCH("Party Name-",'R.M Billets Reports'!D12)),TRIM(MID('R.M Billets Reports'!D12,SEARCH("-",'R.M Billets Reports'!D12)+1,200)),"")))))),IF(ROW()=2,"",A11))</f>
      </c>
      <c r="B12">
        <f>IF(OR('R.M Billets Reports'!A11="Date-",'R.M Billets Reports'!A11="Date:-"),'R.M Billets Reports'!B11,IF(ROW()=2,"",B11))</f>
      </c>
      <c r="C12">
        <f>IF('R.M Billets Reports'!A11="V.No.",'R.M Billets Reports'!B11,IF(ROW()=2,"",C11))</f>
      </c>
      <c r="D12">
        <f>IF('R.M Billets Reports'!A11&lt;&gt;"",'R.M Billets Reports'!A11,IF(ROW()=2,"",D11))</f>
      </c>
      <c r="E12">
        <f>IF('R.M Billets Reports'!B11="","",TRIM('R.M Billets Reports'!B11))</f>
      </c>
      <c r="F12">
        <f>'R.M Billets Reports'!C11</f>
      </c>
      <c r="G12">
        <f>'R.M Billets Reports'!D11</f>
      </c>
      <c r="H12">
        <f>'R.M Billets Reports'!E11</f>
      </c>
      <c r="I12">
        <f>'R.M Billets Reports'!F11</f>
      </c>
      <c r="J12">
        <f>'R.M Billets Reports'!G11</f>
      </c>
      <c r="K12">
        <f>'R.M Billets Reports'!H11</f>
      </c>
      <c r="L12">
        <f>IF('R.M Billets Reports'!I11="","",'R.M Billets Reports'!I11)</f>
      </c>
      <c r="M12">
        <f t="shared" si="0"/>
      </c>
      <c r="N12">
        <f>IF('R.M Billets Reports'!J11="","",'R.M Billets Reports'!J11)</f>
      </c>
      <c r="O12">
        <f t="shared" si="1"/>
      </c>
      <c r="P12">
        <f>IF('R.M Billets Reports'!A11="SIZE",'R.M Billets Reports'!B11,P11)</f>
      </c>
    </row>
    <row r="13" spans="1:16" x14ac:dyDescent="0.25">
      <c r="A13">
        <f>IF(OR('R.M Billets Reports'!A12="Date-",'R.M Billets Reports'!A12="Date:-"),IF(IF(IF(ISNUMBER(SEARCH("Party Name:-",'R.M Billets Reports'!D12)),TRIM('R.M Billets Reports'!F12),IF(ISNUMBER(SEARCH("Party Name-",'R.M Billets Reports'!D12)),TRIM(MID('R.M Billets Reports'!D12,SEARCH("-",'R.M Billets Reports'!D12)+1,200)),""))&lt;&gt;"",IF(ISNUMBER(SEARCH("Party Name:-",'R.M Billets Reports'!D12)),TRIM('R.M Billets Reports'!F12),IF(ISNUMBER(SEARCH("Party Name-",'R.M Billets Reports'!D12)),TRIM(MID('R.M Billets Reports'!D12,SEARCH("-",'R.M Billets Reports'!D12)+1,200)),"")),IF(ISNUMBER(SEARCH("Party Name:-",'R.M Billets Reports'!D13)),TRIM('R.M Billets Reports'!F13),IF(ISNUMBER(SEARCH("Party Name-",'R.M Billets Reports'!D13)),TRIM(MID('R.M Billets Reports'!D13,SEARCH("-",'R.M Billets Reports'!D13)+1,200)),"")))="VRKP ISPAT PVT LTD","VRKP",IF(IF(IF(ISNUMBER(SEARCH("Party Name:-",'R.M Billets Reports'!D12)),TRIM('R.M Billets Reports'!F12),IF(ISNUMBER(SEARCH("Party Name-",'R.M Billets Reports'!D12)),TRIM(MID('R.M Billets Reports'!D12,SEARCH("-",'R.M Billets Reports'!D12)+1,200)),""))&lt;&gt;"",IF(ISNUMBER(SEARCH("Party Name:-",'R.M Billets Reports'!D12)),TRIM('R.M Billets Reports'!F12),IF(ISNUMBER(SEARCH("Party Name-",'R.M Billets Reports'!D12)),TRIM(MID('R.M Billets Reports'!D12,SEARCH("-",'R.M Billets Reports'!D12)+1,200)),"")),IF(ISNUMBER(SEARCH("Party Name:-",'R.M Billets Reports'!D13)),TRIM('R.M Billets Reports'!F13),IF(ISNUMBER(SEARCH("Party Name-",'R.M Billets Reports'!D13)),TRIM(MID('R.M Billets Reports'!D13,SEARCH("-",'R.M Billets Reports'!D13)+1,200)),"")))="SHRI RADHE","SHREE RADHE",IF(IF(IF(ISNUMBER(SEARCH("Party Name:-",'R.M Billets Reports'!D12)),TRIM('R.M Billets Reports'!F12),IF(ISNUMBER(SEARCH("Party Name-",'R.M Billets Reports'!D12)),TRIM(MID('R.M Billets Reports'!D12,SEARCH("-",'R.M Billets Reports'!D12)+1,200)),""))&lt;&gt;"",IF(ISNUMBER(SEARCH("Party Name:-",'R.M Billets Reports'!D12)),TRIM('R.M Billets Reports'!F12),IF(ISNUMBER(SEARCH("Party Name-",'R.M Billets Reports'!D12)),TRIM(MID('R.M Billets Reports'!D12,SEARCH("-",'R.M Billets Reports'!D12)+1,200)),"")),IF(ISNUMBER(SEARCH("Party Name:-",'R.M Billets Reports'!D13)),TRIM('R.M Billets Reports'!F13),IF(ISNUMBER(SEARCH("Party Name-",'R.M Billets Reports'!D13)),TRIM(MID('R.M Billets Reports'!D13,SEARCH("-",'R.M Billets Reports'!D13)+1,200)),"")))="SHREE RADHE SHAKTI SPONGE AND POWER PVT. LTD.","SHREE RADHE",IF(IF(ISNUMBER(SEARCH("Party Name:-",'R.M Billets Reports'!D12)),TRIM('R.M Billets Reports'!F12),IF(ISNUMBER(SEARCH("Party Name-",'R.M Billets Reports'!D12)),TRIM(MID('R.M Billets Reports'!D12,SEARCH("-",'R.M Billets Reports'!D12)+1,200)),""))&lt;&gt;"",IF(ISNUMBER(SEARCH("Party Name:-",'R.M Billets Reports'!D12)),TRIM('R.M Billets Reports'!F12),IF(ISNUMBER(SEARCH("Party Name-",'R.M Billets Reports'!D12)),TRIM(MID('R.M Billets Reports'!D12,SEARCH("-",'R.M Billets Reports'!D12)+1,200)),"")),IF(ISNUMBER(SEARCH("Party Name:-",'R.M Billets Reports'!D13)),TRIM('R.M Billets Reports'!F13),IF(ISNUMBER(SEARCH("Party Name-",'R.M Billets Reports'!D13)),TRIM(MID('R.M Billets Reports'!D13,SEARCH("-",'R.M Billets Reports'!D13)+1,200)),"")))))),IF(ROW()=2,"",A12))</f>
      </c>
      <c r="B13">
        <f>IF(OR('R.M Billets Reports'!A12="Date-",'R.M Billets Reports'!A12="Date:-"),'R.M Billets Reports'!B12,IF(ROW()=2,"",B12))</f>
      </c>
      <c r="C13">
        <f>IF('R.M Billets Reports'!A12="V.No.",'R.M Billets Reports'!B12,IF(ROW()=2,"",C12))</f>
      </c>
      <c r="D13">
        <f>IF('R.M Billets Reports'!A12&lt;&gt;"",'R.M Billets Reports'!A12,IF(ROW()=2,"",D12))</f>
      </c>
      <c r="E13">
        <f>IF('R.M Billets Reports'!B12="","",TRIM('R.M Billets Reports'!B12))</f>
      </c>
      <c r="F13">
        <f>'R.M Billets Reports'!C12</f>
      </c>
      <c r="G13">
        <f>'R.M Billets Reports'!D12</f>
      </c>
      <c r="H13">
        <f>'R.M Billets Reports'!E12</f>
      </c>
      <c r="I13">
        <f>'R.M Billets Reports'!F12</f>
      </c>
      <c r="J13">
        <f>'R.M Billets Reports'!G12</f>
      </c>
      <c r="K13">
        <f>'R.M Billets Reports'!H12</f>
      </c>
      <c r="L13">
        <f>IF('R.M Billets Reports'!I12="","",'R.M Billets Reports'!I12)</f>
      </c>
      <c r="M13">
        <f t="shared" si="0"/>
      </c>
      <c r="N13">
        <f>IF('R.M Billets Reports'!J12="","",'R.M Billets Reports'!J12)</f>
      </c>
      <c r="O13">
        <f t="shared" si="1"/>
      </c>
      <c r="P13">
        <f>IF('R.M Billets Reports'!A12="SIZE",'R.M Billets Reports'!B12,P12)</f>
      </c>
    </row>
    <row r="14" spans="1:16" x14ac:dyDescent="0.25">
      <c r="A14">
        <f>IF(OR('R.M Billets Reports'!A13="Date-",'R.M Billets Reports'!A13="Date:-"),IF(IF(IF(ISNUMBER(SEARCH("Party Name:-",'R.M Billets Reports'!D13)),TRIM('R.M Billets Reports'!F13),IF(ISNUMBER(SEARCH("Party Name-",'R.M Billets Reports'!D13)),TRIM(MID('R.M Billets Reports'!D13,SEARCH("-",'R.M Billets Reports'!D13)+1,200)),""))&lt;&gt;"",IF(ISNUMBER(SEARCH("Party Name:-",'R.M Billets Reports'!D13)),TRIM('R.M Billets Reports'!F13),IF(ISNUMBER(SEARCH("Party Name-",'R.M Billets Reports'!D13)),TRIM(MID('R.M Billets Reports'!D13,SEARCH("-",'R.M Billets Reports'!D13)+1,200)),"")),IF(ISNUMBER(SEARCH("Party Name:-",'R.M Billets Reports'!D14)),TRIM('R.M Billets Reports'!F14),IF(ISNUMBER(SEARCH("Party Name-",'R.M Billets Reports'!D14)),TRIM(MID('R.M Billets Reports'!D14,SEARCH("-",'R.M Billets Reports'!D14)+1,200)),"")))="VRKP ISPAT PVT LTD","VRKP",IF(IF(IF(ISNUMBER(SEARCH("Party Name:-",'R.M Billets Reports'!D13)),TRIM('R.M Billets Reports'!F13),IF(ISNUMBER(SEARCH("Party Name-",'R.M Billets Reports'!D13)),TRIM(MID('R.M Billets Reports'!D13,SEARCH("-",'R.M Billets Reports'!D13)+1,200)),""))&lt;&gt;"",IF(ISNUMBER(SEARCH("Party Name:-",'R.M Billets Reports'!D13)),TRIM('R.M Billets Reports'!F13),IF(ISNUMBER(SEARCH("Party Name-",'R.M Billets Reports'!D13)),TRIM(MID('R.M Billets Reports'!D13,SEARCH("-",'R.M Billets Reports'!D13)+1,200)),"")),IF(ISNUMBER(SEARCH("Party Name:-",'R.M Billets Reports'!D14)),TRIM('R.M Billets Reports'!F14),IF(ISNUMBER(SEARCH("Party Name-",'R.M Billets Reports'!D14)),TRIM(MID('R.M Billets Reports'!D14,SEARCH("-",'R.M Billets Reports'!D14)+1,200)),"")))="SHRI RADHE","SHREE RADHE",IF(IF(IF(ISNUMBER(SEARCH("Party Name:-",'R.M Billets Reports'!D13)),TRIM('R.M Billets Reports'!F13),IF(ISNUMBER(SEARCH("Party Name-",'R.M Billets Reports'!D13)),TRIM(MID('R.M Billets Reports'!D13,SEARCH("-",'R.M Billets Reports'!D13)+1,200)),""))&lt;&gt;"",IF(ISNUMBER(SEARCH("Party Name:-",'R.M Billets Reports'!D13)),TRIM('R.M Billets Reports'!F13),IF(ISNUMBER(SEARCH("Party Name-",'R.M Billets Reports'!D13)),TRIM(MID('R.M Billets Reports'!D13,SEARCH("-",'R.M Billets Reports'!D13)+1,200)),"")),IF(ISNUMBER(SEARCH("Party Name:-",'R.M Billets Reports'!D14)),TRIM('R.M Billets Reports'!F14),IF(ISNUMBER(SEARCH("Party Name-",'R.M Billets Reports'!D14)),TRIM(MID('R.M Billets Reports'!D14,SEARCH("-",'R.M Billets Reports'!D14)+1,200)),"")))="SHREE RADHE SHAKTI SPONGE AND POWER PVT. LTD.","SHREE RADHE",IF(IF(ISNUMBER(SEARCH("Party Name:-",'R.M Billets Reports'!D13)),TRIM('R.M Billets Reports'!F13),IF(ISNUMBER(SEARCH("Party Name-",'R.M Billets Reports'!D13)),TRIM(MID('R.M Billets Reports'!D13,SEARCH("-",'R.M Billets Reports'!D13)+1,200)),""))&lt;&gt;"",IF(ISNUMBER(SEARCH("Party Name:-",'R.M Billets Reports'!D13)),TRIM('R.M Billets Reports'!F13),IF(ISNUMBER(SEARCH("Party Name-",'R.M Billets Reports'!D13)),TRIM(MID('R.M Billets Reports'!D13,SEARCH("-",'R.M Billets Reports'!D13)+1,200)),"")),IF(ISNUMBER(SEARCH("Party Name:-",'R.M Billets Reports'!D14)),TRIM('R.M Billets Reports'!F14),IF(ISNUMBER(SEARCH("Party Name-",'R.M Billets Reports'!D14)),TRIM(MID('R.M Billets Reports'!D14,SEARCH("-",'R.M Billets Reports'!D14)+1,200)),"")))))),IF(ROW()=2,"",A13))</f>
      </c>
      <c r="B14">
        <f>IF(OR('R.M Billets Reports'!A13="Date-",'R.M Billets Reports'!A13="Date:-"),'R.M Billets Reports'!B13,IF(ROW()=2,"",B13))</f>
      </c>
      <c r="C14">
        <f>IF('R.M Billets Reports'!A13="V.No.",'R.M Billets Reports'!B13,IF(ROW()=2,"",C13))</f>
      </c>
      <c r="D14">
        <f>IF('R.M Billets Reports'!A13&lt;&gt;"",'R.M Billets Reports'!A13,IF(ROW()=2,"",D13))</f>
      </c>
      <c r="E14">
        <f>IF('R.M Billets Reports'!B13="","",TRIM('R.M Billets Reports'!B13))</f>
      </c>
      <c r="F14">
        <f>'R.M Billets Reports'!C13</f>
      </c>
      <c r="G14">
        <f>'R.M Billets Reports'!D13</f>
      </c>
      <c r="H14">
        <f>'R.M Billets Reports'!E13</f>
      </c>
      <c r="I14">
        <f>'R.M Billets Reports'!F13</f>
      </c>
      <c r="J14">
        <f>'R.M Billets Reports'!G13</f>
      </c>
      <c r="K14">
        <f>'R.M Billets Reports'!H13</f>
      </c>
      <c r="L14">
        <f>IF('R.M Billets Reports'!I13="","",'R.M Billets Reports'!I13)</f>
      </c>
      <c r="M14">
        <f t="shared" si="0"/>
      </c>
      <c r="N14">
        <f>IF('R.M Billets Reports'!J13="","",'R.M Billets Reports'!J13)</f>
      </c>
      <c r="O14">
        <f t="shared" si="1"/>
      </c>
      <c r="P14">
        <f>IF('R.M Billets Reports'!A13="SIZE",'R.M Billets Reports'!B13,P13)</f>
      </c>
    </row>
    <row r="15" spans="1:16" x14ac:dyDescent="0.25">
      <c r="A15">
        <f>IF(OR('R.M Billets Reports'!A14="Date-",'R.M Billets Reports'!A14="Date:-"),IF(IF(IF(ISNUMBER(SEARCH("Party Name:-",'R.M Billets Reports'!D14)),TRIM('R.M Billets Reports'!F14),IF(ISNUMBER(SEARCH("Party Name-",'R.M Billets Reports'!D14)),TRIM(MID('R.M Billets Reports'!D14,SEARCH("-",'R.M Billets Reports'!D14)+1,200)),""))&lt;&gt;"",IF(ISNUMBER(SEARCH("Party Name:-",'R.M Billets Reports'!D14)),TRIM('R.M Billets Reports'!F14),IF(ISNUMBER(SEARCH("Party Name-",'R.M Billets Reports'!D14)),TRIM(MID('R.M Billets Reports'!D14,SEARCH("-",'R.M Billets Reports'!D14)+1,200)),"")),IF(ISNUMBER(SEARCH("Party Name:-",'R.M Billets Reports'!D15)),TRIM('R.M Billets Reports'!F15),IF(ISNUMBER(SEARCH("Party Name-",'R.M Billets Reports'!D15)),TRIM(MID('R.M Billets Reports'!D15,SEARCH("-",'R.M Billets Reports'!D15)+1,200)),"")))="VRKP ISPAT PVT LTD","VRKP",IF(IF(IF(ISNUMBER(SEARCH("Party Name:-",'R.M Billets Reports'!D14)),TRIM('R.M Billets Reports'!F14),IF(ISNUMBER(SEARCH("Party Name-",'R.M Billets Reports'!D14)),TRIM(MID('R.M Billets Reports'!D14,SEARCH("-",'R.M Billets Reports'!D14)+1,200)),""))&lt;&gt;"",IF(ISNUMBER(SEARCH("Party Name:-",'R.M Billets Reports'!D14)),TRIM('R.M Billets Reports'!F14),IF(ISNUMBER(SEARCH("Party Name-",'R.M Billets Reports'!D14)),TRIM(MID('R.M Billets Reports'!D14,SEARCH("-",'R.M Billets Reports'!D14)+1,200)),"")),IF(ISNUMBER(SEARCH("Party Name:-",'R.M Billets Reports'!D15)),TRIM('R.M Billets Reports'!F15),IF(ISNUMBER(SEARCH("Party Name-",'R.M Billets Reports'!D15)),TRIM(MID('R.M Billets Reports'!D15,SEARCH("-",'R.M Billets Reports'!D15)+1,200)),"")))="SHRI RADHE","SHREE RADHE",IF(IF(IF(ISNUMBER(SEARCH("Party Name:-",'R.M Billets Reports'!D14)),TRIM('R.M Billets Reports'!F14),IF(ISNUMBER(SEARCH("Party Name-",'R.M Billets Reports'!D14)),TRIM(MID('R.M Billets Reports'!D14,SEARCH("-",'R.M Billets Reports'!D14)+1,200)),""))&lt;&gt;"",IF(ISNUMBER(SEARCH("Party Name:-",'R.M Billets Reports'!D14)),TRIM('R.M Billets Reports'!F14),IF(ISNUMBER(SEARCH("Party Name-",'R.M Billets Reports'!D14)),TRIM(MID('R.M Billets Reports'!D14,SEARCH("-",'R.M Billets Reports'!D14)+1,200)),"")),IF(ISNUMBER(SEARCH("Party Name:-",'R.M Billets Reports'!D15)),TRIM('R.M Billets Reports'!F15),IF(ISNUMBER(SEARCH("Party Name-",'R.M Billets Reports'!D15)),TRIM(MID('R.M Billets Reports'!D15,SEARCH("-",'R.M Billets Reports'!D15)+1,200)),"")))="SHREE RADHE SHAKTI SPONGE AND POWER PVT. LTD.","SHREE RADHE",IF(IF(ISNUMBER(SEARCH("Party Name:-",'R.M Billets Reports'!D14)),TRIM('R.M Billets Reports'!F14),IF(ISNUMBER(SEARCH("Party Name-",'R.M Billets Reports'!D14)),TRIM(MID('R.M Billets Reports'!D14,SEARCH("-",'R.M Billets Reports'!D14)+1,200)),""))&lt;&gt;"",IF(ISNUMBER(SEARCH("Party Name:-",'R.M Billets Reports'!D14)),TRIM('R.M Billets Reports'!F14),IF(ISNUMBER(SEARCH("Party Name-",'R.M Billets Reports'!D14)),TRIM(MID('R.M Billets Reports'!D14,SEARCH("-",'R.M Billets Reports'!D14)+1,200)),"")),IF(ISNUMBER(SEARCH("Party Name:-",'R.M Billets Reports'!D15)),TRIM('R.M Billets Reports'!F15),IF(ISNUMBER(SEARCH("Party Name-",'R.M Billets Reports'!D15)),TRIM(MID('R.M Billets Reports'!D15,SEARCH("-",'R.M Billets Reports'!D15)+1,200)),"")))))),IF(ROW()=2,"",A14))</f>
      </c>
      <c r="B15">
        <f>IF(OR('R.M Billets Reports'!A14="Date-",'R.M Billets Reports'!A14="Date:-"),'R.M Billets Reports'!B14,IF(ROW()=2,"",B14))</f>
      </c>
      <c r="C15">
        <f>IF('R.M Billets Reports'!A14="V.No.",'R.M Billets Reports'!B14,IF(ROW()=2,"",C14))</f>
      </c>
      <c r="D15">
        <f>IF('R.M Billets Reports'!A14&lt;&gt;"",'R.M Billets Reports'!A14,IF(ROW()=2,"",D14))</f>
      </c>
      <c r="E15">
        <f>IF('R.M Billets Reports'!B14="","",TRIM('R.M Billets Reports'!B14))</f>
      </c>
      <c r="F15">
        <f>'R.M Billets Reports'!C14</f>
      </c>
      <c r="G15">
        <f>'R.M Billets Reports'!D14</f>
      </c>
      <c r="H15">
        <f>'R.M Billets Reports'!E14</f>
      </c>
      <c r="I15">
        <f>'R.M Billets Reports'!F14</f>
      </c>
      <c r="J15">
        <f>'R.M Billets Reports'!G14</f>
      </c>
      <c r="K15">
        <f>'R.M Billets Reports'!H14</f>
      </c>
      <c r="L15">
        <f>IF('R.M Billets Reports'!I14="","",'R.M Billets Reports'!I14)</f>
      </c>
      <c r="M15">
        <f t="shared" si="0"/>
      </c>
      <c r="N15">
        <f>IF('R.M Billets Reports'!J14="","",'R.M Billets Reports'!J14)</f>
      </c>
      <c r="O15">
        <f t="shared" si="1"/>
      </c>
      <c r="P15">
        <f>IF('R.M Billets Reports'!A14="SIZE",'R.M Billets Reports'!B14,P14)</f>
      </c>
    </row>
    <row r="16" spans="1:16" x14ac:dyDescent="0.25">
      <c r="A16">
        <f>IF(OR('R.M Billets Reports'!A15="Date-",'R.M Billets Reports'!A15="Date:-"),IF(IF(IF(ISNUMBER(SEARCH("Party Name:-",'R.M Billets Reports'!D15)),TRIM('R.M Billets Reports'!F15),IF(ISNUMBER(SEARCH("Party Name-",'R.M Billets Reports'!D15)),TRIM(MID('R.M Billets Reports'!D15,SEARCH("-",'R.M Billets Reports'!D15)+1,200)),""))&lt;&gt;"",IF(ISNUMBER(SEARCH("Party Name:-",'R.M Billets Reports'!D15)),TRIM('R.M Billets Reports'!F15),IF(ISNUMBER(SEARCH("Party Name-",'R.M Billets Reports'!D15)),TRIM(MID('R.M Billets Reports'!D15,SEARCH("-",'R.M Billets Reports'!D15)+1,200)),"")),IF(ISNUMBER(SEARCH("Party Name:-",'R.M Billets Reports'!D16)),TRIM('R.M Billets Reports'!F16),IF(ISNUMBER(SEARCH("Party Name-",'R.M Billets Reports'!D16)),TRIM(MID('R.M Billets Reports'!D16,SEARCH("-",'R.M Billets Reports'!D16)+1,200)),"")))="VRKP ISPAT PVT LTD","VRKP",IF(IF(IF(ISNUMBER(SEARCH("Party Name:-",'R.M Billets Reports'!D15)),TRIM('R.M Billets Reports'!F15),IF(ISNUMBER(SEARCH("Party Name-",'R.M Billets Reports'!D15)),TRIM(MID('R.M Billets Reports'!D15,SEARCH("-",'R.M Billets Reports'!D15)+1,200)),""))&lt;&gt;"",IF(ISNUMBER(SEARCH("Party Name:-",'R.M Billets Reports'!D15)),TRIM('R.M Billets Reports'!F15),IF(ISNUMBER(SEARCH("Party Name-",'R.M Billets Reports'!D15)),TRIM(MID('R.M Billets Reports'!D15,SEARCH("-",'R.M Billets Reports'!D15)+1,200)),"")),IF(ISNUMBER(SEARCH("Party Name:-",'R.M Billets Reports'!D16)),TRIM('R.M Billets Reports'!F16),IF(ISNUMBER(SEARCH("Party Name-",'R.M Billets Reports'!D16)),TRIM(MID('R.M Billets Reports'!D16,SEARCH("-",'R.M Billets Reports'!D16)+1,200)),"")))="SHRI RADHE","SHREE RADHE",IF(IF(IF(ISNUMBER(SEARCH("Party Name:-",'R.M Billets Reports'!D15)),TRIM('R.M Billets Reports'!F15),IF(ISNUMBER(SEARCH("Party Name-",'R.M Billets Reports'!D15)),TRIM(MID('R.M Billets Reports'!D15,SEARCH("-",'R.M Billets Reports'!D15)+1,200)),""))&lt;&gt;"",IF(ISNUMBER(SEARCH("Party Name:-",'R.M Billets Reports'!D15)),TRIM('R.M Billets Reports'!F15),IF(ISNUMBER(SEARCH("Party Name-",'R.M Billets Reports'!D15)),TRIM(MID('R.M Billets Reports'!D15,SEARCH("-",'R.M Billets Reports'!D15)+1,200)),"")),IF(ISNUMBER(SEARCH("Party Name:-",'R.M Billets Reports'!D16)),TRIM('R.M Billets Reports'!F16),IF(ISNUMBER(SEARCH("Party Name-",'R.M Billets Reports'!D16)),TRIM(MID('R.M Billets Reports'!D16,SEARCH("-",'R.M Billets Reports'!D16)+1,200)),"")))="SHREE RADHE SHAKTI SPONGE AND POWER PVT. LTD.","SHREE RADHE",IF(IF(ISNUMBER(SEARCH("Party Name:-",'R.M Billets Reports'!D15)),TRIM('R.M Billets Reports'!F15),IF(ISNUMBER(SEARCH("Party Name-",'R.M Billets Reports'!D15)),TRIM(MID('R.M Billets Reports'!D15,SEARCH("-",'R.M Billets Reports'!D15)+1,200)),""))&lt;&gt;"",IF(ISNUMBER(SEARCH("Party Name:-",'R.M Billets Reports'!D15)),TRIM('R.M Billets Reports'!F15),IF(ISNUMBER(SEARCH("Party Name-",'R.M Billets Reports'!D15)),TRIM(MID('R.M Billets Reports'!D15,SEARCH("-",'R.M Billets Reports'!D15)+1,200)),"")),IF(ISNUMBER(SEARCH("Party Name:-",'R.M Billets Reports'!D16)),TRIM('R.M Billets Reports'!F16),IF(ISNUMBER(SEARCH("Party Name-",'R.M Billets Reports'!D16)),TRIM(MID('R.M Billets Reports'!D16,SEARCH("-",'R.M Billets Reports'!D16)+1,200)),"")))))),IF(ROW()=2,"",A15))</f>
      </c>
      <c r="B16">
        <f>IF(OR('R.M Billets Reports'!A15="Date-",'R.M Billets Reports'!A15="Date:-"),'R.M Billets Reports'!B15,IF(ROW()=2,"",B15))</f>
      </c>
      <c r="C16">
        <f>IF('R.M Billets Reports'!A15="V.No.",'R.M Billets Reports'!B15,IF(ROW()=2,"",C15))</f>
      </c>
      <c r="D16">
        <f>IF('R.M Billets Reports'!A15&lt;&gt;"",'R.M Billets Reports'!A15,IF(ROW()=2,"",D15))</f>
      </c>
      <c r="E16">
        <f>IF('R.M Billets Reports'!B15="","",TRIM('R.M Billets Reports'!B15))</f>
      </c>
      <c r="F16">
        <f>'R.M Billets Reports'!C15</f>
      </c>
      <c r="G16">
        <f>'R.M Billets Reports'!D15</f>
      </c>
      <c r="H16">
        <f>'R.M Billets Reports'!E15</f>
      </c>
      <c r="I16">
        <f>'R.M Billets Reports'!F15</f>
      </c>
      <c r="J16">
        <f>'R.M Billets Reports'!G15</f>
      </c>
      <c r="K16">
        <f>'R.M Billets Reports'!H15</f>
      </c>
      <c r="L16">
        <f>IF('R.M Billets Reports'!I15="","",'R.M Billets Reports'!I15)</f>
      </c>
      <c r="M16">
        <f t="shared" si="0"/>
      </c>
      <c r="N16">
        <f>IF('R.M Billets Reports'!J15="","",'R.M Billets Reports'!J15)</f>
      </c>
      <c r="O16">
        <f t="shared" si="1"/>
      </c>
      <c r="P16">
        <f>IF('R.M Billets Reports'!A15="SIZE",'R.M Billets Reports'!B15,P15)</f>
      </c>
    </row>
    <row r="17" spans="1:16" x14ac:dyDescent="0.25">
      <c r="A17">
        <f>IF(OR('R.M Billets Reports'!A16="Date-",'R.M Billets Reports'!A16="Date:-"),IF(IF(IF(ISNUMBER(SEARCH("Party Name:-",'R.M Billets Reports'!D16)),TRIM('R.M Billets Reports'!F16),IF(ISNUMBER(SEARCH("Party Name-",'R.M Billets Reports'!D16)),TRIM(MID('R.M Billets Reports'!D16,SEARCH("-",'R.M Billets Reports'!D16)+1,200)),""))&lt;&gt;"",IF(ISNUMBER(SEARCH("Party Name:-",'R.M Billets Reports'!D16)),TRIM('R.M Billets Reports'!F16),IF(ISNUMBER(SEARCH("Party Name-",'R.M Billets Reports'!D16)),TRIM(MID('R.M Billets Reports'!D16,SEARCH("-",'R.M Billets Reports'!D16)+1,200)),"")),IF(ISNUMBER(SEARCH("Party Name:-",'R.M Billets Reports'!D17)),TRIM('R.M Billets Reports'!F17),IF(ISNUMBER(SEARCH("Party Name-",'R.M Billets Reports'!D17)),TRIM(MID('R.M Billets Reports'!D17,SEARCH("-",'R.M Billets Reports'!D17)+1,200)),"")))="VRKP ISPAT PVT LTD","VRKP",IF(IF(IF(ISNUMBER(SEARCH("Party Name:-",'R.M Billets Reports'!D16)),TRIM('R.M Billets Reports'!F16),IF(ISNUMBER(SEARCH("Party Name-",'R.M Billets Reports'!D16)),TRIM(MID('R.M Billets Reports'!D16,SEARCH("-",'R.M Billets Reports'!D16)+1,200)),""))&lt;&gt;"",IF(ISNUMBER(SEARCH("Party Name:-",'R.M Billets Reports'!D16)),TRIM('R.M Billets Reports'!F16),IF(ISNUMBER(SEARCH("Party Name-",'R.M Billets Reports'!D16)),TRIM(MID('R.M Billets Reports'!D16,SEARCH("-",'R.M Billets Reports'!D16)+1,200)),"")),IF(ISNUMBER(SEARCH("Party Name:-",'R.M Billets Reports'!D17)),TRIM('R.M Billets Reports'!F17),IF(ISNUMBER(SEARCH("Party Name-",'R.M Billets Reports'!D17)),TRIM(MID('R.M Billets Reports'!D17,SEARCH("-",'R.M Billets Reports'!D17)+1,200)),"")))="SHRI RADHE","SHREE RADHE",IF(IF(IF(ISNUMBER(SEARCH("Party Name:-",'R.M Billets Reports'!D16)),TRIM('R.M Billets Reports'!F16),IF(ISNUMBER(SEARCH("Party Name-",'R.M Billets Reports'!D16)),TRIM(MID('R.M Billets Reports'!D16,SEARCH("-",'R.M Billets Reports'!D16)+1,200)),""))&lt;&gt;"",IF(ISNUMBER(SEARCH("Party Name:-",'R.M Billets Reports'!D16)),TRIM('R.M Billets Reports'!F16),IF(ISNUMBER(SEARCH("Party Name-",'R.M Billets Reports'!D16)),TRIM(MID('R.M Billets Reports'!D16,SEARCH("-",'R.M Billets Reports'!D16)+1,200)),"")),IF(ISNUMBER(SEARCH("Party Name:-",'R.M Billets Reports'!D17)),TRIM('R.M Billets Reports'!F17),IF(ISNUMBER(SEARCH("Party Name-",'R.M Billets Reports'!D17)),TRIM(MID('R.M Billets Reports'!D17,SEARCH("-",'R.M Billets Reports'!D17)+1,200)),"")))="SHREE RADHE SHAKTI SPONGE AND POWER PVT. LTD.","SHREE RADHE",IF(IF(ISNUMBER(SEARCH("Party Name:-",'R.M Billets Reports'!D16)),TRIM('R.M Billets Reports'!F16),IF(ISNUMBER(SEARCH("Party Name-",'R.M Billets Reports'!D16)),TRIM(MID('R.M Billets Reports'!D16,SEARCH("-",'R.M Billets Reports'!D16)+1,200)),""))&lt;&gt;"",IF(ISNUMBER(SEARCH("Party Name:-",'R.M Billets Reports'!D16)),TRIM('R.M Billets Reports'!F16),IF(ISNUMBER(SEARCH("Party Name-",'R.M Billets Reports'!D16)),TRIM(MID('R.M Billets Reports'!D16,SEARCH("-",'R.M Billets Reports'!D16)+1,200)),"")),IF(ISNUMBER(SEARCH("Party Name:-",'R.M Billets Reports'!D17)),TRIM('R.M Billets Reports'!F17),IF(ISNUMBER(SEARCH("Party Name-",'R.M Billets Reports'!D17)),TRIM(MID('R.M Billets Reports'!D17,SEARCH("-",'R.M Billets Reports'!D17)+1,200)),"")))))),IF(ROW()=2,"",A16))</f>
      </c>
      <c r="B17">
        <f>IF(OR('R.M Billets Reports'!A16="Date-",'R.M Billets Reports'!A16="Date:-"),'R.M Billets Reports'!B16,IF(ROW()=2,"",B16))</f>
      </c>
      <c r="C17">
        <f>IF('R.M Billets Reports'!A16="V.No.",'R.M Billets Reports'!B16,IF(ROW()=2,"",C16))</f>
      </c>
      <c r="D17">
        <f>IF('R.M Billets Reports'!A16&lt;&gt;"",'R.M Billets Reports'!A16,IF(ROW()=2,"",D16))</f>
      </c>
      <c r="E17">
        <f>IF('R.M Billets Reports'!B16="","",TRIM('R.M Billets Reports'!B16))</f>
      </c>
      <c r="F17">
        <f>'R.M Billets Reports'!C16</f>
      </c>
      <c r="G17">
        <f>'R.M Billets Reports'!D16</f>
      </c>
      <c r="H17">
        <f>'R.M Billets Reports'!E16</f>
      </c>
      <c r="I17">
        <f>'R.M Billets Reports'!F16</f>
      </c>
      <c r="J17">
        <f>'R.M Billets Reports'!G16</f>
      </c>
      <c r="K17">
        <f>'R.M Billets Reports'!H16</f>
      </c>
      <c r="L17">
        <f>IF('R.M Billets Reports'!I16="","",'R.M Billets Reports'!I16)</f>
      </c>
      <c r="M17">
        <f t="shared" si="0"/>
      </c>
      <c r="N17">
        <f>IF('R.M Billets Reports'!J16="","",'R.M Billets Reports'!J16)</f>
      </c>
      <c r="O17">
        <f t="shared" si="1"/>
      </c>
      <c r="P17">
        <f>IF('R.M Billets Reports'!A16="SIZE",'R.M Billets Reports'!B16,P16)</f>
      </c>
    </row>
    <row r="18" spans="1:16" x14ac:dyDescent="0.25">
      <c r="A18">
        <f>IF(OR('R.M Billets Reports'!A17="Date-",'R.M Billets Reports'!A17="Date:-"),IF(IF(IF(ISNUMBER(SEARCH("Party Name:-",'R.M Billets Reports'!D17)),TRIM('R.M Billets Reports'!F17),IF(ISNUMBER(SEARCH("Party Name-",'R.M Billets Reports'!D17)),TRIM(MID('R.M Billets Reports'!D17,SEARCH("-",'R.M Billets Reports'!D17)+1,200)),""))&lt;&gt;"",IF(ISNUMBER(SEARCH("Party Name:-",'R.M Billets Reports'!D17)),TRIM('R.M Billets Reports'!F17),IF(ISNUMBER(SEARCH("Party Name-",'R.M Billets Reports'!D17)),TRIM(MID('R.M Billets Reports'!D17,SEARCH("-",'R.M Billets Reports'!D17)+1,200)),"")),IF(ISNUMBER(SEARCH("Party Name:-",'R.M Billets Reports'!D18)),TRIM('R.M Billets Reports'!F18),IF(ISNUMBER(SEARCH("Party Name-",'R.M Billets Reports'!D18)),TRIM(MID('R.M Billets Reports'!D18,SEARCH("-",'R.M Billets Reports'!D18)+1,200)),"")))="VRKP ISPAT PVT LTD","VRKP",IF(IF(IF(ISNUMBER(SEARCH("Party Name:-",'R.M Billets Reports'!D17)),TRIM('R.M Billets Reports'!F17),IF(ISNUMBER(SEARCH("Party Name-",'R.M Billets Reports'!D17)),TRIM(MID('R.M Billets Reports'!D17,SEARCH("-",'R.M Billets Reports'!D17)+1,200)),""))&lt;&gt;"",IF(ISNUMBER(SEARCH("Party Name:-",'R.M Billets Reports'!D17)),TRIM('R.M Billets Reports'!F17),IF(ISNUMBER(SEARCH("Party Name-",'R.M Billets Reports'!D17)),TRIM(MID('R.M Billets Reports'!D17,SEARCH("-",'R.M Billets Reports'!D17)+1,200)),"")),IF(ISNUMBER(SEARCH("Party Name:-",'R.M Billets Reports'!D18)),TRIM('R.M Billets Reports'!F18),IF(ISNUMBER(SEARCH("Party Name-",'R.M Billets Reports'!D18)),TRIM(MID('R.M Billets Reports'!D18,SEARCH("-",'R.M Billets Reports'!D18)+1,200)),"")))="SHRI RADHE","SHREE RADHE",IF(IF(IF(ISNUMBER(SEARCH("Party Name:-",'R.M Billets Reports'!D17)),TRIM('R.M Billets Reports'!F17),IF(ISNUMBER(SEARCH("Party Name-",'R.M Billets Reports'!D17)),TRIM(MID('R.M Billets Reports'!D17,SEARCH("-",'R.M Billets Reports'!D17)+1,200)),""))&lt;&gt;"",IF(ISNUMBER(SEARCH("Party Name:-",'R.M Billets Reports'!D17)),TRIM('R.M Billets Reports'!F17),IF(ISNUMBER(SEARCH("Party Name-",'R.M Billets Reports'!D17)),TRIM(MID('R.M Billets Reports'!D17,SEARCH("-",'R.M Billets Reports'!D17)+1,200)),"")),IF(ISNUMBER(SEARCH("Party Name:-",'R.M Billets Reports'!D18)),TRIM('R.M Billets Reports'!F18),IF(ISNUMBER(SEARCH("Party Name-",'R.M Billets Reports'!D18)),TRIM(MID('R.M Billets Reports'!D18,SEARCH("-",'R.M Billets Reports'!D18)+1,200)),"")))="SHREE RADHE SHAKTI SPONGE AND POWER PVT. LTD.","SHREE RADHE",IF(IF(ISNUMBER(SEARCH("Party Name:-",'R.M Billets Reports'!D17)),TRIM('R.M Billets Reports'!F17),IF(ISNUMBER(SEARCH("Party Name-",'R.M Billets Reports'!D17)),TRIM(MID('R.M Billets Reports'!D17,SEARCH("-",'R.M Billets Reports'!D17)+1,200)),""))&lt;&gt;"",IF(ISNUMBER(SEARCH("Party Name:-",'R.M Billets Reports'!D17)),TRIM('R.M Billets Reports'!F17),IF(ISNUMBER(SEARCH("Party Name-",'R.M Billets Reports'!D17)),TRIM(MID('R.M Billets Reports'!D17,SEARCH("-",'R.M Billets Reports'!D17)+1,200)),"")),IF(ISNUMBER(SEARCH("Party Name:-",'R.M Billets Reports'!D18)),TRIM('R.M Billets Reports'!F18),IF(ISNUMBER(SEARCH("Party Name-",'R.M Billets Reports'!D18)),TRIM(MID('R.M Billets Reports'!D18,SEARCH("-",'R.M Billets Reports'!D18)+1,200)),"")))))),IF(ROW()=2,"",A17))</f>
      </c>
      <c r="B18">
        <f>IF(OR('R.M Billets Reports'!A17="Date-",'R.M Billets Reports'!A17="Date:-"),'R.M Billets Reports'!B17,IF(ROW()=2,"",B17))</f>
      </c>
      <c r="C18">
        <f>IF('R.M Billets Reports'!A17="V.No.",'R.M Billets Reports'!B17,IF(ROW()=2,"",C17))</f>
      </c>
      <c r="D18">
        <f>IF('R.M Billets Reports'!A17&lt;&gt;"",'R.M Billets Reports'!A17,IF(ROW()=2,"",D17))</f>
      </c>
      <c r="E18">
        <f>IF('R.M Billets Reports'!B17="","",TRIM('R.M Billets Reports'!B17))</f>
      </c>
      <c r="F18">
        <f>'R.M Billets Reports'!C17</f>
      </c>
      <c r="G18">
        <f>'R.M Billets Reports'!D17</f>
      </c>
      <c r="H18">
        <f>'R.M Billets Reports'!E17</f>
      </c>
      <c r="I18">
        <f>'R.M Billets Reports'!F17</f>
      </c>
      <c r="J18">
        <f>'R.M Billets Reports'!G17</f>
      </c>
      <c r="K18">
        <f>'R.M Billets Reports'!H17</f>
      </c>
      <c r="L18">
        <f>IF('R.M Billets Reports'!I17="","",'R.M Billets Reports'!I17)</f>
      </c>
      <c r="M18">
        <f t="shared" si="0"/>
      </c>
      <c r="N18">
        <f>IF('R.M Billets Reports'!J17="","",'R.M Billets Reports'!J17)</f>
      </c>
      <c r="O18">
        <f t="shared" si="1"/>
      </c>
      <c r="P18">
        <f>IF('R.M Billets Reports'!A17="SIZE",'R.M Billets Reports'!B17,P17)</f>
      </c>
    </row>
    <row r="19" spans="1:16" x14ac:dyDescent="0.25">
      <c r="A19">
        <f>IF(OR('R.M Billets Reports'!A18="Date-",'R.M Billets Reports'!A18="Date:-"),IF(IF(IF(ISNUMBER(SEARCH("Party Name:-",'R.M Billets Reports'!D18)),TRIM('R.M Billets Reports'!F18),IF(ISNUMBER(SEARCH("Party Name-",'R.M Billets Reports'!D18)),TRIM(MID('R.M Billets Reports'!D18,SEARCH("-",'R.M Billets Reports'!D18)+1,200)),""))&lt;&gt;"",IF(ISNUMBER(SEARCH("Party Name:-",'R.M Billets Reports'!D18)),TRIM('R.M Billets Reports'!F18),IF(ISNUMBER(SEARCH("Party Name-",'R.M Billets Reports'!D18)),TRIM(MID('R.M Billets Reports'!D18,SEARCH("-",'R.M Billets Reports'!D18)+1,200)),"")),IF(ISNUMBER(SEARCH("Party Name:-",'R.M Billets Reports'!D19)),TRIM('R.M Billets Reports'!F19),IF(ISNUMBER(SEARCH("Party Name-",'R.M Billets Reports'!D19)),TRIM(MID('R.M Billets Reports'!D19,SEARCH("-",'R.M Billets Reports'!D19)+1,200)),"")))="VRKP ISPAT PVT LTD","VRKP",IF(IF(IF(ISNUMBER(SEARCH("Party Name:-",'R.M Billets Reports'!D18)),TRIM('R.M Billets Reports'!F18),IF(ISNUMBER(SEARCH("Party Name-",'R.M Billets Reports'!D18)),TRIM(MID('R.M Billets Reports'!D18,SEARCH("-",'R.M Billets Reports'!D18)+1,200)),""))&lt;&gt;"",IF(ISNUMBER(SEARCH("Party Name:-",'R.M Billets Reports'!D18)),TRIM('R.M Billets Reports'!F18),IF(ISNUMBER(SEARCH("Party Name-",'R.M Billets Reports'!D18)),TRIM(MID('R.M Billets Reports'!D18,SEARCH("-",'R.M Billets Reports'!D18)+1,200)),"")),IF(ISNUMBER(SEARCH("Party Name:-",'R.M Billets Reports'!D19)),TRIM('R.M Billets Reports'!F19),IF(ISNUMBER(SEARCH("Party Name-",'R.M Billets Reports'!D19)),TRIM(MID('R.M Billets Reports'!D19,SEARCH("-",'R.M Billets Reports'!D19)+1,200)),"")))="SHRI RADHE","SHREE RADHE",IF(IF(IF(ISNUMBER(SEARCH("Party Name:-",'R.M Billets Reports'!D18)),TRIM('R.M Billets Reports'!F18),IF(ISNUMBER(SEARCH("Party Name-",'R.M Billets Reports'!D18)),TRIM(MID('R.M Billets Reports'!D18,SEARCH("-",'R.M Billets Reports'!D18)+1,200)),""))&lt;&gt;"",IF(ISNUMBER(SEARCH("Party Name:-",'R.M Billets Reports'!D18)),TRIM('R.M Billets Reports'!F18),IF(ISNUMBER(SEARCH("Party Name-",'R.M Billets Reports'!D18)),TRIM(MID('R.M Billets Reports'!D18,SEARCH("-",'R.M Billets Reports'!D18)+1,200)),"")),IF(ISNUMBER(SEARCH("Party Name:-",'R.M Billets Reports'!D19)),TRIM('R.M Billets Reports'!F19),IF(ISNUMBER(SEARCH("Party Name-",'R.M Billets Reports'!D19)),TRIM(MID('R.M Billets Reports'!D19,SEARCH("-",'R.M Billets Reports'!D19)+1,200)),"")))="SHREE RADHE SHAKTI SPONGE AND POWER PVT. LTD.","SHREE RADHE",IF(IF(ISNUMBER(SEARCH("Party Name:-",'R.M Billets Reports'!D18)),TRIM('R.M Billets Reports'!F18),IF(ISNUMBER(SEARCH("Party Name-",'R.M Billets Reports'!D18)),TRIM(MID('R.M Billets Reports'!D18,SEARCH("-",'R.M Billets Reports'!D18)+1,200)),""))&lt;&gt;"",IF(ISNUMBER(SEARCH("Party Name:-",'R.M Billets Reports'!D18)),TRIM('R.M Billets Reports'!F18),IF(ISNUMBER(SEARCH("Party Name-",'R.M Billets Reports'!D18)),TRIM(MID('R.M Billets Reports'!D18,SEARCH("-",'R.M Billets Reports'!D18)+1,200)),"")),IF(ISNUMBER(SEARCH("Party Name:-",'R.M Billets Reports'!D19)),TRIM('R.M Billets Reports'!F19),IF(ISNUMBER(SEARCH("Party Name-",'R.M Billets Reports'!D19)),TRIM(MID('R.M Billets Reports'!D19,SEARCH("-",'R.M Billets Reports'!D19)+1,200)),"")))))),IF(ROW()=2,"",A18))</f>
      </c>
      <c r="B19">
        <f>IF(OR('R.M Billets Reports'!A18="Date-",'R.M Billets Reports'!A18="Date:-"),'R.M Billets Reports'!B18,IF(ROW()=2,"",B18))</f>
      </c>
      <c r="C19">
        <f>IF('R.M Billets Reports'!A18="V.No.",'R.M Billets Reports'!B18,IF(ROW()=2,"",C18))</f>
      </c>
      <c r="D19">
        <f>IF('R.M Billets Reports'!A18&lt;&gt;"",'R.M Billets Reports'!A18,IF(ROW()=2,"",D18))</f>
      </c>
      <c r="E19">
        <f>IF('R.M Billets Reports'!B18="","",TRIM('R.M Billets Reports'!B18))</f>
      </c>
      <c r="F19">
        <f>'R.M Billets Reports'!C18</f>
      </c>
      <c r="G19">
        <f>'R.M Billets Reports'!D18</f>
      </c>
      <c r="H19">
        <f>'R.M Billets Reports'!E18</f>
      </c>
      <c r="I19">
        <f>'R.M Billets Reports'!F18</f>
      </c>
      <c r="J19">
        <f>'R.M Billets Reports'!G18</f>
      </c>
      <c r="K19">
        <f>'R.M Billets Reports'!H18</f>
      </c>
      <c r="L19">
        <f>IF('R.M Billets Reports'!I18="","",'R.M Billets Reports'!I18)</f>
      </c>
      <c r="M19">
        <f t="shared" si="0"/>
      </c>
      <c r="N19">
        <f>IF('R.M Billets Reports'!J18="","",'R.M Billets Reports'!J18)</f>
      </c>
      <c r="O19">
        <f t="shared" si="1"/>
      </c>
      <c r="P19">
        <f>IF('R.M Billets Reports'!A18="SIZE",'R.M Billets Reports'!B18,P18)</f>
      </c>
    </row>
    <row r="20" spans="1:16" x14ac:dyDescent="0.25">
      <c r="A20">
        <f>IF(OR('R.M Billets Reports'!A19="Date-",'R.M Billets Reports'!A19="Date:-"),IF(IF(IF(ISNUMBER(SEARCH("Party Name:-",'R.M Billets Reports'!D19)),TRIM('R.M Billets Reports'!F19),IF(ISNUMBER(SEARCH("Party Name-",'R.M Billets Reports'!D19)),TRIM(MID('R.M Billets Reports'!D19,SEARCH("-",'R.M Billets Reports'!D19)+1,200)),""))&lt;&gt;"",IF(ISNUMBER(SEARCH("Party Name:-",'R.M Billets Reports'!D19)),TRIM('R.M Billets Reports'!F19),IF(ISNUMBER(SEARCH("Party Name-",'R.M Billets Reports'!D19)),TRIM(MID('R.M Billets Reports'!D19,SEARCH("-",'R.M Billets Reports'!D19)+1,200)),"")),IF(ISNUMBER(SEARCH("Party Name:-",'R.M Billets Reports'!D20)),TRIM('R.M Billets Reports'!F20),IF(ISNUMBER(SEARCH("Party Name-",'R.M Billets Reports'!D20)),TRIM(MID('R.M Billets Reports'!D20,SEARCH("-",'R.M Billets Reports'!D20)+1,200)),"")))="VRKP ISPAT PVT LTD","VRKP",IF(IF(IF(ISNUMBER(SEARCH("Party Name:-",'R.M Billets Reports'!D19)),TRIM('R.M Billets Reports'!F19),IF(ISNUMBER(SEARCH("Party Name-",'R.M Billets Reports'!D19)),TRIM(MID('R.M Billets Reports'!D19,SEARCH("-",'R.M Billets Reports'!D19)+1,200)),""))&lt;&gt;"",IF(ISNUMBER(SEARCH("Party Name:-",'R.M Billets Reports'!D19)),TRIM('R.M Billets Reports'!F19),IF(ISNUMBER(SEARCH("Party Name-",'R.M Billets Reports'!D19)),TRIM(MID('R.M Billets Reports'!D19,SEARCH("-",'R.M Billets Reports'!D19)+1,200)),"")),IF(ISNUMBER(SEARCH("Party Name:-",'R.M Billets Reports'!D20)),TRIM('R.M Billets Reports'!F20),IF(ISNUMBER(SEARCH("Party Name-",'R.M Billets Reports'!D20)),TRIM(MID('R.M Billets Reports'!D20,SEARCH("-",'R.M Billets Reports'!D20)+1,200)),"")))="SHRI RADHE","SHREE RADHE",IF(IF(IF(ISNUMBER(SEARCH("Party Name:-",'R.M Billets Reports'!D19)),TRIM('R.M Billets Reports'!F19),IF(ISNUMBER(SEARCH("Party Name-",'R.M Billets Reports'!D19)),TRIM(MID('R.M Billets Reports'!D19,SEARCH("-",'R.M Billets Reports'!D19)+1,200)),""))&lt;&gt;"",IF(ISNUMBER(SEARCH("Party Name:-",'R.M Billets Reports'!D19)),TRIM('R.M Billets Reports'!F19),IF(ISNUMBER(SEARCH("Party Name-",'R.M Billets Reports'!D19)),TRIM(MID('R.M Billets Reports'!D19,SEARCH("-",'R.M Billets Reports'!D19)+1,200)),"")),IF(ISNUMBER(SEARCH("Party Name:-",'R.M Billets Reports'!D20)),TRIM('R.M Billets Reports'!F20),IF(ISNUMBER(SEARCH("Party Name-",'R.M Billets Reports'!D20)),TRIM(MID('R.M Billets Reports'!D20,SEARCH("-",'R.M Billets Reports'!D20)+1,200)),"")))="SHREE RADHE SHAKTI SPONGE AND POWER PVT. LTD.","SHREE RADHE",IF(IF(ISNUMBER(SEARCH("Party Name:-",'R.M Billets Reports'!D19)),TRIM('R.M Billets Reports'!F19),IF(ISNUMBER(SEARCH("Party Name-",'R.M Billets Reports'!D19)),TRIM(MID('R.M Billets Reports'!D19,SEARCH("-",'R.M Billets Reports'!D19)+1,200)),""))&lt;&gt;"",IF(ISNUMBER(SEARCH("Party Name:-",'R.M Billets Reports'!D19)),TRIM('R.M Billets Reports'!F19),IF(ISNUMBER(SEARCH("Party Name-",'R.M Billets Reports'!D19)),TRIM(MID('R.M Billets Reports'!D19,SEARCH("-",'R.M Billets Reports'!D19)+1,200)),"")),IF(ISNUMBER(SEARCH("Party Name:-",'R.M Billets Reports'!D20)),TRIM('R.M Billets Reports'!F20),IF(ISNUMBER(SEARCH("Party Name-",'R.M Billets Reports'!D20)),TRIM(MID('R.M Billets Reports'!D20,SEARCH("-",'R.M Billets Reports'!D20)+1,200)),"")))))),IF(ROW()=2,"",A19))</f>
      </c>
      <c r="B20">
        <f>IF(OR('R.M Billets Reports'!A19="Date-",'R.M Billets Reports'!A19="Date:-"),'R.M Billets Reports'!B19,IF(ROW()=2,"",B19))</f>
      </c>
      <c r="C20">
        <f>IF('R.M Billets Reports'!A19="V.No.",'R.M Billets Reports'!B19,IF(ROW()=2,"",C19))</f>
      </c>
      <c r="D20">
        <f>IF('R.M Billets Reports'!A19&lt;&gt;"",'R.M Billets Reports'!A19,IF(ROW()=2,"",D19))</f>
      </c>
      <c r="E20">
        <f>IF('R.M Billets Reports'!B19="","",TRIM('R.M Billets Reports'!B19))</f>
      </c>
      <c r="F20">
        <f>'R.M Billets Reports'!C19</f>
      </c>
      <c r="G20">
        <f>'R.M Billets Reports'!D19</f>
      </c>
      <c r="H20">
        <f>'R.M Billets Reports'!E19</f>
      </c>
      <c r="I20">
        <f>'R.M Billets Reports'!F19</f>
      </c>
      <c r="J20">
        <f>'R.M Billets Reports'!G19</f>
      </c>
      <c r="K20">
        <f>'R.M Billets Reports'!H19</f>
      </c>
      <c r="L20">
        <f>IF('R.M Billets Reports'!I19="","",'R.M Billets Reports'!I19)</f>
      </c>
      <c r="M20">
        <f t="shared" si="0"/>
      </c>
      <c r="N20">
        <f>IF('R.M Billets Reports'!J19="","",'R.M Billets Reports'!J19)</f>
      </c>
      <c r="O20">
        <f t="shared" si="1"/>
      </c>
      <c r="P20">
        <f>IF('R.M Billets Reports'!A19="SIZE",'R.M Billets Reports'!B19,P19)</f>
      </c>
    </row>
    <row r="21" spans="1:16" x14ac:dyDescent="0.25">
      <c r="A21">
        <f>IF(OR('R.M Billets Reports'!A20="Date-",'R.M Billets Reports'!A20="Date:-"),IF(IF(IF(ISNUMBER(SEARCH("Party Name:-",'R.M Billets Reports'!D20)),TRIM('R.M Billets Reports'!F20),IF(ISNUMBER(SEARCH("Party Name-",'R.M Billets Reports'!D20)),TRIM(MID('R.M Billets Reports'!D20,SEARCH("-",'R.M Billets Reports'!D20)+1,200)),""))&lt;&gt;"",IF(ISNUMBER(SEARCH("Party Name:-",'R.M Billets Reports'!D20)),TRIM('R.M Billets Reports'!F20),IF(ISNUMBER(SEARCH("Party Name-",'R.M Billets Reports'!D20)),TRIM(MID('R.M Billets Reports'!D20,SEARCH("-",'R.M Billets Reports'!D20)+1,200)),"")),IF(ISNUMBER(SEARCH("Party Name:-",'R.M Billets Reports'!D21)),TRIM('R.M Billets Reports'!F21),IF(ISNUMBER(SEARCH("Party Name-",'R.M Billets Reports'!D21)),TRIM(MID('R.M Billets Reports'!D21,SEARCH("-",'R.M Billets Reports'!D21)+1,200)),"")))="VRKP ISPAT PVT LTD","VRKP",IF(IF(IF(ISNUMBER(SEARCH("Party Name:-",'R.M Billets Reports'!D20)),TRIM('R.M Billets Reports'!F20),IF(ISNUMBER(SEARCH("Party Name-",'R.M Billets Reports'!D20)),TRIM(MID('R.M Billets Reports'!D20,SEARCH("-",'R.M Billets Reports'!D20)+1,200)),""))&lt;&gt;"",IF(ISNUMBER(SEARCH("Party Name:-",'R.M Billets Reports'!D20)),TRIM('R.M Billets Reports'!F20),IF(ISNUMBER(SEARCH("Party Name-",'R.M Billets Reports'!D20)),TRIM(MID('R.M Billets Reports'!D20,SEARCH("-",'R.M Billets Reports'!D20)+1,200)),"")),IF(ISNUMBER(SEARCH("Party Name:-",'R.M Billets Reports'!D21)),TRIM('R.M Billets Reports'!F21),IF(ISNUMBER(SEARCH("Party Name-",'R.M Billets Reports'!D21)),TRIM(MID('R.M Billets Reports'!D21,SEARCH("-",'R.M Billets Reports'!D21)+1,200)),"")))="SHRI RADHE","SHREE RADHE",IF(IF(IF(ISNUMBER(SEARCH("Party Name:-",'R.M Billets Reports'!D20)),TRIM('R.M Billets Reports'!F20),IF(ISNUMBER(SEARCH("Party Name-",'R.M Billets Reports'!D20)),TRIM(MID('R.M Billets Reports'!D20,SEARCH("-",'R.M Billets Reports'!D20)+1,200)),""))&lt;&gt;"",IF(ISNUMBER(SEARCH("Party Name:-",'R.M Billets Reports'!D20)),TRIM('R.M Billets Reports'!F20),IF(ISNUMBER(SEARCH("Party Name-",'R.M Billets Reports'!D20)),TRIM(MID('R.M Billets Reports'!D20,SEARCH("-",'R.M Billets Reports'!D20)+1,200)),"")),IF(ISNUMBER(SEARCH("Party Name:-",'R.M Billets Reports'!D21)),TRIM('R.M Billets Reports'!F21),IF(ISNUMBER(SEARCH("Party Name-",'R.M Billets Reports'!D21)),TRIM(MID('R.M Billets Reports'!D21,SEARCH("-",'R.M Billets Reports'!D21)+1,200)),"")))="SHREE RADHE SHAKTI SPONGE AND POWER PVT. LTD.","SHREE RADHE",IF(IF(ISNUMBER(SEARCH("Party Name:-",'R.M Billets Reports'!D20)),TRIM('R.M Billets Reports'!F20),IF(ISNUMBER(SEARCH("Party Name-",'R.M Billets Reports'!D20)),TRIM(MID('R.M Billets Reports'!D20,SEARCH("-",'R.M Billets Reports'!D20)+1,200)),""))&lt;&gt;"",IF(ISNUMBER(SEARCH("Party Name:-",'R.M Billets Reports'!D20)),TRIM('R.M Billets Reports'!F20),IF(ISNUMBER(SEARCH("Party Name-",'R.M Billets Reports'!D20)),TRIM(MID('R.M Billets Reports'!D20,SEARCH("-",'R.M Billets Reports'!D20)+1,200)),"")),IF(ISNUMBER(SEARCH("Party Name:-",'R.M Billets Reports'!D21)),TRIM('R.M Billets Reports'!F21),IF(ISNUMBER(SEARCH("Party Name-",'R.M Billets Reports'!D21)),TRIM(MID('R.M Billets Reports'!D21,SEARCH("-",'R.M Billets Reports'!D21)+1,200)),"")))))),IF(ROW()=2,"",A20))</f>
      </c>
      <c r="B21">
        <f>IF(OR('R.M Billets Reports'!A20="Date-",'R.M Billets Reports'!A20="Date:-"),'R.M Billets Reports'!B20,IF(ROW()=2,"",B20))</f>
      </c>
      <c r="C21">
        <f>IF('R.M Billets Reports'!A20="V.No.",'R.M Billets Reports'!B20,IF(ROW()=2,"",C20))</f>
      </c>
      <c r="D21">
        <f>IF('R.M Billets Reports'!A20&lt;&gt;"",'R.M Billets Reports'!A20,IF(ROW()=2,"",D20))</f>
      </c>
      <c r="E21">
        <f>IF('R.M Billets Reports'!B20="","",TRIM('R.M Billets Reports'!B20))</f>
      </c>
      <c r="F21">
        <f>'R.M Billets Reports'!C20</f>
      </c>
      <c r="G21">
        <f>'R.M Billets Reports'!D20</f>
      </c>
      <c r="H21">
        <f>'R.M Billets Reports'!E20</f>
      </c>
      <c r="I21">
        <f>'R.M Billets Reports'!F20</f>
      </c>
      <c r="J21">
        <f>'R.M Billets Reports'!G20</f>
      </c>
      <c r="K21">
        <f>'R.M Billets Reports'!H20</f>
      </c>
      <c r="L21">
        <f>IF('R.M Billets Reports'!I20="","",'R.M Billets Reports'!I20)</f>
      </c>
      <c r="M21">
        <f t="shared" si="0"/>
      </c>
      <c r="N21">
        <f>IF('R.M Billets Reports'!J20="","",'R.M Billets Reports'!J20)</f>
      </c>
      <c r="O21">
        <f t="shared" si="1"/>
      </c>
      <c r="P21">
        <f>IF('R.M Billets Reports'!A20="SIZE",'R.M Billets Reports'!B20,P20)</f>
      </c>
    </row>
    <row r="22" spans="1:16" x14ac:dyDescent="0.25">
      <c r="A22">
        <f>IF(OR('R.M Billets Reports'!A21="Date-",'R.M Billets Reports'!A21="Date:-"),IF(IF(IF(ISNUMBER(SEARCH("Party Name:-",'R.M Billets Reports'!D21)),TRIM('R.M Billets Reports'!F21),IF(ISNUMBER(SEARCH("Party Name-",'R.M Billets Reports'!D21)),TRIM(MID('R.M Billets Reports'!D21,SEARCH("-",'R.M Billets Reports'!D21)+1,200)),""))&lt;&gt;"",IF(ISNUMBER(SEARCH("Party Name:-",'R.M Billets Reports'!D21)),TRIM('R.M Billets Reports'!F21),IF(ISNUMBER(SEARCH("Party Name-",'R.M Billets Reports'!D21)),TRIM(MID('R.M Billets Reports'!D21,SEARCH("-",'R.M Billets Reports'!D21)+1,200)),"")),IF(ISNUMBER(SEARCH("Party Name:-",'R.M Billets Reports'!D22)),TRIM('R.M Billets Reports'!F22),IF(ISNUMBER(SEARCH("Party Name-",'R.M Billets Reports'!D22)),TRIM(MID('R.M Billets Reports'!D22,SEARCH("-",'R.M Billets Reports'!D22)+1,200)),"")))="VRKP ISPAT PVT LTD","VRKP",IF(IF(IF(ISNUMBER(SEARCH("Party Name:-",'R.M Billets Reports'!D21)),TRIM('R.M Billets Reports'!F21),IF(ISNUMBER(SEARCH("Party Name-",'R.M Billets Reports'!D21)),TRIM(MID('R.M Billets Reports'!D21,SEARCH("-",'R.M Billets Reports'!D21)+1,200)),""))&lt;&gt;"",IF(ISNUMBER(SEARCH("Party Name:-",'R.M Billets Reports'!D21)),TRIM('R.M Billets Reports'!F21),IF(ISNUMBER(SEARCH("Party Name-",'R.M Billets Reports'!D21)),TRIM(MID('R.M Billets Reports'!D21,SEARCH("-",'R.M Billets Reports'!D21)+1,200)),"")),IF(ISNUMBER(SEARCH("Party Name:-",'R.M Billets Reports'!D22)),TRIM('R.M Billets Reports'!F22),IF(ISNUMBER(SEARCH("Party Name-",'R.M Billets Reports'!D22)),TRIM(MID('R.M Billets Reports'!D22,SEARCH("-",'R.M Billets Reports'!D22)+1,200)),"")))="SHRI RADHE","SHREE RADHE",IF(IF(IF(ISNUMBER(SEARCH("Party Name:-",'R.M Billets Reports'!D21)),TRIM('R.M Billets Reports'!F21),IF(ISNUMBER(SEARCH("Party Name-",'R.M Billets Reports'!D21)),TRIM(MID('R.M Billets Reports'!D21,SEARCH("-",'R.M Billets Reports'!D21)+1,200)),""))&lt;&gt;"",IF(ISNUMBER(SEARCH("Party Name:-",'R.M Billets Reports'!D21)),TRIM('R.M Billets Reports'!F21),IF(ISNUMBER(SEARCH("Party Name-",'R.M Billets Reports'!D21)),TRIM(MID('R.M Billets Reports'!D21,SEARCH("-",'R.M Billets Reports'!D21)+1,200)),"")),IF(ISNUMBER(SEARCH("Party Name:-",'R.M Billets Reports'!D22)),TRIM('R.M Billets Reports'!F22),IF(ISNUMBER(SEARCH("Party Name-",'R.M Billets Reports'!D22)),TRIM(MID('R.M Billets Reports'!D22,SEARCH("-",'R.M Billets Reports'!D22)+1,200)),"")))="SHREE RADHE SHAKTI SPONGE AND POWER PVT. LTD.","SHREE RADHE",IF(IF(ISNUMBER(SEARCH("Party Name:-",'R.M Billets Reports'!D21)),TRIM('R.M Billets Reports'!F21),IF(ISNUMBER(SEARCH("Party Name-",'R.M Billets Reports'!D21)),TRIM(MID('R.M Billets Reports'!D21,SEARCH("-",'R.M Billets Reports'!D21)+1,200)),""))&lt;&gt;"",IF(ISNUMBER(SEARCH("Party Name:-",'R.M Billets Reports'!D21)),TRIM('R.M Billets Reports'!F21),IF(ISNUMBER(SEARCH("Party Name-",'R.M Billets Reports'!D21)),TRIM(MID('R.M Billets Reports'!D21,SEARCH("-",'R.M Billets Reports'!D21)+1,200)),"")),IF(ISNUMBER(SEARCH("Party Name:-",'R.M Billets Reports'!D22)),TRIM('R.M Billets Reports'!F22),IF(ISNUMBER(SEARCH("Party Name-",'R.M Billets Reports'!D22)),TRIM(MID('R.M Billets Reports'!D22,SEARCH("-",'R.M Billets Reports'!D22)+1,200)),"")))))),IF(ROW()=2,"",A21))</f>
      </c>
      <c r="B22">
        <f>IF(OR('R.M Billets Reports'!A21="Date-",'R.M Billets Reports'!A21="Date:-"),'R.M Billets Reports'!B21,IF(ROW()=2,"",B21))</f>
      </c>
      <c r="C22">
        <f>IF('R.M Billets Reports'!A21="V.No.",'R.M Billets Reports'!B21,IF(ROW()=2,"",C21))</f>
      </c>
      <c r="D22">
        <f>IF('R.M Billets Reports'!A21&lt;&gt;"",'R.M Billets Reports'!A21,IF(ROW()=2,"",D21))</f>
      </c>
      <c r="E22">
        <f>IF('R.M Billets Reports'!B21="","",TRIM('R.M Billets Reports'!B21))</f>
      </c>
      <c r="F22">
        <f>'R.M Billets Reports'!C21</f>
      </c>
      <c r="G22">
        <f>'R.M Billets Reports'!D21</f>
      </c>
      <c r="H22">
        <f>'R.M Billets Reports'!E21</f>
      </c>
      <c r="I22">
        <f>'R.M Billets Reports'!F21</f>
      </c>
      <c r="J22">
        <f>'R.M Billets Reports'!G21</f>
      </c>
      <c r="K22">
        <f>'R.M Billets Reports'!H21</f>
      </c>
      <c r="L22">
        <f>IF('R.M Billets Reports'!I21="","",'R.M Billets Reports'!I21)</f>
      </c>
      <c r="M22">
        <f t="shared" si="0"/>
      </c>
      <c r="N22">
        <f>IF('R.M Billets Reports'!J21="","",'R.M Billets Reports'!J21)</f>
      </c>
      <c r="O22">
        <f t="shared" si="1"/>
      </c>
      <c r="P22">
        <f>IF('R.M Billets Reports'!A21="SIZE",'R.M Billets Reports'!B21,P21)</f>
      </c>
    </row>
    <row r="23" spans="1:16" x14ac:dyDescent="0.25">
      <c r="A23">
        <f>IF(OR('R.M Billets Reports'!A22="Date-",'R.M Billets Reports'!A22="Date:-"),IF(IF(IF(ISNUMBER(SEARCH("Party Name:-",'R.M Billets Reports'!D22)),TRIM('R.M Billets Reports'!F22),IF(ISNUMBER(SEARCH("Party Name-",'R.M Billets Reports'!D22)),TRIM(MID('R.M Billets Reports'!D22,SEARCH("-",'R.M Billets Reports'!D22)+1,200)),""))&lt;&gt;"",IF(ISNUMBER(SEARCH("Party Name:-",'R.M Billets Reports'!D22)),TRIM('R.M Billets Reports'!F22),IF(ISNUMBER(SEARCH("Party Name-",'R.M Billets Reports'!D22)),TRIM(MID('R.M Billets Reports'!D22,SEARCH("-",'R.M Billets Reports'!D22)+1,200)),"")),IF(ISNUMBER(SEARCH("Party Name:-",'R.M Billets Reports'!D23)),TRIM('R.M Billets Reports'!F23),IF(ISNUMBER(SEARCH("Party Name-",'R.M Billets Reports'!D23)),TRIM(MID('R.M Billets Reports'!D23,SEARCH("-",'R.M Billets Reports'!D23)+1,200)),"")))="VRKP ISPAT PVT LTD","VRKP",IF(IF(IF(ISNUMBER(SEARCH("Party Name:-",'R.M Billets Reports'!D22)),TRIM('R.M Billets Reports'!F22),IF(ISNUMBER(SEARCH("Party Name-",'R.M Billets Reports'!D22)),TRIM(MID('R.M Billets Reports'!D22,SEARCH("-",'R.M Billets Reports'!D22)+1,200)),""))&lt;&gt;"",IF(ISNUMBER(SEARCH("Party Name:-",'R.M Billets Reports'!D22)),TRIM('R.M Billets Reports'!F22),IF(ISNUMBER(SEARCH("Party Name-",'R.M Billets Reports'!D22)),TRIM(MID('R.M Billets Reports'!D22,SEARCH("-",'R.M Billets Reports'!D22)+1,200)),"")),IF(ISNUMBER(SEARCH("Party Name:-",'R.M Billets Reports'!D23)),TRIM('R.M Billets Reports'!F23),IF(ISNUMBER(SEARCH("Party Name-",'R.M Billets Reports'!D23)),TRIM(MID('R.M Billets Reports'!D23,SEARCH("-",'R.M Billets Reports'!D23)+1,200)),"")))="SHRI RADHE","SHREE RADHE",IF(IF(IF(ISNUMBER(SEARCH("Party Name:-",'R.M Billets Reports'!D22)),TRIM('R.M Billets Reports'!F22),IF(ISNUMBER(SEARCH("Party Name-",'R.M Billets Reports'!D22)),TRIM(MID('R.M Billets Reports'!D22,SEARCH("-",'R.M Billets Reports'!D22)+1,200)),""))&lt;&gt;"",IF(ISNUMBER(SEARCH("Party Name:-",'R.M Billets Reports'!D22)),TRIM('R.M Billets Reports'!F22),IF(ISNUMBER(SEARCH("Party Name-",'R.M Billets Reports'!D22)),TRIM(MID('R.M Billets Reports'!D22,SEARCH("-",'R.M Billets Reports'!D22)+1,200)),"")),IF(ISNUMBER(SEARCH("Party Name:-",'R.M Billets Reports'!D23)),TRIM('R.M Billets Reports'!F23),IF(ISNUMBER(SEARCH("Party Name-",'R.M Billets Reports'!D23)),TRIM(MID('R.M Billets Reports'!D23,SEARCH("-",'R.M Billets Reports'!D23)+1,200)),"")))="SHREE RADHE SHAKTI SPONGE AND POWER PVT. LTD.","SHREE RADHE",IF(IF(ISNUMBER(SEARCH("Party Name:-",'R.M Billets Reports'!D22)),TRIM('R.M Billets Reports'!F22),IF(ISNUMBER(SEARCH("Party Name-",'R.M Billets Reports'!D22)),TRIM(MID('R.M Billets Reports'!D22,SEARCH("-",'R.M Billets Reports'!D22)+1,200)),""))&lt;&gt;"",IF(ISNUMBER(SEARCH("Party Name:-",'R.M Billets Reports'!D22)),TRIM('R.M Billets Reports'!F22),IF(ISNUMBER(SEARCH("Party Name-",'R.M Billets Reports'!D22)),TRIM(MID('R.M Billets Reports'!D22,SEARCH("-",'R.M Billets Reports'!D22)+1,200)),"")),IF(ISNUMBER(SEARCH("Party Name:-",'R.M Billets Reports'!D23)),TRIM('R.M Billets Reports'!F23),IF(ISNUMBER(SEARCH("Party Name-",'R.M Billets Reports'!D23)),TRIM(MID('R.M Billets Reports'!D23,SEARCH("-",'R.M Billets Reports'!D23)+1,200)),"")))))),IF(ROW()=2,"",A22))</f>
      </c>
      <c r="B23">
        <f>IF(OR('R.M Billets Reports'!A22="Date-",'R.M Billets Reports'!A22="Date:-"),'R.M Billets Reports'!B22,IF(ROW()=2,"",B22))</f>
      </c>
      <c r="C23">
        <f>IF('R.M Billets Reports'!A22="V.No.",'R.M Billets Reports'!B22,IF(ROW()=2,"",C22))</f>
      </c>
      <c r="D23">
        <f>IF('R.M Billets Reports'!A22&lt;&gt;"",'R.M Billets Reports'!A22,IF(ROW()=2,"",D22))</f>
      </c>
      <c r="E23">
        <f>IF('R.M Billets Reports'!B22="","",TRIM('R.M Billets Reports'!B22))</f>
      </c>
      <c r="F23">
        <f>'R.M Billets Reports'!C22</f>
      </c>
      <c r="G23">
        <f>'R.M Billets Reports'!D22</f>
      </c>
      <c r="H23">
        <f>'R.M Billets Reports'!E22</f>
      </c>
      <c r="I23">
        <f>'R.M Billets Reports'!F22</f>
      </c>
      <c r="J23">
        <f>'R.M Billets Reports'!G22</f>
      </c>
      <c r="K23">
        <f>'R.M Billets Reports'!H22</f>
      </c>
      <c r="L23">
        <f>IF('R.M Billets Reports'!I22="","",'R.M Billets Reports'!I22)</f>
      </c>
      <c r="M23">
        <f t="shared" si="0"/>
      </c>
      <c r="N23">
        <f>IF('R.M Billets Reports'!J22="","",'R.M Billets Reports'!J22)</f>
      </c>
      <c r="O23">
        <f t="shared" si="1"/>
      </c>
      <c r="P23">
        <f>IF('R.M Billets Reports'!A22="SIZE",'R.M Billets Reports'!B22,P22)</f>
      </c>
    </row>
    <row r="24" spans="1:16" x14ac:dyDescent="0.25">
      <c r="A24">
        <f>IF(OR('R.M Billets Reports'!A23="Date-",'R.M Billets Reports'!A23="Date:-"),IF(IF(IF(ISNUMBER(SEARCH("Party Name:-",'R.M Billets Reports'!D23)),TRIM('R.M Billets Reports'!F23),IF(ISNUMBER(SEARCH("Party Name-",'R.M Billets Reports'!D23)),TRIM(MID('R.M Billets Reports'!D23,SEARCH("-",'R.M Billets Reports'!D23)+1,200)),""))&lt;&gt;"",IF(ISNUMBER(SEARCH("Party Name:-",'R.M Billets Reports'!D23)),TRIM('R.M Billets Reports'!F23),IF(ISNUMBER(SEARCH("Party Name-",'R.M Billets Reports'!D23)),TRIM(MID('R.M Billets Reports'!D23,SEARCH("-",'R.M Billets Reports'!D23)+1,200)),"")),IF(ISNUMBER(SEARCH("Party Name:-",'R.M Billets Reports'!D24)),TRIM('R.M Billets Reports'!F24),IF(ISNUMBER(SEARCH("Party Name-",'R.M Billets Reports'!D24)),TRIM(MID('R.M Billets Reports'!D24,SEARCH("-",'R.M Billets Reports'!D24)+1,200)),"")))="VRKP ISPAT PVT LTD","VRKP",IF(IF(IF(ISNUMBER(SEARCH("Party Name:-",'R.M Billets Reports'!D23)),TRIM('R.M Billets Reports'!F23),IF(ISNUMBER(SEARCH("Party Name-",'R.M Billets Reports'!D23)),TRIM(MID('R.M Billets Reports'!D23,SEARCH("-",'R.M Billets Reports'!D23)+1,200)),""))&lt;&gt;"",IF(ISNUMBER(SEARCH("Party Name:-",'R.M Billets Reports'!D23)),TRIM('R.M Billets Reports'!F23),IF(ISNUMBER(SEARCH("Party Name-",'R.M Billets Reports'!D23)),TRIM(MID('R.M Billets Reports'!D23,SEARCH("-",'R.M Billets Reports'!D23)+1,200)),"")),IF(ISNUMBER(SEARCH("Party Name:-",'R.M Billets Reports'!D24)),TRIM('R.M Billets Reports'!F24),IF(ISNUMBER(SEARCH("Party Name-",'R.M Billets Reports'!D24)),TRIM(MID('R.M Billets Reports'!D24,SEARCH("-",'R.M Billets Reports'!D24)+1,200)),"")))="SHRI RADHE","SHREE RADHE",IF(IF(IF(ISNUMBER(SEARCH("Party Name:-",'R.M Billets Reports'!D23)),TRIM('R.M Billets Reports'!F23),IF(ISNUMBER(SEARCH("Party Name-",'R.M Billets Reports'!D23)),TRIM(MID('R.M Billets Reports'!D23,SEARCH("-",'R.M Billets Reports'!D23)+1,200)),""))&lt;&gt;"",IF(ISNUMBER(SEARCH("Party Name:-",'R.M Billets Reports'!D23)),TRIM('R.M Billets Reports'!F23),IF(ISNUMBER(SEARCH("Party Name-",'R.M Billets Reports'!D23)),TRIM(MID('R.M Billets Reports'!D23,SEARCH("-",'R.M Billets Reports'!D23)+1,200)),"")),IF(ISNUMBER(SEARCH("Party Name:-",'R.M Billets Reports'!D24)),TRIM('R.M Billets Reports'!F24),IF(ISNUMBER(SEARCH("Party Name-",'R.M Billets Reports'!D24)),TRIM(MID('R.M Billets Reports'!D24,SEARCH("-",'R.M Billets Reports'!D24)+1,200)),"")))="SHREE RADHE SHAKTI SPONGE AND POWER PVT. LTD.","SHREE RADHE",IF(IF(ISNUMBER(SEARCH("Party Name:-",'R.M Billets Reports'!D23)),TRIM('R.M Billets Reports'!F23),IF(ISNUMBER(SEARCH("Party Name-",'R.M Billets Reports'!D23)),TRIM(MID('R.M Billets Reports'!D23,SEARCH("-",'R.M Billets Reports'!D23)+1,200)),""))&lt;&gt;"",IF(ISNUMBER(SEARCH("Party Name:-",'R.M Billets Reports'!D23)),TRIM('R.M Billets Reports'!F23),IF(ISNUMBER(SEARCH("Party Name-",'R.M Billets Reports'!D23)),TRIM(MID('R.M Billets Reports'!D23,SEARCH("-",'R.M Billets Reports'!D23)+1,200)),"")),IF(ISNUMBER(SEARCH("Party Name:-",'R.M Billets Reports'!D24)),TRIM('R.M Billets Reports'!F24),IF(ISNUMBER(SEARCH("Party Name-",'R.M Billets Reports'!D24)),TRIM(MID('R.M Billets Reports'!D24,SEARCH("-",'R.M Billets Reports'!D24)+1,200)),"")))))),IF(ROW()=2,"",A23))</f>
      </c>
      <c r="B24">
        <f>IF(OR('R.M Billets Reports'!A23="Date-",'R.M Billets Reports'!A23="Date:-"),'R.M Billets Reports'!B23,IF(ROW()=2,"",B23))</f>
      </c>
      <c r="C24">
        <f>IF('R.M Billets Reports'!A23="V.No.",'R.M Billets Reports'!B23,IF(ROW()=2,"",C23))</f>
      </c>
      <c r="D24">
        <f>IF('R.M Billets Reports'!A23&lt;&gt;"",'R.M Billets Reports'!A23,IF(ROW()=2,"",D23))</f>
      </c>
      <c r="E24">
        <f>IF('R.M Billets Reports'!B23="","",TRIM('R.M Billets Reports'!B23))</f>
      </c>
      <c r="F24">
        <f>'R.M Billets Reports'!C23</f>
      </c>
      <c r="G24">
        <f>'R.M Billets Reports'!D23</f>
      </c>
      <c r="H24">
        <f>'R.M Billets Reports'!E23</f>
      </c>
      <c r="I24">
        <f>'R.M Billets Reports'!F23</f>
      </c>
      <c r="J24">
        <f>'R.M Billets Reports'!G23</f>
      </c>
      <c r="K24">
        <f>'R.M Billets Reports'!H23</f>
      </c>
      <c r="L24">
        <f>IF('R.M Billets Reports'!I23="","",'R.M Billets Reports'!I23)</f>
      </c>
      <c r="M24">
        <f t="shared" si="0"/>
      </c>
      <c r="N24">
        <f>IF('R.M Billets Reports'!J23="","",'R.M Billets Reports'!J23)</f>
      </c>
      <c r="O24">
        <f t="shared" si="1"/>
      </c>
      <c r="P24">
        <f>IF('R.M Billets Reports'!A23="SIZE",'R.M Billets Reports'!B23,P23)</f>
      </c>
    </row>
    <row r="25" spans="1:16" x14ac:dyDescent="0.25">
      <c r="A25">
        <f>IF(OR('R.M Billets Reports'!A24="Date-",'R.M Billets Reports'!A24="Date:-"),IF(IF(IF(ISNUMBER(SEARCH("Party Name:-",'R.M Billets Reports'!D24)),TRIM('R.M Billets Reports'!F24),IF(ISNUMBER(SEARCH("Party Name-",'R.M Billets Reports'!D24)),TRIM(MID('R.M Billets Reports'!D24,SEARCH("-",'R.M Billets Reports'!D24)+1,200)),""))&lt;&gt;"",IF(ISNUMBER(SEARCH("Party Name:-",'R.M Billets Reports'!D24)),TRIM('R.M Billets Reports'!F24),IF(ISNUMBER(SEARCH("Party Name-",'R.M Billets Reports'!D24)),TRIM(MID('R.M Billets Reports'!D24,SEARCH("-",'R.M Billets Reports'!D24)+1,200)),"")),IF(ISNUMBER(SEARCH("Party Name:-",'R.M Billets Reports'!D25)),TRIM('R.M Billets Reports'!F25),IF(ISNUMBER(SEARCH("Party Name-",'R.M Billets Reports'!D25)),TRIM(MID('R.M Billets Reports'!D25,SEARCH("-",'R.M Billets Reports'!D25)+1,200)),"")))="VRKP ISPAT PVT LTD","VRKP",IF(IF(IF(ISNUMBER(SEARCH("Party Name:-",'R.M Billets Reports'!D24)),TRIM('R.M Billets Reports'!F24),IF(ISNUMBER(SEARCH("Party Name-",'R.M Billets Reports'!D24)),TRIM(MID('R.M Billets Reports'!D24,SEARCH("-",'R.M Billets Reports'!D24)+1,200)),""))&lt;&gt;"",IF(ISNUMBER(SEARCH("Party Name:-",'R.M Billets Reports'!D24)),TRIM('R.M Billets Reports'!F24),IF(ISNUMBER(SEARCH("Party Name-",'R.M Billets Reports'!D24)),TRIM(MID('R.M Billets Reports'!D24,SEARCH("-",'R.M Billets Reports'!D24)+1,200)),"")),IF(ISNUMBER(SEARCH("Party Name:-",'R.M Billets Reports'!D25)),TRIM('R.M Billets Reports'!F25),IF(ISNUMBER(SEARCH("Party Name-",'R.M Billets Reports'!D25)),TRIM(MID('R.M Billets Reports'!D25,SEARCH("-",'R.M Billets Reports'!D25)+1,200)),"")))="SHRI RADHE","SHREE RADHE",IF(IF(IF(ISNUMBER(SEARCH("Party Name:-",'R.M Billets Reports'!D24)),TRIM('R.M Billets Reports'!F24),IF(ISNUMBER(SEARCH("Party Name-",'R.M Billets Reports'!D24)),TRIM(MID('R.M Billets Reports'!D24,SEARCH("-",'R.M Billets Reports'!D24)+1,200)),""))&lt;&gt;"",IF(ISNUMBER(SEARCH("Party Name:-",'R.M Billets Reports'!D24)),TRIM('R.M Billets Reports'!F24),IF(ISNUMBER(SEARCH("Party Name-",'R.M Billets Reports'!D24)),TRIM(MID('R.M Billets Reports'!D24,SEARCH("-",'R.M Billets Reports'!D24)+1,200)),"")),IF(ISNUMBER(SEARCH("Party Name:-",'R.M Billets Reports'!D25)),TRIM('R.M Billets Reports'!F25),IF(ISNUMBER(SEARCH("Party Name-",'R.M Billets Reports'!D25)),TRIM(MID('R.M Billets Reports'!D25,SEARCH("-",'R.M Billets Reports'!D25)+1,200)),"")))="SHREE RADHE SHAKTI SPONGE AND POWER PVT. LTD.","SHREE RADHE",IF(IF(ISNUMBER(SEARCH("Party Name:-",'R.M Billets Reports'!D24)),TRIM('R.M Billets Reports'!F24),IF(ISNUMBER(SEARCH("Party Name-",'R.M Billets Reports'!D24)),TRIM(MID('R.M Billets Reports'!D24,SEARCH("-",'R.M Billets Reports'!D24)+1,200)),""))&lt;&gt;"",IF(ISNUMBER(SEARCH("Party Name:-",'R.M Billets Reports'!D24)),TRIM('R.M Billets Reports'!F24),IF(ISNUMBER(SEARCH("Party Name-",'R.M Billets Reports'!D24)),TRIM(MID('R.M Billets Reports'!D24,SEARCH("-",'R.M Billets Reports'!D24)+1,200)),"")),IF(ISNUMBER(SEARCH("Party Name:-",'R.M Billets Reports'!D25)),TRIM('R.M Billets Reports'!F25),IF(ISNUMBER(SEARCH("Party Name-",'R.M Billets Reports'!D25)),TRIM(MID('R.M Billets Reports'!D25,SEARCH("-",'R.M Billets Reports'!D25)+1,200)),"")))))),IF(ROW()=2,"",A24))</f>
      </c>
      <c r="B25">
        <f>IF(OR('R.M Billets Reports'!A24="Date-",'R.M Billets Reports'!A24="Date:-"),'R.M Billets Reports'!B24,IF(ROW()=2,"",B24))</f>
      </c>
      <c r="C25">
        <f>IF('R.M Billets Reports'!A24="V.No.",'R.M Billets Reports'!B24,IF(ROW()=2,"",C24))</f>
      </c>
      <c r="D25">
        <f>IF('R.M Billets Reports'!A24&lt;&gt;"",'R.M Billets Reports'!A24,IF(ROW()=2,"",D24))</f>
      </c>
      <c r="E25">
        <f>IF('R.M Billets Reports'!B24="","",TRIM('R.M Billets Reports'!B24))</f>
      </c>
      <c r="F25">
        <f>'R.M Billets Reports'!C24</f>
      </c>
      <c r="G25">
        <f>'R.M Billets Reports'!D24</f>
      </c>
      <c r="H25">
        <f>'R.M Billets Reports'!E24</f>
      </c>
      <c r="I25">
        <f>'R.M Billets Reports'!F24</f>
      </c>
      <c r="J25">
        <f>'R.M Billets Reports'!G24</f>
      </c>
      <c r="K25">
        <f>'R.M Billets Reports'!H24</f>
      </c>
      <c r="L25">
        <f>IF('R.M Billets Reports'!I24="","",'R.M Billets Reports'!I24)</f>
      </c>
      <c r="M25">
        <f t="shared" si="0"/>
      </c>
      <c r="N25">
        <f>IF('R.M Billets Reports'!J24="","",'R.M Billets Reports'!J24)</f>
      </c>
      <c r="O25">
        <f t="shared" si="1"/>
      </c>
      <c r="P25">
        <f>IF('R.M Billets Reports'!A24="SIZE",'R.M Billets Reports'!B24,P24)</f>
      </c>
    </row>
    <row r="26" spans="1:16" x14ac:dyDescent="0.25">
      <c r="A26">
        <f>IF(OR('R.M Billets Reports'!A25="Date-",'R.M Billets Reports'!A25="Date:-"),IF(IF(IF(ISNUMBER(SEARCH("Party Name:-",'R.M Billets Reports'!D25)),TRIM('R.M Billets Reports'!F25),IF(ISNUMBER(SEARCH("Party Name-",'R.M Billets Reports'!D25)),TRIM(MID('R.M Billets Reports'!D25,SEARCH("-",'R.M Billets Reports'!D25)+1,200)),""))&lt;&gt;"",IF(ISNUMBER(SEARCH("Party Name:-",'R.M Billets Reports'!D25)),TRIM('R.M Billets Reports'!F25),IF(ISNUMBER(SEARCH("Party Name-",'R.M Billets Reports'!D25)),TRIM(MID('R.M Billets Reports'!D25,SEARCH("-",'R.M Billets Reports'!D25)+1,200)),"")),IF(ISNUMBER(SEARCH("Party Name:-",'R.M Billets Reports'!D26)),TRIM('R.M Billets Reports'!F26),IF(ISNUMBER(SEARCH("Party Name-",'R.M Billets Reports'!D26)),TRIM(MID('R.M Billets Reports'!D26,SEARCH("-",'R.M Billets Reports'!D26)+1,200)),"")))="VRKP ISPAT PVT LTD","VRKP",IF(IF(IF(ISNUMBER(SEARCH("Party Name:-",'R.M Billets Reports'!D25)),TRIM('R.M Billets Reports'!F25),IF(ISNUMBER(SEARCH("Party Name-",'R.M Billets Reports'!D25)),TRIM(MID('R.M Billets Reports'!D25,SEARCH("-",'R.M Billets Reports'!D25)+1,200)),""))&lt;&gt;"",IF(ISNUMBER(SEARCH("Party Name:-",'R.M Billets Reports'!D25)),TRIM('R.M Billets Reports'!F25),IF(ISNUMBER(SEARCH("Party Name-",'R.M Billets Reports'!D25)),TRIM(MID('R.M Billets Reports'!D25,SEARCH("-",'R.M Billets Reports'!D25)+1,200)),"")),IF(ISNUMBER(SEARCH("Party Name:-",'R.M Billets Reports'!D26)),TRIM('R.M Billets Reports'!F26),IF(ISNUMBER(SEARCH("Party Name-",'R.M Billets Reports'!D26)),TRIM(MID('R.M Billets Reports'!D26,SEARCH("-",'R.M Billets Reports'!D26)+1,200)),"")))="SHRI RADHE","SHREE RADHE",IF(IF(IF(ISNUMBER(SEARCH("Party Name:-",'R.M Billets Reports'!D25)),TRIM('R.M Billets Reports'!F25),IF(ISNUMBER(SEARCH("Party Name-",'R.M Billets Reports'!D25)),TRIM(MID('R.M Billets Reports'!D25,SEARCH("-",'R.M Billets Reports'!D25)+1,200)),""))&lt;&gt;"",IF(ISNUMBER(SEARCH("Party Name:-",'R.M Billets Reports'!D25)),TRIM('R.M Billets Reports'!F25),IF(ISNUMBER(SEARCH("Party Name-",'R.M Billets Reports'!D25)),TRIM(MID('R.M Billets Reports'!D25,SEARCH("-",'R.M Billets Reports'!D25)+1,200)),"")),IF(ISNUMBER(SEARCH("Party Name:-",'R.M Billets Reports'!D26)),TRIM('R.M Billets Reports'!F26),IF(ISNUMBER(SEARCH("Party Name-",'R.M Billets Reports'!D26)),TRIM(MID('R.M Billets Reports'!D26,SEARCH("-",'R.M Billets Reports'!D26)+1,200)),"")))="SHREE RADHE SHAKTI SPONGE AND POWER PVT. LTD.","SHREE RADHE",IF(IF(ISNUMBER(SEARCH("Party Name:-",'R.M Billets Reports'!D25)),TRIM('R.M Billets Reports'!F25),IF(ISNUMBER(SEARCH("Party Name-",'R.M Billets Reports'!D25)),TRIM(MID('R.M Billets Reports'!D25,SEARCH("-",'R.M Billets Reports'!D25)+1,200)),""))&lt;&gt;"",IF(ISNUMBER(SEARCH("Party Name:-",'R.M Billets Reports'!D25)),TRIM('R.M Billets Reports'!F25),IF(ISNUMBER(SEARCH("Party Name-",'R.M Billets Reports'!D25)),TRIM(MID('R.M Billets Reports'!D25,SEARCH("-",'R.M Billets Reports'!D25)+1,200)),"")),IF(ISNUMBER(SEARCH("Party Name:-",'R.M Billets Reports'!D26)),TRIM('R.M Billets Reports'!F26),IF(ISNUMBER(SEARCH("Party Name-",'R.M Billets Reports'!D26)),TRIM(MID('R.M Billets Reports'!D26,SEARCH("-",'R.M Billets Reports'!D26)+1,200)),"")))))),IF(ROW()=2,"",A25))</f>
      </c>
      <c r="B26">
        <f>IF(OR('R.M Billets Reports'!A25="Date-",'R.M Billets Reports'!A25="Date:-"),'R.M Billets Reports'!B25,IF(ROW()=2,"",B25))</f>
      </c>
      <c r="C26">
        <f>IF('R.M Billets Reports'!A25="V.No.",'R.M Billets Reports'!B25,IF(ROW()=2,"",C25))</f>
      </c>
      <c r="D26">
        <f>IF('R.M Billets Reports'!A25&lt;&gt;"",'R.M Billets Reports'!A25,IF(ROW()=2,"",D25))</f>
      </c>
      <c r="E26">
        <f>IF('R.M Billets Reports'!B25="","",TRIM('R.M Billets Reports'!B25))</f>
      </c>
      <c r="F26">
        <f>'R.M Billets Reports'!C25</f>
      </c>
      <c r="G26">
        <f>'R.M Billets Reports'!D25</f>
      </c>
      <c r="H26">
        <f>'R.M Billets Reports'!E25</f>
      </c>
      <c r="I26">
        <f>'R.M Billets Reports'!F25</f>
      </c>
      <c r="J26">
        <f>'R.M Billets Reports'!G25</f>
      </c>
      <c r="K26">
        <f>'R.M Billets Reports'!H25</f>
      </c>
      <c r="L26">
        <f>IF('R.M Billets Reports'!I25="","",'R.M Billets Reports'!I25)</f>
      </c>
      <c r="M26">
        <f t="shared" si="0"/>
      </c>
      <c r="N26">
        <f>IF('R.M Billets Reports'!J25="","",'R.M Billets Reports'!J25)</f>
      </c>
      <c r="O26">
        <f t="shared" si="1"/>
      </c>
      <c r="P26">
        <f>IF('R.M Billets Reports'!A25="SIZE",'R.M Billets Reports'!B25,P25)</f>
      </c>
    </row>
    <row r="27" spans="1:16" x14ac:dyDescent="0.25">
      <c r="A27">
        <f>IF(OR('R.M Billets Reports'!A26="Date-",'R.M Billets Reports'!A26="Date:-"),IF(IF(IF(ISNUMBER(SEARCH("Party Name:-",'R.M Billets Reports'!D26)),TRIM('R.M Billets Reports'!F26),IF(ISNUMBER(SEARCH("Party Name-",'R.M Billets Reports'!D26)),TRIM(MID('R.M Billets Reports'!D26,SEARCH("-",'R.M Billets Reports'!D26)+1,200)),""))&lt;&gt;"",IF(ISNUMBER(SEARCH("Party Name:-",'R.M Billets Reports'!D26)),TRIM('R.M Billets Reports'!F26),IF(ISNUMBER(SEARCH("Party Name-",'R.M Billets Reports'!D26)),TRIM(MID('R.M Billets Reports'!D26,SEARCH("-",'R.M Billets Reports'!D26)+1,200)),"")),IF(ISNUMBER(SEARCH("Party Name:-",'R.M Billets Reports'!D27)),TRIM('R.M Billets Reports'!F27),IF(ISNUMBER(SEARCH("Party Name-",'R.M Billets Reports'!D27)),TRIM(MID('R.M Billets Reports'!D27,SEARCH("-",'R.M Billets Reports'!D27)+1,200)),"")))="VRKP ISPAT PVT LTD","VRKP",IF(IF(IF(ISNUMBER(SEARCH("Party Name:-",'R.M Billets Reports'!D26)),TRIM('R.M Billets Reports'!F26),IF(ISNUMBER(SEARCH("Party Name-",'R.M Billets Reports'!D26)),TRIM(MID('R.M Billets Reports'!D26,SEARCH("-",'R.M Billets Reports'!D26)+1,200)),""))&lt;&gt;"",IF(ISNUMBER(SEARCH("Party Name:-",'R.M Billets Reports'!D26)),TRIM('R.M Billets Reports'!F26),IF(ISNUMBER(SEARCH("Party Name-",'R.M Billets Reports'!D26)),TRIM(MID('R.M Billets Reports'!D26,SEARCH("-",'R.M Billets Reports'!D26)+1,200)),"")),IF(ISNUMBER(SEARCH("Party Name:-",'R.M Billets Reports'!D27)),TRIM('R.M Billets Reports'!F27),IF(ISNUMBER(SEARCH("Party Name-",'R.M Billets Reports'!D27)),TRIM(MID('R.M Billets Reports'!D27,SEARCH("-",'R.M Billets Reports'!D27)+1,200)),"")))="SHRI RADHE","SHREE RADHE",IF(IF(IF(ISNUMBER(SEARCH("Party Name:-",'R.M Billets Reports'!D26)),TRIM('R.M Billets Reports'!F26),IF(ISNUMBER(SEARCH("Party Name-",'R.M Billets Reports'!D26)),TRIM(MID('R.M Billets Reports'!D26,SEARCH("-",'R.M Billets Reports'!D26)+1,200)),""))&lt;&gt;"",IF(ISNUMBER(SEARCH("Party Name:-",'R.M Billets Reports'!D26)),TRIM('R.M Billets Reports'!F26),IF(ISNUMBER(SEARCH("Party Name-",'R.M Billets Reports'!D26)),TRIM(MID('R.M Billets Reports'!D26,SEARCH("-",'R.M Billets Reports'!D26)+1,200)),"")),IF(ISNUMBER(SEARCH("Party Name:-",'R.M Billets Reports'!D27)),TRIM('R.M Billets Reports'!F27),IF(ISNUMBER(SEARCH("Party Name-",'R.M Billets Reports'!D27)),TRIM(MID('R.M Billets Reports'!D27,SEARCH("-",'R.M Billets Reports'!D27)+1,200)),"")))="SHREE RADHE SHAKTI SPONGE AND POWER PVT. LTD.","SHREE RADHE",IF(IF(ISNUMBER(SEARCH("Party Name:-",'R.M Billets Reports'!D26)),TRIM('R.M Billets Reports'!F26),IF(ISNUMBER(SEARCH("Party Name-",'R.M Billets Reports'!D26)),TRIM(MID('R.M Billets Reports'!D26,SEARCH("-",'R.M Billets Reports'!D26)+1,200)),""))&lt;&gt;"",IF(ISNUMBER(SEARCH("Party Name:-",'R.M Billets Reports'!D26)),TRIM('R.M Billets Reports'!F26),IF(ISNUMBER(SEARCH("Party Name-",'R.M Billets Reports'!D26)),TRIM(MID('R.M Billets Reports'!D26,SEARCH("-",'R.M Billets Reports'!D26)+1,200)),"")),IF(ISNUMBER(SEARCH("Party Name:-",'R.M Billets Reports'!D27)),TRIM('R.M Billets Reports'!F27),IF(ISNUMBER(SEARCH("Party Name-",'R.M Billets Reports'!D27)),TRIM(MID('R.M Billets Reports'!D27,SEARCH("-",'R.M Billets Reports'!D27)+1,200)),"")))))),IF(ROW()=2,"",A26))</f>
      </c>
      <c r="B27">
        <f>IF(OR('R.M Billets Reports'!A26="Date-",'R.M Billets Reports'!A26="Date:-"),'R.M Billets Reports'!B26,IF(ROW()=2,"",B26))</f>
      </c>
      <c r="C27">
        <f>IF('R.M Billets Reports'!A26="V.No.",'R.M Billets Reports'!B26,IF(ROW()=2,"",C26))</f>
      </c>
      <c r="D27">
        <f>IF('R.M Billets Reports'!A26&lt;&gt;"",'R.M Billets Reports'!A26,IF(ROW()=2,"",D26))</f>
      </c>
      <c r="E27">
        <f>IF('R.M Billets Reports'!B26="","",TRIM('R.M Billets Reports'!B26))</f>
      </c>
      <c r="F27">
        <f>'R.M Billets Reports'!C26</f>
      </c>
      <c r="G27">
        <f>'R.M Billets Reports'!D26</f>
      </c>
      <c r="H27">
        <f>'R.M Billets Reports'!E26</f>
      </c>
      <c r="I27">
        <f>'R.M Billets Reports'!F26</f>
      </c>
      <c r="J27">
        <f>'R.M Billets Reports'!G26</f>
      </c>
      <c r="K27">
        <f>'R.M Billets Reports'!H26</f>
      </c>
      <c r="L27">
        <f>IF('R.M Billets Reports'!I26="","",'R.M Billets Reports'!I26)</f>
      </c>
      <c r="M27">
        <f t="shared" si="0"/>
      </c>
      <c r="N27">
        <f>IF('R.M Billets Reports'!J26="","",'R.M Billets Reports'!J26)</f>
      </c>
      <c r="O27">
        <f t="shared" si="1"/>
      </c>
      <c r="P27">
        <f>IF('R.M Billets Reports'!A26="SIZE",'R.M Billets Reports'!B26,P26)</f>
      </c>
    </row>
    <row r="28" spans="1:16" x14ac:dyDescent="0.25">
      <c r="A28">
        <f>IF(OR('R.M Billets Reports'!A27="Date-",'R.M Billets Reports'!A27="Date:-"),IF(IF(IF(ISNUMBER(SEARCH("Party Name:-",'R.M Billets Reports'!D27)),TRIM('R.M Billets Reports'!F27),IF(ISNUMBER(SEARCH("Party Name-",'R.M Billets Reports'!D27)),TRIM(MID('R.M Billets Reports'!D27,SEARCH("-",'R.M Billets Reports'!D27)+1,200)),""))&lt;&gt;"",IF(ISNUMBER(SEARCH("Party Name:-",'R.M Billets Reports'!D27)),TRIM('R.M Billets Reports'!F27),IF(ISNUMBER(SEARCH("Party Name-",'R.M Billets Reports'!D27)),TRIM(MID('R.M Billets Reports'!D27,SEARCH("-",'R.M Billets Reports'!D27)+1,200)),"")),IF(ISNUMBER(SEARCH("Party Name:-",'R.M Billets Reports'!D28)),TRIM('R.M Billets Reports'!F28),IF(ISNUMBER(SEARCH("Party Name-",'R.M Billets Reports'!D28)),TRIM(MID('R.M Billets Reports'!D28,SEARCH("-",'R.M Billets Reports'!D28)+1,200)),"")))="VRKP ISPAT PVT LTD","VRKP",IF(IF(IF(ISNUMBER(SEARCH("Party Name:-",'R.M Billets Reports'!D27)),TRIM('R.M Billets Reports'!F27),IF(ISNUMBER(SEARCH("Party Name-",'R.M Billets Reports'!D27)),TRIM(MID('R.M Billets Reports'!D27,SEARCH("-",'R.M Billets Reports'!D27)+1,200)),""))&lt;&gt;"",IF(ISNUMBER(SEARCH("Party Name:-",'R.M Billets Reports'!D27)),TRIM('R.M Billets Reports'!F27),IF(ISNUMBER(SEARCH("Party Name-",'R.M Billets Reports'!D27)),TRIM(MID('R.M Billets Reports'!D27,SEARCH("-",'R.M Billets Reports'!D27)+1,200)),"")),IF(ISNUMBER(SEARCH("Party Name:-",'R.M Billets Reports'!D28)),TRIM('R.M Billets Reports'!F28),IF(ISNUMBER(SEARCH("Party Name-",'R.M Billets Reports'!D28)),TRIM(MID('R.M Billets Reports'!D28,SEARCH("-",'R.M Billets Reports'!D28)+1,200)),"")))="SHRI RADHE","SHREE RADHE",IF(IF(IF(ISNUMBER(SEARCH("Party Name:-",'R.M Billets Reports'!D27)),TRIM('R.M Billets Reports'!F27),IF(ISNUMBER(SEARCH("Party Name-",'R.M Billets Reports'!D27)),TRIM(MID('R.M Billets Reports'!D27,SEARCH("-",'R.M Billets Reports'!D27)+1,200)),""))&lt;&gt;"",IF(ISNUMBER(SEARCH("Party Name:-",'R.M Billets Reports'!D27)),TRIM('R.M Billets Reports'!F27),IF(ISNUMBER(SEARCH("Party Name-",'R.M Billets Reports'!D27)),TRIM(MID('R.M Billets Reports'!D27,SEARCH("-",'R.M Billets Reports'!D27)+1,200)),"")),IF(ISNUMBER(SEARCH("Party Name:-",'R.M Billets Reports'!D28)),TRIM('R.M Billets Reports'!F28),IF(ISNUMBER(SEARCH("Party Name-",'R.M Billets Reports'!D28)),TRIM(MID('R.M Billets Reports'!D28,SEARCH("-",'R.M Billets Reports'!D28)+1,200)),"")))="SHREE RADHE SHAKTI SPONGE AND POWER PVT. LTD.","SHREE RADHE",IF(IF(ISNUMBER(SEARCH("Party Name:-",'R.M Billets Reports'!D27)),TRIM('R.M Billets Reports'!F27),IF(ISNUMBER(SEARCH("Party Name-",'R.M Billets Reports'!D27)),TRIM(MID('R.M Billets Reports'!D27,SEARCH("-",'R.M Billets Reports'!D27)+1,200)),""))&lt;&gt;"",IF(ISNUMBER(SEARCH("Party Name:-",'R.M Billets Reports'!D27)),TRIM('R.M Billets Reports'!F27),IF(ISNUMBER(SEARCH("Party Name-",'R.M Billets Reports'!D27)),TRIM(MID('R.M Billets Reports'!D27,SEARCH("-",'R.M Billets Reports'!D27)+1,200)),"")),IF(ISNUMBER(SEARCH("Party Name:-",'R.M Billets Reports'!D28)),TRIM('R.M Billets Reports'!F28),IF(ISNUMBER(SEARCH("Party Name-",'R.M Billets Reports'!D28)),TRIM(MID('R.M Billets Reports'!D28,SEARCH("-",'R.M Billets Reports'!D28)+1,200)),"")))))),IF(ROW()=2,"",A27))</f>
      </c>
      <c r="B28">
        <f>IF(OR('R.M Billets Reports'!A27="Date-",'R.M Billets Reports'!A27="Date:-"),'R.M Billets Reports'!B27,IF(ROW()=2,"",B27))</f>
      </c>
      <c r="C28">
        <f>IF('R.M Billets Reports'!A27="V.No.",'R.M Billets Reports'!B27,IF(ROW()=2,"",C27))</f>
      </c>
      <c r="D28">
        <f>IF('R.M Billets Reports'!A27&lt;&gt;"",'R.M Billets Reports'!A27,IF(ROW()=2,"",D27))</f>
      </c>
      <c r="E28">
        <f>IF('R.M Billets Reports'!B27="","",TRIM('R.M Billets Reports'!B27))</f>
      </c>
      <c r="F28">
        <f>'R.M Billets Reports'!C27</f>
      </c>
      <c r="G28">
        <f>'R.M Billets Reports'!D27</f>
      </c>
      <c r="H28">
        <f>'R.M Billets Reports'!E27</f>
      </c>
      <c r="I28">
        <f>'R.M Billets Reports'!F27</f>
      </c>
      <c r="J28">
        <f>'R.M Billets Reports'!G27</f>
      </c>
      <c r="K28">
        <f>'R.M Billets Reports'!H27</f>
      </c>
      <c r="L28">
        <f>IF('R.M Billets Reports'!I27="","",'R.M Billets Reports'!I27)</f>
      </c>
      <c r="M28">
        <f t="shared" si="0"/>
      </c>
      <c r="N28">
        <f>IF('R.M Billets Reports'!J27="","",'R.M Billets Reports'!J27)</f>
      </c>
      <c r="O28">
        <f t="shared" si="1"/>
      </c>
      <c r="P28">
        <f>IF('R.M Billets Reports'!A27="SIZE",'R.M Billets Reports'!B27,P27)</f>
      </c>
    </row>
    <row r="29" spans="1:16" x14ac:dyDescent="0.25">
      <c r="A29">
        <f>IF(OR('R.M Billets Reports'!A28="Date-",'R.M Billets Reports'!A28="Date:-"),IF(IF(IF(ISNUMBER(SEARCH("Party Name:-",'R.M Billets Reports'!D28)),TRIM('R.M Billets Reports'!F28),IF(ISNUMBER(SEARCH("Party Name-",'R.M Billets Reports'!D28)),TRIM(MID('R.M Billets Reports'!D28,SEARCH("-",'R.M Billets Reports'!D28)+1,200)),""))&lt;&gt;"",IF(ISNUMBER(SEARCH("Party Name:-",'R.M Billets Reports'!D28)),TRIM('R.M Billets Reports'!F28),IF(ISNUMBER(SEARCH("Party Name-",'R.M Billets Reports'!D28)),TRIM(MID('R.M Billets Reports'!D28,SEARCH("-",'R.M Billets Reports'!D28)+1,200)),"")),IF(ISNUMBER(SEARCH("Party Name:-",'R.M Billets Reports'!D29)),TRIM('R.M Billets Reports'!F29),IF(ISNUMBER(SEARCH("Party Name-",'R.M Billets Reports'!D29)),TRIM(MID('R.M Billets Reports'!D29,SEARCH("-",'R.M Billets Reports'!D29)+1,200)),"")))="VRKP ISPAT PVT LTD","VRKP",IF(IF(IF(ISNUMBER(SEARCH("Party Name:-",'R.M Billets Reports'!D28)),TRIM('R.M Billets Reports'!F28),IF(ISNUMBER(SEARCH("Party Name-",'R.M Billets Reports'!D28)),TRIM(MID('R.M Billets Reports'!D28,SEARCH("-",'R.M Billets Reports'!D28)+1,200)),""))&lt;&gt;"",IF(ISNUMBER(SEARCH("Party Name:-",'R.M Billets Reports'!D28)),TRIM('R.M Billets Reports'!F28),IF(ISNUMBER(SEARCH("Party Name-",'R.M Billets Reports'!D28)),TRIM(MID('R.M Billets Reports'!D28,SEARCH("-",'R.M Billets Reports'!D28)+1,200)),"")),IF(ISNUMBER(SEARCH("Party Name:-",'R.M Billets Reports'!D29)),TRIM('R.M Billets Reports'!F29),IF(ISNUMBER(SEARCH("Party Name-",'R.M Billets Reports'!D29)),TRIM(MID('R.M Billets Reports'!D29,SEARCH("-",'R.M Billets Reports'!D29)+1,200)),"")))="SHRI RADHE","SHREE RADHE",IF(IF(IF(ISNUMBER(SEARCH("Party Name:-",'R.M Billets Reports'!D28)),TRIM('R.M Billets Reports'!F28),IF(ISNUMBER(SEARCH("Party Name-",'R.M Billets Reports'!D28)),TRIM(MID('R.M Billets Reports'!D28,SEARCH("-",'R.M Billets Reports'!D28)+1,200)),""))&lt;&gt;"",IF(ISNUMBER(SEARCH("Party Name:-",'R.M Billets Reports'!D28)),TRIM('R.M Billets Reports'!F28),IF(ISNUMBER(SEARCH("Party Name-",'R.M Billets Reports'!D28)),TRIM(MID('R.M Billets Reports'!D28,SEARCH("-",'R.M Billets Reports'!D28)+1,200)),"")),IF(ISNUMBER(SEARCH("Party Name:-",'R.M Billets Reports'!D29)),TRIM('R.M Billets Reports'!F29),IF(ISNUMBER(SEARCH("Party Name-",'R.M Billets Reports'!D29)),TRIM(MID('R.M Billets Reports'!D29,SEARCH("-",'R.M Billets Reports'!D29)+1,200)),"")))="SHREE RADHE SHAKTI SPONGE AND POWER PVT. LTD.","SHREE RADHE",IF(IF(ISNUMBER(SEARCH("Party Name:-",'R.M Billets Reports'!D28)),TRIM('R.M Billets Reports'!F28),IF(ISNUMBER(SEARCH("Party Name-",'R.M Billets Reports'!D28)),TRIM(MID('R.M Billets Reports'!D28,SEARCH("-",'R.M Billets Reports'!D28)+1,200)),""))&lt;&gt;"",IF(ISNUMBER(SEARCH("Party Name:-",'R.M Billets Reports'!D28)),TRIM('R.M Billets Reports'!F28),IF(ISNUMBER(SEARCH("Party Name-",'R.M Billets Reports'!D28)),TRIM(MID('R.M Billets Reports'!D28,SEARCH("-",'R.M Billets Reports'!D28)+1,200)),"")),IF(ISNUMBER(SEARCH("Party Name:-",'R.M Billets Reports'!D29)),TRIM('R.M Billets Reports'!F29),IF(ISNUMBER(SEARCH("Party Name-",'R.M Billets Reports'!D29)),TRIM(MID('R.M Billets Reports'!D29,SEARCH("-",'R.M Billets Reports'!D29)+1,200)),"")))))),IF(ROW()=2,"",A28))</f>
      </c>
      <c r="B29">
        <f>IF(OR('R.M Billets Reports'!A28="Date-",'R.M Billets Reports'!A28="Date:-"),'R.M Billets Reports'!B28,IF(ROW()=2,"",B28))</f>
      </c>
      <c r="C29">
        <f>IF('R.M Billets Reports'!A28="V.No.",'R.M Billets Reports'!B28,IF(ROW()=2,"",C28))</f>
      </c>
      <c r="D29">
        <f>IF('R.M Billets Reports'!A28&lt;&gt;"",'R.M Billets Reports'!A28,IF(ROW()=2,"",D28))</f>
      </c>
      <c r="E29">
        <f>IF('R.M Billets Reports'!B28="","",TRIM('R.M Billets Reports'!B28))</f>
      </c>
      <c r="F29">
        <f>'R.M Billets Reports'!C28</f>
      </c>
      <c r="G29">
        <f>'R.M Billets Reports'!D28</f>
      </c>
      <c r="H29">
        <f>'R.M Billets Reports'!E28</f>
      </c>
      <c r="I29">
        <f>'R.M Billets Reports'!F28</f>
      </c>
      <c r="J29">
        <f>'R.M Billets Reports'!G28</f>
      </c>
      <c r="K29">
        <f>'R.M Billets Reports'!H28</f>
      </c>
      <c r="L29">
        <f>IF('R.M Billets Reports'!I28="","",'R.M Billets Reports'!I28)</f>
      </c>
      <c r="M29">
        <f t="shared" si="0"/>
      </c>
      <c r="N29">
        <f>IF('R.M Billets Reports'!J28="","",'R.M Billets Reports'!J28)</f>
      </c>
      <c r="O29">
        <f t="shared" si="1"/>
      </c>
      <c r="P29">
        <f>IF('R.M Billets Reports'!A28="SIZE",'R.M Billets Reports'!B28,P28)</f>
      </c>
    </row>
    <row r="30" spans="1:16" x14ac:dyDescent="0.25">
      <c r="A30">
        <f>IF(OR('R.M Billets Reports'!A29="Date-",'R.M Billets Reports'!A29="Date:-"),IF(IF(IF(ISNUMBER(SEARCH("Party Name:-",'R.M Billets Reports'!D29)),TRIM('R.M Billets Reports'!F29),IF(ISNUMBER(SEARCH("Party Name-",'R.M Billets Reports'!D29)),TRIM(MID('R.M Billets Reports'!D29,SEARCH("-",'R.M Billets Reports'!D29)+1,200)),""))&lt;&gt;"",IF(ISNUMBER(SEARCH("Party Name:-",'R.M Billets Reports'!D29)),TRIM('R.M Billets Reports'!F29),IF(ISNUMBER(SEARCH("Party Name-",'R.M Billets Reports'!D29)),TRIM(MID('R.M Billets Reports'!D29,SEARCH("-",'R.M Billets Reports'!D29)+1,200)),"")),IF(ISNUMBER(SEARCH("Party Name:-",'R.M Billets Reports'!D30)),TRIM('R.M Billets Reports'!F30),IF(ISNUMBER(SEARCH("Party Name-",'R.M Billets Reports'!D30)),TRIM(MID('R.M Billets Reports'!D30,SEARCH("-",'R.M Billets Reports'!D30)+1,200)),"")))="VRKP ISPAT PVT LTD","VRKP",IF(IF(IF(ISNUMBER(SEARCH("Party Name:-",'R.M Billets Reports'!D29)),TRIM('R.M Billets Reports'!F29),IF(ISNUMBER(SEARCH("Party Name-",'R.M Billets Reports'!D29)),TRIM(MID('R.M Billets Reports'!D29,SEARCH("-",'R.M Billets Reports'!D29)+1,200)),""))&lt;&gt;"",IF(ISNUMBER(SEARCH("Party Name:-",'R.M Billets Reports'!D29)),TRIM('R.M Billets Reports'!F29),IF(ISNUMBER(SEARCH("Party Name-",'R.M Billets Reports'!D29)),TRIM(MID('R.M Billets Reports'!D29,SEARCH("-",'R.M Billets Reports'!D29)+1,200)),"")),IF(ISNUMBER(SEARCH("Party Name:-",'R.M Billets Reports'!D30)),TRIM('R.M Billets Reports'!F30),IF(ISNUMBER(SEARCH("Party Name-",'R.M Billets Reports'!D30)),TRIM(MID('R.M Billets Reports'!D30,SEARCH("-",'R.M Billets Reports'!D30)+1,200)),"")))="SHRI RADHE","SHREE RADHE",IF(IF(IF(ISNUMBER(SEARCH("Party Name:-",'R.M Billets Reports'!D29)),TRIM('R.M Billets Reports'!F29),IF(ISNUMBER(SEARCH("Party Name-",'R.M Billets Reports'!D29)),TRIM(MID('R.M Billets Reports'!D29,SEARCH("-",'R.M Billets Reports'!D29)+1,200)),""))&lt;&gt;"",IF(ISNUMBER(SEARCH("Party Name:-",'R.M Billets Reports'!D29)),TRIM('R.M Billets Reports'!F29),IF(ISNUMBER(SEARCH("Party Name-",'R.M Billets Reports'!D29)),TRIM(MID('R.M Billets Reports'!D29,SEARCH("-",'R.M Billets Reports'!D29)+1,200)),"")),IF(ISNUMBER(SEARCH("Party Name:-",'R.M Billets Reports'!D30)),TRIM('R.M Billets Reports'!F30),IF(ISNUMBER(SEARCH("Party Name-",'R.M Billets Reports'!D30)),TRIM(MID('R.M Billets Reports'!D30,SEARCH("-",'R.M Billets Reports'!D30)+1,200)),"")))="SHREE RADHE SHAKTI SPONGE AND POWER PVT. LTD.","SHREE RADHE",IF(IF(ISNUMBER(SEARCH("Party Name:-",'R.M Billets Reports'!D29)),TRIM('R.M Billets Reports'!F29),IF(ISNUMBER(SEARCH("Party Name-",'R.M Billets Reports'!D29)),TRIM(MID('R.M Billets Reports'!D29,SEARCH("-",'R.M Billets Reports'!D29)+1,200)),""))&lt;&gt;"",IF(ISNUMBER(SEARCH("Party Name:-",'R.M Billets Reports'!D29)),TRIM('R.M Billets Reports'!F29),IF(ISNUMBER(SEARCH("Party Name-",'R.M Billets Reports'!D29)),TRIM(MID('R.M Billets Reports'!D29,SEARCH("-",'R.M Billets Reports'!D29)+1,200)),"")),IF(ISNUMBER(SEARCH("Party Name:-",'R.M Billets Reports'!D30)),TRIM('R.M Billets Reports'!F30),IF(ISNUMBER(SEARCH("Party Name-",'R.M Billets Reports'!D30)),TRIM(MID('R.M Billets Reports'!D30,SEARCH("-",'R.M Billets Reports'!D30)+1,200)),"")))))),IF(ROW()=2,"",A29))</f>
      </c>
      <c r="B30">
        <f>IF(OR('R.M Billets Reports'!A29="Date-",'R.M Billets Reports'!A29="Date:-"),'R.M Billets Reports'!B29,IF(ROW()=2,"",B29))</f>
      </c>
      <c r="C30">
        <f>IF('R.M Billets Reports'!A29="V.No.",'R.M Billets Reports'!B29,IF(ROW()=2,"",C29))</f>
      </c>
      <c r="D30">
        <f>IF('R.M Billets Reports'!A29&lt;&gt;"",'R.M Billets Reports'!A29,IF(ROW()=2,"",D29))</f>
      </c>
      <c r="E30">
        <f>IF('R.M Billets Reports'!B29="","",TRIM('R.M Billets Reports'!B29))</f>
      </c>
      <c r="F30">
        <f>'R.M Billets Reports'!C29</f>
      </c>
      <c r="G30">
        <f>'R.M Billets Reports'!D29</f>
      </c>
      <c r="H30">
        <f>'R.M Billets Reports'!E29</f>
      </c>
      <c r="I30">
        <f>'R.M Billets Reports'!F29</f>
      </c>
      <c r="J30">
        <f>'R.M Billets Reports'!G29</f>
      </c>
      <c r="K30">
        <f>'R.M Billets Reports'!H29</f>
      </c>
      <c r="L30">
        <f>IF('R.M Billets Reports'!I29="","",'R.M Billets Reports'!I29)</f>
      </c>
      <c r="M30">
        <f t="shared" si="0"/>
      </c>
      <c r="N30">
        <f>IF('R.M Billets Reports'!J29="","",'R.M Billets Reports'!J29)</f>
      </c>
      <c r="O30">
        <f t="shared" si="1"/>
      </c>
      <c r="P30">
        <f>IF('R.M Billets Reports'!A29="SIZE",'R.M Billets Reports'!B29,P29)</f>
      </c>
    </row>
    <row r="31" spans="1:16" x14ac:dyDescent="0.25">
      <c r="A31">
        <f>IF(OR('R.M Billets Reports'!A30="Date-",'R.M Billets Reports'!A30="Date:-"),IF(IF(IF(ISNUMBER(SEARCH("Party Name:-",'R.M Billets Reports'!D30)),TRIM('R.M Billets Reports'!F30),IF(ISNUMBER(SEARCH("Party Name-",'R.M Billets Reports'!D30)),TRIM(MID('R.M Billets Reports'!D30,SEARCH("-",'R.M Billets Reports'!D30)+1,200)),""))&lt;&gt;"",IF(ISNUMBER(SEARCH("Party Name:-",'R.M Billets Reports'!D30)),TRIM('R.M Billets Reports'!F30),IF(ISNUMBER(SEARCH("Party Name-",'R.M Billets Reports'!D30)),TRIM(MID('R.M Billets Reports'!D30,SEARCH("-",'R.M Billets Reports'!D30)+1,200)),"")),IF(ISNUMBER(SEARCH("Party Name:-",'R.M Billets Reports'!D31)),TRIM('R.M Billets Reports'!F31),IF(ISNUMBER(SEARCH("Party Name-",'R.M Billets Reports'!D31)),TRIM(MID('R.M Billets Reports'!D31,SEARCH("-",'R.M Billets Reports'!D31)+1,200)),"")))="VRKP ISPAT PVT LTD","VRKP",IF(IF(IF(ISNUMBER(SEARCH("Party Name:-",'R.M Billets Reports'!D30)),TRIM('R.M Billets Reports'!F30),IF(ISNUMBER(SEARCH("Party Name-",'R.M Billets Reports'!D30)),TRIM(MID('R.M Billets Reports'!D30,SEARCH("-",'R.M Billets Reports'!D30)+1,200)),""))&lt;&gt;"",IF(ISNUMBER(SEARCH("Party Name:-",'R.M Billets Reports'!D30)),TRIM('R.M Billets Reports'!F30),IF(ISNUMBER(SEARCH("Party Name-",'R.M Billets Reports'!D30)),TRIM(MID('R.M Billets Reports'!D30,SEARCH("-",'R.M Billets Reports'!D30)+1,200)),"")),IF(ISNUMBER(SEARCH("Party Name:-",'R.M Billets Reports'!D31)),TRIM('R.M Billets Reports'!F31),IF(ISNUMBER(SEARCH("Party Name-",'R.M Billets Reports'!D31)),TRIM(MID('R.M Billets Reports'!D31,SEARCH("-",'R.M Billets Reports'!D31)+1,200)),"")))="SHRI RADHE","SHREE RADHE",IF(IF(IF(ISNUMBER(SEARCH("Party Name:-",'R.M Billets Reports'!D30)),TRIM('R.M Billets Reports'!F30),IF(ISNUMBER(SEARCH("Party Name-",'R.M Billets Reports'!D30)),TRIM(MID('R.M Billets Reports'!D30,SEARCH("-",'R.M Billets Reports'!D30)+1,200)),""))&lt;&gt;"",IF(ISNUMBER(SEARCH("Party Name:-",'R.M Billets Reports'!D30)),TRIM('R.M Billets Reports'!F30),IF(ISNUMBER(SEARCH("Party Name-",'R.M Billets Reports'!D30)),TRIM(MID('R.M Billets Reports'!D30,SEARCH("-",'R.M Billets Reports'!D30)+1,200)),"")),IF(ISNUMBER(SEARCH("Party Name:-",'R.M Billets Reports'!D31)),TRIM('R.M Billets Reports'!F31),IF(ISNUMBER(SEARCH("Party Name-",'R.M Billets Reports'!D31)),TRIM(MID('R.M Billets Reports'!D31,SEARCH("-",'R.M Billets Reports'!D31)+1,200)),"")))="SHREE RADHE SHAKTI SPONGE AND POWER PVT. LTD.","SHREE RADHE",IF(IF(ISNUMBER(SEARCH("Party Name:-",'R.M Billets Reports'!D30)),TRIM('R.M Billets Reports'!F30),IF(ISNUMBER(SEARCH("Party Name-",'R.M Billets Reports'!D30)),TRIM(MID('R.M Billets Reports'!D30,SEARCH("-",'R.M Billets Reports'!D30)+1,200)),""))&lt;&gt;"",IF(ISNUMBER(SEARCH("Party Name:-",'R.M Billets Reports'!D30)),TRIM('R.M Billets Reports'!F30),IF(ISNUMBER(SEARCH("Party Name-",'R.M Billets Reports'!D30)),TRIM(MID('R.M Billets Reports'!D30,SEARCH("-",'R.M Billets Reports'!D30)+1,200)),"")),IF(ISNUMBER(SEARCH("Party Name:-",'R.M Billets Reports'!D31)),TRIM('R.M Billets Reports'!F31),IF(ISNUMBER(SEARCH("Party Name-",'R.M Billets Reports'!D31)),TRIM(MID('R.M Billets Reports'!D31,SEARCH("-",'R.M Billets Reports'!D31)+1,200)),"")))))),IF(ROW()=2,"",A30))</f>
      </c>
      <c r="B31">
        <f>IF(OR('R.M Billets Reports'!A30="Date-",'R.M Billets Reports'!A30="Date:-"),'R.M Billets Reports'!B30,IF(ROW()=2,"",B30))</f>
      </c>
      <c r="C31">
        <f>IF('R.M Billets Reports'!A30="V.No.",'R.M Billets Reports'!B30,IF(ROW()=2,"",C30))</f>
      </c>
      <c r="D31">
        <f>IF('R.M Billets Reports'!A30&lt;&gt;"",'R.M Billets Reports'!A30,IF(ROW()=2,"",D30))</f>
      </c>
      <c r="E31">
        <f>IF('R.M Billets Reports'!B30="","",TRIM('R.M Billets Reports'!B30))</f>
      </c>
      <c r="F31">
        <f>'R.M Billets Reports'!C30</f>
      </c>
      <c r="G31">
        <f>'R.M Billets Reports'!D30</f>
      </c>
      <c r="H31">
        <f>'R.M Billets Reports'!E30</f>
      </c>
      <c r="I31">
        <f>'R.M Billets Reports'!F30</f>
      </c>
      <c r="J31">
        <f>'R.M Billets Reports'!G30</f>
      </c>
      <c r="K31">
        <f>'R.M Billets Reports'!H30</f>
      </c>
      <c r="L31">
        <f>IF('R.M Billets Reports'!I30="","",'R.M Billets Reports'!I30)</f>
      </c>
      <c r="M31">
        <f t="shared" si="0"/>
      </c>
      <c r="N31">
        <f>IF('R.M Billets Reports'!J30="","",'R.M Billets Reports'!J30)</f>
      </c>
      <c r="O31">
        <f t="shared" si="1"/>
      </c>
      <c r="P31">
        <f>IF('R.M Billets Reports'!A30="SIZE",'R.M Billets Reports'!B30,P30)</f>
      </c>
    </row>
    <row r="32" spans="1:16" x14ac:dyDescent="0.25">
      <c r="A32">
        <f>IF(OR('R.M Billets Reports'!A31="Date-",'R.M Billets Reports'!A31="Date:-"),IF(IF(IF(ISNUMBER(SEARCH("Party Name:-",'R.M Billets Reports'!D31)),TRIM('R.M Billets Reports'!F31),IF(ISNUMBER(SEARCH("Party Name-",'R.M Billets Reports'!D31)),TRIM(MID('R.M Billets Reports'!D31,SEARCH("-",'R.M Billets Reports'!D31)+1,200)),""))&lt;&gt;"",IF(ISNUMBER(SEARCH("Party Name:-",'R.M Billets Reports'!D31)),TRIM('R.M Billets Reports'!F31),IF(ISNUMBER(SEARCH("Party Name-",'R.M Billets Reports'!D31)),TRIM(MID('R.M Billets Reports'!D31,SEARCH("-",'R.M Billets Reports'!D31)+1,200)),"")),IF(ISNUMBER(SEARCH("Party Name:-",'R.M Billets Reports'!D32)),TRIM('R.M Billets Reports'!F32),IF(ISNUMBER(SEARCH("Party Name-",'R.M Billets Reports'!D32)),TRIM(MID('R.M Billets Reports'!D32,SEARCH("-",'R.M Billets Reports'!D32)+1,200)),"")))="VRKP ISPAT PVT LTD","VRKP",IF(IF(IF(ISNUMBER(SEARCH("Party Name:-",'R.M Billets Reports'!D31)),TRIM('R.M Billets Reports'!F31),IF(ISNUMBER(SEARCH("Party Name-",'R.M Billets Reports'!D31)),TRIM(MID('R.M Billets Reports'!D31,SEARCH("-",'R.M Billets Reports'!D31)+1,200)),""))&lt;&gt;"",IF(ISNUMBER(SEARCH("Party Name:-",'R.M Billets Reports'!D31)),TRIM('R.M Billets Reports'!F31),IF(ISNUMBER(SEARCH("Party Name-",'R.M Billets Reports'!D31)),TRIM(MID('R.M Billets Reports'!D31,SEARCH("-",'R.M Billets Reports'!D31)+1,200)),"")),IF(ISNUMBER(SEARCH("Party Name:-",'R.M Billets Reports'!D32)),TRIM('R.M Billets Reports'!F32),IF(ISNUMBER(SEARCH("Party Name-",'R.M Billets Reports'!D32)),TRIM(MID('R.M Billets Reports'!D32,SEARCH("-",'R.M Billets Reports'!D32)+1,200)),"")))="SHRI RADHE","SHREE RADHE",IF(IF(IF(ISNUMBER(SEARCH("Party Name:-",'R.M Billets Reports'!D31)),TRIM('R.M Billets Reports'!F31),IF(ISNUMBER(SEARCH("Party Name-",'R.M Billets Reports'!D31)),TRIM(MID('R.M Billets Reports'!D31,SEARCH("-",'R.M Billets Reports'!D31)+1,200)),""))&lt;&gt;"",IF(ISNUMBER(SEARCH("Party Name:-",'R.M Billets Reports'!D31)),TRIM('R.M Billets Reports'!F31),IF(ISNUMBER(SEARCH("Party Name-",'R.M Billets Reports'!D31)),TRIM(MID('R.M Billets Reports'!D31,SEARCH("-",'R.M Billets Reports'!D31)+1,200)),"")),IF(ISNUMBER(SEARCH("Party Name:-",'R.M Billets Reports'!D32)),TRIM('R.M Billets Reports'!F32),IF(ISNUMBER(SEARCH("Party Name-",'R.M Billets Reports'!D32)),TRIM(MID('R.M Billets Reports'!D32,SEARCH("-",'R.M Billets Reports'!D32)+1,200)),"")))="SHREE RADHE SHAKTI SPONGE AND POWER PVT. LTD.","SHREE RADHE",IF(IF(ISNUMBER(SEARCH("Party Name:-",'R.M Billets Reports'!D31)),TRIM('R.M Billets Reports'!F31),IF(ISNUMBER(SEARCH("Party Name-",'R.M Billets Reports'!D31)),TRIM(MID('R.M Billets Reports'!D31,SEARCH("-",'R.M Billets Reports'!D31)+1,200)),""))&lt;&gt;"",IF(ISNUMBER(SEARCH("Party Name:-",'R.M Billets Reports'!D31)),TRIM('R.M Billets Reports'!F31),IF(ISNUMBER(SEARCH("Party Name-",'R.M Billets Reports'!D31)),TRIM(MID('R.M Billets Reports'!D31,SEARCH("-",'R.M Billets Reports'!D31)+1,200)),"")),IF(ISNUMBER(SEARCH("Party Name:-",'R.M Billets Reports'!D32)),TRIM('R.M Billets Reports'!F32),IF(ISNUMBER(SEARCH("Party Name-",'R.M Billets Reports'!D32)),TRIM(MID('R.M Billets Reports'!D32,SEARCH("-",'R.M Billets Reports'!D32)+1,200)),"")))))),IF(ROW()=2,"",A31))</f>
      </c>
      <c r="B32">
        <f>IF(OR('R.M Billets Reports'!A31="Date-",'R.M Billets Reports'!A31="Date:-"),'R.M Billets Reports'!B31,IF(ROW()=2,"",B31))</f>
      </c>
      <c r="C32">
        <f>IF('R.M Billets Reports'!A31="V.No.",'R.M Billets Reports'!B31,IF(ROW()=2,"",C31))</f>
      </c>
      <c r="D32">
        <f>IF('R.M Billets Reports'!A31&lt;&gt;"",'R.M Billets Reports'!A31,IF(ROW()=2,"",D31))</f>
      </c>
      <c r="E32">
        <f>IF('R.M Billets Reports'!B31="","",TRIM('R.M Billets Reports'!B31))</f>
      </c>
      <c r="F32">
        <f>'R.M Billets Reports'!C31</f>
      </c>
      <c r="G32">
        <f>'R.M Billets Reports'!D31</f>
      </c>
      <c r="H32">
        <f>'R.M Billets Reports'!E31</f>
      </c>
      <c r="I32">
        <f>'R.M Billets Reports'!F31</f>
      </c>
      <c r="J32">
        <f>'R.M Billets Reports'!G31</f>
      </c>
      <c r="K32">
        <f>'R.M Billets Reports'!H31</f>
      </c>
      <c r="L32">
        <f>IF('R.M Billets Reports'!I31="","",'R.M Billets Reports'!I31)</f>
      </c>
      <c r="M32">
        <f t="shared" si="0"/>
      </c>
      <c r="N32">
        <f>IF('R.M Billets Reports'!J31="","",'R.M Billets Reports'!J31)</f>
      </c>
      <c r="O32">
        <f t="shared" si="1"/>
      </c>
      <c r="P32">
        <f>IF('R.M Billets Reports'!A31="SIZE",'R.M Billets Reports'!B31,P31)</f>
      </c>
    </row>
    <row r="33" spans="1:16" x14ac:dyDescent="0.25">
      <c r="A33">
        <f>IF(OR('R.M Billets Reports'!A32="Date-",'R.M Billets Reports'!A32="Date:-"),IF(IF(IF(ISNUMBER(SEARCH("Party Name:-",'R.M Billets Reports'!D32)),TRIM('R.M Billets Reports'!F32),IF(ISNUMBER(SEARCH("Party Name-",'R.M Billets Reports'!D32)),TRIM(MID('R.M Billets Reports'!D32,SEARCH("-",'R.M Billets Reports'!D32)+1,200)),""))&lt;&gt;"",IF(ISNUMBER(SEARCH("Party Name:-",'R.M Billets Reports'!D32)),TRIM('R.M Billets Reports'!F32),IF(ISNUMBER(SEARCH("Party Name-",'R.M Billets Reports'!D32)),TRIM(MID('R.M Billets Reports'!D32,SEARCH("-",'R.M Billets Reports'!D32)+1,200)),"")),IF(ISNUMBER(SEARCH("Party Name:-",'R.M Billets Reports'!D33)),TRIM('R.M Billets Reports'!F33),IF(ISNUMBER(SEARCH("Party Name-",'R.M Billets Reports'!D33)),TRIM(MID('R.M Billets Reports'!D33,SEARCH("-",'R.M Billets Reports'!D33)+1,200)),"")))="VRKP ISPAT PVT LTD","VRKP",IF(IF(IF(ISNUMBER(SEARCH("Party Name:-",'R.M Billets Reports'!D32)),TRIM('R.M Billets Reports'!F32),IF(ISNUMBER(SEARCH("Party Name-",'R.M Billets Reports'!D32)),TRIM(MID('R.M Billets Reports'!D32,SEARCH("-",'R.M Billets Reports'!D32)+1,200)),""))&lt;&gt;"",IF(ISNUMBER(SEARCH("Party Name:-",'R.M Billets Reports'!D32)),TRIM('R.M Billets Reports'!F32),IF(ISNUMBER(SEARCH("Party Name-",'R.M Billets Reports'!D32)),TRIM(MID('R.M Billets Reports'!D32,SEARCH("-",'R.M Billets Reports'!D32)+1,200)),"")),IF(ISNUMBER(SEARCH("Party Name:-",'R.M Billets Reports'!D33)),TRIM('R.M Billets Reports'!F33),IF(ISNUMBER(SEARCH("Party Name-",'R.M Billets Reports'!D33)),TRIM(MID('R.M Billets Reports'!D33,SEARCH("-",'R.M Billets Reports'!D33)+1,200)),"")))="SHRI RADHE","SHREE RADHE",IF(IF(IF(ISNUMBER(SEARCH("Party Name:-",'R.M Billets Reports'!D32)),TRIM('R.M Billets Reports'!F32),IF(ISNUMBER(SEARCH("Party Name-",'R.M Billets Reports'!D32)),TRIM(MID('R.M Billets Reports'!D32,SEARCH("-",'R.M Billets Reports'!D32)+1,200)),""))&lt;&gt;"",IF(ISNUMBER(SEARCH("Party Name:-",'R.M Billets Reports'!D32)),TRIM('R.M Billets Reports'!F32),IF(ISNUMBER(SEARCH("Party Name-",'R.M Billets Reports'!D32)),TRIM(MID('R.M Billets Reports'!D32,SEARCH("-",'R.M Billets Reports'!D32)+1,200)),"")),IF(ISNUMBER(SEARCH("Party Name:-",'R.M Billets Reports'!D33)),TRIM('R.M Billets Reports'!F33),IF(ISNUMBER(SEARCH("Party Name-",'R.M Billets Reports'!D33)),TRIM(MID('R.M Billets Reports'!D33,SEARCH("-",'R.M Billets Reports'!D33)+1,200)),"")))="SHREE RADHE SHAKTI SPONGE AND POWER PVT. LTD.","SHREE RADHE",IF(IF(ISNUMBER(SEARCH("Party Name:-",'R.M Billets Reports'!D32)),TRIM('R.M Billets Reports'!F32),IF(ISNUMBER(SEARCH("Party Name-",'R.M Billets Reports'!D32)),TRIM(MID('R.M Billets Reports'!D32,SEARCH("-",'R.M Billets Reports'!D32)+1,200)),""))&lt;&gt;"",IF(ISNUMBER(SEARCH("Party Name:-",'R.M Billets Reports'!D32)),TRIM('R.M Billets Reports'!F32),IF(ISNUMBER(SEARCH("Party Name-",'R.M Billets Reports'!D32)),TRIM(MID('R.M Billets Reports'!D32,SEARCH("-",'R.M Billets Reports'!D32)+1,200)),"")),IF(ISNUMBER(SEARCH("Party Name:-",'R.M Billets Reports'!D33)),TRIM('R.M Billets Reports'!F33),IF(ISNUMBER(SEARCH("Party Name-",'R.M Billets Reports'!D33)),TRIM(MID('R.M Billets Reports'!D33,SEARCH("-",'R.M Billets Reports'!D33)+1,200)),"")))))),IF(ROW()=2,"",A32))</f>
      </c>
      <c r="B33">
        <f>IF(OR('R.M Billets Reports'!A32="Date-",'R.M Billets Reports'!A32="Date:-"),'R.M Billets Reports'!B32,IF(ROW()=2,"",B32))</f>
      </c>
      <c r="C33">
        <f>IF('R.M Billets Reports'!A32="V.No.",'R.M Billets Reports'!B32,IF(ROW()=2,"",C32))</f>
      </c>
      <c r="D33">
        <f>IF('R.M Billets Reports'!A32&lt;&gt;"",'R.M Billets Reports'!A32,IF(ROW()=2,"",D32))</f>
      </c>
      <c r="E33">
        <f>IF('R.M Billets Reports'!B32="","",TRIM('R.M Billets Reports'!B32))</f>
      </c>
      <c r="F33">
        <f>'R.M Billets Reports'!C32</f>
      </c>
      <c r="G33">
        <f>'R.M Billets Reports'!D32</f>
      </c>
      <c r="H33">
        <f>'R.M Billets Reports'!E32</f>
      </c>
      <c r="I33">
        <f>'R.M Billets Reports'!F32</f>
      </c>
      <c r="J33">
        <f>'R.M Billets Reports'!G32</f>
      </c>
      <c r="K33">
        <f>'R.M Billets Reports'!H32</f>
      </c>
      <c r="L33">
        <f>IF('R.M Billets Reports'!I32="","",'R.M Billets Reports'!I32)</f>
      </c>
      <c r="M33">
        <f t="shared" si="0"/>
      </c>
      <c r="N33">
        <f>IF('R.M Billets Reports'!J32="","",'R.M Billets Reports'!J32)</f>
      </c>
      <c r="O33">
        <f t="shared" si="1"/>
      </c>
      <c r="P33">
        <f>IF('R.M Billets Reports'!A32="SIZE",'R.M Billets Reports'!B32,P32)</f>
      </c>
    </row>
    <row r="34" spans="1:16" x14ac:dyDescent="0.25">
      <c r="A34">
        <f>IF(OR('R.M Billets Reports'!A33="Date-",'R.M Billets Reports'!A33="Date:-"),IF(IF(IF(ISNUMBER(SEARCH("Party Name:-",'R.M Billets Reports'!D33)),TRIM('R.M Billets Reports'!F33),IF(ISNUMBER(SEARCH("Party Name-",'R.M Billets Reports'!D33)),TRIM(MID('R.M Billets Reports'!D33,SEARCH("-",'R.M Billets Reports'!D33)+1,200)),""))&lt;&gt;"",IF(ISNUMBER(SEARCH("Party Name:-",'R.M Billets Reports'!D33)),TRIM('R.M Billets Reports'!F33),IF(ISNUMBER(SEARCH("Party Name-",'R.M Billets Reports'!D33)),TRIM(MID('R.M Billets Reports'!D33,SEARCH("-",'R.M Billets Reports'!D33)+1,200)),"")),IF(ISNUMBER(SEARCH("Party Name:-",'R.M Billets Reports'!D34)),TRIM('R.M Billets Reports'!F34),IF(ISNUMBER(SEARCH("Party Name-",'R.M Billets Reports'!D34)),TRIM(MID('R.M Billets Reports'!D34,SEARCH("-",'R.M Billets Reports'!D34)+1,200)),"")))="VRKP ISPAT PVT LTD","VRKP",IF(IF(IF(ISNUMBER(SEARCH("Party Name:-",'R.M Billets Reports'!D33)),TRIM('R.M Billets Reports'!F33),IF(ISNUMBER(SEARCH("Party Name-",'R.M Billets Reports'!D33)),TRIM(MID('R.M Billets Reports'!D33,SEARCH("-",'R.M Billets Reports'!D33)+1,200)),""))&lt;&gt;"",IF(ISNUMBER(SEARCH("Party Name:-",'R.M Billets Reports'!D33)),TRIM('R.M Billets Reports'!F33),IF(ISNUMBER(SEARCH("Party Name-",'R.M Billets Reports'!D33)),TRIM(MID('R.M Billets Reports'!D33,SEARCH("-",'R.M Billets Reports'!D33)+1,200)),"")),IF(ISNUMBER(SEARCH("Party Name:-",'R.M Billets Reports'!D34)),TRIM('R.M Billets Reports'!F34),IF(ISNUMBER(SEARCH("Party Name-",'R.M Billets Reports'!D34)),TRIM(MID('R.M Billets Reports'!D34,SEARCH("-",'R.M Billets Reports'!D34)+1,200)),"")))="SHRI RADHE","SHREE RADHE",IF(IF(IF(ISNUMBER(SEARCH("Party Name:-",'R.M Billets Reports'!D33)),TRIM('R.M Billets Reports'!F33),IF(ISNUMBER(SEARCH("Party Name-",'R.M Billets Reports'!D33)),TRIM(MID('R.M Billets Reports'!D33,SEARCH("-",'R.M Billets Reports'!D33)+1,200)),""))&lt;&gt;"",IF(ISNUMBER(SEARCH("Party Name:-",'R.M Billets Reports'!D33)),TRIM('R.M Billets Reports'!F33),IF(ISNUMBER(SEARCH("Party Name-",'R.M Billets Reports'!D33)),TRIM(MID('R.M Billets Reports'!D33,SEARCH("-",'R.M Billets Reports'!D33)+1,200)),"")),IF(ISNUMBER(SEARCH("Party Name:-",'R.M Billets Reports'!D34)),TRIM('R.M Billets Reports'!F34),IF(ISNUMBER(SEARCH("Party Name-",'R.M Billets Reports'!D34)),TRIM(MID('R.M Billets Reports'!D34,SEARCH("-",'R.M Billets Reports'!D34)+1,200)),"")))="SHREE RADHE SHAKTI SPONGE AND POWER PVT. LTD.","SHREE RADHE",IF(IF(ISNUMBER(SEARCH("Party Name:-",'R.M Billets Reports'!D33)),TRIM('R.M Billets Reports'!F33),IF(ISNUMBER(SEARCH("Party Name-",'R.M Billets Reports'!D33)),TRIM(MID('R.M Billets Reports'!D33,SEARCH("-",'R.M Billets Reports'!D33)+1,200)),""))&lt;&gt;"",IF(ISNUMBER(SEARCH("Party Name:-",'R.M Billets Reports'!D33)),TRIM('R.M Billets Reports'!F33),IF(ISNUMBER(SEARCH("Party Name-",'R.M Billets Reports'!D33)),TRIM(MID('R.M Billets Reports'!D33,SEARCH("-",'R.M Billets Reports'!D33)+1,200)),"")),IF(ISNUMBER(SEARCH("Party Name:-",'R.M Billets Reports'!D34)),TRIM('R.M Billets Reports'!F34),IF(ISNUMBER(SEARCH("Party Name-",'R.M Billets Reports'!D34)),TRIM(MID('R.M Billets Reports'!D34,SEARCH("-",'R.M Billets Reports'!D34)+1,200)),"")))))),IF(ROW()=2,"",A33))</f>
      </c>
      <c r="B34">
        <f>IF(OR('R.M Billets Reports'!A33="Date-",'R.M Billets Reports'!A33="Date:-"),'R.M Billets Reports'!B33,IF(ROW()=2,"",B33))</f>
      </c>
      <c r="C34">
        <f>IF('R.M Billets Reports'!A33="V.No.",'R.M Billets Reports'!B33,IF(ROW()=2,"",C33))</f>
      </c>
      <c r="D34">
        <f>IF('R.M Billets Reports'!A33&lt;&gt;"",'R.M Billets Reports'!A33,IF(ROW()=2,"",D33))</f>
      </c>
      <c r="E34">
        <f>IF('R.M Billets Reports'!B33="","",TRIM('R.M Billets Reports'!B33))</f>
      </c>
      <c r="F34">
        <f>'R.M Billets Reports'!C33</f>
      </c>
      <c r="G34">
        <f>'R.M Billets Reports'!D33</f>
      </c>
      <c r="H34">
        <f>'R.M Billets Reports'!E33</f>
      </c>
      <c r="I34">
        <f>'R.M Billets Reports'!F33</f>
      </c>
      <c r="J34">
        <f>'R.M Billets Reports'!G33</f>
      </c>
      <c r="K34">
        <f>'R.M Billets Reports'!H33</f>
      </c>
      <c r="L34">
        <f>IF('R.M Billets Reports'!I33="","",'R.M Billets Reports'!I33)</f>
      </c>
      <c r="M34">
        <f t="shared" si="0"/>
      </c>
      <c r="N34">
        <f>IF('R.M Billets Reports'!J33="","",'R.M Billets Reports'!J33)</f>
      </c>
      <c r="O34">
        <f t="shared" si="1"/>
      </c>
      <c r="P34">
        <f>IF('R.M Billets Reports'!A33="SIZE",'R.M Billets Reports'!B33,P33)</f>
      </c>
    </row>
    <row r="35" spans="1:16" x14ac:dyDescent="0.25">
      <c r="A35">
        <f>IF(OR('R.M Billets Reports'!A34="Date-",'R.M Billets Reports'!A34="Date:-"),IF(IF(IF(ISNUMBER(SEARCH("Party Name:-",'R.M Billets Reports'!D34)),TRIM('R.M Billets Reports'!F34),IF(ISNUMBER(SEARCH("Party Name-",'R.M Billets Reports'!D34)),TRIM(MID('R.M Billets Reports'!D34,SEARCH("-",'R.M Billets Reports'!D34)+1,200)),""))&lt;&gt;"",IF(ISNUMBER(SEARCH("Party Name:-",'R.M Billets Reports'!D34)),TRIM('R.M Billets Reports'!F34),IF(ISNUMBER(SEARCH("Party Name-",'R.M Billets Reports'!D34)),TRIM(MID('R.M Billets Reports'!D34,SEARCH("-",'R.M Billets Reports'!D34)+1,200)),"")),IF(ISNUMBER(SEARCH("Party Name:-",'R.M Billets Reports'!D35)),TRIM('R.M Billets Reports'!F35),IF(ISNUMBER(SEARCH("Party Name-",'R.M Billets Reports'!D35)),TRIM(MID('R.M Billets Reports'!D35,SEARCH("-",'R.M Billets Reports'!D35)+1,200)),"")))="VRKP ISPAT PVT LTD","VRKP",IF(IF(IF(ISNUMBER(SEARCH("Party Name:-",'R.M Billets Reports'!D34)),TRIM('R.M Billets Reports'!F34),IF(ISNUMBER(SEARCH("Party Name-",'R.M Billets Reports'!D34)),TRIM(MID('R.M Billets Reports'!D34,SEARCH("-",'R.M Billets Reports'!D34)+1,200)),""))&lt;&gt;"",IF(ISNUMBER(SEARCH("Party Name:-",'R.M Billets Reports'!D34)),TRIM('R.M Billets Reports'!F34),IF(ISNUMBER(SEARCH("Party Name-",'R.M Billets Reports'!D34)),TRIM(MID('R.M Billets Reports'!D34,SEARCH("-",'R.M Billets Reports'!D34)+1,200)),"")),IF(ISNUMBER(SEARCH("Party Name:-",'R.M Billets Reports'!D35)),TRIM('R.M Billets Reports'!F35),IF(ISNUMBER(SEARCH("Party Name-",'R.M Billets Reports'!D35)),TRIM(MID('R.M Billets Reports'!D35,SEARCH("-",'R.M Billets Reports'!D35)+1,200)),"")))="SHRI RADHE","SHREE RADHE",IF(IF(IF(ISNUMBER(SEARCH("Party Name:-",'R.M Billets Reports'!D34)),TRIM('R.M Billets Reports'!F34),IF(ISNUMBER(SEARCH("Party Name-",'R.M Billets Reports'!D34)),TRIM(MID('R.M Billets Reports'!D34,SEARCH("-",'R.M Billets Reports'!D34)+1,200)),""))&lt;&gt;"",IF(ISNUMBER(SEARCH("Party Name:-",'R.M Billets Reports'!D34)),TRIM('R.M Billets Reports'!F34),IF(ISNUMBER(SEARCH("Party Name-",'R.M Billets Reports'!D34)),TRIM(MID('R.M Billets Reports'!D34,SEARCH("-",'R.M Billets Reports'!D34)+1,200)),"")),IF(ISNUMBER(SEARCH("Party Name:-",'R.M Billets Reports'!D35)),TRIM('R.M Billets Reports'!F35),IF(ISNUMBER(SEARCH("Party Name-",'R.M Billets Reports'!D35)),TRIM(MID('R.M Billets Reports'!D35,SEARCH("-",'R.M Billets Reports'!D35)+1,200)),"")))="SHREE RADHE SHAKTI SPONGE AND POWER PVT. LTD.","SHREE RADHE",IF(IF(ISNUMBER(SEARCH("Party Name:-",'R.M Billets Reports'!D34)),TRIM('R.M Billets Reports'!F34),IF(ISNUMBER(SEARCH("Party Name-",'R.M Billets Reports'!D34)),TRIM(MID('R.M Billets Reports'!D34,SEARCH("-",'R.M Billets Reports'!D34)+1,200)),""))&lt;&gt;"",IF(ISNUMBER(SEARCH("Party Name:-",'R.M Billets Reports'!D34)),TRIM('R.M Billets Reports'!F34),IF(ISNUMBER(SEARCH("Party Name-",'R.M Billets Reports'!D34)),TRIM(MID('R.M Billets Reports'!D34,SEARCH("-",'R.M Billets Reports'!D34)+1,200)),"")),IF(ISNUMBER(SEARCH("Party Name:-",'R.M Billets Reports'!D35)),TRIM('R.M Billets Reports'!F35),IF(ISNUMBER(SEARCH("Party Name-",'R.M Billets Reports'!D35)),TRIM(MID('R.M Billets Reports'!D35,SEARCH("-",'R.M Billets Reports'!D35)+1,200)),"")))))),IF(ROW()=2,"",A34))</f>
      </c>
      <c r="B35">
        <f>IF(OR('R.M Billets Reports'!A34="Date-",'R.M Billets Reports'!A34="Date:-"),'R.M Billets Reports'!B34,IF(ROW()=2,"",B34))</f>
      </c>
      <c r="C35">
        <f>IF('R.M Billets Reports'!A34="V.No.",'R.M Billets Reports'!B34,IF(ROW()=2,"",C34))</f>
      </c>
      <c r="D35">
        <f>IF('R.M Billets Reports'!A34&lt;&gt;"",'R.M Billets Reports'!A34,IF(ROW()=2,"",D34))</f>
      </c>
      <c r="E35">
        <f>IF('R.M Billets Reports'!B34="","",TRIM('R.M Billets Reports'!B34))</f>
      </c>
      <c r="F35">
        <f>'R.M Billets Reports'!C34</f>
      </c>
      <c r="G35">
        <f>'R.M Billets Reports'!D34</f>
      </c>
      <c r="H35">
        <f>'R.M Billets Reports'!E34</f>
      </c>
      <c r="I35">
        <f>'R.M Billets Reports'!F34</f>
      </c>
      <c r="J35">
        <f>'R.M Billets Reports'!G34</f>
      </c>
      <c r="K35">
        <f>'R.M Billets Reports'!H34</f>
      </c>
      <c r="L35">
        <f>IF('R.M Billets Reports'!I34="","",'R.M Billets Reports'!I34)</f>
      </c>
      <c r="M35">
        <f t="shared" si="0"/>
      </c>
      <c r="N35">
        <f>IF('R.M Billets Reports'!J34="","",'R.M Billets Reports'!J34)</f>
      </c>
      <c r="O35">
        <f t="shared" si="1"/>
      </c>
      <c r="P35">
        <f>IF('R.M Billets Reports'!A34="SIZE",'R.M Billets Reports'!B34,P34)</f>
      </c>
    </row>
    <row r="36" spans="1:16" x14ac:dyDescent="0.25">
      <c r="A36">
        <f>IF(OR('R.M Billets Reports'!A35="Date-",'R.M Billets Reports'!A35="Date:-"),IF(IF(IF(ISNUMBER(SEARCH("Party Name:-",'R.M Billets Reports'!D35)),TRIM('R.M Billets Reports'!F35),IF(ISNUMBER(SEARCH("Party Name-",'R.M Billets Reports'!D35)),TRIM(MID('R.M Billets Reports'!D35,SEARCH("-",'R.M Billets Reports'!D35)+1,200)),""))&lt;&gt;"",IF(ISNUMBER(SEARCH("Party Name:-",'R.M Billets Reports'!D35)),TRIM('R.M Billets Reports'!F35),IF(ISNUMBER(SEARCH("Party Name-",'R.M Billets Reports'!D35)),TRIM(MID('R.M Billets Reports'!D35,SEARCH("-",'R.M Billets Reports'!D35)+1,200)),"")),IF(ISNUMBER(SEARCH("Party Name:-",'R.M Billets Reports'!D36)),TRIM('R.M Billets Reports'!F36),IF(ISNUMBER(SEARCH("Party Name-",'R.M Billets Reports'!D36)),TRIM(MID('R.M Billets Reports'!D36,SEARCH("-",'R.M Billets Reports'!D36)+1,200)),"")))="VRKP ISPAT PVT LTD","VRKP",IF(IF(IF(ISNUMBER(SEARCH("Party Name:-",'R.M Billets Reports'!D35)),TRIM('R.M Billets Reports'!F35),IF(ISNUMBER(SEARCH("Party Name-",'R.M Billets Reports'!D35)),TRIM(MID('R.M Billets Reports'!D35,SEARCH("-",'R.M Billets Reports'!D35)+1,200)),""))&lt;&gt;"",IF(ISNUMBER(SEARCH("Party Name:-",'R.M Billets Reports'!D35)),TRIM('R.M Billets Reports'!F35),IF(ISNUMBER(SEARCH("Party Name-",'R.M Billets Reports'!D35)),TRIM(MID('R.M Billets Reports'!D35,SEARCH("-",'R.M Billets Reports'!D35)+1,200)),"")),IF(ISNUMBER(SEARCH("Party Name:-",'R.M Billets Reports'!D36)),TRIM('R.M Billets Reports'!F36),IF(ISNUMBER(SEARCH("Party Name-",'R.M Billets Reports'!D36)),TRIM(MID('R.M Billets Reports'!D36,SEARCH("-",'R.M Billets Reports'!D36)+1,200)),"")))="SHRI RADHE","SHREE RADHE",IF(IF(IF(ISNUMBER(SEARCH("Party Name:-",'R.M Billets Reports'!D35)),TRIM('R.M Billets Reports'!F35),IF(ISNUMBER(SEARCH("Party Name-",'R.M Billets Reports'!D35)),TRIM(MID('R.M Billets Reports'!D35,SEARCH("-",'R.M Billets Reports'!D35)+1,200)),""))&lt;&gt;"",IF(ISNUMBER(SEARCH("Party Name:-",'R.M Billets Reports'!D35)),TRIM('R.M Billets Reports'!F35),IF(ISNUMBER(SEARCH("Party Name-",'R.M Billets Reports'!D35)),TRIM(MID('R.M Billets Reports'!D35,SEARCH("-",'R.M Billets Reports'!D35)+1,200)),"")),IF(ISNUMBER(SEARCH("Party Name:-",'R.M Billets Reports'!D36)),TRIM('R.M Billets Reports'!F36),IF(ISNUMBER(SEARCH("Party Name-",'R.M Billets Reports'!D36)),TRIM(MID('R.M Billets Reports'!D36,SEARCH("-",'R.M Billets Reports'!D36)+1,200)),"")))="SHREE RADHE SHAKTI SPONGE AND POWER PVT. LTD.","SHREE RADHE",IF(IF(ISNUMBER(SEARCH("Party Name:-",'R.M Billets Reports'!D35)),TRIM('R.M Billets Reports'!F35),IF(ISNUMBER(SEARCH("Party Name-",'R.M Billets Reports'!D35)),TRIM(MID('R.M Billets Reports'!D35,SEARCH("-",'R.M Billets Reports'!D35)+1,200)),""))&lt;&gt;"",IF(ISNUMBER(SEARCH("Party Name:-",'R.M Billets Reports'!D35)),TRIM('R.M Billets Reports'!F35),IF(ISNUMBER(SEARCH("Party Name-",'R.M Billets Reports'!D35)),TRIM(MID('R.M Billets Reports'!D35,SEARCH("-",'R.M Billets Reports'!D35)+1,200)),"")),IF(ISNUMBER(SEARCH("Party Name:-",'R.M Billets Reports'!D36)),TRIM('R.M Billets Reports'!F36),IF(ISNUMBER(SEARCH("Party Name-",'R.M Billets Reports'!D36)),TRIM(MID('R.M Billets Reports'!D36,SEARCH("-",'R.M Billets Reports'!D36)+1,200)),"")))))),IF(ROW()=2,"",A35))</f>
      </c>
      <c r="B36">
        <f>IF(OR('R.M Billets Reports'!A35="Date-",'R.M Billets Reports'!A35="Date:-"),'R.M Billets Reports'!B35,IF(ROW()=2,"",B35))</f>
      </c>
      <c r="C36">
        <f>IF('R.M Billets Reports'!A35="V.No.",'R.M Billets Reports'!B35,IF(ROW()=2,"",C35))</f>
      </c>
      <c r="D36">
        <f>IF('R.M Billets Reports'!A35&lt;&gt;"",'R.M Billets Reports'!A35,IF(ROW()=2,"",D35))</f>
      </c>
      <c r="E36">
        <f>IF('R.M Billets Reports'!B35="","",TRIM('R.M Billets Reports'!B35))</f>
      </c>
      <c r="F36">
        <f>'R.M Billets Reports'!C35</f>
      </c>
      <c r="G36">
        <f>'R.M Billets Reports'!D35</f>
      </c>
      <c r="H36">
        <f>'R.M Billets Reports'!E35</f>
      </c>
      <c r="I36">
        <f>'R.M Billets Reports'!F35</f>
      </c>
      <c r="J36">
        <f>'R.M Billets Reports'!G35</f>
      </c>
      <c r="K36">
        <f>'R.M Billets Reports'!H35</f>
      </c>
      <c r="L36">
        <f>IF('R.M Billets Reports'!I35="","",'R.M Billets Reports'!I35)</f>
      </c>
      <c r="M36">
        <f t="shared" si="0"/>
      </c>
      <c r="N36">
        <f>IF('R.M Billets Reports'!J35="","",'R.M Billets Reports'!J35)</f>
      </c>
      <c r="O36">
        <f t="shared" si="1"/>
      </c>
      <c r="P36">
        <f>IF('R.M Billets Reports'!A35="SIZE",'R.M Billets Reports'!B35,P35)</f>
      </c>
    </row>
    <row r="37" spans="1:16" x14ac:dyDescent="0.25">
      <c r="A37">
        <f>IF(OR('R.M Billets Reports'!A36="Date-",'R.M Billets Reports'!A36="Date:-"),IF(IF(IF(ISNUMBER(SEARCH("Party Name:-",'R.M Billets Reports'!D36)),TRIM('R.M Billets Reports'!F36),IF(ISNUMBER(SEARCH("Party Name-",'R.M Billets Reports'!D36)),TRIM(MID('R.M Billets Reports'!D36,SEARCH("-",'R.M Billets Reports'!D36)+1,200)),""))&lt;&gt;"",IF(ISNUMBER(SEARCH("Party Name:-",'R.M Billets Reports'!D36)),TRIM('R.M Billets Reports'!F36),IF(ISNUMBER(SEARCH("Party Name-",'R.M Billets Reports'!D36)),TRIM(MID('R.M Billets Reports'!D36,SEARCH("-",'R.M Billets Reports'!D36)+1,200)),"")),IF(ISNUMBER(SEARCH("Party Name:-",'R.M Billets Reports'!D37)),TRIM('R.M Billets Reports'!F37),IF(ISNUMBER(SEARCH("Party Name-",'R.M Billets Reports'!D37)),TRIM(MID('R.M Billets Reports'!D37,SEARCH("-",'R.M Billets Reports'!D37)+1,200)),"")))="VRKP ISPAT PVT LTD","VRKP",IF(IF(IF(ISNUMBER(SEARCH("Party Name:-",'R.M Billets Reports'!D36)),TRIM('R.M Billets Reports'!F36),IF(ISNUMBER(SEARCH("Party Name-",'R.M Billets Reports'!D36)),TRIM(MID('R.M Billets Reports'!D36,SEARCH("-",'R.M Billets Reports'!D36)+1,200)),""))&lt;&gt;"",IF(ISNUMBER(SEARCH("Party Name:-",'R.M Billets Reports'!D36)),TRIM('R.M Billets Reports'!F36),IF(ISNUMBER(SEARCH("Party Name-",'R.M Billets Reports'!D36)),TRIM(MID('R.M Billets Reports'!D36,SEARCH("-",'R.M Billets Reports'!D36)+1,200)),"")),IF(ISNUMBER(SEARCH("Party Name:-",'R.M Billets Reports'!D37)),TRIM('R.M Billets Reports'!F37),IF(ISNUMBER(SEARCH("Party Name-",'R.M Billets Reports'!D37)),TRIM(MID('R.M Billets Reports'!D37,SEARCH("-",'R.M Billets Reports'!D37)+1,200)),"")))="SHRI RADHE","SHREE RADHE",IF(IF(IF(ISNUMBER(SEARCH("Party Name:-",'R.M Billets Reports'!D36)),TRIM('R.M Billets Reports'!F36),IF(ISNUMBER(SEARCH("Party Name-",'R.M Billets Reports'!D36)),TRIM(MID('R.M Billets Reports'!D36,SEARCH("-",'R.M Billets Reports'!D36)+1,200)),""))&lt;&gt;"",IF(ISNUMBER(SEARCH("Party Name:-",'R.M Billets Reports'!D36)),TRIM('R.M Billets Reports'!F36),IF(ISNUMBER(SEARCH("Party Name-",'R.M Billets Reports'!D36)),TRIM(MID('R.M Billets Reports'!D36,SEARCH("-",'R.M Billets Reports'!D36)+1,200)),"")),IF(ISNUMBER(SEARCH("Party Name:-",'R.M Billets Reports'!D37)),TRIM('R.M Billets Reports'!F37),IF(ISNUMBER(SEARCH("Party Name-",'R.M Billets Reports'!D37)),TRIM(MID('R.M Billets Reports'!D37,SEARCH("-",'R.M Billets Reports'!D37)+1,200)),"")))="SHREE RADHE SHAKTI SPONGE AND POWER PVT. LTD.","SHREE RADHE",IF(IF(ISNUMBER(SEARCH("Party Name:-",'R.M Billets Reports'!D36)),TRIM('R.M Billets Reports'!F36),IF(ISNUMBER(SEARCH("Party Name-",'R.M Billets Reports'!D36)),TRIM(MID('R.M Billets Reports'!D36,SEARCH("-",'R.M Billets Reports'!D36)+1,200)),""))&lt;&gt;"",IF(ISNUMBER(SEARCH("Party Name:-",'R.M Billets Reports'!D36)),TRIM('R.M Billets Reports'!F36),IF(ISNUMBER(SEARCH("Party Name-",'R.M Billets Reports'!D36)),TRIM(MID('R.M Billets Reports'!D36,SEARCH("-",'R.M Billets Reports'!D36)+1,200)),"")),IF(ISNUMBER(SEARCH("Party Name:-",'R.M Billets Reports'!D37)),TRIM('R.M Billets Reports'!F37),IF(ISNUMBER(SEARCH("Party Name-",'R.M Billets Reports'!D37)),TRIM(MID('R.M Billets Reports'!D37,SEARCH("-",'R.M Billets Reports'!D37)+1,200)),"")))))),IF(ROW()=2,"",A36))</f>
      </c>
      <c r="B37">
        <f>IF(OR('R.M Billets Reports'!A36="Date-",'R.M Billets Reports'!A36="Date:-"),'R.M Billets Reports'!B36,IF(ROW()=2,"",B36))</f>
      </c>
      <c r="C37">
        <f>IF('R.M Billets Reports'!A36="V.No.",'R.M Billets Reports'!B36,IF(ROW()=2,"",C36))</f>
      </c>
      <c r="D37">
        <f>IF('R.M Billets Reports'!A36&lt;&gt;"",'R.M Billets Reports'!A36,IF(ROW()=2,"",D36))</f>
      </c>
      <c r="E37">
        <f>IF('R.M Billets Reports'!B36="","",TRIM('R.M Billets Reports'!B36))</f>
      </c>
      <c r="F37">
        <f>'R.M Billets Reports'!C36</f>
      </c>
      <c r="G37">
        <f>'R.M Billets Reports'!D36</f>
      </c>
      <c r="H37">
        <f>'R.M Billets Reports'!E36</f>
      </c>
      <c r="I37">
        <f>'R.M Billets Reports'!F36</f>
      </c>
      <c r="J37">
        <f>'R.M Billets Reports'!G36</f>
      </c>
      <c r="K37">
        <f>'R.M Billets Reports'!H36</f>
      </c>
      <c r="L37">
        <f>IF('R.M Billets Reports'!I36="","",'R.M Billets Reports'!I36)</f>
      </c>
      <c r="M37">
        <f t="shared" si="0"/>
      </c>
      <c r="N37">
        <f>IF('R.M Billets Reports'!J36="","",'R.M Billets Reports'!J36)</f>
      </c>
      <c r="O37">
        <f t="shared" si="1"/>
      </c>
      <c r="P37">
        <f>IF('R.M Billets Reports'!A36="SIZE",'R.M Billets Reports'!B36,P36)</f>
      </c>
    </row>
    <row r="38" spans="1:16" x14ac:dyDescent="0.25">
      <c r="A38">
        <f>IF(OR('R.M Billets Reports'!A37="Date-",'R.M Billets Reports'!A37="Date:-"),IF(IF(IF(ISNUMBER(SEARCH("Party Name:-",'R.M Billets Reports'!D37)),TRIM('R.M Billets Reports'!F37),IF(ISNUMBER(SEARCH("Party Name-",'R.M Billets Reports'!D37)),TRIM(MID('R.M Billets Reports'!D37,SEARCH("-",'R.M Billets Reports'!D37)+1,200)),""))&lt;&gt;"",IF(ISNUMBER(SEARCH("Party Name:-",'R.M Billets Reports'!D37)),TRIM('R.M Billets Reports'!F37),IF(ISNUMBER(SEARCH("Party Name-",'R.M Billets Reports'!D37)),TRIM(MID('R.M Billets Reports'!D37,SEARCH("-",'R.M Billets Reports'!D37)+1,200)),"")),IF(ISNUMBER(SEARCH("Party Name:-",'R.M Billets Reports'!D38)),TRIM('R.M Billets Reports'!F38),IF(ISNUMBER(SEARCH("Party Name-",'R.M Billets Reports'!D38)),TRIM(MID('R.M Billets Reports'!D38,SEARCH("-",'R.M Billets Reports'!D38)+1,200)),"")))="VRKP ISPAT PVT LTD","VRKP",IF(IF(IF(ISNUMBER(SEARCH("Party Name:-",'R.M Billets Reports'!D37)),TRIM('R.M Billets Reports'!F37),IF(ISNUMBER(SEARCH("Party Name-",'R.M Billets Reports'!D37)),TRIM(MID('R.M Billets Reports'!D37,SEARCH("-",'R.M Billets Reports'!D37)+1,200)),""))&lt;&gt;"",IF(ISNUMBER(SEARCH("Party Name:-",'R.M Billets Reports'!D37)),TRIM('R.M Billets Reports'!F37),IF(ISNUMBER(SEARCH("Party Name-",'R.M Billets Reports'!D37)),TRIM(MID('R.M Billets Reports'!D37,SEARCH("-",'R.M Billets Reports'!D37)+1,200)),"")),IF(ISNUMBER(SEARCH("Party Name:-",'R.M Billets Reports'!D38)),TRIM('R.M Billets Reports'!F38),IF(ISNUMBER(SEARCH("Party Name-",'R.M Billets Reports'!D38)),TRIM(MID('R.M Billets Reports'!D38,SEARCH("-",'R.M Billets Reports'!D38)+1,200)),"")))="SHRI RADHE","SHREE RADHE",IF(IF(IF(ISNUMBER(SEARCH("Party Name:-",'R.M Billets Reports'!D37)),TRIM('R.M Billets Reports'!F37),IF(ISNUMBER(SEARCH("Party Name-",'R.M Billets Reports'!D37)),TRIM(MID('R.M Billets Reports'!D37,SEARCH("-",'R.M Billets Reports'!D37)+1,200)),""))&lt;&gt;"",IF(ISNUMBER(SEARCH("Party Name:-",'R.M Billets Reports'!D37)),TRIM('R.M Billets Reports'!F37),IF(ISNUMBER(SEARCH("Party Name-",'R.M Billets Reports'!D37)),TRIM(MID('R.M Billets Reports'!D37,SEARCH("-",'R.M Billets Reports'!D37)+1,200)),"")),IF(ISNUMBER(SEARCH("Party Name:-",'R.M Billets Reports'!D38)),TRIM('R.M Billets Reports'!F38),IF(ISNUMBER(SEARCH("Party Name-",'R.M Billets Reports'!D38)),TRIM(MID('R.M Billets Reports'!D38,SEARCH("-",'R.M Billets Reports'!D38)+1,200)),"")))="SHREE RADHE SHAKTI SPONGE AND POWER PVT. LTD.","SHREE RADHE",IF(IF(ISNUMBER(SEARCH("Party Name:-",'R.M Billets Reports'!D37)),TRIM('R.M Billets Reports'!F37),IF(ISNUMBER(SEARCH("Party Name-",'R.M Billets Reports'!D37)),TRIM(MID('R.M Billets Reports'!D37,SEARCH("-",'R.M Billets Reports'!D37)+1,200)),""))&lt;&gt;"",IF(ISNUMBER(SEARCH("Party Name:-",'R.M Billets Reports'!D37)),TRIM('R.M Billets Reports'!F37),IF(ISNUMBER(SEARCH("Party Name-",'R.M Billets Reports'!D37)),TRIM(MID('R.M Billets Reports'!D37,SEARCH("-",'R.M Billets Reports'!D37)+1,200)),"")),IF(ISNUMBER(SEARCH("Party Name:-",'R.M Billets Reports'!D38)),TRIM('R.M Billets Reports'!F38),IF(ISNUMBER(SEARCH("Party Name-",'R.M Billets Reports'!D38)),TRIM(MID('R.M Billets Reports'!D38,SEARCH("-",'R.M Billets Reports'!D38)+1,200)),"")))))),IF(ROW()=2,"",A37))</f>
      </c>
      <c r="B38">
        <f>IF(OR('R.M Billets Reports'!A37="Date-",'R.M Billets Reports'!A37="Date:-"),'R.M Billets Reports'!B37,IF(ROW()=2,"",B37))</f>
      </c>
      <c r="C38">
        <f>IF('R.M Billets Reports'!A37="V.No.",'R.M Billets Reports'!B37,IF(ROW()=2,"",C37))</f>
      </c>
      <c r="D38">
        <f>IF('R.M Billets Reports'!A37&lt;&gt;"",'R.M Billets Reports'!A37,IF(ROW()=2,"",D37))</f>
      </c>
      <c r="E38">
        <f>IF('R.M Billets Reports'!B37="","",TRIM('R.M Billets Reports'!B37))</f>
      </c>
      <c r="F38">
        <f>'R.M Billets Reports'!C37</f>
      </c>
      <c r="G38">
        <f>'R.M Billets Reports'!D37</f>
      </c>
      <c r="H38">
        <f>'R.M Billets Reports'!E37</f>
      </c>
      <c r="I38">
        <f>'R.M Billets Reports'!F37</f>
      </c>
      <c r="J38">
        <f>'R.M Billets Reports'!G37</f>
      </c>
      <c r="K38">
        <f>'R.M Billets Reports'!H37</f>
      </c>
      <c r="L38">
        <f>IF('R.M Billets Reports'!I37="","",'R.M Billets Reports'!I37)</f>
      </c>
      <c r="M38">
        <f t="shared" si="0"/>
      </c>
      <c r="N38">
        <f>IF('R.M Billets Reports'!J37="","",'R.M Billets Reports'!J37)</f>
      </c>
      <c r="O38">
        <f t="shared" si="1"/>
      </c>
      <c r="P38">
        <f>IF('R.M Billets Reports'!A37="SIZE",'R.M Billets Reports'!B37,P37)</f>
      </c>
    </row>
    <row r="39" spans="1:16" x14ac:dyDescent="0.25">
      <c r="A39">
        <f>IF(OR('R.M Billets Reports'!A38="Date-",'R.M Billets Reports'!A38="Date:-"),IF(IF(IF(ISNUMBER(SEARCH("Party Name:-",'R.M Billets Reports'!D38)),TRIM('R.M Billets Reports'!F38),IF(ISNUMBER(SEARCH("Party Name-",'R.M Billets Reports'!D38)),TRIM(MID('R.M Billets Reports'!D38,SEARCH("-",'R.M Billets Reports'!D38)+1,200)),""))&lt;&gt;"",IF(ISNUMBER(SEARCH("Party Name:-",'R.M Billets Reports'!D38)),TRIM('R.M Billets Reports'!F38),IF(ISNUMBER(SEARCH("Party Name-",'R.M Billets Reports'!D38)),TRIM(MID('R.M Billets Reports'!D38,SEARCH("-",'R.M Billets Reports'!D38)+1,200)),"")),IF(ISNUMBER(SEARCH("Party Name:-",'R.M Billets Reports'!D39)),TRIM('R.M Billets Reports'!F39),IF(ISNUMBER(SEARCH("Party Name-",'R.M Billets Reports'!D39)),TRIM(MID('R.M Billets Reports'!D39,SEARCH("-",'R.M Billets Reports'!D39)+1,200)),"")))="VRKP ISPAT PVT LTD","VRKP",IF(IF(IF(ISNUMBER(SEARCH("Party Name:-",'R.M Billets Reports'!D38)),TRIM('R.M Billets Reports'!F38),IF(ISNUMBER(SEARCH("Party Name-",'R.M Billets Reports'!D38)),TRIM(MID('R.M Billets Reports'!D38,SEARCH("-",'R.M Billets Reports'!D38)+1,200)),""))&lt;&gt;"",IF(ISNUMBER(SEARCH("Party Name:-",'R.M Billets Reports'!D38)),TRIM('R.M Billets Reports'!F38),IF(ISNUMBER(SEARCH("Party Name-",'R.M Billets Reports'!D38)),TRIM(MID('R.M Billets Reports'!D38,SEARCH("-",'R.M Billets Reports'!D38)+1,200)),"")),IF(ISNUMBER(SEARCH("Party Name:-",'R.M Billets Reports'!D39)),TRIM('R.M Billets Reports'!F39),IF(ISNUMBER(SEARCH("Party Name-",'R.M Billets Reports'!D39)),TRIM(MID('R.M Billets Reports'!D39,SEARCH("-",'R.M Billets Reports'!D39)+1,200)),"")))="SHRI RADHE","SHREE RADHE",IF(IF(IF(ISNUMBER(SEARCH("Party Name:-",'R.M Billets Reports'!D38)),TRIM('R.M Billets Reports'!F38),IF(ISNUMBER(SEARCH("Party Name-",'R.M Billets Reports'!D38)),TRIM(MID('R.M Billets Reports'!D38,SEARCH("-",'R.M Billets Reports'!D38)+1,200)),""))&lt;&gt;"",IF(ISNUMBER(SEARCH("Party Name:-",'R.M Billets Reports'!D38)),TRIM('R.M Billets Reports'!F38),IF(ISNUMBER(SEARCH("Party Name-",'R.M Billets Reports'!D38)),TRIM(MID('R.M Billets Reports'!D38,SEARCH("-",'R.M Billets Reports'!D38)+1,200)),"")),IF(ISNUMBER(SEARCH("Party Name:-",'R.M Billets Reports'!D39)),TRIM('R.M Billets Reports'!F39),IF(ISNUMBER(SEARCH("Party Name-",'R.M Billets Reports'!D39)),TRIM(MID('R.M Billets Reports'!D39,SEARCH("-",'R.M Billets Reports'!D39)+1,200)),"")))="SHREE RADHE SHAKTI SPONGE AND POWER PVT. LTD.","SHREE RADHE",IF(IF(ISNUMBER(SEARCH("Party Name:-",'R.M Billets Reports'!D38)),TRIM('R.M Billets Reports'!F38),IF(ISNUMBER(SEARCH("Party Name-",'R.M Billets Reports'!D38)),TRIM(MID('R.M Billets Reports'!D38,SEARCH("-",'R.M Billets Reports'!D38)+1,200)),""))&lt;&gt;"",IF(ISNUMBER(SEARCH("Party Name:-",'R.M Billets Reports'!D38)),TRIM('R.M Billets Reports'!F38),IF(ISNUMBER(SEARCH("Party Name-",'R.M Billets Reports'!D38)),TRIM(MID('R.M Billets Reports'!D38,SEARCH("-",'R.M Billets Reports'!D38)+1,200)),"")),IF(ISNUMBER(SEARCH("Party Name:-",'R.M Billets Reports'!D39)),TRIM('R.M Billets Reports'!F39),IF(ISNUMBER(SEARCH("Party Name-",'R.M Billets Reports'!D39)),TRIM(MID('R.M Billets Reports'!D39,SEARCH("-",'R.M Billets Reports'!D39)+1,200)),"")))))),IF(ROW()=2,"",A38))</f>
      </c>
      <c r="B39">
        <f>IF(OR('R.M Billets Reports'!A38="Date-",'R.M Billets Reports'!A38="Date:-"),'R.M Billets Reports'!B38,IF(ROW()=2,"",B38))</f>
      </c>
      <c r="C39">
        <f>IF('R.M Billets Reports'!A38="V.No.",'R.M Billets Reports'!B38,IF(ROW()=2,"",C38))</f>
      </c>
      <c r="D39">
        <f>IF('R.M Billets Reports'!A38&lt;&gt;"",'R.M Billets Reports'!A38,IF(ROW()=2,"",D38))</f>
      </c>
      <c r="E39">
        <f>IF('R.M Billets Reports'!B38="","",TRIM('R.M Billets Reports'!B38))</f>
      </c>
      <c r="F39">
        <f>'R.M Billets Reports'!C38</f>
      </c>
      <c r="G39">
        <f>'R.M Billets Reports'!D38</f>
      </c>
      <c r="H39">
        <f>'R.M Billets Reports'!E38</f>
      </c>
      <c r="I39">
        <f>'R.M Billets Reports'!F38</f>
      </c>
      <c r="J39">
        <f>'R.M Billets Reports'!G38</f>
      </c>
      <c r="K39">
        <f>'R.M Billets Reports'!H38</f>
      </c>
      <c r="L39">
        <f>IF('R.M Billets Reports'!I38="","",'R.M Billets Reports'!I38)</f>
      </c>
      <c r="M39">
        <f t="shared" si="0"/>
      </c>
      <c r="N39">
        <f>IF('R.M Billets Reports'!J38="","",'R.M Billets Reports'!J38)</f>
      </c>
      <c r="O39">
        <f t="shared" si="1"/>
      </c>
      <c r="P39">
        <f>IF('R.M Billets Reports'!A38="SIZE",'R.M Billets Reports'!B38,P38)</f>
      </c>
    </row>
    <row r="40" spans="1:16" x14ac:dyDescent="0.25">
      <c r="A40">
        <f>IF(OR('R.M Billets Reports'!A39="Date-",'R.M Billets Reports'!A39="Date:-"),IF(IF(IF(ISNUMBER(SEARCH("Party Name:-",'R.M Billets Reports'!D39)),TRIM('R.M Billets Reports'!F39),IF(ISNUMBER(SEARCH("Party Name-",'R.M Billets Reports'!D39)),TRIM(MID('R.M Billets Reports'!D39,SEARCH("-",'R.M Billets Reports'!D39)+1,200)),""))&lt;&gt;"",IF(ISNUMBER(SEARCH("Party Name:-",'R.M Billets Reports'!D39)),TRIM('R.M Billets Reports'!F39),IF(ISNUMBER(SEARCH("Party Name-",'R.M Billets Reports'!D39)),TRIM(MID('R.M Billets Reports'!D39,SEARCH("-",'R.M Billets Reports'!D39)+1,200)),"")),IF(ISNUMBER(SEARCH("Party Name:-",'R.M Billets Reports'!D40)),TRIM('R.M Billets Reports'!F40),IF(ISNUMBER(SEARCH("Party Name-",'R.M Billets Reports'!D40)),TRIM(MID('R.M Billets Reports'!D40,SEARCH("-",'R.M Billets Reports'!D40)+1,200)),"")))="VRKP ISPAT PVT LTD","VRKP",IF(IF(IF(ISNUMBER(SEARCH("Party Name:-",'R.M Billets Reports'!D39)),TRIM('R.M Billets Reports'!F39),IF(ISNUMBER(SEARCH("Party Name-",'R.M Billets Reports'!D39)),TRIM(MID('R.M Billets Reports'!D39,SEARCH("-",'R.M Billets Reports'!D39)+1,200)),""))&lt;&gt;"",IF(ISNUMBER(SEARCH("Party Name:-",'R.M Billets Reports'!D39)),TRIM('R.M Billets Reports'!F39),IF(ISNUMBER(SEARCH("Party Name-",'R.M Billets Reports'!D39)),TRIM(MID('R.M Billets Reports'!D39,SEARCH("-",'R.M Billets Reports'!D39)+1,200)),"")),IF(ISNUMBER(SEARCH("Party Name:-",'R.M Billets Reports'!D40)),TRIM('R.M Billets Reports'!F40),IF(ISNUMBER(SEARCH("Party Name-",'R.M Billets Reports'!D40)),TRIM(MID('R.M Billets Reports'!D40,SEARCH("-",'R.M Billets Reports'!D40)+1,200)),"")))="SHRI RADHE","SHREE RADHE",IF(IF(IF(ISNUMBER(SEARCH("Party Name:-",'R.M Billets Reports'!D39)),TRIM('R.M Billets Reports'!F39),IF(ISNUMBER(SEARCH("Party Name-",'R.M Billets Reports'!D39)),TRIM(MID('R.M Billets Reports'!D39,SEARCH("-",'R.M Billets Reports'!D39)+1,200)),""))&lt;&gt;"",IF(ISNUMBER(SEARCH("Party Name:-",'R.M Billets Reports'!D39)),TRIM('R.M Billets Reports'!F39),IF(ISNUMBER(SEARCH("Party Name-",'R.M Billets Reports'!D39)),TRIM(MID('R.M Billets Reports'!D39,SEARCH("-",'R.M Billets Reports'!D39)+1,200)),"")),IF(ISNUMBER(SEARCH("Party Name:-",'R.M Billets Reports'!D40)),TRIM('R.M Billets Reports'!F40),IF(ISNUMBER(SEARCH("Party Name-",'R.M Billets Reports'!D40)),TRIM(MID('R.M Billets Reports'!D40,SEARCH("-",'R.M Billets Reports'!D40)+1,200)),"")))="SHREE RADHE SHAKTI SPONGE AND POWER PVT. LTD.","SHREE RADHE",IF(IF(ISNUMBER(SEARCH("Party Name:-",'R.M Billets Reports'!D39)),TRIM('R.M Billets Reports'!F39),IF(ISNUMBER(SEARCH("Party Name-",'R.M Billets Reports'!D39)),TRIM(MID('R.M Billets Reports'!D39,SEARCH("-",'R.M Billets Reports'!D39)+1,200)),""))&lt;&gt;"",IF(ISNUMBER(SEARCH("Party Name:-",'R.M Billets Reports'!D39)),TRIM('R.M Billets Reports'!F39),IF(ISNUMBER(SEARCH("Party Name-",'R.M Billets Reports'!D39)),TRIM(MID('R.M Billets Reports'!D39,SEARCH("-",'R.M Billets Reports'!D39)+1,200)),"")),IF(ISNUMBER(SEARCH("Party Name:-",'R.M Billets Reports'!D40)),TRIM('R.M Billets Reports'!F40),IF(ISNUMBER(SEARCH("Party Name-",'R.M Billets Reports'!D40)),TRIM(MID('R.M Billets Reports'!D40,SEARCH("-",'R.M Billets Reports'!D40)+1,200)),"")))))),IF(ROW()=2,"",A39))</f>
      </c>
      <c r="B40">
        <f>IF(OR('R.M Billets Reports'!A39="Date-",'R.M Billets Reports'!A39="Date:-"),'R.M Billets Reports'!B39,IF(ROW()=2,"",B39))</f>
      </c>
      <c r="C40">
        <f>IF('R.M Billets Reports'!A39="V.No.",'R.M Billets Reports'!B39,IF(ROW()=2,"",C39))</f>
      </c>
      <c r="D40">
        <f>IF('R.M Billets Reports'!A39&lt;&gt;"",'R.M Billets Reports'!A39,IF(ROW()=2,"",D39))</f>
      </c>
      <c r="E40">
        <f>IF('R.M Billets Reports'!B39="","",TRIM('R.M Billets Reports'!B39))</f>
      </c>
      <c r="F40">
        <f>'R.M Billets Reports'!C39</f>
      </c>
      <c r="G40">
        <f>'R.M Billets Reports'!D39</f>
      </c>
      <c r="H40">
        <f>'R.M Billets Reports'!E39</f>
      </c>
      <c r="I40">
        <f>'R.M Billets Reports'!F39</f>
      </c>
      <c r="J40">
        <f>'R.M Billets Reports'!G39</f>
      </c>
      <c r="K40">
        <f>'R.M Billets Reports'!H39</f>
      </c>
      <c r="L40">
        <f>IF('R.M Billets Reports'!I39="","",'R.M Billets Reports'!I39)</f>
      </c>
      <c r="M40">
        <f t="shared" si="0"/>
      </c>
      <c r="N40">
        <f>IF('R.M Billets Reports'!J39="","",'R.M Billets Reports'!J39)</f>
      </c>
      <c r="O40">
        <f t="shared" si="1"/>
      </c>
      <c r="P40">
        <f>IF('R.M Billets Reports'!A39="SIZE",'R.M Billets Reports'!B39,P39)</f>
      </c>
    </row>
    <row r="41" spans="1:16" x14ac:dyDescent="0.25">
      <c r="A41">
        <f>IF(OR('R.M Billets Reports'!A40="Date-",'R.M Billets Reports'!A40="Date:-"),IF(IF(IF(ISNUMBER(SEARCH("Party Name:-",'R.M Billets Reports'!D40)),TRIM('R.M Billets Reports'!F40),IF(ISNUMBER(SEARCH("Party Name-",'R.M Billets Reports'!D40)),TRIM(MID('R.M Billets Reports'!D40,SEARCH("-",'R.M Billets Reports'!D40)+1,200)),""))&lt;&gt;"",IF(ISNUMBER(SEARCH("Party Name:-",'R.M Billets Reports'!D40)),TRIM('R.M Billets Reports'!F40),IF(ISNUMBER(SEARCH("Party Name-",'R.M Billets Reports'!D40)),TRIM(MID('R.M Billets Reports'!D40,SEARCH("-",'R.M Billets Reports'!D40)+1,200)),"")),IF(ISNUMBER(SEARCH("Party Name:-",'R.M Billets Reports'!D41)),TRIM('R.M Billets Reports'!F41),IF(ISNUMBER(SEARCH("Party Name-",'R.M Billets Reports'!D41)),TRIM(MID('R.M Billets Reports'!D41,SEARCH("-",'R.M Billets Reports'!D41)+1,200)),"")))="VRKP ISPAT PVT LTD","VRKP",IF(IF(IF(ISNUMBER(SEARCH("Party Name:-",'R.M Billets Reports'!D40)),TRIM('R.M Billets Reports'!F40),IF(ISNUMBER(SEARCH("Party Name-",'R.M Billets Reports'!D40)),TRIM(MID('R.M Billets Reports'!D40,SEARCH("-",'R.M Billets Reports'!D40)+1,200)),""))&lt;&gt;"",IF(ISNUMBER(SEARCH("Party Name:-",'R.M Billets Reports'!D40)),TRIM('R.M Billets Reports'!F40),IF(ISNUMBER(SEARCH("Party Name-",'R.M Billets Reports'!D40)),TRIM(MID('R.M Billets Reports'!D40,SEARCH("-",'R.M Billets Reports'!D40)+1,200)),"")),IF(ISNUMBER(SEARCH("Party Name:-",'R.M Billets Reports'!D41)),TRIM('R.M Billets Reports'!F41),IF(ISNUMBER(SEARCH("Party Name-",'R.M Billets Reports'!D41)),TRIM(MID('R.M Billets Reports'!D41,SEARCH("-",'R.M Billets Reports'!D41)+1,200)),"")))="SHRI RADHE","SHREE RADHE",IF(IF(IF(ISNUMBER(SEARCH("Party Name:-",'R.M Billets Reports'!D40)),TRIM('R.M Billets Reports'!F40),IF(ISNUMBER(SEARCH("Party Name-",'R.M Billets Reports'!D40)),TRIM(MID('R.M Billets Reports'!D40,SEARCH("-",'R.M Billets Reports'!D40)+1,200)),""))&lt;&gt;"",IF(ISNUMBER(SEARCH("Party Name:-",'R.M Billets Reports'!D40)),TRIM('R.M Billets Reports'!F40),IF(ISNUMBER(SEARCH("Party Name-",'R.M Billets Reports'!D40)),TRIM(MID('R.M Billets Reports'!D40,SEARCH("-",'R.M Billets Reports'!D40)+1,200)),"")),IF(ISNUMBER(SEARCH("Party Name:-",'R.M Billets Reports'!D41)),TRIM('R.M Billets Reports'!F41),IF(ISNUMBER(SEARCH("Party Name-",'R.M Billets Reports'!D41)),TRIM(MID('R.M Billets Reports'!D41,SEARCH("-",'R.M Billets Reports'!D41)+1,200)),"")))="SHREE RADHE SHAKTI SPONGE AND POWER PVT. LTD.","SHREE RADHE",IF(IF(ISNUMBER(SEARCH("Party Name:-",'R.M Billets Reports'!D40)),TRIM('R.M Billets Reports'!F40),IF(ISNUMBER(SEARCH("Party Name-",'R.M Billets Reports'!D40)),TRIM(MID('R.M Billets Reports'!D40,SEARCH("-",'R.M Billets Reports'!D40)+1,200)),""))&lt;&gt;"",IF(ISNUMBER(SEARCH("Party Name:-",'R.M Billets Reports'!D40)),TRIM('R.M Billets Reports'!F40),IF(ISNUMBER(SEARCH("Party Name-",'R.M Billets Reports'!D40)),TRIM(MID('R.M Billets Reports'!D40,SEARCH("-",'R.M Billets Reports'!D40)+1,200)),"")),IF(ISNUMBER(SEARCH("Party Name:-",'R.M Billets Reports'!D41)),TRIM('R.M Billets Reports'!F41),IF(ISNUMBER(SEARCH("Party Name-",'R.M Billets Reports'!D41)),TRIM(MID('R.M Billets Reports'!D41,SEARCH("-",'R.M Billets Reports'!D41)+1,200)),"")))))),IF(ROW()=2,"",A40))</f>
      </c>
      <c r="B41">
        <f>IF(OR('R.M Billets Reports'!A40="Date-",'R.M Billets Reports'!A40="Date:-"),'R.M Billets Reports'!B40,IF(ROW()=2,"",B40))</f>
      </c>
      <c r="C41">
        <f>IF('R.M Billets Reports'!A40="V.No.",'R.M Billets Reports'!B40,IF(ROW()=2,"",C40))</f>
      </c>
      <c r="D41">
        <f>IF('R.M Billets Reports'!A40&lt;&gt;"",'R.M Billets Reports'!A40,IF(ROW()=2,"",D40))</f>
      </c>
      <c r="E41">
        <f>IF('R.M Billets Reports'!B40="","",TRIM('R.M Billets Reports'!B40))</f>
      </c>
      <c r="F41">
        <f>'R.M Billets Reports'!C40</f>
      </c>
      <c r="G41">
        <f>'R.M Billets Reports'!D40</f>
      </c>
      <c r="H41">
        <f>'R.M Billets Reports'!E40</f>
      </c>
      <c r="I41">
        <f>'R.M Billets Reports'!F40</f>
      </c>
      <c r="J41">
        <f>'R.M Billets Reports'!G40</f>
      </c>
      <c r="K41">
        <f>'R.M Billets Reports'!H40</f>
      </c>
      <c r="L41">
        <f>IF('R.M Billets Reports'!I40="","",'R.M Billets Reports'!I40)</f>
      </c>
      <c r="M41">
        <f t="shared" si="0"/>
      </c>
      <c r="N41">
        <f>IF('R.M Billets Reports'!J40="","",'R.M Billets Reports'!J40)</f>
      </c>
      <c r="O41">
        <f t="shared" si="1"/>
      </c>
      <c r="P41">
        <f>IF('R.M Billets Reports'!A40="SIZE",'R.M Billets Reports'!B40,P40)</f>
      </c>
    </row>
    <row r="42" spans="1:16" x14ac:dyDescent="0.25">
      <c r="A42">
        <f>IF(OR('R.M Billets Reports'!A41="Date-",'R.M Billets Reports'!A41="Date:-"),IF(IF(IF(ISNUMBER(SEARCH("Party Name:-",'R.M Billets Reports'!D41)),TRIM('R.M Billets Reports'!F41),IF(ISNUMBER(SEARCH("Party Name-",'R.M Billets Reports'!D41)),TRIM(MID('R.M Billets Reports'!D41,SEARCH("-",'R.M Billets Reports'!D41)+1,200)),""))&lt;&gt;"",IF(ISNUMBER(SEARCH("Party Name:-",'R.M Billets Reports'!D41)),TRIM('R.M Billets Reports'!F41),IF(ISNUMBER(SEARCH("Party Name-",'R.M Billets Reports'!D41)),TRIM(MID('R.M Billets Reports'!D41,SEARCH("-",'R.M Billets Reports'!D41)+1,200)),"")),IF(ISNUMBER(SEARCH("Party Name:-",'R.M Billets Reports'!D42)),TRIM('R.M Billets Reports'!F42),IF(ISNUMBER(SEARCH("Party Name-",'R.M Billets Reports'!D42)),TRIM(MID('R.M Billets Reports'!D42,SEARCH("-",'R.M Billets Reports'!D42)+1,200)),"")))="VRKP ISPAT PVT LTD","VRKP",IF(IF(IF(ISNUMBER(SEARCH("Party Name:-",'R.M Billets Reports'!D41)),TRIM('R.M Billets Reports'!F41),IF(ISNUMBER(SEARCH("Party Name-",'R.M Billets Reports'!D41)),TRIM(MID('R.M Billets Reports'!D41,SEARCH("-",'R.M Billets Reports'!D41)+1,200)),""))&lt;&gt;"",IF(ISNUMBER(SEARCH("Party Name:-",'R.M Billets Reports'!D41)),TRIM('R.M Billets Reports'!F41),IF(ISNUMBER(SEARCH("Party Name-",'R.M Billets Reports'!D41)),TRIM(MID('R.M Billets Reports'!D41,SEARCH("-",'R.M Billets Reports'!D41)+1,200)),"")),IF(ISNUMBER(SEARCH("Party Name:-",'R.M Billets Reports'!D42)),TRIM('R.M Billets Reports'!F42),IF(ISNUMBER(SEARCH("Party Name-",'R.M Billets Reports'!D42)),TRIM(MID('R.M Billets Reports'!D42,SEARCH("-",'R.M Billets Reports'!D42)+1,200)),"")))="SHRI RADHE","SHREE RADHE",IF(IF(IF(ISNUMBER(SEARCH("Party Name:-",'R.M Billets Reports'!D41)),TRIM('R.M Billets Reports'!F41),IF(ISNUMBER(SEARCH("Party Name-",'R.M Billets Reports'!D41)),TRIM(MID('R.M Billets Reports'!D41,SEARCH("-",'R.M Billets Reports'!D41)+1,200)),""))&lt;&gt;"",IF(ISNUMBER(SEARCH("Party Name:-",'R.M Billets Reports'!D41)),TRIM('R.M Billets Reports'!F41),IF(ISNUMBER(SEARCH("Party Name-",'R.M Billets Reports'!D41)),TRIM(MID('R.M Billets Reports'!D41,SEARCH("-",'R.M Billets Reports'!D41)+1,200)),"")),IF(ISNUMBER(SEARCH("Party Name:-",'R.M Billets Reports'!D42)),TRIM('R.M Billets Reports'!F42),IF(ISNUMBER(SEARCH("Party Name-",'R.M Billets Reports'!D42)),TRIM(MID('R.M Billets Reports'!D42,SEARCH("-",'R.M Billets Reports'!D42)+1,200)),"")))="SHREE RADHE SHAKTI SPONGE AND POWER PVT. LTD.","SHREE RADHE",IF(IF(ISNUMBER(SEARCH("Party Name:-",'R.M Billets Reports'!D41)),TRIM('R.M Billets Reports'!F41),IF(ISNUMBER(SEARCH("Party Name-",'R.M Billets Reports'!D41)),TRIM(MID('R.M Billets Reports'!D41,SEARCH("-",'R.M Billets Reports'!D41)+1,200)),""))&lt;&gt;"",IF(ISNUMBER(SEARCH("Party Name:-",'R.M Billets Reports'!D41)),TRIM('R.M Billets Reports'!F41),IF(ISNUMBER(SEARCH("Party Name-",'R.M Billets Reports'!D41)),TRIM(MID('R.M Billets Reports'!D41,SEARCH("-",'R.M Billets Reports'!D41)+1,200)),"")),IF(ISNUMBER(SEARCH("Party Name:-",'R.M Billets Reports'!D42)),TRIM('R.M Billets Reports'!F42),IF(ISNUMBER(SEARCH("Party Name-",'R.M Billets Reports'!D42)),TRIM(MID('R.M Billets Reports'!D42,SEARCH("-",'R.M Billets Reports'!D42)+1,200)),"")))))),IF(ROW()=2,"",A41))</f>
      </c>
      <c r="B42">
        <f>IF(OR('R.M Billets Reports'!A41="Date-",'R.M Billets Reports'!A41="Date:-"),'R.M Billets Reports'!B41,IF(ROW()=2,"",B41))</f>
      </c>
      <c r="C42">
        <f>IF('R.M Billets Reports'!A41="V.No.",'R.M Billets Reports'!B41,IF(ROW()=2,"",C41))</f>
      </c>
      <c r="D42">
        <f>IF('R.M Billets Reports'!A41&lt;&gt;"",'R.M Billets Reports'!A41,IF(ROW()=2,"",D41))</f>
      </c>
      <c r="E42">
        <f>IF('R.M Billets Reports'!B41="","",TRIM('R.M Billets Reports'!B41))</f>
      </c>
      <c r="F42">
        <f>'R.M Billets Reports'!C41</f>
      </c>
      <c r="G42">
        <f>'R.M Billets Reports'!D41</f>
      </c>
      <c r="H42">
        <f>'R.M Billets Reports'!E41</f>
      </c>
      <c r="I42">
        <f>'R.M Billets Reports'!F41</f>
      </c>
      <c r="J42">
        <f>'R.M Billets Reports'!G41</f>
      </c>
      <c r="K42">
        <f>'R.M Billets Reports'!H41</f>
      </c>
      <c r="L42">
        <f>IF('R.M Billets Reports'!I41="","",'R.M Billets Reports'!I41)</f>
      </c>
      <c r="M42">
        <f t="shared" si="0"/>
      </c>
      <c r="N42">
        <f>IF('R.M Billets Reports'!J41="","",'R.M Billets Reports'!J41)</f>
      </c>
      <c r="O42">
        <f t="shared" si="1"/>
      </c>
      <c r="P42">
        <f>IF('R.M Billets Reports'!A41="SIZE",'R.M Billets Reports'!B41,P41)</f>
      </c>
    </row>
    <row r="43" spans="1:16" x14ac:dyDescent="0.25">
      <c r="A43">
        <f>IF(OR('R.M Billets Reports'!A42="Date-",'R.M Billets Reports'!A42="Date:-"),IF(IF(IF(ISNUMBER(SEARCH("Party Name:-",'R.M Billets Reports'!D42)),TRIM('R.M Billets Reports'!F42),IF(ISNUMBER(SEARCH("Party Name-",'R.M Billets Reports'!D42)),TRIM(MID('R.M Billets Reports'!D42,SEARCH("-",'R.M Billets Reports'!D42)+1,200)),""))&lt;&gt;"",IF(ISNUMBER(SEARCH("Party Name:-",'R.M Billets Reports'!D42)),TRIM('R.M Billets Reports'!F42),IF(ISNUMBER(SEARCH("Party Name-",'R.M Billets Reports'!D42)),TRIM(MID('R.M Billets Reports'!D42,SEARCH("-",'R.M Billets Reports'!D42)+1,200)),"")),IF(ISNUMBER(SEARCH("Party Name:-",'R.M Billets Reports'!D43)),TRIM('R.M Billets Reports'!F43),IF(ISNUMBER(SEARCH("Party Name-",'R.M Billets Reports'!D43)),TRIM(MID('R.M Billets Reports'!D43,SEARCH("-",'R.M Billets Reports'!D43)+1,200)),"")))="VRKP ISPAT PVT LTD","VRKP",IF(IF(IF(ISNUMBER(SEARCH("Party Name:-",'R.M Billets Reports'!D42)),TRIM('R.M Billets Reports'!F42),IF(ISNUMBER(SEARCH("Party Name-",'R.M Billets Reports'!D42)),TRIM(MID('R.M Billets Reports'!D42,SEARCH("-",'R.M Billets Reports'!D42)+1,200)),""))&lt;&gt;"",IF(ISNUMBER(SEARCH("Party Name:-",'R.M Billets Reports'!D42)),TRIM('R.M Billets Reports'!F42),IF(ISNUMBER(SEARCH("Party Name-",'R.M Billets Reports'!D42)),TRIM(MID('R.M Billets Reports'!D42,SEARCH("-",'R.M Billets Reports'!D42)+1,200)),"")),IF(ISNUMBER(SEARCH("Party Name:-",'R.M Billets Reports'!D43)),TRIM('R.M Billets Reports'!F43),IF(ISNUMBER(SEARCH("Party Name-",'R.M Billets Reports'!D43)),TRIM(MID('R.M Billets Reports'!D43,SEARCH("-",'R.M Billets Reports'!D43)+1,200)),"")))="SHRI RADHE","SHREE RADHE",IF(IF(IF(ISNUMBER(SEARCH("Party Name:-",'R.M Billets Reports'!D42)),TRIM('R.M Billets Reports'!F42),IF(ISNUMBER(SEARCH("Party Name-",'R.M Billets Reports'!D42)),TRIM(MID('R.M Billets Reports'!D42,SEARCH("-",'R.M Billets Reports'!D42)+1,200)),""))&lt;&gt;"",IF(ISNUMBER(SEARCH("Party Name:-",'R.M Billets Reports'!D42)),TRIM('R.M Billets Reports'!F42),IF(ISNUMBER(SEARCH("Party Name-",'R.M Billets Reports'!D42)),TRIM(MID('R.M Billets Reports'!D42,SEARCH("-",'R.M Billets Reports'!D42)+1,200)),"")),IF(ISNUMBER(SEARCH("Party Name:-",'R.M Billets Reports'!D43)),TRIM('R.M Billets Reports'!F43),IF(ISNUMBER(SEARCH("Party Name-",'R.M Billets Reports'!D43)),TRIM(MID('R.M Billets Reports'!D43,SEARCH("-",'R.M Billets Reports'!D43)+1,200)),"")))="SHREE RADHE SHAKTI SPONGE AND POWER PVT. LTD.","SHREE RADHE",IF(IF(ISNUMBER(SEARCH("Party Name:-",'R.M Billets Reports'!D42)),TRIM('R.M Billets Reports'!F42),IF(ISNUMBER(SEARCH("Party Name-",'R.M Billets Reports'!D42)),TRIM(MID('R.M Billets Reports'!D42,SEARCH("-",'R.M Billets Reports'!D42)+1,200)),""))&lt;&gt;"",IF(ISNUMBER(SEARCH("Party Name:-",'R.M Billets Reports'!D42)),TRIM('R.M Billets Reports'!F42),IF(ISNUMBER(SEARCH("Party Name-",'R.M Billets Reports'!D42)),TRIM(MID('R.M Billets Reports'!D42,SEARCH("-",'R.M Billets Reports'!D42)+1,200)),"")),IF(ISNUMBER(SEARCH("Party Name:-",'R.M Billets Reports'!D43)),TRIM('R.M Billets Reports'!F43),IF(ISNUMBER(SEARCH("Party Name-",'R.M Billets Reports'!D43)),TRIM(MID('R.M Billets Reports'!D43,SEARCH("-",'R.M Billets Reports'!D43)+1,200)),"")))))),IF(ROW()=2,"",A42))</f>
      </c>
      <c r="B43">
        <f>IF(OR('R.M Billets Reports'!A42="Date-",'R.M Billets Reports'!A42="Date:-"),'R.M Billets Reports'!B42,IF(ROW()=2,"",B42))</f>
      </c>
      <c r="C43">
        <f>IF('R.M Billets Reports'!A42="V.No.",'R.M Billets Reports'!B42,IF(ROW()=2,"",C42))</f>
      </c>
      <c r="D43">
        <f>IF('R.M Billets Reports'!A42&lt;&gt;"",'R.M Billets Reports'!A42,IF(ROW()=2,"",D42))</f>
      </c>
      <c r="E43">
        <f>IF('R.M Billets Reports'!B42="","",TRIM('R.M Billets Reports'!B42))</f>
      </c>
      <c r="F43">
        <f>'R.M Billets Reports'!C42</f>
      </c>
      <c r="G43">
        <f>'R.M Billets Reports'!D42</f>
      </c>
      <c r="H43">
        <f>'R.M Billets Reports'!E42</f>
      </c>
      <c r="I43">
        <f>'R.M Billets Reports'!F42</f>
      </c>
      <c r="J43">
        <f>'R.M Billets Reports'!G42</f>
      </c>
      <c r="K43">
        <f>'R.M Billets Reports'!H42</f>
      </c>
      <c r="L43">
        <f>IF('R.M Billets Reports'!I42="","",'R.M Billets Reports'!I42)</f>
      </c>
      <c r="M43">
        <f t="shared" si="0"/>
      </c>
      <c r="N43">
        <f>IF('R.M Billets Reports'!J42="","",'R.M Billets Reports'!J42)</f>
      </c>
      <c r="O43">
        <f t="shared" si="1"/>
      </c>
      <c r="P43">
        <f>IF('R.M Billets Reports'!A42="SIZE",'R.M Billets Reports'!B42,P42)</f>
      </c>
    </row>
    <row r="44" spans="1:16" x14ac:dyDescent="0.25">
      <c r="A44">
        <f>IF(OR('R.M Billets Reports'!A43="Date-",'R.M Billets Reports'!A43="Date:-"),IF(IF(IF(ISNUMBER(SEARCH("Party Name:-",'R.M Billets Reports'!D43)),TRIM('R.M Billets Reports'!F43),IF(ISNUMBER(SEARCH("Party Name-",'R.M Billets Reports'!D43)),TRIM(MID('R.M Billets Reports'!D43,SEARCH("-",'R.M Billets Reports'!D43)+1,200)),""))&lt;&gt;"",IF(ISNUMBER(SEARCH("Party Name:-",'R.M Billets Reports'!D43)),TRIM('R.M Billets Reports'!F43),IF(ISNUMBER(SEARCH("Party Name-",'R.M Billets Reports'!D43)),TRIM(MID('R.M Billets Reports'!D43,SEARCH("-",'R.M Billets Reports'!D43)+1,200)),"")),IF(ISNUMBER(SEARCH("Party Name:-",'R.M Billets Reports'!D44)),TRIM('R.M Billets Reports'!F44),IF(ISNUMBER(SEARCH("Party Name-",'R.M Billets Reports'!D44)),TRIM(MID('R.M Billets Reports'!D44,SEARCH("-",'R.M Billets Reports'!D44)+1,200)),"")))="VRKP ISPAT PVT LTD","VRKP",IF(IF(IF(ISNUMBER(SEARCH("Party Name:-",'R.M Billets Reports'!D43)),TRIM('R.M Billets Reports'!F43),IF(ISNUMBER(SEARCH("Party Name-",'R.M Billets Reports'!D43)),TRIM(MID('R.M Billets Reports'!D43,SEARCH("-",'R.M Billets Reports'!D43)+1,200)),""))&lt;&gt;"",IF(ISNUMBER(SEARCH("Party Name:-",'R.M Billets Reports'!D43)),TRIM('R.M Billets Reports'!F43),IF(ISNUMBER(SEARCH("Party Name-",'R.M Billets Reports'!D43)),TRIM(MID('R.M Billets Reports'!D43,SEARCH("-",'R.M Billets Reports'!D43)+1,200)),"")),IF(ISNUMBER(SEARCH("Party Name:-",'R.M Billets Reports'!D44)),TRIM('R.M Billets Reports'!F44),IF(ISNUMBER(SEARCH("Party Name-",'R.M Billets Reports'!D44)),TRIM(MID('R.M Billets Reports'!D44,SEARCH("-",'R.M Billets Reports'!D44)+1,200)),"")))="SHRI RADHE","SHREE RADHE",IF(IF(IF(ISNUMBER(SEARCH("Party Name:-",'R.M Billets Reports'!D43)),TRIM('R.M Billets Reports'!F43),IF(ISNUMBER(SEARCH("Party Name-",'R.M Billets Reports'!D43)),TRIM(MID('R.M Billets Reports'!D43,SEARCH("-",'R.M Billets Reports'!D43)+1,200)),""))&lt;&gt;"",IF(ISNUMBER(SEARCH("Party Name:-",'R.M Billets Reports'!D43)),TRIM('R.M Billets Reports'!F43),IF(ISNUMBER(SEARCH("Party Name-",'R.M Billets Reports'!D43)),TRIM(MID('R.M Billets Reports'!D43,SEARCH("-",'R.M Billets Reports'!D43)+1,200)),"")),IF(ISNUMBER(SEARCH("Party Name:-",'R.M Billets Reports'!D44)),TRIM('R.M Billets Reports'!F44),IF(ISNUMBER(SEARCH("Party Name-",'R.M Billets Reports'!D44)),TRIM(MID('R.M Billets Reports'!D44,SEARCH("-",'R.M Billets Reports'!D44)+1,200)),"")))="SHREE RADHE SHAKTI SPONGE AND POWER PVT. LTD.","SHREE RADHE",IF(IF(ISNUMBER(SEARCH("Party Name:-",'R.M Billets Reports'!D43)),TRIM('R.M Billets Reports'!F43),IF(ISNUMBER(SEARCH("Party Name-",'R.M Billets Reports'!D43)),TRIM(MID('R.M Billets Reports'!D43,SEARCH("-",'R.M Billets Reports'!D43)+1,200)),""))&lt;&gt;"",IF(ISNUMBER(SEARCH("Party Name:-",'R.M Billets Reports'!D43)),TRIM('R.M Billets Reports'!F43),IF(ISNUMBER(SEARCH("Party Name-",'R.M Billets Reports'!D43)),TRIM(MID('R.M Billets Reports'!D43,SEARCH("-",'R.M Billets Reports'!D43)+1,200)),"")),IF(ISNUMBER(SEARCH("Party Name:-",'R.M Billets Reports'!D44)),TRIM('R.M Billets Reports'!F44),IF(ISNUMBER(SEARCH("Party Name-",'R.M Billets Reports'!D44)),TRIM(MID('R.M Billets Reports'!D44,SEARCH("-",'R.M Billets Reports'!D44)+1,200)),"")))))),IF(ROW()=2,"",A43))</f>
      </c>
      <c r="B44">
        <f>IF(OR('R.M Billets Reports'!A43="Date-",'R.M Billets Reports'!A43="Date:-"),'R.M Billets Reports'!B43,IF(ROW()=2,"",B43))</f>
      </c>
      <c r="C44">
        <f>IF('R.M Billets Reports'!A43="V.No.",'R.M Billets Reports'!B43,IF(ROW()=2,"",C43))</f>
      </c>
      <c r="D44">
        <f>IF('R.M Billets Reports'!A43&lt;&gt;"",'R.M Billets Reports'!A43,IF(ROW()=2,"",D43))</f>
      </c>
      <c r="E44">
        <f>IF('R.M Billets Reports'!B43="","",TRIM('R.M Billets Reports'!B43))</f>
      </c>
      <c r="F44">
        <f>'R.M Billets Reports'!C43</f>
      </c>
      <c r="G44">
        <f>'R.M Billets Reports'!D43</f>
      </c>
      <c r="H44">
        <f>'R.M Billets Reports'!E43</f>
      </c>
      <c r="I44">
        <f>'R.M Billets Reports'!F43</f>
      </c>
      <c r="J44">
        <f>'R.M Billets Reports'!G43</f>
      </c>
      <c r="K44">
        <f>'R.M Billets Reports'!H43</f>
      </c>
      <c r="L44">
        <f>IF('R.M Billets Reports'!I43="","",'R.M Billets Reports'!I43)</f>
      </c>
      <c r="M44">
        <f t="shared" si="0"/>
      </c>
      <c r="N44">
        <f>IF('R.M Billets Reports'!J43="","",'R.M Billets Reports'!J43)</f>
      </c>
      <c r="O44">
        <f t="shared" si="1"/>
      </c>
      <c r="P44">
        <f>IF('R.M Billets Reports'!A43="SIZE",'R.M Billets Reports'!B43,P43)</f>
      </c>
    </row>
    <row r="45" spans="1:16" x14ac:dyDescent="0.25">
      <c r="A45">
        <f>IF(OR('R.M Billets Reports'!A44="Date-",'R.M Billets Reports'!A44="Date:-"),IF(IF(IF(ISNUMBER(SEARCH("Party Name:-",'R.M Billets Reports'!D44)),TRIM('R.M Billets Reports'!F44),IF(ISNUMBER(SEARCH("Party Name-",'R.M Billets Reports'!D44)),TRIM(MID('R.M Billets Reports'!D44,SEARCH("-",'R.M Billets Reports'!D44)+1,200)),""))&lt;&gt;"",IF(ISNUMBER(SEARCH("Party Name:-",'R.M Billets Reports'!D44)),TRIM('R.M Billets Reports'!F44),IF(ISNUMBER(SEARCH("Party Name-",'R.M Billets Reports'!D44)),TRIM(MID('R.M Billets Reports'!D44,SEARCH("-",'R.M Billets Reports'!D44)+1,200)),"")),IF(ISNUMBER(SEARCH("Party Name:-",'R.M Billets Reports'!D45)),TRIM('R.M Billets Reports'!F45),IF(ISNUMBER(SEARCH("Party Name-",'R.M Billets Reports'!D45)),TRIM(MID('R.M Billets Reports'!D45,SEARCH("-",'R.M Billets Reports'!D45)+1,200)),"")))="VRKP ISPAT PVT LTD","VRKP",IF(IF(IF(ISNUMBER(SEARCH("Party Name:-",'R.M Billets Reports'!D44)),TRIM('R.M Billets Reports'!F44),IF(ISNUMBER(SEARCH("Party Name-",'R.M Billets Reports'!D44)),TRIM(MID('R.M Billets Reports'!D44,SEARCH("-",'R.M Billets Reports'!D44)+1,200)),""))&lt;&gt;"",IF(ISNUMBER(SEARCH("Party Name:-",'R.M Billets Reports'!D44)),TRIM('R.M Billets Reports'!F44),IF(ISNUMBER(SEARCH("Party Name-",'R.M Billets Reports'!D44)),TRIM(MID('R.M Billets Reports'!D44,SEARCH("-",'R.M Billets Reports'!D44)+1,200)),"")),IF(ISNUMBER(SEARCH("Party Name:-",'R.M Billets Reports'!D45)),TRIM('R.M Billets Reports'!F45),IF(ISNUMBER(SEARCH("Party Name-",'R.M Billets Reports'!D45)),TRIM(MID('R.M Billets Reports'!D45,SEARCH("-",'R.M Billets Reports'!D45)+1,200)),"")))="SHRI RADHE","SHREE RADHE",IF(IF(IF(ISNUMBER(SEARCH("Party Name:-",'R.M Billets Reports'!D44)),TRIM('R.M Billets Reports'!F44),IF(ISNUMBER(SEARCH("Party Name-",'R.M Billets Reports'!D44)),TRIM(MID('R.M Billets Reports'!D44,SEARCH("-",'R.M Billets Reports'!D44)+1,200)),""))&lt;&gt;"",IF(ISNUMBER(SEARCH("Party Name:-",'R.M Billets Reports'!D44)),TRIM('R.M Billets Reports'!F44),IF(ISNUMBER(SEARCH("Party Name-",'R.M Billets Reports'!D44)),TRIM(MID('R.M Billets Reports'!D44,SEARCH("-",'R.M Billets Reports'!D44)+1,200)),"")),IF(ISNUMBER(SEARCH("Party Name:-",'R.M Billets Reports'!D45)),TRIM('R.M Billets Reports'!F45),IF(ISNUMBER(SEARCH("Party Name-",'R.M Billets Reports'!D45)),TRIM(MID('R.M Billets Reports'!D45,SEARCH("-",'R.M Billets Reports'!D45)+1,200)),"")))="SHREE RADHE SHAKTI SPONGE AND POWER PVT. LTD.","SHREE RADHE",IF(IF(ISNUMBER(SEARCH("Party Name:-",'R.M Billets Reports'!D44)),TRIM('R.M Billets Reports'!F44),IF(ISNUMBER(SEARCH("Party Name-",'R.M Billets Reports'!D44)),TRIM(MID('R.M Billets Reports'!D44,SEARCH("-",'R.M Billets Reports'!D44)+1,200)),""))&lt;&gt;"",IF(ISNUMBER(SEARCH("Party Name:-",'R.M Billets Reports'!D44)),TRIM('R.M Billets Reports'!F44),IF(ISNUMBER(SEARCH("Party Name-",'R.M Billets Reports'!D44)),TRIM(MID('R.M Billets Reports'!D44,SEARCH("-",'R.M Billets Reports'!D44)+1,200)),"")),IF(ISNUMBER(SEARCH("Party Name:-",'R.M Billets Reports'!D45)),TRIM('R.M Billets Reports'!F45),IF(ISNUMBER(SEARCH("Party Name-",'R.M Billets Reports'!D45)),TRIM(MID('R.M Billets Reports'!D45,SEARCH("-",'R.M Billets Reports'!D45)+1,200)),"")))))),IF(ROW()=2,"",A44))</f>
      </c>
      <c r="B45">
        <f>IF(OR('R.M Billets Reports'!A44="Date-",'R.M Billets Reports'!A44="Date:-"),'R.M Billets Reports'!B44,IF(ROW()=2,"",B44))</f>
      </c>
      <c r="C45">
        <f>IF('R.M Billets Reports'!A44="V.No.",'R.M Billets Reports'!B44,IF(ROW()=2,"",C44))</f>
      </c>
      <c r="D45">
        <f>IF('R.M Billets Reports'!A44&lt;&gt;"",'R.M Billets Reports'!A44,IF(ROW()=2,"",D44))</f>
      </c>
      <c r="E45">
        <f>IF('R.M Billets Reports'!B44="","",TRIM('R.M Billets Reports'!B44))</f>
      </c>
      <c r="F45">
        <f>'R.M Billets Reports'!C44</f>
      </c>
      <c r="G45">
        <f>'R.M Billets Reports'!D44</f>
      </c>
      <c r="H45">
        <f>'R.M Billets Reports'!E44</f>
      </c>
      <c r="I45">
        <f>'R.M Billets Reports'!F44</f>
      </c>
      <c r="J45">
        <f>'R.M Billets Reports'!G44</f>
      </c>
      <c r="K45">
        <f>'R.M Billets Reports'!H44</f>
      </c>
      <c r="L45">
        <f>IF('R.M Billets Reports'!I44="","",'R.M Billets Reports'!I44)</f>
      </c>
      <c r="M45">
        <f t="shared" si="0"/>
      </c>
      <c r="N45">
        <f>IF('R.M Billets Reports'!J44="","",'R.M Billets Reports'!J44)</f>
      </c>
      <c r="O45">
        <f t="shared" si="1"/>
      </c>
      <c r="P45">
        <f>IF('R.M Billets Reports'!A44="SIZE",'R.M Billets Reports'!B44,P44)</f>
      </c>
    </row>
    <row r="46" spans="1:16" x14ac:dyDescent="0.25">
      <c r="A46">
        <f>IF(OR('R.M Billets Reports'!A45="Date-",'R.M Billets Reports'!A45="Date:-"),IF(IF(IF(ISNUMBER(SEARCH("Party Name:-",'R.M Billets Reports'!D45)),TRIM('R.M Billets Reports'!F45),IF(ISNUMBER(SEARCH("Party Name-",'R.M Billets Reports'!D45)),TRIM(MID('R.M Billets Reports'!D45,SEARCH("-",'R.M Billets Reports'!D45)+1,200)),""))&lt;&gt;"",IF(ISNUMBER(SEARCH("Party Name:-",'R.M Billets Reports'!D45)),TRIM('R.M Billets Reports'!F45),IF(ISNUMBER(SEARCH("Party Name-",'R.M Billets Reports'!D45)),TRIM(MID('R.M Billets Reports'!D45,SEARCH("-",'R.M Billets Reports'!D45)+1,200)),"")),IF(ISNUMBER(SEARCH("Party Name:-",'R.M Billets Reports'!D46)),TRIM('R.M Billets Reports'!F46),IF(ISNUMBER(SEARCH("Party Name-",'R.M Billets Reports'!D46)),TRIM(MID('R.M Billets Reports'!D46,SEARCH("-",'R.M Billets Reports'!D46)+1,200)),"")))="VRKP ISPAT PVT LTD","VRKP",IF(IF(IF(ISNUMBER(SEARCH("Party Name:-",'R.M Billets Reports'!D45)),TRIM('R.M Billets Reports'!F45),IF(ISNUMBER(SEARCH("Party Name-",'R.M Billets Reports'!D45)),TRIM(MID('R.M Billets Reports'!D45,SEARCH("-",'R.M Billets Reports'!D45)+1,200)),""))&lt;&gt;"",IF(ISNUMBER(SEARCH("Party Name:-",'R.M Billets Reports'!D45)),TRIM('R.M Billets Reports'!F45),IF(ISNUMBER(SEARCH("Party Name-",'R.M Billets Reports'!D45)),TRIM(MID('R.M Billets Reports'!D45,SEARCH("-",'R.M Billets Reports'!D45)+1,200)),"")),IF(ISNUMBER(SEARCH("Party Name:-",'R.M Billets Reports'!D46)),TRIM('R.M Billets Reports'!F46),IF(ISNUMBER(SEARCH("Party Name-",'R.M Billets Reports'!D46)),TRIM(MID('R.M Billets Reports'!D46,SEARCH("-",'R.M Billets Reports'!D46)+1,200)),"")))="SHRI RADHE","SHREE RADHE",IF(IF(IF(ISNUMBER(SEARCH("Party Name:-",'R.M Billets Reports'!D45)),TRIM('R.M Billets Reports'!F45),IF(ISNUMBER(SEARCH("Party Name-",'R.M Billets Reports'!D45)),TRIM(MID('R.M Billets Reports'!D45,SEARCH("-",'R.M Billets Reports'!D45)+1,200)),""))&lt;&gt;"",IF(ISNUMBER(SEARCH("Party Name:-",'R.M Billets Reports'!D45)),TRIM('R.M Billets Reports'!F45),IF(ISNUMBER(SEARCH("Party Name-",'R.M Billets Reports'!D45)),TRIM(MID('R.M Billets Reports'!D45,SEARCH("-",'R.M Billets Reports'!D45)+1,200)),"")),IF(ISNUMBER(SEARCH("Party Name:-",'R.M Billets Reports'!D46)),TRIM('R.M Billets Reports'!F46),IF(ISNUMBER(SEARCH("Party Name-",'R.M Billets Reports'!D46)),TRIM(MID('R.M Billets Reports'!D46,SEARCH("-",'R.M Billets Reports'!D46)+1,200)),"")))="SHREE RADHE SHAKTI SPONGE AND POWER PVT. LTD.","SHREE RADHE",IF(IF(ISNUMBER(SEARCH("Party Name:-",'R.M Billets Reports'!D45)),TRIM('R.M Billets Reports'!F45),IF(ISNUMBER(SEARCH("Party Name-",'R.M Billets Reports'!D45)),TRIM(MID('R.M Billets Reports'!D45,SEARCH("-",'R.M Billets Reports'!D45)+1,200)),""))&lt;&gt;"",IF(ISNUMBER(SEARCH("Party Name:-",'R.M Billets Reports'!D45)),TRIM('R.M Billets Reports'!F45),IF(ISNUMBER(SEARCH("Party Name-",'R.M Billets Reports'!D45)),TRIM(MID('R.M Billets Reports'!D45,SEARCH("-",'R.M Billets Reports'!D45)+1,200)),"")),IF(ISNUMBER(SEARCH("Party Name:-",'R.M Billets Reports'!D46)),TRIM('R.M Billets Reports'!F46),IF(ISNUMBER(SEARCH("Party Name-",'R.M Billets Reports'!D46)),TRIM(MID('R.M Billets Reports'!D46,SEARCH("-",'R.M Billets Reports'!D46)+1,200)),"")))))),IF(ROW()=2,"",A45))</f>
      </c>
      <c r="B46">
        <f>IF(OR('R.M Billets Reports'!A45="Date-",'R.M Billets Reports'!A45="Date:-"),'R.M Billets Reports'!B45,IF(ROW()=2,"",B45))</f>
      </c>
      <c r="C46">
        <f>IF('R.M Billets Reports'!A45="V.No.",'R.M Billets Reports'!B45,IF(ROW()=2,"",C45))</f>
      </c>
      <c r="D46">
        <f>IF('R.M Billets Reports'!A45&lt;&gt;"",'R.M Billets Reports'!A45,IF(ROW()=2,"",D45))</f>
      </c>
      <c r="E46">
        <f>IF('R.M Billets Reports'!B45="","",TRIM('R.M Billets Reports'!B45))</f>
      </c>
      <c r="F46">
        <f>'R.M Billets Reports'!C45</f>
      </c>
      <c r="G46">
        <f>'R.M Billets Reports'!D45</f>
      </c>
      <c r="H46">
        <f>'R.M Billets Reports'!E45</f>
      </c>
      <c r="I46">
        <f>'R.M Billets Reports'!F45</f>
      </c>
      <c r="J46">
        <f>'R.M Billets Reports'!G45</f>
      </c>
      <c r="K46">
        <f>'R.M Billets Reports'!H45</f>
      </c>
      <c r="L46">
        <f>IF('R.M Billets Reports'!I45="","",'R.M Billets Reports'!I45)</f>
      </c>
      <c r="M46">
        <f t="shared" si="0"/>
      </c>
      <c r="N46">
        <f>IF('R.M Billets Reports'!J45="","",'R.M Billets Reports'!J45)</f>
      </c>
      <c r="O46">
        <f t="shared" si="1"/>
      </c>
      <c r="P46">
        <f>IF('R.M Billets Reports'!A45="SIZE",'R.M Billets Reports'!B45,P45)</f>
      </c>
    </row>
    <row r="47" spans="1:16" x14ac:dyDescent="0.25">
      <c r="A47">
        <f>IF(OR('R.M Billets Reports'!A46="Date-",'R.M Billets Reports'!A46="Date:-"),IF(IF(IF(ISNUMBER(SEARCH("Party Name:-",'R.M Billets Reports'!D46)),TRIM('R.M Billets Reports'!F46),IF(ISNUMBER(SEARCH("Party Name-",'R.M Billets Reports'!D46)),TRIM(MID('R.M Billets Reports'!D46,SEARCH("-",'R.M Billets Reports'!D46)+1,200)),""))&lt;&gt;"",IF(ISNUMBER(SEARCH("Party Name:-",'R.M Billets Reports'!D46)),TRIM('R.M Billets Reports'!F46),IF(ISNUMBER(SEARCH("Party Name-",'R.M Billets Reports'!D46)),TRIM(MID('R.M Billets Reports'!D46,SEARCH("-",'R.M Billets Reports'!D46)+1,200)),"")),IF(ISNUMBER(SEARCH("Party Name:-",'R.M Billets Reports'!D47)),TRIM('R.M Billets Reports'!F47),IF(ISNUMBER(SEARCH("Party Name-",'R.M Billets Reports'!D47)),TRIM(MID('R.M Billets Reports'!D47,SEARCH("-",'R.M Billets Reports'!D47)+1,200)),"")))="VRKP ISPAT PVT LTD","VRKP",IF(IF(IF(ISNUMBER(SEARCH("Party Name:-",'R.M Billets Reports'!D46)),TRIM('R.M Billets Reports'!F46),IF(ISNUMBER(SEARCH("Party Name-",'R.M Billets Reports'!D46)),TRIM(MID('R.M Billets Reports'!D46,SEARCH("-",'R.M Billets Reports'!D46)+1,200)),""))&lt;&gt;"",IF(ISNUMBER(SEARCH("Party Name:-",'R.M Billets Reports'!D46)),TRIM('R.M Billets Reports'!F46),IF(ISNUMBER(SEARCH("Party Name-",'R.M Billets Reports'!D46)),TRIM(MID('R.M Billets Reports'!D46,SEARCH("-",'R.M Billets Reports'!D46)+1,200)),"")),IF(ISNUMBER(SEARCH("Party Name:-",'R.M Billets Reports'!D47)),TRIM('R.M Billets Reports'!F47),IF(ISNUMBER(SEARCH("Party Name-",'R.M Billets Reports'!D47)),TRIM(MID('R.M Billets Reports'!D47,SEARCH("-",'R.M Billets Reports'!D47)+1,200)),"")))="SHRI RADHE","SHREE RADHE",IF(IF(IF(ISNUMBER(SEARCH("Party Name:-",'R.M Billets Reports'!D46)),TRIM('R.M Billets Reports'!F46),IF(ISNUMBER(SEARCH("Party Name-",'R.M Billets Reports'!D46)),TRIM(MID('R.M Billets Reports'!D46,SEARCH("-",'R.M Billets Reports'!D46)+1,200)),""))&lt;&gt;"",IF(ISNUMBER(SEARCH("Party Name:-",'R.M Billets Reports'!D46)),TRIM('R.M Billets Reports'!F46),IF(ISNUMBER(SEARCH("Party Name-",'R.M Billets Reports'!D46)),TRIM(MID('R.M Billets Reports'!D46,SEARCH("-",'R.M Billets Reports'!D46)+1,200)),"")),IF(ISNUMBER(SEARCH("Party Name:-",'R.M Billets Reports'!D47)),TRIM('R.M Billets Reports'!F47),IF(ISNUMBER(SEARCH("Party Name-",'R.M Billets Reports'!D47)),TRIM(MID('R.M Billets Reports'!D47,SEARCH("-",'R.M Billets Reports'!D47)+1,200)),"")))="SHREE RADHE SHAKTI SPONGE AND POWER PVT. LTD.","SHREE RADHE",IF(IF(ISNUMBER(SEARCH("Party Name:-",'R.M Billets Reports'!D46)),TRIM('R.M Billets Reports'!F46),IF(ISNUMBER(SEARCH("Party Name-",'R.M Billets Reports'!D46)),TRIM(MID('R.M Billets Reports'!D46,SEARCH("-",'R.M Billets Reports'!D46)+1,200)),""))&lt;&gt;"",IF(ISNUMBER(SEARCH("Party Name:-",'R.M Billets Reports'!D46)),TRIM('R.M Billets Reports'!F46),IF(ISNUMBER(SEARCH("Party Name-",'R.M Billets Reports'!D46)),TRIM(MID('R.M Billets Reports'!D46,SEARCH("-",'R.M Billets Reports'!D46)+1,200)),"")),IF(ISNUMBER(SEARCH("Party Name:-",'R.M Billets Reports'!D47)),TRIM('R.M Billets Reports'!F47),IF(ISNUMBER(SEARCH("Party Name-",'R.M Billets Reports'!D47)),TRIM(MID('R.M Billets Reports'!D47,SEARCH("-",'R.M Billets Reports'!D47)+1,200)),"")))))),IF(ROW()=2,"",A46))</f>
      </c>
      <c r="B47">
        <f>IF(OR('R.M Billets Reports'!A46="Date-",'R.M Billets Reports'!A46="Date:-"),'R.M Billets Reports'!B46,IF(ROW()=2,"",B46))</f>
      </c>
      <c r="C47">
        <f>IF('R.M Billets Reports'!A46="V.No.",'R.M Billets Reports'!B46,IF(ROW()=2,"",C46))</f>
      </c>
      <c r="D47">
        <f>IF('R.M Billets Reports'!A46&lt;&gt;"",'R.M Billets Reports'!A46,IF(ROW()=2,"",D46))</f>
      </c>
      <c r="E47">
        <f>IF('R.M Billets Reports'!B46="","",TRIM('R.M Billets Reports'!B46))</f>
      </c>
      <c r="F47">
        <f>'R.M Billets Reports'!C46</f>
      </c>
      <c r="G47">
        <f>'R.M Billets Reports'!D46</f>
      </c>
      <c r="H47">
        <f>'R.M Billets Reports'!E46</f>
      </c>
      <c r="I47">
        <f>'R.M Billets Reports'!F46</f>
      </c>
      <c r="J47">
        <f>'R.M Billets Reports'!G46</f>
      </c>
      <c r="K47">
        <f>'R.M Billets Reports'!H46</f>
      </c>
      <c r="L47">
        <f>IF('R.M Billets Reports'!I46="","",'R.M Billets Reports'!I46)</f>
      </c>
      <c r="M47">
        <f t="shared" si="0"/>
      </c>
      <c r="N47">
        <f>IF('R.M Billets Reports'!J46="","",'R.M Billets Reports'!J46)</f>
      </c>
      <c r="O47">
        <f t="shared" si="1"/>
      </c>
      <c r="P47">
        <f>IF('R.M Billets Reports'!A46="SIZE",'R.M Billets Reports'!B46,P46)</f>
      </c>
    </row>
    <row r="48" spans="1:16" x14ac:dyDescent="0.25">
      <c r="A48">
        <f>IF(OR('R.M Billets Reports'!A47="Date-",'R.M Billets Reports'!A47="Date:-"),IF(IF(IF(ISNUMBER(SEARCH("Party Name:-",'R.M Billets Reports'!D47)),TRIM('R.M Billets Reports'!F47),IF(ISNUMBER(SEARCH("Party Name-",'R.M Billets Reports'!D47)),TRIM(MID('R.M Billets Reports'!D47,SEARCH("-",'R.M Billets Reports'!D47)+1,200)),""))&lt;&gt;"",IF(ISNUMBER(SEARCH("Party Name:-",'R.M Billets Reports'!D47)),TRIM('R.M Billets Reports'!F47),IF(ISNUMBER(SEARCH("Party Name-",'R.M Billets Reports'!D47)),TRIM(MID('R.M Billets Reports'!D47,SEARCH("-",'R.M Billets Reports'!D47)+1,200)),"")),IF(ISNUMBER(SEARCH("Party Name:-",'R.M Billets Reports'!D48)),TRIM('R.M Billets Reports'!F48),IF(ISNUMBER(SEARCH("Party Name-",'R.M Billets Reports'!D48)),TRIM(MID('R.M Billets Reports'!D48,SEARCH("-",'R.M Billets Reports'!D48)+1,200)),"")))="VRKP ISPAT PVT LTD","VRKP",IF(IF(IF(ISNUMBER(SEARCH("Party Name:-",'R.M Billets Reports'!D47)),TRIM('R.M Billets Reports'!F47),IF(ISNUMBER(SEARCH("Party Name-",'R.M Billets Reports'!D47)),TRIM(MID('R.M Billets Reports'!D47,SEARCH("-",'R.M Billets Reports'!D47)+1,200)),""))&lt;&gt;"",IF(ISNUMBER(SEARCH("Party Name:-",'R.M Billets Reports'!D47)),TRIM('R.M Billets Reports'!F47),IF(ISNUMBER(SEARCH("Party Name-",'R.M Billets Reports'!D47)),TRIM(MID('R.M Billets Reports'!D47,SEARCH("-",'R.M Billets Reports'!D47)+1,200)),"")),IF(ISNUMBER(SEARCH("Party Name:-",'R.M Billets Reports'!D48)),TRIM('R.M Billets Reports'!F48),IF(ISNUMBER(SEARCH("Party Name-",'R.M Billets Reports'!D48)),TRIM(MID('R.M Billets Reports'!D48,SEARCH("-",'R.M Billets Reports'!D48)+1,200)),"")))="SHRI RADHE","SHREE RADHE",IF(IF(IF(ISNUMBER(SEARCH("Party Name:-",'R.M Billets Reports'!D47)),TRIM('R.M Billets Reports'!F47),IF(ISNUMBER(SEARCH("Party Name-",'R.M Billets Reports'!D47)),TRIM(MID('R.M Billets Reports'!D47,SEARCH("-",'R.M Billets Reports'!D47)+1,200)),""))&lt;&gt;"",IF(ISNUMBER(SEARCH("Party Name:-",'R.M Billets Reports'!D47)),TRIM('R.M Billets Reports'!F47),IF(ISNUMBER(SEARCH("Party Name-",'R.M Billets Reports'!D47)),TRIM(MID('R.M Billets Reports'!D47,SEARCH("-",'R.M Billets Reports'!D47)+1,200)),"")),IF(ISNUMBER(SEARCH("Party Name:-",'R.M Billets Reports'!D48)),TRIM('R.M Billets Reports'!F48),IF(ISNUMBER(SEARCH("Party Name-",'R.M Billets Reports'!D48)),TRIM(MID('R.M Billets Reports'!D48,SEARCH("-",'R.M Billets Reports'!D48)+1,200)),"")))="SHREE RADHE SHAKTI SPONGE AND POWER PVT. LTD.","SHREE RADHE",IF(IF(ISNUMBER(SEARCH("Party Name:-",'R.M Billets Reports'!D47)),TRIM('R.M Billets Reports'!F47),IF(ISNUMBER(SEARCH("Party Name-",'R.M Billets Reports'!D47)),TRIM(MID('R.M Billets Reports'!D47,SEARCH("-",'R.M Billets Reports'!D47)+1,200)),""))&lt;&gt;"",IF(ISNUMBER(SEARCH("Party Name:-",'R.M Billets Reports'!D47)),TRIM('R.M Billets Reports'!F47),IF(ISNUMBER(SEARCH("Party Name-",'R.M Billets Reports'!D47)),TRIM(MID('R.M Billets Reports'!D47,SEARCH("-",'R.M Billets Reports'!D47)+1,200)),"")),IF(ISNUMBER(SEARCH("Party Name:-",'R.M Billets Reports'!D48)),TRIM('R.M Billets Reports'!F48),IF(ISNUMBER(SEARCH("Party Name-",'R.M Billets Reports'!D48)),TRIM(MID('R.M Billets Reports'!D48,SEARCH("-",'R.M Billets Reports'!D48)+1,200)),"")))))),IF(ROW()=2,"",A47))</f>
      </c>
      <c r="B48">
        <f>IF(OR('R.M Billets Reports'!A47="Date-",'R.M Billets Reports'!A47="Date:-"),'R.M Billets Reports'!B47,IF(ROW()=2,"",B47))</f>
      </c>
      <c r="C48">
        <f>IF('R.M Billets Reports'!A47="V.No.",'R.M Billets Reports'!B47,IF(ROW()=2,"",C47))</f>
      </c>
      <c r="D48">
        <f>IF('R.M Billets Reports'!A47&lt;&gt;"",'R.M Billets Reports'!A47,IF(ROW()=2,"",D47))</f>
      </c>
      <c r="E48">
        <f>IF('R.M Billets Reports'!B47="","",TRIM('R.M Billets Reports'!B47))</f>
      </c>
      <c r="F48">
        <f>'R.M Billets Reports'!C47</f>
      </c>
      <c r="G48">
        <f>'R.M Billets Reports'!D47</f>
      </c>
      <c r="H48">
        <f>'R.M Billets Reports'!E47</f>
      </c>
      <c r="I48">
        <f>'R.M Billets Reports'!F47</f>
      </c>
      <c r="J48">
        <f>'R.M Billets Reports'!G47</f>
      </c>
      <c r="K48">
        <f>'R.M Billets Reports'!H47</f>
      </c>
      <c r="L48">
        <f>IF('R.M Billets Reports'!I47="","",'R.M Billets Reports'!I47)</f>
      </c>
      <c r="M48">
        <f t="shared" si="0"/>
      </c>
      <c r="N48">
        <f>IF('R.M Billets Reports'!J47="","",'R.M Billets Reports'!J47)</f>
      </c>
      <c r="O48">
        <f t="shared" si="1"/>
      </c>
      <c r="P48">
        <f>IF('R.M Billets Reports'!A47="SIZE",'R.M Billets Reports'!B47,P47)</f>
      </c>
    </row>
    <row r="49" spans="1:16" x14ac:dyDescent="0.25">
      <c r="A49">
        <f>IF(OR('R.M Billets Reports'!A48="Date-",'R.M Billets Reports'!A48="Date:-"),IF(IF(IF(ISNUMBER(SEARCH("Party Name:-",'R.M Billets Reports'!D48)),TRIM('R.M Billets Reports'!F48),IF(ISNUMBER(SEARCH("Party Name-",'R.M Billets Reports'!D48)),TRIM(MID('R.M Billets Reports'!D48,SEARCH("-",'R.M Billets Reports'!D48)+1,200)),""))&lt;&gt;"",IF(ISNUMBER(SEARCH("Party Name:-",'R.M Billets Reports'!D48)),TRIM('R.M Billets Reports'!F48),IF(ISNUMBER(SEARCH("Party Name-",'R.M Billets Reports'!D48)),TRIM(MID('R.M Billets Reports'!D48,SEARCH("-",'R.M Billets Reports'!D48)+1,200)),"")),IF(ISNUMBER(SEARCH("Party Name:-",'R.M Billets Reports'!D49)),TRIM('R.M Billets Reports'!F49),IF(ISNUMBER(SEARCH("Party Name-",'R.M Billets Reports'!D49)),TRIM(MID('R.M Billets Reports'!D49,SEARCH("-",'R.M Billets Reports'!D49)+1,200)),"")))="VRKP ISPAT PVT LTD","VRKP",IF(IF(IF(ISNUMBER(SEARCH("Party Name:-",'R.M Billets Reports'!D48)),TRIM('R.M Billets Reports'!F48),IF(ISNUMBER(SEARCH("Party Name-",'R.M Billets Reports'!D48)),TRIM(MID('R.M Billets Reports'!D48,SEARCH("-",'R.M Billets Reports'!D48)+1,200)),""))&lt;&gt;"",IF(ISNUMBER(SEARCH("Party Name:-",'R.M Billets Reports'!D48)),TRIM('R.M Billets Reports'!F48),IF(ISNUMBER(SEARCH("Party Name-",'R.M Billets Reports'!D48)),TRIM(MID('R.M Billets Reports'!D48,SEARCH("-",'R.M Billets Reports'!D48)+1,200)),"")),IF(ISNUMBER(SEARCH("Party Name:-",'R.M Billets Reports'!D49)),TRIM('R.M Billets Reports'!F49),IF(ISNUMBER(SEARCH("Party Name-",'R.M Billets Reports'!D49)),TRIM(MID('R.M Billets Reports'!D49,SEARCH("-",'R.M Billets Reports'!D49)+1,200)),"")))="SHRI RADHE","SHREE RADHE",IF(IF(IF(ISNUMBER(SEARCH("Party Name:-",'R.M Billets Reports'!D48)),TRIM('R.M Billets Reports'!F48),IF(ISNUMBER(SEARCH("Party Name-",'R.M Billets Reports'!D48)),TRIM(MID('R.M Billets Reports'!D48,SEARCH("-",'R.M Billets Reports'!D48)+1,200)),""))&lt;&gt;"",IF(ISNUMBER(SEARCH("Party Name:-",'R.M Billets Reports'!D48)),TRIM('R.M Billets Reports'!F48),IF(ISNUMBER(SEARCH("Party Name-",'R.M Billets Reports'!D48)),TRIM(MID('R.M Billets Reports'!D48,SEARCH("-",'R.M Billets Reports'!D48)+1,200)),"")),IF(ISNUMBER(SEARCH("Party Name:-",'R.M Billets Reports'!D49)),TRIM('R.M Billets Reports'!F49),IF(ISNUMBER(SEARCH("Party Name-",'R.M Billets Reports'!D49)),TRIM(MID('R.M Billets Reports'!D49,SEARCH("-",'R.M Billets Reports'!D49)+1,200)),"")))="SHREE RADHE SHAKTI SPONGE AND POWER PVT. LTD.","SHREE RADHE",IF(IF(ISNUMBER(SEARCH("Party Name:-",'R.M Billets Reports'!D48)),TRIM('R.M Billets Reports'!F48),IF(ISNUMBER(SEARCH("Party Name-",'R.M Billets Reports'!D48)),TRIM(MID('R.M Billets Reports'!D48,SEARCH("-",'R.M Billets Reports'!D48)+1,200)),""))&lt;&gt;"",IF(ISNUMBER(SEARCH("Party Name:-",'R.M Billets Reports'!D48)),TRIM('R.M Billets Reports'!F48),IF(ISNUMBER(SEARCH("Party Name-",'R.M Billets Reports'!D48)),TRIM(MID('R.M Billets Reports'!D48,SEARCH("-",'R.M Billets Reports'!D48)+1,200)),"")),IF(ISNUMBER(SEARCH("Party Name:-",'R.M Billets Reports'!D49)),TRIM('R.M Billets Reports'!F49),IF(ISNUMBER(SEARCH("Party Name-",'R.M Billets Reports'!D49)),TRIM(MID('R.M Billets Reports'!D49,SEARCH("-",'R.M Billets Reports'!D49)+1,200)),"")))))),IF(ROW()=2,"",A48))</f>
      </c>
      <c r="B49">
        <f>IF(OR('R.M Billets Reports'!A48="Date-",'R.M Billets Reports'!A48="Date:-"),'R.M Billets Reports'!B48,IF(ROW()=2,"",B48))</f>
      </c>
      <c r="C49">
        <f>IF('R.M Billets Reports'!A48="V.No.",'R.M Billets Reports'!B48,IF(ROW()=2,"",C48))</f>
      </c>
      <c r="D49">
        <f>IF('R.M Billets Reports'!A48&lt;&gt;"",'R.M Billets Reports'!A48,IF(ROW()=2,"",D48))</f>
      </c>
      <c r="E49">
        <f>IF('R.M Billets Reports'!B48="","",TRIM('R.M Billets Reports'!B48))</f>
      </c>
      <c r="F49">
        <f>'R.M Billets Reports'!C48</f>
      </c>
      <c r="G49">
        <f>'R.M Billets Reports'!D48</f>
      </c>
      <c r="H49">
        <f>'R.M Billets Reports'!E48</f>
      </c>
      <c r="I49">
        <f>'R.M Billets Reports'!F48</f>
      </c>
      <c r="J49">
        <f>'R.M Billets Reports'!G48</f>
      </c>
      <c r="K49">
        <f>'R.M Billets Reports'!H48</f>
      </c>
      <c r="L49">
        <f>IF('R.M Billets Reports'!I48="","",'R.M Billets Reports'!I48)</f>
      </c>
      <c r="M49">
        <f t="shared" si="0"/>
      </c>
      <c r="N49">
        <f>IF('R.M Billets Reports'!J48="","",'R.M Billets Reports'!J48)</f>
      </c>
      <c r="O49">
        <f t="shared" si="1"/>
      </c>
      <c r="P49">
        <f>IF('R.M Billets Reports'!A48="SIZE",'R.M Billets Reports'!B48,P48)</f>
      </c>
    </row>
    <row r="50" spans="1:16" x14ac:dyDescent="0.25">
      <c r="A50">
        <f>IF(OR('R.M Billets Reports'!A49="Date-",'R.M Billets Reports'!A49="Date:-"),IF(IF(IF(ISNUMBER(SEARCH("Party Name:-",'R.M Billets Reports'!D49)),TRIM('R.M Billets Reports'!F49),IF(ISNUMBER(SEARCH("Party Name-",'R.M Billets Reports'!D49)),TRIM(MID('R.M Billets Reports'!D49,SEARCH("-",'R.M Billets Reports'!D49)+1,200)),""))&lt;&gt;"",IF(ISNUMBER(SEARCH("Party Name:-",'R.M Billets Reports'!D49)),TRIM('R.M Billets Reports'!F49),IF(ISNUMBER(SEARCH("Party Name-",'R.M Billets Reports'!D49)),TRIM(MID('R.M Billets Reports'!D49,SEARCH("-",'R.M Billets Reports'!D49)+1,200)),"")),IF(ISNUMBER(SEARCH("Party Name:-",'R.M Billets Reports'!D50)),TRIM('R.M Billets Reports'!F50),IF(ISNUMBER(SEARCH("Party Name-",'R.M Billets Reports'!D50)),TRIM(MID('R.M Billets Reports'!D50,SEARCH("-",'R.M Billets Reports'!D50)+1,200)),"")))="VRKP ISPAT PVT LTD","VRKP",IF(IF(IF(ISNUMBER(SEARCH("Party Name:-",'R.M Billets Reports'!D49)),TRIM('R.M Billets Reports'!F49),IF(ISNUMBER(SEARCH("Party Name-",'R.M Billets Reports'!D49)),TRIM(MID('R.M Billets Reports'!D49,SEARCH("-",'R.M Billets Reports'!D49)+1,200)),""))&lt;&gt;"",IF(ISNUMBER(SEARCH("Party Name:-",'R.M Billets Reports'!D49)),TRIM('R.M Billets Reports'!F49),IF(ISNUMBER(SEARCH("Party Name-",'R.M Billets Reports'!D49)),TRIM(MID('R.M Billets Reports'!D49,SEARCH("-",'R.M Billets Reports'!D49)+1,200)),"")),IF(ISNUMBER(SEARCH("Party Name:-",'R.M Billets Reports'!D50)),TRIM('R.M Billets Reports'!F50),IF(ISNUMBER(SEARCH("Party Name-",'R.M Billets Reports'!D50)),TRIM(MID('R.M Billets Reports'!D50,SEARCH("-",'R.M Billets Reports'!D50)+1,200)),"")))="SHRI RADHE","SHREE RADHE",IF(IF(IF(ISNUMBER(SEARCH("Party Name:-",'R.M Billets Reports'!D49)),TRIM('R.M Billets Reports'!F49),IF(ISNUMBER(SEARCH("Party Name-",'R.M Billets Reports'!D49)),TRIM(MID('R.M Billets Reports'!D49,SEARCH("-",'R.M Billets Reports'!D49)+1,200)),""))&lt;&gt;"",IF(ISNUMBER(SEARCH("Party Name:-",'R.M Billets Reports'!D49)),TRIM('R.M Billets Reports'!F49),IF(ISNUMBER(SEARCH("Party Name-",'R.M Billets Reports'!D49)),TRIM(MID('R.M Billets Reports'!D49,SEARCH("-",'R.M Billets Reports'!D49)+1,200)),"")),IF(ISNUMBER(SEARCH("Party Name:-",'R.M Billets Reports'!D50)),TRIM('R.M Billets Reports'!F50),IF(ISNUMBER(SEARCH("Party Name-",'R.M Billets Reports'!D50)),TRIM(MID('R.M Billets Reports'!D50,SEARCH("-",'R.M Billets Reports'!D50)+1,200)),"")))="SHREE RADHE SHAKTI SPONGE AND POWER PVT. LTD.","SHREE RADHE",IF(IF(ISNUMBER(SEARCH("Party Name:-",'R.M Billets Reports'!D49)),TRIM('R.M Billets Reports'!F49),IF(ISNUMBER(SEARCH("Party Name-",'R.M Billets Reports'!D49)),TRIM(MID('R.M Billets Reports'!D49,SEARCH("-",'R.M Billets Reports'!D49)+1,200)),""))&lt;&gt;"",IF(ISNUMBER(SEARCH("Party Name:-",'R.M Billets Reports'!D49)),TRIM('R.M Billets Reports'!F49),IF(ISNUMBER(SEARCH("Party Name-",'R.M Billets Reports'!D49)),TRIM(MID('R.M Billets Reports'!D49,SEARCH("-",'R.M Billets Reports'!D49)+1,200)),"")),IF(ISNUMBER(SEARCH("Party Name:-",'R.M Billets Reports'!D50)),TRIM('R.M Billets Reports'!F50),IF(ISNUMBER(SEARCH("Party Name-",'R.M Billets Reports'!D50)),TRIM(MID('R.M Billets Reports'!D50,SEARCH("-",'R.M Billets Reports'!D50)+1,200)),"")))))),IF(ROW()=2,"",A49))</f>
      </c>
      <c r="B50">
        <f>IF(OR('R.M Billets Reports'!A49="Date-",'R.M Billets Reports'!A49="Date:-"),'R.M Billets Reports'!B49,IF(ROW()=2,"",B49))</f>
      </c>
      <c r="C50">
        <f>IF('R.M Billets Reports'!A49="V.No.",'R.M Billets Reports'!B49,IF(ROW()=2,"",C49))</f>
      </c>
      <c r="D50">
        <f>IF('R.M Billets Reports'!A49&lt;&gt;"",'R.M Billets Reports'!A49,IF(ROW()=2,"",D49))</f>
      </c>
      <c r="E50">
        <f>IF('R.M Billets Reports'!B49="","",TRIM('R.M Billets Reports'!B49))</f>
      </c>
      <c r="F50">
        <f>'R.M Billets Reports'!C49</f>
      </c>
      <c r="G50">
        <f>'R.M Billets Reports'!D49</f>
      </c>
      <c r="H50">
        <f>'R.M Billets Reports'!E49</f>
      </c>
      <c r="I50">
        <f>'R.M Billets Reports'!F49</f>
      </c>
      <c r="J50">
        <f>'R.M Billets Reports'!G49</f>
      </c>
      <c r="K50">
        <f>'R.M Billets Reports'!H49</f>
      </c>
      <c r="L50">
        <f>IF('R.M Billets Reports'!I49="","",'R.M Billets Reports'!I49)</f>
      </c>
      <c r="M50">
        <f t="shared" si="0"/>
      </c>
      <c r="N50">
        <f>IF('R.M Billets Reports'!J49="","",'R.M Billets Reports'!J49)</f>
      </c>
      <c r="O50">
        <f t="shared" si="1"/>
      </c>
      <c r="P50">
        <f>IF('R.M Billets Reports'!A49="SIZE",'R.M Billets Reports'!B49,P49)</f>
      </c>
    </row>
    <row r="51" spans="1:16" x14ac:dyDescent="0.25">
      <c r="A51">
        <f>IF(OR('R.M Billets Reports'!A50="Date-",'R.M Billets Reports'!A50="Date:-"),IF(IF(IF(ISNUMBER(SEARCH("Party Name:-",'R.M Billets Reports'!D50)),TRIM('R.M Billets Reports'!F50),IF(ISNUMBER(SEARCH("Party Name-",'R.M Billets Reports'!D50)),TRIM(MID('R.M Billets Reports'!D50,SEARCH("-",'R.M Billets Reports'!D50)+1,200)),""))&lt;&gt;"",IF(ISNUMBER(SEARCH("Party Name:-",'R.M Billets Reports'!D50)),TRIM('R.M Billets Reports'!F50),IF(ISNUMBER(SEARCH("Party Name-",'R.M Billets Reports'!D50)),TRIM(MID('R.M Billets Reports'!D50,SEARCH("-",'R.M Billets Reports'!D50)+1,200)),"")),IF(ISNUMBER(SEARCH("Party Name:-",'R.M Billets Reports'!D51)),TRIM('R.M Billets Reports'!F51),IF(ISNUMBER(SEARCH("Party Name-",'R.M Billets Reports'!D51)),TRIM(MID('R.M Billets Reports'!D51,SEARCH("-",'R.M Billets Reports'!D51)+1,200)),"")))="VRKP ISPAT PVT LTD","VRKP",IF(IF(IF(ISNUMBER(SEARCH("Party Name:-",'R.M Billets Reports'!D50)),TRIM('R.M Billets Reports'!F50),IF(ISNUMBER(SEARCH("Party Name-",'R.M Billets Reports'!D50)),TRIM(MID('R.M Billets Reports'!D50,SEARCH("-",'R.M Billets Reports'!D50)+1,200)),""))&lt;&gt;"",IF(ISNUMBER(SEARCH("Party Name:-",'R.M Billets Reports'!D50)),TRIM('R.M Billets Reports'!F50),IF(ISNUMBER(SEARCH("Party Name-",'R.M Billets Reports'!D50)),TRIM(MID('R.M Billets Reports'!D50,SEARCH("-",'R.M Billets Reports'!D50)+1,200)),"")),IF(ISNUMBER(SEARCH("Party Name:-",'R.M Billets Reports'!D51)),TRIM('R.M Billets Reports'!F51),IF(ISNUMBER(SEARCH("Party Name-",'R.M Billets Reports'!D51)),TRIM(MID('R.M Billets Reports'!D51,SEARCH("-",'R.M Billets Reports'!D51)+1,200)),"")))="SHRI RADHE","SHREE RADHE",IF(IF(IF(ISNUMBER(SEARCH("Party Name:-",'R.M Billets Reports'!D50)),TRIM('R.M Billets Reports'!F50),IF(ISNUMBER(SEARCH("Party Name-",'R.M Billets Reports'!D50)),TRIM(MID('R.M Billets Reports'!D50,SEARCH("-",'R.M Billets Reports'!D50)+1,200)),""))&lt;&gt;"",IF(ISNUMBER(SEARCH("Party Name:-",'R.M Billets Reports'!D50)),TRIM('R.M Billets Reports'!F50),IF(ISNUMBER(SEARCH("Party Name-",'R.M Billets Reports'!D50)),TRIM(MID('R.M Billets Reports'!D50,SEARCH("-",'R.M Billets Reports'!D50)+1,200)),"")),IF(ISNUMBER(SEARCH("Party Name:-",'R.M Billets Reports'!D51)),TRIM('R.M Billets Reports'!F51),IF(ISNUMBER(SEARCH("Party Name-",'R.M Billets Reports'!D51)),TRIM(MID('R.M Billets Reports'!D51,SEARCH("-",'R.M Billets Reports'!D51)+1,200)),"")))="SHREE RADHE SHAKTI SPONGE AND POWER PVT. LTD.","SHREE RADHE",IF(IF(ISNUMBER(SEARCH("Party Name:-",'R.M Billets Reports'!D50)),TRIM('R.M Billets Reports'!F50),IF(ISNUMBER(SEARCH("Party Name-",'R.M Billets Reports'!D50)),TRIM(MID('R.M Billets Reports'!D50,SEARCH("-",'R.M Billets Reports'!D50)+1,200)),""))&lt;&gt;"",IF(ISNUMBER(SEARCH("Party Name:-",'R.M Billets Reports'!D50)),TRIM('R.M Billets Reports'!F50),IF(ISNUMBER(SEARCH("Party Name-",'R.M Billets Reports'!D50)),TRIM(MID('R.M Billets Reports'!D50,SEARCH("-",'R.M Billets Reports'!D50)+1,200)),"")),IF(ISNUMBER(SEARCH("Party Name:-",'R.M Billets Reports'!D51)),TRIM('R.M Billets Reports'!F51),IF(ISNUMBER(SEARCH("Party Name-",'R.M Billets Reports'!D51)),TRIM(MID('R.M Billets Reports'!D51,SEARCH("-",'R.M Billets Reports'!D51)+1,200)),"")))))),IF(ROW()=2,"",A50))</f>
      </c>
      <c r="B51">
        <f>IF(OR('R.M Billets Reports'!A50="Date-",'R.M Billets Reports'!A50="Date:-"),'R.M Billets Reports'!B50,IF(ROW()=2,"",B50))</f>
      </c>
      <c r="C51">
        <f>IF('R.M Billets Reports'!A50="V.No.",'R.M Billets Reports'!B50,IF(ROW()=2,"",C50))</f>
      </c>
      <c r="D51">
        <f>IF('R.M Billets Reports'!A50&lt;&gt;"",'R.M Billets Reports'!A50,IF(ROW()=2,"",D50))</f>
      </c>
      <c r="E51">
        <f>IF('R.M Billets Reports'!B50="","",TRIM('R.M Billets Reports'!B50))</f>
      </c>
      <c r="F51">
        <f>'R.M Billets Reports'!C50</f>
      </c>
      <c r="G51">
        <f>'R.M Billets Reports'!D50</f>
      </c>
      <c r="H51">
        <f>'R.M Billets Reports'!E50</f>
      </c>
      <c r="I51">
        <f>'R.M Billets Reports'!F50</f>
      </c>
      <c r="J51">
        <f>'R.M Billets Reports'!G50</f>
      </c>
      <c r="K51">
        <f>'R.M Billets Reports'!H50</f>
      </c>
      <c r="L51">
        <f>IF('R.M Billets Reports'!I50="","",'R.M Billets Reports'!I50)</f>
      </c>
      <c r="M51">
        <f t="shared" si="0"/>
      </c>
      <c r="N51">
        <f>IF('R.M Billets Reports'!J50="","",'R.M Billets Reports'!J50)</f>
      </c>
      <c r="O51">
        <f t="shared" si="1"/>
      </c>
      <c r="P51">
        <f>IF('R.M Billets Reports'!A50="SIZE",'R.M Billets Reports'!B50,P50)</f>
      </c>
    </row>
    <row r="52" spans="1:16" x14ac:dyDescent="0.25">
      <c r="A52">
        <f>IF(OR('R.M Billets Reports'!A51="Date-",'R.M Billets Reports'!A51="Date:-"),IF(IF(IF(ISNUMBER(SEARCH("Party Name:-",'R.M Billets Reports'!D51)),TRIM('R.M Billets Reports'!F51),IF(ISNUMBER(SEARCH("Party Name-",'R.M Billets Reports'!D51)),TRIM(MID('R.M Billets Reports'!D51,SEARCH("-",'R.M Billets Reports'!D51)+1,200)),""))&lt;&gt;"",IF(ISNUMBER(SEARCH("Party Name:-",'R.M Billets Reports'!D51)),TRIM('R.M Billets Reports'!F51),IF(ISNUMBER(SEARCH("Party Name-",'R.M Billets Reports'!D51)),TRIM(MID('R.M Billets Reports'!D51,SEARCH("-",'R.M Billets Reports'!D51)+1,200)),"")),IF(ISNUMBER(SEARCH("Party Name:-",'R.M Billets Reports'!D52)),TRIM('R.M Billets Reports'!F52),IF(ISNUMBER(SEARCH("Party Name-",'R.M Billets Reports'!D52)),TRIM(MID('R.M Billets Reports'!D52,SEARCH("-",'R.M Billets Reports'!D52)+1,200)),"")))="VRKP ISPAT PVT LTD","VRKP",IF(IF(IF(ISNUMBER(SEARCH("Party Name:-",'R.M Billets Reports'!D51)),TRIM('R.M Billets Reports'!F51),IF(ISNUMBER(SEARCH("Party Name-",'R.M Billets Reports'!D51)),TRIM(MID('R.M Billets Reports'!D51,SEARCH("-",'R.M Billets Reports'!D51)+1,200)),""))&lt;&gt;"",IF(ISNUMBER(SEARCH("Party Name:-",'R.M Billets Reports'!D51)),TRIM('R.M Billets Reports'!F51),IF(ISNUMBER(SEARCH("Party Name-",'R.M Billets Reports'!D51)),TRIM(MID('R.M Billets Reports'!D51,SEARCH("-",'R.M Billets Reports'!D51)+1,200)),"")),IF(ISNUMBER(SEARCH("Party Name:-",'R.M Billets Reports'!D52)),TRIM('R.M Billets Reports'!F52),IF(ISNUMBER(SEARCH("Party Name-",'R.M Billets Reports'!D52)),TRIM(MID('R.M Billets Reports'!D52,SEARCH("-",'R.M Billets Reports'!D52)+1,200)),"")))="SHRI RADHE","SHREE RADHE",IF(IF(IF(ISNUMBER(SEARCH("Party Name:-",'R.M Billets Reports'!D51)),TRIM('R.M Billets Reports'!F51),IF(ISNUMBER(SEARCH("Party Name-",'R.M Billets Reports'!D51)),TRIM(MID('R.M Billets Reports'!D51,SEARCH("-",'R.M Billets Reports'!D51)+1,200)),""))&lt;&gt;"",IF(ISNUMBER(SEARCH("Party Name:-",'R.M Billets Reports'!D51)),TRIM('R.M Billets Reports'!F51),IF(ISNUMBER(SEARCH("Party Name-",'R.M Billets Reports'!D51)),TRIM(MID('R.M Billets Reports'!D51,SEARCH("-",'R.M Billets Reports'!D51)+1,200)),"")),IF(ISNUMBER(SEARCH("Party Name:-",'R.M Billets Reports'!D52)),TRIM('R.M Billets Reports'!F52),IF(ISNUMBER(SEARCH("Party Name-",'R.M Billets Reports'!D52)),TRIM(MID('R.M Billets Reports'!D52,SEARCH("-",'R.M Billets Reports'!D52)+1,200)),"")))="SHREE RADHE SHAKTI SPONGE AND POWER PVT. LTD.","SHREE RADHE",IF(IF(ISNUMBER(SEARCH("Party Name:-",'R.M Billets Reports'!D51)),TRIM('R.M Billets Reports'!F51),IF(ISNUMBER(SEARCH("Party Name-",'R.M Billets Reports'!D51)),TRIM(MID('R.M Billets Reports'!D51,SEARCH("-",'R.M Billets Reports'!D51)+1,200)),""))&lt;&gt;"",IF(ISNUMBER(SEARCH("Party Name:-",'R.M Billets Reports'!D51)),TRIM('R.M Billets Reports'!F51),IF(ISNUMBER(SEARCH("Party Name-",'R.M Billets Reports'!D51)),TRIM(MID('R.M Billets Reports'!D51,SEARCH("-",'R.M Billets Reports'!D51)+1,200)),"")),IF(ISNUMBER(SEARCH("Party Name:-",'R.M Billets Reports'!D52)),TRIM('R.M Billets Reports'!F52),IF(ISNUMBER(SEARCH("Party Name-",'R.M Billets Reports'!D52)),TRIM(MID('R.M Billets Reports'!D52,SEARCH("-",'R.M Billets Reports'!D52)+1,200)),"")))))),IF(ROW()=2,"",A51))</f>
      </c>
      <c r="B52">
        <f>IF(OR('R.M Billets Reports'!A51="Date-",'R.M Billets Reports'!A51="Date:-"),'R.M Billets Reports'!B51,IF(ROW()=2,"",B51))</f>
      </c>
      <c r="C52">
        <f>IF('R.M Billets Reports'!A51="V.No.",'R.M Billets Reports'!B51,IF(ROW()=2,"",C51))</f>
      </c>
      <c r="D52">
        <f>IF('R.M Billets Reports'!A51&lt;&gt;"",'R.M Billets Reports'!A51,IF(ROW()=2,"",D51))</f>
      </c>
      <c r="E52">
        <f>IF('R.M Billets Reports'!B51="","",TRIM('R.M Billets Reports'!B51))</f>
      </c>
      <c r="F52">
        <f>'R.M Billets Reports'!C51</f>
      </c>
      <c r="G52">
        <f>'R.M Billets Reports'!D51</f>
      </c>
      <c r="H52">
        <f>'R.M Billets Reports'!E51</f>
      </c>
      <c r="I52">
        <f>'R.M Billets Reports'!F51</f>
      </c>
      <c r="J52">
        <f>'R.M Billets Reports'!G51</f>
      </c>
      <c r="K52">
        <f>'R.M Billets Reports'!H51</f>
      </c>
      <c r="L52">
        <f>IF('R.M Billets Reports'!I51="","",'R.M Billets Reports'!I51)</f>
      </c>
      <c r="M52">
        <f t="shared" si="0"/>
      </c>
      <c r="N52">
        <f>IF('R.M Billets Reports'!J51="","",'R.M Billets Reports'!J51)</f>
      </c>
      <c r="O52">
        <f t="shared" si="1"/>
      </c>
      <c r="P52">
        <f>IF('R.M Billets Reports'!A51="SIZE",'R.M Billets Reports'!B51,P51)</f>
      </c>
    </row>
    <row r="53" spans="1:16" x14ac:dyDescent="0.25">
      <c r="A53">
        <f>IF(OR('R.M Billets Reports'!A52="Date-",'R.M Billets Reports'!A52="Date:-"),IF(IF(IF(ISNUMBER(SEARCH("Party Name:-",'R.M Billets Reports'!D52)),TRIM('R.M Billets Reports'!F52),IF(ISNUMBER(SEARCH("Party Name-",'R.M Billets Reports'!D52)),TRIM(MID('R.M Billets Reports'!D52,SEARCH("-",'R.M Billets Reports'!D52)+1,200)),""))&lt;&gt;"",IF(ISNUMBER(SEARCH("Party Name:-",'R.M Billets Reports'!D52)),TRIM('R.M Billets Reports'!F52),IF(ISNUMBER(SEARCH("Party Name-",'R.M Billets Reports'!D52)),TRIM(MID('R.M Billets Reports'!D52,SEARCH("-",'R.M Billets Reports'!D52)+1,200)),"")),IF(ISNUMBER(SEARCH("Party Name:-",'R.M Billets Reports'!D53)),TRIM('R.M Billets Reports'!F53),IF(ISNUMBER(SEARCH("Party Name-",'R.M Billets Reports'!D53)),TRIM(MID('R.M Billets Reports'!D53,SEARCH("-",'R.M Billets Reports'!D53)+1,200)),"")))="VRKP ISPAT PVT LTD","VRKP",IF(IF(IF(ISNUMBER(SEARCH("Party Name:-",'R.M Billets Reports'!D52)),TRIM('R.M Billets Reports'!F52),IF(ISNUMBER(SEARCH("Party Name-",'R.M Billets Reports'!D52)),TRIM(MID('R.M Billets Reports'!D52,SEARCH("-",'R.M Billets Reports'!D52)+1,200)),""))&lt;&gt;"",IF(ISNUMBER(SEARCH("Party Name:-",'R.M Billets Reports'!D52)),TRIM('R.M Billets Reports'!F52),IF(ISNUMBER(SEARCH("Party Name-",'R.M Billets Reports'!D52)),TRIM(MID('R.M Billets Reports'!D52,SEARCH("-",'R.M Billets Reports'!D52)+1,200)),"")),IF(ISNUMBER(SEARCH("Party Name:-",'R.M Billets Reports'!D53)),TRIM('R.M Billets Reports'!F53),IF(ISNUMBER(SEARCH("Party Name-",'R.M Billets Reports'!D53)),TRIM(MID('R.M Billets Reports'!D53,SEARCH("-",'R.M Billets Reports'!D53)+1,200)),"")))="SHRI RADHE","SHREE RADHE",IF(IF(IF(ISNUMBER(SEARCH("Party Name:-",'R.M Billets Reports'!D52)),TRIM('R.M Billets Reports'!F52),IF(ISNUMBER(SEARCH("Party Name-",'R.M Billets Reports'!D52)),TRIM(MID('R.M Billets Reports'!D52,SEARCH("-",'R.M Billets Reports'!D52)+1,200)),""))&lt;&gt;"",IF(ISNUMBER(SEARCH("Party Name:-",'R.M Billets Reports'!D52)),TRIM('R.M Billets Reports'!F52),IF(ISNUMBER(SEARCH("Party Name-",'R.M Billets Reports'!D52)),TRIM(MID('R.M Billets Reports'!D52,SEARCH("-",'R.M Billets Reports'!D52)+1,200)),"")),IF(ISNUMBER(SEARCH("Party Name:-",'R.M Billets Reports'!D53)),TRIM('R.M Billets Reports'!F53),IF(ISNUMBER(SEARCH("Party Name-",'R.M Billets Reports'!D53)),TRIM(MID('R.M Billets Reports'!D53,SEARCH("-",'R.M Billets Reports'!D53)+1,200)),"")))="SHREE RADHE SHAKTI SPONGE AND POWER PVT. LTD.","SHREE RADHE",IF(IF(ISNUMBER(SEARCH("Party Name:-",'R.M Billets Reports'!D52)),TRIM('R.M Billets Reports'!F52),IF(ISNUMBER(SEARCH("Party Name-",'R.M Billets Reports'!D52)),TRIM(MID('R.M Billets Reports'!D52,SEARCH("-",'R.M Billets Reports'!D52)+1,200)),""))&lt;&gt;"",IF(ISNUMBER(SEARCH("Party Name:-",'R.M Billets Reports'!D52)),TRIM('R.M Billets Reports'!F52),IF(ISNUMBER(SEARCH("Party Name-",'R.M Billets Reports'!D52)),TRIM(MID('R.M Billets Reports'!D52,SEARCH("-",'R.M Billets Reports'!D52)+1,200)),"")),IF(ISNUMBER(SEARCH("Party Name:-",'R.M Billets Reports'!D53)),TRIM('R.M Billets Reports'!F53),IF(ISNUMBER(SEARCH("Party Name-",'R.M Billets Reports'!D53)),TRIM(MID('R.M Billets Reports'!D53,SEARCH("-",'R.M Billets Reports'!D53)+1,200)),"")))))),IF(ROW()=2,"",A52))</f>
      </c>
      <c r="B53">
        <f>IF(OR('R.M Billets Reports'!A52="Date-",'R.M Billets Reports'!A52="Date:-"),'R.M Billets Reports'!B52,IF(ROW()=2,"",B52))</f>
      </c>
      <c r="C53">
        <f>IF('R.M Billets Reports'!A52="V.No.",'R.M Billets Reports'!B52,IF(ROW()=2,"",C52))</f>
      </c>
      <c r="D53">
        <f>IF('R.M Billets Reports'!A52&lt;&gt;"",'R.M Billets Reports'!A52,IF(ROW()=2,"",D52))</f>
      </c>
      <c r="E53">
        <f>IF('R.M Billets Reports'!B52="","",TRIM('R.M Billets Reports'!B52))</f>
      </c>
      <c r="F53">
        <f>'R.M Billets Reports'!C52</f>
      </c>
      <c r="G53">
        <f>'R.M Billets Reports'!D52</f>
      </c>
      <c r="H53">
        <f>'R.M Billets Reports'!E52</f>
      </c>
      <c r="I53">
        <f>'R.M Billets Reports'!F52</f>
      </c>
      <c r="J53">
        <f>'R.M Billets Reports'!G52</f>
      </c>
      <c r="K53">
        <f>'R.M Billets Reports'!H52</f>
      </c>
      <c r="L53">
        <f>IF('R.M Billets Reports'!I52="","",'R.M Billets Reports'!I52)</f>
      </c>
      <c r="M53">
        <f t="shared" si="0"/>
      </c>
      <c r="N53">
        <f>IF('R.M Billets Reports'!J52="","",'R.M Billets Reports'!J52)</f>
      </c>
      <c r="O53">
        <f t="shared" si="1"/>
      </c>
      <c r="P53">
        <f>IF('R.M Billets Reports'!A52="SIZE",'R.M Billets Reports'!B52,P52)</f>
      </c>
    </row>
    <row r="54" spans="1:16" x14ac:dyDescent="0.25">
      <c r="A54">
        <f>IF(OR('R.M Billets Reports'!A53="Date-",'R.M Billets Reports'!A53="Date:-"),IF(IF(IF(ISNUMBER(SEARCH("Party Name:-",'R.M Billets Reports'!D53)),TRIM('R.M Billets Reports'!F53),IF(ISNUMBER(SEARCH("Party Name-",'R.M Billets Reports'!D53)),TRIM(MID('R.M Billets Reports'!D53,SEARCH("-",'R.M Billets Reports'!D53)+1,200)),""))&lt;&gt;"",IF(ISNUMBER(SEARCH("Party Name:-",'R.M Billets Reports'!D53)),TRIM('R.M Billets Reports'!F53),IF(ISNUMBER(SEARCH("Party Name-",'R.M Billets Reports'!D53)),TRIM(MID('R.M Billets Reports'!D53,SEARCH("-",'R.M Billets Reports'!D53)+1,200)),"")),IF(ISNUMBER(SEARCH("Party Name:-",'R.M Billets Reports'!D54)),TRIM('R.M Billets Reports'!F54),IF(ISNUMBER(SEARCH("Party Name-",'R.M Billets Reports'!D54)),TRIM(MID('R.M Billets Reports'!D54,SEARCH("-",'R.M Billets Reports'!D54)+1,200)),"")))="VRKP ISPAT PVT LTD","VRKP",IF(IF(IF(ISNUMBER(SEARCH("Party Name:-",'R.M Billets Reports'!D53)),TRIM('R.M Billets Reports'!F53),IF(ISNUMBER(SEARCH("Party Name-",'R.M Billets Reports'!D53)),TRIM(MID('R.M Billets Reports'!D53,SEARCH("-",'R.M Billets Reports'!D53)+1,200)),""))&lt;&gt;"",IF(ISNUMBER(SEARCH("Party Name:-",'R.M Billets Reports'!D53)),TRIM('R.M Billets Reports'!F53),IF(ISNUMBER(SEARCH("Party Name-",'R.M Billets Reports'!D53)),TRIM(MID('R.M Billets Reports'!D53,SEARCH("-",'R.M Billets Reports'!D53)+1,200)),"")),IF(ISNUMBER(SEARCH("Party Name:-",'R.M Billets Reports'!D54)),TRIM('R.M Billets Reports'!F54),IF(ISNUMBER(SEARCH("Party Name-",'R.M Billets Reports'!D54)),TRIM(MID('R.M Billets Reports'!D54,SEARCH("-",'R.M Billets Reports'!D54)+1,200)),"")))="SHRI RADHE","SHREE RADHE",IF(IF(IF(ISNUMBER(SEARCH("Party Name:-",'R.M Billets Reports'!D53)),TRIM('R.M Billets Reports'!F53),IF(ISNUMBER(SEARCH("Party Name-",'R.M Billets Reports'!D53)),TRIM(MID('R.M Billets Reports'!D53,SEARCH("-",'R.M Billets Reports'!D53)+1,200)),""))&lt;&gt;"",IF(ISNUMBER(SEARCH("Party Name:-",'R.M Billets Reports'!D53)),TRIM('R.M Billets Reports'!F53),IF(ISNUMBER(SEARCH("Party Name-",'R.M Billets Reports'!D53)),TRIM(MID('R.M Billets Reports'!D53,SEARCH("-",'R.M Billets Reports'!D53)+1,200)),"")),IF(ISNUMBER(SEARCH("Party Name:-",'R.M Billets Reports'!D54)),TRIM('R.M Billets Reports'!F54),IF(ISNUMBER(SEARCH("Party Name-",'R.M Billets Reports'!D54)),TRIM(MID('R.M Billets Reports'!D54,SEARCH("-",'R.M Billets Reports'!D54)+1,200)),"")))="SHREE RADHE SHAKTI SPONGE AND POWER PVT. LTD.","SHREE RADHE",IF(IF(ISNUMBER(SEARCH("Party Name:-",'R.M Billets Reports'!D53)),TRIM('R.M Billets Reports'!F53),IF(ISNUMBER(SEARCH("Party Name-",'R.M Billets Reports'!D53)),TRIM(MID('R.M Billets Reports'!D53,SEARCH("-",'R.M Billets Reports'!D53)+1,200)),""))&lt;&gt;"",IF(ISNUMBER(SEARCH("Party Name:-",'R.M Billets Reports'!D53)),TRIM('R.M Billets Reports'!F53),IF(ISNUMBER(SEARCH("Party Name-",'R.M Billets Reports'!D53)),TRIM(MID('R.M Billets Reports'!D53,SEARCH("-",'R.M Billets Reports'!D53)+1,200)),"")),IF(ISNUMBER(SEARCH("Party Name:-",'R.M Billets Reports'!D54)),TRIM('R.M Billets Reports'!F54),IF(ISNUMBER(SEARCH("Party Name-",'R.M Billets Reports'!D54)),TRIM(MID('R.M Billets Reports'!D54,SEARCH("-",'R.M Billets Reports'!D54)+1,200)),"")))))),IF(ROW()=2,"",A53))</f>
      </c>
      <c r="B54">
        <f>IF(OR('R.M Billets Reports'!A53="Date-",'R.M Billets Reports'!A53="Date:-"),'R.M Billets Reports'!B53,IF(ROW()=2,"",B53))</f>
      </c>
      <c r="C54">
        <f>IF('R.M Billets Reports'!A53="V.No.",'R.M Billets Reports'!B53,IF(ROW()=2,"",C53))</f>
      </c>
      <c r="D54">
        <f>IF('R.M Billets Reports'!A53&lt;&gt;"",'R.M Billets Reports'!A53,IF(ROW()=2,"",D53))</f>
      </c>
      <c r="E54">
        <f>IF('R.M Billets Reports'!B53="","",TRIM('R.M Billets Reports'!B53))</f>
      </c>
      <c r="F54">
        <f>'R.M Billets Reports'!C53</f>
      </c>
      <c r="G54">
        <f>'R.M Billets Reports'!D53</f>
      </c>
      <c r="H54">
        <f>'R.M Billets Reports'!E53</f>
      </c>
      <c r="I54">
        <f>'R.M Billets Reports'!F53</f>
      </c>
      <c r="J54">
        <f>'R.M Billets Reports'!G53</f>
      </c>
      <c r="K54">
        <f>'R.M Billets Reports'!H53</f>
      </c>
      <c r="L54">
        <f>IF('R.M Billets Reports'!I53="","",'R.M Billets Reports'!I53)</f>
      </c>
      <c r="M54">
        <f t="shared" si="0"/>
      </c>
      <c r="N54">
        <f>IF('R.M Billets Reports'!J53="","",'R.M Billets Reports'!J53)</f>
      </c>
      <c r="O54">
        <f t="shared" si="1"/>
      </c>
      <c r="P54">
        <f>IF('R.M Billets Reports'!A53="SIZE",'R.M Billets Reports'!B53,P53)</f>
      </c>
    </row>
    <row r="55" spans="1:16" x14ac:dyDescent="0.25">
      <c r="A55">
        <f>IF(OR('R.M Billets Reports'!A54="Date-",'R.M Billets Reports'!A54="Date:-"),IF(IF(IF(ISNUMBER(SEARCH("Party Name:-",'R.M Billets Reports'!D54)),TRIM('R.M Billets Reports'!F54),IF(ISNUMBER(SEARCH("Party Name-",'R.M Billets Reports'!D54)),TRIM(MID('R.M Billets Reports'!D54,SEARCH("-",'R.M Billets Reports'!D54)+1,200)),""))&lt;&gt;"",IF(ISNUMBER(SEARCH("Party Name:-",'R.M Billets Reports'!D54)),TRIM('R.M Billets Reports'!F54),IF(ISNUMBER(SEARCH("Party Name-",'R.M Billets Reports'!D54)),TRIM(MID('R.M Billets Reports'!D54,SEARCH("-",'R.M Billets Reports'!D54)+1,200)),"")),IF(ISNUMBER(SEARCH("Party Name:-",'R.M Billets Reports'!D55)),TRIM('R.M Billets Reports'!F55),IF(ISNUMBER(SEARCH("Party Name-",'R.M Billets Reports'!D55)),TRIM(MID('R.M Billets Reports'!D55,SEARCH("-",'R.M Billets Reports'!D55)+1,200)),"")))="VRKP ISPAT PVT LTD","VRKP",IF(IF(IF(ISNUMBER(SEARCH("Party Name:-",'R.M Billets Reports'!D54)),TRIM('R.M Billets Reports'!F54),IF(ISNUMBER(SEARCH("Party Name-",'R.M Billets Reports'!D54)),TRIM(MID('R.M Billets Reports'!D54,SEARCH("-",'R.M Billets Reports'!D54)+1,200)),""))&lt;&gt;"",IF(ISNUMBER(SEARCH("Party Name:-",'R.M Billets Reports'!D54)),TRIM('R.M Billets Reports'!F54),IF(ISNUMBER(SEARCH("Party Name-",'R.M Billets Reports'!D54)),TRIM(MID('R.M Billets Reports'!D54,SEARCH("-",'R.M Billets Reports'!D54)+1,200)),"")),IF(ISNUMBER(SEARCH("Party Name:-",'R.M Billets Reports'!D55)),TRIM('R.M Billets Reports'!F55),IF(ISNUMBER(SEARCH("Party Name-",'R.M Billets Reports'!D55)),TRIM(MID('R.M Billets Reports'!D55,SEARCH("-",'R.M Billets Reports'!D55)+1,200)),"")))="SHRI RADHE","SHREE RADHE",IF(IF(IF(ISNUMBER(SEARCH("Party Name:-",'R.M Billets Reports'!D54)),TRIM('R.M Billets Reports'!F54),IF(ISNUMBER(SEARCH("Party Name-",'R.M Billets Reports'!D54)),TRIM(MID('R.M Billets Reports'!D54,SEARCH("-",'R.M Billets Reports'!D54)+1,200)),""))&lt;&gt;"",IF(ISNUMBER(SEARCH("Party Name:-",'R.M Billets Reports'!D54)),TRIM('R.M Billets Reports'!F54),IF(ISNUMBER(SEARCH("Party Name-",'R.M Billets Reports'!D54)),TRIM(MID('R.M Billets Reports'!D54,SEARCH("-",'R.M Billets Reports'!D54)+1,200)),"")),IF(ISNUMBER(SEARCH("Party Name:-",'R.M Billets Reports'!D55)),TRIM('R.M Billets Reports'!F55),IF(ISNUMBER(SEARCH("Party Name-",'R.M Billets Reports'!D55)),TRIM(MID('R.M Billets Reports'!D55,SEARCH("-",'R.M Billets Reports'!D55)+1,200)),"")))="SHREE RADHE SHAKTI SPONGE AND POWER PVT. LTD.","SHREE RADHE",IF(IF(ISNUMBER(SEARCH("Party Name:-",'R.M Billets Reports'!D54)),TRIM('R.M Billets Reports'!F54),IF(ISNUMBER(SEARCH("Party Name-",'R.M Billets Reports'!D54)),TRIM(MID('R.M Billets Reports'!D54,SEARCH("-",'R.M Billets Reports'!D54)+1,200)),""))&lt;&gt;"",IF(ISNUMBER(SEARCH("Party Name:-",'R.M Billets Reports'!D54)),TRIM('R.M Billets Reports'!F54),IF(ISNUMBER(SEARCH("Party Name-",'R.M Billets Reports'!D54)),TRIM(MID('R.M Billets Reports'!D54,SEARCH("-",'R.M Billets Reports'!D54)+1,200)),"")),IF(ISNUMBER(SEARCH("Party Name:-",'R.M Billets Reports'!D55)),TRIM('R.M Billets Reports'!F55),IF(ISNUMBER(SEARCH("Party Name-",'R.M Billets Reports'!D55)),TRIM(MID('R.M Billets Reports'!D55,SEARCH("-",'R.M Billets Reports'!D55)+1,200)),"")))))),IF(ROW()=2,"",A54))</f>
      </c>
      <c r="B55">
        <f>IF(OR('R.M Billets Reports'!A54="Date-",'R.M Billets Reports'!A54="Date:-"),'R.M Billets Reports'!B54,IF(ROW()=2,"",B54))</f>
      </c>
      <c r="C55">
        <f>IF('R.M Billets Reports'!A54="V.No.",'R.M Billets Reports'!B54,IF(ROW()=2,"",C54))</f>
      </c>
      <c r="D55">
        <f>IF('R.M Billets Reports'!A54&lt;&gt;"",'R.M Billets Reports'!A54,IF(ROW()=2,"",D54))</f>
      </c>
      <c r="E55">
        <f>IF('R.M Billets Reports'!B54="","",TRIM('R.M Billets Reports'!B54))</f>
      </c>
      <c r="F55">
        <f>'R.M Billets Reports'!C54</f>
      </c>
      <c r="G55">
        <f>'R.M Billets Reports'!D54</f>
      </c>
      <c r="H55">
        <f>'R.M Billets Reports'!E54</f>
      </c>
      <c r="I55">
        <f>'R.M Billets Reports'!F54</f>
      </c>
      <c r="J55">
        <f>'R.M Billets Reports'!G54</f>
      </c>
      <c r="K55">
        <f>'R.M Billets Reports'!H54</f>
      </c>
      <c r="L55">
        <f>IF('R.M Billets Reports'!I54="","",'R.M Billets Reports'!I54)</f>
      </c>
      <c r="M55">
        <f t="shared" si="0"/>
      </c>
      <c r="N55">
        <f>IF('R.M Billets Reports'!J54="","",'R.M Billets Reports'!J54)</f>
      </c>
      <c r="O55">
        <f t="shared" si="1"/>
      </c>
      <c r="P55">
        <f>IF('R.M Billets Reports'!A54="SIZE",'R.M Billets Reports'!B54,P54)</f>
      </c>
    </row>
    <row r="56" spans="1:16" x14ac:dyDescent="0.25">
      <c r="A56">
        <f>IF(OR('R.M Billets Reports'!A55="Date-",'R.M Billets Reports'!A55="Date:-"),IF(IF(IF(ISNUMBER(SEARCH("Party Name:-",'R.M Billets Reports'!D55)),TRIM('R.M Billets Reports'!F55),IF(ISNUMBER(SEARCH("Party Name-",'R.M Billets Reports'!D55)),TRIM(MID('R.M Billets Reports'!D55,SEARCH("-",'R.M Billets Reports'!D55)+1,200)),""))&lt;&gt;"",IF(ISNUMBER(SEARCH("Party Name:-",'R.M Billets Reports'!D55)),TRIM('R.M Billets Reports'!F55),IF(ISNUMBER(SEARCH("Party Name-",'R.M Billets Reports'!D55)),TRIM(MID('R.M Billets Reports'!D55,SEARCH("-",'R.M Billets Reports'!D55)+1,200)),"")),IF(ISNUMBER(SEARCH("Party Name:-",'R.M Billets Reports'!D56)),TRIM('R.M Billets Reports'!F56),IF(ISNUMBER(SEARCH("Party Name-",'R.M Billets Reports'!D56)),TRIM(MID('R.M Billets Reports'!D56,SEARCH("-",'R.M Billets Reports'!D56)+1,200)),"")))="VRKP ISPAT PVT LTD","VRKP",IF(IF(IF(ISNUMBER(SEARCH("Party Name:-",'R.M Billets Reports'!D55)),TRIM('R.M Billets Reports'!F55),IF(ISNUMBER(SEARCH("Party Name-",'R.M Billets Reports'!D55)),TRIM(MID('R.M Billets Reports'!D55,SEARCH("-",'R.M Billets Reports'!D55)+1,200)),""))&lt;&gt;"",IF(ISNUMBER(SEARCH("Party Name:-",'R.M Billets Reports'!D55)),TRIM('R.M Billets Reports'!F55),IF(ISNUMBER(SEARCH("Party Name-",'R.M Billets Reports'!D55)),TRIM(MID('R.M Billets Reports'!D55,SEARCH("-",'R.M Billets Reports'!D55)+1,200)),"")),IF(ISNUMBER(SEARCH("Party Name:-",'R.M Billets Reports'!D56)),TRIM('R.M Billets Reports'!F56),IF(ISNUMBER(SEARCH("Party Name-",'R.M Billets Reports'!D56)),TRIM(MID('R.M Billets Reports'!D56,SEARCH("-",'R.M Billets Reports'!D56)+1,200)),"")))="SHRI RADHE","SHREE RADHE",IF(IF(IF(ISNUMBER(SEARCH("Party Name:-",'R.M Billets Reports'!D55)),TRIM('R.M Billets Reports'!F55),IF(ISNUMBER(SEARCH("Party Name-",'R.M Billets Reports'!D55)),TRIM(MID('R.M Billets Reports'!D55,SEARCH("-",'R.M Billets Reports'!D55)+1,200)),""))&lt;&gt;"",IF(ISNUMBER(SEARCH("Party Name:-",'R.M Billets Reports'!D55)),TRIM('R.M Billets Reports'!F55),IF(ISNUMBER(SEARCH("Party Name-",'R.M Billets Reports'!D55)),TRIM(MID('R.M Billets Reports'!D55,SEARCH("-",'R.M Billets Reports'!D55)+1,200)),"")),IF(ISNUMBER(SEARCH("Party Name:-",'R.M Billets Reports'!D56)),TRIM('R.M Billets Reports'!F56),IF(ISNUMBER(SEARCH("Party Name-",'R.M Billets Reports'!D56)),TRIM(MID('R.M Billets Reports'!D56,SEARCH("-",'R.M Billets Reports'!D56)+1,200)),"")))="SHREE RADHE SHAKTI SPONGE AND POWER PVT. LTD.","SHREE RADHE",IF(IF(ISNUMBER(SEARCH("Party Name:-",'R.M Billets Reports'!D55)),TRIM('R.M Billets Reports'!F55),IF(ISNUMBER(SEARCH("Party Name-",'R.M Billets Reports'!D55)),TRIM(MID('R.M Billets Reports'!D55,SEARCH("-",'R.M Billets Reports'!D55)+1,200)),""))&lt;&gt;"",IF(ISNUMBER(SEARCH("Party Name:-",'R.M Billets Reports'!D55)),TRIM('R.M Billets Reports'!F55),IF(ISNUMBER(SEARCH("Party Name-",'R.M Billets Reports'!D55)),TRIM(MID('R.M Billets Reports'!D55,SEARCH("-",'R.M Billets Reports'!D55)+1,200)),"")),IF(ISNUMBER(SEARCH("Party Name:-",'R.M Billets Reports'!D56)),TRIM('R.M Billets Reports'!F56),IF(ISNUMBER(SEARCH("Party Name-",'R.M Billets Reports'!D56)),TRIM(MID('R.M Billets Reports'!D56,SEARCH("-",'R.M Billets Reports'!D56)+1,200)),"")))))),IF(ROW()=2,"",A55))</f>
      </c>
      <c r="B56">
        <f>IF(OR('R.M Billets Reports'!A55="Date-",'R.M Billets Reports'!A55="Date:-"),'R.M Billets Reports'!B55,IF(ROW()=2,"",B55))</f>
      </c>
      <c r="C56">
        <f>IF('R.M Billets Reports'!A55="V.No.",'R.M Billets Reports'!B55,IF(ROW()=2,"",C55))</f>
      </c>
      <c r="D56">
        <f>IF('R.M Billets Reports'!A55&lt;&gt;"",'R.M Billets Reports'!A55,IF(ROW()=2,"",D55))</f>
      </c>
      <c r="E56">
        <f>IF('R.M Billets Reports'!B55="","",TRIM('R.M Billets Reports'!B55))</f>
      </c>
      <c r="F56">
        <f>'R.M Billets Reports'!C55</f>
      </c>
      <c r="G56">
        <f>'R.M Billets Reports'!D55</f>
      </c>
      <c r="H56">
        <f>'R.M Billets Reports'!E55</f>
      </c>
      <c r="I56">
        <f>'R.M Billets Reports'!F55</f>
      </c>
      <c r="J56">
        <f>'R.M Billets Reports'!G55</f>
      </c>
      <c r="K56">
        <f>'R.M Billets Reports'!H55</f>
      </c>
      <c r="L56">
        <f>IF('R.M Billets Reports'!I55="","",'R.M Billets Reports'!I55)</f>
      </c>
      <c r="M56">
        <f t="shared" si="0"/>
      </c>
      <c r="N56">
        <f>IF('R.M Billets Reports'!J55="","",'R.M Billets Reports'!J55)</f>
      </c>
      <c r="O56">
        <f t="shared" si="1"/>
      </c>
      <c r="P56">
        <f>IF('R.M Billets Reports'!A55="SIZE",'R.M Billets Reports'!B55,P55)</f>
      </c>
    </row>
    <row r="57" spans="1:16" x14ac:dyDescent="0.25">
      <c r="A57">
        <f>IF(OR('R.M Billets Reports'!A56="Date-",'R.M Billets Reports'!A56="Date:-"),IF(IF(IF(ISNUMBER(SEARCH("Party Name:-",'R.M Billets Reports'!D56)),TRIM('R.M Billets Reports'!F56),IF(ISNUMBER(SEARCH("Party Name-",'R.M Billets Reports'!D56)),TRIM(MID('R.M Billets Reports'!D56,SEARCH("-",'R.M Billets Reports'!D56)+1,200)),""))&lt;&gt;"",IF(ISNUMBER(SEARCH("Party Name:-",'R.M Billets Reports'!D56)),TRIM('R.M Billets Reports'!F56),IF(ISNUMBER(SEARCH("Party Name-",'R.M Billets Reports'!D56)),TRIM(MID('R.M Billets Reports'!D56,SEARCH("-",'R.M Billets Reports'!D56)+1,200)),"")),IF(ISNUMBER(SEARCH("Party Name:-",'R.M Billets Reports'!D57)),TRIM('R.M Billets Reports'!F57),IF(ISNUMBER(SEARCH("Party Name-",'R.M Billets Reports'!D57)),TRIM(MID('R.M Billets Reports'!D57,SEARCH("-",'R.M Billets Reports'!D57)+1,200)),"")))="VRKP ISPAT PVT LTD","VRKP",IF(IF(IF(ISNUMBER(SEARCH("Party Name:-",'R.M Billets Reports'!D56)),TRIM('R.M Billets Reports'!F56),IF(ISNUMBER(SEARCH("Party Name-",'R.M Billets Reports'!D56)),TRIM(MID('R.M Billets Reports'!D56,SEARCH("-",'R.M Billets Reports'!D56)+1,200)),""))&lt;&gt;"",IF(ISNUMBER(SEARCH("Party Name:-",'R.M Billets Reports'!D56)),TRIM('R.M Billets Reports'!F56),IF(ISNUMBER(SEARCH("Party Name-",'R.M Billets Reports'!D56)),TRIM(MID('R.M Billets Reports'!D56,SEARCH("-",'R.M Billets Reports'!D56)+1,200)),"")),IF(ISNUMBER(SEARCH("Party Name:-",'R.M Billets Reports'!D57)),TRIM('R.M Billets Reports'!F57),IF(ISNUMBER(SEARCH("Party Name-",'R.M Billets Reports'!D57)),TRIM(MID('R.M Billets Reports'!D57,SEARCH("-",'R.M Billets Reports'!D57)+1,200)),"")))="SHRI RADHE","SHREE RADHE",IF(IF(IF(ISNUMBER(SEARCH("Party Name:-",'R.M Billets Reports'!D56)),TRIM('R.M Billets Reports'!F56),IF(ISNUMBER(SEARCH("Party Name-",'R.M Billets Reports'!D56)),TRIM(MID('R.M Billets Reports'!D56,SEARCH("-",'R.M Billets Reports'!D56)+1,200)),""))&lt;&gt;"",IF(ISNUMBER(SEARCH("Party Name:-",'R.M Billets Reports'!D56)),TRIM('R.M Billets Reports'!F56),IF(ISNUMBER(SEARCH("Party Name-",'R.M Billets Reports'!D56)),TRIM(MID('R.M Billets Reports'!D56,SEARCH("-",'R.M Billets Reports'!D56)+1,200)),"")),IF(ISNUMBER(SEARCH("Party Name:-",'R.M Billets Reports'!D57)),TRIM('R.M Billets Reports'!F57),IF(ISNUMBER(SEARCH("Party Name-",'R.M Billets Reports'!D57)),TRIM(MID('R.M Billets Reports'!D57,SEARCH("-",'R.M Billets Reports'!D57)+1,200)),"")))="SHREE RADHE SHAKTI SPONGE AND POWER PVT. LTD.","SHREE RADHE",IF(IF(ISNUMBER(SEARCH("Party Name:-",'R.M Billets Reports'!D56)),TRIM('R.M Billets Reports'!F56),IF(ISNUMBER(SEARCH("Party Name-",'R.M Billets Reports'!D56)),TRIM(MID('R.M Billets Reports'!D56,SEARCH("-",'R.M Billets Reports'!D56)+1,200)),""))&lt;&gt;"",IF(ISNUMBER(SEARCH("Party Name:-",'R.M Billets Reports'!D56)),TRIM('R.M Billets Reports'!F56),IF(ISNUMBER(SEARCH("Party Name-",'R.M Billets Reports'!D56)),TRIM(MID('R.M Billets Reports'!D56,SEARCH("-",'R.M Billets Reports'!D56)+1,200)),"")),IF(ISNUMBER(SEARCH("Party Name:-",'R.M Billets Reports'!D57)),TRIM('R.M Billets Reports'!F57),IF(ISNUMBER(SEARCH("Party Name-",'R.M Billets Reports'!D57)),TRIM(MID('R.M Billets Reports'!D57,SEARCH("-",'R.M Billets Reports'!D57)+1,200)),"")))))),IF(ROW()=2,"",A56))</f>
      </c>
      <c r="B57">
        <f>IF(OR('R.M Billets Reports'!A56="Date-",'R.M Billets Reports'!A56="Date:-"),'R.M Billets Reports'!B56,IF(ROW()=2,"",B56))</f>
      </c>
      <c r="C57">
        <f>IF('R.M Billets Reports'!A56="V.No.",'R.M Billets Reports'!B56,IF(ROW()=2,"",C56))</f>
      </c>
      <c r="D57">
        <f>IF('R.M Billets Reports'!A56&lt;&gt;"",'R.M Billets Reports'!A56,IF(ROW()=2,"",D56))</f>
      </c>
      <c r="E57">
        <f>IF('R.M Billets Reports'!B56="","",TRIM('R.M Billets Reports'!B56))</f>
      </c>
      <c r="F57">
        <f>'R.M Billets Reports'!C56</f>
      </c>
      <c r="G57">
        <f>'R.M Billets Reports'!D56</f>
      </c>
      <c r="H57">
        <f>'R.M Billets Reports'!E56</f>
      </c>
      <c r="I57">
        <f>'R.M Billets Reports'!F56</f>
      </c>
      <c r="J57">
        <f>'R.M Billets Reports'!G56</f>
      </c>
      <c r="K57">
        <f>'R.M Billets Reports'!H56</f>
      </c>
      <c r="L57">
        <f>IF('R.M Billets Reports'!I56="","",'R.M Billets Reports'!I56)</f>
      </c>
      <c r="M57">
        <f t="shared" si="0"/>
      </c>
      <c r="N57">
        <f>IF('R.M Billets Reports'!J56="","",'R.M Billets Reports'!J56)</f>
      </c>
      <c r="O57">
        <f t="shared" si="1"/>
      </c>
      <c r="P57">
        <f>IF('R.M Billets Reports'!A56="SIZE",'R.M Billets Reports'!B56,P56)</f>
      </c>
    </row>
    <row r="58" spans="1:16" x14ac:dyDescent="0.25">
      <c r="A58">
        <f>IF(OR('R.M Billets Reports'!A57="Date-",'R.M Billets Reports'!A57="Date:-"),IF(IF(IF(ISNUMBER(SEARCH("Party Name:-",'R.M Billets Reports'!D57)),TRIM('R.M Billets Reports'!F57),IF(ISNUMBER(SEARCH("Party Name-",'R.M Billets Reports'!D57)),TRIM(MID('R.M Billets Reports'!D57,SEARCH("-",'R.M Billets Reports'!D57)+1,200)),""))&lt;&gt;"",IF(ISNUMBER(SEARCH("Party Name:-",'R.M Billets Reports'!D57)),TRIM('R.M Billets Reports'!F57),IF(ISNUMBER(SEARCH("Party Name-",'R.M Billets Reports'!D57)),TRIM(MID('R.M Billets Reports'!D57,SEARCH("-",'R.M Billets Reports'!D57)+1,200)),"")),IF(ISNUMBER(SEARCH("Party Name:-",'R.M Billets Reports'!D58)),TRIM('R.M Billets Reports'!F58),IF(ISNUMBER(SEARCH("Party Name-",'R.M Billets Reports'!D58)),TRIM(MID('R.M Billets Reports'!D58,SEARCH("-",'R.M Billets Reports'!D58)+1,200)),"")))="VRKP ISPAT PVT LTD","VRKP",IF(IF(IF(ISNUMBER(SEARCH("Party Name:-",'R.M Billets Reports'!D57)),TRIM('R.M Billets Reports'!F57),IF(ISNUMBER(SEARCH("Party Name-",'R.M Billets Reports'!D57)),TRIM(MID('R.M Billets Reports'!D57,SEARCH("-",'R.M Billets Reports'!D57)+1,200)),""))&lt;&gt;"",IF(ISNUMBER(SEARCH("Party Name:-",'R.M Billets Reports'!D57)),TRIM('R.M Billets Reports'!F57),IF(ISNUMBER(SEARCH("Party Name-",'R.M Billets Reports'!D57)),TRIM(MID('R.M Billets Reports'!D57,SEARCH("-",'R.M Billets Reports'!D57)+1,200)),"")),IF(ISNUMBER(SEARCH("Party Name:-",'R.M Billets Reports'!D58)),TRIM('R.M Billets Reports'!F58),IF(ISNUMBER(SEARCH("Party Name-",'R.M Billets Reports'!D58)),TRIM(MID('R.M Billets Reports'!D58,SEARCH("-",'R.M Billets Reports'!D58)+1,200)),"")))="SHRI RADHE","SHREE RADHE",IF(IF(IF(ISNUMBER(SEARCH("Party Name:-",'R.M Billets Reports'!D57)),TRIM('R.M Billets Reports'!F57),IF(ISNUMBER(SEARCH("Party Name-",'R.M Billets Reports'!D57)),TRIM(MID('R.M Billets Reports'!D57,SEARCH("-",'R.M Billets Reports'!D57)+1,200)),""))&lt;&gt;"",IF(ISNUMBER(SEARCH("Party Name:-",'R.M Billets Reports'!D57)),TRIM('R.M Billets Reports'!F57),IF(ISNUMBER(SEARCH("Party Name-",'R.M Billets Reports'!D57)),TRIM(MID('R.M Billets Reports'!D57,SEARCH("-",'R.M Billets Reports'!D57)+1,200)),"")),IF(ISNUMBER(SEARCH("Party Name:-",'R.M Billets Reports'!D58)),TRIM('R.M Billets Reports'!F58),IF(ISNUMBER(SEARCH("Party Name-",'R.M Billets Reports'!D58)),TRIM(MID('R.M Billets Reports'!D58,SEARCH("-",'R.M Billets Reports'!D58)+1,200)),"")))="SHREE RADHE SHAKTI SPONGE AND POWER PVT. LTD.","SHREE RADHE",IF(IF(ISNUMBER(SEARCH("Party Name:-",'R.M Billets Reports'!D57)),TRIM('R.M Billets Reports'!F57),IF(ISNUMBER(SEARCH("Party Name-",'R.M Billets Reports'!D57)),TRIM(MID('R.M Billets Reports'!D57,SEARCH("-",'R.M Billets Reports'!D57)+1,200)),""))&lt;&gt;"",IF(ISNUMBER(SEARCH("Party Name:-",'R.M Billets Reports'!D57)),TRIM('R.M Billets Reports'!F57),IF(ISNUMBER(SEARCH("Party Name-",'R.M Billets Reports'!D57)),TRIM(MID('R.M Billets Reports'!D57,SEARCH("-",'R.M Billets Reports'!D57)+1,200)),"")),IF(ISNUMBER(SEARCH("Party Name:-",'R.M Billets Reports'!D58)),TRIM('R.M Billets Reports'!F58),IF(ISNUMBER(SEARCH("Party Name-",'R.M Billets Reports'!D58)),TRIM(MID('R.M Billets Reports'!D58,SEARCH("-",'R.M Billets Reports'!D58)+1,200)),"")))))),IF(ROW()=2,"",A57))</f>
      </c>
      <c r="B58">
        <f>IF(OR('R.M Billets Reports'!A57="Date-",'R.M Billets Reports'!A57="Date:-"),'R.M Billets Reports'!B57,IF(ROW()=2,"",B57))</f>
      </c>
      <c r="C58">
        <f>IF('R.M Billets Reports'!A57="V.No.",'R.M Billets Reports'!B57,IF(ROW()=2,"",C57))</f>
      </c>
      <c r="D58">
        <f>IF('R.M Billets Reports'!A57&lt;&gt;"",'R.M Billets Reports'!A57,IF(ROW()=2,"",D57))</f>
      </c>
      <c r="E58">
        <f>IF('R.M Billets Reports'!B57="","",TRIM('R.M Billets Reports'!B57))</f>
      </c>
      <c r="F58">
        <f>'R.M Billets Reports'!C57</f>
      </c>
      <c r="G58">
        <f>'R.M Billets Reports'!D57</f>
      </c>
      <c r="H58">
        <f>'R.M Billets Reports'!E57</f>
      </c>
      <c r="I58">
        <f>'R.M Billets Reports'!F57</f>
      </c>
      <c r="J58">
        <f>'R.M Billets Reports'!G57</f>
      </c>
      <c r="K58">
        <f>'R.M Billets Reports'!H57</f>
      </c>
      <c r="L58">
        <f>IF('R.M Billets Reports'!I57="","",'R.M Billets Reports'!I57)</f>
      </c>
      <c r="M58">
        <f t="shared" si="0"/>
      </c>
      <c r="N58">
        <f>IF('R.M Billets Reports'!J57="","",'R.M Billets Reports'!J57)</f>
      </c>
      <c r="O58">
        <f t="shared" si="1"/>
      </c>
      <c r="P58">
        <f>IF('R.M Billets Reports'!A57="SIZE",'R.M Billets Reports'!B57,P57)</f>
      </c>
    </row>
    <row r="59" spans="1:16" x14ac:dyDescent="0.25">
      <c r="A59">
        <f>IF(OR('R.M Billets Reports'!A58="Date-",'R.M Billets Reports'!A58="Date:-"),IF(IF(IF(ISNUMBER(SEARCH("Party Name:-",'R.M Billets Reports'!D58)),TRIM('R.M Billets Reports'!F58),IF(ISNUMBER(SEARCH("Party Name-",'R.M Billets Reports'!D58)),TRIM(MID('R.M Billets Reports'!D58,SEARCH("-",'R.M Billets Reports'!D58)+1,200)),""))&lt;&gt;"",IF(ISNUMBER(SEARCH("Party Name:-",'R.M Billets Reports'!D58)),TRIM('R.M Billets Reports'!F58),IF(ISNUMBER(SEARCH("Party Name-",'R.M Billets Reports'!D58)),TRIM(MID('R.M Billets Reports'!D58,SEARCH("-",'R.M Billets Reports'!D58)+1,200)),"")),IF(ISNUMBER(SEARCH("Party Name:-",'R.M Billets Reports'!D59)),TRIM('R.M Billets Reports'!F59),IF(ISNUMBER(SEARCH("Party Name-",'R.M Billets Reports'!D59)),TRIM(MID('R.M Billets Reports'!D59,SEARCH("-",'R.M Billets Reports'!D59)+1,200)),"")))="VRKP ISPAT PVT LTD","VRKP",IF(IF(IF(ISNUMBER(SEARCH("Party Name:-",'R.M Billets Reports'!D58)),TRIM('R.M Billets Reports'!F58),IF(ISNUMBER(SEARCH("Party Name-",'R.M Billets Reports'!D58)),TRIM(MID('R.M Billets Reports'!D58,SEARCH("-",'R.M Billets Reports'!D58)+1,200)),""))&lt;&gt;"",IF(ISNUMBER(SEARCH("Party Name:-",'R.M Billets Reports'!D58)),TRIM('R.M Billets Reports'!F58),IF(ISNUMBER(SEARCH("Party Name-",'R.M Billets Reports'!D58)),TRIM(MID('R.M Billets Reports'!D58,SEARCH("-",'R.M Billets Reports'!D58)+1,200)),"")),IF(ISNUMBER(SEARCH("Party Name:-",'R.M Billets Reports'!D59)),TRIM('R.M Billets Reports'!F59),IF(ISNUMBER(SEARCH("Party Name-",'R.M Billets Reports'!D59)),TRIM(MID('R.M Billets Reports'!D59,SEARCH("-",'R.M Billets Reports'!D59)+1,200)),"")))="SHRI RADHE","SHREE RADHE",IF(IF(IF(ISNUMBER(SEARCH("Party Name:-",'R.M Billets Reports'!D58)),TRIM('R.M Billets Reports'!F58),IF(ISNUMBER(SEARCH("Party Name-",'R.M Billets Reports'!D58)),TRIM(MID('R.M Billets Reports'!D58,SEARCH("-",'R.M Billets Reports'!D58)+1,200)),""))&lt;&gt;"",IF(ISNUMBER(SEARCH("Party Name:-",'R.M Billets Reports'!D58)),TRIM('R.M Billets Reports'!F58),IF(ISNUMBER(SEARCH("Party Name-",'R.M Billets Reports'!D58)),TRIM(MID('R.M Billets Reports'!D58,SEARCH("-",'R.M Billets Reports'!D58)+1,200)),"")),IF(ISNUMBER(SEARCH("Party Name:-",'R.M Billets Reports'!D59)),TRIM('R.M Billets Reports'!F59),IF(ISNUMBER(SEARCH("Party Name-",'R.M Billets Reports'!D59)),TRIM(MID('R.M Billets Reports'!D59,SEARCH("-",'R.M Billets Reports'!D59)+1,200)),"")))="SHREE RADHE SHAKTI SPONGE AND POWER PVT. LTD.","SHREE RADHE",IF(IF(ISNUMBER(SEARCH("Party Name:-",'R.M Billets Reports'!D58)),TRIM('R.M Billets Reports'!F58),IF(ISNUMBER(SEARCH("Party Name-",'R.M Billets Reports'!D58)),TRIM(MID('R.M Billets Reports'!D58,SEARCH("-",'R.M Billets Reports'!D58)+1,200)),""))&lt;&gt;"",IF(ISNUMBER(SEARCH("Party Name:-",'R.M Billets Reports'!D58)),TRIM('R.M Billets Reports'!F58),IF(ISNUMBER(SEARCH("Party Name-",'R.M Billets Reports'!D58)),TRIM(MID('R.M Billets Reports'!D58,SEARCH("-",'R.M Billets Reports'!D58)+1,200)),"")),IF(ISNUMBER(SEARCH("Party Name:-",'R.M Billets Reports'!D59)),TRIM('R.M Billets Reports'!F59),IF(ISNUMBER(SEARCH("Party Name-",'R.M Billets Reports'!D59)),TRIM(MID('R.M Billets Reports'!D59,SEARCH("-",'R.M Billets Reports'!D59)+1,200)),"")))))),IF(ROW()=2,"",A58))</f>
      </c>
      <c r="B59">
        <f>IF(OR('R.M Billets Reports'!A58="Date-",'R.M Billets Reports'!A58="Date:-"),'R.M Billets Reports'!B58,IF(ROW()=2,"",B58))</f>
      </c>
      <c r="C59">
        <f>IF('R.M Billets Reports'!A58="V.No.",'R.M Billets Reports'!B58,IF(ROW()=2,"",C58))</f>
      </c>
      <c r="D59">
        <f>IF('R.M Billets Reports'!A58&lt;&gt;"",'R.M Billets Reports'!A58,IF(ROW()=2,"",D58))</f>
      </c>
      <c r="E59">
        <f>IF('R.M Billets Reports'!B58="","",TRIM('R.M Billets Reports'!B58))</f>
      </c>
      <c r="F59">
        <f>'R.M Billets Reports'!C58</f>
      </c>
      <c r="G59">
        <f>'R.M Billets Reports'!D58</f>
      </c>
      <c r="H59">
        <f>'R.M Billets Reports'!E58</f>
      </c>
      <c r="I59">
        <f>'R.M Billets Reports'!F58</f>
      </c>
      <c r="J59">
        <f>'R.M Billets Reports'!G58</f>
      </c>
      <c r="K59">
        <f>'R.M Billets Reports'!H58</f>
      </c>
      <c r="L59">
        <f>IF('R.M Billets Reports'!I58="","",'R.M Billets Reports'!I58)</f>
      </c>
      <c r="M59">
        <f t="shared" si="0"/>
      </c>
      <c r="N59">
        <f>IF('R.M Billets Reports'!J58="","",'R.M Billets Reports'!J58)</f>
      </c>
      <c r="O59">
        <f t="shared" si="1"/>
      </c>
      <c r="P59">
        <f>IF('R.M Billets Reports'!A58="SIZE",'R.M Billets Reports'!B58,P58)</f>
      </c>
    </row>
    <row r="60" spans="1:16" x14ac:dyDescent="0.25">
      <c r="A60">
        <f>IF(OR('R.M Billets Reports'!A59="Date-",'R.M Billets Reports'!A59="Date:-"),IF(IF(IF(ISNUMBER(SEARCH("Party Name:-",'R.M Billets Reports'!D59)),TRIM('R.M Billets Reports'!F59),IF(ISNUMBER(SEARCH("Party Name-",'R.M Billets Reports'!D59)),TRIM(MID('R.M Billets Reports'!D59,SEARCH("-",'R.M Billets Reports'!D59)+1,200)),""))&lt;&gt;"",IF(ISNUMBER(SEARCH("Party Name:-",'R.M Billets Reports'!D59)),TRIM('R.M Billets Reports'!F59),IF(ISNUMBER(SEARCH("Party Name-",'R.M Billets Reports'!D59)),TRIM(MID('R.M Billets Reports'!D59,SEARCH("-",'R.M Billets Reports'!D59)+1,200)),"")),IF(ISNUMBER(SEARCH("Party Name:-",'R.M Billets Reports'!D60)),TRIM('R.M Billets Reports'!F60),IF(ISNUMBER(SEARCH("Party Name-",'R.M Billets Reports'!D60)),TRIM(MID('R.M Billets Reports'!D60,SEARCH("-",'R.M Billets Reports'!D60)+1,200)),"")))="VRKP ISPAT PVT LTD","VRKP",IF(IF(IF(ISNUMBER(SEARCH("Party Name:-",'R.M Billets Reports'!D59)),TRIM('R.M Billets Reports'!F59),IF(ISNUMBER(SEARCH("Party Name-",'R.M Billets Reports'!D59)),TRIM(MID('R.M Billets Reports'!D59,SEARCH("-",'R.M Billets Reports'!D59)+1,200)),""))&lt;&gt;"",IF(ISNUMBER(SEARCH("Party Name:-",'R.M Billets Reports'!D59)),TRIM('R.M Billets Reports'!F59),IF(ISNUMBER(SEARCH("Party Name-",'R.M Billets Reports'!D59)),TRIM(MID('R.M Billets Reports'!D59,SEARCH("-",'R.M Billets Reports'!D59)+1,200)),"")),IF(ISNUMBER(SEARCH("Party Name:-",'R.M Billets Reports'!D60)),TRIM('R.M Billets Reports'!F60),IF(ISNUMBER(SEARCH("Party Name-",'R.M Billets Reports'!D60)),TRIM(MID('R.M Billets Reports'!D60,SEARCH("-",'R.M Billets Reports'!D60)+1,200)),"")))="SHRI RADHE","SHREE RADHE",IF(IF(IF(ISNUMBER(SEARCH("Party Name:-",'R.M Billets Reports'!D59)),TRIM('R.M Billets Reports'!F59),IF(ISNUMBER(SEARCH("Party Name-",'R.M Billets Reports'!D59)),TRIM(MID('R.M Billets Reports'!D59,SEARCH("-",'R.M Billets Reports'!D59)+1,200)),""))&lt;&gt;"",IF(ISNUMBER(SEARCH("Party Name:-",'R.M Billets Reports'!D59)),TRIM('R.M Billets Reports'!F59),IF(ISNUMBER(SEARCH("Party Name-",'R.M Billets Reports'!D59)),TRIM(MID('R.M Billets Reports'!D59,SEARCH("-",'R.M Billets Reports'!D59)+1,200)),"")),IF(ISNUMBER(SEARCH("Party Name:-",'R.M Billets Reports'!D60)),TRIM('R.M Billets Reports'!F60),IF(ISNUMBER(SEARCH("Party Name-",'R.M Billets Reports'!D60)),TRIM(MID('R.M Billets Reports'!D60,SEARCH("-",'R.M Billets Reports'!D60)+1,200)),"")))="SHREE RADHE SHAKTI SPONGE AND POWER PVT. LTD.","SHREE RADHE",IF(IF(ISNUMBER(SEARCH("Party Name:-",'R.M Billets Reports'!D59)),TRIM('R.M Billets Reports'!F59),IF(ISNUMBER(SEARCH("Party Name-",'R.M Billets Reports'!D59)),TRIM(MID('R.M Billets Reports'!D59,SEARCH("-",'R.M Billets Reports'!D59)+1,200)),""))&lt;&gt;"",IF(ISNUMBER(SEARCH("Party Name:-",'R.M Billets Reports'!D59)),TRIM('R.M Billets Reports'!F59),IF(ISNUMBER(SEARCH("Party Name-",'R.M Billets Reports'!D59)),TRIM(MID('R.M Billets Reports'!D59,SEARCH("-",'R.M Billets Reports'!D59)+1,200)),"")),IF(ISNUMBER(SEARCH("Party Name:-",'R.M Billets Reports'!D60)),TRIM('R.M Billets Reports'!F60),IF(ISNUMBER(SEARCH("Party Name-",'R.M Billets Reports'!D60)),TRIM(MID('R.M Billets Reports'!D60,SEARCH("-",'R.M Billets Reports'!D60)+1,200)),"")))))),IF(ROW()=2,"",A59))</f>
      </c>
      <c r="B60">
        <f>IF(OR('R.M Billets Reports'!A59="Date-",'R.M Billets Reports'!A59="Date:-"),'R.M Billets Reports'!B59,IF(ROW()=2,"",B59))</f>
      </c>
      <c r="C60">
        <f>IF('R.M Billets Reports'!A59="V.No.",'R.M Billets Reports'!B59,IF(ROW()=2,"",C59))</f>
      </c>
      <c r="D60">
        <f>IF('R.M Billets Reports'!A59&lt;&gt;"",'R.M Billets Reports'!A59,IF(ROW()=2,"",D59))</f>
      </c>
      <c r="E60">
        <f>IF('R.M Billets Reports'!B59="","",TRIM('R.M Billets Reports'!B59))</f>
      </c>
      <c r="F60">
        <f>'R.M Billets Reports'!C59</f>
      </c>
      <c r="G60">
        <f>'R.M Billets Reports'!D59</f>
      </c>
      <c r="H60">
        <f>'R.M Billets Reports'!E59</f>
      </c>
      <c r="I60">
        <f>'R.M Billets Reports'!F59</f>
      </c>
      <c r="J60">
        <f>'R.M Billets Reports'!G59</f>
      </c>
      <c r="K60">
        <f>'R.M Billets Reports'!H59</f>
      </c>
      <c r="L60">
        <f>IF('R.M Billets Reports'!I59="","",'R.M Billets Reports'!I59)</f>
      </c>
      <c r="M60">
        <f t="shared" si="0"/>
      </c>
      <c r="N60">
        <f>IF('R.M Billets Reports'!J59="","",'R.M Billets Reports'!J59)</f>
      </c>
      <c r="O60">
        <f t="shared" si="1"/>
      </c>
      <c r="P60">
        <f>IF('R.M Billets Reports'!A59="SIZE",'R.M Billets Reports'!B59,P59)</f>
      </c>
    </row>
    <row r="61" spans="1:16" x14ac:dyDescent="0.25">
      <c r="A61">
        <f>IF(OR('R.M Billets Reports'!A60="Date-",'R.M Billets Reports'!A60="Date:-"),IF(IF(IF(ISNUMBER(SEARCH("Party Name:-",'R.M Billets Reports'!D60)),TRIM('R.M Billets Reports'!F60),IF(ISNUMBER(SEARCH("Party Name-",'R.M Billets Reports'!D60)),TRIM(MID('R.M Billets Reports'!D60,SEARCH("-",'R.M Billets Reports'!D60)+1,200)),""))&lt;&gt;"",IF(ISNUMBER(SEARCH("Party Name:-",'R.M Billets Reports'!D60)),TRIM('R.M Billets Reports'!F60),IF(ISNUMBER(SEARCH("Party Name-",'R.M Billets Reports'!D60)),TRIM(MID('R.M Billets Reports'!D60,SEARCH("-",'R.M Billets Reports'!D60)+1,200)),"")),IF(ISNUMBER(SEARCH("Party Name:-",'R.M Billets Reports'!D61)),TRIM('R.M Billets Reports'!F61),IF(ISNUMBER(SEARCH("Party Name-",'R.M Billets Reports'!D61)),TRIM(MID('R.M Billets Reports'!D61,SEARCH("-",'R.M Billets Reports'!D61)+1,200)),"")))="VRKP ISPAT PVT LTD","VRKP",IF(IF(IF(ISNUMBER(SEARCH("Party Name:-",'R.M Billets Reports'!D60)),TRIM('R.M Billets Reports'!F60),IF(ISNUMBER(SEARCH("Party Name-",'R.M Billets Reports'!D60)),TRIM(MID('R.M Billets Reports'!D60,SEARCH("-",'R.M Billets Reports'!D60)+1,200)),""))&lt;&gt;"",IF(ISNUMBER(SEARCH("Party Name:-",'R.M Billets Reports'!D60)),TRIM('R.M Billets Reports'!F60),IF(ISNUMBER(SEARCH("Party Name-",'R.M Billets Reports'!D60)),TRIM(MID('R.M Billets Reports'!D60,SEARCH("-",'R.M Billets Reports'!D60)+1,200)),"")),IF(ISNUMBER(SEARCH("Party Name:-",'R.M Billets Reports'!D61)),TRIM('R.M Billets Reports'!F61),IF(ISNUMBER(SEARCH("Party Name-",'R.M Billets Reports'!D61)),TRIM(MID('R.M Billets Reports'!D61,SEARCH("-",'R.M Billets Reports'!D61)+1,200)),"")))="SHRI RADHE","SHREE RADHE",IF(IF(IF(ISNUMBER(SEARCH("Party Name:-",'R.M Billets Reports'!D60)),TRIM('R.M Billets Reports'!F60),IF(ISNUMBER(SEARCH("Party Name-",'R.M Billets Reports'!D60)),TRIM(MID('R.M Billets Reports'!D60,SEARCH("-",'R.M Billets Reports'!D60)+1,200)),""))&lt;&gt;"",IF(ISNUMBER(SEARCH("Party Name:-",'R.M Billets Reports'!D60)),TRIM('R.M Billets Reports'!F60),IF(ISNUMBER(SEARCH("Party Name-",'R.M Billets Reports'!D60)),TRIM(MID('R.M Billets Reports'!D60,SEARCH("-",'R.M Billets Reports'!D60)+1,200)),"")),IF(ISNUMBER(SEARCH("Party Name:-",'R.M Billets Reports'!D61)),TRIM('R.M Billets Reports'!F61),IF(ISNUMBER(SEARCH("Party Name-",'R.M Billets Reports'!D61)),TRIM(MID('R.M Billets Reports'!D61,SEARCH("-",'R.M Billets Reports'!D61)+1,200)),"")))="SHREE RADHE SHAKTI SPONGE AND POWER PVT. LTD.","SHREE RADHE",IF(IF(ISNUMBER(SEARCH("Party Name:-",'R.M Billets Reports'!D60)),TRIM('R.M Billets Reports'!F60),IF(ISNUMBER(SEARCH("Party Name-",'R.M Billets Reports'!D60)),TRIM(MID('R.M Billets Reports'!D60,SEARCH("-",'R.M Billets Reports'!D60)+1,200)),""))&lt;&gt;"",IF(ISNUMBER(SEARCH("Party Name:-",'R.M Billets Reports'!D60)),TRIM('R.M Billets Reports'!F60),IF(ISNUMBER(SEARCH("Party Name-",'R.M Billets Reports'!D60)),TRIM(MID('R.M Billets Reports'!D60,SEARCH("-",'R.M Billets Reports'!D60)+1,200)),"")),IF(ISNUMBER(SEARCH("Party Name:-",'R.M Billets Reports'!D61)),TRIM('R.M Billets Reports'!F61),IF(ISNUMBER(SEARCH("Party Name-",'R.M Billets Reports'!D61)),TRIM(MID('R.M Billets Reports'!D61,SEARCH("-",'R.M Billets Reports'!D61)+1,200)),"")))))),IF(ROW()=2,"",A60))</f>
      </c>
      <c r="B61">
        <f>IF(OR('R.M Billets Reports'!A60="Date-",'R.M Billets Reports'!A60="Date:-"),'R.M Billets Reports'!B60,IF(ROW()=2,"",B60))</f>
      </c>
      <c r="C61">
        <f>IF('R.M Billets Reports'!A60="V.No.",'R.M Billets Reports'!B60,IF(ROW()=2,"",C60))</f>
      </c>
      <c r="D61">
        <f>IF('R.M Billets Reports'!A60&lt;&gt;"",'R.M Billets Reports'!A60,IF(ROW()=2,"",D60))</f>
      </c>
      <c r="E61">
        <f>IF('R.M Billets Reports'!B60="","",TRIM('R.M Billets Reports'!B60))</f>
      </c>
      <c r="F61">
        <f>'R.M Billets Reports'!C60</f>
      </c>
      <c r="G61">
        <f>'R.M Billets Reports'!D60</f>
      </c>
      <c r="H61">
        <f>'R.M Billets Reports'!E60</f>
      </c>
      <c r="I61">
        <f>'R.M Billets Reports'!F60</f>
      </c>
      <c r="J61">
        <f>'R.M Billets Reports'!G60</f>
      </c>
      <c r="K61">
        <f>'R.M Billets Reports'!H60</f>
      </c>
      <c r="L61">
        <f>IF('R.M Billets Reports'!I60="","",'R.M Billets Reports'!I60)</f>
      </c>
      <c r="M61">
        <f t="shared" si="0"/>
      </c>
      <c r="N61">
        <f>IF('R.M Billets Reports'!J60="","",'R.M Billets Reports'!J60)</f>
      </c>
      <c r="O61">
        <f t="shared" si="1"/>
      </c>
      <c r="P61">
        <f>IF('R.M Billets Reports'!A60="SIZE",'R.M Billets Reports'!B60,P60)</f>
      </c>
    </row>
    <row r="62" spans="1:16" x14ac:dyDescent="0.25">
      <c r="A62">
        <f>IF(OR('R.M Billets Reports'!A61="Date-",'R.M Billets Reports'!A61="Date:-"),IF(IF(IF(ISNUMBER(SEARCH("Party Name:-",'R.M Billets Reports'!D61)),TRIM('R.M Billets Reports'!F61),IF(ISNUMBER(SEARCH("Party Name-",'R.M Billets Reports'!D61)),TRIM(MID('R.M Billets Reports'!D61,SEARCH("-",'R.M Billets Reports'!D61)+1,200)),""))&lt;&gt;"",IF(ISNUMBER(SEARCH("Party Name:-",'R.M Billets Reports'!D61)),TRIM('R.M Billets Reports'!F61),IF(ISNUMBER(SEARCH("Party Name-",'R.M Billets Reports'!D61)),TRIM(MID('R.M Billets Reports'!D61,SEARCH("-",'R.M Billets Reports'!D61)+1,200)),"")),IF(ISNUMBER(SEARCH("Party Name:-",'R.M Billets Reports'!D62)),TRIM('R.M Billets Reports'!F62),IF(ISNUMBER(SEARCH("Party Name-",'R.M Billets Reports'!D62)),TRIM(MID('R.M Billets Reports'!D62,SEARCH("-",'R.M Billets Reports'!D62)+1,200)),"")))="VRKP ISPAT PVT LTD","VRKP",IF(IF(IF(ISNUMBER(SEARCH("Party Name:-",'R.M Billets Reports'!D61)),TRIM('R.M Billets Reports'!F61),IF(ISNUMBER(SEARCH("Party Name-",'R.M Billets Reports'!D61)),TRIM(MID('R.M Billets Reports'!D61,SEARCH("-",'R.M Billets Reports'!D61)+1,200)),""))&lt;&gt;"",IF(ISNUMBER(SEARCH("Party Name:-",'R.M Billets Reports'!D61)),TRIM('R.M Billets Reports'!F61),IF(ISNUMBER(SEARCH("Party Name-",'R.M Billets Reports'!D61)),TRIM(MID('R.M Billets Reports'!D61,SEARCH("-",'R.M Billets Reports'!D61)+1,200)),"")),IF(ISNUMBER(SEARCH("Party Name:-",'R.M Billets Reports'!D62)),TRIM('R.M Billets Reports'!F62),IF(ISNUMBER(SEARCH("Party Name-",'R.M Billets Reports'!D62)),TRIM(MID('R.M Billets Reports'!D62,SEARCH("-",'R.M Billets Reports'!D62)+1,200)),"")))="SHRI RADHE","SHREE RADHE",IF(IF(IF(ISNUMBER(SEARCH("Party Name:-",'R.M Billets Reports'!D61)),TRIM('R.M Billets Reports'!F61),IF(ISNUMBER(SEARCH("Party Name-",'R.M Billets Reports'!D61)),TRIM(MID('R.M Billets Reports'!D61,SEARCH("-",'R.M Billets Reports'!D61)+1,200)),""))&lt;&gt;"",IF(ISNUMBER(SEARCH("Party Name:-",'R.M Billets Reports'!D61)),TRIM('R.M Billets Reports'!F61),IF(ISNUMBER(SEARCH("Party Name-",'R.M Billets Reports'!D61)),TRIM(MID('R.M Billets Reports'!D61,SEARCH("-",'R.M Billets Reports'!D61)+1,200)),"")),IF(ISNUMBER(SEARCH("Party Name:-",'R.M Billets Reports'!D62)),TRIM('R.M Billets Reports'!F62),IF(ISNUMBER(SEARCH("Party Name-",'R.M Billets Reports'!D62)),TRIM(MID('R.M Billets Reports'!D62,SEARCH("-",'R.M Billets Reports'!D62)+1,200)),"")))="SHREE RADHE SHAKTI SPONGE AND POWER PVT. LTD.","SHREE RADHE",IF(IF(ISNUMBER(SEARCH("Party Name:-",'R.M Billets Reports'!D61)),TRIM('R.M Billets Reports'!F61),IF(ISNUMBER(SEARCH("Party Name-",'R.M Billets Reports'!D61)),TRIM(MID('R.M Billets Reports'!D61,SEARCH("-",'R.M Billets Reports'!D61)+1,200)),""))&lt;&gt;"",IF(ISNUMBER(SEARCH("Party Name:-",'R.M Billets Reports'!D61)),TRIM('R.M Billets Reports'!F61),IF(ISNUMBER(SEARCH("Party Name-",'R.M Billets Reports'!D61)),TRIM(MID('R.M Billets Reports'!D61,SEARCH("-",'R.M Billets Reports'!D61)+1,200)),"")),IF(ISNUMBER(SEARCH("Party Name:-",'R.M Billets Reports'!D62)),TRIM('R.M Billets Reports'!F62),IF(ISNUMBER(SEARCH("Party Name-",'R.M Billets Reports'!D62)),TRIM(MID('R.M Billets Reports'!D62,SEARCH("-",'R.M Billets Reports'!D62)+1,200)),"")))))),IF(ROW()=2,"",A61))</f>
      </c>
      <c r="B62">
        <f>IF(OR('R.M Billets Reports'!A61="Date-",'R.M Billets Reports'!A61="Date:-"),'R.M Billets Reports'!B61,IF(ROW()=2,"",B61))</f>
      </c>
      <c r="C62">
        <f>IF('R.M Billets Reports'!A61="V.No.",'R.M Billets Reports'!B61,IF(ROW()=2,"",C61))</f>
      </c>
      <c r="D62">
        <f>IF('R.M Billets Reports'!A61&lt;&gt;"",'R.M Billets Reports'!A61,IF(ROW()=2,"",D61))</f>
      </c>
      <c r="E62">
        <f>IF('R.M Billets Reports'!B61="","",TRIM('R.M Billets Reports'!B61))</f>
      </c>
      <c r="F62">
        <f>'R.M Billets Reports'!C61</f>
      </c>
      <c r="G62">
        <f>'R.M Billets Reports'!D61</f>
      </c>
      <c r="H62">
        <f>'R.M Billets Reports'!E61</f>
      </c>
      <c r="I62">
        <f>'R.M Billets Reports'!F61</f>
      </c>
      <c r="J62">
        <f>'R.M Billets Reports'!G61</f>
      </c>
      <c r="K62">
        <f>'R.M Billets Reports'!H61</f>
      </c>
      <c r="L62">
        <f>IF('R.M Billets Reports'!I61="","",'R.M Billets Reports'!I61)</f>
      </c>
      <c r="M62">
        <f t="shared" si="0"/>
      </c>
      <c r="N62">
        <f>IF('R.M Billets Reports'!J61="","",'R.M Billets Reports'!J61)</f>
      </c>
      <c r="O62">
        <f t="shared" si="1"/>
      </c>
      <c r="P62">
        <f>IF('R.M Billets Reports'!A61="SIZE",'R.M Billets Reports'!B61,P61)</f>
      </c>
    </row>
    <row r="63" spans="1:16" x14ac:dyDescent="0.25">
      <c r="A63">
        <f>IF(OR('R.M Billets Reports'!A62="Date-",'R.M Billets Reports'!A62="Date:-"),IF(IF(IF(ISNUMBER(SEARCH("Party Name:-",'R.M Billets Reports'!D62)),TRIM('R.M Billets Reports'!F62),IF(ISNUMBER(SEARCH("Party Name-",'R.M Billets Reports'!D62)),TRIM(MID('R.M Billets Reports'!D62,SEARCH("-",'R.M Billets Reports'!D62)+1,200)),""))&lt;&gt;"",IF(ISNUMBER(SEARCH("Party Name:-",'R.M Billets Reports'!D62)),TRIM('R.M Billets Reports'!F62),IF(ISNUMBER(SEARCH("Party Name-",'R.M Billets Reports'!D62)),TRIM(MID('R.M Billets Reports'!D62,SEARCH("-",'R.M Billets Reports'!D62)+1,200)),"")),IF(ISNUMBER(SEARCH("Party Name:-",'R.M Billets Reports'!D63)),TRIM('R.M Billets Reports'!F63),IF(ISNUMBER(SEARCH("Party Name-",'R.M Billets Reports'!D63)),TRIM(MID('R.M Billets Reports'!D63,SEARCH("-",'R.M Billets Reports'!D63)+1,200)),"")))="VRKP ISPAT PVT LTD","VRKP",IF(IF(IF(ISNUMBER(SEARCH("Party Name:-",'R.M Billets Reports'!D62)),TRIM('R.M Billets Reports'!F62),IF(ISNUMBER(SEARCH("Party Name-",'R.M Billets Reports'!D62)),TRIM(MID('R.M Billets Reports'!D62,SEARCH("-",'R.M Billets Reports'!D62)+1,200)),""))&lt;&gt;"",IF(ISNUMBER(SEARCH("Party Name:-",'R.M Billets Reports'!D62)),TRIM('R.M Billets Reports'!F62),IF(ISNUMBER(SEARCH("Party Name-",'R.M Billets Reports'!D62)),TRIM(MID('R.M Billets Reports'!D62,SEARCH("-",'R.M Billets Reports'!D62)+1,200)),"")),IF(ISNUMBER(SEARCH("Party Name:-",'R.M Billets Reports'!D63)),TRIM('R.M Billets Reports'!F63),IF(ISNUMBER(SEARCH("Party Name-",'R.M Billets Reports'!D63)),TRIM(MID('R.M Billets Reports'!D63,SEARCH("-",'R.M Billets Reports'!D63)+1,200)),"")))="SHRI RADHE","SHREE RADHE",IF(IF(IF(ISNUMBER(SEARCH("Party Name:-",'R.M Billets Reports'!D62)),TRIM('R.M Billets Reports'!F62),IF(ISNUMBER(SEARCH("Party Name-",'R.M Billets Reports'!D62)),TRIM(MID('R.M Billets Reports'!D62,SEARCH("-",'R.M Billets Reports'!D62)+1,200)),""))&lt;&gt;"",IF(ISNUMBER(SEARCH("Party Name:-",'R.M Billets Reports'!D62)),TRIM('R.M Billets Reports'!F62),IF(ISNUMBER(SEARCH("Party Name-",'R.M Billets Reports'!D62)),TRIM(MID('R.M Billets Reports'!D62,SEARCH("-",'R.M Billets Reports'!D62)+1,200)),"")),IF(ISNUMBER(SEARCH("Party Name:-",'R.M Billets Reports'!D63)),TRIM('R.M Billets Reports'!F63),IF(ISNUMBER(SEARCH("Party Name-",'R.M Billets Reports'!D63)),TRIM(MID('R.M Billets Reports'!D63,SEARCH("-",'R.M Billets Reports'!D63)+1,200)),"")))="SHREE RADHE SHAKTI SPONGE AND POWER PVT. LTD.","SHREE RADHE",IF(IF(ISNUMBER(SEARCH("Party Name:-",'R.M Billets Reports'!D62)),TRIM('R.M Billets Reports'!F62),IF(ISNUMBER(SEARCH("Party Name-",'R.M Billets Reports'!D62)),TRIM(MID('R.M Billets Reports'!D62,SEARCH("-",'R.M Billets Reports'!D62)+1,200)),""))&lt;&gt;"",IF(ISNUMBER(SEARCH("Party Name:-",'R.M Billets Reports'!D62)),TRIM('R.M Billets Reports'!F62),IF(ISNUMBER(SEARCH("Party Name-",'R.M Billets Reports'!D62)),TRIM(MID('R.M Billets Reports'!D62,SEARCH("-",'R.M Billets Reports'!D62)+1,200)),"")),IF(ISNUMBER(SEARCH("Party Name:-",'R.M Billets Reports'!D63)),TRIM('R.M Billets Reports'!F63),IF(ISNUMBER(SEARCH("Party Name-",'R.M Billets Reports'!D63)),TRIM(MID('R.M Billets Reports'!D63,SEARCH("-",'R.M Billets Reports'!D63)+1,200)),"")))))),IF(ROW()=2,"",A62))</f>
      </c>
      <c r="B63">
        <f>IF(OR('R.M Billets Reports'!A62="Date-",'R.M Billets Reports'!A62="Date:-"),'R.M Billets Reports'!B62,IF(ROW()=2,"",B62))</f>
      </c>
      <c r="C63">
        <f>IF('R.M Billets Reports'!A62="V.No.",'R.M Billets Reports'!B62,IF(ROW()=2,"",C62))</f>
      </c>
      <c r="D63">
        <f>IF('R.M Billets Reports'!A62&lt;&gt;"",'R.M Billets Reports'!A62,IF(ROW()=2,"",D62))</f>
      </c>
      <c r="E63">
        <f>IF('R.M Billets Reports'!B62="","",TRIM('R.M Billets Reports'!B62))</f>
      </c>
      <c r="F63">
        <f>'R.M Billets Reports'!C62</f>
      </c>
      <c r="G63">
        <f>'R.M Billets Reports'!D62</f>
      </c>
      <c r="H63">
        <f>'R.M Billets Reports'!E62</f>
      </c>
      <c r="I63">
        <f>'R.M Billets Reports'!F62</f>
      </c>
      <c r="J63">
        <f>'R.M Billets Reports'!G62</f>
      </c>
      <c r="K63">
        <f>'R.M Billets Reports'!H62</f>
      </c>
      <c r="L63">
        <f>IF('R.M Billets Reports'!I62="","",'R.M Billets Reports'!I62)</f>
      </c>
      <c r="M63">
        <f t="shared" si="0"/>
      </c>
      <c r="N63">
        <f>IF('R.M Billets Reports'!J62="","",'R.M Billets Reports'!J62)</f>
      </c>
      <c r="O63">
        <f t="shared" si="1"/>
      </c>
      <c r="P63">
        <f>IF('R.M Billets Reports'!A62="SIZE",'R.M Billets Reports'!B62,P62)</f>
      </c>
    </row>
    <row r="64" spans="1:16" x14ac:dyDescent="0.25">
      <c r="A64">
        <f>IF(OR('R.M Billets Reports'!A63="Date-",'R.M Billets Reports'!A63="Date:-"),IF(IF(IF(ISNUMBER(SEARCH("Party Name:-",'R.M Billets Reports'!D63)),TRIM('R.M Billets Reports'!F63),IF(ISNUMBER(SEARCH("Party Name-",'R.M Billets Reports'!D63)),TRIM(MID('R.M Billets Reports'!D63,SEARCH("-",'R.M Billets Reports'!D63)+1,200)),""))&lt;&gt;"",IF(ISNUMBER(SEARCH("Party Name:-",'R.M Billets Reports'!D63)),TRIM('R.M Billets Reports'!F63),IF(ISNUMBER(SEARCH("Party Name-",'R.M Billets Reports'!D63)),TRIM(MID('R.M Billets Reports'!D63,SEARCH("-",'R.M Billets Reports'!D63)+1,200)),"")),IF(ISNUMBER(SEARCH("Party Name:-",'R.M Billets Reports'!D64)),TRIM('R.M Billets Reports'!F64),IF(ISNUMBER(SEARCH("Party Name-",'R.M Billets Reports'!D64)),TRIM(MID('R.M Billets Reports'!D64,SEARCH("-",'R.M Billets Reports'!D64)+1,200)),"")))="VRKP ISPAT PVT LTD","VRKP",IF(IF(IF(ISNUMBER(SEARCH("Party Name:-",'R.M Billets Reports'!D63)),TRIM('R.M Billets Reports'!F63),IF(ISNUMBER(SEARCH("Party Name-",'R.M Billets Reports'!D63)),TRIM(MID('R.M Billets Reports'!D63,SEARCH("-",'R.M Billets Reports'!D63)+1,200)),""))&lt;&gt;"",IF(ISNUMBER(SEARCH("Party Name:-",'R.M Billets Reports'!D63)),TRIM('R.M Billets Reports'!F63),IF(ISNUMBER(SEARCH("Party Name-",'R.M Billets Reports'!D63)),TRIM(MID('R.M Billets Reports'!D63,SEARCH("-",'R.M Billets Reports'!D63)+1,200)),"")),IF(ISNUMBER(SEARCH("Party Name:-",'R.M Billets Reports'!D64)),TRIM('R.M Billets Reports'!F64),IF(ISNUMBER(SEARCH("Party Name-",'R.M Billets Reports'!D64)),TRIM(MID('R.M Billets Reports'!D64,SEARCH("-",'R.M Billets Reports'!D64)+1,200)),"")))="SHRI RADHE","SHREE RADHE",IF(IF(IF(ISNUMBER(SEARCH("Party Name:-",'R.M Billets Reports'!D63)),TRIM('R.M Billets Reports'!F63),IF(ISNUMBER(SEARCH("Party Name-",'R.M Billets Reports'!D63)),TRIM(MID('R.M Billets Reports'!D63,SEARCH("-",'R.M Billets Reports'!D63)+1,200)),""))&lt;&gt;"",IF(ISNUMBER(SEARCH("Party Name:-",'R.M Billets Reports'!D63)),TRIM('R.M Billets Reports'!F63),IF(ISNUMBER(SEARCH("Party Name-",'R.M Billets Reports'!D63)),TRIM(MID('R.M Billets Reports'!D63,SEARCH("-",'R.M Billets Reports'!D63)+1,200)),"")),IF(ISNUMBER(SEARCH("Party Name:-",'R.M Billets Reports'!D64)),TRIM('R.M Billets Reports'!F64),IF(ISNUMBER(SEARCH("Party Name-",'R.M Billets Reports'!D64)),TRIM(MID('R.M Billets Reports'!D64,SEARCH("-",'R.M Billets Reports'!D64)+1,200)),"")))="SHREE RADHE SHAKTI SPONGE AND POWER PVT. LTD.","SHREE RADHE",IF(IF(ISNUMBER(SEARCH("Party Name:-",'R.M Billets Reports'!D63)),TRIM('R.M Billets Reports'!F63),IF(ISNUMBER(SEARCH("Party Name-",'R.M Billets Reports'!D63)),TRIM(MID('R.M Billets Reports'!D63,SEARCH("-",'R.M Billets Reports'!D63)+1,200)),""))&lt;&gt;"",IF(ISNUMBER(SEARCH("Party Name:-",'R.M Billets Reports'!D63)),TRIM('R.M Billets Reports'!F63),IF(ISNUMBER(SEARCH("Party Name-",'R.M Billets Reports'!D63)),TRIM(MID('R.M Billets Reports'!D63,SEARCH("-",'R.M Billets Reports'!D63)+1,200)),"")),IF(ISNUMBER(SEARCH("Party Name:-",'R.M Billets Reports'!D64)),TRIM('R.M Billets Reports'!F64),IF(ISNUMBER(SEARCH("Party Name-",'R.M Billets Reports'!D64)),TRIM(MID('R.M Billets Reports'!D64,SEARCH("-",'R.M Billets Reports'!D64)+1,200)),"")))))),IF(ROW()=2,"",A63))</f>
      </c>
      <c r="B64">
        <f>IF(OR('R.M Billets Reports'!A63="Date-",'R.M Billets Reports'!A63="Date:-"),'R.M Billets Reports'!B63,IF(ROW()=2,"",B63))</f>
      </c>
      <c r="C64">
        <f>IF('R.M Billets Reports'!A63="V.No.",'R.M Billets Reports'!B63,IF(ROW()=2,"",C63))</f>
      </c>
      <c r="D64">
        <f>IF('R.M Billets Reports'!A63&lt;&gt;"",'R.M Billets Reports'!A63,IF(ROW()=2,"",D63))</f>
      </c>
      <c r="E64">
        <f>IF('R.M Billets Reports'!B63="","",TRIM('R.M Billets Reports'!B63))</f>
      </c>
      <c r="F64">
        <f>'R.M Billets Reports'!C63</f>
      </c>
      <c r="G64">
        <f>'R.M Billets Reports'!D63</f>
      </c>
      <c r="H64">
        <f>'R.M Billets Reports'!E63</f>
      </c>
      <c r="I64">
        <f>'R.M Billets Reports'!F63</f>
      </c>
      <c r="J64">
        <f>'R.M Billets Reports'!G63</f>
      </c>
      <c r="K64">
        <f>'R.M Billets Reports'!H63</f>
      </c>
      <c r="L64">
        <f>IF('R.M Billets Reports'!I63="","",'R.M Billets Reports'!I63)</f>
      </c>
      <c r="M64">
        <f t="shared" si="0"/>
      </c>
      <c r="N64">
        <f>IF('R.M Billets Reports'!J63="","",'R.M Billets Reports'!J63)</f>
      </c>
      <c r="O64">
        <f t="shared" si="1"/>
      </c>
      <c r="P64">
        <f>IF('R.M Billets Reports'!A63="SIZE",'R.M Billets Reports'!B63,P63)</f>
      </c>
    </row>
    <row r="65" spans="1:16" x14ac:dyDescent="0.25">
      <c r="A65">
        <f>IF(OR('R.M Billets Reports'!A64="Date-",'R.M Billets Reports'!A64="Date:-"),IF(IF(IF(ISNUMBER(SEARCH("Party Name:-",'R.M Billets Reports'!D64)),TRIM('R.M Billets Reports'!F64),IF(ISNUMBER(SEARCH("Party Name-",'R.M Billets Reports'!D64)),TRIM(MID('R.M Billets Reports'!D64,SEARCH("-",'R.M Billets Reports'!D64)+1,200)),""))&lt;&gt;"",IF(ISNUMBER(SEARCH("Party Name:-",'R.M Billets Reports'!D64)),TRIM('R.M Billets Reports'!F64),IF(ISNUMBER(SEARCH("Party Name-",'R.M Billets Reports'!D64)),TRIM(MID('R.M Billets Reports'!D64,SEARCH("-",'R.M Billets Reports'!D64)+1,200)),"")),IF(ISNUMBER(SEARCH("Party Name:-",'R.M Billets Reports'!D65)),TRIM('R.M Billets Reports'!F65),IF(ISNUMBER(SEARCH("Party Name-",'R.M Billets Reports'!D65)),TRIM(MID('R.M Billets Reports'!D65,SEARCH("-",'R.M Billets Reports'!D65)+1,200)),"")))="VRKP ISPAT PVT LTD","VRKP",IF(IF(IF(ISNUMBER(SEARCH("Party Name:-",'R.M Billets Reports'!D64)),TRIM('R.M Billets Reports'!F64),IF(ISNUMBER(SEARCH("Party Name-",'R.M Billets Reports'!D64)),TRIM(MID('R.M Billets Reports'!D64,SEARCH("-",'R.M Billets Reports'!D64)+1,200)),""))&lt;&gt;"",IF(ISNUMBER(SEARCH("Party Name:-",'R.M Billets Reports'!D64)),TRIM('R.M Billets Reports'!F64),IF(ISNUMBER(SEARCH("Party Name-",'R.M Billets Reports'!D64)),TRIM(MID('R.M Billets Reports'!D64,SEARCH("-",'R.M Billets Reports'!D64)+1,200)),"")),IF(ISNUMBER(SEARCH("Party Name:-",'R.M Billets Reports'!D65)),TRIM('R.M Billets Reports'!F65),IF(ISNUMBER(SEARCH("Party Name-",'R.M Billets Reports'!D65)),TRIM(MID('R.M Billets Reports'!D65,SEARCH("-",'R.M Billets Reports'!D65)+1,200)),"")))="SHRI RADHE","SHREE RADHE",IF(IF(IF(ISNUMBER(SEARCH("Party Name:-",'R.M Billets Reports'!D64)),TRIM('R.M Billets Reports'!F64),IF(ISNUMBER(SEARCH("Party Name-",'R.M Billets Reports'!D64)),TRIM(MID('R.M Billets Reports'!D64,SEARCH("-",'R.M Billets Reports'!D64)+1,200)),""))&lt;&gt;"",IF(ISNUMBER(SEARCH("Party Name:-",'R.M Billets Reports'!D64)),TRIM('R.M Billets Reports'!F64),IF(ISNUMBER(SEARCH("Party Name-",'R.M Billets Reports'!D64)),TRIM(MID('R.M Billets Reports'!D64,SEARCH("-",'R.M Billets Reports'!D64)+1,200)),"")),IF(ISNUMBER(SEARCH("Party Name:-",'R.M Billets Reports'!D65)),TRIM('R.M Billets Reports'!F65),IF(ISNUMBER(SEARCH("Party Name-",'R.M Billets Reports'!D65)),TRIM(MID('R.M Billets Reports'!D65,SEARCH("-",'R.M Billets Reports'!D65)+1,200)),"")))="SHREE RADHE SHAKTI SPONGE AND POWER PVT. LTD.","SHREE RADHE",IF(IF(ISNUMBER(SEARCH("Party Name:-",'R.M Billets Reports'!D64)),TRIM('R.M Billets Reports'!F64),IF(ISNUMBER(SEARCH("Party Name-",'R.M Billets Reports'!D64)),TRIM(MID('R.M Billets Reports'!D64,SEARCH("-",'R.M Billets Reports'!D64)+1,200)),""))&lt;&gt;"",IF(ISNUMBER(SEARCH("Party Name:-",'R.M Billets Reports'!D64)),TRIM('R.M Billets Reports'!F64),IF(ISNUMBER(SEARCH("Party Name-",'R.M Billets Reports'!D64)),TRIM(MID('R.M Billets Reports'!D64,SEARCH("-",'R.M Billets Reports'!D64)+1,200)),"")),IF(ISNUMBER(SEARCH("Party Name:-",'R.M Billets Reports'!D65)),TRIM('R.M Billets Reports'!F65),IF(ISNUMBER(SEARCH("Party Name-",'R.M Billets Reports'!D65)),TRIM(MID('R.M Billets Reports'!D65,SEARCH("-",'R.M Billets Reports'!D65)+1,200)),"")))))),IF(ROW()=2,"",A64))</f>
      </c>
      <c r="B65">
        <f>IF(OR('R.M Billets Reports'!A64="Date-",'R.M Billets Reports'!A64="Date:-"),'R.M Billets Reports'!B64,IF(ROW()=2,"",B64))</f>
      </c>
      <c r="C65">
        <f>IF('R.M Billets Reports'!A64="V.No.",'R.M Billets Reports'!B64,IF(ROW()=2,"",C64))</f>
      </c>
      <c r="D65">
        <f>IF('R.M Billets Reports'!A64&lt;&gt;"",'R.M Billets Reports'!A64,IF(ROW()=2,"",D64))</f>
      </c>
      <c r="E65">
        <f>IF('R.M Billets Reports'!B64="","",TRIM('R.M Billets Reports'!B64))</f>
      </c>
      <c r="F65">
        <f>'R.M Billets Reports'!C64</f>
      </c>
      <c r="G65">
        <f>'R.M Billets Reports'!D64</f>
      </c>
      <c r="H65">
        <f>'R.M Billets Reports'!E64</f>
      </c>
      <c r="I65">
        <f>'R.M Billets Reports'!F64</f>
      </c>
      <c r="J65">
        <f>'R.M Billets Reports'!G64</f>
      </c>
      <c r="K65">
        <f>'R.M Billets Reports'!H64</f>
      </c>
      <c r="L65">
        <f>IF('R.M Billets Reports'!I64="","",'R.M Billets Reports'!I64)</f>
      </c>
      <c r="M65">
        <f t="shared" si="0"/>
      </c>
      <c r="N65">
        <f>IF('R.M Billets Reports'!J64="","",'R.M Billets Reports'!J64)</f>
      </c>
      <c r="O65">
        <f t="shared" si="1"/>
      </c>
      <c r="P65">
        <f>IF('R.M Billets Reports'!A64="SIZE",'R.M Billets Reports'!B64,P64)</f>
      </c>
    </row>
    <row r="66" spans="1:16" x14ac:dyDescent="0.25">
      <c r="A66">
        <f>IF(OR('R.M Billets Reports'!A65="Date-",'R.M Billets Reports'!A65="Date:-"),IF(IF(IF(ISNUMBER(SEARCH("Party Name:-",'R.M Billets Reports'!D65)),TRIM('R.M Billets Reports'!F65),IF(ISNUMBER(SEARCH("Party Name-",'R.M Billets Reports'!D65)),TRIM(MID('R.M Billets Reports'!D65,SEARCH("-",'R.M Billets Reports'!D65)+1,200)),""))&lt;&gt;"",IF(ISNUMBER(SEARCH("Party Name:-",'R.M Billets Reports'!D65)),TRIM('R.M Billets Reports'!F65),IF(ISNUMBER(SEARCH("Party Name-",'R.M Billets Reports'!D65)),TRIM(MID('R.M Billets Reports'!D65,SEARCH("-",'R.M Billets Reports'!D65)+1,200)),"")),IF(ISNUMBER(SEARCH("Party Name:-",'R.M Billets Reports'!D66)),TRIM('R.M Billets Reports'!F66),IF(ISNUMBER(SEARCH("Party Name-",'R.M Billets Reports'!D66)),TRIM(MID('R.M Billets Reports'!D66,SEARCH("-",'R.M Billets Reports'!D66)+1,200)),"")))="VRKP ISPAT PVT LTD","VRKP",IF(IF(IF(ISNUMBER(SEARCH("Party Name:-",'R.M Billets Reports'!D65)),TRIM('R.M Billets Reports'!F65),IF(ISNUMBER(SEARCH("Party Name-",'R.M Billets Reports'!D65)),TRIM(MID('R.M Billets Reports'!D65,SEARCH("-",'R.M Billets Reports'!D65)+1,200)),""))&lt;&gt;"",IF(ISNUMBER(SEARCH("Party Name:-",'R.M Billets Reports'!D65)),TRIM('R.M Billets Reports'!F65),IF(ISNUMBER(SEARCH("Party Name-",'R.M Billets Reports'!D65)),TRIM(MID('R.M Billets Reports'!D65,SEARCH("-",'R.M Billets Reports'!D65)+1,200)),"")),IF(ISNUMBER(SEARCH("Party Name:-",'R.M Billets Reports'!D66)),TRIM('R.M Billets Reports'!F66),IF(ISNUMBER(SEARCH("Party Name-",'R.M Billets Reports'!D66)),TRIM(MID('R.M Billets Reports'!D66,SEARCH("-",'R.M Billets Reports'!D66)+1,200)),"")))="SHRI RADHE","SHREE RADHE",IF(IF(IF(ISNUMBER(SEARCH("Party Name:-",'R.M Billets Reports'!D65)),TRIM('R.M Billets Reports'!F65),IF(ISNUMBER(SEARCH("Party Name-",'R.M Billets Reports'!D65)),TRIM(MID('R.M Billets Reports'!D65,SEARCH("-",'R.M Billets Reports'!D65)+1,200)),""))&lt;&gt;"",IF(ISNUMBER(SEARCH("Party Name:-",'R.M Billets Reports'!D65)),TRIM('R.M Billets Reports'!F65),IF(ISNUMBER(SEARCH("Party Name-",'R.M Billets Reports'!D65)),TRIM(MID('R.M Billets Reports'!D65,SEARCH("-",'R.M Billets Reports'!D65)+1,200)),"")),IF(ISNUMBER(SEARCH("Party Name:-",'R.M Billets Reports'!D66)),TRIM('R.M Billets Reports'!F66),IF(ISNUMBER(SEARCH("Party Name-",'R.M Billets Reports'!D66)),TRIM(MID('R.M Billets Reports'!D66,SEARCH("-",'R.M Billets Reports'!D66)+1,200)),"")))="SHREE RADHE SHAKTI SPONGE AND POWER PVT. LTD.","SHREE RADHE",IF(IF(ISNUMBER(SEARCH("Party Name:-",'R.M Billets Reports'!D65)),TRIM('R.M Billets Reports'!F65),IF(ISNUMBER(SEARCH("Party Name-",'R.M Billets Reports'!D65)),TRIM(MID('R.M Billets Reports'!D65,SEARCH("-",'R.M Billets Reports'!D65)+1,200)),""))&lt;&gt;"",IF(ISNUMBER(SEARCH("Party Name:-",'R.M Billets Reports'!D65)),TRIM('R.M Billets Reports'!F65),IF(ISNUMBER(SEARCH("Party Name-",'R.M Billets Reports'!D65)),TRIM(MID('R.M Billets Reports'!D65,SEARCH("-",'R.M Billets Reports'!D65)+1,200)),"")),IF(ISNUMBER(SEARCH("Party Name:-",'R.M Billets Reports'!D66)),TRIM('R.M Billets Reports'!F66),IF(ISNUMBER(SEARCH("Party Name-",'R.M Billets Reports'!D66)),TRIM(MID('R.M Billets Reports'!D66,SEARCH("-",'R.M Billets Reports'!D66)+1,200)),"")))))),IF(ROW()=2,"",A65))</f>
      </c>
      <c r="B66">
        <f>IF(OR('R.M Billets Reports'!A65="Date-",'R.M Billets Reports'!A65="Date:-"),'R.M Billets Reports'!B65,IF(ROW()=2,"",B65))</f>
      </c>
      <c r="C66">
        <f>IF('R.M Billets Reports'!A65="V.No.",'R.M Billets Reports'!B65,IF(ROW()=2,"",C65))</f>
      </c>
      <c r="D66">
        <f>IF('R.M Billets Reports'!A65&lt;&gt;"",'R.M Billets Reports'!A65,IF(ROW()=2,"",D65))</f>
      </c>
      <c r="E66">
        <f>IF('R.M Billets Reports'!B65="","",TRIM('R.M Billets Reports'!B65))</f>
      </c>
      <c r="F66">
        <f>'R.M Billets Reports'!C65</f>
      </c>
      <c r="G66">
        <f>'R.M Billets Reports'!D65</f>
      </c>
      <c r="H66">
        <f>'R.M Billets Reports'!E65</f>
      </c>
      <c r="I66">
        <f>'R.M Billets Reports'!F65</f>
      </c>
      <c r="J66">
        <f>'R.M Billets Reports'!G65</f>
      </c>
      <c r="K66">
        <f>'R.M Billets Reports'!H65</f>
      </c>
      <c r="L66">
        <f>IF('R.M Billets Reports'!I65="","",'R.M Billets Reports'!I65)</f>
      </c>
      <c r="M66">
        <f t="shared" si="0"/>
      </c>
      <c r="N66">
        <f>IF('R.M Billets Reports'!J65="","",'R.M Billets Reports'!J65)</f>
      </c>
      <c r="O66">
        <f t="shared" si="1"/>
      </c>
      <c r="P66">
        <f>IF('R.M Billets Reports'!A65="SIZE",'R.M Billets Reports'!B65,P65)</f>
      </c>
    </row>
    <row r="67" spans="1:16" x14ac:dyDescent="0.25">
      <c r="A67">
        <f>IF(OR('R.M Billets Reports'!A66="Date-",'R.M Billets Reports'!A66="Date:-"),IF(IF(IF(ISNUMBER(SEARCH("Party Name:-",'R.M Billets Reports'!D66)),TRIM('R.M Billets Reports'!F66),IF(ISNUMBER(SEARCH("Party Name-",'R.M Billets Reports'!D66)),TRIM(MID('R.M Billets Reports'!D66,SEARCH("-",'R.M Billets Reports'!D66)+1,200)),""))&lt;&gt;"",IF(ISNUMBER(SEARCH("Party Name:-",'R.M Billets Reports'!D66)),TRIM('R.M Billets Reports'!F66),IF(ISNUMBER(SEARCH("Party Name-",'R.M Billets Reports'!D66)),TRIM(MID('R.M Billets Reports'!D66,SEARCH("-",'R.M Billets Reports'!D66)+1,200)),"")),IF(ISNUMBER(SEARCH("Party Name:-",'R.M Billets Reports'!D67)),TRIM('R.M Billets Reports'!F67),IF(ISNUMBER(SEARCH("Party Name-",'R.M Billets Reports'!D67)),TRIM(MID('R.M Billets Reports'!D67,SEARCH("-",'R.M Billets Reports'!D67)+1,200)),"")))="VRKP ISPAT PVT LTD","VRKP",IF(IF(IF(ISNUMBER(SEARCH("Party Name:-",'R.M Billets Reports'!D66)),TRIM('R.M Billets Reports'!F66),IF(ISNUMBER(SEARCH("Party Name-",'R.M Billets Reports'!D66)),TRIM(MID('R.M Billets Reports'!D66,SEARCH("-",'R.M Billets Reports'!D66)+1,200)),""))&lt;&gt;"",IF(ISNUMBER(SEARCH("Party Name:-",'R.M Billets Reports'!D66)),TRIM('R.M Billets Reports'!F66),IF(ISNUMBER(SEARCH("Party Name-",'R.M Billets Reports'!D66)),TRIM(MID('R.M Billets Reports'!D66,SEARCH("-",'R.M Billets Reports'!D66)+1,200)),"")),IF(ISNUMBER(SEARCH("Party Name:-",'R.M Billets Reports'!D67)),TRIM('R.M Billets Reports'!F67),IF(ISNUMBER(SEARCH("Party Name-",'R.M Billets Reports'!D67)),TRIM(MID('R.M Billets Reports'!D67,SEARCH("-",'R.M Billets Reports'!D67)+1,200)),"")))="SHRI RADHE","SHREE RADHE",IF(IF(IF(ISNUMBER(SEARCH("Party Name:-",'R.M Billets Reports'!D66)),TRIM('R.M Billets Reports'!F66),IF(ISNUMBER(SEARCH("Party Name-",'R.M Billets Reports'!D66)),TRIM(MID('R.M Billets Reports'!D66,SEARCH("-",'R.M Billets Reports'!D66)+1,200)),""))&lt;&gt;"",IF(ISNUMBER(SEARCH("Party Name:-",'R.M Billets Reports'!D66)),TRIM('R.M Billets Reports'!F66),IF(ISNUMBER(SEARCH("Party Name-",'R.M Billets Reports'!D66)),TRIM(MID('R.M Billets Reports'!D66,SEARCH("-",'R.M Billets Reports'!D66)+1,200)),"")),IF(ISNUMBER(SEARCH("Party Name:-",'R.M Billets Reports'!D67)),TRIM('R.M Billets Reports'!F67),IF(ISNUMBER(SEARCH("Party Name-",'R.M Billets Reports'!D67)),TRIM(MID('R.M Billets Reports'!D67,SEARCH("-",'R.M Billets Reports'!D67)+1,200)),"")))="SHREE RADHE SHAKTI SPONGE AND POWER PVT. LTD.","SHREE RADHE",IF(IF(ISNUMBER(SEARCH("Party Name:-",'R.M Billets Reports'!D66)),TRIM('R.M Billets Reports'!F66),IF(ISNUMBER(SEARCH("Party Name-",'R.M Billets Reports'!D66)),TRIM(MID('R.M Billets Reports'!D66,SEARCH("-",'R.M Billets Reports'!D66)+1,200)),""))&lt;&gt;"",IF(ISNUMBER(SEARCH("Party Name:-",'R.M Billets Reports'!D66)),TRIM('R.M Billets Reports'!F66),IF(ISNUMBER(SEARCH("Party Name-",'R.M Billets Reports'!D66)),TRIM(MID('R.M Billets Reports'!D66,SEARCH("-",'R.M Billets Reports'!D66)+1,200)),"")),IF(ISNUMBER(SEARCH("Party Name:-",'R.M Billets Reports'!D67)),TRIM('R.M Billets Reports'!F67),IF(ISNUMBER(SEARCH("Party Name-",'R.M Billets Reports'!D67)),TRIM(MID('R.M Billets Reports'!D67,SEARCH("-",'R.M Billets Reports'!D67)+1,200)),"")))))),IF(ROW()=2,"",A66))</f>
      </c>
      <c r="B67">
        <f>IF(OR('R.M Billets Reports'!A66="Date-",'R.M Billets Reports'!A66="Date:-"),'R.M Billets Reports'!B66,IF(ROW()=2,"",B66))</f>
      </c>
      <c r="C67">
        <f>IF('R.M Billets Reports'!A66="V.No.",'R.M Billets Reports'!B66,IF(ROW()=2,"",C66))</f>
      </c>
      <c r="D67">
        <f>IF('R.M Billets Reports'!A66&lt;&gt;"",'R.M Billets Reports'!A66,IF(ROW()=2,"",D66))</f>
      </c>
      <c r="E67">
        <f>IF('R.M Billets Reports'!B66="","",TRIM('R.M Billets Reports'!B66))</f>
      </c>
      <c r="F67">
        <f>'R.M Billets Reports'!C66</f>
      </c>
      <c r="G67">
        <f>'R.M Billets Reports'!D66</f>
      </c>
      <c r="H67">
        <f>'R.M Billets Reports'!E66</f>
      </c>
      <c r="I67">
        <f>'R.M Billets Reports'!F66</f>
      </c>
      <c r="J67">
        <f>'R.M Billets Reports'!G66</f>
      </c>
      <c r="K67">
        <f>'R.M Billets Reports'!H66</f>
      </c>
      <c r="L67">
        <f>IF('R.M Billets Reports'!I66="","",'R.M Billets Reports'!I66)</f>
      </c>
      <c r="M67">
        <f t="shared" ref="M67:M130" si="2">IF(L67&lt;&gt;"",L67,IF(D67=D66,M66,""))</f>
      </c>
      <c r="N67">
        <f>IF('R.M Billets Reports'!J66="","",'R.M Billets Reports'!J66)</f>
      </c>
      <c r="O67">
        <f t="shared" ref="O67:O130" si="3">IF(N67&lt;&gt;"",N67,IF(D67=D66,O66,""))</f>
      </c>
      <c r="P67">
        <f>IF('R.M Billets Reports'!A66="SIZE",'R.M Billets Reports'!B66,P66)</f>
      </c>
    </row>
    <row r="68" spans="1:16" x14ac:dyDescent="0.25">
      <c r="A68">
        <f>IF(OR('R.M Billets Reports'!A67="Date-",'R.M Billets Reports'!A67="Date:-"),IF(IF(IF(ISNUMBER(SEARCH("Party Name:-",'R.M Billets Reports'!D67)),TRIM('R.M Billets Reports'!F67),IF(ISNUMBER(SEARCH("Party Name-",'R.M Billets Reports'!D67)),TRIM(MID('R.M Billets Reports'!D67,SEARCH("-",'R.M Billets Reports'!D67)+1,200)),""))&lt;&gt;"",IF(ISNUMBER(SEARCH("Party Name:-",'R.M Billets Reports'!D67)),TRIM('R.M Billets Reports'!F67),IF(ISNUMBER(SEARCH("Party Name-",'R.M Billets Reports'!D67)),TRIM(MID('R.M Billets Reports'!D67,SEARCH("-",'R.M Billets Reports'!D67)+1,200)),"")),IF(ISNUMBER(SEARCH("Party Name:-",'R.M Billets Reports'!D68)),TRIM('R.M Billets Reports'!F68),IF(ISNUMBER(SEARCH("Party Name-",'R.M Billets Reports'!D68)),TRIM(MID('R.M Billets Reports'!D68,SEARCH("-",'R.M Billets Reports'!D68)+1,200)),"")))="VRKP ISPAT PVT LTD","VRKP",IF(IF(IF(ISNUMBER(SEARCH("Party Name:-",'R.M Billets Reports'!D67)),TRIM('R.M Billets Reports'!F67),IF(ISNUMBER(SEARCH("Party Name-",'R.M Billets Reports'!D67)),TRIM(MID('R.M Billets Reports'!D67,SEARCH("-",'R.M Billets Reports'!D67)+1,200)),""))&lt;&gt;"",IF(ISNUMBER(SEARCH("Party Name:-",'R.M Billets Reports'!D67)),TRIM('R.M Billets Reports'!F67),IF(ISNUMBER(SEARCH("Party Name-",'R.M Billets Reports'!D67)),TRIM(MID('R.M Billets Reports'!D67,SEARCH("-",'R.M Billets Reports'!D67)+1,200)),"")),IF(ISNUMBER(SEARCH("Party Name:-",'R.M Billets Reports'!D68)),TRIM('R.M Billets Reports'!F68),IF(ISNUMBER(SEARCH("Party Name-",'R.M Billets Reports'!D68)),TRIM(MID('R.M Billets Reports'!D68,SEARCH("-",'R.M Billets Reports'!D68)+1,200)),"")))="SHRI RADHE","SHREE RADHE",IF(IF(IF(ISNUMBER(SEARCH("Party Name:-",'R.M Billets Reports'!D67)),TRIM('R.M Billets Reports'!F67),IF(ISNUMBER(SEARCH("Party Name-",'R.M Billets Reports'!D67)),TRIM(MID('R.M Billets Reports'!D67,SEARCH("-",'R.M Billets Reports'!D67)+1,200)),""))&lt;&gt;"",IF(ISNUMBER(SEARCH("Party Name:-",'R.M Billets Reports'!D67)),TRIM('R.M Billets Reports'!F67),IF(ISNUMBER(SEARCH("Party Name-",'R.M Billets Reports'!D67)),TRIM(MID('R.M Billets Reports'!D67,SEARCH("-",'R.M Billets Reports'!D67)+1,200)),"")),IF(ISNUMBER(SEARCH("Party Name:-",'R.M Billets Reports'!D68)),TRIM('R.M Billets Reports'!F68),IF(ISNUMBER(SEARCH("Party Name-",'R.M Billets Reports'!D68)),TRIM(MID('R.M Billets Reports'!D68,SEARCH("-",'R.M Billets Reports'!D68)+1,200)),"")))="SHREE RADHE SHAKTI SPONGE AND POWER PVT. LTD.","SHREE RADHE",IF(IF(ISNUMBER(SEARCH("Party Name:-",'R.M Billets Reports'!D67)),TRIM('R.M Billets Reports'!F67),IF(ISNUMBER(SEARCH("Party Name-",'R.M Billets Reports'!D67)),TRIM(MID('R.M Billets Reports'!D67,SEARCH("-",'R.M Billets Reports'!D67)+1,200)),""))&lt;&gt;"",IF(ISNUMBER(SEARCH("Party Name:-",'R.M Billets Reports'!D67)),TRIM('R.M Billets Reports'!F67),IF(ISNUMBER(SEARCH("Party Name-",'R.M Billets Reports'!D67)),TRIM(MID('R.M Billets Reports'!D67,SEARCH("-",'R.M Billets Reports'!D67)+1,200)),"")),IF(ISNUMBER(SEARCH("Party Name:-",'R.M Billets Reports'!D68)),TRIM('R.M Billets Reports'!F68),IF(ISNUMBER(SEARCH("Party Name-",'R.M Billets Reports'!D68)),TRIM(MID('R.M Billets Reports'!D68,SEARCH("-",'R.M Billets Reports'!D68)+1,200)),"")))))),IF(ROW()=2,"",A67))</f>
      </c>
      <c r="B68">
        <f>IF(OR('R.M Billets Reports'!A67="Date-",'R.M Billets Reports'!A67="Date:-"),'R.M Billets Reports'!B67,IF(ROW()=2,"",B67))</f>
      </c>
      <c r="C68">
        <f>IF('R.M Billets Reports'!A67="V.No.",'R.M Billets Reports'!B67,IF(ROW()=2,"",C67))</f>
      </c>
      <c r="D68">
        <f>IF('R.M Billets Reports'!A67&lt;&gt;"",'R.M Billets Reports'!A67,IF(ROW()=2,"",D67))</f>
      </c>
      <c r="E68">
        <f>IF('R.M Billets Reports'!B67="","",TRIM('R.M Billets Reports'!B67))</f>
      </c>
      <c r="F68">
        <f>'R.M Billets Reports'!C67</f>
      </c>
      <c r="G68">
        <f>'R.M Billets Reports'!D67</f>
      </c>
      <c r="H68">
        <f>'R.M Billets Reports'!E67</f>
      </c>
      <c r="I68">
        <f>'R.M Billets Reports'!F67</f>
      </c>
      <c r="J68">
        <f>'R.M Billets Reports'!G67</f>
      </c>
      <c r="K68">
        <f>'R.M Billets Reports'!H67</f>
      </c>
      <c r="L68">
        <f>IF('R.M Billets Reports'!I67="","",'R.M Billets Reports'!I67)</f>
      </c>
      <c r="M68">
        <f t="shared" si="2"/>
      </c>
      <c r="N68">
        <f>IF('R.M Billets Reports'!J67="","",'R.M Billets Reports'!J67)</f>
      </c>
      <c r="O68">
        <f t="shared" si="3"/>
      </c>
      <c r="P68">
        <f>IF('R.M Billets Reports'!A67="SIZE",'R.M Billets Reports'!B67,P67)</f>
      </c>
    </row>
    <row r="69" spans="1:16" x14ac:dyDescent="0.25">
      <c r="A69">
        <f>IF(OR('R.M Billets Reports'!A68="Date-",'R.M Billets Reports'!A68="Date:-"),IF(IF(IF(ISNUMBER(SEARCH("Party Name:-",'R.M Billets Reports'!D68)),TRIM('R.M Billets Reports'!F68),IF(ISNUMBER(SEARCH("Party Name-",'R.M Billets Reports'!D68)),TRIM(MID('R.M Billets Reports'!D68,SEARCH("-",'R.M Billets Reports'!D68)+1,200)),""))&lt;&gt;"",IF(ISNUMBER(SEARCH("Party Name:-",'R.M Billets Reports'!D68)),TRIM('R.M Billets Reports'!F68),IF(ISNUMBER(SEARCH("Party Name-",'R.M Billets Reports'!D68)),TRIM(MID('R.M Billets Reports'!D68,SEARCH("-",'R.M Billets Reports'!D68)+1,200)),"")),IF(ISNUMBER(SEARCH("Party Name:-",'R.M Billets Reports'!D69)),TRIM('R.M Billets Reports'!F69),IF(ISNUMBER(SEARCH("Party Name-",'R.M Billets Reports'!D69)),TRIM(MID('R.M Billets Reports'!D69,SEARCH("-",'R.M Billets Reports'!D69)+1,200)),"")))="VRKP ISPAT PVT LTD","VRKP",IF(IF(IF(ISNUMBER(SEARCH("Party Name:-",'R.M Billets Reports'!D68)),TRIM('R.M Billets Reports'!F68),IF(ISNUMBER(SEARCH("Party Name-",'R.M Billets Reports'!D68)),TRIM(MID('R.M Billets Reports'!D68,SEARCH("-",'R.M Billets Reports'!D68)+1,200)),""))&lt;&gt;"",IF(ISNUMBER(SEARCH("Party Name:-",'R.M Billets Reports'!D68)),TRIM('R.M Billets Reports'!F68),IF(ISNUMBER(SEARCH("Party Name-",'R.M Billets Reports'!D68)),TRIM(MID('R.M Billets Reports'!D68,SEARCH("-",'R.M Billets Reports'!D68)+1,200)),"")),IF(ISNUMBER(SEARCH("Party Name:-",'R.M Billets Reports'!D69)),TRIM('R.M Billets Reports'!F69),IF(ISNUMBER(SEARCH("Party Name-",'R.M Billets Reports'!D69)),TRIM(MID('R.M Billets Reports'!D69,SEARCH("-",'R.M Billets Reports'!D69)+1,200)),"")))="SHRI RADHE","SHREE RADHE",IF(IF(IF(ISNUMBER(SEARCH("Party Name:-",'R.M Billets Reports'!D68)),TRIM('R.M Billets Reports'!F68),IF(ISNUMBER(SEARCH("Party Name-",'R.M Billets Reports'!D68)),TRIM(MID('R.M Billets Reports'!D68,SEARCH("-",'R.M Billets Reports'!D68)+1,200)),""))&lt;&gt;"",IF(ISNUMBER(SEARCH("Party Name:-",'R.M Billets Reports'!D68)),TRIM('R.M Billets Reports'!F68),IF(ISNUMBER(SEARCH("Party Name-",'R.M Billets Reports'!D68)),TRIM(MID('R.M Billets Reports'!D68,SEARCH("-",'R.M Billets Reports'!D68)+1,200)),"")),IF(ISNUMBER(SEARCH("Party Name:-",'R.M Billets Reports'!D69)),TRIM('R.M Billets Reports'!F69),IF(ISNUMBER(SEARCH("Party Name-",'R.M Billets Reports'!D69)),TRIM(MID('R.M Billets Reports'!D69,SEARCH("-",'R.M Billets Reports'!D69)+1,200)),"")))="SHREE RADHE SHAKTI SPONGE AND POWER PVT. LTD.","SHREE RADHE",IF(IF(ISNUMBER(SEARCH("Party Name:-",'R.M Billets Reports'!D68)),TRIM('R.M Billets Reports'!F68),IF(ISNUMBER(SEARCH("Party Name-",'R.M Billets Reports'!D68)),TRIM(MID('R.M Billets Reports'!D68,SEARCH("-",'R.M Billets Reports'!D68)+1,200)),""))&lt;&gt;"",IF(ISNUMBER(SEARCH("Party Name:-",'R.M Billets Reports'!D68)),TRIM('R.M Billets Reports'!F68),IF(ISNUMBER(SEARCH("Party Name-",'R.M Billets Reports'!D68)),TRIM(MID('R.M Billets Reports'!D68,SEARCH("-",'R.M Billets Reports'!D68)+1,200)),"")),IF(ISNUMBER(SEARCH("Party Name:-",'R.M Billets Reports'!D69)),TRIM('R.M Billets Reports'!F69),IF(ISNUMBER(SEARCH("Party Name-",'R.M Billets Reports'!D69)),TRIM(MID('R.M Billets Reports'!D69,SEARCH("-",'R.M Billets Reports'!D69)+1,200)),"")))))),IF(ROW()=2,"",A68))</f>
      </c>
      <c r="B69">
        <f>IF(OR('R.M Billets Reports'!A68="Date-",'R.M Billets Reports'!A68="Date:-"),'R.M Billets Reports'!B68,IF(ROW()=2,"",B68))</f>
      </c>
      <c r="C69">
        <f>IF('R.M Billets Reports'!A68="V.No.",'R.M Billets Reports'!B68,IF(ROW()=2,"",C68))</f>
      </c>
      <c r="D69">
        <f>IF('R.M Billets Reports'!A68&lt;&gt;"",'R.M Billets Reports'!A68,IF(ROW()=2,"",D68))</f>
      </c>
      <c r="E69">
        <f>IF('R.M Billets Reports'!B68="","",TRIM('R.M Billets Reports'!B68))</f>
      </c>
      <c r="F69">
        <f>'R.M Billets Reports'!C68</f>
      </c>
      <c r="G69">
        <f>'R.M Billets Reports'!D68</f>
      </c>
      <c r="H69">
        <f>'R.M Billets Reports'!E68</f>
      </c>
      <c r="I69">
        <f>'R.M Billets Reports'!F68</f>
      </c>
      <c r="J69">
        <f>'R.M Billets Reports'!G68</f>
      </c>
      <c r="K69">
        <f>'R.M Billets Reports'!H68</f>
      </c>
      <c r="L69">
        <f>IF('R.M Billets Reports'!I68="","",'R.M Billets Reports'!I68)</f>
      </c>
      <c r="M69">
        <f t="shared" si="2"/>
      </c>
      <c r="N69">
        <f>IF('R.M Billets Reports'!J68="","",'R.M Billets Reports'!J68)</f>
      </c>
      <c r="O69">
        <f t="shared" si="3"/>
      </c>
      <c r="P69">
        <f>IF('R.M Billets Reports'!A68="SIZE",'R.M Billets Reports'!B68,P68)</f>
      </c>
    </row>
    <row r="70" spans="1:16" x14ac:dyDescent="0.25">
      <c r="A70">
        <f>IF(OR('R.M Billets Reports'!A69="Date-",'R.M Billets Reports'!A69="Date:-"),IF(IF(IF(ISNUMBER(SEARCH("Party Name:-",'R.M Billets Reports'!D69)),TRIM('R.M Billets Reports'!F69),IF(ISNUMBER(SEARCH("Party Name-",'R.M Billets Reports'!D69)),TRIM(MID('R.M Billets Reports'!D69,SEARCH("-",'R.M Billets Reports'!D69)+1,200)),""))&lt;&gt;"",IF(ISNUMBER(SEARCH("Party Name:-",'R.M Billets Reports'!D69)),TRIM('R.M Billets Reports'!F69),IF(ISNUMBER(SEARCH("Party Name-",'R.M Billets Reports'!D69)),TRIM(MID('R.M Billets Reports'!D69,SEARCH("-",'R.M Billets Reports'!D69)+1,200)),"")),IF(ISNUMBER(SEARCH("Party Name:-",'R.M Billets Reports'!D70)),TRIM('R.M Billets Reports'!F70),IF(ISNUMBER(SEARCH("Party Name-",'R.M Billets Reports'!D70)),TRIM(MID('R.M Billets Reports'!D70,SEARCH("-",'R.M Billets Reports'!D70)+1,200)),"")))="VRKP ISPAT PVT LTD","VRKP",IF(IF(IF(ISNUMBER(SEARCH("Party Name:-",'R.M Billets Reports'!D69)),TRIM('R.M Billets Reports'!F69),IF(ISNUMBER(SEARCH("Party Name-",'R.M Billets Reports'!D69)),TRIM(MID('R.M Billets Reports'!D69,SEARCH("-",'R.M Billets Reports'!D69)+1,200)),""))&lt;&gt;"",IF(ISNUMBER(SEARCH("Party Name:-",'R.M Billets Reports'!D69)),TRIM('R.M Billets Reports'!F69),IF(ISNUMBER(SEARCH("Party Name-",'R.M Billets Reports'!D69)),TRIM(MID('R.M Billets Reports'!D69,SEARCH("-",'R.M Billets Reports'!D69)+1,200)),"")),IF(ISNUMBER(SEARCH("Party Name:-",'R.M Billets Reports'!D70)),TRIM('R.M Billets Reports'!F70),IF(ISNUMBER(SEARCH("Party Name-",'R.M Billets Reports'!D70)),TRIM(MID('R.M Billets Reports'!D70,SEARCH("-",'R.M Billets Reports'!D70)+1,200)),"")))="SHRI RADHE","SHREE RADHE",IF(IF(IF(ISNUMBER(SEARCH("Party Name:-",'R.M Billets Reports'!D69)),TRIM('R.M Billets Reports'!F69),IF(ISNUMBER(SEARCH("Party Name-",'R.M Billets Reports'!D69)),TRIM(MID('R.M Billets Reports'!D69,SEARCH("-",'R.M Billets Reports'!D69)+1,200)),""))&lt;&gt;"",IF(ISNUMBER(SEARCH("Party Name:-",'R.M Billets Reports'!D69)),TRIM('R.M Billets Reports'!F69),IF(ISNUMBER(SEARCH("Party Name-",'R.M Billets Reports'!D69)),TRIM(MID('R.M Billets Reports'!D69,SEARCH("-",'R.M Billets Reports'!D69)+1,200)),"")),IF(ISNUMBER(SEARCH("Party Name:-",'R.M Billets Reports'!D70)),TRIM('R.M Billets Reports'!F70),IF(ISNUMBER(SEARCH("Party Name-",'R.M Billets Reports'!D70)),TRIM(MID('R.M Billets Reports'!D70,SEARCH("-",'R.M Billets Reports'!D70)+1,200)),"")))="SHREE RADHE SHAKTI SPONGE AND POWER PVT. LTD.","SHREE RADHE",IF(IF(ISNUMBER(SEARCH("Party Name:-",'R.M Billets Reports'!D69)),TRIM('R.M Billets Reports'!F69),IF(ISNUMBER(SEARCH("Party Name-",'R.M Billets Reports'!D69)),TRIM(MID('R.M Billets Reports'!D69,SEARCH("-",'R.M Billets Reports'!D69)+1,200)),""))&lt;&gt;"",IF(ISNUMBER(SEARCH("Party Name:-",'R.M Billets Reports'!D69)),TRIM('R.M Billets Reports'!F69),IF(ISNUMBER(SEARCH("Party Name-",'R.M Billets Reports'!D69)),TRIM(MID('R.M Billets Reports'!D69,SEARCH("-",'R.M Billets Reports'!D69)+1,200)),"")),IF(ISNUMBER(SEARCH("Party Name:-",'R.M Billets Reports'!D70)),TRIM('R.M Billets Reports'!F70),IF(ISNUMBER(SEARCH("Party Name-",'R.M Billets Reports'!D70)),TRIM(MID('R.M Billets Reports'!D70,SEARCH("-",'R.M Billets Reports'!D70)+1,200)),"")))))),IF(ROW()=2,"",A69))</f>
      </c>
      <c r="B70">
        <f>IF(OR('R.M Billets Reports'!A69="Date-",'R.M Billets Reports'!A69="Date:-"),'R.M Billets Reports'!B69,IF(ROW()=2,"",B69))</f>
      </c>
      <c r="C70">
        <f>IF('R.M Billets Reports'!A69="V.No.",'R.M Billets Reports'!B69,IF(ROW()=2,"",C69))</f>
      </c>
      <c r="D70">
        <f>IF('R.M Billets Reports'!A69&lt;&gt;"",'R.M Billets Reports'!A69,IF(ROW()=2,"",D69))</f>
      </c>
      <c r="E70">
        <f>IF('R.M Billets Reports'!B69="","",TRIM('R.M Billets Reports'!B69))</f>
      </c>
      <c r="F70">
        <f>'R.M Billets Reports'!C69</f>
      </c>
      <c r="G70">
        <f>'R.M Billets Reports'!D69</f>
      </c>
      <c r="H70">
        <f>'R.M Billets Reports'!E69</f>
      </c>
      <c r="I70">
        <f>'R.M Billets Reports'!F69</f>
      </c>
      <c r="J70">
        <f>'R.M Billets Reports'!G69</f>
      </c>
      <c r="K70">
        <f>'R.M Billets Reports'!H69</f>
      </c>
      <c r="L70">
        <f>IF('R.M Billets Reports'!I69="","",'R.M Billets Reports'!I69)</f>
      </c>
      <c r="M70">
        <f t="shared" si="2"/>
      </c>
      <c r="N70">
        <f>IF('R.M Billets Reports'!J69="","",'R.M Billets Reports'!J69)</f>
      </c>
      <c r="O70">
        <f t="shared" si="3"/>
      </c>
      <c r="P70">
        <f>IF('R.M Billets Reports'!A69="SIZE",'R.M Billets Reports'!B69,P69)</f>
      </c>
    </row>
    <row r="71" spans="1:16" x14ac:dyDescent="0.25">
      <c r="A71">
        <f>IF(OR('R.M Billets Reports'!A70="Date-",'R.M Billets Reports'!A70="Date:-"),IF(IF(IF(ISNUMBER(SEARCH("Party Name:-",'R.M Billets Reports'!D70)),TRIM('R.M Billets Reports'!F70),IF(ISNUMBER(SEARCH("Party Name-",'R.M Billets Reports'!D70)),TRIM(MID('R.M Billets Reports'!D70,SEARCH("-",'R.M Billets Reports'!D70)+1,200)),""))&lt;&gt;"",IF(ISNUMBER(SEARCH("Party Name:-",'R.M Billets Reports'!D70)),TRIM('R.M Billets Reports'!F70),IF(ISNUMBER(SEARCH("Party Name-",'R.M Billets Reports'!D70)),TRIM(MID('R.M Billets Reports'!D70,SEARCH("-",'R.M Billets Reports'!D70)+1,200)),"")),IF(ISNUMBER(SEARCH("Party Name:-",'R.M Billets Reports'!D71)),TRIM('R.M Billets Reports'!F71),IF(ISNUMBER(SEARCH("Party Name-",'R.M Billets Reports'!D71)),TRIM(MID('R.M Billets Reports'!D71,SEARCH("-",'R.M Billets Reports'!D71)+1,200)),"")))="VRKP ISPAT PVT LTD","VRKP",IF(IF(IF(ISNUMBER(SEARCH("Party Name:-",'R.M Billets Reports'!D70)),TRIM('R.M Billets Reports'!F70),IF(ISNUMBER(SEARCH("Party Name-",'R.M Billets Reports'!D70)),TRIM(MID('R.M Billets Reports'!D70,SEARCH("-",'R.M Billets Reports'!D70)+1,200)),""))&lt;&gt;"",IF(ISNUMBER(SEARCH("Party Name:-",'R.M Billets Reports'!D70)),TRIM('R.M Billets Reports'!F70),IF(ISNUMBER(SEARCH("Party Name-",'R.M Billets Reports'!D70)),TRIM(MID('R.M Billets Reports'!D70,SEARCH("-",'R.M Billets Reports'!D70)+1,200)),"")),IF(ISNUMBER(SEARCH("Party Name:-",'R.M Billets Reports'!D71)),TRIM('R.M Billets Reports'!F71),IF(ISNUMBER(SEARCH("Party Name-",'R.M Billets Reports'!D71)),TRIM(MID('R.M Billets Reports'!D71,SEARCH("-",'R.M Billets Reports'!D71)+1,200)),"")))="SHRI RADHE","SHREE RADHE",IF(IF(IF(ISNUMBER(SEARCH("Party Name:-",'R.M Billets Reports'!D70)),TRIM('R.M Billets Reports'!F70),IF(ISNUMBER(SEARCH("Party Name-",'R.M Billets Reports'!D70)),TRIM(MID('R.M Billets Reports'!D70,SEARCH("-",'R.M Billets Reports'!D70)+1,200)),""))&lt;&gt;"",IF(ISNUMBER(SEARCH("Party Name:-",'R.M Billets Reports'!D70)),TRIM('R.M Billets Reports'!F70),IF(ISNUMBER(SEARCH("Party Name-",'R.M Billets Reports'!D70)),TRIM(MID('R.M Billets Reports'!D70,SEARCH("-",'R.M Billets Reports'!D70)+1,200)),"")),IF(ISNUMBER(SEARCH("Party Name:-",'R.M Billets Reports'!D71)),TRIM('R.M Billets Reports'!F71),IF(ISNUMBER(SEARCH("Party Name-",'R.M Billets Reports'!D71)),TRIM(MID('R.M Billets Reports'!D71,SEARCH("-",'R.M Billets Reports'!D71)+1,200)),"")))="SHREE RADHE SHAKTI SPONGE AND POWER PVT. LTD.","SHREE RADHE",IF(IF(ISNUMBER(SEARCH("Party Name:-",'R.M Billets Reports'!D70)),TRIM('R.M Billets Reports'!F70),IF(ISNUMBER(SEARCH("Party Name-",'R.M Billets Reports'!D70)),TRIM(MID('R.M Billets Reports'!D70,SEARCH("-",'R.M Billets Reports'!D70)+1,200)),""))&lt;&gt;"",IF(ISNUMBER(SEARCH("Party Name:-",'R.M Billets Reports'!D70)),TRIM('R.M Billets Reports'!F70),IF(ISNUMBER(SEARCH("Party Name-",'R.M Billets Reports'!D70)),TRIM(MID('R.M Billets Reports'!D70,SEARCH("-",'R.M Billets Reports'!D70)+1,200)),"")),IF(ISNUMBER(SEARCH("Party Name:-",'R.M Billets Reports'!D71)),TRIM('R.M Billets Reports'!F71),IF(ISNUMBER(SEARCH("Party Name-",'R.M Billets Reports'!D71)),TRIM(MID('R.M Billets Reports'!D71,SEARCH("-",'R.M Billets Reports'!D71)+1,200)),"")))))),IF(ROW()=2,"",A70))</f>
      </c>
      <c r="B71">
        <f>IF(OR('R.M Billets Reports'!A70="Date-",'R.M Billets Reports'!A70="Date:-"),'R.M Billets Reports'!B70,IF(ROW()=2,"",B70))</f>
      </c>
      <c r="C71">
        <f>IF('R.M Billets Reports'!A70="V.No.",'R.M Billets Reports'!B70,IF(ROW()=2,"",C70))</f>
      </c>
      <c r="D71">
        <f>IF('R.M Billets Reports'!A70&lt;&gt;"",'R.M Billets Reports'!A70,IF(ROW()=2,"",D70))</f>
      </c>
      <c r="E71">
        <f>IF('R.M Billets Reports'!B70="","",TRIM('R.M Billets Reports'!B70))</f>
      </c>
      <c r="F71">
        <f>'R.M Billets Reports'!C70</f>
      </c>
      <c r="G71">
        <f>'R.M Billets Reports'!D70</f>
      </c>
      <c r="H71">
        <f>'R.M Billets Reports'!E70</f>
      </c>
      <c r="I71">
        <f>'R.M Billets Reports'!F70</f>
      </c>
      <c r="J71">
        <f>'R.M Billets Reports'!G70</f>
      </c>
      <c r="K71">
        <f>'R.M Billets Reports'!H70</f>
      </c>
      <c r="L71">
        <f>IF('R.M Billets Reports'!I70="","",'R.M Billets Reports'!I70)</f>
      </c>
      <c r="M71">
        <f t="shared" si="2"/>
      </c>
      <c r="N71">
        <f>IF('R.M Billets Reports'!J70="","",'R.M Billets Reports'!J70)</f>
      </c>
      <c r="O71">
        <f t="shared" si="3"/>
      </c>
      <c r="P71">
        <f>IF('R.M Billets Reports'!A70="SIZE",'R.M Billets Reports'!B70,P70)</f>
      </c>
    </row>
    <row r="72" spans="1:16" x14ac:dyDescent="0.25">
      <c r="A72">
        <f>IF(OR('R.M Billets Reports'!A71="Date-",'R.M Billets Reports'!A71="Date:-"),IF(IF(IF(ISNUMBER(SEARCH("Party Name:-",'R.M Billets Reports'!D71)),TRIM('R.M Billets Reports'!F71),IF(ISNUMBER(SEARCH("Party Name-",'R.M Billets Reports'!D71)),TRIM(MID('R.M Billets Reports'!D71,SEARCH("-",'R.M Billets Reports'!D71)+1,200)),""))&lt;&gt;"",IF(ISNUMBER(SEARCH("Party Name:-",'R.M Billets Reports'!D71)),TRIM('R.M Billets Reports'!F71),IF(ISNUMBER(SEARCH("Party Name-",'R.M Billets Reports'!D71)),TRIM(MID('R.M Billets Reports'!D71,SEARCH("-",'R.M Billets Reports'!D71)+1,200)),"")),IF(ISNUMBER(SEARCH("Party Name:-",'R.M Billets Reports'!D72)),TRIM('R.M Billets Reports'!F72),IF(ISNUMBER(SEARCH("Party Name-",'R.M Billets Reports'!D72)),TRIM(MID('R.M Billets Reports'!D72,SEARCH("-",'R.M Billets Reports'!D72)+1,200)),"")))="VRKP ISPAT PVT LTD","VRKP",IF(IF(IF(ISNUMBER(SEARCH("Party Name:-",'R.M Billets Reports'!D71)),TRIM('R.M Billets Reports'!F71),IF(ISNUMBER(SEARCH("Party Name-",'R.M Billets Reports'!D71)),TRIM(MID('R.M Billets Reports'!D71,SEARCH("-",'R.M Billets Reports'!D71)+1,200)),""))&lt;&gt;"",IF(ISNUMBER(SEARCH("Party Name:-",'R.M Billets Reports'!D71)),TRIM('R.M Billets Reports'!F71),IF(ISNUMBER(SEARCH("Party Name-",'R.M Billets Reports'!D71)),TRIM(MID('R.M Billets Reports'!D71,SEARCH("-",'R.M Billets Reports'!D71)+1,200)),"")),IF(ISNUMBER(SEARCH("Party Name:-",'R.M Billets Reports'!D72)),TRIM('R.M Billets Reports'!F72),IF(ISNUMBER(SEARCH("Party Name-",'R.M Billets Reports'!D72)),TRIM(MID('R.M Billets Reports'!D72,SEARCH("-",'R.M Billets Reports'!D72)+1,200)),"")))="SHRI RADHE","SHREE RADHE",IF(IF(IF(ISNUMBER(SEARCH("Party Name:-",'R.M Billets Reports'!D71)),TRIM('R.M Billets Reports'!F71),IF(ISNUMBER(SEARCH("Party Name-",'R.M Billets Reports'!D71)),TRIM(MID('R.M Billets Reports'!D71,SEARCH("-",'R.M Billets Reports'!D71)+1,200)),""))&lt;&gt;"",IF(ISNUMBER(SEARCH("Party Name:-",'R.M Billets Reports'!D71)),TRIM('R.M Billets Reports'!F71),IF(ISNUMBER(SEARCH("Party Name-",'R.M Billets Reports'!D71)),TRIM(MID('R.M Billets Reports'!D71,SEARCH("-",'R.M Billets Reports'!D71)+1,200)),"")),IF(ISNUMBER(SEARCH("Party Name:-",'R.M Billets Reports'!D72)),TRIM('R.M Billets Reports'!F72),IF(ISNUMBER(SEARCH("Party Name-",'R.M Billets Reports'!D72)),TRIM(MID('R.M Billets Reports'!D72,SEARCH("-",'R.M Billets Reports'!D72)+1,200)),"")))="SHREE RADHE SHAKTI SPONGE AND POWER PVT. LTD.","SHREE RADHE",IF(IF(ISNUMBER(SEARCH("Party Name:-",'R.M Billets Reports'!D71)),TRIM('R.M Billets Reports'!F71),IF(ISNUMBER(SEARCH("Party Name-",'R.M Billets Reports'!D71)),TRIM(MID('R.M Billets Reports'!D71,SEARCH("-",'R.M Billets Reports'!D71)+1,200)),""))&lt;&gt;"",IF(ISNUMBER(SEARCH("Party Name:-",'R.M Billets Reports'!D71)),TRIM('R.M Billets Reports'!F71),IF(ISNUMBER(SEARCH("Party Name-",'R.M Billets Reports'!D71)),TRIM(MID('R.M Billets Reports'!D71,SEARCH("-",'R.M Billets Reports'!D71)+1,200)),"")),IF(ISNUMBER(SEARCH("Party Name:-",'R.M Billets Reports'!D72)),TRIM('R.M Billets Reports'!F72),IF(ISNUMBER(SEARCH("Party Name-",'R.M Billets Reports'!D72)),TRIM(MID('R.M Billets Reports'!D72,SEARCH("-",'R.M Billets Reports'!D72)+1,200)),"")))))),IF(ROW()=2,"",A71))</f>
      </c>
      <c r="B72">
        <f>IF(OR('R.M Billets Reports'!A71="Date-",'R.M Billets Reports'!A71="Date:-"),'R.M Billets Reports'!B71,IF(ROW()=2,"",B71))</f>
      </c>
      <c r="C72">
        <f>IF('R.M Billets Reports'!A71="V.No.",'R.M Billets Reports'!B71,IF(ROW()=2,"",C71))</f>
      </c>
      <c r="D72">
        <f>IF('R.M Billets Reports'!A71&lt;&gt;"",'R.M Billets Reports'!A71,IF(ROW()=2,"",D71))</f>
      </c>
      <c r="E72">
        <f>IF('R.M Billets Reports'!B71="","",TRIM('R.M Billets Reports'!B71))</f>
      </c>
      <c r="F72">
        <f>'R.M Billets Reports'!C71</f>
      </c>
      <c r="G72">
        <f>'R.M Billets Reports'!D71</f>
      </c>
      <c r="H72">
        <f>'R.M Billets Reports'!E71</f>
      </c>
      <c r="I72">
        <f>'R.M Billets Reports'!F71</f>
      </c>
      <c r="J72">
        <f>'R.M Billets Reports'!G71</f>
      </c>
      <c r="K72">
        <f>'R.M Billets Reports'!H71</f>
      </c>
      <c r="L72">
        <f>IF('R.M Billets Reports'!I71="","",'R.M Billets Reports'!I71)</f>
      </c>
      <c r="M72">
        <f t="shared" si="2"/>
      </c>
      <c r="N72">
        <f>IF('R.M Billets Reports'!J71="","",'R.M Billets Reports'!J71)</f>
      </c>
      <c r="O72">
        <f t="shared" si="3"/>
      </c>
      <c r="P72">
        <f>IF('R.M Billets Reports'!A71="SIZE",'R.M Billets Reports'!B71,P71)</f>
      </c>
    </row>
    <row r="73" spans="1:16" x14ac:dyDescent="0.25">
      <c r="A73">
        <f>IF(OR('R.M Billets Reports'!A72="Date-",'R.M Billets Reports'!A72="Date:-"),IF(IF(IF(ISNUMBER(SEARCH("Party Name:-",'R.M Billets Reports'!D72)),TRIM('R.M Billets Reports'!F72),IF(ISNUMBER(SEARCH("Party Name-",'R.M Billets Reports'!D72)),TRIM(MID('R.M Billets Reports'!D72,SEARCH("-",'R.M Billets Reports'!D72)+1,200)),""))&lt;&gt;"",IF(ISNUMBER(SEARCH("Party Name:-",'R.M Billets Reports'!D72)),TRIM('R.M Billets Reports'!F72),IF(ISNUMBER(SEARCH("Party Name-",'R.M Billets Reports'!D72)),TRIM(MID('R.M Billets Reports'!D72,SEARCH("-",'R.M Billets Reports'!D72)+1,200)),"")),IF(ISNUMBER(SEARCH("Party Name:-",'R.M Billets Reports'!D73)),TRIM('R.M Billets Reports'!F73),IF(ISNUMBER(SEARCH("Party Name-",'R.M Billets Reports'!D73)),TRIM(MID('R.M Billets Reports'!D73,SEARCH("-",'R.M Billets Reports'!D73)+1,200)),"")))="VRKP ISPAT PVT LTD","VRKP",IF(IF(IF(ISNUMBER(SEARCH("Party Name:-",'R.M Billets Reports'!D72)),TRIM('R.M Billets Reports'!F72),IF(ISNUMBER(SEARCH("Party Name-",'R.M Billets Reports'!D72)),TRIM(MID('R.M Billets Reports'!D72,SEARCH("-",'R.M Billets Reports'!D72)+1,200)),""))&lt;&gt;"",IF(ISNUMBER(SEARCH("Party Name:-",'R.M Billets Reports'!D72)),TRIM('R.M Billets Reports'!F72),IF(ISNUMBER(SEARCH("Party Name-",'R.M Billets Reports'!D72)),TRIM(MID('R.M Billets Reports'!D72,SEARCH("-",'R.M Billets Reports'!D72)+1,200)),"")),IF(ISNUMBER(SEARCH("Party Name:-",'R.M Billets Reports'!D73)),TRIM('R.M Billets Reports'!F73),IF(ISNUMBER(SEARCH("Party Name-",'R.M Billets Reports'!D73)),TRIM(MID('R.M Billets Reports'!D73,SEARCH("-",'R.M Billets Reports'!D73)+1,200)),"")))="SHRI RADHE","SHREE RADHE",IF(IF(IF(ISNUMBER(SEARCH("Party Name:-",'R.M Billets Reports'!D72)),TRIM('R.M Billets Reports'!F72),IF(ISNUMBER(SEARCH("Party Name-",'R.M Billets Reports'!D72)),TRIM(MID('R.M Billets Reports'!D72,SEARCH("-",'R.M Billets Reports'!D72)+1,200)),""))&lt;&gt;"",IF(ISNUMBER(SEARCH("Party Name:-",'R.M Billets Reports'!D72)),TRIM('R.M Billets Reports'!F72),IF(ISNUMBER(SEARCH("Party Name-",'R.M Billets Reports'!D72)),TRIM(MID('R.M Billets Reports'!D72,SEARCH("-",'R.M Billets Reports'!D72)+1,200)),"")),IF(ISNUMBER(SEARCH("Party Name:-",'R.M Billets Reports'!D73)),TRIM('R.M Billets Reports'!F73),IF(ISNUMBER(SEARCH("Party Name-",'R.M Billets Reports'!D73)),TRIM(MID('R.M Billets Reports'!D73,SEARCH("-",'R.M Billets Reports'!D73)+1,200)),"")))="SHREE RADHE SHAKTI SPONGE AND POWER PVT. LTD.","SHREE RADHE",IF(IF(ISNUMBER(SEARCH("Party Name:-",'R.M Billets Reports'!D72)),TRIM('R.M Billets Reports'!F72),IF(ISNUMBER(SEARCH("Party Name-",'R.M Billets Reports'!D72)),TRIM(MID('R.M Billets Reports'!D72,SEARCH("-",'R.M Billets Reports'!D72)+1,200)),""))&lt;&gt;"",IF(ISNUMBER(SEARCH("Party Name:-",'R.M Billets Reports'!D72)),TRIM('R.M Billets Reports'!F72),IF(ISNUMBER(SEARCH("Party Name-",'R.M Billets Reports'!D72)),TRIM(MID('R.M Billets Reports'!D72,SEARCH("-",'R.M Billets Reports'!D72)+1,200)),"")),IF(ISNUMBER(SEARCH("Party Name:-",'R.M Billets Reports'!D73)),TRIM('R.M Billets Reports'!F73),IF(ISNUMBER(SEARCH("Party Name-",'R.M Billets Reports'!D73)),TRIM(MID('R.M Billets Reports'!D73,SEARCH("-",'R.M Billets Reports'!D73)+1,200)),"")))))),IF(ROW()=2,"",A72))</f>
      </c>
      <c r="B73">
        <f>IF(OR('R.M Billets Reports'!A72="Date-",'R.M Billets Reports'!A72="Date:-"),'R.M Billets Reports'!B72,IF(ROW()=2,"",B72))</f>
      </c>
      <c r="C73">
        <f>IF('R.M Billets Reports'!A72="V.No.",'R.M Billets Reports'!B72,IF(ROW()=2,"",C72))</f>
      </c>
      <c r="D73">
        <f>IF('R.M Billets Reports'!A72&lt;&gt;"",'R.M Billets Reports'!A72,IF(ROW()=2,"",D72))</f>
      </c>
      <c r="E73">
        <f>IF('R.M Billets Reports'!B72="","",TRIM('R.M Billets Reports'!B72))</f>
      </c>
      <c r="F73">
        <f>'R.M Billets Reports'!C72</f>
      </c>
      <c r="G73">
        <f>'R.M Billets Reports'!D72</f>
      </c>
      <c r="H73">
        <f>'R.M Billets Reports'!E72</f>
      </c>
      <c r="I73">
        <f>'R.M Billets Reports'!F72</f>
      </c>
      <c r="J73">
        <f>'R.M Billets Reports'!G72</f>
      </c>
      <c r="K73">
        <f>'R.M Billets Reports'!H72</f>
      </c>
      <c r="L73">
        <f>IF('R.M Billets Reports'!I72="","",'R.M Billets Reports'!I72)</f>
      </c>
      <c r="M73">
        <f t="shared" si="2"/>
      </c>
      <c r="N73">
        <f>IF('R.M Billets Reports'!J72="","",'R.M Billets Reports'!J72)</f>
      </c>
      <c r="O73">
        <f t="shared" si="3"/>
      </c>
      <c r="P73">
        <f>IF('R.M Billets Reports'!A72="SIZE",'R.M Billets Reports'!B72,P72)</f>
      </c>
    </row>
    <row r="74" spans="1:16" x14ac:dyDescent="0.25">
      <c r="A74">
        <f>IF(OR('R.M Billets Reports'!A73="Date-",'R.M Billets Reports'!A73="Date:-"),IF(IF(IF(ISNUMBER(SEARCH("Party Name:-",'R.M Billets Reports'!D73)),TRIM('R.M Billets Reports'!F73),IF(ISNUMBER(SEARCH("Party Name-",'R.M Billets Reports'!D73)),TRIM(MID('R.M Billets Reports'!D73,SEARCH("-",'R.M Billets Reports'!D73)+1,200)),""))&lt;&gt;"",IF(ISNUMBER(SEARCH("Party Name:-",'R.M Billets Reports'!D73)),TRIM('R.M Billets Reports'!F73),IF(ISNUMBER(SEARCH("Party Name-",'R.M Billets Reports'!D73)),TRIM(MID('R.M Billets Reports'!D73,SEARCH("-",'R.M Billets Reports'!D73)+1,200)),"")),IF(ISNUMBER(SEARCH("Party Name:-",'R.M Billets Reports'!D74)),TRIM('R.M Billets Reports'!F74),IF(ISNUMBER(SEARCH("Party Name-",'R.M Billets Reports'!D74)),TRIM(MID('R.M Billets Reports'!D74,SEARCH("-",'R.M Billets Reports'!D74)+1,200)),"")))="VRKP ISPAT PVT LTD","VRKP",IF(IF(IF(ISNUMBER(SEARCH("Party Name:-",'R.M Billets Reports'!D73)),TRIM('R.M Billets Reports'!F73),IF(ISNUMBER(SEARCH("Party Name-",'R.M Billets Reports'!D73)),TRIM(MID('R.M Billets Reports'!D73,SEARCH("-",'R.M Billets Reports'!D73)+1,200)),""))&lt;&gt;"",IF(ISNUMBER(SEARCH("Party Name:-",'R.M Billets Reports'!D73)),TRIM('R.M Billets Reports'!F73),IF(ISNUMBER(SEARCH("Party Name-",'R.M Billets Reports'!D73)),TRIM(MID('R.M Billets Reports'!D73,SEARCH("-",'R.M Billets Reports'!D73)+1,200)),"")),IF(ISNUMBER(SEARCH("Party Name:-",'R.M Billets Reports'!D74)),TRIM('R.M Billets Reports'!F74),IF(ISNUMBER(SEARCH("Party Name-",'R.M Billets Reports'!D74)),TRIM(MID('R.M Billets Reports'!D74,SEARCH("-",'R.M Billets Reports'!D74)+1,200)),"")))="SHRI RADHE","SHREE RADHE",IF(IF(IF(ISNUMBER(SEARCH("Party Name:-",'R.M Billets Reports'!D73)),TRIM('R.M Billets Reports'!F73),IF(ISNUMBER(SEARCH("Party Name-",'R.M Billets Reports'!D73)),TRIM(MID('R.M Billets Reports'!D73,SEARCH("-",'R.M Billets Reports'!D73)+1,200)),""))&lt;&gt;"",IF(ISNUMBER(SEARCH("Party Name:-",'R.M Billets Reports'!D73)),TRIM('R.M Billets Reports'!F73),IF(ISNUMBER(SEARCH("Party Name-",'R.M Billets Reports'!D73)),TRIM(MID('R.M Billets Reports'!D73,SEARCH("-",'R.M Billets Reports'!D73)+1,200)),"")),IF(ISNUMBER(SEARCH("Party Name:-",'R.M Billets Reports'!D74)),TRIM('R.M Billets Reports'!F74),IF(ISNUMBER(SEARCH("Party Name-",'R.M Billets Reports'!D74)),TRIM(MID('R.M Billets Reports'!D74,SEARCH("-",'R.M Billets Reports'!D74)+1,200)),"")))="SHREE RADHE SHAKTI SPONGE AND POWER PVT. LTD.","SHREE RADHE",IF(IF(ISNUMBER(SEARCH("Party Name:-",'R.M Billets Reports'!D73)),TRIM('R.M Billets Reports'!F73),IF(ISNUMBER(SEARCH("Party Name-",'R.M Billets Reports'!D73)),TRIM(MID('R.M Billets Reports'!D73,SEARCH("-",'R.M Billets Reports'!D73)+1,200)),""))&lt;&gt;"",IF(ISNUMBER(SEARCH("Party Name:-",'R.M Billets Reports'!D73)),TRIM('R.M Billets Reports'!F73),IF(ISNUMBER(SEARCH("Party Name-",'R.M Billets Reports'!D73)),TRIM(MID('R.M Billets Reports'!D73,SEARCH("-",'R.M Billets Reports'!D73)+1,200)),"")),IF(ISNUMBER(SEARCH("Party Name:-",'R.M Billets Reports'!D74)),TRIM('R.M Billets Reports'!F74),IF(ISNUMBER(SEARCH("Party Name-",'R.M Billets Reports'!D74)),TRIM(MID('R.M Billets Reports'!D74,SEARCH("-",'R.M Billets Reports'!D74)+1,200)),"")))))),IF(ROW()=2,"",A73))</f>
      </c>
      <c r="B74">
        <f>IF(OR('R.M Billets Reports'!A73="Date-",'R.M Billets Reports'!A73="Date:-"),'R.M Billets Reports'!B73,IF(ROW()=2,"",B73))</f>
      </c>
      <c r="C74">
        <f>IF('R.M Billets Reports'!A73="V.No.",'R.M Billets Reports'!B73,IF(ROW()=2,"",C73))</f>
      </c>
      <c r="D74">
        <f>IF('R.M Billets Reports'!A73&lt;&gt;"",'R.M Billets Reports'!A73,IF(ROW()=2,"",D73))</f>
      </c>
      <c r="E74">
        <f>IF('R.M Billets Reports'!B73="","",TRIM('R.M Billets Reports'!B73))</f>
      </c>
      <c r="F74">
        <f>'R.M Billets Reports'!C73</f>
      </c>
      <c r="G74">
        <f>'R.M Billets Reports'!D73</f>
      </c>
      <c r="H74">
        <f>'R.M Billets Reports'!E73</f>
      </c>
      <c r="I74">
        <f>'R.M Billets Reports'!F73</f>
      </c>
      <c r="J74">
        <f>'R.M Billets Reports'!G73</f>
      </c>
      <c r="K74">
        <f>'R.M Billets Reports'!H73</f>
      </c>
      <c r="L74">
        <f>IF('R.M Billets Reports'!I73="","",'R.M Billets Reports'!I73)</f>
      </c>
      <c r="M74">
        <f t="shared" si="2"/>
      </c>
      <c r="N74">
        <f>IF('R.M Billets Reports'!J73="","",'R.M Billets Reports'!J73)</f>
      </c>
      <c r="O74">
        <f t="shared" si="3"/>
      </c>
      <c r="P74">
        <f>IF('R.M Billets Reports'!A73="SIZE",'R.M Billets Reports'!B73,P73)</f>
      </c>
    </row>
    <row r="75" spans="1:16" x14ac:dyDescent="0.25">
      <c r="A75">
        <f>IF(OR('R.M Billets Reports'!A74="Date-",'R.M Billets Reports'!A74="Date:-"),IF(IF(IF(ISNUMBER(SEARCH("Party Name:-",'R.M Billets Reports'!D74)),TRIM('R.M Billets Reports'!F74),IF(ISNUMBER(SEARCH("Party Name-",'R.M Billets Reports'!D74)),TRIM(MID('R.M Billets Reports'!D74,SEARCH("-",'R.M Billets Reports'!D74)+1,200)),""))&lt;&gt;"",IF(ISNUMBER(SEARCH("Party Name:-",'R.M Billets Reports'!D74)),TRIM('R.M Billets Reports'!F74),IF(ISNUMBER(SEARCH("Party Name-",'R.M Billets Reports'!D74)),TRIM(MID('R.M Billets Reports'!D74,SEARCH("-",'R.M Billets Reports'!D74)+1,200)),"")),IF(ISNUMBER(SEARCH("Party Name:-",'R.M Billets Reports'!D75)),TRIM('R.M Billets Reports'!F75),IF(ISNUMBER(SEARCH("Party Name-",'R.M Billets Reports'!D75)),TRIM(MID('R.M Billets Reports'!D75,SEARCH("-",'R.M Billets Reports'!D75)+1,200)),"")))="VRKP ISPAT PVT LTD","VRKP",IF(IF(IF(ISNUMBER(SEARCH("Party Name:-",'R.M Billets Reports'!D74)),TRIM('R.M Billets Reports'!F74),IF(ISNUMBER(SEARCH("Party Name-",'R.M Billets Reports'!D74)),TRIM(MID('R.M Billets Reports'!D74,SEARCH("-",'R.M Billets Reports'!D74)+1,200)),""))&lt;&gt;"",IF(ISNUMBER(SEARCH("Party Name:-",'R.M Billets Reports'!D74)),TRIM('R.M Billets Reports'!F74),IF(ISNUMBER(SEARCH("Party Name-",'R.M Billets Reports'!D74)),TRIM(MID('R.M Billets Reports'!D74,SEARCH("-",'R.M Billets Reports'!D74)+1,200)),"")),IF(ISNUMBER(SEARCH("Party Name:-",'R.M Billets Reports'!D75)),TRIM('R.M Billets Reports'!F75),IF(ISNUMBER(SEARCH("Party Name-",'R.M Billets Reports'!D75)),TRIM(MID('R.M Billets Reports'!D75,SEARCH("-",'R.M Billets Reports'!D75)+1,200)),"")))="SHRI RADHE","SHREE RADHE",IF(IF(IF(ISNUMBER(SEARCH("Party Name:-",'R.M Billets Reports'!D74)),TRIM('R.M Billets Reports'!F74),IF(ISNUMBER(SEARCH("Party Name-",'R.M Billets Reports'!D74)),TRIM(MID('R.M Billets Reports'!D74,SEARCH("-",'R.M Billets Reports'!D74)+1,200)),""))&lt;&gt;"",IF(ISNUMBER(SEARCH("Party Name:-",'R.M Billets Reports'!D74)),TRIM('R.M Billets Reports'!F74),IF(ISNUMBER(SEARCH("Party Name-",'R.M Billets Reports'!D74)),TRIM(MID('R.M Billets Reports'!D74,SEARCH("-",'R.M Billets Reports'!D74)+1,200)),"")),IF(ISNUMBER(SEARCH("Party Name:-",'R.M Billets Reports'!D75)),TRIM('R.M Billets Reports'!F75),IF(ISNUMBER(SEARCH("Party Name-",'R.M Billets Reports'!D75)),TRIM(MID('R.M Billets Reports'!D75,SEARCH("-",'R.M Billets Reports'!D75)+1,200)),"")))="SHREE RADHE SHAKTI SPONGE AND POWER PVT. LTD.","SHREE RADHE",IF(IF(ISNUMBER(SEARCH("Party Name:-",'R.M Billets Reports'!D74)),TRIM('R.M Billets Reports'!F74),IF(ISNUMBER(SEARCH("Party Name-",'R.M Billets Reports'!D74)),TRIM(MID('R.M Billets Reports'!D74,SEARCH("-",'R.M Billets Reports'!D74)+1,200)),""))&lt;&gt;"",IF(ISNUMBER(SEARCH("Party Name:-",'R.M Billets Reports'!D74)),TRIM('R.M Billets Reports'!F74),IF(ISNUMBER(SEARCH("Party Name-",'R.M Billets Reports'!D74)),TRIM(MID('R.M Billets Reports'!D74,SEARCH("-",'R.M Billets Reports'!D74)+1,200)),"")),IF(ISNUMBER(SEARCH("Party Name:-",'R.M Billets Reports'!D75)),TRIM('R.M Billets Reports'!F75),IF(ISNUMBER(SEARCH("Party Name-",'R.M Billets Reports'!D75)),TRIM(MID('R.M Billets Reports'!D75,SEARCH("-",'R.M Billets Reports'!D75)+1,200)),"")))))),IF(ROW()=2,"",A74))</f>
      </c>
      <c r="B75">
        <f>IF(OR('R.M Billets Reports'!A74="Date-",'R.M Billets Reports'!A74="Date:-"),'R.M Billets Reports'!B74,IF(ROW()=2,"",B74))</f>
      </c>
      <c r="C75">
        <f>IF('R.M Billets Reports'!A74="V.No.",'R.M Billets Reports'!B74,IF(ROW()=2,"",C74))</f>
      </c>
      <c r="D75">
        <f>IF('R.M Billets Reports'!A74&lt;&gt;"",'R.M Billets Reports'!A74,IF(ROW()=2,"",D74))</f>
      </c>
      <c r="E75">
        <f>IF('R.M Billets Reports'!B74="","",TRIM('R.M Billets Reports'!B74))</f>
      </c>
      <c r="F75">
        <f>'R.M Billets Reports'!C74</f>
      </c>
      <c r="G75">
        <f>'R.M Billets Reports'!D74</f>
      </c>
      <c r="H75">
        <f>'R.M Billets Reports'!E74</f>
      </c>
      <c r="I75">
        <f>'R.M Billets Reports'!F74</f>
      </c>
      <c r="J75">
        <f>'R.M Billets Reports'!G74</f>
      </c>
      <c r="K75">
        <f>'R.M Billets Reports'!H74</f>
      </c>
      <c r="L75">
        <f>IF('R.M Billets Reports'!I74="","",'R.M Billets Reports'!I74)</f>
      </c>
      <c r="M75">
        <f t="shared" si="2"/>
      </c>
      <c r="N75">
        <f>IF('R.M Billets Reports'!J74="","",'R.M Billets Reports'!J74)</f>
      </c>
      <c r="O75">
        <f t="shared" si="3"/>
      </c>
      <c r="P75">
        <f>IF('R.M Billets Reports'!A74="SIZE",'R.M Billets Reports'!B74,P74)</f>
      </c>
    </row>
    <row r="76" spans="1:16" x14ac:dyDescent="0.25">
      <c r="A76">
        <f>IF(OR('R.M Billets Reports'!A75="Date-",'R.M Billets Reports'!A75="Date:-"),IF(IF(IF(ISNUMBER(SEARCH("Party Name:-",'R.M Billets Reports'!D75)),TRIM('R.M Billets Reports'!F75),IF(ISNUMBER(SEARCH("Party Name-",'R.M Billets Reports'!D75)),TRIM(MID('R.M Billets Reports'!D75,SEARCH("-",'R.M Billets Reports'!D75)+1,200)),""))&lt;&gt;"",IF(ISNUMBER(SEARCH("Party Name:-",'R.M Billets Reports'!D75)),TRIM('R.M Billets Reports'!F75),IF(ISNUMBER(SEARCH("Party Name-",'R.M Billets Reports'!D75)),TRIM(MID('R.M Billets Reports'!D75,SEARCH("-",'R.M Billets Reports'!D75)+1,200)),"")),IF(ISNUMBER(SEARCH("Party Name:-",'R.M Billets Reports'!D76)),TRIM('R.M Billets Reports'!F76),IF(ISNUMBER(SEARCH("Party Name-",'R.M Billets Reports'!D76)),TRIM(MID('R.M Billets Reports'!D76,SEARCH("-",'R.M Billets Reports'!D76)+1,200)),"")))="VRKP ISPAT PVT LTD","VRKP",IF(IF(IF(ISNUMBER(SEARCH("Party Name:-",'R.M Billets Reports'!D75)),TRIM('R.M Billets Reports'!F75),IF(ISNUMBER(SEARCH("Party Name-",'R.M Billets Reports'!D75)),TRIM(MID('R.M Billets Reports'!D75,SEARCH("-",'R.M Billets Reports'!D75)+1,200)),""))&lt;&gt;"",IF(ISNUMBER(SEARCH("Party Name:-",'R.M Billets Reports'!D75)),TRIM('R.M Billets Reports'!F75),IF(ISNUMBER(SEARCH("Party Name-",'R.M Billets Reports'!D75)),TRIM(MID('R.M Billets Reports'!D75,SEARCH("-",'R.M Billets Reports'!D75)+1,200)),"")),IF(ISNUMBER(SEARCH("Party Name:-",'R.M Billets Reports'!D76)),TRIM('R.M Billets Reports'!F76),IF(ISNUMBER(SEARCH("Party Name-",'R.M Billets Reports'!D76)),TRIM(MID('R.M Billets Reports'!D76,SEARCH("-",'R.M Billets Reports'!D76)+1,200)),"")))="SHRI RADHE","SHREE RADHE",IF(IF(IF(ISNUMBER(SEARCH("Party Name:-",'R.M Billets Reports'!D75)),TRIM('R.M Billets Reports'!F75),IF(ISNUMBER(SEARCH("Party Name-",'R.M Billets Reports'!D75)),TRIM(MID('R.M Billets Reports'!D75,SEARCH("-",'R.M Billets Reports'!D75)+1,200)),""))&lt;&gt;"",IF(ISNUMBER(SEARCH("Party Name:-",'R.M Billets Reports'!D75)),TRIM('R.M Billets Reports'!F75),IF(ISNUMBER(SEARCH("Party Name-",'R.M Billets Reports'!D75)),TRIM(MID('R.M Billets Reports'!D75,SEARCH("-",'R.M Billets Reports'!D75)+1,200)),"")),IF(ISNUMBER(SEARCH("Party Name:-",'R.M Billets Reports'!D76)),TRIM('R.M Billets Reports'!F76),IF(ISNUMBER(SEARCH("Party Name-",'R.M Billets Reports'!D76)),TRIM(MID('R.M Billets Reports'!D76,SEARCH("-",'R.M Billets Reports'!D76)+1,200)),"")))="SHREE RADHE SHAKTI SPONGE AND POWER PVT. LTD.","SHREE RADHE",IF(IF(ISNUMBER(SEARCH("Party Name:-",'R.M Billets Reports'!D75)),TRIM('R.M Billets Reports'!F75),IF(ISNUMBER(SEARCH("Party Name-",'R.M Billets Reports'!D75)),TRIM(MID('R.M Billets Reports'!D75,SEARCH("-",'R.M Billets Reports'!D75)+1,200)),""))&lt;&gt;"",IF(ISNUMBER(SEARCH("Party Name:-",'R.M Billets Reports'!D75)),TRIM('R.M Billets Reports'!F75),IF(ISNUMBER(SEARCH("Party Name-",'R.M Billets Reports'!D75)),TRIM(MID('R.M Billets Reports'!D75,SEARCH("-",'R.M Billets Reports'!D75)+1,200)),"")),IF(ISNUMBER(SEARCH("Party Name:-",'R.M Billets Reports'!D76)),TRIM('R.M Billets Reports'!F76),IF(ISNUMBER(SEARCH("Party Name-",'R.M Billets Reports'!D76)),TRIM(MID('R.M Billets Reports'!D76,SEARCH("-",'R.M Billets Reports'!D76)+1,200)),"")))))),IF(ROW()=2,"",A75))</f>
      </c>
      <c r="B76">
        <f>IF(OR('R.M Billets Reports'!A75="Date-",'R.M Billets Reports'!A75="Date:-"),'R.M Billets Reports'!B75,IF(ROW()=2,"",B75))</f>
      </c>
      <c r="C76">
        <f>IF('R.M Billets Reports'!A75="V.No.",'R.M Billets Reports'!B75,IF(ROW()=2,"",C75))</f>
      </c>
      <c r="D76">
        <f>IF('R.M Billets Reports'!A75&lt;&gt;"",'R.M Billets Reports'!A75,IF(ROW()=2,"",D75))</f>
      </c>
      <c r="E76">
        <f>IF('R.M Billets Reports'!B75="","",TRIM('R.M Billets Reports'!B75))</f>
      </c>
      <c r="F76">
        <f>'R.M Billets Reports'!C75</f>
      </c>
      <c r="G76">
        <f>'R.M Billets Reports'!D75</f>
      </c>
      <c r="H76">
        <f>'R.M Billets Reports'!E75</f>
      </c>
      <c r="I76">
        <f>'R.M Billets Reports'!F75</f>
      </c>
      <c r="J76">
        <f>'R.M Billets Reports'!G75</f>
      </c>
      <c r="K76">
        <f>'R.M Billets Reports'!H75</f>
      </c>
      <c r="L76">
        <f>IF('R.M Billets Reports'!I75="","",'R.M Billets Reports'!I75)</f>
      </c>
      <c r="M76">
        <f t="shared" si="2"/>
      </c>
      <c r="N76">
        <f>IF('R.M Billets Reports'!J75="","",'R.M Billets Reports'!J75)</f>
      </c>
      <c r="O76">
        <f t="shared" si="3"/>
      </c>
      <c r="P76">
        <f>IF('R.M Billets Reports'!A75="SIZE",'R.M Billets Reports'!B75,P75)</f>
      </c>
    </row>
    <row r="77" spans="1:16" x14ac:dyDescent="0.25">
      <c r="A77">
        <f>IF(OR('R.M Billets Reports'!A76="Date-",'R.M Billets Reports'!A76="Date:-"),IF(IF(IF(ISNUMBER(SEARCH("Party Name:-",'R.M Billets Reports'!D76)),TRIM('R.M Billets Reports'!F76),IF(ISNUMBER(SEARCH("Party Name-",'R.M Billets Reports'!D76)),TRIM(MID('R.M Billets Reports'!D76,SEARCH("-",'R.M Billets Reports'!D76)+1,200)),""))&lt;&gt;"",IF(ISNUMBER(SEARCH("Party Name:-",'R.M Billets Reports'!D76)),TRIM('R.M Billets Reports'!F76),IF(ISNUMBER(SEARCH("Party Name-",'R.M Billets Reports'!D76)),TRIM(MID('R.M Billets Reports'!D76,SEARCH("-",'R.M Billets Reports'!D76)+1,200)),"")),IF(ISNUMBER(SEARCH("Party Name:-",'R.M Billets Reports'!D77)),TRIM('R.M Billets Reports'!F77),IF(ISNUMBER(SEARCH("Party Name-",'R.M Billets Reports'!D77)),TRIM(MID('R.M Billets Reports'!D77,SEARCH("-",'R.M Billets Reports'!D77)+1,200)),"")))="VRKP ISPAT PVT LTD","VRKP",IF(IF(IF(ISNUMBER(SEARCH("Party Name:-",'R.M Billets Reports'!D76)),TRIM('R.M Billets Reports'!F76),IF(ISNUMBER(SEARCH("Party Name-",'R.M Billets Reports'!D76)),TRIM(MID('R.M Billets Reports'!D76,SEARCH("-",'R.M Billets Reports'!D76)+1,200)),""))&lt;&gt;"",IF(ISNUMBER(SEARCH("Party Name:-",'R.M Billets Reports'!D76)),TRIM('R.M Billets Reports'!F76),IF(ISNUMBER(SEARCH("Party Name-",'R.M Billets Reports'!D76)),TRIM(MID('R.M Billets Reports'!D76,SEARCH("-",'R.M Billets Reports'!D76)+1,200)),"")),IF(ISNUMBER(SEARCH("Party Name:-",'R.M Billets Reports'!D77)),TRIM('R.M Billets Reports'!F77),IF(ISNUMBER(SEARCH("Party Name-",'R.M Billets Reports'!D77)),TRIM(MID('R.M Billets Reports'!D77,SEARCH("-",'R.M Billets Reports'!D77)+1,200)),"")))="SHRI RADHE","SHREE RADHE",IF(IF(IF(ISNUMBER(SEARCH("Party Name:-",'R.M Billets Reports'!D76)),TRIM('R.M Billets Reports'!F76),IF(ISNUMBER(SEARCH("Party Name-",'R.M Billets Reports'!D76)),TRIM(MID('R.M Billets Reports'!D76,SEARCH("-",'R.M Billets Reports'!D76)+1,200)),""))&lt;&gt;"",IF(ISNUMBER(SEARCH("Party Name:-",'R.M Billets Reports'!D76)),TRIM('R.M Billets Reports'!F76),IF(ISNUMBER(SEARCH("Party Name-",'R.M Billets Reports'!D76)),TRIM(MID('R.M Billets Reports'!D76,SEARCH("-",'R.M Billets Reports'!D76)+1,200)),"")),IF(ISNUMBER(SEARCH("Party Name:-",'R.M Billets Reports'!D77)),TRIM('R.M Billets Reports'!F77),IF(ISNUMBER(SEARCH("Party Name-",'R.M Billets Reports'!D77)),TRIM(MID('R.M Billets Reports'!D77,SEARCH("-",'R.M Billets Reports'!D77)+1,200)),"")))="SHREE RADHE SHAKTI SPONGE AND POWER PVT. LTD.","SHREE RADHE",IF(IF(ISNUMBER(SEARCH("Party Name:-",'R.M Billets Reports'!D76)),TRIM('R.M Billets Reports'!F76),IF(ISNUMBER(SEARCH("Party Name-",'R.M Billets Reports'!D76)),TRIM(MID('R.M Billets Reports'!D76,SEARCH("-",'R.M Billets Reports'!D76)+1,200)),""))&lt;&gt;"",IF(ISNUMBER(SEARCH("Party Name:-",'R.M Billets Reports'!D76)),TRIM('R.M Billets Reports'!F76),IF(ISNUMBER(SEARCH("Party Name-",'R.M Billets Reports'!D76)),TRIM(MID('R.M Billets Reports'!D76,SEARCH("-",'R.M Billets Reports'!D76)+1,200)),"")),IF(ISNUMBER(SEARCH("Party Name:-",'R.M Billets Reports'!D77)),TRIM('R.M Billets Reports'!F77),IF(ISNUMBER(SEARCH("Party Name-",'R.M Billets Reports'!D77)),TRIM(MID('R.M Billets Reports'!D77,SEARCH("-",'R.M Billets Reports'!D77)+1,200)),"")))))),IF(ROW()=2,"",A76))</f>
      </c>
      <c r="B77">
        <f>IF(OR('R.M Billets Reports'!A76="Date-",'R.M Billets Reports'!A76="Date:-"),'R.M Billets Reports'!B76,IF(ROW()=2,"",B76))</f>
      </c>
      <c r="C77">
        <f>IF('R.M Billets Reports'!A76="V.No.",'R.M Billets Reports'!B76,IF(ROW()=2,"",C76))</f>
      </c>
      <c r="D77">
        <f>IF('R.M Billets Reports'!A76&lt;&gt;"",'R.M Billets Reports'!A76,IF(ROW()=2,"",D76))</f>
      </c>
      <c r="E77">
        <f>IF('R.M Billets Reports'!B76="","",TRIM('R.M Billets Reports'!B76))</f>
      </c>
      <c r="F77">
        <f>'R.M Billets Reports'!C76</f>
      </c>
      <c r="G77">
        <f>'R.M Billets Reports'!D76</f>
      </c>
      <c r="H77">
        <f>'R.M Billets Reports'!E76</f>
      </c>
      <c r="I77">
        <f>'R.M Billets Reports'!F76</f>
      </c>
      <c r="J77">
        <f>'R.M Billets Reports'!G76</f>
      </c>
      <c r="K77">
        <f>'R.M Billets Reports'!H76</f>
      </c>
      <c r="L77">
        <f>IF('R.M Billets Reports'!I76="","",'R.M Billets Reports'!I76)</f>
      </c>
      <c r="M77">
        <f t="shared" si="2"/>
      </c>
      <c r="N77">
        <f>IF('R.M Billets Reports'!J76="","",'R.M Billets Reports'!J76)</f>
      </c>
      <c r="O77">
        <f t="shared" si="3"/>
      </c>
      <c r="P77">
        <f>IF('R.M Billets Reports'!A76="SIZE",'R.M Billets Reports'!B76,P76)</f>
      </c>
    </row>
    <row r="78" spans="1:16" x14ac:dyDescent="0.25">
      <c r="A78">
        <f>IF(OR('R.M Billets Reports'!A77="Date-",'R.M Billets Reports'!A77="Date:-"),IF(IF(IF(ISNUMBER(SEARCH("Party Name:-",'R.M Billets Reports'!D77)),TRIM('R.M Billets Reports'!F77),IF(ISNUMBER(SEARCH("Party Name-",'R.M Billets Reports'!D77)),TRIM(MID('R.M Billets Reports'!D77,SEARCH("-",'R.M Billets Reports'!D77)+1,200)),""))&lt;&gt;"",IF(ISNUMBER(SEARCH("Party Name:-",'R.M Billets Reports'!D77)),TRIM('R.M Billets Reports'!F77),IF(ISNUMBER(SEARCH("Party Name-",'R.M Billets Reports'!D77)),TRIM(MID('R.M Billets Reports'!D77,SEARCH("-",'R.M Billets Reports'!D77)+1,200)),"")),IF(ISNUMBER(SEARCH("Party Name:-",'R.M Billets Reports'!D78)),TRIM('R.M Billets Reports'!F78),IF(ISNUMBER(SEARCH("Party Name-",'R.M Billets Reports'!D78)),TRIM(MID('R.M Billets Reports'!D78,SEARCH("-",'R.M Billets Reports'!D78)+1,200)),"")))="VRKP ISPAT PVT LTD","VRKP",IF(IF(IF(ISNUMBER(SEARCH("Party Name:-",'R.M Billets Reports'!D77)),TRIM('R.M Billets Reports'!F77),IF(ISNUMBER(SEARCH("Party Name-",'R.M Billets Reports'!D77)),TRIM(MID('R.M Billets Reports'!D77,SEARCH("-",'R.M Billets Reports'!D77)+1,200)),""))&lt;&gt;"",IF(ISNUMBER(SEARCH("Party Name:-",'R.M Billets Reports'!D77)),TRIM('R.M Billets Reports'!F77),IF(ISNUMBER(SEARCH("Party Name-",'R.M Billets Reports'!D77)),TRIM(MID('R.M Billets Reports'!D77,SEARCH("-",'R.M Billets Reports'!D77)+1,200)),"")),IF(ISNUMBER(SEARCH("Party Name:-",'R.M Billets Reports'!D78)),TRIM('R.M Billets Reports'!F78),IF(ISNUMBER(SEARCH("Party Name-",'R.M Billets Reports'!D78)),TRIM(MID('R.M Billets Reports'!D78,SEARCH("-",'R.M Billets Reports'!D78)+1,200)),"")))="SHRI RADHE","SHREE RADHE",IF(IF(IF(ISNUMBER(SEARCH("Party Name:-",'R.M Billets Reports'!D77)),TRIM('R.M Billets Reports'!F77),IF(ISNUMBER(SEARCH("Party Name-",'R.M Billets Reports'!D77)),TRIM(MID('R.M Billets Reports'!D77,SEARCH("-",'R.M Billets Reports'!D77)+1,200)),""))&lt;&gt;"",IF(ISNUMBER(SEARCH("Party Name:-",'R.M Billets Reports'!D77)),TRIM('R.M Billets Reports'!F77),IF(ISNUMBER(SEARCH("Party Name-",'R.M Billets Reports'!D77)),TRIM(MID('R.M Billets Reports'!D77,SEARCH("-",'R.M Billets Reports'!D77)+1,200)),"")),IF(ISNUMBER(SEARCH("Party Name:-",'R.M Billets Reports'!D78)),TRIM('R.M Billets Reports'!F78),IF(ISNUMBER(SEARCH("Party Name-",'R.M Billets Reports'!D78)),TRIM(MID('R.M Billets Reports'!D78,SEARCH("-",'R.M Billets Reports'!D78)+1,200)),"")))="SHREE RADHE SHAKTI SPONGE AND POWER PVT. LTD.","SHREE RADHE",IF(IF(ISNUMBER(SEARCH("Party Name:-",'R.M Billets Reports'!D77)),TRIM('R.M Billets Reports'!F77),IF(ISNUMBER(SEARCH("Party Name-",'R.M Billets Reports'!D77)),TRIM(MID('R.M Billets Reports'!D77,SEARCH("-",'R.M Billets Reports'!D77)+1,200)),""))&lt;&gt;"",IF(ISNUMBER(SEARCH("Party Name:-",'R.M Billets Reports'!D77)),TRIM('R.M Billets Reports'!F77),IF(ISNUMBER(SEARCH("Party Name-",'R.M Billets Reports'!D77)),TRIM(MID('R.M Billets Reports'!D77,SEARCH("-",'R.M Billets Reports'!D77)+1,200)),"")),IF(ISNUMBER(SEARCH("Party Name:-",'R.M Billets Reports'!D78)),TRIM('R.M Billets Reports'!F78),IF(ISNUMBER(SEARCH("Party Name-",'R.M Billets Reports'!D78)),TRIM(MID('R.M Billets Reports'!D78,SEARCH("-",'R.M Billets Reports'!D78)+1,200)),"")))))),IF(ROW()=2,"",A77))</f>
      </c>
      <c r="B78">
        <f>IF(OR('R.M Billets Reports'!A77="Date-",'R.M Billets Reports'!A77="Date:-"),'R.M Billets Reports'!B77,IF(ROW()=2,"",B77))</f>
      </c>
      <c r="C78">
        <f>IF('R.M Billets Reports'!A77="V.No.",'R.M Billets Reports'!B77,IF(ROW()=2,"",C77))</f>
      </c>
      <c r="D78">
        <f>IF('R.M Billets Reports'!A77&lt;&gt;"",'R.M Billets Reports'!A77,IF(ROW()=2,"",D77))</f>
      </c>
      <c r="E78">
        <f>IF('R.M Billets Reports'!B77="","",TRIM('R.M Billets Reports'!B77))</f>
      </c>
      <c r="F78">
        <f>'R.M Billets Reports'!C77</f>
      </c>
      <c r="G78">
        <f>'R.M Billets Reports'!D77</f>
      </c>
      <c r="H78">
        <f>'R.M Billets Reports'!E77</f>
      </c>
      <c r="I78">
        <f>'R.M Billets Reports'!F77</f>
      </c>
      <c r="J78">
        <f>'R.M Billets Reports'!G77</f>
      </c>
      <c r="K78">
        <f>'R.M Billets Reports'!H77</f>
      </c>
      <c r="L78">
        <f>IF('R.M Billets Reports'!I77="","",'R.M Billets Reports'!I77)</f>
      </c>
      <c r="M78">
        <f t="shared" si="2"/>
      </c>
      <c r="N78">
        <f>IF('R.M Billets Reports'!J77="","",'R.M Billets Reports'!J77)</f>
      </c>
      <c r="O78">
        <f t="shared" si="3"/>
      </c>
      <c r="P78">
        <f>IF('R.M Billets Reports'!A77="SIZE",'R.M Billets Reports'!B77,P77)</f>
      </c>
    </row>
    <row r="79" spans="1:16" x14ac:dyDescent="0.25">
      <c r="A79">
        <f>IF(OR('R.M Billets Reports'!A78="Date-",'R.M Billets Reports'!A78="Date:-"),IF(IF(IF(ISNUMBER(SEARCH("Party Name:-",'R.M Billets Reports'!D78)),TRIM('R.M Billets Reports'!F78),IF(ISNUMBER(SEARCH("Party Name-",'R.M Billets Reports'!D78)),TRIM(MID('R.M Billets Reports'!D78,SEARCH("-",'R.M Billets Reports'!D78)+1,200)),""))&lt;&gt;"",IF(ISNUMBER(SEARCH("Party Name:-",'R.M Billets Reports'!D78)),TRIM('R.M Billets Reports'!F78),IF(ISNUMBER(SEARCH("Party Name-",'R.M Billets Reports'!D78)),TRIM(MID('R.M Billets Reports'!D78,SEARCH("-",'R.M Billets Reports'!D78)+1,200)),"")),IF(ISNUMBER(SEARCH("Party Name:-",'R.M Billets Reports'!D79)),TRIM('R.M Billets Reports'!F79),IF(ISNUMBER(SEARCH("Party Name-",'R.M Billets Reports'!D79)),TRIM(MID('R.M Billets Reports'!D79,SEARCH("-",'R.M Billets Reports'!D79)+1,200)),"")))="VRKP ISPAT PVT LTD","VRKP",IF(IF(IF(ISNUMBER(SEARCH("Party Name:-",'R.M Billets Reports'!D78)),TRIM('R.M Billets Reports'!F78),IF(ISNUMBER(SEARCH("Party Name-",'R.M Billets Reports'!D78)),TRIM(MID('R.M Billets Reports'!D78,SEARCH("-",'R.M Billets Reports'!D78)+1,200)),""))&lt;&gt;"",IF(ISNUMBER(SEARCH("Party Name:-",'R.M Billets Reports'!D78)),TRIM('R.M Billets Reports'!F78),IF(ISNUMBER(SEARCH("Party Name-",'R.M Billets Reports'!D78)),TRIM(MID('R.M Billets Reports'!D78,SEARCH("-",'R.M Billets Reports'!D78)+1,200)),"")),IF(ISNUMBER(SEARCH("Party Name:-",'R.M Billets Reports'!D79)),TRIM('R.M Billets Reports'!F79),IF(ISNUMBER(SEARCH("Party Name-",'R.M Billets Reports'!D79)),TRIM(MID('R.M Billets Reports'!D79,SEARCH("-",'R.M Billets Reports'!D79)+1,200)),"")))="SHRI RADHE","SHREE RADHE",IF(IF(IF(ISNUMBER(SEARCH("Party Name:-",'R.M Billets Reports'!D78)),TRIM('R.M Billets Reports'!F78),IF(ISNUMBER(SEARCH("Party Name-",'R.M Billets Reports'!D78)),TRIM(MID('R.M Billets Reports'!D78,SEARCH("-",'R.M Billets Reports'!D78)+1,200)),""))&lt;&gt;"",IF(ISNUMBER(SEARCH("Party Name:-",'R.M Billets Reports'!D78)),TRIM('R.M Billets Reports'!F78),IF(ISNUMBER(SEARCH("Party Name-",'R.M Billets Reports'!D78)),TRIM(MID('R.M Billets Reports'!D78,SEARCH("-",'R.M Billets Reports'!D78)+1,200)),"")),IF(ISNUMBER(SEARCH("Party Name:-",'R.M Billets Reports'!D79)),TRIM('R.M Billets Reports'!F79),IF(ISNUMBER(SEARCH("Party Name-",'R.M Billets Reports'!D79)),TRIM(MID('R.M Billets Reports'!D79,SEARCH("-",'R.M Billets Reports'!D79)+1,200)),"")))="SHREE RADHE SHAKTI SPONGE AND POWER PVT. LTD.","SHREE RADHE",IF(IF(ISNUMBER(SEARCH("Party Name:-",'R.M Billets Reports'!D78)),TRIM('R.M Billets Reports'!F78),IF(ISNUMBER(SEARCH("Party Name-",'R.M Billets Reports'!D78)),TRIM(MID('R.M Billets Reports'!D78,SEARCH("-",'R.M Billets Reports'!D78)+1,200)),""))&lt;&gt;"",IF(ISNUMBER(SEARCH("Party Name:-",'R.M Billets Reports'!D78)),TRIM('R.M Billets Reports'!F78),IF(ISNUMBER(SEARCH("Party Name-",'R.M Billets Reports'!D78)),TRIM(MID('R.M Billets Reports'!D78,SEARCH("-",'R.M Billets Reports'!D78)+1,200)),"")),IF(ISNUMBER(SEARCH("Party Name:-",'R.M Billets Reports'!D79)),TRIM('R.M Billets Reports'!F79),IF(ISNUMBER(SEARCH("Party Name-",'R.M Billets Reports'!D79)),TRIM(MID('R.M Billets Reports'!D79,SEARCH("-",'R.M Billets Reports'!D79)+1,200)),"")))))),IF(ROW()=2,"",A78))</f>
      </c>
      <c r="B79">
        <f>IF(OR('R.M Billets Reports'!A78="Date-",'R.M Billets Reports'!A78="Date:-"),'R.M Billets Reports'!B78,IF(ROW()=2,"",B78))</f>
      </c>
      <c r="C79">
        <f>IF('R.M Billets Reports'!A78="V.No.",'R.M Billets Reports'!B78,IF(ROW()=2,"",C78))</f>
      </c>
      <c r="D79">
        <f>IF('R.M Billets Reports'!A78&lt;&gt;"",'R.M Billets Reports'!A78,IF(ROW()=2,"",D78))</f>
      </c>
      <c r="E79">
        <f>IF('R.M Billets Reports'!B78="","",TRIM('R.M Billets Reports'!B78))</f>
      </c>
      <c r="F79">
        <f>'R.M Billets Reports'!C78</f>
      </c>
      <c r="G79">
        <f>'R.M Billets Reports'!D78</f>
      </c>
      <c r="H79">
        <f>'R.M Billets Reports'!E78</f>
      </c>
      <c r="I79">
        <f>'R.M Billets Reports'!F78</f>
      </c>
      <c r="J79">
        <f>'R.M Billets Reports'!G78</f>
      </c>
      <c r="K79">
        <f>'R.M Billets Reports'!H78</f>
      </c>
      <c r="L79">
        <f>IF('R.M Billets Reports'!I78="","",'R.M Billets Reports'!I78)</f>
      </c>
      <c r="M79">
        <f t="shared" si="2"/>
      </c>
      <c r="N79">
        <f>IF('R.M Billets Reports'!J78="","",'R.M Billets Reports'!J78)</f>
      </c>
      <c r="O79">
        <f t="shared" si="3"/>
      </c>
      <c r="P79">
        <f>IF('R.M Billets Reports'!A78="SIZE",'R.M Billets Reports'!B78,P78)</f>
      </c>
    </row>
    <row r="80" spans="1:16" x14ac:dyDescent="0.25">
      <c r="A80">
        <f>IF(OR('R.M Billets Reports'!A79="Date-",'R.M Billets Reports'!A79="Date:-"),IF(IF(IF(ISNUMBER(SEARCH("Party Name:-",'R.M Billets Reports'!D79)),TRIM('R.M Billets Reports'!F79),IF(ISNUMBER(SEARCH("Party Name-",'R.M Billets Reports'!D79)),TRIM(MID('R.M Billets Reports'!D79,SEARCH("-",'R.M Billets Reports'!D79)+1,200)),""))&lt;&gt;"",IF(ISNUMBER(SEARCH("Party Name:-",'R.M Billets Reports'!D79)),TRIM('R.M Billets Reports'!F79),IF(ISNUMBER(SEARCH("Party Name-",'R.M Billets Reports'!D79)),TRIM(MID('R.M Billets Reports'!D79,SEARCH("-",'R.M Billets Reports'!D79)+1,200)),"")),IF(ISNUMBER(SEARCH("Party Name:-",'R.M Billets Reports'!D80)),TRIM('R.M Billets Reports'!F80),IF(ISNUMBER(SEARCH("Party Name-",'R.M Billets Reports'!D80)),TRIM(MID('R.M Billets Reports'!D80,SEARCH("-",'R.M Billets Reports'!D80)+1,200)),"")))="VRKP ISPAT PVT LTD","VRKP",IF(IF(IF(ISNUMBER(SEARCH("Party Name:-",'R.M Billets Reports'!D79)),TRIM('R.M Billets Reports'!F79),IF(ISNUMBER(SEARCH("Party Name-",'R.M Billets Reports'!D79)),TRIM(MID('R.M Billets Reports'!D79,SEARCH("-",'R.M Billets Reports'!D79)+1,200)),""))&lt;&gt;"",IF(ISNUMBER(SEARCH("Party Name:-",'R.M Billets Reports'!D79)),TRIM('R.M Billets Reports'!F79),IF(ISNUMBER(SEARCH("Party Name-",'R.M Billets Reports'!D79)),TRIM(MID('R.M Billets Reports'!D79,SEARCH("-",'R.M Billets Reports'!D79)+1,200)),"")),IF(ISNUMBER(SEARCH("Party Name:-",'R.M Billets Reports'!D80)),TRIM('R.M Billets Reports'!F80),IF(ISNUMBER(SEARCH("Party Name-",'R.M Billets Reports'!D80)),TRIM(MID('R.M Billets Reports'!D80,SEARCH("-",'R.M Billets Reports'!D80)+1,200)),"")))="SHRI RADHE","SHREE RADHE",IF(IF(IF(ISNUMBER(SEARCH("Party Name:-",'R.M Billets Reports'!D79)),TRIM('R.M Billets Reports'!F79),IF(ISNUMBER(SEARCH("Party Name-",'R.M Billets Reports'!D79)),TRIM(MID('R.M Billets Reports'!D79,SEARCH("-",'R.M Billets Reports'!D79)+1,200)),""))&lt;&gt;"",IF(ISNUMBER(SEARCH("Party Name:-",'R.M Billets Reports'!D79)),TRIM('R.M Billets Reports'!F79),IF(ISNUMBER(SEARCH("Party Name-",'R.M Billets Reports'!D79)),TRIM(MID('R.M Billets Reports'!D79,SEARCH("-",'R.M Billets Reports'!D79)+1,200)),"")),IF(ISNUMBER(SEARCH("Party Name:-",'R.M Billets Reports'!D80)),TRIM('R.M Billets Reports'!F80),IF(ISNUMBER(SEARCH("Party Name-",'R.M Billets Reports'!D80)),TRIM(MID('R.M Billets Reports'!D80,SEARCH("-",'R.M Billets Reports'!D80)+1,200)),"")))="SHREE RADHE SHAKTI SPONGE AND POWER PVT. LTD.","SHREE RADHE",IF(IF(ISNUMBER(SEARCH("Party Name:-",'R.M Billets Reports'!D79)),TRIM('R.M Billets Reports'!F79),IF(ISNUMBER(SEARCH("Party Name-",'R.M Billets Reports'!D79)),TRIM(MID('R.M Billets Reports'!D79,SEARCH("-",'R.M Billets Reports'!D79)+1,200)),""))&lt;&gt;"",IF(ISNUMBER(SEARCH("Party Name:-",'R.M Billets Reports'!D79)),TRIM('R.M Billets Reports'!F79),IF(ISNUMBER(SEARCH("Party Name-",'R.M Billets Reports'!D79)),TRIM(MID('R.M Billets Reports'!D79,SEARCH("-",'R.M Billets Reports'!D79)+1,200)),"")),IF(ISNUMBER(SEARCH("Party Name:-",'R.M Billets Reports'!D80)),TRIM('R.M Billets Reports'!F80),IF(ISNUMBER(SEARCH("Party Name-",'R.M Billets Reports'!D80)),TRIM(MID('R.M Billets Reports'!D80,SEARCH("-",'R.M Billets Reports'!D80)+1,200)),"")))))),IF(ROW()=2,"",A79))</f>
      </c>
      <c r="B80">
        <f>IF(OR('R.M Billets Reports'!A79="Date-",'R.M Billets Reports'!A79="Date:-"),'R.M Billets Reports'!B79,IF(ROW()=2,"",B79))</f>
      </c>
      <c r="C80">
        <f>IF('R.M Billets Reports'!A79="V.No.",'R.M Billets Reports'!B79,IF(ROW()=2,"",C79))</f>
      </c>
      <c r="D80">
        <f>IF('R.M Billets Reports'!A79&lt;&gt;"",'R.M Billets Reports'!A79,IF(ROW()=2,"",D79))</f>
      </c>
      <c r="E80">
        <f>IF('R.M Billets Reports'!B79="","",TRIM('R.M Billets Reports'!B79))</f>
      </c>
      <c r="F80">
        <f>'R.M Billets Reports'!C79</f>
      </c>
      <c r="G80">
        <f>'R.M Billets Reports'!D79</f>
      </c>
      <c r="H80">
        <f>'R.M Billets Reports'!E79</f>
      </c>
      <c r="I80">
        <f>'R.M Billets Reports'!F79</f>
      </c>
      <c r="J80">
        <f>'R.M Billets Reports'!G79</f>
      </c>
      <c r="K80">
        <f>'R.M Billets Reports'!H79</f>
      </c>
      <c r="L80">
        <f>IF('R.M Billets Reports'!I79="","",'R.M Billets Reports'!I79)</f>
      </c>
      <c r="M80">
        <f t="shared" si="2"/>
      </c>
      <c r="N80">
        <f>IF('R.M Billets Reports'!J79="","",'R.M Billets Reports'!J79)</f>
      </c>
      <c r="O80">
        <f t="shared" si="3"/>
      </c>
      <c r="P80">
        <f>IF('R.M Billets Reports'!A79="SIZE",'R.M Billets Reports'!B79,P79)</f>
      </c>
    </row>
    <row r="81" spans="1:16" x14ac:dyDescent="0.25">
      <c r="A81">
        <f>IF(OR('R.M Billets Reports'!A80="Date-",'R.M Billets Reports'!A80="Date:-"),IF(IF(IF(ISNUMBER(SEARCH("Party Name:-",'R.M Billets Reports'!D80)),TRIM('R.M Billets Reports'!F80),IF(ISNUMBER(SEARCH("Party Name-",'R.M Billets Reports'!D80)),TRIM(MID('R.M Billets Reports'!D80,SEARCH("-",'R.M Billets Reports'!D80)+1,200)),""))&lt;&gt;"",IF(ISNUMBER(SEARCH("Party Name:-",'R.M Billets Reports'!D80)),TRIM('R.M Billets Reports'!F80),IF(ISNUMBER(SEARCH("Party Name-",'R.M Billets Reports'!D80)),TRIM(MID('R.M Billets Reports'!D80,SEARCH("-",'R.M Billets Reports'!D80)+1,200)),"")),IF(ISNUMBER(SEARCH("Party Name:-",'R.M Billets Reports'!D81)),TRIM('R.M Billets Reports'!F81),IF(ISNUMBER(SEARCH("Party Name-",'R.M Billets Reports'!D81)),TRIM(MID('R.M Billets Reports'!D81,SEARCH("-",'R.M Billets Reports'!D81)+1,200)),"")))="VRKP ISPAT PVT LTD","VRKP",IF(IF(IF(ISNUMBER(SEARCH("Party Name:-",'R.M Billets Reports'!D80)),TRIM('R.M Billets Reports'!F80),IF(ISNUMBER(SEARCH("Party Name-",'R.M Billets Reports'!D80)),TRIM(MID('R.M Billets Reports'!D80,SEARCH("-",'R.M Billets Reports'!D80)+1,200)),""))&lt;&gt;"",IF(ISNUMBER(SEARCH("Party Name:-",'R.M Billets Reports'!D80)),TRIM('R.M Billets Reports'!F80),IF(ISNUMBER(SEARCH("Party Name-",'R.M Billets Reports'!D80)),TRIM(MID('R.M Billets Reports'!D80,SEARCH("-",'R.M Billets Reports'!D80)+1,200)),"")),IF(ISNUMBER(SEARCH("Party Name:-",'R.M Billets Reports'!D81)),TRIM('R.M Billets Reports'!F81),IF(ISNUMBER(SEARCH("Party Name-",'R.M Billets Reports'!D81)),TRIM(MID('R.M Billets Reports'!D81,SEARCH("-",'R.M Billets Reports'!D81)+1,200)),"")))="SHRI RADHE","SHREE RADHE",IF(IF(IF(ISNUMBER(SEARCH("Party Name:-",'R.M Billets Reports'!D80)),TRIM('R.M Billets Reports'!F80),IF(ISNUMBER(SEARCH("Party Name-",'R.M Billets Reports'!D80)),TRIM(MID('R.M Billets Reports'!D80,SEARCH("-",'R.M Billets Reports'!D80)+1,200)),""))&lt;&gt;"",IF(ISNUMBER(SEARCH("Party Name:-",'R.M Billets Reports'!D80)),TRIM('R.M Billets Reports'!F80),IF(ISNUMBER(SEARCH("Party Name-",'R.M Billets Reports'!D80)),TRIM(MID('R.M Billets Reports'!D80,SEARCH("-",'R.M Billets Reports'!D80)+1,200)),"")),IF(ISNUMBER(SEARCH("Party Name:-",'R.M Billets Reports'!D81)),TRIM('R.M Billets Reports'!F81),IF(ISNUMBER(SEARCH("Party Name-",'R.M Billets Reports'!D81)),TRIM(MID('R.M Billets Reports'!D81,SEARCH("-",'R.M Billets Reports'!D81)+1,200)),"")))="SHREE RADHE SHAKTI SPONGE AND POWER PVT. LTD.","SHREE RADHE",IF(IF(ISNUMBER(SEARCH("Party Name:-",'R.M Billets Reports'!D80)),TRIM('R.M Billets Reports'!F80),IF(ISNUMBER(SEARCH("Party Name-",'R.M Billets Reports'!D80)),TRIM(MID('R.M Billets Reports'!D80,SEARCH("-",'R.M Billets Reports'!D80)+1,200)),""))&lt;&gt;"",IF(ISNUMBER(SEARCH("Party Name:-",'R.M Billets Reports'!D80)),TRIM('R.M Billets Reports'!F80),IF(ISNUMBER(SEARCH("Party Name-",'R.M Billets Reports'!D80)),TRIM(MID('R.M Billets Reports'!D80,SEARCH("-",'R.M Billets Reports'!D80)+1,200)),"")),IF(ISNUMBER(SEARCH("Party Name:-",'R.M Billets Reports'!D81)),TRIM('R.M Billets Reports'!F81),IF(ISNUMBER(SEARCH("Party Name-",'R.M Billets Reports'!D81)),TRIM(MID('R.M Billets Reports'!D81,SEARCH("-",'R.M Billets Reports'!D81)+1,200)),"")))))),IF(ROW()=2,"",A80))</f>
      </c>
      <c r="B81">
        <f>IF(OR('R.M Billets Reports'!A80="Date-",'R.M Billets Reports'!A80="Date:-"),'R.M Billets Reports'!B80,IF(ROW()=2,"",B80))</f>
      </c>
      <c r="C81">
        <f>IF('R.M Billets Reports'!A80="V.No.",'R.M Billets Reports'!B80,IF(ROW()=2,"",C80))</f>
      </c>
      <c r="D81">
        <f>IF('R.M Billets Reports'!A80&lt;&gt;"",'R.M Billets Reports'!A80,IF(ROW()=2,"",D80))</f>
      </c>
      <c r="E81">
        <f>IF('R.M Billets Reports'!B80="","",TRIM('R.M Billets Reports'!B80))</f>
      </c>
      <c r="F81">
        <f>'R.M Billets Reports'!C80</f>
      </c>
      <c r="G81">
        <f>'R.M Billets Reports'!D80</f>
      </c>
      <c r="H81">
        <f>'R.M Billets Reports'!E80</f>
      </c>
      <c r="I81">
        <f>'R.M Billets Reports'!F80</f>
      </c>
      <c r="J81">
        <f>'R.M Billets Reports'!G80</f>
      </c>
      <c r="K81">
        <f>'R.M Billets Reports'!H80</f>
      </c>
      <c r="L81">
        <f>IF('R.M Billets Reports'!I80="","",'R.M Billets Reports'!I80)</f>
      </c>
      <c r="M81">
        <f t="shared" si="2"/>
      </c>
      <c r="N81">
        <f>IF('R.M Billets Reports'!J80="","",'R.M Billets Reports'!J80)</f>
      </c>
      <c r="O81">
        <f t="shared" si="3"/>
      </c>
      <c r="P81">
        <f>IF('R.M Billets Reports'!A80="SIZE",'R.M Billets Reports'!B80,P80)</f>
      </c>
    </row>
    <row r="82" spans="1:16" x14ac:dyDescent="0.25">
      <c r="A82">
        <f>IF(OR('R.M Billets Reports'!A81="Date-",'R.M Billets Reports'!A81="Date:-"),IF(IF(IF(ISNUMBER(SEARCH("Party Name:-",'R.M Billets Reports'!D81)),TRIM('R.M Billets Reports'!F81),IF(ISNUMBER(SEARCH("Party Name-",'R.M Billets Reports'!D81)),TRIM(MID('R.M Billets Reports'!D81,SEARCH("-",'R.M Billets Reports'!D81)+1,200)),""))&lt;&gt;"",IF(ISNUMBER(SEARCH("Party Name:-",'R.M Billets Reports'!D81)),TRIM('R.M Billets Reports'!F81),IF(ISNUMBER(SEARCH("Party Name-",'R.M Billets Reports'!D81)),TRIM(MID('R.M Billets Reports'!D81,SEARCH("-",'R.M Billets Reports'!D81)+1,200)),"")),IF(ISNUMBER(SEARCH("Party Name:-",'R.M Billets Reports'!D82)),TRIM('R.M Billets Reports'!F82),IF(ISNUMBER(SEARCH("Party Name-",'R.M Billets Reports'!D82)),TRIM(MID('R.M Billets Reports'!D82,SEARCH("-",'R.M Billets Reports'!D82)+1,200)),"")))="VRKP ISPAT PVT LTD","VRKP",IF(IF(IF(ISNUMBER(SEARCH("Party Name:-",'R.M Billets Reports'!D81)),TRIM('R.M Billets Reports'!F81),IF(ISNUMBER(SEARCH("Party Name-",'R.M Billets Reports'!D81)),TRIM(MID('R.M Billets Reports'!D81,SEARCH("-",'R.M Billets Reports'!D81)+1,200)),""))&lt;&gt;"",IF(ISNUMBER(SEARCH("Party Name:-",'R.M Billets Reports'!D81)),TRIM('R.M Billets Reports'!F81),IF(ISNUMBER(SEARCH("Party Name-",'R.M Billets Reports'!D81)),TRIM(MID('R.M Billets Reports'!D81,SEARCH("-",'R.M Billets Reports'!D81)+1,200)),"")),IF(ISNUMBER(SEARCH("Party Name:-",'R.M Billets Reports'!D82)),TRIM('R.M Billets Reports'!F82),IF(ISNUMBER(SEARCH("Party Name-",'R.M Billets Reports'!D82)),TRIM(MID('R.M Billets Reports'!D82,SEARCH("-",'R.M Billets Reports'!D82)+1,200)),"")))="SHRI RADHE","SHREE RADHE",IF(IF(IF(ISNUMBER(SEARCH("Party Name:-",'R.M Billets Reports'!D81)),TRIM('R.M Billets Reports'!F81),IF(ISNUMBER(SEARCH("Party Name-",'R.M Billets Reports'!D81)),TRIM(MID('R.M Billets Reports'!D81,SEARCH("-",'R.M Billets Reports'!D81)+1,200)),""))&lt;&gt;"",IF(ISNUMBER(SEARCH("Party Name:-",'R.M Billets Reports'!D81)),TRIM('R.M Billets Reports'!F81),IF(ISNUMBER(SEARCH("Party Name-",'R.M Billets Reports'!D81)),TRIM(MID('R.M Billets Reports'!D81,SEARCH("-",'R.M Billets Reports'!D81)+1,200)),"")),IF(ISNUMBER(SEARCH("Party Name:-",'R.M Billets Reports'!D82)),TRIM('R.M Billets Reports'!F82),IF(ISNUMBER(SEARCH("Party Name-",'R.M Billets Reports'!D82)),TRIM(MID('R.M Billets Reports'!D82,SEARCH("-",'R.M Billets Reports'!D82)+1,200)),"")))="SHREE RADHE SHAKTI SPONGE AND POWER PVT. LTD.","SHREE RADHE",IF(IF(ISNUMBER(SEARCH("Party Name:-",'R.M Billets Reports'!D81)),TRIM('R.M Billets Reports'!F81),IF(ISNUMBER(SEARCH("Party Name-",'R.M Billets Reports'!D81)),TRIM(MID('R.M Billets Reports'!D81,SEARCH("-",'R.M Billets Reports'!D81)+1,200)),""))&lt;&gt;"",IF(ISNUMBER(SEARCH("Party Name:-",'R.M Billets Reports'!D81)),TRIM('R.M Billets Reports'!F81),IF(ISNUMBER(SEARCH("Party Name-",'R.M Billets Reports'!D81)),TRIM(MID('R.M Billets Reports'!D81,SEARCH("-",'R.M Billets Reports'!D81)+1,200)),"")),IF(ISNUMBER(SEARCH("Party Name:-",'R.M Billets Reports'!D82)),TRIM('R.M Billets Reports'!F82),IF(ISNUMBER(SEARCH("Party Name-",'R.M Billets Reports'!D82)),TRIM(MID('R.M Billets Reports'!D82,SEARCH("-",'R.M Billets Reports'!D82)+1,200)),"")))))),IF(ROW()=2,"",A81))</f>
      </c>
      <c r="B82">
        <f>IF(OR('R.M Billets Reports'!A81="Date-",'R.M Billets Reports'!A81="Date:-"),'R.M Billets Reports'!B81,IF(ROW()=2,"",B81))</f>
      </c>
      <c r="C82">
        <f>IF('R.M Billets Reports'!A81="V.No.",'R.M Billets Reports'!B81,IF(ROW()=2,"",C81))</f>
      </c>
      <c r="D82">
        <f>IF('R.M Billets Reports'!A81&lt;&gt;"",'R.M Billets Reports'!A81,IF(ROW()=2,"",D81))</f>
      </c>
      <c r="E82">
        <f>IF('R.M Billets Reports'!B81="","",TRIM('R.M Billets Reports'!B81))</f>
      </c>
      <c r="F82">
        <f>'R.M Billets Reports'!C81</f>
      </c>
      <c r="G82">
        <f>'R.M Billets Reports'!D81</f>
      </c>
      <c r="H82">
        <f>'R.M Billets Reports'!E81</f>
      </c>
      <c r="I82">
        <f>'R.M Billets Reports'!F81</f>
      </c>
      <c r="J82">
        <f>'R.M Billets Reports'!G81</f>
      </c>
      <c r="K82">
        <f>'R.M Billets Reports'!H81</f>
      </c>
      <c r="L82">
        <f>IF('R.M Billets Reports'!I81="","",'R.M Billets Reports'!I81)</f>
      </c>
      <c r="M82">
        <f t="shared" si="2"/>
      </c>
      <c r="N82">
        <f>IF('R.M Billets Reports'!J81="","",'R.M Billets Reports'!J81)</f>
      </c>
      <c r="O82">
        <f t="shared" si="3"/>
      </c>
      <c r="P82">
        <f>IF('R.M Billets Reports'!A81="SIZE",'R.M Billets Reports'!B81,P81)</f>
      </c>
    </row>
    <row r="83" spans="1:16" x14ac:dyDescent="0.25">
      <c r="A83">
        <f>IF(OR('R.M Billets Reports'!A82="Date-",'R.M Billets Reports'!A82="Date:-"),IF(IF(IF(ISNUMBER(SEARCH("Party Name:-",'R.M Billets Reports'!D82)),TRIM('R.M Billets Reports'!F82),IF(ISNUMBER(SEARCH("Party Name-",'R.M Billets Reports'!D82)),TRIM(MID('R.M Billets Reports'!D82,SEARCH("-",'R.M Billets Reports'!D82)+1,200)),""))&lt;&gt;"",IF(ISNUMBER(SEARCH("Party Name:-",'R.M Billets Reports'!D82)),TRIM('R.M Billets Reports'!F82),IF(ISNUMBER(SEARCH("Party Name-",'R.M Billets Reports'!D82)),TRIM(MID('R.M Billets Reports'!D82,SEARCH("-",'R.M Billets Reports'!D82)+1,200)),"")),IF(ISNUMBER(SEARCH("Party Name:-",'R.M Billets Reports'!D83)),TRIM('R.M Billets Reports'!F83),IF(ISNUMBER(SEARCH("Party Name-",'R.M Billets Reports'!D83)),TRIM(MID('R.M Billets Reports'!D83,SEARCH("-",'R.M Billets Reports'!D83)+1,200)),"")))="VRKP ISPAT PVT LTD","VRKP",IF(IF(IF(ISNUMBER(SEARCH("Party Name:-",'R.M Billets Reports'!D82)),TRIM('R.M Billets Reports'!F82),IF(ISNUMBER(SEARCH("Party Name-",'R.M Billets Reports'!D82)),TRIM(MID('R.M Billets Reports'!D82,SEARCH("-",'R.M Billets Reports'!D82)+1,200)),""))&lt;&gt;"",IF(ISNUMBER(SEARCH("Party Name:-",'R.M Billets Reports'!D82)),TRIM('R.M Billets Reports'!F82),IF(ISNUMBER(SEARCH("Party Name-",'R.M Billets Reports'!D82)),TRIM(MID('R.M Billets Reports'!D82,SEARCH("-",'R.M Billets Reports'!D82)+1,200)),"")),IF(ISNUMBER(SEARCH("Party Name:-",'R.M Billets Reports'!D83)),TRIM('R.M Billets Reports'!F83),IF(ISNUMBER(SEARCH("Party Name-",'R.M Billets Reports'!D83)),TRIM(MID('R.M Billets Reports'!D83,SEARCH("-",'R.M Billets Reports'!D83)+1,200)),"")))="SHRI RADHE","SHREE RADHE",IF(IF(IF(ISNUMBER(SEARCH("Party Name:-",'R.M Billets Reports'!D82)),TRIM('R.M Billets Reports'!F82),IF(ISNUMBER(SEARCH("Party Name-",'R.M Billets Reports'!D82)),TRIM(MID('R.M Billets Reports'!D82,SEARCH("-",'R.M Billets Reports'!D82)+1,200)),""))&lt;&gt;"",IF(ISNUMBER(SEARCH("Party Name:-",'R.M Billets Reports'!D82)),TRIM('R.M Billets Reports'!F82),IF(ISNUMBER(SEARCH("Party Name-",'R.M Billets Reports'!D82)),TRIM(MID('R.M Billets Reports'!D82,SEARCH("-",'R.M Billets Reports'!D82)+1,200)),"")),IF(ISNUMBER(SEARCH("Party Name:-",'R.M Billets Reports'!D83)),TRIM('R.M Billets Reports'!F83),IF(ISNUMBER(SEARCH("Party Name-",'R.M Billets Reports'!D83)),TRIM(MID('R.M Billets Reports'!D83,SEARCH("-",'R.M Billets Reports'!D83)+1,200)),"")))="SHREE RADHE SHAKTI SPONGE AND POWER PVT. LTD.","SHREE RADHE",IF(IF(ISNUMBER(SEARCH("Party Name:-",'R.M Billets Reports'!D82)),TRIM('R.M Billets Reports'!F82),IF(ISNUMBER(SEARCH("Party Name-",'R.M Billets Reports'!D82)),TRIM(MID('R.M Billets Reports'!D82,SEARCH("-",'R.M Billets Reports'!D82)+1,200)),""))&lt;&gt;"",IF(ISNUMBER(SEARCH("Party Name:-",'R.M Billets Reports'!D82)),TRIM('R.M Billets Reports'!F82),IF(ISNUMBER(SEARCH("Party Name-",'R.M Billets Reports'!D82)),TRIM(MID('R.M Billets Reports'!D82,SEARCH("-",'R.M Billets Reports'!D82)+1,200)),"")),IF(ISNUMBER(SEARCH("Party Name:-",'R.M Billets Reports'!D83)),TRIM('R.M Billets Reports'!F83),IF(ISNUMBER(SEARCH("Party Name-",'R.M Billets Reports'!D83)),TRIM(MID('R.M Billets Reports'!D83,SEARCH("-",'R.M Billets Reports'!D83)+1,200)),"")))))),IF(ROW()=2,"",A82))</f>
      </c>
      <c r="B83">
        <f>IF(OR('R.M Billets Reports'!A82="Date-",'R.M Billets Reports'!A82="Date:-"),'R.M Billets Reports'!B82,IF(ROW()=2,"",B82))</f>
      </c>
      <c r="C83">
        <f>IF('R.M Billets Reports'!A82="V.No.",'R.M Billets Reports'!B82,IF(ROW()=2,"",C82))</f>
      </c>
      <c r="D83">
        <f>IF('R.M Billets Reports'!A82&lt;&gt;"",'R.M Billets Reports'!A82,IF(ROW()=2,"",D82))</f>
      </c>
      <c r="E83">
        <f>IF('R.M Billets Reports'!B82="","",TRIM('R.M Billets Reports'!B82))</f>
      </c>
      <c r="F83">
        <f>'R.M Billets Reports'!C82</f>
      </c>
      <c r="G83">
        <f>'R.M Billets Reports'!D82</f>
      </c>
      <c r="H83">
        <f>'R.M Billets Reports'!E82</f>
      </c>
      <c r="I83">
        <f>'R.M Billets Reports'!F82</f>
      </c>
      <c r="J83">
        <f>'R.M Billets Reports'!G82</f>
      </c>
      <c r="K83">
        <f>'R.M Billets Reports'!H82</f>
      </c>
      <c r="L83">
        <f>IF('R.M Billets Reports'!I82="","",'R.M Billets Reports'!I82)</f>
      </c>
      <c r="M83">
        <f t="shared" si="2"/>
      </c>
      <c r="N83">
        <f>IF('R.M Billets Reports'!J82="","",'R.M Billets Reports'!J82)</f>
      </c>
      <c r="O83">
        <f t="shared" si="3"/>
      </c>
      <c r="P83">
        <f>IF('R.M Billets Reports'!A82="SIZE",'R.M Billets Reports'!B82,P82)</f>
      </c>
    </row>
    <row r="84" spans="1:16" x14ac:dyDescent="0.25">
      <c r="A84">
        <f>IF(OR('R.M Billets Reports'!A83="Date-",'R.M Billets Reports'!A83="Date:-"),IF(IF(IF(ISNUMBER(SEARCH("Party Name:-",'R.M Billets Reports'!D83)),TRIM('R.M Billets Reports'!F83),IF(ISNUMBER(SEARCH("Party Name-",'R.M Billets Reports'!D83)),TRIM(MID('R.M Billets Reports'!D83,SEARCH("-",'R.M Billets Reports'!D83)+1,200)),""))&lt;&gt;"",IF(ISNUMBER(SEARCH("Party Name:-",'R.M Billets Reports'!D83)),TRIM('R.M Billets Reports'!F83),IF(ISNUMBER(SEARCH("Party Name-",'R.M Billets Reports'!D83)),TRIM(MID('R.M Billets Reports'!D83,SEARCH("-",'R.M Billets Reports'!D83)+1,200)),"")),IF(ISNUMBER(SEARCH("Party Name:-",'R.M Billets Reports'!D84)),TRIM('R.M Billets Reports'!F84),IF(ISNUMBER(SEARCH("Party Name-",'R.M Billets Reports'!D84)),TRIM(MID('R.M Billets Reports'!D84,SEARCH("-",'R.M Billets Reports'!D84)+1,200)),"")))="VRKP ISPAT PVT LTD","VRKP",IF(IF(IF(ISNUMBER(SEARCH("Party Name:-",'R.M Billets Reports'!D83)),TRIM('R.M Billets Reports'!F83),IF(ISNUMBER(SEARCH("Party Name-",'R.M Billets Reports'!D83)),TRIM(MID('R.M Billets Reports'!D83,SEARCH("-",'R.M Billets Reports'!D83)+1,200)),""))&lt;&gt;"",IF(ISNUMBER(SEARCH("Party Name:-",'R.M Billets Reports'!D83)),TRIM('R.M Billets Reports'!F83),IF(ISNUMBER(SEARCH("Party Name-",'R.M Billets Reports'!D83)),TRIM(MID('R.M Billets Reports'!D83,SEARCH("-",'R.M Billets Reports'!D83)+1,200)),"")),IF(ISNUMBER(SEARCH("Party Name:-",'R.M Billets Reports'!D84)),TRIM('R.M Billets Reports'!F84),IF(ISNUMBER(SEARCH("Party Name-",'R.M Billets Reports'!D84)),TRIM(MID('R.M Billets Reports'!D84,SEARCH("-",'R.M Billets Reports'!D84)+1,200)),"")))="SHRI RADHE","SHREE RADHE",IF(IF(IF(ISNUMBER(SEARCH("Party Name:-",'R.M Billets Reports'!D83)),TRIM('R.M Billets Reports'!F83),IF(ISNUMBER(SEARCH("Party Name-",'R.M Billets Reports'!D83)),TRIM(MID('R.M Billets Reports'!D83,SEARCH("-",'R.M Billets Reports'!D83)+1,200)),""))&lt;&gt;"",IF(ISNUMBER(SEARCH("Party Name:-",'R.M Billets Reports'!D83)),TRIM('R.M Billets Reports'!F83),IF(ISNUMBER(SEARCH("Party Name-",'R.M Billets Reports'!D83)),TRIM(MID('R.M Billets Reports'!D83,SEARCH("-",'R.M Billets Reports'!D83)+1,200)),"")),IF(ISNUMBER(SEARCH("Party Name:-",'R.M Billets Reports'!D84)),TRIM('R.M Billets Reports'!F84),IF(ISNUMBER(SEARCH("Party Name-",'R.M Billets Reports'!D84)),TRIM(MID('R.M Billets Reports'!D84,SEARCH("-",'R.M Billets Reports'!D84)+1,200)),"")))="SHREE RADHE SHAKTI SPONGE AND POWER PVT. LTD.","SHREE RADHE",IF(IF(ISNUMBER(SEARCH("Party Name:-",'R.M Billets Reports'!D83)),TRIM('R.M Billets Reports'!F83),IF(ISNUMBER(SEARCH("Party Name-",'R.M Billets Reports'!D83)),TRIM(MID('R.M Billets Reports'!D83,SEARCH("-",'R.M Billets Reports'!D83)+1,200)),""))&lt;&gt;"",IF(ISNUMBER(SEARCH("Party Name:-",'R.M Billets Reports'!D83)),TRIM('R.M Billets Reports'!F83),IF(ISNUMBER(SEARCH("Party Name-",'R.M Billets Reports'!D83)),TRIM(MID('R.M Billets Reports'!D83,SEARCH("-",'R.M Billets Reports'!D83)+1,200)),"")),IF(ISNUMBER(SEARCH("Party Name:-",'R.M Billets Reports'!D84)),TRIM('R.M Billets Reports'!F84),IF(ISNUMBER(SEARCH("Party Name-",'R.M Billets Reports'!D84)),TRIM(MID('R.M Billets Reports'!D84,SEARCH("-",'R.M Billets Reports'!D84)+1,200)),"")))))),IF(ROW()=2,"",A83))</f>
      </c>
      <c r="B84">
        <f>IF(OR('R.M Billets Reports'!A83="Date-",'R.M Billets Reports'!A83="Date:-"),'R.M Billets Reports'!B83,IF(ROW()=2,"",B83))</f>
      </c>
      <c r="C84">
        <f>IF('R.M Billets Reports'!A83="V.No.",'R.M Billets Reports'!B83,IF(ROW()=2,"",C83))</f>
      </c>
      <c r="D84">
        <f>IF('R.M Billets Reports'!A83&lt;&gt;"",'R.M Billets Reports'!A83,IF(ROW()=2,"",D83))</f>
      </c>
      <c r="E84">
        <f>IF('R.M Billets Reports'!B83="","",TRIM('R.M Billets Reports'!B83))</f>
      </c>
      <c r="F84">
        <f>'R.M Billets Reports'!C83</f>
      </c>
      <c r="G84">
        <f>'R.M Billets Reports'!D83</f>
      </c>
      <c r="H84">
        <f>'R.M Billets Reports'!E83</f>
      </c>
      <c r="I84">
        <f>'R.M Billets Reports'!F83</f>
      </c>
      <c r="J84">
        <f>'R.M Billets Reports'!G83</f>
      </c>
      <c r="K84">
        <f>'R.M Billets Reports'!H83</f>
      </c>
      <c r="L84">
        <f>IF('R.M Billets Reports'!I83="","",'R.M Billets Reports'!I83)</f>
      </c>
      <c r="M84">
        <f t="shared" si="2"/>
      </c>
      <c r="N84">
        <f>IF('R.M Billets Reports'!J83="","",'R.M Billets Reports'!J83)</f>
      </c>
      <c r="O84">
        <f t="shared" si="3"/>
      </c>
      <c r="P84">
        <f>IF('R.M Billets Reports'!A83="SIZE",'R.M Billets Reports'!B83,P83)</f>
      </c>
    </row>
    <row r="85" spans="1:16" x14ac:dyDescent="0.25">
      <c r="A85">
        <f>IF(OR('R.M Billets Reports'!A84="Date-",'R.M Billets Reports'!A84="Date:-"),IF(IF(IF(ISNUMBER(SEARCH("Party Name:-",'R.M Billets Reports'!D84)),TRIM('R.M Billets Reports'!F84),IF(ISNUMBER(SEARCH("Party Name-",'R.M Billets Reports'!D84)),TRIM(MID('R.M Billets Reports'!D84,SEARCH("-",'R.M Billets Reports'!D84)+1,200)),""))&lt;&gt;"",IF(ISNUMBER(SEARCH("Party Name:-",'R.M Billets Reports'!D84)),TRIM('R.M Billets Reports'!F84),IF(ISNUMBER(SEARCH("Party Name-",'R.M Billets Reports'!D84)),TRIM(MID('R.M Billets Reports'!D84,SEARCH("-",'R.M Billets Reports'!D84)+1,200)),"")),IF(ISNUMBER(SEARCH("Party Name:-",'R.M Billets Reports'!D85)),TRIM('R.M Billets Reports'!F85),IF(ISNUMBER(SEARCH("Party Name-",'R.M Billets Reports'!D85)),TRIM(MID('R.M Billets Reports'!D85,SEARCH("-",'R.M Billets Reports'!D85)+1,200)),"")))="VRKP ISPAT PVT LTD","VRKP",IF(IF(IF(ISNUMBER(SEARCH("Party Name:-",'R.M Billets Reports'!D84)),TRIM('R.M Billets Reports'!F84),IF(ISNUMBER(SEARCH("Party Name-",'R.M Billets Reports'!D84)),TRIM(MID('R.M Billets Reports'!D84,SEARCH("-",'R.M Billets Reports'!D84)+1,200)),""))&lt;&gt;"",IF(ISNUMBER(SEARCH("Party Name:-",'R.M Billets Reports'!D84)),TRIM('R.M Billets Reports'!F84),IF(ISNUMBER(SEARCH("Party Name-",'R.M Billets Reports'!D84)),TRIM(MID('R.M Billets Reports'!D84,SEARCH("-",'R.M Billets Reports'!D84)+1,200)),"")),IF(ISNUMBER(SEARCH("Party Name:-",'R.M Billets Reports'!D85)),TRIM('R.M Billets Reports'!F85),IF(ISNUMBER(SEARCH("Party Name-",'R.M Billets Reports'!D85)),TRIM(MID('R.M Billets Reports'!D85,SEARCH("-",'R.M Billets Reports'!D85)+1,200)),"")))="SHRI RADHE","SHREE RADHE",IF(IF(IF(ISNUMBER(SEARCH("Party Name:-",'R.M Billets Reports'!D84)),TRIM('R.M Billets Reports'!F84),IF(ISNUMBER(SEARCH("Party Name-",'R.M Billets Reports'!D84)),TRIM(MID('R.M Billets Reports'!D84,SEARCH("-",'R.M Billets Reports'!D84)+1,200)),""))&lt;&gt;"",IF(ISNUMBER(SEARCH("Party Name:-",'R.M Billets Reports'!D84)),TRIM('R.M Billets Reports'!F84),IF(ISNUMBER(SEARCH("Party Name-",'R.M Billets Reports'!D84)),TRIM(MID('R.M Billets Reports'!D84,SEARCH("-",'R.M Billets Reports'!D84)+1,200)),"")),IF(ISNUMBER(SEARCH("Party Name:-",'R.M Billets Reports'!D85)),TRIM('R.M Billets Reports'!F85),IF(ISNUMBER(SEARCH("Party Name-",'R.M Billets Reports'!D85)),TRIM(MID('R.M Billets Reports'!D85,SEARCH("-",'R.M Billets Reports'!D85)+1,200)),"")))="SHREE RADHE SHAKTI SPONGE AND POWER PVT. LTD.","SHREE RADHE",IF(IF(ISNUMBER(SEARCH("Party Name:-",'R.M Billets Reports'!D84)),TRIM('R.M Billets Reports'!F84),IF(ISNUMBER(SEARCH("Party Name-",'R.M Billets Reports'!D84)),TRIM(MID('R.M Billets Reports'!D84,SEARCH("-",'R.M Billets Reports'!D84)+1,200)),""))&lt;&gt;"",IF(ISNUMBER(SEARCH("Party Name:-",'R.M Billets Reports'!D84)),TRIM('R.M Billets Reports'!F84),IF(ISNUMBER(SEARCH("Party Name-",'R.M Billets Reports'!D84)),TRIM(MID('R.M Billets Reports'!D84,SEARCH("-",'R.M Billets Reports'!D84)+1,200)),"")),IF(ISNUMBER(SEARCH("Party Name:-",'R.M Billets Reports'!D85)),TRIM('R.M Billets Reports'!F85),IF(ISNUMBER(SEARCH("Party Name-",'R.M Billets Reports'!D85)),TRIM(MID('R.M Billets Reports'!D85,SEARCH("-",'R.M Billets Reports'!D85)+1,200)),"")))))),IF(ROW()=2,"",A84))</f>
      </c>
      <c r="B85">
        <f>IF(OR('R.M Billets Reports'!A84="Date-",'R.M Billets Reports'!A84="Date:-"),'R.M Billets Reports'!B84,IF(ROW()=2,"",B84))</f>
      </c>
      <c r="C85">
        <f>IF('R.M Billets Reports'!A84="V.No.",'R.M Billets Reports'!B84,IF(ROW()=2,"",C84))</f>
      </c>
      <c r="D85">
        <f>IF('R.M Billets Reports'!A84&lt;&gt;"",'R.M Billets Reports'!A84,IF(ROW()=2,"",D84))</f>
      </c>
      <c r="E85">
        <f>IF('R.M Billets Reports'!B84="","",TRIM('R.M Billets Reports'!B84))</f>
      </c>
      <c r="F85">
        <f>'R.M Billets Reports'!C84</f>
      </c>
      <c r="G85">
        <f>'R.M Billets Reports'!D84</f>
      </c>
      <c r="H85">
        <f>'R.M Billets Reports'!E84</f>
      </c>
      <c r="I85">
        <f>'R.M Billets Reports'!F84</f>
      </c>
      <c r="J85">
        <f>'R.M Billets Reports'!G84</f>
      </c>
      <c r="K85">
        <f>'R.M Billets Reports'!H84</f>
      </c>
      <c r="L85">
        <f>IF('R.M Billets Reports'!I84="","",'R.M Billets Reports'!I84)</f>
      </c>
      <c r="M85">
        <f t="shared" si="2"/>
      </c>
      <c r="N85">
        <f>IF('R.M Billets Reports'!J84="","",'R.M Billets Reports'!J84)</f>
      </c>
      <c r="O85">
        <f t="shared" si="3"/>
      </c>
      <c r="P85">
        <f>IF('R.M Billets Reports'!A84="SIZE",'R.M Billets Reports'!B84,P84)</f>
      </c>
    </row>
    <row r="86" spans="1:16" x14ac:dyDescent="0.25">
      <c r="A86">
        <f>IF(OR('R.M Billets Reports'!A85="Date-",'R.M Billets Reports'!A85="Date:-"),IF(IF(IF(ISNUMBER(SEARCH("Party Name:-",'R.M Billets Reports'!D85)),TRIM('R.M Billets Reports'!F85),IF(ISNUMBER(SEARCH("Party Name-",'R.M Billets Reports'!D85)),TRIM(MID('R.M Billets Reports'!D85,SEARCH("-",'R.M Billets Reports'!D85)+1,200)),""))&lt;&gt;"",IF(ISNUMBER(SEARCH("Party Name:-",'R.M Billets Reports'!D85)),TRIM('R.M Billets Reports'!F85),IF(ISNUMBER(SEARCH("Party Name-",'R.M Billets Reports'!D85)),TRIM(MID('R.M Billets Reports'!D85,SEARCH("-",'R.M Billets Reports'!D85)+1,200)),"")),IF(ISNUMBER(SEARCH("Party Name:-",'R.M Billets Reports'!D86)),TRIM('R.M Billets Reports'!F86),IF(ISNUMBER(SEARCH("Party Name-",'R.M Billets Reports'!D86)),TRIM(MID('R.M Billets Reports'!D86,SEARCH("-",'R.M Billets Reports'!D86)+1,200)),"")))="VRKP ISPAT PVT LTD","VRKP",IF(IF(IF(ISNUMBER(SEARCH("Party Name:-",'R.M Billets Reports'!D85)),TRIM('R.M Billets Reports'!F85),IF(ISNUMBER(SEARCH("Party Name-",'R.M Billets Reports'!D85)),TRIM(MID('R.M Billets Reports'!D85,SEARCH("-",'R.M Billets Reports'!D85)+1,200)),""))&lt;&gt;"",IF(ISNUMBER(SEARCH("Party Name:-",'R.M Billets Reports'!D85)),TRIM('R.M Billets Reports'!F85),IF(ISNUMBER(SEARCH("Party Name-",'R.M Billets Reports'!D85)),TRIM(MID('R.M Billets Reports'!D85,SEARCH("-",'R.M Billets Reports'!D85)+1,200)),"")),IF(ISNUMBER(SEARCH("Party Name:-",'R.M Billets Reports'!D86)),TRIM('R.M Billets Reports'!F86),IF(ISNUMBER(SEARCH("Party Name-",'R.M Billets Reports'!D86)),TRIM(MID('R.M Billets Reports'!D86,SEARCH("-",'R.M Billets Reports'!D86)+1,200)),"")))="SHRI RADHE","SHREE RADHE",IF(IF(IF(ISNUMBER(SEARCH("Party Name:-",'R.M Billets Reports'!D85)),TRIM('R.M Billets Reports'!F85),IF(ISNUMBER(SEARCH("Party Name-",'R.M Billets Reports'!D85)),TRIM(MID('R.M Billets Reports'!D85,SEARCH("-",'R.M Billets Reports'!D85)+1,200)),""))&lt;&gt;"",IF(ISNUMBER(SEARCH("Party Name:-",'R.M Billets Reports'!D85)),TRIM('R.M Billets Reports'!F85),IF(ISNUMBER(SEARCH("Party Name-",'R.M Billets Reports'!D85)),TRIM(MID('R.M Billets Reports'!D85,SEARCH("-",'R.M Billets Reports'!D85)+1,200)),"")),IF(ISNUMBER(SEARCH("Party Name:-",'R.M Billets Reports'!D86)),TRIM('R.M Billets Reports'!F86),IF(ISNUMBER(SEARCH("Party Name-",'R.M Billets Reports'!D86)),TRIM(MID('R.M Billets Reports'!D86,SEARCH("-",'R.M Billets Reports'!D86)+1,200)),"")))="SHREE RADHE SHAKTI SPONGE AND POWER PVT. LTD.","SHREE RADHE",IF(IF(ISNUMBER(SEARCH("Party Name:-",'R.M Billets Reports'!D85)),TRIM('R.M Billets Reports'!F85),IF(ISNUMBER(SEARCH("Party Name-",'R.M Billets Reports'!D85)),TRIM(MID('R.M Billets Reports'!D85,SEARCH("-",'R.M Billets Reports'!D85)+1,200)),""))&lt;&gt;"",IF(ISNUMBER(SEARCH("Party Name:-",'R.M Billets Reports'!D85)),TRIM('R.M Billets Reports'!F85),IF(ISNUMBER(SEARCH("Party Name-",'R.M Billets Reports'!D85)),TRIM(MID('R.M Billets Reports'!D85,SEARCH("-",'R.M Billets Reports'!D85)+1,200)),"")),IF(ISNUMBER(SEARCH("Party Name:-",'R.M Billets Reports'!D86)),TRIM('R.M Billets Reports'!F86),IF(ISNUMBER(SEARCH("Party Name-",'R.M Billets Reports'!D86)),TRIM(MID('R.M Billets Reports'!D86,SEARCH("-",'R.M Billets Reports'!D86)+1,200)),"")))))),IF(ROW()=2,"",A85))</f>
      </c>
      <c r="B86">
        <f>IF(OR('R.M Billets Reports'!A85="Date-",'R.M Billets Reports'!A85="Date:-"),'R.M Billets Reports'!B85,IF(ROW()=2,"",B85))</f>
      </c>
      <c r="C86">
        <f>IF('R.M Billets Reports'!A85="V.No.",'R.M Billets Reports'!B85,IF(ROW()=2,"",C85))</f>
      </c>
      <c r="D86">
        <f>IF('R.M Billets Reports'!A85&lt;&gt;"",'R.M Billets Reports'!A85,IF(ROW()=2,"",D85))</f>
      </c>
      <c r="E86">
        <f>IF('R.M Billets Reports'!B85="","",TRIM('R.M Billets Reports'!B85))</f>
      </c>
      <c r="F86">
        <f>'R.M Billets Reports'!C85</f>
      </c>
      <c r="G86">
        <f>'R.M Billets Reports'!D85</f>
      </c>
      <c r="H86">
        <f>'R.M Billets Reports'!E85</f>
      </c>
      <c r="I86">
        <f>'R.M Billets Reports'!F85</f>
      </c>
      <c r="J86">
        <f>'R.M Billets Reports'!G85</f>
      </c>
      <c r="K86">
        <f>'R.M Billets Reports'!H85</f>
      </c>
      <c r="L86">
        <f>IF('R.M Billets Reports'!I85="","",'R.M Billets Reports'!I85)</f>
      </c>
      <c r="M86">
        <f t="shared" si="2"/>
      </c>
      <c r="N86">
        <f>IF('R.M Billets Reports'!J85="","",'R.M Billets Reports'!J85)</f>
      </c>
      <c r="O86">
        <f t="shared" si="3"/>
      </c>
      <c r="P86">
        <f>IF('R.M Billets Reports'!A85="SIZE",'R.M Billets Reports'!B85,P85)</f>
      </c>
    </row>
    <row r="87" spans="1:16" x14ac:dyDescent="0.25">
      <c r="A87">
        <f>IF(OR('R.M Billets Reports'!A86="Date-",'R.M Billets Reports'!A86="Date:-"),IF(IF(IF(ISNUMBER(SEARCH("Party Name:-",'R.M Billets Reports'!D86)),TRIM('R.M Billets Reports'!F86),IF(ISNUMBER(SEARCH("Party Name-",'R.M Billets Reports'!D86)),TRIM(MID('R.M Billets Reports'!D86,SEARCH("-",'R.M Billets Reports'!D86)+1,200)),""))&lt;&gt;"",IF(ISNUMBER(SEARCH("Party Name:-",'R.M Billets Reports'!D86)),TRIM('R.M Billets Reports'!F86),IF(ISNUMBER(SEARCH("Party Name-",'R.M Billets Reports'!D86)),TRIM(MID('R.M Billets Reports'!D86,SEARCH("-",'R.M Billets Reports'!D86)+1,200)),"")),IF(ISNUMBER(SEARCH("Party Name:-",'R.M Billets Reports'!D87)),TRIM('R.M Billets Reports'!F87),IF(ISNUMBER(SEARCH("Party Name-",'R.M Billets Reports'!D87)),TRIM(MID('R.M Billets Reports'!D87,SEARCH("-",'R.M Billets Reports'!D87)+1,200)),"")))="VRKP ISPAT PVT LTD","VRKP",IF(IF(IF(ISNUMBER(SEARCH("Party Name:-",'R.M Billets Reports'!D86)),TRIM('R.M Billets Reports'!F86),IF(ISNUMBER(SEARCH("Party Name-",'R.M Billets Reports'!D86)),TRIM(MID('R.M Billets Reports'!D86,SEARCH("-",'R.M Billets Reports'!D86)+1,200)),""))&lt;&gt;"",IF(ISNUMBER(SEARCH("Party Name:-",'R.M Billets Reports'!D86)),TRIM('R.M Billets Reports'!F86),IF(ISNUMBER(SEARCH("Party Name-",'R.M Billets Reports'!D86)),TRIM(MID('R.M Billets Reports'!D86,SEARCH("-",'R.M Billets Reports'!D86)+1,200)),"")),IF(ISNUMBER(SEARCH("Party Name:-",'R.M Billets Reports'!D87)),TRIM('R.M Billets Reports'!F87),IF(ISNUMBER(SEARCH("Party Name-",'R.M Billets Reports'!D87)),TRIM(MID('R.M Billets Reports'!D87,SEARCH("-",'R.M Billets Reports'!D87)+1,200)),"")))="SHRI RADHE","SHREE RADHE",IF(IF(IF(ISNUMBER(SEARCH("Party Name:-",'R.M Billets Reports'!D86)),TRIM('R.M Billets Reports'!F86),IF(ISNUMBER(SEARCH("Party Name-",'R.M Billets Reports'!D86)),TRIM(MID('R.M Billets Reports'!D86,SEARCH("-",'R.M Billets Reports'!D86)+1,200)),""))&lt;&gt;"",IF(ISNUMBER(SEARCH("Party Name:-",'R.M Billets Reports'!D86)),TRIM('R.M Billets Reports'!F86),IF(ISNUMBER(SEARCH("Party Name-",'R.M Billets Reports'!D86)),TRIM(MID('R.M Billets Reports'!D86,SEARCH("-",'R.M Billets Reports'!D86)+1,200)),"")),IF(ISNUMBER(SEARCH("Party Name:-",'R.M Billets Reports'!D87)),TRIM('R.M Billets Reports'!F87),IF(ISNUMBER(SEARCH("Party Name-",'R.M Billets Reports'!D87)),TRIM(MID('R.M Billets Reports'!D87,SEARCH("-",'R.M Billets Reports'!D87)+1,200)),"")))="SHREE RADHE SHAKTI SPONGE AND POWER PVT. LTD.","SHREE RADHE",IF(IF(ISNUMBER(SEARCH("Party Name:-",'R.M Billets Reports'!D86)),TRIM('R.M Billets Reports'!F86),IF(ISNUMBER(SEARCH("Party Name-",'R.M Billets Reports'!D86)),TRIM(MID('R.M Billets Reports'!D86,SEARCH("-",'R.M Billets Reports'!D86)+1,200)),""))&lt;&gt;"",IF(ISNUMBER(SEARCH("Party Name:-",'R.M Billets Reports'!D86)),TRIM('R.M Billets Reports'!F86),IF(ISNUMBER(SEARCH("Party Name-",'R.M Billets Reports'!D86)),TRIM(MID('R.M Billets Reports'!D86,SEARCH("-",'R.M Billets Reports'!D86)+1,200)),"")),IF(ISNUMBER(SEARCH("Party Name:-",'R.M Billets Reports'!D87)),TRIM('R.M Billets Reports'!F87),IF(ISNUMBER(SEARCH("Party Name-",'R.M Billets Reports'!D87)),TRIM(MID('R.M Billets Reports'!D87,SEARCH("-",'R.M Billets Reports'!D87)+1,200)),"")))))),IF(ROW()=2,"",A86))</f>
      </c>
      <c r="B87">
        <f>IF(OR('R.M Billets Reports'!A86="Date-",'R.M Billets Reports'!A86="Date:-"),'R.M Billets Reports'!B86,IF(ROW()=2,"",B86))</f>
      </c>
      <c r="C87">
        <f>IF('R.M Billets Reports'!A86="V.No.",'R.M Billets Reports'!B86,IF(ROW()=2,"",C86))</f>
      </c>
      <c r="D87">
        <f>IF('R.M Billets Reports'!A86&lt;&gt;"",'R.M Billets Reports'!A86,IF(ROW()=2,"",D86))</f>
      </c>
      <c r="E87">
        <f>IF('R.M Billets Reports'!B86="","",TRIM('R.M Billets Reports'!B86))</f>
      </c>
      <c r="F87">
        <f>'R.M Billets Reports'!C86</f>
      </c>
      <c r="G87">
        <f>'R.M Billets Reports'!D86</f>
      </c>
      <c r="H87">
        <f>'R.M Billets Reports'!E86</f>
      </c>
      <c r="I87">
        <f>'R.M Billets Reports'!F86</f>
      </c>
      <c r="J87">
        <f>'R.M Billets Reports'!G86</f>
      </c>
      <c r="K87">
        <f>'R.M Billets Reports'!H86</f>
      </c>
      <c r="L87">
        <f>IF('R.M Billets Reports'!I86="","",'R.M Billets Reports'!I86)</f>
      </c>
      <c r="M87">
        <f t="shared" si="2"/>
      </c>
      <c r="N87">
        <f>IF('R.M Billets Reports'!J86="","",'R.M Billets Reports'!J86)</f>
      </c>
      <c r="O87">
        <f t="shared" si="3"/>
      </c>
      <c r="P87">
        <f>IF('R.M Billets Reports'!A86="SIZE",'R.M Billets Reports'!B86,P86)</f>
      </c>
    </row>
    <row r="88" spans="1:16" x14ac:dyDescent="0.25">
      <c r="A88">
        <f>IF(OR('R.M Billets Reports'!A87="Date-",'R.M Billets Reports'!A87="Date:-"),IF(IF(IF(ISNUMBER(SEARCH("Party Name:-",'R.M Billets Reports'!D87)),TRIM('R.M Billets Reports'!F87),IF(ISNUMBER(SEARCH("Party Name-",'R.M Billets Reports'!D87)),TRIM(MID('R.M Billets Reports'!D87,SEARCH("-",'R.M Billets Reports'!D87)+1,200)),""))&lt;&gt;"",IF(ISNUMBER(SEARCH("Party Name:-",'R.M Billets Reports'!D87)),TRIM('R.M Billets Reports'!F87),IF(ISNUMBER(SEARCH("Party Name-",'R.M Billets Reports'!D87)),TRIM(MID('R.M Billets Reports'!D87,SEARCH("-",'R.M Billets Reports'!D87)+1,200)),"")),IF(ISNUMBER(SEARCH("Party Name:-",'R.M Billets Reports'!D88)),TRIM('R.M Billets Reports'!F88),IF(ISNUMBER(SEARCH("Party Name-",'R.M Billets Reports'!D88)),TRIM(MID('R.M Billets Reports'!D88,SEARCH("-",'R.M Billets Reports'!D88)+1,200)),"")))="VRKP ISPAT PVT LTD","VRKP",IF(IF(IF(ISNUMBER(SEARCH("Party Name:-",'R.M Billets Reports'!D87)),TRIM('R.M Billets Reports'!F87),IF(ISNUMBER(SEARCH("Party Name-",'R.M Billets Reports'!D87)),TRIM(MID('R.M Billets Reports'!D87,SEARCH("-",'R.M Billets Reports'!D87)+1,200)),""))&lt;&gt;"",IF(ISNUMBER(SEARCH("Party Name:-",'R.M Billets Reports'!D87)),TRIM('R.M Billets Reports'!F87),IF(ISNUMBER(SEARCH("Party Name-",'R.M Billets Reports'!D87)),TRIM(MID('R.M Billets Reports'!D87,SEARCH("-",'R.M Billets Reports'!D87)+1,200)),"")),IF(ISNUMBER(SEARCH("Party Name:-",'R.M Billets Reports'!D88)),TRIM('R.M Billets Reports'!F88),IF(ISNUMBER(SEARCH("Party Name-",'R.M Billets Reports'!D88)),TRIM(MID('R.M Billets Reports'!D88,SEARCH("-",'R.M Billets Reports'!D88)+1,200)),"")))="SHRI RADHE","SHREE RADHE",IF(IF(IF(ISNUMBER(SEARCH("Party Name:-",'R.M Billets Reports'!D87)),TRIM('R.M Billets Reports'!F87),IF(ISNUMBER(SEARCH("Party Name-",'R.M Billets Reports'!D87)),TRIM(MID('R.M Billets Reports'!D87,SEARCH("-",'R.M Billets Reports'!D87)+1,200)),""))&lt;&gt;"",IF(ISNUMBER(SEARCH("Party Name:-",'R.M Billets Reports'!D87)),TRIM('R.M Billets Reports'!F87),IF(ISNUMBER(SEARCH("Party Name-",'R.M Billets Reports'!D87)),TRIM(MID('R.M Billets Reports'!D87,SEARCH("-",'R.M Billets Reports'!D87)+1,200)),"")),IF(ISNUMBER(SEARCH("Party Name:-",'R.M Billets Reports'!D88)),TRIM('R.M Billets Reports'!F88),IF(ISNUMBER(SEARCH("Party Name-",'R.M Billets Reports'!D88)),TRIM(MID('R.M Billets Reports'!D88,SEARCH("-",'R.M Billets Reports'!D88)+1,200)),"")))="SHREE RADHE SHAKTI SPONGE AND POWER PVT. LTD.","SHREE RADHE",IF(IF(ISNUMBER(SEARCH("Party Name:-",'R.M Billets Reports'!D87)),TRIM('R.M Billets Reports'!F87),IF(ISNUMBER(SEARCH("Party Name-",'R.M Billets Reports'!D87)),TRIM(MID('R.M Billets Reports'!D87,SEARCH("-",'R.M Billets Reports'!D87)+1,200)),""))&lt;&gt;"",IF(ISNUMBER(SEARCH("Party Name:-",'R.M Billets Reports'!D87)),TRIM('R.M Billets Reports'!F87),IF(ISNUMBER(SEARCH("Party Name-",'R.M Billets Reports'!D87)),TRIM(MID('R.M Billets Reports'!D87,SEARCH("-",'R.M Billets Reports'!D87)+1,200)),"")),IF(ISNUMBER(SEARCH("Party Name:-",'R.M Billets Reports'!D88)),TRIM('R.M Billets Reports'!F88),IF(ISNUMBER(SEARCH("Party Name-",'R.M Billets Reports'!D88)),TRIM(MID('R.M Billets Reports'!D88,SEARCH("-",'R.M Billets Reports'!D88)+1,200)),"")))))),IF(ROW()=2,"",A87))</f>
      </c>
      <c r="B88">
        <f>IF(OR('R.M Billets Reports'!A87="Date-",'R.M Billets Reports'!A87="Date:-"),'R.M Billets Reports'!B87,IF(ROW()=2,"",B87))</f>
      </c>
      <c r="C88">
        <f>IF('R.M Billets Reports'!A87="V.No.",'R.M Billets Reports'!B87,IF(ROW()=2,"",C87))</f>
      </c>
      <c r="D88">
        <f>IF('R.M Billets Reports'!A87&lt;&gt;"",'R.M Billets Reports'!A87,IF(ROW()=2,"",D87))</f>
      </c>
      <c r="E88">
        <f>IF('R.M Billets Reports'!B87="","",TRIM('R.M Billets Reports'!B87))</f>
      </c>
      <c r="F88">
        <f>'R.M Billets Reports'!C87</f>
      </c>
      <c r="G88">
        <f>'R.M Billets Reports'!D87</f>
      </c>
      <c r="H88">
        <f>'R.M Billets Reports'!E87</f>
      </c>
      <c r="I88">
        <f>'R.M Billets Reports'!F87</f>
      </c>
      <c r="J88">
        <f>'R.M Billets Reports'!G87</f>
      </c>
      <c r="K88">
        <f>'R.M Billets Reports'!H87</f>
      </c>
      <c r="L88">
        <f>IF('R.M Billets Reports'!I87="","",'R.M Billets Reports'!I87)</f>
      </c>
      <c r="M88">
        <f t="shared" si="2"/>
      </c>
      <c r="N88">
        <f>IF('R.M Billets Reports'!J87="","",'R.M Billets Reports'!J87)</f>
      </c>
      <c r="O88">
        <f t="shared" si="3"/>
      </c>
      <c r="P88">
        <f>IF('R.M Billets Reports'!A87="SIZE",'R.M Billets Reports'!B87,P87)</f>
      </c>
    </row>
    <row r="89" spans="1:16" x14ac:dyDescent="0.25">
      <c r="A89">
        <f>IF(OR('R.M Billets Reports'!A88="Date-",'R.M Billets Reports'!A88="Date:-"),IF(IF(IF(ISNUMBER(SEARCH("Party Name:-",'R.M Billets Reports'!D88)),TRIM('R.M Billets Reports'!F88),IF(ISNUMBER(SEARCH("Party Name-",'R.M Billets Reports'!D88)),TRIM(MID('R.M Billets Reports'!D88,SEARCH("-",'R.M Billets Reports'!D88)+1,200)),""))&lt;&gt;"",IF(ISNUMBER(SEARCH("Party Name:-",'R.M Billets Reports'!D88)),TRIM('R.M Billets Reports'!F88),IF(ISNUMBER(SEARCH("Party Name-",'R.M Billets Reports'!D88)),TRIM(MID('R.M Billets Reports'!D88,SEARCH("-",'R.M Billets Reports'!D88)+1,200)),"")),IF(ISNUMBER(SEARCH("Party Name:-",'R.M Billets Reports'!D89)),TRIM('R.M Billets Reports'!F89),IF(ISNUMBER(SEARCH("Party Name-",'R.M Billets Reports'!D89)),TRIM(MID('R.M Billets Reports'!D89,SEARCH("-",'R.M Billets Reports'!D89)+1,200)),"")))="VRKP ISPAT PVT LTD","VRKP",IF(IF(IF(ISNUMBER(SEARCH("Party Name:-",'R.M Billets Reports'!D88)),TRIM('R.M Billets Reports'!F88),IF(ISNUMBER(SEARCH("Party Name-",'R.M Billets Reports'!D88)),TRIM(MID('R.M Billets Reports'!D88,SEARCH("-",'R.M Billets Reports'!D88)+1,200)),""))&lt;&gt;"",IF(ISNUMBER(SEARCH("Party Name:-",'R.M Billets Reports'!D88)),TRIM('R.M Billets Reports'!F88),IF(ISNUMBER(SEARCH("Party Name-",'R.M Billets Reports'!D88)),TRIM(MID('R.M Billets Reports'!D88,SEARCH("-",'R.M Billets Reports'!D88)+1,200)),"")),IF(ISNUMBER(SEARCH("Party Name:-",'R.M Billets Reports'!D89)),TRIM('R.M Billets Reports'!F89),IF(ISNUMBER(SEARCH("Party Name-",'R.M Billets Reports'!D89)),TRIM(MID('R.M Billets Reports'!D89,SEARCH("-",'R.M Billets Reports'!D89)+1,200)),"")))="SHRI RADHE","SHREE RADHE",IF(IF(IF(ISNUMBER(SEARCH("Party Name:-",'R.M Billets Reports'!D88)),TRIM('R.M Billets Reports'!F88),IF(ISNUMBER(SEARCH("Party Name-",'R.M Billets Reports'!D88)),TRIM(MID('R.M Billets Reports'!D88,SEARCH("-",'R.M Billets Reports'!D88)+1,200)),""))&lt;&gt;"",IF(ISNUMBER(SEARCH("Party Name:-",'R.M Billets Reports'!D88)),TRIM('R.M Billets Reports'!F88),IF(ISNUMBER(SEARCH("Party Name-",'R.M Billets Reports'!D88)),TRIM(MID('R.M Billets Reports'!D88,SEARCH("-",'R.M Billets Reports'!D88)+1,200)),"")),IF(ISNUMBER(SEARCH("Party Name:-",'R.M Billets Reports'!D89)),TRIM('R.M Billets Reports'!F89),IF(ISNUMBER(SEARCH("Party Name-",'R.M Billets Reports'!D89)),TRIM(MID('R.M Billets Reports'!D89,SEARCH("-",'R.M Billets Reports'!D89)+1,200)),"")))="SHREE RADHE SHAKTI SPONGE AND POWER PVT. LTD.","SHREE RADHE",IF(IF(ISNUMBER(SEARCH("Party Name:-",'R.M Billets Reports'!D88)),TRIM('R.M Billets Reports'!F88),IF(ISNUMBER(SEARCH("Party Name-",'R.M Billets Reports'!D88)),TRIM(MID('R.M Billets Reports'!D88,SEARCH("-",'R.M Billets Reports'!D88)+1,200)),""))&lt;&gt;"",IF(ISNUMBER(SEARCH("Party Name:-",'R.M Billets Reports'!D88)),TRIM('R.M Billets Reports'!F88),IF(ISNUMBER(SEARCH("Party Name-",'R.M Billets Reports'!D88)),TRIM(MID('R.M Billets Reports'!D88,SEARCH("-",'R.M Billets Reports'!D88)+1,200)),"")),IF(ISNUMBER(SEARCH("Party Name:-",'R.M Billets Reports'!D89)),TRIM('R.M Billets Reports'!F89),IF(ISNUMBER(SEARCH("Party Name-",'R.M Billets Reports'!D89)),TRIM(MID('R.M Billets Reports'!D89,SEARCH("-",'R.M Billets Reports'!D89)+1,200)),"")))))),IF(ROW()=2,"",A88))</f>
      </c>
      <c r="B89">
        <f>IF(OR('R.M Billets Reports'!A88="Date-",'R.M Billets Reports'!A88="Date:-"),'R.M Billets Reports'!B88,IF(ROW()=2,"",B88))</f>
      </c>
      <c r="C89">
        <f>IF('R.M Billets Reports'!A88="V.No.",'R.M Billets Reports'!B88,IF(ROW()=2,"",C88))</f>
      </c>
      <c r="D89">
        <f>IF('R.M Billets Reports'!A88&lt;&gt;"",'R.M Billets Reports'!A88,IF(ROW()=2,"",D88))</f>
      </c>
      <c r="E89">
        <f>IF('R.M Billets Reports'!B88="","",TRIM('R.M Billets Reports'!B88))</f>
      </c>
      <c r="F89">
        <f>'R.M Billets Reports'!C88</f>
      </c>
      <c r="G89">
        <f>'R.M Billets Reports'!D88</f>
      </c>
      <c r="H89">
        <f>'R.M Billets Reports'!E88</f>
      </c>
      <c r="I89">
        <f>'R.M Billets Reports'!F88</f>
      </c>
      <c r="J89">
        <f>'R.M Billets Reports'!G88</f>
      </c>
      <c r="K89">
        <f>'R.M Billets Reports'!H88</f>
      </c>
      <c r="L89">
        <f>IF('R.M Billets Reports'!I88="","",'R.M Billets Reports'!I88)</f>
      </c>
      <c r="M89">
        <f t="shared" si="2"/>
      </c>
      <c r="N89">
        <f>IF('R.M Billets Reports'!J88="","",'R.M Billets Reports'!J88)</f>
      </c>
      <c r="O89">
        <f t="shared" si="3"/>
      </c>
      <c r="P89">
        <f>IF('R.M Billets Reports'!A88="SIZE",'R.M Billets Reports'!B88,P88)</f>
      </c>
    </row>
    <row r="90" spans="1:16" x14ac:dyDescent="0.25">
      <c r="A90">
        <f>IF(OR('R.M Billets Reports'!A89="Date-",'R.M Billets Reports'!A89="Date:-"),IF(IF(IF(ISNUMBER(SEARCH("Party Name:-",'R.M Billets Reports'!D89)),TRIM('R.M Billets Reports'!F89),IF(ISNUMBER(SEARCH("Party Name-",'R.M Billets Reports'!D89)),TRIM(MID('R.M Billets Reports'!D89,SEARCH("-",'R.M Billets Reports'!D89)+1,200)),""))&lt;&gt;"",IF(ISNUMBER(SEARCH("Party Name:-",'R.M Billets Reports'!D89)),TRIM('R.M Billets Reports'!F89),IF(ISNUMBER(SEARCH("Party Name-",'R.M Billets Reports'!D89)),TRIM(MID('R.M Billets Reports'!D89,SEARCH("-",'R.M Billets Reports'!D89)+1,200)),"")),IF(ISNUMBER(SEARCH("Party Name:-",'R.M Billets Reports'!D90)),TRIM('R.M Billets Reports'!F90),IF(ISNUMBER(SEARCH("Party Name-",'R.M Billets Reports'!D90)),TRIM(MID('R.M Billets Reports'!D90,SEARCH("-",'R.M Billets Reports'!D90)+1,200)),"")))="VRKP ISPAT PVT LTD","VRKP",IF(IF(IF(ISNUMBER(SEARCH("Party Name:-",'R.M Billets Reports'!D89)),TRIM('R.M Billets Reports'!F89),IF(ISNUMBER(SEARCH("Party Name-",'R.M Billets Reports'!D89)),TRIM(MID('R.M Billets Reports'!D89,SEARCH("-",'R.M Billets Reports'!D89)+1,200)),""))&lt;&gt;"",IF(ISNUMBER(SEARCH("Party Name:-",'R.M Billets Reports'!D89)),TRIM('R.M Billets Reports'!F89),IF(ISNUMBER(SEARCH("Party Name-",'R.M Billets Reports'!D89)),TRIM(MID('R.M Billets Reports'!D89,SEARCH("-",'R.M Billets Reports'!D89)+1,200)),"")),IF(ISNUMBER(SEARCH("Party Name:-",'R.M Billets Reports'!D90)),TRIM('R.M Billets Reports'!F90),IF(ISNUMBER(SEARCH("Party Name-",'R.M Billets Reports'!D90)),TRIM(MID('R.M Billets Reports'!D90,SEARCH("-",'R.M Billets Reports'!D90)+1,200)),"")))="SHRI RADHE","SHREE RADHE",IF(IF(IF(ISNUMBER(SEARCH("Party Name:-",'R.M Billets Reports'!D89)),TRIM('R.M Billets Reports'!F89),IF(ISNUMBER(SEARCH("Party Name-",'R.M Billets Reports'!D89)),TRIM(MID('R.M Billets Reports'!D89,SEARCH("-",'R.M Billets Reports'!D89)+1,200)),""))&lt;&gt;"",IF(ISNUMBER(SEARCH("Party Name:-",'R.M Billets Reports'!D89)),TRIM('R.M Billets Reports'!F89),IF(ISNUMBER(SEARCH("Party Name-",'R.M Billets Reports'!D89)),TRIM(MID('R.M Billets Reports'!D89,SEARCH("-",'R.M Billets Reports'!D89)+1,200)),"")),IF(ISNUMBER(SEARCH("Party Name:-",'R.M Billets Reports'!D90)),TRIM('R.M Billets Reports'!F90),IF(ISNUMBER(SEARCH("Party Name-",'R.M Billets Reports'!D90)),TRIM(MID('R.M Billets Reports'!D90,SEARCH("-",'R.M Billets Reports'!D90)+1,200)),"")))="SHREE RADHE SHAKTI SPONGE AND POWER PVT. LTD.","SHREE RADHE",IF(IF(ISNUMBER(SEARCH("Party Name:-",'R.M Billets Reports'!D89)),TRIM('R.M Billets Reports'!F89),IF(ISNUMBER(SEARCH("Party Name-",'R.M Billets Reports'!D89)),TRIM(MID('R.M Billets Reports'!D89,SEARCH("-",'R.M Billets Reports'!D89)+1,200)),""))&lt;&gt;"",IF(ISNUMBER(SEARCH("Party Name:-",'R.M Billets Reports'!D89)),TRIM('R.M Billets Reports'!F89),IF(ISNUMBER(SEARCH("Party Name-",'R.M Billets Reports'!D89)),TRIM(MID('R.M Billets Reports'!D89,SEARCH("-",'R.M Billets Reports'!D89)+1,200)),"")),IF(ISNUMBER(SEARCH("Party Name:-",'R.M Billets Reports'!D90)),TRIM('R.M Billets Reports'!F90),IF(ISNUMBER(SEARCH("Party Name-",'R.M Billets Reports'!D90)),TRIM(MID('R.M Billets Reports'!D90,SEARCH("-",'R.M Billets Reports'!D90)+1,200)),"")))))),IF(ROW()=2,"",A89))</f>
      </c>
      <c r="B90">
        <f>IF(OR('R.M Billets Reports'!A89="Date-",'R.M Billets Reports'!A89="Date:-"),'R.M Billets Reports'!B89,IF(ROW()=2,"",B89))</f>
      </c>
      <c r="C90">
        <f>IF('R.M Billets Reports'!A89="V.No.",'R.M Billets Reports'!B89,IF(ROW()=2,"",C89))</f>
      </c>
      <c r="D90">
        <f>IF('R.M Billets Reports'!A89&lt;&gt;"",'R.M Billets Reports'!A89,IF(ROW()=2,"",D89))</f>
      </c>
      <c r="E90">
        <f>IF('R.M Billets Reports'!B89="","",TRIM('R.M Billets Reports'!B89))</f>
      </c>
      <c r="F90">
        <f>'R.M Billets Reports'!C89</f>
      </c>
      <c r="G90">
        <f>'R.M Billets Reports'!D89</f>
      </c>
      <c r="H90">
        <f>'R.M Billets Reports'!E89</f>
      </c>
      <c r="I90">
        <f>'R.M Billets Reports'!F89</f>
      </c>
      <c r="J90">
        <f>'R.M Billets Reports'!G89</f>
      </c>
      <c r="K90">
        <f>'R.M Billets Reports'!H89</f>
      </c>
      <c r="L90">
        <f>IF('R.M Billets Reports'!I89="","",'R.M Billets Reports'!I89)</f>
      </c>
      <c r="M90">
        <f t="shared" si="2"/>
      </c>
      <c r="N90">
        <f>IF('R.M Billets Reports'!J89="","",'R.M Billets Reports'!J89)</f>
      </c>
      <c r="O90">
        <f t="shared" si="3"/>
      </c>
      <c r="P90">
        <f>IF('R.M Billets Reports'!A89="SIZE",'R.M Billets Reports'!B89,P89)</f>
      </c>
    </row>
    <row r="91" spans="1:16" x14ac:dyDescent="0.25">
      <c r="A91">
        <f>IF(OR('R.M Billets Reports'!A90="Date-",'R.M Billets Reports'!A90="Date:-"),IF(IF(IF(ISNUMBER(SEARCH("Party Name:-",'R.M Billets Reports'!D90)),TRIM('R.M Billets Reports'!F90),IF(ISNUMBER(SEARCH("Party Name-",'R.M Billets Reports'!D90)),TRIM(MID('R.M Billets Reports'!D90,SEARCH("-",'R.M Billets Reports'!D90)+1,200)),""))&lt;&gt;"",IF(ISNUMBER(SEARCH("Party Name:-",'R.M Billets Reports'!D90)),TRIM('R.M Billets Reports'!F90),IF(ISNUMBER(SEARCH("Party Name-",'R.M Billets Reports'!D90)),TRIM(MID('R.M Billets Reports'!D90,SEARCH("-",'R.M Billets Reports'!D90)+1,200)),"")),IF(ISNUMBER(SEARCH("Party Name:-",'R.M Billets Reports'!D91)),TRIM('R.M Billets Reports'!F91),IF(ISNUMBER(SEARCH("Party Name-",'R.M Billets Reports'!D91)),TRIM(MID('R.M Billets Reports'!D91,SEARCH("-",'R.M Billets Reports'!D91)+1,200)),"")))="VRKP ISPAT PVT LTD","VRKP",IF(IF(IF(ISNUMBER(SEARCH("Party Name:-",'R.M Billets Reports'!D90)),TRIM('R.M Billets Reports'!F90),IF(ISNUMBER(SEARCH("Party Name-",'R.M Billets Reports'!D90)),TRIM(MID('R.M Billets Reports'!D90,SEARCH("-",'R.M Billets Reports'!D90)+1,200)),""))&lt;&gt;"",IF(ISNUMBER(SEARCH("Party Name:-",'R.M Billets Reports'!D90)),TRIM('R.M Billets Reports'!F90),IF(ISNUMBER(SEARCH("Party Name-",'R.M Billets Reports'!D90)),TRIM(MID('R.M Billets Reports'!D90,SEARCH("-",'R.M Billets Reports'!D90)+1,200)),"")),IF(ISNUMBER(SEARCH("Party Name:-",'R.M Billets Reports'!D91)),TRIM('R.M Billets Reports'!F91),IF(ISNUMBER(SEARCH("Party Name-",'R.M Billets Reports'!D91)),TRIM(MID('R.M Billets Reports'!D91,SEARCH("-",'R.M Billets Reports'!D91)+1,200)),"")))="SHRI RADHE","SHREE RADHE",IF(IF(IF(ISNUMBER(SEARCH("Party Name:-",'R.M Billets Reports'!D90)),TRIM('R.M Billets Reports'!F90),IF(ISNUMBER(SEARCH("Party Name-",'R.M Billets Reports'!D90)),TRIM(MID('R.M Billets Reports'!D90,SEARCH("-",'R.M Billets Reports'!D90)+1,200)),""))&lt;&gt;"",IF(ISNUMBER(SEARCH("Party Name:-",'R.M Billets Reports'!D90)),TRIM('R.M Billets Reports'!F90),IF(ISNUMBER(SEARCH("Party Name-",'R.M Billets Reports'!D90)),TRIM(MID('R.M Billets Reports'!D90,SEARCH("-",'R.M Billets Reports'!D90)+1,200)),"")),IF(ISNUMBER(SEARCH("Party Name:-",'R.M Billets Reports'!D91)),TRIM('R.M Billets Reports'!F91),IF(ISNUMBER(SEARCH("Party Name-",'R.M Billets Reports'!D91)),TRIM(MID('R.M Billets Reports'!D91,SEARCH("-",'R.M Billets Reports'!D91)+1,200)),"")))="SHREE RADHE SHAKTI SPONGE AND POWER PVT. LTD.","SHREE RADHE",IF(IF(ISNUMBER(SEARCH("Party Name:-",'R.M Billets Reports'!D90)),TRIM('R.M Billets Reports'!F90),IF(ISNUMBER(SEARCH("Party Name-",'R.M Billets Reports'!D90)),TRIM(MID('R.M Billets Reports'!D90,SEARCH("-",'R.M Billets Reports'!D90)+1,200)),""))&lt;&gt;"",IF(ISNUMBER(SEARCH("Party Name:-",'R.M Billets Reports'!D90)),TRIM('R.M Billets Reports'!F90),IF(ISNUMBER(SEARCH("Party Name-",'R.M Billets Reports'!D90)),TRIM(MID('R.M Billets Reports'!D90,SEARCH("-",'R.M Billets Reports'!D90)+1,200)),"")),IF(ISNUMBER(SEARCH("Party Name:-",'R.M Billets Reports'!D91)),TRIM('R.M Billets Reports'!F91),IF(ISNUMBER(SEARCH("Party Name-",'R.M Billets Reports'!D91)),TRIM(MID('R.M Billets Reports'!D91,SEARCH("-",'R.M Billets Reports'!D91)+1,200)),"")))))),IF(ROW()=2,"",A90))</f>
      </c>
      <c r="B91">
        <f>IF(OR('R.M Billets Reports'!A90="Date-",'R.M Billets Reports'!A90="Date:-"),'R.M Billets Reports'!B90,IF(ROW()=2,"",B90))</f>
      </c>
      <c r="C91">
        <f>IF('R.M Billets Reports'!A90="V.No.",'R.M Billets Reports'!B90,IF(ROW()=2,"",C90))</f>
      </c>
      <c r="D91">
        <f>IF('R.M Billets Reports'!A90&lt;&gt;"",'R.M Billets Reports'!A90,IF(ROW()=2,"",D90))</f>
      </c>
      <c r="E91">
        <f>IF('R.M Billets Reports'!B90="","",TRIM('R.M Billets Reports'!B90))</f>
      </c>
      <c r="F91">
        <f>'R.M Billets Reports'!C90</f>
      </c>
      <c r="G91">
        <f>'R.M Billets Reports'!D90</f>
      </c>
      <c r="H91">
        <f>'R.M Billets Reports'!E90</f>
      </c>
      <c r="I91">
        <f>'R.M Billets Reports'!F90</f>
      </c>
      <c r="J91">
        <f>'R.M Billets Reports'!G90</f>
      </c>
      <c r="K91">
        <f>'R.M Billets Reports'!H90</f>
      </c>
      <c r="L91">
        <f>IF('R.M Billets Reports'!I90="","",'R.M Billets Reports'!I90)</f>
      </c>
      <c r="M91">
        <f t="shared" si="2"/>
      </c>
      <c r="N91">
        <f>IF('R.M Billets Reports'!J90="","",'R.M Billets Reports'!J90)</f>
      </c>
      <c r="O91">
        <f t="shared" si="3"/>
      </c>
      <c r="P91">
        <f>IF('R.M Billets Reports'!A90="SIZE",'R.M Billets Reports'!B90,P90)</f>
      </c>
    </row>
    <row r="92" spans="1:16" x14ac:dyDescent="0.25">
      <c r="A92">
        <f>IF(OR('R.M Billets Reports'!A91="Date-",'R.M Billets Reports'!A91="Date:-"),IF(IF(IF(ISNUMBER(SEARCH("Party Name:-",'R.M Billets Reports'!D91)),TRIM('R.M Billets Reports'!F91),IF(ISNUMBER(SEARCH("Party Name-",'R.M Billets Reports'!D91)),TRIM(MID('R.M Billets Reports'!D91,SEARCH("-",'R.M Billets Reports'!D91)+1,200)),""))&lt;&gt;"",IF(ISNUMBER(SEARCH("Party Name:-",'R.M Billets Reports'!D91)),TRIM('R.M Billets Reports'!F91),IF(ISNUMBER(SEARCH("Party Name-",'R.M Billets Reports'!D91)),TRIM(MID('R.M Billets Reports'!D91,SEARCH("-",'R.M Billets Reports'!D91)+1,200)),"")),IF(ISNUMBER(SEARCH("Party Name:-",'R.M Billets Reports'!D92)),TRIM('R.M Billets Reports'!F92),IF(ISNUMBER(SEARCH("Party Name-",'R.M Billets Reports'!D92)),TRIM(MID('R.M Billets Reports'!D92,SEARCH("-",'R.M Billets Reports'!D92)+1,200)),"")))="VRKP ISPAT PVT LTD","VRKP",IF(IF(IF(ISNUMBER(SEARCH("Party Name:-",'R.M Billets Reports'!D91)),TRIM('R.M Billets Reports'!F91),IF(ISNUMBER(SEARCH("Party Name-",'R.M Billets Reports'!D91)),TRIM(MID('R.M Billets Reports'!D91,SEARCH("-",'R.M Billets Reports'!D91)+1,200)),""))&lt;&gt;"",IF(ISNUMBER(SEARCH("Party Name:-",'R.M Billets Reports'!D91)),TRIM('R.M Billets Reports'!F91),IF(ISNUMBER(SEARCH("Party Name-",'R.M Billets Reports'!D91)),TRIM(MID('R.M Billets Reports'!D91,SEARCH("-",'R.M Billets Reports'!D91)+1,200)),"")),IF(ISNUMBER(SEARCH("Party Name:-",'R.M Billets Reports'!D92)),TRIM('R.M Billets Reports'!F92),IF(ISNUMBER(SEARCH("Party Name-",'R.M Billets Reports'!D92)),TRIM(MID('R.M Billets Reports'!D92,SEARCH("-",'R.M Billets Reports'!D92)+1,200)),"")))="SHRI RADHE","SHREE RADHE",IF(IF(IF(ISNUMBER(SEARCH("Party Name:-",'R.M Billets Reports'!D91)),TRIM('R.M Billets Reports'!F91),IF(ISNUMBER(SEARCH("Party Name-",'R.M Billets Reports'!D91)),TRIM(MID('R.M Billets Reports'!D91,SEARCH("-",'R.M Billets Reports'!D91)+1,200)),""))&lt;&gt;"",IF(ISNUMBER(SEARCH("Party Name:-",'R.M Billets Reports'!D91)),TRIM('R.M Billets Reports'!F91),IF(ISNUMBER(SEARCH("Party Name-",'R.M Billets Reports'!D91)),TRIM(MID('R.M Billets Reports'!D91,SEARCH("-",'R.M Billets Reports'!D91)+1,200)),"")),IF(ISNUMBER(SEARCH("Party Name:-",'R.M Billets Reports'!D92)),TRIM('R.M Billets Reports'!F92),IF(ISNUMBER(SEARCH("Party Name-",'R.M Billets Reports'!D92)),TRIM(MID('R.M Billets Reports'!D92,SEARCH("-",'R.M Billets Reports'!D92)+1,200)),"")))="SHREE RADHE SHAKTI SPONGE AND POWER PVT. LTD.","SHREE RADHE",IF(IF(ISNUMBER(SEARCH("Party Name:-",'R.M Billets Reports'!D91)),TRIM('R.M Billets Reports'!F91),IF(ISNUMBER(SEARCH("Party Name-",'R.M Billets Reports'!D91)),TRIM(MID('R.M Billets Reports'!D91,SEARCH("-",'R.M Billets Reports'!D91)+1,200)),""))&lt;&gt;"",IF(ISNUMBER(SEARCH("Party Name:-",'R.M Billets Reports'!D91)),TRIM('R.M Billets Reports'!F91),IF(ISNUMBER(SEARCH("Party Name-",'R.M Billets Reports'!D91)),TRIM(MID('R.M Billets Reports'!D91,SEARCH("-",'R.M Billets Reports'!D91)+1,200)),"")),IF(ISNUMBER(SEARCH("Party Name:-",'R.M Billets Reports'!D92)),TRIM('R.M Billets Reports'!F92),IF(ISNUMBER(SEARCH("Party Name-",'R.M Billets Reports'!D92)),TRIM(MID('R.M Billets Reports'!D92,SEARCH("-",'R.M Billets Reports'!D92)+1,200)),"")))))),IF(ROW()=2,"",A91))</f>
      </c>
      <c r="B92">
        <f>IF(OR('R.M Billets Reports'!A91="Date-",'R.M Billets Reports'!A91="Date:-"),'R.M Billets Reports'!B91,IF(ROW()=2,"",B91))</f>
      </c>
      <c r="C92">
        <f>IF('R.M Billets Reports'!A91="V.No.",'R.M Billets Reports'!B91,IF(ROW()=2,"",C91))</f>
      </c>
      <c r="D92">
        <f>IF('R.M Billets Reports'!A91&lt;&gt;"",'R.M Billets Reports'!A91,IF(ROW()=2,"",D91))</f>
      </c>
      <c r="E92">
        <f>IF('R.M Billets Reports'!B91="","",TRIM('R.M Billets Reports'!B91))</f>
      </c>
      <c r="F92">
        <f>'R.M Billets Reports'!C91</f>
      </c>
      <c r="G92">
        <f>'R.M Billets Reports'!D91</f>
      </c>
      <c r="H92">
        <f>'R.M Billets Reports'!E91</f>
      </c>
      <c r="I92">
        <f>'R.M Billets Reports'!F91</f>
      </c>
      <c r="J92">
        <f>'R.M Billets Reports'!G91</f>
      </c>
      <c r="K92">
        <f>'R.M Billets Reports'!H91</f>
      </c>
      <c r="L92">
        <f>IF('R.M Billets Reports'!I91="","",'R.M Billets Reports'!I91)</f>
      </c>
      <c r="M92">
        <f t="shared" si="2"/>
      </c>
      <c r="N92">
        <f>IF('R.M Billets Reports'!J91="","",'R.M Billets Reports'!J91)</f>
      </c>
      <c r="O92">
        <f t="shared" si="3"/>
      </c>
      <c r="P92">
        <f>IF('R.M Billets Reports'!A91="SIZE",'R.M Billets Reports'!B91,P91)</f>
      </c>
    </row>
    <row r="93" spans="1:16" x14ac:dyDescent="0.25">
      <c r="A93">
        <f>IF(OR('R.M Billets Reports'!A92="Date-",'R.M Billets Reports'!A92="Date:-"),IF(IF(IF(ISNUMBER(SEARCH("Party Name:-",'R.M Billets Reports'!D92)),TRIM('R.M Billets Reports'!F92),IF(ISNUMBER(SEARCH("Party Name-",'R.M Billets Reports'!D92)),TRIM(MID('R.M Billets Reports'!D92,SEARCH("-",'R.M Billets Reports'!D92)+1,200)),""))&lt;&gt;"",IF(ISNUMBER(SEARCH("Party Name:-",'R.M Billets Reports'!D92)),TRIM('R.M Billets Reports'!F92),IF(ISNUMBER(SEARCH("Party Name-",'R.M Billets Reports'!D92)),TRIM(MID('R.M Billets Reports'!D92,SEARCH("-",'R.M Billets Reports'!D92)+1,200)),"")),IF(ISNUMBER(SEARCH("Party Name:-",'R.M Billets Reports'!D93)),TRIM('R.M Billets Reports'!F93),IF(ISNUMBER(SEARCH("Party Name-",'R.M Billets Reports'!D93)),TRIM(MID('R.M Billets Reports'!D93,SEARCH("-",'R.M Billets Reports'!D93)+1,200)),"")))="VRKP ISPAT PVT LTD","VRKP",IF(IF(IF(ISNUMBER(SEARCH("Party Name:-",'R.M Billets Reports'!D92)),TRIM('R.M Billets Reports'!F92),IF(ISNUMBER(SEARCH("Party Name-",'R.M Billets Reports'!D92)),TRIM(MID('R.M Billets Reports'!D92,SEARCH("-",'R.M Billets Reports'!D92)+1,200)),""))&lt;&gt;"",IF(ISNUMBER(SEARCH("Party Name:-",'R.M Billets Reports'!D92)),TRIM('R.M Billets Reports'!F92),IF(ISNUMBER(SEARCH("Party Name-",'R.M Billets Reports'!D92)),TRIM(MID('R.M Billets Reports'!D92,SEARCH("-",'R.M Billets Reports'!D92)+1,200)),"")),IF(ISNUMBER(SEARCH("Party Name:-",'R.M Billets Reports'!D93)),TRIM('R.M Billets Reports'!F93),IF(ISNUMBER(SEARCH("Party Name-",'R.M Billets Reports'!D93)),TRIM(MID('R.M Billets Reports'!D93,SEARCH("-",'R.M Billets Reports'!D93)+1,200)),"")))="SHRI RADHE","SHREE RADHE",IF(IF(IF(ISNUMBER(SEARCH("Party Name:-",'R.M Billets Reports'!D92)),TRIM('R.M Billets Reports'!F92),IF(ISNUMBER(SEARCH("Party Name-",'R.M Billets Reports'!D92)),TRIM(MID('R.M Billets Reports'!D92,SEARCH("-",'R.M Billets Reports'!D92)+1,200)),""))&lt;&gt;"",IF(ISNUMBER(SEARCH("Party Name:-",'R.M Billets Reports'!D92)),TRIM('R.M Billets Reports'!F92),IF(ISNUMBER(SEARCH("Party Name-",'R.M Billets Reports'!D92)),TRIM(MID('R.M Billets Reports'!D92,SEARCH("-",'R.M Billets Reports'!D92)+1,200)),"")),IF(ISNUMBER(SEARCH("Party Name:-",'R.M Billets Reports'!D93)),TRIM('R.M Billets Reports'!F93),IF(ISNUMBER(SEARCH("Party Name-",'R.M Billets Reports'!D93)),TRIM(MID('R.M Billets Reports'!D93,SEARCH("-",'R.M Billets Reports'!D93)+1,200)),"")))="SHREE RADHE SHAKTI SPONGE AND POWER PVT. LTD.","SHREE RADHE",IF(IF(ISNUMBER(SEARCH("Party Name:-",'R.M Billets Reports'!D92)),TRIM('R.M Billets Reports'!F92),IF(ISNUMBER(SEARCH("Party Name-",'R.M Billets Reports'!D92)),TRIM(MID('R.M Billets Reports'!D92,SEARCH("-",'R.M Billets Reports'!D92)+1,200)),""))&lt;&gt;"",IF(ISNUMBER(SEARCH("Party Name:-",'R.M Billets Reports'!D92)),TRIM('R.M Billets Reports'!F92),IF(ISNUMBER(SEARCH("Party Name-",'R.M Billets Reports'!D92)),TRIM(MID('R.M Billets Reports'!D92,SEARCH("-",'R.M Billets Reports'!D92)+1,200)),"")),IF(ISNUMBER(SEARCH("Party Name:-",'R.M Billets Reports'!D93)),TRIM('R.M Billets Reports'!F93),IF(ISNUMBER(SEARCH("Party Name-",'R.M Billets Reports'!D93)),TRIM(MID('R.M Billets Reports'!D93,SEARCH("-",'R.M Billets Reports'!D93)+1,200)),"")))))),IF(ROW()=2,"",A92))</f>
      </c>
      <c r="B93">
        <f>IF(OR('R.M Billets Reports'!A92="Date-",'R.M Billets Reports'!A92="Date:-"),'R.M Billets Reports'!B92,IF(ROW()=2,"",B92))</f>
      </c>
      <c r="C93">
        <f>IF('R.M Billets Reports'!A92="V.No.",'R.M Billets Reports'!B92,IF(ROW()=2,"",C92))</f>
      </c>
      <c r="D93">
        <f>IF('R.M Billets Reports'!A92&lt;&gt;"",'R.M Billets Reports'!A92,IF(ROW()=2,"",D92))</f>
      </c>
      <c r="E93">
        <f>IF('R.M Billets Reports'!B92="","",TRIM('R.M Billets Reports'!B92))</f>
      </c>
      <c r="F93">
        <f>'R.M Billets Reports'!C92</f>
      </c>
      <c r="G93">
        <f>'R.M Billets Reports'!D92</f>
      </c>
      <c r="H93">
        <f>'R.M Billets Reports'!E92</f>
      </c>
      <c r="I93">
        <f>'R.M Billets Reports'!F92</f>
      </c>
      <c r="J93">
        <f>'R.M Billets Reports'!G92</f>
      </c>
      <c r="K93">
        <f>'R.M Billets Reports'!H92</f>
      </c>
      <c r="L93">
        <f>IF('R.M Billets Reports'!I92="","",'R.M Billets Reports'!I92)</f>
      </c>
      <c r="M93">
        <f t="shared" si="2"/>
      </c>
      <c r="N93">
        <f>IF('R.M Billets Reports'!J92="","",'R.M Billets Reports'!J92)</f>
      </c>
      <c r="O93">
        <f t="shared" si="3"/>
      </c>
      <c r="P93">
        <f>IF('R.M Billets Reports'!A92="SIZE",'R.M Billets Reports'!B92,P92)</f>
      </c>
    </row>
    <row r="94" spans="1:16" x14ac:dyDescent="0.25">
      <c r="A94">
        <f>IF(OR('R.M Billets Reports'!A93="Date-",'R.M Billets Reports'!A93="Date:-"),IF(IF(IF(ISNUMBER(SEARCH("Party Name:-",'R.M Billets Reports'!D93)),TRIM('R.M Billets Reports'!F93),IF(ISNUMBER(SEARCH("Party Name-",'R.M Billets Reports'!D93)),TRIM(MID('R.M Billets Reports'!D93,SEARCH("-",'R.M Billets Reports'!D93)+1,200)),""))&lt;&gt;"",IF(ISNUMBER(SEARCH("Party Name:-",'R.M Billets Reports'!D93)),TRIM('R.M Billets Reports'!F93),IF(ISNUMBER(SEARCH("Party Name-",'R.M Billets Reports'!D93)),TRIM(MID('R.M Billets Reports'!D93,SEARCH("-",'R.M Billets Reports'!D93)+1,200)),"")),IF(ISNUMBER(SEARCH("Party Name:-",'R.M Billets Reports'!D94)),TRIM('R.M Billets Reports'!F94),IF(ISNUMBER(SEARCH("Party Name-",'R.M Billets Reports'!D94)),TRIM(MID('R.M Billets Reports'!D94,SEARCH("-",'R.M Billets Reports'!D94)+1,200)),"")))="VRKP ISPAT PVT LTD","VRKP",IF(IF(IF(ISNUMBER(SEARCH("Party Name:-",'R.M Billets Reports'!D93)),TRIM('R.M Billets Reports'!F93),IF(ISNUMBER(SEARCH("Party Name-",'R.M Billets Reports'!D93)),TRIM(MID('R.M Billets Reports'!D93,SEARCH("-",'R.M Billets Reports'!D93)+1,200)),""))&lt;&gt;"",IF(ISNUMBER(SEARCH("Party Name:-",'R.M Billets Reports'!D93)),TRIM('R.M Billets Reports'!F93),IF(ISNUMBER(SEARCH("Party Name-",'R.M Billets Reports'!D93)),TRIM(MID('R.M Billets Reports'!D93,SEARCH("-",'R.M Billets Reports'!D93)+1,200)),"")),IF(ISNUMBER(SEARCH("Party Name:-",'R.M Billets Reports'!D94)),TRIM('R.M Billets Reports'!F94),IF(ISNUMBER(SEARCH("Party Name-",'R.M Billets Reports'!D94)),TRIM(MID('R.M Billets Reports'!D94,SEARCH("-",'R.M Billets Reports'!D94)+1,200)),"")))="SHRI RADHE","SHREE RADHE",IF(IF(IF(ISNUMBER(SEARCH("Party Name:-",'R.M Billets Reports'!D93)),TRIM('R.M Billets Reports'!F93),IF(ISNUMBER(SEARCH("Party Name-",'R.M Billets Reports'!D93)),TRIM(MID('R.M Billets Reports'!D93,SEARCH("-",'R.M Billets Reports'!D93)+1,200)),""))&lt;&gt;"",IF(ISNUMBER(SEARCH("Party Name:-",'R.M Billets Reports'!D93)),TRIM('R.M Billets Reports'!F93),IF(ISNUMBER(SEARCH("Party Name-",'R.M Billets Reports'!D93)),TRIM(MID('R.M Billets Reports'!D93,SEARCH("-",'R.M Billets Reports'!D93)+1,200)),"")),IF(ISNUMBER(SEARCH("Party Name:-",'R.M Billets Reports'!D94)),TRIM('R.M Billets Reports'!F94),IF(ISNUMBER(SEARCH("Party Name-",'R.M Billets Reports'!D94)),TRIM(MID('R.M Billets Reports'!D94,SEARCH("-",'R.M Billets Reports'!D94)+1,200)),"")))="SHREE RADHE SHAKTI SPONGE AND POWER PVT. LTD.","SHREE RADHE",IF(IF(ISNUMBER(SEARCH("Party Name:-",'R.M Billets Reports'!D93)),TRIM('R.M Billets Reports'!F93),IF(ISNUMBER(SEARCH("Party Name-",'R.M Billets Reports'!D93)),TRIM(MID('R.M Billets Reports'!D93,SEARCH("-",'R.M Billets Reports'!D93)+1,200)),""))&lt;&gt;"",IF(ISNUMBER(SEARCH("Party Name:-",'R.M Billets Reports'!D93)),TRIM('R.M Billets Reports'!F93),IF(ISNUMBER(SEARCH("Party Name-",'R.M Billets Reports'!D93)),TRIM(MID('R.M Billets Reports'!D93,SEARCH("-",'R.M Billets Reports'!D93)+1,200)),"")),IF(ISNUMBER(SEARCH("Party Name:-",'R.M Billets Reports'!D94)),TRIM('R.M Billets Reports'!F94),IF(ISNUMBER(SEARCH("Party Name-",'R.M Billets Reports'!D94)),TRIM(MID('R.M Billets Reports'!D94,SEARCH("-",'R.M Billets Reports'!D94)+1,200)),"")))))),IF(ROW()=2,"",A93))</f>
      </c>
      <c r="B94">
        <f>IF(OR('R.M Billets Reports'!A93="Date-",'R.M Billets Reports'!A93="Date:-"),'R.M Billets Reports'!B93,IF(ROW()=2,"",B93))</f>
      </c>
      <c r="C94">
        <f>IF('R.M Billets Reports'!A93="V.No.",'R.M Billets Reports'!B93,IF(ROW()=2,"",C93))</f>
      </c>
      <c r="D94">
        <f>IF('R.M Billets Reports'!A93&lt;&gt;"",'R.M Billets Reports'!A93,IF(ROW()=2,"",D93))</f>
      </c>
      <c r="E94">
        <f>IF('R.M Billets Reports'!B93="","",TRIM('R.M Billets Reports'!B93))</f>
      </c>
      <c r="F94">
        <f>'R.M Billets Reports'!C93</f>
      </c>
      <c r="G94">
        <f>'R.M Billets Reports'!D93</f>
      </c>
      <c r="H94">
        <f>'R.M Billets Reports'!E93</f>
      </c>
      <c r="I94">
        <f>'R.M Billets Reports'!F93</f>
      </c>
      <c r="J94">
        <f>'R.M Billets Reports'!G93</f>
      </c>
      <c r="K94">
        <f>'R.M Billets Reports'!H93</f>
      </c>
      <c r="L94">
        <f>IF('R.M Billets Reports'!I93="","",'R.M Billets Reports'!I93)</f>
      </c>
      <c r="M94">
        <f t="shared" si="2"/>
      </c>
      <c r="N94">
        <f>IF('R.M Billets Reports'!J93="","",'R.M Billets Reports'!J93)</f>
      </c>
      <c r="O94">
        <f t="shared" si="3"/>
      </c>
      <c r="P94">
        <f>IF('R.M Billets Reports'!A93="SIZE",'R.M Billets Reports'!B93,P93)</f>
      </c>
    </row>
    <row r="95" spans="1:16" x14ac:dyDescent="0.25">
      <c r="A95">
        <f>IF(OR('R.M Billets Reports'!A94="Date-",'R.M Billets Reports'!A94="Date:-"),IF(IF(IF(ISNUMBER(SEARCH("Party Name:-",'R.M Billets Reports'!D94)),TRIM('R.M Billets Reports'!F94),IF(ISNUMBER(SEARCH("Party Name-",'R.M Billets Reports'!D94)),TRIM(MID('R.M Billets Reports'!D94,SEARCH("-",'R.M Billets Reports'!D94)+1,200)),""))&lt;&gt;"",IF(ISNUMBER(SEARCH("Party Name:-",'R.M Billets Reports'!D94)),TRIM('R.M Billets Reports'!F94),IF(ISNUMBER(SEARCH("Party Name-",'R.M Billets Reports'!D94)),TRIM(MID('R.M Billets Reports'!D94,SEARCH("-",'R.M Billets Reports'!D94)+1,200)),"")),IF(ISNUMBER(SEARCH("Party Name:-",'R.M Billets Reports'!D95)),TRIM('R.M Billets Reports'!F95),IF(ISNUMBER(SEARCH("Party Name-",'R.M Billets Reports'!D95)),TRIM(MID('R.M Billets Reports'!D95,SEARCH("-",'R.M Billets Reports'!D95)+1,200)),"")))="VRKP ISPAT PVT LTD","VRKP",IF(IF(IF(ISNUMBER(SEARCH("Party Name:-",'R.M Billets Reports'!D94)),TRIM('R.M Billets Reports'!F94),IF(ISNUMBER(SEARCH("Party Name-",'R.M Billets Reports'!D94)),TRIM(MID('R.M Billets Reports'!D94,SEARCH("-",'R.M Billets Reports'!D94)+1,200)),""))&lt;&gt;"",IF(ISNUMBER(SEARCH("Party Name:-",'R.M Billets Reports'!D94)),TRIM('R.M Billets Reports'!F94),IF(ISNUMBER(SEARCH("Party Name-",'R.M Billets Reports'!D94)),TRIM(MID('R.M Billets Reports'!D94,SEARCH("-",'R.M Billets Reports'!D94)+1,200)),"")),IF(ISNUMBER(SEARCH("Party Name:-",'R.M Billets Reports'!D95)),TRIM('R.M Billets Reports'!F95),IF(ISNUMBER(SEARCH("Party Name-",'R.M Billets Reports'!D95)),TRIM(MID('R.M Billets Reports'!D95,SEARCH("-",'R.M Billets Reports'!D95)+1,200)),"")))="SHRI RADHE","SHREE RADHE",IF(IF(IF(ISNUMBER(SEARCH("Party Name:-",'R.M Billets Reports'!D94)),TRIM('R.M Billets Reports'!F94),IF(ISNUMBER(SEARCH("Party Name-",'R.M Billets Reports'!D94)),TRIM(MID('R.M Billets Reports'!D94,SEARCH("-",'R.M Billets Reports'!D94)+1,200)),""))&lt;&gt;"",IF(ISNUMBER(SEARCH("Party Name:-",'R.M Billets Reports'!D94)),TRIM('R.M Billets Reports'!F94),IF(ISNUMBER(SEARCH("Party Name-",'R.M Billets Reports'!D94)),TRIM(MID('R.M Billets Reports'!D94,SEARCH("-",'R.M Billets Reports'!D94)+1,200)),"")),IF(ISNUMBER(SEARCH("Party Name:-",'R.M Billets Reports'!D95)),TRIM('R.M Billets Reports'!F95),IF(ISNUMBER(SEARCH("Party Name-",'R.M Billets Reports'!D95)),TRIM(MID('R.M Billets Reports'!D95,SEARCH("-",'R.M Billets Reports'!D95)+1,200)),"")))="SHREE RADHE SHAKTI SPONGE AND POWER PVT. LTD.","SHREE RADHE",IF(IF(ISNUMBER(SEARCH("Party Name:-",'R.M Billets Reports'!D94)),TRIM('R.M Billets Reports'!F94),IF(ISNUMBER(SEARCH("Party Name-",'R.M Billets Reports'!D94)),TRIM(MID('R.M Billets Reports'!D94,SEARCH("-",'R.M Billets Reports'!D94)+1,200)),""))&lt;&gt;"",IF(ISNUMBER(SEARCH("Party Name:-",'R.M Billets Reports'!D94)),TRIM('R.M Billets Reports'!F94),IF(ISNUMBER(SEARCH("Party Name-",'R.M Billets Reports'!D94)),TRIM(MID('R.M Billets Reports'!D94,SEARCH("-",'R.M Billets Reports'!D94)+1,200)),"")),IF(ISNUMBER(SEARCH("Party Name:-",'R.M Billets Reports'!D95)),TRIM('R.M Billets Reports'!F95),IF(ISNUMBER(SEARCH("Party Name-",'R.M Billets Reports'!D95)),TRIM(MID('R.M Billets Reports'!D95,SEARCH("-",'R.M Billets Reports'!D95)+1,200)),"")))))),IF(ROW()=2,"",A94))</f>
      </c>
      <c r="B95">
        <f>IF(OR('R.M Billets Reports'!A94="Date-",'R.M Billets Reports'!A94="Date:-"),'R.M Billets Reports'!B94,IF(ROW()=2,"",B94))</f>
      </c>
      <c r="C95">
        <f>IF('R.M Billets Reports'!A94="V.No.",'R.M Billets Reports'!B94,IF(ROW()=2,"",C94))</f>
      </c>
      <c r="D95">
        <f>IF('R.M Billets Reports'!A94&lt;&gt;"",'R.M Billets Reports'!A94,IF(ROW()=2,"",D94))</f>
      </c>
      <c r="E95">
        <f>IF('R.M Billets Reports'!B94="","",TRIM('R.M Billets Reports'!B94))</f>
      </c>
      <c r="F95">
        <f>'R.M Billets Reports'!C94</f>
      </c>
      <c r="G95">
        <f>'R.M Billets Reports'!D94</f>
      </c>
      <c r="H95">
        <f>'R.M Billets Reports'!E94</f>
      </c>
      <c r="I95">
        <f>'R.M Billets Reports'!F94</f>
      </c>
      <c r="J95">
        <f>'R.M Billets Reports'!G94</f>
      </c>
      <c r="K95">
        <f>'R.M Billets Reports'!H94</f>
      </c>
      <c r="L95">
        <f>IF('R.M Billets Reports'!I94="","",'R.M Billets Reports'!I94)</f>
      </c>
      <c r="M95">
        <f t="shared" si="2"/>
      </c>
      <c r="N95">
        <f>IF('R.M Billets Reports'!J94="","",'R.M Billets Reports'!J94)</f>
      </c>
      <c r="O95">
        <f t="shared" si="3"/>
      </c>
      <c r="P95">
        <f>IF('R.M Billets Reports'!A94="SIZE",'R.M Billets Reports'!B94,P94)</f>
      </c>
    </row>
    <row r="96" spans="1:16" x14ac:dyDescent="0.25">
      <c r="A96">
        <f>IF(OR('R.M Billets Reports'!A95="Date-",'R.M Billets Reports'!A95="Date:-"),IF(IF(IF(ISNUMBER(SEARCH("Party Name:-",'R.M Billets Reports'!D95)),TRIM('R.M Billets Reports'!F95),IF(ISNUMBER(SEARCH("Party Name-",'R.M Billets Reports'!D95)),TRIM(MID('R.M Billets Reports'!D95,SEARCH("-",'R.M Billets Reports'!D95)+1,200)),""))&lt;&gt;"",IF(ISNUMBER(SEARCH("Party Name:-",'R.M Billets Reports'!D95)),TRIM('R.M Billets Reports'!F95),IF(ISNUMBER(SEARCH("Party Name-",'R.M Billets Reports'!D95)),TRIM(MID('R.M Billets Reports'!D95,SEARCH("-",'R.M Billets Reports'!D95)+1,200)),"")),IF(ISNUMBER(SEARCH("Party Name:-",'R.M Billets Reports'!D96)),TRIM('R.M Billets Reports'!F96),IF(ISNUMBER(SEARCH("Party Name-",'R.M Billets Reports'!D96)),TRIM(MID('R.M Billets Reports'!D96,SEARCH("-",'R.M Billets Reports'!D96)+1,200)),"")))="VRKP ISPAT PVT LTD","VRKP",IF(IF(IF(ISNUMBER(SEARCH("Party Name:-",'R.M Billets Reports'!D95)),TRIM('R.M Billets Reports'!F95),IF(ISNUMBER(SEARCH("Party Name-",'R.M Billets Reports'!D95)),TRIM(MID('R.M Billets Reports'!D95,SEARCH("-",'R.M Billets Reports'!D95)+1,200)),""))&lt;&gt;"",IF(ISNUMBER(SEARCH("Party Name:-",'R.M Billets Reports'!D95)),TRIM('R.M Billets Reports'!F95),IF(ISNUMBER(SEARCH("Party Name-",'R.M Billets Reports'!D95)),TRIM(MID('R.M Billets Reports'!D95,SEARCH("-",'R.M Billets Reports'!D95)+1,200)),"")),IF(ISNUMBER(SEARCH("Party Name:-",'R.M Billets Reports'!D96)),TRIM('R.M Billets Reports'!F96),IF(ISNUMBER(SEARCH("Party Name-",'R.M Billets Reports'!D96)),TRIM(MID('R.M Billets Reports'!D96,SEARCH("-",'R.M Billets Reports'!D96)+1,200)),"")))="SHRI RADHE","SHREE RADHE",IF(IF(IF(ISNUMBER(SEARCH("Party Name:-",'R.M Billets Reports'!D95)),TRIM('R.M Billets Reports'!F95),IF(ISNUMBER(SEARCH("Party Name-",'R.M Billets Reports'!D95)),TRIM(MID('R.M Billets Reports'!D95,SEARCH("-",'R.M Billets Reports'!D95)+1,200)),""))&lt;&gt;"",IF(ISNUMBER(SEARCH("Party Name:-",'R.M Billets Reports'!D95)),TRIM('R.M Billets Reports'!F95),IF(ISNUMBER(SEARCH("Party Name-",'R.M Billets Reports'!D95)),TRIM(MID('R.M Billets Reports'!D95,SEARCH("-",'R.M Billets Reports'!D95)+1,200)),"")),IF(ISNUMBER(SEARCH("Party Name:-",'R.M Billets Reports'!D96)),TRIM('R.M Billets Reports'!F96),IF(ISNUMBER(SEARCH("Party Name-",'R.M Billets Reports'!D96)),TRIM(MID('R.M Billets Reports'!D96,SEARCH("-",'R.M Billets Reports'!D96)+1,200)),"")))="SHREE RADHE SHAKTI SPONGE AND POWER PVT. LTD.","SHREE RADHE",IF(IF(ISNUMBER(SEARCH("Party Name:-",'R.M Billets Reports'!D95)),TRIM('R.M Billets Reports'!F95),IF(ISNUMBER(SEARCH("Party Name-",'R.M Billets Reports'!D95)),TRIM(MID('R.M Billets Reports'!D95,SEARCH("-",'R.M Billets Reports'!D95)+1,200)),""))&lt;&gt;"",IF(ISNUMBER(SEARCH("Party Name:-",'R.M Billets Reports'!D95)),TRIM('R.M Billets Reports'!F95),IF(ISNUMBER(SEARCH("Party Name-",'R.M Billets Reports'!D95)),TRIM(MID('R.M Billets Reports'!D95,SEARCH("-",'R.M Billets Reports'!D95)+1,200)),"")),IF(ISNUMBER(SEARCH("Party Name:-",'R.M Billets Reports'!D96)),TRIM('R.M Billets Reports'!F96),IF(ISNUMBER(SEARCH("Party Name-",'R.M Billets Reports'!D96)),TRIM(MID('R.M Billets Reports'!D96,SEARCH("-",'R.M Billets Reports'!D96)+1,200)),"")))))),IF(ROW()=2,"",A95))</f>
      </c>
      <c r="B96">
        <f>IF(OR('R.M Billets Reports'!A95="Date-",'R.M Billets Reports'!A95="Date:-"),'R.M Billets Reports'!B95,IF(ROW()=2,"",B95))</f>
      </c>
      <c r="C96">
        <f>IF('R.M Billets Reports'!A95="V.No.",'R.M Billets Reports'!B95,IF(ROW()=2,"",C95))</f>
      </c>
      <c r="D96">
        <f>IF('R.M Billets Reports'!A95&lt;&gt;"",'R.M Billets Reports'!A95,IF(ROW()=2,"",D95))</f>
      </c>
      <c r="E96">
        <f>IF('R.M Billets Reports'!B95="","",TRIM('R.M Billets Reports'!B95))</f>
      </c>
      <c r="F96">
        <f>'R.M Billets Reports'!C95</f>
      </c>
      <c r="G96">
        <f>'R.M Billets Reports'!D95</f>
      </c>
      <c r="H96">
        <f>'R.M Billets Reports'!E95</f>
      </c>
      <c r="I96">
        <f>'R.M Billets Reports'!F95</f>
      </c>
      <c r="J96">
        <f>'R.M Billets Reports'!G95</f>
      </c>
      <c r="K96">
        <f>'R.M Billets Reports'!H95</f>
      </c>
      <c r="L96">
        <f>IF('R.M Billets Reports'!I95="","",'R.M Billets Reports'!I95)</f>
      </c>
      <c r="M96">
        <f t="shared" si="2"/>
      </c>
      <c r="N96">
        <f>IF('R.M Billets Reports'!J95="","",'R.M Billets Reports'!J95)</f>
      </c>
      <c r="O96">
        <f t="shared" si="3"/>
      </c>
      <c r="P96">
        <f>IF('R.M Billets Reports'!A95="SIZE",'R.M Billets Reports'!B95,P95)</f>
      </c>
    </row>
    <row r="97" spans="1:16" x14ac:dyDescent="0.25">
      <c r="A97">
        <f>IF(OR('R.M Billets Reports'!A96="Date-",'R.M Billets Reports'!A96="Date:-"),IF(IF(IF(ISNUMBER(SEARCH("Party Name:-",'R.M Billets Reports'!D96)),TRIM('R.M Billets Reports'!F96),IF(ISNUMBER(SEARCH("Party Name-",'R.M Billets Reports'!D96)),TRIM(MID('R.M Billets Reports'!D96,SEARCH("-",'R.M Billets Reports'!D96)+1,200)),""))&lt;&gt;"",IF(ISNUMBER(SEARCH("Party Name:-",'R.M Billets Reports'!D96)),TRIM('R.M Billets Reports'!F96),IF(ISNUMBER(SEARCH("Party Name-",'R.M Billets Reports'!D96)),TRIM(MID('R.M Billets Reports'!D96,SEARCH("-",'R.M Billets Reports'!D96)+1,200)),"")),IF(ISNUMBER(SEARCH("Party Name:-",'R.M Billets Reports'!D97)),TRIM('R.M Billets Reports'!F97),IF(ISNUMBER(SEARCH("Party Name-",'R.M Billets Reports'!D97)),TRIM(MID('R.M Billets Reports'!D97,SEARCH("-",'R.M Billets Reports'!D97)+1,200)),"")))="VRKP ISPAT PVT LTD","VRKP",IF(IF(IF(ISNUMBER(SEARCH("Party Name:-",'R.M Billets Reports'!D96)),TRIM('R.M Billets Reports'!F96),IF(ISNUMBER(SEARCH("Party Name-",'R.M Billets Reports'!D96)),TRIM(MID('R.M Billets Reports'!D96,SEARCH("-",'R.M Billets Reports'!D96)+1,200)),""))&lt;&gt;"",IF(ISNUMBER(SEARCH("Party Name:-",'R.M Billets Reports'!D96)),TRIM('R.M Billets Reports'!F96),IF(ISNUMBER(SEARCH("Party Name-",'R.M Billets Reports'!D96)),TRIM(MID('R.M Billets Reports'!D96,SEARCH("-",'R.M Billets Reports'!D96)+1,200)),"")),IF(ISNUMBER(SEARCH("Party Name:-",'R.M Billets Reports'!D97)),TRIM('R.M Billets Reports'!F97),IF(ISNUMBER(SEARCH("Party Name-",'R.M Billets Reports'!D97)),TRIM(MID('R.M Billets Reports'!D97,SEARCH("-",'R.M Billets Reports'!D97)+1,200)),"")))="SHRI RADHE","SHREE RADHE",IF(IF(IF(ISNUMBER(SEARCH("Party Name:-",'R.M Billets Reports'!D96)),TRIM('R.M Billets Reports'!F96),IF(ISNUMBER(SEARCH("Party Name-",'R.M Billets Reports'!D96)),TRIM(MID('R.M Billets Reports'!D96,SEARCH("-",'R.M Billets Reports'!D96)+1,200)),""))&lt;&gt;"",IF(ISNUMBER(SEARCH("Party Name:-",'R.M Billets Reports'!D96)),TRIM('R.M Billets Reports'!F96),IF(ISNUMBER(SEARCH("Party Name-",'R.M Billets Reports'!D96)),TRIM(MID('R.M Billets Reports'!D96,SEARCH("-",'R.M Billets Reports'!D96)+1,200)),"")),IF(ISNUMBER(SEARCH("Party Name:-",'R.M Billets Reports'!D97)),TRIM('R.M Billets Reports'!F97),IF(ISNUMBER(SEARCH("Party Name-",'R.M Billets Reports'!D97)),TRIM(MID('R.M Billets Reports'!D97,SEARCH("-",'R.M Billets Reports'!D97)+1,200)),"")))="SHREE RADHE SHAKTI SPONGE AND POWER PVT. LTD.","SHREE RADHE",IF(IF(ISNUMBER(SEARCH("Party Name:-",'R.M Billets Reports'!D96)),TRIM('R.M Billets Reports'!F96),IF(ISNUMBER(SEARCH("Party Name-",'R.M Billets Reports'!D96)),TRIM(MID('R.M Billets Reports'!D96,SEARCH("-",'R.M Billets Reports'!D96)+1,200)),""))&lt;&gt;"",IF(ISNUMBER(SEARCH("Party Name:-",'R.M Billets Reports'!D96)),TRIM('R.M Billets Reports'!F96),IF(ISNUMBER(SEARCH("Party Name-",'R.M Billets Reports'!D96)),TRIM(MID('R.M Billets Reports'!D96,SEARCH("-",'R.M Billets Reports'!D96)+1,200)),"")),IF(ISNUMBER(SEARCH("Party Name:-",'R.M Billets Reports'!D97)),TRIM('R.M Billets Reports'!F97),IF(ISNUMBER(SEARCH("Party Name-",'R.M Billets Reports'!D97)),TRIM(MID('R.M Billets Reports'!D97,SEARCH("-",'R.M Billets Reports'!D97)+1,200)),"")))))),IF(ROW()=2,"",A96))</f>
      </c>
      <c r="B97">
        <f>IF(OR('R.M Billets Reports'!A96="Date-",'R.M Billets Reports'!A96="Date:-"),'R.M Billets Reports'!B96,IF(ROW()=2,"",B96))</f>
      </c>
      <c r="C97">
        <f>IF('R.M Billets Reports'!A96="V.No.",'R.M Billets Reports'!B96,IF(ROW()=2,"",C96))</f>
      </c>
      <c r="D97">
        <f>IF('R.M Billets Reports'!A96&lt;&gt;"",'R.M Billets Reports'!A96,IF(ROW()=2,"",D96))</f>
      </c>
      <c r="E97">
        <f>IF('R.M Billets Reports'!B96="","",TRIM('R.M Billets Reports'!B96))</f>
      </c>
      <c r="F97">
        <f>'R.M Billets Reports'!C96</f>
      </c>
      <c r="G97">
        <f>'R.M Billets Reports'!D96</f>
      </c>
      <c r="H97">
        <f>'R.M Billets Reports'!E96</f>
      </c>
      <c r="I97">
        <f>'R.M Billets Reports'!F96</f>
      </c>
      <c r="J97">
        <f>'R.M Billets Reports'!G96</f>
      </c>
      <c r="K97">
        <f>'R.M Billets Reports'!H96</f>
      </c>
      <c r="L97">
        <f>IF('R.M Billets Reports'!I96="","",'R.M Billets Reports'!I96)</f>
      </c>
      <c r="M97">
        <f t="shared" si="2"/>
      </c>
      <c r="N97">
        <f>IF('R.M Billets Reports'!J96="","",'R.M Billets Reports'!J96)</f>
      </c>
      <c r="O97">
        <f t="shared" si="3"/>
      </c>
      <c r="P97">
        <f>IF('R.M Billets Reports'!A96="SIZE",'R.M Billets Reports'!B96,P96)</f>
      </c>
    </row>
    <row r="98" spans="1:16" x14ac:dyDescent="0.25">
      <c r="A98">
        <f>IF(OR('R.M Billets Reports'!A97="Date-",'R.M Billets Reports'!A97="Date:-"),IF(IF(IF(ISNUMBER(SEARCH("Party Name:-",'R.M Billets Reports'!D97)),TRIM('R.M Billets Reports'!F97),IF(ISNUMBER(SEARCH("Party Name-",'R.M Billets Reports'!D97)),TRIM(MID('R.M Billets Reports'!D97,SEARCH("-",'R.M Billets Reports'!D97)+1,200)),""))&lt;&gt;"",IF(ISNUMBER(SEARCH("Party Name:-",'R.M Billets Reports'!D97)),TRIM('R.M Billets Reports'!F97),IF(ISNUMBER(SEARCH("Party Name-",'R.M Billets Reports'!D97)),TRIM(MID('R.M Billets Reports'!D97,SEARCH("-",'R.M Billets Reports'!D97)+1,200)),"")),IF(ISNUMBER(SEARCH("Party Name:-",'R.M Billets Reports'!D98)),TRIM('R.M Billets Reports'!F98),IF(ISNUMBER(SEARCH("Party Name-",'R.M Billets Reports'!D98)),TRIM(MID('R.M Billets Reports'!D98,SEARCH("-",'R.M Billets Reports'!D98)+1,200)),"")))="VRKP ISPAT PVT LTD","VRKP",IF(IF(IF(ISNUMBER(SEARCH("Party Name:-",'R.M Billets Reports'!D97)),TRIM('R.M Billets Reports'!F97),IF(ISNUMBER(SEARCH("Party Name-",'R.M Billets Reports'!D97)),TRIM(MID('R.M Billets Reports'!D97,SEARCH("-",'R.M Billets Reports'!D97)+1,200)),""))&lt;&gt;"",IF(ISNUMBER(SEARCH("Party Name:-",'R.M Billets Reports'!D97)),TRIM('R.M Billets Reports'!F97),IF(ISNUMBER(SEARCH("Party Name-",'R.M Billets Reports'!D97)),TRIM(MID('R.M Billets Reports'!D97,SEARCH("-",'R.M Billets Reports'!D97)+1,200)),"")),IF(ISNUMBER(SEARCH("Party Name:-",'R.M Billets Reports'!D98)),TRIM('R.M Billets Reports'!F98),IF(ISNUMBER(SEARCH("Party Name-",'R.M Billets Reports'!D98)),TRIM(MID('R.M Billets Reports'!D98,SEARCH("-",'R.M Billets Reports'!D98)+1,200)),"")))="SHRI RADHE","SHREE RADHE",IF(IF(IF(ISNUMBER(SEARCH("Party Name:-",'R.M Billets Reports'!D97)),TRIM('R.M Billets Reports'!F97),IF(ISNUMBER(SEARCH("Party Name-",'R.M Billets Reports'!D97)),TRIM(MID('R.M Billets Reports'!D97,SEARCH("-",'R.M Billets Reports'!D97)+1,200)),""))&lt;&gt;"",IF(ISNUMBER(SEARCH("Party Name:-",'R.M Billets Reports'!D97)),TRIM('R.M Billets Reports'!F97),IF(ISNUMBER(SEARCH("Party Name-",'R.M Billets Reports'!D97)),TRIM(MID('R.M Billets Reports'!D97,SEARCH("-",'R.M Billets Reports'!D97)+1,200)),"")),IF(ISNUMBER(SEARCH("Party Name:-",'R.M Billets Reports'!D98)),TRIM('R.M Billets Reports'!F98),IF(ISNUMBER(SEARCH("Party Name-",'R.M Billets Reports'!D98)),TRIM(MID('R.M Billets Reports'!D98,SEARCH("-",'R.M Billets Reports'!D98)+1,200)),"")))="SHREE RADHE SHAKTI SPONGE AND POWER PVT. LTD.","SHREE RADHE",IF(IF(ISNUMBER(SEARCH("Party Name:-",'R.M Billets Reports'!D97)),TRIM('R.M Billets Reports'!F97),IF(ISNUMBER(SEARCH("Party Name-",'R.M Billets Reports'!D97)),TRIM(MID('R.M Billets Reports'!D97,SEARCH("-",'R.M Billets Reports'!D97)+1,200)),""))&lt;&gt;"",IF(ISNUMBER(SEARCH("Party Name:-",'R.M Billets Reports'!D97)),TRIM('R.M Billets Reports'!F97),IF(ISNUMBER(SEARCH("Party Name-",'R.M Billets Reports'!D97)),TRIM(MID('R.M Billets Reports'!D97,SEARCH("-",'R.M Billets Reports'!D97)+1,200)),"")),IF(ISNUMBER(SEARCH("Party Name:-",'R.M Billets Reports'!D98)),TRIM('R.M Billets Reports'!F98),IF(ISNUMBER(SEARCH("Party Name-",'R.M Billets Reports'!D98)),TRIM(MID('R.M Billets Reports'!D98,SEARCH("-",'R.M Billets Reports'!D98)+1,200)),"")))))),IF(ROW()=2,"",A97))</f>
      </c>
      <c r="B98">
        <f>IF(OR('R.M Billets Reports'!A97="Date-",'R.M Billets Reports'!A97="Date:-"),'R.M Billets Reports'!B97,IF(ROW()=2,"",B97))</f>
      </c>
      <c r="C98">
        <f>IF('R.M Billets Reports'!A97="V.No.",'R.M Billets Reports'!B97,IF(ROW()=2,"",C97))</f>
      </c>
      <c r="D98">
        <f>IF('R.M Billets Reports'!A97&lt;&gt;"",'R.M Billets Reports'!A97,IF(ROW()=2,"",D97))</f>
      </c>
      <c r="E98">
        <f>IF('R.M Billets Reports'!B97="","",TRIM('R.M Billets Reports'!B97))</f>
      </c>
      <c r="F98">
        <f>'R.M Billets Reports'!C97</f>
      </c>
      <c r="G98">
        <f>'R.M Billets Reports'!D97</f>
      </c>
      <c r="H98">
        <f>'R.M Billets Reports'!E97</f>
      </c>
      <c r="I98">
        <f>'R.M Billets Reports'!F97</f>
      </c>
      <c r="J98">
        <f>'R.M Billets Reports'!G97</f>
      </c>
      <c r="K98">
        <f>'R.M Billets Reports'!H97</f>
      </c>
      <c r="L98">
        <f>IF('R.M Billets Reports'!I97="","",'R.M Billets Reports'!I97)</f>
      </c>
      <c r="M98">
        <f t="shared" si="2"/>
      </c>
      <c r="N98">
        <f>IF('R.M Billets Reports'!J97="","",'R.M Billets Reports'!J97)</f>
      </c>
      <c r="O98">
        <f t="shared" si="3"/>
      </c>
      <c r="P98">
        <f>IF('R.M Billets Reports'!A97="SIZE",'R.M Billets Reports'!B97,P97)</f>
      </c>
    </row>
    <row r="99" spans="1:16" x14ac:dyDescent="0.25">
      <c r="A99">
        <f>IF(OR('R.M Billets Reports'!A98="Date-",'R.M Billets Reports'!A98="Date:-"),IF(IF(IF(ISNUMBER(SEARCH("Party Name:-",'R.M Billets Reports'!D98)),TRIM('R.M Billets Reports'!F98),IF(ISNUMBER(SEARCH("Party Name-",'R.M Billets Reports'!D98)),TRIM(MID('R.M Billets Reports'!D98,SEARCH("-",'R.M Billets Reports'!D98)+1,200)),""))&lt;&gt;"",IF(ISNUMBER(SEARCH("Party Name:-",'R.M Billets Reports'!D98)),TRIM('R.M Billets Reports'!F98),IF(ISNUMBER(SEARCH("Party Name-",'R.M Billets Reports'!D98)),TRIM(MID('R.M Billets Reports'!D98,SEARCH("-",'R.M Billets Reports'!D98)+1,200)),"")),IF(ISNUMBER(SEARCH("Party Name:-",'R.M Billets Reports'!D99)),TRIM('R.M Billets Reports'!F99),IF(ISNUMBER(SEARCH("Party Name-",'R.M Billets Reports'!D99)),TRIM(MID('R.M Billets Reports'!D99,SEARCH("-",'R.M Billets Reports'!D99)+1,200)),"")))="VRKP ISPAT PVT LTD","VRKP",IF(IF(IF(ISNUMBER(SEARCH("Party Name:-",'R.M Billets Reports'!D98)),TRIM('R.M Billets Reports'!F98),IF(ISNUMBER(SEARCH("Party Name-",'R.M Billets Reports'!D98)),TRIM(MID('R.M Billets Reports'!D98,SEARCH("-",'R.M Billets Reports'!D98)+1,200)),""))&lt;&gt;"",IF(ISNUMBER(SEARCH("Party Name:-",'R.M Billets Reports'!D98)),TRIM('R.M Billets Reports'!F98),IF(ISNUMBER(SEARCH("Party Name-",'R.M Billets Reports'!D98)),TRIM(MID('R.M Billets Reports'!D98,SEARCH("-",'R.M Billets Reports'!D98)+1,200)),"")),IF(ISNUMBER(SEARCH("Party Name:-",'R.M Billets Reports'!D99)),TRIM('R.M Billets Reports'!F99),IF(ISNUMBER(SEARCH("Party Name-",'R.M Billets Reports'!D99)),TRIM(MID('R.M Billets Reports'!D99,SEARCH("-",'R.M Billets Reports'!D99)+1,200)),"")))="SHRI RADHE","SHREE RADHE",IF(IF(IF(ISNUMBER(SEARCH("Party Name:-",'R.M Billets Reports'!D98)),TRIM('R.M Billets Reports'!F98),IF(ISNUMBER(SEARCH("Party Name-",'R.M Billets Reports'!D98)),TRIM(MID('R.M Billets Reports'!D98,SEARCH("-",'R.M Billets Reports'!D98)+1,200)),""))&lt;&gt;"",IF(ISNUMBER(SEARCH("Party Name:-",'R.M Billets Reports'!D98)),TRIM('R.M Billets Reports'!F98),IF(ISNUMBER(SEARCH("Party Name-",'R.M Billets Reports'!D98)),TRIM(MID('R.M Billets Reports'!D98,SEARCH("-",'R.M Billets Reports'!D98)+1,200)),"")),IF(ISNUMBER(SEARCH("Party Name:-",'R.M Billets Reports'!D99)),TRIM('R.M Billets Reports'!F99),IF(ISNUMBER(SEARCH("Party Name-",'R.M Billets Reports'!D99)),TRIM(MID('R.M Billets Reports'!D99,SEARCH("-",'R.M Billets Reports'!D99)+1,200)),"")))="SHREE RADHE SHAKTI SPONGE AND POWER PVT. LTD.","SHREE RADHE",IF(IF(ISNUMBER(SEARCH("Party Name:-",'R.M Billets Reports'!D98)),TRIM('R.M Billets Reports'!F98),IF(ISNUMBER(SEARCH("Party Name-",'R.M Billets Reports'!D98)),TRIM(MID('R.M Billets Reports'!D98,SEARCH("-",'R.M Billets Reports'!D98)+1,200)),""))&lt;&gt;"",IF(ISNUMBER(SEARCH("Party Name:-",'R.M Billets Reports'!D98)),TRIM('R.M Billets Reports'!F98),IF(ISNUMBER(SEARCH("Party Name-",'R.M Billets Reports'!D98)),TRIM(MID('R.M Billets Reports'!D98,SEARCH("-",'R.M Billets Reports'!D98)+1,200)),"")),IF(ISNUMBER(SEARCH("Party Name:-",'R.M Billets Reports'!D99)),TRIM('R.M Billets Reports'!F99),IF(ISNUMBER(SEARCH("Party Name-",'R.M Billets Reports'!D99)),TRIM(MID('R.M Billets Reports'!D99,SEARCH("-",'R.M Billets Reports'!D99)+1,200)),"")))))),IF(ROW()=2,"",A98))</f>
      </c>
      <c r="B99">
        <f>IF(OR('R.M Billets Reports'!A98="Date-",'R.M Billets Reports'!A98="Date:-"),'R.M Billets Reports'!B98,IF(ROW()=2,"",B98))</f>
      </c>
      <c r="C99">
        <f>IF('R.M Billets Reports'!A98="V.No.",'R.M Billets Reports'!B98,IF(ROW()=2,"",C98))</f>
      </c>
      <c r="D99">
        <f>IF('R.M Billets Reports'!A98&lt;&gt;"",'R.M Billets Reports'!A98,IF(ROW()=2,"",D98))</f>
      </c>
      <c r="E99">
        <f>IF('R.M Billets Reports'!B98="","",TRIM('R.M Billets Reports'!B98))</f>
      </c>
      <c r="F99">
        <f>'R.M Billets Reports'!C98</f>
      </c>
      <c r="G99">
        <f>'R.M Billets Reports'!D98</f>
      </c>
      <c r="H99">
        <f>'R.M Billets Reports'!E98</f>
      </c>
      <c r="I99">
        <f>'R.M Billets Reports'!F98</f>
      </c>
      <c r="J99">
        <f>'R.M Billets Reports'!G98</f>
      </c>
      <c r="K99">
        <f>'R.M Billets Reports'!H98</f>
      </c>
      <c r="L99">
        <f>IF('R.M Billets Reports'!I98="","",'R.M Billets Reports'!I98)</f>
      </c>
      <c r="M99">
        <f t="shared" si="2"/>
      </c>
      <c r="N99">
        <f>IF('R.M Billets Reports'!J98="","",'R.M Billets Reports'!J98)</f>
      </c>
      <c r="O99">
        <f t="shared" si="3"/>
      </c>
      <c r="P99">
        <f>IF('R.M Billets Reports'!A98="SIZE",'R.M Billets Reports'!B98,P98)</f>
      </c>
    </row>
    <row r="100" spans="1:16" x14ac:dyDescent="0.25">
      <c r="A100">
        <f>IF(OR('R.M Billets Reports'!A99="Date-",'R.M Billets Reports'!A99="Date:-"),IF(IF(IF(ISNUMBER(SEARCH("Party Name:-",'R.M Billets Reports'!D99)),TRIM('R.M Billets Reports'!F99),IF(ISNUMBER(SEARCH("Party Name-",'R.M Billets Reports'!D99)),TRIM(MID('R.M Billets Reports'!D99,SEARCH("-",'R.M Billets Reports'!D99)+1,200)),""))&lt;&gt;"",IF(ISNUMBER(SEARCH("Party Name:-",'R.M Billets Reports'!D99)),TRIM('R.M Billets Reports'!F99),IF(ISNUMBER(SEARCH("Party Name-",'R.M Billets Reports'!D99)),TRIM(MID('R.M Billets Reports'!D99,SEARCH("-",'R.M Billets Reports'!D99)+1,200)),"")),IF(ISNUMBER(SEARCH("Party Name:-",'R.M Billets Reports'!D100)),TRIM('R.M Billets Reports'!F100),IF(ISNUMBER(SEARCH("Party Name-",'R.M Billets Reports'!D100)),TRIM(MID('R.M Billets Reports'!D100,SEARCH("-",'R.M Billets Reports'!D100)+1,200)),"")))="VRKP ISPAT PVT LTD","VRKP",IF(IF(IF(ISNUMBER(SEARCH("Party Name:-",'R.M Billets Reports'!D99)),TRIM('R.M Billets Reports'!F99),IF(ISNUMBER(SEARCH("Party Name-",'R.M Billets Reports'!D99)),TRIM(MID('R.M Billets Reports'!D99,SEARCH("-",'R.M Billets Reports'!D99)+1,200)),""))&lt;&gt;"",IF(ISNUMBER(SEARCH("Party Name:-",'R.M Billets Reports'!D99)),TRIM('R.M Billets Reports'!F99),IF(ISNUMBER(SEARCH("Party Name-",'R.M Billets Reports'!D99)),TRIM(MID('R.M Billets Reports'!D99,SEARCH("-",'R.M Billets Reports'!D99)+1,200)),"")),IF(ISNUMBER(SEARCH("Party Name:-",'R.M Billets Reports'!D100)),TRIM('R.M Billets Reports'!F100),IF(ISNUMBER(SEARCH("Party Name-",'R.M Billets Reports'!D100)),TRIM(MID('R.M Billets Reports'!D100,SEARCH("-",'R.M Billets Reports'!D100)+1,200)),"")))="SHRI RADHE","SHREE RADHE",IF(IF(IF(ISNUMBER(SEARCH("Party Name:-",'R.M Billets Reports'!D99)),TRIM('R.M Billets Reports'!F99),IF(ISNUMBER(SEARCH("Party Name-",'R.M Billets Reports'!D99)),TRIM(MID('R.M Billets Reports'!D99,SEARCH("-",'R.M Billets Reports'!D99)+1,200)),""))&lt;&gt;"",IF(ISNUMBER(SEARCH("Party Name:-",'R.M Billets Reports'!D99)),TRIM('R.M Billets Reports'!F99),IF(ISNUMBER(SEARCH("Party Name-",'R.M Billets Reports'!D99)),TRIM(MID('R.M Billets Reports'!D99,SEARCH("-",'R.M Billets Reports'!D99)+1,200)),"")),IF(ISNUMBER(SEARCH("Party Name:-",'R.M Billets Reports'!D100)),TRIM('R.M Billets Reports'!F100),IF(ISNUMBER(SEARCH("Party Name-",'R.M Billets Reports'!D100)),TRIM(MID('R.M Billets Reports'!D100,SEARCH("-",'R.M Billets Reports'!D100)+1,200)),"")))="SHREE RADHE SHAKTI SPONGE AND POWER PVT. LTD.","SHREE RADHE",IF(IF(ISNUMBER(SEARCH("Party Name:-",'R.M Billets Reports'!D99)),TRIM('R.M Billets Reports'!F99),IF(ISNUMBER(SEARCH("Party Name-",'R.M Billets Reports'!D99)),TRIM(MID('R.M Billets Reports'!D99,SEARCH("-",'R.M Billets Reports'!D99)+1,200)),""))&lt;&gt;"",IF(ISNUMBER(SEARCH("Party Name:-",'R.M Billets Reports'!D99)),TRIM('R.M Billets Reports'!F99),IF(ISNUMBER(SEARCH("Party Name-",'R.M Billets Reports'!D99)),TRIM(MID('R.M Billets Reports'!D99,SEARCH("-",'R.M Billets Reports'!D99)+1,200)),"")),IF(ISNUMBER(SEARCH("Party Name:-",'R.M Billets Reports'!D100)),TRIM('R.M Billets Reports'!F100),IF(ISNUMBER(SEARCH("Party Name-",'R.M Billets Reports'!D100)),TRIM(MID('R.M Billets Reports'!D100,SEARCH("-",'R.M Billets Reports'!D100)+1,200)),"")))))),IF(ROW()=2,"",A99))</f>
      </c>
      <c r="B100">
        <f>IF(OR('R.M Billets Reports'!A99="Date-",'R.M Billets Reports'!A99="Date:-"),'R.M Billets Reports'!B99,IF(ROW()=2,"",B99))</f>
      </c>
      <c r="C100">
        <f>IF('R.M Billets Reports'!A99="V.No.",'R.M Billets Reports'!B99,IF(ROW()=2,"",C99))</f>
      </c>
      <c r="D100">
        <f>IF('R.M Billets Reports'!A99&lt;&gt;"",'R.M Billets Reports'!A99,IF(ROW()=2,"",D99))</f>
      </c>
      <c r="E100">
        <f>IF('R.M Billets Reports'!B99="","",TRIM('R.M Billets Reports'!B99))</f>
      </c>
      <c r="F100">
        <f>'R.M Billets Reports'!C99</f>
      </c>
      <c r="G100">
        <f>'R.M Billets Reports'!D99</f>
      </c>
      <c r="H100">
        <f>'R.M Billets Reports'!E99</f>
      </c>
      <c r="I100">
        <f>'R.M Billets Reports'!F99</f>
      </c>
      <c r="J100">
        <f>'R.M Billets Reports'!G99</f>
      </c>
      <c r="K100">
        <f>'R.M Billets Reports'!H99</f>
      </c>
      <c r="L100">
        <f>IF('R.M Billets Reports'!I99="","",'R.M Billets Reports'!I99)</f>
      </c>
      <c r="M100">
        <f t="shared" si="2"/>
      </c>
      <c r="N100">
        <f>IF('R.M Billets Reports'!J99="","",'R.M Billets Reports'!J99)</f>
      </c>
      <c r="O100">
        <f t="shared" si="3"/>
      </c>
      <c r="P100">
        <f>IF('R.M Billets Reports'!A99="SIZE",'R.M Billets Reports'!B99,P99)</f>
      </c>
    </row>
    <row r="101" spans="1:16" x14ac:dyDescent="0.25">
      <c r="A101">
        <f>IF(OR('R.M Billets Reports'!A100="Date-",'R.M Billets Reports'!A100="Date:-"),IF(IF(IF(ISNUMBER(SEARCH("Party Name:-",'R.M Billets Reports'!D100)),TRIM('R.M Billets Reports'!F100),IF(ISNUMBER(SEARCH("Party Name-",'R.M Billets Reports'!D100)),TRIM(MID('R.M Billets Reports'!D100,SEARCH("-",'R.M Billets Reports'!D100)+1,200)),""))&lt;&gt;"",IF(ISNUMBER(SEARCH("Party Name:-",'R.M Billets Reports'!D100)),TRIM('R.M Billets Reports'!F100),IF(ISNUMBER(SEARCH("Party Name-",'R.M Billets Reports'!D100)),TRIM(MID('R.M Billets Reports'!D100,SEARCH("-",'R.M Billets Reports'!D100)+1,200)),"")),IF(ISNUMBER(SEARCH("Party Name:-",'R.M Billets Reports'!D101)),TRIM('R.M Billets Reports'!F101),IF(ISNUMBER(SEARCH("Party Name-",'R.M Billets Reports'!D101)),TRIM(MID('R.M Billets Reports'!D101,SEARCH("-",'R.M Billets Reports'!D101)+1,200)),"")))="VRKP ISPAT PVT LTD","VRKP",IF(IF(IF(ISNUMBER(SEARCH("Party Name:-",'R.M Billets Reports'!D100)),TRIM('R.M Billets Reports'!F100),IF(ISNUMBER(SEARCH("Party Name-",'R.M Billets Reports'!D100)),TRIM(MID('R.M Billets Reports'!D100,SEARCH("-",'R.M Billets Reports'!D100)+1,200)),""))&lt;&gt;"",IF(ISNUMBER(SEARCH("Party Name:-",'R.M Billets Reports'!D100)),TRIM('R.M Billets Reports'!F100),IF(ISNUMBER(SEARCH("Party Name-",'R.M Billets Reports'!D100)),TRIM(MID('R.M Billets Reports'!D100,SEARCH("-",'R.M Billets Reports'!D100)+1,200)),"")),IF(ISNUMBER(SEARCH("Party Name:-",'R.M Billets Reports'!D101)),TRIM('R.M Billets Reports'!F101),IF(ISNUMBER(SEARCH("Party Name-",'R.M Billets Reports'!D101)),TRIM(MID('R.M Billets Reports'!D101,SEARCH("-",'R.M Billets Reports'!D101)+1,200)),"")))="SHRI RADHE","SHREE RADHE",IF(IF(IF(ISNUMBER(SEARCH("Party Name:-",'R.M Billets Reports'!D100)),TRIM('R.M Billets Reports'!F100),IF(ISNUMBER(SEARCH("Party Name-",'R.M Billets Reports'!D100)),TRIM(MID('R.M Billets Reports'!D100,SEARCH("-",'R.M Billets Reports'!D100)+1,200)),""))&lt;&gt;"",IF(ISNUMBER(SEARCH("Party Name:-",'R.M Billets Reports'!D100)),TRIM('R.M Billets Reports'!F100),IF(ISNUMBER(SEARCH("Party Name-",'R.M Billets Reports'!D100)),TRIM(MID('R.M Billets Reports'!D100,SEARCH("-",'R.M Billets Reports'!D100)+1,200)),"")),IF(ISNUMBER(SEARCH("Party Name:-",'R.M Billets Reports'!D101)),TRIM('R.M Billets Reports'!F101),IF(ISNUMBER(SEARCH("Party Name-",'R.M Billets Reports'!D101)),TRIM(MID('R.M Billets Reports'!D101,SEARCH("-",'R.M Billets Reports'!D101)+1,200)),"")))="SHREE RADHE SHAKTI SPONGE AND POWER PVT. LTD.","SHREE RADHE",IF(IF(ISNUMBER(SEARCH("Party Name:-",'R.M Billets Reports'!D100)),TRIM('R.M Billets Reports'!F100),IF(ISNUMBER(SEARCH("Party Name-",'R.M Billets Reports'!D100)),TRIM(MID('R.M Billets Reports'!D100,SEARCH("-",'R.M Billets Reports'!D100)+1,200)),""))&lt;&gt;"",IF(ISNUMBER(SEARCH("Party Name:-",'R.M Billets Reports'!D100)),TRIM('R.M Billets Reports'!F100),IF(ISNUMBER(SEARCH("Party Name-",'R.M Billets Reports'!D100)),TRIM(MID('R.M Billets Reports'!D100,SEARCH("-",'R.M Billets Reports'!D100)+1,200)),"")),IF(ISNUMBER(SEARCH("Party Name:-",'R.M Billets Reports'!D101)),TRIM('R.M Billets Reports'!F101),IF(ISNUMBER(SEARCH("Party Name-",'R.M Billets Reports'!D101)),TRIM(MID('R.M Billets Reports'!D101,SEARCH("-",'R.M Billets Reports'!D101)+1,200)),"")))))),IF(ROW()=2,"",A100))</f>
      </c>
      <c r="B101">
        <f>IF(OR('R.M Billets Reports'!A100="Date-",'R.M Billets Reports'!A100="Date:-"),'R.M Billets Reports'!B100,IF(ROW()=2,"",B100))</f>
      </c>
      <c r="C101">
        <f>IF('R.M Billets Reports'!A100="V.No.",'R.M Billets Reports'!B100,IF(ROW()=2,"",C100))</f>
      </c>
      <c r="D101">
        <f>IF('R.M Billets Reports'!A100&lt;&gt;"",'R.M Billets Reports'!A100,IF(ROW()=2,"",D100))</f>
      </c>
      <c r="E101">
        <f>IF('R.M Billets Reports'!B100="","",TRIM('R.M Billets Reports'!B100))</f>
      </c>
      <c r="F101">
        <f>'R.M Billets Reports'!C100</f>
      </c>
      <c r="G101">
        <f>'R.M Billets Reports'!D100</f>
      </c>
      <c r="H101">
        <f>'R.M Billets Reports'!E100</f>
      </c>
      <c r="I101">
        <f>'R.M Billets Reports'!F100</f>
      </c>
      <c r="J101">
        <f>'R.M Billets Reports'!G100</f>
      </c>
      <c r="K101">
        <f>'R.M Billets Reports'!H100</f>
      </c>
      <c r="L101">
        <f>IF('R.M Billets Reports'!I100="","",'R.M Billets Reports'!I100)</f>
      </c>
      <c r="M101">
        <f t="shared" si="2"/>
      </c>
      <c r="N101">
        <f>IF('R.M Billets Reports'!J100="","",'R.M Billets Reports'!J100)</f>
      </c>
      <c r="O101">
        <f t="shared" si="3"/>
      </c>
      <c r="P101">
        <f>IF('R.M Billets Reports'!A100="SIZE",'R.M Billets Reports'!B100,P100)</f>
      </c>
    </row>
    <row r="102" spans="1:16" x14ac:dyDescent="0.25">
      <c r="A102">
        <f>IF(OR('R.M Billets Reports'!A101="Date-",'R.M Billets Reports'!A101="Date:-"),IF(IF(IF(ISNUMBER(SEARCH("Party Name:-",'R.M Billets Reports'!D101)),TRIM('R.M Billets Reports'!F101),IF(ISNUMBER(SEARCH("Party Name-",'R.M Billets Reports'!D101)),TRIM(MID('R.M Billets Reports'!D101,SEARCH("-",'R.M Billets Reports'!D101)+1,200)),""))&lt;&gt;"",IF(ISNUMBER(SEARCH("Party Name:-",'R.M Billets Reports'!D101)),TRIM('R.M Billets Reports'!F101),IF(ISNUMBER(SEARCH("Party Name-",'R.M Billets Reports'!D101)),TRIM(MID('R.M Billets Reports'!D101,SEARCH("-",'R.M Billets Reports'!D101)+1,200)),"")),IF(ISNUMBER(SEARCH("Party Name:-",'R.M Billets Reports'!D102)),TRIM('R.M Billets Reports'!F102),IF(ISNUMBER(SEARCH("Party Name-",'R.M Billets Reports'!D102)),TRIM(MID('R.M Billets Reports'!D102,SEARCH("-",'R.M Billets Reports'!D102)+1,200)),"")))="VRKP ISPAT PVT LTD","VRKP",IF(IF(IF(ISNUMBER(SEARCH("Party Name:-",'R.M Billets Reports'!D101)),TRIM('R.M Billets Reports'!F101),IF(ISNUMBER(SEARCH("Party Name-",'R.M Billets Reports'!D101)),TRIM(MID('R.M Billets Reports'!D101,SEARCH("-",'R.M Billets Reports'!D101)+1,200)),""))&lt;&gt;"",IF(ISNUMBER(SEARCH("Party Name:-",'R.M Billets Reports'!D101)),TRIM('R.M Billets Reports'!F101),IF(ISNUMBER(SEARCH("Party Name-",'R.M Billets Reports'!D101)),TRIM(MID('R.M Billets Reports'!D101,SEARCH("-",'R.M Billets Reports'!D101)+1,200)),"")),IF(ISNUMBER(SEARCH("Party Name:-",'R.M Billets Reports'!D102)),TRIM('R.M Billets Reports'!F102),IF(ISNUMBER(SEARCH("Party Name-",'R.M Billets Reports'!D102)),TRIM(MID('R.M Billets Reports'!D102,SEARCH("-",'R.M Billets Reports'!D102)+1,200)),"")))="SHRI RADHE","SHREE RADHE",IF(IF(IF(ISNUMBER(SEARCH("Party Name:-",'R.M Billets Reports'!D101)),TRIM('R.M Billets Reports'!F101),IF(ISNUMBER(SEARCH("Party Name-",'R.M Billets Reports'!D101)),TRIM(MID('R.M Billets Reports'!D101,SEARCH("-",'R.M Billets Reports'!D101)+1,200)),""))&lt;&gt;"",IF(ISNUMBER(SEARCH("Party Name:-",'R.M Billets Reports'!D101)),TRIM('R.M Billets Reports'!F101),IF(ISNUMBER(SEARCH("Party Name-",'R.M Billets Reports'!D101)),TRIM(MID('R.M Billets Reports'!D101,SEARCH("-",'R.M Billets Reports'!D101)+1,200)),"")),IF(ISNUMBER(SEARCH("Party Name:-",'R.M Billets Reports'!D102)),TRIM('R.M Billets Reports'!F102),IF(ISNUMBER(SEARCH("Party Name-",'R.M Billets Reports'!D102)),TRIM(MID('R.M Billets Reports'!D102,SEARCH("-",'R.M Billets Reports'!D102)+1,200)),"")))="SHREE RADHE SHAKTI SPONGE AND POWER PVT. LTD.","SHREE RADHE",IF(IF(ISNUMBER(SEARCH("Party Name:-",'R.M Billets Reports'!D101)),TRIM('R.M Billets Reports'!F101),IF(ISNUMBER(SEARCH("Party Name-",'R.M Billets Reports'!D101)),TRIM(MID('R.M Billets Reports'!D101,SEARCH("-",'R.M Billets Reports'!D101)+1,200)),""))&lt;&gt;"",IF(ISNUMBER(SEARCH("Party Name:-",'R.M Billets Reports'!D101)),TRIM('R.M Billets Reports'!F101),IF(ISNUMBER(SEARCH("Party Name-",'R.M Billets Reports'!D101)),TRIM(MID('R.M Billets Reports'!D101,SEARCH("-",'R.M Billets Reports'!D101)+1,200)),"")),IF(ISNUMBER(SEARCH("Party Name:-",'R.M Billets Reports'!D102)),TRIM('R.M Billets Reports'!F102),IF(ISNUMBER(SEARCH("Party Name-",'R.M Billets Reports'!D102)),TRIM(MID('R.M Billets Reports'!D102,SEARCH("-",'R.M Billets Reports'!D102)+1,200)),"")))))),IF(ROW()=2,"",A101))</f>
      </c>
      <c r="B102">
        <f>IF(OR('R.M Billets Reports'!A101="Date-",'R.M Billets Reports'!A101="Date:-"),'R.M Billets Reports'!B101,IF(ROW()=2,"",B101))</f>
      </c>
      <c r="C102">
        <f>IF('R.M Billets Reports'!A101="V.No.",'R.M Billets Reports'!B101,IF(ROW()=2,"",C101))</f>
      </c>
      <c r="D102">
        <f>IF('R.M Billets Reports'!A101&lt;&gt;"",'R.M Billets Reports'!A101,IF(ROW()=2,"",D101))</f>
      </c>
      <c r="E102">
        <f>IF('R.M Billets Reports'!B101="","",TRIM('R.M Billets Reports'!B101))</f>
      </c>
      <c r="F102">
        <f>'R.M Billets Reports'!C101</f>
      </c>
      <c r="G102">
        <f>'R.M Billets Reports'!D101</f>
      </c>
      <c r="H102">
        <f>'R.M Billets Reports'!E101</f>
      </c>
      <c r="I102">
        <f>'R.M Billets Reports'!F101</f>
      </c>
      <c r="J102">
        <f>'R.M Billets Reports'!G101</f>
      </c>
      <c r="K102">
        <f>'R.M Billets Reports'!H101</f>
      </c>
      <c r="L102">
        <f>IF('R.M Billets Reports'!I101="","",'R.M Billets Reports'!I101)</f>
      </c>
      <c r="M102">
        <f t="shared" si="2"/>
      </c>
      <c r="N102">
        <f>IF('R.M Billets Reports'!J101="","",'R.M Billets Reports'!J101)</f>
      </c>
      <c r="O102">
        <f t="shared" si="3"/>
      </c>
      <c r="P102">
        <f>IF('R.M Billets Reports'!A101="SIZE",'R.M Billets Reports'!B101,P101)</f>
      </c>
    </row>
    <row r="103" spans="1:16" x14ac:dyDescent="0.25">
      <c r="A103">
        <f>IF(OR('R.M Billets Reports'!A102="Date-",'R.M Billets Reports'!A102="Date:-"),IF(IF(IF(ISNUMBER(SEARCH("Party Name:-",'R.M Billets Reports'!D102)),TRIM('R.M Billets Reports'!F102),IF(ISNUMBER(SEARCH("Party Name-",'R.M Billets Reports'!D102)),TRIM(MID('R.M Billets Reports'!D102,SEARCH("-",'R.M Billets Reports'!D102)+1,200)),""))&lt;&gt;"",IF(ISNUMBER(SEARCH("Party Name:-",'R.M Billets Reports'!D102)),TRIM('R.M Billets Reports'!F102),IF(ISNUMBER(SEARCH("Party Name-",'R.M Billets Reports'!D102)),TRIM(MID('R.M Billets Reports'!D102,SEARCH("-",'R.M Billets Reports'!D102)+1,200)),"")),IF(ISNUMBER(SEARCH("Party Name:-",'R.M Billets Reports'!D103)),TRIM('R.M Billets Reports'!F103),IF(ISNUMBER(SEARCH("Party Name-",'R.M Billets Reports'!D103)),TRIM(MID('R.M Billets Reports'!D103,SEARCH("-",'R.M Billets Reports'!D103)+1,200)),"")))="VRKP ISPAT PVT LTD","VRKP",IF(IF(IF(ISNUMBER(SEARCH("Party Name:-",'R.M Billets Reports'!D102)),TRIM('R.M Billets Reports'!F102),IF(ISNUMBER(SEARCH("Party Name-",'R.M Billets Reports'!D102)),TRIM(MID('R.M Billets Reports'!D102,SEARCH("-",'R.M Billets Reports'!D102)+1,200)),""))&lt;&gt;"",IF(ISNUMBER(SEARCH("Party Name:-",'R.M Billets Reports'!D102)),TRIM('R.M Billets Reports'!F102),IF(ISNUMBER(SEARCH("Party Name-",'R.M Billets Reports'!D102)),TRIM(MID('R.M Billets Reports'!D102,SEARCH("-",'R.M Billets Reports'!D102)+1,200)),"")),IF(ISNUMBER(SEARCH("Party Name:-",'R.M Billets Reports'!D103)),TRIM('R.M Billets Reports'!F103),IF(ISNUMBER(SEARCH("Party Name-",'R.M Billets Reports'!D103)),TRIM(MID('R.M Billets Reports'!D103,SEARCH("-",'R.M Billets Reports'!D103)+1,200)),"")))="SHRI RADHE","SHREE RADHE",IF(IF(IF(ISNUMBER(SEARCH("Party Name:-",'R.M Billets Reports'!D102)),TRIM('R.M Billets Reports'!F102),IF(ISNUMBER(SEARCH("Party Name-",'R.M Billets Reports'!D102)),TRIM(MID('R.M Billets Reports'!D102,SEARCH("-",'R.M Billets Reports'!D102)+1,200)),""))&lt;&gt;"",IF(ISNUMBER(SEARCH("Party Name:-",'R.M Billets Reports'!D102)),TRIM('R.M Billets Reports'!F102),IF(ISNUMBER(SEARCH("Party Name-",'R.M Billets Reports'!D102)),TRIM(MID('R.M Billets Reports'!D102,SEARCH("-",'R.M Billets Reports'!D102)+1,200)),"")),IF(ISNUMBER(SEARCH("Party Name:-",'R.M Billets Reports'!D103)),TRIM('R.M Billets Reports'!F103),IF(ISNUMBER(SEARCH("Party Name-",'R.M Billets Reports'!D103)),TRIM(MID('R.M Billets Reports'!D103,SEARCH("-",'R.M Billets Reports'!D103)+1,200)),"")))="SHREE RADHE SHAKTI SPONGE AND POWER PVT. LTD.","SHREE RADHE",IF(IF(ISNUMBER(SEARCH("Party Name:-",'R.M Billets Reports'!D102)),TRIM('R.M Billets Reports'!F102),IF(ISNUMBER(SEARCH("Party Name-",'R.M Billets Reports'!D102)),TRIM(MID('R.M Billets Reports'!D102,SEARCH("-",'R.M Billets Reports'!D102)+1,200)),""))&lt;&gt;"",IF(ISNUMBER(SEARCH("Party Name:-",'R.M Billets Reports'!D102)),TRIM('R.M Billets Reports'!F102),IF(ISNUMBER(SEARCH("Party Name-",'R.M Billets Reports'!D102)),TRIM(MID('R.M Billets Reports'!D102,SEARCH("-",'R.M Billets Reports'!D102)+1,200)),"")),IF(ISNUMBER(SEARCH("Party Name:-",'R.M Billets Reports'!D103)),TRIM('R.M Billets Reports'!F103),IF(ISNUMBER(SEARCH("Party Name-",'R.M Billets Reports'!D103)),TRIM(MID('R.M Billets Reports'!D103,SEARCH("-",'R.M Billets Reports'!D103)+1,200)),"")))))),IF(ROW()=2,"",A102))</f>
      </c>
      <c r="B103">
        <f>IF(OR('R.M Billets Reports'!A102="Date-",'R.M Billets Reports'!A102="Date:-"),'R.M Billets Reports'!B102,IF(ROW()=2,"",B102))</f>
      </c>
      <c r="C103">
        <f>IF('R.M Billets Reports'!A102="V.No.",'R.M Billets Reports'!B102,IF(ROW()=2,"",C102))</f>
      </c>
      <c r="D103">
        <f>IF('R.M Billets Reports'!A102&lt;&gt;"",'R.M Billets Reports'!A102,IF(ROW()=2,"",D102))</f>
      </c>
      <c r="E103">
        <f>IF('R.M Billets Reports'!B102="","",TRIM('R.M Billets Reports'!B102))</f>
      </c>
      <c r="F103">
        <f>'R.M Billets Reports'!C102</f>
      </c>
      <c r="G103">
        <f>'R.M Billets Reports'!D102</f>
      </c>
      <c r="H103">
        <f>'R.M Billets Reports'!E102</f>
      </c>
      <c r="I103">
        <f>'R.M Billets Reports'!F102</f>
      </c>
      <c r="J103">
        <f>'R.M Billets Reports'!G102</f>
      </c>
      <c r="K103">
        <f>'R.M Billets Reports'!H102</f>
      </c>
      <c r="L103">
        <f>IF('R.M Billets Reports'!I102="","",'R.M Billets Reports'!I102)</f>
      </c>
      <c r="M103">
        <f t="shared" si="2"/>
      </c>
      <c r="N103">
        <f>IF('R.M Billets Reports'!J102="","",'R.M Billets Reports'!J102)</f>
      </c>
      <c r="O103">
        <f t="shared" si="3"/>
      </c>
      <c r="P103">
        <f>IF('R.M Billets Reports'!A102="SIZE",'R.M Billets Reports'!B102,P102)</f>
      </c>
    </row>
    <row r="104" spans="1:16" x14ac:dyDescent="0.25">
      <c r="A104">
        <f>IF(OR('R.M Billets Reports'!A103="Date-",'R.M Billets Reports'!A103="Date:-"),IF(IF(IF(ISNUMBER(SEARCH("Party Name:-",'R.M Billets Reports'!D103)),TRIM('R.M Billets Reports'!F103),IF(ISNUMBER(SEARCH("Party Name-",'R.M Billets Reports'!D103)),TRIM(MID('R.M Billets Reports'!D103,SEARCH("-",'R.M Billets Reports'!D103)+1,200)),""))&lt;&gt;"",IF(ISNUMBER(SEARCH("Party Name:-",'R.M Billets Reports'!D103)),TRIM('R.M Billets Reports'!F103),IF(ISNUMBER(SEARCH("Party Name-",'R.M Billets Reports'!D103)),TRIM(MID('R.M Billets Reports'!D103,SEARCH("-",'R.M Billets Reports'!D103)+1,200)),"")),IF(ISNUMBER(SEARCH("Party Name:-",'R.M Billets Reports'!D104)),TRIM('R.M Billets Reports'!F104),IF(ISNUMBER(SEARCH("Party Name-",'R.M Billets Reports'!D104)),TRIM(MID('R.M Billets Reports'!D104,SEARCH("-",'R.M Billets Reports'!D104)+1,200)),"")))="VRKP ISPAT PVT LTD","VRKP",IF(IF(IF(ISNUMBER(SEARCH("Party Name:-",'R.M Billets Reports'!D103)),TRIM('R.M Billets Reports'!F103),IF(ISNUMBER(SEARCH("Party Name-",'R.M Billets Reports'!D103)),TRIM(MID('R.M Billets Reports'!D103,SEARCH("-",'R.M Billets Reports'!D103)+1,200)),""))&lt;&gt;"",IF(ISNUMBER(SEARCH("Party Name:-",'R.M Billets Reports'!D103)),TRIM('R.M Billets Reports'!F103),IF(ISNUMBER(SEARCH("Party Name-",'R.M Billets Reports'!D103)),TRIM(MID('R.M Billets Reports'!D103,SEARCH("-",'R.M Billets Reports'!D103)+1,200)),"")),IF(ISNUMBER(SEARCH("Party Name:-",'R.M Billets Reports'!D104)),TRIM('R.M Billets Reports'!F104),IF(ISNUMBER(SEARCH("Party Name-",'R.M Billets Reports'!D104)),TRIM(MID('R.M Billets Reports'!D104,SEARCH("-",'R.M Billets Reports'!D104)+1,200)),"")))="SHRI RADHE","SHREE RADHE",IF(IF(IF(ISNUMBER(SEARCH("Party Name:-",'R.M Billets Reports'!D103)),TRIM('R.M Billets Reports'!F103),IF(ISNUMBER(SEARCH("Party Name-",'R.M Billets Reports'!D103)),TRIM(MID('R.M Billets Reports'!D103,SEARCH("-",'R.M Billets Reports'!D103)+1,200)),""))&lt;&gt;"",IF(ISNUMBER(SEARCH("Party Name:-",'R.M Billets Reports'!D103)),TRIM('R.M Billets Reports'!F103),IF(ISNUMBER(SEARCH("Party Name-",'R.M Billets Reports'!D103)),TRIM(MID('R.M Billets Reports'!D103,SEARCH("-",'R.M Billets Reports'!D103)+1,200)),"")),IF(ISNUMBER(SEARCH("Party Name:-",'R.M Billets Reports'!D104)),TRIM('R.M Billets Reports'!F104),IF(ISNUMBER(SEARCH("Party Name-",'R.M Billets Reports'!D104)),TRIM(MID('R.M Billets Reports'!D104,SEARCH("-",'R.M Billets Reports'!D104)+1,200)),"")))="SHREE RADHE SHAKTI SPONGE AND POWER PVT. LTD.","SHREE RADHE",IF(IF(ISNUMBER(SEARCH("Party Name:-",'R.M Billets Reports'!D103)),TRIM('R.M Billets Reports'!F103),IF(ISNUMBER(SEARCH("Party Name-",'R.M Billets Reports'!D103)),TRIM(MID('R.M Billets Reports'!D103,SEARCH("-",'R.M Billets Reports'!D103)+1,200)),""))&lt;&gt;"",IF(ISNUMBER(SEARCH("Party Name:-",'R.M Billets Reports'!D103)),TRIM('R.M Billets Reports'!F103),IF(ISNUMBER(SEARCH("Party Name-",'R.M Billets Reports'!D103)),TRIM(MID('R.M Billets Reports'!D103,SEARCH("-",'R.M Billets Reports'!D103)+1,200)),"")),IF(ISNUMBER(SEARCH("Party Name:-",'R.M Billets Reports'!D104)),TRIM('R.M Billets Reports'!F104),IF(ISNUMBER(SEARCH("Party Name-",'R.M Billets Reports'!D104)),TRIM(MID('R.M Billets Reports'!D104,SEARCH("-",'R.M Billets Reports'!D104)+1,200)),"")))))),IF(ROW()=2,"",A103))</f>
      </c>
      <c r="B104">
        <f>IF(OR('R.M Billets Reports'!A103="Date-",'R.M Billets Reports'!A103="Date:-"),'R.M Billets Reports'!B103,IF(ROW()=2,"",B103))</f>
      </c>
      <c r="C104">
        <f>IF('R.M Billets Reports'!A103="V.No.",'R.M Billets Reports'!B103,IF(ROW()=2,"",C103))</f>
      </c>
      <c r="D104">
        <f>IF('R.M Billets Reports'!A103&lt;&gt;"",'R.M Billets Reports'!A103,IF(ROW()=2,"",D103))</f>
      </c>
      <c r="E104">
        <f>IF('R.M Billets Reports'!B103="","",TRIM('R.M Billets Reports'!B103))</f>
      </c>
      <c r="F104">
        <f>'R.M Billets Reports'!C103</f>
      </c>
      <c r="G104">
        <f>'R.M Billets Reports'!D103</f>
      </c>
      <c r="H104">
        <f>'R.M Billets Reports'!E103</f>
      </c>
      <c r="I104">
        <f>'R.M Billets Reports'!F103</f>
      </c>
      <c r="J104">
        <f>'R.M Billets Reports'!G103</f>
      </c>
      <c r="K104">
        <f>'R.M Billets Reports'!H103</f>
      </c>
      <c r="L104">
        <f>IF('R.M Billets Reports'!I103="","",'R.M Billets Reports'!I103)</f>
      </c>
      <c r="M104">
        <f t="shared" si="2"/>
      </c>
      <c r="N104">
        <f>IF('R.M Billets Reports'!J103="","",'R.M Billets Reports'!J103)</f>
      </c>
      <c r="O104">
        <f t="shared" si="3"/>
      </c>
      <c r="P104">
        <f>IF('R.M Billets Reports'!A103="SIZE",'R.M Billets Reports'!B103,P103)</f>
      </c>
    </row>
    <row r="105" spans="1:16" x14ac:dyDescent="0.25">
      <c r="A105">
        <f>IF(OR('R.M Billets Reports'!A104="Date-",'R.M Billets Reports'!A104="Date:-"),IF(IF(IF(ISNUMBER(SEARCH("Party Name:-",'R.M Billets Reports'!D104)),TRIM('R.M Billets Reports'!F104),IF(ISNUMBER(SEARCH("Party Name-",'R.M Billets Reports'!D104)),TRIM(MID('R.M Billets Reports'!D104,SEARCH("-",'R.M Billets Reports'!D104)+1,200)),""))&lt;&gt;"",IF(ISNUMBER(SEARCH("Party Name:-",'R.M Billets Reports'!D104)),TRIM('R.M Billets Reports'!F104),IF(ISNUMBER(SEARCH("Party Name-",'R.M Billets Reports'!D104)),TRIM(MID('R.M Billets Reports'!D104,SEARCH("-",'R.M Billets Reports'!D104)+1,200)),"")),IF(ISNUMBER(SEARCH("Party Name:-",'R.M Billets Reports'!D105)),TRIM('R.M Billets Reports'!F105),IF(ISNUMBER(SEARCH("Party Name-",'R.M Billets Reports'!D105)),TRIM(MID('R.M Billets Reports'!D105,SEARCH("-",'R.M Billets Reports'!D105)+1,200)),"")))="VRKP ISPAT PVT LTD","VRKP",IF(IF(IF(ISNUMBER(SEARCH("Party Name:-",'R.M Billets Reports'!D104)),TRIM('R.M Billets Reports'!F104),IF(ISNUMBER(SEARCH("Party Name-",'R.M Billets Reports'!D104)),TRIM(MID('R.M Billets Reports'!D104,SEARCH("-",'R.M Billets Reports'!D104)+1,200)),""))&lt;&gt;"",IF(ISNUMBER(SEARCH("Party Name:-",'R.M Billets Reports'!D104)),TRIM('R.M Billets Reports'!F104),IF(ISNUMBER(SEARCH("Party Name-",'R.M Billets Reports'!D104)),TRIM(MID('R.M Billets Reports'!D104,SEARCH("-",'R.M Billets Reports'!D104)+1,200)),"")),IF(ISNUMBER(SEARCH("Party Name:-",'R.M Billets Reports'!D105)),TRIM('R.M Billets Reports'!F105),IF(ISNUMBER(SEARCH("Party Name-",'R.M Billets Reports'!D105)),TRIM(MID('R.M Billets Reports'!D105,SEARCH("-",'R.M Billets Reports'!D105)+1,200)),"")))="SHRI RADHE","SHREE RADHE",IF(IF(IF(ISNUMBER(SEARCH("Party Name:-",'R.M Billets Reports'!D104)),TRIM('R.M Billets Reports'!F104),IF(ISNUMBER(SEARCH("Party Name-",'R.M Billets Reports'!D104)),TRIM(MID('R.M Billets Reports'!D104,SEARCH("-",'R.M Billets Reports'!D104)+1,200)),""))&lt;&gt;"",IF(ISNUMBER(SEARCH("Party Name:-",'R.M Billets Reports'!D104)),TRIM('R.M Billets Reports'!F104),IF(ISNUMBER(SEARCH("Party Name-",'R.M Billets Reports'!D104)),TRIM(MID('R.M Billets Reports'!D104,SEARCH("-",'R.M Billets Reports'!D104)+1,200)),"")),IF(ISNUMBER(SEARCH("Party Name:-",'R.M Billets Reports'!D105)),TRIM('R.M Billets Reports'!F105),IF(ISNUMBER(SEARCH("Party Name-",'R.M Billets Reports'!D105)),TRIM(MID('R.M Billets Reports'!D105,SEARCH("-",'R.M Billets Reports'!D105)+1,200)),"")))="SHREE RADHE SHAKTI SPONGE AND POWER PVT. LTD.","SHREE RADHE",IF(IF(ISNUMBER(SEARCH("Party Name:-",'R.M Billets Reports'!D104)),TRIM('R.M Billets Reports'!F104),IF(ISNUMBER(SEARCH("Party Name-",'R.M Billets Reports'!D104)),TRIM(MID('R.M Billets Reports'!D104,SEARCH("-",'R.M Billets Reports'!D104)+1,200)),""))&lt;&gt;"",IF(ISNUMBER(SEARCH("Party Name:-",'R.M Billets Reports'!D104)),TRIM('R.M Billets Reports'!F104),IF(ISNUMBER(SEARCH("Party Name-",'R.M Billets Reports'!D104)),TRIM(MID('R.M Billets Reports'!D104,SEARCH("-",'R.M Billets Reports'!D104)+1,200)),"")),IF(ISNUMBER(SEARCH("Party Name:-",'R.M Billets Reports'!D105)),TRIM('R.M Billets Reports'!F105),IF(ISNUMBER(SEARCH("Party Name-",'R.M Billets Reports'!D105)),TRIM(MID('R.M Billets Reports'!D105,SEARCH("-",'R.M Billets Reports'!D105)+1,200)),"")))))),IF(ROW()=2,"",A104))</f>
      </c>
      <c r="B105">
        <f>IF(OR('R.M Billets Reports'!A104="Date-",'R.M Billets Reports'!A104="Date:-"),'R.M Billets Reports'!B104,IF(ROW()=2,"",B104))</f>
      </c>
      <c r="C105">
        <f>IF('R.M Billets Reports'!A104="V.No.",'R.M Billets Reports'!B104,IF(ROW()=2,"",C104))</f>
      </c>
      <c r="D105">
        <f>IF('R.M Billets Reports'!A104&lt;&gt;"",'R.M Billets Reports'!A104,IF(ROW()=2,"",D104))</f>
      </c>
      <c r="E105">
        <f>IF('R.M Billets Reports'!B104="","",TRIM('R.M Billets Reports'!B104))</f>
      </c>
      <c r="F105">
        <f>'R.M Billets Reports'!C104</f>
      </c>
      <c r="G105">
        <f>'R.M Billets Reports'!D104</f>
      </c>
      <c r="H105">
        <f>'R.M Billets Reports'!E104</f>
      </c>
      <c r="I105">
        <f>'R.M Billets Reports'!F104</f>
      </c>
      <c r="J105">
        <f>'R.M Billets Reports'!G104</f>
      </c>
      <c r="K105">
        <f>'R.M Billets Reports'!H104</f>
      </c>
      <c r="L105">
        <f>IF('R.M Billets Reports'!I104="","",'R.M Billets Reports'!I104)</f>
      </c>
      <c r="M105">
        <f t="shared" si="2"/>
      </c>
      <c r="N105">
        <f>IF('R.M Billets Reports'!J104="","",'R.M Billets Reports'!J104)</f>
      </c>
      <c r="O105">
        <f t="shared" si="3"/>
      </c>
      <c r="P105">
        <f>IF('R.M Billets Reports'!A104="SIZE",'R.M Billets Reports'!B104,P104)</f>
      </c>
    </row>
    <row r="106" spans="1:16" x14ac:dyDescent="0.25">
      <c r="A106">
        <f>IF(OR('R.M Billets Reports'!A105="Date-",'R.M Billets Reports'!A105="Date:-"),IF(IF(IF(ISNUMBER(SEARCH("Party Name:-",'R.M Billets Reports'!D105)),TRIM('R.M Billets Reports'!F105),IF(ISNUMBER(SEARCH("Party Name-",'R.M Billets Reports'!D105)),TRIM(MID('R.M Billets Reports'!D105,SEARCH("-",'R.M Billets Reports'!D105)+1,200)),""))&lt;&gt;"",IF(ISNUMBER(SEARCH("Party Name:-",'R.M Billets Reports'!D105)),TRIM('R.M Billets Reports'!F105),IF(ISNUMBER(SEARCH("Party Name-",'R.M Billets Reports'!D105)),TRIM(MID('R.M Billets Reports'!D105,SEARCH("-",'R.M Billets Reports'!D105)+1,200)),"")),IF(ISNUMBER(SEARCH("Party Name:-",'R.M Billets Reports'!D106)),TRIM('R.M Billets Reports'!F106),IF(ISNUMBER(SEARCH("Party Name-",'R.M Billets Reports'!D106)),TRIM(MID('R.M Billets Reports'!D106,SEARCH("-",'R.M Billets Reports'!D106)+1,200)),"")))="VRKP ISPAT PVT LTD","VRKP",IF(IF(IF(ISNUMBER(SEARCH("Party Name:-",'R.M Billets Reports'!D105)),TRIM('R.M Billets Reports'!F105),IF(ISNUMBER(SEARCH("Party Name-",'R.M Billets Reports'!D105)),TRIM(MID('R.M Billets Reports'!D105,SEARCH("-",'R.M Billets Reports'!D105)+1,200)),""))&lt;&gt;"",IF(ISNUMBER(SEARCH("Party Name:-",'R.M Billets Reports'!D105)),TRIM('R.M Billets Reports'!F105),IF(ISNUMBER(SEARCH("Party Name-",'R.M Billets Reports'!D105)),TRIM(MID('R.M Billets Reports'!D105,SEARCH("-",'R.M Billets Reports'!D105)+1,200)),"")),IF(ISNUMBER(SEARCH("Party Name:-",'R.M Billets Reports'!D106)),TRIM('R.M Billets Reports'!F106),IF(ISNUMBER(SEARCH("Party Name-",'R.M Billets Reports'!D106)),TRIM(MID('R.M Billets Reports'!D106,SEARCH("-",'R.M Billets Reports'!D106)+1,200)),"")))="SHRI RADHE","SHREE RADHE",IF(IF(IF(ISNUMBER(SEARCH("Party Name:-",'R.M Billets Reports'!D105)),TRIM('R.M Billets Reports'!F105),IF(ISNUMBER(SEARCH("Party Name-",'R.M Billets Reports'!D105)),TRIM(MID('R.M Billets Reports'!D105,SEARCH("-",'R.M Billets Reports'!D105)+1,200)),""))&lt;&gt;"",IF(ISNUMBER(SEARCH("Party Name:-",'R.M Billets Reports'!D105)),TRIM('R.M Billets Reports'!F105),IF(ISNUMBER(SEARCH("Party Name-",'R.M Billets Reports'!D105)),TRIM(MID('R.M Billets Reports'!D105,SEARCH("-",'R.M Billets Reports'!D105)+1,200)),"")),IF(ISNUMBER(SEARCH("Party Name:-",'R.M Billets Reports'!D106)),TRIM('R.M Billets Reports'!F106),IF(ISNUMBER(SEARCH("Party Name-",'R.M Billets Reports'!D106)),TRIM(MID('R.M Billets Reports'!D106,SEARCH("-",'R.M Billets Reports'!D106)+1,200)),"")))="SHREE RADHE SHAKTI SPONGE AND POWER PVT. LTD.","SHREE RADHE",IF(IF(ISNUMBER(SEARCH("Party Name:-",'R.M Billets Reports'!D105)),TRIM('R.M Billets Reports'!F105),IF(ISNUMBER(SEARCH("Party Name-",'R.M Billets Reports'!D105)),TRIM(MID('R.M Billets Reports'!D105,SEARCH("-",'R.M Billets Reports'!D105)+1,200)),""))&lt;&gt;"",IF(ISNUMBER(SEARCH("Party Name:-",'R.M Billets Reports'!D105)),TRIM('R.M Billets Reports'!F105),IF(ISNUMBER(SEARCH("Party Name-",'R.M Billets Reports'!D105)),TRIM(MID('R.M Billets Reports'!D105,SEARCH("-",'R.M Billets Reports'!D105)+1,200)),"")),IF(ISNUMBER(SEARCH("Party Name:-",'R.M Billets Reports'!D106)),TRIM('R.M Billets Reports'!F106),IF(ISNUMBER(SEARCH("Party Name-",'R.M Billets Reports'!D106)),TRIM(MID('R.M Billets Reports'!D106,SEARCH("-",'R.M Billets Reports'!D106)+1,200)),"")))))),IF(ROW()=2,"",A105))</f>
      </c>
      <c r="B106">
        <f>IF(OR('R.M Billets Reports'!A105="Date-",'R.M Billets Reports'!A105="Date:-"),'R.M Billets Reports'!B105,IF(ROW()=2,"",B105))</f>
      </c>
      <c r="C106">
        <f>IF('R.M Billets Reports'!A105="V.No.",'R.M Billets Reports'!B105,IF(ROW()=2,"",C105))</f>
      </c>
      <c r="D106">
        <f>IF('R.M Billets Reports'!A105&lt;&gt;"",'R.M Billets Reports'!A105,IF(ROW()=2,"",D105))</f>
      </c>
      <c r="E106">
        <f>IF('R.M Billets Reports'!B105="","",TRIM('R.M Billets Reports'!B105))</f>
      </c>
      <c r="F106">
        <f>'R.M Billets Reports'!C105</f>
      </c>
      <c r="G106">
        <f>'R.M Billets Reports'!D105</f>
      </c>
      <c r="H106">
        <f>'R.M Billets Reports'!E105</f>
      </c>
      <c r="I106">
        <f>'R.M Billets Reports'!F105</f>
      </c>
      <c r="J106">
        <f>'R.M Billets Reports'!G105</f>
      </c>
      <c r="K106">
        <f>'R.M Billets Reports'!H105</f>
      </c>
      <c r="L106">
        <f>IF('R.M Billets Reports'!I105="","",'R.M Billets Reports'!I105)</f>
      </c>
      <c r="M106">
        <f t="shared" si="2"/>
      </c>
      <c r="N106">
        <f>IF('R.M Billets Reports'!J105="","",'R.M Billets Reports'!J105)</f>
      </c>
      <c r="O106">
        <f t="shared" si="3"/>
      </c>
      <c r="P106">
        <f>IF('R.M Billets Reports'!A105="SIZE",'R.M Billets Reports'!B105,P105)</f>
      </c>
    </row>
    <row r="107" spans="1:16" x14ac:dyDescent="0.25">
      <c r="A107">
        <f>IF(OR('R.M Billets Reports'!A106="Date-",'R.M Billets Reports'!A106="Date:-"),IF(IF(IF(ISNUMBER(SEARCH("Party Name:-",'R.M Billets Reports'!D106)),TRIM('R.M Billets Reports'!F106),IF(ISNUMBER(SEARCH("Party Name-",'R.M Billets Reports'!D106)),TRIM(MID('R.M Billets Reports'!D106,SEARCH("-",'R.M Billets Reports'!D106)+1,200)),""))&lt;&gt;"",IF(ISNUMBER(SEARCH("Party Name:-",'R.M Billets Reports'!D106)),TRIM('R.M Billets Reports'!F106),IF(ISNUMBER(SEARCH("Party Name-",'R.M Billets Reports'!D106)),TRIM(MID('R.M Billets Reports'!D106,SEARCH("-",'R.M Billets Reports'!D106)+1,200)),"")),IF(ISNUMBER(SEARCH("Party Name:-",'R.M Billets Reports'!D107)),TRIM('R.M Billets Reports'!F107),IF(ISNUMBER(SEARCH("Party Name-",'R.M Billets Reports'!D107)),TRIM(MID('R.M Billets Reports'!D107,SEARCH("-",'R.M Billets Reports'!D107)+1,200)),"")))="VRKP ISPAT PVT LTD","VRKP",IF(IF(IF(ISNUMBER(SEARCH("Party Name:-",'R.M Billets Reports'!D106)),TRIM('R.M Billets Reports'!F106),IF(ISNUMBER(SEARCH("Party Name-",'R.M Billets Reports'!D106)),TRIM(MID('R.M Billets Reports'!D106,SEARCH("-",'R.M Billets Reports'!D106)+1,200)),""))&lt;&gt;"",IF(ISNUMBER(SEARCH("Party Name:-",'R.M Billets Reports'!D106)),TRIM('R.M Billets Reports'!F106),IF(ISNUMBER(SEARCH("Party Name-",'R.M Billets Reports'!D106)),TRIM(MID('R.M Billets Reports'!D106,SEARCH("-",'R.M Billets Reports'!D106)+1,200)),"")),IF(ISNUMBER(SEARCH("Party Name:-",'R.M Billets Reports'!D107)),TRIM('R.M Billets Reports'!F107),IF(ISNUMBER(SEARCH("Party Name-",'R.M Billets Reports'!D107)),TRIM(MID('R.M Billets Reports'!D107,SEARCH("-",'R.M Billets Reports'!D107)+1,200)),"")))="SHRI RADHE","SHREE RADHE",IF(IF(IF(ISNUMBER(SEARCH("Party Name:-",'R.M Billets Reports'!D106)),TRIM('R.M Billets Reports'!F106),IF(ISNUMBER(SEARCH("Party Name-",'R.M Billets Reports'!D106)),TRIM(MID('R.M Billets Reports'!D106,SEARCH("-",'R.M Billets Reports'!D106)+1,200)),""))&lt;&gt;"",IF(ISNUMBER(SEARCH("Party Name:-",'R.M Billets Reports'!D106)),TRIM('R.M Billets Reports'!F106),IF(ISNUMBER(SEARCH("Party Name-",'R.M Billets Reports'!D106)),TRIM(MID('R.M Billets Reports'!D106,SEARCH("-",'R.M Billets Reports'!D106)+1,200)),"")),IF(ISNUMBER(SEARCH("Party Name:-",'R.M Billets Reports'!D107)),TRIM('R.M Billets Reports'!F107),IF(ISNUMBER(SEARCH("Party Name-",'R.M Billets Reports'!D107)),TRIM(MID('R.M Billets Reports'!D107,SEARCH("-",'R.M Billets Reports'!D107)+1,200)),"")))="SHREE RADHE SHAKTI SPONGE AND POWER PVT. LTD.","SHREE RADHE",IF(IF(ISNUMBER(SEARCH("Party Name:-",'R.M Billets Reports'!D106)),TRIM('R.M Billets Reports'!F106),IF(ISNUMBER(SEARCH("Party Name-",'R.M Billets Reports'!D106)),TRIM(MID('R.M Billets Reports'!D106,SEARCH("-",'R.M Billets Reports'!D106)+1,200)),""))&lt;&gt;"",IF(ISNUMBER(SEARCH("Party Name:-",'R.M Billets Reports'!D106)),TRIM('R.M Billets Reports'!F106),IF(ISNUMBER(SEARCH("Party Name-",'R.M Billets Reports'!D106)),TRIM(MID('R.M Billets Reports'!D106,SEARCH("-",'R.M Billets Reports'!D106)+1,200)),"")),IF(ISNUMBER(SEARCH("Party Name:-",'R.M Billets Reports'!D107)),TRIM('R.M Billets Reports'!F107),IF(ISNUMBER(SEARCH("Party Name-",'R.M Billets Reports'!D107)),TRIM(MID('R.M Billets Reports'!D107,SEARCH("-",'R.M Billets Reports'!D107)+1,200)),"")))))),IF(ROW()=2,"",A106))</f>
      </c>
      <c r="B107">
        <f>IF(OR('R.M Billets Reports'!A106="Date-",'R.M Billets Reports'!A106="Date:-"),'R.M Billets Reports'!B106,IF(ROW()=2,"",B106))</f>
      </c>
      <c r="C107">
        <f>IF('R.M Billets Reports'!A106="V.No.",'R.M Billets Reports'!B106,IF(ROW()=2,"",C106))</f>
      </c>
      <c r="D107">
        <f>IF('R.M Billets Reports'!A106&lt;&gt;"",'R.M Billets Reports'!A106,IF(ROW()=2,"",D106))</f>
      </c>
      <c r="E107">
        <f>IF('R.M Billets Reports'!B106="","",TRIM('R.M Billets Reports'!B106))</f>
      </c>
      <c r="F107">
        <f>'R.M Billets Reports'!C106</f>
      </c>
      <c r="G107">
        <f>'R.M Billets Reports'!D106</f>
      </c>
      <c r="H107">
        <f>'R.M Billets Reports'!E106</f>
      </c>
      <c r="I107">
        <f>'R.M Billets Reports'!F106</f>
      </c>
      <c r="J107">
        <f>'R.M Billets Reports'!G106</f>
      </c>
      <c r="K107">
        <f>'R.M Billets Reports'!H106</f>
      </c>
      <c r="L107">
        <f>IF('R.M Billets Reports'!I106="","",'R.M Billets Reports'!I106)</f>
      </c>
      <c r="M107">
        <f t="shared" si="2"/>
      </c>
      <c r="N107">
        <f>IF('R.M Billets Reports'!J106="","",'R.M Billets Reports'!J106)</f>
      </c>
      <c r="O107">
        <f t="shared" si="3"/>
      </c>
      <c r="P107">
        <f>IF('R.M Billets Reports'!A106="SIZE",'R.M Billets Reports'!B106,P106)</f>
      </c>
    </row>
    <row r="108" spans="1:16" x14ac:dyDescent="0.25">
      <c r="A108">
        <f>IF(OR('R.M Billets Reports'!A107="Date-",'R.M Billets Reports'!A107="Date:-"),IF(IF(IF(ISNUMBER(SEARCH("Party Name:-",'R.M Billets Reports'!D107)),TRIM('R.M Billets Reports'!F107),IF(ISNUMBER(SEARCH("Party Name-",'R.M Billets Reports'!D107)),TRIM(MID('R.M Billets Reports'!D107,SEARCH("-",'R.M Billets Reports'!D107)+1,200)),""))&lt;&gt;"",IF(ISNUMBER(SEARCH("Party Name:-",'R.M Billets Reports'!D107)),TRIM('R.M Billets Reports'!F107),IF(ISNUMBER(SEARCH("Party Name-",'R.M Billets Reports'!D107)),TRIM(MID('R.M Billets Reports'!D107,SEARCH("-",'R.M Billets Reports'!D107)+1,200)),"")),IF(ISNUMBER(SEARCH("Party Name:-",'R.M Billets Reports'!D108)),TRIM('R.M Billets Reports'!F108),IF(ISNUMBER(SEARCH("Party Name-",'R.M Billets Reports'!D108)),TRIM(MID('R.M Billets Reports'!D108,SEARCH("-",'R.M Billets Reports'!D108)+1,200)),"")))="VRKP ISPAT PVT LTD","VRKP",IF(IF(IF(ISNUMBER(SEARCH("Party Name:-",'R.M Billets Reports'!D107)),TRIM('R.M Billets Reports'!F107),IF(ISNUMBER(SEARCH("Party Name-",'R.M Billets Reports'!D107)),TRIM(MID('R.M Billets Reports'!D107,SEARCH("-",'R.M Billets Reports'!D107)+1,200)),""))&lt;&gt;"",IF(ISNUMBER(SEARCH("Party Name:-",'R.M Billets Reports'!D107)),TRIM('R.M Billets Reports'!F107),IF(ISNUMBER(SEARCH("Party Name-",'R.M Billets Reports'!D107)),TRIM(MID('R.M Billets Reports'!D107,SEARCH("-",'R.M Billets Reports'!D107)+1,200)),"")),IF(ISNUMBER(SEARCH("Party Name:-",'R.M Billets Reports'!D108)),TRIM('R.M Billets Reports'!F108),IF(ISNUMBER(SEARCH("Party Name-",'R.M Billets Reports'!D108)),TRIM(MID('R.M Billets Reports'!D108,SEARCH("-",'R.M Billets Reports'!D108)+1,200)),"")))="SHRI RADHE","SHREE RADHE",IF(IF(IF(ISNUMBER(SEARCH("Party Name:-",'R.M Billets Reports'!D107)),TRIM('R.M Billets Reports'!F107),IF(ISNUMBER(SEARCH("Party Name-",'R.M Billets Reports'!D107)),TRIM(MID('R.M Billets Reports'!D107,SEARCH("-",'R.M Billets Reports'!D107)+1,200)),""))&lt;&gt;"",IF(ISNUMBER(SEARCH("Party Name:-",'R.M Billets Reports'!D107)),TRIM('R.M Billets Reports'!F107),IF(ISNUMBER(SEARCH("Party Name-",'R.M Billets Reports'!D107)),TRIM(MID('R.M Billets Reports'!D107,SEARCH("-",'R.M Billets Reports'!D107)+1,200)),"")),IF(ISNUMBER(SEARCH("Party Name:-",'R.M Billets Reports'!D108)),TRIM('R.M Billets Reports'!F108),IF(ISNUMBER(SEARCH("Party Name-",'R.M Billets Reports'!D108)),TRIM(MID('R.M Billets Reports'!D108,SEARCH("-",'R.M Billets Reports'!D108)+1,200)),"")))="SHREE RADHE SHAKTI SPONGE AND POWER PVT. LTD.","SHREE RADHE",IF(IF(ISNUMBER(SEARCH("Party Name:-",'R.M Billets Reports'!D107)),TRIM('R.M Billets Reports'!F107),IF(ISNUMBER(SEARCH("Party Name-",'R.M Billets Reports'!D107)),TRIM(MID('R.M Billets Reports'!D107,SEARCH("-",'R.M Billets Reports'!D107)+1,200)),""))&lt;&gt;"",IF(ISNUMBER(SEARCH("Party Name:-",'R.M Billets Reports'!D107)),TRIM('R.M Billets Reports'!F107),IF(ISNUMBER(SEARCH("Party Name-",'R.M Billets Reports'!D107)),TRIM(MID('R.M Billets Reports'!D107,SEARCH("-",'R.M Billets Reports'!D107)+1,200)),"")),IF(ISNUMBER(SEARCH("Party Name:-",'R.M Billets Reports'!D108)),TRIM('R.M Billets Reports'!F108),IF(ISNUMBER(SEARCH("Party Name-",'R.M Billets Reports'!D108)),TRIM(MID('R.M Billets Reports'!D108,SEARCH("-",'R.M Billets Reports'!D108)+1,200)),"")))))),IF(ROW()=2,"",A107))</f>
      </c>
      <c r="B108">
        <f>IF(OR('R.M Billets Reports'!A107="Date-",'R.M Billets Reports'!A107="Date:-"),'R.M Billets Reports'!B107,IF(ROW()=2,"",B107))</f>
      </c>
      <c r="C108">
        <f>IF('R.M Billets Reports'!A107="V.No.",'R.M Billets Reports'!B107,IF(ROW()=2,"",C107))</f>
      </c>
      <c r="D108">
        <f>IF('R.M Billets Reports'!A107&lt;&gt;"",'R.M Billets Reports'!A107,IF(ROW()=2,"",D107))</f>
      </c>
      <c r="E108">
        <f>IF('R.M Billets Reports'!B107="","",TRIM('R.M Billets Reports'!B107))</f>
      </c>
      <c r="F108">
        <f>'R.M Billets Reports'!C107</f>
      </c>
      <c r="G108">
        <f>'R.M Billets Reports'!D107</f>
      </c>
      <c r="H108">
        <f>'R.M Billets Reports'!E107</f>
      </c>
      <c r="I108">
        <f>'R.M Billets Reports'!F107</f>
      </c>
      <c r="J108">
        <f>'R.M Billets Reports'!G107</f>
      </c>
      <c r="K108">
        <f>'R.M Billets Reports'!H107</f>
      </c>
      <c r="L108">
        <f>IF('R.M Billets Reports'!I107="","",'R.M Billets Reports'!I107)</f>
      </c>
      <c r="M108">
        <f t="shared" si="2"/>
      </c>
      <c r="N108">
        <f>IF('R.M Billets Reports'!J107="","",'R.M Billets Reports'!J107)</f>
      </c>
      <c r="O108">
        <f t="shared" si="3"/>
      </c>
      <c r="P108">
        <f>IF('R.M Billets Reports'!A107="SIZE",'R.M Billets Reports'!B107,P107)</f>
      </c>
    </row>
    <row r="109" spans="1:16" x14ac:dyDescent="0.25">
      <c r="A109">
        <f>IF(OR('R.M Billets Reports'!A108="Date-",'R.M Billets Reports'!A108="Date:-"),IF(IF(IF(ISNUMBER(SEARCH("Party Name:-",'R.M Billets Reports'!D108)),TRIM('R.M Billets Reports'!F108),IF(ISNUMBER(SEARCH("Party Name-",'R.M Billets Reports'!D108)),TRIM(MID('R.M Billets Reports'!D108,SEARCH("-",'R.M Billets Reports'!D108)+1,200)),""))&lt;&gt;"",IF(ISNUMBER(SEARCH("Party Name:-",'R.M Billets Reports'!D108)),TRIM('R.M Billets Reports'!F108),IF(ISNUMBER(SEARCH("Party Name-",'R.M Billets Reports'!D108)),TRIM(MID('R.M Billets Reports'!D108,SEARCH("-",'R.M Billets Reports'!D108)+1,200)),"")),IF(ISNUMBER(SEARCH("Party Name:-",'R.M Billets Reports'!D109)),TRIM('R.M Billets Reports'!F109),IF(ISNUMBER(SEARCH("Party Name-",'R.M Billets Reports'!D109)),TRIM(MID('R.M Billets Reports'!D109,SEARCH("-",'R.M Billets Reports'!D109)+1,200)),"")))="VRKP ISPAT PVT LTD","VRKP",IF(IF(IF(ISNUMBER(SEARCH("Party Name:-",'R.M Billets Reports'!D108)),TRIM('R.M Billets Reports'!F108),IF(ISNUMBER(SEARCH("Party Name-",'R.M Billets Reports'!D108)),TRIM(MID('R.M Billets Reports'!D108,SEARCH("-",'R.M Billets Reports'!D108)+1,200)),""))&lt;&gt;"",IF(ISNUMBER(SEARCH("Party Name:-",'R.M Billets Reports'!D108)),TRIM('R.M Billets Reports'!F108),IF(ISNUMBER(SEARCH("Party Name-",'R.M Billets Reports'!D108)),TRIM(MID('R.M Billets Reports'!D108,SEARCH("-",'R.M Billets Reports'!D108)+1,200)),"")),IF(ISNUMBER(SEARCH("Party Name:-",'R.M Billets Reports'!D109)),TRIM('R.M Billets Reports'!F109),IF(ISNUMBER(SEARCH("Party Name-",'R.M Billets Reports'!D109)),TRIM(MID('R.M Billets Reports'!D109,SEARCH("-",'R.M Billets Reports'!D109)+1,200)),"")))="SHRI RADHE","SHREE RADHE",IF(IF(IF(ISNUMBER(SEARCH("Party Name:-",'R.M Billets Reports'!D108)),TRIM('R.M Billets Reports'!F108),IF(ISNUMBER(SEARCH("Party Name-",'R.M Billets Reports'!D108)),TRIM(MID('R.M Billets Reports'!D108,SEARCH("-",'R.M Billets Reports'!D108)+1,200)),""))&lt;&gt;"",IF(ISNUMBER(SEARCH("Party Name:-",'R.M Billets Reports'!D108)),TRIM('R.M Billets Reports'!F108),IF(ISNUMBER(SEARCH("Party Name-",'R.M Billets Reports'!D108)),TRIM(MID('R.M Billets Reports'!D108,SEARCH("-",'R.M Billets Reports'!D108)+1,200)),"")),IF(ISNUMBER(SEARCH("Party Name:-",'R.M Billets Reports'!D109)),TRIM('R.M Billets Reports'!F109),IF(ISNUMBER(SEARCH("Party Name-",'R.M Billets Reports'!D109)),TRIM(MID('R.M Billets Reports'!D109,SEARCH("-",'R.M Billets Reports'!D109)+1,200)),"")))="SHREE RADHE SHAKTI SPONGE AND POWER PVT. LTD.","SHREE RADHE",IF(IF(ISNUMBER(SEARCH("Party Name:-",'R.M Billets Reports'!D108)),TRIM('R.M Billets Reports'!F108),IF(ISNUMBER(SEARCH("Party Name-",'R.M Billets Reports'!D108)),TRIM(MID('R.M Billets Reports'!D108,SEARCH("-",'R.M Billets Reports'!D108)+1,200)),""))&lt;&gt;"",IF(ISNUMBER(SEARCH("Party Name:-",'R.M Billets Reports'!D108)),TRIM('R.M Billets Reports'!F108),IF(ISNUMBER(SEARCH("Party Name-",'R.M Billets Reports'!D108)),TRIM(MID('R.M Billets Reports'!D108,SEARCH("-",'R.M Billets Reports'!D108)+1,200)),"")),IF(ISNUMBER(SEARCH("Party Name:-",'R.M Billets Reports'!D109)),TRIM('R.M Billets Reports'!F109),IF(ISNUMBER(SEARCH("Party Name-",'R.M Billets Reports'!D109)),TRIM(MID('R.M Billets Reports'!D109,SEARCH("-",'R.M Billets Reports'!D109)+1,200)),"")))))),IF(ROW()=2,"",A108))</f>
      </c>
      <c r="B109">
        <f>IF(OR('R.M Billets Reports'!A108="Date-",'R.M Billets Reports'!A108="Date:-"),'R.M Billets Reports'!B108,IF(ROW()=2,"",B108))</f>
      </c>
      <c r="C109">
        <f>IF('R.M Billets Reports'!A108="V.No.",'R.M Billets Reports'!B108,IF(ROW()=2,"",C108))</f>
      </c>
      <c r="D109">
        <f>IF('R.M Billets Reports'!A108&lt;&gt;"",'R.M Billets Reports'!A108,IF(ROW()=2,"",D108))</f>
      </c>
      <c r="E109">
        <f>IF('R.M Billets Reports'!B108="","",TRIM('R.M Billets Reports'!B108))</f>
      </c>
      <c r="F109">
        <f>'R.M Billets Reports'!C108</f>
      </c>
      <c r="G109">
        <f>'R.M Billets Reports'!D108</f>
      </c>
      <c r="H109">
        <f>'R.M Billets Reports'!E108</f>
      </c>
      <c r="I109">
        <f>'R.M Billets Reports'!F108</f>
      </c>
      <c r="J109">
        <f>'R.M Billets Reports'!G108</f>
      </c>
      <c r="K109">
        <f>'R.M Billets Reports'!H108</f>
      </c>
      <c r="L109">
        <f>IF('R.M Billets Reports'!I108="","",'R.M Billets Reports'!I108)</f>
      </c>
      <c r="M109">
        <f t="shared" si="2"/>
      </c>
      <c r="N109">
        <f>IF('R.M Billets Reports'!J108="","",'R.M Billets Reports'!J108)</f>
      </c>
      <c r="O109">
        <f t="shared" si="3"/>
      </c>
      <c r="P109">
        <f>IF('R.M Billets Reports'!A108="SIZE",'R.M Billets Reports'!B108,P108)</f>
      </c>
    </row>
    <row r="110" spans="1:16" x14ac:dyDescent="0.25">
      <c r="A110">
        <f>IF(OR('R.M Billets Reports'!A109="Date-",'R.M Billets Reports'!A109="Date:-"),IF(IF(IF(ISNUMBER(SEARCH("Party Name:-",'R.M Billets Reports'!D109)),TRIM('R.M Billets Reports'!F109),IF(ISNUMBER(SEARCH("Party Name-",'R.M Billets Reports'!D109)),TRIM(MID('R.M Billets Reports'!D109,SEARCH("-",'R.M Billets Reports'!D109)+1,200)),""))&lt;&gt;"",IF(ISNUMBER(SEARCH("Party Name:-",'R.M Billets Reports'!D109)),TRIM('R.M Billets Reports'!F109),IF(ISNUMBER(SEARCH("Party Name-",'R.M Billets Reports'!D109)),TRIM(MID('R.M Billets Reports'!D109,SEARCH("-",'R.M Billets Reports'!D109)+1,200)),"")),IF(ISNUMBER(SEARCH("Party Name:-",'R.M Billets Reports'!D110)),TRIM('R.M Billets Reports'!F110),IF(ISNUMBER(SEARCH("Party Name-",'R.M Billets Reports'!D110)),TRIM(MID('R.M Billets Reports'!D110,SEARCH("-",'R.M Billets Reports'!D110)+1,200)),"")))="VRKP ISPAT PVT LTD","VRKP",IF(IF(IF(ISNUMBER(SEARCH("Party Name:-",'R.M Billets Reports'!D109)),TRIM('R.M Billets Reports'!F109),IF(ISNUMBER(SEARCH("Party Name-",'R.M Billets Reports'!D109)),TRIM(MID('R.M Billets Reports'!D109,SEARCH("-",'R.M Billets Reports'!D109)+1,200)),""))&lt;&gt;"",IF(ISNUMBER(SEARCH("Party Name:-",'R.M Billets Reports'!D109)),TRIM('R.M Billets Reports'!F109),IF(ISNUMBER(SEARCH("Party Name-",'R.M Billets Reports'!D109)),TRIM(MID('R.M Billets Reports'!D109,SEARCH("-",'R.M Billets Reports'!D109)+1,200)),"")),IF(ISNUMBER(SEARCH("Party Name:-",'R.M Billets Reports'!D110)),TRIM('R.M Billets Reports'!F110),IF(ISNUMBER(SEARCH("Party Name-",'R.M Billets Reports'!D110)),TRIM(MID('R.M Billets Reports'!D110,SEARCH("-",'R.M Billets Reports'!D110)+1,200)),"")))="SHRI RADHE","SHREE RADHE",IF(IF(IF(ISNUMBER(SEARCH("Party Name:-",'R.M Billets Reports'!D109)),TRIM('R.M Billets Reports'!F109),IF(ISNUMBER(SEARCH("Party Name-",'R.M Billets Reports'!D109)),TRIM(MID('R.M Billets Reports'!D109,SEARCH("-",'R.M Billets Reports'!D109)+1,200)),""))&lt;&gt;"",IF(ISNUMBER(SEARCH("Party Name:-",'R.M Billets Reports'!D109)),TRIM('R.M Billets Reports'!F109),IF(ISNUMBER(SEARCH("Party Name-",'R.M Billets Reports'!D109)),TRIM(MID('R.M Billets Reports'!D109,SEARCH("-",'R.M Billets Reports'!D109)+1,200)),"")),IF(ISNUMBER(SEARCH("Party Name:-",'R.M Billets Reports'!D110)),TRIM('R.M Billets Reports'!F110),IF(ISNUMBER(SEARCH("Party Name-",'R.M Billets Reports'!D110)),TRIM(MID('R.M Billets Reports'!D110,SEARCH("-",'R.M Billets Reports'!D110)+1,200)),"")))="SHREE RADHE SHAKTI SPONGE AND POWER PVT. LTD.","SHREE RADHE",IF(IF(ISNUMBER(SEARCH("Party Name:-",'R.M Billets Reports'!D109)),TRIM('R.M Billets Reports'!F109),IF(ISNUMBER(SEARCH("Party Name-",'R.M Billets Reports'!D109)),TRIM(MID('R.M Billets Reports'!D109,SEARCH("-",'R.M Billets Reports'!D109)+1,200)),""))&lt;&gt;"",IF(ISNUMBER(SEARCH("Party Name:-",'R.M Billets Reports'!D109)),TRIM('R.M Billets Reports'!F109),IF(ISNUMBER(SEARCH("Party Name-",'R.M Billets Reports'!D109)),TRIM(MID('R.M Billets Reports'!D109,SEARCH("-",'R.M Billets Reports'!D109)+1,200)),"")),IF(ISNUMBER(SEARCH("Party Name:-",'R.M Billets Reports'!D110)),TRIM('R.M Billets Reports'!F110),IF(ISNUMBER(SEARCH("Party Name-",'R.M Billets Reports'!D110)),TRIM(MID('R.M Billets Reports'!D110,SEARCH("-",'R.M Billets Reports'!D110)+1,200)),"")))))),IF(ROW()=2,"",A109))</f>
      </c>
      <c r="B110">
        <f>IF(OR('R.M Billets Reports'!A109="Date-",'R.M Billets Reports'!A109="Date:-"),'R.M Billets Reports'!B109,IF(ROW()=2,"",B109))</f>
      </c>
      <c r="C110">
        <f>IF('R.M Billets Reports'!A109="V.No.",'R.M Billets Reports'!B109,IF(ROW()=2,"",C109))</f>
      </c>
      <c r="D110">
        <f>IF('R.M Billets Reports'!A109&lt;&gt;"",'R.M Billets Reports'!A109,IF(ROW()=2,"",D109))</f>
      </c>
      <c r="E110">
        <f>IF('R.M Billets Reports'!B109="","",TRIM('R.M Billets Reports'!B109))</f>
      </c>
      <c r="F110">
        <f>'R.M Billets Reports'!C109</f>
      </c>
      <c r="G110">
        <f>'R.M Billets Reports'!D109</f>
      </c>
      <c r="H110">
        <f>'R.M Billets Reports'!E109</f>
      </c>
      <c r="I110">
        <f>'R.M Billets Reports'!F109</f>
      </c>
      <c r="J110">
        <f>'R.M Billets Reports'!G109</f>
      </c>
      <c r="K110">
        <f>'R.M Billets Reports'!H109</f>
      </c>
      <c r="L110">
        <f>IF('R.M Billets Reports'!I109="","",'R.M Billets Reports'!I109)</f>
      </c>
      <c r="M110">
        <f t="shared" si="2"/>
      </c>
      <c r="N110">
        <f>IF('R.M Billets Reports'!J109="","",'R.M Billets Reports'!J109)</f>
      </c>
      <c r="O110">
        <f t="shared" si="3"/>
      </c>
      <c r="P110">
        <f>IF('R.M Billets Reports'!A109="SIZE",'R.M Billets Reports'!B109,P109)</f>
      </c>
    </row>
    <row r="111" spans="1:16" x14ac:dyDescent="0.25">
      <c r="A111">
        <f>IF(OR('R.M Billets Reports'!A110="Date-",'R.M Billets Reports'!A110="Date:-"),IF(IF(IF(ISNUMBER(SEARCH("Party Name:-",'R.M Billets Reports'!D110)),TRIM('R.M Billets Reports'!F110),IF(ISNUMBER(SEARCH("Party Name-",'R.M Billets Reports'!D110)),TRIM(MID('R.M Billets Reports'!D110,SEARCH("-",'R.M Billets Reports'!D110)+1,200)),""))&lt;&gt;"",IF(ISNUMBER(SEARCH("Party Name:-",'R.M Billets Reports'!D110)),TRIM('R.M Billets Reports'!F110),IF(ISNUMBER(SEARCH("Party Name-",'R.M Billets Reports'!D110)),TRIM(MID('R.M Billets Reports'!D110,SEARCH("-",'R.M Billets Reports'!D110)+1,200)),"")),IF(ISNUMBER(SEARCH("Party Name:-",'R.M Billets Reports'!D111)),TRIM('R.M Billets Reports'!F111),IF(ISNUMBER(SEARCH("Party Name-",'R.M Billets Reports'!D111)),TRIM(MID('R.M Billets Reports'!D111,SEARCH("-",'R.M Billets Reports'!D111)+1,200)),"")))="VRKP ISPAT PVT LTD","VRKP",IF(IF(IF(ISNUMBER(SEARCH("Party Name:-",'R.M Billets Reports'!D110)),TRIM('R.M Billets Reports'!F110),IF(ISNUMBER(SEARCH("Party Name-",'R.M Billets Reports'!D110)),TRIM(MID('R.M Billets Reports'!D110,SEARCH("-",'R.M Billets Reports'!D110)+1,200)),""))&lt;&gt;"",IF(ISNUMBER(SEARCH("Party Name:-",'R.M Billets Reports'!D110)),TRIM('R.M Billets Reports'!F110),IF(ISNUMBER(SEARCH("Party Name-",'R.M Billets Reports'!D110)),TRIM(MID('R.M Billets Reports'!D110,SEARCH("-",'R.M Billets Reports'!D110)+1,200)),"")),IF(ISNUMBER(SEARCH("Party Name:-",'R.M Billets Reports'!D111)),TRIM('R.M Billets Reports'!F111),IF(ISNUMBER(SEARCH("Party Name-",'R.M Billets Reports'!D111)),TRIM(MID('R.M Billets Reports'!D111,SEARCH("-",'R.M Billets Reports'!D111)+1,200)),"")))="SHRI RADHE","SHREE RADHE",IF(IF(IF(ISNUMBER(SEARCH("Party Name:-",'R.M Billets Reports'!D110)),TRIM('R.M Billets Reports'!F110),IF(ISNUMBER(SEARCH("Party Name-",'R.M Billets Reports'!D110)),TRIM(MID('R.M Billets Reports'!D110,SEARCH("-",'R.M Billets Reports'!D110)+1,200)),""))&lt;&gt;"",IF(ISNUMBER(SEARCH("Party Name:-",'R.M Billets Reports'!D110)),TRIM('R.M Billets Reports'!F110),IF(ISNUMBER(SEARCH("Party Name-",'R.M Billets Reports'!D110)),TRIM(MID('R.M Billets Reports'!D110,SEARCH("-",'R.M Billets Reports'!D110)+1,200)),"")),IF(ISNUMBER(SEARCH("Party Name:-",'R.M Billets Reports'!D111)),TRIM('R.M Billets Reports'!F111),IF(ISNUMBER(SEARCH("Party Name-",'R.M Billets Reports'!D111)),TRIM(MID('R.M Billets Reports'!D111,SEARCH("-",'R.M Billets Reports'!D111)+1,200)),"")))="SHREE RADHE SHAKTI SPONGE AND POWER PVT. LTD.","SHREE RADHE",IF(IF(ISNUMBER(SEARCH("Party Name:-",'R.M Billets Reports'!D110)),TRIM('R.M Billets Reports'!F110),IF(ISNUMBER(SEARCH("Party Name-",'R.M Billets Reports'!D110)),TRIM(MID('R.M Billets Reports'!D110,SEARCH("-",'R.M Billets Reports'!D110)+1,200)),""))&lt;&gt;"",IF(ISNUMBER(SEARCH("Party Name:-",'R.M Billets Reports'!D110)),TRIM('R.M Billets Reports'!F110),IF(ISNUMBER(SEARCH("Party Name-",'R.M Billets Reports'!D110)),TRIM(MID('R.M Billets Reports'!D110,SEARCH("-",'R.M Billets Reports'!D110)+1,200)),"")),IF(ISNUMBER(SEARCH("Party Name:-",'R.M Billets Reports'!D111)),TRIM('R.M Billets Reports'!F111),IF(ISNUMBER(SEARCH("Party Name-",'R.M Billets Reports'!D111)),TRIM(MID('R.M Billets Reports'!D111,SEARCH("-",'R.M Billets Reports'!D111)+1,200)),"")))))),IF(ROW()=2,"",A110))</f>
      </c>
      <c r="B111">
        <f>IF(OR('R.M Billets Reports'!A110="Date-",'R.M Billets Reports'!A110="Date:-"),'R.M Billets Reports'!B110,IF(ROW()=2,"",B110))</f>
      </c>
      <c r="C111">
        <f>IF('R.M Billets Reports'!A110="V.No.",'R.M Billets Reports'!B110,IF(ROW()=2,"",C110))</f>
      </c>
      <c r="D111">
        <f>IF('R.M Billets Reports'!A110&lt;&gt;"",'R.M Billets Reports'!A110,IF(ROW()=2,"",D110))</f>
      </c>
      <c r="E111">
        <f>IF('R.M Billets Reports'!B110="","",TRIM('R.M Billets Reports'!B110))</f>
      </c>
      <c r="F111">
        <f>'R.M Billets Reports'!C110</f>
      </c>
      <c r="G111">
        <f>'R.M Billets Reports'!D110</f>
      </c>
      <c r="H111">
        <f>'R.M Billets Reports'!E110</f>
      </c>
      <c r="I111">
        <f>'R.M Billets Reports'!F110</f>
      </c>
      <c r="J111">
        <f>'R.M Billets Reports'!G110</f>
      </c>
      <c r="K111">
        <f>'R.M Billets Reports'!H110</f>
      </c>
      <c r="L111">
        <f>IF('R.M Billets Reports'!I110="","",'R.M Billets Reports'!I110)</f>
      </c>
      <c r="M111">
        <f t="shared" si="2"/>
      </c>
      <c r="N111">
        <f>IF('R.M Billets Reports'!J110="","",'R.M Billets Reports'!J110)</f>
      </c>
      <c r="O111">
        <f t="shared" si="3"/>
      </c>
      <c r="P111">
        <f>IF('R.M Billets Reports'!A110="SIZE",'R.M Billets Reports'!B110,P110)</f>
      </c>
    </row>
    <row r="112" spans="1:16" x14ac:dyDescent="0.25">
      <c r="A112">
        <f>IF(OR('R.M Billets Reports'!A111="Date-",'R.M Billets Reports'!A111="Date:-"),IF(IF(IF(ISNUMBER(SEARCH("Party Name:-",'R.M Billets Reports'!D111)),TRIM('R.M Billets Reports'!F111),IF(ISNUMBER(SEARCH("Party Name-",'R.M Billets Reports'!D111)),TRIM(MID('R.M Billets Reports'!D111,SEARCH("-",'R.M Billets Reports'!D111)+1,200)),""))&lt;&gt;"",IF(ISNUMBER(SEARCH("Party Name:-",'R.M Billets Reports'!D111)),TRIM('R.M Billets Reports'!F111),IF(ISNUMBER(SEARCH("Party Name-",'R.M Billets Reports'!D111)),TRIM(MID('R.M Billets Reports'!D111,SEARCH("-",'R.M Billets Reports'!D111)+1,200)),"")),IF(ISNUMBER(SEARCH("Party Name:-",'R.M Billets Reports'!D112)),TRIM('R.M Billets Reports'!F112),IF(ISNUMBER(SEARCH("Party Name-",'R.M Billets Reports'!D112)),TRIM(MID('R.M Billets Reports'!D112,SEARCH("-",'R.M Billets Reports'!D112)+1,200)),"")))="VRKP ISPAT PVT LTD","VRKP",IF(IF(IF(ISNUMBER(SEARCH("Party Name:-",'R.M Billets Reports'!D111)),TRIM('R.M Billets Reports'!F111),IF(ISNUMBER(SEARCH("Party Name-",'R.M Billets Reports'!D111)),TRIM(MID('R.M Billets Reports'!D111,SEARCH("-",'R.M Billets Reports'!D111)+1,200)),""))&lt;&gt;"",IF(ISNUMBER(SEARCH("Party Name:-",'R.M Billets Reports'!D111)),TRIM('R.M Billets Reports'!F111),IF(ISNUMBER(SEARCH("Party Name-",'R.M Billets Reports'!D111)),TRIM(MID('R.M Billets Reports'!D111,SEARCH("-",'R.M Billets Reports'!D111)+1,200)),"")),IF(ISNUMBER(SEARCH("Party Name:-",'R.M Billets Reports'!D112)),TRIM('R.M Billets Reports'!F112),IF(ISNUMBER(SEARCH("Party Name-",'R.M Billets Reports'!D112)),TRIM(MID('R.M Billets Reports'!D112,SEARCH("-",'R.M Billets Reports'!D112)+1,200)),"")))="SHRI RADHE","SHREE RADHE",IF(IF(IF(ISNUMBER(SEARCH("Party Name:-",'R.M Billets Reports'!D111)),TRIM('R.M Billets Reports'!F111),IF(ISNUMBER(SEARCH("Party Name-",'R.M Billets Reports'!D111)),TRIM(MID('R.M Billets Reports'!D111,SEARCH("-",'R.M Billets Reports'!D111)+1,200)),""))&lt;&gt;"",IF(ISNUMBER(SEARCH("Party Name:-",'R.M Billets Reports'!D111)),TRIM('R.M Billets Reports'!F111),IF(ISNUMBER(SEARCH("Party Name-",'R.M Billets Reports'!D111)),TRIM(MID('R.M Billets Reports'!D111,SEARCH("-",'R.M Billets Reports'!D111)+1,200)),"")),IF(ISNUMBER(SEARCH("Party Name:-",'R.M Billets Reports'!D112)),TRIM('R.M Billets Reports'!F112),IF(ISNUMBER(SEARCH("Party Name-",'R.M Billets Reports'!D112)),TRIM(MID('R.M Billets Reports'!D112,SEARCH("-",'R.M Billets Reports'!D112)+1,200)),"")))="SHREE RADHE SHAKTI SPONGE AND POWER PVT. LTD.","SHREE RADHE",IF(IF(ISNUMBER(SEARCH("Party Name:-",'R.M Billets Reports'!D111)),TRIM('R.M Billets Reports'!F111),IF(ISNUMBER(SEARCH("Party Name-",'R.M Billets Reports'!D111)),TRIM(MID('R.M Billets Reports'!D111,SEARCH("-",'R.M Billets Reports'!D111)+1,200)),""))&lt;&gt;"",IF(ISNUMBER(SEARCH("Party Name:-",'R.M Billets Reports'!D111)),TRIM('R.M Billets Reports'!F111),IF(ISNUMBER(SEARCH("Party Name-",'R.M Billets Reports'!D111)),TRIM(MID('R.M Billets Reports'!D111,SEARCH("-",'R.M Billets Reports'!D111)+1,200)),"")),IF(ISNUMBER(SEARCH("Party Name:-",'R.M Billets Reports'!D112)),TRIM('R.M Billets Reports'!F112),IF(ISNUMBER(SEARCH("Party Name-",'R.M Billets Reports'!D112)),TRIM(MID('R.M Billets Reports'!D112,SEARCH("-",'R.M Billets Reports'!D112)+1,200)),"")))))),IF(ROW()=2,"",A111))</f>
      </c>
      <c r="B112">
        <f>IF(OR('R.M Billets Reports'!A111="Date-",'R.M Billets Reports'!A111="Date:-"),'R.M Billets Reports'!B111,IF(ROW()=2,"",B111))</f>
      </c>
      <c r="C112">
        <f>IF('R.M Billets Reports'!A111="V.No.",'R.M Billets Reports'!B111,IF(ROW()=2,"",C111))</f>
      </c>
      <c r="D112">
        <f>IF('R.M Billets Reports'!A111&lt;&gt;"",'R.M Billets Reports'!A111,IF(ROW()=2,"",D111))</f>
      </c>
      <c r="E112">
        <f>IF('R.M Billets Reports'!B111="","",TRIM('R.M Billets Reports'!B111))</f>
      </c>
      <c r="F112">
        <f>'R.M Billets Reports'!C111</f>
      </c>
      <c r="G112">
        <f>'R.M Billets Reports'!D111</f>
      </c>
      <c r="H112">
        <f>'R.M Billets Reports'!E111</f>
      </c>
      <c r="I112">
        <f>'R.M Billets Reports'!F111</f>
      </c>
      <c r="J112">
        <f>'R.M Billets Reports'!G111</f>
      </c>
      <c r="K112">
        <f>'R.M Billets Reports'!H111</f>
      </c>
      <c r="L112">
        <f>IF('R.M Billets Reports'!I111="","",'R.M Billets Reports'!I111)</f>
      </c>
      <c r="M112">
        <f t="shared" si="2"/>
      </c>
      <c r="N112">
        <f>IF('R.M Billets Reports'!J111="","",'R.M Billets Reports'!J111)</f>
      </c>
      <c r="O112">
        <f t="shared" si="3"/>
      </c>
      <c r="P112">
        <f>IF('R.M Billets Reports'!A111="SIZE",'R.M Billets Reports'!B111,P111)</f>
      </c>
    </row>
    <row r="113" spans="1:16" x14ac:dyDescent="0.25">
      <c r="A113">
        <f>IF(OR('R.M Billets Reports'!A112="Date-",'R.M Billets Reports'!A112="Date:-"),IF(IF(IF(ISNUMBER(SEARCH("Party Name:-",'R.M Billets Reports'!D112)),TRIM('R.M Billets Reports'!F112),IF(ISNUMBER(SEARCH("Party Name-",'R.M Billets Reports'!D112)),TRIM(MID('R.M Billets Reports'!D112,SEARCH("-",'R.M Billets Reports'!D112)+1,200)),""))&lt;&gt;"",IF(ISNUMBER(SEARCH("Party Name:-",'R.M Billets Reports'!D112)),TRIM('R.M Billets Reports'!F112),IF(ISNUMBER(SEARCH("Party Name-",'R.M Billets Reports'!D112)),TRIM(MID('R.M Billets Reports'!D112,SEARCH("-",'R.M Billets Reports'!D112)+1,200)),"")),IF(ISNUMBER(SEARCH("Party Name:-",'R.M Billets Reports'!D113)),TRIM('R.M Billets Reports'!F113),IF(ISNUMBER(SEARCH("Party Name-",'R.M Billets Reports'!D113)),TRIM(MID('R.M Billets Reports'!D113,SEARCH("-",'R.M Billets Reports'!D113)+1,200)),"")))="VRKP ISPAT PVT LTD","VRKP",IF(IF(IF(ISNUMBER(SEARCH("Party Name:-",'R.M Billets Reports'!D112)),TRIM('R.M Billets Reports'!F112),IF(ISNUMBER(SEARCH("Party Name-",'R.M Billets Reports'!D112)),TRIM(MID('R.M Billets Reports'!D112,SEARCH("-",'R.M Billets Reports'!D112)+1,200)),""))&lt;&gt;"",IF(ISNUMBER(SEARCH("Party Name:-",'R.M Billets Reports'!D112)),TRIM('R.M Billets Reports'!F112),IF(ISNUMBER(SEARCH("Party Name-",'R.M Billets Reports'!D112)),TRIM(MID('R.M Billets Reports'!D112,SEARCH("-",'R.M Billets Reports'!D112)+1,200)),"")),IF(ISNUMBER(SEARCH("Party Name:-",'R.M Billets Reports'!D113)),TRIM('R.M Billets Reports'!F113),IF(ISNUMBER(SEARCH("Party Name-",'R.M Billets Reports'!D113)),TRIM(MID('R.M Billets Reports'!D113,SEARCH("-",'R.M Billets Reports'!D113)+1,200)),"")))="SHRI RADHE","SHREE RADHE",IF(IF(IF(ISNUMBER(SEARCH("Party Name:-",'R.M Billets Reports'!D112)),TRIM('R.M Billets Reports'!F112),IF(ISNUMBER(SEARCH("Party Name-",'R.M Billets Reports'!D112)),TRIM(MID('R.M Billets Reports'!D112,SEARCH("-",'R.M Billets Reports'!D112)+1,200)),""))&lt;&gt;"",IF(ISNUMBER(SEARCH("Party Name:-",'R.M Billets Reports'!D112)),TRIM('R.M Billets Reports'!F112),IF(ISNUMBER(SEARCH("Party Name-",'R.M Billets Reports'!D112)),TRIM(MID('R.M Billets Reports'!D112,SEARCH("-",'R.M Billets Reports'!D112)+1,200)),"")),IF(ISNUMBER(SEARCH("Party Name:-",'R.M Billets Reports'!D113)),TRIM('R.M Billets Reports'!F113),IF(ISNUMBER(SEARCH("Party Name-",'R.M Billets Reports'!D113)),TRIM(MID('R.M Billets Reports'!D113,SEARCH("-",'R.M Billets Reports'!D113)+1,200)),"")))="SHREE RADHE SHAKTI SPONGE AND POWER PVT. LTD.","SHREE RADHE",IF(IF(ISNUMBER(SEARCH("Party Name:-",'R.M Billets Reports'!D112)),TRIM('R.M Billets Reports'!F112),IF(ISNUMBER(SEARCH("Party Name-",'R.M Billets Reports'!D112)),TRIM(MID('R.M Billets Reports'!D112,SEARCH("-",'R.M Billets Reports'!D112)+1,200)),""))&lt;&gt;"",IF(ISNUMBER(SEARCH("Party Name:-",'R.M Billets Reports'!D112)),TRIM('R.M Billets Reports'!F112),IF(ISNUMBER(SEARCH("Party Name-",'R.M Billets Reports'!D112)),TRIM(MID('R.M Billets Reports'!D112,SEARCH("-",'R.M Billets Reports'!D112)+1,200)),"")),IF(ISNUMBER(SEARCH("Party Name:-",'R.M Billets Reports'!D113)),TRIM('R.M Billets Reports'!F113),IF(ISNUMBER(SEARCH("Party Name-",'R.M Billets Reports'!D113)),TRIM(MID('R.M Billets Reports'!D113,SEARCH("-",'R.M Billets Reports'!D113)+1,200)),"")))))),IF(ROW()=2,"",A112))</f>
      </c>
      <c r="B113">
        <f>IF(OR('R.M Billets Reports'!A112="Date-",'R.M Billets Reports'!A112="Date:-"),'R.M Billets Reports'!B112,IF(ROW()=2,"",B112))</f>
      </c>
      <c r="C113">
        <f>IF('R.M Billets Reports'!A112="V.No.",'R.M Billets Reports'!B112,IF(ROW()=2,"",C112))</f>
      </c>
      <c r="D113">
        <f>IF('R.M Billets Reports'!A112&lt;&gt;"",'R.M Billets Reports'!A112,IF(ROW()=2,"",D112))</f>
      </c>
      <c r="E113">
        <f>IF('R.M Billets Reports'!B112="","",TRIM('R.M Billets Reports'!B112))</f>
      </c>
      <c r="F113">
        <f>'R.M Billets Reports'!C112</f>
      </c>
      <c r="G113">
        <f>'R.M Billets Reports'!D112</f>
      </c>
      <c r="H113">
        <f>'R.M Billets Reports'!E112</f>
      </c>
      <c r="I113">
        <f>'R.M Billets Reports'!F112</f>
      </c>
      <c r="J113">
        <f>'R.M Billets Reports'!G112</f>
      </c>
      <c r="K113">
        <f>'R.M Billets Reports'!H112</f>
      </c>
      <c r="L113">
        <f>IF('R.M Billets Reports'!I112="","",'R.M Billets Reports'!I112)</f>
      </c>
      <c r="M113">
        <f t="shared" si="2"/>
      </c>
      <c r="N113">
        <f>IF('R.M Billets Reports'!J112="","",'R.M Billets Reports'!J112)</f>
      </c>
      <c r="O113">
        <f t="shared" si="3"/>
      </c>
      <c r="P113">
        <f>IF('R.M Billets Reports'!A112="SIZE",'R.M Billets Reports'!B112,P112)</f>
      </c>
    </row>
    <row r="114" spans="1:16" x14ac:dyDescent="0.25">
      <c r="A114">
        <f>IF(OR('R.M Billets Reports'!A113="Date-",'R.M Billets Reports'!A113="Date:-"),IF(IF(IF(ISNUMBER(SEARCH("Party Name:-",'R.M Billets Reports'!D113)),TRIM('R.M Billets Reports'!F113),IF(ISNUMBER(SEARCH("Party Name-",'R.M Billets Reports'!D113)),TRIM(MID('R.M Billets Reports'!D113,SEARCH("-",'R.M Billets Reports'!D113)+1,200)),""))&lt;&gt;"",IF(ISNUMBER(SEARCH("Party Name:-",'R.M Billets Reports'!D113)),TRIM('R.M Billets Reports'!F113),IF(ISNUMBER(SEARCH("Party Name-",'R.M Billets Reports'!D113)),TRIM(MID('R.M Billets Reports'!D113,SEARCH("-",'R.M Billets Reports'!D113)+1,200)),"")),IF(ISNUMBER(SEARCH("Party Name:-",'R.M Billets Reports'!D114)),TRIM('R.M Billets Reports'!F114),IF(ISNUMBER(SEARCH("Party Name-",'R.M Billets Reports'!D114)),TRIM(MID('R.M Billets Reports'!D114,SEARCH("-",'R.M Billets Reports'!D114)+1,200)),"")))="VRKP ISPAT PVT LTD","VRKP",IF(IF(IF(ISNUMBER(SEARCH("Party Name:-",'R.M Billets Reports'!D113)),TRIM('R.M Billets Reports'!F113),IF(ISNUMBER(SEARCH("Party Name-",'R.M Billets Reports'!D113)),TRIM(MID('R.M Billets Reports'!D113,SEARCH("-",'R.M Billets Reports'!D113)+1,200)),""))&lt;&gt;"",IF(ISNUMBER(SEARCH("Party Name:-",'R.M Billets Reports'!D113)),TRIM('R.M Billets Reports'!F113),IF(ISNUMBER(SEARCH("Party Name-",'R.M Billets Reports'!D113)),TRIM(MID('R.M Billets Reports'!D113,SEARCH("-",'R.M Billets Reports'!D113)+1,200)),"")),IF(ISNUMBER(SEARCH("Party Name:-",'R.M Billets Reports'!D114)),TRIM('R.M Billets Reports'!F114),IF(ISNUMBER(SEARCH("Party Name-",'R.M Billets Reports'!D114)),TRIM(MID('R.M Billets Reports'!D114,SEARCH("-",'R.M Billets Reports'!D114)+1,200)),"")))="SHRI RADHE","SHREE RADHE",IF(IF(IF(ISNUMBER(SEARCH("Party Name:-",'R.M Billets Reports'!D113)),TRIM('R.M Billets Reports'!F113),IF(ISNUMBER(SEARCH("Party Name-",'R.M Billets Reports'!D113)),TRIM(MID('R.M Billets Reports'!D113,SEARCH("-",'R.M Billets Reports'!D113)+1,200)),""))&lt;&gt;"",IF(ISNUMBER(SEARCH("Party Name:-",'R.M Billets Reports'!D113)),TRIM('R.M Billets Reports'!F113),IF(ISNUMBER(SEARCH("Party Name-",'R.M Billets Reports'!D113)),TRIM(MID('R.M Billets Reports'!D113,SEARCH("-",'R.M Billets Reports'!D113)+1,200)),"")),IF(ISNUMBER(SEARCH("Party Name:-",'R.M Billets Reports'!D114)),TRIM('R.M Billets Reports'!F114),IF(ISNUMBER(SEARCH("Party Name-",'R.M Billets Reports'!D114)),TRIM(MID('R.M Billets Reports'!D114,SEARCH("-",'R.M Billets Reports'!D114)+1,200)),"")))="SHREE RADHE SHAKTI SPONGE AND POWER PVT. LTD.","SHREE RADHE",IF(IF(ISNUMBER(SEARCH("Party Name:-",'R.M Billets Reports'!D113)),TRIM('R.M Billets Reports'!F113),IF(ISNUMBER(SEARCH("Party Name-",'R.M Billets Reports'!D113)),TRIM(MID('R.M Billets Reports'!D113,SEARCH("-",'R.M Billets Reports'!D113)+1,200)),""))&lt;&gt;"",IF(ISNUMBER(SEARCH("Party Name:-",'R.M Billets Reports'!D113)),TRIM('R.M Billets Reports'!F113),IF(ISNUMBER(SEARCH("Party Name-",'R.M Billets Reports'!D113)),TRIM(MID('R.M Billets Reports'!D113,SEARCH("-",'R.M Billets Reports'!D113)+1,200)),"")),IF(ISNUMBER(SEARCH("Party Name:-",'R.M Billets Reports'!D114)),TRIM('R.M Billets Reports'!F114),IF(ISNUMBER(SEARCH("Party Name-",'R.M Billets Reports'!D114)),TRIM(MID('R.M Billets Reports'!D114,SEARCH("-",'R.M Billets Reports'!D114)+1,200)),"")))))),IF(ROW()=2,"",A113))</f>
      </c>
      <c r="B114">
        <f>IF(OR('R.M Billets Reports'!A113="Date-",'R.M Billets Reports'!A113="Date:-"),'R.M Billets Reports'!B113,IF(ROW()=2,"",B113))</f>
      </c>
      <c r="C114">
        <f>IF('R.M Billets Reports'!A113="V.No.",'R.M Billets Reports'!B113,IF(ROW()=2,"",C113))</f>
      </c>
      <c r="D114">
        <f>IF('R.M Billets Reports'!A113&lt;&gt;"",'R.M Billets Reports'!A113,IF(ROW()=2,"",D113))</f>
      </c>
      <c r="E114">
        <f>IF('R.M Billets Reports'!B113="","",TRIM('R.M Billets Reports'!B113))</f>
      </c>
      <c r="F114">
        <f>'R.M Billets Reports'!C113</f>
      </c>
      <c r="G114">
        <f>'R.M Billets Reports'!D113</f>
      </c>
      <c r="H114">
        <f>'R.M Billets Reports'!E113</f>
      </c>
      <c r="I114">
        <f>'R.M Billets Reports'!F113</f>
      </c>
      <c r="J114">
        <f>'R.M Billets Reports'!G113</f>
      </c>
      <c r="K114">
        <f>'R.M Billets Reports'!H113</f>
      </c>
      <c r="L114">
        <f>IF('R.M Billets Reports'!I113="","",'R.M Billets Reports'!I113)</f>
      </c>
      <c r="M114">
        <f t="shared" si="2"/>
      </c>
      <c r="N114">
        <f>IF('R.M Billets Reports'!J113="","",'R.M Billets Reports'!J113)</f>
      </c>
      <c r="O114">
        <f t="shared" si="3"/>
      </c>
      <c r="P114">
        <f>IF('R.M Billets Reports'!A113="SIZE",'R.M Billets Reports'!B113,P113)</f>
      </c>
    </row>
    <row r="115" spans="1:16" x14ac:dyDescent="0.25">
      <c r="A115">
        <f>IF(OR('R.M Billets Reports'!A114="Date-",'R.M Billets Reports'!A114="Date:-"),IF(IF(IF(ISNUMBER(SEARCH("Party Name:-",'R.M Billets Reports'!D114)),TRIM('R.M Billets Reports'!F114),IF(ISNUMBER(SEARCH("Party Name-",'R.M Billets Reports'!D114)),TRIM(MID('R.M Billets Reports'!D114,SEARCH("-",'R.M Billets Reports'!D114)+1,200)),""))&lt;&gt;"",IF(ISNUMBER(SEARCH("Party Name:-",'R.M Billets Reports'!D114)),TRIM('R.M Billets Reports'!F114),IF(ISNUMBER(SEARCH("Party Name-",'R.M Billets Reports'!D114)),TRIM(MID('R.M Billets Reports'!D114,SEARCH("-",'R.M Billets Reports'!D114)+1,200)),"")),IF(ISNUMBER(SEARCH("Party Name:-",'R.M Billets Reports'!D115)),TRIM('R.M Billets Reports'!F115),IF(ISNUMBER(SEARCH("Party Name-",'R.M Billets Reports'!D115)),TRIM(MID('R.M Billets Reports'!D115,SEARCH("-",'R.M Billets Reports'!D115)+1,200)),"")))="VRKP ISPAT PVT LTD","VRKP",IF(IF(IF(ISNUMBER(SEARCH("Party Name:-",'R.M Billets Reports'!D114)),TRIM('R.M Billets Reports'!F114),IF(ISNUMBER(SEARCH("Party Name-",'R.M Billets Reports'!D114)),TRIM(MID('R.M Billets Reports'!D114,SEARCH("-",'R.M Billets Reports'!D114)+1,200)),""))&lt;&gt;"",IF(ISNUMBER(SEARCH("Party Name:-",'R.M Billets Reports'!D114)),TRIM('R.M Billets Reports'!F114),IF(ISNUMBER(SEARCH("Party Name-",'R.M Billets Reports'!D114)),TRIM(MID('R.M Billets Reports'!D114,SEARCH("-",'R.M Billets Reports'!D114)+1,200)),"")),IF(ISNUMBER(SEARCH("Party Name:-",'R.M Billets Reports'!D115)),TRIM('R.M Billets Reports'!F115),IF(ISNUMBER(SEARCH("Party Name-",'R.M Billets Reports'!D115)),TRIM(MID('R.M Billets Reports'!D115,SEARCH("-",'R.M Billets Reports'!D115)+1,200)),"")))="SHRI RADHE","SHREE RADHE",IF(IF(IF(ISNUMBER(SEARCH("Party Name:-",'R.M Billets Reports'!D114)),TRIM('R.M Billets Reports'!F114),IF(ISNUMBER(SEARCH("Party Name-",'R.M Billets Reports'!D114)),TRIM(MID('R.M Billets Reports'!D114,SEARCH("-",'R.M Billets Reports'!D114)+1,200)),""))&lt;&gt;"",IF(ISNUMBER(SEARCH("Party Name:-",'R.M Billets Reports'!D114)),TRIM('R.M Billets Reports'!F114),IF(ISNUMBER(SEARCH("Party Name-",'R.M Billets Reports'!D114)),TRIM(MID('R.M Billets Reports'!D114,SEARCH("-",'R.M Billets Reports'!D114)+1,200)),"")),IF(ISNUMBER(SEARCH("Party Name:-",'R.M Billets Reports'!D115)),TRIM('R.M Billets Reports'!F115),IF(ISNUMBER(SEARCH("Party Name-",'R.M Billets Reports'!D115)),TRIM(MID('R.M Billets Reports'!D115,SEARCH("-",'R.M Billets Reports'!D115)+1,200)),"")))="SHREE RADHE SHAKTI SPONGE AND POWER PVT. LTD.","SHREE RADHE",IF(IF(ISNUMBER(SEARCH("Party Name:-",'R.M Billets Reports'!D114)),TRIM('R.M Billets Reports'!F114),IF(ISNUMBER(SEARCH("Party Name-",'R.M Billets Reports'!D114)),TRIM(MID('R.M Billets Reports'!D114,SEARCH("-",'R.M Billets Reports'!D114)+1,200)),""))&lt;&gt;"",IF(ISNUMBER(SEARCH("Party Name:-",'R.M Billets Reports'!D114)),TRIM('R.M Billets Reports'!F114),IF(ISNUMBER(SEARCH("Party Name-",'R.M Billets Reports'!D114)),TRIM(MID('R.M Billets Reports'!D114,SEARCH("-",'R.M Billets Reports'!D114)+1,200)),"")),IF(ISNUMBER(SEARCH("Party Name:-",'R.M Billets Reports'!D115)),TRIM('R.M Billets Reports'!F115),IF(ISNUMBER(SEARCH("Party Name-",'R.M Billets Reports'!D115)),TRIM(MID('R.M Billets Reports'!D115,SEARCH("-",'R.M Billets Reports'!D115)+1,200)),"")))))),IF(ROW()=2,"",A114))</f>
      </c>
      <c r="B115">
        <f>IF(OR('R.M Billets Reports'!A114="Date-",'R.M Billets Reports'!A114="Date:-"),'R.M Billets Reports'!B114,IF(ROW()=2,"",B114))</f>
      </c>
      <c r="C115">
        <f>IF('R.M Billets Reports'!A114="V.No.",'R.M Billets Reports'!B114,IF(ROW()=2,"",C114))</f>
      </c>
      <c r="D115">
        <f>IF('R.M Billets Reports'!A114&lt;&gt;"",'R.M Billets Reports'!A114,IF(ROW()=2,"",D114))</f>
      </c>
      <c r="E115">
        <f>IF('R.M Billets Reports'!B114="","",TRIM('R.M Billets Reports'!B114))</f>
      </c>
      <c r="F115">
        <f>'R.M Billets Reports'!C114</f>
      </c>
      <c r="G115">
        <f>'R.M Billets Reports'!D114</f>
      </c>
      <c r="H115">
        <f>'R.M Billets Reports'!E114</f>
      </c>
      <c r="I115">
        <f>'R.M Billets Reports'!F114</f>
      </c>
      <c r="J115">
        <f>'R.M Billets Reports'!G114</f>
      </c>
      <c r="K115">
        <f>'R.M Billets Reports'!H114</f>
      </c>
      <c r="L115">
        <f>IF('R.M Billets Reports'!I114="","",'R.M Billets Reports'!I114)</f>
      </c>
      <c r="M115">
        <f t="shared" si="2"/>
      </c>
      <c r="N115">
        <f>IF('R.M Billets Reports'!J114="","",'R.M Billets Reports'!J114)</f>
      </c>
      <c r="O115">
        <f t="shared" si="3"/>
      </c>
      <c r="P115">
        <f>IF('R.M Billets Reports'!A114="SIZE",'R.M Billets Reports'!B114,P114)</f>
      </c>
    </row>
    <row r="116" spans="1:16" x14ac:dyDescent="0.25">
      <c r="A116">
        <f>IF(OR('R.M Billets Reports'!A115="Date-",'R.M Billets Reports'!A115="Date:-"),IF(IF(IF(ISNUMBER(SEARCH("Party Name:-",'R.M Billets Reports'!D115)),TRIM('R.M Billets Reports'!F115),IF(ISNUMBER(SEARCH("Party Name-",'R.M Billets Reports'!D115)),TRIM(MID('R.M Billets Reports'!D115,SEARCH("-",'R.M Billets Reports'!D115)+1,200)),""))&lt;&gt;"",IF(ISNUMBER(SEARCH("Party Name:-",'R.M Billets Reports'!D115)),TRIM('R.M Billets Reports'!F115),IF(ISNUMBER(SEARCH("Party Name-",'R.M Billets Reports'!D115)),TRIM(MID('R.M Billets Reports'!D115,SEARCH("-",'R.M Billets Reports'!D115)+1,200)),"")),IF(ISNUMBER(SEARCH("Party Name:-",'R.M Billets Reports'!D116)),TRIM('R.M Billets Reports'!F116),IF(ISNUMBER(SEARCH("Party Name-",'R.M Billets Reports'!D116)),TRIM(MID('R.M Billets Reports'!D116,SEARCH("-",'R.M Billets Reports'!D116)+1,200)),"")))="VRKP ISPAT PVT LTD","VRKP",IF(IF(IF(ISNUMBER(SEARCH("Party Name:-",'R.M Billets Reports'!D115)),TRIM('R.M Billets Reports'!F115),IF(ISNUMBER(SEARCH("Party Name-",'R.M Billets Reports'!D115)),TRIM(MID('R.M Billets Reports'!D115,SEARCH("-",'R.M Billets Reports'!D115)+1,200)),""))&lt;&gt;"",IF(ISNUMBER(SEARCH("Party Name:-",'R.M Billets Reports'!D115)),TRIM('R.M Billets Reports'!F115),IF(ISNUMBER(SEARCH("Party Name-",'R.M Billets Reports'!D115)),TRIM(MID('R.M Billets Reports'!D115,SEARCH("-",'R.M Billets Reports'!D115)+1,200)),"")),IF(ISNUMBER(SEARCH("Party Name:-",'R.M Billets Reports'!D116)),TRIM('R.M Billets Reports'!F116),IF(ISNUMBER(SEARCH("Party Name-",'R.M Billets Reports'!D116)),TRIM(MID('R.M Billets Reports'!D116,SEARCH("-",'R.M Billets Reports'!D116)+1,200)),"")))="SHRI RADHE","SHREE RADHE",IF(IF(IF(ISNUMBER(SEARCH("Party Name:-",'R.M Billets Reports'!D115)),TRIM('R.M Billets Reports'!F115),IF(ISNUMBER(SEARCH("Party Name-",'R.M Billets Reports'!D115)),TRIM(MID('R.M Billets Reports'!D115,SEARCH("-",'R.M Billets Reports'!D115)+1,200)),""))&lt;&gt;"",IF(ISNUMBER(SEARCH("Party Name:-",'R.M Billets Reports'!D115)),TRIM('R.M Billets Reports'!F115),IF(ISNUMBER(SEARCH("Party Name-",'R.M Billets Reports'!D115)),TRIM(MID('R.M Billets Reports'!D115,SEARCH("-",'R.M Billets Reports'!D115)+1,200)),"")),IF(ISNUMBER(SEARCH("Party Name:-",'R.M Billets Reports'!D116)),TRIM('R.M Billets Reports'!F116),IF(ISNUMBER(SEARCH("Party Name-",'R.M Billets Reports'!D116)),TRIM(MID('R.M Billets Reports'!D116,SEARCH("-",'R.M Billets Reports'!D116)+1,200)),"")))="SHREE RADHE SHAKTI SPONGE AND POWER PVT. LTD.","SHREE RADHE",IF(IF(ISNUMBER(SEARCH("Party Name:-",'R.M Billets Reports'!D115)),TRIM('R.M Billets Reports'!F115),IF(ISNUMBER(SEARCH("Party Name-",'R.M Billets Reports'!D115)),TRIM(MID('R.M Billets Reports'!D115,SEARCH("-",'R.M Billets Reports'!D115)+1,200)),""))&lt;&gt;"",IF(ISNUMBER(SEARCH("Party Name:-",'R.M Billets Reports'!D115)),TRIM('R.M Billets Reports'!F115),IF(ISNUMBER(SEARCH("Party Name-",'R.M Billets Reports'!D115)),TRIM(MID('R.M Billets Reports'!D115,SEARCH("-",'R.M Billets Reports'!D115)+1,200)),"")),IF(ISNUMBER(SEARCH("Party Name:-",'R.M Billets Reports'!D116)),TRIM('R.M Billets Reports'!F116),IF(ISNUMBER(SEARCH("Party Name-",'R.M Billets Reports'!D116)),TRIM(MID('R.M Billets Reports'!D116,SEARCH("-",'R.M Billets Reports'!D116)+1,200)),"")))))),IF(ROW()=2,"",A115))</f>
      </c>
      <c r="B116">
        <f>IF(OR('R.M Billets Reports'!A115="Date-",'R.M Billets Reports'!A115="Date:-"),'R.M Billets Reports'!B115,IF(ROW()=2,"",B115))</f>
      </c>
      <c r="C116">
        <f>IF('R.M Billets Reports'!A115="V.No.",'R.M Billets Reports'!B115,IF(ROW()=2,"",C115))</f>
      </c>
      <c r="D116">
        <f>IF('R.M Billets Reports'!A115&lt;&gt;"",'R.M Billets Reports'!A115,IF(ROW()=2,"",D115))</f>
      </c>
      <c r="E116">
        <f>IF('R.M Billets Reports'!B115="","",TRIM('R.M Billets Reports'!B115))</f>
      </c>
      <c r="F116">
        <f>'R.M Billets Reports'!C115</f>
      </c>
      <c r="G116">
        <f>'R.M Billets Reports'!D115</f>
      </c>
      <c r="H116">
        <f>'R.M Billets Reports'!E115</f>
      </c>
      <c r="I116">
        <f>'R.M Billets Reports'!F115</f>
      </c>
      <c r="J116">
        <f>'R.M Billets Reports'!G115</f>
      </c>
      <c r="K116">
        <f>'R.M Billets Reports'!H115</f>
      </c>
      <c r="L116">
        <f>IF('R.M Billets Reports'!I115="","",'R.M Billets Reports'!I115)</f>
      </c>
      <c r="M116">
        <f t="shared" si="2"/>
      </c>
      <c r="N116">
        <f>IF('R.M Billets Reports'!J115="","",'R.M Billets Reports'!J115)</f>
      </c>
      <c r="O116">
        <f t="shared" si="3"/>
      </c>
      <c r="P116">
        <f>IF('R.M Billets Reports'!A115="SIZE",'R.M Billets Reports'!B115,P115)</f>
      </c>
    </row>
    <row r="117" spans="1:16" x14ac:dyDescent="0.25">
      <c r="A117">
        <f>IF(OR('R.M Billets Reports'!A116="Date-",'R.M Billets Reports'!A116="Date:-"),IF(IF(IF(ISNUMBER(SEARCH("Party Name:-",'R.M Billets Reports'!D116)),TRIM('R.M Billets Reports'!F116),IF(ISNUMBER(SEARCH("Party Name-",'R.M Billets Reports'!D116)),TRIM(MID('R.M Billets Reports'!D116,SEARCH("-",'R.M Billets Reports'!D116)+1,200)),""))&lt;&gt;"",IF(ISNUMBER(SEARCH("Party Name:-",'R.M Billets Reports'!D116)),TRIM('R.M Billets Reports'!F116),IF(ISNUMBER(SEARCH("Party Name-",'R.M Billets Reports'!D116)),TRIM(MID('R.M Billets Reports'!D116,SEARCH("-",'R.M Billets Reports'!D116)+1,200)),"")),IF(ISNUMBER(SEARCH("Party Name:-",'R.M Billets Reports'!D117)),TRIM('R.M Billets Reports'!F117),IF(ISNUMBER(SEARCH("Party Name-",'R.M Billets Reports'!D117)),TRIM(MID('R.M Billets Reports'!D117,SEARCH("-",'R.M Billets Reports'!D117)+1,200)),"")))="VRKP ISPAT PVT LTD","VRKP",IF(IF(IF(ISNUMBER(SEARCH("Party Name:-",'R.M Billets Reports'!D116)),TRIM('R.M Billets Reports'!F116),IF(ISNUMBER(SEARCH("Party Name-",'R.M Billets Reports'!D116)),TRIM(MID('R.M Billets Reports'!D116,SEARCH("-",'R.M Billets Reports'!D116)+1,200)),""))&lt;&gt;"",IF(ISNUMBER(SEARCH("Party Name:-",'R.M Billets Reports'!D116)),TRIM('R.M Billets Reports'!F116),IF(ISNUMBER(SEARCH("Party Name-",'R.M Billets Reports'!D116)),TRIM(MID('R.M Billets Reports'!D116,SEARCH("-",'R.M Billets Reports'!D116)+1,200)),"")),IF(ISNUMBER(SEARCH("Party Name:-",'R.M Billets Reports'!D117)),TRIM('R.M Billets Reports'!F117),IF(ISNUMBER(SEARCH("Party Name-",'R.M Billets Reports'!D117)),TRIM(MID('R.M Billets Reports'!D117,SEARCH("-",'R.M Billets Reports'!D117)+1,200)),"")))="SHRI RADHE","SHREE RADHE",IF(IF(IF(ISNUMBER(SEARCH("Party Name:-",'R.M Billets Reports'!D116)),TRIM('R.M Billets Reports'!F116),IF(ISNUMBER(SEARCH("Party Name-",'R.M Billets Reports'!D116)),TRIM(MID('R.M Billets Reports'!D116,SEARCH("-",'R.M Billets Reports'!D116)+1,200)),""))&lt;&gt;"",IF(ISNUMBER(SEARCH("Party Name:-",'R.M Billets Reports'!D116)),TRIM('R.M Billets Reports'!F116),IF(ISNUMBER(SEARCH("Party Name-",'R.M Billets Reports'!D116)),TRIM(MID('R.M Billets Reports'!D116,SEARCH("-",'R.M Billets Reports'!D116)+1,200)),"")),IF(ISNUMBER(SEARCH("Party Name:-",'R.M Billets Reports'!D117)),TRIM('R.M Billets Reports'!F117),IF(ISNUMBER(SEARCH("Party Name-",'R.M Billets Reports'!D117)),TRIM(MID('R.M Billets Reports'!D117,SEARCH("-",'R.M Billets Reports'!D117)+1,200)),"")))="SHREE RADHE SHAKTI SPONGE AND POWER PVT. LTD.","SHREE RADHE",IF(IF(ISNUMBER(SEARCH("Party Name:-",'R.M Billets Reports'!D116)),TRIM('R.M Billets Reports'!F116),IF(ISNUMBER(SEARCH("Party Name-",'R.M Billets Reports'!D116)),TRIM(MID('R.M Billets Reports'!D116,SEARCH("-",'R.M Billets Reports'!D116)+1,200)),""))&lt;&gt;"",IF(ISNUMBER(SEARCH("Party Name:-",'R.M Billets Reports'!D116)),TRIM('R.M Billets Reports'!F116),IF(ISNUMBER(SEARCH("Party Name-",'R.M Billets Reports'!D116)),TRIM(MID('R.M Billets Reports'!D116,SEARCH("-",'R.M Billets Reports'!D116)+1,200)),"")),IF(ISNUMBER(SEARCH("Party Name:-",'R.M Billets Reports'!D117)),TRIM('R.M Billets Reports'!F117),IF(ISNUMBER(SEARCH("Party Name-",'R.M Billets Reports'!D117)),TRIM(MID('R.M Billets Reports'!D117,SEARCH("-",'R.M Billets Reports'!D117)+1,200)),"")))))),IF(ROW()=2,"",A116))</f>
      </c>
      <c r="B117">
        <f>IF(OR('R.M Billets Reports'!A116="Date-",'R.M Billets Reports'!A116="Date:-"),'R.M Billets Reports'!B116,IF(ROW()=2,"",B116))</f>
      </c>
      <c r="C117">
        <f>IF('R.M Billets Reports'!A116="V.No.",'R.M Billets Reports'!B116,IF(ROW()=2,"",C116))</f>
      </c>
      <c r="D117">
        <f>IF('R.M Billets Reports'!A116&lt;&gt;"",'R.M Billets Reports'!A116,IF(ROW()=2,"",D116))</f>
      </c>
      <c r="E117">
        <f>IF('R.M Billets Reports'!B116="","",TRIM('R.M Billets Reports'!B116))</f>
      </c>
      <c r="F117">
        <f>'R.M Billets Reports'!C116</f>
      </c>
      <c r="G117">
        <f>'R.M Billets Reports'!D116</f>
      </c>
      <c r="H117">
        <f>'R.M Billets Reports'!E116</f>
      </c>
      <c r="I117">
        <f>'R.M Billets Reports'!F116</f>
      </c>
      <c r="J117">
        <f>'R.M Billets Reports'!G116</f>
      </c>
      <c r="K117">
        <f>'R.M Billets Reports'!H116</f>
      </c>
      <c r="L117">
        <f>IF('R.M Billets Reports'!I116="","",'R.M Billets Reports'!I116)</f>
      </c>
      <c r="M117">
        <f t="shared" si="2"/>
      </c>
      <c r="N117">
        <f>IF('R.M Billets Reports'!J116="","",'R.M Billets Reports'!J116)</f>
      </c>
      <c r="O117">
        <f t="shared" si="3"/>
      </c>
      <c r="P117">
        <f>IF('R.M Billets Reports'!A116="SIZE",'R.M Billets Reports'!B116,P116)</f>
      </c>
    </row>
    <row r="118" spans="1:16" x14ac:dyDescent="0.25">
      <c r="A118">
        <f>IF(OR('R.M Billets Reports'!A117="Date-",'R.M Billets Reports'!A117="Date:-"),IF(IF(IF(ISNUMBER(SEARCH("Party Name:-",'R.M Billets Reports'!D117)),TRIM('R.M Billets Reports'!F117),IF(ISNUMBER(SEARCH("Party Name-",'R.M Billets Reports'!D117)),TRIM(MID('R.M Billets Reports'!D117,SEARCH("-",'R.M Billets Reports'!D117)+1,200)),""))&lt;&gt;"",IF(ISNUMBER(SEARCH("Party Name:-",'R.M Billets Reports'!D117)),TRIM('R.M Billets Reports'!F117),IF(ISNUMBER(SEARCH("Party Name-",'R.M Billets Reports'!D117)),TRIM(MID('R.M Billets Reports'!D117,SEARCH("-",'R.M Billets Reports'!D117)+1,200)),"")),IF(ISNUMBER(SEARCH("Party Name:-",'R.M Billets Reports'!D118)),TRIM('R.M Billets Reports'!F118),IF(ISNUMBER(SEARCH("Party Name-",'R.M Billets Reports'!D118)),TRIM(MID('R.M Billets Reports'!D118,SEARCH("-",'R.M Billets Reports'!D118)+1,200)),"")))="VRKP ISPAT PVT LTD","VRKP",IF(IF(IF(ISNUMBER(SEARCH("Party Name:-",'R.M Billets Reports'!D117)),TRIM('R.M Billets Reports'!F117),IF(ISNUMBER(SEARCH("Party Name-",'R.M Billets Reports'!D117)),TRIM(MID('R.M Billets Reports'!D117,SEARCH("-",'R.M Billets Reports'!D117)+1,200)),""))&lt;&gt;"",IF(ISNUMBER(SEARCH("Party Name:-",'R.M Billets Reports'!D117)),TRIM('R.M Billets Reports'!F117),IF(ISNUMBER(SEARCH("Party Name-",'R.M Billets Reports'!D117)),TRIM(MID('R.M Billets Reports'!D117,SEARCH("-",'R.M Billets Reports'!D117)+1,200)),"")),IF(ISNUMBER(SEARCH("Party Name:-",'R.M Billets Reports'!D118)),TRIM('R.M Billets Reports'!F118),IF(ISNUMBER(SEARCH("Party Name-",'R.M Billets Reports'!D118)),TRIM(MID('R.M Billets Reports'!D118,SEARCH("-",'R.M Billets Reports'!D118)+1,200)),"")))="SHRI RADHE","SHREE RADHE",IF(IF(IF(ISNUMBER(SEARCH("Party Name:-",'R.M Billets Reports'!D117)),TRIM('R.M Billets Reports'!F117),IF(ISNUMBER(SEARCH("Party Name-",'R.M Billets Reports'!D117)),TRIM(MID('R.M Billets Reports'!D117,SEARCH("-",'R.M Billets Reports'!D117)+1,200)),""))&lt;&gt;"",IF(ISNUMBER(SEARCH("Party Name:-",'R.M Billets Reports'!D117)),TRIM('R.M Billets Reports'!F117),IF(ISNUMBER(SEARCH("Party Name-",'R.M Billets Reports'!D117)),TRIM(MID('R.M Billets Reports'!D117,SEARCH("-",'R.M Billets Reports'!D117)+1,200)),"")),IF(ISNUMBER(SEARCH("Party Name:-",'R.M Billets Reports'!D118)),TRIM('R.M Billets Reports'!F118),IF(ISNUMBER(SEARCH("Party Name-",'R.M Billets Reports'!D118)),TRIM(MID('R.M Billets Reports'!D118,SEARCH("-",'R.M Billets Reports'!D118)+1,200)),"")))="SHREE RADHE SHAKTI SPONGE AND POWER PVT. LTD.","SHREE RADHE",IF(IF(ISNUMBER(SEARCH("Party Name:-",'R.M Billets Reports'!D117)),TRIM('R.M Billets Reports'!F117),IF(ISNUMBER(SEARCH("Party Name-",'R.M Billets Reports'!D117)),TRIM(MID('R.M Billets Reports'!D117,SEARCH("-",'R.M Billets Reports'!D117)+1,200)),""))&lt;&gt;"",IF(ISNUMBER(SEARCH("Party Name:-",'R.M Billets Reports'!D117)),TRIM('R.M Billets Reports'!F117),IF(ISNUMBER(SEARCH("Party Name-",'R.M Billets Reports'!D117)),TRIM(MID('R.M Billets Reports'!D117,SEARCH("-",'R.M Billets Reports'!D117)+1,200)),"")),IF(ISNUMBER(SEARCH("Party Name:-",'R.M Billets Reports'!D118)),TRIM('R.M Billets Reports'!F118),IF(ISNUMBER(SEARCH("Party Name-",'R.M Billets Reports'!D118)),TRIM(MID('R.M Billets Reports'!D118,SEARCH("-",'R.M Billets Reports'!D118)+1,200)),"")))))),IF(ROW()=2,"",A117))</f>
      </c>
      <c r="B118">
        <f>IF(OR('R.M Billets Reports'!A117="Date-",'R.M Billets Reports'!A117="Date:-"),'R.M Billets Reports'!B117,IF(ROW()=2,"",B117))</f>
      </c>
      <c r="C118">
        <f>IF('R.M Billets Reports'!A117="V.No.",'R.M Billets Reports'!B117,IF(ROW()=2,"",C117))</f>
      </c>
      <c r="D118">
        <f>IF('R.M Billets Reports'!A117&lt;&gt;"",'R.M Billets Reports'!A117,IF(ROW()=2,"",D117))</f>
      </c>
      <c r="E118">
        <f>IF('R.M Billets Reports'!B117="","",TRIM('R.M Billets Reports'!B117))</f>
      </c>
      <c r="F118">
        <f>'R.M Billets Reports'!C117</f>
      </c>
      <c r="G118">
        <f>'R.M Billets Reports'!D117</f>
      </c>
      <c r="H118">
        <f>'R.M Billets Reports'!E117</f>
      </c>
      <c r="I118">
        <f>'R.M Billets Reports'!F117</f>
      </c>
      <c r="J118">
        <f>'R.M Billets Reports'!G117</f>
      </c>
      <c r="K118">
        <f>'R.M Billets Reports'!H117</f>
      </c>
      <c r="L118">
        <f>IF('R.M Billets Reports'!I117="","",'R.M Billets Reports'!I117)</f>
      </c>
      <c r="M118">
        <f t="shared" si="2"/>
      </c>
      <c r="N118">
        <f>IF('R.M Billets Reports'!J117="","",'R.M Billets Reports'!J117)</f>
      </c>
      <c r="O118">
        <f t="shared" si="3"/>
      </c>
      <c r="P118">
        <f>IF('R.M Billets Reports'!A117="SIZE",'R.M Billets Reports'!B117,P117)</f>
      </c>
    </row>
    <row r="119" spans="1:16" x14ac:dyDescent="0.25">
      <c r="A119">
        <f>IF(OR('R.M Billets Reports'!A118="Date-",'R.M Billets Reports'!A118="Date:-"),IF(IF(IF(ISNUMBER(SEARCH("Party Name:-",'R.M Billets Reports'!D118)),TRIM('R.M Billets Reports'!F118),IF(ISNUMBER(SEARCH("Party Name-",'R.M Billets Reports'!D118)),TRIM(MID('R.M Billets Reports'!D118,SEARCH("-",'R.M Billets Reports'!D118)+1,200)),""))&lt;&gt;"",IF(ISNUMBER(SEARCH("Party Name:-",'R.M Billets Reports'!D118)),TRIM('R.M Billets Reports'!F118),IF(ISNUMBER(SEARCH("Party Name-",'R.M Billets Reports'!D118)),TRIM(MID('R.M Billets Reports'!D118,SEARCH("-",'R.M Billets Reports'!D118)+1,200)),"")),IF(ISNUMBER(SEARCH("Party Name:-",'R.M Billets Reports'!D119)),TRIM('R.M Billets Reports'!F119),IF(ISNUMBER(SEARCH("Party Name-",'R.M Billets Reports'!D119)),TRIM(MID('R.M Billets Reports'!D119,SEARCH("-",'R.M Billets Reports'!D119)+1,200)),"")))="VRKP ISPAT PVT LTD","VRKP",IF(IF(IF(ISNUMBER(SEARCH("Party Name:-",'R.M Billets Reports'!D118)),TRIM('R.M Billets Reports'!F118),IF(ISNUMBER(SEARCH("Party Name-",'R.M Billets Reports'!D118)),TRIM(MID('R.M Billets Reports'!D118,SEARCH("-",'R.M Billets Reports'!D118)+1,200)),""))&lt;&gt;"",IF(ISNUMBER(SEARCH("Party Name:-",'R.M Billets Reports'!D118)),TRIM('R.M Billets Reports'!F118),IF(ISNUMBER(SEARCH("Party Name-",'R.M Billets Reports'!D118)),TRIM(MID('R.M Billets Reports'!D118,SEARCH("-",'R.M Billets Reports'!D118)+1,200)),"")),IF(ISNUMBER(SEARCH("Party Name:-",'R.M Billets Reports'!D119)),TRIM('R.M Billets Reports'!F119),IF(ISNUMBER(SEARCH("Party Name-",'R.M Billets Reports'!D119)),TRIM(MID('R.M Billets Reports'!D119,SEARCH("-",'R.M Billets Reports'!D119)+1,200)),"")))="SHRI RADHE","SHREE RADHE",IF(IF(IF(ISNUMBER(SEARCH("Party Name:-",'R.M Billets Reports'!D118)),TRIM('R.M Billets Reports'!F118),IF(ISNUMBER(SEARCH("Party Name-",'R.M Billets Reports'!D118)),TRIM(MID('R.M Billets Reports'!D118,SEARCH("-",'R.M Billets Reports'!D118)+1,200)),""))&lt;&gt;"",IF(ISNUMBER(SEARCH("Party Name:-",'R.M Billets Reports'!D118)),TRIM('R.M Billets Reports'!F118),IF(ISNUMBER(SEARCH("Party Name-",'R.M Billets Reports'!D118)),TRIM(MID('R.M Billets Reports'!D118,SEARCH("-",'R.M Billets Reports'!D118)+1,200)),"")),IF(ISNUMBER(SEARCH("Party Name:-",'R.M Billets Reports'!D119)),TRIM('R.M Billets Reports'!F119),IF(ISNUMBER(SEARCH("Party Name-",'R.M Billets Reports'!D119)),TRIM(MID('R.M Billets Reports'!D119,SEARCH("-",'R.M Billets Reports'!D119)+1,200)),"")))="SHREE RADHE SHAKTI SPONGE AND POWER PVT. LTD.","SHREE RADHE",IF(IF(ISNUMBER(SEARCH("Party Name:-",'R.M Billets Reports'!D118)),TRIM('R.M Billets Reports'!F118),IF(ISNUMBER(SEARCH("Party Name-",'R.M Billets Reports'!D118)),TRIM(MID('R.M Billets Reports'!D118,SEARCH("-",'R.M Billets Reports'!D118)+1,200)),""))&lt;&gt;"",IF(ISNUMBER(SEARCH("Party Name:-",'R.M Billets Reports'!D118)),TRIM('R.M Billets Reports'!F118),IF(ISNUMBER(SEARCH("Party Name-",'R.M Billets Reports'!D118)),TRIM(MID('R.M Billets Reports'!D118,SEARCH("-",'R.M Billets Reports'!D118)+1,200)),"")),IF(ISNUMBER(SEARCH("Party Name:-",'R.M Billets Reports'!D119)),TRIM('R.M Billets Reports'!F119),IF(ISNUMBER(SEARCH("Party Name-",'R.M Billets Reports'!D119)),TRIM(MID('R.M Billets Reports'!D119,SEARCH("-",'R.M Billets Reports'!D119)+1,200)),"")))))),IF(ROW()=2,"",A118))</f>
      </c>
      <c r="B119">
        <f>IF(OR('R.M Billets Reports'!A118="Date-",'R.M Billets Reports'!A118="Date:-"),'R.M Billets Reports'!B118,IF(ROW()=2,"",B118))</f>
      </c>
      <c r="C119">
        <f>IF('R.M Billets Reports'!A118="V.No.",'R.M Billets Reports'!B118,IF(ROW()=2,"",C118))</f>
      </c>
      <c r="D119">
        <f>IF('R.M Billets Reports'!A118&lt;&gt;"",'R.M Billets Reports'!A118,IF(ROW()=2,"",D118))</f>
      </c>
      <c r="E119">
        <f>IF('R.M Billets Reports'!B118="","",TRIM('R.M Billets Reports'!B118))</f>
      </c>
      <c r="F119">
        <f>'R.M Billets Reports'!C118</f>
      </c>
      <c r="G119">
        <f>'R.M Billets Reports'!D118</f>
      </c>
      <c r="H119">
        <f>'R.M Billets Reports'!E118</f>
      </c>
      <c r="I119">
        <f>'R.M Billets Reports'!F118</f>
      </c>
      <c r="J119">
        <f>'R.M Billets Reports'!G118</f>
      </c>
      <c r="K119">
        <f>'R.M Billets Reports'!H118</f>
      </c>
      <c r="L119">
        <f>IF('R.M Billets Reports'!I118="","",'R.M Billets Reports'!I118)</f>
      </c>
      <c r="M119">
        <f t="shared" si="2"/>
      </c>
      <c r="N119">
        <f>IF('R.M Billets Reports'!J118="","",'R.M Billets Reports'!J118)</f>
      </c>
      <c r="O119">
        <f t="shared" si="3"/>
      </c>
      <c r="P119">
        <f>IF('R.M Billets Reports'!A118="SIZE",'R.M Billets Reports'!B118,P118)</f>
      </c>
    </row>
    <row r="120" spans="1:16" x14ac:dyDescent="0.25">
      <c r="A120">
        <f>IF(OR('R.M Billets Reports'!A119="Date-",'R.M Billets Reports'!A119="Date:-"),IF(IF(IF(ISNUMBER(SEARCH("Party Name:-",'R.M Billets Reports'!D119)),TRIM('R.M Billets Reports'!F119),IF(ISNUMBER(SEARCH("Party Name-",'R.M Billets Reports'!D119)),TRIM(MID('R.M Billets Reports'!D119,SEARCH("-",'R.M Billets Reports'!D119)+1,200)),""))&lt;&gt;"",IF(ISNUMBER(SEARCH("Party Name:-",'R.M Billets Reports'!D119)),TRIM('R.M Billets Reports'!F119),IF(ISNUMBER(SEARCH("Party Name-",'R.M Billets Reports'!D119)),TRIM(MID('R.M Billets Reports'!D119,SEARCH("-",'R.M Billets Reports'!D119)+1,200)),"")),IF(ISNUMBER(SEARCH("Party Name:-",'R.M Billets Reports'!D120)),TRIM('R.M Billets Reports'!F120),IF(ISNUMBER(SEARCH("Party Name-",'R.M Billets Reports'!D120)),TRIM(MID('R.M Billets Reports'!D120,SEARCH("-",'R.M Billets Reports'!D120)+1,200)),"")))="VRKP ISPAT PVT LTD","VRKP",IF(IF(IF(ISNUMBER(SEARCH("Party Name:-",'R.M Billets Reports'!D119)),TRIM('R.M Billets Reports'!F119),IF(ISNUMBER(SEARCH("Party Name-",'R.M Billets Reports'!D119)),TRIM(MID('R.M Billets Reports'!D119,SEARCH("-",'R.M Billets Reports'!D119)+1,200)),""))&lt;&gt;"",IF(ISNUMBER(SEARCH("Party Name:-",'R.M Billets Reports'!D119)),TRIM('R.M Billets Reports'!F119),IF(ISNUMBER(SEARCH("Party Name-",'R.M Billets Reports'!D119)),TRIM(MID('R.M Billets Reports'!D119,SEARCH("-",'R.M Billets Reports'!D119)+1,200)),"")),IF(ISNUMBER(SEARCH("Party Name:-",'R.M Billets Reports'!D120)),TRIM('R.M Billets Reports'!F120),IF(ISNUMBER(SEARCH("Party Name-",'R.M Billets Reports'!D120)),TRIM(MID('R.M Billets Reports'!D120,SEARCH("-",'R.M Billets Reports'!D120)+1,200)),"")))="SHRI RADHE","SHREE RADHE",IF(IF(IF(ISNUMBER(SEARCH("Party Name:-",'R.M Billets Reports'!D119)),TRIM('R.M Billets Reports'!F119),IF(ISNUMBER(SEARCH("Party Name-",'R.M Billets Reports'!D119)),TRIM(MID('R.M Billets Reports'!D119,SEARCH("-",'R.M Billets Reports'!D119)+1,200)),""))&lt;&gt;"",IF(ISNUMBER(SEARCH("Party Name:-",'R.M Billets Reports'!D119)),TRIM('R.M Billets Reports'!F119),IF(ISNUMBER(SEARCH("Party Name-",'R.M Billets Reports'!D119)),TRIM(MID('R.M Billets Reports'!D119,SEARCH("-",'R.M Billets Reports'!D119)+1,200)),"")),IF(ISNUMBER(SEARCH("Party Name:-",'R.M Billets Reports'!D120)),TRIM('R.M Billets Reports'!F120),IF(ISNUMBER(SEARCH("Party Name-",'R.M Billets Reports'!D120)),TRIM(MID('R.M Billets Reports'!D120,SEARCH("-",'R.M Billets Reports'!D120)+1,200)),"")))="SHREE RADHE SHAKTI SPONGE AND POWER PVT. LTD.","SHREE RADHE",IF(IF(ISNUMBER(SEARCH("Party Name:-",'R.M Billets Reports'!D119)),TRIM('R.M Billets Reports'!F119),IF(ISNUMBER(SEARCH("Party Name-",'R.M Billets Reports'!D119)),TRIM(MID('R.M Billets Reports'!D119,SEARCH("-",'R.M Billets Reports'!D119)+1,200)),""))&lt;&gt;"",IF(ISNUMBER(SEARCH("Party Name:-",'R.M Billets Reports'!D119)),TRIM('R.M Billets Reports'!F119),IF(ISNUMBER(SEARCH("Party Name-",'R.M Billets Reports'!D119)),TRIM(MID('R.M Billets Reports'!D119,SEARCH("-",'R.M Billets Reports'!D119)+1,200)),"")),IF(ISNUMBER(SEARCH("Party Name:-",'R.M Billets Reports'!D120)),TRIM('R.M Billets Reports'!F120),IF(ISNUMBER(SEARCH("Party Name-",'R.M Billets Reports'!D120)),TRIM(MID('R.M Billets Reports'!D120,SEARCH("-",'R.M Billets Reports'!D120)+1,200)),"")))))),IF(ROW()=2,"",A119))</f>
      </c>
      <c r="B120">
        <f>IF(OR('R.M Billets Reports'!A119="Date-",'R.M Billets Reports'!A119="Date:-"),'R.M Billets Reports'!B119,IF(ROW()=2,"",B119))</f>
      </c>
      <c r="C120">
        <f>IF('R.M Billets Reports'!A119="V.No.",'R.M Billets Reports'!B119,IF(ROW()=2,"",C119))</f>
      </c>
      <c r="D120">
        <f>IF('R.M Billets Reports'!A119&lt;&gt;"",'R.M Billets Reports'!A119,IF(ROW()=2,"",D119))</f>
      </c>
      <c r="E120">
        <f>IF('R.M Billets Reports'!B119="","",TRIM('R.M Billets Reports'!B119))</f>
      </c>
      <c r="F120">
        <f>'R.M Billets Reports'!C119</f>
      </c>
      <c r="G120">
        <f>'R.M Billets Reports'!D119</f>
      </c>
      <c r="H120">
        <f>'R.M Billets Reports'!E119</f>
      </c>
      <c r="I120">
        <f>'R.M Billets Reports'!F119</f>
      </c>
      <c r="J120">
        <f>'R.M Billets Reports'!G119</f>
      </c>
      <c r="K120">
        <f>'R.M Billets Reports'!H119</f>
      </c>
      <c r="L120">
        <f>IF('R.M Billets Reports'!I119="","",'R.M Billets Reports'!I119)</f>
      </c>
      <c r="M120">
        <f t="shared" si="2"/>
      </c>
      <c r="N120">
        <f>IF('R.M Billets Reports'!J119="","",'R.M Billets Reports'!J119)</f>
      </c>
      <c r="O120">
        <f t="shared" si="3"/>
      </c>
      <c r="P120">
        <f>IF('R.M Billets Reports'!A119="SIZE",'R.M Billets Reports'!B119,P119)</f>
      </c>
    </row>
    <row r="121" spans="1:16" x14ac:dyDescent="0.25">
      <c r="A121">
        <f>IF(OR('R.M Billets Reports'!A120="Date-",'R.M Billets Reports'!A120="Date:-"),IF(IF(IF(ISNUMBER(SEARCH("Party Name:-",'R.M Billets Reports'!D120)),TRIM('R.M Billets Reports'!F120),IF(ISNUMBER(SEARCH("Party Name-",'R.M Billets Reports'!D120)),TRIM(MID('R.M Billets Reports'!D120,SEARCH("-",'R.M Billets Reports'!D120)+1,200)),""))&lt;&gt;"",IF(ISNUMBER(SEARCH("Party Name:-",'R.M Billets Reports'!D120)),TRIM('R.M Billets Reports'!F120),IF(ISNUMBER(SEARCH("Party Name-",'R.M Billets Reports'!D120)),TRIM(MID('R.M Billets Reports'!D120,SEARCH("-",'R.M Billets Reports'!D120)+1,200)),"")),IF(ISNUMBER(SEARCH("Party Name:-",'R.M Billets Reports'!D121)),TRIM('R.M Billets Reports'!F121),IF(ISNUMBER(SEARCH("Party Name-",'R.M Billets Reports'!D121)),TRIM(MID('R.M Billets Reports'!D121,SEARCH("-",'R.M Billets Reports'!D121)+1,200)),"")))="VRKP ISPAT PVT LTD","VRKP",IF(IF(IF(ISNUMBER(SEARCH("Party Name:-",'R.M Billets Reports'!D120)),TRIM('R.M Billets Reports'!F120),IF(ISNUMBER(SEARCH("Party Name-",'R.M Billets Reports'!D120)),TRIM(MID('R.M Billets Reports'!D120,SEARCH("-",'R.M Billets Reports'!D120)+1,200)),""))&lt;&gt;"",IF(ISNUMBER(SEARCH("Party Name:-",'R.M Billets Reports'!D120)),TRIM('R.M Billets Reports'!F120),IF(ISNUMBER(SEARCH("Party Name-",'R.M Billets Reports'!D120)),TRIM(MID('R.M Billets Reports'!D120,SEARCH("-",'R.M Billets Reports'!D120)+1,200)),"")),IF(ISNUMBER(SEARCH("Party Name:-",'R.M Billets Reports'!D121)),TRIM('R.M Billets Reports'!F121),IF(ISNUMBER(SEARCH("Party Name-",'R.M Billets Reports'!D121)),TRIM(MID('R.M Billets Reports'!D121,SEARCH("-",'R.M Billets Reports'!D121)+1,200)),"")))="SHRI RADHE","SHREE RADHE",IF(IF(IF(ISNUMBER(SEARCH("Party Name:-",'R.M Billets Reports'!D120)),TRIM('R.M Billets Reports'!F120),IF(ISNUMBER(SEARCH("Party Name-",'R.M Billets Reports'!D120)),TRIM(MID('R.M Billets Reports'!D120,SEARCH("-",'R.M Billets Reports'!D120)+1,200)),""))&lt;&gt;"",IF(ISNUMBER(SEARCH("Party Name:-",'R.M Billets Reports'!D120)),TRIM('R.M Billets Reports'!F120),IF(ISNUMBER(SEARCH("Party Name-",'R.M Billets Reports'!D120)),TRIM(MID('R.M Billets Reports'!D120,SEARCH("-",'R.M Billets Reports'!D120)+1,200)),"")),IF(ISNUMBER(SEARCH("Party Name:-",'R.M Billets Reports'!D121)),TRIM('R.M Billets Reports'!F121),IF(ISNUMBER(SEARCH("Party Name-",'R.M Billets Reports'!D121)),TRIM(MID('R.M Billets Reports'!D121,SEARCH("-",'R.M Billets Reports'!D121)+1,200)),"")))="SHREE RADHE SHAKTI SPONGE AND POWER PVT. LTD.","SHREE RADHE",IF(IF(ISNUMBER(SEARCH("Party Name:-",'R.M Billets Reports'!D120)),TRIM('R.M Billets Reports'!F120),IF(ISNUMBER(SEARCH("Party Name-",'R.M Billets Reports'!D120)),TRIM(MID('R.M Billets Reports'!D120,SEARCH("-",'R.M Billets Reports'!D120)+1,200)),""))&lt;&gt;"",IF(ISNUMBER(SEARCH("Party Name:-",'R.M Billets Reports'!D120)),TRIM('R.M Billets Reports'!F120),IF(ISNUMBER(SEARCH("Party Name-",'R.M Billets Reports'!D120)),TRIM(MID('R.M Billets Reports'!D120,SEARCH("-",'R.M Billets Reports'!D120)+1,200)),"")),IF(ISNUMBER(SEARCH("Party Name:-",'R.M Billets Reports'!D121)),TRIM('R.M Billets Reports'!F121),IF(ISNUMBER(SEARCH("Party Name-",'R.M Billets Reports'!D121)),TRIM(MID('R.M Billets Reports'!D121,SEARCH("-",'R.M Billets Reports'!D121)+1,200)),"")))))),IF(ROW()=2,"",A120))</f>
      </c>
      <c r="B121">
        <f>IF(OR('R.M Billets Reports'!A120="Date-",'R.M Billets Reports'!A120="Date:-"),'R.M Billets Reports'!B120,IF(ROW()=2,"",B120))</f>
      </c>
      <c r="C121">
        <f>IF('R.M Billets Reports'!A120="V.No.",'R.M Billets Reports'!B120,IF(ROW()=2,"",C120))</f>
      </c>
      <c r="D121">
        <f>IF('R.M Billets Reports'!A120&lt;&gt;"",'R.M Billets Reports'!A120,IF(ROW()=2,"",D120))</f>
      </c>
      <c r="E121">
        <f>IF('R.M Billets Reports'!B120="","",TRIM('R.M Billets Reports'!B120))</f>
      </c>
      <c r="F121">
        <f>'R.M Billets Reports'!C120</f>
      </c>
      <c r="G121">
        <f>'R.M Billets Reports'!D120</f>
      </c>
      <c r="H121">
        <f>'R.M Billets Reports'!E120</f>
      </c>
      <c r="I121">
        <f>'R.M Billets Reports'!F120</f>
      </c>
      <c r="J121">
        <f>'R.M Billets Reports'!G120</f>
      </c>
      <c r="K121">
        <f>'R.M Billets Reports'!H120</f>
      </c>
      <c r="L121">
        <f>IF('R.M Billets Reports'!I120="","",'R.M Billets Reports'!I120)</f>
      </c>
      <c r="M121">
        <f t="shared" si="2"/>
      </c>
      <c r="N121">
        <f>IF('R.M Billets Reports'!J120="","",'R.M Billets Reports'!J120)</f>
      </c>
      <c r="O121">
        <f t="shared" si="3"/>
      </c>
      <c r="P121">
        <f>IF('R.M Billets Reports'!A120="SIZE",'R.M Billets Reports'!B120,P120)</f>
      </c>
    </row>
    <row r="122" spans="1:16" x14ac:dyDescent="0.25">
      <c r="A122">
        <f>IF(OR('R.M Billets Reports'!A121="Date-",'R.M Billets Reports'!A121="Date:-"),IF(IF(IF(ISNUMBER(SEARCH("Party Name:-",'R.M Billets Reports'!D121)),TRIM('R.M Billets Reports'!F121),IF(ISNUMBER(SEARCH("Party Name-",'R.M Billets Reports'!D121)),TRIM(MID('R.M Billets Reports'!D121,SEARCH("-",'R.M Billets Reports'!D121)+1,200)),""))&lt;&gt;"",IF(ISNUMBER(SEARCH("Party Name:-",'R.M Billets Reports'!D121)),TRIM('R.M Billets Reports'!F121),IF(ISNUMBER(SEARCH("Party Name-",'R.M Billets Reports'!D121)),TRIM(MID('R.M Billets Reports'!D121,SEARCH("-",'R.M Billets Reports'!D121)+1,200)),"")),IF(ISNUMBER(SEARCH("Party Name:-",'R.M Billets Reports'!D122)),TRIM('R.M Billets Reports'!F122),IF(ISNUMBER(SEARCH("Party Name-",'R.M Billets Reports'!D122)),TRIM(MID('R.M Billets Reports'!D122,SEARCH("-",'R.M Billets Reports'!D122)+1,200)),"")))="VRKP ISPAT PVT LTD","VRKP",IF(IF(IF(ISNUMBER(SEARCH("Party Name:-",'R.M Billets Reports'!D121)),TRIM('R.M Billets Reports'!F121),IF(ISNUMBER(SEARCH("Party Name-",'R.M Billets Reports'!D121)),TRIM(MID('R.M Billets Reports'!D121,SEARCH("-",'R.M Billets Reports'!D121)+1,200)),""))&lt;&gt;"",IF(ISNUMBER(SEARCH("Party Name:-",'R.M Billets Reports'!D121)),TRIM('R.M Billets Reports'!F121),IF(ISNUMBER(SEARCH("Party Name-",'R.M Billets Reports'!D121)),TRIM(MID('R.M Billets Reports'!D121,SEARCH("-",'R.M Billets Reports'!D121)+1,200)),"")),IF(ISNUMBER(SEARCH("Party Name:-",'R.M Billets Reports'!D122)),TRIM('R.M Billets Reports'!F122),IF(ISNUMBER(SEARCH("Party Name-",'R.M Billets Reports'!D122)),TRIM(MID('R.M Billets Reports'!D122,SEARCH("-",'R.M Billets Reports'!D122)+1,200)),"")))="SHRI RADHE","SHREE RADHE",IF(IF(IF(ISNUMBER(SEARCH("Party Name:-",'R.M Billets Reports'!D121)),TRIM('R.M Billets Reports'!F121),IF(ISNUMBER(SEARCH("Party Name-",'R.M Billets Reports'!D121)),TRIM(MID('R.M Billets Reports'!D121,SEARCH("-",'R.M Billets Reports'!D121)+1,200)),""))&lt;&gt;"",IF(ISNUMBER(SEARCH("Party Name:-",'R.M Billets Reports'!D121)),TRIM('R.M Billets Reports'!F121),IF(ISNUMBER(SEARCH("Party Name-",'R.M Billets Reports'!D121)),TRIM(MID('R.M Billets Reports'!D121,SEARCH("-",'R.M Billets Reports'!D121)+1,200)),"")),IF(ISNUMBER(SEARCH("Party Name:-",'R.M Billets Reports'!D122)),TRIM('R.M Billets Reports'!F122),IF(ISNUMBER(SEARCH("Party Name-",'R.M Billets Reports'!D122)),TRIM(MID('R.M Billets Reports'!D122,SEARCH("-",'R.M Billets Reports'!D122)+1,200)),"")))="SHREE RADHE SHAKTI SPONGE AND POWER PVT. LTD.","SHREE RADHE",IF(IF(ISNUMBER(SEARCH("Party Name:-",'R.M Billets Reports'!D121)),TRIM('R.M Billets Reports'!F121),IF(ISNUMBER(SEARCH("Party Name-",'R.M Billets Reports'!D121)),TRIM(MID('R.M Billets Reports'!D121,SEARCH("-",'R.M Billets Reports'!D121)+1,200)),""))&lt;&gt;"",IF(ISNUMBER(SEARCH("Party Name:-",'R.M Billets Reports'!D121)),TRIM('R.M Billets Reports'!F121),IF(ISNUMBER(SEARCH("Party Name-",'R.M Billets Reports'!D121)),TRIM(MID('R.M Billets Reports'!D121,SEARCH("-",'R.M Billets Reports'!D121)+1,200)),"")),IF(ISNUMBER(SEARCH("Party Name:-",'R.M Billets Reports'!D122)),TRIM('R.M Billets Reports'!F122),IF(ISNUMBER(SEARCH("Party Name-",'R.M Billets Reports'!D122)),TRIM(MID('R.M Billets Reports'!D122,SEARCH("-",'R.M Billets Reports'!D122)+1,200)),"")))))),IF(ROW()=2,"",A121))</f>
      </c>
      <c r="B122">
        <f>IF(OR('R.M Billets Reports'!A121="Date-",'R.M Billets Reports'!A121="Date:-"),'R.M Billets Reports'!B121,IF(ROW()=2,"",B121))</f>
      </c>
      <c r="C122">
        <f>IF('R.M Billets Reports'!A121="V.No.",'R.M Billets Reports'!B121,IF(ROW()=2,"",C121))</f>
      </c>
      <c r="D122">
        <f>IF('R.M Billets Reports'!A121&lt;&gt;"",'R.M Billets Reports'!A121,IF(ROW()=2,"",D121))</f>
      </c>
      <c r="E122">
        <f>IF('R.M Billets Reports'!B121="","",TRIM('R.M Billets Reports'!B121))</f>
      </c>
      <c r="F122">
        <f>'R.M Billets Reports'!C121</f>
      </c>
      <c r="G122">
        <f>'R.M Billets Reports'!D121</f>
      </c>
      <c r="H122">
        <f>'R.M Billets Reports'!E121</f>
      </c>
      <c r="I122">
        <f>'R.M Billets Reports'!F121</f>
      </c>
      <c r="J122">
        <f>'R.M Billets Reports'!G121</f>
      </c>
      <c r="K122">
        <f>'R.M Billets Reports'!H121</f>
      </c>
      <c r="L122">
        <f>IF('R.M Billets Reports'!I121="","",'R.M Billets Reports'!I121)</f>
      </c>
      <c r="M122">
        <f t="shared" si="2"/>
      </c>
      <c r="N122">
        <f>IF('R.M Billets Reports'!J121="","",'R.M Billets Reports'!J121)</f>
      </c>
      <c r="O122">
        <f t="shared" si="3"/>
      </c>
      <c r="P122">
        <f>IF('R.M Billets Reports'!A121="SIZE",'R.M Billets Reports'!B121,P121)</f>
      </c>
    </row>
    <row r="123" spans="1:16" x14ac:dyDescent="0.25">
      <c r="A123">
        <f>IF(OR('R.M Billets Reports'!A122="Date-",'R.M Billets Reports'!A122="Date:-"),IF(IF(IF(ISNUMBER(SEARCH("Party Name:-",'R.M Billets Reports'!D122)),TRIM('R.M Billets Reports'!F122),IF(ISNUMBER(SEARCH("Party Name-",'R.M Billets Reports'!D122)),TRIM(MID('R.M Billets Reports'!D122,SEARCH("-",'R.M Billets Reports'!D122)+1,200)),""))&lt;&gt;"",IF(ISNUMBER(SEARCH("Party Name:-",'R.M Billets Reports'!D122)),TRIM('R.M Billets Reports'!F122),IF(ISNUMBER(SEARCH("Party Name-",'R.M Billets Reports'!D122)),TRIM(MID('R.M Billets Reports'!D122,SEARCH("-",'R.M Billets Reports'!D122)+1,200)),"")),IF(ISNUMBER(SEARCH("Party Name:-",'R.M Billets Reports'!D123)),TRIM('R.M Billets Reports'!F123),IF(ISNUMBER(SEARCH("Party Name-",'R.M Billets Reports'!D123)),TRIM(MID('R.M Billets Reports'!D123,SEARCH("-",'R.M Billets Reports'!D123)+1,200)),"")))="VRKP ISPAT PVT LTD","VRKP",IF(IF(IF(ISNUMBER(SEARCH("Party Name:-",'R.M Billets Reports'!D122)),TRIM('R.M Billets Reports'!F122),IF(ISNUMBER(SEARCH("Party Name-",'R.M Billets Reports'!D122)),TRIM(MID('R.M Billets Reports'!D122,SEARCH("-",'R.M Billets Reports'!D122)+1,200)),""))&lt;&gt;"",IF(ISNUMBER(SEARCH("Party Name:-",'R.M Billets Reports'!D122)),TRIM('R.M Billets Reports'!F122),IF(ISNUMBER(SEARCH("Party Name-",'R.M Billets Reports'!D122)),TRIM(MID('R.M Billets Reports'!D122,SEARCH("-",'R.M Billets Reports'!D122)+1,200)),"")),IF(ISNUMBER(SEARCH("Party Name:-",'R.M Billets Reports'!D123)),TRIM('R.M Billets Reports'!F123),IF(ISNUMBER(SEARCH("Party Name-",'R.M Billets Reports'!D123)),TRIM(MID('R.M Billets Reports'!D123,SEARCH("-",'R.M Billets Reports'!D123)+1,200)),"")))="SHRI RADHE","SHREE RADHE",IF(IF(IF(ISNUMBER(SEARCH("Party Name:-",'R.M Billets Reports'!D122)),TRIM('R.M Billets Reports'!F122),IF(ISNUMBER(SEARCH("Party Name-",'R.M Billets Reports'!D122)),TRIM(MID('R.M Billets Reports'!D122,SEARCH("-",'R.M Billets Reports'!D122)+1,200)),""))&lt;&gt;"",IF(ISNUMBER(SEARCH("Party Name:-",'R.M Billets Reports'!D122)),TRIM('R.M Billets Reports'!F122),IF(ISNUMBER(SEARCH("Party Name-",'R.M Billets Reports'!D122)),TRIM(MID('R.M Billets Reports'!D122,SEARCH("-",'R.M Billets Reports'!D122)+1,200)),"")),IF(ISNUMBER(SEARCH("Party Name:-",'R.M Billets Reports'!D123)),TRIM('R.M Billets Reports'!F123),IF(ISNUMBER(SEARCH("Party Name-",'R.M Billets Reports'!D123)),TRIM(MID('R.M Billets Reports'!D123,SEARCH("-",'R.M Billets Reports'!D123)+1,200)),"")))="SHREE RADHE SHAKTI SPONGE AND POWER PVT. LTD.","SHREE RADHE",IF(IF(ISNUMBER(SEARCH("Party Name:-",'R.M Billets Reports'!D122)),TRIM('R.M Billets Reports'!F122),IF(ISNUMBER(SEARCH("Party Name-",'R.M Billets Reports'!D122)),TRIM(MID('R.M Billets Reports'!D122,SEARCH("-",'R.M Billets Reports'!D122)+1,200)),""))&lt;&gt;"",IF(ISNUMBER(SEARCH("Party Name:-",'R.M Billets Reports'!D122)),TRIM('R.M Billets Reports'!F122),IF(ISNUMBER(SEARCH("Party Name-",'R.M Billets Reports'!D122)),TRIM(MID('R.M Billets Reports'!D122,SEARCH("-",'R.M Billets Reports'!D122)+1,200)),"")),IF(ISNUMBER(SEARCH("Party Name:-",'R.M Billets Reports'!D123)),TRIM('R.M Billets Reports'!F123),IF(ISNUMBER(SEARCH("Party Name-",'R.M Billets Reports'!D123)),TRIM(MID('R.M Billets Reports'!D123,SEARCH("-",'R.M Billets Reports'!D123)+1,200)),"")))))),IF(ROW()=2,"",A122))</f>
      </c>
      <c r="B123">
        <f>IF(OR('R.M Billets Reports'!A122="Date-",'R.M Billets Reports'!A122="Date:-"),'R.M Billets Reports'!B122,IF(ROW()=2,"",B122))</f>
      </c>
      <c r="C123">
        <f>IF('R.M Billets Reports'!A122="V.No.",'R.M Billets Reports'!B122,IF(ROW()=2,"",C122))</f>
      </c>
      <c r="D123">
        <f>IF('R.M Billets Reports'!A122&lt;&gt;"",'R.M Billets Reports'!A122,IF(ROW()=2,"",D122))</f>
      </c>
      <c r="E123">
        <f>IF('R.M Billets Reports'!B122="","",TRIM('R.M Billets Reports'!B122))</f>
      </c>
      <c r="F123">
        <f>'R.M Billets Reports'!C122</f>
      </c>
      <c r="G123">
        <f>'R.M Billets Reports'!D122</f>
      </c>
      <c r="H123">
        <f>'R.M Billets Reports'!E122</f>
      </c>
      <c r="I123">
        <f>'R.M Billets Reports'!F122</f>
      </c>
      <c r="J123">
        <f>'R.M Billets Reports'!G122</f>
      </c>
      <c r="K123">
        <f>'R.M Billets Reports'!H122</f>
      </c>
      <c r="L123">
        <f>IF('R.M Billets Reports'!I122="","",'R.M Billets Reports'!I122)</f>
      </c>
      <c r="M123">
        <f t="shared" si="2"/>
      </c>
      <c r="N123">
        <f>IF('R.M Billets Reports'!J122="","",'R.M Billets Reports'!J122)</f>
      </c>
      <c r="O123">
        <f t="shared" si="3"/>
      </c>
      <c r="P123">
        <f>IF('R.M Billets Reports'!A122="SIZE",'R.M Billets Reports'!B122,P122)</f>
      </c>
    </row>
    <row r="124" spans="1:16" x14ac:dyDescent="0.25">
      <c r="A124">
        <f>IF(OR('R.M Billets Reports'!A123="Date-",'R.M Billets Reports'!A123="Date:-"),IF(IF(IF(ISNUMBER(SEARCH("Party Name:-",'R.M Billets Reports'!D123)),TRIM('R.M Billets Reports'!F123),IF(ISNUMBER(SEARCH("Party Name-",'R.M Billets Reports'!D123)),TRIM(MID('R.M Billets Reports'!D123,SEARCH("-",'R.M Billets Reports'!D123)+1,200)),""))&lt;&gt;"",IF(ISNUMBER(SEARCH("Party Name:-",'R.M Billets Reports'!D123)),TRIM('R.M Billets Reports'!F123),IF(ISNUMBER(SEARCH("Party Name-",'R.M Billets Reports'!D123)),TRIM(MID('R.M Billets Reports'!D123,SEARCH("-",'R.M Billets Reports'!D123)+1,200)),"")),IF(ISNUMBER(SEARCH("Party Name:-",'R.M Billets Reports'!D124)),TRIM('R.M Billets Reports'!F124),IF(ISNUMBER(SEARCH("Party Name-",'R.M Billets Reports'!D124)),TRIM(MID('R.M Billets Reports'!D124,SEARCH("-",'R.M Billets Reports'!D124)+1,200)),"")))="VRKP ISPAT PVT LTD","VRKP",IF(IF(IF(ISNUMBER(SEARCH("Party Name:-",'R.M Billets Reports'!D123)),TRIM('R.M Billets Reports'!F123),IF(ISNUMBER(SEARCH("Party Name-",'R.M Billets Reports'!D123)),TRIM(MID('R.M Billets Reports'!D123,SEARCH("-",'R.M Billets Reports'!D123)+1,200)),""))&lt;&gt;"",IF(ISNUMBER(SEARCH("Party Name:-",'R.M Billets Reports'!D123)),TRIM('R.M Billets Reports'!F123),IF(ISNUMBER(SEARCH("Party Name-",'R.M Billets Reports'!D123)),TRIM(MID('R.M Billets Reports'!D123,SEARCH("-",'R.M Billets Reports'!D123)+1,200)),"")),IF(ISNUMBER(SEARCH("Party Name:-",'R.M Billets Reports'!D124)),TRIM('R.M Billets Reports'!F124),IF(ISNUMBER(SEARCH("Party Name-",'R.M Billets Reports'!D124)),TRIM(MID('R.M Billets Reports'!D124,SEARCH("-",'R.M Billets Reports'!D124)+1,200)),"")))="SHRI RADHE","SHREE RADHE",IF(IF(IF(ISNUMBER(SEARCH("Party Name:-",'R.M Billets Reports'!D123)),TRIM('R.M Billets Reports'!F123),IF(ISNUMBER(SEARCH("Party Name-",'R.M Billets Reports'!D123)),TRIM(MID('R.M Billets Reports'!D123,SEARCH("-",'R.M Billets Reports'!D123)+1,200)),""))&lt;&gt;"",IF(ISNUMBER(SEARCH("Party Name:-",'R.M Billets Reports'!D123)),TRIM('R.M Billets Reports'!F123),IF(ISNUMBER(SEARCH("Party Name-",'R.M Billets Reports'!D123)),TRIM(MID('R.M Billets Reports'!D123,SEARCH("-",'R.M Billets Reports'!D123)+1,200)),"")),IF(ISNUMBER(SEARCH("Party Name:-",'R.M Billets Reports'!D124)),TRIM('R.M Billets Reports'!F124),IF(ISNUMBER(SEARCH("Party Name-",'R.M Billets Reports'!D124)),TRIM(MID('R.M Billets Reports'!D124,SEARCH("-",'R.M Billets Reports'!D124)+1,200)),"")))="SHREE RADHE SHAKTI SPONGE AND POWER PVT. LTD.","SHREE RADHE",IF(IF(ISNUMBER(SEARCH("Party Name:-",'R.M Billets Reports'!D123)),TRIM('R.M Billets Reports'!F123),IF(ISNUMBER(SEARCH("Party Name-",'R.M Billets Reports'!D123)),TRIM(MID('R.M Billets Reports'!D123,SEARCH("-",'R.M Billets Reports'!D123)+1,200)),""))&lt;&gt;"",IF(ISNUMBER(SEARCH("Party Name:-",'R.M Billets Reports'!D123)),TRIM('R.M Billets Reports'!F123),IF(ISNUMBER(SEARCH("Party Name-",'R.M Billets Reports'!D123)),TRIM(MID('R.M Billets Reports'!D123,SEARCH("-",'R.M Billets Reports'!D123)+1,200)),"")),IF(ISNUMBER(SEARCH("Party Name:-",'R.M Billets Reports'!D124)),TRIM('R.M Billets Reports'!F124),IF(ISNUMBER(SEARCH("Party Name-",'R.M Billets Reports'!D124)),TRIM(MID('R.M Billets Reports'!D124,SEARCH("-",'R.M Billets Reports'!D124)+1,200)),"")))))),IF(ROW()=2,"",A123))</f>
      </c>
      <c r="B124">
        <f>IF(OR('R.M Billets Reports'!A123="Date-",'R.M Billets Reports'!A123="Date:-"),'R.M Billets Reports'!B123,IF(ROW()=2,"",B123))</f>
      </c>
      <c r="C124">
        <f>IF('R.M Billets Reports'!A123="V.No.",'R.M Billets Reports'!B123,IF(ROW()=2,"",C123))</f>
      </c>
      <c r="D124">
        <f>IF('R.M Billets Reports'!A123&lt;&gt;"",'R.M Billets Reports'!A123,IF(ROW()=2,"",D123))</f>
      </c>
      <c r="E124">
        <f>IF('R.M Billets Reports'!B123="","",TRIM('R.M Billets Reports'!B123))</f>
      </c>
      <c r="F124">
        <f>'R.M Billets Reports'!C123</f>
      </c>
      <c r="G124">
        <f>'R.M Billets Reports'!D123</f>
      </c>
      <c r="H124">
        <f>'R.M Billets Reports'!E123</f>
      </c>
      <c r="I124">
        <f>'R.M Billets Reports'!F123</f>
      </c>
      <c r="J124">
        <f>'R.M Billets Reports'!G123</f>
      </c>
      <c r="K124">
        <f>'R.M Billets Reports'!H123</f>
      </c>
      <c r="L124">
        <f>IF('R.M Billets Reports'!I123="","",'R.M Billets Reports'!I123)</f>
      </c>
      <c r="M124">
        <f t="shared" si="2"/>
      </c>
      <c r="N124">
        <f>IF('R.M Billets Reports'!J123="","",'R.M Billets Reports'!J123)</f>
      </c>
      <c r="O124">
        <f t="shared" si="3"/>
      </c>
      <c r="P124">
        <f>IF('R.M Billets Reports'!A123="SIZE",'R.M Billets Reports'!B123,P123)</f>
      </c>
    </row>
    <row r="125" spans="1:16" x14ac:dyDescent="0.25">
      <c r="A125">
        <f>IF(OR('R.M Billets Reports'!A124="Date-",'R.M Billets Reports'!A124="Date:-"),IF(IF(IF(ISNUMBER(SEARCH("Party Name:-",'R.M Billets Reports'!D124)),TRIM('R.M Billets Reports'!F124),IF(ISNUMBER(SEARCH("Party Name-",'R.M Billets Reports'!D124)),TRIM(MID('R.M Billets Reports'!D124,SEARCH("-",'R.M Billets Reports'!D124)+1,200)),""))&lt;&gt;"",IF(ISNUMBER(SEARCH("Party Name:-",'R.M Billets Reports'!D124)),TRIM('R.M Billets Reports'!F124),IF(ISNUMBER(SEARCH("Party Name-",'R.M Billets Reports'!D124)),TRIM(MID('R.M Billets Reports'!D124,SEARCH("-",'R.M Billets Reports'!D124)+1,200)),"")),IF(ISNUMBER(SEARCH("Party Name:-",'R.M Billets Reports'!D125)),TRIM('R.M Billets Reports'!F125),IF(ISNUMBER(SEARCH("Party Name-",'R.M Billets Reports'!D125)),TRIM(MID('R.M Billets Reports'!D125,SEARCH("-",'R.M Billets Reports'!D125)+1,200)),"")))="VRKP ISPAT PVT LTD","VRKP",IF(IF(IF(ISNUMBER(SEARCH("Party Name:-",'R.M Billets Reports'!D124)),TRIM('R.M Billets Reports'!F124),IF(ISNUMBER(SEARCH("Party Name-",'R.M Billets Reports'!D124)),TRIM(MID('R.M Billets Reports'!D124,SEARCH("-",'R.M Billets Reports'!D124)+1,200)),""))&lt;&gt;"",IF(ISNUMBER(SEARCH("Party Name:-",'R.M Billets Reports'!D124)),TRIM('R.M Billets Reports'!F124),IF(ISNUMBER(SEARCH("Party Name-",'R.M Billets Reports'!D124)),TRIM(MID('R.M Billets Reports'!D124,SEARCH("-",'R.M Billets Reports'!D124)+1,200)),"")),IF(ISNUMBER(SEARCH("Party Name:-",'R.M Billets Reports'!D125)),TRIM('R.M Billets Reports'!F125),IF(ISNUMBER(SEARCH("Party Name-",'R.M Billets Reports'!D125)),TRIM(MID('R.M Billets Reports'!D125,SEARCH("-",'R.M Billets Reports'!D125)+1,200)),"")))="SHRI RADHE","SHREE RADHE",IF(IF(IF(ISNUMBER(SEARCH("Party Name:-",'R.M Billets Reports'!D124)),TRIM('R.M Billets Reports'!F124),IF(ISNUMBER(SEARCH("Party Name-",'R.M Billets Reports'!D124)),TRIM(MID('R.M Billets Reports'!D124,SEARCH("-",'R.M Billets Reports'!D124)+1,200)),""))&lt;&gt;"",IF(ISNUMBER(SEARCH("Party Name:-",'R.M Billets Reports'!D124)),TRIM('R.M Billets Reports'!F124),IF(ISNUMBER(SEARCH("Party Name-",'R.M Billets Reports'!D124)),TRIM(MID('R.M Billets Reports'!D124,SEARCH("-",'R.M Billets Reports'!D124)+1,200)),"")),IF(ISNUMBER(SEARCH("Party Name:-",'R.M Billets Reports'!D125)),TRIM('R.M Billets Reports'!F125),IF(ISNUMBER(SEARCH("Party Name-",'R.M Billets Reports'!D125)),TRIM(MID('R.M Billets Reports'!D125,SEARCH("-",'R.M Billets Reports'!D125)+1,200)),"")))="SHREE RADHE SHAKTI SPONGE AND POWER PVT. LTD.","SHREE RADHE",IF(IF(ISNUMBER(SEARCH("Party Name:-",'R.M Billets Reports'!D124)),TRIM('R.M Billets Reports'!F124),IF(ISNUMBER(SEARCH("Party Name-",'R.M Billets Reports'!D124)),TRIM(MID('R.M Billets Reports'!D124,SEARCH("-",'R.M Billets Reports'!D124)+1,200)),""))&lt;&gt;"",IF(ISNUMBER(SEARCH("Party Name:-",'R.M Billets Reports'!D124)),TRIM('R.M Billets Reports'!F124),IF(ISNUMBER(SEARCH("Party Name-",'R.M Billets Reports'!D124)),TRIM(MID('R.M Billets Reports'!D124,SEARCH("-",'R.M Billets Reports'!D124)+1,200)),"")),IF(ISNUMBER(SEARCH("Party Name:-",'R.M Billets Reports'!D125)),TRIM('R.M Billets Reports'!F125),IF(ISNUMBER(SEARCH("Party Name-",'R.M Billets Reports'!D125)),TRIM(MID('R.M Billets Reports'!D125,SEARCH("-",'R.M Billets Reports'!D125)+1,200)),"")))))),IF(ROW()=2,"",A124))</f>
      </c>
      <c r="B125">
        <f>IF(OR('R.M Billets Reports'!A124="Date-",'R.M Billets Reports'!A124="Date:-"),'R.M Billets Reports'!B124,IF(ROW()=2,"",B124))</f>
      </c>
      <c r="C125">
        <f>IF('R.M Billets Reports'!A124="V.No.",'R.M Billets Reports'!B124,IF(ROW()=2,"",C124))</f>
      </c>
      <c r="D125">
        <f>IF('R.M Billets Reports'!A124&lt;&gt;"",'R.M Billets Reports'!A124,IF(ROW()=2,"",D124))</f>
      </c>
      <c r="E125">
        <f>IF('R.M Billets Reports'!B124="","",TRIM('R.M Billets Reports'!B124))</f>
      </c>
      <c r="F125">
        <f>'R.M Billets Reports'!C124</f>
      </c>
      <c r="G125">
        <f>'R.M Billets Reports'!D124</f>
      </c>
      <c r="H125">
        <f>'R.M Billets Reports'!E124</f>
      </c>
      <c r="I125">
        <f>'R.M Billets Reports'!F124</f>
      </c>
      <c r="J125">
        <f>'R.M Billets Reports'!G124</f>
      </c>
      <c r="K125">
        <f>'R.M Billets Reports'!H124</f>
      </c>
      <c r="L125">
        <f>IF('R.M Billets Reports'!I124="","",'R.M Billets Reports'!I124)</f>
      </c>
      <c r="M125">
        <f t="shared" si="2"/>
      </c>
      <c r="N125">
        <f>IF('R.M Billets Reports'!J124="","",'R.M Billets Reports'!J124)</f>
      </c>
      <c r="O125">
        <f t="shared" si="3"/>
      </c>
      <c r="P125">
        <f>IF('R.M Billets Reports'!A124="SIZE",'R.M Billets Reports'!B124,P124)</f>
      </c>
    </row>
    <row r="126" spans="1:16" x14ac:dyDescent="0.25">
      <c r="A126">
        <f>IF(OR('R.M Billets Reports'!A125="Date-",'R.M Billets Reports'!A125="Date:-"),IF(IF(IF(ISNUMBER(SEARCH("Party Name:-",'R.M Billets Reports'!D125)),TRIM('R.M Billets Reports'!F125),IF(ISNUMBER(SEARCH("Party Name-",'R.M Billets Reports'!D125)),TRIM(MID('R.M Billets Reports'!D125,SEARCH("-",'R.M Billets Reports'!D125)+1,200)),""))&lt;&gt;"",IF(ISNUMBER(SEARCH("Party Name:-",'R.M Billets Reports'!D125)),TRIM('R.M Billets Reports'!F125),IF(ISNUMBER(SEARCH("Party Name-",'R.M Billets Reports'!D125)),TRIM(MID('R.M Billets Reports'!D125,SEARCH("-",'R.M Billets Reports'!D125)+1,200)),"")),IF(ISNUMBER(SEARCH("Party Name:-",'R.M Billets Reports'!D126)),TRIM('R.M Billets Reports'!F126),IF(ISNUMBER(SEARCH("Party Name-",'R.M Billets Reports'!D126)),TRIM(MID('R.M Billets Reports'!D126,SEARCH("-",'R.M Billets Reports'!D126)+1,200)),"")))="VRKP ISPAT PVT LTD","VRKP",IF(IF(IF(ISNUMBER(SEARCH("Party Name:-",'R.M Billets Reports'!D125)),TRIM('R.M Billets Reports'!F125),IF(ISNUMBER(SEARCH("Party Name-",'R.M Billets Reports'!D125)),TRIM(MID('R.M Billets Reports'!D125,SEARCH("-",'R.M Billets Reports'!D125)+1,200)),""))&lt;&gt;"",IF(ISNUMBER(SEARCH("Party Name:-",'R.M Billets Reports'!D125)),TRIM('R.M Billets Reports'!F125),IF(ISNUMBER(SEARCH("Party Name-",'R.M Billets Reports'!D125)),TRIM(MID('R.M Billets Reports'!D125,SEARCH("-",'R.M Billets Reports'!D125)+1,200)),"")),IF(ISNUMBER(SEARCH("Party Name:-",'R.M Billets Reports'!D126)),TRIM('R.M Billets Reports'!F126),IF(ISNUMBER(SEARCH("Party Name-",'R.M Billets Reports'!D126)),TRIM(MID('R.M Billets Reports'!D126,SEARCH("-",'R.M Billets Reports'!D126)+1,200)),"")))="SHRI RADHE","SHREE RADHE",IF(IF(IF(ISNUMBER(SEARCH("Party Name:-",'R.M Billets Reports'!D125)),TRIM('R.M Billets Reports'!F125),IF(ISNUMBER(SEARCH("Party Name-",'R.M Billets Reports'!D125)),TRIM(MID('R.M Billets Reports'!D125,SEARCH("-",'R.M Billets Reports'!D125)+1,200)),""))&lt;&gt;"",IF(ISNUMBER(SEARCH("Party Name:-",'R.M Billets Reports'!D125)),TRIM('R.M Billets Reports'!F125),IF(ISNUMBER(SEARCH("Party Name-",'R.M Billets Reports'!D125)),TRIM(MID('R.M Billets Reports'!D125,SEARCH("-",'R.M Billets Reports'!D125)+1,200)),"")),IF(ISNUMBER(SEARCH("Party Name:-",'R.M Billets Reports'!D126)),TRIM('R.M Billets Reports'!F126),IF(ISNUMBER(SEARCH("Party Name-",'R.M Billets Reports'!D126)),TRIM(MID('R.M Billets Reports'!D126,SEARCH("-",'R.M Billets Reports'!D126)+1,200)),"")))="SHREE RADHE SHAKTI SPONGE AND POWER PVT. LTD.","SHREE RADHE",IF(IF(ISNUMBER(SEARCH("Party Name:-",'R.M Billets Reports'!D125)),TRIM('R.M Billets Reports'!F125),IF(ISNUMBER(SEARCH("Party Name-",'R.M Billets Reports'!D125)),TRIM(MID('R.M Billets Reports'!D125,SEARCH("-",'R.M Billets Reports'!D125)+1,200)),""))&lt;&gt;"",IF(ISNUMBER(SEARCH("Party Name:-",'R.M Billets Reports'!D125)),TRIM('R.M Billets Reports'!F125),IF(ISNUMBER(SEARCH("Party Name-",'R.M Billets Reports'!D125)),TRIM(MID('R.M Billets Reports'!D125,SEARCH("-",'R.M Billets Reports'!D125)+1,200)),"")),IF(ISNUMBER(SEARCH("Party Name:-",'R.M Billets Reports'!D126)),TRIM('R.M Billets Reports'!F126),IF(ISNUMBER(SEARCH("Party Name-",'R.M Billets Reports'!D126)),TRIM(MID('R.M Billets Reports'!D126,SEARCH("-",'R.M Billets Reports'!D126)+1,200)),"")))))),IF(ROW()=2,"",A125))</f>
      </c>
      <c r="B126">
        <f>IF(OR('R.M Billets Reports'!A125="Date-",'R.M Billets Reports'!A125="Date:-"),'R.M Billets Reports'!B125,IF(ROW()=2,"",B125))</f>
      </c>
      <c r="C126">
        <f>IF('R.M Billets Reports'!A125="V.No.",'R.M Billets Reports'!B125,IF(ROW()=2,"",C125))</f>
      </c>
      <c r="D126">
        <f>IF('R.M Billets Reports'!A125&lt;&gt;"",'R.M Billets Reports'!A125,IF(ROW()=2,"",D125))</f>
      </c>
      <c r="E126">
        <f>IF('R.M Billets Reports'!B125="","",TRIM('R.M Billets Reports'!B125))</f>
      </c>
      <c r="F126">
        <f>'R.M Billets Reports'!C125</f>
      </c>
      <c r="G126">
        <f>'R.M Billets Reports'!D125</f>
      </c>
      <c r="H126">
        <f>'R.M Billets Reports'!E125</f>
      </c>
      <c r="I126">
        <f>'R.M Billets Reports'!F125</f>
      </c>
      <c r="J126">
        <f>'R.M Billets Reports'!G125</f>
      </c>
      <c r="K126">
        <f>'R.M Billets Reports'!H125</f>
      </c>
      <c r="L126">
        <f>IF('R.M Billets Reports'!I125="","",'R.M Billets Reports'!I125)</f>
      </c>
      <c r="M126">
        <f t="shared" si="2"/>
      </c>
      <c r="N126">
        <f>IF('R.M Billets Reports'!J125="","",'R.M Billets Reports'!J125)</f>
      </c>
      <c r="O126">
        <f t="shared" si="3"/>
      </c>
      <c r="P126">
        <f>IF('R.M Billets Reports'!A125="SIZE",'R.M Billets Reports'!B125,P125)</f>
      </c>
    </row>
    <row r="127" spans="1:16" x14ac:dyDescent="0.25">
      <c r="A127">
        <f>IF(OR('R.M Billets Reports'!A126="Date-",'R.M Billets Reports'!A126="Date:-"),IF(IF(IF(ISNUMBER(SEARCH("Party Name:-",'R.M Billets Reports'!D126)),TRIM('R.M Billets Reports'!F126),IF(ISNUMBER(SEARCH("Party Name-",'R.M Billets Reports'!D126)),TRIM(MID('R.M Billets Reports'!D126,SEARCH("-",'R.M Billets Reports'!D126)+1,200)),""))&lt;&gt;"",IF(ISNUMBER(SEARCH("Party Name:-",'R.M Billets Reports'!D126)),TRIM('R.M Billets Reports'!F126),IF(ISNUMBER(SEARCH("Party Name-",'R.M Billets Reports'!D126)),TRIM(MID('R.M Billets Reports'!D126,SEARCH("-",'R.M Billets Reports'!D126)+1,200)),"")),IF(ISNUMBER(SEARCH("Party Name:-",'R.M Billets Reports'!D127)),TRIM('R.M Billets Reports'!F127),IF(ISNUMBER(SEARCH("Party Name-",'R.M Billets Reports'!D127)),TRIM(MID('R.M Billets Reports'!D127,SEARCH("-",'R.M Billets Reports'!D127)+1,200)),"")))="VRKP ISPAT PVT LTD","VRKP",IF(IF(IF(ISNUMBER(SEARCH("Party Name:-",'R.M Billets Reports'!D126)),TRIM('R.M Billets Reports'!F126),IF(ISNUMBER(SEARCH("Party Name-",'R.M Billets Reports'!D126)),TRIM(MID('R.M Billets Reports'!D126,SEARCH("-",'R.M Billets Reports'!D126)+1,200)),""))&lt;&gt;"",IF(ISNUMBER(SEARCH("Party Name:-",'R.M Billets Reports'!D126)),TRIM('R.M Billets Reports'!F126),IF(ISNUMBER(SEARCH("Party Name-",'R.M Billets Reports'!D126)),TRIM(MID('R.M Billets Reports'!D126,SEARCH("-",'R.M Billets Reports'!D126)+1,200)),"")),IF(ISNUMBER(SEARCH("Party Name:-",'R.M Billets Reports'!D127)),TRIM('R.M Billets Reports'!F127),IF(ISNUMBER(SEARCH("Party Name-",'R.M Billets Reports'!D127)),TRIM(MID('R.M Billets Reports'!D127,SEARCH("-",'R.M Billets Reports'!D127)+1,200)),"")))="SHRI RADHE","SHREE RADHE",IF(IF(IF(ISNUMBER(SEARCH("Party Name:-",'R.M Billets Reports'!D126)),TRIM('R.M Billets Reports'!F126),IF(ISNUMBER(SEARCH("Party Name-",'R.M Billets Reports'!D126)),TRIM(MID('R.M Billets Reports'!D126,SEARCH("-",'R.M Billets Reports'!D126)+1,200)),""))&lt;&gt;"",IF(ISNUMBER(SEARCH("Party Name:-",'R.M Billets Reports'!D126)),TRIM('R.M Billets Reports'!F126),IF(ISNUMBER(SEARCH("Party Name-",'R.M Billets Reports'!D126)),TRIM(MID('R.M Billets Reports'!D126,SEARCH("-",'R.M Billets Reports'!D126)+1,200)),"")),IF(ISNUMBER(SEARCH("Party Name:-",'R.M Billets Reports'!D127)),TRIM('R.M Billets Reports'!F127),IF(ISNUMBER(SEARCH("Party Name-",'R.M Billets Reports'!D127)),TRIM(MID('R.M Billets Reports'!D127,SEARCH("-",'R.M Billets Reports'!D127)+1,200)),"")))="SHREE RADHE SHAKTI SPONGE AND POWER PVT. LTD.","SHREE RADHE",IF(IF(ISNUMBER(SEARCH("Party Name:-",'R.M Billets Reports'!D126)),TRIM('R.M Billets Reports'!F126),IF(ISNUMBER(SEARCH("Party Name-",'R.M Billets Reports'!D126)),TRIM(MID('R.M Billets Reports'!D126,SEARCH("-",'R.M Billets Reports'!D126)+1,200)),""))&lt;&gt;"",IF(ISNUMBER(SEARCH("Party Name:-",'R.M Billets Reports'!D126)),TRIM('R.M Billets Reports'!F126),IF(ISNUMBER(SEARCH("Party Name-",'R.M Billets Reports'!D126)),TRIM(MID('R.M Billets Reports'!D126,SEARCH("-",'R.M Billets Reports'!D126)+1,200)),"")),IF(ISNUMBER(SEARCH("Party Name:-",'R.M Billets Reports'!D127)),TRIM('R.M Billets Reports'!F127),IF(ISNUMBER(SEARCH("Party Name-",'R.M Billets Reports'!D127)),TRIM(MID('R.M Billets Reports'!D127,SEARCH("-",'R.M Billets Reports'!D127)+1,200)),"")))))),IF(ROW()=2,"",A126))</f>
      </c>
      <c r="B127">
        <f>IF(OR('R.M Billets Reports'!A126="Date-",'R.M Billets Reports'!A126="Date:-"),'R.M Billets Reports'!B126,IF(ROW()=2,"",B126))</f>
      </c>
      <c r="C127">
        <f>IF('R.M Billets Reports'!A126="V.No.",'R.M Billets Reports'!B126,IF(ROW()=2,"",C126))</f>
      </c>
      <c r="D127">
        <f>IF('R.M Billets Reports'!A126&lt;&gt;"",'R.M Billets Reports'!A126,IF(ROW()=2,"",D126))</f>
      </c>
      <c r="E127">
        <f>IF('R.M Billets Reports'!B126="","",TRIM('R.M Billets Reports'!B126))</f>
      </c>
      <c r="F127">
        <f>'R.M Billets Reports'!C126</f>
      </c>
      <c r="G127">
        <f>'R.M Billets Reports'!D126</f>
      </c>
      <c r="H127">
        <f>'R.M Billets Reports'!E126</f>
      </c>
      <c r="I127">
        <f>'R.M Billets Reports'!F126</f>
      </c>
      <c r="J127">
        <f>'R.M Billets Reports'!G126</f>
      </c>
      <c r="K127">
        <f>'R.M Billets Reports'!H126</f>
      </c>
      <c r="L127">
        <f>IF('R.M Billets Reports'!I126="","",'R.M Billets Reports'!I126)</f>
      </c>
      <c r="M127">
        <f t="shared" si="2"/>
      </c>
      <c r="N127">
        <f>IF('R.M Billets Reports'!J126="","",'R.M Billets Reports'!J126)</f>
      </c>
      <c r="O127">
        <f t="shared" si="3"/>
      </c>
      <c r="P127">
        <f>IF('R.M Billets Reports'!A126="SIZE",'R.M Billets Reports'!B126,P126)</f>
      </c>
    </row>
    <row r="128" spans="1:16" x14ac:dyDescent="0.25">
      <c r="A128">
        <f>IF(OR('R.M Billets Reports'!A127="Date-",'R.M Billets Reports'!A127="Date:-"),IF(IF(IF(ISNUMBER(SEARCH("Party Name:-",'R.M Billets Reports'!D127)),TRIM('R.M Billets Reports'!F127),IF(ISNUMBER(SEARCH("Party Name-",'R.M Billets Reports'!D127)),TRIM(MID('R.M Billets Reports'!D127,SEARCH("-",'R.M Billets Reports'!D127)+1,200)),""))&lt;&gt;"",IF(ISNUMBER(SEARCH("Party Name:-",'R.M Billets Reports'!D127)),TRIM('R.M Billets Reports'!F127),IF(ISNUMBER(SEARCH("Party Name-",'R.M Billets Reports'!D127)),TRIM(MID('R.M Billets Reports'!D127,SEARCH("-",'R.M Billets Reports'!D127)+1,200)),"")),IF(ISNUMBER(SEARCH("Party Name:-",'R.M Billets Reports'!D128)),TRIM('R.M Billets Reports'!F128),IF(ISNUMBER(SEARCH("Party Name-",'R.M Billets Reports'!D128)),TRIM(MID('R.M Billets Reports'!D128,SEARCH("-",'R.M Billets Reports'!D128)+1,200)),"")))="VRKP ISPAT PVT LTD","VRKP",IF(IF(IF(ISNUMBER(SEARCH("Party Name:-",'R.M Billets Reports'!D127)),TRIM('R.M Billets Reports'!F127),IF(ISNUMBER(SEARCH("Party Name-",'R.M Billets Reports'!D127)),TRIM(MID('R.M Billets Reports'!D127,SEARCH("-",'R.M Billets Reports'!D127)+1,200)),""))&lt;&gt;"",IF(ISNUMBER(SEARCH("Party Name:-",'R.M Billets Reports'!D127)),TRIM('R.M Billets Reports'!F127),IF(ISNUMBER(SEARCH("Party Name-",'R.M Billets Reports'!D127)),TRIM(MID('R.M Billets Reports'!D127,SEARCH("-",'R.M Billets Reports'!D127)+1,200)),"")),IF(ISNUMBER(SEARCH("Party Name:-",'R.M Billets Reports'!D128)),TRIM('R.M Billets Reports'!F128),IF(ISNUMBER(SEARCH("Party Name-",'R.M Billets Reports'!D128)),TRIM(MID('R.M Billets Reports'!D128,SEARCH("-",'R.M Billets Reports'!D128)+1,200)),"")))="SHRI RADHE","SHREE RADHE",IF(IF(IF(ISNUMBER(SEARCH("Party Name:-",'R.M Billets Reports'!D127)),TRIM('R.M Billets Reports'!F127),IF(ISNUMBER(SEARCH("Party Name-",'R.M Billets Reports'!D127)),TRIM(MID('R.M Billets Reports'!D127,SEARCH("-",'R.M Billets Reports'!D127)+1,200)),""))&lt;&gt;"",IF(ISNUMBER(SEARCH("Party Name:-",'R.M Billets Reports'!D127)),TRIM('R.M Billets Reports'!F127),IF(ISNUMBER(SEARCH("Party Name-",'R.M Billets Reports'!D127)),TRIM(MID('R.M Billets Reports'!D127,SEARCH("-",'R.M Billets Reports'!D127)+1,200)),"")),IF(ISNUMBER(SEARCH("Party Name:-",'R.M Billets Reports'!D128)),TRIM('R.M Billets Reports'!F128),IF(ISNUMBER(SEARCH("Party Name-",'R.M Billets Reports'!D128)),TRIM(MID('R.M Billets Reports'!D128,SEARCH("-",'R.M Billets Reports'!D128)+1,200)),"")))="SHREE RADHE SHAKTI SPONGE AND POWER PVT. LTD.","SHREE RADHE",IF(IF(ISNUMBER(SEARCH("Party Name:-",'R.M Billets Reports'!D127)),TRIM('R.M Billets Reports'!F127),IF(ISNUMBER(SEARCH("Party Name-",'R.M Billets Reports'!D127)),TRIM(MID('R.M Billets Reports'!D127,SEARCH("-",'R.M Billets Reports'!D127)+1,200)),""))&lt;&gt;"",IF(ISNUMBER(SEARCH("Party Name:-",'R.M Billets Reports'!D127)),TRIM('R.M Billets Reports'!F127),IF(ISNUMBER(SEARCH("Party Name-",'R.M Billets Reports'!D127)),TRIM(MID('R.M Billets Reports'!D127,SEARCH("-",'R.M Billets Reports'!D127)+1,200)),"")),IF(ISNUMBER(SEARCH("Party Name:-",'R.M Billets Reports'!D128)),TRIM('R.M Billets Reports'!F128),IF(ISNUMBER(SEARCH("Party Name-",'R.M Billets Reports'!D128)),TRIM(MID('R.M Billets Reports'!D128,SEARCH("-",'R.M Billets Reports'!D128)+1,200)),"")))))),IF(ROW()=2,"",A127))</f>
      </c>
      <c r="B128">
        <f>IF(OR('R.M Billets Reports'!A127="Date-",'R.M Billets Reports'!A127="Date:-"),'R.M Billets Reports'!B127,IF(ROW()=2,"",B127))</f>
      </c>
      <c r="C128">
        <f>IF('R.M Billets Reports'!A127="V.No.",'R.M Billets Reports'!B127,IF(ROW()=2,"",C127))</f>
      </c>
      <c r="D128">
        <f>IF('R.M Billets Reports'!A127&lt;&gt;"",'R.M Billets Reports'!A127,IF(ROW()=2,"",D127))</f>
      </c>
      <c r="E128">
        <f>IF('R.M Billets Reports'!B127="","",TRIM('R.M Billets Reports'!B127))</f>
      </c>
      <c r="F128">
        <f>'R.M Billets Reports'!C127</f>
      </c>
      <c r="G128">
        <f>'R.M Billets Reports'!D127</f>
      </c>
      <c r="H128">
        <f>'R.M Billets Reports'!E127</f>
      </c>
      <c r="I128">
        <f>'R.M Billets Reports'!F127</f>
      </c>
      <c r="J128">
        <f>'R.M Billets Reports'!G127</f>
      </c>
      <c r="K128">
        <f>'R.M Billets Reports'!H127</f>
      </c>
      <c r="L128">
        <f>IF('R.M Billets Reports'!I127="","",'R.M Billets Reports'!I127)</f>
      </c>
      <c r="M128">
        <f t="shared" si="2"/>
      </c>
      <c r="N128">
        <f>IF('R.M Billets Reports'!J127="","",'R.M Billets Reports'!J127)</f>
      </c>
      <c r="O128">
        <f t="shared" si="3"/>
      </c>
      <c r="P128">
        <f>IF('R.M Billets Reports'!A127="SIZE",'R.M Billets Reports'!B127,P127)</f>
      </c>
    </row>
    <row r="129" spans="1:16" x14ac:dyDescent="0.25">
      <c r="A129">
        <f>IF(OR('R.M Billets Reports'!A128="Date-",'R.M Billets Reports'!A128="Date:-"),IF(IF(IF(ISNUMBER(SEARCH("Party Name:-",'R.M Billets Reports'!D128)),TRIM('R.M Billets Reports'!F128),IF(ISNUMBER(SEARCH("Party Name-",'R.M Billets Reports'!D128)),TRIM(MID('R.M Billets Reports'!D128,SEARCH("-",'R.M Billets Reports'!D128)+1,200)),""))&lt;&gt;"",IF(ISNUMBER(SEARCH("Party Name:-",'R.M Billets Reports'!D128)),TRIM('R.M Billets Reports'!F128),IF(ISNUMBER(SEARCH("Party Name-",'R.M Billets Reports'!D128)),TRIM(MID('R.M Billets Reports'!D128,SEARCH("-",'R.M Billets Reports'!D128)+1,200)),"")),IF(ISNUMBER(SEARCH("Party Name:-",'R.M Billets Reports'!D129)),TRIM('R.M Billets Reports'!F129),IF(ISNUMBER(SEARCH("Party Name-",'R.M Billets Reports'!D129)),TRIM(MID('R.M Billets Reports'!D129,SEARCH("-",'R.M Billets Reports'!D129)+1,200)),"")))="VRKP ISPAT PVT LTD","VRKP",IF(IF(IF(ISNUMBER(SEARCH("Party Name:-",'R.M Billets Reports'!D128)),TRIM('R.M Billets Reports'!F128),IF(ISNUMBER(SEARCH("Party Name-",'R.M Billets Reports'!D128)),TRIM(MID('R.M Billets Reports'!D128,SEARCH("-",'R.M Billets Reports'!D128)+1,200)),""))&lt;&gt;"",IF(ISNUMBER(SEARCH("Party Name:-",'R.M Billets Reports'!D128)),TRIM('R.M Billets Reports'!F128),IF(ISNUMBER(SEARCH("Party Name-",'R.M Billets Reports'!D128)),TRIM(MID('R.M Billets Reports'!D128,SEARCH("-",'R.M Billets Reports'!D128)+1,200)),"")),IF(ISNUMBER(SEARCH("Party Name:-",'R.M Billets Reports'!D129)),TRIM('R.M Billets Reports'!F129),IF(ISNUMBER(SEARCH("Party Name-",'R.M Billets Reports'!D129)),TRIM(MID('R.M Billets Reports'!D129,SEARCH("-",'R.M Billets Reports'!D129)+1,200)),"")))="SHRI RADHE","SHREE RADHE",IF(IF(IF(ISNUMBER(SEARCH("Party Name:-",'R.M Billets Reports'!D128)),TRIM('R.M Billets Reports'!F128),IF(ISNUMBER(SEARCH("Party Name-",'R.M Billets Reports'!D128)),TRIM(MID('R.M Billets Reports'!D128,SEARCH("-",'R.M Billets Reports'!D128)+1,200)),""))&lt;&gt;"",IF(ISNUMBER(SEARCH("Party Name:-",'R.M Billets Reports'!D128)),TRIM('R.M Billets Reports'!F128),IF(ISNUMBER(SEARCH("Party Name-",'R.M Billets Reports'!D128)),TRIM(MID('R.M Billets Reports'!D128,SEARCH("-",'R.M Billets Reports'!D128)+1,200)),"")),IF(ISNUMBER(SEARCH("Party Name:-",'R.M Billets Reports'!D129)),TRIM('R.M Billets Reports'!F129),IF(ISNUMBER(SEARCH("Party Name-",'R.M Billets Reports'!D129)),TRIM(MID('R.M Billets Reports'!D129,SEARCH("-",'R.M Billets Reports'!D129)+1,200)),"")))="SHREE RADHE SHAKTI SPONGE AND POWER PVT. LTD.","SHREE RADHE",IF(IF(ISNUMBER(SEARCH("Party Name:-",'R.M Billets Reports'!D128)),TRIM('R.M Billets Reports'!F128),IF(ISNUMBER(SEARCH("Party Name-",'R.M Billets Reports'!D128)),TRIM(MID('R.M Billets Reports'!D128,SEARCH("-",'R.M Billets Reports'!D128)+1,200)),""))&lt;&gt;"",IF(ISNUMBER(SEARCH("Party Name:-",'R.M Billets Reports'!D128)),TRIM('R.M Billets Reports'!F128),IF(ISNUMBER(SEARCH("Party Name-",'R.M Billets Reports'!D128)),TRIM(MID('R.M Billets Reports'!D128,SEARCH("-",'R.M Billets Reports'!D128)+1,200)),"")),IF(ISNUMBER(SEARCH("Party Name:-",'R.M Billets Reports'!D129)),TRIM('R.M Billets Reports'!F129),IF(ISNUMBER(SEARCH("Party Name-",'R.M Billets Reports'!D129)),TRIM(MID('R.M Billets Reports'!D129,SEARCH("-",'R.M Billets Reports'!D129)+1,200)),"")))))),IF(ROW()=2,"",A128))</f>
      </c>
      <c r="B129">
        <f>IF(OR('R.M Billets Reports'!A128="Date-",'R.M Billets Reports'!A128="Date:-"),'R.M Billets Reports'!B128,IF(ROW()=2,"",B128))</f>
      </c>
      <c r="C129">
        <f>IF('R.M Billets Reports'!A128="V.No.",'R.M Billets Reports'!B128,IF(ROW()=2,"",C128))</f>
      </c>
      <c r="D129">
        <f>IF('R.M Billets Reports'!A128&lt;&gt;"",'R.M Billets Reports'!A128,IF(ROW()=2,"",D128))</f>
      </c>
      <c r="E129">
        <f>IF('R.M Billets Reports'!B128="","",TRIM('R.M Billets Reports'!B128))</f>
      </c>
      <c r="F129">
        <f>'R.M Billets Reports'!C128</f>
      </c>
      <c r="G129">
        <f>'R.M Billets Reports'!D128</f>
      </c>
      <c r="H129">
        <f>'R.M Billets Reports'!E128</f>
      </c>
      <c r="I129">
        <f>'R.M Billets Reports'!F128</f>
      </c>
      <c r="J129">
        <f>'R.M Billets Reports'!G128</f>
      </c>
      <c r="K129">
        <f>'R.M Billets Reports'!H128</f>
      </c>
      <c r="L129">
        <f>IF('R.M Billets Reports'!I128="","",'R.M Billets Reports'!I128)</f>
      </c>
      <c r="M129">
        <f t="shared" si="2"/>
      </c>
      <c r="N129">
        <f>IF('R.M Billets Reports'!J128="","",'R.M Billets Reports'!J128)</f>
      </c>
      <c r="O129">
        <f t="shared" si="3"/>
      </c>
      <c r="P129">
        <f>IF('R.M Billets Reports'!A128="SIZE",'R.M Billets Reports'!B128,P128)</f>
      </c>
    </row>
    <row r="130" spans="1:16" x14ac:dyDescent="0.25">
      <c r="A130">
        <f>IF(OR('R.M Billets Reports'!A129="Date-",'R.M Billets Reports'!A129="Date:-"),IF(IF(IF(ISNUMBER(SEARCH("Party Name:-",'R.M Billets Reports'!D129)),TRIM('R.M Billets Reports'!F129),IF(ISNUMBER(SEARCH("Party Name-",'R.M Billets Reports'!D129)),TRIM(MID('R.M Billets Reports'!D129,SEARCH("-",'R.M Billets Reports'!D129)+1,200)),""))&lt;&gt;"",IF(ISNUMBER(SEARCH("Party Name:-",'R.M Billets Reports'!D129)),TRIM('R.M Billets Reports'!F129),IF(ISNUMBER(SEARCH("Party Name-",'R.M Billets Reports'!D129)),TRIM(MID('R.M Billets Reports'!D129,SEARCH("-",'R.M Billets Reports'!D129)+1,200)),"")),IF(ISNUMBER(SEARCH("Party Name:-",'R.M Billets Reports'!D130)),TRIM('R.M Billets Reports'!F130),IF(ISNUMBER(SEARCH("Party Name-",'R.M Billets Reports'!D130)),TRIM(MID('R.M Billets Reports'!D130,SEARCH("-",'R.M Billets Reports'!D130)+1,200)),"")))="VRKP ISPAT PVT LTD","VRKP",IF(IF(IF(ISNUMBER(SEARCH("Party Name:-",'R.M Billets Reports'!D129)),TRIM('R.M Billets Reports'!F129),IF(ISNUMBER(SEARCH("Party Name-",'R.M Billets Reports'!D129)),TRIM(MID('R.M Billets Reports'!D129,SEARCH("-",'R.M Billets Reports'!D129)+1,200)),""))&lt;&gt;"",IF(ISNUMBER(SEARCH("Party Name:-",'R.M Billets Reports'!D129)),TRIM('R.M Billets Reports'!F129),IF(ISNUMBER(SEARCH("Party Name-",'R.M Billets Reports'!D129)),TRIM(MID('R.M Billets Reports'!D129,SEARCH("-",'R.M Billets Reports'!D129)+1,200)),"")),IF(ISNUMBER(SEARCH("Party Name:-",'R.M Billets Reports'!D130)),TRIM('R.M Billets Reports'!F130),IF(ISNUMBER(SEARCH("Party Name-",'R.M Billets Reports'!D130)),TRIM(MID('R.M Billets Reports'!D130,SEARCH("-",'R.M Billets Reports'!D130)+1,200)),"")))="SHRI RADHE","SHREE RADHE",IF(IF(IF(ISNUMBER(SEARCH("Party Name:-",'R.M Billets Reports'!D129)),TRIM('R.M Billets Reports'!F129),IF(ISNUMBER(SEARCH("Party Name-",'R.M Billets Reports'!D129)),TRIM(MID('R.M Billets Reports'!D129,SEARCH("-",'R.M Billets Reports'!D129)+1,200)),""))&lt;&gt;"",IF(ISNUMBER(SEARCH("Party Name:-",'R.M Billets Reports'!D129)),TRIM('R.M Billets Reports'!F129),IF(ISNUMBER(SEARCH("Party Name-",'R.M Billets Reports'!D129)),TRIM(MID('R.M Billets Reports'!D129,SEARCH("-",'R.M Billets Reports'!D129)+1,200)),"")),IF(ISNUMBER(SEARCH("Party Name:-",'R.M Billets Reports'!D130)),TRIM('R.M Billets Reports'!F130),IF(ISNUMBER(SEARCH("Party Name-",'R.M Billets Reports'!D130)),TRIM(MID('R.M Billets Reports'!D130,SEARCH("-",'R.M Billets Reports'!D130)+1,200)),"")))="SHREE RADHE SHAKTI SPONGE AND POWER PVT. LTD.","SHREE RADHE",IF(IF(ISNUMBER(SEARCH("Party Name:-",'R.M Billets Reports'!D129)),TRIM('R.M Billets Reports'!F129),IF(ISNUMBER(SEARCH("Party Name-",'R.M Billets Reports'!D129)),TRIM(MID('R.M Billets Reports'!D129,SEARCH("-",'R.M Billets Reports'!D129)+1,200)),""))&lt;&gt;"",IF(ISNUMBER(SEARCH("Party Name:-",'R.M Billets Reports'!D129)),TRIM('R.M Billets Reports'!F129),IF(ISNUMBER(SEARCH("Party Name-",'R.M Billets Reports'!D129)),TRIM(MID('R.M Billets Reports'!D129,SEARCH("-",'R.M Billets Reports'!D129)+1,200)),"")),IF(ISNUMBER(SEARCH("Party Name:-",'R.M Billets Reports'!D130)),TRIM('R.M Billets Reports'!F130),IF(ISNUMBER(SEARCH("Party Name-",'R.M Billets Reports'!D130)),TRIM(MID('R.M Billets Reports'!D130,SEARCH("-",'R.M Billets Reports'!D130)+1,200)),"")))))),IF(ROW()=2,"",A129))</f>
      </c>
      <c r="B130">
        <f>IF(OR('R.M Billets Reports'!A129="Date-",'R.M Billets Reports'!A129="Date:-"),'R.M Billets Reports'!B129,IF(ROW()=2,"",B129))</f>
      </c>
      <c r="C130">
        <f>IF('R.M Billets Reports'!A129="V.No.",'R.M Billets Reports'!B129,IF(ROW()=2,"",C129))</f>
      </c>
      <c r="D130">
        <f>IF('R.M Billets Reports'!A129&lt;&gt;"",'R.M Billets Reports'!A129,IF(ROW()=2,"",D129))</f>
      </c>
      <c r="E130">
        <f>IF('R.M Billets Reports'!B129="","",TRIM('R.M Billets Reports'!B129))</f>
      </c>
      <c r="F130">
        <f>'R.M Billets Reports'!C129</f>
      </c>
      <c r="G130">
        <f>'R.M Billets Reports'!D129</f>
      </c>
      <c r="H130">
        <f>'R.M Billets Reports'!E129</f>
      </c>
      <c r="I130">
        <f>'R.M Billets Reports'!F129</f>
      </c>
      <c r="J130">
        <f>'R.M Billets Reports'!G129</f>
      </c>
      <c r="K130">
        <f>'R.M Billets Reports'!H129</f>
      </c>
      <c r="L130">
        <f>IF('R.M Billets Reports'!I129="","",'R.M Billets Reports'!I129)</f>
      </c>
      <c r="M130">
        <f t="shared" si="2"/>
      </c>
      <c r="N130">
        <f>IF('R.M Billets Reports'!J129="","",'R.M Billets Reports'!J129)</f>
      </c>
      <c r="O130">
        <f t="shared" si="3"/>
      </c>
      <c r="P130">
        <f>IF('R.M Billets Reports'!A129="SIZE",'R.M Billets Reports'!B129,P129)</f>
      </c>
    </row>
    <row r="131" spans="1:16" x14ac:dyDescent="0.25">
      <c r="A131">
        <f>IF(OR('R.M Billets Reports'!A130="Date-",'R.M Billets Reports'!A130="Date:-"),IF(IF(IF(ISNUMBER(SEARCH("Party Name:-",'R.M Billets Reports'!D130)),TRIM('R.M Billets Reports'!F130),IF(ISNUMBER(SEARCH("Party Name-",'R.M Billets Reports'!D130)),TRIM(MID('R.M Billets Reports'!D130,SEARCH("-",'R.M Billets Reports'!D130)+1,200)),""))&lt;&gt;"",IF(ISNUMBER(SEARCH("Party Name:-",'R.M Billets Reports'!D130)),TRIM('R.M Billets Reports'!F130),IF(ISNUMBER(SEARCH("Party Name-",'R.M Billets Reports'!D130)),TRIM(MID('R.M Billets Reports'!D130,SEARCH("-",'R.M Billets Reports'!D130)+1,200)),"")),IF(ISNUMBER(SEARCH("Party Name:-",'R.M Billets Reports'!D131)),TRIM('R.M Billets Reports'!F131),IF(ISNUMBER(SEARCH("Party Name-",'R.M Billets Reports'!D131)),TRIM(MID('R.M Billets Reports'!D131,SEARCH("-",'R.M Billets Reports'!D131)+1,200)),"")))="VRKP ISPAT PVT LTD","VRKP",IF(IF(IF(ISNUMBER(SEARCH("Party Name:-",'R.M Billets Reports'!D130)),TRIM('R.M Billets Reports'!F130),IF(ISNUMBER(SEARCH("Party Name-",'R.M Billets Reports'!D130)),TRIM(MID('R.M Billets Reports'!D130,SEARCH("-",'R.M Billets Reports'!D130)+1,200)),""))&lt;&gt;"",IF(ISNUMBER(SEARCH("Party Name:-",'R.M Billets Reports'!D130)),TRIM('R.M Billets Reports'!F130),IF(ISNUMBER(SEARCH("Party Name-",'R.M Billets Reports'!D130)),TRIM(MID('R.M Billets Reports'!D130,SEARCH("-",'R.M Billets Reports'!D130)+1,200)),"")),IF(ISNUMBER(SEARCH("Party Name:-",'R.M Billets Reports'!D131)),TRIM('R.M Billets Reports'!F131),IF(ISNUMBER(SEARCH("Party Name-",'R.M Billets Reports'!D131)),TRIM(MID('R.M Billets Reports'!D131,SEARCH("-",'R.M Billets Reports'!D131)+1,200)),"")))="SHRI RADHE","SHREE RADHE",IF(IF(IF(ISNUMBER(SEARCH("Party Name:-",'R.M Billets Reports'!D130)),TRIM('R.M Billets Reports'!F130),IF(ISNUMBER(SEARCH("Party Name-",'R.M Billets Reports'!D130)),TRIM(MID('R.M Billets Reports'!D130,SEARCH("-",'R.M Billets Reports'!D130)+1,200)),""))&lt;&gt;"",IF(ISNUMBER(SEARCH("Party Name:-",'R.M Billets Reports'!D130)),TRIM('R.M Billets Reports'!F130),IF(ISNUMBER(SEARCH("Party Name-",'R.M Billets Reports'!D130)),TRIM(MID('R.M Billets Reports'!D130,SEARCH("-",'R.M Billets Reports'!D130)+1,200)),"")),IF(ISNUMBER(SEARCH("Party Name:-",'R.M Billets Reports'!D131)),TRIM('R.M Billets Reports'!F131),IF(ISNUMBER(SEARCH("Party Name-",'R.M Billets Reports'!D131)),TRIM(MID('R.M Billets Reports'!D131,SEARCH("-",'R.M Billets Reports'!D131)+1,200)),"")))="SHREE RADHE SHAKTI SPONGE AND POWER PVT. LTD.","SHREE RADHE",IF(IF(ISNUMBER(SEARCH("Party Name:-",'R.M Billets Reports'!D130)),TRIM('R.M Billets Reports'!F130),IF(ISNUMBER(SEARCH("Party Name-",'R.M Billets Reports'!D130)),TRIM(MID('R.M Billets Reports'!D130,SEARCH("-",'R.M Billets Reports'!D130)+1,200)),""))&lt;&gt;"",IF(ISNUMBER(SEARCH("Party Name:-",'R.M Billets Reports'!D130)),TRIM('R.M Billets Reports'!F130),IF(ISNUMBER(SEARCH("Party Name-",'R.M Billets Reports'!D130)),TRIM(MID('R.M Billets Reports'!D130,SEARCH("-",'R.M Billets Reports'!D130)+1,200)),"")),IF(ISNUMBER(SEARCH("Party Name:-",'R.M Billets Reports'!D131)),TRIM('R.M Billets Reports'!F131),IF(ISNUMBER(SEARCH("Party Name-",'R.M Billets Reports'!D131)),TRIM(MID('R.M Billets Reports'!D131,SEARCH("-",'R.M Billets Reports'!D131)+1,200)),"")))))),IF(ROW()=2,"",A130))</f>
      </c>
      <c r="B131">
        <f>IF(OR('R.M Billets Reports'!A130="Date-",'R.M Billets Reports'!A130="Date:-"),'R.M Billets Reports'!B130,IF(ROW()=2,"",B130))</f>
      </c>
      <c r="C131">
        <f>IF('R.M Billets Reports'!A130="V.No.",'R.M Billets Reports'!B130,IF(ROW()=2,"",C130))</f>
      </c>
      <c r="D131">
        <f>IF('R.M Billets Reports'!A130&lt;&gt;"",'R.M Billets Reports'!A130,IF(ROW()=2,"",D130))</f>
      </c>
      <c r="E131">
        <f>IF('R.M Billets Reports'!B130="","",TRIM('R.M Billets Reports'!B130))</f>
      </c>
      <c r="F131">
        <f>'R.M Billets Reports'!C130</f>
      </c>
      <c r="G131">
        <f>'R.M Billets Reports'!D130</f>
      </c>
      <c r="H131">
        <f>'R.M Billets Reports'!E130</f>
      </c>
      <c r="I131">
        <f>'R.M Billets Reports'!F130</f>
      </c>
      <c r="J131">
        <f>'R.M Billets Reports'!G130</f>
      </c>
      <c r="K131">
        <f>'R.M Billets Reports'!H130</f>
      </c>
      <c r="L131">
        <f>IF('R.M Billets Reports'!I130="","",'R.M Billets Reports'!I130)</f>
      </c>
      <c r="M131">
        <f t="shared" ref="M131:M194" si="4">IF(L131&lt;&gt;"",L131,IF(D131=D130,M130,""))</f>
      </c>
      <c r="N131">
        <f>IF('R.M Billets Reports'!J130="","",'R.M Billets Reports'!J130)</f>
      </c>
      <c r="O131">
        <f t="shared" ref="O131:O194" si="5">IF(N131&lt;&gt;"",N131,IF(D131=D130,O130,""))</f>
      </c>
      <c r="P131">
        <f>IF('R.M Billets Reports'!A130="SIZE",'R.M Billets Reports'!B130,P130)</f>
      </c>
    </row>
    <row r="132" spans="1:16" x14ac:dyDescent="0.25">
      <c r="A132">
        <f>IF(OR('R.M Billets Reports'!A131="Date-",'R.M Billets Reports'!A131="Date:-"),IF(IF(IF(ISNUMBER(SEARCH("Party Name:-",'R.M Billets Reports'!D131)),TRIM('R.M Billets Reports'!F131),IF(ISNUMBER(SEARCH("Party Name-",'R.M Billets Reports'!D131)),TRIM(MID('R.M Billets Reports'!D131,SEARCH("-",'R.M Billets Reports'!D131)+1,200)),""))&lt;&gt;"",IF(ISNUMBER(SEARCH("Party Name:-",'R.M Billets Reports'!D131)),TRIM('R.M Billets Reports'!F131),IF(ISNUMBER(SEARCH("Party Name-",'R.M Billets Reports'!D131)),TRIM(MID('R.M Billets Reports'!D131,SEARCH("-",'R.M Billets Reports'!D131)+1,200)),"")),IF(ISNUMBER(SEARCH("Party Name:-",'R.M Billets Reports'!D132)),TRIM('R.M Billets Reports'!F132),IF(ISNUMBER(SEARCH("Party Name-",'R.M Billets Reports'!D132)),TRIM(MID('R.M Billets Reports'!D132,SEARCH("-",'R.M Billets Reports'!D132)+1,200)),"")))="VRKP ISPAT PVT LTD","VRKP",IF(IF(IF(ISNUMBER(SEARCH("Party Name:-",'R.M Billets Reports'!D131)),TRIM('R.M Billets Reports'!F131),IF(ISNUMBER(SEARCH("Party Name-",'R.M Billets Reports'!D131)),TRIM(MID('R.M Billets Reports'!D131,SEARCH("-",'R.M Billets Reports'!D131)+1,200)),""))&lt;&gt;"",IF(ISNUMBER(SEARCH("Party Name:-",'R.M Billets Reports'!D131)),TRIM('R.M Billets Reports'!F131),IF(ISNUMBER(SEARCH("Party Name-",'R.M Billets Reports'!D131)),TRIM(MID('R.M Billets Reports'!D131,SEARCH("-",'R.M Billets Reports'!D131)+1,200)),"")),IF(ISNUMBER(SEARCH("Party Name:-",'R.M Billets Reports'!D132)),TRIM('R.M Billets Reports'!F132),IF(ISNUMBER(SEARCH("Party Name-",'R.M Billets Reports'!D132)),TRIM(MID('R.M Billets Reports'!D132,SEARCH("-",'R.M Billets Reports'!D132)+1,200)),"")))="SHRI RADHE","SHREE RADHE",IF(IF(IF(ISNUMBER(SEARCH("Party Name:-",'R.M Billets Reports'!D131)),TRIM('R.M Billets Reports'!F131),IF(ISNUMBER(SEARCH("Party Name-",'R.M Billets Reports'!D131)),TRIM(MID('R.M Billets Reports'!D131,SEARCH("-",'R.M Billets Reports'!D131)+1,200)),""))&lt;&gt;"",IF(ISNUMBER(SEARCH("Party Name:-",'R.M Billets Reports'!D131)),TRIM('R.M Billets Reports'!F131),IF(ISNUMBER(SEARCH("Party Name-",'R.M Billets Reports'!D131)),TRIM(MID('R.M Billets Reports'!D131,SEARCH("-",'R.M Billets Reports'!D131)+1,200)),"")),IF(ISNUMBER(SEARCH("Party Name:-",'R.M Billets Reports'!D132)),TRIM('R.M Billets Reports'!F132),IF(ISNUMBER(SEARCH("Party Name-",'R.M Billets Reports'!D132)),TRIM(MID('R.M Billets Reports'!D132,SEARCH("-",'R.M Billets Reports'!D132)+1,200)),"")))="SHREE RADHE SHAKTI SPONGE AND POWER PVT. LTD.","SHREE RADHE",IF(IF(ISNUMBER(SEARCH("Party Name:-",'R.M Billets Reports'!D131)),TRIM('R.M Billets Reports'!F131),IF(ISNUMBER(SEARCH("Party Name-",'R.M Billets Reports'!D131)),TRIM(MID('R.M Billets Reports'!D131,SEARCH("-",'R.M Billets Reports'!D131)+1,200)),""))&lt;&gt;"",IF(ISNUMBER(SEARCH("Party Name:-",'R.M Billets Reports'!D131)),TRIM('R.M Billets Reports'!F131),IF(ISNUMBER(SEARCH("Party Name-",'R.M Billets Reports'!D131)),TRIM(MID('R.M Billets Reports'!D131,SEARCH("-",'R.M Billets Reports'!D131)+1,200)),"")),IF(ISNUMBER(SEARCH("Party Name:-",'R.M Billets Reports'!D132)),TRIM('R.M Billets Reports'!F132),IF(ISNUMBER(SEARCH("Party Name-",'R.M Billets Reports'!D132)),TRIM(MID('R.M Billets Reports'!D132,SEARCH("-",'R.M Billets Reports'!D132)+1,200)),"")))))),IF(ROW()=2,"",A131))</f>
      </c>
      <c r="B132">
        <f>IF(OR('R.M Billets Reports'!A131="Date-",'R.M Billets Reports'!A131="Date:-"),'R.M Billets Reports'!B131,IF(ROW()=2,"",B131))</f>
      </c>
      <c r="C132">
        <f>IF('R.M Billets Reports'!A131="V.No.",'R.M Billets Reports'!B131,IF(ROW()=2,"",C131))</f>
      </c>
      <c r="D132">
        <f>IF('R.M Billets Reports'!A131&lt;&gt;"",'R.M Billets Reports'!A131,IF(ROW()=2,"",D131))</f>
      </c>
      <c r="E132">
        <f>IF('R.M Billets Reports'!B131="","",TRIM('R.M Billets Reports'!B131))</f>
      </c>
      <c r="F132">
        <f>'R.M Billets Reports'!C131</f>
      </c>
      <c r="G132">
        <f>'R.M Billets Reports'!D131</f>
      </c>
      <c r="H132">
        <f>'R.M Billets Reports'!E131</f>
      </c>
      <c r="I132">
        <f>'R.M Billets Reports'!F131</f>
      </c>
      <c r="J132">
        <f>'R.M Billets Reports'!G131</f>
      </c>
      <c r="K132">
        <f>'R.M Billets Reports'!H131</f>
      </c>
      <c r="L132">
        <f>IF('R.M Billets Reports'!I131="","",'R.M Billets Reports'!I131)</f>
      </c>
      <c r="M132">
        <f t="shared" si="4"/>
      </c>
      <c r="N132">
        <f>IF('R.M Billets Reports'!J131="","",'R.M Billets Reports'!J131)</f>
      </c>
      <c r="O132">
        <f t="shared" si="5"/>
      </c>
      <c r="P132">
        <f>IF('R.M Billets Reports'!A131="SIZE",'R.M Billets Reports'!B131,P131)</f>
      </c>
    </row>
    <row r="133" spans="1:16" x14ac:dyDescent="0.25">
      <c r="A133">
        <f>IF(OR('R.M Billets Reports'!A132="Date-",'R.M Billets Reports'!A132="Date:-"),IF(IF(IF(ISNUMBER(SEARCH("Party Name:-",'R.M Billets Reports'!D132)),TRIM('R.M Billets Reports'!F132),IF(ISNUMBER(SEARCH("Party Name-",'R.M Billets Reports'!D132)),TRIM(MID('R.M Billets Reports'!D132,SEARCH("-",'R.M Billets Reports'!D132)+1,200)),""))&lt;&gt;"",IF(ISNUMBER(SEARCH("Party Name:-",'R.M Billets Reports'!D132)),TRIM('R.M Billets Reports'!F132),IF(ISNUMBER(SEARCH("Party Name-",'R.M Billets Reports'!D132)),TRIM(MID('R.M Billets Reports'!D132,SEARCH("-",'R.M Billets Reports'!D132)+1,200)),"")),IF(ISNUMBER(SEARCH("Party Name:-",'R.M Billets Reports'!D133)),TRIM('R.M Billets Reports'!F133),IF(ISNUMBER(SEARCH("Party Name-",'R.M Billets Reports'!D133)),TRIM(MID('R.M Billets Reports'!D133,SEARCH("-",'R.M Billets Reports'!D133)+1,200)),"")))="VRKP ISPAT PVT LTD","VRKP",IF(IF(IF(ISNUMBER(SEARCH("Party Name:-",'R.M Billets Reports'!D132)),TRIM('R.M Billets Reports'!F132),IF(ISNUMBER(SEARCH("Party Name-",'R.M Billets Reports'!D132)),TRIM(MID('R.M Billets Reports'!D132,SEARCH("-",'R.M Billets Reports'!D132)+1,200)),""))&lt;&gt;"",IF(ISNUMBER(SEARCH("Party Name:-",'R.M Billets Reports'!D132)),TRIM('R.M Billets Reports'!F132),IF(ISNUMBER(SEARCH("Party Name-",'R.M Billets Reports'!D132)),TRIM(MID('R.M Billets Reports'!D132,SEARCH("-",'R.M Billets Reports'!D132)+1,200)),"")),IF(ISNUMBER(SEARCH("Party Name:-",'R.M Billets Reports'!D133)),TRIM('R.M Billets Reports'!F133),IF(ISNUMBER(SEARCH("Party Name-",'R.M Billets Reports'!D133)),TRIM(MID('R.M Billets Reports'!D133,SEARCH("-",'R.M Billets Reports'!D133)+1,200)),"")))="SHRI RADHE","SHREE RADHE",IF(IF(IF(ISNUMBER(SEARCH("Party Name:-",'R.M Billets Reports'!D132)),TRIM('R.M Billets Reports'!F132),IF(ISNUMBER(SEARCH("Party Name-",'R.M Billets Reports'!D132)),TRIM(MID('R.M Billets Reports'!D132,SEARCH("-",'R.M Billets Reports'!D132)+1,200)),""))&lt;&gt;"",IF(ISNUMBER(SEARCH("Party Name:-",'R.M Billets Reports'!D132)),TRIM('R.M Billets Reports'!F132),IF(ISNUMBER(SEARCH("Party Name-",'R.M Billets Reports'!D132)),TRIM(MID('R.M Billets Reports'!D132,SEARCH("-",'R.M Billets Reports'!D132)+1,200)),"")),IF(ISNUMBER(SEARCH("Party Name:-",'R.M Billets Reports'!D133)),TRIM('R.M Billets Reports'!F133),IF(ISNUMBER(SEARCH("Party Name-",'R.M Billets Reports'!D133)),TRIM(MID('R.M Billets Reports'!D133,SEARCH("-",'R.M Billets Reports'!D133)+1,200)),"")))="SHREE RADHE SHAKTI SPONGE AND POWER PVT. LTD.","SHREE RADHE",IF(IF(ISNUMBER(SEARCH("Party Name:-",'R.M Billets Reports'!D132)),TRIM('R.M Billets Reports'!F132),IF(ISNUMBER(SEARCH("Party Name-",'R.M Billets Reports'!D132)),TRIM(MID('R.M Billets Reports'!D132,SEARCH("-",'R.M Billets Reports'!D132)+1,200)),""))&lt;&gt;"",IF(ISNUMBER(SEARCH("Party Name:-",'R.M Billets Reports'!D132)),TRIM('R.M Billets Reports'!F132),IF(ISNUMBER(SEARCH("Party Name-",'R.M Billets Reports'!D132)),TRIM(MID('R.M Billets Reports'!D132,SEARCH("-",'R.M Billets Reports'!D132)+1,200)),"")),IF(ISNUMBER(SEARCH("Party Name:-",'R.M Billets Reports'!D133)),TRIM('R.M Billets Reports'!F133),IF(ISNUMBER(SEARCH("Party Name-",'R.M Billets Reports'!D133)),TRIM(MID('R.M Billets Reports'!D133,SEARCH("-",'R.M Billets Reports'!D133)+1,200)),"")))))),IF(ROW()=2,"",A132))</f>
      </c>
      <c r="B133">
        <f>IF(OR('R.M Billets Reports'!A132="Date-",'R.M Billets Reports'!A132="Date:-"),'R.M Billets Reports'!B132,IF(ROW()=2,"",B132))</f>
      </c>
      <c r="C133">
        <f>IF('R.M Billets Reports'!A132="V.No.",'R.M Billets Reports'!B132,IF(ROW()=2,"",C132))</f>
      </c>
      <c r="D133">
        <f>IF('R.M Billets Reports'!A132&lt;&gt;"",'R.M Billets Reports'!A132,IF(ROW()=2,"",D132))</f>
      </c>
      <c r="E133">
        <f>IF('R.M Billets Reports'!B132="","",TRIM('R.M Billets Reports'!B132))</f>
      </c>
      <c r="F133">
        <f>'R.M Billets Reports'!C132</f>
      </c>
      <c r="G133">
        <f>'R.M Billets Reports'!D132</f>
      </c>
      <c r="H133">
        <f>'R.M Billets Reports'!E132</f>
      </c>
      <c r="I133">
        <f>'R.M Billets Reports'!F132</f>
      </c>
      <c r="J133">
        <f>'R.M Billets Reports'!G132</f>
      </c>
      <c r="K133">
        <f>'R.M Billets Reports'!H132</f>
      </c>
      <c r="L133">
        <f>IF('R.M Billets Reports'!I132="","",'R.M Billets Reports'!I132)</f>
      </c>
      <c r="M133">
        <f t="shared" si="4"/>
      </c>
      <c r="N133">
        <f>IF('R.M Billets Reports'!J132="","",'R.M Billets Reports'!J132)</f>
      </c>
      <c r="O133">
        <f t="shared" si="5"/>
      </c>
      <c r="P133">
        <f>IF('R.M Billets Reports'!A132="SIZE",'R.M Billets Reports'!B132,P132)</f>
      </c>
    </row>
    <row r="134" spans="1:16" x14ac:dyDescent="0.25">
      <c r="A134">
        <f>IF(OR('R.M Billets Reports'!A133="Date-",'R.M Billets Reports'!A133="Date:-"),IF(IF(IF(ISNUMBER(SEARCH("Party Name:-",'R.M Billets Reports'!D133)),TRIM('R.M Billets Reports'!F133),IF(ISNUMBER(SEARCH("Party Name-",'R.M Billets Reports'!D133)),TRIM(MID('R.M Billets Reports'!D133,SEARCH("-",'R.M Billets Reports'!D133)+1,200)),""))&lt;&gt;"",IF(ISNUMBER(SEARCH("Party Name:-",'R.M Billets Reports'!D133)),TRIM('R.M Billets Reports'!F133),IF(ISNUMBER(SEARCH("Party Name-",'R.M Billets Reports'!D133)),TRIM(MID('R.M Billets Reports'!D133,SEARCH("-",'R.M Billets Reports'!D133)+1,200)),"")),IF(ISNUMBER(SEARCH("Party Name:-",'R.M Billets Reports'!D134)),TRIM('R.M Billets Reports'!F134),IF(ISNUMBER(SEARCH("Party Name-",'R.M Billets Reports'!D134)),TRIM(MID('R.M Billets Reports'!D134,SEARCH("-",'R.M Billets Reports'!D134)+1,200)),"")))="VRKP ISPAT PVT LTD","VRKP",IF(IF(IF(ISNUMBER(SEARCH("Party Name:-",'R.M Billets Reports'!D133)),TRIM('R.M Billets Reports'!F133),IF(ISNUMBER(SEARCH("Party Name-",'R.M Billets Reports'!D133)),TRIM(MID('R.M Billets Reports'!D133,SEARCH("-",'R.M Billets Reports'!D133)+1,200)),""))&lt;&gt;"",IF(ISNUMBER(SEARCH("Party Name:-",'R.M Billets Reports'!D133)),TRIM('R.M Billets Reports'!F133),IF(ISNUMBER(SEARCH("Party Name-",'R.M Billets Reports'!D133)),TRIM(MID('R.M Billets Reports'!D133,SEARCH("-",'R.M Billets Reports'!D133)+1,200)),"")),IF(ISNUMBER(SEARCH("Party Name:-",'R.M Billets Reports'!D134)),TRIM('R.M Billets Reports'!F134),IF(ISNUMBER(SEARCH("Party Name-",'R.M Billets Reports'!D134)),TRIM(MID('R.M Billets Reports'!D134,SEARCH("-",'R.M Billets Reports'!D134)+1,200)),"")))="SHRI RADHE","SHREE RADHE",IF(IF(IF(ISNUMBER(SEARCH("Party Name:-",'R.M Billets Reports'!D133)),TRIM('R.M Billets Reports'!F133),IF(ISNUMBER(SEARCH("Party Name-",'R.M Billets Reports'!D133)),TRIM(MID('R.M Billets Reports'!D133,SEARCH("-",'R.M Billets Reports'!D133)+1,200)),""))&lt;&gt;"",IF(ISNUMBER(SEARCH("Party Name:-",'R.M Billets Reports'!D133)),TRIM('R.M Billets Reports'!F133),IF(ISNUMBER(SEARCH("Party Name-",'R.M Billets Reports'!D133)),TRIM(MID('R.M Billets Reports'!D133,SEARCH("-",'R.M Billets Reports'!D133)+1,200)),"")),IF(ISNUMBER(SEARCH("Party Name:-",'R.M Billets Reports'!D134)),TRIM('R.M Billets Reports'!F134),IF(ISNUMBER(SEARCH("Party Name-",'R.M Billets Reports'!D134)),TRIM(MID('R.M Billets Reports'!D134,SEARCH("-",'R.M Billets Reports'!D134)+1,200)),"")))="SHREE RADHE SHAKTI SPONGE AND POWER PVT. LTD.","SHREE RADHE",IF(IF(ISNUMBER(SEARCH("Party Name:-",'R.M Billets Reports'!D133)),TRIM('R.M Billets Reports'!F133),IF(ISNUMBER(SEARCH("Party Name-",'R.M Billets Reports'!D133)),TRIM(MID('R.M Billets Reports'!D133,SEARCH("-",'R.M Billets Reports'!D133)+1,200)),""))&lt;&gt;"",IF(ISNUMBER(SEARCH("Party Name:-",'R.M Billets Reports'!D133)),TRIM('R.M Billets Reports'!F133),IF(ISNUMBER(SEARCH("Party Name-",'R.M Billets Reports'!D133)),TRIM(MID('R.M Billets Reports'!D133,SEARCH("-",'R.M Billets Reports'!D133)+1,200)),"")),IF(ISNUMBER(SEARCH("Party Name:-",'R.M Billets Reports'!D134)),TRIM('R.M Billets Reports'!F134),IF(ISNUMBER(SEARCH("Party Name-",'R.M Billets Reports'!D134)),TRIM(MID('R.M Billets Reports'!D134,SEARCH("-",'R.M Billets Reports'!D134)+1,200)),"")))))),IF(ROW()=2,"",A133))</f>
      </c>
      <c r="B134">
        <f>IF(OR('R.M Billets Reports'!A133="Date-",'R.M Billets Reports'!A133="Date:-"),'R.M Billets Reports'!B133,IF(ROW()=2,"",B133))</f>
      </c>
      <c r="C134">
        <f>IF('R.M Billets Reports'!A133="V.No.",'R.M Billets Reports'!B133,IF(ROW()=2,"",C133))</f>
      </c>
      <c r="D134">
        <f>IF('R.M Billets Reports'!A133&lt;&gt;"",'R.M Billets Reports'!A133,IF(ROW()=2,"",D133))</f>
      </c>
      <c r="E134">
        <f>IF('R.M Billets Reports'!B133="","",TRIM('R.M Billets Reports'!B133))</f>
      </c>
      <c r="F134">
        <f>'R.M Billets Reports'!C133</f>
      </c>
      <c r="G134">
        <f>'R.M Billets Reports'!D133</f>
      </c>
      <c r="H134">
        <f>'R.M Billets Reports'!E133</f>
      </c>
      <c r="I134">
        <f>'R.M Billets Reports'!F133</f>
      </c>
      <c r="J134">
        <f>'R.M Billets Reports'!G133</f>
      </c>
      <c r="K134">
        <f>'R.M Billets Reports'!H133</f>
      </c>
      <c r="L134">
        <f>IF('R.M Billets Reports'!I133="","",'R.M Billets Reports'!I133)</f>
      </c>
      <c r="M134">
        <f t="shared" si="4"/>
      </c>
      <c r="N134">
        <f>IF('R.M Billets Reports'!J133="","",'R.M Billets Reports'!J133)</f>
      </c>
      <c r="O134">
        <f t="shared" si="5"/>
      </c>
      <c r="P134">
        <f>IF('R.M Billets Reports'!A133="SIZE",'R.M Billets Reports'!B133,P133)</f>
      </c>
    </row>
    <row r="135" spans="1:16" x14ac:dyDescent="0.25">
      <c r="A135">
        <f>IF(OR('R.M Billets Reports'!A134="Date-",'R.M Billets Reports'!A134="Date:-"),IF(IF(IF(ISNUMBER(SEARCH("Party Name:-",'R.M Billets Reports'!D134)),TRIM('R.M Billets Reports'!F134),IF(ISNUMBER(SEARCH("Party Name-",'R.M Billets Reports'!D134)),TRIM(MID('R.M Billets Reports'!D134,SEARCH("-",'R.M Billets Reports'!D134)+1,200)),""))&lt;&gt;"",IF(ISNUMBER(SEARCH("Party Name:-",'R.M Billets Reports'!D134)),TRIM('R.M Billets Reports'!F134),IF(ISNUMBER(SEARCH("Party Name-",'R.M Billets Reports'!D134)),TRIM(MID('R.M Billets Reports'!D134,SEARCH("-",'R.M Billets Reports'!D134)+1,200)),"")),IF(ISNUMBER(SEARCH("Party Name:-",'R.M Billets Reports'!D135)),TRIM('R.M Billets Reports'!F135),IF(ISNUMBER(SEARCH("Party Name-",'R.M Billets Reports'!D135)),TRIM(MID('R.M Billets Reports'!D135,SEARCH("-",'R.M Billets Reports'!D135)+1,200)),"")))="VRKP ISPAT PVT LTD","VRKP",IF(IF(IF(ISNUMBER(SEARCH("Party Name:-",'R.M Billets Reports'!D134)),TRIM('R.M Billets Reports'!F134),IF(ISNUMBER(SEARCH("Party Name-",'R.M Billets Reports'!D134)),TRIM(MID('R.M Billets Reports'!D134,SEARCH("-",'R.M Billets Reports'!D134)+1,200)),""))&lt;&gt;"",IF(ISNUMBER(SEARCH("Party Name:-",'R.M Billets Reports'!D134)),TRIM('R.M Billets Reports'!F134),IF(ISNUMBER(SEARCH("Party Name-",'R.M Billets Reports'!D134)),TRIM(MID('R.M Billets Reports'!D134,SEARCH("-",'R.M Billets Reports'!D134)+1,200)),"")),IF(ISNUMBER(SEARCH("Party Name:-",'R.M Billets Reports'!D135)),TRIM('R.M Billets Reports'!F135),IF(ISNUMBER(SEARCH("Party Name-",'R.M Billets Reports'!D135)),TRIM(MID('R.M Billets Reports'!D135,SEARCH("-",'R.M Billets Reports'!D135)+1,200)),"")))="SHRI RADHE","SHREE RADHE",IF(IF(IF(ISNUMBER(SEARCH("Party Name:-",'R.M Billets Reports'!D134)),TRIM('R.M Billets Reports'!F134),IF(ISNUMBER(SEARCH("Party Name-",'R.M Billets Reports'!D134)),TRIM(MID('R.M Billets Reports'!D134,SEARCH("-",'R.M Billets Reports'!D134)+1,200)),""))&lt;&gt;"",IF(ISNUMBER(SEARCH("Party Name:-",'R.M Billets Reports'!D134)),TRIM('R.M Billets Reports'!F134),IF(ISNUMBER(SEARCH("Party Name-",'R.M Billets Reports'!D134)),TRIM(MID('R.M Billets Reports'!D134,SEARCH("-",'R.M Billets Reports'!D134)+1,200)),"")),IF(ISNUMBER(SEARCH("Party Name:-",'R.M Billets Reports'!D135)),TRIM('R.M Billets Reports'!F135),IF(ISNUMBER(SEARCH("Party Name-",'R.M Billets Reports'!D135)),TRIM(MID('R.M Billets Reports'!D135,SEARCH("-",'R.M Billets Reports'!D135)+1,200)),"")))="SHREE RADHE SHAKTI SPONGE AND POWER PVT. LTD.","SHREE RADHE",IF(IF(ISNUMBER(SEARCH("Party Name:-",'R.M Billets Reports'!D134)),TRIM('R.M Billets Reports'!F134),IF(ISNUMBER(SEARCH("Party Name-",'R.M Billets Reports'!D134)),TRIM(MID('R.M Billets Reports'!D134,SEARCH("-",'R.M Billets Reports'!D134)+1,200)),""))&lt;&gt;"",IF(ISNUMBER(SEARCH("Party Name:-",'R.M Billets Reports'!D134)),TRIM('R.M Billets Reports'!F134),IF(ISNUMBER(SEARCH("Party Name-",'R.M Billets Reports'!D134)),TRIM(MID('R.M Billets Reports'!D134,SEARCH("-",'R.M Billets Reports'!D134)+1,200)),"")),IF(ISNUMBER(SEARCH("Party Name:-",'R.M Billets Reports'!D135)),TRIM('R.M Billets Reports'!F135),IF(ISNUMBER(SEARCH("Party Name-",'R.M Billets Reports'!D135)),TRIM(MID('R.M Billets Reports'!D135,SEARCH("-",'R.M Billets Reports'!D135)+1,200)),"")))))),IF(ROW()=2,"",A134))</f>
      </c>
      <c r="B135">
        <f>IF(OR('R.M Billets Reports'!A134="Date-",'R.M Billets Reports'!A134="Date:-"),'R.M Billets Reports'!B134,IF(ROW()=2,"",B134))</f>
      </c>
      <c r="C135">
        <f>IF('R.M Billets Reports'!A134="V.No.",'R.M Billets Reports'!B134,IF(ROW()=2,"",C134))</f>
      </c>
      <c r="D135">
        <f>IF('R.M Billets Reports'!A134&lt;&gt;"",'R.M Billets Reports'!A134,IF(ROW()=2,"",D134))</f>
      </c>
      <c r="E135">
        <f>IF('R.M Billets Reports'!B134="","",TRIM('R.M Billets Reports'!B134))</f>
      </c>
      <c r="F135">
        <f>'R.M Billets Reports'!C134</f>
      </c>
      <c r="G135">
        <f>'R.M Billets Reports'!D134</f>
      </c>
      <c r="H135">
        <f>'R.M Billets Reports'!E134</f>
      </c>
      <c r="I135">
        <f>'R.M Billets Reports'!F134</f>
      </c>
      <c r="J135">
        <f>'R.M Billets Reports'!G134</f>
      </c>
      <c r="K135">
        <f>'R.M Billets Reports'!H134</f>
      </c>
      <c r="L135">
        <f>IF('R.M Billets Reports'!I134="","",'R.M Billets Reports'!I134)</f>
      </c>
      <c r="M135">
        <f t="shared" si="4"/>
      </c>
      <c r="N135">
        <f>IF('R.M Billets Reports'!J134="","",'R.M Billets Reports'!J134)</f>
      </c>
      <c r="O135">
        <f t="shared" si="5"/>
      </c>
      <c r="P135">
        <f>IF('R.M Billets Reports'!A134="SIZE",'R.M Billets Reports'!B134,P134)</f>
      </c>
    </row>
    <row r="136" spans="1:16" x14ac:dyDescent="0.25">
      <c r="A136">
        <f>IF(OR('R.M Billets Reports'!A135="Date-",'R.M Billets Reports'!A135="Date:-"),IF(IF(IF(ISNUMBER(SEARCH("Party Name:-",'R.M Billets Reports'!D135)),TRIM('R.M Billets Reports'!F135),IF(ISNUMBER(SEARCH("Party Name-",'R.M Billets Reports'!D135)),TRIM(MID('R.M Billets Reports'!D135,SEARCH("-",'R.M Billets Reports'!D135)+1,200)),""))&lt;&gt;"",IF(ISNUMBER(SEARCH("Party Name:-",'R.M Billets Reports'!D135)),TRIM('R.M Billets Reports'!F135),IF(ISNUMBER(SEARCH("Party Name-",'R.M Billets Reports'!D135)),TRIM(MID('R.M Billets Reports'!D135,SEARCH("-",'R.M Billets Reports'!D135)+1,200)),"")),IF(ISNUMBER(SEARCH("Party Name:-",'R.M Billets Reports'!D136)),TRIM('R.M Billets Reports'!F136),IF(ISNUMBER(SEARCH("Party Name-",'R.M Billets Reports'!D136)),TRIM(MID('R.M Billets Reports'!D136,SEARCH("-",'R.M Billets Reports'!D136)+1,200)),"")))="VRKP ISPAT PVT LTD","VRKP",IF(IF(IF(ISNUMBER(SEARCH("Party Name:-",'R.M Billets Reports'!D135)),TRIM('R.M Billets Reports'!F135),IF(ISNUMBER(SEARCH("Party Name-",'R.M Billets Reports'!D135)),TRIM(MID('R.M Billets Reports'!D135,SEARCH("-",'R.M Billets Reports'!D135)+1,200)),""))&lt;&gt;"",IF(ISNUMBER(SEARCH("Party Name:-",'R.M Billets Reports'!D135)),TRIM('R.M Billets Reports'!F135),IF(ISNUMBER(SEARCH("Party Name-",'R.M Billets Reports'!D135)),TRIM(MID('R.M Billets Reports'!D135,SEARCH("-",'R.M Billets Reports'!D135)+1,200)),"")),IF(ISNUMBER(SEARCH("Party Name:-",'R.M Billets Reports'!D136)),TRIM('R.M Billets Reports'!F136),IF(ISNUMBER(SEARCH("Party Name-",'R.M Billets Reports'!D136)),TRIM(MID('R.M Billets Reports'!D136,SEARCH("-",'R.M Billets Reports'!D136)+1,200)),"")))="SHRI RADHE","SHREE RADHE",IF(IF(IF(ISNUMBER(SEARCH("Party Name:-",'R.M Billets Reports'!D135)),TRIM('R.M Billets Reports'!F135),IF(ISNUMBER(SEARCH("Party Name-",'R.M Billets Reports'!D135)),TRIM(MID('R.M Billets Reports'!D135,SEARCH("-",'R.M Billets Reports'!D135)+1,200)),""))&lt;&gt;"",IF(ISNUMBER(SEARCH("Party Name:-",'R.M Billets Reports'!D135)),TRIM('R.M Billets Reports'!F135),IF(ISNUMBER(SEARCH("Party Name-",'R.M Billets Reports'!D135)),TRIM(MID('R.M Billets Reports'!D135,SEARCH("-",'R.M Billets Reports'!D135)+1,200)),"")),IF(ISNUMBER(SEARCH("Party Name:-",'R.M Billets Reports'!D136)),TRIM('R.M Billets Reports'!F136),IF(ISNUMBER(SEARCH("Party Name-",'R.M Billets Reports'!D136)),TRIM(MID('R.M Billets Reports'!D136,SEARCH("-",'R.M Billets Reports'!D136)+1,200)),"")))="SHREE RADHE SHAKTI SPONGE AND POWER PVT. LTD.","SHREE RADHE",IF(IF(ISNUMBER(SEARCH("Party Name:-",'R.M Billets Reports'!D135)),TRIM('R.M Billets Reports'!F135),IF(ISNUMBER(SEARCH("Party Name-",'R.M Billets Reports'!D135)),TRIM(MID('R.M Billets Reports'!D135,SEARCH("-",'R.M Billets Reports'!D135)+1,200)),""))&lt;&gt;"",IF(ISNUMBER(SEARCH("Party Name:-",'R.M Billets Reports'!D135)),TRIM('R.M Billets Reports'!F135),IF(ISNUMBER(SEARCH("Party Name-",'R.M Billets Reports'!D135)),TRIM(MID('R.M Billets Reports'!D135,SEARCH("-",'R.M Billets Reports'!D135)+1,200)),"")),IF(ISNUMBER(SEARCH("Party Name:-",'R.M Billets Reports'!D136)),TRIM('R.M Billets Reports'!F136),IF(ISNUMBER(SEARCH("Party Name-",'R.M Billets Reports'!D136)),TRIM(MID('R.M Billets Reports'!D136,SEARCH("-",'R.M Billets Reports'!D136)+1,200)),"")))))),IF(ROW()=2,"",A135))</f>
      </c>
      <c r="B136">
        <f>IF(OR('R.M Billets Reports'!A135="Date-",'R.M Billets Reports'!A135="Date:-"),'R.M Billets Reports'!B135,IF(ROW()=2,"",B135))</f>
      </c>
      <c r="C136">
        <f>IF('R.M Billets Reports'!A135="V.No.",'R.M Billets Reports'!B135,IF(ROW()=2,"",C135))</f>
      </c>
      <c r="D136">
        <f>IF('R.M Billets Reports'!A135&lt;&gt;"",'R.M Billets Reports'!A135,IF(ROW()=2,"",D135))</f>
      </c>
      <c r="E136">
        <f>IF('R.M Billets Reports'!B135="","",TRIM('R.M Billets Reports'!B135))</f>
      </c>
      <c r="F136">
        <f>'R.M Billets Reports'!C135</f>
      </c>
      <c r="G136">
        <f>'R.M Billets Reports'!D135</f>
      </c>
      <c r="H136">
        <f>'R.M Billets Reports'!E135</f>
      </c>
      <c r="I136">
        <f>'R.M Billets Reports'!F135</f>
      </c>
      <c r="J136">
        <f>'R.M Billets Reports'!G135</f>
      </c>
      <c r="K136">
        <f>'R.M Billets Reports'!H135</f>
      </c>
      <c r="L136">
        <f>IF('R.M Billets Reports'!I135="","",'R.M Billets Reports'!I135)</f>
      </c>
      <c r="M136">
        <f t="shared" si="4"/>
      </c>
      <c r="N136">
        <f>IF('R.M Billets Reports'!J135="","",'R.M Billets Reports'!J135)</f>
      </c>
      <c r="O136">
        <f t="shared" si="5"/>
      </c>
      <c r="P136">
        <f>IF('R.M Billets Reports'!A135="SIZE",'R.M Billets Reports'!B135,P135)</f>
      </c>
    </row>
    <row r="137" spans="1:16" x14ac:dyDescent="0.25">
      <c r="A137">
        <f>IF(OR('R.M Billets Reports'!A136="Date-",'R.M Billets Reports'!A136="Date:-"),IF(IF(IF(ISNUMBER(SEARCH("Party Name:-",'R.M Billets Reports'!D136)),TRIM('R.M Billets Reports'!F136),IF(ISNUMBER(SEARCH("Party Name-",'R.M Billets Reports'!D136)),TRIM(MID('R.M Billets Reports'!D136,SEARCH("-",'R.M Billets Reports'!D136)+1,200)),""))&lt;&gt;"",IF(ISNUMBER(SEARCH("Party Name:-",'R.M Billets Reports'!D136)),TRIM('R.M Billets Reports'!F136),IF(ISNUMBER(SEARCH("Party Name-",'R.M Billets Reports'!D136)),TRIM(MID('R.M Billets Reports'!D136,SEARCH("-",'R.M Billets Reports'!D136)+1,200)),"")),IF(ISNUMBER(SEARCH("Party Name:-",'R.M Billets Reports'!D137)),TRIM('R.M Billets Reports'!F137),IF(ISNUMBER(SEARCH("Party Name-",'R.M Billets Reports'!D137)),TRIM(MID('R.M Billets Reports'!D137,SEARCH("-",'R.M Billets Reports'!D137)+1,200)),"")))="VRKP ISPAT PVT LTD","VRKP",IF(IF(IF(ISNUMBER(SEARCH("Party Name:-",'R.M Billets Reports'!D136)),TRIM('R.M Billets Reports'!F136),IF(ISNUMBER(SEARCH("Party Name-",'R.M Billets Reports'!D136)),TRIM(MID('R.M Billets Reports'!D136,SEARCH("-",'R.M Billets Reports'!D136)+1,200)),""))&lt;&gt;"",IF(ISNUMBER(SEARCH("Party Name:-",'R.M Billets Reports'!D136)),TRIM('R.M Billets Reports'!F136),IF(ISNUMBER(SEARCH("Party Name-",'R.M Billets Reports'!D136)),TRIM(MID('R.M Billets Reports'!D136,SEARCH("-",'R.M Billets Reports'!D136)+1,200)),"")),IF(ISNUMBER(SEARCH("Party Name:-",'R.M Billets Reports'!D137)),TRIM('R.M Billets Reports'!F137),IF(ISNUMBER(SEARCH("Party Name-",'R.M Billets Reports'!D137)),TRIM(MID('R.M Billets Reports'!D137,SEARCH("-",'R.M Billets Reports'!D137)+1,200)),"")))="SHRI RADHE","SHREE RADHE",IF(IF(IF(ISNUMBER(SEARCH("Party Name:-",'R.M Billets Reports'!D136)),TRIM('R.M Billets Reports'!F136),IF(ISNUMBER(SEARCH("Party Name-",'R.M Billets Reports'!D136)),TRIM(MID('R.M Billets Reports'!D136,SEARCH("-",'R.M Billets Reports'!D136)+1,200)),""))&lt;&gt;"",IF(ISNUMBER(SEARCH("Party Name:-",'R.M Billets Reports'!D136)),TRIM('R.M Billets Reports'!F136),IF(ISNUMBER(SEARCH("Party Name-",'R.M Billets Reports'!D136)),TRIM(MID('R.M Billets Reports'!D136,SEARCH("-",'R.M Billets Reports'!D136)+1,200)),"")),IF(ISNUMBER(SEARCH("Party Name:-",'R.M Billets Reports'!D137)),TRIM('R.M Billets Reports'!F137),IF(ISNUMBER(SEARCH("Party Name-",'R.M Billets Reports'!D137)),TRIM(MID('R.M Billets Reports'!D137,SEARCH("-",'R.M Billets Reports'!D137)+1,200)),"")))="SHREE RADHE SHAKTI SPONGE AND POWER PVT. LTD.","SHREE RADHE",IF(IF(ISNUMBER(SEARCH("Party Name:-",'R.M Billets Reports'!D136)),TRIM('R.M Billets Reports'!F136),IF(ISNUMBER(SEARCH("Party Name-",'R.M Billets Reports'!D136)),TRIM(MID('R.M Billets Reports'!D136,SEARCH("-",'R.M Billets Reports'!D136)+1,200)),""))&lt;&gt;"",IF(ISNUMBER(SEARCH("Party Name:-",'R.M Billets Reports'!D136)),TRIM('R.M Billets Reports'!F136),IF(ISNUMBER(SEARCH("Party Name-",'R.M Billets Reports'!D136)),TRIM(MID('R.M Billets Reports'!D136,SEARCH("-",'R.M Billets Reports'!D136)+1,200)),"")),IF(ISNUMBER(SEARCH("Party Name:-",'R.M Billets Reports'!D137)),TRIM('R.M Billets Reports'!F137),IF(ISNUMBER(SEARCH("Party Name-",'R.M Billets Reports'!D137)),TRIM(MID('R.M Billets Reports'!D137,SEARCH("-",'R.M Billets Reports'!D137)+1,200)),"")))))),IF(ROW()=2,"",A136))</f>
      </c>
      <c r="B137">
        <f>IF(OR('R.M Billets Reports'!A136="Date-",'R.M Billets Reports'!A136="Date:-"),'R.M Billets Reports'!B136,IF(ROW()=2,"",B136))</f>
      </c>
      <c r="C137">
        <f>IF('R.M Billets Reports'!A136="V.No.",'R.M Billets Reports'!B136,IF(ROW()=2,"",C136))</f>
      </c>
      <c r="D137">
        <f>IF('R.M Billets Reports'!A136&lt;&gt;"",'R.M Billets Reports'!A136,IF(ROW()=2,"",D136))</f>
      </c>
      <c r="E137">
        <f>IF('R.M Billets Reports'!B136="","",TRIM('R.M Billets Reports'!B136))</f>
      </c>
      <c r="F137">
        <f>'R.M Billets Reports'!C136</f>
      </c>
      <c r="G137">
        <f>'R.M Billets Reports'!D136</f>
      </c>
      <c r="H137">
        <f>'R.M Billets Reports'!E136</f>
      </c>
      <c r="I137">
        <f>'R.M Billets Reports'!F136</f>
      </c>
      <c r="J137">
        <f>'R.M Billets Reports'!G136</f>
      </c>
      <c r="K137">
        <f>'R.M Billets Reports'!H136</f>
      </c>
      <c r="L137">
        <f>IF('R.M Billets Reports'!I136="","",'R.M Billets Reports'!I136)</f>
      </c>
      <c r="M137">
        <f t="shared" si="4"/>
      </c>
      <c r="N137">
        <f>IF('R.M Billets Reports'!J136="","",'R.M Billets Reports'!J136)</f>
      </c>
      <c r="O137">
        <f t="shared" si="5"/>
      </c>
      <c r="P137">
        <f>IF('R.M Billets Reports'!A136="SIZE",'R.M Billets Reports'!B136,P136)</f>
      </c>
    </row>
    <row r="138" spans="1:16" x14ac:dyDescent="0.25">
      <c r="A138">
        <f>IF(OR('R.M Billets Reports'!A137="Date-",'R.M Billets Reports'!A137="Date:-"),IF(IF(IF(ISNUMBER(SEARCH("Party Name:-",'R.M Billets Reports'!D137)),TRIM('R.M Billets Reports'!F137),IF(ISNUMBER(SEARCH("Party Name-",'R.M Billets Reports'!D137)),TRIM(MID('R.M Billets Reports'!D137,SEARCH("-",'R.M Billets Reports'!D137)+1,200)),""))&lt;&gt;"",IF(ISNUMBER(SEARCH("Party Name:-",'R.M Billets Reports'!D137)),TRIM('R.M Billets Reports'!F137),IF(ISNUMBER(SEARCH("Party Name-",'R.M Billets Reports'!D137)),TRIM(MID('R.M Billets Reports'!D137,SEARCH("-",'R.M Billets Reports'!D137)+1,200)),"")),IF(ISNUMBER(SEARCH("Party Name:-",'R.M Billets Reports'!D138)),TRIM('R.M Billets Reports'!F138),IF(ISNUMBER(SEARCH("Party Name-",'R.M Billets Reports'!D138)),TRIM(MID('R.M Billets Reports'!D138,SEARCH("-",'R.M Billets Reports'!D138)+1,200)),"")))="VRKP ISPAT PVT LTD","VRKP",IF(IF(IF(ISNUMBER(SEARCH("Party Name:-",'R.M Billets Reports'!D137)),TRIM('R.M Billets Reports'!F137),IF(ISNUMBER(SEARCH("Party Name-",'R.M Billets Reports'!D137)),TRIM(MID('R.M Billets Reports'!D137,SEARCH("-",'R.M Billets Reports'!D137)+1,200)),""))&lt;&gt;"",IF(ISNUMBER(SEARCH("Party Name:-",'R.M Billets Reports'!D137)),TRIM('R.M Billets Reports'!F137),IF(ISNUMBER(SEARCH("Party Name-",'R.M Billets Reports'!D137)),TRIM(MID('R.M Billets Reports'!D137,SEARCH("-",'R.M Billets Reports'!D137)+1,200)),"")),IF(ISNUMBER(SEARCH("Party Name:-",'R.M Billets Reports'!D138)),TRIM('R.M Billets Reports'!F138),IF(ISNUMBER(SEARCH("Party Name-",'R.M Billets Reports'!D138)),TRIM(MID('R.M Billets Reports'!D138,SEARCH("-",'R.M Billets Reports'!D138)+1,200)),"")))="SHRI RADHE","SHREE RADHE",IF(IF(IF(ISNUMBER(SEARCH("Party Name:-",'R.M Billets Reports'!D137)),TRIM('R.M Billets Reports'!F137),IF(ISNUMBER(SEARCH("Party Name-",'R.M Billets Reports'!D137)),TRIM(MID('R.M Billets Reports'!D137,SEARCH("-",'R.M Billets Reports'!D137)+1,200)),""))&lt;&gt;"",IF(ISNUMBER(SEARCH("Party Name:-",'R.M Billets Reports'!D137)),TRIM('R.M Billets Reports'!F137),IF(ISNUMBER(SEARCH("Party Name-",'R.M Billets Reports'!D137)),TRIM(MID('R.M Billets Reports'!D137,SEARCH("-",'R.M Billets Reports'!D137)+1,200)),"")),IF(ISNUMBER(SEARCH("Party Name:-",'R.M Billets Reports'!D138)),TRIM('R.M Billets Reports'!F138),IF(ISNUMBER(SEARCH("Party Name-",'R.M Billets Reports'!D138)),TRIM(MID('R.M Billets Reports'!D138,SEARCH("-",'R.M Billets Reports'!D138)+1,200)),"")))="SHREE RADHE SHAKTI SPONGE AND POWER PVT. LTD.","SHREE RADHE",IF(IF(ISNUMBER(SEARCH("Party Name:-",'R.M Billets Reports'!D137)),TRIM('R.M Billets Reports'!F137),IF(ISNUMBER(SEARCH("Party Name-",'R.M Billets Reports'!D137)),TRIM(MID('R.M Billets Reports'!D137,SEARCH("-",'R.M Billets Reports'!D137)+1,200)),""))&lt;&gt;"",IF(ISNUMBER(SEARCH("Party Name:-",'R.M Billets Reports'!D137)),TRIM('R.M Billets Reports'!F137),IF(ISNUMBER(SEARCH("Party Name-",'R.M Billets Reports'!D137)),TRIM(MID('R.M Billets Reports'!D137,SEARCH("-",'R.M Billets Reports'!D137)+1,200)),"")),IF(ISNUMBER(SEARCH("Party Name:-",'R.M Billets Reports'!D138)),TRIM('R.M Billets Reports'!F138),IF(ISNUMBER(SEARCH("Party Name-",'R.M Billets Reports'!D138)),TRIM(MID('R.M Billets Reports'!D138,SEARCH("-",'R.M Billets Reports'!D138)+1,200)),"")))))),IF(ROW()=2,"",A137))</f>
      </c>
      <c r="B138">
        <f>IF(OR('R.M Billets Reports'!A137="Date-",'R.M Billets Reports'!A137="Date:-"),'R.M Billets Reports'!B137,IF(ROW()=2,"",B137))</f>
      </c>
      <c r="C138">
        <f>IF('R.M Billets Reports'!A137="V.No.",'R.M Billets Reports'!B137,IF(ROW()=2,"",C137))</f>
      </c>
      <c r="D138">
        <f>IF('R.M Billets Reports'!A137&lt;&gt;"",'R.M Billets Reports'!A137,IF(ROW()=2,"",D137))</f>
      </c>
      <c r="E138">
        <f>IF('R.M Billets Reports'!B137="","",TRIM('R.M Billets Reports'!B137))</f>
      </c>
      <c r="F138">
        <f>'R.M Billets Reports'!C137</f>
      </c>
      <c r="G138">
        <f>'R.M Billets Reports'!D137</f>
      </c>
      <c r="H138">
        <f>'R.M Billets Reports'!E137</f>
      </c>
      <c r="I138">
        <f>'R.M Billets Reports'!F137</f>
      </c>
      <c r="J138">
        <f>'R.M Billets Reports'!G137</f>
      </c>
      <c r="K138">
        <f>'R.M Billets Reports'!H137</f>
      </c>
      <c r="L138">
        <f>IF('R.M Billets Reports'!I137="","",'R.M Billets Reports'!I137)</f>
      </c>
      <c r="M138">
        <f t="shared" si="4"/>
      </c>
      <c r="N138">
        <f>IF('R.M Billets Reports'!J137="","",'R.M Billets Reports'!J137)</f>
      </c>
      <c r="O138">
        <f t="shared" si="5"/>
      </c>
      <c r="P138">
        <f>IF('R.M Billets Reports'!A137="SIZE",'R.M Billets Reports'!B137,P137)</f>
      </c>
    </row>
    <row r="139" spans="1:16" x14ac:dyDescent="0.25">
      <c r="A139">
        <f>IF(OR('R.M Billets Reports'!A138="Date-",'R.M Billets Reports'!A138="Date:-"),IF(IF(IF(ISNUMBER(SEARCH("Party Name:-",'R.M Billets Reports'!D138)),TRIM('R.M Billets Reports'!F138),IF(ISNUMBER(SEARCH("Party Name-",'R.M Billets Reports'!D138)),TRIM(MID('R.M Billets Reports'!D138,SEARCH("-",'R.M Billets Reports'!D138)+1,200)),""))&lt;&gt;"",IF(ISNUMBER(SEARCH("Party Name:-",'R.M Billets Reports'!D138)),TRIM('R.M Billets Reports'!F138),IF(ISNUMBER(SEARCH("Party Name-",'R.M Billets Reports'!D138)),TRIM(MID('R.M Billets Reports'!D138,SEARCH("-",'R.M Billets Reports'!D138)+1,200)),"")),IF(ISNUMBER(SEARCH("Party Name:-",'R.M Billets Reports'!D139)),TRIM('R.M Billets Reports'!F139),IF(ISNUMBER(SEARCH("Party Name-",'R.M Billets Reports'!D139)),TRIM(MID('R.M Billets Reports'!D139,SEARCH("-",'R.M Billets Reports'!D139)+1,200)),"")))="VRKP ISPAT PVT LTD","VRKP",IF(IF(IF(ISNUMBER(SEARCH("Party Name:-",'R.M Billets Reports'!D138)),TRIM('R.M Billets Reports'!F138),IF(ISNUMBER(SEARCH("Party Name-",'R.M Billets Reports'!D138)),TRIM(MID('R.M Billets Reports'!D138,SEARCH("-",'R.M Billets Reports'!D138)+1,200)),""))&lt;&gt;"",IF(ISNUMBER(SEARCH("Party Name:-",'R.M Billets Reports'!D138)),TRIM('R.M Billets Reports'!F138),IF(ISNUMBER(SEARCH("Party Name-",'R.M Billets Reports'!D138)),TRIM(MID('R.M Billets Reports'!D138,SEARCH("-",'R.M Billets Reports'!D138)+1,200)),"")),IF(ISNUMBER(SEARCH("Party Name:-",'R.M Billets Reports'!D139)),TRIM('R.M Billets Reports'!F139),IF(ISNUMBER(SEARCH("Party Name-",'R.M Billets Reports'!D139)),TRIM(MID('R.M Billets Reports'!D139,SEARCH("-",'R.M Billets Reports'!D139)+1,200)),"")))="SHRI RADHE","SHREE RADHE",IF(IF(IF(ISNUMBER(SEARCH("Party Name:-",'R.M Billets Reports'!D138)),TRIM('R.M Billets Reports'!F138),IF(ISNUMBER(SEARCH("Party Name-",'R.M Billets Reports'!D138)),TRIM(MID('R.M Billets Reports'!D138,SEARCH("-",'R.M Billets Reports'!D138)+1,200)),""))&lt;&gt;"",IF(ISNUMBER(SEARCH("Party Name:-",'R.M Billets Reports'!D138)),TRIM('R.M Billets Reports'!F138),IF(ISNUMBER(SEARCH("Party Name-",'R.M Billets Reports'!D138)),TRIM(MID('R.M Billets Reports'!D138,SEARCH("-",'R.M Billets Reports'!D138)+1,200)),"")),IF(ISNUMBER(SEARCH("Party Name:-",'R.M Billets Reports'!D139)),TRIM('R.M Billets Reports'!F139),IF(ISNUMBER(SEARCH("Party Name-",'R.M Billets Reports'!D139)),TRIM(MID('R.M Billets Reports'!D139,SEARCH("-",'R.M Billets Reports'!D139)+1,200)),"")))="SHREE RADHE SHAKTI SPONGE AND POWER PVT. LTD.","SHREE RADHE",IF(IF(ISNUMBER(SEARCH("Party Name:-",'R.M Billets Reports'!D138)),TRIM('R.M Billets Reports'!F138),IF(ISNUMBER(SEARCH("Party Name-",'R.M Billets Reports'!D138)),TRIM(MID('R.M Billets Reports'!D138,SEARCH("-",'R.M Billets Reports'!D138)+1,200)),""))&lt;&gt;"",IF(ISNUMBER(SEARCH("Party Name:-",'R.M Billets Reports'!D138)),TRIM('R.M Billets Reports'!F138),IF(ISNUMBER(SEARCH("Party Name-",'R.M Billets Reports'!D138)),TRIM(MID('R.M Billets Reports'!D138,SEARCH("-",'R.M Billets Reports'!D138)+1,200)),"")),IF(ISNUMBER(SEARCH("Party Name:-",'R.M Billets Reports'!D139)),TRIM('R.M Billets Reports'!F139),IF(ISNUMBER(SEARCH("Party Name-",'R.M Billets Reports'!D139)),TRIM(MID('R.M Billets Reports'!D139,SEARCH("-",'R.M Billets Reports'!D139)+1,200)),"")))))),IF(ROW()=2,"",A138))</f>
      </c>
      <c r="B139">
        <f>IF(OR('R.M Billets Reports'!A138="Date-",'R.M Billets Reports'!A138="Date:-"),'R.M Billets Reports'!B138,IF(ROW()=2,"",B138))</f>
      </c>
      <c r="C139">
        <f>IF('R.M Billets Reports'!A138="V.No.",'R.M Billets Reports'!B138,IF(ROW()=2,"",C138))</f>
      </c>
      <c r="D139">
        <f>IF('R.M Billets Reports'!A138&lt;&gt;"",'R.M Billets Reports'!A138,IF(ROW()=2,"",D138))</f>
      </c>
      <c r="E139">
        <f>IF('R.M Billets Reports'!B138="","",TRIM('R.M Billets Reports'!B138))</f>
      </c>
      <c r="F139">
        <f>'R.M Billets Reports'!C138</f>
      </c>
      <c r="G139">
        <f>'R.M Billets Reports'!D138</f>
      </c>
      <c r="H139">
        <f>'R.M Billets Reports'!E138</f>
      </c>
      <c r="I139">
        <f>'R.M Billets Reports'!F138</f>
      </c>
      <c r="J139">
        <f>'R.M Billets Reports'!G138</f>
      </c>
      <c r="K139">
        <f>'R.M Billets Reports'!H138</f>
      </c>
      <c r="L139">
        <f>IF('R.M Billets Reports'!I138="","",'R.M Billets Reports'!I138)</f>
      </c>
      <c r="M139">
        <f t="shared" si="4"/>
      </c>
      <c r="N139">
        <f>IF('R.M Billets Reports'!J138="","",'R.M Billets Reports'!J138)</f>
      </c>
      <c r="O139">
        <f t="shared" si="5"/>
      </c>
      <c r="P139">
        <f>IF('R.M Billets Reports'!A138="SIZE",'R.M Billets Reports'!B138,P138)</f>
      </c>
    </row>
    <row r="140" spans="1:16" x14ac:dyDescent="0.25">
      <c r="A140">
        <f>IF(OR('R.M Billets Reports'!A139="Date-",'R.M Billets Reports'!A139="Date:-"),IF(IF(IF(ISNUMBER(SEARCH("Party Name:-",'R.M Billets Reports'!D139)),TRIM('R.M Billets Reports'!F139),IF(ISNUMBER(SEARCH("Party Name-",'R.M Billets Reports'!D139)),TRIM(MID('R.M Billets Reports'!D139,SEARCH("-",'R.M Billets Reports'!D139)+1,200)),""))&lt;&gt;"",IF(ISNUMBER(SEARCH("Party Name:-",'R.M Billets Reports'!D139)),TRIM('R.M Billets Reports'!F139),IF(ISNUMBER(SEARCH("Party Name-",'R.M Billets Reports'!D139)),TRIM(MID('R.M Billets Reports'!D139,SEARCH("-",'R.M Billets Reports'!D139)+1,200)),"")),IF(ISNUMBER(SEARCH("Party Name:-",'R.M Billets Reports'!D140)),TRIM('R.M Billets Reports'!F140),IF(ISNUMBER(SEARCH("Party Name-",'R.M Billets Reports'!D140)),TRIM(MID('R.M Billets Reports'!D140,SEARCH("-",'R.M Billets Reports'!D140)+1,200)),"")))="VRKP ISPAT PVT LTD","VRKP",IF(IF(IF(ISNUMBER(SEARCH("Party Name:-",'R.M Billets Reports'!D139)),TRIM('R.M Billets Reports'!F139),IF(ISNUMBER(SEARCH("Party Name-",'R.M Billets Reports'!D139)),TRIM(MID('R.M Billets Reports'!D139,SEARCH("-",'R.M Billets Reports'!D139)+1,200)),""))&lt;&gt;"",IF(ISNUMBER(SEARCH("Party Name:-",'R.M Billets Reports'!D139)),TRIM('R.M Billets Reports'!F139),IF(ISNUMBER(SEARCH("Party Name-",'R.M Billets Reports'!D139)),TRIM(MID('R.M Billets Reports'!D139,SEARCH("-",'R.M Billets Reports'!D139)+1,200)),"")),IF(ISNUMBER(SEARCH("Party Name:-",'R.M Billets Reports'!D140)),TRIM('R.M Billets Reports'!F140),IF(ISNUMBER(SEARCH("Party Name-",'R.M Billets Reports'!D140)),TRIM(MID('R.M Billets Reports'!D140,SEARCH("-",'R.M Billets Reports'!D140)+1,200)),"")))="SHRI RADHE","SHREE RADHE",IF(IF(IF(ISNUMBER(SEARCH("Party Name:-",'R.M Billets Reports'!D139)),TRIM('R.M Billets Reports'!F139),IF(ISNUMBER(SEARCH("Party Name-",'R.M Billets Reports'!D139)),TRIM(MID('R.M Billets Reports'!D139,SEARCH("-",'R.M Billets Reports'!D139)+1,200)),""))&lt;&gt;"",IF(ISNUMBER(SEARCH("Party Name:-",'R.M Billets Reports'!D139)),TRIM('R.M Billets Reports'!F139),IF(ISNUMBER(SEARCH("Party Name-",'R.M Billets Reports'!D139)),TRIM(MID('R.M Billets Reports'!D139,SEARCH("-",'R.M Billets Reports'!D139)+1,200)),"")),IF(ISNUMBER(SEARCH("Party Name:-",'R.M Billets Reports'!D140)),TRIM('R.M Billets Reports'!F140),IF(ISNUMBER(SEARCH("Party Name-",'R.M Billets Reports'!D140)),TRIM(MID('R.M Billets Reports'!D140,SEARCH("-",'R.M Billets Reports'!D140)+1,200)),"")))="SHREE RADHE SHAKTI SPONGE AND POWER PVT. LTD.","SHREE RADHE",IF(IF(ISNUMBER(SEARCH("Party Name:-",'R.M Billets Reports'!D139)),TRIM('R.M Billets Reports'!F139),IF(ISNUMBER(SEARCH("Party Name-",'R.M Billets Reports'!D139)),TRIM(MID('R.M Billets Reports'!D139,SEARCH("-",'R.M Billets Reports'!D139)+1,200)),""))&lt;&gt;"",IF(ISNUMBER(SEARCH("Party Name:-",'R.M Billets Reports'!D139)),TRIM('R.M Billets Reports'!F139),IF(ISNUMBER(SEARCH("Party Name-",'R.M Billets Reports'!D139)),TRIM(MID('R.M Billets Reports'!D139,SEARCH("-",'R.M Billets Reports'!D139)+1,200)),"")),IF(ISNUMBER(SEARCH("Party Name:-",'R.M Billets Reports'!D140)),TRIM('R.M Billets Reports'!F140),IF(ISNUMBER(SEARCH("Party Name-",'R.M Billets Reports'!D140)),TRIM(MID('R.M Billets Reports'!D140,SEARCH("-",'R.M Billets Reports'!D140)+1,200)),"")))))),IF(ROW()=2,"",A139))</f>
      </c>
      <c r="B140">
        <f>IF(OR('R.M Billets Reports'!A139="Date-",'R.M Billets Reports'!A139="Date:-"),'R.M Billets Reports'!B139,IF(ROW()=2,"",B139))</f>
      </c>
      <c r="C140">
        <f>IF('R.M Billets Reports'!A139="V.No.",'R.M Billets Reports'!B139,IF(ROW()=2,"",C139))</f>
      </c>
      <c r="D140">
        <f>IF('R.M Billets Reports'!A139&lt;&gt;"",'R.M Billets Reports'!A139,IF(ROW()=2,"",D139))</f>
      </c>
      <c r="E140">
        <f>IF('R.M Billets Reports'!B139="","",TRIM('R.M Billets Reports'!B139))</f>
      </c>
      <c r="F140">
        <f>'R.M Billets Reports'!C139</f>
      </c>
      <c r="G140">
        <f>'R.M Billets Reports'!D139</f>
      </c>
      <c r="H140">
        <f>'R.M Billets Reports'!E139</f>
      </c>
      <c r="I140">
        <f>'R.M Billets Reports'!F139</f>
      </c>
      <c r="J140">
        <f>'R.M Billets Reports'!G139</f>
      </c>
      <c r="K140">
        <f>'R.M Billets Reports'!H139</f>
      </c>
      <c r="L140">
        <f>IF('R.M Billets Reports'!I139="","",'R.M Billets Reports'!I139)</f>
      </c>
      <c r="M140">
        <f t="shared" si="4"/>
      </c>
      <c r="N140">
        <f>IF('R.M Billets Reports'!J139="","",'R.M Billets Reports'!J139)</f>
      </c>
      <c r="O140">
        <f t="shared" si="5"/>
      </c>
      <c r="P140">
        <f>IF('R.M Billets Reports'!A139="SIZE",'R.M Billets Reports'!B139,P139)</f>
      </c>
    </row>
    <row r="141" spans="1:16" x14ac:dyDescent="0.25">
      <c r="A141">
        <f>IF(OR('R.M Billets Reports'!A140="Date-",'R.M Billets Reports'!A140="Date:-"),IF(IF(IF(ISNUMBER(SEARCH("Party Name:-",'R.M Billets Reports'!D140)),TRIM('R.M Billets Reports'!F140),IF(ISNUMBER(SEARCH("Party Name-",'R.M Billets Reports'!D140)),TRIM(MID('R.M Billets Reports'!D140,SEARCH("-",'R.M Billets Reports'!D140)+1,200)),""))&lt;&gt;"",IF(ISNUMBER(SEARCH("Party Name:-",'R.M Billets Reports'!D140)),TRIM('R.M Billets Reports'!F140),IF(ISNUMBER(SEARCH("Party Name-",'R.M Billets Reports'!D140)),TRIM(MID('R.M Billets Reports'!D140,SEARCH("-",'R.M Billets Reports'!D140)+1,200)),"")),IF(ISNUMBER(SEARCH("Party Name:-",'R.M Billets Reports'!D141)),TRIM('R.M Billets Reports'!F141),IF(ISNUMBER(SEARCH("Party Name-",'R.M Billets Reports'!D141)),TRIM(MID('R.M Billets Reports'!D141,SEARCH("-",'R.M Billets Reports'!D141)+1,200)),"")))="VRKP ISPAT PVT LTD","VRKP",IF(IF(IF(ISNUMBER(SEARCH("Party Name:-",'R.M Billets Reports'!D140)),TRIM('R.M Billets Reports'!F140),IF(ISNUMBER(SEARCH("Party Name-",'R.M Billets Reports'!D140)),TRIM(MID('R.M Billets Reports'!D140,SEARCH("-",'R.M Billets Reports'!D140)+1,200)),""))&lt;&gt;"",IF(ISNUMBER(SEARCH("Party Name:-",'R.M Billets Reports'!D140)),TRIM('R.M Billets Reports'!F140),IF(ISNUMBER(SEARCH("Party Name-",'R.M Billets Reports'!D140)),TRIM(MID('R.M Billets Reports'!D140,SEARCH("-",'R.M Billets Reports'!D140)+1,200)),"")),IF(ISNUMBER(SEARCH("Party Name:-",'R.M Billets Reports'!D141)),TRIM('R.M Billets Reports'!F141),IF(ISNUMBER(SEARCH("Party Name-",'R.M Billets Reports'!D141)),TRIM(MID('R.M Billets Reports'!D141,SEARCH("-",'R.M Billets Reports'!D141)+1,200)),"")))="SHRI RADHE","SHREE RADHE",IF(IF(IF(ISNUMBER(SEARCH("Party Name:-",'R.M Billets Reports'!D140)),TRIM('R.M Billets Reports'!F140),IF(ISNUMBER(SEARCH("Party Name-",'R.M Billets Reports'!D140)),TRIM(MID('R.M Billets Reports'!D140,SEARCH("-",'R.M Billets Reports'!D140)+1,200)),""))&lt;&gt;"",IF(ISNUMBER(SEARCH("Party Name:-",'R.M Billets Reports'!D140)),TRIM('R.M Billets Reports'!F140),IF(ISNUMBER(SEARCH("Party Name-",'R.M Billets Reports'!D140)),TRIM(MID('R.M Billets Reports'!D140,SEARCH("-",'R.M Billets Reports'!D140)+1,200)),"")),IF(ISNUMBER(SEARCH("Party Name:-",'R.M Billets Reports'!D141)),TRIM('R.M Billets Reports'!F141),IF(ISNUMBER(SEARCH("Party Name-",'R.M Billets Reports'!D141)),TRIM(MID('R.M Billets Reports'!D141,SEARCH("-",'R.M Billets Reports'!D141)+1,200)),"")))="SHREE RADHE SHAKTI SPONGE AND POWER PVT. LTD.","SHREE RADHE",IF(IF(ISNUMBER(SEARCH("Party Name:-",'R.M Billets Reports'!D140)),TRIM('R.M Billets Reports'!F140),IF(ISNUMBER(SEARCH("Party Name-",'R.M Billets Reports'!D140)),TRIM(MID('R.M Billets Reports'!D140,SEARCH("-",'R.M Billets Reports'!D140)+1,200)),""))&lt;&gt;"",IF(ISNUMBER(SEARCH("Party Name:-",'R.M Billets Reports'!D140)),TRIM('R.M Billets Reports'!F140),IF(ISNUMBER(SEARCH("Party Name-",'R.M Billets Reports'!D140)),TRIM(MID('R.M Billets Reports'!D140,SEARCH("-",'R.M Billets Reports'!D140)+1,200)),"")),IF(ISNUMBER(SEARCH("Party Name:-",'R.M Billets Reports'!D141)),TRIM('R.M Billets Reports'!F141),IF(ISNUMBER(SEARCH("Party Name-",'R.M Billets Reports'!D141)),TRIM(MID('R.M Billets Reports'!D141,SEARCH("-",'R.M Billets Reports'!D141)+1,200)),"")))))),IF(ROW()=2,"",A140))</f>
      </c>
      <c r="B141">
        <f>IF(OR('R.M Billets Reports'!A140="Date-",'R.M Billets Reports'!A140="Date:-"),'R.M Billets Reports'!B140,IF(ROW()=2,"",B140))</f>
      </c>
      <c r="C141">
        <f>IF('R.M Billets Reports'!A140="V.No.",'R.M Billets Reports'!B140,IF(ROW()=2,"",C140))</f>
      </c>
      <c r="D141">
        <f>IF('R.M Billets Reports'!A140&lt;&gt;"",'R.M Billets Reports'!A140,IF(ROW()=2,"",D140))</f>
      </c>
      <c r="E141">
        <f>IF('R.M Billets Reports'!B140="","",TRIM('R.M Billets Reports'!B140))</f>
      </c>
      <c r="F141">
        <f>'R.M Billets Reports'!C140</f>
      </c>
      <c r="G141">
        <f>'R.M Billets Reports'!D140</f>
      </c>
      <c r="H141">
        <f>'R.M Billets Reports'!E140</f>
      </c>
      <c r="I141">
        <f>'R.M Billets Reports'!F140</f>
      </c>
      <c r="J141">
        <f>'R.M Billets Reports'!G140</f>
      </c>
      <c r="K141">
        <f>'R.M Billets Reports'!H140</f>
      </c>
      <c r="L141">
        <f>IF('R.M Billets Reports'!I140="","",'R.M Billets Reports'!I140)</f>
      </c>
      <c r="M141">
        <f t="shared" si="4"/>
      </c>
      <c r="N141">
        <f>IF('R.M Billets Reports'!J140="","",'R.M Billets Reports'!J140)</f>
      </c>
      <c r="O141">
        <f t="shared" si="5"/>
      </c>
      <c r="P141">
        <f>IF('R.M Billets Reports'!A140="SIZE",'R.M Billets Reports'!B140,P140)</f>
      </c>
    </row>
    <row r="142" spans="1:16" x14ac:dyDescent="0.25">
      <c r="A142">
        <f>IF(OR('R.M Billets Reports'!A141="Date-",'R.M Billets Reports'!A141="Date:-"),IF(IF(IF(ISNUMBER(SEARCH("Party Name:-",'R.M Billets Reports'!D141)),TRIM('R.M Billets Reports'!F141),IF(ISNUMBER(SEARCH("Party Name-",'R.M Billets Reports'!D141)),TRIM(MID('R.M Billets Reports'!D141,SEARCH("-",'R.M Billets Reports'!D141)+1,200)),""))&lt;&gt;"",IF(ISNUMBER(SEARCH("Party Name:-",'R.M Billets Reports'!D141)),TRIM('R.M Billets Reports'!F141),IF(ISNUMBER(SEARCH("Party Name-",'R.M Billets Reports'!D141)),TRIM(MID('R.M Billets Reports'!D141,SEARCH("-",'R.M Billets Reports'!D141)+1,200)),"")),IF(ISNUMBER(SEARCH("Party Name:-",'R.M Billets Reports'!D142)),TRIM('R.M Billets Reports'!F142),IF(ISNUMBER(SEARCH("Party Name-",'R.M Billets Reports'!D142)),TRIM(MID('R.M Billets Reports'!D142,SEARCH("-",'R.M Billets Reports'!D142)+1,200)),"")))="VRKP ISPAT PVT LTD","VRKP",IF(IF(IF(ISNUMBER(SEARCH("Party Name:-",'R.M Billets Reports'!D141)),TRIM('R.M Billets Reports'!F141),IF(ISNUMBER(SEARCH("Party Name-",'R.M Billets Reports'!D141)),TRIM(MID('R.M Billets Reports'!D141,SEARCH("-",'R.M Billets Reports'!D141)+1,200)),""))&lt;&gt;"",IF(ISNUMBER(SEARCH("Party Name:-",'R.M Billets Reports'!D141)),TRIM('R.M Billets Reports'!F141),IF(ISNUMBER(SEARCH("Party Name-",'R.M Billets Reports'!D141)),TRIM(MID('R.M Billets Reports'!D141,SEARCH("-",'R.M Billets Reports'!D141)+1,200)),"")),IF(ISNUMBER(SEARCH("Party Name:-",'R.M Billets Reports'!D142)),TRIM('R.M Billets Reports'!F142),IF(ISNUMBER(SEARCH("Party Name-",'R.M Billets Reports'!D142)),TRIM(MID('R.M Billets Reports'!D142,SEARCH("-",'R.M Billets Reports'!D142)+1,200)),"")))="SHRI RADHE","SHREE RADHE",IF(IF(IF(ISNUMBER(SEARCH("Party Name:-",'R.M Billets Reports'!D141)),TRIM('R.M Billets Reports'!F141),IF(ISNUMBER(SEARCH("Party Name-",'R.M Billets Reports'!D141)),TRIM(MID('R.M Billets Reports'!D141,SEARCH("-",'R.M Billets Reports'!D141)+1,200)),""))&lt;&gt;"",IF(ISNUMBER(SEARCH("Party Name:-",'R.M Billets Reports'!D141)),TRIM('R.M Billets Reports'!F141),IF(ISNUMBER(SEARCH("Party Name-",'R.M Billets Reports'!D141)),TRIM(MID('R.M Billets Reports'!D141,SEARCH("-",'R.M Billets Reports'!D141)+1,200)),"")),IF(ISNUMBER(SEARCH("Party Name:-",'R.M Billets Reports'!D142)),TRIM('R.M Billets Reports'!F142),IF(ISNUMBER(SEARCH("Party Name-",'R.M Billets Reports'!D142)),TRIM(MID('R.M Billets Reports'!D142,SEARCH("-",'R.M Billets Reports'!D142)+1,200)),"")))="SHREE RADHE SHAKTI SPONGE AND POWER PVT. LTD.","SHREE RADHE",IF(IF(ISNUMBER(SEARCH("Party Name:-",'R.M Billets Reports'!D141)),TRIM('R.M Billets Reports'!F141),IF(ISNUMBER(SEARCH("Party Name-",'R.M Billets Reports'!D141)),TRIM(MID('R.M Billets Reports'!D141,SEARCH("-",'R.M Billets Reports'!D141)+1,200)),""))&lt;&gt;"",IF(ISNUMBER(SEARCH("Party Name:-",'R.M Billets Reports'!D141)),TRIM('R.M Billets Reports'!F141),IF(ISNUMBER(SEARCH("Party Name-",'R.M Billets Reports'!D141)),TRIM(MID('R.M Billets Reports'!D141,SEARCH("-",'R.M Billets Reports'!D141)+1,200)),"")),IF(ISNUMBER(SEARCH("Party Name:-",'R.M Billets Reports'!D142)),TRIM('R.M Billets Reports'!F142),IF(ISNUMBER(SEARCH("Party Name-",'R.M Billets Reports'!D142)),TRIM(MID('R.M Billets Reports'!D142,SEARCH("-",'R.M Billets Reports'!D142)+1,200)),"")))))),IF(ROW()=2,"",A141))</f>
      </c>
      <c r="B142">
        <f>IF(OR('R.M Billets Reports'!A141="Date-",'R.M Billets Reports'!A141="Date:-"),'R.M Billets Reports'!B141,IF(ROW()=2,"",B141))</f>
      </c>
      <c r="C142">
        <f>IF('R.M Billets Reports'!A141="V.No.",'R.M Billets Reports'!B141,IF(ROW()=2,"",C141))</f>
      </c>
      <c r="D142">
        <f>IF('R.M Billets Reports'!A141&lt;&gt;"",'R.M Billets Reports'!A141,IF(ROW()=2,"",D141))</f>
      </c>
      <c r="E142">
        <f>IF('R.M Billets Reports'!B141="","",TRIM('R.M Billets Reports'!B141))</f>
      </c>
      <c r="F142">
        <f>'R.M Billets Reports'!C141</f>
      </c>
      <c r="G142">
        <f>'R.M Billets Reports'!D141</f>
      </c>
      <c r="H142">
        <f>'R.M Billets Reports'!E141</f>
      </c>
      <c r="I142">
        <f>'R.M Billets Reports'!F141</f>
      </c>
      <c r="J142">
        <f>'R.M Billets Reports'!G141</f>
      </c>
      <c r="K142">
        <f>'R.M Billets Reports'!H141</f>
      </c>
      <c r="L142">
        <f>IF('R.M Billets Reports'!I141="","",'R.M Billets Reports'!I141)</f>
      </c>
      <c r="M142">
        <f t="shared" si="4"/>
      </c>
      <c r="N142">
        <f>IF('R.M Billets Reports'!J141="","",'R.M Billets Reports'!J141)</f>
      </c>
      <c r="O142">
        <f t="shared" si="5"/>
      </c>
      <c r="P142">
        <f>IF('R.M Billets Reports'!A141="SIZE",'R.M Billets Reports'!B141,P141)</f>
      </c>
    </row>
    <row r="143" spans="1:16" x14ac:dyDescent="0.25">
      <c r="A143">
        <f>IF(OR('R.M Billets Reports'!A142="Date-",'R.M Billets Reports'!A142="Date:-"),IF(IF(IF(ISNUMBER(SEARCH("Party Name:-",'R.M Billets Reports'!D142)),TRIM('R.M Billets Reports'!F142),IF(ISNUMBER(SEARCH("Party Name-",'R.M Billets Reports'!D142)),TRIM(MID('R.M Billets Reports'!D142,SEARCH("-",'R.M Billets Reports'!D142)+1,200)),""))&lt;&gt;"",IF(ISNUMBER(SEARCH("Party Name:-",'R.M Billets Reports'!D142)),TRIM('R.M Billets Reports'!F142),IF(ISNUMBER(SEARCH("Party Name-",'R.M Billets Reports'!D142)),TRIM(MID('R.M Billets Reports'!D142,SEARCH("-",'R.M Billets Reports'!D142)+1,200)),"")),IF(ISNUMBER(SEARCH("Party Name:-",'R.M Billets Reports'!D143)),TRIM('R.M Billets Reports'!F143),IF(ISNUMBER(SEARCH("Party Name-",'R.M Billets Reports'!D143)),TRIM(MID('R.M Billets Reports'!D143,SEARCH("-",'R.M Billets Reports'!D143)+1,200)),"")))="VRKP ISPAT PVT LTD","VRKP",IF(IF(IF(ISNUMBER(SEARCH("Party Name:-",'R.M Billets Reports'!D142)),TRIM('R.M Billets Reports'!F142),IF(ISNUMBER(SEARCH("Party Name-",'R.M Billets Reports'!D142)),TRIM(MID('R.M Billets Reports'!D142,SEARCH("-",'R.M Billets Reports'!D142)+1,200)),""))&lt;&gt;"",IF(ISNUMBER(SEARCH("Party Name:-",'R.M Billets Reports'!D142)),TRIM('R.M Billets Reports'!F142),IF(ISNUMBER(SEARCH("Party Name-",'R.M Billets Reports'!D142)),TRIM(MID('R.M Billets Reports'!D142,SEARCH("-",'R.M Billets Reports'!D142)+1,200)),"")),IF(ISNUMBER(SEARCH("Party Name:-",'R.M Billets Reports'!D143)),TRIM('R.M Billets Reports'!F143),IF(ISNUMBER(SEARCH("Party Name-",'R.M Billets Reports'!D143)),TRIM(MID('R.M Billets Reports'!D143,SEARCH("-",'R.M Billets Reports'!D143)+1,200)),"")))="SHRI RADHE","SHREE RADHE",IF(IF(IF(ISNUMBER(SEARCH("Party Name:-",'R.M Billets Reports'!D142)),TRIM('R.M Billets Reports'!F142),IF(ISNUMBER(SEARCH("Party Name-",'R.M Billets Reports'!D142)),TRIM(MID('R.M Billets Reports'!D142,SEARCH("-",'R.M Billets Reports'!D142)+1,200)),""))&lt;&gt;"",IF(ISNUMBER(SEARCH("Party Name:-",'R.M Billets Reports'!D142)),TRIM('R.M Billets Reports'!F142),IF(ISNUMBER(SEARCH("Party Name-",'R.M Billets Reports'!D142)),TRIM(MID('R.M Billets Reports'!D142,SEARCH("-",'R.M Billets Reports'!D142)+1,200)),"")),IF(ISNUMBER(SEARCH("Party Name:-",'R.M Billets Reports'!D143)),TRIM('R.M Billets Reports'!F143),IF(ISNUMBER(SEARCH("Party Name-",'R.M Billets Reports'!D143)),TRIM(MID('R.M Billets Reports'!D143,SEARCH("-",'R.M Billets Reports'!D143)+1,200)),"")))="SHREE RADHE SHAKTI SPONGE AND POWER PVT. LTD.","SHREE RADHE",IF(IF(ISNUMBER(SEARCH("Party Name:-",'R.M Billets Reports'!D142)),TRIM('R.M Billets Reports'!F142),IF(ISNUMBER(SEARCH("Party Name-",'R.M Billets Reports'!D142)),TRIM(MID('R.M Billets Reports'!D142,SEARCH("-",'R.M Billets Reports'!D142)+1,200)),""))&lt;&gt;"",IF(ISNUMBER(SEARCH("Party Name:-",'R.M Billets Reports'!D142)),TRIM('R.M Billets Reports'!F142),IF(ISNUMBER(SEARCH("Party Name-",'R.M Billets Reports'!D142)),TRIM(MID('R.M Billets Reports'!D142,SEARCH("-",'R.M Billets Reports'!D142)+1,200)),"")),IF(ISNUMBER(SEARCH("Party Name:-",'R.M Billets Reports'!D143)),TRIM('R.M Billets Reports'!F143),IF(ISNUMBER(SEARCH("Party Name-",'R.M Billets Reports'!D143)),TRIM(MID('R.M Billets Reports'!D143,SEARCH("-",'R.M Billets Reports'!D143)+1,200)),"")))))),IF(ROW()=2,"",A142))</f>
      </c>
      <c r="B143">
        <f>IF(OR('R.M Billets Reports'!A142="Date-",'R.M Billets Reports'!A142="Date:-"),'R.M Billets Reports'!B142,IF(ROW()=2,"",B142))</f>
      </c>
      <c r="C143">
        <f>IF('R.M Billets Reports'!A142="V.No.",'R.M Billets Reports'!B142,IF(ROW()=2,"",C142))</f>
      </c>
      <c r="D143">
        <f>IF('R.M Billets Reports'!A142&lt;&gt;"",'R.M Billets Reports'!A142,IF(ROW()=2,"",D142))</f>
      </c>
      <c r="E143">
        <f>IF('R.M Billets Reports'!B142="","",TRIM('R.M Billets Reports'!B142))</f>
      </c>
      <c r="F143">
        <f>'R.M Billets Reports'!C142</f>
      </c>
      <c r="G143">
        <f>'R.M Billets Reports'!D142</f>
      </c>
      <c r="H143">
        <f>'R.M Billets Reports'!E142</f>
      </c>
      <c r="I143">
        <f>'R.M Billets Reports'!F142</f>
      </c>
      <c r="J143">
        <f>'R.M Billets Reports'!G142</f>
      </c>
      <c r="K143">
        <f>'R.M Billets Reports'!H142</f>
      </c>
      <c r="L143">
        <f>IF('R.M Billets Reports'!I142="","",'R.M Billets Reports'!I142)</f>
      </c>
      <c r="M143">
        <f t="shared" si="4"/>
      </c>
      <c r="N143">
        <f>IF('R.M Billets Reports'!J142="","",'R.M Billets Reports'!J142)</f>
      </c>
      <c r="O143">
        <f t="shared" si="5"/>
      </c>
      <c r="P143">
        <f>IF('R.M Billets Reports'!A142="SIZE",'R.M Billets Reports'!B142,P142)</f>
      </c>
    </row>
    <row r="144" spans="1:16" x14ac:dyDescent="0.25">
      <c r="A144">
        <f>IF(OR('R.M Billets Reports'!A143="Date-",'R.M Billets Reports'!A143="Date:-"),IF(IF(IF(ISNUMBER(SEARCH("Party Name:-",'R.M Billets Reports'!D143)),TRIM('R.M Billets Reports'!F143),IF(ISNUMBER(SEARCH("Party Name-",'R.M Billets Reports'!D143)),TRIM(MID('R.M Billets Reports'!D143,SEARCH("-",'R.M Billets Reports'!D143)+1,200)),""))&lt;&gt;"",IF(ISNUMBER(SEARCH("Party Name:-",'R.M Billets Reports'!D143)),TRIM('R.M Billets Reports'!F143),IF(ISNUMBER(SEARCH("Party Name-",'R.M Billets Reports'!D143)),TRIM(MID('R.M Billets Reports'!D143,SEARCH("-",'R.M Billets Reports'!D143)+1,200)),"")),IF(ISNUMBER(SEARCH("Party Name:-",'R.M Billets Reports'!D144)),TRIM('R.M Billets Reports'!F144),IF(ISNUMBER(SEARCH("Party Name-",'R.M Billets Reports'!D144)),TRIM(MID('R.M Billets Reports'!D144,SEARCH("-",'R.M Billets Reports'!D144)+1,200)),"")))="VRKP ISPAT PVT LTD","VRKP",IF(IF(IF(ISNUMBER(SEARCH("Party Name:-",'R.M Billets Reports'!D143)),TRIM('R.M Billets Reports'!F143),IF(ISNUMBER(SEARCH("Party Name-",'R.M Billets Reports'!D143)),TRIM(MID('R.M Billets Reports'!D143,SEARCH("-",'R.M Billets Reports'!D143)+1,200)),""))&lt;&gt;"",IF(ISNUMBER(SEARCH("Party Name:-",'R.M Billets Reports'!D143)),TRIM('R.M Billets Reports'!F143),IF(ISNUMBER(SEARCH("Party Name-",'R.M Billets Reports'!D143)),TRIM(MID('R.M Billets Reports'!D143,SEARCH("-",'R.M Billets Reports'!D143)+1,200)),"")),IF(ISNUMBER(SEARCH("Party Name:-",'R.M Billets Reports'!D144)),TRIM('R.M Billets Reports'!F144),IF(ISNUMBER(SEARCH("Party Name-",'R.M Billets Reports'!D144)),TRIM(MID('R.M Billets Reports'!D144,SEARCH("-",'R.M Billets Reports'!D144)+1,200)),"")))="SHRI RADHE","SHREE RADHE",IF(IF(IF(ISNUMBER(SEARCH("Party Name:-",'R.M Billets Reports'!D143)),TRIM('R.M Billets Reports'!F143),IF(ISNUMBER(SEARCH("Party Name-",'R.M Billets Reports'!D143)),TRIM(MID('R.M Billets Reports'!D143,SEARCH("-",'R.M Billets Reports'!D143)+1,200)),""))&lt;&gt;"",IF(ISNUMBER(SEARCH("Party Name:-",'R.M Billets Reports'!D143)),TRIM('R.M Billets Reports'!F143),IF(ISNUMBER(SEARCH("Party Name-",'R.M Billets Reports'!D143)),TRIM(MID('R.M Billets Reports'!D143,SEARCH("-",'R.M Billets Reports'!D143)+1,200)),"")),IF(ISNUMBER(SEARCH("Party Name:-",'R.M Billets Reports'!D144)),TRIM('R.M Billets Reports'!F144),IF(ISNUMBER(SEARCH("Party Name-",'R.M Billets Reports'!D144)),TRIM(MID('R.M Billets Reports'!D144,SEARCH("-",'R.M Billets Reports'!D144)+1,200)),"")))="SHREE RADHE SHAKTI SPONGE AND POWER PVT. LTD.","SHREE RADHE",IF(IF(ISNUMBER(SEARCH("Party Name:-",'R.M Billets Reports'!D143)),TRIM('R.M Billets Reports'!F143),IF(ISNUMBER(SEARCH("Party Name-",'R.M Billets Reports'!D143)),TRIM(MID('R.M Billets Reports'!D143,SEARCH("-",'R.M Billets Reports'!D143)+1,200)),""))&lt;&gt;"",IF(ISNUMBER(SEARCH("Party Name:-",'R.M Billets Reports'!D143)),TRIM('R.M Billets Reports'!F143),IF(ISNUMBER(SEARCH("Party Name-",'R.M Billets Reports'!D143)),TRIM(MID('R.M Billets Reports'!D143,SEARCH("-",'R.M Billets Reports'!D143)+1,200)),"")),IF(ISNUMBER(SEARCH("Party Name:-",'R.M Billets Reports'!D144)),TRIM('R.M Billets Reports'!F144),IF(ISNUMBER(SEARCH("Party Name-",'R.M Billets Reports'!D144)),TRIM(MID('R.M Billets Reports'!D144,SEARCH("-",'R.M Billets Reports'!D144)+1,200)),"")))))),IF(ROW()=2,"",A143))</f>
      </c>
      <c r="B144">
        <f>IF(OR('R.M Billets Reports'!A143="Date-",'R.M Billets Reports'!A143="Date:-"),'R.M Billets Reports'!B143,IF(ROW()=2,"",B143))</f>
      </c>
      <c r="C144">
        <f>IF('R.M Billets Reports'!A143="V.No.",'R.M Billets Reports'!B143,IF(ROW()=2,"",C143))</f>
      </c>
      <c r="D144">
        <f>IF('R.M Billets Reports'!A143&lt;&gt;"",'R.M Billets Reports'!A143,IF(ROW()=2,"",D143))</f>
      </c>
      <c r="E144">
        <f>IF('R.M Billets Reports'!B143="","",TRIM('R.M Billets Reports'!B143))</f>
      </c>
      <c r="F144">
        <f>'R.M Billets Reports'!C143</f>
      </c>
      <c r="G144">
        <f>'R.M Billets Reports'!D143</f>
      </c>
      <c r="H144">
        <f>'R.M Billets Reports'!E143</f>
      </c>
      <c r="I144">
        <f>'R.M Billets Reports'!F143</f>
      </c>
      <c r="J144">
        <f>'R.M Billets Reports'!G143</f>
      </c>
      <c r="K144">
        <f>'R.M Billets Reports'!H143</f>
      </c>
      <c r="L144">
        <f>IF('R.M Billets Reports'!I143="","",'R.M Billets Reports'!I143)</f>
      </c>
      <c r="M144">
        <f t="shared" si="4"/>
      </c>
      <c r="N144">
        <f>IF('R.M Billets Reports'!J143="","",'R.M Billets Reports'!J143)</f>
      </c>
      <c r="O144">
        <f t="shared" si="5"/>
      </c>
      <c r="P144">
        <f>IF('R.M Billets Reports'!A143="SIZE",'R.M Billets Reports'!B143,P143)</f>
      </c>
    </row>
    <row r="145" spans="1:16" x14ac:dyDescent="0.25">
      <c r="A145">
        <f>IF(OR('R.M Billets Reports'!A144="Date-",'R.M Billets Reports'!A144="Date:-"),IF(IF(IF(ISNUMBER(SEARCH("Party Name:-",'R.M Billets Reports'!D144)),TRIM('R.M Billets Reports'!F144),IF(ISNUMBER(SEARCH("Party Name-",'R.M Billets Reports'!D144)),TRIM(MID('R.M Billets Reports'!D144,SEARCH("-",'R.M Billets Reports'!D144)+1,200)),""))&lt;&gt;"",IF(ISNUMBER(SEARCH("Party Name:-",'R.M Billets Reports'!D144)),TRIM('R.M Billets Reports'!F144),IF(ISNUMBER(SEARCH("Party Name-",'R.M Billets Reports'!D144)),TRIM(MID('R.M Billets Reports'!D144,SEARCH("-",'R.M Billets Reports'!D144)+1,200)),"")),IF(ISNUMBER(SEARCH("Party Name:-",'R.M Billets Reports'!D145)),TRIM('R.M Billets Reports'!F145),IF(ISNUMBER(SEARCH("Party Name-",'R.M Billets Reports'!D145)),TRIM(MID('R.M Billets Reports'!D145,SEARCH("-",'R.M Billets Reports'!D145)+1,200)),"")))="VRKP ISPAT PVT LTD","VRKP",IF(IF(IF(ISNUMBER(SEARCH("Party Name:-",'R.M Billets Reports'!D144)),TRIM('R.M Billets Reports'!F144),IF(ISNUMBER(SEARCH("Party Name-",'R.M Billets Reports'!D144)),TRIM(MID('R.M Billets Reports'!D144,SEARCH("-",'R.M Billets Reports'!D144)+1,200)),""))&lt;&gt;"",IF(ISNUMBER(SEARCH("Party Name:-",'R.M Billets Reports'!D144)),TRIM('R.M Billets Reports'!F144),IF(ISNUMBER(SEARCH("Party Name-",'R.M Billets Reports'!D144)),TRIM(MID('R.M Billets Reports'!D144,SEARCH("-",'R.M Billets Reports'!D144)+1,200)),"")),IF(ISNUMBER(SEARCH("Party Name:-",'R.M Billets Reports'!D145)),TRIM('R.M Billets Reports'!F145),IF(ISNUMBER(SEARCH("Party Name-",'R.M Billets Reports'!D145)),TRIM(MID('R.M Billets Reports'!D145,SEARCH("-",'R.M Billets Reports'!D145)+1,200)),"")))="SHRI RADHE","SHREE RADHE",IF(IF(IF(ISNUMBER(SEARCH("Party Name:-",'R.M Billets Reports'!D144)),TRIM('R.M Billets Reports'!F144),IF(ISNUMBER(SEARCH("Party Name-",'R.M Billets Reports'!D144)),TRIM(MID('R.M Billets Reports'!D144,SEARCH("-",'R.M Billets Reports'!D144)+1,200)),""))&lt;&gt;"",IF(ISNUMBER(SEARCH("Party Name:-",'R.M Billets Reports'!D144)),TRIM('R.M Billets Reports'!F144),IF(ISNUMBER(SEARCH("Party Name-",'R.M Billets Reports'!D144)),TRIM(MID('R.M Billets Reports'!D144,SEARCH("-",'R.M Billets Reports'!D144)+1,200)),"")),IF(ISNUMBER(SEARCH("Party Name:-",'R.M Billets Reports'!D145)),TRIM('R.M Billets Reports'!F145),IF(ISNUMBER(SEARCH("Party Name-",'R.M Billets Reports'!D145)),TRIM(MID('R.M Billets Reports'!D145,SEARCH("-",'R.M Billets Reports'!D145)+1,200)),"")))="SHREE RADHE SHAKTI SPONGE AND POWER PVT. LTD.","SHREE RADHE",IF(IF(ISNUMBER(SEARCH("Party Name:-",'R.M Billets Reports'!D144)),TRIM('R.M Billets Reports'!F144),IF(ISNUMBER(SEARCH("Party Name-",'R.M Billets Reports'!D144)),TRIM(MID('R.M Billets Reports'!D144,SEARCH("-",'R.M Billets Reports'!D144)+1,200)),""))&lt;&gt;"",IF(ISNUMBER(SEARCH("Party Name:-",'R.M Billets Reports'!D144)),TRIM('R.M Billets Reports'!F144),IF(ISNUMBER(SEARCH("Party Name-",'R.M Billets Reports'!D144)),TRIM(MID('R.M Billets Reports'!D144,SEARCH("-",'R.M Billets Reports'!D144)+1,200)),"")),IF(ISNUMBER(SEARCH("Party Name:-",'R.M Billets Reports'!D145)),TRIM('R.M Billets Reports'!F145),IF(ISNUMBER(SEARCH("Party Name-",'R.M Billets Reports'!D145)),TRIM(MID('R.M Billets Reports'!D145,SEARCH("-",'R.M Billets Reports'!D145)+1,200)),"")))))),IF(ROW()=2,"",A144))</f>
      </c>
      <c r="B145">
        <f>IF(OR('R.M Billets Reports'!A144="Date-",'R.M Billets Reports'!A144="Date:-"),'R.M Billets Reports'!B144,IF(ROW()=2,"",B144))</f>
      </c>
      <c r="C145">
        <f>IF('R.M Billets Reports'!A144="V.No.",'R.M Billets Reports'!B144,IF(ROW()=2,"",C144))</f>
      </c>
      <c r="D145">
        <f>IF('R.M Billets Reports'!A144&lt;&gt;"",'R.M Billets Reports'!A144,IF(ROW()=2,"",D144))</f>
      </c>
      <c r="E145">
        <f>IF('R.M Billets Reports'!B144="","",TRIM('R.M Billets Reports'!B144))</f>
      </c>
      <c r="F145">
        <f>'R.M Billets Reports'!C144</f>
      </c>
      <c r="G145">
        <f>'R.M Billets Reports'!D144</f>
      </c>
      <c r="H145">
        <f>'R.M Billets Reports'!E144</f>
      </c>
      <c r="I145">
        <f>'R.M Billets Reports'!F144</f>
      </c>
      <c r="J145">
        <f>'R.M Billets Reports'!G144</f>
      </c>
      <c r="K145">
        <f>'R.M Billets Reports'!H144</f>
      </c>
      <c r="L145">
        <f>IF('R.M Billets Reports'!I144="","",'R.M Billets Reports'!I144)</f>
      </c>
      <c r="M145">
        <f t="shared" si="4"/>
      </c>
      <c r="N145">
        <f>IF('R.M Billets Reports'!J144="","",'R.M Billets Reports'!J144)</f>
      </c>
      <c r="O145">
        <f t="shared" si="5"/>
      </c>
      <c r="P145">
        <f>IF('R.M Billets Reports'!A144="SIZE",'R.M Billets Reports'!B144,P144)</f>
      </c>
    </row>
    <row r="146" spans="1:16" x14ac:dyDescent="0.25">
      <c r="A146">
        <f>IF(OR('R.M Billets Reports'!A145="Date-",'R.M Billets Reports'!A145="Date:-"),IF(IF(IF(ISNUMBER(SEARCH("Party Name:-",'R.M Billets Reports'!D145)),TRIM('R.M Billets Reports'!F145),IF(ISNUMBER(SEARCH("Party Name-",'R.M Billets Reports'!D145)),TRIM(MID('R.M Billets Reports'!D145,SEARCH("-",'R.M Billets Reports'!D145)+1,200)),""))&lt;&gt;"",IF(ISNUMBER(SEARCH("Party Name:-",'R.M Billets Reports'!D145)),TRIM('R.M Billets Reports'!F145),IF(ISNUMBER(SEARCH("Party Name-",'R.M Billets Reports'!D145)),TRIM(MID('R.M Billets Reports'!D145,SEARCH("-",'R.M Billets Reports'!D145)+1,200)),"")),IF(ISNUMBER(SEARCH("Party Name:-",'R.M Billets Reports'!D146)),TRIM('R.M Billets Reports'!F146),IF(ISNUMBER(SEARCH("Party Name-",'R.M Billets Reports'!D146)),TRIM(MID('R.M Billets Reports'!D146,SEARCH("-",'R.M Billets Reports'!D146)+1,200)),"")))="VRKP ISPAT PVT LTD","VRKP",IF(IF(IF(ISNUMBER(SEARCH("Party Name:-",'R.M Billets Reports'!D145)),TRIM('R.M Billets Reports'!F145),IF(ISNUMBER(SEARCH("Party Name-",'R.M Billets Reports'!D145)),TRIM(MID('R.M Billets Reports'!D145,SEARCH("-",'R.M Billets Reports'!D145)+1,200)),""))&lt;&gt;"",IF(ISNUMBER(SEARCH("Party Name:-",'R.M Billets Reports'!D145)),TRIM('R.M Billets Reports'!F145),IF(ISNUMBER(SEARCH("Party Name-",'R.M Billets Reports'!D145)),TRIM(MID('R.M Billets Reports'!D145,SEARCH("-",'R.M Billets Reports'!D145)+1,200)),"")),IF(ISNUMBER(SEARCH("Party Name:-",'R.M Billets Reports'!D146)),TRIM('R.M Billets Reports'!F146),IF(ISNUMBER(SEARCH("Party Name-",'R.M Billets Reports'!D146)),TRIM(MID('R.M Billets Reports'!D146,SEARCH("-",'R.M Billets Reports'!D146)+1,200)),"")))="SHRI RADHE","SHREE RADHE",IF(IF(IF(ISNUMBER(SEARCH("Party Name:-",'R.M Billets Reports'!D145)),TRIM('R.M Billets Reports'!F145),IF(ISNUMBER(SEARCH("Party Name-",'R.M Billets Reports'!D145)),TRIM(MID('R.M Billets Reports'!D145,SEARCH("-",'R.M Billets Reports'!D145)+1,200)),""))&lt;&gt;"",IF(ISNUMBER(SEARCH("Party Name:-",'R.M Billets Reports'!D145)),TRIM('R.M Billets Reports'!F145),IF(ISNUMBER(SEARCH("Party Name-",'R.M Billets Reports'!D145)),TRIM(MID('R.M Billets Reports'!D145,SEARCH("-",'R.M Billets Reports'!D145)+1,200)),"")),IF(ISNUMBER(SEARCH("Party Name:-",'R.M Billets Reports'!D146)),TRIM('R.M Billets Reports'!F146),IF(ISNUMBER(SEARCH("Party Name-",'R.M Billets Reports'!D146)),TRIM(MID('R.M Billets Reports'!D146,SEARCH("-",'R.M Billets Reports'!D146)+1,200)),"")))="SHREE RADHE SHAKTI SPONGE AND POWER PVT. LTD.","SHREE RADHE",IF(IF(ISNUMBER(SEARCH("Party Name:-",'R.M Billets Reports'!D145)),TRIM('R.M Billets Reports'!F145),IF(ISNUMBER(SEARCH("Party Name-",'R.M Billets Reports'!D145)),TRIM(MID('R.M Billets Reports'!D145,SEARCH("-",'R.M Billets Reports'!D145)+1,200)),""))&lt;&gt;"",IF(ISNUMBER(SEARCH("Party Name:-",'R.M Billets Reports'!D145)),TRIM('R.M Billets Reports'!F145),IF(ISNUMBER(SEARCH("Party Name-",'R.M Billets Reports'!D145)),TRIM(MID('R.M Billets Reports'!D145,SEARCH("-",'R.M Billets Reports'!D145)+1,200)),"")),IF(ISNUMBER(SEARCH("Party Name:-",'R.M Billets Reports'!D146)),TRIM('R.M Billets Reports'!F146),IF(ISNUMBER(SEARCH("Party Name-",'R.M Billets Reports'!D146)),TRIM(MID('R.M Billets Reports'!D146,SEARCH("-",'R.M Billets Reports'!D146)+1,200)),"")))))),IF(ROW()=2,"",A145))</f>
      </c>
      <c r="B146">
        <f>IF(OR('R.M Billets Reports'!A145="Date-",'R.M Billets Reports'!A145="Date:-"),'R.M Billets Reports'!B145,IF(ROW()=2,"",B145))</f>
      </c>
      <c r="C146">
        <f>IF('R.M Billets Reports'!A145="V.No.",'R.M Billets Reports'!B145,IF(ROW()=2,"",C145))</f>
      </c>
      <c r="D146">
        <f>IF('R.M Billets Reports'!A145&lt;&gt;"",'R.M Billets Reports'!A145,IF(ROW()=2,"",D145))</f>
      </c>
      <c r="E146">
        <f>IF('R.M Billets Reports'!B145="","",TRIM('R.M Billets Reports'!B145))</f>
      </c>
      <c r="F146">
        <f>'R.M Billets Reports'!C145</f>
      </c>
      <c r="G146">
        <f>'R.M Billets Reports'!D145</f>
      </c>
      <c r="H146">
        <f>'R.M Billets Reports'!E145</f>
      </c>
      <c r="I146">
        <f>'R.M Billets Reports'!F145</f>
      </c>
      <c r="J146">
        <f>'R.M Billets Reports'!G145</f>
      </c>
      <c r="K146">
        <f>'R.M Billets Reports'!H145</f>
      </c>
      <c r="L146">
        <f>IF('R.M Billets Reports'!I145="","",'R.M Billets Reports'!I145)</f>
      </c>
      <c r="M146">
        <f t="shared" si="4"/>
      </c>
      <c r="N146">
        <f>IF('R.M Billets Reports'!J145="","",'R.M Billets Reports'!J145)</f>
      </c>
      <c r="O146">
        <f t="shared" si="5"/>
      </c>
      <c r="P146">
        <f>IF('R.M Billets Reports'!A145="SIZE",'R.M Billets Reports'!B145,P145)</f>
      </c>
    </row>
    <row r="147" spans="1:16" x14ac:dyDescent="0.25">
      <c r="A147">
        <f>IF(OR('R.M Billets Reports'!A146="Date-",'R.M Billets Reports'!A146="Date:-"),IF(IF(IF(ISNUMBER(SEARCH("Party Name:-",'R.M Billets Reports'!D146)),TRIM('R.M Billets Reports'!F146),IF(ISNUMBER(SEARCH("Party Name-",'R.M Billets Reports'!D146)),TRIM(MID('R.M Billets Reports'!D146,SEARCH("-",'R.M Billets Reports'!D146)+1,200)),""))&lt;&gt;"",IF(ISNUMBER(SEARCH("Party Name:-",'R.M Billets Reports'!D146)),TRIM('R.M Billets Reports'!F146),IF(ISNUMBER(SEARCH("Party Name-",'R.M Billets Reports'!D146)),TRIM(MID('R.M Billets Reports'!D146,SEARCH("-",'R.M Billets Reports'!D146)+1,200)),"")),IF(ISNUMBER(SEARCH("Party Name:-",'R.M Billets Reports'!D147)),TRIM('R.M Billets Reports'!F147),IF(ISNUMBER(SEARCH("Party Name-",'R.M Billets Reports'!D147)),TRIM(MID('R.M Billets Reports'!D147,SEARCH("-",'R.M Billets Reports'!D147)+1,200)),"")))="VRKP ISPAT PVT LTD","VRKP",IF(IF(IF(ISNUMBER(SEARCH("Party Name:-",'R.M Billets Reports'!D146)),TRIM('R.M Billets Reports'!F146),IF(ISNUMBER(SEARCH("Party Name-",'R.M Billets Reports'!D146)),TRIM(MID('R.M Billets Reports'!D146,SEARCH("-",'R.M Billets Reports'!D146)+1,200)),""))&lt;&gt;"",IF(ISNUMBER(SEARCH("Party Name:-",'R.M Billets Reports'!D146)),TRIM('R.M Billets Reports'!F146),IF(ISNUMBER(SEARCH("Party Name-",'R.M Billets Reports'!D146)),TRIM(MID('R.M Billets Reports'!D146,SEARCH("-",'R.M Billets Reports'!D146)+1,200)),"")),IF(ISNUMBER(SEARCH("Party Name:-",'R.M Billets Reports'!D147)),TRIM('R.M Billets Reports'!F147),IF(ISNUMBER(SEARCH("Party Name-",'R.M Billets Reports'!D147)),TRIM(MID('R.M Billets Reports'!D147,SEARCH("-",'R.M Billets Reports'!D147)+1,200)),"")))="SHRI RADHE","SHREE RADHE",IF(IF(IF(ISNUMBER(SEARCH("Party Name:-",'R.M Billets Reports'!D146)),TRIM('R.M Billets Reports'!F146),IF(ISNUMBER(SEARCH("Party Name-",'R.M Billets Reports'!D146)),TRIM(MID('R.M Billets Reports'!D146,SEARCH("-",'R.M Billets Reports'!D146)+1,200)),""))&lt;&gt;"",IF(ISNUMBER(SEARCH("Party Name:-",'R.M Billets Reports'!D146)),TRIM('R.M Billets Reports'!F146),IF(ISNUMBER(SEARCH("Party Name-",'R.M Billets Reports'!D146)),TRIM(MID('R.M Billets Reports'!D146,SEARCH("-",'R.M Billets Reports'!D146)+1,200)),"")),IF(ISNUMBER(SEARCH("Party Name:-",'R.M Billets Reports'!D147)),TRIM('R.M Billets Reports'!F147),IF(ISNUMBER(SEARCH("Party Name-",'R.M Billets Reports'!D147)),TRIM(MID('R.M Billets Reports'!D147,SEARCH("-",'R.M Billets Reports'!D147)+1,200)),"")))="SHREE RADHE SHAKTI SPONGE AND POWER PVT. LTD.","SHREE RADHE",IF(IF(ISNUMBER(SEARCH("Party Name:-",'R.M Billets Reports'!D146)),TRIM('R.M Billets Reports'!F146),IF(ISNUMBER(SEARCH("Party Name-",'R.M Billets Reports'!D146)),TRIM(MID('R.M Billets Reports'!D146,SEARCH("-",'R.M Billets Reports'!D146)+1,200)),""))&lt;&gt;"",IF(ISNUMBER(SEARCH("Party Name:-",'R.M Billets Reports'!D146)),TRIM('R.M Billets Reports'!F146),IF(ISNUMBER(SEARCH("Party Name-",'R.M Billets Reports'!D146)),TRIM(MID('R.M Billets Reports'!D146,SEARCH("-",'R.M Billets Reports'!D146)+1,200)),"")),IF(ISNUMBER(SEARCH("Party Name:-",'R.M Billets Reports'!D147)),TRIM('R.M Billets Reports'!F147),IF(ISNUMBER(SEARCH("Party Name-",'R.M Billets Reports'!D147)),TRIM(MID('R.M Billets Reports'!D147,SEARCH("-",'R.M Billets Reports'!D147)+1,200)),"")))))),IF(ROW()=2,"",A146))</f>
      </c>
      <c r="B147">
        <f>IF(OR('R.M Billets Reports'!A146="Date-",'R.M Billets Reports'!A146="Date:-"),'R.M Billets Reports'!B146,IF(ROW()=2,"",B146))</f>
      </c>
      <c r="C147">
        <f>IF('R.M Billets Reports'!A146="V.No.",'R.M Billets Reports'!B146,IF(ROW()=2,"",C146))</f>
      </c>
      <c r="D147">
        <f>IF('R.M Billets Reports'!A146&lt;&gt;"",'R.M Billets Reports'!A146,IF(ROW()=2,"",D146))</f>
      </c>
      <c r="E147">
        <f>IF('R.M Billets Reports'!B146="","",TRIM('R.M Billets Reports'!B146))</f>
      </c>
      <c r="F147">
        <f>'R.M Billets Reports'!C146</f>
      </c>
      <c r="G147">
        <f>'R.M Billets Reports'!D146</f>
      </c>
      <c r="H147">
        <f>'R.M Billets Reports'!E146</f>
      </c>
      <c r="I147">
        <f>'R.M Billets Reports'!F146</f>
      </c>
      <c r="J147">
        <f>'R.M Billets Reports'!G146</f>
      </c>
      <c r="K147">
        <f>'R.M Billets Reports'!H146</f>
      </c>
      <c r="L147">
        <f>IF('R.M Billets Reports'!I146="","",'R.M Billets Reports'!I146)</f>
      </c>
      <c r="M147">
        <f t="shared" si="4"/>
      </c>
      <c r="N147">
        <f>IF('R.M Billets Reports'!J146="","",'R.M Billets Reports'!J146)</f>
      </c>
      <c r="O147">
        <f t="shared" si="5"/>
      </c>
      <c r="P147">
        <f>IF('R.M Billets Reports'!A146="SIZE",'R.M Billets Reports'!B146,P146)</f>
      </c>
    </row>
    <row r="148" spans="1:16" x14ac:dyDescent="0.25">
      <c r="A148">
        <f>IF(OR('R.M Billets Reports'!A147="Date-",'R.M Billets Reports'!A147="Date:-"),IF(IF(IF(ISNUMBER(SEARCH("Party Name:-",'R.M Billets Reports'!D147)),TRIM('R.M Billets Reports'!F147),IF(ISNUMBER(SEARCH("Party Name-",'R.M Billets Reports'!D147)),TRIM(MID('R.M Billets Reports'!D147,SEARCH("-",'R.M Billets Reports'!D147)+1,200)),""))&lt;&gt;"",IF(ISNUMBER(SEARCH("Party Name:-",'R.M Billets Reports'!D147)),TRIM('R.M Billets Reports'!F147),IF(ISNUMBER(SEARCH("Party Name-",'R.M Billets Reports'!D147)),TRIM(MID('R.M Billets Reports'!D147,SEARCH("-",'R.M Billets Reports'!D147)+1,200)),"")),IF(ISNUMBER(SEARCH("Party Name:-",'R.M Billets Reports'!D148)),TRIM('R.M Billets Reports'!F148),IF(ISNUMBER(SEARCH("Party Name-",'R.M Billets Reports'!D148)),TRIM(MID('R.M Billets Reports'!D148,SEARCH("-",'R.M Billets Reports'!D148)+1,200)),"")))="VRKP ISPAT PVT LTD","VRKP",IF(IF(IF(ISNUMBER(SEARCH("Party Name:-",'R.M Billets Reports'!D147)),TRIM('R.M Billets Reports'!F147),IF(ISNUMBER(SEARCH("Party Name-",'R.M Billets Reports'!D147)),TRIM(MID('R.M Billets Reports'!D147,SEARCH("-",'R.M Billets Reports'!D147)+1,200)),""))&lt;&gt;"",IF(ISNUMBER(SEARCH("Party Name:-",'R.M Billets Reports'!D147)),TRIM('R.M Billets Reports'!F147),IF(ISNUMBER(SEARCH("Party Name-",'R.M Billets Reports'!D147)),TRIM(MID('R.M Billets Reports'!D147,SEARCH("-",'R.M Billets Reports'!D147)+1,200)),"")),IF(ISNUMBER(SEARCH("Party Name:-",'R.M Billets Reports'!D148)),TRIM('R.M Billets Reports'!F148),IF(ISNUMBER(SEARCH("Party Name-",'R.M Billets Reports'!D148)),TRIM(MID('R.M Billets Reports'!D148,SEARCH("-",'R.M Billets Reports'!D148)+1,200)),"")))="SHRI RADHE","SHREE RADHE",IF(IF(IF(ISNUMBER(SEARCH("Party Name:-",'R.M Billets Reports'!D147)),TRIM('R.M Billets Reports'!F147),IF(ISNUMBER(SEARCH("Party Name-",'R.M Billets Reports'!D147)),TRIM(MID('R.M Billets Reports'!D147,SEARCH("-",'R.M Billets Reports'!D147)+1,200)),""))&lt;&gt;"",IF(ISNUMBER(SEARCH("Party Name:-",'R.M Billets Reports'!D147)),TRIM('R.M Billets Reports'!F147),IF(ISNUMBER(SEARCH("Party Name-",'R.M Billets Reports'!D147)),TRIM(MID('R.M Billets Reports'!D147,SEARCH("-",'R.M Billets Reports'!D147)+1,200)),"")),IF(ISNUMBER(SEARCH("Party Name:-",'R.M Billets Reports'!D148)),TRIM('R.M Billets Reports'!F148),IF(ISNUMBER(SEARCH("Party Name-",'R.M Billets Reports'!D148)),TRIM(MID('R.M Billets Reports'!D148,SEARCH("-",'R.M Billets Reports'!D148)+1,200)),"")))="SHREE RADHE SHAKTI SPONGE AND POWER PVT. LTD.","SHREE RADHE",IF(IF(ISNUMBER(SEARCH("Party Name:-",'R.M Billets Reports'!D147)),TRIM('R.M Billets Reports'!F147),IF(ISNUMBER(SEARCH("Party Name-",'R.M Billets Reports'!D147)),TRIM(MID('R.M Billets Reports'!D147,SEARCH("-",'R.M Billets Reports'!D147)+1,200)),""))&lt;&gt;"",IF(ISNUMBER(SEARCH("Party Name:-",'R.M Billets Reports'!D147)),TRIM('R.M Billets Reports'!F147),IF(ISNUMBER(SEARCH("Party Name-",'R.M Billets Reports'!D147)),TRIM(MID('R.M Billets Reports'!D147,SEARCH("-",'R.M Billets Reports'!D147)+1,200)),"")),IF(ISNUMBER(SEARCH("Party Name:-",'R.M Billets Reports'!D148)),TRIM('R.M Billets Reports'!F148),IF(ISNUMBER(SEARCH("Party Name-",'R.M Billets Reports'!D148)),TRIM(MID('R.M Billets Reports'!D148,SEARCH("-",'R.M Billets Reports'!D148)+1,200)),"")))))),IF(ROW()=2,"",A147))</f>
      </c>
      <c r="B148">
        <f>IF(OR('R.M Billets Reports'!A147="Date-",'R.M Billets Reports'!A147="Date:-"),'R.M Billets Reports'!B147,IF(ROW()=2,"",B147))</f>
      </c>
      <c r="C148">
        <f>IF('R.M Billets Reports'!A147="V.No.",'R.M Billets Reports'!B147,IF(ROW()=2,"",C147))</f>
      </c>
      <c r="D148">
        <f>IF('R.M Billets Reports'!A147&lt;&gt;"",'R.M Billets Reports'!A147,IF(ROW()=2,"",D147))</f>
      </c>
      <c r="E148">
        <f>IF('R.M Billets Reports'!B147="","",TRIM('R.M Billets Reports'!B147))</f>
      </c>
      <c r="F148">
        <f>'R.M Billets Reports'!C147</f>
      </c>
      <c r="G148">
        <f>'R.M Billets Reports'!D147</f>
      </c>
      <c r="H148">
        <f>'R.M Billets Reports'!E147</f>
      </c>
      <c r="I148">
        <f>'R.M Billets Reports'!F147</f>
      </c>
      <c r="J148">
        <f>'R.M Billets Reports'!G147</f>
      </c>
      <c r="K148">
        <f>'R.M Billets Reports'!H147</f>
      </c>
      <c r="L148">
        <f>IF('R.M Billets Reports'!I147="","",'R.M Billets Reports'!I147)</f>
      </c>
      <c r="M148">
        <f t="shared" si="4"/>
      </c>
      <c r="N148">
        <f>IF('R.M Billets Reports'!J147="","",'R.M Billets Reports'!J147)</f>
      </c>
      <c r="O148">
        <f t="shared" si="5"/>
      </c>
      <c r="P148">
        <f>IF('R.M Billets Reports'!A147="SIZE",'R.M Billets Reports'!B147,P147)</f>
      </c>
    </row>
    <row r="149" spans="1:16" x14ac:dyDescent="0.25">
      <c r="A149">
        <f>IF(OR('R.M Billets Reports'!A148="Date-",'R.M Billets Reports'!A148="Date:-"),IF(IF(IF(ISNUMBER(SEARCH("Party Name:-",'R.M Billets Reports'!D148)),TRIM('R.M Billets Reports'!F148),IF(ISNUMBER(SEARCH("Party Name-",'R.M Billets Reports'!D148)),TRIM(MID('R.M Billets Reports'!D148,SEARCH("-",'R.M Billets Reports'!D148)+1,200)),""))&lt;&gt;"",IF(ISNUMBER(SEARCH("Party Name:-",'R.M Billets Reports'!D148)),TRIM('R.M Billets Reports'!F148),IF(ISNUMBER(SEARCH("Party Name-",'R.M Billets Reports'!D148)),TRIM(MID('R.M Billets Reports'!D148,SEARCH("-",'R.M Billets Reports'!D148)+1,200)),"")),IF(ISNUMBER(SEARCH("Party Name:-",'R.M Billets Reports'!D149)),TRIM('R.M Billets Reports'!F149),IF(ISNUMBER(SEARCH("Party Name-",'R.M Billets Reports'!D149)),TRIM(MID('R.M Billets Reports'!D149,SEARCH("-",'R.M Billets Reports'!D149)+1,200)),"")))="VRKP ISPAT PVT LTD","VRKP",IF(IF(IF(ISNUMBER(SEARCH("Party Name:-",'R.M Billets Reports'!D148)),TRIM('R.M Billets Reports'!F148),IF(ISNUMBER(SEARCH("Party Name-",'R.M Billets Reports'!D148)),TRIM(MID('R.M Billets Reports'!D148,SEARCH("-",'R.M Billets Reports'!D148)+1,200)),""))&lt;&gt;"",IF(ISNUMBER(SEARCH("Party Name:-",'R.M Billets Reports'!D148)),TRIM('R.M Billets Reports'!F148),IF(ISNUMBER(SEARCH("Party Name-",'R.M Billets Reports'!D148)),TRIM(MID('R.M Billets Reports'!D148,SEARCH("-",'R.M Billets Reports'!D148)+1,200)),"")),IF(ISNUMBER(SEARCH("Party Name:-",'R.M Billets Reports'!D149)),TRIM('R.M Billets Reports'!F149),IF(ISNUMBER(SEARCH("Party Name-",'R.M Billets Reports'!D149)),TRIM(MID('R.M Billets Reports'!D149,SEARCH("-",'R.M Billets Reports'!D149)+1,200)),"")))="SHRI RADHE","SHREE RADHE",IF(IF(IF(ISNUMBER(SEARCH("Party Name:-",'R.M Billets Reports'!D148)),TRIM('R.M Billets Reports'!F148),IF(ISNUMBER(SEARCH("Party Name-",'R.M Billets Reports'!D148)),TRIM(MID('R.M Billets Reports'!D148,SEARCH("-",'R.M Billets Reports'!D148)+1,200)),""))&lt;&gt;"",IF(ISNUMBER(SEARCH("Party Name:-",'R.M Billets Reports'!D148)),TRIM('R.M Billets Reports'!F148),IF(ISNUMBER(SEARCH("Party Name-",'R.M Billets Reports'!D148)),TRIM(MID('R.M Billets Reports'!D148,SEARCH("-",'R.M Billets Reports'!D148)+1,200)),"")),IF(ISNUMBER(SEARCH("Party Name:-",'R.M Billets Reports'!D149)),TRIM('R.M Billets Reports'!F149),IF(ISNUMBER(SEARCH("Party Name-",'R.M Billets Reports'!D149)),TRIM(MID('R.M Billets Reports'!D149,SEARCH("-",'R.M Billets Reports'!D149)+1,200)),"")))="SHREE RADHE SHAKTI SPONGE AND POWER PVT. LTD.","SHREE RADHE",IF(IF(ISNUMBER(SEARCH("Party Name:-",'R.M Billets Reports'!D148)),TRIM('R.M Billets Reports'!F148),IF(ISNUMBER(SEARCH("Party Name-",'R.M Billets Reports'!D148)),TRIM(MID('R.M Billets Reports'!D148,SEARCH("-",'R.M Billets Reports'!D148)+1,200)),""))&lt;&gt;"",IF(ISNUMBER(SEARCH("Party Name:-",'R.M Billets Reports'!D148)),TRIM('R.M Billets Reports'!F148),IF(ISNUMBER(SEARCH("Party Name-",'R.M Billets Reports'!D148)),TRIM(MID('R.M Billets Reports'!D148,SEARCH("-",'R.M Billets Reports'!D148)+1,200)),"")),IF(ISNUMBER(SEARCH("Party Name:-",'R.M Billets Reports'!D149)),TRIM('R.M Billets Reports'!F149),IF(ISNUMBER(SEARCH("Party Name-",'R.M Billets Reports'!D149)),TRIM(MID('R.M Billets Reports'!D149,SEARCH("-",'R.M Billets Reports'!D149)+1,200)),"")))))),IF(ROW()=2,"",A148))</f>
      </c>
      <c r="B149">
        <f>IF(OR('R.M Billets Reports'!A148="Date-",'R.M Billets Reports'!A148="Date:-"),'R.M Billets Reports'!B148,IF(ROW()=2,"",B148))</f>
      </c>
      <c r="C149">
        <f>IF('R.M Billets Reports'!A148="V.No.",'R.M Billets Reports'!B148,IF(ROW()=2,"",C148))</f>
      </c>
      <c r="D149">
        <f>IF('R.M Billets Reports'!A148&lt;&gt;"",'R.M Billets Reports'!A148,IF(ROW()=2,"",D148))</f>
      </c>
      <c r="E149">
        <f>IF('R.M Billets Reports'!B148="","",TRIM('R.M Billets Reports'!B148))</f>
      </c>
      <c r="F149">
        <f>'R.M Billets Reports'!C148</f>
      </c>
      <c r="G149">
        <f>'R.M Billets Reports'!D148</f>
      </c>
      <c r="H149">
        <f>'R.M Billets Reports'!E148</f>
      </c>
      <c r="I149">
        <f>'R.M Billets Reports'!F148</f>
      </c>
      <c r="J149">
        <f>'R.M Billets Reports'!G148</f>
      </c>
      <c r="K149">
        <f>'R.M Billets Reports'!H148</f>
      </c>
      <c r="L149">
        <f>IF('R.M Billets Reports'!I148="","",'R.M Billets Reports'!I148)</f>
      </c>
      <c r="M149">
        <f t="shared" si="4"/>
      </c>
      <c r="N149">
        <f>IF('R.M Billets Reports'!J148="","",'R.M Billets Reports'!J148)</f>
      </c>
      <c r="O149">
        <f t="shared" si="5"/>
      </c>
      <c r="P149">
        <f>IF('R.M Billets Reports'!A148="SIZE",'R.M Billets Reports'!B148,P148)</f>
      </c>
    </row>
    <row r="150" spans="1:16" x14ac:dyDescent="0.25">
      <c r="A150">
        <f>IF(OR('R.M Billets Reports'!A149="Date-",'R.M Billets Reports'!A149="Date:-"),IF(IF(IF(ISNUMBER(SEARCH("Party Name:-",'R.M Billets Reports'!D149)),TRIM('R.M Billets Reports'!F149),IF(ISNUMBER(SEARCH("Party Name-",'R.M Billets Reports'!D149)),TRIM(MID('R.M Billets Reports'!D149,SEARCH("-",'R.M Billets Reports'!D149)+1,200)),""))&lt;&gt;"",IF(ISNUMBER(SEARCH("Party Name:-",'R.M Billets Reports'!D149)),TRIM('R.M Billets Reports'!F149),IF(ISNUMBER(SEARCH("Party Name-",'R.M Billets Reports'!D149)),TRIM(MID('R.M Billets Reports'!D149,SEARCH("-",'R.M Billets Reports'!D149)+1,200)),"")),IF(ISNUMBER(SEARCH("Party Name:-",'R.M Billets Reports'!D150)),TRIM('R.M Billets Reports'!F150),IF(ISNUMBER(SEARCH("Party Name-",'R.M Billets Reports'!D150)),TRIM(MID('R.M Billets Reports'!D150,SEARCH("-",'R.M Billets Reports'!D150)+1,200)),"")))="VRKP ISPAT PVT LTD","VRKP",IF(IF(IF(ISNUMBER(SEARCH("Party Name:-",'R.M Billets Reports'!D149)),TRIM('R.M Billets Reports'!F149),IF(ISNUMBER(SEARCH("Party Name-",'R.M Billets Reports'!D149)),TRIM(MID('R.M Billets Reports'!D149,SEARCH("-",'R.M Billets Reports'!D149)+1,200)),""))&lt;&gt;"",IF(ISNUMBER(SEARCH("Party Name:-",'R.M Billets Reports'!D149)),TRIM('R.M Billets Reports'!F149),IF(ISNUMBER(SEARCH("Party Name-",'R.M Billets Reports'!D149)),TRIM(MID('R.M Billets Reports'!D149,SEARCH("-",'R.M Billets Reports'!D149)+1,200)),"")),IF(ISNUMBER(SEARCH("Party Name:-",'R.M Billets Reports'!D150)),TRIM('R.M Billets Reports'!F150),IF(ISNUMBER(SEARCH("Party Name-",'R.M Billets Reports'!D150)),TRIM(MID('R.M Billets Reports'!D150,SEARCH("-",'R.M Billets Reports'!D150)+1,200)),"")))="SHRI RADHE","SHREE RADHE",IF(IF(IF(ISNUMBER(SEARCH("Party Name:-",'R.M Billets Reports'!D149)),TRIM('R.M Billets Reports'!F149),IF(ISNUMBER(SEARCH("Party Name-",'R.M Billets Reports'!D149)),TRIM(MID('R.M Billets Reports'!D149,SEARCH("-",'R.M Billets Reports'!D149)+1,200)),""))&lt;&gt;"",IF(ISNUMBER(SEARCH("Party Name:-",'R.M Billets Reports'!D149)),TRIM('R.M Billets Reports'!F149),IF(ISNUMBER(SEARCH("Party Name-",'R.M Billets Reports'!D149)),TRIM(MID('R.M Billets Reports'!D149,SEARCH("-",'R.M Billets Reports'!D149)+1,200)),"")),IF(ISNUMBER(SEARCH("Party Name:-",'R.M Billets Reports'!D150)),TRIM('R.M Billets Reports'!F150),IF(ISNUMBER(SEARCH("Party Name-",'R.M Billets Reports'!D150)),TRIM(MID('R.M Billets Reports'!D150,SEARCH("-",'R.M Billets Reports'!D150)+1,200)),"")))="SHREE RADHE SHAKTI SPONGE AND POWER PVT. LTD.","SHREE RADHE",IF(IF(ISNUMBER(SEARCH("Party Name:-",'R.M Billets Reports'!D149)),TRIM('R.M Billets Reports'!F149),IF(ISNUMBER(SEARCH("Party Name-",'R.M Billets Reports'!D149)),TRIM(MID('R.M Billets Reports'!D149,SEARCH("-",'R.M Billets Reports'!D149)+1,200)),""))&lt;&gt;"",IF(ISNUMBER(SEARCH("Party Name:-",'R.M Billets Reports'!D149)),TRIM('R.M Billets Reports'!F149),IF(ISNUMBER(SEARCH("Party Name-",'R.M Billets Reports'!D149)),TRIM(MID('R.M Billets Reports'!D149,SEARCH("-",'R.M Billets Reports'!D149)+1,200)),"")),IF(ISNUMBER(SEARCH("Party Name:-",'R.M Billets Reports'!D150)),TRIM('R.M Billets Reports'!F150),IF(ISNUMBER(SEARCH("Party Name-",'R.M Billets Reports'!D150)),TRIM(MID('R.M Billets Reports'!D150,SEARCH("-",'R.M Billets Reports'!D150)+1,200)),"")))))),IF(ROW()=2,"",A149))</f>
      </c>
      <c r="B150">
        <f>IF(OR('R.M Billets Reports'!A149="Date-",'R.M Billets Reports'!A149="Date:-"),'R.M Billets Reports'!B149,IF(ROW()=2,"",B149))</f>
      </c>
      <c r="C150">
        <f>IF('R.M Billets Reports'!A149="V.No.",'R.M Billets Reports'!B149,IF(ROW()=2,"",C149))</f>
      </c>
      <c r="D150">
        <f>IF('R.M Billets Reports'!A149&lt;&gt;"",'R.M Billets Reports'!A149,IF(ROW()=2,"",D149))</f>
      </c>
      <c r="E150">
        <f>IF('R.M Billets Reports'!B149="","",TRIM('R.M Billets Reports'!B149))</f>
      </c>
      <c r="F150">
        <f>'R.M Billets Reports'!C149</f>
      </c>
      <c r="G150">
        <f>'R.M Billets Reports'!D149</f>
      </c>
      <c r="H150">
        <f>'R.M Billets Reports'!E149</f>
      </c>
      <c r="I150">
        <f>'R.M Billets Reports'!F149</f>
      </c>
      <c r="J150">
        <f>'R.M Billets Reports'!G149</f>
      </c>
      <c r="K150">
        <f>'R.M Billets Reports'!H149</f>
      </c>
      <c r="L150">
        <f>IF('R.M Billets Reports'!I149="","",'R.M Billets Reports'!I149)</f>
      </c>
      <c r="M150">
        <f t="shared" si="4"/>
      </c>
      <c r="N150">
        <f>IF('R.M Billets Reports'!J149="","",'R.M Billets Reports'!J149)</f>
      </c>
      <c r="O150">
        <f t="shared" si="5"/>
      </c>
      <c r="P150">
        <f>IF('R.M Billets Reports'!A149="SIZE",'R.M Billets Reports'!B149,P149)</f>
      </c>
    </row>
    <row r="151" spans="1:16" x14ac:dyDescent="0.25">
      <c r="A151">
        <f>IF(OR('R.M Billets Reports'!A150="Date-",'R.M Billets Reports'!A150="Date:-"),IF(IF(IF(ISNUMBER(SEARCH("Party Name:-",'R.M Billets Reports'!D150)),TRIM('R.M Billets Reports'!F150),IF(ISNUMBER(SEARCH("Party Name-",'R.M Billets Reports'!D150)),TRIM(MID('R.M Billets Reports'!D150,SEARCH("-",'R.M Billets Reports'!D150)+1,200)),""))&lt;&gt;"",IF(ISNUMBER(SEARCH("Party Name:-",'R.M Billets Reports'!D150)),TRIM('R.M Billets Reports'!F150),IF(ISNUMBER(SEARCH("Party Name-",'R.M Billets Reports'!D150)),TRIM(MID('R.M Billets Reports'!D150,SEARCH("-",'R.M Billets Reports'!D150)+1,200)),"")),IF(ISNUMBER(SEARCH("Party Name:-",'R.M Billets Reports'!D151)),TRIM('R.M Billets Reports'!F151),IF(ISNUMBER(SEARCH("Party Name-",'R.M Billets Reports'!D151)),TRIM(MID('R.M Billets Reports'!D151,SEARCH("-",'R.M Billets Reports'!D151)+1,200)),"")))="VRKP ISPAT PVT LTD","VRKP",IF(IF(IF(ISNUMBER(SEARCH("Party Name:-",'R.M Billets Reports'!D150)),TRIM('R.M Billets Reports'!F150),IF(ISNUMBER(SEARCH("Party Name-",'R.M Billets Reports'!D150)),TRIM(MID('R.M Billets Reports'!D150,SEARCH("-",'R.M Billets Reports'!D150)+1,200)),""))&lt;&gt;"",IF(ISNUMBER(SEARCH("Party Name:-",'R.M Billets Reports'!D150)),TRIM('R.M Billets Reports'!F150),IF(ISNUMBER(SEARCH("Party Name-",'R.M Billets Reports'!D150)),TRIM(MID('R.M Billets Reports'!D150,SEARCH("-",'R.M Billets Reports'!D150)+1,200)),"")),IF(ISNUMBER(SEARCH("Party Name:-",'R.M Billets Reports'!D151)),TRIM('R.M Billets Reports'!F151),IF(ISNUMBER(SEARCH("Party Name-",'R.M Billets Reports'!D151)),TRIM(MID('R.M Billets Reports'!D151,SEARCH("-",'R.M Billets Reports'!D151)+1,200)),"")))="SHRI RADHE","SHREE RADHE",IF(IF(IF(ISNUMBER(SEARCH("Party Name:-",'R.M Billets Reports'!D150)),TRIM('R.M Billets Reports'!F150),IF(ISNUMBER(SEARCH("Party Name-",'R.M Billets Reports'!D150)),TRIM(MID('R.M Billets Reports'!D150,SEARCH("-",'R.M Billets Reports'!D150)+1,200)),""))&lt;&gt;"",IF(ISNUMBER(SEARCH("Party Name:-",'R.M Billets Reports'!D150)),TRIM('R.M Billets Reports'!F150),IF(ISNUMBER(SEARCH("Party Name-",'R.M Billets Reports'!D150)),TRIM(MID('R.M Billets Reports'!D150,SEARCH("-",'R.M Billets Reports'!D150)+1,200)),"")),IF(ISNUMBER(SEARCH("Party Name:-",'R.M Billets Reports'!D151)),TRIM('R.M Billets Reports'!F151),IF(ISNUMBER(SEARCH("Party Name-",'R.M Billets Reports'!D151)),TRIM(MID('R.M Billets Reports'!D151,SEARCH("-",'R.M Billets Reports'!D151)+1,200)),"")))="SHREE RADHE SHAKTI SPONGE AND POWER PVT. LTD.","SHREE RADHE",IF(IF(ISNUMBER(SEARCH("Party Name:-",'R.M Billets Reports'!D150)),TRIM('R.M Billets Reports'!F150),IF(ISNUMBER(SEARCH("Party Name-",'R.M Billets Reports'!D150)),TRIM(MID('R.M Billets Reports'!D150,SEARCH("-",'R.M Billets Reports'!D150)+1,200)),""))&lt;&gt;"",IF(ISNUMBER(SEARCH("Party Name:-",'R.M Billets Reports'!D150)),TRIM('R.M Billets Reports'!F150),IF(ISNUMBER(SEARCH("Party Name-",'R.M Billets Reports'!D150)),TRIM(MID('R.M Billets Reports'!D150,SEARCH("-",'R.M Billets Reports'!D150)+1,200)),"")),IF(ISNUMBER(SEARCH("Party Name:-",'R.M Billets Reports'!D151)),TRIM('R.M Billets Reports'!F151),IF(ISNUMBER(SEARCH("Party Name-",'R.M Billets Reports'!D151)),TRIM(MID('R.M Billets Reports'!D151,SEARCH("-",'R.M Billets Reports'!D151)+1,200)),"")))))),IF(ROW()=2,"",A150))</f>
      </c>
      <c r="B151">
        <f>IF(OR('R.M Billets Reports'!A150="Date-",'R.M Billets Reports'!A150="Date:-"),'R.M Billets Reports'!B150,IF(ROW()=2,"",B150))</f>
      </c>
      <c r="C151">
        <f>IF('R.M Billets Reports'!A150="V.No.",'R.M Billets Reports'!B150,IF(ROW()=2,"",C150))</f>
      </c>
      <c r="D151">
        <f>IF('R.M Billets Reports'!A150&lt;&gt;"",'R.M Billets Reports'!A150,IF(ROW()=2,"",D150))</f>
      </c>
      <c r="E151">
        <f>IF('R.M Billets Reports'!B150="","",TRIM('R.M Billets Reports'!B150))</f>
      </c>
      <c r="F151">
        <f>'R.M Billets Reports'!C150</f>
      </c>
      <c r="G151">
        <f>'R.M Billets Reports'!D150</f>
      </c>
      <c r="H151">
        <f>'R.M Billets Reports'!E150</f>
      </c>
      <c r="I151">
        <f>'R.M Billets Reports'!F150</f>
      </c>
      <c r="J151">
        <f>'R.M Billets Reports'!G150</f>
      </c>
      <c r="K151">
        <f>'R.M Billets Reports'!H150</f>
      </c>
      <c r="L151">
        <f>IF('R.M Billets Reports'!I150="","",'R.M Billets Reports'!I150)</f>
      </c>
      <c r="M151">
        <f t="shared" si="4"/>
      </c>
      <c r="N151">
        <f>IF('R.M Billets Reports'!J150="","",'R.M Billets Reports'!J150)</f>
      </c>
      <c r="O151">
        <f t="shared" si="5"/>
      </c>
      <c r="P151">
        <f>IF('R.M Billets Reports'!A150="SIZE",'R.M Billets Reports'!B150,P150)</f>
      </c>
    </row>
    <row r="152" spans="1:16" x14ac:dyDescent="0.25">
      <c r="A152">
        <f>IF(OR('R.M Billets Reports'!A151="Date-",'R.M Billets Reports'!A151="Date:-"),IF(IF(IF(ISNUMBER(SEARCH("Party Name:-",'R.M Billets Reports'!D151)),TRIM('R.M Billets Reports'!F151),IF(ISNUMBER(SEARCH("Party Name-",'R.M Billets Reports'!D151)),TRIM(MID('R.M Billets Reports'!D151,SEARCH("-",'R.M Billets Reports'!D151)+1,200)),""))&lt;&gt;"",IF(ISNUMBER(SEARCH("Party Name:-",'R.M Billets Reports'!D151)),TRIM('R.M Billets Reports'!F151),IF(ISNUMBER(SEARCH("Party Name-",'R.M Billets Reports'!D151)),TRIM(MID('R.M Billets Reports'!D151,SEARCH("-",'R.M Billets Reports'!D151)+1,200)),"")),IF(ISNUMBER(SEARCH("Party Name:-",'R.M Billets Reports'!D152)),TRIM('R.M Billets Reports'!F152),IF(ISNUMBER(SEARCH("Party Name-",'R.M Billets Reports'!D152)),TRIM(MID('R.M Billets Reports'!D152,SEARCH("-",'R.M Billets Reports'!D152)+1,200)),"")))="VRKP ISPAT PVT LTD","VRKP",IF(IF(IF(ISNUMBER(SEARCH("Party Name:-",'R.M Billets Reports'!D151)),TRIM('R.M Billets Reports'!F151),IF(ISNUMBER(SEARCH("Party Name-",'R.M Billets Reports'!D151)),TRIM(MID('R.M Billets Reports'!D151,SEARCH("-",'R.M Billets Reports'!D151)+1,200)),""))&lt;&gt;"",IF(ISNUMBER(SEARCH("Party Name:-",'R.M Billets Reports'!D151)),TRIM('R.M Billets Reports'!F151),IF(ISNUMBER(SEARCH("Party Name-",'R.M Billets Reports'!D151)),TRIM(MID('R.M Billets Reports'!D151,SEARCH("-",'R.M Billets Reports'!D151)+1,200)),"")),IF(ISNUMBER(SEARCH("Party Name:-",'R.M Billets Reports'!D152)),TRIM('R.M Billets Reports'!F152),IF(ISNUMBER(SEARCH("Party Name-",'R.M Billets Reports'!D152)),TRIM(MID('R.M Billets Reports'!D152,SEARCH("-",'R.M Billets Reports'!D152)+1,200)),"")))="SHRI RADHE","SHREE RADHE",IF(IF(IF(ISNUMBER(SEARCH("Party Name:-",'R.M Billets Reports'!D151)),TRIM('R.M Billets Reports'!F151),IF(ISNUMBER(SEARCH("Party Name-",'R.M Billets Reports'!D151)),TRIM(MID('R.M Billets Reports'!D151,SEARCH("-",'R.M Billets Reports'!D151)+1,200)),""))&lt;&gt;"",IF(ISNUMBER(SEARCH("Party Name:-",'R.M Billets Reports'!D151)),TRIM('R.M Billets Reports'!F151),IF(ISNUMBER(SEARCH("Party Name-",'R.M Billets Reports'!D151)),TRIM(MID('R.M Billets Reports'!D151,SEARCH("-",'R.M Billets Reports'!D151)+1,200)),"")),IF(ISNUMBER(SEARCH("Party Name:-",'R.M Billets Reports'!D152)),TRIM('R.M Billets Reports'!F152),IF(ISNUMBER(SEARCH("Party Name-",'R.M Billets Reports'!D152)),TRIM(MID('R.M Billets Reports'!D152,SEARCH("-",'R.M Billets Reports'!D152)+1,200)),"")))="SHREE RADHE SHAKTI SPONGE AND POWER PVT. LTD.","SHREE RADHE",IF(IF(ISNUMBER(SEARCH("Party Name:-",'R.M Billets Reports'!D151)),TRIM('R.M Billets Reports'!F151),IF(ISNUMBER(SEARCH("Party Name-",'R.M Billets Reports'!D151)),TRIM(MID('R.M Billets Reports'!D151,SEARCH("-",'R.M Billets Reports'!D151)+1,200)),""))&lt;&gt;"",IF(ISNUMBER(SEARCH("Party Name:-",'R.M Billets Reports'!D151)),TRIM('R.M Billets Reports'!F151),IF(ISNUMBER(SEARCH("Party Name-",'R.M Billets Reports'!D151)),TRIM(MID('R.M Billets Reports'!D151,SEARCH("-",'R.M Billets Reports'!D151)+1,200)),"")),IF(ISNUMBER(SEARCH("Party Name:-",'R.M Billets Reports'!D152)),TRIM('R.M Billets Reports'!F152),IF(ISNUMBER(SEARCH("Party Name-",'R.M Billets Reports'!D152)),TRIM(MID('R.M Billets Reports'!D152,SEARCH("-",'R.M Billets Reports'!D152)+1,200)),"")))))),IF(ROW()=2,"",A151))</f>
      </c>
      <c r="B152">
        <f>IF(OR('R.M Billets Reports'!A151="Date-",'R.M Billets Reports'!A151="Date:-"),'R.M Billets Reports'!B151,IF(ROW()=2,"",B151))</f>
      </c>
      <c r="C152">
        <f>IF('R.M Billets Reports'!A151="V.No.",'R.M Billets Reports'!B151,IF(ROW()=2,"",C151))</f>
      </c>
      <c r="D152">
        <f>IF('R.M Billets Reports'!A151&lt;&gt;"",'R.M Billets Reports'!A151,IF(ROW()=2,"",D151))</f>
      </c>
      <c r="E152">
        <f>IF('R.M Billets Reports'!B151="","",TRIM('R.M Billets Reports'!B151))</f>
      </c>
      <c r="F152">
        <f>'R.M Billets Reports'!C151</f>
      </c>
      <c r="G152">
        <f>'R.M Billets Reports'!D151</f>
      </c>
      <c r="H152">
        <f>'R.M Billets Reports'!E151</f>
      </c>
      <c r="I152">
        <f>'R.M Billets Reports'!F151</f>
      </c>
      <c r="J152">
        <f>'R.M Billets Reports'!G151</f>
      </c>
      <c r="K152">
        <f>'R.M Billets Reports'!H151</f>
      </c>
      <c r="L152">
        <f>IF('R.M Billets Reports'!I151="","",'R.M Billets Reports'!I151)</f>
      </c>
      <c r="M152">
        <f t="shared" si="4"/>
      </c>
      <c r="N152">
        <f>IF('R.M Billets Reports'!J151="","",'R.M Billets Reports'!J151)</f>
      </c>
      <c r="O152">
        <f t="shared" si="5"/>
      </c>
      <c r="P152">
        <f>IF('R.M Billets Reports'!A151="SIZE",'R.M Billets Reports'!B151,P151)</f>
      </c>
    </row>
    <row r="153" spans="1:16" x14ac:dyDescent="0.25">
      <c r="A153">
        <f>IF(OR('R.M Billets Reports'!A152="Date-",'R.M Billets Reports'!A152="Date:-"),IF(IF(IF(ISNUMBER(SEARCH("Party Name:-",'R.M Billets Reports'!D152)),TRIM('R.M Billets Reports'!F152),IF(ISNUMBER(SEARCH("Party Name-",'R.M Billets Reports'!D152)),TRIM(MID('R.M Billets Reports'!D152,SEARCH("-",'R.M Billets Reports'!D152)+1,200)),""))&lt;&gt;"",IF(ISNUMBER(SEARCH("Party Name:-",'R.M Billets Reports'!D152)),TRIM('R.M Billets Reports'!F152),IF(ISNUMBER(SEARCH("Party Name-",'R.M Billets Reports'!D152)),TRIM(MID('R.M Billets Reports'!D152,SEARCH("-",'R.M Billets Reports'!D152)+1,200)),"")),IF(ISNUMBER(SEARCH("Party Name:-",'R.M Billets Reports'!D153)),TRIM('R.M Billets Reports'!F153),IF(ISNUMBER(SEARCH("Party Name-",'R.M Billets Reports'!D153)),TRIM(MID('R.M Billets Reports'!D153,SEARCH("-",'R.M Billets Reports'!D153)+1,200)),"")))="VRKP ISPAT PVT LTD","VRKP",IF(IF(IF(ISNUMBER(SEARCH("Party Name:-",'R.M Billets Reports'!D152)),TRIM('R.M Billets Reports'!F152),IF(ISNUMBER(SEARCH("Party Name-",'R.M Billets Reports'!D152)),TRIM(MID('R.M Billets Reports'!D152,SEARCH("-",'R.M Billets Reports'!D152)+1,200)),""))&lt;&gt;"",IF(ISNUMBER(SEARCH("Party Name:-",'R.M Billets Reports'!D152)),TRIM('R.M Billets Reports'!F152),IF(ISNUMBER(SEARCH("Party Name-",'R.M Billets Reports'!D152)),TRIM(MID('R.M Billets Reports'!D152,SEARCH("-",'R.M Billets Reports'!D152)+1,200)),"")),IF(ISNUMBER(SEARCH("Party Name:-",'R.M Billets Reports'!D153)),TRIM('R.M Billets Reports'!F153),IF(ISNUMBER(SEARCH("Party Name-",'R.M Billets Reports'!D153)),TRIM(MID('R.M Billets Reports'!D153,SEARCH("-",'R.M Billets Reports'!D153)+1,200)),"")))="SHRI RADHE","SHREE RADHE",IF(IF(IF(ISNUMBER(SEARCH("Party Name:-",'R.M Billets Reports'!D152)),TRIM('R.M Billets Reports'!F152),IF(ISNUMBER(SEARCH("Party Name-",'R.M Billets Reports'!D152)),TRIM(MID('R.M Billets Reports'!D152,SEARCH("-",'R.M Billets Reports'!D152)+1,200)),""))&lt;&gt;"",IF(ISNUMBER(SEARCH("Party Name:-",'R.M Billets Reports'!D152)),TRIM('R.M Billets Reports'!F152),IF(ISNUMBER(SEARCH("Party Name-",'R.M Billets Reports'!D152)),TRIM(MID('R.M Billets Reports'!D152,SEARCH("-",'R.M Billets Reports'!D152)+1,200)),"")),IF(ISNUMBER(SEARCH("Party Name:-",'R.M Billets Reports'!D153)),TRIM('R.M Billets Reports'!F153),IF(ISNUMBER(SEARCH("Party Name-",'R.M Billets Reports'!D153)),TRIM(MID('R.M Billets Reports'!D153,SEARCH("-",'R.M Billets Reports'!D153)+1,200)),"")))="SHREE RADHE SHAKTI SPONGE AND POWER PVT. LTD.","SHREE RADHE",IF(IF(ISNUMBER(SEARCH("Party Name:-",'R.M Billets Reports'!D152)),TRIM('R.M Billets Reports'!F152),IF(ISNUMBER(SEARCH("Party Name-",'R.M Billets Reports'!D152)),TRIM(MID('R.M Billets Reports'!D152,SEARCH("-",'R.M Billets Reports'!D152)+1,200)),""))&lt;&gt;"",IF(ISNUMBER(SEARCH("Party Name:-",'R.M Billets Reports'!D152)),TRIM('R.M Billets Reports'!F152),IF(ISNUMBER(SEARCH("Party Name-",'R.M Billets Reports'!D152)),TRIM(MID('R.M Billets Reports'!D152,SEARCH("-",'R.M Billets Reports'!D152)+1,200)),"")),IF(ISNUMBER(SEARCH("Party Name:-",'R.M Billets Reports'!D153)),TRIM('R.M Billets Reports'!F153),IF(ISNUMBER(SEARCH("Party Name-",'R.M Billets Reports'!D153)),TRIM(MID('R.M Billets Reports'!D153,SEARCH("-",'R.M Billets Reports'!D153)+1,200)),"")))))),IF(ROW()=2,"",A152))</f>
      </c>
      <c r="B153">
        <f>IF(OR('R.M Billets Reports'!A152="Date-",'R.M Billets Reports'!A152="Date:-"),'R.M Billets Reports'!B152,IF(ROW()=2,"",B152))</f>
      </c>
      <c r="C153">
        <f>IF('R.M Billets Reports'!A152="V.No.",'R.M Billets Reports'!B152,IF(ROW()=2,"",C152))</f>
      </c>
      <c r="D153">
        <f>IF('R.M Billets Reports'!A152&lt;&gt;"",'R.M Billets Reports'!A152,IF(ROW()=2,"",D152))</f>
      </c>
      <c r="E153">
        <f>IF('R.M Billets Reports'!B152="","",TRIM('R.M Billets Reports'!B152))</f>
      </c>
      <c r="F153">
        <f>'R.M Billets Reports'!C152</f>
      </c>
      <c r="G153">
        <f>'R.M Billets Reports'!D152</f>
      </c>
      <c r="H153">
        <f>'R.M Billets Reports'!E152</f>
      </c>
      <c r="I153">
        <f>'R.M Billets Reports'!F152</f>
      </c>
      <c r="J153">
        <f>'R.M Billets Reports'!G152</f>
      </c>
      <c r="K153">
        <f>'R.M Billets Reports'!H152</f>
      </c>
      <c r="L153">
        <f>IF('R.M Billets Reports'!I152="","",'R.M Billets Reports'!I152)</f>
      </c>
      <c r="M153">
        <f t="shared" si="4"/>
      </c>
      <c r="N153">
        <f>IF('R.M Billets Reports'!J152="","",'R.M Billets Reports'!J152)</f>
      </c>
      <c r="O153">
        <f t="shared" si="5"/>
      </c>
      <c r="P153">
        <f>IF('R.M Billets Reports'!A152="SIZE",'R.M Billets Reports'!B152,P152)</f>
      </c>
    </row>
    <row r="154" spans="1:16" x14ac:dyDescent="0.25">
      <c r="A154">
        <f>IF(OR('R.M Billets Reports'!A153="Date-",'R.M Billets Reports'!A153="Date:-"),IF(IF(IF(ISNUMBER(SEARCH("Party Name:-",'R.M Billets Reports'!D153)),TRIM('R.M Billets Reports'!F153),IF(ISNUMBER(SEARCH("Party Name-",'R.M Billets Reports'!D153)),TRIM(MID('R.M Billets Reports'!D153,SEARCH("-",'R.M Billets Reports'!D153)+1,200)),""))&lt;&gt;"",IF(ISNUMBER(SEARCH("Party Name:-",'R.M Billets Reports'!D153)),TRIM('R.M Billets Reports'!F153),IF(ISNUMBER(SEARCH("Party Name-",'R.M Billets Reports'!D153)),TRIM(MID('R.M Billets Reports'!D153,SEARCH("-",'R.M Billets Reports'!D153)+1,200)),"")),IF(ISNUMBER(SEARCH("Party Name:-",'R.M Billets Reports'!D154)),TRIM('R.M Billets Reports'!F154),IF(ISNUMBER(SEARCH("Party Name-",'R.M Billets Reports'!D154)),TRIM(MID('R.M Billets Reports'!D154,SEARCH("-",'R.M Billets Reports'!D154)+1,200)),"")))="VRKP ISPAT PVT LTD","VRKP",IF(IF(IF(ISNUMBER(SEARCH("Party Name:-",'R.M Billets Reports'!D153)),TRIM('R.M Billets Reports'!F153),IF(ISNUMBER(SEARCH("Party Name-",'R.M Billets Reports'!D153)),TRIM(MID('R.M Billets Reports'!D153,SEARCH("-",'R.M Billets Reports'!D153)+1,200)),""))&lt;&gt;"",IF(ISNUMBER(SEARCH("Party Name:-",'R.M Billets Reports'!D153)),TRIM('R.M Billets Reports'!F153),IF(ISNUMBER(SEARCH("Party Name-",'R.M Billets Reports'!D153)),TRIM(MID('R.M Billets Reports'!D153,SEARCH("-",'R.M Billets Reports'!D153)+1,200)),"")),IF(ISNUMBER(SEARCH("Party Name:-",'R.M Billets Reports'!D154)),TRIM('R.M Billets Reports'!F154),IF(ISNUMBER(SEARCH("Party Name-",'R.M Billets Reports'!D154)),TRIM(MID('R.M Billets Reports'!D154,SEARCH("-",'R.M Billets Reports'!D154)+1,200)),"")))="SHRI RADHE","SHREE RADHE",IF(IF(IF(ISNUMBER(SEARCH("Party Name:-",'R.M Billets Reports'!D153)),TRIM('R.M Billets Reports'!F153),IF(ISNUMBER(SEARCH("Party Name-",'R.M Billets Reports'!D153)),TRIM(MID('R.M Billets Reports'!D153,SEARCH("-",'R.M Billets Reports'!D153)+1,200)),""))&lt;&gt;"",IF(ISNUMBER(SEARCH("Party Name:-",'R.M Billets Reports'!D153)),TRIM('R.M Billets Reports'!F153),IF(ISNUMBER(SEARCH("Party Name-",'R.M Billets Reports'!D153)),TRIM(MID('R.M Billets Reports'!D153,SEARCH("-",'R.M Billets Reports'!D153)+1,200)),"")),IF(ISNUMBER(SEARCH("Party Name:-",'R.M Billets Reports'!D154)),TRIM('R.M Billets Reports'!F154),IF(ISNUMBER(SEARCH("Party Name-",'R.M Billets Reports'!D154)),TRIM(MID('R.M Billets Reports'!D154,SEARCH("-",'R.M Billets Reports'!D154)+1,200)),"")))="SHREE RADHE SHAKTI SPONGE AND POWER PVT. LTD.","SHREE RADHE",IF(IF(ISNUMBER(SEARCH("Party Name:-",'R.M Billets Reports'!D153)),TRIM('R.M Billets Reports'!F153),IF(ISNUMBER(SEARCH("Party Name-",'R.M Billets Reports'!D153)),TRIM(MID('R.M Billets Reports'!D153,SEARCH("-",'R.M Billets Reports'!D153)+1,200)),""))&lt;&gt;"",IF(ISNUMBER(SEARCH("Party Name:-",'R.M Billets Reports'!D153)),TRIM('R.M Billets Reports'!F153),IF(ISNUMBER(SEARCH("Party Name-",'R.M Billets Reports'!D153)),TRIM(MID('R.M Billets Reports'!D153,SEARCH("-",'R.M Billets Reports'!D153)+1,200)),"")),IF(ISNUMBER(SEARCH("Party Name:-",'R.M Billets Reports'!D154)),TRIM('R.M Billets Reports'!F154),IF(ISNUMBER(SEARCH("Party Name-",'R.M Billets Reports'!D154)),TRIM(MID('R.M Billets Reports'!D154,SEARCH("-",'R.M Billets Reports'!D154)+1,200)),"")))))),IF(ROW()=2,"",A153))</f>
      </c>
      <c r="B154">
        <f>IF(OR('R.M Billets Reports'!A153="Date-",'R.M Billets Reports'!A153="Date:-"),'R.M Billets Reports'!B153,IF(ROW()=2,"",B153))</f>
      </c>
      <c r="C154">
        <f>IF('R.M Billets Reports'!A153="V.No.",'R.M Billets Reports'!B153,IF(ROW()=2,"",C153))</f>
      </c>
      <c r="D154">
        <f>IF('R.M Billets Reports'!A153&lt;&gt;"",'R.M Billets Reports'!A153,IF(ROW()=2,"",D153))</f>
      </c>
      <c r="E154">
        <f>IF('R.M Billets Reports'!B153="","",TRIM('R.M Billets Reports'!B153))</f>
      </c>
      <c r="F154">
        <f>'R.M Billets Reports'!C153</f>
      </c>
      <c r="G154">
        <f>'R.M Billets Reports'!D153</f>
      </c>
      <c r="H154">
        <f>'R.M Billets Reports'!E153</f>
      </c>
      <c r="I154">
        <f>'R.M Billets Reports'!F153</f>
      </c>
      <c r="J154">
        <f>'R.M Billets Reports'!G153</f>
      </c>
      <c r="K154">
        <f>'R.M Billets Reports'!H153</f>
      </c>
      <c r="L154">
        <f>IF('R.M Billets Reports'!I153="","",'R.M Billets Reports'!I153)</f>
      </c>
      <c r="M154">
        <f t="shared" si="4"/>
      </c>
      <c r="N154">
        <f>IF('R.M Billets Reports'!J153="","",'R.M Billets Reports'!J153)</f>
      </c>
      <c r="O154">
        <f t="shared" si="5"/>
      </c>
      <c r="P154">
        <f>IF('R.M Billets Reports'!A153="SIZE",'R.M Billets Reports'!B153,P153)</f>
      </c>
    </row>
    <row r="155" spans="1:16" x14ac:dyDescent="0.25">
      <c r="A155">
        <f>IF(OR('R.M Billets Reports'!A154="Date-",'R.M Billets Reports'!A154="Date:-"),IF(IF(IF(ISNUMBER(SEARCH("Party Name:-",'R.M Billets Reports'!D154)),TRIM('R.M Billets Reports'!F154),IF(ISNUMBER(SEARCH("Party Name-",'R.M Billets Reports'!D154)),TRIM(MID('R.M Billets Reports'!D154,SEARCH("-",'R.M Billets Reports'!D154)+1,200)),""))&lt;&gt;"",IF(ISNUMBER(SEARCH("Party Name:-",'R.M Billets Reports'!D154)),TRIM('R.M Billets Reports'!F154),IF(ISNUMBER(SEARCH("Party Name-",'R.M Billets Reports'!D154)),TRIM(MID('R.M Billets Reports'!D154,SEARCH("-",'R.M Billets Reports'!D154)+1,200)),"")),IF(ISNUMBER(SEARCH("Party Name:-",'R.M Billets Reports'!D155)),TRIM('R.M Billets Reports'!F155),IF(ISNUMBER(SEARCH("Party Name-",'R.M Billets Reports'!D155)),TRIM(MID('R.M Billets Reports'!D155,SEARCH("-",'R.M Billets Reports'!D155)+1,200)),"")))="VRKP ISPAT PVT LTD","VRKP",IF(IF(IF(ISNUMBER(SEARCH("Party Name:-",'R.M Billets Reports'!D154)),TRIM('R.M Billets Reports'!F154),IF(ISNUMBER(SEARCH("Party Name-",'R.M Billets Reports'!D154)),TRIM(MID('R.M Billets Reports'!D154,SEARCH("-",'R.M Billets Reports'!D154)+1,200)),""))&lt;&gt;"",IF(ISNUMBER(SEARCH("Party Name:-",'R.M Billets Reports'!D154)),TRIM('R.M Billets Reports'!F154),IF(ISNUMBER(SEARCH("Party Name-",'R.M Billets Reports'!D154)),TRIM(MID('R.M Billets Reports'!D154,SEARCH("-",'R.M Billets Reports'!D154)+1,200)),"")),IF(ISNUMBER(SEARCH("Party Name:-",'R.M Billets Reports'!D155)),TRIM('R.M Billets Reports'!F155),IF(ISNUMBER(SEARCH("Party Name-",'R.M Billets Reports'!D155)),TRIM(MID('R.M Billets Reports'!D155,SEARCH("-",'R.M Billets Reports'!D155)+1,200)),"")))="SHRI RADHE","SHREE RADHE",IF(IF(IF(ISNUMBER(SEARCH("Party Name:-",'R.M Billets Reports'!D154)),TRIM('R.M Billets Reports'!F154),IF(ISNUMBER(SEARCH("Party Name-",'R.M Billets Reports'!D154)),TRIM(MID('R.M Billets Reports'!D154,SEARCH("-",'R.M Billets Reports'!D154)+1,200)),""))&lt;&gt;"",IF(ISNUMBER(SEARCH("Party Name:-",'R.M Billets Reports'!D154)),TRIM('R.M Billets Reports'!F154),IF(ISNUMBER(SEARCH("Party Name-",'R.M Billets Reports'!D154)),TRIM(MID('R.M Billets Reports'!D154,SEARCH("-",'R.M Billets Reports'!D154)+1,200)),"")),IF(ISNUMBER(SEARCH("Party Name:-",'R.M Billets Reports'!D155)),TRIM('R.M Billets Reports'!F155),IF(ISNUMBER(SEARCH("Party Name-",'R.M Billets Reports'!D155)),TRIM(MID('R.M Billets Reports'!D155,SEARCH("-",'R.M Billets Reports'!D155)+1,200)),"")))="SHREE RADHE SHAKTI SPONGE AND POWER PVT. LTD.","SHREE RADHE",IF(IF(ISNUMBER(SEARCH("Party Name:-",'R.M Billets Reports'!D154)),TRIM('R.M Billets Reports'!F154),IF(ISNUMBER(SEARCH("Party Name-",'R.M Billets Reports'!D154)),TRIM(MID('R.M Billets Reports'!D154,SEARCH("-",'R.M Billets Reports'!D154)+1,200)),""))&lt;&gt;"",IF(ISNUMBER(SEARCH("Party Name:-",'R.M Billets Reports'!D154)),TRIM('R.M Billets Reports'!F154),IF(ISNUMBER(SEARCH("Party Name-",'R.M Billets Reports'!D154)),TRIM(MID('R.M Billets Reports'!D154,SEARCH("-",'R.M Billets Reports'!D154)+1,200)),"")),IF(ISNUMBER(SEARCH("Party Name:-",'R.M Billets Reports'!D155)),TRIM('R.M Billets Reports'!F155),IF(ISNUMBER(SEARCH("Party Name-",'R.M Billets Reports'!D155)),TRIM(MID('R.M Billets Reports'!D155,SEARCH("-",'R.M Billets Reports'!D155)+1,200)),"")))))),IF(ROW()=2,"",A154))</f>
      </c>
      <c r="B155">
        <f>IF(OR('R.M Billets Reports'!A154="Date-",'R.M Billets Reports'!A154="Date:-"),'R.M Billets Reports'!B154,IF(ROW()=2,"",B154))</f>
      </c>
      <c r="C155">
        <f>IF('R.M Billets Reports'!A154="V.No.",'R.M Billets Reports'!B154,IF(ROW()=2,"",C154))</f>
      </c>
      <c r="D155">
        <f>IF('R.M Billets Reports'!A154&lt;&gt;"",'R.M Billets Reports'!A154,IF(ROW()=2,"",D154))</f>
      </c>
      <c r="E155">
        <f>IF('R.M Billets Reports'!B154="","",TRIM('R.M Billets Reports'!B154))</f>
      </c>
      <c r="F155">
        <f>'R.M Billets Reports'!C154</f>
      </c>
      <c r="G155">
        <f>'R.M Billets Reports'!D154</f>
      </c>
      <c r="H155">
        <f>'R.M Billets Reports'!E154</f>
      </c>
      <c r="I155">
        <f>'R.M Billets Reports'!F154</f>
      </c>
      <c r="J155">
        <f>'R.M Billets Reports'!G154</f>
      </c>
      <c r="K155">
        <f>'R.M Billets Reports'!H154</f>
      </c>
      <c r="L155">
        <f>IF('R.M Billets Reports'!I154="","",'R.M Billets Reports'!I154)</f>
      </c>
      <c r="M155">
        <f t="shared" si="4"/>
      </c>
      <c r="N155">
        <f>IF('R.M Billets Reports'!J154="","",'R.M Billets Reports'!J154)</f>
      </c>
      <c r="O155">
        <f t="shared" si="5"/>
      </c>
      <c r="P155">
        <f>IF('R.M Billets Reports'!A154="SIZE",'R.M Billets Reports'!B154,P154)</f>
      </c>
    </row>
    <row r="156" spans="1:16" x14ac:dyDescent="0.25">
      <c r="A156">
        <f>IF(OR('R.M Billets Reports'!A155="Date-",'R.M Billets Reports'!A155="Date:-"),IF(IF(IF(ISNUMBER(SEARCH("Party Name:-",'R.M Billets Reports'!D155)),TRIM('R.M Billets Reports'!F155),IF(ISNUMBER(SEARCH("Party Name-",'R.M Billets Reports'!D155)),TRIM(MID('R.M Billets Reports'!D155,SEARCH("-",'R.M Billets Reports'!D155)+1,200)),""))&lt;&gt;"",IF(ISNUMBER(SEARCH("Party Name:-",'R.M Billets Reports'!D155)),TRIM('R.M Billets Reports'!F155),IF(ISNUMBER(SEARCH("Party Name-",'R.M Billets Reports'!D155)),TRIM(MID('R.M Billets Reports'!D155,SEARCH("-",'R.M Billets Reports'!D155)+1,200)),"")),IF(ISNUMBER(SEARCH("Party Name:-",'R.M Billets Reports'!D156)),TRIM('R.M Billets Reports'!F156),IF(ISNUMBER(SEARCH("Party Name-",'R.M Billets Reports'!D156)),TRIM(MID('R.M Billets Reports'!D156,SEARCH("-",'R.M Billets Reports'!D156)+1,200)),"")))="VRKP ISPAT PVT LTD","VRKP",IF(IF(IF(ISNUMBER(SEARCH("Party Name:-",'R.M Billets Reports'!D155)),TRIM('R.M Billets Reports'!F155),IF(ISNUMBER(SEARCH("Party Name-",'R.M Billets Reports'!D155)),TRIM(MID('R.M Billets Reports'!D155,SEARCH("-",'R.M Billets Reports'!D155)+1,200)),""))&lt;&gt;"",IF(ISNUMBER(SEARCH("Party Name:-",'R.M Billets Reports'!D155)),TRIM('R.M Billets Reports'!F155),IF(ISNUMBER(SEARCH("Party Name-",'R.M Billets Reports'!D155)),TRIM(MID('R.M Billets Reports'!D155,SEARCH("-",'R.M Billets Reports'!D155)+1,200)),"")),IF(ISNUMBER(SEARCH("Party Name:-",'R.M Billets Reports'!D156)),TRIM('R.M Billets Reports'!F156),IF(ISNUMBER(SEARCH("Party Name-",'R.M Billets Reports'!D156)),TRIM(MID('R.M Billets Reports'!D156,SEARCH("-",'R.M Billets Reports'!D156)+1,200)),"")))="SHRI RADHE","SHREE RADHE",IF(IF(IF(ISNUMBER(SEARCH("Party Name:-",'R.M Billets Reports'!D155)),TRIM('R.M Billets Reports'!F155),IF(ISNUMBER(SEARCH("Party Name-",'R.M Billets Reports'!D155)),TRIM(MID('R.M Billets Reports'!D155,SEARCH("-",'R.M Billets Reports'!D155)+1,200)),""))&lt;&gt;"",IF(ISNUMBER(SEARCH("Party Name:-",'R.M Billets Reports'!D155)),TRIM('R.M Billets Reports'!F155),IF(ISNUMBER(SEARCH("Party Name-",'R.M Billets Reports'!D155)),TRIM(MID('R.M Billets Reports'!D155,SEARCH("-",'R.M Billets Reports'!D155)+1,200)),"")),IF(ISNUMBER(SEARCH("Party Name:-",'R.M Billets Reports'!D156)),TRIM('R.M Billets Reports'!F156),IF(ISNUMBER(SEARCH("Party Name-",'R.M Billets Reports'!D156)),TRIM(MID('R.M Billets Reports'!D156,SEARCH("-",'R.M Billets Reports'!D156)+1,200)),"")))="SHREE RADHE SHAKTI SPONGE AND POWER PVT. LTD.","SHREE RADHE",IF(IF(ISNUMBER(SEARCH("Party Name:-",'R.M Billets Reports'!D155)),TRIM('R.M Billets Reports'!F155),IF(ISNUMBER(SEARCH("Party Name-",'R.M Billets Reports'!D155)),TRIM(MID('R.M Billets Reports'!D155,SEARCH("-",'R.M Billets Reports'!D155)+1,200)),""))&lt;&gt;"",IF(ISNUMBER(SEARCH("Party Name:-",'R.M Billets Reports'!D155)),TRIM('R.M Billets Reports'!F155),IF(ISNUMBER(SEARCH("Party Name-",'R.M Billets Reports'!D155)),TRIM(MID('R.M Billets Reports'!D155,SEARCH("-",'R.M Billets Reports'!D155)+1,200)),"")),IF(ISNUMBER(SEARCH("Party Name:-",'R.M Billets Reports'!D156)),TRIM('R.M Billets Reports'!F156),IF(ISNUMBER(SEARCH("Party Name-",'R.M Billets Reports'!D156)),TRIM(MID('R.M Billets Reports'!D156,SEARCH("-",'R.M Billets Reports'!D156)+1,200)),"")))))),IF(ROW()=2,"",A155))</f>
      </c>
      <c r="B156">
        <f>IF(OR('R.M Billets Reports'!A155="Date-",'R.M Billets Reports'!A155="Date:-"),'R.M Billets Reports'!B155,IF(ROW()=2,"",B155))</f>
      </c>
      <c r="C156">
        <f>IF('R.M Billets Reports'!A155="V.No.",'R.M Billets Reports'!B155,IF(ROW()=2,"",C155))</f>
      </c>
      <c r="D156">
        <f>IF('R.M Billets Reports'!A155&lt;&gt;"",'R.M Billets Reports'!A155,IF(ROW()=2,"",D155))</f>
      </c>
      <c r="E156">
        <f>IF('R.M Billets Reports'!B155="","",TRIM('R.M Billets Reports'!B155))</f>
      </c>
      <c r="F156">
        <f>'R.M Billets Reports'!C155</f>
      </c>
      <c r="G156">
        <f>'R.M Billets Reports'!D155</f>
      </c>
      <c r="H156">
        <f>'R.M Billets Reports'!E155</f>
      </c>
      <c r="I156">
        <f>'R.M Billets Reports'!F155</f>
      </c>
      <c r="J156">
        <f>'R.M Billets Reports'!G155</f>
      </c>
      <c r="K156">
        <f>'R.M Billets Reports'!H155</f>
      </c>
      <c r="L156">
        <f>IF('R.M Billets Reports'!I155="","",'R.M Billets Reports'!I155)</f>
      </c>
      <c r="M156">
        <f t="shared" si="4"/>
      </c>
      <c r="N156">
        <f>IF('R.M Billets Reports'!J155="","",'R.M Billets Reports'!J155)</f>
      </c>
      <c r="O156">
        <f t="shared" si="5"/>
      </c>
      <c r="P156">
        <f>IF('R.M Billets Reports'!A155="SIZE",'R.M Billets Reports'!B155,P155)</f>
      </c>
    </row>
    <row r="157" spans="1:16" x14ac:dyDescent="0.25">
      <c r="A157">
        <f>IF(OR('R.M Billets Reports'!A156="Date-",'R.M Billets Reports'!A156="Date:-"),IF(IF(IF(ISNUMBER(SEARCH("Party Name:-",'R.M Billets Reports'!D156)),TRIM('R.M Billets Reports'!F156),IF(ISNUMBER(SEARCH("Party Name-",'R.M Billets Reports'!D156)),TRIM(MID('R.M Billets Reports'!D156,SEARCH("-",'R.M Billets Reports'!D156)+1,200)),""))&lt;&gt;"",IF(ISNUMBER(SEARCH("Party Name:-",'R.M Billets Reports'!D156)),TRIM('R.M Billets Reports'!F156),IF(ISNUMBER(SEARCH("Party Name-",'R.M Billets Reports'!D156)),TRIM(MID('R.M Billets Reports'!D156,SEARCH("-",'R.M Billets Reports'!D156)+1,200)),"")),IF(ISNUMBER(SEARCH("Party Name:-",'R.M Billets Reports'!D157)),TRIM('R.M Billets Reports'!F157),IF(ISNUMBER(SEARCH("Party Name-",'R.M Billets Reports'!D157)),TRIM(MID('R.M Billets Reports'!D157,SEARCH("-",'R.M Billets Reports'!D157)+1,200)),"")))="VRKP ISPAT PVT LTD","VRKP",IF(IF(IF(ISNUMBER(SEARCH("Party Name:-",'R.M Billets Reports'!D156)),TRIM('R.M Billets Reports'!F156),IF(ISNUMBER(SEARCH("Party Name-",'R.M Billets Reports'!D156)),TRIM(MID('R.M Billets Reports'!D156,SEARCH("-",'R.M Billets Reports'!D156)+1,200)),""))&lt;&gt;"",IF(ISNUMBER(SEARCH("Party Name:-",'R.M Billets Reports'!D156)),TRIM('R.M Billets Reports'!F156),IF(ISNUMBER(SEARCH("Party Name-",'R.M Billets Reports'!D156)),TRIM(MID('R.M Billets Reports'!D156,SEARCH("-",'R.M Billets Reports'!D156)+1,200)),"")),IF(ISNUMBER(SEARCH("Party Name:-",'R.M Billets Reports'!D157)),TRIM('R.M Billets Reports'!F157),IF(ISNUMBER(SEARCH("Party Name-",'R.M Billets Reports'!D157)),TRIM(MID('R.M Billets Reports'!D157,SEARCH("-",'R.M Billets Reports'!D157)+1,200)),"")))="SHRI RADHE","SHREE RADHE",IF(IF(IF(ISNUMBER(SEARCH("Party Name:-",'R.M Billets Reports'!D156)),TRIM('R.M Billets Reports'!F156),IF(ISNUMBER(SEARCH("Party Name-",'R.M Billets Reports'!D156)),TRIM(MID('R.M Billets Reports'!D156,SEARCH("-",'R.M Billets Reports'!D156)+1,200)),""))&lt;&gt;"",IF(ISNUMBER(SEARCH("Party Name:-",'R.M Billets Reports'!D156)),TRIM('R.M Billets Reports'!F156),IF(ISNUMBER(SEARCH("Party Name-",'R.M Billets Reports'!D156)),TRIM(MID('R.M Billets Reports'!D156,SEARCH("-",'R.M Billets Reports'!D156)+1,200)),"")),IF(ISNUMBER(SEARCH("Party Name:-",'R.M Billets Reports'!D157)),TRIM('R.M Billets Reports'!F157),IF(ISNUMBER(SEARCH("Party Name-",'R.M Billets Reports'!D157)),TRIM(MID('R.M Billets Reports'!D157,SEARCH("-",'R.M Billets Reports'!D157)+1,200)),"")))="SHREE RADHE SHAKTI SPONGE AND POWER PVT. LTD.","SHREE RADHE",IF(IF(ISNUMBER(SEARCH("Party Name:-",'R.M Billets Reports'!D156)),TRIM('R.M Billets Reports'!F156),IF(ISNUMBER(SEARCH("Party Name-",'R.M Billets Reports'!D156)),TRIM(MID('R.M Billets Reports'!D156,SEARCH("-",'R.M Billets Reports'!D156)+1,200)),""))&lt;&gt;"",IF(ISNUMBER(SEARCH("Party Name:-",'R.M Billets Reports'!D156)),TRIM('R.M Billets Reports'!F156),IF(ISNUMBER(SEARCH("Party Name-",'R.M Billets Reports'!D156)),TRIM(MID('R.M Billets Reports'!D156,SEARCH("-",'R.M Billets Reports'!D156)+1,200)),"")),IF(ISNUMBER(SEARCH("Party Name:-",'R.M Billets Reports'!D157)),TRIM('R.M Billets Reports'!F157),IF(ISNUMBER(SEARCH("Party Name-",'R.M Billets Reports'!D157)),TRIM(MID('R.M Billets Reports'!D157,SEARCH("-",'R.M Billets Reports'!D157)+1,200)),"")))))),IF(ROW()=2,"",A156))</f>
      </c>
      <c r="B157">
        <f>IF(OR('R.M Billets Reports'!A156="Date-",'R.M Billets Reports'!A156="Date:-"),'R.M Billets Reports'!B156,IF(ROW()=2,"",B156))</f>
      </c>
      <c r="C157">
        <f>IF('R.M Billets Reports'!A156="V.No.",'R.M Billets Reports'!B156,IF(ROW()=2,"",C156))</f>
      </c>
      <c r="D157">
        <f>IF('R.M Billets Reports'!A156&lt;&gt;"",'R.M Billets Reports'!A156,IF(ROW()=2,"",D156))</f>
      </c>
      <c r="E157">
        <f>IF('R.M Billets Reports'!B156="","",TRIM('R.M Billets Reports'!B156))</f>
      </c>
      <c r="F157">
        <f>'R.M Billets Reports'!C156</f>
      </c>
      <c r="G157">
        <f>'R.M Billets Reports'!D156</f>
      </c>
      <c r="H157">
        <f>'R.M Billets Reports'!E156</f>
      </c>
      <c r="I157">
        <f>'R.M Billets Reports'!F156</f>
      </c>
      <c r="J157">
        <f>'R.M Billets Reports'!G156</f>
      </c>
      <c r="K157">
        <f>'R.M Billets Reports'!H156</f>
      </c>
      <c r="L157">
        <f>IF('R.M Billets Reports'!I156="","",'R.M Billets Reports'!I156)</f>
      </c>
      <c r="M157">
        <f t="shared" si="4"/>
      </c>
      <c r="N157">
        <f>IF('R.M Billets Reports'!J156="","",'R.M Billets Reports'!J156)</f>
      </c>
      <c r="O157">
        <f t="shared" si="5"/>
      </c>
      <c r="P157">
        <f>IF('R.M Billets Reports'!A156="SIZE",'R.M Billets Reports'!B156,P156)</f>
      </c>
    </row>
    <row r="158" spans="1:16" x14ac:dyDescent="0.25">
      <c r="A158">
        <f>IF(OR('R.M Billets Reports'!A157="Date-",'R.M Billets Reports'!A157="Date:-"),IF(IF(IF(ISNUMBER(SEARCH("Party Name:-",'R.M Billets Reports'!D157)),TRIM('R.M Billets Reports'!F157),IF(ISNUMBER(SEARCH("Party Name-",'R.M Billets Reports'!D157)),TRIM(MID('R.M Billets Reports'!D157,SEARCH("-",'R.M Billets Reports'!D157)+1,200)),""))&lt;&gt;"",IF(ISNUMBER(SEARCH("Party Name:-",'R.M Billets Reports'!D157)),TRIM('R.M Billets Reports'!F157),IF(ISNUMBER(SEARCH("Party Name-",'R.M Billets Reports'!D157)),TRIM(MID('R.M Billets Reports'!D157,SEARCH("-",'R.M Billets Reports'!D157)+1,200)),"")),IF(ISNUMBER(SEARCH("Party Name:-",'R.M Billets Reports'!D158)),TRIM('R.M Billets Reports'!F158),IF(ISNUMBER(SEARCH("Party Name-",'R.M Billets Reports'!D158)),TRIM(MID('R.M Billets Reports'!D158,SEARCH("-",'R.M Billets Reports'!D158)+1,200)),"")))="VRKP ISPAT PVT LTD","VRKP",IF(IF(IF(ISNUMBER(SEARCH("Party Name:-",'R.M Billets Reports'!D157)),TRIM('R.M Billets Reports'!F157),IF(ISNUMBER(SEARCH("Party Name-",'R.M Billets Reports'!D157)),TRIM(MID('R.M Billets Reports'!D157,SEARCH("-",'R.M Billets Reports'!D157)+1,200)),""))&lt;&gt;"",IF(ISNUMBER(SEARCH("Party Name:-",'R.M Billets Reports'!D157)),TRIM('R.M Billets Reports'!F157),IF(ISNUMBER(SEARCH("Party Name-",'R.M Billets Reports'!D157)),TRIM(MID('R.M Billets Reports'!D157,SEARCH("-",'R.M Billets Reports'!D157)+1,200)),"")),IF(ISNUMBER(SEARCH("Party Name:-",'R.M Billets Reports'!D158)),TRIM('R.M Billets Reports'!F158),IF(ISNUMBER(SEARCH("Party Name-",'R.M Billets Reports'!D158)),TRIM(MID('R.M Billets Reports'!D158,SEARCH("-",'R.M Billets Reports'!D158)+1,200)),"")))="SHRI RADHE","SHREE RADHE",IF(IF(IF(ISNUMBER(SEARCH("Party Name:-",'R.M Billets Reports'!D157)),TRIM('R.M Billets Reports'!F157),IF(ISNUMBER(SEARCH("Party Name-",'R.M Billets Reports'!D157)),TRIM(MID('R.M Billets Reports'!D157,SEARCH("-",'R.M Billets Reports'!D157)+1,200)),""))&lt;&gt;"",IF(ISNUMBER(SEARCH("Party Name:-",'R.M Billets Reports'!D157)),TRIM('R.M Billets Reports'!F157),IF(ISNUMBER(SEARCH("Party Name-",'R.M Billets Reports'!D157)),TRIM(MID('R.M Billets Reports'!D157,SEARCH("-",'R.M Billets Reports'!D157)+1,200)),"")),IF(ISNUMBER(SEARCH("Party Name:-",'R.M Billets Reports'!D158)),TRIM('R.M Billets Reports'!F158),IF(ISNUMBER(SEARCH("Party Name-",'R.M Billets Reports'!D158)),TRIM(MID('R.M Billets Reports'!D158,SEARCH("-",'R.M Billets Reports'!D158)+1,200)),"")))="SHREE RADHE SHAKTI SPONGE AND POWER PVT. LTD.","SHREE RADHE",IF(IF(ISNUMBER(SEARCH("Party Name:-",'R.M Billets Reports'!D157)),TRIM('R.M Billets Reports'!F157),IF(ISNUMBER(SEARCH("Party Name-",'R.M Billets Reports'!D157)),TRIM(MID('R.M Billets Reports'!D157,SEARCH("-",'R.M Billets Reports'!D157)+1,200)),""))&lt;&gt;"",IF(ISNUMBER(SEARCH("Party Name:-",'R.M Billets Reports'!D157)),TRIM('R.M Billets Reports'!F157),IF(ISNUMBER(SEARCH("Party Name-",'R.M Billets Reports'!D157)),TRIM(MID('R.M Billets Reports'!D157,SEARCH("-",'R.M Billets Reports'!D157)+1,200)),"")),IF(ISNUMBER(SEARCH("Party Name:-",'R.M Billets Reports'!D158)),TRIM('R.M Billets Reports'!F158),IF(ISNUMBER(SEARCH("Party Name-",'R.M Billets Reports'!D158)),TRIM(MID('R.M Billets Reports'!D158,SEARCH("-",'R.M Billets Reports'!D158)+1,200)),"")))))),IF(ROW()=2,"",A157))</f>
      </c>
      <c r="B158">
        <f>IF(OR('R.M Billets Reports'!A157="Date-",'R.M Billets Reports'!A157="Date:-"),'R.M Billets Reports'!B157,IF(ROW()=2,"",B157))</f>
      </c>
      <c r="C158">
        <f>IF('R.M Billets Reports'!A157="V.No.",'R.M Billets Reports'!B157,IF(ROW()=2,"",C157))</f>
      </c>
      <c r="D158">
        <f>IF('R.M Billets Reports'!A157&lt;&gt;"",'R.M Billets Reports'!A157,IF(ROW()=2,"",D157))</f>
      </c>
      <c r="E158">
        <f>IF('R.M Billets Reports'!B157="","",TRIM('R.M Billets Reports'!B157))</f>
      </c>
      <c r="F158">
        <f>'R.M Billets Reports'!C157</f>
      </c>
      <c r="G158">
        <f>'R.M Billets Reports'!D157</f>
      </c>
      <c r="H158">
        <f>'R.M Billets Reports'!E157</f>
      </c>
      <c r="I158">
        <f>'R.M Billets Reports'!F157</f>
      </c>
      <c r="J158">
        <f>'R.M Billets Reports'!G157</f>
      </c>
      <c r="K158">
        <f>'R.M Billets Reports'!H157</f>
      </c>
      <c r="L158">
        <f>IF('R.M Billets Reports'!I157="","",'R.M Billets Reports'!I157)</f>
      </c>
      <c r="M158">
        <f t="shared" si="4"/>
      </c>
      <c r="N158">
        <f>IF('R.M Billets Reports'!J157="","",'R.M Billets Reports'!J157)</f>
      </c>
      <c r="O158">
        <f t="shared" si="5"/>
      </c>
      <c r="P158">
        <f>IF('R.M Billets Reports'!A157="SIZE",'R.M Billets Reports'!B157,P157)</f>
      </c>
    </row>
    <row r="159" spans="1:16" x14ac:dyDescent="0.25">
      <c r="A159">
        <f>IF(OR('R.M Billets Reports'!A158="Date-",'R.M Billets Reports'!A158="Date:-"),IF(IF(IF(ISNUMBER(SEARCH("Party Name:-",'R.M Billets Reports'!D158)),TRIM('R.M Billets Reports'!F158),IF(ISNUMBER(SEARCH("Party Name-",'R.M Billets Reports'!D158)),TRIM(MID('R.M Billets Reports'!D158,SEARCH("-",'R.M Billets Reports'!D158)+1,200)),""))&lt;&gt;"",IF(ISNUMBER(SEARCH("Party Name:-",'R.M Billets Reports'!D158)),TRIM('R.M Billets Reports'!F158),IF(ISNUMBER(SEARCH("Party Name-",'R.M Billets Reports'!D158)),TRIM(MID('R.M Billets Reports'!D158,SEARCH("-",'R.M Billets Reports'!D158)+1,200)),"")),IF(ISNUMBER(SEARCH("Party Name:-",'R.M Billets Reports'!D159)),TRIM('R.M Billets Reports'!F159),IF(ISNUMBER(SEARCH("Party Name-",'R.M Billets Reports'!D159)),TRIM(MID('R.M Billets Reports'!D159,SEARCH("-",'R.M Billets Reports'!D159)+1,200)),"")))="VRKP ISPAT PVT LTD","VRKP",IF(IF(IF(ISNUMBER(SEARCH("Party Name:-",'R.M Billets Reports'!D158)),TRIM('R.M Billets Reports'!F158),IF(ISNUMBER(SEARCH("Party Name-",'R.M Billets Reports'!D158)),TRIM(MID('R.M Billets Reports'!D158,SEARCH("-",'R.M Billets Reports'!D158)+1,200)),""))&lt;&gt;"",IF(ISNUMBER(SEARCH("Party Name:-",'R.M Billets Reports'!D158)),TRIM('R.M Billets Reports'!F158),IF(ISNUMBER(SEARCH("Party Name-",'R.M Billets Reports'!D158)),TRIM(MID('R.M Billets Reports'!D158,SEARCH("-",'R.M Billets Reports'!D158)+1,200)),"")),IF(ISNUMBER(SEARCH("Party Name:-",'R.M Billets Reports'!D159)),TRIM('R.M Billets Reports'!F159),IF(ISNUMBER(SEARCH("Party Name-",'R.M Billets Reports'!D159)),TRIM(MID('R.M Billets Reports'!D159,SEARCH("-",'R.M Billets Reports'!D159)+1,200)),"")))="SHRI RADHE","SHREE RADHE",IF(IF(IF(ISNUMBER(SEARCH("Party Name:-",'R.M Billets Reports'!D158)),TRIM('R.M Billets Reports'!F158),IF(ISNUMBER(SEARCH("Party Name-",'R.M Billets Reports'!D158)),TRIM(MID('R.M Billets Reports'!D158,SEARCH("-",'R.M Billets Reports'!D158)+1,200)),""))&lt;&gt;"",IF(ISNUMBER(SEARCH("Party Name:-",'R.M Billets Reports'!D158)),TRIM('R.M Billets Reports'!F158),IF(ISNUMBER(SEARCH("Party Name-",'R.M Billets Reports'!D158)),TRIM(MID('R.M Billets Reports'!D158,SEARCH("-",'R.M Billets Reports'!D158)+1,200)),"")),IF(ISNUMBER(SEARCH("Party Name:-",'R.M Billets Reports'!D159)),TRIM('R.M Billets Reports'!F159),IF(ISNUMBER(SEARCH("Party Name-",'R.M Billets Reports'!D159)),TRIM(MID('R.M Billets Reports'!D159,SEARCH("-",'R.M Billets Reports'!D159)+1,200)),"")))="SHREE RADHE SHAKTI SPONGE AND POWER PVT. LTD.","SHREE RADHE",IF(IF(ISNUMBER(SEARCH("Party Name:-",'R.M Billets Reports'!D158)),TRIM('R.M Billets Reports'!F158),IF(ISNUMBER(SEARCH("Party Name-",'R.M Billets Reports'!D158)),TRIM(MID('R.M Billets Reports'!D158,SEARCH("-",'R.M Billets Reports'!D158)+1,200)),""))&lt;&gt;"",IF(ISNUMBER(SEARCH("Party Name:-",'R.M Billets Reports'!D158)),TRIM('R.M Billets Reports'!F158),IF(ISNUMBER(SEARCH("Party Name-",'R.M Billets Reports'!D158)),TRIM(MID('R.M Billets Reports'!D158,SEARCH("-",'R.M Billets Reports'!D158)+1,200)),"")),IF(ISNUMBER(SEARCH("Party Name:-",'R.M Billets Reports'!D159)),TRIM('R.M Billets Reports'!F159),IF(ISNUMBER(SEARCH("Party Name-",'R.M Billets Reports'!D159)),TRIM(MID('R.M Billets Reports'!D159,SEARCH("-",'R.M Billets Reports'!D159)+1,200)),"")))))),IF(ROW()=2,"",A158))</f>
      </c>
      <c r="B159">
        <f>IF(OR('R.M Billets Reports'!A158="Date-",'R.M Billets Reports'!A158="Date:-"),'R.M Billets Reports'!B158,IF(ROW()=2,"",B158))</f>
      </c>
      <c r="C159">
        <f>IF('R.M Billets Reports'!A158="V.No.",'R.M Billets Reports'!B158,IF(ROW()=2,"",C158))</f>
      </c>
      <c r="D159">
        <f>IF('R.M Billets Reports'!A158&lt;&gt;"",'R.M Billets Reports'!A158,IF(ROW()=2,"",D158))</f>
      </c>
      <c r="E159">
        <f>IF('R.M Billets Reports'!B158="","",TRIM('R.M Billets Reports'!B158))</f>
      </c>
      <c r="F159">
        <f>'R.M Billets Reports'!C158</f>
      </c>
      <c r="G159">
        <f>'R.M Billets Reports'!D158</f>
      </c>
      <c r="H159">
        <f>'R.M Billets Reports'!E158</f>
      </c>
      <c r="I159">
        <f>'R.M Billets Reports'!F158</f>
      </c>
      <c r="J159">
        <f>'R.M Billets Reports'!G158</f>
      </c>
      <c r="K159">
        <f>'R.M Billets Reports'!H158</f>
      </c>
      <c r="L159">
        <f>IF('R.M Billets Reports'!I158="","",'R.M Billets Reports'!I158)</f>
      </c>
      <c r="M159">
        <f t="shared" si="4"/>
      </c>
      <c r="N159">
        <f>IF('R.M Billets Reports'!J158="","",'R.M Billets Reports'!J158)</f>
      </c>
      <c r="O159">
        <f t="shared" si="5"/>
      </c>
      <c r="P159">
        <f>IF('R.M Billets Reports'!A158="SIZE",'R.M Billets Reports'!B158,P158)</f>
      </c>
    </row>
    <row r="160" spans="1:16" x14ac:dyDescent="0.25">
      <c r="A160">
        <f>IF(OR('R.M Billets Reports'!A159="Date-",'R.M Billets Reports'!A159="Date:-"),IF(IF(IF(ISNUMBER(SEARCH("Party Name:-",'R.M Billets Reports'!D159)),TRIM('R.M Billets Reports'!F159),IF(ISNUMBER(SEARCH("Party Name-",'R.M Billets Reports'!D159)),TRIM(MID('R.M Billets Reports'!D159,SEARCH("-",'R.M Billets Reports'!D159)+1,200)),""))&lt;&gt;"",IF(ISNUMBER(SEARCH("Party Name:-",'R.M Billets Reports'!D159)),TRIM('R.M Billets Reports'!F159),IF(ISNUMBER(SEARCH("Party Name-",'R.M Billets Reports'!D159)),TRIM(MID('R.M Billets Reports'!D159,SEARCH("-",'R.M Billets Reports'!D159)+1,200)),"")),IF(ISNUMBER(SEARCH("Party Name:-",'R.M Billets Reports'!D160)),TRIM('R.M Billets Reports'!F160),IF(ISNUMBER(SEARCH("Party Name-",'R.M Billets Reports'!D160)),TRIM(MID('R.M Billets Reports'!D160,SEARCH("-",'R.M Billets Reports'!D160)+1,200)),"")))="VRKP ISPAT PVT LTD","VRKP",IF(IF(IF(ISNUMBER(SEARCH("Party Name:-",'R.M Billets Reports'!D159)),TRIM('R.M Billets Reports'!F159),IF(ISNUMBER(SEARCH("Party Name-",'R.M Billets Reports'!D159)),TRIM(MID('R.M Billets Reports'!D159,SEARCH("-",'R.M Billets Reports'!D159)+1,200)),""))&lt;&gt;"",IF(ISNUMBER(SEARCH("Party Name:-",'R.M Billets Reports'!D159)),TRIM('R.M Billets Reports'!F159),IF(ISNUMBER(SEARCH("Party Name-",'R.M Billets Reports'!D159)),TRIM(MID('R.M Billets Reports'!D159,SEARCH("-",'R.M Billets Reports'!D159)+1,200)),"")),IF(ISNUMBER(SEARCH("Party Name:-",'R.M Billets Reports'!D160)),TRIM('R.M Billets Reports'!F160),IF(ISNUMBER(SEARCH("Party Name-",'R.M Billets Reports'!D160)),TRIM(MID('R.M Billets Reports'!D160,SEARCH("-",'R.M Billets Reports'!D160)+1,200)),"")))="SHRI RADHE","SHREE RADHE",IF(IF(IF(ISNUMBER(SEARCH("Party Name:-",'R.M Billets Reports'!D159)),TRIM('R.M Billets Reports'!F159),IF(ISNUMBER(SEARCH("Party Name-",'R.M Billets Reports'!D159)),TRIM(MID('R.M Billets Reports'!D159,SEARCH("-",'R.M Billets Reports'!D159)+1,200)),""))&lt;&gt;"",IF(ISNUMBER(SEARCH("Party Name:-",'R.M Billets Reports'!D159)),TRIM('R.M Billets Reports'!F159),IF(ISNUMBER(SEARCH("Party Name-",'R.M Billets Reports'!D159)),TRIM(MID('R.M Billets Reports'!D159,SEARCH("-",'R.M Billets Reports'!D159)+1,200)),"")),IF(ISNUMBER(SEARCH("Party Name:-",'R.M Billets Reports'!D160)),TRIM('R.M Billets Reports'!F160),IF(ISNUMBER(SEARCH("Party Name-",'R.M Billets Reports'!D160)),TRIM(MID('R.M Billets Reports'!D160,SEARCH("-",'R.M Billets Reports'!D160)+1,200)),"")))="SHREE RADHE SHAKTI SPONGE AND POWER PVT. LTD.","SHREE RADHE",IF(IF(ISNUMBER(SEARCH("Party Name:-",'R.M Billets Reports'!D159)),TRIM('R.M Billets Reports'!F159),IF(ISNUMBER(SEARCH("Party Name-",'R.M Billets Reports'!D159)),TRIM(MID('R.M Billets Reports'!D159,SEARCH("-",'R.M Billets Reports'!D159)+1,200)),""))&lt;&gt;"",IF(ISNUMBER(SEARCH("Party Name:-",'R.M Billets Reports'!D159)),TRIM('R.M Billets Reports'!F159),IF(ISNUMBER(SEARCH("Party Name-",'R.M Billets Reports'!D159)),TRIM(MID('R.M Billets Reports'!D159,SEARCH("-",'R.M Billets Reports'!D159)+1,200)),"")),IF(ISNUMBER(SEARCH("Party Name:-",'R.M Billets Reports'!D160)),TRIM('R.M Billets Reports'!F160),IF(ISNUMBER(SEARCH("Party Name-",'R.M Billets Reports'!D160)),TRIM(MID('R.M Billets Reports'!D160,SEARCH("-",'R.M Billets Reports'!D160)+1,200)),"")))))),IF(ROW()=2,"",A159))</f>
      </c>
      <c r="B160">
        <f>IF(OR('R.M Billets Reports'!A159="Date-",'R.M Billets Reports'!A159="Date:-"),'R.M Billets Reports'!B159,IF(ROW()=2,"",B159))</f>
      </c>
      <c r="C160">
        <f>IF('R.M Billets Reports'!A159="V.No.",'R.M Billets Reports'!B159,IF(ROW()=2,"",C159))</f>
      </c>
      <c r="D160">
        <f>IF('R.M Billets Reports'!A159&lt;&gt;"",'R.M Billets Reports'!A159,IF(ROW()=2,"",D159))</f>
      </c>
      <c r="E160">
        <f>IF('R.M Billets Reports'!B159="","",TRIM('R.M Billets Reports'!B159))</f>
      </c>
      <c r="F160">
        <f>'R.M Billets Reports'!C159</f>
      </c>
      <c r="G160">
        <f>'R.M Billets Reports'!D159</f>
      </c>
      <c r="H160">
        <f>'R.M Billets Reports'!E159</f>
      </c>
      <c r="I160">
        <f>'R.M Billets Reports'!F159</f>
      </c>
      <c r="J160">
        <f>'R.M Billets Reports'!G159</f>
      </c>
      <c r="K160">
        <f>'R.M Billets Reports'!H159</f>
      </c>
      <c r="L160">
        <f>IF('R.M Billets Reports'!I159="","",'R.M Billets Reports'!I159)</f>
      </c>
      <c r="M160">
        <f t="shared" si="4"/>
      </c>
      <c r="N160">
        <f>IF('R.M Billets Reports'!J159="","",'R.M Billets Reports'!J159)</f>
      </c>
      <c r="O160">
        <f t="shared" si="5"/>
      </c>
      <c r="P160">
        <f>IF('R.M Billets Reports'!A159="SIZE",'R.M Billets Reports'!B159,P159)</f>
      </c>
    </row>
    <row r="161" spans="1:16" x14ac:dyDescent="0.25">
      <c r="A161">
        <f>IF(OR('R.M Billets Reports'!A160="Date-",'R.M Billets Reports'!A160="Date:-"),IF(IF(IF(ISNUMBER(SEARCH("Party Name:-",'R.M Billets Reports'!D160)),TRIM('R.M Billets Reports'!F160),IF(ISNUMBER(SEARCH("Party Name-",'R.M Billets Reports'!D160)),TRIM(MID('R.M Billets Reports'!D160,SEARCH("-",'R.M Billets Reports'!D160)+1,200)),""))&lt;&gt;"",IF(ISNUMBER(SEARCH("Party Name:-",'R.M Billets Reports'!D160)),TRIM('R.M Billets Reports'!F160),IF(ISNUMBER(SEARCH("Party Name-",'R.M Billets Reports'!D160)),TRIM(MID('R.M Billets Reports'!D160,SEARCH("-",'R.M Billets Reports'!D160)+1,200)),"")),IF(ISNUMBER(SEARCH("Party Name:-",'R.M Billets Reports'!D161)),TRIM('R.M Billets Reports'!F161),IF(ISNUMBER(SEARCH("Party Name-",'R.M Billets Reports'!D161)),TRIM(MID('R.M Billets Reports'!D161,SEARCH("-",'R.M Billets Reports'!D161)+1,200)),"")))="VRKP ISPAT PVT LTD","VRKP",IF(IF(IF(ISNUMBER(SEARCH("Party Name:-",'R.M Billets Reports'!D160)),TRIM('R.M Billets Reports'!F160),IF(ISNUMBER(SEARCH("Party Name-",'R.M Billets Reports'!D160)),TRIM(MID('R.M Billets Reports'!D160,SEARCH("-",'R.M Billets Reports'!D160)+1,200)),""))&lt;&gt;"",IF(ISNUMBER(SEARCH("Party Name:-",'R.M Billets Reports'!D160)),TRIM('R.M Billets Reports'!F160),IF(ISNUMBER(SEARCH("Party Name-",'R.M Billets Reports'!D160)),TRIM(MID('R.M Billets Reports'!D160,SEARCH("-",'R.M Billets Reports'!D160)+1,200)),"")),IF(ISNUMBER(SEARCH("Party Name:-",'R.M Billets Reports'!D161)),TRIM('R.M Billets Reports'!F161),IF(ISNUMBER(SEARCH("Party Name-",'R.M Billets Reports'!D161)),TRIM(MID('R.M Billets Reports'!D161,SEARCH("-",'R.M Billets Reports'!D161)+1,200)),"")))="SHRI RADHE","SHREE RADHE",IF(IF(IF(ISNUMBER(SEARCH("Party Name:-",'R.M Billets Reports'!D160)),TRIM('R.M Billets Reports'!F160),IF(ISNUMBER(SEARCH("Party Name-",'R.M Billets Reports'!D160)),TRIM(MID('R.M Billets Reports'!D160,SEARCH("-",'R.M Billets Reports'!D160)+1,200)),""))&lt;&gt;"",IF(ISNUMBER(SEARCH("Party Name:-",'R.M Billets Reports'!D160)),TRIM('R.M Billets Reports'!F160),IF(ISNUMBER(SEARCH("Party Name-",'R.M Billets Reports'!D160)),TRIM(MID('R.M Billets Reports'!D160,SEARCH("-",'R.M Billets Reports'!D160)+1,200)),"")),IF(ISNUMBER(SEARCH("Party Name:-",'R.M Billets Reports'!D161)),TRIM('R.M Billets Reports'!F161),IF(ISNUMBER(SEARCH("Party Name-",'R.M Billets Reports'!D161)),TRIM(MID('R.M Billets Reports'!D161,SEARCH("-",'R.M Billets Reports'!D161)+1,200)),"")))="SHREE RADHE SHAKTI SPONGE AND POWER PVT. LTD.","SHREE RADHE",IF(IF(ISNUMBER(SEARCH("Party Name:-",'R.M Billets Reports'!D160)),TRIM('R.M Billets Reports'!F160),IF(ISNUMBER(SEARCH("Party Name-",'R.M Billets Reports'!D160)),TRIM(MID('R.M Billets Reports'!D160,SEARCH("-",'R.M Billets Reports'!D160)+1,200)),""))&lt;&gt;"",IF(ISNUMBER(SEARCH("Party Name:-",'R.M Billets Reports'!D160)),TRIM('R.M Billets Reports'!F160),IF(ISNUMBER(SEARCH("Party Name-",'R.M Billets Reports'!D160)),TRIM(MID('R.M Billets Reports'!D160,SEARCH("-",'R.M Billets Reports'!D160)+1,200)),"")),IF(ISNUMBER(SEARCH("Party Name:-",'R.M Billets Reports'!D161)),TRIM('R.M Billets Reports'!F161),IF(ISNUMBER(SEARCH("Party Name-",'R.M Billets Reports'!D161)),TRIM(MID('R.M Billets Reports'!D161,SEARCH("-",'R.M Billets Reports'!D161)+1,200)),"")))))),IF(ROW()=2,"",A160))</f>
      </c>
      <c r="B161">
        <f>IF(OR('R.M Billets Reports'!A160="Date-",'R.M Billets Reports'!A160="Date:-"),'R.M Billets Reports'!B160,IF(ROW()=2,"",B160))</f>
      </c>
      <c r="C161">
        <f>IF('R.M Billets Reports'!A160="V.No.",'R.M Billets Reports'!B160,IF(ROW()=2,"",C160))</f>
      </c>
      <c r="D161">
        <f>IF('R.M Billets Reports'!A160&lt;&gt;"",'R.M Billets Reports'!A160,IF(ROW()=2,"",D160))</f>
      </c>
      <c r="E161">
        <f>IF('R.M Billets Reports'!B160="","",TRIM('R.M Billets Reports'!B160))</f>
      </c>
      <c r="F161">
        <f>'R.M Billets Reports'!C160</f>
      </c>
      <c r="G161">
        <f>'R.M Billets Reports'!D160</f>
      </c>
      <c r="H161">
        <f>'R.M Billets Reports'!E160</f>
      </c>
      <c r="I161">
        <f>'R.M Billets Reports'!F160</f>
      </c>
      <c r="J161">
        <f>'R.M Billets Reports'!G160</f>
      </c>
      <c r="K161">
        <f>'R.M Billets Reports'!H160</f>
      </c>
      <c r="L161">
        <f>IF('R.M Billets Reports'!I160="","",'R.M Billets Reports'!I160)</f>
      </c>
      <c r="M161">
        <f t="shared" si="4"/>
      </c>
      <c r="N161">
        <f>IF('R.M Billets Reports'!J160="","",'R.M Billets Reports'!J160)</f>
      </c>
      <c r="O161">
        <f t="shared" si="5"/>
      </c>
      <c r="P161">
        <f>IF('R.M Billets Reports'!A160="SIZE",'R.M Billets Reports'!B160,P160)</f>
      </c>
    </row>
    <row r="162" spans="1:16" x14ac:dyDescent="0.25">
      <c r="A162">
        <f>IF(OR('R.M Billets Reports'!A161="Date-",'R.M Billets Reports'!A161="Date:-"),IF(IF(IF(ISNUMBER(SEARCH("Party Name:-",'R.M Billets Reports'!D161)),TRIM('R.M Billets Reports'!F161),IF(ISNUMBER(SEARCH("Party Name-",'R.M Billets Reports'!D161)),TRIM(MID('R.M Billets Reports'!D161,SEARCH("-",'R.M Billets Reports'!D161)+1,200)),""))&lt;&gt;"",IF(ISNUMBER(SEARCH("Party Name:-",'R.M Billets Reports'!D161)),TRIM('R.M Billets Reports'!F161),IF(ISNUMBER(SEARCH("Party Name-",'R.M Billets Reports'!D161)),TRIM(MID('R.M Billets Reports'!D161,SEARCH("-",'R.M Billets Reports'!D161)+1,200)),"")),IF(ISNUMBER(SEARCH("Party Name:-",'R.M Billets Reports'!D162)),TRIM('R.M Billets Reports'!F162),IF(ISNUMBER(SEARCH("Party Name-",'R.M Billets Reports'!D162)),TRIM(MID('R.M Billets Reports'!D162,SEARCH("-",'R.M Billets Reports'!D162)+1,200)),"")))="VRKP ISPAT PVT LTD","VRKP",IF(IF(IF(ISNUMBER(SEARCH("Party Name:-",'R.M Billets Reports'!D161)),TRIM('R.M Billets Reports'!F161),IF(ISNUMBER(SEARCH("Party Name-",'R.M Billets Reports'!D161)),TRIM(MID('R.M Billets Reports'!D161,SEARCH("-",'R.M Billets Reports'!D161)+1,200)),""))&lt;&gt;"",IF(ISNUMBER(SEARCH("Party Name:-",'R.M Billets Reports'!D161)),TRIM('R.M Billets Reports'!F161),IF(ISNUMBER(SEARCH("Party Name-",'R.M Billets Reports'!D161)),TRIM(MID('R.M Billets Reports'!D161,SEARCH("-",'R.M Billets Reports'!D161)+1,200)),"")),IF(ISNUMBER(SEARCH("Party Name:-",'R.M Billets Reports'!D162)),TRIM('R.M Billets Reports'!F162),IF(ISNUMBER(SEARCH("Party Name-",'R.M Billets Reports'!D162)),TRIM(MID('R.M Billets Reports'!D162,SEARCH("-",'R.M Billets Reports'!D162)+1,200)),"")))="SHRI RADHE","SHREE RADHE",IF(IF(IF(ISNUMBER(SEARCH("Party Name:-",'R.M Billets Reports'!D161)),TRIM('R.M Billets Reports'!F161),IF(ISNUMBER(SEARCH("Party Name-",'R.M Billets Reports'!D161)),TRIM(MID('R.M Billets Reports'!D161,SEARCH("-",'R.M Billets Reports'!D161)+1,200)),""))&lt;&gt;"",IF(ISNUMBER(SEARCH("Party Name:-",'R.M Billets Reports'!D161)),TRIM('R.M Billets Reports'!F161),IF(ISNUMBER(SEARCH("Party Name-",'R.M Billets Reports'!D161)),TRIM(MID('R.M Billets Reports'!D161,SEARCH("-",'R.M Billets Reports'!D161)+1,200)),"")),IF(ISNUMBER(SEARCH("Party Name:-",'R.M Billets Reports'!D162)),TRIM('R.M Billets Reports'!F162),IF(ISNUMBER(SEARCH("Party Name-",'R.M Billets Reports'!D162)),TRIM(MID('R.M Billets Reports'!D162,SEARCH("-",'R.M Billets Reports'!D162)+1,200)),"")))="SHREE RADHE SHAKTI SPONGE AND POWER PVT. LTD.","SHREE RADHE",IF(IF(ISNUMBER(SEARCH("Party Name:-",'R.M Billets Reports'!D161)),TRIM('R.M Billets Reports'!F161),IF(ISNUMBER(SEARCH("Party Name-",'R.M Billets Reports'!D161)),TRIM(MID('R.M Billets Reports'!D161,SEARCH("-",'R.M Billets Reports'!D161)+1,200)),""))&lt;&gt;"",IF(ISNUMBER(SEARCH("Party Name:-",'R.M Billets Reports'!D161)),TRIM('R.M Billets Reports'!F161),IF(ISNUMBER(SEARCH("Party Name-",'R.M Billets Reports'!D161)),TRIM(MID('R.M Billets Reports'!D161,SEARCH("-",'R.M Billets Reports'!D161)+1,200)),"")),IF(ISNUMBER(SEARCH("Party Name:-",'R.M Billets Reports'!D162)),TRIM('R.M Billets Reports'!F162),IF(ISNUMBER(SEARCH("Party Name-",'R.M Billets Reports'!D162)),TRIM(MID('R.M Billets Reports'!D162,SEARCH("-",'R.M Billets Reports'!D162)+1,200)),"")))))),IF(ROW()=2,"",A161))</f>
      </c>
      <c r="B162">
        <f>IF(OR('R.M Billets Reports'!A161="Date-",'R.M Billets Reports'!A161="Date:-"),'R.M Billets Reports'!B161,IF(ROW()=2,"",B161))</f>
      </c>
      <c r="C162">
        <f>IF('R.M Billets Reports'!A161="V.No.",'R.M Billets Reports'!B161,IF(ROW()=2,"",C161))</f>
      </c>
      <c r="D162">
        <f>IF('R.M Billets Reports'!A161&lt;&gt;"",'R.M Billets Reports'!A161,IF(ROW()=2,"",D161))</f>
      </c>
      <c r="E162">
        <f>IF('R.M Billets Reports'!B161="","",TRIM('R.M Billets Reports'!B161))</f>
      </c>
      <c r="F162">
        <f>'R.M Billets Reports'!C161</f>
      </c>
      <c r="G162">
        <f>'R.M Billets Reports'!D161</f>
      </c>
      <c r="H162">
        <f>'R.M Billets Reports'!E161</f>
      </c>
      <c r="I162">
        <f>'R.M Billets Reports'!F161</f>
      </c>
      <c r="J162">
        <f>'R.M Billets Reports'!G161</f>
      </c>
      <c r="K162">
        <f>'R.M Billets Reports'!H161</f>
      </c>
      <c r="L162">
        <f>IF('R.M Billets Reports'!I161="","",'R.M Billets Reports'!I161)</f>
      </c>
      <c r="M162">
        <f t="shared" si="4"/>
      </c>
      <c r="N162">
        <f>IF('R.M Billets Reports'!J161="","",'R.M Billets Reports'!J161)</f>
      </c>
      <c r="O162">
        <f t="shared" si="5"/>
      </c>
      <c r="P162">
        <f>IF('R.M Billets Reports'!A161="SIZE",'R.M Billets Reports'!B161,P161)</f>
      </c>
    </row>
    <row r="163" spans="1:16" x14ac:dyDescent="0.25">
      <c r="A163">
        <f>IF(OR('R.M Billets Reports'!A162="Date-",'R.M Billets Reports'!A162="Date:-"),IF(IF(IF(ISNUMBER(SEARCH("Party Name:-",'R.M Billets Reports'!D162)),TRIM('R.M Billets Reports'!F162),IF(ISNUMBER(SEARCH("Party Name-",'R.M Billets Reports'!D162)),TRIM(MID('R.M Billets Reports'!D162,SEARCH("-",'R.M Billets Reports'!D162)+1,200)),""))&lt;&gt;"",IF(ISNUMBER(SEARCH("Party Name:-",'R.M Billets Reports'!D162)),TRIM('R.M Billets Reports'!F162),IF(ISNUMBER(SEARCH("Party Name-",'R.M Billets Reports'!D162)),TRIM(MID('R.M Billets Reports'!D162,SEARCH("-",'R.M Billets Reports'!D162)+1,200)),"")),IF(ISNUMBER(SEARCH("Party Name:-",'R.M Billets Reports'!D163)),TRIM('R.M Billets Reports'!F163),IF(ISNUMBER(SEARCH("Party Name-",'R.M Billets Reports'!D163)),TRIM(MID('R.M Billets Reports'!D163,SEARCH("-",'R.M Billets Reports'!D163)+1,200)),"")))="VRKP ISPAT PVT LTD","VRKP",IF(IF(IF(ISNUMBER(SEARCH("Party Name:-",'R.M Billets Reports'!D162)),TRIM('R.M Billets Reports'!F162),IF(ISNUMBER(SEARCH("Party Name-",'R.M Billets Reports'!D162)),TRIM(MID('R.M Billets Reports'!D162,SEARCH("-",'R.M Billets Reports'!D162)+1,200)),""))&lt;&gt;"",IF(ISNUMBER(SEARCH("Party Name:-",'R.M Billets Reports'!D162)),TRIM('R.M Billets Reports'!F162),IF(ISNUMBER(SEARCH("Party Name-",'R.M Billets Reports'!D162)),TRIM(MID('R.M Billets Reports'!D162,SEARCH("-",'R.M Billets Reports'!D162)+1,200)),"")),IF(ISNUMBER(SEARCH("Party Name:-",'R.M Billets Reports'!D163)),TRIM('R.M Billets Reports'!F163),IF(ISNUMBER(SEARCH("Party Name-",'R.M Billets Reports'!D163)),TRIM(MID('R.M Billets Reports'!D163,SEARCH("-",'R.M Billets Reports'!D163)+1,200)),"")))="SHRI RADHE","SHREE RADHE",IF(IF(IF(ISNUMBER(SEARCH("Party Name:-",'R.M Billets Reports'!D162)),TRIM('R.M Billets Reports'!F162),IF(ISNUMBER(SEARCH("Party Name-",'R.M Billets Reports'!D162)),TRIM(MID('R.M Billets Reports'!D162,SEARCH("-",'R.M Billets Reports'!D162)+1,200)),""))&lt;&gt;"",IF(ISNUMBER(SEARCH("Party Name:-",'R.M Billets Reports'!D162)),TRIM('R.M Billets Reports'!F162),IF(ISNUMBER(SEARCH("Party Name-",'R.M Billets Reports'!D162)),TRIM(MID('R.M Billets Reports'!D162,SEARCH("-",'R.M Billets Reports'!D162)+1,200)),"")),IF(ISNUMBER(SEARCH("Party Name:-",'R.M Billets Reports'!D163)),TRIM('R.M Billets Reports'!F163),IF(ISNUMBER(SEARCH("Party Name-",'R.M Billets Reports'!D163)),TRIM(MID('R.M Billets Reports'!D163,SEARCH("-",'R.M Billets Reports'!D163)+1,200)),"")))="SHREE RADHE SHAKTI SPONGE AND POWER PVT. LTD.","SHREE RADHE",IF(IF(ISNUMBER(SEARCH("Party Name:-",'R.M Billets Reports'!D162)),TRIM('R.M Billets Reports'!F162),IF(ISNUMBER(SEARCH("Party Name-",'R.M Billets Reports'!D162)),TRIM(MID('R.M Billets Reports'!D162,SEARCH("-",'R.M Billets Reports'!D162)+1,200)),""))&lt;&gt;"",IF(ISNUMBER(SEARCH("Party Name:-",'R.M Billets Reports'!D162)),TRIM('R.M Billets Reports'!F162),IF(ISNUMBER(SEARCH("Party Name-",'R.M Billets Reports'!D162)),TRIM(MID('R.M Billets Reports'!D162,SEARCH("-",'R.M Billets Reports'!D162)+1,200)),"")),IF(ISNUMBER(SEARCH("Party Name:-",'R.M Billets Reports'!D163)),TRIM('R.M Billets Reports'!F163),IF(ISNUMBER(SEARCH("Party Name-",'R.M Billets Reports'!D163)),TRIM(MID('R.M Billets Reports'!D163,SEARCH("-",'R.M Billets Reports'!D163)+1,200)),"")))))),IF(ROW()=2,"",A162))</f>
      </c>
      <c r="B163">
        <f>IF(OR('R.M Billets Reports'!A162="Date-",'R.M Billets Reports'!A162="Date:-"),'R.M Billets Reports'!B162,IF(ROW()=2,"",B162))</f>
      </c>
      <c r="C163">
        <f>IF('R.M Billets Reports'!A162="V.No.",'R.M Billets Reports'!B162,IF(ROW()=2,"",C162))</f>
      </c>
      <c r="D163">
        <f>IF('R.M Billets Reports'!A162&lt;&gt;"",'R.M Billets Reports'!A162,IF(ROW()=2,"",D162))</f>
      </c>
      <c r="E163">
        <f>IF('R.M Billets Reports'!B162="","",TRIM('R.M Billets Reports'!B162))</f>
      </c>
      <c r="F163">
        <f>'R.M Billets Reports'!C162</f>
      </c>
      <c r="G163">
        <f>'R.M Billets Reports'!D162</f>
      </c>
      <c r="H163">
        <f>'R.M Billets Reports'!E162</f>
      </c>
      <c r="I163">
        <f>'R.M Billets Reports'!F162</f>
      </c>
      <c r="J163">
        <f>'R.M Billets Reports'!G162</f>
      </c>
      <c r="K163">
        <f>'R.M Billets Reports'!H162</f>
      </c>
      <c r="L163">
        <f>IF('R.M Billets Reports'!I162="","",'R.M Billets Reports'!I162)</f>
      </c>
      <c r="M163">
        <f t="shared" si="4"/>
      </c>
      <c r="N163">
        <f>IF('R.M Billets Reports'!J162="","",'R.M Billets Reports'!J162)</f>
      </c>
      <c r="O163">
        <f t="shared" si="5"/>
      </c>
      <c r="P163">
        <f>IF('R.M Billets Reports'!A162="SIZE",'R.M Billets Reports'!B162,P162)</f>
      </c>
    </row>
    <row r="164" spans="1:16" x14ac:dyDescent="0.25">
      <c r="A164">
        <f>IF(OR('R.M Billets Reports'!A163="Date-",'R.M Billets Reports'!A163="Date:-"),IF(IF(IF(ISNUMBER(SEARCH("Party Name:-",'R.M Billets Reports'!D163)),TRIM('R.M Billets Reports'!F163),IF(ISNUMBER(SEARCH("Party Name-",'R.M Billets Reports'!D163)),TRIM(MID('R.M Billets Reports'!D163,SEARCH("-",'R.M Billets Reports'!D163)+1,200)),""))&lt;&gt;"",IF(ISNUMBER(SEARCH("Party Name:-",'R.M Billets Reports'!D163)),TRIM('R.M Billets Reports'!F163),IF(ISNUMBER(SEARCH("Party Name-",'R.M Billets Reports'!D163)),TRIM(MID('R.M Billets Reports'!D163,SEARCH("-",'R.M Billets Reports'!D163)+1,200)),"")),IF(ISNUMBER(SEARCH("Party Name:-",'R.M Billets Reports'!D164)),TRIM('R.M Billets Reports'!F164),IF(ISNUMBER(SEARCH("Party Name-",'R.M Billets Reports'!D164)),TRIM(MID('R.M Billets Reports'!D164,SEARCH("-",'R.M Billets Reports'!D164)+1,200)),"")))="VRKP ISPAT PVT LTD","VRKP",IF(IF(IF(ISNUMBER(SEARCH("Party Name:-",'R.M Billets Reports'!D163)),TRIM('R.M Billets Reports'!F163),IF(ISNUMBER(SEARCH("Party Name-",'R.M Billets Reports'!D163)),TRIM(MID('R.M Billets Reports'!D163,SEARCH("-",'R.M Billets Reports'!D163)+1,200)),""))&lt;&gt;"",IF(ISNUMBER(SEARCH("Party Name:-",'R.M Billets Reports'!D163)),TRIM('R.M Billets Reports'!F163),IF(ISNUMBER(SEARCH("Party Name-",'R.M Billets Reports'!D163)),TRIM(MID('R.M Billets Reports'!D163,SEARCH("-",'R.M Billets Reports'!D163)+1,200)),"")),IF(ISNUMBER(SEARCH("Party Name:-",'R.M Billets Reports'!D164)),TRIM('R.M Billets Reports'!F164),IF(ISNUMBER(SEARCH("Party Name-",'R.M Billets Reports'!D164)),TRIM(MID('R.M Billets Reports'!D164,SEARCH("-",'R.M Billets Reports'!D164)+1,200)),"")))="SHRI RADHE","SHREE RADHE",IF(IF(IF(ISNUMBER(SEARCH("Party Name:-",'R.M Billets Reports'!D163)),TRIM('R.M Billets Reports'!F163),IF(ISNUMBER(SEARCH("Party Name-",'R.M Billets Reports'!D163)),TRIM(MID('R.M Billets Reports'!D163,SEARCH("-",'R.M Billets Reports'!D163)+1,200)),""))&lt;&gt;"",IF(ISNUMBER(SEARCH("Party Name:-",'R.M Billets Reports'!D163)),TRIM('R.M Billets Reports'!F163),IF(ISNUMBER(SEARCH("Party Name-",'R.M Billets Reports'!D163)),TRIM(MID('R.M Billets Reports'!D163,SEARCH("-",'R.M Billets Reports'!D163)+1,200)),"")),IF(ISNUMBER(SEARCH("Party Name:-",'R.M Billets Reports'!D164)),TRIM('R.M Billets Reports'!F164),IF(ISNUMBER(SEARCH("Party Name-",'R.M Billets Reports'!D164)),TRIM(MID('R.M Billets Reports'!D164,SEARCH("-",'R.M Billets Reports'!D164)+1,200)),"")))="SHREE RADHE SHAKTI SPONGE AND POWER PVT. LTD.","SHREE RADHE",IF(IF(ISNUMBER(SEARCH("Party Name:-",'R.M Billets Reports'!D163)),TRIM('R.M Billets Reports'!F163),IF(ISNUMBER(SEARCH("Party Name-",'R.M Billets Reports'!D163)),TRIM(MID('R.M Billets Reports'!D163,SEARCH("-",'R.M Billets Reports'!D163)+1,200)),""))&lt;&gt;"",IF(ISNUMBER(SEARCH("Party Name:-",'R.M Billets Reports'!D163)),TRIM('R.M Billets Reports'!F163),IF(ISNUMBER(SEARCH("Party Name-",'R.M Billets Reports'!D163)),TRIM(MID('R.M Billets Reports'!D163,SEARCH("-",'R.M Billets Reports'!D163)+1,200)),"")),IF(ISNUMBER(SEARCH("Party Name:-",'R.M Billets Reports'!D164)),TRIM('R.M Billets Reports'!F164),IF(ISNUMBER(SEARCH("Party Name-",'R.M Billets Reports'!D164)),TRIM(MID('R.M Billets Reports'!D164,SEARCH("-",'R.M Billets Reports'!D164)+1,200)),"")))))),IF(ROW()=2,"",A163))</f>
      </c>
      <c r="B164">
        <f>IF(OR('R.M Billets Reports'!A163="Date-",'R.M Billets Reports'!A163="Date:-"),'R.M Billets Reports'!B163,IF(ROW()=2,"",B163))</f>
      </c>
      <c r="C164">
        <f>IF('R.M Billets Reports'!A163="V.No.",'R.M Billets Reports'!B163,IF(ROW()=2,"",C163))</f>
      </c>
      <c r="D164">
        <f>IF('R.M Billets Reports'!A163&lt;&gt;"",'R.M Billets Reports'!A163,IF(ROW()=2,"",D163))</f>
      </c>
      <c r="E164">
        <f>IF('R.M Billets Reports'!B163="","",TRIM('R.M Billets Reports'!B163))</f>
      </c>
      <c r="F164">
        <f>'R.M Billets Reports'!C163</f>
      </c>
      <c r="G164">
        <f>'R.M Billets Reports'!D163</f>
      </c>
      <c r="H164">
        <f>'R.M Billets Reports'!E163</f>
      </c>
      <c r="I164">
        <f>'R.M Billets Reports'!F163</f>
      </c>
      <c r="J164">
        <f>'R.M Billets Reports'!G163</f>
      </c>
      <c r="K164">
        <f>'R.M Billets Reports'!H163</f>
      </c>
      <c r="L164">
        <f>IF('R.M Billets Reports'!I163="","",'R.M Billets Reports'!I163)</f>
      </c>
      <c r="M164">
        <f t="shared" si="4"/>
      </c>
      <c r="N164">
        <f>IF('R.M Billets Reports'!J163="","",'R.M Billets Reports'!J163)</f>
      </c>
      <c r="O164">
        <f t="shared" si="5"/>
      </c>
      <c r="P164">
        <f>IF('R.M Billets Reports'!A163="SIZE",'R.M Billets Reports'!B163,P163)</f>
      </c>
    </row>
    <row r="165" spans="1:16" x14ac:dyDescent="0.25">
      <c r="A165">
        <f>IF(OR('R.M Billets Reports'!A164="Date-",'R.M Billets Reports'!A164="Date:-"),IF(IF(IF(ISNUMBER(SEARCH("Party Name:-",'R.M Billets Reports'!D164)),TRIM('R.M Billets Reports'!F164),IF(ISNUMBER(SEARCH("Party Name-",'R.M Billets Reports'!D164)),TRIM(MID('R.M Billets Reports'!D164,SEARCH("-",'R.M Billets Reports'!D164)+1,200)),""))&lt;&gt;"",IF(ISNUMBER(SEARCH("Party Name:-",'R.M Billets Reports'!D164)),TRIM('R.M Billets Reports'!F164),IF(ISNUMBER(SEARCH("Party Name-",'R.M Billets Reports'!D164)),TRIM(MID('R.M Billets Reports'!D164,SEARCH("-",'R.M Billets Reports'!D164)+1,200)),"")),IF(ISNUMBER(SEARCH("Party Name:-",'R.M Billets Reports'!D165)),TRIM('R.M Billets Reports'!F165),IF(ISNUMBER(SEARCH("Party Name-",'R.M Billets Reports'!D165)),TRIM(MID('R.M Billets Reports'!D165,SEARCH("-",'R.M Billets Reports'!D165)+1,200)),"")))="VRKP ISPAT PVT LTD","VRKP",IF(IF(IF(ISNUMBER(SEARCH("Party Name:-",'R.M Billets Reports'!D164)),TRIM('R.M Billets Reports'!F164),IF(ISNUMBER(SEARCH("Party Name-",'R.M Billets Reports'!D164)),TRIM(MID('R.M Billets Reports'!D164,SEARCH("-",'R.M Billets Reports'!D164)+1,200)),""))&lt;&gt;"",IF(ISNUMBER(SEARCH("Party Name:-",'R.M Billets Reports'!D164)),TRIM('R.M Billets Reports'!F164),IF(ISNUMBER(SEARCH("Party Name-",'R.M Billets Reports'!D164)),TRIM(MID('R.M Billets Reports'!D164,SEARCH("-",'R.M Billets Reports'!D164)+1,200)),"")),IF(ISNUMBER(SEARCH("Party Name:-",'R.M Billets Reports'!D165)),TRIM('R.M Billets Reports'!F165),IF(ISNUMBER(SEARCH("Party Name-",'R.M Billets Reports'!D165)),TRIM(MID('R.M Billets Reports'!D165,SEARCH("-",'R.M Billets Reports'!D165)+1,200)),"")))="SHRI RADHE","SHREE RADHE",IF(IF(IF(ISNUMBER(SEARCH("Party Name:-",'R.M Billets Reports'!D164)),TRIM('R.M Billets Reports'!F164),IF(ISNUMBER(SEARCH("Party Name-",'R.M Billets Reports'!D164)),TRIM(MID('R.M Billets Reports'!D164,SEARCH("-",'R.M Billets Reports'!D164)+1,200)),""))&lt;&gt;"",IF(ISNUMBER(SEARCH("Party Name:-",'R.M Billets Reports'!D164)),TRIM('R.M Billets Reports'!F164),IF(ISNUMBER(SEARCH("Party Name-",'R.M Billets Reports'!D164)),TRIM(MID('R.M Billets Reports'!D164,SEARCH("-",'R.M Billets Reports'!D164)+1,200)),"")),IF(ISNUMBER(SEARCH("Party Name:-",'R.M Billets Reports'!D165)),TRIM('R.M Billets Reports'!F165),IF(ISNUMBER(SEARCH("Party Name-",'R.M Billets Reports'!D165)),TRIM(MID('R.M Billets Reports'!D165,SEARCH("-",'R.M Billets Reports'!D165)+1,200)),"")))="SHREE RADHE SHAKTI SPONGE AND POWER PVT. LTD.","SHREE RADHE",IF(IF(ISNUMBER(SEARCH("Party Name:-",'R.M Billets Reports'!D164)),TRIM('R.M Billets Reports'!F164),IF(ISNUMBER(SEARCH("Party Name-",'R.M Billets Reports'!D164)),TRIM(MID('R.M Billets Reports'!D164,SEARCH("-",'R.M Billets Reports'!D164)+1,200)),""))&lt;&gt;"",IF(ISNUMBER(SEARCH("Party Name:-",'R.M Billets Reports'!D164)),TRIM('R.M Billets Reports'!F164),IF(ISNUMBER(SEARCH("Party Name-",'R.M Billets Reports'!D164)),TRIM(MID('R.M Billets Reports'!D164,SEARCH("-",'R.M Billets Reports'!D164)+1,200)),"")),IF(ISNUMBER(SEARCH("Party Name:-",'R.M Billets Reports'!D165)),TRIM('R.M Billets Reports'!F165),IF(ISNUMBER(SEARCH("Party Name-",'R.M Billets Reports'!D165)),TRIM(MID('R.M Billets Reports'!D165,SEARCH("-",'R.M Billets Reports'!D165)+1,200)),"")))))),IF(ROW()=2,"",A164))</f>
      </c>
      <c r="B165">
        <f>IF(OR('R.M Billets Reports'!A164="Date-",'R.M Billets Reports'!A164="Date:-"),'R.M Billets Reports'!B164,IF(ROW()=2,"",B164))</f>
      </c>
      <c r="C165">
        <f>IF('R.M Billets Reports'!A164="V.No.",'R.M Billets Reports'!B164,IF(ROW()=2,"",C164))</f>
      </c>
      <c r="D165">
        <f>IF('R.M Billets Reports'!A164&lt;&gt;"",'R.M Billets Reports'!A164,IF(ROW()=2,"",D164))</f>
      </c>
      <c r="E165">
        <f>IF('R.M Billets Reports'!B164="","",TRIM('R.M Billets Reports'!B164))</f>
      </c>
      <c r="F165">
        <f>'R.M Billets Reports'!C164</f>
      </c>
      <c r="G165">
        <f>'R.M Billets Reports'!D164</f>
      </c>
      <c r="H165">
        <f>'R.M Billets Reports'!E164</f>
      </c>
      <c r="I165">
        <f>'R.M Billets Reports'!F164</f>
      </c>
      <c r="J165">
        <f>'R.M Billets Reports'!G164</f>
      </c>
      <c r="K165">
        <f>'R.M Billets Reports'!H164</f>
      </c>
      <c r="L165">
        <f>IF('R.M Billets Reports'!I164="","",'R.M Billets Reports'!I164)</f>
      </c>
      <c r="M165">
        <f t="shared" si="4"/>
      </c>
      <c r="N165">
        <f>IF('R.M Billets Reports'!J164="","",'R.M Billets Reports'!J164)</f>
      </c>
      <c r="O165">
        <f t="shared" si="5"/>
      </c>
      <c r="P165">
        <f>IF('R.M Billets Reports'!A164="SIZE",'R.M Billets Reports'!B164,P164)</f>
      </c>
    </row>
    <row r="166" spans="1:16" x14ac:dyDescent="0.25">
      <c r="A166">
        <f>IF(OR('R.M Billets Reports'!A165="Date-",'R.M Billets Reports'!A165="Date:-"),IF(IF(IF(ISNUMBER(SEARCH("Party Name:-",'R.M Billets Reports'!D165)),TRIM('R.M Billets Reports'!F165),IF(ISNUMBER(SEARCH("Party Name-",'R.M Billets Reports'!D165)),TRIM(MID('R.M Billets Reports'!D165,SEARCH("-",'R.M Billets Reports'!D165)+1,200)),""))&lt;&gt;"",IF(ISNUMBER(SEARCH("Party Name:-",'R.M Billets Reports'!D165)),TRIM('R.M Billets Reports'!F165),IF(ISNUMBER(SEARCH("Party Name-",'R.M Billets Reports'!D165)),TRIM(MID('R.M Billets Reports'!D165,SEARCH("-",'R.M Billets Reports'!D165)+1,200)),"")),IF(ISNUMBER(SEARCH("Party Name:-",'R.M Billets Reports'!D166)),TRIM('R.M Billets Reports'!F166),IF(ISNUMBER(SEARCH("Party Name-",'R.M Billets Reports'!D166)),TRIM(MID('R.M Billets Reports'!D166,SEARCH("-",'R.M Billets Reports'!D166)+1,200)),"")))="VRKP ISPAT PVT LTD","VRKP",IF(IF(IF(ISNUMBER(SEARCH("Party Name:-",'R.M Billets Reports'!D165)),TRIM('R.M Billets Reports'!F165),IF(ISNUMBER(SEARCH("Party Name-",'R.M Billets Reports'!D165)),TRIM(MID('R.M Billets Reports'!D165,SEARCH("-",'R.M Billets Reports'!D165)+1,200)),""))&lt;&gt;"",IF(ISNUMBER(SEARCH("Party Name:-",'R.M Billets Reports'!D165)),TRIM('R.M Billets Reports'!F165),IF(ISNUMBER(SEARCH("Party Name-",'R.M Billets Reports'!D165)),TRIM(MID('R.M Billets Reports'!D165,SEARCH("-",'R.M Billets Reports'!D165)+1,200)),"")),IF(ISNUMBER(SEARCH("Party Name:-",'R.M Billets Reports'!D166)),TRIM('R.M Billets Reports'!F166),IF(ISNUMBER(SEARCH("Party Name-",'R.M Billets Reports'!D166)),TRIM(MID('R.M Billets Reports'!D166,SEARCH("-",'R.M Billets Reports'!D166)+1,200)),"")))="SHRI RADHE","SHREE RADHE",IF(IF(IF(ISNUMBER(SEARCH("Party Name:-",'R.M Billets Reports'!D165)),TRIM('R.M Billets Reports'!F165),IF(ISNUMBER(SEARCH("Party Name-",'R.M Billets Reports'!D165)),TRIM(MID('R.M Billets Reports'!D165,SEARCH("-",'R.M Billets Reports'!D165)+1,200)),""))&lt;&gt;"",IF(ISNUMBER(SEARCH("Party Name:-",'R.M Billets Reports'!D165)),TRIM('R.M Billets Reports'!F165),IF(ISNUMBER(SEARCH("Party Name-",'R.M Billets Reports'!D165)),TRIM(MID('R.M Billets Reports'!D165,SEARCH("-",'R.M Billets Reports'!D165)+1,200)),"")),IF(ISNUMBER(SEARCH("Party Name:-",'R.M Billets Reports'!D166)),TRIM('R.M Billets Reports'!F166),IF(ISNUMBER(SEARCH("Party Name-",'R.M Billets Reports'!D166)),TRIM(MID('R.M Billets Reports'!D166,SEARCH("-",'R.M Billets Reports'!D166)+1,200)),"")))="SHREE RADHE SHAKTI SPONGE AND POWER PVT. LTD.","SHREE RADHE",IF(IF(ISNUMBER(SEARCH("Party Name:-",'R.M Billets Reports'!D165)),TRIM('R.M Billets Reports'!F165),IF(ISNUMBER(SEARCH("Party Name-",'R.M Billets Reports'!D165)),TRIM(MID('R.M Billets Reports'!D165,SEARCH("-",'R.M Billets Reports'!D165)+1,200)),""))&lt;&gt;"",IF(ISNUMBER(SEARCH("Party Name:-",'R.M Billets Reports'!D165)),TRIM('R.M Billets Reports'!F165),IF(ISNUMBER(SEARCH("Party Name-",'R.M Billets Reports'!D165)),TRIM(MID('R.M Billets Reports'!D165,SEARCH("-",'R.M Billets Reports'!D165)+1,200)),"")),IF(ISNUMBER(SEARCH("Party Name:-",'R.M Billets Reports'!D166)),TRIM('R.M Billets Reports'!F166),IF(ISNUMBER(SEARCH("Party Name-",'R.M Billets Reports'!D166)),TRIM(MID('R.M Billets Reports'!D166,SEARCH("-",'R.M Billets Reports'!D166)+1,200)),"")))))),IF(ROW()=2,"",A165))</f>
      </c>
      <c r="B166">
        <f>IF(OR('R.M Billets Reports'!A165="Date-",'R.M Billets Reports'!A165="Date:-"),'R.M Billets Reports'!B165,IF(ROW()=2,"",B165))</f>
      </c>
      <c r="C166">
        <f>IF('R.M Billets Reports'!A165="V.No.",'R.M Billets Reports'!B165,IF(ROW()=2,"",C165))</f>
      </c>
      <c r="D166">
        <f>IF('R.M Billets Reports'!A165&lt;&gt;"",'R.M Billets Reports'!A165,IF(ROW()=2,"",D165))</f>
      </c>
      <c r="E166">
        <f>IF('R.M Billets Reports'!B165="","",TRIM('R.M Billets Reports'!B165))</f>
      </c>
      <c r="F166">
        <f>'R.M Billets Reports'!C165</f>
      </c>
      <c r="G166">
        <f>'R.M Billets Reports'!D165</f>
      </c>
      <c r="H166">
        <f>'R.M Billets Reports'!E165</f>
      </c>
      <c r="I166">
        <f>'R.M Billets Reports'!F165</f>
      </c>
      <c r="J166">
        <f>'R.M Billets Reports'!G165</f>
      </c>
      <c r="K166">
        <f>'R.M Billets Reports'!H165</f>
      </c>
      <c r="L166">
        <f>IF('R.M Billets Reports'!I165="","",'R.M Billets Reports'!I165)</f>
      </c>
      <c r="M166">
        <f t="shared" si="4"/>
      </c>
      <c r="N166">
        <f>IF('R.M Billets Reports'!J165="","",'R.M Billets Reports'!J165)</f>
      </c>
      <c r="O166">
        <f t="shared" si="5"/>
      </c>
      <c r="P166">
        <f>IF('R.M Billets Reports'!A165="SIZE",'R.M Billets Reports'!B165,P165)</f>
      </c>
    </row>
    <row r="167" spans="1:16" x14ac:dyDescent="0.25">
      <c r="A167">
        <f>IF(OR('R.M Billets Reports'!A166="Date-",'R.M Billets Reports'!A166="Date:-"),IF(IF(IF(ISNUMBER(SEARCH("Party Name:-",'R.M Billets Reports'!D166)),TRIM('R.M Billets Reports'!F166),IF(ISNUMBER(SEARCH("Party Name-",'R.M Billets Reports'!D166)),TRIM(MID('R.M Billets Reports'!D166,SEARCH("-",'R.M Billets Reports'!D166)+1,200)),""))&lt;&gt;"",IF(ISNUMBER(SEARCH("Party Name:-",'R.M Billets Reports'!D166)),TRIM('R.M Billets Reports'!F166),IF(ISNUMBER(SEARCH("Party Name-",'R.M Billets Reports'!D166)),TRIM(MID('R.M Billets Reports'!D166,SEARCH("-",'R.M Billets Reports'!D166)+1,200)),"")),IF(ISNUMBER(SEARCH("Party Name:-",'R.M Billets Reports'!D167)),TRIM('R.M Billets Reports'!F167),IF(ISNUMBER(SEARCH("Party Name-",'R.M Billets Reports'!D167)),TRIM(MID('R.M Billets Reports'!D167,SEARCH("-",'R.M Billets Reports'!D167)+1,200)),"")))="VRKP ISPAT PVT LTD","VRKP",IF(IF(IF(ISNUMBER(SEARCH("Party Name:-",'R.M Billets Reports'!D166)),TRIM('R.M Billets Reports'!F166),IF(ISNUMBER(SEARCH("Party Name-",'R.M Billets Reports'!D166)),TRIM(MID('R.M Billets Reports'!D166,SEARCH("-",'R.M Billets Reports'!D166)+1,200)),""))&lt;&gt;"",IF(ISNUMBER(SEARCH("Party Name:-",'R.M Billets Reports'!D166)),TRIM('R.M Billets Reports'!F166),IF(ISNUMBER(SEARCH("Party Name-",'R.M Billets Reports'!D166)),TRIM(MID('R.M Billets Reports'!D166,SEARCH("-",'R.M Billets Reports'!D166)+1,200)),"")),IF(ISNUMBER(SEARCH("Party Name:-",'R.M Billets Reports'!D167)),TRIM('R.M Billets Reports'!F167),IF(ISNUMBER(SEARCH("Party Name-",'R.M Billets Reports'!D167)),TRIM(MID('R.M Billets Reports'!D167,SEARCH("-",'R.M Billets Reports'!D167)+1,200)),"")))="SHRI RADHE","SHREE RADHE",IF(IF(IF(ISNUMBER(SEARCH("Party Name:-",'R.M Billets Reports'!D166)),TRIM('R.M Billets Reports'!F166),IF(ISNUMBER(SEARCH("Party Name-",'R.M Billets Reports'!D166)),TRIM(MID('R.M Billets Reports'!D166,SEARCH("-",'R.M Billets Reports'!D166)+1,200)),""))&lt;&gt;"",IF(ISNUMBER(SEARCH("Party Name:-",'R.M Billets Reports'!D166)),TRIM('R.M Billets Reports'!F166),IF(ISNUMBER(SEARCH("Party Name-",'R.M Billets Reports'!D166)),TRIM(MID('R.M Billets Reports'!D166,SEARCH("-",'R.M Billets Reports'!D166)+1,200)),"")),IF(ISNUMBER(SEARCH("Party Name:-",'R.M Billets Reports'!D167)),TRIM('R.M Billets Reports'!F167),IF(ISNUMBER(SEARCH("Party Name-",'R.M Billets Reports'!D167)),TRIM(MID('R.M Billets Reports'!D167,SEARCH("-",'R.M Billets Reports'!D167)+1,200)),"")))="SHREE RADHE SHAKTI SPONGE AND POWER PVT. LTD.","SHREE RADHE",IF(IF(ISNUMBER(SEARCH("Party Name:-",'R.M Billets Reports'!D166)),TRIM('R.M Billets Reports'!F166),IF(ISNUMBER(SEARCH("Party Name-",'R.M Billets Reports'!D166)),TRIM(MID('R.M Billets Reports'!D166,SEARCH("-",'R.M Billets Reports'!D166)+1,200)),""))&lt;&gt;"",IF(ISNUMBER(SEARCH("Party Name:-",'R.M Billets Reports'!D166)),TRIM('R.M Billets Reports'!F166),IF(ISNUMBER(SEARCH("Party Name-",'R.M Billets Reports'!D166)),TRIM(MID('R.M Billets Reports'!D166,SEARCH("-",'R.M Billets Reports'!D166)+1,200)),"")),IF(ISNUMBER(SEARCH("Party Name:-",'R.M Billets Reports'!D167)),TRIM('R.M Billets Reports'!F167),IF(ISNUMBER(SEARCH("Party Name-",'R.M Billets Reports'!D167)),TRIM(MID('R.M Billets Reports'!D167,SEARCH("-",'R.M Billets Reports'!D167)+1,200)),"")))))),IF(ROW()=2,"",A166))</f>
      </c>
      <c r="B167">
        <f>IF(OR('R.M Billets Reports'!A166="Date-",'R.M Billets Reports'!A166="Date:-"),'R.M Billets Reports'!B166,IF(ROW()=2,"",B166))</f>
      </c>
      <c r="C167">
        <f>IF('R.M Billets Reports'!A166="V.No.",'R.M Billets Reports'!B166,IF(ROW()=2,"",C166))</f>
      </c>
      <c r="D167">
        <f>IF('R.M Billets Reports'!A166&lt;&gt;"",'R.M Billets Reports'!A166,IF(ROW()=2,"",D166))</f>
      </c>
      <c r="E167">
        <f>IF('R.M Billets Reports'!B166="","",TRIM('R.M Billets Reports'!B166))</f>
      </c>
      <c r="F167">
        <f>'R.M Billets Reports'!C166</f>
      </c>
      <c r="G167">
        <f>'R.M Billets Reports'!D166</f>
      </c>
      <c r="H167">
        <f>'R.M Billets Reports'!E166</f>
      </c>
      <c r="I167">
        <f>'R.M Billets Reports'!F166</f>
      </c>
      <c r="J167">
        <f>'R.M Billets Reports'!G166</f>
      </c>
      <c r="K167">
        <f>'R.M Billets Reports'!H166</f>
      </c>
      <c r="L167">
        <f>IF('R.M Billets Reports'!I166="","",'R.M Billets Reports'!I166)</f>
      </c>
      <c r="M167">
        <f t="shared" si="4"/>
      </c>
      <c r="N167">
        <f>IF('R.M Billets Reports'!J166="","",'R.M Billets Reports'!J166)</f>
      </c>
      <c r="O167">
        <f t="shared" si="5"/>
      </c>
      <c r="P167">
        <f>IF('R.M Billets Reports'!A166="SIZE",'R.M Billets Reports'!B166,P166)</f>
      </c>
    </row>
    <row r="168" spans="1:16" x14ac:dyDescent="0.25">
      <c r="A168">
        <f>IF(OR('R.M Billets Reports'!A167="Date-",'R.M Billets Reports'!A167="Date:-"),IF(IF(IF(ISNUMBER(SEARCH("Party Name:-",'R.M Billets Reports'!D167)),TRIM('R.M Billets Reports'!F167),IF(ISNUMBER(SEARCH("Party Name-",'R.M Billets Reports'!D167)),TRIM(MID('R.M Billets Reports'!D167,SEARCH("-",'R.M Billets Reports'!D167)+1,200)),""))&lt;&gt;"",IF(ISNUMBER(SEARCH("Party Name:-",'R.M Billets Reports'!D167)),TRIM('R.M Billets Reports'!F167),IF(ISNUMBER(SEARCH("Party Name-",'R.M Billets Reports'!D167)),TRIM(MID('R.M Billets Reports'!D167,SEARCH("-",'R.M Billets Reports'!D167)+1,200)),"")),IF(ISNUMBER(SEARCH("Party Name:-",'R.M Billets Reports'!D168)),TRIM('R.M Billets Reports'!F168),IF(ISNUMBER(SEARCH("Party Name-",'R.M Billets Reports'!D168)),TRIM(MID('R.M Billets Reports'!D168,SEARCH("-",'R.M Billets Reports'!D168)+1,200)),"")))="VRKP ISPAT PVT LTD","VRKP",IF(IF(IF(ISNUMBER(SEARCH("Party Name:-",'R.M Billets Reports'!D167)),TRIM('R.M Billets Reports'!F167),IF(ISNUMBER(SEARCH("Party Name-",'R.M Billets Reports'!D167)),TRIM(MID('R.M Billets Reports'!D167,SEARCH("-",'R.M Billets Reports'!D167)+1,200)),""))&lt;&gt;"",IF(ISNUMBER(SEARCH("Party Name:-",'R.M Billets Reports'!D167)),TRIM('R.M Billets Reports'!F167),IF(ISNUMBER(SEARCH("Party Name-",'R.M Billets Reports'!D167)),TRIM(MID('R.M Billets Reports'!D167,SEARCH("-",'R.M Billets Reports'!D167)+1,200)),"")),IF(ISNUMBER(SEARCH("Party Name:-",'R.M Billets Reports'!D168)),TRIM('R.M Billets Reports'!F168),IF(ISNUMBER(SEARCH("Party Name-",'R.M Billets Reports'!D168)),TRIM(MID('R.M Billets Reports'!D168,SEARCH("-",'R.M Billets Reports'!D168)+1,200)),"")))="SHRI RADHE","SHREE RADHE",IF(IF(IF(ISNUMBER(SEARCH("Party Name:-",'R.M Billets Reports'!D167)),TRIM('R.M Billets Reports'!F167),IF(ISNUMBER(SEARCH("Party Name-",'R.M Billets Reports'!D167)),TRIM(MID('R.M Billets Reports'!D167,SEARCH("-",'R.M Billets Reports'!D167)+1,200)),""))&lt;&gt;"",IF(ISNUMBER(SEARCH("Party Name:-",'R.M Billets Reports'!D167)),TRIM('R.M Billets Reports'!F167),IF(ISNUMBER(SEARCH("Party Name-",'R.M Billets Reports'!D167)),TRIM(MID('R.M Billets Reports'!D167,SEARCH("-",'R.M Billets Reports'!D167)+1,200)),"")),IF(ISNUMBER(SEARCH("Party Name:-",'R.M Billets Reports'!D168)),TRIM('R.M Billets Reports'!F168),IF(ISNUMBER(SEARCH("Party Name-",'R.M Billets Reports'!D168)),TRIM(MID('R.M Billets Reports'!D168,SEARCH("-",'R.M Billets Reports'!D168)+1,200)),"")))="SHREE RADHE SHAKTI SPONGE AND POWER PVT. LTD.","SHREE RADHE",IF(IF(ISNUMBER(SEARCH("Party Name:-",'R.M Billets Reports'!D167)),TRIM('R.M Billets Reports'!F167),IF(ISNUMBER(SEARCH("Party Name-",'R.M Billets Reports'!D167)),TRIM(MID('R.M Billets Reports'!D167,SEARCH("-",'R.M Billets Reports'!D167)+1,200)),""))&lt;&gt;"",IF(ISNUMBER(SEARCH("Party Name:-",'R.M Billets Reports'!D167)),TRIM('R.M Billets Reports'!F167),IF(ISNUMBER(SEARCH("Party Name-",'R.M Billets Reports'!D167)),TRIM(MID('R.M Billets Reports'!D167,SEARCH("-",'R.M Billets Reports'!D167)+1,200)),"")),IF(ISNUMBER(SEARCH("Party Name:-",'R.M Billets Reports'!D168)),TRIM('R.M Billets Reports'!F168),IF(ISNUMBER(SEARCH("Party Name-",'R.M Billets Reports'!D168)),TRIM(MID('R.M Billets Reports'!D168,SEARCH("-",'R.M Billets Reports'!D168)+1,200)),"")))))),IF(ROW()=2,"",A167))</f>
      </c>
      <c r="B168">
        <f>IF(OR('R.M Billets Reports'!A167="Date-",'R.M Billets Reports'!A167="Date:-"),'R.M Billets Reports'!B167,IF(ROW()=2,"",B167))</f>
      </c>
      <c r="C168">
        <f>IF('R.M Billets Reports'!A167="V.No.",'R.M Billets Reports'!B167,IF(ROW()=2,"",C167))</f>
      </c>
      <c r="D168">
        <f>IF('R.M Billets Reports'!A167&lt;&gt;"",'R.M Billets Reports'!A167,IF(ROW()=2,"",D167))</f>
      </c>
      <c r="E168">
        <f>IF('R.M Billets Reports'!B167="","",TRIM('R.M Billets Reports'!B167))</f>
      </c>
      <c r="F168">
        <f>'R.M Billets Reports'!C167</f>
      </c>
      <c r="G168">
        <f>'R.M Billets Reports'!D167</f>
      </c>
      <c r="H168">
        <f>'R.M Billets Reports'!E167</f>
      </c>
      <c r="I168">
        <f>'R.M Billets Reports'!F167</f>
      </c>
      <c r="J168">
        <f>'R.M Billets Reports'!G167</f>
      </c>
      <c r="K168">
        <f>'R.M Billets Reports'!H167</f>
      </c>
      <c r="L168">
        <f>IF('R.M Billets Reports'!I167="","",'R.M Billets Reports'!I167)</f>
      </c>
      <c r="M168">
        <f t="shared" si="4"/>
      </c>
      <c r="N168">
        <f>IF('R.M Billets Reports'!J167="","",'R.M Billets Reports'!J167)</f>
      </c>
      <c r="O168">
        <f t="shared" si="5"/>
      </c>
      <c r="P168">
        <f>IF('R.M Billets Reports'!A167="SIZE",'R.M Billets Reports'!B167,P167)</f>
      </c>
    </row>
    <row r="169" spans="1:16" x14ac:dyDescent="0.25">
      <c r="A169">
        <f>IF(OR('R.M Billets Reports'!A168="Date-",'R.M Billets Reports'!A168="Date:-"),IF(IF(IF(ISNUMBER(SEARCH("Party Name:-",'R.M Billets Reports'!D168)),TRIM('R.M Billets Reports'!F168),IF(ISNUMBER(SEARCH("Party Name-",'R.M Billets Reports'!D168)),TRIM(MID('R.M Billets Reports'!D168,SEARCH("-",'R.M Billets Reports'!D168)+1,200)),""))&lt;&gt;"",IF(ISNUMBER(SEARCH("Party Name:-",'R.M Billets Reports'!D168)),TRIM('R.M Billets Reports'!F168),IF(ISNUMBER(SEARCH("Party Name-",'R.M Billets Reports'!D168)),TRIM(MID('R.M Billets Reports'!D168,SEARCH("-",'R.M Billets Reports'!D168)+1,200)),"")),IF(ISNUMBER(SEARCH("Party Name:-",'R.M Billets Reports'!D169)),TRIM('R.M Billets Reports'!F169),IF(ISNUMBER(SEARCH("Party Name-",'R.M Billets Reports'!D169)),TRIM(MID('R.M Billets Reports'!D169,SEARCH("-",'R.M Billets Reports'!D169)+1,200)),"")))="VRKP ISPAT PVT LTD","VRKP",IF(IF(IF(ISNUMBER(SEARCH("Party Name:-",'R.M Billets Reports'!D168)),TRIM('R.M Billets Reports'!F168),IF(ISNUMBER(SEARCH("Party Name-",'R.M Billets Reports'!D168)),TRIM(MID('R.M Billets Reports'!D168,SEARCH("-",'R.M Billets Reports'!D168)+1,200)),""))&lt;&gt;"",IF(ISNUMBER(SEARCH("Party Name:-",'R.M Billets Reports'!D168)),TRIM('R.M Billets Reports'!F168),IF(ISNUMBER(SEARCH("Party Name-",'R.M Billets Reports'!D168)),TRIM(MID('R.M Billets Reports'!D168,SEARCH("-",'R.M Billets Reports'!D168)+1,200)),"")),IF(ISNUMBER(SEARCH("Party Name:-",'R.M Billets Reports'!D169)),TRIM('R.M Billets Reports'!F169),IF(ISNUMBER(SEARCH("Party Name-",'R.M Billets Reports'!D169)),TRIM(MID('R.M Billets Reports'!D169,SEARCH("-",'R.M Billets Reports'!D169)+1,200)),"")))="SHRI RADHE","SHREE RADHE",IF(IF(IF(ISNUMBER(SEARCH("Party Name:-",'R.M Billets Reports'!D168)),TRIM('R.M Billets Reports'!F168),IF(ISNUMBER(SEARCH("Party Name-",'R.M Billets Reports'!D168)),TRIM(MID('R.M Billets Reports'!D168,SEARCH("-",'R.M Billets Reports'!D168)+1,200)),""))&lt;&gt;"",IF(ISNUMBER(SEARCH("Party Name:-",'R.M Billets Reports'!D168)),TRIM('R.M Billets Reports'!F168),IF(ISNUMBER(SEARCH("Party Name-",'R.M Billets Reports'!D168)),TRIM(MID('R.M Billets Reports'!D168,SEARCH("-",'R.M Billets Reports'!D168)+1,200)),"")),IF(ISNUMBER(SEARCH("Party Name:-",'R.M Billets Reports'!D169)),TRIM('R.M Billets Reports'!F169),IF(ISNUMBER(SEARCH("Party Name-",'R.M Billets Reports'!D169)),TRIM(MID('R.M Billets Reports'!D169,SEARCH("-",'R.M Billets Reports'!D169)+1,200)),"")))="SHREE RADHE SHAKTI SPONGE AND POWER PVT. LTD.","SHREE RADHE",IF(IF(ISNUMBER(SEARCH("Party Name:-",'R.M Billets Reports'!D168)),TRIM('R.M Billets Reports'!F168),IF(ISNUMBER(SEARCH("Party Name-",'R.M Billets Reports'!D168)),TRIM(MID('R.M Billets Reports'!D168,SEARCH("-",'R.M Billets Reports'!D168)+1,200)),""))&lt;&gt;"",IF(ISNUMBER(SEARCH("Party Name:-",'R.M Billets Reports'!D168)),TRIM('R.M Billets Reports'!F168),IF(ISNUMBER(SEARCH("Party Name-",'R.M Billets Reports'!D168)),TRIM(MID('R.M Billets Reports'!D168,SEARCH("-",'R.M Billets Reports'!D168)+1,200)),"")),IF(ISNUMBER(SEARCH("Party Name:-",'R.M Billets Reports'!D169)),TRIM('R.M Billets Reports'!F169),IF(ISNUMBER(SEARCH("Party Name-",'R.M Billets Reports'!D169)),TRIM(MID('R.M Billets Reports'!D169,SEARCH("-",'R.M Billets Reports'!D169)+1,200)),"")))))),IF(ROW()=2,"",A168))</f>
      </c>
      <c r="B169">
        <f>IF(OR('R.M Billets Reports'!A168="Date-",'R.M Billets Reports'!A168="Date:-"),'R.M Billets Reports'!B168,IF(ROW()=2,"",B168))</f>
      </c>
      <c r="C169">
        <f>IF('R.M Billets Reports'!A168="V.No.",'R.M Billets Reports'!B168,IF(ROW()=2,"",C168))</f>
      </c>
      <c r="D169">
        <f>IF('R.M Billets Reports'!A168&lt;&gt;"",'R.M Billets Reports'!A168,IF(ROW()=2,"",D168))</f>
      </c>
      <c r="E169">
        <f>IF('R.M Billets Reports'!B168="","",TRIM('R.M Billets Reports'!B168))</f>
      </c>
      <c r="F169">
        <f>'R.M Billets Reports'!C168</f>
      </c>
      <c r="G169">
        <f>'R.M Billets Reports'!D168</f>
      </c>
      <c r="H169">
        <f>'R.M Billets Reports'!E168</f>
      </c>
      <c r="I169">
        <f>'R.M Billets Reports'!F168</f>
      </c>
      <c r="J169">
        <f>'R.M Billets Reports'!G168</f>
      </c>
      <c r="K169">
        <f>'R.M Billets Reports'!H168</f>
      </c>
      <c r="L169">
        <f>IF('R.M Billets Reports'!I168="","",'R.M Billets Reports'!I168)</f>
      </c>
      <c r="M169">
        <f t="shared" si="4"/>
      </c>
      <c r="N169">
        <f>IF('R.M Billets Reports'!J168="","",'R.M Billets Reports'!J168)</f>
      </c>
      <c r="O169">
        <f t="shared" si="5"/>
      </c>
      <c r="P169">
        <f>IF('R.M Billets Reports'!A168="SIZE",'R.M Billets Reports'!B168,P168)</f>
      </c>
    </row>
    <row r="170" spans="1:16" x14ac:dyDescent="0.25">
      <c r="A170">
        <f>IF(OR('R.M Billets Reports'!A169="Date-",'R.M Billets Reports'!A169="Date:-"),IF(IF(IF(ISNUMBER(SEARCH("Party Name:-",'R.M Billets Reports'!D169)),TRIM('R.M Billets Reports'!F169),IF(ISNUMBER(SEARCH("Party Name-",'R.M Billets Reports'!D169)),TRIM(MID('R.M Billets Reports'!D169,SEARCH("-",'R.M Billets Reports'!D169)+1,200)),""))&lt;&gt;"",IF(ISNUMBER(SEARCH("Party Name:-",'R.M Billets Reports'!D169)),TRIM('R.M Billets Reports'!F169),IF(ISNUMBER(SEARCH("Party Name-",'R.M Billets Reports'!D169)),TRIM(MID('R.M Billets Reports'!D169,SEARCH("-",'R.M Billets Reports'!D169)+1,200)),"")),IF(ISNUMBER(SEARCH("Party Name:-",'R.M Billets Reports'!D170)),TRIM('R.M Billets Reports'!F170),IF(ISNUMBER(SEARCH("Party Name-",'R.M Billets Reports'!D170)),TRIM(MID('R.M Billets Reports'!D170,SEARCH("-",'R.M Billets Reports'!D170)+1,200)),"")))="VRKP ISPAT PVT LTD","VRKP",IF(IF(IF(ISNUMBER(SEARCH("Party Name:-",'R.M Billets Reports'!D169)),TRIM('R.M Billets Reports'!F169),IF(ISNUMBER(SEARCH("Party Name-",'R.M Billets Reports'!D169)),TRIM(MID('R.M Billets Reports'!D169,SEARCH("-",'R.M Billets Reports'!D169)+1,200)),""))&lt;&gt;"",IF(ISNUMBER(SEARCH("Party Name:-",'R.M Billets Reports'!D169)),TRIM('R.M Billets Reports'!F169),IF(ISNUMBER(SEARCH("Party Name-",'R.M Billets Reports'!D169)),TRIM(MID('R.M Billets Reports'!D169,SEARCH("-",'R.M Billets Reports'!D169)+1,200)),"")),IF(ISNUMBER(SEARCH("Party Name:-",'R.M Billets Reports'!D170)),TRIM('R.M Billets Reports'!F170),IF(ISNUMBER(SEARCH("Party Name-",'R.M Billets Reports'!D170)),TRIM(MID('R.M Billets Reports'!D170,SEARCH("-",'R.M Billets Reports'!D170)+1,200)),"")))="SHRI RADHE","SHREE RADHE",IF(IF(IF(ISNUMBER(SEARCH("Party Name:-",'R.M Billets Reports'!D169)),TRIM('R.M Billets Reports'!F169),IF(ISNUMBER(SEARCH("Party Name-",'R.M Billets Reports'!D169)),TRIM(MID('R.M Billets Reports'!D169,SEARCH("-",'R.M Billets Reports'!D169)+1,200)),""))&lt;&gt;"",IF(ISNUMBER(SEARCH("Party Name:-",'R.M Billets Reports'!D169)),TRIM('R.M Billets Reports'!F169),IF(ISNUMBER(SEARCH("Party Name-",'R.M Billets Reports'!D169)),TRIM(MID('R.M Billets Reports'!D169,SEARCH("-",'R.M Billets Reports'!D169)+1,200)),"")),IF(ISNUMBER(SEARCH("Party Name:-",'R.M Billets Reports'!D170)),TRIM('R.M Billets Reports'!F170),IF(ISNUMBER(SEARCH("Party Name-",'R.M Billets Reports'!D170)),TRIM(MID('R.M Billets Reports'!D170,SEARCH("-",'R.M Billets Reports'!D170)+1,200)),"")))="SHREE RADHE SHAKTI SPONGE AND POWER PVT. LTD.","SHREE RADHE",IF(IF(ISNUMBER(SEARCH("Party Name:-",'R.M Billets Reports'!D169)),TRIM('R.M Billets Reports'!F169),IF(ISNUMBER(SEARCH("Party Name-",'R.M Billets Reports'!D169)),TRIM(MID('R.M Billets Reports'!D169,SEARCH("-",'R.M Billets Reports'!D169)+1,200)),""))&lt;&gt;"",IF(ISNUMBER(SEARCH("Party Name:-",'R.M Billets Reports'!D169)),TRIM('R.M Billets Reports'!F169),IF(ISNUMBER(SEARCH("Party Name-",'R.M Billets Reports'!D169)),TRIM(MID('R.M Billets Reports'!D169,SEARCH("-",'R.M Billets Reports'!D169)+1,200)),"")),IF(ISNUMBER(SEARCH("Party Name:-",'R.M Billets Reports'!D170)),TRIM('R.M Billets Reports'!F170),IF(ISNUMBER(SEARCH("Party Name-",'R.M Billets Reports'!D170)),TRIM(MID('R.M Billets Reports'!D170,SEARCH("-",'R.M Billets Reports'!D170)+1,200)),"")))))),IF(ROW()=2,"",A169))</f>
      </c>
      <c r="B170">
        <f>IF(OR('R.M Billets Reports'!A169="Date-",'R.M Billets Reports'!A169="Date:-"),'R.M Billets Reports'!B169,IF(ROW()=2,"",B169))</f>
      </c>
      <c r="C170">
        <f>IF('R.M Billets Reports'!A169="V.No.",'R.M Billets Reports'!B169,IF(ROW()=2,"",C169))</f>
      </c>
      <c r="D170">
        <f>IF('R.M Billets Reports'!A169&lt;&gt;"",'R.M Billets Reports'!A169,IF(ROW()=2,"",D169))</f>
      </c>
      <c r="E170">
        <f>IF('R.M Billets Reports'!B169="","",TRIM('R.M Billets Reports'!B169))</f>
      </c>
      <c r="F170">
        <f>'R.M Billets Reports'!C169</f>
      </c>
      <c r="G170">
        <f>'R.M Billets Reports'!D169</f>
      </c>
      <c r="H170">
        <f>'R.M Billets Reports'!E169</f>
      </c>
      <c r="I170">
        <f>'R.M Billets Reports'!F169</f>
      </c>
      <c r="J170">
        <f>'R.M Billets Reports'!G169</f>
      </c>
      <c r="K170">
        <f>'R.M Billets Reports'!H169</f>
      </c>
      <c r="L170">
        <f>IF('R.M Billets Reports'!I169="","",'R.M Billets Reports'!I169)</f>
      </c>
      <c r="M170">
        <f t="shared" si="4"/>
      </c>
      <c r="N170">
        <f>IF('R.M Billets Reports'!J169="","",'R.M Billets Reports'!J169)</f>
      </c>
      <c r="O170">
        <f t="shared" si="5"/>
      </c>
      <c r="P170">
        <f>IF('R.M Billets Reports'!A169="SIZE",'R.M Billets Reports'!B169,P169)</f>
      </c>
    </row>
    <row r="171" spans="1:16" x14ac:dyDescent="0.25">
      <c r="A171">
        <f>IF(OR('R.M Billets Reports'!A170="Date-",'R.M Billets Reports'!A170="Date:-"),IF(IF(IF(ISNUMBER(SEARCH("Party Name:-",'R.M Billets Reports'!D170)),TRIM('R.M Billets Reports'!F170),IF(ISNUMBER(SEARCH("Party Name-",'R.M Billets Reports'!D170)),TRIM(MID('R.M Billets Reports'!D170,SEARCH("-",'R.M Billets Reports'!D170)+1,200)),""))&lt;&gt;"",IF(ISNUMBER(SEARCH("Party Name:-",'R.M Billets Reports'!D170)),TRIM('R.M Billets Reports'!F170),IF(ISNUMBER(SEARCH("Party Name-",'R.M Billets Reports'!D170)),TRIM(MID('R.M Billets Reports'!D170,SEARCH("-",'R.M Billets Reports'!D170)+1,200)),"")),IF(ISNUMBER(SEARCH("Party Name:-",'R.M Billets Reports'!D171)),TRIM('R.M Billets Reports'!F171),IF(ISNUMBER(SEARCH("Party Name-",'R.M Billets Reports'!D171)),TRIM(MID('R.M Billets Reports'!D171,SEARCH("-",'R.M Billets Reports'!D171)+1,200)),"")))="VRKP ISPAT PVT LTD","VRKP",IF(IF(IF(ISNUMBER(SEARCH("Party Name:-",'R.M Billets Reports'!D170)),TRIM('R.M Billets Reports'!F170),IF(ISNUMBER(SEARCH("Party Name-",'R.M Billets Reports'!D170)),TRIM(MID('R.M Billets Reports'!D170,SEARCH("-",'R.M Billets Reports'!D170)+1,200)),""))&lt;&gt;"",IF(ISNUMBER(SEARCH("Party Name:-",'R.M Billets Reports'!D170)),TRIM('R.M Billets Reports'!F170),IF(ISNUMBER(SEARCH("Party Name-",'R.M Billets Reports'!D170)),TRIM(MID('R.M Billets Reports'!D170,SEARCH("-",'R.M Billets Reports'!D170)+1,200)),"")),IF(ISNUMBER(SEARCH("Party Name:-",'R.M Billets Reports'!D171)),TRIM('R.M Billets Reports'!F171),IF(ISNUMBER(SEARCH("Party Name-",'R.M Billets Reports'!D171)),TRIM(MID('R.M Billets Reports'!D171,SEARCH("-",'R.M Billets Reports'!D171)+1,200)),"")))="SHRI RADHE","SHREE RADHE",IF(IF(IF(ISNUMBER(SEARCH("Party Name:-",'R.M Billets Reports'!D170)),TRIM('R.M Billets Reports'!F170),IF(ISNUMBER(SEARCH("Party Name-",'R.M Billets Reports'!D170)),TRIM(MID('R.M Billets Reports'!D170,SEARCH("-",'R.M Billets Reports'!D170)+1,200)),""))&lt;&gt;"",IF(ISNUMBER(SEARCH("Party Name:-",'R.M Billets Reports'!D170)),TRIM('R.M Billets Reports'!F170),IF(ISNUMBER(SEARCH("Party Name-",'R.M Billets Reports'!D170)),TRIM(MID('R.M Billets Reports'!D170,SEARCH("-",'R.M Billets Reports'!D170)+1,200)),"")),IF(ISNUMBER(SEARCH("Party Name:-",'R.M Billets Reports'!D171)),TRIM('R.M Billets Reports'!F171),IF(ISNUMBER(SEARCH("Party Name-",'R.M Billets Reports'!D171)),TRIM(MID('R.M Billets Reports'!D171,SEARCH("-",'R.M Billets Reports'!D171)+1,200)),"")))="SHREE RADHE SHAKTI SPONGE AND POWER PVT. LTD.","SHREE RADHE",IF(IF(ISNUMBER(SEARCH("Party Name:-",'R.M Billets Reports'!D170)),TRIM('R.M Billets Reports'!F170),IF(ISNUMBER(SEARCH("Party Name-",'R.M Billets Reports'!D170)),TRIM(MID('R.M Billets Reports'!D170,SEARCH("-",'R.M Billets Reports'!D170)+1,200)),""))&lt;&gt;"",IF(ISNUMBER(SEARCH("Party Name:-",'R.M Billets Reports'!D170)),TRIM('R.M Billets Reports'!F170),IF(ISNUMBER(SEARCH("Party Name-",'R.M Billets Reports'!D170)),TRIM(MID('R.M Billets Reports'!D170,SEARCH("-",'R.M Billets Reports'!D170)+1,200)),"")),IF(ISNUMBER(SEARCH("Party Name:-",'R.M Billets Reports'!D171)),TRIM('R.M Billets Reports'!F171),IF(ISNUMBER(SEARCH("Party Name-",'R.M Billets Reports'!D171)),TRIM(MID('R.M Billets Reports'!D171,SEARCH("-",'R.M Billets Reports'!D171)+1,200)),"")))))),IF(ROW()=2,"",A170))</f>
      </c>
      <c r="B171">
        <f>IF(OR('R.M Billets Reports'!A170="Date-",'R.M Billets Reports'!A170="Date:-"),'R.M Billets Reports'!B170,IF(ROW()=2,"",B170))</f>
      </c>
      <c r="C171">
        <f>IF('R.M Billets Reports'!A170="V.No.",'R.M Billets Reports'!B170,IF(ROW()=2,"",C170))</f>
      </c>
      <c r="D171">
        <f>IF('R.M Billets Reports'!A170&lt;&gt;"",'R.M Billets Reports'!A170,IF(ROW()=2,"",D170))</f>
      </c>
      <c r="E171">
        <f>IF('R.M Billets Reports'!B170="","",TRIM('R.M Billets Reports'!B170))</f>
      </c>
      <c r="F171">
        <f>'R.M Billets Reports'!C170</f>
      </c>
      <c r="G171">
        <f>'R.M Billets Reports'!D170</f>
      </c>
      <c r="H171">
        <f>'R.M Billets Reports'!E170</f>
      </c>
      <c r="I171">
        <f>'R.M Billets Reports'!F170</f>
      </c>
      <c r="J171">
        <f>'R.M Billets Reports'!G170</f>
      </c>
      <c r="K171">
        <f>'R.M Billets Reports'!H170</f>
      </c>
      <c r="L171">
        <f>IF('R.M Billets Reports'!I170="","",'R.M Billets Reports'!I170)</f>
      </c>
      <c r="M171">
        <f t="shared" si="4"/>
      </c>
      <c r="N171">
        <f>IF('R.M Billets Reports'!J170="","",'R.M Billets Reports'!J170)</f>
      </c>
      <c r="O171">
        <f t="shared" si="5"/>
      </c>
      <c r="P171">
        <f>IF('R.M Billets Reports'!A170="SIZE",'R.M Billets Reports'!B170,P170)</f>
      </c>
    </row>
    <row r="172" spans="1:16" x14ac:dyDescent="0.25">
      <c r="A172">
        <f>IF(OR('R.M Billets Reports'!A171="Date-",'R.M Billets Reports'!A171="Date:-"),IF(IF(IF(ISNUMBER(SEARCH("Party Name:-",'R.M Billets Reports'!D171)),TRIM('R.M Billets Reports'!F171),IF(ISNUMBER(SEARCH("Party Name-",'R.M Billets Reports'!D171)),TRIM(MID('R.M Billets Reports'!D171,SEARCH("-",'R.M Billets Reports'!D171)+1,200)),""))&lt;&gt;"",IF(ISNUMBER(SEARCH("Party Name:-",'R.M Billets Reports'!D171)),TRIM('R.M Billets Reports'!F171),IF(ISNUMBER(SEARCH("Party Name-",'R.M Billets Reports'!D171)),TRIM(MID('R.M Billets Reports'!D171,SEARCH("-",'R.M Billets Reports'!D171)+1,200)),"")),IF(ISNUMBER(SEARCH("Party Name:-",'R.M Billets Reports'!D172)),TRIM('R.M Billets Reports'!F172),IF(ISNUMBER(SEARCH("Party Name-",'R.M Billets Reports'!D172)),TRIM(MID('R.M Billets Reports'!D172,SEARCH("-",'R.M Billets Reports'!D172)+1,200)),"")))="VRKP ISPAT PVT LTD","VRKP",IF(IF(IF(ISNUMBER(SEARCH("Party Name:-",'R.M Billets Reports'!D171)),TRIM('R.M Billets Reports'!F171),IF(ISNUMBER(SEARCH("Party Name-",'R.M Billets Reports'!D171)),TRIM(MID('R.M Billets Reports'!D171,SEARCH("-",'R.M Billets Reports'!D171)+1,200)),""))&lt;&gt;"",IF(ISNUMBER(SEARCH("Party Name:-",'R.M Billets Reports'!D171)),TRIM('R.M Billets Reports'!F171),IF(ISNUMBER(SEARCH("Party Name-",'R.M Billets Reports'!D171)),TRIM(MID('R.M Billets Reports'!D171,SEARCH("-",'R.M Billets Reports'!D171)+1,200)),"")),IF(ISNUMBER(SEARCH("Party Name:-",'R.M Billets Reports'!D172)),TRIM('R.M Billets Reports'!F172),IF(ISNUMBER(SEARCH("Party Name-",'R.M Billets Reports'!D172)),TRIM(MID('R.M Billets Reports'!D172,SEARCH("-",'R.M Billets Reports'!D172)+1,200)),"")))="SHRI RADHE","SHREE RADHE",IF(IF(IF(ISNUMBER(SEARCH("Party Name:-",'R.M Billets Reports'!D171)),TRIM('R.M Billets Reports'!F171),IF(ISNUMBER(SEARCH("Party Name-",'R.M Billets Reports'!D171)),TRIM(MID('R.M Billets Reports'!D171,SEARCH("-",'R.M Billets Reports'!D171)+1,200)),""))&lt;&gt;"",IF(ISNUMBER(SEARCH("Party Name:-",'R.M Billets Reports'!D171)),TRIM('R.M Billets Reports'!F171),IF(ISNUMBER(SEARCH("Party Name-",'R.M Billets Reports'!D171)),TRIM(MID('R.M Billets Reports'!D171,SEARCH("-",'R.M Billets Reports'!D171)+1,200)),"")),IF(ISNUMBER(SEARCH("Party Name:-",'R.M Billets Reports'!D172)),TRIM('R.M Billets Reports'!F172),IF(ISNUMBER(SEARCH("Party Name-",'R.M Billets Reports'!D172)),TRIM(MID('R.M Billets Reports'!D172,SEARCH("-",'R.M Billets Reports'!D172)+1,200)),"")))="SHREE RADHE SHAKTI SPONGE AND POWER PVT. LTD.","SHREE RADHE",IF(IF(ISNUMBER(SEARCH("Party Name:-",'R.M Billets Reports'!D171)),TRIM('R.M Billets Reports'!F171),IF(ISNUMBER(SEARCH("Party Name-",'R.M Billets Reports'!D171)),TRIM(MID('R.M Billets Reports'!D171,SEARCH("-",'R.M Billets Reports'!D171)+1,200)),""))&lt;&gt;"",IF(ISNUMBER(SEARCH("Party Name:-",'R.M Billets Reports'!D171)),TRIM('R.M Billets Reports'!F171),IF(ISNUMBER(SEARCH("Party Name-",'R.M Billets Reports'!D171)),TRIM(MID('R.M Billets Reports'!D171,SEARCH("-",'R.M Billets Reports'!D171)+1,200)),"")),IF(ISNUMBER(SEARCH("Party Name:-",'R.M Billets Reports'!D172)),TRIM('R.M Billets Reports'!F172),IF(ISNUMBER(SEARCH("Party Name-",'R.M Billets Reports'!D172)),TRIM(MID('R.M Billets Reports'!D172,SEARCH("-",'R.M Billets Reports'!D172)+1,200)),"")))))),IF(ROW()=2,"",A171))</f>
      </c>
      <c r="B172">
        <f>IF(OR('R.M Billets Reports'!A171="Date-",'R.M Billets Reports'!A171="Date:-"),'R.M Billets Reports'!B171,IF(ROW()=2,"",B171))</f>
      </c>
      <c r="C172">
        <f>IF('R.M Billets Reports'!A171="V.No.",'R.M Billets Reports'!B171,IF(ROW()=2,"",C171))</f>
      </c>
      <c r="D172">
        <f>IF('R.M Billets Reports'!A171&lt;&gt;"",'R.M Billets Reports'!A171,IF(ROW()=2,"",D171))</f>
      </c>
      <c r="E172">
        <f>IF('R.M Billets Reports'!B171="","",TRIM('R.M Billets Reports'!B171))</f>
      </c>
      <c r="F172">
        <f>'R.M Billets Reports'!C171</f>
      </c>
      <c r="G172">
        <f>'R.M Billets Reports'!D171</f>
      </c>
      <c r="H172">
        <f>'R.M Billets Reports'!E171</f>
      </c>
      <c r="I172">
        <f>'R.M Billets Reports'!F171</f>
      </c>
      <c r="J172">
        <f>'R.M Billets Reports'!G171</f>
      </c>
      <c r="K172">
        <f>'R.M Billets Reports'!H171</f>
      </c>
      <c r="L172">
        <f>IF('R.M Billets Reports'!I171="","",'R.M Billets Reports'!I171)</f>
      </c>
      <c r="M172">
        <f t="shared" si="4"/>
      </c>
      <c r="N172">
        <f>IF('R.M Billets Reports'!J171="","",'R.M Billets Reports'!J171)</f>
      </c>
      <c r="O172">
        <f t="shared" si="5"/>
      </c>
      <c r="P172">
        <f>IF('R.M Billets Reports'!A171="SIZE",'R.M Billets Reports'!B171,P171)</f>
      </c>
    </row>
    <row r="173" spans="1:16" x14ac:dyDescent="0.25">
      <c r="A173">
        <f>IF(OR('R.M Billets Reports'!A172="Date-",'R.M Billets Reports'!A172="Date:-"),IF(IF(IF(ISNUMBER(SEARCH("Party Name:-",'R.M Billets Reports'!D172)),TRIM('R.M Billets Reports'!F172),IF(ISNUMBER(SEARCH("Party Name-",'R.M Billets Reports'!D172)),TRIM(MID('R.M Billets Reports'!D172,SEARCH("-",'R.M Billets Reports'!D172)+1,200)),""))&lt;&gt;"",IF(ISNUMBER(SEARCH("Party Name:-",'R.M Billets Reports'!D172)),TRIM('R.M Billets Reports'!F172),IF(ISNUMBER(SEARCH("Party Name-",'R.M Billets Reports'!D172)),TRIM(MID('R.M Billets Reports'!D172,SEARCH("-",'R.M Billets Reports'!D172)+1,200)),"")),IF(ISNUMBER(SEARCH("Party Name:-",'R.M Billets Reports'!D173)),TRIM('R.M Billets Reports'!F173),IF(ISNUMBER(SEARCH("Party Name-",'R.M Billets Reports'!D173)),TRIM(MID('R.M Billets Reports'!D173,SEARCH("-",'R.M Billets Reports'!D173)+1,200)),"")))="VRKP ISPAT PVT LTD","VRKP",IF(IF(IF(ISNUMBER(SEARCH("Party Name:-",'R.M Billets Reports'!D172)),TRIM('R.M Billets Reports'!F172),IF(ISNUMBER(SEARCH("Party Name-",'R.M Billets Reports'!D172)),TRIM(MID('R.M Billets Reports'!D172,SEARCH("-",'R.M Billets Reports'!D172)+1,200)),""))&lt;&gt;"",IF(ISNUMBER(SEARCH("Party Name:-",'R.M Billets Reports'!D172)),TRIM('R.M Billets Reports'!F172),IF(ISNUMBER(SEARCH("Party Name-",'R.M Billets Reports'!D172)),TRIM(MID('R.M Billets Reports'!D172,SEARCH("-",'R.M Billets Reports'!D172)+1,200)),"")),IF(ISNUMBER(SEARCH("Party Name:-",'R.M Billets Reports'!D173)),TRIM('R.M Billets Reports'!F173),IF(ISNUMBER(SEARCH("Party Name-",'R.M Billets Reports'!D173)),TRIM(MID('R.M Billets Reports'!D173,SEARCH("-",'R.M Billets Reports'!D173)+1,200)),"")))="SHRI RADHE","SHREE RADHE",IF(IF(IF(ISNUMBER(SEARCH("Party Name:-",'R.M Billets Reports'!D172)),TRIM('R.M Billets Reports'!F172),IF(ISNUMBER(SEARCH("Party Name-",'R.M Billets Reports'!D172)),TRIM(MID('R.M Billets Reports'!D172,SEARCH("-",'R.M Billets Reports'!D172)+1,200)),""))&lt;&gt;"",IF(ISNUMBER(SEARCH("Party Name:-",'R.M Billets Reports'!D172)),TRIM('R.M Billets Reports'!F172),IF(ISNUMBER(SEARCH("Party Name-",'R.M Billets Reports'!D172)),TRIM(MID('R.M Billets Reports'!D172,SEARCH("-",'R.M Billets Reports'!D172)+1,200)),"")),IF(ISNUMBER(SEARCH("Party Name:-",'R.M Billets Reports'!D173)),TRIM('R.M Billets Reports'!F173),IF(ISNUMBER(SEARCH("Party Name-",'R.M Billets Reports'!D173)),TRIM(MID('R.M Billets Reports'!D173,SEARCH("-",'R.M Billets Reports'!D173)+1,200)),"")))="SHREE RADHE SHAKTI SPONGE AND POWER PVT. LTD.","SHREE RADHE",IF(IF(ISNUMBER(SEARCH("Party Name:-",'R.M Billets Reports'!D172)),TRIM('R.M Billets Reports'!F172),IF(ISNUMBER(SEARCH("Party Name-",'R.M Billets Reports'!D172)),TRIM(MID('R.M Billets Reports'!D172,SEARCH("-",'R.M Billets Reports'!D172)+1,200)),""))&lt;&gt;"",IF(ISNUMBER(SEARCH("Party Name:-",'R.M Billets Reports'!D172)),TRIM('R.M Billets Reports'!F172),IF(ISNUMBER(SEARCH("Party Name-",'R.M Billets Reports'!D172)),TRIM(MID('R.M Billets Reports'!D172,SEARCH("-",'R.M Billets Reports'!D172)+1,200)),"")),IF(ISNUMBER(SEARCH("Party Name:-",'R.M Billets Reports'!D173)),TRIM('R.M Billets Reports'!F173),IF(ISNUMBER(SEARCH("Party Name-",'R.M Billets Reports'!D173)),TRIM(MID('R.M Billets Reports'!D173,SEARCH("-",'R.M Billets Reports'!D173)+1,200)),"")))))),IF(ROW()=2,"",A172))</f>
      </c>
      <c r="B173">
        <f>IF(OR('R.M Billets Reports'!A172="Date-",'R.M Billets Reports'!A172="Date:-"),'R.M Billets Reports'!B172,IF(ROW()=2,"",B172))</f>
      </c>
      <c r="C173">
        <f>IF('R.M Billets Reports'!A172="V.No.",'R.M Billets Reports'!B172,IF(ROW()=2,"",C172))</f>
      </c>
      <c r="D173">
        <f>IF('R.M Billets Reports'!A172&lt;&gt;"",'R.M Billets Reports'!A172,IF(ROW()=2,"",D172))</f>
      </c>
      <c r="E173">
        <f>IF('R.M Billets Reports'!B172="","",TRIM('R.M Billets Reports'!B172))</f>
      </c>
      <c r="F173">
        <f>'R.M Billets Reports'!C172</f>
      </c>
      <c r="G173">
        <f>'R.M Billets Reports'!D172</f>
      </c>
      <c r="H173">
        <f>'R.M Billets Reports'!E172</f>
      </c>
      <c r="I173">
        <f>'R.M Billets Reports'!F172</f>
      </c>
      <c r="J173">
        <f>'R.M Billets Reports'!G172</f>
      </c>
      <c r="K173">
        <f>'R.M Billets Reports'!H172</f>
      </c>
      <c r="L173">
        <f>IF('R.M Billets Reports'!I172="","",'R.M Billets Reports'!I172)</f>
      </c>
      <c r="M173">
        <f t="shared" si="4"/>
      </c>
      <c r="N173">
        <f>IF('R.M Billets Reports'!J172="","",'R.M Billets Reports'!J172)</f>
      </c>
      <c r="O173">
        <f t="shared" si="5"/>
      </c>
      <c r="P173">
        <f>IF('R.M Billets Reports'!A172="SIZE",'R.M Billets Reports'!B172,P172)</f>
      </c>
    </row>
    <row r="174" spans="1:16" x14ac:dyDescent="0.25">
      <c r="A174">
        <f>IF(OR('R.M Billets Reports'!A173="Date-",'R.M Billets Reports'!A173="Date:-"),IF(IF(IF(ISNUMBER(SEARCH("Party Name:-",'R.M Billets Reports'!D173)),TRIM('R.M Billets Reports'!F173),IF(ISNUMBER(SEARCH("Party Name-",'R.M Billets Reports'!D173)),TRIM(MID('R.M Billets Reports'!D173,SEARCH("-",'R.M Billets Reports'!D173)+1,200)),""))&lt;&gt;"",IF(ISNUMBER(SEARCH("Party Name:-",'R.M Billets Reports'!D173)),TRIM('R.M Billets Reports'!F173),IF(ISNUMBER(SEARCH("Party Name-",'R.M Billets Reports'!D173)),TRIM(MID('R.M Billets Reports'!D173,SEARCH("-",'R.M Billets Reports'!D173)+1,200)),"")),IF(ISNUMBER(SEARCH("Party Name:-",'R.M Billets Reports'!D174)),TRIM('R.M Billets Reports'!F174),IF(ISNUMBER(SEARCH("Party Name-",'R.M Billets Reports'!D174)),TRIM(MID('R.M Billets Reports'!D174,SEARCH("-",'R.M Billets Reports'!D174)+1,200)),"")))="VRKP ISPAT PVT LTD","VRKP",IF(IF(IF(ISNUMBER(SEARCH("Party Name:-",'R.M Billets Reports'!D173)),TRIM('R.M Billets Reports'!F173),IF(ISNUMBER(SEARCH("Party Name-",'R.M Billets Reports'!D173)),TRIM(MID('R.M Billets Reports'!D173,SEARCH("-",'R.M Billets Reports'!D173)+1,200)),""))&lt;&gt;"",IF(ISNUMBER(SEARCH("Party Name:-",'R.M Billets Reports'!D173)),TRIM('R.M Billets Reports'!F173),IF(ISNUMBER(SEARCH("Party Name-",'R.M Billets Reports'!D173)),TRIM(MID('R.M Billets Reports'!D173,SEARCH("-",'R.M Billets Reports'!D173)+1,200)),"")),IF(ISNUMBER(SEARCH("Party Name:-",'R.M Billets Reports'!D174)),TRIM('R.M Billets Reports'!F174),IF(ISNUMBER(SEARCH("Party Name-",'R.M Billets Reports'!D174)),TRIM(MID('R.M Billets Reports'!D174,SEARCH("-",'R.M Billets Reports'!D174)+1,200)),"")))="SHRI RADHE","SHREE RADHE",IF(IF(IF(ISNUMBER(SEARCH("Party Name:-",'R.M Billets Reports'!D173)),TRIM('R.M Billets Reports'!F173),IF(ISNUMBER(SEARCH("Party Name-",'R.M Billets Reports'!D173)),TRIM(MID('R.M Billets Reports'!D173,SEARCH("-",'R.M Billets Reports'!D173)+1,200)),""))&lt;&gt;"",IF(ISNUMBER(SEARCH("Party Name:-",'R.M Billets Reports'!D173)),TRIM('R.M Billets Reports'!F173),IF(ISNUMBER(SEARCH("Party Name-",'R.M Billets Reports'!D173)),TRIM(MID('R.M Billets Reports'!D173,SEARCH("-",'R.M Billets Reports'!D173)+1,200)),"")),IF(ISNUMBER(SEARCH("Party Name:-",'R.M Billets Reports'!D174)),TRIM('R.M Billets Reports'!F174),IF(ISNUMBER(SEARCH("Party Name-",'R.M Billets Reports'!D174)),TRIM(MID('R.M Billets Reports'!D174,SEARCH("-",'R.M Billets Reports'!D174)+1,200)),"")))="SHREE RADHE SHAKTI SPONGE AND POWER PVT. LTD.","SHREE RADHE",IF(IF(ISNUMBER(SEARCH("Party Name:-",'R.M Billets Reports'!D173)),TRIM('R.M Billets Reports'!F173),IF(ISNUMBER(SEARCH("Party Name-",'R.M Billets Reports'!D173)),TRIM(MID('R.M Billets Reports'!D173,SEARCH("-",'R.M Billets Reports'!D173)+1,200)),""))&lt;&gt;"",IF(ISNUMBER(SEARCH("Party Name:-",'R.M Billets Reports'!D173)),TRIM('R.M Billets Reports'!F173),IF(ISNUMBER(SEARCH("Party Name-",'R.M Billets Reports'!D173)),TRIM(MID('R.M Billets Reports'!D173,SEARCH("-",'R.M Billets Reports'!D173)+1,200)),"")),IF(ISNUMBER(SEARCH("Party Name:-",'R.M Billets Reports'!D174)),TRIM('R.M Billets Reports'!F174),IF(ISNUMBER(SEARCH("Party Name-",'R.M Billets Reports'!D174)),TRIM(MID('R.M Billets Reports'!D174,SEARCH("-",'R.M Billets Reports'!D174)+1,200)),"")))))),IF(ROW()=2,"",A173))</f>
      </c>
      <c r="B174">
        <f>IF(OR('R.M Billets Reports'!A173="Date-",'R.M Billets Reports'!A173="Date:-"),'R.M Billets Reports'!B173,IF(ROW()=2,"",B173))</f>
      </c>
      <c r="C174">
        <f>IF('R.M Billets Reports'!A173="V.No.",'R.M Billets Reports'!B173,IF(ROW()=2,"",C173))</f>
      </c>
      <c r="D174">
        <f>IF('R.M Billets Reports'!A173&lt;&gt;"",'R.M Billets Reports'!A173,IF(ROW()=2,"",D173))</f>
      </c>
      <c r="E174">
        <f>IF('R.M Billets Reports'!B173="","",TRIM('R.M Billets Reports'!B173))</f>
      </c>
      <c r="F174">
        <f>'R.M Billets Reports'!C173</f>
      </c>
      <c r="G174">
        <f>'R.M Billets Reports'!D173</f>
      </c>
      <c r="H174">
        <f>'R.M Billets Reports'!E173</f>
      </c>
      <c r="I174">
        <f>'R.M Billets Reports'!F173</f>
      </c>
      <c r="J174">
        <f>'R.M Billets Reports'!G173</f>
      </c>
      <c r="K174">
        <f>'R.M Billets Reports'!H173</f>
      </c>
      <c r="L174">
        <f>IF('R.M Billets Reports'!I173="","",'R.M Billets Reports'!I173)</f>
      </c>
      <c r="M174">
        <f t="shared" si="4"/>
      </c>
      <c r="N174">
        <f>IF('R.M Billets Reports'!J173="","",'R.M Billets Reports'!J173)</f>
      </c>
      <c r="O174">
        <f t="shared" si="5"/>
      </c>
      <c r="P174">
        <f>IF('R.M Billets Reports'!A173="SIZE",'R.M Billets Reports'!B173,P173)</f>
      </c>
    </row>
    <row r="175" spans="1:16" x14ac:dyDescent="0.25">
      <c r="A175">
        <f>IF(OR('R.M Billets Reports'!A174="Date-",'R.M Billets Reports'!A174="Date:-"),IF(IF(IF(ISNUMBER(SEARCH("Party Name:-",'R.M Billets Reports'!D174)),TRIM('R.M Billets Reports'!F174),IF(ISNUMBER(SEARCH("Party Name-",'R.M Billets Reports'!D174)),TRIM(MID('R.M Billets Reports'!D174,SEARCH("-",'R.M Billets Reports'!D174)+1,200)),""))&lt;&gt;"",IF(ISNUMBER(SEARCH("Party Name:-",'R.M Billets Reports'!D174)),TRIM('R.M Billets Reports'!F174),IF(ISNUMBER(SEARCH("Party Name-",'R.M Billets Reports'!D174)),TRIM(MID('R.M Billets Reports'!D174,SEARCH("-",'R.M Billets Reports'!D174)+1,200)),"")),IF(ISNUMBER(SEARCH("Party Name:-",'R.M Billets Reports'!D175)),TRIM('R.M Billets Reports'!F175),IF(ISNUMBER(SEARCH("Party Name-",'R.M Billets Reports'!D175)),TRIM(MID('R.M Billets Reports'!D175,SEARCH("-",'R.M Billets Reports'!D175)+1,200)),"")))="VRKP ISPAT PVT LTD","VRKP",IF(IF(IF(ISNUMBER(SEARCH("Party Name:-",'R.M Billets Reports'!D174)),TRIM('R.M Billets Reports'!F174),IF(ISNUMBER(SEARCH("Party Name-",'R.M Billets Reports'!D174)),TRIM(MID('R.M Billets Reports'!D174,SEARCH("-",'R.M Billets Reports'!D174)+1,200)),""))&lt;&gt;"",IF(ISNUMBER(SEARCH("Party Name:-",'R.M Billets Reports'!D174)),TRIM('R.M Billets Reports'!F174),IF(ISNUMBER(SEARCH("Party Name-",'R.M Billets Reports'!D174)),TRIM(MID('R.M Billets Reports'!D174,SEARCH("-",'R.M Billets Reports'!D174)+1,200)),"")),IF(ISNUMBER(SEARCH("Party Name:-",'R.M Billets Reports'!D175)),TRIM('R.M Billets Reports'!F175),IF(ISNUMBER(SEARCH("Party Name-",'R.M Billets Reports'!D175)),TRIM(MID('R.M Billets Reports'!D175,SEARCH("-",'R.M Billets Reports'!D175)+1,200)),"")))="SHRI RADHE","SHREE RADHE",IF(IF(IF(ISNUMBER(SEARCH("Party Name:-",'R.M Billets Reports'!D174)),TRIM('R.M Billets Reports'!F174),IF(ISNUMBER(SEARCH("Party Name-",'R.M Billets Reports'!D174)),TRIM(MID('R.M Billets Reports'!D174,SEARCH("-",'R.M Billets Reports'!D174)+1,200)),""))&lt;&gt;"",IF(ISNUMBER(SEARCH("Party Name:-",'R.M Billets Reports'!D174)),TRIM('R.M Billets Reports'!F174),IF(ISNUMBER(SEARCH("Party Name-",'R.M Billets Reports'!D174)),TRIM(MID('R.M Billets Reports'!D174,SEARCH("-",'R.M Billets Reports'!D174)+1,200)),"")),IF(ISNUMBER(SEARCH("Party Name:-",'R.M Billets Reports'!D175)),TRIM('R.M Billets Reports'!F175),IF(ISNUMBER(SEARCH("Party Name-",'R.M Billets Reports'!D175)),TRIM(MID('R.M Billets Reports'!D175,SEARCH("-",'R.M Billets Reports'!D175)+1,200)),"")))="SHREE RADHE SHAKTI SPONGE AND POWER PVT. LTD.","SHREE RADHE",IF(IF(ISNUMBER(SEARCH("Party Name:-",'R.M Billets Reports'!D174)),TRIM('R.M Billets Reports'!F174),IF(ISNUMBER(SEARCH("Party Name-",'R.M Billets Reports'!D174)),TRIM(MID('R.M Billets Reports'!D174,SEARCH("-",'R.M Billets Reports'!D174)+1,200)),""))&lt;&gt;"",IF(ISNUMBER(SEARCH("Party Name:-",'R.M Billets Reports'!D174)),TRIM('R.M Billets Reports'!F174),IF(ISNUMBER(SEARCH("Party Name-",'R.M Billets Reports'!D174)),TRIM(MID('R.M Billets Reports'!D174,SEARCH("-",'R.M Billets Reports'!D174)+1,200)),"")),IF(ISNUMBER(SEARCH("Party Name:-",'R.M Billets Reports'!D175)),TRIM('R.M Billets Reports'!F175),IF(ISNUMBER(SEARCH("Party Name-",'R.M Billets Reports'!D175)),TRIM(MID('R.M Billets Reports'!D175,SEARCH("-",'R.M Billets Reports'!D175)+1,200)),"")))))),IF(ROW()=2,"",A174))</f>
      </c>
      <c r="B175">
        <f>IF(OR('R.M Billets Reports'!A174="Date-",'R.M Billets Reports'!A174="Date:-"),'R.M Billets Reports'!B174,IF(ROW()=2,"",B174))</f>
      </c>
      <c r="C175">
        <f>IF('R.M Billets Reports'!A174="V.No.",'R.M Billets Reports'!B174,IF(ROW()=2,"",C174))</f>
      </c>
      <c r="D175">
        <f>IF('R.M Billets Reports'!A174&lt;&gt;"",'R.M Billets Reports'!A174,IF(ROW()=2,"",D174))</f>
      </c>
      <c r="E175">
        <f>IF('R.M Billets Reports'!B174="","",TRIM('R.M Billets Reports'!B174))</f>
      </c>
      <c r="F175">
        <f>'R.M Billets Reports'!C174</f>
      </c>
      <c r="G175">
        <f>'R.M Billets Reports'!D174</f>
      </c>
      <c r="H175">
        <f>'R.M Billets Reports'!E174</f>
      </c>
      <c r="I175">
        <f>'R.M Billets Reports'!F174</f>
      </c>
      <c r="J175">
        <f>'R.M Billets Reports'!G174</f>
      </c>
      <c r="K175">
        <f>'R.M Billets Reports'!H174</f>
      </c>
      <c r="L175">
        <f>IF('R.M Billets Reports'!I174="","",'R.M Billets Reports'!I174)</f>
      </c>
      <c r="M175">
        <f t="shared" si="4"/>
      </c>
      <c r="N175">
        <f>IF('R.M Billets Reports'!J174="","",'R.M Billets Reports'!J174)</f>
      </c>
      <c r="O175">
        <f t="shared" si="5"/>
      </c>
      <c r="P175">
        <f>IF('R.M Billets Reports'!A174="SIZE",'R.M Billets Reports'!B174,P174)</f>
      </c>
    </row>
    <row r="176" spans="1:16" x14ac:dyDescent="0.25">
      <c r="A176">
        <f>IF(OR('R.M Billets Reports'!A175="Date-",'R.M Billets Reports'!A175="Date:-"),IF(IF(IF(ISNUMBER(SEARCH("Party Name:-",'R.M Billets Reports'!D175)),TRIM('R.M Billets Reports'!F175),IF(ISNUMBER(SEARCH("Party Name-",'R.M Billets Reports'!D175)),TRIM(MID('R.M Billets Reports'!D175,SEARCH("-",'R.M Billets Reports'!D175)+1,200)),""))&lt;&gt;"",IF(ISNUMBER(SEARCH("Party Name:-",'R.M Billets Reports'!D175)),TRIM('R.M Billets Reports'!F175),IF(ISNUMBER(SEARCH("Party Name-",'R.M Billets Reports'!D175)),TRIM(MID('R.M Billets Reports'!D175,SEARCH("-",'R.M Billets Reports'!D175)+1,200)),"")),IF(ISNUMBER(SEARCH("Party Name:-",'R.M Billets Reports'!D176)),TRIM('R.M Billets Reports'!F176),IF(ISNUMBER(SEARCH("Party Name-",'R.M Billets Reports'!D176)),TRIM(MID('R.M Billets Reports'!D176,SEARCH("-",'R.M Billets Reports'!D176)+1,200)),"")))="VRKP ISPAT PVT LTD","VRKP",IF(IF(IF(ISNUMBER(SEARCH("Party Name:-",'R.M Billets Reports'!D175)),TRIM('R.M Billets Reports'!F175),IF(ISNUMBER(SEARCH("Party Name-",'R.M Billets Reports'!D175)),TRIM(MID('R.M Billets Reports'!D175,SEARCH("-",'R.M Billets Reports'!D175)+1,200)),""))&lt;&gt;"",IF(ISNUMBER(SEARCH("Party Name:-",'R.M Billets Reports'!D175)),TRIM('R.M Billets Reports'!F175),IF(ISNUMBER(SEARCH("Party Name-",'R.M Billets Reports'!D175)),TRIM(MID('R.M Billets Reports'!D175,SEARCH("-",'R.M Billets Reports'!D175)+1,200)),"")),IF(ISNUMBER(SEARCH("Party Name:-",'R.M Billets Reports'!D176)),TRIM('R.M Billets Reports'!F176),IF(ISNUMBER(SEARCH("Party Name-",'R.M Billets Reports'!D176)),TRIM(MID('R.M Billets Reports'!D176,SEARCH("-",'R.M Billets Reports'!D176)+1,200)),"")))="SHRI RADHE","SHREE RADHE",IF(IF(IF(ISNUMBER(SEARCH("Party Name:-",'R.M Billets Reports'!D175)),TRIM('R.M Billets Reports'!F175),IF(ISNUMBER(SEARCH("Party Name-",'R.M Billets Reports'!D175)),TRIM(MID('R.M Billets Reports'!D175,SEARCH("-",'R.M Billets Reports'!D175)+1,200)),""))&lt;&gt;"",IF(ISNUMBER(SEARCH("Party Name:-",'R.M Billets Reports'!D175)),TRIM('R.M Billets Reports'!F175),IF(ISNUMBER(SEARCH("Party Name-",'R.M Billets Reports'!D175)),TRIM(MID('R.M Billets Reports'!D175,SEARCH("-",'R.M Billets Reports'!D175)+1,200)),"")),IF(ISNUMBER(SEARCH("Party Name:-",'R.M Billets Reports'!D176)),TRIM('R.M Billets Reports'!F176),IF(ISNUMBER(SEARCH("Party Name-",'R.M Billets Reports'!D176)),TRIM(MID('R.M Billets Reports'!D176,SEARCH("-",'R.M Billets Reports'!D176)+1,200)),"")))="SHREE RADHE SHAKTI SPONGE AND POWER PVT. LTD.","SHREE RADHE",IF(IF(ISNUMBER(SEARCH("Party Name:-",'R.M Billets Reports'!D175)),TRIM('R.M Billets Reports'!F175),IF(ISNUMBER(SEARCH("Party Name-",'R.M Billets Reports'!D175)),TRIM(MID('R.M Billets Reports'!D175,SEARCH("-",'R.M Billets Reports'!D175)+1,200)),""))&lt;&gt;"",IF(ISNUMBER(SEARCH("Party Name:-",'R.M Billets Reports'!D175)),TRIM('R.M Billets Reports'!F175),IF(ISNUMBER(SEARCH("Party Name-",'R.M Billets Reports'!D175)),TRIM(MID('R.M Billets Reports'!D175,SEARCH("-",'R.M Billets Reports'!D175)+1,200)),"")),IF(ISNUMBER(SEARCH("Party Name:-",'R.M Billets Reports'!D176)),TRIM('R.M Billets Reports'!F176),IF(ISNUMBER(SEARCH("Party Name-",'R.M Billets Reports'!D176)),TRIM(MID('R.M Billets Reports'!D176,SEARCH("-",'R.M Billets Reports'!D176)+1,200)),"")))))),IF(ROW()=2,"",A175))</f>
      </c>
      <c r="B176">
        <f>IF(OR('R.M Billets Reports'!A175="Date-",'R.M Billets Reports'!A175="Date:-"),'R.M Billets Reports'!B175,IF(ROW()=2,"",B175))</f>
      </c>
      <c r="C176">
        <f>IF('R.M Billets Reports'!A175="V.No.",'R.M Billets Reports'!B175,IF(ROW()=2,"",C175))</f>
      </c>
      <c r="D176">
        <f>IF('R.M Billets Reports'!A175&lt;&gt;"",'R.M Billets Reports'!A175,IF(ROW()=2,"",D175))</f>
      </c>
      <c r="E176">
        <f>IF('R.M Billets Reports'!B175="","",TRIM('R.M Billets Reports'!B175))</f>
      </c>
      <c r="F176">
        <f>'R.M Billets Reports'!C175</f>
      </c>
      <c r="G176">
        <f>'R.M Billets Reports'!D175</f>
      </c>
      <c r="H176">
        <f>'R.M Billets Reports'!E175</f>
      </c>
      <c r="I176">
        <f>'R.M Billets Reports'!F175</f>
      </c>
      <c r="J176">
        <f>'R.M Billets Reports'!G175</f>
      </c>
      <c r="K176">
        <f>'R.M Billets Reports'!H175</f>
      </c>
      <c r="L176">
        <f>IF('R.M Billets Reports'!I175="","",'R.M Billets Reports'!I175)</f>
      </c>
      <c r="M176">
        <f t="shared" si="4"/>
      </c>
      <c r="N176">
        <f>IF('R.M Billets Reports'!J175="","",'R.M Billets Reports'!J175)</f>
      </c>
      <c r="O176">
        <f t="shared" si="5"/>
      </c>
      <c r="P176">
        <f>IF('R.M Billets Reports'!A175="SIZE",'R.M Billets Reports'!B175,P175)</f>
      </c>
    </row>
    <row r="177" spans="1:16" x14ac:dyDescent="0.25">
      <c r="A177">
        <f>IF(OR('R.M Billets Reports'!A176="Date-",'R.M Billets Reports'!A176="Date:-"),IF(IF(IF(ISNUMBER(SEARCH("Party Name:-",'R.M Billets Reports'!D176)),TRIM('R.M Billets Reports'!F176),IF(ISNUMBER(SEARCH("Party Name-",'R.M Billets Reports'!D176)),TRIM(MID('R.M Billets Reports'!D176,SEARCH("-",'R.M Billets Reports'!D176)+1,200)),""))&lt;&gt;"",IF(ISNUMBER(SEARCH("Party Name:-",'R.M Billets Reports'!D176)),TRIM('R.M Billets Reports'!F176),IF(ISNUMBER(SEARCH("Party Name-",'R.M Billets Reports'!D176)),TRIM(MID('R.M Billets Reports'!D176,SEARCH("-",'R.M Billets Reports'!D176)+1,200)),"")),IF(ISNUMBER(SEARCH("Party Name:-",'R.M Billets Reports'!D177)),TRIM('R.M Billets Reports'!F177),IF(ISNUMBER(SEARCH("Party Name-",'R.M Billets Reports'!D177)),TRIM(MID('R.M Billets Reports'!D177,SEARCH("-",'R.M Billets Reports'!D177)+1,200)),"")))="VRKP ISPAT PVT LTD","VRKP",IF(IF(IF(ISNUMBER(SEARCH("Party Name:-",'R.M Billets Reports'!D176)),TRIM('R.M Billets Reports'!F176),IF(ISNUMBER(SEARCH("Party Name-",'R.M Billets Reports'!D176)),TRIM(MID('R.M Billets Reports'!D176,SEARCH("-",'R.M Billets Reports'!D176)+1,200)),""))&lt;&gt;"",IF(ISNUMBER(SEARCH("Party Name:-",'R.M Billets Reports'!D176)),TRIM('R.M Billets Reports'!F176),IF(ISNUMBER(SEARCH("Party Name-",'R.M Billets Reports'!D176)),TRIM(MID('R.M Billets Reports'!D176,SEARCH("-",'R.M Billets Reports'!D176)+1,200)),"")),IF(ISNUMBER(SEARCH("Party Name:-",'R.M Billets Reports'!D177)),TRIM('R.M Billets Reports'!F177),IF(ISNUMBER(SEARCH("Party Name-",'R.M Billets Reports'!D177)),TRIM(MID('R.M Billets Reports'!D177,SEARCH("-",'R.M Billets Reports'!D177)+1,200)),"")))="SHRI RADHE","SHREE RADHE",IF(IF(IF(ISNUMBER(SEARCH("Party Name:-",'R.M Billets Reports'!D176)),TRIM('R.M Billets Reports'!F176),IF(ISNUMBER(SEARCH("Party Name-",'R.M Billets Reports'!D176)),TRIM(MID('R.M Billets Reports'!D176,SEARCH("-",'R.M Billets Reports'!D176)+1,200)),""))&lt;&gt;"",IF(ISNUMBER(SEARCH("Party Name:-",'R.M Billets Reports'!D176)),TRIM('R.M Billets Reports'!F176),IF(ISNUMBER(SEARCH("Party Name-",'R.M Billets Reports'!D176)),TRIM(MID('R.M Billets Reports'!D176,SEARCH("-",'R.M Billets Reports'!D176)+1,200)),"")),IF(ISNUMBER(SEARCH("Party Name:-",'R.M Billets Reports'!D177)),TRIM('R.M Billets Reports'!F177),IF(ISNUMBER(SEARCH("Party Name-",'R.M Billets Reports'!D177)),TRIM(MID('R.M Billets Reports'!D177,SEARCH("-",'R.M Billets Reports'!D177)+1,200)),"")))="SHREE RADHE SHAKTI SPONGE AND POWER PVT. LTD.","SHREE RADHE",IF(IF(ISNUMBER(SEARCH("Party Name:-",'R.M Billets Reports'!D176)),TRIM('R.M Billets Reports'!F176),IF(ISNUMBER(SEARCH("Party Name-",'R.M Billets Reports'!D176)),TRIM(MID('R.M Billets Reports'!D176,SEARCH("-",'R.M Billets Reports'!D176)+1,200)),""))&lt;&gt;"",IF(ISNUMBER(SEARCH("Party Name:-",'R.M Billets Reports'!D176)),TRIM('R.M Billets Reports'!F176),IF(ISNUMBER(SEARCH("Party Name-",'R.M Billets Reports'!D176)),TRIM(MID('R.M Billets Reports'!D176,SEARCH("-",'R.M Billets Reports'!D176)+1,200)),"")),IF(ISNUMBER(SEARCH("Party Name:-",'R.M Billets Reports'!D177)),TRIM('R.M Billets Reports'!F177),IF(ISNUMBER(SEARCH("Party Name-",'R.M Billets Reports'!D177)),TRIM(MID('R.M Billets Reports'!D177,SEARCH("-",'R.M Billets Reports'!D177)+1,200)),"")))))),IF(ROW()=2,"",A176))</f>
      </c>
      <c r="B177">
        <f>IF(OR('R.M Billets Reports'!A176="Date-",'R.M Billets Reports'!A176="Date:-"),'R.M Billets Reports'!B176,IF(ROW()=2,"",B176))</f>
      </c>
      <c r="C177">
        <f>IF('R.M Billets Reports'!A176="V.No.",'R.M Billets Reports'!B176,IF(ROW()=2,"",C176))</f>
      </c>
      <c r="D177">
        <f>IF('R.M Billets Reports'!A176&lt;&gt;"",'R.M Billets Reports'!A176,IF(ROW()=2,"",D176))</f>
      </c>
      <c r="E177">
        <f>IF('R.M Billets Reports'!B176="","",TRIM('R.M Billets Reports'!B176))</f>
      </c>
      <c r="F177">
        <f>'R.M Billets Reports'!C176</f>
      </c>
      <c r="G177">
        <f>'R.M Billets Reports'!D176</f>
      </c>
      <c r="H177">
        <f>'R.M Billets Reports'!E176</f>
      </c>
      <c r="I177">
        <f>'R.M Billets Reports'!F176</f>
      </c>
      <c r="J177">
        <f>'R.M Billets Reports'!G176</f>
      </c>
      <c r="K177">
        <f>'R.M Billets Reports'!H176</f>
      </c>
      <c r="L177">
        <f>IF('R.M Billets Reports'!I176="","",'R.M Billets Reports'!I176)</f>
      </c>
      <c r="M177">
        <f t="shared" si="4"/>
      </c>
      <c r="N177">
        <f>IF('R.M Billets Reports'!J176="","",'R.M Billets Reports'!J176)</f>
      </c>
      <c r="O177">
        <f t="shared" si="5"/>
      </c>
      <c r="P177">
        <f>IF('R.M Billets Reports'!A176="SIZE",'R.M Billets Reports'!B176,P176)</f>
      </c>
    </row>
    <row r="178" spans="1:16" x14ac:dyDescent="0.25">
      <c r="A178">
        <f>IF(OR('R.M Billets Reports'!A177="Date-",'R.M Billets Reports'!A177="Date:-"),IF(IF(IF(ISNUMBER(SEARCH("Party Name:-",'R.M Billets Reports'!D177)),TRIM('R.M Billets Reports'!F177),IF(ISNUMBER(SEARCH("Party Name-",'R.M Billets Reports'!D177)),TRIM(MID('R.M Billets Reports'!D177,SEARCH("-",'R.M Billets Reports'!D177)+1,200)),""))&lt;&gt;"",IF(ISNUMBER(SEARCH("Party Name:-",'R.M Billets Reports'!D177)),TRIM('R.M Billets Reports'!F177),IF(ISNUMBER(SEARCH("Party Name-",'R.M Billets Reports'!D177)),TRIM(MID('R.M Billets Reports'!D177,SEARCH("-",'R.M Billets Reports'!D177)+1,200)),"")),IF(ISNUMBER(SEARCH("Party Name:-",'R.M Billets Reports'!D178)),TRIM('R.M Billets Reports'!F178),IF(ISNUMBER(SEARCH("Party Name-",'R.M Billets Reports'!D178)),TRIM(MID('R.M Billets Reports'!D178,SEARCH("-",'R.M Billets Reports'!D178)+1,200)),"")))="VRKP ISPAT PVT LTD","VRKP",IF(IF(IF(ISNUMBER(SEARCH("Party Name:-",'R.M Billets Reports'!D177)),TRIM('R.M Billets Reports'!F177),IF(ISNUMBER(SEARCH("Party Name-",'R.M Billets Reports'!D177)),TRIM(MID('R.M Billets Reports'!D177,SEARCH("-",'R.M Billets Reports'!D177)+1,200)),""))&lt;&gt;"",IF(ISNUMBER(SEARCH("Party Name:-",'R.M Billets Reports'!D177)),TRIM('R.M Billets Reports'!F177),IF(ISNUMBER(SEARCH("Party Name-",'R.M Billets Reports'!D177)),TRIM(MID('R.M Billets Reports'!D177,SEARCH("-",'R.M Billets Reports'!D177)+1,200)),"")),IF(ISNUMBER(SEARCH("Party Name:-",'R.M Billets Reports'!D178)),TRIM('R.M Billets Reports'!F178),IF(ISNUMBER(SEARCH("Party Name-",'R.M Billets Reports'!D178)),TRIM(MID('R.M Billets Reports'!D178,SEARCH("-",'R.M Billets Reports'!D178)+1,200)),"")))="SHRI RADHE","SHREE RADHE",IF(IF(IF(ISNUMBER(SEARCH("Party Name:-",'R.M Billets Reports'!D177)),TRIM('R.M Billets Reports'!F177),IF(ISNUMBER(SEARCH("Party Name-",'R.M Billets Reports'!D177)),TRIM(MID('R.M Billets Reports'!D177,SEARCH("-",'R.M Billets Reports'!D177)+1,200)),""))&lt;&gt;"",IF(ISNUMBER(SEARCH("Party Name:-",'R.M Billets Reports'!D177)),TRIM('R.M Billets Reports'!F177),IF(ISNUMBER(SEARCH("Party Name-",'R.M Billets Reports'!D177)),TRIM(MID('R.M Billets Reports'!D177,SEARCH("-",'R.M Billets Reports'!D177)+1,200)),"")),IF(ISNUMBER(SEARCH("Party Name:-",'R.M Billets Reports'!D178)),TRIM('R.M Billets Reports'!F178),IF(ISNUMBER(SEARCH("Party Name-",'R.M Billets Reports'!D178)),TRIM(MID('R.M Billets Reports'!D178,SEARCH("-",'R.M Billets Reports'!D178)+1,200)),"")))="SHREE RADHE SHAKTI SPONGE AND POWER PVT. LTD.","SHREE RADHE",IF(IF(ISNUMBER(SEARCH("Party Name:-",'R.M Billets Reports'!D177)),TRIM('R.M Billets Reports'!F177),IF(ISNUMBER(SEARCH("Party Name-",'R.M Billets Reports'!D177)),TRIM(MID('R.M Billets Reports'!D177,SEARCH("-",'R.M Billets Reports'!D177)+1,200)),""))&lt;&gt;"",IF(ISNUMBER(SEARCH("Party Name:-",'R.M Billets Reports'!D177)),TRIM('R.M Billets Reports'!F177),IF(ISNUMBER(SEARCH("Party Name-",'R.M Billets Reports'!D177)),TRIM(MID('R.M Billets Reports'!D177,SEARCH("-",'R.M Billets Reports'!D177)+1,200)),"")),IF(ISNUMBER(SEARCH("Party Name:-",'R.M Billets Reports'!D178)),TRIM('R.M Billets Reports'!F178),IF(ISNUMBER(SEARCH("Party Name-",'R.M Billets Reports'!D178)),TRIM(MID('R.M Billets Reports'!D178,SEARCH("-",'R.M Billets Reports'!D178)+1,200)),"")))))),IF(ROW()=2,"",A177))</f>
      </c>
      <c r="B178">
        <f>IF(OR('R.M Billets Reports'!A177="Date-",'R.M Billets Reports'!A177="Date:-"),'R.M Billets Reports'!B177,IF(ROW()=2,"",B177))</f>
      </c>
      <c r="C178">
        <f>IF('R.M Billets Reports'!A177="V.No.",'R.M Billets Reports'!B177,IF(ROW()=2,"",C177))</f>
      </c>
      <c r="D178">
        <f>IF('R.M Billets Reports'!A177&lt;&gt;"",'R.M Billets Reports'!A177,IF(ROW()=2,"",D177))</f>
      </c>
      <c r="E178">
        <f>IF('R.M Billets Reports'!B177="","",TRIM('R.M Billets Reports'!B177))</f>
      </c>
      <c r="F178">
        <f>'R.M Billets Reports'!C177</f>
      </c>
      <c r="G178">
        <f>'R.M Billets Reports'!D177</f>
      </c>
      <c r="H178">
        <f>'R.M Billets Reports'!E177</f>
      </c>
      <c r="I178">
        <f>'R.M Billets Reports'!F177</f>
      </c>
      <c r="J178">
        <f>'R.M Billets Reports'!G177</f>
      </c>
      <c r="K178">
        <f>'R.M Billets Reports'!H177</f>
      </c>
      <c r="L178">
        <f>IF('R.M Billets Reports'!I177="","",'R.M Billets Reports'!I177)</f>
      </c>
      <c r="M178">
        <f t="shared" si="4"/>
      </c>
      <c r="N178">
        <f>IF('R.M Billets Reports'!J177="","",'R.M Billets Reports'!J177)</f>
      </c>
      <c r="O178">
        <f t="shared" si="5"/>
      </c>
      <c r="P178">
        <f>IF('R.M Billets Reports'!A177="SIZE",'R.M Billets Reports'!B177,P177)</f>
      </c>
    </row>
    <row r="179" spans="1:16" x14ac:dyDescent="0.25">
      <c r="A179">
        <f>IF(OR('R.M Billets Reports'!A178="Date-",'R.M Billets Reports'!A178="Date:-"),IF(IF(IF(ISNUMBER(SEARCH("Party Name:-",'R.M Billets Reports'!D178)),TRIM('R.M Billets Reports'!F178),IF(ISNUMBER(SEARCH("Party Name-",'R.M Billets Reports'!D178)),TRIM(MID('R.M Billets Reports'!D178,SEARCH("-",'R.M Billets Reports'!D178)+1,200)),""))&lt;&gt;"",IF(ISNUMBER(SEARCH("Party Name:-",'R.M Billets Reports'!D178)),TRIM('R.M Billets Reports'!F178),IF(ISNUMBER(SEARCH("Party Name-",'R.M Billets Reports'!D178)),TRIM(MID('R.M Billets Reports'!D178,SEARCH("-",'R.M Billets Reports'!D178)+1,200)),"")),IF(ISNUMBER(SEARCH("Party Name:-",'R.M Billets Reports'!D179)),TRIM('R.M Billets Reports'!F179),IF(ISNUMBER(SEARCH("Party Name-",'R.M Billets Reports'!D179)),TRIM(MID('R.M Billets Reports'!D179,SEARCH("-",'R.M Billets Reports'!D179)+1,200)),"")))="VRKP ISPAT PVT LTD","VRKP",IF(IF(IF(ISNUMBER(SEARCH("Party Name:-",'R.M Billets Reports'!D178)),TRIM('R.M Billets Reports'!F178),IF(ISNUMBER(SEARCH("Party Name-",'R.M Billets Reports'!D178)),TRIM(MID('R.M Billets Reports'!D178,SEARCH("-",'R.M Billets Reports'!D178)+1,200)),""))&lt;&gt;"",IF(ISNUMBER(SEARCH("Party Name:-",'R.M Billets Reports'!D178)),TRIM('R.M Billets Reports'!F178),IF(ISNUMBER(SEARCH("Party Name-",'R.M Billets Reports'!D178)),TRIM(MID('R.M Billets Reports'!D178,SEARCH("-",'R.M Billets Reports'!D178)+1,200)),"")),IF(ISNUMBER(SEARCH("Party Name:-",'R.M Billets Reports'!D179)),TRIM('R.M Billets Reports'!F179),IF(ISNUMBER(SEARCH("Party Name-",'R.M Billets Reports'!D179)),TRIM(MID('R.M Billets Reports'!D179,SEARCH("-",'R.M Billets Reports'!D179)+1,200)),"")))="SHRI RADHE","SHREE RADHE",IF(IF(IF(ISNUMBER(SEARCH("Party Name:-",'R.M Billets Reports'!D178)),TRIM('R.M Billets Reports'!F178),IF(ISNUMBER(SEARCH("Party Name-",'R.M Billets Reports'!D178)),TRIM(MID('R.M Billets Reports'!D178,SEARCH("-",'R.M Billets Reports'!D178)+1,200)),""))&lt;&gt;"",IF(ISNUMBER(SEARCH("Party Name:-",'R.M Billets Reports'!D178)),TRIM('R.M Billets Reports'!F178),IF(ISNUMBER(SEARCH("Party Name-",'R.M Billets Reports'!D178)),TRIM(MID('R.M Billets Reports'!D178,SEARCH("-",'R.M Billets Reports'!D178)+1,200)),"")),IF(ISNUMBER(SEARCH("Party Name:-",'R.M Billets Reports'!D179)),TRIM('R.M Billets Reports'!F179),IF(ISNUMBER(SEARCH("Party Name-",'R.M Billets Reports'!D179)),TRIM(MID('R.M Billets Reports'!D179,SEARCH("-",'R.M Billets Reports'!D179)+1,200)),"")))="SHREE RADHE SHAKTI SPONGE AND POWER PVT. LTD.","SHREE RADHE",IF(IF(ISNUMBER(SEARCH("Party Name:-",'R.M Billets Reports'!D178)),TRIM('R.M Billets Reports'!F178),IF(ISNUMBER(SEARCH("Party Name-",'R.M Billets Reports'!D178)),TRIM(MID('R.M Billets Reports'!D178,SEARCH("-",'R.M Billets Reports'!D178)+1,200)),""))&lt;&gt;"",IF(ISNUMBER(SEARCH("Party Name:-",'R.M Billets Reports'!D178)),TRIM('R.M Billets Reports'!F178),IF(ISNUMBER(SEARCH("Party Name-",'R.M Billets Reports'!D178)),TRIM(MID('R.M Billets Reports'!D178,SEARCH("-",'R.M Billets Reports'!D178)+1,200)),"")),IF(ISNUMBER(SEARCH("Party Name:-",'R.M Billets Reports'!D179)),TRIM('R.M Billets Reports'!F179),IF(ISNUMBER(SEARCH("Party Name-",'R.M Billets Reports'!D179)),TRIM(MID('R.M Billets Reports'!D179,SEARCH("-",'R.M Billets Reports'!D179)+1,200)),"")))))),IF(ROW()=2,"",A178))</f>
      </c>
      <c r="B179">
        <f>IF(OR('R.M Billets Reports'!A178="Date-",'R.M Billets Reports'!A178="Date:-"),'R.M Billets Reports'!B178,IF(ROW()=2,"",B178))</f>
      </c>
      <c r="C179">
        <f>IF('R.M Billets Reports'!A178="V.No.",'R.M Billets Reports'!B178,IF(ROW()=2,"",C178))</f>
      </c>
      <c r="D179">
        <f>IF('R.M Billets Reports'!A178&lt;&gt;"",'R.M Billets Reports'!A178,IF(ROW()=2,"",D178))</f>
      </c>
      <c r="E179">
        <f>IF('R.M Billets Reports'!B178="","",TRIM('R.M Billets Reports'!B178))</f>
      </c>
      <c r="F179">
        <f>'R.M Billets Reports'!C178</f>
      </c>
      <c r="G179">
        <f>'R.M Billets Reports'!D178</f>
      </c>
      <c r="H179">
        <f>'R.M Billets Reports'!E178</f>
      </c>
      <c r="I179">
        <f>'R.M Billets Reports'!F178</f>
      </c>
      <c r="J179">
        <f>'R.M Billets Reports'!G178</f>
      </c>
      <c r="K179">
        <f>'R.M Billets Reports'!H178</f>
      </c>
      <c r="L179">
        <f>IF('R.M Billets Reports'!I178="","",'R.M Billets Reports'!I178)</f>
      </c>
      <c r="M179">
        <f t="shared" si="4"/>
      </c>
      <c r="N179">
        <f>IF('R.M Billets Reports'!J178="","",'R.M Billets Reports'!J178)</f>
      </c>
      <c r="O179">
        <f t="shared" si="5"/>
      </c>
      <c r="P179">
        <f>IF('R.M Billets Reports'!A178="SIZE",'R.M Billets Reports'!B178,P178)</f>
      </c>
    </row>
    <row r="180" spans="1:16" x14ac:dyDescent="0.25">
      <c r="A180">
        <f>IF(OR('R.M Billets Reports'!A179="Date-",'R.M Billets Reports'!A179="Date:-"),IF(IF(IF(ISNUMBER(SEARCH("Party Name:-",'R.M Billets Reports'!D179)),TRIM('R.M Billets Reports'!F179),IF(ISNUMBER(SEARCH("Party Name-",'R.M Billets Reports'!D179)),TRIM(MID('R.M Billets Reports'!D179,SEARCH("-",'R.M Billets Reports'!D179)+1,200)),""))&lt;&gt;"",IF(ISNUMBER(SEARCH("Party Name:-",'R.M Billets Reports'!D179)),TRIM('R.M Billets Reports'!F179),IF(ISNUMBER(SEARCH("Party Name-",'R.M Billets Reports'!D179)),TRIM(MID('R.M Billets Reports'!D179,SEARCH("-",'R.M Billets Reports'!D179)+1,200)),"")),IF(ISNUMBER(SEARCH("Party Name:-",'R.M Billets Reports'!D180)),TRIM('R.M Billets Reports'!F180),IF(ISNUMBER(SEARCH("Party Name-",'R.M Billets Reports'!D180)),TRIM(MID('R.M Billets Reports'!D180,SEARCH("-",'R.M Billets Reports'!D180)+1,200)),"")))="VRKP ISPAT PVT LTD","VRKP",IF(IF(IF(ISNUMBER(SEARCH("Party Name:-",'R.M Billets Reports'!D179)),TRIM('R.M Billets Reports'!F179),IF(ISNUMBER(SEARCH("Party Name-",'R.M Billets Reports'!D179)),TRIM(MID('R.M Billets Reports'!D179,SEARCH("-",'R.M Billets Reports'!D179)+1,200)),""))&lt;&gt;"",IF(ISNUMBER(SEARCH("Party Name:-",'R.M Billets Reports'!D179)),TRIM('R.M Billets Reports'!F179),IF(ISNUMBER(SEARCH("Party Name-",'R.M Billets Reports'!D179)),TRIM(MID('R.M Billets Reports'!D179,SEARCH("-",'R.M Billets Reports'!D179)+1,200)),"")),IF(ISNUMBER(SEARCH("Party Name:-",'R.M Billets Reports'!D180)),TRIM('R.M Billets Reports'!F180),IF(ISNUMBER(SEARCH("Party Name-",'R.M Billets Reports'!D180)),TRIM(MID('R.M Billets Reports'!D180,SEARCH("-",'R.M Billets Reports'!D180)+1,200)),"")))="SHRI RADHE","SHREE RADHE",IF(IF(IF(ISNUMBER(SEARCH("Party Name:-",'R.M Billets Reports'!D179)),TRIM('R.M Billets Reports'!F179),IF(ISNUMBER(SEARCH("Party Name-",'R.M Billets Reports'!D179)),TRIM(MID('R.M Billets Reports'!D179,SEARCH("-",'R.M Billets Reports'!D179)+1,200)),""))&lt;&gt;"",IF(ISNUMBER(SEARCH("Party Name:-",'R.M Billets Reports'!D179)),TRIM('R.M Billets Reports'!F179),IF(ISNUMBER(SEARCH("Party Name-",'R.M Billets Reports'!D179)),TRIM(MID('R.M Billets Reports'!D179,SEARCH("-",'R.M Billets Reports'!D179)+1,200)),"")),IF(ISNUMBER(SEARCH("Party Name:-",'R.M Billets Reports'!D180)),TRIM('R.M Billets Reports'!F180),IF(ISNUMBER(SEARCH("Party Name-",'R.M Billets Reports'!D180)),TRIM(MID('R.M Billets Reports'!D180,SEARCH("-",'R.M Billets Reports'!D180)+1,200)),"")))="SHREE RADHE SHAKTI SPONGE AND POWER PVT. LTD.","SHREE RADHE",IF(IF(ISNUMBER(SEARCH("Party Name:-",'R.M Billets Reports'!D179)),TRIM('R.M Billets Reports'!F179),IF(ISNUMBER(SEARCH("Party Name-",'R.M Billets Reports'!D179)),TRIM(MID('R.M Billets Reports'!D179,SEARCH("-",'R.M Billets Reports'!D179)+1,200)),""))&lt;&gt;"",IF(ISNUMBER(SEARCH("Party Name:-",'R.M Billets Reports'!D179)),TRIM('R.M Billets Reports'!F179),IF(ISNUMBER(SEARCH("Party Name-",'R.M Billets Reports'!D179)),TRIM(MID('R.M Billets Reports'!D179,SEARCH("-",'R.M Billets Reports'!D179)+1,200)),"")),IF(ISNUMBER(SEARCH("Party Name:-",'R.M Billets Reports'!D180)),TRIM('R.M Billets Reports'!F180),IF(ISNUMBER(SEARCH("Party Name-",'R.M Billets Reports'!D180)),TRIM(MID('R.M Billets Reports'!D180,SEARCH("-",'R.M Billets Reports'!D180)+1,200)),"")))))),IF(ROW()=2,"",A179))</f>
      </c>
      <c r="B180">
        <f>IF(OR('R.M Billets Reports'!A179="Date-",'R.M Billets Reports'!A179="Date:-"),'R.M Billets Reports'!B179,IF(ROW()=2,"",B179))</f>
      </c>
      <c r="C180">
        <f>IF('R.M Billets Reports'!A179="V.No.",'R.M Billets Reports'!B179,IF(ROW()=2,"",C179))</f>
      </c>
      <c r="D180">
        <f>IF('R.M Billets Reports'!A179&lt;&gt;"",'R.M Billets Reports'!A179,IF(ROW()=2,"",D179))</f>
      </c>
      <c r="E180">
        <f>IF('R.M Billets Reports'!B179="","",TRIM('R.M Billets Reports'!B179))</f>
      </c>
      <c r="F180">
        <f>'R.M Billets Reports'!C179</f>
      </c>
      <c r="G180">
        <f>'R.M Billets Reports'!D179</f>
      </c>
      <c r="H180">
        <f>'R.M Billets Reports'!E179</f>
      </c>
      <c r="I180">
        <f>'R.M Billets Reports'!F179</f>
      </c>
      <c r="J180">
        <f>'R.M Billets Reports'!G179</f>
      </c>
      <c r="K180">
        <f>'R.M Billets Reports'!H179</f>
      </c>
      <c r="L180">
        <f>IF('R.M Billets Reports'!I179="","",'R.M Billets Reports'!I179)</f>
      </c>
      <c r="M180">
        <f t="shared" si="4"/>
      </c>
      <c r="N180">
        <f>IF('R.M Billets Reports'!J179="","",'R.M Billets Reports'!J179)</f>
      </c>
      <c r="O180">
        <f t="shared" si="5"/>
      </c>
      <c r="P180">
        <f>IF('R.M Billets Reports'!A179="SIZE",'R.M Billets Reports'!B179,P179)</f>
      </c>
    </row>
    <row r="181" spans="1:16" x14ac:dyDescent="0.25">
      <c r="A181">
        <f>IF(OR('R.M Billets Reports'!A180="Date-",'R.M Billets Reports'!A180="Date:-"),IF(IF(IF(ISNUMBER(SEARCH("Party Name:-",'R.M Billets Reports'!D180)),TRIM('R.M Billets Reports'!F180),IF(ISNUMBER(SEARCH("Party Name-",'R.M Billets Reports'!D180)),TRIM(MID('R.M Billets Reports'!D180,SEARCH("-",'R.M Billets Reports'!D180)+1,200)),""))&lt;&gt;"",IF(ISNUMBER(SEARCH("Party Name:-",'R.M Billets Reports'!D180)),TRIM('R.M Billets Reports'!F180),IF(ISNUMBER(SEARCH("Party Name-",'R.M Billets Reports'!D180)),TRIM(MID('R.M Billets Reports'!D180,SEARCH("-",'R.M Billets Reports'!D180)+1,200)),"")),IF(ISNUMBER(SEARCH("Party Name:-",'R.M Billets Reports'!D181)),TRIM('R.M Billets Reports'!F181),IF(ISNUMBER(SEARCH("Party Name-",'R.M Billets Reports'!D181)),TRIM(MID('R.M Billets Reports'!D181,SEARCH("-",'R.M Billets Reports'!D181)+1,200)),"")))="VRKP ISPAT PVT LTD","VRKP",IF(IF(IF(ISNUMBER(SEARCH("Party Name:-",'R.M Billets Reports'!D180)),TRIM('R.M Billets Reports'!F180),IF(ISNUMBER(SEARCH("Party Name-",'R.M Billets Reports'!D180)),TRIM(MID('R.M Billets Reports'!D180,SEARCH("-",'R.M Billets Reports'!D180)+1,200)),""))&lt;&gt;"",IF(ISNUMBER(SEARCH("Party Name:-",'R.M Billets Reports'!D180)),TRIM('R.M Billets Reports'!F180),IF(ISNUMBER(SEARCH("Party Name-",'R.M Billets Reports'!D180)),TRIM(MID('R.M Billets Reports'!D180,SEARCH("-",'R.M Billets Reports'!D180)+1,200)),"")),IF(ISNUMBER(SEARCH("Party Name:-",'R.M Billets Reports'!D181)),TRIM('R.M Billets Reports'!F181),IF(ISNUMBER(SEARCH("Party Name-",'R.M Billets Reports'!D181)),TRIM(MID('R.M Billets Reports'!D181,SEARCH("-",'R.M Billets Reports'!D181)+1,200)),"")))="SHRI RADHE","SHREE RADHE",IF(IF(IF(ISNUMBER(SEARCH("Party Name:-",'R.M Billets Reports'!D180)),TRIM('R.M Billets Reports'!F180),IF(ISNUMBER(SEARCH("Party Name-",'R.M Billets Reports'!D180)),TRIM(MID('R.M Billets Reports'!D180,SEARCH("-",'R.M Billets Reports'!D180)+1,200)),""))&lt;&gt;"",IF(ISNUMBER(SEARCH("Party Name:-",'R.M Billets Reports'!D180)),TRIM('R.M Billets Reports'!F180),IF(ISNUMBER(SEARCH("Party Name-",'R.M Billets Reports'!D180)),TRIM(MID('R.M Billets Reports'!D180,SEARCH("-",'R.M Billets Reports'!D180)+1,200)),"")),IF(ISNUMBER(SEARCH("Party Name:-",'R.M Billets Reports'!D181)),TRIM('R.M Billets Reports'!F181),IF(ISNUMBER(SEARCH("Party Name-",'R.M Billets Reports'!D181)),TRIM(MID('R.M Billets Reports'!D181,SEARCH("-",'R.M Billets Reports'!D181)+1,200)),"")))="SHREE RADHE SHAKTI SPONGE AND POWER PVT. LTD.","SHREE RADHE",IF(IF(ISNUMBER(SEARCH("Party Name:-",'R.M Billets Reports'!D180)),TRIM('R.M Billets Reports'!F180),IF(ISNUMBER(SEARCH("Party Name-",'R.M Billets Reports'!D180)),TRIM(MID('R.M Billets Reports'!D180,SEARCH("-",'R.M Billets Reports'!D180)+1,200)),""))&lt;&gt;"",IF(ISNUMBER(SEARCH("Party Name:-",'R.M Billets Reports'!D180)),TRIM('R.M Billets Reports'!F180),IF(ISNUMBER(SEARCH("Party Name-",'R.M Billets Reports'!D180)),TRIM(MID('R.M Billets Reports'!D180,SEARCH("-",'R.M Billets Reports'!D180)+1,200)),"")),IF(ISNUMBER(SEARCH("Party Name:-",'R.M Billets Reports'!D181)),TRIM('R.M Billets Reports'!F181),IF(ISNUMBER(SEARCH("Party Name-",'R.M Billets Reports'!D181)),TRIM(MID('R.M Billets Reports'!D181,SEARCH("-",'R.M Billets Reports'!D181)+1,200)),"")))))),IF(ROW()=2,"",A180))</f>
      </c>
      <c r="B181">
        <f>IF(OR('R.M Billets Reports'!A180="Date-",'R.M Billets Reports'!A180="Date:-"),'R.M Billets Reports'!B180,IF(ROW()=2,"",B180))</f>
      </c>
      <c r="C181">
        <f>IF('R.M Billets Reports'!A180="V.No.",'R.M Billets Reports'!B180,IF(ROW()=2,"",C180))</f>
      </c>
      <c r="D181">
        <f>IF('R.M Billets Reports'!A180&lt;&gt;"",'R.M Billets Reports'!A180,IF(ROW()=2,"",D180))</f>
      </c>
      <c r="E181">
        <f>IF('R.M Billets Reports'!B180="","",TRIM('R.M Billets Reports'!B180))</f>
      </c>
      <c r="F181">
        <f>'R.M Billets Reports'!C180</f>
      </c>
      <c r="G181">
        <f>'R.M Billets Reports'!D180</f>
      </c>
      <c r="H181">
        <f>'R.M Billets Reports'!E180</f>
      </c>
      <c r="I181">
        <f>'R.M Billets Reports'!F180</f>
      </c>
      <c r="J181">
        <f>'R.M Billets Reports'!G180</f>
      </c>
      <c r="K181">
        <f>'R.M Billets Reports'!H180</f>
      </c>
      <c r="L181">
        <f>IF('R.M Billets Reports'!I180="","",'R.M Billets Reports'!I180)</f>
      </c>
      <c r="M181">
        <f t="shared" si="4"/>
      </c>
      <c r="N181">
        <f>IF('R.M Billets Reports'!J180="","",'R.M Billets Reports'!J180)</f>
      </c>
      <c r="O181">
        <f t="shared" si="5"/>
      </c>
      <c r="P181">
        <f>IF('R.M Billets Reports'!A180="SIZE",'R.M Billets Reports'!B180,P180)</f>
      </c>
    </row>
    <row r="182" spans="1:16" x14ac:dyDescent="0.25">
      <c r="A182">
        <f>IF(OR('R.M Billets Reports'!A181="Date-",'R.M Billets Reports'!A181="Date:-"),IF(IF(IF(ISNUMBER(SEARCH("Party Name:-",'R.M Billets Reports'!D181)),TRIM('R.M Billets Reports'!F181),IF(ISNUMBER(SEARCH("Party Name-",'R.M Billets Reports'!D181)),TRIM(MID('R.M Billets Reports'!D181,SEARCH("-",'R.M Billets Reports'!D181)+1,200)),""))&lt;&gt;"",IF(ISNUMBER(SEARCH("Party Name:-",'R.M Billets Reports'!D181)),TRIM('R.M Billets Reports'!F181),IF(ISNUMBER(SEARCH("Party Name-",'R.M Billets Reports'!D181)),TRIM(MID('R.M Billets Reports'!D181,SEARCH("-",'R.M Billets Reports'!D181)+1,200)),"")),IF(ISNUMBER(SEARCH("Party Name:-",'R.M Billets Reports'!D182)),TRIM('R.M Billets Reports'!F182),IF(ISNUMBER(SEARCH("Party Name-",'R.M Billets Reports'!D182)),TRIM(MID('R.M Billets Reports'!D182,SEARCH("-",'R.M Billets Reports'!D182)+1,200)),"")))="VRKP ISPAT PVT LTD","VRKP",IF(IF(IF(ISNUMBER(SEARCH("Party Name:-",'R.M Billets Reports'!D181)),TRIM('R.M Billets Reports'!F181),IF(ISNUMBER(SEARCH("Party Name-",'R.M Billets Reports'!D181)),TRIM(MID('R.M Billets Reports'!D181,SEARCH("-",'R.M Billets Reports'!D181)+1,200)),""))&lt;&gt;"",IF(ISNUMBER(SEARCH("Party Name:-",'R.M Billets Reports'!D181)),TRIM('R.M Billets Reports'!F181),IF(ISNUMBER(SEARCH("Party Name-",'R.M Billets Reports'!D181)),TRIM(MID('R.M Billets Reports'!D181,SEARCH("-",'R.M Billets Reports'!D181)+1,200)),"")),IF(ISNUMBER(SEARCH("Party Name:-",'R.M Billets Reports'!D182)),TRIM('R.M Billets Reports'!F182),IF(ISNUMBER(SEARCH("Party Name-",'R.M Billets Reports'!D182)),TRIM(MID('R.M Billets Reports'!D182,SEARCH("-",'R.M Billets Reports'!D182)+1,200)),"")))="SHRI RADHE","SHREE RADHE",IF(IF(IF(ISNUMBER(SEARCH("Party Name:-",'R.M Billets Reports'!D181)),TRIM('R.M Billets Reports'!F181),IF(ISNUMBER(SEARCH("Party Name-",'R.M Billets Reports'!D181)),TRIM(MID('R.M Billets Reports'!D181,SEARCH("-",'R.M Billets Reports'!D181)+1,200)),""))&lt;&gt;"",IF(ISNUMBER(SEARCH("Party Name:-",'R.M Billets Reports'!D181)),TRIM('R.M Billets Reports'!F181),IF(ISNUMBER(SEARCH("Party Name-",'R.M Billets Reports'!D181)),TRIM(MID('R.M Billets Reports'!D181,SEARCH("-",'R.M Billets Reports'!D181)+1,200)),"")),IF(ISNUMBER(SEARCH("Party Name:-",'R.M Billets Reports'!D182)),TRIM('R.M Billets Reports'!F182),IF(ISNUMBER(SEARCH("Party Name-",'R.M Billets Reports'!D182)),TRIM(MID('R.M Billets Reports'!D182,SEARCH("-",'R.M Billets Reports'!D182)+1,200)),"")))="SHREE RADHE SHAKTI SPONGE AND POWER PVT. LTD.","SHREE RADHE",IF(IF(ISNUMBER(SEARCH("Party Name:-",'R.M Billets Reports'!D181)),TRIM('R.M Billets Reports'!F181),IF(ISNUMBER(SEARCH("Party Name-",'R.M Billets Reports'!D181)),TRIM(MID('R.M Billets Reports'!D181,SEARCH("-",'R.M Billets Reports'!D181)+1,200)),""))&lt;&gt;"",IF(ISNUMBER(SEARCH("Party Name:-",'R.M Billets Reports'!D181)),TRIM('R.M Billets Reports'!F181),IF(ISNUMBER(SEARCH("Party Name-",'R.M Billets Reports'!D181)),TRIM(MID('R.M Billets Reports'!D181,SEARCH("-",'R.M Billets Reports'!D181)+1,200)),"")),IF(ISNUMBER(SEARCH("Party Name:-",'R.M Billets Reports'!D182)),TRIM('R.M Billets Reports'!F182),IF(ISNUMBER(SEARCH("Party Name-",'R.M Billets Reports'!D182)),TRIM(MID('R.M Billets Reports'!D182,SEARCH("-",'R.M Billets Reports'!D182)+1,200)),"")))))),IF(ROW()=2,"",A181))</f>
      </c>
      <c r="B182">
        <f>IF(OR('R.M Billets Reports'!A181="Date-",'R.M Billets Reports'!A181="Date:-"),'R.M Billets Reports'!B181,IF(ROW()=2,"",B181))</f>
      </c>
      <c r="C182">
        <f>IF('R.M Billets Reports'!A181="V.No.",'R.M Billets Reports'!B181,IF(ROW()=2,"",C181))</f>
      </c>
      <c r="D182">
        <f>IF('R.M Billets Reports'!A181&lt;&gt;"",'R.M Billets Reports'!A181,IF(ROW()=2,"",D181))</f>
      </c>
      <c r="E182">
        <f>IF('R.M Billets Reports'!B181="","",TRIM('R.M Billets Reports'!B181))</f>
      </c>
      <c r="F182">
        <f>'R.M Billets Reports'!C181</f>
      </c>
      <c r="G182">
        <f>'R.M Billets Reports'!D181</f>
      </c>
      <c r="H182">
        <f>'R.M Billets Reports'!E181</f>
      </c>
      <c r="I182">
        <f>'R.M Billets Reports'!F181</f>
      </c>
      <c r="J182">
        <f>'R.M Billets Reports'!G181</f>
      </c>
      <c r="K182">
        <f>'R.M Billets Reports'!H181</f>
      </c>
      <c r="L182">
        <f>IF('R.M Billets Reports'!I181="","",'R.M Billets Reports'!I181)</f>
      </c>
      <c r="M182">
        <f t="shared" si="4"/>
      </c>
      <c r="N182">
        <f>IF('R.M Billets Reports'!J181="","",'R.M Billets Reports'!J181)</f>
      </c>
      <c r="O182">
        <f t="shared" si="5"/>
      </c>
      <c r="P182">
        <f>IF('R.M Billets Reports'!A181="SIZE",'R.M Billets Reports'!B181,P181)</f>
      </c>
    </row>
    <row r="183" spans="1:16" x14ac:dyDescent="0.25">
      <c r="A183">
        <f>IF(OR('R.M Billets Reports'!A182="Date-",'R.M Billets Reports'!A182="Date:-"),IF(IF(IF(ISNUMBER(SEARCH("Party Name:-",'R.M Billets Reports'!D182)),TRIM('R.M Billets Reports'!F182),IF(ISNUMBER(SEARCH("Party Name-",'R.M Billets Reports'!D182)),TRIM(MID('R.M Billets Reports'!D182,SEARCH("-",'R.M Billets Reports'!D182)+1,200)),""))&lt;&gt;"",IF(ISNUMBER(SEARCH("Party Name:-",'R.M Billets Reports'!D182)),TRIM('R.M Billets Reports'!F182),IF(ISNUMBER(SEARCH("Party Name-",'R.M Billets Reports'!D182)),TRIM(MID('R.M Billets Reports'!D182,SEARCH("-",'R.M Billets Reports'!D182)+1,200)),"")),IF(ISNUMBER(SEARCH("Party Name:-",'R.M Billets Reports'!D183)),TRIM('R.M Billets Reports'!F183),IF(ISNUMBER(SEARCH("Party Name-",'R.M Billets Reports'!D183)),TRIM(MID('R.M Billets Reports'!D183,SEARCH("-",'R.M Billets Reports'!D183)+1,200)),"")))="VRKP ISPAT PVT LTD","VRKP",IF(IF(IF(ISNUMBER(SEARCH("Party Name:-",'R.M Billets Reports'!D182)),TRIM('R.M Billets Reports'!F182),IF(ISNUMBER(SEARCH("Party Name-",'R.M Billets Reports'!D182)),TRIM(MID('R.M Billets Reports'!D182,SEARCH("-",'R.M Billets Reports'!D182)+1,200)),""))&lt;&gt;"",IF(ISNUMBER(SEARCH("Party Name:-",'R.M Billets Reports'!D182)),TRIM('R.M Billets Reports'!F182),IF(ISNUMBER(SEARCH("Party Name-",'R.M Billets Reports'!D182)),TRIM(MID('R.M Billets Reports'!D182,SEARCH("-",'R.M Billets Reports'!D182)+1,200)),"")),IF(ISNUMBER(SEARCH("Party Name:-",'R.M Billets Reports'!D183)),TRIM('R.M Billets Reports'!F183),IF(ISNUMBER(SEARCH("Party Name-",'R.M Billets Reports'!D183)),TRIM(MID('R.M Billets Reports'!D183,SEARCH("-",'R.M Billets Reports'!D183)+1,200)),"")))="SHRI RADHE","SHREE RADHE",IF(IF(IF(ISNUMBER(SEARCH("Party Name:-",'R.M Billets Reports'!D182)),TRIM('R.M Billets Reports'!F182),IF(ISNUMBER(SEARCH("Party Name-",'R.M Billets Reports'!D182)),TRIM(MID('R.M Billets Reports'!D182,SEARCH("-",'R.M Billets Reports'!D182)+1,200)),""))&lt;&gt;"",IF(ISNUMBER(SEARCH("Party Name:-",'R.M Billets Reports'!D182)),TRIM('R.M Billets Reports'!F182),IF(ISNUMBER(SEARCH("Party Name-",'R.M Billets Reports'!D182)),TRIM(MID('R.M Billets Reports'!D182,SEARCH("-",'R.M Billets Reports'!D182)+1,200)),"")),IF(ISNUMBER(SEARCH("Party Name:-",'R.M Billets Reports'!D183)),TRIM('R.M Billets Reports'!F183),IF(ISNUMBER(SEARCH("Party Name-",'R.M Billets Reports'!D183)),TRIM(MID('R.M Billets Reports'!D183,SEARCH("-",'R.M Billets Reports'!D183)+1,200)),"")))="SHREE RADHE SHAKTI SPONGE AND POWER PVT. LTD.","SHREE RADHE",IF(IF(ISNUMBER(SEARCH("Party Name:-",'R.M Billets Reports'!D182)),TRIM('R.M Billets Reports'!F182),IF(ISNUMBER(SEARCH("Party Name-",'R.M Billets Reports'!D182)),TRIM(MID('R.M Billets Reports'!D182,SEARCH("-",'R.M Billets Reports'!D182)+1,200)),""))&lt;&gt;"",IF(ISNUMBER(SEARCH("Party Name:-",'R.M Billets Reports'!D182)),TRIM('R.M Billets Reports'!F182),IF(ISNUMBER(SEARCH("Party Name-",'R.M Billets Reports'!D182)),TRIM(MID('R.M Billets Reports'!D182,SEARCH("-",'R.M Billets Reports'!D182)+1,200)),"")),IF(ISNUMBER(SEARCH("Party Name:-",'R.M Billets Reports'!D183)),TRIM('R.M Billets Reports'!F183),IF(ISNUMBER(SEARCH("Party Name-",'R.M Billets Reports'!D183)),TRIM(MID('R.M Billets Reports'!D183,SEARCH("-",'R.M Billets Reports'!D183)+1,200)),"")))))),IF(ROW()=2,"",A182))</f>
      </c>
      <c r="B183">
        <f>IF(OR('R.M Billets Reports'!A182="Date-",'R.M Billets Reports'!A182="Date:-"),'R.M Billets Reports'!B182,IF(ROW()=2,"",B182))</f>
      </c>
      <c r="C183">
        <f>IF('R.M Billets Reports'!A182="V.No.",'R.M Billets Reports'!B182,IF(ROW()=2,"",C182))</f>
      </c>
      <c r="D183">
        <f>IF('R.M Billets Reports'!A182&lt;&gt;"",'R.M Billets Reports'!A182,IF(ROW()=2,"",D182))</f>
      </c>
      <c r="E183">
        <f>IF('R.M Billets Reports'!B182="","",TRIM('R.M Billets Reports'!B182))</f>
      </c>
      <c r="F183">
        <f>'R.M Billets Reports'!C182</f>
      </c>
      <c r="G183">
        <f>'R.M Billets Reports'!D182</f>
      </c>
      <c r="H183">
        <f>'R.M Billets Reports'!E182</f>
      </c>
      <c r="I183">
        <f>'R.M Billets Reports'!F182</f>
      </c>
      <c r="J183">
        <f>'R.M Billets Reports'!G182</f>
      </c>
      <c r="K183">
        <f>'R.M Billets Reports'!H182</f>
      </c>
      <c r="L183">
        <f>IF('R.M Billets Reports'!I182="","",'R.M Billets Reports'!I182)</f>
      </c>
      <c r="M183">
        <f t="shared" si="4"/>
      </c>
      <c r="N183">
        <f>IF('R.M Billets Reports'!J182="","",'R.M Billets Reports'!J182)</f>
      </c>
      <c r="O183">
        <f t="shared" si="5"/>
      </c>
      <c r="P183">
        <f>IF('R.M Billets Reports'!A182="SIZE",'R.M Billets Reports'!B182,P182)</f>
      </c>
    </row>
    <row r="184" spans="1:16" x14ac:dyDescent="0.25">
      <c r="A184">
        <f>IF(OR('R.M Billets Reports'!A183="Date-",'R.M Billets Reports'!A183="Date:-"),IF(IF(IF(ISNUMBER(SEARCH("Party Name:-",'R.M Billets Reports'!D183)),TRIM('R.M Billets Reports'!F183),IF(ISNUMBER(SEARCH("Party Name-",'R.M Billets Reports'!D183)),TRIM(MID('R.M Billets Reports'!D183,SEARCH("-",'R.M Billets Reports'!D183)+1,200)),""))&lt;&gt;"",IF(ISNUMBER(SEARCH("Party Name:-",'R.M Billets Reports'!D183)),TRIM('R.M Billets Reports'!F183),IF(ISNUMBER(SEARCH("Party Name-",'R.M Billets Reports'!D183)),TRIM(MID('R.M Billets Reports'!D183,SEARCH("-",'R.M Billets Reports'!D183)+1,200)),"")),IF(ISNUMBER(SEARCH("Party Name:-",'R.M Billets Reports'!D184)),TRIM('R.M Billets Reports'!F184),IF(ISNUMBER(SEARCH("Party Name-",'R.M Billets Reports'!D184)),TRIM(MID('R.M Billets Reports'!D184,SEARCH("-",'R.M Billets Reports'!D184)+1,200)),"")))="VRKP ISPAT PVT LTD","VRKP",IF(IF(IF(ISNUMBER(SEARCH("Party Name:-",'R.M Billets Reports'!D183)),TRIM('R.M Billets Reports'!F183),IF(ISNUMBER(SEARCH("Party Name-",'R.M Billets Reports'!D183)),TRIM(MID('R.M Billets Reports'!D183,SEARCH("-",'R.M Billets Reports'!D183)+1,200)),""))&lt;&gt;"",IF(ISNUMBER(SEARCH("Party Name:-",'R.M Billets Reports'!D183)),TRIM('R.M Billets Reports'!F183),IF(ISNUMBER(SEARCH("Party Name-",'R.M Billets Reports'!D183)),TRIM(MID('R.M Billets Reports'!D183,SEARCH("-",'R.M Billets Reports'!D183)+1,200)),"")),IF(ISNUMBER(SEARCH("Party Name:-",'R.M Billets Reports'!D184)),TRIM('R.M Billets Reports'!F184),IF(ISNUMBER(SEARCH("Party Name-",'R.M Billets Reports'!D184)),TRIM(MID('R.M Billets Reports'!D184,SEARCH("-",'R.M Billets Reports'!D184)+1,200)),"")))="SHRI RADHE","SHREE RADHE",IF(IF(IF(ISNUMBER(SEARCH("Party Name:-",'R.M Billets Reports'!D183)),TRIM('R.M Billets Reports'!F183),IF(ISNUMBER(SEARCH("Party Name-",'R.M Billets Reports'!D183)),TRIM(MID('R.M Billets Reports'!D183,SEARCH("-",'R.M Billets Reports'!D183)+1,200)),""))&lt;&gt;"",IF(ISNUMBER(SEARCH("Party Name:-",'R.M Billets Reports'!D183)),TRIM('R.M Billets Reports'!F183),IF(ISNUMBER(SEARCH("Party Name-",'R.M Billets Reports'!D183)),TRIM(MID('R.M Billets Reports'!D183,SEARCH("-",'R.M Billets Reports'!D183)+1,200)),"")),IF(ISNUMBER(SEARCH("Party Name:-",'R.M Billets Reports'!D184)),TRIM('R.M Billets Reports'!F184),IF(ISNUMBER(SEARCH("Party Name-",'R.M Billets Reports'!D184)),TRIM(MID('R.M Billets Reports'!D184,SEARCH("-",'R.M Billets Reports'!D184)+1,200)),"")))="SHREE RADHE SHAKTI SPONGE AND POWER PVT. LTD.","SHREE RADHE",IF(IF(ISNUMBER(SEARCH("Party Name:-",'R.M Billets Reports'!D183)),TRIM('R.M Billets Reports'!F183),IF(ISNUMBER(SEARCH("Party Name-",'R.M Billets Reports'!D183)),TRIM(MID('R.M Billets Reports'!D183,SEARCH("-",'R.M Billets Reports'!D183)+1,200)),""))&lt;&gt;"",IF(ISNUMBER(SEARCH("Party Name:-",'R.M Billets Reports'!D183)),TRIM('R.M Billets Reports'!F183),IF(ISNUMBER(SEARCH("Party Name-",'R.M Billets Reports'!D183)),TRIM(MID('R.M Billets Reports'!D183,SEARCH("-",'R.M Billets Reports'!D183)+1,200)),"")),IF(ISNUMBER(SEARCH("Party Name:-",'R.M Billets Reports'!D184)),TRIM('R.M Billets Reports'!F184),IF(ISNUMBER(SEARCH("Party Name-",'R.M Billets Reports'!D184)),TRIM(MID('R.M Billets Reports'!D184,SEARCH("-",'R.M Billets Reports'!D184)+1,200)),"")))))),IF(ROW()=2,"",A183))</f>
      </c>
      <c r="B184">
        <f>IF(OR('R.M Billets Reports'!A183="Date-",'R.M Billets Reports'!A183="Date:-"),'R.M Billets Reports'!B183,IF(ROW()=2,"",B183))</f>
      </c>
      <c r="C184">
        <f>IF('R.M Billets Reports'!A183="V.No.",'R.M Billets Reports'!B183,IF(ROW()=2,"",C183))</f>
      </c>
      <c r="D184">
        <f>IF('R.M Billets Reports'!A183&lt;&gt;"",'R.M Billets Reports'!A183,IF(ROW()=2,"",D183))</f>
      </c>
      <c r="E184">
        <f>IF('R.M Billets Reports'!B183="","",TRIM('R.M Billets Reports'!B183))</f>
      </c>
      <c r="F184">
        <f>'R.M Billets Reports'!C183</f>
      </c>
      <c r="G184">
        <f>'R.M Billets Reports'!D183</f>
      </c>
      <c r="H184">
        <f>'R.M Billets Reports'!E183</f>
      </c>
      <c r="I184">
        <f>'R.M Billets Reports'!F183</f>
      </c>
      <c r="J184">
        <f>'R.M Billets Reports'!G183</f>
      </c>
      <c r="K184">
        <f>'R.M Billets Reports'!H183</f>
      </c>
      <c r="L184">
        <f>IF('R.M Billets Reports'!I183="","",'R.M Billets Reports'!I183)</f>
      </c>
      <c r="M184">
        <f t="shared" si="4"/>
      </c>
      <c r="N184">
        <f>IF('R.M Billets Reports'!J183="","",'R.M Billets Reports'!J183)</f>
      </c>
      <c r="O184">
        <f t="shared" si="5"/>
      </c>
      <c r="P184">
        <f>IF('R.M Billets Reports'!A183="SIZE",'R.M Billets Reports'!B183,P183)</f>
      </c>
    </row>
    <row r="185" spans="1:16" x14ac:dyDescent="0.25">
      <c r="A185">
        <f>IF(OR('R.M Billets Reports'!A184="Date-",'R.M Billets Reports'!A184="Date:-"),IF(IF(IF(ISNUMBER(SEARCH("Party Name:-",'R.M Billets Reports'!D184)),TRIM('R.M Billets Reports'!F184),IF(ISNUMBER(SEARCH("Party Name-",'R.M Billets Reports'!D184)),TRIM(MID('R.M Billets Reports'!D184,SEARCH("-",'R.M Billets Reports'!D184)+1,200)),""))&lt;&gt;"",IF(ISNUMBER(SEARCH("Party Name:-",'R.M Billets Reports'!D184)),TRIM('R.M Billets Reports'!F184),IF(ISNUMBER(SEARCH("Party Name-",'R.M Billets Reports'!D184)),TRIM(MID('R.M Billets Reports'!D184,SEARCH("-",'R.M Billets Reports'!D184)+1,200)),"")),IF(ISNUMBER(SEARCH("Party Name:-",'R.M Billets Reports'!D185)),TRIM('R.M Billets Reports'!F185),IF(ISNUMBER(SEARCH("Party Name-",'R.M Billets Reports'!D185)),TRIM(MID('R.M Billets Reports'!D185,SEARCH("-",'R.M Billets Reports'!D185)+1,200)),"")))="VRKP ISPAT PVT LTD","VRKP",IF(IF(IF(ISNUMBER(SEARCH("Party Name:-",'R.M Billets Reports'!D184)),TRIM('R.M Billets Reports'!F184),IF(ISNUMBER(SEARCH("Party Name-",'R.M Billets Reports'!D184)),TRIM(MID('R.M Billets Reports'!D184,SEARCH("-",'R.M Billets Reports'!D184)+1,200)),""))&lt;&gt;"",IF(ISNUMBER(SEARCH("Party Name:-",'R.M Billets Reports'!D184)),TRIM('R.M Billets Reports'!F184),IF(ISNUMBER(SEARCH("Party Name-",'R.M Billets Reports'!D184)),TRIM(MID('R.M Billets Reports'!D184,SEARCH("-",'R.M Billets Reports'!D184)+1,200)),"")),IF(ISNUMBER(SEARCH("Party Name:-",'R.M Billets Reports'!D185)),TRIM('R.M Billets Reports'!F185),IF(ISNUMBER(SEARCH("Party Name-",'R.M Billets Reports'!D185)),TRIM(MID('R.M Billets Reports'!D185,SEARCH("-",'R.M Billets Reports'!D185)+1,200)),"")))="SHRI RADHE","SHREE RADHE",IF(IF(IF(ISNUMBER(SEARCH("Party Name:-",'R.M Billets Reports'!D184)),TRIM('R.M Billets Reports'!F184),IF(ISNUMBER(SEARCH("Party Name-",'R.M Billets Reports'!D184)),TRIM(MID('R.M Billets Reports'!D184,SEARCH("-",'R.M Billets Reports'!D184)+1,200)),""))&lt;&gt;"",IF(ISNUMBER(SEARCH("Party Name:-",'R.M Billets Reports'!D184)),TRIM('R.M Billets Reports'!F184),IF(ISNUMBER(SEARCH("Party Name-",'R.M Billets Reports'!D184)),TRIM(MID('R.M Billets Reports'!D184,SEARCH("-",'R.M Billets Reports'!D184)+1,200)),"")),IF(ISNUMBER(SEARCH("Party Name:-",'R.M Billets Reports'!D185)),TRIM('R.M Billets Reports'!F185),IF(ISNUMBER(SEARCH("Party Name-",'R.M Billets Reports'!D185)),TRIM(MID('R.M Billets Reports'!D185,SEARCH("-",'R.M Billets Reports'!D185)+1,200)),"")))="SHREE RADHE SHAKTI SPONGE AND POWER PVT. LTD.","SHREE RADHE",IF(IF(ISNUMBER(SEARCH("Party Name:-",'R.M Billets Reports'!D184)),TRIM('R.M Billets Reports'!F184),IF(ISNUMBER(SEARCH("Party Name-",'R.M Billets Reports'!D184)),TRIM(MID('R.M Billets Reports'!D184,SEARCH("-",'R.M Billets Reports'!D184)+1,200)),""))&lt;&gt;"",IF(ISNUMBER(SEARCH("Party Name:-",'R.M Billets Reports'!D184)),TRIM('R.M Billets Reports'!F184),IF(ISNUMBER(SEARCH("Party Name-",'R.M Billets Reports'!D184)),TRIM(MID('R.M Billets Reports'!D184,SEARCH("-",'R.M Billets Reports'!D184)+1,200)),"")),IF(ISNUMBER(SEARCH("Party Name:-",'R.M Billets Reports'!D185)),TRIM('R.M Billets Reports'!F185),IF(ISNUMBER(SEARCH("Party Name-",'R.M Billets Reports'!D185)),TRIM(MID('R.M Billets Reports'!D185,SEARCH("-",'R.M Billets Reports'!D185)+1,200)),"")))))),IF(ROW()=2,"",A184))</f>
      </c>
      <c r="B185">
        <f>IF(OR('R.M Billets Reports'!A184="Date-",'R.M Billets Reports'!A184="Date:-"),'R.M Billets Reports'!B184,IF(ROW()=2,"",B184))</f>
      </c>
      <c r="C185">
        <f>IF('R.M Billets Reports'!A184="V.No.",'R.M Billets Reports'!B184,IF(ROW()=2,"",C184))</f>
      </c>
      <c r="D185">
        <f>IF('R.M Billets Reports'!A184&lt;&gt;"",'R.M Billets Reports'!A184,IF(ROW()=2,"",D184))</f>
      </c>
      <c r="E185">
        <f>IF('R.M Billets Reports'!B184="","",TRIM('R.M Billets Reports'!B184))</f>
      </c>
      <c r="F185">
        <f>'R.M Billets Reports'!C184</f>
      </c>
      <c r="G185">
        <f>'R.M Billets Reports'!D184</f>
      </c>
      <c r="H185">
        <f>'R.M Billets Reports'!E184</f>
      </c>
      <c r="I185">
        <f>'R.M Billets Reports'!F184</f>
      </c>
      <c r="J185">
        <f>'R.M Billets Reports'!G184</f>
      </c>
      <c r="K185">
        <f>'R.M Billets Reports'!H184</f>
      </c>
      <c r="L185">
        <f>IF('R.M Billets Reports'!I184="","",'R.M Billets Reports'!I184)</f>
      </c>
      <c r="M185">
        <f t="shared" si="4"/>
      </c>
      <c r="N185">
        <f>IF('R.M Billets Reports'!J184="","",'R.M Billets Reports'!J184)</f>
      </c>
      <c r="O185">
        <f t="shared" si="5"/>
      </c>
      <c r="P185">
        <f>IF('R.M Billets Reports'!A184="SIZE",'R.M Billets Reports'!B184,P184)</f>
      </c>
    </row>
    <row r="186" spans="1:16" x14ac:dyDescent="0.25">
      <c r="A186">
        <f>IF(OR('R.M Billets Reports'!A185="Date-",'R.M Billets Reports'!A185="Date:-"),IF(IF(IF(ISNUMBER(SEARCH("Party Name:-",'R.M Billets Reports'!D185)),TRIM('R.M Billets Reports'!F185),IF(ISNUMBER(SEARCH("Party Name-",'R.M Billets Reports'!D185)),TRIM(MID('R.M Billets Reports'!D185,SEARCH("-",'R.M Billets Reports'!D185)+1,200)),""))&lt;&gt;"",IF(ISNUMBER(SEARCH("Party Name:-",'R.M Billets Reports'!D185)),TRIM('R.M Billets Reports'!F185),IF(ISNUMBER(SEARCH("Party Name-",'R.M Billets Reports'!D185)),TRIM(MID('R.M Billets Reports'!D185,SEARCH("-",'R.M Billets Reports'!D185)+1,200)),"")),IF(ISNUMBER(SEARCH("Party Name:-",'R.M Billets Reports'!D186)),TRIM('R.M Billets Reports'!F186),IF(ISNUMBER(SEARCH("Party Name-",'R.M Billets Reports'!D186)),TRIM(MID('R.M Billets Reports'!D186,SEARCH("-",'R.M Billets Reports'!D186)+1,200)),"")))="VRKP ISPAT PVT LTD","VRKP",IF(IF(IF(ISNUMBER(SEARCH("Party Name:-",'R.M Billets Reports'!D185)),TRIM('R.M Billets Reports'!F185),IF(ISNUMBER(SEARCH("Party Name-",'R.M Billets Reports'!D185)),TRIM(MID('R.M Billets Reports'!D185,SEARCH("-",'R.M Billets Reports'!D185)+1,200)),""))&lt;&gt;"",IF(ISNUMBER(SEARCH("Party Name:-",'R.M Billets Reports'!D185)),TRIM('R.M Billets Reports'!F185),IF(ISNUMBER(SEARCH("Party Name-",'R.M Billets Reports'!D185)),TRIM(MID('R.M Billets Reports'!D185,SEARCH("-",'R.M Billets Reports'!D185)+1,200)),"")),IF(ISNUMBER(SEARCH("Party Name:-",'R.M Billets Reports'!D186)),TRIM('R.M Billets Reports'!F186),IF(ISNUMBER(SEARCH("Party Name-",'R.M Billets Reports'!D186)),TRIM(MID('R.M Billets Reports'!D186,SEARCH("-",'R.M Billets Reports'!D186)+1,200)),"")))="SHRI RADHE","SHREE RADHE",IF(IF(IF(ISNUMBER(SEARCH("Party Name:-",'R.M Billets Reports'!D185)),TRIM('R.M Billets Reports'!F185),IF(ISNUMBER(SEARCH("Party Name-",'R.M Billets Reports'!D185)),TRIM(MID('R.M Billets Reports'!D185,SEARCH("-",'R.M Billets Reports'!D185)+1,200)),""))&lt;&gt;"",IF(ISNUMBER(SEARCH("Party Name:-",'R.M Billets Reports'!D185)),TRIM('R.M Billets Reports'!F185),IF(ISNUMBER(SEARCH("Party Name-",'R.M Billets Reports'!D185)),TRIM(MID('R.M Billets Reports'!D185,SEARCH("-",'R.M Billets Reports'!D185)+1,200)),"")),IF(ISNUMBER(SEARCH("Party Name:-",'R.M Billets Reports'!D186)),TRIM('R.M Billets Reports'!F186),IF(ISNUMBER(SEARCH("Party Name-",'R.M Billets Reports'!D186)),TRIM(MID('R.M Billets Reports'!D186,SEARCH("-",'R.M Billets Reports'!D186)+1,200)),"")))="SHREE RADHE SHAKTI SPONGE AND POWER PVT. LTD.","SHREE RADHE",IF(IF(ISNUMBER(SEARCH("Party Name:-",'R.M Billets Reports'!D185)),TRIM('R.M Billets Reports'!F185),IF(ISNUMBER(SEARCH("Party Name-",'R.M Billets Reports'!D185)),TRIM(MID('R.M Billets Reports'!D185,SEARCH("-",'R.M Billets Reports'!D185)+1,200)),""))&lt;&gt;"",IF(ISNUMBER(SEARCH("Party Name:-",'R.M Billets Reports'!D185)),TRIM('R.M Billets Reports'!F185),IF(ISNUMBER(SEARCH("Party Name-",'R.M Billets Reports'!D185)),TRIM(MID('R.M Billets Reports'!D185,SEARCH("-",'R.M Billets Reports'!D185)+1,200)),"")),IF(ISNUMBER(SEARCH("Party Name:-",'R.M Billets Reports'!D186)),TRIM('R.M Billets Reports'!F186),IF(ISNUMBER(SEARCH("Party Name-",'R.M Billets Reports'!D186)),TRIM(MID('R.M Billets Reports'!D186,SEARCH("-",'R.M Billets Reports'!D186)+1,200)),"")))))),IF(ROW()=2,"",A185))</f>
      </c>
      <c r="B186">
        <f>IF(OR('R.M Billets Reports'!A185="Date-",'R.M Billets Reports'!A185="Date:-"),'R.M Billets Reports'!B185,IF(ROW()=2,"",B185))</f>
      </c>
      <c r="C186">
        <f>IF('R.M Billets Reports'!A185="V.No.",'R.M Billets Reports'!B185,IF(ROW()=2,"",C185))</f>
      </c>
      <c r="D186">
        <f>IF('R.M Billets Reports'!A185&lt;&gt;"",'R.M Billets Reports'!A185,IF(ROW()=2,"",D185))</f>
      </c>
      <c r="E186">
        <f>IF('R.M Billets Reports'!B185="","",TRIM('R.M Billets Reports'!B185))</f>
      </c>
      <c r="F186">
        <f>'R.M Billets Reports'!C185</f>
      </c>
      <c r="G186">
        <f>'R.M Billets Reports'!D185</f>
      </c>
      <c r="H186">
        <f>'R.M Billets Reports'!E185</f>
      </c>
      <c r="I186">
        <f>'R.M Billets Reports'!F185</f>
      </c>
      <c r="J186">
        <f>'R.M Billets Reports'!G185</f>
      </c>
      <c r="K186">
        <f>'R.M Billets Reports'!H185</f>
      </c>
      <c r="L186">
        <f>IF('R.M Billets Reports'!I185="","",'R.M Billets Reports'!I185)</f>
      </c>
      <c r="M186">
        <f t="shared" si="4"/>
      </c>
      <c r="N186">
        <f>IF('R.M Billets Reports'!J185="","",'R.M Billets Reports'!J185)</f>
      </c>
      <c r="O186">
        <f t="shared" si="5"/>
      </c>
      <c r="P186">
        <f>IF('R.M Billets Reports'!A185="SIZE",'R.M Billets Reports'!B185,P185)</f>
      </c>
    </row>
    <row r="187" spans="1:16" x14ac:dyDescent="0.25">
      <c r="A187">
        <f>IF(OR('R.M Billets Reports'!A186="Date-",'R.M Billets Reports'!A186="Date:-"),IF(IF(IF(ISNUMBER(SEARCH("Party Name:-",'R.M Billets Reports'!D186)),TRIM('R.M Billets Reports'!F186),IF(ISNUMBER(SEARCH("Party Name-",'R.M Billets Reports'!D186)),TRIM(MID('R.M Billets Reports'!D186,SEARCH("-",'R.M Billets Reports'!D186)+1,200)),""))&lt;&gt;"",IF(ISNUMBER(SEARCH("Party Name:-",'R.M Billets Reports'!D186)),TRIM('R.M Billets Reports'!F186),IF(ISNUMBER(SEARCH("Party Name-",'R.M Billets Reports'!D186)),TRIM(MID('R.M Billets Reports'!D186,SEARCH("-",'R.M Billets Reports'!D186)+1,200)),"")),IF(ISNUMBER(SEARCH("Party Name:-",'R.M Billets Reports'!D187)),TRIM('R.M Billets Reports'!F187),IF(ISNUMBER(SEARCH("Party Name-",'R.M Billets Reports'!D187)),TRIM(MID('R.M Billets Reports'!D187,SEARCH("-",'R.M Billets Reports'!D187)+1,200)),"")))="VRKP ISPAT PVT LTD","VRKP",IF(IF(IF(ISNUMBER(SEARCH("Party Name:-",'R.M Billets Reports'!D186)),TRIM('R.M Billets Reports'!F186),IF(ISNUMBER(SEARCH("Party Name-",'R.M Billets Reports'!D186)),TRIM(MID('R.M Billets Reports'!D186,SEARCH("-",'R.M Billets Reports'!D186)+1,200)),""))&lt;&gt;"",IF(ISNUMBER(SEARCH("Party Name:-",'R.M Billets Reports'!D186)),TRIM('R.M Billets Reports'!F186),IF(ISNUMBER(SEARCH("Party Name-",'R.M Billets Reports'!D186)),TRIM(MID('R.M Billets Reports'!D186,SEARCH("-",'R.M Billets Reports'!D186)+1,200)),"")),IF(ISNUMBER(SEARCH("Party Name:-",'R.M Billets Reports'!D187)),TRIM('R.M Billets Reports'!F187),IF(ISNUMBER(SEARCH("Party Name-",'R.M Billets Reports'!D187)),TRIM(MID('R.M Billets Reports'!D187,SEARCH("-",'R.M Billets Reports'!D187)+1,200)),"")))="SHRI RADHE","SHREE RADHE",IF(IF(IF(ISNUMBER(SEARCH("Party Name:-",'R.M Billets Reports'!D186)),TRIM('R.M Billets Reports'!F186),IF(ISNUMBER(SEARCH("Party Name-",'R.M Billets Reports'!D186)),TRIM(MID('R.M Billets Reports'!D186,SEARCH("-",'R.M Billets Reports'!D186)+1,200)),""))&lt;&gt;"",IF(ISNUMBER(SEARCH("Party Name:-",'R.M Billets Reports'!D186)),TRIM('R.M Billets Reports'!F186),IF(ISNUMBER(SEARCH("Party Name-",'R.M Billets Reports'!D186)),TRIM(MID('R.M Billets Reports'!D186,SEARCH("-",'R.M Billets Reports'!D186)+1,200)),"")),IF(ISNUMBER(SEARCH("Party Name:-",'R.M Billets Reports'!D187)),TRIM('R.M Billets Reports'!F187),IF(ISNUMBER(SEARCH("Party Name-",'R.M Billets Reports'!D187)),TRIM(MID('R.M Billets Reports'!D187,SEARCH("-",'R.M Billets Reports'!D187)+1,200)),"")))="SHREE RADHE SHAKTI SPONGE AND POWER PVT. LTD.","SHREE RADHE",IF(IF(ISNUMBER(SEARCH("Party Name:-",'R.M Billets Reports'!D186)),TRIM('R.M Billets Reports'!F186),IF(ISNUMBER(SEARCH("Party Name-",'R.M Billets Reports'!D186)),TRIM(MID('R.M Billets Reports'!D186,SEARCH("-",'R.M Billets Reports'!D186)+1,200)),""))&lt;&gt;"",IF(ISNUMBER(SEARCH("Party Name:-",'R.M Billets Reports'!D186)),TRIM('R.M Billets Reports'!F186),IF(ISNUMBER(SEARCH("Party Name-",'R.M Billets Reports'!D186)),TRIM(MID('R.M Billets Reports'!D186,SEARCH("-",'R.M Billets Reports'!D186)+1,200)),"")),IF(ISNUMBER(SEARCH("Party Name:-",'R.M Billets Reports'!D187)),TRIM('R.M Billets Reports'!F187),IF(ISNUMBER(SEARCH("Party Name-",'R.M Billets Reports'!D187)),TRIM(MID('R.M Billets Reports'!D187,SEARCH("-",'R.M Billets Reports'!D187)+1,200)),"")))))),IF(ROW()=2,"",A186))</f>
      </c>
      <c r="B187">
        <f>IF(OR('R.M Billets Reports'!A186="Date-",'R.M Billets Reports'!A186="Date:-"),'R.M Billets Reports'!B186,IF(ROW()=2,"",B186))</f>
      </c>
      <c r="C187">
        <f>IF('R.M Billets Reports'!A186="V.No.",'R.M Billets Reports'!B186,IF(ROW()=2,"",C186))</f>
      </c>
      <c r="D187">
        <f>IF('R.M Billets Reports'!A186&lt;&gt;"",'R.M Billets Reports'!A186,IF(ROW()=2,"",D186))</f>
      </c>
      <c r="E187">
        <f>IF('R.M Billets Reports'!B186="","",TRIM('R.M Billets Reports'!B186))</f>
      </c>
      <c r="F187">
        <f>'R.M Billets Reports'!C186</f>
      </c>
      <c r="G187">
        <f>'R.M Billets Reports'!D186</f>
      </c>
      <c r="H187">
        <f>'R.M Billets Reports'!E186</f>
      </c>
      <c r="I187">
        <f>'R.M Billets Reports'!F186</f>
      </c>
      <c r="J187">
        <f>'R.M Billets Reports'!G186</f>
      </c>
      <c r="K187">
        <f>'R.M Billets Reports'!H186</f>
      </c>
      <c r="L187">
        <f>IF('R.M Billets Reports'!I186="","",'R.M Billets Reports'!I186)</f>
      </c>
      <c r="M187">
        <f t="shared" si="4"/>
      </c>
      <c r="N187">
        <f>IF('R.M Billets Reports'!J186="","",'R.M Billets Reports'!J186)</f>
      </c>
      <c r="O187">
        <f t="shared" si="5"/>
      </c>
      <c r="P187">
        <f>IF('R.M Billets Reports'!A186="SIZE",'R.M Billets Reports'!B186,P186)</f>
      </c>
    </row>
    <row r="188" spans="1:16" x14ac:dyDescent="0.25">
      <c r="A188">
        <f>IF(OR('R.M Billets Reports'!A187="Date-",'R.M Billets Reports'!A187="Date:-"),IF(IF(IF(ISNUMBER(SEARCH("Party Name:-",'R.M Billets Reports'!D187)),TRIM('R.M Billets Reports'!F187),IF(ISNUMBER(SEARCH("Party Name-",'R.M Billets Reports'!D187)),TRIM(MID('R.M Billets Reports'!D187,SEARCH("-",'R.M Billets Reports'!D187)+1,200)),""))&lt;&gt;"",IF(ISNUMBER(SEARCH("Party Name:-",'R.M Billets Reports'!D187)),TRIM('R.M Billets Reports'!F187),IF(ISNUMBER(SEARCH("Party Name-",'R.M Billets Reports'!D187)),TRIM(MID('R.M Billets Reports'!D187,SEARCH("-",'R.M Billets Reports'!D187)+1,200)),"")),IF(ISNUMBER(SEARCH("Party Name:-",'R.M Billets Reports'!D188)),TRIM('R.M Billets Reports'!F188),IF(ISNUMBER(SEARCH("Party Name-",'R.M Billets Reports'!D188)),TRIM(MID('R.M Billets Reports'!D188,SEARCH("-",'R.M Billets Reports'!D188)+1,200)),"")))="VRKP ISPAT PVT LTD","VRKP",IF(IF(IF(ISNUMBER(SEARCH("Party Name:-",'R.M Billets Reports'!D187)),TRIM('R.M Billets Reports'!F187),IF(ISNUMBER(SEARCH("Party Name-",'R.M Billets Reports'!D187)),TRIM(MID('R.M Billets Reports'!D187,SEARCH("-",'R.M Billets Reports'!D187)+1,200)),""))&lt;&gt;"",IF(ISNUMBER(SEARCH("Party Name:-",'R.M Billets Reports'!D187)),TRIM('R.M Billets Reports'!F187),IF(ISNUMBER(SEARCH("Party Name-",'R.M Billets Reports'!D187)),TRIM(MID('R.M Billets Reports'!D187,SEARCH("-",'R.M Billets Reports'!D187)+1,200)),"")),IF(ISNUMBER(SEARCH("Party Name:-",'R.M Billets Reports'!D188)),TRIM('R.M Billets Reports'!F188),IF(ISNUMBER(SEARCH("Party Name-",'R.M Billets Reports'!D188)),TRIM(MID('R.M Billets Reports'!D188,SEARCH("-",'R.M Billets Reports'!D188)+1,200)),"")))="SHRI RADHE","SHREE RADHE",IF(IF(IF(ISNUMBER(SEARCH("Party Name:-",'R.M Billets Reports'!D187)),TRIM('R.M Billets Reports'!F187),IF(ISNUMBER(SEARCH("Party Name-",'R.M Billets Reports'!D187)),TRIM(MID('R.M Billets Reports'!D187,SEARCH("-",'R.M Billets Reports'!D187)+1,200)),""))&lt;&gt;"",IF(ISNUMBER(SEARCH("Party Name:-",'R.M Billets Reports'!D187)),TRIM('R.M Billets Reports'!F187),IF(ISNUMBER(SEARCH("Party Name-",'R.M Billets Reports'!D187)),TRIM(MID('R.M Billets Reports'!D187,SEARCH("-",'R.M Billets Reports'!D187)+1,200)),"")),IF(ISNUMBER(SEARCH("Party Name:-",'R.M Billets Reports'!D188)),TRIM('R.M Billets Reports'!F188),IF(ISNUMBER(SEARCH("Party Name-",'R.M Billets Reports'!D188)),TRIM(MID('R.M Billets Reports'!D188,SEARCH("-",'R.M Billets Reports'!D188)+1,200)),"")))="SHREE RADHE SHAKTI SPONGE AND POWER PVT. LTD.","SHREE RADHE",IF(IF(ISNUMBER(SEARCH("Party Name:-",'R.M Billets Reports'!D187)),TRIM('R.M Billets Reports'!F187),IF(ISNUMBER(SEARCH("Party Name-",'R.M Billets Reports'!D187)),TRIM(MID('R.M Billets Reports'!D187,SEARCH("-",'R.M Billets Reports'!D187)+1,200)),""))&lt;&gt;"",IF(ISNUMBER(SEARCH("Party Name:-",'R.M Billets Reports'!D187)),TRIM('R.M Billets Reports'!F187),IF(ISNUMBER(SEARCH("Party Name-",'R.M Billets Reports'!D187)),TRIM(MID('R.M Billets Reports'!D187,SEARCH("-",'R.M Billets Reports'!D187)+1,200)),"")),IF(ISNUMBER(SEARCH("Party Name:-",'R.M Billets Reports'!D188)),TRIM('R.M Billets Reports'!F188),IF(ISNUMBER(SEARCH("Party Name-",'R.M Billets Reports'!D188)),TRIM(MID('R.M Billets Reports'!D188,SEARCH("-",'R.M Billets Reports'!D188)+1,200)),"")))))),IF(ROW()=2,"",A187))</f>
      </c>
      <c r="B188">
        <f>IF(OR('R.M Billets Reports'!A187="Date-",'R.M Billets Reports'!A187="Date:-"),'R.M Billets Reports'!B187,IF(ROW()=2,"",B187))</f>
      </c>
      <c r="C188">
        <f>IF('R.M Billets Reports'!A187="V.No.",'R.M Billets Reports'!B187,IF(ROW()=2,"",C187))</f>
      </c>
      <c r="D188">
        <f>IF('R.M Billets Reports'!A187&lt;&gt;"",'R.M Billets Reports'!A187,IF(ROW()=2,"",D187))</f>
      </c>
      <c r="E188">
        <f>IF('R.M Billets Reports'!B187="","",TRIM('R.M Billets Reports'!B187))</f>
      </c>
      <c r="F188">
        <f>'R.M Billets Reports'!C187</f>
      </c>
      <c r="G188">
        <f>'R.M Billets Reports'!D187</f>
      </c>
      <c r="H188">
        <f>'R.M Billets Reports'!E187</f>
      </c>
      <c r="I188">
        <f>'R.M Billets Reports'!F187</f>
      </c>
      <c r="J188">
        <f>'R.M Billets Reports'!G187</f>
      </c>
      <c r="K188">
        <f>'R.M Billets Reports'!H187</f>
      </c>
      <c r="L188">
        <f>IF('R.M Billets Reports'!I187="","",'R.M Billets Reports'!I187)</f>
      </c>
      <c r="M188">
        <f t="shared" si="4"/>
      </c>
      <c r="N188">
        <f>IF('R.M Billets Reports'!J187="","",'R.M Billets Reports'!J187)</f>
      </c>
      <c r="O188">
        <f t="shared" si="5"/>
      </c>
      <c r="P188">
        <f>IF('R.M Billets Reports'!A187="SIZE",'R.M Billets Reports'!B187,P187)</f>
      </c>
    </row>
    <row r="189" spans="1:16" x14ac:dyDescent="0.25">
      <c r="A189">
        <f>IF(OR('R.M Billets Reports'!A188="Date-",'R.M Billets Reports'!A188="Date:-"),IF(IF(IF(ISNUMBER(SEARCH("Party Name:-",'R.M Billets Reports'!D188)),TRIM('R.M Billets Reports'!F188),IF(ISNUMBER(SEARCH("Party Name-",'R.M Billets Reports'!D188)),TRIM(MID('R.M Billets Reports'!D188,SEARCH("-",'R.M Billets Reports'!D188)+1,200)),""))&lt;&gt;"",IF(ISNUMBER(SEARCH("Party Name:-",'R.M Billets Reports'!D188)),TRIM('R.M Billets Reports'!F188),IF(ISNUMBER(SEARCH("Party Name-",'R.M Billets Reports'!D188)),TRIM(MID('R.M Billets Reports'!D188,SEARCH("-",'R.M Billets Reports'!D188)+1,200)),"")),IF(ISNUMBER(SEARCH("Party Name:-",'R.M Billets Reports'!D189)),TRIM('R.M Billets Reports'!F189),IF(ISNUMBER(SEARCH("Party Name-",'R.M Billets Reports'!D189)),TRIM(MID('R.M Billets Reports'!D189,SEARCH("-",'R.M Billets Reports'!D189)+1,200)),"")))="VRKP ISPAT PVT LTD","VRKP",IF(IF(IF(ISNUMBER(SEARCH("Party Name:-",'R.M Billets Reports'!D188)),TRIM('R.M Billets Reports'!F188),IF(ISNUMBER(SEARCH("Party Name-",'R.M Billets Reports'!D188)),TRIM(MID('R.M Billets Reports'!D188,SEARCH("-",'R.M Billets Reports'!D188)+1,200)),""))&lt;&gt;"",IF(ISNUMBER(SEARCH("Party Name:-",'R.M Billets Reports'!D188)),TRIM('R.M Billets Reports'!F188),IF(ISNUMBER(SEARCH("Party Name-",'R.M Billets Reports'!D188)),TRIM(MID('R.M Billets Reports'!D188,SEARCH("-",'R.M Billets Reports'!D188)+1,200)),"")),IF(ISNUMBER(SEARCH("Party Name:-",'R.M Billets Reports'!D189)),TRIM('R.M Billets Reports'!F189),IF(ISNUMBER(SEARCH("Party Name-",'R.M Billets Reports'!D189)),TRIM(MID('R.M Billets Reports'!D189,SEARCH("-",'R.M Billets Reports'!D189)+1,200)),"")))="SHRI RADHE","SHREE RADHE",IF(IF(IF(ISNUMBER(SEARCH("Party Name:-",'R.M Billets Reports'!D188)),TRIM('R.M Billets Reports'!F188),IF(ISNUMBER(SEARCH("Party Name-",'R.M Billets Reports'!D188)),TRIM(MID('R.M Billets Reports'!D188,SEARCH("-",'R.M Billets Reports'!D188)+1,200)),""))&lt;&gt;"",IF(ISNUMBER(SEARCH("Party Name:-",'R.M Billets Reports'!D188)),TRIM('R.M Billets Reports'!F188),IF(ISNUMBER(SEARCH("Party Name-",'R.M Billets Reports'!D188)),TRIM(MID('R.M Billets Reports'!D188,SEARCH("-",'R.M Billets Reports'!D188)+1,200)),"")),IF(ISNUMBER(SEARCH("Party Name:-",'R.M Billets Reports'!D189)),TRIM('R.M Billets Reports'!F189),IF(ISNUMBER(SEARCH("Party Name-",'R.M Billets Reports'!D189)),TRIM(MID('R.M Billets Reports'!D189,SEARCH("-",'R.M Billets Reports'!D189)+1,200)),"")))="SHREE RADHE SHAKTI SPONGE AND POWER PVT. LTD.","SHREE RADHE",IF(IF(ISNUMBER(SEARCH("Party Name:-",'R.M Billets Reports'!D188)),TRIM('R.M Billets Reports'!F188),IF(ISNUMBER(SEARCH("Party Name-",'R.M Billets Reports'!D188)),TRIM(MID('R.M Billets Reports'!D188,SEARCH("-",'R.M Billets Reports'!D188)+1,200)),""))&lt;&gt;"",IF(ISNUMBER(SEARCH("Party Name:-",'R.M Billets Reports'!D188)),TRIM('R.M Billets Reports'!F188),IF(ISNUMBER(SEARCH("Party Name-",'R.M Billets Reports'!D188)),TRIM(MID('R.M Billets Reports'!D188,SEARCH("-",'R.M Billets Reports'!D188)+1,200)),"")),IF(ISNUMBER(SEARCH("Party Name:-",'R.M Billets Reports'!D189)),TRIM('R.M Billets Reports'!F189),IF(ISNUMBER(SEARCH("Party Name-",'R.M Billets Reports'!D189)),TRIM(MID('R.M Billets Reports'!D189,SEARCH("-",'R.M Billets Reports'!D189)+1,200)),"")))))),IF(ROW()=2,"",A188))</f>
      </c>
      <c r="B189">
        <f>IF(OR('R.M Billets Reports'!A188="Date-",'R.M Billets Reports'!A188="Date:-"),'R.M Billets Reports'!B188,IF(ROW()=2,"",B188))</f>
      </c>
      <c r="C189">
        <f>IF('R.M Billets Reports'!A188="V.No.",'R.M Billets Reports'!B188,IF(ROW()=2,"",C188))</f>
      </c>
      <c r="D189">
        <f>IF('R.M Billets Reports'!A188&lt;&gt;"",'R.M Billets Reports'!A188,IF(ROW()=2,"",D188))</f>
      </c>
      <c r="E189">
        <f>IF('R.M Billets Reports'!B188="","",TRIM('R.M Billets Reports'!B188))</f>
      </c>
      <c r="F189">
        <f>'R.M Billets Reports'!C188</f>
      </c>
      <c r="G189">
        <f>'R.M Billets Reports'!D188</f>
      </c>
      <c r="H189">
        <f>'R.M Billets Reports'!E188</f>
      </c>
      <c r="I189">
        <f>'R.M Billets Reports'!F188</f>
      </c>
      <c r="J189">
        <f>'R.M Billets Reports'!G188</f>
      </c>
      <c r="K189">
        <f>'R.M Billets Reports'!H188</f>
      </c>
      <c r="L189">
        <f>IF('R.M Billets Reports'!I188="","",'R.M Billets Reports'!I188)</f>
      </c>
      <c r="M189">
        <f t="shared" si="4"/>
      </c>
      <c r="N189">
        <f>IF('R.M Billets Reports'!J188="","",'R.M Billets Reports'!J188)</f>
      </c>
      <c r="O189">
        <f t="shared" si="5"/>
      </c>
      <c r="P189">
        <f>IF('R.M Billets Reports'!A188="SIZE",'R.M Billets Reports'!B188,P188)</f>
      </c>
    </row>
    <row r="190" spans="1:16" x14ac:dyDescent="0.25">
      <c r="A190">
        <f>IF(OR('R.M Billets Reports'!A189="Date-",'R.M Billets Reports'!A189="Date:-"),IF(IF(IF(ISNUMBER(SEARCH("Party Name:-",'R.M Billets Reports'!D189)),TRIM('R.M Billets Reports'!F189),IF(ISNUMBER(SEARCH("Party Name-",'R.M Billets Reports'!D189)),TRIM(MID('R.M Billets Reports'!D189,SEARCH("-",'R.M Billets Reports'!D189)+1,200)),""))&lt;&gt;"",IF(ISNUMBER(SEARCH("Party Name:-",'R.M Billets Reports'!D189)),TRIM('R.M Billets Reports'!F189),IF(ISNUMBER(SEARCH("Party Name-",'R.M Billets Reports'!D189)),TRIM(MID('R.M Billets Reports'!D189,SEARCH("-",'R.M Billets Reports'!D189)+1,200)),"")),IF(ISNUMBER(SEARCH("Party Name:-",'R.M Billets Reports'!D190)),TRIM('R.M Billets Reports'!F190),IF(ISNUMBER(SEARCH("Party Name-",'R.M Billets Reports'!D190)),TRIM(MID('R.M Billets Reports'!D190,SEARCH("-",'R.M Billets Reports'!D190)+1,200)),"")))="VRKP ISPAT PVT LTD","VRKP",IF(IF(IF(ISNUMBER(SEARCH("Party Name:-",'R.M Billets Reports'!D189)),TRIM('R.M Billets Reports'!F189),IF(ISNUMBER(SEARCH("Party Name-",'R.M Billets Reports'!D189)),TRIM(MID('R.M Billets Reports'!D189,SEARCH("-",'R.M Billets Reports'!D189)+1,200)),""))&lt;&gt;"",IF(ISNUMBER(SEARCH("Party Name:-",'R.M Billets Reports'!D189)),TRIM('R.M Billets Reports'!F189),IF(ISNUMBER(SEARCH("Party Name-",'R.M Billets Reports'!D189)),TRIM(MID('R.M Billets Reports'!D189,SEARCH("-",'R.M Billets Reports'!D189)+1,200)),"")),IF(ISNUMBER(SEARCH("Party Name:-",'R.M Billets Reports'!D190)),TRIM('R.M Billets Reports'!F190),IF(ISNUMBER(SEARCH("Party Name-",'R.M Billets Reports'!D190)),TRIM(MID('R.M Billets Reports'!D190,SEARCH("-",'R.M Billets Reports'!D190)+1,200)),"")))="SHRI RADHE","SHREE RADHE",IF(IF(IF(ISNUMBER(SEARCH("Party Name:-",'R.M Billets Reports'!D189)),TRIM('R.M Billets Reports'!F189),IF(ISNUMBER(SEARCH("Party Name-",'R.M Billets Reports'!D189)),TRIM(MID('R.M Billets Reports'!D189,SEARCH("-",'R.M Billets Reports'!D189)+1,200)),""))&lt;&gt;"",IF(ISNUMBER(SEARCH("Party Name:-",'R.M Billets Reports'!D189)),TRIM('R.M Billets Reports'!F189),IF(ISNUMBER(SEARCH("Party Name-",'R.M Billets Reports'!D189)),TRIM(MID('R.M Billets Reports'!D189,SEARCH("-",'R.M Billets Reports'!D189)+1,200)),"")),IF(ISNUMBER(SEARCH("Party Name:-",'R.M Billets Reports'!D190)),TRIM('R.M Billets Reports'!F190),IF(ISNUMBER(SEARCH("Party Name-",'R.M Billets Reports'!D190)),TRIM(MID('R.M Billets Reports'!D190,SEARCH("-",'R.M Billets Reports'!D190)+1,200)),"")))="SHREE RADHE SHAKTI SPONGE AND POWER PVT. LTD.","SHREE RADHE",IF(IF(ISNUMBER(SEARCH("Party Name:-",'R.M Billets Reports'!D189)),TRIM('R.M Billets Reports'!F189),IF(ISNUMBER(SEARCH("Party Name-",'R.M Billets Reports'!D189)),TRIM(MID('R.M Billets Reports'!D189,SEARCH("-",'R.M Billets Reports'!D189)+1,200)),""))&lt;&gt;"",IF(ISNUMBER(SEARCH("Party Name:-",'R.M Billets Reports'!D189)),TRIM('R.M Billets Reports'!F189),IF(ISNUMBER(SEARCH("Party Name-",'R.M Billets Reports'!D189)),TRIM(MID('R.M Billets Reports'!D189,SEARCH("-",'R.M Billets Reports'!D189)+1,200)),"")),IF(ISNUMBER(SEARCH("Party Name:-",'R.M Billets Reports'!D190)),TRIM('R.M Billets Reports'!F190),IF(ISNUMBER(SEARCH("Party Name-",'R.M Billets Reports'!D190)),TRIM(MID('R.M Billets Reports'!D190,SEARCH("-",'R.M Billets Reports'!D190)+1,200)),"")))))),IF(ROW()=2,"",A189))</f>
      </c>
      <c r="B190">
        <f>IF(OR('R.M Billets Reports'!A189="Date-",'R.M Billets Reports'!A189="Date:-"),'R.M Billets Reports'!B189,IF(ROW()=2,"",B189))</f>
      </c>
      <c r="C190">
        <f>IF('R.M Billets Reports'!A189="V.No.",'R.M Billets Reports'!B189,IF(ROW()=2,"",C189))</f>
      </c>
      <c r="D190">
        <f>IF('R.M Billets Reports'!A189&lt;&gt;"",'R.M Billets Reports'!A189,IF(ROW()=2,"",D189))</f>
      </c>
      <c r="E190">
        <f>IF('R.M Billets Reports'!B189="","",TRIM('R.M Billets Reports'!B189))</f>
      </c>
      <c r="F190">
        <f>'R.M Billets Reports'!C189</f>
      </c>
      <c r="G190">
        <f>'R.M Billets Reports'!D189</f>
      </c>
      <c r="H190">
        <f>'R.M Billets Reports'!E189</f>
      </c>
      <c r="I190">
        <f>'R.M Billets Reports'!F189</f>
      </c>
      <c r="J190">
        <f>'R.M Billets Reports'!G189</f>
      </c>
      <c r="K190">
        <f>'R.M Billets Reports'!H189</f>
      </c>
      <c r="L190">
        <f>IF('R.M Billets Reports'!I189="","",'R.M Billets Reports'!I189)</f>
      </c>
      <c r="M190">
        <f t="shared" si="4"/>
      </c>
      <c r="N190">
        <f>IF('R.M Billets Reports'!J189="","",'R.M Billets Reports'!J189)</f>
      </c>
      <c r="O190">
        <f t="shared" si="5"/>
      </c>
      <c r="P190">
        <f>IF('R.M Billets Reports'!A189="SIZE",'R.M Billets Reports'!B189,P189)</f>
      </c>
    </row>
    <row r="191" spans="1:16" x14ac:dyDescent="0.25">
      <c r="A191">
        <f>IF(OR('R.M Billets Reports'!A190="Date-",'R.M Billets Reports'!A190="Date:-"),IF(IF(IF(ISNUMBER(SEARCH("Party Name:-",'R.M Billets Reports'!D190)),TRIM('R.M Billets Reports'!F190),IF(ISNUMBER(SEARCH("Party Name-",'R.M Billets Reports'!D190)),TRIM(MID('R.M Billets Reports'!D190,SEARCH("-",'R.M Billets Reports'!D190)+1,200)),""))&lt;&gt;"",IF(ISNUMBER(SEARCH("Party Name:-",'R.M Billets Reports'!D190)),TRIM('R.M Billets Reports'!F190),IF(ISNUMBER(SEARCH("Party Name-",'R.M Billets Reports'!D190)),TRIM(MID('R.M Billets Reports'!D190,SEARCH("-",'R.M Billets Reports'!D190)+1,200)),"")),IF(ISNUMBER(SEARCH("Party Name:-",'R.M Billets Reports'!D191)),TRIM('R.M Billets Reports'!F191),IF(ISNUMBER(SEARCH("Party Name-",'R.M Billets Reports'!D191)),TRIM(MID('R.M Billets Reports'!D191,SEARCH("-",'R.M Billets Reports'!D191)+1,200)),"")))="VRKP ISPAT PVT LTD","VRKP",IF(IF(IF(ISNUMBER(SEARCH("Party Name:-",'R.M Billets Reports'!D190)),TRIM('R.M Billets Reports'!F190),IF(ISNUMBER(SEARCH("Party Name-",'R.M Billets Reports'!D190)),TRIM(MID('R.M Billets Reports'!D190,SEARCH("-",'R.M Billets Reports'!D190)+1,200)),""))&lt;&gt;"",IF(ISNUMBER(SEARCH("Party Name:-",'R.M Billets Reports'!D190)),TRIM('R.M Billets Reports'!F190),IF(ISNUMBER(SEARCH("Party Name-",'R.M Billets Reports'!D190)),TRIM(MID('R.M Billets Reports'!D190,SEARCH("-",'R.M Billets Reports'!D190)+1,200)),"")),IF(ISNUMBER(SEARCH("Party Name:-",'R.M Billets Reports'!D191)),TRIM('R.M Billets Reports'!F191),IF(ISNUMBER(SEARCH("Party Name-",'R.M Billets Reports'!D191)),TRIM(MID('R.M Billets Reports'!D191,SEARCH("-",'R.M Billets Reports'!D191)+1,200)),"")))="SHRI RADHE","SHREE RADHE",IF(IF(IF(ISNUMBER(SEARCH("Party Name:-",'R.M Billets Reports'!D190)),TRIM('R.M Billets Reports'!F190),IF(ISNUMBER(SEARCH("Party Name-",'R.M Billets Reports'!D190)),TRIM(MID('R.M Billets Reports'!D190,SEARCH("-",'R.M Billets Reports'!D190)+1,200)),""))&lt;&gt;"",IF(ISNUMBER(SEARCH("Party Name:-",'R.M Billets Reports'!D190)),TRIM('R.M Billets Reports'!F190),IF(ISNUMBER(SEARCH("Party Name-",'R.M Billets Reports'!D190)),TRIM(MID('R.M Billets Reports'!D190,SEARCH("-",'R.M Billets Reports'!D190)+1,200)),"")),IF(ISNUMBER(SEARCH("Party Name:-",'R.M Billets Reports'!D191)),TRIM('R.M Billets Reports'!F191),IF(ISNUMBER(SEARCH("Party Name-",'R.M Billets Reports'!D191)),TRIM(MID('R.M Billets Reports'!D191,SEARCH("-",'R.M Billets Reports'!D191)+1,200)),"")))="SHREE RADHE SHAKTI SPONGE AND POWER PVT. LTD.","SHREE RADHE",IF(IF(ISNUMBER(SEARCH("Party Name:-",'R.M Billets Reports'!D190)),TRIM('R.M Billets Reports'!F190),IF(ISNUMBER(SEARCH("Party Name-",'R.M Billets Reports'!D190)),TRIM(MID('R.M Billets Reports'!D190,SEARCH("-",'R.M Billets Reports'!D190)+1,200)),""))&lt;&gt;"",IF(ISNUMBER(SEARCH("Party Name:-",'R.M Billets Reports'!D190)),TRIM('R.M Billets Reports'!F190),IF(ISNUMBER(SEARCH("Party Name-",'R.M Billets Reports'!D190)),TRIM(MID('R.M Billets Reports'!D190,SEARCH("-",'R.M Billets Reports'!D190)+1,200)),"")),IF(ISNUMBER(SEARCH("Party Name:-",'R.M Billets Reports'!D191)),TRIM('R.M Billets Reports'!F191),IF(ISNUMBER(SEARCH("Party Name-",'R.M Billets Reports'!D191)),TRIM(MID('R.M Billets Reports'!D191,SEARCH("-",'R.M Billets Reports'!D191)+1,200)),"")))))),IF(ROW()=2,"",A190))</f>
      </c>
      <c r="B191">
        <f>IF(OR('R.M Billets Reports'!A190="Date-",'R.M Billets Reports'!A190="Date:-"),'R.M Billets Reports'!B190,IF(ROW()=2,"",B190))</f>
      </c>
      <c r="C191">
        <f>IF('R.M Billets Reports'!A190="V.No.",'R.M Billets Reports'!B190,IF(ROW()=2,"",C190))</f>
      </c>
      <c r="D191">
        <f>IF('R.M Billets Reports'!A190&lt;&gt;"",'R.M Billets Reports'!A190,IF(ROW()=2,"",D190))</f>
      </c>
      <c r="E191">
        <f>IF('R.M Billets Reports'!B190="","",TRIM('R.M Billets Reports'!B190))</f>
      </c>
      <c r="F191">
        <f>'R.M Billets Reports'!C190</f>
      </c>
      <c r="G191">
        <f>'R.M Billets Reports'!D190</f>
      </c>
      <c r="H191">
        <f>'R.M Billets Reports'!E190</f>
      </c>
      <c r="I191">
        <f>'R.M Billets Reports'!F190</f>
      </c>
      <c r="J191">
        <f>'R.M Billets Reports'!G190</f>
      </c>
      <c r="K191">
        <f>'R.M Billets Reports'!H190</f>
      </c>
      <c r="L191">
        <f>IF('R.M Billets Reports'!I190="","",'R.M Billets Reports'!I190)</f>
      </c>
      <c r="M191">
        <f t="shared" si="4"/>
      </c>
      <c r="N191">
        <f>IF('R.M Billets Reports'!J190="","",'R.M Billets Reports'!J190)</f>
      </c>
      <c r="O191">
        <f t="shared" si="5"/>
      </c>
      <c r="P191">
        <f>IF('R.M Billets Reports'!A190="SIZE",'R.M Billets Reports'!B190,P190)</f>
      </c>
    </row>
    <row r="192" spans="1:16" x14ac:dyDescent="0.25">
      <c r="A192">
        <f>IF(OR('R.M Billets Reports'!A191="Date-",'R.M Billets Reports'!A191="Date:-"),IF(IF(IF(ISNUMBER(SEARCH("Party Name:-",'R.M Billets Reports'!D191)),TRIM('R.M Billets Reports'!F191),IF(ISNUMBER(SEARCH("Party Name-",'R.M Billets Reports'!D191)),TRIM(MID('R.M Billets Reports'!D191,SEARCH("-",'R.M Billets Reports'!D191)+1,200)),""))&lt;&gt;"",IF(ISNUMBER(SEARCH("Party Name:-",'R.M Billets Reports'!D191)),TRIM('R.M Billets Reports'!F191),IF(ISNUMBER(SEARCH("Party Name-",'R.M Billets Reports'!D191)),TRIM(MID('R.M Billets Reports'!D191,SEARCH("-",'R.M Billets Reports'!D191)+1,200)),"")),IF(ISNUMBER(SEARCH("Party Name:-",'R.M Billets Reports'!D192)),TRIM('R.M Billets Reports'!F192),IF(ISNUMBER(SEARCH("Party Name-",'R.M Billets Reports'!D192)),TRIM(MID('R.M Billets Reports'!D192,SEARCH("-",'R.M Billets Reports'!D192)+1,200)),"")))="VRKP ISPAT PVT LTD","VRKP",IF(IF(IF(ISNUMBER(SEARCH("Party Name:-",'R.M Billets Reports'!D191)),TRIM('R.M Billets Reports'!F191),IF(ISNUMBER(SEARCH("Party Name-",'R.M Billets Reports'!D191)),TRIM(MID('R.M Billets Reports'!D191,SEARCH("-",'R.M Billets Reports'!D191)+1,200)),""))&lt;&gt;"",IF(ISNUMBER(SEARCH("Party Name:-",'R.M Billets Reports'!D191)),TRIM('R.M Billets Reports'!F191),IF(ISNUMBER(SEARCH("Party Name-",'R.M Billets Reports'!D191)),TRIM(MID('R.M Billets Reports'!D191,SEARCH("-",'R.M Billets Reports'!D191)+1,200)),"")),IF(ISNUMBER(SEARCH("Party Name:-",'R.M Billets Reports'!D192)),TRIM('R.M Billets Reports'!F192),IF(ISNUMBER(SEARCH("Party Name-",'R.M Billets Reports'!D192)),TRIM(MID('R.M Billets Reports'!D192,SEARCH("-",'R.M Billets Reports'!D192)+1,200)),"")))="SHRI RADHE","SHREE RADHE",IF(IF(IF(ISNUMBER(SEARCH("Party Name:-",'R.M Billets Reports'!D191)),TRIM('R.M Billets Reports'!F191),IF(ISNUMBER(SEARCH("Party Name-",'R.M Billets Reports'!D191)),TRIM(MID('R.M Billets Reports'!D191,SEARCH("-",'R.M Billets Reports'!D191)+1,200)),""))&lt;&gt;"",IF(ISNUMBER(SEARCH("Party Name:-",'R.M Billets Reports'!D191)),TRIM('R.M Billets Reports'!F191),IF(ISNUMBER(SEARCH("Party Name-",'R.M Billets Reports'!D191)),TRIM(MID('R.M Billets Reports'!D191,SEARCH("-",'R.M Billets Reports'!D191)+1,200)),"")),IF(ISNUMBER(SEARCH("Party Name:-",'R.M Billets Reports'!D192)),TRIM('R.M Billets Reports'!F192),IF(ISNUMBER(SEARCH("Party Name-",'R.M Billets Reports'!D192)),TRIM(MID('R.M Billets Reports'!D192,SEARCH("-",'R.M Billets Reports'!D192)+1,200)),"")))="SHREE RADHE SHAKTI SPONGE AND POWER PVT. LTD.","SHREE RADHE",IF(IF(ISNUMBER(SEARCH("Party Name:-",'R.M Billets Reports'!D191)),TRIM('R.M Billets Reports'!F191),IF(ISNUMBER(SEARCH("Party Name-",'R.M Billets Reports'!D191)),TRIM(MID('R.M Billets Reports'!D191,SEARCH("-",'R.M Billets Reports'!D191)+1,200)),""))&lt;&gt;"",IF(ISNUMBER(SEARCH("Party Name:-",'R.M Billets Reports'!D191)),TRIM('R.M Billets Reports'!F191),IF(ISNUMBER(SEARCH("Party Name-",'R.M Billets Reports'!D191)),TRIM(MID('R.M Billets Reports'!D191,SEARCH("-",'R.M Billets Reports'!D191)+1,200)),"")),IF(ISNUMBER(SEARCH("Party Name:-",'R.M Billets Reports'!D192)),TRIM('R.M Billets Reports'!F192),IF(ISNUMBER(SEARCH("Party Name-",'R.M Billets Reports'!D192)),TRIM(MID('R.M Billets Reports'!D192,SEARCH("-",'R.M Billets Reports'!D192)+1,200)),"")))))),IF(ROW()=2,"",A191))</f>
      </c>
      <c r="B192">
        <f>IF(OR('R.M Billets Reports'!A191="Date-",'R.M Billets Reports'!A191="Date:-"),'R.M Billets Reports'!B191,IF(ROW()=2,"",B191))</f>
      </c>
      <c r="C192">
        <f>IF('R.M Billets Reports'!A191="V.No.",'R.M Billets Reports'!B191,IF(ROW()=2,"",C191))</f>
      </c>
      <c r="D192">
        <f>IF('R.M Billets Reports'!A191&lt;&gt;"",'R.M Billets Reports'!A191,IF(ROW()=2,"",D191))</f>
      </c>
      <c r="E192">
        <f>IF('R.M Billets Reports'!B191="","",TRIM('R.M Billets Reports'!B191))</f>
      </c>
      <c r="F192">
        <f>'R.M Billets Reports'!C191</f>
      </c>
      <c r="G192">
        <f>'R.M Billets Reports'!D191</f>
      </c>
      <c r="H192">
        <f>'R.M Billets Reports'!E191</f>
      </c>
      <c r="I192">
        <f>'R.M Billets Reports'!F191</f>
      </c>
      <c r="J192">
        <f>'R.M Billets Reports'!G191</f>
      </c>
      <c r="K192">
        <f>'R.M Billets Reports'!H191</f>
      </c>
      <c r="L192">
        <f>IF('R.M Billets Reports'!I191="","",'R.M Billets Reports'!I191)</f>
      </c>
      <c r="M192">
        <f t="shared" si="4"/>
      </c>
      <c r="N192">
        <f>IF('R.M Billets Reports'!J191="","",'R.M Billets Reports'!J191)</f>
      </c>
      <c r="O192">
        <f t="shared" si="5"/>
      </c>
      <c r="P192">
        <f>IF('R.M Billets Reports'!A191="SIZE",'R.M Billets Reports'!B191,P191)</f>
      </c>
    </row>
    <row r="193" spans="1:16" x14ac:dyDescent="0.25">
      <c r="A193">
        <f>IF(OR('R.M Billets Reports'!A192="Date-",'R.M Billets Reports'!A192="Date:-"),IF(IF(IF(ISNUMBER(SEARCH("Party Name:-",'R.M Billets Reports'!D192)),TRIM('R.M Billets Reports'!F192),IF(ISNUMBER(SEARCH("Party Name-",'R.M Billets Reports'!D192)),TRIM(MID('R.M Billets Reports'!D192,SEARCH("-",'R.M Billets Reports'!D192)+1,200)),""))&lt;&gt;"",IF(ISNUMBER(SEARCH("Party Name:-",'R.M Billets Reports'!D192)),TRIM('R.M Billets Reports'!F192),IF(ISNUMBER(SEARCH("Party Name-",'R.M Billets Reports'!D192)),TRIM(MID('R.M Billets Reports'!D192,SEARCH("-",'R.M Billets Reports'!D192)+1,200)),"")),IF(ISNUMBER(SEARCH("Party Name:-",'R.M Billets Reports'!D193)),TRIM('R.M Billets Reports'!F193),IF(ISNUMBER(SEARCH("Party Name-",'R.M Billets Reports'!D193)),TRIM(MID('R.M Billets Reports'!D193,SEARCH("-",'R.M Billets Reports'!D193)+1,200)),"")))="VRKP ISPAT PVT LTD","VRKP",IF(IF(IF(ISNUMBER(SEARCH("Party Name:-",'R.M Billets Reports'!D192)),TRIM('R.M Billets Reports'!F192),IF(ISNUMBER(SEARCH("Party Name-",'R.M Billets Reports'!D192)),TRIM(MID('R.M Billets Reports'!D192,SEARCH("-",'R.M Billets Reports'!D192)+1,200)),""))&lt;&gt;"",IF(ISNUMBER(SEARCH("Party Name:-",'R.M Billets Reports'!D192)),TRIM('R.M Billets Reports'!F192),IF(ISNUMBER(SEARCH("Party Name-",'R.M Billets Reports'!D192)),TRIM(MID('R.M Billets Reports'!D192,SEARCH("-",'R.M Billets Reports'!D192)+1,200)),"")),IF(ISNUMBER(SEARCH("Party Name:-",'R.M Billets Reports'!D193)),TRIM('R.M Billets Reports'!F193),IF(ISNUMBER(SEARCH("Party Name-",'R.M Billets Reports'!D193)),TRIM(MID('R.M Billets Reports'!D193,SEARCH("-",'R.M Billets Reports'!D193)+1,200)),"")))="SHRI RADHE","SHREE RADHE",IF(IF(IF(ISNUMBER(SEARCH("Party Name:-",'R.M Billets Reports'!D192)),TRIM('R.M Billets Reports'!F192),IF(ISNUMBER(SEARCH("Party Name-",'R.M Billets Reports'!D192)),TRIM(MID('R.M Billets Reports'!D192,SEARCH("-",'R.M Billets Reports'!D192)+1,200)),""))&lt;&gt;"",IF(ISNUMBER(SEARCH("Party Name:-",'R.M Billets Reports'!D192)),TRIM('R.M Billets Reports'!F192),IF(ISNUMBER(SEARCH("Party Name-",'R.M Billets Reports'!D192)),TRIM(MID('R.M Billets Reports'!D192,SEARCH("-",'R.M Billets Reports'!D192)+1,200)),"")),IF(ISNUMBER(SEARCH("Party Name:-",'R.M Billets Reports'!D193)),TRIM('R.M Billets Reports'!F193),IF(ISNUMBER(SEARCH("Party Name-",'R.M Billets Reports'!D193)),TRIM(MID('R.M Billets Reports'!D193,SEARCH("-",'R.M Billets Reports'!D193)+1,200)),"")))="SHREE RADHE SHAKTI SPONGE AND POWER PVT. LTD.","SHREE RADHE",IF(IF(ISNUMBER(SEARCH("Party Name:-",'R.M Billets Reports'!D192)),TRIM('R.M Billets Reports'!F192),IF(ISNUMBER(SEARCH("Party Name-",'R.M Billets Reports'!D192)),TRIM(MID('R.M Billets Reports'!D192,SEARCH("-",'R.M Billets Reports'!D192)+1,200)),""))&lt;&gt;"",IF(ISNUMBER(SEARCH("Party Name:-",'R.M Billets Reports'!D192)),TRIM('R.M Billets Reports'!F192),IF(ISNUMBER(SEARCH("Party Name-",'R.M Billets Reports'!D192)),TRIM(MID('R.M Billets Reports'!D192,SEARCH("-",'R.M Billets Reports'!D192)+1,200)),"")),IF(ISNUMBER(SEARCH("Party Name:-",'R.M Billets Reports'!D193)),TRIM('R.M Billets Reports'!F193),IF(ISNUMBER(SEARCH("Party Name-",'R.M Billets Reports'!D193)),TRIM(MID('R.M Billets Reports'!D193,SEARCH("-",'R.M Billets Reports'!D193)+1,200)),"")))))),IF(ROW()=2,"",A192))</f>
      </c>
      <c r="B193">
        <f>IF(OR('R.M Billets Reports'!A192="Date-",'R.M Billets Reports'!A192="Date:-"),'R.M Billets Reports'!B192,IF(ROW()=2,"",B192))</f>
      </c>
      <c r="C193">
        <f>IF('R.M Billets Reports'!A192="V.No.",'R.M Billets Reports'!B192,IF(ROW()=2,"",C192))</f>
      </c>
      <c r="D193">
        <f>IF('R.M Billets Reports'!A192&lt;&gt;"",'R.M Billets Reports'!A192,IF(ROW()=2,"",D192))</f>
      </c>
      <c r="E193">
        <f>IF('R.M Billets Reports'!B192="","",TRIM('R.M Billets Reports'!B192))</f>
      </c>
      <c r="F193">
        <f>'R.M Billets Reports'!C192</f>
      </c>
      <c r="G193">
        <f>'R.M Billets Reports'!D192</f>
      </c>
      <c r="H193">
        <f>'R.M Billets Reports'!E192</f>
      </c>
      <c r="I193">
        <f>'R.M Billets Reports'!F192</f>
      </c>
      <c r="J193">
        <f>'R.M Billets Reports'!G192</f>
      </c>
      <c r="K193">
        <f>'R.M Billets Reports'!H192</f>
      </c>
      <c r="L193">
        <f>IF('R.M Billets Reports'!I192="","",'R.M Billets Reports'!I192)</f>
      </c>
      <c r="M193">
        <f t="shared" si="4"/>
      </c>
      <c r="N193">
        <f>IF('R.M Billets Reports'!J192="","",'R.M Billets Reports'!J192)</f>
      </c>
      <c r="O193">
        <f t="shared" si="5"/>
      </c>
      <c r="P193">
        <f>IF('R.M Billets Reports'!A192="SIZE",'R.M Billets Reports'!B192,P192)</f>
      </c>
    </row>
    <row r="194" spans="1:16" x14ac:dyDescent="0.25">
      <c r="A194">
        <f>IF(OR('R.M Billets Reports'!A193="Date-",'R.M Billets Reports'!A193="Date:-"),IF(IF(IF(ISNUMBER(SEARCH("Party Name:-",'R.M Billets Reports'!D193)),TRIM('R.M Billets Reports'!F193),IF(ISNUMBER(SEARCH("Party Name-",'R.M Billets Reports'!D193)),TRIM(MID('R.M Billets Reports'!D193,SEARCH("-",'R.M Billets Reports'!D193)+1,200)),""))&lt;&gt;"",IF(ISNUMBER(SEARCH("Party Name:-",'R.M Billets Reports'!D193)),TRIM('R.M Billets Reports'!F193),IF(ISNUMBER(SEARCH("Party Name-",'R.M Billets Reports'!D193)),TRIM(MID('R.M Billets Reports'!D193,SEARCH("-",'R.M Billets Reports'!D193)+1,200)),"")),IF(ISNUMBER(SEARCH("Party Name:-",'R.M Billets Reports'!D194)),TRIM('R.M Billets Reports'!F194),IF(ISNUMBER(SEARCH("Party Name-",'R.M Billets Reports'!D194)),TRIM(MID('R.M Billets Reports'!D194,SEARCH("-",'R.M Billets Reports'!D194)+1,200)),"")))="VRKP ISPAT PVT LTD","VRKP",IF(IF(IF(ISNUMBER(SEARCH("Party Name:-",'R.M Billets Reports'!D193)),TRIM('R.M Billets Reports'!F193),IF(ISNUMBER(SEARCH("Party Name-",'R.M Billets Reports'!D193)),TRIM(MID('R.M Billets Reports'!D193,SEARCH("-",'R.M Billets Reports'!D193)+1,200)),""))&lt;&gt;"",IF(ISNUMBER(SEARCH("Party Name:-",'R.M Billets Reports'!D193)),TRIM('R.M Billets Reports'!F193),IF(ISNUMBER(SEARCH("Party Name-",'R.M Billets Reports'!D193)),TRIM(MID('R.M Billets Reports'!D193,SEARCH("-",'R.M Billets Reports'!D193)+1,200)),"")),IF(ISNUMBER(SEARCH("Party Name:-",'R.M Billets Reports'!D194)),TRIM('R.M Billets Reports'!F194),IF(ISNUMBER(SEARCH("Party Name-",'R.M Billets Reports'!D194)),TRIM(MID('R.M Billets Reports'!D194,SEARCH("-",'R.M Billets Reports'!D194)+1,200)),"")))="SHRI RADHE","SHREE RADHE",IF(IF(IF(ISNUMBER(SEARCH("Party Name:-",'R.M Billets Reports'!D193)),TRIM('R.M Billets Reports'!F193),IF(ISNUMBER(SEARCH("Party Name-",'R.M Billets Reports'!D193)),TRIM(MID('R.M Billets Reports'!D193,SEARCH("-",'R.M Billets Reports'!D193)+1,200)),""))&lt;&gt;"",IF(ISNUMBER(SEARCH("Party Name:-",'R.M Billets Reports'!D193)),TRIM('R.M Billets Reports'!F193),IF(ISNUMBER(SEARCH("Party Name-",'R.M Billets Reports'!D193)),TRIM(MID('R.M Billets Reports'!D193,SEARCH("-",'R.M Billets Reports'!D193)+1,200)),"")),IF(ISNUMBER(SEARCH("Party Name:-",'R.M Billets Reports'!D194)),TRIM('R.M Billets Reports'!F194),IF(ISNUMBER(SEARCH("Party Name-",'R.M Billets Reports'!D194)),TRIM(MID('R.M Billets Reports'!D194,SEARCH("-",'R.M Billets Reports'!D194)+1,200)),"")))="SHREE RADHE SHAKTI SPONGE AND POWER PVT. LTD.","SHREE RADHE",IF(IF(ISNUMBER(SEARCH("Party Name:-",'R.M Billets Reports'!D193)),TRIM('R.M Billets Reports'!F193),IF(ISNUMBER(SEARCH("Party Name-",'R.M Billets Reports'!D193)),TRIM(MID('R.M Billets Reports'!D193,SEARCH("-",'R.M Billets Reports'!D193)+1,200)),""))&lt;&gt;"",IF(ISNUMBER(SEARCH("Party Name:-",'R.M Billets Reports'!D193)),TRIM('R.M Billets Reports'!F193),IF(ISNUMBER(SEARCH("Party Name-",'R.M Billets Reports'!D193)),TRIM(MID('R.M Billets Reports'!D193,SEARCH("-",'R.M Billets Reports'!D193)+1,200)),"")),IF(ISNUMBER(SEARCH("Party Name:-",'R.M Billets Reports'!D194)),TRIM('R.M Billets Reports'!F194),IF(ISNUMBER(SEARCH("Party Name-",'R.M Billets Reports'!D194)),TRIM(MID('R.M Billets Reports'!D194,SEARCH("-",'R.M Billets Reports'!D194)+1,200)),"")))))),IF(ROW()=2,"",A193))</f>
      </c>
      <c r="B194">
        <f>IF(OR('R.M Billets Reports'!A193="Date-",'R.M Billets Reports'!A193="Date:-"),'R.M Billets Reports'!B193,IF(ROW()=2,"",B193))</f>
      </c>
      <c r="C194">
        <f>IF('R.M Billets Reports'!A193="V.No.",'R.M Billets Reports'!B193,IF(ROW()=2,"",C193))</f>
      </c>
      <c r="D194">
        <f>IF('R.M Billets Reports'!A193&lt;&gt;"",'R.M Billets Reports'!A193,IF(ROW()=2,"",D193))</f>
      </c>
      <c r="E194">
        <f>IF('R.M Billets Reports'!B193="","",TRIM('R.M Billets Reports'!B193))</f>
      </c>
      <c r="F194">
        <f>'R.M Billets Reports'!C193</f>
      </c>
      <c r="G194">
        <f>'R.M Billets Reports'!D193</f>
      </c>
      <c r="H194">
        <f>'R.M Billets Reports'!E193</f>
      </c>
      <c r="I194">
        <f>'R.M Billets Reports'!F193</f>
      </c>
      <c r="J194">
        <f>'R.M Billets Reports'!G193</f>
      </c>
      <c r="K194">
        <f>'R.M Billets Reports'!H193</f>
      </c>
      <c r="L194">
        <f>IF('R.M Billets Reports'!I193="","",'R.M Billets Reports'!I193)</f>
      </c>
      <c r="M194">
        <f t="shared" si="4"/>
      </c>
      <c r="N194">
        <f>IF('R.M Billets Reports'!J193="","",'R.M Billets Reports'!J193)</f>
      </c>
      <c r="O194">
        <f t="shared" si="5"/>
      </c>
      <c r="P194">
        <f>IF('R.M Billets Reports'!A193="SIZE",'R.M Billets Reports'!B193,P193)</f>
      </c>
    </row>
    <row r="195" spans="1:16" x14ac:dyDescent="0.25">
      <c r="A195">
        <f>IF(OR('R.M Billets Reports'!A194="Date-",'R.M Billets Reports'!A194="Date:-"),IF(IF(IF(ISNUMBER(SEARCH("Party Name:-",'R.M Billets Reports'!D194)),TRIM('R.M Billets Reports'!F194),IF(ISNUMBER(SEARCH("Party Name-",'R.M Billets Reports'!D194)),TRIM(MID('R.M Billets Reports'!D194,SEARCH("-",'R.M Billets Reports'!D194)+1,200)),""))&lt;&gt;"",IF(ISNUMBER(SEARCH("Party Name:-",'R.M Billets Reports'!D194)),TRIM('R.M Billets Reports'!F194),IF(ISNUMBER(SEARCH("Party Name-",'R.M Billets Reports'!D194)),TRIM(MID('R.M Billets Reports'!D194,SEARCH("-",'R.M Billets Reports'!D194)+1,200)),"")),IF(ISNUMBER(SEARCH("Party Name:-",'R.M Billets Reports'!D195)),TRIM('R.M Billets Reports'!F195),IF(ISNUMBER(SEARCH("Party Name-",'R.M Billets Reports'!D195)),TRIM(MID('R.M Billets Reports'!D195,SEARCH("-",'R.M Billets Reports'!D195)+1,200)),"")))="VRKP ISPAT PVT LTD","VRKP",IF(IF(IF(ISNUMBER(SEARCH("Party Name:-",'R.M Billets Reports'!D194)),TRIM('R.M Billets Reports'!F194),IF(ISNUMBER(SEARCH("Party Name-",'R.M Billets Reports'!D194)),TRIM(MID('R.M Billets Reports'!D194,SEARCH("-",'R.M Billets Reports'!D194)+1,200)),""))&lt;&gt;"",IF(ISNUMBER(SEARCH("Party Name:-",'R.M Billets Reports'!D194)),TRIM('R.M Billets Reports'!F194),IF(ISNUMBER(SEARCH("Party Name-",'R.M Billets Reports'!D194)),TRIM(MID('R.M Billets Reports'!D194,SEARCH("-",'R.M Billets Reports'!D194)+1,200)),"")),IF(ISNUMBER(SEARCH("Party Name:-",'R.M Billets Reports'!D195)),TRIM('R.M Billets Reports'!F195),IF(ISNUMBER(SEARCH("Party Name-",'R.M Billets Reports'!D195)),TRIM(MID('R.M Billets Reports'!D195,SEARCH("-",'R.M Billets Reports'!D195)+1,200)),"")))="SHRI RADHE","SHREE RADHE",IF(IF(IF(ISNUMBER(SEARCH("Party Name:-",'R.M Billets Reports'!D194)),TRIM('R.M Billets Reports'!F194),IF(ISNUMBER(SEARCH("Party Name-",'R.M Billets Reports'!D194)),TRIM(MID('R.M Billets Reports'!D194,SEARCH("-",'R.M Billets Reports'!D194)+1,200)),""))&lt;&gt;"",IF(ISNUMBER(SEARCH("Party Name:-",'R.M Billets Reports'!D194)),TRIM('R.M Billets Reports'!F194),IF(ISNUMBER(SEARCH("Party Name-",'R.M Billets Reports'!D194)),TRIM(MID('R.M Billets Reports'!D194,SEARCH("-",'R.M Billets Reports'!D194)+1,200)),"")),IF(ISNUMBER(SEARCH("Party Name:-",'R.M Billets Reports'!D195)),TRIM('R.M Billets Reports'!F195),IF(ISNUMBER(SEARCH("Party Name-",'R.M Billets Reports'!D195)),TRIM(MID('R.M Billets Reports'!D195,SEARCH("-",'R.M Billets Reports'!D195)+1,200)),"")))="SHREE RADHE SHAKTI SPONGE AND POWER PVT. LTD.","SHREE RADHE",IF(IF(ISNUMBER(SEARCH("Party Name:-",'R.M Billets Reports'!D194)),TRIM('R.M Billets Reports'!F194),IF(ISNUMBER(SEARCH("Party Name-",'R.M Billets Reports'!D194)),TRIM(MID('R.M Billets Reports'!D194,SEARCH("-",'R.M Billets Reports'!D194)+1,200)),""))&lt;&gt;"",IF(ISNUMBER(SEARCH("Party Name:-",'R.M Billets Reports'!D194)),TRIM('R.M Billets Reports'!F194),IF(ISNUMBER(SEARCH("Party Name-",'R.M Billets Reports'!D194)),TRIM(MID('R.M Billets Reports'!D194,SEARCH("-",'R.M Billets Reports'!D194)+1,200)),"")),IF(ISNUMBER(SEARCH("Party Name:-",'R.M Billets Reports'!D195)),TRIM('R.M Billets Reports'!F195),IF(ISNUMBER(SEARCH("Party Name-",'R.M Billets Reports'!D195)),TRIM(MID('R.M Billets Reports'!D195,SEARCH("-",'R.M Billets Reports'!D195)+1,200)),"")))))),IF(ROW()=2,"",A194))</f>
      </c>
      <c r="B195">
        <f>IF(OR('R.M Billets Reports'!A194="Date-",'R.M Billets Reports'!A194="Date:-"),'R.M Billets Reports'!B194,IF(ROW()=2,"",B194))</f>
      </c>
      <c r="C195">
        <f>IF('R.M Billets Reports'!A194="V.No.",'R.M Billets Reports'!B194,IF(ROW()=2,"",C194))</f>
      </c>
      <c r="D195">
        <f>IF('R.M Billets Reports'!A194&lt;&gt;"",'R.M Billets Reports'!A194,IF(ROW()=2,"",D194))</f>
      </c>
      <c r="E195">
        <f>IF('R.M Billets Reports'!B194="","",TRIM('R.M Billets Reports'!B194))</f>
      </c>
      <c r="F195">
        <f>'R.M Billets Reports'!C194</f>
      </c>
      <c r="G195">
        <f>'R.M Billets Reports'!D194</f>
      </c>
      <c r="H195">
        <f>'R.M Billets Reports'!E194</f>
      </c>
      <c r="I195">
        <f>'R.M Billets Reports'!F194</f>
      </c>
      <c r="J195">
        <f>'R.M Billets Reports'!G194</f>
      </c>
      <c r="K195">
        <f>'R.M Billets Reports'!H194</f>
      </c>
      <c r="L195">
        <f>IF('R.M Billets Reports'!I194="","",'R.M Billets Reports'!I194)</f>
      </c>
      <c r="M195">
        <f t="shared" ref="M195:M258" si="6">IF(L195&lt;&gt;"",L195,IF(D195=D194,M194,""))</f>
      </c>
      <c r="N195">
        <f>IF('R.M Billets Reports'!J194="","",'R.M Billets Reports'!J194)</f>
      </c>
      <c r="O195">
        <f t="shared" ref="O195:O258" si="7">IF(N195&lt;&gt;"",N195,IF(D195=D194,O194,""))</f>
      </c>
      <c r="P195">
        <f>IF('R.M Billets Reports'!A194="SIZE",'R.M Billets Reports'!B194,P194)</f>
      </c>
    </row>
    <row r="196" spans="1:16" x14ac:dyDescent="0.25">
      <c r="A196">
        <f>IF(OR('R.M Billets Reports'!A195="Date-",'R.M Billets Reports'!A195="Date:-"),IF(IF(IF(ISNUMBER(SEARCH("Party Name:-",'R.M Billets Reports'!D195)),TRIM('R.M Billets Reports'!F195),IF(ISNUMBER(SEARCH("Party Name-",'R.M Billets Reports'!D195)),TRIM(MID('R.M Billets Reports'!D195,SEARCH("-",'R.M Billets Reports'!D195)+1,200)),""))&lt;&gt;"",IF(ISNUMBER(SEARCH("Party Name:-",'R.M Billets Reports'!D195)),TRIM('R.M Billets Reports'!F195),IF(ISNUMBER(SEARCH("Party Name-",'R.M Billets Reports'!D195)),TRIM(MID('R.M Billets Reports'!D195,SEARCH("-",'R.M Billets Reports'!D195)+1,200)),"")),IF(ISNUMBER(SEARCH("Party Name:-",'R.M Billets Reports'!D196)),TRIM('R.M Billets Reports'!F196),IF(ISNUMBER(SEARCH("Party Name-",'R.M Billets Reports'!D196)),TRIM(MID('R.M Billets Reports'!D196,SEARCH("-",'R.M Billets Reports'!D196)+1,200)),"")))="VRKP ISPAT PVT LTD","VRKP",IF(IF(IF(ISNUMBER(SEARCH("Party Name:-",'R.M Billets Reports'!D195)),TRIM('R.M Billets Reports'!F195),IF(ISNUMBER(SEARCH("Party Name-",'R.M Billets Reports'!D195)),TRIM(MID('R.M Billets Reports'!D195,SEARCH("-",'R.M Billets Reports'!D195)+1,200)),""))&lt;&gt;"",IF(ISNUMBER(SEARCH("Party Name:-",'R.M Billets Reports'!D195)),TRIM('R.M Billets Reports'!F195),IF(ISNUMBER(SEARCH("Party Name-",'R.M Billets Reports'!D195)),TRIM(MID('R.M Billets Reports'!D195,SEARCH("-",'R.M Billets Reports'!D195)+1,200)),"")),IF(ISNUMBER(SEARCH("Party Name:-",'R.M Billets Reports'!D196)),TRIM('R.M Billets Reports'!F196),IF(ISNUMBER(SEARCH("Party Name-",'R.M Billets Reports'!D196)),TRIM(MID('R.M Billets Reports'!D196,SEARCH("-",'R.M Billets Reports'!D196)+1,200)),"")))="SHRI RADHE","SHREE RADHE",IF(IF(IF(ISNUMBER(SEARCH("Party Name:-",'R.M Billets Reports'!D195)),TRIM('R.M Billets Reports'!F195),IF(ISNUMBER(SEARCH("Party Name-",'R.M Billets Reports'!D195)),TRIM(MID('R.M Billets Reports'!D195,SEARCH("-",'R.M Billets Reports'!D195)+1,200)),""))&lt;&gt;"",IF(ISNUMBER(SEARCH("Party Name:-",'R.M Billets Reports'!D195)),TRIM('R.M Billets Reports'!F195),IF(ISNUMBER(SEARCH("Party Name-",'R.M Billets Reports'!D195)),TRIM(MID('R.M Billets Reports'!D195,SEARCH("-",'R.M Billets Reports'!D195)+1,200)),"")),IF(ISNUMBER(SEARCH("Party Name:-",'R.M Billets Reports'!D196)),TRIM('R.M Billets Reports'!F196),IF(ISNUMBER(SEARCH("Party Name-",'R.M Billets Reports'!D196)),TRIM(MID('R.M Billets Reports'!D196,SEARCH("-",'R.M Billets Reports'!D196)+1,200)),"")))="SHREE RADHE SHAKTI SPONGE AND POWER PVT. LTD.","SHREE RADHE",IF(IF(ISNUMBER(SEARCH("Party Name:-",'R.M Billets Reports'!D195)),TRIM('R.M Billets Reports'!F195),IF(ISNUMBER(SEARCH("Party Name-",'R.M Billets Reports'!D195)),TRIM(MID('R.M Billets Reports'!D195,SEARCH("-",'R.M Billets Reports'!D195)+1,200)),""))&lt;&gt;"",IF(ISNUMBER(SEARCH("Party Name:-",'R.M Billets Reports'!D195)),TRIM('R.M Billets Reports'!F195),IF(ISNUMBER(SEARCH("Party Name-",'R.M Billets Reports'!D195)),TRIM(MID('R.M Billets Reports'!D195,SEARCH("-",'R.M Billets Reports'!D195)+1,200)),"")),IF(ISNUMBER(SEARCH("Party Name:-",'R.M Billets Reports'!D196)),TRIM('R.M Billets Reports'!F196),IF(ISNUMBER(SEARCH("Party Name-",'R.M Billets Reports'!D196)),TRIM(MID('R.M Billets Reports'!D196,SEARCH("-",'R.M Billets Reports'!D196)+1,200)),"")))))),IF(ROW()=2,"",A195))</f>
      </c>
      <c r="B196">
        <f>IF(OR('R.M Billets Reports'!A195="Date-",'R.M Billets Reports'!A195="Date:-"),'R.M Billets Reports'!B195,IF(ROW()=2,"",B195))</f>
      </c>
      <c r="C196">
        <f>IF('R.M Billets Reports'!A195="V.No.",'R.M Billets Reports'!B195,IF(ROW()=2,"",C195))</f>
      </c>
      <c r="D196">
        <f>IF('R.M Billets Reports'!A195&lt;&gt;"",'R.M Billets Reports'!A195,IF(ROW()=2,"",D195))</f>
      </c>
      <c r="E196">
        <f>IF('R.M Billets Reports'!B195="","",TRIM('R.M Billets Reports'!B195))</f>
      </c>
      <c r="F196">
        <f>'R.M Billets Reports'!C195</f>
      </c>
      <c r="G196">
        <f>'R.M Billets Reports'!D195</f>
      </c>
      <c r="H196">
        <f>'R.M Billets Reports'!E195</f>
      </c>
      <c r="I196">
        <f>'R.M Billets Reports'!F195</f>
      </c>
      <c r="J196">
        <f>'R.M Billets Reports'!G195</f>
      </c>
      <c r="K196">
        <f>'R.M Billets Reports'!H195</f>
      </c>
      <c r="L196">
        <f>IF('R.M Billets Reports'!I195="","",'R.M Billets Reports'!I195)</f>
      </c>
      <c r="M196">
        <f t="shared" si="6"/>
      </c>
      <c r="N196">
        <f>IF('R.M Billets Reports'!J195="","",'R.M Billets Reports'!J195)</f>
      </c>
      <c r="O196">
        <f t="shared" si="7"/>
      </c>
      <c r="P196">
        <f>IF('R.M Billets Reports'!A195="SIZE",'R.M Billets Reports'!B195,P195)</f>
      </c>
    </row>
    <row r="197" spans="1:16" x14ac:dyDescent="0.25">
      <c r="A197">
        <f>IF(OR('R.M Billets Reports'!A196="Date-",'R.M Billets Reports'!A196="Date:-"),IF(IF(IF(ISNUMBER(SEARCH("Party Name:-",'R.M Billets Reports'!D196)),TRIM('R.M Billets Reports'!F196),IF(ISNUMBER(SEARCH("Party Name-",'R.M Billets Reports'!D196)),TRIM(MID('R.M Billets Reports'!D196,SEARCH("-",'R.M Billets Reports'!D196)+1,200)),""))&lt;&gt;"",IF(ISNUMBER(SEARCH("Party Name:-",'R.M Billets Reports'!D196)),TRIM('R.M Billets Reports'!F196),IF(ISNUMBER(SEARCH("Party Name-",'R.M Billets Reports'!D196)),TRIM(MID('R.M Billets Reports'!D196,SEARCH("-",'R.M Billets Reports'!D196)+1,200)),"")),IF(ISNUMBER(SEARCH("Party Name:-",'R.M Billets Reports'!D197)),TRIM('R.M Billets Reports'!F197),IF(ISNUMBER(SEARCH("Party Name-",'R.M Billets Reports'!D197)),TRIM(MID('R.M Billets Reports'!D197,SEARCH("-",'R.M Billets Reports'!D197)+1,200)),"")))="VRKP ISPAT PVT LTD","VRKP",IF(IF(IF(ISNUMBER(SEARCH("Party Name:-",'R.M Billets Reports'!D196)),TRIM('R.M Billets Reports'!F196),IF(ISNUMBER(SEARCH("Party Name-",'R.M Billets Reports'!D196)),TRIM(MID('R.M Billets Reports'!D196,SEARCH("-",'R.M Billets Reports'!D196)+1,200)),""))&lt;&gt;"",IF(ISNUMBER(SEARCH("Party Name:-",'R.M Billets Reports'!D196)),TRIM('R.M Billets Reports'!F196),IF(ISNUMBER(SEARCH("Party Name-",'R.M Billets Reports'!D196)),TRIM(MID('R.M Billets Reports'!D196,SEARCH("-",'R.M Billets Reports'!D196)+1,200)),"")),IF(ISNUMBER(SEARCH("Party Name:-",'R.M Billets Reports'!D197)),TRIM('R.M Billets Reports'!F197),IF(ISNUMBER(SEARCH("Party Name-",'R.M Billets Reports'!D197)),TRIM(MID('R.M Billets Reports'!D197,SEARCH("-",'R.M Billets Reports'!D197)+1,200)),"")))="SHRI RADHE","SHREE RADHE",IF(IF(IF(ISNUMBER(SEARCH("Party Name:-",'R.M Billets Reports'!D196)),TRIM('R.M Billets Reports'!F196),IF(ISNUMBER(SEARCH("Party Name-",'R.M Billets Reports'!D196)),TRIM(MID('R.M Billets Reports'!D196,SEARCH("-",'R.M Billets Reports'!D196)+1,200)),""))&lt;&gt;"",IF(ISNUMBER(SEARCH("Party Name:-",'R.M Billets Reports'!D196)),TRIM('R.M Billets Reports'!F196),IF(ISNUMBER(SEARCH("Party Name-",'R.M Billets Reports'!D196)),TRIM(MID('R.M Billets Reports'!D196,SEARCH("-",'R.M Billets Reports'!D196)+1,200)),"")),IF(ISNUMBER(SEARCH("Party Name:-",'R.M Billets Reports'!D197)),TRIM('R.M Billets Reports'!F197),IF(ISNUMBER(SEARCH("Party Name-",'R.M Billets Reports'!D197)),TRIM(MID('R.M Billets Reports'!D197,SEARCH("-",'R.M Billets Reports'!D197)+1,200)),"")))="SHREE RADHE SHAKTI SPONGE AND POWER PVT. LTD.","SHREE RADHE",IF(IF(ISNUMBER(SEARCH("Party Name:-",'R.M Billets Reports'!D196)),TRIM('R.M Billets Reports'!F196),IF(ISNUMBER(SEARCH("Party Name-",'R.M Billets Reports'!D196)),TRIM(MID('R.M Billets Reports'!D196,SEARCH("-",'R.M Billets Reports'!D196)+1,200)),""))&lt;&gt;"",IF(ISNUMBER(SEARCH("Party Name:-",'R.M Billets Reports'!D196)),TRIM('R.M Billets Reports'!F196),IF(ISNUMBER(SEARCH("Party Name-",'R.M Billets Reports'!D196)),TRIM(MID('R.M Billets Reports'!D196,SEARCH("-",'R.M Billets Reports'!D196)+1,200)),"")),IF(ISNUMBER(SEARCH("Party Name:-",'R.M Billets Reports'!D197)),TRIM('R.M Billets Reports'!F197),IF(ISNUMBER(SEARCH("Party Name-",'R.M Billets Reports'!D197)),TRIM(MID('R.M Billets Reports'!D197,SEARCH("-",'R.M Billets Reports'!D197)+1,200)),"")))))),IF(ROW()=2,"",A196))</f>
      </c>
      <c r="B197">
        <f>IF(OR('R.M Billets Reports'!A196="Date-",'R.M Billets Reports'!A196="Date:-"),'R.M Billets Reports'!B196,IF(ROW()=2,"",B196))</f>
      </c>
      <c r="C197">
        <f>IF('R.M Billets Reports'!A196="V.No.",'R.M Billets Reports'!B196,IF(ROW()=2,"",C196))</f>
      </c>
      <c r="D197">
        <f>IF('R.M Billets Reports'!A196&lt;&gt;"",'R.M Billets Reports'!A196,IF(ROW()=2,"",D196))</f>
      </c>
      <c r="E197">
        <f>IF('R.M Billets Reports'!B196="","",TRIM('R.M Billets Reports'!B196))</f>
      </c>
      <c r="F197">
        <f>'R.M Billets Reports'!C196</f>
      </c>
      <c r="G197">
        <f>'R.M Billets Reports'!D196</f>
      </c>
      <c r="H197">
        <f>'R.M Billets Reports'!E196</f>
      </c>
      <c r="I197">
        <f>'R.M Billets Reports'!F196</f>
      </c>
      <c r="J197">
        <f>'R.M Billets Reports'!G196</f>
      </c>
      <c r="K197">
        <f>'R.M Billets Reports'!H196</f>
      </c>
      <c r="L197">
        <f>IF('R.M Billets Reports'!I196="","",'R.M Billets Reports'!I196)</f>
      </c>
      <c r="M197">
        <f t="shared" si="6"/>
      </c>
      <c r="N197">
        <f>IF('R.M Billets Reports'!J196="","",'R.M Billets Reports'!J196)</f>
      </c>
      <c r="O197">
        <f t="shared" si="7"/>
      </c>
      <c r="P197">
        <f>IF('R.M Billets Reports'!A196="SIZE",'R.M Billets Reports'!B196,P196)</f>
      </c>
    </row>
    <row r="198" spans="1:16" x14ac:dyDescent="0.25">
      <c r="A198">
        <f>IF(OR('R.M Billets Reports'!A197="Date-",'R.M Billets Reports'!A197="Date:-"),IF(IF(IF(ISNUMBER(SEARCH("Party Name:-",'R.M Billets Reports'!D197)),TRIM('R.M Billets Reports'!F197),IF(ISNUMBER(SEARCH("Party Name-",'R.M Billets Reports'!D197)),TRIM(MID('R.M Billets Reports'!D197,SEARCH("-",'R.M Billets Reports'!D197)+1,200)),""))&lt;&gt;"",IF(ISNUMBER(SEARCH("Party Name:-",'R.M Billets Reports'!D197)),TRIM('R.M Billets Reports'!F197),IF(ISNUMBER(SEARCH("Party Name-",'R.M Billets Reports'!D197)),TRIM(MID('R.M Billets Reports'!D197,SEARCH("-",'R.M Billets Reports'!D197)+1,200)),"")),IF(ISNUMBER(SEARCH("Party Name:-",'R.M Billets Reports'!D198)),TRIM('R.M Billets Reports'!F198),IF(ISNUMBER(SEARCH("Party Name-",'R.M Billets Reports'!D198)),TRIM(MID('R.M Billets Reports'!D198,SEARCH("-",'R.M Billets Reports'!D198)+1,200)),"")))="VRKP ISPAT PVT LTD","VRKP",IF(IF(IF(ISNUMBER(SEARCH("Party Name:-",'R.M Billets Reports'!D197)),TRIM('R.M Billets Reports'!F197),IF(ISNUMBER(SEARCH("Party Name-",'R.M Billets Reports'!D197)),TRIM(MID('R.M Billets Reports'!D197,SEARCH("-",'R.M Billets Reports'!D197)+1,200)),""))&lt;&gt;"",IF(ISNUMBER(SEARCH("Party Name:-",'R.M Billets Reports'!D197)),TRIM('R.M Billets Reports'!F197),IF(ISNUMBER(SEARCH("Party Name-",'R.M Billets Reports'!D197)),TRIM(MID('R.M Billets Reports'!D197,SEARCH("-",'R.M Billets Reports'!D197)+1,200)),"")),IF(ISNUMBER(SEARCH("Party Name:-",'R.M Billets Reports'!D198)),TRIM('R.M Billets Reports'!F198),IF(ISNUMBER(SEARCH("Party Name-",'R.M Billets Reports'!D198)),TRIM(MID('R.M Billets Reports'!D198,SEARCH("-",'R.M Billets Reports'!D198)+1,200)),"")))="SHRI RADHE","SHREE RADHE",IF(IF(IF(ISNUMBER(SEARCH("Party Name:-",'R.M Billets Reports'!D197)),TRIM('R.M Billets Reports'!F197),IF(ISNUMBER(SEARCH("Party Name-",'R.M Billets Reports'!D197)),TRIM(MID('R.M Billets Reports'!D197,SEARCH("-",'R.M Billets Reports'!D197)+1,200)),""))&lt;&gt;"",IF(ISNUMBER(SEARCH("Party Name:-",'R.M Billets Reports'!D197)),TRIM('R.M Billets Reports'!F197),IF(ISNUMBER(SEARCH("Party Name-",'R.M Billets Reports'!D197)),TRIM(MID('R.M Billets Reports'!D197,SEARCH("-",'R.M Billets Reports'!D197)+1,200)),"")),IF(ISNUMBER(SEARCH("Party Name:-",'R.M Billets Reports'!D198)),TRIM('R.M Billets Reports'!F198),IF(ISNUMBER(SEARCH("Party Name-",'R.M Billets Reports'!D198)),TRIM(MID('R.M Billets Reports'!D198,SEARCH("-",'R.M Billets Reports'!D198)+1,200)),"")))="SHREE RADHE SHAKTI SPONGE AND POWER PVT. LTD.","SHREE RADHE",IF(IF(ISNUMBER(SEARCH("Party Name:-",'R.M Billets Reports'!D197)),TRIM('R.M Billets Reports'!F197),IF(ISNUMBER(SEARCH("Party Name-",'R.M Billets Reports'!D197)),TRIM(MID('R.M Billets Reports'!D197,SEARCH("-",'R.M Billets Reports'!D197)+1,200)),""))&lt;&gt;"",IF(ISNUMBER(SEARCH("Party Name:-",'R.M Billets Reports'!D197)),TRIM('R.M Billets Reports'!F197),IF(ISNUMBER(SEARCH("Party Name-",'R.M Billets Reports'!D197)),TRIM(MID('R.M Billets Reports'!D197,SEARCH("-",'R.M Billets Reports'!D197)+1,200)),"")),IF(ISNUMBER(SEARCH("Party Name:-",'R.M Billets Reports'!D198)),TRIM('R.M Billets Reports'!F198),IF(ISNUMBER(SEARCH("Party Name-",'R.M Billets Reports'!D198)),TRIM(MID('R.M Billets Reports'!D198,SEARCH("-",'R.M Billets Reports'!D198)+1,200)),"")))))),IF(ROW()=2,"",A197))</f>
      </c>
      <c r="B198">
        <f>IF(OR('R.M Billets Reports'!A197="Date-",'R.M Billets Reports'!A197="Date:-"),'R.M Billets Reports'!B197,IF(ROW()=2,"",B197))</f>
      </c>
      <c r="C198">
        <f>IF('R.M Billets Reports'!A197="V.No.",'R.M Billets Reports'!B197,IF(ROW()=2,"",C197))</f>
      </c>
      <c r="D198">
        <f>IF('R.M Billets Reports'!A197&lt;&gt;"",'R.M Billets Reports'!A197,IF(ROW()=2,"",D197))</f>
      </c>
      <c r="E198">
        <f>IF('R.M Billets Reports'!B197="","",TRIM('R.M Billets Reports'!B197))</f>
      </c>
      <c r="F198">
        <f>'R.M Billets Reports'!C197</f>
      </c>
      <c r="G198">
        <f>'R.M Billets Reports'!D197</f>
      </c>
      <c r="H198">
        <f>'R.M Billets Reports'!E197</f>
      </c>
      <c r="I198">
        <f>'R.M Billets Reports'!F197</f>
      </c>
      <c r="J198">
        <f>'R.M Billets Reports'!G197</f>
      </c>
      <c r="K198">
        <f>'R.M Billets Reports'!H197</f>
      </c>
      <c r="L198">
        <f>IF('R.M Billets Reports'!I197="","",'R.M Billets Reports'!I197)</f>
      </c>
      <c r="M198">
        <f t="shared" si="6"/>
      </c>
      <c r="N198">
        <f>IF('R.M Billets Reports'!J197="","",'R.M Billets Reports'!J197)</f>
      </c>
      <c r="O198">
        <f t="shared" si="7"/>
      </c>
      <c r="P198">
        <f>IF('R.M Billets Reports'!A197="SIZE",'R.M Billets Reports'!B197,P197)</f>
      </c>
    </row>
    <row r="199" spans="1:16" x14ac:dyDescent="0.25">
      <c r="A199">
        <f>IF(OR('R.M Billets Reports'!A198="Date-",'R.M Billets Reports'!A198="Date:-"),IF(IF(IF(ISNUMBER(SEARCH("Party Name:-",'R.M Billets Reports'!D198)),TRIM('R.M Billets Reports'!F198),IF(ISNUMBER(SEARCH("Party Name-",'R.M Billets Reports'!D198)),TRIM(MID('R.M Billets Reports'!D198,SEARCH("-",'R.M Billets Reports'!D198)+1,200)),""))&lt;&gt;"",IF(ISNUMBER(SEARCH("Party Name:-",'R.M Billets Reports'!D198)),TRIM('R.M Billets Reports'!F198),IF(ISNUMBER(SEARCH("Party Name-",'R.M Billets Reports'!D198)),TRIM(MID('R.M Billets Reports'!D198,SEARCH("-",'R.M Billets Reports'!D198)+1,200)),"")),IF(ISNUMBER(SEARCH("Party Name:-",'R.M Billets Reports'!D199)),TRIM('R.M Billets Reports'!F199),IF(ISNUMBER(SEARCH("Party Name-",'R.M Billets Reports'!D199)),TRIM(MID('R.M Billets Reports'!D199,SEARCH("-",'R.M Billets Reports'!D199)+1,200)),"")))="VRKP ISPAT PVT LTD","VRKP",IF(IF(IF(ISNUMBER(SEARCH("Party Name:-",'R.M Billets Reports'!D198)),TRIM('R.M Billets Reports'!F198),IF(ISNUMBER(SEARCH("Party Name-",'R.M Billets Reports'!D198)),TRIM(MID('R.M Billets Reports'!D198,SEARCH("-",'R.M Billets Reports'!D198)+1,200)),""))&lt;&gt;"",IF(ISNUMBER(SEARCH("Party Name:-",'R.M Billets Reports'!D198)),TRIM('R.M Billets Reports'!F198),IF(ISNUMBER(SEARCH("Party Name-",'R.M Billets Reports'!D198)),TRIM(MID('R.M Billets Reports'!D198,SEARCH("-",'R.M Billets Reports'!D198)+1,200)),"")),IF(ISNUMBER(SEARCH("Party Name:-",'R.M Billets Reports'!D199)),TRIM('R.M Billets Reports'!F199),IF(ISNUMBER(SEARCH("Party Name-",'R.M Billets Reports'!D199)),TRIM(MID('R.M Billets Reports'!D199,SEARCH("-",'R.M Billets Reports'!D199)+1,200)),"")))="SHRI RADHE","SHREE RADHE",IF(IF(IF(ISNUMBER(SEARCH("Party Name:-",'R.M Billets Reports'!D198)),TRIM('R.M Billets Reports'!F198),IF(ISNUMBER(SEARCH("Party Name-",'R.M Billets Reports'!D198)),TRIM(MID('R.M Billets Reports'!D198,SEARCH("-",'R.M Billets Reports'!D198)+1,200)),""))&lt;&gt;"",IF(ISNUMBER(SEARCH("Party Name:-",'R.M Billets Reports'!D198)),TRIM('R.M Billets Reports'!F198),IF(ISNUMBER(SEARCH("Party Name-",'R.M Billets Reports'!D198)),TRIM(MID('R.M Billets Reports'!D198,SEARCH("-",'R.M Billets Reports'!D198)+1,200)),"")),IF(ISNUMBER(SEARCH("Party Name:-",'R.M Billets Reports'!D199)),TRIM('R.M Billets Reports'!F199),IF(ISNUMBER(SEARCH("Party Name-",'R.M Billets Reports'!D199)),TRIM(MID('R.M Billets Reports'!D199,SEARCH("-",'R.M Billets Reports'!D199)+1,200)),"")))="SHREE RADHE SHAKTI SPONGE AND POWER PVT. LTD.","SHREE RADHE",IF(IF(ISNUMBER(SEARCH("Party Name:-",'R.M Billets Reports'!D198)),TRIM('R.M Billets Reports'!F198),IF(ISNUMBER(SEARCH("Party Name-",'R.M Billets Reports'!D198)),TRIM(MID('R.M Billets Reports'!D198,SEARCH("-",'R.M Billets Reports'!D198)+1,200)),""))&lt;&gt;"",IF(ISNUMBER(SEARCH("Party Name:-",'R.M Billets Reports'!D198)),TRIM('R.M Billets Reports'!F198),IF(ISNUMBER(SEARCH("Party Name-",'R.M Billets Reports'!D198)),TRIM(MID('R.M Billets Reports'!D198,SEARCH("-",'R.M Billets Reports'!D198)+1,200)),"")),IF(ISNUMBER(SEARCH("Party Name:-",'R.M Billets Reports'!D199)),TRIM('R.M Billets Reports'!F199),IF(ISNUMBER(SEARCH("Party Name-",'R.M Billets Reports'!D199)),TRIM(MID('R.M Billets Reports'!D199,SEARCH("-",'R.M Billets Reports'!D199)+1,200)),"")))))),IF(ROW()=2,"",A198))</f>
      </c>
      <c r="B199">
        <f>IF(OR('R.M Billets Reports'!A198="Date-",'R.M Billets Reports'!A198="Date:-"),'R.M Billets Reports'!B198,IF(ROW()=2,"",B198))</f>
      </c>
      <c r="C199">
        <f>IF('R.M Billets Reports'!A198="V.No.",'R.M Billets Reports'!B198,IF(ROW()=2,"",C198))</f>
      </c>
      <c r="D199">
        <f>IF('R.M Billets Reports'!A198&lt;&gt;"",'R.M Billets Reports'!A198,IF(ROW()=2,"",D198))</f>
      </c>
      <c r="E199">
        <f>IF('R.M Billets Reports'!B198="","",TRIM('R.M Billets Reports'!B198))</f>
      </c>
      <c r="F199">
        <f>'R.M Billets Reports'!C198</f>
      </c>
      <c r="G199">
        <f>'R.M Billets Reports'!D198</f>
      </c>
      <c r="H199">
        <f>'R.M Billets Reports'!E198</f>
      </c>
      <c r="I199">
        <f>'R.M Billets Reports'!F198</f>
      </c>
      <c r="J199">
        <f>'R.M Billets Reports'!G198</f>
      </c>
      <c r="K199">
        <f>'R.M Billets Reports'!H198</f>
      </c>
      <c r="L199">
        <f>IF('R.M Billets Reports'!I198="","",'R.M Billets Reports'!I198)</f>
      </c>
      <c r="M199">
        <f t="shared" si="6"/>
      </c>
      <c r="N199">
        <f>IF('R.M Billets Reports'!J198="","",'R.M Billets Reports'!J198)</f>
      </c>
      <c r="O199">
        <f t="shared" si="7"/>
      </c>
      <c r="P199">
        <f>IF('R.M Billets Reports'!A198="SIZE",'R.M Billets Reports'!B198,P198)</f>
      </c>
    </row>
    <row r="200" spans="1:16" x14ac:dyDescent="0.25">
      <c r="A200">
        <f>IF(OR('R.M Billets Reports'!A199="Date-",'R.M Billets Reports'!A199="Date:-"),IF(IF(IF(ISNUMBER(SEARCH("Party Name:-",'R.M Billets Reports'!D199)),TRIM('R.M Billets Reports'!F199),IF(ISNUMBER(SEARCH("Party Name-",'R.M Billets Reports'!D199)),TRIM(MID('R.M Billets Reports'!D199,SEARCH("-",'R.M Billets Reports'!D199)+1,200)),""))&lt;&gt;"",IF(ISNUMBER(SEARCH("Party Name:-",'R.M Billets Reports'!D199)),TRIM('R.M Billets Reports'!F199),IF(ISNUMBER(SEARCH("Party Name-",'R.M Billets Reports'!D199)),TRIM(MID('R.M Billets Reports'!D199,SEARCH("-",'R.M Billets Reports'!D199)+1,200)),"")),IF(ISNUMBER(SEARCH("Party Name:-",'R.M Billets Reports'!D200)),TRIM('R.M Billets Reports'!F200),IF(ISNUMBER(SEARCH("Party Name-",'R.M Billets Reports'!D200)),TRIM(MID('R.M Billets Reports'!D200,SEARCH("-",'R.M Billets Reports'!D200)+1,200)),"")))="VRKP ISPAT PVT LTD","VRKP",IF(IF(IF(ISNUMBER(SEARCH("Party Name:-",'R.M Billets Reports'!D199)),TRIM('R.M Billets Reports'!F199),IF(ISNUMBER(SEARCH("Party Name-",'R.M Billets Reports'!D199)),TRIM(MID('R.M Billets Reports'!D199,SEARCH("-",'R.M Billets Reports'!D199)+1,200)),""))&lt;&gt;"",IF(ISNUMBER(SEARCH("Party Name:-",'R.M Billets Reports'!D199)),TRIM('R.M Billets Reports'!F199),IF(ISNUMBER(SEARCH("Party Name-",'R.M Billets Reports'!D199)),TRIM(MID('R.M Billets Reports'!D199,SEARCH("-",'R.M Billets Reports'!D199)+1,200)),"")),IF(ISNUMBER(SEARCH("Party Name:-",'R.M Billets Reports'!D200)),TRIM('R.M Billets Reports'!F200),IF(ISNUMBER(SEARCH("Party Name-",'R.M Billets Reports'!D200)),TRIM(MID('R.M Billets Reports'!D200,SEARCH("-",'R.M Billets Reports'!D200)+1,200)),"")))="SHRI RADHE","SHREE RADHE",IF(IF(IF(ISNUMBER(SEARCH("Party Name:-",'R.M Billets Reports'!D199)),TRIM('R.M Billets Reports'!F199),IF(ISNUMBER(SEARCH("Party Name-",'R.M Billets Reports'!D199)),TRIM(MID('R.M Billets Reports'!D199,SEARCH("-",'R.M Billets Reports'!D199)+1,200)),""))&lt;&gt;"",IF(ISNUMBER(SEARCH("Party Name:-",'R.M Billets Reports'!D199)),TRIM('R.M Billets Reports'!F199),IF(ISNUMBER(SEARCH("Party Name-",'R.M Billets Reports'!D199)),TRIM(MID('R.M Billets Reports'!D199,SEARCH("-",'R.M Billets Reports'!D199)+1,200)),"")),IF(ISNUMBER(SEARCH("Party Name:-",'R.M Billets Reports'!D200)),TRIM('R.M Billets Reports'!F200),IF(ISNUMBER(SEARCH("Party Name-",'R.M Billets Reports'!D200)),TRIM(MID('R.M Billets Reports'!D200,SEARCH("-",'R.M Billets Reports'!D200)+1,200)),"")))="SHREE RADHE SHAKTI SPONGE AND POWER PVT. LTD.","SHREE RADHE",IF(IF(ISNUMBER(SEARCH("Party Name:-",'R.M Billets Reports'!D199)),TRIM('R.M Billets Reports'!F199),IF(ISNUMBER(SEARCH("Party Name-",'R.M Billets Reports'!D199)),TRIM(MID('R.M Billets Reports'!D199,SEARCH("-",'R.M Billets Reports'!D199)+1,200)),""))&lt;&gt;"",IF(ISNUMBER(SEARCH("Party Name:-",'R.M Billets Reports'!D199)),TRIM('R.M Billets Reports'!F199),IF(ISNUMBER(SEARCH("Party Name-",'R.M Billets Reports'!D199)),TRIM(MID('R.M Billets Reports'!D199,SEARCH("-",'R.M Billets Reports'!D199)+1,200)),"")),IF(ISNUMBER(SEARCH("Party Name:-",'R.M Billets Reports'!D200)),TRIM('R.M Billets Reports'!F200),IF(ISNUMBER(SEARCH("Party Name-",'R.M Billets Reports'!D200)),TRIM(MID('R.M Billets Reports'!D200,SEARCH("-",'R.M Billets Reports'!D200)+1,200)),"")))))),IF(ROW()=2,"",A199))</f>
      </c>
      <c r="B200">
        <f>IF(OR('R.M Billets Reports'!A199="Date-",'R.M Billets Reports'!A199="Date:-"),'R.M Billets Reports'!B199,IF(ROW()=2,"",B199))</f>
      </c>
      <c r="C200">
        <f>IF('R.M Billets Reports'!A199="V.No.",'R.M Billets Reports'!B199,IF(ROW()=2,"",C199))</f>
      </c>
      <c r="D200">
        <f>IF('R.M Billets Reports'!A199&lt;&gt;"",'R.M Billets Reports'!A199,IF(ROW()=2,"",D199))</f>
      </c>
      <c r="E200">
        <f>IF('R.M Billets Reports'!B199="","",TRIM('R.M Billets Reports'!B199))</f>
      </c>
      <c r="F200">
        <f>'R.M Billets Reports'!C199</f>
      </c>
      <c r="G200">
        <f>'R.M Billets Reports'!D199</f>
      </c>
      <c r="H200">
        <f>'R.M Billets Reports'!E199</f>
      </c>
      <c r="I200">
        <f>'R.M Billets Reports'!F199</f>
      </c>
      <c r="J200">
        <f>'R.M Billets Reports'!G199</f>
      </c>
      <c r="K200">
        <f>'R.M Billets Reports'!H199</f>
      </c>
      <c r="L200">
        <f>IF('R.M Billets Reports'!I199="","",'R.M Billets Reports'!I199)</f>
      </c>
      <c r="M200">
        <f t="shared" si="6"/>
      </c>
      <c r="N200">
        <f>IF('R.M Billets Reports'!J199="","",'R.M Billets Reports'!J199)</f>
      </c>
      <c r="O200">
        <f t="shared" si="7"/>
      </c>
      <c r="P200">
        <f>IF('R.M Billets Reports'!A199="SIZE",'R.M Billets Reports'!B199,P199)</f>
      </c>
    </row>
    <row r="201" spans="1:16" x14ac:dyDescent="0.25">
      <c r="A201">
        <f>IF(OR('R.M Billets Reports'!A200="Date-",'R.M Billets Reports'!A200="Date:-"),IF(IF(IF(ISNUMBER(SEARCH("Party Name:-",'R.M Billets Reports'!D200)),TRIM('R.M Billets Reports'!F200),IF(ISNUMBER(SEARCH("Party Name-",'R.M Billets Reports'!D200)),TRIM(MID('R.M Billets Reports'!D200,SEARCH("-",'R.M Billets Reports'!D200)+1,200)),""))&lt;&gt;"",IF(ISNUMBER(SEARCH("Party Name:-",'R.M Billets Reports'!D200)),TRIM('R.M Billets Reports'!F200),IF(ISNUMBER(SEARCH("Party Name-",'R.M Billets Reports'!D200)),TRIM(MID('R.M Billets Reports'!D200,SEARCH("-",'R.M Billets Reports'!D200)+1,200)),"")),IF(ISNUMBER(SEARCH("Party Name:-",'R.M Billets Reports'!D201)),TRIM('R.M Billets Reports'!F201),IF(ISNUMBER(SEARCH("Party Name-",'R.M Billets Reports'!D201)),TRIM(MID('R.M Billets Reports'!D201,SEARCH("-",'R.M Billets Reports'!D201)+1,200)),"")))="VRKP ISPAT PVT LTD","VRKP",IF(IF(IF(ISNUMBER(SEARCH("Party Name:-",'R.M Billets Reports'!D200)),TRIM('R.M Billets Reports'!F200),IF(ISNUMBER(SEARCH("Party Name-",'R.M Billets Reports'!D200)),TRIM(MID('R.M Billets Reports'!D200,SEARCH("-",'R.M Billets Reports'!D200)+1,200)),""))&lt;&gt;"",IF(ISNUMBER(SEARCH("Party Name:-",'R.M Billets Reports'!D200)),TRIM('R.M Billets Reports'!F200),IF(ISNUMBER(SEARCH("Party Name-",'R.M Billets Reports'!D200)),TRIM(MID('R.M Billets Reports'!D200,SEARCH("-",'R.M Billets Reports'!D200)+1,200)),"")),IF(ISNUMBER(SEARCH("Party Name:-",'R.M Billets Reports'!D201)),TRIM('R.M Billets Reports'!F201),IF(ISNUMBER(SEARCH("Party Name-",'R.M Billets Reports'!D201)),TRIM(MID('R.M Billets Reports'!D201,SEARCH("-",'R.M Billets Reports'!D201)+1,200)),"")))="SHRI RADHE","SHREE RADHE",IF(IF(IF(ISNUMBER(SEARCH("Party Name:-",'R.M Billets Reports'!D200)),TRIM('R.M Billets Reports'!F200),IF(ISNUMBER(SEARCH("Party Name-",'R.M Billets Reports'!D200)),TRIM(MID('R.M Billets Reports'!D200,SEARCH("-",'R.M Billets Reports'!D200)+1,200)),""))&lt;&gt;"",IF(ISNUMBER(SEARCH("Party Name:-",'R.M Billets Reports'!D200)),TRIM('R.M Billets Reports'!F200),IF(ISNUMBER(SEARCH("Party Name-",'R.M Billets Reports'!D200)),TRIM(MID('R.M Billets Reports'!D200,SEARCH("-",'R.M Billets Reports'!D200)+1,200)),"")),IF(ISNUMBER(SEARCH("Party Name:-",'R.M Billets Reports'!D201)),TRIM('R.M Billets Reports'!F201),IF(ISNUMBER(SEARCH("Party Name-",'R.M Billets Reports'!D201)),TRIM(MID('R.M Billets Reports'!D201,SEARCH("-",'R.M Billets Reports'!D201)+1,200)),"")))="SHREE RADHE SHAKTI SPONGE AND POWER PVT. LTD.","SHREE RADHE",IF(IF(ISNUMBER(SEARCH("Party Name:-",'R.M Billets Reports'!D200)),TRIM('R.M Billets Reports'!F200),IF(ISNUMBER(SEARCH("Party Name-",'R.M Billets Reports'!D200)),TRIM(MID('R.M Billets Reports'!D200,SEARCH("-",'R.M Billets Reports'!D200)+1,200)),""))&lt;&gt;"",IF(ISNUMBER(SEARCH("Party Name:-",'R.M Billets Reports'!D200)),TRIM('R.M Billets Reports'!F200),IF(ISNUMBER(SEARCH("Party Name-",'R.M Billets Reports'!D200)),TRIM(MID('R.M Billets Reports'!D200,SEARCH("-",'R.M Billets Reports'!D200)+1,200)),"")),IF(ISNUMBER(SEARCH("Party Name:-",'R.M Billets Reports'!D201)),TRIM('R.M Billets Reports'!F201),IF(ISNUMBER(SEARCH("Party Name-",'R.M Billets Reports'!D201)),TRIM(MID('R.M Billets Reports'!D201,SEARCH("-",'R.M Billets Reports'!D201)+1,200)),"")))))),IF(ROW()=2,"",A200))</f>
      </c>
      <c r="B201">
        <f>IF(OR('R.M Billets Reports'!A200="Date-",'R.M Billets Reports'!A200="Date:-"),'R.M Billets Reports'!B200,IF(ROW()=2,"",B200))</f>
      </c>
      <c r="C201">
        <f>IF('R.M Billets Reports'!A200="V.No.",'R.M Billets Reports'!B200,IF(ROW()=2,"",C200))</f>
      </c>
      <c r="D201">
        <f>IF('R.M Billets Reports'!A200&lt;&gt;"",'R.M Billets Reports'!A200,IF(ROW()=2,"",D200))</f>
      </c>
      <c r="E201">
        <f>IF('R.M Billets Reports'!B200="","",TRIM('R.M Billets Reports'!B200))</f>
      </c>
      <c r="F201">
        <f>'R.M Billets Reports'!C200</f>
      </c>
      <c r="G201">
        <f>'R.M Billets Reports'!D200</f>
      </c>
      <c r="H201">
        <f>'R.M Billets Reports'!E200</f>
      </c>
      <c r="I201">
        <f>'R.M Billets Reports'!F200</f>
      </c>
      <c r="J201">
        <f>'R.M Billets Reports'!G200</f>
      </c>
      <c r="K201">
        <f>'R.M Billets Reports'!H200</f>
      </c>
      <c r="L201">
        <f>IF('R.M Billets Reports'!I200="","",'R.M Billets Reports'!I200)</f>
      </c>
      <c r="M201">
        <f t="shared" si="6"/>
      </c>
      <c r="N201">
        <f>IF('R.M Billets Reports'!J200="","",'R.M Billets Reports'!J200)</f>
      </c>
      <c r="O201">
        <f t="shared" si="7"/>
      </c>
      <c r="P201">
        <f>IF('R.M Billets Reports'!A200="SIZE",'R.M Billets Reports'!B200,P200)</f>
      </c>
    </row>
    <row r="202" spans="1:16" x14ac:dyDescent="0.25">
      <c r="A202">
        <f>IF(OR('R.M Billets Reports'!A201="Date-",'R.M Billets Reports'!A201="Date:-"),IF(IF(IF(ISNUMBER(SEARCH("Party Name:-",'R.M Billets Reports'!D201)),TRIM('R.M Billets Reports'!F201),IF(ISNUMBER(SEARCH("Party Name-",'R.M Billets Reports'!D201)),TRIM(MID('R.M Billets Reports'!D201,SEARCH("-",'R.M Billets Reports'!D201)+1,200)),""))&lt;&gt;"",IF(ISNUMBER(SEARCH("Party Name:-",'R.M Billets Reports'!D201)),TRIM('R.M Billets Reports'!F201),IF(ISNUMBER(SEARCH("Party Name-",'R.M Billets Reports'!D201)),TRIM(MID('R.M Billets Reports'!D201,SEARCH("-",'R.M Billets Reports'!D201)+1,200)),"")),IF(ISNUMBER(SEARCH("Party Name:-",'R.M Billets Reports'!D202)),TRIM('R.M Billets Reports'!F202),IF(ISNUMBER(SEARCH("Party Name-",'R.M Billets Reports'!D202)),TRIM(MID('R.M Billets Reports'!D202,SEARCH("-",'R.M Billets Reports'!D202)+1,200)),"")))="VRKP ISPAT PVT LTD","VRKP",IF(IF(IF(ISNUMBER(SEARCH("Party Name:-",'R.M Billets Reports'!D201)),TRIM('R.M Billets Reports'!F201),IF(ISNUMBER(SEARCH("Party Name-",'R.M Billets Reports'!D201)),TRIM(MID('R.M Billets Reports'!D201,SEARCH("-",'R.M Billets Reports'!D201)+1,200)),""))&lt;&gt;"",IF(ISNUMBER(SEARCH("Party Name:-",'R.M Billets Reports'!D201)),TRIM('R.M Billets Reports'!F201),IF(ISNUMBER(SEARCH("Party Name-",'R.M Billets Reports'!D201)),TRIM(MID('R.M Billets Reports'!D201,SEARCH("-",'R.M Billets Reports'!D201)+1,200)),"")),IF(ISNUMBER(SEARCH("Party Name:-",'R.M Billets Reports'!D202)),TRIM('R.M Billets Reports'!F202),IF(ISNUMBER(SEARCH("Party Name-",'R.M Billets Reports'!D202)),TRIM(MID('R.M Billets Reports'!D202,SEARCH("-",'R.M Billets Reports'!D202)+1,200)),"")))="SHRI RADHE","SHREE RADHE",IF(IF(IF(ISNUMBER(SEARCH("Party Name:-",'R.M Billets Reports'!D201)),TRIM('R.M Billets Reports'!F201),IF(ISNUMBER(SEARCH("Party Name-",'R.M Billets Reports'!D201)),TRIM(MID('R.M Billets Reports'!D201,SEARCH("-",'R.M Billets Reports'!D201)+1,200)),""))&lt;&gt;"",IF(ISNUMBER(SEARCH("Party Name:-",'R.M Billets Reports'!D201)),TRIM('R.M Billets Reports'!F201),IF(ISNUMBER(SEARCH("Party Name-",'R.M Billets Reports'!D201)),TRIM(MID('R.M Billets Reports'!D201,SEARCH("-",'R.M Billets Reports'!D201)+1,200)),"")),IF(ISNUMBER(SEARCH("Party Name:-",'R.M Billets Reports'!D202)),TRIM('R.M Billets Reports'!F202),IF(ISNUMBER(SEARCH("Party Name-",'R.M Billets Reports'!D202)),TRIM(MID('R.M Billets Reports'!D202,SEARCH("-",'R.M Billets Reports'!D202)+1,200)),"")))="SHREE RADHE SHAKTI SPONGE AND POWER PVT. LTD.","SHREE RADHE",IF(IF(ISNUMBER(SEARCH("Party Name:-",'R.M Billets Reports'!D201)),TRIM('R.M Billets Reports'!F201),IF(ISNUMBER(SEARCH("Party Name-",'R.M Billets Reports'!D201)),TRIM(MID('R.M Billets Reports'!D201,SEARCH("-",'R.M Billets Reports'!D201)+1,200)),""))&lt;&gt;"",IF(ISNUMBER(SEARCH("Party Name:-",'R.M Billets Reports'!D201)),TRIM('R.M Billets Reports'!F201),IF(ISNUMBER(SEARCH("Party Name-",'R.M Billets Reports'!D201)),TRIM(MID('R.M Billets Reports'!D201,SEARCH("-",'R.M Billets Reports'!D201)+1,200)),"")),IF(ISNUMBER(SEARCH("Party Name:-",'R.M Billets Reports'!D202)),TRIM('R.M Billets Reports'!F202),IF(ISNUMBER(SEARCH("Party Name-",'R.M Billets Reports'!D202)),TRIM(MID('R.M Billets Reports'!D202,SEARCH("-",'R.M Billets Reports'!D202)+1,200)),"")))))),IF(ROW()=2,"",A201))</f>
      </c>
      <c r="B202">
        <f>IF(OR('R.M Billets Reports'!A201="Date-",'R.M Billets Reports'!A201="Date:-"),'R.M Billets Reports'!B201,IF(ROW()=2,"",B201))</f>
      </c>
      <c r="C202">
        <f>IF('R.M Billets Reports'!A201="V.No.",'R.M Billets Reports'!B201,IF(ROW()=2,"",C201))</f>
      </c>
      <c r="D202">
        <f>IF('R.M Billets Reports'!A201&lt;&gt;"",'R.M Billets Reports'!A201,IF(ROW()=2,"",D201))</f>
      </c>
      <c r="E202">
        <f>IF('R.M Billets Reports'!B201="","",TRIM('R.M Billets Reports'!B201))</f>
      </c>
      <c r="F202">
        <f>'R.M Billets Reports'!C201</f>
      </c>
      <c r="G202">
        <f>'R.M Billets Reports'!D201</f>
      </c>
      <c r="H202">
        <f>'R.M Billets Reports'!E201</f>
      </c>
      <c r="I202">
        <f>'R.M Billets Reports'!F201</f>
      </c>
      <c r="J202">
        <f>'R.M Billets Reports'!G201</f>
      </c>
      <c r="K202">
        <f>'R.M Billets Reports'!H201</f>
      </c>
      <c r="L202">
        <f>IF('R.M Billets Reports'!I201="","",'R.M Billets Reports'!I201)</f>
      </c>
      <c r="M202">
        <f t="shared" si="6"/>
      </c>
      <c r="N202">
        <f>IF('R.M Billets Reports'!J201="","",'R.M Billets Reports'!J201)</f>
      </c>
      <c r="O202">
        <f t="shared" si="7"/>
      </c>
      <c r="P202">
        <f>IF('R.M Billets Reports'!A201="SIZE",'R.M Billets Reports'!B201,P201)</f>
      </c>
    </row>
    <row r="203" spans="1:16" x14ac:dyDescent="0.25">
      <c r="A203">
        <f>IF(OR('R.M Billets Reports'!A202="Date-",'R.M Billets Reports'!A202="Date:-"),IF(IF(IF(ISNUMBER(SEARCH("Party Name:-",'R.M Billets Reports'!D202)),TRIM('R.M Billets Reports'!F202),IF(ISNUMBER(SEARCH("Party Name-",'R.M Billets Reports'!D202)),TRIM(MID('R.M Billets Reports'!D202,SEARCH("-",'R.M Billets Reports'!D202)+1,200)),""))&lt;&gt;"",IF(ISNUMBER(SEARCH("Party Name:-",'R.M Billets Reports'!D202)),TRIM('R.M Billets Reports'!F202),IF(ISNUMBER(SEARCH("Party Name-",'R.M Billets Reports'!D202)),TRIM(MID('R.M Billets Reports'!D202,SEARCH("-",'R.M Billets Reports'!D202)+1,200)),"")),IF(ISNUMBER(SEARCH("Party Name:-",'R.M Billets Reports'!D203)),TRIM('R.M Billets Reports'!F203),IF(ISNUMBER(SEARCH("Party Name-",'R.M Billets Reports'!D203)),TRIM(MID('R.M Billets Reports'!D203,SEARCH("-",'R.M Billets Reports'!D203)+1,200)),"")))="VRKP ISPAT PVT LTD","VRKP",IF(IF(IF(ISNUMBER(SEARCH("Party Name:-",'R.M Billets Reports'!D202)),TRIM('R.M Billets Reports'!F202),IF(ISNUMBER(SEARCH("Party Name-",'R.M Billets Reports'!D202)),TRIM(MID('R.M Billets Reports'!D202,SEARCH("-",'R.M Billets Reports'!D202)+1,200)),""))&lt;&gt;"",IF(ISNUMBER(SEARCH("Party Name:-",'R.M Billets Reports'!D202)),TRIM('R.M Billets Reports'!F202),IF(ISNUMBER(SEARCH("Party Name-",'R.M Billets Reports'!D202)),TRIM(MID('R.M Billets Reports'!D202,SEARCH("-",'R.M Billets Reports'!D202)+1,200)),"")),IF(ISNUMBER(SEARCH("Party Name:-",'R.M Billets Reports'!D203)),TRIM('R.M Billets Reports'!F203),IF(ISNUMBER(SEARCH("Party Name-",'R.M Billets Reports'!D203)),TRIM(MID('R.M Billets Reports'!D203,SEARCH("-",'R.M Billets Reports'!D203)+1,200)),"")))="SHRI RADHE","SHREE RADHE",IF(IF(IF(ISNUMBER(SEARCH("Party Name:-",'R.M Billets Reports'!D202)),TRIM('R.M Billets Reports'!F202),IF(ISNUMBER(SEARCH("Party Name-",'R.M Billets Reports'!D202)),TRIM(MID('R.M Billets Reports'!D202,SEARCH("-",'R.M Billets Reports'!D202)+1,200)),""))&lt;&gt;"",IF(ISNUMBER(SEARCH("Party Name:-",'R.M Billets Reports'!D202)),TRIM('R.M Billets Reports'!F202),IF(ISNUMBER(SEARCH("Party Name-",'R.M Billets Reports'!D202)),TRIM(MID('R.M Billets Reports'!D202,SEARCH("-",'R.M Billets Reports'!D202)+1,200)),"")),IF(ISNUMBER(SEARCH("Party Name:-",'R.M Billets Reports'!D203)),TRIM('R.M Billets Reports'!F203),IF(ISNUMBER(SEARCH("Party Name-",'R.M Billets Reports'!D203)),TRIM(MID('R.M Billets Reports'!D203,SEARCH("-",'R.M Billets Reports'!D203)+1,200)),"")))="SHREE RADHE SHAKTI SPONGE AND POWER PVT. LTD.","SHREE RADHE",IF(IF(ISNUMBER(SEARCH("Party Name:-",'R.M Billets Reports'!D202)),TRIM('R.M Billets Reports'!F202),IF(ISNUMBER(SEARCH("Party Name-",'R.M Billets Reports'!D202)),TRIM(MID('R.M Billets Reports'!D202,SEARCH("-",'R.M Billets Reports'!D202)+1,200)),""))&lt;&gt;"",IF(ISNUMBER(SEARCH("Party Name:-",'R.M Billets Reports'!D202)),TRIM('R.M Billets Reports'!F202),IF(ISNUMBER(SEARCH("Party Name-",'R.M Billets Reports'!D202)),TRIM(MID('R.M Billets Reports'!D202,SEARCH("-",'R.M Billets Reports'!D202)+1,200)),"")),IF(ISNUMBER(SEARCH("Party Name:-",'R.M Billets Reports'!D203)),TRIM('R.M Billets Reports'!F203),IF(ISNUMBER(SEARCH("Party Name-",'R.M Billets Reports'!D203)),TRIM(MID('R.M Billets Reports'!D203,SEARCH("-",'R.M Billets Reports'!D203)+1,200)),"")))))),IF(ROW()=2,"",A202))</f>
      </c>
      <c r="B203">
        <f>IF(OR('R.M Billets Reports'!A202="Date-",'R.M Billets Reports'!A202="Date:-"),'R.M Billets Reports'!B202,IF(ROW()=2,"",B202))</f>
      </c>
      <c r="C203">
        <f>IF('R.M Billets Reports'!A202="V.No.",'R.M Billets Reports'!B202,IF(ROW()=2,"",C202))</f>
      </c>
      <c r="D203">
        <f>IF('R.M Billets Reports'!A202&lt;&gt;"",'R.M Billets Reports'!A202,IF(ROW()=2,"",D202))</f>
      </c>
      <c r="E203">
        <f>IF('R.M Billets Reports'!B202="","",TRIM('R.M Billets Reports'!B202))</f>
      </c>
      <c r="F203">
        <f>'R.M Billets Reports'!C202</f>
      </c>
      <c r="G203">
        <f>'R.M Billets Reports'!D202</f>
      </c>
      <c r="H203">
        <f>'R.M Billets Reports'!E202</f>
      </c>
      <c r="I203">
        <f>'R.M Billets Reports'!F202</f>
      </c>
      <c r="J203">
        <f>'R.M Billets Reports'!G202</f>
      </c>
      <c r="K203">
        <f>'R.M Billets Reports'!H202</f>
      </c>
      <c r="L203">
        <f>IF('R.M Billets Reports'!I202="","",'R.M Billets Reports'!I202)</f>
      </c>
      <c r="M203">
        <f t="shared" si="6"/>
      </c>
      <c r="N203">
        <f>IF('R.M Billets Reports'!J202="","",'R.M Billets Reports'!J202)</f>
      </c>
      <c r="O203">
        <f t="shared" si="7"/>
      </c>
      <c r="P203">
        <f>IF('R.M Billets Reports'!A202="SIZE",'R.M Billets Reports'!B202,P202)</f>
      </c>
    </row>
    <row r="204" spans="1:16" x14ac:dyDescent="0.25">
      <c r="A204">
        <f>IF(OR('R.M Billets Reports'!A203="Date-",'R.M Billets Reports'!A203="Date:-"),IF(IF(IF(ISNUMBER(SEARCH("Party Name:-",'R.M Billets Reports'!D203)),TRIM('R.M Billets Reports'!F203),IF(ISNUMBER(SEARCH("Party Name-",'R.M Billets Reports'!D203)),TRIM(MID('R.M Billets Reports'!D203,SEARCH("-",'R.M Billets Reports'!D203)+1,200)),""))&lt;&gt;"",IF(ISNUMBER(SEARCH("Party Name:-",'R.M Billets Reports'!D203)),TRIM('R.M Billets Reports'!F203),IF(ISNUMBER(SEARCH("Party Name-",'R.M Billets Reports'!D203)),TRIM(MID('R.M Billets Reports'!D203,SEARCH("-",'R.M Billets Reports'!D203)+1,200)),"")),IF(ISNUMBER(SEARCH("Party Name:-",'R.M Billets Reports'!D204)),TRIM('R.M Billets Reports'!F204),IF(ISNUMBER(SEARCH("Party Name-",'R.M Billets Reports'!D204)),TRIM(MID('R.M Billets Reports'!D204,SEARCH("-",'R.M Billets Reports'!D204)+1,200)),"")))="VRKP ISPAT PVT LTD","VRKP",IF(IF(IF(ISNUMBER(SEARCH("Party Name:-",'R.M Billets Reports'!D203)),TRIM('R.M Billets Reports'!F203),IF(ISNUMBER(SEARCH("Party Name-",'R.M Billets Reports'!D203)),TRIM(MID('R.M Billets Reports'!D203,SEARCH("-",'R.M Billets Reports'!D203)+1,200)),""))&lt;&gt;"",IF(ISNUMBER(SEARCH("Party Name:-",'R.M Billets Reports'!D203)),TRIM('R.M Billets Reports'!F203),IF(ISNUMBER(SEARCH("Party Name-",'R.M Billets Reports'!D203)),TRIM(MID('R.M Billets Reports'!D203,SEARCH("-",'R.M Billets Reports'!D203)+1,200)),"")),IF(ISNUMBER(SEARCH("Party Name:-",'R.M Billets Reports'!D204)),TRIM('R.M Billets Reports'!F204),IF(ISNUMBER(SEARCH("Party Name-",'R.M Billets Reports'!D204)),TRIM(MID('R.M Billets Reports'!D204,SEARCH("-",'R.M Billets Reports'!D204)+1,200)),"")))="SHRI RADHE","SHREE RADHE",IF(IF(IF(ISNUMBER(SEARCH("Party Name:-",'R.M Billets Reports'!D203)),TRIM('R.M Billets Reports'!F203),IF(ISNUMBER(SEARCH("Party Name-",'R.M Billets Reports'!D203)),TRIM(MID('R.M Billets Reports'!D203,SEARCH("-",'R.M Billets Reports'!D203)+1,200)),""))&lt;&gt;"",IF(ISNUMBER(SEARCH("Party Name:-",'R.M Billets Reports'!D203)),TRIM('R.M Billets Reports'!F203),IF(ISNUMBER(SEARCH("Party Name-",'R.M Billets Reports'!D203)),TRIM(MID('R.M Billets Reports'!D203,SEARCH("-",'R.M Billets Reports'!D203)+1,200)),"")),IF(ISNUMBER(SEARCH("Party Name:-",'R.M Billets Reports'!D204)),TRIM('R.M Billets Reports'!F204),IF(ISNUMBER(SEARCH("Party Name-",'R.M Billets Reports'!D204)),TRIM(MID('R.M Billets Reports'!D204,SEARCH("-",'R.M Billets Reports'!D204)+1,200)),"")))="SHREE RADHE SHAKTI SPONGE AND POWER PVT. LTD.","SHREE RADHE",IF(IF(ISNUMBER(SEARCH("Party Name:-",'R.M Billets Reports'!D203)),TRIM('R.M Billets Reports'!F203),IF(ISNUMBER(SEARCH("Party Name-",'R.M Billets Reports'!D203)),TRIM(MID('R.M Billets Reports'!D203,SEARCH("-",'R.M Billets Reports'!D203)+1,200)),""))&lt;&gt;"",IF(ISNUMBER(SEARCH("Party Name:-",'R.M Billets Reports'!D203)),TRIM('R.M Billets Reports'!F203),IF(ISNUMBER(SEARCH("Party Name-",'R.M Billets Reports'!D203)),TRIM(MID('R.M Billets Reports'!D203,SEARCH("-",'R.M Billets Reports'!D203)+1,200)),"")),IF(ISNUMBER(SEARCH("Party Name:-",'R.M Billets Reports'!D204)),TRIM('R.M Billets Reports'!F204),IF(ISNUMBER(SEARCH("Party Name-",'R.M Billets Reports'!D204)),TRIM(MID('R.M Billets Reports'!D204,SEARCH("-",'R.M Billets Reports'!D204)+1,200)),"")))))),IF(ROW()=2,"",A203))</f>
      </c>
      <c r="B204">
        <f>IF(OR('R.M Billets Reports'!A203="Date-",'R.M Billets Reports'!A203="Date:-"),'R.M Billets Reports'!B203,IF(ROW()=2,"",B203))</f>
      </c>
      <c r="C204">
        <f>IF('R.M Billets Reports'!A203="V.No.",'R.M Billets Reports'!B203,IF(ROW()=2,"",C203))</f>
      </c>
      <c r="D204">
        <f>IF('R.M Billets Reports'!A203&lt;&gt;"",'R.M Billets Reports'!A203,IF(ROW()=2,"",D203))</f>
      </c>
      <c r="E204">
        <f>IF('R.M Billets Reports'!B203="","",TRIM('R.M Billets Reports'!B203))</f>
      </c>
      <c r="F204">
        <f>'R.M Billets Reports'!C203</f>
      </c>
      <c r="G204">
        <f>'R.M Billets Reports'!D203</f>
      </c>
      <c r="H204">
        <f>'R.M Billets Reports'!E203</f>
      </c>
      <c r="I204">
        <f>'R.M Billets Reports'!F203</f>
      </c>
      <c r="J204">
        <f>'R.M Billets Reports'!G203</f>
      </c>
      <c r="K204">
        <f>'R.M Billets Reports'!H203</f>
      </c>
      <c r="L204">
        <f>IF('R.M Billets Reports'!I203="","",'R.M Billets Reports'!I203)</f>
      </c>
      <c r="M204">
        <f t="shared" si="6"/>
      </c>
      <c r="N204">
        <f>IF('R.M Billets Reports'!J203="","",'R.M Billets Reports'!J203)</f>
      </c>
      <c r="O204">
        <f t="shared" si="7"/>
      </c>
      <c r="P204">
        <f>IF('R.M Billets Reports'!A203="SIZE",'R.M Billets Reports'!B203,P203)</f>
      </c>
    </row>
    <row r="205" spans="1:16" x14ac:dyDescent="0.25">
      <c r="A205">
        <f>IF(OR('R.M Billets Reports'!A204="Date-",'R.M Billets Reports'!A204="Date:-"),IF(IF(IF(ISNUMBER(SEARCH("Party Name:-",'R.M Billets Reports'!D204)),TRIM('R.M Billets Reports'!F204),IF(ISNUMBER(SEARCH("Party Name-",'R.M Billets Reports'!D204)),TRIM(MID('R.M Billets Reports'!D204,SEARCH("-",'R.M Billets Reports'!D204)+1,200)),""))&lt;&gt;"",IF(ISNUMBER(SEARCH("Party Name:-",'R.M Billets Reports'!D204)),TRIM('R.M Billets Reports'!F204),IF(ISNUMBER(SEARCH("Party Name-",'R.M Billets Reports'!D204)),TRIM(MID('R.M Billets Reports'!D204,SEARCH("-",'R.M Billets Reports'!D204)+1,200)),"")),IF(ISNUMBER(SEARCH("Party Name:-",'R.M Billets Reports'!D205)),TRIM('R.M Billets Reports'!F205),IF(ISNUMBER(SEARCH("Party Name-",'R.M Billets Reports'!D205)),TRIM(MID('R.M Billets Reports'!D205,SEARCH("-",'R.M Billets Reports'!D205)+1,200)),"")))="VRKP ISPAT PVT LTD","VRKP",IF(IF(IF(ISNUMBER(SEARCH("Party Name:-",'R.M Billets Reports'!D204)),TRIM('R.M Billets Reports'!F204),IF(ISNUMBER(SEARCH("Party Name-",'R.M Billets Reports'!D204)),TRIM(MID('R.M Billets Reports'!D204,SEARCH("-",'R.M Billets Reports'!D204)+1,200)),""))&lt;&gt;"",IF(ISNUMBER(SEARCH("Party Name:-",'R.M Billets Reports'!D204)),TRIM('R.M Billets Reports'!F204),IF(ISNUMBER(SEARCH("Party Name-",'R.M Billets Reports'!D204)),TRIM(MID('R.M Billets Reports'!D204,SEARCH("-",'R.M Billets Reports'!D204)+1,200)),"")),IF(ISNUMBER(SEARCH("Party Name:-",'R.M Billets Reports'!D205)),TRIM('R.M Billets Reports'!F205),IF(ISNUMBER(SEARCH("Party Name-",'R.M Billets Reports'!D205)),TRIM(MID('R.M Billets Reports'!D205,SEARCH("-",'R.M Billets Reports'!D205)+1,200)),"")))="SHRI RADHE","SHREE RADHE",IF(IF(IF(ISNUMBER(SEARCH("Party Name:-",'R.M Billets Reports'!D204)),TRIM('R.M Billets Reports'!F204),IF(ISNUMBER(SEARCH("Party Name-",'R.M Billets Reports'!D204)),TRIM(MID('R.M Billets Reports'!D204,SEARCH("-",'R.M Billets Reports'!D204)+1,200)),""))&lt;&gt;"",IF(ISNUMBER(SEARCH("Party Name:-",'R.M Billets Reports'!D204)),TRIM('R.M Billets Reports'!F204),IF(ISNUMBER(SEARCH("Party Name-",'R.M Billets Reports'!D204)),TRIM(MID('R.M Billets Reports'!D204,SEARCH("-",'R.M Billets Reports'!D204)+1,200)),"")),IF(ISNUMBER(SEARCH("Party Name:-",'R.M Billets Reports'!D205)),TRIM('R.M Billets Reports'!F205),IF(ISNUMBER(SEARCH("Party Name-",'R.M Billets Reports'!D205)),TRIM(MID('R.M Billets Reports'!D205,SEARCH("-",'R.M Billets Reports'!D205)+1,200)),"")))="SHREE RADHE SHAKTI SPONGE AND POWER PVT. LTD.","SHREE RADHE",IF(IF(ISNUMBER(SEARCH("Party Name:-",'R.M Billets Reports'!D204)),TRIM('R.M Billets Reports'!F204),IF(ISNUMBER(SEARCH("Party Name-",'R.M Billets Reports'!D204)),TRIM(MID('R.M Billets Reports'!D204,SEARCH("-",'R.M Billets Reports'!D204)+1,200)),""))&lt;&gt;"",IF(ISNUMBER(SEARCH("Party Name:-",'R.M Billets Reports'!D204)),TRIM('R.M Billets Reports'!F204),IF(ISNUMBER(SEARCH("Party Name-",'R.M Billets Reports'!D204)),TRIM(MID('R.M Billets Reports'!D204,SEARCH("-",'R.M Billets Reports'!D204)+1,200)),"")),IF(ISNUMBER(SEARCH("Party Name:-",'R.M Billets Reports'!D205)),TRIM('R.M Billets Reports'!F205),IF(ISNUMBER(SEARCH("Party Name-",'R.M Billets Reports'!D205)),TRIM(MID('R.M Billets Reports'!D205,SEARCH("-",'R.M Billets Reports'!D205)+1,200)),"")))))),IF(ROW()=2,"",A204))</f>
      </c>
      <c r="B205">
        <f>IF(OR('R.M Billets Reports'!A204="Date-",'R.M Billets Reports'!A204="Date:-"),'R.M Billets Reports'!B204,IF(ROW()=2,"",B204))</f>
      </c>
      <c r="C205">
        <f>IF('R.M Billets Reports'!A204="V.No.",'R.M Billets Reports'!B204,IF(ROW()=2,"",C204))</f>
      </c>
      <c r="D205">
        <f>IF('R.M Billets Reports'!A204&lt;&gt;"",'R.M Billets Reports'!A204,IF(ROW()=2,"",D204))</f>
      </c>
      <c r="E205">
        <f>IF('R.M Billets Reports'!B204="","",TRIM('R.M Billets Reports'!B204))</f>
      </c>
      <c r="F205">
        <f>'R.M Billets Reports'!C204</f>
      </c>
      <c r="G205">
        <f>'R.M Billets Reports'!D204</f>
      </c>
      <c r="H205">
        <f>'R.M Billets Reports'!E204</f>
      </c>
      <c r="I205">
        <f>'R.M Billets Reports'!F204</f>
      </c>
      <c r="J205">
        <f>'R.M Billets Reports'!G204</f>
      </c>
      <c r="K205">
        <f>'R.M Billets Reports'!H204</f>
      </c>
      <c r="L205">
        <f>IF('R.M Billets Reports'!I204="","",'R.M Billets Reports'!I204)</f>
      </c>
      <c r="M205">
        <f t="shared" si="6"/>
      </c>
      <c r="N205">
        <f>IF('R.M Billets Reports'!J204="","",'R.M Billets Reports'!J204)</f>
      </c>
      <c r="O205">
        <f t="shared" si="7"/>
      </c>
      <c r="P205">
        <f>IF('R.M Billets Reports'!A204="SIZE",'R.M Billets Reports'!B204,P204)</f>
      </c>
    </row>
    <row r="206" spans="1:16" x14ac:dyDescent="0.25">
      <c r="A206">
        <f>IF(OR('R.M Billets Reports'!A205="Date-",'R.M Billets Reports'!A205="Date:-"),IF(IF(IF(ISNUMBER(SEARCH("Party Name:-",'R.M Billets Reports'!D205)),TRIM('R.M Billets Reports'!F205),IF(ISNUMBER(SEARCH("Party Name-",'R.M Billets Reports'!D205)),TRIM(MID('R.M Billets Reports'!D205,SEARCH("-",'R.M Billets Reports'!D205)+1,200)),""))&lt;&gt;"",IF(ISNUMBER(SEARCH("Party Name:-",'R.M Billets Reports'!D205)),TRIM('R.M Billets Reports'!F205),IF(ISNUMBER(SEARCH("Party Name-",'R.M Billets Reports'!D205)),TRIM(MID('R.M Billets Reports'!D205,SEARCH("-",'R.M Billets Reports'!D205)+1,200)),"")),IF(ISNUMBER(SEARCH("Party Name:-",'R.M Billets Reports'!D206)),TRIM('R.M Billets Reports'!F206),IF(ISNUMBER(SEARCH("Party Name-",'R.M Billets Reports'!D206)),TRIM(MID('R.M Billets Reports'!D206,SEARCH("-",'R.M Billets Reports'!D206)+1,200)),"")))="VRKP ISPAT PVT LTD","VRKP",IF(IF(IF(ISNUMBER(SEARCH("Party Name:-",'R.M Billets Reports'!D205)),TRIM('R.M Billets Reports'!F205),IF(ISNUMBER(SEARCH("Party Name-",'R.M Billets Reports'!D205)),TRIM(MID('R.M Billets Reports'!D205,SEARCH("-",'R.M Billets Reports'!D205)+1,200)),""))&lt;&gt;"",IF(ISNUMBER(SEARCH("Party Name:-",'R.M Billets Reports'!D205)),TRIM('R.M Billets Reports'!F205),IF(ISNUMBER(SEARCH("Party Name-",'R.M Billets Reports'!D205)),TRIM(MID('R.M Billets Reports'!D205,SEARCH("-",'R.M Billets Reports'!D205)+1,200)),"")),IF(ISNUMBER(SEARCH("Party Name:-",'R.M Billets Reports'!D206)),TRIM('R.M Billets Reports'!F206),IF(ISNUMBER(SEARCH("Party Name-",'R.M Billets Reports'!D206)),TRIM(MID('R.M Billets Reports'!D206,SEARCH("-",'R.M Billets Reports'!D206)+1,200)),"")))="SHRI RADHE","SHREE RADHE",IF(IF(IF(ISNUMBER(SEARCH("Party Name:-",'R.M Billets Reports'!D205)),TRIM('R.M Billets Reports'!F205),IF(ISNUMBER(SEARCH("Party Name-",'R.M Billets Reports'!D205)),TRIM(MID('R.M Billets Reports'!D205,SEARCH("-",'R.M Billets Reports'!D205)+1,200)),""))&lt;&gt;"",IF(ISNUMBER(SEARCH("Party Name:-",'R.M Billets Reports'!D205)),TRIM('R.M Billets Reports'!F205),IF(ISNUMBER(SEARCH("Party Name-",'R.M Billets Reports'!D205)),TRIM(MID('R.M Billets Reports'!D205,SEARCH("-",'R.M Billets Reports'!D205)+1,200)),"")),IF(ISNUMBER(SEARCH("Party Name:-",'R.M Billets Reports'!D206)),TRIM('R.M Billets Reports'!F206),IF(ISNUMBER(SEARCH("Party Name-",'R.M Billets Reports'!D206)),TRIM(MID('R.M Billets Reports'!D206,SEARCH("-",'R.M Billets Reports'!D206)+1,200)),"")))="SHREE RADHE SHAKTI SPONGE AND POWER PVT. LTD.","SHREE RADHE",IF(IF(ISNUMBER(SEARCH("Party Name:-",'R.M Billets Reports'!D205)),TRIM('R.M Billets Reports'!F205),IF(ISNUMBER(SEARCH("Party Name-",'R.M Billets Reports'!D205)),TRIM(MID('R.M Billets Reports'!D205,SEARCH("-",'R.M Billets Reports'!D205)+1,200)),""))&lt;&gt;"",IF(ISNUMBER(SEARCH("Party Name:-",'R.M Billets Reports'!D205)),TRIM('R.M Billets Reports'!F205),IF(ISNUMBER(SEARCH("Party Name-",'R.M Billets Reports'!D205)),TRIM(MID('R.M Billets Reports'!D205,SEARCH("-",'R.M Billets Reports'!D205)+1,200)),"")),IF(ISNUMBER(SEARCH("Party Name:-",'R.M Billets Reports'!D206)),TRIM('R.M Billets Reports'!F206),IF(ISNUMBER(SEARCH("Party Name-",'R.M Billets Reports'!D206)),TRIM(MID('R.M Billets Reports'!D206,SEARCH("-",'R.M Billets Reports'!D206)+1,200)),"")))))),IF(ROW()=2,"",A205))</f>
      </c>
      <c r="B206">
        <f>IF(OR('R.M Billets Reports'!A205="Date-",'R.M Billets Reports'!A205="Date:-"),'R.M Billets Reports'!B205,IF(ROW()=2,"",B205))</f>
      </c>
      <c r="C206">
        <f>IF('R.M Billets Reports'!A205="V.No.",'R.M Billets Reports'!B205,IF(ROW()=2,"",C205))</f>
      </c>
      <c r="D206">
        <f>IF('R.M Billets Reports'!A205&lt;&gt;"",'R.M Billets Reports'!A205,IF(ROW()=2,"",D205))</f>
      </c>
      <c r="E206">
        <f>IF('R.M Billets Reports'!B205="","",TRIM('R.M Billets Reports'!B205))</f>
      </c>
      <c r="F206">
        <f>'R.M Billets Reports'!C205</f>
      </c>
      <c r="G206">
        <f>'R.M Billets Reports'!D205</f>
      </c>
      <c r="H206">
        <f>'R.M Billets Reports'!E205</f>
      </c>
      <c r="I206">
        <f>'R.M Billets Reports'!F205</f>
      </c>
      <c r="J206">
        <f>'R.M Billets Reports'!G205</f>
      </c>
      <c r="K206">
        <f>'R.M Billets Reports'!H205</f>
      </c>
      <c r="L206">
        <f>IF('R.M Billets Reports'!I205="","",'R.M Billets Reports'!I205)</f>
      </c>
      <c r="M206">
        <f t="shared" si="6"/>
      </c>
      <c r="N206">
        <f>IF('R.M Billets Reports'!J205="","",'R.M Billets Reports'!J205)</f>
      </c>
      <c r="O206">
        <f t="shared" si="7"/>
      </c>
      <c r="P206">
        <f>IF('R.M Billets Reports'!A205="SIZE",'R.M Billets Reports'!B205,P205)</f>
      </c>
    </row>
    <row r="207" spans="1:16" x14ac:dyDescent="0.25">
      <c r="A207">
        <f>IF(OR('R.M Billets Reports'!A206="Date-",'R.M Billets Reports'!A206="Date:-"),IF(IF(IF(ISNUMBER(SEARCH("Party Name:-",'R.M Billets Reports'!D206)),TRIM('R.M Billets Reports'!F206),IF(ISNUMBER(SEARCH("Party Name-",'R.M Billets Reports'!D206)),TRIM(MID('R.M Billets Reports'!D206,SEARCH("-",'R.M Billets Reports'!D206)+1,200)),""))&lt;&gt;"",IF(ISNUMBER(SEARCH("Party Name:-",'R.M Billets Reports'!D206)),TRIM('R.M Billets Reports'!F206),IF(ISNUMBER(SEARCH("Party Name-",'R.M Billets Reports'!D206)),TRIM(MID('R.M Billets Reports'!D206,SEARCH("-",'R.M Billets Reports'!D206)+1,200)),"")),IF(ISNUMBER(SEARCH("Party Name:-",'R.M Billets Reports'!D207)),TRIM('R.M Billets Reports'!F207),IF(ISNUMBER(SEARCH("Party Name-",'R.M Billets Reports'!D207)),TRIM(MID('R.M Billets Reports'!D207,SEARCH("-",'R.M Billets Reports'!D207)+1,200)),"")))="VRKP ISPAT PVT LTD","VRKP",IF(IF(IF(ISNUMBER(SEARCH("Party Name:-",'R.M Billets Reports'!D206)),TRIM('R.M Billets Reports'!F206),IF(ISNUMBER(SEARCH("Party Name-",'R.M Billets Reports'!D206)),TRIM(MID('R.M Billets Reports'!D206,SEARCH("-",'R.M Billets Reports'!D206)+1,200)),""))&lt;&gt;"",IF(ISNUMBER(SEARCH("Party Name:-",'R.M Billets Reports'!D206)),TRIM('R.M Billets Reports'!F206),IF(ISNUMBER(SEARCH("Party Name-",'R.M Billets Reports'!D206)),TRIM(MID('R.M Billets Reports'!D206,SEARCH("-",'R.M Billets Reports'!D206)+1,200)),"")),IF(ISNUMBER(SEARCH("Party Name:-",'R.M Billets Reports'!D207)),TRIM('R.M Billets Reports'!F207),IF(ISNUMBER(SEARCH("Party Name-",'R.M Billets Reports'!D207)),TRIM(MID('R.M Billets Reports'!D207,SEARCH("-",'R.M Billets Reports'!D207)+1,200)),"")))="SHRI RADHE","SHREE RADHE",IF(IF(IF(ISNUMBER(SEARCH("Party Name:-",'R.M Billets Reports'!D206)),TRIM('R.M Billets Reports'!F206),IF(ISNUMBER(SEARCH("Party Name-",'R.M Billets Reports'!D206)),TRIM(MID('R.M Billets Reports'!D206,SEARCH("-",'R.M Billets Reports'!D206)+1,200)),""))&lt;&gt;"",IF(ISNUMBER(SEARCH("Party Name:-",'R.M Billets Reports'!D206)),TRIM('R.M Billets Reports'!F206),IF(ISNUMBER(SEARCH("Party Name-",'R.M Billets Reports'!D206)),TRIM(MID('R.M Billets Reports'!D206,SEARCH("-",'R.M Billets Reports'!D206)+1,200)),"")),IF(ISNUMBER(SEARCH("Party Name:-",'R.M Billets Reports'!D207)),TRIM('R.M Billets Reports'!F207),IF(ISNUMBER(SEARCH("Party Name-",'R.M Billets Reports'!D207)),TRIM(MID('R.M Billets Reports'!D207,SEARCH("-",'R.M Billets Reports'!D207)+1,200)),"")))="SHREE RADHE SHAKTI SPONGE AND POWER PVT. LTD.","SHREE RADHE",IF(IF(ISNUMBER(SEARCH("Party Name:-",'R.M Billets Reports'!D206)),TRIM('R.M Billets Reports'!F206),IF(ISNUMBER(SEARCH("Party Name-",'R.M Billets Reports'!D206)),TRIM(MID('R.M Billets Reports'!D206,SEARCH("-",'R.M Billets Reports'!D206)+1,200)),""))&lt;&gt;"",IF(ISNUMBER(SEARCH("Party Name:-",'R.M Billets Reports'!D206)),TRIM('R.M Billets Reports'!F206),IF(ISNUMBER(SEARCH("Party Name-",'R.M Billets Reports'!D206)),TRIM(MID('R.M Billets Reports'!D206,SEARCH("-",'R.M Billets Reports'!D206)+1,200)),"")),IF(ISNUMBER(SEARCH("Party Name:-",'R.M Billets Reports'!D207)),TRIM('R.M Billets Reports'!F207),IF(ISNUMBER(SEARCH("Party Name-",'R.M Billets Reports'!D207)),TRIM(MID('R.M Billets Reports'!D207,SEARCH("-",'R.M Billets Reports'!D207)+1,200)),"")))))),IF(ROW()=2,"",A206))</f>
      </c>
      <c r="B207">
        <f>IF(OR('R.M Billets Reports'!A206="Date-",'R.M Billets Reports'!A206="Date:-"),'R.M Billets Reports'!B206,IF(ROW()=2,"",B206))</f>
      </c>
      <c r="C207">
        <f>IF('R.M Billets Reports'!A206="V.No.",'R.M Billets Reports'!B206,IF(ROW()=2,"",C206))</f>
      </c>
      <c r="D207">
        <f>IF('R.M Billets Reports'!A206&lt;&gt;"",'R.M Billets Reports'!A206,IF(ROW()=2,"",D206))</f>
      </c>
      <c r="E207">
        <f>IF('R.M Billets Reports'!B206="","",TRIM('R.M Billets Reports'!B206))</f>
      </c>
      <c r="F207">
        <f>'R.M Billets Reports'!C206</f>
      </c>
      <c r="G207">
        <f>'R.M Billets Reports'!D206</f>
      </c>
      <c r="H207">
        <f>'R.M Billets Reports'!E206</f>
      </c>
      <c r="I207">
        <f>'R.M Billets Reports'!F206</f>
      </c>
      <c r="J207">
        <f>'R.M Billets Reports'!G206</f>
      </c>
      <c r="K207">
        <f>'R.M Billets Reports'!H206</f>
      </c>
      <c r="L207">
        <f>IF('R.M Billets Reports'!I206="","",'R.M Billets Reports'!I206)</f>
      </c>
      <c r="M207">
        <f t="shared" si="6"/>
      </c>
      <c r="N207">
        <f>IF('R.M Billets Reports'!J206="","",'R.M Billets Reports'!J206)</f>
      </c>
      <c r="O207">
        <f t="shared" si="7"/>
      </c>
      <c r="P207">
        <f>IF('R.M Billets Reports'!A206="SIZE",'R.M Billets Reports'!B206,P206)</f>
      </c>
    </row>
    <row r="208" spans="1:16" x14ac:dyDescent="0.25">
      <c r="A208">
        <f>IF(OR('R.M Billets Reports'!A207="Date-",'R.M Billets Reports'!A207="Date:-"),IF(IF(IF(ISNUMBER(SEARCH("Party Name:-",'R.M Billets Reports'!D207)),TRIM('R.M Billets Reports'!F207),IF(ISNUMBER(SEARCH("Party Name-",'R.M Billets Reports'!D207)),TRIM(MID('R.M Billets Reports'!D207,SEARCH("-",'R.M Billets Reports'!D207)+1,200)),""))&lt;&gt;"",IF(ISNUMBER(SEARCH("Party Name:-",'R.M Billets Reports'!D207)),TRIM('R.M Billets Reports'!F207),IF(ISNUMBER(SEARCH("Party Name-",'R.M Billets Reports'!D207)),TRIM(MID('R.M Billets Reports'!D207,SEARCH("-",'R.M Billets Reports'!D207)+1,200)),"")),IF(ISNUMBER(SEARCH("Party Name:-",'R.M Billets Reports'!D208)),TRIM('R.M Billets Reports'!F208),IF(ISNUMBER(SEARCH("Party Name-",'R.M Billets Reports'!D208)),TRIM(MID('R.M Billets Reports'!D208,SEARCH("-",'R.M Billets Reports'!D208)+1,200)),"")))="VRKP ISPAT PVT LTD","VRKP",IF(IF(IF(ISNUMBER(SEARCH("Party Name:-",'R.M Billets Reports'!D207)),TRIM('R.M Billets Reports'!F207),IF(ISNUMBER(SEARCH("Party Name-",'R.M Billets Reports'!D207)),TRIM(MID('R.M Billets Reports'!D207,SEARCH("-",'R.M Billets Reports'!D207)+1,200)),""))&lt;&gt;"",IF(ISNUMBER(SEARCH("Party Name:-",'R.M Billets Reports'!D207)),TRIM('R.M Billets Reports'!F207),IF(ISNUMBER(SEARCH("Party Name-",'R.M Billets Reports'!D207)),TRIM(MID('R.M Billets Reports'!D207,SEARCH("-",'R.M Billets Reports'!D207)+1,200)),"")),IF(ISNUMBER(SEARCH("Party Name:-",'R.M Billets Reports'!D208)),TRIM('R.M Billets Reports'!F208),IF(ISNUMBER(SEARCH("Party Name-",'R.M Billets Reports'!D208)),TRIM(MID('R.M Billets Reports'!D208,SEARCH("-",'R.M Billets Reports'!D208)+1,200)),"")))="SHRI RADHE","SHREE RADHE",IF(IF(IF(ISNUMBER(SEARCH("Party Name:-",'R.M Billets Reports'!D207)),TRIM('R.M Billets Reports'!F207),IF(ISNUMBER(SEARCH("Party Name-",'R.M Billets Reports'!D207)),TRIM(MID('R.M Billets Reports'!D207,SEARCH("-",'R.M Billets Reports'!D207)+1,200)),""))&lt;&gt;"",IF(ISNUMBER(SEARCH("Party Name:-",'R.M Billets Reports'!D207)),TRIM('R.M Billets Reports'!F207),IF(ISNUMBER(SEARCH("Party Name-",'R.M Billets Reports'!D207)),TRIM(MID('R.M Billets Reports'!D207,SEARCH("-",'R.M Billets Reports'!D207)+1,200)),"")),IF(ISNUMBER(SEARCH("Party Name:-",'R.M Billets Reports'!D208)),TRIM('R.M Billets Reports'!F208),IF(ISNUMBER(SEARCH("Party Name-",'R.M Billets Reports'!D208)),TRIM(MID('R.M Billets Reports'!D208,SEARCH("-",'R.M Billets Reports'!D208)+1,200)),"")))="SHREE RADHE SHAKTI SPONGE AND POWER PVT. LTD.","SHREE RADHE",IF(IF(ISNUMBER(SEARCH("Party Name:-",'R.M Billets Reports'!D207)),TRIM('R.M Billets Reports'!F207),IF(ISNUMBER(SEARCH("Party Name-",'R.M Billets Reports'!D207)),TRIM(MID('R.M Billets Reports'!D207,SEARCH("-",'R.M Billets Reports'!D207)+1,200)),""))&lt;&gt;"",IF(ISNUMBER(SEARCH("Party Name:-",'R.M Billets Reports'!D207)),TRIM('R.M Billets Reports'!F207),IF(ISNUMBER(SEARCH("Party Name-",'R.M Billets Reports'!D207)),TRIM(MID('R.M Billets Reports'!D207,SEARCH("-",'R.M Billets Reports'!D207)+1,200)),"")),IF(ISNUMBER(SEARCH("Party Name:-",'R.M Billets Reports'!D208)),TRIM('R.M Billets Reports'!F208),IF(ISNUMBER(SEARCH("Party Name-",'R.M Billets Reports'!D208)),TRIM(MID('R.M Billets Reports'!D208,SEARCH("-",'R.M Billets Reports'!D208)+1,200)),"")))))),IF(ROW()=2,"",A207))</f>
      </c>
      <c r="B208">
        <f>IF(OR('R.M Billets Reports'!A207="Date-",'R.M Billets Reports'!A207="Date:-"),'R.M Billets Reports'!B207,IF(ROW()=2,"",B207))</f>
      </c>
      <c r="C208">
        <f>IF('R.M Billets Reports'!A207="V.No.",'R.M Billets Reports'!B207,IF(ROW()=2,"",C207))</f>
      </c>
      <c r="D208">
        <f>IF('R.M Billets Reports'!A207&lt;&gt;"",'R.M Billets Reports'!A207,IF(ROW()=2,"",D207))</f>
      </c>
      <c r="E208">
        <f>IF('R.M Billets Reports'!B207="","",TRIM('R.M Billets Reports'!B207))</f>
      </c>
      <c r="F208">
        <f>'R.M Billets Reports'!C207</f>
      </c>
      <c r="G208">
        <f>'R.M Billets Reports'!D207</f>
      </c>
      <c r="H208">
        <f>'R.M Billets Reports'!E207</f>
      </c>
      <c r="I208">
        <f>'R.M Billets Reports'!F207</f>
      </c>
      <c r="J208">
        <f>'R.M Billets Reports'!G207</f>
      </c>
      <c r="K208">
        <f>'R.M Billets Reports'!H207</f>
      </c>
      <c r="L208">
        <f>IF('R.M Billets Reports'!I207="","",'R.M Billets Reports'!I207)</f>
      </c>
      <c r="M208">
        <f t="shared" si="6"/>
      </c>
      <c r="N208">
        <f>IF('R.M Billets Reports'!J207="","",'R.M Billets Reports'!J207)</f>
      </c>
      <c r="O208">
        <f t="shared" si="7"/>
      </c>
      <c r="P208">
        <f>IF('R.M Billets Reports'!A207="SIZE",'R.M Billets Reports'!B207,P207)</f>
      </c>
    </row>
    <row r="209" spans="1:16" x14ac:dyDescent="0.25">
      <c r="A209">
        <f>IF(OR('R.M Billets Reports'!A208="Date-",'R.M Billets Reports'!A208="Date:-"),IF(IF(IF(ISNUMBER(SEARCH("Party Name:-",'R.M Billets Reports'!D208)),TRIM('R.M Billets Reports'!F208),IF(ISNUMBER(SEARCH("Party Name-",'R.M Billets Reports'!D208)),TRIM(MID('R.M Billets Reports'!D208,SEARCH("-",'R.M Billets Reports'!D208)+1,200)),""))&lt;&gt;"",IF(ISNUMBER(SEARCH("Party Name:-",'R.M Billets Reports'!D208)),TRIM('R.M Billets Reports'!F208),IF(ISNUMBER(SEARCH("Party Name-",'R.M Billets Reports'!D208)),TRIM(MID('R.M Billets Reports'!D208,SEARCH("-",'R.M Billets Reports'!D208)+1,200)),"")),IF(ISNUMBER(SEARCH("Party Name:-",'R.M Billets Reports'!D209)),TRIM('R.M Billets Reports'!F209),IF(ISNUMBER(SEARCH("Party Name-",'R.M Billets Reports'!D209)),TRIM(MID('R.M Billets Reports'!D209,SEARCH("-",'R.M Billets Reports'!D209)+1,200)),"")))="VRKP ISPAT PVT LTD","VRKP",IF(IF(IF(ISNUMBER(SEARCH("Party Name:-",'R.M Billets Reports'!D208)),TRIM('R.M Billets Reports'!F208),IF(ISNUMBER(SEARCH("Party Name-",'R.M Billets Reports'!D208)),TRIM(MID('R.M Billets Reports'!D208,SEARCH("-",'R.M Billets Reports'!D208)+1,200)),""))&lt;&gt;"",IF(ISNUMBER(SEARCH("Party Name:-",'R.M Billets Reports'!D208)),TRIM('R.M Billets Reports'!F208),IF(ISNUMBER(SEARCH("Party Name-",'R.M Billets Reports'!D208)),TRIM(MID('R.M Billets Reports'!D208,SEARCH("-",'R.M Billets Reports'!D208)+1,200)),"")),IF(ISNUMBER(SEARCH("Party Name:-",'R.M Billets Reports'!D209)),TRIM('R.M Billets Reports'!F209),IF(ISNUMBER(SEARCH("Party Name-",'R.M Billets Reports'!D209)),TRIM(MID('R.M Billets Reports'!D209,SEARCH("-",'R.M Billets Reports'!D209)+1,200)),"")))="SHRI RADHE","SHREE RADHE",IF(IF(IF(ISNUMBER(SEARCH("Party Name:-",'R.M Billets Reports'!D208)),TRIM('R.M Billets Reports'!F208),IF(ISNUMBER(SEARCH("Party Name-",'R.M Billets Reports'!D208)),TRIM(MID('R.M Billets Reports'!D208,SEARCH("-",'R.M Billets Reports'!D208)+1,200)),""))&lt;&gt;"",IF(ISNUMBER(SEARCH("Party Name:-",'R.M Billets Reports'!D208)),TRIM('R.M Billets Reports'!F208),IF(ISNUMBER(SEARCH("Party Name-",'R.M Billets Reports'!D208)),TRIM(MID('R.M Billets Reports'!D208,SEARCH("-",'R.M Billets Reports'!D208)+1,200)),"")),IF(ISNUMBER(SEARCH("Party Name:-",'R.M Billets Reports'!D209)),TRIM('R.M Billets Reports'!F209),IF(ISNUMBER(SEARCH("Party Name-",'R.M Billets Reports'!D209)),TRIM(MID('R.M Billets Reports'!D209,SEARCH("-",'R.M Billets Reports'!D209)+1,200)),"")))="SHREE RADHE SHAKTI SPONGE AND POWER PVT. LTD.","SHREE RADHE",IF(IF(ISNUMBER(SEARCH("Party Name:-",'R.M Billets Reports'!D208)),TRIM('R.M Billets Reports'!F208),IF(ISNUMBER(SEARCH("Party Name-",'R.M Billets Reports'!D208)),TRIM(MID('R.M Billets Reports'!D208,SEARCH("-",'R.M Billets Reports'!D208)+1,200)),""))&lt;&gt;"",IF(ISNUMBER(SEARCH("Party Name:-",'R.M Billets Reports'!D208)),TRIM('R.M Billets Reports'!F208),IF(ISNUMBER(SEARCH("Party Name-",'R.M Billets Reports'!D208)),TRIM(MID('R.M Billets Reports'!D208,SEARCH("-",'R.M Billets Reports'!D208)+1,200)),"")),IF(ISNUMBER(SEARCH("Party Name:-",'R.M Billets Reports'!D209)),TRIM('R.M Billets Reports'!F209),IF(ISNUMBER(SEARCH("Party Name-",'R.M Billets Reports'!D209)),TRIM(MID('R.M Billets Reports'!D209,SEARCH("-",'R.M Billets Reports'!D209)+1,200)),"")))))),IF(ROW()=2,"",A208))</f>
      </c>
      <c r="B209">
        <f>IF(OR('R.M Billets Reports'!A208="Date-",'R.M Billets Reports'!A208="Date:-"),'R.M Billets Reports'!B208,IF(ROW()=2,"",B208))</f>
      </c>
      <c r="C209">
        <f>IF('R.M Billets Reports'!A208="V.No.",'R.M Billets Reports'!B208,IF(ROW()=2,"",C208))</f>
      </c>
      <c r="D209">
        <f>IF('R.M Billets Reports'!A208&lt;&gt;"",'R.M Billets Reports'!A208,IF(ROW()=2,"",D208))</f>
      </c>
      <c r="E209">
        <f>IF('R.M Billets Reports'!B208="","",TRIM('R.M Billets Reports'!B208))</f>
      </c>
      <c r="F209">
        <f>'R.M Billets Reports'!C208</f>
      </c>
      <c r="G209">
        <f>'R.M Billets Reports'!D208</f>
      </c>
      <c r="H209">
        <f>'R.M Billets Reports'!E208</f>
      </c>
      <c r="I209">
        <f>'R.M Billets Reports'!F208</f>
      </c>
      <c r="J209">
        <f>'R.M Billets Reports'!G208</f>
      </c>
      <c r="K209">
        <f>'R.M Billets Reports'!H208</f>
      </c>
      <c r="L209">
        <f>IF('R.M Billets Reports'!I208="","",'R.M Billets Reports'!I208)</f>
      </c>
      <c r="M209">
        <f t="shared" si="6"/>
      </c>
      <c r="N209">
        <f>IF('R.M Billets Reports'!J208="","",'R.M Billets Reports'!J208)</f>
      </c>
      <c r="O209">
        <f t="shared" si="7"/>
      </c>
      <c r="P209">
        <f>IF('R.M Billets Reports'!A208="SIZE",'R.M Billets Reports'!B208,P208)</f>
      </c>
    </row>
    <row r="210" spans="1:16" x14ac:dyDescent="0.25">
      <c r="A210">
        <f>IF(OR('R.M Billets Reports'!A209="Date-",'R.M Billets Reports'!A209="Date:-"),IF(IF(IF(ISNUMBER(SEARCH("Party Name:-",'R.M Billets Reports'!D209)),TRIM('R.M Billets Reports'!F209),IF(ISNUMBER(SEARCH("Party Name-",'R.M Billets Reports'!D209)),TRIM(MID('R.M Billets Reports'!D209,SEARCH("-",'R.M Billets Reports'!D209)+1,200)),""))&lt;&gt;"",IF(ISNUMBER(SEARCH("Party Name:-",'R.M Billets Reports'!D209)),TRIM('R.M Billets Reports'!F209),IF(ISNUMBER(SEARCH("Party Name-",'R.M Billets Reports'!D209)),TRIM(MID('R.M Billets Reports'!D209,SEARCH("-",'R.M Billets Reports'!D209)+1,200)),"")),IF(ISNUMBER(SEARCH("Party Name:-",'R.M Billets Reports'!D210)),TRIM('R.M Billets Reports'!F210),IF(ISNUMBER(SEARCH("Party Name-",'R.M Billets Reports'!D210)),TRIM(MID('R.M Billets Reports'!D210,SEARCH("-",'R.M Billets Reports'!D210)+1,200)),"")))="VRKP ISPAT PVT LTD","VRKP",IF(IF(IF(ISNUMBER(SEARCH("Party Name:-",'R.M Billets Reports'!D209)),TRIM('R.M Billets Reports'!F209),IF(ISNUMBER(SEARCH("Party Name-",'R.M Billets Reports'!D209)),TRIM(MID('R.M Billets Reports'!D209,SEARCH("-",'R.M Billets Reports'!D209)+1,200)),""))&lt;&gt;"",IF(ISNUMBER(SEARCH("Party Name:-",'R.M Billets Reports'!D209)),TRIM('R.M Billets Reports'!F209),IF(ISNUMBER(SEARCH("Party Name-",'R.M Billets Reports'!D209)),TRIM(MID('R.M Billets Reports'!D209,SEARCH("-",'R.M Billets Reports'!D209)+1,200)),"")),IF(ISNUMBER(SEARCH("Party Name:-",'R.M Billets Reports'!D210)),TRIM('R.M Billets Reports'!F210),IF(ISNUMBER(SEARCH("Party Name-",'R.M Billets Reports'!D210)),TRIM(MID('R.M Billets Reports'!D210,SEARCH("-",'R.M Billets Reports'!D210)+1,200)),"")))="SHRI RADHE","SHREE RADHE",IF(IF(IF(ISNUMBER(SEARCH("Party Name:-",'R.M Billets Reports'!D209)),TRIM('R.M Billets Reports'!F209),IF(ISNUMBER(SEARCH("Party Name-",'R.M Billets Reports'!D209)),TRIM(MID('R.M Billets Reports'!D209,SEARCH("-",'R.M Billets Reports'!D209)+1,200)),""))&lt;&gt;"",IF(ISNUMBER(SEARCH("Party Name:-",'R.M Billets Reports'!D209)),TRIM('R.M Billets Reports'!F209),IF(ISNUMBER(SEARCH("Party Name-",'R.M Billets Reports'!D209)),TRIM(MID('R.M Billets Reports'!D209,SEARCH("-",'R.M Billets Reports'!D209)+1,200)),"")),IF(ISNUMBER(SEARCH("Party Name:-",'R.M Billets Reports'!D210)),TRIM('R.M Billets Reports'!F210),IF(ISNUMBER(SEARCH("Party Name-",'R.M Billets Reports'!D210)),TRIM(MID('R.M Billets Reports'!D210,SEARCH("-",'R.M Billets Reports'!D210)+1,200)),"")))="SHREE RADHE SHAKTI SPONGE AND POWER PVT. LTD.","SHREE RADHE",IF(IF(ISNUMBER(SEARCH("Party Name:-",'R.M Billets Reports'!D209)),TRIM('R.M Billets Reports'!F209),IF(ISNUMBER(SEARCH("Party Name-",'R.M Billets Reports'!D209)),TRIM(MID('R.M Billets Reports'!D209,SEARCH("-",'R.M Billets Reports'!D209)+1,200)),""))&lt;&gt;"",IF(ISNUMBER(SEARCH("Party Name:-",'R.M Billets Reports'!D209)),TRIM('R.M Billets Reports'!F209),IF(ISNUMBER(SEARCH("Party Name-",'R.M Billets Reports'!D209)),TRIM(MID('R.M Billets Reports'!D209,SEARCH("-",'R.M Billets Reports'!D209)+1,200)),"")),IF(ISNUMBER(SEARCH("Party Name:-",'R.M Billets Reports'!D210)),TRIM('R.M Billets Reports'!F210),IF(ISNUMBER(SEARCH("Party Name-",'R.M Billets Reports'!D210)),TRIM(MID('R.M Billets Reports'!D210,SEARCH("-",'R.M Billets Reports'!D210)+1,200)),"")))))),IF(ROW()=2,"",A209))</f>
      </c>
      <c r="B210">
        <f>IF(OR('R.M Billets Reports'!A209="Date-",'R.M Billets Reports'!A209="Date:-"),'R.M Billets Reports'!B209,IF(ROW()=2,"",B209))</f>
      </c>
      <c r="C210">
        <f>IF('R.M Billets Reports'!A209="V.No.",'R.M Billets Reports'!B209,IF(ROW()=2,"",C209))</f>
      </c>
      <c r="D210">
        <f>IF('R.M Billets Reports'!A209&lt;&gt;"",'R.M Billets Reports'!A209,IF(ROW()=2,"",D209))</f>
      </c>
      <c r="E210">
        <f>IF('R.M Billets Reports'!B209="","",TRIM('R.M Billets Reports'!B209))</f>
      </c>
      <c r="F210">
        <f>'R.M Billets Reports'!C209</f>
      </c>
      <c r="G210">
        <f>'R.M Billets Reports'!D209</f>
      </c>
      <c r="H210">
        <f>'R.M Billets Reports'!E209</f>
      </c>
      <c r="I210">
        <f>'R.M Billets Reports'!F209</f>
      </c>
      <c r="J210">
        <f>'R.M Billets Reports'!G209</f>
      </c>
      <c r="K210">
        <f>'R.M Billets Reports'!H209</f>
      </c>
      <c r="L210">
        <f>IF('R.M Billets Reports'!I209="","",'R.M Billets Reports'!I209)</f>
      </c>
      <c r="M210">
        <f t="shared" si="6"/>
      </c>
      <c r="N210">
        <f>IF('R.M Billets Reports'!J209="","",'R.M Billets Reports'!J209)</f>
      </c>
      <c r="O210">
        <f t="shared" si="7"/>
      </c>
      <c r="P210">
        <f>IF('R.M Billets Reports'!A209="SIZE",'R.M Billets Reports'!B209,P209)</f>
      </c>
    </row>
    <row r="211" spans="1:16" x14ac:dyDescent="0.25">
      <c r="A211">
        <f>IF(OR('R.M Billets Reports'!A210="Date-",'R.M Billets Reports'!A210="Date:-"),IF(IF(IF(ISNUMBER(SEARCH("Party Name:-",'R.M Billets Reports'!D210)),TRIM('R.M Billets Reports'!F210),IF(ISNUMBER(SEARCH("Party Name-",'R.M Billets Reports'!D210)),TRIM(MID('R.M Billets Reports'!D210,SEARCH("-",'R.M Billets Reports'!D210)+1,200)),""))&lt;&gt;"",IF(ISNUMBER(SEARCH("Party Name:-",'R.M Billets Reports'!D210)),TRIM('R.M Billets Reports'!F210),IF(ISNUMBER(SEARCH("Party Name-",'R.M Billets Reports'!D210)),TRIM(MID('R.M Billets Reports'!D210,SEARCH("-",'R.M Billets Reports'!D210)+1,200)),"")),IF(ISNUMBER(SEARCH("Party Name:-",'R.M Billets Reports'!D211)),TRIM('R.M Billets Reports'!F211),IF(ISNUMBER(SEARCH("Party Name-",'R.M Billets Reports'!D211)),TRIM(MID('R.M Billets Reports'!D211,SEARCH("-",'R.M Billets Reports'!D211)+1,200)),"")))="VRKP ISPAT PVT LTD","VRKP",IF(IF(IF(ISNUMBER(SEARCH("Party Name:-",'R.M Billets Reports'!D210)),TRIM('R.M Billets Reports'!F210),IF(ISNUMBER(SEARCH("Party Name-",'R.M Billets Reports'!D210)),TRIM(MID('R.M Billets Reports'!D210,SEARCH("-",'R.M Billets Reports'!D210)+1,200)),""))&lt;&gt;"",IF(ISNUMBER(SEARCH("Party Name:-",'R.M Billets Reports'!D210)),TRIM('R.M Billets Reports'!F210),IF(ISNUMBER(SEARCH("Party Name-",'R.M Billets Reports'!D210)),TRIM(MID('R.M Billets Reports'!D210,SEARCH("-",'R.M Billets Reports'!D210)+1,200)),"")),IF(ISNUMBER(SEARCH("Party Name:-",'R.M Billets Reports'!D211)),TRIM('R.M Billets Reports'!F211),IF(ISNUMBER(SEARCH("Party Name-",'R.M Billets Reports'!D211)),TRIM(MID('R.M Billets Reports'!D211,SEARCH("-",'R.M Billets Reports'!D211)+1,200)),"")))="SHRI RADHE","SHREE RADHE",IF(IF(IF(ISNUMBER(SEARCH("Party Name:-",'R.M Billets Reports'!D210)),TRIM('R.M Billets Reports'!F210),IF(ISNUMBER(SEARCH("Party Name-",'R.M Billets Reports'!D210)),TRIM(MID('R.M Billets Reports'!D210,SEARCH("-",'R.M Billets Reports'!D210)+1,200)),""))&lt;&gt;"",IF(ISNUMBER(SEARCH("Party Name:-",'R.M Billets Reports'!D210)),TRIM('R.M Billets Reports'!F210),IF(ISNUMBER(SEARCH("Party Name-",'R.M Billets Reports'!D210)),TRIM(MID('R.M Billets Reports'!D210,SEARCH("-",'R.M Billets Reports'!D210)+1,200)),"")),IF(ISNUMBER(SEARCH("Party Name:-",'R.M Billets Reports'!D211)),TRIM('R.M Billets Reports'!F211),IF(ISNUMBER(SEARCH("Party Name-",'R.M Billets Reports'!D211)),TRIM(MID('R.M Billets Reports'!D211,SEARCH("-",'R.M Billets Reports'!D211)+1,200)),"")))="SHREE RADHE SHAKTI SPONGE AND POWER PVT. LTD.","SHREE RADHE",IF(IF(ISNUMBER(SEARCH("Party Name:-",'R.M Billets Reports'!D210)),TRIM('R.M Billets Reports'!F210),IF(ISNUMBER(SEARCH("Party Name-",'R.M Billets Reports'!D210)),TRIM(MID('R.M Billets Reports'!D210,SEARCH("-",'R.M Billets Reports'!D210)+1,200)),""))&lt;&gt;"",IF(ISNUMBER(SEARCH("Party Name:-",'R.M Billets Reports'!D210)),TRIM('R.M Billets Reports'!F210),IF(ISNUMBER(SEARCH("Party Name-",'R.M Billets Reports'!D210)),TRIM(MID('R.M Billets Reports'!D210,SEARCH("-",'R.M Billets Reports'!D210)+1,200)),"")),IF(ISNUMBER(SEARCH("Party Name:-",'R.M Billets Reports'!D211)),TRIM('R.M Billets Reports'!F211),IF(ISNUMBER(SEARCH("Party Name-",'R.M Billets Reports'!D211)),TRIM(MID('R.M Billets Reports'!D211,SEARCH("-",'R.M Billets Reports'!D211)+1,200)),"")))))),IF(ROW()=2,"",A210))</f>
      </c>
      <c r="B211">
        <f>IF(OR('R.M Billets Reports'!A210="Date-",'R.M Billets Reports'!A210="Date:-"),'R.M Billets Reports'!B210,IF(ROW()=2,"",B210))</f>
      </c>
      <c r="C211">
        <f>IF('R.M Billets Reports'!A210="V.No.",'R.M Billets Reports'!B210,IF(ROW()=2,"",C210))</f>
      </c>
      <c r="D211">
        <f>IF('R.M Billets Reports'!A210&lt;&gt;"",'R.M Billets Reports'!A210,IF(ROW()=2,"",D210))</f>
      </c>
      <c r="E211">
        <f>IF('R.M Billets Reports'!B210="","",TRIM('R.M Billets Reports'!B210))</f>
      </c>
      <c r="F211">
        <f>'R.M Billets Reports'!C210</f>
      </c>
      <c r="G211">
        <f>'R.M Billets Reports'!D210</f>
      </c>
      <c r="H211">
        <f>'R.M Billets Reports'!E210</f>
      </c>
      <c r="I211">
        <f>'R.M Billets Reports'!F210</f>
      </c>
      <c r="J211">
        <f>'R.M Billets Reports'!G210</f>
      </c>
      <c r="K211">
        <f>'R.M Billets Reports'!H210</f>
      </c>
      <c r="L211">
        <f>IF('R.M Billets Reports'!I210="","",'R.M Billets Reports'!I210)</f>
      </c>
      <c r="M211">
        <f t="shared" si="6"/>
      </c>
      <c r="N211">
        <f>IF('R.M Billets Reports'!J210="","",'R.M Billets Reports'!J210)</f>
      </c>
      <c r="O211">
        <f t="shared" si="7"/>
      </c>
      <c r="P211">
        <f>IF('R.M Billets Reports'!A210="SIZE",'R.M Billets Reports'!B210,P210)</f>
      </c>
    </row>
    <row r="212" spans="1:16" x14ac:dyDescent="0.25">
      <c r="A212">
        <f>IF(OR('R.M Billets Reports'!A211="Date-",'R.M Billets Reports'!A211="Date:-"),IF(IF(IF(ISNUMBER(SEARCH("Party Name:-",'R.M Billets Reports'!D211)),TRIM('R.M Billets Reports'!F211),IF(ISNUMBER(SEARCH("Party Name-",'R.M Billets Reports'!D211)),TRIM(MID('R.M Billets Reports'!D211,SEARCH("-",'R.M Billets Reports'!D211)+1,200)),""))&lt;&gt;"",IF(ISNUMBER(SEARCH("Party Name:-",'R.M Billets Reports'!D211)),TRIM('R.M Billets Reports'!F211),IF(ISNUMBER(SEARCH("Party Name-",'R.M Billets Reports'!D211)),TRIM(MID('R.M Billets Reports'!D211,SEARCH("-",'R.M Billets Reports'!D211)+1,200)),"")),IF(ISNUMBER(SEARCH("Party Name:-",'R.M Billets Reports'!D212)),TRIM('R.M Billets Reports'!F212),IF(ISNUMBER(SEARCH("Party Name-",'R.M Billets Reports'!D212)),TRIM(MID('R.M Billets Reports'!D212,SEARCH("-",'R.M Billets Reports'!D212)+1,200)),"")))="VRKP ISPAT PVT LTD","VRKP",IF(IF(IF(ISNUMBER(SEARCH("Party Name:-",'R.M Billets Reports'!D211)),TRIM('R.M Billets Reports'!F211),IF(ISNUMBER(SEARCH("Party Name-",'R.M Billets Reports'!D211)),TRIM(MID('R.M Billets Reports'!D211,SEARCH("-",'R.M Billets Reports'!D211)+1,200)),""))&lt;&gt;"",IF(ISNUMBER(SEARCH("Party Name:-",'R.M Billets Reports'!D211)),TRIM('R.M Billets Reports'!F211),IF(ISNUMBER(SEARCH("Party Name-",'R.M Billets Reports'!D211)),TRIM(MID('R.M Billets Reports'!D211,SEARCH("-",'R.M Billets Reports'!D211)+1,200)),"")),IF(ISNUMBER(SEARCH("Party Name:-",'R.M Billets Reports'!D212)),TRIM('R.M Billets Reports'!F212),IF(ISNUMBER(SEARCH("Party Name-",'R.M Billets Reports'!D212)),TRIM(MID('R.M Billets Reports'!D212,SEARCH("-",'R.M Billets Reports'!D212)+1,200)),"")))="SHRI RADHE","SHREE RADHE",IF(IF(IF(ISNUMBER(SEARCH("Party Name:-",'R.M Billets Reports'!D211)),TRIM('R.M Billets Reports'!F211),IF(ISNUMBER(SEARCH("Party Name-",'R.M Billets Reports'!D211)),TRIM(MID('R.M Billets Reports'!D211,SEARCH("-",'R.M Billets Reports'!D211)+1,200)),""))&lt;&gt;"",IF(ISNUMBER(SEARCH("Party Name:-",'R.M Billets Reports'!D211)),TRIM('R.M Billets Reports'!F211),IF(ISNUMBER(SEARCH("Party Name-",'R.M Billets Reports'!D211)),TRIM(MID('R.M Billets Reports'!D211,SEARCH("-",'R.M Billets Reports'!D211)+1,200)),"")),IF(ISNUMBER(SEARCH("Party Name:-",'R.M Billets Reports'!D212)),TRIM('R.M Billets Reports'!F212),IF(ISNUMBER(SEARCH("Party Name-",'R.M Billets Reports'!D212)),TRIM(MID('R.M Billets Reports'!D212,SEARCH("-",'R.M Billets Reports'!D212)+1,200)),"")))="SHREE RADHE SHAKTI SPONGE AND POWER PVT. LTD.","SHREE RADHE",IF(IF(ISNUMBER(SEARCH("Party Name:-",'R.M Billets Reports'!D211)),TRIM('R.M Billets Reports'!F211),IF(ISNUMBER(SEARCH("Party Name-",'R.M Billets Reports'!D211)),TRIM(MID('R.M Billets Reports'!D211,SEARCH("-",'R.M Billets Reports'!D211)+1,200)),""))&lt;&gt;"",IF(ISNUMBER(SEARCH("Party Name:-",'R.M Billets Reports'!D211)),TRIM('R.M Billets Reports'!F211),IF(ISNUMBER(SEARCH("Party Name-",'R.M Billets Reports'!D211)),TRIM(MID('R.M Billets Reports'!D211,SEARCH("-",'R.M Billets Reports'!D211)+1,200)),"")),IF(ISNUMBER(SEARCH("Party Name:-",'R.M Billets Reports'!D212)),TRIM('R.M Billets Reports'!F212),IF(ISNUMBER(SEARCH("Party Name-",'R.M Billets Reports'!D212)),TRIM(MID('R.M Billets Reports'!D212,SEARCH("-",'R.M Billets Reports'!D212)+1,200)),"")))))),IF(ROW()=2,"",A211))</f>
      </c>
      <c r="B212">
        <f>IF(OR('R.M Billets Reports'!A211="Date-",'R.M Billets Reports'!A211="Date:-"),'R.M Billets Reports'!B211,IF(ROW()=2,"",B211))</f>
      </c>
      <c r="C212">
        <f>IF('R.M Billets Reports'!A211="V.No.",'R.M Billets Reports'!B211,IF(ROW()=2,"",C211))</f>
      </c>
      <c r="D212">
        <f>IF('R.M Billets Reports'!A211&lt;&gt;"",'R.M Billets Reports'!A211,IF(ROW()=2,"",D211))</f>
      </c>
      <c r="E212">
        <f>IF('R.M Billets Reports'!B211="","",TRIM('R.M Billets Reports'!B211))</f>
      </c>
      <c r="F212">
        <f>'R.M Billets Reports'!C211</f>
      </c>
      <c r="G212">
        <f>'R.M Billets Reports'!D211</f>
      </c>
      <c r="H212">
        <f>'R.M Billets Reports'!E211</f>
      </c>
      <c r="I212">
        <f>'R.M Billets Reports'!F211</f>
      </c>
      <c r="J212">
        <f>'R.M Billets Reports'!G211</f>
      </c>
      <c r="K212">
        <f>'R.M Billets Reports'!H211</f>
      </c>
      <c r="L212">
        <f>IF('R.M Billets Reports'!I211="","",'R.M Billets Reports'!I211)</f>
      </c>
      <c r="M212">
        <f t="shared" si="6"/>
      </c>
      <c r="N212">
        <f>IF('R.M Billets Reports'!J211="","",'R.M Billets Reports'!J211)</f>
      </c>
      <c r="O212">
        <f t="shared" si="7"/>
      </c>
      <c r="P212">
        <f>IF('R.M Billets Reports'!A211="SIZE",'R.M Billets Reports'!B211,P211)</f>
      </c>
    </row>
    <row r="213" spans="1:16" x14ac:dyDescent="0.25">
      <c r="A213">
        <f>IF(OR('R.M Billets Reports'!A212="Date-",'R.M Billets Reports'!A212="Date:-"),IF(IF(IF(ISNUMBER(SEARCH("Party Name:-",'R.M Billets Reports'!D212)),TRIM('R.M Billets Reports'!F212),IF(ISNUMBER(SEARCH("Party Name-",'R.M Billets Reports'!D212)),TRIM(MID('R.M Billets Reports'!D212,SEARCH("-",'R.M Billets Reports'!D212)+1,200)),""))&lt;&gt;"",IF(ISNUMBER(SEARCH("Party Name:-",'R.M Billets Reports'!D212)),TRIM('R.M Billets Reports'!F212),IF(ISNUMBER(SEARCH("Party Name-",'R.M Billets Reports'!D212)),TRIM(MID('R.M Billets Reports'!D212,SEARCH("-",'R.M Billets Reports'!D212)+1,200)),"")),IF(ISNUMBER(SEARCH("Party Name:-",'R.M Billets Reports'!D213)),TRIM('R.M Billets Reports'!F213),IF(ISNUMBER(SEARCH("Party Name-",'R.M Billets Reports'!D213)),TRIM(MID('R.M Billets Reports'!D213,SEARCH("-",'R.M Billets Reports'!D213)+1,200)),"")))="VRKP ISPAT PVT LTD","VRKP",IF(IF(IF(ISNUMBER(SEARCH("Party Name:-",'R.M Billets Reports'!D212)),TRIM('R.M Billets Reports'!F212),IF(ISNUMBER(SEARCH("Party Name-",'R.M Billets Reports'!D212)),TRIM(MID('R.M Billets Reports'!D212,SEARCH("-",'R.M Billets Reports'!D212)+1,200)),""))&lt;&gt;"",IF(ISNUMBER(SEARCH("Party Name:-",'R.M Billets Reports'!D212)),TRIM('R.M Billets Reports'!F212),IF(ISNUMBER(SEARCH("Party Name-",'R.M Billets Reports'!D212)),TRIM(MID('R.M Billets Reports'!D212,SEARCH("-",'R.M Billets Reports'!D212)+1,200)),"")),IF(ISNUMBER(SEARCH("Party Name:-",'R.M Billets Reports'!D213)),TRIM('R.M Billets Reports'!F213),IF(ISNUMBER(SEARCH("Party Name-",'R.M Billets Reports'!D213)),TRIM(MID('R.M Billets Reports'!D213,SEARCH("-",'R.M Billets Reports'!D213)+1,200)),"")))="SHRI RADHE","SHREE RADHE",IF(IF(IF(ISNUMBER(SEARCH("Party Name:-",'R.M Billets Reports'!D212)),TRIM('R.M Billets Reports'!F212),IF(ISNUMBER(SEARCH("Party Name-",'R.M Billets Reports'!D212)),TRIM(MID('R.M Billets Reports'!D212,SEARCH("-",'R.M Billets Reports'!D212)+1,200)),""))&lt;&gt;"",IF(ISNUMBER(SEARCH("Party Name:-",'R.M Billets Reports'!D212)),TRIM('R.M Billets Reports'!F212),IF(ISNUMBER(SEARCH("Party Name-",'R.M Billets Reports'!D212)),TRIM(MID('R.M Billets Reports'!D212,SEARCH("-",'R.M Billets Reports'!D212)+1,200)),"")),IF(ISNUMBER(SEARCH("Party Name:-",'R.M Billets Reports'!D213)),TRIM('R.M Billets Reports'!F213),IF(ISNUMBER(SEARCH("Party Name-",'R.M Billets Reports'!D213)),TRIM(MID('R.M Billets Reports'!D213,SEARCH("-",'R.M Billets Reports'!D213)+1,200)),"")))="SHREE RADHE SHAKTI SPONGE AND POWER PVT. LTD.","SHREE RADHE",IF(IF(ISNUMBER(SEARCH("Party Name:-",'R.M Billets Reports'!D212)),TRIM('R.M Billets Reports'!F212),IF(ISNUMBER(SEARCH("Party Name-",'R.M Billets Reports'!D212)),TRIM(MID('R.M Billets Reports'!D212,SEARCH("-",'R.M Billets Reports'!D212)+1,200)),""))&lt;&gt;"",IF(ISNUMBER(SEARCH("Party Name:-",'R.M Billets Reports'!D212)),TRIM('R.M Billets Reports'!F212),IF(ISNUMBER(SEARCH("Party Name-",'R.M Billets Reports'!D212)),TRIM(MID('R.M Billets Reports'!D212,SEARCH("-",'R.M Billets Reports'!D212)+1,200)),"")),IF(ISNUMBER(SEARCH("Party Name:-",'R.M Billets Reports'!D213)),TRIM('R.M Billets Reports'!F213),IF(ISNUMBER(SEARCH("Party Name-",'R.M Billets Reports'!D213)),TRIM(MID('R.M Billets Reports'!D213,SEARCH("-",'R.M Billets Reports'!D213)+1,200)),"")))))),IF(ROW()=2,"",A212))</f>
      </c>
      <c r="B213">
        <f>IF(OR('R.M Billets Reports'!A212="Date-",'R.M Billets Reports'!A212="Date:-"),'R.M Billets Reports'!B212,IF(ROW()=2,"",B212))</f>
      </c>
      <c r="C213">
        <f>IF('R.M Billets Reports'!A212="V.No.",'R.M Billets Reports'!B212,IF(ROW()=2,"",C212))</f>
      </c>
      <c r="D213">
        <f>IF('R.M Billets Reports'!A212&lt;&gt;"",'R.M Billets Reports'!A212,IF(ROW()=2,"",D212))</f>
      </c>
      <c r="E213">
        <f>IF('R.M Billets Reports'!B212="","",TRIM('R.M Billets Reports'!B212))</f>
      </c>
      <c r="F213">
        <f>'R.M Billets Reports'!C212</f>
      </c>
      <c r="G213">
        <f>'R.M Billets Reports'!D212</f>
      </c>
      <c r="H213">
        <f>'R.M Billets Reports'!E212</f>
      </c>
      <c r="I213">
        <f>'R.M Billets Reports'!F212</f>
      </c>
      <c r="J213">
        <f>'R.M Billets Reports'!G212</f>
      </c>
      <c r="K213">
        <f>'R.M Billets Reports'!H212</f>
      </c>
      <c r="L213">
        <f>IF('R.M Billets Reports'!I212="","",'R.M Billets Reports'!I212)</f>
      </c>
      <c r="M213">
        <f t="shared" si="6"/>
      </c>
      <c r="N213">
        <f>IF('R.M Billets Reports'!J212="","",'R.M Billets Reports'!J212)</f>
      </c>
      <c r="O213">
        <f t="shared" si="7"/>
      </c>
      <c r="P213">
        <f>IF('R.M Billets Reports'!A212="SIZE",'R.M Billets Reports'!B212,P212)</f>
      </c>
    </row>
    <row r="214" spans="1:16" x14ac:dyDescent="0.25">
      <c r="A214">
        <f>IF(OR('R.M Billets Reports'!A213="Date-",'R.M Billets Reports'!A213="Date:-"),IF(IF(IF(ISNUMBER(SEARCH("Party Name:-",'R.M Billets Reports'!D213)),TRIM('R.M Billets Reports'!F213),IF(ISNUMBER(SEARCH("Party Name-",'R.M Billets Reports'!D213)),TRIM(MID('R.M Billets Reports'!D213,SEARCH("-",'R.M Billets Reports'!D213)+1,200)),""))&lt;&gt;"",IF(ISNUMBER(SEARCH("Party Name:-",'R.M Billets Reports'!D213)),TRIM('R.M Billets Reports'!F213),IF(ISNUMBER(SEARCH("Party Name-",'R.M Billets Reports'!D213)),TRIM(MID('R.M Billets Reports'!D213,SEARCH("-",'R.M Billets Reports'!D213)+1,200)),"")),IF(ISNUMBER(SEARCH("Party Name:-",'R.M Billets Reports'!D214)),TRIM('R.M Billets Reports'!F214),IF(ISNUMBER(SEARCH("Party Name-",'R.M Billets Reports'!D214)),TRIM(MID('R.M Billets Reports'!D214,SEARCH("-",'R.M Billets Reports'!D214)+1,200)),"")))="VRKP ISPAT PVT LTD","VRKP",IF(IF(IF(ISNUMBER(SEARCH("Party Name:-",'R.M Billets Reports'!D213)),TRIM('R.M Billets Reports'!F213),IF(ISNUMBER(SEARCH("Party Name-",'R.M Billets Reports'!D213)),TRIM(MID('R.M Billets Reports'!D213,SEARCH("-",'R.M Billets Reports'!D213)+1,200)),""))&lt;&gt;"",IF(ISNUMBER(SEARCH("Party Name:-",'R.M Billets Reports'!D213)),TRIM('R.M Billets Reports'!F213),IF(ISNUMBER(SEARCH("Party Name-",'R.M Billets Reports'!D213)),TRIM(MID('R.M Billets Reports'!D213,SEARCH("-",'R.M Billets Reports'!D213)+1,200)),"")),IF(ISNUMBER(SEARCH("Party Name:-",'R.M Billets Reports'!D214)),TRIM('R.M Billets Reports'!F214),IF(ISNUMBER(SEARCH("Party Name-",'R.M Billets Reports'!D214)),TRIM(MID('R.M Billets Reports'!D214,SEARCH("-",'R.M Billets Reports'!D214)+1,200)),"")))="SHRI RADHE","SHREE RADHE",IF(IF(IF(ISNUMBER(SEARCH("Party Name:-",'R.M Billets Reports'!D213)),TRIM('R.M Billets Reports'!F213),IF(ISNUMBER(SEARCH("Party Name-",'R.M Billets Reports'!D213)),TRIM(MID('R.M Billets Reports'!D213,SEARCH("-",'R.M Billets Reports'!D213)+1,200)),""))&lt;&gt;"",IF(ISNUMBER(SEARCH("Party Name:-",'R.M Billets Reports'!D213)),TRIM('R.M Billets Reports'!F213),IF(ISNUMBER(SEARCH("Party Name-",'R.M Billets Reports'!D213)),TRIM(MID('R.M Billets Reports'!D213,SEARCH("-",'R.M Billets Reports'!D213)+1,200)),"")),IF(ISNUMBER(SEARCH("Party Name:-",'R.M Billets Reports'!D214)),TRIM('R.M Billets Reports'!F214),IF(ISNUMBER(SEARCH("Party Name-",'R.M Billets Reports'!D214)),TRIM(MID('R.M Billets Reports'!D214,SEARCH("-",'R.M Billets Reports'!D214)+1,200)),"")))="SHREE RADHE SHAKTI SPONGE AND POWER PVT. LTD.","SHREE RADHE",IF(IF(ISNUMBER(SEARCH("Party Name:-",'R.M Billets Reports'!D213)),TRIM('R.M Billets Reports'!F213),IF(ISNUMBER(SEARCH("Party Name-",'R.M Billets Reports'!D213)),TRIM(MID('R.M Billets Reports'!D213,SEARCH("-",'R.M Billets Reports'!D213)+1,200)),""))&lt;&gt;"",IF(ISNUMBER(SEARCH("Party Name:-",'R.M Billets Reports'!D213)),TRIM('R.M Billets Reports'!F213),IF(ISNUMBER(SEARCH("Party Name-",'R.M Billets Reports'!D213)),TRIM(MID('R.M Billets Reports'!D213,SEARCH("-",'R.M Billets Reports'!D213)+1,200)),"")),IF(ISNUMBER(SEARCH("Party Name:-",'R.M Billets Reports'!D214)),TRIM('R.M Billets Reports'!F214),IF(ISNUMBER(SEARCH("Party Name-",'R.M Billets Reports'!D214)),TRIM(MID('R.M Billets Reports'!D214,SEARCH("-",'R.M Billets Reports'!D214)+1,200)),"")))))),IF(ROW()=2,"",A213))</f>
      </c>
      <c r="B214">
        <f>IF(OR('R.M Billets Reports'!A213="Date-",'R.M Billets Reports'!A213="Date:-"),'R.M Billets Reports'!B213,IF(ROW()=2,"",B213))</f>
      </c>
      <c r="C214">
        <f>IF('R.M Billets Reports'!A213="V.No.",'R.M Billets Reports'!B213,IF(ROW()=2,"",C213))</f>
      </c>
      <c r="D214">
        <f>IF('R.M Billets Reports'!A213&lt;&gt;"",'R.M Billets Reports'!A213,IF(ROW()=2,"",D213))</f>
      </c>
      <c r="E214">
        <f>IF('R.M Billets Reports'!B213="","",TRIM('R.M Billets Reports'!B213))</f>
      </c>
      <c r="F214">
        <f>'R.M Billets Reports'!C213</f>
      </c>
      <c r="G214">
        <f>'R.M Billets Reports'!D213</f>
      </c>
      <c r="H214">
        <f>'R.M Billets Reports'!E213</f>
      </c>
      <c r="I214">
        <f>'R.M Billets Reports'!F213</f>
      </c>
      <c r="J214">
        <f>'R.M Billets Reports'!G213</f>
      </c>
      <c r="K214">
        <f>'R.M Billets Reports'!H213</f>
      </c>
      <c r="L214">
        <f>IF('R.M Billets Reports'!I213="","",'R.M Billets Reports'!I213)</f>
      </c>
      <c r="M214">
        <f t="shared" si="6"/>
      </c>
      <c r="N214">
        <f>IF('R.M Billets Reports'!J213="","",'R.M Billets Reports'!J213)</f>
      </c>
      <c r="O214">
        <f t="shared" si="7"/>
      </c>
      <c r="P214">
        <f>IF('R.M Billets Reports'!A213="SIZE",'R.M Billets Reports'!B213,P213)</f>
      </c>
    </row>
    <row r="215" spans="1:16" x14ac:dyDescent="0.25">
      <c r="A215">
        <f>IF(OR('R.M Billets Reports'!A214="Date-",'R.M Billets Reports'!A214="Date:-"),IF(IF(IF(ISNUMBER(SEARCH("Party Name:-",'R.M Billets Reports'!D214)),TRIM('R.M Billets Reports'!F214),IF(ISNUMBER(SEARCH("Party Name-",'R.M Billets Reports'!D214)),TRIM(MID('R.M Billets Reports'!D214,SEARCH("-",'R.M Billets Reports'!D214)+1,200)),""))&lt;&gt;"",IF(ISNUMBER(SEARCH("Party Name:-",'R.M Billets Reports'!D214)),TRIM('R.M Billets Reports'!F214),IF(ISNUMBER(SEARCH("Party Name-",'R.M Billets Reports'!D214)),TRIM(MID('R.M Billets Reports'!D214,SEARCH("-",'R.M Billets Reports'!D214)+1,200)),"")),IF(ISNUMBER(SEARCH("Party Name:-",'R.M Billets Reports'!D215)),TRIM('R.M Billets Reports'!F215),IF(ISNUMBER(SEARCH("Party Name-",'R.M Billets Reports'!D215)),TRIM(MID('R.M Billets Reports'!D215,SEARCH("-",'R.M Billets Reports'!D215)+1,200)),"")))="VRKP ISPAT PVT LTD","VRKP",IF(IF(IF(ISNUMBER(SEARCH("Party Name:-",'R.M Billets Reports'!D214)),TRIM('R.M Billets Reports'!F214),IF(ISNUMBER(SEARCH("Party Name-",'R.M Billets Reports'!D214)),TRIM(MID('R.M Billets Reports'!D214,SEARCH("-",'R.M Billets Reports'!D214)+1,200)),""))&lt;&gt;"",IF(ISNUMBER(SEARCH("Party Name:-",'R.M Billets Reports'!D214)),TRIM('R.M Billets Reports'!F214),IF(ISNUMBER(SEARCH("Party Name-",'R.M Billets Reports'!D214)),TRIM(MID('R.M Billets Reports'!D214,SEARCH("-",'R.M Billets Reports'!D214)+1,200)),"")),IF(ISNUMBER(SEARCH("Party Name:-",'R.M Billets Reports'!D215)),TRIM('R.M Billets Reports'!F215),IF(ISNUMBER(SEARCH("Party Name-",'R.M Billets Reports'!D215)),TRIM(MID('R.M Billets Reports'!D215,SEARCH("-",'R.M Billets Reports'!D215)+1,200)),"")))="SHRI RADHE","SHREE RADHE",IF(IF(IF(ISNUMBER(SEARCH("Party Name:-",'R.M Billets Reports'!D214)),TRIM('R.M Billets Reports'!F214),IF(ISNUMBER(SEARCH("Party Name-",'R.M Billets Reports'!D214)),TRIM(MID('R.M Billets Reports'!D214,SEARCH("-",'R.M Billets Reports'!D214)+1,200)),""))&lt;&gt;"",IF(ISNUMBER(SEARCH("Party Name:-",'R.M Billets Reports'!D214)),TRIM('R.M Billets Reports'!F214),IF(ISNUMBER(SEARCH("Party Name-",'R.M Billets Reports'!D214)),TRIM(MID('R.M Billets Reports'!D214,SEARCH("-",'R.M Billets Reports'!D214)+1,200)),"")),IF(ISNUMBER(SEARCH("Party Name:-",'R.M Billets Reports'!D215)),TRIM('R.M Billets Reports'!F215),IF(ISNUMBER(SEARCH("Party Name-",'R.M Billets Reports'!D215)),TRIM(MID('R.M Billets Reports'!D215,SEARCH("-",'R.M Billets Reports'!D215)+1,200)),"")))="SHREE RADHE SHAKTI SPONGE AND POWER PVT. LTD.","SHREE RADHE",IF(IF(ISNUMBER(SEARCH("Party Name:-",'R.M Billets Reports'!D214)),TRIM('R.M Billets Reports'!F214),IF(ISNUMBER(SEARCH("Party Name-",'R.M Billets Reports'!D214)),TRIM(MID('R.M Billets Reports'!D214,SEARCH("-",'R.M Billets Reports'!D214)+1,200)),""))&lt;&gt;"",IF(ISNUMBER(SEARCH("Party Name:-",'R.M Billets Reports'!D214)),TRIM('R.M Billets Reports'!F214),IF(ISNUMBER(SEARCH("Party Name-",'R.M Billets Reports'!D214)),TRIM(MID('R.M Billets Reports'!D214,SEARCH("-",'R.M Billets Reports'!D214)+1,200)),"")),IF(ISNUMBER(SEARCH("Party Name:-",'R.M Billets Reports'!D215)),TRIM('R.M Billets Reports'!F215),IF(ISNUMBER(SEARCH("Party Name-",'R.M Billets Reports'!D215)),TRIM(MID('R.M Billets Reports'!D215,SEARCH("-",'R.M Billets Reports'!D215)+1,200)),"")))))),IF(ROW()=2,"",A214))</f>
      </c>
      <c r="B215">
        <f>IF(OR('R.M Billets Reports'!A214="Date-",'R.M Billets Reports'!A214="Date:-"),'R.M Billets Reports'!B214,IF(ROW()=2,"",B214))</f>
      </c>
      <c r="C215">
        <f>IF('R.M Billets Reports'!A214="V.No.",'R.M Billets Reports'!B214,IF(ROW()=2,"",C214))</f>
      </c>
      <c r="D215">
        <f>IF('R.M Billets Reports'!A214&lt;&gt;"",'R.M Billets Reports'!A214,IF(ROW()=2,"",D214))</f>
      </c>
      <c r="E215">
        <f>IF('R.M Billets Reports'!B214="","",TRIM('R.M Billets Reports'!B214))</f>
      </c>
      <c r="F215">
        <f>'R.M Billets Reports'!C214</f>
      </c>
      <c r="G215">
        <f>'R.M Billets Reports'!D214</f>
      </c>
      <c r="H215">
        <f>'R.M Billets Reports'!E214</f>
      </c>
      <c r="I215">
        <f>'R.M Billets Reports'!F214</f>
      </c>
      <c r="J215">
        <f>'R.M Billets Reports'!G214</f>
      </c>
      <c r="K215">
        <f>'R.M Billets Reports'!H214</f>
      </c>
      <c r="L215">
        <f>IF('R.M Billets Reports'!I214="","",'R.M Billets Reports'!I214)</f>
      </c>
      <c r="M215">
        <f t="shared" si="6"/>
      </c>
      <c r="N215">
        <f>IF('R.M Billets Reports'!J214="","",'R.M Billets Reports'!J214)</f>
      </c>
      <c r="O215">
        <f t="shared" si="7"/>
      </c>
      <c r="P215">
        <f>IF('R.M Billets Reports'!A214="SIZE",'R.M Billets Reports'!B214,P214)</f>
      </c>
    </row>
    <row r="216" spans="1:16" x14ac:dyDescent="0.25">
      <c r="A216">
        <f>IF(OR('R.M Billets Reports'!A215="Date-",'R.M Billets Reports'!A215="Date:-"),IF(IF(IF(ISNUMBER(SEARCH("Party Name:-",'R.M Billets Reports'!D215)),TRIM('R.M Billets Reports'!F215),IF(ISNUMBER(SEARCH("Party Name-",'R.M Billets Reports'!D215)),TRIM(MID('R.M Billets Reports'!D215,SEARCH("-",'R.M Billets Reports'!D215)+1,200)),""))&lt;&gt;"",IF(ISNUMBER(SEARCH("Party Name:-",'R.M Billets Reports'!D215)),TRIM('R.M Billets Reports'!F215),IF(ISNUMBER(SEARCH("Party Name-",'R.M Billets Reports'!D215)),TRIM(MID('R.M Billets Reports'!D215,SEARCH("-",'R.M Billets Reports'!D215)+1,200)),"")),IF(ISNUMBER(SEARCH("Party Name:-",'R.M Billets Reports'!D216)),TRIM('R.M Billets Reports'!F216),IF(ISNUMBER(SEARCH("Party Name-",'R.M Billets Reports'!D216)),TRIM(MID('R.M Billets Reports'!D216,SEARCH("-",'R.M Billets Reports'!D216)+1,200)),"")))="VRKP ISPAT PVT LTD","VRKP",IF(IF(IF(ISNUMBER(SEARCH("Party Name:-",'R.M Billets Reports'!D215)),TRIM('R.M Billets Reports'!F215),IF(ISNUMBER(SEARCH("Party Name-",'R.M Billets Reports'!D215)),TRIM(MID('R.M Billets Reports'!D215,SEARCH("-",'R.M Billets Reports'!D215)+1,200)),""))&lt;&gt;"",IF(ISNUMBER(SEARCH("Party Name:-",'R.M Billets Reports'!D215)),TRIM('R.M Billets Reports'!F215),IF(ISNUMBER(SEARCH("Party Name-",'R.M Billets Reports'!D215)),TRIM(MID('R.M Billets Reports'!D215,SEARCH("-",'R.M Billets Reports'!D215)+1,200)),"")),IF(ISNUMBER(SEARCH("Party Name:-",'R.M Billets Reports'!D216)),TRIM('R.M Billets Reports'!F216),IF(ISNUMBER(SEARCH("Party Name-",'R.M Billets Reports'!D216)),TRIM(MID('R.M Billets Reports'!D216,SEARCH("-",'R.M Billets Reports'!D216)+1,200)),"")))="SHRI RADHE","SHREE RADHE",IF(IF(IF(ISNUMBER(SEARCH("Party Name:-",'R.M Billets Reports'!D215)),TRIM('R.M Billets Reports'!F215),IF(ISNUMBER(SEARCH("Party Name-",'R.M Billets Reports'!D215)),TRIM(MID('R.M Billets Reports'!D215,SEARCH("-",'R.M Billets Reports'!D215)+1,200)),""))&lt;&gt;"",IF(ISNUMBER(SEARCH("Party Name:-",'R.M Billets Reports'!D215)),TRIM('R.M Billets Reports'!F215),IF(ISNUMBER(SEARCH("Party Name-",'R.M Billets Reports'!D215)),TRIM(MID('R.M Billets Reports'!D215,SEARCH("-",'R.M Billets Reports'!D215)+1,200)),"")),IF(ISNUMBER(SEARCH("Party Name:-",'R.M Billets Reports'!D216)),TRIM('R.M Billets Reports'!F216),IF(ISNUMBER(SEARCH("Party Name-",'R.M Billets Reports'!D216)),TRIM(MID('R.M Billets Reports'!D216,SEARCH("-",'R.M Billets Reports'!D216)+1,200)),"")))="SHREE RADHE SHAKTI SPONGE AND POWER PVT. LTD.","SHREE RADHE",IF(IF(ISNUMBER(SEARCH("Party Name:-",'R.M Billets Reports'!D215)),TRIM('R.M Billets Reports'!F215),IF(ISNUMBER(SEARCH("Party Name-",'R.M Billets Reports'!D215)),TRIM(MID('R.M Billets Reports'!D215,SEARCH("-",'R.M Billets Reports'!D215)+1,200)),""))&lt;&gt;"",IF(ISNUMBER(SEARCH("Party Name:-",'R.M Billets Reports'!D215)),TRIM('R.M Billets Reports'!F215),IF(ISNUMBER(SEARCH("Party Name-",'R.M Billets Reports'!D215)),TRIM(MID('R.M Billets Reports'!D215,SEARCH("-",'R.M Billets Reports'!D215)+1,200)),"")),IF(ISNUMBER(SEARCH("Party Name:-",'R.M Billets Reports'!D216)),TRIM('R.M Billets Reports'!F216),IF(ISNUMBER(SEARCH("Party Name-",'R.M Billets Reports'!D216)),TRIM(MID('R.M Billets Reports'!D216,SEARCH("-",'R.M Billets Reports'!D216)+1,200)),"")))))),IF(ROW()=2,"",A215))</f>
      </c>
      <c r="B216">
        <f>IF(OR('R.M Billets Reports'!A215="Date-",'R.M Billets Reports'!A215="Date:-"),'R.M Billets Reports'!B215,IF(ROW()=2,"",B215))</f>
      </c>
      <c r="C216">
        <f>IF('R.M Billets Reports'!A215="V.No.",'R.M Billets Reports'!B215,IF(ROW()=2,"",C215))</f>
      </c>
      <c r="D216">
        <f>IF('R.M Billets Reports'!A215&lt;&gt;"",'R.M Billets Reports'!A215,IF(ROW()=2,"",D215))</f>
      </c>
      <c r="E216">
        <f>IF('R.M Billets Reports'!B215="","",TRIM('R.M Billets Reports'!B215))</f>
      </c>
      <c r="F216">
        <f>'R.M Billets Reports'!C215</f>
      </c>
      <c r="G216">
        <f>'R.M Billets Reports'!D215</f>
      </c>
      <c r="H216">
        <f>'R.M Billets Reports'!E215</f>
      </c>
      <c r="I216">
        <f>'R.M Billets Reports'!F215</f>
      </c>
      <c r="J216">
        <f>'R.M Billets Reports'!G215</f>
      </c>
      <c r="K216">
        <f>'R.M Billets Reports'!H215</f>
      </c>
      <c r="L216">
        <f>IF('R.M Billets Reports'!I215="","",'R.M Billets Reports'!I215)</f>
      </c>
      <c r="M216">
        <f t="shared" si="6"/>
      </c>
      <c r="N216">
        <f>IF('R.M Billets Reports'!J215="","",'R.M Billets Reports'!J215)</f>
      </c>
      <c r="O216">
        <f t="shared" si="7"/>
      </c>
      <c r="P216">
        <f>IF('R.M Billets Reports'!A215="SIZE",'R.M Billets Reports'!B215,P215)</f>
      </c>
    </row>
    <row r="217" spans="1:16" x14ac:dyDescent="0.25">
      <c r="A217">
        <f>IF(OR('R.M Billets Reports'!A216="Date-",'R.M Billets Reports'!A216="Date:-"),IF(IF(IF(ISNUMBER(SEARCH("Party Name:-",'R.M Billets Reports'!D216)),TRIM('R.M Billets Reports'!F216),IF(ISNUMBER(SEARCH("Party Name-",'R.M Billets Reports'!D216)),TRIM(MID('R.M Billets Reports'!D216,SEARCH("-",'R.M Billets Reports'!D216)+1,200)),""))&lt;&gt;"",IF(ISNUMBER(SEARCH("Party Name:-",'R.M Billets Reports'!D216)),TRIM('R.M Billets Reports'!F216),IF(ISNUMBER(SEARCH("Party Name-",'R.M Billets Reports'!D216)),TRIM(MID('R.M Billets Reports'!D216,SEARCH("-",'R.M Billets Reports'!D216)+1,200)),"")),IF(ISNUMBER(SEARCH("Party Name:-",'R.M Billets Reports'!D217)),TRIM('R.M Billets Reports'!F217),IF(ISNUMBER(SEARCH("Party Name-",'R.M Billets Reports'!D217)),TRIM(MID('R.M Billets Reports'!D217,SEARCH("-",'R.M Billets Reports'!D217)+1,200)),"")))="VRKP ISPAT PVT LTD","VRKP",IF(IF(IF(ISNUMBER(SEARCH("Party Name:-",'R.M Billets Reports'!D216)),TRIM('R.M Billets Reports'!F216),IF(ISNUMBER(SEARCH("Party Name-",'R.M Billets Reports'!D216)),TRIM(MID('R.M Billets Reports'!D216,SEARCH("-",'R.M Billets Reports'!D216)+1,200)),""))&lt;&gt;"",IF(ISNUMBER(SEARCH("Party Name:-",'R.M Billets Reports'!D216)),TRIM('R.M Billets Reports'!F216),IF(ISNUMBER(SEARCH("Party Name-",'R.M Billets Reports'!D216)),TRIM(MID('R.M Billets Reports'!D216,SEARCH("-",'R.M Billets Reports'!D216)+1,200)),"")),IF(ISNUMBER(SEARCH("Party Name:-",'R.M Billets Reports'!D217)),TRIM('R.M Billets Reports'!F217),IF(ISNUMBER(SEARCH("Party Name-",'R.M Billets Reports'!D217)),TRIM(MID('R.M Billets Reports'!D217,SEARCH("-",'R.M Billets Reports'!D217)+1,200)),"")))="SHRI RADHE","SHREE RADHE",IF(IF(IF(ISNUMBER(SEARCH("Party Name:-",'R.M Billets Reports'!D216)),TRIM('R.M Billets Reports'!F216),IF(ISNUMBER(SEARCH("Party Name-",'R.M Billets Reports'!D216)),TRIM(MID('R.M Billets Reports'!D216,SEARCH("-",'R.M Billets Reports'!D216)+1,200)),""))&lt;&gt;"",IF(ISNUMBER(SEARCH("Party Name:-",'R.M Billets Reports'!D216)),TRIM('R.M Billets Reports'!F216),IF(ISNUMBER(SEARCH("Party Name-",'R.M Billets Reports'!D216)),TRIM(MID('R.M Billets Reports'!D216,SEARCH("-",'R.M Billets Reports'!D216)+1,200)),"")),IF(ISNUMBER(SEARCH("Party Name:-",'R.M Billets Reports'!D217)),TRIM('R.M Billets Reports'!F217),IF(ISNUMBER(SEARCH("Party Name-",'R.M Billets Reports'!D217)),TRIM(MID('R.M Billets Reports'!D217,SEARCH("-",'R.M Billets Reports'!D217)+1,200)),"")))="SHREE RADHE SHAKTI SPONGE AND POWER PVT. LTD.","SHREE RADHE",IF(IF(ISNUMBER(SEARCH("Party Name:-",'R.M Billets Reports'!D216)),TRIM('R.M Billets Reports'!F216),IF(ISNUMBER(SEARCH("Party Name-",'R.M Billets Reports'!D216)),TRIM(MID('R.M Billets Reports'!D216,SEARCH("-",'R.M Billets Reports'!D216)+1,200)),""))&lt;&gt;"",IF(ISNUMBER(SEARCH("Party Name:-",'R.M Billets Reports'!D216)),TRIM('R.M Billets Reports'!F216),IF(ISNUMBER(SEARCH("Party Name-",'R.M Billets Reports'!D216)),TRIM(MID('R.M Billets Reports'!D216,SEARCH("-",'R.M Billets Reports'!D216)+1,200)),"")),IF(ISNUMBER(SEARCH("Party Name:-",'R.M Billets Reports'!D217)),TRIM('R.M Billets Reports'!F217),IF(ISNUMBER(SEARCH("Party Name-",'R.M Billets Reports'!D217)),TRIM(MID('R.M Billets Reports'!D217,SEARCH("-",'R.M Billets Reports'!D217)+1,200)),"")))))),IF(ROW()=2,"",A216))</f>
      </c>
      <c r="B217">
        <f>IF(OR('R.M Billets Reports'!A216="Date-",'R.M Billets Reports'!A216="Date:-"),'R.M Billets Reports'!B216,IF(ROW()=2,"",B216))</f>
      </c>
      <c r="C217">
        <f>IF('R.M Billets Reports'!A216="V.No.",'R.M Billets Reports'!B216,IF(ROW()=2,"",C216))</f>
      </c>
      <c r="D217">
        <f>IF('R.M Billets Reports'!A216&lt;&gt;"",'R.M Billets Reports'!A216,IF(ROW()=2,"",D216))</f>
      </c>
      <c r="E217">
        <f>IF('R.M Billets Reports'!B216="","",TRIM('R.M Billets Reports'!B216))</f>
      </c>
      <c r="F217">
        <f>'R.M Billets Reports'!C216</f>
      </c>
      <c r="G217">
        <f>'R.M Billets Reports'!D216</f>
      </c>
      <c r="H217">
        <f>'R.M Billets Reports'!E216</f>
      </c>
      <c r="I217">
        <f>'R.M Billets Reports'!F216</f>
      </c>
      <c r="J217">
        <f>'R.M Billets Reports'!G216</f>
      </c>
      <c r="K217">
        <f>'R.M Billets Reports'!H216</f>
      </c>
      <c r="L217">
        <f>IF('R.M Billets Reports'!I216="","",'R.M Billets Reports'!I216)</f>
      </c>
      <c r="M217">
        <f t="shared" si="6"/>
      </c>
      <c r="N217">
        <f>IF('R.M Billets Reports'!J216="","",'R.M Billets Reports'!J216)</f>
      </c>
      <c r="O217">
        <f t="shared" si="7"/>
      </c>
      <c r="P217">
        <f>IF('R.M Billets Reports'!A216="SIZE",'R.M Billets Reports'!B216,P216)</f>
      </c>
    </row>
    <row r="218" spans="1:16" x14ac:dyDescent="0.25">
      <c r="A218">
        <f>IF(OR('R.M Billets Reports'!A217="Date-",'R.M Billets Reports'!A217="Date:-"),IF(IF(IF(ISNUMBER(SEARCH("Party Name:-",'R.M Billets Reports'!D217)),TRIM('R.M Billets Reports'!F217),IF(ISNUMBER(SEARCH("Party Name-",'R.M Billets Reports'!D217)),TRIM(MID('R.M Billets Reports'!D217,SEARCH("-",'R.M Billets Reports'!D217)+1,200)),""))&lt;&gt;"",IF(ISNUMBER(SEARCH("Party Name:-",'R.M Billets Reports'!D217)),TRIM('R.M Billets Reports'!F217),IF(ISNUMBER(SEARCH("Party Name-",'R.M Billets Reports'!D217)),TRIM(MID('R.M Billets Reports'!D217,SEARCH("-",'R.M Billets Reports'!D217)+1,200)),"")),IF(ISNUMBER(SEARCH("Party Name:-",'R.M Billets Reports'!D218)),TRIM('R.M Billets Reports'!F218),IF(ISNUMBER(SEARCH("Party Name-",'R.M Billets Reports'!D218)),TRIM(MID('R.M Billets Reports'!D218,SEARCH("-",'R.M Billets Reports'!D218)+1,200)),"")))="VRKP ISPAT PVT LTD","VRKP",IF(IF(IF(ISNUMBER(SEARCH("Party Name:-",'R.M Billets Reports'!D217)),TRIM('R.M Billets Reports'!F217),IF(ISNUMBER(SEARCH("Party Name-",'R.M Billets Reports'!D217)),TRIM(MID('R.M Billets Reports'!D217,SEARCH("-",'R.M Billets Reports'!D217)+1,200)),""))&lt;&gt;"",IF(ISNUMBER(SEARCH("Party Name:-",'R.M Billets Reports'!D217)),TRIM('R.M Billets Reports'!F217),IF(ISNUMBER(SEARCH("Party Name-",'R.M Billets Reports'!D217)),TRIM(MID('R.M Billets Reports'!D217,SEARCH("-",'R.M Billets Reports'!D217)+1,200)),"")),IF(ISNUMBER(SEARCH("Party Name:-",'R.M Billets Reports'!D218)),TRIM('R.M Billets Reports'!F218),IF(ISNUMBER(SEARCH("Party Name-",'R.M Billets Reports'!D218)),TRIM(MID('R.M Billets Reports'!D218,SEARCH("-",'R.M Billets Reports'!D218)+1,200)),"")))="SHRI RADHE","SHREE RADHE",IF(IF(IF(ISNUMBER(SEARCH("Party Name:-",'R.M Billets Reports'!D217)),TRIM('R.M Billets Reports'!F217),IF(ISNUMBER(SEARCH("Party Name-",'R.M Billets Reports'!D217)),TRIM(MID('R.M Billets Reports'!D217,SEARCH("-",'R.M Billets Reports'!D217)+1,200)),""))&lt;&gt;"",IF(ISNUMBER(SEARCH("Party Name:-",'R.M Billets Reports'!D217)),TRIM('R.M Billets Reports'!F217),IF(ISNUMBER(SEARCH("Party Name-",'R.M Billets Reports'!D217)),TRIM(MID('R.M Billets Reports'!D217,SEARCH("-",'R.M Billets Reports'!D217)+1,200)),"")),IF(ISNUMBER(SEARCH("Party Name:-",'R.M Billets Reports'!D218)),TRIM('R.M Billets Reports'!F218),IF(ISNUMBER(SEARCH("Party Name-",'R.M Billets Reports'!D218)),TRIM(MID('R.M Billets Reports'!D218,SEARCH("-",'R.M Billets Reports'!D218)+1,200)),"")))="SHREE RADHE SHAKTI SPONGE AND POWER PVT. LTD.","SHREE RADHE",IF(IF(ISNUMBER(SEARCH("Party Name:-",'R.M Billets Reports'!D217)),TRIM('R.M Billets Reports'!F217),IF(ISNUMBER(SEARCH("Party Name-",'R.M Billets Reports'!D217)),TRIM(MID('R.M Billets Reports'!D217,SEARCH("-",'R.M Billets Reports'!D217)+1,200)),""))&lt;&gt;"",IF(ISNUMBER(SEARCH("Party Name:-",'R.M Billets Reports'!D217)),TRIM('R.M Billets Reports'!F217),IF(ISNUMBER(SEARCH("Party Name-",'R.M Billets Reports'!D217)),TRIM(MID('R.M Billets Reports'!D217,SEARCH("-",'R.M Billets Reports'!D217)+1,200)),"")),IF(ISNUMBER(SEARCH("Party Name:-",'R.M Billets Reports'!D218)),TRIM('R.M Billets Reports'!F218),IF(ISNUMBER(SEARCH("Party Name-",'R.M Billets Reports'!D218)),TRIM(MID('R.M Billets Reports'!D218,SEARCH("-",'R.M Billets Reports'!D218)+1,200)),"")))))),IF(ROW()=2,"",A217))</f>
      </c>
      <c r="B218">
        <f>IF(OR('R.M Billets Reports'!A217="Date-",'R.M Billets Reports'!A217="Date:-"),'R.M Billets Reports'!B217,IF(ROW()=2,"",B217))</f>
      </c>
      <c r="C218">
        <f>IF('R.M Billets Reports'!A217="V.No.",'R.M Billets Reports'!B217,IF(ROW()=2,"",C217))</f>
      </c>
      <c r="D218">
        <f>IF('R.M Billets Reports'!A217&lt;&gt;"",'R.M Billets Reports'!A217,IF(ROW()=2,"",D217))</f>
      </c>
      <c r="E218">
        <f>IF('R.M Billets Reports'!B217="","",TRIM('R.M Billets Reports'!B217))</f>
      </c>
      <c r="F218">
        <f>'R.M Billets Reports'!C217</f>
      </c>
      <c r="G218">
        <f>'R.M Billets Reports'!D217</f>
      </c>
      <c r="H218">
        <f>'R.M Billets Reports'!E217</f>
      </c>
      <c r="I218">
        <f>'R.M Billets Reports'!F217</f>
      </c>
      <c r="J218">
        <f>'R.M Billets Reports'!G217</f>
      </c>
      <c r="K218">
        <f>'R.M Billets Reports'!H217</f>
      </c>
      <c r="L218">
        <f>IF('R.M Billets Reports'!I217="","",'R.M Billets Reports'!I217)</f>
      </c>
      <c r="M218">
        <f t="shared" si="6"/>
      </c>
      <c r="N218">
        <f>IF('R.M Billets Reports'!J217="","",'R.M Billets Reports'!J217)</f>
      </c>
      <c r="O218">
        <f t="shared" si="7"/>
      </c>
      <c r="P218">
        <f>IF('R.M Billets Reports'!A217="SIZE",'R.M Billets Reports'!B217,P217)</f>
      </c>
    </row>
    <row r="219" spans="1:16" x14ac:dyDescent="0.25">
      <c r="A219">
        <f>IF(OR('R.M Billets Reports'!A218="Date-",'R.M Billets Reports'!A218="Date:-"),IF(IF(IF(ISNUMBER(SEARCH("Party Name:-",'R.M Billets Reports'!D218)),TRIM('R.M Billets Reports'!F218),IF(ISNUMBER(SEARCH("Party Name-",'R.M Billets Reports'!D218)),TRIM(MID('R.M Billets Reports'!D218,SEARCH("-",'R.M Billets Reports'!D218)+1,200)),""))&lt;&gt;"",IF(ISNUMBER(SEARCH("Party Name:-",'R.M Billets Reports'!D218)),TRIM('R.M Billets Reports'!F218),IF(ISNUMBER(SEARCH("Party Name-",'R.M Billets Reports'!D218)),TRIM(MID('R.M Billets Reports'!D218,SEARCH("-",'R.M Billets Reports'!D218)+1,200)),"")),IF(ISNUMBER(SEARCH("Party Name:-",'R.M Billets Reports'!D219)),TRIM('R.M Billets Reports'!F219),IF(ISNUMBER(SEARCH("Party Name-",'R.M Billets Reports'!D219)),TRIM(MID('R.M Billets Reports'!D219,SEARCH("-",'R.M Billets Reports'!D219)+1,200)),"")))="VRKP ISPAT PVT LTD","VRKP",IF(IF(IF(ISNUMBER(SEARCH("Party Name:-",'R.M Billets Reports'!D218)),TRIM('R.M Billets Reports'!F218),IF(ISNUMBER(SEARCH("Party Name-",'R.M Billets Reports'!D218)),TRIM(MID('R.M Billets Reports'!D218,SEARCH("-",'R.M Billets Reports'!D218)+1,200)),""))&lt;&gt;"",IF(ISNUMBER(SEARCH("Party Name:-",'R.M Billets Reports'!D218)),TRIM('R.M Billets Reports'!F218),IF(ISNUMBER(SEARCH("Party Name-",'R.M Billets Reports'!D218)),TRIM(MID('R.M Billets Reports'!D218,SEARCH("-",'R.M Billets Reports'!D218)+1,200)),"")),IF(ISNUMBER(SEARCH("Party Name:-",'R.M Billets Reports'!D219)),TRIM('R.M Billets Reports'!F219),IF(ISNUMBER(SEARCH("Party Name-",'R.M Billets Reports'!D219)),TRIM(MID('R.M Billets Reports'!D219,SEARCH("-",'R.M Billets Reports'!D219)+1,200)),"")))="SHRI RADHE","SHREE RADHE",IF(IF(IF(ISNUMBER(SEARCH("Party Name:-",'R.M Billets Reports'!D218)),TRIM('R.M Billets Reports'!F218),IF(ISNUMBER(SEARCH("Party Name-",'R.M Billets Reports'!D218)),TRIM(MID('R.M Billets Reports'!D218,SEARCH("-",'R.M Billets Reports'!D218)+1,200)),""))&lt;&gt;"",IF(ISNUMBER(SEARCH("Party Name:-",'R.M Billets Reports'!D218)),TRIM('R.M Billets Reports'!F218),IF(ISNUMBER(SEARCH("Party Name-",'R.M Billets Reports'!D218)),TRIM(MID('R.M Billets Reports'!D218,SEARCH("-",'R.M Billets Reports'!D218)+1,200)),"")),IF(ISNUMBER(SEARCH("Party Name:-",'R.M Billets Reports'!D219)),TRIM('R.M Billets Reports'!F219),IF(ISNUMBER(SEARCH("Party Name-",'R.M Billets Reports'!D219)),TRIM(MID('R.M Billets Reports'!D219,SEARCH("-",'R.M Billets Reports'!D219)+1,200)),"")))="SHREE RADHE SHAKTI SPONGE AND POWER PVT. LTD.","SHREE RADHE",IF(IF(ISNUMBER(SEARCH("Party Name:-",'R.M Billets Reports'!D218)),TRIM('R.M Billets Reports'!F218),IF(ISNUMBER(SEARCH("Party Name-",'R.M Billets Reports'!D218)),TRIM(MID('R.M Billets Reports'!D218,SEARCH("-",'R.M Billets Reports'!D218)+1,200)),""))&lt;&gt;"",IF(ISNUMBER(SEARCH("Party Name:-",'R.M Billets Reports'!D218)),TRIM('R.M Billets Reports'!F218),IF(ISNUMBER(SEARCH("Party Name-",'R.M Billets Reports'!D218)),TRIM(MID('R.M Billets Reports'!D218,SEARCH("-",'R.M Billets Reports'!D218)+1,200)),"")),IF(ISNUMBER(SEARCH("Party Name:-",'R.M Billets Reports'!D219)),TRIM('R.M Billets Reports'!F219),IF(ISNUMBER(SEARCH("Party Name-",'R.M Billets Reports'!D219)),TRIM(MID('R.M Billets Reports'!D219,SEARCH("-",'R.M Billets Reports'!D219)+1,200)),"")))))),IF(ROW()=2,"",A218))</f>
      </c>
      <c r="B219">
        <f>IF(OR('R.M Billets Reports'!A218="Date-",'R.M Billets Reports'!A218="Date:-"),'R.M Billets Reports'!B218,IF(ROW()=2,"",B218))</f>
      </c>
      <c r="C219">
        <f>IF('R.M Billets Reports'!A218="V.No.",'R.M Billets Reports'!B218,IF(ROW()=2,"",C218))</f>
      </c>
      <c r="D219">
        <f>IF('R.M Billets Reports'!A218&lt;&gt;"",'R.M Billets Reports'!A218,IF(ROW()=2,"",D218))</f>
      </c>
      <c r="E219">
        <f>IF('R.M Billets Reports'!B218="","",TRIM('R.M Billets Reports'!B218))</f>
      </c>
      <c r="F219">
        <f>'R.M Billets Reports'!C218</f>
      </c>
      <c r="G219">
        <f>'R.M Billets Reports'!D218</f>
      </c>
      <c r="H219">
        <f>'R.M Billets Reports'!E218</f>
      </c>
      <c r="I219">
        <f>'R.M Billets Reports'!F218</f>
      </c>
      <c r="J219">
        <f>'R.M Billets Reports'!G218</f>
      </c>
      <c r="K219">
        <f>'R.M Billets Reports'!H218</f>
      </c>
      <c r="L219">
        <f>IF('R.M Billets Reports'!I218="","",'R.M Billets Reports'!I218)</f>
      </c>
      <c r="M219">
        <f t="shared" si="6"/>
      </c>
      <c r="N219">
        <f>IF('R.M Billets Reports'!J218="","",'R.M Billets Reports'!J218)</f>
      </c>
      <c r="O219">
        <f t="shared" si="7"/>
      </c>
      <c r="P219">
        <f>IF('R.M Billets Reports'!A218="SIZE",'R.M Billets Reports'!B218,P218)</f>
      </c>
    </row>
    <row r="220" spans="1:16" x14ac:dyDescent="0.25">
      <c r="A220">
        <f>IF(OR('R.M Billets Reports'!A219="Date-",'R.M Billets Reports'!A219="Date:-"),IF(IF(IF(ISNUMBER(SEARCH("Party Name:-",'R.M Billets Reports'!D219)),TRIM('R.M Billets Reports'!F219),IF(ISNUMBER(SEARCH("Party Name-",'R.M Billets Reports'!D219)),TRIM(MID('R.M Billets Reports'!D219,SEARCH("-",'R.M Billets Reports'!D219)+1,200)),""))&lt;&gt;"",IF(ISNUMBER(SEARCH("Party Name:-",'R.M Billets Reports'!D219)),TRIM('R.M Billets Reports'!F219),IF(ISNUMBER(SEARCH("Party Name-",'R.M Billets Reports'!D219)),TRIM(MID('R.M Billets Reports'!D219,SEARCH("-",'R.M Billets Reports'!D219)+1,200)),"")),IF(ISNUMBER(SEARCH("Party Name:-",'R.M Billets Reports'!D220)),TRIM('R.M Billets Reports'!F220),IF(ISNUMBER(SEARCH("Party Name-",'R.M Billets Reports'!D220)),TRIM(MID('R.M Billets Reports'!D220,SEARCH("-",'R.M Billets Reports'!D220)+1,200)),"")))="VRKP ISPAT PVT LTD","VRKP",IF(IF(IF(ISNUMBER(SEARCH("Party Name:-",'R.M Billets Reports'!D219)),TRIM('R.M Billets Reports'!F219),IF(ISNUMBER(SEARCH("Party Name-",'R.M Billets Reports'!D219)),TRIM(MID('R.M Billets Reports'!D219,SEARCH("-",'R.M Billets Reports'!D219)+1,200)),""))&lt;&gt;"",IF(ISNUMBER(SEARCH("Party Name:-",'R.M Billets Reports'!D219)),TRIM('R.M Billets Reports'!F219),IF(ISNUMBER(SEARCH("Party Name-",'R.M Billets Reports'!D219)),TRIM(MID('R.M Billets Reports'!D219,SEARCH("-",'R.M Billets Reports'!D219)+1,200)),"")),IF(ISNUMBER(SEARCH("Party Name:-",'R.M Billets Reports'!D220)),TRIM('R.M Billets Reports'!F220),IF(ISNUMBER(SEARCH("Party Name-",'R.M Billets Reports'!D220)),TRIM(MID('R.M Billets Reports'!D220,SEARCH("-",'R.M Billets Reports'!D220)+1,200)),"")))="SHRI RADHE","SHREE RADHE",IF(IF(IF(ISNUMBER(SEARCH("Party Name:-",'R.M Billets Reports'!D219)),TRIM('R.M Billets Reports'!F219),IF(ISNUMBER(SEARCH("Party Name-",'R.M Billets Reports'!D219)),TRIM(MID('R.M Billets Reports'!D219,SEARCH("-",'R.M Billets Reports'!D219)+1,200)),""))&lt;&gt;"",IF(ISNUMBER(SEARCH("Party Name:-",'R.M Billets Reports'!D219)),TRIM('R.M Billets Reports'!F219),IF(ISNUMBER(SEARCH("Party Name-",'R.M Billets Reports'!D219)),TRIM(MID('R.M Billets Reports'!D219,SEARCH("-",'R.M Billets Reports'!D219)+1,200)),"")),IF(ISNUMBER(SEARCH("Party Name:-",'R.M Billets Reports'!D220)),TRIM('R.M Billets Reports'!F220),IF(ISNUMBER(SEARCH("Party Name-",'R.M Billets Reports'!D220)),TRIM(MID('R.M Billets Reports'!D220,SEARCH("-",'R.M Billets Reports'!D220)+1,200)),"")))="SHREE RADHE SHAKTI SPONGE AND POWER PVT. LTD.","SHREE RADHE",IF(IF(ISNUMBER(SEARCH("Party Name:-",'R.M Billets Reports'!D219)),TRIM('R.M Billets Reports'!F219),IF(ISNUMBER(SEARCH("Party Name-",'R.M Billets Reports'!D219)),TRIM(MID('R.M Billets Reports'!D219,SEARCH("-",'R.M Billets Reports'!D219)+1,200)),""))&lt;&gt;"",IF(ISNUMBER(SEARCH("Party Name:-",'R.M Billets Reports'!D219)),TRIM('R.M Billets Reports'!F219),IF(ISNUMBER(SEARCH("Party Name-",'R.M Billets Reports'!D219)),TRIM(MID('R.M Billets Reports'!D219,SEARCH("-",'R.M Billets Reports'!D219)+1,200)),"")),IF(ISNUMBER(SEARCH("Party Name:-",'R.M Billets Reports'!D220)),TRIM('R.M Billets Reports'!F220),IF(ISNUMBER(SEARCH("Party Name-",'R.M Billets Reports'!D220)),TRIM(MID('R.M Billets Reports'!D220,SEARCH("-",'R.M Billets Reports'!D220)+1,200)),"")))))),IF(ROW()=2,"",A219))</f>
      </c>
      <c r="B220">
        <f>IF(OR('R.M Billets Reports'!A219="Date-",'R.M Billets Reports'!A219="Date:-"),'R.M Billets Reports'!B219,IF(ROW()=2,"",B219))</f>
      </c>
      <c r="C220">
        <f>IF('R.M Billets Reports'!A219="V.No.",'R.M Billets Reports'!B219,IF(ROW()=2,"",C219))</f>
      </c>
      <c r="D220">
        <f>IF('R.M Billets Reports'!A219&lt;&gt;"",'R.M Billets Reports'!A219,IF(ROW()=2,"",D219))</f>
      </c>
      <c r="E220">
        <f>IF('R.M Billets Reports'!B219="","",TRIM('R.M Billets Reports'!B219))</f>
      </c>
      <c r="F220">
        <f>'R.M Billets Reports'!C219</f>
      </c>
      <c r="G220">
        <f>'R.M Billets Reports'!D219</f>
      </c>
      <c r="H220">
        <f>'R.M Billets Reports'!E219</f>
      </c>
      <c r="I220">
        <f>'R.M Billets Reports'!F219</f>
      </c>
      <c r="J220">
        <f>'R.M Billets Reports'!G219</f>
      </c>
      <c r="K220">
        <f>'R.M Billets Reports'!H219</f>
      </c>
      <c r="L220">
        <f>IF('R.M Billets Reports'!I219="","",'R.M Billets Reports'!I219)</f>
      </c>
      <c r="M220">
        <f t="shared" si="6"/>
      </c>
      <c r="N220">
        <f>IF('R.M Billets Reports'!J219="","",'R.M Billets Reports'!J219)</f>
      </c>
      <c r="O220">
        <f t="shared" si="7"/>
      </c>
      <c r="P220">
        <f>IF('R.M Billets Reports'!A219="SIZE",'R.M Billets Reports'!B219,P219)</f>
      </c>
    </row>
    <row r="221" spans="1:16" x14ac:dyDescent="0.25">
      <c r="A221">
        <f>IF(OR('R.M Billets Reports'!A220="Date-",'R.M Billets Reports'!A220="Date:-"),IF(IF(IF(ISNUMBER(SEARCH("Party Name:-",'R.M Billets Reports'!D220)),TRIM('R.M Billets Reports'!F220),IF(ISNUMBER(SEARCH("Party Name-",'R.M Billets Reports'!D220)),TRIM(MID('R.M Billets Reports'!D220,SEARCH("-",'R.M Billets Reports'!D220)+1,200)),""))&lt;&gt;"",IF(ISNUMBER(SEARCH("Party Name:-",'R.M Billets Reports'!D220)),TRIM('R.M Billets Reports'!F220),IF(ISNUMBER(SEARCH("Party Name-",'R.M Billets Reports'!D220)),TRIM(MID('R.M Billets Reports'!D220,SEARCH("-",'R.M Billets Reports'!D220)+1,200)),"")),IF(ISNUMBER(SEARCH("Party Name:-",'R.M Billets Reports'!D221)),TRIM('R.M Billets Reports'!F221),IF(ISNUMBER(SEARCH("Party Name-",'R.M Billets Reports'!D221)),TRIM(MID('R.M Billets Reports'!D221,SEARCH("-",'R.M Billets Reports'!D221)+1,200)),"")))="VRKP ISPAT PVT LTD","VRKP",IF(IF(IF(ISNUMBER(SEARCH("Party Name:-",'R.M Billets Reports'!D220)),TRIM('R.M Billets Reports'!F220),IF(ISNUMBER(SEARCH("Party Name-",'R.M Billets Reports'!D220)),TRIM(MID('R.M Billets Reports'!D220,SEARCH("-",'R.M Billets Reports'!D220)+1,200)),""))&lt;&gt;"",IF(ISNUMBER(SEARCH("Party Name:-",'R.M Billets Reports'!D220)),TRIM('R.M Billets Reports'!F220),IF(ISNUMBER(SEARCH("Party Name-",'R.M Billets Reports'!D220)),TRIM(MID('R.M Billets Reports'!D220,SEARCH("-",'R.M Billets Reports'!D220)+1,200)),"")),IF(ISNUMBER(SEARCH("Party Name:-",'R.M Billets Reports'!D221)),TRIM('R.M Billets Reports'!F221),IF(ISNUMBER(SEARCH("Party Name-",'R.M Billets Reports'!D221)),TRIM(MID('R.M Billets Reports'!D221,SEARCH("-",'R.M Billets Reports'!D221)+1,200)),"")))="SHRI RADHE","SHREE RADHE",IF(IF(IF(ISNUMBER(SEARCH("Party Name:-",'R.M Billets Reports'!D220)),TRIM('R.M Billets Reports'!F220),IF(ISNUMBER(SEARCH("Party Name-",'R.M Billets Reports'!D220)),TRIM(MID('R.M Billets Reports'!D220,SEARCH("-",'R.M Billets Reports'!D220)+1,200)),""))&lt;&gt;"",IF(ISNUMBER(SEARCH("Party Name:-",'R.M Billets Reports'!D220)),TRIM('R.M Billets Reports'!F220),IF(ISNUMBER(SEARCH("Party Name-",'R.M Billets Reports'!D220)),TRIM(MID('R.M Billets Reports'!D220,SEARCH("-",'R.M Billets Reports'!D220)+1,200)),"")),IF(ISNUMBER(SEARCH("Party Name:-",'R.M Billets Reports'!D221)),TRIM('R.M Billets Reports'!F221),IF(ISNUMBER(SEARCH("Party Name-",'R.M Billets Reports'!D221)),TRIM(MID('R.M Billets Reports'!D221,SEARCH("-",'R.M Billets Reports'!D221)+1,200)),"")))="SHREE RADHE SHAKTI SPONGE AND POWER PVT. LTD.","SHREE RADHE",IF(IF(ISNUMBER(SEARCH("Party Name:-",'R.M Billets Reports'!D220)),TRIM('R.M Billets Reports'!F220),IF(ISNUMBER(SEARCH("Party Name-",'R.M Billets Reports'!D220)),TRIM(MID('R.M Billets Reports'!D220,SEARCH("-",'R.M Billets Reports'!D220)+1,200)),""))&lt;&gt;"",IF(ISNUMBER(SEARCH("Party Name:-",'R.M Billets Reports'!D220)),TRIM('R.M Billets Reports'!F220),IF(ISNUMBER(SEARCH("Party Name-",'R.M Billets Reports'!D220)),TRIM(MID('R.M Billets Reports'!D220,SEARCH("-",'R.M Billets Reports'!D220)+1,200)),"")),IF(ISNUMBER(SEARCH("Party Name:-",'R.M Billets Reports'!D221)),TRIM('R.M Billets Reports'!F221),IF(ISNUMBER(SEARCH("Party Name-",'R.M Billets Reports'!D221)),TRIM(MID('R.M Billets Reports'!D221,SEARCH("-",'R.M Billets Reports'!D221)+1,200)),"")))))),IF(ROW()=2,"",A220))</f>
      </c>
      <c r="B221">
        <f>IF(OR('R.M Billets Reports'!A220="Date-",'R.M Billets Reports'!A220="Date:-"),'R.M Billets Reports'!B220,IF(ROW()=2,"",B220))</f>
      </c>
      <c r="C221">
        <f>IF('R.M Billets Reports'!A220="V.No.",'R.M Billets Reports'!B220,IF(ROW()=2,"",C220))</f>
      </c>
      <c r="D221">
        <f>IF('R.M Billets Reports'!A220&lt;&gt;"",'R.M Billets Reports'!A220,IF(ROW()=2,"",D220))</f>
      </c>
      <c r="E221">
        <f>IF('R.M Billets Reports'!B220="","",TRIM('R.M Billets Reports'!B220))</f>
      </c>
      <c r="F221">
        <f>'R.M Billets Reports'!C220</f>
      </c>
      <c r="G221">
        <f>'R.M Billets Reports'!D220</f>
      </c>
      <c r="H221">
        <f>'R.M Billets Reports'!E220</f>
      </c>
      <c r="I221">
        <f>'R.M Billets Reports'!F220</f>
      </c>
      <c r="J221">
        <f>'R.M Billets Reports'!G220</f>
      </c>
      <c r="K221">
        <f>'R.M Billets Reports'!H220</f>
      </c>
      <c r="L221">
        <f>IF('R.M Billets Reports'!I220="","",'R.M Billets Reports'!I220)</f>
      </c>
      <c r="M221">
        <f t="shared" si="6"/>
      </c>
      <c r="N221">
        <f>IF('R.M Billets Reports'!J220="","",'R.M Billets Reports'!J220)</f>
      </c>
      <c r="O221">
        <f t="shared" si="7"/>
      </c>
      <c r="P221">
        <f>IF('R.M Billets Reports'!A220="SIZE",'R.M Billets Reports'!B220,P220)</f>
      </c>
    </row>
    <row r="222" spans="1:16" x14ac:dyDescent="0.25">
      <c r="A222">
        <f>IF(OR('R.M Billets Reports'!A221="Date-",'R.M Billets Reports'!A221="Date:-"),IF(IF(IF(ISNUMBER(SEARCH("Party Name:-",'R.M Billets Reports'!D221)),TRIM('R.M Billets Reports'!F221),IF(ISNUMBER(SEARCH("Party Name-",'R.M Billets Reports'!D221)),TRIM(MID('R.M Billets Reports'!D221,SEARCH("-",'R.M Billets Reports'!D221)+1,200)),""))&lt;&gt;"",IF(ISNUMBER(SEARCH("Party Name:-",'R.M Billets Reports'!D221)),TRIM('R.M Billets Reports'!F221),IF(ISNUMBER(SEARCH("Party Name-",'R.M Billets Reports'!D221)),TRIM(MID('R.M Billets Reports'!D221,SEARCH("-",'R.M Billets Reports'!D221)+1,200)),"")),IF(ISNUMBER(SEARCH("Party Name:-",'R.M Billets Reports'!D222)),TRIM('R.M Billets Reports'!F222),IF(ISNUMBER(SEARCH("Party Name-",'R.M Billets Reports'!D222)),TRIM(MID('R.M Billets Reports'!D222,SEARCH("-",'R.M Billets Reports'!D222)+1,200)),"")))="VRKP ISPAT PVT LTD","VRKP",IF(IF(IF(ISNUMBER(SEARCH("Party Name:-",'R.M Billets Reports'!D221)),TRIM('R.M Billets Reports'!F221),IF(ISNUMBER(SEARCH("Party Name-",'R.M Billets Reports'!D221)),TRIM(MID('R.M Billets Reports'!D221,SEARCH("-",'R.M Billets Reports'!D221)+1,200)),""))&lt;&gt;"",IF(ISNUMBER(SEARCH("Party Name:-",'R.M Billets Reports'!D221)),TRIM('R.M Billets Reports'!F221),IF(ISNUMBER(SEARCH("Party Name-",'R.M Billets Reports'!D221)),TRIM(MID('R.M Billets Reports'!D221,SEARCH("-",'R.M Billets Reports'!D221)+1,200)),"")),IF(ISNUMBER(SEARCH("Party Name:-",'R.M Billets Reports'!D222)),TRIM('R.M Billets Reports'!F222),IF(ISNUMBER(SEARCH("Party Name-",'R.M Billets Reports'!D222)),TRIM(MID('R.M Billets Reports'!D222,SEARCH("-",'R.M Billets Reports'!D222)+1,200)),"")))="SHRI RADHE","SHREE RADHE",IF(IF(IF(ISNUMBER(SEARCH("Party Name:-",'R.M Billets Reports'!D221)),TRIM('R.M Billets Reports'!F221),IF(ISNUMBER(SEARCH("Party Name-",'R.M Billets Reports'!D221)),TRIM(MID('R.M Billets Reports'!D221,SEARCH("-",'R.M Billets Reports'!D221)+1,200)),""))&lt;&gt;"",IF(ISNUMBER(SEARCH("Party Name:-",'R.M Billets Reports'!D221)),TRIM('R.M Billets Reports'!F221),IF(ISNUMBER(SEARCH("Party Name-",'R.M Billets Reports'!D221)),TRIM(MID('R.M Billets Reports'!D221,SEARCH("-",'R.M Billets Reports'!D221)+1,200)),"")),IF(ISNUMBER(SEARCH("Party Name:-",'R.M Billets Reports'!D222)),TRIM('R.M Billets Reports'!F222),IF(ISNUMBER(SEARCH("Party Name-",'R.M Billets Reports'!D222)),TRIM(MID('R.M Billets Reports'!D222,SEARCH("-",'R.M Billets Reports'!D222)+1,200)),"")))="SHREE RADHE SHAKTI SPONGE AND POWER PVT. LTD.","SHREE RADHE",IF(IF(ISNUMBER(SEARCH("Party Name:-",'R.M Billets Reports'!D221)),TRIM('R.M Billets Reports'!F221),IF(ISNUMBER(SEARCH("Party Name-",'R.M Billets Reports'!D221)),TRIM(MID('R.M Billets Reports'!D221,SEARCH("-",'R.M Billets Reports'!D221)+1,200)),""))&lt;&gt;"",IF(ISNUMBER(SEARCH("Party Name:-",'R.M Billets Reports'!D221)),TRIM('R.M Billets Reports'!F221),IF(ISNUMBER(SEARCH("Party Name-",'R.M Billets Reports'!D221)),TRIM(MID('R.M Billets Reports'!D221,SEARCH("-",'R.M Billets Reports'!D221)+1,200)),"")),IF(ISNUMBER(SEARCH("Party Name:-",'R.M Billets Reports'!D222)),TRIM('R.M Billets Reports'!F222),IF(ISNUMBER(SEARCH("Party Name-",'R.M Billets Reports'!D222)),TRIM(MID('R.M Billets Reports'!D222,SEARCH("-",'R.M Billets Reports'!D222)+1,200)),"")))))),IF(ROW()=2,"",A221))</f>
      </c>
      <c r="B222">
        <f>IF(OR('R.M Billets Reports'!A221="Date-",'R.M Billets Reports'!A221="Date:-"),'R.M Billets Reports'!B221,IF(ROW()=2,"",B221))</f>
      </c>
      <c r="C222">
        <f>IF('R.M Billets Reports'!A221="V.No.",'R.M Billets Reports'!B221,IF(ROW()=2,"",C221))</f>
      </c>
      <c r="D222">
        <f>IF('R.M Billets Reports'!A221&lt;&gt;"",'R.M Billets Reports'!A221,IF(ROW()=2,"",D221))</f>
      </c>
      <c r="E222">
        <f>IF('R.M Billets Reports'!B221="","",TRIM('R.M Billets Reports'!B221))</f>
      </c>
      <c r="F222">
        <f>'R.M Billets Reports'!C221</f>
      </c>
      <c r="G222">
        <f>'R.M Billets Reports'!D221</f>
      </c>
      <c r="H222">
        <f>'R.M Billets Reports'!E221</f>
      </c>
      <c r="I222">
        <f>'R.M Billets Reports'!F221</f>
      </c>
      <c r="J222">
        <f>'R.M Billets Reports'!G221</f>
      </c>
      <c r="K222">
        <f>'R.M Billets Reports'!H221</f>
      </c>
      <c r="L222">
        <f>IF('R.M Billets Reports'!I221="","",'R.M Billets Reports'!I221)</f>
      </c>
      <c r="M222">
        <f t="shared" si="6"/>
      </c>
      <c r="N222">
        <f>IF('R.M Billets Reports'!J221="","",'R.M Billets Reports'!J221)</f>
      </c>
      <c r="O222">
        <f t="shared" si="7"/>
      </c>
      <c r="P222">
        <f>IF('R.M Billets Reports'!A221="SIZE",'R.M Billets Reports'!B221,P221)</f>
      </c>
    </row>
    <row r="223" spans="1:16" x14ac:dyDescent="0.25">
      <c r="A223">
        <f>IF(OR('R.M Billets Reports'!A222="Date-",'R.M Billets Reports'!A222="Date:-"),IF(IF(IF(ISNUMBER(SEARCH("Party Name:-",'R.M Billets Reports'!D222)),TRIM('R.M Billets Reports'!F222),IF(ISNUMBER(SEARCH("Party Name-",'R.M Billets Reports'!D222)),TRIM(MID('R.M Billets Reports'!D222,SEARCH("-",'R.M Billets Reports'!D222)+1,200)),""))&lt;&gt;"",IF(ISNUMBER(SEARCH("Party Name:-",'R.M Billets Reports'!D222)),TRIM('R.M Billets Reports'!F222),IF(ISNUMBER(SEARCH("Party Name-",'R.M Billets Reports'!D222)),TRIM(MID('R.M Billets Reports'!D222,SEARCH("-",'R.M Billets Reports'!D222)+1,200)),"")),IF(ISNUMBER(SEARCH("Party Name:-",'R.M Billets Reports'!D223)),TRIM('R.M Billets Reports'!F223),IF(ISNUMBER(SEARCH("Party Name-",'R.M Billets Reports'!D223)),TRIM(MID('R.M Billets Reports'!D223,SEARCH("-",'R.M Billets Reports'!D223)+1,200)),"")))="VRKP ISPAT PVT LTD","VRKP",IF(IF(IF(ISNUMBER(SEARCH("Party Name:-",'R.M Billets Reports'!D222)),TRIM('R.M Billets Reports'!F222),IF(ISNUMBER(SEARCH("Party Name-",'R.M Billets Reports'!D222)),TRIM(MID('R.M Billets Reports'!D222,SEARCH("-",'R.M Billets Reports'!D222)+1,200)),""))&lt;&gt;"",IF(ISNUMBER(SEARCH("Party Name:-",'R.M Billets Reports'!D222)),TRIM('R.M Billets Reports'!F222),IF(ISNUMBER(SEARCH("Party Name-",'R.M Billets Reports'!D222)),TRIM(MID('R.M Billets Reports'!D222,SEARCH("-",'R.M Billets Reports'!D222)+1,200)),"")),IF(ISNUMBER(SEARCH("Party Name:-",'R.M Billets Reports'!D223)),TRIM('R.M Billets Reports'!F223),IF(ISNUMBER(SEARCH("Party Name-",'R.M Billets Reports'!D223)),TRIM(MID('R.M Billets Reports'!D223,SEARCH("-",'R.M Billets Reports'!D223)+1,200)),"")))="SHRI RADHE","SHREE RADHE",IF(IF(IF(ISNUMBER(SEARCH("Party Name:-",'R.M Billets Reports'!D222)),TRIM('R.M Billets Reports'!F222),IF(ISNUMBER(SEARCH("Party Name-",'R.M Billets Reports'!D222)),TRIM(MID('R.M Billets Reports'!D222,SEARCH("-",'R.M Billets Reports'!D222)+1,200)),""))&lt;&gt;"",IF(ISNUMBER(SEARCH("Party Name:-",'R.M Billets Reports'!D222)),TRIM('R.M Billets Reports'!F222),IF(ISNUMBER(SEARCH("Party Name-",'R.M Billets Reports'!D222)),TRIM(MID('R.M Billets Reports'!D222,SEARCH("-",'R.M Billets Reports'!D222)+1,200)),"")),IF(ISNUMBER(SEARCH("Party Name:-",'R.M Billets Reports'!D223)),TRIM('R.M Billets Reports'!F223),IF(ISNUMBER(SEARCH("Party Name-",'R.M Billets Reports'!D223)),TRIM(MID('R.M Billets Reports'!D223,SEARCH("-",'R.M Billets Reports'!D223)+1,200)),"")))="SHREE RADHE SHAKTI SPONGE AND POWER PVT. LTD.","SHREE RADHE",IF(IF(ISNUMBER(SEARCH("Party Name:-",'R.M Billets Reports'!D222)),TRIM('R.M Billets Reports'!F222),IF(ISNUMBER(SEARCH("Party Name-",'R.M Billets Reports'!D222)),TRIM(MID('R.M Billets Reports'!D222,SEARCH("-",'R.M Billets Reports'!D222)+1,200)),""))&lt;&gt;"",IF(ISNUMBER(SEARCH("Party Name:-",'R.M Billets Reports'!D222)),TRIM('R.M Billets Reports'!F222),IF(ISNUMBER(SEARCH("Party Name-",'R.M Billets Reports'!D222)),TRIM(MID('R.M Billets Reports'!D222,SEARCH("-",'R.M Billets Reports'!D222)+1,200)),"")),IF(ISNUMBER(SEARCH("Party Name:-",'R.M Billets Reports'!D223)),TRIM('R.M Billets Reports'!F223),IF(ISNUMBER(SEARCH("Party Name-",'R.M Billets Reports'!D223)),TRIM(MID('R.M Billets Reports'!D223,SEARCH("-",'R.M Billets Reports'!D223)+1,200)),"")))))),IF(ROW()=2,"",A222))</f>
      </c>
      <c r="B223">
        <f>IF(OR('R.M Billets Reports'!A222="Date-",'R.M Billets Reports'!A222="Date:-"),'R.M Billets Reports'!B222,IF(ROW()=2,"",B222))</f>
      </c>
      <c r="C223">
        <f>IF('R.M Billets Reports'!A222="V.No.",'R.M Billets Reports'!B222,IF(ROW()=2,"",C222))</f>
      </c>
      <c r="D223">
        <f>IF('R.M Billets Reports'!A222&lt;&gt;"",'R.M Billets Reports'!A222,IF(ROW()=2,"",D222))</f>
      </c>
      <c r="E223">
        <f>IF('R.M Billets Reports'!B222="","",TRIM('R.M Billets Reports'!B222))</f>
      </c>
      <c r="F223">
        <f>'R.M Billets Reports'!C222</f>
      </c>
      <c r="G223">
        <f>'R.M Billets Reports'!D222</f>
      </c>
      <c r="H223">
        <f>'R.M Billets Reports'!E222</f>
      </c>
      <c r="I223">
        <f>'R.M Billets Reports'!F222</f>
      </c>
      <c r="J223">
        <f>'R.M Billets Reports'!G222</f>
      </c>
      <c r="K223">
        <f>'R.M Billets Reports'!H222</f>
      </c>
      <c r="L223">
        <f>IF('R.M Billets Reports'!I222="","",'R.M Billets Reports'!I222)</f>
      </c>
      <c r="M223">
        <f t="shared" si="6"/>
      </c>
      <c r="N223">
        <f>IF('R.M Billets Reports'!J222="","",'R.M Billets Reports'!J222)</f>
      </c>
      <c r="O223">
        <f t="shared" si="7"/>
      </c>
      <c r="P223">
        <f>IF('R.M Billets Reports'!A222="SIZE",'R.M Billets Reports'!B222,P222)</f>
      </c>
    </row>
    <row r="224" spans="1:16" x14ac:dyDescent="0.25">
      <c r="A224">
        <f>IF(OR('R.M Billets Reports'!A223="Date-",'R.M Billets Reports'!A223="Date:-"),IF(IF(IF(ISNUMBER(SEARCH("Party Name:-",'R.M Billets Reports'!D223)),TRIM('R.M Billets Reports'!F223),IF(ISNUMBER(SEARCH("Party Name-",'R.M Billets Reports'!D223)),TRIM(MID('R.M Billets Reports'!D223,SEARCH("-",'R.M Billets Reports'!D223)+1,200)),""))&lt;&gt;"",IF(ISNUMBER(SEARCH("Party Name:-",'R.M Billets Reports'!D223)),TRIM('R.M Billets Reports'!F223),IF(ISNUMBER(SEARCH("Party Name-",'R.M Billets Reports'!D223)),TRIM(MID('R.M Billets Reports'!D223,SEARCH("-",'R.M Billets Reports'!D223)+1,200)),"")),IF(ISNUMBER(SEARCH("Party Name:-",'R.M Billets Reports'!D224)),TRIM('R.M Billets Reports'!F224),IF(ISNUMBER(SEARCH("Party Name-",'R.M Billets Reports'!D224)),TRIM(MID('R.M Billets Reports'!D224,SEARCH("-",'R.M Billets Reports'!D224)+1,200)),"")))="VRKP ISPAT PVT LTD","VRKP",IF(IF(IF(ISNUMBER(SEARCH("Party Name:-",'R.M Billets Reports'!D223)),TRIM('R.M Billets Reports'!F223),IF(ISNUMBER(SEARCH("Party Name-",'R.M Billets Reports'!D223)),TRIM(MID('R.M Billets Reports'!D223,SEARCH("-",'R.M Billets Reports'!D223)+1,200)),""))&lt;&gt;"",IF(ISNUMBER(SEARCH("Party Name:-",'R.M Billets Reports'!D223)),TRIM('R.M Billets Reports'!F223),IF(ISNUMBER(SEARCH("Party Name-",'R.M Billets Reports'!D223)),TRIM(MID('R.M Billets Reports'!D223,SEARCH("-",'R.M Billets Reports'!D223)+1,200)),"")),IF(ISNUMBER(SEARCH("Party Name:-",'R.M Billets Reports'!D224)),TRIM('R.M Billets Reports'!F224),IF(ISNUMBER(SEARCH("Party Name-",'R.M Billets Reports'!D224)),TRIM(MID('R.M Billets Reports'!D224,SEARCH("-",'R.M Billets Reports'!D224)+1,200)),"")))="SHRI RADHE","SHREE RADHE",IF(IF(IF(ISNUMBER(SEARCH("Party Name:-",'R.M Billets Reports'!D223)),TRIM('R.M Billets Reports'!F223),IF(ISNUMBER(SEARCH("Party Name-",'R.M Billets Reports'!D223)),TRIM(MID('R.M Billets Reports'!D223,SEARCH("-",'R.M Billets Reports'!D223)+1,200)),""))&lt;&gt;"",IF(ISNUMBER(SEARCH("Party Name:-",'R.M Billets Reports'!D223)),TRIM('R.M Billets Reports'!F223),IF(ISNUMBER(SEARCH("Party Name-",'R.M Billets Reports'!D223)),TRIM(MID('R.M Billets Reports'!D223,SEARCH("-",'R.M Billets Reports'!D223)+1,200)),"")),IF(ISNUMBER(SEARCH("Party Name:-",'R.M Billets Reports'!D224)),TRIM('R.M Billets Reports'!F224),IF(ISNUMBER(SEARCH("Party Name-",'R.M Billets Reports'!D224)),TRIM(MID('R.M Billets Reports'!D224,SEARCH("-",'R.M Billets Reports'!D224)+1,200)),"")))="SHREE RADHE SHAKTI SPONGE AND POWER PVT. LTD.","SHREE RADHE",IF(IF(ISNUMBER(SEARCH("Party Name:-",'R.M Billets Reports'!D223)),TRIM('R.M Billets Reports'!F223),IF(ISNUMBER(SEARCH("Party Name-",'R.M Billets Reports'!D223)),TRIM(MID('R.M Billets Reports'!D223,SEARCH("-",'R.M Billets Reports'!D223)+1,200)),""))&lt;&gt;"",IF(ISNUMBER(SEARCH("Party Name:-",'R.M Billets Reports'!D223)),TRIM('R.M Billets Reports'!F223),IF(ISNUMBER(SEARCH("Party Name-",'R.M Billets Reports'!D223)),TRIM(MID('R.M Billets Reports'!D223,SEARCH("-",'R.M Billets Reports'!D223)+1,200)),"")),IF(ISNUMBER(SEARCH("Party Name:-",'R.M Billets Reports'!D224)),TRIM('R.M Billets Reports'!F224),IF(ISNUMBER(SEARCH("Party Name-",'R.M Billets Reports'!D224)),TRIM(MID('R.M Billets Reports'!D224,SEARCH("-",'R.M Billets Reports'!D224)+1,200)),"")))))),IF(ROW()=2,"",A223))</f>
      </c>
      <c r="B224">
        <f>IF(OR('R.M Billets Reports'!A223="Date-",'R.M Billets Reports'!A223="Date:-"),'R.M Billets Reports'!B223,IF(ROW()=2,"",B223))</f>
      </c>
      <c r="C224">
        <f>IF('R.M Billets Reports'!A223="V.No.",'R.M Billets Reports'!B223,IF(ROW()=2,"",C223))</f>
      </c>
      <c r="D224">
        <f>IF('R.M Billets Reports'!A223&lt;&gt;"",'R.M Billets Reports'!A223,IF(ROW()=2,"",D223))</f>
      </c>
      <c r="E224">
        <f>IF('R.M Billets Reports'!B223="","",TRIM('R.M Billets Reports'!B223))</f>
      </c>
      <c r="F224">
        <f>'R.M Billets Reports'!C223</f>
      </c>
      <c r="G224">
        <f>'R.M Billets Reports'!D223</f>
      </c>
      <c r="H224">
        <f>'R.M Billets Reports'!E223</f>
      </c>
      <c r="I224">
        <f>'R.M Billets Reports'!F223</f>
      </c>
      <c r="J224">
        <f>'R.M Billets Reports'!G223</f>
      </c>
      <c r="K224">
        <f>'R.M Billets Reports'!H223</f>
      </c>
      <c r="L224">
        <f>IF('R.M Billets Reports'!I223="","",'R.M Billets Reports'!I223)</f>
      </c>
      <c r="M224">
        <f t="shared" si="6"/>
      </c>
      <c r="N224">
        <f>IF('R.M Billets Reports'!J223="","",'R.M Billets Reports'!J223)</f>
      </c>
      <c r="O224">
        <f t="shared" si="7"/>
      </c>
      <c r="P224">
        <f>IF('R.M Billets Reports'!A223="SIZE",'R.M Billets Reports'!B223,P223)</f>
      </c>
    </row>
    <row r="225" spans="1:16" x14ac:dyDescent="0.25">
      <c r="A225">
        <f>IF(OR('R.M Billets Reports'!A224="Date-",'R.M Billets Reports'!A224="Date:-"),IF(IF(IF(ISNUMBER(SEARCH("Party Name:-",'R.M Billets Reports'!D224)),TRIM('R.M Billets Reports'!F224),IF(ISNUMBER(SEARCH("Party Name-",'R.M Billets Reports'!D224)),TRIM(MID('R.M Billets Reports'!D224,SEARCH("-",'R.M Billets Reports'!D224)+1,200)),""))&lt;&gt;"",IF(ISNUMBER(SEARCH("Party Name:-",'R.M Billets Reports'!D224)),TRIM('R.M Billets Reports'!F224),IF(ISNUMBER(SEARCH("Party Name-",'R.M Billets Reports'!D224)),TRIM(MID('R.M Billets Reports'!D224,SEARCH("-",'R.M Billets Reports'!D224)+1,200)),"")),IF(ISNUMBER(SEARCH("Party Name:-",'R.M Billets Reports'!D225)),TRIM('R.M Billets Reports'!F225),IF(ISNUMBER(SEARCH("Party Name-",'R.M Billets Reports'!D225)),TRIM(MID('R.M Billets Reports'!D225,SEARCH("-",'R.M Billets Reports'!D225)+1,200)),"")))="VRKP ISPAT PVT LTD","VRKP",IF(IF(IF(ISNUMBER(SEARCH("Party Name:-",'R.M Billets Reports'!D224)),TRIM('R.M Billets Reports'!F224),IF(ISNUMBER(SEARCH("Party Name-",'R.M Billets Reports'!D224)),TRIM(MID('R.M Billets Reports'!D224,SEARCH("-",'R.M Billets Reports'!D224)+1,200)),""))&lt;&gt;"",IF(ISNUMBER(SEARCH("Party Name:-",'R.M Billets Reports'!D224)),TRIM('R.M Billets Reports'!F224),IF(ISNUMBER(SEARCH("Party Name-",'R.M Billets Reports'!D224)),TRIM(MID('R.M Billets Reports'!D224,SEARCH("-",'R.M Billets Reports'!D224)+1,200)),"")),IF(ISNUMBER(SEARCH("Party Name:-",'R.M Billets Reports'!D225)),TRIM('R.M Billets Reports'!F225),IF(ISNUMBER(SEARCH("Party Name-",'R.M Billets Reports'!D225)),TRIM(MID('R.M Billets Reports'!D225,SEARCH("-",'R.M Billets Reports'!D225)+1,200)),"")))="SHRI RADHE","SHREE RADHE",IF(IF(IF(ISNUMBER(SEARCH("Party Name:-",'R.M Billets Reports'!D224)),TRIM('R.M Billets Reports'!F224),IF(ISNUMBER(SEARCH("Party Name-",'R.M Billets Reports'!D224)),TRIM(MID('R.M Billets Reports'!D224,SEARCH("-",'R.M Billets Reports'!D224)+1,200)),""))&lt;&gt;"",IF(ISNUMBER(SEARCH("Party Name:-",'R.M Billets Reports'!D224)),TRIM('R.M Billets Reports'!F224),IF(ISNUMBER(SEARCH("Party Name-",'R.M Billets Reports'!D224)),TRIM(MID('R.M Billets Reports'!D224,SEARCH("-",'R.M Billets Reports'!D224)+1,200)),"")),IF(ISNUMBER(SEARCH("Party Name:-",'R.M Billets Reports'!D225)),TRIM('R.M Billets Reports'!F225),IF(ISNUMBER(SEARCH("Party Name-",'R.M Billets Reports'!D225)),TRIM(MID('R.M Billets Reports'!D225,SEARCH("-",'R.M Billets Reports'!D225)+1,200)),"")))="SHREE RADHE SHAKTI SPONGE AND POWER PVT. LTD.","SHREE RADHE",IF(IF(ISNUMBER(SEARCH("Party Name:-",'R.M Billets Reports'!D224)),TRIM('R.M Billets Reports'!F224),IF(ISNUMBER(SEARCH("Party Name-",'R.M Billets Reports'!D224)),TRIM(MID('R.M Billets Reports'!D224,SEARCH("-",'R.M Billets Reports'!D224)+1,200)),""))&lt;&gt;"",IF(ISNUMBER(SEARCH("Party Name:-",'R.M Billets Reports'!D224)),TRIM('R.M Billets Reports'!F224),IF(ISNUMBER(SEARCH("Party Name-",'R.M Billets Reports'!D224)),TRIM(MID('R.M Billets Reports'!D224,SEARCH("-",'R.M Billets Reports'!D224)+1,200)),"")),IF(ISNUMBER(SEARCH("Party Name:-",'R.M Billets Reports'!D225)),TRIM('R.M Billets Reports'!F225),IF(ISNUMBER(SEARCH("Party Name-",'R.M Billets Reports'!D225)),TRIM(MID('R.M Billets Reports'!D225,SEARCH("-",'R.M Billets Reports'!D225)+1,200)),"")))))),IF(ROW()=2,"",A224))</f>
      </c>
      <c r="B225">
        <f>IF(OR('R.M Billets Reports'!A224="Date-",'R.M Billets Reports'!A224="Date:-"),'R.M Billets Reports'!B224,IF(ROW()=2,"",B224))</f>
      </c>
      <c r="C225">
        <f>IF('R.M Billets Reports'!A224="V.No.",'R.M Billets Reports'!B224,IF(ROW()=2,"",C224))</f>
      </c>
      <c r="D225">
        <f>IF('R.M Billets Reports'!A224&lt;&gt;"",'R.M Billets Reports'!A224,IF(ROW()=2,"",D224))</f>
      </c>
      <c r="E225">
        <f>IF('R.M Billets Reports'!B224="","",TRIM('R.M Billets Reports'!B224))</f>
      </c>
      <c r="F225">
        <f>'R.M Billets Reports'!C224</f>
      </c>
      <c r="G225">
        <f>'R.M Billets Reports'!D224</f>
      </c>
      <c r="H225">
        <f>'R.M Billets Reports'!E224</f>
      </c>
      <c r="I225">
        <f>'R.M Billets Reports'!F224</f>
      </c>
      <c r="J225">
        <f>'R.M Billets Reports'!G224</f>
      </c>
      <c r="K225">
        <f>'R.M Billets Reports'!H224</f>
      </c>
      <c r="L225">
        <f>IF('R.M Billets Reports'!I224="","",'R.M Billets Reports'!I224)</f>
      </c>
      <c r="M225">
        <f t="shared" si="6"/>
      </c>
      <c r="N225">
        <f>IF('R.M Billets Reports'!J224="","",'R.M Billets Reports'!J224)</f>
      </c>
      <c r="O225">
        <f t="shared" si="7"/>
      </c>
      <c r="P225">
        <f>IF('R.M Billets Reports'!A224="SIZE",'R.M Billets Reports'!B224,P224)</f>
      </c>
    </row>
    <row r="226" spans="1:16" x14ac:dyDescent="0.25">
      <c r="A226">
        <f>IF(OR('R.M Billets Reports'!A225="Date-",'R.M Billets Reports'!A225="Date:-"),IF(IF(IF(ISNUMBER(SEARCH("Party Name:-",'R.M Billets Reports'!D225)),TRIM('R.M Billets Reports'!F225),IF(ISNUMBER(SEARCH("Party Name-",'R.M Billets Reports'!D225)),TRIM(MID('R.M Billets Reports'!D225,SEARCH("-",'R.M Billets Reports'!D225)+1,200)),""))&lt;&gt;"",IF(ISNUMBER(SEARCH("Party Name:-",'R.M Billets Reports'!D225)),TRIM('R.M Billets Reports'!F225),IF(ISNUMBER(SEARCH("Party Name-",'R.M Billets Reports'!D225)),TRIM(MID('R.M Billets Reports'!D225,SEARCH("-",'R.M Billets Reports'!D225)+1,200)),"")),IF(ISNUMBER(SEARCH("Party Name:-",'R.M Billets Reports'!D226)),TRIM('R.M Billets Reports'!F226),IF(ISNUMBER(SEARCH("Party Name-",'R.M Billets Reports'!D226)),TRIM(MID('R.M Billets Reports'!D226,SEARCH("-",'R.M Billets Reports'!D226)+1,200)),"")))="VRKP ISPAT PVT LTD","VRKP",IF(IF(IF(ISNUMBER(SEARCH("Party Name:-",'R.M Billets Reports'!D225)),TRIM('R.M Billets Reports'!F225),IF(ISNUMBER(SEARCH("Party Name-",'R.M Billets Reports'!D225)),TRIM(MID('R.M Billets Reports'!D225,SEARCH("-",'R.M Billets Reports'!D225)+1,200)),""))&lt;&gt;"",IF(ISNUMBER(SEARCH("Party Name:-",'R.M Billets Reports'!D225)),TRIM('R.M Billets Reports'!F225),IF(ISNUMBER(SEARCH("Party Name-",'R.M Billets Reports'!D225)),TRIM(MID('R.M Billets Reports'!D225,SEARCH("-",'R.M Billets Reports'!D225)+1,200)),"")),IF(ISNUMBER(SEARCH("Party Name:-",'R.M Billets Reports'!D226)),TRIM('R.M Billets Reports'!F226),IF(ISNUMBER(SEARCH("Party Name-",'R.M Billets Reports'!D226)),TRIM(MID('R.M Billets Reports'!D226,SEARCH("-",'R.M Billets Reports'!D226)+1,200)),"")))="SHRI RADHE","SHREE RADHE",IF(IF(IF(ISNUMBER(SEARCH("Party Name:-",'R.M Billets Reports'!D225)),TRIM('R.M Billets Reports'!F225),IF(ISNUMBER(SEARCH("Party Name-",'R.M Billets Reports'!D225)),TRIM(MID('R.M Billets Reports'!D225,SEARCH("-",'R.M Billets Reports'!D225)+1,200)),""))&lt;&gt;"",IF(ISNUMBER(SEARCH("Party Name:-",'R.M Billets Reports'!D225)),TRIM('R.M Billets Reports'!F225),IF(ISNUMBER(SEARCH("Party Name-",'R.M Billets Reports'!D225)),TRIM(MID('R.M Billets Reports'!D225,SEARCH("-",'R.M Billets Reports'!D225)+1,200)),"")),IF(ISNUMBER(SEARCH("Party Name:-",'R.M Billets Reports'!D226)),TRIM('R.M Billets Reports'!F226),IF(ISNUMBER(SEARCH("Party Name-",'R.M Billets Reports'!D226)),TRIM(MID('R.M Billets Reports'!D226,SEARCH("-",'R.M Billets Reports'!D226)+1,200)),"")))="SHREE RADHE SHAKTI SPONGE AND POWER PVT. LTD.","SHREE RADHE",IF(IF(ISNUMBER(SEARCH("Party Name:-",'R.M Billets Reports'!D225)),TRIM('R.M Billets Reports'!F225),IF(ISNUMBER(SEARCH("Party Name-",'R.M Billets Reports'!D225)),TRIM(MID('R.M Billets Reports'!D225,SEARCH("-",'R.M Billets Reports'!D225)+1,200)),""))&lt;&gt;"",IF(ISNUMBER(SEARCH("Party Name:-",'R.M Billets Reports'!D225)),TRIM('R.M Billets Reports'!F225),IF(ISNUMBER(SEARCH("Party Name-",'R.M Billets Reports'!D225)),TRIM(MID('R.M Billets Reports'!D225,SEARCH("-",'R.M Billets Reports'!D225)+1,200)),"")),IF(ISNUMBER(SEARCH("Party Name:-",'R.M Billets Reports'!D226)),TRIM('R.M Billets Reports'!F226),IF(ISNUMBER(SEARCH("Party Name-",'R.M Billets Reports'!D226)),TRIM(MID('R.M Billets Reports'!D226,SEARCH("-",'R.M Billets Reports'!D226)+1,200)),"")))))),IF(ROW()=2,"",A225))</f>
      </c>
      <c r="B226">
        <f>IF(OR('R.M Billets Reports'!A225="Date-",'R.M Billets Reports'!A225="Date:-"),'R.M Billets Reports'!B225,IF(ROW()=2,"",B225))</f>
      </c>
      <c r="C226">
        <f>IF('R.M Billets Reports'!A225="V.No.",'R.M Billets Reports'!B225,IF(ROW()=2,"",C225))</f>
      </c>
      <c r="D226">
        <f>IF('R.M Billets Reports'!A225&lt;&gt;"",'R.M Billets Reports'!A225,IF(ROW()=2,"",D225))</f>
      </c>
      <c r="E226">
        <f>IF('R.M Billets Reports'!B225="","",TRIM('R.M Billets Reports'!B225))</f>
      </c>
      <c r="F226">
        <f>'R.M Billets Reports'!C225</f>
      </c>
      <c r="G226">
        <f>'R.M Billets Reports'!D225</f>
      </c>
      <c r="H226">
        <f>'R.M Billets Reports'!E225</f>
      </c>
      <c r="I226">
        <f>'R.M Billets Reports'!F225</f>
      </c>
      <c r="J226">
        <f>'R.M Billets Reports'!G225</f>
      </c>
      <c r="K226">
        <f>'R.M Billets Reports'!H225</f>
      </c>
      <c r="L226">
        <f>IF('R.M Billets Reports'!I225="","",'R.M Billets Reports'!I225)</f>
      </c>
      <c r="M226">
        <f t="shared" si="6"/>
      </c>
      <c r="N226">
        <f>IF('R.M Billets Reports'!J225="","",'R.M Billets Reports'!J225)</f>
      </c>
      <c r="O226">
        <f t="shared" si="7"/>
      </c>
      <c r="P226">
        <f>IF('R.M Billets Reports'!A225="SIZE",'R.M Billets Reports'!B225,P225)</f>
      </c>
    </row>
    <row r="227" spans="1:16" x14ac:dyDescent="0.25">
      <c r="A227">
        <f>IF(OR('R.M Billets Reports'!A226="Date-",'R.M Billets Reports'!A226="Date:-"),IF(IF(IF(ISNUMBER(SEARCH("Party Name:-",'R.M Billets Reports'!D226)),TRIM('R.M Billets Reports'!F226),IF(ISNUMBER(SEARCH("Party Name-",'R.M Billets Reports'!D226)),TRIM(MID('R.M Billets Reports'!D226,SEARCH("-",'R.M Billets Reports'!D226)+1,200)),""))&lt;&gt;"",IF(ISNUMBER(SEARCH("Party Name:-",'R.M Billets Reports'!D226)),TRIM('R.M Billets Reports'!F226),IF(ISNUMBER(SEARCH("Party Name-",'R.M Billets Reports'!D226)),TRIM(MID('R.M Billets Reports'!D226,SEARCH("-",'R.M Billets Reports'!D226)+1,200)),"")),IF(ISNUMBER(SEARCH("Party Name:-",'R.M Billets Reports'!D227)),TRIM('R.M Billets Reports'!F227),IF(ISNUMBER(SEARCH("Party Name-",'R.M Billets Reports'!D227)),TRIM(MID('R.M Billets Reports'!D227,SEARCH("-",'R.M Billets Reports'!D227)+1,200)),"")))="VRKP ISPAT PVT LTD","VRKP",IF(IF(IF(ISNUMBER(SEARCH("Party Name:-",'R.M Billets Reports'!D226)),TRIM('R.M Billets Reports'!F226),IF(ISNUMBER(SEARCH("Party Name-",'R.M Billets Reports'!D226)),TRIM(MID('R.M Billets Reports'!D226,SEARCH("-",'R.M Billets Reports'!D226)+1,200)),""))&lt;&gt;"",IF(ISNUMBER(SEARCH("Party Name:-",'R.M Billets Reports'!D226)),TRIM('R.M Billets Reports'!F226),IF(ISNUMBER(SEARCH("Party Name-",'R.M Billets Reports'!D226)),TRIM(MID('R.M Billets Reports'!D226,SEARCH("-",'R.M Billets Reports'!D226)+1,200)),"")),IF(ISNUMBER(SEARCH("Party Name:-",'R.M Billets Reports'!D227)),TRIM('R.M Billets Reports'!F227),IF(ISNUMBER(SEARCH("Party Name-",'R.M Billets Reports'!D227)),TRIM(MID('R.M Billets Reports'!D227,SEARCH("-",'R.M Billets Reports'!D227)+1,200)),"")))="SHRI RADHE","SHREE RADHE",IF(IF(IF(ISNUMBER(SEARCH("Party Name:-",'R.M Billets Reports'!D226)),TRIM('R.M Billets Reports'!F226),IF(ISNUMBER(SEARCH("Party Name-",'R.M Billets Reports'!D226)),TRIM(MID('R.M Billets Reports'!D226,SEARCH("-",'R.M Billets Reports'!D226)+1,200)),""))&lt;&gt;"",IF(ISNUMBER(SEARCH("Party Name:-",'R.M Billets Reports'!D226)),TRIM('R.M Billets Reports'!F226),IF(ISNUMBER(SEARCH("Party Name-",'R.M Billets Reports'!D226)),TRIM(MID('R.M Billets Reports'!D226,SEARCH("-",'R.M Billets Reports'!D226)+1,200)),"")),IF(ISNUMBER(SEARCH("Party Name:-",'R.M Billets Reports'!D227)),TRIM('R.M Billets Reports'!F227),IF(ISNUMBER(SEARCH("Party Name-",'R.M Billets Reports'!D227)),TRIM(MID('R.M Billets Reports'!D227,SEARCH("-",'R.M Billets Reports'!D227)+1,200)),"")))="SHREE RADHE SHAKTI SPONGE AND POWER PVT. LTD.","SHREE RADHE",IF(IF(ISNUMBER(SEARCH("Party Name:-",'R.M Billets Reports'!D226)),TRIM('R.M Billets Reports'!F226),IF(ISNUMBER(SEARCH("Party Name-",'R.M Billets Reports'!D226)),TRIM(MID('R.M Billets Reports'!D226,SEARCH("-",'R.M Billets Reports'!D226)+1,200)),""))&lt;&gt;"",IF(ISNUMBER(SEARCH("Party Name:-",'R.M Billets Reports'!D226)),TRIM('R.M Billets Reports'!F226),IF(ISNUMBER(SEARCH("Party Name-",'R.M Billets Reports'!D226)),TRIM(MID('R.M Billets Reports'!D226,SEARCH("-",'R.M Billets Reports'!D226)+1,200)),"")),IF(ISNUMBER(SEARCH("Party Name:-",'R.M Billets Reports'!D227)),TRIM('R.M Billets Reports'!F227),IF(ISNUMBER(SEARCH("Party Name-",'R.M Billets Reports'!D227)),TRIM(MID('R.M Billets Reports'!D227,SEARCH("-",'R.M Billets Reports'!D227)+1,200)),"")))))),IF(ROW()=2,"",A226))</f>
      </c>
      <c r="B227">
        <f>IF(OR('R.M Billets Reports'!A226="Date-",'R.M Billets Reports'!A226="Date:-"),'R.M Billets Reports'!B226,IF(ROW()=2,"",B226))</f>
      </c>
      <c r="C227">
        <f>IF('R.M Billets Reports'!A226="V.No.",'R.M Billets Reports'!B226,IF(ROW()=2,"",C226))</f>
      </c>
      <c r="D227">
        <f>IF('R.M Billets Reports'!A226&lt;&gt;"",'R.M Billets Reports'!A226,IF(ROW()=2,"",D226))</f>
      </c>
      <c r="E227">
        <f>IF('R.M Billets Reports'!B226="","",TRIM('R.M Billets Reports'!B226))</f>
      </c>
      <c r="F227">
        <f>'R.M Billets Reports'!C226</f>
      </c>
      <c r="G227">
        <f>'R.M Billets Reports'!D226</f>
      </c>
      <c r="H227">
        <f>'R.M Billets Reports'!E226</f>
      </c>
      <c r="I227">
        <f>'R.M Billets Reports'!F226</f>
      </c>
      <c r="J227">
        <f>'R.M Billets Reports'!G226</f>
      </c>
      <c r="K227">
        <f>'R.M Billets Reports'!H226</f>
      </c>
      <c r="L227">
        <f>IF('R.M Billets Reports'!I226="","",'R.M Billets Reports'!I226)</f>
      </c>
      <c r="M227">
        <f t="shared" si="6"/>
      </c>
      <c r="N227">
        <f>IF('R.M Billets Reports'!J226="","",'R.M Billets Reports'!J226)</f>
      </c>
      <c r="O227">
        <f t="shared" si="7"/>
      </c>
      <c r="P227">
        <f>IF('R.M Billets Reports'!A226="SIZE",'R.M Billets Reports'!B226,P226)</f>
      </c>
    </row>
    <row r="228" spans="1:16" x14ac:dyDescent="0.25">
      <c r="A228">
        <f>IF(OR('R.M Billets Reports'!A227="Date-",'R.M Billets Reports'!A227="Date:-"),IF(IF(IF(ISNUMBER(SEARCH("Party Name:-",'R.M Billets Reports'!D227)),TRIM('R.M Billets Reports'!F227),IF(ISNUMBER(SEARCH("Party Name-",'R.M Billets Reports'!D227)),TRIM(MID('R.M Billets Reports'!D227,SEARCH("-",'R.M Billets Reports'!D227)+1,200)),""))&lt;&gt;"",IF(ISNUMBER(SEARCH("Party Name:-",'R.M Billets Reports'!D227)),TRIM('R.M Billets Reports'!F227),IF(ISNUMBER(SEARCH("Party Name-",'R.M Billets Reports'!D227)),TRIM(MID('R.M Billets Reports'!D227,SEARCH("-",'R.M Billets Reports'!D227)+1,200)),"")),IF(ISNUMBER(SEARCH("Party Name:-",'R.M Billets Reports'!D228)),TRIM('R.M Billets Reports'!F228),IF(ISNUMBER(SEARCH("Party Name-",'R.M Billets Reports'!D228)),TRIM(MID('R.M Billets Reports'!D228,SEARCH("-",'R.M Billets Reports'!D228)+1,200)),"")))="VRKP ISPAT PVT LTD","VRKP",IF(IF(IF(ISNUMBER(SEARCH("Party Name:-",'R.M Billets Reports'!D227)),TRIM('R.M Billets Reports'!F227),IF(ISNUMBER(SEARCH("Party Name-",'R.M Billets Reports'!D227)),TRIM(MID('R.M Billets Reports'!D227,SEARCH("-",'R.M Billets Reports'!D227)+1,200)),""))&lt;&gt;"",IF(ISNUMBER(SEARCH("Party Name:-",'R.M Billets Reports'!D227)),TRIM('R.M Billets Reports'!F227),IF(ISNUMBER(SEARCH("Party Name-",'R.M Billets Reports'!D227)),TRIM(MID('R.M Billets Reports'!D227,SEARCH("-",'R.M Billets Reports'!D227)+1,200)),"")),IF(ISNUMBER(SEARCH("Party Name:-",'R.M Billets Reports'!D228)),TRIM('R.M Billets Reports'!F228),IF(ISNUMBER(SEARCH("Party Name-",'R.M Billets Reports'!D228)),TRIM(MID('R.M Billets Reports'!D228,SEARCH("-",'R.M Billets Reports'!D228)+1,200)),"")))="SHRI RADHE","SHREE RADHE",IF(IF(IF(ISNUMBER(SEARCH("Party Name:-",'R.M Billets Reports'!D227)),TRIM('R.M Billets Reports'!F227),IF(ISNUMBER(SEARCH("Party Name-",'R.M Billets Reports'!D227)),TRIM(MID('R.M Billets Reports'!D227,SEARCH("-",'R.M Billets Reports'!D227)+1,200)),""))&lt;&gt;"",IF(ISNUMBER(SEARCH("Party Name:-",'R.M Billets Reports'!D227)),TRIM('R.M Billets Reports'!F227),IF(ISNUMBER(SEARCH("Party Name-",'R.M Billets Reports'!D227)),TRIM(MID('R.M Billets Reports'!D227,SEARCH("-",'R.M Billets Reports'!D227)+1,200)),"")),IF(ISNUMBER(SEARCH("Party Name:-",'R.M Billets Reports'!D228)),TRIM('R.M Billets Reports'!F228),IF(ISNUMBER(SEARCH("Party Name-",'R.M Billets Reports'!D228)),TRIM(MID('R.M Billets Reports'!D228,SEARCH("-",'R.M Billets Reports'!D228)+1,200)),"")))="SHREE RADHE SHAKTI SPONGE AND POWER PVT. LTD.","SHREE RADHE",IF(IF(ISNUMBER(SEARCH("Party Name:-",'R.M Billets Reports'!D227)),TRIM('R.M Billets Reports'!F227),IF(ISNUMBER(SEARCH("Party Name-",'R.M Billets Reports'!D227)),TRIM(MID('R.M Billets Reports'!D227,SEARCH("-",'R.M Billets Reports'!D227)+1,200)),""))&lt;&gt;"",IF(ISNUMBER(SEARCH("Party Name:-",'R.M Billets Reports'!D227)),TRIM('R.M Billets Reports'!F227),IF(ISNUMBER(SEARCH("Party Name-",'R.M Billets Reports'!D227)),TRIM(MID('R.M Billets Reports'!D227,SEARCH("-",'R.M Billets Reports'!D227)+1,200)),"")),IF(ISNUMBER(SEARCH("Party Name:-",'R.M Billets Reports'!D228)),TRIM('R.M Billets Reports'!F228),IF(ISNUMBER(SEARCH("Party Name-",'R.M Billets Reports'!D228)),TRIM(MID('R.M Billets Reports'!D228,SEARCH("-",'R.M Billets Reports'!D228)+1,200)),"")))))),IF(ROW()=2,"",A227))</f>
      </c>
      <c r="B228">
        <f>IF(OR('R.M Billets Reports'!A227="Date-",'R.M Billets Reports'!A227="Date:-"),'R.M Billets Reports'!B227,IF(ROW()=2,"",B227))</f>
      </c>
      <c r="C228">
        <f>IF('R.M Billets Reports'!A227="V.No.",'R.M Billets Reports'!B227,IF(ROW()=2,"",C227))</f>
      </c>
      <c r="D228">
        <f>IF('R.M Billets Reports'!A227&lt;&gt;"",'R.M Billets Reports'!A227,IF(ROW()=2,"",D227))</f>
      </c>
      <c r="E228">
        <f>IF('R.M Billets Reports'!B227="","",TRIM('R.M Billets Reports'!B227))</f>
      </c>
      <c r="F228">
        <f>'R.M Billets Reports'!C227</f>
      </c>
      <c r="G228">
        <f>'R.M Billets Reports'!D227</f>
      </c>
      <c r="H228">
        <f>'R.M Billets Reports'!E227</f>
      </c>
      <c r="I228">
        <f>'R.M Billets Reports'!F227</f>
      </c>
      <c r="J228">
        <f>'R.M Billets Reports'!G227</f>
      </c>
      <c r="K228">
        <f>'R.M Billets Reports'!H227</f>
      </c>
      <c r="L228">
        <f>IF('R.M Billets Reports'!I227="","",'R.M Billets Reports'!I227)</f>
      </c>
      <c r="M228">
        <f t="shared" si="6"/>
      </c>
      <c r="N228">
        <f>IF('R.M Billets Reports'!J227="","",'R.M Billets Reports'!J227)</f>
      </c>
      <c r="O228">
        <f t="shared" si="7"/>
      </c>
      <c r="P228">
        <f>IF('R.M Billets Reports'!A227="SIZE",'R.M Billets Reports'!B227,P227)</f>
      </c>
    </row>
    <row r="229" spans="1:16" x14ac:dyDescent="0.25">
      <c r="A229">
        <f>IF(OR('R.M Billets Reports'!A228="Date-",'R.M Billets Reports'!A228="Date:-"),IF(IF(IF(ISNUMBER(SEARCH("Party Name:-",'R.M Billets Reports'!D228)),TRIM('R.M Billets Reports'!F228),IF(ISNUMBER(SEARCH("Party Name-",'R.M Billets Reports'!D228)),TRIM(MID('R.M Billets Reports'!D228,SEARCH("-",'R.M Billets Reports'!D228)+1,200)),""))&lt;&gt;"",IF(ISNUMBER(SEARCH("Party Name:-",'R.M Billets Reports'!D228)),TRIM('R.M Billets Reports'!F228),IF(ISNUMBER(SEARCH("Party Name-",'R.M Billets Reports'!D228)),TRIM(MID('R.M Billets Reports'!D228,SEARCH("-",'R.M Billets Reports'!D228)+1,200)),"")),IF(ISNUMBER(SEARCH("Party Name:-",'R.M Billets Reports'!D229)),TRIM('R.M Billets Reports'!F229),IF(ISNUMBER(SEARCH("Party Name-",'R.M Billets Reports'!D229)),TRIM(MID('R.M Billets Reports'!D229,SEARCH("-",'R.M Billets Reports'!D229)+1,200)),"")))="VRKP ISPAT PVT LTD","VRKP",IF(IF(IF(ISNUMBER(SEARCH("Party Name:-",'R.M Billets Reports'!D228)),TRIM('R.M Billets Reports'!F228),IF(ISNUMBER(SEARCH("Party Name-",'R.M Billets Reports'!D228)),TRIM(MID('R.M Billets Reports'!D228,SEARCH("-",'R.M Billets Reports'!D228)+1,200)),""))&lt;&gt;"",IF(ISNUMBER(SEARCH("Party Name:-",'R.M Billets Reports'!D228)),TRIM('R.M Billets Reports'!F228),IF(ISNUMBER(SEARCH("Party Name-",'R.M Billets Reports'!D228)),TRIM(MID('R.M Billets Reports'!D228,SEARCH("-",'R.M Billets Reports'!D228)+1,200)),"")),IF(ISNUMBER(SEARCH("Party Name:-",'R.M Billets Reports'!D229)),TRIM('R.M Billets Reports'!F229),IF(ISNUMBER(SEARCH("Party Name-",'R.M Billets Reports'!D229)),TRIM(MID('R.M Billets Reports'!D229,SEARCH("-",'R.M Billets Reports'!D229)+1,200)),"")))="SHRI RADHE","SHREE RADHE",IF(IF(IF(ISNUMBER(SEARCH("Party Name:-",'R.M Billets Reports'!D228)),TRIM('R.M Billets Reports'!F228),IF(ISNUMBER(SEARCH("Party Name-",'R.M Billets Reports'!D228)),TRIM(MID('R.M Billets Reports'!D228,SEARCH("-",'R.M Billets Reports'!D228)+1,200)),""))&lt;&gt;"",IF(ISNUMBER(SEARCH("Party Name:-",'R.M Billets Reports'!D228)),TRIM('R.M Billets Reports'!F228),IF(ISNUMBER(SEARCH("Party Name-",'R.M Billets Reports'!D228)),TRIM(MID('R.M Billets Reports'!D228,SEARCH("-",'R.M Billets Reports'!D228)+1,200)),"")),IF(ISNUMBER(SEARCH("Party Name:-",'R.M Billets Reports'!D229)),TRIM('R.M Billets Reports'!F229),IF(ISNUMBER(SEARCH("Party Name-",'R.M Billets Reports'!D229)),TRIM(MID('R.M Billets Reports'!D229,SEARCH("-",'R.M Billets Reports'!D229)+1,200)),"")))="SHREE RADHE SHAKTI SPONGE AND POWER PVT. LTD.","SHREE RADHE",IF(IF(ISNUMBER(SEARCH("Party Name:-",'R.M Billets Reports'!D228)),TRIM('R.M Billets Reports'!F228),IF(ISNUMBER(SEARCH("Party Name-",'R.M Billets Reports'!D228)),TRIM(MID('R.M Billets Reports'!D228,SEARCH("-",'R.M Billets Reports'!D228)+1,200)),""))&lt;&gt;"",IF(ISNUMBER(SEARCH("Party Name:-",'R.M Billets Reports'!D228)),TRIM('R.M Billets Reports'!F228),IF(ISNUMBER(SEARCH("Party Name-",'R.M Billets Reports'!D228)),TRIM(MID('R.M Billets Reports'!D228,SEARCH("-",'R.M Billets Reports'!D228)+1,200)),"")),IF(ISNUMBER(SEARCH("Party Name:-",'R.M Billets Reports'!D229)),TRIM('R.M Billets Reports'!F229),IF(ISNUMBER(SEARCH("Party Name-",'R.M Billets Reports'!D229)),TRIM(MID('R.M Billets Reports'!D229,SEARCH("-",'R.M Billets Reports'!D229)+1,200)),"")))))),IF(ROW()=2,"",A228))</f>
      </c>
      <c r="B229">
        <f>IF(OR('R.M Billets Reports'!A228="Date-",'R.M Billets Reports'!A228="Date:-"),'R.M Billets Reports'!B228,IF(ROW()=2,"",B228))</f>
      </c>
      <c r="C229">
        <f>IF('R.M Billets Reports'!A228="V.No.",'R.M Billets Reports'!B228,IF(ROW()=2,"",C228))</f>
      </c>
      <c r="D229">
        <f>IF('R.M Billets Reports'!A228&lt;&gt;"",'R.M Billets Reports'!A228,IF(ROW()=2,"",D228))</f>
      </c>
      <c r="E229">
        <f>IF('R.M Billets Reports'!B228="","",TRIM('R.M Billets Reports'!B228))</f>
      </c>
      <c r="F229">
        <f>'R.M Billets Reports'!C228</f>
      </c>
      <c r="G229">
        <f>'R.M Billets Reports'!D228</f>
      </c>
      <c r="H229">
        <f>'R.M Billets Reports'!E228</f>
      </c>
      <c r="I229">
        <f>'R.M Billets Reports'!F228</f>
      </c>
      <c r="J229">
        <f>'R.M Billets Reports'!G228</f>
      </c>
      <c r="K229">
        <f>'R.M Billets Reports'!H228</f>
      </c>
      <c r="L229">
        <f>IF('R.M Billets Reports'!I228="","",'R.M Billets Reports'!I228)</f>
      </c>
      <c r="M229">
        <f t="shared" si="6"/>
      </c>
      <c r="N229">
        <f>IF('R.M Billets Reports'!J228="","",'R.M Billets Reports'!J228)</f>
      </c>
      <c r="O229">
        <f t="shared" si="7"/>
      </c>
      <c r="P229">
        <f>IF('R.M Billets Reports'!A228="SIZE",'R.M Billets Reports'!B228,P228)</f>
      </c>
    </row>
    <row r="230" spans="1:16" x14ac:dyDescent="0.25">
      <c r="A230">
        <f>IF(OR('R.M Billets Reports'!A229="Date-",'R.M Billets Reports'!A229="Date:-"),IF(IF(IF(ISNUMBER(SEARCH("Party Name:-",'R.M Billets Reports'!D229)),TRIM('R.M Billets Reports'!F229),IF(ISNUMBER(SEARCH("Party Name-",'R.M Billets Reports'!D229)),TRIM(MID('R.M Billets Reports'!D229,SEARCH("-",'R.M Billets Reports'!D229)+1,200)),""))&lt;&gt;"",IF(ISNUMBER(SEARCH("Party Name:-",'R.M Billets Reports'!D229)),TRIM('R.M Billets Reports'!F229),IF(ISNUMBER(SEARCH("Party Name-",'R.M Billets Reports'!D229)),TRIM(MID('R.M Billets Reports'!D229,SEARCH("-",'R.M Billets Reports'!D229)+1,200)),"")),IF(ISNUMBER(SEARCH("Party Name:-",'R.M Billets Reports'!D230)),TRIM('R.M Billets Reports'!F230),IF(ISNUMBER(SEARCH("Party Name-",'R.M Billets Reports'!D230)),TRIM(MID('R.M Billets Reports'!D230,SEARCH("-",'R.M Billets Reports'!D230)+1,200)),"")))="VRKP ISPAT PVT LTD","VRKP",IF(IF(IF(ISNUMBER(SEARCH("Party Name:-",'R.M Billets Reports'!D229)),TRIM('R.M Billets Reports'!F229),IF(ISNUMBER(SEARCH("Party Name-",'R.M Billets Reports'!D229)),TRIM(MID('R.M Billets Reports'!D229,SEARCH("-",'R.M Billets Reports'!D229)+1,200)),""))&lt;&gt;"",IF(ISNUMBER(SEARCH("Party Name:-",'R.M Billets Reports'!D229)),TRIM('R.M Billets Reports'!F229),IF(ISNUMBER(SEARCH("Party Name-",'R.M Billets Reports'!D229)),TRIM(MID('R.M Billets Reports'!D229,SEARCH("-",'R.M Billets Reports'!D229)+1,200)),"")),IF(ISNUMBER(SEARCH("Party Name:-",'R.M Billets Reports'!D230)),TRIM('R.M Billets Reports'!F230),IF(ISNUMBER(SEARCH("Party Name-",'R.M Billets Reports'!D230)),TRIM(MID('R.M Billets Reports'!D230,SEARCH("-",'R.M Billets Reports'!D230)+1,200)),"")))="SHRI RADHE","SHREE RADHE",IF(IF(IF(ISNUMBER(SEARCH("Party Name:-",'R.M Billets Reports'!D229)),TRIM('R.M Billets Reports'!F229),IF(ISNUMBER(SEARCH("Party Name-",'R.M Billets Reports'!D229)),TRIM(MID('R.M Billets Reports'!D229,SEARCH("-",'R.M Billets Reports'!D229)+1,200)),""))&lt;&gt;"",IF(ISNUMBER(SEARCH("Party Name:-",'R.M Billets Reports'!D229)),TRIM('R.M Billets Reports'!F229),IF(ISNUMBER(SEARCH("Party Name-",'R.M Billets Reports'!D229)),TRIM(MID('R.M Billets Reports'!D229,SEARCH("-",'R.M Billets Reports'!D229)+1,200)),"")),IF(ISNUMBER(SEARCH("Party Name:-",'R.M Billets Reports'!D230)),TRIM('R.M Billets Reports'!F230),IF(ISNUMBER(SEARCH("Party Name-",'R.M Billets Reports'!D230)),TRIM(MID('R.M Billets Reports'!D230,SEARCH("-",'R.M Billets Reports'!D230)+1,200)),"")))="SHREE RADHE SHAKTI SPONGE AND POWER PVT. LTD.","SHREE RADHE",IF(IF(ISNUMBER(SEARCH("Party Name:-",'R.M Billets Reports'!D229)),TRIM('R.M Billets Reports'!F229),IF(ISNUMBER(SEARCH("Party Name-",'R.M Billets Reports'!D229)),TRIM(MID('R.M Billets Reports'!D229,SEARCH("-",'R.M Billets Reports'!D229)+1,200)),""))&lt;&gt;"",IF(ISNUMBER(SEARCH("Party Name:-",'R.M Billets Reports'!D229)),TRIM('R.M Billets Reports'!F229),IF(ISNUMBER(SEARCH("Party Name-",'R.M Billets Reports'!D229)),TRIM(MID('R.M Billets Reports'!D229,SEARCH("-",'R.M Billets Reports'!D229)+1,200)),"")),IF(ISNUMBER(SEARCH("Party Name:-",'R.M Billets Reports'!D230)),TRIM('R.M Billets Reports'!F230),IF(ISNUMBER(SEARCH("Party Name-",'R.M Billets Reports'!D230)),TRIM(MID('R.M Billets Reports'!D230,SEARCH("-",'R.M Billets Reports'!D230)+1,200)),"")))))),IF(ROW()=2,"",A229))</f>
      </c>
      <c r="B230">
        <f>IF(OR('R.M Billets Reports'!A229="Date-",'R.M Billets Reports'!A229="Date:-"),'R.M Billets Reports'!B229,IF(ROW()=2,"",B229))</f>
      </c>
      <c r="C230">
        <f>IF('R.M Billets Reports'!A229="V.No.",'R.M Billets Reports'!B229,IF(ROW()=2,"",C229))</f>
      </c>
      <c r="D230">
        <f>IF('R.M Billets Reports'!A229&lt;&gt;"",'R.M Billets Reports'!A229,IF(ROW()=2,"",D229))</f>
      </c>
      <c r="E230">
        <f>IF('R.M Billets Reports'!B229="","",TRIM('R.M Billets Reports'!B229))</f>
      </c>
      <c r="F230">
        <f>'R.M Billets Reports'!C229</f>
      </c>
      <c r="G230">
        <f>'R.M Billets Reports'!D229</f>
      </c>
      <c r="H230">
        <f>'R.M Billets Reports'!E229</f>
      </c>
      <c r="I230">
        <f>'R.M Billets Reports'!F229</f>
      </c>
      <c r="J230">
        <f>'R.M Billets Reports'!G229</f>
      </c>
      <c r="K230">
        <f>'R.M Billets Reports'!H229</f>
      </c>
      <c r="L230">
        <f>IF('R.M Billets Reports'!I229="","",'R.M Billets Reports'!I229)</f>
      </c>
      <c r="M230">
        <f t="shared" si="6"/>
      </c>
      <c r="N230">
        <f>IF('R.M Billets Reports'!J229="","",'R.M Billets Reports'!J229)</f>
      </c>
      <c r="O230">
        <f t="shared" si="7"/>
      </c>
      <c r="P230">
        <f>IF('R.M Billets Reports'!A229="SIZE",'R.M Billets Reports'!B229,P229)</f>
      </c>
    </row>
    <row r="231" spans="1:16" x14ac:dyDescent="0.25">
      <c r="A231">
        <f>IF(OR('R.M Billets Reports'!A230="Date-",'R.M Billets Reports'!A230="Date:-"),IF(IF(IF(ISNUMBER(SEARCH("Party Name:-",'R.M Billets Reports'!D230)),TRIM('R.M Billets Reports'!F230),IF(ISNUMBER(SEARCH("Party Name-",'R.M Billets Reports'!D230)),TRIM(MID('R.M Billets Reports'!D230,SEARCH("-",'R.M Billets Reports'!D230)+1,200)),""))&lt;&gt;"",IF(ISNUMBER(SEARCH("Party Name:-",'R.M Billets Reports'!D230)),TRIM('R.M Billets Reports'!F230),IF(ISNUMBER(SEARCH("Party Name-",'R.M Billets Reports'!D230)),TRIM(MID('R.M Billets Reports'!D230,SEARCH("-",'R.M Billets Reports'!D230)+1,200)),"")),IF(ISNUMBER(SEARCH("Party Name:-",'R.M Billets Reports'!D231)),TRIM('R.M Billets Reports'!F231),IF(ISNUMBER(SEARCH("Party Name-",'R.M Billets Reports'!D231)),TRIM(MID('R.M Billets Reports'!D231,SEARCH("-",'R.M Billets Reports'!D231)+1,200)),"")))="VRKP ISPAT PVT LTD","VRKP",IF(IF(IF(ISNUMBER(SEARCH("Party Name:-",'R.M Billets Reports'!D230)),TRIM('R.M Billets Reports'!F230),IF(ISNUMBER(SEARCH("Party Name-",'R.M Billets Reports'!D230)),TRIM(MID('R.M Billets Reports'!D230,SEARCH("-",'R.M Billets Reports'!D230)+1,200)),""))&lt;&gt;"",IF(ISNUMBER(SEARCH("Party Name:-",'R.M Billets Reports'!D230)),TRIM('R.M Billets Reports'!F230),IF(ISNUMBER(SEARCH("Party Name-",'R.M Billets Reports'!D230)),TRIM(MID('R.M Billets Reports'!D230,SEARCH("-",'R.M Billets Reports'!D230)+1,200)),"")),IF(ISNUMBER(SEARCH("Party Name:-",'R.M Billets Reports'!D231)),TRIM('R.M Billets Reports'!F231),IF(ISNUMBER(SEARCH("Party Name-",'R.M Billets Reports'!D231)),TRIM(MID('R.M Billets Reports'!D231,SEARCH("-",'R.M Billets Reports'!D231)+1,200)),"")))="SHRI RADHE","SHREE RADHE",IF(IF(IF(ISNUMBER(SEARCH("Party Name:-",'R.M Billets Reports'!D230)),TRIM('R.M Billets Reports'!F230),IF(ISNUMBER(SEARCH("Party Name-",'R.M Billets Reports'!D230)),TRIM(MID('R.M Billets Reports'!D230,SEARCH("-",'R.M Billets Reports'!D230)+1,200)),""))&lt;&gt;"",IF(ISNUMBER(SEARCH("Party Name:-",'R.M Billets Reports'!D230)),TRIM('R.M Billets Reports'!F230),IF(ISNUMBER(SEARCH("Party Name-",'R.M Billets Reports'!D230)),TRIM(MID('R.M Billets Reports'!D230,SEARCH("-",'R.M Billets Reports'!D230)+1,200)),"")),IF(ISNUMBER(SEARCH("Party Name:-",'R.M Billets Reports'!D231)),TRIM('R.M Billets Reports'!F231),IF(ISNUMBER(SEARCH("Party Name-",'R.M Billets Reports'!D231)),TRIM(MID('R.M Billets Reports'!D231,SEARCH("-",'R.M Billets Reports'!D231)+1,200)),"")))="SHREE RADHE SHAKTI SPONGE AND POWER PVT. LTD.","SHREE RADHE",IF(IF(ISNUMBER(SEARCH("Party Name:-",'R.M Billets Reports'!D230)),TRIM('R.M Billets Reports'!F230),IF(ISNUMBER(SEARCH("Party Name-",'R.M Billets Reports'!D230)),TRIM(MID('R.M Billets Reports'!D230,SEARCH("-",'R.M Billets Reports'!D230)+1,200)),""))&lt;&gt;"",IF(ISNUMBER(SEARCH("Party Name:-",'R.M Billets Reports'!D230)),TRIM('R.M Billets Reports'!F230),IF(ISNUMBER(SEARCH("Party Name-",'R.M Billets Reports'!D230)),TRIM(MID('R.M Billets Reports'!D230,SEARCH("-",'R.M Billets Reports'!D230)+1,200)),"")),IF(ISNUMBER(SEARCH("Party Name:-",'R.M Billets Reports'!D231)),TRIM('R.M Billets Reports'!F231),IF(ISNUMBER(SEARCH("Party Name-",'R.M Billets Reports'!D231)),TRIM(MID('R.M Billets Reports'!D231,SEARCH("-",'R.M Billets Reports'!D231)+1,200)),"")))))),IF(ROW()=2,"",A230))</f>
      </c>
      <c r="B231">
        <f>IF(OR('R.M Billets Reports'!A230="Date-",'R.M Billets Reports'!A230="Date:-"),'R.M Billets Reports'!B230,IF(ROW()=2,"",B230))</f>
      </c>
      <c r="C231">
        <f>IF('R.M Billets Reports'!A230="V.No.",'R.M Billets Reports'!B230,IF(ROW()=2,"",C230))</f>
      </c>
      <c r="D231">
        <f>IF('R.M Billets Reports'!A230&lt;&gt;"",'R.M Billets Reports'!A230,IF(ROW()=2,"",D230))</f>
      </c>
      <c r="E231">
        <f>IF('R.M Billets Reports'!B230="","",TRIM('R.M Billets Reports'!B230))</f>
      </c>
      <c r="F231">
        <f>'R.M Billets Reports'!C230</f>
      </c>
      <c r="G231">
        <f>'R.M Billets Reports'!D230</f>
      </c>
      <c r="H231">
        <f>'R.M Billets Reports'!E230</f>
      </c>
      <c r="I231">
        <f>'R.M Billets Reports'!F230</f>
      </c>
      <c r="J231">
        <f>'R.M Billets Reports'!G230</f>
      </c>
      <c r="K231">
        <f>'R.M Billets Reports'!H230</f>
      </c>
      <c r="L231">
        <f>IF('R.M Billets Reports'!I230="","",'R.M Billets Reports'!I230)</f>
      </c>
      <c r="M231">
        <f t="shared" si="6"/>
      </c>
      <c r="N231">
        <f>IF('R.M Billets Reports'!J230="","",'R.M Billets Reports'!J230)</f>
      </c>
      <c r="O231">
        <f t="shared" si="7"/>
      </c>
      <c r="P231">
        <f>IF('R.M Billets Reports'!A230="SIZE",'R.M Billets Reports'!B230,P230)</f>
      </c>
    </row>
    <row r="232" spans="1:16" x14ac:dyDescent="0.25">
      <c r="A232">
        <f>IF(OR('R.M Billets Reports'!A231="Date-",'R.M Billets Reports'!A231="Date:-"),IF(IF(IF(ISNUMBER(SEARCH("Party Name:-",'R.M Billets Reports'!D231)),TRIM('R.M Billets Reports'!F231),IF(ISNUMBER(SEARCH("Party Name-",'R.M Billets Reports'!D231)),TRIM(MID('R.M Billets Reports'!D231,SEARCH("-",'R.M Billets Reports'!D231)+1,200)),""))&lt;&gt;"",IF(ISNUMBER(SEARCH("Party Name:-",'R.M Billets Reports'!D231)),TRIM('R.M Billets Reports'!F231),IF(ISNUMBER(SEARCH("Party Name-",'R.M Billets Reports'!D231)),TRIM(MID('R.M Billets Reports'!D231,SEARCH("-",'R.M Billets Reports'!D231)+1,200)),"")),IF(ISNUMBER(SEARCH("Party Name:-",'R.M Billets Reports'!D232)),TRIM('R.M Billets Reports'!F232),IF(ISNUMBER(SEARCH("Party Name-",'R.M Billets Reports'!D232)),TRIM(MID('R.M Billets Reports'!D232,SEARCH("-",'R.M Billets Reports'!D232)+1,200)),"")))="VRKP ISPAT PVT LTD","VRKP",IF(IF(IF(ISNUMBER(SEARCH("Party Name:-",'R.M Billets Reports'!D231)),TRIM('R.M Billets Reports'!F231),IF(ISNUMBER(SEARCH("Party Name-",'R.M Billets Reports'!D231)),TRIM(MID('R.M Billets Reports'!D231,SEARCH("-",'R.M Billets Reports'!D231)+1,200)),""))&lt;&gt;"",IF(ISNUMBER(SEARCH("Party Name:-",'R.M Billets Reports'!D231)),TRIM('R.M Billets Reports'!F231),IF(ISNUMBER(SEARCH("Party Name-",'R.M Billets Reports'!D231)),TRIM(MID('R.M Billets Reports'!D231,SEARCH("-",'R.M Billets Reports'!D231)+1,200)),"")),IF(ISNUMBER(SEARCH("Party Name:-",'R.M Billets Reports'!D232)),TRIM('R.M Billets Reports'!F232),IF(ISNUMBER(SEARCH("Party Name-",'R.M Billets Reports'!D232)),TRIM(MID('R.M Billets Reports'!D232,SEARCH("-",'R.M Billets Reports'!D232)+1,200)),"")))="SHRI RADHE","SHREE RADHE",IF(IF(IF(ISNUMBER(SEARCH("Party Name:-",'R.M Billets Reports'!D231)),TRIM('R.M Billets Reports'!F231),IF(ISNUMBER(SEARCH("Party Name-",'R.M Billets Reports'!D231)),TRIM(MID('R.M Billets Reports'!D231,SEARCH("-",'R.M Billets Reports'!D231)+1,200)),""))&lt;&gt;"",IF(ISNUMBER(SEARCH("Party Name:-",'R.M Billets Reports'!D231)),TRIM('R.M Billets Reports'!F231),IF(ISNUMBER(SEARCH("Party Name-",'R.M Billets Reports'!D231)),TRIM(MID('R.M Billets Reports'!D231,SEARCH("-",'R.M Billets Reports'!D231)+1,200)),"")),IF(ISNUMBER(SEARCH("Party Name:-",'R.M Billets Reports'!D232)),TRIM('R.M Billets Reports'!F232),IF(ISNUMBER(SEARCH("Party Name-",'R.M Billets Reports'!D232)),TRIM(MID('R.M Billets Reports'!D232,SEARCH("-",'R.M Billets Reports'!D232)+1,200)),"")))="SHREE RADHE SHAKTI SPONGE AND POWER PVT. LTD.","SHREE RADHE",IF(IF(ISNUMBER(SEARCH("Party Name:-",'R.M Billets Reports'!D231)),TRIM('R.M Billets Reports'!F231),IF(ISNUMBER(SEARCH("Party Name-",'R.M Billets Reports'!D231)),TRIM(MID('R.M Billets Reports'!D231,SEARCH("-",'R.M Billets Reports'!D231)+1,200)),""))&lt;&gt;"",IF(ISNUMBER(SEARCH("Party Name:-",'R.M Billets Reports'!D231)),TRIM('R.M Billets Reports'!F231),IF(ISNUMBER(SEARCH("Party Name-",'R.M Billets Reports'!D231)),TRIM(MID('R.M Billets Reports'!D231,SEARCH("-",'R.M Billets Reports'!D231)+1,200)),"")),IF(ISNUMBER(SEARCH("Party Name:-",'R.M Billets Reports'!D232)),TRIM('R.M Billets Reports'!F232),IF(ISNUMBER(SEARCH("Party Name-",'R.M Billets Reports'!D232)),TRIM(MID('R.M Billets Reports'!D232,SEARCH("-",'R.M Billets Reports'!D232)+1,200)),"")))))),IF(ROW()=2,"",A231))</f>
      </c>
      <c r="B232">
        <f>IF(OR('R.M Billets Reports'!A231="Date-",'R.M Billets Reports'!A231="Date:-"),'R.M Billets Reports'!B231,IF(ROW()=2,"",B231))</f>
      </c>
      <c r="C232">
        <f>IF('R.M Billets Reports'!A231="V.No.",'R.M Billets Reports'!B231,IF(ROW()=2,"",C231))</f>
      </c>
      <c r="D232">
        <f>IF('R.M Billets Reports'!A231&lt;&gt;"",'R.M Billets Reports'!A231,IF(ROW()=2,"",D231))</f>
      </c>
      <c r="E232">
        <f>IF('R.M Billets Reports'!B231="","",TRIM('R.M Billets Reports'!B231))</f>
      </c>
      <c r="F232">
        <f>'R.M Billets Reports'!C231</f>
      </c>
      <c r="G232">
        <f>'R.M Billets Reports'!D231</f>
      </c>
      <c r="H232">
        <f>'R.M Billets Reports'!E231</f>
      </c>
      <c r="I232">
        <f>'R.M Billets Reports'!F231</f>
      </c>
      <c r="J232">
        <f>'R.M Billets Reports'!G231</f>
      </c>
      <c r="K232">
        <f>'R.M Billets Reports'!H231</f>
      </c>
      <c r="L232">
        <f>IF('R.M Billets Reports'!I231="","",'R.M Billets Reports'!I231)</f>
      </c>
      <c r="M232">
        <f t="shared" si="6"/>
      </c>
      <c r="N232">
        <f>IF('R.M Billets Reports'!J231="","",'R.M Billets Reports'!J231)</f>
      </c>
      <c r="O232">
        <f t="shared" si="7"/>
      </c>
      <c r="P232">
        <f>IF('R.M Billets Reports'!A231="SIZE",'R.M Billets Reports'!B231,P231)</f>
      </c>
    </row>
    <row r="233" spans="1:16" x14ac:dyDescent="0.25">
      <c r="A233">
        <f>IF(OR('R.M Billets Reports'!A232="Date-",'R.M Billets Reports'!A232="Date:-"),IF(IF(IF(ISNUMBER(SEARCH("Party Name:-",'R.M Billets Reports'!D232)),TRIM('R.M Billets Reports'!F232),IF(ISNUMBER(SEARCH("Party Name-",'R.M Billets Reports'!D232)),TRIM(MID('R.M Billets Reports'!D232,SEARCH("-",'R.M Billets Reports'!D232)+1,200)),""))&lt;&gt;"",IF(ISNUMBER(SEARCH("Party Name:-",'R.M Billets Reports'!D232)),TRIM('R.M Billets Reports'!F232),IF(ISNUMBER(SEARCH("Party Name-",'R.M Billets Reports'!D232)),TRIM(MID('R.M Billets Reports'!D232,SEARCH("-",'R.M Billets Reports'!D232)+1,200)),"")),IF(ISNUMBER(SEARCH("Party Name:-",'R.M Billets Reports'!D233)),TRIM('R.M Billets Reports'!F233),IF(ISNUMBER(SEARCH("Party Name-",'R.M Billets Reports'!D233)),TRIM(MID('R.M Billets Reports'!D233,SEARCH("-",'R.M Billets Reports'!D233)+1,200)),"")))="VRKP ISPAT PVT LTD","VRKP",IF(IF(IF(ISNUMBER(SEARCH("Party Name:-",'R.M Billets Reports'!D232)),TRIM('R.M Billets Reports'!F232),IF(ISNUMBER(SEARCH("Party Name-",'R.M Billets Reports'!D232)),TRIM(MID('R.M Billets Reports'!D232,SEARCH("-",'R.M Billets Reports'!D232)+1,200)),""))&lt;&gt;"",IF(ISNUMBER(SEARCH("Party Name:-",'R.M Billets Reports'!D232)),TRIM('R.M Billets Reports'!F232),IF(ISNUMBER(SEARCH("Party Name-",'R.M Billets Reports'!D232)),TRIM(MID('R.M Billets Reports'!D232,SEARCH("-",'R.M Billets Reports'!D232)+1,200)),"")),IF(ISNUMBER(SEARCH("Party Name:-",'R.M Billets Reports'!D233)),TRIM('R.M Billets Reports'!F233),IF(ISNUMBER(SEARCH("Party Name-",'R.M Billets Reports'!D233)),TRIM(MID('R.M Billets Reports'!D233,SEARCH("-",'R.M Billets Reports'!D233)+1,200)),"")))="SHRI RADHE","SHREE RADHE",IF(IF(IF(ISNUMBER(SEARCH("Party Name:-",'R.M Billets Reports'!D232)),TRIM('R.M Billets Reports'!F232),IF(ISNUMBER(SEARCH("Party Name-",'R.M Billets Reports'!D232)),TRIM(MID('R.M Billets Reports'!D232,SEARCH("-",'R.M Billets Reports'!D232)+1,200)),""))&lt;&gt;"",IF(ISNUMBER(SEARCH("Party Name:-",'R.M Billets Reports'!D232)),TRIM('R.M Billets Reports'!F232),IF(ISNUMBER(SEARCH("Party Name-",'R.M Billets Reports'!D232)),TRIM(MID('R.M Billets Reports'!D232,SEARCH("-",'R.M Billets Reports'!D232)+1,200)),"")),IF(ISNUMBER(SEARCH("Party Name:-",'R.M Billets Reports'!D233)),TRIM('R.M Billets Reports'!F233),IF(ISNUMBER(SEARCH("Party Name-",'R.M Billets Reports'!D233)),TRIM(MID('R.M Billets Reports'!D233,SEARCH("-",'R.M Billets Reports'!D233)+1,200)),"")))="SHREE RADHE SHAKTI SPONGE AND POWER PVT. LTD.","SHREE RADHE",IF(IF(ISNUMBER(SEARCH("Party Name:-",'R.M Billets Reports'!D232)),TRIM('R.M Billets Reports'!F232),IF(ISNUMBER(SEARCH("Party Name-",'R.M Billets Reports'!D232)),TRIM(MID('R.M Billets Reports'!D232,SEARCH("-",'R.M Billets Reports'!D232)+1,200)),""))&lt;&gt;"",IF(ISNUMBER(SEARCH("Party Name:-",'R.M Billets Reports'!D232)),TRIM('R.M Billets Reports'!F232),IF(ISNUMBER(SEARCH("Party Name-",'R.M Billets Reports'!D232)),TRIM(MID('R.M Billets Reports'!D232,SEARCH("-",'R.M Billets Reports'!D232)+1,200)),"")),IF(ISNUMBER(SEARCH("Party Name:-",'R.M Billets Reports'!D233)),TRIM('R.M Billets Reports'!F233),IF(ISNUMBER(SEARCH("Party Name-",'R.M Billets Reports'!D233)),TRIM(MID('R.M Billets Reports'!D233,SEARCH("-",'R.M Billets Reports'!D233)+1,200)),"")))))),IF(ROW()=2,"",A232))</f>
      </c>
      <c r="B233">
        <f>IF(OR('R.M Billets Reports'!A232="Date-",'R.M Billets Reports'!A232="Date:-"),'R.M Billets Reports'!B232,IF(ROW()=2,"",B232))</f>
      </c>
      <c r="C233">
        <f>IF('R.M Billets Reports'!A232="V.No.",'R.M Billets Reports'!B232,IF(ROW()=2,"",C232))</f>
      </c>
      <c r="D233">
        <f>IF('R.M Billets Reports'!A232&lt;&gt;"",'R.M Billets Reports'!A232,IF(ROW()=2,"",D232))</f>
      </c>
      <c r="E233">
        <f>IF('R.M Billets Reports'!B232="","",TRIM('R.M Billets Reports'!B232))</f>
      </c>
      <c r="F233">
        <f>'R.M Billets Reports'!C232</f>
      </c>
      <c r="G233">
        <f>'R.M Billets Reports'!D232</f>
      </c>
      <c r="H233">
        <f>'R.M Billets Reports'!E232</f>
      </c>
      <c r="I233">
        <f>'R.M Billets Reports'!F232</f>
      </c>
      <c r="J233">
        <f>'R.M Billets Reports'!G232</f>
      </c>
      <c r="K233">
        <f>'R.M Billets Reports'!H232</f>
      </c>
      <c r="L233">
        <f>IF('R.M Billets Reports'!I232="","",'R.M Billets Reports'!I232)</f>
      </c>
      <c r="M233">
        <f t="shared" si="6"/>
      </c>
      <c r="N233">
        <f>IF('R.M Billets Reports'!J232="","",'R.M Billets Reports'!J232)</f>
      </c>
      <c r="O233">
        <f t="shared" si="7"/>
      </c>
      <c r="P233">
        <f>IF('R.M Billets Reports'!A232="SIZE",'R.M Billets Reports'!B232,P232)</f>
      </c>
    </row>
    <row r="234" spans="1:16" x14ac:dyDescent="0.25">
      <c r="A234">
        <f>IF(OR('R.M Billets Reports'!A233="Date-",'R.M Billets Reports'!A233="Date:-"),IF(IF(IF(ISNUMBER(SEARCH("Party Name:-",'R.M Billets Reports'!D233)),TRIM('R.M Billets Reports'!F233),IF(ISNUMBER(SEARCH("Party Name-",'R.M Billets Reports'!D233)),TRIM(MID('R.M Billets Reports'!D233,SEARCH("-",'R.M Billets Reports'!D233)+1,200)),""))&lt;&gt;"",IF(ISNUMBER(SEARCH("Party Name:-",'R.M Billets Reports'!D233)),TRIM('R.M Billets Reports'!F233),IF(ISNUMBER(SEARCH("Party Name-",'R.M Billets Reports'!D233)),TRIM(MID('R.M Billets Reports'!D233,SEARCH("-",'R.M Billets Reports'!D233)+1,200)),"")),IF(ISNUMBER(SEARCH("Party Name:-",'R.M Billets Reports'!D234)),TRIM('R.M Billets Reports'!F234),IF(ISNUMBER(SEARCH("Party Name-",'R.M Billets Reports'!D234)),TRIM(MID('R.M Billets Reports'!D234,SEARCH("-",'R.M Billets Reports'!D234)+1,200)),"")))="VRKP ISPAT PVT LTD","VRKP",IF(IF(IF(ISNUMBER(SEARCH("Party Name:-",'R.M Billets Reports'!D233)),TRIM('R.M Billets Reports'!F233),IF(ISNUMBER(SEARCH("Party Name-",'R.M Billets Reports'!D233)),TRIM(MID('R.M Billets Reports'!D233,SEARCH("-",'R.M Billets Reports'!D233)+1,200)),""))&lt;&gt;"",IF(ISNUMBER(SEARCH("Party Name:-",'R.M Billets Reports'!D233)),TRIM('R.M Billets Reports'!F233),IF(ISNUMBER(SEARCH("Party Name-",'R.M Billets Reports'!D233)),TRIM(MID('R.M Billets Reports'!D233,SEARCH("-",'R.M Billets Reports'!D233)+1,200)),"")),IF(ISNUMBER(SEARCH("Party Name:-",'R.M Billets Reports'!D234)),TRIM('R.M Billets Reports'!F234),IF(ISNUMBER(SEARCH("Party Name-",'R.M Billets Reports'!D234)),TRIM(MID('R.M Billets Reports'!D234,SEARCH("-",'R.M Billets Reports'!D234)+1,200)),"")))="SHRI RADHE","SHREE RADHE",IF(IF(IF(ISNUMBER(SEARCH("Party Name:-",'R.M Billets Reports'!D233)),TRIM('R.M Billets Reports'!F233),IF(ISNUMBER(SEARCH("Party Name-",'R.M Billets Reports'!D233)),TRIM(MID('R.M Billets Reports'!D233,SEARCH("-",'R.M Billets Reports'!D233)+1,200)),""))&lt;&gt;"",IF(ISNUMBER(SEARCH("Party Name:-",'R.M Billets Reports'!D233)),TRIM('R.M Billets Reports'!F233),IF(ISNUMBER(SEARCH("Party Name-",'R.M Billets Reports'!D233)),TRIM(MID('R.M Billets Reports'!D233,SEARCH("-",'R.M Billets Reports'!D233)+1,200)),"")),IF(ISNUMBER(SEARCH("Party Name:-",'R.M Billets Reports'!D234)),TRIM('R.M Billets Reports'!F234),IF(ISNUMBER(SEARCH("Party Name-",'R.M Billets Reports'!D234)),TRIM(MID('R.M Billets Reports'!D234,SEARCH("-",'R.M Billets Reports'!D234)+1,200)),"")))="SHREE RADHE SHAKTI SPONGE AND POWER PVT. LTD.","SHREE RADHE",IF(IF(ISNUMBER(SEARCH("Party Name:-",'R.M Billets Reports'!D233)),TRIM('R.M Billets Reports'!F233),IF(ISNUMBER(SEARCH("Party Name-",'R.M Billets Reports'!D233)),TRIM(MID('R.M Billets Reports'!D233,SEARCH("-",'R.M Billets Reports'!D233)+1,200)),""))&lt;&gt;"",IF(ISNUMBER(SEARCH("Party Name:-",'R.M Billets Reports'!D233)),TRIM('R.M Billets Reports'!F233),IF(ISNUMBER(SEARCH("Party Name-",'R.M Billets Reports'!D233)),TRIM(MID('R.M Billets Reports'!D233,SEARCH("-",'R.M Billets Reports'!D233)+1,200)),"")),IF(ISNUMBER(SEARCH("Party Name:-",'R.M Billets Reports'!D234)),TRIM('R.M Billets Reports'!F234),IF(ISNUMBER(SEARCH("Party Name-",'R.M Billets Reports'!D234)),TRIM(MID('R.M Billets Reports'!D234,SEARCH("-",'R.M Billets Reports'!D234)+1,200)),"")))))),IF(ROW()=2,"",A233))</f>
      </c>
      <c r="B234">
        <f>IF(OR('R.M Billets Reports'!A233="Date-",'R.M Billets Reports'!A233="Date:-"),'R.M Billets Reports'!B233,IF(ROW()=2,"",B233))</f>
      </c>
      <c r="C234">
        <f>IF('R.M Billets Reports'!A233="V.No.",'R.M Billets Reports'!B233,IF(ROW()=2,"",C233))</f>
      </c>
      <c r="D234">
        <f>IF('R.M Billets Reports'!A233&lt;&gt;"",'R.M Billets Reports'!A233,IF(ROW()=2,"",D233))</f>
      </c>
      <c r="E234">
        <f>IF('R.M Billets Reports'!B233="","",TRIM('R.M Billets Reports'!B233))</f>
      </c>
      <c r="F234">
        <f>'R.M Billets Reports'!C233</f>
      </c>
      <c r="G234">
        <f>'R.M Billets Reports'!D233</f>
      </c>
      <c r="H234">
        <f>'R.M Billets Reports'!E233</f>
      </c>
      <c r="I234">
        <f>'R.M Billets Reports'!F233</f>
      </c>
      <c r="J234">
        <f>'R.M Billets Reports'!G233</f>
      </c>
      <c r="K234">
        <f>'R.M Billets Reports'!H233</f>
      </c>
      <c r="L234">
        <f>IF('R.M Billets Reports'!I233="","",'R.M Billets Reports'!I233)</f>
      </c>
      <c r="M234">
        <f t="shared" si="6"/>
      </c>
      <c r="N234">
        <f>IF('R.M Billets Reports'!J233="","",'R.M Billets Reports'!J233)</f>
      </c>
      <c r="O234">
        <f t="shared" si="7"/>
      </c>
      <c r="P234">
        <f>IF('R.M Billets Reports'!A233="SIZE",'R.M Billets Reports'!B233,P233)</f>
      </c>
    </row>
    <row r="235" spans="1:16" x14ac:dyDescent="0.25">
      <c r="A235">
        <f>IF(OR('R.M Billets Reports'!A234="Date-",'R.M Billets Reports'!A234="Date:-"),IF(IF(IF(ISNUMBER(SEARCH("Party Name:-",'R.M Billets Reports'!D234)),TRIM('R.M Billets Reports'!F234),IF(ISNUMBER(SEARCH("Party Name-",'R.M Billets Reports'!D234)),TRIM(MID('R.M Billets Reports'!D234,SEARCH("-",'R.M Billets Reports'!D234)+1,200)),""))&lt;&gt;"",IF(ISNUMBER(SEARCH("Party Name:-",'R.M Billets Reports'!D234)),TRIM('R.M Billets Reports'!F234),IF(ISNUMBER(SEARCH("Party Name-",'R.M Billets Reports'!D234)),TRIM(MID('R.M Billets Reports'!D234,SEARCH("-",'R.M Billets Reports'!D234)+1,200)),"")),IF(ISNUMBER(SEARCH("Party Name:-",'R.M Billets Reports'!D235)),TRIM('R.M Billets Reports'!F235),IF(ISNUMBER(SEARCH("Party Name-",'R.M Billets Reports'!D235)),TRIM(MID('R.M Billets Reports'!D235,SEARCH("-",'R.M Billets Reports'!D235)+1,200)),"")))="VRKP ISPAT PVT LTD","VRKP",IF(IF(IF(ISNUMBER(SEARCH("Party Name:-",'R.M Billets Reports'!D234)),TRIM('R.M Billets Reports'!F234),IF(ISNUMBER(SEARCH("Party Name-",'R.M Billets Reports'!D234)),TRIM(MID('R.M Billets Reports'!D234,SEARCH("-",'R.M Billets Reports'!D234)+1,200)),""))&lt;&gt;"",IF(ISNUMBER(SEARCH("Party Name:-",'R.M Billets Reports'!D234)),TRIM('R.M Billets Reports'!F234),IF(ISNUMBER(SEARCH("Party Name-",'R.M Billets Reports'!D234)),TRIM(MID('R.M Billets Reports'!D234,SEARCH("-",'R.M Billets Reports'!D234)+1,200)),"")),IF(ISNUMBER(SEARCH("Party Name:-",'R.M Billets Reports'!D235)),TRIM('R.M Billets Reports'!F235),IF(ISNUMBER(SEARCH("Party Name-",'R.M Billets Reports'!D235)),TRIM(MID('R.M Billets Reports'!D235,SEARCH("-",'R.M Billets Reports'!D235)+1,200)),"")))="SHRI RADHE","SHREE RADHE",IF(IF(IF(ISNUMBER(SEARCH("Party Name:-",'R.M Billets Reports'!D234)),TRIM('R.M Billets Reports'!F234),IF(ISNUMBER(SEARCH("Party Name-",'R.M Billets Reports'!D234)),TRIM(MID('R.M Billets Reports'!D234,SEARCH("-",'R.M Billets Reports'!D234)+1,200)),""))&lt;&gt;"",IF(ISNUMBER(SEARCH("Party Name:-",'R.M Billets Reports'!D234)),TRIM('R.M Billets Reports'!F234),IF(ISNUMBER(SEARCH("Party Name-",'R.M Billets Reports'!D234)),TRIM(MID('R.M Billets Reports'!D234,SEARCH("-",'R.M Billets Reports'!D234)+1,200)),"")),IF(ISNUMBER(SEARCH("Party Name:-",'R.M Billets Reports'!D235)),TRIM('R.M Billets Reports'!F235),IF(ISNUMBER(SEARCH("Party Name-",'R.M Billets Reports'!D235)),TRIM(MID('R.M Billets Reports'!D235,SEARCH("-",'R.M Billets Reports'!D235)+1,200)),"")))="SHREE RADHE SHAKTI SPONGE AND POWER PVT. LTD.","SHREE RADHE",IF(IF(ISNUMBER(SEARCH("Party Name:-",'R.M Billets Reports'!D234)),TRIM('R.M Billets Reports'!F234),IF(ISNUMBER(SEARCH("Party Name-",'R.M Billets Reports'!D234)),TRIM(MID('R.M Billets Reports'!D234,SEARCH("-",'R.M Billets Reports'!D234)+1,200)),""))&lt;&gt;"",IF(ISNUMBER(SEARCH("Party Name:-",'R.M Billets Reports'!D234)),TRIM('R.M Billets Reports'!F234),IF(ISNUMBER(SEARCH("Party Name-",'R.M Billets Reports'!D234)),TRIM(MID('R.M Billets Reports'!D234,SEARCH("-",'R.M Billets Reports'!D234)+1,200)),"")),IF(ISNUMBER(SEARCH("Party Name:-",'R.M Billets Reports'!D235)),TRIM('R.M Billets Reports'!F235),IF(ISNUMBER(SEARCH("Party Name-",'R.M Billets Reports'!D235)),TRIM(MID('R.M Billets Reports'!D235,SEARCH("-",'R.M Billets Reports'!D235)+1,200)),"")))))),IF(ROW()=2,"",A234))</f>
      </c>
      <c r="B235">
        <f>IF(OR('R.M Billets Reports'!A234="Date-",'R.M Billets Reports'!A234="Date:-"),'R.M Billets Reports'!B234,IF(ROW()=2,"",B234))</f>
      </c>
      <c r="C235">
        <f>IF('R.M Billets Reports'!A234="V.No.",'R.M Billets Reports'!B234,IF(ROW()=2,"",C234))</f>
      </c>
      <c r="D235">
        <f>IF('R.M Billets Reports'!A234&lt;&gt;"",'R.M Billets Reports'!A234,IF(ROW()=2,"",D234))</f>
      </c>
      <c r="E235">
        <f>IF('R.M Billets Reports'!B234="","",TRIM('R.M Billets Reports'!B234))</f>
      </c>
      <c r="F235">
        <f>'R.M Billets Reports'!C234</f>
      </c>
      <c r="G235">
        <f>'R.M Billets Reports'!D234</f>
      </c>
      <c r="H235">
        <f>'R.M Billets Reports'!E234</f>
      </c>
      <c r="I235">
        <f>'R.M Billets Reports'!F234</f>
      </c>
      <c r="J235">
        <f>'R.M Billets Reports'!G234</f>
      </c>
      <c r="K235">
        <f>'R.M Billets Reports'!H234</f>
      </c>
      <c r="L235">
        <f>IF('R.M Billets Reports'!I234="","",'R.M Billets Reports'!I234)</f>
      </c>
      <c r="M235">
        <f t="shared" si="6"/>
      </c>
      <c r="N235">
        <f>IF('R.M Billets Reports'!J234="","",'R.M Billets Reports'!J234)</f>
      </c>
      <c r="O235">
        <f t="shared" si="7"/>
      </c>
      <c r="P235">
        <f>IF('R.M Billets Reports'!A234="SIZE",'R.M Billets Reports'!B234,P234)</f>
      </c>
    </row>
    <row r="236" spans="1:16" x14ac:dyDescent="0.25">
      <c r="A236">
        <f>IF(OR('R.M Billets Reports'!A235="Date-",'R.M Billets Reports'!A235="Date:-"),IF(IF(IF(ISNUMBER(SEARCH("Party Name:-",'R.M Billets Reports'!D235)),TRIM('R.M Billets Reports'!F235),IF(ISNUMBER(SEARCH("Party Name-",'R.M Billets Reports'!D235)),TRIM(MID('R.M Billets Reports'!D235,SEARCH("-",'R.M Billets Reports'!D235)+1,200)),""))&lt;&gt;"",IF(ISNUMBER(SEARCH("Party Name:-",'R.M Billets Reports'!D235)),TRIM('R.M Billets Reports'!F235),IF(ISNUMBER(SEARCH("Party Name-",'R.M Billets Reports'!D235)),TRIM(MID('R.M Billets Reports'!D235,SEARCH("-",'R.M Billets Reports'!D235)+1,200)),"")),IF(ISNUMBER(SEARCH("Party Name:-",'R.M Billets Reports'!D236)),TRIM('R.M Billets Reports'!F236),IF(ISNUMBER(SEARCH("Party Name-",'R.M Billets Reports'!D236)),TRIM(MID('R.M Billets Reports'!D236,SEARCH("-",'R.M Billets Reports'!D236)+1,200)),"")))="VRKP ISPAT PVT LTD","VRKP",IF(IF(IF(ISNUMBER(SEARCH("Party Name:-",'R.M Billets Reports'!D235)),TRIM('R.M Billets Reports'!F235),IF(ISNUMBER(SEARCH("Party Name-",'R.M Billets Reports'!D235)),TRIM(MID('R.M Billets Reports'!D235,SEARCH("-",'R.M Billets Reports'!D235)+1,200)),""))&lt;&gt;"",IF(ISNUMBER(SEARCH("Party Name:-",'R.M Billets Reports'!D235)),TRIM('R.M Billets Reports'!F235),IF(ISNUMBER(SEARCH("Party Name-",'R.M Billets Reports'!D235)),TRIM(MID('R.M Billets Reports'!D235,SEARCH("-",'R.M Billets Reports'!D235)+1,200)),"")),IF(ISNUMBER(SEARCH("Party Name:-",'R.M Billets Reports'!D236)),TRIM('R.M Billets Reports'!F236),IF(ISNUMBER(SEARCH("Party Name-",'R.M Billets Reports'!D236)),TRIM(MID('R.M Billets Reports'!D236,SEARCH("-",'R.M Billets Reports'!D236)+1,200)),"")))="SHRI RADHE","SHREE RADHE",IF(IF(IF(ISNUMBER(SEARCH("Party Name:-",'R.M Billets Reports'!D235)),TRIM('R.M Billets Reports'!F235),IF(ISNUMBER(SEARCH("Party Name-",'R.M Billets Reports'!D235)),TRIM(MID('R.M Billets Reports'!D235,SEARCH("-",'R.M Billets Reports'!D235)+1,200)),""))&lt;&gt;"",IF(ISNUMBER(SEARCH("Party Name:-",'R.M Billets Reports'!D235)),TRIM('R.M Billets Reports'!F235),IF(ISNUMBER(SEARCH("Party Name-",'R.M Billets Reports'!D235)),TRIM(MID('R.M Billets Reports'!D235,SEARCH("-",'R.M Billets Reports'!D235)+1,200)),"")),IF(ISNUMBER(SEARCH("Party Name:-",'R.M Billets Reports'!D236)),TRIM('R.M Billets Reports'!F236),IF(ISNUMBER(SEARCH("Party Name-",'R.M Billets Reports'!D236)),TRIM(MID('R.M Billets Reports'!D236,SEARCH("-",'R.M Billets Reports'!D236)+1,200)),"")))="SHREE RADHE SHAKTI SPONGE AND POWER PVT. LTD.","SHREE RADHE",IF(IF(ISNUMBER(SEARCH("Party Name:-",'R.M Billets Reports'!D235)),TRIM('R.M Billets Reports'!F235),IF(ISNUMBER(SEARCH("Party Name-",'R.M Billets Reports'!D235)),TRIM(MID('R.M Billets Reports'!D235,SEARCH("-",'R.M Billets Reports'!D235)+1,200)),""))&lt;&gt;"",IF(ISNUMBER(SEARCH("Party Name:-",'R.M Billets Reports'!D235)),TRIM('R.M Billets Reports'!F235),IF(ISNUMBER(SEARCH("Party Name-",'R.M Billets Reports'!D235)),TRIM(MID('R.M Billets Reports'!D235,SEARCH("-",'R.M Billets Reports'!D235)+1,200)),"")),IF(ISNUMBER(SEARCH("Party Name:-",'R.M Billets Reports'!D236)),TRIM('R.M Billets Reports'!F236),IF(ISNUMBER(SEARCH("Party Name-",'R.M Billets Reports'!D236)),TRIM(MID('R.M Billets Reports'!D236,SEARCH("-",'R.M Billets Reports'!D236)+1,200)),"")))))),IF(ROW()=2,"",A235))</f>
      </c>
      <c r="B236">
        <f>IF(OR('R.M Billets Reports'!A235="Date-",'R.M Billets Reports'!A235="Date:-"),'R.M Billets Reports'!B235,IF(ROW()=2,"",B235))</f>
      </c>
      <c r="C236">
        <f>IF('R.M Billets Reports'!A235="V.No.",'R.M Billets Reports'!B235,IF(ROW()=2,"",C235))</f>
      </c>
      <c r="D236">
        <f>IF('R.M Billets Reports'!A235&lt;&gt;"",'R.M Billets Reports'!A235,IF(ROW()=2,"",D235))</f>
      </c>
      <c r="E236">
        <f>IF('R.M Billets Reports'!B235="","",TRIM('R.M Billets Reports'!B235))</f>
      </c>
      <c r="F236">
        <f>'R.M Billets Reports'!C235</f>
      </c>
      <c r="G236">
        <f>'R.M Billets Reports'!D235</f>
      </c>
      <c r="H236">
        <f>'R.M Billets Reports'!E235</f>
      </c>
      <c r="I236">
        <f>'R.M Billets Reports'!F235</f>
      </c>
      <c r="J236">
        <f>'R.M Billets Reports'!G235</f>
      </c>
      <c r="K236">
        <f>'R.M Billets Reports'!H235</f>
      </c>
      <c r="L236">
        <f>IF('R.M Billets Reports'!I235="","",'R.M Billets Reports'!I235)</f>
      </c>
      <c r="M236">
        <f t="shared" si="6"/>
      </c>
      <c r="N236">
        <f>IF('R.M Billets Reports'!J235="","",'R.M Billets Reports'!J235)</f>
      </c>
      <c r="O236">
        <f t="shared" si="7"/>
      </c>
      <c r="P236">
        <f>IF('R.M Billets Reports'!A235="SIZE",'R.M Billets Reports'!B235,P235)</f>
      </c>
    </row>
    <row r="237" spans="1:16" x14ac:dyDescent="0.25">
      <c r="A237">
        <f>IF(OR('R.M Billets Reports'!A236="Date-",'R.M Billets Reports'!A236="Date:-"),IF(IF(IF(ISNUMBER(SEARCH("Party Name:-",'R.M Billets Reports'!D236)),TRIM('R.M Billets Reports'!F236),IF(ISNUMBER(SEARCH("Party Name-",'R.M Billets Reports'!D236)),TRIM(MID('R.M Billets Reports'!D236,SEARCH("-",'R.M Billets Reports'!D236)+1,200)),""))&lt;&gt;"",IF(ISNUMBER(SEARCH("Party Name:-",'R.M Billets Reports'!D236)),TRIM('R.M Billets Reports'!F236),IF(ISNUMBER(SEARCH("Party Name-",'R.M Billets Reports'!D236)),TRIM(MID('R.M Billets Reports'!D236,SEARCH("-",'R.M Billets Reports'!D236)+1,200)),"")),IF(ISNUMBER(SEARCH("Party Name:-",'R.M Billets Reports'!D237)),TRIM('R.M Billets Reports'!F237),IF(ISNUMBER(SEARCH("Party Name-",'R.M Billets Reports'!D237)),TRIM(MID('R.M Billets Reports'!D237,SEARCH("-",'R.M Billets Reports'!D237)+1,200)),"")))="VRKP ISPAT PVT LTD","VRKP",IF(IF(IF(ISNUMBER(SEARCH("Party Name:-",'R.M Billets Reports'!D236)),TRIM('R.M Billets Reports'!F236),IF(ISNUMBER(SEARCH("Party Name-",'R.M Billets Reports'!D236)),TRIM(MID('R.M Billets Reports'!D236,SEARCH("-",'R.M Billets Reports'!D236)+1,200)),""))&lt;&gt;"",IF(ISNUMBER(SEARCH("Party Name:-",'R.M Billets Reports'!D236)),TRIM('R.M Billets Reports'!F236),IF(ISNUMBER(SEARCH("Party Name-",'R.M Billets Reports'!D236)),TRIM(MID('R.M Billets Reports'!D236,SEARCH("-",'R.M Billets Reports'!D236)+1,200)),"")),IF(ISNUMBER(SEARCH("Party Name:-",'R.M Billets Reports'!D237)),TRIM('R.M Billets Reports'!F237),IF(ISNUMBER(SEARCH("Party Name-",'R.M Billets Reports'!D237)),TRIM(MID('R.M Billets Reports'!D237,SEARCH("-",'R.M Billets Reports'!D237)+1,200)),"")))="SHRI RADHE","SHREE RADHE",IF(IF(IF(ISNUMBER(SEARCH("Party Name:-",'R.M Billets Reports'!D236)),TRIM('R.M Billets Reports'!F236),IF(ISNUMBER(SEARCH("Party Name-",'R.M Billets Reports'!D236)),TRIM(MID('R.M Billets Reports'!D236,SEARCH("-",'R.M Billets Reports'!D236)+1,200)),""))&lt;&gt;"",IF(ISNUMBER(SEARCH("Party Name:-",'R.M Billets Reports'!D236)),TRIM('R.M Billets Reports'!F236),IF(ISNUMBER(SEARCH("Party Name-",'R.M Billets Reports'!D236)),TRIM(MID('R.M Billets Reports'!D236,SEARCH("-",'R.M Billets Reports'!D236)+1,200)),"")),IF(ISNUMBER(SEARCH("Party Name:-",'R.M Billets Reports'!D237)),TRIM('R.M Billets Reports'!F237),IF(ISNUMBER(SEARCH("Party Name-",'R.M Billets Reports'!D237)),TRIM(MID('R.M Billets Reports'!D237,SEARCH("-",'R.M Billets Reports'!D237)+1,200)),"")))="SHREE RADHE SHAKTI SPONGE AND POWER PVT. LTD.","SHREE RADHE",IF(IF(ISNUMBER(SEARCH("Party Name:-",'R.M Billets Reports'!D236)),TRIM('R.M Billets Reports'!F236),IF(ISNUMBER(SEARCH("Party Name-",'R.M Billets Reports'!D236)),TRIM(MID('R.M Billets Reports'!D236,SEARCH("-",'R.M Billets Reports'!D236)+1,200)),""))&lt;&gt;"",IF(ISNUMBER(SEARCH("Party Name:-",'R.M Billets Reports'!D236)),TRIM('R.M Billets Reports'!F236),IF(ISNUMBER(SEARCH("Party Name-",'R.M Billets Reports'!D236)),TRIM(MID('R.M Billets Reports'!D236,SEARCH("-",'R.M Billets Reports'!D236)+1,200)),"")),IF(ISNUMBER(SEARCH("Party Name:-",'R.M Billets Reports'!D237)),TRIM('R.M Billets Reports'!F237),IF(ISNUMBER(SEARCH("Party Name-",'R.M Billets Reports'!D237)),TRIM(MID('R.M Billets Reports'!D237,SEARCH("-",'R.M Billets Reports'!D237)+1,200)),"")))))),IF(ROW()=2,"",A236))</f>
      </c>
      <c r="B237">
        <f>IF(OR('R.M Billets Reports'!A236="Date-",'R.M Billets Reports'!A236="Date:-"),'R.M Billets Reports'!B236,IF(ROW()=2,"",B236))</f>
      </c>
      <c r="C237">
        <f>IF('R.M Billets Reports'!A236="V.No.",'R.M Billets Reports'!B236,IF(ROW()=2,"",C236))</f>
      </c>
      <c r="D237">
        <f>IF('R.M Billets Reports'!A236&lt;&gt;"",'R.M Billets Reports'!A236,IF(ROW()=2,"",D236))</f>
      </c>
      <c r="E237">
        <f>IF('R.M Billets Reports'!B236="","",TRIM('R.M Billets Reports'!B236))</f>
      </c>
      <c r="F237">
        <f>'R.M Billets Reports'!C236</f>
      </c>
      <c r="G237">
        <f>'R.M Billets Reports'!D236</f>
      </c>
      <c r="H237">
        <f>'R.M Billets Reports'!E236</f>
      </c>
      <c r="I237">
        <f>'R.M Billets Reports'!F236</f>
      </c>
      <c r="J237">
        <f>'R.M Billets Reports'!G236</f>
      </c>
      <c r="K237">
        <f>'R.M Billets Reports'!H236</f>
      </c>
      <c r="L237">
        <f>IF('R.M Billets Reports'!I236="","",'R.M Billets Reports'!I236)</f>
      </c>
      <c r="M237">
        <f t="shared" si="6"/>
      </c>
      <c r="N237">
        <f>IF('R.M Billets Reports'!J236="","",'R.M Billets Reports'!J236)</f>
      </c>
      <c r="O237">
        <f t="shared" si="7"/>
      </c>
      <c r="P237">
        <f>IF('R.M Billets Reports'!A236="SIZE",'R.M Billets Reports'!B236,P236)</f>
      </c>
    </row>
    <row r="238" spans="1:16" x14ac:dyDescent="0.25">
      <c r="A238">
        <f>IF(OR('R.M Billets Reports'!A237="Date-",'R.M Billets Reports'!A237="Date:-"),IF(IF(IF(ISNUMBER(SEARCH("Party Name:-",'R.M Billets Reports'!D237)),TRIM('R.M Billets Reports'!F237),IF(ISNUMBER(SEARCH("Party Name-",'R.M Billets Reports'!D237)),TRIM(MID('R.M Billets Reports'!D237,SEARCH("-",'R.M Billets Reports'!D237)+1,200)),""))&lt;&gt;"",IF(ISNUMBER(SEARCH("Party Name:-",'R.M Billets Reports'!D237)),TRIM('R.M Billets Reports'!F237),IF(ISNUMBER(SEARCH("Party Name-",'R.M Billets Reports'!D237)),TRIM(MID('R.M Billets Reports'!D237,SEARCH("-",'R.M Billets Reports'!D237)+1,200)),"")),IF(ISNUMBER(SEARCH("Party Name:-",'R.M Billets Reports'!D238)),TRIM('R.M Billets Reports'!F238),IF(ISNUMBER(SEARCH("Party Name-",'R.M Billets Reports'!D238)),TRIM(MID('R.M Billets Reports'!D238,SEARCH("-",'R.M Billets Reports'!D238)+1,200)),"")))="VRKP ISPAT PVT LTD","VRKP",IF(IF(IF(ISNUMBER(SEARCH("Party Name:-",'R.M Billets Reports'!D237)),TRIM('R.M Billets Reports'!F237),IF(ISNUMBER(SEARCH("Party Name-",'R.M Billets Reports'!D237)),TRIM(MID('R.M Billets Reports'!D237,SEARCH("-",'R.M Billets Reports'!D237)+1,200)),""))&lt;&gt;"",IF(ISNUMBER(SEARCH("Party Name:-",'R.M Billets Reports'!D237)),TRIM('R.M Billets Reports'!F237),IF(ISNUMBER(SEARCH("Party Name-",'R.M Billets Reports'!D237)),TRIM(MID('R.M Billets Reports'!D237,SEARCH("-",'R.M Billets Reports'!D237)+1,200)),"")),IF(ISNUMBER(SEARCH("Party Name:-",'R.M Billets Reports'!D238)),TRIM('R.M Billets Reports'!F238),IF(ISNUMBER(SEARCH("Party Name-",'R.M Billets Reports'!D238)),TRIM(MID('R.M Billets Reports'!D238,SEARCH("-",'R.M Billets Reports'!D238)+1,200)),"")))="SHRI RADHE","SHREE RADHE",IF(IF(IF(ISNUMBER(SEARCH("Party Name:-",'R.M Billets Reports'!D237)),TRIM('R.M Billets Reports'!F237),IF(ISNUMBER(SEARCH("Party Name-",'R.M Billets Reports'!D237)),TRIM(MID('R.M Billets Reports'!D237,SEARCH("-",'R.M Billets Reports'!D237)+1,200)),""))&lt;&gt;"",IF(ISNUMBER(SEARCH("Party Name:-",'R.M Billets Reports'!D237)),TRIM('R.M Billets Reports'!F237),IF(ISNUMBER(SEARCH("Party Name-",'R.M Billets Reports'!D237)),TRIM(MID('R.M Billets Reports'!D237,SEARCH("-",'R.M Billets Reports'!D237)+1,200)),"")),IF(ISNUMBER(SEARCH("Party Name:-",'R.M Billets Reports'!D238)),TRIM('R.M Billets Reports'!F238),IF(ISNUMBER(SEARCH("Party Name-",'R.M Billets Reports'!D238)),TRIM(MID('R.M Billets Reports'!D238,SEARCH("-",'R.M Billets Reports'!D238)+1,200)),"")))="SHREE RADHE SHAKTI SPONGE AND POWER PVT. LTD.","SHREE RADHE",IF(IF(ISNUMBER(SEARCH("Party Name:-",'R.M Billets Reports'!D237)),TRIM('R.M Billets Reports'!F237),IF(ISNUMBER(SEARCH("Party Name-",'R.M Billets Reports'!D237)),TRIM(MID('R.M Billets Reports'!D237,SEARCH("-",'R.M Billets Reports'!D237)+1,200)),""))&lt;&gt;"",IF(ISNUMBER(SEARCH("Party Name:-",'R.M Billets Reports'!D237)),TRIM('R.M Billets Reports'!F237),IF(ISNUMBER(SEARCH("Party Name-",'R.M Billets Reports'!D237)),TRIM(MID('R.M Billets Reports'!D237,SEARCH("-",'R.M Billets Reports'!D237)+1,200)),"")),IF(ISNUMBER(SEARCH("Party Name:-",'R.M Billets Reports'!D238)),TRIM('R.M Billets Reports'!F238),IF(ISNUMBER(SEARCH("Party Name-",'R.M Billets Reports'!D238)),TRIM(MID('R.M Billets Reports'!D238,SEARCH("-",'R.M Billets Reports'!D238)+1,200)),"")))))),IF(ROW()=2,"",A237))</f>
      </c>
      <c r="B238">
        <f>IF(OR('R.M Billets Reports'!A237="Date-",'R.M Billets Reports'!A237="Date:-"),'R.M Billets Reports'!B237,IF(ROW()=2,"",B237))</f>
      </c>
      <c r="C238">
        <f>IF('R.M Billets Reports'!A237="V.No.",'R.M Billets Reports'!B237,IF(ROW()=2,"",C237))</f>
      </c>
      <c r="D238">
        <f>IF('R.M Billets Reports'!A237&lt;&gt;"",'R.M Billets Reports'!A237,IF(ROW()=2,"",D237))</f>
      </c>
      <c r="E238">
        <f>IF('R.M Billets Reports'!B237="","",TRIM('R.M Billets Reports'!B237))</f>
      </c>
      <c r="F238">
        <f>'R.M Billets Reports'!C237</f>
      </c>
      <c r="G238">
        <f>'R.M Billets Reports'!D237</f>
      </c>
      <c r="H238">
        <f>'R.M Billets Reports'!E237</f>
      </c>
      <c r="I238">
        <f>'R.M Billets Reports'!F237</f>
      </c>
      <c r="J238">
        <f>'R.M Billets Reports'!G237</f>
      </c>
      <c r="K238">
        <f>'R.M Billets Reports'!H237</f>
      </c>
      <c r="L238">
        <f>IF('R.M Billets Reports'!I237="","",'R.M Billets Reports'!I237)</f>
      </c>
      <c r="M238">
        <f t="shared" si="6"/>
      </c>
      <c r="N238">
        <f>IF('R.M Billets Reports'!J237="","",'R.M Billets Reports'!J237)</f>
      </c>
      <c r="O238">
        <f t="shared" si="7"/>
      </c>
      <c r="P238">
        <f>IF('R.M Billets Reports'!A237="SIZE",'R.M Billets Reports'!B237,P237)</f>
      </c>
    </row>
    <row r="239" spans="1:16" x14ac:dyDescent="0.25">
      <c r="A239">
        <f>IF(OR('R.M Billets Reports'!A238="Date-",'R.M Billets Reports'!A238="Date:-"),IF(IF(IF(ISNUMBER(SEARCH("Party Name:-",'R.M Billets Reports'!D238)),TRIM('R.M Billets Reports'!F238),IF(ISNUMBER(SEARCH("Party Name-",'R.M Billets Reports'!D238)),TRIM(MID('R.M Billets Reports'!D238,SEARCH("-",'R.M Billets Reports'!D238)+1,200)),""))&lt;&gt;"",IF(ISNUMBER(SEARCH("Party Name:-",'R.M Billets Reports'!D238)),TRIM('R.M Billets Reports'!F238),IF(ISNUMBER(SEARCH("Party Name-",'R.M Billets Reports'!D238)),TRIM(MID('R.M Billets Reports'!D238,SEARCH("-",'R.M Billets Reports'!D238)+1,200)),"")),IF(ISNUMBER(SEARCH("Party Name:-",'R.M Billets Reports'!D239)),TRIM('R.M Billets Reports'!F239),IF(ISNUMBER(SEARCH("Party Name-",'R.M Billets Reports'!D239)),TRIM(MID('R.M Billets Reports'!D239,SEARCH("-",'R.M Billets Reports'!D239)+1,200)),"")))="VRKP ISPAT PVT LTD","VRKP",IF(IF(IF(ISNUMBER(SEARCH("Party Name:-",'R.M Billets Reports'!D238)),TRIM('R.M Billets Reports'!F238),IF(ISNUMBER(SEARCH("Party Name-",'R.M Billets Reports'!D238)),TRIM(MID('R.M Billets Reports'!D238,SEARCH("-",'R.M Billets Reports'!D238)+1,200)),""))&lt;&gt;"",IF(ISNUMBER(SEARCH("Party Name:-",'R.M Billets Reports'!D238)),TRIM('R.M Billets Reports'!F238),IF(ISNUMBER(SEARCH("Party Name-",'R.M Billets Reports'!D238)),TRIM(MID('R.M Billets Reports'!D238,SEARCH("-",'R.M Billets Reports'!D238)+1,200)),"")),IF(ISNUMBER(SEARCH("Party Name:-",'R.M Billets Reports'!D239)),TRIM('R.M Billets Reports'!F239),IF(ISNUMBER(SEARCH("Party Name-",'R.M Billets Reports'!D239)),TRIM(MID('R.M Billets Reports'!D239,SEARCH("-",'R.M Billets Reports'!D239)+1,200)),"")))="SHRI RADHE","SHREE RADHE",IF(IF(IF(ISNUMBER(SEARCH("Party Name:-",'R.M Billets Reports'!D238)),TRIM('R.M Billets Reports'!F238),IF(ISNUMBER(SEARCH("Party Name-",'R.M Billets Reports'!D238)),TRIM(MID('R.M Billets Reports'!D238,SEARCH("-",'R.M Billets Reports'!D238)+1,200)),""))&lt;&gt;"",IF(ISNUMBER(SEARCH("Party Name:-",'R.M Billets Reports'!D238)),TRIM('R.M Billets Reports'!F238),IF(ISNUMBER(SEARCH("Party Name-",'R.M Billets Reports'!D238)),TRIM(MID('R.M Billets Reports'!D238,SEARCH("-",'R.M Billets Reports'!D238)+1,200)),"")),IF(ISNUMBER(SEARCH("Party Name:-",'R.M Billets Reports'!D239)),TRIM('R.M Billets Reports'!F239),IF(ISNUMBER(SEARCH("Party Name-",'R.M Billets Reports'!D239)),TRIM(MID('R.M Billets Reports'!D239,SEARCH("-",'R.M Billets Reports'!D239)+1,200)),"")))="SHREE RADHE SHAKTI SPONGE AND POWER PVT. LTD.","SHREE RADHE",IF(IF(ISNUMBER(SEARCH("Party Name:-",'R.M Billets Reports'!D238)),TRIM('R.M Billets Reports'!F238),IF(ISNUMBER(SEARCH("Party Name-",'R.M Billets Reports'!D238)),TRIM(MID('R.M Billets Reports'!D238,SEARCH("-",'R.M Billets Reports'!D238)+1,200)),""))&lt;&gt;"",IF(ISNUMBER(SEARCH("Party Name:-",'R.M Billets Reports'!D238)),TRIM('R.M Billets Reports'!F238),IF(ISNUMBER(SEARCH("Party Name-",'R.M Billets Reports'!D238)),TRIM(MID('R.M Billets Reports'!D238,SEARCH("-",'R.M Billets Reports'!D238)+1,200)),"")),IF(ISNUMBER(SEARCH("Party Name:-",'R.M Billets Reports'!D239)),TRIM('R.M Billets Reports'!F239),IF(ISNUMBER(SEARCH("Party Name-",'R.M Billets Reports'!D239)),TRIM(MID('R.M Billets Reports'!D239,SEARCH("-",'R.M Billets Reports'!D239)+1,200)),"")))))),IF(ROW()=2,"",A238))</f>
      </c>
      <c r="B239">
        <f>IF(OR('R.M Billets Reports'!A238="Date-",'R.M Billets Reports'!A238="Date:-"),'R.M Billets Reports'!B238,IF(ROW()=2,"",B238))</f>
      </c>
      <c r="C239">
        <f>IF('R.M Billets Reports'!A238="V.No.",'R.M Billets Reports'!B238,IF(ROW()=2,"",C238))</f>
      </c>
      <c r="D239">
        <f>IF('R.M Billets Reports'!A238&lt;&gt;"",'R.M Billets Reports'!A238,IF(ROW()=2,"",D238))</f>
      </c>
      <c r="E239">
        <f>IF('R.M Billets Reports'!B238="","",TRIM('R.M Billets Reports'!B238))</f>
      </c>
      <c r="F239">
        <f>'R.M Billets Reports'!C238</f>
      </c>
      <c r="G239">
        <f>'R.M Billets Reports'!D238</f>
      </c>
      <c r="H239">
        <f>'R.M Billets Reports'!E238</f>
      </c>
      <c r="I239">
        <f>'R.M Billets Reports'!F238</f>
      </c>
      <c r="J239">
        <f>'R.M Billets Reports'!G238</f>
      </c>
      <c r="K239">
        <f>'R.M Billets Reports'!H238</f>
      </c>
      <c r="L239">
        <f>IF('R.M Billets Reports'!I238="","",'R.M Billets Reports'!I238)</f>
      </c>
      <c r="M239">
        <f t="shared" si="6"/>
      </c>
      <c r="N239">
        <f>IF('R.M Billets Reports'!J238="","",'R.M Billets Reports'!J238)</f>
      </c>
      <c r="O239">
        <f t="shared" si="7"/>
      </c>
      <c r="P239">
        <f>IF('R.M Billets Reports'!A238="SIZE",'R.M Billets Reports'!B238,P238)</f>
      </c>
    </row>
    <row r="240" spans="1:16" x14ac:dyDescent="0.25">
      <c r="A240">
        <f>IF(OR('R.M Billets Reports'!A239="Date-",'R.M Billets Reports'!A239="Date:-"),IF(IF(IF(ISNUMBER(SEARCH("Party Name:-",'R.M Billets Reports'!D239)),TRIM('R.M Billets Reports'!F239),IF(ISNUMBER(SEARCH("Party Name-",'R.M Billets Reports'!D239)),TRIM(MID('R.M Billets Reports'!D239,SEARCH("-",'R.M Billets Reports'!D239)+1,200)),""))&lt;&gt;"",IF(ISNUMBER(SEARCH("Party Name:-",'R.M Billets Reports'!D239)),TRIM('R.M Billets Reports'!F239),IF(ISNUMBER(SEARCH("Party Name-",'R.M Billets Reports'!D239)),TRIM(MID('R.M Billets Reports'!D239,SEARCH("-",'R.M Billets Reports'!D239)+1,200)),"")),IF(ISNUMBER(SEARCH("Party Name:-",'R.M Billets Reports'!D240)),TRIM('R.M Billets Reports'!F240),IF(ISNUMBER(SEARCH("Party Name-",'R.M Billets Reports'!D240)),TRIM(MID('R.M Billets Reports'!D240,SEARCH("-",'R.M Billets Reports'!D240)+1,200)),"")))="VRKP ISPAT PVT LTD","VRKP",IF(IF(IF(ISNUMBER(SEARCH("Party Name:-",'R.M Billets Reports'!D239)),TRIM('R.M Billets Reports'!F239),IF(ISNUMBER(SEARCH("Party Name-",'R.M Billets Reports'!D239)),TRIM(MID('R.M Billets Reports'!D239,SEARCH("-",'R.M Billets Reports'!D239)+1,200)),""))&lt;&gt;"",IF(ISNUMBER(SEARCH("Party Name:-",'R.M Billets Reports'!D239)),TRIM('R.M Billets Reports'!F239),IF(ISNUMBER(SEARCH("Party Name-",'R.M Billets Reports'!D239)),TRIM(MID('R.M Billets Reports'!D239,SEARCH("-",'R.M Billets Reports'!D239)+1,200)),"")),IF(ISNUMBER(SEARCH("Party Name:-",'R.M Billets Reports'!D240)),TRIM('R.M Billets Reports'!F240),IF(ISNUMBER(SEARCH("Party Name-",'R.M Billets Reports'!D240)),TRIM(MID('R.M Billets Reports'!D240,SEARCH("-",'R.M Billets Reports'!D240)+1,200)),"")))="SHRI RADHE","SHREE RADHE",IF(IF(IF(ISNUMBER(SEARCH("Party Name:-",'R.M Billets Reports'!D239)),TRIM('R.M Billets Reports'!F239),IF(ISNUMBER(SEARCH("Party Name-",'R.M Billets Reports'!D239)),TRIM(MID('R.M Billets Reports'!D239,SEARCH("-",'R.M Billets Reports'!D239)+1,200)),""))&lt;&gt;"",IF(ISNUMBER(SEARCH("Party Name:-",'R.M Billets Reports'!D239)),TRIM('R.M Billets Reports'!F239),IF(ISNUMBER(SEARCH("Party Name-",'R.M Billets Reports'!D239)),TRIM(MID('R.M Billets Reports'!D239,SEARCH("-",'R.M Billets Reports'!D239)+1,200)),"")),IF(ISNUMBER(SEARCH("Party Name:-",'R.M Billets Reports'!D240)),TRIM('R.M Billets Reports'!F240),IF(ISNUMBER(SEARCH("Party Name-",'R.M Billets Reports'!D240)),TRIM(MID('R.M Billets Reports'!D240,SEARCH("-",'R.M Billets Reports'!D240)+1,200)),"")))="SHREE RADHE SHAKTI SPONGE AND POWER PVT. LTD.","SHREE RADHE",IF(IF(ISNUMBER(SEARCH("Party Name:-",'R.M Billets Reports'!D239)),TRIM('R.M Billets Reports'!F239),IF(ISNUMBER(SEARCH("Party Name-",'R.M Billets Reports'!D239)),TRIM(MID('R.M Billets Reports'!D239,SEARCH("-",'R.M Billets Reports'!D239)+1,200)),""))&lt;&gt;"",IF(ISNUMBER(SEARCH("Party Name:-",'R.M Billets Reports'!D239)),TRIM('R.M Billets Reports'!F239),IF(ISNUMBER(SEARCH("Party Name-",'R.M Billets Reports'!D239)),TRIM(MID('R.M Billets Reports'!D239,SEARCH("-",'R.M Billets Reports'!D239)+1,200)),"")),IF(ISNUMBER(SEARCH("Party Name:-",'R.M Billets Reports'!D240)),TRIM('R.M Billets Reports'!F240),IF(ISNUMBER(SEARCH("Party Name-",'R.M Billets Reports'!D240)),TRIM(MID('R.M Billets Reports'!D240,SEARCH("-",'R.M Billets Reports'!D240)+1,200)),"")))))),IF(ROW()=2,"",A239))</f>
      </c>
      <c r="B240">
        <f>IF(OR('R.M Billets Reports'!A239="Date-",'R.M Billets Reports'!A239="Date:-"),'R.M Billets Reports'!B239,IF(ROW()=2,"",B239))</f>
      </c>
      <c r="C240">
        <f>IF('R.M Billets Reports'!A239="V.No.",'R.M Billets Reports'!B239,IF(ROW()=2,"",C239))</f>
      </c>
      <c r="D240">
        <f>IF('R.M Billets Reports'!A239&lt;&gt;"",'R.M Billets Reports'!A239,IF(ROW()=2,"",D239))</f>
      </c>
      <c r="E240">
        <f>IF('R.M Billets Reports'!B239="","",TRIM('R.M Billets Reports'!B239))</f>
      </c>
      <c r="F240">
        <f>'R.M Billets Reports'!C239</f>
      </c>
      <c r="G240">
        <f>'R.M Billets Reports'!D239</f>
      </c>
      <c r="H240">
        <f>'R.M Billets Reports'!E239</f>
      </c>
      <c r="I240">
        <f>'R.M Billets Reports'!F239</f>
      </c>
      <c r="J240">
        <f>'R.M Billets Reports'!G239</f>
      </c>
      <c r="K240">
        <f>'R.M Billets Reports'!H239</f>
      </c>
      <c r="L240">
        <f>IF('R.M Billets Reports'!I239="","",'R.M Billets Reports'!I239)</f>
      </c>
      <c r="M240">
        <f t="shared" si="6"/>
      </c>
      <c r="N240">
        <f>IF('R.M Billets Reports'!J239="","",'R.M Billets Reports'!J239)</f>
      </c>
      <c r="O240">
        <f t="shared" si="7"/>
      </c>
      <c r="P240">
        <f>IF('R.M Billets Reports'!A239="SIZE",'R.M Billets Reports'!B239,P239)</f>
      </c>
    </row>
    <row r="241" spans="1:16" x14ac:dyDescent="0.25">
      <c r="A241">
        <f>IF(OR('R.M Billets Reports'!A240="Date-",'R.M Billets Reports'!A240="Date:-"),IF(IF(IF(ISNUMBER(SEARCH("Party Name:-",'R.M Billets Reports'!D240)),TRIM('R.M Billets Reports'!F240),IF(ISNUMBER(SEARCH("Party Name-",'R.M Billets Reports'!D240)),TRIM(MID('R.M Billets Reports'!D240,SEARCH("-",'R.M Billets Reports'!D240)+1,200)),""))&lt;&gt;"",IF(ISNUMBER(SEARCH("Party Name:-",'R.M Billets Reports'!D240)),TRIM('R.M Billets Reports'!F240),IF(ISNUMBER(SEARCH("Party Name-",'R.M Billets Reports'!D240)),TRIM(MID('R.M Billets Reports'!D240,SEARCH("-",'R.M Billets Reports'!D240)+1,200)),"")),IF(ISNUMBER(SEARCH("Party Name:-",'R.M Billets Reports'!D241)),TRIM('R.M Billets Reports'!F241),IF(ISNUMBER(SEARCH("Party Name-",'R.M Billets Reports'!D241)),TRIM(MID('R.M Billets Reports'!D241,SEARCH("-",'R.M Billets Reports'!D241)+1,200)),"")))="VRKP ISPAT PVT LTD","VRKP",IF(IF(IF(ISNUMBER(SEARCH("Party Name:-",'R.M Billets Reports'!D240)),TRIM('R.M Billets Reports'!F240),IF(ISNUMBER(SEARCH("Party Name-",'R.M Billets Reports'!D240)),TRIM(MID('R.M Billets Reports'!D240,SEARCH("-",'R.M Billets Reports'!D240)+1,200)),""))&lt;&gt;"",IF(ISNUMBER(SEARCH("Party Name:-",'R.M Billets Reports'!D240)),TRIM('R.M Billets Reports'!F240),IF(ISNUMBER(SEARCH("Party Name-",'R.M Billets Reports'!D240)),TRIM(MID('R.M Billets Reports'!D240,SEARCH("-",'R.M Billets Reports'!D240)+1,200)),"")),IF(ISNUMBER(SEARCH("Party Name:-",'R.M Billets Reports'!D241)),TRIM('R.M Billets Reports'!F241),IF(ISNUMBER(SEARCH("Party Name-",'R.M Billets Reports'!D241)),TRIM(MID('R.M Billets Reports'!D241,SEARCH("-",'R.M Billets Reports'!D241)+1,200)),"")))="SHRI RADHE","SHREE RADHE",IF(IF(IF(ISNUMBER(SEARCH("Party Name:-",'R.M Billets Reports'!D240)),TRIM('R.M Billets Reports'!F240),IF(ISNUMBER(SEARCH("Party Name-",'R.M Billets Reports'!D240)),TRIM(MID('R.M Billets Reports'!D240,SEARCH("-",'R.M Billets Reports'!D240)+1,200)),""))&lt;&gt;"",IF(ISNUMBER(SEARCH("Party Name:-",'R.M Billets Reports'!D240)),TRIM('R.M Billets Reports'!F240),IF(ISNUMBER(SEARCH("Party Name-",'R.M Billets Reports'!D240)),TRIM(MID('R.M Billets Reports'!D240,SEARCH("-",'R.M Billets Reports'!D240)+1,200)),"")),IF(ISNUMBER(SEARCH("Party Name:-",'R.M Billets Reports'!D241)),TRIM('R.M Billets Reports'!F241),IF(ISNUMBER(SEARCH("Party Name-",'R.M Billets Reports'!D241)),TRIM(MID('R.M Billets Reports'!D241,SEARCH("-",'R.M Billets Reports'!D241)+1,200)),"")))="SHREE RADHE SHAKTI SPONGE AND POWER PVT. LTD.","SHREE RADHE",IF(IF(ISNUMBER(SEARCH("Party Name:-",'R.M Billets Reports'!D240)),TRIM('R.M Billets Reports'!F240),IF(ISNUMBER(SEARCH("Party Name-",'R.M Billets Reports'!D240)),TRIM(MID('R.M Billets Reports'!D240,SEARCH("-",'R.M Billets Reports'!D240)+1,200)),""))&lt;&gt;"",IF(ISNUMBER(SEARCH("Party Name:-",'R.M Billets Reports'!D240)),TRIM('R.M Billets Reports'!F240),IF(ISNUMBER(SEARCH("Party Name-",'R.M Billets Reports'!D240)),TRIM(MID('R.M Billets Reports'!D240,SEARCH("-",'R.M Billets Reports'!D240)+1,200)),"")),IF(ISNUMBER(SEARCH("Party Name:-",'R.M Billets Reports'!D241)),TRIM('R.M Billets Reports'!F241),IF(ISNUMBER(SEARCH("Party Name-",'R.M Billets Reports'!D241)),TRIM(MID('R.M Billets Reports'!D241,SEARCH("-",'R.M Billets Reports'!D241)+1,200)),"")))))),IF(ROW()=2,"",A240))</f>
      </c>
      <c r="B241">
        <f>IF(OR('R.M Billets Reports'!A240="Date-",'R.M Billets Reports'!A240="Date:-"),'R.M Billets Reports'!B240,IF(ROW()=2,"",B240))</f>
      </c>
      <c r="C241">
        <f>IF('R.M Billets Reports'!A240="V.No.",'R.M Billets Reports'!B240,IF(ROW()=2,"",C240))</f>
      </c>
      <c r="D241">
        <f>IF('R.M Billets Reports'!A240&lt;&gt;"",'R.M Billets Reports'!A240,IF(ROW()=2,"",D240))</f>
      </c>
      <c r="E241">
        <f>IF('R.M Billets Reports'!B240="","",TRIM('R.M Billets Reports'!B240))</f>
      </c>
      <c r="F241">
        <f>'R.M Billets Reports'!C240</f>
      </c>
      <c r="G241">
        <f>'R.M Billets Reports'!D240</f>
      </c>
      <c r="H241">
        <f>'R.M Billets Reports'!E240</f>
      </c>
      <c r="I241">
        <f>'R.M Billets Reports'!F240</f>
      </c>
      <c r="J241">
        <f>'R.M Billets Reports'!G240</f>
      </c>
      <c r="K241">
        <f>'R.M Billets Reports'!H240</f>
      </c>
      <c r="L241">
        <f>IF('R.M Billets Reports'!I240="","",'R.M Billets Reports'!I240)</f>
      </c>
      <c r="M241">
        <f t="shared" si="6"/>
      </c>
      <c r="N241">
        <f>IF('R.M Billets Reports'!J240="","",'R.M Billets Reports'!J240)</f>
      </c>
      <c r="O241">
        <f t="shared" si="7"/>
      </c>
      <c r="P241">
        <f>IF('R.M Billets Reports'!A240="SIZE",'R.M Billets Reports'!B240,P240)</f>
      </c>
    </row>
    <row r="242" spans="1:16" x14ac:dyDescent="0.25">
      <c r="A242">
        <f>IF(OR('R.M Billets Reports'!A241="Date-",'R.M Billets Reports'!A241="Date:-"),IF(IF(IF(ISNUMBER(SEARCH("Party Name:-",'R.M Billets Reports'!D241)),TRIM('R.M Billets Reports'!F241),IF(ISNUMBER(SEARCH("Party Name-",'R.M Billets Reports'!D241)),TRIM(MID('R.M Billets Reports'!D241,SEARCH("-",'R.M Billets Reports'!D241)+1,200)),""))&lt;&gt;"",IF(ISNUMBER(SEARCH("Party Name:-",'R.M Billets Reports'!D241)),TRIM('R.M Billets Reports'!F241),IF(ISNUMBER(SEARCH("Party Name-",'R.M Billets Reports'!D241)),TRIM(MID('R.M Billets Reports'!D241,SEARCH("-",'R.M Billets Reports'!D241)+1,200)),"")),IF(ISNUMBER(SEARCH("Party Name:-",'R.M Billets Reports'!D242)),TRIM('R.M Billets Reports'!F242),IF(ISNUMBER(SEARCH("Party Name-",'R.M Billets Reports'!D242)),TRIM(MID('R.M Billets Reports'!D242,SEARCH("-",'R.M Billets Reports'!D242)+1,200)),"")))="VRKP ISPAT PVT LTD","VRKP",IF(IF(IF(ISNUMBER(SEARCH("Party Name:-",'R.M Billets Reports'!D241)),TRIM('R.M Billets Reports'!F241),IF(ISNUMBER(SEARCH("Party Name-",'R.M Billets Reports'!D241)),TRIM(MID('R.M Billets Reports'!D241,SEARCH("-",'R.M Billets Reports'!D241)+1,200)),""))&lt;&gt;"",IF(ISNUMBER(SEARCH("Party Name:-",'R.M Billets Reports'!D241)),TRIM('R.M Billets Reports'!F241),IF(ISNUMBER(SEARCH("Party Name-",'R.M Billets Reports'!D241)),TRIM(MID('R.M Billets Reports'!D241,SEARCH("-",'R.M Billets Reports'!D241)+1,200)),"")),IF(ISNUMBER(SEARCH("Party Name:-",'R.M Billets Reports'!D242)),TRIM('R.M Billets Reports'!F242),IF(ISNUMBER(SEARCH("Party Name-",'R.M Billets Reports'!D242)),TRIM(MID('R.M Billets Reports'!D242,SEARCH("-",'R.M Billets Reports'!D242)+1,200)),"")))="SHRI RADHE","SHREE RADHE",IF(IF(IF(ISNUMBER(SEARCH("Party Name:-",'R.M Billets Reports'!D241)),TRIM('R.M Billets Reports'!F241),IF(ISNUMBER(SEARCH("Party Name-",'R.M Billets Reports'!D241)),TRIM(MID('R.M Billets Reports'!D241,SEARCH("-",'R.M Billets Reports'!D241)+1,200)),""))&lt;&gt;"",IF(ISNUMBER(SEARCH("Party Name:-",'R.M Billets Reports'!D241)),TRIM('R.M Billets Reports'!F241),IF(ISNUMBER(SEARCH("Party Name-",'R.M Billets Reports'!D241)),TRIM(MID('R.M Billets Reports'!D241,SEARCH("-",'R.M Billets Reports'!D241)+1,200)),"")),IF(ISNUMBER(SEARCH("Party Name:-",'R.M Billets Reports'!D242)),TRIM('R.M Billets Reports'!F242),IF(ISNUMBER(SEARCH("Party Name-",'R.M Billets Reports'!D242)),TRIM(MID('R.M Billets Reports'!D242,SEARCH("-",'R.M Billets Reports'!D242)+1,200)),"")))="SHREE RADHE SHAKTI SPONGE AND POWER PVT. LTD.","SHREE RADHE",IF(IF(ISNUMBER(SEARCH("Party Name:-",'R.M Billets Reports'!D241)),TRIM('R.M Billets Reports'!F241),IF(ISNUMBER(SEARCH("Party Name-",'R.M Billets Reports'!D241)),TRIM(MID('R.M Billets Reports'!D241,SEARCH("-",'R.M Billets Reports'!D241)+1,200)),""))&lt;&gt;"",IF(ISNUMBER(SEARCH("Party Name:-",'R.M Billets Reports'!D241)),TRIM('R.M Billets Reports'!F241),IF(ISNUMBER(SEARCH("Party Name-",'R.M Billets Reports'!D241)),TRIM(MID('R.M Billets Reports'!D241,SEARCH("-",'R.M Billets Reports'!D241)+1,200)),"")),IF(ISNUMBER(SEARCH("Party Name:-",'R.M Billets Reports'!D242)),TRIM('R.M Billets Reports'!F242),IF(ISNUMBER(SEARCH("Party Name-",'R.M Billets Reports'!D242)),TRIM(MID('R.M Billets Reports'!D242,SEARCH("-",'R.M Billets Reports'!D242)+1,200)),"")))))),IF(ROW()=2,"",A241))</f>
      </c>
      <c r="B242">
        <f>IF(OR('R.M Billets Reports'!A241="Date-",'R.M Billets Reports'!A241="Date:-"),'R.M Billets Reports'!B241,IF(ROW()=2,"",B241))</f>
      </c>
      <c r="C242">
        <f>IF('R.M Billets Reports'!A241="V.No.",'R.M Billets Reports'!B241,IF(ROW()=2,"",C241))</f>
      </c>
      <c r="D242">
        <f>IF('R.M Billets Reports'!A241&lt;&gt;"",'R.M Billets Reports'!A241,IF(ROW()=2,"",D241))</f>
      </c>
      <c r="E242">
        <f>IF('R.M Billets Reports'!B241="","",TRIM('R.M Billets Reports'!B241))</f>
      </c>
      <c r="F242">
        <f>'R.M Billets Reports'!C241</f>
      </c>
      <c r="G242">
        <f>'R.M Billets Reports'!D241</f>
      </c>
      <c r="H242">
        <f>'R.M Billets Reports'!E241</f>
      </c>
      <c r="I242">
        <f>'R.M Billets Reports'!F241</f>
      </c>
      <c r="J242">
        <f>'R.M Billets Reports'!G241</f>
      </c>
      <c r="K242">
        <f>'R.M Billets Reports'!H241</f>
      </c>
      <c r="L242">
        <f>IF('R.M Billets Reports'!I241="","",'R.M Billets Reports'!I241)</f>
      </c>
      <c r="M242">
        <f t="shared" si="6"/>
      </c>
      <c r="N242">
        <f>IF('R.M Billets Reports'!J241="","",'R.M Billets Reports'!J241)</f>
      </c>
      <c r="O242">
        <f t="shared" si="7"/>
      </c>
      <c r="P242">
        <f>IF('R.M Billets Reports'!A241="SIZE",'R.M Billets Reports'!B241,P241)</f>
      </c>
    </row>
    <row r="243" spans="1:16" x14ac:dyDescent="0.25">
      <c r="A243">
        <f>IF(OR('R.M Billets Reports'!A242="Date-",'R.M Billets Reports'!A242="Date:-"),IF(IF(IF(ISNUMBER(SEARCH("Party Name:-",'R.M Billets Reports'!D242)),TRIM('R.M Billets Reports'!F242),IF(ISNUMBER(SEARCH("Party Name-",'R.M Billets Reports'!D242)),TRIM(MID('R.M Billets Reports'!D242,SEARCH("-",'R.M Billets Reports'!D242)+1,200)),""))&lt;&gt;"",IF(ISNUMBER(SEARCH("Party Name:-",'R.M Billets Reports'!D242)),TRIM('R.M Billets Reports'!F242),IF(ISNUMBER(SEARCH("Party Name-",'R.M Billets Reports'!D242)),TRIM(MID('R.M Billets Reports'!D242,SEARCH("-",'R.M Billets Reports'!D242)+1,200)),"")),IF(ISNUMBER(SEARCH("Party Name:-",'R.M Billets Reports'!D243)),TRIM('R.M Billets Reports'!F243),IF(ISNUMBER(SEARCH("Party Name-",'R.M Billets Reports'!D243)),TRIM(MID('R.M Billets Reports'!D243,SEARCH("-",'R.M Billets Reports'!D243)+1,200)),"")))="VRKP ISPAT PVT LTD","VRKP",IF(IF(IF(ISNUMBER(SEARCH("Party Name:-",'R.M Billets Reports'!D242)),TRIM('R.M Billets Reports'!F242),IF(ISNUMBER(SEARCH("Party Name-",'R.M Billets Reports'!D242)),TRIM(MID('R.M Billets Reports'!D242,SEARCH("-",'R.M Billets Reports'!D242)+1,200)),""))&lt;&gt;"",IF(ISNUMBER(SEARCH("Party Name:-",'R.M Billets Reports'!D242)),TRIM('R.M Billets Reports'!F242),IF(ISNUMBER(SEARCH("Party Name-",'R.M Billets Reports'!D242)),TRIM(MID('R.M Billets Reports'!D242,SEARCH("-",'R.M Billets Reports'!D242)+1,200)),"")),IF(ISNUMBER(SEARCH("Party Name:-",'R.M Billets Reports'!D243)),TRIM('R.M Billets Reports'!F243),IF(ISNUMBER(SEARCH("Party Name-",'R.M Billets Reports'!D243)),TRIM(MID('R.M Billets Reports'!D243,SEARCH("-",'R.M Billets Reports'!D243)+1,200)),"")))="SHRI RADHE","SHREE RADHE",IF(IF(IF(ISNUMBER(SEARCH("Party Name:-",'R.M Billets Reports'!D242)),TRIM('R.M Billets Reports'!F242),IF(ISNUMBER(SEARCH("Party Name-",'R.M Billets Reports'!D242)),TRIM(MID('R.M Billets Reports'!D242,SEARCH("-",'R.M Billets Reports'!D242)+1,200)),""))&lt;&gt;"",IF(ISNUMBER(SEARCH("Party Name:-",'R.M Billets Reports'!D242)),TRIM('R.M Billets Reports'!F242),IF(ISNUMBER(SEARCH("Party Name-",'R.M Billets Reports'!D242)),TRIM(MID('R.M Billets Reports'!D242,SEARCH("-",'R.M Billets Reports'!D242)+1,200)),"")),IF(ISNUMBER(SEARCH("Party Name:-",'R.M Billets Reports'!D243)),TRIM('R.M Billets Reports'!F243),IF(ISNUMBER(SEARCH("Party Name-",'R.M Billets Reports'!D243)),TRIM(MID('R.M Billets Reports'!D243,SEARCH("-",'R.M Billets Reports'!D243)+1,200)),"")))="SHREE RADHE SHAKTI SPONGE AND POWER PVT. LTD.","SHREE RADHE",IF(IF(ISNUMBER(SEARCH("Party Name:-",'R.M Billets Reports'!D242)),TRIM('R.M Billets Reports'!F242),IF(ISNUMBER(SEARCH("Party Name-",'R.M Billets Reports'!D242)),TRIM(MID('R.M Billets Reports'!D242,SEARCH("-",'R.M Billets Reports'!D242)+1,200)),""))&lt;&gt;"",IF(ISNUMBER(SEARCH("Party Name:-",'R.M Billets Reports'!D242)),TRIM('R.M Billets Reports'!F242),IF(ISNUMBER(SEARCH("Party Name-",'R.M Billets Reports'!D242)),TRIM(MID('R.M Billets Reports'!D242,SEARCH("-",'R.M Billets Reports'!D242)+1,200)),"")),IF(ISNUMBER(SEARCH("Party Name:-",'R.M Billets Reports'!D243)),TRIM('R.M Billets Reports'!F243),IF(ISNUMBER(SEARCH("Party Name-",'R.M Billets Reports'!D243)),TRIM(MID('R.M Billets Reports'!D243,SEARCH("-",'R.M Billets Reports'!D243)+1,200)),"")))))),IF(ROW()=2,"",A242))</f>
      </c>
      <c r="B243">
        <f>IF(OR('R.M Billets Reports'!A242="Date-",'R.M Billets Reports'!A242="Date:-"),'R.M Billets Reports'!B242,IF(ROW()=2,"",B242))</f>
      </c>
      <c r="C243">
        <f>IF('R.M Billets Reports'!A242="V.No.",'R.M Billets Reports'!B242,IF(ROW()=2,"",C242))</f>
      </c>
      <c r="D243">
        <f>IF('R.M Billets Reports'!A242&lt;&gt;"",'R.M Billets Reports'!A242,IF(ROW()=2,"",D242))</f>
      </c>
      <c r="E243">
        <f>IF('R.M Billets Reports'!B242="","",TRIM('R.M Billets Reports'!B242))</f>
      </c>
      <c r="F243">
        <f>'R.M Billets Reports'!C242</f>
      </c>
      <c r="G243">
        <f>'R.M Billets Reports'!D242</f>
      </c>
      <c r="H243">
        <f>'R.M Billets Reports'!E242</f>
      </c>
      <c r="I243">
        <f>'R.M Billets Reports'!F242</f>
      </c>
      <c r="J243">
        <f>'R.M Billets Reports'!G242</f>
      </c>
      <c r="K243">
        <f>'R.M Billets Reports'!H242</f>
      </c>
      <c r="L243">
        <f>IF('R.M Billets Reports'!I242="","",'R.M Billets Reports'!I242)</f>
      </c>
      <c r="M243">
        <f t="shared" si="6"/>
      </c>
      <c r="N243">
        <f>IF('R.M Billets Reports'!J242="","",'R.M Billets Reports'!J242)</f>
      </c>
      <c r="O243">
        <f t="shared" si="7"/>
      </c>
      <c r="P243">
        <f>IF('R.M Billets Reports'!A242="SIZE",'R.M Billets Reports'!B242,P242)</f>
      </c>
    </row>
    <row r="244" spans="1:16" x14ac:dyDescent="0.25">
      <c r="A244">
        <f>IF(OR('R.M Billets Reports'!A243="Date-",'R.M Billets Reports'!A243="Date:-"),IF(IF(IF(ISNUMBER(SEARCH("Party Name:-",'R.M Billets Reports'!D243)),TRIM('R.M Billets Reports'!F243),IF(ISNUMBER(SEARCH("Party Name-",'R.M Billets Reports'!D243)),TRIM(MID('R.M Billets Reports'!D243,SEARCH("-",'R.M Billets Reports'!D243)+1,200)),""))&lt;&gt;"",IF(ISNUMBER(SEARCH("Party Name:-",'R.M Billets Reports'!D243)),TRIM('R.M Billets Reports'!F243),IF(ISNUMBER(SEARCH("Party Name-",'R.M Billets Reports'!D243)),TRIM(MID('R.M Billets Reports'!D243,SEARCH("-",'R.M Billets Reports'!D243)+1,200)),"")),IF(ISNUMBER(SEARCH("Party Name:-",'R.M Billets Reports'!D244)),TRIM('R.M Billets Reports'!F244),IF(ISNUMBER(SEARCH("Party Name-",'R.M Billets Reports'!D244)),TRIM(MID('R.M Billets Reports'!D244,SEARCH("-",'R.M Billets Reports'!D244)+1,200)),"")))="VRKP ISPAT PVT LTD","VRKP",IF(IF(IF(ISNUMBER(SEARCH("Party Name:-",'R.M Billets Reports'!D243)),TRIM('R.M Billets Reports'!F243),IF(ISNUMBER(SEARCH("Party Name-",'R.M Billets Reports'!D243)),TRIM(MID('R.M Billets Reports'!D243,SEARCH("-",'R.M Billets Reports'!D243)+1,200)),""))&lt;&gt;"",IF(ISNUMBER(SEARCH("Party Name:-",'R.M Billets Reports'!D243)),TRIM('R.M Billets Reports'!F243),IF(ISNUMBER(SEARCH("Party Name-",'R.M Billets Reports'!D243)),TRIM(MID('R.M Billets Reports'!D243,SEARCH("-",'R.M Billets Reports'!D243)+1,200)),"")),IF(ISNUMBER(SEARCH("Party Name:-",'R.M Billets Reports'!D244)),TRIM('R.M Billets Reports'!F244),IF(ISNUMBER(SEARCH("Party Name-",'R.M Billets Reports'!D244)),TRIM(MID('R.M Billets Reports'!D244,SEARCH("-",'R.M Billets Reports'!D244)+1,200)),"")))="SHRI RADHE","SHREE RADHE",IF(IF(IF(ISNUMBER(SEARCH("Party Name:-",'R.M Billets Reports'!D243)),TRIM('R.M Billets Reports'!F243),IF(ISNUMBER(SEARCH("Party Name-",'R.M Billets Reports'!D243)),TRIM(MID('R.M Billets Reports'!D243,SEARCH("-",'R.M Billets Reports'!D243)+1,200)),""))&lt;&gt;"",IF(ISNUMBER(SEARCH("Party Name:-",'R.M Billets Reports'!D243)),TRIM('R.M Billets Reports'!F243),IF(ISNUMBER(SEARCH("Party Name-",'R.M Billets Reports'!D243)),TRIM(MID('R.M Billets Reports'!D243,SEARCH("-",'R.M Billets Reports'!D243)+1,200)),"")),IF(ISNUMBER(SEARCH("Party Name:-",'R.M Billets Reports'!D244)),TRIM('R.M Billets Reports'!F244),IF(ISNUMBER(SEARCH("Party Name-",'R.M Billets Reports'!D244)),TRIM(MID('R.M Billets Reports'!D244,SEARCH("-",'R.M Billets Reports'!D244)+1,200)),"")))="SHREE RADHE SHAKTI SPONGE AND POWER PVT. LTD.","SHREE RADHE",IF(IF(ISNUMBER(SEARCH("Party Name:-",'R.M Billets Reports'!D243)),TRIM('R.M Billets Reports'!F243),IF(ISNUMBER(SEARCH("Party Name-",'R.M Billets Reports'!D243)),TRIM(MID('R.M Billets Reports'!D243,SEARCH("-",'R.M Billets Reports'!D243)+1,200)),""))&lt;&gt;"",IF(ISNUMBER(SEARCH("Party Name:-",'R.M Billets Reports'!D243)),TRIM('R.M Billets Reports'!F243),IF(ISNUMBER(SEARCH("Party Name-",'R.M Billets Reports'!D243)),TRIM(MID('R.M Billets Reports'!D243,SEARCH("-",'R.M Billets Reports'!D243)+1,200)),"")),IF(ISNUMBER(SEARCH("Party Name:-",'R.M Billets Reports'!D244)),TRIM('R.M Billets Reports'!F244),IF(ISNUMBER(SEARCH("Party Name-",'R.M Billets Reports'!D244)),TRIM(MID('R.M Billets Reports'!D244,SEARCH("-",'R.M Billets Reports'!D244)+1,200)),"")))))),IF(ROW()=2,"",A243))</f>
      </c>
      <c r="B244">
        <f>IF(OR('R.M Billets Reports'!A243="Date-",'R.M Billets Reports'!A243="Date:-"),'R.M Billets Reports'!B243,IF(ROW()=2,"",B243))</f>
      </c>
      <c r="C244">
        <f>IF('R.M Billets Reports'!A243="V.No.",'R.M Billets Reports'!B243,IF(ROW()=2,"",C243))</f>
      </c>
      <c r="D244">
        <f>IF('R.M Billets Reports'!A243&lt;&gt;"",'R.M Billets Reports'!A243,IF(ROW()=2,"",D243))</f>
      </c>
      <c r="E244">
        <f>IF('R.M Billets Reports'!B243="","",TRIM('R.M Billets Reports'!B243))</f>
      </c>
      <c r="F244">
        <f>'R.M Billets Reports'!C243</f>
      </c>
      <c r="G244">
        <f>'R.M Billets Reports'!D243</f>
      </c>
      <c r="H244">
        <f>'R.M Billets Reports'!E243</f>
      </c>
      <c r="I244">
        <f>'R.M Billets Reports'!F243</f>
      </c>
      <c r="J244">
        <f>'R.M Billets Reports'!G243</f>
      </c>
      <c r="K244">
        <f>'R.M Billets Reports'!H243</f>
      </c>
      <c r="L244">
        <f>IF('R.M Billets Reports'!I243="","",'R.M Billets Reports'!I243)</f>
      </c>
      <c r="M244">
        <f t="shared" si="6"/>
      </c>
      <c r="N244">
        <f>IF('R.M Billets Reports'!J243="","",'R.M Billets Reports'!J243)</f>
      </c>
      <c r="O244">
        <f t="shared" si="7"/>
      </c>
      <c r="P244">
        <f>IF('R.M Billets Reports'!A243="SIZE",'R.M Billets Reports'!B243,P243)</f>
      </c>
    </row>
    <row r="245" spans="1:16" x14ac:dyDescent="0.25">
      <c r="A245">
        <f>IF(OR('R.M Billets Reports'!A244="Date-",'R.M Billets Reports'!A244="Date:-"),IF(IF(IF(ISNUMBER(SEARCH("Party Name:-",'R.M Billets Reports'!D244)),TRIM('R.M Billets Reports'!F244),IF(ISNUMBER(SEARCH("Party Name-",'R.M Billets Reports'!D244)),TRIM(MID('R.M Billets Reports'!D244,SEARCH("-",'R.M Billets Reports'!D244)+1,200)),""))&lt;&gt;"",IF(ISNUMBER(SEARCH("Party Name:-",'R.M Billets Reports'!D244)),TRIM('R.M Billets Reports'!F244),IF(ISNUMBER(SEARCH("Party Name-",'R.M Billets Reports'!D244)),TRIM(MID('R.M Billets Reports'!D244,SEARCH("-",'R.M Billets Reports'!D244)+1,200)),"")),IF(ISNUMBER(SEARCH("Party Name:-",'R.M Billets Reports'!D245)),TRIM('R.M Billets Reports'!F245),IF(ISNUMBER(SEARCH("Party Name-",'R.M Billets Reports'!D245)),TRIM(MID('R.M Billets Reports'!D245,SEARCH("-",'R.M Billets Reports'!D245)+1,200)),"")))="VRKP ISPAT PVT LTD","VRKP",IF(IF(IF(ISNUMBER(SEARCH("Party Name:-",'R.M Billets Reports'!D244)),TRIM('R.M Billets Reports'!F244),IF(ISNUMBER(SEARCH("Party Name-",'R.M Billets Reports'!D244)),TRIM(MID('R.M Billets Reports'!D244,SEARCH("-",'R.M Billets Reports'!D244)+1,200)),""))&lt;&gt;"",IF(ISNUMBER(SEARCH("Party Name:-",'R.M Billets Reports'!D244)),TRIM('R.M Billets Reports'!F244),IF(ISNUMBER(SEARCH("Party Name-",'R.M Billets Reports'!D244)),TRIM(MID('R.M Billets Reports'!D244,SEARCH("-",'R.M Billets Reports'!D244)+1,200)),"")),IF(ISNUMBER(SEARCH("Party Name:-",'R.M Billets Reports'!D245)),TRIM('R.M Billets Reports'!F245),IF(ISNUMBER(SEARCH("Party Name-",'R.M Billets Reports'!D245)),TRIM(MID('R.M Billets Reports'!D245,SEARCH("-",'R.M Billets Reports'!D245)+1,200)),"")))="SHRI RADHE","SHREE RADHE",IF(IF(IF(ISNUMBER(SEARCH("Party Name:-",'R.M Billets Reports'!D244)),TRIM('R.M Billets Reports'!F244),IF(ISNUMBER(SEARCH("Party Name-",'R.M Billets Reports'!D244)),TRIM(MID('R.M Billets Reports'!D244,SEARCH("-",'R.M Billets Reports'!D244)+1,200)),""))&lt;&gt;"",IF(ISNUMBER(SEARCH("Party Name:-",'R.M Billets Reports'!D244)),TRIM('R.M Billets Reports'!F244),IF(ISNUMBER(SEARCH("Party Name-",'R.M Billets Reports'!D244)),TRIM(MID('R.M Billets Reports'!D244,SEARCH("-",'R.M Billets Reports'!D244)+1,200)),"")),IF(ISNUMBER(SEARCH("Party Name:-",'R.M Billets Reports'!D245)),TRIM('R.M Billets Reports'!F245),IF(ISNUMBER(SEARCH("Party Name-",'R.M Billets Reports'!D245)),TRIM(MID('R.M Billets Reports'!D245,SEARCH("-",'R.M Billets Reports'!D245)+1,200)),"")))="SHREE RADHE SHAKTI SPONGE AND POWER PVT. LTD.","SHREE RADHE",IF(IF(ISNUMBER(SEARCH("Party Name:-",'R.M Billets Reports'!D244)),TRIM('R.M Billets Reports'!F244),IF(ISNUMBER(SEARCH("Party Name-",'R.M Billets Reports'!D244)),TRIM(MID('R.M Billets Reports'!D244,SEARCH("-",'R.M Billets Reports'!D244)+1,200)),""))&lt;&gt;"",IF(ISNUMBER(SEARCH("Party Name:-",'R.M Billets Reports'!D244)),TRIM('R.M Billets Reports'!F244),IF(ISNUMBER(SEARCH("Party Name-",'R.M Billets Reports'!D244)),TRIM(MID('R.M Billets Reports'!D244,SEARCH("-",'R.M Billets Reports'!D244)+1,200)),"")),IF(ISNUMBER(SEARCH("Party Name:-",'R.M Billets Reports'!D245)),TRIM('R.M Billets Reports'!F245),IF(ISNUMBER(SEARCH("Party Name-",'R.M Billets Reports'!D245)),TRIM(MID('R.M Billets Reports'!D245,SEARCH("-",'R.M Billets Reports'!D245)+1,200)),"")))))),IF(ROW()=2,"",A244))</f>
      </c>
      <c r="B245">
        <f>IF(OR('R.M Billets Reports'!A244="Date-",'R.M Billets Reports'!A244="Date:-"),'R.M Billets Reports'!B244,IF(ROW()=2,"",B244))</f>
      </c>
      <c r="C245">
        <f>IF('R.M Billets Reports'!A244="V.No.",'R.M Billets Reports'!B244,IF(ROW()=2,"",C244))</f>
      </c>
      <c r="D245">
        <f>IF('R.M Billets Reports'!A244&lt;&gt;"",'R.M Billets Reports'!A244,IF(ROW()=2,"",D244))</f>
      </c>
      <c r="E245">
        <f>IF('R.M Billets Reports'!B244="","",TRIM('R.M Billets Reports'!B244))</f>
      </c>
      <c r="F245">
        <f>'R.M Billets Reports'!C244</f>
      </c>
      <c r="G245">
        <f>'R.M Billets Reports'!D244</f>
      </c>
      <c r="H245">
        <f>'R.M Billets Reports'!E244</f>
      </c>
      <c r="I245">
        <f>'R.M Billets Reports'!F244</f>
      </c>
      <c r="J245">
        <f>'R.M Billets Reports'!G244</f>
      </c>
      <c r="K245">
        <f>'R.M Billets Reports'!H244</f>
      </c>
      <c r="L245">
        <f>IF('R.M Billets Reports'!I244="","",'R.M Billets Reports'!I244)</f>
      </c>
      <c r="M245">
        <f t="shared" si="6"/>
      </c>
      <c r="N245">
        <f>IF('R.M Billets Reports'!J244="","",'R.M Billets Reports'!J244)</f>
      </c>
      <c r="O245">
        <f t="shared" si="7"/>
      </c>
      <c r="P245">
        <f>IF('R.M Billets Reports'!A244="SIZE",'R.M Billets Reports'!B244,P244)</f>
      </c>
    </row>
    <row r="246" spans="1:16" x14ac:dyDescent="0.25">
      <c r="A246">
        <f>IF(OR('R.M Billets Reports'!A245="Date-",'R.M Billets Reports'!A245="Date:-"),IF(IF(IF(ISNUMBER(SEARCH("Party Name:-",'R.M Billets Reports'!D245)),TRIM('R.M Billets Reports'!F245),IF(ISNUMBER(SEARCH("Party Name-",'R.M Billets Reports'!D245)),TRIM(MID('R.M Billets Reports'!D245,SEARCH("-",'R.M Billets Reports'!D245)+1,200)),""))&lt;&gt;"",IF(ISNUMBER(SEARCH("Party Name:-",'R.M Billets Reports'!D245)),TRIM('R.M Billets Reports'!F245),IF(ISNUMBER(SEARCH("Party Name-",'R.M Billets Reports'!D245)),TRIM(MID('R.M Billets Reports'!D245,SEARCH("-",'R.M Billets Reports'!D245)+1,200)),"")),IF(ISNUMBER(SEARCH("Party Name:-",'R.M Billets Reports'!D246)),TRIM('R.M Billets Reports'!F246),IF(ISNUMBER(SEARCH("Party Name-",'R.M Billets Reports'!D246)),TRIM(MID('R.M Billets Reports'!D246,SEARCH("-",'R.M Billets Reports'!D246)+1,200)),"")))="VRKP ISPAT PVT LTD","VRKP",IF(IF(IF(ISNUMBER(SEARCH("Party Name:-",'R.M Billets Reports'!D245)),TRIM('R.M Billets Reports'!F245),IF(ISNUMBER(SEARCH("Party Name-",'R.M Billets Reports'!D245)),TRIM(MID('R.M Billets Reports'!D245,SEARCH("-",'R.M Billets Reports'!D245)+1,200)),""))&lt;&gt;"",IF(ISNUMBER(SEARCH("Party Name:-",'R.M Billets Reports'!D245)),TRIM('R.M Billets Reports'!F245),IF(ISNUMBER(SEARCH("Party Name-",'R.M Billets Reports'!D245)),TRIM(MID('R.M Billets Reports'!D245,SEARCH("-",'R.M Billets Reports'!D245)+1,200)),"")),IF(ISNUMBER(SEARCH("Party Name:-",'R.M Billets Reports'!D246)),TRIM('R.M Billets Reports'!F246),IF(ISNUMBER(SEARCH("Party Name-",'R.M Billets Reports'!D246)),TRIM(MID('R.M Billets Reports'!D246,SEARCH("-",'R.M Billets Reports'!D246)+1,200)),"")))="SHRI RADHE","SHREE RADHE",IF(IF(IF(ISNUMBER(SEARCH("Party Name:-",'R.M Billets Reports'!D245)),TRIM('R.M Billets Reports'!F245),IF(ISNUMBER(SEARCH("Party Name-",'R.M Billets Reports'!D245)),TRIM(MID('R.M Billets Reports'!D245,SEARCH("-",'R.M Billets Reports'!D245)+1,200)),""))&lt;&gt;"",IF(ISNUMBER(SEARCH("Party Name:-",'R.M Billets Reports'!D245)),TRIM('R.M Billets Reports'!F245),IF(ISNUMBER(SEARCH("Party Name-",'R.M Billets Reports'!D245)),TRIM(MID('R.M Billets Reports'!D245,SEARCH("-",'R.M Billets Reports'!D245)+1,200)),"")),IF(ISNUMBER(SEARCH("Party Name:-",'R.M Billets Reports'!D246)),TRIM('R.M Billets Reports'!F246),IF(ISNUMBER(SEARCH("Party Name-",'R.M Billets Reports'!D246)),TRIM(MID('R.M Billets Reports'!D246,SEARCH("-",'R.M Billets Reports'!D246)+1,200)),"")))="SHREE RADHE SHAKTI SPONGE AND POWER PVT. LTD.","SHREE RADHE",IF(IF(ISNUMBER(SEARCH("Party Name:-",'R.M Billets Reports'!D245)),TRIM('R.M Billets Reports'!F245),IF(ISNUMBER(SEARCH("Party Name-",'R.M Billets Reports'!D245)),TRIM(MID('R.M Billets Reports'!D245,SEARCH("-",'R.M Billets Reports'!D245)+1,200)),""))&lt;&gt;"",IF(ISNUMBER(SEARCH("Party Name:-",'R.M Billets Reports'!D245)),TRIM('R.M Billets Reports'!F245),IF(ISNUMBER(SEARCH("Party Name-",'R.M Billets Reports'!D245)),TRIM(MID('R.M Billets Reports'!D245,SEARCH("-",'R.M Billets Reports'!D245)+1,200)),"")),IF(ISNUMBER(SEARCH("Party Name:-",'R.M Billets Reports'!D246)),TRIM('R.M Billets Reports'!F246),IF(ISNUMBER(SEARCH("Party Name-",'R.M Billets Reports'!D246)),TRIM(MID('R.M Billets Reports'!D246,SEARCH("-",'R.M Billets Reports'!D246)+1,200)),"")))))),IF(ROW()=2,"",A245))</f>
      </c>
      <c r="B246">
        <f>IF(OR('R.M Billets Reports'!A245="Date-",'R.M Billets Reports'!A245="Date:-"),'R.M Billets Reports'!B245,IF(ROW()=2,"",B245))</f>
      </c>
      <c r="C246">
        <f>IF('R.M Billets Reports'!A245="V.No.",'R.M Billets Reports'!B245,IF(ROW()=2,"",C245))</f>
      </c>
      <c r="D246">
        <f>IF('R.M Billets Reports'!A245&lt;&gt;"",'R.M Billets Reports'!A245,IF(ROW()=2,"",D245))</f>
      </c>
      <c r="E246">
        <f>IF('R.M Billets Reports'!B245="","",TRIM('R.M Billets Reports'!B245))</f>
      </c>
      <c r="F246">
        <f>'R.M Billets Reports'!C245</f>
      </c>
      <c r="G246">
        <f>'R.M Billets Reports'!D245</f>
      </c>
      <c r="H246">
        <f>'R.M Billets Reports'!E245</f>
      </c>
      <c r="I246">
        <f>'R.M Billets Reports'!F245</f>
      </c>
      <c r="J246">
        <f>'R.M Billets Reports'!G245</f>
      </c>
      <c r="K246">
        <f>'R.M Billets Reports'!H245</f>
      </c>
      <c r="L246">
        <f>IF('R.M Billets Reports'!I245="","",'R.M Billets Reports'!I245)</f>
      </c>
      <c r="M246">
        <f t="shared" si="6"/>
      </c>
      <c r="N246">
        <f>IF('R.M Billets Reports'!J245="","",'R.M Billets Reports'!J245)</f>
      </c>
      <c r="O246">
        <f t="shared" si="7"/>
      </c>
      <c r="P246">
        <f>IF('R.M Billets Reports'!A245="SIZE",'R.M Billets Reports'!B245,P245)</f>
      </c>
    </row>
    <row r="247" spans="1:16" x14ac:dyDescent="0.25">
      <c r="A247">
        <f>IF(OR('R.M Billets Reports'!A246="Date-",'R.M Billets Reports'!A246="Date:-"),IF(IF(IF(ISNUMBER(SEARCH("Party Name:-",'R.M Billets Reports'!D246)),TRIM('R.M Billets Reports'!F246),IF(ISNUMBER(SEARCH("Party Name-",'R.M Billets Reports'!D246)),TRIM(MID('R.M Billets Reports'!D246,SEARCH("-",'R.M Billets Reports'!D246)+1,200)),""))&lt;&gt;"",IF(ISNUMBER(SEARCH("Party Name:-",'R.M Billets Reports'!D246)),TRIM('R.M Billets Reports'!F246),IF(ISNUMBER(SEARCH("Party Name-",'R.M Billets Reports'!D246)),TRIM(MID('R.M Billets Reports'!D246,SEARCH("-",'R.M Billets Reports'!D246)+1,200)),"")),IF(ISNUMBER(SEARCH("Party Name:-",'R.M Billets Reports'!D247)),TRIM('R.M Billets Reports'!F247),IF(ISNUMBER(SEARCH("Party Name-",'R.M Billets Reports'!D247)),TRIM(MID('R.M Billets Reports'!D247,SEARCH("-",'R.M Billets Reports'!D247)+1,200)),"")))="VRKP ISPAT PVT LTD","VRKP",IF(IF(IF(ISNUMBER(SEARCH("Party Name:-",'R.M Billets Reports'!D246)),TRIM('R.M Billets Reports'!F246),IF(ISNUMBER(SEARCH("Party Name-",'R.M Billets Reports'!D246)),TRIM(MID('R.M Billets Reports'!D246,SEARCH("-",'R.M Billets Reports'!D246)+1,200)),""))&lt;&gt;"",IF(ISNUMBER(SEARCH("Party Name:-",'R.M Billets Reports'!D246)),TRIM('R.M Billets Reports'!F246),IF(ISNUMBER(SEARCH("Party Name-",'R.M Billets Reports'!D246)),TRIM(MID('R.M Billets Reports'!D246,SEARCH("-",'R.M Billets Reports'!D246)+1,200)),"")),IF(ISNUMBER(SEARCH("Party Name:-",'R.M Billets Reports'!D247)),TRIM('R.M Billets Reports'!F247),IF(ISNUMBER(SEARCH("Party Name-",'R.M Billets Reports'!D247)),TRIM(MID('R.M Billets Reports'!D247,SEARCH("-",'R.M Billets Reports'!D247)+1,200)),"")))="SHRI RADHE","SHREE RADHE",IF(IF(IF(ISNUMBER(SEARCH("Party Name:-",'R.M Billets Reports'!D246)),TRIM('R.M Billets Reports'!F246),IF(ISNUMBER(SEARCH("Party Name-",'R.M Billets Reports'!D246)),TRIM(MID('R.M Billets Reports'!D246,SEARCH("-",'R.M Billets Reports'!D246)+1,200)),""))&lt;&gt;"",IF(ISNUMBER(SEARCH("Party Name:-",'R.M Billets Reports'!D246)),TRIM('R.M Billets Reports'!F246),IF(ISNUMBER(SEARCH("Party Name-",'R.M Billets Reports'!D246)),TRIM(MID('R.M Billets Reports'!D246,SEARCH("-",'R.M Billets Reports'!D246)+1,200)),"")),IF(ISNUMBER(SEARCH("Party Name:-",'R.M Billets Reports'!D247)),TRIM('R.M Billets Reports'!F247),IF(ISNUMBER(SEARCH("Party Name-",'R.M Billets Reports'!D247)),TRIM(MID('R.M Billets Reports'!D247,SEARCH("-",'R.M Billets Reports'!D247)+1,200)),"")))="SHREE RADHE SHAKTI SPONGE AND POWER PVT. LTD.","SHREE RADHE",IF(IF(ISNUMBER(SEARCH("Party Name:-",'R.M Billets Reports'!D246)),TRIM('R.M Billets Reports'!F246),IF(ISNUMBER(SEARCH("Party Name-",'R.M Billets Reports'!D246)),TRIM(MID('R.M Billets Reports'!D246,SEARCH("-",'R.M Billets Reports'!D246)+1,200)),""))&lt;&gt;"",IF(ISNUMBER(SEARCH("Party Name:-",'R.M Billets Reports'!D246)),TRIM('R.M Billets Reports'!F246),IF(ISNUMBER(SEARCH("Party Name-",'R.M Billets Reports'!D246)),TRIM(MID('R.M Billets Reports'!D246,SEARCH("-",'R.M Billets Reports'!D246)+1,200)),"")),IF(ISNUMBER(SEARCH("Party Name:-",'R.M Billets Reports'!D247)),TRIM('R.M Billets Reports'!F247),IF(ISNUMBER(SEARCH("Party Name-",'R.M Billets Reports'!D247)),TRIM(MID('R.M Billets Reports'!D247,SEARCH("-",'R.M Billets Reports'!D247)+1,200)),"")))))),IF(ROW()=2,"",A246))</f>
      </c>
      <c r="B247">
        <f>IF(OR('R.M Billets Reports'!A246="Date-",'R.M Billets Reports'!A246="Date:-"),'R.M Billets Reports'!B246,IF(ROW()=2,"",B246))</f>
      </c>
      <c r="C247">
        <f>IF('R.M Billets Reports'!A246="V.No.",'R.M Billets Reports'!B246,IF(ROW()=2,"",C246))</f>
      </c>
      <c r="D247">
        <f>IF('R.M Billets Reports'!A246&lt;&gt;"",'R.M Billets Reports'!A246,IF(ROW()=2,"",D246))</f>
      </c>
      <c r="E247">
        <f>IF('R.M Billets Reports'!B246="","",TRIM('R.M Billets Reports'!B246))</f>
      </c>
      <c r="F247">
        <f>'R.M Billets Reports'!C246</f>
      </c>
      <c r="G247">
        <f>'R.M Billets Reports'!D246</f>
      </c>
      <c r="H247">
        <f>'R.M Billets Reports'!E246</f>
      </c>
      <c r="I247">
        <f>'R.M Billets Reports'!F246</f>
      </c>
      <c r="J247">
        <f>'R.M Billets Reports'!G246</f>
      </c>
      <c r="K247">
        <f>'R.M Billets Reports'!H246</f>
      </c>
      <c r="L247">
        <f>IF('R.M Billets Reports'!I246="","",'R.M Billets Reports'!I246)</f>
      </c>
      <c r="M247">
        <f t="shared" si="6"/>
      </c>
      <c r="N247">
        <f>IF('R.M Billets Reports'!J246="","",'R.M Billets Reports'!J246)</f>
      </c>
      <c r="O247">
        <f t="shared" si="7"/>
      </c>
      <c r="P247">
        <f>IF('R.M Billets Reports'!A246="SIZE",'R.M Billets Reports'!B246,P246)</f>
      </c>
    </row>
    <row r="248" spans="1:16" x14ac:dyDescent="0.25">
      <c r="A248">
        <f>IF(OR('R.M Billets Reports'!A247="Date-",'R.M Billets Reports'!A247="Date:-"),IF(IF(IF(ISNUMBER(SEARCH("Party Name:-",'R.M Billets Reports'!D247)),TRIM('R.M Billets Reports'!F247),IF(ISNUMBER(SEARCH("Party Name-",'R.M Billets Reports'!D247)),TRIM(MID('R.M Billets Reports'!D247,SEARCH("-",'R.M Billets Reports'!D247)+1,200)),""))&lt;&gt;"",IF(ISNUMBER(SEARCH("Party Name:-",'R.M Billets Reports'!D247)),TRIM('R.M Billets Reports'!F247),IF(ISNUMBER(SEARCH("Party Name-",'R.M Billets Reports'!D247)),TRIM(MID('R.M Billets Reports'!D247,SEARCH("-",'R.M Billets Reports'!D247)+1,200)),"")),IF(ISNUMBER(SEARCH("Party Name:-",'R.M Billets Reports'!D248)),TRIM('R.M Billets Reports'!F248),IF(ISNUMBER(SEARCH("Party Name-",'R.M Billets Reports'!D248)),TRIM(MID('R.M Billets Reports'!D248,SEARCH("-",'R.M Billets Reports'!D248)+1,200)),"")))="VRKP ISPAT PVT LTD","VRKP",IF(IF(IF(ISNUMBER(SEARCH("Party Name:-",'R.M Billets Reports'!D247)),TRIM('R.M Billets Reports'!F247),IF(ISNUMBER(SEARCH("Party Name-",'R.M Billets Reports'!D247)),TRIM(MID('R.M Billets Reports'!D247,SEARCH("-",'R.M Billets Reports'!D247)+1,200)),""))&lt;&gt;"",IF(ISNUMBER(SEARCH("Party Name:-",'R.M Billets Reports'!D247)),TRIM('R.M Billets Reports'!F247),IF(ISNUMBER(SEARCH("Party Name-",'R.M Billets Reports'!D247)),TRIM(MID('R.M Billets Reports'!D247,SEARCH("-",'R.M Billets Reports'!D247)+1,200)),"")),IF(ISNUMBER(SEARCH("Party Name:-",'R.M Billets Reports'!D248)),TRIM('R.M Billets Reports'!F248),IF(ISNUMBER(SEARCH("Party Name-",'R.M Billets Reports'!D248)),TRIM(MID('R.M Billets Reports'!D248,SEARCH("-",'R.M Billets Reports'!D248)+1,200)),"")))="SHRI RADHE","SHREE RADHE",IF(IF(IF(ISNUMBER(SEARCH("Party Name:-",'R.M Billets Reports'!D247)),TRIM('R.M Billets Reports'!F247),IF(ISNUMBER(SEARCH("Party Name-",'R.M Billets Reports'!D247)),TRIM(MID('R.M Billets Reports'!D247,SEARCH("-",'R.M Billets Reports'!D247)+1,200)),""))&lt;&gt;"",IF(ISNUMBER(SEARCH("Party Name:-",'R.M Billets Reports'!D247)),TRIM('R.M Billets Reports'!F247),IF(ISNUMBER(SEARCH("Party Name-",'R.M Billets Reports'!D247)),TRIM(MID('R.M Billets Reports'!D247,SEARCH("-",'R.M Billets Reports'!D247)+1,200)),"")),IF(ISNUMBER(SEARCH("Party Name:-",'R.M Billets Reports'!D248)),TRIM('R.M Billets Reports'!F248),IF(ISNUMBER(SEARCH("Party Name-",'R.M Billets Reports'!D248)),TRIM(MID('R.M Billets Reports'!D248,SEARCH("-",'R.M Billets Reports'!D248)+1,200)),"")))="SHREE RADHE SHAKTI SPONGE AND POWER PVT. LTD.","SHREE RADHE",IF(IF(ISNUMBER(SEARCH("Party Name:-",'R.M Billets Reports'!D247)),TRIM('R.M Billets Reports'!F247),IF(ISNUMBER(SEARCH("Party Name-",'R.M Billets Reports'!D247)),TRIM(MID('R.M Billets Reports'!D247,SEARCH("-",'R.M Billets Reports'!D247)+1,200)),""))&lt;&gt;"",IF(ISNUMBER(SEARCH("Party Name:-",'R.M Billets Reports'!D247)),TRIM('R.M Billets Reports'!F247),IF(ISNUMBER(SEARCH("Party Name-",'R.M Billets Reports'!D247)),TRIM(MID('R.M Billets Reports'!D247,SEARCH("-",'R.M Billets Reports'!D247)+1,200)),"")),IF(ISNUMBER(SEARCH("Party Name:-",'R.M Billets Reports'!D248)),TRIM('R.M Billets Reports'!F248),IF(ISNUMBER(SEARCH("Party Name-",'R.M Billets Reports'!D248)),TRIM(MID('R.M Billets Reports'!D248,SEARCH("-",'R.M Billets Reports'!D248)+1,200)),"")))))),IF(ROW()=2,"",A247))</f>
      </c>
      <c r="B248">
        <f>IF(OR('R.M Billets Reports'!A247="Date-",'R.M Billets Reports'!A247="Date:-"),'R.M Billets Reports'!B247,IF(ROW()=2,"",B247))</f>
      </c>
      <c r="C248">
        <f>IF('R.M Billets Reports'!A247="V.No.",'R.M Billets Reports'!B247,IF(ROW()=2,"",C247))</f>
      </c>
      <c r="D248">
        <f>IF('R.M Billets Reports'!A247&lt;&gt;"",'R.M Billets Reports'!A247,IF(ROW()=2,"",D247))</f>
      </c>
      <c r="E248">
        <f>IF('R.M Billets Reports'!B247="","",TRIM('R.M Billets Reports'!B247))</f>
      </c>
      <c r="F248">
        <f>'R.M Billets Reports'!C247</f>
      </c>
      <c r="G248">
        <f>'R.M Billets Reports'!D247</f>
      </c>
      <c r="H248">
        <f>'R.M Billets Reports'!E247</f>
      </c>
      <c r="I248">
        <f>'R.M Billets Reports'!F247</f>
      </c>
      <c r="J248">
        <f>'R.M Billets Reports'!G247</f>
      </c>
      <c r="K248">
        <f>'R.M Billets Reports'!H247</f>
      </c>
      <c r="L248">
        <f>IF('R.M Billets Reports'!I247="","",'R.M Billets Reports'!I247)</f>
      </c>
      <c r="M248">
        <f t="shared" si="6"/>
      </c>
      <c r="N248">
        <f>IF('R.M Billets Reports'!J247="","",'R.M Billets Reports'!J247)</f>
      </c>
      <c r="O248">
        <f t="shared" si="7"/>
      </c>
      <c r="P248">
        <f>IF('R.M Billets Reports'!A247="SIZE",'R.M Billets Reports'!B247,P247)</f>
      </c>
    </row>
    <row r="249" spans="1:16" x14ac:dyDescent="0.25">
      <c r="A249">
        <f>IF(OR('R.M Billets Reports'!A248="Date-",'R.M Billets Reports'!A248="Date:-"),IF(IF(IF(ISNUMBER(SEARCH("Party Name:-",'R.M Billets Reports'!D248)),TRIM('R.M Billets Reports'!F248),IF(ISNUMBER(SEARCH("Party Name-",'R.M Billets Reports'!D248)),TRIM(MID('R.M Billets Reports'!D248,SEARCH("-",'R.M Billets Reports'!D248)+1,200)),""))&lt;&gt;"",IF(ISNUMBER(SEARCH("Party Name:-",'R.M Billets Reports'!D248)),TRIM('R.M Billets Reports'!F248),IF(ISNUMBER(SEARCH("Party Name-",'R.M Billets Reports'!D248)),TRIM(MID('R.M Billets Reports'!D248,SEARCH("-",'R.M Billets Reports'!D248)+1,200)),"")),IF(ISNUMBER(SEARCH("Party Name:-",'R.M Billets Reports'!D249)),TRIM('R.M Billets Reports'!F249),IF(ISNUMBER(SEARCH("Party Name-",'R.M Billets Reports'!D249)),TRIM(MID('R.M Billets Reports'!D249,SEARCH("-",'R.M Billets Reports'!D249)+1,200)),"")))="VRKP ISPAT PVT LTD","VRKP",IF(IF(IF(ISNUMBER(SEARCH("Party Name:-",'R.M Billets Reports'!D248)),TRIM('R.M Billets Reports'!F248),IF(ISNUMBER(SEARCH("Party Name-",'R.M Billets Reports'!D248)),TRIM(MID('R.M Billets Reports'!D248,SEARCH("-",'R.M Billets Reports'!D248)+1,200)),""))&lt;&gt;"",IF(ISNUMBER(SEARCH("Party Name:-",'R.M Billets Reports'!D248)),TRIM('R.M Billets Reports'!F248),IF(ISNUMBER(SEARCH("Party Name-",'R.M Billets Reports'!D248)),TRIM(MID('R.M Billets Reports'!D248,SEARCH("-",'R.M Billets Reports'!D248)+1,200)),"")),IF(ISNUMBER(SEARCH("Party Name:-",'R.M Billets Reports'!D249)),TRIM('R.M Billets Reports'!F249),IF(ISNUMBER(SEARCH("Party Name-",'R.M Billets Reports'!D249)),TRIM(MID('R.M Billets Reports'!D249,SEARCH("-",'R.M Billets Reports'!D249)+1,200)),"")))="SHRI RADHE","SHREE RADHE",IF(IF(IF(ISNUMBER(SEARCH("Party Name:-",'R.M Billets Reports'!D248)),TRIM('R.M Billets Reports'!F248),IF(ISNUMBER(SEARCH("Party Name-",'R.M Billets Reports'!D248)),TRIM(MID('R.M Billets Reports'!D248,SEARCH("-",'R.M Billets Reports'!D248)+1,200)),""))&lt;&gt;"",IF(ISNUMBER(SEARCH("Party Name:-",'R.M Billets Reports'!D248)),TRIM('R.M Billets Reports'!F248),IF(ISNUMBER(SEARCH("Party Name-",'R.M Billets Reports'!D248)),TRIM(MID('R.M Billets Reports'!D248,SEARCH("-",'R.M Billets Reports'!D248)+1,200)),"")),IF(ISNUMBER(SEARCH("Party Name:-",'R.M Billets Reports'!D249)),TRIM('R.M Billets Reports'!F249),IF(ISNUMBER(SEARCH("Party Name-",'R.M Billets Reports'!D249)),TRIM(MID('R.M Billets Reports'!D249,SEARCH("-",'R.M Billets Reports'!D249)+1,200)),"")))="SHREE RADHE SHAKTI SPONGE AND POWER PVT. LTD.","SHREE RADHE",IF(IF(ISNUMBER(SEARCH("Party Name:-",'R.M Billets Reports'!D248)),TRIM('R.M Billets Reports'!F248),IF(ISNUMBER(SEARCH("Party Name-",'R.M Billets Reports'!D248)),TRIM(MID('R.M Billets Reports'!D248,SEARCH("-",'R.M Billets Reports'!D248)+1,200)),""))&lt;&gt;"",IF(ISNUMBER(SEARCH("Party Name:-",'R.M Billets Reports'!D248)),TRIM('R.M Billets Reports'!F248),IF(ISNUMBER(SEARCH("Party Name-",'R.M Billets Reports'!D248)),TRIM(MID('R.M Billets Reports'!D248,SEARCH("-",'R.M Billets Reports'!D248)+1,200)),"")),IF(ISNUMBER(SEARCH("Party Name:-",'R.M Billets Reports'!D249)),TRIM('R.M Billets Reports'!F249),IF(ISNUMBER(SEARCH("Party Name-",'R.M Billets Reports'!D249)),TRIM(MID('R.M Billets Reports'!D249,SEARCH("-",'R.M Billets Reports'!D249)+1,200)),"")))))),IF(ROW()=2,"",A248))</f>
      </c>
      <c r="B249">
        <f>IF(OR('R.M Billets Reports'!A248="Date-",'R.M Billets Reports'!A248="Date:-"),'R.M Billets Reports'!B248,IF(ROW()=2,"",B248))</f>
      </c>
      <c r="C249">
        <f>IF('R.M Billets Reports'!A248="V.No.",'R.M Billets Reports'!B248,IF(ROW()=2,"",C248))</f>
      </c>
      <c r="D249">
        <f>IF('R.M Billets Reports'!A248&lt;&gt;"",'R.M Billets Reports'!A248,IF(ROW()=2,"",D248))</f>
      </c>
      <c r="E249">
        <f>IF('R.M Billets Reports'!B248="","",TRIM('R.M Billets Reports'!B248))</f>
      </c>
      <c r="F249">
        <f>'R.M Billets Reports'!C248</f>
      </c>
      <c r="G249">
        <f>'R.M Billets Reports'!D248</f>
      </c>
      <c r="H249">
        <f>'R.M Billets Reports'!E248</f>
      </c>
      <c r="I249">
        <f>'R.M Billets Reports'!F248</f>
      </c>
      <c r="J249">
        <f>'R.M Billets Reports'!G248</f>
      </c>
      <c r="K249">
        <f>'R.M Billets Reports'!H248</f>
      </c>
      <c r="L249">
        <f>IF('R.M Billets Reports'!I248="","",'R.M Billets Reports'!I248)</f>
      </c>
      <c r="M249">
        <f t="shared" si="6"/>
      </c>
      <c r="N249">
        <f>IF('R.M Billets Reports'!J248="","",'R.M Billets Reports'!J248)</f>
      </c>
      <c r="O249">
        <f t="shared" si="7"/>
      </c>
      <c r="P249">
        <f>IF('R.M Billets Reports'!A248="SIZE",'R.M Billets Reports'!B248,P248)</f>
      </c>
    </row>
    <row r="250" spans="1:16" x14ac:dyDescent="0.25">
      <c r="A250">
        <f>IF(OR('R.M Billets Reports'!A249="Date-",'R.M Billets Reports'!A249="Date:-"),IF(IF(IF(ISNUMBER(SEARCH("Party Name:-",'R.M Billets Reports'!D249)),TRIM('R.M Billets Reports'!F249),IF(ISNUMBER(SEARCH("Party Name-",'R.M Billets Reports'!D249)),TRIM(MID('R.M Billets Reports'!D249,SEARCH("-",'R.M Billets Reports'!D249)+1,200)),""))&lt;&gt;"",IF(ISNUMBER(SEARCH("Party Name:-",'R.M Billets Reports'!D249)),TRIM('R.M Billets Reports'!F249),IF(ISNUMBER(SEARCH("Party Name-",'R.M Billets Reports'!D249)),TRIM(MID('R.M Billets Reports'!D249,SEARCH("-",'R.M Billets Reports'!D249)+1,200)),"")),IF(ISNUMBER(SEARCH("Party Name:-",'R.M Billets Reports'!D250)),TRIM('R.M Billets Reports'!F250),IF(ISNUMBER(SEARCH("Party Name-",'R.M Billets Reports'!D250)),TRIM(MID('R.M Billets Reports'!D250,SEARCH("-",'R.M Billets Reports'!D250)+1,200)),"")))="VRKP ISPAT PVT LTD","VRKP",IF(IF(IF(ISNUMBER(SEARCH("Party Name:-",'R.M Billets Reports'!D249)),TRIM('R.M Billets Reports'!F249),IF(ISNUMBER(SEARCH("Party Name-",'R.M Billets Reports'!D249)),TRIM(MID('R.M Billets Reports'!D249,SEARCH("-",'R.M Billets Reports'!D249)+1,200)),""))&lt;&gt;"",IF(ISNUMBER(SEARCH("Party Name:-",'R.M Billets Reports'!D249)),TRIM('R.M Billets Reports'!F249),IF(ISNUMBER(SEARCH("Party Name-",'R.M Billets Reports'!D249)),TRIM(MID('R.M Billets Reports'!D249,SEARCH("-",'R.M Billets Reports'!D249)+1,200)),"")),IF(ISNUMBER(SEARCH("Party Name:-",'R.M Billets Reports'!D250)),TRIM('R.M Billets Reports'!F250),IF(ISNUMBER(SEARCH("Party Name-",'R.M Billets Reports'!D250)),TRIM(MID('R.M Billets Reports'!D250,SEARCH("-",'R.M Billets Reports'!D250)+1,200)),"")))="SHRI RADHE","SHREE RADHE",IF(IF(IF(ISNUMBER(SEARCH("Party Name:-",'R.M Billets Reports'!D249)),TRIM('R.M Billets Reports'!F249),IF(ISNUMBER(SEARCH("Party Name-",'R.M Billets Reports'!D249)),TRIM(MID('R.M Billets Reports'!D249,SEARCH("-",'R.M Billets Reports'!D249)+1,200)),""))&lt;&gt;"",IF(ISNUMBER(SEARCH("Party Name:-",'R.M Billets Reports'!D249)),TRIM('R.M Billets Reports'!F249),IF(ISNUMBER(SEARCH("Party Name-",'R.M Billets Reports'!D249)),TRIM(MID('R.M Billets Reports'!D249,SEARCH("-",'R.M Billets Reports'!D249)+1,200)),"")),IF(ISNUMBER(SEARCH("Party Name:-",'R.M Billets Reports'!D250)),TRIM('R.M Billets Reports'!F250),IF(ISNUMBER(SEARCH("Party Name-",'R.M Billets Reports'!D250)),TRIM(MID('R.M Billets Reports'!D250,SEARCH("-",'R.M Billets Reports'!D250)+1,200)),"")))="SHREE RADHE SHAKTI SPONGE AND POWER PVT. LTD.","SHREE RADHE",IF(IF(ISNUMBER(SEARCH("Party Name:-",'R.M Billets Reports'!D249)),TRIM('R.M Billets Reports'!F249),IF(ISNUMBER(SEARCH("Party Name-",'R.M Billets Reports'!D249)),TRIM(MID('R.M Billets Reports'!D249,SEARCH("-",'R.M Billets Reports'!D249)+1,200)),""))&lt;&gt;"",IF(ISNUMBER(SEARCH("Party Name:-",'R.M Billets Reports'!D249)),TRIM('R.M Billets Reports'!F249),IF(ISNUMBER(SEARCH("Party Name-",'R.M Billets Reports'!D249)),TRIM(MID('R.M Billets Reports'!D249,SEARCH("-",'R.M Billets Reports'!D249)+1,200)),"")),IF(ISNUMBER(SEARCH("Party Name:-",'R.M Billets Reports'!D250)),TRIM('R.M Billets Reports'!F250),IF(ISNUMBER(SEARCH("Party Name-",'R.M Billets Reports'!D250)),TRIM(MID('R.M Billets Reports'!D250,SEARCH("-",'R.M Billets Reports'!D250)+1,200)),"")))))),IF(ROW()=2,"",A249))</f>
      </c>
      <c r="B250">
        <f>IF(OR('R.M Billets Reports'!A249="Date-",'R.M Billets Reports'!A249="Date:-"),'R.M Billets Reports'!B249,IF(ROW()=2,"",B249))</f>
      </c>
      <c r="C250">
        <f>IF('R.M Billets Reports'!A249="V.No.",'R.M Billets Reports'!B249,IF(ROW()=2,"",C249))</f>
      </c>
      <c r="D250">
        <f>IF('R.M Billets Reports'!A249&lt;&gt;"",'R.M Billets Reports'!A249,IF(ROW()=2,"",D249))</f>
      </c>
      <c r="E250">
        <f>IF('R.M Billets Reports'!B249="","",TRIM('R.M Billets Reports'!B249))</f>
      </c>
      <c r="F250">
        <f>'R.M Billets Reports'!C249</f>
      </c>
      <c r="G250">
        <f>'R.M Billets Reports'!D249</f>
      </c>
      <c r="H250">
        <f>'R.M Billets Reports'!E249</f>
      </c>
      <c r="I250">
        <f>'R.M Billets Reports'!F249</f>
      </c>
      <c r="J250">
        <f>'R.M Billets Reports'!G249</f>
      </c>
      <c r="K250">
        <f>'R.M Billets Reports'!H249</f>
      </c>
      <c r="L250">
        <f>IF('R.M Billets Reports'!I249="","",'R.M Billets Reports'!I249)</f>
      </c>
      <c r="M250">
        <f t="shared" si="6"/>
      </c>
      <c r="N250">
        <f>IF('R.M Billets Reports'!J249="","",'R.M Billets Reports'!J249)</f>
      </c>
      <c r="O250">
        <f t="shared" si="7"/>
      </c>
      <c r="P250">
        <f>IF('R.M Billets Reports'!A249="SIZE",'R.M Billets Reports'!B249,P249)</f>
      </c>
    </row>
    <row r="251" spans="1:16" x14ac:dyDescent="0.25">
      <c r="A251">
        <f>IF(OR('R.M Billets Reports'!A250="Date-",'R.M Billets Reports'!A250="Date:-"),IF(IF(IF(ISNUMBER(SEARCH("Party Name:-",'R.M Billets Reports'!D250)),TRIM('R.M Billets Reports'!F250),IF(ISNUMBER(SEARCH("Party Name-",'R.M Billets Reports'!D250)),TRIM(MID('R.M Billets Reports'!D250,SEARCH("-",'R.M Billets Reports'!D250)+1,200)),""))&lt;&gt;"",IF(ISNUMBER(SEARCH("Party Name:-",'R.M Billets Reports'!D250)),TRIM('R.M Billets Reports'!F250),IF(ISNUMBER(SEARCH("Party Name-",'R.M Billets Reports'!D250)),TRIM(MID('R.M Billets Reports'!D250,SEARCH("-",'R.M Billets Reports'!D250)+1,200)),"")),IF(ISNUMBER(SEARCH("Party Name:-",'R.M Billets Reports'!D251)),TRIM('R.M Billets Reports'!F251),IF(ISNUMBER(SEARCH("Party Name-",'R.M Billets Reports'!D251)),TRIM(MID('R.M Billets Reports'!D251,SEARCH("-",'R.M Billets Reports'!D251)+1,200)),"")))="VRKP ISPAT PVT LTD","VRKP",IF(IF(IF(ISNUMBER(SEARCH("Party Name:-",'R.M Billets Reports'!D250)),TRIM('R.M Billets Reports'!F250),IF(ISNUMBER(SEARCH("Party Name-",'R.M Billets Reports'!D250)),TRIM(MID('R.M Billets Reports'!D250,SEARCH("-",'R.M Billets Reports'!D250)+1,200)),""))&lt;&gt;"",IF(ISNUMBER(SEARCH("Party Name:-",'R.M Billets Reports'!D250)),TRIM('R.M Billets Reports'!F250),IF(ISNUMBER(SEARCH("Party Name-",'R.M Billets Reports'!D250)),TRIM(MID('R.M Billets Reports'!D250,SEARCH("-",'R.M Billets Reports'!D250)+1,200)),"")),IF(ISNUMBER(SEARCH("Party Name:-",'R.M Billets Reports'!D251)),TRIM('R.M Billets Reports'!F251),IF(ISNUMBER(SEARCH("Party Name-",'R.M Billets Reports'!D251)),TRIM(MID('R.M Billets Reports'!D251,SEARCH("-",'R.M Billets Reports'!D251)+1,200)),"")))="SHRI RADHE","SHREE RADHE",IF(IF(IF(ISNUMBER(SEARCH("Party Name:-",'R.M Billets Reports'!D250)),TRIM('R.M Billets Reports'!F250),IF(ISNUMBER(SEARCH("Party Name-",'R.M Billets Reports'!D250)),TRIM(MID('R.M Billets Reports'!D250,SEARCH("-",'R.M Billets Reports'!D250)+1,200)),""))&lt;&gt;"",IF(ISNUMBER(SEARCH("Party Name:-",'R.M Billets Reports'!D250)),TRIM('R.M Billets Reports'!F250),IF(ISNUMBER(SEARCH("Party Name-",'R.M Billets Reports'!D250)),TRIM(MID('R.M Billets Reports'!D250,SEARCH("-",'R.M Billets Reports'!D250)+1,200)),"")),IF(ISNUMBER(SEARCH("Party Name:-",'R.M Billets Reports'!D251)),TRIM('R.M Billets Reports'!F251),IF(ISNUMBER(SEARCH("Party Name-",'R.M Billets Reports'!D251)),TRIM(MID('R.M Billets Reports'!D251,SEARCH("-",'R.M Billets Reports'!D251)+1,200)),"")))="SHREE RADHE SHAKTI SPONGE AND POWER PVT. LTD.","SHREE RADHE",IF(IF(ISNUMBER(SEARCH("Party Name:-",'R.M Billets Reports'!D250)),TRIM('R.M Billets Reports'!F250),IF(ISNUMBER(SEARCH("Party Name-",'R.M Billets Reports'!D250)),TRIM(MID('R.M Billets Reports'!D250,SEARCH("-",'R.M Billets Reports'!D250)+1,200)),""))&lt;&gt;"",IF(ISNUMBER(SEARCH("Party Name:-",'R.M Billets Reports'!D250)),TRIM('R.M Billets Reports'!F250),IF(ISNUMBER(SEARCH("Party Name-",'R.M Billets Reports'!D250)),TRIM(MID('R.M Billets Reports'!D250,SEARCH("-",'R.M Billets Reports'!D250)+1,200)),"")),IF(ISNUMBER(SEARCH("Party Name:-",'R.M Billets Reports'!D251)),TRIM('R.M Billets Reports'!F251),IF(ISNUMBER(SEARCH("Party Name-",'R.M Billets Reports'!D251)),TRIM(MID('R.M Billets Reports'!D251,SEARCH("-",'R.M Billets Reports'!D251)+1,200)),"")))))),IF(ROW()=2,"",A250))</f>
      </c>
      <c r="B251">
        <f>IF(OR('R.M Billets Reports'!A250="Date-",'R.M Billets Reports'!A250="Date:-"),'R.M Billets Reports'!B250,IF(ROW()=2,"",B250))</f>
      </c>
      <c r="C251">
        <f>IF('R.M Billets Reports'!A250="V.No.",'R.M Billets Reports'!B250,IF(ROW()=2,"",C250))</f>
      </c>
      <c r="D251">
        <f>IF('R.M Billets Reports'!A250&lt;&gt;"",'R.M Billets Reports'!A250,IF(ROW()=2,"",D250))</f>
      </c>
      <c r="E251">
        <f>IF('R.M Billets Reports'!B250="","",TRIM('R.M Billets Reports'!B250))</f>
      </c>
      <c r="F251">
        <f>'R.M Billets Reports'!C250</f>
      </c>
      <c r="G251">
        <f>'R.M Billets Reports'!D250</f>
      </c>
      <c r="H251">
        <f>'R.M Billets Reports'!E250</f>
      </c>
      <c r="I251">
        <f>'R.M Billets Reports'!F250</f>
      </c>
      <c r="J251">
        <f>'R.M Billets Reports'!G250</f>
      </c>
      <c r="K251">
        <f>'R.M Billets Reports'!H250</f>
      </c>
      <c r="L251">
        <f>IF('R.M Billets Reports'!I250="","",'R.M Billets Reports'!I250)</f>
      </c>
      <c r="M251">
        <f t="shared" si="6"/>
      </c>
      <c r="N251">
        <f>IF('R.M Billets Reports'!J250="","",'R.M Billets Reports'!J250)</f>
      </c>
      <c r="O251">
        <f t="shared" si="7"/>
      </c>
      <c r="P251">
        <f>IF('R.M Billets Reports'!A250="SIZE",'R.M Billets Reports'!B250,P250)</f>
      </c>
    </row>
    <row r="252" spans="1:16" x14ac:dyDescent="0.25">
      <c r="A252">
        <f>IF(OR('R.M Billets Reports'!A251="Date-",'R.M Billets Reports'!A251="Date:-"),IF(IF(IF(ISNUMBER(SEARCH("Party Name:-",'R.M Billets Reports'!D251)),TRIM('R.M Billets Reports'!F251),IF(ISNUMBER(SEARCH("Party Name-",'R.M Billets Reports'!D251)),TRIM(MID('R.M Billets Reports'!D251,SEARCH("-",'R.M Billets Reports'!D251)+1,200)),""))&lt;&gt;"",IF(ISNUMBER(SEARCH("Party Name:-",'R.M Billets Reports'!D251)),TRIM('R.M Billets Reports'!F251),IF(ISNUMBER(SEARCH("Party Name-",'R.M Billets Reports'!D251)),TRIM(MID('R.M Billets Reports'!D251,SEARCH("-",'R.M Billets Reports'!D251)+1,200)),"")),IF(ISNUMBER(SEARCH("Party Name:-",'R.M Billets Reports'!D252)),TRIM('R.M Billets Reports'!F252),IF(ISNUMBER(SEARCH("Party Name-",'R.M Billets Reports'!D252)),TRIM(MID('R.M Billets Reports'!D252,SEARCH("-",'R.M Billets Reports'!D252)+1,200)),"")))="VRKP ISPAT PVT LTD","VRKP",IF(IF(IF(ISNUMBER(SEARCH("Party Name:-",'R.M Billets Reports'!D251)),TRIM('R.M Billets Reports'!F251),IF(ISNUMBER(SEARCH("Party Name-",'R.M Billets Reports'!D251)),TRIM(MID('R.M Billets Reports'!D251,SEARCH("-",'R.M Billets Reports'!D251)+1,200)),""))&lt;&gt;"",IF(ISNUMBER(SEARCH("Party Name:-",'R.M Billets Reports'!D251)),TRIM('R.M Billets Reports'!F251),IF(ISNUMBER(SEARCH("Party Name-",'R.M Billets Reports'!D251)),TRIM(MID('R.M Billets Reports'!D251,SEARCH("-",'R.M Billets Reports'!D251)+1,200)),"")),IF(ISNUMBER(SEARCH("Party Name:-",'R.M Billets Reports'!D252)),TRIM('R.M Billets Reports'!F252),IF(ISNUMBER(SEARCH("Party Name-",'R.M Billets Reports'!D252)),TRIM(MID('R.M Billets Reports'!D252,SEARCH("-",'R.M Billets Reports'!D252)+1,200)),"")))="SHRI RADHE","SHREE RADHE",IF(IF(IF(ISNUMBER(SEARCH("Party Name:-",'R.M Billets Reports'!D251)),TRIM('R.M Billets Reports'!F251),IF(ISNUMBER(SEARCH("Party Name-",'R.M Billets Reports'!D251)),TRIM(MID('R.M Billets Reports'!D251,SEARCH("-",'R.M Billets Reports'!D251)+1,200)),""))&lt;&gt;"",IF(ISNUMBER(SEARCH("Party Name:-",'R.M Billets Reports'!D251)),TRIM('R.M Billets Reports'!F251),IF(ISNUMBER(SEARCH("Party Name-",'R.M Billets Reports'!D251)),TRIM(MID('R.M Billets Reports'!D251,SEARCH("-",'R.M Billets Reports'!D251)+1,200)),"")),IF(ISNUMBER(SEARCH("Party Name:-",'R.M Billets Reports'!D252)),TRIM('R.M Billets Reports'!F252),IF(ISNUMBER(SEARCH("Party Name-",'R.M Billets Reports'!D252)),TRIM(MID('R.M Billets Reports'!D252,SEARCH("-",'R.M Billets Reports'!D252)+1,200)),"")))="SHREE RADHE SHAKTI SPONGE AND POWER PVT. LTD.","SHREE RADHE",IF(IF(ISNUMBER(SEARCH("Party Name:-",'R.M Billets Reports'!D251)),TRIM('R.M Billets Reports'!F251),IF(ISNUMBER(SEARCH("Party Name-",'R.M Billets Reports'!D251)),TRIM(MID('R.M Billets Reports'!D251,SEARCH("-",'R.M Billets Reports'!D251)+1,200)),""))&lt;&gt;"",IF(ISNUMBER(SEARCH("Party Name:-",'R.M Billets Reports'!D251)),TRIM('R.M Billets Reports'!F251),IF(ISNUMBER(SEARCH("Party Name-",'R.M Billets Reports'!D251)),TRIM(MID('R.M Billets Reports'!D251,SEARCH("-",'R.M Billets Reports'!D251)+1,200)),"")),IF(ISNUMBER(SEARCH("Party Name:-",'R.M Billets Reports'!D252)),TRIM('R.M Billets Reports'!F252),IF(ISNUMBER(SEARCH("Party Name-",'R.M Billets Reports'!D252)),TRIM(MID('R.M Billets Reports'!D252,SEARCH("-",'R.M Billets Reports'!D252)+1,200)),"")))))),IF(ROW()=2,"",A251))</f>
      </c>
      <c r="B252">
        <f>IF(OR('R.M Billets Reports'!A251="Date-",'R.M Billets Reports'!A251="Date:-"),'R.M Billets Reports'!B251,IF(ROW()=2,"",B251))</f>
      </c>
      <c r="C252">
        <f>IF('R.M Billets Reports'!A251="V.No.",'R.M Billets Reports'!B251,IF(ROW()=2,"",C251))</f>
      </c>
      <c r="D252">
        <f>IF('R.M Billets Reports'!A251&lt;&gt;"",'R.M Billets Reports'!A251,IF(ROW()=2,"",D251))</f>
      </c>
      <c r="E252">
        <f>IF('R.M Billets Reports'!B251="","",TRIM('R.M Billets Reports'!B251))</f>
      </c>
      <c r="F252">
        <f>'R.M Billets Reports'!C251</f>
      </c>
      <c r="G252">
        <f>'R.M Billets Reports'!D251</f>
      </c>
      <c r="H252">
        <f>'R.M Billets Reports'!E251</f>
      </c>
      <c r="I252">
        <f>'R.M Billets Reports'!F251</f>
      </c>
      <c r="J252">
        <f>'R.M Billets Reports'!G251</f>
      </c>
      <c r="K252">
        <f>'R.M Billets Reports'!H251</f>
      </c>
      <c r="L252">
        <f>IF('R.M Billets Reports'!I251="","",'R.M Billets Reports'!I251)</f>
      </c>
      <c r="M252">
        <f t="shared" si="6"/>
      </c>
      <c r="N252">
        <f>IF('R.M Billets Reports'!J251="","",'R.M Billets Reports'!J251)</f>
      </c>
      <c r="O252">
        <f t="shared" si="7"/>
      </c>
      <c r="P252">
        <f>IF('R.M Billets Reports'!A251="SIZE",'R.M Billets Reports'!B251,P251)</f>
      </c>
    </row>
    <row r="253" spans="1:16" x14ac:dyDescent="0.25">
      <c r="A253">
        <f>IF(OR('R.M Billets Reports'!A252="Date-",'R.M Billets Reports'!A252="Date:-"),IF(IF(IF(ISNUMBER(SEARCH("Party Name:-",'R.M Billets Reports'!D252)),TRIM('R.M Billets Reports'!F252),IF(ISNUMBER(SEARCH("Party Name-",'R.M Billets Reports'!D252)),TRIM(MID('R.M Billets Reports'!D252,SEARCH("-",'R.M Billets Reports'!D252)+1,200)),""))&lt;&gt;"",IF(ISNUMBER(SEARCH("Party Name:-",'R.M Billets Reports'!D252)),TRIM('R.M Billets Reports'!F252),IF(ISNUMBER(SEARCH("Party Name-",'R.M Billets Reports'!D252)),TRIM(MID('R.M Billets Reports'!D252,SEARCH("-",'R.M Billets Reports'!D252)+1,200)),"")),IF(ISNUMBER(SEARCH("Party Name:-",'R.M Billets Reports'!D253)),TRIM('R.M Billets Reports'!F253),IF(ISNUMBER(SEARCH("Party Name-",'R.M Billets Reports'!D253)),TRIM(MID('R.M Billets Reports'!D253,SEARCH("-",'R.M Billets Reports'!D253)+1,200)),"")))="VRKP ISPAT PVT LTD","VRKP",IF(IF(IF(ISNUMBER(SEARCH("Party Name:-",'R.M Billets Reports'!D252)),TRIM('R.M Billets Reports'!F252),IF(ISNUMBER(SEARCH("Party Name-",'R.M Billets Reports'!D252)),TRIM(MID('R.M Billets Reports'!D252,SEARCH("-",'R.M Billets Reports'!D252)+1,200)),""))&lt;&gt;"",IF(ISNUMBER(SEARCH("Party Name:-",'R.M Billets Reports'!D252)),TRIM('R.M Billets Reports'!F252),IF(ISNUMBER(SEARCH("Party Name-",'R.M Billets Reports'!D252)),TRIM(MID('R.M Billets Reports'!D252,SEARCH("-",'R.M Billets Reports'!D252)+1,200)),"")),IF(ISNUMBER(SEARCH("Party Name:-",'R.M Billets Reports'!D253)),TRIM('R.M Billets Reports'!F253),IF(ISNUMBER(SEARCH("Party Name-",'R.M Billets Reports'!D253)),TRIM(MID('R.M Billets Reports'!D253,SEARCH("-",'R.M Billets Reports'!D253)+1,200)),"")))="SHRI RADHE","SHREE RADHE",IF(IF(IF(ISNUMBER(SEARCH("Party Name:-",'R.M Billets Reports'!D252)),TRIM('R.M Billets Reports'!F252),IF(ISNUMBER(SEARCH("Party Name-",'R.M Billets Reports'!D252)),TRIM(MID('R.M Billets Reports'!D252,SEARCH("-",'R.M Billets Reports'!D252)+1,200)),""))&lt;&gt;"",IF(ISNUMBER(SEARCH("Party Name:-",'R.M Billets Reports'!D252)),TRIM('R.M Billets Reports'!F252),IF(ISNUMBER(SEARCH("Party Name-",'R.M Billets Reports'!D252)),TRIM(MID('R.M Billets Reports'!D252,SEARCH("-",'R.M Billets Reports'!D252)+1,200)),"")),IF(ISNUMBER(SEARCH("Party Name:-",'R.M Billets Reports'!D253)),TRIM('R.M Billets Reports'!F253),IF(ISNUMBER(SEARCH("Party Name-",'R.M Billets Reports'!D253)),TRIM(MID('R.M Billets Reports'!D253,SEARCH("-",'R.M Billets Reports'!D253)+1,200)),"")))="SHREE RADHE SHAKTI SPONGE AND POWER PVT. LTD.","SHREE RADHE",IF(IF(ISNUMBER(SEARCH("Party Name:-",'R.M Billets Reports'!D252)),TRIM('R.M Billets Reports'!F252),IF(ISNUMBER(SEARCH("Party Name-",'R.M Billets Reports'!D252)),TRIM(MID('R.M Billets Reports'!D252,SEARCH("-",'R.M Billets Reports'!D252)+1,200)),""))&lt;&gt;"",IF(ISNUMBER(SEARCH("Party Name:-",'R.M Billets Reports'!D252)),TRIM('R.M Billets Reports'!F252),IF(ISNUMBER(SEARCH("Party Name-",'R.M Billets Reports'!D252)),TRIM(MID('R.M Billets Reports'!D252,SEARCH("-",'R.M Billets Reports'!D252)+1,200)),"")),IF(ISNUMBER(SEARCH("Party Name:-",'R.M Billets Reports'!D253)),TRIM('R.M Billets Reports'!F253),IF(ISNUMBER(SEARCH("Party Name-",'R.M Billets Reports'!D253)),TRIM(MID('R.M Billets Reports'!D253,SEARCH("-",'R.M Billets Reports'!D253)+1,200)),"")))))),IF(ROW()=2,"",A252))</f>
      </c>
      <c r="B253">
        <f>IF(OR('R.M Billets Reports'!A252="Date-",'R.M Billets Reports'!A252="Date:-"),'R.M Billets Reports'!B252,IF(ROW()=2,"",B252))</f>
      </c>
      <c r="C253">
        <f>IF('R.M Billets Reports'!A252="V.No.",'R.M Billets Reports'!B252,IF(ROW()=2,"",C252))</f>
      </c>
      <c r="D253">
        <f>IF('R.M Billets Reports'!A252&lt;&gt;"",'R.M Billets Reports'!A252,IF(ROW()=2,"",D252))</f>
      </c>
      <c r="E253">
        <f>IF('R.M Billets Reports'!B252="","",TRIM('R.M Billets Reports'!B252))</f>
      </c>
      <c r="F253">
        <f>'R.M Billets Reports'!C252</f>
      </c>
      <c r="G253">
        <f>'R.M Billets Reports'!D252</f>
      </c>
      <c r="H253">
        <f>'R.M Billets Reports'!E252</f>
      </c>
      <c r="I253">
        <f>'R.M Billets Reports'!F252</f>
      </c>
      <c r="J253">
        <f>'R.M Billets Reports'!G252</f>
      </c>
      <c r="K253">
        <f>'R.M Billets Reports'!H252</f>
      </c>
      <c r="L253">
        <f>IF('R.M Billets Reports'!I252="","",'R.M Billets Reports'!I252)</f>
      </c>
      <c r="M253">
        <f t="shared" si="6"/>
      </c>
      <c r="N253">
        <f>IF('R.M Billets Reports'!J252="","",'R.M Billets Reports'!J252)</f>
      </c>
      <c r="O253">
        <f t="shared" si="7"/>
      </c>
      <c r="P253">
        <f>IF('R.M Billets Reports'!A252="SIZE",'R.M Billets Reports'!B252,P252)</f>
      </c>
    </row>
    <row r="254" spans="1:16" x14ac:dyDescent="0.25">
      <c r="A254">
        <f>IF(OR('R.M Billets Reports'!A253="Date-",'R.M Billets Reports'!A253="Date:-"),IF(IF(IF(ISNUMBER(SEARCH("Party Name:-",'R.M Billets Reports'!D253)),TRIM('R.M Billets Reports'!F253),IF(ISNUMBER(SEARCH("Party Name-",'R.M Billets Reports'!D253)),TRIM(MID('R.M Billets Reports'!D253,SEARCH("-",'R.M Billets Reports'!D253)+1,200)),""))&lt;&gt;"",IF(ISNUMBER(SEARCH("Party Name:-",'R.M Billets Reports'!D253)),TRIM('R.M Billets Reports'!F253),IF(ISNUMBER(SEARCH("Party Name-",'R.M Billets Reports'!D253)),TRIM(MID('R.M Billets Reports'!D253,SEARCH("-",'R.M Billets Reports'!D253)+1,200)),"")),IF(ISNUMBER(SEARCH("Party Name:-",'R.M Billets Reports'!D254)),TRIM('R.M Billets Reports'!F254),IF(ISNUMBER(SEARCH("Party Name-",'R.M Billets Reports'!D254)),TRIM(MID('R.M Billets Reports'!D254,SEARCH("-",'R.M Billets Reports'!D254)+1,200)),"")))="VRKP ISPAT PVT LTD","VRKP",IF(IF(IF(ISNUMBER(SEARCH("Party Name:-",'R.M Billets Reports'!D253)),TRIM('R.M Billets Reports'!F253),IF(ISNUMBER(SEARCH("Party Name-",'R.M Billets Reports'!D253)),TRIM(MID('R.M Billets Reports'!D253,SEARCH("-",'R.M Billets Reports'!D253)+1,200)),""))&lt;&gt;"",IF(ISNUMBER(SEARCH("Party Name:-",'R.M Billets Reports'!D253)),TRIM('R.M Billets Reports'!F253),IF(ISNUMBER(SEARCH("Party Name-",'R.M Billets Reports'!D253)),TRIM(MID('R.M Billets Reports'!D253,SEARCH("-",'R.M Billets Reports'!D253)+1,200)),"")),IF(ISNUMBER(SEARCH("Party Name:-",'R.M Billets Reports'!D254)),TRIM('R.M Billets Reports'!F254),IF(ISNUMBER(SEARCH("Party Name-",'R.M Billets Reports'!D254)),TRIM(MID('R.M Billets Reports'!D254,SEARCH("-",'R.M Billets Reports'!D254)+1,200)),"")))="SHRI RADHE","SHREE RADHE",IF(IF(IF(ISNUMBER(SEARCH("Party Name:-",'R.M Billets Reports'!D253)),TRIM('R.M Billets Reports'!F253),IF(ISNUMBER(SEARCH("Party Name-",'R.M Billets Reports'!D253)),TRIM(MID('R.M Billets Reports'!D253,SEARCH("-",'R.M Billets Reports'!D253)+1,200)),""))&lt;&gt;"",IF(ISNUMBER(SEARCH("Party Name:-",'R.M Billets Reports'!D253)),TRIM('R.M Billets Reports'!F253),IF(ISNUMBER(SEARCH("Party Name-",'R.M Billets Reports'!D253)),TRIM(MID('R.M Billets Reports'!D253,SEARCH("-",'R.M Billets Reports'!D253)+1,200)),"")),IF(ISNUMBER(SEARCH("Party Name:-",'R.M Billets Reports'!D254)),TRIM('R.M Billets Reports'!F254),IF(ISNUMBER(SEARCH("Party Name-",'R.M Billets Reports'!D254)),TRIM(MID('R.M Billets Reports'!D254,SEARCH("-",'R.M Billets Reports'!D254)+1,200)),"")))="SHREE RADHE SHAKTI SPONGE AND POWER PVT. LTD.","SHREE RADHE",IF(IF(ISNUMBER(SEARCH("Party Name:-",'R.M Billets Reports'!D253)),TRIM('R.M Billets Reports'!F253),IF(ISNUMBER(SEARCH("Party Name-",'R.M Billets Reports'!D253)),TRIM(MID('R.M Billets Reports'!D253,SEARCH("-",'R.M Billets Reports'!D253)+1,200)),""))&lt;&gt;"",IF(ISNUMBER(SEARCH("Party Name:-",'R.M Billets Reports'!D253)),TRIM('R.M Billets Reports'!F253),IF(ISNUMBER(SEARCH("Party Name-",'R.M Billets Reports'!D253)),TRIM(MID('R.M Billets Reports'!D253,SEARCH("-",'R.M Billets Reports'!D253)+1,200)),"")),IF(ISNUMBER(SEARCH("Party Name:-",'R.M Billets Reports'!D254)),TRIM('R.M Billets Reports'!F254),IF(ISNUMBER(SEARCH("Party Name-",'R.M Billets Reports'!D254)),TRIM(MID('R.M Billets Reports'!D254,SEARCH("-",'R.M Billets Reports'!D254)+1,200)),"")))))),IF(ROW()=2,"",A253))</f>
      </c>
      <c r="B254">
        <f>IF(OR('R.M Billets Reports'!A253="Date-",'R.M Billets Reports'!A253="Date:-"),'R.M Billets Reports'!B253,IF(ROW()=2,"",B253))</f>
      </c>
      <c r="C254">
        <f>IF('R.M Billets Reports'!A253="V.No.",'R.M Billets Reports'!B253,IF(ROW()=2,"",C253))</f>
      </c>
      <c r="D254">
        <f>IF('R.M Billets Reports'!A253&lt;&gt;"",'R.M Billets Reports'!A253,IF(ROW()=2,"",D253))</f>
      </c>
      <c r="E254">
        <f>IF('R.M Billets Reports'!B253="","",TRIM('R.M Billets Reports'!B253))</f>
      </c>
      <c r="F254">
        <f>'R.M Billets Reports'!C253</f>
      </c>
      <c r="G254">
        <f>'R.M Billets Reports'!D253</f>
      </c>
      <c r="H254">
        <f>'R.M Billets Reports'!E253</f>
      </c>
      <c r="I254">
        <f>'R.M Billets Reports'!F253</f>
      </c>
      <c r="J254">
        <f>'R.M Billets Reports'!G253</f>
      </c>
      <c r="K254">
        <f>'R.M Billets Reports'!H253</f>
      </c>
      <c r="L254">
        <f>IF('R.M Billets Reports'!I253="","",'R.M Billets Reports'!I253)</f>
      </c>
      <c r="M254">
        <f t="shared" si="6"/>
      </c>
      <c r="N254">
        <f>IF('R.M Billets Reports'!J253="","",'R.M Billets Reports'!J253)</f>
      </c>
      <c r="O254">
        <f t="shared" si="7"/>
      </c>
      <c r="P254">
        <f>IF('R.M Billets Reports'!A253="SIZE",'R.M Billets Reports'!B253,P253)</f>
      </c>
    </row>
    <row r="255" spans="1:16" x14ac:dyDescent="0.25">
      <c r="A255">
        <f>IF(OR('R.M Billets Reports'!A254="Date-",'R.M Billets Reports'!A254="Date:-"),IF(IF(IF(ISNUMBER(SEARCH("Party Name:-",'R.M Billets Reports'!D254)),TRIM('R.M Billets Reports'!F254),IF(ISNUMBER(SEARCH("Party Name-",'R.M Billets Reports'!D254)),TRIM(MID('R.M Billets Reports'!D254,SEARCH("-",'R.M Billets Reports'!D254)+1,200)),""))&lt;&gt;"",IF(ISNUMBER(SEARCH("Party Name:-",'R.M Billets Reports'!D254)),TRIM('R.M Billets Reports'!F254),IF(ISNUMBER(SEARCH("Party Name-",'R.M Billets Reports'!D254)),TRIM(MID('R.M Billets Reports'!D254,SEARCH("-",'R.M Billets Reports'!D254)+1,200)),"")),IF(ISNUMBER(SEARCH("Party Name:-",'R.M Billets Reports'!D255)),TRIM('R.M Billets Reports'!F255),IF(ISNUMBER(SEARCH("Party Name-",'R.M Billets Reports'!D255)),TRIM(MID('R.M Billets Reports'!D255,SEARCH("-",'R.M Billets Reports'!D255)+1,200)),"")))="VRKP ISPAT PVT LTD","VRKP",IF(IF(IF(ISNUMBER(SEARCH("Party Name:-",'R.M Billets Reports'!D254)),TRIM('R.M Billets Reports'!F254),IF(ISNUMBER(SEARCH("Party Name-",'R.M Billets Reports'!D254)),TRIM(MID('R.M Billets Reports'!D254,SEARCH("-",'R.M Billets Reports'!D254)+1,200)),""))&lt;&gt;"",IF(ISNUMBER(SEARCH("Party Name:-",'R.M Billets Reports'!D254)),TRIM('R.M Billets Reports'!F254),IF(ISNUMBER(SEARCH("Party Name-",'R.M Billets Reports'!D254)),TRIM(MID('R.M Billets Reports'!D254,SEARCH("-",'R.M Billets Reports'!D254)+1,200)),"")),IF(ISNUMBER(SEARCH("Party Name:-",'R.M Billets Reports'!D255)),TRIM('R.M Billets Reports'!F255),IF(ISNUMBER(SEARCH("Party Name-",'R.M Billets Reports'!D255)),TRIM(MID('R.M Billets Reports'!D255,SEARCH("-",'R.M Billets Reports'!D255)+1,200)),"")))="SHRI RADHE","SHREE RADHE",IF(IF(IF(ISNUMBER(SEARCH("Party Name:-",'R.M Billets Reports'!D254)),TRIM('R.M Billets Reports'!F254),IF(ISNUMBER(SEARCH("Party Name-",'R.M Billets Reports'!D254)),TRIM(MID('R.M Billets Reports'!D254,SEARCH("-",'R.M Billets Reports'!D254)+1,200)),""))&lt;&gt;"",IF(ISNUMBER(SEARCH("Party Name:-",'R.M Billets Reports'!D254)),TRIM('R.M Billets Reports'!F254),IF(ISNUMBER(SEARCH("Party Name-",'R.M Billets Reports'!D254)),TRIM(MID('R.M Billets Reports'!D254,SEARCH("-",'R.M Billets Reports'!D254)+1,200)),"")),IF(ISNUMBER(SEARCH("Party Name:-",'R.M Billets Reports'!D255)),TRIM('R.M Billets Reports'!F255),IF(ISNUMBER(SEARCH("Party Name-",'R.M Billets Reports'!D255)),TRIM(MID('R.M Billets Reports'!D255,SEARCH("-",'R.M Billets Reports'!D255)+1,200)),"")))="SHREE RADHE SHAKTI SPONGE AND POWER PVT. LTD.","SHREE RADHE",IF(IF(ISNUMBER(SEARCH("Party Name:-",'R.M Billets Reports'!D254)),TRIM('R.M Billets Reports'!F254),IF(ISNUMBER(SEARCH("Party Name-",'R.M Billets Reports'!D254)),TRIM(MID('R.M Billets Reports'!D254,SEARCH("-",'R.M Billets Reports'!D254)+1,200)),""))&lt;&gt;"",IF(ISNUMBER(SEARCH("Party Name:-",'R.M Billets Reports'!D254)),TRIM('R.M Billets Reports'!F254),IF(ISNUMBER(SEARCH("Party Name-",'R.M Billets Reports'!D254)),TRIM(MID('R.M Billets Reports'!D254,SEARCH("-",'R.M Billets Reports'!D254)+1,200)),"")),IF(ISNUMBER(SEARCH("Party Name:-",'R.M Billets Reports'!D255)),TRIM('R.M Billets Reports'!F255),IF(ISNUMBER(SEARCH("Party Name-",'R.M Billets Reports'!D255)),TRIM(MID('R.M Billets Reports'!D255,SEARCH("-",'R.M Billets Reports'!D255)+1,200)),"")))))),IF(ROW()=2,"",A254))</f>
      </c>
      <c r="B255">
        <f>IF(OR('R.M Billets Reports'!A254="Date-",'R.M Billets Reports'!A254="Date:-"),'R.M Billets Reports'!B254,IF(ROW()=2,"",B254))</f>
      </c>
      <c r="C255">
        <f>IF('R.M Billets Reports'!A254="V.No.",'R.M Billets Reports'!B254,IF(ROW()=2,"",C254))</f>
      </c>
      <c r="D255">
        <f>IF('R.M Billets Reports'!A254&lt;&gt;"",'R.M Billets Reports'!A254,IF(ROW()=2,"",D254))</f>
      </c>
      <c r="E255">
        <f>IF('R.M Billets Reports'!B254="","",TRIM('R.M Billets Reports'!B254))</f>
      </c>
      <c r="F255">
        <f>'R.M Billets Reports'!C254</f>
      </c>
      <c r="G255">
        <f>'R.M Billets Reports'!D254</f>
      </c>
      <c r="H255">
        <f>'R.M Billets Reports'!E254</f>
      </c>
      <c r="I255">
        <f>'R.M Billets Reports'!F254</f>
      </c>
      <c r="J255">
        <f>'R.M Billets Reports'!G254</f>
      </c>
      <c r="K255">
        <f>'R.M Billets Reports'!H254</f>
      </c>
      <c r="L255">
        <f>IF('R.M Billets Reports'!I254="","",'R.M Billets Reports'!I254)</f>
      </c>
      <c r="M255">
        <f t="shared" si="6"/>
      </c>
      <c r="N255">
        <f>IF('R.M Billets Reports'!J254="","",'R.M Billets Reports'!J254)</f>
      </c>
      <c r="O255">
        <f t="shared" si="7"/>
      </c>
      <c r="P255">
        <f>IF('R.M Billets Reports'!A254="SIZE",'R.M Billets Reports'!B254,P254)</f>
      </c>
    </row>
    <row r="256" spans="1:16" x14ac:dyDescent="0.25">
      <c r="A256">
        <f>IF(OR('R.M Billets Reports'!A255="Date-",'R.M Billets Reports'!A255="Date:-"),IF(IF(IF(ISNUMBER(SEARCH("Party Name:-",'R.M Billets Reports'!D255)),TRIM('R.M Billets Reports'!F255),IF(ISNUMBER(SEARCH("Party Name-",'R.M Billets Reports'!D255)),TRIM(MID('R.M Billets Reports'!D255,SEARCH("-",'R.M Billets Reports'!D255)+1,200)),""))&lt;&gt;"",IF(ISNUMBER(SEARCH("Party Name:-",'R.M Billets Reports'!D255)),TRIM('R.M Billets Reports'!F255),IF(ISNUMBER(SEARCH("Party Name-",'R.M Billets Reports'!D255)),TRIM(MID('R.M Billets Reports'!D255,SEARCH("-",'R.M Billets Reports'!D255)+1,200)),"")),IF(ISNUMBER(SEARCH("Party Name:-",'R.M Billets Reports'!D256)),TRIM('R.M Billets Reports'!F256),IF(ISNUMBER(SEARCH("Party Name-",'R.M Billets Reports'!D256)),TRIM(MID('R.M Billets Reports'!D256,SEARCH("-",'R.M Billets Reports'!D256)+1,200)),"")))="VRKP ISPAT PVT LTD","VRKP",IF(IF(IF(ISNUMBER(SEARCH("Party Name:-",'R.M Billets Reports'!D255)),TRIM('R.M Billets Reports'!F255),IF(ISNUMBER(SEARCH("Party Name-",'R.M Billets Reports'!D255)),TRIM(MID('R.M Billets Reports'!D255,SEARCH("-",'R.M Billets Reports'!D255)+1,200)),""))&lt;&gt;"",IF(ISNUMBER(SEARCH("Party Name:-",'R.M Billets Reports'!D255)),TRIM('R.M Billets Reports'!F255),IF(ISNUMBER(SEARCH("Party Name-",'R.M Billets Reports'!D255)),TRIM(MID('R.M Billets Reports'!D255,SEARCH("-",'R.M Billets Reports'!D255)+1,200)),"")),IF(ISNUMBER(SEARCH("Party Name:-",'R.M Billets Reports'!D256)),TRIM('R.M Billets Reports'!F256),IF(ISNUMBER(SEARCH("Party Name-",'R.M Billets Reports'!D256)),TRIM(MID('R.M Billets Reports'!D256,SEARCH("-",'R.M Billets Reports'!D256)+1,200)),"")))="SHRI RADHE","SHREE RADHE",IF(IF(IF(ISNUMBER(SEARCH("Party Name:-",'R.M Billets Reports'!D255)),TRIM('R.M Billets Reports'!F255),IF(ISNUMBER(SEARCH("Party Name-",'R.M Billets Reports'!D255)),TRIM(MID('R.M Billets Reports'!D255,SEARCH("-",'R.M Billets Reports'!D255)+1,200)),""))&lt;&gt;"",IF(ISNUMBER(SEARCH("Party Name:-",'R.M Billets Reports'!D255)),TRIM('R.M Billets Reports'!F255),IF(ISNUMBER(SEARCH("Party Name-",'R.M Billets Reports'!D255)),TRIM(MID('R.M Billets Reports'!D255,SEARCH("-",'R.M Billets Reports'!D255)+1,200)),"")),IF(ISNUMBER(SEARCH("Party Name:-",'R.M Billets Reports'!D256)),TRIM('R.M Billets Reports'!F256),IF(ISNUMBER(SEARCH("Party Name-",'R.M Billets Reports'!D256)),TRIM(MID('R.M Billets Reports'!D256,SEARCH("-",'R.M Billets Reports'!D256)+1,200)),"")))="SHREE RADHE SHAKTI SPONGE AND POWER PVT. LTD.","SHREE RADHE",IF(IF(ISNUMBER(SEARCH("Party Name:-",'R.M Billets Reports'!D255)),TRIM('R.M Billets Reports'!F255),IF(ISNUMBER(SEARCH("Party Name-",'R.M Billets Reports'!D255)),TRIM(MID('R.M Billets Reports'!D255,SEARCH("-",'R.M Billets Reports'!D255)+1,200)),""))&lt;&gt;"",IF(ISNUMBER(SEARCH("Party Name:-",'R.M Billets Reports'!D255)),TRIM('R.M Billets Reports'!F255),IF(ISNUMBER(SEARCH("Party Name-",'R.M Billets Reports'!D255)),TRIM(MID('R.M Billets Reports'!D255,SEARCH("-",'R.M Billets Reports'!D255)+1,200)),"")),IF(ISNUMBER(SEARCH("Party Name:-",'R.M Billets Reports'!D256)),TRIM('R.M Billets Reports'!F256),IF(ISNUMBER(SEARCH("Party Name-",'R.M Billets Reports'!D256)),TRIM(MID('R.M Billets Reports'!D256,SEARCH("-",'R.M Billets Reports'!D256)+1,200)),"")))))),IF(ROW()=2,"",A255))</f>
      </c>
      <c r="B256">
        <f>IF(OR('R.M Billets Reports'!A255="Date-",'R.M Billets Reports'!A255="Date:-"),'R.M Billets Reports'!B255,IF(ROW()=2,"",B255))</f>
      </c>
      <c r="C256">
        <f>IF('R.M Billets Reports'!A255="V.No.",'R.M Billets Reports'!B255,IF(ROW()=2,"",C255))</f>
      </c>
      <c r="D256">
        <f>IF('R.M Billets Reports'!A255&lt;&gt;"",'R.M Billets Reports'!A255,IF(ROW()=2,"",D255))</f>
      </c>
      <c r="E256">
        <f>IF('R.M Billets Reports'!B255="","",TRIM('R.M Billets Reports'!B255))</f>
      </c>
      <c r="F256">
        <f>'R.M Billets Reports'!C255</f>
      </c>
      <c r="G256">
        <f>'R.M Billets Reports'!D255</f>
      </c>
      <c r="H256">
        <f>'R.M Billets Reports'!E255</f>
      </c>
      <c r="I256">
        <f>'R.M Billets Reports'!F255</f>
      </c>
      <c r="J256">
        <f>'R.M Billets Reports'!G255</f>
      </c>
      <c r="K256">
        <f>'R.M Billets Reports'!H255</f>
      </c>
      <c r="L256">
        <f>IF('R.M Billets Reports'!I255="","",'R.M Billets Reports'!I255)</f>
      </c>
      <c r="M256">
        <f t="shared" si="6"/>
      </c>
      <c r="N256">
        <f>IF('R.M Billets Reports'!J255="","",'R.M Billets Reports'!J255)</f>
      </c>
      <c r="O256">
        <f t="shared" si="7"/>
      </c>
      <c r="P256">
        <f>IF('R.M Billets Reports'!A255="SIZE",'R.M Billets Reports'!B255,P255)</f>
      </c>
    </row>
    <row r="257" spans="1:16" x14ac:dyDescent="0.25">
      <c r="A257">
        <f>IF(OR('R.M Billets Reports'!A256="Date-",'R.M Billets Reports'!A256="Date:-"),IF(IF(IF(ISNUMBER(SEARCH("Party Name:-",'R.M Billets Reports'!D256)),TRIM('R.M Billets Reports'!F256),IF(ISNUMBER(SEARCH("Party Name-",'R.M Billets Reports'!D256)),TRIM(MID('R.M Billets Reports'!D256,SEARCH("-",'R.M Billets Reports'!D256)+1,200)),""))&lt;&gt;"",IF(ISNUMBER(SEARCH("Party Name:-",'R.M Billets Reports'!D256)),TRIM('R.M Billets Reports'!F256),IF(ISNUMBER(SEARCH("Party Name-",'R.M Billets Reports'!D256)),TRIM(MID('R.M Billets Reports'!D256,SEARCH("-",'R.M Billets Reports'!D256)+1,200)),"")),IF(ISNUMBER(SEARCH("Party Name:-",'R.M Billets Reports'!D257)),TRIM('R.M Billets Reports'!F257),IF(ISNUMBER(SEARCH("Party Name-",'R.M Billets Reports'!D257)),TRIM(MID('R.M Billets Reports'!D257,SEARCH("-",'R.M Billets Reports'!D257)+1,200)),"")))="VRKP ISPAT PVT LTD","VRKP",IF(IF(IF(ISNUMBER(SEARCH("Party Name:-",'R.M Billets Reports'!D256)),TRIM('R.M Billets Reports'!F256),IF(ISNUMBER(SEARCH("Party Name-",'R.M Billets Reports'!D256)),TRIM(MID('R.M Billets Reports'!D256,SEARCH("-",'R.M Billets Reports'!D256)+1,200)),""))&lt;&gt;"",IF(ISNUMBER(SEARCH("Party Name:-",'R.M Billets Reports'!D256)),TRIM('R.M Billets Reports'!F256),IF(ISNUMBER(SEARCH("Party Name-",'R.M Billets Reports'!D256)),TRIM(MID('R.M Billets Reports'!D256,SEARCH("-",'R.M Billets Reports'!D256)+1,200)),"")),IF(ISNUMBER(SEARCH("Party Name:-",'R.M Billets Reports'!D257)),TRIM('R.M Billets Reports'!F257),IF(ISNUMBER(SEARCH("Party Name-",'R.M Billets Reports'!D257)),TRIM(MID('R.M Billets Reports'!D257,SEARCH("-",'R.M Billets Reports'!D257)+1,200)),"")))="SHRI RADHE","SHREE RADHE",IF(IF(IF(ISNUMBER(SEARCH("Party Name:-",'R.M Billets Reports'!D256)),TRIM('R.M Billets Reports'!F256),IF(ISNUMBER(SEARCH("Party Name-",'R.M Billets Reports'!D256)),TRIM(MID('R.M Billets Reports'!D256,SEARCH("-",'R.M Billets Reports'!D256)+1,200)),""))&lt;&gt;"",IF(ISNUMBER(SEARCH("Party Name:-",'R.M Billets Reports'!D256)),TRIM('R.M Billets Reports'!F256),IF(ISNUMBER(SEARCH("Party Name-",'R.M Billets Reports'!D256)),TRIM(MID('R.M Billets Reports'!D256,SEARCH("-",'R.M Billets Reports'!D256)+1,200)),"")),IF(ISNUMBER(SEARCH("Party Name:-",'R.M Billets Reports'!D257)),TRIM('R.M Billets Reports'!F257),IF(ISNUMBER(SEARCH("Party Name-",'R.M Billets Reports'!D257)),TRIM(MID('R.M Billets Reports'!D257,SEARCH("-",'R.M Billets Reports'!D257)+1,200)),"")))="SHREE RADHE SHAKTI SPONGE AND POWER PVT. LTD.","SHREE RADHE",IF(IF(ISNUMBER(SEARCH("Party Name:-",'R.M Billets Reports'!D256)),TRIM('R.M Billets Reports'!F256),IF(ISNUMBER(SEARCH("Party Name-",'R.M Billets Reports'!D256)),TRIM(MID('R.M Billets Reports'!D256,SEARCH("-",'R.M Billets Reports'!D256)+1,200)),""))&lt;&gt;"",IF(ISNUMBER(SEARCH("Party Name:-",'R.M Billets Reports'!D256)),TRIM('R.M Billets Reports'!F256),IF(ISNUMBER(SEARCH("Party Name-",'R.M Billets Reports'!D256)),TRIM(MID('R.M Billets Reports'!D256,SEARCH("-",'R.M Billets Reports'!D256)+1,200)),"")),IF(ISNUMBER(SEARCH("Party Name:-",'R.M Billets Reports'!D257)),TRIM('R.M Billets Reports'!F257),IF(ISNUMBER(SEARCH("Party Name-",'R.M Billets Reports'!D257)),TRIM(MID('R.M Billets Reports'!D257,SEARCH("-",'R.M Billets Reports'!D257)+1,200)),"")))))),IF(ROW()=2,"",A256))</f>
      </c>
      <c r="B257">
        <f>IF(OR('R.M Billets Reports'!A256="Date-",'R.M Billets Reports'!A256="Date:-"),'R.M Billets Reports'!B256,IF(ROW()=2,"",B256))</f>
      </c>
      <c r="C257">
        <f>IF('R.M Billets Reports'!A256="V.No.",'R.M Billets Reports'!B256,IF(ROW()=2,"",C256))</f>
      </c>
      <c r="D257">
        <f>IF('R.M Billets Reports'!A256&lt;&gt;"",'R.M Billets Reports'!A256,IF(ROW()=2,"",D256))</f>
      </c>
      <c r="E257">
        <f>IF('R.M Billets Reports'!B256="","",TRIM('R.M Billets Reports'!B256))</f>
      </c>
      <c r="F257">
        <f>'R.M Billets Reports'!C256</f>
      </c>
      <c r="G257">
        <f>'R.M Billets Reports'!D256</f>
      </c>
      <c r="H257">
        <f>'R.M Billets Reports'!E256</f>
      </c>
      <c r="I257">
        <f>'R.M Billets Reports'!F256</f>
      </c>
      <c r="J257">
        <f>'R.M Billets Reports'!G256</f>
      </c>
      <c r="K257">
        <f>'R.M Billets Reports'!H256</f>
      </c>
      <c r="L257">
        <f>IF('R.M Billets Reports'!I256="","",'R.M Billets Reports'!I256)</f>
      </c>
      <c r="M257">
        <f t="shared" si="6"/>
      </c>
      <c r="N257">
        <f>IF('R.M Billets Reports'!J256="","",'R.M Billets Reports'!J256)</f>
      </c>
      <c r="O257">
        <f t="shared" si="7"/>
      </c>
      <c r="P257">
        <f>IF('R.M Billets Reports'!A256="SIZE",'R.M Billets Reports'!B256,P256)</f>
      </c>
    </row>
    <row r="258" spans="1:16" x14ac:dyDescent="0.25">
      <c r="A258">
        <f>IF(OR('R.M Billets Reports'!A257="Date-",'R.M Billets Reports'!A257="Date:-"),IF(IF(IF(ISNUMBER(SEARCH("Party Name:-",'R.M Billets Reports'!D257)),TRIM('R.M Billets Reports'!F257),IF(ISNUMBER(SEARCH("Party Name-",'R.M Billets Reports'!D257)),TRIM(MID('R.M Billets Reports'!D257,SEARCH("-",'R.M Billets Reports'!D257)+1,200)),""))&lt;&gt;"",IF(ISNUMBER(SEARCH("Party Name:-",'R.M Billets Reports'!D257)),TRIM('R.M Billets Reports'!F257),IF(ISNUMBER(SEARCH("Party Name-",'R.M Billets Reports'!D257)),TRIM(MID('R.M Billets Reports'!D257,SEARCH("-",'R.M Billets Reports'!D257)+1,200)),"")),IF(ISNUMBER(SEARCH("Party Name:-",'R.M Billets Reports'!D258)),TRIM('R.M Billets Reports'!F258),IF(ISNUMBER(SEARCH("Party Name-",'R.M Billets Reports'!D258)),TRIM(MID('R.M Billets Reports'!D258,SEARCH("-",'R.M Billets Reports'!D258)+1,200)),"")))="VRKP ISPAT PVT LTD","VRKP",IF(IF(IF(ISNUMBER(SEARCH("Party Name:-",'R.M Billets Reports'!D257)),TRIM('R.M Billets Reports'!F257),IF(ISNUMBER(SEARCH("Party Name-",'R.M Billets Reports'!D257)),TRIM(MID('R.M Billets Reports'!D257,SEARCH("-",'R.M Billets Reports'!D257)+1,200)),""))&lt;&gt;"",IF(ISNUMBER(SEARCH("Party Name:-",'R.M Billets Reports'!D257)),TRIM('R.M Billets Reports'!F257),IF(ISNUMBER(SEARCH("Party Name-",'R.M Billets Reports'!D257)),TRIM(MID('R.M Billets Reports'!D257,SEARCH("-",'R.M Billets Reports'!D257)+1,200)),"")),IF(ISNUMBER(SEARCH("Party Name:-",'R.M Billets Reports'!D258)),TRIM('R.M Billets Reports'!F258),IF(ISNUMBER(SEARCH("Party Name-",'R.M Billets Reports'!D258)),TRIM(MID('R.M Billets Reports'!D258,SEARCH("-",'R.M Billets Reports'!D258)+1,200)),"")))="SHRI RADHE","SHREE RADHE",IF(IF(IF(ISNUMBER(SEARCH("Party Name:-",'R.M Billets Reports'!D257)),TRIM('R.M Billets Reports'!F257),IF(ISNUMBER(SEARCH("Party Name-",'R.M Billets Reports'!D257)),TRIM(MID('R.M Billets Reports'!D257,SEARCH("-",'R.M Billets Reports'!D257)+1,200)),""))&lt;&gt;"",IF(ISNUMBER(SEARCH("Party Name:-",'R.M Billets Reports'!D257)),TRIM('R.M Billets Reports'!F257),IF(ISNUMBER(SEARCH("Party Name-",'R.M Billets Reports'!D257)),TRIM(MID('R.M Billets Reports'!D257,SEARCH("-",'R.M Billets Reports'!D257)+1,200)),"")),IF(ISNUMBER(SEARCH("Party Name:-",'R.M Billets Reports'!D258)),TRIM('R.M Billets Reports'!F258),IF(ISNUMBER(SEARCH("Party Name-",'R.M Billets Reports'!D258)),TRIM(MID('R.M Billets Reports'!D258,SEARCH("-",'R.M Billets Reports'!D258)+1,200)),"")))="SHREE RADHE SHAKTI SPONGE AND POWER PVT. LTD.","SHREE RADHE",IF(IF(ISNUMBER(SEARCH("Party Name:-",'R.M Billets Reports'!D257)),TRIM('R.M Billets Reports'!F257),IF(ISNUMBER(SEARCH("Party Name-",'R.M Billets Reports'!D257)),TRIM(MID('R.M Billets Reports'!D257,SEARCH("-",'R.M Billets Reports'!D257)+1,200)),""))&lt;&gt;"",IF(ISNUMBER(SEARCH("Party Name:-",'R.M Billets Reports'!D257)),TRIM('R.M Billets Reports'!F257),IF(ISNUMBER(SEARCH("Party Name-",'R.M Billets Reports'!D257)),TRIM(MID('R.M Billets Reports'!D257,SEARCH("-",'R.M Billets Reports'!D257)+1,200)),"")),IF(ISNUMBER(SEARCH("Party Name:-",'R.M Billets Reports'!D258)),TRIM('R.M Billets Reports'!F258),IF(ISNUMBER(SEARCH("Party Name-",'R.M Billets Reports'!D258)),TRIM(MID('R.M Billets Reports'!D258,SEARCH("-",'R.M Billets Reports'!D258)+1,200)),"")))))),IF(ROW()=2,"",A257))</f>
      </c>
      <c r="B258">
        <f>IF(OR('R.M Billets Reports'!A257="Date-",'R.M Billets Reports'!A257="Date:-"),'R.M Billets Reports'!B257,IF(ROW()=2,"",B257))</f>
      </c>
      <c r="C258">
        <f>IF('R.M Billets Reports'!A257="V.No.",'R.M Billets Reports'!B257,IF(ROW()=2,"",C257))</f>
      </c>
      <c r="D258">
        <f>IF('R.M Billets Reports'!A257&lt;&gt;"",'R.M Billets Reports'!A257,IF(ROW()=2,"",D257))</f>
      </c>
      <c r="E258">
        <f>IF('R.M Billets Reports'!B257="","",TRIM('R.M Billets Reports'!B257))</f>
      </c>
      <c r="F258">
        <f>'R.M Billets Reports'!C257</f>
      </c>
      <c r="G258">
        <f>'R.M Billets Reports'!D257</f>
      </c>
      <c r="H258">
        <f>'R.M Billets Reports'!E257</f>
      </c>
      <c r="I258">
        <f>'R.M Billets Reports'!F257</f>
      </c>
      <c r="J258">
        <f>'R.M Billets Reports'!G257</f>
      </c>
      <c r="K258">
        <f>'R.M Billets Reports'!H257</f>
      </c>
      <c r="L258">
        <f>IF('R.M Billets Reports'!I257="","",'R.M Billets Reports'!I257)</f>
      </c>
      <c r="M258">
        <f t="shared" si="6"/>
      </c>
      <c r="N258">
        <f>IF('R.M Billets Reports'!J257="","",'R.M Billets Reports'!J257)</f>
      </c>
      <c r="O258">
        <f t="shared" si="7"/>
      </c>
      <c r="P258">
        <f>IF('R.M Billets Reports'!A257="SIZE",'R.M Billets Reports'!B257,P257)</f>
      </c>
    </row>
    <row r="259" spans="1:16" x14ac:dyDescent="0.25">
      <c r="A259">
        <f>IF(OR('R.M Billets Reports'!A258="Date-",'R.M Billets Reports'!A258="Date:-"),IF(IF(IF(ISNUMBER(SEARCH("Party Name:-",'R.M Billets Reports'!D258)),TRIM('R.M Billets Reports'!F258),IF(ISNUMBER(SEARCH("Party Name-",'R.M Billets Reports'!D258)),TRIM(MID('R.M Billets Reports'!D258,SEARCH("-",'R.M Billets Reports'!D258)+1,200)),""))&lt;&gt;"",IF(ISNUMBER(SEARCH("Party Name:-",'R.M Billets Reports'!D258)),TRIM('R.M Billets Reports'!F258),IF(ISNUMBER(SEARCH("Party Name-",'R.M Billets Reports'!D258)),TRIM(MID('R.M Billets Reports'!D258,SEARCH("-",'R.M Billets Reports'!D258)+1,200)),"")),IF(ISNUMBER(SEARCH("Party Name:-",'R.M Billets Reports'!D259)),TRIM('R.M Billets Reports'!F259),IF(ISNUMBER(SEARCH("Party Name-",'R.M Billets Reports'!D259)),TRIM(MID('R.M Billets Reports'!D259,SEARCH("-",'R.M Billets Reports'!D259)+1,200)),"")))="VRKP ISPAT PVT LTD","VRKP",IF(IF(IF(ISNUMBER(SEARCH("Party Name:-",'R.M Billets Reports'!D258)),TRIM('R.M Billets Reports'!F258),IF(ISNUMBER(SEARCH("Party Name-",'R.M Billets Reports'!D258)),TRIM(MID('R.M Billets Reports'!D258,SEARCH("-",'R.M Billets Reports'!D258)+1,200)),""))&lt;&gt;"",IF(ISNUMBER(SEARCH("Party Name:-",'R.M Billets Reports'!D258)),TRIM('R.M Billets Reports'!F258),IF(ISNUMBER(SEARCH("Party Name-",'R.M Billets Reports'!D258)),TRIM(MID('R.M Billets Reports'!D258,SEARCH("-",'R.M Billets Reports'!D258)+1,200)),"")),IF(ISNUMBER(SEARCH("Party Name:-",'R.M Billets Reports'!D259)),TRIM('R.M Billets Reports'!F259),IF(ISNUMBER(SEARCH("Party Name-",'R.M Billets Reports'!D259)),TRIM(MID('R.M Billets Reports'!D259,SEARCH("-",'R.M Billets Reports'!D259)+1,200)),"")))="SHRI RADHE","SHREE RADHE",IF(IF(IF(ISNUMBER(SEARCH("Party Name:-",'R.M Billets Reports'!D258)),TRIM('R.M Billets Reports'!F258),IF(ISNUMBER(SEARCH("Party Name-",'R.M Billets Reports'!D258)),TRIM(MID('R.M Billets Reports'!D258,SEARCH("-",'R.M Billets Reports'!D258)+1,200)),""))&lt;&gt;"",IF(ISNUMBER(SEARCH("Party Name:-",'R.M Billets Reports'!D258)),TRIM('R.M Billets Reports'!F258),IF(ISNUMBER(SEARCH("Party Name-",'R.M Billets Reports'!D258)),TRIM(MID('R.M Billets Reports'!D258,SEARCH("-",'R.M Billets Reports'!D258)+1,200)),"")),IF(ISNUMBER(SEARCH("Party Name:-",'R.M Billets Reports'!D259)),TRIM('R.M Billets Reports'!F259),IF(ISNUMBER(SEARCH("Party Name-",'R.M Billets Reports'!D259)),TRIM(MID('R.M Billets Reports'!D259,SEARCH("-",'R.M Billets Reports'!D259)+1,200)),"")))="SHREE RADHE SHAKTI SPONGE AND POWER PVT. LTD.","SHREE RADHE",IF(IF(ISNUMBER(SEARCH("Party Name:-",'R.M Billets Reports'!D258)),TRIM('R.M Billets Reports'!F258),IF(ISNUMBER(SEARCH("Party Name-",'R.M Billets Reports'!D258)),TRIM(MID('R.M Billets Reports'!D258,SEARCH("-",'R.M Billets Reports'!D258)+1,200)),""))&lt;&gt;"",IF(ISNUMBER(SEARCH("Party Name:-",'R.M Billets Reports'!D258)),TRIM('R.M Billets Reports'!F258),IF(ISNUMBER(SEARCH("Party Name-",'R.M Billets Reports'!D258)),TRIM(MID('R.M Billets Reports'!D258,SEARCH("-",'R.M Billets Reports'!D258)+1,200)),"")),IF(ISNUMBER(SEARCH("Party Name:-",'R.M Billets Reports'!D259)),TRIM('R.M Billets Reports'!F259),IF(ISNUMBER(SEARCH("Party Name-",'R.M Billets Reports'!D259)),TRIM(MID('R.M Billets Reports'!D259,SEARCH("-",'R.M Billets Reports'!D259)+1,200)),"")))))),IF(ROW()=2,"",A258))</f>
      </c>
      <c r="B259">
        <f>IF(OR('R.M Billets Reports'!A258="Date-",'R.M Billets Reports'!A258="Date:-"),'R.M Billets Reports'!B258,IF(ROW()=2,"",B258))</f>
      </c>
      <c r="C259">
        <f>IF('R.M Billets Reports'!A258="V.No.",'R.M Billets Reports'!B258,IF(ROW()=2,"",C258))</f>
      </c>
      <c r="D259">
        <f>IF('R.M Billets Reports'!A258&lt;&gt;"",'R.M Billets Reports'!A258,IF(ROW()=2,"",D258))</f>
      </c>
      <c r="E259">
        <f>IF('R.M Billets Reports'!B258="","",TRIM('R.M Billets Reports'!B258))</f>
      </c>
      <c r="F259">
        <f>'R.M Billets Reports'!C258</f>
      </c>
      <c r="G259">
        <f>'R.M Billets Reports'!D258</f>
      </c>
      <c r="H259">
        <f>'R.M Billets Reports'!E258</f>
      </c>
      <c r="I259">
        <f>'R.M Billets Reports'!F258</f>
      </c>
      <c r="J259">
        <f>'R.M Billets Reports'!G258</f>
      </c>
      <c r="K259">
        <f>'R.M Billets Reports'!H258</f>
      </c>
      <c r="L259">
        <f>IF('R.M Billets Reports'!I258="","",'R.M Billets Reports'!I258)</f>
      </c>
      <c r="M259">
        <f t="shared" ref="M259:M322" si="8">IF(L259&lt;&gt;"",L259,IF(D259=D258,M258,""))</f>
      </c>
      <c r="N259">
        <f>IF('R.M Billets Reports'!J258="","",'R.M Billets Reports'!J258)</f>
      </c>
      <c r="O259">
        <f t="shared" ref="O259:O322" si="9">IF(N259&lt;&gt;"",N259,IF(D259=D258,O258,""))</f>
      </c>
      <c r="P259">
        <f>IF('R.M Billets Reports'!A258="SIZE",'R.M Billets Reports'!B258,P258)</f>
      </c>
    </row>
    <row r="260" spans="1:16" x14ac:dyDescent="0.25">
      <c r="A260">
        <f>IF(OR('R.M Billets Reports'!A259="Date-",'R.M Billets Reports'!A259="Date:-"),IF(IF(IF(ISNUMBER(SEARCH("Party Name:-",'R.M Billets Reports'!D259)),TRIM('R.M Billets Reports'!F259),IF(ISNUMBER(SEARCH("Party Name-",'R.M Billets Reports'!D259)),TRIM(MID('R.M Billets Reports'!D259,SEARCH("-",'R.M Billets Reports'!D259)+1,200)),""))&lt;&gt;"",IF(ISNUMBER(SEARCH("Party Name:-",'R.M Billets Reports'!D259)),TRIM('R.M Billets Reports'!F259),IF(ISNUMBER(SEARCH("Party Name-",'R.M Billets Reports'!D259)),TRIM(MID('R.M Billets Reports'!D259,SEARCH("-",'R.M Billets Reports'!D259)+1,200)),"")),IF(ISNUMBER(SEARCH("Party Name:-",'R.M Billets Reports'!D260)),TRIM('R.M Billets Reports'!F260),IF(ISNUMBER(SEARCH("Party Name-",'R.M Billets Reports'!D260)),TRIM(MID('R.M Billets Reports'!D260,SEARCH("-",'R.M Billets Reports'!D260)+1,200)),"")))="VRKP ISPAT PVT LTD","VRKP",IF(IF(IF(ISNUMBER(SEARCH("Party Name:-",'R.M Billets Reports'!D259)),TRIM('R.M Billets Reports'!F259),IF(ISNUMBER(SEARCH("Party Name-",'R.M Billets Reports'!D259)),TRIM(MID('R.M Billets Reports'!D259,SEARCH("-",'R.M Billets Reports'!D259)+1,200)),""))&lt;&gt;"",IF(ISNUMBER(SEARCH("Party Name:-",'R.M Billets Reports'!D259)),TRIM('R.M Billets Reports'!F259),IF(ISNUMBER(SEARCH("Party Name-",'R.M Billets Reports'!D259)),TRIM(MID('R.M Billets Reports'!D259,SEARCH("-",'R.M Billets Reports'!D259)+1,200)),"")),IF(ISNUMBER(SEARCH("Party Name:-",'R.M Billets Reports'!D260)),TRIM('R.M Billets Reports'!F260),IF(ISNUMBER(SEARCH("Party Name-",'R.M Billets Reports'!D260)),TRIM(MID('R.M Billets Reports'!D260,SEARCH("-",'R.M Billets Reports'!D260)+1,200)),"")))="SHRI RADHE","SHREE RADHE",IF(IF(IF(ISNUMBER(SEARCH("Party Name:-",'R.M Billets Reports'!D259)),TRIM('R.M Billets Reports'!F259),IF(ISNUMBER(SEARCH("Party Name-",'R.M Billets Reports'!D259)),TRIM(MID('R.M Billets Reports'!D259,SEARCH("-",'R.M Billets Reports'!D259)+1,200)),""))&lt;&gt;"",IF(ISNUMBER(SEARCH("Party Name:-",'R.M Billets Reports'!D259)),TRIM('R.M Billets Reports'!F259),IF(ISNUMBER(SEARCH("Party Name-",'R.M Billets Reports'!D259)),TRIM(MID('R.M Billets Reports'!D259,SEARCH("-",'R.M Billets Reports'!D259)+1,200)),"")),IF(ISNUMBER(SEARCH("Party Name:-",'R.M Billets Reports'!D260)),TRIM('R.M Billets Reports'!F260),IF(ISNUMBER(SEARCH("Party Name-",'R.M Billets Reports'!D260)),TRIM(MID('R.M Billets Reports'!D260,SEARCH("-",'R.M Billets Reports'!D260)+1,200)),"")))="SHREE RADHE SHAKTI SPONGE AND POWER PVT. LTD.","SHREE RADHE",IF(IF(ISNUMBER(SEARCH("Party Name:-",'R.M Billets Reports'!D259)),TRIM('R.M Billets Reports'!F259),IF(ISNUMBER(SEARCH("Party Name-",'R.M Billets Reports'!D259)),TRIM(MID('R.M Billets Reports'!D259,SEARCH("-",'R.M Billets Reports'!D259)+1,200)),""))&lt;&gt;"",IF(ISNUMBER(SEARCH("Party Name:-",'R.M Billets Reports'!D259)),TRIM('R.M Billets Reports'!F259),IF(ISNUMBER(SEARCH("Party Name-",'R.M Billets Reports'!D259)),TRIM(MID('R.M Billets Reports'!D259,SEARCH("-",'R.M Billets Reports'!D259)+1,200)),"")),IF(ISNUMBER(SEARCH("Party Name:-",'R.M Billets Reports'!D260)),TRIM('R.M Billets Reports'!F260),IF(ISNUMBER(SEARCH("Party Name-",'R.M Billets Reports'!D260)),TRIM(MID('R.M Billets Reports'!D260,SEARCH("-",'R.M Billets Reports'!D260)+1,200)),"")))))),IF(ROW()=2,"",A259))</f>
      </c>
      <c r="B260">
        <f>IF(OR('R.M Billets Reports'!A259="Date-",'R.M Billets Reports'!A259="Date:-"),'R.M Billets Reports'!B259,IF(ROW()=2,"",B259))</f>
      </c>
      <c r="C260">
        <f>IF('R.M Billets Reports'!A259="V.No.",'R.M Billets Reports'!B259,IF(ROW()=2,"",C259))</f>
      </c>
      <c r="D260">
        <f>IF('R.M Billets Reports'!A259&lt;&gt;"",'R.M Billets Reports'!A259,IF(ROW()=2,"",D259))</f>
      </c>
      <c r="E260">
        <f>IF('R.M Billets Reports'!B259="","",TRIM('R.M Billets Reports'!B259))</f>
      </c>
      <c r="F260">
        <f>'R.M Billets Reports'!C259</f>
      </c>
      <c r="G260">
        <f>'R.M Billets Reports'!D259</f>
      </c>
      <c r="H260">
        <f>'R.M Billets Reports'!E259</f>
      </c>
      <c r="I260">
        <f>'R.M Billets Reports'!F259</f>
      </c>
      <c r="J260">
        <f>'R.M Billets Reports'!G259</f>
      </c>
      <c r="K260">
        <f>'R.M Billets Reports'!H259</f>
      </c>
      <c r="L260">
        <f>IF('R.M Billets Reports'!I259="","",'R.M Billets Reports'!I259)</f>
      </c>
      <c r="M260">
        <f t="shared" si="8"/>
      </c>
      <c r="N260">
        <f>IF('R.M Billets Reports'!J259="","",'R.M Billets Reports'!J259)</f>
      </c>
      <c r="O260">
        <f t="shared" si="9"/>
      </c>
      <c r="P260">
        <f>IF('R.M Billets Reports'!A259="SIZE",'R.M Billets Reports'!B259,P259)</f>
      </c>
    </row>
    <row r="261" spans="1:16" x14ac:dyDescent="0.25">
      <c r="A261">
        <f>IF(OR('R.M Billets Reports'!A260="Date-",'R.M Billets Reports'!A260="Date:-"),IF(IF(IF(ISNUMBER(SEARCH("Party Name:-",'R.M Billets Reports'!D260)),TRIM('R.M Billets Reports'!F260),IF(ISNUMBER(SEARCH("Party Name-",'R.M Billets Reports'!D260)),TRIM(MID('R.M Billets Reports'!D260,SEARCH("-",'R.M Billets Reports'!D260)+1,200)),""))&lt;&gt;"",IF(ISNUMBER(SEARCH("Party Name:-",'R.M Billets Reports'!D260)),TRIM('R.M Billets Reports'!F260),IF(ISNUMBER(SEARCH("Party Name-",'R.M Billets Reports'!D260)),TRIM(MID('R.M Billets Reports'!D260,SEARCH("-",'R.M Billets Reports'!D260)+1,200)),"")),IF(ISNUMBER(SEARCH("Party Name:-",'R.M Billets Reports'!D261)),TRIM('R.M Billets Reports'!F261),IF(ISNUMBER(SEARCH("Party Name-",'R.M Billets Reports'!D261)),TRIM(MID('R.M Billets Reports'!D261,SEARCH("-",'R.M Billets Reports'!D261)+1,200)),"")))="VRKP ISPAT PVT LTD","VRKP",IF(IF(IF(ISNUMBER(SEARCH("Party Name:-",'R.M Billets Reports'!D260)),TRIM('R.M Billets Reports'!F260),IF(ISNUMBER(SEARCH("Party Name-",'R.M Billets Reports'!D260)),TRIM(MID('R.M Billets Reports'!D260,SEARCH("-",'R.M Billets Reports'!D260)+1,200)),""))&lt;&gt;"",IF(ISNUMBER(SEARCH("Party Name:-",'R.M Billets Reports'!D260)),TRIM('R.M Billets Reports'!F260),IF(ISNUMBER(SEARCH("Party Name-",'R.M Billets Reports'!D260)),TRIM(MID('R.M Billets Reports'!D260,SEARCH("-",'R.M Billets Reports'!D260)+1,200)),"")),IF(ISNUMBER(SEARCH("Party Name:-",'R.M Billets Reports'!D261)),TRIM('R.M Billets Reports'!F261),IF(ISNUMBER(SEARCH("Party Name-",'R.M Billets Reports'!D261)),TRIM(MID('R.M Billets Reports'!D261,SEARCH("-",'R.M Billets Reports'!D261)+1,200)),"")))="SHRI RADHE","SHREE RADHE",IF(IF(IF(ISNUMBER(SEARCH("Party Name:-",'R.M Billets Reports'!D260)),TRIM('R.M Billets Reports'!F260),IF(ISNUMBER(SEARCH("Party Name-",'R.M Billets Reports'!D260)),TRIM(MID('R.M Billets Reports'!D260,SEARCH("-",'R.M Billets Reports'!D260)+1,200)),""))&lt;&gt;"",IF(ISNUMBER(SEARCH("Party Name:-",'R.M Billets Reports'!D260)),TRIM('R.M Billets Reports'!F260),IF(ISNUMBER(SEARCH("Party Name-",'R.M Billets Reports'!D260)),TRIM(MID('R.M Billets Reports'!D260,SEARCH("-",'R.M Billets Reports'!D260)+1,200)),"")),IF(ISNUMBER(SEARCH("Party Name:-",'R.M Billets Reports'!D261)),TRIM('R.M Billets Reports'!F261),IF(ISNUMBER(SEARCH("Party Name-",'R.M Billets Reports'!D261)),TRIM(MID('R.M Billets Reports'!D261,SEARCH("-",'R.M Billets Reports'!D261)+1,200)),"")))="SHREE RADHE SHAKTI SPONGE AND POWER PVT. LTD.","SHREE RADHE",IF(IF(ISNUMBER(SEARCH("Party Name:-",'R.M Billets Reports'!D260)),TRIM('R.M Billets Reports'!F260),IF(ISNUMBER(SEARCH("Party Name-",'R.M Billets Reports'!D260)),TRIM(MID('R.M Billets Reports'!D260,SEARCH("-",'R.M Billets Reports'!D260)+1,200)),""))&lt;&gt;"",IF(ISNUMBER(SEARCH("Party Name:-",'R.M Billets Reports'!D260)),TRIM('R.M Billets Reports'!F260),IF(ISNUMBER(SEARCH("Party Name-",'R.M Billets Reports'!D260)),TRIM(MID('R.M Billets Reports'!D260,SEARCH("-",'R.M Billets Reports'!D260)+1,200)),"")),IF(ISNUMBER(SEARCH("Party Name:-",'R.M Billets Reports'!D261)),TRIM('R.M Billets Reports'!F261),IF(ISNUMBER(SEARCH("Party Name-",'R.M Billets Reports'!D261)),TRIM(MID('R.M Billets Reports'!D261,SEARCH("-",'R.M Billets Reports'!D261)+1,200)),"")))))),IF(ROW()=2,"",A260))</f>
      </c>
      <c r="B261">
        <f>IF(OR('R.M Billets Reports'!A260="Date-",'R.M Billets Reports'!A260="Date:-"),'R.M Billets Reports'!B260,IF(ROW()=2,"",B260))</f>
      </c>
      <c r="C261">
        <f>IF('R.M Billets Reports'!A260="V.No.",'R.M Billets Reports'!B260,IF(ROW()=2,"",C260))</f>
      </c>
      <c r="D261">
        <f>IF('R.M Billets Reports'!A260&lt;&gt;"",'R.M Billets Reports'!A260,IF(ROW()=2,"",D260))</f>
      </c>
      <c r="E261">
        <f>IF('R.M Billets Reports'!B260="","",TRIM('R.M Billets Reports'!B260))</f>
      </c>
      <c r="F261">
        <f>'R.M Billets Reports'!C260</f>
      </c>
      <c r="G261">
        <f>'R.M Billets Reports'!D260</f>
      </c>
      <c r="H261">
        <f>'R.M Billets Reports'!E260</f>
      </c>
      <c r="I261">
        <f>'R.M Billets Reports'!F260</f>
      </c>
      <c r="J261">
        <f>'R.M Billets Reports'!G260</f>
      </c>
      <c r="K261">
        <f>'R.M Billets Reports'!H260</f>
      </c>
      <c r="L261">
        <f>IF('R.M Billets Reports'!I260="","",'R.M Billets Reports'!I260)</f>
      </c>
      <c r="M261">
        <f t="shared" si="8"/>
      </c>
      <c r="N261">
        <f>IF('R.M Billets Reports'!J260="","",'R.M Billets Reports'!J260)</f>
      </c>
      <c r="O261">
        <f t="shared" si="9"/>
      </c>
      <c r="P261">
        <f>IF('R.M Billets Reports'!A260="SIZE",'R.M Billets Reports'!B260,P260)</f>
      </c>
    </row>
    <row r="262" spans="1:16" x14ac:dyDescent="0.25">
      <c r="A262">
        <f>IF(OR('R.M Billets Reports'!A261="Date-",'R.M Billets Reports'!A261="Date:-"),IF(IF(IF(ISNUMBER(SEARCH("Party Name:-",'R.M Billets Reports'!D261)),TRIM('R.M Billets Reports'!F261),IF(ISNUMBER(SEARCH("Party Name-",'R.M Billets Reports'!D261)),TRIM(MID('R.M Billets Reports'!D261,SEARCH("-",'R.M Billets Reports'!D261)+1,200)),""))&lt;&gt;"",IF(ISNUMBER(SEARCH("Party Name:-",'R.M Billets Reports'!D261)),TRIM('R.M Billets Reports'!F261),IF(ISNUMBER(SEARCH("Party Name-",'R.M Billets Reports'!D261)),TRIM(MID('R.M Billets Reports'!D261,SEARCH("-",'R.M Billets Reports'!D261)+1,200)),"")),IF(ISNUMBER(SEARCH("Party Name:-",'R.M Billets Reports'!D262)),TRIM('R.M Billets Reports'!F262),IF(ISNUMBER(SEARCH("Party Name-",'R.M Billets Reports'!D262)),TRIM(MID('R.M Billets Reports'!D262,SEARCH("-",'R.M Billets Reports'!D262)+1,200)),"")))="VRKP ISPAT PVT LTD","VRKP",IF(IF(IF(ISNUMBER(SEARCH("Party Name:-",'R.M Billets Reports'!D261)),TRIM('R.M Billets Reports'!F261),IF(ISNUMBER(SEARCH("Party Name-",'R.M Billets Reports'!D261)),TRIM(MID('R.M Billets Reports'!D261,SEARCH("-",'R.M Billets Reports'!D261)+1,200)),""))&lt;&gt;"",IF(ISNUMBER(SEARCH("Party Name:-",'R.M Billets Reports'!D261)),TRIM('R.M Billets Reports'!F261),IF(ISNUMBER(SEARCH("Party Name-",'R.M Billets Reports'!D261)),TRIM(MID('R.M Billets Reports'!D261,SEARCH("-",'R.M Billets Reports'!D261)+1,200)),"")),IF(ISNUMBER(SEARCH("Party Name:-",'R.M Billets Reports'!D262)),TRIM('R.M Billets Reports'!F262),IF(ISNUMBER(SEARCH("Party Name-",'R.M Billets Reports'!D262)),TRIM(MID('R.M Billets Reports'!D262,SEARCH("-",'R.M Billets Reports'!D262)+1,200)),"")))="SHRI RADHE","SHREE RADHE",IF(IF(IF(ISNUMBER(SEARCH("Party Name:-",'R.M Billets Reports'!D261)),TRIM('R.M Billets Reports'!F261),IF(ISNUMBER(SEARCH("Party Name-",'R.M Billets Reports'!D261)),TRIM(MID('R.M Billets Reports'!D261,SEARCH("-",'R.M Billets Reports'!D261)+1,200)),""))&lt;&gt;"",IF(ISNUMBER(SEARCH("Party Name:-",'R.M Billets Reports'!D261)),TRIM('R.M Billets Reports'!F261),IF(ISNUMBER(SEARCH("Party Name-",'R.M Billets Reports'!D261)),TRIM(MID('R.M Billets Reports'!D261,SEARCH("-",'R.M Billets Reports'!D261)+1,200)),"")),IF(ISNUMBER(SEARCH("Party Name:-",'R.M Billets Reports'!D262)),TRIM('R.M Billets Reports'!F262),IF(ISNUMBER(SEARCH("Party Name-",'R.M Billets Reports'!D262)),TRIM(MID('R.M Billets Reports'!D262,SEARCH("-",'R.M Billets Reports'!D262)+1,200)),"")))="SHREE RADHE SHAKTI SPONGE AND POWER PVT. LTD.","SHREE RADHE",IF(IF(ISNUMBER(SEARCH("Party Name:-",'R.M Billets Reports'!D261)),TRIM('R.M Billets Reports'!F261),IF(ISNUMBER(SEARCH("Party Name-",'R.M Billets Reports'!D261)),TRIM(MID('R.M Billets Reports'!D261,SEARCH("-",'R.M Billets Reports'!D261)+1,200)),""))&lt;&gt;"",IF(ISNUMBER(SEARCH("Party Name:-",'R.M Billets Reports'!D261)),TRIM('R.M Billets Reports'!F261),IF(ISNUMBER(SEARCH("Party Name-",'R.M Billets Reports'!D261)),TRIM(MID('R.M Billets Reports'!D261,SEARCH("-",'R.M Billets Reports'!D261)+1,200)),"")),IF(ISNUMBER(SEARCH("Party Name:-",'R.M Billets Reports'!D262)),TRIM('R.M Billets Reports'!F262),IF(ISNUMBER(SEARCH("Party Name-",'R.M Billets Reports'!D262)),TRIM(MID('R.M Billets Reports'!D262,SEARCH("-",'R.M Billets Reports'!D262)+1,200)),"")))))),IF(ROW()=2,"",A261))</f>
      </c>
      <c r="B262">
        <f>IF(OR('R.M Billets Reports'!A261="Date-",'R.M Billets Reports'!A261="Date:-"),'R.M Billets Reports'!B261,IF(ROW()=2,"",B261))</f>
      </c>
      <c r="C262">
        <f>IF('R.M Billets Reports'!A261="V.No.",'R.M Billets Reports'!B261,IF(ROW()=2,"",C261))</f>
      </c>
      <c r="D262">
        <f>IF('R.M Billets Reports'!A261&lt;&gt;"",'R.M Billets Reports'!A261,IF(ROW()=2,"",D261))</f>
      </c>
      <c r="E262">
        <f>IF('R.M Billets Reports'!B261="","",TRIM('R.M Billets Reports'!B261))</f>
      </c>
      <c r="F262">
        <f>'R.M Billets Reports'!C261</f>
      </c>
      <c r="G262">
        <f>'R.M Billets Reports'!D261</f>
      </c>
      <c r="H262">
        <f>'R.M Billets Reports'!E261</f>
      </c>
      <c r="I262">
        <f>'R.M Billets Reports'!F261</f>
      </c>
      <c r="J262">
        <f>'R.M Billets Reports'!G261</f>
      </c>
      <c r="K262">
        <f>'R.M Billets Reports'!H261</f>
      </c>
      <c r="L262">
        <f>IF('R.M Billets Reports'!I261="","",'R.M Billets Reports'!I261)</f>
      </c>
      <c r="M262">
        <f t="shared" si="8"/>
      </c>
      <c r="N262">
        <f>IF('R.M Billets Reports'!J261="","",'R.M Billets Reports'!J261)</f>
      </c>
      <c r="O262">
        <f t="shared" si="9"/>
      </c>
      <c r="P262">
        <f>IF('R.M Billets Reports'!A261="SIZE",'R.M Billets Reports'!B261,P261)</f>
      </c>
    </row>
    <row r="263" spans="1:16" x14ac:dyDescent="0.25">
      <c r="A263">
        <f>IF(OR('R.M Billets Reports'!A262="Date-",'R.M Billets Reports'!A262="Date:-"),IF(IF(IF(ISNUMBER(SEARCH("Party Name:-",'R.M Billets Reports'!D262)),TRIM('R.M Billets Reports'!F262),IF(ISNUMBER(SEARCH("Party Name-",'R.M Billets Reports'!D262)),TRIM(MID('R.M Billets Reports'!D262,SEARCH("-",'R.M Billets Reports'!D262)+1,200)),""))&lt;&gt;"",IF(ISNUMBER(SEARCH("Party Name:-",'R.M Billets Reports'!D262)),TRIM('R.M Billets Reports'!F262),IF(ISNUMBER(SEARCH("Party Name-",'R.M Billets Reports'!D262)),TRIM(MID('R.M Billets Reports'!D262,SEARCH("-",'R.M Billets Reports'!D262)+1,200)),"")),IF(ISNUMBER(SEARCH("Party Name:-",'R.M Billets Reports'!D263)),TRIM('R.M Billets Reports'!F263),IF(ISNUMBER(SEARCH("Party Name-",'R.M Billets Reports'!D263)),TRIM(MID('R.M Billets Reports'!D263,SEARCH("-",'R.M Billets Reports'!D263)+1,200)),"")))="VRKP ISPAT PVT LTD","VRKP",IF(IF(IF(ISNUMBER(SEARCH("Party Name:-",'R.M Billets Reports'!D262)),TRIM('R.M Billets Reports'!F262),IF(ISNUMBER(SEARCH("Party Name-",'R.M Billets Reports'!D262)),TRIM(MID('R.M Billets Reports'!D262,SEARCH("-",'R.M Billets Reports'!D262)+1,200)),""))&lt;&gt;"",IF(ISNUMBER(SEARCH("Party Name:-",'R.M Billets Reports'!D262)),TRIM('R.M Billets Reports'!F262),IF(ISNUMBER(SEARCH("Party Name-",'R.M Billets Reports'!D262)),TRIM(MID('R.M Billets Reports'!D262,SEARCH("-",'R.M Billets Reports'!D262)+1,200)),"")),IF(ISNUMBER(SEARCH("Party Name:-",'R.M Billets Reports'!D263)),TRIM('R.M Billets Reports'!F263),IF(ISNUMBER(SEARCH("Party Name-",'R.M Billets Reports'!D263)),TRIM(MID('R.M Billets Reports'!D263,SEARCH("-",'R.M Billets Reports'!D263)+1,200)),"")))="SHRI RADHE","SHREE RADHE",IF(IF(IF(ISNUMBER(SEARCH("Party Name:-",'R.M Billets Reports'!D262)),TRIM('R.M Billets Reports'!F262),IF(ISNUMBER(SEARCH("Party Name-",'R.M Billets Reports'!D262)),TRIM(MID('R.M Billets Reports'!D262,SEARCH("-",'R.M Billets Reports'!D262)+1,200)),""))&lt;&gt;"",IF(ISNUMBER(SEARCH("Party Name:-",'R.M Billets Reports'!D262)),TRIM('R.M Billets Reports'!F262),IF(ISNUMBER(SEARCH("Party Name-",'R.M Billets Reports'!D262)),TRIM(MID('R.M Billets Reports'!D262,SEARCH("-",'R.M Billets Reports'!D262)+1,200)),"")),IF(ISNUMBER(SEARCH("Party Name:-",'R.M Billets Reports'!D263)),TRIM('R.M Billets Reports'!F263),IF(ISNUMBER(SEARCH("Party Name-",'R.M Billets Reports'!D263)),TRIM(MID('R.M Billets Reports'!D263,SEARCH("-",'R.M Billets Reports'!D263)+1,200)),"")))="SHREE RADHE SHAKTI SPONGE AND POWER PVT. LTD.","SHREE RADHE",IF(IF(ISNUMBER(SEARCH("Party Name:-",'R.M Billets Reports'!D262)),TRIM('R.M Billets Reports'!F262),IF(ISNUMBER(SEARCH("Party Name-",'R.M Billets Reports'!D262)),TRIM(MID('R.M Billets Reports'!D262,SEARCH("-",'R.M Billets Reports'!D262)+1,200)),""))&lt;&gt;"",IF(ISNUMBER(SEARCH("Party Name:-",'R.M Billets Reports'!D262)),TRIM('R.M Billets Reports'!F262),IF(ISNUMBER(SEARCH("Party Name-",'R.M Billets Reports'!D262)),TRIM(MID('R.M Billets Reports'!D262,SEARCH("-",'R.M Billets Reports'!D262)+1,200)),"")),IF(ISNUMBER(SEARCH("Party Name:-",'R.M Billets Reports'!D263)),TRIM('R.M Billets Reports'!F263),IF(ISNUMBER(SEARCH("Party Name-",'R.M Billets Reports'!D263)),TRIM(MID('R.M Billets Reports'!D263,SEARCH("-",'R.M Billets Reports'!D263)+1,200)),"")))))),IF(ROW()=2,"",A262))</f>
      </c>
      <c r="B263">
        <f>IF(OR('R.M Billets Reports'!A262="Date-",'R.M Billets Reports'!A262="Date:-"),'R.M Billets Reports'!B262,IF(ROW()=2,"",B262))</f>
      </c>
      <c r="C263">
        <f>IF('R.M Billets Reports'!A262="V.No.",'R.M Billets Reports'!B262,IF(ROW()=2,"",C262))</f>
      </c>
      <c r="D263">
        <f>IF('R.M Billets Reports'!A262&lt;&gt;"",'R.M Billets Reports'!A262,IF(ROW()=2,"",D262))</f>
      </c>
      <c r="E263">
        <f>IF('R.M Billets Reports'!B262="","",TRIM('R.M Billets Reports'!B262))</f>
      </c>
      <c r="F263">
        <f>'R.M Billets Reports'!C262</f>
      </c>
      <c r="G263">
        <f>'R.M Billets Reports'!D262</f>
      </c>
      <c r="H263">
        <f>'R.M Billets Reports'!E262</f>
      </c>
      <c r="I263">
        <f>'R.M Billets Reports'!F262</f>
      </c>
      <c r="J263">
        <f>'R.M Billets Reports'!G262</f>
      </c>
      <c r="K263">
        <f>'R.M Billets Reports'!H262</f>
      </c>
      <c r="L263">
        <f>IF('R.M Billets Reports'!I262="","",'R.M Billets Reports'!I262)</f>
      </c>
      <c r="M263">
        <f t="shared" si="8"/>
      </c>
      <c r="N263">
        <f>IF('R.M Billets Reports'!J262="","",'R.M Billets Reports'!J262)</f>
      </c>
      <c r="O263">
        <f t="shared" si="9"/>
      </c>
      <c r="P263">
        <f>IF('R.M Billets Reports'!A262="SIZE",'R.M Billets Reports'!B262,P262)</f>
      </c>
    </row>
    <row r="264" spans="1:16" x14ac:dyDescent="0.25">
      <c r="A264">
        <f>IF(OR('R.M Billets Reports'!A263="Date-",'R.M Billets Reports'!A263="Date:-"),IF(IF(IF(ISNUMBER(SEARCH("Party Name:-",'R.M Billets Reports'!D263)),TRIM('R.M Billets Reports'!F263),IF(ISNUMBER(SEARCH("Party Name-",'R.M Billets Reports'!D263)),TRIM(MID('R.M Billets Reports'!D263,SEARCH("-",'R.M Billets Reports'!D263)+1,200)),""))&lt;&gt;"",IF(ISNUMBER(SEARCH("Party Name:-",'R.M Billets Reports'!D263)),TRIM('R.M Billets Reports'!F263),IF(ISNUMBER(SEARCH("Party Name-",'R.M Billets Reports'!D263)),TRIM(MID('R.M Billets Reports'!D263,SEARCH("-",'R.M Billets Reports'!D263)+1,200)),"")),IF(ISNUMBER(SEARCH("Party Name:-",'R.M Billets Reports'!D264)),TRIM('R.M Billets Reports'!F264),IF(ISNUMBER(SEARCH("Party Name-",'R.M Billets Reports'!D264)),TRIM(MID('R.M Billets Reports'!D264,SEARCH("-",'R.M Billets Reports'!D264)+1,200)),"")))="VRKP ISPAT PVT LTD","VRKP",IF(IF(IF(ISNUMBER(SEARCH("Party Name:-",'R.M Billets Reports'!D263)),TRIM('R.M Billets Reports'!F263),IF(ISNUMBER(SEARCH("Party Name-",'R.M Billets Reports'!D263)),TRIM(MID('R.M Billets Reports'!D263,SEARCH("-",'R.M Billets Reports'!D263)+1,200)),""))&lt;&gt;"",IF(ISNUMBER(SEARCH("Party Name:-",'R.M Billets Reports'!D263)),TRIM('R.M Billets Reports'!F263),IF(ISNUMBER(SEARCH("Party Name-",'R.M Billets Reports'!D263)),TRIM(MID('R.M Billets Reports'!D263,SEARCH("-",'R.M Billets Reports'!D263)+1,200)),"")),IF(ISNUMBER(SEARCH("Party Name:-",'R.M Billets Reports'!D264)),TRIM('R.M Billets Reports'!F264),IF(ISNUMBER(SEARCH("Party Name-",'R.M Billets Reports'!D264)),TRIM(MID('R.M Billets Reports'!D264,SEARCH("-",'R.M Billets Reports'!D264)+1,200)),"")))="SHRI RADHE","SHREE RADHE",IF(IF(IF(ISNUMBER(SEARCH("Party Name:-",'R.M Billets Reports'!D263)),TRIM('R.M Billets Reports'!F263),IF(ISNUMBER(SEARCH("Party Name-",'R.M Billets Reports'!D263)),TRIM(MID('R.M Billets Reports'!D263,SEARCH("-",'R.M Billets Reports'!D263)+1,200)),""))&lt;&gt;"",IF(ISNUMBER(SEARCH("Party Name:-",'R.M Billets Reports'!D263)),TRIM('R.M Billets Reports'!F263),IF(ISNUMBER(SEARCH("Party Name-",'R.M Billets Reports'!D263)),TRIM(MID('R.M Billets Reports'!D263,SEARCH("-",'R.M Billets Reports'!D263)+1,200)),"")),IF(ISNUMBER(SEARCH("Party Name:-",'R.M Billets Reports'!D264)),TRIM('R.M Billets Reports'!F264),IF(ISNUMBER(SEARCH("Party Name-",'R.M Billets Reports'!D264)),TRIM(MID('R.M Billets Reports'!D264,SEARCH("-",'R.M Billets Reports'!D264)+1,200)),"")))="SHREE RADHE SHAKTI SPONGE AND POWER PVT. LTD.","SHREE RADHE",IF(IF(ISNUMBER(SEARCH("Party Name:-",'R.M Billets Reports'!D263)),TRIM('R.M Billets Reports'!F263),IF(ISNUMBER(SEARCH("Party Name-",'R.M Billets Reports'!D263)),TRIM(MID('R.M Billets Reports'!D263,SEARCH("-",'R.M Billets Reports'!D263)+1,200)),""))&lt;&gt;"",IF(ISNUMBER(SEARCH("Party Name:-",'R.M Billets Reports'!D263)),TRIM('R.M Billets Reports'!F263),IF(ISNUMBER(SEARCH("Party Name-",'R.M Billets Reports'!D263)),TRIM(MID('R.M Billets Reports'!D263,SEARCH("-",'R.M Billets Reports'!D263)+1,200)),"")),IF(ISNUMBER(SEARCH("Party Name:-",'R.M Billets Reports'!D264)),TRIM('R.M Billets Reports'!F264),IF(ISNUMBER(SEARCH("Party Name-",'R.M Billets Reports'!D264)),TRIM(MID('R.M Billets Reports'!D264,SEARCH("-",'R.M Billets Reports'!D264)+1,200)),"")))))),IF(ROW()=2,"",A263))</f>
      </c>
      <c r="B264">
        <f>IF(OR('R.M Billets Reports'!A263="Date-",'R.M Billets Reports'!A263="Date:-"),'R.M Billets Reports'!B263,IF(ROW()=2,"",B263))</f>
      </c>
      <c r="C264">
        <f>IF('R.M Billets Reports'!A263="V.No.",'R.M Billets Reports'!B263,IF(ROW()=2,"",C263))</f>
      </c>
      <c r="D264">
        <f>IF('R.M Billets Reports'!A263&lt;&gt;"",'R.M Billets Reports'!A263,IF(ROW()=2,"",D263))</f>
      </c>
      <c r="E264">
        <f>IF('R.M Billets Reports'!B263="","",TRIM('R.M Billets Reports'!B263))</f>
      </c>
      <c r="F264">
        <f>'R.M Billets Reports'!C263</f>
      </c>
      <c r="G264">
        <f>'R.M Billets Reports'!D263</f>
      </c>
      <c r="H264">
        <f>'R.M Billets Reports'!E263</f>
      </c>
      <c r="I264">
        <f>'R.M Billets Reports'!F263</f>
      </c>
      <c r="J264">
        <f>'R.M Billets Reports'!G263</f>
      </c>
      <c r="K264">
        <f>'R.M Billets Reports'!H263</f>
      </c>
      <c r="L264">
        <f>IF('R.M Billets Reports'!I263="","",'R.M Billets Reports'!I263)</f>
      </c>
      <c r="M264">
        <f t="shared" si="8"/>
      </c>
      <c r="N264">
        <f>IF('R.M Billets Reports'!J263="","",'R.M Billets Reports'!J263)</f>
      </c>
      <c r="O264">
        <f t="shared" si="9"/>
      </c>
      <c r="P264">
        <f>IF('R.M Billets Reports'!A263="SIZE",'R.M Billets Reports'!B263,P263)</f>
      </c>
    </row>
    <row r="265" spans="1:16" x14ac:dyDescent="0.25">
      <c r="A265">
        <f>IF(OR('R.M Billets Reports'!A264="Date-",'R.M Billets Reports'!A264="Date:-"),IF(IF(IF(ISNUMBER(SEARCH("Party Name:-",'R.M Billets Reports'!D264)),TRIM('R.M Billets Reports'!F264),IF(ISNUMBER(SEARCH("Party Name-",'R.M Billets Reports'!D264)),TRIM(MID('R.M Billets Reports'!D264,SEARCH("-",'R.M Billets Reports'!D264)+1,200)),""))&lt;&gt;"",IF(ISNUMBER(SEARCH("Party Name:-",'R.M Billets Reports'!D264)),TRIM('R.M Billets Reports'!F264),IF(ISNUMBER(SEARCH("Party Name-",'R.M Billets Reports'!D264)),TRIM(MID('R.M Billets Reports'!D264,SEARCH("-",'R.M Billets Reports'!D264)+1,200)),"")),IF(ISNUMBER(SEARCH("Party Name:-",'R.M Billets Reports'!D265)),TRIM('R.M Billets Reports'!F265),IF(ISNUMBER(SEARCH("Party Name-",'R.M Billets Reports'!D265)),TRIM(MID('R.M Billets Reports'!D265,SEARCH("-",'R.M Billets Reports'!D265)+1,200)),"")))="VRKP ISPAT PVT LTD","VRKP",IF(IF(IF(ISNUMBER(SEARCH("Party Name:-",'R.M Billets Reports'!D264)),TRIM('R.M Billets Reports'!F264),IF(ISNUMBER(SEARCH("Party Name-",'R.M Billets Reports'!D264)),TRIM(MID('R.M Billets Reports'!D264,SEARCH("-",'R.M Billets Reports'!D264)+1,200)),""))&lt;&gt;"",IF(ISNUMBER(SEARCH("Party Name:-",'R.M Billets Reports'!D264)),TRIM('R.M Billets Reports'!F264),IF(ISNUMBER(SEARCH("Party Name-",'R.M Billets Reports'!D264)),TRIM(MID('R.M Billets Reports'!D264,SEARCH("-",'R.M Billets Reports'!D264)+1,200)),"")),IF(ISNUMBER(SEARCH("Party Name:-",'R.M Billets Reports'!D265)),TRIM('R.M Billets Reports'!F265),IF(ISNUMBER(SEARCH("Party Name-",'R.M Billets Reports'!D265)),TRIM(MID('R.M Billets Reports'!D265,SEARCH("-",'R.M Billets Reports'!D265)+1,200)),"")))="SHRI RADHE","SHREE RADHE",IF(IF(IF(ISNUMBER(SEARCH("Party Name:-",'R.M Billets Reports'!D264)),TRIM('R.M Billets Reports'!F264),IF(ISNUMBER(SEARCH("Party Name-",'R.M Billets Reports'!D264)),TRIM(MID('R.M Billets Reports'!D264,SEARCH("-",'R.M Billets Reports'!D264)+1,200)),""))&lt;&gt;"",IF(ISNUMBER(SEARCH("Party Name:-",'R.M Billets Reports'!D264)),TRIM('R.M Billets Reports'!F264),IF(ISNUMBER(SEARCH("Party Name-",'R.M Billets Reports'!D264)),TRIM(MID('R.M Billets Reports'!D264,SEARCH("-",'R.M Billets Reports'!D264)+1,200)),"")),IF(ISNUMBER(SEARCH("Party Name:-",'R.M Billets Reports'!D265)),TRIM('R.M Billets Reports'!F265),IF(ISNUMBER(SEARCH("Party Name-",'R.M Billets Reports'!D265)),TRIM(MID('R.M Billets Reports'!D265,SEARCH("-",'R.M Billets Reports'!D265)+1,200)),"")))="SHREE RADHE SHAKTI SPONGE AND POWER PVT. LTD.","SHREE RADHE",IF(IF(ISNUMBER(SEARCH("Party Name:-",'R.M Billets Reports'!D264)),TRIM('R.M Billets Reports'!F264),IF(ISNUMBER(SEARCH("Party Name-",'R.M Billets Reports'!D264)),TRIM(MID('R.M Billets Reports'!D264,SEARCH("-",'R.M Billets Reports'!D264)+1,200)),""))&lt;&gt;"",IF(ISNUMBER(SEARCH("Party Name:-",'R.M Billets Reports'!D264)),TRIM('R.M Billets Reports'!F264),IF(ISNUMBER(SEARCH("Party Name-",'R.M Billets Reports'!D264)),TRIM(MID('R.M Billets Reports'!D264,SEARCH("-",'R.M Billets Reports'!D264)+1,200)),"")),IF(ISNUMBER(SEARCH("Party Name:-",'R.M Billets Reports'!D265)),TRIM('R.M Billets Reports'!F265),IF(ISNUMBER(SEARCH("Party Name-",'R.M Billets Reports'!D265)),TRIM(MID('R.M Billets Reports'!D265,SEARCH("-",'R.M Billets Reports'!D265)+1,200)),"")))))),IF(ROW()=2,"",A264))</f>
      </c>
      <c r="B265">
        <f>IF(OR('R.M Billets Reports'!A264="Date-",'R.M Billets Reports'!A264="Date:-"),'R.M Billets Reports'!B264,IF(ROW()=2,"",B264))</f>
      </c>
      <c r="C265">
        <f>IF('R.M Billets Reports'!A264="V.No.",'R.M Billets Reports'!B264,IF(ROW()=2,"",C264))</f>
      </c>
      <c r="D265">
        <f>IF('R.M Billets Reports'!A264&lt;&gt;"",'R.M Billets Reports'!A264,IF(ROW()=2,"",D264))</f>
      </c>
      <c r="E265">
        <f>IF('R.M Billets Reports'!B264="","",TRIM('R.M Billets Reports'!B264))</f>
      </c>
      <c r="F265">
        <f>'R.M Billets Reports'!C264</f>
      </c>
      <c r="G265">
        <f>'R.M Billets Reports'!D264</f>
      </c>
      <c r="H265">
        <f>'R.M Billets Reports'!E264</f>
      </c>
      <c r="I265">
        <f>'R.M Billets Reports'!F264</f>
      </c>
      <c r="J265">
        <f>'R.M Billets Reports'!G264</f>
      </c>
      <c r="K265">
        <f>'R.M Billets Reports'!H264</f>
      </c>
      <c r="L265">
        <f>IF('R.M Billets Reports'!I264="","",'R.M Billets Reports'!I264)</f>
      </c>
      <c r="M265">
        <f t="shared" si="8"/>
      </c>
      <c r="N265">
        <f>IF('R.M Billets Reports'!J264="","",'R.M Billets Reports'!J264)</f>
      </c>
      <c r="O265">
        <f t="shared" si="9"/>
      </c>
      <c r="P265">
        <f>IF('R.M Billets Reports'!A264="SIZE",'R.M Billets Reports'!B264,P264)</f>
      </c>
    </row>
    <row r="266" spans="1:16" x14ac:dyDescent="0.25">
      <c r="A266">
        <f>IF(OR('R.M Billets Reports'!A265="Date-",'R.M Billets Reports'!A265="Date:-"),IF(IF(IF(ISNUMBER(SEARCH("Party Name:-",'R.M Billets Reports'!D265)),TRIM('R.M Billets Reports'!F265),IF(ISNUMBER(SEARCH("Party Name-",'R.M Billets Reports'!D265)),TRIM(MID('R.M Billets Reports'!D265,SEARCH("-",'R.M Billets Reports'!D265)+1,200)),""))&lt;&gt;"",IF(ISNUMBER(SEARCH("Party Name:-",'R.M Billets Reports'!D265)),TRIM('R.M Billets Reports'!F265),IF(ISNUMBER(SEARCH("Party Name-",'R.M Billets Reports'!D265)),TRIM(MID('R.M Billets Reports'!D265,SEARCH("-",'R.M Billets Reports'!D265)+1,200)),"")),IF(ISNUMBER(SEARCH("Party Name:-",'R.M Billets Reports'!D266)),TRIM('R.M Billets Reports'!F266),IF(ISNUMBER(SEARCH("Party Name-",'R.M Billets Reports'!D266)),TRIM(MID('R.M Billets Reports'!D266,SEARCH("-",'R.M Billets Reports'!D266)+1,200)),"")))="VRKP ISPAT PVT LTD","VRKP",IF(IF(IF(ISNUMBER(SEARCH("Party Name:-",'R.M Billets Reports'!D265)),TRIM('R.M Billets Reports'!F265),IF(ISNUMBER(SEARCH("Party Name-",'R.M Billets Reports'!D265)),TRIM(MID('R.M Billets Reports'!D265,SEARCH("-",'R.M Billets Reports'!D265)+1,200)),""))&lt;&gt;"",IF(ISNUMBER(SEARCH("Party Name:-",'R.M Billets Reports'!D265)),TRIM('R.M Billets Reports'!F265),IF(ISNUMBER(SEARCH("Party Name-",'R.M Billets Reports'!D265)),TRIM(MID('R.M Billets Reports'!D265,SEARCH("-",'R.M Billets Reports'!D265)+1,200)),"")),IF(ISNUMBER(SEARCH("Party Name:-",'R.M Billets Reports'!D266)),TRIM('R.M Billets Reports'!F266),IF(ISNUMBER(SEARCH("Party Name-",'R.M Billets Reports'!D266)),TRIM(MID('R.M Billets Reports'!D266,SEARCH("-",'R.M Billets Reports'!D266)+1,200)),"")))="SHRI RADHE","SHREE RADHE",IF(IF(IF(ISNUMBER(SEARCH("Party Name:-",'R.M Billets Reports'!D265)),TRIM('R.M Billets Reports'!F265),IF(ISNUMBER(SEARCH("Party Name-",'R.M Billets Reports'!D265)),TRIM(MID('R.M Billets Reports'!D265,SEARCH("-",'R.M Billets Reports'!D265)+1,200)),""))&lt;&gt;"",IF(ISNUMBER(SEARCH("Party Name:-",'R.M Billets Reports'!D265)),TRIM('R.M Billets Reports'!F265),IF(ISNUMBER(SEARCH("Party Name-",'R.M Billets Reports'!D265)),TRIM(MID('R.M Billets Reports'!D265,SEARCH("-",'R.M Billets Reports'!D265)+1,200)),"")),IF(ISNUMBER(SEARCH("Party Name:-",'R.M Billets Reports'!D266)),TRIM('R.M Billets Reports'!F266),IF(ISNUMBER(SEARCH("Party Name-",'R.M Billets Reports'!D266)),TRIM(MID('R.M Billets Reports'!D266,SEARCH("-",'R.M Billets Reports'!D266)+1,200)),"")))="SHREE RADHE SHAKTI SPONGE AND POWER PVT. LTD.","SHREE RADHE",IF(IF(ISNUMBER(SEARCH("Party Name:-",'R.M Billets Reports'!D265)),TRIM('R.M Billets Reports'!F265),IF(ISNUMBER(SEARCH("Party Name-",'R.M Billets Reports'!D265)),TRIM(MID('R.M Billets Reports'!D265,SEARCH("-",'R.M Billets Reports'!D265)+1,200)),""))&lt;&gt;"",IF(ISNUMBER(SEARCH("Party Name:-",'R.M Billets Reports'!D265)),TRIM('R.M Billets Reports'!F265),IF(ISNUMBER(SEARCH("Party Name-",'R.M Billets Reports'!D265)),TRIM(MID('R.M Billets Reports'!D265,SEARCH("-",'R.M Billets Reports'!D265)+1,200)),"")),IF(ISNUMBER(SEARCH("Party Name:-",'R.M Billets Reports'!D266)),TRIM('R.M Billets Reports'!F266),IF(ISNUMBER(SEARCH("Party Name-",'R.M Billets Reports'!D266)),TRIM(MID('R.M Billets Reports'!D266,SEARCH("-",'R.M Billets Reports'!D266)+1,200)),"")))))),IF(ROW()=2,"",A265))</f>
      </c>
      <c r="B266">
        <f>IF(OR('R.M Billets Reports'!A265="Date-",'R.M Billets Reports'!A265="Date:-"),'R.M Billets Reports'!B265,IF(ROW()=2,"",B265))</f>
      </c>
      <c r="C266">
        <f>IF('R.M Billets Reports'!A265="V.No.",'R.M Billets Reports'!B265,IF(ROW()=2,"",C265))</f>
      </c>
      <c r="D266">
        <f>IF('R.M Billets Reports'!A265&lt;&gt;"",'R.M Billets Reports'!A265,IF(ROW()=2,"",D265))</f>
      </c>
      <c r="E266">
        <f>IF('R.M Billets Reports'!B265="","",TRIM('R.M Billets Reports'!B265))</f>
      </c>
      <c r="F266">
        <f>'R.M Billets Reports'!C265</f>
      </c>
      <c r="G266">
        <f>'R.M Billets Reports'!D265</f>
      </c>
      <c r="H266">
        <f>'R.M Billets Reports'!E265</f>
      </c>
      <c r="I266">
        <f>'R.M Billets Reports'!F265</f>
      </c>
      <c r="J266">
        <f>'R.M Billets Reports'!G265</f>
      </c>
      <c r="K266">
        <f>'R.M Billets Reports'!H265</f>
      </c>
      <c r="L266">
        <f>IF('R.M Billets Reports'!I265="","",'R.M Billets Reports'!I265)</f>
      </c>
      <c r="M266">
        <f t="shared" si="8"/>
      </c>
      <c r="N266">
        <f>IF('R.M Billets Reports'!J265="","",'R.M Billets Reports'!J265)</f>
      </c>
      <c r="O266">
        <f t="shared" si="9"/>
      </c>
      <c r="P266">
        <f>IF('R.M Billets Reports'!A265="SIZE",'R.M Billets Reports'!B265,P265)</f>
      </c>
    </row>
    <row r="267" spans="1:16" x14ac:dyDescent="0.25">
      <c r="A267">
        <f>IF(OR('R.M Billets Reports'!A266="Date-",'R.M Billets Reports'!A266="Date:-"),IF(IF(IF(ISNUMBER(SEARCH("Party Name:-",'R.M Billets Reports'!D266)),TRIM('R.M Billets Reports'!F266),IF(ISNUMBER(SEARCH("Party Name-",'R.M Billets Reports'!D266)),TRIM(MID('R.M Billets Reports'!D266,SEARCH("-",'R.M Billets Reports'!D266)+1,200)),""))&lt;&gt;"",IF(ISNUMBER(SEARCH("Party Name:-",'R.M Billets Reports'!D266)),TRIM('R.M Billets Reports'!F266),IF(ISNUMBER(SEARCH("Party Name-",'R.M Billets Reports'!D266)),TRIM(MID('R.M Billets Reports'!D266,SEARCH("-",'R.M Billets Reports'!D266)+1,200)),"")),IF(ISNUMBER(SEARCH("Party Name:-",'R.M Billets Reports'!D267)),TRIM('R.M Billets Reports'!F267),IF(ISNUMBER(SEARCH("Party Name-",'R.M Billets Reports'!D267)),TRIM(MID('R.M Billets Reports'!D267,SEARCH("-",'R.M Billets Reports'!D267)+1,200)),"")))="VRKP ISPAT PVT LTD","VRKP",IF(IF(IF(ISNUMBER(SEARCH("Party Name:-",'R.M Billets Reports'!D266)),TRIM('R.M Billets Reports'!F266),IF(ISNUMBER(SEARCH("Party Name-",'R.M Billets Reports'!D266)),TRIM(MID('R.M Billets Reports'!D266,SEARCH("-",'R.M Billets Reports'!D266)+1,200)),""))&lt;&gt;"",IF(ISNUMBER(SEARCH("Party Name:-",'R.M Billets Reports'!D266)),TRIM('R.M Billets Reports'!F266),IF(ISNUMBER(SEARCH("Party Name-",'R.M Billets Reports'!D266)),TRIM(MID('R.M Billets Reports'!D266,SEARCH("-",'R.M Billets Reports'!D266)+1,200)),"")),IF(ISNUMBER(SEARCH("Party Name:-",'R.M Billets Reports'!D267)),TRIM('R.M Billets Reports'!F267),IF(ISNUMBER(SEARCH("Party Name-",'R.M Billets Reports'!D267)),TRIM(MID('R.M Billets Reports'!D267,SEARCH("-",'R.M Billets Reports'!D267)+1,200)),"")))="SHRI RADHE","SHREE RADHE",IF(IF(IF(ISNUMBER(SEARCH("Party Name:-",'R.M Billets Reports'!D266)),TRIM('R.M Billets Reports'!F266),IF(ISNUMBER(SEARCH("Party Name-",'R.M Billets Reports'!D266)),TRIM(MID('R.M Billets Reports'!D266,SEARCH("-",'R.M Billets Reports'!D266)+1,200)),""))&lt;&gt;"",IF(ISNUMBER(SEARCH("Party Name:-",'R.M Billets Reports'!D266)),TRIM('R.M Billets Reports'!F266),IF(ISNUMBER(SEARCH("Party Name-",'R.M Billets Reports'!D266)),TRIM(MID('R.M Billets Reports'!D266,SEARCH("-",'R.M Billets Reports'!D266)+1,200)),"")),IF(ISNUMBER(SEARCH("Party Name:-",'R.M Billets Reports'!D267)),TRIM('R.M Billets Reports'!F267),IF(ISNUMBER(SEARCH("Party Name-",'R.M Billets Reports'!D267)),TRIM(MID('R.M Billets Reports'!D267,SEARCH("-",'R.M Billets Reports'!D267)+1,200)),"")))="SHREE RADHE SHAKTI SPONGE AND POWER PVT. LTD.","SHREE RADHE",IF(IF(ISNUMBER(SEARCH("Party Name:-",'R.M Billets Reports'!D266)),TRIM('R.M Billets Reports'!F266),IF(ISNUMBER(SEARCH("Party Name-",'R.M Billets Reports'!D266)),TRIM(MID('R.M Billets Reports'!D266,SEARCH("-",'R.M Billets Reports'!D266)+1,200)),""))&lt;&gt;"",IF(ISNUMBER(SEARCH("Party Name:-",'R.M Billets Reports'!D266)),TRIM('R.M Billets Reports'!F266),IF(ISNUMBER(SEARCH("Party Name-",'R.M Billets Reports'!D266)),TRIM(MID('R.M Billets Reports'!D266,SEARCH("-",'R.M Billets Reports'!D266)+1,200)),"")),IF(ISNUMBER(SEARCH("Party Name:-",'R.M Billets Reports'!D267)),TRIM('R.M Billets Reports'!F267),IF(ISNUMBER(SEARCH("Party Name-",'R.M Billets Reports'!D267)),TRIM(MID('R.M Billets Reports'!D267,SEARCH("-",'R.M Billets Reports'!D267)+1,200)),"")))))),IF(ROW()=2,"",A266))</f>
      </c>
      <c r="B267">
        <f>IF(OR('R.M Billets Reports'!A266="Date-",'R.M Billets Reports'!A266="Date:-"),'R.M Billets Reports'!B266,IF(ROW()=2,"",B266))</f>
      </c>
      <c r="C267">
        <f>IF('R.M Billets Reports'!A266="V.No.",'R.M Billets Reports'!B266,IF(ROW()=2,"",C266))</f>
      </c>
      <c r="D267">
        <f>IF('R.M Billets Reports'!A266&lt;&gt;"",'R.M Billets Reports'!A266,IF(ROW()=2,"",D266))</f>
      </c>
      <c r="E267">
        <f>IF('R.M Billets Reports'!B266="","",TRIM('R.M Billets Reports'!B266))</f>
      </c>
      <c r="F267">
        <f>'R.M Billets Reports'!C266</f>
      </c>
      <c r="G267">
        <f>'R.M Billets Reports'!D266</f>
      </c>
      <c r="H267">
        <f>'R.M Billets Reports'!E266</f>
      </c>
      <c r="I267">
        <f>'R.M Billets Reports'!F266</f>
      </c>
      <c r="J267">
        <f>'R.M Billets Reports'!G266</f>
      </c>
      <c r="K267">
        <f>'R.M Billets Reports'!H266</f>
      </c>
      <c r="L267">
        <f>IF('R.M Billets Reports'!I266="","",'R.M Billets Reports'!I266)</f>
      </c>
      <c r="M267">
        <f t="shared" si="8"/>
      </c>
      <c r="N267">
        <f>IF('R.M Billets Reports'!J266="","",'R.M Billets Reports'!J266)</f>
      </c>
      <c r="O267">
        <f t="shared" si="9"/>
      </c>
      <c r="P267">
        <f>IF('R.M Billets Reports'!A266="SIZE",'R.M Billets Reports'!B266,P266)</f>
      </c>
    </row>
    <row r="268" spans="1:16" x14ac:dyDescent="0.25">
      <c r="A268">
        <f>IF(OR('R.M Billets Reports'!A267="Date-",'R.M Billets Reports'!A267="Date:-"),IF(IF(IF(ISNUMBER(SEARCH("Party Name:-",'R.M Billets Reports'!D267)),TRIM('R.M Billets Reports'!F267),IF(ISNUMBER(SEARCH("Party Name-",'R.M Billets Reports'!D267)),TRIM(MID('R.M Billets Reports'!D267,SEARCH("-",'R.M Billets Reports'!D267)+1,200)),""))&lt;&gt;"",IF(ISNUMBER(SEARCH("Party Name:-",'R.M Billets Reports'!D267)),TRIM('R.M Billets Reports'!F267),IF(ISNUMBER(SEARCH("Party Name-",'R.M Billets Reports'!D267)),TRIM(MID('R.M Billets Reports'!D267,SEARCH("-",'R.M Billets Reports'!D267)+1,200)),"")),IF(ISNUMBER(SEARCH("Party Name:-",'R.M Billets Reports'!D268)),TRIM('R.M Billets Reports'!F268),IF(ISNUMBER(SEARCH("Party Name-",'R.M Billets Reports'!D268)),TRIM(MID('R.M Billets Reports'!D268,SEARCH("-",'R.M Billets Reports'!D268)+1,200)),"")))="VRKP ISPAT PVT LTD","VRKP",IF(IF(IF(ISNUMBER(SEARCH("Party Name:-",'R.M Billets Reports'!D267)),TRIM('R.M Billets Reports'!F267),IF(ISNUMBER(SEARCH("Party Name-",'R.M Billets Reports'!D267)),TRIM(MID('R.M Billets Reports'!D267,SEARCH("-",'R.M Billets Reports'!D267)+1,200)),""))&lt;&gt;"",IF(ISNUMBER(SEARCH("Party Name:-",'R.M Billets Reports'!D267)),TRIM('R.M Billets Reports'!F267),IF(ISNUMBER(SEARCH("Party Name-",'R.M Billets Reports'!D267)),TRIM(MID('R.M Billets Reports'!D267,SEARCH("-",'R.M Billets Reports'!D267)+1,200)),"")),IF(ISNUMBER(SEARCH("Party Name:-",'R.M Billets Reports'!D268)),TRIM('R.M Billets Reports'!F268),IF(ISNUMBER(SEARCH("Party Name-",'R.M Billets Reports'!D268)),TRIM(MID('R.M Billets Reports'!D268,SEARCH("-",'R.M Billets Reports'!D268)+1,200)),"")))="SHRI RADHE","SHREE RADHE",IF(IF(IF(ISNUMBER(SEARCH("Party Name:-",'R.M Billets Reports'!D267)),TRIM('R.M Billets Reports'!F267),IF(ISNUMBER(SEARCH("Party Name-",'R.M Billets Reports'!D267)),TRIM(MID('R.M Billets Reports'!D267,SEARCH("-",'R.M Billets Reports'!D267)+1,200)),""))&lt;&gt;"",IF(ISNUMBER(SEARCH("Party Name:-",'R.M Billets Reports'!D267)),TRIM('R.M Billets Reports'!F267),IF(ISNUMBER(SEARCH("Party Name-",'R.M Billets Reports'!D267)),TRIM(MID('R.M Billets Reports'!D267,SEARCH("-",'R.M Billets Reports'!D267)+1,200)),"")),IF(ISNUMBER(SEARCH("Party Name:-",'R.M Billets Reports'!D268)),TRIM('R.M Billets Reports'!F268),IF(ISNUMBER(SEARCH("Party Name-",'R.M Billets Reports'!D268)),TRIM(MID('R.M Billets Reports'!D268,SEARCH("-",'R.M Billets Reports'!D268)+1,200)),"")))="SHREE RADHE SHAKTI SPONGE AND POWER PVT. LTD.","SHREE RADHE",IF(IF(ISNUMBER(SEARCH("Party Name:-",'R.M Billets Reports'!D267)),TRIM('R.M Billets Reports'!F267),IF(ISNUMBER(SEARCH("Party Name-",'R.M Billets Reports'!D267)),TRIM(MID('R.M Billets Reports'!D267,SEARCH("-",'R.M Billets Reports'!D267)+1,200)),""))&lt;&gt;"",IF(ISNUMBER(SEARCH("Party Name:-",'R.M Billets Reports'!D267)),TRIM('R.M Billets Reports'!F267),IF(ISNUMBER(SEARCH("Party Name-",'R.M Billets Reports'!D267)),TRIM(MID('R.M Billets Reports'!D267,SEARCH("-",'R.M Billets Reports'!D267)+1,200)),"")),IF(ISNUMBER(SEARCH("Party Name:-",'R.M Billets Reports'!D268)),TRIM('R.M Billets Reports'!F268),IF(ISNUMBER(SEARCH("Party Name-",'R.M Billets Reports'!D268)),TRIM(MID('R.M Billets Reports'!D268,SEARCH("-",'R.M Billets Reports'!D268)+1,200)),"")))))),IF(ROW()=2,"",A267))</f>
      </c>
      <c r="B268">
        <f>IF(OR('R.M Billets Reports'!A267="Date-",'R.M Billets Reports'!A267="Date:-"),'R.M Billets Reports'!B267,IF(ROW()=2,"",B267))</f>
      </c>
      <c r="C268">
        <f>IF('R.M Billets Reports'!A267="V.No.",'R.M Billets Reports'!B267,IF(ROW()=2,"",C267))</f>
      </c>
      <c r="D268">
        <f>IF('R.M Billets Reports'!A267&lt;&gt;"",'R.M Billets Reports'!A267,IF(ROW()=2,"",D267))</f>
      </c>
      <c r="E268">
        <f>IF('R.M Billets Reports'!B267="","",TRIM('R.M Billets Reports'!B267))</f>
      </c>
      <c r="F268">
        <f>'R.M Billets Reports'!C267</f>
      </c>
      <c r="G268">
        <f>'R.M Billets Reports'!D267</f>
      </c>
      <c r="H268">
        <f>'R.M Billets Reports'!E267</f>
      </c>
      <c r="I268">
        <f>'R.M Billets Reports'!F267</f>
      </c>
      <c r="J268">
        <f>'R.M Billets Reports'!G267</f>
      </c>
      <c r="K268">
        <f>'R.M Billets Reports'!H267</f>
      </c>
      <c r="L268">
        <f>IF('R.M Billets Reports'!I267="","",'R.M Billets Reports'!I267)</f>
      </c>
      <c r="M268">
        <f t="shared" si="8"/>
      </c>
      <c r="N268">
        <f>IF('R.M Billets Reports'!J267="","",'R.M Billets Reports'!J267)</f>
      </c>
      <c r="O268">
        <f t="shared" si="9"/>
      </c>
      <c r="P268">
        <f>IF('R.M Billets Reports'!A267="SIZE",'R.M Billets Reports'!B267,P267)</f>
      </c>
    </row>
    <row r="269" spans="1:16" x14ac:dyDescent="0.25">
      <c r="A269">
        <f>IF(OR('R.M Billets Reports'!A268="Date-",'R.M Billets Reports'!A268="Date:-"),IF(IF(IF(ISNUMBER(SEARCH("Party Name:-",'R.M Billets Reports'!D268)),TRIM('R.M Billets Reports'!F268),IF(ISNUMBER(SEARCH("Party Name-",'R.M Billets Reports'!D268)),TRIM(MID('R.M Billets Reports'!D268,SEARCH("-",'R.M Billets Reports'!D268)+1,200)),""))&lt;&gt;"",IF(ISNUMBER(SEARCH("Party Name:-",'R.M Billets Reports'!D268)),TRIM('R.M Billets Reports'!F268),IF(ISNUMBER(SEARCH("Party Name-",'R.M Billets Reports'!D268)),TRIM(MID('R.M Billets Reports'!D268,SEARCH("-",'R.M Billets Reports'!D268)+1,200)),"")),IF(ISNUMBER(SEARCH("Party Name:-",'R.M Billets Reports'!D269)),TRIM('R.M Billets Reports'!F269),IF(ISNUMBER(SEARCH("Party Name-",'R.M Billets Reports'!D269)),TRIM(MID('R.M Billets Reports'!D269,SEARCH("-",'R.M Billets Reports'!D269)+1,200)),"")))="VRKP ISPAT PVT LTD","VRKP",IF(IF(IF(ISNUMBER(SEARCH("Party Name:-",'R.M Billets Reports'!D268)),TRIM('R.M Billets Reports'!F268),IF(ISNUMBER(SEARCH("Party Name-",'R.M Billets Reports'!D268)),TRIM(MID('R.M Billets Reports'!D268,SEARCH("-",'R.M Billets Reports'!D268)+1,200)),""))&lt;&gt;"",IF(ISNUMBER(SEARCH("Party Name:-",'R.M Billets Reports'!D268)),TRIM('R.M Billets Reports'!F268),IF(ISNUMBER(SEARCH("Party Name-",'R.M Billets Reports'!D268)),TRIM(MID('R.M Billets Reports'!D268,SEARCH("-",'R.M Billets Reports'!D268)+1,200)),"")),IF(ISNUMBER(SEARCH("Party Name:-",'R.M Billets Reports'!D269)),TRIM('R.M Billets Reports'!F269),IF(ISNUMBER(SEARCH("Party Name-",'R.M Billets Reports'!D269)),TRIM(MID('R.M Billets Reports'!D269,SEARCH("-",'R.M Billets Reports'!D269)+1,200)),"")))="SHRI RADHE","SHREE RADHE",IF(IF(IF(ISNUMBER(SEARCH("Party Name:-",'R.M Billets Reports'!D268)),TRIM('R.M Billets Reports'!F268),IF(ISNUMBER(SEARCH("Party Name-",'R.M Billets Reports'!D268)),TRIM(MID('R.M Billets Reports'!D268,SEARCH("-",'R.M Billets Reports'!D268)+1,200)),""))&lt;&gt;"",IF(ISNUMBER(SEARCH("Party Name:-",'R.M Billets Reports'!D268)),TRIM('R.M Billets Reports'!F268),IF(ISNUMBER(SEARCH("Party Name-",'R.M Billets Reports'!D268)),TRIM(MID('R.M Billets Reports'!D268,SEARCH("-",'R.M Billets Reports'!D268)+1,200)),"")),IF(ISNUMBER(SEARCH("Party Name:-",'R.M Billets Reports'!D269)),TRIM('R.M Billets Reports'!F269),IF(ISNUMBER(SEARCH("Party Name-",'R.M Billets Reports'!D269)),TRIM(MID('R.M Billets Reports'!D269,SEARCH("-",'R.M Billets Reports'!D269)+1,200)),"")))="SHREE RADHE SHAKTI SPONGE AND POWER PVT. LTD.","SHREE RADHE",IF(IF(ISNUMBER(SEARCH("Party Name:-",'R.M Billets Reports'!D268)),TRIM('R.M Billets Reports'!F268),IF(ISNUMBER(SEARCH("Party Name-",'R.M Billets Reports'!D268)),TRIM(MID('R.M Billets Reports'!D268,SEARCH("-",'R.M Billets Reports'!D268)+1,200)),""))&lt;&gt;"",IF(ISNUMBER(SEARCH("Party Name:-",'R.M Billets Reports'!D268)),TRIM('R.M Billets Reports'!F268),IF(ISNUMBER(SEARCH("Party Name-",'R.M Billets Reports'!D268)),TRIM(MID('R.M Billets Reports'!D268,SEARCH("-",'R.M Billets Reports'!D268)+1,200)),"")),IF(ISNUMBER(SEARCH("Party Name:-",'R.M Billets Reports'!D269)),TRIM('R.M Billets Reports'!F269),IF(ISNUMBER(SEARCH("Party Name-",'R.M Billets Reports'!D269)),TRIM(MID('R.M Billets Reports'!D269,SEARCH("-",'R.M Billets Reports'!D269)+1,200)),"")))))),IF(ROW()=2,"",A268))</f>
      </c>
      <c r="B269">
        <f>IF(OR('R.M Billets Reports'!A268="Date-",'R.M Billets Reports'!A268="Date:-"),'R.M Billets Reports'!B268,IF(ROW()=2,"",B268))</f>
      </c>
      <c r="C269">
        <f>IF('R.M Billets Reports'!A268="V.No.",'R.M Billets Reports'!B268,IF(ROW()=2,"",C268))</f>
      </c>
      <c r="D269">
        <f>IF('R.M Billets Reports'!A268&lt;&gt;"",'R.M Billets Reports'!A268,IF(ROW()=2,"",D268))</f>
      </c>
      <c r="E269">
        <f>IF('R.M Billets Reports'!B268="","",TRIM('R.M Billets Reports'!B268))</f>
      </c>
      <c r="F269">
        <f>'R.M Billets Reports'!C268</f>
      </c>
      <c r="G269">
        <f>'R.M Billets Reports'!D268</f>
      </c>
      <c r="H269">
        <f>'R.M Billets Reports'!E268</f>
      </c>
      <c r="I269">
        <f>'R.M Billets Reports'!F268</f>
      </c>
      <c r="J269">
        <f>'R.M Billets Reports'!G268</f>
      </c>
      <c r="K269">
        <f>'R.M Billets Reports'!H268</f>
      </c>
      <c r="L269">
        <f>IF('R.M Billets Reports'!I268="","",'R.M Billets Reports'!I268)</f>
      </c>
      <c r="M269">
        <f t="shared" si="8"/>
      </c>
      <c r="N269">
        <f>IF('R.M Billets Reports'!J268="","",'R.M Billets Reports'!J268)</f>
      </c>
      <c r="O269">
        <f t="shared" si="9"/>
      </c>
      <c r="P269">
        <f>IF('R.M Billets Reports'!A268="SIZE",'R.M Billets Reports'!B268,P268)</f>
      </c>
    </row>
    <row r="270" spans="1:16" x14ac:dyDescent="0.25">
      <c r="A270">
        <f>IF(OR('R.M Billets Reports'!A269="Date-",'R.M Billets Reports'!A269="Date:-"),IF(IF(IF(ISNUMBER(SEARCH("Party Name:-",'R.M Billets Reports'!D269)),TRIM('R.M Billets Reports'!F269),IF(ISNUMBER(SEARCH("Party Name-",'R.M Billets Reports'!D269)),TRIM(MID('R.M Billets Reports'!D269,SEARCH("-",'R.M Billets Reports'!D269)+1,200)),""))&lt;&gt;"",IF(ISNUMBER(SEARCH("Party Name:-",'R.M Billets Reports'!D269)),TRIM('R.M Billets Reports'!F269),IF(ISNUMBER(SEARCH("Party Name-",'R.M Billets Reports'!D269)),TRIM(MID('R.M Billets Reports'!D269,SEARCH("-",'R.M Billets Reports'!D269)+1,200)),"")),IF(ISNUMBER(SEARCH("Party Name:-",'R.M Billets Reports'!D270)),TRIM('R.M Billets Reports'!F270),IF(ISNUMBER(SEARCH("Party Name-",'R.M Billets Reports'!D270)),TRIM(MID('R.M Billets Reports'!D270,SEARCH("-",'R.M Billets Reports'!D270)+1,200)),"")))="VRKP ISPAT PVT LTD","VRKP",IF(IF(IF(ISNUMBER(SEARCH("Party Name:-",'R.M Billets Reports'!D269)),TRIM('R.M Billets Reports'!F269),IF(ISNUMBER(SEARCH("Party Name-",'R.M Billets Reports'!D269)),TRIM(MID('R.M Billets Reports'!D269,SEARCH("-",'R.M Billets Reports'!D269)+1,200)),""))&lt;&gt;"",IF(ISNUMBER(SEARCH("Party Name:-",'R.M Billets Reports'!D269)),TRIM('R.M Billets Reports'!F269),IF(ISNUMBER(SEARCH("Party Name-",'R.M Billets Reports'!D269)),TRIM(MID('R.M Billets Reports'!D269,SEARCH("-",'R.M Billets Reports'!D269)+1,200)),"")),IF(ISNUMBER(SEARCH("Party Name:-",'R.M Billets Reports'!D270)),TRIM('R.M Billets Reports'!F270),IF(ISNUMBER(SEARCH("Party Name-",'R.M Billets Reports'!D270)),TRIM(MID('R.M Billets Reports'!D270,SEARCH("-",'R.M Billets Reports'!D270)+1,200)),"")))="SHRI RADHE","SHREE RADHE",IF(IF(IF(ISNUMBER(SEARCH("Party Name:-",'R.M Billets Reports'!D269)),TRIM('R.M Billets Reports'!F269),IF(ISNUMBER(SEARCH("Party Name-",'R.M Billets Reports'!D269)),TRIM(MID('R.M Billets Reports'!D269,SEARCH("-",'R.M Billets Reports'!D269)+1,200)),""))&lt;&gt;"",IF(ISNUMBER(SEARCH("Party Name:-",'R.M Billets Reports'!D269)),TRIM('R.M Billets Reports'!F269),IF(ISNUMBER(SEARCH("Party Name-",'R.M Billets Reports'!D269)),TRIM(MID('R.M Billets Reports'!D269,SEARCH("-",'R.M Billets Reports'!D269)+1,200)),"")),IF(ISNUMBER(SEARCH("Party Name:-",'R.M Billets Reports'!D270)),TRIM('R.M Billets Reports'!F270),IF(ISNUMBER(SEARCH("Party Name-",'R.M Billets Reports'!D270)),TRIM(MID('R.M Billets Reports'!D270,SEARCH("-",'R.M Billets Reports'!D270)+1,200)),"")))="SHREE RADHE SHAKTI SPONGE AND POWER PVT. LTD.","SHREE RADHE",IF(IF(ISNUMBER(SEARCH("Party Name:-",'R.M Billets Reports'!D269)),TRIM('R.M Billets Reports'!F269),IF(ISNUMBER(SEARCH("Party Name-",'R.M Billets Reports'!D269)),TRIM(MID('R.M Billets Reports'!D269,SEARCH("-",'R.M Billets Reports'!D269)+1,200)),""))&lt;&gt;"",IF(ISNUMBER(SEARCH("Party Name:-",'R.M Billets Reports'!D269)),TRIM('R.M Billets Reports'!F269),IF(ISNUMBER(SEARCH("Party Name-",'R.M Billets Reports'!D269)),TRIM(MID('R.M Billets Reports'!D269,SEARCH("-",'R.M Billets Reports'!D269)+1,200)),"")),IF(ISNUMBER(SEARCH("Party Name:-",'R.M Billets Reports'!D270)),TRIM('R.M Billets Reports'!F270),IF(ISNUMBER(SEARCH("Party Name-",'R.M Billets Reports'!D270)),TRIM(MID('R.M Billets Reports'!D270,SEARCH("-",'R.M Billets Reports'!D270)+1,200)),"")))))),IF(ROW()=2,"",A269))</f>
      </c>
      <c r="B270">
        <f>IF(OR('R.M Billets Reports'!A269="Date-",'R.M Billets Reports'!A269="Date:-"),'R.M Billets Reports'!B269,IF(ROW()=2,"",B269))</f>
      </c>
      <c r="C270">
        <f>IF('R.M Billets Reports'!A269="V.No.",'R.M Billets Reports'!B269,IF(ROW()=2,"",C269))</f>
      </c>
      <c r="D270">
        <f>IF('R.M Billets Reports'!A269&lt;&gt;"",'R.M Billets Reports'!A269,IF(ROW()=2,"",D269))</f>
      </c>
      <c r="E270">
        <f>IF('R.M Billets Reports'!B269="","",TRIM('R.M Billets Reports'!B269))</f>
      </c>
      <c r="F270">
        <f>'R.M Billets Reports'!C269</f>
      </c>
      <c r="G270">
        <f>'R.M Billets Reports'!D269</f>
      </c>
      <c r="H270">
        <f>'R.M Billets Reports'!E269</f>
      </c>
      <c r="I270">
        <f>'R.M Billets Reports'!F269</f>
      </c>
      <c r="J270">
        <f>'R.M Billets Reports'!G269</f>
      </c>
      <c r="K270">
        <f>'R.M Billets Reports'!H269</f>
      </c>
      <c r="L270">
        <f>IF('R.M Billets Reports'!I269="","",'R.M Billets Reports'!I269)</f>
      </c>
      <c r="M270">
        <f t="shared" si="8"/>
      </c>
      <c r="N270">
        <f>IF('R.M Billets Reports'!J269="","",'R.M Billets Reports'!J269)</f>
      </c>
      <c r="O270">
        <f t="shared" si="9"/>
      </c>
      <c r="P270">
        <f>IF('R.M Billets Reports'!A269="SIZE",'R.M Billets Reports'!B269,P269)</f>
      </c>
    </row>
    <row r="271" spans="1:16" x14ac:dyDescent="0.25">
      <c r="A271">
        <f>IF(OR('R.M Billets Reports'!A270="Date-",'R.M Billets Reports'!A270="Date:-"),IF(IF(IF(ISNUMBER(SEARCH("Party Name:-",'R.M Billets Reports'!D270)),TRIM('R.M Billets Reports'!F270),IF(ISNUMBER(SEARCH("Party Name-",'R.M Billets Reports'!D270)),TRIM(MID('R.M Billets Reports'!D270,SEARCH("-",'R.M Billets Reports'!D270)+1,200)),""))&lt;&gt;"",IF(ISNUMBER(SEARCH("Party Name:-",'R.M Billets Reports'!D270)),TRIM('R.M Billets Reports'!F270),IF(ISNUMBER(SEARCH("Party Name-",'R.M Billets Reports'!D270)),TRIM(MID('R.M Billets Reports'!D270,SEARCH("-",'R.M Billets Reports'!D270)+1,200)),"")),IF(ISNUMBER(SEARCH("Party Name:-",'R.M Billets Reports'!D271)),TRIM('R.M Billets Reports'!F271),IF(ISNUMBER(SEARCH("Party Name-",'R.M Billets Reports'!D271)),TRIM(MID('R.M Billets Reports'!D271,SEARCH("-",'R.M Billets Reports'!D271)+1,200)),"")))="VRKP ISPAT PVT LTD","VRKP",IF(IF(IF(ISNUMBER(SEARCH("Party Name:-",'R.M Billets Reports'!D270)),TRIM('R.M Billets Reports'!F270),IF(ISNUMBER(SEARCH("Party Name-",'R.M Billets Reports'!D270)),TRIM(MID('R.M Billets Reports'!D270,SEARCH("-",'R.M Billets Reports'!D270)+1,200)),""))&lt;&gt;"",IF(ISNUMBER(SEARCH("Party Name:-",'R.M Billets Reports'!D270)),TRIM('R.M Billets Reports'!F270),IF(ISNUMBER(SEARCH("Party Name-",'R.M Billets Reports'!D270)),TRIM(MID('R.M Billets Reports'!D270,SEARCH("-",'R.M Billets Reports'!D270)+1,200)),"")),IF(ISNUMBER(SEARCH("Party Name:-",'R.M Billets Reports'!D271)),TRIM('R.M Billets Reports'!F271),IF(ISNUMBER(SEARCH("Party Name-",'R.M Billets Reports'!D271)),TRIM(MID('R.M Billets Reports'!D271,SEARCH("-",'R.M Billets Reports'!D271)+1,200)),"")))="SHRI RADHE","SHREE RADHE",IF(IF(IF(ISNUMBER(SEARCH("Party Name:-",'R.M Billets Reports'!D270)),TRIM('R.M Billets Reports'!F270),IF(ISNUMBER(SEARCH("Party Name-",'R.M Billets Reports'!D270)),TRIM(MID('R.M Billets Reports'!D270,SEARCH("-",'R.M Billets Reports'!D270)+1,200)),""))&lt;&gt;"",IF(ISNUMBER(SEARCH("Party Name:-",'R.M Billets Reports'!D270)),TRIM('R.M Billets Reports'!F270),IF(ISNUMBER(SEARCH("Party Name-",'R.M Billets Reports'!D270)),TRIM(MID('R.M Billets Reports'!D270,SEARCH("-",'R.M Billets Reports'!D270)+1,200)),"")),IF(ISNUMBER(SEARCH("Party Name:-",'R.M Billets Reports'!D271)),TRIM('R.M Billets Reports'!F271),IF(ISNUMBER(SEARCH("Party Name-",'R.M Billets Reports'!D271)),TRIM(MID('R.M Billets Reports'!D271,SEARCH("-",'R.M Billets Reports'!D271)+1,200)),"")))="SHREE RADHE SHAKTI SPONGE AND POWER PVT. LTD.","SHREE RADHE",IF(IF(ISNUMBER(SEARCH("Party Name:-",'R.M Billets Reports'!D270)),TRIM('R.M Billets Reports'!F270),IF(ISNUMBER(SEARCH("Party Name-",'R.M Billets Reports'!D270)),TRIM(MID('R.M Billets Reports'!D270,SEARCH("-",'R.M Billets Reports'!D270)+1,200)),""))&lt;&gt;"",IF(ISNUMBER(SEARCH("Party Name:-",'R.M Billets Reports'!D270)),TRIM('R.M Billets Reports'!F270),IF(ISNUMBER(SEARCH("Party Name-",'R.M Billets Reports'!D270)),TRIM(MID('R.M Billets Reports'!D270,SEARCH("-",'R.M Billets Reports'!D270)+1,200)),"")),IF(ISNUMBER(SEARCH("Party Name:-",'R.M Billets Reports'!D271)),TRIM('R.M Billets Reports'!F271),IF(ISNUMBER(SEARCH("Party Name-",'R.M Billets Reports'!D271)),TRIM(MID('R.M Billets Reports'!D271,SEARCH("-",'R.M Billets Reports'!D271)+1,200)),"")))))),IF(ROW()=2,"",A270))</f>
      </c>
      <c r="B271">
        <f>IF(OR('R.M Billets Reports'!A270="Date-",'R.M Billets Reports'!A270="Date:-"),'R.M Billets Reports'!B270,IF(ROW()=2,"",B270))</f>
      </c>
      <c r="C271">
        <f>IF('R.M Billets Reports'!A270="V.No.",'R.M Billets Reports'!B270,IF(ROW()=2,"",C270))</f>
      </c>
      <c r="D271">
        <f>IF('R.M Billets Reports'!A270&lt;&gt;"",'R.M Billets Reports'!A270,IF(ROW()=2,"",D270))</f>
      </c>
      <c r="E271">
        <f>IF('R.M Billets Reports'!B270="","",TRIM('R.M Billets Reports'!B270))</f>
      </c>
      <c r="F271">
        <f>'R.M Billets Reports'!C270</f>
      </c>
      <c r="G271">
        <f>'R.M Billets Reports'!D270</f>
      </c>
      <c r="H271">
        <f>'R.M Billets Reports'!E270</f>
      </c>
      <c r="I271">
        <f>'R.M Billets Reports'!F270</f>
      </c>
      <c r="J271">
        <f>'R.M Billets Reports'!G270</f>
      </c>
      <c r="K271">
        <f>'R.M Billets Reports'!H270</f>
      </c>
      <c r="L271">
        <f>IF('R.M Billets Reports'!I270="","",'R.M Billets Reports'!I270)</f>
      </c>
      <c r="M271">
        <f t="shared" si="8"/>
      </c>
      <c r="N271">
        <f>IF('R.M Billets Reports'!J270="","",'R.M Billets Reports'!J270)</f>
      </c>
      <c r="O271">
        <f t="shared" si="9"/>
      </c>
      <c r="P271">
        <f>IF('R.M Billets Reports'!A270="SIZE",'R.M Billets Reports'!B270,P270)</f>
      </c>
    </row>
    <row r="272" spans="1:16" x14ac:dyDescent="0.25">
      <c r="A272">
        <f>IF(OR('R.M Billets Reports'!A271="Date-",'R.M Billets Reports'!A271="Date:-"),IF(IF(IF(ISNUMBER(SEARCH("Party Name:-",'R.M Billets Reports'!D271)),TRIM('R.M Billets Reports'!F271),IF(ISNUMBER(SEARCH("Party Name-",'R.M Billets Reports'!D271)),TRIM(MID('R.M Billets Reports'!D271,SEARCH("-",'R.M Billets Reports'!D271)+1,200)),""))&lt;&gt;"",IF(ISNUMBER(SEARCH("Party Name:-",'R.M Billets Reports'!D271)),TRIM('R.M Billets Reports'!F271),IF(ISNUMBER(SEARCH("Party Name-",'R.M Billets Reports'!D271)),TRIM(MID('R.M Billets Reports'!D271,SEARCH("-",'R.M Billets Reports'!D271)+1,200)),"")),IF(ISNUMBER(SEARCH("Party Name:-",'R.M Billets Reports'!D272)),TRIM('R.M Billets Reports'!F272),IF(ISNUMBER(SEARCH("Party Name-",'R.M Billets Reports'!D272)),TRIM(MID('R.M Billets Reports'!D272,SEARCH("-",'R.M Billets Reports'!D272)+1,200)),"")))="VRKP ISPAT PVT LTD","VRKP",IF(IF(IF(ISNUMBER(SEARCH("Party Name:-",'R.M Billets Reports'!D271)),TRIM('R.M Billets Reports'!F271),IF(ISNUMBER(SEARCH("Party Name-",'R.M Billets Reports'!D271)),TRIM(MID('R.M Billets Reports'!D271,SEARCH("-",'R.M Billets Reports'!D271)+1,200)),""))&lt;&gt;"",IF(ISNUMBER(SEARCH("Party Name:-",'R.M Billets Reports'!D271)),TRIM('R.M Billets Reports'!F271),IF(ISNUMBER(SEARCH("Party Name-",'R.M Billets Reports'!D271)),TRIM(MID('R.M Billets Reports'!D271,SEARCH("-",'R.M Billets Reports'!D271)+1,200)),"")),IF(ISNUMBER(SEARCH("Party Name:-",'R.M Billets Reports'!D272)),TRIM('R.M Billets Reports'!F272),IF(ISNUMBER(SEARCH("Party Name-",'R.M Billets Reports'!D272)),TRIM(MID('R.M Billets Reports'!D272,SEARCH("-",'R.M Billets Reports'!D272)+1,200)),"")))="SHRI RADHE","SHREE RADHE",IF(IF(IF(ISNUMBER(SEARCH("Party Name:-",'R.M Billets Reports'!D271)),TRIM('R.M Billets Reports'!F271),IF(ISNUMBER(SEARCH("Party Name-",'R.M Billets Reports'!D271)),TRIM(MID('R.M Billets Reports'!D271,SEARCH("-",'R.M Billets Reports'!D271)+1,200)),""))&lt;&gt;"",IF(ISNUMBER(SEARCH("Party Name:-",'R.M Billets Reports'!D271)),TRIM('R.M Billets Reports'!F271),IF(ISNUMBER(SEARCH("Party Name-",'R.M Billets Reports'!D271)),TRIM(MID('R.M Billets Reports'!D271,SEARCH("-",'R.M Billets Reports'!D271)+1,200)),"")),IF(ISNUMBER(SEARCH("Party Name:-",'R.M Billets Reports'!D272)),TRIM('R.M Billets Reports'!F272),IF(ISNUMBER(SEARCH("Party Name-",'R.M Billets Reports'!D272)),TRIM(MID('R.M Billets Reports'!D272,SEARCH("-",'R.M Billets Reports'!D272)+1,200)),"")))="SHREE RADHE SHAKTI SPONGE AND POWER PVT. LTD.","SHREE RADHE",IF(IF(ISNUMBER(SEARCH("Party Name:-",'R.M Billets Reports'!D271)),TRIM('R.M Billets Reports'!F271),IF(ISNUMBER(SEARCH("Party Name-",'R.M Billets Reports'!D271)),TRIM(MID('R.M Billets Reports'!D271,SEARCH("-",'R.M Billets Reports'!D271)+1,200)),""))&lt;&gt;"",IF(ISNUMBER(SEARCH("Party Name:-",'R.M Billets Reports'!D271)),TRIM('R.M Billets Reports'!F271),IF(ISNUMBER(SEARCH("Party Name-",'R.M Billets Reports'!D271)),TRIM(MID('R.M Billets Reports'!D271,SEARCH("-",'R.M Billets Reports'!D271)+1,200)),"")),IF(ISNUMBER(SEARCH("Party Name:-",'R.M Billets Reports'!D272)),TRIM('R.M Billets Reports'!F272),IF(ISNUMBER(SEARCH("Party Name-",'R.M Billets Reports'!D272)),TRIM(MID('R.M Billets Reports'!D272,SEARCH("-",'R.M Billets Reports'!D272)+1,200)),"")))))),IF(ROW()=2,"",A271))</f>
      </c>
      <c r="B272">
        <f>IF(OR('R.M Billets Reports'!A271="Date-",'R.M Billets Reports'!A271="Date:-"),'R.M Billets Reports'!B271,IF(ROW()=2,"",B271))</f>
      </c>
      <c r="C272">
        <f>IF('R.M Billets Reports'!A271="V.No.",'R.M Billets Reports'!B271,IF(ROW()=2,"",C271))</f>
      </c>
      <c r="D272">
        <f>IF('R.M Billets Reports'!A271&lt;&gt;"",'R.M Billets Reports'!A271,IF(ROW()=2,"",D271))</f>
      </c>
      <c r="E272">
        <f>IF('R.M Billets Reports'!B271="","",TRIM('R.M Billets Reports'!B271))</f>
      </c>
      <c r="F272">
        <f>'R.M Billets Reports'!C271</f>
      </c>
      <c r="G272">
        <f>'R.M Billets Reports'!D271</f>
      </c>
      <c r="H272">
        <f>'R.M Billets Reports'!E271</f>
      </c>
      <c r="I272">
        <f>'R.M Billets Reports'!F271</f>
      </c>
      <c r="J272">
        <f>'R.M Billets Reports'!G271</f>
      </c>
      <c r="K272">
        <f>'R.M Billets Reports'!H271</f>
      </c>
      <c r="L272">
        <f>IF('R.M Billets Reports'!I271="","",'R.M Billets Reports'!I271)</f>
      </c>
      <c r="M272">
        <f t="shared" si="8"/>
      </c>
      <c r="N272">
        <f>IF('R.M Billets Reports'!J271="","",'R.M Billets Reports'!J271)</f>
      </c>
      <c r="O272">
        <f t="shared" si="9"/>
      </c>
      <c r="P272">
        <f>IF('R.M Billets Reports'!A271="SIZE",'R.M Billets Reports'!B271,P271)</f>
      </c>
    </row>
    <row r="273" spans="1:16" x14ac:dyDescent="0.25">
      <c r="A273">
        <f>IF(OR('R.M Billets Reports'!A272="Date-",'R.M Billets Reports'!A272="Date:-"),IF(IF(IF(ISNUMBER(SEARCH("Party Name:-",'R.M Billets Reports'!D272)),TRIM('R.M Billets Reports'!F272),IF(ISNUMBER(SEARCH("Party Name-",'R.M Billets Reports'!D272)),TRIM(MID('R.M Billets Reports'!D272,SEARCH("-",'R.M Billets Reports'!D272)+1,200)),""))&lt;&gt;"",IF(ISNUMBER(SEARCH("Party Name:-",'R.M Billets Reports'!D272)),TRIM('R.M Billets Reports'!F272),IF(ISNUMBER(SEARCH("Party Name-",'R.M Billets Reports'!D272)),TRIM(MID('R.M Billets Reports'!D272,SEARCH("-",'R.M Billets Reports'!D272)+1,200)),"")),IF(ISNUMBER(SEARCH("Party Name:-",'R.M Billets Reports'!D273)),TRIM('R.M Billets Reports'!F273),IF(ISNUMBER(SEARCH("Party Name-",'R.M Billets Reports'!D273)),TRIM(MID('R.M Billets Reports'!D273,SEARCH("-",'R.M Billets Reports'!D273)+1,200)),"")))="VRKP ISPAT PVT LTD","VRKP",IF(IF(IF(ISNUMBER(SEARCH("Party Name:-",'R.M Billets Reports'!D272)),TRIM('R.M Billets Reports'!F272),IF(ISNUMBER(SEARCH("Party Name-",'R.M Billets Reports'!D272)),TRIM(MID('R.M Billets Reports'!D272,SEARCH("-",'R.M Billets Reports'!D272)+1,200)),""))&lt;&gt;"",IF(ISNUMBER(SEARCH("Party Name:-",'R.M Billets Reports'!D272)),TRIM('R.M Billets Reports'!F272),IF(ISNUMBER(SEARCH("Party Name-",'R.M Billets Reports'!D272)),TRIM(MID('R.M Billets Reports'!D272,SEARCH("-",'R.M Billets Reports'!D272)+1,200)),"")),IF(ISNUMBER(SEARCH("Party Name:-",'R.M Billets Reports'!D273)),TRIM('R.M Billets Reports'!F273),IF(ISNUMBER(SEARCH("Party Name-",'R.M Billets Reports'!D273)),TRIM(MID('R.M Billets Reports'!D273,SEARCH("-",'R.M Billets Reports'!D273)+1,200)),"")))="SHRI RADHE","SHREE RADHE",IF(IF(IF(ISNUMBER(SEARCH("Party Name:-",'R.M Billets Reports'!D272)),TRIM('R.M Billets Reports'!F272),IF(ISNUMBER(SEARCH("Party Name-",'R.M Billets Reports'!D272)),TRIM(MID('R.M Billets Reports'!D272,SEARCH("-",'R.M Billets Reports'!D272)+1,200)),""))&lt;&gt;"",IF(ISNUMBER(SEARCH("Party Name:-",'R.M Billets Reports'!D272)),TRIM('R.M Billets Reports'!F272),IF(ISNUMBER(SEARCH("Party Name-",'R.M Billets Reports'!D272)),TRIM(MID('R.M Billets Reports'!D272,SEARCH("-",'R.M Billets Reports'!D272)+1,200)),"")),IF(ISNUMBER(SEARCH("Party Name:-",'R.M Billets Reports'!D273)),TRIM('R.M Billets Reports'!F273),IF(ISNUMBER(SEARCH("Party Name-",'R.M Billets Reports'!D273)),TRIM(MID('R.M Billets Reports'!D273,SEARCH("-",'R.M Billets Reports'!D273)+1,200)),"")))="SHREE RADHE SHAKTI SPONGE AND POWER PVT. LTD.","SHREE RADHE",IF(IF(ISNUMBER(SEARCH("Party Name:-",'R.M Billets Reports'!D272)),TRIM('R.M Billets Reports'!F272),IF(ISNUMBER(SEARCH("Party Name-",'R.M Billets Reports'!D272)),TRIM(MID('R.M Billets Reports'!D272,SEARCH("-",'R.M Billets Reports'!D272)+1,200)),""))&lt;&gt;"",IF(ISNUMBER(SEARCH("Party Name:-",'R.M Billets Reports'!D272)),TRIM('R.M Billets Reports'!F272),IF(ISNUMBER(SEARCH("Party Name-",'R.M Billets Reports'!D272)),TRIM(MID('R.M Billets Reports'!D272,SEARCH("-",'R.M Billets Reports'!D272)+1,200)),"")),IF(ISNUMBER(SEARCH("Party Name:-",'R.M Billets Reports'!D273)),TRIM('R.M Billets Reports'!F273),IF(ISNUMBER(SEARCH("Party Name-",'R.M Billets Reports'!D273)),TRIM(MID('R.M Billets Reports'!D273,SEARCH("-",'R.M Billets Reports'!D273)+1,200)),"")))))),IF(ROW()=2,"",A272))</f>
      </c>
      <c r="B273">
        <f>IF(OR('R.M Billets Reports'!A272="Date-",'R.M Billets Reports'!A272="Date:-"),'R.M Billets Reports'!B272,IF(ROW()=2,"",B272))</f>
      </c>
      <c r="C273">
        <f>IF('R.M Billets Reports'!A272="V.No.",'R.M Billets Reports'!B272,IF(ROW()=2,"",C272))</f>
      </c>
      <c r="D273">
        <f>IF('R.M Billets Reports'!A272&lt;&gt;"",'R.M Billets Reports'!A272,IF(ROW()=2,"",D272))</f>
      </c>
      <c r="E273">
        <f>IF('R.M Billets Reports'!B272="","",TRIM('R.M Billets Reports'!B272))</f>
      </c>
      <c r="F273">
        <f>'R.M Billets Reports'!C272</f>
      </c>
      <c r="G273">
        <f>'R.M Billets Reports'!D272</f>
      </c>
      <c r="H273">
        <f>'R.M Billets Reports'!E272</f>
      </c>
      <c r="I273">
        <f>'R.M Billets Reports'!F272</f>
      </c>
      <c r="J273">
        <f>'R.M Billets Reports'!G272</f>
      </c>
      <c r="K273">
        <f>'R.M Billets Reports'!H272</f>
      </c>
      <c r="L273">
        <f>IF('R.M Billets Reports'!I272="","",'R.M Billets Reports'!I272)</f>
      </c>
      <c r="M273">
        <f t="shared" si="8"/>
      </c>
      <c r="N273">
        <f>IF('R.M Billets Reports'!J272="","",'R.M Billets Reports'!J272)</f>
      </c>
      <c r="O273">
        <f t="shared" si="9"/>
      </c>
      <c r="P273">
        <f>IF('R.M Billets Reports'!A272="SIZE",'R.M Billets Reports'!B272,P272)</f>
      </c>
    </row>
    <row r="274" spans="1:16" x14ac:dyDescent="0.25">
      <c r="A274">
        <f>IF(OR('R.M Billets Reports'!A273="Date-",'R.M Billets Reports'!A273="Date:-"),IF(IF(IF(ISNUMBER(SEARCH("Party Name:-",'R.M Billets Reports'!D273)),TRIM('R.M Billets Reports'!F273),IF(ISNUMBER(SEARCH("Party Name-",'R.M Billets Reports'!D273)),TRIM(MID('R.M Billets Reports'!D273,SEARCH("-",'R.M Billets Reports'!D273)+1,200)),""))&lt;&gt;"",IF(ISNUMBER(SEARCH("Party Name:-",'R.M Billets Reports'!D273)),TRIM('R.M Billets Reports'!F273),IF(ISNUMBER(SEARCH("Party Name-",'R.M Billets Reports'!D273)),TRIM(MID('R.M Billets Reports'!D273,SEARCH("-",'R.M Billets Reports'!D273)+1,200)),"")),IF(ISNUMBER(SEARCH("Party Name:-",'R.M Billets Reports'!D274)),TRIM('R.M Billets Reports'!F274),IF(ISNUMBER(SEARCH("Party Name-",'R.M Billets Reports'!D274)),TRIM(MID('R.M Billets Reports'!D274,SEARCH("-",'R.M Billets Reports'!D274)+1,200)),"")))="VRKP ISPAT PVT LTD","VRKP",IF(IF(IF(ISNUMBER(SEARCH("Party Name:-",'R.M Billets Reports'!D273)),TRIM('R.M Billets Reports'!F273),IF(ISNUMBER(SEARCH("Party Name-",'R.M Billets Reports'!D273)),TRIM(MID('R.M Billets Reports'!D273,SEARCH("-",'R.M Billets Reports'!D273)+1,200)),""))&lt;&gt;"",IF(ISNUMBER(SEARCH("Party Name:-",'R.M Billets Reports'!D273)),TRIM('R.M Billets Reports'!F273),IF(ISNUMBER(SEARCH("Party Name-",'R.M Billets Reports'!D273)),TRIM(MID('R.M Billets Reports'!D273,SEARCH("-",'R.M Billets Reports'!D273)+1,200)),"")),IF(ISNUMBER(SEARCH("Party Name:-",'R.M Billets Reports'!D274)),TRIM('R.M Billets Reports'!F274),IF(ISNUMBER(SEARCH("Party Name-",'R.M Billets Reports'!D274)),TRIM(MID('R.M Billets Reports'!D274,SEARCH("-",'R.M Billets Reports'!D274)+1,200)),"")))="SHRI RADHE","SHREE RADHE",IF(IF(IF(ISNUMBER(SEARCH("Party Name:-",'R.M Billets Reports'!D273)),TRIM('R.M Billets Reports'!F273),IF(ISNUMBER(SEARCH("Party Name-",'R.M Billets Reports'!D273)),TRIM(MID('R.M Billets Reports'!D273,SEARCH("-",'R.M Billets Reports'!D273)+1,200)),""))&lt;&gt;"",IF(ISNUMBER(SEARCH("Party Name:-",'R.M Billets Reports'!D273)),TRIM('R.M Billets Reports'!F273),IF(ISNUMBER(SEARCH("Party Name-",'R.M Billets Reports'!D273)),TRIM(MID('R.M Billets Reports'!D273,SEARCH("-",'R.M Billets Reports'!D273)+1,200)),"")),IF(ISNUMBER(SEARCH("Party Name:-",'R.M Billets Reports'!D274)),TRIM('R.M Billets Reports'!F274),IF(ISNUMBER(SEARCH("Party Name-",'R.M Billets Reports'!D274)),TRIM(MID('R.M Billets Reports'!D274,SEARCH("-",'R.M Billets Reports'!D274)+1,200)),"")))="SHREE RADHE SHAKTI SPONGE AND POWER PVT. LTD.","SHREE RADHE",IF(IF(ISNUMBER(SEARCH("Party Name:-",'R.M Billets Reports'!D273)),TRIM('R.M Billets Reports'!F273),IF(ISNUMBER(SEARCH("Party Name-",'R.M Billets Reports'!D273)),TRIM(MID('R.M Billets Reports'!D273,SEARCH("-",'R.M Billets Reports'!D273)+1,200)),""))&lt;&gt;"",IF(ISNUMBER(SEARCH("Party Name:-",'R.M Billets Reports'!D273)),TRIM('R.M Billets Reports'!F273),IF(ISNUMBER(SEARCH("Party Name-",'R.M Billets Reports'!D273)),TRIM(MID('R.M Billets Reports'!D273,SEARCH("-",'R.M Billets Reports'!D273)+1,200)),"")),IF(ISNUMBER(SEARCH("Party Name:-",'R.M Billets Reports'!D274)),TRIM('R.M Billets Reports'!F274),IF(ISNUMBER(SEARCH("Party Name-",'R.M Billets Reports'!D274)),TRIM(MID('R.M Billets Reports'!D274,SEARCH("-",'R.M Billets Reports'!D274)+1,200)),"")))))),IF(ROW()=2,"",A273))</f>
      </c>
      <c r="B274">
        <f>IF(OR('R.M Billets Reports'!A273="Date-",'R.M Billets Reports'!A273="Date:-"),'R.M Billets Reports'!B273,IF(ROW()=2,"",B273))</f>
      </c>
      <c r="C274">
        <f>IF('R.M Billets Reports'!A273="V.No.",'R.M Billets Reports'!B273,IF(ROW()=2,"",C273))</f>
      </c>
      <c r="D274">
        <f>IF('R.M Billets Reports'!A273&lt;&gt;"",'R.M Billets Reports'!A273,IF(ROW()=2,"",D273))</f>
      </c>
      <c r="E274">
        <f>IF('R.M Billets Reports'!B273="","",TRIM('R.M Billets Reports'!B273))</f>
      </c>
      <c r="F274">
        <f>'R.M Billets Reports'!C273</f>
      </c>
      <c r="G274">
        <f>'R.M Billets Reports'!D273</f>
      </c>
      <c r="H274">
        <f>'R.M Billets Reports'!E273</f>
      </c>
      <c r="I274">
        <f>'R.M Billets Reports'!F273</f>
      </c>
      <c r="J274">
        <f>'R.M Billets Reports'!G273</f>
      </c>
      <c r="K274">
        <f>'R.M Billets Reports'!H273</f>
      </c>
      <c r="L274">
        <f>IF('R.M Billets Reports'!I273="","",'R.M Billets Reports'!I273)</f>
      </c>
      <c r="M274">
        <f t="shared" si="8"/>
      </c>
      <c r="N274">
        <f>IF('R.M Billets Reports'!J273="","",'R.M Billets Reports'!J273)</f>
      </c>
      <c r="O274">
        <f t="shared" si="9"/>
      </c>
      <c r="P274">
        <f>IF('R.M Billets Reports'!A273="SIZE",'R.M Billets Reports'!B273,P273)</f>
      </c>
    </row>
    <row r="275" spans="1:16" x14ac:dyDescent="0.25">
      <c r="A275">
        <f>IF(OR('R.M Billets Reports'!A274="Date-",'R.M Billets Reports'!A274="Date:-"),IF(IF(IF(ISNUMBER(SEARCH("Party Name:-",'R.M Billets Reports'!D274)),TRIM('R.M Billets Reports'!F274),IF(ISNUMBER(SEARCH("Party Name-",'R.M Billets Reports'!D274)),TRIM(MID('R.M Billets Reports'!D274,SEARCH("-",'R.M Billets Reports'!D274)+1,200)),""))&lt;&gt;"",IF(ISNUMBER(SEARCH("Party Name:-",'R.M Billets Reports'!D274)),TRIM('R.M Billets Reports'!F274),IF(ISNUMBER(SEARCH("Party Name-",'R.M Billets Reports'!D274)),TRIM(MID('R.M Billets Reports'!D274,SEARCH("-",'R.M Billets Reports'!D274)+1,200)),"")),IF(ISNUMBER(SEARCH("Party Name:-",'R.M Billets Reports'!D275)),TRIM('R.M Billets Reports'!F275),IF(ISNUMBER(SEARCH("Party Name-",'R.M Billets Reports'!D275)),TRIM(MID('R.M Billets Reports'!D275,SEARCH("-",'R.M Billets Reports'!D275)+1,200)),"")))="VRKP ISPAT PVT LTD","VRKP",IF(IF(IF(ISNUMBER(SEARCH("Party Name:-",'R.M Billets Reports'!D274)),TRIM('R.M Billets Reports'!F274),IF(ISNUMBER(SEARCH("Party Name-",'R.M Billets Reports'!D274)),TRIM(MID('R.M Billets Reports'!D274,SEARCH("-",'R.M Billets Reports'!D274)+1,200)),""))&lt;&gt;"",IF(ISNUMBER(SEARCH("Party Name:-",'R.M Billets Reports'!D274)),TRIM('R.M Billets Reports'!F274),IF(ISNUMBER(SEARCH("Party Name-",'R.M Billets Reports'!D274)),TRIM(MID('R.M Billets Reports'!D274,SEARCH("-",'R.M Billets Reports'!D274)+1,200)),"")),IF(ISNUMBER(SEARCH("Party Name:-",'R.M Billets Reports'!D275)),TRIM('R.M Billets Reports'!F275),IF(ISNUMBER(SEARCH("Party Name-",'R.M Billets Reports'!D275)),TRIM(MID('R.M Billets Reports'!D275,SEARCH("-",'R.M Billets Reports'!D275)+1,200)),"")))="SHRI RADHE","SHREE RADHE",IF(IF(IF(ISNUMBER(SEARCH("Party Name:-",'R.M Billets Reports'!D274)),TRIM('R.M Billets Reports'!F274),IF(ISNUMBER(SEARCH("Party Name-",'R.M Billets Reports'!D274)),TRIM(MID('R.M Billets Reports'!D274,SEARCH("-",'R.M Billets Reports'!D274)+1,200)),""))&lt;&gt;"",IF(ISNUMBER(SEARCH("Party Name:-",'R.M Billets Reports'!D274)),TRIM('R.M Billets Reports'!F274),IF(ISNUMBER(SEARCH("Party Name-",'R.M Billets Reports'!D274)),TRIM(MID('R.M Billets Reports'!D274,SEARCH("-",'R.M Billets Reports'!D274)+1,200)),"")),IF(ISNUMBER(SEARCH("Party Name:-",'R.M Billets Reports'!D275)),TRIM('R.M Billets Reports'!F275),IF(ISNUMBER(SEARCH("Party Name-",'R.M Billets Reports'!D275)),TRIM(MID('R.M Billets Reports'!D275,SEARCH("-",'R.M Billets Reports'!D275)+1,200)),"")))="SHREE RADHE SHAKTI SPONGE AND POWER PVT. LTD.","SHREE RADHE",IF(IF(ISNUMBER(SEARCH("Party Name:-",'R.M Billets Reports'!D274)),TRIM('R.M Billets Reports'!F274),IF(ISNUMBER(SEARCH("Party Name-",'R.M Billets Reports'!D274)),TRIM(MID('R.M Billets Reports'!D274,SEARCH("-",'R.M Billets Reports'!D274)+1,200)),""))&lt;&gt;"",IF(ISNUMBER(SEARCH("Party Name:-",'R.M Billets Reports'!D274)),TRIM('R.M Billets Reports'!F274),IF(ISNUMBER(SEARCH("Party Name-",'R.M Billets Reports'!D274)),TRIM(MID('R.M Billets Reports'!D274,SEARCH("-",'R.M Billets Reports'!D274)+1,200)),"")),IF(ISNUMBER(SEARCH("Party Name:-",'R.M Billets Reports'!D275)),TRIM('R.M Billets Reports'!F275),IF(ISNUMBER(SEARCH("Party Name-",'R.M Billets Reports'!D275)),TRIM(MID('R.M Billets Reports'!D275,SEARCH("-",'R.M Billets Reports'!D275)+1,200)),"")))))),IF(ROW()=2,"",A274))</f>
      </c>
      <c r="B275">
        <f>IF(OR('R.M Billets Reports'!A274="Date-",'R.M Billets Reports'!A274="Date:-"),'R.M Billets Reports'!B274,IF(ROW()=2,"",B274))</f>
      </c>
      <c r="C275">
        <f>IF('R.M Billets Reports'!A274="V.No.",'R.M Billets Reports'!B274,IF(ROW()=2,"",C274))</f>
      </c>
      <c r="D275">
        <f>IF('R.M Billets Reports'!A274&lt;&gt;"",'R.M Billets Reports'!A274,IF(ROW()=2,"",D274))</f>
      </c>
      <c r="E275">
        <f>IF('R.M Billets Reports'!B274="","",TRIM('R.M Billets Reports'!B274))</f>
      </c>
      <c r="F275">
        <f>'R.M Billets Reports'!C274</f>
      </c>
      <c r="G275">
        <f>'R.M Billets Reports'!D274</f>
      </c>
      <c r="H275">
        <f>'R.M Billets Reports'!E274</f>
      </c>
      <c r="I275">
        <f>'R.M Billets Reports'!F274</f>
      </c>
      <c r="J275">
        <f>'R.M Billets Reports'!G274</f>
      </c>
      <c r="K275">
        <f>'R.M Billets Reports'!H274</f>
      </c>
      <c r="L275">
        <f>IF('R.M Billets Reports'!I274="","",'R.M Billets Reports'!I274)</f>
      </c>
      <c r="M275">
        <f t="shared" si="8"/>
      </c>
      <c r="N275">
        <f>IF('R.M Billets Reports'!J274="","",'R.M Billets Reports'!J274)</f>
      </c>
      <c r="O275">
        <f t="shared" si="9"/>
      </c>
      <c r="P275">
        <f>IF('R.M Billets Reports'!A274="SIZE",'R.M Billets Reports'!B274,P274)</f>
      </c>
    </row>
    <row r="276" spans="1:16" x14ac:dyDescent="0.25">
      <c r="A276">
        <f>IF(OR('R.M Billets Reports'!A275="Date-",'R.M Billets Reports'!A275="Date:-"),IF(IF(IF(ISNUMBER(SEARCH("Party Name:-",'R.M Billets Reports'!D275)),TRIM('R.M Billets Reports'!F275),IF(ISNUMBER(SEARCH("Party Name-",'R.M Billets Reports'!D275)),TRIM(MID('R.M Billets Reports'!D275,SEARCH("-",'R.M Billets Reports'!D275)+1,200)),""))&lt;&gt;"",IF(ISNUMBER(SEARCH("Party Name:-",'R.M Billets Reports'!D275)),TRIM('R.M Billets Reports'!F275),IF(ISNUMBER(SEARCH("Party Name-",'R.M Billets Reports'!D275)),TRIM(MID('R.M Billets Reports'!D275,SEARCH("-",'R.M Billets Reports'!D275)+1,200)),"")),IF(ISNUMBER(SEARCH("Party Name:-",'R.M Billets Reports'!D276)),TRIM('R.M Billets Reports'!F276),IF(ISNUMBER(SEARCH("Party Name-",'R.M Billets Reports'!D276)),TRIM(MID('R.M Billets Reports'!D276,SEARCH("-",'R.M Billets Reports'!D276)+1,200)),"")))="VRKP ISPAT PVT LTD","VRKP",IF(IF(IF(ISNUMBER(SEARCH("Party Name:-",'R.M Billets Reports'!D275)),TRIM('R.M Billets Reports'!F275),IF(ISNUMBER(SEARCH("Party Name-",'R.M Billets Reports'!D275)),TRIM(MID('R.M Billets Reports'!D275,SEARCH("-",'R.M Billets Reports'!D275)+1,200)),""))&lt;&gt;"",IF(ISNUMBER(SEARCH("Party Name:-",'R.M Billets Reports'!D275)),TRIM('R.M Billets Reports'!F275),IF(ISNUMBER(SEARCH("Party Name-",'R.M Billets Reports'!D275)),TRIM(MID('R.M Billets Reports'!D275,SEARCH("-",'R.M Billets Reports'!D275)+1,200)),"")),IF(ISNUMBER(SEARCH("Party Name:-",'R.M Billets Reports'!D276)),TRIM('R.M Billets Reports'!F276),IF(ISNUMBER(SEARCH("Party Name-",'R.M Billets Reports'!D276)),TRIM(MID('R.M Billets Reports'!D276,SEARCH("-",'R.M Billets Reports'!D276)+1,200)),"")))="SHRI RADHE","SHREE RADHE",IF(IF(IF(ISNUMBER(SEARCH("Party Name:-",'R.M Billets Reports'!D275)),TRIM('R.M Billets Reports'!F275),IF(ISNUMBER(SEARCH("Party Name-",'R.M Billets Reports'!D275)),TRIM(MID('R.M Billets Reports'!D275,SEARCH("-",'R.M Billets Reports'!D275)+1,200)),""))&lt;&gt;"",IF(ISNUMBER(SEARCH("Party Name:-",'R.M Billets Reports'!D275)),TRIM('R.M Billets Reports'!F275),IF(ISNUMBER(SEARCH("Party Name-",'R.M Billets Reports'!D275)),TRIM(MID('R.M Billets Reports'!D275,SEARCH("-",'R.M Billets Reports'!D275)+1,200)),"")),IF(ISNUMBER(SEARCH("Party Name:-",'R.M Billets Reports'!D276)),TRIM('R.M Billets Reports'!F276),IF(ISNUMBER(SEARCH("Party Name-",'R.M Billets Reports'!D276)),TRIM(MID('R.M Billets Reports'!D276,SEARCH("-",'R.M Billets Reports'!D276)+1,200)),"")))="SHREE RADHE SHAKTI SPONGE AND POWER PVT. LTD.","SHREE RADHE",IF(IF(ISNUMBER(SEARCH("Party Name:-",'R.M Billets Reports'!D275)),TRIM('R.M Billets Reports'!F275),IF(ISNUMBER(SEARCH("Party Name-",'R.M Billets Reports'!D275)),TRIM(MID('R.M Billets Reports'!D275,SEARCH("-",'R.M Billets Reports'!D275)+1,200)),""))&lt;&gt;"",IF(ISNUMBER(SEARCH("Party Name:-",'R.M Billets Reports'!D275)),TRIM('R.M Billets Reports'!F275),IF(ISNUMBER(SEARCH("Party Name-",'R.M Billets Reports'!D275)),TRIM(MID('R.M Billets Reports'!D275,SEARCH("-",'R.M Billets Reports'!D275)+1,200)),"")),IF(ISNUMBER(SEARCH("Party Name:-",'R.M Billets Reports'!D276)),TRIM('R.M Billets Reports'!F276),IF(ISNUMBER(SEARCH("Party Name-",'R.M Billets Reports'!D276)),TRIM(MID('R.M Billets Reports'!D276,SEARCH("-",'R.M Billets Reports'!D276)+1,200)),"")))))),IF(ROW()=2,"",A275))</f>
      </c>
      <c r="B276">
        <f>IF(OR('R.M Billets Reports'!A275="Date-",'R.M Billets Reports'!A275="Date:-"),'R.M Billets Reports'!B275,IF(ROW()=2,"",B275))</f>
      </c>
      <c r="C276">
        <f>IF('R.M Billets Reports'!A275="V.No.",'R.M Billets Reports'!B275,IF(ROW()=2,"",C275))</f>
      </c>
      <c r="D276">
        <f>IF('R.M Billets Reports'!A275&lt;&gt;"",'R.M Billets Reports'!A275,IF(ROW()=2,"",D275))</f>
      </c>
      <c r="E276">
        <f>IF('R.M Billets Reports'!B275="","",TRIM('R.M Billets Reports'!B275))</f>
      </c>
      <c r="F276">
        <f>'R.M Billets Reports'!C275</f>
      </c>
      <c r="G276">
        <f>'R.M Billets Reports'!D275</f>
      </c>
      <c r="H276">
        <f>'R.M Billets Reports'!E275</f>
      </c>
      <c r="I276">
        <f>'R.M Billets Reports'!F275</f>
      </c>
      <c r="J276">
        <f>'R.M Billets Reports'!G275</f>
      </c>
      <c r="K276">
        <f>'R.M Billets Reports'!H275</f>
      </c>
      <c r="L276">
        <f>IF('R.M Billets Reports'!I275="","",'R.M Billets Reports'!I275)</f>
      </c>
      <c r="M276">
        <f t="shared" si="8"/>
      </c>
      <c r="N276">
        <f>IF('R.M Billets Reports'!J275="","",'R.M Billets Reports'!J275)</f>
      </c>
      <c r="O276">
        <f t="shared" si="9"/>
      </c>
      <c r="P276">
        <f>IF('R.M Billets Reports'!A275="SIZE",'R.M Billets Reports'!B275,P275)</f>
      </c>
    </row>
    <row r="277" spans="1:16" x14ac:dyDescent="0.25">
      <c r="A277">
        <f>IF(OR('R.M Billets Reports'!A276="Date-",'R.M Billets Reports'!A276="Date:-"),IF(IF(IF(ISNUMBER(SEARCH("Party Name:-",'R.M Billets Reports'!D276)),TRIM('R.M Billets Reports'!F276),IF(ISNUMBER(SEARCH("Party Name-",'R.M Billets Reports'!D276)),TRIM(MID('R.M Billets Reports'!D276,SEARCH("-",'R.M Billets Reports'!D276)+1,200)),""))&lt;&gt;"",IF(ISNUMBER(SEARCH("Party Name:-",'R.M Billets Reports'!D276)),TRIM('R.M Billets Reports'!F276),IF(ISNUMBER(SEARCH("Party Name-",'R.M Billets Reports'!D276)),TRIM(MID('R.M Billets Reports'!D276,SEARCH("-",'R.M Billets Reports'!D276)+1,200)),"")),IF(ISNUMBER(SEARCH("Party Name:-",'R.M Billets Reports'!D277)),TRIM('R.M Billets Reports'!F277),IF(ISNUMBER(SEARCH("Party Name-",'R.M Billets Reports'!D277)),TRIM(MID('R.M Billets Reports'!D277,SEARCH("-",'R.M Billets Reports'!D277)+1,200)),"")))="VRKP ISPAT PVT LTD","VRKP",IF(IF(IF(ISNUMBER(SEARCH("Party Name:-",'R.M Billets Reports'!D276)),TRIM('R.M Billets Reports'!F276),IF(ISNUMBER(SEARCH("Party Name-",'R.M Billets Reports'!D276)),TRIM(MID('R.M Billets Reports'!D276,SEARCH("-",'R.M Billets Reports'!D276)+1,200)),""))&lt;&gt;"",IF(ISNUMBER(SEARCH("Party Name:-",'R.M Billets Reports'!D276)),TRIM('R.M Billets Reports'!F276),IF(ISNUMBER(SEARCH("Party Name-",'R.M Billets Reports'!D276)),TRIM(MID('R.M Billets Reports'!D276,SEARCH("-",'R.M Billets Reports'!D276)+1,200)),"")),IF(ISNUMBER(SEARCH("Party Name:-",'R.M Billets Reports'!D277)),TRIM('R.M Billets Reports'!F277),IF(ISNUMBER(SEARCH("Party Name-",'R.M Billets Reports'!D277)),TRIM(MID('R.M Billets Reports'!D277,SEARCH("-",'R.M Billets Reports'!D277)+1,200)),"")))="SHRI RADHE","SHREE RADHE",IF(IF(IF(ISNUMBER(SEARCH("Party Name:-",'R.M Billets Reports'!D276)),TRIM('R.M Billets Reports'!F276),IF(ISNUMBER(SEARCH("Party Name-",'R.M Billets Reports'!D276)),TRIM(MID('R.M Billets Reports'!D276,SEARCH("-",'R.M Billets Reports'!D276)+1,200)),""))&lt;&gt;"",IF(ISNUMBER(SEARCH("Party Name:-",'R.M Billets Reports'!D276)),TRIM('R.M Billets Reports'!F276),IF(ISNUMBER(SEARCH("Party Name-",'R.M Billets Reports'!D276)),TRIM(MID('R.M Billets Reports'!D276,SEARCH("-",'R.M Billets Reports'!D276)+1,200)),"")),IF(ISNUMBER(SEARCH("Party Name:-",'R.M Billets Reports'!D277)),TRIM('R.M Billets Reports'!F277),IF(ISNUMBER(SEARCH("Party Name-",'R.M Billets Reports'!D277)),TRIM(MID('R.M Billets Reports'!D277,SEARCH("-",'R.M Billets Reports'!D277)+1,200)),"")))="SHREE RADHE SHAKTI SPONGE AND POWER PVT. LTD.","SHREE RADHE",IF(IF(ISNUMBER(SEARCH("Party Name:-",'R.M Billets Reports'!D276)),TRIM('R.M Billets Reports'!F276),IF(ISNUMBER(SEARCH("Party Name-",'R.M Billets Reports'!D276)),TRIM(MID('R.M Billets Reports'!D276,SEARCH("-",'R.M Billets Reports'!D276)+1,200)),""))&lt;&gt;"",IF(ISNUMBER(SEARCH("Party Name:-",'R.M Billets Reports'!D276)),TRIM('R.M Billets Reports'!F276),IF(ISNUMBER(SEARCH("Party Name-",'R.M Billets Reports'!D276)),TRIM(MID('R.M Billets Reports'!D276,SEARCH("-",'R.M Billets Reports'!D276)+1,200)),"")),IF(ISNUMBER(SEARCH("Party Name:-",'R.M Billets Reports'!D277)),TRIM('R.M Billets Reports'!F277),IF(ISNUMBER(SEARCH("Party Name-",'R.M Billets Reports'!D277)),TRIM(MID('R.M Billets Reports'!D277,SEARCH("-",'R.M Billets Reports'!D277)+1,200)),"")))))),IF(ROW()=2,"",A276))</f>
      </c>
      <c r="B277">
        <f>IF(OR('R.M Billets Reports'!A276="Date-",'R.M Billets Reports'!A276="Date:-"),'R.M Billets Reports'!B276,IF(ROW()=2,"",B276))</f>
      </c>
      <c r="C277">
        <f>IF('R.M Billets Reports'!A276="V.No.",'R.M Billets Reports'!B276,IF(ROW()=2,"",C276))</f>
      </c>
      <c r="D277">
        <f>IF('R.M Billets Reports'!A276&lt;&gt;"",'R.M Billets Reports'!A276,IF(ROW()=2,"",D276))</f>
      </c>
      <c r="E277">
        <f>IF('R.M Billets Reports'!B276="","",TRIM('R.M Billets Reports'!B276))</f>
      </c>
      <c r="F277">
        <f>'R.M Billets Reports'!C276</f>
      </c>
      <c r="G277">
        <f>'R.M Billets Reports'!D276</f>
      </c>
      <c r="H277">
        <f>'R.M Billets Reports'!E276</f>
      </c>
      <c r="I277">
        <f>'R.M Billets Reports'!F276</f>
      </c>
      <c r="J277">
        <f>'R.M Billets Reports'!G276</f>
      </c>
      <c r="K277">
        <f>'R.M Billets Reports'!H276</f>
      </c>
      <c r="L277">
        <f>IF('R.M Billets Reports'!I276="","",'R.M Billets Reports'!I276)</f>
      </c>
      <c r="M277">
        <f t="shared" si="8"/>
      </c>
      <c r="N277">
        <f>IF('R.M Billets Reports'!J276="","",'R.M Billets Reports'!J276)</f>
      </c>
      <c r="O277">
        <f t="shared" si="9"/>
      </c>
      <c r="P277">
        <f>IF('R.M Billets Reports'!A276="SIZE",'R.M Billets Reports'!B276,P276)</f>
      </c>
    </row>
    <row r="278" spans="1:16" x14ac:dyDescent="0.25">
      <c r="A278">
        <f>IF(OR('R.M Billets Reports'!A277="Date-",'R.M Billets Reports'!A277="Date:-"),IF(IF(IF(ISNUMBER(SEARCH("Party Name:-",'R.M Billets Reports'!D277)),TRIM('R.M Billets Reports'!F277),IF(ISNUMBER(SEARCH("Party Name-",'R.M Billets Reports'!D277)),TRIM(MID('R.M Billets Reports'!D277,SEARCH("-",'R.M Billets Reports'!D277)+1,200)),""))&lt;&gt;"",IF(ISNUMBER(SEARCH("Party Name:-",'R.M Billets Reports'!D277)),TRIM('R.M Billets Reports'!F277),IF(ISNUMBER(SEARCH("Party Name-",'R.M Billets Reports'!D277)),TRIM(MID('R.M Billets Reports'!D277,SEARCH("-",'R.M Billets Reports'!D277)+1,200)),"")),IF(ISNUMBER(SEARCH("Party Name:-",'R.M Billets Reports'!D278)),TRIM('R.M Billets Reports'!F278),IF(ISNUMBER(SEARCH("Party Name-",'R.M Billets Reports'!D278)),TRIM(MID('R.M Billets Reports'!D278,SEARCH("-",'R.M Billets Reports'!D278)+1,200)),"")))="VRKP ISPAT PVT LTD","VRKP",IF(IF(IF(ISNUMBER(SEARCH("Party Name:-",'R.M Billets Reports'!D277)),TRIM('R.M Billets Reports'!F277),IF(ISNUMBER(SEARCH("Party Name-",'R.M Billets Reports'!D277)),TRIM(MID('R.M Billets Reports'!D277,SEARCH("-",'R.M Billets Reports'!D277)+1,200)),""))&lt;&gt;"",IF(ISNUMBER(SEARCH("Party Name:-",'R.M Billets Reports'!D277)),TRIM('R.M Billets Reports'!F277),IF(ISNUMBER(SEARCH("Party Name-",'R.M Billets Reports'!D277)),TRIM(MID('R.M Billets Reports'!D277,SEARCH("-",'R.M Billets Reports'!D277)+1,200)),"")),IF(ISNUMBER(SEARCH("Party Name:-",'R.M Billets Reports'!D278)),TRIM('R.M Billets Reports'!F278),IF(ISNUMBER(SEARCH("Party Name-",'R.M Billets Reports'!D278)),TRIM(MID('R.M Billets Reports'!D278,SEARCH("-",'R.M Billets Reports'!D278)+1,200)),"")))="SHRI RADHE","SHREE RADHE",IF(IF(IF(ISNUMBER(SEARCH("Party Name:-",'R.M Billets Reports'!D277)),TRIM('R.M Billets Reports'!F277),IF(ISNUMBER(SEARCH("Party Name-",'R.M Billets Reports'!D277)),TRIM(MID('R.M Billets Reports'!D277,SEARCH("-",'R.M Billets Reports'!D277)+1,200)),""))&lt;&gt;"",IF(ISNUMBER(SEARCH("Party Name:-",'R.M Billets Reports'!D277)),TRIM('R.M Billets Reports'!F277),IF(ISNUMBER(SEARCH("Party Name-",'R.M Billets Reports'!D277)),TRIM(MID('R.M Billets Reports'!D277,SEARCH("-",'R.M Billets Reports'!D277)+1,200)),"")),IF(ISNUMBER(SEARCH("Party Name:-",'R.M Billets Reports'!D278)),TRIM('R.M Billets Reports'!F278),IF(ISNUMBER(SEARCH("Party Name-",'R.M Billets Reports'!D278)),TRIM(MID('R.M Billets Reports'!D278,SEARCH("-",'R.M Billets Reports'!D278)+1,200)),"")))="SHREE RADHE SHAKTI SPONGE AND POWER PVT. LTD.","SHREE RADHE",IF(IF(ISNUMBER(SEARCH("Party Name:-",'R.M Billets Reports'!D277)),TRIM('R.M Billets Reports'!F277),IF(ISNUMBER(SEARCH("Party Name-",'R.M Billets Reports'!D277)),TRIM(MID('R.M Billets Reports'!D277,SEARCH("-",'R.M Billets Reports'!D277)+1,200)),""))&lt;&gt;"",IF(ISNUMBER(SEARCH("Party Name:-",'R.M Billets Reports'!D277)),TRIM('R.M Billets Reports'!F277),IF(ISNUMBER(SEARCH("Party Name-",'R.M Billets Reports'!D277)),TRIM(MID('R.M Billets Reports'!D277,SEARCH("-",'R.M Billets Reports'!D277)+1,200)),"")),IF(ISNUMBER(SEARCH("Party Name:-",'R.M Billets Reports'!D278)),TRIM('R.M Billets Reports'!F278),IF(ISNUMBER(SEARCH("Party Name-",'R.M Billets Reports'!D278)),TRIM(MID('R.M Billets Reports'!D278,SEARCH("-",'R.M Billets Reports'!D278)+1,200)),"")))))),IF(ROW()=2,"",A277))</f>
      </c>
      <c r="B278">
        <f>IF(OR('R.M Billets Reports'!A277="Date-",'R.M Billets Reports'!A277="Date:-"),'R.M Billets Reports'!B277,IF(ROW()=2,"",B277))</f>
      </c>
      <c r="C278">
        <f>IF('R.M Billets Reports'!A277="V.No.",'R.M Billets Reports'!B277,IF(ROW()=2,"",C277))</f>
      </c>
      <c r="D278">
        <f>IF('R.M Billets Reports'!A277&lt;&gt;"",'R.M Billets Reports'!A277,IF(ROW()=2,"",D277))</f>
      </c>
      <c r="E278">
        <f>IF('R.M Billets Reports'!B277="","",TRIM('R.M Billets Reports'!B277))</f>
      </c>
      <c r="F278">
        <f>'R.M Billets Reports'!C277</f>
      </c>
      <c r="G278">
        <f>'R.M Billets Reports'!D277</f>
      </c>
      <c r="H278">
        <f>'R.M Billets Reports'!E277</f>
      </c>
      <c r="I278">
        <f>'R.M Billets Reports'!F277</f>
      </c>
      <c r="J278">
        <f>'R.M Billets Reports'!G277</f>
      </c>
      <c r="K278">
        <f>'R.M Billets Reports'!H277</f>
      </c>
      <c r="L278">
        <f>IF('R.M Billets Reports'!I277="","",'R.M Billets Reports'!I277)</f>
      </c>
      <c r="M278">
        <f t="shared" si="8"/>
      </c>
      <c r="N278">
        <f>IF('R.M Billets Reports'!J277="","",'R.M Billets Reports'!J277)</f>
      </c>
      <c r="O278">
        <f t="shared" si="9"/>
      </c>
      <c r="P278">
        <f>IF('R.M Billets Reports'!A277="SIZE",'R.M Billets Reports'!B277,P277)</f>
      </c>
    </row>
    <row r="279" spans="1:16" x14ac:dyDescent="0.25">
      <c r="A279">
        <f>IF(OR('R.M Billets Reports'!A278="Date-",'R.M Billets Reports'!A278="Date:-"),IF(IF(IF(ISNUMBER(SEARCH("Party Name:-",'R.M Billets Reports'!D278)),TRIM('R.M Billets Reports'!F278),IF(ISNUMBER(SEARCH("Party Name-",'R.M Billets Reports'!D278)),TRIM(MID('R.M Billets Reports'!D278,SEARCH("-",'R.M Billets Reports'!D278)+1,200)),""))&lt;&gt;"",IF(ISNUMBER(SEARCH("Party Name:-",'R.M Billets Reports'!D278)),TRIM('R.M Billets Reports'!F278),IF(ISNUMBER(SEARCH("Party Name-",'R.M Billets Reports'!D278)),TRIM(MID('R.M Billets Reports'!D278,SEARCH("-",'R.M Billets Reports'!D278)+1,200)),"")),IF(ISNUMBER(SEARCH("Party Name:-",'R.M Billets Reports'!D279)),TRIM('R.M Billets Reports'!F279),IF(ISNUMBER(SEARCH("Party Name-",'R.M Billets Reports'!D279)),TRIM(MID('R.M Billets Reports'!D279,SEARCH("-",'R.M Billets Reports'!D279)+1,200)),"")))="VRKP ISPAT PVT LTD","VRKP",IF(IF(IF(ISNUMBER(SEARCH("Party Name:-",'R.M Billets Reports'!D278)),TRIM('R.M Billets Reports'!F278),IF(ISNUMBER(SEARCH("Party Name-",'R.M Billets Reports'!D278)),TRIM(MID('R.M Billets Reports'!D278,SEARCH("-",'R.M Billets Reports'!D278)+1,200)),""))&lt;&gt;"",IF(ISNUMBER(SEARCH("Party Name:-",'R.M Billets Reports'!D278)),TRIM('R.M Billets Reports'!F278),IF(ISNUMBER(SEARCH("Party Name-",'R.M Billets Reports'!D278)),TRIM(MID('R.M Billets Reports'!D278,SEARCH("-",'R.M Billets Reports'!D278)+1,200)),"")),IF(ISNUMBER(SEARCH("Party Name:-",'R.M Billets Reports'!D279)),TRIM('R.M Billets Reports'!F279),IF(ISNUMBER(SEARCH("Party Name-",'R.M Billets Reports'!D279)),TRIM(MID('R.M Billets Reports'!D279,SEARCH("-",'R.M Billets Reports'!D279)+1,200)),"")))="SHRI RADHE","SHREE RADHE",IF(IF(IF(ISNUMBER(SEARCH("Party Name:-",'R.M Billets Reports'!D278)),TRIM('R.M Billets Reports'!F278),IF(ISNUMBER(SEARCH("Party Name-",'R.M Billets Reports'!D278)),TRIM(MID('R.M Billets Reports'!D278,SEARCH("-",'R.M Billets Reports'!D278)+1,200)),""))&lt;&gt;"",IF(ISNUMBER(SEARCH("Party Name:-",'R.M Billets Reports'!D278)),TRIM('R.M Billets Reports'!F278),IF(ISNUMBER(SEARCH("Party Name-",'R.M Billets Reports'!D278)),TRIM(MID('R.M Billets Reports'!D278,SEARCH("-",'R.M Billets Reports'!D278)+1,200)),"")),IF(ISNUMBER(SEARCH("Party Name:-",'R.M Billets Reports'!D279)),TRIM('R.M Billets Reports'!F279),IF(ISNUMBER(SEARCH("Party Name-",'R.M Billets Reports'!D279)),TRIM(MID('R.M Billets Reports'!D279,SEARCH("-",'R.M Billets Reports'!D279)+1,200)),"")))="SHREE RADHE SHAKTI SPONGE AND POWER PVT. LTD.","SHREE RADHE",IF(IF(ISNUMBER(SEARCH("Party Name:-",'R.M Billets Reports'!D278)),TRIM('R.M Billets Reports'!F278),IF(ISNUMBER(SEARCH("Party Name-",'R.M Billets Reports'!D278)),TRIM(MID('R.M Billets Reports'!D278,SEARCH("-",'R.M Billets Reports'!D278)+1,200)),""))&lt;&gt;"",IF(ISNUMBER(SEARCH("Party Name:-",'R.M Billets Reports'!D278)),TRIM('R.M Billets Reports'!F278),IF(ISNUMBER(SEARCH("Party Name-",'R.M Billets Reports'!D278)),TRIM(MID('R.M Billets Reports'!D278,SEARCH("-",'R.M Billets Reports'!D278)+1,200)),"")),IF(ISNUMBER(SEARCH("Party Name:-",'R.M Billets Reports'!D279)),TRIM('R.M Billets Reports'!F279),IF(ISNUMBER(SEARCH("Party Name-",'R.M Billets Reports'!D279)),TRIM(MID('R.M Billets Reports'!D279,SEARCH("-",'R.M Billets Reports'!D279)+1,200)),"")))))),IF(ROW()=2,"",A278))</f>
      </c>
      <c r="B279">
        <f>IF(OR('R.M Billets Reports'!A278="Date-",'R.M Billets Reports'!A278="Date:-"),'R.M Billets Reports'!B278,IF(ROW()=2,"",B278))</f>
      </c>
      <c r="C279">
        <f>IF('R.M Billets Reports'!A278="V.No.",'R.M Billets Reports'!B278,IF(ROW()=2,"",C278))</f>
      </c>
      <c r="D279">
        <f>IF('R.M Billets Reports'!A278&lt;&gt;"",'R.M Billets Reports'!A278,IF(ROW()=2,"",D278))</f>
      </c>
      <c r="E279">
        <f>IF('R.M Billets Reports'!B278="","",TRIM('R.M Billets Reports'!B278))</f>
      </c>
      <c r="F279">
        <f>'R.M Billets Reports'!C278</f>
      </c>
      <c r="G279">
        <f>'R.M Billets Reports'!D278</f>
      </c>
      <c r="H279">
        <f>'R.M Billets Reports'!E278</f>
      </c>
      <c r="I279">
        <f>'R.M Billets Reports'!F278</f>
      </c>
      <c r="J279">
        <f>'R.M Billets Reports'!G278</f>
      </c>
      <c r="K279">
        <f>'R.M Billets Reports'!H278</f>
      </c>
      <c r="L279">
        <f>IF('R.M Billets Reports'!I278="","",'R.M Billets Reports'!I278)</f>
      </c>
      <c r="M279">
        <f t="shared" si="8"/>
      </c>
      <c r="N279">
        <f>IF('R.M Billets Reports'!J278="","",'R.M Billets Reports'!J278)</f>
      </c>
      <c r="O279">
        <f t="shared" si="9"/>
      </c>
      <c r="P279">
        <f>IF('R.M Billets Reports'!A278="SIZE",'R.M Billets Reports'!B278,P278)</f>
      </c>
    </row>
    <row r="280" spans="1:16" x14ac:dyDescent="0.25">
      <c r="A280">
        <f>IF(OR('R.M Billets Reports'!A279="Date-",'R.M Billets Reports'!A279="Date:-"),IF(IF(IF(ISNUMBER(SEARCH("Party Name:-",'R.M Billets Reports'!D279)),TRIM('R.M Billets Reports'!F279),IF(ISNUMBER(SEARCH("Party Name-",'R.M Billets Reports'!D279)),TRIM(MID('R.M Billets Reports'!D279,SEARCH("-",'R.M Billets Reports'!D279)+1,200)),""))&lt;&gt;"",IF(ISNUMBER(SEARCH("Party Name:-",'R.M Billets Reports'!D279)),TRIM('R.M Billets Reports'!F279),IF(ISNUMBER(SEARCH("Party Name-",'R.M Billets Reports'!D279)),TRIM(MID('R.M Billets Reports'!D279,SEARCH("-",'R.M Billets Reports'!D279)+1,200)),"")),IF(ISNUMBER(SEARCH("Party Name:-",'R.M Billets Reports'!D280)),TRIM('R.M Billets Reports'!F280),IF(ISNUMBER(SEARCH("Party Name-",'R.M Billets Reports'!D280)),TRIM(MID('R.M Billets Reports'!D280,SEARCH("-",'R.M Billets Reports'!D280)+1,200)),"")))="VRKP ISPAT PVT LTD","VRKP",IF(IF(IF(ISNUMBER(SEARCH("Party Name:-",'R.M Billets Reports'!D279)),TRIM('R.M Billets Reports'!F279),IF(ISNUMBER(SEARCH("Party Name-",'R.M Billets Reports'!D279)),TRIM(MID('R.M Billets Reports'!D279,SEARCH("-",'R.M Billets Reports'!D279)+1,200)),""))&lt;&gt;"",IF(ISNUMBER(SEARCH("Party Name:-",'R.M Billets Reports'!D279)),TRIM('R.M Billets Reports'!F279),IF(ISNUMBER(SEARCH("Party Name-",'R.M Billets Reports'!D279)),TRIM(MID('R.M Billets Reports'!D279,SEARCH("-",'R.M Billets Reports'!D279)+1,200)),"")),IF(ISNUMBER(SEARCH("Party Name:-",'R.M Billets Reports'!D280)),TRIM('R.M Billets Reports'!F280),IF(ISNUMBER(SEARCH("Party Name-",'R.M Billets Reports'!D280)),TRIM(MID('R.M Billets Reports'!D280,SEARCH("-",'R.M Billets Reports'!D280)+1,200)),"")))="SHRI RADHE","SHREE RADHE",IF(IF(IF(ISNUMBER(SEARCH("Party Name:-",'R.M Billets Reports'!D279)),TRIM('R.M Billets Reports'!F279),IF(ISNUMBER(SEARCH("Party Name-",'R.M Billets Reports'!D279)),TRIM(MID('R.M Billets Reports'!D279,SEARCH("-",'R.M Billets Reports'!D279)+1,200)),""))&lt;&gt;"",IF(ISNUMBER(SEARCH("Party Name:-",'R.M Billets Reports'!D279)),TRIM('R.M Billets Reports'!F279),IF(ISNUMBER(SEARCH("Party Name-",'R.M Billets Reports'!D279)),TRIM(MID('R.M Billets Reports'!D279,SEARCH("-",'R.M Billets Reports'!D279)+1,200)),"")),IF(ISNUMBER(SEARCH("Party Name:-",'R.M Billets Reports'!D280)),TRIM('R.M Billets Reports'!F280),IF(ISNUMBER(SEARCH("Party Name-",'R.M Billets Reports'!D280)),TRIM(MID('R.M Billets Reports'!D280,SEARCH("-",'R.M Billets Reports'!D280)+1,200)),"")))="SHREE RADHE SHAKTI SPONGE AND POWER PVT. LTD.","SHREE RADHE",IF(IF(ISNUMBER(SEARCH("Party Name:-",'R.M Billets Reports'!D279)),TRIM('R.M Billets Reports'!F279),IF(ISNUMBER(SEARCH("Party Name-",'R.M Billets Reports'!D279)),TRIM(MID('R.M Billets Reports'!D279,SEARCH("-",'R.M Billets Reports'!D279)+1,200)),""))&lt;&gt;"",IF(ISNUMBER(SEARCH("Party Name:-",'R.M Billets Reports'!D279)),TRIM('R.M Billets Reports'!F279),IF(ISNUMBER(SEARCH("Party Name-",'R.M Billets Reports'!D279)),TRIM(MID('R.M Billets Reports'!D279,SEARCH("-",'R.M Billets Reports'!D279)+1,200)),"")),IF(ISNUMBER(SEARCH("Party Name:-",'R.M Billets Reports'!D280)),TRIM('R.M Billets Reports'!F280),IF(ISNUMBER(SEARCH("Party Name-",'R.M Billets Reports'!D280)),TRIM(MID('R.M Billets Reports'!D280,SEARCH("-",'R.M Billets Reports'!D280)+1,200)),"")))))),IF(ROW()=2,"",A279))</f>
      </c>
      <c r="B280">
        <f>IF(OR('R.M Billets Reports'!A279="Date-",'R.M Billets Reports'!A279="Date:-"),'R.M Billets Reports'!B279,IF(ROW()=2,"",B279))</f>
      </c>
      <c r="C280">
        <f>IF('R.M Billets Reports'!A279="V.No.",'R.M Billets Reports'!B279,IF(ROW()=2,"",C279))</f>
      </c>
      <c r="D280">
        <f>IF('R.M Billets Reports'!A279&lt;&gt;"",'R.M Billets Reports'!A279,IF(ROW()=2,"",D279))</f>
      </c>
      <c r="E280">
        <f>IF('R.M Billets Reports'!B279="","",TRIM('R.M Billets Reports'!B279))</f>
      </c>
      <c r="F280">
        <f>'R.M Billets Reports'!C279</f>
      </c>
      <c r="G280">
        <f>'R.M Billets Reports'!D279</f>
      </c>
      <c r="H280">
        <f>'R.M Billets Reports'!E279</f>
      </c>
      <c r="I280">
        <f>'R.M Billets Reports'!F279</f>
      </c>
      <c r="J280">
        <f>'R.M Billets Reports'!G279</f>
      </c>
      <c r="K280">
        <f>'R.M Billets Reports'!H279</f>
      </c>
      <c r="L280">
        <f>IF('R.M Billets Reports'!I279="","",'R.M Billets Reports'!I279)</f>
      </c>
      <c r="M280">
        <f t="shared" si="8"/>
      </c>
      <c r="N280">
        <f>IF('R.M Billets Reports'!J279="","",'R.M Billets Reports'!J279)</f>
      </c>
      <c r="O280">
        <f t="shared" si="9"/>
      </c>
      <c r="P280">
        <f>IF('R.M Billets Reports'!A279="SIZE",'R.M Billets Reports'!B279,P279)</f>
      </c>
    </row>
    <row r="281" spans="1:16" x14ac:dyDescent="0.25">
      <c r="A281">
        <f>IF(OR('R.M Billets Reports'!A280="Date-",'R.M Billets Reports'!A280="Date:-"),IF(IF(IF(ISNUMBER(SEARCH("Party Name:-",'R.M Billets Reports'!D280)),TRIM('R.M Billets Reports'!F280),IF(ISNUMBER(SEARCH("Party Name-",'R.M Billets Reports'!D280)),TRIM(MID('R.M Billets Reports'!D280,SEARCH("-",'R.M Billets Reports'!D280)+1,200)),""))&lt;&gt;"",IF(ISNUMBER(SEARCH("Party Name:-",'R.M Billets Reports'!D280)),TRIM('R.M Billets Reports'!F280),IF(ISNUMBER(SEARCH("Party Name-",'R.M Billets Reports'!D280)),TRIM(MID('R.M Billets Reports'!D280,SEARCH("-",'R.M Billets Reports'!D280)+1,200)),"")),IF(ISNUMBER(SEARCH("Party Name:-",'R.M Billets Reports'!D281)),TRIM('R.M Billets Reports'!F281),IF(ISNUMBER(SEARCH("Party Name-",'R.M Billets Reports'!D281)),TRIM(MID('R.M Billets Reports'!D281,SEARCH("-",'R.M Billets Reports'!D281)+1,200)),"")))="VRKP ISPAT PVT LTD","VRKP",IF(IF(IF(ISNUMBER(SEARCH("Party Name:-",'R.M Billets Reports'!D280)),TRIM('R.M Billets Reports'!F280),IF(ISNUMBER(SEARCH("Party Name-",'R.M Billets Reports'!D280)),TRIM(MID('R.M Billets Reports'!D280,SEARCH("-",'R.M Billets Reports'!D280)+1,200)),""))&lt;&gt;"",IF(ISNUMBER(SEARCH("Party Name:-",'R.M Billets Reports'!D280)),TRIM('R.M Billets Reports'!F280),IF(ISNUMBER(SEARCH("Party Name-",'R.M Billets Reports'!D280)),TRIM(MID('R.M Billets Reports'!D280,SEARCH("-",'R.M Billets Reports'!D280)+1,200)),"")),IF(ISNUMBER(SEARCH("Party Name:-",'R.M Billets Reports'!D281)),TRIM('R.M Billets Reports'!F281),IF(ISNUMBER(SEARCH("Party Name-",'R.M Billets Reports'!D281)),TRIM(MID('R.M Billets Reports'!D281,SEARCH("-",'R.M Billets Reports'!D281)+1,200)),"")))="SHRI RADHE","SHREE RADHE",IF(IF(IF(ISNUMBER(SEARCH("Party Name:-",'R.M Billets Reports'!D280)),TRIM('R.M Billets Reports'!F280),IF(ISNUMBER(SEARCH("Party Name-",'R.M Billets Reports'!D280)),TRIM(MID('R.M Billets Reports'!D280,SEARCH("-",'R.M Billets Reports'!D280)+1,200)),""))&lt;&gt;"",IF(ISNUMBER(SEARCH("Party Name:-",'R.M Billets Reports'!D280)),TRIM('R.M Billets Reports'!F280),IF(ISNUMBER(SEARCH("Party Name-",'R.M Billets Reports'!D280)),TRIM(MID('R.M Billets Reports'!D280,SEARCH("-",'R.M Billets Reports'!D280)+1,200)),"")),IF(ISNUMBER(SEARCH("Party Name:-",'R.M Billets Reports'!D281)),TRIM('R.M Billets Reports'!F281),IF(ISNUMBER(SEARCH("Party Name-",'R.M Billets Reports'!D281)),TRIM(MID('R.M Billets Reports'!D281,SEARCH("-",'R.M Billets Reports'!D281)+1,200)),"")))="SHREE RADHE SHAKTI SPONGE AND POWER PVT. LTD.","SHREE RADHE",IF(IF(ISNUMBER(SEARCH("Party Name:-",'R.M Billets Reports'!D280)),TRIM('R.M Billets Reports'!F280),IF(ISNUMBER(SEARCH("Party Name-",'R.M Billets Reports'!D280)),TRIM(MID('R.M Billets Reports'!D280,SEARCH("-",'R.M Billets Reports'!D280)+1,200)),""))&lt;&gt;"",IF(ISNUMBER(SEARCH("Party Name:-",'R.M Billets Reports'!D280)),TRIM('R.M Billets Reports'!F280),IF(ISNUMBER(SEARCH("Party Name-",'R.M Billets Reports'!D280)),TRIM(MID('R.M Billets Reports'!D280,SEARCH("-",'R.M Billets Reports'!D280)+1,200)),"")),IF(ISNUMBER(SEARCH("Party Name:-",'R.M Billets Reports'!D281)),TRIM('R.M Billets Reports'!F281),IF(ISNUMBER(SEARCH("Party Name-",'R.M Billets Reports'!D281)),TRIM(MID('R.M Billets Reports'!D281,SEARCH("-",'R.M Billets Reports'!D281)+1,200)),"")))))),IF(ROW()=2,"",A280))</f>
      </c>
      <c r="B281">
        <f>IF(OR('R.M Billets Reports'!A280="Date-",'R.M Billets Reports'!A280="Date:-"),'R.M Billets Reports'!B280,IF(ROW()=2,"",B280))</f>
      </c>
      <c r="C281">
        <f>IF('R.M Billets Reports'!A280="V.No.",'R.M Billets Reports'!B280,IF(ROW()=2,"",C280))</f>
      </c>
      <c r="D281">
        <f>IF('R.M Billets Reports'!A280&lt;&gt;"",'R.M Billets Reports'!A280,IF(ROW()=2,"",D280))</f>
      </c>
      <c r="E281">
        <f>IF('R.M Billets Reports'!B280="","",TRIM('R.M Billets Reports'!B280))</f>
      </c>
      <c r="F281">
        <f>'R.M Billets Reports'!C280</f>
      </c>
      <c r="G281">
        <f>'R.M Billets Reports'!D280</f>
      </c>
      <c r="H281">
        <f>'R.M Billets Reports'!E280</f>
      </c>
      <c r="I281">
        <f>'R.M Billets Reports'!F280</f>
      </c>
      <c r="J281">
        <f>'R.M Billets Reports'!G280</f>
      </c>
      <c r="K281">
        <f>'R.M Billets Reports'!H280</f>
      </c>
      <c r="L281">
        <f>IF('R.M Billets Reports'!I280="","",'R.M Billets Reports'!I280)</f>
      </c>
      <c r="M281">
        <f t="shared" si="8"/>
      </c>
      <c r="N281">
        <f>IF('R.M Billets Reports'!J280="","",'R.M Billets Reports'!J280)</f>
      </c>
      <c r="O281">
        <f t="shared" si="9"/>
      </c>
      <c r="P281">
        <f>IF('R.M Billets Reports'!A280="SIZE",'R.M Billets Reports'!B280,P280)</f>
      </c>
    </row>
    <row r="282" spans="1:16" x14ac:dyDescent="0.25">
      <c r="A282">
        <f>IF(OR('R.M Billets Reports'!A281="Date-",'R.M Billets Reports'!A281="Date:-"),IF(IF(IF(ISNUMBER(SEARCH("Party Name:-",'R.M Billets Reports'!D281)),TRIM('R.M Billets Reports'!F281),IF(ISNUMBER(SEARCH("Party Name-",'R.M Billets Reports'!D281)),TRIM(MID('R.M Billets Reports'!D281,SEARCH("-",'R.M Billets Reports'!D281)+1,200)),""))&lt;&gt;"",IF(ISNUMBER(SEARCH("Party Name:-",'R.M Billets Reports'!D281)),TRIM('R.M Billets Reports'!F281),IF(ISNUMBER(SEARCH("Party Name-",'R.M Billets Reports'!D281)),TRIM(MID('R.M Billets Reports'!D281,SEARCH("-",'R.M Billets Reports'!D281)+1,200)),"")),IF(ISNUMBER(SEARCH("Party Name:-",'R.M Billets Reports'!D282)),TRIM('R.M Billets Reports'!F282),IF(ISNUMBER(SEARCH("Party Name-",'R.M Billets Reports'!D282)),TRIM(MID('R.M Billets Reports'!D282,SEARCH("-",'R.M Billets Reports'!D282)+1,200)),"")))="VRKP ISPAT PVT LTD","VRKP",IF(IF(IF(ISNUMBER(SEARCH("Party Name:-",'R.M Billets Reports'!D281)),TRIM('R.M Billets Reports'!F281),IF(ISNUMBER(SEARCH("Party Name-",'R.M Billets Reports'!D281)),TRIM(MID('R.M Billets Reports'!D281,SEARCH("-",'R.M Billets Reports'!D281)+1,200)),""))&lt;&gt;"",IF(ISNUMBER(SEARCH("Party Name:-",'R.M Billets Reports'!D281)),TRIM('R.M Billets Reports'!F281),IF(ISNUMBER(SEARCH("Party Name-",'R.M Billets Reports'!D281)),TRIM(MID('R.M Billets Reports'!D281,SEARCH("-",'R.M Billets Reports'!D281)+1,200)),"")),IF(ISNUMBER(SEARCH("Party Name:-",'R.M Billets Reports'!D282)),TRIM('R.M Billets Reports'!F282),IF(ISNUMBER(SEARCH("Party Name-",'R.M Billets Reports'!D282)),TRIM(MID('R.M Billets Reports'!D282,SEARCH("-",'R.M Billets Reports'!D282)+1,200)),"")))="SHRI RADHE","SHREE RADHE",IF(IF(IF(ISNUMBER(SEARCH("Party Name:-",'R.M Billets Reports'!D281)),TRIM('R.M Billets Reports'!F281),IF(ISNUMBER(SEARCH("Party Name-",'R.M Billets Reports'!D281)),TRIM(MID('R.M Billets Reports'!D281,SEARCH("-",'R.M Billets Reports'!D281)+1,200)),""))&lt;&gt;"",IF(ISNUMBER(SEARCH("Party Name:-",'R.M Billets Reports'!D281)),TRIM('R.M Billets Reports'!F281),IF(ISNUMBER(SEARCH("Party Name-",'R.M Billets Reports'!D281)),TRIM(MID('R.M Billets Reports'!D281,SEARCH("-",'R.M Billets Reports'!D281)+1,200)),"")),IF(ISNUMBER(SEARCH("Party Name:-",'R.M Billets Reports'!D282)),TRIM('R.M Billets Reports'!F282),IF(ISNUMBER(SEARCH("Party Name-",'R.M Billets Reports'!D282)),TRIM(MID('R.M Billets Reports'!D282,SEARCH("-",'R.M Billets Reports'!D282)+1,200)),"")))="SHREE RADHE SHAKTI SPONGE AND POWER PVT. LTD.","SHREE RADHE",IF(IF(ISNUMBER(SEARCH("Party Name:-",'R.M Billets Reports'!D281)),TRIM('R.M Billets Reports'!F281),IF(ISNUMBER(SEARCH("Party Name-",'R.M Billets Reports'!D281)),TRIM(MID('R.M Billets Reports'!D281,SEARCH("-",'R.M Billets Reports'!D281)+1,200)),""))&lt;&gt;"",IF(ISNUMBER(SEARCH("Party Name:-",'R.M Billets Reports'!D281)),TRIM('R.M Billets Reports'!F281),IF(ISNUMBER(SEARCH("Party Name-",'R.M Billets Reports'!D281)),TRIM(MID('R.M Billets Reports'!D281,SEARCH("-",'R.M Billets Reports'!D281)+1,200)),"")),IF(ISNUMBER(SEARCH("Party Name:-",'R.M Billets Reports'!D282)),TRIM('R.M Billets Reports'!F282),IF(ISNUMBER(SEARCH("Party Name-",'R.M Billets Reports'!D282)),TRIM(MID('R.M Billets Reports'!D282,SEARCH("-",'R.M Billets Reports'!D282)+1,200)),"")))))),IF(ROW()=2,"",A281))</f>
      </c>
      <c r="B282">
        <f>IF(OR('R.M Billets Reports'!A281="Date-",'R.M Billets Reports'!A281="Date:-"),'R.M Billets Reports'!B281,IF(ROW()=2,"",B281))</f>
      </c>
      <c r="C282">
        <f>IF('R.M Billets Reports'!A281="V.No.",'R.M Billets Reports'!B281,IF(ROW()=2,"",C281))</f>
      </c>
      <c r="D282">
        <f>IF('R.M Billets Reports'!A281&lt;&gt;"",'R.M Billets Reports'!A281,IF(ROW()=2,"",D281))</f>
      </c>
      <c r="E282">
        <f>IF('R.M Billets Reports'!B281="","",TRIM('R.M Billets Reports'!B281))</f>
      </c>
      <c r="F282">
        <f>'R.M Billets Reports'!C281</f>
      </c>
      <c r="G282">
        <f>'R.M Billets Reports'!D281</f>
      </c>
      <c r="H282">
        <f>'R.M Billets Reports'!E281</f>
      </c>
      <c r="I282">
        <f>'R.M Billets Reports'!F281</f>
      </c>
      <c r="J282">
        <f>'R.M Billets Reports'!G281</f>
      </c>
      <c r="K282">
        <f>'R.M Billets Reports'!H281</f>
      </c>
      <c r="L282">
        <f>IF('R.M Billets Reports'!I281="","",'R.M Billets Reports'!I281)</f>
      </c>
      <c r="M282">
        <f t="shared" si="8"/>
      </c>
      <c r="N282">
        <f>IF('R.M Billets Reports'!J281="","",'R.M Billets Reports'!J281)</f>
      </c>
      <c r="O282">
        <f t="shared" si="9"/>
      </c>
      <c r="P282">
        <f>IF('R.M Billets Reports'!A281="SIZE",'R.M Billets Reports'!B281,P281)</f>
      </c>
    </row>
    <row r="283" spans="1:16" x14ac:dyDescent="0.25">
      <c r="A283">
        <f>IF(OR('R.M Billets Reports'!A282="Date-",'R.M Billets Reports'!A282="Date:-"),IF(IF(IF(ISNUMBER(SEARCH("Party Name:-",'R.M Billets Reports'!D282)),TRIM('R.M Billets Reports'!F282),IF(ISNUMBER(SEARCH("Party Name-",'R.M Billets Reports'!D282)),TRIM(MID('R.M Billets Reports'!D282,SEARCH("-",'R.M Billets Reports'!D282)+1,200)),""))&lt;&gt;"",IF(ISNUMBER(SEARCH("Party Name:-",'R.M Billets Reports'!D282)),TRIM('R.M Billets Reports'!F282),IF(ISNUMBER(SEARCH("Party Name-",'R.M Billets Reports'!D282)),TRIM(MID('R.M Billets Reports'!D282,SEARCH("-",'R.M Billets Reports'!D282)+1,200)),"")),IF(ISNUMBER(SEARCH("Party Name:-",'R.M Billets Reports'!D283)),TRIM('R.M Billets Reports'!F283),IF(ISNUMBER(SEARCH("Party Name-",'R.M Billets Reports'!D283)),TRIM(MID('R.M Billets Reports'!D283,SEARCH("-",'R.M Billets Reports'!D283)+1,200)),"")))="VRKP ISPAT PVT LTD","VRKP",IF(IF(IF(ISNUMBER(SEARCH("Party Name:-",'R.M Billets Reports'!D282)),TRIM('R.M Billets Reports'!F282),IF(ISNUMBER(SEARCH("Party Name-",'R.M Billets Reports'!D282)),TRIM(MID('R.M Billets Reports'!D282,SEARCH("-",'R.M Billets Reports'!D282)+1,200)),""))&lt;&gt;"",IF(ISNUMBER(SEARCH("Party Name:-",'R.M Billets Reports'!D282)),TRIM('R.M Billets Reports'!F282),IF(ISNUMBER(SEARCH("Party Name-",'R.M Billets Reports'!D282)),TRIM(MID('R.M Billets Reports'!D282,SEARCH("-",'R.M Billets Reports'!D282)+1,200)),"")),IF(ISNUMBER(SEARCH("Party Name:-",'R.M Billets Reports'!D283)),TRIM('R.M Billets Reports'!F283),IF(ISNUMBER(SEARCH("Party Name-",'R.M Billets Reports'!D283)),TRIM(MID('R.M Billets Reports'!D283,SEARCH("-",'R.M Billets Reports'!D283)+1,200)),"")))="SHRI RADHE","SHREE RADHE",IF(IF(IF(ISNUMBER(SEARCH("Party Name:-",'R.M Billets Reports'!D282)),TRIM('R.M Billets Reports'!F282),IF(ISNUMBER(SEARCH("Party Name-",'R.M Billets Reports'!D282)),TRIM(MID('R.M Billets Reports'!D282,SEARCH("-",'R.M Billets Reports'!D282)+1,200)),""))&lt;&gt;"",IF(ISNUMBER(SEARCH("Party Name:-",'R.M Billets Reports'!D282)),TRIM('R.M Billets Reports'!F282),IF(ISNUMBER(SEARCH("Party Name-",'R.M Billets Reports'!D282)),TRIM(MID('R.M Billets Reports'!D282,SEARCH("-",'R.M Billets Reports'!D282)+1,200)),"")),IF(ISNUMBER(SEARCH("Party Name:-",'R.M Billets Reports'!D283)),TRIM('R.M Billets Reports'!F283),IF(ISNUMBER(SEARCH("Party Name-",'R.M Billets Reports'!D283)),TRIM(MID('R.M Billets Reports'!D283,SEARCH("-",'R.M Billets Reports'!D283)+1,200)),"")))="SHREE RADHE SHAKTI SPONGE AND POWER PVT. LTD.","SHREE RADHE",IF(IF(ISNUMBER(SEARCH("Party Name:-",'R.M Billets Reports'!D282)),TRIM('R.M Billets Reports'!F282),IF(ISNUMBER(SEARCH("Party Name-",'R.M Billets Reports'!D282)),TRIM(MID('R.M Billets Reports'!D282,SEARCH("-",'R.M Billets Reports'!D282)+1,200)),""))&lt;&gt;"",IF(ISNUMBER(SEARCH("Party Name:-",'R.M Billets Reports'!D282)),TRIM('R.M Billets Reports'!F282),IF(ISNUMBER(SEARCH("Party Name-",'R.M Billets Reports'!D282)),TRIM(MID('R.M Billets Reports'!D282,SEARCH("-",'R.M Billets Reports'!D282)+1,200)),"")),IF(ISNUMBER(SEARCH("Party Name:-",'R.M Billets Reports'!D283)),TRIM('R.M Billets Reports'!F283),IF(ISNUMBER(SEARCH("Party Name-",'R.M Billets Reports'!D283)),TRIM(MID('R.M Billets Reports'!D283,SEARCH("-",'R.M Billets Reports'!D283)+1,200)),"")))))),IF(ROW()=2,"",A282))</f>
      </c>
      <c r="B283">
        <f>IF(OR('R.M Billets Reports'!A282="Date-",'R.M Billets Reports'!A282="Date:-"),'R.M Billets Reports'!B282,IF(ROW()=2,"",B282))</f>
      </c>
      <c r="C283">
        <f>IF('R.M Billets Reports'!A282="V.No.",'R.M Billets Reports'!B282,IF(ROW()=2,"",C282))</f>
      </c>
      <c r="D283">
        <f>IF('R.M Billets Reports'!A282&lt;&gt;"",'R.M Billets Reports'!A282,IF(ROW()=2,"",D282))</f>
      </c>
      <c r="E283">
        <f>IF('R.M Billets Reports'!B282="","",TRIM('R.M Billets Reports'!B282))</f>
      </c>
      <c r="F283">
        <f>'R.M Billets Reports'!C282</f>
      </c>
      <c r="G283">
        <f>'R.M Billets Reports'!D282</f>
      </c>
      <c r="H283">
        <f>'R.M Billets Reports'!E282</f>
      </c>
      <c r="I283">
        <f>'R.M Billets Reports'!F282</f>
      </c>
      <c r="J283">
        <f>'R.M Billets Reports'!G282</f>
      </c>
      <c r="K283">
        <f>'R.M Billets Reports'!H282</f>
      </c>
      <c r="L283">
        <f>IF('R.M Billets Reports'!I282="","",'R.M Billets Reports'!I282)</f>
      </c>
      <c r="M283">
        <f t="shared" si="8"/>
      </c>
      <c r="N283">
        <f>IF('R.M Billets Reports'!J282="","",'R.M Billets Reports'!J282)</f>
      </c>
      <c r="O283">
        <f t="shared" si="9"/>
      </c>
      <c r="P283">
        <f>IF('R.M Billets Reports'!A282="SIZE",'R.M Billets Reports'!B282,P282)</f>
      </c>
    </row>
    <row r="284" spans="1:16" x14ac:dyDescent="0.25">
      <c r="A284">
        <f>IF(OR('R.M Billets Reports'!A283="Date-",'R.M Billets Reports'!A283="Date:-"),IF(IF(IF(ISNUMBER(SEARCH("Party Name:-",'R.M Billets Reports'!D283)),TRIM('R.M Billets Reports'!F283),IF(ISNUMBER(SEARCH("Party Name-",'R.M Billets Reports'!D283)),TRIM(MID('R.M Billets Reports'!D283,SEARCH("-",'R.M Billets Reports'!D283)+1,200)),""))&lt;&gt;"",IF(ISNUMBER(SEARCH("Party Name:-",'R.M Billets Reports'!D283)),TRIM('R.M Billets Reports'!F283),IF(ISNUMBER(SEARCH("Party Name-",'R.M Billets Reports'!D283)),TRIM(MID('R.M Billets Reports'!D283,SEARCH("-",'R.M Billets Reports'!D283)+1,200)),"")),IF(ISNUMBER(SEARCH("Party Name:-",'R.M Billets Reports'!D284)),TRIM('R.M Billets Reports'!F284),IF(ISNUMBER(SEARCH("Party Name-",'R.M Billets Reports'!D284)),TRIM(MID('R.M Billets Reports'!D284,SEARCH("-",'R.M Billets Reports'!D284)+1,200)),"")))="VRKP ISPAT PVT LTD","VRKP",IF(IF(IF(ISNUMBER(SEARCH("Party Name:-",'R.M Billets Reports'!D283)),TRIM('R.M Billets Reports'!F283),IF(ISNUMBER(SEARCH("Party Name-",'R.M Billets Reports'!D283)),TRIM(MID('R.M Billets Reports'!D283,SEARCH("-",'R.M Billets Reports'!D283)+1,200)),""))&lt;&gt;"",IF(ISNUMBER(SEARCH("Party Name:-",'R.M Billets Reports'!D283)),TRIM('R.M Billets Reports'!F283),IF(ISNUMBER(SEARCH("Party Name-",'R.M Billets Reports'!D283)),TRIM(MID('R.M Billets Reports'!D283,SEARCH("-",'R.M Billets Reports'!D283)+1,200)),"")),IF(ISNUMBER(SEARCH("Party Name:-",'R.M Billets Reports'!D284)),TRIM('R.M Billets Reports'!F284),IF(ISNUMBER(SEARCH("Party Name-",'R.M Billets Reports'!D284)),TRIM(MID('R.M Billets Reports'!D284,SEARCH("-",'R.M Billets Reports'!D284)+1,200)),"")))="SHRI RADHE","SHREE RADHE",IF(IF(IF(ISNUMBER(SEARCH("Party Name:-",'R.M Billets Reports'!D283)),TRIM('R.M Billets Reports'!F283),IF(ISNUMBER(SEARCH("Party Name-",'R.M Billets Reports'!D283)),TRIM(MID('R.M Billets Reports'!D283,SEARCH("-",'R.M Billets Reports'!D283)+1,200)),""))&lt;&gt;"",IF(ISNUMBER(SEARCH("Party Name:-",'R.M Billets Reports'!D283)),TRIM('R.M Billets Reports'!F283),IF(ISNUMBER(SEARCH("Party Name-",'R.M Billets Reports'!D283)),TRIM(MID('R.M Billets Reports'!D283,SEARCH("-",'R.M Billets Reports'!D283)+1,200)),"")),IF(ISNUMBER(SEARCH("Party Name:-",'R.M Billets Reports'!D284)),TRIM('R.M Billets Reports'!F284),IF(ISNUMBER(SEARCH("Party Name-",'R.M Billets Reports'!D284)),TRIM(MID('R.M Billets Reports'!D284,SEARCH("-",'R.M Billets Reports'!D284)+1,200)),"")))="SHREE RADHE SHAKTI SPONGE AND POWER PVT. LTD.","SHREE RADHE",IF(IF(ISNUMBER(SEARCH("Party Name:-",'R.M Billets Reports'!D283)),TRIM('R.M Billets Reports'!F283),IF(ISNUMBER(SEARCH("Party Name-",'R.M Billets Reports'!D283)),TRIM(MID('R.M Billets Reports'!D283,SEARCH("-",'R.M Billets Reports'!D283)+1,200)),""))&lt;&gt;"",IF(ISNUMBER(SEARCH("Party Name:-",'R.M Billets Reports'!D283)),TRIM('R.M Billets Reports'!F283),IF(ISNUMBER(SEARCH("Party Name-",'R.M Billets Reports'!D283)),TRIM(MID('R.M Billets Reports'!D283,SEARCH("-",'R.M Billets Reports'!D283)+1,200)),"")),IF(ISNUMBER(SEARCH("Party Name:-",'R.M Billets Reports'!D284)),TRIM('R.M Billets Reports'!F284),IF(ISNUMBER(SEARCH("Party Name-",'R.M Billets Reports'!D284)),TRIM(MID('R.M Billets Reports'!D284,SEARCH("-",'R.M Billets Reports'!D284)+1,200)),"")))))),IF(ROW()=2,"",A283))</f>
      </c>
      <c r="B284">
        <f>IF(OR('R.M Billets Reports'!A283="Date-",'R.M Billets Reports'!A283="Date:-"),'R.M Billets Reports'!B283,IF(ROW()=2,"",B283))</f>
      </c>
      <c r="C284">
        <f>IF('R.M Billets Reports'!A283="V.No.",'R.M Billets Reports'!B283,IF(ROW()=2,"",C283))</f>
      </c>
      <c r="D284">
        <f>IF('R.M Billets Reports'!A283&lt;&gt;"",'R.M Billets Reports'!A283,IF(ROW()=2,"",D283))</f>
      </c>
      <c r="E284">
        <f>IF('R.M Billets Reports'!B283="","",TRIM('R.M Billets Reports'!B283))</f>
      </c>
      <c r="F284">
        <f>'R.M Billets Reports'!C283</f>
      </c>
      <c r="G284">
        <f>'R.M Billets Reports'!D283</f>
      </c>
      <c r="H284">
        <f>'R.M Billets Reports'!E283</f>
      </c>
      <c r="I284">
        <f>'R.M Billets Reports'!F283</f>
      </c>
      <c r="J284">
        <f>'R.M Billets Reports'!G283</f>
      </c>
      <c r="K284">
        <f>'R.M Billets Reports'!H283</f>
      </c>
      <c r="L284">
        <f>IF('R.M Billets Reports'!I283="","",'R.M Billets Reports'!I283)</f>
      </c>
      <c r="M284">
        <f t="shared" si="8"/>
      </c>
      <c r="N284">
        <f>IF('R.M Billets Reports'!J283="","",'R.M Billets Reports'!J283)</f>
      </c>
      <c r="O284">
        <f t="shared" si="9"/>
      </c>
      <c r="P284">
        <f>IF('R.M Billets Reports'!A283="SIZE",'R.M Billets Reports'!B283,P283)</f>
      </c>
    </row>
    <row r="285" spans="1:16" x14ac:dyDescent="0.25">
      <c r="A285">
        <f>IF(OR('R.M Billets Reports'!A284="Date-",'R.M Billets Reports'!A284="Date:-"),IF(IF(IF(ISNUMBER(SEARCH("Party Name:-",'R.M Billets Reports'!D284)),TRIM('R.M Billets Reports'!F284),IF(ISNUMBER(SEARCH("Party Name-",'R.M Billets Reports'!D284)),TRIM(MID('R.M Billets Reports'!D284,SEARCH("-",'R.M Billets Reports'!D284)+1,200)),""))&lt;&gt;"",IF(ISNUMBER(SEARCH("Party Name:-",'R.M Billets Reports'!D284)),TRIM('R.M Billets Reports'!F284),IF(ISNUMBER(SEARCH("Party Name-",'R.M Billets Reports'!D284)),TRIM(MID('R.M Billets Reports'!D284,SEARCH("-",'R.M Billets Reports'!D284)+1,200)),"")),IF(ISNUMBER(SEARCH("Party Name:-",'R.M Billets Reports'!D285)),TRIM('R.M Billets Reports'!F285),IF(ISNUMBER(SEARCH("Party Name-",'R.M Billets Reports'!D285)),TRIM(MID('R.M Billets Reports'!D285,SEARCH("-",'R.M Billets Reports'!D285)+1,200)),"")))="VRKP ISPAT PVT LTD","VRKP",IF(IF(IF(ISNUMBER(SEARCH("Party Name:-",'R.M Billets Reports'!D284)),TRIM('R.M Billets Reports'!F284),IF(ISNUMBER(SEARCH("Party Name-",'R.M Billets Reports'!D284)),TRIM(MID('R.M Billets Reports'!D284,SEARCH("-",'R.M Billets Reports'!D284)+1,200)),""))&lt;&gt;"",IF(ISNUMBER(SEARCH("Party Name:-",'R.M Billets Reports'!D284)),TRIM('R.M Billets Reports'!F284),IF(ISNUMBER(SEARCH("Party Name-",'R.M Billets Reports'!D284)),TRIM(MID('R.M Billets Reports'!D284,SEARCH("-",'R.M Billets Reports'!D284)+1,200)),"")),IF(ISNUMBER(SEARCH("Party Name:-",'R.M Billets Reports'!D285)),TRIM('R.M Billets Reports'!F285),IF(ISNUMBER(SEARCH("Party Name-",'R.M Billets Reports'!D285)),TRIM(MID('R.M Billets Reports'!D285,SEARCH("-",'R.M Billets Reports'!D285)+1,200)),"")))="SHRI RADHE","SHREE RADHE",IF(IF(IF(ISNUMBER(SEARCH("Party Name:-",'R.M Billets Reports'!D284)),TRIM('R.M Billets Reports'!F284),IF(ISNUMBER(SEARCH("Party Name-",'R.M Billets Reports'!D284)),TRIM(MID('R.M Billets Reports'!D284,SEARCH("-",'R.M Billets Reports'!D284)+1,200)),""))&lt;&gt;"",IF(ISNUMBER(SEARCH("Party Name:-",'R.M Billets Reports'!D284)),TRIM('R.M Billets Reports'!F284),IF(ISNUMBER(SEARCH("Party Name-",'R.M Billets Reports'!D284)),TRIM(MID('R.M Billets Reports'!D284,SEARCH("-",'R.M Billets Reports'!D284)+1,200)),"")),IF(ISNUMBER(SEARCH("Party Name:-",'R.M Billets Reports'!D285)),TRIM('R.M Billets Reports'!F285),IF(ISNUMBER(SEARCH("Party Name-",'R.M Billets Reports'!D285)),TRIM(MID('R.M Billets Reports'!D285,SEARCH("-",'R.M Billets Reports'!D285)+1,200)),"")))="SHREE RADHE SHAKTI SPONGE AND POWER PVT. LTD.","SHREE RADHE",IF(IF(ISNUMBER(SEARCH("Party Name:-",'R.M Billets Reports'!D284)),TRIM('R.M Billets Reports'!F284),IF(ISNUMBER(SEARCH("Party Name-",'R.M Billets Reports'!D284)),TRIM(MID('R.M Billets Reports'!D284,SEARCH("-",'R.M Billets Reports'!D284)+1,200)),""))&lt;&gt;"",IF(ISNUMBER(SEARCH("Party Name:-",'R.M Billets Reports'!D284)),TRIM('R.M Billets Reports'!F284),IF(ISNUMBER(SEARCH("Party Name-",'R.M Billets Reports'!D284)),TRIM(MID('R.M Billets Reports'!D284,SEARCH("-",'R.M Billets Reports'!D284)+1,200)),"")),IF(ISNUMBER(SEARCH("Party Name:-",'R.M Billets Reports'!D285)),TRIM('R.M Billets Reports'!F285),IF(ISNUMBER(SEARCH("Party Name-",'R.M Billets Reports'!D285)),TRIM(MID('R.M Billets Reports'!D285,SEARCH("-",'R.M Billets Reports'!D285)+1,200)),"")))))),IF(ROW()=2,"",A284))</f>
      </c>
      <c r="B285">
        <f>IF(OR('R.M Billets Reports'!A284="Date-",'R.M Billets Reports'!A284="Date:-"),'R.M Billets Reports'!B284,IF(ROW()=2,"",B284))</f>
      </c>
      <c r="C285">
        <f>IF('R.M Billets Reports'!A284="V.No.",'R.M Billets Reports'!B284,IF(ROW()=2,"",C284))</f>
      </c>
      <c r="D285">
        <f>IF('R.M Billets Reports'!A284&lt;&gt;"",'R.M Billets Reports'!A284,IF(ROW()=2,"",D284))</f>
      </c>
      <c r="E285">
        <f>IF('R.M Billets Reports'!B284="","",TRIM('R.M Billets Reports'!B284))</f>
      </c>
      <c r="F285">
        <f>'R.M Billets Reports'!C284</f>
      </c>
      <c r="G285">
        <f>'R.M Billets Reports'!D284</f>
      </c>
      <c r="H285">
        <f>'R.M Billets Reports'!E284</f>
      </c>
      <c r="I285">
        <f>'R.M Billets Reports'!F284</f>
      </c>
      <c r="J285">
        <f>'R.M Billets Reports'!G284</f>
      </c>
      <c r="K285">
        <f>'R.M Billets Reports'!H284</f>
      </c>
      <c r="L285">
        <f>IF('R.M Billets Reports'!I284="","",'R.M Billets Reports'!I284)</f>
      </c>
      <c r="M285">
        <f t="shared" si="8"/>
      </c>
      <c r="N285">
        <f>IF('R.M Billets Reports'!J284="","",'R.M Billets Reports'!J284)</f>
      </c>
      <c r="O285">
        <f t="shared" si="9"/>
      </c>
      <c r="P285">
        <f>IF('R.M Billets Reports'!A284="SIZE",'R.M Billets Reports'!B284,P284)</f>
      </c>
    </row>
    <row r="286" spans="1:16" x14ac:dyDescent="0.25">
      <c r="A286">
        <f>IF(OR('R.M Billets Reports'!A285="Date-",'R.M Billets Reports'!A285="Date:-"),IF(IF(IF(ISNUMBER(SEARCH("Party Name:-",'R.M Billets Reports'!D285)),TRIM('R.M Billets Reports'!F285),IF(ISNUMBER(SEARCH("Party Name-",'R.M Billets Reports'!D285)),TRIM(MID('R.M Billets Reports'!D285,SEARCH("-",'R.M Billets Reports'!D285)+1,200)),""))&lt;&gt;"",IF(ISNUMBER(SEARCH("Party Name:-",'R.M Billets Reports'!D285)),TRIM('R.M Billets Reports'!F285),IF(ISNUMBER(SEARCH("Party Name-",'R.M Billets Reports'!D285)),TRIM(MID('R.M Billets Reports'!D285,SEARCH("-",'R.M Billets Reports'!D285)+1,200)),"")),IF(ISNUMBER(SEARCH("Party Name:-",'R.M Billets Reports'!D286)),TRIM('R.M Billets Reports'!F286),IF(ISNUMBER(SEARCH("Party Name-",'R.M Billets Reports'!D286)),TRIM(MID('R.M Billets Reports'!D286,SEARCH("-",'R.M Billets Reports'!D286)+1,200)),"")))="VRKP ISPAT PVT LTD","VRKP",IF(IF(IF(ISNUMBER(SEARCH("Party Name:-",'R.M Billets Reports'!D285)),TRIM('R.M Billets Reports'!F285),IF(ISNUMBER(SEARCH("Party Name-",'R.M Billets Reports'!D285)),TRIM(MID('R.M Billets Reports'!D285,SEARCH("-",'R.M Billets Reports'!D285)+1,200)),""))&lt;&gt;"",IF(ISNUMBER(SEARCH("Party Name:-",'R.M Billets Reports'!D285)),TRIM('R.M Billets Reports'!F285),IF(ISNUMBER(SEARCH("Party Name-",'R.M Billets Reports'!D285)),TRIM(MID('R.M Billets Reports'!D285,SEARCH("-",'R.M Billets Reports'!D285)+1,200)),"")),IF(ISNUMBER(SEARCH("Party Name:-",'R.M Billets Reports'!D286)),TRIM('R.M Billets Reports'!F286),IF(ISNUMBER(SEARCH("Party Name-",'R.M Billets Reports'!D286)),TRIM(MID('R.M Billets Reports'!D286,SEARCH("-",'R.M Billets Reports'!D286)+1,200)),"")))="SHRI RADHE","SHREE RADHE",IF(IF(IF(ISNUMBER(SEARCH("Party Name:-",'R.M Billets Reports'!D285)),TRIM('R.M Billets Reports'!F285),IF(ISNUMBER(SEARCH("Party Name-",'R.M Billets Reports'!D285)),TRIM(MID('R.M Billets Reports'!D285,SEARCH("-",'R.M Billets Reports'!D285)+1,200)),""))&lt;&gt;"",IF(ISNUMBER(SEARCH("Party Name:-",'R.M Billets Reports'!D285)),TRIM('R.M Billets Reports'!F285),IF(ISNUMBER(SEARCH("Party Name-",'R.M Billets Reports'!D285)),TRIM(MID('R.M Billets Reports'!D285,SEARCH("-",'R.M Billets Reports'!D285)+1,200)),"")),IF(ISNUMBER(SEARCH("Party Name:-",'R.M Billets Reports'!D286)),TRIM('R.M Billets Reports'!F286),IF(ISNUMBER(SEARCH("Party Name-",'R.M Billets Reports'!D286)),TRIM(MID('R.M Billets Reports'!D286,SEARCH("-",'R.M Billets Reports'!D286)+1,200)),"")))="SHREE RADHE SHAKTI SPONGE AND POWER PVT. LTD.","SHREE RADHE",IF(IF(ISNUMBER(SEARCH("Party Name:-",'R.M Billets Reports'!D285)),TRIM('R.M Billets Reports'!F285),IF(ISNUMBER(SEARCH("Party Name-",'R.M Billets Reports'!D285)),TRIM(MID('R.M Billets Reports'!D285,SEARCH("-",'R.M Billets Reports'!D285)+1,200)),""))&lt;&gt;"",IF(ISNUMBER(SEARCH("Party Name:-",'R.M Billets Reports'!D285)),TRIM('R.M Billets Reports'!F285),IF(ISNUMBER(SEARCH("Party Name-",'R.M Billets Reports'!D285)),TRIM(MID('R.M Billets Reports'!D285,SEARCH("-",'R.M Billets Reports'!D285)+1,200)),"")),IF(ISNUMBER(SEARCH("Party Name:-",'R.M Billets Reports'!D286)),TRIM('R.M Billets Reports'!F286),IF(ISNUMBER(SEARCH("Party Name-",'R.M Billets Reports'!D286)),TRIM(MID('R.M Billets Reports'!D286,SEARCH("-",'R.M Billets Reports'!D286)+1,200)),"")))))),IF(ROW()=2,"",A285))</f>
      </c>
      <c r="B286">
        <f>IF(OR('R.M Billets Reports'!A285="Date-",'R.M Billets Reports'!A285="Date:-"),'R.M Billets Reports'!B285,IF(ROW()=2,"",B285))</f>
      </c>
      <c r="C286">
        <f>IF('R.M Billets Reports'!A285="V.No.",'R.M Billets Reports'!B285,IF(ROW()=2,"",C285))</f>
      </c>
      <c r="D286">
        <f>IF('R.M Billets Reports'!A285&lt;&gt;"",'R.M Billets Reports'!A285,IF(ROW()=2,"",D285))</f>
      </c>
      <c r="E286">
        <f>IF('R.M Billets Reports'!B285="","",TRIM('R.M Billets Reports'!B285))</f>
      </c>
      <c r="F286">
        <f>'R.M Billets Reports'!C285</f>
      </c>
      <c r="G286">
        <f>'R.M Billets Reports'!D285</f>
      </c>
      <c r="H286">
        <f>'R.M Billets Reports'!E285</f>
      </c>
      <c r="I286">
        <f>'R.M Billets Reports'!F285</f>
      </c>
      <c r="J286">
        <f>'R.M Billets Reports'!G285</f>
      </c>
      <c r="K286">
        <f>'R.M Billets Reports'!H285</f>
      </c>
      <c r="L286">
        <f>IF('R.M Billets Reports'!I285="","",'R.M Billets Reports'!I285)</f>
      </c>
      <c r="M286">
        <f t="shared" si="8"/>
      </c>
      <c r="N286">
        <f>IF('R.M Billets Reports'!J285="","",'R.M Billets Reports'!J285)</f>
      </c>
      <c r="O286">
        <f t="shared" si="9"/>
      </c>
      <c r="P286">
        <f>IF('R.M Billets Reports'!A285="SIZE",'R.M Billets Reports'!B285,P285)</f>
      </c>
    </row>
    <row r="287" spans="1:16" x14ac:dyDescent="0.25">
      <c r="A287">
        <f>IF(OR('R.M Billets Reports'!A286="Date-",'R.M Billets Reports'!A286="Date:-"),IF(IF(IF(ISNUMBER(SEARCH("Party Name:-",'R.M Billets Reports'!D286)),TRIM('R.M Billets Reports'!F286),IF(ISNUMBER(SEARCH("Party Name-",'R.M Billets Reports'!D286)),TRIM(MID('R.M Billets Reports'!D286,SEARCH("-",'R.M Billets Reports'!D286)+1,200)),""))&lt;&gt;"",IF(ISNUMBER(SEARCH("Party Name:-",'R.M Billets Reports'!D286)),TRIM('R.M Billets Reports'!F286),IF(ISNUMBER(SEARCH("Party Name-",'R.M Billets Reports'!D286)),TRIM(MID('R.M Billets Reports'!D286,SEARCH("-",'R.M Billets Reports'!D286)+1,200)),"")),IF(ISNUMBER(SEARCH("Party Name:-",'R.M Billets Reports'!D287)),TRIM('R.M Billets Reports'!F287),IF(ISNUMBER(SEARCH("Party Name-",'R.M Billets Reports'!D287)),TRIM(MID('R.M Billets Reports'!D287,SEARCH("-",'R.M Billets Reports'!D287)+1,200)),"")))="VRKP ISPAT PVT LTD","VRKP",IF(IF(IF(ISNUMBER(SEARCH("Party Name:-",'R.M Billets Reports'!D286)),TRIM('R.M Billets Reports'!F286),IF(ISNUMBER(SEARCH("Party Name-",'R.M Billets Reports'!D286)),TRIM(MID('R.M Billets Reports'!D286,SEARCH("-",'R.M Billets Reports'!D286)+1,200)),""))&lt;&gt;"",IF(ISNUMBER(SEARCH("Party Name:-",'R.M Billets Reports'!D286)),TRIM('R.M Billets Reports'!F286),IF(ISNUMBER(SEARCH("Party Name-",'R.M Billets Reports'!D286)),TRIM(MID('R.M Billets Reports'!D286,SEARCH("-",'R.M Billets Reports'!D286)+1,200)),"")),IF(ISNUMBER(SEARCH("Party Name:-",'R.M Billets Reports'!D287)),TRIM('R.M Billets Reports'!F287),IF(ISNUMBER(SEARCH("Party Name-",'R.M Billets Reports'!D287)),TRIM(MID('R.M Billets Reports'!D287,SEARCH("-",'R.M Billets Reports'!D287)+1,200)),"")))="SHRI RADHE","SHREE RADHE",IF(IF(IF(ISNUMBER(SEARCH("Party Name:-",'R.M Billets Reports'!D286)),TRIM('R.M Billets Reports'!F286),IF(ISNUMBER(SEARCH("Party Name-",'R.M Billets Reports'!D286)),TRIM(MID('R.M Billets Reports'!D286,SEARCH("-",'R.M Billets Reports'!D286)+1,200)),""))&lt;&gt;"",IF(ISNUMBER(SEARCH("Party Name:-",'R.M Billets Reports'!D286)),TRIM('R.M Billets Reports'!F286),IF(ISNUMBER(SEARCH("Party Name-",'R.M Billets Reports'!D286)),TRIM(MID('R.M Billets Reports'!D286,SEARCH("-",'R.M Billets Reports'!D286)+1,200)),"")),IF(ISNUMBER(SEARCH("Party Name:-",'R.M Billets Reports'!D287)),TRIM('R.M Billets Reports'!F287),IF(ISNUMBER(SEARCH("Party Name-",'R.M Billets Reports'!D287)),TRIM(MID('R.M Billets Reports'!D287,SEARCH("-",'R.M Billets Reports'!D287)+1,200)),"")))="SHREE RADHE SHAKTI SPONGE AND POWER PVT. LTD.","SHREE RADHE",IF(IF(ISNUMBER(SEARCH("Party Name:-",'R.M Billets Reports'!D286)),TRIM('R.M Billets Reports'!F286),IF(ISNUMBER(SEARCH("Party Name-",'R.M Billets Reports'!D286)),TRIM(MID('R.M Billets Reports'!D286,SEARCH("-",'R.M Billets Reports'!D286)+1,200)),""))&lt;&gt;"",IF(ISNUMBER(SEARCH("Party Name:-",'R.M Billets Reports'!D286)),TRIM('R.M Billets Reports'!F286),IF(ISNUMBER(SEARCH("Party Name-",'R.M Billets Reports'!D286)),TRIM(MID('R.M Billets Reports'!D286,SEARCH("-",'R.M Billets Reports'!D286)+1,200)),"")),IF(ISNUMBER(SEARCH("Party Name:-",'R.M Billets Reports'!D287)),TRIM('R.M Billets Reports'!F287),IF(ISNUMBER(SEARCH("Party Name-",'R.M Billets Reports'!D287)),TRIM(MID('R.M Billets Reports'!D287,SEARCH("-",'R.M Billets Reports'!D287)+1,200)),"")))))),IF(ROW()=2,"",A286))</f>
      </c>
      <c r="B287">
        <f>IF(OR('R.M Billets Reports'!A286="Date-",'R.M Billets Reports'!A286="Date:-"),'R.M Billets Reports'!B286,IF(ROW()=2,"",B286))</f>
      </c>
      <c r="C287">
        <f>IF('R.M Billets Reports'!A286="V.No.",'R.M Billets Reports'!B286,IF(ROW()=2,"",C286))</f>
      </c>
      <c r="D287">
        <f>IF('R.M Billets Reports'!A286&lt;&gt;"",'R.M Billets Reports'!A286,IF(ROW()=2,"",D286))</f>
      </c>
      <c r="E287">
        <f>IF('R.M Billets Reports'!B286="","",TRIM('R.M Billets Reports'!B286))</f>
      </c>
      <c r="F287">
        <f>'R.M Billets Reports'!C286</f>
      </c>
      <c r="G287">
        <f>'R.M Billets Reports'!D286</f>
      </c>
      <c r="H287">
        <f>'R.M Billets Reports'!E286</f>
      </c>
      <c r="I287">
        <f>'R.M Billets Reports'!F286</f>
      </c>
      <c r="J287">
        <f>'R.M Billets Reports'!G286</f>
      </c>
      <c r="K287">
        <f>'R.M Billets Reports'!H286</f>
      </c>
      <c r="L287">
        <f>IF('R.M Billets Reports'!I286="","",'R.M Billets Reports'!I286)</f>
      </c>
      <c r="M287">
        <f t="shared" si="8"/>
      </c>
      <c r="N287">
        <f>IF('R.M Billets Reports'!J286="","",'R.M Billets Reports'!J286)</f>
      </c>
      <c r="O287">
        <f t="shared" si="9"/>
      </c>
      <c r="P287">
        <f>IF('R.M Billets Reports'!A286="SIZE",'R.M Billets Reports'!B286,P286)</f>
      </c>
    </row>
    <row r="288" spans="1:16" x14ac:dyDescent="0.25">
      <c r="A288">
        <f>IF(OR('R.M Billets Reports'!A287="Date-",'R.M Billets Reports'!A287="Date:-"),IF(IF(IF(ISNUMBER(SEARCH("Party Name:-",'R.M Billets Reports'!D287)),TRIM('R.M Billets Reports'!F287),IF(ISNUMBER(SEARCH("Party Name-",'R.M Billets Reports'!D287)),TRIM(MID('R.M Billets Reports'!D287,SEARCH("-",'R.M Billets Reports'!D287)+1,200)),""))&lt;&gt;"",IF(ISNUMBER(SEARCH("Party Name:-",'R.M Billets Reports'!D287)),TRIM('R.M Billets Reports'!F287),IF(ISNUMBER(SEARCH("Party Name-",'R.M Billets Reports'!D287)),TRIM(MID('R.M Billets Reports'!D287,SEARCH("-",'R.M Billets Reports'!D287)+1,200)),"")),IF(ISNUMBER(SEARCH("Party Name:-",'R.M Billets Reports'!D288)),TRIM('R.M Billets Reports'!F288),IF(ISNUMBER(SEARCH("Party Name-",'R.M Billets Reports'!D288)),TRIM(MID('R.M Billets Reports'!D288,SEARCH("-",'R.M Billets Reports'!D288)+1,200)),"")))="VRKP ISPAT PVT LTD","VRKP",IF(IF(IF(ISNUMBER(SEARCH("Party Name:-",'R.M Billets Reports'!D287)),TRIM('R.M Billets Reports'!F287),IF(ISNUMBER(SEARCH("Party Name-",'R.M Billets Reports'!D287)),TRIM(MID('R.M Billets Reports'!D287,SEARCH("-",'R.M Billets Reports'!D287)+1,200)),""))&lt;&gt;"",IF(ISNUMBER(SEARCH("Party Name:-",'R.M Billets Reports'!D287)),TRIM('R.M Billets Reports'!F287),IF(ISNUMBER(SEARCH("Party Name-",'R.M Billets Reports'!D287)),TRIM(MID('R.M Billets Reports'!D287,SEARCH("-",'R.M Billets Reports'!D287)+1,200)),"")),IF(ISNUMBER(SEARCH("Party Name:-",'R.M Billets Reports'!D288)),TRIM('R.M Billets Reports'!F288),IF(ISNUMBER(SEARCH("Party Name-",'R.M Billets Reports'!D288)),TRIM(MID('R.M Billets Reports'!D288,SEARCH("-",'R.M Billets Reports'!D288)+1,200)),"")))="SHRI RADHE","SHREE RADHE",IF(IF(IF(ISNUMBER(SEARCH("Party Name:-",'R.M Billets Reports'!D287)),TRIM('R.M Billets Reports'!F287),IF(ISNUMBER(SEARCH("Party Name-",'R.M Billets Reports'!D287)),TRIM(MID('R.M Billets Reports'!D287,SEARCH("-",'R.M Billets Reports'!D287)+1,200)),""))&lt;&gt;"",IF(ISNUMBER(SEARCH("Party Name:-",'R.M Billets Reports'!D287)),TRIM('R.M Billets Reports'!F287),IF(ISNUMBER(SEARCH("Party Name-",'R.M Billets Reports'!D287)),TRIM(MID('R.M Billets Reports'!D287,SEARCH("-",'R.M Billets Reports'!D287)+1,200)),"")),IF(ISNUMBER(SEARCH("Party Name:-",'R.M Billets Reports'!D288)),TRIM('R.M Billets Reports'!F288),IF(ISNUMBER(SEARCH("Party Name-",'R.M Billets Reports'!D288)),TRIM(MID('R.M Billets Reports'!D288,SEARCH("-",'R.M Billets Reports'!D288)+1,200)),"")))="SHREE RADHE SHAKTI SPONGE AND POWER PVT. LTD.","SHREE RADHE",IF(IF(ISNUMBER(SEARCH("Party Name:-",'R.M Billets Reports'!D287)),TRIM('R.M Billets Reports'!F287),IF(ISNUMBER(SEARCH("Party Name-",'R.M Billets Reports'!D287)),TRIM(MID('R.M Billets Reports'!D287,SEARCH("-",'R.M Billets Reports'!D287)+1,200)),""))&lt;&gt;"",IF(ISNUMBER(SEARCH("Party Name:-",'R.M Billets Reports'!D287)),TRIM('R.M Billets Reports'!F287),IF(ISNUMBER(SEARCH("Party Name-",'R.M Billets Reports'!D287)),TRIM(MID('R.M Billets Reports'!D287,SEARCH("-",'R.M Billets Reports'!D287)+1,200)),"")),IF(ISNUMBER(SEARCH("Party Name:-",'R.M Billets Reports'!D288)),TRIM('R.M Billets Reports'!F288),IF(ISNUMBER(SEARCH("Party Name-",'R.M Billets Reports'!D288)),TRIM(MID('R.M Billets Reports'!D288,SEARCH("-",'R.M Billets Reports'!D288)+1,200)),"")))))),IF(ROW()=2,"",A287))</f>
      </c>
      <c r="B288">
        <f>IF(OR('R.M Billets Reports'!A287="Date-",'R.M Billets Reports'!A287="Date:-"),'R.M Billets Reports'!B287,IF(ROW()=2,"",B287))</f>
      </c>
      <c r="C288">
        <f>IF('R.M Billets Reports'!A287="V.No.",'R.M Billets Reports'!B287,IF(ROW()=2,"",C287))</f>
      </c>
      <c r="D288">
        <f>IF('R.M Billets Reports'!A287&lt;&gt;"",'R.M Billets Reports'!A287,IF(ROW()=2,"",D287))</f>
      </c>
      <c r="E288">
        <f>IF('R.M Billets Reports'!B287="","",TRIM('R.M Billets Reports'!B287))</f>
      </c>
      <c r="F288">
        <f>'R.M Billets Reports'!C287</f>
      </c>
      <c r="G288">
        <f>'R.M Billets Reports'!D287</f>
      </c>
      <c r="H288">
        <f>'R.M Billets Reports'!E287</f>
      </c>
      <c r="I288">
        <f>'R.M Billets Reports'!F287</f>
      </c>
      <c r="J288">
        <f>'R.M Billets Reports'!G287</f>
      </c>
      <c r="K288">
        <f>'R.M Billets Reports'!H287</f>
      </c>
      <c r="L288">
        <f>IF('R.M Billets Reports'!I287="","",'R.M Billets Reports'!I287)</f>
      </c>
      <c r="M288">
        <f t="shared" si="8"/>
      </c>
      <c r="N288">
        <f>IF('R.M Billets Reports'!J287="","",'R.M Billets Reports'!J287)</f>
      </c>
      <c r="O288">
        <f t="shared" si="9"/>
      </c>
      <c r="P288">
        <f>IF('R.M Billets Reports'!A287="SIZE",'R.M Billets Reports'!B287,P287)</f>
      </c>
    </row>
    <row r="289" spans="1:16" x14ac:dyDescent="0.25">
      <c r="A289">
        <f>IF(OR('R.M Billets Reports'!A288="Date-",'R.M Billets Reports'!A288="Date:-"),IF(IF(IF(ISNUMBER(SEARCH("Party Name:-",'R.M Billets Reports'!D288)),TRIM('R.M Billets Reports'!F288),IF(ISNUMBER(SEARCH("Party Name-",'R.M Billets Reports'!D288)),TRIM(MID('R.M Billets Reports'!D288,SEARCH("-",'R.M Billets Reports'!D288)+1,200)),""))&lt;&gt;"",IF(ISNUMBER(SEARCH("Party Name:-",'R.M Billets Reports'!D288)),TRIM('R.M Billets Reports'!F288),IF(ISNUMBER(SEARCH("Party Name-",'R.M Billets Reports'!D288)),TRIM(MID('R.M Billets Reports'!D288,SEARCH("-",'R.M Billets Reports'!D288)+1,200)),"")),IF(ISNUMBER(SEARCH("Party Name:-",'R.M Billets Reports'!D289)),TRIM('R.M Billets Reports'!F289),IF(ISNUMBER(SEARCH("Party Name-",'R.M Billets Reports'!D289)),TRIM(MID('R.M Billets Reports'!D289,SEARCH("-",'R.M Billets Reports'!D289)+1,200)),"")))="VRKP ISPAT PVT LTD","VRKP",IF(IF(IF(ISNUMBER(SEARCH("Party Name:-",'R.M Billets Reports'!D288)),TRIM('R.M Billets Reports'!F288),IF(ISNUMBER(SEARCH("Party Name-",'R.M Billets Reports'!D288)),TRIM(MID('R.M Billets Reports'!D288,SEARCH("-",'R.M Billets Reports'!D288)+1,200)),""))&lt;&gt;"",IF(ISNUMBER(SEARCH("Party Name:-",'R.M Billets Reports'!D288)),TRIM('R.M Billets Reports'!F288),IF(ISNUMBER(SEARCH("Party Name-",'R.M Billets Reports'!D288)),TRIM(MID('R.M Billets Reports'!D288,SEARCH("-",'R.M Billets Reports'!D288)+1,200)),"")),IF(ISNUMBER(SEARCH("Party Name:-",'R.M Billets Reports'!D289)),TRIM('R.M Billets Reports'!F289),IF(ISNUMBER(SEARCH("Party Name-",'R.M Billets Reports'!D289)),TRIM(MID('R.M Billets Reports'!D289,SEARCH("-",'R.M Billets Reports'!D289)+1,200)),"")))="SHRI RADHE","SHREE RADHE",IF(IF(IF(ISNUMBER(SEARCH("Party Name:-",'R.M Billets Reports'!D288)),TRIM('R.M Billets Reports'!F288),IF(ISNUMBER(SEARCH("Party Name-",'R.M Billets Reports'!D288)),TRIM(MID('R.M Billets Reports'!D288,SEARCH("-",'R.M Billets Reports'!D288)+1,200)),""))&lt;&gt;"",IF(ISNUMBER(SEARCH("Party Name:-",'R.M Billets Reports'!D288)),TRIM('R.M Billets Reports'!F288),IF(ISNUMBER(SEARCH("Party Name-",'R.M Billets Reports'!D288)),TRIM(MID('R.M Billets Reports'!D288,SEARCH("-",'R.M Billets Reports'!D288)+1,200)),"")),IF(ISNUMBER(SEARCH("Party Name:-",'R.M Billets Reports'!D289)),TRIM('R.M Billets Reports'!F289),IF(ISNUMBER(SEARCH("Party Name-",'R.M Billets Reports'!D289)),TRIM(MID('R.M Billets Reports'!D289,SEARCH("-",'R.M Billets Reports'!D289)+1,200)),"")))="SHREE RADHE SHAKTI SPONGE AND POWER PVT. LTD.","SHREE RADHE",IF(IF(ISNUMBER(SEARCH("Party Name:-",'R.M Billets Reports'!D288)),TRIM('R.M Billets Reports'!F288),IF(ISNUMBER(SEARCH("Party Name-",'R.M Billets Reports'!D288)),TRIM(MID('R.M Billets Reports'!D288,SEARCH("-",'R.M Billets Reports'!D288)+1,200)),""))&lt;&gt;"",IF(ISNUMBER(SEARCH("Party Name:-",'R.M Billets Reports'!D288)),TRIM('R.M Billets Reports'!F288),IF(ISNUMBER(SEARCH("Party Name-",'R.M Billets Reports'!D288)),TRIM(MID('R.M Billets Reports'!D288,SEARCH("-",'R.M Billets Reports'!D288)+1,200)),"")),IF(ISNUMBER(SEARCH("Party Name:-",'R.M Billets Reports'!D289)),TRIM('R.M Billets Reports'!F289),IF(ISNUMBER(SEARCH("Party Name-",'R.M Billets Reports'!D289)),TRIM(MID('R.M Billets Reports'!D289,SEARCH("-",'R.M Billets Reports'!D289)+1,200)),"")))))),IF(ROW()=2,"",A288))</f>
      </c>
      <c r="B289">
        <f>IF(OR('R.M Billets Reports'!A288="Date-",'R.M Billets Reports'!A288="Date:-"),'R.M Billets Reports'!B288,IF(ROW()=2,"",B288))</f>
      </c>
      <c r="C289">
        <f>IF('R.M Billets Reports'!A288="V.No.",'R.M Billets Reports'!B288,IF(ROW()=2,"",C288))</f>
      </c>
      <c r="D289">
        <f>IF('R.M Billets Reports'!A288&lt;&gt;"",'R.M Billets Reports'!A288,IF(ROW()=2,"",D288))</f>
      </c>
      <c r="E289">
        <f>IF('R.M Billets Reports'!B288="","",TRIM('R.M Billets Reports'!B288))</f>
      </c>
      <c r="F289">
        <f>'R.M Billets Reports'!C288</f>
      </c>
      <c r="G289">
        <f>'R.M Billets Reports'!D288</f>
      </c>
      <c r="H289">
        <f>'R.M Billets Reports'!E288</f>
      </c>
      <c r="I289">
        <f>'R.M Billets Reports'!F288</f>
      </c>
      <c r="J289">
        <f>'R.M Billets Reports'!G288</f>
      </c>
      <c r="K289">
        <f>'R.M Billets Reports'!H288</f>
      </c>
      <c r="L289">
        <f>IF('R.M Billets Reports'!I288="","",'R.M Billets Reports'!I288)</f>
      </c>
      <c r="M289">
        <f t="shared" si="8"/>
      </c>
      <c r="N289">
        <f>IF('R.M Billets Reports'!J288="","",'R.M Billets Reports'!J288)</f>
      </c>
      <c r="O289">
        <f t="shared" si="9"/>
      </c>
      <c r="P289">
        <f>IF('R.M Billets Reports'!A288="SIZE",'R.M Billets Reports'!B288,P288)</f>
      </c>
    </row>
    <row r="290" spans="1:16" x14ac:dyDescent="0.25">
      <c r="A290">
        <f>IF(OR('R.M Billets Reports'!A289="Date-",'R.M Billets Reports'!A289="Date:-"),IF(IF(IF(ISNUMBER(SEARCH("Party Name:-",'R.M Billets Reports'!D289)),TRIM('R.M Billets Reports'!F289),IF(ISNUMBER(SEARCH("Party Name-",'R.M Billets Reports'!D289)),TRIM(MID('R.M Billets Reports'!D289,SEARCH("-",'R.M Billets Reports'!D289)+1,200)),""))&lt;&gt;"",IF(ISNUMBER(SEARCH("Party Name:-",'R.M Billets Reports'!D289)),TRIM('R.M Billets Reports'!F289),IF(ISNUMBER(SEARCH("Party Name-",'R.M Billets Reports'!D289)),TRIM(MID('R.M Billets Reports'!D289,SEARCH("-",'R.M Billets Reports'!D289)+1,200)),"")),IF(ISNUMBER(SEARCH("Party Name:-",'R.M Billets Reports'!D290)),TRIM('R.M Billets Reports'!F290),IF(ISNUMBER(SEARCH("Party Name-",'R.M Billets Reports'!D290)),TRIM(MID('R.M Billets Reports'!D290,SEARCH("-",'R.M Billets Reports'!D290)+1,200)),"")))="VRKP ISPAT PVT LTD","VRKP",IF(IF(IF(ISNUMBER(SEARCH("Party Name:-",'R.M Billets Reports'!D289)),TRIM('R.M Billets Reports'!F289),IF(ISNUMBER(SEARCH("Party Name-",'R.M Billets Reports'!D289)),TRIM(MID('R.M Billets Reports'!D289,SEARCH("-",'R.M Billets Reports'!D289)+1,200)),""))&lt;&gt;"",IF(ISNUMBER(SEARCH("Party Name:-",'R.M Billets Reports'!D289)),TRIM('R.M Billets Reports'!F289),IF(ISNUMBER(SEARCH("Party Name-",'R.M Billets Reports'!D289)),TRIM(MID('R.M Billets Reports'!D289,SEARCH("-",'R.M Billets Reports'!D289)+1,200)),"")),IF(ISNUMBER(SEARCH("Party Name:-",'R.M Billets Reports'!D290)),TRIM('R.M Billets Reports'!F290),IF(ISNUMBER(SEARCH("Party Name-",'R.M Billets Reports'!D290)),TRIM(MID('R.M Billets Reports'!D290,SEARCH("-",'R.M Billets Reports'!D290)+1,200)),"")))="SHRI RADHE","SHREE RADHE",IF(IF(IF(ISNUMBER(SEARCH("Party Name:-",'R.M Billets Reports'!D289)),TRIM('R.M Billets Reports'!F289),IF(ISNUMBER(SEARCH("Party Name-",'R.M Billets Reports'!D289)),TRIM(MID('R.M Billets Reports'!D289,SEARCH("-",'R.M Billets Reports'!D289)+1,200)),""))&lt;&gt;"",IF(ISNUMBER(SEARCH("Party Name:-",'R.M Billets Reports'!D289)),TRIM('R.M Billets Reports'!F289),IF(ISNUMBER(SEARCH("Party Name-",'R.M Billets Reports'!D289)),TRIM(MID('R.M Billets Reports'!D289,SEARCH("-",'R.M Billets Reports'!D289)+1,200)),"")),IF(ISNUMBER(SEARCH("Party Name:-",'R.M Billets Reports'!D290)),TRIM('R.M Billets Reports'!F290),IF(ISNUMBER(SEARCH("Party Name-",'R.M Billets Reports'!D290)),TRIM(MID('R.M Billets Reports'!D290,SEARCH("-",'R.M Billets Reports'!D290)+1,200)),"")))="SHREE RADHE SHAKTI SPONGE AND POWER PVT. LTD.","SHREE RADHE",IF(IF(ISNUMBER(SEARCH("Party Name:-",'R.M Billets Reports'!D289)),TRIM('R.M Billets Reports'!F289),IF(ISNUMBER(SEARCH("Party Name-",'R.M Billets Reports'!D289)),TRIM(MID('R.M Billets Reports'!D289,SEARCH("-",'R.M Billets Reports'!D289)+1,200)),""))&lt;&gt;"",IF(ISNUMBER(SEARCH("Party Name:-",'R.M Billets Reports'!D289)),TRIM('R.M Billets Reports'!F289),IF(ISNUMBER(SEARCH("Party Name-",'R.M Billets Reports'!D289)),TRIM(MID('R.M Billets Reports'!D289,SEARCH("-",'R.M Billets Reports'!D289)+1,200)),"")),IF(ISNUMBER(SEARCH("Party Name:-",'R.M Billets Reports'!D290)),TRIM('R.M Billets Reports'!F290),IF(ISNUMBER(SEARCH("Party Name-",'R.M Billets Reports'!D290)),TRIM(MID('R.M Billets Reports'!D290,SEARCH("-",'R.M Billets Reports'!D290)+1,200)),"")))))),IF(ROW()=2,"",A289))</f>
      </c>
      <c r="B290">
        <f>IF(OR('R.M Billets Reports'!A289="Date-",'R.M Billets Reports'!A289="Date:-"),'R.M Billets Reports'!B289,IF(ROW()=2,"",B289))</f>
      </c>
      <c r="C290">
        <f>IF('R.M Billets Reports'!A289="V.No.",'R.M Billets Reports'!B289,IF(ROW()=2,"",C289))</f>
      </c>
      <c r="D290">
        <f>IF('R.M Billets Reports'!A289&lt;&gt;"",'R.M Billets Reports'!A289,IF(ROW()=2,"",D289))</f>
      </c>
      <c r="E290">
        <f>IF('R.M Billets Reports'!B289="","",TRIM('R.M Billets Reports'!B289))</f>
      </c>
      <c r="F290">
        <f>'R.M Billets Reports'!C289</f>
      </c>
      <c r="G290">
        <f>'R.M Billets Reports'!D289</f>
      </c>
      <c r="H290">
        <f>'R.M Billets Reports'!E289</f>
      </c>
      <c r="I290">
        <f>'R.M Billets Reports'!F289</f>
      </c>
      <c r="J290">
        <f>'R.M Billets Reports'!G289</f>
      </c>
      <c r="K290">
        <f>'R.M Billets Reports'!H289</f>
      </c>
      <c r="L290">
        <f>IF('R.M Billets Reports'!I289="","",'R.M Billets Reports'!I289)</f>
      </c>
      <c r="M290">
        <f t="shared" si="8"/>
      </c>
      <c r="N290">
        <f>IF('R.M Billets Reports'!J289="","",'R.M Billets Reports'!J289)</f>
      </c>
      <c r="O290">
        <f t="shared" si="9"/>
      </c>
      <c r="P290">
        <f>IF('R.M Billets Reports'!A289="SIZE",'R.M Billets Reports'!B289,P289)</f>
      </c>
    </row>
    <row r="291" spans="1:16" x14ac:dyDescent="0.25">
      <c r="A291">
        <f>IF(OR('R.M Billets Reports'!A290="Date-",'R.M Billets Reports'!A290="Date:-"),IF(IF(IF(ISNUMBER(SEARCH("Party Name:-",'R.M Billets Reports'!D290)),TRIM('R.M Billets Reports'!F290),IF(ISNUMBER(SEARCH("Party Name-",'R.M Billets Reports'!D290)),TRIM(MID('R.M Billets Reports'!D290,SEARCH("-",'R.M Billets Reports'!D290)+1,200)),""))&lt;&gt;"",IF(ISNUMBER(SEARCH("Party Name:-",'R.M Billets Reports'!D290)),TRIM('R.M Billets Reports'!F290),IF(ISNUMBER(SEARCH("Party Name-",'R.M Billets Reports'!D290)),TRIM(MID('R.M Billets Reports'!D290,SEARCH("-",'R.M Billets Reports'!D290)+1,200)),"")),IF(ISNUMBER(SEARCH("Party Name:-",'R.M Billets Reports'!D291)),TRIM('R.M Billets Reports'!F291),IF(ISNUMBER(SEARCH("Party Name-",'R.M Billets Reports'!D291)),TRIM(MID('R.M Billets Reports'!D291,SEARCH("-",'R.M Billets Reports'!D291)+1,200)),"")))="VRKP ISPAT PVT LTD","VRKP",IF(IF(IF(ISNUMBER(SEARCH("Party Name:-",'R.M Billets Reports'!D290)),TRIM('R.M Billets Reports'!F290),IF(ISNUMBER(SEARCH("Party Name-",'R.M Billets Reports'!D290)),TRIM(MID('R.M Billets Reports'!D290,SEARCH("-",'R.M Billets Reports'!D290)+1,200)),""))&lt;&gt;"",IF(ISNUMBER(SEARCH("Party Name:-",'R.M Billets Reports'!D290)),TRIM('R.M Billets Reports'!F290),IF(ISNUMBER(SEARCH("Party Name-",'R.M Billets Reports'!D290)),TRIM(MID('R.M Billets Reports'!D290,SEARCH("-",'R.M Billets Reports'!D290)+1,200)),"")),IF(ISNUMBER(SEARCH("Party Name:-",'R.M Billets Reports'!D291)),TRIM('R.M Billets Reports'!F291),IF(ISNUMBER(SEARCH("Party Name-",'R.M Billets Reports'!D291)),TRIM(MID('R.M Billets Reports'!D291,SEARCH("-",'R.M Billets Reports'!D291)+1,200)),"")))="SHRI RADHE","SHREE RADHE",IF(IF(IF(ISNUMBER(SEARCH("Party Name:-",'R.M Billets Reports'!D290)),TRIM('R.M Billets Reports'!F290),IF(ISNUMBER(SEARCH("Party Name-",'R.M Billets Reports'!D290)),TRIM(MID('R.M Billets Reports'!D290,SEARCH("-",'R.M Billets Reports'!D290)+1,200)),""))&lt;&gt;"",IF(ISNUMBER(SEARCH("Party Name:-",'R.M Billets Reports'!D290)),TRIM('R.M Billets Reports'!F290),IF(ISNUMBER(SEARCH("Party Name-",'R.M Billets Reports'!D290)),TRIM(MID('R.M Billets Reports'!D290,SEARCH("-",'R.M Billets Reports'!D290)+1,200)),"")),IF(ISNUMBER(SEARCH("Party Name:-",'R.M Billets Reports'!D291)),TRIM('R.M Billets Reports'!F291),IF(ISNUMBER(SEARCH("Party Name-",'R.M Billets Reports'!D291)),TRIM(MID('R.M Billets Reports'!D291,SEARCH("-",'R.M Billets Reports'!D291)+1,200)),"")))="SHREE RADHE SHAKTI SPONGE AND POWER PVT. LTD.","SHREE RADHE",IF(IF(ISNUMBER(SEARCH("Party Name:-",'R.M Billets Reports'!D290)),TRIM('R.M Billets Reports'!F290),IF(ISNUMBER(SEARCH("Party Name-",'R.M Billets Reports'!D290)),TRIM(MID('R.M Billets Reports'!D290,SEARCH("-",'R.M Billets Reports'!D290)+1,200)),""))&lt;&gt;"",IF(ISNUMBER(SEARCH("Party Name:-",'R.M Billets Reports'!D290)),TRIM('R.M Billets Reports'!F290),IF(ISNUMBER(SEARCH("Party Name-",'R.M Billets Reports'!D290)),TRIM(MID('R.M Billets Reports'!D290,SEARCH("-",'R.M Billets Reports'!D290)+1,200)),"")),IF(ISNUMBER(SEARCH("Party Name:-",'R.M Billets Reports'!D291)),TRIM('R.M Billets Reports'!F291),IF(ISNUMBER(SEARCH("Party Name-",'R.M Billets Reports'!D291)),TRIM(MID('R.M Billets Reports'!D291,SEARCH("-",'R.M Billets Reports'!D291)+1,200)),"")))))),IF(ROW()=2,"",A290))</f>
      </c>
      <c r="B291">
        <f>IF(OR('R.M Billets Reports'!A290="Date-",'R.M Billets Reports'!A290="Date:-"),'R.M Billets Reports'!B290,IF(ROW()=2,"",B290))</f>
      </c>
      <c r="C291">
        <f>IF('R.M Billets Reports'!A290="V.No.",'R.M Billets Reports'!B290,IF(ROW()=2,"",C290))</f>
      </c>
      <c r="D291">
        <f>IF('R.M Billets Reports'!A290&lt;&gt;"",'R.M Billets Reports'!A290,IF(ROW()=2,"",D290))</f>
      </c>
      <c r="E291">
        <f>IF('R.M Billets Reports'!B290="","",TRIM('R.M Billets Reports'!B290))</f>
      </c>
      <c r="F291">
        <f>'R.M Billets Reports'!C290</f>
      </c>
      <c r="G291">
        <f>'R.M Billets Reports'!D290</f>
      </c>
      <c r="H291">
        <f>'R.M Billets Reports'!E290</f>
      </c>
      <c r="I291">
        <f>'R.M Billets Reports'!F290</f>
      </c>
      <c r="J291">
        <f>'R.M Billets Reports'!G290</f>
      </c>
      <c r="K291">
        <f>'R.M Billets Reports'!H290</f>
      </c>
      <c r="L291">
        <f>IF('R.M Billets Reports'!I290="","",'R.M Billets Reports'!I290)</f>
      </c>
      <c r="M291">
        <f t="shared" si="8"/>
      </c>
      <c r="N291">
        <f>IF('R.M Billets Reports'!J290="","",'R.M Billets Reports'!J290)</f>
      </c>
      <c r="O291">
        <f t="shared" si="9"/>
      </c>
      <c r="P291">
        <f>IF('R.M Billets Reports'!A290="SIZE",'R.M Billets Reports'!B290,P290)</f>
      </c>
    </row>
    <row r="292" spans="1:16" x14ac:dyDescent="0.25">
      <c r="A292">
        <f>IF(OR('R.M Billets Reports'!A291="Date-",'R.M Billets Reports'!A291="Date:-"),IF(IF(IF(ISNUMBER(SEARCH("Party Name:-",'R.M Billets Reports'!D291)),TRIM('R.M Billets Reports'!F291),IF(ISNUMBER(SEARCH("Party Name-",'R.M Billets Reports'!D291)),TRIM(MID('R.M Billets Reports'!D291,SEARCH("-",'R.M Billets Reports'!D291)+1,200)),""))&lt;&gt;"",IF(ISNUMBER(SEARCH("Party Name:-",'R.M Billets Reports'!D291)),TRIM('R.M Billets Reports'!F291),IF(ISNUMBER(SEARCH("Party Name-",'R.M Billets Reports'!D291)),TRIM(MID('R.M Billets Reports'!D291,SEARCH("-",'R.M Billets Reports'!D291)+1,200)),"")),IF(ISNUMBER(SEARCH("Party Name:-",'R.M Billets Reports'!D292)),TRIM('R.M Billets Reports'!F292),IF(ISNUMBER(SEARCH("Party Name-",'R.M Billets Reports'!D292)),TRIM(MID('R.M Billets Reports'!D292,SEARCH("-",'R.M Billets Reports'!D292)+1,200)),"")))="VRKP ISPAT PVT LTD","VRKP",IF(IF(IF(ISNUMBER(SEARCH("Party Name:-",'R.M Billets Reports'!D291)),TRIM('R.M Billets Reports'!F291),IF(ISNUMBER(SEARCH("Party Name-",'R.M Billets Reports'!D291)),TRIM(MID('R.M Billets Reports'!D291,SEARCH("-",'R.M Billets Reports'!D291)+1,200)),""))&lt;&gt;"",IF(ISNUMBER(SEARCH("Party Name:-",'R.M Billets Reports'!D291)),TRIM('R.M Billets Reports'!F291),IF(ISNUMBER(SEARCH("Party Name-",'R.M Billets Reports'!D291)),TRIM(MID('R.M Billets Reports'!D291,SEARCH("-",'R.M Billets Reports'!D291)+1,200)),"")),IF(ISNUMBER(SEARCH("Party Name:-",'R.M Billets Reports'!D292)),TRIM('R.M Billets Reports'!F292),IF(ISNUMBER(SEARCH("Party Name-",'R.M Billets Reports'!D292)),TRIM(MID('R.M Billets Reports'!D292,SEARCH("-",'R.M Billets Reports'!D292)+1,200)),"")))="SHRI RADHE","SHREE RADHE",IF(IF(IF(ISNUMBER(SEARCH("Party Name:-",'R.M Billets Reports'!D291)),TRIM('R.M Billets Reports'!F291),IF(ISNUMBER(SEARCH("Party Name-",'R.M Billets Reports'!D291)),TRIM(MID('R.M Billets Reports'!D291,SEARCH("-",'R.M Billets Reports'!D291)+1,200)),""))&lt;&gt;"",IF(ISNUMBER(SEARCH("Party Name:-",'R.M Billets Reports'!D291)),TRIM('R.M Billets Reports'!F291),IF(ISNUMBER(SEARCH("Party Name-",'R.M Billets Reports'!D291)),TRIM(MID('R.M Billets Reports'!D291,SEARCH("-",'R.M Billets Reports'!D291)+1,200)),"")),IF(ISNUMBER(SEARCH("Party Name:-",'R.M Billets Reports'!D292)),TRIM('R.M Billets Reports'!F292),IF(ISNUMBER(SEARCH("Party Name-",'R.M Billets Reports'!D292)),TRIM(MID('R.M Billets Reports'!D292,SEARCH("-",'R.M Billets Reports'!D292)+1,200)),"")))="SHREE RADHE SHAKTI SPONGE AND POWER PVT. LTD.","SHREE RADHE",IF(IF(ISNUMBER(SEARCH("Party Name:-",'R.M Billets Reports'!D291)),TRIM('R.M Billets Reports'!F291),IF(ISNUMBER(SEARCH("Party Name-",'R.M Billets Reports'!D291)),TRIM(MID('R.M Billets Reports'!D291,SEARCH("-",'R.M Billets Reports'!D291)+1,200)),""))&lt;&gt;"",IF(ISNUMBER(SEARCH("Party Name:-",'R.M Billets Reports'!D291)),TRIM('R.M Billets Reports'!F291),IF(ISNUMBER(SEARCH("Party Name-",'R.M Billets Reports'!D291)),TRIM(MID('R.M Billets Reports'!D291,SEARCH("-",'R.M Billets Reports'!D291)+1,200)),"")),IF(ISNUMBER(SEARCH("Party Name:-",'R.M Billets Reports'!D292)),TRIM('R.M Billets Reports'!F292),IF(ISNUMBER(SEARCH("Party Name-",'R.M Billets Reports'!D292)),TRIM(MID('R.M Billets Reports'!D292,SEARCH("-",'R.M Billets Reports'!D292)+1,200)),"")))))),IF(ROW()=2,"",A291))</f>
      </c>
      <c r="B292">
        <f>IF(OR('R.M Billets Reports'!A291="Date-",'R.M Billets Reports'!A291="Date:-"),'R.M Billets Reports'!B291,IF(ROW()=2,"",B291))</f>
      </c>
      <c r="C292">
        <f>IF('R.M Billets Reports'!A291="V.No.",'R.M Billets Reports'!B291,IF(ROW()=2,"",C291))</f>
      </c>
      <c r="D292">
        <f>IF('R.M Billets Reports'!A291&lt;&gt;"",'R.M Billets Reports'!A291,IF(ROW()=2,"",D291))</f>
      </c>
      <c r="E292">
        <f>IF('R.M Billets Reports'!B291="","",TRIM('R.M Billets Reports'!B291))</f>
      </c>
      <c r="F292">
        <f>'R.M Billets Reports'!C291</f>
      </c>
      <c r="G292">
        <f>'R.M Billets Reports'!D291</f>
      </c>
      <c r="H292">
        <f>'R.M Billets Reports'!E291</f>
      </c>
      <c r="I292">
        <f>'R.M Billets Reports'!F291</f>
      </c>
      <c r="J292">
        <f>'R.M Billets Reports'!G291</f>
      </c>
      <c r="K292">
        <f>'R.M Billets Reports'!H291</f>
      </c>
      <c r="L292">
        <f>IF('R.M Billets Reports'!I291="","",'R.M Billets Reports'!I291)</f>
      </c>
      <c r="M292">
        <f t="shared" si="8"/>
      </c>
      <c r="N292">
        <f>IF('R.M Billets Reports'!J291="","",'R.M Billets Reports'!J291)</f>
      </c>
      <c r="O292">
        <f t="shared" si="9"/>
      </c>
      <c r="P292">
        <f>IF('R.M Billets Reports'!A291="SIZE",'R.M Billets Reports'!B291,P291)</f>
      </c>
    </row>
    <row r="293" spans="1:16" x14ac:dyDescent="0.25">
      <c r="A293">
        <f>IF(OR('R.M Billets Reports'!A292="Date-",'R.M Billets Reports'!A292="Date:-"),IF(IF(IF(ISNUMBER(SEARCH("Party Name:-",'R.M Billets Reports'!D292)),TRIM('R.M Billets Reports'!F292),IF(ISNUMBER(SEARCH("Party Name-",'R.M Billets Reports'!D292)),TRIM(MID('R.M Billets Reports'!D292,SEARCH("-",'R.M Billets Reports'!D292)+1,200)),""))&lt;&gt;"",IF(ISNUMBER(SEARCH("Party Name:-",'R.M Billets Reports'!D292)),TRIM('R.M Billets Reports'!F292),IF(ISNUMBER(SEARCH("Party Name-",'R.M Billets Reports'!D292)),TRIM(MID('R.M Billets Reports'!D292,SEARCH("-",'R.M Billets Reports'!D292)+1,200)),"")),IF(ISNUMBER(SEARCH("Party Name:-",'R.M Billets Reports'!D293)),TRIM('R.M Billets Reports'!F293),IF(ISNUMBER(SEARCH("Party Name-",'R.M Billets Reports'!D293)),TRIM(MID('R.M Billets Reports'!D293,SEARCH("-",'R.M Billets Reports'!D293)+1,200)),"")))="VRKP ISPAT PVT LTD","VRKP",IF(IF(IF(ISNUMBER(SEARCH("Party Name:-",'R.M Billets Reports'!D292)),TRIM('R.M Billets Reports'!F292),IF(ISNUMBER(SEARCH("Party Name-",'R.M Billets Reports'!D292)),TRIM(MID('R.M Billets Reports'!D292,SEARCH("-",'R.M Billets Reports'!D292)+1,200)),""))&lt;&gt;"",IF(ISNUMBER(SEARCH("Party Name:-",'R.M Billets Reports'!D292)),TRIM('R.M Billets Reports'!F292),IF(ISNUMBER(SEARCH("Party Name-",'R.M Billets Reports'!D292)),TRIM(MID('R.M Billets Reports'!D292,SEARCH("-",'R.M Billets Reports'!D292)+1,200)),"")),IF(ISNUMBER(SEARCH("Party Name:-",'R.M Billets Reports'!D293)),TRIM('R.M Billets Reports'!F293),IF(ISNUMBER(SEARCH("Party Name-",'R.M Billets Reports'!D293)),TRIM(MID('R.M Billets Reports'!D293,SEARCH("-",'R.M Billets Reports'!D293)+1,200)),"")))="SHRI RADHE","SHREE RADHE",IF(IF(IF(ISNUMBER(SEARCH("Party Name:-",'R.M Billets Reports'!D292)),TRIM('R.M Billets Reports'!F292),IF(ISNUMBER(SEARCH("Party Name-",'R.M Billets Reports'!D292)),TRIM(MID('R.M Billets Reports'!D292,SEARCH("-",'R.M Billets Reports'!D292)+1,200)),""))&lt;&gt;"",IF(ISNUMBER(SEARCH("Party Name:-",'R.M Billets Reports'!D292)),TRIM('R.M Billets Reports'!F292),IF(ISNUMBER(SEARCH("Party Name-",'R.M Billets Reports'!D292)),TRIM(MID('R.M Billets Reports'!D292,SEARCH("-",'R.M Billets Reports'!D292)+1,200)),"")),IF(ISNUMBER(SEARCH("Party Name:-",'R.M Billets Reports'!D293)),TRIM('R.M Billets Reports'!F293),IF(ISNUMBER(SEARCH("Party Name-",'R.M Billets Reports'!D293)),TRIM(MID('R.M Billets Reports'!D293,SEARCH("-",'R.M Billets Reports'!D293)+1,200)),"")))="SHREE RADHE SHAKTI SPONGE AND POWER PVT. LTD.","SHREE RADHE",IF(IF(ISNUMBER(SEARCH("Party Name:-",'R.M Billets Reports'!D292)),TRIM('R.M Billets Reports'!F292),IF(ISNUMBER(SEARCH("Party Name-",'R.M Billets Reports'!D292)),TRIM(MID('R.M Billets Reports'!D292,SEARCH("-",'R.M Billets Reports'!D292)+1,200)),""))&lt;&gt;"",IF(ISNUMBER(SEARCH("Party Name:-",'R.M Billets Reports'!D292)),TRIM('R.M Billets Reports'!F292),IF(ISNUMBER(SEARCH("Party Name-",'R.M Billets Reports'!D292)),TRIM(MID('R.M Billets Reports'!D292,SEARCH("-",'R.M Billets Reports'!D292)+1,200)),"")),IF(ISNUMBER(SEARCH("Party Name:-",'R.M Billets Reports'!D293)),TRIM('R.M Billets Reports'!F293),IF(ISNUMBER(SEARCH("Party Name-",'R.M Billets Reports'!D293)),TRIM(MID('R.M Billets Reports'!D293,SEARCH("-",'R.M Billets Reports'!D293)+1,200)),"")))))),IF(ROW()=2,"",A292))</f>
      </c>
      <c r="B293">
        <f>IF(OR('R.M Billets Reports'!A292="Date-",'R.M Billets Reports'!A292="Date:-"),'R.M Billets Reports'!B292,IF(ROW()=2,"",B292))</f>
      </c>
      <c r="C293">
        <f>IF('R.M Billets Reports'!A292="V.No.",'R.M Billets Reports'!B292,IF(ROW()=2,"",C292))</f>
      </c>
      <c r="D293">
        <f>IF('R.M Billets Reports'!A292&lt;&gt;"",'R.M Billets Reports'!A292,IF(ROW()=2,"",D292))</f>
      </c>
      <c r="E293">
        <f>IF('R.M Billets Reports'!B292="","",TRIM('R.M Billets Reports'!B292))</f>
      </c>
      <c r="F293">
        <f>'R.M Billets Reports'!C292</f>
      </c>
      <c r="G293">
        <f>'R.M Billets Reports'!D292</f>
      </c>
      <c r="H293">
        <f>'R.M Billets Reports'!E292</f>
      </c>
      <c r="I293">
        <f>'R.M Billets Reports'!F292</f>
      </c>
      <c r="J293">
        <f>'R.M Billets Reports'!G292</f>
      </c>
      <c r="K293">
        <f>'R.M Billets Reports'!H292</f>
      </c>
      <c r="L293">
        <f>IF('R.M Billets Reports'!I292="","",'R.M Billets Reports'!I292)</f>
      </c>
      <c r="M293">
        <f t="shared" si="8"/>
      </c>
      <c r="N293">
        <f>IF('R.M Billets Reports'!J292="","",'R.M Billets Reports'!J292)</f>
      </c>
      <c r="O293">
        <f t="shared" si="9"/>
      </c>
      <c r="P293">
        <f>IF('R.M Billets Reports'!A292="SIZE",'R.M Billets Reports'!B292,P292)</f>
      </c>
    </row>
    <row r="294" spans="1:16" x14ac:dyDescent="0.25">
      <c r="A294">
        <f>IF(OR('R.M Billets Reports'!A293="Date-",'R.M Billets Reports'!A293="Date:-"),IF(IF(IF(ISNUMBER(SEARCH("Party Name:-",'R.M Billets Reports'!D293)),TRIM('R.M Billets Reports'!F293),IF(ISNUMBER(SEARCH("Party Name-",'R.M Billets Reports'!D293)),TRIM(MID('R.M Billets Reports'!D293,SEARCH("-",'R.M Billets Reports'!D293)+1,200)),""))&lt;&gt;"",IF(ISNUMBER(SEARCH("Party Name:-",'R.M Billets Reports'!D293)),TRIM('R.M Billets Reports'!F293),IF(ISNUMBER(SEARCH("Party Name-",'R.M Billets Reports'!D293)),TRIM(MID('R.M Billets Reports'!D293,SEARCH("-",'R.M Billets Reports'!D293)+1,200)),"")),IF(ISNUMBER(SEARCH("Party Name:-",'R.M Billets Reports'!D294)),TRIM('R.M Billets Reports'!F294),IF(ISNUMBER(SEARCH("Party Name-",'R.M Billets Reports'!D294)),TRIM(MID('R.M Billets Reports'!D294,SEARCH("-",'R.M Billets Reports'!D294)+1,200)),"")))="VRKP ISPAT PVT LTD","VRKP",IF(IF(IF(ISNUMBER(SEARCH("Party Name:-",'R.M Billets Reports'!D293)),TRIM('R.M Billets Reports'!F293),IF(ISNUMBER(SEARCH("Party Name-",'R.M Billets Reports'!D293)),TRIM(MID('R.M Billets Reports'!D293,SEARCH("-",'R.M Billets Reports'!D293)+1,200)),""))&lt;&gt;"",IF(ISNUMBER(SEARCH("Party Name:-",'R.M Billets Reports'!D293)),TRIM('R.M Billets Reports'!F293),IF(ISNUMBER(SEARCH("Party Name-",'R.M Billets Reports'!D293)),TRIM(MID('R.M Billets Reports'!D293,SEARCH("-",'R.M Billets Reports'!D293)+1,200)),"")),IF(ISNUMBER(SEARCH("Party Name:-",'R.M Billets Reports'!D294)),TRIM('R.M Billets Reports'!F294),IF(ISNUMBER(SEARCH("Party Name-",'R.M Billets Reports'!D294)),TRIM(MID('R.M Billets Reports'!D294,SEARCH("-",'R.M Billets Reports'!D294)+1,200)),"")))="SHRI RADHE","SHREE RADHE",IF(IF(IF(ISNUMBER(SEARCH("Party Name:-",'R.M Billets Reports'!D293)),TRIM('R.M Billets Reports'!F293),IF(ISNUMBER(SEARCH("Party Name-",'R.M Billets Reports'!D293)),TRIM(MID('R.M Billets Reports'!D293,SEARCH("-",'R.M Billets Reports'!D293)+1,200)),""))&lt;&gt;"",IF(ISNUMBER(SEARCH("Party Name:-",'R.M Billets Reports'!D293)),TRIM('R.M Billets Reports'!F293),IF(ISNUMBER(SEARCH("Party Name-",'R.M Billets Reports'!D293)),TRIM(MID('R.M Billets Reports'!D293,SEARCH("-",'R.M Billets Reports'!D293)+1,200)),"")),IF(ISNUMBER(SEARCH("Party Name:-",'R.M Billets Reports'!D294)),TRIM('R.M Billets Reports'!F294),IF(ISNUMBER(SEARCH("Party Name-",'R.M Billets Reports'!D294)),TRIM(MID('R.M Billets Reports'!D294,SEARCH("-",'R.M Billets Reports'!D294)+1,200)),"")))="SHREE RADHE SHAKTI SPONGE AND POWER PVT. LTD.","SHREE RADHE",IF(IF(ISNUMBER(SEARCH("Party Name:-",'R.M Billets Reports'!D293)),TRIM('R.M Billets Reports'!F293),IF(ISNUMBER(SEARCH("Party Name-",'R.M Billets Reports'!D293)),TRIM(MID('R.M Billets Reports'!D293,SEARCH("-",'R.M Billets Reports'!D293)+1,200)),""))&lt;&gt;"",IF(ISNUMBER(SEARCH("Party Name:-",'R.M Billets Reports'!D293)),TRIM('R.M Billets Reports'!F293),IF(ISNUMBER(SEARCH("Party Name-",'R.M Billets Reports'!D293)),TRIM(MID('R.M Billets Reports'!D293,SEARCH("-",'R.M Billets Reports'!D293)+1,200)),"")),IF(ISNUMBER(SEARCH("Party Name:-",'R.M Billets Reports'!D294)),TRIM('R.M Billets Reports'!F294),IF(ISNUMBER(SEARCH("Party Name-",'R.M Billets Reports'!D294)),TRIM(MID('R.M Billets Reports'!D294,SEARCH("-",'R.M Billets Reports'!D294)+1,200)),"")))))),IF(ROW()=2,"",A293))</f>
      </c>
      <c r="B294">
        <f>IF(OR('R.M Billets Reports'!A293="Date-",'R.M Billets Reports'!A293="Date:-"),'R.M Billets Reports'!B293,IF(ROW()=2,"",B293))</f>
      </c>
      <c r="C294">
        <f>IF('R.M Billets Reports'!A293="V.No.",'R.M Billets Reports'!B293,IF(ROW()=2,"",C293))</f>
      </c>
      <c r="D294">
        <f>IF('R.M Billets Reports'!A293&lt;&gt;"",'R.M Billets Reports'!A293,IF(ROW()=2,"",D293))</f>
      </c>
      <c r="E294">
        <f>IF('R.M Billets Reports'!B293="","",TRIM('R.M Billets Reports'!B293))</f>
      </c>
      <c r="F294">
        <f>'R.M Billets Reports'!C293</f>
      </c>
      <c r="G294">
        <f>'R.M Billets Reports'!D293</f>
      </c>
      <c r="H294">
        <f>'R.M Billets Reports'!E293</f>
      </c>
      <c r="I294">
        <f>'R.M Billets Reports'!F293</f>
      </c>
      <c r="J294">
        <f>'R.M Billets Reports'!G293</f>
      </c>
      <c r="K294">
        <f>'R.M Billets Reports'!H293</f>
      </c>
      <c r="L294">
        <f>IF('R.M Billets Reports'!I293="","",'R.M Billets Reports'!I293)</f>
      </c>
      <c r="M294">
        <f t="shared" si="8"/>
      </c>
      <c r="N294">
        <f>IF('R.M Billets Reports'!J293="","",'R.M Billets Reports'!J293)</f>
      </c>
      <c r="O294">
        <f t="shared" si="9"/>
      </c>
      <c r="P294">
        <f>IF('R.M Billets Reports'!A293="SIZE",'R.M Billets Reports'!B293,P293)</f>
      </c>
    </row>
    <row r="295" spans="1:16" x14ac:dyDescent="0.25">
      <c r="A295">
        <f>IF(OR('R.M Billets Reports'!A294="Date-",'R.M Billets Reports'!A294="Date:-"),IF(IF(IF(ISNUMBER(SEARCH("Party Name:-",'R.M Billets Reports'!D294)),TRIM('R.M Billets Reports'!F294),IF(ISNUMBER(SEARCH("Party Name-",'R.M Billets Reports'!D294)),TRIM(MID('R.M Billets Reports'!D294,SEARCH("-",'R.M Billets Reports'!D294)+1,200)),""))&lt;&gt;"",IF(ISNUMBER(SEARCH("Party Name:-",'R.M Billets Reports'!D294)),TRIM('R.M Billets Reports'!F294),IF(ISNUMBER(SEARCH("Party Name-",'R.M Billets Reports'!D294)),TRIM(MID('R.M Billets Reports'!D294,SEARCH("-",'R.M Billets Reports'!D294)+1,200)),"")),IF(ISNUMBER(SEARCH("Party Name:-",'R.M Billets Reports'!D295)),TRIM('R.M Billets Reports'!F295),IF(ISNUMBER(SEARCH("Party Name-",'R.M Billets Reports'!D295)),TRIM(MID('R.M Billets Reports'!D295,SEARCH("-",'R.M Billets Reports'!D295)+1,200)),"")))="VRKP ISPAT PVT LTD","VRKP",IF(IF(IF(ISNUMBER(SEARCH("Party Name:-",'R.M Billets Reports'!D294)),TRIM('R.M Billets Reports'!F294),IF(ISNUMBER(SEARCH("Party Name-",'R.M Billets Reports'!D294)),TRIM(MID('R.M Billets Reports'!D294,SEARCH("-",'R.M Billets Reports'!D294)+1,200)),""))&lt;&gt;"",IF(ISNUMBER(SEARCH("Party Name:-",'R.M Billets Reports'!D294)),TRIM('R.M Billets Reports'!F294),IF(ISNUMBER(SEARCH("Party Name-",'R.M Billets Reports'!D294)),TRIM(MID('R.M Billets Reports'!D294,SEARCH("-",'R.M Billets Reports'!D294)+1,200)),"")),IF(ISNUMBER(SEARCH("Party Name:-",'R.M Billets Reports'!D295)),TRIM('R.M Billets Reports'!F295),IF(ISNUMBER(SEARCH("Party Name-",'R.M Billets Reports'!D295)),TRIM(MID('R.M Billets Reports'!D295,SEARCH("-",'R.M Billets Reports'!D295)+1,200)),"")))="SHRI RADHE","SHREE RADHE",IF(IF(IF(ISNUMBER(SEARCH("Party Name:-",'R.M Billets Reports'!D294)),TRIM('R.M Billets Reports'!F294),IF(ISNUMBER(SEARCH("Party Name-",'R.M Billets Reports'!D294)),TRIM(MID('R.M Billets Reports'!D294,SEARCH("-",'R.M Billets Reports'!D294)+1,200)),""))&lt;&gt;"",IF(ISNUMBER(SEARCH("Party Name:-",'R.M Billets Reports'!D294)),TRIM('R.M Billets Reports'!F294),IF(ISNUMBER(SEARCH("Party Name-",'R.M Billets Reports'!D294)),TRIM(MID('R.M Billets Reports'!D294,SEARCH("-",'R.M Billets Reports'!D294)+1,200)),"")),IF(ISNUMBER(SEARCH("Party Name:-",'R.M Billets Reports'!D295)),TRIM('R.M Billets Reports'!F295),IF(ISNUMBER(SEARCH("Party Name-",'R.M Billets Reports'!D295)),TRIM(MID('R.M Billets Reports'!D295,SEARCH("-",'R.M Billets Reports'!D295)+1,200)),"")))="SHREE RADHE SHAKTI SPONGE AND POWER PVT. LTD.","SHREE RADHE",IF(IF(ISNUMBER(SEARCH("Party Name:-",'R.M Billets Reports'!D294)),TRIM('R.M Billets Reports'!F294),IF(ISNUMBER(SEARCH("Party Name-",'R.M Billets Reports'!D294)),TRIM(MID('R.M Billets Reports'!D294,SEARCH("-",'R.M Billets Reports'!D294)+1,200)),""))&lt;&gt;"",IF(ISNUMBER(SEARCH("Party Name:-",'R.M Billets Reports'!D294)),TRIM('R.M Billets Reports'!F294),IF(ISNUMBER(SEARCH("Party Name-",'R.M Billets Reports'!D294)),TRIM(MID('R.M Billets Reports'!D294,SEARCH("-",'R.M Billets Reports'!D294)+1,200)),"")),IF(ISNUMBER(SEARCH("Party Name:-",'R.M Billets Reports'!D295)),TRIM('R.M Billets Reports'!F295),IF(ISNUMBER(SEARCH("Party Name-",'R.M Billets Reports'!D295)),TRIM(MID('R.M Billets Reports'!D295,SEARCH("-",'R.M Billets Reports'!D295)+1,200)),"")))))),IF(ROW()=2,"",A294))</f>
      </c>
      <c r="B295">
        <f>IF(OR('R.M Billets Reports'!A294="Date-",'R.M Billets Reports'!A294="Date:-"),'R.M Billets Reports'!B294,IF(ROW()=2,"",B294))</f>
      </c>
      <c r="C295">
        <f>IF('R.M Billets Reports'!A294="V.No.",'R.M Billets Reports'!B294,IF(ROW()=2,"",C294))</f>
      </c>
      <c r="D295">
        <f>IF('R.M Billets Reports'!A294&lt;&gt;"",'R.M Billets Reports'!A294,IF(ROW()=2,"",D294))</f>
      </c>
      <c r="E295">
        <f>IF('R.M Billets Reports'!B294="","",TRIM('R.M Billets Reports'!B294))</f>
      </c>
      <c r="F295">
        <f>'R.M Billets Reports'!C294</f>
      </c>
      <c r="G295">
        <f>'R.M Billets Reports'!D294</f>
      </c>
      <c r="H295">
        <f>'R.M Billets Reports'!E294</f>
      </c>
      <c r="I295">
        <f>'R.M Billets Reports'!F294</f>
      </c>
      <c r="J295">
        <f>'R.M Billets Reports'!G294</f>
      </c>
      <c r="K295">
        <f>'R.M Billets Reports'!H294</f>
      </c>
      <c r="L295">
        <f>IF('R.M Billets Reports'!I294="","",'R.M Billets Reports'!I294)</f>
      </c>
      <c r="M295">
        <f t="shared" si="8"/>
      </c>
      <c r="N295">
        <f>IF('R.M Billets Reports'!J294="","",'R.M Billets Reports'!J294)</f>
      </c>
      <c r="O295">
        <f t="shared" si="9"/>
      </c>
      <c r="P295">
        <f>IF('R.M Billets Reports'!A294="SIZE",'R.M Billets Reports'!B294,P294)</f>
      </c>
    </row>
    <row r="296" spans="1:16" x14ac:dyDescent="0.25">
      <c r="A296">
        <f>IF(OR('R.M Billets Reports'!A295="Date-",'R.M Billets Reports'!A295="Date:-"),IF(IF(IF(ISNUMBER(SEARCH("Party Name:-",'R.M Billets Reports'!D295)),TRIM('R.M Billets Reports'!F295),IF(ISNUMBER(SEARCH("Party Name-",'R.M Billets Reports'!D295)),TRIM(MID('R.M Billets Reports'!D295,SEARCH("-",'R.M Billets Reports'!D295)+1,200)),""))&lt;&gt;"",IF(ISNUMBER(SEARCH("Party Name:-",'R.M Billets Reports'!D295)),TRIM('R.M Billets Reports'!F295),IF(ISNUMBER(SEARCH("Party Name-",'R.M Billets Reports'!D295)),TRIM(MID('R.M Billets Reports'!D295,SEARCH("-",'R.M Billets Reports'!D295)+1,200)),"")),IF(ISNUMBER(SEARCH("Party Name:-",'R.M Billets Reports'!D296)),TRIM('R.M Billets Reports'!F296),IF(ISNUMBER(SEARCH("Party Name-",'R.M Billets Reports'!D296)),TRIM(MID('R.M Billets Reports'!D296,SEARCH("-",'R.M Billets Reports'!D296)+1,200)),"")))="VRKP ISPAT PVT LTD","VRKP",IF(IF(IF(ISNUMBER(SEARCH("Party Name:-",'R.M Billets Reports'!D295)),TRIM('R.M Billets Reports'!F295),IF(ISNUMBER(SEARCH("Party Name-",'R.M Billets Reports'!D295)),TRIM(MID('R.M Billets Reports'!D295,SEARCH("-",'R.M Billets Reports'!D295)+1,200)),""))&lt;&gt;"",IF(ISNUMBER(SEARCH("Party Name:-",'R.M Billets Reports'!D295)),TRIM('R.M Billets Reports'!F295),IF(ISNUMBER(SEARCH("Party Name-",'R.M Billets Reports'!D295)),TRIM(MID('R.M Billets Reports'!D295,SEARCH("-",'R.M Billets Reports'!D295)+1,200)),"")),IF(ISNUMBER(SEARCH("Party Name:-",'R.M Billets Reports'!D296)),TRIM('R.M Billets Reports'!F296),IF(ISNUMBER(SEARCH("Party Name-",'R.M Billets Reports'!D296)),TRIM(MID('R.M Billets Reports'!D296,SEARCH("-",'R.M Billets Reports'!D296)+1,200)),"")))="SHRI RADHE","SHREE RADHE",IF(IF(IF(ISNUMBER(SEARCH("Party Name:-",'R.M Billets Reports'!D295)),TRIM('R.M Billets Reports'!F295),IF(ISNUMBER(SEARCH("Party Name-",'R.M Billets Reports'!D295)),TRIM(MID('R.M Billets Reports'!D295,SEARCH("-",'R.M Billets Reports'!D295)+1,200)),""))&lt;&gt;"",IF(ISNUMBER(SEARCH("Party Name:-",'R.M Billets Reports'!D295)),TRIM('R.M Billets Reports'!F295),IF(ISNUMBER(SEARCH("Party Name-",'R.M Billets Reports'!D295)),TRIM(MID('R.M Billets Reports'!D295,SEARCH("-",'R.M Billets Reports'!D295)+1,200)),"")),IF(ISNUMBER(SEARCH("Party Name:-",'R.M Billets Reports'!D296)),TRIM('R.M Billets Reports'!F296),IF(ISNUMBER(SEARCH("Party Name-",'R.M Billets Reports'!D296)),TRIM(MID('R.M Billets Reports'!D296,SEARCH("-",'R.M Billets Reports'!D296)+1,200)),"")))="SHREE RADHE SHAKTI SPONGE AND POWER PVT. LTD.","SHREE RADHE",IF(IF(ISNUMBER(SEARCH("Party Name:-",'R.M Billets Reports'!D295)),TRIM('R.M Billets Reports'!F295),IF(ISNUMBER(SEARCH("Party Name-",'R.M Billets Reports'!D295)),TRIM(MID('R.M Billets Reports'!D295,SEARCH("-",'R.M Billets Reports'!D295)+1,200)),""))&lt;&gt;"",IF(ISNUMBER(SEARCH("Party Name:-",'R.M Billets Reports'!D295)),TRIM('R.M Billets Reports'!F295),IF(ISNUMBER(SEARCH("Party Name-",'R.M Billets Reports'!D295)),TRIM(MID('R.M Billets Reports'!D295,SEARCH("-",'R.M Billets Reports'!D295)+1,200)),"")),IF(ISNUMBER(SEARCH("Party Name:-",'R.M Billets Reports'!D296)),TRIM('R.M Billets Reports'!F296),IF(ISNUMBER(SEARCH("Party Name-",'R.M Billets Reports'!D296)),TRIM(MID('R.M Billets Reports'!D296,SEARCH("-",'R.M Billets Reports'!D296)+1,200)),"")))))),IF(ROW()=2,"",A295))</f>
      </c>
      <c r="B296">
        <f>IF(OR('R.M Billets Reports'!A295="Date-",'R.M Billets Reports'!A295="Date:-"),'R.M Billets Reports'!B295,IF(ROW()=2,"",B295))</f>
      </c>
      <c r="C296">
        <f>IF('R.M Billets Reports'!A295="V.No.",'R.M Billets Reports'!B295,IF(ROW()=2,"",C295))</f>
      </c>
      <c r="D296">
        <f>IF('R.M Billets Reports'!A295&lt;&gt;"",'R.M Billets Reports'!A295,IF(ROW()=2,"",D295))</f>
      </c>
      <c r="E296">
        <f>IF('R.M Billets Reports'!B295="","",TRIM('R.M Billets Reports'!B295))</f>
      </c>
      <c r="F296">
        <f>'R.M Billets Reports'!C295</f>
      </c>
      <c r="G296">
        <f>'R.M Billets Reports'!D295</f>
      </c>
      <c r="H296">
        <f>'R.M Billets Reports'!E295</f>
      </c>
      <c r="I296">
        <f>'R.M Billets Reports'!F295</f>
      </c>
      <c r="J296">
        <f>'R.M Billets Reports'!G295</f>
      </c>
      <c r="K296">
        <f>'R.M Billets Reports'!H295</f>
      </c>
      <c r="L296">
        <f>IF('R.M Billets Reports'!I295="","",'R.M Billets Reports'!I295)</f>
      </c>
      <c r="M296">
        <f t="shared" si="8"/>
      </c>
      <c r="N296">
        <f>IF('R.M Billets Reports'!J295="","",'R.M Billets Reports'!J295)</f>
      </c>
      <c r="O296">
        <f t="shared" si="9"/>
      </c>
      <c r="P296">
        <f>IF('R.M Billets Reports'!A295="SIZE",'R.M Billets Reports'!B295,P295)</f>
      </c>
    </row>
    <row r="297" spans="1:16" x14ac:dyDescent="0.25">
      <c r="A297">
        <f>IF(OR('R.M Billets Reports'!A296="Date-",'R.M Billets Reports'!A296="Date:-"),IF(IF(IF(ISNUMBER(SEARCH("Party Name:-",'R.M Billets Reports'!D296)),TRIM('R.M Billets Reports'!F296),IF(ISNUMBER(SEARCH("Party Name-",'R.M Billets Reports'!D296)),TRIM(MID('R.M Billets Reports'!D296,SEARCH("-",'R.M Billets Reports'!D296)+1,200)),""))&lt;&gt;"",IF(ISNUMBER(SEARCH("Party Name:-",'R.M Billets Reports'!D296)),TRIM('R.M Billets Reports'!F296),IF(ISNUMBER(SEARCH("Party Name-",'R.M Billets Reports'!D296)),TRIM(MID('R.M Billets Reports'!D296,SEARCH("-",'R.M Billets Reports'!D296)+1,200)),"")),IF(ISNUMBER(SEARCH("Party Name:-",'R.M Billets Reports'!D297)),TRIM('R.M Billets Reports'!F297),IF(ISNUMBER(SEARCH("Party Name-",'R.M Billets Reports'!D297)),TRIM(MID('R.M Billets Reports'!D297,SEARCH("-",'R.M Billets Reports'!D297)+1,200)),"")))="VRKP ISPAT PVT LTD","VRKP",IF(IF(IF(ISNUMBER(SEARCH("Party Name:-",'R.M Billets Reports'!D296)),TRIM('R.M Billets Reports'!F296),IF(ISNUMBER(SEARCH("Party Name-",'R.M Billets Reports'!D296)),TRIM(MID('R.M Billets Reports'!D296,SEARCH("-",'R.M Billets Reports'!D296)+1,200)),""))&lt;&gt;"",IF(ISNUMBER(SEARCH("Party Name:-",'R.M Billets Reports'!D296)),TRIM('R.M Billets Reports'!F296),IF(ISNUMBER(SEARCH("Party Name-",'R.M Billets Reports'!D296)),TRIM(MID('R.M Billets Reports'!D296,SEARCH("-",'R.M Billets Reports'!D296)+1,200)),"")),IF(ISNUMBER(SEARCH("Party Name:-",'R.M Billets Reports'!D297)),TRIM('R.M Billets Reports'!F297),IF(ISNUMBER(SEARCH("Party Name-",'R.M Billets Reports'!D297)),TRIM(MID('R.M Billets Reports'!D297,SEARCH("-",'R.M Billets Reports'!D297)+1,200)),"")))="SHRI RADHE","SHREE RADHE",IF(IF(IF(ISNUMBER(SEARCH("Party Name:-",'R.M Billets Reports'!D296)),TRIM('R.M Billets Reports'!F296),IF(ISNUMBER(SEARCH("Party Name-",'R.M Billets Reports'!D296)),TRIM(MID('R.M Billets Reports'!D296,SEARCH("-",'R.M Billets Reports'!D296)+1,200)),""))&lt;&gt;"",IF(ISNUMBER(SEARCH("Party Name:-",'R.M Billets Reports'!D296)),TRIM('R.M Billets Reports'!F296),IF(ISNUMBER(SEARCH("Party Name-",'R.M Billets Reports'!D296)),TRIM(MID('R.M Billets Reports'!D296,SEARCH("-",'R.M Billets Reports'!D296)+1,200)),"")),IF(ISNUMBER(SEARCH("Party Name:-",'R.M Billets Reports'!D297)),TRIM('R.M Billets Reports'!F297),IF(ISNUMBER(SEARCH("Party Name-",'R.M Billets Reports'!D297)),TRIM(MID('R.M Billets Reports'!D297,SEARCH("-",'R.M Billets Reports'!D297)+1,200)),"")))="SHREE RADHE SHAKTI SPONGE AND POWER PVT. LTD.","SHREE RADHE",IF(IF(ISNUMBER(SEARCH("Party Name:-",'R.M Billets Reports'!D296)),TRIM('R.M Billets Reports'!F296),IF(ISNUMBER(SEARCH("Party Name-",'R.M Billets Reports'!D296)),TRIM(MID('R.M Billets Reports'!D296,SEARCH("-",'R.M Billets Reports'!D296)+1,200)),""))&lt;&gt;"",IF(ISNUMBER(SEARCH("Party Name:-",'R.M Billets Reports'!D296)),TRIM('R.M Billets Reports'!F296),IF(ISNUMBER(SEARCH("Party Name-",'R.M Billets Reports'!D296)),TRIM(MID('R.M Billets Reports'!D296,SEARCH("-",'R.M Billets Reports'!D296)+1,200)),"")),IF(ISNUMBER(SEARCH("Party Name:-",'R.M Billets Reports'!D297)),TRIM('R.M Billets Reports'!F297),IF(ISNUMBER(SEARCH("Party Name-",'R.M Billets Reports'!D297)),TRIM(MID('R.M Billets Reports'!D297,SEARCH("-",'R.M Billets Reports'!D297)+1,200)),"")))))),IF(ROW()=2,"",A296))</f>
      </c>
      <c r="B297">
        <f>IF(OR('R.M Billets Reports'!A296="Date-",'R.M Billets Reports'!A296="Date:-"),'R.M Billets Reports'!B296,IF(ROW()=2,"",B296))</f>
      </c>
      <c r="C297">
        <f>IF('R.M Billets Reports'!A296="V.No.",'R.M Billets Reports'!B296,IF(ROW()=2,"",C296))</f>
      </c>
      <c r="D297">
        <f>IF('R.M Billets Reports'!A296&lt;&gt;"",'R.M Billets Reports'!A296,IF(ROW()=2,"",D296))</f>
      </c>
      <c r="E297">
        <f>IF('R.M Billets Reports'!B296="","",TRIM('R.M Billets Reports'!B296))</f>
      </c>
      <c r="F297">
        <f>'R.M Billets Reports'!C296</f>
      </c>
      <c r="G297">
        <f>'R.M Billets Reports'!D296</f>
      </c>
      <c r="H297">
        <f>'R.M Billets Reports'!E296</f>
      </c>
      <c r="I297">
        <f>'R.M Billets Reports'!F296</f>
      </c>
      <c r="J297">
        <f>'R.M Billets Reports'!G296</f>
      </c>
      <c r="K297">
        <f>'R.M Billets Reports'!H296</f>
      </c>
      <c r="L297">
        <f>IF('R.M Billets Reports'!I296="","",'R.M Billets Reports'!I296)</f>
      </c>
      <c r="M297">
        <f t="shared" si="8"/>
      </c>
      <c r="N297">
        <f>IF('R.M Billets Reports'!J296="","",'R.M Billets Reports'!J296)</f>
      </c>
      <c r="O297">
        <f t="shared" si="9"/>
      </c>
      <c r="P297">
        <f>IF('R.M Billets Reports'!A296="SIZE",'R.M Billets Reports'!B296,P296)</f>
      </c>
    </row>
    <row r="298" spans="1:16" x14ac:dyDescent="0.25">
      <c r="A298">
        <f>IF(OR('R.M Billets Reports'!A297="Date-",'R.M Billets Reports'!A297="Date:-"),IF(IF(IF(ISNUMBER(SEARCH("Party Name:-",'R.M Billets Reports'!D297)),TRIM('R.M Billets Reports'!F297),IF(ISNUMBER(SEARCH("Party Name-",'R.M Billets Reports'!D297)),TRIM(MID('R.M Billets Reports'!D297,SEARCH("-",'R.M Billets Reports'!D297)+1,200)),""))&lt;&gt;"",IF(ISNUMBER(SEARCH("Party Name:-",'R.M Billets Reports'!D297)),TRIM('R.M Billets Reports'!F297),IF(ISNUMBER(SEARCH("Party Name-",'R.M Billets Reports'!D297)),TRIM(MID('R.M Billets Reports'!D297,SEARCH("-",'R.M Billets Reports'!D297)+1,200)),"")),IF(ISNUMBER(SEARCH("Party Name:-",'R.M Billets Reports'!D298)),TRIM('R.M Billets Reports'!F298),IF(ISNUMBER(SEARCH("Party Name-",'R.M Billets Reports'!D298)),TRIM(MID('R.M Billets Reports'!D298,SEARCH("-",'R.M Billets Reports'!D298)+1,200)),"")))="VRKP ISPAT PVT LTD","VRKP",IF(IF(IF(ISNUMBER(SEARCH("Party Name:-",'R.M Billets Reports'!D297)),TRIM('R.M Billets Reports'!F297),IF(ISNUMBER(SEARCH("Party Name-",'R.M Billets Reports'!D297)),TRIM(MID('R.M Billets Reports'!D297,SEARCH("-",'R.M Billets Reports'!D297)+1,200)),""))&lt;&gt;"",IF(ISNUMBER(SEARCH("Party Name:-",'R.M Billets Reports'!D297)),TRIM('R.M Billets Reports'!F297),IF(ISNUMBER(SEARCH("Party Name-",'R.M Billets Reports'!D297)),TRIM(MID('R.M Billets Reports'!D297,SEARCH("-",'R.M Billets Reports'!D297)+1,200)),"")),IF(ISNUMBER(SEARCH("Party Name:-",'R.M Billets Reports'!D298)),TRIM('R.M Billets Reports'!F298),IF(ISNUMBER(SEARCH("Party Name-",'R.M Billets Reports'!D298)),TRIM(MID('R.M Billets Reports'!D298,SEARCH("-",'R.M Billets Reports'!D298)+1,200)),"")))="SHRI RADHE","SHREE RADHE",IF(IF(IF(ISNUMBER(SEARCH("Party Name:-",'R.M Billets Reports'!D297)),TRIM('R.M Billets Reports'!F297),IF(ISNUMBER(SEARCH("Party Name-",'R.M Billets Reports'!D297)),TRIM(MID('R.M Billets Reports'!D297,SEARCH("-",'R.M Billets Reports'!D297)+1,200)),""))&lt;&gt;"",IF(ISNUMBER(SEARCH("Party Name:-",'R.M Billets Reports'!D297)),TRIM('R.M Billets Reports'!F297),IF(ISNUMBER(SEARCH("Party Name-",'R.M Billets Reports'!D297)),TRIM(MID('R.M Billets Reports'!D297,SEARCH("-",'R.M Billets Reports'!D297)+1,200)),"")),IF(ISNUMBER(SEARCH("Party Name:-",'R.M Billets Reports'!D298)),TRIM('R.M Billets Reports'!F298),IF(ISNUMBER(SEARCH("Party Name-",'R.M Billets Reports'!D298)),TRIM(MID('R.M Billets Reports'!D298,SEARCH("-",'R.M Billets Reports'!D298)+1,200)),"")))="SHREE RADHE SHAKTI SPONGE AND POWER PVT. LTD.","SHREE RADHE",IF(IF(ISNUMBER(SEARCH("Party Name:-",'R.M Billets Reports'!D297)),TRIM('R.M Billets Reports'!F297),IF(ISNUMBER(SEARCH("Party Name-",'R.M Billets Reports'!D297)),TRIM(MID('R.M Billets Reports'!D297,SEARCH("-",'R.M Billets Reports'!D297)+1,200)),""))&lt;&gt;"",IF(ISNUMBER(SEARCH("Party Name:-",'R.M Billets Reports'!D297)),TRIM('R.M Billets Reports'!F297),IF(ISNUMBER(SEARCH("Party Name-",'R.M Billets Reports'!D297)),TRIM(MID('R.M Billets Reports'!D297,SEARCH("-",'R.M Billets Reports'!D297)+1,200)),"")),IF(ISNUMBER(SEARCH("Party Name:-",'R.M Billets Reports'!D298)),TRIM('R.M Billets Reports'!F298),IF(ISNUMBER(SEARCH("Party Name-",'R.M Billets Reports'!D298)),TRIM(MID('R.M Billets Reports'!D298,SEARCH("-",'R.M Billets Reports'!D298)+1,200)),"")))))),IF(ROW()=2,"",A297))</f>
      </c>
      <c r="B298">
        <f>IF(OR('R.M Billets Reports'!A297="Date-",'R.M Billets Reports'!A297="Date:-"),'R.M Billets Reports'!B297,IF(ROW()=2,"",B297))</f>
      </c>
      <c r="C298">
        <f>IF('R.M Billets Reports'!A297="V.No.",'R.M Billets Reports'!B297,IF(ROW()=2,"",C297))</f>
      </c>
      <c r="D298">
        <f>IF('R.M Billets Reports'!A297&lt;&gt;"",'R.M Billets Reports'!A297,IF(ROW()=2,"",D297))</f>
      </c>
      <c r="E298">
        <f>IF('R.M Billets Reports'!B297="","",TRIM('R.M Billets Reports'!B297))</f>
      </c>
      <c r="F298">
        <f>'R.M Billets Reports'!C297</f>
      </c>
      <c r="G298">
        <f>'R.M Billets Reports'!D297</f>
      </c>
      <c r="H298">
        <f>'R.M Billets Reports'!E297</f>
      </c>
      <c r="I298">
        <f>'R.M Billets Reports'!F297</f>
      </c>
      <c r="J298">
        <f>'R.M Billets Reports'!G297</f>
      </c>
      <c r="K298">
        <f>'R.M Billets Reports'!H297</f>
      </c>
      <c r="L298">
        <f>IF('R.M Billets Reports'!I297="","",'R.M Billets Reports'!I297)</f>
      </c>
      <c r="M298">
        <f t="shared" si="8"/>
      </c>
      <c r="N298">
        <f>IF('R.M Billets Reports'!J297="","",'R.M Billets Reports'!J297)</f>
      </c>
      <c r="O298">
        <f t="shared" si="9"/>
      </c>
      <c r="P298">
        <f>IF('R.M Billets Reports'!A297="SIZE",'R.M Billets Reports'!B297,P297)</f>
      </c>
    </row>
    <row r="299" spans="1:16" x14ac:dyDescent="0.25">
      <c r="A299">
        <f>IF(OR('R.M Billets Reports'!A298="Date-",'R.M Billets Reports'!A298="Date:-"),IF(IF(IF(ISNUMBER(SEARCH("Party Name:-",'R.M Billets Reports'!D298)),TRIM('R.M Billets Reports'!F298),IF(ISNUMBER(SEARCH("Party Name-",'R.M Billets Reports'!D298)),TRIM(MID('R.M Billets Reports'!D298,SEARCH("-",'R.M Billets Reports'!D298)+1,200)),""))&lt;&gt;"",IF(ISNUMBER(SEARCH("Party Name:-",'R.M Billets Reports'!D298)),TRIM('R.M Billets Reports'!F298),IF(ISNUMBER(SEARCH("Party Name-",'R.M Billets Reports'!D298)),TRIM(MID('R.M Billets Reports'!D298,SEARCH("-",'R.M Billets Reports'!D298)+1,200)),"")),IF(ISNUMBER(SEARCH("Party Name:-",'R.M Billets Reports'!D299)),TRIM('R.M Billets Reports'!F299),IF(ISNUMBER(SEARCH("Party Name-",'R.M Billets Reports'!D299)),TRIM(MID('R.M Billets Reports'!D299,SEARCH("-",'R.M Billets Reports'!D299)+1,200)),"")))="VRKP ISPAT PVT LTD","VRKP",IF(IF(IF(ISNUMBER(SEARCH("Party Name:-",'R.M Billets Reports'!D298)),TRIM('R.M Billets Reports'!F298),IF(ISNUMBER(SEARCH("Party Name-",'R.M Billets Reports'!D298)),TRIM(MID('R.M Billets Reports'!D298,SEARCH("-",'R.M Billets Reports'!D298)+1,200)),""))&lt;&gt;"",IF(ISNUMBER(SEARCH("Party Name:-",'R.M Billets Reports'!D298)),TRIM('R.M Billets Reports'!F298),IF(ISNUMBER(SEARCH("Party Name-",'R.M Billets Reports'!D298)),TRIM(MID('R.M Billets Reports'!D298,SEARCH("-",'R.M Billets Reports'!D298)+1,200)),"")),IF(ISNUMBER(SEARCH("Party Name:-",'R.M Billets Reports'!D299)),TRIM('R.M Billets Reports'!F299),IF(ISNUMBER(SEARCH("Party Name-",'R.M Billets Reports'!D299)),TRIM(MID('R.M Billets Reports'!D299,SEARCH("-",'R.M Billets Reports'!D299)+1,200)),"")))="SHRI RADHE","SHREE RADHE",IF(IF(IF(ISNUMBER(SEARCH("Party Name:-",'R.M Billets Reports'!D298)),TRIM('R.M Billets Reports'!F298),IF(ISNUMBER(SEARCH("Party Name-",'R.M Billets Reports'!D298)),TRIM(MID('R.M Billets Reports'!D298,SEARCH("-",'R.M Billets Reports'!D298)+1,200)),""))&lt;&gt;"",IF(ISNUMBER(SEARCH("Party Name:-",'R.M Billets Reports'!D298)),TRIM('R.M Billets Reports'!F298),IF(ISNUMBER(SEARCH("Party Name-",'R.M Billets Reports'!D298)),TRIM(MID('R.M Billets Reports'!D298,SEARCH("-",'R.M Billets Reports'!D298)+1,200)),"")),IF(ISNUMBER(SEARCH("Party Name:-",'R.M Billets Reports'!D299)),TRIM('R.M Billets Reports'!F299),IF(ISNUMBER(SEARCH("Party Name-",'R.M Billets Reports'!D299)),TRIM(MID('R.M Billets Reports'!D299,SEARCH("-",'R.M Billets Reports'!D299)+1,200)),"")))="SHREE RADHE SHAKTI SPONGE AND POWER PVT. LTD.","SHREE RADHE",IF(IF(ISNUMBER(SEARCH("Party Name:-",'R.M Billets Reports'!D298)),TRIM('R.M Billets Reports'!F298),IF(ISNUMBER(SEARCH("Party Name-",'R.M Billets Reports'!D298)),TRIM(MID('R.M Billets Reports'!D298,SEARCH("-",'R.M Billets Reports'!D298)+1,200)),""))&lt;&gt;"",IF(ISNUMBER(SEARCH("Party Name:-",'R.M Billets Reports'!D298)),TRIM('R.M Billets Reports'!F298),IF(ISNUMBER(SEARCH("Party Name-",'R.M Billets Reports'!D298)),TRIM(MID('R.M Billets Reports'!D298,SEARCH("-",'R.M Billets Reports'!D298)+1,200)),"")),IF(ISNUMBER(SEARCH("Party Name:-",'R.M Billets Reports'!D299)),TRIM('R.M Billets Reports'!F299),IF(ISNUMBER(SEARCH("Party Name-",'R.M Billets Reports'!D299)),TRIM(MID('R.M Billets Reports'!D299,SEARCH("-",'R.M Billets Reports'!D299)+1,200)),"")))))),IF(ROW()=2,"",A298))</f>
      </c>
      <c r="B299">
        <f>IF(OR('R.M Billets Reports'!A298="Date-",'R.M Billets Reports'!A298="Date:-"),'R.M Billets Reports'!B298,IF(ROW()=2,"",B298))</f>
      </c>
      <c r="C299">
        <f>IF('R.M Billets Reports'!A298="V.No.",'R.M Billets Reports'!B298,IF(ROW()=2,"",C298))</f>
      </c>
      <c r="D299">
        <f>IF('R.M Billets Reports'!A298&lt;&gt;"",'R.M Billets Reports'!A298,IF(ROW()=2,"",D298))</f>
      </c>
      <c r="E299">
        <f>IF('R.M Billets Reports'!B298="","",TRIM('R.M Billets Reports'!B298))</f>
      </c>
      <c r="F299">
        <f>'R.M Billets Reports'!C298</f>
      </c>
      <c r="G299">
        <f>'R.M Billets Reports'!D298</f>
      </c>
      <c r="H299">
        <f>'R.M Billets Reports'!E298</f>
      </c>
      <c r="I299">
        <f>'R.M Billets Reports'!F298</f>
      </c>
      <c r="J299">
        <f>'R.M Billets Reports'!G298</f>
      </c>
      <c r="K299">
        <f>'R.M Billets Reports'!H298</f>
      </c>
      <c r="L299">
        <f>IF('R.M Billets Reports'!I298="","",'R.M Billets Reports'!I298)</f>
      </c>
      <c r="M299">
        <f t="shared" si="8"/>
      </c>
      <c r="N299">
        <f>IF('R.M Billets Reports'!J298="","",'R.M Billets Reports'!J298)</f>
      </c>
      <c r="O299">
        <f t="shared" si="9"/>
      </c>
      <c r="P299">
        <f>IF('R.M Billets Reports'!A298="SIZE",'R.M Billets Reports'!B298,P298)</f>
      </c>
    </row>
    <row r="300" spans="1:16" x14ac:dyDescent="0.25">
      <c r="A300">
        <f>IF(OR('R.M Billets Reports'!A299="Date-",'R.M Billets Reports'!A299="Date:-"),IF(IF(IF(ISNUMBER(SEARCH("Party Name:-",'R.M Billets Reports'!D299)),TRIM('R.M Billets Reports'!F299),IF(ISNUMBER(SEARCH("Party Name-",'R.M Billets Reports'!D299)),TRIM(MID('R.M Billets Reports'!D299,SEARCH("-",'R.M Billets Reports'!D299)+1,200)),""))&lt;&gt;"",IF(ISNUMBER(SEARCH("Party Name:-",'R.M Billets Reports'!D299)),TRIM('R.M Billets Reports'!F299),IF(ISNUMBER(SEARCH("Party Name-",'R.M Billets Reports'!D299)),TRIM(MID('R.M Billets Reports'!D299,SEARCH("-",'R.M Billets Reports'!D299)+1,200)),"")),IF(ISNUMBER(SEARCH("Party Name:-",'R.M Billets Reports'!D300)),TRIM('R.M Billets Reports'!F300),IF(ISNUMBER(SEARCH("Party Name-",'R.M Billets Reports'!D300)),TRIM(MID('R.M Billets Reports'!D300,SEARCH("-",'R.M Billets Reports'!D300)+1,200)),"")))="VRKP ISPAT PVT LTD","VRKP",IF(IF(IF(ISNUMBER(SEARCH("Party Name:-",'R.M Billets Reports'!D299)),TRIM('R.M Billets Reports'!F299),IF(ISNUMBER(SEARCH("Party Name-",'R.M Billets Reports'!D299)),TRIM(MID('R.M Billets Reports'!D299,SEARCH("-",'R.M Billets Reports'!D299)+1,200)),""))&lt;&gt;"",IF(ISNUMBER(SEARCH("Party Name:-",'R.M Billets Reports'!D299)),TRIM('R.M Billets Reports'!F299),IF(ISNUMBER(SEARCH("Party Name-",'R.M Billets Reports'!D299)),TRIM(MID('R.M Billets Reports'!D299,SEARCH("-",'R.M Billets Reports'!D299)+1,200)),"")),IF(ISNUMBER(SEARCH("Party Name:-",'R.M Billets Reports'!D300)),TRIM('R.M Billets Reports'!F300),IF(ISNUMBER(SEARCH("Party Name-",'R.M Billets Reports'!D300)),TRIM(MID('R.M Billets Reports'!D300,SEARCH("-",'R.M Billets Reports'!D300)+1,200)),"")))="SHRI RADHE","SHREE RADHE",IF(IF(IF(ISNUMBER(SEARCH("Party Name:-",'R.M Billets Reports'!D299)),TRIM('R.M Billets Reports'!F299),IF(ISNUMBER(SEARCH("Party Name-",'R.M Billets Reports'!D299)),TRIM(MID('R.M Billets Reports'!D299,SEARCH("-",'R.M Billets Reports'!D299)+1,200)),""))&lt;&gt;"",IF(ISNUMBER(SEARCH("Party Name:-",'R.M Billets Reports'!D299)),TRIM('R.M Billets Reports'!F299),IF(ISNUMBER(SEARCH("Party Name-",'R.M Billets Reports'!D299)),TRIM(MID('R.M Billets Reports'!D299,SEARCH("-",'R.M Billets Reports'!D299)+1,200)),"")),IF(ISNUMBER(SEARCH("Party Name:-",'R.M Billets Reports'!D300)),TRIM('R.M Billets Reports'!F300),IF(ISNUMBER(SEARCH("Party Name-",'R.M Billets Reports'!D300)),TRIM(MID('R.M Billets Reports'!D300,SEARCH("-",'R.M Billets Reports'!D300)+1,200)),"")))="SHREE RADHE SHAKTI SPONGE AND POWER PVT. LTD.","SHREE RADHE",IF(IF(ISNUMBER(SEARCH("Party Name:-",'R.M Billets Reports'!D299)),TRIM('R.M Billets Reports'!F299),IF(ISNUMBER(SEARCH("Party Name-",'R.M Billets Reports'!D299)),TRIM(MID('R.M Billets Reports'!D299,SEARCH("-",'R.M Billets Reports'!D299)+1,200)),""))&lt;&gt;"",IF(ISNUMBER(SEARCH("Party Name:-",'R.M Billets Reports'!D299)),TRIM('R.M Billets Reports'!F299),IF(ISNUMBER(SEARCH("Party Name-",'R.M Billets Reports'!D299)),TRIM(MID('R.M Billets Reports'!D299,SEARCH("-",'R.M Billets Reports'!D299)+1,200)),"")),IF(ISNUMBER(SEARCH("Party Name:-",'R.M Billets Reports'!D300)),TRIM('R.M Billets Reports'!F300),IF(ISNUMBER(SEARCH("Party Name-",'R.M Billets Reports'!D300)),TRIM(MID('R.M Billets Reports'!D300,SEARCH("-",'R.M Billets Reports'!D300)+1,200)),"")))))),IF(ROW()=2,"",A299))</f>
      </c>
      <c r="B300">
        <f>IF(OR('R.M Billets Reports'!A299="Date-",'R.M Billets Reports'!A299="Date:-"),'R.M Billets Reports'!B299,IF(ROW()=2,"",B299))</f>
      </c>
      <c r="C300">
        <f>IF('R.M Billets Reports'!A299="V.No.",'R.M Billets Reports'!B299,IF(ROW()=2,"",C299))</f>
      </c>
      <c r="D300">
        <f>IF('R.M Billets Reports'!A299&lt;&gt;"",'R.M Billets Reports'!A299,IF(ROW()=2,"",D299))</f>
      </c>
      <c r="E300">
        <f>IF('R.M Billets Reports'!B299="","",TRIM('R.M Billets Reports'!B299))</f>
      </c>
      <c r="F300">
        <f>'R.M Billets Reports'!C299</f>
      </c>
      <c r="G300">
        <f>'R.M Billets Reports'!D299</f>
      </c>
      <c r="H300">
        <f>'R.M Billets Reports'!E299</f>
      </c>
      <c r="I300">
        <f>'R.M Billets Reports'!F299</f>
      </c>
      <c r="J300">
        <f>'R.M Billets Reports'!G299</f>
      </c>
      <c r="K300">
        <f>'R.M Billets Reports'!H299</f>
      </c>
      <c r="L300">
        <f>IF('R.M Billets Reports'!I299="","",'R.M Billets Reports'!I299)</f>
      </c>
      <c r="M300">
        <f t="shared" si="8"/>
      </c>
      <c r="N300">
        <f>IF('R.M Billets Reports'!J299="","",'R.M Billets Reports'!J299)</f>
      </c>
      <c r="O300">
        <f t="shared" si="9"/>
      </c>
      <c r="P300">
        <f>IF('R.M Billets Reports'!A299="SIZE",'R.M Billets Reports'!B299,P299)</f>
      </c>
    </row>
    <row r="301" spans="1:16" x14ac:dyDescent="0.25">
      <c r="A301">
        <f>IF(OR('R.M Billets Reports'!A300="Date-",'R.M Billets Reports'!A300="Date:-"),IF(IF(IF(ISNUMBER(SEARCH("Party Name:-",'R.M Billets Reports'!D300)),TRIM('R.M Billets Reports'!F300),IF(ISNUMBER(SEARCH("Party Name-",'R.M Billets Reports'!D300)),TRIM(MID('R.M Billets Reports'!D300,SEARCH("-",'R.M Billets Reports'!D300)+1,200)),""))&lt;&gt;"",IF(ISNUMBER(SEARCH("Party Name:-",'R.M Billets Reports'!D300)),TRIM('R.M Billets Reports'!F300),IF(ISNUMBER(SEARCH("Party Name-",'R.M Billets Reports'!D300)),TRIM(MID('R.M Billets Reports'!D300,SEARCH("-",'R.M Billets Reports'!D300)+1,200)),"")),IF(ISNUMBER(SEARCH("Party Name:-",'R.M Billets Reports'!D301)),TRIM('R.M Billets Reports'!F301),IF(ISNUMBER(SEARCH("Party Name-",'R.M Billets Reports'!D301)),TRIM(MID('R.M Billets Reports'!D301,SEARCH("-",'R.M Billets Reports'!D301)+1,200)),"")))="VRKP ISPAT PVT LTD","VRKP",IF(IF(IF(ISNUMBER(SEARCH("Party Name:-",'R.M Billets Reports'!D300)),TRIM('R.M Billets Reports'!F300),IF(ISNUMBER(SEARCH("Party Name-",'R.M Billets Reports'!D300)),TRIM(MID('R.M Billets Reports'!D300,SEARCH("-",'R.M Billets Reports'!D300)+1,200)),""))&lt;&gt;"",IF(ISNUMBER(SEARCH("Party Name:-",'R.M Billets Reports'!D300)),TRIM('R.M Billets Reports'!F300),IF(ISNUMBER(SEARCH("Party Name-",'R.M Billets Reports'!D300)),TRIM(MID('R.M Billets Reports'!D300,SEARCH("-",'R.M Billets Reports'!D300)+1,200)),"")),IF(ISNUMBER(SEARCH("Party Name:-",'R.M Billets Reports'!D301)),TRIM('R.M Billets Reports'!F301),IF(ISNUMBER(SEARCH("Party Name-",'R.M Billets Reports'!D301)),TRIM(MID('R.M Billets Reports'!D301,SEARCH("-",'R.M Billets Reports'!D301)+1,200)),"")))="SHRI RADHE","SHREE RADHE",IF(IF(IF(ISNUMBER(SEARCH("Party Name:-",'R.M Billets Reports'!D300)),TRIM('R.M Billets Reports'!F300),IF(ISNUMBER(SEARCH("Party Name-",'R.M Billets Reports'!D300)),TRIM(MID('R.M Billets Reports'!D300,SEARCH("-",'R.M Billets Reports'!D300)+1,200)),""))&lt;&gt;"",IF(ISNUMBER(SEARCH("Party Name:-",'R.M Billets Reports'!D300)),TRIM('R.M Billets Reports'!F300),IF(ISNUMBER(SEARCH("Party Name-",'R.M Billets Reports'!D300)),TRIM(MID('R.M Billets Reports'!D300,SEARCH("-",'R.M Billets Reports'!D300)+1,200)),"")),IF(ISNUMBER(SEARCH("Party Name:-",'R.M Billets Reports'!D301)),TRIM('R.M Billets Reports'!F301),IF(ISNUMBER(SEARCH("Party Name-",'R.M Billets Reports'!D301)),TRIM(MID('R.M Billets Reports'!D301,SEARCH("-",'R.M Billets Reports'!D301)+1,200)),"")))="SHREE RADHE SHAKTI SPONGE AND POWER PVT. LTD.","SHREE RADHE",IF(IF(ISNUMBER(SEARCH("Party Name:-",'R.M Billets Reports'!D300)),TRIM('R.M Billets Reports'!F300),IF(ISNUMBER(SEARCH("Party Name-",'R.M Billets Reports'!D300)),TRIM(MID('R.M Billets Reports'!D300,SEARCH("-",'R.M Billets Reports'!D300)+1,200)),""))&lt;&gt;"",IF(ISNUMBER(SEARCH("Party Name:-",'R.M Billets Reports'!D300)),TRIM('R.M Billets Reports'!F300),IF(ISNUMBER(SEARCH("Party Name-",'R.M Billets Reports'!D300)),TRIM(MID('R.M Billets Reports'!D300,SEARCH("-",'R.M Billets Reports'!D300)+1,200)),"")),IF(ISNUMBER(SEARCH("Party Name:-",'R.M Billets Reports'!D301)),TRIM('R.M Billets Reports'!F301),IF(ISNUMBER(SEARCH("Party Name-",'R.M Billets Reports'!D301)),TRIM(MID('R.M Billets Reports'!D301,SEARCH("-",'R.M Billets Reports'!D301)+1,200)),"")))))),IF(ROW()=2,"",A300))</f>
      </c>
      <c r="B301">
        <f>IF(OR('R.M Billets Reports'!A300="Date-",'R.M Billets Reports'!A300="Date:-"),'R.M Billets Reports'!B300,IF(ROW()=2,"",B300))</f>
      </c>
      <c r="C301">
        <f>IF('R.M Billets Reports'!A300="V.No.",'R.M Billets Reports'!B300,IF(ROW()=2,"",C300))</f>
      </c>
      <c r="D301">
        <f>IF('R.M Billets Reports'!A300&lt;&gt;"",'R.M Billets Reports'!A300,IF(ROW()=2,"",D300))</f>
      </c>
      <c r="E301">
        <f>IF('R.M Billets Reports'!B300="","",TRIM('R.M Billets Reports'!B300))</f>
      </c>
      <c r="F301">
        <f>'R.M Billets Reports'!C300</f>
      </c>
      <c r="G301">
        <f>'R.M Billets Reports'!D300</f>
      </c>
      <c r="H301">
        <f>'R.M Billets Reports'!E300</f>
      </c>
      <c r="I301">
        <f>'R.M Billets Reports'!F300</f>
      </c>
      <c r="J301">
        <f>'R.M Billets Reports'!G300</f>
      </c>
      <c r="K301">
        <f>'R.M Billets Reports'!H300</f>
      </c>
      <c r="L301">
        <f>IF('R.M Billets Reports'!I300="","",'R.M Billets Reports'!I300)</f>
      </c>
      <c r="M301">
        <f t="shared" si="8"/>
      </c>
      <c r="N301">
        <f>IF('R.M Billets Reports'!J300="","",'R.M Billets Reports'!J300)</f>
      </c>
      <c r="O301">
        <f t="shared" si="9"/>
      </c>
      <c r="P301">
        <f>IF('R.M Billets Reports'!A300="SIZE",'R.M Billets Reports'!B300,P300)</f>
      </c>
    </row>
    <row r="302" spans="1:16" x14ac:dyDescent="0.25">
      <c r="A302">
        <f>IF(OR('R.M Billets Reports'!A301="Date-",'R.M Billets Reports'!A301="Date:-"),IF(IF(IF(ISNUMBER(SEARCH("Party Name:-",'R.M Billets Reports'!D301)),TRIM('R.M Billets Reports'!F301),IF(ISNUMBER(SEARCH("Party Name-",'R.M Billets Reports'!D301)),TRIM(MID('R.M Billets Reports'!D301,SEARCH("-",'R.M Billets Reports'!D301)+1,200)),""))&lt;&gt;"",IF(ISNUMBER(SEARCH("Party Name:-",'R.M Billets Reports'!D301)),TRIM('R.M Billets Reports'!F301),IF(ISNUMBER(SEARCH("Party Name-",'R.M Billets Reports'!D301)),TRIM(MID('R.M Billets Reports'!D301,SEARCH("-",'R.M Billets Reports'!D301)+1,200)),"")),IF(ISNUMBER(SEARCH("Party Name:-",'R.M Billets Reports'!D302)),TRIM('R.M Billets Reports'!F302),IF(ISNUMBER(SEARCH("Party Name-",'R.M Billets Reports'!D302)),TRIM(MID('R.M Billets Reports'!D302,SEARCH("-",'R.M Billets Reports'!D302)+1,200)),"")))="VRKP ISPAT PVT LTD","VRKP",IF(IF(IF(ISNUMBER(SEARCH("Party Name:-",'R.M Billets Reports'!D301)),TRIM('R.M Billets Reports'!F301),IF(ISNUMBER(SEARCH("Party Name-",'R.M Billets Reports'!D301)),TRIM(MID('R.M Billets Reports'!D301,SEARCH("-",'R.M Billets Reports'!D301)+1,200)),""))&lt;&gt;"",IF(ISNUMBER(SEARCH("Party Name:-",'R.M Billets Reports'!D301)),TRIM('R.M Billets Reports'!F301),IF(ISNUMBER(SEARCH("Party Name-",'R.M Billets Reports'!D301)),TRIM(MID('R.M Billets Reports'!D301,SEARCH("-",'R.M Billets Reports'!D301)+1,200)),"")),IF(ISNUMBER(SEARCH("Party Name:-",'R.M Billets Reports'!D302)),TRIM('R.M Billets Reports'!F302),IF(ISNUMBER(SEARCH("Party Name-",'R.M Billets Reports'!D302)),TRIM(MID('R.M Billets Reports'!D302,SEARCH("-",'R.M Billets Reports'!D302)+1,200)),"")))="SHRI RADHE","SHREE RADHE",IF(IF(IF(ISNUMBER(SEARCH("Party Name:-",'R.M Billets Reports'!D301)),TRIM('R.M Billets Reports'!F301),IF(ISNUMBER(SEARCH("Party Name-",'R.M Billets Reports'!D301)),TRIM(MID('R.M Billets Reports'!D301,SEARCH("-",'R.M Billets Reports'!D301)+1,200)),""))&lt;&gt;"",IF(ISNUMBER(SEARCH("Party Name:-",'R.M Billets Reports'!D301)),TRIM('R.M Billets Reports'!F301),IF(ISNUMBER(SEARCH("Party Name-",'R.M Billets Reports'!D301)),TRIM(MID('R.M Billets Reports'!D301,SEARCH("-",'R.M Billets Reports'!D301)+1,200)),"")),IF(ISNUMBER(SEARCH("Party Name:-",'R.M Billets Reports'!D302)),TRIM('R.M Billets Reports'!F302),IF(ISNUMBER(SEARCH("Party Name-",'R.M Billets Reports'!D302)),TRIM(MID('R.M Billets Reports'!D302,SEARCH("-",'R.M Billets Reports'!D302)+1,200)),"")))="SHREE RADHE SHAKTI SPONGE AND POWER PVT. LTD.","SHREE RADHE",IF(IF(ISNUMBER(SEARCH("Party Name:-",'R.M Billets Reports'!D301)),TRIM('R.M Billets Reports'!F301),IF(ISNUMBER(SEARCH("Party Name-",'R.M Billets Reports'!D301)),TRIM(MID('R.M Billets Reports'!D301,SEARCH("-",'R.M Billets Reports'!D301)+1,200)),""))&lt;&gt;"",IF(ISNUMBER(SEARCH("Party Name:-",'R.M Billets Reports'!D301)),TRIM('R.M Billets Reports'!F301),IF(ISNUMBER(SEARCH("Party Name-",'R.M Billets Reports'!D301)),TRIM(MID('R.M Billets Reports'!D301,SEARCH("-",'R.M Billets Reports'!D301)+1,200)),"")),IF(ISNUMBER(SEARCH("Party Name:-",'R.M Billets Reports'!D302)),TRIM('R.M Billets Reports'!F302),IF(ISNUMBER(SEARCH("Party Name-",'R.M Billets Reports'!D302)),TRIM(MID('R.M Billets Reports'!D302,SEARCH("-",'R.M Billets Reports'!D302)+1,200)),"")))))),IF(ROW()=2,"",A301))</f>
      </c>
      <c r="B302">
        <f>IF(OR('R.M Billets Reports'!A301="Date-",'R.M Billets Reports'!A301="Date:-"),'R.M Billets Reports'!B301,IF(ROW()=2,"",B301))</f>
      </c>
      <c r="C302">
        <f>IF('R.M Billets Reports'!A301="V.No.",'R.M Billets Reports'!B301,IF(ROW()=2,"",C301))</f>
      </c>
      <c r="D302">
        <f>IF('R.M Billets Reports'!A301&lt;&gt;"",'R.M Billets Reports'!A301,IF(ROW()=2,"",D301))</f>
      </c>
      <c r="E302">
        <f>IF('R.M Billets Reports'!B301="","",TRIM('R.M Billets Reports'!B301))</f>
      </c>
      <c r="F302">
        <f>'R.M Billets Reports'!C301</f>
      </c>
      <c r="G302">
        <f>'R.M Billets Reports'!D301</f>
      </c>
      <c r="H302">
        <f>'R.M Billets Reports'!E301</f>
      </c>
      <c r="I302">
        <f>'R.M Billets Reports'!F301</f>
      </c>
      <c r="J302">
        <f>'R.M Billets Reports'!G301</f>
      </c>
      <c r="K302">
        <f>'R.M Billets Reports'!H301</f>
      </c>
      <c r="L302">
        <f>IF('R.M Billets Reports'!I301="","",'R.M Billets Reports'!I301)</f>
      </c>
      <c r="M302">
        <f t="shared" si="8"/>
      </c>
      <c r="N302">
        <f>IF('R.M Billets Reports'!J301="","",'R.M Billets Reports'!J301)</f>
      </c>
      <c r="O302">
        <f t="shared" si="9"/>
      </c>
      <c r="P302">
        <f>IF('R.M Billets Reports'!A301="SIZE",'R.M Billets Reports'!B301,P301)</f>
      </c>
    </row>
    <row r="303" spans="1:16" x14ac:dyDescent="0.25">
      <c r="A303">
        <f>IF(OR('R.M Billets Reports'!A302="Date-",'R.M Billets Reports'!A302="Date:-"),IF(IF(IF(ISNUMBER(SEARCH("Party Name:-",'R.M Billets Reports'!D302)),TRIM('R.M Billets Reports'!F302),IF(ISNUMBER(SEARCH("Party Name-",'R.M Billets Reports'!D302)),TRIM(MID('R.M Billets Reports'!D302,SEARCH("-",'R.M Billets Reports'!D302)+1,200)),""))&lt;&gt;"",IF(ISNUMBER(SEARCH("Party Name:-",'R.M Billets Reports'!D302)),TRIM('R.M Billets Reports'!F302),IF(ISNUMBER(SEARCH("Party Name-",'R.M Billets Reports'!D302)),TRIM(MID('R.M Billets Reports'!D302,SEARCH("-",'R.M Billets Reports'!D302)+1,200)),"")),IF(ISNUMBER(SEARCH("Party Name:-",'R.M Billets Reports'!D303)),TRIM('R.M Billets Reports'!F303),IF(ISNUMBER(SEARCH("Party Name-",'R.M Billets Reports'!D303)),TRIM(MID('R.M Billets Reports'!D303,SEARCH("-",'R.M Billets Reports'!D303)+1,200)),"")))="VRKP ISPAT PVT LTD","VRKP",IF(IF(IF(ISNUMBER(SEARCH("Party Name:-",'R.M Billets Reports'!D302)),TRIM('R.M Billets Reports'!F302),IF(ISNUMBER(SEARCH("Party Name-",'R.M Billets Reports'!D302)),TRIM(MID('R.M Billets Reports'!D302,SEARCH("-",'R.M Billets Reports'!D302)+1,200)),""))&lt;&gt;"",IF(ISNUMBER(SEARCH("Party Name:-",'R.M Billets Reports'!D302)),TRIM('R.M Billets Reports'!F302),IF(ISNUMBER(SEARCH("Party Name-",'R.M Billets Reports'!D302)),TRIM(MID('R.M Billets Reports'!D302,SEARCH("-",'R.M Billets Reports'!D302)+1,200)),"")),IF(ISNUMBER(SEARCH("Party Name:-",'R.M Billets Reports'!D303)),TRIM('R.M Billets Reports'!F303),IF(ISNUMBER(SEARCH("Party Name-",'R.M Billets Reports'!D303)),TRIM(MID('R.M Billets Reports'!D303,SEARCH("-",'R.M Billets Reports'!D303)+1,200)),"")))="SHRI RADHE","SHREE RADHE",IF(IF(IF(ISNUMBER(SEARCH("Party Name:-",'R.M Billets Reports'!D302)),TRIM('R.M Billets Reports'!F302),IF(ISNUMBER(SEARCH("Party Name-",'R.M Billets Reports'!D302)),TRIM(MID('R.M Billets Reports'!D302,SEARCH("-",'R.M Billets Reports'!D302)+1,200)),""))&lt;&gt;"",IF(ISNUMBER(SEARCH("Party Name:-",'R.M Billets Reports'!D302)),TRIM('R.M Billets Reports'!F302),IF(ISNUMBER(SEARCH("Party Name-",'R.M Billets Reports'!D302)),TRIM(MID('R.M Billets Reports'!D302,SEARCH("-",'R.M Billets Reports'!D302)+1,200)),"")),IF(ISNUMBER(SEARCH("Party Name:-",'R.M Billets Reports'!D303)),TRIM('R.M Billets Reports'!F303),IF(ISNUMBER(SEARCH("Party Name-",'R.M Billets Reports'!D303)),TRIM(MID('R.M Billets Reports'!D303,SEARCH("-",'R.M Billets Reports'!D303)+1,200)),"")))="SHREE RADHE SHAKTI SPONGE AND POWER PVT. LTD.","SHREE RADHE",IF(IF(ISNUMBER(SEARCH("Party Name:-",'R.M Billets Reports'!D302)),TRIM('R.M Billets Reports'!F302),IF(ISNUMBER(SEARCH("Party Name-",'R.M Billets Reports'!D302)),TRIM(MID('R.M Billets Reports'!D302,SEARCH("-",'R.M Billets Reports'!D302)+1,200)),""))&lt;&gt;"",IF(ISNUMBER(SEARCH("Party Name:-",'R.M Billets Reports'!D302)),TRIM('R.M Billets Reports'!F302),IF(ISNUMBER(SEARCH("Party Name-",'R.M Billets Reports'!D302)),TRIM(MID('R.M Billets Reports'!D302,SEARCH("-",'R.M Billets Reports'!D302)+1,200)),"")),IF(ISNUMBER(SEARCH("Party Name:-",'R.M Billets Reports'!D303)),TRIM('R.M Billets Reports'!F303),IF(ISNUMBER(SEARCH("Party Name-",'R.M Billets Reports'!D303)),TRIM(MID('R.M Billets Reports'!D303,SEARCH("-",'R.M Billets Reports'!D303)+1,200)),"")))))),IF(ROW()=2,"",A302))</f>
      </c>
      <c r="B303">
        <f>IF(OR('R.M Billets Reports'!A302="Date-",'R.M Billets Reports'!A302="Date:-"),'R.M Billets Reports'!B302,IF(ROW()=2,"",B302))</f>
      </c>
      <c r="C303">
        <f>IF('R.M Billets Reports'!A302="V.No.",'R.M Billets Reports'!B302,IF(ROW()=2,"",C302))</f>
      </c>
      <c r="D303">
        <f>IF('R.M Billets Reports'!A302&lt;&gt;"",'R.M Billets Reports'!A302,IF(ROW()=2,"",D302))</f>
      </c>
      <c r="E303">
        <f>IF('R.M Billets Reports'!B302="","",TRIM('R.M Billets Reports'!B302))</f>
      </c>
      <c r="F303">
        <f>'R.M Billets Reports'!C302</f>
      </c>
      <c r="G303">
        <f>'R.M Billets Reports'!D302</f>
      </c>
      <c r="H303">
        <f>'R.M Billets Reports'!E302</f>
      </c>
      <c r="I303">
        <f>'R.M Billets Reports'!F302</f>
      </c>
      <c r="J303">
        <f>'R.M Billets Reports'!G302</f>
      </c>
      <c r="K303">
        <f>'R.M Billets Reports'!H302</f>
      </c>
      <c r="L303">
        <f>IF('R.M Billets Reports'!I302="","",'R.M Billets Reports'!I302)</f>
      </c>
      <c r="M303">
        <f t="shared" si="8"/>
      </c>
      <c r="N303">
        <f>IF('R.M Billets Reports'!J302="","",'R.M Billets Reports'!J302)</f>
      </c>
      <c r="O303">
        <f t="shared" si="9"/>
      </c>
      <c r="P303">
        <f>IF('R.M Billets Reports'!A302="SIZE",'R.M Billets Reports'!B302,P302)</f>
      </c>
    </row>
    <row r="304" spans="1:16" x14ac:dyDescent="0.25">
      <c r="A304">
        <f>IF(OR('R.M Billets Reports'!A303="Date-",'R.M Billets Reports'!A303="Date:-"),IF(IF(IF(ISNUMBER(SEARCH("Party Name:-",'R.M Billets Reports'!D303)),TRIM('R.M Billets Reports'!F303),IF(ISNUMBER(SEARCH("Party Name-",'R.M Billets Reports'!D303)),TRIM(MID('R.M Billets Reports'!D303,SEARCH("-",'R.M Billets Reports'!D303)+1,200)),""))&lt;&gt;"",IF(ISNUMBER(SEARCH("Party Name:-",'R.M Billets Reports'!D303)),TRIM('R.M Billets Reports'!F303),IF(ISNUMBER(SEARCH("Party Name-",'R.M Billets Reports'!D303)),TRIM(MID('R.M Billets Reports'!D303,SEARCH("-",'R.M Billets Reports'!D303)+1,200)),"")),IF(ISNUMBER(SEARCH("Party Name:-",'R.M Billets Reports'!D304)),TRIM('R.M Billets Reports'!F304),IF(ISNUMBER(SEARCH("Party Name-",'R.M Billets Reports'!D304)),TRIM(MID('R.M Billets Reports'!D304,SEARCH("-",'R.M Billets Reports'!D304)+1,200)),"")))="VRKP ISPAT PVT LTD","VRKP",IF(IF(IF(ISNUMBER(SEARCH("Party Name:-",'R.M Billets Reports'!D303)),TRIM('R.M Billets Reports'!F303),IF(ISNUMBER(SEARCH("Party Name-",'R.M Billets Reports'!D303)),TRIM(MID('R.M Billets Reports'!D303,SEARCH("-",'R.M Billets Reports'!D303)+1,200)),""))&lt;&gt;"",IF(ISNUMBER(SEARCH("Party Name:-",'R.M Billets Reports'!D303)),TRIM('R.M Billets Reports'!F303),IF(ISNUMBER(SEARCH("Party Name-",'R.M Billets Reports'!D303)),TRIM(MID('R.M Billets Reports'!D303,SEARCH("-",'R.M Billets Reports'!D303)+1,200)),"")),IF(ISNUMBER(SEARCH("Party Name:-",'R.M Billets Reports'!D304)),TRIM('R.M Billets Reports'!F304),IF(ISNUMBER(SEARCH("Party Name-",'R.M Billets Reports'!D304)),TRIM(MID('R.M Billets Reports'!D304,SEARCH("-",'R.M Billets Reports'!D304)+1,200)),"")))="SHRI RADHE","SHREE RADHE",IF(IF(IF(ISNUMBER(SEARCH("Party Name:-",'R.M Billets Reports'!D303)),TRIM('R.M Billets Reports'!F303),IF(ISNUMBER(SEARCH("Party Name-",'R.M Billets Reports'!D303)),TRIM(MID('R.M Billets Reports'!D303,SEARCH("-",'R.M Billets Reports'!D303)+1,200)),""))&lt;&gt;"",IF(ISNUMBER(SEARCH("Party Name:-",'R.M Billets Reports'!D303)),TRIM('R.M Billets Reports'!F303),IF(ISNUMBER(SEARCH("Party Name-",'R.M Billets Reports'!D303)),TRIM(MID('R.M Billets Reports'!D303,SEARCH("-",'R.M Billets Reports'!D303)+1,200)),"")),IF(ISNUMBER(SEARCH("Party Name:-",'R.M Billets Reports'!D304)),TRIM('R.M Billets Reports'!F304),IF(ISNUMBER(SEARCH("Party Name-",'R.M Billets Reports'!D304)),TRIM(MID('R.M Billets Reports'!D304,SEARCH("-",'R.M Billets Reports'!D304)+1,200)),"")))="SHREE RADHE SHAKTI SPONGE AND POWER PVT. LTD.","SHREE RADHE",IF(IF(ISNUMBER(SEARCH("Party Name:-",'R.M Billets Reports'!D303)),TRIM('R.M Billets Reports'!F303),IF(ISNUMBER(SEARCH("Party Name-",'R.M Billets Reports'!D303)),TRIM(MID('R.M Billets Reports'!D303,SEARCH("-",'R.M Billets Reports'!D303)+1,200)),""))&lt;&gt;"",IF(ISNUMBER(SEARCH("Party Name:-",'R.M Billets Reports'!D303)),TRIM('R.M Billets Reports'!F303),IF(ISNUMBER(SEARCH("Party Name-",'R.M Billets Reports'!D303)),TRIM(MID('R.M Billets Reports'!D303,SEARCH("-",'R.M Billets Reports'!D303)+1,200)),"")),IF(ISNUMBER(SEARCH("Party Name:-",'R.M Billets Reports'!D304)),TRIM('R.M Billets Reports'!F304),IF(ISNUMBER(SEARCH("Party Name-",'R.M Billets Reports'!D304)),TRIM(MID('R.M Billets Reports'!D304,SEARCH("-",'R.M Billets Reports'!D304)+1,200)),"")))))),IF(ROW()=2,"",A303))</f>
      </c>
      <c r="B304">
        <f>IF(OR('R.M Billets Reports'!A303="Date-",'R.M Billets Reports'!A303="Date:-"),'R.M Billets Reports'!B303,IF(ROW()=2,"",B303))</f>
      </c>
      <c r="C304">
        <f>IF('R.M Billets Reports'!A303="V.No.",'R.M Billets Reports'!B303,IF(ROW()=2,"",C303))</f>
      </c>
      <c r="D304">
        <f>IF('R.M Billets Reports'!A303&lt;&gt;"",'R.M Billets Reports'!A303,IF(ROW()=2,"",D303))</f>
      </c>
      <c r="E304">
        <f>IF('R.M Billets Reports'!B303="","",TRIM('R.M Billets Reports'!B303))</f>
      </c>
      <c r="F304">
        <f>'R.M Billets Reports'!C303</f>
      </c>
      <c r="G304">
        <f>'R.M Billets Reports'!D303</f>
      </c>
      <c r="H304">
        <f>'R.M Billets Reports'!E303</f>
      </c>
      <c r="I304">
        <f>'R.M Billets Reports'!F303</f>
      </c>
      <c r="J304">
        <f>'R.M Billets Reports'!G303</f>
      </c>
      <c r="K304">
        <f>'R.M Billets Reports'!H303</f>
      </c>
      <c r="L304">
        <f>IF('R.M Billets Reports'!I303="","",'R.M Billets Reports'!I303)</f>
      </c>
      <c r="M304">
        <f t="shared" si="8"/>
      </c>
      <c r="N304">
        <f>IF('R.M Billets Reports'!J303="","",'R.M Billets Reports'!J303)</f>
      </c>
      <c r="O304">
        <f t="shared" si="9"/>
      </c>
      <c r="P304">
        <f>IF('R.M Billets Reports'!A303="SIZE",'R.M Billets Reports'!B303,P303)</f>
      </c>
    </row>
    <row r="305" spans="1:16" x14ac:dyDescent="0.25">
      <c r="A305">
        <f>IF(OR('R.M Billets Reports'!A304="Date-",'R.M Billets Reports'!A304="Date:-"),IF(IF(IF(ISNUMBER(SEARCH("Party Name:-",'R.M Billets Reports'!D304)),TRIM('R.M Billets Reports'!F304),IF(ISNUMBER(SEARCH("Party Name-",'R.M Billets Reports'!D304)),TRIM(MID('R.M Billets Reports'!D304,SEARCH("-",'R.M Billets Reports'!D304)+1,200)),""))&lt;&gt;"",IF(ISNUMBER(SEARCH("Party Name:-",'R.M Billets Reports'!D304)),TRIM('R.M Billets Reports'!F304),IF(ISNUMBER(SEARCH("Party Name-",'R.M Billets Reports'!D304)),TRIM(MID('R.M Billets Reports'!D304,SEARCH("-",'R.M Billets Reports'!D304)+1,200)),"")),IF(ISNUMBER(SEARCH("Party Name:-",'R.M Billets Reports'!D305)),TRIM('R.M Billets Reports'!F305),IF(ISNUMBER(SEARCH("Party Name-",'R.M Billets Reports'!D305)),TRIM(MID('R.M Billets Reports'!D305,SEARCH("-",'R.M Billets Reports'!D305)+1,200)),"")))="VRKP ISPAT PVT LTD","VRKP",IF(IF(IF(ISNUMBER(SEARCH("Party Name:-",'R.M Billets Reports'!D304)),TRIM('R.M Billets Reports'!F304),IF(ISNUMBER(SEARCH("Party Name-",'R.M Billets Reports'!D304)),TRIM(MID('R.M Billets Reports'!D304,SEARCH("-",'R.M Billets Reports'!D304)+1,200)),""))&lt;&gt;"",IF(ISNUMBER(SEARCH("Party Name:-",'R.M Billets Reports'!D304)),TRIM('R.M Billets Reports'!F304),IF(ISNUMBER(SEARCH("Party Name-",'R.M Billets Reports'!D304)),TRIM(MID('R.M Billets Reports'!D304,SEARCH("-",'R.M Billets Reports'!D304)+1,200)),"")),IF(ISNUMBER(SEARCH("Party Name:-",'R.M Billets Reports'!D305)),TRIM('R.M Billets Reports'!F305),IF(ISNUMBER(SEARCH("Party Name-",'R.M Billets Reports'!D305)),TRIM(MID('R.M Billets Reports'!D305,SEARCH("-",'R.M Billets Reports'!D305)+1,200)),"")))="SHRI RADHE","SHREE RADHE",IF(IF(IF(ISNUMBER(SEARCH("Party Name:-",'R.M Billets Reports'!D304)),TRIM('R.M Billets Reports'!F304),IF(ISNUMBER(SEARCH("Party Name-",'R.M Billets Reports'!D304)),TRIM(MID('R.M Billets Reports'!D304,SEARCH("-",'R.M Billets Reports'!D304)+1,200)),""))&lt;&gt;"",IF(ISNUMBER(SEARCH("Party Name:-",'R.M Billets Reports'!D304)),TRIM('R.M Billets Reports'!F304),IF(ISNUMBER(SEARCH("Party Name-",'R.M Billets Reports'!D304)),TRIM(MID('R.M Billets Reports'!D304,SEARCH("-",'R.M Billets Reports'!D304)+1,200)),"")),IF(ISNUMBER(SEARCH("Party Name:-",'R.M Billets Reports'!D305)),TRIM('R.M Billets Reports'!F305),IF(ISNUMBER(SEARCH("Party Name-",'R.M Billets Reports'!D305)),TRIM(MID('R.M Billets Reports'!D305,SEARCH("-",'R.M Billets Reports'!D305)+1,200)),"")))="SHREE RADHE SHAKTI SPONGE AND POWER PVT. LTD.","SHREE RADHE",IF(IF(ISNUMBER(SEARCH("Party Name:-",'R.M Billets Reports'!D304)),TRIM('R.M Billets Reports'!F304),IF(ISNUMBER(SEARCH("Party Name-",'R.M Billets Reports'!D304)),TRIM(MID('R.M Billets Reports'!D304,SEARCH("-",'R.M Billets Reports'!D304)+1,200)),""))&lt;&gt;"",IF(ISNUMBER(SEARCH("Party Name:-",'R.M Billets Reports'!D304)),TRIM('R.M Billets Reports'!F304),IF(ISNUMBER(SEARCH("Party Name-",'R.M Billets Reports'!D304)),TRIM(MID('R.M Billets Reports'!D304,SEARCH("-",'R.M Billets Reports'!D304)+1,200)),"")),IF(ISNUMBER(SEARCH("Party Name:-",'R.M Billets Reports'!D305)),TRIM('R.M Billets Reports'!F305),IF(ISNUMBER(SEARCH("Party Name-",'R.M Billets Reports'!D305)),TRIM(MID('R.M Billets Reports'!D305,SEARCH("-",'R.M Billets Reports'!D305)+1,200)),"")))))),IF(ROW()=2,"",A304))</f>
      </c>
      <c r="B305">
        <f>IF(OR('R.M Billets Reports'!A304="Date-",'R.M Billets Reports'!A304="Date:-"),'R.M Billets Reports'!B304,IF(ROW()=2,"",B304))</f>
      </c>
      <c r="C305">
        <f>IF('R.M Billets Reports'!A304="V.No.",'R.M Billets Reports'!B304,IF(ROW()=2,"",C304))</f>
      </c>
      <c r="D305">
        <f>IF('R.M Billets Reports'!A304&lt;&gt;"",'R.M Billets Reports'!A304,IF(ROW()=2,"",D304))</f>
      </c>
      <c r="E305">
        <f>IF('R.M Billets Reports'!B304="","",TRIM('R.M Billets Reports'!B304))</f>
      </c>
      <c r="F305">
        <f>'R.M Billets Reports'!C304</f>
      </c>
      <c r="G305">
        <f>'R.M Billets Reports'!D304</f>
      </c>
      <c r="H305">
        <f>'R.M Billets Reports'!E304</f>
      </c>
      <c r="I305">
        <f>'R.M Billets Reports'!F304</f>
      </c>
      <c r="J305">
        <f>'R.M Billets Reports'!G304</f>
      </c>
      <c r="K305">
        <f>'R.M Billets Reports'!H304</f>
      </c>
      <c r="L305">
        <f>IF('R.M Billets Reports'!I304="","",'R.M Billets Reports'!I304)</f>
      </c>
      <c r="M305">
        <f t="shared" si="8"/>
      </c>
      <c r="N305">
        <f>IF('R.M Billets Reports'!J304="","",'R.M Billets Reports'!J304)</f>
      </c>
      <c r="O305">
        <f t="shared" si="9"/>
      </c>
      <c r="P305">
        <f>IF('R.M Billets Reports'!A304="SIZE",'R.M Billets Reports'!B304,P304)</f>
      </c>
    </row>
    <row r="306" spans="1:16" x14ac:dyDescent="0.25">
      <c r="A306">
        <f>IF(OR('R.M Billets Reports'!A305="Date-",'R.M Billets Reports'!A305="Date:-"),IF(IF(IF(ISNUMBER(SEARCH("Party Name:-",'R.M Billets Reports'!D305)),TRIM('R.M Billets Reports'!F305),IF(ISNUMBER(SEARCH("Party Name-",'R.M Billets Reports'!D305)),TRIM(MID('R.M Billets Reports'!D305,SEARCH("-",'R.M Billets Reports'!D305)+1,200)),""))&lt;&gt;"",IF(ISNUMBER(SEARCH("Party Name:-",'R.M Billets Reports'!D305)),TRIM('R.M Billets Reports'!F305),IF(ISNUMBER(SEARCH("Party Name-",'R.M Billets Reports'!D305)),TRIM(MID('R.M Billets Reports'!D305,SEARCH("-",'R.M Billets Reports'!D305)+1,200)),"")),IF(ISNUMBER(SEARCH("Party Name:-",'R.M Billets Reports'!D306)),TRIM('R.M Billets Reports'!F306),IF(ISNUMBER(SEARCH("Party Name-",'R.M Billets Reports'!D306)),TRIM(MID('R.M Billets Reports'!D306,SEARCH("-",'R.M Billets Reports'!D306)+1,200)),"")))="VRKP ISPAT PVT LTD","VRKP",IF(IF(IF(ISNUMBER(SEARCH("Party Name:-",'R.M Billets Reports'!D305)),TRIM('R.M Billets Reports'!F305),IF(ISNUMBER(SEARCH("Party Name-",'R.M Billets Reports'!D305)),TRIM(MID('R.M Billets Reports'!D305,SEARCH("-",'R.M Billets Reports'!D305)+1,200)),""))&lt;&gt;"",IF(ISNUMBER(SEARCH("Party Name:-",'R.M Billets Reports'!D305)),TRIM('R.M Billets Reports'!F305),IF(ISNUMBER(SEARCH("Party Name-",'R.M Billets Reports'!D305)),TRIM(MID('R.M Billets Reports'!D305,SEARCH("-",'R.M Billets Reports'!D305)+1,200)),"")),IF(ISNUMBER(SEARCH("Party Name:-",'R.M Billets Reports'!D306)),TRIM('R.M Billets Reports'!F306),IF(ISNUMBER(SEARCH("Party Name-",'R.M Billets Reports'!D306)),TRIM(MID('R.M Billets Reports'!D306,SEARCH("-",'R.M Billets Reports'!D306)+1,200)),"")))="SHRI RADHE","SHREE RADHE",IF(IF(IF(ISNUMBER(SEARCH("Party Name:-",'R.M Billets Reports'!D305)),TRIM('R.M Billets Reports'!F305),IF(ISNUMBER(SEARCH("Party Name-",'R.M Billets Reports'!D305)),TRIM(MID('R.M Billets Reports'!D305,SEARCH("-",'R.M Billets Reports'!D305)+1,200)),""))&lt;&gt;"",IF(ISNUMBER(SEARCH("Party Name:-",'R.M Billets Reports'!D305)),TRIM('R.M Billets Reports'!F305),IF(ISNUMBER(SEARCH("Party Name-",'R.M Billets Reports'!D305)),TRIM(MID('R.M Billets Reports'!D305,SEARCH("-",'R.M Billets Reports'!D305)+1,200)),"")),IF(ISNUMBER(SEARCH("Party Name:-",'R.M Billets Reports'!D306)),TRIM('R.M Billets Reports'!F306),IF(ISNUMBER(SEARCH("Party Name-",'R.M Billets Reports'!D306)),TRIM(MID('R.M Billets Reports'!D306,SEARCH("-",'R.M Billets Reports'!D306)+1,200)),"")))="SHREE RADHE SHAKTI SPONGE AND POWER PVT. LTD.","SHREE RADHE",IF(IF(ISNUMBER(SEARCH("Party Name:-",'R.M Billets Reports'!D305)),TRIM('R.M Billets Reports'!F305),IF(ISNUMBER(SEARCH("Party Name-",'R.M Billets Reports'!D305)),TRIM(MID('R.M Billets Reports'!D305,SEARCH("-",'R.M Billets Reports'!D305)+1,200)),""))&lt;&gt;"",IF(ISNUMBER(SEARCH("Party Name:-",'R.M Billets Reports'!D305)),TRIM('R.M Billets Reports'!F305),IF(ISNUMBER(SEARCH("Party Name-",'R.M Billets Reports'!D305)),TRIM(MID('R.M Billets Reports'!D305,SEARCH("-",'R.M Billets Reports'!D305)+1,200)),"")),IF(ISNUMBER(SEARCH("Party Name:-",'R.M Billets Reports'!D306)),TRIM('R.M Billets Reports'!F306),IF(ISNUMBER(SEARCH("Party Name-",'R.M Billets Reports'!D306)),TRIM(MID('R.M Billets Reports'!D306,SEARCH("-",'R.M Billets Reports'!D306)+1,200)),"")))))),IF(ROW()=2,"",A305))</f>
      </c>
      <c r="B306">
        <f>IF(OR('R.M Billets Reports'!A305="Date-",'R.M Billets Reports'!A305="Date:-"),'R.M Billets Reports'!B305,IF(ROW()=2,"",B305))</f>
      </c>
      <c r="C306">
        <f>IF('R.M Billets Reports'!A305="V.No.",'R.M Billets Reports'!B305,IF(ROW()=2,"",C305))</f>
      </c>
      <c r="D306">
        <f>IF('R.M Billets Reports'!A305&lt;&gt;"",'R.M Billets Reports'!A305,IF(ROW()=2,"",D305))</f>
      </c>
      <c r="E306">
        <f>IF('R.M Billets Reports'!B305="","",TRIM('R.M Billets Reports'!B305))</f>
      </c>
      <c r="F306">
        <f>'R.M Billets Reports'!C305</f>
      </c>
      <c r="G306">
        <f>'R.M Billets Reports'!D305</f>
      </c>
      <c r="H306">
        <f>'R.M Billets Reports'!E305</f>
      </c>
      <c r="I306">
        <f>'R.M Billets Reports'!F305</f>
      </c>
      <c r="J306">
        <f>'R.M Billets Reports'!G305</f>
      </c>
      <c r="K306">
        <f>'R.M Billets Reports'!H305</f>
      </c>
      <c r="L306">
        <f>IF('R.M Billets Reports'!I305="","",'R.M Billets Reports'!I305)</f>
      </c>
      <c r="M306">
        <f t="shared" si="8"/>
      </c>
      <c r="N306">
        <f>IF('R.M Billets Reports'!J305="","",'R.M Billets Reports'!J305)</f>
      </c>
      <c r="O306">
        <f t="shared" si="9"/>
      </c>
      <c r="P306">
        <f>IF('R.M Billets Reports'!A305="SIZE",'R.M Billets Reports'!B305,P305)</f>
      </c>
    </row>
    <row r="307" spans="1:16" x14ac:dyDescent="0.25">
      <c r="A307">
        <f>IF(OR('R.M Billets Reports'!A306="Date-",'R.M Billets Reports'!A306="Date:-"),IF(IF(IF(ISNUMBER(SEARCH("Party Name:-",'R.M Billets Reports'!D306)),TRIM('R.M Billets Reports'!F306),IF(ISNUMBER(SEARCH("Party Name-",'R.M Billets Reports'!D306)),TRIM(MID('R.M Billets Reports'!D306,SEARCH("-",'R.M Billets Reports'!D306)+1,200)),""))&lt;&gt;"",IF(ISNUMBER(SEARCH("Party Name:-",'R.M Billets Reports'!D306)),TRIM('R.M Billets Reports'!F306),IF(ISNUMBER(SEARCH("Party Name-",'R.M Billets Reports'!D306)),TRIM(MID('R.M Billets Reports'!D306,SEARCH("-",'R.M Billets Reports'!D306)+1,200)),"")),IF(ISNUMBER(SEARCH("Party Name:-",'R.M Billets Reports'!D307)),TRIM('R.M Billets Reports'!F307),IF(ISNUMBER(SEARCH("Party Name-",'R.M Billets Reports'!D307)),TRIM(MID('R.M Billets Reports'!D307,SEARCH("-",'R.M Billets Reports'!D307)+1,200)),"")))="VRKP ISPAT PVT LTD","VRKP",IF(IF(IF(ISNUMBER(SEARCH("Party Name:-",'R.M Billets Reports'!D306)),TRIM('R.M Billets Reports'!F306),IF(ISNUMBER(SEARCH("Party Name-",'R.M Billets Reports'!D306)),TRIM(MID('R.M Billets Reports'!D306,SEARCH("-",'R.M Billets Reports'!D306)+1,200)),""))&lt;&gt;"",IF(ISNUMBER(SEARCH("Party Name:-",'R.M Billets Reports'!D306)),TRIM('R.M Billets Reports'!F306),IF(ISNUMBER(SEARCH("Party Name-",'R.M Billets Reports'!D306)),TRIM(MID('R.M Billets Reports'!D306,SEARCH("-",'R.M Billets Reports'!D306)+1,200)),"")),IF(ISNUMBER(SEARCH("Party Name:-",'R.M Billets Reports'!D307)),TRIM('R.M Billets Reports'!F307),IF(ISNUMBER(SEARCH("Party Name-",'R.M Billets Reports'!D307)),TRIM(MID('R.M Billets Reports'!D307,SEARCH("-",'R.M Billets Reports'!D307)+1,200)),"")))="SHRI RADHE","SHREE RADHE",IF(IF(IF(ISNUMBER(SEARCH("Party Name:-",'R.M Billets Reports'!D306)),TRIM('R.M Billets Reports'!F306),IF(ISNUMBER(SEARCH("Party Name-",'R.M Billets Reports'!D306)),TRIM(MID('R.M Billets Reports'!D306,SEARCH("-",'R.M Billets Reports'!D306)+1,200)),""))&lt;&gt;"",IF(ISNUMBER(SEARCH("Party Name:-",'R.M Billets Reports'!D306)),TRIM('R.M Billets Reports'!F306),IF(ISNUMBER(SEARCH("Party Name-",'R.M Billets Reports'!D306)),TRIM(MID('R.M Billets Reports'!D306,SEARCH("-",'R.M Billets Reports'!D306)+1,200)),"")),IF(ISNUMBER(SEARCH("Party Name:-",'R.M Billets Reports'!D307)),TRIM('R.M Billets Reports'!F307),IF(ISNUMBER(SEARCH("Party Name-",'R.M Billets Reports'!D307)),TRIM(MID('R.M Billets Reports'!D307,SEARCH("-",'R.M Billets Reports'!D307)+1,200)),"")))="SHREE RADHE SHAKTI SPONGE AND POWER PVT. LTD.","SHREE RADHE",IF(IF(ISNUMBER(SEARCH("Party Name:-",'R.M Billets Reports'!D306)),TRIM('R.M Billets Reports'!F306),IF(ISNUMBER(SEARCH("Party Name-",'R.M Billets Reports'!D306)),TRIM(MID('R.M Billets Reports'!D306,SEARCH("-",'R.M Billets Reports'!D306)+1,200)),""))&lt;&gt;"",IF(ISNUMBER(SEARCH("Party Name:-",'R.M Billets Reports'!D306)),TRIM('R.M Billets Reports'!F306),IF(ISNUMBER(SEARCH("Party Name-",'R.M Billets Reports'!D306)),TRIM(MID('R.M Billets Reports'!D306,SEARCH("-",'R.M Billets Reports'!D306)+1,200)),"")),IF(ISNUMBER(SEARCH("Party Name:-",'R.M Billets Reports'!D307)),TRIM('R.M Billets Reports'!F307),IF(ISNUMBER(SEARCH("Party Name-",'R.M Billets Reports'!D307)),TRIM(MID('R.M Billets Reports'!D307,SEARCH("-",'R.M Billets Reports'!D307)+1,200)),"")))))),IF(ROW()=2,"",A306))</f>
      </c>
      <c r="B307">
        <f>IF(OR('R.M Billets Reports'!A306="Date-",'R.M Billets Reports'!A306="Date:-"),'R.M Billets Reports'!B306,IF(ROW()=2,"",B306))</f>
      </c>
      <c r="C307">
        <f>IF('R.M Billets Reports'!A306="V.No.",'R.M Billets Reports'!B306,IF(ROW()=2,"",C306))</f>
      </c>
      <c r="D307">
        <f>IF('R.M Billets Reports'!A306&lt;&gt;"",'R.M Billets Reports'!A306,IF(ROW()=2,"",D306))</f>
      </c>
      <c r="E307">
        <f>IF('R.M Billets Reports'!B306="","",TRIM('R.M Billets Reports'!B306))</f>
      </c>
      <c r="F307">
        <f>'R.M Billets Reports'!C306</f>
      </c>
      <c r="G307">
        <f>'R.M Billets Reports'!D306</f>
      </c>
      <c r="H307">
        <f>'R.M Billets Reports'!E306</f>
      </c>
      <c r="I307">
        <f>'R.M Billets Reports'!F306</f>
      </c>
      <c r="J307">
        <f>'R.M Billets Reports'!G306</f>
      </c>
      <c r="K307">
        <f>'R.M Billets Reports'!H306</f>
      </c>
      <c r="L307">
        <f>IF('R.M Billets Reports'!I306="","",'R.M Billets Reports'!I306)</f>
      </c>
      <c r="M307">
        <f t="shared" si="8"/>
      </c>
      <c r="N307">
        <f>IF('R.M Billets Reports'!J306="","",'R.M Billets Reports'!J306)</f>
      </c>
      <c r="O307">
        <f t="shared" si="9"/>
      </c>
      <c r="P307">
        <f>IF('R.M Billets Reports'!A306="SIZE",'R.M Billets Reports'!B306,P306)</f>
      </c>
    </row>
    <row r="308" spans="1:16" x14ac:dyDescent="0.25">
      <c r="A308">
        <f>IF(OR('R.M Billets Reports'!A307="Date-",'R.M Billets Reports'!A307="Date:-"),IF(IF(IF(ISNUMBER(SEARCH("Party Name:-",'R.M Billets Reports'!D307)),TRIM('R.M Billets Reports'!F307),IF(ISNUMBER(SEARCH("Party Name-",'R.M Billets Reports'!D307)),TRIM(MID('R.M Billets Reports'!D307,SEARCH("-",'R.M Billets Reports'!D307)+1,200)),""))&lt;&gt;"",IF(ISNUMBER(SEARCH("Party Name:-",'R.M Billets Reports'!D307)),TRIM('R.M Billets Reports'!F307),IF(ISNUMBER(SEARCH("Party Name-",'R.M Billets Reports'!D307)),TRIM(MID('R.M Billets Reports'!D307,SEARCH("-",'R.M Billets Reports'!D307)+1,200)),"")),IF(ISNUMBER(SEARCH("Party Name:-",'R.M Billets Reports'!D308)),TRIM('R.M Billets Reports'!F308),IF(ISNUMBER(SEARCH("Party Name-",'R.M Billets Reports'!D308)),TRIM(MID('R.M Billets Reports'!D308,SEARCH("-",'R.M Billets Reports'!D308)+1,200)),"")))="VRKP ISPAT PVT LTD","VRKP",IF(IF(IF(ISNUMBER(SEARCH("Party Name:-",'R.M Billets Reports'!D307)),TRIM('R.M Billets Reports'!F307),IF(ISNUMBER(SEARCH("Party Name-",'R.M Billets Reports'!D307)),TRIM(MID('R.M Billets Reports'!D307,SEARCH("-",'R.M Billets Reports'!D307)+1,200)),""))&lt;&gt;"",IF(ISNUMBER(SEARCH("Party Name:-",'R.M Billets Reports'!D307)),TRIM('R.M Billets Reports'!F307),IF(ISNUMBER(SEARCH("Party Name-",'R.M Billets Reports'!D307)),TRIM(MID('R.M Billets Reports'!D307,SEARCH("-",'R.M Billets Reports'!D307)+1,200)),"")),IF(ISNUMBER(SEARCH("Party Name:-",'R.M Billets Reports'!D308)),TRIM('R.M Billets Reports'!F308),IF(ISNUMBER(SEARCH("Party Name-",'R.M Billets Reports'!D308)),TRIM(MID('R.M Billets Reports'!D308,SEARCH("-",'R.M Billets Reports'!D308)+1,200)),"")))="SHRI RADHE","SHREE RADHE",IF(IF(IF(ISNUMBER(SEARCH("Party Name:-",'R.M Billets Reports'!D307)),TRIM('R.M Billets Reports'!F307),IF(ISNUMBER(SEARCH("Party Name-",'R.M Billets Reports'!D307)),TRIM(MID('R.M Billets Reports'!D307,SEARCH("-",'R.M Billets Reports'!D307)+1,200)),""))&lt;&gt;"",IF(ISNUMBER(SEARCH("Party Name:-",'R.M Billets Reports'!D307)),TRIM('R.M Billets Reports'!F307),IF(ISNUMBER(SEARCH("Party Name-",'R.M Billets Reports'!D307)),TRIM(MID('R.M Billets Reports'!D307,SEARCH("-",'R.M Billets Reports'!D307)+1,200)),"")),IF(ISNUMBER(SEARCH("Party Name:-",'R.M Billets Reports'!D308)),TRIM('R.M Billets Reports'!F308),IF(ISNUMBER(SEARCH("Party Name-",'R.M Billets Reports'!D308)),TRIM(MID('R.M Billets Reports'!D308,SEARCH("-",'R.M Billets Reports'!D308)+1,200)),"")))="SHREE RADHE SHAKTI SPONGE AND POWER PVT. LTD.","SHREE RADHE",IF(IF(ISNUMBER(SEARCH("Party Name:-",'R.M Billets Reports'!D307)),TRIM('R.M Billets Reports'!F307),IF(ISNUMBER(SEARCH("Party Name-",'R.M Billets Reports'!D307)),TRIM(MID('R.M Billets Reports'!D307,SEARCH("-",'R.M Billets Reports'!D307)+1,200)),""))&lt;&gt;"",IF(ISNUMBER(SEARCH("Party Name:-",'R.M Billets Reports'!D307)),TRIM('R.M Billets Reports'!F307),IF(ISNUMBER(SEARCH("Party Name-",'R.M Billets Reports'!D307)),TRIM(MID('R.M Billets Reports'!D307,SEARCH("-",'R.M Billets Reports'!D307)+1,200)),"")),IF(ISNUMBER(SEARCH("Party Name:-",'R.M Billets Reports'!D308)),TRIM('R.M Billets Reports'!F308),IF(ISNUMBER(SEARCH("Party Name-",'R.M Billets Reports'!D308)),TRIM(MID('R.M Billets Reports'!D308,SEARCH("-",'R.M Billets Reports'!D308)+1,200)),"")))))),IF(ROW()=2,"",A307))</f>
      </c>
      <c r="B308">
        <f>IF(OR('R.M Billets Reports'!A307="Date-",'R.M Billets Reports'!A307="Date:-"),'R.M Billets Reports'!B307,IF(ROW()=2,"",B307))</f>
      </c>
      <c r="C308">
        <f>IF('R.M Billets Reports'!A307="V.No.",'R.M Billets Reports'!B307,IF(ROW()=2,"",C307))</f>
      </c>
      <c r="D308">
        <f>IF('R.M Billets Reports'!A307&lt;&gt;"",'R.M Billets Reports'!A307,IF(ROW()=2,"",D307))</f>
      </c>
      <c r="E308">
        <f>IF('R.M Billets Reports'!B307="","",TRIM('R.M Billets Reports'!B307))</f>
      </c>
      <c r="F308">
        <f>'R.M Billets Reports'!C307</f>
      </c>
      <c r="G308">
        <f>'R.M Billets Reports'!D307</f>
      </c>
      <c r="H308">
        <f>'R.M Billets Reports'!E307</f>
      </c>
      <c r="I308">
        <f>'R.M Billets Reports'!F307</f>
      </c>
      <c r="J308">
        <f>'R.M Billets Reports'!G307</f>
      </c>
      <c r="K308">
        <f>'R.M Billets Reports'!H307</f>
      </c>
      <c r="L308">
        <f>IF('R.M Billets Reports'!I307="","",'R.M Billets Reports'!I307)</f>
      </c>
      <c r="M308">
        <f t="shared" si="8"/>
      </c>
      <c r="N308">
        <f>IF('R.M Billets Reports'!J307="","",'R.M Billets Reports'!J307)</f>
      </c>
      <c r="O308">
        <f t="shared" si="9"/>
      </c>
      <c r="P308">
        <f>IF('R.M Billets Reports'!A307="SIZE",'R.M Billets Reports'!B307,P307)</f>
      </c>
    </row>
    <row r="309" spans="1:16" x14ac:dyDescent="0.25">
      <c r="A309">
        <f>IF(OR('R.M Billets Reports'!A308="Date-",'R.M Billets Reports'!A308="Date:-"),IF(IF(IF(ISNUMBER(SEARCH("Party Name:-",'R.M Billets Reports'!D308)),TRIM('R.M Billets Reports'!F308),IF(ISNUMBER(SEARCH("Party Name-",'R.M Billets Reports'!D308)),TRIM(MID('R.M Billets Reports'!D308,SEARCH("-",'R.M Billets Reports'!D308)+1,200)),""))&lt;&gt;"",IF(ISNUMBER(SEARCH("Party Name:-",'R.M Billets Reports'!D308)),TRIM('R.M Billets Reports'!F308),IF(ISNUMBER(SEARCH("Party Name-",'R.M Billets Reports'!D308)),TRIM(MID('R.M Billets Reports'!D308,SEARCH("-",'R.M Billets Reports'!D308)+1,200)),"")),IF(ISNUMBER(SEARCH("Party Name:-",'R.M Billets Reports'!D309)),TRIM('R.M Billets Reports'!F309),IF(ISNUMBER(SEARCH("Party Name-",'R.M Billets Reports'!D309)),TRIM(MID('R.M Billets Reports'!D309,SEARCH("-",'R.M Billets Reports'!D309)+1,200)),"")))="VRKP ISPAT PVT LTD","VRKP",IF(IF(IF(ISNUMBER(SEARCH("Party Name:-",'R.M Billets Reports'!D308)),TRIM('R.M Billets Reports'!F308),IF(ISNUMBER(SEARCH("Party Name-",'R.M Billets Reports'!D308)),TRIM(MID('R.M Billets Reports'!D308,SEARCH("-",'R.M Billets Reports'!D308)+1,200)),""))&lt;&gt;"",IF(ISNUMBER(SEARCH("Party Name:-",'R.M Billets Reports'!D308)),TRIM('R.M Billets Reports'!F308),IF(ISNUMBER(SEARCH("Party Name-",'R.M Billets Reports'!D308)),TRIM(MID('R.M Billets Reports'!D308,SEARCH("-",'R.M Billets Reports'!D308)+1,200)),"")),IF(ISNUMBER(SEARCH("Party Name:-",'R.M Billets Reports'!D309)),TRIM('R.M Billets Reports'!F309),IF(ISNUMBER(SEARCH("Party Name-",'R.M Billets Reports'!D309)),TRIM(MID('R.M Billets Reports'!D309,SEARCH("-",'R.M Billets Reports'!D309)+1,200)),"")))="SHRI RADHE","SHREE RADHE",IF(IF(IF(ISNUMBER(SEARCH("Party Name:-",'R.M Billets Reports'!D308)),TRIM('R.M Billets Reports'!F308),IF(ISNUMBER(SEARCH("Party Name-",'R.M Billets Reports'!D308)),TRIM(MID('R.M Billets Reports'!D308,SEARCH("-",'R.M Billets Reports'!D308)+1,200)),""))&lt;&gt;"",IF(ISNUMBER(SEARCH("Party Name:-",'R.M Billets Reports'!D308)),TRIM('R.M Billets Reports'!F308),IF(ISNUMBER(SEARCH("Party Name-",'R.M Billets Reports'!D308)),TRIM(MID('R.M Billets Reports'!D308,SEARCH("-",'R.M Billets Reports'!D308)+1,200)),"")),IF(ISNUMBER(SEARCH("Party Name:-",'R.M Billets Reports'!D309)),TRIM('R.M Billets Reports'!F309),IF(ISNUMBER(SEARCH("Party Name-",'R.M Billets Reports'!D309)),TRIM(MID('R.M Billets Reports'!D309,SEARCH("-",'R.M Billets Reports'!D309)+1,200)),"")))="SHREE RADHE SHAKTI SPONGE AND POWER PVT. LTD.","SHREE RADHE",IF(IF(ISNUMBER(SEARCH("Party Name:-",'R.M Billets Reports'!D308)),TRIM('R.M Billets Reports'!F308),IF(ISNUMBER(SEARCH("Party Name-",'R.M Billets Reports'!D308)),TRIM(MID('R.M Billets Reports'!D308,SEARCH("-",'R.M Billets Reports'!D308)+1,200)),""))&lt;&gt;"",IF(ISNUMBER(SEARCH("Party Name:-",'R.M Billets Reports'!D308)),TRIM('R.M Billets Reports'!F308),IF(ISNUMBER(SEARCH("Party Name-",'R.M Billets Reports'!D308)),TRIM(MID('R.M Billets Reports'!D308,SEARCH("-",'R.M Billets Reports'!D308)+1,200)),"")),IF(ISNUMBER(SEARCH("Party Name:-",'R.M Billets Reports'!D309)),TRIM('R.M Billets Reports'!F309),IF(ISNUMBER(SEARCH("Party Name-",'R.M Billets Reports'!D309)),TRIM(MID('R.M Billets Reports'!D309,SEARCH("-",'R.M Billets Reports'!D309)+1,200)),"")))))),IF(ROW()=2,"",A308))</f>
      </c>
      <c r="B309">
        <f>IF(OR('R.M Billets Reports'!A308="Date-",'R.M Billets Reports'!A308="Date:-"),'R.M Billets Reports'!B308,IF(ROW()=2,"",B308))</f>
      </c>
      <c r="C309">
        <f>IF('R.M Billets Reports'!A308="V.No.",'R.M Billets Reports'!B308,IF(ROW()=2,"",C308))</f>
      </c>
      <c r="D309">
        <f>IF('R.M Billets Reports'!A308&lt;&gt;"",'R.M Billets Reports'!A308,IF(ROW()=2,"",D308))</f>
      </c>
      <c r="E309">
        <f>IF('R.M Billets Reports'!B308="","",TRIM('R.M Billets Reports'!B308))</f>
      </c>
      <c r="F309">
        <f>'R.M Billets Reports'!C308</f>
      </c>
      <c r="G309">
        <f>'R.M Billets Reports'!D308</f>
      </c>
      <c r="H309">
        <f>'R.M Billets Reports'!E308</f>
      </c>
      <c r="I309">
        <f>'R.M Billets Reports'!F308</f>
      </c>
      <c r="J309">
        <f>'R.M Billets Reports'!G308</f>
      </c>
      <c r="K309">
        <f>'R.M Billets Reports'!H308</f>
      </c>
      <c r="L309">
        <f>IF('R.M Billets Reports'!I308="","",'R.M Billets Reports'!I308)</f>
      </c>
      <c r="M309">
        <f t="shared" si="8"/>
      </c>
      <c r="N309">
        <f>IF('R.M Billets Reports'!J308="","",'R.M Billets Reports'!J308)</f>
      </c>
      <c r="O309">
        <f t="shared" si="9"/>
      </c>
      <c r="P309">
        <f>IF('R.M Billets Reports'!A308="SIZE",'R.M Billets Reports'!B308,P308)</f>
      </c>
    </row>
    <row r="310" spans="1:16" x14ac:dyDescent="0.25">
      <c r="A310">
        <f>IF(OR('R.M Billets Reports'!A309="Date-",'R.M Billets Reports'!A309="Date:-"),IF(IF(IF(ISNUMBER(SEARCH("Party Name:-",'R.M Billets Reports'!D309)),TRIM('R.M Billets Reports'!F309),IF(ISNUMBER(SEARCH("Party Name-",'R.M Billets Reports'!D309)),TRIM(MID('R.M Billets Reports'!D309,SEARCH("-",'R.M Billets Reports'!D309)+1,200)),""))&lt;&gt;"",IF(ISNUMBER(SEARCH("Party Name:-",'R.M Billets Reports'!D309)),TRIM('R.M Billets Reports'!F309),IF(ISNUMBER(SEARCH("Party Name-",'R.M Billets Reports'!D309)),TRIM(MID('R.M Billets Reports'!D309,SEARCH("-",'R.M Billets Reports'!D309)+1,200)),"")),IF(ISNUMBER(SEARCH("Party Name:-",'R.M Billets Reports'!D310)),TRIM('R.M Billets Reports'!F310),IF(ISNUMBER(SEARCH("Party Name-",'R.M Billets Reports'!D310)),TRIM(MID('R.M Billets Reports'!D310,SEARCH("-",'R.M Billets Reports'!D310)+1,200)),"")))="VRKP ISPAT PVT LTD","VRKP",IF(IF(IF(ISNUMBER(SEARCH("Party Name:-",'R.M Billets Reports'!D309)),TRIM('R.M Billets Reports'!F309),IF(ISNUMBER(SEARCH("Party Name-",'R.M Billets Reports'!D309)),TRIM(MID('R.M Billets Reports'!D309,SEARCH("-",'R.M Billets Reports'!D309)+1,200)),""))&lt;&gt;"",IF(ISNUMBER(SEARCH("Party Name:-",'R.M Billets Reports'!D309)),TRIM('R.M Billets Reports'!F309),IF(ISNUMBER(SEARCH("Party Name-",'R.M Billets Reports'!D309)),TRIM(MID('R.M Billets Reports'!D309,SEARCH("-",'R.M Billets Reports'!D309)+1,200)),"")),IF(ISNUMBER(SEARCH("Party Name:-",'R.M Billets Reports'!D310)),TRIM('R.M Billets Reports'!F310),IF(ISNUMBER(SEARCH("Party Name-",'R.M Billets Reports'!D310)),TRIM(MID('R.M Billets Reports'!D310,SEARCH("-",'R.M Billets Reports'!D310)+1,200)),"")))="SHRI RADHE","SHREE RADHE",IF(IF(IF(ISNUMBER(SEARCH("Party Name:-",'R.M Billets Reports'!D309)),TRIM('R.M Billets Reports'!F309),IF(ISNUMBER(SEARCH("Party Name-",'R.M Billets Reports'!D309)),TRIM(MID('R.M Billets Reports'!D309,SEARCH("-",'R.M Billets Reports'!D309)+1,200)),""))&lt;&gt;"",IF(ISNUMBER(SEARCH("Party Name:-",'R.M Billets Reports'!D309)),TRIM('R.M Billets Reports'!F309),IF(ISNUMBER(SEARCH("Party Name-",'R.M Billets Reports'!D309)),TRIM(MID('R.M Billets Reports'!D309,SEARCH("-",'R.M Billets Reports'!D309)+1,200)),"")),IF(ISNUMBER(SEARCH("Party Name:-",'R.M Billets Reports'!D310)),TRIM('R.M Billets Reports'!F310),IF(ISNUMBER(SEARCH("Party Name-",'R.M Billets Reports'!D310)),TRIM(MID('R.M Billets Reports'!D310,SEARCH("-",'R.M Billets Reports'!D310)+1,200)),"")))="SHREE RADHE SHAKTI SPONGE AND POWER PVT. LTD.","SHREE RADHE",IF(IF(ISNUMBER(SEARCH("Party Name:-",'R.M Billets Reports'!D309)),TRIM('R.M Billets Reports'!F309),IF(ISNUMBER(SEARCH("Party Name-",'R.M Billets Reports'!D309)),TRIM(MID('R.M Billets Reports'!D309,SEARCH("-",'R.M Billets Reports'!D309)+1,200)),""))&lt;&gt;"",IF(ISNUMBER(SEARCH("Party Name:-",'R.M Billets Reports'!D309)),TRIM('R.M Billets Reports'!F309),IF(ISNUMBER(SEARCH("Party Name-",'R.M Billets Reports'!D309)),TRIM(MID('R.M Billets Reports'!D309,SEARCH("-",'R.M Billets Reports'!D309)+1,200)),"")),IF(ISNUMBER(SEARCH("Party Name:-",'R.M Billets Reports'!D310)),TRIM('R.M Billets Reports'!F310),IF(ISNUMBER(SEARCH("Party Name-",'R.M Billets Reports'!D310)),TRIM(MID('R.M Billets Reports'!D310,SEARCH("-",'R.M Billets Reports'!D310)+1,200)),"")))))),IF(ROW()=2,"",A309))</f>
      </c>
      <c r="B310">
        <f>IF(OR('R.M Billets Reports'!A309="Date-",'R.M Billets Reports'!A309="Date:-"),'R.M Billets Reports'!B309,IF(ROW()=2,"",B309))</f>
      </c>
      <c r="C310">
        <f>IF('R.M Billets Reports'!A309="V.No.",'R.M Billets Reports'!B309,IF(ROW()=2,"",C309))</f>
      </c>
      <c r="D310">
        <f>IF('R.M Billets Reports'!A309&lt;&gt;"",'R.M Billets Reports'!A309,IF(ROW()=2,"",D309))</f>
      </c>
      <c r="E310">
        <f>IF('R.M Billets Reports'!B309="","",TRIM('R.M Billets Reports'!B309))</f>
      </c>
      <c r="F310">
        <f>'R.M Billets Reports'!C309</f>
      </c>
      <c r="G310">
        <f>'R.M Billets Reports'!D309</f>
      </c>
      <c r="H310">
        <f>'R.M Billets Reports'!E309</f>
      </c>
      <c r="I310">
        <f>'R.M Billets Reports'!F309</f>
      </c>
      <c r="J310">
        <f>'R.M Billets Reports'!G309</f>
      </c>
      <c r="K310">
        <f>'R.M Billets Reports'!H309</f>
      </c>
      <c r="L310">
        <f>IF('R.M Billets Reports'!I309="","",'R.M Billets Reports'!I309)</f>
      </c>
      <c r="M310">
        <f t="shared" si="8"/>
      </c>
      <c r="N310">
        <f>IF('R.M Billets Reports'!J309="","",'R.M Billets Reports'!J309)</f>
      </c>
      <c r="O310">
        <f t="shared" si="9"/>
      </c>
      <c r="P310">
        <f>IF('R.M Billets Reports'!A309="SIZE",'R.M Billets Reports'!B309,P309)</f>
      </c>
    </row>
    <row r="311" spans="1:16" x14ac:dyDescent="0.25">
      <c r="A311">
        <f>IF(OR('R.M Billets Reports'!A310="Date-",'R.M Billets Reports'!A310="Date:-"),IF(IF(IF(ISNUMBER(SEARCH("Party Name:-",'R.M Billets Reports'!D310)),TRIM('R.M Billets Reports'!F310),IF(ISNUMBER(SEARCH("Party Name-",'R.M Billets Reports'!D310)),TRIM(MID('R.M Billets Reports'!D310,SEARCH("-",'R.M Billets Reports'!D310)+1,200)),""))&lt;&gt;"",IF(ISNUMBER(SEARCH("Party Name:-",'R.M Billets Reports'!D310)),TRIM('R.M Billets Reports'!F310),IF(ISNUMBER(SEARCH("Party Name-",'R.M Billets Reports'!D310)),TRIM(MID('R.M Billets Reports'!D310,SEARCH("-",'R.M Billets Reports'!D310)+1,200)),"")),IF(ISNUMBER(SEARCH("Party Name:-",'R.M Billets Reports'!D311)),TRIM('R.M Billets Reports'!F311),IF(ISNUMBER(SEARCH("Party Name-",'R.M Billets Reports'!D311)),TRIM(MID('R.M Billets Reports'!D311,SEARCH("-",'R.M Billets Reports'!D311)+1,200)),"")))="VRKP ISPAT PVT LTD","VRKP",IF(IF(IF(ISNUMBER(SEARCH("Party Name:-",'R.M Billets Reports'!D310)),TRIM('R.M Billets Reports'!F310),IF(ISNUMBER(SEARCH("Party Name-",'R.M Billets Reports'!D310)),TRIM(MID('R.M Billets Reports'!D310,SEARCH("-",'R.M Billets Reports'!D310)+1,200)),""))&lt;&gt;"",IF(ISNUMBER(SEARCH("Party Name:-",'R.M Billets Reports'!D310)),TRIM('R.M Billets Reports'!F310),IF(ISNUMBER(SEARCH("Party Name-",'R.M Billets Reports'!D310)),TRIM(MID('R.M Billets Reports'!D310,SEARCH("-",'R.M Billets Reports'!D310)+1,200)),"")),IF(ISNUMBER(SEARCH("Party Name:-",'R.M Billets Reports'!D311)),TRIM('R.M Billets Reports'!F311),IF(ISNUMBER(SEARCH("Party Name-",'R.M Billets Reports'!D311)),TRIM(MID('R.M Billets Reports'!D311,SEARCH("-",'R.M Billets Reports'!D311)+1,200)),"")))="SHRI RADHE","SHREE RADHE",IF(IF(IF(ISNUMBER(SEARCH("Party Name:-",'R.M Billets Reports'!D310)),TRIM('R.M Billets Reports'!F310),IF(ISNUMBER(SEARCH("Party Name-",'R.M Billets Reports'!D310)),TRIM(MID('R.M Billets Reports'!D310,SEARCH("-",'R.M Billets Reports'!D310)+1,200)),""))&lt;&gt;"",IF(ISNUMBER(SEARCH("Party Name:-",'R.M Billets Reports'!D310)),TRIM('R.M Billets Reports'!F310),IF(ISNUMBER(SEARCH("Party Name-",'R.M Billets Reports'!D310)),TRIM(MID('R.M Billets Reports'!D310,SEARCH("-",'R.M Billets Reports'!D310)+1,200)),"")),IF(ISNUMBER(SEARCH("Party Name:-",'R.M Billets Reports'!D311)),TRIM('R.M Billets Reports'!F311),IF(ISNUMBER(SEARCH("Party Name-",'R.M Billets Reports'!D311)),TRIM(MID('R.M Billets Reports'!D311,SEARCH("-",'R.M Billets Reports'!D311)+1,200)),"")))="SHREE RADHE SHAKTI SPONGE AND POWER PVT. LTD.","SHREE RADHE",IF(IF(ISNUMBER(SEARCH("Party Name:-",'R.M Billets Reports'!D310)),TRIM('R.M Billets Reports'!F310),IF(ISNUMBER(SEARCH("Party Name-",'R.M Billets Reports'!D310)),TRIM(MID('R.M Billets Reports'!D310,SEARCH("-",'R.M Billets Reports'!D310)+1,200)),""))&lt;&gt;"",IF(ISNUMBER(SEARCH("Party Name:-",'R.M Billets Reports'!D310)),TRIM('R.M Billets Reports'!F310),IF(ISNUMBER(SEARCH("Party Name-",'R.M Billets Reports'!D310)),TRIM(MID('R.M Billets Reports'!D310,SEARCH("-",'R.M Billets Reports'!D310)+1,200)),"")),IF(ISNUMBER(SEARCH("Party Name:-",'R.M Billets Reports'!D311)),TRIM('R.M Billets Reports'!F311),IF(ISNUMBER(SEARCH("Party Name-",'R.M Billets Reports'!D311)),TRIM(MID('R.M Billets Reports'!D311,SEARCH("-",'R.M Billets Reports'!D311)+1,200)),"")))))),IF(ROW()=2,"",A310))</f>
      </c>
      <c r="B311">
        <f>IF(OR('R.M Billets Reports'!A310="Date-",'R.M Billets Reports'!A310="Date:-"),'R.M Billets Reports'!B310,IF(ROW()=2,"",B310))</f>
      </c>
      <c r="C311">
        <f>IF('R.M Billets Reports'!A310="V.No.",'R.M Billets Reports'!B310,IF(ROW()=2,"",C310))</f>
      </c>
      <c r="D311">
        <f>IF('R.M Billets Reports'!A310&lt;&gt;"",'R.M Billets Reports'!A310,IF(ROW()=2,"",D310))</f>
      </c>
      <c r="E311">
        <f>IF('R.M Billets Reports'!B310="","",TRIM('R.M Billets Reports'!B310))</f>
      </c>
      <c r="F311">
        <f>'R.M Billets Reports'!C310</f>
      </c>
      <c r="G311">
        <f>'R.M Billets Reports'!D310</f>
      </c>
      <c r="H311">
        <f>'R.M Billets Reports'!E310</f>
      </c>
      <c r="I311">
        <f>'R.M Billets Reports'!F310</f>
      </c>
      <c r="J311">
        <f>'R.M Billets Reports'!G310</f>
      </c>
      <c r="K311">
        <f>'R.M Billets Reports'!H310</f>
      </c>
      <c r="L311">
        <f>IF('R.M Billets Reports'!I310="","",'R.M Billets Reports'!I310)</f>
      </c>
      <c r="M311">
        <f t="shared" si="8"/>
      </c>
      <c r="N311">
        <f>IF('R.M Billets Reports'!J310="","",'R.M Billets Reports'!J310)</f>
      </c>
      <c r="O311">
        <f t="shared" si="9"/>
      </c>
      <c r="P311">
        <f>IF('R.M Billets Reports'!A310="SIZE",'R.M Billets Reports'!B310,P310)</f>
      </c>
    </row>
    <row r="312" spans="1:16" x14ac:dyDescent="0.25">
      <c r="A312">
        <f>IF(OR('R.M Billets Reports'!A311="Date-",'R.M Billets Reports'!A311="Date:-"),IF(IF(IF(ISNUMBER(SEARCH("Party Name:-",'R.M Billets Reports'!D311)),TRIM('R.M Billets Reports'!F311),IF(ISNUMBER(SEARCH("Party Name-",'R.M Billets Reports'!D311)),TRIM(MID('R.M Billets Reports'!D311,SEARCH("-",'R.M Billets Reports'!D311)+1,200)),""))&lt;&gt;"",IF(ISNUMBER(SEARCH("Party Name:-",'R.M Billets Reports'!D311)),TRIM('R.M Billets Reports'!F311),IF(ISNUMBER(SEARCH("Party Name-",'R.M Billets Reports'!D311)),TRIM(MID('R.M Billets Reports'!D311,SEARCH("-",'R.M Billets Reports'!D311)+1,200)),"")),IF(ISNUMBER(SEARCH("Party Name:-",'R.M Billets Reports'!D312)),TRIM('R.M Billets Reports'!F312),IF(ISNUMBER(SEARCH("Party Name-",'R.M Billets Reports'!D312)),TRIM(MID('R.M Billets Reports'!D312,SEARCH("-",'R.M Billets Reports'!D312)+1,200)),"")))="VRKP ISPAT PVT LTD","VRKP",IF(IF(IF(ISNUMBER(SEARCH("Party Name:-",'R.M Billets Reports'!D311)),TRIM('R.M Billets Reports'!F311),IF(ISNUMBER(SEARCH("Party Name-",'R.M Billets Reports'!D311)),TRIM(MID('R.M Billets Reports'!D311,SEARCH("-",'R.M Billets Reports'!D311)+1,200)),""))&lt;&gt;"",IF(ISNUMBER(SEARCH("Party Name:-",'R.M Billets Reports'!D311)),TRIM('R.M Billets Reports'!F311),IF(ISNUMBER(SEARCH("Party Name-",'R.M Billets Reports'!D311)),TRIM(MID('R.M Billets Reports'!D311,SEARCH("-",'R.M Billets Reports'!D311)+1,200)),"")),IF(ISNUMBER(SEARCH("Party Name:-",'R.M Billets Reports'!D312)),TRIM('R.M Billets Reports'!F312),IF(ISNUMBER(SEARCH("Party Name-",'R.M Billets Reports'!D312)),TRIM(MID('R.M Billets Reports'!D312,SEARCH("-",'R.M Billets Reports'!D312)+1,200)),"")))="SHRI RADHE","SHREE RADHE",IF(IF(IF(ISNUMBER(SEARCH("Party Name:-",'R.M Billets Reports'!D311)),TRIM('R.M Billets Reports'!F311),IF(ISNUMBER(SEARCH("Party Name-",'R.M Billets Reports'!D311)),TRIM(MID('R.M Billets Reports'!D311,SEARCH("-",'R.M Billets Reports'!D311)+1,200)),""))&lt;&gt;"",IF(ISNUMBER(SEARCH("Party Name:-",'R.M Billets Reports'!D311)),TRIM('R.M Billets Reports'!F311),IF(ISNUMBER(SEARCH("Party Name-",'R.M Billets Reports'!D311)),TRIM(MID('R.M Billets Reports'!D311,SEARCH("-",'R.M Billets Reports'!D311)+1,200)),"")),IF(ISNUMBER(SEARCH("Party Name:-",'R.M Billets Reports'!D312)),TRIM('R.M Billets Reports'!F312),IF(ISNUMBER(SEARCH("Party Name-",'R.M Billets Reports'!D312)),TRIM(MID('R.M Billets Reports'!D312,SEARCH("-",'R.M Billets Reports'!D312)+1,200)),"")))="SHREE RADHE SHAKTI SPONGE AND POWER PVT. LTD.","SHREE RADHE",IF(IF(ISNUMBER(SEARCH("Party Name:-",'R.M Billets Reports'!D311)),TRIM('R.M Billets Reports'!F311),IF(ISNUMBER(SEARCH("Party Name-",'R.M Billets Reports'!D311)),TRIM(MID('R.M Billets Reports'!D311,SEARCH("-",'R.M Billets Reports'!D311)+1,200)),""))&lt;&gt;"",IF(ISNUMBER(SEARCH("Party Name:-",'R.M Billets Reports'!D311)),TRIM('R.M Billets Reports'!F311),IF(ISNUMBER(SEARCH("Party Name-",'R.M Billets Reports'!D311)),TRIM(MID('R.M Billets Reports'!D311,SEARCH("-",'R.M Billets Reports'!D311)+1,200)),"")),IF(ISNUMBER(SEARCH("Party Name:-",'R.M Billets Reports'!D312)),TRIM('R.M Billets Reports'!F312),IF(ISNUMBER(SEARCH("Party Name-",'R.M Billets Reports'!D312)),TRIM(MID('R.M Billets Reports'!D312,SEARCH("-",'R.M Billets Reports'!D312)+1,200)),"")))))),IF(ROW()=2,"",A311))</f>
      </c>
      <c r="B312">
        <f>IF(OR('R.M Billets Reports'!A311="Date-",'R.M Billets Reports'!A311="Date:-"),'R.M Billets Reports'!B311,IF(ROW()=2,"",B311))</f>
      </c>
      <c r="C312">
        <f>IF('R.M Billets Reports'!A311="V.No.",'R.M Billets Reports'!B311,IF(ROW()=2,"",C311))</f>
      </c>
      <c r="D312">
        <f>IF('R.M Billets Reports'!A311&lt;&gt;"",'R.M Billets Reports'!A311,IF(ROW()=2,"",D311))</f>
      </c>
      <c r="E312">
        <f>IF('R.M Billets Reports'!B311="","",TRIM('R.M Billets Reports'!B311))</f>
      </c>
      <c r="F312">
        <f>'R.M Billets Reports'!C311</f>
      </c>
      <c r="G312">
        <f>'R.M Billets Reports'!D311</f>
      </c>
      <c r="H312">
        <f>'R.M Billets Reports'!E311</f>
      </c>
      <c r="I312">
        <f>'R.M Billets Reports'!F311</f>
      </c>
      <c r="J312">
        <f>'R.M Billets Reports'!G311</f>
      </c>
      <c r="K312">
        <f>'R.M Billets Reports'!H311</f>
      </c>
      <c r="L312">
        <f>IF('R.M Billets Reports'!I311="","",'R.M Billets Reports'!I311)</f>
      </c>
      <c r="M312">
        <f t="shared" si="8"/>
      </c>
      <c r="N312">
        <f>IF('R.M Billets Reports'!J311="","",'R.M Billets Reports'!J311)</f>
      </c>
      <c r="O312">
        <f t="shared" si="9"/>
      </c>
      <c r="P312">
        <f>IF('R.M Billets Reports'!A311="SIZE",'R.M Billets Reports'!B311,P311)</f>
      </c>
    </row>
    <row r="313" spans="1:16" x14ac:dyDescent="0.25">
      <c r="A313">
        <f>IF(OR('R.M Billets Reports'!A312="Date-",'R.M Billets Reports'!A312="Date:-"),IF(IF(IF(ISNUMBER(SEARCH("Party Name:-",'R.M Billets Reports'!D312)),TRIM('R.M Billets Reports'!F312),IF(ISNUMBER(SEARCH("Party Name-",'R.M Billets Reports'!D312)),TRIM(MID('R.M Billets Reports'!D312,SEARCH("-",'R.M Billets Reports'!D312)+1,200)),""))&lt;&gt;"",IF(ISNUMBER(SEARCH("Party Name:-",'R.M Billets Reports'!D312)),TRIM('R.M Billets Reports'!F312),IF(ISNUMBER(SEARCH("Party Name-",'R.M Billets Reports'!D312)),TRIM(MID('R.M Billets Reports'!D312,SEARCH("-",'R.M Billets Reports'!D312)+1,200)),"")),IF(ISNUMBER(SEARCH("Party Name:-",'R.M Billets Reports'!D313)),TRIM('R.M Billets Reports'!F313),IF(ISNUMBER(SEARCH("Party Name-",'R.M Billets Reports'!D313)),TRIM(MID('R.M Billets Reports'!D313,SEARCH("-",'R.M Billets Reports'!D313)+1,200)),"")))="VRKP ISPAT PVT LTD","VRKP",IF(IF(IF(ISNUMBER(SEARCH("Party Name:-",'R.M Billets Reports'!D312)),TRIM('R.M Billets Reports'!F312),IF(ISNUMBER(SEARCH("Party Name-",'R.M Billets Reports'!D312)),TRIM(MID('R.M Billets Reports'!D312,SEARCH("-",'R.M Billets Reports'!D312)+1,200)),""))&lt;&gt;"",IF(ISNUMBER(SEARCH("Party Name:-",'R.M Billets Reports'!D312)),TRIM('R.M Billets Reports'!F312),IF(ISNUMBER(SEARCH("Party Name-",'R.M Billets Reports'!D312)),TRIM(MID('R.M Billets Reports'!D312,SEARCH("-",'R.M Billets Reports'!D312)+1,200)),"")),IF(ISNUMBER(SEARCH("Party Name:-",'R.M Billets Reports'!D313)),TRIM('R.M Billets Reports'!F313),IF(ISNUMBER(SEARCH("Party Name-",'R.M Billets Reports'!D313)),TRIM(MID('R.M Billets Reports'!D313,SEARCH("-",'R.M Billets Reports'!D313)+1,200)),"")))="SHRI RADHE","SHREE RADHE",IF(IF(IF(ISNUMBER(SEARCH("Party Name:-",'R.M Billets Reports'!D312)),TRIM('R.M Billets Reports'!F312),IF(ISNUMBER(SEARCH("Party Name-",'R.M Billets Reports'!D312)),TRIM(MID('R.M Billets Reports'!D312,SEARCH("-",'R.M Billets Reports'!D312)+1,200)),""))&lt;&gt;"",IF(ISNUMBER(SEARCH("Party Name:-",'R.M Billets Reports'!D312)),TRIM('R.M Billets Reports'!F312),IF(ISNUMBER(SEARCH("Party Name-",'R.M Billets Reports'!D312)),TRIM(MID('R.M Billets Reports'!D312,SEARCH("-",'R.M Billets Reports'!D312)+1,200)),"")),IF(ISNUMBER(SEARCH("Party Name:-",'R.M Billets Reports'!D313)),TRIM('R.M Billets Reports'!F313),IF(ISNUMBER(SEARCH("Party Name-",'R.M Billets Reports'!D313)),TRIM(MID('R.M Billets Reports'!D313,SEARCH("-",'R.M Billets Reports'!D313)+1,200)),"")))="SHREE RADHE SHAKTI SPONGE AND POWER PVT. LTD.","SHREE RADHE",IF(IF(ISNUMBER(SEARCH("Party Name:-",'R.M Billets Reports'!D312)),TRIM('R.M Billets Reports'!F312),IF(ISNUMBER(SEARCH("Party Name-",'R.M Billets Reports'!D312)),TRIM(MID('R.M Billets Reports'!D312,SEARCH("-",'R.M Billets Reports'!D312)+1,200)),""))&lt;&gt;"",IF(ISNUMBER(SEARCH("Party Name:-",'R.M Billets Reports'!D312)),TRIM('R.M Billets Reports'!F312),IF(ISNUMBER(SEARCH("Party Name-",'R.M Billets Reports'!D312)),TRIM(MID('R.M Billets Reports'!D312,SEARCH("-",'R.M Billets Reports'!D312)+1,200)),"")),IF(ISNUMBER(SEARCH("Party Name:-",'R.M Billets Reports'!D313)),TRIM('R.M Billets Reports'!F313),IF(ISNUMBER(SEARCH("Party Name-",'R.M Billets Reports'!D313)),TRIM(MID('R.M Billets Reports'!D313,SEARCH("-",'R.M Billets Reports'!D313)+1,200)),"")))))),IF(ROW()=2,"",A312))</f>
      </c>
      <c r="B313">
        <f>IF(OR('R.M Billets Reports'!A312="Date-",'R.M Billets Reports'!A312="Date:-"),'R.M Billets Reports'!B312,IF(ROW()=2,"",B312))</f>
      </c>
      <c r="C313">
        <f>IF('R.M Billets Reports'!A312="V.No.",'R.M Billets Reports'!B312,IF(ROW()=2,"",C312))</f>
      </c>
      <c r="D313">
        <f>IF('R.M Billets Reports'!A312&lt;&gt;"",'R.M Billets Reports'!A312,IF(ROW()=2,"",D312))</f>
      </c>
      <c r="E313">
        <f>IF('R.M Billets Reports'!B312="","",TRIM('R.M Billets Reports'!B312))</f>
      </c>
      <c r="F313">
        <f>'R.M Billets Reports'!C312</f>
      </c>
      <c r="G313">
        <f>'R.M Billets Reports'!D312</f>
      </c>
      <c r="H313">
        <f>'R.M Billets Reports'!E312</f>
      </c>
      <c r="I313">
        <f>'R.M Billets Reports'!F312</f>
      </c>
      <c r="J313">
        <f>'R.M Billets Reports'!G312</f>
      </c>
      <c r="K313">
        <f>'R.M Billets Reports'!H312</f>
      </c>
      <c r="L313">
        <f>IF('R.M Billets Reports'!I312="","",'R.M Billets Reports'!I312)</f>
      </c>
      <c r="M313">
        <f t="shared" si="8"/>
      </c>
      <c r="N313">
        <f>IF('R.M Billets Reports'!J312="","",'R.M Billets Reports'!J312)</f>
      </c>
      <c r="O313">
        <f t="shared" si="9"/>
      </c>
      <c r="P313">
        <f>IF('R.M Billets Reports'!A312="SIZE",'R.M Billets Reports'!B312,P312)</f>
      </c>
    </row>
    <row r="314" spans="1:16" x14ac:dyDescent="0.25">
      <c r="A314">
        <f>IF(OR('R.M Billets Reports'!A313="Date-",'R.M Billets Reports'!A313="Date:-"),IF(IF(IF(ISNUMBER(SEARCH("Party Name:-",'R.M Billets Reports'!D313)),TRIM('R.M Billets Reports'!F313),IF(ISNUMBER(SEARCH("Party Name-",'R.M Billets Reports'!D313)),TRIM(MID('R.M Billets Reports'!D313,SEARCH("-",'R.M Billets Reports'!D313)+1,200)),""))&lt;&gt;"",IF(ISNUMBER(SEARCH("Party Name:-",'R.M Billets Reports'!D313)),TRIM('R.M Billets Reports'!F313),IF(ISNUMBER(SEARCH("Party Name-",'R.M Billets Reports'!D313)),TRIM(MID('R.M Billets Reports'!D313,SEARCH("-",'R.M Billets Reports'!D313)+1,200)),"")),IF(ISNUMBER(SEARCH("Party Name:-",'R.M Billets Reports'!D314)),TRIM('R.M Billets Reports'!F314),IF(ISNUMBER(SEARCH("Party Name-",'R.M Billets Reports'!D314)),TRIM(MID('R.M Billets Reports'!D314,SEARCH("-",'R.M Billets Reports'!D314)+1,200)),"")))="VRKP ISPAT PVT LTD","VRKP",IF(IF(IF(ISNUMBER(SEARCH("Party Name:-",'R.M Billets Reports'!D313)),TRIM('R.M Billets Reports'!F313),IF(ISNUMBER(SEARCH("Party Name-",'R.M Billets Reports'!D313)),TRIM(MID('R.M Billets Reports'!D313,SEARCH("-",'R.M Billets Reports'!D313)+1,200)),""))&lt;&gt;"",IF(ISNUMBER(SEARCH("Party Name:-",'R.M Billets Reports'!D313)),TRIM('R.M Billets Reports'!F313),IF(ISNUMBER(SEARCH("Party Name-",'R.M Billets Reports'!D313)),TRIM(MID('R.M Billets Reports'!D313,SEARCH("-",'R.M Billets Reports'!D313)+1,200)),"")),IF(ISNUMBER(SEARCH("Party Name:-",'R.M Billets Reports'!D314)),TRIM('R.M Billets Reports'!F314),IF(ISNUMBER(SEARCH("Party Name-",'R.M Billets Reports'!D314)),TRIM(MID('R.M Billets Reports'!D314,SEARCH("-",'R.M Billets Reports'!D314)+1,200)),"")))="SHRI RADHE","SHREE RADHE",IF(IF(IF(ISNUMBER(SEARCH("Party Name:-",'R.M Billets Reports'!D313)),TRIM('R.M Billets Reports'!F313),IF(ISNUMBER(SEARCH("Party Name-",'R.M Billets Reports'!D313)),TRIM(MID('R.M Billets Reports'!D313,SEARCH("-",'R.M Billets Reports'!D313)+1,200)),""))&lt;&gt;"",IF(ISNUMBER(SEARCH("Party Name:-",'R.M Billets Reports'!D313)),TRIM('R.M Billets Reports'!F313),IF(ISNUMBER(SEARCH("Party Name-",'R.M Billets Reports'!D313)),TRIM(MID('R.M Billets Reports'!D313,SEARCH("-",'R.M Billets Reports'!D313)+1,200)),"")),IF(ISNUMBER(SEARCH("Party Name:-",'R.M Billets Reports'!D314)),TRIM('R.M Billets Reports'!F314),IF(ISNUMBER(SEARCH("Party Name-",'R.M Billets Reports'!D314)),TRIM(MID('R.M Billets Reports'!D314,SEARCH("-",'R.M Billets Reports'!D314)+1,200)),"")))="SHREE RADHE SHAKTI SPONGE AND POWER PVT. LTD.","SHREE RADHE",IF(IF(ISNUMBER(SEARCH("Party Name:-",'R.M Billets Reports'!D313)),TRIM('R.M Billets Reports'!F313),IF(ISNUMBER(SEARCH("Party Name-",'R.M Billets Reports'!D313)),TRIM(MID('R.M Billets Reports'!D313,SEARCH("-",'R.M Billets Reports'!D313)+1,200)),""))&lt;&gt;"",IF(ISNUMBER(SEARCH("Party Name:-",'R.M Billets Reports'!D313)),TRIM('R.M Billets Reports'!F313),IF(ISNUMBER(SEARCH("Party Name-",'R.M Billets Reports'!D313)),TRIM(MID('R.M Billets Reports'!D313,SEARCH("-",'R.M Billets Reports'!D313)+1,200)),"")),IF(ISNUMBER(SEARCH("Party Name:-",'R.M Billets Reports'!D314)),TRIM('R.M Billets Reports'!F314),IF(ISNUMBER(SEARCH("Party Name-",'R.M Billets Reports'!D314)),TRIM(MID('R.M Billets Reports'!D314,SEARCH("-",'R.M Billets Reports'!D314)+1,200)),"")))))),IF(ROW()=2,"",A313))</f>
      </c>
      <c r="B314">
        <f>IF(OR('R.M Billets Reports'!A313="Date-",'R.M Billets Reports'!A313="Date:-"),'R.M Billets Reports'!B313,IF(ROW()=2,"",B313))</f>
      </c>
      <c r="C314">
        <f>IF('R.M Billets Reports'!A313="V.No.",'R.M Billets Reports'!B313,IF(ROW()=2,"",C313))</f>
      </c>
      <c r="D314">
        <f>IF('R.M Billets Reports'!A313&lt;&gt;"",'R.M Billets Reports'!A313,IF(ROW()=2,"",D313))</f>
      </c>
      <c r="E314">
        <f>IF('R.M Billets Reports'!B313="","",TRIM('R.M Billets Reports'!B313))</f>
      </c>
      <c r="F314">
        <f>'R.M Billets Reports'!C313</f>
      </c>
      <c r="G314">
        <f>'R.M Billets Reports'!D313</f>
      </c>
      <c r="H314">
        <f>'R.M Billets Reports'!E313</f>
      </c>
      <c r="I314">
        <f>'R.M Billets Reports'!F313</f>
      </c>
      <c r="J314">
        <f>'R.M Billets Reports'!G313</f>
      </c>
      <c r="K314">
        <f>'R.M Billets Reports'!H313</f>
      </c>
      <c r="L314">
        <f>IF('R.M Billets Reports'!I313="","",'R.M Billets Reports'!I313)</f>
      </c>
      <c r="M314">
        <f t="shared" si="8"/>
      </c>
      <c r="N314">
        <f>IF('R.M Billets Reports'!J313="","",'R.M Billets Reports'!J313)</f>
      </c>
      <c r="O314">
        <f t="shared" si="9"/>
      </c>
      <c r="P314">
        <f>IF('R.M Billets Reports'!A313="SIZE",'R.M Billets Reports'!B313,P313)</f>
      </c>
    </row>
    <row r="315" spans="1:16" x14ac:dyDescent="0.25">
      <c r="A315">
        <f>IF(OR('R.M Billets Reports'!A314="Date-",'R.M Billets Reports'!A314="Date:-"),IF(IF(IF(ISNUMBER(SEARCH("Party Name:-",'R.M Billets Reports'!D314)),TRIM('R.M Billets Reports'!F314),IF(ISNUMBER(SEARCH("Party Name-",'R.M Billets Reports'!D314)),TRIM(MID('R.M Billets Reports'!D314,SEARCH("-",'R.M Billets Reports'!D314)+1,200)),""))&lt;&gt;"",IF(ISNUMBER(SEARCH("Party Name:-",'R.M Billets Reports'!D314)),TRIM('R.M Billets Reports'!F314),IF(ISNUMBER(SEARCH("Party Name-",'R.M Billets Reports'!D314)),TRIM(MID('R.M Billets Reports'!D314,SEARCH("-",'R.M Billets Reports'!D314)+1,200)),"")),IF(ISNUMBER(SEARCH("Party Name:-",'R.M Billets Reports'!D315)),TRIM('R.M Billets Reports'!F315),IF(ISNUMBER(SEARCH("Party Name-",'R.M Billets Reports'!D315)),TRIM(MID('R.M Billets Reports'!D315,SEARCH("-",'R.M Billets Reports'!D315)+1,200)),"")))="VRKP ISPAT PVT LTD","VRKP",IF(IF(IF(ISNUMBER(SEARCH("Party Name:-",'R.M Billets Reports'!D314)),TRIM('R.M Billets Reports'!F314),IF(ISNUMBER(SEARCH("Party Name-",'R.M Billets Reports'!D314)),TRIM(MID('R.M Billets Reports'!D314,SEARCH("-",'R.M Billets Reports'!D314)+1,200)),""))&lt;&gt;"",IF(ISNUMBER(SEARCH("Party Name:-",'R.M Billets Reports'!D314)),TRIM('R.M Billets Reports'!F314),IF(ISNUMBER(SEARCH("Party Name-",'R.M Billets Reports'!D314)),TRIM(MID('R.M Billets Reports'!D314,SEARCH("-",'R.M Billets Reports'!D314)+1,200)),"")),IF(ISNUMBER(SEARCH("Party Name:-",'R.M Billets Reports'!D315)),TRIM('R.M Billets Reports'!F315),IF(ISNUMBER(SEARCH("Party Name-",'R.M Billets Reports'!D315)),TRIM(MID('R.M Billets Reports'!D315,SEARCH("-",'R.M Billets Reports'!D315)+1,200)),"")))="SHRI RADHE","SHREE RADHE",IF(IF(IF(ISNUMBER(SEARCH("Party Name:-",'R.M Billets Reports'!D314)),TRIM('R.M Billets Reports'!F314),IF(ISNUMBER(SEARCH("Party Name-",'R.M Billets Reports'!D314)),TRIM(MID('R.M Billets Reports'!D314,SEARCH("-",'R.M Billets Reports'!D314)+1,200)),""))&lt;&gt;"",IF(ISNUMBER(SEARCH("Party Name:-",'R.M Billets Reports'!D314)),TRIM('R.M Billets Reports'!F314),IF(ISNUMBER(SEARCH("Party Name-",'R.M Billets Reports'!D314)),TRIM(MID('R.M Billets Reports'!D314,SEARCH("-",'R.M Billets Reports'!D314)+1,200)),"")),IF(ISNUMBER(SEARCH("Party Name:-",'R.M Billets Reports'!D315)),TRIM('R.M Billets Reports'!F315),IF(ISNUMBER(SEARCH("Party Name-",'R.M Billets Reports'!D315)),TRIM(MID('R.M Billets Reports'!D315,SEARCH("-",'R.M Billets Reports'!D315)+1,200)),"")))="SHREE RADHE SHAKTI SPONGE AND POWER PVT. LTD.","SHREE RADHE",IF(IF(ISNUMBER(SEARCH("Party Name:-",'R.M Billets Reports'!D314)),TRIM('R.M Billets Reports'!F314),IF(ISNUMBER(SEARCH("Party Name-",'R.M Billets Reports'!D314)),TRIM(MID('R.M Billets Reports'!D314,SEARCH("-",'R.M Billets Reports'!D314)+1,200)),""))&lt;&gt;"",IF(ISNUMBER(SEARCH("Party Name:-",'R.M Billets Reports'!D314)),TRIM('R.M Billets Reports'!F314),IF(ISNUMBER(SEARCH("Party Name-",'R.M Billets Reports'!D314)),TRIM(MID('R.M Billets Reports'!D314,SEARCH("-",'R.M Billets Reports'!D314)+1,200)),"")),IF(ISNUMBER(SEARCH("Party Name:-",'R.M Billets Reports'!D315)),TRIM('R.M Billets Reports'!F315),IF(ISNUMBER(SEARCH("Party Name-",'R.M Billets Reports'!D315)),TRIM(MID('R.M Billets Reports'!D315,SEARCH("-",'R.M Billets Reports'!D315)+1,200)),"")))))),IF(ROW()=2,"",A314))</f>
      </c>
      <c r="B315">
        <f>IF(OR('R.M Billets Reports'!A314="Date-",'R.M Billets Reports'!A314="Date:-"),'R.M Billets Reports'!B314,IF(ROW()=2,"",B314))</f>
      </c>
      <c r="C315">
        <f>IF('R.M Billets Reports'!A314="V.No.",'R.M Billets Reports'!B314,IF(ROW()=2,"",C314))</f>
      </c>
      <c r="D315">
        <f>IF('R.M Billets Reports'!A314&lt;&gt;"",'R.M Billets Reports'!A314,IF(ROW()=2,"",D314))</f>
      </c>
      <c r="E315">
        <f>IF('R.M Billets Reports'!B314="","",TRIM('R.M Billets Reports'!B314))</f>
      </c>
      <c r="F315">
        <f>'R.M Billets Reports'!C314</f>
      </c>
      <c r="G315">
        <f>'R.M Billets Reports'!D314</f>
      </c>
      <c r="H315">
        <f>'R.M Billets Reports'!E314</f>
      </c>
      <c r="I315">
        <f>'R.M Billets Reports'!F314</f>
      </c>
      <c r="J315">
        <f>'R.M Billets Reports'!G314</f>
      </c>
      <c r="K315">
        <f>'R.M Billets Reports'!H314</f>
      </c>
      <c r="L315">
        <f>IF('R.M Billets Reports'!I314="","",'R.M Billets Reports'!I314)</f>
      </c>
      <c r="M315">
        <f t="shared" si="8"/>
      </c>
      <c r="N315">
        <f>IF('R.M Billets Reports'!J314="","",'R.M Billets Reports'!J314)</f>
      </c>
      <c r="O315">
        <f t="shared" si="9"/>
      </c>
      <c r="P315">
        <f>IF('R.M Billets Reports'!A314="SIZE",'R.M Billets Reports'!B314,P314)</f>
      </c>
    </row>
    <row r="316" spans="1:16" x14ac:dyDescent="0.25">
      <c r="A316">
        <f>IF(OR('R.M Billets Reports'!A315="Date-",'R.M Billets Reports'!A315="Date:-"),IF(IF(IF(ISNUMBER(SEARCH("Party Name:-",'R.M Billets Reports'!D315)),TRIM('R.M Billets Reports'!F315),IF(ISNUMBER(SEARCH("Party Name-",'R.M Billets Reports'!D315)),TRIM(MID('R.M Billets Reports'!D315,SEARCH("-",'R.M Billets Reports'!D315)+1,200)),""))&lt;&gt;"",IF(ISNUMBER(SEARCH("Party Name:-",'R.M Billets Reports'!D315)),TRIM('R.M Billets Reports'!F315),IF(ISNUMBER(SEARCH("Party Name-",'R.M Billets Reports'!D315)),TRIM(MID('R.M Billets Reports'!D315,SEARCH("-",'R.M Billets Reports'!D315)+1,200)),"")),IF(ISNUMBER(SEARCH("Party Name:-",'R.M Billets Reports'!D316)),TRIM('R.M Billets Reports'!F316),IF(ISNUMBER(SEARCH("Party Name-",'R.M Billets Reports'!D316)),TRIM(MID('R.M Billets Reports'!D316,SEARCH("-",'R.M Billets Reports'!D316)+1,200)),"")))="VRKP ISPAT PVT LTD","VRKP",IF(IF(IF(ISNUMBER(SEARCH("Party Name:-",'R.M Billets Reports'!D315)),TRIM('R.M Billets Reports'!F315),IF(ISNUMBER(SEARCH("Party Name-",'R.M Billets Reports'!D315)),TRIM(MID('R.M Billets Reports'!D315,SEARCH("-",'R.M Billets Reports'!D315)+1,200)),""))&lt;&gt;"",IF(ISNUMBER(SEARCH("Party Name:-",'R.M Billets Reports'!D315)),TRIM('R.M Billets Reports'!F315),IF(ISNUMBER(SEARCH("Party Name-",'R.M Billets Reports'!D315)),TRIM(MID('R.M Billets Reports'!D315,SEARCH("-",'R.M Billets Reports'!D315)+1,200)),"")),IF(ISNUMBER(SEARCH("Party Name:-",'R.M Billets Reports'!D316)),TRIM('R.M Billets Reports'!F316),IF(ISNUMBER(SEARCH("Party Name-",'R.M Billets Reports'!D316)),TRIM(MID('R.M Billets Reports'!D316,SEARCH("-",'R.M Billets Reports'!D316)+1,200)),"")))="SHRI RADHE","SHREE RADHE",IF(IF(IF(ISNUMBER(SEARCH("Party Name:-",'R.M Billets Reports'!D315)),TRIM('R.M Billets Reports'!F315),IF(ISNUMBER(SEARCH("Party Name-",'R.M Billets Reports'!D315)),TRIM(MID('R.M Billets Reports'!D315,SEARCH("-",'R.M Billets Reports'!D315)+1,200)),""))&lt;&gt;"",IF(ISNUMBER(SEARCH("Party Name:-",'R.M Billets Reports'!D315)),TRIM('R.M Billets Reports'!F315),IF(ISNUMBER(SEARCH("Party Name-",'R.M Billets Reports'!D315)),TRIM(MID('R.M Billets Reports'!D315,SEARCH("-",'R.M Billets Reports'!D315)+1,200)),"")),IF(ISNUMBER(SEARCH("Party Name:-",'R.M Billets Reports'!D316)),TRIM('R.M Billets Reports'!F316),IF(ISNUMBER(SEARCH("Party Name-",'R.M Billets Reports'!D316)),TRIM(MID('R.M Billets Reports'!D316,SEARCH("-",'R.M Billets Reports'!D316)+1,200)),"")))="SHREE RADHE SHAKTI SPONGE AND POWER PVT. LTD.","SHREE RADHE",IF(IF(ISNUMBER(SEARCH("Party Name:-",'R.M Billets Reports'!D315)),TRIM('R.M Billets Reports'!F315),IF(ISNUMBER(SEARCH("Party Name-",'R.M Billets Reports'!D315)),TRIM(MID('R.M Billets Reports'!D315,SEARCH("-",'R.M Billets Reports'!D315)+1,200)),""))&lt;&gt;"",IF(ISNUMBER(SEARCH("Party Name:-",'R.M Billets Reports'!D315)),TRIM('R.M Billets Reports'!F315),IF(ISNUMBER(SEARCH("Party Name-",'R.M Billets Reports'!D315)),TRIM(MID('R.M Billets Reports'!D315,SEARCH("-",'R.M Billets Reports'!D315)+1,200)),"")),IF(ISNUMBER(SEARCH("Party Name:-",'R.M Billets Reports'!D316)),TRIM('R.M Billets Reports'!F316),IF(ISNUMBER(SEARCH("Party Name-",'R.M Billets Reports'!D316)),TRIM(MID('R.M Billets Reports'!D316,SEARCH("-",'R.M Billets Reports'!D316)+1,200)),"")))))),IF(ROW()=2,"",A315))</f>
      </c>
      <c r="B316">
        <f>IF(OR('R.M Billets Reports'!A315="Date-",'R.M Billets Reports'!A315="Date:-"),'R.M Billets Reports'!B315,IF(ROW()=2,"",B315))</f>
      </c>
      <c r="C316">
        <f>IF('R.M Billets Reports'!A315="V.No.",'R.M Billets Reports'!B315,IF(ROW()=2,"",C315))</f>
      </c>
      <c r="D316">
        <f>IF('R.M Billets Reports'!A315&lt;&gt;"",'R.M Billets Reports'!A315,IF(ROW()=2,"",D315))</f>
      </c>
      <c r="E316">
        <f>IF('R.M Billets Reports'!B315="","",TRIM('R.M Billets Reports'!B315))</f>
      </c>
      <c r="F316">
        <f>'R.M Billets Reports'!C315</f>
      </c>
      <c r="G316">
        <f>'R.M Billets Reports'!D315</f>
      </c>
      <c r="H316">
        <f>'R.M Billets Reports'!E315</f>
      </c>
      <c r="I316">
        <f>'R.M Billets Reports'!F315</f>
      </c>
      <c r="J316">
        <f>'R.M Billets Reports'!G315</f>
      </c>
      <c r="K316">
        <f>'R.M Billets Reports'!H315</f>
      </c>
      <c r="L316">
        <f>IF('R.M Billets Reports'!I315="","",'R.M Billets Reports'!I315)</f>
      </c>
      <c r="M316">
        <f t="shared" si="8"/>
      </c>
      <c r="N316">
        <f>IF('R.M Billets Reports'!J315="","",'R.M Billets Reports'!J315)</f>
      </c>
      <c r="O316">
        <f t="shared" si="9"/>
      </c>
      <c r="P316">
        <f>IF('R.M Billets Reports'!A315="SIZE",'R.M Billets Reports'!B315,P315)</f>
      </c>
    </row>
    <row r="317" spans="1:16" x14ac:dyDescent="0.25">
      <c r="A317">
        <f>IF(OR('R.M Billets Reports'!A316="Date-",'R.M Billets Reports'!A316="Date:-"),IF(IF(IF(ISNUMBER(SEARCH("Party Name:-",'R.M Billets Reports'!D316)),TRIM('R.M Billets Reports'!F316),IF(ISNUMBER(SEARCH("Party Name-",'R.M Billets Reports'!D316)),TRIM(MID('R.M Billets Reports'!D316,SEARCH("-",'R.M Billets Reports'!D316)+1,200)),""))&lt;&gt;"",IF(ISNUMBER(SEARCH("Party Name:-",'R.M Billets Reports'!D316)),TRIM('R.M Billets Reports'!F316),IF(ISNUMBER(SEARCH("Party Name-",'R.M Billets Reports'!D316)),TRIM(MID('R.M Billets Reports'!D316,SEARCH("-",'R.M Billets Reports'!D316)+1,200)),"")),IF(ISNUMBER(SEARCH("Party Name:-",'R.M Billets Reports'!D317)),TRIM('R.M Billets Reports'!F317),IF(ISNUMBER(SEARCH("Party Name-",'R.M Billets Reports'!D317)),TRIM(MID('R.M Billets Reports'!D317,SEARCH("-",'R.M Billets Reports'!D317)+1,200)),"")))="VRKP ISPAT PVT LTD","VRKP",IF(IF(IF(ISNUMBER(SEARCH("Party Name:-",'R.M Billets Reports'!D316)),TRIM('R.M Billets Reports'!F316),IF(ISNUMBER(SEARCH("Party Name-",'R.M Billets Reports'!D316)),TRIM(MID('R.M Billets Reports'!D316,SEARCH("-",'R.M Billets Reports'!D316)+1,200)),""))&lt;&gt;"",IF(ISNUMBER(SEARCH("Party Name:-",'R.M Billets Reports'!D316)),TRIM('R.M Billets Reports'!F316),IF(ISNUMBER(SEARCH("Party Name-",'R.M Billets Reports'!D316)),TRIM(MID('R.M Billets Reports'!D316,SEARCH("-",'R.M Billets Reports'!D316)+1,200)),"")),IF(ISNUMBER(SEARCH("Party Name:-",'R.M Billets Reports'!D317)),TRIM('R.M Billets Reports'!F317),IF(ISNUMBER(SEARCH("Party Name-",'R.M Billets Reports'!D317)),TRIM(MID('R.M Billets Reports'!D317,SEARCH("-",'R.M Billets Reports'!D317)+1,200)),"")))="SHRI RADHE","SHREE RADHE",IF(IF(IF(ISNUMBER(SEARCH("Party Name:-",'R.M Billets Reports'!D316)),TRIM('R.M Billets Reports'!F316),IF(ISNUMBER(SEARCH("Party Name-",'R.M Billets Reports'!D316)),TRIM(MID('R.M Billets Reports'!D316,SEARCH("-",'R.M Billets Reports'!D316)+1,200)),""))&lt;&gt;"",IF(ISNUMBER(SEARCH("Party Name:-",'R.M Billets Reports'!D316)),TRIM('R.M Billets Reports'!F316),IF(ISNUMBER(SEARCH("Party Name-",'R.M Billets Reports'!D316)),TRIM(MID('R.M Billets Reports'!D316,SEARCH("-",'R.M Billets Reports'!D316)+1,200)),"")),IF(ISNUMBER(SEARCH("Party Name:-",'R.M Billets Reports'!D317)),TRIM('R.M Billets Reports'!F317),IF(ISNUMBER(SEARCH("Party Name-",'R.M Billets Reports'!D317)),TRIM(MID('R.M Billets Reports'!D317,SEARCH("-",'R.M Billets Reports'!D317)+1,200)),"")))="SHREE RADHE SHAKTI SPONGE AND POWER PVT. LTD.","SHREE RADHE",IF(IF(ISNUMBER(SEARCH("Party Name:-",'R.M Billets Reports'!D316)),TRIM('R.M Billets Reports'!F316),IF(ISNUMBER(SEARCH("Party Name-",'R.M Billets Reports'!D316)),TRIM(MID('R.M Billets Reports'!D316,SEARCH("-",'R.M Billets Reports'!D316)+1,200)),""))&lt;&gt;"",IF(ISNUMBER(SEARCH("Party Name:-",'R.M Billets Reports'!D316)),TRIM('R.M Billets Reports'!F316),IF(ISNUMBER(SEARCH("Party Name-",'R.M Billets Reports'!D316)),TRIM(MID('R.M Billets Reports'!D316,SEARCH("-",'R.M Billets Reports'!D316)+1,200)),"")),IF(ISNUMBER(SEARCH("Party Name:-",'R.M Billets Reports'!D317)),TRIM('R.M Billets Reports'!F317),IF(ISNUMBER(SEARCH("Party Name-",'R.M Billets Reports'!D317)),TRIM(MID('R.M Billets Reports'!D317,SEARCH("-",'R.M Billets Reports'!D317)+1,200)),"")))))),IF(ROW()=2,"",A316))</f>
      </c>
      <c r="B317">
        <f>IF(OR('R.M Billets Reports'!A316="Date-",'R.M Billets Reports'!A316="Date:-"),'R.M Billets Reports'!B316,IF(ROW()=2,"",B316))</f>
      </c>
      <c r="C317">
        <f>IF('R.M Billets Reports'!A316="V.No.",'R.M Billets Reports'!B316,IF(ROW()=2,"",C316))</f>
      </c>
      <c r="D317">
        <f>IF('R.M Billets Reports'!A316&lt;&gt;"",'R.M Billets Reports'!A316,IF(ROW()=2,"",D316))</f>
      </c>
      <c r="E317">
        <f>IF('R.M Billets Reports'!B316="","",TRIM('R.M Billets Reports'!B316))</f>
      </c>
      <c r="F317">
        <f>'R.M Billets Reports'!C316</f>
      </c>
      <c r="G317">
        <f>'R.M Billets Reports'!D316</f>
      </c>
      <c r="H317">
        <f>'R.M Billets Reports'!E316</f>
      </c>
      <c r="I317">
        <f>'R.M Billets Reports'!F316</f>
      </c>
      <c r="J317">
        <f>'R.M Billets Reports'!G316</f>
      </c>
      <c r="K317">
        <f>'R.M Billets Reports'!H316</f>
      </c>
      <c r="L317">
        <f>IF('R.M Billets Reports'!I316="","",'R.M Billets Reports'!I316)</f>
      </c>
      <c r="M317">
        <f t="shared" si="8"/>
      </c>
      <c r="N317">
        <f>IF('R.M Billets Reports'!J316="","",'R.M Billets Reports'!J316)</f>
      </c>
      <c r="O317">
        <f t="shared" si="9"/>
      </c>
      <c r="P317">
        <f>IF('R.M Billets Reports'!A316="SIZE",'R.M Billets Reports'!B316,P316)</f>
      </c>
    </row>
    <row r="318" spans="1:16" x14ac:dyDescent="0.25">
      <c r="A318">
        <f>IF(OR('R.M Billets Reports'!A317="Date-",'R.M Billets Reports'!A317="Date:-"),IF(IF(IF(ISNUMBER(SEARCH("Party Name:-",'R.M Billets Reports'!D317)),TRIM('R.M Billets Reports'!F317),IF(ISNUMBER(SEARCH("Party Name-",'R.M Billets Reports'!D317)),TRIM(MID('R.M Billets Reports'!D317,SEARCH("-",'R.M Billets Reports'!D317)+1,200)),""))&lt;&gt;"",IF(ISNUMBER(SEARCH("Party Name:-",'R.M Billets Reports'!D317)),TRIM('R.M Billets Reports'!F317),IF(ISNUMBER(SEARCH("Party Name-",'R.M Billets Reports'!D317)),TRIM(MID('R.M Billets Reports'!D317,SEARCH("-",'R.M Billets Reports'!D317)+1,200)),"")),IF(ISNUMBER(SEARCH("Party Name:-",'R.M Billets Reports'!D318)),TRIM('R.M Billets Reports'!F318),IF(ISNUMBER(SEARCH("Party Name-",'R.M Billets Reports'!D318)),TRIM(MID('R.M Billets Reports'!D318,SEARCH("-",'R.M Billets Reports'!D318)+1,200)),"")))="VRKP ISPAT PVT LTD","VRKP",IF(IF(IF(ISNUMBER(SEARCH("Party Name:-",'R.M Billets Reports'!D317)),TRIM('R.M Billets Reports'!F317),IF(ISNUMBER(SEARCH("Party Name-",'R.M Billets Reports'!D317)),TRIM(MID('R.M Billets Reports'!D317,SEARCH("-",'R.M Billets Reports'!D317)+1,200)),""))&lt;&gt;"",IF(ISNUMBER(SEARCH("Party Name:-",'R.M Billets Reports'!D317)),TRIM('R.M Billets Reports'!F317),IF(ISNUMBER(SEARCH("Party Name-",'R.M Billets Reports'!D317)),TRIM(MID('R.M Billets Reports'!D317,SEARCH("-",'R.M Billets Reports'!D317)+1,200)),"")),IF(ISNUMBER(SEARCH("Party Name:-",'R.M Billets Reports'!D318)),TRIM('R.M Billets Reports'!F318),IF(ISNUMBER(SEARCH("Party Name-",'R.M Billets Reports'!D318)),TRIM(MID('R.M Billets Reports'!D318,SEARCH("-",'R.M Billets Reports'!D318)+1,200)),"")))="SHRI RADHE","SHREE RADHE",IF(IF(IF(ISNUMBER(SEARCH("Party Name:-",'R.M Billets Reports'!D317)),TRIM('R.M Billets Reports'!F317),IF(ISNUMBER(SEARCH("Party Name-",'R.M Billets Reports'!D317)),TRIM(MID('R.M Billets Reports'!D317,SEARCH("-",'R.M Billets Reports'!D317)+1,200)),""))&lt;&gt;"",IF(ISNUMBER(SEARCH("Party Name:-",'R.M Billets Reports'!D317)),TRIM('R.M Billets Reports'!F317),IF(ISNUMBER(SEARCH("Party Name-",'R.M Billets Reports'!D317)),TRIM(MID('R.M Billets Reports'!D317,SEARCH("-",'R.M Billets Reports'!D317)+1,200)),"")),IF(ISNUMBER(SEARCH("Party Name:-",'R.M Billets Reports'!D318)),TRIM('R.M Billets Reports'!F318),IF(ISNUMBER(SEARCH("Party Name-",'R.M Billets Reports'!D318)),TRIM(MID('R.M Billets Reports'!D318,SEARCH("-",'R.M Billets Reports'!D318)+1,200)),"")))="SHREE RADHE SHAKTI SPONGE AND POWER PVT. LTD.","SHREE RADHE",IF(IF(ISNUMBER(SEARCH("Party Name:-",'R.M Billets Reports'!D317)),TRIM('R.M Billets Reports'!F317),IF(ISNUMBER(SEARCH("Party Name-",'R.M Billets Reports'!D317)),TRIM(MID('R.M Billets Reports'!D317,SEARCH("-",'R.M Billets Reports'!D317)+1,200)),""))&lt;&gt;"",IF(ISNUMBER(SEARCH("Party Name:-",'R.M Billets Reports'!D317)),TRIM('R.M Billets Reports'!F317),IF(ISNUMBER(SEARCH("Party Name-",'R.M Billets Reports'!D317)),TRIM(MID('R.M Billets Reports'!D317,SEARCH("-",'R.M Billets Reports'!D317)+1,200)),"")),IF(ISNUMBER(SEARCH("Party Name:-",'R.M Billets Reports'!D318)),TRIM('R.M Billets Reports'!F318),IF(ISNUMBER(SEARCH("Party Name-",'R.M Billets Reports'!D318)),TRIM(MID('R.M Billets Reports'!D318,SEARCH("-",'R.M Billets Reports'!D318)+1,200)),"")))))),IF(ROW()=2,"",A317))</f>
      </c>
      <c r="B318">
        <f>IF(OR('R.M Billets Reports'!A317="Date-",'R.M Billets Reports'!A317="Date:-"),'R.M Billets Reports'!B317,IF(ROW()=2,"",B317))</f>
      </c>
      <c r="C318">
        <f>IF('R.M Billets Reports'!A317="V.No.",'R.M Billets Reports'!B317,IF(ROW()=2,"",C317))</f>
      </c>
      <c r="D318">
        <f>IF('R.M Billets Reports'!A317&lt;&gt;"",'R.M Billets Reports'!A317,IF(ROW()=2,"",D317))</f>
      </c>
      <c r="E318">
        <f>IF('R.M Billets Reports'!B317="","",TRIM('R.M Billets Reports'!B317))</f>
      </c>
      <c r="F318">
        <f>'R.M Billets Reports'!C317</f>
      </c>
      <c r="G318">
        <f>'R.M Billets Reports'!D317</f>
      </c>
      <c r="H318">
        <f>'R.M Billets Reports'!E317</f>
      </c>
      <c r="I318">
        <f>'R.M Billets Reports'!F317</f>
      </c>
      <c r="J318">
        <f>'R.M Billets Reports'!G317</f>
      </c>
      <c r="K318">
        <f>'R.M Billets Reports'!H317</f>
      </c>
      <c r="L318">
        <f>IF('R.M Billets Reports'!I317="","",'R.M Billets Reports'!I317)</f>
      </c>
      <c r="M318">
        <f t="shared" si="8"/>
      </c>
      <c r="N318">
        <f>IF('R.M Billets Reports'!J317="","",'R.M Billets Reports'!J317)</f>
      </c>
      <c r="O318">
        <f t="shared" si="9"/>
      </c>
      <c r="P318">
        <f>IF('R.M Billets Reports'!A317="SIZE",'R.M Billets Reports'!B317,P317)</f>
      </c>
    </row>
    <row r="319" spans="1:16" x14ac:dyDescent="0.25">
      <c r="A319">
        <f>IF(OR('R.M Billets Reports'!A318="Date-",'R.M Billets Reports'!A318="Date:-"),IF(IF(IF(ISNUMBER(SEARCH("Party Name:-",'R.M Billets Reports'!D318)),TRIM('R.M Billets Reports'!F318),IF(ISNUMBER(SEARCH("Party Name-",'R.M Billets Reports'!D318)),TRIM(MID('R.M Billets Reports'!D318,SEARCH("-",'R.M Billets Reports'!D318)+1,200)),""))&lt;&gt;"",IF(ISNUMBER(SEARCH("Party Name:-",'R.M Billets Reports'!D318)),TRIM('R.M Billets Reports'!F318),IF(ISNUMBER(SEARCH("Party Name-",'R.M Billets Reports'!D318)),TRIM(MID('R.M Billets Reports'!D318,SEARCH("-",'R.M Billets Reports'!D318)+1,200)),"")),IF(ISNUMBER(SEARCH("Party Name:-",'R.M Billets Reports'!D319)),TRIM('R.M Billets Reports'!F319),IF(ISNUMBER(SEARCH("Party Name-",'R.M Billets Reports'!D319)),TRIM(MID('R.M Billets Reports'!D319,SEARCH("-",'R.M Billets Reports'!D319)+1,200)),"")))="VRKP ISPAT PVT LTD","VRKP",IF(IF(IF(ISNUMBER(SEARCH("Party Name:-",'R.M Billets Reports'!D318)),TRIM('R.M Billets Reports'!F318),IF(ISNUMBER(SEARCH("Party Name-",'R.M Billets Reports'!D318)),TRIM(MID('R.M Billets Reports'!D318,SEARCH("-",'R.M Billets Reports'!D318)+1,200)),""))&lt;&gt;"",IF(ISNUMBER(SEARCH("Party Name:-",'R.M Billets Reports'!D318)),TRIM('R.M Billets Reports'!F318),IF(ISNUMBER(SEARCH("Party Name-",'R.M Billets Reports'!D318)),TRIM(MID('R.M Billets Reports'!D318,SEARCH("-",'R.M Billets Reports'!D318)+1,200)),"")),IF(ISNUMBER(SEARCH("Party Name:-",'R.M Billets Reports'!D319)),TRIM('R.M Billets Reports'!F319),IF(ISNUMBER(SEARCH("Party Name-",'R.M Billets Reports'!D319)),TRIM(MID('R.M Billets Reports'!D319,SEARCH("-",'R.M Billets Reports'!D319)+1,200)),"")))="SHRI RADHE","SHREE RADHE",IF(IF(IF(ISNUMBER(SEARCH("Party Name:-",'R.M Billets Reports'!D318)),TRIM('R.M Billets Reports'!F318),IF(ISNUMBER(SEARCH("Party Name-",'R.M Billets Reports'!D318)),TRIM(MID('R.M Billets Reports'!D318,SEARCH("-",'R.M Billets Reports'!D318)+1,200)),""))&lt;&gt;"",IF(ISNUMBER(SEARCH("Party Name:-",'R.M Billets Reports'!D318)),TRIM('R.M Billets Reports'!F318),IF(ISNUMBER(SEARCH("Party Name-",'R.M Billets Reports'!D318)),TRIM(MID('R.M Billets Reports'!D318,SEARCH("-",'R.M Billets Reports'!D318)+1,200)),"")),IF(ISNUMBER(SEARCH("Party Name:-",'R.M Billets Reports'!D319)),TRIM('R.M Billets Reports'!F319),IF(ISNUMBER(SEARCH("Party Name-",'R.M Billets Reports'!D319)),TRIM(MID('R.M Billets Reports'!D319,SEARCH("-",'R.M Billets Reports'!D319)+1,200)),"")))="SHREE RADHE SHAKTI SPONGE AND POWER PVT. LTD.","SHREE RADHE",IF(IF(ISNUMBER(SEARCH("Party Name:-",'R.M Billets Reports'!D318)),TRIM('R.M Billets Reports'!F318),IF(ISNUMBER(SEARCH("Party Name-",'R.M Billets Reports'!D318)),TRIM(MID('R.M Billets Reports'!D318,SEARCH("-",'R.M Billets Reports'!D318)+1,200)),""))&lt;&gt;"",IF(ISNUMBER(SEARCH("Party Name:-",'R.M Billets Reports'!D318)),TRIM('R.M Billets Reports'!F318),IF(ISNUMBER(SEARCH("Party Name-",'R.M Billets Reports'!D318)),TRIM(MID('R.M Billets Reports'!D318,SEARCH("-",'R.M Billets Reports'!D318)+1,200)),"")),IF(ISNUMBER(SEARCH("Party Name:-",'R.M Billets Reports'!D319)),TRIM('R.M Billets Reports'!F319),IF(ISNUMBER(SEARCH("Party Name-",'R.M Billets Reports'!D319)),TRIM(MID('R.M Billets Reports'!D319,SEARCH("-",'R.M Billets Reports'!D319)+1,200)),"")))))),IF(ROW()=2,"",A318))</f>
      </c>
      <c r="B319">
        <f>IF(OR('R.M Billets Reports'!A318="Date-",'R.M Billets Reports'!A318="Date:-"),'R.M Billets Reports'!B318,IF(ROW()=2,"",B318))</f>
      </c>
      <c r="C319">
        <f>IF('R.M Billets Reports'!A318="V.No.",'R.M Billets Reports'!B318,IF(ROW()=2,"",C318))</f>
      </c>
      <c r="D319">
        <f>IF('R.M Billets Reports'!A318&lt;&gt;"",'R.M Billets Reports'!A318,IF(ROW()=2,"",D318))</f>
      </c>
      <c r="E319">
        <f>IF('R.M Billets Reports'!B318="","",TRIM('R.M Billets Reports'!B318))</f>
      </c>
      <c r="F319">
        <f>'R.M Billets Reports'!C318</f>
      </c>
      <c r="G319">
        <f>'R.M Billets Reports'!D318</f>
      </c>
      <c r="H319">
        <f>'R.M Billets Reports'!E318</f>
      </c>
      <c r="I319">
        <f>'R.M Billets Reports'!F318</f>
      </c>
      <c r="J319">
        <f>'R.M Billets Reports'!G318</f>
      </c>
      <c r="K319">
        <f>'R.M Billets Reports'!H318</f>
      </c>
      <c r="L319">
        <f>IF('R.M Billets Reports'!I318="","",'R.M Billets Reports'!I318)</f>
      </c>
      <c r="M319">
        <f t="shared" si="8"/>
      </c>
      <c r="N319">
        <f>IF('R.M Billets Reports'!J318="","",'R.M Billets Reports'!J318)</f>
      </c>
      <c r="O319">
        <f t="shared" si="9"/>
      </c>
      <c r="P319">
        <f>IF('R.M Billets Reports'!A318="SIZE",'R.M Billets Reports'!B318,P318)</f>
      </c>
    </row>
    <row r="320" spans="1:16" x14ac:dyDescent="0.25">
      <c r="A320">
        <f>IF(OR('R.M Billets Reports'!A319="Date-",'R.M Billets Reports'!A319="Date:-"),IF(IF(IF(ISNUMBER(SEARCH("Party Name:-",'R.M Billets Reports'!D319)),TRIM('R.M Billets Reports'!F319),IF(ISNUMBER(SEARCH("Party Name-",'R.M Billets Reports'!D319)),TRIM(MID('R.M Billets Reports'!D319,SEARCH("-",'R.M Billets Reports'!D319)+1,200)),""))&lt;&gt;"",IF(ISNUMBER(SEARCH("Party Name:-",'R.M Billets Reports'!D319)),TRIM('R.M Billets Reports'!F319),IF(ISNUMBER(SEARCH("Party Name-",'R.M Billets Reports'!D319)),TRIM(MID('R.M Billets Reports'!D319,SEARCH("-",'R.M Billets Reports'!D319)+1,200)),"")),IF(ISNUMBER(SEARCH("Party Name:-",'R.M Billets Reports'!D320)),TRIM('R.M Billets Reports'!F320),IF(ISNUMBER(SEARCH("Party Name-",'R.M Billets Reports'!D320)),TRIM(MID('R.M Billets Reports'!D320,SEARCH("-",'R.M Billets Reports'!D320)+1,200)),"")))="VRKP ISPAT PVT LTD","VRKP",IF(IF(IF(ISNUMBER(SEARCH("Party Name:-",'R.M Billets Reports'!D319)),TRIM('R.M Billets Reports'!F319),IF(ISNUMBER(SEARCH("Party Name-",'R.M Billets Reports'!D319)),TRIM(MID('R.M Billets Reports'!D319,SEARCH("-",'R.M Billets Reports'!D319)+1,200)),""))&lt;&gt;"",IF(ISNUMBER(SEARCH("Party Name:-",'R.M Billets Reports'!D319)),TRIM('R.M Billets Reports'!F319),IF(ISNUMBER(SEARCH("Party Name-",'R.M Billets Reports'!D319)),TRIM(MID('R.M Billets Reports'!D319,SEARCH("-",'R.M Billets Reports'!D319)+1,200)),"")),IF(ISNUMBER(SEARCH("Party Name:-",'R.M Billets Reports'!D320)),TRIM('R.M Billets Reports'!F320),IF(ISNUMBER(SEARCH("Party Name-",'R.M Billets Reports'!D320)),TRIM(MID('R.M Billets Reports'!D320,SEARCH("-",'R.M Billets Reports'!D320)+1,200)),"")))="SHRI RADHE","SHREE RADHE",IF(IF(IF(ISNUMBER(SEARCH("Party Name:-",'R.M Billets Reports'!D319)),TRIM('R.M Billets Reports'!F319),IF(ISNUMBER(SEARCH("Party Name-",'R.M Billets Reports'!D319)),TRIM(MID('R.M Billets Reports'!D319,SEARCH("-",'R.M Billets Reports'!D319)+1,200)),""))&lt;&gt;"",IF(ISNUMBER(SEARCH("Party Name:-",'R.M Billets Reports'!D319)),TRIM('R.M Billets Reports'!F319),IF(ISNUMBER(SEARCH("Party Name-",'R.M Billets Reports'!D319)),TRIM(MID('R.M Billets Reports'!D319,SEARCH("-",'R.M Billets Reports'!D319)+1,200)),"")),IF(ISNUMBER(SEARCH("Party Name:-",'R.M Billets Reports'!D320)),TRIM('R.M Billets Reports'!F320),IF(ISNUMBER(SEARCH("Party Name-",'R.M Billets Reports'!D320)),TRIM(MID('R.M Billets Reports'!D320,SEARCH("-",'R.M Billets Reports'!D320)+1,200)),"")))="SHREE RADHE SHAKTI SPONGE AND POWER PVT. LTD.","SHREE RADHE",IF(IF(ISNUMBER(SEARCH("Party Name:-",'R.M Billets Reports'!D319)),TRIM('R.M Billets Reports'!F319),IF(ISNUMBER(SEARCH("Party Name-",'R.M Billets Reports'!D319)),TRIM(MID('R.M Billets Reports'!D319,SEARCH("-",'R.M Billets Reports'!D319)+1,200)),""))&lt;&gt;"",IF(ISNUMBER(SEARCH("Party Name:-",'R.M Billets Reports'!D319)),TRIM('R.M Billets Reports'!F319),IF(ISNUMBER(SEARCH("Party Name-",'R.M Billets Reports'!D319)),TRIM(MID('R.M Billets Reports'!D319,SEARCH("-",'R.M Billets Reports'!D319)+1,200)),"")),IF(ISNUMBER(SEARCH("Party Name:-",'R.M Billets Reports'!D320)),TRIM('R.M Billets Reports'!F320),IF(ISNUMBER(SEARCH("Party Name-",'R.M Billets Reports'!D320)),TRIM(MID('R.M Billets Reports'!D320,SEARCH("-",'R.M Billets Reports'!D320)+1,200)),"")))))),IF(ROW()=2,"",A319))</f>
      </c>
      <c r="B320">
        <f>IF(OR('R.M Billets Reports'!A319="Date-",'R.M Billets Reports'!A319="Date:-"),'R.M Billets Reports'!B319,IF(ROW()=2,"",B319))</f>
      </c>
      <c r="C320">
        <f>IF('R.M Billets Reports'!A319="V.No.",'R.M Billets Reports'!B319,IF(ROW()=2,"",C319))</f>
      </c>
      <c r="D320">
        <f>IF('R.M Billets Reports'!A319&lt;&gt;"",'R.M Billets Reports'!A319,IF(ROW()=2,"",D319))</f>
      </c>
      <c r="E320">
        <f>IF('R.M Billets Reports'!B319="","",TRIM('R.M Billets Reports'!B319))</f>
      </c>
      <c r="F320">
        <f>'R.M Billets Reports'!C319</f>
      </c>
      <c r="G320">
        <f>'R.M Billets Reports'!D319</f>
      </c>
      <c r="H320">
        <f>'R.M Billets Reports'!E319</f>
      </c>
      <c r="I320">
        <f>'R.M Billets Reports'!F319</f>
      </c>
      <c r="J320">
        <f>'R.M Billets Reports'!G319</f>
      </c>
      <c r="K320">
        <f>'R.M Billets Reports'!H319</f>
      </c>
      <c r="L320">
        <f>IF('R.M Billets Reports'!I319="","",'R.M Billets Reports'!I319)</f>
      </c>
      <c r="M320">
        <f t="shared" si="8"/>
      </c>
      <c r="N320">
        <f>IF('R.M Billets Reports'!J319="","",'R.M Billets Reports'!J319)</f>
      </c>
      <c r="O320">
        <f t="shared" si="9"/>
      </c>
      <c r="P320">
        <f>IF('R.M Billets Reports'!A319="SIZE",'R.M Billets Reports'!B319,P319)</f>
      </c>
    </row>
    <row r="321" spans="1:16" x14ac:dyDescent="0.25">
      <c r="A321">
        <f>IF(OR('R.M Billets Reports'!A320="Date-",'R.M Billets Reports'!A320="Date:-"),IF(IF(IF(ISNUMBER(SEARCH("Party Name:-",'R.M Billets Reports'!D320)),TRIM('R.M Billets Reports'!F320),IF(ISNUMBER(SEARCH("Party Name-",'R.M Billets Reports'!D320)),TRIM(MID('R.M Billets Reports'!D320,SEARCH("-",'R.M Billets Reports'!D320)+1,200)),""))&lt;&gt;"",IF(ISNUMBER(SEARCH("Party Name:-",'R.M Billets Reports'!D320)),TRIM('R.M Billets Reports'!F320),IF(ISNUMBER(SEARCH("Party Name-",'R.M Billets Reports'!D320)),TRIM(MID('R.M Billets Reports'!D320,SEARCH("-",'R.M Billets Reports'!D320)+1,200)),"")),IF(ISNUMBER(SEARCH("Party Name:-",'R.M Billets Reports'!D321)),TRIM('R.M Billets Reports'!F321),IF(ISNUMBER(SEARCH("Party Name-",'R.M Billets Reports'!D321)),TRIM(MID('R.M Billets Reports'!D321,SEARCH("-",'R.M Billets Reports'!D321)+1,200)),"")))="VRKP ISPAT PVT LTD","VRKP",IF(IF(IF(ISNUMBER(SEARCH("Party Name:-",'R.M Billets Reports'!D320)),TRIM('R.M Billets Reports'!F320),IF(ISNUMBER(SEARCH("Party Name-",'R.M Billets Reports'!D320)),TRIM(MID('R.M Billets Reports'!D320,SEARCH("-",'R.M Billets Reports'!D320)+1,200)),""))&lt;&gt;"",IF(ISNUMBER(SEARCH("Party Name:-",'R.M Billets Reports'!D320)),TRIM('R.M Billets Reports'!F320),IF(ISNUMBER(SEARCH("Party Name-",'R.M Billets Reports'!D320)),TRIM(MID('R.M Billets Reports'!D320,SEARCH("-",'R.M Billets Reports'!D320)+1,200)),"")),IF(ISNUMBER(SEARCH("Party Name:-",'R.M Billets Reports'!D321)),TRIM('R.M Billets Reports'!F321),IF(ISNUMBER(SEARCH("Party Name-",'R.M Billets Reports'!D321)),TRIM(MID('R.M Billets Reports'!D321,SEARCH("-",'R.M Billets Reports'!D321)+1,200)),"")))="SHRI RADHE","SHREE RADHE",IF(IF(IF(ISNUMBER(SEARCH("Party Name:-",'R.M Billets Reports'!D320)),TRIM('R.M Billets Reports'!F320),IF(ISNUMBER(SEARCH("Party Name-",'R.M Billets Reports'!D320)),TRIM(MID('R.M Billets Reports'!D320,SEARCH("-",'R.M Billets Reports'!D320)+1,200)),""))&lt;&gt;"",IF(ISNUMBER(SEARCH("Party Name:-",'R.M Billets Reports'!D320)),TRIM('R.M Billets Reports'!F320),IF(ISNUMBER(SEARCH("Party Name-",'R.M Billets Reports'!D320)),TRIM(MID('R.M Billets Reports'!D320,SEARCH("-",'R.M Billets Reports'!D320)+1,200)),"")),IF(ISNUMBER(SEARCH("Party Name:-",'R.M Billets Reports'!D321)),TRIM('R.M Billets Reports'!F321),IF(ISNUMBER(SEARCH("Party Name-",'R.M Billets Reports'!D321)),TRIM(MID('R.M Billets Reports'!D321,SEARCH("-",'R.M Billets Reports'!D321)+1,200)),"")))="SHREE RADHE SHAKTI SPONGE AND POWER PVT. LTD.","SHREE RADHE",IF(IF(ISNUMBER(SEARCH("Party Name:-",'R.M Billets Reports'!D320)),TRIM('R.M Billets Reports'!F320),IF(ISNUMBER(SEARCH("Party Name-",'R.M Billets Reports'!D320)),TRIM(MID('R.M Billets Reports'!D320,SEARCH("-",'R.M Billets Reports'!D320)+1,200)),""))&lt;&gt;"",IF(ISNUMBER(SEARCH("Party Name:-",'R.M Billets Reports'!D320)),TRIM('R.M Billets Reports'!F320),IF(ISNUMBER(SEARCH("Party Name-",'R.M Billets Reports'!D320)),TRIM(MID('R.M Billets Reports'!D320,SEARCH("-",'R.M Billets Reports'!D320)+1,200)),"")),IF(ISNUMBER(SEARCH("Party Name:-",'R.M Billets Reports'!D321)),TRIM('R.M Billets Reports'!F321),IF(ISNUMBER(SEARCH("Party Name-",'R.M Billets Reports'!D321)),TRIM(MID('R.M Billets Reports'!D321,SEARCH("-",'R.M Billets Reports'!D321)+1,200)),"")))))),IF(ROW()=2,"",A320))</f>
      </c>
      <c r="B321">
        <f>IF(OR('R.M Billets Reports'!A320="Date-",'R.M Billets Reports'!A320="Date:-"),'R.M Billets Reports'!B320,IF(ROW()=2,"",B320))</f>
      </c>
      <c r="C321">
        <f>IF('R.M Billets Reports'!A320="V.No.",'R.M Billets Reports'!B320,IF(ROW()=2,"",C320))</f>
      </c>
      <c r="D321">
        <f>IF('R.M Billets Reports'!A320&lt;&gt;"",'R.M Billets Reports'!A320,IF(ROW()=2,"",D320))</f>
      </c>
      <c r="E321">
        <f>IF('R.M Billets Reports'!B320="","",TRIM('R.M Billets Reports'!B320))</f>
      </c>
      <c r="F321">
        <f>'R.M Billets Reports'!C320</f>
      </c>
      <c r="G321">
        <f>'R.M Billets Reports'!D320</f>
      </c>
      <c r="H321">
        <f>'R.M Billets Reports'!E320</f>
      </c>
      <c r="I321">
        <f>'R.M Billets Reports'!F320</f>
      </c>
      <c r="J321">
        <f>'R.M Billets Reports'!G320</f>
      </c>
      <c r="K321">
        <f>'R.M Billets Reports'!H320</f>
      </c>
      <c r="L321">
        <f>IF('R.M Billets Reports'!I320="","",'R.M Billets Reports'!I320)</f>
      </c>
      <c r="M321">
        <f t="shared" si="8"/>
      </c>
      <c r="N321">
        <f>IF('R.M Billets Reports'!J320="","",'R.M Billets Reports'!J320)</f>
      </c>
      <c r="O321">
        <f t="shared" si="9"/>
      </c>
      <c r="P321">
        <f>IF('R.M Billets Reports'!A320="SIZE",'R.M Billets Reports'!B320,P320)</f>
      </c>
    </row>
    <row r="322" spans="1:16" x14ac:dyDescent="0.25">
      <c r="A322">
        <f>IF(OR('R.M Billets Reports'!A321="Date-",'R.M Billets Reports'!A321="Date:-"),IF(IF(IF(ISNUMBER(SEARCH("Party Name:-",'R.M Billets Reports'!D321)),TRIM('R.M Billets Reports'!F321),IF(ISNUMBER(SEARCH("Party Name-",'R.M Billets Reports'!D321)),TRIM(MID('R.M Billets Reports'!D321,SEARCH("-",'R.M Billets Reports'!D321)+1,200)),""))&lt;&gt;"",IF(ISNUMBER(SEARCH("Party Name:-",'R.M Billets Reports'!D321)),TRIM('R.M Billets Reports'!F321),IF(ISNUMBER(SEARCH("Party Name-",'R.M Billets Reports'!D321)),TRIM(MID('R.M Billets Reports'!D321,SEARCH("-",'R.M Billets Reports'!D321)+1,200)),"")),IF(ISNUMBER(SEARCH("Party Name:-",'R.M Billets Reports'!D322)),TRIM('R.M Billets Reports'!F322),IF(ISNUMBER(SEARCH("Party Name-",'R.M Billets Reports'!D322)),TRIM(MID('R.M Billets Reports'!D322,SEARCH("-",'R.M Billets Reports'!D322)+1,200)),"")))="VRKP ISPAT PVT LTD","VRKP",IF(IF(IF(ISNUMBER(SEARCH("Party Name:-",'R.M Billets Reports'!D321)),TRIM('R.M Billets Reports'!F321),IF(ISNUMBER(SEARCH("Party Name-",'R.M Billets Reports'!D321)),TRIM(MID('R.M Billets Reports'!D321,SEARCH("-",'R.M Billets Reports'!D321)+1,200)),""))&lt;&gt;"",IF(ISNUMBER(SEARCH("Party Name:-",'R.M Billets Reports'!D321)),TRIM('R.M Billets Reports'!F321),IF(ISNUMBER(SEARCH("Party Name-",'R.M Billets Reports'!D321)),TRIM(MID('R.M Billets Reports'!D321,SEARCH("-",'R.M Billets Reports'!D321)+1,200)),"")),IF(ISNUMBER(SEARCH("Party Name:-",'R.M Billets Reports'!D322)),TRIM('R.M Billets Reports'!F322),IF(ISNUMBER(SEARCH("Party Name-",'R.M Billets Reports'!D322)),TRIM(MID('R.M Billets Reports'!D322,SEARCH("-",'R.M Billets Reports'!D322)+1,200)),"")))="SHRI RADHE","SHREE RADHE",IF(IF(IF(ISNUMBER(SEARCH("Party Name:-",'R.M Billets Reports'!D321)),TRIM('R.M Billets Reports'!F321),IF(ISNUMBER(SEARCH("Party Name-",'R.M Billets Reports'!D321)),TRIM(MID('R.M Billets Reports'!D321,SEARCH("-",'R.M Billets Reports'!D321)+1,200)),""))&lt;&gt;"",IF(ISNUMBER(SEARCH("Party Name:-",'R.M Billets Reports'!D321)),TRIM('R.M Billets Reports'!F321),IF(ISNUMBER(SEARCH("Party Name-",'R.M Billets Reports'!D321)),TRIM(MID('R.M Billets Reports'!D321,SEARCH("-",'R.M Billets Reports'!D321)+1,200)),"")),IF(ISNUMBER(SEARCH("Party Name:-",'R.M Billets Reports'!D322)),TRIM('R.M Billets Reports'!F322),IF(ISNUMBER(SEARCH("Party Name-",'R.M Billets Reports'!D322)),TRIM(MID('R.M Billets Reports'!D322,SEARCH("-",'R.M Billets Reports'!D322)+1,200)),"")))="SHREE RADHE SHAKTI SPONGE AND POWER PVT. LTD.","SHREE RADHE",IF(IF(ISNUMBER(SEARCH("Party Name:-",'R.M Billets Reports'!D321)),TRIM('R.M Billets Reports'!F321),IF(ISNUMBER(SEARCH("Party Name-",'R.M Billets Reports'!D321)),TRIM(MID('R.M Billets Reports'!D321,SEARCH("-",'R.M Billets Reports'!D321)+1,200)),""))&lt;&gt;"",IF(ISNUMBER(SEARCH("Party Name:-",'R.M Billets Reports'!D321)),TRIM('R.M Billets Reports'!F321),IF(ISNUMBER(SEARCH("Party Name-",'R.M Billets Reports'!D321)),TRIM(MID('R.M Billets Reports'!D321,SEARCH("-",'R.M Billets Reports'!D321)+1,200)),"")),IF(ISNUMBER(SEARCH("Party Name:-",'R.M Billets Reports'!D322)),TRIM('R.M Billets Reports'!F322),IF(ISNUMBER(SEARCH("Party Name-",'R.M Billets Reports'!D322)),TRIM(MID('R.M Billets Reports'!D322,SEARCH("-",'R.M Billets Reports'!D322)+1,200)),"")))))),IF(ROW()=2,"",A321))</f>
      </c>
      <c r="B322">
        <f>IF(OR('R.M Billets Reports'!A321="Date-",'R.M Billets Reports'!A321="Date:-"),'R.M Billets Reports'!B321,IF(ROW()=2,"",B321))</f>
      </c>
      <c r="C322">
        <f>IF('R.M Billets Reports'!A321="V.No.",'R.M Billets Reports'!B321,IF(ROW()=2,"",C321))</f>
      </c>
      <c r="D322">
        <f>IF('R.M Billets Reports'!A321&lt;&gt;"",'R.M Billets Reports'!A321,IF(ROW()=2,"",D321))</f>
      </c>
      <c r="E322">
        <f>IF('R.M Billets Reports'!B321="","",TRIM('R.M Billets Reports'!B321))</f>
      </c>
      <c r="F322">
        <f>'R.M Billets Reports'!C321</f>
      </c>
      <c r="G322">
        <f>'R.M Billets Reports'!D321</f>
      </c>
      <c r="H322">
        <f>'R.M Billets Reports'!E321</f>
      </c>
      <c r="I322">
        <f>'R.M Billets Reports'!F321</f>
      </c>
      <c r="J322">
        <f>'R.M Billets Reports'!G321</f>
      </c>
      <c r="K322">
        <f>'R.M Billets Reports'!H321</f>
      </c>
      <c r="L322">
        <f>IF('R.M Billets Reports'!I321="","",'R.M Billets Reports'!I321)</f>
      </c>
      <c r="M322">
        <f t="shared" si="8"/>
      </c>
      <c r="N322">
        <f>IF('R.M Billets Reports'!J321="","",'R.M Billets Reports'!J321)</f>
      </c>
      <c r="O322">
        <f t="shared" si="9"/>
      </c>
      <c r="P322">
        <f>IF('R.M Billets Reports'!A321="SIZE",'R.M Billets Reports'!B321,P321)</f>
      </c>
    </row>
    <row r="323" spans="1:16" x14ac:dyDescent="0.25">
      <c r="A323">
        <f>IF(OR('R.M Billets Reports'!A322="Date-",'R.M Billets Reports'!A322="Date:-"),IF(IF(IF(ISNUMBER(SEARCH("Party Name:-",'R.M Billets Reports'!D322)),TRIM('R.M Billets Reports'!F322),IF(ISNUMBER(SEARCH("Party Name-",'R.M Billets Reports'!D322)),TRIM(MID('R.M Billets Reports'!D322,SEARCH("-",'R.M Billets Reports'!D322)+1,200)),""))&lt;&gt;"",IF(ISNUMBER(SEARCH("Party Name:-",'R.M Billets Reports'!D322)),TRIM('R.M Billets Reports'!F322),IF(ISNUMBER(SEARCH("Party Name-",'R.M Billets Reports'!D322)),TRIM(MID('R.M Billets Reports'!D322,SEARCH("-",'R.M Billets Reports'!D322)+1,200)),"")),IF(ISNUMBER(SEARCH("Party Name:-",'R.M Billets Reports'!D323)),TRIM('R.M Billets Reports'!F323),IF(ISNUMBER(SEARCH("Party Name-",'R.M Billets Reports'!D323)),TRIM(MID('R.M Billets Reports'!D323,SEARCH("-",'R.M Billets Reports'!D323)+1,200)),"")))="VRKP ISPAT PVT LTD","VRKP",IF(IF(IF(ISNUMBER(SEARCH("Party Name:-",'R.M Billets Reports'!D322)),TRIM('R.M Billets Reports'!F322),IF(ISNUMBER(SEARCH("Party Name-",'R.M Billets Reports'!D322)),TRIM(MID('R.M Billets Reports'!D322,SEARCH("-",'R.M Billets Reports'!D322)+1,200)),""))&lt;&gt;"",IF(ISNUMBER(SEARCH("Party Name:-",'R.M Billets Reports'!D322)),TRIM('R.M Billets Reports'!F322),IF(ISNUMBER(SEARCH("Party Name-",'R.M Billets Reports'!D322)),TRIM(MID('R.M Billets Reports'!D322,SEARCH("-",'R.M Billets Reports'!D322)+1,200)),"")),IF(ISNUMBER(SEARCH("Party Name:-",'R.M Billets Reports'!D323)),TRIM('R.M Billets Reports'!F323),IF(ISNUMBER(SEARCH("Party Name-",'R.M Billets Reports'!D323)),TRIM(MID('R.M Billets Reports'!D323,SEARCH("-",'R.M Billets Reports'!D323)+1,200)),"")))="SHRI RADHE","SHREE RADHE",IF(IF(IF(ISNUMBER(SEARCH("Party Name:-",'R.M Billets Reports'!D322)),TRIM('R.M Billets Reports'!F322),IF(ISNUMBER(SEARCH("Party Name-",'R.M Billets Reports'!D322)),TRIM(MID('R.M Billets Reports'!D322,SEARCH("-",'R.M Billets Reports'!D322)+1,200)),""))&lt;&gt;"",IF(ISNUMBER(SEARCH("Party Name:-",'R.M Billets Reports'!D322)),TRIM('R.M Billets Reports'!F322),IF(ISNUMBER(SEARCH("Party Name-",'R.M Billets Reports'!D322)),TRIM(MID('R.M Billets Reports'!D322,SEARCH("-",'R.M Billets Reports'!D322)+1,200)),"")),IF(ISNUMBER(SEARCH("Party Name:-",'R.M Billets Reports'!D323)),TRIM('R.M Billets Reports'!F323),IF(ISNUMBER(SEARCH("Party Name-",'R.M Billets Reports'!D323)),TRIM(MID('R.M Billets Reports'!D323,SEARCH("-",'R.M Billets Reports'!D323)+1,200)),"")))="SHREE RADHE SHAKTI SPONGE AND POWER PVT. LTD.","SHREE RADHE",IF(IF(ISNUMBER(SEARCH("Party Name:-",'R.M Billets Reports'!D322)),TRIM('R.M Billets Reports'!F322),IF(ISNUMBER(SEARCH("Party Name-",'R.M Billets Reports'!D322)),TRIM(MID('R.M Billets Reports'!D322,SEARCH("-",'R.M Billets Reports'!D322)+1,200)),""))&lt;&gt;"",IF(ISNUMBER(SEARCH("Party Name:-",'R.M Billets Reports'!D322)),TRIM('R.M Billets Reports'!F322),IF(ISNUMBER(SEARCH("Party Name-",'R.M Billets Reports'!D322)),TRIM(MID('R.M Billets Reports'!D322,SEARCH("-",'R.M Billets Reports'!D322)+1,200)),"")),IF(ISNUMBER(SEARCH("Party Name:-",'R.M Billets Reports'!D323)),TRIM('R.M Billets Reports'!F323),IF(ISNUMBER(SEARCH("Party Name-",'R.M Billets Reports'!D323)),TRIM(MID('R.M Billets Reports'!D323,SEARCH("-",'R.M Billets Reports'!D323)+1,200)),"")))))),IF(ROW()=2,"",A322))</f>
      </c>
      <c r="B323">
        <f>IF(OR('R.M Billets Reports'!A322="Date-",'R.M Billets Reports'!A322="Date:-"),'R.M Billets Reports'!B322,IF(ROW()=2,"",B322))</f>
      </c>
      <c r="C323">
        <f>IF('R.M Billets Reports'!A322="V.No.",'R.M Billets Reports'!B322,IF(ROW()=2,"",C322))</f>
      </c>
      <c r="D323">
        <f>IF('R.M Billets Reports'!A322&lt;&gt;"",'R.M Billets Reports'!A322,IF(ROW()=2,"",D322))</f>
      </c>
      <c r="E323">
        <f>IF('R.M Billets Reports'!B322="","",TRIM('R.M Billets Reports'!B322))</f>
      </c>
      <c r="F323">
        <f>'R.M Billets Reports'!C322</f>
      </c>
      <c r="G323">
        <f>'R.M Billets Reports'!D322</f>
      </c>
      <c r="H323">
        <f>'R.M Billets Reports'!E322</f>
      </c>
      <c r="I323">
        <f>'R.M Billets Reports'!F322</f>
      </c>
      <c r="J323">
        <f>'R.M Billets Reports'!G322</f>
      </c>
      <c r="K323">
        <f>'R.M Billets Reports'!H322</f>
      </c>
      <c r="L323">
        <f>IF('R.M Billets Reports'!I322="","",'R.M Billets Reports'!I322)</f>
      </c>
      <c r="M323">
        <f t="shared" ref="M323:M386" si="10">IF(L323&lt;&gt;"",L323,IF(D323=D322,M322,""))</f>
      </c>
      <c r="N323">
        <f>IF('R.M Billets Reports'!J322="","",'R.M Billets Reports'!J322)</f>
      </c>
      <c r="O323">
        <f t="shared" ref="O323:O386" si="11">IF(N323&lt;&gt;"",N323,IF(D323=D322,O322,""))</f>
      </c>
      <c r="P323">
        <f>IF('R.M Billets Reports'!A322="SIZE",'R.M Billets Reports'!B322,P322)</f>
      </c>
    </row>
    <row r="324" spans="1:16" x14ac:dyDescent="0.25">
      <c r="A324">
        <f>IF(OR('R.M Billets Reports'!A323="Date-",'R.M Billets Reports'!A323="Date:-"),IF(IF(IF(ISNUMBER(SEARCH("Party Name:-",'R.M Billets Reports'!D323)),TRIM('R.M Billets Reports'!F323),IF(ISNUMBER(SEARCH("Party Name-",'R.M Billets Reports'!D323)),TRIM(MID('R.M Billets Reports'!D323,SEARCH("-",'R.M Billets Reports'!D323)+1,200)),""))&lt;&gt;"",IF(ISNUMBER(SEARCH("Party Name:-",'R.M Billets Reports'!D323)),TRIM('R.M Billets Reports'!F323),IF(ISNUMBER(SEARCH("Party Name-",'R.M Billets Reports'!D323)),TRIM(MID('R.M Billets Reports'!D323,SEARCH("-",'R.M Billets Reports'!D323)+1,200)),"")),IF(ISNUMBER(SEARCH("Party Name:-",'R.M Billets Reports'!D324)),TRIM('R.M Billets Reports'!F324),IF(ISNUMBER(SEARCH("Party Name-",'R.M Billets Reports'!D324)),TRIM(MID('R.M Billets Reports'!D324,SEARCH("-",'R.M Billets Reports'!D324)+1,200)),"")))="VRKP ISPAT PVT LTD","VRKP",IF(IF(IF(ISNUMBER(SEARCH("Party Name:-",'R.M Billets Reports'!D323)),TRIM('R.M Billets Reports'!F323),IF(ISNUMBER(SEARCH("Party Name-",'R.M Billets Reports'!D323)),TRIM(MID('R.M Billets Reports'!D323,SEARCH("-",'R.M Billets Reports'!D323)+1,200)),""))&lt;&gt;"",IF(ISNUMBER(SEARCH("Party Name:-",'R.M Billets Reports'!D323)),TRIM('R.M Billets Reports'!F323),IF(ISNUMBER(SEARCH("Party Name-",'R.M Billets Reports'!D323)),TRIM(MID('R.M Billets Reports'!D323,SEARCH("-",'R.M Billets Reports'!D323)+1,200)),"")),IF(ISNUMBER(SEARCH("Party Name:-",'R.M Billets Reports'!D324)),TRIM('R.M Billets Reports'!F324),IF(ISNUMBER(SEARCH("Party Name-",'R.M Billets Reports'!D324)),TRIM(MID('R.M Billets Reports'!D324,SEARCH("-",'R.M Billets Reports'!D324)+1,200)),"")))="SHRI RADHE","SHREE RADHE",IF(IF(IF(ISNUMBER(SEARCH("Party Name:-",'R.M Billets Reports'!D323)),TRIM('R.M Billets Reports'!F323),IF(ISNUMBER(SEARCH("Party Name-",'R.M Billets Reports'!D323)),TRIM(MID('R.M Billets Reports'!D323,SEARCH("-",'R.M Billets Reports'!D323)+1,200)),""))&lt;&gt;"",IF(ISNUMBER(SEARCH("Party Name:-",'R.M Billets Reports'!D323)),TRIM('R.M Billets Reports'!F323),IF(ISNUMBER(SEARCH("Party Name-",'R.M Billets Reports'!D323)),TRIM(MID('R.M Billets Reports'!D323,SEARCH("-",'R.M Billets Reports'!D323)+1,200)),"")),IF(ISNUMBER(SEARCH("Party Name:-",'R.M Billets Reports'!D324)),TRIM('R.M Billets Reports'!F324),IF(ISNUMBER(SEARCH("Party Name-",'R.M Billets Reports'!D324)),TRIM(MID('R.M Billets Reports'!D324,SEARCH("-",'R.M Billets Reports'!D324)+1,200)),"")))="SHREE RADHE SHAKTI SPONGE AND POWER PVT. LTD.","SHREE RADHE",IF(IF(ISNUMBER(SEARCH("Party Name:-",'R.M Billets Reports'!D323)),TRIM('R.M Billets Reports'!F323),IF(ISNUMBER(SEARCH("Party Name-",'R.M Billets Reports'!D323)),TRIM(MID('R.M Billets Reports'!D323,SEARCH("-",'R.M Billets Reports'!D323)+1,200)),""))&lt;&gt;"",IF(ISNUMBER(SEARCH("Party Name:-",'R.M Billets Reports'!D323)),TRIM('R.M Billets Reports'!F323),IF(ISNUMBER(SEARCH("Party Name-",'R.M Billets Reports'!D323)),TRIM(MID('R.M Billets Reports'!D323,SEARCH("-",'R.M Billets Reports'!D323)+1,200)),"")),IF(ISNUMBER(SEARCH("Party Name:-",'R.M Billets Reports'!D324)),TRIM('R.M Billets Reports'!F324),IF(ISNUMBER(SEARCH("Party Name-",'R.M Billets Reports'!D324)),TRIM(MID('R.M Billets Reports'!D324,SEARCH("-",'R.M Billets Reports'!D324)+1,200)),"")))))),IF(ROW()=2,"",A323))</f>
      </c>
      <c r="B324">
        <f>IF(OR('R.M Billets Reports'!A323="Date-",'R.M Billets Reports'!A323="Date:-"),'R.M Billets Reports'!B323,IF(ROW()=2,"",B323))</f>
      </c>
      <c r="C324">
        <f>IF('R.M Billets Reports'!A323="V.No.",'R.M Billets Reports'!B323,IF(ROW()=2,"",C323))</f>
      </c>
      <c r="D324">
        <f>IF('R.M Billets Reports'!A323&lt;&gt;"",'R.M Billets Reports'!A323,IF(ROW()=2,"",D323))</f>
      </c>
      <c r="E324">
        <f>IF('R.M Billets Reports'!B323="","",TRIM('R.M Billets Reports'!B323))</f>
      </c>
      <c r="F324">
        <f>'R.M Billets Reports'!C323</f>
      </c>
      <c r="G324">
        <f>'R.M Billets Reports'!D323</f>
      </c>
      <c r="H324">
        <f>'R.M Billets Reports'!E323</f>
      </c>
      <c r="I324">
        <f>'R.M Billets Reports'!F323</f>
      </c>
      <c r="J324">
        <f>'R.M Billets Reports'!G323</f>
      </c>
      <c r="K324">
        <f>'R.M Billets Reports'!H323</f>
      </c>
      <c r="L324">
        <f>IF('R.M Billets Reports'!I323="","",'R.M Billets Reports'!I323)</f>
      </c>
      <c r="M324">
        <f t="shared" si="10"/>
      </c>
      <c r="N324">
        <f>IF('R.M Billets Reports'!J323="","",'R.M Billets Reports'!J323)</f>
      </c>
      <c r="O324">
        <f t="shared" si="11"/>
      </c>
      <c r="P324">
        <f>IF('R.M Billets Reports'!A323="SIZE",'R.M Billets Reports'!B323,P323)</f>
      </c>
    </row>
    <row r="325" spans="1:16" x14ac:dyDescent="0.25">
      <c r="A325">
        <f>IF(OR('R.M Billets Reports'!A324="Date-",'R.M Billets Reports'!A324="Date:-"),IF(IF(IF(ISNUMBER(SEARCH("Party Name:-",'R.M Billets Reports'!D324)),TRIM('R.M Billets Reports'!F324),IF(ISNUMBER(SEARCH("Party Name-",'R.M Billets Reports'!D324)),TRIM(MID('R.M Billets Reports'!D324,SEARCH("-",'R.M Billets Reports'!D324)+1,200)),""))&lt;&gt;"",IF(ISNUMBER(SEARCH("Party Name:-",'R.M Billets Reports'!D324)),TRIM('R.M Billets Reports'!F324),IF(ISNUMBER(SEARCH("Party Name-",'R.M Billets Reports'!D324)),TRIM(MID('R.M Billets Reports'!D324,SEARCH("-",'R.M Billets Reports'!D324)+1,200)),"")),IF(ISNUMBER(SEARCH("Party Name:-",'R.M Billets Reports'!D325)),TRIM('R.M Billets Reports'!F325),IF(ISNUMBER(SEARCH("Party Name-",'R.M Billets Reports'!D325)),TRIM(MID('R.M Billets Reports'!D325,SEARCH("-",'R.M Billets Reports'!D325)+1,200)),"")))="VRKP ISPAT PVT LTD","VRKP",IF(IF(IF(ISNUMBER(SEARCH("Party Name:-",'R.M Billets Reports'!D324)),TRIM('R.M Billets Reports'!F324),IF(ISNUMBER(SEARCH("Party Name-",'R.M Billets Reports'!D324)),TRIM(MID('R.M Billets Reports'!D324,SEARCH("-",'R.M Billets Reports'!D324)+1,200)),""))&lt;&gt;"",IF(ISNUMBER(SEARCH("Party Name:-",'R.M Billets Reports'!D324)),TRIM('R.M Billets Reports'!F324),IF(ISNUMBER(SEARCH("Party Name-",'R.M Billets Reports'!D324)),TRIM(MID('R.M Billets Reports'!D324,SEARCH("-",'R.M Billets Reports'!D324)+1,200)),"")),IF(ISNUMBER(SEARCH("Party Name:-",'R.M Billets Reports'!D325)),TRIM('R.M Billets Reports'!F325),IF(ISNUMBER(SEARCH("Party Name-",'R.M Billets Reports'!D325)),TRIM(MID('R.M Billets Reports'!D325,SEARCH("-",'R.M Billets Reports'!D325)+1,200)),"")))="SHRI RADHE","SHREE RADHE",IF(IF(IF(ISNUMBER(SEARCH("Party Name:-",'R.M Billets Reports'!D324)),TRIM('R.M Billets Reports'!F324),IF(ISNUMBER(SEARCH("Party Name-",'R.M Billets Reports'!D324)),TRIM(MID('R.M Billets Reports'!D324,SEARCH("-",'R.M Billets Reports'!D324)+1,200)),""))&lt;&gt;"",IF(ISNUMBER(SEARCH("Party Name:-",'R.M Billets Reports'!D324)),TRIM('R.M Billets Reports'!F324),IF(ISNUMBER(SEARCH("Party Name-",'R.M Billets Reports'!D324)),TRIM(MID('R.M Billets Reports'!D324,SEARCH("-",'R.M Billets Reports'!D324)+1,200)),"")),IF(ISNUMBER(SEARCH("Party Name:-",'R.M Billets Reports'!D325)),TRIM('R.M Billets Reports'!F325),IF(ISNUMBER(SEARCH("Party Name-",'R.M Billets Reports'!D325)),TRIM(MID('R.M Billets Reports'!D325,SEARCH("-",'R.M Billets Reports'!D325)+1,200)),"")))="SHREE RADHE SHAKTI SPONGE AND POWER PVT. LTD.","SHREE RADHE",IF(IF(ISNUMBER(SEARCH("Party Name:-",'R.M Billets Reports'!D324)),TRIM('R.M Billets Reports'!F324),IF(ISNUMBER(SEARCH("Party Name-",'R.M Billets Reports'!D324)),TRIM(MID('R.M Billets Reports'!D324,SEARCH("-",'R.M Billets Reports'!D324)+1,200)),""))&lt;&gt;"",IF(ISNUMBER(SEARCH("Party Name:-",'R.M Billets Reports'!D324)),TRIM('R.M Billets Reports'!F324),IF(ISNUMBER(SEARCH("Party Name-",'R.M Billets Reports'!D324)),TRIM(MID('R.M Billets Reports'!D324,SEARCH("-",'R.M Billets Reports'!D324)+1,200)),"")),IF(ISNUMBER(SEARCH("Party Name:-",'R.M Billets Reports'!D325)),TRIM('R.M Billets Reports'!F325),IF(ISNUMBER(SEARCH("Party Name-",'R.M Billets Reports'!D325)),TRIM(MID('R.M Billets Reports'!D325,SEARCH("-",'R.M Billets Reports'!D325)+1,200)),"")))))),IF(ROW()=2,"",A324))</f>
      </c>
      <c r="B325">
        <f>IF(OR('R.M Billets Reports'!A324="Date-",'R.M Billets Reports'!A324="Date:-"),'R.M Billets Reports'!B324,IF(ROW()=2,"",B324))</f>
      </c>
      <c r="C325">
        <f>IF('R.M Billets Reports'!A324="V.No.",'R.M Billets Reports'!B324,IF(ROW()=2,"",C324))</f>
      </c>
      <c r="D325">
        <f>IF('R.M Billets Reports'!A324&lt;&gt;"",'R.M Billets Reports'!A324,IF(ROW()=2,"",D324))</f>
      </c>
      <c r="E325">
        <f>IF('R.M Billets Reports'!B324="","",TRIM('R.M Billets Reports'!B324))</f>
      </c>
      <c r="F325">
        <f>'R.M Billets Reports'!C324</f>
      </c>
      <c r="G325">
        <f>'R.M Billets Reports'!D324</f>
      </c>
      <c r="H325">
        <f>'R.M Billets Reports'!E324</f>
      </c>
      <c r="I325">
        <f>'R.M Billets Reports'!F324</f>
      </c>
      <c r="J325">
        <f>'R.M Billets Reports'!G324</f>
      </c>
      <c r="K325">
        <f>'R.M Billets Reports'!H324</f>
      </c>
      <c r="L325">
        <f>IF('R.M Billets Reports'!I324="","",'R.M Billets Reports'!I324)</f>
      </c>
      <c r="M325">
        <f t="shared" si="10"/>
      </c>
      <c r="N325">
        <f>IF('R.M Billets Reports'!J324="","",'R.M Billets Reports'!J324)</f>
      </c>
      <c r="O325">
        <f t="shared" si="11"/>
      </c>
      <c r="P325">
        <f>IF('R.M Billets Reports'!A324="SIZE",'R.M Billets Reports'!B324,P324)</f>
      </c>
    </row>
    <row r="326" spans="1:16" x14ac:dyDescent="0.25">
      <c r="A326">
        <f>IF(OR('R.M Billets Reports'!A325="Date-",'R.M Billets Reports'!A325="Date:-"),IF(IF(IF(ISNUMBER(SEARCH("Party Name:-",'R.M Billets Reports'!D325)),TRIM('R.M Billets Reports'!F325),IF(ISNUMBER(SEARCH("Party Name-",'R.M Billets Reports'!D325)),TRIM(MID('R.M Billets Reports'!D325,SEARCH("-",'R.M Billets Reports'!D325)+1,200)),""))&lt;&gt;"",IF(ISNUMBER(SEARCH("Party Name:-",'R.M Billets Reports'!D325)),TRIM('R.M Billets Reports'!F325),IF(ISNUMBER(SEARCH("Party Name-",'R.M Billets Reports'!D325)),TRIM(MID('R.M Billets Reports'!D325,SEARCH("-",'R.M Billets Reports'!D325)+1,200)),"")),IF(ISNUMBER(SEARCH("Party Name:-",'R.M Billets Reports'!D326)),TRIM('R.M Billets Reports'!F326),IF(ISNUMBER(SEARCH("Party Name-",'R.M Billets Reports'!D326)),TRIM(MID('R.M Billets Reports'!D326,SEARCH("-",'R.M Billets Reports'!D326)+1,200)),"")))="VRKP ISPAT PVT LTD","VRKP",IF(IF(IF(ISNUMBER(SEARCH("Party Name:-",'R.M Billets Reports'!D325)),TRIM('R.M Billets Reports'!F325),IF(ISNUMBER(SEARCH("Party Name-",'R.M Billets Reports'!D325)),TRIM(MID('R.M Billets Reports'!D325,SEARCH("-",'R.M Billets Reports'!D325)+1,200)),""))&lt;&gt;"",IF(ISNUMBER(SEARCH("Party Name:-",'R.M Billets Reports'!D325)),TRIM('R.M Billets Reports'!F325),IF(ISNUMBER(SEARCH("Party Name-",'R.M Billets Reports'!D325)),TRIM(MID('R.M Billets Reports'!D325,SEARCH("-",'R.M Billets Reports'!D325)+1,200)),"")),IF(ISNUMBER(SEARCH("Party Name:-",'R.M Billets Reports'!D326)),TRIM('R.M Billets Reports'!F326),IF(ISNUMBER(SEARCH("Party Name-",'R.M Billets Reports'!D326)),TRIM(MID('R.M Billets Reports'!D326,SEARCH("-",'R.M Billets Reports'!D326)+1,200)),"")))="SHRI RADHE","SHREE RADHE",IF(IF(IF(ISNUMBER(SEARCH("Party Name:-",'R.M Billets Reports'!D325)),TRIM('R.M Billets Reports'!F325),IF(ISNUMBER(SEARCH("Party Name-",'R.M Billets Reports'!D325)),TRIM(MID('R.M Billets Reports'!D325,SEARCH("-",'R.M Billets Reports'!D325)+1,200)),""))&lt;&gt;"",IF(ISNUMBER(SEARCH("Party Name:-",'R.M Billets Reports'!D325)),TRIM('R.M Billets Reports'!F325),IF(ISNUMBER(SEARCH("Party Name-",'R.M Billets Reports'!D325)),TRIM(MID('R.M Billets Reports'!D325,SEARCH("-",'R.M Billets Reports'!D325)+1,200)),"")),IF(ISNUMBER(SEARCH("Party Name:-",'R.M Billets Reports'!D326)),TRIM('R.M Billets Reports'!F326),IF(ISNUMBER(SEARCH("Party Name-",'R.M Billets Reports'!D326)),TRIM(MID('R.M Billets Reports'!D326,SEARCH("-",'R.M Billets Reports'!D326)+1,200)),"")))="SHREE RADHE SHAKTI SPONGE AND POWER PVT. LTD.","SHREE RADHE",IF(IF(ISNUMBER(SEARCH("Party Name:-",'R.M Billets Reports'!D325)),TRIM('R.M Billets Reports'!F325),IF(ISNUMBER(SEARCH("Party Name-",'R.M Billets Reports'!D325)),TRIM(MID('R.M Billets Reports'!D325,SEARCH("-",'R.M Billets Reports'!D325)+1,200)),""))&lt;&gt;"",IF(ISNUMBER(SEARCH("Party Name:-",'R.M Billets Reports'!D325)),TRIM('R.M Billets Reports'!F325),IF(ISNUMBER(SEARCH("Party Name-",'R.M Billets Reports'!D325)),TRIM(MID('R.M Billets Reports'!D325,SEARCH("-",'R.M Billets Reports'!D325)+1,200)),"")),IF(ISNUMBER(SEARCH("Party Name:-",'R.M Billets Reports'!D326)),TRIM('R.M Billets Reports'!F326),IF(ISNUMBER(SEARCH("Party Name-",'R.M Billets Reports'!D326)),TRIM(MID('R.M Billets Reports'!D326,SEARCH("-",'R.M Billets Reports'!D326)+1,200)),"")))))),IF(ROW()=2,"",A325))</f>
      </c>
      <c r="B326">
        <f>IF(OR('R.M Billets Reports'!A325="Date-",'R.M Billets Reports'!A325="Date:-"),'R.M Billets Reports'!B325,IF(ROW()=2,"",B325))</f>
      </c>
      <c r="C326">
        <f>IF('R.M Billets Reports'!A325="V.No.",'R.M Billets Reports'!B325,IF(ROW()=2,"",C325))</f>
      </c>
      <c r="D326">
        <f>IF('R.M Billets Reports'!A325&lt;&gt;"",'R.M Billets Reports'!A325,IF(ROW()=2,"",D325))</f>
      </c>
      <c r="E326">
        <f>IF('R.M Billets Reports'!B325="","",TRIM('R.M Billets Reports'!B325))</f>
      </c>
      <c r="F326">
        <f>'R.M Billets Reports'!C325</f>
      </c>
      <c r="G326">
        <f>'R.M Billets Reports'!D325</f>
      </c>
      <c r="H326">
        <f>'R.M Billets Reports'!E325</f>
      </c>
      <c r="I326">
        <f>'R.M Billets Reports'!F325</f>
      </c>
      <c r="J326">
        <f>'R.M Billets Reports'!G325</f>
      </c>
      <c r="K326">
        <f>'R.M Billets Reports'!H325</f>
      </c>
      <c r="L326">
        <f>IF('R.M Billets Reports'!I325="","",'R.M Billets Reports'!I325)</f>
      </c>
      <c r="M326">
        <f t="shared" si="10"/>
      </c>
      <c r="N326">
        <f>IF('R.M Billets Reports'!J325="","",'R.M Billets Reports'!J325)</f>
      </c>
      <c r="O326">
        <f t="shared" si="11"/>
      </c>
      <c r="P326">
        <f>IF('R.M Billets Reports'!A325="SIZE",'R.M Billets Reports'!B325,P325)</f>
      </c>
    </row>
    <row r="327" spans="1:16" x14ac:dyDescent="0.25">
      <c r="A327">
        <f>IF(OR('R.M Billets Reports'!A326="Date-",'R.M Billets Reports'!A326="Date:-"),IF(IF(IF(ISNUMBER(SEARCH("Party Name:-",'R.M Billets Reports'!D326)),TRIM('R.M Billets Reports'!F326),IF(ISNUMBER(SEARCH("Party Name-",'R.M Billets Reports'!D326)),TRIM(MID('R.M Billets Reports'!D326,SEARCH("-",'R.M Billets Reports'!D326)+1,200)),""))&lt;&gt;"",IF(ISNUMBER(SEARCH("Party Name:-",'R.M Billets Reports'!D326)),TRIM('R.M Billets Reports'!F326),IF(ISNUMBER(SEARCH("Party Name-",'R.M Billets Reports'!D326)),TRIM(MID('R.M Billets Reports'!D326,SEARCH("-",'R.M Billets Reports'!D326)+1,200)),"")),IF(ISNUMBER(SEARCH("Party Name:-",'R.M Billets Reports'!D327)),TRIM('R.M Billets Reports'!F327),IF(ISNUMBER(SEARCH("Party Name-",'R.M Billets Reports'!D327)),TRIM(MID('R.M Billets Reports'!D327,SEARCH("-",'R.M Billets Reports'!D327)+1,200)),"")))="VRKP ISPAT PVT LTD","VRKP",IF(IF(IF(ISNUMBER(SEARCH("Party Name:-",'R.M Billets Reports'!D326)),TRIM('R.M Billets Reports'!F326),IF(ISNUMBER(SEARCH("Party Name-",'R.M Billets Reports'!D326)),TRIM(MID('R.M Billets Reports'!D326,SEARCH("-",'R.M Billets Reports'!D326)+1,200)),""))&lt;&gt;"",IF(ISNUMBER(SEARCH("Party Name:-",'R.M Billets Reports'!D326)),TRIM('R.M Billets Reports'!F326),IF(ISNUMBER(SEARCH("Party Name-",'R.M Billets Reports'!D326)),TRIM(MID('R.M Billets Reports'!D326,SEARCH("-",'R.M Billets Reports'!D326)+1,200)),"")),IF(ISNUMBER(SEARCH("Party Name:-",'R.M Billets Reports'!D327)),TRIM('R.M Billets Reports'!F327),IF(ISNUMBER(SEARCH("Party Name-",'R.M Billets Reports'!D327)),TRIM(MID('R.M Billets Reports'!D327,SEARCH("-",'R.M Billets Reports'!D327)+1,200)),"")))="SHRI RADHE","SHREE RADHE",IF(IF(IF(ISNUMBER(SEARCH("Party Name:-",'R.M Billets Reports'!D326)),TRIM('R.M Billets Reports'!F326),IF(ISNUMBER(SEARCH("Party Name-",'R.M Billets Reports'!D326)),TRIM(MID('R.M Billets Reports'!D326,SEARCH("-",'R.M Billets Reports'!D326)+1,200)),""))&lt;&gt;"",IF(ISNUMBER(SEARCH("Party Name:-",'R.M Billets Reports'!D326)),TRIM('R.M Billets Reports'!F326),IF(ISNUMBER(SEARCH("Party Name-",'R.M Billets Reports'!D326)),TRIM(MID('R.M Billets Reports'!D326,SEARCH("-",'R.M Billets Reports'!D326)+1,200)),"")),IF(ISNUMBER(SEARCH("Party Name:-",'R.M Billets Reports'!D327)),TRIM('R.M Billets Reports'!F327),IF(ISNUMBER(SEARCH("Party Name-",'R.M Billets Reports'!D327)),TRIM(MID('R.M Billets Reports'!D327,SEARCH("-",'R.M Billets Reports'!D327)+1,200)),"")))="SHREE RADHE SHAKTI SPONGE AND POWER PVT. LTD.","SHREE RADHE",IF(IF(ISNUMBER(SEARCH("Party Name:-",'R.M Billets Reports'!D326)),TRIM('R.M Billets Reports'!F326),IF(ISNUMBER(SEARCH("Party Name-",'R.M Billets Reports'!D326)),TRIM(MID('R.M Billets Reports'!D326,SEARCH("-",'R.M Billets Reports'!D326)+1,200)),""))&lt;&gt;"",IF(ISNUMBER(SEARCH("Party Name:-",'R.M Billets Reports'!D326)),TRIM('R.M Billets Reports'!F326),IF(ISNUMBER(SEARCH("Party Name-",'R.M Billets Reports'!D326)),TRIM(MID('R.M Billets Reports'!D326,SEARCH("-",'R.M Billets Reports'!D326)+1,200)),"")),IF(ISNUMBER(SEARCH("Party Name:-",'R.M Billets Reports'!D327)),TRIM('R.M Billets Reports'!F327),IF(ISNUMBER(SEARCH("Party Name-",'R.M Billets Reports'!D327)),TRIM(MID('R.M Billets Reports'!D327,SEARCH("-",'R.M Billets Reports'!D327)+1,200)),"")))))),IF(ROW()=2,"",A326))</f>
      </c>
      <c r="B327">
        <f>IF(OR('R.M Billets Reports'!A326="Date-",'R.M Billets Reports'!A326="Date:-"),'R.M Billets Reports'!B326,IF(ROW()=2,"",B326))</f>
      </c>
      <c r="C327">
        <f>IF('R.M Billets Reports'!A326="V.No.",'R.M Billets Reports'!B326,IF(ROW()=2,"",C326))</f>
      </c>
      <c r="D327">
        <f>IF('R.M Billets Reports'!A326&lt;&gt;"",'R.M Billets Reports'!A326,IF(ROW()=2,"",D326))</f>
      </c>
      <c r="E327">
        <f>IF('R.M Billets Reports'!B326="","",TRIM('R.M Billets Reports'!B326))</f>
      </c>
      <c r="F327">
        <f>'R.M Billets Reports'!C326</f>
      </c>
      <c r="G327">
        <f>'R.M Billets Reports'!D326</f>
      </c>
      <c r="H327">
        <f>'R.M Billets Reports'!E326</f>
      </c>
      <c r="I327">
        <f>'R.M Billets Reports'!F326</f>
      </c>
      <c r="J327">
        <f>'R.M Billets Reports'!G326</f>
      </c>
      <c r="K327">
        <f>'R.M Billets Reports'!H326</f>
      </c>
      <c r="L327">
        <f>IF('R.M Billets Reports'!I326="","",'R.M Billets Reports'!I326)</f>
      </c>
      <c r="M327">
        <f t="shared" si="10"/>
      </c>
      <c r="N327">
        <f>IF('R.M Billets Reports'!J326="","",'R.M Billets Reports'!J326)</f>
      </c>
      <c r="O327">
        <f t="shared" si="11"/>
      </c>
      <c r="P327">
        <f>IF('R.M Billets Reports'!A326="SIZE",'R.M Billets Reports'!B326,P326)</f>
      </c>
    </row>
    <row r="328" spans="1:16" x14ac:dyDescent="0.25">
      <c r="A328">
        <f>IF(OR('R.M Billets Reports'!A327="Date-",'R.M Billets Reports'!A327="Date:-"),IF(IF(IF(ISNUMBER(SEARCH("Party Name:-",'R.M Billets Reports'!D327)),TRIM('R.M Billets Reports'!F327),IF(ISNUMBER(SEARCH("Party Name-",'R.M Billets Reports'!D327)),TRIM(MID('R.M Billets Reports'!D327,SEARCH("-",'R.M Billets Reports'!D327)+1,200)),""))&lt;&gt;"",IF(ISNUMBER(SEARCH("Party Name:-",'R.M Billets Reports'!D327)),TRIM('R.M Billets Reports'!F327),IF(ISNUMBER(SEARCH("Party Name-",'R.M Billets Reports'!D327)),TRIM(MID('R.M Billets Reports'!D327,SEARCH("-",'R.M Billets Reports'!D327)+1,200)),"")),IF(ISNUMBER(SEARCH("Party Name:-",'R.M Billets Reports'!D328)),TRIM('R.M Billets Reports'!F328),IF(ISNUMBER(SEARCH("Party Name-",'R.M Billets Reports'!D328)),TRIM(MID('R.M Billets Reports'!D328,SEARCH("-",'R.M Billets Reports'!D328)+1,200)),"")))="VRKP ISPAT PVT LTD","VRKP",IF(IF(IF(ISNUMBER(SEARCH("Party Name:-",'R.M Billets Reports'!D327)),TRIM('R.M Billets Reports'!F327),IF(ISNUMBER(SEARCH("Party Name-",'R.M Billets Reports'!D327)),TRIM(MID('R.M Billets Reports'!D327,SEARCH("-",'R.M Billets Reports'!D327)+1,200)),""))&lt;&gt;"",IF(ISNUMBER(SEARCH("Party Name:-",'R.M Billets Reports'!D327)),TRIM('R.M Billets Reports'!F327),IF(ISNUMBER(SEARCH("Party Name-",'R.M Billets Reports'!D327)),TRIM(MID('R.M Billets Reports'!D327,SEARCH("-",'R.M Billets Reports'!D327)+1,200)),"")),IF(ISNUMBER(SEARCH("Party Name:-",'R.M Billets Reports'!D328)),TRIM('R.M Billets Reports'!F328),IF(ISNUMBER(SEARCH("Party Name-",'R.M Billets Reports'!D328)),TRIM(MID('R.M Billets Reports'!D328,SEARCH("-",'R.M Billets Reports'!D328)+1,200)),"")))="SHRI RADHE","SHREE RADHE",IF(IF(IF(ISNUMBER(SEARCH("Party Name:-",'R.M Billets Reports'!D327)),TRIM('R.M Billets Reports'!F327),IF(ISNUMBER(SEARCH("Party Name-",'R.M Billets Reports'!D327)),TRIM(MID('R.M Billets Reports'!D327,SEARCH("-",'R.M Billets Reports'!D327)+1,200)),""))&lt;&gt;"",IF(ISNUMBER(SEARCH("Party Name:-",'R.M Billets Reports'!D327)),TRIM('R.M Billets Reports'!F327),IF(ISNUMBER(SEARCH("Party Name-",'R.M Billets Reports'!D327)),TRIM(MID('R.M Billets Reports'!D327,SEARCH("-",'R.M Billets Reports'!D327)+1,200)),"")),IF(ISNUMBER(SEARCH("Party Name:-",'R.M Billets Reports'!D328)),TRIM('R.M Billets Reports'!F328),IF(ISNUMBER(SEARCH("Party Name-",'R.M Billets Reports'!D328)),TRIM(MID('R.M Billets Reports'!D328,SEARCH("-",'R.M Billets Reports'!D328)+1,200)),"")))="SHREE RADHE SHAKTI SPONGE AND POWER PVT. LTD.","SHREE RADHE",IF(IF(ISNUMBER(SEARCH("Party Name:-",'R.M Billets Reports'!D327)),TRIM('R.M Billets Reports'!F327),IF(ISNUMBER(SEARCH("Party Name-",'R.M Billets Reports'!D327)),TRIM(MID('R.M Billets Reports'!D327,SEARCH("-",'R.M Billets Reports'!D327)+1,200)),""))&lt;&gt;"",IF(ISNUMBER(SEARCH("Party Name:-",'R.M Billets Reports'!D327)),TRIM('R.M Billets Reports'!F327),IF(ISNUMBER(SEARCH("Party Name-",'R.M Billets Reports'!D327)),TRIM(MID('R.M Billets Reports'!D327,SEARCH("-",'R.M Billets Reports'!D327)+1,200)),"")),IF(ISNUMBER(SEARCH("Party Name:-",'R.M Billets Reports'!D328)),TRIM('R.M Billets Reports'!F328),IF(ISNUMBER(SEARCH("Party Name-",'R.M Billets Reports'!D328)),TRIM(MID('R.M Billets Reports'!D328,SEARCH("-",'R.M Billets Reports'!D328)+1,200)),"")))))),IF(ROW()=2,"",A327))</f>
      </c>
      <c r="B328">
        <f>IF(OR('R.M Billets Reports'!A327="Date-",'R.M Billets Reports'!A327="Date:-"),'R.M Billets Reports'!B327,IF(ROW()=2,"",B327))</f>
      </c>
      <c r="C328">
        <f>IF('R.M Billets Reports'!A327="V.No.",'R.M Billets Reports'!B327,IF(ROW()=2,"",C327))</f>
      </c>
      <c r="D328">
        <f>IF('R.M Billets Reports'!A327&lt;&gt;"",'R.M Billets Reports'!A327,IF(ROW()=2,"",D327))</f>
      </c>
      <c r="E328">
        <f>IF('R.M Billets Reports'!B327="","",TRIM('R.M Billets Reports'!B327))</f>
      </c>
      <c r="F328">
        <f>'R.M Billets Reports'!C327</f>
      </c>
      <c r="G328">
        <f>'R.M Billets Reports'!D327</f>
      </c>
      <c r="H328">
        <f>'R.M Billets Reports'!E327</f>
      </c>
      <c r="I328">
        <f>'R.M Billets Reports'!F327</f>
      </c>
      <c r="J328">
        <f>'R.M Billets Reports'!G327</f>
      </c>
      <c r="K328">
        <f>'R.M Billets Reports'!H327</f>
      </c>
      <c r="L328">
        <f>IF('R.M Billets Reports'!I327="","",'R.M Billets Reports'!I327)</f>
      </c>
      <c r="M328">
        <f t="shared" si="10"/>
      </c>
      <c r="N328">
        <f>IF('R.M Billets Reports'!J327="","",'R.M Billets Reports'!J327)</f>
      </c>
      <c r="O328">
        <f t="shared" si="11"/>
      </c>
      <c r="P328">
        <f>IF('R.M Billets Reports'!A327="SIZE",'R.M Billets Reports'!B327,P327)</f>
      </c>
    </row>
    <row r="329" spans="1:16" x14ac:dyDescent="0.25">
      <c r="A329">
        <f>IF(OR('R.M Billets Reports'!A328="Date-",'R.M Billets Reports'!A328="Date:-"),IF(IF(IF(ISNUMBER(SEARCH("Party Name:-",'R.M Billets Reports'!D328)),TRIM('R.M Billets Reports'!F328),IF(ISNUMBER(SEARCH("Party Name-",'R.M Billets Reports'!D328)),TRIM(MID('R.M Billets Reports'!D328,SEARCH("-",'R.M Billets Reports'!D328)+1,200)),""))&lt;&gt;"",IF(ISNUMBER(SEARCH("Party Name:-",'R.M Billets Reports'!D328)),TRIM('R.M Billets Reports'!F328),IF(ISNUMBER(SEARCH("Party Name-",'R.M Billets Reports'!D328)),TRIM(MID('R.M Billets Reports'!D328,SEARCH("-",'R.M Billets Reports'!D328)+1,200)),"")),IF(ISNUMBER(SEARCH("Party Name:-",'R.M Billets Reports'!D329)),TRIM('R.M Billets Reports'!F329),IF(ISNUMBER(SEARCH("Party Name-",'R.M Billets Reports'!D329)),TRIM(MID('R.M Billets Reports'!D329,SEARCH("-",'R.M Billets Reports'!D329)+1,200)),"")))="VRKP ISPAT PVT LTD","VRKP",IF(IF(IF(ISNUMBER(SEARCH("Party Name:-",'R.M Billets Reports'!D328)),TRIM('R.M Billets Reports'!F328),IF(ISNUMBER(SEARCH("Party Name-",'R.M Billets Reports'!D328)),TRIM(MID('R.M Billets Reports'!D328,SEARCH("-",'R.M Billets Reports'!D328)+1,200)),""))&lt;&gt;"",IF(ISNUMBER(SEARCH("Party Name:-",'R.M Billets Reports'!D328)),TRIM('R.M Billets Reports'!F328),IF(ISNUMBER(SEARCH("Party Name-",'R.M Billets Reports'!D328)),TRIM(MID('R.M Billets Reports'!D328,SEARCH("-",'R.M Billets Reports'!D328)+1,200)),"")),IF(ISNUMBER(SEARCH("Party Name:-",'R.M Billets Reports'!D329)),TRIM('R.M Billets Reports'!F329),IF(ISNUMBER(SEARCH("Party Name-",'R.M Billets Reports'!D329)),TRIM(MID('R.M Billets Reports'!D329,SEARCH("-",'R.M Billets Reports'!D329)+1,200)),"")))="SHRI RADHE","SHREE RADHE",IF(IF(IF(ISNUMBER(SEARCH("Party Name:-",'R.M Billets Reports'!D328)),TRIM('R.M Billets Reports'!F328),IF(ISNUMBER(SEARCH("Party Name-",'R.M Billets Reports'!D328)),TRIM(MID('R.M Billets Reports'!D328,SEARCH("-",'R.M Billets Reports'!D328)+1,200)),""))&lt;&gt;"",IF(ISNUMBER(SEARCH("Party Name:-",'R.M Billets Reports'!D328)),TRIM('R.M Billets Reports'!F328),IF(ISNUMBER(SEARCH("Party Name-",'R.M Billets Reports'!D328)),TRIM(MID('R.M Billets Reports'!D328,SEARCH("-",'R.M Billets Reports'!D328)+1,200)),"")),IF(ISNUMBER(SEARCH("Party Name:-",'R.M Billets Reports'!D329)),TRIM('R.M Billets Reports'!F329),IF(ISNUMBER(SEARCH("Party Name-",'R.M Billets Reports'!D329)),TRIM(MID('R.M Billets Reports'!D329,SEARCH("-",'R.M Billets Reports'!D329)+1,200)),"")))="SHREE RADHE SHAKTI SPONGE AND POWER PVT. LTD.","SHREE RADHE",IF(IF(ISNUMBER(SEARCH("Party Name:-",'R.M Billets Reports'!D328)),TRIM('R.M Billets Reports'!F328),IF(ISNUMBER(SEARCH("Party Name-",'R.M Billets Reports'!D328)),TRIM(MID('R.M Billets Reports'!D328,SEARCH("-",'R.M Billets Reports'!D328)+1,200)),""))&lt;&gt;"",IF(ISNUMBER(SEARCH("Party Name:-",'R.M Billets Reports'!D328)),TRIM('R.M Billets Reports'!F328),IF(ISNUMBER(SEARCH("Party Name-",'R.M Billets Reports'!D328)),TRIM(MID('R.M Billets Reports'!D328,SEARCH("-",'R.M Billets Reports'!D328)+1,200)),"")),IF(ISNUMBER(SEARCH("Party Name:-",'R.M Billets Reports'!D329)),TRIM('R.M Billets Reports'!F329),IF(ISNUMBER(SEARCH("Party Name-",'R.M Billets Reports'!D329)),TRIM(MID('R.M Billets Reports'!D329,SEARCH("-",'R.M Billets Reports'!D329)+1,200)),"")))))),IF(ROW()=2,"",A328))</f>
      </c>
      <c r="B329">
        <f>IF(OR('R.M Billets Reports'!A328="Date-",'R.M Billets Reports'!A328="Date:-"),'R.M Billets Reports'!B328,IF(ROW()=2,"",B328))</f>
      </c>
      <c r="C329">
        <f>IF('R.M Billets Reports'!A328="V.No.",'R.M Billets Reports'!B328,IF(ROW()=2,"",C328))</f>
      </c>
      <c r="D329">
        <f>IF('R.M Billets Reports'!A328&lt;&gt;"",'R.M Billets Reports'!A328,IF(ROW()=2,"",D328))</f>
      </c>
      <c r="E329">
        <f>IF('R.M Billets Reports'!B328="","",TRIM('R.M Billets Reports'!B328))</f>
      </c>
      <c r="F329">
        <f>'R.M Billets Reports'!C328</f>
      </c>
      <c r="G329">
        <f>'R.M Billets Reports'!D328</f>
      </c>
      <c r="H329">
        <f>'R.M Billets Reports'!E328</f>
      </c>
      <c r="I329">
        <f>'R.M Billets Reports'!F328</f>
      </c>
      <c r="J329">
        <f>'R.M Billets Reports'!G328</f>
      </c>
      <c r="K329">
        <f>'R.M Billets Reports'!H328</f>
      </c>
      <c r="L329">
        <f>IF('R.M Billets Reports'!I328="","",'R.M Billets Reports'!I328)</f>
      </c>
      <c r="M329">
        <f t="shared" si="10"/>
      </c>
      <c r="N329">
        <f>IF('R.M Billets Reports'!J328="","",'R.M Billets Reports'!J328)</f>
      </c>
      <c r="O329">
        <f t="shared" si="11"/>
      </c>
      <c r="P329">
        <f>IF('R.M Billets Reports'!A328="SIZE",'R.M Billets Reports'!B328,P328)</f>
      </c>
    </row>
    <row r="330" spans="1:16" x14ac:dyDescent="0.25">
      <c r="A330">
        <f>IF(OR('R.M Billets Reports'!A329="Date-",'R.M Billets Reports'!A329="Date:-"),IF(IF(IF(ISNUMBER(SEARCH("Party Name:-",'R.M Billets Reports'!D329)),TRIM('R.M Billets Reports'!F329),IF(ISNUMBER(SEARCH("Party Name-",'R.M Billets Reports'!D329)),TRIM(MID('R.M Billets Reports'!D329,SEARCH("-",'R.M Billets Reports'!D329)+1,200)),""))&lt;&gt;"",IF(ISNUMBER(SEARCH("Party Name:-",'R.M Billets Reports'!D329)),TRIM('R.M Billets Reports'!F329),IF(ISNUMBER(SEARCH("Party Name-",'R.M Billets Reports'!D329)),TRIM(MID('R.M Billets Reports'!D329,SEARCH("-",'R.M Billets Reports'!D329)+1,200)),"")),IF(ISNUMBER(SEARCH("Party Name:-",'R.M Billets Reports'!D330)),TRIM('R.M Billets Reports'!F330),IF(ISNUMBER(SEARCH("Party Name-",'R.M Billets Reports'!D330)),TRIM(MID('R.M Billets Reports'!D330,SEARCH("-",'R.M Billets Reports'!D330)+1,200)),"")))="VRKP ISPAT PVT LTD","VRKP",IF(IF(IF(ISNUMBER(SEARCH("Party Name:-",'R.M Billets Reports'!D329)),TRIM('R.M Billets Reports'!F329),IF(ISNUMBER(SEARCH("Party Name-",'R.M Billets Reports'!D329)),TRIM(MID('R.M Billets Reports'!D329,SEARCH("-",'R.M Billets Reports'!D329)+1,200)),""))&lt;&gt;"",IF(ISNUMBER(SEARCH("Party Name:-",'R.M Billets Reports'!D329)),TRIM('R.M Billets Reports'!F329),IF(ISNUMBER(SEARCH("Party Name-",'R.M Billets Reports'!D329)),TRIM(MID('R.M Billets Reports'!D329,SEARCH("-",'R.M Billets Reports'!D329)+1,200)),"")),IF(ISNUMBER(SEARCH("Party Name:-",'R.M Billets Reports'!D330)),TRIM('R.M Billets Reports'!F330),IF(ISNUMBER(SEARCH("Party Name-",'R.M Billets Reports'!D330)),TRIM(MID('R.M Billets Reports'!D330,SEARCH("-",'R.M Billets Reports'!D330)+1,200)),"")))="SHRI RADHE","SHREE RADHE",IF(IF(IF(ISNUMBER(SEARCH("Party Name:-",'R.M Billets Reports'!D329)),TRIM('R.M Billets Reports'!F329),IF(ISNUMBER(SEARCH("Party Name-",'R.M Billets Reports'!D329)),TRIM(MID('R.M Billets Reports'!D329,SEARCH("-",'R.M Billets Reports'!D329)+1,200)),""))&lt;&gt;"",IF(ISNUMBER(SEARCH("Party Name:-",'R.M Billets Reports'!D329)),TRIM('R.M Billets Reports'!F329),IF(ISNUMBER(SEARCH("Party Name-",'R.M Billets Reports'!D329)),TRIM(MID('R.M Billets Reports'!D329,SEARCH("-",'R.M Billets Reports'!D329)+1,200)),"")),IF(ISNUMBER(SEARCH("Party Name:-",'R.M Billets Reports'!D330)),TRIM('R.M Billets Reports'!F330),IF(ISNUMBER(SEARCH("Party Name-",'R.M Billets Reports'!D330)),TRIM(MID('R.M Billets Reports'!D330,SEARCH("-",'R.M Billets Reports'!D330)+1,200)),"")))="SHREE RADHE SHAKTI SPONGE AND POWER PVT. LTD.","SHREE RADHE",IF(IF(ISNUMBER(SEARCH("Party Name:-",'R.M Billets Reports'!D329)),TRIM('R.M Billets Reports'!F329),IF(ISNUMBER(SEARCH("Party Name-",'R.M Billets Reports'!D329)),TRIM(MID('R.M Billets Reports'!D329,SEARCH("-",'R.M Billets Reports'!D329)+1,200)),""))&lt;&gt;"",IF(ISNUMBER(SEARCH("Party Name:-",'R.M Billets Reports'!D329)),TRIM('R.M Billets Reports'!F329),IF(ISNUMBER(SEARCH("Party Name-",'R.M Billets Reports'!D329)),TRIM(MID('R.M Billets Reports'!D329,SEARCH("-",'R.M Billets Reports'!D329)+1,200)),"")),IF(ISNUMBER(SEARCH("Party Name:-",'R.M Billets Reports'!D330)),TRIM('R.M Billets Reports'!F330),IF(ISNUMBER(SEARCH("Party Name-",'R.M Billets Reports'!D330)),TRIM(MID('R.M Billets Reports'!D330,SEARCH("-",'R.M Billets Reports'!D330)+1,200)),"")))))),IF(ROW()=2,"",A329))</f>
      </c>
      <c r="B330">
        <f>IF(OR('R.M Billets Reports'!A329="Date-",'R.M Billets Reports'!A329="Date:-"),'R.M Billets Reports'!B329,IF(ROW()=2,"",B329))</f>
      </c>
      <c r="C330">
        <f>IF('R.M Billets Reports'!A329="V.No.",'R.M Billets Reports'!B329,IF(ROW()=2,"",C329))</f>
      </c>
      <c r="D330">
        <f>IF('R.M Billets Reports'!A329&lt;&gt;"",'R.M Billets Reports'!A329,IF(ROW()=2,"",D329))</f>
      </c>
      <c r="E330">
        <f>IF('R.M Billets Reports'!B329="","",TRIM('R.M Billets Reports'!B329))</f>
      </c>
      <c r="F330">
        <f>'R.M Billets Reports'!C329</f>
      </c>
      <c r="G330">
        <f>'R.M Billets Reports'!D329</f>
      </c>
      <c r="H330">
        <f>'R.M Billets Reports'!E329</f>
      </c>
      <c r="I330">
        <f>'R.M Billets Reports'!F329</f>
      </c>
      <c r="J330">
        <f>'R.M Billets Reports'!G329</f>
      </c>
      <c r="K330">
        <f>'R.M Billets Reports'!H329</f>
      </c>
      <c r="L330">
        <f>IF('R.M Billets Reports'!I329="","",'R.M Billets Reports'!I329)</f>
      </c>
      <c r="M330">
        <f t="shared" si="10"/>
      </c>
      <c r="N330">
        <f>IF('R.M Billets Reports'!J329="","",'R.M Billets Reports'!J329)</f>
      </c>
      <c r="O330">
        <f t="shared" si="11"/>
      </c>
      <c r="P330">
        <f>IF('R.M Billets Reports'!A329="SIZE",'R.M Billets Reports'!B329,P329)</f>
      </c>
    </row>
    <row r="331" spans="1:16" x14ac:dyDescent="0.25">
      <c r="A331">
        <f>IF(OR('R.M Billets Reports'!A330="Date-",'R.M Billets Reports'!A330="Date:-"),IF(IF(IF(ISNUMBER(SEARCH("Party Name:-",'R.M Billets Reports'!D330)),TRIM('R.M Billets Reports'!F330),IF(ISNUMBER(SEARCH("Party Name-",'R.M Billets Reports'!D330)),TRIM(MID('R.M Billets Reports'!D330,SEARCH("-",'R.M Billets Reports'!D330)+1,200)),""))&lt;&gt;"",IF(ISNUMBER(SEARCH("Party Name:-",'R.M Billets Reports'!D330)),TRIM('R.M Billets Reports'!F330),IF(ISNUMBER(SEARCH("Party Name-",'R.M Billets Reports'!D330)),TRIM(MID('R.M Billets Reports'!D330,SEARCH("-",'R.M Billets Reports'!D330)+1,200)),"")),IF(ISNUMBER(SEARCH("Party Name:-",'R.M Billets Reports'!D331)),TRIM('R.M Billets Reports'!F331),IF(ISNUMBER(SEARCH("Party Name-",'R.M Billets Reports'!D331)),TRIM(MID('R.M Billets Reports'!D331,SEARCH("-",'R.M Billets Reports'!D331)+1,200)),"")))="VRKP ISPAT PVT LTD","VRKP",IF(IF(IF(ISNUMBER(SEARCH("Party Name:-",'R.M Billets Reports'!D330)),TRIM('R.M Billets Reports'!F330),IF(ISNUMBER(SEARCH("Party Name-",'R.M Billets Reports'!D330)),TRIM(MID('R.M Billets Reports'!D330,SEARCH("-",'R.M Billets Reports'!D330)+1,200)),""))&lt;&gt;"",IF(ISNUMBER(SEARCH("Party Name:-",'R.M Billets Reports'!D330)),TRIM('R.M Billets Reports'!F330),IF(ISNUMBER(SEARCH("Party Name-",'R.M Billets Reports'!D330)),TRIM(MID('R.M Billets Reports'!D330,SEARCH("-",'R.M Billets Reports'!D330)+1,200)),"")),IF(ISNUMBER(SEARCH("Party Name:-",'R.M Billets Reports'!D331)),TRIM('R.M Billets Reports'!F331),IF(ISNUMBER(SEARCH("Party Name-",'R.M Billets Reports'!D331)),TRIM(MID('R.M Billets Reports'!D331,SEARCH("-",'R.M Billets Reports'!D331)+1,200)),"")))="SHRI RADHE","SHREE RADHE",IF(IF(IF(ISNUMBER(SEARCH("Party Name:-",'R.M Billets Reports'!D330)),TRIM('R.M Billets Reports'!F330),IF(ISNUMBER(SEARCH("Party Name-",'R.M Billets Reports'!D330)),TRIM(MID('R.M Billets Reports'!D330,SEARCH("-",'R.M Billets Reports'!D330)+1,200)),""))&lt;&gt;"",IF(ISNUMBER(SEARCH("Party Name:-",'R.M Billets Reports'!D330)),TRIM('R.M Billets Reports'!F330),IF(ISNUMBER(SEARCH("Party Name-",'R.M Billets Reports'!D330)),TRIM(MID('R.M Billets Reports'!D330,SEARCH("-",'R.M Billets Reports'!D330)+1,200)),"")),IF(ISNUMBER(SEARCH("Party Name:-",'R.M Billets Reports'!D331)),TRIM('R.M Billets Reports'!F331),IF(ISNUMBER(SEARCH("Party Name-",'R.M Billets Reports'!D331)),TRIM(MID('R.M Billets Reports'!D331,SEARCH("-",'R.M Billets Reports'!D331)+1,200)),"")))="SHREE RADHE SHAKTI SPONGE AND POWER PVT. LTD.","SHREE RADHE",IF(IF(ISNUMBER(SEARCH("Party Name:-",'R.M Billets Reports'!D330)),TRIM('R.M Billets Reports'!F330),IF(ISNUMBER(SEARCH("Party Name-",'R.M Billets Reports'!D330)),TRIM(MID('R.M Billets Reports'!D330,SEARCH("-",'R.M Billets Reports'!D330)+1,200)),""))&lt;&gt;"",IF(ISNUMBER(SEARCH("Party Name:-",'R.M Billets Reports'!D330)),TRIM('R.M Billets Reports'!F330),IF(ISNUMBER(SEARCH("Party Name-",'R.M Billets Reports'!D330)),TRIM(MID('R.M Billets Reports'!D330,SEARCH("-",'R.M Billets Reports'!D330)+1,200)),"")),IF(ISNUMBER(SEARCH("Party Name:-",'R.M Billets Reports'!D331)),TRIM('R.M Billets Reports'!F331),IF(ISNUMBER(SEARCH("Party Name-",'R.M Billets Reports'!D331)),TRIM(MID('R.M Billets Reports'!D331,SEARCH("-",'R.M Billets Reports'!D331)+1,200)),"")))))),IF(ROW()=2,"",A330))</f>
      </c>
      <c r="B331">
        <f>IF(OR('R.M Billets Reports'!A330="Date-",'R.M Billets Reports'!A330="Date:-"),'R.M Billets Reports'!B330,IF(ROW()=2,"",B330))</f>
      </c>
      <c r="C331">
        <f>IF('R.M Billets Reports'!A330="V.No.",'R.M Billets Reports'!B330,IF(ROW()=2,"",C330))</f>
      </c>
      <c r="D331">
        <f>IF('R.M Billets Reports'!A330&lt;&gt;"",'R.M Billets Reports'!A330,IF(ROW()=2,"",D330))</f>
      </c>
      <c r="E331">
        <f>IF('R.M Billets Reports'!B330="","",TRIM('R.M Billets Reports'!B330))</f>
      </c>
      <c r="F331">
        <f>'R.M Billets Reports'!C330</f>
      </c>
      <c r="G331">
        <f>'R.M Billets Reports'!D330</f>
      </c>
      <c r="H331">
        <f>'R.M Billets Reports'!E330</f>
      </c>
      <c r="I331">
        <f>'R.M Billets Reports'!F330</f>
      </c>
      <c r="J331">
        <f>'R.M Billets Reports'!G330</f>
      </c>
      <c r="K331">
        <f>'R.M Billets Reports'!H330</f>
      </c>
      <c r="L331">
        <f>IF('R.M Billets Reports'!I330="","",'R.M Billets Reports'!I330)</f>
      </c>
      <c r="M331">
        <f t="shared" si="10"/>
      </c>
      <c r="N331">
        <f>IF('R.M Billets Reports'!J330="","",'R.M Billets Reports'!J330)</f>
      </c>
      <c r="O331">
        <f t="shared" si="11"/>
      </c>
      <c r="P331">
        <f>IF('R.M Billets Reports'!A330="SIZE",'R.M Billets Reports'!B330,P330)</f>
      </c>
    </row>
    <row r="332" spans="1:16" x14ac:dyDescent="0.25">
      <c r="A332">
        <f>IF(OR('R.M Billets Reports'!A331="Date-",'R.M Billets Reports'!A331="Date:-"),IF(IF(IF(ISNUMBER(SEARCH("Party Name:-",'R.M Billets Reports'!D331)),TRIM('R.M Billets Reports'!F331),IF(ISNUMBER(SEARCH("Party Name-",'R.M Billets Reports'!D331)),TRIM(MID('R.M Billets Reports'!D331,SEARCH("-",'R.M Billets Reports'!D331)+1,200)),""))&lt;&gt;"",IF(ISNUMBER(SEARCH("Party Name:-",'R.M Billets Reports'!D331)),TRIM('R.M Billets Reports'!F331),IF(ISNUMBER(SEARCH("Party Name-",'R.M Billets Reports'!D331)),TRIM(MID('R.M Billets Reports'!D331,SEARCH("-",'R.M Billets Reports'!D331)+1,200)),"")),IF(ISNUMBER(SEARCH("Party Name:-",'R.M Billets Reports'!D332)),TRIM('R.M Billets Reports'!F332),IF(ISNUMBER(SEARCH("Party Name-",'R.M Billets Reports'!D332)),TRIM(MID('R.M Billets Reports'!D332,SEARCH("-",'R.M Billets Reports'!D332)+1,200)),"")))="VRKP ISPAT PVT LTD","VRKP",IF(IF(IF(ISNUMBER(SEARCH("Party Name:-",'R.M Billets Reports'!D331)),TRIM('R.M Billets Reports'!F331),IF(ISNUMBER(SEARCH("Party Name-",'R.M Billets Reports'!D331)),TRIM(MID('R.M Billets Reports'!D331,SEARCH("-",'R.M Billets Reports'!D331)+1,200)),""))&lt;&gt;"",IF(ISNUMBER(SEARCH("Party Name:-",'R.M Billets Reports'!D331)),TRIM('R.M Billets Reports'!F331),IF(ISNUMBER(SEARCH("Party Name-",'R.M Billets Reports'!D331)),TRIM(MID('R.M Billets Reports'!D331,SEARCH("-",'R.M Billets Reports'!D331)+1,200)),"")),IF(ISNUMBER(SEARCH("Party Name:-",'R.M Billets Reports'!D332)),TRIM('R.M Billets Reports'!F332),IF(ISNUMBER(SEARCH("Party Name-",'R.M Billets Reports'!D332)),TRIM(MID('R.M Billets Reports'!D332,SEARCH("-",'R.M Billets Reports'!D332)+1,200)),"")))="SHRI RADHE","SHREE RADHE",IF(IF(IF(ISNUMBER(SEARCH("Party Name:-",'R.M Billets Reports'!D331)),TRIM('R.M Billets Reports'!F331),IF(ISNUMBER(SEARCH("Party Name-",'R.M Billets Reports'!D331)),TRIM(MID('R.M Billets Reports'!D331,SEARCH("-",'R.M Billets Reports'!D331)+1,200)),""))&lt;&gt;"",IF(ISNUMBER(SEARCH("Party Name:-",'R.M Billets Reports'!D331)),TRIM('R.M Billets Reports'!F331),IF(ISNUMBER(SEARCH("Party Name-",'R.M Billets Reports'!D331)),TRIM(MID('R.M Billets Reports'!D331,SEARCH("-",'R.M Billets Reports'!D331)+1,200)),"")),IF(ISNUMBER(SEARCH("Party Name:-",'R.M Billets Reports'!D332)),TRIM('R.M Billets Reports'!F332),IF(ISNUMBER(SEARCH("Party Name-",'R.M Billets Reports'!D332)),TRIM(MID('R.M Billets Reports'!D332,SEARCH("-",'R.M Billets Reports'!D332)+1,200)),"")))="SHREE RADHE SHAKTI SPONGE AND POWER PVT. LTD.","SHREE RADHE",IF(IF(ISNUMBER(SEARCH("Party Name:-",'R.M Billets Reports'!D331)),TRIM('R.M Billets Reports'!F331),IF(ISNUMBER(SEARCH("Party Name-",'R.M Billets Reports'!D331)),TRIM(MID('R.M Billets Reports'!D331,SEARCH("-",'R.M Billets Reports'!D331)+1,200)),""))&lt;&gt;"",IF(ISNUMBER(SEARCH("Party Name:-",'R.M Billets Reports'!D331)),TRIM('R.M Billets Reports'!F331),IF(ISNUMBER(SEARCH("Party Name-",'R.M Billets Reports'!D331)),TRIM(MID('R.M Billets Reports'!D331,SEARCH("-",'R.M Billets Reports'!D331)+1,200)),"")),IF(ISNUMBER(SEARCH("Party Name:-",'R.M Billets Reports'!D332)),TRIM('R.M Billets Reports'!F332),IF(ISNUMBER(SEARCH("Party Name-",'R.M Billets Reports'!D332)),TRIM(MID('R.M Billets Reports'!D332,SEARCH("-",'R.M Billets Reports'!D332)+1,200)),"")))))),IF(ROW()=2,"",A331))</f>
      </c>
      <c r="B332">
        <f>IF(OR('R.M Billets Reports'!A331="Date-",'R.M Billets Reports'!A331="Date:-"),'R.M Billets Reports'!B331,IF(ROW()=2,"",B331))</f>
      </c>
      <c r="C332">
        <f>IF('R.M Billets Reports'!A331="V.No.",'R.M Billets Reports'!B331,IF(ROW()=2,"",C331))</f>
      </c>
      <c r="D332">
        <f>IF('R.M Billets Reports'!A331&lt;&gt;"",'R.M Billets Reports'!A331,IF(ROW()=2,"",D331))</f>
      </c>
      <c r="E332">
        <f>IF('R.M Billets Reports'!B331="","",TRIM('R.M Billets Reports'!B331))</f>
      </c>
      <c r="F332">
        <f>'R.M Billets Reports'!C331</f>
      </c>
      <c r="G332">
        <f>'R.M Billets Reports'!D331</f>
      </c>
      <c r="H332">
        <f>'R.M Billets Reports'!E331</f>
      </c>
      <c r="I332">
        <f>'R.M Billets Reports'!F331</f>
      </c>
      <c r="J332">
        <f>'R.M Billets Reports'!G331</f>
      </c>
      <c r="K332">
        <f>'R.M Billets Reports'!H331</f>
      </c>
      <c r="L332">
        <f>IF('R.M Billets Reports'!I331="","",'R.M Billets Reports'!I331)</f>
      </c>
      <c r="M332">
        <f t="shared" si="10"/>
      </c>
      <c r="N332">
        <f>IF('R.M Billets Reports'!J331="","",'R.M Billets Reports'!J331)</f>
      </c>
      <c r="O332">
        <f t="shared" si="11"/>
      </c>
      <c r="P332">
        <f>IF('R.M Billets Reports'!A331="SIZE",'R.M Billets Reports'!B331,P331)</f>
      </c>
    </row>
    <row r="333" spans="1:16" x14ac:dyDescent="0.25">
      <c r="A333">
        <f>IF(OR('R.M Billets Reports'!A332="Date-",'R.M Billets Reports'!A332="Date:-"),IF(IF(IF(ISNUMBER(SEARCH("Party Name:-",'R.M Billets Reports'!D332)),TRIM('R.M Billets Reports'!F332),IF(ISNUMBER(SEARCH("Party Name-",'R.M Billets Reports'!D332)),TRIM(MID('R.M Billets Reports'!D332,SEARCH("-",'R.M Billets Reports'!D332)+1,200)),""))&lt;&gt;"",IF(ISNUMBER(SEARCH("Party Name:-",'R.M Billets Reports'!D332)),TRIM('R.M Billets Reports'!F332),IF(ISNUMBER(SEARCH("Party Name-",'R.M Billets Reports'!D332)),TRIM(MID('R.M Billets Reports'!D332,SEARCH("-",'R.M Billets Reports'!D332)+1,200)),"")),IF(ISNUMBER(SEARCH("Party Name:-",'R.M Billets Reports'!D333)),TRIM('R.M Billets Reports'!F333),IF(ISNUMBER(SEARCH("Party Name-",'R.M Billets Reports'!D333)),TRIM(MID('R.M Billets Reports'!D333,SEARCH("-",'R.M Billets Reports'!D333)+1,200)),"")))="VRKP ISPAT PVT LTD","VRKP",IF(IF(IF(ISNUMBER(SEARCH("Party Name:-",'R.M Billets Reports'!D332)),TRIM('R.M Billets Reports'!F332),IF(ISNUMBER(SEARCH("Party Name-",'R.M Billets Reports'!D332)),TRIM(MID('R.M Billets Reports'!D332,SEARCH("-",'R.M Billets Reports'!D332)+1,200)),""))&lt;&gt;"",IF(ISNUMBER(SEARCH("Party Name:-",'R.M Billets Reports'!D332)),TRIM('R.M Billets Reports'!F332),IF(ISNUMBER(SEARCH("Party Name-",'R.M Billets Reports'!D332)),TRIM(MID('R.M Billets Reports'!D332,SEARCH("-",'R.M Billets Reports'!D332)+1,200)),"")),IF(ISNUMBER(SEARCH("Party Name:-",'R.M Billets Reports'!D333)),TRIM('R.M Billets Reports'!F333),IF(ISNUMBER(SEARCH("Party Name-",'R.M Billets Reports'!D333)),TRIM(MID('R.M Billets Reports'!D333,SEARCH("-",'R.M Billets Reports'!D333)+1,200)),"")))="SHRI RADHE","SHREE RADHE",IF(IF(IF(ISNUMBER(SEARCH("Party Name:-",'R.M Billets Reports'!D332)),TRIM('R.M Billets Reports'!F332),IF(ISNUMBER(SEARCH("Party Name-",'R.M Billets Reports'!D332)),TRIM(MID('R.M Billets Reports'!D332,SEARCH("-",'R.M Billets Reports'!D332)+1,200)),""))&lt;&gt;"",IF(ISNUMBER(SEARCH("Party Name:-",'R.M Billets Reports'!D332)),TRIM('R.M Billets Reports'!F332),IF(ISNUMBER(SEARCH("Party Name-",'R.M Billets Reports'!D332)),TRIM(MID('R.M Billets Reports'!D332,SEARCH("-",'R.M Billets Reports'!D332)+1,200)),"")),IF(ISNUMBER(SEARCH("Party Name:-",'R.M Billets Reports'!D333)),TRIM('R.M Billets Reports'!F333),IF(ISNUMBER(SEARCH("Party Name-",'R.M Billets Reports'!D333)),TRIM(MID('R.M Billets Reports'!D333,SEARCH("-",'R.M Billets Reports'!D333)+1,200)),"")))="SHREE RADHE SHAKTI SPONGE AND POWER PVT. LTD.","SHREE RADHE",IF(IF(ISNUMBER(SEARCH("Party Name:-",'R.M Billets Reports'!D332)),TRIM('R.M Billets Reports'!F332),IF(ISNUMBER(SEARCH("Party Name-",'R.M Billets Reports'!D332)),TRIM(MID('R.M Billets Reports'!D332,SEARCH("-",'R.M Billets Reports'!D332)+1,200)),""))&lt;&gt;"",IF(ISNUMBER(SEARCH("Party Name:-",'R.M Billets Reports'!D332)),TRIM('R.M Billets Reports'!F332),IF(ISNUMBER(SEARCH("Party Name-",'R.M Billets Reports'!D332)),TRIM(MID('R.M Billets Reports'!D332,SEARCH("-",'R.M Billets Reports'!D332)+1,200)),"")),IF(ISNUMBER(SEARCH("Party Name:-",'R.M Billets Reports'!D333)),TRIM('R.M Billets Reports'!F333),IF(ISNUMBER(SEARCH("Party Name-",'R.M Billets Reports'!D333)),TRIM(MID('R.M Billets Reports'!D333,SEARCH("-",'R.M Billets Reports'!D333)+1,200)),"")))))),IF(ROW()=2,"",A332))</f>
      </c>
      <c r="B333">
        <f>IF(OR('R.M Billets Reports'!A332="Date-",'R.M Billets Reports'!A332="Date:-"),'R.M Billets Reports'!B332,IF(ROW()=2,"",B332))</f>
      </c>
      <c r="C333">
        <f>IF('R.M Billets Reports'!A332="V.No.",'R.M Billets Reports'!B332,IF(ROW()=2,"",C332))</f>
      </c>
      <c r="D333">
        <f>IF('R.M Billets Reports'!A332&lt;&gt;"",'R.M Billets Reports'!A332,IF(ROW()=2,"",D332))</f>
      </c>
      <c r="E333">
        <f>IF('R.M Billets Reports'!B332="","",TRIM('R.M Billets Reports'!B332))</f>
      </c>
      <c r="F333">
        <f>'R.M Billets Reports'!C332</f>
      </c>
      <c r="G333">
        <f>'R.M Billets Reports'!D332</f>
      </c>
      <c r="H333">
        <f>'R.M Billets Reports'!E332</f>
      </c>
      <c r="I333">
        <f>'R.M Billets Reports'!F332</f>
      </c>
      <c r="J333">
        <f>'R.M Billets Reports'!G332</f>
      </c>
      <c r="K333">
        <f>'R.M Billets Reports'!H332</f>
      </c>
      <c r="L333">
        <f>IF('R.M Billets Reports'!I332="","",'R.M Billets Reports'!I332)</f>
      </c>
      <c r="M333">
        <f t="shared" si="10"/>
      </c>
      <c r="N333">
        <f>IF('R.M Billets Reports'!J332="","",'R.M Billets Reports'!J332)</f>
      </c>
      <c r="O333">
        <f t="shared" si="11"/>
      </c>
      <c r="P333">
        <f>IF('R.M Billets Reports'!A332="SIZE",'R.M Billets Reports'!B332,P332)</f>
      </c>
    </row>
    <row r="334" spans="1:16" x14ac:dyDescent="0.25">
      <c r="A334">
        <f>IF(OR('R.M Billets Reports'!A333="Date-",'R.M Billets Reports'!A333="Date:-"),IF(IF(IF(ISNUMBER(SEARCH("Party Name:-",'R.M Billets Reports'!D333)),TRIM('R.M Billets Reports'!F333),IF(ISNUMBER(SEARCH("Party Name-",'R.M Billets Reports'!D333)),TRIM(MID('R.M Billets Reports'!D333,SEARCH("-",'R.M Billets Reports'!D333)+1,200)),""))&lt;&gt;"",IF(ISNUMBER(SEARCH("Party Name:-",'R.M Billets Reports'!D333)),TRIM('R.M Billets Reports'!F333),IF(ISNUMBER(SEARCH("Party Name-",'R.M Billets Reports'!D333)),TRIM(MID('R.M Billets Reports'!D333,SEARCH("-",'R.M Billets Reports'!D333)+1,200)),"")),IF(ISNUMBER(SEARCH("Party Name:-",'R.M Billets Reports'!D334)),TRIM('R.M Billets Reports'!F334),IF(ISNUMBER(SEARCH("Party Name-",'R.M Billets Reports'!D334)),TRIM(MID('R.M Billets Reports'!D334,SEARCH("-",'R.M Billets Reports'!D334)+1,200)),"")))="VRKP ISPAT PVT LTD","VRKP",IF(IF(IF(ISNUMBER(SEARCH("Party Name:-",'R.M Billets Reports'!D333)),TRIM('R.M Billets Reports'!F333),IF(ISNUMBER(SEARCH("Party Name-",'R.M Billets Reports'!D333)),TRIM(MID('R.M Billets Reports'!D333,SEARCH("-",'R.M Billets Reports'!D333)+1,200)),""))&lt;&gt;"",IF(ISNUMBER(SEARCH("Party Name:-",'R.M Billets Reports'!D333)),TRIM('R.M Billets Reports'!F333),IF(ISNUMBER(SEARCH("Party Name-",'R.M Billets Reports'!D333)),TRIM(MID('R.M Billets Reports'!D333,SEARCH("-",'R.M Billets Reports'!D333)+1,200)),"")),IF(ISNUMBER(SEARCH("Party Name:-",'R.M Billets Reports'!D334)),TRIM('R.M Billets Reports'!F334),IF(ISNUMBER(SEARCH("Party Name-",'R.M Billets Reports'!D334)),TRIM(MID('R.M Billets Reports'!D334,SEARCH("-",'R.M Billets Reports'!D334)+1,200)),"")))="SHRI RADHE","SHREE RADHE",IF(IF(IF(ISNUMBER(SEARCH("Party Name:-",'R.M Billets Reports'!D333)),TRIM('R.M Billets Reports'!F333),IF(ISNUMBER(SEARCH("Party Name-",'R.M Billets Reports'!D333)),TRIM(MID('R.M Billets Reports'!D333,SEARCH("-",'R.M Billets Reports'!D333)+1,200)),""))&lt;&gt;"",IF(ISNUMBER(SEARCH("Party Name:-",'R.M Billets Reports'!D333)),TRIM('R.M Billets Reports'!F333),IF(ISNUMBER(SEARCH("Party Name-",'R.M Billets Reports'!D333)),TRIM(MID('R.M Billets Reports'!D333,SEARCH("-",'R.M Billets Reports'!D333)+1,200)),"")),IF(ISNUMBER(SEARCH("Party Name:-",'R.M Billets Reports'!D334)),TRIM('R.M Billets Reports'!F334),IF(ISNUMBER(SEARCH("Party Name-",'R.M Billets Reports'!D334)),TRIM(MID('R.M Billets Reports'!D334,SEARCH("-",'R.M Billets Reports'!D334)+1,200)),"")))="SHREE RADHE SHAKTI SPONGE AND POWER PVT. LTD.","SHREE RADHE",IF(IF(ISNUMBER(SEARCH("Party Name:-",'R.M Billets Reports'!D333)),TRIM('R.M Billets Reports'!F333),IF(ISNUMBER(SEARCH("Party Name-",'R.M Billets Reports'!D333)),TRIM(MID('R.M Billets Reports'!D333,SEARCH("-",'R.M Billets Reports'!D333)+1,200)),""))&lt;&gt;"",IF(ISNUMBER(SEARCH("Party Name:-",'R.M Billets Reports'!D333)),TRIM('R.M Billets Reports'!F333),IF(ISNUMBER(SEARCH("Party Name-",'R.M Billets Reports'!D333)),TRIM(MID('R.M Billets Reports'!D333,SEARCH("-",'R.M Billets Reports'!D333)+1,200)),"")),IF(ISNUMBER(SEARCH("Party Name:-",'R.M Billets Reports'!D334)),TRIM('R.M Billets Reports'!F334),IF(ISNUMBER(SEARCH("Party Name-",'R.M Billets Reports'!D334)),TRIM(MID('R.M Billets Reports'!D334,SEARCH("-",'R.M Billets Reports'!D334)+1,200)),"")))))),IF(ROW()=2,"",A333))</f>
      </c>
      <c r="B334">
        <f>IF(OR('R.M Billets Reports'!A333="Date-",'R.M Billets Reports'!A333="Date:-"),'R.M Billets Reports'!B333,IF(ROW()=2,"",B333))</f>
      </c>
      <c r="C334">
        <f>IF('R.M Billets Reports'!A333="V.No.",'R.M Billets Reports'!B333,IF(ROW()=2,"",C333))</f>
      </c>
      <c r="D334">
        <f>IF('R.M Billets Reports'!A333&lt;&gt;"",'R.M Billets Reports'!A333,IF(ROW()=2,"",D333))</f>
      </c>
      <c r="E334">
        <f>IF('R.M Billets Reports'!B333="","",TRIM('R.M Billets Reports'!B333))</f>
      </c>
      <c r="F334">
        <f>'R.M Billets Reports'!C333</f>
      </c>
      <c r="G334">
        <f>'R.M Billets Reports'!D333</f>
      </c>
      <c r="H334">
        <f>'R.M Billets Reports'!E333</f>
      </c>
      <c r="I334">
        <f>'R.M Billets Reports'!F333</f>
      </c>
      <c r="J334">
        <f>'R.M Billets Reports'!G333</f>
      </c>
      <c r="K334">
        <f>'R.M Billets Reports'!H333</f>
      </c>
      <c r="L334">
        <f>IF('R.M Billets Reports'!I333="","",'R.M Billets Reports'!I333)</f>
      </c>
      <c r="M334">
        <f t="shared" si="10"/>
      </c>
      <c r="N334">
        <f>IF('R.M Billets Reports'!J333="","",'R.M Billets Reports'!J333)</f>
      </c>
      <c r="O334">
        <f t="shared" si="11"/>
      </c>
      <c r="P334">
        <f>IF('R.M Billets Reports'!A333="SIZE",'R.M Billets Reports'!B333,P333)</f>
      </c>
    </row>
    <row r="335" spans="1:16" x14ac:dyDescent="0.25">
      <c r="A335">
        <f>IF(OR('R.M Billets Reports'!A334="Date-",'R.M Billets Reports'!A334="Date:-"),IF(IF(IF(ISNUMBER(SEARCH("Party Name:-",'R.M Billets Reports'!D334)),TRIM('R.M Billets Reports'!F334),IF(ISNUMBER(SEARCH("Party Name-",'R.M Billets Reports'!D334)),TRIM(MID('R.M Billets Reports'!D334,SEARCH("-",'R.M Billets Reports'!D334)+1,200)),""))&lt;&gt;"",IF(ISNUMBER(SEARCH("Party Name:-",'R.M Billets Reports'!D334)),TRIM('R.M Billets Reports'!F334),IF(ISNUMBER(SEARCH("Party Name-",'R.M Billets Reports'!D334)),TRIM(MID('R.M Billets Reports'!D334,SEARCH("-",'R.M Billets Reports'!D334)+1,200)),"")),IF(ISNUMBER(SEARCH("Party Name:-",'R.M Billets Reports'!D335)),TRIM('R.M Billets Reports'!F335),IF(ISNUMBER(SEARCH("Party Name-",'R.M Billets Reports'!D335)),TRIM(MID('R.M Billets Reports'!D335,SEARCH("-",'R.M Billets Reports'!D335)+1,200)),"")))="VRKP ISPAT PVT LTD","VRKP",IF(IF(IF(ISNUMBER(SEARCH("Party Name:-",'R.M Billets Reports'!D334)),TRIM('R.M Billets Reports'!F334),IF(ISNUMBER(SEARCH("Party Name-",'R.M Billets Reports'!D334)),TRIM(MID('R.M Billets Reports'!D334,SEARCH("-",'R.M Billets Reports'!D334)+1,200)),""))&lt;&gt;"",IF(ISNUMBER(SEARCH("Party Name:-",'R.M Billets Reports'!D334)),TRIM('R.M Billets Reports'!F334),IF(ISNUMBER(SEARCH("Party Name-",'R.M Billets Reports'!D334)),TRIM(MID('R.M Billets Reports'!D334,SEARCH("-",'R.M Billets Reports'!D334)+1,200)),"")),IF(ISNUMBER(SEARCH("Party Name:-",'R.M Billets Reports'!D335)),TRIM('R.M Billets Reports'!F335),IF(ISNUMBER(SEARCH("Party Name-",'R.M Billets Reports'!D335)),TRIM(MID('R.M Billets Reports'!D335,SEARCH("-",'R.M Billets Reports'!D335)+1,200)),"")))="SHRI RADHE","SHREE RADHE",IF(IF(IF(ISNUMBER(SEARCH("Party Name:-",'R.M Billets Reports'!D334)),TRIM('R.M Billets Reports'!F334),IF(ISNUMBER(SEARCH("Party Name-",'R.M Billets Reports'!D334)),TRIM(MID('R.M Billets Reports'!D334,SEARCH("-",'R.M Billets Reports'!D334)+1,200)),""))&lt;&gt;"",IF(ISNUMBER(SEARCH("Party Name:-",'R.M Billets Reports'!D334)),TRIM('R.M Billets Reports'!F334),IF(ISNUMBER(SEARCH("Party Name-",'R.M Billets Reports'!D334)),TRIM(MID('R.M Billets Reports'!D334,SEARCH("-",'R.M Billets Reports'!D334)+1,200)),"")),IF(ISNUMBER(SEARCH("Party Name:-",'R.M Billets Reports'!D335)),TRIM('R.M Billets Reports'!F335),IF(ISNUMBER(SEARCH("Party Name-",'R.M Billets Reports'!D335)),TRIM(MID('R.M Billets Reports'!D335,SEARCH("-",'R.M Billets Reports'!D335)+1,200)),"")))="SHREE RADHE SHAKTI SPONGE AND POWER PVT. LTD.","SHREE RADHE",IF(IF(ISNUMBER(SEARCH("Party Name:-",'R.M Billets Reports'!D334)),TRIM('R.M Billets Reports'!F334),IF(ISNUMBER(SEARCH("Party Name-",'R.M Billets Reports'!D334)),TRIM(MID('R.M Billets Reports'!D334,SEARCH("-",'R.M Billets Reports'!D334)+1,200)),""))&lt;&gt;"",IF(ISNUMBER(SEARCH("Party Name:-",'R.M Billets Reports'!D334)),TRIM('R.M Billets Reports'!F334),IF(ISNUMBER(SEARCH("Party Name-",'R.M Billets Reports'!D334)),TRIM(MID('R.M Billets Reports'!D334,SEARCH("-",'R.M Billets Reports'!D334)+1,200)),"")),IF(ISNUMBER(SEARCH("Party Name:-",'R.M Billets Reports'!D335)),TRIM('R.M Billets Reports'!F335),IF(ISNUMBER(SEARCH("Party Name-",'R.M Billets Reports'!D335)),TRIM(MID('R.M Billets Reports'!D335,SEARCH("-",'R.M Billets Reports'!D335)+1,200)),"")))))),IF(ROW()=2,"",A334))</f>
      </c>
      <c r="B335">
        <f>IF(OR('R.M Billets Reports'!A334="Date-",'R.M Billets Reports'!A334="Date:-"),'R.M Billets Reports'!B334,IF(ROW()=2,"",B334))</f>
      </c>
      <c r="C335">
        <f>IF('R.M Billets Reports'!A334="V.No.",'R.M Billets Reports'!B334,IF(ROW()=2,"",C334))</f>
      </c>
      <c r="D335">
        <f>IF('R.M Billets Reports'!A334&lt;&gt;"",'R.M Billets Reports'!A334,IF(ROW()=2,"",D334))</f>
      </c>
      <c r="E335">
        <f>IF('R.M Billets Reports'!B334="","",TRIM('R.M Billets Reports'!B334))</f>
      </c>
      <c r="F335">
        <f>'R.M Billets Reports'!C334</f>
      </c>
      <c r="G335">
        <f>'R.M Billets Reports'!D334</f>
      </c>
      <c r="H335">
        <f>'R.M Billets Reports'!E334</f>
      </c>
      <c r="I335">
        <f>'R.M Billets Reports'!F334</f>
      </c>
      <c r="J335">
        <f>'R.M Billets Reports'!G334</f>
      </c>
      <c r="K335">
        <f>'R.M Billets Reports'!H334</f>
      </c>
      <c r="L335">
        <f>IF('R.M Billets Reports'!I334="","",'R.M Billets Reports'!I334)</f>
      </c>
      <c r="M335">
        <f t="shared" si="10"/>
      </c>
      <c r="N335">
        <f>IF('R.M Billets Reports'!J334="","",'R.M Billets Reports'!J334)</f>
      </c>
      <c r="O335">
        <f t="shared" si="11"/>
      </c>
      <c r="P335">
        <f>IF('R.M Billets Reports'!A334="SIZE",'R.M Billets Reports'!B334,P334)</f>
      </c>
    </row>
    <row r="336" spans="1:16" x14ac:dyDescent="0.25">
      <c r="A336">
        <f>IF(OR('R.M Billets Reports'!A335="Date-",'R.M Billets Reports'!A335="Date:-"),IF(IF(IF(ISNUMBER(SEARCH("Party Name:-",'R.M Billets Reports'!D335)),TRIM('R.M Billets Reports'!F335),IF(ISNUMBER(SEARCH("Party Name-",'R.M Billets Reports'!D335)),TRIM(MID('R.M Billets Reports'!D335,SEARCH("-",'R.M Billets Reports'!D335)+1,200)),""))&lt;&gt;"",IF(ISNUMBER(SEARCH("Party Name:-",'R.M Billets Reports'!D335)),TRIM('R.M Billets Reports'!F335),IF(ISNUMBER(SEARCH("Party Name-",'R.M Billets Reports'!D335)),TRIM(MID('R.M Billets Reports'!D335,SEARCH("-",'R.M Billets Reports'!D335)+1,200)),"")),IF(ISNUMBER(SEARCH("Party Name:-",'R.M Billets Reports'!D336)),TRIM('R.M Billets Reports'!F336),IF(ISNUMBER(SEARCH("Party Name-",'R.M Billets Reports'!D336)),TRIM(MID('R.M Billets Reports'!D336,SEARCH("-",'R.M Billets Reports'!D336)+1,200)),"")))="VRKP ISPAT PVT LTD","VRKP",IF(IF(IF(ISNUMBER(SEARCH("Party Name:-",'R.M Billets Reports'!D335)),TRIM('R.M Billets Reports'!F335),IF(ISNUMBER(SEARCH("Party Name-",'R.M Billets Reports'!D335)),TRIM(MID('R.M Billets Reports'!D335,SEARCH("-",'R.M Billets Reports'!D335)+1,200)),""))&lt;&gt;"",IF(ISNUMBER(SEARCH("Party Name:-",'R.M Billets Reports'!D335)),TRIM('R.M Billets Reports'!F335),IF(ISNUMBER(SEARCH("Party Name-",'R.M Billets Reports'!D335)),TRIM(MID('R.M Billets Reports'!D335,SEARCH("-",'R.M Billets Reports'!D335)+1,200)),"")),IF(ISNUMBER(SEARCH("Party Name:-",'R.M Billets Reports'!D336)),TRIM('R.M Billets Reports'!F336),IF(ISNUMBER(SEARCH("Party Name-",'R.M Billets Reports'!D336)),TRIM(MID('R.M Billets Reports'!D336,SEARCH("-",'R.M Billets Reports'!D336)+1,200)),"")))="SHRI RADHE","SHREE RADHE",IF(IF(IF(ISNUMBER(SEARCH("Party Name:-",'R.M Billets Reports'!D335)),TRIM('R.M Billets Reports'!F335),IF(ISNUMBER(SEARCH("Party Name-",'R.M Billets Reports'!D335)),TRIM(MID('R.M Billets Reports'!D335,SEARCH("-",'R.M Billets Reports'!D335)+1,200)),""))&lt;&gt;"",IF(ISNUMBER(SEARCH("Party Name:-",'R.M Billets Reports'!D335)),TRIM('R.M Billets Reports'!F335),IF(ISNUMBER(SEARCH("Party Name-",'R.M Billets Reports'!D335)),TRIM(MID('R.M Billets Reports'!D335,SEARCH("-",'R.M Billets Reports'!D335)+1,200)),"")),IF(ISNUMBER(SEARCH("Party Name:-",'R.M Billets Reports'!D336)),TRIM('R.M Billets Reports'!F336),IF(ISNUMBER(SEARCH("Party Name-",'R.M Billets Reports'!D336)),TRIM(MID('R.M Billets Reports'!D336,SEARCH("-",'R.M Billets Reports'!D336)+1,200)),"")))="SHREE RADHE SHAKTI SPONGE AND POWER PVT. LTD.","SHREE RADHE",IF(IF(ISNUMBER(SEARCH("Party Name:-",'R.M Billets Reports'!D335)),TRIM('R.M Billets Reports'!F335),IF(ISNUMBER(SEARCH("Party Name-",'R.M Billets Reports'!D335)),TRIM(MID('R.M Billets Reports'!D335,SEARCH("-",'R.M Billets Reports'!D335)+1,200)),""))&lt;&gt;"",IF(ISNUMBER(SEARCH("Party Name:-",'R.M Billets Reports'!D335)),TRIM('R.M Billets Reports'!F335),IF(ISNUMBER(SEARCH("Party Name-",'R.M Billets Reports'!D335)),TRIM(MID('R.M Billets Reports'!D335,SEARCH("-",'R.M Billets Reports'!D335)+1,200)),"")),IF(ISNUMBER(SEARCH("Party Name:-",'R.M Billets Reports'!D336)),TRIM('R.M Billets Reports'!F336),IF(ISNUMBER(SEARCH("Party Name-",'R.M Billets Reports'!D336)),TRIM(MID('R.M Billets Reports'!D336,SEARCH("-",'R.M Billets Reports'!D336)+1,200)),"")))))),IF(ROW()=2,"",A335))</f>
      </c>
      <c r="B336">
        <f>IF(OR('R.M Billets Reports'!A335="Date-",'R.M Billets Reports'!A335="Date:-"),'R.M Billets Reports'!B335,IF(ROW()=2,"",B335))</f>
      </c>
      <c r="C336">
        <f>IF('R.M Billets Reports'!A335="V.No.",'R.M Billets Reports'!B335,IF(ROW()=2,"",C335))</f>
      </c>
      <c r="D336">
        <f>IF('R.M Billets Reports'!A335&lt;&gt;"",'R.M Billets Reports'!A335,IF(ROW()=2,"",D335))</f>
      </c>
      <c r="E336">
        <f>IF('R.M Billets Reports'!B335="","",TRIM('R.M Billets Reports'!B335))</f>
      </c>
      <c r="F336">
        <f>'R.M Billets Reports'!C335</f>
      </c>
      <c r="G336">
        <f>'R.M Billets Reports'!D335</f>
      </c>
      <c r="H336">
        <f>'R.M Billets Reports'!E335</f>
      </c>
      <c r="I336">
        <f>'R.M Billets Reports'!F335</f>
      </c>
      <c r="J336">
        <f>'R.M Billets Reports'!G335</f>
      </c>
      <c r="K336">
        <f>'R.M Billets Reports'!H335</f>
      </c>
      <c r="L336">
        <f>IF('R.M Billets Reports'!I335="","",'R.M Billets Reports'!I335)</f>
      </c>
      <c r="M336">
        <f t="shared" si="10"/>
      </c>
      <c r="N336">
        <f>IF('R.M Billets Reports'!J335="","",'R.M Billets Reports'!J335)</f>
      </c>
      <c r="O336">
        <f t="shared" si="11"/>
      </c>
      <c r="P336">
        <f>IF('R.M Billets Reports'!A335="SIZE",'R.M Billets Reports'!B335,P335)</f>
      </c>
    </row>
    <row r="337" spans="1:16" x14ac:dyDescent="0.25">
      <c r="A337">
        <f>IF(OR('R.M Billets Reports'!A336="Date-",'R.M Billets Reports'!A336="Date:-"),IF(IF(IF(ISNUMBER(SEARCH("Party Name:-",'R.M Billets Reports'!D336)),TRIM('R.M Billets Reports'!F336),IF(ISNUMBER(SEARCH("Party Name-",'R.M Billets Reports'!D336)),TRIM(MID('R.M Billets Reports'!D336,SEARCH("-",'R.M Billets Reports'!D336)+1,200)),""))&lt;&gt;"",IF(ISNUMBER(SEARCH("Party Name:-",'R.M Billets Reports'!D336)),TRIM('R.M Billets Reports'!F336),IF(ISNUMBER(SEARCH("Party Name-",'R.M Billets Reports'!D336)),TRIM(MID('R.M Billets Reports'!D336,SEARCH("-",'R.M Billets Reports'!D336)+1,200)),"")),IF(ISNUMBER(SEARCH("Party Name:-",'R.M Billets Reports'!D337)),TRIM('R.M Billets Reports'!F337),IF(ISNUMBER(SEARCH("Party Name-",'R.M Billets Reports'!D337)),TRIM(MID('R.M Billets Reports'!D337,SEARCH("-",'R.M Billets Reports'!D337)+1,200)),"")))="VRKP ISPAT PVT LTD","VRKP",IF(IF(IF(ISNUMBER(SEARCH("Party Name:-",'R.M Billets Reports'!D336)),TRIM('R.M Billets Reports'!F336),IF(ISNUMBER(SEARCH("Party Name-",'R.M Billets Reports'!D336)),TRIM(MID('R.M Billets Reports'!D336,SEARCH("-",'R.M Billets Reports'!D336)+1,200)),""))&lt;&gt;"",IF(ISNUMBER(SEARCH("Party Name:-",'R.M Billets Reports'!D336)),TRIM('R.M Billets Reports'!F336),IF(ISNUMBER(SEARCH("Party Name-",'R.M Billets Reports'!D336)),TRIM(MID('R.M Billets Reports'!D336,SEARCH("-",'R.M Billets Reports'!D336)+1,200)),"")),IF(ISNUMBER(SEARCH("Party Name:-",'R.M Billets Reports'!D337)),TRIM('R.M Billets Reports'!F337),IF(ISNUMBER(SEARCH("Party Name-",'R.M Billets Reports'!D337)),TRIM(MID('R.M Billets Reports'!D337,SEARCH("-",'R.M Billets Reports'!D337)+1,200)),"")))="SHRI RADHE","SHREE RADHE",IF(IF(IF(ISNUMBER(SEARCH("Party Name:-",'R.M Billets Reports'!D336)),TRIM('R.M Billets Reports'!F336),IF(ISNUMBER(SEARCH("Party Name-",'R.M Billets Reports'!D336)),TRIM(MID('R.M Billets Reports'!D336,SEARCH("-",'R.M Billets Reports'!D336)+1,200)),""))&lt;&gt;"",IF(ISNUMBER(SEARCH("Party Name:-",'R.M Billets Reports'!D336)),TRIM('R.M Billets Reports'!F336),IF(ISNUMBER(SEARCH("Party Name-",'R.M Billets Reports'!D336)),TRIM(MID('R.M Billets Reports'!D336,SEARCH("-",'R.M Billets Reports'!D336)+1,200)),"")),IF(ISNUMBER(SEARCH("Party Name:-",'R.M Billets Reports'!D337)),TRIM('R.M Billets Reports'!F337),IF(ISNUMBER(SEARCH("Party Name-",'R.M Billets Reports'!D337)),TRIM(MID('R.M Billets Reports'!D337,SEARCH("-",'R.M Billets Reports'!D337)+1,200)),"")))="SHREE RADHE SHAKTI SPONGE AND POWER PVT. LTD.","SHREE RADHE",IF(IF(ISNUMBER(SEARCH("Party Name:-",'R.M Billets Reports'!D336)),TRIM('R.M Billets Reports'!F336),IF(ISNUMBER(SEARCH("Party Name-",'R.M Billets Reports'!D336)),TRIM(MID('R.M Billets Reports'!D336,SEARCH("-",'R.M Billets Reports'!D336)+1,200)),""))&lt;&gt;"",IF(ISNUMBER(SEARCH("Party Name:-",'R.M Billets Reports'!D336)),TRIM('R.M Billets Reports'!F336),IF(ISNUMBER(SEARCH("Party Name-",'R.M Billets Reports'!D336)),TRIM(MID('R.M Billets Reports'!D336,SEARCH("-",'R.M Billets Reports'!D336)+1,200)),"")),IF(ISNUMBER(SEARCH("Party Name:-",'R.M Billets Reports'!D337)),TRIM('R.M Billets Reports'!F337),IF(ISNUMBER(SEARCH("Party Name-",'R.M Billets Reports'!D337)),TRIM(MID('R.M Billets Reports'!D337,SEARCH("-",'R.M Billets Reports'!D337)+1,200)),"")))))),IF(ROW()=2,"",A336))</f>
      </c>
      <c r="B337">
        <f>IF(OR('R.M Billets Reports'!A336="Date-",'R.M Billets Reports'!A336="Date:-"),'R.M Billets Reports'!B336,IF(ROW()=2,"",B336))</f>
      </c>
      <c r="C337">
        <f>IF('R.M Billets Reports'!A336="V.No.",'R.M Billets Reports'!B336,IF(ROW()=2,"",C336))</f>
      </c>
      <c r="D337">
        <f>IF('R.M Billets Reports'!A336&lt;&gt;"",'R.M Billets Reports'!A336,IF(ROW()=2,"",D336))</f>
      </c>
      <c r="E337">
        <f>IF('R.M Billets Reports'!B336="","",TRIM('R.M Billets Reports'!B336))</f>
      </c>
      <c r="F337">
        <f>'R.M Billets Reports'!C336</f>
      </c>
      <c r="G337">
        <f>'R.M Billets Reports'!D336</f>
      </c>
      <c r="H337">
        <f>'R.M Billets Reports'!E336</f>
      </c>
      <c r="I337">
        <f>'R.M Billets Reports'!F336</f>
      </c>
      <c r="J337">
        <f>'R.M Billets Reports'!G336</f>
      </c>
      <c r="K337">
        <f>'R.M Billets Reports'!H336</f>
      </c>
      <c r="L337">
        <f>IF('R.M Billets Reports'!I336="","",'R.M Billets Reports'!I336)</f>
      </c>
      <c r="M337">
        <f t="shared" si="10"/>
      </c>
      <c r="N337">
        <f>IF('R.M Billets Reports'!J336="","",'R.M Billets Reports'!J336)</f>
      </c>
      <c r="O337">
        <f t="shared" si="11"/>
      </c>
      <c r="P337">
        <f>IF('R.M Billets Reports'!A336="SIZE",'R.M Billets Reports'!B336,P336)</f>
      </c>
    </row>
    <row r="338" spans="1:16" x14ac:dyDescent="0.25">
      <c r="A338">
        <f>IF(OR('R.M Billets Reports'!A337="Date-",'R.M Billets Reports'!A337="Date:-"),IF(IF(IF(ISNUMBER(SEARCH("Party Name:-",'R.M Billets Reports'!D337)),TRIM('R.M Billets Reports'!F337),IF(ISNUMBER(SEARCH("Party Name-",'R.M Billets Reports'!D337)),TRIM(MID('R.M Billets Reports'!D337,SEARCH("-",'R.M Billets Reports'!D337)+1,200)),""))&lt;&gt;"",IF(ISNUMBER(SEARCH("Party Name:-",'R.M Billets Reports'!D337)),TRIM('R.M Billets Reports'!F337),IF(ISNUMBER(SEARCH("Party Name-",'R.M Billets Reports'!D337)),TRIM(MID('R.M Billets Reports'!D337,SEARCH("-",'R.M Billets Reports'!D337)+1,200)),"")),IF(ISNUMBER(SEARCH("Party Name:-",'R.M Billets Reports'!D338)),TRIM('R.M Billets Reports'!F338),IF(ISNUMBER(SEARCH("Party Name-",'R.M Billets Reports'!D338)),TRIM(MID('R.M Billets Reports'!D338,SEARCH("-",'R.M Billets Reports'!D338)+1,200)),"")))="VRKP ISPAT PVT LTD","VRKP",IF(IF(IF(ISNUMBER(SEARCH("Party Name:-",'R.M Billets Reports'!D337)),TRIM('R.M Billets Reports'!F337),IF(ISNUMBER(SEARCH("Party Name-",'R.M Billets Reports'!D337)),TRIM(MID('R.M Billets Reports'!D337,SEARCH("-",'R.M Billets Reports'!D337)+1,200)),""))&lt;&gt;"",IF(ISNUMBER(SEARCH("Party Name:-",'R.M Billets Reports'!D337)),TRIM('R.M Billets Reports'!F337),IF(ISNUMBER(SEARCH("Party Name-",'R.M Billets Reports'!D337)),TRIM(MID('R.M Billets Reports'!D337,SEARCH("-",'R.M Billets Reports'!D337)+1,200)),"")),IF(ISNUMBER(SEARCH("Party Name:-",'R.M Billets Reports'!D338)),TRIM('R.M Billets Reports'!F338),IF(ISNUMBER(SEARCH("Party Name-",'R.M Billets Reports'!D338)),TRIM(MID('R.M Billets Reports'!D338,SEARCH("-",'R.M Billets Reports'!D338)+1,200)),"")))="SHRI RADHE","SHREE RADHE",IF(IF(IF(ISNUMBER(SEARCH("Party Name:-",'R.M Billets Reports'!D337)),TRIM('R.M Billets Reports'!F337),IF(ISNUMBER(SEARCH("Party Name-",'R.M Billets Reports'!D337)),TRIM(MID('R.M Billets Reports'!D337,SEARCH("-",'R.M Billets Reports'!D337)+1,200)),""))&lt;&gt;"",IF(ISNUMBER(SEARCH("Party Name:-",'R.M Billets Reports'!D337)),TRIM('R.M Billets Reports'!F337),IF(ISNUMBER(SEARCH("Party Name-",'R.M Billets Reports'!D337)),TRIM(MID('R.M Billets Reports'!D337,SEARCH("-",'R.M Billets Reports'!D337)+1,200)),"")),IF(ISNUMBER(SEARCH("Party Name:-",'R.M Billets Reports'!D338)),TRIM('R.M Billets Reports'!F338),IF(ISNUMBER(SEARCH("Party Name-",'R.M Billets Reports'!D338)),TRIM(MID('R.M Billets Reports'!D338,SEARCH("-",'R.M Billets Reports'!D338)+1,200)),"")))="SHREE RADHE SHAKTI SPONGE AND POWER PVT. LTD.","SHREE RADHE",IF(IF(ISNUMBER(SEARCH("Party Name:-",'R.M Billets Reports'!D337)),TRIM('R.M Billets Reports'!F337),IF(ISNUMBER(SEARCH("Party Name-",'R.M Billets Reports'!D337)),TRIM(MID('R.M Billets Reports'!D337,SEARCH("-",'R.M Billets Reports'!D337)+1,200)),""))&lt;&gt;"",IF(ISNUMBER(SEARCH("Party Name:-",'R.M Billets Reports'!D337)),TRIM('R.M Billets Reports'!F337),IF(ISNUMBER(SEARCH("Party Name-",'R.M Billets Reports'!D337)),TRIM(MID('R.M Billets Reports'!D337,SEARCH("-",'R.M Billets Reports'!D337)+1,200)),"")),IF(ISNUMBER(SEARCH("Party Name:-",'R.M Billets Reports'!D338)),TRIM('R.M Billets Reports'!F338),IF(ISNUMBER(SEARCH("Party Name-",'R.M Billets Reports'!D338)),TRIM(MID('R.M Billets Reports'!D338,SEARCH("-",'R.M Billets Reports'!D338)+1,200)),"")))))),IF(ROW()=2,"",A337))</f>
      </c>
      <c r="B338">
        <f>IF(OR('R.M Billets Reports'!A337="Date-",'R.M Billets Reports'!A337="Date:-"),'R.M Billets Reports'!B337,IF(ROW()=2,"",B337))</f>
      </c>
      <c r="C338">
        <f>IF('R.M Billets Reports'!A337="V.No.",'R.M Billets Reports'!B337,IF(ROW()=2,"",C337))</f>
      </c>
      <c r="D338">
        <f>IF('R.M Billets Reports'!A337&lt;&gt;"",'R.M Billets Reports'!A337,IF(ROW()=2,"",D337))</f>
      </c>
      <c r="E338">
        <f>IF('R.M Billets Reports'!B337="","",TRIM('R.M Billets Reports'!B337))</f>
      </c>
      <c r="F338">
        <f>'R.M Billets Reports'!C337</f>
      </c>
      <c r="G338">
        <f>'R.M Billets Reports'!D337</f>
      </c>
      <c r="H338">
        <f>'R.M Billets Reports'!E337</f>
      </c>
      <c r="I338">
        <f>'R.M Billets Reports'!F337</f>
      </c>
      <c r="J338">
        <f>'R.M Billets Reports'!G337</f>
      </c>
      <c r="K338">
        <f>'R.M Billets Reports'!H337</f>
      </c>
      <c r="L338">
        <f>IF('R.M Billets Reports'!I337="","",'R.M Billets Reports'!I337)</f>
      </c>
      <c r="M338">
        <f t="shared" si="10"/>
      </c>
      <c r="N338">
        <f>IF('R.M Billets Reports'!J337="","",'R.M Billets Reports'!J337)</f>
      </c>
      <c r="O338">
        <f t="shared" si="11"/>
      </c>
      <c r="P338">
        <f>IF('R.M Billets Reports'!A337="SIZE",'R.M Billets Reports'!B337,P337)</f>
      </c>
    </row>
    <row r="339" spans="1:16" x14ac:dyDescent="0.25">
      <c r="A339">
        <f>IF(OR('R.M Billets Reports'!A338="Date-",'R.M Billets Reports'!A338="Date:-"),IF(IF(IF(ISNUMBER(SEARCH("Party Name:-",'R.M Billets Reports'!D338)),TRIM('R.M Billets Reports'!F338),IF(ISNUMBER(SEARCH("Party Name-",'R.M Billets Reports'!D338)),TRIM(MID('R.M Billets Reports'!D338,SEARCH("-",'R.M Billets Reports'!D338)+1,200)),""))&lt;&gt;"",IF(ISNUMBER(SEARCH("Party Name:-",'R.M Billets Reports'!D338)),TRIM('R.M Billets Reports'!F338),IF(ISNUMBER(SEARCH("Party Name-",'R.M Billets Reports'!D338)),TRIM(MID('R.M Billets Reports'!D338,SEARCH("-",'R.M Billets Reports'!D338)+1,200)),"")),IF(ISNUMBER(SEARCH("Party Name:-",'R.M Billets Reports'!D339)),TRIM('R.M Billets Reports'!F339),IF(ISNUMBER(SEARCH("Party Name-",'R.M Billets Reports'!D339)),TRIM(MID('R.M Billets Reports'!D339,SEARCH("-",'R.M Billets Reports'!D339)+1,200)),"")))="VRKP ISPAT PVT LTD","VRKP",IF(IF(IF(ISNUMBER(SEARCH("Party Name:-",'R.M Billets Reports'!D338)),TRIM('R.M Billets Reports'!F338),IF(ISNUMBER(SEARCH("Party Name-",'R.M Billets Reports'!D338)),TRIM(MID('R.M Billets Reports'!D338,SEARCH("-",'R.M Billets Reports'!D338)+1,200)),""))&lt;&gt;"",IF(ISNUMBER(SEARCH("Party Name:-",'R.M Billets Reports'!D338)),TRIM('R.M Billets Reports'!F338),IF(ISNUMBER(SEARCH("Party Name-",'R.M Billets Reports'!D338)),TRIM(MID('R.M Billets Reports'!D338,SEARCH("-",'R.M Billets Reports'!D338)+1,200)),"")),IF(ISNUMBER(SEARCH("Party Name:-",'R.M Billets Reports'!D339)),TRIM('R.M Billets Reports'!F339),IF(ISNUMBER(SEARCH("Party Name-",'R.M Billets Reports'!D339)),TRIM(MID('R.M Billets Reports'!D339,SEARCH("-",'R.M Billets Reports'!D339)+1,200)),"")))="SHRI RADHE","SHREE RADHE",IF(IF(IF(ISNUMBER(SEARCH("Party Name:-",'R.M Billets Reports'!D338)),TRIM('R.M Billets Reports'!F338),IF(ISNUMBER(SEARCH("Party Name-",'R.M Billets Reports'!D338)),TRIM(MID('R.M Billets Reports'!D338,SEARCH("-",'R.M Billets Reports'!D338)+1,200)),""))&lt;&gt;"",IF(ISNUMBER(SEARCH("Party Name:-",'R.M Billets Reports'!D338)),TRIM('R.M Billets Reports'!F338),IF(ISNUMBER(SEARCH("Party Name-",'R.M Billets Reports'!D338)),TRIM(MID('R.M Billets Reports'!D338,SEARCH("-",'R.M Billets Reports'!D338)+1,200)),"")),IF(ISNUMBER(SEARCH("Party Name:-",'R.M Billets Reports'!D339)),TRIM('R.M Billets Reports'!F339),IF(ISNUMBER(SEARCH("Party Name-",'R.M Billets Reports'!D339)),TRIM(MID('R.M Billets Reports'!D339,SEARCH("-",'R.M Billets Reports'!D339)+1,200)),"")))="SHREE RADHE SHAKTI SPONGE AND POWER PVT. LTD.","SHREE RADHE",IF(IF(ISNUMBER(SEARCH("Party Name:-",'R.M Billets Reports'!D338)),TRIM('R.M Billets Reports'!F338),IF(ISNUMBER(SEARCH("Party Name-",'R.M Billets Reports'!D338)),TRIM(MID('R.M Billets Reports'!D338,SEARCH("-",'R.M Billets Reports'!D338)+1,200)),""))&lt;&gt;"",IF(ISNUMBER(SEARCH("Party Name:-",'R.M Billets Reports'!D338)),TRIM('R.M Billets Reports'!F338),IF(ISNUMBER(SEARCH("Party Name-",'R.M Billets Reports'!D338)),TRIM(MID('R.M Billets Reports'!D338,SEARCH("-",'R.M Billets Reports'!D338)+1,200)),"")),IF(ISNUMBER(SEARCH("Party Name:-",'R.M Billets Reports'!D339)),TRIM('R.M Billets Reports'!F339),IF(ISNUMBER(SEARCH("Party Name-",'R.M Billets Reports'!D339)),TRIM(MID('R.M Billets Reports'!D339,SEARCH("-",'R.M Billets Reports'!D339)+1,200)),"")))))),IF(ROW()=2,"",A338))</f>
      </c>
      <c r="B339">
        <f>IF(OR('R.M Billets Reports'!A338="Date-",'R.M Billets Reports'!A338="Date:-"),'R.M Billets Reports'!B338,IF(ROW()=2,"",B338))</f>
      </c>
      <c r="C339">
        <f>IF('R.M Billets Reports'!A338="V.No.",'R.M Billets Reports'!B338,IF(ROW()=2,"",C338))</f>
      </c>
      <c r="D339">
        <f>IF('R.M Billets Reports'!A338&lt;&gt;"",'R.M Billets Reports'!A338,IF(ROW()=2,"",D338))</f>
      </c>
      <c r="E339">
        <f>IF('R.M Billets Reports'!B338="","",TRIM('R.M Billets Reports'!B338))</f>
      </c>
      <c r="F339">
        <f>'R.M Billets Reports'!C338</f>
      </c>
      <c r="G339">
        <f>'R.M Billets Reports'!D338</f>
      </c>
      <c r="H339">
        <f>'R.M Billets Reports'!E338</f>
      </c>
      <c r="I339">
        <f>'R.M Billets Reports'!F338</f>
      </c>
      <c r="J339">
        <f>'R.M Billets Reports'!G338</f>
      </c>
      <c r="K339">
        <f>'R.M Billets Reports'!H338</f>
      </c>
      <c r="L339">
        <f>IF('R.M Billets Reports'!I338="","",'R.M Billets Reports'!I338)</f>
      </c>
      <c r="M339">
        <f t="shared" si="10"/>
      </c>
      <c r="N339">
        <f>IF('R.M Billets Reports'!J338="","",'R.M Billets Reports'!J338)</f>
      </c>
      <c r="O339">
        <f t="shared" si="11"/>
      </c>
      <c r="P339">
        <f>IF('R.M Billets Reports'!A338="SIZE",'R.M Billets Reports'!B338,P338)</f>
      </c>
    </row>
    <row r="340" spans="1:16" x14ac:dyDescent="0.25">
      <c r="A340">
        <f>IF(OR('R.M Billets Reports'!A339="Date-",'R.M Billets Reports'!A339="Date:-"),IF(IF(IF(ISNUMBER(SEARCH("Party Name:-",'R.M Billets Reports'!D339)),TRIM('R.M Billets Reports'!F339),IF(ISNUMBER(SEARCH("Party Name-",'R.M Billets Reports'!D339)),TRIM(MID('R.M Billets Reports'!D339,SEARCH("-",'R.M Billets Reports'!D339)+1,200)),""))&lt;&gt;"",IF(ISNUMBER(SEARCH("Party Name:-",'R.M Billets Reports'!D339)),TRIM('R.M Billets Reports'!F339),IF(ISNUMBER(SEARCH("Party Name-",'R.M Billets Reports'!D339)),TRIM(MID('R.M Billets Reports'!D339,SEARCH("-",'R.M Billets Reports'!D339)+1,200)),"")),IF(ISNUMBER(SEARCH("Party Name:-",'R.M Billets Reports'!D340)),TRIM('R.M Billets Reports'!F340),IF(ISNUMBER(SEARCH("Party Name-",'R.M Billets Reports'!D340)),TRIM(MID('R.M Billets Reports'!D340,SEARCH("-",'R.M Billets Reports'!D340)+1,200)),"")))="VRKP ISPAT PVT LTD","VRKP",IF(IF(IF(ISNUMBER(SEARCH("Party Name:-",'R.M Billets Reports'!D339)),TRIM('R.M Billets Reports'!F339),IF(ISNUMBER(SEARCH("Party Name-",'R.M Billets Reports'!D339)),TRIM(MID('R.M Billets Reports'!D339,SEARCH("-",'R.M Billets Reports'!D339)+1,200)),""))&lt;&gt;"",IF(ISNUMBER(SEARCH("Party Name:-",'R.M Billets Reports'!D339)),TRIM('R.M Billets Reports'!F339),IF(ISNUMBER(SEARCH("Party Name-",'R.M Billets Reports'!D339)),TRIM(MID('R.M Billets Reports'!D339,SEARCH("-",'R.M Billets Reports'!D339)+1,200)),"")),IF(ISNUMBER(SEARCH("Party Name:-",'R.M Billets Reports'!D340)),TRIM('R.M Billets Reports'!F340),IF(ISNUMBER(SEARCH("Party Name-",'R.M Billets Reports'!D340)),TRIM(MID('R.M Billets Reports'!D340,SEARCH("-",'R.M Billets Reports'!D340)+1,200)),"")))="SHRI RADHE","SHREE RADHE",IF(IF(IF(ISNUMBER(SEARCH("Party Name:-",'R.M Billets Reports'!D339)),TRIM('R.M Billets Reports'!F339),IF(ISNUMBER(SEARCH("Party Name-",'R.M Billets Reports'!D339)),TRIM(MID('R.M Billets Reports'!D339,SEARCH("-",'R.M Billets Reports'!D339)+1,200)),""))&lt;&gt;"",IF(ISNUMBER(SEARCH("Party Name:-",'R.M Billets Reports'!D339)),TRIM('R.M Billets Reports'!F339),IF(ISNUMBER(SEARCH("Party Name-",'R.M Billets Reports'!D339)),TRIM(MID('R.M Billets Reports'!D339,SEARCH("-",'R.M Billets Reports'!D339)+1,200)),"")),IF(ISNUMBER(SEARCH("Party Name:-",'R.M Billets Reports'!D340)),TRIM('R.M Billets Reports'!F340),IF(ISNUMBER(SEARCH("Party Name-",'R.M Billets Reports'!D340)),TRIM(MID('R.M Billets Reports'!D340,SEARCH("-",'R.M Billets Reports'!D340)+1,200)),"")))="SHREE RADHE SHAKTI SPONGE AND POWER PVT. LTD.","SHREE RADHE",IF(IF(ISNUMBER(SEARCH("Party Name:-",'R.M Billets Reports'!D339)),TRIM('R.M Billets Reports'!F339),IF(ISNUMBER(SEARCH("Party Name-",'R.M Billets Reports'!D339)),TRIM(MID('R.M Billets Reports'!D339,SEARCH("-",'R.M Billets Reports'!D339)+1,200)),""))&lt;&gt;"",IF(ISNUMBER(SEARCH("Party Name:-",'R.M Billets Reports'!D339)),TRIM('R.M Billets Reports'!F339),IF(ISNUMBER(SEARCH("Party Name-",'R.M Billets Reports'!D339)),TRIM(MID('R.M Billets Reports'!D339,SEARCH("-",'R.M Billets Reports'!D339)+1,200)),"")),IF(ISNUMBER(SEARCH("Party Name:-",'R.M Billets Reports'!D340)),TRIM('R.M Billets Reports'!F340),IF(ISNUMBER(SEARCH("Party Name-",'R.M Billets Reports'!D340)),TRIM(MID('R.M Billets Reports'!D340,SEARCH("-",'R.M Billets Reports'!D340)+1,200)),"")))))),IF(ROW()=2,"",A339))</f>
      </c>
      <c r="B340">
        <f>IF(OR('R.M Billets Reports'!A339="Date-",'R.M Billets Reports'!A339="Date:-"),'R.M Billets Reports'!B339,IF(ROW()=2,"",B339))</f>
      </c>
      <c r="C340">
        <f>IF('R.M Billets Reports'!A339="V.No.",'R.M Billets Reports'!B339,IF(ROW()=2,"",C339))</f>
      </c>
      <c r="D340">
        <f>IF('R.M Billets Reports'!A339&lt;&gt;"",'R.M Billets Reports'!A339,IF(ROW()=2,"",D339))</f>
      </c>
      <c r="E340">
        <f>IF('R.M Billets Reports'!B339="","",TRIM('R.M Billets Reports'!B339))</f>
      </c>
      <c r="F340">
        <f>'R.M Billets Reports'!C339</f>
      </c>
      <c r="G340">
        <f>'R.M Billets Reports'!D339</f>
      </c>
      <c r="H340">
        <f>'R.M Billets Reports'!E339</f>
      </c>
      <c r="I340">
        <f>'R.M Billets Reports'!F339</f>
      </c>
      <c r="J340">
        <f>'R.M Billets Reports'!G339</f>
      </c>
      <c r="K340">
        <f>'R.M Billets Reports'!H339</f>
      </c>
      <c r="L340">
        <f>IF('R.M Billets Reports'!I339="","",'R.M Billets Reports'!I339)</f>
      </c>
      <c r="M340">
        <f t="shared" si="10"/>
      </c>
      <c r="N340">
        <f>IF('R.M Billets Reports'!J339="","",'R.M Billets Reports'!J339)</f>
      </c>
      <c r="O340">
        <f t="shared" si="11"/>
      </c>
      <c r="P340">
        <f>IF('R.M Billets Reports'!A339="SIZE",'R.M Billets Reports'!B339,P339)</f>
      </c>
    </row>
    <row r="341" spans="1:16" x14ac:dyDescent="0.25">
      <c r="A341">
        <f>IF(OR('R.M Billets Reports'!A340="Date-",'R.M Billets Reports'!A340="Date:-"),IF(IF(IF(ISNUMBER(SEARCH("Party Name:-",'R.M Billets Reports'!D340)),TRIM('R.M Billets Reports'!F340),IF(ISNUMBER(SEARCH("Party Name-",'R.M Billets Reports'!D340)),TRIM(MID('R.M Billets Reports'!D340,SEARCH("-",'R.M Billets Reports'!D340)+1,200)),""))&lt;&gt;"",IF(ISNUMBER(SEARCH("Party Name:-",'R.M Billets Reports'!D340)),TRIM('R.M Billets Reports'!F340),IF(ISNUMBER(SEARCH("Party Name-",'R.M Billets Reports'!D340)),TRIM(MID('R.M Billets Reports'!D340,SEARCH("-",'R.M Billets Reports'!D340)+1,200)),"")),IF(ISNUMBER(SEARCH("Party Name:-",'R.M Billets Reports'!D341)),TRIM('R.M Billets Reports'!F341),IF(ISNUMBER(SEARCH("Party Name-",'R.M Billets Reports'!D341)),TRIM(MID('R.M Billets Reports'!D341,SEARCH("-",'R.M Billets Reports'!D341)+1,200)),"")))="VRKP ISPAT PVT LTD","VRKP",IF(IF(IF(ISNUMBER(SEARCH("Party Name:-",'R.M Billets Reports'!D340)),TRIM('R.M Billets Reports'!F340),IF(ISNUMBER(SEARCH("Party Name-",'R.M Billets Reports'!D340)),TRIM(MID('R.M Billets Reports'!D340,SEARCH("-",'R.M Billets Reports'!D340)+1,200)),""))&lt;&gt;"",IF(ISNUMBER(SEARCH("Party Name:-",'R.M Billets Reports'!D340)),TRIM('R.M Billets Reports'!F340),IF(ISNUMBER(SEARCH("Party Name-",'R.M Billets Reports'!D340)),TRIM(MID('R.M Billets Reports'!D340,SEARCH("-",'R.M Billets Reports'!D340)+1,200)),"")),IF(ISNUMBER(SEARCH("Party Name:-",'R.M Billets Reports'!D341)),TRIM('R.M Billets Reports'!F341),IF(ISNUMBER(SEARCH("Party Name-",'R.M Billets Reports'!D341)),TRIM(MID('R.M Billets Reports'!D341,SEARCH("-",'R.M Billets Reports'!D341)+1,200)),"")))="SHRI RADHE","SHREE RADHE",IF(IF(IF(ISNUMBER(SEARCH("Party Name:-",'R.M Billets Reports'!D340)),TRIM('R.M Billets Reports'!F340),IF(ISNUMBER(SEARCH("Party Name-",'R.M Billets Reports'!D340)),TRIM(MID('R.M Billets Reports'!D340,SEARCH("-",'R.M Billets Reports'!D340)+1,200)),""))&lt;&gt;"",IF(ISNUMBER(SEARCH("Party Name:-",'R.M Billets Reports'!D340)),TRIM('R.M Billets Reports'!F340),IF(ISNUMBER(SEARCH("Party Name-",'R.M Billets Reports'!D340)),TRIM(MID('R.M Billets Reports'!D340,SEARCH("-",'R.M Billets Reports'!D340)+1,200)),"")),IF(ISNUMBER(SEARCH("Party Name:-",'R.M Billets Reports'!D341)),TRIM('R.M Billets Reports'!F341),IF(ISNUMBER(SEARCH("Party Name-",'R.M Billets Reports'!D341)),TRIM(MID('R.M Billets Reports'!D341,SEARCH("-",'R.M Billets Reports'!D341)+1,200)),"")))="SHREE RADHE SHAKTI SPONGE AND POWER PVT. LTD.","SHREE RADHE",IF(IF(ISNUMBER(SEARCH("Party Name:-",'R.M Billets Reports'!D340)),TRIM('R.M Billets Reports'!F340),IF(ISNUMBER(SEARCH("Party Name-",'R.M Billets Reports'!D340)),TRIM(MID('R.M Billets Reports'!D340,SEARCH("-",'R.M Billets Reports'!D340)+1,200)),""))&lt;&gt;"",IF(ISNUMBER(SEARCH("Party Name:-",'R.M Billets Reports'!D340)),TRIM('R.M Billets Reports'!F340),IF(ISNUMBER(SEARCH("Party Name-",'R.M Billets Reports'!D340)),TRIM(MID('R.M Billets Reports'!D340,SEARCH("-",'R.M Billets Reports'!D340)+1,200)),"")),IF(ISNUMBER(SEARCH("Party Name:-",'R.M Billets Reports'!D341)),TRIM('R.M Billets Reports'!F341),IF(ISNUMBER(SEARCH("Party Name-",'R.M Billets Reports'!D341)),TRIM(MID('R.M Billets Reports'!D341,SEARCH("-",'R.M Billets Reports'!D341)+1,200)),"")))))),IF(ROW()=2,"",A340))</f>
      </c>
      <c r="B341">
        <f>IF(OR('R.M Billets Reports'!A340="Date-",'R.M Billets Reports'!A340="Date:-"),'R.M Billets Reports'!B340,IF(ROW()=2,"",B340))</f>
      </c>
      <c r="C341">
        <f>IF('R.M Billets Reports'!A340="V.No.",'R.M Billets Reports'!B340,IF(ROW()=2,"",C340))</f>
      </c>
      <c r="D341">
        <f>IF('R.M Billets Reports'!A340&lt;&gt;"",'R.M Billets Reports'!A340,IF(ROW()=2,"",D340))</f>
      </c>
      <c r="E341">
        <f>IF('R.M Billets Reports'!B340="","",TRIM('R.M Billets Reports'!B340))</f>
      </c>
      <c r="F341">
        <f>'R.M Billets Reports'!C340</f>
      </c>
      <c r="G341">
        <f>'R.M Billets Reports'!D340</f>
      </c>
      <c r="H341">
        <f>'R.M Billets Reports'!E340</f>
      </c>
      <c r="I341">
        <f>'R.M Billets Reports'!F340</f>
      </c>
      <c r="J341">
        <f>'R.M Billets Reports'!G340</f>
      </c>
      <c r="K341">
        <f>'R.M Billets Reports'!H340</f>
      </c>
      <c r="L341">
        <f>IF('R.M Billets Reports'!I340="","",'R.M Billets Reports'!I340)</f>
      </c>
      <c r="M341">
        <f t="shared" si="10"/>
      </c>
      <c r="N341">
        <f>IF('R.M Billets Reports'!J340="","",'R.M Billets Reports'!J340)</f>
      </c>
      <c r="O341">
        <f t="shared" si="11"/>
      </c>
      <c r="P341">
        <f>IF('R.M Billets Reports'!A340="SIZE",'R.M Billets Reports'!B340,P340)</f>
      </c>
    </row>
    <row r="342" spans="1:16" x14ac:dyDescent="0.25">
      <c r="A342">
        <f>IF(OR('R.M Billets Reports'!A341="Date-",'R.M Billets Reports'!A341="Date:-"),IF(IF(IF(ISNUMBER(SEARCH("Party Name:-",'R.M Billets Reports'!D341)),TRIM('R.M Billets Reports'!F341),IF(ISNUMBER(SEARCH("Party Name-",'R.M Billets Reports'!D341)),TRIM(MID('R.M Billets Reports'!D341,SEARCH("-",'R.M Billets Reports'!D341)+1,200)),""))&lt;&gt;"",IF(ISNUMBER(SEARCH("Party Name:-",'R.M Billets Reports'!D341)),TRIM('R.M Billets Reports'!F341),IF(ISNUMBER(SEARCH("Party Name-",'R.M Billets Reports'!D341)),TRIM(MID('R.M Billets Reports'!D341,SEARCH("-",'R.M Billets Reports'!D341)+1,200)),"")),IF(ISNUMBER(SEARCH("Party Name:-",'R.M Billets Reports'!D342)),TRIM('R.M Billets Reports'!F342),IF(ISNUMBER(SEARCH("Party Name-",'R.M Billets Reports'!D342)),TRIM(MID('R.M Billets Reports'!D342,SEARCH("-",'R.M Billets Reports'!D342)+1,200)),"")))="VRKP ISPAT PVT LTD","VRKP",IF(IF(IF(ISNUMBER(SEARCH("Party Name:-",'R.M Billets Reports'!D341)),TRIM('R.M Billets Reports'!F341),IF(ISNUMBER(SEARCH("Party Name-",'R.M Billets Reports'!D341)),TRIM(MID('R.M Billets Reports'!D341,SEARCH("-",'R.M Billets Reports'!D341)+1,200)),""))&lt;&gt;"",IF(ISNUMBER(SEARCH("Party Name:-",'R.M Billets Reports'!D341)),TRIM('R.M Billets Reports'!F341),IF(ISNUMBER(SEARCH("Party Name-",'R.M Billets Reports'!D341)),TRIM(MID('R.M Billets Reports'!D341,SEARCH("-",'R.M Billets Reports'!D341)+1,200)),"")),IF(ISNUMBER(SEARCH("Party Name:-",'R.M Billets Reports'!D342)),TRIM('R.M Billets Reports'!F342),IF(ISNUMBER(SEARCH("Party Name-",'R.M Billets Reports'!D342)),TRIM(MID('R.M Billets Reports'!D342,SEARCH("-",'R.M Billets Reports'!D342)+1,200)),"")))="SHRI RADHE","SHREE RADHE",IF(IF(IF(ISNUMBER(SEARCH("Party Name:-",'R.M Billets Reports'!D341)),TRIM('R.M Billets Reports'!F341),IF(ISNUMBER(SEARCH("Party Name-",'R.M Billets Reports'!D341)),TRIM(MID('R.M Billets Reports'!D341,SEARCH("-",'R.M Billets Reports'!D341)+1,200)),""))&lt;&gt;"",IF(ISNUMBER(SEARCH("Party Name:-",'R.M Billets Reports'!D341)),TRIM('R.M Billets Reports'!F341),IF(ISNUMBER(SEARCH("Party Name-",'R.M Billets Reports'!D341)),TRIM(MID('R.M Billets Reports'!D341,SEARCH("-",'R.M Billets Reports'!D341)+1,200)),"")),IF(ISNUMBER(SEARCH("Party Name:-",'R.M Billets Reports'!D342)),TRIM('R.M Billets Reports'!F342),IF(ISNUMBER(SEARCH("Party Name-",'R.M Billets Reports'!D342)),TRIM(MID('R.M Billets Reports'!D342,SEARCH("-",'R.M Billets Reports'!D342)+1,200)),"")))="SHREE RADHE SHAKTI SPONGE AND POWER PVT. LTD.","SHREE RADHE",IF(IF(ISNUMBER(SEARCH("Party Name:-",'R.M Billets Reports'!D341)),TRIM('R.M Billets Reports'!F341),IF(ISNUMBER(SEARCH("Party Name-",'R.M Billets Reports'!D341)),TRIM(MID('R.M Billets Reports'!D341,SEARCH("-",'R.M Billets Reports'!D341)+1,200)),""))&lt;&gt;"",IF(ISNUMBER(SEARCH("Party Name:-",'R.M Billets Reports'!D341)),TRIM('R.M Billets Reports'!F341),IF(ISNUMBER(SEARCH("Party Name-",'R.M Billets Reports'!D341)),TRIM(MID('R.M Billets Reports'!D341,SEARCH("-",'R.M Billets Reports'!D341)+1,200)),"")),IF(ISNUMBER(SEARCH("Party Name:-",'R.M Billets Reports'!D342)),TRIM('R.M Billets Reports'!F342),IF(ISNUMBER(SEARCH("Party Name-",'R.M Billets Reports'!D342)),TRIM(MID('R.M Billets Reports'!D342,SEARCH("-",'R.M Billets Reports'!D342)+1,200)),"")))))),IF(ROW()=2,"",A341))</f>
      </c>
      <c r="B342">
        <f>IF(OR('R.M Billets Reports'!A341="Date-",'R.M Billets Reports'!A341="Date:-"),'R.M Billets Reports'!B341,IF(ROW()=2,"",B341))</f>
      </c>
      <c r="C342">
        <f>IF('R.M Billets Reports'!A341="V.No.",'R.M Billets Reports'!B341,IF(ROW()=2,"",C341))</f>
      </c>
      <c r="D342">
        <f>IF('R.M Billets Reports'!A341&lt;&gt;"",'R.M Billets Reports'!A341,IF(ROW()=2,"",D341))</f>
      </c>
      <c r="E342">
        <f>IF('R.M Billets Reports'!B341="","",TRIM('R.M Billets Reports'!B341))</f>
      </c>
      <c r="F342">
        <f>'R.M Billets Reports'!C341</f>
      </c>
      <c r="G342">
        <f>'R.M Billets Reports'!D341</f>
      </c>
      <c r="H342">
        <f>'R.M Billets Reports'!E341</f>
      </c>
      <c r="I342">
        <f>'R.M Billets Reports'!F341</f>
      </c>
      <c r="J342">
        <f>'R.M Billets Reports'!G341</f>
      </c>
      <c r="K342">
        <f>'R.M Billets Reports'!H341</f>
      </c>
      <c r="L342">
        <f>IF('R.M Billets Reports'!I341="","",'R.M Billets Reports'!I341)</f>
      </c>
      <c r="M342">
        <f t="shared" si="10"/>
      </c>
      <c r="N342">
        <f>IF('R.M Billets Reports'!J341="","",'R.M Billets Reports'!J341)</f>
      </c>
      <c r="O342">
        <f t="shared" si="11"/>
      </c>
      <c r="P342">
        <f>IF('R.M Billets Reports'!A341="SIZE",'R.M Billets Reports'!B341,P341)</f>
      </c>
    </row>
    <row r="343" spans="1:16" x14ac:dyDescent="0.25">
      <c r="A343">
        <f>IF(OR('R.M Billets Reports'!A342="Date-",'R.M Billets Reports'!A342="Date:-"),IF(IF(IF(ISNUMBER(SEARCH("Party Name:-",'R.M Billets Reports'!D342)),TRIM('R.M Billets Reports'!F342),IF(ISNUMBER(SEARCH("Party Name-",'R.M Billets Reports'!D342)),TRIM(MID('R.M Billets Reports'!D342,SEARCH("-",'R.M Billets Reports'!D342)+1,200)),""))&lt;&gt;"",IF(ISNUMBER(SEARCH("Party Name:-",'R.M Billets Reports'!D342)),TRIM('R.M Billets Reports'!F342),IF(ISNUMBER(SEARCH("Party Name-",'R.M Billets Reports'!D342)),TRIM(MID('R.M Billets Reports'!D342,SEARCH("-",'R.M Billets Reports'!D342)+1,200)),"")),IF(ISNUMBER(SEARCH("Party Name:-",'R.M Billets Reports'!D343)),TRIM('R.M Billets Reports'!F343),IF(ISNUMBER(SEARCH("Party Name-",'R.M Billets Reports'!D343)),TRIM(MID('R.M Billets Reports'!D343,SEARCH("-",'R.M Billets Reports'!D343)+1,200)),"")))="VRKP ISPAT PVT LTD","VRKP",IF(IF(IF(ISNUMBER(SEARCH("Party Name:-",'R.M Billets Reports'!D342)),TRIM('R.M Billets Reports'!F342),IF(ISNUMBER(SEARCH("Party Name-",'R.M Billets Reports'!D342)),TRIM(MID('R.M Billets Reports'!D342,SEARCH("-",'R.M Billets Reports'!D342)+1,200)),""))&lt;&gt;"",IF(ISNUMBER(SEARCH("Party Name:-",'R.M Billets Reports'!D342)),TRIM('R.M Billets Reports'!F342),IF(ISNUMBER(SEARCH("Party Name-",'R.M Billets Reports'!D342)),TRIM(MID('R.M Billets Reports'!D342,SEARCH("-",'R.M Billets Reports'!D342)+1,200)),"")),IF(ISNUMBER(SEARCH("Party Name:-",'R.M Billets Reports'!D343)),TRIM('R.M Billets Reports'!F343),IF(ISNUMBER(SEARCH("Party Name-",'R.M Billets Reports'!D343)),TRIM(MID('R.M Billets Reports'!D343,SEARCH("-",'R.M Billets Reports'!D343)+1,200)),"")))="SHRI RADHE","SHREE RADHE",IF(IF(IF(ISNUMBER(SEARCH("Party Name:-",'R.M Billets Reports'!D342)),TRIM('R.M Billets Reports'!F342),IF(ISNUMBER(SEARCH("Party Name-",'R.M Billets Reports'!D342)),TRIM(MID('R.M Billets Reports'!D342,SEARCH("-",'R.M Billets Reports'!D342)+1,200)),""))&lt;&gt;"",IF(ISNUMBER(SEARCH("Party Name:-",'R.M Billets Reports'!D342)),TRIM('R.M Billets Reports'!F342),IF(ISNUMBER(SEARCH("Party Name-",'R.M Billets Reports'!D342)),TRIM(MID('R.M Billets Reports'!D342,SEARCH("-",'R.M Billets Reports'!D342)+1,200)),"")),IF(ISNUMBER(SEARCH("Party Name:-",'R.M Billets Reports'!D343)),TRIM('R.M Billets Reports'!F343),IF(ISNUMBER(SEARCH("Party Name-",'R.M Billets Reports'!D343)),TRIM(MID('R.M Billets Reports'!D343,SEARCH("-",'R.M Billets Reports'!D343)+1,200)),"")))="SHREE RADHE SHAKTI SPONGE AND POWER PVT. LTD.","SHREE RADHE",IF(IF(ISNUMBER(SEARCH("Party Name:-",'R.M Billets Reports'!D342)),TRIM('R.M Billets Reports'!F342),IF(ISNUMBER(SEARCH("Party Name-",'R.M Billets Reports'!D342)),TRIM(MID('R.M Billets Reports'!D342,SEARCH("-",'R.M Billets Reports'!D342)+1,200)),""))&lt;&gt;"",IF(ISNUMBER(SEARCH("Party Name:-",'R.M Billets Reports'!D342)),TRIM('R.M Billets Reports'!F342),IF(ISNUMBER(SEARCH("Party Name-",'R.M Billets Reports'!D342)),TRIM(MID('R.M Billets Reports'!D342,SEARCH("-",'R.M Billets Reports'!D342)+1,200)),"")),IF(ISNUMBER(SEARCH("Party Name:-",'R.M Billets Reports'!D343)),TRIM('R.M Billets Reports'!F343),IF(ISNUMBER(SEARCH("Party Name-",'R.M Billets Reports'!D343)),TRIM(MID('R.M Billets Reports'!D343,SEARCH("-",'R.M Billets Reports'!D343)+1,200)),"")))))),IF(ROW()=2,"",A342))</f>
      </c>
      <c r="B343">
        <f>IF(OR('R.M Billets Reports'!A342="Date-",'R.M Billets Reports'!A342="Date:-"),'R.M Billets Reports'!B342,IF(ROW()=2,"",B342))</f>
      </c>
      <c r="C343">
        <f>IF('R.M Billets Reports'!A342="V.No.",'R.M Billets Reports'!B342,IF(ROW()=2,"",C342))</f>
      </c>
      <c r="D343">
        <f>IF('R.M Billets Reports'!A342&lt;&gt;"",'R.M Billets Reports'!A342,IF(ROW()=2,"",D342))</f>
      </c>
      <c r="E343">
        <f>IF('R.M Billets Reports'!B342="","",TRIM('R.M Billets Reports'!B342))</f>
      </c>
      <c r="F343">
        <f>'R.M Billets Reports'!C342</f>
      </c>
      <c r="G343">
        <f>'R.M Billets Reports'!D342</f>
      </c>
      <c r="H343">
        <f>'R.M Billets Reports'!E342</f>
      </c>
      <c r="I343">
        <f>'R.M Billets Reports'!F342</f>
      </c>
      <c r="J343">
        <f>'R.M Billets Reports'!G342</f>
      </c>
      <c r="K343">
        <f>'R.M Billets Reports'!H342</f>
      </c>
      <c r="L343">
        <f>IF('R.M Billets Reports'!I342="","",'R.M Billets Reports'!I342)</f>
      </c>
      <c r="M343">
        <f t="shared" si="10"/>
      </c>
      <c r="N343">
        <f>IF('R.M Billets Reports'!J342="","",'R.M Billets Reports'!J342)</f>
      </c>
      <c r="O343">
        <f t="shared" si="11"/>
      </c>
      <c r="P343">
        <f>IF('R.M Billets Reports'!A342="SIZE",'R.M Billets Reports'!B342,P342)</f>
      </c>
    </row>
    <row r="344" spans="1:16" x14ac:dyDescent="0.25">
      <c r="A344">
        <f>IF(OR('R.M Billets Reports'!A343="Date-",'R.M Billets Reports'!A343="Date:-"),IF(IF(IF(ISNUMBER(SEARCH("Party Name:-",'R.M Billets Reports'!D343)),TRIM('R.M Billets Reports'!F343),IF(ISNUMBER(SEARCH("Party Name-",'R.M Billets Reports'!D343)),TRIM(MID('R.M Billets Reports'!D343,SEARCH("-",'R.M Billets Reports'!D343)+1,200)),""))&lt;&gt;"",IF(ISNUMBER(SEARCH("Party Name:-",'R.M Billets Reports'!D343)),TRIM('R.M Billets Reports'!F343),IF(ISNUMBER(SEARCH("Party Name-",'R.M Billets Reports'!D343)),TRIM(MID('R.M Billets Reports'!D343,SEARCH("-",'R.M Billets Reports'!D343)+1,200)),"")),IF(ISNUMBER(SEARCH("Party Name:-",'R.M Billets Reports'!D344)),TRIM('R.M Billets Reports'!F344),IF(ISNUMBER(SEARCH("Party Name-",'R.M Billets Reports'!D344)),TRIM(MID('R.M Billets Reports'!D344,SEARCH("-",'R.M Billets Reports'!D344)+1,200)),"")))="VRKP ISPAT PVT LTD","VRKP",IF(IF(IF(ISNUMBER(SEARCH("Party Name:-",'R.M Billets Reports'!D343)),TRIM('R.M Billets Reports'!F343),IF(ISNUMBER(SEARCH("Party Name-",'R.M Billets Reports'!D343)),TRIM(MID('R.M Billets Reports'!D343,SEARCH("-",'R.M Billets Reports'!D343)+1,200)),""))&lt;&gt;"",IF(ISNUMBER(SEARCH("Party Name:-",'R.M Billets Reports'!D343)),TRIM('R.M Billets Reports'!F343),IF(ISNUMBER(SEARCH("Party Name-",'R.M Billets Reports'!D343)),TRIM(MID('R.M Billets Reports'!D343,SEARCH("-",'R.M Billets Reports'!D343)+1,200)),"")),IF(ISNUMBER(SEARCH("Party Name:-",'R.M Billets Reports'!D344)),TRIM('R.M Billets Reports'!F344),IF(ISNUMBER(SEARCH("Party Name-",'R.M Billets Reports'!D344)),TRIM(MID('R.M Billets Reports'!D344,SEARCH("-",'R.M Billets Reports'!D344)+1,200)),"")))="SHRI RADHE","SHREE RADHE",IF(IF(IF(ISNUMBER(SEARCH("Party Name:-",'R.M Billets Reports'!D343)),TRIM('R.M Billets Reports'!F343),IF(ISNUMBER(SEARCH("Party Name-",'R.M Billets Reports'!D343)),TRIM(MID('R.M Billets Reports'!D343,SEARCH("-",'R.M Billets Reports'!D343)+1,200)),""))&lt;&gt;"",IF(ISNUMBER(SEARCH("Party Name:-",'R.M Billets Reports'!D343)),TRIM('R.M Billets Reports'!F343),IF(ISNUMBER(SEARCH("Party Name-",'R.M Billets Reports'!D343)),TRIM(MID('R.M Billets Reports'!D343,SEARCH("-",'R.M Billets Reports'!D343)+1,200)),"")),IF(ISNUMBER(SEARCH("Party Name:-",'R.M Billets Reports'!D344)),TRIM('R.M Billets Reports'!F344),IF(ISNUMBER(SEARCH("Party Name-",'R.M Billets Reports'!D344)),TRIM(MID('R.M Billets Reports'!D344,SEARCH("-",'R.M Billets Reports'!D344)+1,200)),"")))="SHREE RADHE SHAKTI SPONGE AND POWER PVT. LTD.","SHREE RADHE",IF(IF(ISNUMBER(SEARCH("Party Name:-",'R.M Billets Reports'!D343)),TRIM('R.M Billets Reports'!F343),IF(ISNUMBER(SEARCH("Party Name-",'R.M Billets Reports'!D343)),TRIM(MID('R.M Billets Reports'!D343,SEARCH("-",'R.M Billets Reports'!D343)+1,200)),""))&lt;&gt;"",IF(ISNUMBER(SEARCH("Party Name:-",'R.M Billets Reports'!D343)),TRIM('R.M Billets Reports'!F343),IF(ISNUMBER(SEARCH("Party Name-",'R.M Billets Reports'!D343)),TRIM(MID('R.M Billets Reports'!D343,SEARCH("-",'R.M Billets Reports'!D343)+1,200)),"")),IF(ISNUMBER(SEARCH("Party Name:-",'R.M Billets Reports'!D344)),TRIM('R.M Billets Reports'!F344),IF(ISNUMBER(SEARCH("Party Name-",'R.M Billets Reports'!D344)),TRIM(MID('R.M Billets Reports'!D344,SEARCH("-",'R.M Billets Reports'!D344)+1,200)),"")))))),IF(ROW()=2,"",A343))</f>
      </c>
      <c r="B344">
        <f>IF(OR('R.M Billets Reports'!A343="Date-",'R.M Billets Reports'!A343="Date:-"),'R.M Billets Reports'!B343,IF(ROW()=2,"",B343))</f>
      </c>
      <c r="C344">
        <f>IF('R.M Billets Reports'!A343="V.No.",'R.M Billets Reports'!B343,IF(ROW()=2,"",C343))</f>
      </c>
      <c r="D344">
        <f>IF('R.M Billets Reports'!A343&lt;&gt;"",'R.M Billets Reports'!A343,IF(ROW()=2,"",D343))</f>
      </c>
      <c r="E344">
        <f>IF('R.M Billets Reports'!B343="","",TRIM('R.M Billets Reports'!B343))</f>
      </c>
      <c r="F344">
        <f>'R.M Billets Reports'!C343</f>
      </c>
      <c r="G344">
        <f>'R.M Billets Reports'!D343</f>
      </c>
      <c r="H344">
        <f>'R.M Billets Reports'!E343</f>
      </c>
      <c r="I344">
        <f>'R.M Billets Reports'!F343</f>
      </c>
      <c r="J344">
        <f>'R.M Billets Reports'!G343</f>
      </c>
      <c r="K344">
        <f>'R.M Billets Reports'!H343</f>
      </c>
      <c r="L344">
        <f>IF('R.M Billets Reports'!I343="","",'R.M Billets Reports'!I343)</f>
      </c>
      <c r="M344">
        <f t="shared" si="10"/>
      </c>
      <c r="N344">
        <f>IF('R.M Billets Reports'!J343="","",'R.M Billets Reports'!J343)</f>
      </c>
      <c r="O344">
        <f t="shared" si="11"/>
      </c>
      <c r="P344">
        <f>IF('R.M Billets Reports'!A343="SIZE",'R.M Billets Reports'!B343,P343)</f>
      </c>
    </row>
    <row r="345" spans="1:16" x14ac:dyDescent="0.25">
      <c r="A345">
        <f>IF(OR('R.M Billets Reports'!A344="Date-",'R.M Billets Reports'!A344="Date:-"),IF(IF(IF(ISNUMBER(SEARCH("Party Name:-",'R.M Billets Reports'!D344)),TRIM('R.M Billets Reports'!F344),IF(ISNUMBER(SEARCH("Party Name-",'R.M Billets Reports'!D344)),TRIM(MID('R.M Billets Reports'!D344,SEARCH("-",'R.M Billets Reports'!D344)+1,200)),""))&lt;&gt;"",IF(ISNUMBER(SEARCH("Party Name:-",'R.M Billets Reports'!D344)),TRIM('R.M Billets Reports'!F344),IF(ISNUMBER(SEARCH("Party Name-",'R.M Billets Reports'!D344)),TRIM(MID('R.M Billets Reports'!D344,SEARCH("-",'R.M Billets Reports'!D344)+1,200)),"")),IF(ISNUMBER(SEARCH("Party Name:-",'R.M Billets Reports'!D345)),TRIM('R.M Billets Reports'!F345),IF(ISNUMBER(SEARCH("Party Name-",'R.M Billets Reports'!D345)),TRIM(MID('R.M Billets Reports'!D345,SEARCH("-",'R.M Billets Reports'!D345)+1,200)),"")))="VRKP ISPAT PVT LTD","VRKP",IF(IF(IF(ISNUMBER(SEARCH("Party Name:-",'R.M Billets Reports'!D344)),TRIM('R.M Billets Reports'!F344),IF(ISNUMBER(SEARCH("Party Name-",'R.M Billets Reports'!D344)),TRIM(MID('R.M Billets Reports'!D344,SEARCH("-",'R.M Billets Reports'!D344)+1,200)),""))&lt;&gt;"",IF(ISNUMBER(SEARCH("Party Name:-",'R.M Billets Reports'!D344)),TRIM('R.M Billets Reports'!F344),IF(ISNUMBER(SEARCH("Party Name-",'R.M Billets Reports'!D344)),TRIM(MID('R.M Billets Reports'!D344,SEARCH("-",'R.M Billets Reports'!D344)+1,200)),"")),IF(ISNUMBER(SEARCH("Party Name:-",'R.M Billets Reports'!D345)),TRIM('R.M Billets Reports'!F345),IF(ISNUMBER(SEARCH("Party Name-",'R.M Billets Reports'!D345)),TRIM(MID('R.M Billets Reports'!D345,SEARCH("-",'R.M Billets Reports'!D345)+1,200)),"")))="SHRI RADHE","SHREE RADHE",IF(IF(IF(ISNUMBER(SEARCH("Party Name:-",'R.M Billets Reports'!D344)),TRIM('R.M Billets Reports'!F344),IF(ISNUMBER(SEARCH("Party Name-",'R.M Billets Reports'!D344)),TRIM(MID('R.M Billets Reports'!D344,SEARCH("-",'R.M Billets Reports'!D344)+1,200)),""))&lt;&gt;"",IF(ISNUMBER(SEARCH("Party Name:-",'R.M Billets Reports'!D344)),TRIM('R.M Billets Reports'!F344),IF(ISNUMBER(SEARCH("Party Name-",'R.M Billets Reports'!D344)),TRIM(MID('R.M Billets Reports'!D344,SEARCH("-",'R.M Billets Reports'!D344)+1,200)),"")),IF(ISNUMBER(SEARCH("Party Name:-",'R.M Billets Reports'!D345)),TRIM('R.M Billets Reports'!F345),IF(ISNUMBER(SEARCH("Party Name-",'R.M Billets Reports'!D345)),TRIM(MID('R.M Billets Reports'!D345,SEARCH("-",'R.M Billets Reports'!D345)+1,200)),"")))="SHREE RADHE SHAKTI SPONGE AND POWER PVT. LTD.","SHREE RADHE",IF(IF(ISNUMBER(SEARCH("Party Name:-",'R.M Billets Reports'!D344)),TRIM('R.M Billets Reports'!F344),IF(ISNUMBER(SEARCH("Party Name-",'R.M Billets Reports'!D344)),TRIM(MID('R.M Billets Reports'!D344,SEARCH("-",'R.M Billets Reports'!D344)+1,200)),""))&lt;&gt;"",IF(ISNUMBER(SEARCH("Party Name:-",'R.M Billets Reports'!D344)),TRIM('R.M Billets Reports'!F344),IF(ISNUMBER(SEARCH("Party Name-",'R.M Billets Reports'!D344)),TRIM(MID('R.M Billets Reports'!D344,SEARCH("-",'R.M Billets Reports'!D344)+1,200)),"")),IF(ISNUMBER(SEARCH("Party Name:-",'R.M Billets Reports'!D345)),TRIM('R.M Billets Reports'!F345),IF(ISNUMBER(SEARCH("Party Name-",'R.M Billets Reports'!D345)),TRIM(MID('R.M Billets Reports'!D345,SEARCH("-",'R.M Billets Reports'!D345)+1,200)),"")))))),IF(ROW()=2,"",A344))</f>
      </c>
      <c r="B345">
        <f>IF(OR('R.M Billets Reports'!A344="Date-",'R.M Billets Reports'!A344="Date:-"),'R.M Billets Reports'!B344,IF(ROW()=2,"",B344))</f>
      </c>
      <c r="C345">
        <f>IF('R.M Billets Reports'!A344="V.No.",'R.M Billets Reports'!B344,IF(ROW()=2,"",C344))</f>
      </c>
      <c r="D345">
        <f>IF('R.M Billets Reports'!A344&lt;&gt;"",'R.M Billets Reports'!A344,IF(ROW()=2,"",D344))</f>
      </c>
      <c r="E345">
        <f>IF('R.M Billets Reports'!B344="","",TRIM('R.M Billets Reports'!B344))</f>
      </c>
      <c r="F345">
        <f>'R.M Billets Reports'!C344</f>
      </c>
      <c r="G345">
        <f>'R.M Billets Reports'!D344</f>
      </c>
      <c r="H345">
        <f>'R.M Billets Reports'!E344</f>
      </c>
      <c r="I345">
        <f>'R.M Billets Reports'!F344</f>
      </c>
      <c r="J345">
        <f>'R.M Billets Reports'!G344</f>
      </c>
      <c r="K345">
        <f>'R.M Billets Reports'!H344</f>
      </c>
      <c r="L345">
        <f>IF('R.M Billets Reports'!I344="","",'R.M Billets Reports'!I344)</f>
      </c>
      <c r="M345">
        <f t="shared" si="10"/>
      </c>
      <c r="N345">
        <f>IF('R.M Billets Reports'!J344="","",'R.M Billets Reports'!J344)</f>
      </c>
      <c r="O345">
        <f t="shared" si="11"/>
      </c>
      <c r="P345">
        <f>IF('R.M Billets Reports'!A344="SIZE",'R.M Billets Reports'!B344,P344)</f>
      </c>
    </row>
    <row r="346" spans="1:16" x14ac:dyDescent="0.25">
      <c r="A346">
        <f>IF(OR('R.M Billets Reports'!A345="Date-",'R.M Billets Reports'!A345="Date:-"),IF(IF(IF(ISNUMBER(SEARCH("Party Name:-",'R.M Billets Reports'!D345)),TRIM('R.M Billets Reports'!F345),IF(ISNUMBER(SEARCH("Party Name-",'R.M Billets Reports'!D345)),TRIM(MID('R.M Billets Reports'!D345,SEARCH("-",'R.M Billets Reports'!D345)+1,200)),""))&lt;&gt;"",IF(ISNUMBER(SEARCH("Party Name:-",'R.M Billets Reports'!D345)),TRIM('R.M Billets Reports'!F345),IF(ISNUMBER(SEARCH("Party Name-",'R.M Billets Reports'!D345)),TRIM(MID('R.M Billets Reports'!D345,SEARCH("-",'R.M Billets Reports'!D345)+1,200)),"")),IF(ISNUMBER(SEARCH("Party Name:-",'R.M Billets Reports'!D346)),TRIM('R.M Billets Reports'!F346),IF(ISNUMBER(SEARCH("Party Name-",'R.M Billets Reports'!D346)),TRIM(MID('R.M Billets Reports'!D346,SEARCH("-",'R.M Billets Reports'!D346)+1,200)),"")))="VRKP ISPAT PVT LTD","VRKP",IF(IF(IF(ISNUMBER(SEARCH("Party Name:-",'R.M Billets Reports'!D345)),TRIM('R.M Billets Reports'!F345),IF(ISNUMBER(SEARCH("Party Name-",'R.M Billets Reports'!D345)),TRIM(MID('R.M Billets Reports'!D345,SEARCH("-",'R.M Billets Reports'!D345)+1,200)),""))&lt;&gt;"",IF(ISNUMBER(SEARCH("Party Name:-",'R.M Billets Reports'!D345)),TRIM('R.M Billets Reports'!F345),IF(ISNUMBER(SEARCH("Party Name-",'R.M Billets Reports'!D345)),TRIM(MID('R.M Billets Reports'!D345,SEARCH("-",'R.M Billets Reports'!D345)+1,200)),"")),IF(ISNUMBER(SEARCH("Party Name:-",'R.M Billets Reports'!D346)),TRIM('R.M Billets Reports'!F346),IF(ISNUMBER(SEARCH("Party Name-",'R.M Billets Reports'!D346)),TRIM(MID('R.M Billets Reports'!D346,SEARCH("-",'R.M Billets Reports'!D346)+1,200)),"")))="SHRI RADHE","SHREE RADHE",IF(IF(IF(ISNUMBER(SEARCH("Party Name:-",'R.M Billets Reports'!D345)),TRIM('R.M Billets Reports'!F345),IF(ISNUMBER(SEARCH("Party Name-",'R.M Billets Reports'!D345)),TRIM(MID('R.M Billets Reports'!D345,SEARCH("-",'R.M Billets Reports'!D345)+1,200)),""))&lt;&gt;"",IF(ISNUMBER(SEARCH("Party Name:-",'R.M Billets Reports'!D345)),TRIM('R.M Billets Reports'!F345),IF(ISNUMBER(SEARCH("Party Name-",'R.M Billets Reports'!D345)),TRIM(MID('R.M Billets Reports'!D345,SEARCH("-",'R.M Billets Reports'!D345)+1,200)),"")),IF(ISNUMBER(SEARCH("Party Name:-",'R.M Billets Reports'!D346)),TRIM('R.M Billets Reports'!F346),IF(ISNUMBER(SEARCH("Party Name-",'R.M Billets Reports'!D346)),TRIM(MID('R.M Billets Reports'!D346,SEARCH("-",'R.M Billets Reports'!D346)+1,200)),"")))="SHREE RADHE SHAKTI SPONGE AND POWER PVT. LTD.","SHREE RADHE",IF(IF(ISNUMBER(SEARCH("Party Name:-",'R.M Billets Reports'!D345)),TRIM('R.M Billets Reports'!F345),IF(ISNUMBER(SEARCH("Party Name-",'R.M Billets Reports'!D345)),TRIM(MID('R.M Billets Reports'!D345,SEARCH("-",'R.M Billets Reports'!D345)+1,200)),""))&lt;&gt;"",IF(ISNUMBER(SEARCH("Party Name:-",'R.M Billets Reports'!D345)),TRIM('R.M Billets Reports'!F345),IF(ISNUMBER(SEARCH("Party Name-",'R.M Billets Reports'!D345)),TRIM(MID('R.M Billets Reports'!D345,SEARCH("-",'R.M Billets Reports'!D345)+1,200)),"")),IF(ISNUMBER(SEARCH("Party Name:-",'R.M Billets Reports'!D346)),TRIM('R.M Billets Reports'!F346),IF(ISNUMBER(SEARCH("Party Name-",'R.M Billets Reports'!D346)),TRIM(MID('R.M Billets Reports'!D346,SEARCH("-",'R.M Billets Reports'!D346)+1,200)),"")))))),IF(ROW()=2,"",A345))</f>
      </c>
      <c r="B346">
        <f>IF(OR('R.M Billets Reports'!A345="Date-",'R.M Billets Reports'!A345="Date:-"),'R.M Billets Reports'!B345,IF(ROW()=2,"",B345))</f>
      </c>
      <c r="C346">
        <f>IF('R.M Billets Reports'!A345="V.No.",'R.M Billets Reports'!B345,IF(ROW()=2,"",C345))</f>
      </c>
      <c r="D346">
        <f>IF('R.M Billets Reports'!A345&lt;&gt;"",'R.M Billets Reports'!A345,IF(ROW()=2,"",D345))</f>
      </c>
      <c r="E346">
        <f>IF('R.M Billets Reports'!B345="","",TRIM('R.M Billets Reports'!B345))</f>
      </c>
      <c r="F346">
        <f>'R.M Billets Reports'!C345</f>
      </c>
      <c r="G346">
        <f>'R.M Billets Reports'!D345</f>
      </c>
      <c r="H346">
        <f>'R.M Billets Reports'!E345</f>
      </c>
      <c r="I346">
        <f>'R.M Billets Reports'!F345</f>
      </c>
      <c r="J346">
        <f>'R.M Billets Reports'!G345</f>
      </c>
      <c r="K346">
        <f>'R.M Billets Reports'!H345</f>
      </c>
      <c r="L346">
        <f>IF('R.M Billets Reports'!I345="","",'R.M Billets Reports'!I345)</f>
      </c>
      <c r="M346">
        <f t="shared" si="10"/>
      </c>
      <c r="N346">
        <f>IF('R.M Billets Reports'!J345="","",'R.M Billets Reports'!J345)</f>
      </c>
      <c r="O346">
        <f t="shared" si="11"/>
      </c>
      <c r="P346">
        <f>IF('R.M Billets Reports'!A345="SIZE",'R.M Billets Reports'!B345,P345)</f>
      </c>
    </row>
    <row r="347" spans="1:16" x14ac:dyDescent="0.25">
      <c r="A347">
        <f>IF(OR('R.M Billets Reports'!A346="Date-",'R.M Billets Reports'!A346="Date:-"),IF(IF(IF(ISNUMBER(SEARCH("Party Name:-",'R.M Billets Reports'!D346)),TRIM('R.M Billets Reports'!F346),IF(ISNUMBER(SEARCH("Party Name-",'R.M Billets Reports'!D346)),TRIM(MID('R.M Billets Reports'!D346,SEARCH("-",'R.M Billets Reports'!D346)+1,200)),""))&lt;&gt;"",IF(ISNUMBER(SEARCH("Party Name:-",'R.M Billets Reports'!D346)),TRIM('R.M Billets Reports'!F346),IF(ISNUMBER(SEARCH("Party Name-",'R.M Billets Reports'!D346)),TRIM(MID('R.M Billets Reports'!D346,SEARCH("-",'R.M Billets Reports'!D346)+1,200)),"")),IF(ISNUMBER(SEARCH("Party Name:-",'R.M Billets Reports'!D347)),TRIM('R.M Billets Reports'!F347),IF(ISNUMBER(SEARCH("Party Name-",'R.M Billets Reports'!D347)),TRIM(MID('R.M Billets Reports'!D347,SEARCH("-",'R.M Billets Reports'!D347)+1,200)),"")))="VRKP ISPAT PVT LTD","VRKP",IF(IF(IF(ISNUMBER(SEARCH("Party Name:-",'R.M Billets Reports'!D346)),TRIM('R.M Billets Reports'!F346),IF(ISNUMBER(SEARCH("Party Name-",'R.M Billets Reports'!D346)),TRIM(MID('R.M Billets Reports'!D346,SEARCH("-",'R.M Billets Reports'!D346)+1,200)),""))&lt;&gt;"",IF(ISNUMBER(SEARCH("Party Name:-",'R.M Billets Reports'!D346)),TRIM('R.M Billets Reports'!F346),IF(ISNUMBER(SEARCH("Party Name-",'R.M Billets Reports'!D346)),TRIM(MID('R.M Billets Reports'!D346,SEARCH("-",'R.M Billets Reports'!D346)+1,200)),"")),IF(ISNUMBER(SEARCH("Party Name:-",'R.M Billets Reports'!D347)),TRIM('R.M Billets Reports'!F347),IF(ISNUMBER(SEARCH("Party Name-",'R.M Billets Reports'!D347)),TRIM(MID('R.M Billets Reports'!D347,SEARCH("-",'R.M Billets Reports'!D347)+1,200)),"")))="SHRI RADHE","SHREE RADHE",IF(IF(IF(ISNUMBER(SEARCH("Party Name:-",'R.M Billets Reports'!D346)),TRIM('R.M Billets Reports'!F346),IF(ISNUMBER(SEARCH("Party Name-",'R.M Billets Reports'!D346)),TRIM(MID('R.M Billets Reports'!D346,SEARCH("-",'R.M Billets Reports'!D346)+1,200)),""))&lt;&gt;"",IF(ISNUMBER(SEARCH("Party Name:-",'R.M Billets Reports'!D346)),TRIM('R.M Billets Reports'!F346),IF(ISNUMBER(SEARCH("Party Name-",'R.M Billets Reports'!D346)),TRIM(MID('R.M Billets Reports'!D346,SEARCH("-",'R.M Billets Reports'!D346)+1,200)),"")),IF(ISNUMBER(SEARCH("Party Name:-",'R.M Billets Reports'!D347)),TRIM('R.M Billets Reports'!F347),IF(ISNUMBER(SEARCH("Party Name-",'R.M Billets Reports'!D347)),TRIM(MID('R.M Billets Reports'!D347,SEARCH("-",'R.M Billets Reports'!D347)+1,200)),"")))="SHREE RADHE SHAKTI SPONGE AND POWER PVT. LTD.","SHREE RADHE",IF(IF(ISNUMBER(SEARCH("Party Name:-",'R.M Billets Reports'!D346)),TRIM('R.M Billets Reports'!F346),IF(ISNUMBER(SEARCH("Party Name-",'R.M Billets Reports'!D346)),TRIM(MID('R.M Billets Reports'!D346,SEARCH("-",'R.M Billets Reports'!D346)+1,200)),""))&lt;&gt;"",IF(ISNUMBER(SEARCH("Party Name:-",'R.M Billets Reports'!D346)),TRIM('R.M Billets Reports'!F346),IF(ISNUMBER(SEARCH("Party Name-",'R.M Billets Reports'!D346)),TRIM(MID('R.M Billets Reports'!D346,SEARCH("-",'R.M Billets Reports'!D346)+1,200)),"")),IF(ISNUMBER(SEARCH("Party Name:-",'R.M Billets Reports'!D347)),TRIM('R.M Billets Reports'!F347),IF(ISNUMBER(SEARCH("Party Name-",'R.M Billets Reports'!D347)),TRIM(MID('R.M Billets Reports'!D347,SEARCH("-",'R.M Billets Reports'!D347)+1,200)),"")))))),IF(ROW()=2,"",A346))</f>
      </c>
      <c r="B347">
        <f>IF(OR('R.M Billets Reports'!A346="Date-",'R.M Billets Reports'!A346="Date:-"),'R.M Billets Reports'!B346,IF(ROW()=2,"",B346))</f>
      </c>
      <c r="C347">
        <f>IF('R.M Billets Reports'!A346="V.No.",'R.M Billets Reports'!B346,IF(ROW()=2,"",C346))</f>
      </c>
      <c r="D347">
        <f>IF('R.M Billets Reports'!A346&lt;&gt;"",'R.M Billets Reports'!A346,IF(ROW()=2,"",D346))</f>
      </c>
      <c r="E347">
        <f>IF('R.M Billets Reports'!B346="","",TRIM('R.M Billets Reports'!B346))</f>
      </c>
      <c r="F347">
        <f>'R.M Billets Reports'!C346</f>
      </c>
      <c r="G347">
        <f>'R.M Billets Reports'!D346</f>
      </c>
      <c r="H347">
        <f>'R.M Billets Reports'!E346</f>
      </c>
      <c r="I347">
        <f>'R.M Billets Reports'!F346</f>
      </c>
      <c r="J347">
        <f>'R.M Billets Reports'!G346</f>
      </c>
      <c r="K347">
        <f>'R.M Billets Reports'!H346</f>
      </c>
      <c r="L347">
        <f>IF('R.M Billets Reports'!I346="","",'R.M Billets Reports'!I346)</f>
      </c>
      <c r="M347">
        <f t="shared" si="10"/>
      </c>
      <c r="N347">
        <f>IF('R.M Billets Reports'!J346="","",'R.M Billets Reports'!J346)</f>
      </c>
      <c r="O347">
        <f t="shared" si="11"/>
      </c>
      <c r="P347">
        <f>IF('R.M Billets Reports'!A346="SIZE",'R.M Billets Reports'!B346,P346)</f>
      </c>
    </row>
    <row r="348" spans="1:16" x14ac:dyDescent="0.25">
      <c r="A348">
        <f>IF(OR('R.M Billets Reports'!A347="Date-",'R.M Billets Reports'!A347="Date:-"),IF(IF(IF(ISNUMBER(SEARCH("Party Name:-",'R.M Billets Reports'!D347)),TRIM('R.M Billets Reports'!F347),IF(ISNUMBER(SEARCH("Party Name-",'R.M Billets Reports'!D347)),TRIM(MID('R.M Billets Reports'!D347,SEARCH("-",'R.M Billets Reports'!D347)+1,200)),""))&lt;&gt;"",IF(ISNUMBER(SEARCH("Party Name:-",'R.M Billets Reports'!D347)),TRIM('R.M Billets Reports'!F347),IF(ISNUMBER(SEARCH("Party Name-",'R.M Billets Reports'!D347)),TRIM(MID('R.M Billets Reports'!D347,SEARCH("-",'R.M Billets Reports'!D347)+1,200)),"")),IF(ISNUMBER(SEARCH("Party Name:-",'R.M Billets Reports'!D348)),TRIM('R.M Billets Reports'!F348),IF(ISNUMBER(SEARCH("Party Name-",'R.M Billets Reports'!D348)),TRIM(MID('R.M Billets Reports'!D348,SEARCH("-",'R.M Billets Reports'!D348)+1,200)),"")))="VRKP ISPAT PVT LTD","VRKP",IF(IF(IF(ISNUMBER(SEARCH("Party Name:-",'R.M Billets Reports'!D347)),TRIM('R.M Billets Reports'!F347),IF(ISNUMBER(SEARCH("Party Name-",'R.M Billets Reports'!D347)),TRIM(MID('R.M Billets Reports'!D347,SEARCH("-",'R.M Billets Reports'!D347)+1,200)),""))&lt;&gt;"",IF(ISNUMBER(SEARCH("Party Name:-",'R.M Billets Reports'!D347)),TRIM('R.M Billets Reports'!F347),IF(ISNUMBER(SEARCH("Party Name-",'R.M Billets Reports'!D347)),TRIM(MID('R.M Billets Reports'!D347,SEARCH("-",'R.M Billets Reports'!D347)+1,200)),"")),IF(ISNUMBER(SEARCH("Party Name:-",'R.M Billets Reports'!D348)),TRIM('R.M Billets Reports'!F348),IF(ISNUMBER(SEARCH("Party Name-",'R.M Billets Reports'!D348)),TRIM(MID('R.M Billets Reports'!D348,SEARCH("-",'R.M Billets Reports'!D348)+1,200)),"")))="SHRI RADHE","SHREE RADHE",IF(IF(IF(ISNUMBER(SEARCH("Party Name:-",'R.M Billets Reports'!D347)),TRIM('R.M Billets Reports'!F347),IF(ISNUMBER(SEARCH("Party Name-",'R.M Billets Reports'!D347)),TRIM(MID('R.M Billets Reports'!D347,SEARCH("-",'R.M Billets Reports'!D347)+1,200)),""))&lt;&gt;"",IF(ISNUMBER(SEARCH("Party Name:-",'R.M Billets Reports'!D347)),TRIM('R.M Billets Reports'!F347),IF(ISNUMBER(SEARCH("Party Name-",'R.M Billets Reports'!D347)),TRIM(MID('R.M Billets Reports'!D347,SEARCH("-",'R.M Billets Reports'!D347)+1,200)),"")),IF(ISNUMBER(SEARCH("Party Name:-",'R.M Billets Reports'!D348)),TRIM('R.M Billets Reports'!F348),IF(ISNUMBER(SEARCH("Party Name-",'R.M Billets Reports'!D348)),TRIM(MID('R.M Billets Reports'!D348,SEARCH("-",'R.M Billets Reports'!D348)+1,200)),"")))="SHREE RADHE SHAKTI SPONGE AND POWER PVT. LTD.","SHREE RADHE",IF(IF(ISNUMBER(SEARCH("Party Name:-",'R.M Billets Reports'!D347)),TRIM('R.M Billets Reports'!F347),IF(ISNUMBER(SEARCH("Party Name-",'R.M Billets Reports'!D347)),TRIM(MID('R.M Billets Reports'!D347,SEARCH("-",'R.M Billets Reports'!D347)+1,200)),""))&lt;&gt;"",IF(ISNUMBER(SEARCH("Party Name:-",'R.M Billets Reports'!D347)),TRIM('R.M Billets Reports'!F347),IF(ISNUMBER(SEARCH("Party Name-",'R.M Billets Reports'!D347)),TRIM(MID('R.M Billets Reports'!D347,SEARCH("-",'R.M Billets Reports'!D347)+1,200)),"")),IF(ISNUMBER(SEARCH("Party Name:-",'R.M Billets Reports'!D348)),TRIM('R.M Billets Reports'!F348),IF(ISNUMBER(SEARCH("Party Name-",'R.M Billets Reports'!D348)),TRIM(MID('R.M Billets Reports'!D348,SEARCH("-",'R.M Billets Reports'!D348)+1,200)),"")))))),IF(ROW()=2,"",A347))</f>
      </c>
      <c r="B348">
        <f>IF(OR('R.M Billets Reports'!A347="Date-",'R.M Billets Reports'!A347="Date:-"),'R.M Billets Reports'!B347,IF(ROW()=2,"",B347))</f>
      </c>
      <c r="C348">
        <f>IF('R.M Billets Reports'!A347="V.No.",'R.M Billets Reports'!B347,IF(ROW()=2,"",C347))</f>
      </c>
      <c r="D348">
        <f>IF('R.M Billets Reports'!A347&lt;&gt;"",'R.M Billets Reports'!A347,IF(ROW()=2,"",D347))</f>
      </c>
      <c r="E348">
        <f>IF('R.M Billets Reports'!B347="","",TRIM('R.M Billets Reports'!B347))</f>
      </c>
      <c r="F348">
        <f>'R.M Billets Reports'!C347</f>
      </c>
      <c r="G348">
        <f>'R.M Billets Reports'!D347</f>
      </c>
      <c r="H348">
        <f>'R.M Billets Reports'!E347</f>
      </c>
      <c r="I348">
        <f>'R.M Billets Reports'!F347</f>
      </c>
      <c r="J348">
        <f>'R.M Billets Reports'!G347</f>
      </c>
      <c r="K348">
        <f>'R.M Billets Reports'!H347</f>
      </c>
      <c r="L348">
        <f>IF('R.M Billets Reports'!I347="","",'R.M Billets Reports'!I347)</f>
      </c>
      <c r="M348">
        <f t="shared" si="10"/>
      </c>
      <c r="N348">
        <f>IF('R.M Billets Reports'!J347="","",'R.M Billets Reports'!J347)</f>
      </c>
      <c r="O348">
        <f t="shared" si="11"/>
      </c>
      <c r="P348">
        <f>IF('R.M Billets Reports'!A347="SIZE",'R.M Billets Reports'!B347,P347)</f>
      </c>
    </row>
    <row r="349" spans="1:16" x14ac:dyDescent="0.25">
      <c r="A349">
        <f>IF(OR('R.M Billets Reports'!A348="Date-",'R.M Billets Reports'!A348="Date:-"),IF(IF(IF(ISNUMBER(SEARCH("Party Name:-",'R.M Billets Reports'!D348)),TRIM('R.M Billets Reports'!F348),IF(ISNUMBER(SEARCH("Party Name-",'R.M Billets Reports'!D348)),TRIM(MID('R.M Billets Reports'!D348,SEARCH("-",'R.M Billets Reports'!D348)+1,200)),""))&lt;&gt;"",IF(ISNUMBER(SEARCH("Party Name:-",'R.M Billets Reports'!D348)),TRIM('R.M Billets Reports'!F348),IF(ISNUMBER(SEARCH("Party Name-",'R.M Billets Reports'!D348)),TRIM(MID('R.M Billets Reports'!D348,SEARCH("-",'R.M Billets Reports'!D348)+1,200)),"")),IF(ISNUMBER(SEARCH("Party Name:-",'R.M Billets Reports'!D349)),TRIM('R.M Billets Reports'!F349),IF(ISNUMBER(SEARCH("Party Name-",'R.M Billets Reports'!D349)),TRIM(MID('R.M Billets Reports'!D349,SEARCH("-",'R.M Billets Reports'!D349)+1,200)),"")))="VRKP ISPAT PVT LTD","VRKP",IF(IF(IF(ISNUMBER(SEARCH("Party Name:-",'R.M Billets Reports'!D348)),TRIM('R.M Billets Reports'!F348),IF(ISNUMBER(SEARCH("Party Name-",'R.M Billets Reports'!D348)),TRIM(MID('R.M Billets Reports'!D348,SEARCH("-",'R.M Billets Reports'!D348)+1,200)),""))&lt;&gt;"",IF(ISNUMBER(SEARCH("Party Name:-",'R.M Billets Reports'!D348)),TRIM('R.M Billets Reports'!F348),IF(ISNUMBER(SEARCH("Party Name-",'R.M Billets Reports'!D348)),TRIM(MID('R.M Billets Reports'!D348,SEARCH("-",'R.M Billets Reports'!D348)+1,200)),"")),IF(ISNUMBER(SEARCH("Party Name:-",'R.M Billets Reports'!D349)),TRIM('R.M Billets Reports'!F349),IF(ISNUMBER(SEARCH("Party Name-",'R.M Billets Reports'!D349)),TRIM(MID('R.M Billets Reports'!D349,SEARCH("-",'R.M Billets Reports'!D349)+1,200)),"")))="SHRI RADHE","SHREE RADHE",IF(IF(IF(ISNUMBER(SEARCH("Party Name:-",'R.M Billets Reports'!D348)),TRIM('R.M Billets Reports'!F348),IF(ISNUMBER(SEARCH("Party Name-",'R.M Billets Reports'!D348)),TRIM(MID('R.M Billets Reports'!D348,SEARCH("-",'R.M Billets Reports'!D348)+1,200)),""))&lt;&gt;"",IF(ISNUMBER(SEARCH("Party Name:-",'R.M Billets Reports'!D348)),TRIM('R.M Billets Reports'!F348),IF(ISNUMBER(SEARCH("Party Name-",'R.M Billets Reports'!D348)),TRIM(MID('R.M Billets Reports'!D348,SEARCH("-",'R.M Billets Reports'!D348)+1,200)),"")),IF(ISNUMBER(SEARCH("Party Name:-",'R.M Billets Reports'!D349)),TRIM('R.M Billets Reports'!F349),IF(ISNUMBER(SEARCH("Party Name-",'R.M Billets Reports'!D349)),TRIM(MID('R.M Billets Reports'!D349,SEARCH("-",'R.M Billets Reports'!D349)+1,200)),"")))="SHREE RADHE SHAKTI SPONGE AND POWER PVT. LTD.","SHREE RADHE",IF(IF(ISNUMBER(SEARCH("Party Name:-",'R.M Billets Reports'!D348)),TRIM('R.M Billets Reports'!F348),IF(ISNUMBER(SEARCH("Party Name-",'R.M Billets Reports'!D348)),TRIM(MID('R.M Billets Reports'!D348,SEARCH("-",'R.M Billets Reports'!D348)+1,200)),""))&lt;&gt;"",IF(ISNUMBER(SEARCH("Party Name:-",'R.M Billets Reports'!D348)),TRIM('R.M Billets Reports'!F348),IF(ISNUMBER(SEARCH("Party Name-",'R.M Billets Reports'!D348)),TRIM(MID('R.M Billets Reports'!D348,SEARCH("-",'R.M Billets Reports'!D348)+1,200)),"")),IF(ISNUMBER(SEARCH("Party Name:-",'R.M Billets Reports'!D349)),TRIM('R.M Billets Reports'!F349),IF(ISNUMBER(SEARCH("Party Name-",'R.M Billets Reports'!D349)),TRIM(MID('R.M Billets Reports'!D349,SEARCH("-",'R.M Billets Reports'!D349)+1,200)),"")))))),IF(ROW()=2,"",A348))</f>
      </c>
      <c r="B349">
        <f>IF(OR('R.M Billets Reports'!A348="Date-",'R.M Billets Reports'!A348="Date:-"),'R.M Billets Reports'!B348,IF(ROW()=2,"",B348))</f>
      </c>
      <c r="C349">
        <f>IF('R.M Billets Reports'!A348="V.No.",'R.M Billets Reports'!B348,IF(ROW()=2,"",C348))</f>
      </c>
      <c r="D349">
        <f>IF('R.M Billets Reports'!A348&lt;&gt;"",'R.M Billets Reports'!A348,IF(ROW()=2,"",D348))</f>
      </c>
      <c r="E349">
        <f>IF('R.M Billets Reports'!B348="","",TRIM('R.M Billets Reports'!B348))</f>
      </c>
      <c r="F349">
        <f>'R.M Billets Reports'!C348</f>
      </c>
      <c r="G349">
        <f>'R.M Billets Reports'!D348</f>
      </c>
      <c r="H349">
        <f>'R.M Billets Reports'!E348</f>
      </c>
      <c r="I349">
        <f>'R.M Billets Reports'!F348</f>
      </c>
      <c r="J349">
        <f>'R.M Billets Reports'!G348</f>
      </c>
      <c r="K349">
        <f>'R.M Billets Reports'!H348</f>
      </c>
      <c r="L349">
        <f>IF('R.M Billets Reports'!I348="","",'R.M Billets Reports'!I348)</f>
      </c>
      <c r="M349">
        <f t="shared" si="10"/>
      </c>
      <c r="N349">
        <f>IF('R.M Billets Reports'!J348="","",'R.M Billets Reports'!J348)</f>
      </c>
      <c r="O349">
        <f t="shared" si="11"/>
      </c>
      <c r="P349">
        <f>IF('R.M Billets Reports'!A348="SIZE",'R.M Billets Reports'!B348,P348)</f>
      </c>
    </row>
    <row r="350" spans="1:16" x14ac:dyDescent="0.25">
      <c r="A350">
        <f>IF(OR('R.M Billets Reports'!A349="Date-",'R.M Billets Reports'!A349="Date:-"),IF(IF(IF(ISNUMBER(SEARCH("Party Name:-",'R.M Billets Reports'!D349)),TRIM('R.M Billets Reports'!F349),IF(ISNUMBER(SEARCH("Party Name-",'R.M Billets Reports'!D349)),TRIM(MID('R.M Billets Reports'!D349,SEARCH("-",'R.M Billets Reports'!D349)+1,200)),""))&lt;&gt;"",IF(ISNUMBER(SEARCH("Party Name:-",'R.M Billets Reports'!D349)),TRIM('R.M Billets Reports'!F349),IF(ISNUMBER(SEARCH("Party Name-",'R.M Billets Reports'!D349)),TRIM(MID('R.M Billets Reports'!D349,SEARCH("-",'R.M Billets Reports'!D349)+1,200)),"")),IF(ISNUMBER(SEARCH("Party Name:-",'R.M Billets Reports'!D350)),TRIM('R.M Billets Reports'!F350),IF(ISNUMBER(SEARCH("Party Name-",'R.M Billets Reports'!D350)),TRIM(MID('R.M Billets Reports'!D350,SEARCH("-",'R.M Billets Reports'!D350)+1,200)),"")))="VRKP ISPAT PVT LTD","VRKP",IF(IF(IF(ISNUMBER(SEARCH("Party Name:-",'R.M Billets Reports'!D349)),TRIM('R.M Billets Reports'!F349),IF(ISNUMBER(SEARCH("Party Name-",'R.M Billets Reports'!D349)),TRIM(MID('R.M Billets Reports'!D349,SEARCH("-",'R.M Billets Reports'!D349)+1,200)),""))&lt;&gt;"",IF(ISNUMBER(SEARCH("Party Name:-",'R.M Billets Reports'!D349)),TRIM('R.M Billets Reports'!F349),IF(ISNUMBER(SEARCH("Party Name-",'R.M Billets Reports'!D349)),TRIM(MID('R.M Billets Reports'!D349,SEARCH("-",'R.M Billets Reports'!D349)+1,200)),"")),IF(ISNUMBER(SEARCH("Party Name:-",'R.M Billets Reports'!D350)),TRIM('R.M Billets Reports'!F350),IF(ISNUMBER(SEARCH("Party Name-",'R.M Billets Reports'!D350)),TRIM(MID('R.M Billets Reports'!D350,SEARCH("-",'R.M Billets Reports'!D350)+1,200)),"")))="SHRI RADHE","SHREE RADHE",IF(IF(IF(ISNUMBER(SEARCH("Party Name:-",'R.M Billets Reports'!D349)),TRIM('R.M Billets Reports'!F349),IF(ISNUMBER(SEARCH("Party Name-",'R.M Billets Reports'!D349)),TRIM(MID('R.M Billets Reports'!D349,SEARCH("-",'R.M Billets Reports'!D349)+1,200)),""))&lt;&gt;"",IF(ISNUMBER(SEARCH("Party Name:-",'R.M Billets Reports'!D349)),TRIM('R.M Billets Reports'!F349),IF(ISNUMBER(SEARCH("Party Name-",'R.M Billets Reports'!D349)),TRIM(MID('R.M Billets Reports'!D349,SEARCH("-",'R.M Billets Reports'!D349)+1,200)),"")),IF(ISNUMBER(SEARCH("Party Name:-",'R.M Billets Reports'!D350)),TRIM('R.M Billets Reports'!F350),IF(ISNUMBER(SEARCH("Party Name-",'R.M Billets Reports'!D350)),TRIM(MID('R.M Billets Reports'!D350,SEARCH("-",'R.M Billets Reports'!D350)+1,200)),"")))="SHREE RADHE SHAKTI SPONGE AND POWER PVT. LTD.","SHREE RADHE",IF(IF(ISNUMBER(SEARCH("Party Name:-",'R.M Billets Reports'!D349)),TRIM('R.M Billets Reports'!F349),IF(ISNUMBER(SEARCH("Party Name-",'R.M Billets Reports'!D349)),TRIM(MID('R.M Billets Reports'!D349,SEARCH("-",'R.M Billets Reports'!D349)+1,200)),""))&lt;&gt;"",IF(ISNUMBER(SEARCH("Party Name:-",'R.M Billets Reports'!D349)),TRIM('R.M Billets Reports'!F349),IF(ISNUMBER(SEARCH("Party Name-",'R.M Billets Reports'!D349)),TRIM(MID('R.M Billets Reports'!D349,SEARCH("-",'R.M Billets Reports'!D349)+1,200)),"")),IF(ISNUMBER(SEARCH("Party Name:-",'R.M Billets Reports'!D350)),TRIM('R.M Billets Reports'!F350),IF(ISNUMBER(SEARCH("Party Name-",'R.M Billets Reports'!D350)),TRIM(MID('R.M Billets Reports'!D350,SEARCH("-",'R.M Billets Reports'!D350)+1,200)),"")))))),IF(ROW()=2,"",A349))</f>
      </c>
      <c r="B350">
        <f>IF(OR('R.M Billets Reports'!A349="Date-",'R.M Billets Reports'!A349="Date:-"),'R.M Billets Reports'!B349,IF(ROW()=2,"",B349))</f>
      </c>
      <c r="C350">
        <f>IF('R.M Billets Reports'!A349="V.No.",'R.M Billets Reports'!B349,IF(ROW()=2,"",C349))</f>
      </c>
      <c r="D350">
        <f>IF('R.M Billets Reports'!A349&lt;&gt;"",'R.M Billets Reports'!A349,IF(ROW()=2,"",D349))</f>
      </c>
      <c r="E350">
        <f>IF('R.M Billets Reports'!B349="","",TRIM('R.M Billets Reports'!B349))</f>
      </c>
      <c r="F350">
        <f>'R.M Billets Reports'!C349</f>
      </c>
      <c r="G350">
        <f>'R.M Billets Reports'!D349</f>
      </c>
      <c r="H350">
        <f>'R.M Billets Reports'!E349</f>
      </c>
      <c r="I350">
        <f>'R.M Billets Reports'!F349</f>
      </c>
      <c r="J350">
        <f>'R.M Billets Reports'!G349</f>
      </c>
      <c r="K350">
        <f>'R.M Billets Reports'!H349</f>
      </c>
      <c r="L350">
        <f>IF('R.M Billets Reports'!I349="","",'R.M Billets Reports'!I349)</f>
      </c>
      <c r="M350">
        <f t="shared" si="10"/>
      </c>
      <c r="N350">
        <f>IF('R.M Billets Reports'!J349="","",'R.M Billets Reports'!J349)</f>
      </c>
      <c r="O350">
        <f t="shared" si="11"/>
      </c>
      <c r="P350">
        <f>IF('R.M Billets Reports'!A349="SIZE",'R.M Billets Reports'!B349,P349)</f>
      </c>
    </row>
    <row r="351" spans="1:16" x14ac:dyDescent="0.25">
      <c r="A351">
        <f>IF(OR('R.M Billets Reports'!A350="Date-",'R.M Billets Reports'!A350="Date:-"),IF(IF(IF(ISNUMBER(SEARCH("Party Name:-",'R.M Billets Reports'!D350)),TRIM('R.M Billets Reports'!F350),IF(ISNUMBER(SEARCH("Party Name-",'R.M Billets Reports'!D350)),TRIM(MID('R.M Billets Reports'!D350,SEARCH("-",'R.M Billets Reports'!D350)+1,200)),""))&lt;&gt;"",IF(ISNUMBER(SEARCH("Party Name:-",'R.M Billets Reports'!D350)),TRIM('R.M Billets Reports'!F350),IF(ISNUMBER(SEARCH("Party Name-",'R.M Billets Reports'!D350)),TRIM(MID('R.M Billets Reports'!D350,SEARCH("-",'R.M Billets Reports'!D350)+1,200)),"")),IF(ISNUMBER(SEARCH("Party Name:-",'R.M Billets Reports'!D351)),TRIM('R.M Billets Reports'!F351),IF(ISNUMBER(SEARCH("Party Name-",'R.M Billets Reports'!D351)),TRIM(MID('R.M Billets Reports'!D351,SEARCH("-",'R.M Billets Reports'!D351)+1,200)),"")))="VRKP ISPAT PVT LTD","VRKP",IF(IF(IF(ISNUMBER(SEARCH("Party Name:-",'R.M Billets Reports'!D350)),TRIM('R.M Billets Reports'!F350),IF(ISNUMBER(SEARCH("Party Name-",'R.M Billets Reports'!D350)),TRIM(MID('R.M Billets Reports'!D350,SEARCH("-",'R.M Billets Reports'!D350)+1,200)),""))&lt;&gt;"",IF(ISNUMBER(SEARCH("Party Name:-",'R.M Billets Reports'!D350)),TRIM('R.M Billets Reports'!F350),IF(ISNUMBER(SEARCH("Party Name-",'R.M Billets Reports'!D350)),TRIM(MID('R.M Billets Reports'!D350,SEARCH("-",'R.M Billets Reports'!D350)+1,200)),"")),IF(ISNUMBER(SEARCH("Party Name:-",'R.M Billets Reports'!D351)),TRIM('R.M Billets Reports'!F351),IF(ISNUMBER(SEARCH("Party Name-",'R.M Billets Reports'!D351)),TRIM(MID('R.M Billets Reports'!D351,SEARCH("-",'R.M Billets Reports'!D351)+1,200)),"")))="SHRI RADHE","SHREE RADHE",IF(IF(IF(ISNUMBER(SEARCH("Party Name:-",'R.M Billets Reports'!D350)),TRIM('R.M Billets Reports'!F350),IF(ISNUMBER(SEARCH("Party Name-",'R.M Billets Reports'!D350)),TRIM(MID('R.M Billets Reports'!D350,SEARCH("-",'R.M Billets Reports'!D350)+1,200)),""))&lt;&gt;"",IF(ISNUMBER(SEARCH("Party Name:-",'R.M Billets Reports'!D350)),TRIM('R.M Billets Reports'!F350),IF(ISNUMBER(SEARCH("Party Name-",'R.M Billets Reports'!D350)),TRIM(MID('R.M Billets Reports'!D350,SEARCH("-",'R.M Billets Reports'!D350)+1,200)),"")),IF(ISNUMBER(SEARCH("Party Name:-",'R.M Billets Reports'!D351)),TRIM('R.M Billets Reports'!F351),IF(ISNUMBER(SEARCH("Party Name-",'R.M Billets Reports'!D351)),TRIM(MID('R.M Billets Reports'!D351,SEARCH("-",'R.M Billets Reports'!D351)+1,200)),"")))="SHREE RADHE SHAKTI SPONGE AND POWER PVT. LTD.","SHREE RADHE",IF(IF(ISNUMBER(SEARCH("Party Name:-",'R.M Billets Reports'!D350)),TRIM('R.M Billets Reports'!F350),IF(ISNUMBER(SEARCH("Party Name-",'R.M Billets Reports'!D350)),TRIM(MID('R.M Billets Reports'!D350,SEARCH("-",'R.M Billets Reports'!D350)+1,200)),""))&lt;&gt;"",IF(ISNUMBER(SEARCH("Party Name:-",'R.M Billets Reports'!D350)),TRIM('R.M Billets Reports'!F350),IF(ISNUMBER(SEARCH("Party Name-",'R.M Billets Reports'!D350)),TRIM(MID('R.M Billets Reports'!D350,SEARCH("-",'R.M Billets Reports'!D350)+1,200)),"")),IF(ISNUMBER(SEARCH("Party Name:-",'R.M Billets Reports'!D351)),TRIM('R.M Billets Reports'!F351),IF(ISNUMBER(SEARCH("Party Name-",'R.M Billets Reports'!D351)),TRIM(MID('R.M Billets Reports'!D351,SEARCH("-",'R.M Billets Reports'!D351)+1,200)),"")))))),IF(ROW()=2,"",A350))</f>
      </c>
      <c r="B351">
        <f>IF(OR('R.M Billets Reports'!A350="Date-",'R.M Billets Reports'!A350="Date:-"),'R.M Billets Reports'!B350,IF(ROW()=2,"",B350))</f>
      </c>
      <c r="C351">
        <f>IF('R.M Billets Reports'!A350="V.No.",'R.M Billets Reports'!B350,IF(ROW()=2,"",C350))</f>
      </c>
      <c r="D351">
        <f>IF('R.M Billets Reports'!A350&lt;&gt;"",'R.M Billets Reports'!A350,IF(ROW()=2,"",D350))</f>
      </c>
      <c r="E351">
        <f>IF('R.M Billets Reports'!B350="","",TRIM('R.M Billets Reports'!B350))</f>
      </c>
      <c r="F351">
        <f>'R.M Billets Reports'!C350</f>
      </c>
      <c r="G351">
        <f>'R.M Billets Reports'!D350</f>
      </c>
      <c r="H351">
        <f>'R.M Billets Reports'!E350</f>
      </c>
      <c r="I351">
        <f>'R.M Billets Reports'!F350</f>
      </c>
      <c r="J351">
        <f>'R.M Billets Reports'!G350</f>
      </c>
      <c r="K351">
        <f>'R.M Billets Reports'!H350</f>
      </c>
      <c r="L351">
        <f>IF('R.M Billets Reports'!I350="","",'R.M Billets Reports'!I350)</f>
      </c>
      <c r="M351">
        <f t="shared" si="10"/>
      </c>
      <c r="N351">
        <f>IF('R.M Billets Reports'!J350="","",'R.M Billets Reports'!J350)</f>
      </c>
      <c r="O351">
        <f t="shared" si="11"/>
      </c>
      <c r="P351">
        <f>IF('R.M Billets Reports'!A350="SIZE",'R.M Billets Reports'!B350,P350)</f>
      </c>
    </row>
    <row r="352" spans="1:16" x14ac:dyDescent="0.25">
      <c r="A352">
        <f>IF(OR('R.M Billets Reports'!A351="Date-",'R.M Billets Reports'!A351="Date:-"),IF(IF(IF(ISNUMBER(SEARCH("Party Name:-",'R.M Billets Reports'!D351)),TRIM('R.M Billets Reports'!F351),IF(ISNUMBER(SEARCH("Party Name-",'R.M Billets Reports'!D351)),TRIM(MID('R.M Billets Reports'!D351,SEARCH("-",'R.M Billets Reports'!D351)+1,200)),""))&lt;&gt;"",IF(ISNUMBER(SEARCH("Party Name:-",'R.M Billets Reports'!D351)),TRIM('R.M Billets Reports'!F351),IF(ISNUMBER(SEARCH("Party Name-",'R.M Billets Reports'!D351)),TRIM(MID('R.M Billets Reports'!D351,SEARCH("-",'R.M Billets Reports'!D351)+1,200)),"")),IF(ISNUMBER(SEARCH("Party Name:-",'R.M Billets Reports'!D352)),TRIM('R.M Billets Reports'!F352),IF(ISNUMBER(SEARCH("Party Name-",'R.M Billets Reports'!D352)),TRIM(MID('R.M Billets Reports'!D352,SEARCH("-",'R.M Billets Reports'!D352)+1,200)),"")))="VRKP ISPAT PVT LTD","VRKP",IF(IF(IF(ISNUMBER(SEARCH("Party Name:-",'R.M Billets Reports'!D351)),TRIM('R.M Billets Reports'!F351),IF(ISNUMBER(SEARCH("Party Name-",'R.M Billets Reports'!D351)),TRIM(MID('R.M Billets Reports'!D351,SEARCH("-",'R.M Billets Reports'!D351)+1,200)),""))&lt;&gt;"",IF(ISNUMBER(SEARCH("Party Name:-",'R.M Billets Reports'!D351)),TRIM('R.M Billets Reports'!F351),IF(ISNUMBER(SEARCH("Party Name-",'R.M Billets Reports'!D351)),TRIM(MID('R.M Billets Reports'!D351,SEARCH("-",'R.M Billets Reports'!D351)+1,200)),"")),IF(ISNUMBER(SEARCH("Party Name:-",'R.M Billets Reports'!D352)),TRIM('R.M Billets Reports'!F352),IF(ISNUMBER(SEARCH("Party Name-",'R.M Billets Reports'!D352)),TRIM(MID('R.M Billets Reports'!D352,SEARCH("-",'R.M Billets Reports'!D352)+1,200)),"")))="SHRI RADHE","SHREE RADHE",IF(IF(IF(ISNUMBER(SEARCH("Party Name:-",'R.M Billets Reports'!D351)),TRIM('R.M Billets Reports'!F351),IF(ISNUMBER(SEARCH("Party Name-",'R.M Billets Reports'!D351)),TRIM(MID('R.M Billets Reports'!D351,SEARCH("-",'R.M Billets Reports'!D351)+1,200)),""))&lt;&gt;"",IF(ISNUMBER(SEARCH("Party Name:-",'R.M Billets Reports'!D351)),TRIM('R.M Billets Reports'!F351),IF(ISNUMBER(SEARCH("Party Name-",'R.M Billets Reports'!D351)),TRIM(MID('R.M Billets Reports'!D351,SEARCH("-",'R.M Billets Reports'!D351)+1,200)),"")),IF(ISNUMBER(SEARCH("Party Name:-",'R.M Billets Reports'!D352)),TRIM('R.M Billets Reports'!F352),IF(ISNUMBER(SEARCH("Party Name-",'R.M Billets Reports'!D352)),TRIM(MID('R.M Billets Reports'!D352,SEARCH("-",'R.M Billets Reports'!D352)+1,200)),"")))="SHREE RADHE SHAKTI SPONGE AND POWER PVT. LTD.","SHREE RADHE",IF(IF(ISNUMBER(SEARCH("Party Name:-",'R.M Billets Reports'!D351)),TRIM('R.M Billets Reports'!F351),IF(ISNUMBER(SEARCH("Party Name-",'R.M Billets Reports'!D351)),TRIM(MID('R.M Billets Reports'!D351,SEARCH("-",'R.M Billets Reports'!D351)+1,200)),""))&lt;&gt;"",IF(ISNUMBER(SEARCH("Party Name:-",'R.M Billets Reports'!D351)),TRIM('R.M Billets Reports'!F351),IF(ISNUMBER(SEARCH("Party Name-",'R.M Billets Reports'!D351)),TRIM(MID('R.M Billets Reports'!D351,SEARCH("-",'R.M Billets Reports'!D351)+1,200)),"")),IF(ISNUMBER(SEARCH("Party Name:-",'R.M Billets Reports'!D352)),TRIM('R.M Billets Reports'!F352),IF(ISNUMBER(SEARCH("Party Name-",'R.M Billets Reports'!D352)),TRIM(MID('R.M Billets Reports'!D352,SEARCH("-",'R.M Billets Reports'!D352)+1,200)),"")))))),IF(ROW()=2,"",A351))</f>
      </c>
      <c r="B352">
        <f>IF(OR('R.M Billets Reports'!A351="Date-",'R.M Billets Reports'!A351="Date:-"),'R.M Billets Reports'!B351,IF(ROW()=2,"",B351))</f>
      </c>
      <c r="C352">
        <f>IF('R.M Billets Reports'!A351="V.No.",'R.M Billets Reports'!B351,IF(ROW()=2,"",C351))</f>
      </c>
      <c r="D352">
        <f>IF('R.M Billets Reports'!A351&lt;&gt;"",'R.M Billets Reports'!A351,IF(ROW()=2,"",D351))</f>
      </c>
      <c r="E352">
        <f>IF('R.M Billets Reports'!B351="","",TRIM('R.M Billets Reports'!B351))</f>
      </c>
      <c r="F352">
        <f>'R.M Billets Reports'!C351</f>
      </c>
      <c r="G352">
        <f>'R.M Billets Reports'!D351</f>
      </c>
      <c r="H352">
        <f>'R.M Billets Reports'!E351</f>
      </c>
      <c r="I352">
        <f>'R.M Billets Reports'!F351</f>
      </c>
      <c r="J352">
        <f>'R.M Billets Reports'!G351</f>
      </c>
      <c r="K352">
        <f>'R.M Billets Reports'!H351</f>
      </c>
      <c r="L352">
        <f>IF('R.M Billets Reports'!I351="","",'R.M Billets Reports'!I351)</f>
      </c>
      <c r="M352">
        <f t="shared" si="10"/>
      </c>
      <c r="N352">
        <f>IF('R.M Billets Reports'!J351="","",'R.M Billets Reports'!J351)</f>
      </c>
      <c r="O352">
        <f t="shared" si="11"/>
      </c>
      <c r="P352">
        <f>IF('R.M Billets Reports'!A351="SIZE",'R.M Billets Reports'!B351,P351)</f>
      </c>
    </row>
    <row r="353" spans="1:16" x14ac:dyDescent="0.25">
      <c r="A353">
        <f>IF(OR('R.M Billets Reports'!A352="Date-",'R.M Billets Reports'!A352="Date:-"),IF(IF(IF(ISNUMBER(SEARCH("Party Name:-",'R.M Billets Reports'!D352)),TRIM('R.M Billets Reports'!F352),IF(ISNUMBER(SEARCH("Party Name-",'R.M Billets Reports'!D352)),TRIM(MID('R.M Billets Reports'!D352,SEARCH("-",'R.M Billets Reports'!D352)+1,200)),""))&lt;&gt;"",IF(ISNUMBER(SEARCH("Party Name:-",'R.M Billets Reports'!D352)),TRIM('R.M Billets Reports'!F352),IF(ISNUMBER(SEARCH("Party Name-",'R.M Billets Reports'!D352)),TRIM(MID('R.M Billets Reports'!D352,SEARCH("-",'R.M Billets Reports'!D352)+1,200)),"")),IF(ISNUMBER(SEARCH("Party Name:-",'R.M Billets Reports'!D353)),TRIM('R.M Billets Reports'!F353),IF(ISNUMBER(SEARCH("Party Name-",'R.M Billets Reports'!D353)),TRIM(MID('R.M Billets Reports'!D353,SEARCH("-",'R.M Billets Reports'!D353)+1,200)),"")))="VRKP ISPAT PVT LTD","VRKP",IF(IF(IF(ISNUMBER(SEARCH("Party Name:-",'R.M Billets Reports'!D352)),TRIM('R.M Billets Reports'!F352),IF(ISNUMBER(SEARCH("Party Name-",'R.M Billets Reports'!D352)),TRIM(MID('R.M Billets Reports'!D352,SEARCH("-",'R.M Billets Reports'!D352)+1,200)),""))&lt;&gt;"",IF(ISNUMBER(SEARCH("Party Name:-",'R.M Billets Reports'!D352)),TRIM('R.M Billets Reports'!F352),IF(ISNUMBER(SEARCH("Party Name-",'R.M Billets Reports'!D352)),TRIM(MID('R.M Billets Reports'!D352,SEARCH("-",'R.M Billets Reports'!D352)+1,200)),"")),IF(ISNUMBER(SEARCH("Party Name:-",'R.M Billets Reports'!D353)),TRIM('R.M Billets Reports'!F353),IF(ISNUMBER(SEARCH("Party Name-",'R.M Billets Reports'!D353)),TRIM(MID('R.M Billets Reports'!D353,SEARCH("-",'R.M Billets Reports'!D353)+1,200)),"")))="SHRI RADHE","SHREE RADHE",IF(IF(IF(ISNUMBER(SEARCH("Party Name:-",'R.M Billets Reports'!D352)),TRIM('R.M Billets Reports'!F352),IF(ISNUMBER(SEARCH("Party Name-",'R.M Billets Reports'!D352)),TRIM(MID('R.M Billets Reports'!D352,SEARCH("-",'R.M Billets Reports'!D352)+1,200)),""))&lt;&gt;"",IF(ISNUMBER(SEARCH("Party Name:-",'R.M Billets Reports'!D352)),TRIM('R.M Billets Reports'!F352),IF(ISNUMBER(SEARCH("Party Name-",'R.M Billets Reports'!D352)),TRIM(MID('R.M Billets Reports'!D352,SEARCH("-",'R.M Billets Reports'!D352)+1,200)),"")),IF(ISNUMBER(SEARCH("Party Name:-",'R.M Billets Reports'!D353)),TRIM('R.M Billets Reports'!F353),IF(ISNUMBER(SEARCH("Party Name-",'R.M Billets Reports'!D353)),TRIM(MID('R.M Billets Reports'!D353,SEARCH("-",'R.M Billets Reports'!D353)+1,200)),"")))="SHREE RADHE SHAKTI SPONGE AND POWER PVT. LTD.","SHREE RADHE",IF(IF(ISNUMBER(SEARCH("Party Name:-",'R.M Billets Reports'!D352)),TRIM('R.M Billets Reports'!F352),IF(ISNUMBER(SEARCH("Party Name-",'R.M Billets Reports'!D352)),TRIM(MID('R.M Billets Reports'!D352,SEARCH("-",'R.M Billets Reports'!D352)+1,200)),""))&lt;&gt;"",IF(ISNUMBER(SEARCH("Party Name:-",'R.M Billets Reports'!D352)),TRIM('R.M Billets Reports'!F352),IF(ISNUMBER(SEARCH("Party Name-",'R.M Billets Reports'!D352)),TRIM(MID('R.M Billets Reports'!D352,SEARCH("-",'R.M Billets Reports'!D352)+1,200)),"")),IF(ISNUMBER(SEARCH("Party Name:-",'R.M Billets Reports'!D353)),TRIM('R.M Billets Reports'!F353),IF(ISNUMBER(SEARCH("Party Name-",'R.M Billets Reports'!D353)),TRIM(MID('R.M Billets Reports'!D353,SEARCH("-",'R.M Billets Reports'!D353)+1,200)),"")))))),IF(ROW()=2,"",A352))</f>
      </c>
      <c r="B353">
        <f>IF(OR('R.M Billets Reports'!A352="Date-",'R.M Billets Reports'!A352="Date:-"),'R.M Billets Reports'!B352,IF(ROW()=2,"",B352))</f>
      </c>
      <c r="C353">
        <f>IF('R.M Billets Reports'!A352="V.No.",'R.M Billets Reports'!B352,IF(ROW()=2,"",C352))</f>
      </c>
      <c r="D353">
        <f>IF('R.M Billets Reports'!A352&lt;&gt;"",'R.M Billets Reports'!A352,IF(ROW()=2,"",D352))</f>
      </c>
      <c r="E353">
        <f>IF('R.M Billets Reports'!B352="","",TRIM('R.M Billets Reports'!B352))</f>
      </c>
      <c r="F353">
        <f>'R.M Billets Reports'!C352</f>
      </c>
      <c r="G353">
        <f>'R.M Billets Reports'!D352</f>
      </c>
      <c r="H353">
        <f>'R.M Billets Reports'!E352</f>
      </c>
      <c r="I353">
        <f>'R.M Billets Reports'!F352</f>
      </c>
      <c r="J353">
        <f>'R.M Billets Reports'!G352</f>
      </c>
      <c r="K353">
        <f>'R.M Billets Reports'!H352</f>
      </c>
      <c r="L353">
        <f>IF('R.M Billets Reports'!I352="","",'R.M Billets Reports'!I352)</f>
      </c>
      <c r="M353">
        <f t="shared" si="10"/>
      </c>
      <c r="N353">
        <f>IF('R.M Billets Reports'!J352="","",'R.M Billets Reports'!J352)</f>
      </c>
      <c r="O353">
        <f t="shared" si="11"/>
      </c>
      <c r="P353">
        <f>IF('R.M Billets Reports'!A352="SIZE",'R.M Billets Reports'!B352,P352)</f>
      </c>
    </row>
    <row r="354" spans="1:16" x14ac:dyDescent="0.25">
      <c r="A354">
        <f>IF(OR('R.M Billets Reports'!A353="Date-",'R.M Billets Reports'!A353="Date:-"),IF(IF(IF(ISNUMBER(SEARCH("Party Name:-",'R.M Billets Reports'!D353)),TRIM('R.M Billets Reports'!F353),IF(ISNUMBER(SEARCH("Party Name-",'R.M Billets Reports'!D353)),TRIM(MID('R.M Billets Reports'!D353,SEARCH("-",'R.M Billets Reports'!D353)+1,200)),""))&lt;&gt;"",IF(ISNUMBER(SEARCH("Party Name:-",'R.M Billets Reports'!D353)),TRIM('R.M Billets Reports'!F353),IF(ISNUMBER(SEARCH("Party Name-",'R.M Billets Reports'!D353)),TRIM(MID('R.M Billets Reports'!D353,SEARCH("-",'R.M Billets Reports'!D353)+1,200)),"")),IF(ISNUMBER(SEARCH("Party Name:-",'R.M Billets Reports'!D354)),TRIM('R.M Billets Reports'!F354),IF(ISNUMBER(SEARCH("Party Name-",'R.M Billets Reports'!D354)),TRIM(MID('R.M Billets Reports'!D354,SEARCH("-",'R.M Billets Reports'!D354)+1,200)),"")))="VRKP ISPAT PVT LTD","VRKP",IF(IF(IF(ISNUMBER(SEARCH("Party Name:-",'R.M Billets Reports'!D353)),TRIM('R.M Billets Reports'!F353),IF(ISNUMBER(SEARCH("Party Name-",'R.M Billets Reports'!D353)),TRIM(MID('R.M Billets Reports'!D353,SEARCH("-",'R.M Billets Reports'!D353)+1,200)),""))&lt;&gt;"",IF(ISNUMBER(SEARCH("Party Name:-",'R.M Billets Reports'!D353)),TRIM('R.M Billets Reports'!F353),IF(ISNUMBER(SEARCH("Party Name-",'R.M Billets Reports'!D353)),TRIM(MID('R.M Billets Reports'!D353,SEARCH("-",'R.M Billets Reports'!D353)+1,200)),"")),IF(ISNUMBER(SEARCH("Party Name:-",'R.M Billets Reports'!D354)),TRIM('R.M Billets Reports'!F354),IF(ISNUMBER(SEARCH("Party Name-",'R.M Billets Reports'!D354)),TRIM(MID('R.M Billets Reports'!D354,SEARCH("-",'R.M Billets Reports'!D354)+1,200)),"")))="SHRI RADHE","SHREE RADHE",IF(IF(IF(ISNUMBER(SEARCH("Party Name:-",'R.M Billets Reports'!D353)),TRIM('R.M Billets Reports'!F353),IF(ISNUMBER(SEARCH("Party Name-",'R.M Billets Reports'!D353)),TRIM(MID('R.M Billets Reports'!D353,SEARCH("-",'R.M Billets Reports'!D353)+1,200)),""))&lt;&gt;"",IF(ISNUMBER(SEARCH("Party Name:-",'R.M Billets Reports'!D353)),TRIM('R.M Billets Reports'!F353),IF(ISNUMBER(SEARCH("Party Name-",'R.M Billets Reports'!D353)),TRIM(MID('R.M Billets Reports'!D353,SEARCH("-",'R.M Billets Reports'!D353)+1,200)),"")),IF(ISNUMBER(SEARCH("Party Name:-",'R.M Billets Reports'!D354)),TRIM('R.M Billets Reports'!F354),IF(ISNUMBER(SEARCH("Party Name-",'R.M Billets Reports'!D354)),TRIM(MID('R.M Billets Reports'!D354,SEARCH("-",'R.M Billets Reports'!D354)+1,200)),"")))="SHREE RADHE SHAKTI SPONGE AND POWER PVT. LTD.","SHREE RADHE",IF(IF(ISNUMBER(SEARCH("Party Name:-",'R.M Billets Reports'!D353)),TRIM('R.M Billets Reports'!F353),IF(ISNUMBER(SEARCH("Party Name-",'R.M Billets Reports'!D353)),TRIM(MID('R.M Billets Reports'!D353,SEARCH("-",'R.M Billets Reports'!D353)+1,200)),""))&lt;&gt;"",IF(ISNUMBER(SEARCH("Party Name:-",'R.M Billets Reports'!D353)),TRIM('R.M Billets Reports'!F353),IF(ISNUMBER(SEARCH("Party Name-",'R.M Billets Reports'!D353)),TRIM(MID('R.M Billets Reports'!D353,SEARCH("-",'R.M Billets Reports'!D353)+1,200)),"")),IF(ISNUMBER(SEARCH("Party Name:-",'R.M Billets Reports'!D354)),TRIM('R.M Billets Reports'!F354),IF(ISNUMBER(SEARCH("Party Name-",'R.M Billets Reports'!D354)),TRIM(MID('R.M Billets Reports'!D354,SEARCH("-",'R.M Billets Reports'!D354)+1,200)),"")))))),IF(ROW()=2,"",A353))</f>
      </c>
      <c r="B354">
        <f>IF(OR('R.M Billets Reports'!A353="Date-",'R.M Billets Reports'!A353="Date:-"),'R.M Billets Reports'!B353,IF(ROW()=2,"",B353))</f>
      </c>
      <c r="C354">
        <f>IF('R.M Billets Reports'!A353="V.No.",'R.M Billets Reports'!B353,IF(ROW()=2,"",C353))</f>
      </c>
      <c r="D354">
        <f>IF('R.M Billets Reports'!A353&lt;&gt;"",'R.M Billets Reports'!A353,IF(ROW()=2,"",D353))</f>
      </c>
      <c r="E354">
        <f>IF('R.M Billets Reports'!B353="","",TRIM('R.M Billets Reports'!B353))</f>
      </c>
      <c r="F354">
        <f>'R.M Billets Reports'!C353</f>
      </c>
      <c r="G354">
        <f>'R.M Billets Reports'!D353</f>
      </c>
      <c r="H354">
        <f>'R.M Billets Reports'!E353</f>
      </c>
      <c r="I354">
        <f>'R.M Billets Reports'!F353</f>
      </c>
      <c r="J354">
        <f>'R.M Billets Reports'!G353</f>
      </c>
      <c r="K354">
        <f>'R.M Billets Reports'!H353</f>
      </c>
      <c r="L354">
        <f>IF('R.M Billets Reports'!I353="","",'R.M Billets Reports'!I353)</f>
      </c>
      <c r="M354">
        <f t="shared" si="10"/>
      </c>
      <c r="N354">
        <f>IF('R.M Billets Reports'!J353="","",'R.M Billets Reports'!J353)</f>
      </c>
      <c r="O354">
        <f t="shared" si="11"/>
      </c>
      <c r="P354">
        <f>IF('R.M Billets Reports'!A353="SIZE",'R.M Billets Reports'!B353,P353)</f>
      </c>
    </row>
    <row r="355" spans="1:16" x14ac:dyDescent="0.25">
      <c r="A355">
        <f>IF(OR('R.M Billets Reports'!A354="Date-",'R.M Billets Reports'!A354="Date:-"),IF(IF(IF(ISNUMBER(SEARCH("Party Name:-",'R.M Billets Reports'!D354)),TRIM('R.M Billets Reports'!F354),IF(ISNUMBER(SEARCH("Party Name-",'R.M Billets Reports'!D354)),TRIM(MID('R.M Billets Reports'!D354,SEARCH("-",'R.M Billets Reports'!D354)+1,200)),""))&lt;&gt;"",IF(ISNUMBER(SEARCH("Party Name:-",'R.M Billets Reports'!D354)),TRIM('R.M Billets Reports'!F354),IF(ISNUMBER(SEARCH("Party Name-",'R.M Billets Reports'!D354)),TRIM(MID('R.M Billets Reports'!D354,SEARCH("-",'R.M Billets Reports'!D354)+1,200)),"")),IF(ISNUMBER(SEARCH("Party Name:-",'R.M Billets Reports'!D355)),TRIM('R.M Billets Reports'!F355),IF(ISNUMBER(SEARCH("Party Name-",'R.M Billets Reports'!D355)),TRIM(MID('R.M Billets Reports'!D355,SEARCH("-",'R.M Billets Reports'!D355)+1,200)),"")))="VRKP ISPAT PVT LTD","VRKP",IF(IF(IF(ISNUMBER(SEARCH("Party Name:-",'R.M Billets Reports'!D354)),TRIM('R.M Billets Reports'!F354),IF(ISNUMBER(SEARCH("Party Name-",'R.M Billets Reports'!D354)),TRIM(MID('R.M Billets Reports'!D354,SEARCH("-",'R.M Billets Reports'!D354)+1,200)),""))&lt;&gt;"",IF(ISNUMBER(SEARCH("Party Name:-",'R.M Billets Reports'!D354)),TRIM('R.M Billets Reports'!F354),IF(ISNUMBER(SEARCH("Party Name-",'R.M Billets Reports'!D354)),TRIM(MID('R.M Billets Reports'!D354,SEARCH("-",'R.M Billets Reports'!D354)+1,200)),"")),IF(ISNUMBER(SEARCH("Party Name:-",'R.M Billets Reports'!D355)),TRIM('R.M Billets Reports'!F355),IF(ISNUMBER(SEARCH("Party Name-",'R.M Billets Reports'!D355)),TRIM(MID('R.M Billets Reports'!D355,SEARCH("-",'R.M Billets Reports'!D355)+1,200)),"")))="SHRI RADHE","SHREE RADHE",IF(IF(IF(ISNUMBER(SEARCH("Party Name:-",'R.M Billets Reports'!D354)),TRIM('R.M Billets Reports'!F354),IF(ISNUMBER(SEARCH("Party Name-",'R.M Billets Reports'!D354)),TRIM(MID('R.M Billets Reports'!D354,SEARCH("-",'R.M Billets Reports'!D354)+1,200)),""))&lt;&gt;"",IF(ISNUMBER(SEARCH("Party Name:-",'R.M Billets Reports'!D354)),TRIM('R.M Billets Reports'!F354),IF(ISNUMBER(SEARCH("Party Name-",'R.M Billets Reports'!D354)),TRIM(MID('R.M Billets Reports'!D354,SEARCH("-",'R.M Billets Reports'!D354)+1,200)),"")),IF(ISNUMBER(SEARCH("Party Name:-",'R.M Billets Reports'!D355)),TRIM('R.M Billets Reports'!F355),IF(ISNUMBER(SEARCH("Party Name-",'R.M Billets Reports'!D355)),TRIM(MID('R.M Billets Reports'!D355,SEARCH("-",'R.M Billets Reports'!D355)+1,200)),"")))="SHREE RADHE SHAKTI SPONGE AND POWER PVT. LTD.","SHREE RADHE",IF(IF(ISNUMBER(SEARCH("Party Name:-",'R.M Billets Reports'!D354)),TRIM('R.M Billets Reports'!F354),IF(ISNUMBER(SEARCH("Party Name-",'R.M Billets Reports'!D354)),TRIM(MID('R.M Billets Reports'!D354,SEARCH("-",'R.M Billets Reports'!D354)+1,200)),""))&lt;&gt;"",IF(ISNUMBER(SEARCH("Party Name:-",'R.M Billets Reports'!D354)),TRIM('R.M Billets Reports'!F354),IF(ISNUMBER(SEARCH("Party Name-",'R.M Billets Reports'!D354)),TRIM(MID('R.M Billets Reports'!D354,SEARCH("-",'R.M Billets Reports'!D354)+1,200)),"")),IF(ISNUMBER(SEARCH("Party Name:-",'R.M Billets Reports'!D355)),TRIM('R.M Billets Reports'!F355),IF(ISNUMBER(SEARCH("Party Name-",'R.M Billets Reports'!D355)),TRIM(MID('R.M Billets Reports'!D355,SEARCH("-",'R.M Billets Reports'!D355)+1,200)),"")))))),IF(ROW()=2,"",A354))</f>
      </c>
      <c r="B355">
        <f>IF(OR('R.M Billets Reports'!A354="Date-",'R.M Billets Reports'!A354="Date:-"),'R.M Billets Reports'!B354,IF(ROW()=2,"",B354))</f>
      </c>
      <c r="C355">
        <f>IF('R.M Billets Reports'!A354="V.No.",'R.M Billets Reports'!B354,IF(ROW()=2,"",C354))</f>
      </c>
      <c r="D355">
        <f>IF('R.M Billets Reports'!A354&lt;&gt;"",'R.M Billets Reports'!A354,IF(ROW()=2,"",D354))</f>
      </c>
      <c r="E355">
        <f>IF('R.M Billets Reports'!B354="","",TRIM('R.M Billets Reports'!B354))</f>
      </c>
      <c r="F355">
        <f>'R.M Billets Reports'!C354</f>
      </c>
      <c r="G355">
        <f>'R.M Billets Reports'!D354</f>
      </c>
      <c r="H355">
        <f>'R.M Billets Reports'!E354</f>
      </c>
      <c r="I355">
        <f>'R.M Billets Reports'!F354</f>
      </c>
      <c r="J355">
        <f>'R.M Billets Reports'!G354</f>
      </c>
      <c r="K355">
        <f>'R.M Billets Reports'!H354</f>
      </c>
      <c r="L355">
        <f>IF('R.M Billets Reports'!I354="","",'R.M Billets Reports'!I354)</f>
      </c>
      <c r="M355">
        <f t="shared" si="10"/>
      </c>
      <c r="N355">
        <f>IF('R.M Billets Reports'!J354="","",'R.M Billets Reports'!J354)</f>
      </c>
      <c r="O355">
        <f t="shared" si="11"/>
      </c>
      <c r="P355">
        <f>IF('R.M Billets Reports'!A354="SIZE",'R.M Billets Reports'!B354,P354)</f>
      </c>
    </row>
    <row r="356" spans="1:16" x14ac:dyDescent="0.25">
      <c r="A356">
        <f>IF(OR('R.M Billets Reports'!A355="Date-",'R.M Billets Reports'!A355="Date:-"),IF(IF(IF(ISNUMBER(SEARCH("Party Name:-",'R.M Billets Reports'!D355)),TRIM('R.M Billets Reports'!F355),IF(ISNUMBER(SEARCH("Party Name-",'R.M Billets Reports'!D355)),TRIM(MID('R.M Billets Reports'!D355,SEARCH("-",'R.M Billets Reports'!D355)+1,200)),""))&lt;&gt;"",IF(ISNUMBER(SEARCH("Party Name:-",'R.M Billets Reports'!D355)),TRIM('R.M Billets Reports'!F355),IF(ISNUMBER(SEARCH("Party Name-",'R.M Billets Reports'!D355)),TRIM(MID('R.M Billets Reports'!D355,SEARCH("-",'R.M Billets Reports'!D355)+1,200)),"")),IF(ISNUMBER(SEARCH("Party Name:-",'R.M Billets Reports'!D356)),TRIM('R.M Billets Reports'!F356),IF(ISNUMBER(SEARCH("Party Name-",'R.M Billets Reports'!D356)),TRIM(MID('R.M Billets Reports'!D356,SEARCH("-",'R.M Billets Reports'!D356)+1,200)),"")))="VRKP ISPAT PVT LTD","VRKP",IF(IF(IF(ISNUMBER(SEARCH("Party Name:-",'R.M Billets Reports'!D355)),TRIM('R.M Billets Reports'!F355),IF(ISNUMBER(SEARCH("Party Name-",'R.M Billets Reports'!D355)),TRIM(MID('R.M Billets Reports'!D355,SEARCH("-",'R.M Billets Reports'!D355)+1,200)),""))&lt;&gt;"",IF(ISNUMBER(SEARCH("Party Name:-",'R.M Billets Reports'!D355)),TRIM('R.M Billets Reports'!F355),IF(ISNUMBER(SEARCH("Party Name-",'R.M Billets Reports'!D355)),TRIM(MID('R.M Billets Reports'!D355,SEARCH("-",'R.M Billets Reports'!D355)+1,200)),"")),IF(ISNUMBER(SEARCH("Party Name:-",'R.M Billets Reports'!D356)),TRIM('R.M Billets Reports'!F356),IF(ISNUMBER(SEARCH("Party Name-",'R.M Billets Reports'!D356)),TRIM(MID('R.M Billets Reports'!D356,SEARCH("-",'R.M Billets Reports'!D356)+1,200)),"")))="SHRI RADHE","SHREE RADHE",IF(IF(IF(ISNUMBER(SEARCH("Party Name:-",'R.M Billets Reports'!D355)),TRIM('R.M Billets Reports'!F355),IF(ISNUMBER(SEARCH("Party Name-",'R.M Billets Reports'!D355)),TRIM(MID('R.M Billets Reports'!D355,SEARCH("-",'R.M Billets Reports'!D355)+1,200)),""))&lt;&gt;"",IF(ISNUMBER(SEARCH("Party Name:-",'R.M Billets Reports'!D355)),TRIM('R.M Billets Reports'!F355),IF(ISNUMBER(SEARCH("Party Name-",'R.M Billets Reports'!D355)),TRIM(MID('R.M Billets Reports'!D355,SEARCH("-",'R.M Billets Reports'!D355)+1,200)),"")),IF(ISNUMBER(SEARCH("Party Name:-",'R.M Billets Reports'!D356)),TRIM('R.M Billets Reports'!F356),IF(ISNUMBER(SEARCH("Party Name-",'R.M Billets Reports'!D356)),TRIM(MID('R.M Billets Reports'!D356,SEARCH("-",'R.M Billets Reports'!D356)+1,200)),"")))="SHREE RADHE SHAKTI SPONGE AND POWER PVT. LTD.","SHREE RADHE",IF(IF(ISNUMBER(SEARCH("Party Name:-",'R.M Billets Reports'!D355)),TRIM('R.M Billets Reports'!F355),IF(ISNUMBER(SEARCH("Party Name-",'R.M Billets Reports'!D355)),TRIM(MID('R.M Billets Reports'!D355,SEARCH("-",'R.M Billets Reports'!D355)+1,200)),""))&lt;&gt;"",IF(ISNUMBER(SEARCH("Party Name:-",'R.M Billets Reports'!D355)),TRIM('R.M Billets Reports'!F355),IF(ISNUMBER(SEARCH("Party Name-",'R.M Billets Reports'!D355)),TRIM(MID('R.M Billets Reports'!D355,SEARCH("-",'R.M Billets Reports'!D355)+1,200)),"")),IF(ISNUMBER(SEARCH("Party Name:-",'R.M Billets Reports'!D356)),TRIM('R.M Billets Reports'!F356),IF(ISNUMBER(SEARCH("Party Name-",'R.M Billets Reports'!D356)),TRIM(MID('R.M Billets Reports'!D356,SEARCH("-",'R.M Billets Reports'!D356)+1,200)),"")))))),IF(ROW()=2,"",A355))</f>
      </c>
      <c r="B356">
        <f>IF(OR('R.M Billets Reports'!A355="Date-",'R.M Billets Reports'!A355="Date:-"),'R.M Billets Reports'!B355,IF(ROW()=2,"",B355))</f>
      </c>
      <c r="C356">
        <f>IF('R.M Billets Reports'!A355="V.No.",'R.M Billets Reports'!B355,IF(ROW()=2,"",C355))</f>
      </c>
      <c r="D356">
        <f>IF('R.M Billets Reports'!A355&lt;&gt;"",'R.M Billets Reports'!A355,IF(ROW()=2,"",D355))</f>
      </c>
      <c r="E356">
        <f>IF('R.M Billets Reports'!B355="","",TRIM('R.M Billets Reports'!B355))</f>
      </c>
      <c r="F356">
        <f>'R.M Billets Reports'!C355</f>
      </c>
      <c r="G356">
        <f>'R.M Billets Reports'!D355</f>
      </c>
      <c r="H356">
        <f>'R.M Billets Reports'!E355</f>
      </c>
      <c r="I356">
        <f>'R.M Billets Reports'!F355</f>
      </c>
      <c r="J356">
        <f>'R.M Billets Reports'!G355</f>
      </c>
      <c r="K356">
        <f>'R.M Billets Reports'!H355</f>
      </c>
      <c r="L356">
        <f>IF('R.M Billets Reports'!I355="","",'R.M Billets Reports'!I355)</f>
      </c>
      <c r="M356">
        <f t="shared" si="10"/>
      </c>
      <c r="N356">
        <f>IF('R.M Billets Reports'!J355="","",'R.M Billets Reports'!J355)</f>
      </c>
      <c r="O356">
        <f t="shared" si="11"/>
      </c>
      <c r="P356">
        <f>IF('R.M Billets Reports'!A355="SIZE",'R.M Billets Reports'!B355,P355)</f>
      </c>
    </row>
    <row r="357" spans="1:16" x14ac:dyDescent="0.25">
      <c r="A357">
        <f>IF(OR('R.M Billets Reports'!A356="Date-",'R.M Billets Reports'!A356="Date:-"),IF(IF(IF(ISNUMBER(SEARCH("Party Name:-",'R.M Billets Reports'!D356)),TRIM('R.M Billets Reports'!F356),IF(ISNUMBER(SEARCH("Party Name-",'R.M Billets Reports'!D356)),TRIM(MID('R.M Billets Reports'!D356,SEARCH("-",'R.M Billets Reports'!D356)+1,200)),""))&lt;&gt;"",IF(ISNUMBER(SEARCH("Party Name:-",'R.M Billets Reports'!D356)),TRIM('R.M Billets Reports'!F356),IF(ISNUMBER(SEARCH("Party Name-",'R.M Billets Reports'!D356)),TRIM(MID('R.M Billets Reports'!D356,SEARCH("-",'R.M Billets Reports'!D356)+1,200)),"")),IF(ISNUMBER(SEARCH("Party Name:-",'R.M Billets Reports'!D357)),TRIM('R.M Billets Reports'!F357),IF(ISNUMBER(SEARCH("Party Name-",'R.M Billets Reports'!D357)),TRIM(MID('R.M Billets Reports'!D357,SEARCH("-",'R.M Billets Reports'!D357)+1,200)),"")))="VRKP ISPAT PVT LTD","VRKP",IF(IF(IF(ISNUMBER(SEARCH("Party Name:-",'R.M Billets Reports'!D356)),TRIM('R.M Billets Reports'!F356),IF(ISNUMBER(SEARCH("Party Name-",'R.M Billets Reports'!D356)),TRIM(MID('R.M Billets Reports'!D356,SEARCH("-",'R.M Billets Reports'!D356)+1,200)),""))&lt;&gt;"",IF(ISNUMBER(SEARCH("Party Name:-",'R.M Billets Reports'!D356)),TRIM('R.M Billets Reports'!F356),IF(ISNUMBER(SEARCH("Party Name-",'R.M Billets Reports'!D356)),TRIM(MID('R.M Billets Reports'!D356,SEARCH("-",'R.M Billets Reports'!D356)+1,200)),"")),IF(ISNUMBER(SEARCH("Party Name:-",'R.M Billets Reports'!D357)),TRIM('R.M Billets Reports'!F357),IF(ISNUMBER(SEARCH("Party Name-",'R.M Billets Reports'!D357)),TRIM(MID('R.M Billets Reports'!D357,SEARCH("-",'R.M Billets Reports'!D357)+1,200)),"")))="SHRI RADHE","SHREE RADHE",IF(IF(IF(ISNUMBER(SEARCH("Party Name:-",'R.M Billets Reports'!D356)),TRIM('R.M Billets Reports'!F356),IF(ISNUMBER(SEARCH("Party Name-",'R.M Billets Reports'!D356)),TRIM(MID('R.M Billets Reports'!D356,SEARCH("-",'R.M Billets Reports'!D356)+1,200)),""))&lt;&gt;"",IF(ISNUMBER(SEARCH("Party Name:-",'R.M Billets Reports'!D356)),TRIM('R.M Billets Reports'!F356),IF(ISNUMBER(SEARCH("Party Name-",'R.M Billets Reports'!D356)),TRIM(MID('R.M Billets Reports'!D356,SEARCH("-",'R.M Billets Reports'!D356)+1,200)),"")),IF(ISNUMBER(SEARCH("Party Name:-",'R.M Billets Reports'!D357)),TRIM('R.M Billets Reports'!F357),IF(ISNUMBER(SEARCH("Party Name-",'R.M Billets Reports'!D357)),TRIM(MID('R.M Billets Reports'!D357,SEARCH("-",'R.M Billets Reports'!D357)+1,200)),"")))="SHREE RADHE SHAKTI SPONGE AND POWER PVT. LTD.","SHREE RADHE",IF(IF(ISNUMBER(SEARCH("Party Name:-",'R.M Billets Reports'!D356)),TRIM('R.M Billets Reports'!F356),IF(ISNUMBER(SEARCH("Party Name-",'R.M Billets Reports'!D356)),TRIM(MID('R.M Billets Reports'!D356,SEARCH("-",'R.M Billets Reports'!D356)+1,200)),""))&lt;&gt;"",IF(ISNUMBER(SEARCH("Party Name:-",'R.M Billets Reports'!D356)),TRIM('R.M Billets Reports'!F356),IF(ISNUMBER(SEARCH("Party Name-",'R.M Billets Reports'!D356)),TRIM(MID('R.M Billets Reports'!D356,SEARCH("-",'R.M Billets Reports'!D356)+1,200)),"")),IF(ISNUMBER(SEARCH("Party Name:-",'R.M Billets Reports'!D357)),TRIM('R.M Billets Reports'!F357),IF(ISNUMBER(SEARCH("Party Name-",'R.M Billets Reports'!D357)),TRIM(MID('R.M Billets Reports'!D357,SEARCH("-",'R.M Billets Reports'!D357)+1,200)),"")))))),IF(ROW()=2,"",A356))</f>
      </c>
      <c r="B357">
        <f>IF(OR('R.M Billets Reports'!A356="Date-",'R.M Billets Reports'!A356="Date:-"),'R.M Billets Reports'!B356,IF(ROW()=2,"",B356))</f>
      </c>
      <c r="C357">
        <f>IF('R.M Billets Reports'!A356="V.No.",'R.M Billets Reports'!B356,IF(ROW()=2,"",C356))</f>
      </c>
      <c r="D357">
        <f>IF('R.M Billets Reports'!A356&lt;&gt;"",'R.M Billets Reports'!A356,IF(ROW()=2,"",D356))</f>
      </c>
      <c r="E357">
        <f>IF('R.M Billets Reports'!B356="","",TRIM('R.M Billets Reports'!B356))</f>
      </c>
      <c r="F357">
        <f>'R.M Billets Reports'!C356</f>
      </c>
      <c r="G357">
        <f>'R.M Billets Reports'!D356</f>
      </c>
      <c r="H357">
        <f>'R.M Billets Reports'!E356</f>
      </c>
      <c r="I357">
        <f>'R.M Billets Reports'!F356</f>
      </c>
      <c r="J357">
        <f>'R.M Billets Reports'!G356</f>
      </c>
      <c r="K357">
        <f>'R.M Billets Reports'!H356</f>
      </c>
      <c r="L357">
        <f>IF('R.M Billets Reports'!I356="","",'R.M Billets Reports'!I356)</f>
      </c>
      <c r="M357">
        <f t="shared" si="10"/>
      </c>
      <c r="N357">
        <f>IF('R.M Billets Reports'!J356="","",'R.M Billets Reports'!J356)</f>
      </c>
      <c r="O357">
        <f t="shared" si="11"/>
      </c>
      <c r="P357">
        <f>IF('R.M Billets Reports'!A356="SIZE",'R.M Billets Reports'!B356,P356)</f>
      </c>
    </row>
    <row r="358" spans="1:16" x14ac:dyDescent="0.25">
      <c r="A358">
        <f>IF(OR('R.M Billets Reports'!A357="Date-",'R.M Billets Reports'!A357="Date:-"),IF(IF(IF(ISNUMBER(SEARCH("Party Name:-",'R.M Billets Reports'!D357)),TRIM('R.M Billets Reports'!F357),IF(ISNUMBER(SEARCH("Party Name-",'R.M Billets Reports'!D357)),TRIM(MID('R.M Billets Reports'!D357,SEARCH("-",'R.M Billets Reports'!D357)+1,200)),""))&lt;&gt;"",IF(ISNUMBER(SEARCH("Party Name:-",'R.M Billets Reports'!D357)),TRIM('R.M Billets Reports'!F357),IF(ISNUMBER(SEARCH("Party Name-",'R.M Billets Reports'!D357)),TRIM(MID('R.M Billets Reports'!D357,SEARCH("-",'R.M Billets Reports'!D357)+1,200)),"")),IF(ISNUMBER(SEARCH("Party Name:-",'R.M Billets Reports'!D358)),TRIM('R.M Billets Reports'!F358),IF(ISNUMBER(SEARCH("Party Name-",'R.M Billets Reports'!D358)),TRIM(MID('R.M Billets Reports'!D358,SEARCH("-",'R.M Billets Reports'!D358)+1,200)),"")))="VRKP ISPAT PVT LTD","VRKP",IF(IF(IF(ISNUMBER(SEARCH("Party Name:-",'R.M Billets Reports'!D357)),TRIM('R.M Billets Reports'!F357),IF(ISNUMBER(SEARCH("Party Name-",'R.M Billets Reports'!D357)),TRIM(MID('R.M Billets Reports'!D357,SEARCH("-",'R.M Billets Reports'!D357)+1,200)),""))&lt;&gt;"",IF(ISNUMBER(SEARCH("Party Name:-",'R.M Billets Reports'!D357)),TRIM('R.M Billets Reports'!F357),IF(ISNUMBER(SEARCH("Party Name-",'R.M Billets Reports'!D357)),TRIM(MID('R.M Billets Reports'!D357,SEARCH("-",'R.M Billets Reports'!D357)+1,200)),"")),IF(ISNUMBER(SEARCH("Party Name:-",'R.M Billets Reports'!D358)),TRIM('R.M Billets Reports'!F358),IF(ISNUMBER(SEARCH("Party Name-",'R.M Billets Reports'!D358)),TRIM(MID('R.M Billets Reports'!D358,SEARCH("-",'R.M Billets Reports'!D358)+1,200)),"")))="SHRI RADHE","SHREE RADHE",IF(IF(IF(ISNUMBER(SEARCH("Party Name:-",'R.M Billets Reports'!D357)),TRIM('R.M Billets Reports'!F357),IF(ISNUMBER(SEARCH("Party Name-",'R.M Billets Reports'!D357)),TRIM(MID('R.M Billets Reports'!D357,SEARCH("-",'R.M Billets Reports'!D357)+1,200)),""))&lt;&gt;"",IF(ISNUMBER(SEARCH("Party Name:-",'R.M Billets Reports'!D357)),TRIM('R.M Billets Reports'!F357),IF(ISNUMBER(SEARCH("Party Name-",'R.M Billets Reports'!D357)),TRIM(MID('R.M Billets Reports'!D357,SEARCH("-",'R.M Billets Reports'!D357)+1,200)),"")),IF(ISNUMBER(SEARCH("Party Name:-",'R.M Billets Reports'!D358)),TRIM('R.M Billets Reports'!F358),IF(ISNUMBER(SEARCH("Party Name-",'R.M Billets Reports'!D358)),TRIM(MID('R.M Billets Reports'!D358,SEARCH("-",'R.M Billets Reports'!D358)+1,200)),"")))="SHREE RADHE SHAKTI SPONGE AND POWER PVT. LTD.","SHREE RADHE",IF(IF(ISNUMBER(SEARCH("Party Name:-",'R.M Billets Reports'!D357)),TRIM('R.M Billets Reports'!F357),IF(ISNUMBER(SEARCH("Party Name-",'R.M Billets Reports'!D357)),TRIM(MID('R.M Billets Reports'!D357,SEARCH("-",'R.M Billets Reports'!D357)+1,200)),""))&lt;&gt;"",IF(ISNUMBER(SEARCH("Party Name:-",'R.M Billets Reports'!D357)),TRIM('R.M Billets Reports'!F357),IF(ISNUMBER(SEARCH("Party Name-",'R.M Billets Reports'!D357)),TRIM(MID('R.M Billets Reports'!D357,SEARCH("-",'R.M Billets Reports'!D357)+1,200)),"")),IF(ISNUMBER(SEARCH("Party Name:-",'R.M Billets Reports'!D358)),TRIM('R.M Billets Reports'!F358),IF(ISNUMBER(SEARCH("Party Name-",'R.M Billets Reports'!D358)),TRIM(MID('R.M Billets Reports'!D358,SEARCH("-",'R.M Billets Reports'!D358)+1,200)),"")))))),IF(ROW()=2,"",A357))</f>
      </c>
      <c r="B358">
        <f>IF(OR('R.M Billets Reports'!A357="Date-",'R.M Billets Reports'!A357="Date:-"),'R.M Billets Reports'!B357,IF(ROW()=2,"",B357))</f>
      </c>
      <c r="C358">
        <f>IF('R.M Billets Reports'!A357="V.No.",'R.M Billets Reports'!B357,IF(ROW()=2,"",C357))</f>
      </c>
      <c r="D358">
        <f>IF('R.M Billets Reports'!A357&lt;&gt;"",'R.M Billets Reports'!A357,IF(ROW()=2,"",D357))</f>
      </c>
      <c r="E358">
        <f>IF('R.M Billets Reports'!B357="","",TRIM('R.M Billets Reports'!B357))</f>
      </c>
      <c r="F358">
        <f>'R.M Billets Reports'!C357</f>
      </c>
      <c r="G358">
        <f>'R.M Billets Reports'!D357</f>
      </c>
      <c r="H358">
        <f>'R.M Billets Reports'!E357</f>
      </c>
      <c r="I358">
        <f>'R.M Billets Reports'!F357</f>
      </c>
      <c r="J358">
        <f>'R.M Billets Reports'!G357</f>
      </c>
      <c r="K358">
        <f>'R.M Billets Reports'!H357</f>
      </c>
      <c r="L358">
        <f>IF('R.M Billets Reports'!I357="","",'R.M Billets Reports'!I357)</f>
      </c>
      <c r="M358">
        <f t="shared" si="10"/>
      </c>
      <c r="N358">
        <f>IF('R.M Billets Reports'!J357="","",'R.M Billets Reports'!J357)</f>
      </c>
      <c r="O358">
        <f t="shared" si="11"/>
      </c>
      <c r="P358">
        <f>IF('R.M Billets Reports'!A357="SIZE",'R.M Billets Reports'!B357,P357)</f>
      </c>
    </row>
    <row r="359" spans="1:16" x14ac:dyDescent="0.25">
      <c r="A359">
        <f>IF(OR('R.M Billets Reports'!A358="Date-",'R.M Billets Reports'!A358="Date:-"),IF(IF(IF(ISNUMBER(SEARCH("Party Name:-",'R.M Billets Reports'!D358)),TRIM('R.M Billets Reports'!F358),IF(ISNUMBER(SEARCH("Party Name-",'R.M Billets Reports'!D358)),TRIM(MID('R.M Billets Reports'!D358,SEARCH("-",'R.M Billets Reports'!D358)+1,200)),""))&lt;&gt;"",IF(ISNUMBER(SEARCH("Party Name:-",'R.M Billets Reports'!D358)),TRIM('R.M Billets Reports'!F358),IF(ISNUMBER(SEARCH("Party Name-",'R.M Billets Reports'!D358)),TRIM(MID('R.M Billets Reports'!D358,SEARCH("-",'R.M Billets Reports'!D358)+1,200)),"")),IF(ISNUMBER(SEARCH("Party Name:-",'R.M Billets Reports'!D359)),TRIM('R.M Billets Reports'!F359),IF(ISNUMBER(SEARCH("Party Name-",'R.M Billets Reports'!D359)),TRIM(MID('R.M Billets Reports'!D359,SEARCH("-",'R.M Billets Reports'!D359)+1,200)),"")))="VRKP ISPAT PVT LTD","VRKP",IF(IF(IF(ISNUMBER(SEARCH("Party Name:-",'R.M Billets Reports'!D358)),TRIM('R.M Billets Reports'!F358),IF(ISNUMBER(SEARCH("Party Name-",'R.M Billets Reports'!D358)),TRIM(MID('R.M Billets Reports'!D358,SEARCH("-",'R.M Billets Reports'!D358)+1,200)),""))&lt;&gt;"",IF(ISNUMBER(SEARCH("Party Name:-",'R.M Billets Reports'!D358)),TRIM('R.M Billets Reports'!F358),IF(ISNUMBER(SEARCH("Party Name-",'R.M Billets Reports'!D358)),TRIM(MID('R.M Billets Reports'!D358,SEARCH("-",'R.M Billets Reports'!D358)+1,200)),"")),IF(ISNUMBER(SEARCH("Party Name:-",'R.M Billets Reports'!D359)),TRIM('R.M Billets Reports'!F359),IF(ISNUMBER(SEARCH("Party Name-",'R.M Billets Reports'!D359)),TRIM(MID('R.M Billets Reports'!D359,SEARCH("-",'R.M Billets Reports'!D359)+1,200)),"")))="SHRI RADHE","SHREE RADHE",IF(IF(IF(ISNUMBER(SEARCH("Party Name:-",'R.M Billets Reports'!D358)),TRIM('R.M Billets Reports'!F358),IF(ISNUMBER(SEARCH("Party Name-",'R.M Billets Reports'!D358)),TRIM(MID('R.M Billets Reports'!D358,SEARCH("-",'R.M Billets Reports'!D358)+1,200)),""))&lt;&gt;"",IF(ISNUMBER(SEARCH("Party Name:-",'R.M Billets Reports'!D358)),TRIM('R.M Billets Reports'!F358),IF(ISNUMBER(SEARCH("Party Name-",'R.M Billets Reports'!D358)),TRIM(MID('R.M Billets Reports'!D358,SEARCH("-",'R.M Billets Reports'!D358)+1,200)),"")),IF(ISNUMBER(SEARCH("Party Name:-",'R.M Billets Reports'!D359)),TRIM('R.M Billets Reports'!F359),IF(ISNUMBER(SEARCH("Party Name-",'R.M Billets Reports'!D359)),TRIM(MID('R.M Billets Reports'!D359,SEARCH("-",'R.M Billets Reports'!D359)+1,200)),"")))="SHREE RADHE SHAKTI SPONGE AND POWER PVT. LTD.","SHREE RADHE",IF(IF(ISNUMBER(SEARCH("Party Name:-",'R.M Billets Reports'!D358)),TRIM('R.M Billets Reports'!F358),IF(ISNUMBER(SEARCH("Party Name-",'R.M Billets Reports'!D358)),TRIM(MID('R.M Billets Reports'!D358,SEARCH("-",'R.M Billets Reports'!D358)+1,200)),""))&lt;&gt;"",IF(ISNUMBER(SEARCH("Party Name:-",'R.M Billets Reports'!D358)),TRIM('R.M Billets Reports'!F358),IF(ISNUMBER(SEARCH("Party Name-",'R.M Billets Reports'!D358)),TRIM(MID('R.M Billets Reports'!D358,SEARCH("-",'R.M Billets Reports'!D358)+1,200)),"")),IF(ISNUMBER(SEARCH("Party Name:-",'R.M Billets Reports'!D359)),TRIM('R.M Billets Reports'!F359),IF(ISNUMBER(SEARCH("Party Name-",'R.M Billets Reports'!D359)),TRIM(MID('R.M Billets Reports'!D359,SEARCH("-",'R.M Billets Reports'!D359)+1,200)),"")))))),IF(ROW()=2,"",A358))</f>
      </c>
      <c r="B359">
        <f>IF(OR('R.M Billets Reports'!A358="Date-",'R.M Billets Reports'!A358="Date:-"),'R.M Billets Reports'!B358,IF(ROW()=2,"",B358))</f>
      </c>
      <c r="C359">
        <f>IF('R.M Billets Reports'!A358="V.No.",'R.M Billets Reports'!B358,IF(ROW()=2,"",C358))</f>
      </c>
      <c r="D359">
        <f>IF('R.M Billets Reports'!A358&lt;&gt;"",'R.M Billets Reports'!A358,IF(ROW()=2,"",D358))</f>
      </c>
      <c r="E359">
        <f>IF('R.M Billets Reports'!B358="","",TRIM('R.M Billets Reports'!B358))</f>
      </c>
      <c r="F359">
        <f>'R.M Billets Reports'!C358</f>
      </c>
      <c r="G359">
        <f>'R.M Billets Reports'!D358</f>
      </c>
      <c r="H359">
        <f>'R.M Billets Reports'!E358</f>
      </c>
      <c r="I359">
        <f>'R.M Billets Reports'!F358</f>
      </c>
      <c r="J359">
        <f>'R.M Billets Reports'!G358</f>
      </c>
      <c r="K359">
        <f>'R.M Billets Reports'!H358</f>
      </c>
      <c r="L359">
        <f>IF('R.M Billets Reports'!I358="","",'R.M Billets Reports'!I358)</f>
      </c>
      <c r="M359">
        <f t="shared" si="10"/>
      </c>
      <c r="N359">
        <f>IF('R.M Billets Reports'!J358="","",'R.M Billets Reports'!J358)</f>
      </c>
      <c r="O359">
        <f t="shared" si="11"/>
      </c>
      <c r="P359">
        <f>IF('R.M Billets Reports'!A358="SIZE",'R.M Billets Reports'!B358,P358)</f>
      </c>
    </row>
    <row r="360" spans="1:16" x14ac:dyDescent="0.25">
      <c r="A360">
        <f>IF(OR('R.M Billets Reports'!A359="Date-",'R.M Billets Reports'!A359="Date:-"),IF(IF(IF(ISNUMBER(SEARCH("Party Name:-",'R.M Billets Reports'!D359)),TRIM('R.M Billets Reports'!F359),IF(ISNUMBER(SEARCH("Party Name-",'R.M Billets Reports'!D359)),TRIM(MID('R.M Billets Reports'!D359,SEARCH("-",'R.M Billets Reports'!D359)+1,200)),""))&lt;&gt;"",IF(ISNUMBER(SEARCH("Party Name:-",'R.M Billets Reports'!D359)),TRIM('R.M Billets Reports'!F359),IF(ISNUMBER(SEARCH("Party Name-",'R.M Billets Reports'!D359)),TRIM(MID('R.M Billets Reports'!D359,SEARCH("-",'R.M Billets Reports'!D359)+1,200)),"")),IF(ISNUMBER(SEARCH("Party Name:-",'R.M Billets Reports'!D360)),TRIM('R.M Billets Reports'!F360),IF(ISNUMBER(SEARCH("Party Name-",'R.M Billets Reports'!D360)),TRIM(MID('R.M Billets Reports'!D360,SEARCH("-",'R.M Billets Reports'!D360)+1,200)),"")))="VRKP ISPAT PVT LTD","VRKP",IF(IF(IF(ISNUMBER(SEARCH("Party Name:-",'R.M Billets Reports'!D359)),TRIM('R.M Billets Reports'!F359),IF(ISNUMBER(SEARCH("Party Name-",'R.M Billets Reports'!D359)),TRIM(MID('R.M Billets Reports'!D359,SEARCH("-",'R.M Billets Reports'!D359)+1,200)),""))&lt;&gt;"",IF(ISNUMBER(SEARCH("Party Name:-",'R.M Billets Reports'!D359)),TRIM('R.M Billets Reports'!F359),IF(ISNUMBER(SEARCH("Party Name-",'R.M Billets Reports'!D359)),TRIM(MID('R.M Billets Reports'!D359,SEARCH("-",'R.M Billets Reports'!D359)+1,200)),"")),IF(ISNUMBER(SEARCH("Party Name:-",'R.M Billets Reports'!D360)),TRIM('R.M Billets Reports'!F360),IF(ISNUMBER(SEARCH("Party Name-",'R.M Billets Reports'!D360)),TRIM(MID('R.M Billets Reports'!D360,SEARCH("-",'R.M Billets Reports'!D360)+1,200)),"")))="SHRI RADHE","SHREE RADHE",IF(IF(IF(ISNUMBER(SEARCH("Party Name:-",'R.M Billets Reports'!D359)),TRIM('R.M Billets Reports'!F359),IF(ISNUMBER(SEARCH("Party Name-",'R.M Billets Reports'!D359)),TRIM(MID('R.M Billets Reports'!D359,SEARCH("-",'R.M Billets Reports'!D359)+1,200)),""))&lt;&gt;"",IF(ISNUMBER(SEARCH("Party Name:-",'R.M Billets Reports'!D359)),TRIM('R.M Billets Reports'!F359),IF(ISNUMBER(SEARCH("Party Name-",'R.M Billets Reports'!D359)),TRIM(MID('R.M Billets Reports'!D359,SEARCH("-",'R.M Billets Reports'!D359)+1,200)),"")),IF(ISNUMBER(SEARCH("Party Name:-",'R.M Billets Reports'!D360)),TRIM('R.M Billets Reports'!F360),IF(ISNUMBER(SEARCH("Party Name-",'R.M Billets Reports'!D360)),TRIM(MID('R.M Billets Reports'!D360,SEARCH("-",'R.M Billets Reports'!D360)+1,200)),"")))="SHREE RADHE SHAKTI SPONGE AND POWER PVT. LTD.","SHREE RADHE",IF(IF(ISNUMBER(SEARCH("Party Name:-",'R.M Billets Reports'!D359)),TRIM('R.M Billets Reports'!F359),IF(ISNUMBER(SEARCH("Party Name-",'R.M Billets Reports'!D359)),TRIM(MID('R.M Billets Reports'!D359,SEARCH("-",'R.M Billets Reports'!D359)+1,200)),""))&lt;&gt;"",IF(ISNUMBER(SEARCH("Party Name:-",'R.M Billets Reports'!D359)),TRIM('R.M Billets Reports'!F359),IF(ISNUMBER(SEARCH("Party Name-",'R.M Billets Reports'!D359)),TRIM(MID('R.M Billets Reports'!D359,SEARCH("-",'R.M Billets Reports'!D359)+1,200)),"")),IF(ISNUMBER(SEARCH("Party Name:-",'R.M Billets Reports'!D360)),TRIM('R.M Billets Reports'!F360),IF(ISNUMBER(SEARCH("Party Name-",'R.M Billets Reports'!D360)),TRIM(MID('R.M Billets Reports'!D360,SEARCH("-",'R.M Billets Reports'!D360)+1,200)),"")))))),IF(ROW()=2,"",A359))</f>
      </c>
      <c r="B360">
        <f>IF(OR('R.M Billets Reports'!A359="Date-",'R.M Billets Reports'!A359="Date:-"),'R.M Billets Reports'!B359,IF(ROW()=2,"",B359))</f>
      </c>
      <c r="C360">
        <f>IF('R.M Billets Reports'!A359="V.No.",'R.M Billets Reports'!B359,IF(ROW()=2,"",C359))</f>
      </c>
      <c r="D360">
        <f>IF('R.M Billets Reports'!A359&lt;&gt;"",'R.M Billets Reports'!A359,IF(ROW()=2,"",D359))</f>
      </c>
      <c r="E360">
        <f>IF('R.M Billets Reports'!B359="","",TRIM('R.M Billets Reports'!B359))</f>
      </c>
      <c r="F360">
        <f>'R.M Billets Reports'!C359</f>
      </c>
      <c r="G360">
        <f>'R.M Billets Reports'!D359</f>
      </c>
      <c r="H360">
        <f>'R.M Billets Reports'!E359</f>
      </c>
      <c r="I360">
        <f>'R.M Billets Reports'!F359</f>
      </c>
      <c r="J360">
        <f>'R.M Billets Reports'!G359</f>
      </c>
      <c r="K360">
        <f>'R.M Billets Reports'!H359</f>
      </c>
      <c r="L360">
        <f>IF('R.M Billets Reports'!I359="","",'R.M Billets Reports'!I359)</f>
      </c>
      <c r="M360">
        <f t="shared" si="10"/>
      </c>
      <c r="N360">
        <f>IF('R.M Billets Reports'!J359="","",'R.M Billets Reports'!J359)</f>
      </c>
      <c r="O360">
        <f t="shared" si="11"/>
      </c>
      <c r="P360">
        <f>IF('R.M Billets Reports'!A359="SIZE",'R.M Billets Reports'!B359,P359)</f>
      </c>
    </row>
    <row r="361" spans="1:16" x14ac:dyDescent="0.25">
      <c r="A361">
        <f>IF(OR('R.M Billets Reports'!A360="Date-",'R.M Billets Reports'!A360="Date:-"),IF(IF(IF(ISNUMBER(SEARCH("Party Name:-",'R.M Billets Reports'!D360)),TRIM('R.M Billets Reports'!F360),IF(ISNUMBER(SEARCH("Party Name-",'R.M Billets Reports'!D360)),TRIM(MID('R.M Billets Reports'!D360,SEARCH("-",'R.M Billets Reports'!D360)+1,200)),""))&lt;&gt;"",IF(ISNUMBER(SEARCH("Party Name:-",'R.M Billets Reports'!D360)),TRIM('R.M Billets Reports'!F360),IF(ISNUMBER(SEARCH("Party Name-",'R.M Billets Reports'!D360)),TRIM(MID('R.M Billets Reports'!D360,SEARCH("-",'R.M Billets Reports'!D360)+1,200)),"")),IF(ISNUMBER(SEARCH("Party Name:-",'R.M Billets Reports'!D361)),TRIM('R.M Billets Reports'!F361),IF(ISNUMBER(SEARCH("Party Name-",'R.M Billets Reports'!D361)),TRIM(MID('R.M Billets Reports'!D361,SEARCH("-",'R.M Billets Reports'!D361)+1,200)),"")))="VRKP ISPAT PVT LTD","VRKP",IF(IF(IF(ISNUMBER(SEARCH("Party Name:-",'R.M Billets Reports'!D360)),TRIM('R.M Billets Reports'!F360),IF(ISNUMBER(SEARCH("Party Name-",'R.M Billets Reports'!D360)),TRIM(MID('R.M Billets Reports'!D360,SEARCH("-",'R.M Billets Reports'!D360)+1,200)),""))&lt;&gt;"",IF(ISNUMBER(SEARCH("Party Name:-",'R.M Billets Reports'!D360)),TRIM('R.M Billets Reports'!F360),IF(ISNUMBER(SEARCH("Party Name-",'R.M Billets Reports'!D360)),TRIM(MID('R.M Billets Reports'!D360,SEARCH("-",'R.M Billets Reports'!D360)+1,200)),"")),IF(ISNUMBER(SEARCH("Party Name:-",'R.M Billets Reports'!D361)),TRIM('R.M Billets Reports'!F361),IF(ISNUMBER(SEARCH("Party Name-",'R.M Billets Reports'!D361)),TRIM(MID('R.M Billets Reports'!D361,SEARCH("-",'R.M Billets Reports'!D361)+1,200)),"")))="SHRI RADHE","SHREE RADHE",IF(IF(IF(ISNUMBER(SEARCH("Party Name:-",'R.M Billets Reports'!D360)),TRIM('R.M Billets Reports'!F360),IF(ISNUMBER(SEARCH("Party Name-",'R.M Billets Reports'!D360)),TRIM(MID('R.M Billets Reports'!D360,SEARCH("-",'R.M Billets Reports'!D360)+1,200)),""))&lt;&gt;"",IF(ISNUMBER(SEARCH("Party Name:-",'R.M Billets Reports'!D360)),TRIM('R.M Billets Reports'!F360),IF(ISNUMBER(SEARCH("Party Name-",'R.M Billets Reports'!D360)),TRIM(MID('R.M Billets Reports'!D360,SEARCH("-",'R.M Billets Reports'!D360)+1,200)),"")),IF(ISNUMBER(SEARCH("Party Name:-",'R.M Billets Reports'!D361)),TRIM('R.M Billets Reports'!F361),IF(ISNUMBER(SEARCH("Party Name-",'R.M Billets Reports'!D361)),TRIM(MID('R.M Billets Reports'!D361,SEARCH("-",'R.M Billets Reports'!D361)+1,200)),"")))="SHREE RADHE SHAKTI SPONGE AND POWER PVT. LTD.","SHREE RADHE",IF(IF(ISNUMBER(SEARCH("Party Name:-",'R.M Billets Reports'!D360)),TRIM('R.M Billets Reports'!F360),IF(ISNUMBER(SEARCH("Party Name-",'R.M Billets Reports'!D360)),TRIM(MID('R.M Billets Reports'!D360,SEARCH("-",'R.M Billets Reports'!D360)+1,200)),""))&lt;&gt;"",IF(ISNUMBER(SEARCH("Party Name:-",'R.M Billets Reports'!D360)),TRIM('R.M Billets Reports'!F360),IF(ISNUMBER(SEARCH("Party Name-",'R.M Billets Reports'!D360)),TRIM(MID('R.M Billets Reports'!D360,SEARCH("-",'R.M Billets Reports'!D360)+1,200)),"")),IF(ISNUMBER(SEARCH("Party Name:-",'R.M Billets Reports'!D361)),TRIM('R.M Billets Reports'!F361),IF(ISNUMBER(SEARCH("Party Name-",'R.M Billets Reports'!D361)),TRIM(MID('R.M Billets Reports'!D361,SEARCH("-",'R.M Billets Reports'!D361)+1,200)),"")))))),IF(ROW()=2,"",A360))</f>
      </c>
      <c r="B361">
        <f>IF(OR('R.M Billets Reports'!A360="Date-",'R.M Billets Reports'!A360="Date:-"),'R.M Billets Reports'!B360,IF(ROW()=2,"",B360))</f>
      </c>
      <c r="C361">
        <f>IF('R.M Billets Reports'!A360="V.No.",'R.M Billets Reports'!B360,IF(ROW()=2,"",C360))</f>
      </c>
      <c r="D361">
        <f>IF('R.M Billets Reports'!A360&lt;&gt;"",'R.M Billets Reports'!A360,IF(ROW()=2,"",D360))</f>
      </c>
      <c r="E361">
        <f>IF('R.M Billets Reports'!B360="","",TRIM('R.M Billets Reports'!B360))</f>
      </c>
      <c r="F361">
        <f>'R.M Billets Reports'!C360</f>
      </c>
      <c r="G361">
        <f>'R.M Billets Reports'!D360</f>
      </c>
      <c r="H361">
        <f>'R.M Billets Reports'!E360</f>
      </c>
      <c r="I361">
        <f>'R.M Billets Reports'!F360</f>
      </c>
      <c r="J361">
        <f>'R.M Billets Reports'!G360</f>
      </c>
      <c r="K361">
        <f>'R.M Billets Reports'!H360</f>
      </c>
      <c r="L361">
        <f>IF('R.M Billets Reports'!I360="","",'R.M Billets Reports'!I360)</f>
      </c>
      <c r="M361">
        <f t="shared" si="10"/>
      </c>
      <c r="N361">
        <f>IF('R.M Billets Reports'!J360="","",'R.M Billets Reports'!J360)</f>
      </c>
      <c r="O361">
        <f t="shared" si="11"/>
      </c>
      <c r="P361">
        <f>IF('R.M Billets Reports'!A360="SIZE",'R.M Billets Reports'!B360,P360)</f>
      </c>
    </row>
    <row r="362" spans="1:16" x14ac:dyDescent="0.25">
      <c r="A362">
        <f>IF(OR('R.M Billets Reports'!A361="Date-",'R.M Billets Reports'!A361="Date:-"),IF(IF(IF(ISNUMBER(SEARCH("Party Name:-",'R.M Billets Reports'!D361)),TRIM('R.M Billets Reports'!F361),IF(ISNUMBER(SEARCH("Party Name-",'R.M Billets Reports'!D361)),TRIM(MID('R.M Billets Reports'!D361,SEARCH("-",'R.M Billets Reports'!D361)+1,200)),""))&lt;&gt;"",IF(ISNUMBER(SEARCH("Party Name:-",'R.M Billets Reports'!D361)),TRIM('R.M Billets Reports'!F361),IF(ISNUMBER(SEARCH("Party Name-",'R.M Billets Reports'!D361)),TRIM(MID('R.M Billets Reports'!D361,SEARCH("-",'R.M Billets Reports'!D361)+1,200)),"")),IF(ISNUMBER(SEARCH("Party Name:-",'R.M Billets Reports'!D362)),TRIM('R.M Billets Reports'!F362),IF(ISNUMBER(SEARCH("Party Name-",'R.M Billets Reports'!D362)),TRIM(MID('R.M Billets Reports'!D362,SEARCH("-",'R.M Billets Reports'!D362)+1,200)),"")))="VRKP ISPAT PVT LTD","VRKP",IF(IF(IF(ISNUMBER(SEARCH("Party Name:-",'R.M Billets Reports'!D361)),TRIM('R.M Billets Reports'!F361),IF(ISNUMBER(SEARCH("Party Name-",'R.M Billets Reports'!D361)),TRIM(MID('R.M Billets Reports'!D361,SEARCH("-",'R.M Billets Reports'!D361)+1,200)),""))&lt;&gt;"",IF(ISNUMBER(SEARCH("Party Name:-",'R.M Billets Reports'!D361)),TRIM('R.M Billets Reports'!F361),IF(ISNUMBER(SEARCH("Party Name-",'R.M Billets Reports'!D361)),TRIM(MID('R.M Billets Reports'!D361,SEARCH("-",'R.M Billets Reports'!D361)+1,200)),"")),IF(ISNUMBER(SEARCH("Party Name:-",'R.M Billets Reports'!D362)),TRIM('R.M Billets Reports'!F362),IF(ISNUMBER(SEARCH("Party Name-",'R.M Billets Reports'!D362)),TRIM(MID('R.M Billets Reports'!D362,SEARCH("-",'R.M Billets Reports'!D362)+1,200)),"")))="SHRI RADHE","SHREE RADHE",IF(IF(IF(ISNUMBER(SEARCH("Party Name:-",'R.M Billets Reports'!D361)),TRIM('R.M Billets Reports'!F361),IF(ISNUMBER(SEARCH("Party Name-",'R.M Billets Reports'!D361)),TRIM(MID('R.M Billets Reports'!D361,SEARCH("-",'R.M Billets Reports'!D361)+1,200)),""))&lt;&gt;"",IF(ISNUMBER(SEARCH("Party Name:-",'R.M Billets Reports'!D361)),TRIM('R.M Billets Reports'!F361),IF(ISNUMBER(SEARCH("Party Name-",'R.M Billets Reports'!D361)),TRIM(MID('R.M Billets Reports'!D361,SEARCH("-",'R.M Billets Reports'!D361)+1,200)),"")),IF(ISNUMBER(SEARCH("Party Name:-",'R.M Billets Reports'!D362)),TRIM('R.M Billets Reports'!F362),IF(ISNUMBER(SEARCH("Party Name-",'R.M Billets Reports'!D362)),TRIM(MID('R.M Billets Reports'!D362,SEARCH("-",'R.M Billets Reports'!D362)+1,200)),"")))="SHREE RADHE SHAKTI SPONGE AND POWER PVT. LTD.","SHREE RADHE",IF(IF(ISNUMBER(SEARCH("Party Name:-",'R.M Billets Reports'!D361)),TRIM('R.M Billets Reports'!F361),IF(ISNUMBER(SEARCH("Party Name-",'R.M Billets Reports'!D361)),TRIM(MID('R.M Billets Reports'!D361,SEARCH("-",'R.M Billets Reports'!D361)+1,200)),""))&lt;&gt;"",IF(ISNUMBER(SEARCH("Party Name:-",'R.M Billets Reports'!D361)),TRIM('R.M Billets Reports'!F361),IF(ISNUMBER(SEARCH("Party Name-",'R.M Billets Reports'!D361)),TRIM(MID('R.M Billets Reports'!D361,SEARCH("-",'R.M Billets Reports'!D361)+1,200)),"")),IF(ISNUMBER(SEARCH("Party Name:-",'R.M Billets Reports'!D362)),TRIM('R.M Billets Reports'!F362),IF(ISNUMBER(SEARCH("Party Name-",'R.M Billets Reports'!D362)),TRIM(MID('R.M Billets Reports'!D362,SEARCH("-",'R.M Billets Reports'!D362)+1,200)),"")))))),IF(ROW()=2,"",A361))</f>
      </c>
      <c r="B362">
        <f>IF(OR('R.M Billets Reports'!A361="Date-",'R.M Billets Reports'!A361="Date:-"),'R.M Billets Reports'!B361,IF(ROW()=2,"",B361))</f>
      </c>
      <c r="C362">
        <f>IF('R.M Billets Reports'!A361="V.No.",'R.M Billets Reports'!B361,IF(ROW()=2,"",C361))</f>
      </c>
      <c r="D362">
        <f>IF('R.M Billets Reports'!A361&lt;&gt;"",'R.M Billets Reports'!A361,IF(ROW()=2,"",D361))</f>
      </c>
      <c r="E362">
        <f>IF('R.M Billets Reports'!B361="","",TRIM('R.M Billets Reports'!B361))</f>
      </c>
      <c r="F362">
        <f>'R.M Billets Reports'!C361</f>
      </c>
      <c r="G362">
        <f>'R.M Billets Reports'!D361</f>
      </c>
      <c r="H362">
        <f>'R.M Billets Reports'!E361</f>
      </c>
      <c r="I362">
        <f>'R.M Billets Reports'!F361</f>
      </c>
      <c r="J362">
        <f>'R.M Billets Reports'!G361</f>
      </c>
      <c r="K362">
        <f>'R.M Billets Reports'!H361</f>
      </c>
      <c r="L362">
        <f>IF('R.M Billets Reports'!I361="","",'R.M Billets Reports'!I361)</f>
      </c>
      <c r="M362">
        <f t="shared" si="10"/>
      </c>
      <c r="N362">
        <f>IF('R.M Billets Reports'!J361="","",'R.M Billets Reports'!J361)</f>
      </c>
      <c r="O362">
        <f t="shared" si="11"/>
      </c>
      <c r="P362">
        <f>IF('R.M Billets Reports'!A361="SIZE",'R.M Billets Reports'!B361,P361)</f>
      </c>
    </row>
    <row r="363" spans="1:16" x14ac:dyDescent="0.25">
      <c r="A363">
        <f>IF(OR('R.M Billets Reports'!A362="Date-",'R.M Billets Reports'!A362="Date:-"),IF(IF(IF(ISNUMBER(SEARCH("Party Name:-",'R.M Billets Reports'!D362)),TRIM('R.M Billets Reports'!F362),IF(ISNUMBER(SEARCH("Party Name-",'R.M Billets Reports'!D362)),TRIM(MID('R.M Billets Reports'!D362,SEARCH("-",'R.M Billets Reports'!D362)+1,200)),""))&lt;&gt;"",IF(ISNUMBER(SEARCH("Party Name:-",'R.M Billets Reports'!D362)),TRIM('R.M Billets Reports'!F362),IF(ISNUMBER(SEARCH("Party Name-",'R.M Billets Reports'!D362)),TRIM(MID('R.M Billets Reports'!D362,SEARCH("-",'R.M Billets Reports'!D362)+1,200)),"")),IF(ISNUMBER(SEARCH("Party Name:-",'R.M Billets Reports'!D363)),TRIM('R.M Billets Reports'!F363),IF(ISNUMBER(SEARCH("Party Name-",'R.M Billets Reports'!D363)),TRIM(MID('R.M Billets Reports'!D363,SEARCH("-",'R.M Billets Reports'!D363)+1,200)),"")))="VRKP ISPAT PVT LTD","VRKP",IF(IF(IF(ISNUMBER(SEARCH("Party Name:-",'R.M Billets Reports'!D362)),TRIM('R.M Billets Reports'!F362),IF(ISNUMBER(SEARCH("Party Name-",'R.M Billets Reports'!D362)),TRIM(MID('R.M Billets Reports'!D362,SEARCH("-",'R.M Billets Reports'!D362)+1,200)),""))&lt;&gt;"",IF(ISNUMBER(SEARCH("Party Name:-",'R.M Billets Reports'!D362)),TRIM('R.M Billets Reports'!F362),IF(ISNUMBER(SEARCH("Party Name-",'R.M Billets Reports'!D362)),TRIM(MID('R.M Billets Reports'!D362,SEARCH("-",'R.M Billets Reports'!D362)+1,200)),"")),IF(ISNUMBER(SEARCH("Party Name:-",'R.M Billets Reports'!D363)),TRIM('R.M Billets Reports'!F363),IF(ISNUMBER(SEARCH("Party Name-",'R.M Billets Reports'!D363)),TRIM(MID('R.M Billets Reports'!D363,SEARCH("-",'R.M Billets Reports'!D363)+1,200)),"")))="SHRI RADHE","SHREE RADHE",IF(IF(IF(ISNUMBER(SEARCH("Party Name:-",'R.M Billets Reports'!D362)),TRIM('R.M Billets Reports'!F362),IF(ISNUMBER(SEARCH("Party Name-",'R.M Billets Reports'!D362)),TRIM(MID('R.M Billets Reports'!D362,SEARCH("-",'R.M Billets Reports'!D362)+1,200)),""))&lt;&gt;"",IF(ISNUMBER(SEARCH("Party Name:-",'R.M Billets Reports'!D362)),TRIM('R.M Billets Reports'!F362),IF(ISNUMBER(SEARCH("Party Name-",'R.M Billets Reports'!D362)),TRIM(MID('R.M Billets Reports'!D362,SEARCH("-",'R.M Billets Reports'!D362)+1,200)),"")),IF(ISNUMBER(SEARCH("Party Name:-",'R.M Billets Reports'!D363)),TRIM('R.M Billets Reports'!F363),IF(ISNUMBER(SEARCH("Party Name-",'R.M Billets Reports'!D363)),TRIM(MID('R.M Billets Reports'!D363,SEARCH("-",'R.M Billets Reports'!D363)+1,200)),"")))="SHREE RADHE SHAKTI SPONGE AND POWER PVT. LTD.","SHREE RADHE",IF(IF(ISNUMBER(SEARCH("Party Name:-",'R.M Billets Reports'!D362)),TRIM('R.M Billets Reports'!F362),IF(ISNUMBER(SEARCH("Party Name-",'R.M Billets Reports'!D362)),TRIM(MID('R.M Billets Reports'!D362,SEARCH("-",'R.M Billets Reports'!D362)+1,200)),""))&lt;&gt;"",IF(ISNUMBER(SEARCH("Party Name:-",'R.M Billets Reports'!D362)),TRIM('R.M Billets Reports'!F362),IF(ISNUMBER(SEARCH("Party Name-",'R.M Billets Reports'!D362)),TRIM(MID('R.M Billets Reports'!D362,SEARCH("-",'R.M Billets Reports'!D362)+1,200)),"")),IF(ISNUMBER(SEARCH("Party Name:-",'R.M Billets Reports'!D363)),TRIM('R.M Billets Reports'!F363),IF(ISNUMBER(SEARCH("Party Name-",'R.M Billets Reports'!D363)),TRIM(MID('R.M Billets Reports'!D363,SEARCH("-",'R.M Billets Reports'!D363)+1,200)),"")))))),IF(ROW()=2,"",A362))</f>
      </c>
      <c r="B363">
        <f>IF(OR('R.M Billets Reports'!A362="Date-",'R.M Billets Reports'!A362="Date:-"),'R.M Billets Reports'!B362,IF(ROW()=2,"",B362))</f>
      </c>
      <c r="C363">
        <f>IF('R.M Billets Reports'!A362="V.No.",'R.M Billets Reports'!B362,IF(ROW()=2,"",C362))</f>
      </c>
      <c r="D363">
        <f>IF('R.M Billets Reports'!A362&lt;&gt;"",'R.M Billets Reports'!A362,IF(ROW()=2,"",D362))</f>
      </c>
      <c r="E363">
        <f>IF('R.M Billets Reports'!B362="","",TRIM('R.M Billets Reports'!B362))</f>
      </c>
      <c r="F363">
        <f>'R.M Billets Reports'!C362</f>
      </c>
      <c r="G363">
        <f>'R.M Billets Reports'!D362</f>
      </c>
      <c r="H363">
        <f>'R.M Billets Reports'!E362</f>
      </c>
      <c r="I363">
        <f>'R.M Billets Reports'!F362</f>
      </c>
      <c r="J363">
        <f>'R.M Billets Reports'!G362</f>
      </c>
      <c r="K363">
        <f>'R.M Billets Reports'!H362</f>
      </c>
      <c r="L363">
        <f>IF('R.M Billets Reports'!I362="","",'R.M Billets Reports'!I362)</f>
      </c>
      <c r="M363">
        <f t="shared" si="10"/>
      </c>
      <c r="N363">
        <f>IF('R.M Billets Reports'!J362="","",'R.M Billets Reports'!J362)</f>
      </c>
      <c r="O363">
        <f t="shared" si="11"/>
      </c>
      <c r="P363">
        <f>IF('R.M Billets Reports'!A362="SIZE",'R.M Billets Reports'!B362,P362)</f>
      </c>
    </row>
    <row r="364" spans="1:16" x14ac:dyDescent="0.25">
      <c r="A364">
        <f>IF(OR('R.M Billets Reports'!A363="Date-",'R.M Billets Reports'!A363="Date:-"),IF(IF(IF(ISNUMBER(SEARCH("Party Name:-",'R.M Billets Reports'!D363)),TRIM('R.M Billets Reports'!F363),IF(ISNUMBER(SEARCH("Party Name-",'R.M Billets Reports'!D363)),TRIM(MID('R.M Billets Reports'!D363,SEARCH("-",'R.M Billets Reports'!D363)+1,200)),""))&lt;&gt;"",IF(ISNUMBER(SEARCH("Party Name:-",'R.M Billets Reports'!D363)),TRIM('R.M Billets Reports'!F363),IF(ISNUMBER(SEARCH("Party Name-",'R.M Billets Reports'!D363)),TRIM(MID('R.M Billets Reports'!D363,SEARCH("-",'R.M Billets Reports'!D363)+1,200)),"")),IF(ISNUMBER(SEARCH("Party Name:-",'R.M Billets Reports'!D364)),TRIM('R.M Billets Reports'!F364),IF(ISNUMBER(SEARCH("Party Name-",'R.M Billets Reports'!D364)),TRIM(MID('R.M Billets Reports'!D364,SEARCH("-",'R.M Billets Reports'!D364)+1,200)),"")))="VRKP ISPAT PVT LTD","VRKP",IF(IF(IF(ISNUMBER(SEARCH("Party Name:-",'R.M Billets Reports'!D363)),TRIM('R.M Billets Reports'!F363),IF(ISNUMBER(SEARCH("Party Name-",'R.M Billets Reports'!D363)),TRIM(MID('R.M Billets Reports'!D363,SEARCH("-",'R.M Billets Reports'!D363)+1,200)),""))&lt;&gt;"",IF(ISNUMBER(SEARCH("Party Name:-",'R.M Billets Reports'!D363)),TRIM('R.M Billets Reports'!F363),IF(ISNUMBER(SEARCH("Party Name-",'R.M Billets Reports'!D363)),TRIM(MID('R.M Billets Reports'!D363,SEARCH("-",'R.M Billets Reports'!D363)+1,200)),"")),IF(ISNUMBER(SEARCH("Party Name:-",'R.M Billets Reports'!D364)),TRIM('R.M Billets Reports'!F364),IF(ISNUMBER(SEARCH("Party Name-",'R.M Billets Reports'!D364)),TRIM(MID('R.M Billets Reports'!D364,SEARCH("-",'R.M Billets Reports'!D364)+1,200)),"")))="SHRI RADHE","SHREE RADHE",IF(IF(IF(ISNUMBER(SEARCH("Party Name:-",'R.M Billets Reports'!D363)),TRIM('R.M Billets Reports'!F363),IF(ISNUMBER(SEARCH("Party Name-",'R.M Billets Reports'!D363)),TRIM(MID('R.M Billets Reports'!D363,SEARCH("-",'R.M Billets Reports'!D363)+1,200)),""))&lt;&gt;"",IF(ISNUMBER(SEARCH("Party Name:-",'R.M Billets Reports'!D363)),TRIM('R.M Billets Reports'!F363),IF(ISNUMBER(SEARCH("Party Name-",'R.M Billets Reports'!D363)),TRIM(MID('R.M Billets Reports'!D363,SEARCH("-",'R.M Billets Reports'!D363)+1,200)),"")),IF(ISNUMBER(SEARCH("Party Name:-",'R.M Billets Reports'!D364)),TRIM('R.M Billets Reports'!F364),IF(ISNUMBER(SEARCH("Party Name-",'R.M Billets Reports'!D364)),TRIM(MID('R.M Billets Reports'!D364,SEARCH("-",'R.M Billets Reports'!D364)+1,200)),"")))="SHREE RADHE SHAKTI SPONGE AND POWER PVT. LTD.","SHREE RADHE",IF(IF(ISNUMBER(SEARCH("Party Name:-",'R.M Billets Reports'!D363)),TRIM('R.M Billets Reports'!F363),IF(ISNUMBER(SEARCH("Party Name-",'R.M Billets Reports'!D363)),TRIM(MID('R.M Billets Reports'!D363,SEARCH("-",'R.M Billets Reports'!D363)+1,200)),""))&lt;&gt;"",IF(ISNUMBER(SEARCH("Party Name:-",'R.M Billets Reports'!D363)),TRIM('R.M Billets Reports'!F363),IF(ISNUMBER(SEARCH("Party Name-",'R.M Billets Reports'!D363)),TRIM(MID('R.M Billets Reports'!D363,SEARCH("-",'R.M Billets Reports'!D363)+1,200)),"")),IF(ISNUMBER(SEARCH("Party Name:-",'R.M Billets Reports'!D364)),TRIM('R.M Billets Reports'!F364),IF(ISNUMBER(SEARCH("Party Name-",'R.M Billets Reports'!D364)),TRIM(MID('R.M Billets Reports'!D364,SEARCH("-",'R.M Billets Reports'!D364)+1,200)),"")))))),IF(ROW()=2,"",A363))</f>
      </c>
      <c r="B364">
        <f>IF(OR('R.M Billets Reports'!A363="Date-",'R.M Billets Reports'!A363="Date:-"),'R.M Billets Reports'!B363,IF(ROW()=2,"",B363))</f>
      </c>
      <c r="C364">
        <f>IF('R.M Billets Reports'!A363="V.No.",'R.M Billets Reports'!B363,IF(ROW()=2,"",C363))</f>
      </c>
      <c r="D364">
        <f>IF('R.M Billets Reports'!A363&lt;&gt;"",'R.M Billets Reports'!A363,IF(ROW()=2,"",D363))</f>
      </c>
      <c r="E364">
        <f>IF('R.M Billets Reports'!B363="","",TRIM('R.M Billets Reports'!B363))</f>
      </c>
      <c r="F364">
        <f>'R.M Billets Reports'!C363</f>
      </c>
      <c r="G364">
        <f>'R.M Billets Reports'!D363</f>
      </c>
      <c r="H364">
        <f>'R.M Billets Reports'!E363</f>
      </c>
      <c r="I364">
        <f>'R.M Billets Reports'!F363</f>
      </c>
      <c r="J364">
        <f>'R.M Billets Reports'!G363</f>
      </c>
      <c r="K364">
        <f>'R.M Billets Reports'!H363</f>
      </c>
      <c r="L364">
        <f>IF('R.M Billets Reports'!I363="","",'R.M Billets Reports'!I363)</f>
      </c>
      <c r="M364">
        <f t="shared" si="10"/>
      </c>
      <c r="N364">
        <f>IF('R.M Billets Reports'!J363="","",'R.M Billets Reports'!J363)</f>
      </c>
      <c r="O364">
        <f t="shared" si="11"/>
      </c>
      <c r="P364">
        <f>IF('R.M Billets Reports'!A363="SIZE",'R.M Billets Reports'!B363,P363)</f>
      </c>
    </row>
    <row r="365" spans="1:16" x14ac:dyDescent="0.25">
      <c r="A365">
        <f>IF(OR('R.M Billets Reports'!A364="Date-",'R.M Billets Reports'!A364="Date:-"),IF(IF(IF(ISNUMBER(SEARCH("Party Name:-",'R.M Billets Reports'!D364)),TRIM('R.M Billets Reports'!F364),IF(ISNUMBER(SEARCH("Party Name-",'R.M Billets Reports'!D364)),TRIM(MID('R.M Billets Reports'!D364,SEARCH("-",'R.M Billets Reports'!D364)+1,200)),""))&lt;&gt;"",IF(ISNUMBER(SEARCH("Party Name:-",'R.M Billets Reports'!D364)),TRIM('R.M Billets Reports'!F364),IF(ISNUMBER(SEARCH("Party Name-",'R.M Billets Reports'!D364)),TRIM(MID('R.M Billets Reports'!D364,SEARCH("-",'R.M Billets Reports'!D364)+1,200)),"")),IF(ISNUMBER(SEARCH("Party Name:-",'R.M Billets Reports'!D365)),TRIM('R.M Billets Reports'!F365),IF(ISNUMBER(SEARCH("Party Name-",'R.M Billets Reports'!D365)),TRIM(MID('R.M Billets Reports'!D365,SEARCH("-",'R.M Billets Reports'!D365)+1,200)),"")))="VRKP ISPAT PVT LTD","VRKP",IF(IF(IF(ISNUMBER(SEARCH("Party Name:-",'R.M Billets Reports'!D364)),TRIM('R.M Billets Reports'!F364),IF(ISNUMBER(SEARCH("Party Name-",'R.M Billets Reports'!D364)),TRIM(MID('R.M Billets Reports'!D364,SEARCH("-",'R.M Billets Reports'!D364)+1,200)),""))&lt;&gt;"",IF(ISNUMBER(SEARCH("Party Name:-",'R.M Billets Reports'!D364)),TRIM('R.M Billets Reports'!F364),IF(ISNUMBER(SEARCH("Party Name-",'R.M Billets Reports'!D364)),TRIM(MID('R.M Billets Reports'!D364,SEARCH("-",'R.M Billets Reports'!D364)+1,200)),"")),IF(ISNUMBER(SEARCH("Party Name:-",'R.M Billets Reports'!D365)),TRIM('R.M Billets Reports'!F365),IF(ISNUMBER(SEARCH("Party Name-",'R.M Billets Reports'!D365)),TRIM(MID('R.M Billets Reports'!D365,SEARCH("-",'R.M Billets Reports'!D365)+1,200)),"")))="SHRI RADHE","SHREE RADHE",IF(IF(IF(ISNUMBER(SEARCH("Party Name:-",'R.M Billets Reports'!D364)),TRIM('R.M Billets Reports'!F364),IF(ISNUMBER(SEARCH("Party Name-",'R.M Billets Reports'!D364)),TRIM(MID('R.M Billets Reports'!D364,SEARCH("-",'R.M Billets Reports'!D364)+1,200)),""))&lt;&gt;"",IF(ISNUMBER(SEARCH("Party Name:-",'R.M Billets Reports'!D364)),TRIM('R.M Billets Reports'!F364),IF(ISNUMBER(SEARCH("Party Name-",'R.M Billets Reports'!D364)),TRIM(MID('R.M Billets Reports'!D364,SEARCH("-",'R.M Billets Reports'!D364)+1,200)),"")),IF(ISNUMBER(SEARCH("Party Name:-",'R.M Billets Reports'!D365)),TRIM('R.M Billets Reports'!F365),IF(ISNUMBER(SEARCH("Party Name-",'R.M Billets Reports'!D365)),TRIM(MID('R.M Billets Reports'!D365,SEARCH("-",'R.M Billets Reports'!D365)+1,200)),"")))="SHREE RADHE SHAKTI SPONGE AND POWER PVT. LTD.","SHREE RADHE",IF(IF(ISNUMBER(SEARCH("Party Name:-",'R.M Billets Reports'!D364)),TRIM('R.M Billets Reports'!F364),IF(ISNUMBER(SEARCH("Party Name-",'R.M Billets Reports'!D364)),TRIM(MID('R.M Billets Reports'!D364,SEARCH("-",'R.M Billets Reports'!D364)+1,200)),""))&lt;&gt;"",IF(ISNUMBER(SEARCH("Party Name:-",'R.M Billets Reports'!D364)),TRIM('R.M Billets Reports'!F364),IF(ISNUMBER(SEARCH("Party Name-",'R.M Billets Reports'!D364)),TRIM(MID('R.M Billets Reports'!D364,SEARCH("-",'R.M Billets Reports'!D364)+1,200)),"")),IF(ISNUMBER(SEARCH("Party Name:-",'R.M Billets Reports'!D365)),TRIM('R.M Billets Reports'!F365),IF(ISNUMBER(SEARCH("Party Name-",'R.M Billets Reports'!D365)),TRIM(MID('R.M Billets Reports'!D365,SEARCH("-",'R.M Billets Reports'!D365)+1,200)),"")))))),IF(ROW()=2,"",A364))</f>
      </c>
      <c r="B365">
        <f>IF(OR('R.M Billets Reports'!A364="Date-",'R.M Billets Reports'!A364="Date:-"),'R.M Billets Reports'!B364,IF(ROW()=2,"",B364))</f>
      </c>
      <c r="C365">
        <f>IF('R.M Billets Reports'!A364="V.No.",'R.M Billets Reports'!B364,IF(ROW()=2,"",C364))</f>
      </c>
      <c r="D365">
        <f>IF('R.M Billets Reports'!A364&lt;&gt;"",'R.M Billets Reports'!A364,IF(ROW()=2,"",D364))</f>
      </c>
      <c r="E365">
        <f>IF('R.M Billets Reports'!B364="","",TRIM('R.M Billets Reports'!B364))</f>
      </c>
      <c r="F365">
        <f>'R.M Billets Reports'!C364</f>
      </c>
      <c r="G365">
        <f>'R.M Billets Reports'!D364</f>
      </c>
      <c r="H365">
        <f>'R.M Billets Reports'!E364</f>
      </c>
      <c r="I365">
        <f>'R.M Billets Reports'!F364</f>
      </c>
      <c r="J365">
        <f>'R.M Billets Reports'!G364</f>
      </c>
      <c r="K365">
        <f>'R.M Billets Reports'!H364</f>
      </c>
      <c r="L365">
        <f>IF('R.M Billets Reports'!I364="","",'R.M Billets Reports'!I364)</f>
      </c>
      <c r="M365">
        <f t="shared" si="10"/>
      </c>
      <c r="N365">
        <f>IF('R.M Billets Reports'!J364="","",'R.M Billets Reports'!J364)</f>
      </c>
      <c r="O365">
        <f t="shared" si="11"/>
      </c>
      <c r="P365">
        <f>IF('R.M Billets Reports'!A364="SIZE",'R.M Billets Reports'!B364,P364)</f>
      </c>
    </row>
    <row r="366" spans="1:16" x14ac:dyDescent="0.25">
      <c r="A366">
        <f>IF(OR('R.M Billets Reports'!A365="Date-",'R.M Billets Reports'!A365="Date:-"),IF(IF(IF(ISNUMBER(SEARCH("Party Name:-",'R.M Billets Reports'!D365)),TRIM('R.M Billets Reports'!F365),IF(ISNUMBER(SEARCH("Party Name-",'R.M Billets Reports'!D365)),TRIM(MID('R.M Billets Reports'!D365,SEARCH("-",'R.M Billets Reports'!D365)+1,200)),""))&lt;&gt;"",IF(ISNUMBER(SEARCH("Party Name:-",'R.M Billets Reports'!D365)),TRIM('R.M Billets Reports'!F365),IF(ISNUMBER(SEARCH("Party Name-",'R.M Billets Reports'!D365)),TRIM(MID('R.M Billets Reports'!D365,SEARCH("-",'R.M Billets Reports'!D365)+1,200)),"")),IF(ISNUMBER(SEARCH("Party Name:-",'R.M Billets Reports'!D366)),TRIM('R.M Billets Reports'!F366),IF(ISNUMBER(SEARCH("Party Name-",'R.M Billets Reports'!D366)),TRIM(MID('R.M Billets Reports'!D366,SEARCH("-",'R.M Billets Reports'!D366)+1,200)),"")))="VRKP ISPAT PVT LTD","VRKP",IF(IF(IF(ISNUMBER(SEARCH("Party Name:-",'R.M Billets Reports'!D365)),TRIM('R.M Billets Reports'!F365),IF(ISNUMBER(SEARCH("Party Name-",'R.M Billets Reports'!D365)),TRIM(MID('R.M Billets Reports'!D365,SEARCH("-",'R.M Billets Reports'!D365)+1,200)),""))&lt;&gt;"",IF(ISNUMBER(SEARCH("Party Name:-",'R.M Billets Reports'!D365)),TRIM('R.M Billets Reports'!F365),IF(ISNUMBER(SEARCH("Party Name-",'R.M Billets Reports'!D365)),TRIM(MID('R.M Billets Reports'!D365,SEARCH("-",'R.M Billets Reports'!D365)+1,200)),"")),IF(ISNUMBER(SEARCH("Party Name:-",'R.M Billets Reports'!D366)),TRIM('R.M Billets Reports'!F366),IF(ISNUMBER(SEARCH("Party Name-",'R.M Billets Reports'!D366)),TRIM(MID('R.M Billets Reports'!D366,SEARCH("-",'R.M Billets Reports'!D366)+1,200)),"")))="SHRI RADHE","SHREE RADHE",IF(IF(IF(ISNUMBER(SEARCH("Party Name:-",'R.M Billets Reports'!D365)),TRIM('R.M Billets Reports'!F365),IF(ISNUMBER(SEARCH("Party Name-",'R.M Billets Reports'!D365)),TRIM(MID('R.M Billets Reports'!D365,SEARCH("-",'R.M Billets Reports'!D365)+1,200)),""))&lt;&gt;"",IF(ISNUMBER(SEARCH("Party Name:-",'R.M Billets Reports'!D365)),TRIM('R.M Billets Reports'!F365),IF(ISNUMBER(SEARCH("Party Name-",'R.M Billets Reports'!D365)),TRIM(MID('R.M Billets Reports'!D365,SEARCH("-",'R.M Billets Reports'!D365)+1,200)),"")),IF(ISNUMBER(SEARCH("Party Name:-",'R.M Billets Reports'!D366)),TRIM('R.M Billets Reports'!F366),IF(ISNUMBER(SEARCH("Party Name-",'R.M Billets Reports'!D366)),TRIM(MID('R.M Billets Reports'!D366,SEARCH("-",'R.M Billets Reports'!D366)+1,200)),"")))="SHREE RADHE SHAKTI SPONGE AND POWER PVT. LTD.","SHREE RADHE",IF(IF(ISNUMBER(SEARCH("Party Name:-",'R.M Billets Reports'!D365)),TRIM('R.M Billets Reports'!F365),IF(ISNUMBER(SEARCH("Party Name-",'R.M Billets Reports'!D365)),TRIM(MID('R.M Billets Reports'!D365,SEARCH("-",'R.M Billets Reports'!D365)+1,200)),""))&lt;&gt;"",IF(ISNUMBER(SEARCH("Party Name:-",'R.M Billets Reports'!D365)),TRIM('R.M Billets Reports'!F365),IF(ISNUMBER(SEARCH("Party Name-",'R.M Billets Reports'!D365)),TRIM(MID('R.M Billets Reports'!D365,SEARCH("-",'R.M Billets Reports'!D365)+1,200)),"")),IF(ISNUMBER(SEARCH("Party Name:-",'R.M Billets Reports'!D366)),TRIM('R.M Billets Reports'!F366),IF(ISNUMBER(SEARCH("Party Name-",'R.M Billets Reports'!D366)),TRIM(MID('R.M Billets Reports'!D366,SEARCH("-",'R.M Billets Reports'!D366)+1,200)),"")))))),IF(ROW()=2,"",A365))</f>
      </c>
      <c r="B366">
        <f>IF(OR('R.M Billets Reports'!A365="Date-",'R.M Billets Reports'!A365="Date:-"),'R.M Billets Reports'!B365,IF(ROW()=2,"",B365))</f>
      </c>
      <c r="C366">
        <f>IF('R.M Billets Reports'!A365="V.No.",'R.M Billets Reports'!B365,IF(ROW()=2,"",C365))</f>
      </c>
      <c r="D366">
        <f>IF('R.M Billets Reports'!A365&lt;&gt;"",'R.M Billets Reports'!A365,IF(ROW()=2,"",D365))</f>
      </c>
      <c r="E366">
        <f>IF('R.M Billets Reports'!B365="","",TRIM('R.M Billets Reports'!B365))</f>
      </c>
      <c r="F366">
        <f>'R.M Billets Reports'!C365</f>
      </c>
      <c r="G366">
        <f>'R.M Billets Reports'!D365</f>
      </c>
      <c r="H366">
        <f>'R.M Billets Reports'!E365</f>
      </c>
      <c r="I366">
        <f>'R.M Billets Reports'!F365</f>
      </c>
      <c r="J366">
        <f>'R.M Billets Reports'!G365</f>
      </c>
      <c r="K366">
        <f>'R.M Billets Reports'!H365</f>
      </c>
      <c r="L366">
        <f>IF('R.M Billets Reports'!I365="","",'R.M Billets Reports'!I365)</f>
      </c>
      <c r="M366">
        <f t="shared" si="10"/>
      </c>
      <c r="N366">
        <f>IF('R.M Billets Reports'!J365="","",'R.M Billets Reports'!J365)</f>
      </c>
      <c r="O366">
        <f t="shared" si="11"/>
      </c>
      <c r="P366">
        <f>IF('R.M Billets Reports'!A365="SIZE",'R.M Billets Reports'!B365,P365)</f>
      </c>
    </row>
    <row r="367" spans="1:16" x14ac:dyDescent="0.25">
      <c r="A367">
        <f>IF(OR('R.M Billets Reports'!A366="Date-",'R.M Billets Reports'!A366="Date:-"),IF(IF(IF(ISNUMBER(SEARCH("Party Name:-",'R.M Billets Reports'!D366)),TRIM('R.M Billets Reports'!F366),IF(ISNUMBER(SEARCH("Party Name-",'R.M Billets Reports'!D366)),TRIM(MID('R.M Billets Reports'!D366,SEARCH("-",'R.M Billets Reports'!D366)+1,200)),""))&lt;&gt;"",IF(ISNUMBER(SEARCH("Party Name:-",'R.M Billets Reports'!D366)),TRIM('R.M Billets Reports'!F366),IF(ISNUMBER(SEARCH("Party Name-",'R.M Billets Reports'!D366)),TRIM(MID('R.M Billets Reports'!D366,SEARCH("-",'R.M Billets Reports'!D366)+1,200)),"")),IF(ISNUMBER(SEARCH("Party Name:-",'R.M Billets Reports'!D367)),TRIM('R.M Billets Reports'!F367),IF(ISNUMBER(SEARCH("Party Name-",'R.M Billets Reports'!D367)),TRIM(MID('R.M Billets Reports'!D367,SEARCH("-",'R.M Billets Reports'!D367)+1,200)),"")))="VRKP ISPAT PVT LTD","VRKP",IF(IF(IF(ISNUMBER(SEARCH("Party Name:-",'R.M Billets Reports'!D366)),TRIM('R.M Billets Reports'!F366),IF(ISNUMBER(SEARCH("Party Name-",'R.M Billets Reports'!D366)),TRIM(MID('R.M Billets Reports'!D366,SEARCH("-",'R.M Billets Reports'!D366)+1,200)),""))&lt;&gt;"",IF(ISNUMBER(SEARCH("Party Name:-",'R.M Billets Reports'!D366)),TRIM('R.M Billets Reports'!F366),IF(ISNUMBER(SEARCH("Party Name-",'R.M Billets Reports'!D366)),TRIM(MID('R.M Billets Reports'!D366,SEARCH("-",'R.M Billets Reports'!D366)+1,200)),"")),IF(ISNUMBER(SEARCH("Party Name:-",'R.M Billets Reports'!D367)),TRIM('R.M Billets Reports'!F367),IF(ISNUMBER(SEARCH("Party Name-",'R.M Billets Reports'!D367)),TRIM(MID('R.M Billets Reports'!D367,SEARCH("-",'R.M Billets Reports'!D367)+1,200)),"")))="SHRI RADHE","SHREE RADHE",IF(IF(IF(ISNUMBER(SEARCH("Party Name:-",'R.M Billets Reports'!D366)),TRIM('R.M Billets Reports'!F366),IF(ISNUMBER(SEARCH("Party Name-",'R.M Billets Reports'!D366)),TRIM(MID('R.M Billets Reports'!D366,SEARCH("-",'R.M Billets Reports'!D366)+1,200)),""))&lt;&gt;"",IF(ISNUMBER(SEARCH("Party Name:-",'R.M Billets Reports'!D366)),TRIM('R.M Billets Reports'!F366),IF(ISNUMBER(SEARCH("Party Name-",'R.M Billets Reports'!D366)),TRIM(MID('R.M Billets Reports'!D366,SEARCH("-",'R.M Billets Reports'!D366)+1,200)),"")),IF(ISNUMBER(SEARCH("Party Name:-",'R.M Billets Reports'!D367)),TRIM('R.M Billets Reports'!F367),IF(ISNUMBER(SEARCH("Party Name-",'R.M Billets Reports'!D367)),TRIM(MID('R.M Billets Reports'!D367,SEARCH("-",'R.M Billets Reports'!D367)+1,200)),"")))="SHREE RADHE SHAKTI SPONGE AND POWER PVT. LTD.","SHREE RADHE",IF(IF(ISNUMBER(SEARCH("Party Name:-",'R.M Billets Reports'!D366)),TRIM('R.M Billets Reports'!F366),IF(ISNUMBER(SEARCH("Party Name-",'R.M Billets Reports'!D366)),TRIM(MID('R.M Billets Reports'!D366,SEARCH("-",'R.M Billets Reports'!D366)+1,200)),""))&lt;&gt;"",IF(ISNUMBER(SEARCH("Party Name:-",'R.M Billets Reports'!D366)),TRIM('R.M Billets Reports'!F366),IF(ISNUMBER(SEARCH("Party Name-",'R.M Billets Reports'!D366)),TRIM(MID('R.M Billets Reports'!D366,SEARCH("-",'R.M Billets Reports'!D366)+1,200)),"")),IF(ISNUMBER(SEARCH("Party Name:-",'R.M Billets Reports'!D367)),TRIM('R.M Billets Reports'!F367),IF(ISNUMBER(SEARCH("Party Name-",'R.M Billets Reports'!D367)),TRIM(MID('R.M Billets Reports'!D367,SEARCH("-",'R.M Billets Reports'!D367)+1,200)),"")))))),IF(ROW()=2,"",A366))</f>
      </c>
      <c r="B367">
        <f>IF(OR('R.M Billets Reports'!A366="Date-",'R.M Billets Reports'!A366="Date:-"),'R.M Billets Reports'!B366,IF(ROW()=2,"",B366))</f>
      </c>
      <c r="C367">
        <f>IF('R.M Billets Reports'!A366="V.No.",'R.M Billets Reports'!B366,IF(ROW()=2,"",C366))</f>
      </c>
      <c r="D367">
        <f>IF('R.M Billets Reports'!A366&lt;&gt;"",'R.M Billets Reports'!A366,IF(ROW()=2,"",D366))</f>
      </c>
      <c r="E367">
        <f>IF('R.M Billets Reports'!B366="","",TRIM('R.M Billets Reports'!B366))</f>
      </c>
      <c r="F367">
        <f>'R.M Billets Reports'!C366</f>
      </c>
      <c r="G367">
        <f>'R.M Billets Reports'!D366</f>
      </c>
      <c r="H367">
        <f>'R.M Billets Reports'!E366</f>
      </c>
      <c r="I367">
        <f>'R.M Billets Reports'!F366</f>
      </c>
      <c r="J367">
        <f>'R.M Billets Reports'!G366</f>
      </c>
      <c r="K367">
        <f>'R.M Billets Reports'!H366</f>
      </c>
      <c r="L367">
        <f>IF('R.M Billets Reports'!I366="","",'R.M Billets Reports'!I366)</f>
      </c>
      <c r="M367">
        <f t="shared" si="10"/>
      </c>
      <c r="N367">
        <f>IF('R.M Billets Reports'!J366="","",'R.M Billets Reports'!J366)</f>
      </c>
      <c r="O367">
        <f t="shared" si="11"/>
      </c>
      <c r="P367">
        <f>IF('R.M Billets Reports'!A366="SIZE",'R.M Billets Reports'!B366,P366)</f>
      </c>
    </row>
    <row r="368" spans="1:16" x14ac:dyDescent="0.25">
      <c r="A368">
        <f>IF(OR('R.M Billets Reports'!A367="Date-",'R.M Billets Reports'!A367="Date:-"),IF(IF(IF(ISNUMBER(SEARCH("Party Name:-",'R.M Billets Reports'!D367)),TRIM('R.M Billets Reports'!F367),IF(ISNUMBER(SEARCH("Party Name-",'R.M Billets Reports'!D367)),TRIM(MID('R.M Billets Reports'!D367,SEARCH("-",'R.M Billets Reports'!D367)+1,200)),""))&lt;&gt;"",IF(ISNUMBER(SEARCH("Party Name:-",'R.M Billets Reports'!D367)),TRIM('R.M Billets Reports'!F367),IF(ISNUMBER(SEARCH("Party Name-",'R.M Billets Reports'!D367)),TRIM(MID('R.M Billets Reports'!D367,SEARCH("-",'R.M Billets Reports'!D367)+1,200)),"")),IF(ISNUMBER(SEARCH("Party Name:-",'R.M Billets Reports'!D368)),TRIM('R.M Billets Reports'!F368),IF(ISNUMBER(SEARCH("Party Name-",'R.M Billets Reports'!D368)),TRIM(MID('R.M Billets Reports'!D368,SEARCH("-",'R.M Billets Reports'!D368)+1,200)),"")))="VRKP ISPAT PVT LTD","VRKP",IF(IF(IF(ISNUMBER(SEARCH("Party Name:-",'R.M Billets Reports'!D367)),TRIM('R.M Billets Reports'!F367),IF(ISNUMBER(SEARCH("Party Name-",'R.M Billets Reports'!D367)),TRIM(MID('R.M Billets Reports'!D367,SEARCH("-",'R.M Billets Reports'!D367)+1,200)),""))&lt;&gt;"",IF(ISNUMBER(SEARCH("Party Name:-",'R.M Billets Reports'!D367)),TRIM('R.M Billets Reports'!F367),IF(ISNUMBER(SEARCH("Party Name-",'R.M Billets Reports'!D367)),TRIM(MID('R.M Billets Reports'!D367,SEARCH("-",'R.M Billets Reports'!D367)+1,200)),"")),IF(ISNUMBER(SEARCH("Party Name:-",'R.M Billets Reports'!D368)),TRIM('R.M Billets Reports'!F368),IF(ISNUMBER(SEARCH("Party Name-",'R.M Billets Reports'!D368)),TRIM(MID('R.M Billets Reports'!D368,SEARCH("-",'R.M Billets Reports'!D368)+1,200)),"")))="SHRI RADHE","SHREE RADHE",IF(IF(IF(ISNUMBER(SEARCH("Party Name:-",'R.M Billets Reports'!D367)),TRIM('R.M Billets Reports'!F367),IF(ISNUMBER(SEARCH("Party Name-",'R.M Billets Reports'!D367)),TRIM(MID('R.M Billets Reports'!D367,SEARCH("-",'R.M Billets Reports'!D367)+1,200)),""))&lt;&gt;"",IF(ISNUMBER(SEARCH("Party Name:-",'R.M Billets Reports'!D367)),TRIM('R.M Billets Reports'!F367),IF(ISNUMBER(SEARCH("Party Name-",'R.M Billets Reports'!D367)),TRIM(MID('R.M Billets Reports'!D367,SEARCH("-",'R.M Billets Reports'!D367)+1,200)),"")),IF(ISNUMBER(SEARCH("Party Name:-",'R.M Billets Reports'!D368)),TRIM('R.M Billets Reports'!F368),IF(ISNUMBER(SEARCH("Party Name-",'R.M Billets Reports'!D368)),TRIM(MID('R.M Billets Reports'!D368,SEARCH("-",'R.M Billets Reports'!D368)+1,200)),"")))="SHREE RADHE SHAKTI SPONGE AND POWER PVT. LTD.","SHREE RADHE",IF(IF(ISNUMBER(SEARCH("Party Name:-",'R.M Billets Reports'!D367)),TRIM('R.M Billets Reports'!F367),IF(ISNUMBER(SEARCH("Party Name-",'R.M Billets Reports'!D367)),TRIM(MID('R.M Billets Reports'!D367,SEARCH("-",'R.M Billets Reports'!D367)+1,200)),""))&lt;&gt;"",IF(ISNUMBER(SEARCH("Party Name:-",'R.M Billets Reports'!D367)),TRIM('R.M Billets Reports'!F367),IF(ISNUMBER(SEARCH("Party Name-",'R.M Billets Reports'!D367)),TRIM(MID('R.M Billets Reports'!D367,SEARCH("-",'R.M Billets Reports'!D367)+1,200)),"")),IF(ISNUMBER(SEARCH("Party Name:-",'R.M Billets Reports'!D368)),TRIM('R.M Billets Reports'!F368),IF(ISNUMBER(SEARCH("Party Name-",'R.M Billets Reports'!D368)),TRIM(MID('R.M Billets Reports'!D368,SEARCH("-",'R.M Billets Reports'!D368)+1,200)),"")))))),IF(ROW()=2,"",A367))</f>
      </c>
      <c r="B368">
        <f>IF(OR('R.M Billets Reports'!A367="Date-",'R.M Billets Reports'!A367="Date:-"),'R.M Billets Reports'!B367,IF(ROW()=2,"",B367))</f>
      </c>
      <c r="C368">
        <f>IF('R.M Billets Reports'!A367="V.No.",'R.M Billets Reports'!B367,IF(ROW()=2,"",C367))</f>
      </c>
      <c r="D368">
        <f>IF('R.M Billets Reports'!A367&lt;&gt;"",'R.M Billets Reports'!A367,IF(ROW()=2,"",D367))</f>
      </c>
      <c r="E368">
        <f>IF('R.M Billets Reports'!B367="","",TRIM('R.M Billets Reports'!B367))</f>
      </c>
      <c r="F368">
        <f>'R.M Billets Reports'!C367</f>
      </c>
      <c r="G368">
        <f>'R.M Billets Reports'!D367</f>
      </c>
      <c r="H368">
        <f>'R.M Billets Reports'!E367</f>
      </c>
      <c r="I368">
        <f>'R.M Billets Reports'!F367</f>
      </c>
      <c r="J368">
        <f>'R.M Billets Reports'!G367</f>
      </c>
      <c r="K368">
        <f>'R.M Billets Reports'!H367</f>
      </c>
      <c r="L368">
        <f>IF('R.M Billets Reports'!I367="","",'R.M Billets Reports'!I367)</f>
      </c>
      <c r="M368">
        <f t="shared" si="10"/>
      </c>
      <c r="N368">
        <f>IF('R.M Billets Reports'!J367="","",'R.M Billets Reports'!J367)</f>
      </c>
      <c r="O368">
        <f t="shared" si="11"/>
      </c>
      <c r="P368">
        <f>IF('R.M Billets Reports'!A367="SIZE",'R.M Billets Reports'!B367,P367)</f>
      </c>
    </row>
    <row r="369" spans="1:16" x14ac:dyDescent="0.25">
      <c r="A369">
        <f>IF(OR('R.M Billets Reports'!A368="Date-",'R.M Billets Reports'!A368="Date:-"),IF(IF(IF(ISNUMBER(SEARCH("Party Name:-",'R.M Billets Reports'!D368)),TRIM('R.M Billets Reports'!F368),IF(ISNUMBER(SEARCH("Party Name-",'R.M Billets Reports'!D368)),TRIM(MID('R.M Billets Reports'!D368,SEARCH("-",'R.M Billets Reports'!D368)+1,200)),""))&lt;&gt;"",IF(ISNUMBER(SEARCH("Party Name:-",'R.M Billets Reports'!D368)),TRIM('R.M Billets Reports'!F368),IF(ISNUMBER(SEARCH("Party Name-",'R.M Billets Reports'!D368)),TRIM(MID('R.M Billets Reports'!D368,SEARCH("-",'R.M Billets Reports'!D368)+1,200)),"")),IF(ISNUMBER(SEARCH("Party Name:-",'R.M Billets Reports'!D369)),TRIM('R.M Billets Reports'!F369),IF(ISNUMBER(SEARCH("Party Name-",'R.M Billets Reports'!D369)),TRIM(MID('R.M Billets Reports'!D369,SEARCH("-",'R.M Billets Reports'!D369)+1,200)),"")))="VRKP ISPAT PVT LTD","VRKP",IF(IF(IF(ISNUMBER(SEARCH("Party Name:-",'R.M Billets Reports'!D368)),TRIM('R.M Billets Reports'!F368),IF(ISNUMBER(SEARCH("Party Name-",'R.M Billets Reports'!D368)),TRIM(MID('R.M Billets Reports'!D368,SEARCH("-",'R.M Billets Reports'!D368)+1,200)),""))&lt;&gt;"",IF(ISNUMBER(SEARCH("Party Name:-",'R.M Billets Reports'!D368)),TRIM('R.M Billets Reports'!F368),IF(ISNUMBER(SEARCH("Party Name-",'R.M Billets Reports'!D368)),TRIM(MID('R.M Billets Reports'!D368,SEARCH("-",'R.M Billets Reports'!D368)+1,200)),"")),IF(ISNUMBER(SEARCH("Party Name:-",'R.M Billets Reports'!D369)),TRIM('R.M Billets Reports'!F369),IF(ISNUMBER(SEARCH("Party Name-",'R.M Billets Reports'!D369)),TRIM(MID('R.M Billets Reports'!D369,SEARCH("-",'R.M Billets Reports'!D369)+1,200)),"")))="SHRI RADHE","SHREE RADHE",IF(IF(IF(ISNUMBER(SEARCH("Party Name:-",'R.M Billets Reports'!D368)),TRIM('R.M Billets Reports'!F368),IF(ISNUMBER(SEARCH("Party Name-",'R.M Billets Reports'!D368)),TRIM(MID('R.M Billets Reports'!D368,SEARCH("-",'R.M Billets Reports'!D368)+1,200)),""))&lt;&gt;"",IF(ISNUMBER(SEARCH("Party Name:-",'R.M Billets Reports'!D368)),TRIM('R.M Billets Reports'!F368),IF(ISNUMBER(SEARCH("Party Name-",'R.M Billets Reports'!D368)),TRIM(MID('R.M Billets Reports'!D368,SEARCH("-",'R.M Billets Reports'!D368)+1,200)),"")),IF(ISNUMBER(SEARCH("Party Name:-",'R.M Billets Reports'!D369)),TRIM('R.M Billets Reports'!F369),IF(ISNUMBER(SEARCH("Party Name-",'R.M Billets Reports'!D369)),TRIM(MID('R.M Billets Reports'!D369,SEARCH("-",'R.M Billets Reports'!D369)+1,200)),"")))="SHREE RADHE SHAKTI SPONGE AND POWER PVT. LTD.","SHREE RADHE",IF(IF(ISNUMBER(SEARCH("Party Name:-",'R.M Billets Reports'!D368)),TRIM('R.M Billets Reports'!F368),IF(ISNUMBER(SEARCH("Party Name-",'R.M Billets Reports'!D368)),TRIM(MID('R.M Billets Reports'!D368,SEARCH("-",'R.M Billets Reports'!D368)+1,200)),""))&lt;&gt;"",IF(ISNUMBER(SEARCH("Party Name:-",'R.M Billets Reports'!D368)),TRIM('R.M Billets Reports'!F368),IF(ISNUMBER(SEARCH("Party Name-",'R.M Billets Reports'!D368)),TRIM(MID('R.M Billets Reports'!D368,SEARCH("-",'R.M Billets Reports'!D368)+1,200)),"")),IF(ISNUMBER(SEARCH("Party Name:-",'R.M Billets Reports'!D369)),TRIM('R.M Billets Reports'!F369),IF(ISNUMBER(SEARCH("Party Name-",'R.M Billets Reports'!D369)),TRIM(MID('R.M Billets Reports'!D369,SEARCH("-",'R.M Billets Reports'!D369)+1,200)),"")))))),IF(ROW()=2,"",A368))</f>
      </c>
      <c r="B369">
        <f>IF(OR('R.M Billets Reports'!A368="Date-",'R.M Billets Reports'!A368="Date:-"),'R.M Billets Reports'!B368,IF(ROW()=2,"",B368))</f>
      </c>
      <c r="C369">
        <f>IF('R.M Billets Reports'!A368="V.No.",'R.M Billets Reports'!B368,IF(ROW()=2,"",C368))</f>
      </c>
      <c r="D369">
        <f>IF('R.M Billets Reports'!A368&lt;&gt;"",'R.M Billets Reports'!A368,IF(ROW()=2,"",D368))</f>
      </c>
      <c r="E369">
        <f>IF('R.M Billets Reports'!B368="","",TRIM('R.M Billets Reports'!B368))</f>
      </c>
      <c r="F369">
        <f>'R.M Billets Reports'!C368</f>
      </c>
      <c r="G369">
        <f>'R.M Billets Reports'!D368</f>
      </c>
      <c r="H369">
        <f>'R.M Billets Reports'!E368</f>
      </c>
      <c r="I369">
        <f>'R.M Billets Reports'!F368</f>
      </c>
      <c r="J369">
        <f>'R.M Billets Reports'!G368</f>
      </c>
      <c r="K369">
        <f>'R.M Billets Reports'!H368</f>
      </c>
      <c r="L369">
        <f>IF('R.M Billets Reports'!I368="","",'R.M Billets Reports'!I368)</f>
      </c>
      <c r="M369">
        <f t="shared" si="10"/>
      </c>
      <c r="N369">
        <f>IF('R.M Billets Reports'!J368="","",'R.M Billets Reports'!J368)</f>
      </c>
      <c r="O369">
        <f t="shared" si="11"/>
      </c>
      <c r="P369">
        <f>IF('R.M Billets Reports'!A368="SIZE",'R.M Billets Reports'!B368,P368)</f>
      </c>
    </row>
    <row r="370" spans="1:16" x14ac:dyDescent="0.25">
      <c r="A370">
        <f>IF(OR('R.M Billets Reports'!A369="Date-",'R.M Billets Reports'!A369="Date:-"),IF(IF(IF(ISNUMBER(SEARCH("Party Name:-",'R.M Billets Reports'!D369)),TRIM('R.M Billets Reports'!F369),IF(ISNUMBER(SEARCH("Party Name-",'R.M Billets Reports'!D369)),TRIM(MID('R.M Billets Reports'!D369,SEARCH("-",'R.M Billets Reports'!D369)+1,200)),""))&lt;&gt;"",IF(ISNUMBER(SEARCH("Party Name:-",'R.M Billets Reports'!D369)),TRIM('R.M Billets Reports'!F369),IF(ISNUMBER(SEARCH("Party Name-",'R.M Billets Reports'!D369)),TRIM(MID('R.M Billets Reports'!D369,SEARCH("-",'R.M Billets Reports'!D369)+1,200)),"")),IF(ISNUMBER(SEARCH("Party Name:-",'R.M Billets Reports'!D370)),TRIM('R.M Billets Reports'!F370),IF(ISNUMBER(SEARCH("Party Name-",'R.M Billets Reports'!D370)),TRIM(MID('R.M Billets Reports'!D370,SEARCH("-",'R.M Billets Reports'!D370)+1,200)),"")))="VRKP ISPAT PVT LTD","VRKP",IF(IF(IF(ISNUMBER(SEARCH("Party Name:-",'R.M Billets Reports'!D369)),TRIM('R.M Billets Reports'!F369),IF(ISNUMBER(SEARCH("Party Name-",'R.M Billets Reports'!D369)),TRIM(MID('R.M Billets Reports'!D369,SEARCH("-",'R.M Billets Reports'!D369)+1,200)),""))&lt;&gt;"",IF(ISNUMBER(SEARCH("Party Name:-",'R.M Billets Reports'!D369)),TRIM('R.M Billets Reports'!F369),IF(ISNUMBER(SEARCH("Party Name-",'R.M Billets Reports'!D369)),TRIM(MID('R.M Billets Reports'!D369,SEARCH("-",'R.M Billets Reports'!D369)+1,200)),"")),IF(ISNUMBER(SEARCH("Party Name:-",'R.M Billets Reports'!D370)),TRIM('R.M Billets Reports'!F370),IF(ISNUMBER(SEARCH("Party Name-",'R.M Billets Reports'!D370)),TRIM(MID('R.M Billets Reports'!D370,SEARCH("-",'R.M Billets Reports'!D370)+1,200)),"")))="SHRI RADHE","SHREE RADHE",IF(IF(IF(ISNUMBER(SEARCH("Party Name:-",'R.M Billets Reports'!D369)),TRIM('R.M Billets Reports'!F369),IF(ISNUMBER(SEARCH("Party Name-",'R.M Billets Reports'!D369)),TRIM(MID('R.M Billets Reports'!D369,SEARCH("-",'R.M Billets Reports'!D369)+1,200)),""))&lt;&gt;"",IF(ISNUMBER(SEARCH("Party Name:-",'R.M Billets Reports'!D369)),TRIM('R.M Billets Reports'!F369),IF(ISNUMBER(SEARCH("Party Name-",'R.M Billets Reports'!D369)),TRIM(MID('R.M Billets Reports'!D369,SEARCH("-",'R.M Billets Reports'!D369)+1,200)),"")),IF(ISNUMBER(SEARCH("Party Name:-",'R.M Billets Reports'!D370)),TRIM('R.M Billets Reports'!F370),IF(ISNUMBER(SEARCH("Party Name-",'R.M Billets Reports'!D370)),TRIM(MID('R.M Billets Reports'!D370,SEARCH("-",'R.M Billets Reports'!D370)+1,200)),"")))="SHREE RADHE SHAKTI SPONGE AND POWER PVT. LTD.","SHREE RADHE",IF(IF(ISNUMBER(SEARCH("Party Name:-",'R.M Billets Reports'!D369)),TRIM('R.M Billets Reports'!F369),IF(ISNUMBER(SEARCH("Party Name-",'R.M Billets Reports'!D369)),TRIM(MID('R.M Billets Reports'!D369,SEARCH("-",'R.M Billets Reports'!D369)+1,200)),""))&lt;&gt;"",IF(ISNUMBER(SEARCH("Party Name:-",'R.M Billets Reports'!D369)),TRIM('R.M Billets Reports'!F369),IF(ISNUMBER(SEARCH("Party Name-",'R.M Billets Reports'!D369)),TRIM(MID('R.M Billets Reports'!D369,SEARCH("-",'R.M Billets Reports'!D369)+1,200)),"")),IF(ISNUMBER(SEARCH("Party Name:-",'R.M Billets Reports'!D370)),TRIM('R.M Billets Reports'!F370),IF(ISNUMBER(SEARCH("Party Name-",'R.M Billets Reports'!D370)),TRIM(MID('R.M Billets Reports'!D370,SEARCH("-",'R.M Billets Reports'!D370)+1,200)),"")))))),IF(ROW()=2,"",A369))</f>
      </c>
      <c r="B370">
        <f>IF(OR('R.M Billets Reports'!A369="Date-",'R.M Billets Reports'!A369="Date:-"),'R.M Billets Reports'!B369,IF(ROW()=2,"",B369))</f>
      </c>
      <c r="C370">
        <f>IF('R.M Billets Reports'!A369="V.No.",'R.M Billets Reports'!B369,IF(ROW()=2,"",C369))</f>
      </c>
      <c r="D370">
        <f>IF('R.M Billets Reports'!A369&lt;&gt;"",'R.M Billets Reports'!A369,IF(ROW()=2,"",D369))</f>
      </c>
      <c r="E370">
        <f>IF('R.M Billets Reports'!B369="","",TRIM('R.M Billets Reports'!B369))</f>
      </c>
      <c r="F370">
        <f>'R.M Billets Reports'!C369</f>
      </c>
      <c r="G370">
        <f>'R.M Billets Reports'!D369</f>
      </c>
      <c r="H370">
        <f>'R.M Billets Reports'!E369</f>
      </c>
      <c r="I370">
        <f>'R.M Billets Reports'!F369</f>
      </c>
      <c r="J370">
        <f>'R.M Billets Reports'!G369</f>
      </c>
      <c r="K370">
        <f>'R.M Billets Reports'!H369</f>
      </c>
      <c r="L370">
        <f>IF('R.M Billets Reports'!I369="","",'R.M Billets Reports'!I369)</f>
      </c>
      <c r="M370">
        <f t="shared" si="10"/>
      </c>
      <c r="N370">
        <f>IF('R.M Billets Reports'!J369="","",'R.M Billets Reports'!J369)</f>
      </c>
      <c r="O370">
        <f t="shared" si="11"/>
      </c>
      <c r="P370">
        <f>IF('R.M Billets Reports'!A369="SIZE",'R.M Billets Reports'!B369,P369)</f>
      </c>
    </row>
    <row r="371" spans="1:16" x14ac:dyDescent="0.25">
      <c r="A371">
        <f>IF(OR('R.M Billets Reports'!A370="Date-",'R.M Billets Reports'!A370="Date:-"),IF(IF(IF(ISNUMBER(SEARCH("Party Name:-",'R.M Billets Reports'!D370)),TRIM('R.M Billets Reports'!F370),IF(ISNUMBER(SEARCH("Party Name-",'R.M Billets Reports'!D370)),TRIM(MID('R.M Billets Reports'!D370,SEARCH("-",'R.M Billets Reports'!D370)+1,200)),""))&lt;&gt;"",IF(ISNUMBER(SEARCH("Party Name:-",'R.M Billets Reports'!D370)),TRIM('R.M Billets Reports'!F370),IF(ISNUMBER(SEARCH("Party Name-",'R.M Billets Reports'!D370)),TRIM(MID('R.M Billets Reports'!D370,SEARCH("-",'R.M Billets Reports'!D370)+1,200)),"")),IF(ISNUMBER(SEARCH("Party Name:-",'R.M Billets Reports'!D371)),TRIM('R.M Billets Reports'!F371),IF(ISNUMBER(SEARCH("Party Name-",'R.M Billets Reports'!D371)),TRIM(MID('R.M Billets Reports'!D371,SEARCH("-",'R.M Billets Reports'!D371)+1,200)),"")))="VRKP ISPAT PVT LTD","VRKP",IF(IF(IF(ISNUMBER(SEARCH("Party Name:-",'R.M Billets Reports'!D370)),TRIM('R.M Billets Reports'!F370),IF(ISNUMBER(SEARCH("Party Name-",'R.M Billets Reports'!D370)),TRIM(MID('R.M Billets Reports'!D370,SEARCH("-",'R.M Billets Reports'!D370)+1,200)),""))&lt;&gt;"",IF(ISNUMBER(SEARCH("Party Name:-",'R.M Billets Reports'!D370)),TRIM('R.M Billets Reports'!F370),IF(ISNUMBER(SEARCH("Party Name-",'R.M Billets Reports'!D370)),TRIM(MID('R.M Billets Reports'!D370,SEARCH("-",'R.M Billets Reports'!D370)+1,200)),"")),IF(ISNUMBER(SEARCH("Party Name:-",'R.M Billets Reports'!D371)),TRIM('R.M Billets Reports'!F371),IF(ISNUMBER(SEARCH("Party Name-",'R.M Billets Reports'!D371)),TRIM(MID('R.M Billets Reports'!D371,SEARCH("-",'R.M Billets Reports'!D371)+1,200)),"")))="SHRI RADHE","SHREE RADHE",IF(IF(IF(ISNUMBER(SEARCH("Party Name:-",'R.M Billets Reports'!D370)),TRIM('R.M Billets Reports'!F370),IF(ISNUMBER(SEARCH("Party Name-",'R.M Billets Reports'!D370)),TRIM(MID('R.M Billets Reports'!D370,SEARCH("-",'R.M Billets Reports'!D370)+1,200)),""))&lt;&gt;"",IF(ISNUMBER(SEARCH("Party Name:-",'R.M Billets Reports'!D370)),TRIM('R.M Billets Reports'!F370),IF(ISNUMBER(SEARCH("Party Name-",'R.M Billets Reports'!D370)),TRIM(MID('R.M Billets Reports'!D370,SEARCH("-",'R.M Billets Reports'!D370)+1,200)),"")),IF(ISNUMBER(SEARCH("Party Name:-",'R.M Billets Reports'!D371)),TRIM('R.M Billets Reports'!F371),IF(ISNUMBER(SEARCH("Party Name-",'R.M Billets Reports'!D371)),TRIM(MID('R.M Billets Reports'!D371,SEARCH("-",'R.M Billets Reports'!D371)+1,200)),"")))="SHREE RADHE SHAKTI SPONGE AND POWER PVT. LTD.","SHREE RADHE",IF(IF(ISNUMBER(SEARCH("Party Name:-",'R.M Billets Reports'!D370)),TRIM('R.M Billets Reports'!F370),IF(ISNUMBER(SEARCH("Party Name-",'R.M Billets Reports'!D370)),TRIM(MID('R.M Billets Reports'!D370,SEARCH("-",'R.M Billets Reports'!D370)+1,200)),""))&lt;&gt;"",IF(ISNUMBER(SEARCH("Party Name:-",'R.M Billets Reports'!D370)),TRIM('R.M Billets Reports'!F370),IF(ISNUMBER(SEARCH("Party Name-",'R.M Billets Reports'!D370)),TRIM(MID('R.M Billets Reports'!D370,SEARCH("-",'R.M Billets Reports'!D370)+1,200)),"")),IF(ISNUMBER(SEARCH("Party Name:-",'R.M Billets Reports'!D371)),TRIM('R.M Billets Reports'!F371),IF(ISNUMBER(SEARCH("Party Name-",'R.M Billets Reports'!D371)),TRIM(MID('R.M Billets Reports'!D371,SEARCH("-",'R.M Billets Reports'!D371)+1,200)),"")))))),IF(ROW()=2,"",A370))</f>
      </c>
      <c r="B371">
        <f>IF(OR('R.M Billets Reports'!A370="Date-",'R.M Billets Reports'!A370="Date:-"),'R.M Billets Reports'!B370,IF(ROW()=2,"",B370))</f>
      </c>
      <c r="C371">
        <f>IF('R.M Billets Reports'!A370="V.No.",'R.M Billets Reports'!B370,IF(ROW()=2,"",C370))</f>
      </c>
      <c r="D371">
        <f>IF('R.M Billets Reports'!A370&lt;&gt;"",'R.M Billets Reports'!A370,IF(ROW()=2,"",D370))</f>
      </c>
      <c r="E371">
        <f>IF('R.M Billets Reports'!B370="","",TRIM('R.M Billets Reports'!B370))</f>
      </c>
      <c r="F371">
        <f>'R.M Billets Reports'!C370</f>
      </c>
      <c r="G371">
        <f>'R.M Billets Reports'!D370</f>
      </c>
      <c r="H371">
        <f>'R.M Billets Reports'!E370</f>
      </c>
      <c r="I371">
        <f>'R.M Billets Reports'!F370</f>
      </c>
      <c r="J371">
        <f>'R.M Billets Reports'!G370</f>
      </c>
      <c r="K371">
        <f>'R.M Billets Reports'!H370</f>
      </c>
      <c r="L371">
        <f>IF('R.M Billets Reports'!I370="","",'R.M Billets Reports'!I370)</f>
      </c>
      <c r="M371">
        <f t="shared" si="10"/>
      </c>
      <c r="N371">
        <f>IF('R.M Billets Reports'!J370="","",'R.M Billets Reports'!J370)</f>
      </c>
      <c r="O371">
        <f t="shared" si="11"/>
      </c>
      <c r="P371">
        <f>IF('R.M Billets Reports'!A370="SIZE",'R.M Billets Reports'!B370,P370)</f>
      </c>
    </row>
    <row r="372" spans="1:16" x14ac:dyDescent="0.25">
      <c r="A372">
        <f>IF(OR('R.M Billets Reports'!A371="Date-",'R.M Billets Reports'!A371="Date:-"),IF(IF(IF(ISNUMBER(SEARCH("Party Name:-",'R.M Billets Reports'!D371)),TRIM('R.M Billets Reports'!F371),IF(ISNUMBER(SEARCH("Party Name-",'R.M Billets Reports'!D371)),TRIM(MID('R.M Billets Reports'!D371,SEARCH("-",'R.M Billets Reports'!D371)+1,200)),""))&lt;&gt;"",IF(ISNUMBER(SEARCH("Party Name:-",'R.M Billets Reports'!D371)),TRIM('R.M Billets Reports'!F371),IF(ISNUMBER(SEARCH("Party Name-",'R.M Billets Reports'!D371)),TRIM(MID('R.M Billets Reports'!D371,SEARCH("-",'R.M Billets Reports'!D371)+1,200)),"")),IF(ISNUMBER(SEARCH("Party Name:-",'R.M Billets Reports'!D372)),TRIM('R.M Billets Reports'!F372),IF(ISNUMBER(SEARCH("Party Name-",'R.M Billets Reports'!D372)),TRIM(MID('R.M Billets Reports'!D372,SEARCH("-",'R.M Billets Reports'!D372)+1,200)),"")))="VRKP ISPAT PVT LTD","VRKP",IF(IF(IF(ISNUMBER(SEARCH("Party Name:-",'R.M Billets Reports'!D371)),TRIM('R.M Billets Reports'!F371),IF(ISNUMBER(SEARCH("Party Name-",'R.M Billets Reports'!D371)),TRIM(MID('R.M Billets Reports'!D371,SEARCH("-",'R.M Billets Reports'!D371)+1,200)),""))&lt;&gt;"",IF(ISNUMBER(SEARCH("Party Name:-",'R.M Billets Reports'!D371)),TRIM('R.M Billets Reports'!F371),IF(ISNUMBER(SEARCH("Party Name-",'R.M Billets Reports'!D371)),TRIM(MID('R.M Billets Reports'!D371,SEARCH("-",'R.M Billets Reports'!D371)+1,200)),"")),IF(ISNUMBER(SEARCH("Party Name:-",'R.M Billets Reports'!D372)),TRIM('R.M Billets Reports'!F372),IF(ISNUMBER(SEARCH("Party Name-",'R.M Billets Reports'!D372)),TRIM(MID('R.M Billets Reports'!D372,SEARCH("-",'R.M Billets Reports'!D372)+1,200)),"")))="SHRI RADHE","SHREE RADHE",IF(IF(IF(ISNUMBER(SEARCH("Party Name:-",'R.M Billets Reports'!D371)),TRIM('R.M Billets Reports'!F371),IF(ISNUMBER(SEARCH("Party Name-",'R.M Billets Reports'!D371)),TRIM(MID('R.M Billets Reports'!D371,SEARCH("-",'R.M Billets Reports'!D371)+1,200)),""))&lt;&gt;"",IF(ISNUMBER(SEARCH("Party Name:-",'R.M Billets Reports'!D371)),TRIM('R.M Billets Reports'!F371),IF(ISNUMBER(SEARCH("Party Name-",'R.M Billets Reports'!D371)),TRIM(MID('R.M Billets Reports'!D371,SEARCH("-",'R.M Billets Reports'!D371)+1,200)),"")),IF(ISNUMBER(SEARCH("Party Name:-",'R.M Billets Reports'!D372)),TRIM('R.M Billets Reports'!F372),IF(ISNUMBER(SEARCH("Party Name-",'R.M Billets Reports'!D372)),TRIM(MID('R.M Billets Reports'!D372,SEARCH("-",'R.M Billets Reports'!D372)+1,200)),"")))="SHREE RADHE SHAKTI SPONGE AND POWER PVT. LTD.","SHREE RADHE",IF(IF(ISNUMBER(SEARCH("Party Name:-",'R.M Billets Reports'!D371)),TRIM('R.M Billets Reports'!F371),IF(ISNUMBER(SEARCH("Party Name-",'R.M Billets Reports'!D371)),TRIM(MID('R.M Billets Reports'!D371,SEARCH("-",'R.M Billets Reports'!D371)+1,200)),""))&lt;&gt;"",IF(ISNUMBER(SEARCH("Party Name:-",'R.M Billets Reports'!D371)),TRIM('R.M Billets Reports'!F371),IF(ISNUMBER(SEARCH("Party Name-",'R.M Billets Reports'!D371)),TRIM(MID('R.M Billets Reports'!D371,SEARCH("-",'R.M Billets Reports'!D371)+1,200)),"")),IF(ISNUMBER(SEARCH("Party Name:-",'R.M Billets Reports'!D372)),TRIM('R.M Billets Reports'!F372),IF(ISNUMBER(SEARCH("Party Name-",'R.M Billets Reports'!D372)),TRIM(MID('R.M Billets Reports'!D372,SEARCH("-",'R.M Billets Reports'!D372)+1,200)),"")))))),IF(ROW()=2,"",A371))</f>
      </c>
      <c r="B372">
        <f>IF(OR('R.M Billets Reports'!A371="Date-",'R.M Billets Reports'!A371="Date:-"),'R.M Billets Reports'!B371,IF(ROW()=2,"",B371))</f>
      </c>
      <c r="C372">
        <f>IF('R.M Billets Reports'!A371="V.No.",'R.M Billets Reports'!B371,IF(ROW()=2,"",C371))</f>
      </c>
      <c r="D372">
        <f>IF('R.M Billets Reports'!A371&lt;&gt;"",'R.M Billets Reports'!A371,IF(ROW()=2,"",D371))</f>
      </c>
      <c r="E372">
        <f>IF('R.M Billets Reports'!B371="","",TRIM('R.M Billets Reports'!B371))</f>
      </c>
      <c r="F372">
        <f>'R.M Billets Reports'!C371</f>
      </c>
      <c r="G372">
        <f>'R.M Billets Reports'!D371</f>
      </c>
      <c r="H372">
        <f>'R.M Billets Reports'!E371</f>
      </c>
      <c r="I372">
        <f>'R.M Billets Reports'!F371</f>
      </c>
      <c r="J372">
        <f>'R.M Billets Reports'!G371</f>
      </c>
      <c r="K372">
        <f>'R.M Billets Reports'!H371</f>
      </c>
      <c r="L372">
        <f>IF('R.M Billets Reports'!I371="","",'R.M Billets Reports'!I371)</f>
      </c>
      <c r="M372">
        <f t="shared" si="10"/>
      </c>
      <c r="N372">
        <f>IF('R.M Billets Reports'!J371="","",'R.M Billets Reports'!J371)</f>
      </c>
      <c r="O372">
        <f t="shared" si="11"/>
      </c>
      <c r="P372">
        <f>IF('R.M Billets Reports'!A371="SIZE",'R.M Billets Reports'!B371,P371)</f>
      </c>
    </row>
    <row r="373" spans="1:16" x14ac:dyDescent="0.25">
      <c r="A373">
        <f>IF(OR('R.M Billets Reports'!A372="Date-",'R.M Billets Reports'!A372="Date:-"),IF(IF(IF(ISNUMBER(SEARCH("Party Name:-",'R.M Billets Reports'!D372)),TRIM('R.M Billets Reports'!F372),IF(ISNUMBER(SEARCH("Party Name-",'R.M Billets Reports'!D372)),TRIM(MID('R.M Billets Reports'!D372,SEARCH("-",'R.M Billets Reports'!D372)+1,200)),""))&lt;&gt;"",IF(ISNUMBER(SEARCH("Party Name:-",'R.M Billets Reports'!D372)),TRIM('R.M Billets Reports'!F372),IF(ISNUMBER(SEARCH("Party Name-",'R.M Billets Reports'!D372)),TRIM(MID('R.M Billets Reports'!D372,SEARCH("-",'R.M Billets Reports'!D372)+1,200)),"")),IF(ISNUMBER(SEARCH("Party Name:-",'R.M Billets Reports'!D373)),TRIM('R.M Billets Reports'!F373),IF(ISNUMBER(SEARCH("Party Name-",'R.M Billets Reports'!D373)),TRIM(MID('R.M Billets Reports'!D373,SEARCH("-",'R.M Billets Reports'!D373)+1,200)),"")))="VRKP ISPAT PVT LTD","VRKP",IF(IF(IF(ISNUMBER(SEARCH("Party Name:-",'R.M Billets Reports'!D372)),TRIM('R.M Billets Reports'!F372),IF(ISNUMBER(SEARCH("Party Name-",'R.M Billets Reports'!D372)),TRIM(MID('R.M Billets Reports'!D372,SEARCH("-",'R.M Billets Reports'!D372)+1,200)),""))&lt;&gt;"",IF(ISNUMBER(SEARCH("Party Name:-",'R.M Billets Reports'!D372)),TRIM('R.M Billets Reports'!F372),IF(ISNUMBER(SEARCH("Party Name-",'R.M Billets Reports'!D372)),TRIM(MID('R.M Billets Reports'!D372,SEARCH("-",'R.M Billets Reports'!D372)+1,200)),"")),IF(ISNUMBER(SEARCH("Party Name:-",'R.M Billets Reports'!D373)),TRIM('R.M Billets Reports'!F373),IF(ISNUMBER(SEARCH("Party Name-",'R.M Billets Reports'!D373)),TRIM(MID('R.M Billets Reports'!D373,SEARCH("-",'R.M Billets Reports'!D373)+1,200)),"")))="SHRI RADHE","SHREE RADHE",IF(IF(IF(ISNUMBER(SEARCH("Party Name:-",'R.M Billets Reports'!D372)),TRIM('R.M Billets Reports'!F372),IF(ISNUMBER(SEARCH("Party Name-",'R.M Billets Reports'!D372)),TRIM(MID('R.M Billets Reports'!D372,SEARCH("-",'R.M Billets Reports'!D372)+1,200)),""))&lt;&gt;"",IF(ISNUMBER(SEARCH("Party Name:-",'R.M Billets Reports'!D372)),TRIM('R.M Billets Reports'!F372),IF(ISNUMBER(SEARCH("Party Name-",'R.M Billets Reports'!D372)),TRIM(MID('R.M Billets Reports'!D372,SEARCH("-",'R.M Billets Reports'!D372)+1,200)),"")),IF(ISNUMBER(SEARCH("Party Name:-",'R.M Billets Reports'!D373)),TRIM('R.M Billets Reports'!F373),IF(ISNUMBER(SEARCH("Party Name-",'R.M Billets Reports'!D373)),TRIM(MID('R.M Billets Reports'!D373,SEARCH("-",'R.M Billets Reports'!D373)+1,200)),"")))="SHREE RADHE SHAKTI SPONGE AND POWER PVT. LTD.","SHREE RADHE",IF(IF(ISNUMBER(SEARCH("Party Name:-",'R.M Billets Reports'!D372)),TRIM('R.M Billets Reports'!F372),IF(ISNUMBER(SEARCH("Party Name-",'R.M Billets Reports'!D372)),TRIM(MID('R.M Billets Reports'!D372,SEARCH("-",'R.M Billets Reports'!D372)+1,200)),""))&lt;&gt;"",IF(ISNUMBER(SEARCH("Party Name:-",'R.M Billets Reports'!D372)),TRIM('R.M Billets Reports'!F372),IF(ISNUMBER(SEARCH("Party Name-",'R.M Billets Reports'!D372)),TRIM(MID('R.M Billets Reports'!D372,SEARCH("-",'R.M Billets Reports'!D372)+1,200)),"")),IF(ISNUMBER(SEARCH("Party Name:-",'R.M Billets Reports'!D373)),TRIM('R.M Billets Reports'!F373),IF(ISNUMBER(SEARCH("Party Name-",'R.M Billets Reports'!D373)),TRIM(MID('R.M Billets Reports'!D373,SEARCH("-",'R.M Billets Reports'!D373)+1,200)),"")))))),IF(ROW()=2,"",A372))</f>
      </c>
      <c r="B373">
        <f>IF(OR('R.M Billets Reports'!A372="Date-",'R.M Billets Reports'!A372="Date:-"),'R.M Billets Reports'!B372,IF(ROW()=2,"",B372))</f>
      </c>
      <c r="C373">
        <f>IF('R.M Billets Reports'!A372="V.No.",'R.M Billets Reports'!B372,IF(ROW()=2,"",C372))</f>
      </c>
      <c r="D373">
        <f>IF('R.M Billets Reports'!A372&lt;&gt;"",'R.M Billets Reports'!A372,IF(ROW()=2,"",D372))</f>
      </c>
      <c r="E373">
        <f>IF('R.M Billets Reports'!B372="","",TRIM('R.M Billets Reports'!B372))</f>
      </c>
      <c r="F373">
        <f>'R.M Billets Reports'!C372</f>
      </c>
      <c r="G373">
        <f>'R.M Billets Reports'!D372</f>
      </c>
      <c r="H373">
        <f>'R.M Billets Reports'!E372</f>
      </c>
      <c r="I373">
        <f>'R.M Billets Reports'!F372</f>
      </c>
      <c r="J373">
        <f>'R.M Billets Reports'!G372</f>
      </c>
      <c r="K373">
        <f>'R.M Billets Reports'!H372</f>
      </c>
      <c r="L373">
        <f>IF('R.M Billets Reports'!I372="","",'R.M Billets Reports'!I372)</f>
      </c>
      <c r="M373">
        <f t="shared" si="10"/>
      </c>
      <c r="N373">
        <f>IF('R.M Billets Reports'!J372="","",'R.M Billets Reports'!J372)</f>
      </c>
      <c r="O373">
        <f t="shared" si="11"/>
      </c>
      <c r="P373">
        <f>IF('R.M Billets Reports'!A372="SIZE",'R.M Billets Reports'!B372,P372)</f>
      </c>
    </row>
    <row r="374" spans="1:16" x14ac:dyDescent="0.25">
      <c r="A374">
        <f>IF(OR('R.M Billets Reports'!A373="Date-",'R.M Billets Reports'!A373="Date:-"),IF(IF(IF(ISNUMBER(SEARCH("Party Name:-",'R.M Billets Reports'!D373)),TRIM('R.M Billets Reports'!F373),IF(ISNUMBER(SEARCH("Party Name-",'R.M Billets Reports'!D373)),TRIM(MID('R.M Billets Reports'!D373,SEARCH("-",'R.M Billets Reports'!D373)+1,200)),""))&lt;&gt;"",IF(ISNUMBER(SEARCH("Party Name:-",'R.M Billets Reports'!D373)),TRIM('R.M Billets Reports'!F373),IF(ISNUMBER(SEARCH("Party Name-",'R.M Billets Reports'!D373)),TRIM(MID('R.M Billets Reports'!D373,SEARCH("-",'R.M Billets Reports'!D373)+1,200)),"")),IF(ISNUMBER(SEARCH("Party Name:-",'R.M Billets Reports'!D374)),TRIM('R.M Billets Reports'!F374),IF(ISNUMBER(SEARCH("Party Name-",'R.M Billets Reports'!D374)),TRIM(MID('R.M Billets Reports'!D374,SEARCH("-",'R.M Billets Reports'!D374)+1,200)),"")))="VRKP ISPAT PVT LTD","VRKP",IF(IF(IF(ISNUMBER(SEARCH("Party Name:-",'R.M Billets Reports'!D373)),TRIM('R.M Billets Reports'!F373),IF(ISNUMBER(SEARCH("Party Name-",'R.M Billets Reports'!D373)),TRIM(MID('R.M Billets Reports'!D373,SEARCH("-",'R.M Billets Reports'!D373)+1,200)),""))&lt;&gt;"",IF(ISNUMBER(SEARCH("Party Name:-",'R.M Billets Reports'!D373)),TRIM('R.M Billets Reports'!F373),IF(ISNUMBER(SEARCH("Party Name-",'R.M Billets Reports'!D373)),TRIM(MID('R.M Billets Reports'!D373,SEARCH("-",'R.M Billets Reports'!D373)+1,200)),"")),IF(ISNUMBER(SEARCH("Party Name:-",'R.M Billets Reports'!D374)),TRIM('R.M Billets Reports'!F374),IF(ISNUMBER(SEARCH("Party Name-",'R.M Billets Reports'!D374)),TRIM(MID('R.M Billets Reports'!D374,SEARCH("-",'R.M Billets Reports'!D374)+1,200)),"")))="SHRI RADHE","SHREE RADHE",IF(IF(IF(ISNUMBER(SEARCH("Party Name:-",'R.M Billets Reports'!D373)),TRIM('R.M Billets Reports'!F373),IF(ISNUMBER(SEARCH("Party Name-",'R.M Billets Reports'!D373)),TRIM(MID('R.M Billets Reports'!D373,SEARCH("-",'R.M Billets Reports'!D373)+1,200)),""))&lt;&gt;"",IF(ISNUMBER(SEARCH("Party Name:-",'R.M Billets Reports'!D373)),TRIM('R.M Billets Reports'!F373),IF(ISNUMBER(SEARCH("Party Name-",'R.M Billets Reports'!D373)),TRIM(MID('R.M Billets Reports'!D373,SEARCH("-",'R.M Billets Reports'!D373)+1,200)),"")),IF(ISNUMBER(SEARCH("Party Name:-",'R.M Billets Reports'!D374)),TRIM('R.M Billets Reports'!F374),IF(ISNUMBER(SEARCH("Party Name-",'R.M Billets Reports'!D374)),TRIM(MID('R.M Billets Reports'!D374,SEARCH("-",'R.M Billets Reports'!D374)+1,200)),"")))="SHREE RADHE SHAKTI SPONGE AND POWER PVT. LTD.","SHREE RADHE",IF(IF(ISNUMBER(SEARCH("Party Name:-",'R.M Billets Reports'!D373)),TRIM('R.M Billets Reports'!F373),IF(ISNUMBER(SEARCH("Party Name-",'R.M Billets Reports'!D373)),TRIM(MID('R.M Billets Reports'!D373,SEARCH("-",'R.M Billets Reports'!D373)+1,200)),""))&lt;&gt;"",IF(ISNUMBER(SEARCH("Party Name:-",'R.M Billets Reports'!D373)),TRIM('R.M Billets Reports'!F373),IF(ISNUMBER(SEARCH("Party Name-",'R.M Billets Reports'!D373)),TRIM(MID('R.M Billets Reports'!D373,SEARCH("-",'R.M Billets Reports'!D373)+1,200)),"")),IF(ISNUMBER(SEARCH("Party Name:-",'R.M Billets Reports'!D374)),TRIM('R.M Billets Reports'!F374),IF(ISNUMBER(SEARCH("Party Name-",'R.M Billets Reports'!D374)),TRIM(MID('R.M Billets Reports'!D374,SEARCH("-",'R.M Billets Reports'!D374)+1,200)),"")))))),IF(ROW()=2,"",A373))</f>
      </c>
      <c r="B374">
        <f>IF(OR('R.M Billets Reports'!A373="Date-",'R.M Billets Reports'!A373="Date:-"),'R.M Billets Reports'!B373,IF(ROW()=2,"",B373))</f>
      </c>
      <c r="C374">
        <f>IF('R.M Billets Reports'!A373="V.No.",'R.M Billets Reports'!B373,IF(ROW()=2,"",C373))</f>
      </c>
      <c r="D374">
        <f>IF('R.M Billets Reports'!A373&lt;&gt;"",'R.M Billets Reports'!A373,IF(ROW()=2,"",D373))</f>
      </c>
      <c r="E374">
        <f>IF('R.M Billets Reports'!B373="","",TRIM('R.M Billets Reports'!B373))</f>
      </c>
      <c r="F374">
        <f>'R.M Billets Reports'!C373</f>
      </c>
      <c r="G374">
        <f>'R.M Billets Reports'!D373</f>
      </c>
      <c r="H374">
        <f>'R.M Billets Reports'!E373</f>
      </c>
      <c r="I374">
        <f>'R.M Billets Reports'!F373</f>
      </c>
      <c r="J374">
        <f>'R.M Billets Reports'!G373</f>
      </c>
      <c r="K374">
        <f>'R.M Billets Reports'!H373</f>
      </c>
      <c r="L374">
        <f>IF('R.M Billets Reports'!I373="","",'R.M Billets Reports'!I373)</f>
      </c>
      <c r="M374">
        <f t="shared" si="10"/>
      </c>
      <c r="N374">
        <f>IF('R.M Billets Reports'!J373="","",'R.M Billets Reports'!J373)</f>
      </c>
      <c r="O374">
        <f t="shared" si="11"/>
      </c>
      <c r="P374">
        <f>IF('R.M Billets Reports'!A373="SIZE",'R.M Billets Reports'!B373,P373)</f>
      </c>
    </row>
    <row r="375" spans="1:16" x14ac:dyDescent="0.25">
      <c r="A375">
        <f>IF(OR('R.M Billets Reports'!A374="Date-",'R.M Billets Reports'!A374="Date:-"),IF(IF(IF(ISNUMBER(SEARCH("Party Name:-",'R.M Billets Reports'!D374)),TRIM('R.M Billets Reports'!F374),IF(ISNUMBER(SEARCH("Party Name-",'R.M Billets Reports'!D374)),TRIM(MID('R.M Billets Reports'!D374,SEARCH("-",'R.M Billets Reports'!D374)+1,200)),""))&lt;&gt;"",IF(ISNUMBER(SEARCH("Party Name:-",'R.M Billets Reports'!D374)),TRIM('R.M Billets Reports'!F374),IF(ISNUMBER(SEARCH("Party Name-",'R.M Billets Reports'!D374)),TRIM(MID('R.M Billets Reports'!D374,SEARCH("-",'R.M Billets Reports'!D374)+1,200)),"")),IF(ISNUMBER(SEARCH("Party Name:-",'R.M Billets Reports'!D375)),TRIM('R.M Billets Reports'!F375),IF(ISNUMBER(SEARCH("Party Name-",'R.M Billets Reports'!D375)),TRIM(MID('R.M Billets Reports'!D375,SEARCH("-",'R.M Billets Reports'!D375)+1,200)),"")))="VRKP ISPAT PVT LTD","VRKP",IF(IF(IF(ISNUMBER(SEARCH("Party Name:-",'R.M Billets Reports'!D374)),TRIM('R.M Billets Reports'!F374),IF(ISNUMBER(SEARCH("Party Name-",'R.M Billets Reports'!D374)),TRIM(MID('R.M Billets Reports'!D374,SEARCH("-",'R.M Billets Reports'!D374)+1,200)),""))&lt;&gt;"",IF(ISNUMBER(SEARCH("Party Name:-",'R.M Billets Reports'!D374)),TRIM('R.M Billets Reports'!F374),IF(ISNUMBER(SEARCH("Party Name-",'R.M Billets Reports'!D374)),TRIM(MID('R.M Billets Reports'!D374,SEARCH("-",'R.M Billets Reports'!D374)+1,200)),"")),IF(ISNUMBER(SEARCH("Party Name:-",'R.M Billets Reports'!D375)),TRIM('R.M Billets Reports'!F375),IF(ISNUMBER(SEARCH("Party Name-",'R.M Billets Reports'!D375)),TRIM(MID('R.M Billets Reports'!D375,SEARCH("-",'R.M Billets Reports'!D375)+1,200)),"")))="SHRI RADHE","SHREE RADHE",IF(IF(IF(ISNUMBER(SEARCH("Party Name:-",'R.M Billets Reports'!D374)),TRIM('R.M Billets Reports'!F374),IF(ISNUMBER(SEARCH("Party Name-",'R.M Billets Reports'!D374)),TRIM(MID('R.M Billets Reports'!D374,SEARCH("-",'R.M Billets Reports'!D374)+1,200)),""))&lt;&gt;"",IF(ISNUMBER(SEARCH("Party Name:-",'R.M Billets Reports'!D374)),TRIM('R.M Billets Reports'!F374),IF(ISNUMBER(SEARCH("Party Name-",'R.M Billets Reports'!D374)),TRIM(MID('R.M Billets Reports'!D374,SEARCH("-",'R.M Billets Reports'!D374)+1,200)),"")),IF(ISNUMBER(SEARCH("Party Name:-",'R.M Billets Reports'!D375)),TRIM('R.M Billets Reports'!F375),IF(ISNUMBER(SEARCH("Party Name-",'R.M Billets Reports'!D375)),TRIM(MID('R.M Billets Reports'!D375,SEARCH("-",'R.M Billets Reports'!D375)+1,200)),"")))="SHREE RADHE SHAKTI SPONGE AND POWER PVT. LTD.","SHREE RADHE",IF(IF(ISNUMBER(SEARCH("Party Name:-",'R.M Billets Reports'!D374)),TRIM('R.M Billets Reports'!F374),IF(ISNUMBER(SEARCH("Party Name-",'R.M Billets Reports'!D374)),TRIM(MID('R.M Billets Reports'!D374,SEARCH("-",'R.M Billets Reports'!D374)+1,200)),""))&lt;&gt;"",IF(ISNUMBER(SEARCH("Party Name:-",'R.M Billets Reports'!D374)),TRIM('R.M Billets Reports'!F374),IF(ISNUMBER(SEARCH("Party Name-",'R.M Billets Reports'!D374)),TRIM(MID('R.M Billets Reports'!D374,SEARCH("-",'R.M Billets Reports'!D374)+1,200)),"")),IF(ISNUMBER(SEARCH("Party Name:-",'R.M Billets Reports'!D375)),TRIM('R.M Billets Reports'!F375),IF(ISNUMBER(SEARCH("Party Name-",'R.M Billets Reports'!D375)),TRIM(MID('R.M Billets Reports'!D375,SEARCH("-",'R.M Billets Reports'!D375)+1,200)),"")))))),IF(ROW()=2,"",A374))</f>
      </c>
      <c r="B375">
        <f>IF(OR('R.M Billets Reports'!A374="Date-",'R.M Billets Reports'!A374="Date:-"),'R.M Billets Reports'!B374,IF(ROW()=2,"",B374))</f>
      </c>
      <c r="C375">
        <f>IF('R.M Billets Reports'!A374="V.No.",'R.M Billets Reports'!B374,IF(ROW()=2,"",C374))</f>
      </c>
      <c r="D375">
        <f>IF('R.M Billets Reports'!A374&lt;&gt;"",'R.M Billets Reports'!A374,IF(ROW()=2,"",D374))</f>
      </c>
      <c r="E375">
        <f>IF('R.M Billets Reports'!B374="","",TRIM('R.M Billets Reports'!B374))</f>
      </c>
      <c r="F375">
        <f>'R.M Billets Reports'!C374</f>
      </c>
      <c r="G375">
        <f>'R.M Billets Reports'!D374</f>
      </c>
      <c r="H375">
        <f>'R.M Billets Reports'!E374</f>
      </c>
      <c r="I375">
        <f>'R.M Billets Reports'!F374</f>
      </c>
      <c r="J375">
        <f>'R.M Billets Reports'!G374</f>
      </c>
      <c r="K375">
        <f>'R.M Billets Reports'!H374</f>
      </c>
      <c r="L375">
        <f>IF('R.M Billets Reports'!I374="","",'R.M Billets Reports'!I374)</f>
      </c>
      <c r="M375">
        <f t="shared" si="10"/>
      </c>
      <c r="N375">
        <f>IF('R.M Billets Reports'!J374="","",'R.M Billets Reports'!J374)</f>
      </c>
      <c r="O375">
        <f t="shared" si="11"/>
      </c>
      <c r="P375">
        <f>IF('R.M Billets Reports'!A374="SIZE",'R.M Billets Reports'!B374,P374)</f>
      </c>
    </row>
    <row r="376" spans="1:16" x14ac:dyDescent="0.25">
      <c r="A376">
        <f>IF(OR('R.M Billets Reports'!A375="Date-",'R.M Billets Reports'!A375="Date:-"),IF(IF(IF(ISNUMBER(SEARCH("Party Name:-",'R.M Billets Reports'!D375)),TRIM('R.M Billets Reports'!F375),IF(ISNUMBER(SEARCH("Party Name-",'R.M Billets Reports'!D375)),TRIM(MID('R.M Billets Reports'!D375,SEARCH("-",'R.M Billets Reports'!D375)+1,200)),""))&lt;&gt;"",IF(ISNUMBER(SEARCH("Party Name:-",'R.M Billets Reports'!D375)),TRIM('R.M Billets Reports'!F375),IF(ISNUMBER(SEARCH("Party Name-",'R.M Billets Reports'!D375)),TRIM(MID('R.M Billets Reports'!D375,SEARCH("-",'R.M Billets Reports'!D375)+1,200)),"")),IF(ISNUMBER(SEARCH("Party Name:-",'R.M Billets Reports'!D376)),TRIM('R.M Billets Reports'!F376),IF(ISNUMBER(SEARCH("Party Name-",'R.M Billets Reports'!D376)),TRIM(MID('R.M Billets Reports'!D376,SEARCH("-",'R.M Billets Reports'!D376)+1,200)),"")))="VRKP ISPAT PVT LTD","VRKP",IF(IF(IF(ISNUMBER(SEARCH("Party Name:-",'R.M Billets Reports'!D375)),TRIM('R.M Billets Reports'!F375),IF(ISNUMBER(SEARCH("Party Name-",'R.M Billets Reports'!D375)),TRIM(MID('R.M Billets Reports'!D375,SEARCH("-",'R.M Billets Reports'!D375)+1,200)),""))&lt;&gt;"",IF(ISNUMBER(SEARCH("Party Name:-",'R.M Billets Reports'!D375)),TRIM('R.M Billets Reports'!F375),IF(ISNUMBER(SEARCH("Party Name-",'R.M Billets Reports'!D375)),TRIM(MID('R.M Billets Reports'!D375,SEARCH("-",'R.M Billets Reports'!D375)+1,200)),"")),IF(ISNUMBER(SEARCH("Party Name:-",'R.M Billets Reports'!D376)),TRIM('R.M Billets Reports'!F376),IF(ISNUMBER(SEARCH("Party Name-",'R.M Billets Reports'!D376)),TRIM(MID('R.M Billets Reports'!D376,SEARCH("-",'R.M Billets Reports'!D376)+1,200)),"")))="SHRI RADHE","SHREE RADHE",IF(IF(IF(ISNUMBER(SEARCH("Party Name:-",'R.M Billets Reports'!D375)),TRIM('R.M Billets Reports'!F375),IF(ISNUMBER(SEARCH("Party Name-",'R.M Billets Reports'!D375)),TRIM(MID('R.M Billets Reports'!D375,SEARCH("-",'R.M Billets Reports'!D375)+1,200)),""))&lt;&gt;"",IF(ISNUMBER(SEARCH("Party Name:-",'R.M Billets Reports'!D375)),TRIM('R.M Billets Reports'!F375),IF(ISNUMBER(SEARCH("Party Name-",'R.M Billets Reports'!D375)),TRIM(MID('R.M Billets Reports'!D375,SEARCH("-",'R.M Billets Reports'!D375)+1,200)),"")),IF(ISNUMBER(SEARCH("Party Name:-",'R.M Billets Reports'!D376)),TRIM('R.M Billets Reports'!F376),IF(ISNUMBER(SEARCH("Party Name-",'R.M Billets Reports'!D376)),TRIM(MID('R.M Billets Reports'!D376,SEARCH("-",'R.M Billets Reports'!D376)+1,200)),"")))="SHREE RADHE SHAKTI SPONGE AND POWER PVT. LTD.","SHREE RADHE",IF(IF(ISNUMBER(SEARCH("Party Name:-",'R.M Billets Reports'!D375)),TRIM('R.M Billets Reports'!F375),IF(ISNUMBER(SEARCH("Party Name-",'R.M Billets Reports'!D375)),TRIM(MID('R.M Billets Reports'!D375,SEARCH("-",'R.M Billets Reports'!D375)+1,200)),""))&lt;&gt;"",IF(ISNUMBER(SEARCH("Party Name:-",'R.M Billets Reports'!D375)),TRIM('R.M Billets Reports'!F375),IF(ISNUMBER(SEARCH("Party Name-",'R.M Billets Reports'!D375)),TRIM(MID('R.M Billets Reports'!D375,SEARCH("-",'R.M Billets Reports'!D375)+1,200)),"")),IF(ISNUMBER(SEARCH("Party Name:-",'R.M Billets Reports'!D376)),TRIM('R.M Billets Reports'!F376),IF(ISNUMBER(SEARCH("Party Name-",'R.M Billets Reports'!D376)),TRIM(MID('R.M Billets Reports'!D376,SEARCH("-",'R.M Billets Reports'!D376)+1,200)),"")))))),IF(ROW()=2,"",A375))</f>
      </c>
      <c r="B376">
        <f>IF(OR('R.M Billets Reports'!A375="Date-",'R.M Billets Reports'!A375="Date:-"),'R.M Billets Reports'!B375,IF(ROW()=2,"",B375))</f>
      </c>
      <c r="C376">
        <f>IF('R.M Billets Reports'!A375="V.No.",'R.M Billets Reports'!B375,IF(ROW()=2,"",C375))</f>
      </c>
      <c r="D376">
        <f>IF('R.M Billets Reports'!A375&lt;&gt;"",'R.M Billets Reports'!A375,IF(ROW()=2,"",D375))</f>
      </c>
      <c r="E376">
        <f>IF('R.M Billets Reports'!B375="","",TRIM('R.M Billets Reports'!B375))</f>
      </c>
      <c r="F376">
        <f>'R.M Billets Reports'!C375</f>
      </c>
      <c r="G376">
        <f>'R.M Billets Reports'!D375</f>
      </c>
      <c r="H376">
        <f>'R.M Billets Reports'!E375</f>
      </c>
      <c r="I376">
        <f>'R.M Billets Reports'!F375</f>
      </c>
      <c r="J376">
        <f>'R.M Billets Reports'!G375</f>
      </c>
      <c r="K376">
        <f>'R.M Billets Reports'!H375</f>
      </c>
      <c r="L376">
        <f>IF('R.M Billets Reports'!I375="","",'R.M Billets Reports'!I375)</f>
      </c>
      <c r="M376">
        <f t="shared" si="10"/>
      </c>
      <c r="N376">
        <f>IF('R.M Billets Reports'!J375="","",'R.M Billets Reports'!J375)</f>
      </c>
      <c r="O376">
        <f t="shared" si="11"/>
      </c>
      <c r="P376">
        <f>IF('R.M Billets Reports'!A375="SIZE",'R.M Billets Reports'!B375,P375)</f>
      </c>
    </row>
    <row r="377" spans="1:16" x14ac:dyDescent="0.25">
      <c r="A377">
        <f>IF(OR('R.M Billets Reports'!A376="Date-",'R.M Billets Reports'!A376="Date:-"),IF(IF(IF(ISNUMBER(SEARCH("Party Name:-",'R.M Billets Reports'!D376)),TRIM('R.M Billets Reports'!F376),IF(ISNUMBER(SEARCH("Party Name-",'R.M Billets Reports'!D376)),TRIM(MID('R.M Billets Reports'!D376,SEARCH("-",'R.M Billets Reports'!D376)+1,200)),""))&lt;&gt;"",IF(ISNUMBER(SEARCH("Party Name:-",'R.M Billets Reports'!D376)),TRIM('R.M Billets Reports'!F376),IF(ISNUMBER(SEARCH("Party Name-",'R.M Billets Reports'!D376)),TRIM(MID('R.M Billets Reports'!D376,SEARCH("-",'R.M Billets Reports'!D376)+1,200)),"")),IF(ISNUMBER(SEARCH("Party Name:-",'R.M Billets Reports'!D377)),TRIM('R.M Billets Reports'!F377),IF(ISNUMBER(SEARCH("Party Name-",'R.M Billets Reports'!D377)),TRIM(MID('R.M Billets Reports'!D377,SEARCH("-",'R.M Billets Reports'!D377)+1,200)),"")))="VRKP ISPAT PVT LTD","VRKP",IF(IF(IF(ISNUMBER(SEARCH("Party Name:-",'R.M Billets Reports'!D376)),TRIM('R.M Billets Reports'!F376),IF(ISNUMBER(SEARCH("Party Name-",'R.M Billets Reports'!D376)),TRIM(MID('R.M Billets Reports'!D376,SEARCH("-",'R.M Billets Reports'!D376)+1,200)),""))&lt;&gt;"",IF(ISNUMBER(SEARCH("Party Name:-",'R.M Billets Reports'!D376)),TRIM('R.M Billets Reports'!F376),IF(ISNUMBER(SEARCH("Party Name-",'R.M Billets Reports'!D376)),TRIM(MID('R.M Billets Reports'!D376,SEARCH("-",'R.M Billets Reports'!D376)+1,200)),"")),IF(ISNUMBER(SEARCH("Party Name:-",'R.M Billets Reports'!D377)),TRIM('R.M Billets Reports'!F377),IF(ISNUMBER(SEARCH("Party Name-",'R.M Billets Reports'!D377)),TRIM(MID('R.M Billets Reports'!D377,SEARCH("-",'R.M Billets Reports'!D377)+1,200)),"")))="SHRI RADHE","SHREE RADHE",IF(IF(IF(ISNUMBER(SEARCH("Party Name:-",'R.M Billets Reports'!D376)),TRIM('R.M Billets Reports'!F376),IF(ISNUMBER(SEARCH("Party Name-",'R.M Billets Reports'!D376)),TRIM(MID('R.M Billets Reports'!D376,SEARCH("-",'R.M Billets Reports'!D376)+1,200)),""))&lt;&gt;"",IF(ISNUMBER(SEARCH("Party Name:-",'R.M Billets Reports'!D376)),TRIM('R.M Billets Reports'!F376),IF(ISNUMBER(SEARCH("Party Name-",'R.M Billets Reports'!D376)),TRIM(MID('R.M Billets Reports'!D376,SEARCH("-",'R.M Billets Reports'!D376)+1,200)),"")),IF(ISNUMBER(SEARCH("Party Name:-",'R.M Billets Reports'!D377)),TRIM('R.M Billets Reports'!F377),IF(ISNUMBER(SEARCH("Party Name-",'R.M Billets Reports'!D377)),TRIM(MID('R.M Billets Reports'!D377,SEARCH("-",'R.M Billets Reports'!D377)+1,200)),"")))="SHREE RADHE SHAKTI SPONGE AND POWER PVT. LTD.","SHREE RADHE",IF(IF(ISNUMBER(SEARCH("Party Name:-",'R.M Billets Reports'!D376)),TRIM('R.M Billets Reports'!F376),IF(ISNUMBER(SEARCH("Party Name-",'R.M Billets Reports'!D376)),TRIM(MID('R.M Billets Reports'!D376,SEARCH("-",'R.M Billets Reports'!D376)+1,200)),""))&lt;&gt;"",IF(ISNUMBER(SEARCH("Party Name:-",'R.M Billets Reports'!D376)),TRIM('R.M Billets Reports'!F376),IF(ISNUMBER(SEARCH("Party Name-",'R.M Billets Reports'!D376)),TRIM(MID('R.M Billets Reports'!D376,SEARCH("-",'R.M Billets Reports'!D376)+1,200)),"")),IF(ISNUMBER(SEARCH("Party Name:-",'R.M Billets Reports'!D377)),TRIM('R.M Billets Reports'!F377),IF(ISNUMBER(SEARCH("Party Name-",'R.M Billets Reports'!D377)),TRIM(MID('R.M Billets Reports'!D377,SEARCH("-",'R.M Billets Reports'!D377)+1,200)),"")))))),IF(ROW()=2,"",A376))</f>
      </c>
      <c r="B377">
        <f>IF(OR('R.M Billets Reports'!A376="Date-",'R.M Billets Reports'!A376="Date:-"),'R.M Billets Reports'!B376,IF(ROW()=2,"",B376))</f>
      </c>
      <c r="C377">
        <f>IF('R.M Billets Reports'!A376="V.No.",'R.M Billets Reports'!B376,IF(ROW()=2,"",C376))</f>
      </c>
      <c r="D377">
        <f>IF('R.M Billets Reports'!A376&lt;&gt;"",'R.M Billets Reports'!A376,IF(ROW()=2,"",D376))</f>
      </c>
      <c r="E377">
        <f>IF('R.M Billets Reports'!B376="","",TRIM('R.M Billets Reports'!B376))</f>
      </c>
      <c r="F377">
        <f>'R.M Billets Reports'!C376</f>
      </c>
      <c r="G377">
        <f>'R.M Billets Reports'!D376</f>
      </c>
      <c r="H377">
        <f>'R.M Billets Reports'!E376</f>
      </c>
      <c r="I377">
        <f>'R.M Billets Reports'!F376</f>
      </c>
      <c r="J377">
        <f>'R.M Billets Reports'!G376</f>
      </c>
      <c r="K377">
        <f>'R.M Billets Reports'!H376</f>
      </c>
      <c r="L377">
        <f>IF('R.M Billets Reports'!I376="","",'R.M Billets Reports'!I376)</f>
      </c>
      <c r="M377">
        <f t="shared" si="10"/>
      </c>
      <c r="N377">
        <f>IF('R.M Billets Reports'!J376="","",'R.M Billets Reports'!J376)</f>
      </c>
      <c r="O377">
        <f t="shared" si="11"/>
      </c>
      <c r="P377">
        <f>IF('R.M Billets Reports'!A376="SIZE",'R.M Billets Reports'!B376,P376)</f>
      </c>
    </row>
    <row r="378" spans="1:16" x14ac:dyDescent="0.25">
      <c r="A378">
        <f>IF(OR('R.M Billets Reports'!A377="Date-",'R.M Billets Reports'!A377="Date:-"),IF(IF(IF(ISNUMBER(SEARCH("Party Name:-",'R.M Billets Reports'!D377)),TRIM('R.M Billets Reports'!F377),IF(ISNUMBER(SEARCH("Party Name-",'R.M Billets Reports'!D377)),TRIM(MID('R.M Billets Reports'!D377,SEARCH("-",'R.M Billets Reports'!D377)+1,200)),""))&lt;&gt;"",IF(ISNUMBER(SEARCH("Party Name:-",'R.M Billets Reports'!D377)),TRIM('R.M Billets Reports'!F377),IF(ISNUMBER(SEARCH("Party Name-",'R.M Billets Reports'!D377)),TRIM(MID('R.M Billets Reports'!D377,SEARCH("-",'R.M Billets Reports'!D377)+1,200)),"")),IF(ISNUMBER(SEARCH("Party Name:-",'R.M Billets Reports'!D378)),TRIM('R.M Billets Reports'!F378),IF(ISNUMBER(SEARCH("Party Name-",'R.M Billets Reports'!D378)),TRIM(MID('R.M Billets Reports'!D378,SEARCH("-",'R.M Billets Reports'!D378)+1,200)),"")))="VRKP ISPAT PVT LTD","VRKP",IF(IF(IF(ISNUMBER(SEARCH("Party Name:-",'R.M Billets Reports'!D377)),TRIM('R.M Billets Reports'!F377),IF(ISNUMBER(SEARCH("Party Name-",'R.M Billets Reports'!D377)),TRIM(MID('R.M Billets Reports'!D377,SEARCH("-",'R.M Billets Reports'!D377)+1,200)),""))&lt;&gt;"",IF(ISNUMBER(SEARCH("Party Name:-",'R.M Billets Reports'!D377)),TRIM('R.M Billets Reports'!F377),IF(ISNUMBER(SEARCH("Party Name-",'R.M Billets Reports'!D377)),TRIM(MID('R.M Billets Reports'!D377,SEARCH("-",'R.M Billets Reports'!D377)+1,200)),"")),IF(ISNUMBER(SEARCH("Party Name:-",'R.M Billets Reports'!D378)),TRIM('R.M Billets Reports'!F378),IF(ISNUMBER(SEARCH("Party Name-",'R.M Billets Reports'!D378)),TRIM(MID('R.M Billets Reports'!D378,SEARCH("-",'R.M Billets Reports'!D378)+1,200)),"")))="SHRI RADHE","SHREE RADHE",IF(IF(IF(ISNUMBER(SEARCH("Party Name:-",'R.M Billets Reports'!D377)),TRIM('R.M Billets Reports'!F377),IF(ISNUMBER(SEARCH("Party Name-",'R.M Billets Reports'!D377)),TRIM(MID('R.M Billets Reports'!D377,SEARCH("-",'R.M Billets Reports'!D377)+1,200)),""))&lt;&gt;"",IF(ISNUMBER(SEARCH("Party Name:-",'R.M Billets Reports'!D377)),TRIM('R.M Billets Reports'!F377),IF(ISNUMBER(SEARCH("Party Name-",'R.M Billets Reports'!D377)),TRIM(MID('R.M Billets Reports'!D377,SEARCH("-",'R.M Billets Reports'!D377)+1,200)),"")),IF(ISNUMBER(SEARCH("Party Name:-",'R.M Billets Reports'!D378)),TRIM('R.M Billets Reports'!F378),IF(ISNUMBER(SEARCH("Party Name-",'R.M Billets Reports'!D378)),TRIM(MID('R.M Billets Reports'!D378,SEARCH("-",'R.M Billets Reports'!D378)+1,200)),"")))="SHREE RADHE SHAKTI SPONGE AND POWER PVT. LTD.","SHREE RADHE",IF(IF(ISNUMBER(SEARCH("Party Name:-",'R.M Billets Reports'!D377)),TRIM('R.M Billets Reports'!F377),IF(ISNUMBER(SEARCH("Party Name-",'R.M Billets Reports'!D377)),TRIM(MID('R.M Billets Reports'!D377,SEARCH("-",'R.M Billets Reports'!D377)+1,200)),""))&lt;&gt;"",IF(ISNUMBER(SEARCH("Party Name:-",'R.M Billets Reports'!D377)),TRIM('R.M Billets Reports'!F377),IF(ISNUMBER(SEARCH("Party Name-",'R.M Billets Reports'!D377)),TRIM(MID('R.M Billets Reports'!D377,SEARCH("-",'R.M Billets Reports'!D377)+1,200)),"")),IF(ISNUMBER(SEARCH("Party Name:-",'R.M Billets Reports'!D378)),TRIM('R.M Billets Reports'!F378),IF(ISNUMBER(SEARCH("Party Name-",'R.M Billets Reports'!D378)),TRIM(MID('R.M Billets Reports'!D378,SEARCH("-",'R.M Billets Reports'!D378)+1,200)),"")))))),IF(ROW()=2,"",A377))</f>
      </c>
      <c r="B378">
        <f>IF(OR('R.M Billets Reports'!A377="Date-",'R.M Billets Reports'!A377="Date:-"),'R.M Billets Reports'!B377,IF(ROW()=2,"",B377))</f>
      </c>
      <c r="C378">
        <f>IF('R.M Billets Reports'!A377="V.No.",'R.M Billets Reports'!B377,IF(ROW()=2,"",C377))</f>
      </c>
      <c r="D378">
        <f>IF('R.M Billets Reports'!A377&lt;&gt;"",'R.M Billets Reports'!A377,IF(ROW()=2,"",D377))</f>
      </c>
      <c r="E378">
        <f>IF('R.M Billets Reports'!B377="","",TRIM('R.M Billets Reports'!B377))</f>
      </c>
      <c r="F378">
        <f>'R.M Billets Reports'!C377</f>
      </c>
      <c r="G378">
        <f>'R.M Billets Reports'!D377</f>
      </c>
      <c r="H378">
        <f>'R.M Billets Reports'!E377</f>
      </c>
      <c r="I378">
        <f>'R.M Billets Reports'!F377</f>
      </c>
      <c r="J378">
        <f>'R.M Billets Reports'!G377</f>
      </c>
      <c r="K378">
        <f>'R.M Billets Reports'!H377</f>
      </c>
      <c r="L378">
        <f>IF('R.M Billets Reports'!I377="","",'R.M Billets Reports'!I377)</f>
      </c>
      <c r="M378">
        <f t="shared" si="10"/>
      </c>
      <c r="N378">
        <f>IF('R.M Billets Reports'!J377="","",'R.M Billets Reports'!J377)</f>
      </c>
      <c r="O378">
        <f t="shared" si="11"/>
      </c>
      <c r="P378">
        <f>IF('R.M Billets Reports'!A377="SIZE",'R.M Billets Reports'!B377,P377)</f>
      </c>
    </row>
    <row r="379" spans="1:16" x14ac:dyDescent="0.25">
      <c r="A379">
        <f>IF(OR('R.M Billets Reports'!A378="Date-",'R.M Billets Reports'!A378="Date:-"),IF(IF(IF(ISNUMBER(SEARCH("Party Name:-",'R.M Billets Reports'!D378)),TRIM('R.M Billets Reports'!F378),IF(ISNUMBER(SEARCH("Party Name-",'R.M Billets Reports'!D378)),TRIM(MID('R.M Billets Reports'!D378,SEARCH("-",'R.M Billets Reports'!D378)+1,200)),""))&lt;&gt;"",IF(ISNUMBER(SEARCH("Party Name:-",'R.M Billets Reports'!D378)),TRIM('R.M Billets Reports'!F378),IF(ISNUMBER(SEARCH("Party Name-",'R.M Billets Reports'!D378)),TRIM(MID('R.M Billets Reports'!D378,SEARCH("-",'R.M Billets Reports'!D378)+1,200)),"")),IF(ISNUMBER(SEARCH("Party Name:-",'R.M Billets Reports'!D379)),TRIM('R.M Billets Reports'!F379),IF(ISNUMBER(SEARCH("Party Name-",'R.M Billets Reports'!D379)),TRIM(MID('R.M Billets Reports'!D379,SEARCH("-",'R.M Billets Reports'!D379)+1,200)),"")))="VRKP ISPAT PVT LTD","VRKP",IF(IF(IF(ISNUMBER(SEARCH("Party Name:-",'R.M Billets Reports'!D378)),TRIM('R.M Billets Reports'!F378),IF(ISNUMBER(SEARCH("Party Name-",'R.M Billets Reports'!D378)),TRIM(MID('R.M Billets Reports'!D378,SEARCH("-",'R.M Billets Reports'!D378)+1,200)),""))&lt;&gt;"",IF(ISNUMBER(SEARCH("Party Name:-",'R.M Billets Reports'!D378)),TRIM('R.M Billets Reports'!F378),IF(ISNUMBER(SEARCH("Party Name-",'R.M Billets Reports'!D378)),TRIM(MID('R.M Billets Reports'!D378,SEARCH("-",'R.M Billets Reports'!D378)+1,200)),"")),IF(ISNUMBER(SEARCH("Party Name:-",'R.M Billets Reports'!D379)),TRIM('R.M Billets Reports'!F379),IF(ISNUMBER(SEARCH("Party Name-",'R.M Billets Reports'!D379)),TRIM(MID('R.M Billets Reports'!D379,SEARCH("-",'R.M Billets Reports'!D379)+1,200)),"")))="SHRI RADHE","SHREE RADHE",IF(IF(IF(ISNUMBER(SEARCH("Party Name:-",'R.M Billets Reports'!D378)),TRIM('R.M Billets Reports'!F378),IF(ISNUMBER(SEARCH("Party Name-",'R.M Billets Reports'!D378)),TRIM(MID('R.M Billets Reports'!D378,SEARCH("-",'R.M Billets Reports'!D378)+1,200)),""))&lt;&gt;"",IF(ISNUMBER(SEARCH("Party Name:-",'R.M Billets Reports'!D378)),TRIM('R.M Billets Reports'!F378),IF(ISNUMBER(SEARCH("Party Name-",'R.M Billets Reports'!D378)),TRIM(MID('R.M Billets Reports'!D378,SEARCH("-",'R.M Billets Reports'!D378)+1,200)),"")),IF(ISNUMBER(SEARCH("Party Name:-",'R.M Billets Reports'!D379)),TRIM('R.M Billets Reports'!F379),IF(ISNUMBER(SEARCH("Party Name-",'R.M Billets Reports'!D379)),TRIM(MID('R.M Billets Reports'!D379,SEARCH("-",'R.M Billets Reports'!D379)+1,200)),"")))="SHREE RADHE SHAKTI SPONGE AND POWER PVT. LTD.","SHREE RADHE",IF(IF(ISNUMBER(SEARCH("Party Name:-",'R.M Billets Reports'!D378)),TRIM('R.M Billets Reports'!F378),IF(ISNUMBER(SEARCH("Party Name-",'R.M Billets Reports'!D378)),TRIM(MID('R.M Billets Reports'!D378,SEARCH("-",'R.M Billets Reports'!D378)+1,200)),""))&lt;&gt;"",IF(ISNUMBER(SEARCH("Party Name:-",'R.M Billets Reports'!D378)),TRIM('R.M Billets Reports'!F378),IF(ISNUMBER(SEARCH("Party Name-",'R.M Billets Reports'!D378)),TRIM(MID('R.M Billets Reports'!D378,SEARCH("-",'R.M Billets Reports'!D378)+1,200)),"")),IF(ISNUMBER(SEARCH("Party Name:-",'R.M Billets Reports'!D379)),TRIM('R.M Billets Reports'!F379),IF(ISNUMBER(SEARCH("Party Name-",'R.M Billets Reports'!D379)),TRIM(MID('R.M Billets Reports'!D379,SEARCH("-",'R.M Billets Reports'!D379)+1,200)),"")))))),IF(ROW()=2,"",A378))</f>
      </c>
      <c r="B379">
        <f>IF(OR('R.M Billets Reports'!A378="Date-",'R.M Billets Reports'!A378="Date:-"),'R.M Billets Reports'!B378,IF(ROW()=2,"",B378))</f>
      </c>
      <c r="C379">
        <f>IF('R.M Billets Reports'!A378="V.No.",'R.M Billets Reports'!B378,IF(ROW()=2,"",C378))</f>
      </c>
      <c r="D379">
        <f>IF('R.M Billets Reports'!A378&lt;&gt;"",'R.M Billets Reports'!A378,IF(ROW()=2,"",D378))</f>
      </c>
      <c r="E379">
        <f>IF('R.M Billets Reports'!B378="","",TRIM('R.M Billets Reports'!B378))</f>
      </c>
      <c r="F379">
        <f>'R.M Billets Reports'!C378</f>
      </c>
      <c r="G379">
        <f>'R.M Billets Reports'!D378</f>
      </c>
      <c r="H379">
        <f>'R.M Billets Reports'!E378</f>
      </c>
      <c r="I379">
        <f>'R.M Billets Reports'!F378</f>
      </c>
      <c r="J379">
        <f>'R.M Billets Reports'!G378</f>
      </c>
      <c r="K379">
        <f>'R.M Billets Reports'!H378</f>
      </c>
      <c r="L379">
        <f>IF('R.M Billets Reports'!I378="","",'R.M Billets Reports'!I378)</f>
      </c>
      <c r="M379">
        <f t="shared" si="10"/>
      </c>
      <c r="N379">
        <f>IF('R.M Billets Reports'!J378="","",'R.M Billets Reports'!J378)</f>
      </c>
      <c r="O379">
        <f t="shared" si="11"/>
      </c>
      <c r="P379">
        <f>IF('R.M Billets Reports'!A378="SIZE",'R.M Billets Reports'!B378,P378)</f>
      </c>
    </row>
    <row r="380" spans="1:16" x14ac:dyDescent="0.25">
      <c r="A380">
        <f>IF(OR('R.M Billets Reports'!A379="Date-",'R.M Billets Reports'!A379="Date:-"),IF(IF(IF(ISNUMBER(SEARCH("Party Name:-",'R.M Billets Reports'!D379)),TRIM('R.M Billets Reports'!F379),IF(ISNUMBER(SEARCH("Party Name-",'R.M Billets Reports'!D379)),TRIM(MID('R.M Billets Reports'!D379,SEARCH("-",'R.M Billets Reports'!D379)+1,200)),""))&lt;&gt;"",IF(ISNUMBER(SEARCH("Party Name:-",'R.M Billets Reports'!D379)),TRIM('R.M Billets Reports'!F379),IF(ISNUMBER(SEARCH("Party Name-",'R.M Billets Reports'!D379)),TRIM(MID('R.M Billets Reports'!D379,SEARCH("-",'R.M Billets Reports'!D379)+1,200)),"")),IF(ISNUMBER(SEARCH("Party Name:-",'R.M Billets Reports'!D380)),TRIM('R.M Billets Reports'!F380),IF(ISNUMBER(SEARCH("Party Name-",'R.M Billets Reports'!D380)),TRIM(MID('R.M Billets Reports'!D380,SEARCH("-",'R.M Billets Reports'!D380)+1,200)),"")))="VRKP ISPAT PVT LTD","VRKP",IF(IF(IF(ISNUMBER(SEARCH("Party Name:-",'R.M Billets Reports'!D379)),TRIM('R.M Billets Reports'!F379),IF(ISNUMBER(SEARCH("Party Name-",'R.M Billets Reports'!D379)),TRIM(MID('R.M Billets Reports'!D379,SEARCH("-",'R.M Billets Reports'!D379)+1,200)),""))&lt;&gt;"",IF(ISNUMBER(SEARCH("Party Name:-",'R.M Billets Reports'!D379)),TRIM('R.M Billets Reports'!F379),IF(ISNUMBER(SEARCH("Party Name-",'R.M Billets Reports'!D379)),TRIM(MID('R.M Billets Reports'!D379,SEARCH("-",'R.M Billets Reports'!D379)+1,200)),"")),IF(ISNUMBER(SEARCH("Party Name:-",'R.M Billets Reports'!D380)),TRIM('R.M Billets Reports'!F380),IF(ISNUMBER(SEARCH("Party Name-",'R.M Billets Reports'!D380)),TRIM(MID('R.M Billets Reports'!D380,SEARCH("-",'R.M Billets Reports'!D380)+1,200)),"")))="SHRI RADHE","SHREE RADHE",IF(IF(IF(ISNUMBER(SEARCH("Party Name:-",'R.M Billets Reports'!D379)),TRIM('R.M Billets Reports'!F379),IF(ISNUMBER(SEARCH("Party Name-",'R.M Billets Reports'!D379)),TRIM(MID('R.M Billets Reports'!D379,SEARCH("-",'R.M Billets Reports'!D379)+1,200)),""))&lt;&gt;"",IF(ISNUMBER(SEARCH("Party Name:-",'R.M Billets Reports'!D379)),TRIM('R.M Billets Reports'!F379),IF(ISNUMBER(SEARCH("Party Name-",'R.M Billets Reports'!D379)),TRIM(MID('R.M Billets Reports'!D379,SEARCH("-",'R.M Billets Reports'!D379)+1,200)),"")),IF(ISNUMBER(SEARCH("Party Name:-",'R.M Billets Reports'!D380)),TRIM('R.M Billets Reports'!F380),IF(ISNUMBER(SEARCH("Party Name-",'R.M Billets Reports'!D380)),TRIM(MID('R.M Billets Reports'!D380,SEARCH("-",'R.M Billets Reports'!D380)+1,200)),"")))="SHREE RADHE SHAKTI SPONGE AND POWER PVT. LTD.","SHREE RADHE",IF(IF(ISNUMBER(SEARCH("Party Name:-",'R.M Billets Reports'!D379)),TRIM('R.M Billets Reports'!F379),IF(ISNUMBER(SEARCH("Party Name-",'R.M Billets Reports'!D379)),TRIM(MID('R.M Billets Reports'!D379,SEARCH("-",'R.M Billets Reports'!D379)+1,200)),""))&lt;&gt;"",IF(ISNUMBER(SEARCH("Party Name:-",'R.M Billets Reports'!D379)),TRIM('R.M Billets Reports'!F379),IF(ISNUMBER(SEARCH("Party Name-",'R.M Billets Reports'!D379)),TRIM(MID('R.M Billets Reports'!D379,SEARCH("-",'R.M Billets Reports'!D379)+1,200)),"")),IF(ISNUMBER(SEARCH("Party Name:-",'R.M Billets Reports'!D380)),TRIM('R.M Billets Reports'!F380),IF(ISNUMBER(SEARCH("Party Name-",'R.M Billets Reports'!D380)),TRIM(MID('R.M Billets Reports'!D380,SEARCH("-",'R.M Billets Reports'!D380)+1,200)),"")))))),IF(ROW()=2,"",A379))</f>
      </c>
      <c r="B380">
        <f>IF(OR('R.M Billets Reports'!A379="Date-",'R.M Billets Reports'!A379="Date:-"),'R.M Billets Reports'!B379,IF(ROW()=2,"",B379))</f>
      </c>
      <c r="C380">
        <f>IF('R.M Billets Reports'!A379="V.No.",'R.M Billets Reports'!B379,IF(ROW()=2,"",C379))</f>
      </c>
      <c r="D380">
        <f>IF('R.M Billets Reports'!A379&lt;&gt;"",'R.M Billets Reports'!A379,IF(ROW()=2,"",D379))</f>
      </c>
      <c r="E380">
        <f>IF('R.M Billets Reports'!B379="","",TRIM('R.M Billets Reports'!B379))</f>
      </c>
      <c r="F380">
        <f>'R.M Billets Reports'!C379</f>
      </c>
      <c r="G380">
        <f>'R.M Billets Reports'!D379</f>
      </c>
      <c r="H380">
        <f>'R.M Billets Reports'!E379</f>
      </c>
      <c r="I380">
        <f>'R.M Billets Reports'!F379</f>
      </c>
      <c r="J380">
        <f>'R.M Billets Reports'!G379</f>
      </c>
      <c r="K380">
        <f>'R.M Billets Reports'!H379</f>
      </c>
      <c r="L380">
        <f>IF('R.M Billets Reports'!I379="","",'R.M Billets Reports'!I379)</f>
      </c>
      <c r="M380">
        <f t="shared" si="10"/>
      </c>
      <c r="N380">
        <f>IF('R.M Billets Reports'!J379="","",'R.M Billets Reports'!J379)</f>
      </c>
      <c r="O380">
        <f t="shared" si="11"/>
      </c>
      <c r="P380">
        <f>IF('R.M Billets Reports'!A379="SIZE",'R.M Billets Reports'!B379,P379)</f>
      </c>
    </row>
    <row r="381" spans="1:16" x14ac:dyDescent="0.25">
      <c r="A381">
        <f>IF(OR('R.M Billets Reports'!A380="Date-",'R.M Billets Reports'!A380="Date:-"),IF(IF(IF(ISNUMBER(SEARCH("Party Name:-",'R.M Billets Reports'!D380)),TRIM('R.M Billets Reports'!F380),IF(ISNUMBER(SEARCH("Party Name-",'R.M Billets Reports'!D380)),TRIM(MID('R.M Billets Reports'!D380,SEARCH("-",'R.M Billets Reports'!D380)+1,200)),""))&lt;&gt;"",IF(ISNUMBER(SEARCH("Party Name:-",'R.M Billets Reports'!D380)),TRIM('R.M Billets Reports'!F380),IF(ISNUMBER(SEARCH("Party Name-",'R.M Billets Reports'!D380)),TRIM(MID('R.M Billets Reports'!D380,SEARCH("-",'R.M Billets Reports'!D380)+1,200)),"")),IF(ISNUMBER(SEARCH("Party Name:-",'R.M Billets Reports'!D381)),TRIM('R.M Billets Reports'!F381),IF(ISNUMBER(SEARCH("Party Name-",'R.M Billets Reports'!D381)),TRIM(MID('R.M Billets Reports'!D381,SEARCH("-",'R.M Billets Reports'!D381)+1,200)),"")))="VRKP ISPAT PVT LTD","VRKP",IF(IF(IF(ISNUMBER(SEARCH("Party Name:-",'R.M Billets Reports'!D380)),TRIM('R.M Billets Reports'!F380),IF(ISNUMBER(SEARCH("Party Name-",'R.M Billets Reports'!D380)),TRIM(MID('R.M Billets Reports'!D380,SEARCH("-",'R.M Billets Reports'!D380)+1,200)),""))&lt;&gt;"",IF(ISNUMBER(SEARCH("Party Name:-",'R.M Billets Reports'!D380)),TRIM('R.M Billets Reports'!F380),IF(ISNUMBER(SEARCH("Party Name-",'R.M Billets Reports'!D380)),TRIM(MID('R.M Billets Reports'!D380,SEARCH("-",'R.M Billets Reports'!D380)+1,200)),"")),IF(ISNUMBER(SEARCH("Party Name:-",'R.M Billets Reports'!D381)),TRIM('R.M Billets Reports'!F381),IF(ISNUMBER(SEARCH("Party Name-",'R.M Billets Reports'!D381)),TRIM(MID('R.M Billets Reports'!D381,SEARCH("-",'R.M Billets Reports'!D381)+1,200)),"")))="SHRI RADHE","SHREE RADHE",IF(IF(IF(ISNUMBER(SEARCH("Party Name:-",'R.M Billets Reports'!D380)),TRIM('R.M Billets Reports'!F380),IF(ISNUMBER(SEARCH("Party Name-",'R.M Billets Reports'!D380)),TRIM(MID('R.M Billets Reports'!D380,SEARCH("-",'R.M Billets Reports'!D380)+1,200)),""))&lt;&gt;"",IF(ISNUMBER(SEARCH("Party Name:-",'R.M Billets Reports'!D380)),TRIM('R.M Billets Reports'!F380),IF(ISNUMBER(SEARCH("Party Name-",'R.M Billets Reports'!D380)),TRIM(MID('R.M Billets Reports'!D380,SEARCH("-",'R.M Billets Reports'!D380)+1,200)),"")),IF(ISNUMBER(SEARCH("Party Name:-",'R.M Billets Reports'!D381)),TRIM('R.M Billets Reports'!F381),IF(ISNUMBER(SEARCH("Party Name-",'R.M Billets Reports'!D381)),TRIM(MID('R.M Billets Reports'!D381,SEARCH("-",'R.M Billets Reports'!D381)+1,200)),"")))="SHREE RADHE SHAKTI SPONGE AND POWER PVT. LTD.","SHREE RADHE",IF(IF(ISNUMBER(SEARCH("Party Name:-",'R.M Billets Reports'!D380)),TRIM('R.M Billets Reports'!F380),IF(ISNUMBER(SEARCH("Party Name-",'R.M Billets Reports'!D380)),TRIM(MID('R.M Billets Reports'!D380,SEARCH("-",'R.M Billets Reports'!D380)+1,200)),""))&lt;&gt;"",IF(ISNUMBER(SEARCH("Party Name:-",'R.M Billets Reports'!D380)),TRIM('R.M Billets Reports'!F380),IF(ISNUMBER(SEARCH("Party Name-",'R.M Billets Reports'!D380)),TRIM(MID('R.M Billets Reports'!D380,SEARCH("-",'R.M Billets Reports'!D380)+1,200)),"")),IF(ISNUMBER(SEARCH("Party Name:-",'R.M Billets Reports'!D381)),TRIM('R.M Billets Reports'!F381),IF(ISNUMBER(SEARCH("Party Name-",'R.M Billets Reports'!D381)),TRIM(MID('R.M Billets Reports'!D381,SEARCH("-",'R.M Billets Reports'!D381)+1,200)),"")))))),IF(ROW()=2,"",A380))</f>
      </c>
      <c r="B381">
        <f>IF(OR('R.M Billets Reports'!A380="Date-",'R.M Billets Reports'!A380="Date:-"),'R.M Billets Reports'!B380,IF(ROW()=2,"",B380))</f>
      </c>
      <c r="C381">
        <f>IF('R.M Billets Reports'!A380="V.No.",'R.M Billets Reports'!B380,IF(ROW()=2,"",C380))</f>
      </c>
      <c r="D381">
        <f>IF('R.M Billets Reports'!A380&lt;&gt;"",'R.M Billets Reports'!A380,IF(ROW()=2,"",D380))</f>
      </c>
      <c r="E381">
        <f>IF('R.M Billets Reports'!B380="","",TRIM('R.M Billets Reports'!B380))</f>
      </c>
      <c r="F381">
        <f>'R.M Billets Reports'!C380</f>
      </c>
      <c r="G381">
        <f>'R.M Billets Reports'!D380</f>
      </c>
      <c r="H381">
        <f>'R.M Billets Reports'!E380</f>
      </c>
      <c r="I381">
        <f>'R.M Billets Reports'!F380</f>
      </c>
      <c r="J381">
        <f>'R.M Billets Reports'!G380</f>
      </c>
      <c r="K381">
        <f>'R.M Billets Reports'!H380</f>
      </c>
      <c r="L381">
        <f>IF('R.M Billets Reports'!I380="","",'R.M Billets Reports'!I380)</f>
      </c>
      <c r="M381">
        <f t="shared" si="10"/>
      </c>
      <c r="N381">
        <f>IF('R.M Billets Reports'!J380="","",'R.M Billets Reports'!J380)</f>
      </c>
      <c r="O381">
        <f t="shared" si="11"/>
      </c>
      <c r="P381">
        <f>IF('R.M Billets Reports'!A380="SIZE",'R.M Billets Reports'!B380,P380)</f>
      </c>
    </row>
    <row r="382" spans="1:16" x14ac:dyDescent="0.25">
      <c r="A382">
        <f>IF(OR('R.M Billets Reports'!A381="Date-",'R.M Billets Reports'!A381="Date:-"),IF(IF(IF(ISNUMBER(SEARCH("Party Name:-",'R.M Billets Reports'!D381)),TRIM('R.M Billets Reports'!F381),IF(ISNUMBER(SEARCH("Party Name-",'R.M Billets Reports'!D381)),TRIM(MID('R.M Billets Reports'!D381,SEARCH("-",'R.M Billets Reports'!D381)+1,200)),""))&lt;&gt;"",IF(ISNUMBER(SEARCH("Party Name:-",'R.M Billets Reports'!D381)),TRIM('R.M Billets Reports'!F381),IF(ISNUMBER(SEARCH("Party Name-",'R.M Billets Reports'!D381)),TRIM(MID('R.M Billets Reports'!D381,SEARCH("-",'R.M Billets Reports'!D381)+1,200)),"")),IF(ISNUMBER(SEARCH("Party Name:-",'R.M Billets Reports'!D382)),TRIM('R.M Billets Reports'!F382),IF(ISNUMBER(SEARCH("Party Name-",'R.M Billets Reports'!D382)),TRIM(MID('R.M Billets Reports'!D382,SEARCH("-",'R.M Billets Reports'!D382)+1,200)),"")))="VRKP ISPAT PVT LTD","VRKP",IF(IF(IF(ISNUMBER(SEARCH("Party Name:-",'R.M Billets Reports'!D381)),TRIM('R.M Billets Reports'!F381),IF(ISNUMBER(SEARCH("Party Name-",'R.M Billets Reports'!D381)),TRIM(MID('R.M Billets Reports'!D381,SEARCH("-",'R.M Billets Reports'!D381)+1,200)),""))&lt;&gt;"",IF(ISNUMBER(SEARCH("Party Name:-",'R.M Billets Reports'!D381)),TRIM('R.M Billets Reports'!F381),IF(ISNUMBER(SEARCH("Party Name-",'R.M Billets Reports'!D381)),TRIM(MID('R.M Billets Reports'!D381,SEARCH("-",'R.M Billets Reports'!D381)+1,200)),"")),IF(ISNUMBER(SEARCH("Party Name:-",'R.M Billets Reports'!D382)),TRIM('R.M Billets Reports'!F382),IF(ISNUMBER(SEARCH("Party Name-",'R.M Billets Reports'!D382)),TRIM(MID('R.M Billets Reports'!D382,SEARCH("-",'R.M Billets Reports'!D382)+1,200)),"")))="SHRI RADHE","SHREE RADHE",IF(IF(IF(ISNUMBER(SEARCH("Party Name:-",'R.M Billets Reports'!D381)),TRIM('R.M Billets Reports'!F381),IF(ISNUMBER(SEARCH("Party Name-",'R.M Billets Reports'!D381)),TRIM(MID('R.M Billets Reports'!D381,SEARCH("-",'R.M Billets Reports'!D381)+1,200)),""))&lt;&gt;"",IF(ISNUMBER(SEARCH("Party Name:-",'R.M Billets Reports'!D381)),TRIM('R.M Billets Reports'!F381),IF(ISNUMBER(SEARCH("Party Name-",'R.M Billets Reports'!D381)),TRIM(MID('R.M Billets Reports'!D381,SEARCH("-",'R.M Billets Reports'!D381)+1,200)),"")),IF(ISNUMBER(SEARCH("Party Name:-",'R.M Billets Reports'!D382)),TRIM('R.M Billets Reports'!F382),IF(ISNUMBER(SEARCH("Party Name-",'R.M Billets Reports'!D382)),TRIM(MID('R.M Billets Reports'!D382,SEARCH("-",'R.M Billets Reports'!D382)+1,200)),"")))="SHREE RADHE SHAKTI SPONGE AND POWER PVT. LTD.","SHREE RADHE",IF(IF(ISNUMBER(SEARCH("Party Name:-",'R.M Billets Reports'!D381)),TRIM('R.M Billets Reports'!F381),IF(ISNUMBER(SEARCH("Party Name-",'R.M Billets Reports'!D381)),TRIM(MID('R.M Billets Reports'!D381,SEARCH("-",'R.M Billets Reports'!D381)+1,200)),""))&lt;&gt;"",IF(ISNUMBER(SEARCH("Party Name:-",'R.M Billets Reports'!D381)),TRIM('R.M Billets Reports'!F381),IF(ISNUMBER(SEARCH("Party Name-",'R.M Billets Reports'!D381)),TRIM(MID('R.M Billets Reports'!D381,SEARCH("-",'R.M Billets Reports'!D381)+1,200)),"")),IF(ISNUMBER(SEARCH("Party Name:-",'R.M Billets Reports'!D382)),TRIM('R.M Billets Reports'!F382),IF(ISNUMBER(SEARCH("Party Name-",'R.M Billets Reports'!D382)),TRIM(MID('R.M Billets Reports'!D382,SEARCH("-",'R.M Billets Reports'!D382)+1,200)),"")))))),IF(ROW()=2,"",A381))</f>
      </c>
      <c r="B382">
        <f>IF(OR('R.M Billets Reports'!A381="Date-",'R.M Billets Reports'!A381="Date:-"),'R.M Billets Reports'!B381,IF(ROW()=2,"",B381))</f>
      </c>
      <c r="C382">
        <f>IF('R.M Billets Reports'!A381="V.No.",'R.M Billets Reports'!B381,IF(ROW()=2,"",C381))</f>
      </c>
      <c r="D382">
        <f>IF('R.M Billets Reports'!A381&lt;&gt;"",'R.M Billets Reports'!A381,IF(ROW()=2,"",D381))</f>
      </c>
      <c r="E382">
        <f>IF('R.M Billets Reports'!B381="","",TRIM('R.M Billets Reports'!B381))</f>
      </c>
      <c r="F382">
        <f>'R.M Billets Reports'!C381</f>
      </c>
      <c r="G382">
        <f>'R.M Billets Reports'!D381</f>
      </c>
      <c r="H382">
        <f>'R.M Billets Reports'!E381</f>
      </c>
      <c r="I382">
        <f>'R.M Billets Reports'!F381</f>
      </c>
      <c r="J382">
        <f>'R.M Billets Reports'!G381</f>
      </c>
      <c r="K382">
        <f>'R.M Billets Reports'!H381</f>
      </c>
      <c r="L382">
        <f>IF('R.M Billets Reports'!I381="","",'R.M Billets Reports'!I381)</f>
      </c>
      <c r="M382">
        <f t="shared" si="10"/>
      </c>
      <c r="N382">
        <f>IF('R.M Billets Reports'!J381="","",'R.M Billets Reports'!J381)</f>
      </c>
      <c r="O382">
        <f t="shared" si="11"/>
      </c>
      <c r="P382">
        <f>IF('R.M Billets Reports'!A381="SIZE",'R.M Billets Reports'!B381,P381)</f>
      </c>
    </row>
    <row r="383" spans="1:16" x14ac:dyDescent="0.25">
      <c r="A383">
        <f>IF(OR('R.M Billets Reports'!A382="Date-",'R.M Billets Reports'!A382="Date:-"),IF(IF(IF(ISNUMBER(SEARCH("Party Name:-",'R.M Billets Reports'!D382)),TRIM('R.M Billets Reports'!F382),IF(ISNUMBER(SEARCH("Party Name-",'R.M Billets Reports'!D382)),TRIM(MID('R.M Billets Reports'!D382,SEARCH("-",'R.M Billets Reports'!D382)+1,200)),""))&lt;&gt;"",IF(ISNUMBER(SEARCH("Party Name:-",'R.M Billets Reports'!D382)),TRIM('R.M Billets Reports'!F382),IF(ISNUMBER(SEARCH("Party Name-",'R.M Billets Reports'!D382)),TRIM(MID('R.M Billets Reports'!D382,SEARCH("-",'R.M Billets Reports'!D382)+1,200)),"")),IF(ISNUMBER(SEARCH("Party Name:-",'R.M Billets Reports'!D383)),TRIM('R.M Billets Reports'!F383),IF(ISNUMBER(SEARCH("Party Name-",'R.M Billets Reports'!D383)),TRIM(MID('R.M Billets Reports'!D383,SEARCH("-",'R.M Billets Reports'!D383)+1,200)),"")))="VRKP ISPAT PVT LTD","VRKP",IF(IF(IF(ISNUMBER(SEARCH("Party Name:-",'R.M Billets Reports'!D382)),TRIM('R.M Billets Reports'!F382),IF(ISNUMBER(SEARCH("Party Name-",'R.M Billets Reports'!D382)),TRIM(MID('R.M Billets Reports'!D382,SEARCH("-",'R.M Billets Reports'!D382)+1,200)),""))&lt;&gt;"",IF(ISNUMBER(SEARCH("Party Name:-",'R.M Billets Reports'!D382)),TRIM('R.M Billets Reports'!F382),IF(ISNUMBER(SEARCH("Party Name-",'R.M Billets Reports'!D382)),TRIM(MID('R.M Billets Reports'!D382,SEARCH("-",'R.M Billets Reports'!D382)+1,200)),"")),IF(ISNUMBER(SEARCH("Party Name:-",'R.M Billets Reports'!D383)),TRIM('R.M Billets Reports'!F383),IF(ISNUMBER(SEARCH("Party Name-",'R.M Billets Reports'!D383)),TRIM(MID('R.M Billets Reports'!D383,SEARCH("-",'R.M Billets Reports'!D383)+1,200)),"")))="SHRI RADHE","SHREE RADHE",IF(IF(IF(ISNUMBER(SEARCH("Party Name:-",'R.M Billets Reports'!D382)),TRIM('R.M Billets Reports'!F382),IF(ISNUMBER(SEARCH("Party Name-",'R.M Billets Reports'!D382)),TRIM(MID('R.M Billets Reports'!D382,SEARCH("-",'R.M Billets Reports'!D382)+1,200)),""))&lt;&gt;"",IF(ISNUMBER(SEARCH("Party Name:-",'R.M Billets Reports'!D382)),TRIM('R.M Billets Reports'!F382),IF(ISNUMBER(SEARCH("Party Name-",'R.M Billets Reports'!D382)),TRIM(MID('R.M Billets Reports'!D382,SEARCH("-",'R.M Billets Reports'!D382)+1,200)),"")),IF(ISNUMBER(SEARCH("Party Name:-",'R.M Billets Reports'!D383)),TRIM('R.M Billets Reports'!F383),IF(ISNUMBER(SEARCH("Party Name-",'R.M Billets Reports'!D383)),TRIM(MID('R.M Billets Reports'!D383,SEARCH("-",'R.M Billets Reports'!D383)+1,200)),"")))="SHREE RADHE SHAKTI SPONGE AND POWER PVT. LTD.","SHREE RADHE",IF(IF(ISNUMBER(SEARCH("Party Name:-",'R.M Billets Reports'!D382)),TRIM('R.M Billets Reports'!F382),IF(ISNUMBER(SEARCH("Party Name-",'R.M Billets Reports'!D382)),TRIM(MID('R.M Billets Reports'!D382,SEARCH("-",'R.M Billets Reports'!D382)+1,200)),""))&lt;&gt;"",IF(ISNUMBER(SEARCH("Party Name:-",'R.M Billets Reports'!D382)),TRIM('R.M Billets Reports'!F382),IF(ISNUMBER(SEARCH("Party Name-",'R.M Billets Reports'!D382)),TRIM(MID('R.M Billets Reports'!D382,SEARCH("-",'R.M Billets Reports'!D382)+1,200)),"")),IF(ISNUMBER(SEARCH("Party Name:-",'R.M Billets Reports'!D383)),TRIM('R.M Billets Reports'!F383),IF(ISNUMBER(SEARCH("Party Name-",'R.M Billets Reports'!D383)),TRIM(MID('R.M Billets Reports'!D383,SEARCH("-",'R.M Billets Reports'!D383)+1,200)),"")))))),IF(ROW()=2,"",A382))</f>
      </c>
      <c r="B383">
        <f>IF(OR('R.M Billets Reports'!A382="Date-",'R.M Billets Reports'!A382="Date:-"),'R.M Billets Reports'!B382,IF(ROW()=2,"",B382))</f>
      </c>
      <c r="C383">
        <f>IF('R.M Billets Reports'!A382="V.No.",'R.M Billets Reports'!B382,IF(ROW()=2,"",C382))</f>
      </c>
      <c r="D383">
        <f>IF('R.M Billets Reports'!A382&lt;&gt;"",'R.M Billets Reports'!A382,IF(ROW()=2,"",D382))</f>
      </c>
      <c r="E383">
        <f>IF('R.M Billets Reports'!B382="","",TRIM('R.M Billets Reports'!B382))</f>
      </c>
      <c r="F383">
        <f>'R.M Billets Reports'!C382</f>
      </c>
      <c r="G383">
        <f>'R.M Billets Reports'!D382</f>
      </c>
      <c r="H383">
        <f>'R.M Billets Reports'!E382</f>
      </c>
      <c r="I383">
        <f>'R.M Billets Reports'!F382</f>
      </c>
      <c r="J383">
        <f>'R.M Billets Reports'!G382</f>
      </c>
      <c r="K383">
        <f>'R.M Billets Reports'!H382</f>
      </c>
      <c r="L383">
        <f>IF('R.M Billets Reports'!I382="","",'R.M Billets Reports'!I382)</f>
      </c>
      <c r="M383">
        <f t="shared" si="10"/>
      </c>
      <c r="N383">
        <f>IF('R.M Billets Reports'!J382="","",'R.M Billets Reports'!J382)</f>
      </c>
      <c r="O383">
        <f t="shared" si="11"/>
      </c>
      <c r="P383">
        <f>IF('R.M Billets Reports'!A382="SIZE",'R.M Billets Reports'!B382,P382)</f>
      </c>
    </row>
    <row r="384" spans="1:16" x14ac:dyDescent="0.25">
      <c r="A384">
        <f>IF(OR('R.M Billets Reports'!A383="Date-",'R.M Billets Reports'!A383="Date:-"),IF(IF(IF(ISNUMBER(SEARCH("Party Name:-",'R.M Billets Reports'!D383)),TRIM('R.M Billets Reports'!F383),IF(ISNUMBER(SEARCH("Party Name-",'R.M Billets Reports'!D383)),TRIM(MID('R.M Billets Reports'!D383,SEARCH("-",'R.M Billets Reports'!D383)+1,200)),""))&lt;&gt;"",IF(ISNUMBER(SEARCH("Party Name:-",'R.M Billets Reports'!D383)),TRIM('R.M Billets Reports'!F383),IF(ISNUMBER(SEARCH("Party Name-",'R.M Billets Reports'!D383)),TRIM(MID('R.M Billets Reports'!D383,SEARCH("-",'R.M Billets Reports'!D383)+1,200)),"")),IF(ISNUMBER(SEARCH("Party Name:-",'R.M Billets Reports'!D384)),TRIM('R.M Billets Reports'!F384),IF(ISNUMBER(SEARCH("Party Name-",'R.M Billets Reports'!D384)),TRIM(MID('R.M Billets Reports'!D384,SEARCH("-",'R.M Billets Reports'!D384)+1,200)),"")))="VRKP ISPAT PVT LTD","VRKP",IF(IF(IF(ISNUMBER(SEARCH("Party Name:-",'R.M Billets Reports'!D383)),TRIM('R.M Billets Reports'!F383),IF(ISNUMBER(SEARCH("Party Name-",'R.M Billets Reports'!D383)),TRIM(MID('R.M Billets Reports'!D383,SEARCH("-",'R.M Billets Reports'!D383)+1,200)),""))&lt;&gt;"",IF(ISNUMBER(SEARCH("Party Name:-",'R.M Billets Reports'!D383)),TRIM('R.M Billets Reports'!F383),IF(ISNUMBER(SEARCH("Party Name-",'R.M Billets Reports'!D383)),TRIM(MID('R.M Billets Reports'!D383,SEARCH("-",'R.M Billets Reports'!D383)+1,200)),"")),IF(ISNUMBER(SEARCH("Party Name:-",'R.M Billets Reports'!D384)),TRIM('R.M Billets Reports'!F384),IF(ISNUMBER(SEARCH("Party Name-",'R.M Billets Reports'!D384)),TRIM(MID('R.M Billets Reports'!D384,SEARCH("-",'R.M Billets Reports'!D384)+1,200)),"")))="SHRI RADHE","SHREE RADHE",IF(IF(IF(ISNUMBER(SEARCH("Party Name:-",'R.M Billets Reports'!D383)),TRIM('R.M Billets Reports'!F383),IF(ISNUMBER(SEARCH("Party Name-",'R.M Billets Reports'!D383)),TRIM(MID('R.M Billets Reports'!D383,SEARCH("-",'R.M Billets Reports'!D383)+1,200)),""))&lt;&gt;"",IF(ISNUMBER(SEARCH("Party Name:-",'R.M Billets Reports'!D383)),TRIM('R.M Billets Reports'!F383),IF(ISNUMBER(SEARCH("Party Name-",'R.M Billets Reports'!D383)),TRIM(MID('R.M Billets Reports'!D383,SEARCH("-",'R.M Billets Reports'!D383)+1,200)),"")),IF(ISNUMBER(SEARCH("Party Name:-",'R.M Billets Reports'!D384)),TRIM('R.M Billets Reports'!F384),IF(ISNUMBER(SEARCH("Party Name-",'R.M Billets Reports'!D384)),TRIM(MID('R.M Billets Reports'!D384,SEARCH("-",'R.M Billets Reports'!D384)+1,200)),"")))="SHREE RADHE SHAKTI SPONGE AND POWER PVT. LTD.","SHREE RADHE",IF(IF(ISNUMBER(SEARCH("Party Name:-",'R.M Billets Reports'!D383)),TRIM('R.M Billets Reports'!F383),IF(ISNUMBER(SEARCH("Party Name-",'R.M Billets Reports'!D383)),TRIM(MID('R.M Billets Reports'!D383,SEARCH("-",'R.M Billets Reports'!D383)+1,200)),""))&lt;&gt;"",IF(ISNUMBER(SEARCH("Party Name:-",'R.M Billets Reports'!D383)),TRIM('R.M Billets Reports'!F383),IF(ISNUMBER(SEARCH("Party Name-",'R.M Billets Reports'!D383)),TRIM(MID('R.M Billets Reports'!D383,SEARCH("-",'R.M Billets Reports'!D383)+1,200)),"")),IF(ISNUMBER(SEARCH("Party Name:-",'R.M Billets Reports'!D384)),TRIM('R.M Billets Reports'!F384),IF(ISNUMBER(SEARCH("Party Name-",'R.M Billets Reports'!D384)),TRIM(MID('R.M Billets Reports'!D384,SEARCH("-",'R.M Billets Reports'!D384)+1,200)),"")))))),IF(ROW()=2,"",A383))</f>
      </c>
      <c r="B384">
        <f>IF(OR('R.M Billets Reports'!A383="Date-",'R.M Billets Reports'!A383="Date:-"),'R.M Billets Reports'!B383,IF(ROW()=2,"",B383))</f>
      </c>
      <c r="C384">
        <f>IF('R.M Billets Reports'!A383="V.No.",'R.M Billets Reports'!B383,IF(ROW()=2,"",C383))</f>
      </c>
      <c r="D384">
        <f>IF('R.M Billets Reports'!A383&lt;&gt;"",'R.M Billets Reports'!A383,IF(ROW()=2,"",D383))</f>
      </c>
      <c r="E384">
        <f>IF('R.M Billets Reports'!B383="","",TRIM('R.M Billets Reports'!B383))</f>
      </c>
      <c r="F384">
        <f>'R.M Billets Reports'!C383</f>
      </c>
      <c r="G384">
        <f>'R.M Billets Reports'!D383</f>
      </c>
      <c r="H384">
        <f>'R.M Billets Reports'!E383</f>
      </c>
      <c r="I384">
        <f>'R.M Billets Reports'!F383</f>
      </c>
      <c r="J384">
        <f>'R.M Billets Reports'!G383</f>
      </c>
      <c r="K384">
        <f>'R.M Billets Reports'!H383</f>
      </c>
      <c r="L384">
        <f>IF('R.M Billets Reports'!I383="","",'R.M Billets Reports'!I383)</f>
      </c>
      <c r="M384">
        <f t="shared" si="10"/>
      </c>
      <c r="N384">
        <f>IF('R.M Billets Reports'!J383="","",'R.M Billets Reports'!J383)</f>
      </c>
      <c r="O384">
        <f t="shared" si="11"/>
      </c>
      <c r="P384">
        <f>IF('R.M Billets Reports'!A383="SIZE",'R.M Billets Reports'!B383,P383)</f>
      </c>
    </row>
    <row r="385" spans="1:16" x14ac:dyDescent="0.25">
      <c r="A385">
        <f>IF(OR('R.M Billets Reports'!A384="Date-",'R.M Billets Reports'!A384="Date:-"),IF(IF(IF(ISNUMBER(SEARCH("Party Name:-",'R.M Billets Reports'!D384)),TRIM('R.M Billets Reports'!F384),IF(ISNUMBER(SEARCH("Party Name-",'R.M Billets Reports'!D384)),TRIM(MID('R.M Billets Reports'!D384,SEARCH("-",'R.M Billets Reports'!D384)+1,200)),""))&lt;&gt;"",IF(ISNUMBER(SEARCH("Party Name:-",'R.M Billets Reports'!D384)),TRIM('R.M Billets Reports'!F384),IF(ISNUMBER(SEARCH("Party Name-",'R.M Billets Reports'!D384)),TRIM(MID('R.M Billets Reports'!D384,SEARCH("-",'R.M Billets Reports'!D384)+1,200)),"")),IF(ISNUMBER(SEARCH("Party Name:-",'R.M Billets Reports'!D385)),TRIM('R.M Billets Reports'!F385),IF(ISNUMBER(SEARCH("Party Name-",'R.M Billets Reports'!D385)),TRIM(MID('R.M Billets Reports'!D385,SEARCH("-",'R.M Billets Reports'!D385)+1,200)),"")))="VRKP ISPAT PVT LTD","VRKP",IF(IF(IF(ISNUMBER(SEARCH("Party Name:-",'R.M Billets Reports'!D384)),TRIM('R.M Billets Reports'!F384),IF(ISNUMBER(SEARCH("Party Name-",'R.M Billets Reports'!D384)),TRIM(MID('R.M Billets Reports'!D384,SEARCH("-",'R.M Billets Reports'!D384)+1,200)),""))&lt;&gt;"",IF(ISNUMBER(SEARCH("Party Name:-",'R.M Billets Reports'!D384)),TRIM('R.M Billets Reports'!F384),IF(ISNUMBER(SEARCH("Party Name-",'R.M Billets Reports'!D384)),TRIM(MID('R.M Billets Reports'!D384,SEARCH("-",'R.M Billets Reports'!D384)+1,200)),"")),IF(ISNUMBER(SEARCH("Party Name:-",'R.M Billets Reports'!D385)),TRIM('R.M Billets Reports'!F385),IF(ISNUMBER(SEARCH("Party Name-",'R.M Billets Reports'!D385)),TRIM(MID('R.M Billets Reports'!D385,SEARCH("-",'R.M Billets Reports'!D385)+1,200)),"")))="SHRI RADHE","SHREE RADHE",IF(IF(IF(ISNUMBER(SEARCH("Party Name:-",'R.M Billets Reports'!D384)),TRIM('R.M Billets Reports'!F384),IF(ISNUMBER(SEARCH("Party Name-",'R.M Billets Reports'!D384)),TRIM(MID('R.M Billets Reports'!D384,SEARCH("-",'R.M Billets Reports'!D384)+1,200)),""))&lt;&gt;"",IF(ISNUMBER(SEARCH("Party Name:-",'R.M Billets Reports'!D384)),TRIM('R.M Billets Reports'!F384),IF(ISNUMBER(SEARCH("Party Name-",'R.M Billets Reports'!D384)),TRIM(MID('R.M Billets Reports'!D384,SEARCH("-",'R.M Billets Reports'!D384)+1,200)),"")),IF(ISNUMBER(SEARCH("Party Name:-",'R.M Billets Reports'!D385)),TRIM('R.M Billets Reports'!F385),IF(ISNUMBER(SEARCH("Party Name-",'R.M Billets Reports'!D385)),TRIM(MID('R.M Billets Reports'!D385,SEARCH("-",'R.M Billets Reports'!D385)+1,200)),"")))="SHREE RADHE SHAKTI SPONGE AND POWER PVT. LTD.","SHREE RADHE",IF(IF(ISNUMBER(SEARCH("Party Name:-",'R.M Billets Reports'!D384)),TRIM('R.M Billets Reports'!F384),IF(ISNUMBER(SEARCH("Party Name-",'R.M Billets Reports'!D384)),TRIM(MID('R.M Billets Reports'!D384,SEARCH("-",'R.M Billets Reports'!D384)+1,200)),""))&lt;&gt;"",IF(ISNUMBER(SEARCH("Party Name:-",'R.M Billets Reports'!D384)),TRIM('R.M Billets Reports'!F384),IF(ISNUMBER(SEARCH("Party Name-",'R.M Billets Reports'!D384)),TRIM(MID('R.M Billets Reports'!D384,SEARCH("-",'R.M Billets Reports'!D384)+1,200)),"")),IF(ISNUMBER(SEARCH("Party Name:-",'R.M Billets Reports'!D385)),TRIM('R.M Billets Reports'!F385),IF(ISNUMBER(SEARCH("Party Name-",'R.M Billets Reports'!D385)),TRIM(MID('R.M Billets Reports'!D385,SEARCH("-",'R.M Billets Reports'!D385)+1,200)),"")))))),IF(ROW()=2,"",A384))</f>
      </c>
      <c r="B385">
        <f>IF(OR('R.M Billets Reports'!A384="Date-",'R.M Billets Reports'!A384="Date:-"),'R.M Billets Reports'!B384,IF(ROW()=2,"",B384))</f>
      </c>
      <c r="C385">
        <f>IF('R.M Billets Reports'!A384="V.No.",'R.M Billets Reports'!B384,IF(ROW()=2,"",C384))</f>
      </c>
      <c r="D385">
        <f>IF('R.M Billets Reports'!A384&lt;&gt;"",'R.M Billets Reports'!A384,IF(ROW()=2,"",D384))</f>
      </c>
      <c r="E385">
        <f>IF('R.M Billets Reports'!B384="","",TRIM('R.M Billets Reports'!B384))</f>
      </c>
      <c r="F385">
        <f>'R.M Billets Reports'!C384</f>
      </c>
      <c r="G385">
        <f>'R.M Billets Reports'!D384</f>
      </c>
      <c r="H385">
        <f>'R.M Billets Reports'!E384</f>
      </c>
      <c r="I385">
        <f>'R.M Billets Reports'!F384</f>
      </c>
      <c r="J385">
        <f>'R.M Billets Reports'!G384</f>
      </c>
      <c r="K385">
        <f>'R.M Billets Reports'!H384</f>
      </c>
      <c r="L385">
        <f>IF('R.M Billets Reports'!I384="","",'R.M Billets Reports'!I384)</f>
      </c>
      <c r="M385">
        <f t="shared" si="10"/>
      </c>
      <c r="N385">
        <f>IF('R.M Billets Reports'!J384="","",'R.M Billets Reports'!J384)</f>
      </c>
      <c r="O385">
        <f t="shared" si="11"/>
      </c>
      <c r="P385">
        <f>IF('R.M Billets Reports'!A384="SIZE",'R.M Billets Reports'!B384,P384)</f>
      </c>
    </row>
    <row r="386" spans="1:16" x14ac:dyDescent="0.25">
      <c r="A386">
        <f>IF(OR('R.M Billets Reports'!A385="Date-",'R.M Billets Reports'!A385="Date:-"),IF(IF(IF(ISNUMBER(SEARCH("Party Name:-",'R.M Billets Reports'!D385)),TRIM('R.M Billets Reports'!F385),IF(ISNUMBER(SEARCH("Party Name-",'R.M Billets Reports'!D385)),TRIM(MID('R.M Billets Reports'!D385,SEARCH("-",'R.M Billets Reports'!D385)+1,200)),""))&lt;&gt;"",IF(ISNUMBER(SEARCH("Party Name:-",'R.M Billets Reports'!D385)),TRIM('R.M Billets Reports'!F385),IF(ISNUMBER(SEARCH("Party Name-",'R.M Billets Reports'!D385)),TRIM(MID('R.M Billets Reports'!D385,SEARCH("-",'R.M Billets Reports'!D385)+1,200)),"")),IF(ISNUMBER(SEARCH("Party Name:-",'R.M Billets Reports'!D386)),TRIM('R.M Billets Reports'!F386),IF(ISNUMBER(SEARCH("Party Name-",'R.M Billets Reports'!D386)),TRIM(MID('R.M Billets Reports'!D386,SEARCH("-",'R.M Billets Reports'!D386)+1,200)),"")))="VRKP ISPAT PVT LTD","VRKP",IF(IF(IF(ISNUMBER(SEARCH("Party Name:-",'R.M Billets Reports'!D385)),TRIM('R.M Billets Reports'!F385),IF(ISNUMBER(SEARCH("Party Name-",'R.M Billets Reports'!D385)),TRIM(MID('R.M Billets Reports'!D385,SEARCH("-",'R.M Billets Reports'!D385)+1,200)),""))&lt;&gt;"",IF(ISNUMBER(SEARCH("Party Name:-",'R.M Billets Reports'!D385)),TRIM('R.M Billets Reports'!F385),IF(ISNUMBER(SEARCH("Party Name-",'R.M Billets Reports'!D385)),TRIM(MID('R.M Billets Reports'!D385,SEARCH("-",'R.M Billets Reports'!D385)+1,200)),"")),IF(ISNUMBER(SEARCH("Party Name:-",'R.M Billets Reports'!D386)),TRIM('R.M Billets Reports'!F386),IF(ISNUMBER(SEARCH("Party Name-",'R.M Billets Reports'!D386)),TRIM(MID('R.M Billets Reports'!D386,SEARCH("-",'R.M Billets Reports'!D386)+1,200)),"")))="SHRI RADHE","SHREE RADHE",IF(IF(IF(ISNUMBER(SEARCH("Party Name:-",'R.M Billets Reports'!D385)),TRIM('R.M Billets Reports'!F385),IF(ISNUMBER(SEARCH("Party Name-",'R.M Billets Reports'!D385)),TRIM(MID('R.M Billets Reports'!D385,SEARCH("-",'R.M Billets Reports'!D385)+1,200)),""))&lt;&gt;"",IF(ISNUMBER(SEARCH("Party Name:-",'R.M Billets Reports'!D385)),TRIM('R.M Billets Reports'!F385),IF(ISNUMBER(SEARCH("Party Name-",'R.M Billets Reports'!D385)),TRIM(MID('R.M Billets Reports'!D385,SEARCH("-",'R.M Billets Reports'!D385)+1,200)),"")),IF(ISNUMBER(SEARCH("Party Name:-",'R.M Billets Reports'!D386)),TRIM('R.M Billets Reports'!F386),IF(ISNUMBER(SEARCH("Party Name-",'R.M Billets Reports'!D386)),TRIM(MID('R.M Billets Reports'!D386,SEARCH("-",'R.M Billets Reports'!D386)+1,200)),"")))="SHREE RADHE SHAKTI SPONGE AND POWER PVT. LTD.","SHREE RADHE",IF(IF(ISNUMBER(SEARCH("Party Name:-",'R.M Billets Reports'!D385)),TRIM('R.M Billets Reports'!F385),IF(ISNUMBER(SEARCH("Party Name-",'R.M Billets Reports'!D385)),TRIM(MID('R.M Billets Reports'!D385,SEARCH("-",'R.M Billets Reports'!D385)+1,200)),""))&lt;&gt;"",IF(ISNUMBER(SEARCH("Party Name:-",'R.M Billets Reports'!D385)),TRIM('R.M Billets Reports'!F385),IF(ISNUMBER(SEARCH("Party Name-",'R.M Billets Reports'!D385)),TRIM(MID('R.M Billets Reports'!D385,SEARCH("-",'R.M Billets Reports'!D385)+1,200)),"")),IF(ISNUMBER(SEARCH("Party Name:-",'R.M Billets Reports'!D386)),TRIM('R.M Billets Reports'!F386),IF(ISNUMBER(SEARCH("Party Name-",'R.M Billets Reports'!D386)),TRIM(MID('R.M Billets Reports'!D386,SEARCH("-",'R.M Billets Reports'!D386)+1,200)),"")))))),IF(ROW()=2,"",A385))</f>
      </c>
      <c r="B386">
        <f>IF(OR('R.M Billets Reports'!A385="Date-",'R.M Billets Reports'!A385="Date:-"),'R.M Billets Reports'!B385,IF(ROW()=2,"",B385))</f>
      </c>
      <c r="C386">
        <f>IF('R.M Billets Reports'!A385="V.No.",'R.M Billets Reports'!B385,IF(ROW()=2,"",C385))</f>
      </c>
      <c r="D386">
        <f>IF('R.M Billets Reports'!A385&lt;&gt;"",'R.M Billets Reports'!A385,IF(ROW()=2,"",D385))</f>
      </c>
      <c r="E386">
        <f>IF('R.M Billets Reports'!B385="","",TRIM('R.M Billets Reports'!B385))</f>
      </c>
      <c r="F386">
        <f>'R.M Billets Reports'!C385</f>
      </c>
      <c r="G386">
        <f>'R.M Billets Reports'!D385</f>
      </c>
      <c r="H386">
        <f>'R.M Billets Reports'!E385</f>
      </c>
      <c r="I386">
        <f>'R.M Billets Reports'!F385</f>
      </c>
      <c r="J386">
        <f>'R.M Billets Reports'!G385</f>
      </c>
      <c r="K386">
        <f>'R.M Billets Reports'!H385</f>
      </c>
      <c r="L386">
        <f>IF('R.M Billets Reports'!I385="","",'R.M Billets Reports'!I385)</f>
      </c>
      <c r="M386">
        <f t="shared" si="10"/>
      </c>
      <c r="N386">
        <f>IF('R.M Billets Reports'!J385="","",'R.M Billets Reports'!J385)</f>
      </c>
      <c r="O386">
        <f t="shared" si="11"/>
      </c>
      <c r="P386">
        <f>IF('R.M Billets Reports'!A385="SIZE",'R.M Billets Reports'!B385,P385)</f>
      </c>
    </row>
    <row r="387" spans="1:16" x14ac:dyDescent="0.25">
      <c r="A387">
        <f>IF(OR('R.M Billets Reports'!A386="Date-",'R.M Billets Reports'!A386="Date:-"),IF(IF(IF(ISNUMBER(SEARCH("Party Name:-",'R.M Billets Reports'!D386)),TRIM('R.M Billets Reports'!F386),IF(ISNUMBER(SEARCH("Party Name-",'R.M Billets Reports'!D386)),TRIM(MID('R.M Billets Reports'!D386,SEARCH("-",'R.M Billets Reports'!D386)+1,200)),""))&lt;&gt;"",IF(ISNUMBER(SEARCH("Party Name:-",'R.M Billets Reports'!D386)),TRIM('R.M Billets Reports'!F386),IF(ISNUMBER(SEARCH("Party Name-",'R.M Billets Reports'!D386)),TRIM(MID('R.M Billets Reports'!D386,SEARCH("-",'R.M Billets Reports'!D386)+1,200)),"")),IF(ISNUMBER(SEARCH("Party Name:-",'R.M Billets Reports'!D387)),TRIM('R.M Billets Reports'!F387),IF(ISNUMBER(SEARCH("Party Name-",'R.M Billets Reports'!D387)),TRIM(MID('R.M Billets Reports'!D387,SEARCH("-",'R.M Billets Reports'!D387)+1,200)),"")))="VRKP ISPAT PVT LTD","VRKP",IF(IF(IF(ISNUMBER(SEARCH("Party Name:-",'R.M Billets Reports'!D386)),TRIM('R.M Billets Reports'!F386),IF(ISNUMBER(SEARCH("Party Name-",'R.M Billets Reports'!D386)),TRIM(MID('R.M Billets Reports'!D386,SEARCH("-",'R.M Billets Reports'!D386)+1,200)),""))&lt;&gt;"",IF(ISNUMBER(SEARCH("Party Name:-",'R.M Billets Reports'!D386)),TRIM('R.M Billets Reports'!F386),IF(ISNUMBER(SEARCH("Party Name-",'R.M Billets Reports'!D386)),TRIM(MID('R.M Billets Reports'!D386,SEARCH("-",'R.M Billets Reports'!D386)+1,200)),"")),IF(ISNUMBER(SEARCH("Party Name:-",'R.M Billets Reports'!D387)),TRIM('R.M Billets Reports'!F387),IF(ISNUMBER(SEARCH("Party Name-",'R.M Billets Reports'!D387)),TRIM(MID('R.M Billets Reports'!D387,SEARCH("-",'R.M Billets Reports'!D387)+1,200)),"")))="SHRI RADHE","SHREE RADHE",IF(IF(IF(ISNUMBER(SEARCH("Party Name:-",'R.M Billets Reports'!D386)),TRIM('R.M Billets Reports'!F386),IF(ISNUMBER(SEARCH("Party Name-",'R.M Billets Reports'!D386)),TRIM(MID('R.M Billets Reports'!D386,SEARCH("-",'R.M Billets Reports'!D386)+1,200)),""))&lt;&gt;"",IF(ISNUMBER(SEARCH("Party Name:-",'R.M Billets Reports'!D386)),TRIM('R.M Billets Reports'!F386),IF(ISNUMBER(SEARCH("Party Name-",'R.M Billets Reports'!D386)),TRIM(MID('R.M Billets Reports'!D386,SEARCH("-",'R.M Billets Reports'!D386)+1,200)),"")),IF(ISNUMBER(SEARCH("Party Name:-",'R.M Billets Reports'!D387)),TRIM('R.M Billets Reports'!F387),IF(ISNUMBER(SEARCH("Party Name-",'R.M Billets Reports'!D387)),TRIM(MID('R.M Billets Reports'!D387,SEARCH("-",'R.M Billets Reports'!D387)+1,200)),"")))="SHREE RADHE SHAKTI SPONGE AND POWER PVT. LTD.","SHREE RADHE",IF(IF(ISNUMBER(SEARCH("Party Name:-",'R.M Billets Reports'!D386)),TRIM('R.M Billets Reports'!F386),IF(ISNUMBER(SEARCH("Party Name-",'R.M Billets Reports'!D386)),TRIM(MID('R.M Billets Reports'!D386,SEARCH("-",'R.M Billets Reports'!D386)+1,200)),""))&lt;&gt;"",IF(ISNUMBER(SEARCH("Party Name:-",'R.M Billets Reports'!D386)),TRIM('R.M Billets Reports'!F386),IF(ISNUMBER(SEARCH("Party Name-",'R.M Billets Reports'!D386)),TRIM(MID('R.M Billets Reports'!D386,SEARCH("-",'R.M Billets Reports'!D386)+1,200)),"")),IF(ISNUMBER(SEARCH("Party Name:-",'R.M Billets Reports'!D387)),TRIM('R.M Billets Reports'!F387),IF(ISNUMBER(SEARCH("Party Name-",'R.M Billets Reports'!D387)),TRIM(MID('R.M Billets Reports'!D387,SEARCH("-",'R.M Billets Reports'!D387)+1,200)),"")))))),IF(ROW()=2,"",A386))</f>
      </c>
      <c r="B387">
        <f>IF(OR('R.M Billets Reports'!A386="Date-",'R.M Billets Reports'!A386="Date:-"),'R.M Billets Reports'!B386,IF(ROW()=2,"",B386))</f>
      </c>
      <c r="C387">
        <f>IF('R.M Billets Reports'!A386="V.No.",'R.M Billets Reports'!B386,IF(ROW()=2,"",C386))</f>
      </c>
      <c r="D387">
        <f>IF('R.M Billets Reports'!A386&lt;&gt;"",'R.M Billets Reports'!A386,IF(ROW()=2,"",D386))</f>
      </c>
      <c r="E387">
        <f>IF('R.M Billets Reports'!B386="","",TRIM('R.M Billets Reports'!B386))</f>
      </c>
      <c r="F387">
        <f>'R.M Billets Reports'!C386</f>
      </c>
      <c r="G387">
        <f>'R.M Billets Reports'!D386</f>
      </c>
      <c r="H387">
        <f>'R.M Billets Reports'!E386</f>
      </c>
      <c r="I387">
        <f>'R.M Billets Reports'!F386</f>
      </c>
      <c r="J387">
        <f>'R.M Billets Reports'!G386</f>
      </c>
      <c r="K387">
        <f>'R.M Billets Reports'!H386</f>
      </c>
      <c r="L387">
        <f>IF('R.M Billets Reports'!I386="","",'R.M Billets Reports'!I386)</f>
      </c>
      <c r="M387">
        <f t="shared" ref="M387:M450" si="12">IF(L387&lt;&gt;"",L387,IF(D387=D386,M386,""))</f>
      </c>
      <c r="N387">
        <f>IF('R.M Billets Reports'!J386="","",'R.M Billets Reports'!J386)</f>
      </c>
      <c r="O387">
        <f t="shared" ref="O387:O450" si="13">IF(N387&lt;&gt;"",N387,IF(D387=D386,O386,""))</f>
      </c>
      <c r="P387">
        <f>IF('R.M Billets Reports'!A386="SIZE",'R.M Billets Reports'!B386,P386)</f>
      </c>
    </row>
    <row r="388" spans="1:16" x14ac:dyDescent="0.25">
      <c r="A388">
        <f>IF(OR('R.M Billets Reports'!A387="Date-",'R.M Billets Reports'!A387="Date:-"),IF(IF(IF(ISNUMBER(SEARCH("Party Name:-",'R.M Billets Reports'!D387)),TRIM('R.M Billets Reports'!F387),IF(ISNUMBER(SEARCH("Party Name-",'R.M Billets Reports'!D387)),TRIM(MID('R.M Billets Reports'!D387,SEARCH("-",'R.M Billets Reports'!D387)+1,200)),""))&lt;&gt;"",IF(ISNUMBER(SEARCH("Party Name:-",'R.M Billets Reports'!D387)),TRIM('R.M Billets Reports'!F387),IF(ISNUMBER(SEARCH("Party Name-",'R.M Billets Reports'!D387)),TRIM(MID('R.M Billets Reports'!D387,SEARCH("-",'R.M Billets Reports'!D387)+1,200)),"")),IF(ISNUMBER(SEARCH("Party Name:-",'R.M Billets Reports'!D388)),TRIM('R.M Billets Reports'!F388),IF(ISNUMBER(SEARCH("Party Name-",'R.M Billets Reports'!D388)),TRIM(MID('R.M Billets Reports'!D388,SEARCH("-",'R.M Billets Reports'!D388)+1,200)),"")))="VRKP ISPAT PVT LTD","VRKP",IF(IF(IF(ISNUMBER(SEARCH("Party Name:-",'R.M Billets Reports'!D387)),TRIM('R.M Billets Reports'!F387),IF(ISNUMBER(SEARCH("Party Name-",'R.M Billets Reports'!D387)),TRIM(MID('R.M Billets Reports'!D387,SEARCH("-",'R.M Billets Reports'!D387)+1,200)),""))&lt;&gt;"",IF(ISNUMBER(SEARCH("Party Name:-",'R.M Billets Reports'!D387)),TRIM('R.M Billets Reports'!F387),IF(ISNUMBER(SEARCH("Party Name-",'R.M Billets Reports'!D387)),TRIM(MID('R.M Billets Reports'!D387,SEARCH("-",'R.M Billets Reports'!D387)+1,200)),"")),IF(ISNUMBER(SEARCH("Party Name:-",'R.M Billets Reports'!D388)),TRIM('R.M Billets Reports'!F388),IF(ISNUMBER(SEARCH("Party Name-",'R.M Billets Reports'!D388)),TRIM(MID('R.M Billets Reports'!D388,SEARCH("-",'R.M Billets Reports'!D388)+1,200)),"")))="SHRI RADHE","SHREE RADHE",IF(IF(IF(ISNUMBER(SEARCH("Party Name:-",'R.M Billets Reports'!D387)),TRIM('R.M Billets Reports'!F387),IF(ISNUMBER(SEARCH("Party Name-",'R.M Billets Reports'!D387)),TRIM(MID('R.M Billets Reports'!D387,SEARCH("-",'R.M Billets Reports'!D387)+1,200)),""))&lt;&gt;"",IF(ISNUMBER(SEARCH("Party Name:-",'R.M Billets Reports'!D387)),TRIM('R.M Billets Reports'!F387),IF(ISNUMBER(SEARCH("Party Name-",'R.M Billets Reports'!D387)),TRIM(MID('R.M Billets Reports'!D387,SEARCH("-",'R.M Billets Reports'!D387)+1,200)),"")),IF(ISNUMBER(SEARCH("Party Name:-",'R.M Billets Reports'!D388)),TRIM('R.M Billets Reports'!F388),IF(ISNUMBER(SEARCH("Party Name-",'R.M Billets Reports'!D388)),TRIM(MID('R.M Billets Reports'!D388,SEARCH("-",'R.M Billets Reports'!D388)+1,200)),"")))="SHREE RADHE SHAKTI SPONGE AND POWER PVT. LTD.","SHREE RADHE",IF(IF(ISNUMBER(SEARCH("Party Name:-",'R.M Billets Reports'!D387)),TRIM('R.M Billets Reports'!F387),IF(ISNUMBER(SEARCH("Party Name-",'R.M Billets Reports'!D387)),TRIM(MID('R.M Billets Reports'!D387,SEARCH("-",'R.M Billets Reports'!D387)+1,200)),""))&lt;&gt;"",IF(ISNUMBER(SEARCH("Party Name:-",'R.M Billets Reports'!D387)),TRIM('R.M Billets Reports'!F387),IF(ISNUMBER(SEARCH("Party Name-",'R.M Billets Reports'!D387)),TRIM(MID('R.M Billets Reports'!D387,SEARCH("-",'R.M Billets Reports'!D387)+1,200)),"")),IF(ISNUMBER(SEARCH("Party Name:-",'R.M Billets Reports'!D388)),TRIM('R.M Billets Reports'!F388),IF(ISNUMBER(SEARCH("Party Name-",'R.M Billets Reports'!D388)),TRIM(MID('R.M Billets Reports'!D388,SEARCH("-",'R.M Billets Reports'!D388)+1,200)),"")))))),IF(ROW()=2,"",A387))</f>
      </c>
      <c r="B388">
        <f>IF(OR('R.M Billets Reports'!A387="Date-",'R.M Billets Reports'!A387="Date:-"),'R.M Billets Reports'!B387,IF(ROW()=2,"",B387))</f>
      </c>
      <c r="C388">
        <f>IF('R.M Billets Reports'!A387="V.No.",'R.M Billets Reports'!B387,IF(ROW()=2,"",C387))</f>
      </c>
      <c r="D388">
        <f>IF('R.M Billets Reports'!A387&lt;&gt;"",'R.M Billets Reports'!A387,IF(ROW()=2,"",D387))</f>
      </c>
      <c r="E388">
        <f>IF('R.M Billets Reports'!B387="","",TRIM('R.M Billets Reports'!B387))</f>
      </c>
      <c r="F388">
        <f>'R.M Billets Reports'!C387</f>
      </c>
      <c r="G388">
        <f>'R.M Billets Reports'!D387</f>
      </c>
      <c r="H388">
        <f>'R.M Billets Reports'!E387</f>
      </c>
      <c r="I388">
        <f>'R.M Billets Reports'!F387</f>
      </c>
      <c r="J388">
        <f>'R.M Billets Reports'!G387</f>
      </c>
      <c r="K388">
        <f>'R.M Billets Reports'!H387</f>
      </c>
      <c r="L388">
        <f>IF('R.M Billets Reports'!I387="","",'R.M Billets Reports'!I387)</f>
      </c>
      <c r="M388">
        <f t="shared" si="12"/>
      </c>
      <c r="N388">
        <f>IF('R.M Billets Reports'!J387="","",'R.M Billets Reports'!J387)</f>
      </c>
      <c r="O388">
        <f t="shared" si="13"/>
      </c>
      <c r="P388">
        <f>IF('R.M Billets Reports'!A387="SIZE",'R.M Billets Reports'!B387,P387)</f>
      </c>
    </row>
    <row r="389" spans="1:16" x14ac:dyDescent="0.25">
      <c r="A389">
        <f>IF(OR('R.M Billets Reports'!A388="Date-",'R.M Billets Reports'!A388="Date:-"),IF(IF(IF(ISNUMBER(SEARCH("Party Name:-",'R.M Billets Reports'!D388)),TRIM('R.M Billets Reports'!F388),IF(ISNUMBER(SEARCH("Party Name-",'R.M Billets Reports'!D388)),TRIM(MID('R.M Billets Reports'!D388,SEARCH("-",'R.M Billets Reports'!D388)+1,200)),""))&lt;&gt;"",IF(ISNUMBER(SEARCH("Party Name:-",'R.M Billets Reports'!D388)),TRIM('R.M Billets Reports'!F388),IF(ISNUMBER(SEARCH("Party Name-",'R.M Billets Reports'!D388)),TRIM(MID('R.M Billets Reports'!D388,SEARCH("-",'R.M Billets Reports'!D388)+1,200)),"")),IF(ISNUMBER(SEARCH("Party Name:-",'R.M Billets Reports'!D389)),TRIM('R.M Billets Reports'!F389),IF(ISNUMBER(SEARCH("Party Name-",'R.M Billets Reports'!D389)),TRIM(MID('R.M Billets Reports'!D389,SEARCH("-",'R.M Billets Reports'!D389)+1,200)),"")))="VRKP ISPAT PVT LTD","VRKP",IF(IF(IF(ISNUMBER(SEARCH("Party Name:-",'R.M Billets Reports'!D388)),TRIM('R.M Billets Reports'!F388),IF(ISNUMBER(SEARCH("Party Name-",'R.M Billets Reports'!D388)),TRIM(MID('R.M Billets Reports'!D388,SEARCH("-",'R.M Billets Reports'!D388)+1,200)),""))&lt;&gt;"",IF(ISNUMBER(SEARCH("Party Name:-",'R.M Billets Reports'!D388)),TRIM('R.M Billets Reports'!F388),IF(ISNUMBER(SEARCH("Party Name-",'R.M Billets Reports'!D388)),TRIM(MID('R.M Billets Reports'!D388,SEARCH("-",'R.M Billets Reports'!D388)+1,200)),"")),IF(ISNUMBER(SEARCH("Party Name:-",'R.M Billets Reports'!D389)),TRIM('R.M Billets Reports'!F389),IF(ISNUMBER(SEARCH("Party Name-",'R.M Billets Reports'!D389)),TRIM(MID('R.M Billets Reports'!D389,SEARCH("-",'R.M Billets Reports'!D389)+1,200)),"")))="SHRI RADHE","SHREE RADHE",IF(IF(IF(ISNUMBER(SEARCH("Party Name:-",'R.M Billets Reports'!D388)),TRIM('R.M Billets Reports'!F388),IF(ISNUMBER(SEARCH("Party Name-",'R.M Billets Reports'!D388)),TRIM(MID('R.M Billets Reports'!D388,SEARCH("-",'R.M Billets Reports'!D388)+1,200)),""))&lt;&gt;"",IF(ISNUMBER(SEARCH("Party Name:-",'R.M Billets Reports'!D388)),TRIM('R.M Billets Reports'!F388),IF(ISNUMBER(SEARCH("Party Name-",'R.M Billets Reports'!D388)),TRIM(MID('R.M Billets Reports'!D388,SEARCH("-",'R.M Billets Reports'!D388)+1,200)),"")),IF(ISNUMBER(SEARCH("Party Name:-",'R.M Billets Reports'!D389)),TRIM('R.M Billets Reports'!F389),IF(ISNUMBER(SEARCH("Party Name-",'R.M Billets Reports'!D389)),TRIM(MID('R.M Billets Reports'!D389,SEARCH("-",'R.M Billets Reports'!D389)+1,200)),"")))="SHREE RADHE SHAKTI SPONGE AND POWER PVT. LTD.","SHREE RADHE",IF(IF(ISNUMBER(SEARCH("Party Name:-",'R.M Billets Reports'!D388)),TRIM('R.M Billets Reports'!F388),IF(ISNUMBER(SEARCH("Party Name-",'R.M Billets Reports'!D388)),TRIM(MID('R.M Billets Reports'!D388,SEARCH("-",'R.M Billets Reports'!D388)+1,200)),""))&lt;&gt;"",IF(ISNUMBER(SEARCH("Party Name:-",'R.M Billets Reports'!D388)),TRIM('R.M Billets Reports'!F388),IF(ISNUMBER(SEARCH("Party Name-",'R.M Billets Reports'!D388)),TRIM(MID('R.M Billets Reports'!D388,SEARCH("-",'R.M Billets Reports'!D388)+1,200)),"")),IF(ISNUMBER(SEARCH("Party Name:-",'R.M Billets Reports'!D389)),TRIM('R.M Billets Reports'!F389),IF(ISNUMBER(SEARCH("Party Name-",'R.M Billets Reports'!D389)),TRIM(MID('R.M Billets Reports'!D389,SEARCH("-",'R.M Billets Reports'!D389)+1,200)),"")))))),IF(ROW()=2,"",A388))</f>
      </c>
      <c r="B389">
        <f>IF(OR('R.M Billets Reports'!A388="Date-",'R.M Billets Reports'!A388="Date:-"),'R.M Billets Reports'!B388,IF(ROW()=2,"",B388))</f>
      </c>
      <c r="C389">
        <f>IF('R.M Billets Reports'!A388="V.No.",'R.M Billets Reports'!B388,IF(ROW()=2,"",C388))</f>
      </c>
      <c r="D389">
        <f>IF('R.M Billets Reports'!A388&lt;&gt;"",'R.M Billets Reports'!A388,IF(ROW()=2,"",D388))</f>
      </c>
      <c r="E389">
        <f>IF('R.M Billets Reports'!B388="","",TRIM('R.M Billets Reports'!B388))</f>
      </c>
      <c r="F389">
        <f>'R.M Billets Reports'!C388</f>
      </c>
      <c r="G389">
        <f>'R.M Billets Reports'!D388</f>
      </c>
      <c r="H389">
        <f>'R.M Billets Reports'!E388</f>
      </c>
      <c r="I389">
        <f>'R.M Billets Reports'!F388</f>
      </c>
      <c r="J389">
        <f>'R.M Billets Reports'!G388</f>
      </c>
      <c r="K389">
        <f>'R.M Billets Reports'!H388</f>
      </c>
      <c r="L389">
        <f>IF('R.M Billets Reports'!I388="","",'R.M Billets Reports'!I388)</f>
      </c>
      <c r="M389">
        <f t="shared" si="12"/>
      </c>
      <c r="N389">
        <f>IF('R.M Billets Reports'!J388="","",'R.M Billets Reports'!J388)</f>
      </c>
      <c r="O389">
        <f t="shared" si="13"/>
      </c>
      <c r="P389">
        <f>IF('R.M Billets Reports'!A388="SIZE",'R.M Billets Reports'!B388,P388)</f>
      </c>
    </row>
    <row r="390" spans="1:16" x14ac:dyDescent="0.25">
      <c r="A390">
        <f>IF(OR('R.M Billets Reports'!A389="Date-",'R.M Billets Reports'!A389="Date:-"),IF(IF(IF(ISNUMBER(SEARCH("Party Name:-",'R.M Billets Reports'!D389)),TRIM('R.M Billets Reports'!F389),IF(ISNUMBER(SEARCH("Party Name-",'R.M Billets Reports'!D389)),TRIM(MID('R.M Billets Reports'!D389,SEARCH("-",'R.M Billets Reports'!D389)+1,200)),""))&lt;&gt;"",IF(ISNUMBER(SEARCH("Party Name:-",'R.M Billets Reports'!D389)),TRIM('R.M Billets Reports'!F389),IF(ISNUMBER(SEARCH("Party Name-",'R.M Billets Reports'!D389)),TRIM(MID('R.M Billets Reports'!D389,SEARCH("-",'R.M Billets Reports'!D389)+1,200)),"")),IF(ISNUMBER(SEARCH("Party Name:-",'R.M Billets Reports'!D390)),TRIM('R.M Billets Reports'!F390),IF(ISNUMBER(SEARCH("Party Name-",'R.M Billets Reports'!D390)),TRIM(MID('R.M Billets Reports'!D390,SEARCH("-",'R.M Billets Reports'!D390)+1,200)),"")))="VRKP ISPAT PVT LTD","VRKP",IF(IF(IF(ISNUMBER(SEARCH("Party Name:-",'R.M Billets Reports'!D389)),TRIM('R.M Billets Reports'!F389),IF(ISNUMBER(SEARCH("Party Name-",'R.M Billets Reports'!D389)),TRIM(MID('R.M Billets Reports'!D389,SEARCH("-",'R.M Billets Reports'!D389)+1,200)),""))&lt;&gt;"",IF(ISNUMBER(SEARCH("Party Name:-",'R.M Billets Reports'!D389)),TRIM('R.M Billets Reports'!F389),IF(ISNUMBER(SEARCH("Party Name-",'R.M Billets Reports'!D389)),TRIM(MID('R.M Billets Reports'!D389,SEARCH("-",'R.M Billets Reports'!D389)+1,200)),"")),IF(ISNUMBER(SEARCH("Party Name:-",'R.M Billets Reports'!D390)),TRIM('R.M Billets Reports'!F390),IF(ISNUMBER(SEARCH("Party Name-",'R.M Billets Reports'!D390)),TRIM(MID('R.M Billets Reports'!D390,SEARCH("-",'R.M Billets Reports'!D390)+1,200)),"")))="SHRI RADHE","SHREE RADHE",IF(IF(IF(ISNUMBER(SEARCH("Party Name:-",'R.M Billets Reports'!D389)),TRIM('R.M Billets Reports'!F389),IF(ISNUMBER(SEARCH("Party Name-",'R.M Billets Reports'!D389)),TRIM(MID('R.M Billets Reports'!D389,SEARCH("-",'R.M Billets Reports'!D389)+1,200)),""))&lt;&gt;"",IF(ISNUMBER(SEARCH("Party Name:-",'R.M Billets Reports'!D389)),TRIM('R.M Billets Reports'!F389),IF(ISNUMBER(SEARCH("Party Name-",'R.M Billets Reports'!D389)),TRIM(MID('R.M Billets Reports'!D389,SEARCH("-",'R.M Billets Reports'!D389)+1,200)),"")),IF(ISNUMBER(SEARCH("Party Name:-",'R.M Billets Reports'!D390)),TRIM('R.M Billets Reports'!F390),IF(ISNUMBER(SEARCH("Party Name-",'R.M Billets Reports'!D390)),TRIM(MID('R.M Billets Reports'!D390,SEARCH("-",'R.M Billets Reports'!D390)+1,200)),"")))="SHREE RADHE SHAKTI SPONGE AND POWER PVT. LTD.","SHREE RADHE",IF(IF(ISNUMBER(SEARCH("Party Name:-",'R.M Billets Reports'!D389)),TRIM('R.M Billets Reports'!F389),IF(ISNUMBER(SEARCH("Party Name-",'R.M Billets Reports'!D389)),TRIM(MID('R.M Billets Reports'!D389,SEARCH("-",'R.M Billets Reports'!D389)+1,200)),""))&lt;&gt;"",IF(ISNUMBER(SEARCH("Party Name:-",'R.M Billets Reports'!D389)),TRIM('R.M Billets Reports'!F389),IF(ISNUMBER(SEARCH("Party Name-",'R.M Billets Reports'!D389)),TRIM(MID('R.M Billets Reports'!D389,SEARCH("-",'R.M Billets Reports'!D389)+1,200)),"")),IF(ISNUMBER(SEARCH("Party Name:-",'R.M Billets Reports'!D390)),TRIM('R.M Billets Reports'!F390),IF(ISNUMBER(SEARCH("Party Name-",'R.M Billets Reports'!D390)),TRIM(MID('R.M Billets Reports'!D390,SEARCH("-",'R.M Billets Reports'!D390)+1,200)),"")))))),IF(ROW()=2,"",A389))</f>
      </c>
      <c r="B390">
        <f>IF(OR('R.M Billets Reports'!A389="Date-",'R.M Billets Reports'!A389="Date:-"),'R.M Billets Reports'!B389,IF(ROW()=2,"",B389))</f>
      </c>
      <c r="C390">
        <f>IF('R.M Billets Reports'!A389="V.No.",'R.M Billets Reports'!B389,IF(ROW()=2,"",C389))</f>
      </c>
      <c r="D390">
        <f>IF('R.M Billets Reports'!A389&lt;&gt;"",'R.M Billets Reports'!A389,IF(ROW()=2,"",D389))</f>
      </c>
      <c r="E390">
        <f>IF('R.M Billets Reports'!B389="","",TRIM('R.M Billets Reports'!B389))</f>
      </c>
      <c r="F390">
        <f>'R.M Billets Reports'!C389</f>
      </c>
      <c r="G390">
        <f>'R.M Billets Reports'!D389</f>
      </c>
      <c r="H390">
        <f>'R.M Billets Reports'!E389</f>
      </c>
      <c r="I390">
        <f>'R.M Billets Reports'!F389</f>
      </c>
      <c r="J390">
        <f>'R.M Billets Reports'!G389</f>
      </c>
      <c r="K390">
        <f>'R.M Billets Reports'!H389</f>
      </c>
      <c r="L390">
        <f>IF('R.M Billets Reports'!I389="","",'R.M Billets Reports'!I389)</f>
      </c>
      <c r="M390">
        <f t="shared" si="12"/>
      </c>
      <c r="N390">
        <f>IF('R.M Billets Reports'!J389="","",'R.M Billets Reports'!J389)</f>
      </c>
      <c r="O390">
        <f t="shared" si="13"/>
      </c>
      <c r="P390">
        <f>IF('R.M Billets Reports'!A389="SIZE",'R.M Billets Reports'!B389,P389)</f>
      </c>
    </row>
    <row r="391" spans="1:16" x14ac:dyDescent="0.25">
      <c r="A391">
        <f>IF(OR('R.M Billets Reports'!A390="Date-",'R.M Billets Reports'!A390="Date:-"),IF(IF(IF(ISNUMBER(SEARCH("Party Name:-",'R.M Billets Reports'!D390)),TRIM('R.M Billets Reports'!F390),IF(ISNUMBER(SEARCH("Party Name-",'R.M Billets Reports'!D390)),TRIM(MID('R.M Billets Reports'!D390,SEARCH("-",'R.M Billets Reports'!D390)+1,200)),""))&lt;&gt;"",IF(ISNUMBER(SEARCH("Party Name:-",'R.M Billets Reports'!D390)),TRIM('R.M Billets Reports'!F390),IF(ISNUMBER(SEARCH("Party Name-",'R.M Billets Reports'!D390)),TRIM(MID('R.M Billets Reports'!D390,SEARCH("-",'R.M Billets Reports'!D390)+1,200)),"")),IF(ISNUMBER(SEARCH("Party Name:-",'R.M Billets Reports'!D391)),TRIM('R.M Billets Reports'!F391),IF(ISNUMBER(SEARCH("Party Name-",'R.M Billets Reports'!D391)),TRIM(MID('R.M Billets Reports'!D391,SEARCH("-",'R.M Billets Reports'!D391)+1,200)),"")))="VRKP ISPAT PVT LTD","VRKP",IF(IF(IF(ISNUMBER(SEARCH("Party Name:-",'R.M Billets Reports'!D390)),TRIM('R.M Billets Reports'!F390),IF(ISNUMBER(SEARCH("Party Name-",'R.M Billets Reports'!D390)),TRIM(MID('R.M Billets Reports'!D390,SEARCH("-",'R.M Billets Reports'!D390)+1,200)),""))&lt;&gt;"",IF(ISNUMBER(SEARCH("Party Name:-",'R.M Billets Reports'!D390)),TRIM('R.M Billets Reports'!F390),IF(ISNUMBER(SEARCH("Party Name-",'R.M Billets Reports'!D390)),TRIM(MID('R.M Billets Reports'!D390,SEARCH("-",'R.M Billets Reports'!D390)+1,200)),"")),IF(ISNUMBER(SEARCH("Party Name:-",'R.M Billets Reports'!D391)),TRIM('R.M Billets Reports'!F391),IF(ISNUMBER(SEARCH("Party Name-",'R.M Billets Reports'!D391)),TRIM(MID('R.M Billets Reports'!D391,SEARCH("-",'R.M Billets Reports'!D391)+1,200)),"")))="SHRI RADHE","SHREE RADHE",IF(IF(IF(ISNUMBER(SEARCH("Party Name:-",'R.M Billets Reports'!D390)),TRIM('R.M Billets Reports'!F390),IF(ISNUMBER(SEARCH("Party Name-",'R.M Billets Reports'!D390)),TRIM(MID('R.M Billets Reports'!D390,SEARCH("-",'R.M Billets Reports'!D390)+1,200)),""))&lt;&gt;"",IF(ISNUMBER(SEARCH("Party Name:-",'R.M Billets Reports'!D390)),TRIM('R.M Billets Reports'!F390),IF(ISNUMBER(SEARCH("Party Name-",'R.M Billets Reports'!D390)),TRIM(MID('R.M Billets Reports'!D390,SEARCH("-",'R.M Billets Reports'!D390)+1,200)),"")),IF(ISNUMBER(SEARCH("Party Name:-",'R.M Billets Reports'!D391)),TRIM('R.M Billets Reports'!F391),IF(ISNUMBER(SEARCH("Party Name-",'R.M Billets Reports'!D391)),TRIM(MID('R.M Billets Reports'!D391,SEARCH("-",'R.M Billets Reports'!D391)+1,200)),"")))="SHREE RADHE SHAKTI SPONGE AND POWER PVT. LTD.","SHREE RADHE",IF(IF(ISNUMBER(SEARCH("Party Name:-",'R.M Billets Reports'!D390)),TRIM('R.M Billets Reports'!F390),IF(ISNUMBER(SEARCH("Party Name-",'R.M Billets Reports'!D390)),TRIM(MID('R.M Billets Reports'!D390,SEARCH("-",'R.M Billets Reports'!D390)+1,200)),""))&lt;&gt;"",IF(ISNUMBER(SEARCH("Party Name:-",'R.M Billets Reports'!D390)),TRIM('R.M Billets Reports'!F390),IF(ISNUMBER(SEARCH("Party Name-",'R.M Billets Reports'!D390)),TRIM(MID('R.M Billets Reports'!D390,SEARCH("-",'R.M Billets Reports'!D390)+1,200)),"")),IF(ISNUMBER(SEARCH("Party Name:-",'R.M Billets Reports'!D391)),TRIM('R.M Billets Reports'!F391),IF(ISNUMBER(SEARCH("Party Name-",'R.M Billets Reports'!D391)),TRIM(MID('R.M Billets Reports'!D391,SEARCH("-",'R.M Billets Reports'!D391)+1,200)),"")))))),IF(ROW()=2,"",A390))</f>
      </c>
      <c r="B391">
        <f>IF(OR('R.M Billets Reports'!A390="Date-",'R.M Billets Reports'!A390="Date:-"),'R.M Billets Reports'!B390,IF(ROW()=2,"",B390))</f>
      </c>
      <c r="C391">
        <f>IF('R.M Billets Reports'!A390="V.No.",'R.M Billets Reports'!B390,IF(ROW()=2,"",C390))</f>
      </c>
      <c r="D391">
        <f>IF('R.M Billets Reports'!A390&lt;&gt;"",'R.M Billets Reports'!A390,IF(ROW()=2,"",D390))</f>
      </c>
      <c r="E391">
        <f>IF('R.M Billets Reports'!B390="","",TRIM('R.M Billets Reports'!B390))</f>
      </c>
      <c r="F391">
        <f>'R.M Billets Reports'!C390</f>
      </c>
      <c r="G391">
        <f>'R.M Billets Reports'!D390</f>
      </c>
      <c r="H391">
        <f>'R.M Billets Reports'!E390</f>
      </c>
      <c r="I391">
        <f>'R.M Billets Reports'!F390</f>
      </c>
      <c r="J391">
        <f>'R.M Billets Reports'!G390</f>
      </c>
      <c r="K391">
        <f>'R.M Billets Reports'!H390</f>
      </c>
      <c r="L391">
        <f>IF('R.M Billets Reports'!I390="","",'R.M Billets Reports'!I390)</f>
      </c>
      <c r="M391">
        <f t="shared" si="12"/>
      </c>
      <c r="N391">
        <f>IF('R.M Billets Reports'!J390="","",'R.M Billets Reports'!J390)</f>
      </c>
      <c r="O391">
        <f t="shared" si="13"/>
      </c>
      <c r="P391">
        <f>IF('R.M Billets Reports'!A390="SIZE",'R.M Billets Reports'!B390,P390)</f>
      </c>
    </row>
    <row r="392" spans="1:16" x14ac:dyDescent="0.25">
      <c r="A392">
        <f>IF(OR('R.M Billets Reports'!A391="Date-",'R.M Billets Reports'!A391="Date:-"),IF(IF(IF(ISNUMBER(SEARCH("Party Name:-",'R.M Billets Reports'!D391)),TRIM('R.M Billets Reports'!F391),IF(ISNUMBER(SEARCH("Party Name-",'R.M Billets Reports'!D391)),TRIM(MID('R.M Billets Reports'!D391,SEARCH("-",'R.M Billets Reports'!D391)+1,200)),""))&lt;&gt;"",IF(ISNUMBER(SEARCH("Party Name:-",'R.M Billets Reports'!D391)),TRIM('R.M Billets Reports'!F391),IF(ISNUMBER(SEARCH("Party Name-",'R.M Billets Reports'!D391)),TRIM(MID('R.M Billets Reports'!D391,SEARCH("-",'R.M Billets Reports'!D391)+1,200)),"")),IF(ISNUMBER(SEARCH("Party Name:-",'R.M Billets Reports'!D392)),TRIM('R.M Billets Reports'!F392),IF(ISNUMBER(SEARCH("Party Name-",'R.M Billets Reports'!D392)),TRIM(MID('R.M Billets Reports'!D392,SEARCH("-",'R.M Billets Reports'!D392)+1,200)),"")))="VRKP ISPAT PVT LTD","VRKP",IF(IF(IF(ISNUMBER(SEARCH("Party Name:-",'R.M Billets Reports'!D391)),TRIM('R.M Billets Reports'!F391),IF(ISNUMBER(SEARCH("Party Name-",'R.M Billets Reports'!D391)),TRIM(MID('R.M Billets Reports'!D391,SEARCH("-",'R.M Billets Reports'!D391)+1,200)),""))&lt;&gt;"",IF(ISNUMBER(SEARCH("Party Name:-",'R.M Billets Reports'!D391)),TRIM('R.M Billets Reports'!F391),IF(ISNUMBER(SEARCH("Party Name-",'R.M Billets Reports'!D391)),TRIM(MID('R.M Billets Reports'!D391,SEARCH("-",'R.M Billets Reports'!D391)+1,200)),"")),IF(ISNUMBER(SEARCH("Party Name:-",'R.M Billets Reports'!D392)),TRIM('R.M Billets Reports'!F392),IF(ISNUMBER(SEARCH("Party Name-",'R.M Billets Reports'!D392)),TRIM(MID('R.M Billets Reports'!D392,SEARCH("-",'R.M Billets Reports'!D392)+1,200)),"")))="SHRI RADHE","SHREE RADHE",IF(IF(IF(ISNUMBER(SEARCH("Party Name:-",'R.M Billets Reports'!D391)),TRIM('R.M Billets Reports'!F391),IF(ISNUMBER(SEARCH("Party Name-",'R.M Billets Reports'!D391)),TRIM(MID('R.M Billets Reports'!D391,SEARCH("-",'R.M Billets Reports'!D391)+1,200)),""))&lt;&gt;"",IF(ISNUMBER(SEARCH("Party Name:-",'R.M Billets Reports'!D391)),TRIM('R.M Billets Reports'!F391),IF(ISNUMBER(SEARCH("Party Name-",'R.M Billets Reports'!D391)),TRIM(MID('R.M Billets Reports'!D391,SEARCH("-",'R.M Billets Reports'!D391)+1,200)),"")),IF(ISNUMBER(SEARCH("Party Name:-",'R.M Billets Reports'!D392)),TRIM('R.M Billets Reports'!F392),IF(ISNUMBER(SEARCH("Party Name-",'R.M Billets Reports'!D392)),TRIM(MID('R.M Billets Reports'!D392,SEARCH("-",'R.M Billets Reports'!D392)+1,200)),"")))="SHREE RADHE SHAKTI SPONGE AND POWER PVT. LTD.","SHREE RADHE",IF(IF(ISNUMBER(SEARCH("Party Name:-",'R.M Billets Reports'!D391)),TRIM('R.M Billets Reports'!F391),IF(ISNUMBER(SEARCH("Party Name-",'R.M Billets Reports'!D391)),TRIM(MID('R.M Billets Reports'!D391,SEARCH("-",'R.M Billets Reports'!D391)+1,200)),""))&lt;&gt;"",IF(ISNUMBER(SEARCH("Party Name:-",'R.M Billets Reports'!D391)),TRIM('R.M Billets Reports'!F391),IF(ISNUMBER(SEARCH("Party Name-",'R.M Billets Reports'!D391)),TRIM(MID('R.M Billets Reports'!D391,SEARCH("-",'R.M Billets Reports'!D391)+1,200)),"")),IF(ISNUMBER(SEARCH("Party Name:-",'R.M Billets Reports'!D392)),TRIM('R.M Billets Reports'!F392),IF(ISNUMBER(SEARCH("Party Name-",'R.M Billets Reports'!D392)),TRIM(MID('R.M Billets Reports'!D392,SEARCH("-",'R.M Billets Reports'!D392)+1,200)),"")))))),IF(ROW()=2,"",A391))</f>
      </c>
      <c r="B392">
        <f>IF(OR('R.M Billets Reports'!A391="Date-",'R.M Billets Reports'!A391="Date:-"),'R.M Billets Reports'!B391,IF(ROW()=2,"",B391))</f>
      </c>
      <c r="C392">
        <f>IF('R.M Billets Reports'!A391="V.No.",'R.M Billets Reports'!B391,IF(ROW()=2,"",C391))</f>
      </c>
      <c r="D392">
        <f>IF('R.M Billets Reports'!A391&lt;&gt;"",'R.M Billets Reports'!A391,IF(ROW()=2,"",D391))</f>
      </c>
      <c r="E392">
        <f>IF('R.M Billets Reports'!B391="","",TRIM('R.M Billets Reports'!B391))</f>
      </c>
      <c r="F392">
        <f>'R.M Billets Reports'!C391</f>
      </c>
      <c r="G392">
        <f>'R.M Billets Reports'!D391</f>
      </c>
      <c r="H392">
        <f>'R.M Billets Reports'!E391</f>
      </c>
      <c r="I392">
        <f>'R.M Billets Reports'!F391</f>
      </c>
      <c r="J392">
        <f>'R.M Billets Reports'!G391</f>
      </c>
      <c r="K392">
        <f>'R.M Billets Reports'!H391</f>
      </c>
      <c r="L392">
        <f>IF('R.M Billets Reports'!I391="","",'R.M Billets Reports'!I391)</f>
      </c>
      <c r="M392">
        <f t="shared" si="12"/>
      </c>
      <c r="N392">
        <f>IF('R.M Billets Reports'!J391="","",'R.M Billets Reports'!J391)</f>
      </c>
      <c r="O392">
        <f t="shared" si="13"/>
      </c>
      <c r="P392">
        <f>IF('R.M Billets Reports'!A391="SIZE",'R.M Billets Reports'!B391,P391)</f>
      </c>
    </row>
    <row r="393" spans="1:16" x14ac:dyDescent="0.25">
      <c r="A393">
        <f>IF(OR('R.M Billets Reports'!A392="Date-",'R.M Billets Reports'!A392="Date:-"),IF(IF(IF(ISNUMBER(SEARCH("Party Name:-",'R.M Billets Reports'!D392)),TRIM('R.M Billets Reports'!F392),IF(ISNUMBER(SEARCH("Party Name-",'R.M Billets Reports'!D392)),TRIM(MID('R.M Billets Reports'!D392,SEARCH("-",'R.M Billets Reports'!D392)+1,200)),""))&lt;&gt;"",IF(ISNUMBER(SEARCH("Party Name:-",'R.M Billets Reports'!D392)),TRIM('R.M Billets Reports'!F392),IF(ISNUMBER(SEARCH("Party Name-",'R.M Billets Reports'!D392)),TRIM(MID('R.M Billets Reports'!D392,SEARCH("-",'R.M Billets Reports'!D392)+1,200)),"")),IF(ISNUMBER(SEARCH("Party Name:-",'R.M Billets Reports'!D393)),TRIM('R.M Billets Reports'!F393),IF(ISNUMBER(SEARCH("Party Name-",'R.M Billets Reports'!D393)),TRIM(MID('R.M Billets Reports'!D393,SEARCH("-",'R.M Billets Reports'!D393)+1,200)),"")))="VRKP ISPAT PVT LTD","VRKP",IF(IF(IF(ISNUMBER(SEARCH("Party Name:-",'R.M Billets Reports'!D392)),TRIM('R.M Billets Reports'!F392),IF(ISNUMBER(SEARCH("Party Name-",'R.M Billets Reports'!D392)),TRIM(MID('R.M Billets Reports'!D392,SEARCH("-",'R.M Billets Reports'!D392)+1,200)),""))&lt;&gt;"",IF(ISNUMBER(SEARCH("Party Name:-",'R.M Billets Reports'!D392)),TRIM('R.M Billets Reports'!F392),IF(ISNUMBER(SEARCH("Party Name-",'R.M Billets Reports'!D392)),TRIM(MID('R.M Billets Reports'!D392,SEARCH("-",'R.M Billets Reports'!D392)+1,200)),"")),IF(ISNUMBER(SEARCH("Party Name:-",'R.M Billets Reports'!D393)),TRIM('R.M Billets Reports'!F393),IF(ISNUMBER(SEARCH("Party Name-",'R.M Billets Reports'!D393)),TRIM(MID('R.M Billets Reports'!D393,SEARCH("-",'R.M Billets Reports'!D393)+1,200)),"")))="SHRI RADHE","SHREE RADHE",IF(IF(IF(ISNUMBER(SEARCH("Party Name:-",'R.M Billets Reports'!D392)),TRIM('R.M Billets Reports'!F392),IF(ISNUMBER(SEARCH("Party Name-",'R.M Billets Reports'!D392)),TRIM(MID('R.M Billets Reports'!D392,SEARCH("-",'R.M Billets Reports'!D392)+1,200)),""))&lt;&gt;"",IF(ISNUMBER(SEARCH("Party Name:-",'R.M Billets Reports'!D392)),TRIM('R.M Billets Reports'!F392),IF(ISNUMBER(SEARCH("Party Name-",'R.M Billets Reports'!D392)),TRIM(MID('R.M Billets Reports'!D392,SEARCH("-",'R.M Billets Reports'!D392)+1,200)),"")),IF(ISNUMBER(SEARCH("Party Name:-",'R.M Billets Reports'!D393)),TRIM('R.M Billets Reports'!F393),IF(ISNUMBER(SEARCH("Party Name-",'R.M Billets Reports'!D393)),TRIM(MID('R.M Billets Reports'!D393,SEARCH("-",'R.M Billets Reports'!D393)+1,200)),"")))="SHREE RADHE SHAKTI SPONGE AND POWER PVT. LTD.","SHREE RADHE",IF(IF(ISNUMBER(SEARCH("Party Name:-",'R.M Billets Reports'!D392)),TRIM('R.M Billets Reports'!F392),IF(ISNUMBER(SEARCH("Party Name-",'R.M Billets Reports'!D392)),TRIM(MID('R.M Billets Reports'!D392,SEARCH("-",'R.M Billets Reports'!D392)+1,200)),""))&lt;&gt;"",IF(ISNUMBER(SEARCH("Party Name:-",'R.M Billets Reports'!D392)),TRIM('R.M Billets Reports'!F392),IF(ISNUMBER(SEARCH("Party Name-",'R.M Billets Reports'!D392)),TRIM(MID('R.M Billets Reports'!D392,SEARCH("-",'R.M Billets Reports'!D392)+1,200)),"")),IF(ISNUMBER(SEARCH("Party Name:-",'R.M Billets Reports'!D393)),TRIM('R.M Billets Reports'!F393),IF(ISNUMBER(SEARCH("Party Name-",'R.M Billets Reports'!D393)),TRIM(MID('R.M Billets Reports'!D393,SEARCH("-",'R.M Billets Reports'!D393)+1,200)),"")))))),IF(ROW()=2,"",A392))</f>
      </c>
      <c r="B393">
        <f>IF(OR('R.M Billets Reports'!A392="Date-",'R.M Billets Reports'!A392="Date:-"),'R.M Billets Reports'!B392,IF(ROW()=2,"",B392))</f>
      </c>
      <c r="C393">
        <f>IF('R.M Billets Reports'!A392="V.No.",'R.M Billets Reports'!B392,IF(ROW()=2,"",C392))</f>
      </c>
      <c r="D393">
        <f>IF('R.M Billets Reports'!A392&lt;&gt;"",'R.M Billets Reports'!A392,IF(ROW()=2,"",D392))</f>
      </c>
      <c r="E393">
        <f>IF('R.M Billets Reports'!B392="","",TRIM('R.M Billets Reports'!B392))</f>
      </c>
      <c r="F393">
        <f>'R.M Billets Reports'!C392</f>
      </c>
      <c r="G393">
        <f>'R.M Billets Reports'!D392</f>
      </c>
      <c r="H393">
        <f>'R.M Billets Reports'!E392</f>
      </c>
      <c r="I393">
        <f>'R.M Billets Reports'!F392</f>
      </c>
      <c r="J393">
        <f>'R.M Billets Reports'!G392</f>
      </c>
      <c r="K393">
        <f>'R.M Billets Reports'!H392</f>
      </c>
      <c r="L393">
        <f>IF('R.M Billets Reports'!I392="","",'R.M Billets Reports'!I392)</f>
      </c>
      <c r="M393">
        <f t="shared" si="12"/>
      </c>
      <c r="N393">
        <f>IF('R.M Billets Reports'!J392="","",'R.M Billets Reports'!J392)</f>
      </c>
      <c r="O393">
        <f t="shared" si="13"/>
      </c>
      <c r="P393">
        <f>IF('R.M Billets Reports'!A392="SIZE",'R.M Billets Reports'!B392,P392)</f>
      </c>
    </row>
    <row r="394" spans="1:16" x14ac:dyDescent="0.25">
      <c r="A394">
        <f>IF(OR('R.M Billets Reports'!A393="Date-",'R.M Billets Reports'!A393="Date:-"),IF(IF(IF(ISNUMBER(SEARCH("Party Name:-",'R.M Billets Reports'!D393)),TRIM('R.M Billets Reports'!F393),IF(ISNUMBER(SEARCH("Party Name-",'R.M Billets Reports'!D393)),TRIM(MID('R.M Billets Reports'!D393,SEARCH("-",'R.M Billets Reports'!D393)+1,200)),""))&lt;&gt;"",IF(ISNUMBER(SEARCH("Party Name:-",'R.M Billets Reports'!D393)),TRIM('R.M Billets Reports'!F393),IF(ISNUMBER(SEARCH("Party Name-",'R.M Billets Reports'!D393)),TRIM(MID('R.M Billets Reports'!D393,SEARCH("-",'R.M Billets Reports'!D393)+1,200)),"")),IF(ISNUMBER(SEARCH("Party Name:-",'R.M Billets Reports'!D394)),TRIM('R.M Billets Reports'!F394),IF(ISNUMBER(SEARCH("Party Name-",'R.M Billets Reports'!D394)),TRIM(MID('R.M Billets Reports'!D394,SEARCH("-",'R.M Billets Reports'!D394)+1,200)),"")))="VRKP ISPAT PVT LTD","VRKP",IF(IF(IF(ISNUMBER(SEARCH("Party Name:-",'R.M Billets Reports'!D393)),TRIM('R.M Billets Reports'!F393),IF(ISNUMBER(SEARCH("Party Name-",'R.M Billets Reports'!D393)),TRIM(MID('R.M Billets Reports'!D393,SEARCH("-",'R.M Billets Reports'!D393)+1,200)),""))&lt;&gt;"",IF(ISNUMBER(SEARCH("Party Name:-",'R.M Billets Reports'!D393)),TRIM('R.M Billets Reports'!F393),IF(ISNUMBER(SEARCH("Party Name-",'R.M Billets Reports'!D393)),TRIM(MID('R.M Billets Reports'!D393,SEARCH("-",'R.M Billets Reports'!D393)+1,200)),"")),IF(ISNUMBER(SEARCH("Party Name:-",'R.M Billets Reports'!D394)),TRIM('R.M Billets Reports'!F394),IF(ISNUMBER(SEARCH("Party Name-",'R.M Billets Reports'!D394)),TRIM(MID('R.M Billets Reports'!D394,SEARCH("-",'R.M Billets Reports'!D394)+1,200)),"")))="SHRI RADHE","SHREE RADHE",IF(IF(IF(ISNUMBER(SEARCH("Party Name:-",'R.M Billets Reports'!D393)),TRIM('R.M Billets Reports'!F393),IF(ISNUMBER(SEARCH("Party Name-",'R.M Billets Reports'!D393)),TRIM(MID('R.M Billets Reports'!D393,SEARCH("-",'R.M Billets Reports'!D393)+1,200)),""))&lt;&gt;"",IF(ISNUMBER(SEARCH("Party Name:-",'R.M Billets Reports'!D393)),TRIM('R.M Billets Reports'!F393),IF(ISNUMBER(SEARCH("Party Name-",'R.M Billets Reports'!D393)),TRIM(MID('R.M Billets Reports'!D393,SEARCH("-",'R.M Billets Reports'!D393)+1,200)),"")),IF(ISNUMBER(SEARCH("Party Name:-",'R.M Billets Reports'!D394)),TRIM('R.M Billets Reports'!F394),IF(ISNUMBER(SEARCH("Party Name-",'R.M Billets Reports'!D394)),TRIM(MID('R.M Billets Reports'!D394,SEARCH("-",'R.M Billets Reports'!D394)+1,200)),"")))="SHREE RADHE SHAKTI SPONGE AND POWER PVT. LTD.","SHREE RADHE",IF(IF(ISNUMBER(SEARCH("Party Name:-",'R.M Billets Reports'!D393)),TRIM('R.M Billets Reports'!F393),IF(ISNUMBER(SEARCH("Party Name-",'R.M Billets Reports'!D393)),TRIM(MID('R.M Billets Reports'!D393,SEARCH("-",'R.M Billets Reports'!D393)+1,200)),""))&lt;&gt;"",IF(ISNUMBER(SEARCH("Party Name:-",'R.M Billets Reports'!D393)),TRIM('R.M Billets Reports'!F393),IF(ISNUMBER(SEARCH("Party Name-",'R.M Billets Reports'!D393)),TRIM(MID('R.M Billets Reports'!D393,SEARCH("-",'R.M Billets Reports'!D393)+1,200)),"")),IF(ISNUMBER(SEARCH("Party Name:-",'R.M Billets Reports'!D394)),TRIM('R.M Billets Reports'!F394),IF(ISNUMBER(SEARCH("Party Name-",'R.M Billets Reports'!D394)),TRIM(MID('R.M Billets Reports'!D394,SEARCH("-",'R.M Billets Reports'!D394)+1,200)),"")))))),IF(ROW()=2,"",A393))</f>
      </c>
      <c r="B394">
        <f>IF(OR('R.M Billets Reports'!A393="Date-",'R.M Billets Reports'!A393="Date:-"),'R.M Billets Reports'!B393,IF(ROW()=2,"",B393))</f>
      </c>
      <c r="C394">
        <f>IF('R.M Billets Reports'!A393="V.No.",'R.M Billets Reports'!B393,IF(ROW()=2,"",C393))</f>
      </c>
      <c r="D394">
        <f>IF('R.M Billets Reports'!A393&lt;&gt;"",'R.M Billets Reports'!A393,IF(ROW()=2,"",D393))</f>
      </c>
      <c r="E394">
        <f>IF('R.M Billets Reports'!B393="","",TRIM('R.M Billets Reports'!B393))</f>
      </c>
      <c r="F394">
        <f>'R.M Billets Reports'!C393</f>
      </c>
      <c r="G394">
        <f>'R.M Billets Reports'!D393</f>
      </c>
      <c r="H394">
        <f>'R.M Billets Reports'!E393</f>
      </c>
      <c r="I394">
        <f>'R.M Billets Reports'!F393</f>
      </c>
      <c r="J394">
        <f>'R.M Billets Reports'!G393</f>
      </c>
      <c r="K394">
        <f>'R.M Billets Reports'!H393</f>
      </c>
      <c r="L394">
        <f>IF('R.M Billets Reports'!I393="","",'R.M Billets Reports'!I393)</f>
      </c>
      <c r="M394">
        <f t="shared" si="12"/>
      </c>
      <c r="N394">
        <f>IF('R.M Billets Reports'!J393="","",'R.M Billets Reports'!J393)</f>
      </c>
      <c r="O394">
        <f t="shared" si="13"/>
      </c>
      <c r="P394">
        <f>IF('R.M Billets Reports'!A393="SIZE",'R.M Billets Reports'!B393,P393)</f>
      </c>
    </row>
    <row r="395" spans="1:16" x14ac:dyDescent="0.25">
      <c r="A395">
        <f>IF(OR('R.M Billets Reports'!A394="Date-",'R.M Billets Reports'!A394="Date:-"),IF(IF(IF(ISNUMBER(SEARCH("Party Name:-",'R.M Billets Reports'!D394)),TRIM('R.M Billets Reports'!F394),IF(ISNUMBER(SEARCH("Party Name-",'R.M Billets Reports'!D394)),TRIM(MID('R.M Billets Reports'!D394,SEARCH("-",'R.M Billets Reports'!D394)+1,200)),""))&lt;&gt;"",IF(ISNUMBER(SEARCH("Party Name:-",'R.M Billets Reports'!D394)),TRIM('R.M Billets Reports'!F394),IF(ISNUMBER(SEARCH("Party Name-",'R.M Billets Reports'!D394)),TRIM(MID('R.M Billets Reports'!D394,SEARCH("-",'R.M Billets Reports'!D394)+1,200)),"")),IF(ISNUMBER(SEARCH("Party Name:-",'R.M Billets Reports'!D395)),TRIM('R.M Billets Reports'!F395),IF(ISNUMBER(SEARCH("Party Name-",'R.M Billets Reports'!D395)),TRIM(MID('R.M Billets Reports'!D395,SEARCH("-",'R.M Billets Reports'!D395)+1,200)),"")))="VRKP ISPAT PVT LTD","VRKP",IF(IF(IF(ISNUMBER(SEARCH("Party Name:-",'R.M Billets Reports'!D394)),TRIM('R.M Billets Reports'!F394),IF(ISNUMBER(SEARCH("Party Name-",'R.M Billets Reports'!D394)),TRIM(MID('R.M Billets Reports'!D394,SEARCH("-",'R.M Billets Reports'!D394)+1,200)),""))&lt;&gt;"",IF(ISNUMBER(SEARCH("Party Name:-",'R.M Billets Reports'!D394)),TRIM('R.M Billets Reports'!F394),IF(ISNUMBER(SEARCH("Party Name-",'R.M Billets Reports'!D394)),TRIM(MID('R.M Billets Reports'!D394,SEARCH("-",'R.M Billets Reports'!D394)+1,200)),"")),IF(ISNUMBER(SEARCH("Party Name:-",'R.M Billets Reports'!D395)),TRIM('R.M Billets Reports'!F395),IF(ISNUMBER(SEARCH("Party Name-",'R.M Billets Reports'!D395)),TRIM(MID('R.M Billets Reports'!D395,SEARCH("-",'R.M Billets Reports'!D395)+1,200)),"")))="SHRI RADHE","SHREE RADHE",IF(IF(IF(ISNUMBER(SEARCH("Party Name:-",'R.M Billets Reports'!D394)),TRIM('R.M Billets Reports'!F394),IF(ISNUMBER(SEARCH("Party Name-",'R.M Billets Reports'!D394)),TRIM(MID('R.M Billets Reports'!D394,SEARCH("-",'R.M Billets Reports'!D394)+1,200)),""))&lt;&gt;"",IF(ISNUMBER(SEARCH("Party Name:-",'R.M Billets Reports'!D394)),TRIM('R.M Billets Reports'!F394),IF(ISNUMBER(SEARCH("Party Name-",'R.M Billets Reports'!D394)),TRIM(MID('R.M Billets Reports'!D394,SEARCH("-",'R.M Billets Reports'!D394)+1,200)),"")),IF(ISNUMBER(SEARCH("Party Name:-",'R.M Billets Reports'!D395)),TRIM('R.M Billets Reports'!F395),IF(ISNUMBER(SEARCH("Party Name-",'R.M Billets Reports'!D395)),TRIM(MID('R.M Billets Reports'!D395,SEARCH("-",'R.M Billets Reports'!D395)+1,200)),"")))="SHREE RADHE SHAKTI SPONGE AND POWER PVT. LTD.","SHREE RADHE",IF(IF(ISNUMBER(SEARCH("Party Name:-",'R.M Billets Reports'!D394)),TRIM('R.M Billets Reports'!F394),IF(ISNUMBER(SEARCH("Party Name-",'R.M Billets Reports'!D394)),TRIM(MID('R.M Billets Reports'!D394,SEARCH("-",'R.M Billets Reports'!D394)+1,200)),""))&lt;&gt;"",IF(ISNUMBER(SEARCH("Party Name:-",'R.M Billets Reports'!D394)),TRIM('R.M Billets Reports'!F394),IF(ISNUMBER(SEARCH("Party Name-",'R.M Billets Reports'!D394)),TRIM(MID('R.M Billets Reports'!D394,SEARCH("-",'R.M Billets Reports'!D394)+1,200)),"")),IF(ISNUMBER(SEARCH("Party Name:-",'R.M Billets Reports'!D395)),TRIM('R.M Billets Reports'!F395),IF(ISNUMBER(SEARCH("Party Name-",'R.M Billets Reports'!D395)),TRIM(MID('R.M Billets Reports'!D395,SEARCH("-",'R.M Billets Reports'!D395)+1,200)),"")))))),IF(ROW()=2,"",A394))</f>
      </c>
      <c r="B395">
        <f>IF(OR('R.M Billets Reports'!A394="Date-",'R.M Billets Reports'!A394="Date:-"),'R.M Billets Reports'!B394,IF(ROW()=2,"",B394))</f>
      </c>
      <c r="C395">
        <f>IF('R.M Billets Reports'!A394="V.No.",'R.M Billets Reports'!B394,IF(ROW()=2,"",C394))</f>
      </c>
      <c r="D395">
        <f>IF('R.M Billets Reports'!A394&lt;&gt;"",'R.M Billets Reports'!A394,IF(ROW()=2,"",D394))</f>
      </c>
      <c r="E395">
        <f>IF('R.M Billets Reports'!B394="","",TRIM('R.M Billets Reports'!B394))</f>
      </c>
      <c r="F395">
        <f>'R.M Billets Reports'!C394</f>
      </c>
      <c r="G395">
        <f>'R.M Billets Reports'!D394</f>
      </c>
      <c r="H395">
        <f>'R.M Billets Reports'!E394</f>
      </c>
      <c r="I395">
        <f>'R.M Billets Reports'!F394</f>
      </c>
      <c r="J395">
        <f>'R.M Billets Reports'!G394</f>
      </c>
      <c r="K395">
        <f>'R.M Billets Reports'!H394</f>
      </c>
      <c r="L395">
        <f>IF('R.M Billets Reports'!I394="","",'R.M Billets Reports'!I394)</f>
      </c>
      <c r="M395">
        <f t="shared" si="12"/>
      </c>
      <c r="N395">
        <f>IF('R.M Billets Reports'!J394="","",'R.M Billets Reports'!J394)</f>
      </c>
      <c r="O395">
        <f t="shared" si="13"/>
      </c>
      <c r="P395">
        <f>IF('R.M Billets Reports'!A394="SIZE",'R.M Billets Reports'!B394,P394)</f>
      </c>
    </row>
    <row r="396" spans="1:16" x14ac:dyDescent="0.25">
      <c r="A396">
        <f>IF(OR('R.M Billets Reports'!A395="Date-",'R.M Billets Reports'!A395="Date:-"),IF(IF(IF(ISNUMBER(SEARCH("Party Name:-",'R.M Billets Reports'!D395)),TRIM('R.M Billets Reports'!F395),IF(ISNUMBER(SEARCH("Party Name-",'R.M Billets Reports'!D395)),TRIM(MID('R.M Billets Reports'!D395,SEARCH("-",'R.M Billets Reports'!D395)+1,200)),""))&lt;&gt;"",IF(ISNUMBER(SEARCH("Party Name:-",'R.M Billets Reports'!D395)),TRIM('R.M Billets Reports'!F395),IF(ISNUMBER(SEARCH("Party Name-",'R.M Billets Reports'!D395)),TRIM(MID('R.M Billets Reports'!D395,SEARCH("-",'R.M Billets Reports'!D395)+1,200)),"")),IF(ISNUMBER(SEARCH("Party Name:-",'R.M Billets Reports'!D396)),TRIM('R.M Billets Reports'!F396),IF(ISNUMBER(SEARCH("Party Name-",'R.M Billets Reports'!D396)),TRIM(MID('R.M Billets Reports'!D396,SEARCH("-",'R.M Billets Reports'!D396)+1,200)),"")))="VRKP ISPAT PVT LTD","VRKP",IF(IF(IF(ISNUMBER(SEARCH("Party Name:-",'R.M Billets Reports'!D395)),TRIM('R.M Billets Reports'!F395),IF(ISNUMBER(SEARCH("Party Name-",'R.M Billets Reports'!D395)),TRIM(MID('R.M Billets Reports'!D395,SEARCH("-",'R.M Billets Reports'!D395)+1,200)),""))&lt;&gt;"",IF(ISNUMBER(SEARCH("Party Name:-",'R.M Billets Reports'!D395)),TRIM('R.M Billets Reports'!F395),IF(ISNUMBER(SEARCH("Party Name-",'R.M Billets Reports'!D395)),TRIM(MID('R.M Billets Reports'!D395,SEARCH("-",'R.M Billets Reports'!D395)+1,200)),"")),IF(ISNUMBER(SEARCH("Party Name:-",'R.M Billets Reports'!D396)),TRIM('R.M Billets Reports'!F396),IF(ISNUMBER(SEARCH("Party Name-",'R.M Billets Reports'!D396)),TRIM(MID('R.M Billets Reports'!D396,SEARCH("-",'R.M Billets Reports'!D396)+1,200)),"")))="SHRI RADHE","SHREE RADHE",IF(IF(IF(ISNUMBER(SEARCH("Party Name:-",'R.M Billets Reports'!D395)),TRIM('R.M Billets Reports'!F395),IF(ISNUMBER(SEARCH("Party Name-",'R.M Billets Reports'!D395)),TRIM(MID('R.M Billets Reports'!D395,SEARCH("-",'R.M Billets Reports'!D395)+1,200)),""))&lt;&gt;"",IF(ISNUMBER(SEARCH("Party Name:-",'R.M Billets Reports'!D395)),TRIM('R.M Billets Reports'!F395),IF(ISNUMBER(SEARCH("Party Name-",'R.M Billets Reports'!D395)),TRIM(MID('R.M Billets Reports'!D395,SEARCH("-",'R.M Billets Reports'!D395)+1,200)),"")),IF(ISNUMBER(SEARCH("Party Name:-",'R.M Billets Reports'!D396)),TRIM('R.M Billets Reports'!F396),IF(ISNUMBER(SEARCH("Party Name-",'R.M Billets Reports'!D396)),TRIM(MID('R.M Billets Reports'!D396,SEARCH("-",'R.M Billets Reports'!D396)+1,200)),"")))="SHREE RADHE SHAKTI SPONGE AND POWER PVT. LTD.","SHREE RADHE",IF(IF(ISNUMBER(SEARCH("Party Name:-",'R.M Billets Reports'!D395)),TRIM('R.M Billets Reports'!F395),IF(ISNUMBER(SEARCH("Party Name-",'R.M Billets Reports'!D395)),TRIM(MID('R.M Billets Reports'!D395,SEARCH("-",'R.M Billets Reports'!D395)+1,200)),""))&lt;&gt;"",IF(ISNUMBER(SEARCH("Party Name:-",'R.M Billets Reports'!D395)),TRIM('R.M Billets Reports'!F395),IF(ISNUMBER(SEARCH("Party Name-",'R.M Billets Reports'!D395)),TRIM(MID('R.M Billets Reports'!D395,SEARCH("-",'R.M Billets Reports'!D395)+1,200)),"")),IF(ISNUMBER(SEARCH("Party Name:-",'R.M Billets Reports'!D396)),TRIM('R.M Billets Reports'!F396),IF(ISNUMBER(SEARCH("Party Name-",'R.M Billets Reports'!D396)),TRIM(MID('R.M Billets Reports'!D396,SEARCH("-",'R.M Billets Reports'!D396)+1,200)),"")))))),IF(ROW()=2,"",A395))</f>
      </c>
      <c r="B396">
        <f>IF(OR('R.M Billets Reports'!A395="Date-",'R.M Billets Reports'!A395="Date:-"),'R.M Billets Reports'!B395,IF(ROW()=2,"",B395))</f>
      </c>
      <c r="C396">
        <f>IF('R.M Billets Reports'!A395="V.No.",'R.M Billets Reports'!B395,IF(ROW()=2,"",C395))</f>
      </c>
      <c r="D396">
        <f>IF('R.M Billets Reports'!A395&lt;&gt;"",'R.M Billets Reports'!A395,IF(ROW()=2,"",D395))</f>
      </c>
      <c r="E396">
        <f>IF('R.M Billets Reports'!B395="","",TRIM('R.M Billets Reports'!B395))</f>
      </c>
      <c r="F396">
        <f>'R.M Billets Reports'!C395</f>
      </c>
      <c r="G396">
        <f>'R.M Billets Reports'!D395</f>
      </c>
      <c r="H396">
        <f>'R.M Billets Reports'!E395</f>
      </c>
      <c r="I396">
        <f>'R.M Billets Reports'!F395</f>
      </c>
      <c r="J396">
        <f>'R.M Billets Reports'!G395</f>
      </c>
      <c r="K396">
        <f>'R.M Billets Reports'!H395</f>
      </c>
      <c r="L396">
        <f>IF('R.M Billets Reports'!I395="","",'R.M Billets Reports'!I395)</f>
      </c>
      <c r="M396">
        <f t="shared" si="12"/>
      </c>
      <c r="N396">
        <f>IF('R.M Billets Reports'!J395="","",'R.M Billets Reports'!J395)</f>
      </c>
      <c r="O396">
        <f t="shared" si="13"/>
      </c>
      <c r="P396">
        <f>IF('R.M Billets Reports'!A395="SIZE",'R.M Billets Reports'!B395,P395)</f>
      </c>
    </row>
    <row r="397" spans="1:16" x14ac:dyDescent="0.25">
      <c r="A397">
        <f>IF(OR('R.M Billets Reports'!A396="Date-",'R.M Billets Reports'!A396="Date:-"),IF(IF(IF(ISNUMBER(SEARCH("Party Name:-",'R.M Billets Reports'!D396)),TRIM('R.M Billets Reports'!F396),IF(ISNUMBER(SEARCH("Party Name-",'R.M Billets Reports'!D396)),TRIM(MID('R.M Billets Reports'!D396,SEARCH("-",'R.M Billets Reports'!D396)+1,200)),""))&lt;&gt;"",IF(ISNUMBER(SEARCH("Party Name:-",'R.M Billets Reports'!D396)),TRIM('R.M Billets Reports'!F396),IF(ISNUMBER(SEARCH("Party Name-",'R.M Billets Reports'!D396)),TRIM(MID('R.M Billets Reports'!D396,SEARCH("-",'R.M Billets Reports'!D396)+1,200)),"")),IF(ISNUMBER(SEARCH("Party Name:-",'R.M Billets Reports'!D397)),TRIM('R.M Billets Reports'!F397),IF(ISNUMBER(SEARCH("Party Name-",'R.M Billets Reports'!D397)),TRIM(MID('R.M Billets Reports'!D397,SEARCH("-",'R.M Billets Reports'!D397)+1,200)),"")))="VRKP ISPAT PVT LTD","VRKP",IF(IF(IF(ISNUMBER(SEARCH("Party Name:-",'R.M Billets Reports'!D396)),TRIM('R.M Billets Reports'!F396),IF(ISNUMBER(SEARCH("Party Name-",'R.M Billets Reports'!D396)),TRIM(MID('R.M Billets Reports'!D396,SEARCH("-",'R.M Billets Reports'!D396)+1,200)),""))&lt;&gt;"",IF(ISNUMBER(SEARCH("Party Name:-",'R.M Billets Reports'!D396)),TRIM('R.M Billets Reports'!F396),IF(ISNUMBER(SEARCH("Party Name-",'R.M Billets Reports'!D396)),TRIM(MID('R.M Billets Reports'!D396,SEARCH("-",'R.M Billets Reports'!D396)+1,200)),"")),IF(ISNUMBER(SEARCH("Party Name:-",'R.M Billets Reports'!D397)),TRIM('R.M Billets Reports'!F397),IF(ISNUMBER(SEARCH("Party Name-",'R.M Billets Reports'!D397)),TRIM(MID('R.M Billets Reports'!D397,SEARCH("-",'R.M Billets Reports'!D397)+1,200)),"")))="SHRI RADHE","SHREE RADHE",IF(IF(IF(ISNUMBER(SEARCH("Party Name:-",'R.M Billets Reports'!D396)),TRIM('R.M Billets Reports'!F396),IF(ISNUMBER(SEARCH("Party Name-",'R.M Billets Reports'!D396)),TRIM(MID('R.M Billets Reports'!D396,SEARCH("-",'R.M Billets Reports'!D396)+1,200)),""))&lt;&gt;"",IF(ISNUMBER(SEARCH("Party Name:-",'R.M Billets Reports'!D396)),TRIM('R.M Billets Reports'!F396),IF(ISNUMBER(SEARCH("Party Name-",'R.M Billets Reports'!D396)),TRIM(MID('R.M Billets Reports'!D396,SEARCH("-",'R.M Billets Reports'!D396)+1,200)),"")),IF(ISNUMBER(SEARCH("Party Name:-",'R.M Billets Reports'!D397)),TRIM('R.M Billets Reports'!F397),IF(ISNUMBER(SEARCH("Party Name-",'R.M Billets Reports'!D397)),TRIM(MID('R.M Billets Reports'!D397,SEARCH("-",'R.M Billets Reports'!D397)+1,200)),"")))="SHREE RADHE SHAKTI SPONGE AND POWER PVT. LTD.","SHREE RADHE",IF(IF(ISNUMBER(SEARCH("Party Name:-",'R.M Billets Reports'!D396)),TRIM('R.M Billets Reports'!F396),IF(ISNUMBER(SEARCH("Party Name-",'R.M Billets Reports'!D396)),TRIM(MID('R.M Billets Reports'!D396,SEARCH("-",'R.M Billets Reports'!D396)+1,200)),""))&lt;&gt;"",IF(ISNUMBER(SEARCH("Party Name:-",'R.M Billets Reports'!D396)),TRIM('R.M Billets Reports'!F396),IF(ISNUMBER(SEARCH("Party Name-",'R.M Billets Reports'!D396)),TRIM(MID('R.M Billets Reports'!D396,SEARCH("-",'R.M Billets Reports'!D396)+1,200)),"")),IF(ISNUMBER(SEARCH("Party Name:-",'R.M Billets Reports'!D397)),TRIM('R.M Billets Reports'!F397),IF(ISNUMBER(SEARCH("Party Name-",'R.M Billets Reports'!D397)),TRIM(MID('R.M Billets Reports'!D397,SEARCH("-",'R.M Billets Reports'!D397)+1,200)),"")))))),IF(ROW()=2,"",A396))</f>
      </c>
      <c r="B397">
        <f>IF(OR('R.M Billets Reports'!A396="Date-",'R.M Billets Reports'!A396="Date:-"),'R.M Billets Reports'!B396,IF(ROW()=2,"",B396))</f>
      </c>
      <c r="C397">
        <f>IF('R.M Billets Reports'!A396="V.No.",'R.M Billets Reports'!B396,IF(ROW()=2,"",C396))</f>
      </c>
      <c r="D397">
        <f>IF('R.M Billets Reports'!A396&lt;&gt;"",'R.M Billets Reports'!A396,IF(ROW()=2,"",D396))</f>
      </c>
      <c r="E397">
        <f>IF('R.M Billets Reports'!B396="","",TRIM('R.M Billets Reports'!B396))</f>
      </c>
      <c r="F397">
        <f>'R.M Billets Reports'!C396</f>
      </c>
      <c r="G397">
        <f>'R.M Billets Reports'!D396</f>
      </c>
      <c r="H397">
        <f>'R.M Billets Reports'!E396</f>
      </c>
      <c r="I397">
        <f>'R.M Billets Reports'!F396</f>
      </c>
      <c r="J397">
        <f>'R.M Billets Reports'!G396</f>
      </c>
      <c r="K397">
        <f>'R.M Billets Reports'!H396</f>
      </c>
      <c r="L397">
        <f>IF('R.M Billets Reports'!I396="","",'R.M Billets Reports'!I396)</f>
      </c>
      <c r="M397">
        <f t="shared" si="12"/>
      </c>
      <c r="N397">
        <f>IF('R.M Billets Reports'!J396="","",'R.M Billets Reports'!J396)</f>
      </c>
      <c r="O397">
        <f t="shared" si="13"/>
      </c>
      <c r="P397">
        <f>IF('R.M Billets Reports'!A396="SIZE",'R.M Billets Reports'!B396,P396)</f>
      </c>
    </row>
    <row r="398" spans="1:16" x14ac:dyDescent="0.25">
      <c r="A398">
        <f>IF(OR('R.M Billets Reports'!A397="Date-",'R.M Billets Reports'!A397="Date:-"),IF(IF(IF(ISNUMBER(SEARCH("Party Name:-",'R.M Billets Reports'!D397)),TRIM('R.M Billets Reports'!F397),IF(ISNUMBER(SEARCH("Party Name-",'R.M Billets Reports'!D397)),TRIM(MID('R.M Billets Reports'!D397,SEARCH("-",'R.M Billets Reports'!D397)+1,200)),""))&lt;&gt;"",IF(ISNUMBER(SEARCH("Party Name:-",'R.M Billets Reports'!D397)),TRIM('R.M Billets Reports'!F397),IF(ISNUMBER(SEARCH("Party Name-",'R.M Billets Reports'!D397)),TRIM(MID('R.M Billets Reports'!D397,SEARCH("-",'R.M Billets Reports'!D397)+1,200)),"")),IF(ISNUMBER(SEARCH("Party Name:-",'R.M Billets Reports'!D398)),TRIM('R.M Billets Reports'!F398),IF(ISNUMBER(SEARCH("Party Name-",'R.M Billets Reports'!D398)),TRIM(MID('R.M Billets Reports'!D398,SEARCH("-",'R.M Billets Reports'!D398)+1,200)),"")))="VRKP ISPAT PVT LTD","VRKP",IF(IF(IF(ISNUMBER(SEARCH("Party Name:-",'R.M Billets Reports'!D397)),TRIM('R.M Billets Reports'!F397),IF(ISNUMBER(SEARCH("Party Name-",'R.M Billets Reports'!D397)),TRIM(MID('R.M Billets Reports'!D397,SEARCH("-",'R.M Billets Reports'!D397)+1,200)),""))&lt;&gt;"",IF(ISNUMBER(SEARCH("Party Name:-",'R.M Billets Reports'!D397)),TRIM('R.M Billets Reports'!F397),IF(ISNUMBER(SEARCH("Party Name-",'R.M Billets Reports'!D397)),TRIM(MID('R.M Billets Reports'!D397,SEARCH("-",'R.M Billets Reports'!D397)+1,200)),"")),IF(ISNUMBER(SEARCH("Party Name:-",'R.M Billets Reports'!D398)),TRIM('R.M Billets Reports'!F398),IF(ISNUMBER(SEARCH("Party Name-",'R.M Billets Reports'!D398)),TRIM(MID('R.M Billets Reports'!D398,SEARCH("-",'R.M Billets Reports'!D398)+1,200)),"")))="SHRI RADHE","SHREE RADHE",IF(IF(IF(ISNUMBER(SEARCH("Party Name:-",'R.M Billets Reports'!D397)),TRIM('R.M Billets Reports'!F397),IF(ISNUMBER(SEARCH("Party Name-",'R.M Billets Reports'!D397)),TRIM(MID('R.M Billets Reports'!D397,SEARCH("-",'R.M Billets Reports'!D397)+1,200)),""))&lt;&gt;"",IF(ISNUMBER(SEARCH("Party Name:-",'R.M Billets Reports'!D397)),TRIM('R.M Billets Reports'!F397),IF(ISNUMBER(SEARCH("Party Name-",'R.M Billets Reports'!D397)),TRIM(MID('R.M Billets Reports'!D397,SEARCH("-",'R.M Billets Reports'!D397)+1,200)),"")),IF(ISNUMBER(SEARCH("Party Name:-",'R.M Billets Reports'!D398)),TRIM('R.M Billets Reports'!F398),IF(ISNUMBER(SEARCH("Party Name-",'R.M Billets Reports'!D398)),TRIM(MID('R.M Billets Reports'!D398,SEARCH("-",'R.M Billets Reports'!D398)+1,200)),"")))="SHREE RADHE SHAKTI SPONGE AND POWER PVT. LTD.","SHREE RADHE",IF(IF(ISNUMBER(SEARCH("Party Name:-",'R.M Billets Reports'!D397)),TRIM('R.M Billets Reports'!F397),IF(ISNUMBER(SEARCH("Party Name-",'R.M Billets Reports'!D397)),TRIM(MID('R.M Billets Reports'!D397,SEARCH("-",'R.M Billets Reports'!D397)+1,200)),""))&lt;&gt;"",IF(ISNUMBER(SEARCH("Party Name:-",'R.M Billets Reports'!D397)),TRIM('R.M Billets Reports'!F397),IF(ISNUMBER(SEARCH("Party Name-",'R.M Billets Reports'!D397)),TRIM(MID('R.M Billets Reports'!D397,SEARCH("-",'R.M Billets Reports'!D397)+1,200)),"")),IF(ISNUMBER(SEARCH("Party Name:-",'R.M Billets Reports'!D398)),TRIM('R.M Billets Reports'!F398),IF(ISNUMBER(SEARCH("Party Name-",'R.M Billets Reports'!D398)),TRIM(MID('R.M Billets Reports'!D398,SEARCH("-",'R.M Billets Reports'!D398)+1,200)),"")))))),IF(ROW()=2,"",A397))</f>
      </c>
      <c r="B398">
        <f>IF(OR('R.M Billets Reports'!A397="Date-",'R.M Billets Reports'!A397="Date:-"),'R.M Billets Reports'!B397,IF(ROW()=2,"",B397))</f>
      </c>
      <c r="C398">
        <f>IF('R.M Billets Reports'!A397="V.No.",'R.M Billets Reports'!B397,IF(ROW()=2,"",C397))</f>
      </c>
      <c r="D398">
        <f>IF('R.M Billets Reports'!A397&lt;&gt;"",'R.M Billets Reports'!A397,IF(ROW()=2,"",D397))</f>
      </c>
      <c r="E398">
        <f>IF('R.M Billets Reports'!B397="","",TRIM('R.M Billets Reports'!B397))</f>
      </c>
      <c r="F398">
        <f>'R.M Billets Reports'!C397</f>
      </c>
      <c r="G398">
        <f>'R.M Billets Reports'!D397</f>
      </c>
      <c r="H398">
        <f>'R.M Billets Reports'!E397</f>
      </c>
      <c r="I398">
        <f>'R.M Billets Reports'!F397</f>
      </c>
      <c r="J398">
        <f>'R.M Billets Reports'!G397</f>
      </c>
      <c r="K398">
        <f>'R.M Billets Reports'!H397</f>
      </c>
      <c r="L398">
        <f>IF('R.M Billets Reports'!I397="","",'R.M Billets Reports'!I397)</f>
      </c>
      <c r="M398">
        <f t="shared" si="12"/>
      </c>
      <c r="N398">
        <f>IF('R.M Billets Reports'!J397="","",'R.M Billets Reports'!J397)</f>
      </c>
      <c r="O398">
        <f t="shared" si="13"/>
      </c>
      <c r="P398">
        <f>IF('R.M Billets Reports'!A397="SIZE",'R.M Billets Reports'!B397,P397)</f>
      </c>
    </row>
    <row r="399" spans="1:16" x14ac:dyDescent="0.25">
      <c r="A399">
        <f>IF(OR('R.M Billets Reports'!A398="Date-",'R.M Billets Reports'!A398="Date:-"),IF(IF(IF(ISNUMBER(SEARCH("Party Name:-",'R.M Billets Reports'!D398)),TRIM('R.M Billets Reports'!F398),IF(ISNUMBER(SEARCH("Party Name-",'R.M Billets Reports'!D398)),TRIM(MID('R.M Billets Reports'!D398,SEARCH("-",'R.M Billets Reports'!D398)+1,200)),""))&lt;&gt;"",IF(ISNUMBER(SEARCH("Party Name:-",'R.M Billets Reports'!D398)),TRIM('R.M Billets Reports'!F398),IF(ISNUMBER(SEARCH("Party Name-",'R.M Billets Reports'!D398)),TRIM(MID('R.M Billets Reports'!D398,SEARCH("-",'R.M Billets Reports'!D398)+1,200)),"")),IF(ISNUMBER(SEARCH("Party Name:-",'R.M Billets Reports'!D399)),TRIM('R.M Billets Reports'!F399),IF(ISNUMBER(SEARCH("Party Name-",'R.M Billets Reports'!D399)),TRIM(MID('R.M Billets Reports'!D399,SEARCH("-",'R.M Billets Reports'!D399)+1,200)),"")))="VRKP ISPAT PVT LTD","VRKP",IF(IF(IF(ISNUMBER(SEARCH("Party Name:-",'R.M Billets Reports'!D398)),TRIM('R.M Billets Reports'!F398),IF(ISNUMBER(SEARCH("Party Name-",'R.M Billets Reports'!D398)),TRIM(MID('R.M Billets Reports'!D398,SEARCH("-",'R.M Billets Reports'!D398)+1,200)),""))&lt;&gt;"",IF(ISNUMBER(SEARCH("Party Name:-",'R.M Billets Reports'!D398)),TRIM('R.M Billets Reports'!F398),IF(ISNUMBER(SEARCH("Party Name-",'R.M Billets Reports'!D398)),TRIM(MID('R.M Billets Reports'!D398,SEARCH("-",'R.M Billets Reports'!D398)+1,200)),"")),IF(ISNUMBER(SEARCH("Party Name:-",'R.M Billets Reports'!D399)),TRIM('R.M Billets Reports'!F399),IF(ISNUMBER(SEARCH("Party Name-",'R.M Billets Reports'!D399)),TRIM(MID('R.M Billets Reports'!D399,SEARCH("-",'R.M Billets Reports'!D399)+1,200)),"")))="SHRI RADHE","SHREE RADHE",IF(IF(IF(ISNUMBER(SEARCH("Party Name:-",'R.M Billets Reports'!D398)),TRIM('R.M Billets Reports'!F398),IF(ISNUMBER(SEARCH("Party Name-",'R.M Billets Reports'!D398)),TRIM(MID('R.M Billets Reports'!D398,SEARCH("-",'R.M Billets Reports'!D398)+1,200)),""))&lt;&gt;"",IF(ISNUMBER(SEARCH("Party Name:-",'R.M Billets Reports'!D398)),TRIM('R.M Billets Reports'!F398),IF(ISNUMBER(SEARCH("Party Name-",'R.M Billets Reports'!D398)),TRIM(MID('R.M Billets Reports'!D398,SEARCH("-",'R.M Billets Reports'!D398)+1,200)),"")),IF(ISNUMBER(SEARCH("Party Name:-",'R.M Billets Reports'!D399)),TRIM('R.M Billets Reports'!F399),IF(ISNUMBER(SEARCH("Party Name-",'R.M Billets Reports'!D399)),TRIM(MID('R.M Billets Reports'!D399,SEARCH("-",'R.M Billets Reports'!D399)+1,200)),"")))="SHREE RADHE SHAKTI SPONGE AND POWER PVT. LTD.","SHREE RADHE",IF(IF(ISNUMBER(SEARCH("Party Name:-",'R.M Billets Reports'!D398)),TRIM('R.M Billets Reports'!F398),IF(ISNUMBER(SEARCH("Party Name-",'R.M Billets Reports'!D398)),TRIM(MID('R.M Billets Reports'!D398,SEARCH("-",'R.M Billets Reports'!D398)+1,200)),""))&lt;&gt;"",IF(ISNUMBER(SEARCH("Party Name:-",'R.M Billets Reports'!D398)),TRIM('R.M Billets Reports'!F398),IF(ISNUMBER(SEARCH("Party Name-",'R.M Billets Reports'!D398)),TRIM(MID('R.M Billets Reports'!D398,SEARCH("-",'R.M Billets Reports'!D398)+1,200)),"")),IF(ISNUMBER(SEARCH("Party Name:-",'R.M Billets Reports'!D399)),TRIM('R.M Billets Reports'!F399),IF(ISNUMBER(SEARCH("Party Name-",'R.M Billets Reports'!D399)),TRIM(MID('R.M Billets Reports'!D399,SEARCH("-",'R.M Billets Reports'!D399)+1,200)),"")))))),IF(ROW()=2,"",A398))</f>
      </c>
      <c r="B399">
        <f>IF(OR('R.M Billets Reports'!A398="Date-",'R.M Billets Reports'!A398="Date:-"),'R.M Billets Reports'!B398,IF(ROW()=2,"",B398))</f>
      </c>
      <c r="C399">
        <f>IF('R.M Billets Reports'!A398="V.No.",'R.M Billets Reports'!B398,IF(ROW()=2,"",C398))</f>
      </c>
      <c r="D399">
        <f>IF('R.M Billets Reports'!A398&lt;&gt;"",'R.M Billets Reports'!A398,IF(ROW()=2,"",D398))</f>
      </c>
      <c r="E399">
        <f>IF('R.M Billets Reports'!B398="","",TRIM('R.M Billets Reports'!B398))</f>
      </c>
      <c r="F399">
        <f>'R.M Billets Reports'!C398</f>
      </c>
      <c r="G399">
        <f>'R.M Billets Reports'!D398</f>
      </c>
      <c r="H399">
        <f>'R.M Billets Reports'!E398</f>
      </c>
      <c r="I399">
        <f>'R.M Billets Reports'!F398</f>
      </c>
      <c r="J399">
        <f>'R.M Billets Reports'!G398</f>
      </c>
      <c r="K399">
        <f>'R.M Billets Reports'!H398</f>
      </c>
      <c r="L399">
        <f>IF('R.M Billets Reports'!I398="","",'R.M Billets Reports'!I398)</f>
      </c>
      <c r="M399">
        <f t="shared" si="12"/>
      </c>
      <c r="N399">
        <f>IF('R.M Billets Reports'!J398="","",'R.M Billets Reports'!J398)</f>
      </c>
      <c r="O399">
        <f t="shared" si="13"/>
      </c>
      <c r="P399">
        <f>IF('R.M Billets Reports'!A398="SIZE",'R.M Billets Reports'!B398,P398)</f>
      </c>
    </row>
    <row r="400" spans="1:16" x14ac:dyDescent="0.25">
      <c r="A400">
        <f>IF(OR('R.M Billets Reports'!A399="Date-",'R.M Billets Reports'!A399="Date:-"),IF(IF(IF(ISNUMBER(SEARCH("Party Name:-",'R.M Billets Reports'!D399)),TRIM('R.M Billets Reports'!F399),IF(ISNUMBER(SEARCH("Party Name-",'R.M Billets Reports'!D399)),TRIM(MID('R.M Billets Reports'!D399,SEARCH("-",'R.M Billets Reports'!D399)+1,200)),""))&lt;&gt;"",IF(ISNUMBER(SEARCH("Party Name:-",'R.M Billets Reports'!D399)),TRIM('R.M Billets Reports'!F399),IF(ISNUMBER(SEARCH("Party Name-",'R.M Billets Reports'!D399)),TRIM(MID('R.M Billets Reports'!D399,SEARCH("-",'R.M Billets Reports'!D399)+1,200)),"")),IF(ISNUMBER(SEARCH("Party Name:-",'R.M Billets Reports'!D400)),TRIM('R.M Billets Reports'!F400),IF(ISNUMBER(SEARCH("Party Name-",'R.M Billets Reports'!D400)),TRIM(MID('R.M Billets Reports'!D400,SEARCH("-",'R.M Billets Reports'!D400)+1,200)),"")))="VRKP ISPAT PVT LTD","VRKP",IF(IF(IF(ISNUMBER(SEARCH("Party Name:-",'R.M Billets Reports'!D399)),TRIM('R.M Billets Reports'!F399),IF(ISNUMBER(SEARCH("Party Name-",'R.M Billets Reports'!D399)),TRIM(MID('R.M Billets Reports'!D399,SEARCH("-",'R.M Billets Reports'!D399)+1,200)),""))&lt;&gt;"",IF(ISNUMBER(SEARCH("Party Name:-",'R.M Billets Reports'!D399)),TRIM('R.M Billets Reports'!F399),IF(ISNUMBER(SEARCH("Party Name-",'R.M Billets Reports'!D399)),TRIM(MID('R.M Billets Reports'!D399,SEARCH("-",'R.M Billets Reports'!D399)+1,200)),"")),IF(ISNUMBER(SEARCH("Party Name:-",'R.M Billets Reports'!D400)),TRIM('R.M Billets Reports'!F400),IF(ISNUMBER(SEARCH("Party Name-",'R.M Billets Reports'!D400)),TRIM(MID('R.M Billets Reports'!D400,SEARCH("-",'R.M Billets Reports'!D400)+1,200)),"")))="SHRI RADHE","SHREE RADHE",IF(IF(IF(ISNUMBER(SEARCH("Party Name:-",'R.M Billets Reports'!D399)),TRIM('R.M Billets Reports'!F399),IF(ISNUMBER(SEARCH("Party Name-",'R.M Billets Reports'!D399)),TRIM(MID('R.M Billets Reports'!D399,SEARCH("-",'R.M Billets Reports'!D399)+1,200)),""))&lt;&gt;"",IF(ISNUMBER(SEARCH("Party Name:-",'R.M Billets Reports'!D399)),TRIM('R.M Billets Reports'!F399),IF(ISNUMBER(SEARCH("Party Name-",'R.M Billets Reports'!D399)),TRIM(MID('R.M Billets Reports'!D399,SEARCH("-",'R.M Billets Reports'!D399)+1,200)),"")),IF(ISNUMBER(SEARCH("Party Name:-",'R.M Billets Reports'!D400)),TRIM('R.M Billets Reports'!F400),IF(ISNUMBER(SEARCH("Party Name-",'R.M Billets Reports'!D400)),TRIM(MID('R.M Billets Reports'!D400,SEARCH("-",'R.M Billets Reports'!D400)+1,200)),"")))="SHREE RADHE SHAKTI SPONGE AND POWER PVT. LTD.","SHREE RADHE",IF(IF(ISNUMBER(SEARCH("Party Name:-",'R.M Billets Reports'!D399)),TRIM('R.M Billets Reports'!F399),IF(ISNUMBER(SEARCH("Party Name-",'R.M Billets Reports'!D399)),TRIM(MID('R.M Billets Reports'!D399,SEARCH("-",'R.M Billets Reports'!D399)+1,200)),""))&lt;&gt;"",IF(ISNUMBER(SEARCH("Party Name:-",'R.M Billets Reports'!D399)),TRIM('R.M Billets Reports'!F399),IF(ISNUMBER(SEARCH("Party Name-",'R.M Billets Reports'!D399)),TRIM(MID('R.M Billets Reports'!D399,SEARCH("-",'R.M Billets Reports'!D399)+1,200)),"")),IF(ISNUMBER(SEARCH("Party Name:-",'R.M Billets Reports'!D400)),TRIM('R.M Billets Reports'!F400),IF(ISNUMBER(SEARCH("Party Name-",'R.M Billets Reports'!D400)),TRIM(MID('R.M Billets Reports'!D400,SEARCH("-",'R.M Billets Reports'!D400)+1,200)),"")))))),IF(ROW()=2,"",A399))</f>
      </c>
      <c r="B400">
        <f>IF(OR('R.M Billets Reports'!A399="Date-",'R.M Billets Reports'!A399="Date:-"),'R.M Billets Reports'!B399,IF(ROW()=2,"",B399))</f>
      </c>
      <c r="C400">
        <f>IF('R.M Billets Reports'!A399="V.No.",'R.M Billets Reports'!B399,IF(ROW()=2,"",C399))</f>
      </c>
      <c r="D400">
        <f>IF('R.M Billets Reports'!A399&lt;&gt;"",'R.M Billets Reports'!A399,IF(ROW()=2,"",D399))</f>
      </c>
      <c r="E400">
        <f>IF('R.M Billets Reports'!B399="","",TRIM('R.M Billets Reports'!B399))</f>
      </c>
      <c r="F400">
        <f>'R.M Billets Reports'!C399</f>
      </c>
      <c r="G400">
        <f>'R.M Billets Reports'!D399</f>
      </c>
      <c r="H400">
        <f>'R.M Billets Reports'!E399</f>
      </c>
      <c r="I400">
        <f>'R.M Billets Reports'!F399</f>
      </c>
      <c r="J400">
        <f>'R.M Billets Reports'!G399</f>
      </c>
      <c r="K400">
        <f>'R.M Billets Reports'!H399</f>
      </c>
      <c r="L400">
        <f>IF('R.M Billets Reports'!I399="","",'R.M Billets Reports'!I399)</f>
      </c>
      <c r="M400">
        <f t="shared" si="12"/>
      </c>
      <c r="N400">
        <f>IF('R.M Billets Reports'!J399="","",'R.M Billets Reports'!J399)</f>
      </c>
      <c r="O400">
        <f t="shared" si="13"/>
      </c>
      <c r="P400">
        <f>IF('R.M Billets Reports'!A399="SIZE",'R.M Billets Reports'!B399,P399)</f>
      </c>
    </row>
    <row r="401" spans="1:16" x14ac:dyDescent="0.25">
      <c r="A401">
        <f>IF(OR('R.M Billets Reports'!A400="Date-",'R.M Billets Reports'!A400="Date:-"),IF(IF(IF(ISNUMBER(SEARCH("Party Name:-",'R.M Billets Reports'!D400)),TRIM('R.M Billets Reports'!F400),IF(ISNUMBER(SEARCH("Party Name-",'R.M Billets Reports'!D400)),TRIM(MID('R.M Billets Reports'!D400,SEARCH("-",'R.M Billets Reports'!D400)+1,200)),""))&lt;&gt;"",IF(ISNUMBER(SEARCH("Party Name:-",'R.M Billets Reports'!D400)),TRIM('R.M Billets Reports'!F400),IF(ISNUMBER(SEARCH("Party Name-",'R.M Billets Reports'!D400)),TRIM(MID('R.M Billets Reports'!D400,SEARCH("-",'R.M Billets Reports'!D400)+1,200)),"")),IF(ISNUMBER(SEARCH("Party Name:-",'R.M Billets Reports'!D401)),TRIM('R.M Billets Reports'!F401),IF(ISNUMBER(SEARCH("Party Name-",'R.M Billets Reports'!D401)),TRIM(MID('R.M Billets Reports'!D401,SEARCH("-",'R.M Billets Reports'!D401)+1,200)),"")))="VRKP ISPAT PVT LTD","VRKP",IF(IF(IF(ISNUMBER(SEARCH("Party Name:-",'R.M Billets Reports'!D400)),TRIM('R.M Billets Reports'!F400),IF(ISNUMBER(SEARCH("Party Name-",'R.M Billets Reports'!D400)),TRIM(MID('R.M Billets Reports'!D400,SEARCH("-",'R.M Billets Reports'!D400)+1,200)),""))&lt;&gt;"",IF(ISNUMBER(SEARCH("Party Name:-",'R.M Billets Reports'!D400)),TRIM('R.M Billets Reports'!F400),IF(ISNUMBER(SEARCH("Party Name-",'R.M Billets Reports'!D400)),TRIM(MID('R.M Billets Reports'!D400,SEARCH("-",'R.M Billets Reports'!D400)+1,200)),"")),IF(ISNUMBER(SEARCH("Party Name:-",'R.M Billets Reports'!D401)),TRIM('R.M Billets Reports'!F401),IF(ISNUMBER(SEARCH("Party Name-",'R.M Billets Reports'!D401)),TRIM(MID('R.M Billets Reports'!D401,SEARCH("-",'R.M Billets Reports'!D401)+1,200)),"")))="SHRI RADHE","SHREE RADHE",IF(IF(IF(ISNUMBER(SEARCH("Party Name:-",'R.M Billets Reports'!D400)),TRIM('R.M Billets Reports'!F400),IF(ISNUMBER(SEARCH("Party Name-",'R.M Billets Reports'!D400)),TRIM(MID('R.M Billets Reports'!D400,SEARCH("-",'R.M Billets Reports'!D400)+1,200)),""))&lt;&gt;"",IF(ISNUMBER(SEARCH("Party Name:-",'R.M Billets Reports'!D400)),TRIM('R.M Billets Reports'!F400),IF(ISNUMBER(SEARCH("Party Name-",'R.M Billets Reports'!D400)),TRIM(MID('R.M Billets Reports'!D400,SEARCH("-",'R.M Billets Reports'!D400)+1,200)),"")),IF(ISNUMBER(SEARCH("Party Name:-",'R.M Billets Reports'!D401)),TRIM('R.M Billets Reports'!F401),IF(ISNUMBER(SEARCH("Party Name-",'R.M Billets Reports'!D401)),TRIM(MID('R.M Billets Reports'!D401,SEARCH("-",'R.M Billets Reports'!D401)+1,200)),"")))="SHREE RADHE SHAKTI SPONGE AND POWER PVT. LTD.","SHREE RADHE",IF(IF(ISNUMBER(SEARCH("Party Name:-",'R.M Billets Reports'!D400)),TRIM('R.M Billets Reports'!F400),IF(ISNUMBER(SEARCH("Party Name-",'R.M Billets Reports'!D400)),TRIM(MID('R.M Billets Reports'!D400,SEARCH("-",'R.M Billets Reports'!D400)+1,200)),""))&lt;&gt;"",IF(ISNUMBER(SEARCH("Party Name:-",'R.M Billets Reports'!D400)),TRIM('R.M Billets Reports'!F400),IF(ISNUMBER(SEARCH("Party Name-",'R.M Billets Reports'!D400)),TRIM(MID('R.M Billets Reports'!D400,SEARCH("-",'R.M Billets Reports'!D400)+1,200)),"")),IF(ISNUMBER(SEARCH("Party Name:-",'R.M Billets Reports'!D401)),TRIM('R.M Billets Reports'!F401),IF(ISNUMBER(SEARCH("Party Name-",'R.M Billets Reports'!D401)),TRIM(MID('R.M Billets Reports'!D401,SEARCH("-",'R.M Billets Reports'!D401)+1,200)),"")))))),IF(ROW()=2,"",A400))</f>
      </c>
      <c r="B401">
        <f>IF(OR('R.M Billets Reports'!A400="Date-",'R.M Billets Reports'!A400="Date:-"),'R.M Billets Reports'!B400,IF(ROW()=2,"",B400))</f>
      </c>
      <c r="C401">
        <f>IF('R.M Billets Reports'!A400="V.No.",'R.M Billets Reports'!B400,IF(ROW()=2,"",C400))</f>
      </c>
      <c r="D401">
        <f>IF('R.M Billets Reports'!A400&lt;&gt;"",'R.M Billets Reports'!A400,IF(ROW()=2,"",D400))</f>
      </c>
      <c r="E401">
        <f>IF('R.M Billets Reports'!B400="","",TRIM('R.M Billets Reports'!B400))</f>
      </c>
      <c r="F401">
        <f>'R.M Billets Reports'!C400</f>
      </c>
      <c r="G401">
        <f>'R.M Billets Reports'!D400</f>
      </c>
      <c r="H401">
        <f>'R.M Billets Reports'!E400</f>
      </c>
      <c r="I401">
        <f>'R.M Billets Reports'!F400</f>
      </c>
      <c r="J401">
        <f>'R.M Billets Reports'!G400</f>
      </c>
      <c r="K401">
        <f>'R.M Billets Reports'!H400</f>
      </c>
      <c r="L401">
        <f>IF('R.M Billets Reports'!I400="","",'R.M Billets Reports'!I400)</f>
      </c>
      <c r="M401">
        <f t="shared" si="12"/>
      </c>
      <c r="N401">
        <f>IF('R.M Billets Reports'!J400="","",'R.M Billets Reports'!J400)</f>
      </c>
      <c r="O401">
        <f t="shared" si="13"/>
      </c>
      <c r="P401">
        <f>IF('R.M Billets Reports'!A400="SIZE",'R.M Billets Reports'!B400,P400)</f>
      </c>
    </row>
    <row r="402" spans="1:16" x14ac:dyDescent="0.25">
      <c r="A402">
        <f>IF(OR('R.M Billets Reports'!A401="Date-",'R.M Billets Reports'!A401="Date:-"),IF(IF(IF(ISNUMBER(SEARCH("Party Name:-",'R.M Billets Reports'!D401)),TRIM('R.M Billets Reports'!F401),IF(ISNUMBER(SEARCH("Party Name-",'R.M Billets Reports'!D401)),TRIM(MID('R.M Billets Reports'!D401,SEARCH("-",'R.M Billets Reports'!D401)+1,200)),""))&lt;&gt;"",IF(ISNUMBER(SEARCH("Party Name:-",'R.M Billets Reports'!D401)),TRIM('R.M Billets Reports'!F401),IF(ISNUMBER(SEARCH("Party Name-",'R.M Billets Reports'!D401)),TRIM(MID('R.M Billets Reports'!D401,SEARCH("-",'R.M Billets Reports'!D401)+1,200)),"")),IF(ISNUMBER(SEARCH("Party Name:-",'R.M Billets Reports'!D402)),TRIM('R.M Billets Reports'!F402),IF(ISNUMBER(SEARCH("Party Name-",'R.M Billets Reports'!D402)),TRIM(MID('R.M Billets Reports'!D402,SEARCH("-",'R.M Billets Reports'!D402)+1,200)),"")))="VRKP ISPAT PVT LTD","VRKP",IF(IF(IF(ISNUMBER(SEARCH("Party Name:-",'R.M Billets Reports'!D401)),TRIM('R.M Billets Reports'!F401),IF(ISNUMBER(SEARCH("Party Name-",'R.M Billets Reports'!D401)),TRIM(MID('R.M Billets Reports'!D401,SEARCH("-",'R.M Billets Reports'!D401)+1,200)),""))&lt;&gt;"",IF(ISNUMBER(SEARCH("Party Name:-",'R.M Billets Reports'!D401)),TRIM('R.M Billets Reports'!F401),IF(ISNUMBER(SEARCH("Party Name-",'R.M Billets Reports'!D401)),TRIM(MID('R.M Billets Reports'!D401,SEARCH("-",'R.M Billets Reports'!D401)+1,200)),"")),IF(ISNUMBER(SEARCH("Party Name:-",'R.M Billets Reports'!D402)),TRIM('R.M Billets Reports'!F402),IF(ISNUMBER(SEARCH("Party Name-",'R.M Billets Reports'!D402)),TRIM(MID('R.M Billets Reports'!D402,SEARCH("-",'R.M Billets Reports'!D402)+1,200)),"")))="SHRI RADHE","SHREE RADHE",IF(IF(IF(ISNUMBER(SEARCH("Party Name:-",'R.M Billets Reports'!D401)),TRIM('R.M Billets Reports'!F401),IF(ISNUMBER(SEARCH("Party Name-",'R.M Billets Reports'!D401)),TRIM(MID('R.M Billets Reports'!D401,SEARCH("-",'R.M Billets Reports'!D401)+1,200)),""))&lt;&gt;"",IF(ISNUMBER(SEARCH("Party Name:-",'R.M Billets Reports'!D401)),TRIM('R.M Billets Reports'!F401),IF(ISNUMBER(SEARCH("Party Name-",'R.M Billets Reports'!D401)),TRIM(MID('R.M Billets Reports'!D401,SEARCH("-",'R.M Billets Reports'!D401)+1,200)),"")),IF(ISNUMBER(SEARCH("Party Name:-",'R.M Billets Reports'!D402)),TRIM('R.M Billets Reports'!F402),IF(ISNUMBER(SEARCH("Party Name-",'R.M Billets Reports'!D402)),TRIM(MID('R.M Billets Reports'!D402,SEARCH("-",'R.M Billets Reports'!D402)+1,200)),"")))="SHREE RADHE SHAKTI SPONGE AND POWER PVT. LTD.","SHREE RADHE",IF(IF(ISNUMBER(SEARCH("Party Name:-",'R.M Billets Reports'!D401)),TRIM('R.M Billets Reports'!F401),IF(ISNUMBER(SEARCH("Party Name-",'R.M Billets Reports'!D401)),TRIM(MID('R.M Billets Reports'!D401,SEARCH("-",'R.M Billets Reports'!D401)+1,200)),""))&lt;&gt;"",IF(ISNUMBER(SEARCH("Party Name:-",'R.M Billets Reports'!D401)),TRIM('R.M Billets Reports'!F401),IF(ISNUMBER(SEARCH("Party Name-",'R.M Billets Reports'!D401)),TRIM(MID('R.M Billets Reports'!D401,SEARCH("-",'R.M Billets Reports'!D401)+1,200)),"")),IF(ISNUMBER(SEARCH("Party Name:-",'R.M Billets Reports'!D402)),TRIM('R.M Billets Reports'!F402),IF(ISNUMBER(SEARCH("Party Name-",'R.M Billets Reports'!D402)),TRIM(MID('R.M Billets Reports'!D402,SEARCH("-",'R.M Billets Reports'!D402)+1,200)),"")))))),IF(ROW()=2,"",A401))</f>
      </c>
      <c r="B402">
        <f>IF(OR('R.M Billets Reports'!A401="Date-",'R.M Billets Reports'!A401="Date:-"),'R.M Billets Reports'!B401,IF(ROW()=2,"",B401))</f>
      </c>
      <c r="C402">
        <f>IF('R.M Billets Reports'!A401="V.No.",'R.M Billets Reports'!B401,IF(ROW()=2,"",C401))</f>
      </c>
      <c r="D402">
        <f>IF('R.M Billets Reports'!A401&lt;&gt;"",'R.M Billets Reports'!A401,IF(ROW()=2,"",D401))</f>
      </c>
      <c r="E402">
        <f>IF('R.M Billets Reports'!B401="","",TRIM('R.M Billets Reports'!B401))</f>
      </c>
      <c r="F402">
        <f>'R.M Billets Reports'!C401</f>
      </c>
      <c r="G402">
        <f>'R.M Billets Reports'!D401</f>
      </c>
      <c r="H402">
        <f>'R.M Billets Reports'!E401</f>
      </c>
      <c r="I402">
        <f>'R.M Billets Reports'!F401</f>
      </c>
      <c r="J402">
        <f>'R.M Billets Reports'!G401</f>
      </c>
      <c r="K402">
        <f>'R.M Billets Reports'!H401</f>
      </c>
      <c r="L402">
        <f>IF('R.M Billets Reports'!I401="","",'R.M Billets Reports'!I401)</f>
      </c>
      <c r="M402">
        <f t="shared" si="12"/>
      </c>
      <c r="N402">
        <f>IF('R.M Billets Reports'!J401="","",'R.M Billets Reports'!J401)</f>
      </c>
      <c r="O402">
        <f t="shared" si="13"/>
      </c>
      <c r="P402">
        <f>IF('R.M Billets Reports'!A401="SIZE",'R.M Billets Reports'!B401,P401)</f>
      </c>
    </row>
    <row r="403" spans="1:16" x14ac:dyDescent="0.25">
      <c r="A403">
        <f>IF(OR('R.M Billets Reports'!A402="Date-",'R.M Billets Reports'!A402="Date:-"),IF(IF(IF(ISNUMBER(SEARCH("Party Name:-",'R.M Billets Reports'!D402)),TRIM('R.M Billets Reports'!F402),IF(ISNUMBER(SEARCH("Party Name-",'R.M Billets Reports'!D402)),TRIM(MID('R.M Billets Reports'!D402,SEARCH("-",'R.M Billets Reports'!D402)+1,200)),""))&lt;&gt;"",IF(ISNUMBER(SEARCH("Party Name:-",'R.M Billets Reports'!D402)),TRIM('R.M Billets Reports'!F402),IF(ISNUMBER(SEARCH("Party Name-",'R.M Billets Reports'!D402)),TRIM(MID('R.M Billets Reports'!D402,SEARCH("-",'R.M Billets Reports'!D402)+1,200)),"")),IF(ISNUMBER(SEARCH("Party Name:-",'R.M Billets Reports'!D403)),TRIM('R.M Billets Reports'!F403),IF(ISNUMBER(SEARCH("Party Name-",'R.M Billets Reports'!D403)),TRIM(MID('R.M Billets Reports'!D403,SEARCH("-",'R.M Billets Reports'!D403)+1,200)),"")))="VRKP ISPAT PVT LTD","VRKP",IF(IF(IF(ISNUMBER(SEARCH("Party Name:-",'R.M Billets Reports'!D402)),TRIM('R.M Billets Reports'!F402),IF(ISNUMBER(SEARCH("Party Name-",'R.M Billets Reports'!D402)),TRIM(MID('R.M Billets Reports'!D402,SEARCH("-",'R.M Billets Reports'!D402)+1,200)),""))&lt;&gt;"",IF(ISNUMBER(SEARCH("Party Name:-",'R.M Billets Reports'!D402)),TRIM('R.M Billets Reports'!F402),IF(ISNUMBER(SEARCH("Party Name-",'R.M Billets Reports'!D402)),TRIM(MID('R.M Billets Reports'!D402,SEARCH("-",'R.M Billets Reports'!D402)+1,200)),"")),IF(ISNUMBER(SEARCH("Party Name:-",'R.M Billets Reports'!D403)),TRIM('R.M Billets Reports'!F403),IF(ISNUMBER(SEARCH("Party Name-",'R.M Billets Reports'!D403)),TRIM(MID('R.M Billets Reports'!D403,SEARCH("-",'R.M Billets Reports'!D403)+1,200)),"")))="SHRI RADHE","SHREE RADHE",IF(IF(IF(ISNUMBER(SEARCH("Party Name:-",'R.M Billets Reports'!D402)),TRIM('R.M Billets Reports'!F402),IF(ISNUMBER(SEARCH("Party Name-",'R.M Billets Reports'!D402)),TRIM(MID('R.M Billets Reports'!D402,SEARCH("-",'R.M Billets Reports'!D402)+1,200)),""))&lt;&gt;"",IF(ISNUMBER(SEARCH("Party Name:-",'R.M Billets Reports'!D402)),TRIM('R.M Billets Reports'!F402),IF(ISNUMBER(SEARCH("Party Name-",'R.M Billets Reports'!D402)),TRIM(MID('R.M Billets Reports'!D402,SEARCH("-",'R.M Billets Reports'!D402)+1,200)),"")),IF(ISNUMBER(SEARCH("Party Name:-",'R.M Billets Reports'!D403)),TRIM('R.M Billets Reports'!F403),IF(ISNUMBER(SEARCH("Party Name-",'R.M Billets Reports'!D403)),TRIM(MID('R.M Billets Reports'!D403,SEARCH("-",'R.M Billets Reports'!D403)+1,200)),"")))="SHREE RADHE SHAKTI SPONGE AND POWER PVT. LTD.","SHREE RADHE",IF(IF(ISNUMBER(SEARCH("Party Name:-",'R.M Billets Reports'!D402)),TRIM('R.M Billets Reports'!F402),IF(ISNUMBER(SEARCH("Party Name-",'R.M Billets Reports'!D402)),TRIM(MID('R.M Billets Reports'!D402,SEARCH("-",'R.M Billets Reports'!D402)+1,200)),""))&lt;&gt;"",IF(ISNUMBER(SEARCH("Party Name:-",'R.M Billets Reports'!D402)),TRIM('R.M Billets Reports'!F402),IF(ISNUMBER(SEARCH("Party Name-",'R.M Billets Reports'!D402)),TRIM(MID('R.M Billets Reports'!D402,SEARCH("-",'R.M Billets Reports'!D402)+1,200)),"")),IF(ISNUMBER(SEARCH("Party Name:-",'R.M Billets Reports'!D403)),TRIM('R.M Billets Reports'!F403),IF(ISNUMBER(SEARCH("Party Name-",'R.M Billets Reports'!D403)),TRIM(MID('R.M Billets Reports'!D403,SEARCH("-",'R.M Billets Reports'!D403)+1,200)),"")))))),IF(ROW()=2,"",A402))</f>
      </c>
      <c r="B403">
        <f>IF(OR('R.M Billets Reports'!A402="Date-",'R.M Billets Reports'!A402="Date:-"),'R.M Billets Reports'!B402,IF(ROW()=2,"",B402))</f>
      </c>
      <c r="C403">
        <f>IF('R.M Billets Reports'!A402="V.No.",'R.M Billets Reports'!B402,IF(ROW()=2,"",C402))</f>
      </c>
      <c r="D403">
        <f>IF('R.M Billets Reports'!A402&lt;&gt;"",'R.M Billets Reports'!A402,IF(ROW()=2,"",D402))</f>
      </c>
      <c r="E403">
        <f>IF('R.M Billets Reports'!B402="","",TRIM('R.M Billets Reports'!B402))</f>
      </c>
      <c r="F403">
        <f>'R.M Billets Reports'!C402</f>
      </c>
      <c r="G403">
        <f>'R.M Billets Reports'!D402</f>
      </c>
      <c r="H403">
        <f>'R.M Billets Reports'!E402</f>
      </c>
      <c r="I403">
        <f>'R.M Billets Reports'!F402</f>
      </c>
      <c r="J403">
        <f>'R.M Billets Reports'!G402</f>
      </c>
      <c r="K403">
        <f>'R.M Billets Reports'!H402</f>
      </c>
      <c r="L403">
        <f>IF('R.M Billets Reports'!I402="","",'R.M Billets Reports'!I402)</f>
      </c>
      <c r="M403">
        <f t="shared" si="12"/>
      </c>
      <c r="N403">
        <f>IF('R.M Billets Reports'!J402="","",'R.M Billets Reports'!J402)</f>
      </c>
      <c r="O403">
        <f t="shared" si="13"/>
      </c>
      <c r="P403">
        <f>IF('R.M Billets Reports'!A402="SIZE",'R.M Billets Reports'!B402,P402)</f>
      </c>
    </row>
    <row r="404" spans="1:16" x14ac:dyDescent="0.25">
      <c r="A404">
        <f>IF(OR('R.M Billets Reports'!A403="Date-",'R.M Billets Reports'!A403="Date:-"),IF(IF(IF(ISNUMBER(SEARCH("Party Name:-",'R.M Billets Reports'!D403)),TRIM('R.M Billets Reports'!F403),IF(ISNUMBER(SEARCH("Party Name-",'R.M Billets Reports'!D403)),TRIM(MID('R.M Billets Reports'!D403,SEARCH("-",'R.M Billets Reports'!D403)+1,200)),""))&lt;&gt;"",IF(ISNUMBER(SEARCH("Party Name:-",'R.M Billets Reports'!D403)),TRIM('R.M Billets Reports'!F403),IF(ISNUMBER(SEARCH("Party Name-",'R.M Billets Reports'!D403)),TRIM(MID('R.M Billets Reports'!D403,SEARCH("-",'R.M Billets Reports'!D403)+1,200)),"")),IF(ISNUMBER(SEARCH("Party Name:-",'R.M Billets Reports'!D404)),TRIM('R.M Billets Reports'!F404),IF(ISNUMBER(SEARCH("Party Name-",'R.M Billets Reports'!D404)),TRIM(MID('R.M Billets Reports'!D404,SEARCH("-",'R.M Billets Reports'!D404)+1,200)),"")))="VRKP ISPAT PVT LTD","VRKP",IF(IF(IF(ISNUMBER(SEARCH("Party Name:-",'R.M Billets Reports'!D403)),TRIM('R.M Billets Reports'!F403),IF(ISNUMBER(SEARCH("Party Name-",'R.M Billets Reports'!D403)),TRIM(MID('R.M Billets Reports'!D403,SEARCH("-",'R.M Billets Reports'!D403)+1,200)),""))&lt;&gt;"",IF(ISNUMBER(SEARCH("Party Name:-",'R.M Billets Reports'!D403)),TRIM('R.M Billets Reports'!F403),IF(ISNUMBER(SEARCH("Party Name-",'R.M Billets Reports'!D403)),TRIM(MID('R.M Billets Reports'!D403,SEARCH("-",'R.M Billets Reports'!D403)+1,200)),"")),IF(ISNUMBER(SEARCH("Party Name:-",'R.M Billets Reports'!D404)),TRIM('R.M Billets Reports'!F404),IF(ISNUMBER(SEARCH("Party Name-",'R.M Billets Reports'!D404)),TRIM(MID('R.M Billets Reports'!D404,SEARCH("-",'R.M Billets Reports'!D404)+1,200)),"")))="SHRI RADHE","SHREE RADHE",IF(IF(IF(ISNUMBER(SEARCH("Party Name:-",'R.M Billets Reports'!D403)),TRIM('R.M Billets Reports'!F403),IF(ISNUMBER(SEARCH("Party Name-",'R.M Billets Reports'!D403)),TRIM(MID('R.M Billets Reports'!D403,SEARCH("-",'R.M Billets Reports'!D403)+1,200)),""))&lt;&gt;"",IF(ISNUMBER(SEARCH("Party Name:-",'R.M Billets Reports'!D403)),TRIM('R.M Billets Reports'!F403),IF(ISNUMBER(SEARCH("Party Name-",'R.M Billets Reports'!D403)),TRIM(MID('R.M Billets Reports'!D403,SEARCH("-",'R.M Billets Reports'!D403)+1,200)),"")),IF(ISNUMBER(SEARCH("Party Name:-",'R.M Billets Reports'!D404)),TRIM('R.M Billets Reports'!F404),IF(ISNUMBER(SEARCH("Party Name-",'R.M Billets Reports'!D404)),TRIM(MID('R.M Billets Reports'!D404,SEARCH("-",'R.M Billets Reports'!D404)+1,200)),"")))="SHREE RADHE SHAKTI SPONGE AND POWER PVT. LTD.","SHREE RADHE",IF(IF(ISNUMBER(SEARCH("Party Name:-",'R.M Billets Reports'!D403)),TRIM('R.M Billets Reports'!F403),IF(ISNUMBER(SEARCH("Party Name-",'R.M Billets Reports'!D403)),TRIM(MID('R.M Billets Reports'!D403,SEARCH("-",'R.M Billets Reports'!D403)+1,200)),""))&lt;&gt;"",IF(ISNUMBER(SEARCH("Party Name:-",'R.M Billets Reports'!D403)),TRIM('R.M Billets Reports'!F403),IF(ISNUMBER(SEARCH("Party Name-",'R.M Billets Reports'!D403)),TRIM(MID('R.M Billets Reports'!D403,SEARCH("-",'R.M Billets Reports'!D403)+1,200)),"")),IF(ISNUMBER(SEARCH("Party Name:-",'R.M Billets Reports'!D404)),TRIM('R.M Billets Reports'!F404),IF(ISNUMBER(SEARCH("Party Name-",'R.M Billets Reports'!D404)),TRIM(MID('R.M Billets Reports'!D404,SEARCH("-",'R.M Billets Reports'!D404)+1,200)),"")))))),IF(ROW()=2,"",A403))</f>
      </c>
      <c r="B404">
        <f>IF(OR('R.M Billets Reports'!A403="Date-",'R.M Billets Reports'!A403="Date:-"),'R.M Billets Reports'!B403,IF(ROW()=2,"",B403))</f>
      </c>
      <c r="C404">
        <f>IF('R.M Billets Reports'!A403="V.No.",'R.M Billets Reports'!B403,IF(ROW()=2,"",C403))</f>
      </c>
      <c r="D404">
        <f>IF('R.M Billets Reports'!A403&lt;&gt;"",'R.M Billets Reports'!A403,IF(ROW()=2,"",D403))</f>
      </c>
      <c r="E404">
        <f>IF('R.M Billets Reports'!B403="","",TRIM('R.M Billets Reports'!B403))</f>
      </c>
      <c r="F404">
        <f>'R.M Billets Reports'!C403</f>
      </c>
      <c r="G404">
        <f>'R.M Billets Reports'!D403</f>
      </c>
      <c r="H404">
        <f>'R.M Billets Reports'!E403</f>
      </c>
      <c r="I404">
        <f>'R.M Billets Reports'!F403</f>
      </c>
      <c r="J404">
        <f>'R.M Billets Reports'!G403</f>
      </c>
      <c r="K404">
        <f>'R.M Billets Reports'!H403</f>
      </c>
      <c r="L404">
        <f>IF('R.M Billets Reports'!I403="","",'R.M Billets Reports'!I403)</f>
      </c>
      <c r="M404">
        <f t="shared" si="12"/>
      </c>
      <c r="N404">
        <f>IF('R.M Billets Reports'!J403="","",'R.M Billets Reports'!J403)</f>
      </c>
      <c r="O404">
        <f t="shared" si="13"/>
      </c>
      <c r="P404">
        <f>IF('R.M Billets Reports'!A403="SIZE",'R.M Billets Reports'!B403,P403)</f>
      </c>
    </row>
    <row r="405" spans="1:16" x14ac:dyDescent="0.25">
      <c r="A405">
        <f>IF(OR('R.M Billets Reports'!A404="Date-",'R.M Billets Reports'!A404="Date:-"),IF(IF(IF(ISNUMBER(SEARCH("Party Name:-",'R.M Billets Reports'!D404)),TRIM('R.M Billets Reports'!F404),IF(ISNUMBER(SEARCH("Party Name-",'R.M Billets Reports'!D404)),TRIM(MID('R.M Billets Reports'!D404,SEARCH("-",'R.M Billets Reports'!D404)+1,200)),""))&lt;&gt;"",IF(ISNUMBER(SEARCH("Party Name:-",'R.M Billets Reports'!D404)),TRIM('R.M Billets Reports'!F404),IF(ISNUMBER(SEARCH("Party Name-",'R.M Billets Reports'!D404)),TRIM(MID('R.M Billets Reports'!D404,SEARCH("-",'R.M Billets Reports'!D404)+1,200)),"")),IF(ISNUMBER(SEARCH("Party Name:-",'R.M Billets Reports'!D405)),TRIM('R.M Billets Reports'!F405),IF(ISNUMBER(SEARCH("Party Name-",'R.M Billets Reports'!D405)),TRIM(MID('R.M Billets Reports'!D405,SEARCH("-",'R.M Billets Reports'!D405)+1,200)),"")))="VRKP ISPAT PVT LTD","VRKP",IF(IF(IF(ISNUMBER(SEARCH("Party Name:-",'R.M Billets Reports'!D404)),TRIM('R.M Billets Reports'!F404),IF(ISNUMBER(SEARCH("Party Name-",'R.M Billets Reports'!D404)),TRIM(MID('R.M Billets Reports'!D404,SEARCH("-",'R.M Billets Reports'!D404)+1,200)),""))&lt;&gt;"",IF(ISNUMBER(SEARCH("Party Name:-",'R.M Billets Reports'!D404)),TRIM('R.M Billets Reports'!F404),IF(ISNUMBER(SEARCH("Party Name-",'R.M Billets Reports'!D404)),TRIM(MID('R.M Billets Reports'!D404,SEARCH("-",'R.M Billets Reports'!D404)+1,200)),"")),IF(ISNUMBER(SEARCH("Party Name:-",'R.M Billets Reports'!D405)),TRIM('R.M Billets Reports'!F405),IF(ISNUMBER(SEARCH("Party Name-",'R.M Billets Reports'!D405)),TRIM(MID('R.M Billets Reports'!D405,SEARCH("-",'R.M Billets Reports'!D405)+1,200)),"")))="SHRI RADHE","SHREE RADHE",IF(IF(IF(ISNUMBER(SEARCH("Party Name:-",'R.M Billets Reports'!D404)),TRIM('R.M Billets Reports'!F404),IF(ISNUMBER(SEARCH("Party Name-",'R.M Billets Reports'!D404)),TRIM(MID('R.M Billets Reports'!D404,SEARCH("-",'R.M Billets Reports'!D404)+1,200)),""))&lt;&gt;"",IF(ISNUMBER(SEARCH("Party Name:-",'R.M Billets Reports'!D404)),TRIM('R.M Billets Reports'!F404),IF(ISNUMBER(SEARCH("Party Name-",'R.M Billets Reports'!D404)),TRIM(MID('R.M Billets Reports'!D404,SEARCH("-",'R.M Billets Reports'!D404)+1,200)),"")),IF(ISNUMBER(SEARCH("Party Name:-",'R.M Billets Reports'!D405)),TRIM('R.M Billets Reports'!F405),IF(ISNUMBER(SEARCH("Party Name-",'R.M Billets Reports'!D405)),TRIM(MID('R.M Billets Reports'!D405,SEARCH("-",'R.M Billets Reports'!D405)+1,200)),"")))="SHREE RADHE SHAKTI SPONGE AND POWER PVT. LTD.","SHREE RADHE",IF(IF(ISNUMBER(SEARCH("Party Name:-",'R.M Billets Reports'!D404)),TRIM('R.M Billets Reports'!F404),IF(ISNUMBER(SEARCH("Party Name-",'R.M Billets Reports'!D404)),TRIM(MID('R.M Billets Reports'!D404,SEARCH("-",'R.M Billets Reports'!D404)+1,200)),""))&lt;&gt;"",IF(ISNUMBER(SEARCH("Party Name:-",'R.M Billets Reports'!D404)),TRIM('R.M Billets Reports'!F404),IF(ISNUMBER(SEARCH("Party Name-",'R.M Billets Reports'!D404)),TRIM(MID('R.M Billets Reports'!D404,SEARCH("-",'R.M Billets Reports'!D404)+1,200)),"")),IF(ISNUMBER(SEARCH("Party Name:-",'R.M Billets Reports'!D405)),TRIM('R.M Billets Reports'!F405),IF(ISNUMBER(SEARCH("Party Name-",'R.M Billets Reports'!D405)),TRIM(MID('R.M Billets Reports'!D405,SEARCH("-",'R.M Billets Reports'!D405)+1,200)),"")))))),IF(ROW()=2,"",A404))</f>
      </c>
      <c r="B405">
        <f>IF(OR('R.M Billets Reports'!A404="Date-",'R.M Billets Reports'!A404="Date:-"),'R.M Billets Reports'!B404,IF(ROW()=2,"",B404))</f>
      </c>
      <c r="C405">
        <f>IF('R.M Billets Reports'!A404="V.No.",'R.M Billets Reports'!B404,IF(ROW()=2,"",C404))</f>
      </c>
      <c r="D405">
        <f>IF('R.M Billets Reports'!A404&lt;&gt;"",'R.M Billets Reports'!A404,IF(ROW()=2,"",D404))</f>
      </c>
      <c r="E405">
        <f>IF('R.M Billets Reports'!B404="","",TRIM('R.M Billets Reports'!B404))</f>
      </c>
      <c r="F405">
        <f>'R.M Billets Reports'!C404</f>
      </c>
      <c r="G405">
        <f>'R.M Billets Reports'!D404</f>
      </c>
      <c r="H405">
        <f>'R.M Billets Reports'!E404</f>
      </c>
      <c r="I405">
        <f>'R.M Billets Reports'!F404</f>
      </c>
      <c r="J405">
        <f>'R.M Billets Reports'!G404</f>
      </c>
      <c r="K405">
        <f>'R.M Billets Reports'!H404</f>
      </c>
      <c r="L405">
        <f>IF('R.M Billets Reports'!I404="","",'R.M Billets Reports'!I404)</f>
      </c>
      <c r="M405">
        <f t="shared" si="12"/>
      </c>
      <c r="N405">
        <f>IF('R.M Billets Reports'!J404="","",'R.M Billets Reports'!J404)</f>
      </c>
      <c r="O405">
        <f t="shared" si="13"/>
      </c>
      <c r="P405">
        <f>IF('R.M Billets Reports'!A404="SIZE",'R.M Billets Reports'!B404,P404)</f>
      </c>
    </row>
    <row r="406" spans="1:16" x14ac:dyDescent="0.25">
      <c r="A406">
        <f>IF(OR('R.M Billets Reports'!A405="Date-",'R.M Billets Reports'!A405="Date:-"),IF(IF(IF(ISNUMBER(SEARCH("Party Name:-",'R.M Billets Reports'!D405)),TRIM('R.M Billets Reports'!F405),IF(ISNUMBER(SEARCH("Party Name-",'R.M Billets Reports'!D405)),TRIM(MID('R.M Billets Reports'!D405,SEARCH("-",'R.M Billets Reports'!D405)+1,200)),""))&lt;&gt;"",IF(ISNUMBER(SEARCH("Party Name:-",'R.M Billets Reports'!D405)),TRIM('R.M Billets Reports'!F405),IF(ISNUMBER(SEARCH("Party Name-",'R.M Billets Reports'!D405)),TRIM(MID('R.M Billets Reports'!D405,SEARCH("-",'R.M Billets Reports'!D405)+1,200)),"")),IF(ISNUMBER(SEARCH("Party Name:-",'R.M Billets Reports'!D406)),TRIM('R.M Billets Reports'!F406),IF(ISNUMBER(SEARCH("Party Name-",'R.M Billets Reports'!D406)),TRIM(MID('R.M Billets Reports'!D406,SEARCH("-",'R.M Billets Reports'!D406)+1,200)),"")))="VRKP ISPAT PVT LTD","VRKP",IF(IF(IF(ISNUMBER(SEARCH("Party Name:-",'R.M Billets Reports'!D405)),TRIM('R.M Billets Reports'!F405),IF(ISNUMBER(SEARCH("Party Name-",'R.M Billets Reports'!D405)),TRIM(MID('R.M Billets Reports'!D405,SEARCH("-",'R.M Billets Reports'!D405)+1,200)),""))&lt;&gt;"",IF(ISNUMBER(SEARCH("Party Name:-",'R.M Billets Reports'!D405)),TRIM('R.M Billets Reports'!F405),IF(ISNUMBER(SEARCH("Party Name-",'R.M Billets Reports'!D405)),TRIM(MID('R.M Billets Reports'!D405,SEARCH("-",'R.M Billets Reports'!D405)+1,200)),"")),IF(ISNUMBER(SEARCH("Party Name:-",'R.M Billets Reports'!D406)),TRIM('R.M Billets Reports'!F406),IF(ISNUMBER(SEARCH("Party Name-",'R.M Billets Reports'!D406)),TRIM(MID('R.M Billets Reports'!D406,SEARCH("-",'R.M Billets Reports'!D406)+1,200)),"")))="SHRI RADHE","SHREE RADHE",IF(IF(IF(ISNUMBER(SEARCH("Party Name:-",'R.M Billets Reports'!D405)),TRIM('R.M Billets Reports'!F405),IF(ISNUMBER(SEARCH("Party Name-",'R.M Billets Reports'!D405)),TRIM(MID('R.M Billets Reports'!D405,SEARCH("-",'R.M Billets Reports'!D405)+1,200)),""))&lt;&gt;"",IF(ISNUMBER(SEARCH("Party Name:-",'R.M Billets Reports'!D405)),TRIM('R.M Billets Reports'!F405),IF(ISNUMBER(SEARCH("Party Name-",'R.M Billets Reports'!D405)),TRIM(MID('R.M Billets Reports'!D405,SEARCH("-",'R.M Billets Reports'!D405)+1,200)),"")),IF(ISNUMBER(SEARCH("Party Name:-",'R.M Billets Reports'!D406)),TRIM('R.M Billets Reports'!F406),IF(ISNUMBER(SEARCH("Party Name-",'R.M Billets Reports'!D406)),TRIM(MID('R.M Billets Reports'!D406,SEARCH("-",'R.M Billets Reports'!D406)+1,200)),"")))="SHREE RADHE SHAKTI SPONGE AND POWER PVT. LTD.","SHREE RADHE",IF(IF(ISNUMBER(SEARCH("Party Name:-",'R.M Billets Reports'!D405)),TRIM('R.M Billets Reports'!F405),IF(ISNUMBER(SEARCH("Party Name-",'R.M Billets Reports'!D405)),TRIM(MID('R.M Billets Reports'!D405,SEARCH("-",'R.M Billets Reports'!D405)+1,200)),""))&lt;&gt;"",IF(ISNUMBER(SEARCH("Party Name:-",'R.M Billets Reports'!D405)),TRIM('R.M Billets Reports'!F405),IF(ISNUMBER(SEARCH("Party Name-",'R.M Billets Reports'!D405)),TRIM(MID('R.M Billets Reports'!D405,SEARCH("-",'R.M Billets Reports'!D405)+1,200)),"")),IF(ISNUMBER(SEARCH("Party Name:-",'R.M Billets Reports'!D406)),TRIM('R.M Billets Reports'!F406),IF(ISNUMBER(SEARCH("Party Name-",'R.M Billets Reports'!D406)),TRIM(MID('R.M Billets Reports'!D406,SEARCH("-",'R.M Billets Reports'!D406)+1,200)),"")))))),IF(ROW()=2,"",A405))</f>
      </c>
      <c r="B406">
        <f>IF(OR('R.M Billets Reports'!A405="Date-",'R.M Billets Reports'!A405="Date:-"),'R.M Billets Reports'!B405,IF(ROW()=2,"",B405))</f>
      </c>
      <c r="C406">
        <f>IF('R.M Billets Reports'!A405="V.No.",'R.M Billets Reports'!B405,IF(ROW()=2,"",C405))</f>
      </c>
      <c r="D406">
        <f>IF('R.M Billets Reports'!A405&lt;&gt;"",'R.M Billets Reports'!A405,IF(ROW()=2,"",D405))</f>
      </c>
      <c r="E406">
        <f>IF('R.M Billets Reports'!B405="","",TRIM('R.M Billets Reports'!B405))</f>
      </c>
      <c r="F406">
        <f>'R.M Billets Reports'!C405</f>
      </c>
      <c r="G406">
        <f>'R.M Billets Reports'!D405</f>
      </c>
      <c r="H406">
        <f>'R.M Billets Reports'!E405</f>
      </c>
      <c r="I406">
        <f>'R.M Billets Reports'!F405</f>
      </c>
      <c r="J406">
        <f>'R.M Billets Reports'!G405</f>
      </c>
      <c r="K406">
        <f>'R.M Billets Reports'!H405</f>
      </c>
      <c r="L406">
        <f>IF('R.M Billets Reports'!I405="","",'R.M Billets Reports'!I405)</f>
      </c>
      <c r="M406">
        <f t="shared" si="12"/>
      </c>
      <c r="N406">
        <f>IF('R.M Billets Reports'!J405="","",'R.M Billets Reports'!J405)</f>
      </c>
      <c r="O406">
        <f t="shared" si="13"/>
      </c>
      <c r="P406">
        <f>IF('R.M Billets Reports'!A405="SIZE",'R.M Billets Reports'!B405,P405)</f>
      </c>
    </row>
    <row r="407" spans="1:16" x14ac:dyDescent="0.25">
      <c r="A407">
        <f>IF(OR('R.M Billets Reports'!A406="Date-",'R.M Billets Reports'!A406="Date:-"),IF(IF(IF(ISNUMBER(SEARCH("Party Name:-",'R.M Billets Reports'!D406)),TRIM('R.M Billets Reports'!F406),IF(ISNUMBER(SEARCH("Party Name-",'R.M Billets Reports'!D406)),TRIM(MID('R.M Billets Reports'!D406,SEARCH("-",'R.M Billets Reports'!D406)+1,200)),""))&lt;&gt;"",IF(ISNUMBER(SEARCH("Party Name:-",'R.M Billets Reports'!D406)),TRIM('R.M Billets Reports'!F406),IF(ISNUMBER(SEARCH("Party Name-",'R.M Billets Reports'!D406)),TRIM(MID('R.M Billets Reports'!D406,SEARCH("-",'R.M Billets Reports'!D406)+1,200)),"")),IF(ISNUMBER(SEARCH("Party Name:-",'R.M Billets Reports'!D407)),TRIM('R.M Billets Reports'!F407),IF(ISNUMBER(SEARCH("Party Name-",'R.M Billets Reports'!D407)),TRIM(MID('R.M Billets Reports'!D407,SEARCH("-",'R.M Billets Reports'!D407)+1,200)),"")))="VRKP ISPAT PVT LTD","VRKP",IF(IF(IF(ISNUMBER(SEARCH("Party Name:-",'R.M Billets Reports'!D406)),TRIM('R.M Billets Reports'!F406),IF(ISNUMBER(SEARCH("Party Name-",'R.M Billets Reports'!D406)),TRIM(MID('R.M Billets Reports'!D406,SEARCH("-",'R.M Billets Reports'!D406)+1,200)),""))&lt;&gt;"",IF(ISNUMBER(SEARCH("Party Name:-",'R.M Billets Reports'!D406)),TRIM('R.M Billets Reports'!F406),IF(ISNUMBER(SEARCH("Party Name-",'R.M Billets Reports'!D406)),TRIM(MID('R.M Billets Reports'!D406,SEARCH("-",'R.M Billets Reports'!D406)+1,200)),"")),IF(ISNUMBER(SEARCH("Party Name:-",'R.M Billets Reports'!D407)),TRIM('R.M Billets Reports'!F407),IF(ISNUMBER(SEARCH("Party Name-",'R.M Billets Reports'!D407)),TRIM(MID('R.M Billets Reports'!D407,SEARCH("-",'R.M Billets Reports'!D407)+1,200)),"")))="SHRI RADHE","SHREE RADHE",IF(IF(IF(ISNUMBER(SEARCH("Party Name:-",'R.M Billets Reports'!D406)),TRIM('R.M Billets Reports'!F406),IF(ISNUMBER(SEARCH("Party Name-",'R.M Billets Reports'!D406)),TRIM(MID('R.M Billets Reports'!D406,SEARCH("-",'R.M Billets Reports'!D406)+1,200)),""))&lt;&gt;"",IF(ISNUMBER(SEARCH("Party Name:-",'R.M Billets Reports'!D406)),TRIM('R.M Billets Reports'!F406),IF(ISNUMBER(SEARCH("Party Name-",'R.M Billets Reports'!D406)),TRIM(MID('R.M Billets Reports'!D406,SEARCH("-",'R.M Billets Reports'!D406)+1,200)),"")),IF(ISNUMBER(SEARCH("Party Name:-",'R.M Billets Reports'!D407)),TRIM('R.M Billets Reports'!F407),IF(ISNUMBER(SEARCH("Party Name-",'R.M Billets Reports'!D407)),TRIM(MID('R.M Billets Reports'!D407,SEARCH("-",'R.M Billets Reports'!D407)+1,200)),"")))="SHREE RADHE SHAKTI SPONGE AND POWER PVT. LTD.","SHREE RADHE",IF(IF(ISNUMBER(SEARCH("Party Name:-",'R.M Billets Reports'!D406)),TRIM('R.M Billets Reports'!F406),IF(ISNUMBER(SEARCH("Party Name-",'R.M Billets Reports'!D406)),TRIM(MID('R.M Billets Reports'!D406,SEARCH("-",'R.M Billets Reports'!D406)+1,200)),""))&lt;&gt;"",IF(ISNUMBER(SEARCH("Party Name:-",'R.M Billets Reports'!D406)),TRIM('R.M Billets Reports'!F406),IF(ISNUMBER(SEARCH("Party Name-",'R.M Billets Reports'!D406)),TRIM(MID('R.M Billets Reports'!D406,SEARCH("-",'R.M Billets Reports'!D406)+1,200)),"")),IF(ISNUMBER(SEARCH("Party Name:-",'R.M Billets Reports'!D407)),TRIM('R.M Billets Reports'!F407),IF(ISNUMBER(SEARCH("Party Name-",'R.M Billets Reports'!D407)),TRIM(MID('R.M Billets Reports'!D407,SEARCH("-",'R.M Billets Reports'!D407)+1,200)),"")))))),IF(ROW()=2,"",A406))</f>
      </c>
      <c r="B407">
        <f>IF(OR('R.M Billets Reports'!A406="Date-",'R.M Billets Reports'!A406="Date:-"),'R.M Billets Reports'!B406,IF(ROW()=2,"",B406))</f>
      </c>
      <c r="C407">
        <f>IF('R.M Billets Reports'!A406="V.No.",'R.M Billets Reports'!B406,IF(ROW()=2,"",C406))</f>
      </c>
      <c r="D407">
        <f>IF('R.M Billets Reports'!A406&lt;&gt;"",'R.M Billets Reports'!A406,IF(ROW()=2,"",D406))</f>
      </c>
      <c r="E407">
        <f>IF('R.M Billets Reports'!B406="","",TRIM('R.M Billets Reports'!B406))</f>
      </c>
      <c r="F407">
        <f>'R.M Billets Reports'!C406</f>
      </c>
      <c r="G407">
        <f>'R.M Billets Reports'!D406</f>
      </c>
      <c r="H407">
        <f>'R.M Billets Reports'!E406</f>
      </c>
      <c r="I407">
        <f>'R.M Billets Reports'!F406</f>
      </c>
      <c r="J407">
        <f>'R.M Billets Reports'!G406</f>
      </c>
      <c r="K407">
        <f>'R.M Billets Reports'!H406</f>
      </c>
      <c r="L407">
        <f>IF('R.M Billets Reports'!I406="","",'R.M Billets Reports'!I406)</f>
      </c>
      <c r="M407">
        <f t="shared" si="12"/>
      </c>
      <c r="N407">
        <f>IF('R.M Billets Reports'!J406="","",'R.M Billets Reports'!J406)</f>
      </c>
      <c r="O407">
        <f t="shared" si="13"/>
      </c>
      <c r="P407">
        <f>IF('R.M Billets Reports'!A406="SIZE",'R.M Billets Reports'!B406,P406)</f>
      </c>
    </row>
    <row r="408" spans="1:16" x14ac:dyDescent="0.25">
      <c r="A408">
        <f>IF(OR('R.M Billets Reports'!A407="Date-",'R.M Billets Reports'!A407="Date:-"),IF(IF(IF(ISNUMBER(SEARCH("Party Name:-",'R.M Billets Reports'!D407)),TRIM('R.M Billets Reports'!F407),IF(ISNUMBER(SEARCH("Party Name-",'R.M Billets Reports'!D407)),TRIM(MID('R.M Billets Reports'!D407,SEARCH("-",'R.M Billets Reports'!D407)+1,200)),""))&lt;&gt;"",IF(ISNUMBER(SEARCH("Party Name:-",'R.M Billets Reports'!D407)),TRIM('R.M Billets Reports'!F407),IF(ISNUMBER(SEARCH("Party Name-",'R.M Billets Reports'!D407)),TRIM(MID('R.M Billets Reports'!D407,SEARCH("-",'R.M Billets Reports'!D407)+1,200)),"")),IF(ISNUMBER(SEARCH("Party Name:-",'R.M Billets Reports'!D408)),TRIM('R.M Billets Reports'!F408),IF(ISNUMBER(SEARCH("Party Name-",'R.M Billets Reports'!D408)),TRIM(MID('R.M Billets Reports'!D408,SEARCH("-",'R.M Billets Reports'!D408)+1,200)),"")))="VRKP ISPAT PVT LTD","VRKP",IF(IF(IF(ISNUMBER(SEARCH("Party Name:-",'R.M Billets Reports'!D407)),TRIM('R.M Billets Reports'!F407),IF(ISNUMBER(SEARCH("Party Name-",'R.M Billets Reports'!D407)),TRIM(MID('R.M Billets Reports'!D407,SEARCH("-",'R.M Billets Reports'!D407)+1,200)),""))&lt;&gt;"",IF(ISNUMBER(SEARCH("Party Name:-",'R.M Billets Reports'!D407)),TRIM('R.M Billets Reports'!F407),IF(ISNUMBER(SEARCH("Party Name-",'R.M Billets Reports'!D407)),TRIM(MID('R.M Billets Reports'!D407,SEARCH("-",'R.M Billets Reports'!D407)+1,200)),"")),IF(ISNUMBER(SEARCH("Party Name:-",'R.M Billets Reports'!D408)),TRIM('R.M Billets Reports'!F408),IF(ISNUMBER(SEARCH("Party Name-",'R.M Billets Reports'!D408)),TRIM(MID('R.M Billets Reports'!D408,SEARCH("-",'R.M Billets Reports'!D408)+1,200)),"")))="SHRI RADHE","SHREE RADHE",IF(IF(IF(ISNUMBER(SEARCH("Party Name:-",'R.M Billets Reports'!D407)),TRIM('R.M Billets Reports'!F407),IF(ISNUMBER(SEARCH("Party Name-",'R.M Billets Reports'!D407)),TRIM(MID('R.M Billets Reports'!D407,SEARCH("-",'R.M Billets Reports'!D407)+1,200)),""))&lt;&gt;"",IF(ISNUMBER(SEARCH("Party Name:-",'R.M Billets Reports'!D407)),TRIM('R.M Billets Reports'!F407),IF(ISNUMBER(SEARCH("Party Name-",'R.M Billets Reports'!D407)),TRIM(MID('R.M Billets Reports'!D407,SEARCH("-",'R.M Billets Reports'!D407)+1,200)),"")),IF(ISNUMBER(SEARCH("Party Name:-",'R.M Billets Reports'!D408)),TRIM('R.M Billets Reports'!F408),IF(ISNUMBER(SEARCH("Party Name-",'R.M Billets Reports'!D408)),TRIM(MID('R.M Billets Reports'!D408,SEARCH("-",'R.M Billets Reports'!D408)+1,200)),"")))="SHREE RADHE SHAKTI SPONGE AND POWER PVT. LTD.","SHREE RADHE",IF(IF(ISNUMBER(SEARCH("Party Name:-",'R.M Billets Reports'!D407)),TRIM('R.M Billets Reports'!F407),IF(ISNUMBER(SEARCH("Party Name-",'R.M Billets Reports'!D407)),TRIM(MID('R.M Billets Reports'!D407,SEARCH("-",'R.M Billets Reports'!D407)+1,200)),""))&lt;&gt;"",IF(ISNUMBER(SEARCH("Party Name:-",'R.M Billets Reports'!D407)),TRIM('R.M Billets Reports'!F407),IF(ISNUMBER(SEARCH("Party Name-",'R.M Billets Reports'!D407)),TRIM(MID('R.M Billets Reports'!D407,SEARCH("-",'R.M Billets Reports'!D407)+1,200)),"")),IF(ISNUMBER(SEARCH("Party Name:-",'R.M Billets Reports'!D408)),TRIM('R.M Billets Reports'!F408),IF(ISNUMBER(SEARCH("Party Name-",'R.M Billets Reports'!D408)),TRIM(MID('R.M Billets Reports'!D408,SEARCH("-",'R.M Billets Reports'!D408)+1,200)),"")))))),IF(ROW()=2,"",A407))</f>
      </c>
      <c r="B408">
        <f>IF(OR('R.M Billets Reports'!A407="Date-",'R.M Billets Reports'!A407="Date:-"),'R.M Billets Reports'!B407,IF(ROW()=2,"",B407))</f>
      </c>
      <c r="C408">
        <f>IF('R.M Billets Reports'!A407="V.No.",'R.M Billets Reports'!B407,IF(ROW()=2,"",C407))</f>
      </c>
      <c r="D408">
        <f>IF('R.M Billets Reports'!A407&lt;&gt;"",'R.M Billets Reports'!A407,IF(ROW()=2,"",D407))</f>
      </c>
      <c r="E408">
        <f>IF('R.M Billets Reports'!B407="","",TRIM('R.M Billets Reports'!B407))</f>
      </c>
      <c r="F408">
        <f>'R.M Billets Reports'!C407</f>
      </c>
      <c r="G408">
        <f>'R.M Billets Reports'!D407</f>
      </c>
      <c r="H408">
        <f>'R.M Billets Reports'!E407</f>
      </c>
      <c r="I408">
        <f>'R.M Billets Reports'!F407</f>
      </c>
      <c r="J408">
        <f>'R.M Billets Reports'!G407</f>
      </c>
      <c r="K408">
        <f>'R.M Billets Reports'!H407</f>
      </c>
      <c r="L408">
        <f>IF('R.M Billets Reports'!I407="","",'R.M Billets Reports'!I407)</f>
      </c>
      <c r="M408">
        <f t="shared" si="12"/>
      </c>
      <c r="N408">
        <f>IF('R.M Billets Reports'!J407="","",'R.M Billets Reports'!J407)</f>
      </c>
      <c r="O408">
        <f t="shared" si="13"/>
      </c>
      <c r="P408">
        <f>IF('R.M Billets Reports'!A407="SIZE",'R.M Billets Reports'!B407,P407)</f>
      </c>
    </row>
    <row r="409" spans="1:16" x14ac:dyDescent="0.25">
      <c r="A409">
        <f>IF(OR('R.M Billets Reports'!A408="Date-",'R.M Billets Reports'!A408="Date:-"),IF(IF(IF(ISNUMBER(SEARCH("Party Name:-",'R.M Billets Reports'!D408)),TRIM('R.M Billets Reports'!F408),IF(ISNUMBER(SEARCH("Party Name-",'R.M Billets Reports'!D408)),TRIM(MID('R.M Billets Reports'!D408,SEARCH("-",'R.M Billets Reports'!D408)+1,200)),""))&lt;&gt;"",IF(ISNUMBER(SEARCH("Party Name:-",'R.M Billets Reports'!D408)),TRIM('R.M Billets Reports'!F408),IF(ISNUMBER(SEARCH("Party Name-",'R.M Billets Reports'!D408)),TRIM(MID('R.M Billets Reports'!D408,SEARCH("-",'R.M Billets Reports'!D408)+1,200)),"")),IF(ISNUMBER(SEARCH("Party Name:-",'R.M Billets Reports'!D409)),TRIM('R.M Billets Reports'!F409),IF(ISNUMBER(SEARCH("Party Name-",'R.M Billets Reports'!D409)),TRIM(MID('R.M Billets Reports'!D409,SEARCH("-",'R.M Billets Reports'!D409)+1,200)),"")))="VRKP ISPAT PVT LTD","VRKP",IF(IF(IF(ISNUMBER(SEARCH("Party Name:-",'R.M Billets Reports'!D408)),TRIM('R.M Billets Reports'!F408),IF(ISNUMBER(SEARCH("Party Name-",'R.M Billets Reports'!D408)),TRIM(MID('R.M Billets Reports'!D408,SEARCH("-",'R.M Billets Reports'!D408)+1,200)),""))&lt;&gt;"",IF(ISNUMBER(SEARCH("Party Name:-",'R.M Billets Reports'!D408)),TRIM('R.M Billets Reports'!F408),IF(ISNUMBER(SEARCH("Party Name-",'R.M Billets Reports'!D408)),TRIM(MID('R.M Billets Reports'!D408,SEARCH("-",'R.M Billets Reports'!D408)+1,200)),"")),IF(ISNUMBER(SEARCH("Party Name:-",'R.M Billets Reports'!D409)),TRIM('R.M Billets Reports'!F409),IF(ISNUMBER(SEARCH("Party Name-",'R.M Billets Reports'!D409)),TRIM(MID('R.M Billets Reports'!D409,SEARCH("-",'R.M Billets Reports'!D409)+1,200)),"")))="SHRI RADHE","SHREE RADHE",IF(IF(IF(ISNUMBER(SEARCH("Party Name:-",'R.M Billets Reports'!D408)),TRIM('R.M Billets Reports'!F408),IF(ISNUMBER(SEARCH("Party Name-",'R.M Billets Reports'!D408)),TRIM(MID('R.M Billets Reports'!D408,SEARCH("-",'R.M Billets Reports'!D408)+1,200)),""))&lt;&gt;"",IF(ISNUMBER(SEARCH("Party Name:-",'R.M Billets Reports'!D408)),TRIM('R.M Billets Reports'!F408),IF(ISNUMBER(SEARCH("Party Name-",'R.M Billets Reports'!D408)),TRIM(MID('R.M Billets Reports'!D408,SEARCH("-",'R.M Billets Reports'!D408)+1,200)),"")),IF(ISNUMBER(SEARCH("Party Name:-",'R.M Billets Reports'!D409)),TRIM('R.M Billets Reports'!F409),IF(ISNUMBER(SEARCH("Party Name-",'R.M Billets Reports'!D409)),TRIM(MID('R.M Billets Reports'!D409,SEARCH("-",'R.M Billets Reports'!D409)+1,200)),"")))="SHREE RADHE SHAKTI SPONGE AND POWER PVT. LTD.","SHREE RADHE",IF(IF(ISNUMBER(SEARCH("Party Name:-",'R.M Billets Reports'!D408)),TRIM('R.M Billets Reports'!F408),IF(ISNUMBER(SEARCH("Party Name-",'R.M Billets Reports'!D408)),TRIM(MID('R.M Billets Reports'!D408,SEARCH("-",'R.M Billets Reports'!D408)+1,200)),""))&lt;&gt;"",IF(ISNUMBER(SEARCH("Party Name:-",'R.M Billets Reports'!D408)),TRIM('R.M Billets Reports'!F408),IF(ISNUMBER(SEARCH("Party Name-",'R.M Billets Reports'!D408)),TRIM(MID('R.M Billets Reports'!D408,SEARCH("-",'R.M Billets Reports'!D408)+1,200)),"")),IF(ISNUMBER(SEARCH("Party Name:-",'R.M Billets Reports'!D409)),TRIM('R.M Billets Reports'!F409),IF(ISNUMBER(SEARCH("Party Name-",'R.M Billets Reports'!D409)),TRIM(MID('R.M Billets Reports'!D409,SEARCH("-",'R.M Billets Reports'!D409)+1,200)),"")))))),IF(ROW()=2,"",A408))</f>
      </c>
      <c r="B409">
        <f>IF(OR('R.M Billets Reports'!A408="Date-",'R.M Billets Reports'!A408="Date:-"),'R.M Billets Reports'!B408,IF(ROW()=2,"",B408))</f>
      </c>
      <c r="C409">
        <f>IF('R.M Billets Reports'!A408="V.No.",'R.M Billets Reports'!B408,IF(ROW()=2,"",C408))</f>
      </c>
      <c r="D409">
        <f>IF('R.M Billets Reports'!A408&lt;&gt;"",'R.M Billets Reports'!A408,IF(ROW()=2,"",D408))</f>
      </c>
      <c r="E409">
        <f>IF('R.M Billets Reports'!B408="","",TRIM('R.M Billets Reports'!B408))</f>
      </c>
      <c r="F409">
        <f>'R.M Billets Reports'!C408</f>
      </c>
      <c r="G409">
        <f>'R.M Billets Reports'!D408</f>
      </c>
      <c r="H409">
        <f>'R.M Billets Reports'!E408</f>
      </c>
      <c r="I409">
        <f>'R.M Billets Reports'!F408</f>
      </c>
      <c r="J409">
        <f>'R.M Billets Reports'!G408</f>
      </c>
      <c r="K409">
        <f>'R.M Billets Reports'!H408</f>
      </c>
      <c r="L409">
        <f>IF('R.M Billets Reports'!I408="","",'R.M Billets Reports'!I408)</f>
      </c>
      <c r="M409">
        <f t="shared" si="12"/>
      </c>
      <c r="N409">
        <f>IF('R.M Billets Reports'!J408="","",'R.M Billets Reports'!J408)</f>
      </c>
      <c r="O409">
        <f t="shared" si="13"/>
      </c>
      <c r="P409">
        <f>IF('R.M Billets Reports'!A408="SIZE",'R.M Billets Reports'!B408,P408)</f>
      </c>
    </row>
    <row r="410" spans="1:16" x14ac:dyDescent="0.25">
      <c r="A410">
        <f>IF(OR('R.M Billets Reports'!A409="Date-",'R.M Billets Reports'!A409="Date:-"),IF(IF(IF(ISNUMBER(SEARCH("Party Name:-",'R.M Billets Reports'!D409)),TRIM('R.M Billets Reports'!F409),IF(ISNUMBER(SEARCH("Party Name-",'R.M Billets Reports'!D409)),TRIM(MID('R.M Billets Reports'!D409,SEARCH("-",'R.M Billets Reports'!D409)+1,200)),""))&lt;&gt;"",IF(ISNUMBER(SEARCH("Party Name:-",'R.M Billets Reports'!D409)),TRIM('R.M Billets Reports'!F409),IF(ISNUMBER(SEARCH("Party Name-",'R.M Billets Reports'!D409)),TRIM(MID('R.M Billets Reports'!D409,SEARCH("-",'R.M Billets Reports'!D409)+1,200)),"")),IF(ISNUMBER(SEARCH("Party Name:-",'R.M Billets Reports'!D410)),TRIM('R.M Billets Reports'!F410),IF(ISNUMBER(SEARCH("Party Name-",'R.M Billets Reports'!D410)),TRIM(MID('R.M Billets Reports'!D410,SEARCH("-",'R.M Billets Reports'!D410)+1,200)),"")))="VRKP ISPAT PVT LTD","VRKP",IF(IF(IF(ISNUMBER(SEARCH("Party Name:-",'R.M Billets Reports'!D409)),TRIM('R.M Billets Reports'!F409),IF(ISNUMBER(SEARCH("Party Name-",'R.M Billets Reports'!D409)),TRIM(MID('R.M Billets Reports'!D409,SEARCH("-",'R.M Billets Reports'!D409)+1,200)),""))&lt;&gt;"",IF(ISNUMBER(SEARCH("Party Name:-",'R.M Billets Reports'!D409)),TRIM('R.M Billets Reports'!F409),IF(ISNUMBER(SEARCH("Party Name-",'R.M Billets Reports'!D409)),TRIM(MID('R.M Billets Reports'!D409,SEARCH("-",'R.M Billets Reports'!D409)+1,200)),"")),IF(ISNUMBER(SEARCH("Party Name:-",'R.M Billets Reports'!D410)),TRIM('R.M Billets Reports'!F410),IF(ISNUMBER(SEARCH("Party Name-",'R.M Billets Reports'!D410)),TRIM(MID('R.M Billets Reports'!D410,SEARCH("-",'R.M Billets Reports'!D410)+1,200)),"")))="SHRI RADHE","SHREE RADHE",IF(IF(IF(ISNUMBER(SEARCH("Party Name:-",'R.M Billets Reports'!D409)),TRIM('R.M Billets Reports'!F409),IF(ISNUMBER(SEARCH("Party Name-",'R.M Billets Reports'!D409)),TRIM(MID('R.M Billets Reports'!D409,SEARCH("-",'R.M Billets Reports'!D409)+1,200)),""))&lt;&gt;"",IF(ISNUMBER(SEARCH("Party Name:-",'R.M Billets Reports'!D409)),TRIM('R.M Billets Reports'!F409),IF(ISNUMBER(SEARCH("Party Name-",'R.M Billets Reports'!D409)),TRIM(MID('R.M Billets Reports'!D409,SEARCH("-",'R.M Billets Reports'!D409)+1,200)),"")),IF(ISNUMBER(SEARCH("Party Name:-",'R.M Billets Reports'!D410)),TRIM('R.M Billets Reports'!F410),IF(ISNUMBER(SEARCH("Party Name-",'R.M Billets Reports'!D410)),TRIM(MID('R.M Billets Reports'!D410,SEARCH("-",'R.M Billets Reports'!D410)+1,200)),"")))="SHREE RADHE SHAKTI SPONGE AND POWER PVT. LTD.","SHREE RADHE",IF(IF(ISNUMBER(SEARCH("Party Name:-",'R.M Billets Reports'!D409)),TRIM('R.M Billets Reports'!F409),IF(ISNUMBER(SEARCH("Party Name-",'R.M Billets Reports'!D409)),TRIM(MID('R.M Billets Reports'!D409,SEARCH("-",'R.M Billets Reports'!D409)+1,200)),""))&lt;&gt;"",IF(ISNUMBER(SEARCH("Party Name:-",'R.M Billets Reports'!D409)),TRIM('R.M Billets Reports'!F409),IF(ISNUMBER(SEARCH("Party Name-",'R.M Billets Reports'!D409)),TRIM(MID('R.M Billets Reports'!D409,SEARCH("-",'R.M Billets Reports'!D409)+1,200)),"")),IF(ISNUMBER(SEARCH("Party Name:-",'R.M Billets Reports'!D410)),TRIM('R.M Billets Reports'!F410),IF(ISNUMBER(SEARCH("Party Name-",'R.M Billets Reports'!D410)),TRIM(MID('R.M Billets Reports'!D410,SEARCH("-",'R.M Billets Reports'!D410)+1,200)),"")))))),IF(ROW()=2,"",A409))</f>
      </c>
      <c r="B410">
        <f>IF(OR('R.M Billets Reports'!A409="Date-",'R.M Billets Reports'!A409="Date:-"),'R.M Billets Reports'!B409,IF(ROW()=2,"",B409))</f>
      </c>
      <c r="C410">
        <f>IF('R.M Billets Reports'!A409="V.No.",'R.M Billets Reports'!B409,IF(ROW()=2,"",C409))</f>
      </c>
      <c r="D410">
        <f>IF('R.M Billets Reports'!A409&lt;&gt;"",'R.M Billets Reports'!A409,IF(ROW()=2,"",D409))</f>
      </c>
      <c r="E410">
        <f>IF('R.M Billets Reports'!B409="","",TRIM('R.M Billets Reports'!B409))</f>
      </c>
      <c r="F410">
        <f>'R.M Billets Reports'!C409</f>
      </c>
      <c r="G410">
        <f>'R.M Billets Reports'!D409</f>
      </c>
      <c r="H410">
        <f>'R.M Billets Reports'!E409</f>
      </c>
      <c r="I410">
        <f>'R.M Billets Reports'!F409</f>
      </c>
      <c r="J410">
        <f>'R.M Billets Reports'!G409</f>
      </c>
      <c r="K410">
        <f>'R.M Billets Reports'!H409</f>
      </c>
      <c r="L410">
        <f>IF('R.M Billets Reports'!I409="","",'R.M Billets Reports'!I409)</f>
      </c>
      <c r="M410">
        <f t="shared" si="12"/>
      </c>
      <c r="N410">
        <f>IF('R.M Billets Reports'!J409="","",'R.M Billets Reports'!J409)</f>
      </c>
      <c r="O410">
        <f t="shared" si="13"/>
      </c>
      <c r="P410">
        <f>IF('R.M Billets Reports'!A409="SIZE",'R.M Billets Reports'!B409,P409)</f>
      </c>
    </row>
    <row r="411" spans="1:16" x14ac:dyDescent="0.25">
      <c r="A411">
        <f>IF(OR('R.M Billets Reports'!A410="Date-",'R.M Billets Reports'!A410="Date:-"),IF(IF(IF(ISNUMBER(SEARCH("Party Name:-",'R.M Billets Reports'!D410)),TRIM('R.M Billets Reports'!F410),IF(ISNUMBER(SEARCH("Party Name-",'R.M Billets Reports'!D410)),TRIM(MID('R.M Billets Reports'!D410,SEARCH("-",'R.M Billets Reports'!D410)+1,200)),""))&lt;&gt;"",IF(ISNUMBER(SEARCH("Party Name:-",'R.M Billets Reports'!D410)),TRIM('R.M Billets Reports'!F410),IF(ISNUMBER(SEARCH("Party Name-",'R.M Billets Reports'!D410)),TRIM(MID('R.M Billets Reports'!D410,SEARCH("-",'R.M Billets Reports'!D410)+1,200)),"")),IF(ISNUMBER(SEARCH("Party Name:-",'R.M Billets Reports'!D411)),TRIM('R.M Billets Reports'!F411),IF(ISNUMBER(SEARCH("Party Name-",'R.M Billets Reports'!D411)),TRIM(MID('R.M Billets Reports'!D411,SEARCH("-",'R.M Billets Reports'!D411)+1,200)),"")))="VRKP ISPAT PVT LTD","VRKP",IF(IF(IF(ISNUMBER(SEARCH("Party Name:-",'R.M Billets Reports'!D410)),TRIM('R.M Billets Reports'!F410),IF(ISNUMBER(SEARCH("Party Name-",'R.M Billets Reports'!D410)),TRIM(MID('R.M Billets Reports'!D410,SEARCH("-",'R.M Billets Reports'!D410)+1,200)),""))&lt;&gt;"",IF(ISNUMBER(SEARCH("Party Name:-",'R.M Billets Reports'!D410)),TRIM('R.M Billets Reports'!F410),IF(ISNUMBER(SEARCH("Party Name-",'R.M Billets Reports'!D410)),TRIM(MID('R.M Billets Reports'!D410,SEARCH("-",'R.M Billets Reports'!D410)+1,200)),"")),IF(ISNUMBER(SEARCH("Party Name:-",'R.M Billets Reports'!D411)),TRIM('R.M Billets Reports'!F411),IF(ISNUMBER(SEARCH("Party Name-",'R.M Billets Reports'!D411)),TRIM(MID('R.M Billets Reports'!D411,SEARCH("-",'R.M Billets Reports'!D411)+1,200)),"")))="SHRI RADHE","SHREE RADHE",IF(IF(IF(ISNUMBER(SEARCH("Party Name:-",'R.M Billets Reports'!D410)),TRIM('R.M Billets Reports'!F410),IF(ISNUMBER(SEARCH("Party Name-",'R.M Billets Reports'!D410)),TRIM(MID('R.M Billets Reports'!D410,SEARCH("-",'R.M Billets Reports'!D410)+1,200)),""))&lt;&gt;"",IF(ISNUMBER(SEARCH("Party Name:-",'R.M Billets Reports'!D410)),TRIM('R.M Billets Reports'!F410),IF(ISNUMBER(SEARCH("Party Name-",'R.M Billets Reports'!D410)),TRIM(MID('R.M Billets Reports'!D410,SEARCH("-",'R.M Billets Reports'!D410)+1,200)),"")),IF(ISNUMBER(SEARCH("Party Name:-",'R.M Billets Reports'!D411)),TRIM('R.M Billets Reports'!F411),IF(ISNUMBER(SEARCH("Party Name-",'R.M Billets Reports'!D411)),TRIM(MID('R.M Billets Reports'!D411,SEARCH("-",'R.M Billets Reports'!D411)+1,200)),"")))="SHREE RADHE SHAKTI SPONGE AND POWER PVT. LTD.","SHREE RADHE",IF(IF(ISNUMBER(SEARCH("Party Name:-",'R.M Billets Reports'!D410)),TRIM('R.M Billets Reports'!F410),IF(ISNUMBER(SEARCH("Party Name-",'R.M Billets Reports'!D410)),TRIM(MID('R.M Billets Reports'!D410,SEARCH("-",'R.M Billets Reports'!D410)+1,200)),""))&lt;&gt;"",IF(ISNUMBER(SEARCH("Party Name:-",'R.M Billets Reports'!D410)),TRIM('R.M Billets Reports'!F410),IF(ISNUMBER(SEARCH("Party Name-",'R.M Billets Reports'!D410)),TRIM(MID('R.M Billets Reports'!D410,SEARCH("-",'R.M Billets Reports'!D410)+1,200)),"")),IF(ISNUMBER(SEARCH("Party Name:-",'R.M Billets Reports'!D411)),TRIM('R.M Billets Reports'!F411),IF(ISNUMBER(SEARCH("Party Name-",'R.M Billets Reports'!D411)),TRIM(MID('R.M Billets Reports'!D411,SEARCH("-",'R.M Billets Reports'!D411)+1,200)),"")))))),IF(ROW()=2,"",A410))</f>
      </c>
      <c r="B411">
        <f>IF(OR('R.M Billets Reports'!A410="Date-",'R.M Billets Reports'!A410="Date:-"),'R.M Billets Reports'!B410,IF(ROW()=2,"",B410))</f>
      </c>
      <c r="C411">
        <f>IF('R.M Billets Reports'!A410="V.No.",'R.M Billets Reports'!B410,IF(ROW()=2,"",C410))</f>
      </c>
      <c r="D411">
        <f>IF('R.M Billets Reports'!A410&lt;&gt;"",'R.M Billets Reports'!A410,IF(ROW()=2,"",D410))</f>
      </c>
      <c r="E411">
        <f>IF('R.M Billets Reports'!B410="","",TRIM('R.M Billets Reports'!B410))</f>
      </c>
      <c r="F411">
        <f>'R.M Billets Reports'!C410</f>
      </c>
      <c r="G411">
        <f>'R.M Billets Reports'!D410</f>
      </c>
      <c r="H411">
        <f>'R.M Billets Reports'!E410</f>
      </c>
      <c r="I411">
        <f>'R.M Billets Reports'!F410</f>
      </c>
      <c r="J411">
        <f>'R.M Billets Reports'!G410</f>
      </c>
      <c r="K411">
        <f>'R.M Billets Reports'!H410</f>
      </c>
      <c r="L411">
        <f>IF('R.M Billets Reports'!I410="","",'R.M Billets Reports'!I410)</f>
      </c>
      <c r="M411">
        <f t="shared" si="12"/>
      </c>
      <c r="N411">
        <f>IF('R.M Billets Reports'!J410="","",'R.M Billets Reports'!J410)</f>
      </c>
      <c r="O411">
        <f t="shared" si="13"/>
      </c>
      <c r="P411">
        <f>IF('R.M Billets Reports'!A410="SIZE",'R.M Billets Reports'!B410,P410)</f>
      </c>
    </row>
    <row r="412" spans="1:16" x14ac:dyDescent="0.25">
      <c r="A412">
        <f>IF(OR('R.M Billets Reports'!A411="Date-",'R.M Billets Reports'!A411="Date:-"),IF(IF(IF(ISNUMBER(SEARCH("Party Name:-",'R.M Billets Reports'!D411)),TRIM('R.M Billets Reports'!F411),IF(ISNUMBER(SEARCH("Party Name-",'R.M Billets Reports'!D411)),TRIM(MID('R.M Billets Reports'!D411,SEARCH("-",'R.M Billets Reports'!D411)+1,200)),""))&lt;&gt;"",IF(ISNUMBER(SEARCH("Party Name:-",'R.M Billets Reports'!D411)),TRIM('R.M Billets Reports'!F411),IF(ISNUMBER(SEARCH("Party Name-",'R.M Billets Reports'!D411)),TRIM(MID('R.M Billets Reports'!D411,SEARCH("-",'R.M Billets Reports'!D411)+1,200)),"")),IF(ISNUMBER(SEARCH("Party Name:-",'R.M Billets Reports'!D412)),TRIM('R.M Billets Reports'!F412),IF(ISNUMBER(SEARCH("Party Name-",'R.M Billets Reports'!D412)),TRIM(MID('R.M Billets Reports'!D412,SEARCH("-",'R.M Billets Reports'!D412)+1,200)),"")))="VRKP ISPAT PVT LTD","VRKP",IF(IF(IF(ISNUMBER(SEARCH("Party Name:-",'R.M Billets Reports'!D411)),TRIM('R.M Billets Reports'!F411),IF(ISNUMBER(SEARCH("Party Name-",'R.M Billets Reports'!D411)),TRIM(MID('R.M Billets Reports'!D411,SEARCH("-",'R.M Billets Reports'!D411)+1,200)),""))&lt;&gt;"",IF(ISNUMBER(SEARCH("Party Name:-",'R.M Billets Reports'!D411)),TRIM('R.M Billets Reports'!F411),IF(ISNUMBER(SEARCH("Party Name-",'R.M Billets Reports'!D411)),TRIM(MID('R.M Billets Reports'!D411,SEARCH("-",'R.M Billets Reports'!D411)+1,200)),"")),IF(ISNUMBER(SEARCH("Party Name:-",'R.M Billets Reports'!D412)),TRIM('R.M Billets Reports'!F412),IF(ISNUMBER(SEARCH("Party Name-",'R.M Billets Reports'!D412)),TRIM(MID('R.M Billets Reports'!D412,SEARCH("-",'R.M Billets Reports'!D412)+1,200)),"")))="SHRI RADHE","SHREE RADHE",IF(IF(IF(ISNUMBER(SEARCH("Party Name:-",'R.M Billets Reports'!D411)),TRIM('R.M Billets Reports'!F411),IF(ISNUMBER(SEARCH("Party Name-",'R.M Billets Reports'!D411)),TRIM(MID('R.M Billets Reports'!D411,SEARCH("-",'R.M Billets Reports'!D411)+1,200)),""))&lt;&gt;"",IF(ISNUMBER(SEARCH("Party Name:-",'R.M Billets Reports'!D411)),TRIM('R.M Billets Reports'!F411),IF(ISNUMBER(SEARCH("Party Name-",'R.M Billets Reports'!D411)),TRIM(MID('R.M Billets Reports'!D411,SEARCH("-",'R.M Billets Reports'!D411)+1,200)),"")),IF(ISNUMBER(SEARCH("Party Name:-",'R.M Billets Reports'!D412)),TRIM('R.M Billets Reports'!F412),IF(ISNUMBER(SEARCH("Party Name-",'R.M Billets Reports'!D412)),TRIM(MID('R.M Billets Reports'!D412,SEARCH("-",'R.M Billets Reports'!D412)+1,200)),"")))="SHREE RADHE SHAKTI SPONGE AND POWER PVT. LTD.","SHREE RADHE",IF(IF(ISNUMBER(SEARCH("Party Name:-",'R.M Billets Reports'!D411)),TRIM('R.M Billets Reports'!F411),IF(ISNUMBER(SEARCH("Party Name-",'R.M Billets Reports'!D411)),TRIM(MID('R.M Billets Reports'!D411,SEARCH("-",'R.M Billets Reports'!D411)+1,200)),""))&lt;&gt;"",IF(ISNUMBER(SEARCH("Party Name:-",'R.M Billets Reports'!D411)),TRIM('R.M Billets Reports'!F411),IF(ISNUMBER(SEARCH("Party Name-",'R.M Billets Reports'!D411)),TRIM(MID('R.M Billets Reports'!D411,SEARCH("-",'R.M Billets Reports'!D411)+1,200)),"")),IF(ISNUMBER(SEARCH("Party Name:-",'R.M Billets Reports'!D412)),TRIM('R.M Billets Reports'!F412),IF(ISNUMBER(SEARCH("Party Name-",'R.M Billets Reports'!D412)),TRIM(MID('R.M Billets Reports'!D412,SEARCH("-",'R.M Billets Reports'!D412)+1,200)),"")))))),IF(ROW()=2,"",A411))</f>
      </c>
      <c r="B412">
        <f>IF(OR('R.M Billets Reports'!A411="Date-",'R.M Billets Reports'!A411="Date:-"),'R.M Billets Reports'!B411,IF(ROW()=2,"",B411))</f>
      </c>
      <c r="C412">
        <f>IF('R.M Billets Reports'!A411="V.No.",'R.M Billets Reports'!B411,IF(ROW()=2,"",C411))</f>
      </c>
      <c r="D412">
        <f>IF('R.M Billets Reports'!A411&lt;&gt;"",'R.M Billets Reports'!A411,IF(ROW()=2,"",D411))</f>
      </c>
      <c r="E412">
        <f>IF('R.M Billets Reports'!B411="","",TRIM('R.M Billets Reports'!B411))</f>
      </c>
      <c r="F412">
        <f>'R.M Billets Reports'!C411</f>
      </c>
      <c r="G412">
        <f>'R.M Billets Reports'!D411</f>
      </c>
      <c r="H412">
        <f>'R.M Billets Reports'!E411</f>
      </c>
      <c r="I412">
        <f>'R.M Billets Reports'!F411</f>
      </c>
      <c r="J412">
        <f>'R.M Billets Reports'!G411</f>
      </c>
      <c r="K412">
        <f>'R.M Billets Reports'!H411</f>
      </c>
      <c r="L412">
        <f>IF('R.M Billets Reports'!I411="","",'R.M Billets Reports'!I411)</f>
      </c>
      <c r="M412">
        <f t="shared" si="12"/>
      </c>
      <c r="N412">
        <f>IF('R.M Billets Reports'!J411="","",'R.M Billets Reports'!J411)</f>
      </c>
      <c r="O412">
        <f t="shared" si="13"/>
      </c>
      <c r="P412">
        <f>IF('R.M Billets Reports'!A411="SIZE",'R.M Billets Reports'!B411,P411)</f>
      </c>
    </row>
    <row r="413" spans="1:16" x14ac:dyDescent="0.25">
      <c r="A413">
        <f>IF(OR('R.M Billets Reports'!A412="Date-",'R.M Billets Reports'!A412="Date:-"),IF(IF(IF(ISNUMBER(SEARCH("Party Name:-",'R.M Billets Reports'!D412)),TRIM('R.M Billets Reports'!F412),IF(ISNUMBER(SEARCH("Party Name-",'R.M Billets Reports'!D412)),TRIM(MID('R.M Billets Reports'!D412,SEARCH("-",'R.M Billets Reports'!D412)+1,200)),""))&lt;&gt;"",IF(ISNUMBER(SEARCH("Party Name:-",'R.M Billets Reports'!D412)),TRIM('R.M Billets Reports'!F412),IF(ISNUMBER(SEARCH("Party Name-",'R.M Billets Reports'!D412)),TRIM(MID('R.M Billets Reports'!D412,SEARCH("-",'R.M Billets Reports'!D412)+1,200)),"")),IF(ISNUMBER(SEARCH("Party Name:-",'R.M Billets Reports'!D413)),TRIM('R.M Billets Reports'!F413),IF(ISNUMBER(SEARCH("Party Name-",'R.M Billets Reports'!D413)),TRIM(MID('R.M Billets Reports'!D413,SEARCH("-",'R.M Billets Reports'!D413)+1,200)),"")))="VRKP ISPAT PVT LTD","VRKP",IF(IF(IF(ISNUMBER(SEARCH("Party Name:-",'R.M Billets Reports'!D412)),TRIM('R.M Billets Reports'!F412),IF(ISNUMBER(SEARCH("Party Name-",'R.M Billets Reports'!D412)),TRIM(MID('R.M Billets Reports'!D412,SEARCH("-",'R.M Billets Reports'!D412)+1,200)),""))&lt;&gt;"",IF(ISNUMBER(SEARCH("Party Name:-",'R.M Billets Reports'!D412)),TRIM('R.M Billets Reports'!F412),IF(ISNUMBER(SEARCH("Party Name-",'R.M Billets Reports'!D412)),TRIM(MID('R.M Billets Reports'!D412,SEARCH("-",'R.M Billets Reports'!D412)+1,200)),"")),IF(ISNUMBER(SEARCH("Party Name:-",'R.M Billets Reports'!D413)),TRIM('R.M Billets Reports'!F413),IF(ISNUMBER(SEARCH("Party Name-",'R.M Billets Reports'!D413)),TRIM(MID('R.M Billets Reports'!D413,SEARCH("-",'R.M Billets Reports'!D413)+1,200)),"")))="SHRI RADHE","SHREE RADHE",IF(IF(IF(ISNUMBER(SEARCH("Party Name:-",'R.M Billets Reports'!D412)),TRIM('R.M Billets Reports'!F412),IF(ISNUMBER(SEARCH("Party Name-",'R.M Billets Reports'!D412)),TRIM(MID('R.M Billets Reports'!D412,SEARCH("-",'R.M Billets Reports'!D412)+1,200)),""))&lt;&gt;"",IF(ISNUMBER(SEARCH("Party Name:-",'R.M Billets Reports'!D412)),TRIM('R.M Billets Reports'!F412),IF(ISNUMBER(SEARCH("Party Name-",'R.M Billets Reports'!D412)),TRIM(MID('R.M Billets Reports'!D412,SEARCH("-",'R.M Billets Reports'!D412)+1,200)),"")),IF(ISNUMBER(SEARCH("Party Name:-",'R.M Billets Reports'!D413)),TRIM('R.M Billets Reports'!F413),IF(ISNUMBER(SEARCH("Party Name-",'R.M Billets Reports'!D413)),TRIM(MID('R.M Billets Reports'!D413,SEARCH("-",'R.M Billets Reports'!D413)+1,200)),"")))="SHREE RADHE SHAKTI SPONGE AND POWER PVT. LTD.","SHREE RADHE",IF(IF(ISNUMBER(SEARCH("Party Name:-",'R.M Billets Reports'!D412)),TRIM('R.M Billets Reports'!F412),IF(ISNUMBER(SEARCH("Party Name-",'R.M Billets Reports'!D412)),TRIM(MID('R.M Billets Reports'!D412,SEARCH("-",'R.M Billets Reports'!D412)+1,200)),""))&lt;&gt;"",IF(ISNUMBER(SEARCH("Party Name:-",'R.M Billets Reports'!D412)),TRIM('R.M Billets Reports'!F412),IF(ISNUMBER(SEARCH("Party Name-",'R.M Billets Reports'!D412)),TRIM(MID('R.M Billets Reports'!D412,SEARCH("-",'R.M Billets Reports'!D412)+1,200)),"")),IF(ISNUMBER(SEARCH("Party Name:-",'R.M Billets Reports'!D413)),TRIM('R.M Billets Reports'!F413),IF(ISNUMBER(SEARCH("Party Name-",'R.M Billets Reports'!D413)),TRIM(MID('R.M Billets Reports'!D413,SEARCH("-",'R.M Billets Reports'!D413)+1,200)),"")))))),IF(ROW()=2,"",A412))</f>
      </c>
      <c r="B413">
        <f>IF(OR('R.M Billets Reports'!A412="Date-",'R.M Billets Reports'!A412="Date:-"),'R.M Billets Reports'!B412,IF(ROW()=2,"",B412))</f>
      </c>
      <c r="C413">
        <f>IF('R.M Billets Reports'!A412="V.No.",'R.M Billets Reports'!B412,IF(ROW()=2,"",C412))</f>
      </c>
      <c r="D413">
        <f>IF('R.M Billets Reports'!A412&lt;&gt;"",'R.M Billets Reports'!A412,IF(ROW()=2,"",D412))</f>
      </c>
      <c r="E413">
        <f>IF('R.M Billets Reports'!B412="","",TRIM('R.M Billets Reports'!B412))</f>
      </c>
      <c r="F413">
        <f>'R.M Billets Reports'!C412</f>
      </c>
      <c r="G413">
        <f>'R.M Billets Reports'!D412</f>
      </c>
      <c r="H413">
        <f>'R.M Billets Reports'!E412</f>
      </c>
      <c r="I413">
        <f>'R.M Billets Reports'!F412</f>
      </c>
      <c r="J413">
        <f>'R.M Billets Reports'!G412</f>
      </c>
      <c r="K413">
        <f>'R.M Billets Reports'!H412</f>
      </c>
      <c r="L413">
        <f>IF('R.M Billets Reports'!I412="","",'R.M Billets Reports'!I412)</f>
      </c>
      <c r="M413">
        <f t="shared" si="12"/>
      </c>
      <c r="N413">
        <f>IF('R.M Billets Reports'!J412="","",'R.M Billets Reports'!J412)</f>
      </c>
      <c r="O413">
        <f t="shared" si="13"/>
      </c>
      <c r="P413">
        <f>IF('R.M Billets Reports'!A412="SIZE",'R.M Billets Reports'!B412,P412)</f>
      </c>
    </row>
    <row r="414" spans="1:16" x14ac:dyDescent="0.25">
      <c r="A414">
        <f>IF(OR('R.M Billets Reports'!A413="Date-",'R.M Billets Reports'!A413="Date:-"),IF(IF(IF(ISNUMBER(SEARCH("Party Name:-",'R.M Billets Reports'!D413)),TRIM('R.M Billets Reports'!F413),IF(ISNUMBER(SEARCH("Party Name-",'R.M Billets Reports'!D413)),TRIM(MID('R.M Billets Reports'!D413,SEARCH("-",'R.M Billets Reports'!D413)+1,200)),""))&lt;&gt;"",IF(ISNUMBER(SEARCH("Party Name:-",'R.M Billets Reports'!D413)),TRIM('R.M Billets Reports'!F413),IF(ISNUMBER(SEARCH("Party Name-",'R.M Billets Reports'!D413)),TRIM(MID('R.M Billets Reports'!D413,SEARCH("-",'R.M Billets Reports'!D413)+1,200)),"")),IF(ISNUMBER(SEARCH("Party Name:-",'R.M Billets Reports'!D414)),TRIM('R.M Billets Reports'!F414),IF(ISNUMBER(SEARCH("Party Name-",'R.M Billets Reports'!D414)),TRIM(MID('R.M Billets Reports'!D414,SEARCH("-",'R.M Billets Reports'!D414)+1,200)),"")))="VRKP ISPAT PVT LTD","VRKP",IF(IF(IF(ISNUMBER(SEARCH("Party Name:-",'R.M Billets Reports'!D413)),TRIM('R.M Billets Reports'!F413),IF(ISNUMBER(SEARCH("Party Name-",'R.M Billets Reports'!D413)),TRIM(MID('R.M Billets Reports'!D413,SEARCH("-",'R.M Billets Reports'!D413)+1,200)),""))&lt;&gt;"",IF(ISNUMBER(SEARCH("Party Name:-",'R.M Billets Reports'!D413)),TRIM('R.M Billets Reports'!F413),IF(ISNUMBER(SEARCH("Party Name-",'R.M Billets Reports'!D413)),TRIM(MID('R.M Billets Reports'!D413,SEARCH("-",'R.M Billets Reports'!D413)+1,200)),"")),IF(ISNUMBER(SEARCH("Party Name:-",'R.M Billets Reports'!D414)),TRIM('R.M Billets Reports'!F414),IF(ISNUMBER(SEARCH("Party Name-",'R.M Billets Reports'!D414)),TRIM(MID('R.M Billets Reports'!D414,SEARCH("-",'R.M Billets Reports'!D414)+1,200)),"")))="SHRI RADHE","SHREE RADHE",IF(IF(IF(ISNUMBER(SEARCH("Party Name:-",'R.M Billets Reports'!D413)),TRIM('R.M Billets Reports'!F413),IF(ISNUMBER(SEARCH("Party Name-",'R.M Billets Reports'!D413)),TRIM(MID('R.M Billets Reports'!D413,SEARCH("-",'R.M Billets Reports'!D413)+1,200)),""))&lt;&gt;"",IF(ISNUMBER(SEARCH("Party Name:-",'R.M Billets Reports'!D413)),TRIM('R.M Billets Reports'!F413),IF(ISNUMBER(SEARCH("Party Name-",'R.M Billets Reports'!D413)),TRIM(MID('R.M Billets Reports'!D413,SEARCH("-",'R.M Billets Reports'!D413)+1,200)),"")),IF(ISNUMBER(SEARCH("Party Name:-",'R.M Billets Reports'!D414)),TRIM('R.M Billets Reports'!F414),IF(ISNUMBER(SEARCH("Party Name-",'R.M Billets Reports'!D414)),TRIM(MID('R.M Billets Reports'!D414,SEARCH("-",'R.M Billets Reports'!D414)+1,200)),"")))="SHREE RADHE SHAKTI SPONGE AND POWER PVT. LTD.","SHREE RADHE",IF(IF(ISNUMBER(SEARCH("Party Name:-",'R.M Billets Reports'!D413)),TRIM('R.M Billets Reports'!F413),IF(ISNUMBER(SEARCH("Party Name-",'R.M Billets Reports'!D413)),TRIM(MID('R.M Billets Reports'!D413,SEARCH("-",'R.M Billets Reports'!D413)+1,200)),""))&lt;&gt;"",IF(ISNUMBER(SEARCH("Party Name:-",'R.M Billets Reports'!D413)),TRIM('R.M Billets Reports'!F413),IF(ISNUMBER(SEARCH("Party Name-",'R.M Billets Reports'!D413)),TRIM(MID('R.M Billets Reports'!D413,SEARCH("-",'R.M Billets Reports'!D413)+1,200)),"")),IF(ISNUMBER(SEARCH("Party Name:-",'R.M Billets Reports'!D414)),TRIM('R.M Billets Reports'!F414),IF(ISNUMBER(SEARCH("Party Name-",'R.M Billets Reports'!D414)),TRIM(MID('R.M Billets Reports'!D414,SEARCH("-",'R.M Billets Reports'!D414)+1,200)),"")))))),IF(ROW()=2,"",A413))</f>
      </c>
      <c r="B414">
        <f>IF(OR('R.M Billets Reports'!A413="Date-",'R.M Billets Reports'!A413="Date:-"),'R.M Billets Reports'!B413,IF(ROW()=2,"",B413))</f>
      </c>
      <c r="C414">
        <f>IF('R.M Billets Reports'!A413="V.No.",'R.M Billets Reports'!B413,IF(ROW()=2,"",C413))</f>
      </c>
      <c r="D414">
        <f>IF('R.M Billets Reports'!A413&lt;&gt;"",'R.M Billets Reports'!A413,IF(ROW()=2,"",D413))</f>
      </c>
      <c r="E414">
        <f>IF('R.M Billets Reports'!B413="","",TRIM('R.M Billets Reports'!B413))</f>
      </c>
      <c r="F414">
        <f>'R.M Billets Reports'!C413</f>
      </c>
      <c r="G414">
        <f>'R.M Billets Reports'!D413</f>
      </c>
      <c r="H414">
        <f>'R.M Billets Reports'!E413</f>
      </c>
      <c r="I414">
        <f>'R.M Billets Reports'!F413</f>
      </c>
      <c r="J414">
        <f>'R.M Billets Reports'!G413</f>
      </c>
      <c r="K414">
        <f>'R.M Billets Reports'!H413</f>
      </c>
      <c r="L414">
        <f>IF('R.M Billets Reports'!I413="","",'R.M Billets Reports'!I413)</f>
      </c>
      <c r="M414">
        <f t="shared" si="12"/>
      </c>
      <c r="N414">
        <f>IF('R.M Billets Reports'!J413="","",'R.M Billets Reports'!J413)</f>
      </c>
      <c r="O414">
        <f t="shared" si="13"/>
      </c>
      <c r="P414">
        <f>IF('R.M Billets Reports'!A413="SIZE",'R.M Billets Reports'!B413,P413)</f>
      </c>
    </row>
    <row r="415" spans="1:16" x14ac:dyDescent="0.25">
      <c r="A415">
        <f>IF(OR('R.M Billets Reports'!A414="Date-",'R.M Billets Reports'!A414="Date:-"),IF(IF(IF(ISNUMBER(SEARCH("Party Name:-",'R.M Billets Reports'!D414)),TRIM('R.M Billets Reports'!F414),IF(ISNUMBER(SEARCH("Party Name-",'R.M Billets Reports'!D414)),TRIM(MID('R.M Billets Reports'!D414,SEARCH("-",'R.M Billets Reports'!D414)+1,200)),""))&lt;&gt;"",IF(ISNUMBER(SEARCH("Party Name:-",'R.M Billets Reports'!D414)),TRIM('R.M Billets Reports'!F414),IF(ISNUMBER(SEARCH("Party Name-",'R.M Billets Reports'!D414)),TRIM(MID('R.M Billets Reports'!D414,SEARCH("-",'R.M Billets Reports'!D414)+1,200)),"")),IF(ISNUMBER(SEARCH("Party Name:-",'R.M Billets Reports'!D415)),TRIM('R.M Billets Reports'!F415),IF(ISNUMBER(SEARCH("Party Name-",'R.M Billets Reports'!D415)),TRIM(MID('R.M Billets Reports'!D415,SEARCH("-",'R.M Billets Reports'!D415)+1,200)),"")))="VRKP ISPAT PVT LTD","VRKP",IF(IF(IF(ISNUMBER(SEARCH("Party Name:-",'R.M Billets Reports'!D414)),TRIM('R.M Billets Reports'!F414),IF(ISNUMBER(SEARCH("Party Name-",'R.M Billets Reports'!D414)),TRIM(MID('R.M Billets Reports'!D414,SEARCH("-",'R.M Billets Reports'!D414)+1,200)),""))&lt;&gt;"",IF(ISNUMBER(SEARCH("Party Name:-",'R.M Billets Reports'!D414)),TRIM('R.M Billets Reports'!F414),IF(ISNUMBER(SEARCH("Party Name-",'R.M Billets Reports'!D414)),TRIM(MID('R.M Billets Reports'!D414,SEARCH("-",'R.M Billets Reports'!D414)+1,200)),"")),IF(ISNUMBER(SEARCH("Party Name:-",'R.M Billets Reports'!D415)),TRIM('R.M Billets Reports'!F415),IF(ISNUMBER(SEARCH("Party Name-",'R.M Billets Reports'!D415)),TRIM(MID('R.M Billets Reports'!D415,SEARCH("-",'R.M Billets Reports'!D415)+1,200)),"")))="SHRI RADHE","SHREE RADHE",IF(IF(IF(ISNUMBER(SEARCH("Party Name:-",'R.M Billets Reports'!D414)),TRIM('R.M Billets Reports'!F414),IF(ISNUMBER(SEARCH("Party Name-",'R.M Billets Reports'!D414)),TRIM(MID('R.M Billets Reports'!D414,SEARCH("-",'R.M Billets Reports'!D414)+1,200)),""))&lt;&gt;"",IF(ISNUMBER(SEARCH("Party Name:-",'R.M Billets Reports'!D414)),TRIM('R.M Billets Reports'!F414),IF(ISNUMBER(SEARCH("Party Name-",'R.M Billets Reports'!D414)),TRIM(MID('R.M Billets Reports'!D414,SEARCH("-",'R.M Billets Reports'!D414)+1,200)),"")),IF(ISNUMBER(SEARCH("Party Name:-",'R.M Billets Reports'!D415)),TRIM('R.M Billets Reports'!F415),IF(ISNUMBER(SEARCH("Party Name-",'R.M Billets Reports'!D415)),TRIM(MID('R.M Billets Reports'!D415,SEARCH("-",'R.M Billets Reports'!D415)+1,200)),"")))="SHREE RADHE SHAKTI SPONGE AND POWER PVT. LTD.","SHREE RADHE",IF(IF(ISNUMBER(SEARCH("Party Name:-",'R.M Billets Reports'!D414)),TRIM('R.M Billets Reports'!F414),IF(ISNUMBER(SEARCH("Party Name-",'R.M Billets Reports'!D414)),TRIM(MID('R.M Billets Reports'!D414,SEARCH("-",'R.M Billets Reports'!D414)+1,200)),""))&lt;&gt;"",IF(ISNUMBER(SEARCH("Party Name:-",'R.M Billets Reports'!D414)),TRIM('R.M Billets Reports'!F414),IF(ISNUMBER(SEARCH("Party Name-",'R.M Billets Reports'!D414)),TRIM(MID('R.M Billets Reports'!D414,SEARCH("-",'R.M Billets Reports'!D414)+1,200)),"")),IF(ISNUMBER(SEARCH("Party Name:-",'R.M Billets Reports'!D415)),TRIM('R.M Billets Reports'!F415),IF(ISNUMBER(SEARCH("Party Name-",'R.M Billets Reports'!D415)),TRIM(MID('R.M Billets Reports'!D415,SEARCH("-",'R.M Billets Reports'!D415)+1,200)),"")))))),IF(ROW()=2,"",A414))</f>
      </c>
      <c r="B415">
        <f>IF(OR('R.M Billets Reports'!A414="Date-",'R.M Billets Reports'!A414="Date:-"),'R.M Billets Reports'!B414,IF(ROW()=2,"",B414))</f>
      </c>
      <c r="C415">
        <f>IF('R.M Billets Reports'!A414="V.No.",'R.M Billets Reports'!B414,IF(ROW()=2,"",C414))</f>
      </c>
      <c r="D415">
        <f>IF('R.M Billets Reports'!A414&lt;&gt;"",'R.M Billets Reports'!A414,IF(ROW()=2,"",D414))</f>
      </c>
      <c r="E415">
        <f>IF('R.M Billets Reports'!B414="","",TRIM('R.M Billets Reports'!B414))</f>
      </c>
      <c r="F415">
        <f>'R.M Billets Reports'!C414</f>
      </c>
      <c r="G415">
        <f>'R.M Billets Reports'!D414</f>
      </c>
      <c r="H415">
        <f>'R.M Billets Reports'!E414</f>
      </c>
      <c r="I415">
        <f>'R.M Billets Reports'!F414</f>
      </c>
      <c r="J415">
        <f>'R.M Billets Reports'!G414</f>
      </c>
      <c r="K415">
        <f>'R.M Billets Reports'!H414</f>
      </c>
      <c r="L415">
        <f>IF('R.M Billets Reports'!I414="","",'R.M Billets Reports'!I414)</f>
      </c>
      <c r="M415">
        <f t="shared" si="12"/>
      </c>
      <c r="N415">
        <f>IF('R.M Billets Reports'!J414="","",'R.M Billets Reports'!J414)</f>
      </c>
      <c r="O415">
        <f t="shared" si="13"/>
      </c>
      <c r="P415">
        <f>IF('R.M Billets Reports'!A414="SIZE",'R.M Billets Reports'!B414,P414)</f>
      </c>
    </row>
    <row r="416" spans="1:16" x14ac:dyDescent="0.25">
      <c r="A416">
        <f>IF(OR('R.M Billets Reports'!A415="Date-",'R.M Billets Reports'!A415="Date:-"),IF(IF(IF(ISNUMBER(SEARCH("Party Name:-",'R.M Billets Reports'!D415)),TRIM('R.M Billets Reports'!F415),IF(ISNUMBER(SEARCH("Party Name-",'R.M Billets Reports'!D415)),TRIM(MID('R.M Billets Reports'!D415,SEARCH("-",'R.M Billets Reports'!D415)+1,200)),""))&lt;&gt;"",IF(ISNUMBER(SEARCH("Party Name:-",'R.M Billets Reports'!D415)),TRIM('R.M Billets Reports'!F415),IF(ISNUMBER(SEARCH("Party Name-",'R.M Billets Reports'!D415)),TRIM(MID('R.M Billets Reports'!D415,SEARCH("-",'R.M Billets Reports'!D415)+1,200)),"")),IF(ISNUMBER(SEARCH("Party Name:-",'R.M Billets Reports'!D416)),TRIM('R.M Billets Reports'!F416),IF(ISNUMBER(SEARCH("Party Name-",'R.M Billets Reports'!D416)),TRIM(MID('R.M Billets Reports'!D416,SEARCH("-",'R.M Billets Reports'!D416)+1,200)),"")))="VRKP ISPAT PVT LTD","VRKP",IF(IF(IF(ISNUMBER(SEARCH("Party Name:-",'R.M Billets Reports'!D415)),TRIM('R.M Billets Reports'!F415),IF(ISNUMBER(SEARCH("Party Name-",'R.M Billets Reports'!D415)),TRIM(MID('R.M Billets Reports'!D415,SEARCH("-",'R.M Billets Reports'!D415)+1,200)),""))&lt;&gt;"",IF(ISNUMBER(SEARCH("Party Name:-",'R.M Billets Reports'!D415)),TRIM('R.M Billets Reports'!F415),IF(ISNUMBER(SEARCH("Party Name-",'R.M Billets Reports'!D415)),TRIM(MID('R.M Billets Reports'!D415,SEARCH("-",'R.M Billets Reports'!D415)+1,200)),"")),IF(ISNUMBER(SEARCH("Party Name:-",'R.M Billets Reports'!D416)),TRIM('R.M Billets Reports'!F416),IF(ISNUMBER(SEARCH("Party Name-",'R.M Billets Reports'!D416)),TRIM(MID('R.M Billets Reports'!D416,SEARCH("-",'R.M Billets Reports'!D416)+1,200)),"")))="SHRI RADHE","SHREE RADHE",IF(IF(IF(ISNUMBER(SEARCH("Party Name:-",'R.M Billets Reports'!D415)),TRIM('R.M Billets Reports'!F415),IF(ISNUMBER(SEARCH("Party Name-",'R.M Billets Reports'!D415)),TRIM(MID('R.M Billets Reports'!D415,SEARCH("-",'R.M Billets Reports'!D415)+1,200)),""))&lt;&gt;"",IF(ISNUMBER(SEARCH("Party Name:-",'R.M Billets Reports'!D415)),TRIM('R.M Billets Reports'!F415),IF(ISNUMBER(SEARCH("Party Name-",'R.M Billets Reports'!D415)),TRIM(MID('R.M Billets Reports'!D415,SEARCH("-",'R.M Billets Reports'!D415)+1,200)),"")),IF(ISNUMBER(SEARCH("Party Name:-",'R.M Billets Reports'!D416)),TRIM('R.M Billets Reports'!F416),IF(ISNUMBER(SEARCH("Party Name-",'R.M Billets Reports'!D416)),TRIM(MID('R.M Billets Reports'!D416,SEARCH("-",'R.M Billets Reports'!D416)+1,200)),"")))="SHREE RADHE SHAKTI SPONGE AND POWER PVT. LTD.","SHREE RADHE",IF(IF(ISNUMBER(SEARCH("Party Name:-",'R.M Billets Reports'!D415)),TRIM('R.M Billets Reports'!F415),IF(ISNUMBER(SEARCH("Party Name-",'R.M Billets Reports'!D415)),TRIM(MID('R.M Billets Reports'!D415,SEARCH("-",'R.M Billets Reports'!D415)+1,200)),""))&lt;&gt;"",IF(ISNUMBER(SEARCH("Party Name:-",'R.M Billets Reports'!D415)),TRIM('R.M Billets Reports'!F415),IF(ISNUMBER(SEARCH("Party Name-",'R.M Billets Reports'!D415)),TRIM(MID('R.M Billets Reports'!D415,SEARCH("-",'R.M Billets Reports'!D415)+1,200)),"")),IF(ISNUMBER(SEARCH("Party Name:-",'R.M Billets Reports'!D416)),TRIM('R.M Billets Reports'!F416),IF(ISNUMBER(SEARCH("Party Name-",'R.M Billets Reports'!D416)),TRIM(MID('R.M Billets Reports'!D416,SEARCH("-",'R.M Billets Reports'!D416)+1,200)),"")))))),IF(ROW()=2,"",A415))</f>
      </c>
      <c r="B416">
        <f>IF(OR('R.M Billets Reports'!A415="Date-",'R.M Billets Reports'!A415="Date:-"),'R.M Billets Reports'!B415,IF(ROW()=2,"",B415))</f>
      </c>
      <c r="C416">
        <f>IF('R.M Billets Reports'!A415="V.No.",'R.M Billets Reports'!B415,IF(ROW()=2,"",C415))</f>
      </c>
      <c r="D416">
        <f>IF('R.M Billets Reports'!A415&lt;&gt;"",'R.M Billets Reports'!A415,IF(ROW()=2,"",D415))</f>
      </c>
      <c r="E416">
        <f>IF('R.M Billets Reports'!B415="","",TRIM('R.M Billets Reports'!B415))</f>
      </c>
      <c r="F416">
        <f>'R.M Billets Reports'!C415</f>
      </c>
      <c r="G416">
        <f>'R.M Billets Reports'!D415</f>
      </c>
      <c r="H416">
        <f>'R.M Billets Reports'!E415</f>
      </c>
      <c r="I416">
        <f>'R.M Billets Reports'!F415</f>
      </c>
      <c r="J416">
        <f>'R.M Billets Reports'!G415</f>
      </c>
      <c r="K416">
        <f>'R.M Billets Reports'!H415</f>
      </c>
      <c r="L416">
        <f>IF('R.M Billets Reports'!I415="","",'R.M Billets Reports'!I415)</f>
      </c>
      <c r="M416">
        <f t="shared" si="12"/>
      </c>
      <c r="N416">
        <f>IF('R.M Billets Reports'!J415="","",'R.M Billets Reports'!J415)</f>
      </c>
      <c r="O416">
        <f t="shared" si="13"/>
      </c>
      <c r="P416">
        <f>IF('R.M Billets Reports'!A415="SIZE",'R.M Billets Reports'!B415,P415)</f>
      </c>
    </row>
    <row r="417" spans="1:16" x14ac:dyDescent="0.25">
      <c r="A417">
        <f>IF(OR('R.M Billets Reports'!A416="Date-",'R.M Billets Reports'!A416="Date:-"),IF(IF(IF(ISNUMBER(SEARCH("Party Name:-",'R.M Billets Reports'!D416)),TRIM('R.M Billets Reports'!F416),IF(ISNUMBER(SEARCH("Party Name-",'R.M Billets Reports'!D416)),TRIM(MID('R.M Billets Reports'!D416,SEARCH("-",'R.M Billets Reports'!D416)+1,200)),""))&lt;&gt;"",IF(ISNUMBER(SEARCH("Party Name:-",'R.M Billets Reports'!D416)),TRIM('R.M Billets Reports'!F416),IF(ISNUMBER(SEARCH("Party Name-",'R.M Billets Reports'!D416)),TRIM(MID('R.M Billets Reports'!D416,SEARCH("-",'R.M Billets Reports'!D416)+1,200)),"")),IF(ISNUMBER(SEARCH("Party Name:-",'R.M Billets Reports'!D417)),TRIM('R.M Billets Reports'!F417),IF(ISNUMBER(SEARCH("Party Name-",'R.M Billets Reports'!D417)),TRIM(MID('R.M Billets Reports'!D417,SEARCH("-",'R.M Billets Reports'!D417)+1,200)),"")))="VRKP ISPAT PVT LTD","VRKP",IF(IF(IF(ISNUMBER(SEARCH("Party Name:-",'R.M Billets Reports'!D416)),TRIM('R.M Billets Reports'!F416),IF(ISNUMBER(SEARCH("Party Name-",'R.M Billets Reports'!D416)),TRIM(MID('R.M Billets Reports'!D416,SEARCH("-",'R.M Billets Reports'!D416)+1,200)),""))&lt;&gt;"",IF(ISNUMBER(SEARCH("Party Name:-",'R.M Billets Reports'!D416)),TRIM('R.M Billets Reports'!F416),IF(ISNUMBER(SEARCH("Party Name-",'R.M Billets Reports'!D416)),TRIM(MID('R.M Billets Reports'!D416,SEARCH("-",'R.M Billets Reports'!D416)+1,200)),"")),IF(ISNUMBER(SEARCH("Party Name:-",'R.M Billets Reports'!D417)),TRIM('R.M Billets Reports'!F417),IF(ISNUMBER(SEARCH("Party Name-",'R.M Billets Reports'!D417)),TRIM(MID('R.M Billets Reports'!D417,SEARCH("-",'R.M Billets Reports'!D417)+1,200)),"")))="SHRI RADHE","SHREE RADHE",IF(IF(IF(ISNUMBER(SEARCH("Party Name:-",'R.M Billets Reports'!D416)),TRIM('R.M Billets Reports'!F416),IF(ISNUMBER(SEARCH("Party Name-",'R.M Billets Reports'!D416)),TRIM(MID('R.M Billets Reports'!D416,SEARCH("-",'R.M Billets Reports'!D416)+1,200)),""))&lt;&gt;"",IF(ISNUMBER(SEARCH("Party Name:-",'R.M Billets Reports'!D416)),TRIM('R.M Billets Reports'!F416),IF(ISNUMBER(SEARCH("Party Name-",'R.M Billets Reports'!D416)),TRIM(MID('R.M Billets Reports'!D416,SEARCH("-",'R.M Billets Reports'!D416)+1,200)),"")),IF(ISNUMBER(SEARCH("Party Name:-",'R.M Billets Reports'!D417)),TRIM('R.M Billets Reports'!F417),IF(ISNUMBER(SEARCH("Party Name-",'R.M Billets Reports'!D417)),TRIM(MID('R.M Billets Reports'!D417,SEARCH("-",'R.M Billets Reports'!D417)+1,200)),"")))="SHREE RADHE SHAKTI SPONGE AND POWER PVT. LTD.","SHREE RADHE",IF(IF(ISNUMBER(SEARCH("Party Name:-",'R.M Billets Reports'!D416)),TRIM('R.M Billets Reports'!F416),IF(ISNUMBER(SEARCH("Party Name-",'R.M Billets Reports'!D416)),TRIM(MID('R.M Billets Reports'!D416,SEARCH("-",'R.M Billets Reports'!D416)+1,200)),""))&lt;&gt;"",IF(ISNUMBER(SEARCH("Party Name:-",'R.M Billets Reports'!D416)),TRIM('R.M Billets Reports'!F416),IF(ISNUMBER(SEARCH("Party Name-",'R.M Billets Reports'!D416)),TRIM(MID('R.M Billets Reports'!D416,SEARCH("-",'R.M Billets Reports'!D416)+1,200)),"")),IF(ISNUMBER(SEARCH("Party Name:-",'R.M Billets Reports'!D417)),TRIM('R.M Billets Reports'!F417),IF(ISNUMBER(SEARCH("Party Name-",'R.M Billets Reports'!D417)),TRIM(MID('R.M Billets Reports'!D417,SEARCH("-",'R.M Billets Reports'!D417)+1,200)),"")))))),IF(ROW()=2,"",A416))</f>
      </c>
      <c r="B417">
        <f>IF(OR('R.M Billets Reports'!A416="Date-",'R.M Billets Reports'!A416="Date:-"),'R.M Billets Reports'!B416,IF(ROW()=2,"",B416))</f>
      </c>
      <c r="C417">
        <f>IF('R.M Billets Reports'!A416="V.No.",'R.M Billets Reports'!B416,IF(ROW()=2,"",C416))</f>
      </c>
      <c r="D417">
        <f>IF('R.M Billets Reports'!A416&lt;&gt;"",'R.M Billets Reports'!A416,IF(ROW()=2,"",D416))</f>
      </c>
      <c r="E417">
        <f>IF('R.M Billets Reports'!B416="","",TRIM('R.M Billets Reports'!B416))</f>
      </c>
      <c r="F417">
        <f>'R.M Billets Reports'!C416</f>
      </c>
      <c r="G417">
        <f>'R.M Billets Reports'!D416</f>
      </c>
      <c r="H417">
        <f>'R.M Billets Reports'!E416</f>
      </c>
      <c r="I417">
        <f>'R.M Billets Reports'!F416</f>
      </c>
      <c r="J417">
        <f>'R.M Billets Reports'!G416</f>
      </c>
      <c r="K417">
        <f>'R.M Billets Reports'!H416</f>
      </c>
      <c r="L417">
        <f>IF('R.M Billets Reports'!I416="","",'R.M Billets Reports'!I416)</f>
      </c>
      <c r="M417">
        <f t="shared" si="12"/>
      </c>
      <c r="N417">
        <f>IF('R.M Billets Reports'!J416="","",'R.M Billets Reports'!J416)</f>
      </c>
      <c r="O417">
        <f t="shared" si="13"/>
      </c>
      <c r="P417">
        <f>IF('R.M Billets Reports'!A416="SIZE",'R.M Billets Reports'!B416,P416)</f>
      </c>
    </row>
    <row r="418" spans="1:16" x14ac:dyDescent="0.25">
      <c r="A418">
        <f>IF(OR('R.M Billets Reports'!A417="Date-",'R.M Billets Reports'!A417="Date:-"),IF(IF(IF(ISNUMBER(SEARCH("Party Name:-",'R.M Billets Reports'!D417)),TRIM('R.M Billets Reports'!F417),IF(ISNUMBER(SEARCH("Party Name-",'R.M Billets Reports'!D417)),TRIM(MID('R.M Billets Reports'!D417,SEARCH("-",'R.M Billets Reports'!D417)+1,200)),""))&lt;&gt;"",IF(ISNUMBER(SEARCH("Party Name:-",'R.M Billets Reports'!D417)),TRIM('R.M Billets Reports'!F417),IF(ISNUMBER(SEARCH("Party Name-",'R.M Billets Reports'!D417)),TRIM(MID('R.M Billets Reports'!D417,SEARCH("-",'R.M Billets Reports'!D417)+1,200)),"")),IF(ISNUMBER(SEARCH("Party Name:-",'R.M Billets Reports'!D418)),TRIM('R.M Billets Reports'!F418),IF(ISNUMBER(SEARCH("Party Name-",'R.M Billets Reports'!D418)),TRIM(MID('R.M Billets Reports'!D418,SEARCH("-",'R.M Billets Reports'!D418)+1,200)),"")))="VRKP ISPAT PVT LTD","VRKP",IF(IF(IF(ISNUMBER(SEARCH("Party Name:-",'R.M Billets Reports'!D417)),TRIM('R.M Billets Reports'!F417),IF(ISNUMBER(SEARCH("Party Name-",'R.M Billets Reports'!D417)),TRIM(MID('R.M Billets Reports'!D417,SEARCH("-",'R.M Billets Reports'!D417)+1,200)),""))&lt;&gt;"",IF(ISNUMBER(SEARCH("Party Name:-",'R.M Billets Reports'!D417)),TRIM('R.M Billets Reports'!F417),IF(ISNUMBER(SEARCH("Party Name-",'R.M Billets Reports'!D417)),TRIM(MID('R.M Billets Reports'!D417,SEARCH("-",'R.M Billets Reports'!D417)+1,200)),"")),IF(ISNUMBER(SEARCH("Party Name:-",'R.M Billets Reports'!D418)),TRIM('R.M Billets Reports'!F418),IF(ISNUMBER(SEARCH("Party Name-",'R.M Billets Reports'!D418)),TRIM(MID('R.M Billets Reports'!D418,SEARCH("-",'R.M Billets Reports'!D418)+1,200)),"")))="SHRI RADHE","SHREE RADHE",IF(IF(IF(ISNUMBER(SEARCH("Party Name:-",'R.M Billets Reports'!D417)),TRIM('R.M Billets Reports'!F417),IF(ISNUMBER(SEARCH("Party Name-",'R.M Billets Reports'!D417)),TRIM(MID('R.M Billets Reports'!D417,SEARCH("-",'R.M Billets Reports'!D417)+1,200)),""))&lt;&gt;"",IF(ISNUMBER(SEARCH("Party Name:-",'R.M Billets Reports'!D417)),TRIM('R.M Billets Reports'!F417),IF(ISNUMBER(SEARCH("Party Name-",'R.M Billets Reports'!D417)),TRIM(MID('R.M Billets Reports'!D417,SEARCH("-",'R.M Billets Reports'!D417)+1,200)),"")),IF(ISNUMBER(SEARCH("Party Name:-",'R.M Billets Reports'!D418)),TRIM('R.M Billets Reports'!F418),IF(ISNUMBER(SEARCH("Party Name-",'R.M Billets Reports'!D418)),TRIM(MID('R.M Billets Reports'!D418,SEARCH("-",'R.M Billets Reports'!D418)+1,200)),"")))="SHREE RADHE SHAKTI SPONGE AND POWER PVT. LTD.","SHREE RADHE",IF(IF(ISNUMBER(SEARCH("Party Name:-",'R.M Billets Reports'!D417)),TRIM('R.M Billets Reports'!F417),IF(ISNUMBER(SEARCH("Party Name-",'R.M Billets Reports'!D417)),TRIM(MID('R.M Billets Reports'!D417,SEARCH("-",'R.M Billets Reports'!D417)+1,200)),""))&lt;&gt;"",IF(ISNUMBER(SEARCH("Party Name:-",'R.M Billets Reports'!D417)),TRIM('R.M Billets Reports'!F417),IF(ISNUMBER(SEARCH("Party Name-",'R.M Billets Reports'!D417)),TRIM(MID('R.M Billets Reports'!D417,SEARCH("-",'R.M Billets Reports'!D417)+1,200)),"")),IF(ISNUMBER(SEARCH("Party Name:-",'R.M Billets Reports'!D418)),TRIM('R.M Billets Reports'!F418),IF(ISNUMBER(SEARCH("Party Name-",'R.M Billets Reports'!D418)),TRIM(MID('R.M Billets Reports'!D418,SEARCH("-",'R.M Billets Reports'!D418)+1,200)),"")))))),IF(ROW()=2,"",A417))</f>
      </c>
      <c r="B418">
        <f>IF(OR('R.M Billets Reports'!A417="Date-",'R.M Billets Reports'!A417="Date:-"),'R.M Billets Reports'!B417,IF(ROW()=2,"",B417))</f>
      </c>
      <c r="C418">
        <f>IF('R.M Billets Reports'!A417="V.No.",'R.M Billets Reports'!B417,IF(ROW()=2,"",C417))</f>
      </c>
      <c r="D418">
        <f>IF('R.M Billets Reports'!A417&lt;&gt;"",'R.M Billets Reports'!A417,IF(ROW()=2,"",D417))</f>
      </c>
      <c r="E418">
        <f>IF('R.M Billets Reports'!B417="","",TRIM('R.M Billets Reports'!B417))</f>
      </c>
      <c r="F418">
        <f>'R.M Billets Reports'!C417</f>
      </c>
      <c r="G418">
        <f>'R.M Billets Reports'!D417</f>
      </c>
      <c r="H418">
        <f>'R.M Billets Reports'!E417</f>
      </c>
      <c r="I418">
        <f>'R.M Billets Reports'!F417</f>
      </c>
      <c r="J418">
        <f>'R.M Billets Reports'!G417</f>
      </c>
      <c r="K418">
        <f>'R.M Billets Reports'!H417</f>
      </c>
      <c r="L418">
        <f>IF('R.M Billets Reports'!I417="","",'R.M Billets Reports'!I417)</f>
      </c>
      <c r="M418">
        <f t="shared" si="12"/>
      </c>
      <c r="N418">
        <f>IF('R.M Billets Reports'!J417="","",'R.M Billets Reports'!J417)</f>
      </c>
      <c r="O418">
        <f t="shared" si="13"/>
      </c>
      <c r="P418">
        <f>IF('R.M Billets Reports'!A417="SIZE",'R.M Billets Reports'!B417,P417)</f>
      </c>
    </row>
    <row r="419" spans="1:16" x14ac:dyDescent="0.25">
      <c r="A419">
        <f>IF(OR('R.M Billets Reports'!A418="Date-",'R.M Billets Reports'!A418="Date:-"),IF(IF(IF(ISNUMBER(SEARCH("Party Name:-",'R.M Billets Reports'!D418)),TRIM('R.M Billets Reports'!F418),IF(ISNUMBER(SEARCH("Party Name-",'R.M Billets Reports'!D418)),TRIM(MID('R.M Billets Reports'!D418,SEARCH("-",'R.M Billets Reports'!D418)+1,200)),""))&lt;&gt;"",IF(ISNUMBER(SEARCH("Party Name:-",'R.M Billets Reports'!D418)),TRIM('R.M Billets Reports'!F418),IF(ISNUMBER(SEARCH("Party Name-",'R.M Billets Reports'!D418)),TRIM(MID('R.M Billets Reports'!D418,SEARCH("-",'R.M Billets Reports'!D418)+1,200)),"")),IF(ISNUMBER(SEARCH("Party Name:-",'R.M Billets Reports'!D419)),TRIM('R.M Billets Reports'!F419),IF(ISNUMBER(SEARCH("Party Name-",'R.M Billets Reports'!D419)),TRIM(MID('R.M Billets Reports'!D419,SEARCH("-",'R.M Billets Reports'!D419)+1,200)),"")))="VRKP ISPAT PVT LTD","VRKP",IF(IF(IF(ISNUMBER(SEARCH("Party Name:-",'R.M Billets Reports'!D418)),TRIM('R.M Billets Reports'!F418),IF(ISNUMBER(SEARCH("Party Name-",'R.M Billets Reports'!D418)),TRIM(MID('R.M Billets Reports'!D418,SEARCH("-",'R.M Billets Reports'!D418)+1,200)),""))&lt;&gt;"",IF(ISNUMBER(SEARCH("Party Name:-",'R.M Billets Reports'!D418)),TRIM('R.M Billets Reports'!F418),IF(ISNUMBER(SEARCH("Party Name-",'R.M Billets Reports'!D418)),TRIM(MID('R.M Billets Reports'!D418,SEARCH("-",'R.M Billets Reports'!D418)+1,200)),"")),IF(ISNUMBER(SEARCH("Party Name:-",'R.M Billets Reports'!D419)),TRIM('R.M Billets Reports'!F419),IF(ISNUMBER(SEARCH("Party Name-",'R.M Billets Reports'!D419)),TRIM(MID('R.M Billets Reports'!D419,SEARCH("-",'R.M Billets Reports'!D419)+1,200)),"")))="SHRI RADHE","SHREE RADHE",IF(IF(IF(ISNUMBER(SEARCH("Party Name:-",'R.M Billets Reports'!D418)),TRIM('R.M Billets Reports'!F418),IF(ISNUMBER(SEARCH("Party Name-",'R.M Billets Reports'!D418)),TRIM(MID('R.M Billets Reports'!D418,SEARCH("-",'R.M Billets Reports'!D418)+1,200)),""))&lt;&gt;"",IF(ISNUMBER(SEARCH("Party Name:-",'R.M Billets Reports'!D418)),TRIM('R.M Billets Reports'!F418),IF(ISNUMBER(SEARCH("Party Name-",'R.M Billets Reports'!D418)),TRIM(MID('R.M Billets Reports'!D418,SEARCH("-",'R.M Billets Reports'!D418)+1,200)),"")),IF(ISNUMBER(SEARCH("Party Name:-",'R.M Billets Reports'!D419)),TRIM('R.M Billets Reports'!F419),IF(ISNUMBER(SEARCH("Party Name-",'R.M Billets Reports'!D419)),TRIM(MID('R.M Billets Reports'!D419,SEARCH("-",'R.M Billets Reports'!D419)+1,200)),"")))="SHREE RADHE SHAKTI SPONGE AND POWER PVT. LTD.","SHREE RADHE",IF(IF(ISNUMBER(SEARCH("Party Name:-",'R.M Billets Reports'!D418)),TRIM('R.M Billets Reports'!F418),IF(ISNUMBER(SEARCH("Party Name-",'R.M Billets Reports'!D418)),TRIM(MID('R.M Billets Reports'!D418,SEARCH("-",'R.M Billets Reports'!D418)+1,200)),""))&lt;&gt;"",IF(ISNUMBER(SEARCH("Party Name:-",'R.M Billets Reports'!D418)),TRIM('R.M Billets Reports'!F418),IF(ISNUMBER(SEARCH("Party Name-",'R.M Billets Reports'!D418)),TRIM(MID('R.M Billets Reports'!D418,SEARCH("-",'R.M Billets Reports'!D418)+1,200)),"")),IF(ISNUMBER(SEARCH("Party Name:-",'R.M Billets Reports'!D419)),TRIM('R.M Billets Reports'!F419),IF(ISNUMBER(SEARCH("Party Name-",'R.M Billets Reports'!D419)),TRIM(MID('R.M Billets Reports'!D419,SEARCH("-",'R.M Billets Reports'!D419)+1,200)),"")))))),IF(ROW()=2,"",A418))</f>
      </c>
      <c r="B419">
        <f>IF(OR('R.M Billets Reports'!A418="Date-",'R.M Billets Reports'!A418="Date:-"),'R.M Billets Reports'!B418,IF(ROW()=2,"",B418))</f>
      </c>
      <c r="C419">
        <f>IF('R.M Billets Reports'!A418="V.No.",'R.M Billets Reports'!B418,IF(ROW()=2,"",C418))</f>
      </c>
      <c r="D419">
        <f>IF('R.M Billets Reports'!A418&lt;&gt;"",'R.M Billets Reports'!A418,IF(ROW()=2,"",D418))</f>
      </c>
      <c r="E419">
        <f>IF('R.M Billets Reports'!B418="","",TRIM('R.M Billets Reports'!B418))</f>
      </c>
      <c r="F419">
        <f>'R.M Billets Reports'!C418</f>
      </c>
      <c r="G419">
        <f>'R.M Billets Reports'!D418</f>
      </c>
      <c r="H419">
        <f>'R.M Billets Reports'!E418</f>
      </c>
      <c r="I419">
        <f>'R.M Billets Reports'!F418</f>
      </c>
      <c r="J419">
        <f>'R.M Billets Reports'!G418</f>
      </c>
      <c r="K419">
        <f>'R.M Billets Reports'!H418</f>
      </c>
      <c r="L419">
        <f>IF('R.M Billets Reports'!I418="","",'R.M Billets Reports'!I418)</f>
      </c>
      <c r="M419">
        <f t="shared" si="12"/>
      </c>
      <c r="N419">
        <f>IF('R.M Billets Reports'!J418="","",'R.M Billets Reports'!J418)</f>
      </c>
      <c r="O419">
        <f t="shared" si="13"/>
      </c>
      <c r="P419">
        <f>IF('R.M Billets Reports'!A418="SIZE",'R.M Billets Reports'!B418,P418)</f>
      </c>
    </row>
    <row r="420" spans="1:16" x14ac:dyDescent="0.25">
      <c r="A420">
        <f>IF(OR('R.M Billets Reports'!A419="Date-",'R.M Billets Reports'!A419="Date:-"),IF(IF(IF(ISNUMBER(SEARCH("Party Name:-",'R.M Billets Reports'!D419)),TRIM('R.M Billets Reports'!F419),IF(ISNUMBER(SEARCH("Party Name-",'R.M Billets Reports'!D419)),TRIM(MID('R.M Billets Reports'!D419,SEARCH("-",'R.M Billets Reports'!D419)+1,200)),""))&lt;&gt;"",IF(ISNUMBER(SEARCH("Party Name:-",'R.M Billets Reports'!D419)),TRIM('R.M Billets Reports'!F419),IF(ISNUMBER(SEARCH("Party Name-",'R.M Billets Reports'!D419)),TRIM(MID('R.M Billets Reports'!D419,SEARCH("-",'R.M Billets Reports'!D419)+1,200)),"")),IF(ISNUMBER(SEARCH("Party Name:-",'R.M Billets Reports'!D420)),TRIM('R.M Billets Reports'!F420),IF(ISNUMBER(SEARCH("Party Name-",'R.M Billets Reports'!D420)),TRIM(MID('R.M Billets Reports'!D420,SEARCH("-",'R.M Billets Reports'!D420)+1,200)),"")))="VRKP ISPAT PVT LTD","VRKP",IF(IF(IF(ISNUMBER(SEARCH("Party Name:-",'R.M Billets Reports'!D419)),TRIM('R.M Billets Reports'!F419),IF(ISNUMBER(SEARCH("Party Name-",'R.M Billets Reports'!D419)),TRIM(MID('R.M Billets Reports'!D419,SEARCH("-",'R.M Billets Reports'!D419)+1,200)),""))&lt;&gt;"",IF(ISNUMBER(SEARCH("Party Name:-",'R.M Billets Reports'!D419)),TRIM('R.M Billets Reports'!F419),IF(ISNUMBER(SEARCH("Party Name-",'R.M Billets Reports'!D419)),TRIM(MID('R.M Billets Reports'!D419,SEARCH("-",'R.M Billets Reports'!D419)+1,200)),"")),IF(ISNUMBER(SEARCH("Party Name:-",'R.M Billets Reports'!D420)),TRIM('R.M Billets Reports'!F420),IF(ISNUMBER(SEARCH("Party Name-",'R.M Billets Reports'!D420)),TRIM(MID('R.M Billets Reports'!D420,SEARCH("-",'R.M Billets Reports'!D420)+1,200)),"")))="SHRI RADHE","SHREE RADHE",IF(IF(IF(ISNUMBER(SEARCH("Party Name:-",'R.M Billets Reports'!D419)),TRIM('R.M Billets Reports'!F419),IF(ISNUMBER(SEARCH("Party Name-",'R.M Billets Reports'!D419)),TRIM(MID('R.M Billets Reports'!D419,SEARCH("-",'R.M Billets Reports'!D419)+1,200)),""))&lt;&gt;"",IF(ISNUMBER(SEARCH("Party Name:-",'R.M Billets Reports'!D419)),TRIM('R.M Billets Reports'!F419),IF(ISNUMBER(SEARCH("Party Name-",'R.M Billets Reports'!D419)),TRIM(MID('R.M Billets Reports'!D419,SEARCH("-",'R.M Billets Reports'!D419)+1,200)),"")),IF(ISNUMBER(SEARCH("Party Name:-",'R.M Billets Reports'!D420)),TRIM('R.M Billets Reports'!F420),IF(ISNUMBER(SEARCH("Party Name-",'R.M Billets Reports'!D420)),TRIM(MID('R.M Billets Reports'!D420,SEARCH("-",'R.M Billets Reports'!D420)+1,200)),"")))="SHREE RADHE SHAKTI SPONGE AND POWER PVT. LTD.","SHREE RADHE",IF(IF(ISNUMBER(SEARCH("Party Name:-",'R.M Billets Reports'!D419)),TRIM('R.M Billets Reports'!F419),IF(ISNUMBER(SEARCH("Party Name-",'R.M Billets Reports'!D419)),TRIM(MID('R.M Billets Reports'!D419,SEARCH("-",'R.M Billets Reports'!D419)+1,200)),""))&lt;&gt;"",IF(ISNUMBER(SEARCH("Party Name:-",'R.M Billets Reports'!D419)),TRIM('R.M Billets Reports'!F419),IF(ISNUMBER(SEARCH("Party Name-",'R.M Billets Reports'!D419)),TRIM(MID('R.M Billets Reports'!D419,SEARCH("-",'R.M Billets Reports'!D419)+1,200)),"")),IF(ISNUMBER(SEARCH("Party Name:-",'R.M Billets Reports'!D420)),TRIM('R.M Billets Reports'!F420),IF(ISNUMBER(SEARCH("Party Name-",'R.M Billets Reports'!D420)),TRIM(MID('R.M Billets Reports'!D420,SEARCH("-",'R.M Billets Reports'!D420)+1,200)),"")))))),IF(ROW()=2,"",A419))</f>
      </c>
      <c r="B420">
        <f>IF(OR('R.M Billets Reports'!A419="Date-",'R.M Billets Reports'!A419="Date:-"),'R.M Billets Reports'!B419,IF(ROW()=2,"",B419))</f>
      </c>
      <c r="C420">
        <f>IF('R.M Billets Reports'!A419="V.No.",'R.M Billets Reports'!B419,IF(ROW()=2,"",C419))</f>
      </c>
      <c r="D420">
        <f>IF('R.M Billets Reports'!A419&lt;&gt;"",'R.M Billets Reports'!A419,IF(ROW()=2,"",D419))</f>
      </c>
      <c r="E420">
        <f>IF('R.M Billets Reports'!B419="","",TRIM('R.M Billets Reports'!B419))</f>
      </c>
      <c r="F420">
        <f>'R.M Billets Reports'!C419</f>
      </c>
      <c r="G420">
        <f>'R.M Billets Reports'!D419</f>
      </c>
      <c r="H420">
        <f>'R.M Billets Reports'!E419</f>
      </c>
      <c r="I420">
        <f>'R.M Billets Reports'!F419</f>
      </c>
      <c r="J420">
        <f>'R.M Billets Reports'!G419</f>
      </c>
      <c r="K420">
        <f>'R.M Billets Reports'!H419</f>
      </c>
      <c r="L420">
        <f>IF('R.M Billets Reports'!I419="","",'R.M Billets Reports'!I419)</f>
      </c>
      <c r="M420">
        <f t="shared" si="12"/>
      </c>
      <c r="N420">
        <f>IF('R.M Billets Reports'!J419="","",'R.M Billets Reports'!J419)</f>
      </c>
      <c r="O420">
        <f t="shared" si="13"/>
      </c>
      <c r="P420">
        <f>IF('R.M Billets Reports'!A419="SIZE",'R.M Billets Reports'!B419,P419)</f>
      </c>
    </row>
    <row r="421" spans="1:16" x14ac:dyDescent="0.25">
      <c r="A421">
        <f>IF(OR('R.M Billets Reports'!A420="Date-",'R.M Billets Reports'!A420="Date:-"),IF(IF(IF(ISNUMBER(SEARCH("Party Name:-",'R.M Billets Reports'!D420)),TRIM('R.M Billets Reports'!F420),IF(ISNUMBER(SEARCH("Party Name-",'R.M Billets Reports'!D420)),TRIM(MID('R.M Billets Reports'!D420,SEARCH("-",'R.M Billets Reports'!D420)+1,200)),""))&lt;&gt;"",IF(ISNUMBER(SEARCH("Party Name:-",'R.M Billets Reports'!D420)),TRIM('R.M Billets Reports'!F420),IF(ISNUMBER(SEARCH("Party Name-",'R.M Billets Reports'!D420)),TRIM(MID('R.M Billets Reports'!D420,SEARCH("-",'R.M Billets Reports'!D420)+1,200)),"")),IF(ISNUMBER(SEARCH("Party Name:-",'R.M Billets Reports'!D421)),TRIM('R.M Billets Reports'!F421),IF(ISNUMBER(SEARCH("Party Name-",'R.M Billets Reports'!D421)),TRIM(MID('R.M Billets Reports'!D421,SEARCH("-",'R.M Billets Reports'!D421)+1,200)),"")))="VRKP ISPAT PVT LTD","VRKP",IF(IF(IF(ISNUMBER(SEARCH("Party Name:-",'R.M Billets Reports'!D420)),TRIM('R.M Billets Reports'!F420),IF(ISNUMBER(SEARCH("Party Name-",'R.M Billets Reports'!D420)),TRIM(MID('R.M Billets Reports'!D420,SEARCH("-",'R.M Billets Reports'!D420)+1,200)),""))&lt;&gt;"",IF(ISNUMBER(SEARCH("Party Name:-",'R.M Billets Reports'!D420)),TRIM('R.M Billets Reports'!F420),IF(ISNUMBER(SEARCH("Party Name-",'R.M Billets Reports'!D420)),TRIM(MID('R.M Billets Reports'!D420,SEARCH("-",'R.M Billets Reports'!D420)+1,200)),"")),IF(ISNUMBER(SEARCH("Party Name:-",'R.M Billets Reports'!D421)),TRIM('R.M Billets Reports'!F421),IF(ISNUMBER(SEARCH("Party Name-",'R.M Billets Reports'!D421)),TRIM(MID('R.M Billets Reports'!D421,SEARCH("-",'R.M Billets Reports'!D421)+1,200)),"")))="SHRI RADHE","SHREE RADHE",IF(IF(IF(ISNUMBER(SEARCH("Party Name:-",'R.M Billets Reports'!D420)),TRIM('R.M Billets Reports'!F420),IF(ISNUMBER(SEARCH("Party Name-",'R.M Billets Reports'!D420)),TRIM(MID('R.M Billets Reports'!D420,SEARCH("-",'R.M Billets Reports'!D420)+1,200)),""))&lt;&gt;"",IF(ISNUMBER(SEARCH("Party Name:-",'R.M Billets Reports'!D420)),TRIM('R.M Billets Reports'!F420),IF(ISNUMBER(SEARCH("Party Name-",'R.M Billets Reports'!D420)),TRIM(MID('R.M Billets Reports'!D420,SEARCH("-",'R.M Billets Reports'!D420)+1,200)),"")),IF(ISNUMBER(SEARCH("Party Name:-",'R.M Billets Reports'!D421)),TRIM('R.M Billets Reports'!F421),IF(ISNUMBER(SEARCH("Party Name-",'R.M Billets Reports'!D421)),TRIM(MID('R.M Billets Reports'!D421,SEARCH("-",'R.M Billets Reports'!D421)+1,200)),"")))="SHREE RADHE SHAKTI SPONGE AND POWER PVT. LTD.","SHREE RADHE",IF(IF(ISNUMBER(SEARCH("Party Name:-",'R.M Billets Reports'!D420)),TRIM('R.M Billets Reports'!F420),IF(ISNUMBER(SEARCH("Party Name-",'R.M Billets Reports'!D420)),TRIM(MID('R.M Billets Reports'!D420,SEARCH("-",'R.M Billets Reports'!D420)+1,200)),""))&lt;&gt;"",IF(ISNUMBER(SEARCH("Party Name:-",'R.M Billets Reports'!D420)),TRIM('R.M Billets Reports'!F420),IF(ISNUMBER(SEARCH("Party Name-",'R.M Billets Reports'!D420)),TRIM(MID('R.M Billets Reports'!D420,SEARCH("-",'R.M Billets Reports'!D420)+1,200)),"")),IF(ISNUMBER(SEARCH("Party Name:-",'R.M Billets Reports'!D421)),TRIM('R.M Billets Reports'!F421),IF(ISNUMBER(SEARCH("Party Name-",'R.M Billets Reports'!D421)),TRIM(MID('R.M Billets Reports'!D421,SEARCH("-",'R.M Billets Reports'!D421)+1,200)),"")))))),IF(ROW()=2,"",A420))</f>
      </c>
      <c r="B421">
        <f>IF(OR('R.M Billets Reports'!A420="Date-",'R.M Billets Reports'!A420="Date:-"),'R.M Billets Reports'!B420,IF(ROW()=2,"",B420))</f>
      </c>
      <c r="C421">
        <f>IF('R.M Billets Reports'!A420="V.No.",'R.M Billets Reports'!B420,IF(ROW()=2,"",C420))</f>
      </c>
      <c r="D421">
        <f>IF('R.M Billets Reports'!A420&lt;&gt;"",'R.M Billets Reports'!A420,IF(ROW()=2,"",D420))</f>
      </c>
      <c r="E421">
        <f>IF('R.M Billets Reports'!B420="","",TRIM('R.M Billets Reports'!B420))</f>
      </c>
      <c r="F421">
        <f>'R.M Billets Reports'!C420</f>
      </c>
      <c r="G421">
        <f>'R.M Billets Reports'!D420</f>
      </c>
      <c r="H421">
        <f>'R.M Billets Reports'!E420</f>
      </c>
      <c r="I421">
        <f>'R.M Billets Reports'!F420</f>
      </c>
      <c r="J421">
        <f>'R.M Billets Reports'!G420</f>
      </c>
      <c r="K421">
        <f>'R.M Billets Reports'!H420</f>
      </c>
      <c r="L421">
        <f>IF('R.M Billets Reports'!I420="","",'R.M Billets Reports'!I420)</f>
      </c>
      <c r="M421">
        <f t="shared" si="12"/>
      </c>
      <c r="N421">
        <f>IF('R.M Billets Reports'!J420="","",'R.M Billets Reports'!J420)</f>
      </c>
      <c r="O421">
        <f t="shared" si="13"/>
      </c>
      <c r="P421">
        <f>IF('R.M Billets Reports'!A420="SIZE",'R.M Billets Reports'!B420,P420)</f>
      </c>
    </row>
    <row r="422" spans="1:16" x14ac:dyDescent="0.25">
      <c r="A422">
        <f>IF(OR('R.M Billets Reports'!A421="Date-",'R.M Billets Reports'!A421="Date:-"),IF(IF(IF(ISNUMBER(SEARCH("Party Name:-",'R.M Billets Reports'!D421)),TRIM('R.M Billets Reports'!F421),IF(ISNUMBER(SEARCH("Party Name-",'R.M Billets Reports'!D421)),TRIM(MID('R.M Billets Reports'!D421,SEARCH("-",'R.M Billets Reports'!D421)+1,200)),""))&lt;&gt;"",IF(ISNUMBER(SEARCH("Party Name:-",'R.M Billets Reports'!D421)),TRIM('R.M Billets Reports'!F421),IF(ISNUMBER(SEARCH("Party Name-",'R.M Billets Reports'!D421)),TRIM(MID('R.M Billets Reports'!D421,SEARCH("-",'R.M Billets Reports'!D421)+1,200)),"")),IF(ISNUMBER(SEARCH("Party Name:-",'R.M Billets Reports'!D422)),TRIM('R.M Billets Reports'!F422),IF(ISNUMBER(SEARCH("Party Name-",'R.M Billets Reports'!D422)),TRIM(MID('R.M Billets Reports'!D422,SEARCH("-",'R.M Billets Reports'!D422)+1,200)),"")))="VRKP ISPAT PVT LTD","VRKP",IF(IF(IF(ISNUMBER(SEARCH("Party Name:-",'R.M Billets Reports'!D421)),TRIM('R.M Billets Reports'!F421),IF(ISNUMBER(SEARCH("Party Name-",'R.M Billets Reports'!D421)),TRIM(MID('R.M Billets Reports'!D421,SEARCH("-",'R.M Billets Reports'!D421)+1,200)),""))&lt;&gt;"",IF(ISNUMBER(SEARCH("Party Name:-",'R.M Billets Reports'!D421)),TRIM('R.M Billets Reports'!F421),IF(ISNUMBER(SEARCH("Party Name-",'R.M Billets Reports'!D421)),TRIM(MID('R.M Billets Reports'!D421,SEARCH("-",'R.M Billets Reports'!D421)+1,200)),"")),IF(ISNUMBER(SEARCH("Party Name:-",'R.M Billets Reports'!D422)),TRIM('R.M Billets Reports'!F422),IF(ISNUMBER(SEARCH("Party Name-",'R.M Billets Reports'!D422)),TRIM(MID('R.M Billets Reports'!D422,SEARCH("-",'R.M Billets Reports'!D422)+1,200)),"")))="SHRI RADHE","SHREE RADHE",IF(IF(IF(ISNUMBER(SEARCH("Party Name:-",'R.M Billets Reports'!D421)),TRIM('R.M Billets Reports'!F421),IF(ISNUMBER(SEARCH("Party Name-",'R.M Billets Reports'!D421)),TRIM(MID('R.M Billets Reports'!D421,SEARCH("-",'R.M Billets Reports'!D421)+1,200)),""))&lt;&gt;"",IF(ISNUMBER(SEARCH("Party Name:-",'R.M Billets Reports'!D421)),TRIM('R.M Billets Reports'!F421),IF(ISNUMBER(SEARCH("Party Name-",'R.M Billets Reports'!D421)),TRIM(MID('R.M Billets Reports'!D421,SEARCH("-",'R.M Billets Reports'!D421)+1,200)),"")),IF(ISNUMBER(SEARCH("Party Name:-",'R.M Billets Reports'!D422)),TRIM('R.M Billets Reports'!F422),IF(ISNUMBER(SEARCH("Party Name-",'R.M Billets Reports'!D422)),TRIM(MID('R.M Billets Reports'!D422,SEARCH("-",'R.M Billets Reports'!D422)+1,200)),"")))="SHREE RADHE SHAKTI SPONGE AND POWER PVT. LTD.","SHREE RADHE",IF(IF(ISNUMBER(SEARCH("Party Name:-",'R.M Billets Reports'!D421)),TRIM('R.M Billets Reports'!F421),IF(ISNUMBER(SEARCH("Party Name-",'R.M Billets Reports'!D421)),TRIM(MID('R.M Billets Reports'!D421,SEARCH("-",'R.M Billets Reports'!D421)+1,200)),""))&lt;&gt;"",IF(ISNUMBER(SEARCH("Party Name:-",'R.M Billets Reports'!D421)),TRIM('R.M Billets Reports'!F421),IF(ISNUMBER(SEARCH("Party Name-",'R.M Billets Reports'!D421)),TRIM(MID('R.M Billets Reports'!D421,SEARCH("-",'R.M Billets Reports'!D421)+1,200)),"")),IF(ISNUMBER(SEARCH("Party Name:-",'R.M Billets Reports'!D422)),TRIM('R.M Billets Reports'!F422),IF(ISNUMBER(SEARCH("Party Name-",'R.M Billets Reports'!D422)),TRIM(MID('R.M Billets Reports'!D422,SEARCH("-",'R.M Billets Reports'!D422)+1,200)),"")))))),IF(ROW()=2,"",A421))</f>
      </c>
      <c r="B422">
        <f>IF(OR('R.M Billets Reports'!A421="Date-",'R.M Billets Reports'!A421="Date:-"),'R.M Billets Reports'!B421,IF(ROW()=2,"",B421))</f>
      </c>
      <c r="C422">
        <f>IF('R.M Billets Reports'!A421="V.No.",'R.M Billets Reports'!B421,IF(ROW()=2,"",C421))</f>
      </c>
      <c r="D422">
        <f>IF('R.M Billets Reports'!A421&lt;&gt;"",'R.M Billets Reports'!A421,IF(ROW()=2,"",D421))</f>
      </c>
      <c r="E422">
        <f>IF('R.M Billets Reports'!B421="","",TRIM('R.M Billets Reports'!B421))</f>
      </c>
      <c r="F422">
        <f>'R.M Billets Reports'!C421</f>
      </c>
      <c r="G422">
        <f>'R.M Billets Reports'!D421</f>
      </c>
      <c r="H422">
        <f>'R.M Billets Reports'!E421</f>
      </c>
      <c r="I422">
        <f>'R.M Billets Reports'!F421</f>
      </c>
      <c r="J422">
        <f>'R.M Billets Reports'!G421</f>
      </c>
      <c r="K422">
        <f>'R.M Billets Reports'!H421</f>
      </c>
      <c r="L422">
        <f>IF('R.M Billets Reports'!I421="","",'R.M Billets Reports'!I421)</f>
      </c>
      <c r="M422">
        <f t="shared" si="12"/>
      </c>
      <c r="N422">
        <f>IF('R.M Billets Reports'!J421="","",'R.M Billets Reports'!J421)</f>
      </c>
      <c r="O422">
        <f t="shared" si="13"/>
      </c>
      <c r="P422">
        <f>IF('R.M Billets Reports'!A421="SIZE",'R.M Billets Reports'!B421,P421)</f>
      </c>
    </row>
    <row r="423" spans="1:16" x14ac:dyDescent="0.25">
      <c r="A423">
        <f>IF(OR('R.M Billets Reports'!A422="Date-",'R.M Billets Reports'!A422="Date:-"),IF(IF(IF(ISNUMBER(SEARCH("Party Name:-",'R.M Billets Reports'!D422)),TRIM('R.M Billets Reports'!F422),IF(ISNUMBER(SEARCH("Party Name-",'R.M Billets Reports'!D422)),TRIM(MID('R.M Billets Reports'!D422,SEARCH("-",'R.M Billets Reports'!D422)+1,200)),""))&lt;&gt;"",IF(ISNUMBER(SEARCH("Party Name:-",'R.M Billets Reports'!D422)),TRIM('R.M Billets Reports'!F422),IF(ISNUMBER(SEARCH("Party Name-",'R.M Billets Reports'!D422)),TRIM(MID('R.M Billets Reports'!D422,SEARCH("-",'R.M Billets Reports'!D422)+1,200)),"")),IF(ISNUMBER(SEARCH("Party Name:-",'R.M Billets Reports'!D423)),TRIM('R.M Billets Reports'!F423),IF(ISNUMBER(SEARCH("Party Name-",'R.M Billets Reports'!D423)),TRIM(MID('R.M Billets Reports'!D423,SEARCH("-",'R.M Billets Reports'!D423)+1,200)),"")))="VRKP ISPAT PVT LTD","VRKP",IF(IF(IF(ISNUMBER(SEARCH("Party Name:-",'R.M Billets Reports'!D422)),TRIM('R.M Billets Reports'!F422),IF(ISNUMBER(SEARCH("Party Name-",'R.M Billets Reports'!D422)),TRIM(MID('R.M Billets Reports'!D422,SEARCH("-",'R.M Billets Reports'!D422)+1,200)),""))&lt;&gt;"",IF(ISNUMBER(SEARCH("Party Name:-",'R.M Billets Reports'!D422)),TRIM('R.M Billets Reports'!F422),IF(ISNUMBER(SEARCH("Party Name-",'R.M Billets Reports'!D422)),TRIM(MID('R.M Billets Reports'!D422,SEARCH("-",'R.M Billets Reports'!D422)+1,200)),"")),IF(ISNUMBER(SEARCH("Party Name:-",'R.M Billets Reports'!D423)),TRIM('R.M Billets Reports'!F423),IF(ISNUMBER(SEARCH("Party Name-",'R.M Billets Reports'!D423)),TRIM(MID('R.M Billets Reports'!D423,SEARCH("-",'R.M Billets Reports'!D423)+1,200)),"")))="SHRI RADHE","SHREE RADHE",IF(IF(IF(ISNUMBER(SEARCH("Party Name:-",'R.M Billets Reports'!D422)),TRIM('R.M Billets Reports'!F422),IF(ISNUMBER(SEARCH("Party Name-",'R.M Billets Reports'!D422)),TRIM(MID('R.M Billets Reports'!D422,SEARCH("-",'R.M Billets Reports'!D422)+1,200)),""))&lt;&gt;"",IF(ISNUMBER(SEARCH("Party Name:-",'R.M Billets Reports'!D422)),TRIM('R.M Billets Reports'!F422),IF(ISNUMBER(SEARCH("Party Name-",'R.M Billets Reports'!D422)),TRIM(MID('R.M Billets Reports'!D422,SEARCH("-",'R.M Billets Reports'!D422)+1,200)),"")),IF(ISNUMBER(SEARCH("Party Name:-",'R.M Billets Reports'!D423)),TRIM('R.M Billets Reports'!F423),IF(ISNUMBER(SEARCH("Party Name-",'R.M Billets Reports'!D423)),TRIM(MID('R.M Billets Reports'!D423,SEARCH("-",'R.M Billets Reports'!D423)+1,200)),"")))="SHREE RADHE SHAKTI SPONGE AND POWER PVT. LTD.","SHREE RADHE",IF(IF(ISNUMBER(SEARCH("Party Name:-",'R.M Billets Reports'!D422)),TRIM('R.M Billets Reports'!F422),IF(ISNUMBER(SEARCH("Party Name-",'R.M Billets Reports'!D422)),TRIM(MID('R.M Billets Reports'!D422,SEARCH("-",'R.M Billets Reports'!D422)+1,200)),""))&lt;&gt;"",IF(ISNUMBER(SEARCH("Party Name:-",'R.M Billets Reports'!D422)),TRIM('R.M Billets Reports'!F422),IF(ISNUMBER(SEARCH("Party Name-",'R.M Billets Reports'!D422)),TRIM(MID('R.M Billets Reports'!D422,SEARCH("-",'R.M Billets Reports'!D422)+1,200)),"")),IF(ISNUMBER(SEARCH("Party Name:-",'R.M Billets Reports'!D423)),TRIM('R.M Billets Reports'!F423),IF(ISNUMBER(SEARCH("Party Name-",'R.M Billets Reports'!D423)),TRIM(MID('R.M Billets Reports'!D423,SEARCH("-",'R.M Billets Reports'!D423)+1,200)),"")))))),IF(ROW()=2,"",A422))</f>
      </c>
      <c r="B423">
        <f>IF(OR('R.M Billets Reports'!A422="Date-",'R.M Billets Reports'!A422="Date:-"),'R.M Billets Reports'!B422,IF(ROW()=2,"",B422))</f>
      </c>
      <c r="C423">
        <f>IF('R.M Billets Reports'!A422="V.No.",'R.M Billets Reports'!B422,IF(ROW()=2,"",C422))</f>
      </c>
      <c r="D423">
        <f>IF('R.M Billets Reports'!A422&lt;&gt;"",'R.M Billets Reports'!A422,IF(ROW()=2,"",D422))</f>
      </c>
      <c r="E423">
        <f>IF('R.M Billets Reports'!B422="","",TRIM('R.M Billets Reports'!B422))</f>
      </c>
      <c r="F423">
        <f>'R.M Billets Reports'!C422</f>
      </c>
      <c r="G423">
        <f>'R.M Billets Reports'!D422</f>
      </c>
      <c r="H423">
        <f>'R.M Billets Reports'!E422</f>
      </c>
      <c r="I423">
        <f>'R.M Billets Reports'!F422</f>
      </c>
      <c r="J423">
        <f>'R.M Billets Reports'!G422</f>
      </c>
      <c r="K423">
        <f>'R.M Billets Reports'!H422</f>
      </c>
      <c r="L423">
        <f>IF('R.M Billets Reports'!I422="","",'R.M Billets Reports'!I422)</f>
      </c>
      <c r="M423">
        <f t="shared" si="12"/>
      </c>
      <c r="N423">
        <f>IF('R.M Billets Reports'!J422="","",'R.M Billets Reports'!J422)</f>
      </c>
      <c r="O423">
        <f t="shared" si="13"/>
      </c>
      <c r="P423">
        <f>IF('R.M Billets Reports'!A422="SIZE",'R.M Billets Reports'!B422,P422)</f>
      </c>
    </row>
    <row r="424" spans="1:16" x14ac:dyDescent="0.25">
      <c r="A424">
        <f>IF(OR('R.M Billets Reports'!A423="Date-",'R.M Billets Reports'!A423="Date:-"),IF(IF(IF(ISNUMBER(SEARCH("Party Name:-",'R.M Billets Reports'!D423)),TRIM('R.M Billets Reports'!F423),IF(ISNUMBER(SEARCH("Party Name-",'R.M Billets Reports'!D423)),TRIM(MID('R.M Billets Reports'!D423,SEARCH("-",'R.M Billets Reports'!D423)+1,200)),""))&lt;&gt;"",IF(ISNUMBER(SEARCH("Party Name:-",'R.M Billets Reports'!D423)),TRIM('R.M Billets Reports'!F423),IF(ISNUMBER(SEARCH("Party Name-",'R.M Billets Reports'!D423)),TRIM(MID('R.M Billets Reports'!D423,SEARCH("-",'R.M Billets Reports'!D423)+1,200)),"")),IF(ISNUMBER(SEARCH("Party Name:-",'R.M Billets Reports'!D424)),TRIM('R.M Billets Reports'!F424),IF(ISNUMBER(SEARCH("Party Name-",'R.M Billets Reports'!D424)),TRIM(MID('R.M Billets Reports'!D424,SEARCH("-",'R.M Billets Reports'!D424)+1,200)),"")))="VRKP ISPAT PVT LTD","VRKP",IF(IF(IF(ISNUMBER(SEARCH("Party Name:-",'R.M Billets Reports'!D423)),TRIM('R.M Billets Reports'!F423),IF(ISNUMBER(SEARCH("Party Name-",'R.M Billets Reports'!D423)),TRIM(MID('R.M Billets Reports'!D423,SEARCH("-",'R.M Billets Reports'!D423)+1,200)),""))&lt;&gt;"",IF(ISNUMBER(SEARCH("Party Name:-",'R.M Billets Reports'!D423)),TRIM('R.M Billets Reports'!F423),IF(ISNUMBER(SEARCH("Party Name-",'R.M Billets Reports'!D423)),TRIM(MID('R.M Billets Reports'!D423,SEARCH("-",'R.M Billets Reports'!D423)+1,200)),"")),IF(ISNUMBER(SEARCH("Party Name:-",'R.M Billets Reports'!D424)),TRIM('R.M Billets Reports'!F424),IF(ISNUMBER(SEARCH("Party Name-",'R.M Billets Reports'!D424)),TRIM(MID('R.M Billets Reports'!D424,SEARCH("-",'R.M Billets Reports'!D424)+1,200)),"")))="SHRI RADHE","SHREE RADHE",IF(IF(IF(ISNUMBER(SEARCH("Party Name:-",'R.M Billets Reports'!D423)),TRIM('R.M Billets Reports'!F423),IF(ISNUMBER(SEARCH("Party Name-",'R.M Billets Reports'!D423)),TRIM(MID('R.M Billets Reports'!D423,SEARCH("-",'R.M Billets Reports'!D423)+1,200)),""))&lt;&gt;"",IF(ISNUMBER(SEARCH("Party Name:-",'R.M Billets Reports'!D423)),TRIM('R.M Billets Reports'!F423),IF(ISNUMBER(SEARCH("Party Name-",'R.M Billets Reports'!D423)),TRIM(MID('R.M Billets Reports'!D423,SEARCH("-",'R.M Billets Reports'!D423)+1,200)),"")),IF(ISNUMBER(SEARCH("Party Name:-",'R.M Billets Reports'!D424)),TRIM('R.M Billets Reports'!F424),IF(ISNUMBER(SEARCH("Party Name-",'R.M Billets Reports'!D424)),TRIM(MID('R.M Billets Reports'!D424,SEARCH("-",'R.M Billets Reports'!D424)+1,200)),"")))="SHREE RADHE SHAKTI SPONGE AND POWER PVT. LTD.","SHREE RADHE",IF(IF(ISNUMBER(SEARCH("Party Name:-",'R.M Billets Reports'!D423)),TRIM('R.M Billets Reports'!F423),IF(ISNUMBER(SEARCH("Party Name-",'R.M Billets Reports'!D423)),TRIM(MID('R.M Billets Reports'!D423,SEARCH("-",'R.M Billets Reports'!D423)+1,200)),""))&lt;&gt;"",IF(ISNUMBER(SEARCH("Party Name:-",'R.M Billets Reports'!D423)),TRIM('R.M Billets Reports'!F423),IF(ISNUMBER(SEARCH("Party Name-",'R.M Billets Reports'!D423)),TRIM(MID('R.M Billets Reports'!D423,SEARCH("-",'R.M Billets Reports'!D423)+1,200)),"")),IF(ISNUMBER(SEARCH("Party Name:-",'R.M Billets Reports'!D424)),TRIM('R.M Billets Reports'!F424),IF(ISNUMBER(SEARCH("Party Name-",'R.M Billets Reports'!D424)),TRIM(MID('R.M Billets Reports'!D424,SEARCH("-",'R.M Billets Reports'!D424)+1,200)),"")))))),IF(ROW()=2,"",A423))</f>
      </c>
      <c r="B424">
        <f>IF(OR('R.M Billets Reports'!A423="Date-",'R.M Billets Reports'!A423="Date:-"),'R.M Billets Reports'!B423,IF(ROW()=2,"",B423))</f>
      </c>
      <c r="C424">
        <f>IF('R.M Billets Reports'!A423="V.No.",'R.M Billets Reports'!B423,IF(ROW()=2,"",C423))</f>
      </c>
      <c r="D424">
        <f>IF('R.M Billets Reports'!A423&lt;&gt;"",'R.M Billets Reports'!A423,IF(ROW()=2,"",D423))</f>
      </c>
      <c r="E424">
        <f>IF('R.M Billets Reports'!B423="","",TRIM('R.M Billets Reports'!B423))</f>
      </c>
      <c r="F424">
        <f>'R.M Billets Reports'!C423</f>
      </c>
      <c r="G424">
        <f>'R.M Billets Reports'!D423</f>
      </c>
      <c r="H424">
        <f>'R.M Billets Reports'!E423</f>
      </c>
      <c r="I424">
        <f>'R.M Billets Reports'!F423</f>
      </c>
      <c r="J424">
        <f>'R.M Billets Reports'!G423</f>
      </c>
      <c r="K424">
        <f>'R.M Billets Reports'!H423</f>
      </c>
      <c r="L424">
        <f>IF('R.M Billets Reports'!I423="","",'R.M Billets Reports'!I423)</f>
      </c>
      <c r="M424">
        <f t="shared" si="12"/>
      </c>
      <c r="N424">
        <f>IF('R.M Billets Reports'!J423="","",'R.M Billets Reports'!J423)</f>
      </c>
      <c r="O424">
        <f t="shared" si="13"/>
      </c>
      <c r="P424">
        <f>IF('R.M Billets Reports'!A423="SIZE",'R.M Billets Reports'!B423,P423)</f>
      </c>
    </row>
    <row r="425" spans="1:16" x14ac:dyDescent="0.25">
      <c r="A425">
        <f>IF(OR('R.M Billets Reports'!A424="Date-",'R.M Billets Reports'!A424="Date:-"),IF(IF(IF(ISNUMBER(SEARCH("Party Name:-",'R.M Billets Reports'!D424)),TRIM('R.M Billets Reports'!F424),IF(ISNUMBER(SEARCH("Party Name-",'R.M Billets Reports'!D424)),TRIM(MID('R.M Billets Reports'!D424,SEARCH("-",'R.M Billets Reports'!D424)+1,200)),""))&lt;&gt;"",IF(ISNUMBER(SEARCH("Party Name:-",'R.M Billets Reports'!D424)),TRIM('R.M Billets Reports'!F424),IF(ISNUMBER(SEARCH("Party Name-",'R.M Billets Reports'!D424)),TRIM(MID('R.M Billets Reports'!D424,SEARCH("-",'R.M Billets Reports'!D424)+1,200)),"")),IF(ISNUMBER(SEARCH("Party Name:-",'R.M Billets Reports'!D425)),TRIM('R.M Billets Reports'!F425),IF(ISNUMBER(SEARCH("Party Name-",'R.M Billets Reports'!D425)),TRIM(MID('R.M Billets Reports'!D425,SEARCH("-",'R.M Billets Reports'!D425)+1,200)),"")))="VRKP ISPAT PVT LTD","VRKP",IF(IF(IF(ISNUMBER(SEARCH("Party Name:-",'R.M Billets Reports'!D424)),TRIM('R.M Billets Reports'!F424),IF(ISNUMBER(SEARCH("Party Name-",'R.M Billets Reports'!D424)),TRIM(MID('R.M Billets Reports'!D424,SEARCH("-",'R.M Billets Reports'!D424)+1,200)),""))&lt;&gt;"",IF(ISNUMBER(SEARCH("Party Name:-",'R.M Billets Reports'!D424)),TRIM('R.M Billets Reports'!F424),IF(ISNUMBER(SEARCH("Party Name-",'R.M Billets Reports'!D424)),TRIM(MID('R.M Billets Reports'!D424,SEARCH("-",'R.M Billets Reports'!D424)+1,200)),"")),IF(ISNUMBER(SEARCH("Party Name:-",'R.M Billets Reports'!D425)),TRIM('R.M Billets Reports'!F425),IF(ISNUMBER(SEARCH("Party Name-",'R.M Billets Reports'!D425)),TRIM(MID('R.M Billets Reports'!D425,SEARCH("-",'R.M Billets Reports'!D425)+1,200)),"")))="SHRI RADHE","SHREE RADHE",IF(IF(IF(ISNUMBER(SEARCH("Party Name:-",'R.M Billets Reports'!D424)),TRIM('R.M Billets Reports'!F424),IF(ISNUMBER(SEARCH("Party Name-",'R.M Billets Reports'!D424)),TRIM(MID('R.M Billets Reports'!D424,SEARCH("-",'R.M Billets Reports'!D424)+1,200)),""))&lt;&gt;"",IF(ISNUMBER(SEARCH("Party Name:-",'R.M Billets Reports'!D424)),TRIM('R.M Billets Reports'!F424),IF(ISNUMBER(SEARCH("Party Name-",'R.M Billets Reports'!D424)),TRIM(MID('R.M Billets Reports'!D424,SEARCH("-",'R.M Billets Reports'!D424)+1,200)),"")),IF(ISNUMBER(SEARCH("Party Name:-",'R.M Billets Reports'!D425)),TRIM('R.M Billets Reports'!F425),IF(ISNUMBER(SEARCH("Party Name-",'R.M Billets Reports'!D425)),TRIM(MID('R.M Billets Reports'!D425,SEARCH("-",'R.M Billets Reports'!D425)+1,200)),"")))="SHREE RADHE SHAKTI SPONGE AND POWER PVT. LTD.","SHREE RADHE",IF(IF(ISNUMBER(SEARCH("Party Name:-",'R.M Billets Reports'!D424)),TRIM('R.M Billets Reports'!F424),IF(ISNUMBER(SEARCH("Party Name-",'R.M Billets Reports'!D424)),TRIM(MID('R.M Billets Reports'!D424,SEARCH("-",'R.M Billets Reports'!D424)+1,200)),""))&lt;&gt;"",IF(ISNUMBER(SEARCH("Party Name:-",'R.M Billets Reports'!D424)),TRIM('R.M Billets Reports'!F424),IF(ISNUMBER(SEARCH("Party Name-",'R.M Billets Reports'!D424)),TRIM(MID('R.M Billets Reports'!D424,SEARCH("-",'R.M Billets Reports'!D424)+1,200)),"")),IF(ISNUMBER(SEARCH("Party Name:-",'R.M Billets Reports'!D425)),TRIM('R.M Billets Reports'!F425),IF(ISNUMBER(SEARCH("Party Name-",'R.M Billets Reports'!D425)),TRIM(MID('R.M Billets Reports'!D425,SEARCH("-",'R.M Billets Reports'!D425)+1,200)),"")))))),IF(ROW()=2,"",A424))</f>
      </c>
      <c r="B425">
        <f>IF(OR('R.M Billets Reports'!A424="Date-",'R.M Billets Reports'!A424="Date:-"),'R.M Billets Reports'!B424,IF(ROW()=2,"",B424))</f>
      </c>
      <c r="C425">
        <f>IF('R.M Billets Reports'!A424="V.No.",'R.M Billets Reports'!B424,IF(ROW()=2,"",C424))</f>
      </c>
      <c r="D425">
        <f>IF('R.M Billets Reports'!A424&lt;&gt;"",'R.M Billets Reports'!A424,IF(ROW()=2,"",D424))</f>
      </c>
      <c r="E425">
        <f>IF('R.M Billets Reports'!B424="","",TRIM('R.M Billets Reports'!B424))</f>
      </c>
      <c r="F425">
        <f>'R.M Billets Reports'!C424</f>
      </c>
      <c r="G425">
        <f>'R.M Billets Reports'!D424</f>
      </c>
      <c r="H425">
        <f>'R.M Billets Reports'!E424</f>
      </c>
      <c r="I425">
        <f>'R.M Billets Reports'!F424</f>
      </c>
      <c r="J425">
        <f>'R.M Billets Reports'!G424</f>
      </c>
      <c r="K425">
        <f>'R.M Billets Reports'!H424</f>
      </c>
      <c r="L425">
        <f>IF('R.M Billets Reports'!I424="","",'R.M Billets Reports'!I424)</f>
      </c>
      <c r="M425">
        <f t="shared" si="12"/>
      </c>
      <c r="N425">
        <f>IF('R.M Billets Reports'!J424="","",'R.M Billets Reports'!J424)</f>
      </c>
      <c r="O425">
        <f t="shared" si="13"/>
      </c>
      <c r="P425">
        <f>IF('R.M Billets Reports'!A424="SIZE",'R.M Billets Reports'!B424,P424)</f>
      </c>
    </row>
    <row r="426" spans="1:16" x14ac:dyDescent="0.25">
      <c r="A426">
        <f>IF(OR('R.M Billets Reports'!A425="Date-",'R.M Billets Reports'!A425="Date:-"),IF(IF(IF(ISNUMBER(SEARCH("Party Name:-",'R.M Billets Reports'!D425)),TRIM('R.M Billets Reports'!F425),IF(ISNUMBER(SEARCH("Party Name-",'R.M Billets Reports'!D425)),TRIM(MID('R.M Billets Reports'!D425,SEARCH("-",'R.M Billets Reports'!D425)+1,200)),""))&lt;&gt;"",IF(ISNUMBER(SEARCH("Party Name:-",'R.M Billets Reports'!D425)),TRIM('R.M Billets Reports'!F425),IF(ISNUMBER(SEARCH("Party Name-",'R.M Billets Reports'!D425)),TRIM(MID('R.M Billets Reports'!D425,SEARCH("-",'R.M Billets Reports'!D425)+1,200)),"")),IF(ISNUMBER(SEARCH("Party Name:-",'R.M Billets Reports'!D426)),TRIM('R.M Billets Reports'!F426),IF(ISNUMBER(SEARCH("Party Name-",'R.M Billets Reports'!D426)),TRIM(MID('R.M Billets Reports'!D426,SEARCH("-",'R.M Billets Reports'!D426)+1,200)),"")))="VRKP ISPAT PVT LTD","VRKP",IF(IF(IF(ISNUMBER(SEARCH("Party Name:-",'R.M Billets Reports'!D425)),TRIM('R.M Billets Reports'!F425),IF(ISNUMBER(SEARCH("Party Name-",'R.M Billets Reports'!D425)),TRIM(MID('R.M Billets Reports'!D425,SEARCH("-",'R.M Billets Reports'!D425)+1,200)),""))&lt;&gt;"",IF(ISNUMBER(SEARCH("Party Name:-",'R.M Billets Reports'!D425)),TRIM('R.M Billets Reports'!F425),IF(ISNUMBER(SEARCH("Party Name-",'R.M Billets Reports'!D425)),TRIM(MID('R.M Billets Reports'!D425,SEARCH("-",'R.M Billets Reports'!D425)+1,200)),"")),IF(ISNUMBER(SEARCH("Party Name:-",'R.M Billets Reports'!D426)),TRIM('R.M Billets Reports'!F426),IF(ISNUMBER(SEARCH("Party Name-",'R.M Billets Reports'!D426)),TRIM(MID('R.M Billets Reports'!D426,SEARCH("-",'R.M Billets Reports'!D426)+1,200)),"")))="SHRI RADHE","SHREE RADHE",IF(IF(IF(ISNUMBER(SEARCH("Party Name:-",'R.M Billets Reports'!D425)),TRIM('R.M Billets Reports'!F425),IF(ISNUMBER(SEARCH("Party Name-",'R.M Billets Reports'!D425)),TRIM(MID('R.M Billets Reports'!D425,SEARCH("-",'R.M Billets Reports'!D425)+1,200)),""))&lt;&gt;"",IF(ISNUMBER(SEARCH("Party Name:-",'R.M Billets Reports'!D425)),TRIM('R.M Billets Reports'!F425),IF(ISNUMBER(SEARCH("Party Name-",'R.M Billets Reports'!D425)),TRIM(MID('R.M Billets Reports'!D425,SEARCH("-",'R.M Billets Reports'!D425)+1,200)),"")),IF(ISNUMBER(SEARCH("Party Name:-",'R.M Billets Reports'!D426)),TRIM('R.M Billets Reports'!F426),IF(ISNUMBER(SEARCH("Party Name-",'R.M Billets Reports'!D426)),TRIM(MID('R.M Billets Reports'!D426,SEARCH("-",'R.M Billets Reports'!D426)+1,200)),"")))="SHREE RADHE SHAKTI SPONGE AND POWER PVT. LTD.","SHREE RADHE",IF(IF(ISNUMBER(SEARCH("Party Name:-",'R.M Billets Reports'!D425)),TRIM('R.M Billets Reports'!F425),IF(ISNUMBER(SEARCH("Party Name-",'R.M Billets Reports'!D425)),TRIM(MID('R.M Billets Reports'!D425,SEARCH("-",'R.M Billets Reports'!D425)+1,200)),""))&lt;&gt;"",IF(ISNUMBER(SEARCH("Party Name:-",'R.M Billets Reports'!D425)),TRIM('R.M Billets Reports'!F425),IF(ISNUMBER(SEARCH("Party Name-",'R.M Billets Reports'!D425)),TRIM(MID('R.M Billets Reports'!D425,SEARCH("-",'R.M Billets Reports'!D425)+1,200)),"")),IF(ISNUMBER(SEARCH("Party Name:-",'R.M Billets Reports'!D426)),TRIM('R.M Billets Reports'!F426),IF(ISNUMBER(SEARCH("Party Name-",'R.M Billets Reports'!D426)),TRIM(MID('R.M Billets Reports'!D426,SEARCH("-",'R.M Billets Reports'!D426)+1,200)),"")))))),IF(ROW()=2,"",A425))</f>
      </c>
      <c r="B426">
        <f>IF(OR('R.M Billets Reports'!A425="Date-",'R.M Billets Reports'!A425="Date:-"),'R.M Billets Reports'!B425,IF(ROW()=2,"",B425))</f>
      </c>
      <c r="C426">
        <f>IF('R.M Billets Reports'!A425="V.No.",'R.M Billets Reports'!B425,IF(ROW()=2,"",C425))</f>
      </c>
      <c r="D426">
        <f>IF('R.M Billets Reports'!A425&lt;&gt;"",'R.M Billets Reports'!A425,IF(ROW()=2,"",D425))</f>
      </c>
      <c r="E426">
        <f>IF('R.M Billets Reports'!B425="","",TRIM('R.M Billets Reports'!B425))</f>
      </c>
      <c r="F426">
        <f>'R.M Billets Reports'!C425</f>
      </c>
      <c r="G426">
        <f>'R.M Billets Reports'!D425</f>
      </c>
      <c r="H426">
        <f>'R.M Billets Reports'!E425</f>
      </c>
      <c r="I426">
        <f>'R.M Billets Reports'!F425</f>
      </c>
      <c r="J426">
        <f>'R.M Billets Reports'!G425</f>
      </c>
      <c r="K426">
        <f>'R.M Billets Reports'!H425</f>
      </c>
      <c r="L426">
        <f>IF('R.M Billets Reports'!I425="","",'R.M Billets Reports'!I425)</f>
      </c>
      <c r="M426">
        <f t="shared" si="12"/>
      </c>
      <c r="N426">
        <f>IF('R.M Billets Reports'!J425="","",'R.M Billets Reports'!J425)</f>
      </c>
      <c r="O426">
        <f t="shared" si="13"/>
      </c>
      <c r="P426">
        <f>IF('R.M Billets Reports'!A425="SIZE",'R.M Billets Reports'!B425,P425)</f>
      </c>
    </row>
    <row r="427" spans="1:16" x14ac:dyDescent="0.25">
      <c r="A427">
        <f>IF(OR('R.M Billets Reports'!A426="Date-",'R.M Billets Reports'!A426="Date:-"),IF(IF(IF(ISNUMBER(SEARCH("Party Name:-",'R.M Billets Reports'!D426)),TRIM('R.M Billets Reports'!F426),IF(ISNUMBER(SEARCH("Party Name-",'R.M Billets Reports'!D426)),TRIM(MID('R.M Billets Reports'!D426,SEARCH("-",'R.M Billets Reports'!D426)+1,200)),""))&lt;&gt;"",IF(ISNUMBER(SEARCH("Party Name:-",'R.M Billets Reports'!D426)),TRIM('R.M Billets Reports'!F426),IF(ISNUMBER(SEARCH("Party Name-",'R.M Billets Reports'!D426)),TRIM(MID('R.M Billets Reports'!D426,SEARCH("-",'R.M Billets Reports'!D426)+1,200)),"")),IF(ISNUMBER(SEARCH("Party Name:-",'R.M Billets Reports'!D427)),TRIM('R.M Billets Reports'!F427),IF(ISNUMBER(SEARCH("Party Name-",'R.M Billets Reports'!D427)),TRIM(MID('R.M Billets Reports'!D427,SEARCH("-",'R.M Billets Reports'!D427)+1,200)),"")))="VRKP ISPAT PVT LTD","VRKP",IF(IF(IF(ISNUMBER(SEARCH("Party Name:-",'R.M Billets Reports'!D426)),TRIM('R.M Billets Reports'!F426),IF(ISNUMBER(SEARCH("Party Name-",'R.M Billets Reports'!D426)),TRIM(MID('R.M Billets Reports'!D426,SEARCH("-",'R.M Billets Reports'!D426)+1,200)),""))&lt;&gt;"",IF(ISNUMBER(SEARCH("Party Name:-",'R.M Billets Reports'!D426)),TRIM('R.M Billets Reports'!F426),IF(ISNUMBER(SEARCH("Party Name-",'R.M Billets Reports'!D426)),TRIM(MID('R.M Billets Reports'!D426,SEARCH("-",'R.M Billets Reports'!D426)+1,200)),"")),IF(ISNUMBER(SEARCH("Party Name:-",'R.M Billets Reports'!D427)),TRIM('R.M Billets Reports'!F427),IF(ISNUMBER(SEARCH("Party Name-",'R.M Billets Reports'!D427)),TRIM(MID('R.M Billets Reports'!D427,SEARCH("-",'R.M Billets Reports'!D427)+1,200)),"")))="SHRI RADHE","SHREE RADHE",IF(IF(IF(ISNUMBER(SEARCH("Party Name:-",'R.M Billets Reports'!D426)),TRIM('R.M Billets Reports'!F426),IF(ISNUMBER(SEARCH("Party Name-",'R.M Billets Reports'!D426)),TRIM(MID('R.M Billets Reports'!D426,SEARCH("-",'R.M Billets Reports'!D426)+1,200)),""))&lt;&gt;"",IF(ISNUMBER(SEARCH("Party Name:-",'R.M Billets Reports'!D426)),TRIM('R.M Billets Reports'!F426),IF(ISNUMBER(SEARCH("Party Name-",'R.M Billets Reports'!D426)),TRIM(MID('R.M Billets Reports'!D426,SEARCH("-",'R.M Billets Reports'!D426)+1,200)),"")),IF(ISNUMBER(SEARCH("Party Name:-",'R.M Billets Reports'!D427)),TRIM('R.M Billets Reports'!F427),IF(ISNUMBER(SEARCH("Party Name-",'R.M Billets Reports'!D427)),TRIM(MID('R.M Billets Reports'!D427,SEARCH("-",'R.M Billets Reports'!D427)+1,200)),"")))="SHREE RADHE SHAKTI SPONGE AND POWER PVT. LTD.","SHREE RADHE",IF(IF(ISNUMBER(SEARCH("Party Name:-",'R.M Billets Reports'!D426)),TRIM('R.M Billets Reports'!F426),IF(ISNUMBER(SEARCH("Party Name-",'R.M Billets Reports'!D426)),TRIM(MID('R.M Billets Reports'!D426,SEARCH("-",'R.M Billets Reports'!D426)+1,200)),""))&lt;&gt;"",IF(ISNUMBER(SEARCH("Party Name:-",'R.M Billets Reports'!D426)),TRIM('R.M Billets Reports'!F426),IF(ISNUMBER(SEARCH("Party Name-",'R.M Billets Reports'!D426)),TRIM(MID('R.M Billets Reports'!D426,SEARCH("-",'R.M Billets Reports'!D426)+1,200)),"")),IF(ISNUMBER(SEARCH("Party Name:-",'R.M Billets Reports'!D427)),TRIM('R.M Billets Reports'!F427),IF(ISNUMBER(SEARCH("Party Name-",'R.M Billets Reports'!D427)),TRIM(MID('R.M Billets Reports'!D427,SEARCH("-",'R.M Billets Reports'!D427)+1,200)),"")))))),IF(ROW()=2,"",A426))</f>
      </c>
      <c r="B427">
        <f>IF(OR('R.M Billets Reports'!A426="Date-",'R.M Billets Reports'!A426="Date:-"),'R.M Billets Reports'!B426,IF(ROW()=2,"",B426))</f>
      </c>
      <c r="C427">
        <f>IF('R.M Billets Reports'!A426="V.No.",'R.M Billets Reports'!B426,IF(ROW()=2,"",C426))</f>
      </c>
      <c r="D427">
        <f>IF('R.M Billets Reports'!A426&lt;&gt;"",'R.M Billets Reports'!A426,IF(ROW()=2,"",D426))</f>
      </c>
      <c r="E427">
        <f>IF('R.M Billets Reports'!B426="","",TRIM('R.M Billets Reports'!B426))</f>
      </c>
      <c r="F427">
        <f>'R.M Billets Reports'!C426</f>
      </c>
      <c r="G427">
        <f>'R.M Billets Reports'!D426</f>
      </c>
      <c r="H427">
        <f>'R.M Billets Reports'!E426</f>
      </c>
      <c r="I427">
        <f>'R.M Billets Reports'!F426</f>
      </c>
      <c r="J427">
        <f>'R.M Billets Reports'!G426</f>
      </c>
      <c r="K427">
        <f>'R.M Billets Reports'!H426</f>
      </c>
      <c r="L427">
        <f>IF('R.M Billets Reports'!I426="","",'R.M Billets Reports'!I426)</f>
      </c>
      <c r="M427">
        <f t="shared" si="12"/>
      </c>
      <c r="N427">
        <f>IF('R.M Billets Reports'!J426="","",'R.M Billets Reports'!J426)</f>
      </c>
      <c r="O427">
        <f t="shared" si="13"/>
      </c>
      <c r="P427">
        <f>IF('R.M Billets Reports'!A426="SIZE",'R.M Billets Reports'!B426,P426)</f>
      </c>
    </row>
    <row r="428" spans="1:16" x14ac:dyDescent="0.25">
      <c r="A428">
        <f>IF(OR('R.M Billets Reports'!A427="Date-",'R.M Billets Reports'!A427="Date:-"),IF(IF(IF(ISNUMBER(SEARCH("Party Name:-",'R.M Billets Reports'!D427)),TRIM('R.M Billets Reports'!F427),IF(ISNUMBER(SEARCH("Party Name-",'R.M Billets Reports'!D427)),TRIM(MID('R.M Billets Reports'!D427,SEARCH("-",'R.M Billets Reports'!D427)+1,200)),""))&lt;&gt;"",IF(ISNUMBER(SEARCH("Party Name:-",'R.M Billets Reports'!D427)),TRIM('R.M Billets Reports'!F427),IF(ISNUMBER(SEARCH("Party Name-",'R.M Billets Reports'!D427)),TRIM(MID('R.M Billets Reports'!D427,SEARCH("-",'R.M Billets Reports'!D427)+1,200)),"")),IF(ISNUMBER(SEARCH("Party Name:-",'R.M Billets Reports'!D428)),TRIM('R.M Billets Reports'!F428),IF(ISNUMBER(SEARCH("Party Name-",'R.M Billets Reports'!D428)),TRIM(MID('R.M Billets Reports'!D428,SEARCH("-",'R.M Billets Reports'!D428)+1,200)),"")))="VRKP ISPAT PVT LTD","VRKP",IF(IF(IF(ISNUMBER(SEARCH("Party Name:-",'R.M Billets Reports'!D427)),TRIM('R.M Billets Reports'!F427),IF(ISNUMBER(SEARCH("Party Name-",'R.M Billets Reports'!D427)),TRIM(MID('R.M Billets Reports'!D427,SEARCH("-",'R.M Billets Reports'!D427)+1,200)),""))&lt;&gt;"",IF(ISNUMBER(SEARCH("Party Name:-",'R.M Billets Reports'!D427)),TRIM('R.M Billets Reports'!F427),IF(ISNUMBER(SEARCH("Party Name-",'R.M Billets Reports'!D427)),TRIM(MID('R.M Billets Reports'!D427,SEARCH("-",'R.M Billets Reports'!D427)+1,200)),"")),IF(ISNUMBER(SEARCH("Party Name:-",'R.M Billets Reports'!D428)),TRIM('R.M Billets Reports'!F428),IF(ISNUMBER(SEARCH("Party Name-",'R.M Billets Reports'!D428)),TRIM(MID('R.M Billets Reports'!D428,SEARCH("-",'R.M Billets Reports'!D428)+1,200)),"")))="SHRI RADHE","SHREE RADHE",IF(IF(IF(ISNUMBER(SEARCH("Party Name:-",'R.M Billets Reports'!D427)),TRIM('R.M Billets Reports'!F427),IF(ISNUMBER(SEARCH("Party Name-",'R.M Billets Reports'!D427)),TRIM(MID('R.M Billets Reports'!D427,SEARCH("-",'R.M Billets Reports'!D427)+1,200)),""))&lt;&gt;"",IF(ISNUMBER(SEARCH("Party Name:-",'R.M Billets Reports'!D427)),TRIM('R.M Billets Reports'!F427),IF(ISNUMBER(SEARCH("Party Name-",'R.M Billets Reports'!D427)),TRIM(MID('R.M Billets Reports'!D427,SEARCH("-",'R.M Billets Reports'!D427)+1,200)),"")),IF(ISNUMBER(SEARCH("Party Name:-",'R.M Billets Reports'!D428)),TRIM('R.M Billets Reports'!F428),IF(ISNUMBER(SEARCH("Party Name-",'R.M Billets Reports'!D428)),TRIM(MID('R.M Billets Reports'!D428,SEARCH("-",'R.M Billets Reports'!D428)+1,200)),"")))="SHREE RADHE SHAKTI SPONGE AND POWER PVT. LTD.","SHREE RADHE",IF(IF(ISNUMBER(SEARCH("Party Name:-",'R.M Billets Reports'!D427)),TRIM('R.M Billets Reports'!F427),IF(ISNUMBER(SEARCH("Party Name-",'R.M Billets Reports'!D427)),TRIM(MID('R.M Billets Reports'!D427,SEARCH("-",'R.M Billets Reports'!D427)+1,200)),""))&lt;&gt;"",IF(ISNUMBER(SEARCH("Party Name:-",'R.M Billets Reports'!D427)),TRIM('R.M Billets Reports'!F427),IF(ISNUMBER(SEARCH("Party Name-",'R.M Billets Reports'!D427)),TRIM(MID('R.M Billets Reports'!D427,SEARCH("-",'R.M Billets Reports'!D427)+1,200)),"")),IF(ISNUMBER(SEARCH("Party Name:-",'R.M Billets Reports'!D428)),TRIM('R.M Billets Reports'!F428),IF(ISNUMBER(SEARCH("Party Name-",'R.M Billets Reports'!D428)),TRIM(MID('R.M Billets Reports'!D428,SEARCH("-",'R.M Billets Reports'!D428)+1,200)),"")))))),IF(ROW()=2,"",A427))</f>
      </c>
      <c r="B428">
        <f>IF(OR('R.M Billets Reports'!A427="Date-",'R.M Billets Reports'!A427="Date:-"),'R.M Billets Reports'!B427,IF(ROW()=2,"",B427))</f>
      </c>
      <c r="C428">
        <f>IF('R.M Billets Reports'!A427="V.No.",'R.M Billets Reports'!B427,IF(ROW()=2,"",C427))</f>
      </c>
      <c r="D428">
        <f>IF('R.M Billets Reports'!A427&lt;&gt;"",'R.M Billets Reports'!A427,IF(ROW()=2,"",D427))</f>
      </c>
      <c r="E428">
        <f>IF('R.M Billets Reports'!B427="","",TRIM('R.M Billets Reports'!B427))</f>
      </c>
      <c r="F428">
        <f>'R.M Billets Reports'!C427</f>
      </c>
      <c r="G428">
        <f>'R.M Billets Reports'!D427</f>
      </c>
      <c r="H428">
        <f>'R.M Billets Reports'!E427</f>
      </c>
      <c r="I428">
        <f>'R.M Billets Reports'!F427</f>
      </c>
      <c r="J428">
        <f>'R.M Billets Reports'!G427</f>
      </c>
      <c r="K428">
        <f>'R.M Billets Reports'!H427</f>
      </c>
      <c r="L428">
        <f>IF('R.M Billets Reports'!I427="","",'R.M Billets Reports'!I427)</f>
      </c>
      <c r="M428">
        <f t="shared" si="12"/>
      </c>
      <c r="N428">
        <f>IF('R.M Billets Reports'!J427="","",'R.M Billets Reports'!J427)</f>
      </c>
      <c r="O428">
        <f t="shared" si="13"/>
      </c>
      <c r="P428">
        <f>IF('R.M Billets Reports'!A427="SIZE",'R.M Billets Reports'!B427,P427)</f>
      </c>
    </row>
    <row r="429" spans="1:16" x14ac:dyDescent="0.25">
      <c r="A429">
        <f>IF(OR('R.M Billets Reports'!A428="Date-",'R.M Billets Reports'!A428="Date:-"),IF(IF(IF(ISNUMBER(SEARCH("Party Name:-",'R.M Billets Reports'!D428)),TRIM('R.M Billets Reports'!F428),IF(ISNUMBER(SEARCH("Party Name-",'R.M Billets Reports'!D428)),TRIM(MID('R.M Billets Reports'!D428,SEARCH("-",'R.M Billets Reports'!D428)+1,200)),""))&lt;&gt;"",IF(ISNUMBER(SEARCH("Party Name:-",'R.M Billets Reports'!D428)),TRIM('R.M Billets Reports'!F428),IF(ISNUMBER(SEARCH("Party Name-",'R.M Billets Reports'!D428)),TRIM(MID('R.M Billets Reports'!D428,SEARCH("-",'R.M Billets Reports'!D428)+1,200)),"")),IF(ISNUMBER(SEARCH("Party Name:-",'R.M Billets Reports'!D429)),TRIM('R.M Billets Reports'!F429),IF(ISNUMBER(SEARCH("Party Name-",'R.M Billets Reports'!D429)),TRIM(MID('R.M Billets Reports'!D429,SEARCH("-",'R.M Billets Reports'!D429)+1,200)),"")))="VRKP ISPAT PVT LTD","VRKP",IF(IF(IF(ISNUMBER(SEARCH("Party Name:-",'R.M Billets Reports'!D428)),TRIM('R.M Billets Reports'!F428),IF(ISNUMBER(SEARCH("Party Name-",'R.M Billets Reports'!D428)),TRIM(MID('R.M Billets Reports'!D428,SEARCH("-",'R.M Billets Reports'!D428)+1,200)),""))&lt;&gt;"",IF(ISNUMBER(SEARCH("Party Name:-",'R.M Billets Reports'!D428)),TRIM('R.M Billets Reports'!F428),IF(ISNUMBER(SEARCH("Party Name-",'R.M Billets Reports'!D428)),TRIM(MID('R.M Billets Reports'!D428,SEARCH("-",'R.M Billets Reports'!D428)+1,200)),"")),IF(ISNUMBER(SEARCH("Party Name:-",'R.M Billets Reports'!D429)),TRIM('R.M Billets Reports'!F429),IF(ISNUMBER(SEARCH("Party Name-",'R.M Billets Reports'!D429)),TRIM(MID('R.M Billets Reports'!D429,SEARCH("-",'R.M Billets Reports'!D429)+1,200)),"")))="SHRI RADHE","SHREE RADHE",IF(IF(IF(ISNUMBER(SEARCH("Party Name:-",'R.M Billets Reports'!D428)),TRIM('R.M Billets Reports'!F428),IF(ISNUMBER(SEARCH("Party Name-",'R.M Billets Reports'!D428)),TRIM(MID('R.M Billets Reports'!D428,SEARCH("-",'R.M Billets Reports'!D428)+1,200)),""))&lt;&gt;"",IF(ISNUMBER(SEARCH("Party Name:-",'R.M Billets Reports'!D428)),TRIM('R.M Billets Reports'!F428),IF(ISNUMBER(SEARCH("Party Name-",'R.M Billets Reports'!D428)),TRIM(MID('R.M Billets Reports'!D428,SEARCH("-",'R.M Billets Reports'!D428)+1,200)),"")),IF(ISNUMBER(SEARCH("Party Name:-",'R.M Billets Reports'!D429)),TRIM('R.M Billets Reports'!F429),IF(ISNUMBER(SEARCH("Party Name-",'R.M Billets Reports'!D429)),TRIM(MID('R.M Billets Reports'!D429,SEARCH("-",'R.M Billets Reports'!D429)+1,200)),"")))="SHREE RADHE SHAKTI SPONGE AND POWER PVT. LTD.","SHREE RADHE",IF(IF(ISNUMBER(SEARCH("Party Name:-",'R.M Billets Reports'!D428)),TRIM('R.M Billets Reports'!F428),IF(ISNUMBER(SEARCH("Party Name-",'R.M Billets Reports'!D428)),TRIM(MID('R.M Billets Reports'!D428,SEARCH("-",'R.M Billets Reports'!D428)+1,200)),""))&lt;&gt;"",IF(ISNUMBER(SEARCH("Party Name:-",'R.M Billets Reports'!D428)),TRIM('R.M Billets Reports'!F428),IF(ISNUMBER(SEARCH("Party Name-",'R.M Billets Reports'!D428)),TRIM(MID('R.M Billets Reports'!D428,SEARCH("-",'R.M Billets Reports'!D428)+1,200)),"")),IF(ISNUMBER(SEARCH("Party Name:-",'R.M Billets Reports'!D429)),TRIM('R.M Billets Reports'!F429),IF(ISNUMBER(SEARCH("Party Name-",'R.M Billets Reports'!D429)),TRIM(MID('R.M Billets Reports'!D429,SEARCH("-",'R.M Billets Reports'!D429)+1,200)),"")))))),IF(ROW()=2,"",A428))</f>
      </c>
      <c r="B429">
        <f>IF(OR('R.M Billets Reports'!A428="Date-",'R.M Billets Reports'!A428="Date:-"),'R.M Billets Reports'!B428,IF(ROW()=2,"",B428))</f>
      </c>
      <c r="C429">
        <f>IF('R.M Billets Reports'!A428="V.No.",'R.M Billets Reports'!B428,IF(ROW()=2,"",C428))</f>
      </c>
      <c r="D429">
        <f>IF('R.M Billets Reports'!A428&lt;&gt;"",'R.M Billets Reports'!A428,IF(ROW()=2,"",D428))</f>
      </c>
      <c r="E429">
        <f>IF('R.M Billets Reports'!B428="","",TRIM('R.M Billets Reports'!B428))</f>
      </c>
      <c r="F429">
        <f>'R.M Billets Reports'!C428</f>
      </c>
      <c r="G429">
        <f>'R.M Billets Reports'!D428</f>
      </c>
      <c r="H429">
        <f>'R.M Billets Reports'!E428</f>
      </c>
      <c r="I429">
        <f>'R.M Billets Reports'!F428</f>
      </c>
      <c r="J429">
        <f>'R.M Billets Reports'!G428</f>
      </c>
      <c r="K429">
        <f>'R.M Billets Reports'!H428</f>
      </c>
      <c r="L429">
        <f>IF('R.M Billets Reports'!I428="","",'R.M Billets Reports'!I428)</f>
      </c>
      <c r="M429">
        <f t="shared" si="12"/>
      </c>
      <c r="N429">
        <f>IF('R.M Billets Reports'!J428="","",'R.M Billets Reports'!J428)</f>
      </c>
      <c r="O429">
        <f t="shared" si="13"/>
      </c>
      <c r="P429">
        <f>IF('R.M Billets Reports'!A428="SIZE",'R.M Billets Reports'!B428,P428)</f>
      </c>
    </row>
    <row r="430" spans="1:16" x14ac:dyDescent="0.25">
      <c r="A430">
        <f>IF(OR('R.M Billets Reports'!A429="Date-",'R.M Billets Reports'!A429="Date:-"),IF(IF(IF(ISNUMBER(SEARCH("Party Name:-",'R.M Billets Reports'!D429)),TRIM('R.M Billets Reports'!F429),IF(ISNUMBER(SEARCH("Party Name-",'R.M Billets Reports'!D429)),TRIM(MID('R.M Billets Reports'!D429,SEARCH("-",'R.M Billets Reports'!D429)+1,200)),""))&lt;&gt;"",IF(ISNUMBER(SEARCH("Party Name:-",'R.M Billets Reports'!D429)),TRIM('R.M Billets Reports'!F429),IF(ISNUMBER(SEARCH("Party Name-",'R.M Billets Reports'!D429)),TRIM(MID('R.M Billets Reports'!D429,SEARCH("-",'R.M Billets Reports'!D429)+1,200)),"")),IF(ISNUMBER(SEARCH("Party Name:-",'R.M Billets Reports'!D430)),TRIM('R.M Billets Reports'!F430),IF(ISNUMBER(SEARCH("Party Name-",'R.M Billets Reports'!D430)),TRIM(MID('R.M Billets Reports'!D430,SEARCH("-",'R.M Billets Reports'!D430)+1,200)),"")))="VRKP ISPAT PVT LTD","VRKP",IF(IF(IF(ISNUMBER(SEARCH("Party Name:-",'R.M Billets Reports'!D429)),TRIM('R.M Billets Reports'!F429),IF(ISNUMBER(SEARCH("Party Name-",'R.M Billets Reports'!D429)),TRIM(MID('R.M Billets Reports'!D429,SEARCH("-",'R.M Billets Reports'!D429)+1,200)),""))&lt;&gt;"",IF(ISNUMBER(SEARCH("Party Name:-",'R.M Billets Reports'!D429)),TRIM('R.M Billets Reports'!F429),IF(ISNUMBER(SEARCH("Party Name-",'R.M Billets Reports'!D429)),TRIM(MID('R.M Billets Reports'!D429,SEARCH("-",'R.M Billets Reports'!D429)+1,200)),"")),IF(ISNUMBER(SEARCH("Party Name:-",'R.M Billets Reports'!D430)),TRIM('R.M Billets Reports'!F430),IF(ISNUMBER(SEARCH("Party Name-",'R.M Billets Reports'!D430)),TRIM(MID('R.M Billets Reports'!D430,SEARCH("-",'R.M Billets Reports'!D430)+1,200)),"")))="SHRI RADHE","SHREE RADHE",IF(IF(IF(ISNUMBER(SEARCH("Party Name:-",'R.M Billets Reports'!D429)),TRIM('R.M Billets Reports'!F429),IF(ISNUMBER(SEARCH("Party Name-",'R.M Billets Reports'!D429)),TRIM(MID('R.M Billets Reports'!D429,SEARCH("-",'R.M Billets Reports'!D429)+1,200)),""))&lt;&gt;"",IF(ISNUMBER(SEARCH("Party Name:-",'R.M Billets Reports'!D429)),TRIM('R.M Billets Reports'!F429),IF(ISNUMBER(SEARCH("Party Name-",'R.M Billets Reports'!D429)),TRIM(MID('R.M Billets Reports'!D429,SEARCH("-",'R.M Billets Reports'!D429)+1,200)),"")),IF(ISNUMBER(SEARCH("Party Name:-",'R.M Billets Reports'!D430)),TRIM('R.M Billets Reports'!F430),IF(ISNUMBER(SEARCH("Party Name-",'R.M Billets Reports'!D430)),TRIM(MID('R.M Billets Reports'!D430,SEARCH("-",'R.M Billets Reports'!D430)+1,200)),"")))="SHREE RADHE SHAKTI SPONGE AND POWER PVT. LTD.","SHREE RADHE",IF(IF(ISNUMBER(SEARCH("Party Name:-",'R.M Billets Reports'!D429)),TRIM('R.M Billets Reports'!F429),IF(ISNUMBER(SEARCH("Party Name-",'R.M Billets Reports'!D429)),TRIM(MID('R.M Billets Reports'!D429,SEARCH("-",'R.M Billets Reports'!D429)+1,200)),""))&lt;&gt;"",IF(ISNUMBER(SEARCH("Party Name:-",'R.M Billets Reports'!D429)),TRIM('R.M Billets Reports'!F429),IF(ISNUMBER(SEARCH("Party Name-",'R.M Billets Reports'!D429)),TRIM(MID('R.M Billets Reports'!D429,SEARCH("-",'R.M Billets Reports'!D429)+1,200)),"")),IF(ISNUMBER(SEARCH("Party Name:-",'R.M Billets Reports'!D430)),TRIM('R.M Billets Reports'!F430),IF(ISNUMBER(SEARCH("Party Name-",'R.M Billets Reports'!D430)),TRIM(MID('R.M Billets Reports'!D430,SEARCH("-",'R.M Billets Reports'!D430)+1,200)),"")))))),IF(ROW()=2,"",A429))</f>
      </c>
      <c r="B430">
        <f>IF(OR('R.M Billets Reports'!A429="Date-",'R.M Billets Reports'!A429="Date:-"),'R.M Billets Reports'!B429,IF(ROW()=2,"",B429))</f>
      </c>
      <c r="C430">
        <f>IF('R.M Billets Reports'!A429="V.No.",'R.M Billets Reports'!B429,IF(ROW()=2,"",C429))</f>
      </c>
      <c r="D430">
        <f>IF('R.M Billets Reports'!A429&lt;&gt;"",'R.M Billets Reports'!A429,IF(ROW()=2,"",D429))</f>
      </c>
      <c r="E430">
        <f>IF('R.M Billets Reports'!B429="","",TRIM('R.M Billets Reports'!B429))</f>
      </c>
      <c r="F430">
        <f>'R.M Billets Reports'!C429</f>
      </c>
      <c r="G430">
        <f>'R.M Billets Reports'!D429</f>
      </c>
      <c r="H430">
        <f>'R.M Billets Reports'!E429</f>
      </c>
      <c r="I430">
        <f>'R.M Billets Reports'!F429</f>
      </c>
      <c r="J430">
        <f>'R.M Billets Reports'!G429</f>
      </c>
      <c r="K430">
        <f>'R.M Billets Reports'!H429</f>
      </c>
      <c r="L430">
        <f>IF('R.M Billets Reports'!I429="","",'R.M Billets Reports'!I429)</f>
      </c>
      <c r="M430">
        <f t="shared" si="12"/>
      </c>
      <c r="N430">
        <f>IF('R.M Billets Reports'!J429="","",'R.M Billets Reports'!J429)</f>
      </c>
      <c r="O430">
        <f t="shared" si="13"/>
      </c>
      <c r="P430">
        <f>IF('R.M Billets Reports'!A429="SIZE",'R.M Billets Reports'!B429,P429)</f>
      </c>
    </row>
    <row r="431" spans="1:16" x14ac:dyDescent="0.25">
      <c r="A431">
        <f>IF(OR('R.M Billets Reports'!A430="Date-",'R.M Billets Reports'!A430="Date:-"),IF(IF(IF(ISNUMBER(SEARCH("Party Name:-",'R.M Billets Reports'!D430)),TRIM('R.M Billets Reports'!F430),IF(ISNUMBER(SEARCH("Party Name-",'R.M Billets Reports'!D430)),TRIM(MID('R.M Billets Reports'!D430,SEARCH("-",'R.M Billets Reports'!D430)+1,200)),""))&lt;&gt;"",IF(ISNUMBER(SEARCH("Party Name:-",'R.M Billets Reports'!D430)),TRIM('R.M Billets Reports'!F430),IF(ISNUMBER(SEARCH("Party Name-",'R.M Billets Reports'!D430)),TRIM(MID('R.M Billets Reports'!D430,SEARCH("-",'R.M Billets Reports'!D430)+1,200)),"")),IF(ISNUMBER(SEARCH("Party Name:-",'R.M Billets Reports'!D431)),TRIM('R.M Billets Reports'!F431),IF(ISNUMBER(SEARCH("Party Name-",'R.M Billets Reports'!D431)),TRIM(MID('R.M Billets Reports'!D431,SEARCH("-",'R.M Billets Reports'!D431)+1,200)),"")))="VRKP ISPAT PVT LTD","VRKP",IF(IF(IF(ISNUMBER(SEARCH("Party Name:-",'R.M Billets Reports'!D430)),TRIM('R.M Billets Reports'!F430),IF(ISNUMBER(SEARCH("Party Name-",'R.M Billets Reports'!D430)),TRIM(MID('R.M Billets Reports'!D430,SEARCH("-",'R.M Billets Reports'!D430)+1,200)),""))&lt;&gt;"",IF(ISNUMBER(SEARCH("Party Name:-",'R.M Billets Reports'!D430)),TRIM('R.M Billets Reports'!F430),IF(ISNUMBER(SEARCH("Party Name-",'R.M Billets Reports'!D430)),TRIM(MID('R.M Billets Reports'!D430,SEARCH("-",'R.M Billets Reports'!D430)+1,200)),"")),IF(ISNUMBER(SEARCH("Party Name:-",'R.M Billets Reports'!D431)),TRIM('R.M Billets Reports'!F431),IF(ISNUMBER(SEARCH("Party Name-",'R.M Billets Reports'!D431)),TRIM(MID('R.M Billets Reports'!D431,SEARCH("-",'R.M Billets Reports'!D431)+1,200)),"")))="SHRI RADHE","SHREE RADHE",IF(IF(IF(ISNUMBER(SEARCH("Party Name:-",'R.M Billets Reports'!D430)),TRIM('R.M Billets Reports'!F430),IF(ISNUMBER(SEARCH("Party Name-",'R.M Billets Reports'!D430)),TRIM(MID('R.M Billets Reports'!D430,SEARCH("-",'R.M Billets Reports'!D430)+1,200)),""))&lt;&gt;"",IF(ISNUMBER(SEARCH("Party Name:-",'R.M Billets Reports'!D430)),TRIM('R.M Billets Reports'!F430),IF(ISNUMBER(SEARCH("Party Name-",'R.M Billets Reports'!D430)),TRIM(MID('R.M Billets Reports'!D430,SEARCH("-",'R.M Billets Reports'!D430)+1,200)),"")),IF(ISNUMBER(SEARCH("Party Name:-",'R.M Billets Reports'!D431)),TRIM('R.M Billets Reports'!F431),IF(ISNUMBER(SEARCH("Party Name-",'R.M Billets Reports'!D431)),TRIM(MID('R.M Billets Reports'!D431,SEARCH("-",'R.M Billets Reports'!D431)+1,200)),"")))="SHREE RADHE SHAKTI SPONGE AND POWER PVT. LTD.","SHREE RADHE",IF(IF(ISNUMBER(SEARCH("Party Name:-",'R.M Billets Reports'!D430)),TRIM('R.M Billets Reports'!F430),IF(ISNUMBER(SEARCH("Party Name-",'R.M Billets Reports'!D430)),TRIM(MID('R.M Billets Reports'!D430,SEARCH("-",'R.M Billets Reports'!D430)+1,200)),""))&lt;&gt;"",IF(ISNUMBER(SEARCH("Party Name:-",'R.M Billets Reports'!D430)),TRIM('R.M Billets Reports'!F430),IF(ISNUMBER(SEARCH("Party Name-",'R.M Billets Reports'!D430)),TRIM(MID('R.M Billets Reports'!D430,SEARCH("-",'R.M Billets Reports'!D430)+1,200)),"")),IF(ISNUMBER(SEARCH("Party Name:-",'R.M Billets Reports'!D431)),TRIM('R.M Billets Reports'!F431),IF(ISNUMBER(SEARCH("Party Name-",'R.M Billets Reports'!D431)),TRIM(MID('R.M Billets Reports'!D431,SEARCH("-",'R.M Billets Reports'!D431)+1,200)),"")))))),IF(ROW()=2,"",A430))</f>
      </c>
      <c r="B431">
        <f>IF(OR('R.M Billets Reports'!A430="Date-",'R.M Billets Reports'!A430="Date:-"),'R.M Billets Reports'!B430,IF(ROW()=2,"",B430))</f>
      </c>
      <c r="C431">
        <f>IF('R.M Billets Reports'!A430="V.No.",'R.M Billets Reports'!B430,IF(ROW()=2,"",C430))</f>
      </c>
      <c r="D431">
        <f>IF('R.M Billets Reports'!A430&lt;&gt;"",'R.M Billets Reports'!A430,IF(ROW()=2,"",D430))</f>
      </c>
      <c r="E431">
        <f>IF('R.M Billets Reports'!B430="","",TRIM('R.M Billets Reports'!B430))</f>
      </c>
      <c r="F431">
        <f>'R.M Billets Reports'!C430</f>
      </c>
      <c r="G431">
        <f>'R.M Billets Reports'!D430</f>
      </c>
      <c r="H431">
        <f>'R.M Billets Reports'!E430</f>
      </c>
      <c r="I431">
        <f>'R.M Billets Reports'!F430</f>
      </c>
      <c r="J431">
        <f>'R.M Billets Reports'!G430</f>
      </c>
      <c r="K431">
        <f>'R.M Billets Reports'!H430</f>
      </c>
      <c r="L431">
        <f>IF('R.M Billets Reports'!I430="","",'R.M Billets Reports'!I430)</f>
      </c>
      <c r="M431">
        <f t="shared" si="12"/>
      </c>
      <c r="N431">
        <f>IF('R.M Billets Reports'!J430="","",'R.M Billets Reports'!J430)</f>
      </c>
      <c r="O431">
        <f t="shared" si="13"/>
      </c>
      <c r="P431">
        <f>IF('R.M Billets Reports'!A430="SIZE",'R.M Billets Reports'!B430,P430)</f>
      </c>
    </row>
    <row r="432" spans="1:16" x14ac:dyDescent="0.25">
      <c r="A432">
        <f>IF(OR('R.M Billets Reports'!A431="Date-",'R.M Billets Reports'!A431="Date:-"),IF(IF(IF(ISNUMBER(SEARCH("Party Name:-",'R.M Billets Reports'!D431)),TRIM('R.M Billets Reports'!F431),IF(ISNUMBER(SEARCH("Party Name-",'R.M Billets Reports'!D431)),TRIM(MID('R.M Billets Reports'!D431,SEARCH("-",'R.M Billets Reports'!D431)+1,200)),""))&lt;&gt;"",IF(ISNUMBER(SEARCH("Party Name:-",'R.M Billets Reports'!D431)),TRIM('R.M Billets Reports'!F431),IF(ISNUMBER(SEARCH("Party Name-",'R.M Billets Reports'!D431)),TRIM(MID('R.M Billets Reports'!D431,SEARCH("-",'R.M Billets Reports'!D431)+1,200)),"")),IF(ISNUMBER(SEARCH("Party Name:-",'R.M Billets Reports'!D432)),TRIM('R.M Billets Reports'!F432),IF(ISNUMBER(SEARCH("Party Name-",'R.M Billets Reports'!D432)),TRIM(MID('R.M Billets Reports'!D432,SEARCH("-",'R.M Billets Reports'!D432)+1,200)),"")))="VRKP ISPAT PVT LTD","VRKP",IF(IF(IF(ISNUMBER(SEARCH("Party Name:-",'R.M Billets Reports'!D431)),TRIM('R.M Billets Reports'!F431),IF(ISNUMBER(SEARCH("Party Name-",'R.M Billets Reports'!D431)),TRIM(MID('R.M Billets Reports'!D431,SEARCH("-",'R.M Billets Reports'!D431)+1,200)),""))&lt;&gt;"",IF(ISNUMBER(SEARCH("Party Name:-",'R.M Billets Reports'!D431)),TRIM('R.M Billets Reports'!F431),IF(ISNUMBER(SEARCH("Party Name-",'R.M Billets Reports'!D431)),TRIM(MID('R.M Billets Reports'!D431,SEARCH("-",'R.M Billets Reports'!D431)+1,200)),"")),IF(ISNUMBER(SEARCH("Party Name:-",'R.M Billets Reports'!D432)),TRIM('R.M Billets Reports'!F432),IF(ISNUMBER(SEARCH("Party Name-",'R.M Billets Reports'!D432)),TRIM(MID('R.M Billets Reports'!D432,SEARCH("-",'R.M Billets Reports'!D432)+1,200)),"")))="SHRI RADHE","SHREE RADHE",IF(IF(IF(ISNUMBER(SEARCH("Party Name:-",'R.M Billets Reports'!D431)),TRIM('R.M Billets Reports'!F431),IF(ISNUMBER(SEARCH("Party Name-",'R.M Billets Reports'!D431)),TRIM(MID('R.M Billets Reports'!D431,SEARCH("-",'R.M Billets Reports'!D431)+1,200)),""))&lt;&gt;"",IF(ISNUMBER(SEARCH("Party Name:-",'R.M Billets Reports'!D431)),TRIM('R.M Billets Reports'!F431),IF(ISNUMBER(SEARCH("Party Name-",'R.M Billets Reports'!D431)),TRIM(MID('R.M Billets Reports'!D431,SEARCH("-",'R.M Billets Reports'!D431)+1,200)),"")),IF(ISNUMBER(SEARCH("Party Name:-",'R.M Billets Reports'!D432)),TRIM('R.M Billets Reports'!F432),IF(ISNUMBER(SEARCH("Party Name-",'R.M Billets Reports'!D432)),TRIM(MID('R.M Billets Reports'!D432,SEARCH("-",'R.M Billets Reports'!D432)+1,200)),"")))="SHREE RADHE SHAKTI SPONGE AND POWER PVT. LTD.","SHREE RADHE",IF(IF(ISNUMBER(SEARCH("Party Name:-",'R.M Billets Reports'!D431)),TRIM('R.M Billets Reports'!F431),IF(ISNUMBER(SEARCH("Party Name-",'R.M Billets Reports'!D431)),TRIM(MID('R.M Billets Reports'!D431,SEARCH("-",'R.M Billets Reports'!D431)+1,200)),""))&lt;&gt;"",IF(ISNUMBER(SEARCH("Party Name:-",'R.M Billets Reports'!D431)),TRIM('R.M Billets Reports'!F431),IF(ISNUMBER(SEARCH("Party Name-",'R.M Billets Reports'!D431)),TRIM(MID('R.M Billets Reports'!D431,SEARCH("-",'R.M Billets Reports'!D431)+1,200)),"")),IF(ISNUMBER(SEARCH("Party Name:-",'R.M Billets Reports'!D432)),TRIM('R.M Billets Reports'!F432),IF(ISNUMBER(SEARCH("Party Name-",'R.M Billets Reports'!D432)),TRIM(MID('R.M Billets Reports'!D432,SEARCH("-",'R.M Billets Reports'!D432)+1,200)),"")))))),IF(ROW()=2,"",A431))</f>
      </c>
      <c r="B432">
        <f>IF(OR('R.M Billets Reports'!A431="Date-",'R.M Billets Reports'!A431="Date:-"),'R.M Billets Reports'!B431,IF(ROW()=2,"",B431))</f>
      </c>
      <c r="C432">
        <f>IF('R.M Billets Reports'!A431="V.No.",'R.M Billets Reports'!B431,IF(ROW()=2,"",C431))</f>
      </c>
      <c r="D432">
        <f>IF('R.M Billets Reports'!A431&lt;&gt;"",'R.M Billets Reports'!A431,IF(ROW()=2,"",D431))</f>
      </c>
      <c r="E432">
        <f>IF('R.M Billets Reports'!B431="","",TRIM('R.M Billets Reports'!B431))</f>
      </c>
      <c r="F432">
        <f>'R.M Billets Reports'!C431</f>
      </c>
      <c r="G432">
        <f>'R.M Billets Reports'!D431</f>
      </c>
      <c r="H432">
        <f>'R.M Billets Reports'!E431</f>
      </c>
      <c r="I432">
        <f>'R.M Billets Reports'!F431</f>
      </c>
      <c r="J432">
        <f>'R.M Billets Reports'!G431</f>
      </c>
      <c r="K432">
        <f>'R.M Billets Reports'!H431</f>
      </c>
      <c r="L432">
        <f>IF('R.M Billets Reports'!I431="","",'R.M Billets Reports'!I431)</f>
      </c>
      <c r="M432">
        <f t="shared" si="12"/>
      </c>
      <c r="N432">
        <f>IF('R.M Billets Reports'!J431="","",'R.M Billets Reports'!J431)</f>
      </c>
      <c r="O432">
        <f t="shared" si="13"/>
      </c>
      <c r="P432">
        <f>IF('R.M Billets Reports'!A431="SIZE",'R.M Billets Reports'!B431,P431)</f>
      </c>
    </row>
    <row r="433" spans="1:16" x14ac:dyDescent="0.25">
      <c r="A433">
        <f>IF(OR('R.M Billets Reports'!A432="Date-",'R.M Billets Reports'!A432="Date:-"),IF(IF(IF(ISNUMBER(SEARCH("Party Name:-",'R.M Billets Reports'!D432)),TRIM('R.M Billets Reports'!F432),IF(ISNUMBER(SEARCH("Party Name-",'R.M Billets Reports'!D432)),TRIM(MID('R.M Billets Reports'!D432,SEARCH("-",'R.M Billets Reports'!D432)+1,200)),""))&lt;&gt;"",IF(ISNUMBER(SEARCH("Party Name:-",'R.M Billets Reports'!D432)),TRIM('R.M Billets Reports'!F432),IF(ISNUMBER(SEARCH("Party Name-",'R.M Billets Reports'!D432)),TRIM(MID('R.M Billets Reports'!D432,SEARCH("-",'R.M Billets Reports'!D432)+1,200)),"")),IF(ISNUMBER(SEARCH("Party Name:-",'R.M Billets Reports'!D433)),TRIM('R.M Billets Reports'!F433),IF(ISNUMBER(SEARCH("Party Name-",'R.M Billets Reports'!D433)),TRIM(MID('R.M Billets Reports'!D433,SEARCH("-",'R.M Billets Reports'!D433)+1,200)),"")))="VRKP ISPAT PVT LTD","VRKP",IF(IF(IF(ISNUMBER(SEARCH("Party Name:-",'R.M Billets Reports'!D432)),TRIM('R.M Billets Reports'!F432),IF(ISNUMBER(SEARCH("Party Name-",'R.M Billets Reports'!D432)),TRIM(MID('R.M Billets Reports'!D432,SEARCH("-",'R.M Billets Reports'!D432)+1,200)),""))&lt;&gt;"",IF(ISNUMBER(SEARCH("Party Name:-",'R.M Billets Reports'!D432)),TRIM('R.M Billets Reports'!F432),IF(ISNUMBER(SEARCH("Party Name-",'R.M Billets Reports'!D432)),TRIM(MID('R.M Billets Reports'!D432,SEARCH("-",'R.M Billets Reports'!D432)+1,200)),"")),IF(ISNUMBER(SEARCH("Party Name:-",'R.M Billets Reports'!D433)),TRIM('R.M Billets Reports'!F433),IF(ISNUMBER(SEARCH("Party Name-",'R.M Billets Reports'!D433)),TRIM(MID('R.M Billets Reports'!D433,SEARCH("-",'R.M Billets Reports'!D433)+1,200)),"")))="SHRI RADHE","SHREE RADHE",IF(IF(IF(ISNUMBER(SEARCH("Party Name:-",'R.M Billets Reports'!D432)),TRIM('R.M Billets Reports'!F432),IF(ISNUMBER(SEARCH("Party Name-",'R.M Billets Reports'!D432)),TRIM(MID('R.M Billets Reports'!D432,SEARCH("-",'R.M Billets Reports'!D432)+1,200)),""))&lt;&gt;"",IF(ISNUMBER(SEARCH("Party Name:-",'R.M Billets Reports'!D432)),TRIM('R.M Billets Reports'!F432),IF(ISNUMBER(SEARCH("Party Name-",'R.M Billets Reports'!D432)),TRIM(MID('R.M Billets Reports'!D432,SEARCH("-",'R.M Billets Reports'!D432)+1,200)),"")),IF(ISNUMBER(SEARCH("Party Name:-",'R.M Billets Reports'!D433)),TRIM('R.M Billets Reports'!F433),IF(ISNUMBER(SEARCH("Party Name-",'R.M Billets Reports'!D433)),TRIM(MID('R.M Billets Reports'!D433,SEARCH("-",'R.M Billets Reports'!D433)+1,200)),"")))="SHREE RADHE SHAKTI SPONGE AND POWER PVT. LTD.","SHREE RADHE",IF(IF(ISNUMBER(SEARCH("Party Name:-",'R.M Billets Reports'!D432)),TRIM('R.M Billets Reports'!F432),IF(ISNUMBER(SEARCH("Party Name-",'R.M Billets Reports'!D432)),TRIM(MID('R.M Billets Reports'!D432,SEARCH("-",'R.M Billets Reports'!D432)+1,200)),""))&lt;&gt;"",IF(ISNUMBER(SEARCH("Party Name:-",'R.M Billets Reports'!D432)),TRIM('R.M Billets Reports'!F432),IF(ISNUMBER(SEARCH("Party Name-",'R.M Billets Reports'!D432)),TRIM(MID('R.M Billets Reports'!D432,SEARCH("-",'R.M Billets Reports'!D432)+1,200)),"")),IF(ISNUMBER(SEARCH("Party Name:-",'R.M Billets Reports'!D433)),TRIM('R.M Billets Reports'!F433),IF(ISNUMBER(SEARCH("Party Name-",'R.M Billets Reports'!D433)),TRIM(MID('R.M Billets Reports'!D433,SEARCH("-",'R.M Billets Reports'!D433)+1,200)),"")))))),IF(ROW()=2,"",A432))</f>
      </c>
      <c r="B433">
        <f>IF(OR('R.M Billets Reports'!A432="Date-",'R.M Billets Reports'!A432="Date:-"),'R.M Billets Reports'!B432,IF(ROW()=2,"",B432))</f>
      </c>
      <c r="C433">
        <f>IF('R.M Billets Reports'!A432="V.No.",'R.M Billets Reports'!B432,IF(ROW()=2,"",C432))</f>
      </c>
      <c r="D433">
        <f>IF('R.M Billets Reports'!A432&lt;&gt;"",'R.M Billets Reports'!A432,IF(ROW()=2,"",D432))</f>
      </c>
      <c r="E433">
        <f>IF('R.M Billets Reports'!B432="","",TRIM('R.M Billets Reports'!B432))</f>
      </c>
      <c r="F433">
        <f>'R.M Billets Reports'!C432</f>
      </c>
      <c r="G433">
        <f>'R.M Billets Reports'!D432</f>
      </c>
      <c r="H433">
        <f>'R.M Billets Reports'!E432</f>
      </c>
      <c r="I433">
        <f>'R.M Billets Reports'!F432</f>
      </c>
      <c r="J433">
        <f>'R.M Billets Reports'!G432</f>
      </c>
      <c r="K433">
        <f>'R.M Billets Reports'!H432</f>
      </c>
      <c r="L433">
        <f>IF('R.M Billets Reports'!I432="","",'R.M Billets Reports'!I432)</f>
      </c>
      <c r="M433">
        <f t="shared" si="12"/>
      </c>
      <c r="N433">
        <f>IF('R.M Billets Reports'!J432="","",'R.M Billets Reports'!J432)</f>
      </c>
      <c r="O433">
        <f t="shared" si="13"/>
      </c>
      <c r="P433">
        <f>IF('R.M Billets Reports'!A432="SIZE",'R.M Billets Reports'!B432,P432)</f>
      </c>
    </row>
    <row r="434" spans="1:16" x14ac:dyDescent="0.25">
      <c r="A434">
        <f>IF(OR('R.M Billets Reports'!A433="Date-",'R.M Billets Reports'!A433="Date:-"),IF(IF(IF(ISNUMBER(SEARCH("Party Name:-",'R.M Billets Reports'!D433)),TRIM('R.M Billets Reports'!F433),IF(ISNUMBER(SEARCH("Party Name-",'R.M Billets Reports'!D433)),TRIM(MID('R.M Billets Reports'!D433,SEARCH("-",'R.M Billets Reports'!D433)+1,200)),""))&lt;&gt;"",IF(ISNUMBER(SEARCH("Party Name:-",'R.M Billets Reports'!D433)),TRIM('R.M Billets Reports'!F433),IF(ISNUMBER(SEARCH("Party Name-",'R.M Billets Reports'!D433)),TRIM(MID('R.M Billets Reports'!D433,SEARCH("-",'R.M Billets Reports'!D433)+1,200)),"")),IF(ISNUMBER(SEARCH("Party Name:-",'R.M Billets Reports'!D434)),TRIM('R.M Billets Reports'!F434),IF(ISNUMBER(SEARCH("Party Name-",'R.M Billets Reports'!D434)),TRIM(MID('R.M Billets Reports'!D434,SEARCH("-",'R.M Billets Reports'!D434)+1,200)),"")))="VRKP ISPAT PVT LTD","VRKP",IF(IF(IF(ISNUMBER(SEARCH("Party Name:-",'R.M Billets Reports'!D433)),TRIM('R.M Billets Reports'!F433),IF(ISNUMBER(SEARCH("Party Name-",'R.M Billets Reports'!D433)),TRIM(MID('R.M Billets Reports'!D433,SEARCH("-",'R.M Billets Reports'!D433)+1,200)),""))&lt;&gt;"",IF(ISNUMBER(SEARCH("Party Name:-",'R.M Billets Reports'!D433)),TRIM('R.M Billets Reports'!F433),IF(ISNUMBER(SEARCH("Party Name-",'R.M Billets Reports'!D433)),TRIM(MID('R.M Billets Reports'!D433,SEARCH("-",'R.M Billets Reports'!D433)+1,200)),"")),IF(ISNUMBER(SEARCH("Party Name:-",'R.M Billets Reports'!D434)),TRIM('R.M Billets Reports'!F434),IF(ISNUMBER(SEARCH("Party Name-",'R.M Billets Reports'!D434)),TRIM(MID('R.M Billets Reports'!D434,SEARCH("-",'R.M Billets Reports'!D434)+1,200)),"")))="SHRI RADHE","SHREE RADHE",IF(IF(IF(ISNUMBER(SEARCH("Party Name:-",'R.M Billets Reports'!D433)),TRIM('R.M Billets Reports'!F433),IF(ISNUMBER(SEARCH("Party Name-",'R.M Billets Reports'!D433)),TRIM(MID('R.M Billets Reports'!D433,SEARCH("-",'R.M Billets Reports'!D433)+1,200)),""))&lt;&gt;"",IF(ISNUMBER(SEARCH("Party Name:-",'R.M Billets Reports'!D433)),TRIM('R.M Billets Reports'!F433),IF(ISNUMBER(SEARCH("Party Name-",'R.M Billets Reports'!D433)),TRIM(MID('R.M Billets Reports'!D433,SEARCH("-",'R.M Billets Reports'!D433)+1,200)),"")),IF(ISNUMBER(SEARCH("Party Name:-",'R.M Billets Reports'!D434)),TRIM('R.M Billets Reports'!F434),IF(ISNUMBER(SEARCH("Party Name-",'R.M Billets Reports'!D434)),TRIM(MID('R.M Billets Reports'!D434,SEARCH("-",'R.M Billets Reports'!D434)+1,200)),"")))="SHREE RADHE SHAKTI SPONGE AND POWER PVT. LTD.","SHREE RADHE",IF(IF(ISNUMBER(SEARCH("Party Name:-",'R.M Billets Reports'!D433)),TRIM('R.M Billets Reports'!F433),IF(ISNUMBER(SEARCH("Party Name-",'R.M Billets Reports'!D433)),TRIM(MID('R.M Billets Reports'!D433,SEARCH("-",'R.M Billets Reports'!D433)+1,200)),""))&lt;&gt;"",IF(ISNUMBER(SEARCH("Party Name:-",'R.M Billets Reports'!D433)),TRIM('R.M Billets Reports'!F433),IF(ISNUMBER(SEARCH("Party Name-",'R.M Billets Reports'!D433)),TRIM(MID('R.M Billets Reports'!D433,SEARCH("-",'R.M Billets Reports'!D433)+1,200)),"")),IF(ISNUMBER(SEARCH("Party Name:-",'R.M Billets Reports'!D434)),TRIM('R.M Billets Reports'!F434),IF(ISNUMBER(SEARCH("Party Name-",'R.M Billets Reports'!D434)),TRIM(MID('R.M Billets Reports'!D434,SEARCH("-",'R.M Billets Reports'!D434)+1,200)),"")))))),IF(ROW()=2,"",A433))</f>
      </c>
      <c r="B434">
        <f>IF(OR('R.M Billets Reports'!A433="Date-",'R.M Billets Reports'!A433="Date:-"),'R.M Billets Reports'!B433,IF(ROW()=2,"",B433))</f>
      </c>
      <c r="C434">
        <f>IF('R.M Billets Reports'!A433="V.No.",'R.M Billets Reports'!B433,IF(ROW()=2,"",C433))</f>
      </c>
      <c r="D434">
        <f>IF('R.M Billets Reports'!A433&lt;&gt;"",'R.M Billets Reports'!A433,IF(ROW()=2,"",D433))</f>
      </c>
      <c r="E434">
        <f>IF('R.M Billets Reports'!B433="","",TRIM('R.M Billets Reports'!B433))</f>
      </c>
      <c r="F434">
        <f>'R.M Billets Reports'!C433</f>
      </c>
      <c r="G434">
        <f>'R.M Billets Reports'!D433</f>
      </c>
      <c r="H434">
        <f>'R.M Billets Reports'!E433</f>
      </c>
      <c r="I434">
        <f>'R.M Billets Reports'!F433</f>
      </c>
      <c r="J434">
        <f>'R.M Billets Reports'!G433</f>
      </c>
      <c r="K434">
        <f>'R.M Billets Reports'!H433</f>
      </c>
      <c r="L434">
        <f>IF('R.M Billets Reports'!I433="","",'R.M Billets Reports'!I433)</f>
      </c>
      <c r="M434">
        <f t="shared" si="12"/>
      </c>
      <c r="N434">
        <f>IF('R.M Billets Reports'!J433="","",'R.M Billets Reports'!J433)</f>
      </c>
      <c r="O434">
        <f t="shared" si="13"/>
      </c>
      <c r="P434">
        <f>IF('R.M Billets Reports'!A433="SIZE",'R.M Billets Reports'!B433,P433)</f>
      </c>
    </row>
    <row r="435" spans="1:16" x14ac:dyDescent="0.25">
      <c r="A435">
        <f>IF(OR('R.M Billets Reports'!A434="Date-",'R.M Billets Reports'!A434="Date:-"),IF(IF(IF(ISNUMBER(SEARCH("Party Name:-",'R.M Billets Reports'!D434)),TRIM('R.M Billets Reports'!F434),IF(ISNUMBER(SEARCH("Party Name-",'R.M Billets Reports'!D434)),TRIM(MID('R.M Billets Reports'!D434,SEARCH("-",'R.M Billets Reports'!D434)+1,200)),""))&lt;&gt;"",IF(ISNUMBER(SEARCH("Party Name:-",'R.M Billets Reports'!D434)),TRIM('R.M Billets Reports'!F434),IF(ISNUMBER(SEARCH("Party Name-",'R.M Billets Reports'!D434)),TRIM(MID('R.M Billets Reports'!D434,SEARCH("-",'R.M Billets Reports'!D434)+1,200)),"")),IF(ISNUMBER(SEARCH("Party Name:-",'R.M Billets Reports'!D435)),TRIM('R.M Billets Reports'!F435),IF(ISNUMBER(SEARCH("Party Name-",'R.M Billets Reports'!D435)),TRIM(MID('R.M Billets Reports'!D435,SEARCH("-",'R.M Billets Reports'!D435)+1,200)),"")))="VRKP ISPAT PVT LTD","VRKP",IF(IF(IF(ISNUMBER(SEARCH("Party Name:-",'R.M Billets Reports'!D434)),TRIM('R.M Billets Reports'!F434),IF(ISNUMBER(SEARCH("Party Name-",'R.M Billets Reports'!D434)),TRIM(MID('R.M Billets Reports'!D434,SEARCH("-",'R.M Billets Reports'!D434)+1,200)),""))&lt;&gt;"",IF(ISNUMBER(SEARCH("Party Name:-",'R.M Billets Reports'!D434)),TRIM('R.M Billets Reports'!F434),IF(ISNUMBER(SEARCH("Party Name-",'R.M Billets Reports'!D434)),TRIM(MID('R.M Billets Reports'!D434,SEARCH("-",'R.M Billets Reports'!D434)+1,200)),"")),IF(ISNUMBER(SEARCH("Party Name:-",'R.M Billets Reports'!D435)),TRIM('R.M Billets Reports'!F435),IF(ISNUMBER(SEARCH("Party Name-",'R.M Billets Reports'!D435)),TRIM(MID('R.M Billets Reports'!D435,SEARCH("-",'R.M Billets Reports'!D435)+1,200)),"")))="SHRI RADHE","SHREE RADHE",IF(IF(IF(ISNUMBER(SEARCH("Party Name:-",'R.M Billets Reports'!D434)),TRIM('R.M Billets Reports'!F434),IF(ISNUMBER(SEARCH("Party Name-",'R.M Billets Reports'!D434)),TRIM(MID('R.M Billets Reports'!D434,SEARCH("-",'R.M Billets Reports'!D434)+1,200)),""))&lt;&gt;"",IF(ISNUMBER(SEARCH("Party Name:-",'R.M Billets Reports'!D434)),TRIM('R.M Billets Reports'!F434),IF(ISNUMBER(SEARCH("Party Name-",'R.M Billets Reports'!D434)),TRIM(MID('R.M Billets Reports'!D434,SEARCH("-",'R.M Billets Reports'!D434)+1,200)),"")),IF(ISNUMBER(SEARCH("Party Name:-",'R.M Billets Reports'!D435)),TRIM('R.M Billets Reports'!F435),IF(ISNUMBER(SEARCH("Party Name-",'R.M Billets Reports'!D435)),TRIM(MID('R.M Billets Reports'!D435,SEARCH("-",'R.M Billets Reports'!D435)+1,200)),"")))="SHREE RADHE SHAKTI SPONGE AND POWER PVT. LTD.","SHREE RADHE",IF(IF(ISNUMBER(SEARCH("Party Name:-",'R.M Billets Reports'!D434)),TRIM('R.M Billets Reports'!F434),IF(ISNUMBER(SEARCH("Party Name-",'R.M Billets Reports'!D434)),TRIM(MID('R.M Billets Reports'!D434,SEARCH("-",'R.M Billets Reports'!D434)+1,200)),""))&lt;&gt;"",IF(ISNUMBER(SEARCH("Party Name:-",'R.M Billets Reports'!D434)),TRIM('R.M Billets Reports'!F434),IF(ISNUMBER(SEARCH("Party Name-",'R.M Billets Reports'!D434)),TRIM(MID('R.M Billets Reports'!D434,SEARCH("-",'R.M Billets Reports'!D434)+1,200)),"")),IF(ISNUMBER(SEARCH("Party Name:-",'R.M Billets Reports'!D435)),TRIM('R.M Billets Reports'!F435),IF(ISNUMBER(SEARCH("Party Name-",'R.M Billets Reports'!D435)),TRIM(MID('R.M Billets Reports'!D435,SEARCH("-",'R.M Billets Reports'!D435)+1,200)),"")))))),IF(ROW()=2,"",A434))</f>
      </c>
      <c r="B435">
        <f>IF(OR('R.M Billets Reports'!A434="Date-",'R.M Billets Reports'!A434="Date:-"),'R.M Billets Reports'!B434,IF(ROW()=2,"",B434))</f>
      </c>
      <c r="C435">
        <f>IF('R.M Billets Reports'!A434="V.No.",'R.M Billets Reports'!B434,IF(ROW()=2,"",C434))</f>
      </c>
      <c r="D435">
        <f>IF('R.M Billets Reports'!A434&lt;&gt;"",'R.M Billets Reports'!A434,IF(ROW()=2,"",D434))</f>
      </c>
      <c r="E435">
        <f>IF('R.M Billets Reports'!B434="","",TRIM('R.M Billets Reports'!B434))</f>
      </c>
      <c r="F435">
        <f>'R.M Billets Reports'!C434</f>
      </c>
      <c r="G435">
        <f>'R.M Billets Reports'!D434</f>
      </c>
      <c r="H435">
        <f>'R.M Billets Reports'!E434</f>
      </c>
      <c r="I435">
        <f>'R.M Billets Reports'!F434</f>
      </c>
      <c r="J435">
        <f>'R.M Billets Reports'!G434</f>
      </c>
      <c r="K435">
        <f>'R.M Billets Reports'!H434</f>
      </c>
      <c r="L435">
        <f>IF('R.M Billets Reports'!I434="","",'R.M Billets Reports'!I434)</f>
      </c>
      <c r="M435">
        <f t="shared" si="12"/>
      </c>
      <c r="N435">
        <f>IF('R.M Billets Reports'!J434="","",'R.M Billets Reports'!J434)</f>
      </c>
      <c r="O435">
        <f t="shared" si="13"/>
      </c>
      <c r="P435">
        <f>IF('R.M Billets Reports'!A434="SIZE",'R.M Billets Reports'!B434,P434)</f>
      </c>
    </row>
    <row r="436" spans="1:16" x14ac:dyDescent="0.25">
      <c r="A436">
        <f>IF(OR('R.M Billets Reports'!A435="Date-",'R.M Billets Reports'!A435="Date:-"),IF(IF(IF(ISNUMBER(SEARCH("Party Name:-",'R.M Billets Reports'!D435)),TRIM('R.M Billets Reports'!F435),IF(ISNUMBER(SEARCH("Party Name-",'R.M Billets Reports'!D435)),TRIM(MID('R.M Billets Reports'!D435,SEARCH("-",'R.M Billets Reports'!D435)+1,200)),""))&lt;&gt;"",IF(ISNUMBER(SEARCH("Party Name:-",'R.M Billets Reports'!D435)),TRIM('R.M Billets Reports'!F435),IF(ISNUMBER(SEARCH("Party Name-",'R.M Billets Reports'!D435)),TRIM(MID('R.M Billets Reports'!D435,SEARCH("-",'R.M Billets Reports'!D435)+1,200)),"")),IF(ISNUMBER(SEARCH("Party Name:-",'R.M Billets Reports'!D436)),TRIM('R.M Billets Reports'!F436),IF(ISNUMBER(SEARCH("Party Name-",'R.M Billets Reports'!D436)),TRIM(MID('R.M Billets Reports'!D436,SEARCH("-",'R.M Billets Reports'!D436)+1,200)),"")))="VRKP ISPAT PVT LTD","VRKP",IF(IF(IF(ISNUMBER(SEARCH("Party Name:-",'R.M Billets Reports'!D435)),TRIM('R.M Billets Reports'!F435),IF(ISNUMBER(SEARCH("Party Name-",'R.M Billets Reports'!D435)),TRIM(MID('R.M Billets Reports'!D435,SEARCH("-",'R.M Billets Reports'!D435)+1,200)),""))&lt;&gt;"",IF(ISNUMBER(SEARCH("Party Name:-",'R.M Billets Reports'!D435)),TRIM('R.M Billets Reports'!F435),IF(ISNUMBER(SEARCH("Party Name-",'R.M Billets Reports'!D435)),TRIM(MID('R.M Billets Reports'!D435,SEARCH("-",'R.M Billets Reports'!D435)+1,200)),"")),IF(ISNUMBER(SEARCH("Party Name:-",'R.M Billets Reports'!D436)),TRIM('R.M Billets Reports'!F436),IF(ISNUMBER(SEARCH("Party Name-",'R.M Billets Reports'!D436)),TRIM(MID('R.M Billets Reports'!D436,SEARCH("-",'R.M Billets Reports'!D436)+1,200)),"")))="SHRI RADHE","SHREE RADHE",IF(IF(IF(ISNUMBER(SEARCH("Party Name:-",'R.M Billets Reports'!D435)),TRIM('R.M Billets Reports'!F435),IF(ISNUMBER(SEARCH("Party Name-",'R.M Billets Reports'!D435)),TRIM(MID('R.M Billets Reports'!D435,SEARCH("-",'R.M Billets Reports'!D435)+1,200)),""))&lt;&gt;"",IF(ISNUMBER(SEARCH("Party Name:-",'R.M Billets Reports'!D435)),TRIM('R.M Billets Reports'!F435),IF(ISNUMBER(SEARCH("Party Name-",'R.M Billets Reports'!D435)),TRIM(MID('R.M Billets Reports'!D435,SEARCH("-",'R.M Billets Reports'!D435)+1,200)),"")),IF(ISNUMBER(SEARCH("Party Name:-",'R.M Billets Reports'!D436)),TRIM('R.M Billets Reports'!F436),IF(ISNUMBER(SEARCH("Party Name-",'R.M Billets Reports'!D436)),TRIM(MID('R.M Billets Reports'!D436,SEARCH("-",'R.M Billets Reports'!D436)+1,200)),"")))="SHREE RADHE SHAKTI SPONGE AND POWER PVT. LTD.","SHREE RADHE",IF(IF(ISNUMBER(SEARCH("Party Name:-",'R.M Billets Reports'!D435)),TRIM('R.M Billets Reports'!F435),IF(ISNUMBER(SEARCH("Party Name-",'R.M Billets Reports'!D435)),TRIM(MID('R.M Billets Reports'!D435,SEARCH("-",'R.M Billets Reports'!D435)+1,200)),""))&lt;&gt;"",IF(ISNUMBER(SEARCH("Party Name:-",'R.M Billets Reports'!D435)),TRIM('R.M Billets Reports'!F435),IF(ISNUMBER(SEARCH("Party Name-",'R.M Billets Reports'!D435)),TRIM(MID('R.M Billets Reports'!D435,SEARCH("-",'R.M Billets Reports'!D435)+1,200)),"")),IF(ISNUMBER(SEARCH("Party Name:-",'R.M Billets Reports'!D436)),TRIM('R.M Billets Reports'!F436),IF(ISNUMBER(SEARCH("Party Name-",'R.M Billets Reports'!D436)),TRIM(MID('R.M Billets Reports'!D436,SEARCH("-",'R.M Billets Reports'!D436)+1,200)),"")))))),IF(ROW()=2,"",A435))</f>
      </c>
      <c r="B436">
        <f>IF(OR('R.M Billets Reports'!A435="Date-",'R.M Billets Reports'!A435="Date:-"),'R.M Billets Reports'!B435,IF(ROW()=2,"",B435))</f>
      </c>
      <c r="C436">
        <f>IF('R.M Billets Reports'!A435="V.No.",'R.M Billets Reports'!B435,IF(ROW()=2,"",C435))</f>
      </c>
      <c r="D436">
        <f>IF('R.M Billets Reports'!A435&lt;&gt;"",'R.M Billets Reports'!A435,IF(ROW()=2,"",D435))</f>
      </c>
      <c r="E436">
        <f>IF('R.M Billets Reports'!B435="","",TRIM('R.M Billets Reports'!B435))</f>
      </c>
      <c r="F436">
        <f>'R.M Billets Reports'!C435</f>
      </c>
      <c r="G436">
        <f>'R.M Billets Reports'!D435</f>
      </c>
      <c r="H436">
        <f>'R.M Billets Reports'!E435</f>
      </c>
      <c r="I436">
        <f>'R.M Billets Reports'!F435</f>
      </c>
      <c r="J436">
        <f>'R.M Billets Reports'!G435</f>
      </c>
      <c r="K436">
        <f>'R.M Billets Reports'!H435</f>
      </c>
      <c r="L436">
        <f>IF('R.M Billets Reports'!I435="","",'R.M Billets Reports'!I435)</f>
      </c>
      <c r="M436">
        <f t="shared" si="12"/>
      </c>
      <c r="N436">
        <f>IF('R.M Billets Reports'!J435="","",'R.M Billets Reports'!J435)</f>
      </c>
      <c r="O436">
        <f t="shared" si="13"/>
      </c>
      <c r="P436">
        <f>IF('R.M Billets Reports'!A435="SIZE",'R.M Billets Reports'!B435,P435)</f>
      </c>
    </row>
    <row r="437" spans="1:16" x14ac:dyDescent="0.25">
      <c r="A437">
        <f>IF(OR('R.M Billets Reports'!A436="Date-",'R.M Billets Reports'!A436="Date:-"),IF(IF(IF(ISNUMBER(SEARCH("Party Name:-",'R.M Billets Reports'!D436)),TRIM('R.M Billets Reports'!F436),IF(ISNUMBER(SEARCH("Party Name-",'R.M Billets Reports'!D436)),TRIM(MID('R.M Billets Reports'!D436,SEARCH("-",'R.M Billets Reports'!D436)+1,200)),""))&lt;&gt;"",IF(ISNUMBER(SEARCH("Party Name:-",'R.M Billets Reports'!D436)),TRIM('R.M Billets Reports'!F436),IF(ISNUMBER(SEARCH("Party Name-",'R.M Billets Reports'!D436)),TRIM(MID('R.M Billets Reports'!D436,SEARCH("-",'R.M Billets Reports'!D436)+1,200)),"")),IF(ISNUMBER(SEARCH("Party Name:-",'R.M Billets Reports'!D437)),TRIM('R.M Billets Reports'!F437),IF(ISNUMBER(SEARCH("Party Name-",'R.M Billets Reports'!D437)),TRIM(MID('R.M Billets Reports'!D437,SEARCH("-",'R.M Billets Reports'!D437)+1,200)),"")))="VRKP ISPAT PVT LTD","VRKP",IF(IF(IF(ISNUMBER(SEARCH("Party Name:-",'R.M Billets Reports'!D436)),TRIM('R.M Billets Reports'!F436),IF(ISNUMBER(SEARCH("Party Name-",'R.M Billets Reports'!D436)),TRIM(MID('R.M Billets Reports'!D436,SEARCH("-",'R.M Billets Reports'!D436)+1,200)),""))&lt;&gt;"",IF(ISNUMBER(SEARCH("Party Name:-",'R.M Billets Reports'!D436)),TRIM('R.M Billets Reports'!F436),IF(ISNUMBER(SEARCH("Party Name-",'R.M Billets Reports'!D436)),TRIM(MID('R.M Billets Reports'!D436,SEARCH("-",'R.M Billets Reports'!D436)+1,200)),"")),IF(ISNUMBER(SEARCH("Party Name:-",'R.M Billets Reports'!D437)),TRIM('R.M Billets Reports'!F437),IF(ISNUMBER(SEARCH("Party Name-",'R.M Billets Reports'!D437)),TRIM(MID('R.M Billets Reports'!D437,SEARCH("-",'R.M Billets Reports'!D437)+1,200)),"")))="SHRI RADHE","SHREE RADHE",IF(IF(IF(ISNUMBER(SEARCH("Party Name:-",'R.M Billets Reports'!D436)),TRIM('R.M Billets Reports'!F436),IF(ISNUMBER(SEARCH("Party Name-",'R.M Billets Reports'!D436)),TRIM(MID('R.M Billets Reports'!D436,SEARCH("-",'R.M Billets Reports'!D436)+1,200)),""))&lt;&gt;"",IF(ISNUMBER(SEARCH("Party Name:-",'R.M Billets Reports'!D436)),TRIM('R.M Billets Reports'!F436),IF(ISNUMBER(SEARCH("Party Name-",'R.M Billets Reports'!D436)),TRIM(MID('R.M Billets Reports'!D436,SEARCH("-",'R.M Billets Reports'!D436)+1,200)),"")),IF(ISNUMBER(SEARCH("Party Name:-",'R.M Billets Reports'!D437)),TRIM('R.M Billets Reports'!F437),IF(ISNUMBER(SEARCH("Party Name-",'R.M Billets Reports'!D437)),TRIM(MID('R.M Billets Reports'!D437,SEARCH("-",'R.M Billets Reports'!D437)+1,200)),"")))="SHREE RADHE SHAKTI SPONGE AND POWER PVT. LTD.","SHREE RADHE",IF(IF(ISNUMBER(SEARCH("Party Name:-",'R.M Billets Reports'!D436)),TRIM('R.M Billets Reports'!F436),IF(ISNUMBER(SEARCH("Party Name-",'R.M Billets Reports'!D436)),TRIM(MID('R.M Billets Reports'!D436,SEARCH("-",'R.M Billets Reports'!D436)+1,200)),""))&lt;&gt;"",IF(ISNUMBER(SEARCH("Party Name:-",'R.M Billets Reports'!D436)),TRIM('R.M Billets Reports'!F436),IF(ISNUMBER(SEARCH("Party Name-",'R.M Billets Reports'!D436)),TRIM(MID('R.M Billets Reports'!D436,SEARCH("-",'R.M Billets Reports'!D436)+1,200)),"")),IF(ISNUMBER(SEARCH("Party Name:-",'R.M Billets Reports'!D437)),TRIM('R.M Billets Reports'!F437),IF(ISNUMBER(SEARCH("Party Name-",'R.M Billets Reports'!D437)),TRIM(MID('R.M Billets Reports'!D437,SEARCH("-",'R.M Billets Reports'!D437)+1,200)),"")))))),IF(ROW()=2,"",A436))</f>
      </c>
      <c r="B437">
        <f>IF(OR('R.M Billets Reports'!A436="Date-",'R.M Billets Reports'!A436="Date:-"),'R.M Billets Reports'!B436,IF(ROW()=2,"",B436))</f>
      </c>
      <c r="C437">
        <f>IF('R.M Billets Reports'!A436="V.No.",'R.M Billets Reports'!B436,IF(ROW()=2,"",C436))</f>
      </c>
      <c r="D437">
        <f>IF('R.M Billets Reports'!A436&lt;&gt;"",'R.M Billets Reports'!A436,IF(ROW()=2,"",D436))</f>
      </c>
      <c r="E437">
        <f>IF('R.M Billets Reports'!B436="","",TRIM('R.M Billets Reports'!B436))</f>
      </c>
      <c r="F437">
        <f>'R.M Billets Reports'!C436</f>
      </c>
      <c r="G437">
        <f>'R.M Billets Reports'!D436</f>
      </c>
      <c r="H437">
        <f>'R.M Billets Reports'!E436</f>
      </c>
      <c r="I437">
        <f>'R.M Billets Reports'!F436</f>
      </c>
      <c r="J437">
        <f>'R.M Billets Reports'!G436</f>
      </c>
      <c r="K437">
        <f>'R.M Billets Reports'!H436</f>
      </c>
      <c r="L437">
        <f>IF('R.M Billets Reports'!I436="","",'R.M Billets Reports'!I436)</f>
      </c>
      <c r="M437">
        <f t="shared" si="12"/>
      </c>
      <c r="N437">
        <f>IF('R.M Billets Reports'!J436="","",'R.M Billets Reports'!J436)</f>
      </c>
      <c r="O437">
        <f t="shared" si="13"/>
      </c>
      <c r="P437">
        <f>IF('R.M Billets Reports'!A436="SIZE",'R.M Billets Reports'!B436,P436)</f>
      </c>
    </row>
    <row r="438" spans="1:16" x14ac:dyDescent="0.25">
      <c r="A438">
        <f>IF(OR('R.M Billets Reports'!A437="Date-",'R.M Billets Reports'!A437="Date:-"),IF(IF(IF(ISNUMBER(SEARCH("Party Name:-",'R.M Billets Reports'!D437)),TRIM('R.M Billets Reports'!F437),IF(ISNUMBER(SEARCH("Party Name-",'R.M Billets Reports'!D437)),TRIM(MID('R.M Billets Reports'!D437,SEARCH("-",'R.M Billets Reports'!D437)+1,200)),""))&lt;&gt;"",IF(ISNUMBER(SEARCH("Party Name:-",'R.M Billets Reports'!D437)),TRIM('R.M Billets Reports'!F437),IF(ISNUMBER(SEARCH("Party Name-",'R.M Billets Reports'!D437)),TRIM(MID('R.M Billets Reports'!D437,SEARCH("-",'R.M Billets Reports'!D437)+1,200)),"")),IF(ISNUMBER(SEARCH("Party Name:-",'R.M Billets Reports'!D438)),TRIM('R.M Billets Reports'!F438),IF(ISNUMBER(SEARCH("Party Name-",'R.M Billets Reports'!D438)),TRIM(MID('R.M Billets Reports'!D438,SEARCH("-",'R.M Billets Reports'!D438)+1,200)),"")))="VRKP ISPAT PVT LTD","VRKP",IF(IF(IF(ISNUMBER(SEARCH("Party Name:-",'R.M Billets Reports'!D437)),TRIM('R.M Billets Reports'!F437),IF(ISNUMBER(SEARCH("Party Name-",'R.M Billets Reports'!D437)),TRIM(MID('R.M Billets Reports'!D437,SEARCH("-",'R.M Billets Reports'!D437)+1,200)),""))&lt;&gt;"",IF(ISNUMBER(SEARCH("Party Name:-",'R.M Billets Reports'!D437)),TRIM('R.M Billets Reports'!F437),IF(ISNUMBER(SEARCH("Party Name-",'R.M Billets Reports'!D437)),TRIM(MID('R.M Billets Reports'!D437,SEARCH("-",'R.M Billets Reports'!D437)+1,200)),"")),IF(ISNUMBER(SEARCH("Party Name:-",'R.M Billets Reports'!D438)),TRIM('R.M Billets Reports'!F438),IF(ISNUMBER(SEARCH("Party Name-",'R.M Billets Reports'!D438)),TRIM(MID('R.M Billets Reports'!D438,SEARCH("-",'R.M Billets Reports'!D438)+1,200)),"")))="SHRI RADHE","SHREE RADHE",IF(IF(IF(ISNUMBER(SEARCH("Party Name:-",'R.M Billets Reports'!D437)),TRIM('R.M Billets Reports'!F437),IF(ISNUMBER(SEARCH("Party Name-",'R.M Billets Reports'!D437)),TRIM(MID('R.M Billets Reports'!D437,SEARCH("-",'R.M Billets Reports'!D437)+1,200)),""))&lt;&gt;"",IF(ISNUMBER(SEARCH("Party Name:-",'R.M Billets Reports'!D437)),TRIM('R.M Billets Reports'!F437),IF(ISNUMBER(SEARCH("Party Name-",'R.M Billets Reports'!D437)),TRIM(MID('R.M Billets Reports'!D437,SEARCH("-",'R.M Billets Reports'!D437)+1,200)),"")),IF(ISNUMBER(SEARCH("Party Name:-",'R.M Billets Reports'!D438)),TRIM('R.M Billets Reports'!F438),IF(ISNUMBER(SEARCH("Party Name-",'R.M Billets Reports'!D438)),TRIM(MID('R.M Billets Reports'!D438,SEARCH("-",'R.M Billets Reports'!D438)+1,200)),"")))="SHREE RADHE SHAKTI SPONGE AND POWER PVT. LTD.","SHREE RADHE",IF(IF(ISNUMBER(SEARCH("Party Name:-",'R.M Billets Reports'!D437)),TRIM('R.M Billets Reports'!F437),IF(ISNUMBER(SEARCH("Party Name-",'R.M Billets Reports'!D437)),TRIM(MID('R.M Billets Reports'!D437,SEARCH("-",'R.M Billets Reports'!D437)+1,200)),""))&lt;&gt;"",IF(ISNUMBER(SEARCH("Party Name:-",'R.M Billets Reports'!D437)),TRIM('R.M Billets Reports'!F437),IF(ISNUMBER(SEARCH("Party Name-",'R.M Billets Reports'!D437)),TRIM(MID('R.M Billets Reports'!D437,SEARCH("-",'R.M Billets Reports'!D437)+1,200)),"")),IF(ISNUMBER(SEARCH("Party Name:-",'R.M Billets Reports'!D438)),TRIM('R.M Billets Reports'!F438),IF(ISNUMBER(SEARCH("Party Name-",'R.M Billets Reports'!D438)),TRIM(MID('R.M Billets Reports'!D438,SEARCH("-",'R.M Billets Reports'!D438)+1,200)),"")))))),IF(ROW()=2,"",A437))</f>
      </c>
      <c r="B438">
        <f>IF(OR('R.M Billets Reports'!A437="Date-",'R.M Billets Reports'!A437="Date:-"),'R.M Billets Reports'!B437,IF(ROW()=2,"",B437))</f>
      </c>
      <c r="C438">
        <f>IF('R.M Billets Reports'!A437="V.No.",'R.M Billets Reports'!B437,IF(ROW()=2,"",C437))</f>
      </c>
      <c r="D438">
        <f>IF('R.M Billets Reports'!A437&lt;&gt;"",'R.M Billets Reports'!A437,IF(ROW()=2,"",D437))</f>
      </c>
      <c r="E438">
        <f>IF('R.M Billets Reports'!B437="","",TRIM('R.M Billets Reports'!B437))</f>
      </c>
      <c r="F438">
        <f>'R.M Billets Reports'!C437</f>
      </c>
      <c r="G438">
        <f>'R.M Billets Reports'!D437</f>
      </c>
      <c r="H438">
        <f>'R.M Billets Reports'!E437</f>
      </c>
      <c r="I438">
        <f>'R.M Billets Reports'!F437</f>
      </c>
      <c r="J438">
        <f>'R.M Billets Reports'!G437</f>
      </c>
      <c r="K438">
        <f>'R.M Billets Reports'!H437</f>
      </c>
      <c r="L438">
        <f>IF('R.M Billets Reports'!I437="","",'R.M Billets Reports'!I437)</f>
      </c>
      <c r="M438">
        <f t="shared" si="12"/>
      </c>
      <c r="N438">
        <f>IF('R.M Billets Reports'!J437="","",'R.M Billets Reports'!J437)</f>
      </c>
      <c r="O438">
        <f t="shared" si="13"/>
      </c>
      <c r="P438">
        <f>IF('R.M Billets Reports'!A437="SIZE",'R.M Billets Reports'!B437,P437)</f>
      </c>
    </row>
    <row r="439" spans="1:16" x14ac:dyDescent="0.25">
      <c r="A439">
        <f>IF(OR('R.M Billets Reports'!A438="Date-",'R.M Billets Reports'!A438="Date:-"),IF(IF(IF(ISNUMBER(SEARCH("Party Name:-",'R.M Billets Reports'!D438)),TRIM('R.M Billets Reports'!F438),IF(ISNUMBER(SEARCH("Party Name-",'R.M Billets Reports'!D438)),TRIM(MID('R.M Billets Reports'!D438,SEARCH("-",'R.M Billets Reports'!D438)+1,200)),""))&lt;&gt;"",IF(ISNUMBER(SEARCH("Party Name:-",'R.M Billets Reports'!D438)),TRIM('R.M Billets Reports'!F438),IF(ISNUMBER(SEARCH("Party Name-",'R.M Billets Reports'!D438)),TRIM(MID('R.M Billets Reports'!D438,SEARCH("-",'R.M Billets Reports'!D438)+1,200)),"")),IF(ISNUMBER(SEARCH("Party Name:-",'R.M Billets Reports'!D439)),TRIM('R.M Billets Reports'!F439),IF(ISNUMBER(SEARCH("Party Name-",'R.M Billets Reports'!D439)),TRIM(MID('R.M Billets Reports'!D439,SEARCH("-",'R.M Billets Reports'!D439)+1,200)),"")))="VRKP ISPAT PVT LTD","VRKP",IF(IF(IF(ISNUMBER(SEARCH("Party Name:-",'R.M Billets Reports'!D438)),TRIM('R.M Billets Reports'!F438),IF(ISNUMBER(SEARCH("Party Name-",'R.M Billets Reports'!D438)),TRIM(MID('R.M Billets Reports'!D438,SEARCH("-",'R.M Billets Reports'!D438)+1,200)),""))&lt;&gt;"",IF(ISNUMBER(SEARCH("Party Name:-",'R.M Billets Reports'!D438)),TRIM('R.M Billets Reports'!F438),IF(ISNUMBER(SEARCH("Party Name-",'R.M Billets Reports'!D438)),TRIM(MID('R.M Billets Reports'!D438,SEARCH("-",'R.M Billets Reports'!D438)+1,200)),"")),IF(ISNUMBER(SEARCH("Party Name:-",'R.M Billets Reports'!D439)),TRIM('R.M Billets Reports'!F439),IF(ISNUMBER(SEARCH("Party Name-",'R.M Billets Reports'!D439)),TRIM(MID('R.M Billets Reports'!D439,SEARCH("-",'R.M Billets Reports'!D439)+1,200)),"")))="SHRI RADHE","SHREE RADHE",IF(IF(IF(ISNUMBER(SEARCH("Party Name:-",'R.M Billets Reports'!D438)),TRIM('R.M Billets Reports'!F438),IF(ISNUMBER(SEARCH("Party Name-",'R.M Billets Reports'!D438)),TRIM(MID('R.M Billets Reports'!D438,SEARCH("-",'R.M Billets Reports'!D438)+1,200)),""))&lt;&gt;"",IF(ISNUMBER(SEARCH("Party Name:-",'R.M Billets Reports'!D438)),TRIM('R.M Billets Reports'!F438),IF(ISNUMBER(SEARCH("Party Name-",'R.M Billets Reports'!D438)),TRIM(MID('R.M Billets Reports'!D438,SEARCH("-",'R.M Billets Reports'!D438)+1,200)),"")),IF(ISNUMBER(SEARCH("Party Name:-",'R.M Billets Reports'!D439)),TRIM('R.M Billets Reports'!F439),IF(ISNUMBER(SEARCH("Party Name-",'R.M Billets Reports'!D439)),TRIM(MID('R.M Billets Reports'!D439,SEARCH("-",'R.M Billets Reports'!D439)+1,200)),"")))="SHREE RADHE SHAKTI SPONGE AND POWER PVT. LTD.","SHREE RADHE",IF(IF(ISNUMBER(SEARCH("Party Name:-",'R.M Billets Reports'!D438)),TRIM('R.M Billets Reports'!F438),IF(ISNUMBER(SEARCH("Party Name-",'R.M Billets Reports'!D438)),TRIM(MID('R.M Billets Reports'!D438,SEARCH("-",'R.M Billets Reports'!D438)+1,200)),""))&lt;&gt;"",IF(ISNUMBER(SEARCH("Party Name:-",'R.M Billets Reports'!D438)),TRIM('R.M Billets Reports'!F438),IF(ISNUMBER(SEARCH("Party Name-",'R.M Billets Reports'!D438)),TRIM(MID('R.M Billets Reports'!D438,SEARCH("-",'R.M Billets Reports'!D438)+1,200)),"")),IF(ISNUMBER(SEARCH("Party Name:-",'R.M Billets Reports'!D439)),TRIM('R.M Billets Reports'!F439),IF(ISNUMBER(SEARCH("Party Name-",'R.M Billets Reports'!D439)),TRIM(MID('R.M Billets Reports'!D439,SEARCH("-",'R.M Billets Reports'!D439)+1,200)),"")))))),IF(ROW()=2,"",A438))</f>
      </c>
      <c r="B439">
        <f>IF(OR('R.M Billets Reports'!A438="Date-",'R.M Billets Reports'!A438="Date:-"),'R.M Billets Reports'!B438,IF(ROW()=2,"",B438))</f>
      </c>
      <c r="C439">
        <f>IF('R.M Billets Reports'!A438="V.No.",'R.M Billets Reports'!B438,IF(ROW()=2,"",C438))</f>
      </c>
      <c r="D439">
        <f>IF('R.M Billets Reports'!A438&lt;&gt;"",'R.M Billets Reports'!A438,IF(ROW()=2,"",D438))</f>
      </c>
      <c r="E439">
        <f>IF('R.M Billets Reports'!B438="","",TRIM('R.M Billets Reports'!B438))</f>
      </c>
      <c r="F439">
        <f>'R.M Billets Reports'!C438</f>
      </c>
      <c r="G439">
        <f>'R.M Billets Reports'!D438</f>
      </c>
      <c r="H439">
        <f>'R.M Billets Reports'!E438</f>
      </c>
      <c r="I439">
        <f>'R.M Billets Reports'!F438</f>
      </c>
      <c r="J439">
        <f>'R.M Billets Reports'!G438</f>
      </c>
      <c r="K439">
        <f>'R.M Billets Reports'!H438</f>
      </c>
      <c r="L439">
        <f>IF('R.M Billets Reports'!I438="","",'R.M Billets Reports'!I438)</f>
      </c>
      <c r="M439">
        <f t="shared" si="12"/>
      </c>
      <c r="N439">
        <f>IF('R.M Billets Reports'!J438="","",'R.M Billets Reports'!J438)</f>
      </c>
      <c r="O439">
        <f t="shared" si="13"/>
      </c>
      <c r="P439">
        <f>IF('R.M Billets Reports'!A438="SIZE",'R.M Billets Reports'!B438,P438)</f>
      </c>
    </row>
    <row r="440" spans="1:16" x14ac:dyDescent="0.25">
      <c r="A440">
        <f>IF(OR('R.M Billets Reports'!A439="Date-",'R.M Billets Reports'!A439="Date:-"),IF(IF(IF(ISNUMBER(SEARCH("Party Name:-",'R.M Billets Reports'!D439)),TRIM('R.M Billets Reports'!F439),IF(ISNUMBER(SEARCH("Party Name-",'R.M Billets Reports'!D439)),TRIM(MID('R.M Billets Reports'!D439,SEARCH("-",'R.M Billets Reports'!D439)+1,200)),""))&lt;&gt;"",IF(ISNUMBER(SEARCH("Party Name:-",'R.M Billets Reports'!D439)),TRIM('R.M Billets Reports'!F439),IF(ISNUMBER(SEARCH("Party Name-",'R.M Billets Reports'!D439)),TRIM(MID('R.M Billets Reports'!D439,SEARCH("-",'R.M Billets Reports'!D439)+1,200)),"")),IF(ISNUMBER(SEARCH("Party Name:-",'R.M Billets Reports'!D440)),TRIM('R.M Billets Reports'!F440),IF(ISNUMBER(SEARCH("Party Name-",'R.M Billets Reports'!D440)),TRIM(MID('R.M Billets Reports'!D440,SEARCH("-",'R.M Billets Reports'!D440)+1,200)),"")))="VRKP ISPAT PVT LTD","VRKP",IF(IF(IF(ISNUMBER(SEARCH("Party Name:-",'R.M Billets Reports'!D439)),TRIM('R.M Billets Reports'!F439),IF(ISNUMBER(SEARCH("Party Name-",'R.M Billets Reports'!D439)),TRIM(MID('R.M Billets Reports'!D439,SEARCH("-",'R.M Billets Reports'!D439)+1,200)),""))&lt;&gt;"",IF(ISNUMBER(SEARCH("Party Name:-",'R.M Billets Reports'!D439)),TRIM('R.M Billets Reports'!F439),IF(ISNUMBER(SEARCH("Party Name-",'R.M Billets Reports'!D439)),TRIM(MID('R.M Billets Reports'!D439,SEARCH("-",'R.M Billets Reports'!D439)+1,200)),"")),IF(ISNUMBER(SEARCH("Party Name:-",'R.M Billets Reports'!D440)),TRIM('R.M Billets Reports'!F440),IF(ISNUMBER(SEARCH("Party Name-",'R.M Billets Reports'!D440)),TRIM(MID('R.M Billets Reports'!D440,SEARCH("-",'R.M Billets Reports'!D440)+1,200)),"")))="SHRI RADHE","SHREE RADHE",IF(IF(IF(ISNUMBER(SEARCH("Party Name:-",'R.M Billets Reports'!D439)),TRIM('R.M Billets Reports'!F439),IF(ISNUMBER(SEARCH("Party Name-",'R.M Billets Reports'!D439)),TRIM(MID('R.M Billets Reports'!D439,SEARCH("-",'R.M Billets Reports'!D439)+1,200)),""))&lt;&gt;"",IF(ISNUMBER(SEARCH("Party Name:-",'R.M Billets Reports'!D439)),TRIM('R.M Billets Reports'!F439),IF(ISNUMBER(SEARCH("Party Name-",'R.M Billets Reports'!D439)),TRIM(MID('R.M Billets Reports'!D439,SEARCH("-",'R.M Billets Reports'!D439)+1,200)),"")),IF(ISNUMBER(SEARCH("Party Name:-",'R.M Billets Reports'!D440)),TRIM('R.M Billets Reports'!F440),IF(ISNUMBER(SEARCH("Party Name-",'R.M Billets Reports'!D440)),TRIM(MID('R.M Billets Reports'!D440,SEARCH("-",'R.M Billets Reports'!D440)+1,200)),"")))="SHREE RADHE SHAKTI SPONGE AND POWER PVT. LTD.","SHREE RADHE",IF(IF(ISNUMBER(SEARCH("Party Name:-",'R.M Billets Reports'!D439)),TRIM('R.M Billets Reports'!F439),IF(ISNUMBER(SEARCH("Party Name-",'R.M Billets Reports'!D439)),TRIM(MID('R.M Billets Reports'!D439,SEARCH("-",'R.M Billets Reports'!D439)+1,200)),""))&lt;&gt;"",IF(ISNUMBER(SEARCH("Party Name:-",'R.M Billets Reports'!D439)),TRIM('R.M Billets Reports'!F439),IF(ISNUMBER(SEARCH("Party Name-",'R.M Billets Reports'!D439)),TRIM(MID('R.M Billets Reports'!D439,SEARCH("-",'R.M Billets Reports'!D439)+1,200)),"")),IF(ISNUMBER(SEARCH("Party Name:-",'R.M Billets Reports'!D440)),TRIM('R.M Billets Reports'!F440),IF(ISNUMBER(SEARCH("Party Name-",'R.M Billets Reports'!D440)),TRIM(MID('R.M Billets Reports'!D440,SEARCH("-",'R.M Billets Reports'!D440)+1,200)),"")))))),IF(ROW()=2,"",A439))</f>
      </c>
      <c r="B440">
        <f>IF(OR('R.M Billets Reports'!A439="Date-",'R.M Billets Reports'!A439="Date:-"),'R.M Billets Reports'!B439,IF(ROW()=2,"",B439))</f>
      </c>
      <c r="C440">
        <f>IF('R.M Billets Reports'!A439="V.No.",'R.M Billets Reports'!B439,IF(ROW()=2,"",C439))</f>
      </c>
      <c r="D440">
        <f>IF('R.M Billets Reports'!A439&lt;&gt;"",'R.M Billets Reports'!A439,IF(ROW()=2,"",D439))</f>
      </c>
      <c r="E440">
        <f>IF('R.M Billets Reports'!B439="","",TRIM('R.M Billets Reports'!B439))</f>
      </c>
      <c r="F440">
        <f>'R.M Billets Reports'!C439</f>
      </c>
      <c r="G440">
        <f>'R.M Billets Reports'!D439</f>
      </c>
      <c r="H440">
        <f>'R.M Billets Reports'!E439</f>
      </c>
      <c r="I440">
        <f>'R.M Billets Reports'!F439</f>
      </c>
      <c r="J440">
        <f>'R.M Billets Reports'!G439</f>
      </c>
      <c r="K440">
        <f>'R.M Billets Reports'!H439</f>
      </c>
      <c r="L440">
        <f>IF('R.M Billets Reports'!I439="","",'R.M Billets Reports'!I439)</f>
      </c>
      <c r="M440">
        <f t="shared" si="12"/>
      </c>
      <c r="N440">
        <f>IF('R.M Billets Reports'!J439="","",'R.M Billets Reports'!J439)</f>
      </c>
      <c r="O440">
        <f t="shared" si="13"/>
      </c>
      <c r="P440">
        <f>IF('R.M Billets Reports'!A439="SIZE",'R.M Billets Reports'!B439,P439)</f>
      </c>
    </row>
    <row r="441" spans="1:16" x14ac:dyDescent="0.25">
      <c r="A441">
        <f>IF(OR('R.M Billets Reports'!A440="Date-",'R.M Billets Reports'!A440="Date:-"),IF(IF(IF(ISNUMBER(SEARCH("Party Name:-",'R.M Billets Reports'!D440)),TRIM('R.M Billets Reports'!F440),IF(ISNUMBER(SEARCH("Party Name-",'R.M Billets Reports'!D440)),TRIM(MID('R.M Billets Reports'!D440,SEARCH("-",'R.M Billets Reports'!D440)+1,200)),""))&lt;&gt;"",IF(ISNUMBER(SEARCH("Party Name:-",'R.M Billets Reports'!D440)),TRIM('R.M Billets Reports'!F440),IF(ISNUMBER(SEARCH("Party Name-",'R.M Billets Reports'!D440)),TRIM(MID('R.M Billets Reports'!D440,SEARCH("-",'R.M Billets Reports'!D440)+1,200)),"")),IF(ISNUMBER(SEARCH("Party Name:-",'R.M Billets Reports'!D441)),TRIM('R.M Billets Reports'!F441),IF(ISNUMBER(SEARCH("Party Name-",'R.M Billets Reports'!D441)),TRIM(MID('R.M Billets Reports'!D441,SEARCH("-",'R.M Billets Reports'!D441)+1,200)),"")))="VRKP ISPAT PVT LTD","VRKP",IF(IF(IF(ISNUMBER(SEARCH("Party Name:-",'R.M Billets Reports'!D440)),TRIM('R.M Billets Reports'!F440),IF(ISNUMBER(SEARCH("Party Name-",'R.M Billets Reports'!D440)),TRIM(MID('R.M Billets Reports'!D440,SEARCH("-",'R.M Billets Reports'!D440)+1,200)),""))&lt;&gt;"",IF(ISNUMBER(SEARCH("Party Name:-",'R.M Billets Reports'!D440)),TRIM('R.M Billets Reports'!F440),IF(ISNUMBER(SEARCH("Party Name-",'R.M Billets Reports'!D440)),TRIM(MID('R.M Billets Reports'!D440,SEARCH("-",'R.M Billets Reports'!D440)+1,200)),"")),IF(ISNUMBER(SEARCH("Party Name:-",'R.M Billets Reports'!D441)),TRIM('R.M Billets Reports'!F441),IF(ISNUMBER(SEARCH("Party Name-",'R.M Billets Reports'!D441)),TRIM(MID('R.M Billets Reports'!D441,SEARCH("-",'R.M Billets Reports'!D441)+1,200)),"")))="SHRI RADHE","SHREE RADHE",IF(IF(IF(ISNUMBER(SEARCH("Party Name:-",'R.M Billets Reports'!D440)),TRIM('R.M Billets Reports'!F440),IF(ISNUMBER(SEARCH("Party Name-",'R.M Billets Reports'!D440)),TRIM(MID('R.M Billets Reports'!D440,SEARCH("-",'R.M Billets Reports'!D440)+1,200)),""))&lt;&gt;"",IF(ISNUMBER(SEARCH("Party Name:-",'R.M Billets Reports'!D440)),TRIM('R.M Billets Reports'!F440),IF(ISNUMBER(SEARCH("Party Name-",'R.M Billets Reports'!D440)),TRIM(MID('R.M Billets Reports'!D440,SEARCH("-",'R.M Billets Reports'!D440)+1,200)),"")),IF(ISNUMBER(SEARCH("Party Name:-",'R.M Billets Reports'!D441)),TRIM('R.M Billets Reports'!F441),IF(ISNUMBER(SEARCH("Party Name-",'R.M Billets Reports'!D441)),TRIM(MID('R.M Billets Reports'!D441,SEARCH("-",'R.M Billets Reports'!D441)+1,200)),"")))="SHREE RADHE SHAKTI SPONGE AND POWER PVT. LTD.","SHREE RADHE",IF(IF(ISNUMBER(SEARCH("Party Name:-",'R.M Billets Reports'!D440)),TRIM('R.M Billets Reports'!F440),IF(ISNUMBER(SEARCH("Party Name-",'R.M Billets Reports'!D440)),TRIM(MID('R.M Billets Reports'!D440,SEARCH("-",'R.M Billets Reports'!D440)+1,200)),""))&lt;&gt;"",IF(ISNUMBER(SEARCH("Party Name:-",'R.M Billets Reports'!D440)),TRIM('R.M Billets Reports'!F440),IF(ISNUMBER(SEARCH("Party Name-",'R.M Billets Reports'!D440)),TRIM(MID('R.M Billets Reports'!D440,SEARCH("-",'R.M Billets Reports'!D440)+1,200)),"")),IF(ISNUMBER(SEARCH("Party Name:-",'R.M Billets Reports'!D441)),TRIM('R.M Billets Reports'!F441),IF(ISNUMBER(SEARCH("Party Name-",'R.M Billets Reports'!D441)),TRIM(MID('R.M Billets Reports'!D441,SEARCH("-",'R.M Billets Reports'!D441)+1,200)),"")))))),IF(ROW()=2,"",A440))</f>
      </c>
      <c r="B441">
        <f>IF(OR('R.M Billets Reports'!A440="Date-",'R.M Billets Reports'!A440="Date:-"),'R.M Billets Reports'!B440,IF(ROW()=2,"",B440))</f>
      </c>
      <c r="C441">
        <f>IF('R.M Billets Reports'!A440="V.No.",'R.M Billets Reports'!B440,IF(ROW()=2,"",C440))</f>
      </c>
      <c r="D441">
        <f>IF('R.M Billets Reports'!A440&lt;&gt;"",'R.M Billets Reports'!A440,IF(ROW()=2,"",D440))</f>
      </c>
      <c r="E441">
        <f>IF('R.M Billets Reports'!B440="","",TRIM('R.M Billets Reports'!B440))</f>
      </c>
      <c r="F441">
        <f>'R.M Billets Reports'!C440</f>
      </c>
      <c r="G441">
        <f>'R.M Billets Reports'!D440</f>
      </c>
      <c r="H441">
        <f>'R.M Billets Reports'!E440</f>
      </c>
      <c r="I441">
        <f>'R.M Billets Reports'!F440</f>
      </c>
      <c r="J441">
        <f>'R.M Billets Reports'!G440</f>
      </c>
      <c r="K441">
        <f>'R.M Billets Reports'!H440</f>
      </c>
      <c r="L441">
        <f>IF('R.M Billets Reports'!I440="","",'R.M Billets Reports'!I440)</f>
      </c>
      <c r="M441">
        <f t="shared" si="12"/>
      </c>
      <c r="N441">
        <f>IF('R.M Billets Reports'!J440="","",'R.M Billets Reports'!J440)</f>
      </c>
      <c r="O441">
        <f t="shared" si="13"/>
      </c>
      <c r="P441">
        <f>IF('R.M Billets Reports'!A440="SIZE",'R.M Billets Reports'!B440,P440)</f>
      </c>
    </row>
    <row r="442" spans="1:16" x14ac:dyDescent="0.25">
      <c r="A442">
        <f>IF(OR('R.M Billets Reports'!A441="Date-",'R.M Billets Reports'!A441="Date:-"),IF(IF(IF(ISNUMBER(SEARCH("Party Name:-",'R.M Billets Reports'!D441)),TRIM('R.M Billets Reports'!F441),IF(ISNUMBER(SEARCH("Party Name-",'R.M Billets Reports'!D441)),TRIM(MID('R.M Billets Reports'!D441,SEARCH("-",'R.M Billets Reports'!D441)+1,200)),""))&lt;&gt;"",IF(ISNUMBER(SEARCH("Party Name:-",'R.M Billets Reports'!D441)),TRIM('R.M Billets Reports'!F441),IF(ISNUMBER(SEARCH("Party Name-",'R.M Billets Reports'!D441)),TRIM(MID('R.M Billets Reports'!D441,SEARCH("-",'R.M Billets Reports'!D441)+1,200)),"")),IF(ISNUMBER(SEARCH("Party Name:-",'R.M Billets Reports'!D442)),TRIM('R.M Billets Reports'!F442),IF(ISNUMBER(SEARCH("Party Name-",'R.M Billets Reports'!D442)),TRIM(MID('R.M Billets Reports'!D442,SEARCH("-",'R.M Billets Reports'!D442)+1,200)),"")))="VRKP ISPAT PVT LTD","VRKP",IF(IF(IF(ISNUMBER(SEARCH("Party Name:-",'R.M Billets Reports'!D441)),TRIM('R.M Billets Reports'!F441),IF(ISNUMBER(SEARCH("Party Name-",'R.M Billets Reports'!D441)),TRIM(MID('R.M Billets Reports'!D441,SEARCH("-",'R.M Billets Reports'!D441)+1,200)),""))&lt;&gt;"",IF(ISNUMBER(SEARCH("Party Name:-",'R.M Billets Reports'!D441)),TRIM('R.M Billets Reports'!F441),IF(ISNUMBER(SEARCH("Party Name-",'R.M Billets Reports'!D441)),TRIM(MID('R.M Billets Reports'!D441,SEARCH("-",'R.M Billets Reports'!D441)+1,200)),"")),IF(ISNUMBER(SEARCH("Party Name:-",'R.M Billets Reports'!D442)),TRIM('R.M Billets Reports'!F442),IF(ISNUMBER(SEARCH("Party Name-",'R.M Billets Reports'!D442)),TRIM(MID('R.M Billets Reports'!D442,SEARCH("-",'R.M Billets Reports'!D442)+1,200)),"")))="SHRI RADHE","SHREE RADHE",IF(IF(IF(ISNUMBER(SEARCH("Party Name:-",'R.M Billets Reports'!D441)),TRIM('R.M Billets Reports'!F441),IF(ISNUMBER(SEARCH("Party Name-",'R.M Billets Reports'!D441)),TRIM(MID('R.M Billets Reports'!D441,SEARCH("-",'R.M Billets Reports'!D441)+1,200)),""))&lt;&gt;"",IF(ISNUMBER(SEARCH("Party Name:-",'R.M Billets Reports'!D441)),TRIM('R.M Billets Reports'!F441),IF(ISNUMBER(SEARCH("Party Name-",'R.M Billets Reports'!D441)),TRIM(MID('R.M Billets Reports'!D441,SEARCH("-",'R.M Billets Reports'!D441)+1,200)),"")),IF(ISNUMBER(SEARCH("Party Name:-",'R.M Billets Reports'!D442)),TRIM('R.M Billets Reports'!F442),IF(ISNUMBER(SEARCH("Party Name-",'R.M Billets Reports'!D442)),TRIM(MID('R.M Billets Reports'!D442,SEARCH("-",'R.M Billets Reports'!D442)+1,200)),"")))="SHREE RADHE SHAKTI SPONGE AND POWER PVT. LTD.","SHREE RADHE",IF(IF(ISNUMBER(SEARCH("Party Name:-",'R.M Billets Reports'!D441)),TRIM('R.M Billets Reports'!F441),IF(ISNUMBER(SEARCH("Party Name-",'R.M Billets Reports'!D441)),TRIM(MID('R.M Billets Reports'!D441,SEARCH("-",'R.M Billets Reports'!D441)+1,200)),""))&lt;&gt;"",IF(ISNUMBER(SEARCH("Party Name:-",'R.M Billets Reports'!D441)),TRIM('R.M Billets Reports'!F441),IF(ISNUMBER(SEARCH("Party Name-",'R.M Billets Reports'!D441)),TRIM(MID('R.M Billets Reports'!D441,SEARCH("-",'R.M Billets Reports'!D441)+1,200)),"")),IF(ISNUMBER(SEARCH("Party Name:-",'R.M Billets Reports'!D442)),TRIM('R.M Billets Reports'!F442),IF(ISNUMBER(SEARCH("Party Name-",'R.M Billets Reports'!D442)),TRIM(MID('R.M Billets Reports'!D442,SEARCH("-",'R.M Billets Reports'!D442)+1,200)),"")))))),IF(ROW()=2,"",A441))</f>
      </c>
      <c r="B442">
        <f>IF(OR('R.M Billets Reports'!A441="Date-",'R.M Billets Reports'!A441="Date:-"),'R.M Billets Reports'!B441,IF(ROW()=2,"",B441))</f>
      </c>
      <c r="C442">
        <f>IF('R.M Billets Reports'!A441="V.No.",'R.M Billets Reports'!B441,IF(ROW()=2,"",C441))</f>
      </c>
      <c r="D442">
        <f>IF('R.M Billets Reports'!A441&lt;&gt;"",'R.M Billets Reports'!A441,IF(ROW()=2,"",D441))</f>
      </c>
      <c r="E442">
        <f>IF('R.M Billets Reports'!B441="","",TRIM('R.M Billets Reports'!B441))</f>
      </c>
      <c r="F442">
        <f>'R.M Billets Reports'!C441</f>
      </c>
      <c r="G442">
        <f>'R.M Billets Reports'!D441</f>
      </c>
      <c r="H442">
        <f>'R.M Billets Reports'!E441</f>
      </c>
      <c r="I442">
        <f>'R.M Billets Reports'!F441</f>
      </c>
      <c r="J442">
        <f>'R.M Billets Reports'!G441</f>
      </c>
      <c r="K442">
        <f>'R.M Billets Reports'!H441</f>
      </c>
      <c r="L442">
        <f>IF('R.M Billets Reports'!I441="","",'R.M Billets Reports'!I441)</f>
      </c>
      <c r="M442">
        <f t="shared" si="12"/>
      </c>
      <c r="N442">
        <f>IF('R.M Billets Reports'!J441="","",'R.M Billets Reports'!J441)</f>
      </c>
      <c r="O442">
        <f t="shared" si="13"/>
      </c>
      <c r="P442">
        <f>IF('R.M Billets Reports'!A441="SIZE",'R.M Billets Reports'!B441,P441)</f>
      </c>
    </row>
    <row r="443" spans="1:16" x14ac:dyDescent="0.25">
      <c r="A443">
        <f>IF(OR('R.M Billets Reports'!A442="Date-",'R.M Billets Reports'!A442="Date:-"),IF(IF(IF(ISNUMBER(SEARCH("Party Name:-",'R.M Billets Reports'!D442)),TRIM('R.M Billets Reports'!F442),IF(ISNUMBER(SEARCH("Party Name-",'R.M Billets Reports'!D442)),TRIM(MID('R.M Billets Reports'!D442,SEARCH("-",'R.M Billets Reports'!D442)+1,200)),""))&lt;&gt;"",IF(ISNUMBER(SEARCH("Party Name:-",'R.M Billets Reports'!D442)),TRIM('R.M Billets Reports'!F442),IF(ISNUMBER(SEARCH("Party Name-",'R.M Billets Reports'!D442)),TRIM(MID('R.M Billets Reports'!D442,SEARCH("-",'R.M Billets Reports'!D442)+1,200)),"")),IF(ISNUMBER(SEARCH("Party Name:-",'R.M Billets Reports'!D443)),TRIM('R.M Billets Reports'!F443),IF(ISNUMBER(SEARCH("Party Name-",'R.M Billets Reports'!D443)),TRIM(MID('R.M Billets Reports'!D443,SEARCH("-",'R.M Billets Reports'!D443)+1,200)),"")))="VRKP ISPAT PVT LTD","VRKP",IF(IF(IF(ISNUMBER(SEARCH("Party Name:-",'R.M Billets Reports'!D442)),TRIM('R.M Billets Reports'!F442),IF(ISNUMBER(SEARCH("Party Name-",'R.M Billets Reports'!D442)),TRIM(MID('R.M Billets Reports'!D442,SEARCH("-",'R.M Billets Reports'!D442)+1,200)),""))&lt;&gt;"",IF(ISNUMBER(SEARCH("Party Name:-",'R.M Billets Reports'!D442)),TRIM('R.M Billets Reports'!F442),IF(ISNUMBER(SEARCH("Party Name-",'R.M Billets Reports'!D442)),TRIM(MID('R.M Billets Reports'!D442,SEARCH("-",'R.M Billets Reports'!D442)+1,200)),"")),IF(ISNUMBER(SEARCH("Party Name:-",'R.M Billets Reports'!D443)),TRIM('R.M Billets Reports'!F443),IF(ISNUMBER(SEARCH("Party Name-",'R.M Billets Reports'!D443)),TRIM(MID('R.M Billets Reports'!D443,SEARCH("-",'R.M Billets Reports'!D443)+1,200)),"")))="SHRI RADHE","SHREE RADHE",IF(IF(IF(ISNUMBER(SEARCH("Party Name:-",'R.M Billets Reports'!D442)),TRIM('R.M Billets Reports'!F442),IF(ISNUMBER(SEARCH("Party Name-",'R.M Billets Reports'!D442)),TRIM(MID('R.M Billets Reports'!D442,SEARCH("-",'R.M Billets Reports'!D442)+1,200)),""))&lt;&gt;"",IF(ISNUMBER(SEARCH("Party Name:-",'R.M Billets Reports'!D442)),TRIM('R.M Billets Reports'!F442),IF(ISNUMBER(SEARCH("Party Name-",'R.M Billets Reports'!D442)),TRIM(MID('R.M Billets Reports'!D442,SEARCH("-",'R.M Billets Reports'!D442)+1,200)),"")),IF(ISNUMBER(SEARCH("Party Name:-",'R.M Billets Reports'!D443)),TRIM('R.M Billets Reports'!F443),IF(ISNUMBER(SEARCH("Party Name-",'R.M Billets Reports'!D443)),TRIM(MID('R.M Billets Reports'!D443,SEARCH("-",'R.M Billets Reports'!D443)+1,200)),"")))="SHREE RADHE SHAKTI SPONGE AND POWER PVT. LTD.","SHREE RADHE",IF(IF(ISNUMBER(SEARCH("Party Name:-",'R.M Billets Reports'!D442)),TRIM('R.M Billets Reports'!F442),IF(ISNUMBER(SEARCH("Party Name-",'R.M Billets Reports'!D442)),TRIM(MID('R.M Billets Reports'!D442,SEARCH("-",'R.M Billets Reports'!D442)+1,200)),""))&lt;&gt;"",IF(ISNUMBER(SEARCH("Party Name:-",'R.M Billets Reports'!D442)),TRIM('R.M Billets Reports'!F442),IF(ISNUMBER(SEARCH("Party Name-",'R.M Billets Reports'!D442)),TRIM(MID('R.M Billets Reports'!D442,SEARCH("-",'R.M Billets Reports'!D442)+1,200)),"")),IF(ISNUMBER(SEARCH("Party Name:-",'R.M Billets Reports'!D443)),TRIM('R.M Billets Reports'!F443),IF(ISNUMBER(SEARCH("Party Name-",'R.M Billets Reports'!D443)),TRIM(MID('R.M Billets Reports'!D443,SEARCH("-",'R.M Billets Reports'!D443)+1,200)),"")))))),IF(ROW()=2,"",A442))</f>
      </c>
      <c r="B443">
        <f>IF(OR('R.M Billets Reports'!A442="Date-",'R.M Billets Reports'!A442="Date:-"),'R.M Billets Reports'!B442,IF(ROW()=2,"",B442))</f>
      </c>
      <c r="C443">
        <f>IF('R.M Billets Reports'!A442="V.No.",'R.M Billets Reports'!B442,IF(ROW()=2,"",C442))</f>
      </c>
      <c r="D443">
        <f>IF('R.M Billets Reports'!A442&lt;&gt;"",'R.M Billets Reports'!A442,IF(ROW()=2,"",D442))</f>
      </c>
      <c r="E443">
        <f>IF('R.M Billets Reports'!B442="","",TRIM('R.M Billets Reports'!B442))</f>
      </c>
      <c r="F443">
        <f>'R.M Billets Reports'!C442</f>
      </c>
      <c r="G443">
        <f>'R.M Billets Reports'!D442</f>
      </c>
      <c r="H443">
        <f>'R.M Billets Reports'!E442</f>
      </c>
      <c r="I443">
        <f>'R.M Billets Reports'!F442</f>
      </c>
      <c r="J443">
        <f>'R.M Billets Reports'!G442</f>
      </c>
      <c r="K443">
        <f>'R.M Billets Reports'!H442</f>
      </c>
      <c r="L443">
        <f>IF('R.M Billets Reports'!I442="","",'R.M Billets Reports'!I442)</f>
      </c>
      <c r="M443">
        <f t="shared" si="12"/>
      </c>
      <c r="N443">
        <f>IF('R.M Billets Reports'!J442="","",'R.M Billets Reports'!J442)</f>
      </c>
      <c r="O443">
        <f t="shared" si="13"/>
      </c>
      <c r="P443">
        <f>IF('R.M Billets Reports'!A442="SIZE",'R.M Billets Reports'!B442,P442)</f>
      </c>
    </row>
    <row r="444" spans="1:16" x14ac:dyDescent="0.25">
      <c r="A444">
        <f>IF(OR('R.M Billets Reports'!A443="Date-",'R.M Billets Reports'!A443="Date:-"),IF(IF(IF(ISNUMBER(SEARCH("Party Name:-",'R.M Billets Reports'!D443)),TRIM('R.M Billets Reports'!F443),IF(ISNUMBER(SEARCH("Party Name-",'R.M Billets Reports'!D443)),TRIM(MID('R.M Billets Reports'!D443,SEARCH("-",'R.M Billets Reports'!D443)+1,200)),""))&lt;&gt;"",IF(ISNUMBER(SEARCH("Party Name:-",'R.M Billets Reports'!D443)),TRIM('R.M Billets Reports'!F443),IF(ISNUMBER(SEARCH("Party Name-",'R.M Billets Reports'!D443)),TRIM(MID('R.M Billets Reports'!D443,SEARCH("-",'R.M Billets Reports'!D443)+1,200)),"")),IF(ISNUMBER(SEARCH("Party Name:-",'R.M Billets Reports'!D444)),TRIM('R.M Billets Reports'!F444),IF(ISNUMBER(SEARCH("Party Name-",'R.M Billets Reports'!D444)),TRIM(MID('R.M Billets Reports'!D444,SEARCH("-",'R.M Billets Reports'!D444)+1,200)),"")))="VRKP ISPAT PVT LTD","VRKP",IF(IF(IF(ISNUMBER(SEARCH("Party Name:-",'R.M Billets Reports'!D443)),TRIM('R.M Billets Reports'!F443),IF(ISNUMBER(SEARCH("Party Name-",'R.M Billets Reports'!D443)),TRIM(MID('R.M Billets Reports'!D443,SEARCH("-",'R.M Billets Reports'!D443)+1,200)),""))&lt;&gt;"",IF(ISNUMBER(SEARCH("Party Name:-",'R.M Billets Reports'!D443)),TRIM('R.M Billets Reports'!F443),IF(ISNUMBER(SEARCH("Party Name-",'R.M Billets Reports'!D443)),TRIM(MID('R.M Billets Reports'!D443,SEARCH("-",'R.M Billets Reports'!D443)+1,200)),"")),IF(ISNUMBER(SEARCH("Party Name:-",'R.M Billets Reports'!D444)),TRIM('R.M Billets Reports'!F444),IF(ISNUMBER(SEARCH("Party Name-",'R.M Billets Reports'!D444)),TRIM(MID('R.M Billets Reports'!D444,SEARCH("-",'R.M Billets Reports'!D444)+1,200)),"")))="SHRI RADHE","SHREE RADHE",IF(IF(IF(ISNUMBER(SEARCH("Party Name:-",'R.M Billets Reports'!D443)),TRIM('R.M Billets Reports'!F443),IF(ISNUMBER(SEARCH("Party Name-",'R.M Billets Reports'!D443)),TRIM(MID('R.M Billets Reports'!D443,SEARCH("-",'R.M Billets Reports'!D443)+1,200)),""))&lt;&gt;"",IF(ISNUMBER(SEARCH("Party Name:-",'R.M Billets Reports'!D443)),TRIM('R.M Billets Reports'!F443),IF(ISNUMBER(SEARCH("Party Name-",'R.M Billets Reports'!D443)),TRIM(MID('R.M Billets Reports'!D443,SEARCH("-",'R.M Billets Reports'!D443)+1,200)),"")),IF(ISNUMBER(SEARCH("Party Name:-",'R.M Billets Reports'!D444)),TRIM('R.M Billets Reports'!F444),IF(ISNUMBER(SEARCH("Party Name-",'R.M Billets Reports'!D444)),TRIM(MID('R.M Billets Reports'!D444,SEARCH("-",'R.M Billets Reports'!D444)+1,200)),"")))="SHREE RADHE SHAKTI SPONGE AND POWER PVT. LTD.","SHREE RADHE",IF(IF(ISNUMBER(SEARCH("Party Name:-",'R.M Billets Reports'!D443)),TRIM('R.M Billets Reports'!F443),IF(ISNUMBER(SEARCH("Party Name-",'R.M Billets Reports'!D443)),TRIM(MID('R.M Billets Reports'!D443,SEARCH("-",'R.M Billets Reports'!D443)+1,200)),""))&lt;&gt;"",IF(ISNUMBER(SEARCH("Party Name:-",'R.M Billets Reports'!D443)),TRIM('R.M Billets Reports'!F443),IF(ISNUMBER(SEARCH("Party Name-",'R.M Billets Reports'!D443)),TRIM(MID('R.M Billets Reports'!D443,SEARCH("-",'R.M Billets Reports'!D443)+1,200)),"")),IF(ISNUMBER(SEARCH("Party Name:-",'R.M Billets Reports'!D444)),TRIM('R.M Billets Reports'!F444),IF(ISNUMBER(SEARCH("Party Name-",'R.M Billets Reports'!D444)),TRIM(MID('R.M Billets Reports'!D444,SEARCH("-",'R.M Billets Reports'!D444)+1,200)),"")))))),IF(ROW()=2,"",A443))</f>
      </c>
      <c r="B444">
        <f>IF(OR('R.M Billets Reports'!A443="Date-",'R.M Billets Reports'!A443="Date:-"),'R.M Billets Reports'!B443,IF(ROW()=2,"",B443))</f>
      </c>
      <c r="C444">
        <f>IF('R.M Billets Reports'!A443="V.No.",'R.M Billets Reports'!B443,IF(ROW()=2,"",C443))</f>
      </c>
      <c r="D444">
        <f>IF('R.M Billets Reports'!A443&lt;&gt;"",'R.M Billets Reports'!A443,IF(ROW()=2,"",D443))</f>
      </c>
      <c r="E444">
        <f>IF('R.M Billets Reports'!B443="","",TRIM('R.M Billets Reports'!B443))</f>
      </c>
      <c r="F444">
        <f>'R.M Billets Reports'!C443</f>
      </c>
      <c r="G444">
        <f>'R.M Billets Reports'!D443</f>
      </c>
      <c r="H444">
        <f>'R.M Billets Reports'!E443</f>
      </c>
      <c r="I444">
        <f>'R.M Billets Reports'!F443</f>
      </c>
      <c r="J444">
        <f>'R.M Billets Reports'!G443</f>
      </c>
      <c r="K444">
        <f>'R.M Billets Reports'!H443</f>
      </c>
      <c r="L444">
        <f>IF('R.M Billets Reports'!I443="","",'R.M Billets Reports'!I443)</f>
      </c>
      <c r="M444">
        <f t="shared" si="12"/>
      </c>
      <c r="N444">
        <f>IF('R.M Billets Reports'!J443="","",'R.M Billets Reports'!J443)</f>
      </c>
      <c r="O444">
        <f t="shared" si="13"/>
      </c>
      <c r="P444">
        <f>IF('R.M Billets Reports'!A443="SIZE",'R.M Billets Reports'!B443,P443)</f>
      </c>
    </row>
    <row r="445" spans="1:16" x14ac:dyDescent="0.25">
      <c r="A445">
        <f>IF(OR('R.M Billets Reports'!A444="Date-",'R.M Billets Reports'!A444="Date:-"),IF(IF(IF(ISNUMBER(SEARCH("Party Name:-",'R.M Billets Reports'!D444)),TRIM('R.M Billets Reports'!F444),IF(ISNUMBER(SEARCH("Party Name-",'R.M Billets Reports'!D444)),TRIM(MID('R.M Billets Reports'!D444,SEARCH("-",'R.M Billets Reports'!D444)+1,200)),""))&lt;&gt;"",IF(ISNUMBER(SEARCH("Party Name:-",'R.M Billets Reports'!D444)),TRIM('R.M Billets Reports'!F444),IF(ISNUMBER(SEARCH("Party Name-",'R.M Billets Reports'!D444)),TRIM(MID('R.M Billets Reports'!D444,SEARCH("-",'R.M Billets Reports'!D444)+1,200)),"")),IF(ISNUMBER(SEARCH("Party Name:-",'R.M Billets Reports'!D445)),TRIM('R.M Billets Reports'!F445),IF(ISNUMBER(SEARCH("Party Name-",'R.M Billets Reports'!D445)),TRIM(MID('R.M Billets Reports'!D445,SEARCH("-",'R.M Billets Reports'!D445)+1,200)),"")))="VRKP ISPAT PVT LTD","VRKP",IF(IF(IF(ISNUMBER(SEARCH("Party Name:-",'R.M Billets Reports'!D444)),TRIM('R.M Billets Reports'!F444),IF(ISNUMBER(SEARCH("Party Name-",'R.M Billets Reports'!D444)),TRIM(MID('R.M Billets Reports'!D444,SEARCH("-",'R.M Billets Reports'!D444)+1,200)),""))&lt;&gt;"",IF(ISNUMBER(SEARCH("Party Name:-",'R.M Billets Reports'!D444)),TRIM('R.M Billets Reports'!F444),IF(ISNUMBER(SEARCH("Party Name-",'R.M Billets Reports'!D444)),TRIM(MID('R.M Billets Reports'!D444,SEARCH("-",'R.M Billets Reports'!D444)+1,200)),"")),IF(ISNUMBER(SEARCH("Party Name:-",'R.M Billets Reports'!D445)),TRIM('R.M Billets Reports'!F445),IF(ISNUMBER(SEARCH("Party Name-",'R.M Billets Reports'!D445)),TRIM(MID('R.M Billets Reports'!D445,SEARCH("-",'R.M Billets Reports'!D445)+1,200)),"")))="SHRI RADHE","SHREE RADHE",IF(IF(IF(ISNUMBER(SEARCH("Party Name:-",'R.M Billets Reports'!D444)),TRIM('R.M Billets Reports'!F444),IF(ISNUMBER(SEARCH("Party Name-",'R.M Billets Reports'!D444)),TRIM(MID('R.M Billets Reports'!D444,SEARCH("-",'R.M Billets Reports'!D444)+1,200)),""))&lt;&gt;"",IF(ISNUMBER(SEARCH("Party Name:-",'R.M Billets Reports'!D444)),TRIM('R.M Billets Reports'!F444),IF(ISNUMBER(SEARCH("Party Name-",'R.M Billets Reports'!D444)),TRIM(MID('R.M Billets Reports'!D444,SEARCH("-",'R.M Billets Reports'!D444)+1,200)),"")),IF(ISNUMBER(SEARCH("Party Name:-",'R.M Billets Reports'!D445)),TRIM('R.M Billets Reports'!F445),IF(ISNUMBER(SEARCH("Party Name-",'R.M Billets Reports'!D445)),TRIM(MID('R.M Billets Reports'!D445,SEARCH("-",'R.M Billets Reports'!D445)+1,200)),"")))="SHREE RADHE SHAKTI SPONGE AND POWER PVT. LTD.","SHREE RADHE",IF(IF(ISNUMBER(SEARCH("Party Name:-",'R.M Billets Reports'!D444)),TRIM('R.M Billets Reports'!F444),IF(ISNUMBER(SEARCH("Party Name-",'R.M Billets Reports'!D444)),TRIM(MID('R.M Billets Reports'!D444,SEARCH("-",'R.M Billets Reports'!D444)+1,200)),""))&lt;&gt;"",IF(ISNUMBER(SEARCH("Party Name:-",'R.M Billets Reports'!D444)),TRIM('R.M Billets Reports'!F444),IF(ISNUMBER(SEARCH("Party Name-",'R.M Billets Reports'!D444)),TRIM(MID('R.M Billets Reports'!D444,SEARCH("-",'R.M Billets Reports'!D444)+1,200)),"")),IF(ISNUMBER(SEARCH("Party Name:-",'R.M Billets Reports'!D445)),TRIM('R.M Billets Reports'!F445),IF(ISNUMBER(SEARCH("Party Name-",'R.M Billets Reports'!D445)),TRIM(MID('R.M Billets Reports'!D445,SEARCH("-",'R.M Billets Reports'!D445)+1,200)),"")))))),IF(ROW()=2,"",A444))</f>
      </c>
      <c r="B445">
        <f>IF(OR('R.M Billets Reports'!A444="Date-",'R.M Billets Reports'!A444="Date:-"),'R.M Billets Reports'!B444,IF(ROW()=2,"",B444))</f>
      </c>
      <c r="C445">
        <f>IF('R.M Billets Reports'!A444="V.No.",'R.M Billets Reports'!B444,IF(ROW()=2,"",C444))</f>
      </c>
      <c r="D445">
        <f>IF('R.M Billets Reports'!A444&lt;&gt;"",'R.M Billets Reports'!A444,IF(ROW()=2,"",D444))</f>
      </c>
      <c r="E445">
        <f>IF('R.M Billets Reports'!B444="","",TRIM('R.M Billets Reports'!B444))</f>
      </c>
      <c r="F445">
        <f>'R.M Billets Reports'!C444</f>
      </c>
      <c r="G445">
        <f>'R.M Billets Reports'!D444</f>
      </c>
      <c r="H445">
        <f>'R.M Billets Reports'!E444</f>
      </c>
      <c r="I445">
        <f>'R.M Billets Reports'!F444</f>
      </c>
      <c r="J445">
        <f>'R.M Billets Reports'!G444</f>
      </c>
      <c r="K445">
        <f>'R.M Billets Reports'!H444</f>
      </c>
      <c r="L445">
        <f>IF('R.M Billets Reports'!I444="","",'R.M Billets Reports'!I444)</f>
      </c>
      <c r="M445">
        <f t="shared" si="12"/>
      </c>
      <c r="N445">
        <f>IF('R.M Billets Reports'!J444="","",'R.M Billets Reports'!J444)</f>
      </c>
      <c r="O445">
        <f t="shared" si="13"/>
      </c>
      <c r="P445">
        <f>IF('R.M Billets Reports'!A444="SIZE",'R.M Billets Reports'!B444,P444)</f>
      </c>
    </row>
    <row r="446" spans="1:16" x14ac:dyDescent="0.25">
      <c r="A446">
        <f>IF(OR('R.M Billets Reports'!A445="Date-",'R.M Billets Reports'!A445="Date:-"),IF(IF(IF(ISNUMBER(SEARCH("Party Name:-",'R.M Billets Reports'!D445)),TRIM('R.M Billets Reports'!F445),IF(ISNUMBER(SEARCH("Party Name-",'R.M Billets Reports'!D445)),TRIM(MID('R.M Billets Reports'!D445,SEARCH("-",'R.M Billets Reports'!D445)+1,200)),""))&lt;&gt;"",IF(ISNUMBER(SEARCH("Party Name:-",'R.M Billets Reports'!D445)),TRIM('R.M Billets Reports'!F445),IF(ISNUMBER(SEARCH("Party Name-",'R.M Billets Reports'!D445)),TRIM(MID('R.M Billets Reports'!D445,SEARCH("-",'R.M Billets Reports'!D445)+1,200)),"")),IF(ISNUMBER(SEARCH("Party Name:-",'R.M Billets Reports'!D446)),TRIM('R.M Billets Reports'!F446),IF(ISNUMBER(SEARCH("Party Name-",'R.M Billets Reports'!D446)),TRIM(MID('R.M Billets Reports'!D446,SEARCH("-",'R.M Billets Reports'!D446)+1,200)),"")))="VRKP ISPAT PVT LTD","VRKP",IF(IF(IF(ISNUMBER(SEARCH("Party Name:-",'R.M Billets Reports'!D445)),TRIM('R.M Billets Reports'!F445),IF(ISNUMBER(SEARCH("Party Name-",'R.M Billets Reports'!D445)),TRIM(MID('R.M Billets Reports'!D445,SEARCH("-",'R.M Billets Reports'!D445)+1,200)),""))&lt;&gt;"",IF(ISNUMBER(SEARCH("Party Name:-",'R.M Billets Reports'!D445)),TRIM('R.M Billets Reports'!F445),IF(ISNUMBER(SEARCH("Party Name-",'R.M Billets Reports'!D445)),TRIM(MID('R.M Billets Reports'!D445,SEARCH("-",'R.M Billets Reports'!D445)+1,200)),"")),IF(ISNUMBER(SEARCH("Party Name:-",'R.M Billets Reports'!D446)),TRIM('R.M Billets Reports'!F446),IF(ISNUMBER(SEARCH("Party Name-",'R.M Billets Reports'!D446)),TRIM(MID('R.M Billets Reports'!D446,SEARCH("-",'R.M Billets Reports'!D446)+1,200)),"")))="SHRI RADHE","SHREE RADHE",IF(IF(IF(ISNUMBER(SEARCH("Party Name:-",'R.M Billets Reports'!D445)),TRIM('R.M Billets Reports'!F445),IF(ISNUMBER(SEARCH("Party Name-",'R.M Billets Reports'!D445)),TRIM(MID('R.M Billets Reports'!D445,SEARCH("-",'R.M Billets Reports'!D445)+1,200)),""))&lt;&gt;"",IF(ISNUMBER(SEARCH("Party Name:-",'R.M Billets Reports'!D445)),TRIM('R.M Billets Reports'!F445),IF(ISNUMBER(SEARCH("Party Name-",'R.M Billets Reports'!D445)),TRIM(MID('R.M Billets Reports'!D445,SEARCH("-",'R.M Billets Reports'!D445)+1,200)),"")),IF(ISNUMBER(SEARCH("Party Name:-",'R.M Billets Reports'!D446)),TRIM('R.M Billets Reports'!F446),IF(ISNUMBER(SEARCH("Party Name-",'R.M Billets Reports'!D446)),TRIM(MID('R.M Billets Reports'!D446,SEARCH("-",'R.M Billets Reports'!D446)+1,200)),"")))="SHREE RADHE SHAKTI SPONGE AND POWER PVT. LTD.","SHREE RADHE",IF(IF(ISNUMBER(SEARCH("Party Name:-",'R.M Billets Reports'!D445)),TRIM('R.M Billets Reports'!F445),IF(ISNUMBER(SEARCH("Party Name-",'R.M Billets Reports'!D445)),TRIM(MID('R.M Billets Reports'!D445,SEARCH("-",'R.M Billets Reports'!D445)+1,200)),""))&lt;&gt;"",IF(ISNUMBER(SEARCH("Party Name:-",'R.M Billets Reports'!D445)),TRIM('R.M Billets Reports'!F445),IF(ISNUMBER(SEARCH("Party Name-",'R.M Billets Reports'!D445)),TRIM(MID('R.M Billets Reports'!D445,SEARCH("-",'R.M Billets Reports'!D445)+1,200)),"")),IF(ISNUMBER(SEARCH("Party Name:-",'R.M Billets Reports'!D446)),TRIM('R.M Billets Reports'!F446),IF(ISNUMBER(SEARCH("Party Name-",'R.M Billets Reports'!D446)),TRIM(MID('R.M Billets Reports'!D446,SEARCH("-",'R.M Billets Reports'!D446)+1,200)),"")))))),IF(ROW()=2,"",A445))</f>
      </c>
      <c r="B446">
        <f>IF(OR('R.M Billets Reports'!A445="Date-",'R.M Billets Reports'!A445="Date:-"),'R.M Billets Reports'!B445,IF(ROW()=2,"",B445))</f>
      </c>
      <c r="C446">
        <f>IF('R.M Billets Reports'!A445="V.No.",'R.M Billets Reports'!B445,IF(ROW()=2,"",C445))</f>
      </c>
      <c r="D446">
        <f>IF('R.M Billets Reports'!A445&lt;&gt;"",'R.M Billets Reports'!A445,IF(ROW()=2,"",D445))</f>
      </c>
      <c r="E446">
        <f>IF('R.M Billets Reports'!B445="","",TRIM('R.M Billets Reports'!B445))</f>
      </c>
      <c r="F446">
        <f>'R.M Billets Reports'!C445</f>
      </c>
      <c r="G446">
        <f>'R.M Billets Reports'!D445</f>
      </c>
      <c r="H446">
        <f>'R.M Billets Reports'!E445</f>
      </c>
      <c r="I446">
        <f>'R.M Billets Reports'!F445</f>
      </c>
      <c r="J446">
        <f>'R.M Billets Reports'!G445</f>
      </c>
      <c r="K446">
        <f>'R.M Billets Reports'!H445</f>
      </c>
      <c r="L446">
        <f>IF('R.M Billets Reports'!I445="","",'R.M Billets Reports'!I445)</f>
      </c>
      <c r="M446">
        <f t="shared" si="12"/>
      </c>
      <c r="N446">
        <f>IF('R.M Billets Reports'!J445="","",'R.M Billets Reports'!J445)</f>
      </c>
      <c r="O446">
        <f t="shared" si="13"/>
      </c>
      <c r="P446">
        <f>IF('R.M Billets Reports'!A445="SIZE",'R.M Billets Reports'!B445,P445)</f>
      </c>
    </row>
    <row r="447" spans="1:16" x14ac:dyDescent="0.25">
      <c r="A447">
        <f>IF(OR('R.M Billets Reports'!A446="Date-",'R.M Billets Reports'!A446="Date:-"),IF(IF(IF(ISNUMBER(SEARCH("Party Name:-",'R.M Billets Reports'!D446)),TRIM('R.M Billets Reports'!F446),IF(ISNUMBER(SEARCH("Party Name-",'R.M Billets Reports'!D446)),TRIM(MID('R.M Billets Reports'!D446,SEARCH("-",'R.M Billets Reports'!D446)+1,200)),""))&lt;&gt;"",IF(ISNUMBER(SEARCH("Party Name:-",'R.M Billets Reports'!D446)),TRIM('R.M Billets Reports'!F446),IF(ISNUMBER(SEARCH("Party Name-",'R.M Billets Reports'!D446)),TRIM(MID('R.M Billets Reports'!D446,SEARCH("-",'R.M Billets Reports'!D446)+1,200)),"")),IF(ISNUMBER(SEARCH("Party Name:-",'R.M Billets Reports'!D447)),TRIM('R.M Billets Reports'!F447),IF(ISNUMBER(SEARCH("Party Name-",'R.M Billets Reports'!D447)),TRIM(MID('R.M Billets Reports'!D447,SEARCH("-",'R.M Billets Reports'!D447)+1,200)),"")))="VRKP ISPAT PVT LTD","VRKP",IF(IF(IF(ISNUMBER(SEARCH("Party Name:-",'R.M Billets Reports'!D446)),TRIM('R.M Billets Reports'!F446),IF(ISNUMBER(SEARCH("Party Name-",'R.M Billets Reports'!D446)),TRIM(MID('R.M Billets Reports'!D446,SEARCH("-",'R.M Billets Reports'!D446)+1,200)),""))&lt;&gt;"",IF(ISNUMBER(SEARCH("Party Name:-",'R.M Billets Reports'!D446)),TRIM('R.M Billets Reports'!F446),IF(ISNUMBER(SEARCH("Party Name-",'R.M Billets Reports'!D446)),TRIM(MID('R.M Billets Reports'!D446,SEARCH("-",'R.M Billets Reports'!D446)+1,200)),"")),IF(ISNUMBER(SEARCH("Party Name:-",'R.M Billets Reports'!D447)),TRIM('R.M Billets Reports'!F447),IF(ISNUMBER(SEARCH("Party Name-",'R.M Billets Reports'!D447)),TRIM(MID('R.M Billets Reports'!D447,SEARCH("-",'R.M Billets Reports'!D447)+1,200)),"")))="SHRI RADHE","SHREE RADHE",IF(IF(IF(ISNUMBER(SEARCH("Party Name:-",'R.M Billets Reports'!D446)),TRIM('R.M Billets Reports'!F446),IF(ISNUMBER(SEARCH("Party Name-",'R.M Billets Reports'!D446)),TRIM(MID('R.M Billets Reports'!D446,SEARCH("-",'R.M Billets Reports'!D446)+1,200)),""))&lt;&gt;"",IF(ISNUMBER(SEARCH("Party Name:-",'R.M Billets Reports'!D446)),TRIM('R.M Billets Reports'!F446),IF(ISNUMBER(SEARCH("Party Name-",'R.M Billets Reports'!D446)),TRIM(MID('R.M Billets Reports'!D446,SEARCH("-",'R.M Billets Reports'!D446)+1,200)),"")),IF(ISNUMBER(SEARCH("Party Name:-",'R.M Billets Reports'!D447)),TRIM('R.M Billets Reports'!F447),IF(ISNUMBER(SEARCH("Party Name-",'R.M Billets Reports'!D447)),TRIM(MID('R.M Billets Reports'!D447,SEARCH("-",'R.M Billets Reports'!D447)+1,200)),"")))="SHREE RADHE SHAKTI SPONGE AND POWER PVT. LTD.","SHREE RADHE",IF(IF(ISNUMBER(SEARCH("Party Name:-",'R.M Billets Reports'!D446)),TRIM('R.M Billets Reports'!F446),IF(ISNUMBER(SEARCH("Party Name-",'R.M Billets Reports'!D446)),TRIM(MID('R.M Billets Reports'!D446,SEARCH("-",'R.M Billets Reports'!D446)+1,200)),""))&lt;&gt;"",IF(ISNUMBER(SEARCH("Party Name:-",'R.M Billets Reports'!D446)),TRIM('R.M Billets Reports'!F446),IF(ISNUMBER(SEARCH("Party Name-",'R.M Billets Reports'!D446)),TRIM(MID('R.M Billets Reports'!D446,SEARCH("-",'R.M Billets Reports'!D446)+1,200)),"")),IF(ISNUMBER(SEARCH("Party Name:-",'R.M Billets Reports'!D447)),TRIM('R.M Billets Reports'!F447),IF(ISNUMBER(SEARCH("Party Name-",'R.M Billets Reports'!D447)),TRIM(MID('R.M Billets Reports'!D447,SEARCH("-",'R.M Billets Reports'!D447)+1,200)),"")))))),IF(ROW()=2,"",A446))</f>
      </c>
      <c r="B447">
        <f>IF(OR('R.M Billets Reports'!A446="Date-",'R.M Billets Reports'!A446="Date:-"),'R.M Billets Reports'!B446,IF(ROW()=2,"",B446))</f>
      </c>
      <c r="C447">
        <f>IF('R.M Billets Reports'!A446="V.No.",'R.M Billets Reports'!B446,IF(ROW()=2,"",C446))</f>
      </c>
      <c r="D447">
        <f>IF('R.M Billets Reports'!A446&lt;&gt;"",'R.M Billets Reports'!A446,IF(ROW()=2,"",D446))</f>
      </c>
      <c r="E447">
        <f>IF('R.M Billets Reports'!B446="","",TRIM('R.M Billets Reports'!B446))</f>
      </c>
      <c r="F447">
        <f>'R.M Billets Reports'!C446</f>
      </c>
      <c r="G447">
        <f>'R.M Billets Reports'!D446</f>
      </c>
      <c r="H447">
        <f>'R.M Billets Reports'!E446</f>
      </c>
      <c r="I447">
        <f>'R.M Billets Reports'!F446</f>
      </c>
      <c r="J447">
        <f>'R.M Billets Reports'!G446</f>
      </c>
      <c r="K447">
        <f>'R.M Billets Reports'!H446</f>
      </c>
      <c r="L447">
        <f>IF('R.M Billets Reports'!I446="","",'R.M Billets Reports'!I446)</f>
      </c>
      <c r="M447">
        <f t="shared" si="12"/>
      </c>
      <c r="N447">
        <f>IF('R.M Billets Reports'!J446="","",'R.M Billets Reports'!J446)</f>
      </c>
      <c r="O447">
        <f t="shared" si="13"/>
      </c>
      <c r="P447">
        <f>IF('R.M Billets Reports'!A446="SIZE",'R.M Billets Reports'!B446,P446)</f>
      </c>
    </row>
    <row r="448" spans="1:16" x14ac:dyDescent="0.25">
      <c r="A448">
        <f>IF(OR('R.M Billets Reports'!A447="Date-",'R.M Billets Reports'!A447="Date:-"),IF(IF(IF(ISNUMBER(SEARCH("Party Name:-",'R.M Billets Reports'!D447)),TRIM('R.M Billets Reports'!F447),IF(ISNUMBER(SEARCH("Party Name-",'R.M Billets Reports'!D447)),TRIM(MID('R.M Billets Reports'!D447,SEARCH("-",'R.M Billets Reports'!D447)+1,200)),""))&lt;&gt;"",IF(ISNUMBER(SEARCH("Party Name:-",'R.M Billets Reports'!D447)),TRIM('R.M Billets Reports'!F447),IF(ISNUMBER(SEARCH("Party Name-",'R.M Billets Reports'!D447)),TRIM(MID('R.M Billets Reports'!D447,SEARCH("-",'R.M Billets Reports'!D447)+1,200)),"")),IF(ISNUMBER(SEARCH("Party Name:-",'R.M Billets Reports'!D448)),TRIM('R.M Billets Reports'!F448),IF(ISNUMBER(SEARCH("Party Name-",'R.M Billets Reports'!D448)),TRIM(MID('R.M Billets Reports'!D448,SEARCH("-",'R.M Billets Reports'!D448)+1,200)),"")))="VRKP ISPAT PVT LTD","VRKP",IF(IF(IF(ISNUMBER(SEARCH("Party Name:-",'R.M Billets Reports'!D447)),TRIM('R.M Billets Reports'!F447),IF(ISNUMBER(SEARCH("Party Name-",'R.M Billets Reports'!D447)),TRIM(MID('R.M Billets Reports'!D447,SEARCH("-",'R.M Billets Reports'!D447)+1,200)),""))&lt;&gt;"",IF(ISNUMBER(SEARCH("Party Name:-",'R.M Billets Reports'!D447)),TRIM('R.M Billets Reports'!F447),IF(ISNUMBER(SEARCH("Party Name-",'R.M Billets Reports'!D447)),TRIM(MID('R.M Billets Reports'!D447,SEARCH("-",'R.M Billets Reports'!D447)+1,200)),"")),IF(ISNUMBER(SEARCH("Party Name:-",'R.M Billets Reports'!D448)),TRIM('R.M Billets Reports'!F448),IF(ISNUMBER(SEARCH("Party Name-",'R.M Billets Reports'!D448)),TRIM(MID('R.M Billets Reports'!D448,SEARCH("-",'R.M Billets Reports'!D448)+1,200)),"")))="SHRI RADHE","SHREE RADHE",IF(IF(IF(ISNUMBER(SEARCH("Party Name:-",'R.M Billets Reports'!D447)),TRIM('R.M Billets Reports'!F447),IF(ISNUMBER(SEARCH("Party Name-",'R.M Billets Reports'!D447)),TRIM(MID('R.M Billets Reports'!D447,SEARCH("-",'R.M Billets Reports'!D447)+1,200)),""))&lt;&gt;"",IF(ISNUMBER(SEARCH("Party Name:-",'R.M Billets Reports'!D447)),TRIM('R.M Billets Reports'!F447),IF(ISNUMBER(SEARCH("Party Name-",'R.M Billets Reports'!D447)),TRIM(MID('R.M Billets Reports'!D447,SEARCH("-",'R.M Billets Reports'!D447)+1,200)),"")),IF(ISNUMBER(SEARCH("Party Name:-",'R.M Billets Reports'!D448)),TRIM('R.M Billets Reports'!F448),IF(ISNUMBER(SEARCH("Party Name-",'R.M Billets Reports'!D448)),TRIM(MID('R.M Billets Reports'!D448,SEARCH("-",'R.M Billets Reports'!D448)+1,200)),"")))="SHREE RADHE SHAKTI SPONGE AND POWER PVT. LTD.","SHREE RADHE",IF(IF(ISNUMBER(SEARCH("Party Name:-",'R.M Billets Reports'!D447)),TRIM('R.M Billets Reports'!F447),IF(ISNUMBER(SEARCH("Party Name-",'R.M Billets Reports'!D447)),TRIM(MID('R.M Billets Reports'!D447,SEARCH("-",'R.M Billets Reports'!D447)+1,200)),""))&lt;&gt;"",IF(ISNUMBER(SEARCH("Party Name:-",'R.M Billets Reports'!D447)),TRIM('R.M Billets Reports'!F447),IF(ISNUMBER(SEARCH("Party Name-",'R.M Billets Reports'!D447)),TRIM(MID('R.M Billets Reports'!D447,SEARCH("-",'R.M Billets Reports'!D447)+1,200)),"")),IF(ISNUMBER(SEARCH("Party Name:-",'R.M Billets Reports'!D448)),TRIM('R.M Billets Reports'!F448),IF(ISNUMBER(SEARCH("Party Name-",'R.M Billets Reports'!D448)),TRIM(MID('R.M Billets Reports'!D448,SEARCH("-",'R.M Billets Reports'!D448)+1,200)),"")))))),IF(ROW()=2,"",A447))</f>
      </c>
      <c r="B448">
        <f>IF(OR('R.M Billets Reports'!A447="Date-",'R.M Billets Reports'!A447="Date:-"),'R.M Billets Reports'!B447,IF(ROW()=2,"",B447))</f>
      </c>
      <c r="C448">
        <f>IF('R.M Billets Reports'!A447="V.No.",'R.M Billets Reports'!B447,IF(ROW()=2,"",C447))</f>
      </c>
      <c r="D448">
        <f>IF('R.M Billets Reports'!A447&lt;&gt;"",'R.M Billets Reports'!A447,IF(ROW()=2,"",D447))</f>
      </c>
      <c r="E448">
        <f>IF('R.M Billets Reports'!B447="","",TRIM('R.M Billets Reports'!B447))</f>
      </c>
      <c r="F448">
        <f>'R.M Billets Reports'!C447</f>
      </c>
      <c r="G448">
        <f>'R.M Billets Reports'!D447</f>
      </c>
      <c r="H448">
        <f>'R.M Billets Reports'!E447</f>
      </c>
      <c r="I448">
        <f>'R.M Billets Reports'!F447</f>
      </c>
      <c r="J448">
        <f>'R.M Billets Reports'!G447</f>
      </c>
      <c r="K448">
        <f>'R.M Billets Reports'!H447</f>
      </c>
      <c r="L448">
        <f>IF('R.M Billets Reports'!I447="","",'R.M Billets Reports'!I447)</f>
      </c>
      <c r="M448">
        <f t="shared" si="12"/>
      </c>
      <c r="N448">
        <f>IF('R.M Billets Reports'!J447="","",'R.M Billets Reports'!J447)</f>
      </c>
      <c r="O448">
        <f t="shared" si="13"/>
      </c>
      <c r="P448">
        <f>IF('R.M Billets Reports'!A447="SIZE",'R.M Billets Reports'!B447,P447)</f>
      </c>
    </row>
    <row r="449" spans="1:16" x14ac:dyDescent="0.25">
      <c r="A449">
        <f>IF(OR('R.M Billets Reports'!A448="Date-",'R.M Billets Reports'!A448="Date:-"),IF(IF(IF(ISNUMBER(SEARCH("Party Name:-",'R.M Billets Reports'!D448)),TRIM('R.M Billets Reports'!F448),IF(ISNUMBER(SEARCH("Party Name-",'R.M Billets Reports'!D448)),TRIM(MID('R.M Billets Reports'!D448,SEARCH("-",'R.M Billets Reports'!D448)+1,200)),""))&lt;&gt;"",IF(ISNUMBER(SEARCH("Party Name:-",'R.M Billets Reports'!D448)),TRIM('R.M Billets Reports'!F448),IF(ISNUMBER(SEARCH("Party Name-",'R.M Billets Reports'!D448)),TRIM(MID('R.M Billets Reports'!D448,SEARCH("-",'R.M Billets Reports'!D448)+1,200)),"")),IF(ISNUMBER(SEARCH("Party Name:-",'R.M Billets Reports'!D449)),TRIM('R.M Billets Reports'!F449),IF(ISNUMBER(SEARCH("Party Name-",'R.M Billets Reports'!D449)),TRIM(MID('R.M Billets Reports'!D449,SEARCH("-",'R.M Billets Reports'!D449)+1,200)),"")))="VRKP ISPAT PVT LTD","VRKP",IF(IF(IF(ISNUMBER(SEARCH("Party Name:-",'R.M Billets Reports'!D448)),TRIM('R.M Billets Reports'!F448),IF(ISNUMBER(SEARCH("Party Name-",'R.M Billets Reports'!D448)),TRIM(MID('R.M Billets Reports'!D448,SEARCH("-",'R.M Billets Reports'!D448)+1,200)),""))&lt;&gt;"",IF(ISNUMBER(SEARCH("Party Name:-",'R.M Billets Reports'!D448)),TRIM('R.M Billets Reports'!F448),IF(ISNUMBER(SEARCH("Party Name-",'R.M Billets Reports'!D448)),TRIM(MID('R.M Billets Reports'!D448,SEARCH("-",'R.M Billets Reports'!D448)+1,200)),"")),IF(ISNUMBER(SEARCH("Party Name:-",'R.M Billets Reports'!D449)),TRIM('R.M Billets Reports'!F449),IF(ISNUMBER(SEARCH("Party Name-",'R.M Billets Reports'!D449)),TRIM(MID('R.M Billets Reports'!D449,SEARCH("-",'R.M Billets Reports'!D449)+1,200)),"")))="SHRI RADHE","SHREE RADHE",IF(IF(IF(ISNUMBER(SEARCH("Party Name:-",'R.M Billets Reports'!D448)),TRIM('R.M Billets Reports'!F448),IF(ISNUMBER(SEARCH("Party Name-",'R.M Billets Reports'!D448)),TRIM(MID('R.M Billets Reports'!D448,SEARCH("-",'R.M Billets Reports'!D448)+1,200)),""))&lt;&gt;"",IF(ISNUMBER(SEARCH("Party Name:-",'R.M Billets Reports'!D448)),TRIM('R.M Billets Reports'!F448),IF(ISNUMBER(SEARCH("Party Name-",'R.M Billets Reports'!D448)),TRIM(MID('R.M Billets Reports'!D448,SEARCH("-",'R.M Billets Reports'!D448)+1,200)),"")),IF(ISNUMBER(SEARCH("Party Name:-",'R.M Billets Reports'!D449)),TRIM('R.M Billets Reports'!F449),IF(ISNUMBER(SEARCH("Party Name-",'R.M Billets Reports'!D449)),TRIM(MID('R.M Billets Reports'!D449,SEARCH("-",'R.M Billets Reports'!D449)+1,200)),"")))="SHREE RADHE SHAKTI SPONGE AND POWER PVT. LTD.","SHREE RADHE",IF(IF(ISNUMBER(SEARCH("Party Name:-",'R.M Billets Reports'!D448)),TRIM('R.M Billets Reports'!F448),IF(ISNUMBER(SEARCH("Party Name-",'R.M Billets Reports'!D448)),TRIM(MID('R.M Billets Reports'!D448,SEARCH("-",'R.M Billets Reports'!D448)+1,200)),""))&lt;&gt;"",IF(ISNUMBER(SEARCH("Party Name:-",'R.M Billets Reports'!D448)),TRIM('R.M Billets Reports'!F448),IF(ISNUMBER(SEARCH("Party Name-",'R.M Billets Reports'!D448)),TRIM(MID('R.M Billets Reports'!D448,SEARCH("-",'R.M Billets Reports'!D448)+1,200)),"")),IF(ISNUMBER(SEARCH("Party Name:-",'R.M Billets Reports'!D449)),TRIM('R.M Billets Reports'!F449),IF(ISNUMBER(SEARCH("Party Name-",'R.M Billets Reports'!D449)),TRIM(MID('R.M Billets Reports'!D449,SEARCH("-",'R.M Billets Reports'!D449)+1,200)),"")))))),IF(ROW()=2,"",A448))</f>
      </c>
      <c r="B449">
        <f>IF(OR('R.M Billets Reports'!A448="Date-",'R.M Billets Reports'!A448="Date:-"),'R.M Billets Reports'!B448,IF(ROW()=2,"",B448))</f>
      </c>
      <c r="C449">
        <f>IF('R.M Billets Reports'!A448="V.No.",'R.M Billets Reports'!B448,IF(ROW()=2,"",C448))</f>
      </c>
      <c r="D449">
        <f>IF('R.M Billets Reports'!A448&lt;&gt;"",'R.M Billets Reports'!A448,IF(ROW()=2,"",D448))</f>
      </c>
      <c r="E449">
        <f>IF('R.M Billets Reports'!B448="","",TRIM('R.M Billets Reports'!B448))</f>
      </c>
      <c r="F449">
        <f>'R.M Billets Reports'!C448</f>
      </c>
      <c r="G449">
        <f>'R.M Billets Reports'!D448</f>
      </c>
      <c r="H449">
        <f>'R.M Billets Reports'!E448</f>
      </c>
      <c r="I449">
        <f>'R.M Billets Reports'!F448</f>
      </c>
      <c r="J449">
        <f>'R.M Billets Reports'!G448</f>
      </c>
      <c r="K449">
        <f>'R.M Billets Reports'!H448</f>
      </c>
      <c r="L449">
        <f>IF('R.M Billets Reports'!I448="","",'R.M Billets Reports'!I448)</f>
      </c>
      <c r="M449">
        <f t="shared" si="12"/>
      </c>
      <c r="N449">
        <f>IF('R.M Billets Reports'!J448="","",'R.M Billets Reports'!J448)</f>
      </c>
      <c r="O449">
        <f t="shared" si="13"/>
      </c>
      <c r="P449">
        <f>IF('R.M Billets Reports'!A448="SIZE",'R.M Billets Reports'!B448,P448)</f>
      </c>
    </row>
    <row r="450" spans="1:16" x14ac:dyDescent="0.25">
      <c r="A450">
        <f>IF(OR('R.M Billets Reports'!A449="Date-",'R.M Billets Reports'!A449="Date:-"),IF(IF(IF(ISNUMBER(SEARCH("Party Name:-",'R.M Billets Reports'!D449)),TRIM('R.M Billets Reports'!F449),IF(ISNUMBER(SEARCH("Party Name-",'R.M Billets Reports'!D449)),TRIM(MID('R.M Billets Reports'!D449,SEARCH("-",'R.M Billets Reports'!D449)+1,200)),""))&lt;&gt;"",IF(ISNUMBER(SEARCH("Party Name:-",'R.M Billets Reports'!D449)),TRIM('R.M Billets Reports'!F449),IF(ISNUMBER(SEARCH("Party Name-",'R.M Billets Reports'!D449)),TRIM(MID('R.M Billets Reports'!D449,SEARCH("-",'R.M Billets Reports'!D449)+1,200)),"")),IF(ISNUMBER(SEARCH("Party Name:-",'R.M Billets Reports'!D450)),TRIM('R.M Billets Reports'!F450),IF(ISNUMBER(SEARCH("Party Name-",'R.M Billets Reports'!D450)),TRIM(MID('R.M Billets Reports'!D450,SEARCH("-",'R.M Billets Reports'!D450)+1,200)),"")))="VRKP ISPAT PVT LTD","VRKP",IF(IF(IF(ISNUMBER(SEARCH("Party Name:-",'R.M Billets Reports'!D449)),TRIM('R.M Billets Reports'!F449),IF(ISNUMBER(SEARCH("Party Name-",'R.M Billets Reports'!D449)),TRIM(MID('R.M Billets Reports'!D449,SEARCH("-",'R.M Billets Reports'!D449)+1,200)),""))&lt;&gt;"",IF(ISNUMBER(SEARCH("Party Name:-",'R.M Billets Reports'!D449)),TRIM('R.M Billets Reports'!F449),IF(ISNUMBER(SEARCH("Party Name-",'R.M Billets Reports'!D449)),TRIM(MID('R.M Billets Reports'!D449,SEARCH("-",'R.M Billets Reports'!D449)+1,200)),"")),IF(ISNUMBER(SEARCH("Party Name:-",'R.M Billets Reports'!D450)),TRIM('R.M Billets Reports'!F450),IF(ISNUMBER(SEARCH("Party Name-",'R.M Billets Reports'!D450)),TRIM(MID('R.M Billets Reports'!D450,SEARCH("-",'R.M Billets Reports'!D450)+1,200)),"")))="SHRI RADHE","SHREE RADHE",IF(IF(IF(ISNUMBER(SEARCH("Party Name:-",'R.M Billets Reports'!D449)),TRIM('R.M Billets Reports'!F449),IF(ISNUMBER(SEARCH("Party Name-",'R.M Billets Reports'!D449)),TRIM(MID('R.M Billets Reports'!D449,SEARCH("-",'R.M Billets Reports'!D449)+1,200)),""))&lt;&gt;"",IF(ISNUMBER(SEARCH("Party Name:-",'R.M Billets Reports'!D449)),TRIM('R.M Billets Reports'!F449),IF(ISNUMBER(SEARCH("Party Name-",'R.M Billets Reports'!D449)),TRIM(MID('R.M Billets Reports'!D449,SEARCH("-",'R.M Billets Reports'!D449)+1,200)),"")),IF(ISNUMBER(SEARCH("Party Name:-",'R.M Billets Reports'!D450)),TRIM('R.M Billets Reports'!F450),IF(ISNUMBER(SEARCH("Party Name-",'R.M Billets Reports'!D450)),TRIM(MID('R.M Billets Reports'!D450,SEARCH("-",'R.M Billets Reports'!D450)+1,200)),"")))="SHREE RADHE SHAKTI SPONGE AND POWER PVT. LTD.","SHREE RADHE",IF(IF(ISNUMBER(SEARCH("Party Name:-",'R.M Billets Reports'!D449)),TRIM('R.M Billets Reports'!F449),IF(ISNUMBER(SEARCH("Party Name-",'R.M Billets Reports'!D449)),TRIM(MID('R.M Billets Reports'!D449,SEARCH("-",'R.M Billets Reports'!D449)+1,200)),""))&lt;&gt;"",IF(ISNUMBER(SEARCH("Party Name:-",'R.M Billets Reports'!D449)),TRIM('R.M Billets Reports'!F449),IF(ISNUMBER(SEARCH("Party Name-",'R.M Billets Reports'!D449)),TRIM(MID('R.M Billets Reports'!D449,SEARCH("-",'R.M Billets Reports'!D449)+1,200)),"")),IF(ISNUMBER(SEARCH("Party Name:-",'R.M Billets Reports'!D450)),TRIM('R.M Billets Reports'!F450),IF(ISNUMBER(SEARCH("Party Name-",'R.M Billets Reports'!D450)),TRIM(MID('R.M Billets Reports'!D450,SEARCH("-",'R.M Billets Reports'!D450)+1,200)),"")))))),IF(ROW()=2,"",A449))</f>
      </c>
      <c r="B450">
        <f>IF(OR('R.M Billets Reports'!A449="Date-",'R.M Billets Reports'!A449="Date:-"),'R.M Billets Reports'!B449,IF(ROW()=2,"",B449))</f>
      </c>
      <c r="C450">
        <f>IF('R.M Billets Reports'!A449="V.No.",'R.M Billets Reports'!B449,IF(ROW()=2,"",C449))</f>
      </c>
      <c r="D450">
        <f>IF('R.M Billets Reports'!A449&lt;&gt;"",'R.M Billets Reports'!A449,IF(ROW()=2,"",D449))</f>
      </c>
      <c r="E450">
        <f>IF('R.M Billets Reports'!B449="","",TRIM('R.M Billets Reports'!B449))</f>
      </c>
      <c r="F450">
        <f>'R.M Billets Reports'!C449</f>
      </c>
      <c r="G450">
        <f>'R.M Billets Reports'!D449</f>
      </c>
      <c r="H450">
        <f>'R.M Billets Reports'!E449</f>
      </c>
      <c r="I450">
        <f>'R.M Billets Reports'!F449</f>
      </c>
      <c r="J450">
        <f>'R.M Billets Reports'!G449</f>
      </c>
      <c r="K450">
        <f>'R.M Billets Reports'!H449</f>
      </c>
      <c r="L450">
        <f>IF('R.M Billets Reports'!I449="","",'R.M Billets Reports'!I449)</f>
      </c>
      <c r="M450">
        <f t="shared" si="12"/>
      </c>
      <c r="N450">
        <f>IF('R.M Billets Reports'!J449="","",'R.M Billets Reports'!J449)</f>
      </c>
      <c r="O450">
        <f t="shared" si="13"/>
      </c>
      <c r="P450">
        <f>IF('R.M Billets Reports'!A449="SIZE",'R.M Billets Reports'!B449,P449)</f>
      </c>
    </row>
    <row r="451" spans="1:16" x14ac:dyDescent="0.25">
      <c r="A451">
        <f>IF(OR('R.M Billets Reports'!A450="Date-",'R.M Billets Reports'!A450="Date:-"),IF(IF(IF(ISNUMBER(SEARCH("Party Name:-",'R.M Billets Reports'!D450)),TRIM('R.M Billets Reports'!F450),IF(ISNUMBER(SEARCH("Party Name-",'R.M Billets Reports'!D450)),TRIM(MID('R.M Billets Reports'!D450,SEARCH("-",'R.M Billets Reports'!D450)+1,200)),""))&lt;&gt;"",IF(ISNUMBER(SEARCH("Party Name:-",'R.M Billets Reports'!D450)),TRIM('R.M Billets Reports'!F450),IF(ISNUMBER(SEARCH("Party Name-",'R.M Billets Reports'!D450)),TRIM(MID('R.M Billets Reports'!D450,SEARCH("-",'R.M Billets Reports'!D450)+1,200)),"")),IF(ISNUMBER(SEARCH("Party Name:-",'R.M Billets Reports'!D451)),TRIM('R.M Billets Reports'!F451),IF(ISNUMBER(SEARCH("Party Name-",'R.M Billets Reports'!D451)),TRIM(MID('R.M Billets Reports'!D451,SEARCH("-",'R.M Billets Reports'!D451)+1,200)),"")))="VRKP ISPAT PVT LTD","VRKP",IF(IF(IF(ISNUMBER(SEARCH("Party Name:-",'R.M Billets Reports'!D450)),TRIM('R.M Billets Reports'!F450),IF(ISNUMBER(SEARCH("Party Name-",'R.M Billets Reports'!D450)),TRIM(MID('R.M Billets Reports'!D450,SEARCH("-",'R.M Billets Reports'!D450)+1,200)),""))&lt;&gt;"",IF(ISNUMBER(SEARCH("Party Name:-",'R.M Billets Reports'!D450)),TRIM('R.M Billets Reports'!F450),IF(ISNUMBER(SEARCH("Party Name-",'R.M Billets Reports'!D450)),TRIM(MID('R.M Billets Reports'!D450,SEARCH("-",'R.M Billets Reports'!D450)+1,200)),"")),IF(ISNUMBER(SEARCH("Party Name:-",'R.M Billets Reports'!D451)),TRIM('R.M Billets Reports'!F451),IF(ISNUMBER(SEARCH("Party Name-",'R.M Billets Reports'!D451)),TRIM(MID('R.M Billets Reports'!D451,SEARCH("-",'R.M Billets Reports'!D451)+1,200)),"")))="SHRI RADHE","SHREE RADHE",IF(IF(IF(ISNUMBER(SEARCH("Party Name:-",'R.M Billets Reports'!D450)),TRIM('R.M Billets Reports'!F450),IF(ISNUMBER(SEARCH("Party Name-",'R.M Billets Reports'!D450)),TRIM(MID('R.M Billets Reports'!D450,SEARCH("-",'R.M Billets Reports'!D450)+1,200)),""))&lt;&gt;"",IF(ISNUMBER(SEARCH("Party Name:-",'R.M Billets Reports'!D450)),TRIM('R.M Billets Reports'!F450),IF(ISNUMBER(SEARCH("Party Name-",'R.M Billets Reports'!D450)),TRIM(MID('R.M Billets Reports'!D450,SEARCH("-",'R.M Billets Reports'!D450)+1,200)),"")),IF(ISNUMBER(SEARCH("Party Name:-",'R.M Billets Reports'!D451)),TRIM('R.M Billets Reports'!F451),IF(ISNUMBER(SEARCH("Party Name-",'R.M Billets Reports'!D451)),TRIM(MID('R.M Billets Reports'!D451,SEARCH("-",'R.M Billets Reports'!D451)+1,200)),"")))="SHREE RADHE SHAKTI SPONGE AND POWER PVT. LTD.","SHREE RADHE",IF(IF(ISNUMBER(SEARCH("Party Name:-",'R.M Billets Reports'!D450)),TRIM('R.M Billets Reports'!F450),IF(ISNUMBER(SEARCH("Party Name-",'R.M Billets Reports'!D450)),TRIM(MID('R.M Billets Reports'!D450,SEARCH("-",'R.M Billets Reports'!D450)+1,200)),""))&lt;&gt;"",IF(ISNUMBER(SEARCH("Party Name:-",'R.M Billets Reports'!D450)),TRIM('R.M Billets Reports'!F450),IF(ISNUMBER(SEARCH("Party Name-",'R.M Billets Reports'!D450)),TRIM(MID('R.M Billets Reports'!D450,SEARCH("-",'R.M Billets Reports'!D450)+1,200)),"")),IF(ISNUMBER(SEARCH("Party Name:-",'R.M Billets Reports'!D451)),TRIM('R.M Billets Reports'!F451),IF(ISNUMBER(SEARCH("Party Name-",'R.M Billets Reports'!D451)),TRIM(MID('R.M Billets Reports'!D451,SEARCH("-",'R.M Billets Reports'!D451)+1,200)),"")))))),IF(ROW()=2,"",A450))</f>
      </c>
      <c r="B451">
        <f>IF(OR('R.M Billets Reports'!A450="Date-",'R.M Billets Reports'!A450="Date:-"),'R.M Billets Reports'!B450,IF(ROW()=2,"",B450))</f>
      </c>
      <c r="C451">
        <f>IF('R.M Billets Reports'!A450="V.No.",'R.M Billets Reports'!B450,IF(ROW()=2,"",C450))</f>
      </c>
      <c r="D451">
        <f>IF('R.M Billets Reports'!A450&lt;&gt;"",'R.M Billets Reports'!A450,IF(ROW()=2,"",D450))</f>
      </c>
      <c r="E451">
        <f>IF('R.M Billets Reports'!B450="","",TRIM('R.M Billets Reports'!B450))</f>
      </c>
      <c r="F451">
        <f>'R.M Billets Reports'!C450</f>
      </c>
      <c r="G451">
        <f>'R.M Billets Reports'!D450</f>
      </c>
      <c r="H451">
        <f>'R.M Billets Reports'!E450</f>
      </c>
      <c r="I451">
        <f>'R.M Billets Reports'!F450</f>
      </c>
      <c r="J451">
        <f>'R.M Billets Reports'!G450</f>
      </c>
      <c r="K451">
        <f>'R.M Billets Reports'!H450</f>
      </c>
      <c r="L451">
        <f>IF('R.M Billets Reports'!I450="","",'R.M Billets Reports'!I450)</f>
      </c>
      <c r="M451">
        <f t="shared" ref="M451:M514" si="14">IF(L451&lt;&gt;"",L451,IF(D451=D450,M450,""))</f>
      </c>
      <c r="N451">
        <f>IF('R.M Billets Reports'!J450="","",'R.M Billets Reports'!J450)</f>
      </c>
      <c r="O451">
        <f t="shared" ref="O451:O514" si="15">IF(N451&lt;&gt;"",N451,IF(D451=D450,O450,""))</f>
      </c>
      <c r="P451">
        <f>IF('R.M Billets Reports'!A450="SIZE",'R.M Billets Reports'!B450,P450)</f>
      </c>
    </row>
    <row r="452" spans="1:16" x14ac:dyDescent="0.25">
      <c r="A452">
        <f>IF(OR('R.M Billets Reports'!A451="Date-",'R.M Billets Reports'!A451="Date:-"),IF(IF(IF(ISNUMBER(SEARCH("Party Name:-",'R.M Billets Reports'!D451)),TRIM('R.M Billets Reports'!F451),IF(ISNUMBER(SEARCH("Party Name-",'R.M Billets Reports'!D451)),TRIM(MID('R.M Billets Reports'!D451,SEARCH("-",'R.M Billets Reports'!D451)+1,200)),""))&lt;&gt;"",IF(ISNUMBER(SEARCH("Party Name:-",'R.M Billets Reports'!D451)),TRIM('R.M Billets Reports'!F451),IF(ISNUMBER(SEARCH("Party Name-",'R.M Billets Reports'!D451)),TRIM(MID('R.M Billets Reports'!D451,SEARCH("-",'R.M Billets Reports'!D451)+1,200)),"")),IF(ISNUMBER(SEARCH("Party Name:-",'R.M Billets Reports'!D452)),TRIM('R.M Billets Reports'!F452),IF(ISNUMBER(SEARCH("Party Name-",'R.M Billets Reports'!D452)),TRIM(MID('R.M Billets Reports'!D452,SEARCH("-",'R.M Billets Reports'!D452)+1,200)),"")))="VRKP ISPAT PVT LTD","VRKP",IF(IF(IF(ISNUMBER(SEARCH("Party Name:-",'R.M Billets Reports'!D451)),TRIM('R.M Billets Reports'!F451),IF(ISNUMBER(SEARCH("Party Name-",'R.M Billets Reports'!D451)),TRIM(MID('R.M Billets Reports'!D451,SEARCH("-",'R.M Billets Reports'!D451)+1,200)),""))&lt;&gt;"",IF(ISNUMBER(SEARCH("Party Name:-",'R.M Billets Reports'!D451)),TRIM('R.M Billets Reports'!F451),IF(ISNUMBER(SEARCH("Party Name-",'R.M Billets Reports'!D451)),TRIM(MID('R.M Billets Reports'!D451,SEARCH("-",'R.M Billets Reports'!D451)+1,200)),"")),IF(ISNUMBER(SEARCH("Party Name:-",'R.M Billets Reports'!D452)),TRIM('R.M Billets Reports'!F452),IF(ISNUMBER(SEARCH("Party Name-",'R.M Billets Reports'!D452)),TRIM(MID('R.M Billets Reports'!D452,SEARCH("-",'R.M Billets Reports'!D452)+1,200)),"")))="SHRI RADHE","SHREE RADHE",IF(IF(IF(ISNUMBER(SEARCH("Party Name:-",'R.M Billets Reports'!D451)),TRIM('R.M Billets Reports'!F451),IF(ISNUMBER(SEARCH("Party Name-",'R.M Billets Reports'!D451)),TRIM(MID('R.M Billets Reports'!D451,SEARCH("-",'R.M Billets Reports'!D451)+1,200)),""))&lt;&gt;"",IF(ISNUMBER(SEARCH("Party Name:-",'R.M Billets Reports'!D451)),TRIM('R.M Billets Reports'!F451),IF(ISNUMBER(SEARCH("Party Name-",'R.M Billets Reports'!D451)),TRIM(MID('R.M Billets Reports'!D451,SEARCH("-",'R.M Billets Reports'!D451)+1,200)),"")),IF(ISNUMBER(SEARCH("Party Name:-",'R.M Billets Reports'!D452)),TRIM('R.M Billets Reports'!F452),IF(ISNUMBER(SEARCH("Party Name-",'R.M Billets Reports'!D452)),TRIM(MID('R.M Billets Reports'!D452,SEARCH("-",'R.M Billets Reports'!D452)+1,200)),"")))="SHREE RADHE SHAKTI SPONGE AND POWER PVT. LTD.","SHREE RADHE",IF(IF(ISNUMBER(SEARCH("Party Name:-",'R.M Billets Reports'!D451)),TRIM('R.M Billets Reports'!F451),IF(ISNUMBER(SEARCH("Party Name-",'R.M Billets Reports'!D451)),TRIM(MID('R.M Billets Reports'!D451,SEARCH("-",'R.M Billets Reports'!D451)+1,200)),""))&lt;&gt;"",IF(ISNUMBER(SEARCH("Party Name:-",'R.M Billets Reports'!D451)),TRIM('R.M Billets Reports'!F451),IF(ISNUMBER(SEARCH("Party Name-",'R.M Billets Reports'!D451)),TRIM(MID('R.M Billets Reports'!D451,SEARCH("-",'R.M Billets Reports'!D451)+1,200)),"")),IF(ISNUMBER(SEARCH("Party Name:-",'R.M Billets Reports'!D452)),TRIM('R.M Billets Reports'!F452),IF(ISNUMBER(SEARCH("Party Name-",'R.M Billets Reports'!D452)),TRIM(MID('R.M Billets Reports'!D452,SEARCH("-",'R.M Billets Reports'!D452)+1,200)),"")))))),IF(ROW()=2,"",A451))</f>
      </c>
      <c r="B452">
        <f>IF(OR('R.M Billets Reports'!A451="Date-",'R.M Billets Reports'!A451="Date:-"),'R.M Billets Reports'!B451,IF(ROW()=2,"",B451))</f>
      </c>
      <c r="C452">
        <f>IF('R.M Billets Reports'!A451="V.No.",'R.M Billets Reports'!B451,IF(ROW()=2,"",C451))</f>
      </c>
      <c r="D452">
        <f>IF('R.M Billets Reports'!A451&lt;&gt;"",'R.M Billets Reports'!A451,IF(ROW()=2,"",D451))</f>
      </c>
      <c r="E452">
        <f>IF('R.M Billets Reports'!B451="","",TRIM('R.M Billets Reports'!B451))</f>
      </c>
      <c r="F452">
        <f>'R.M Billets Reports'!C451</f>
      </c>
      <c r="G452">
        <f>'R.M Billets Reports'!D451</f>
      </c>
      <c r="H452">
        <f>'R.M Billets Reports'!E451</f>
      </c>
      <c r="I452">
        <f>'R.M Billets Reports'!F451</f>
      </c>
      <c r="J452">
        <f>'R.M Billets Reports'!G451</f>
      </c>
      <c r="K452">
        <f>'R.M Billets Reports'!H451</f>
      </c>
      <c r="L452">
        <f>IF('R.M Billets Reports'!I451="","",'R.M Billets Reports'!I451)</f>
      </c>
      <c r="M452">
        <f t="shared" si="14"/>
      </c>
      <c r="N452">
        <f>IF('R.M Billets Reports'!J451="","",'R.M Billets Reports'!J451)</f>
      </c>
      <c r="O452">
        <f t="shared" si="15"/>
      </c>
      <c r="P452">
        <f>IF('R.M Billets Reports'!A451="SIZE",'R.M Billets Reports'!B451,P451)</f>
      </c>
    </row>
    <row r="453" spans="1:16" x14ac:dyDescent="0.25">
      <c r="A453">
        <f>IF(OR('R.M Billets Reports'!A452="Date-",'R.M Billets Reports'!A452="Date:-"),IF(IF(IF(ISNUMBER(SEARCH("Party Name:-",'R.M Billets Reports'!D452)),TRIM('R.M Billets Reports'!F452),IF(ISNUMBER(SEARCH("Party Name-",'R.M Billets Reports'!D452)),TRIM(MID('R.M Billets Reports'!D452,SEARCH("-",'R.M Billets Reports'!D452)+1,200)),""))&lt;&gt;"",IF(ISNUMBER(SEARCH("Party Name:-",'R.M Billets Reports'!D452)),TRIM('R.M Billets Reports'!F452),IF(ISNUMBER(SEARCH("Party Name-",'R.M Billets Reports'!D452)),TRIM(MID('R.M Billets Reports'!D452,SEARCH("-",'R.M Billets Reports'!D452)+1,200)),"")),IF(ISNUMBER(SEARCH("Party Name:-",'R.M Billets Reports'!D453)),TRIM('R.M Billets Reports'!F453),IF(ISNUMBER(SEARCH("Party Name-",'R.M Billets Reports'!D453)),TRIM(MID('R.M Billets Reports'!D453,SEARCH("-",'R.M Billets Reports'!D453)+1,200)),"")))="VRKP ISPAT PVT LTD","VRKP",IF(IF(IF(ISNUMBER(SEARCH("Party Name:-",'R.M Billets Reports'!D452)),TRIM('R.M Billets Reports'!F452),IF(ISNUMBER(SEARCH("Party Name-",'R.M Billets Reports'!D452)),TRIM(MID('R.M Billets Reports'!D452,SEARCH("-",'R.M Billets Reports'!D452)+1,200)),""))&lt;&gt;"",IF(ISNUMBER(SEARCH("Party Name:-",'R.M Billets Reports'!D452)),TRIM('R.M Billets Reports'!F452),IF(ISNUMBER(SEARCH("Party Name-",'R.M Billets Reports'!D452)),TRIM(MID('R.M Billets Reports'!D452,SEARCH("-",'R.M Billets Reports'!D452)+1,200)),"")),IF(ISNUMBER(SEARCH("Party Name:-",'R.M Billets Reports'!D453)),TRIM('R.M Billets Reports'!F453),IF(ISNUMBER(SEARCH("Party Name-",'R.M Billets Reports'!D453)),TRIM(MID('R.M Billets Reports'!D453,SEARCH("-",'R.M Billets Reports'!D453)+1,200)),"")))="SHRI RADHE","SHREE RADHE",IF(IF(IF(ISNUMBER(SEARCH("Party Name:-",'R.M Billets Reports'!D452)),TRIM('R.M Billets Reports'!F452),IF(ISNUMBER(SEARCH("Party Name-",'R.M Billets Reports'!D452)),TRIM(MID('R.M Billets Reports'!D452,SEARCH("-",'R.M Billets Reports'!D452)+1,200)),""))&lt;&gt;"",IF(ISNUMBER(SEARCH("Party Name:-",'R.M Billets Reports'!D452)),TRIM('R.M Billets Reports'!F452),IF(ISNUMBER(SEARCH("Party Name-",'R.M Billets Reports'!D452)),TRIM(MID('R.M Billets Reports'!D452,SEARCH("-",'R.M Billets Reports'!D452)+1,200)),"")),IF(ISNUMBER(SEARCH("Party Name:-",'R.M Billets Reports'!D453)),TRIM('R.M Billets Reports'!F453),IF(ISNUMBER(SEARCH("Party Name-",'R.M Billets Reports'!D453)),TRIM(MID('R.M Billets Reports'!D453,SEARCH("-",'R.M Billets Reports'!D453)+1,200)),"")))="SHREE RADHE SHAKTI SPONGE AND POWER PVT. LTD.","SHREE RADHE",IF(IF(ISNUMBER(SEARCH("Party Name:-",'R.M Billets Reports'!D452)),TRIM('R.M Billets Reports'!F452),IF(ISNUMBER(SEARCH("Party Name-",'R.M Billets Reports'!D452)),TRIM(MID('R.M Billets Reports'!D452,SEARCH("-",'R.M Billets Reports'!D452)+1,200)),""))&lt;&gt;"",IF(ISNUMBER(SEARCH("Party Name:-",'R.M Billets Reports'!D452)),TRIM('R.M Billets Reports'!F452),IF(ISNUMBER(SEARCH("Party Name-",'R.M Billets Reports'!D452)),TRIM(MID('R.M Billets Reports'!D452,SEARCH("-",'R.M Billets Reports'!D452)+1,200)),"")),IF(ISNUMBER(SEARCH("Party Name:-",'R.M Billets Reports'!D453)),TRIM('R.M Billets Reports'!F453),IF(ISNUMBER(SEARCH("Party Name-",'R.M Billets Reports'!D453)),TRIM(MID('R.M Billets Reports'!D453,SEARCH("-",'R.M Billets Reports'!D453)+1,200)),"")))))),IF(ROW()=2,"",A452))</f>
      </c>
      <c r="B453">
        <f>IF(OR('R.M Billets Reports'!A452="Date-",'R.M Billets Reports'!A452="Date:-"),'R.M Billets Reports'!B452,IF(ROW()=2,"",B452))</f>
      </c>
      <c r="C453">
        <f>IF('R.M Billets Reports'!A452="V.No.",'R.M Billets Reports'!B452,IF(ROW()=2,"",C452))</f>
      </c>
      <c r="D453">
        <f>IF('R.M Billets Reports'!A452&lt;&gt;"",'R.M Billets Reports'!A452,IF(ROW()=2,"",D452))</f>
      </c>
      <c r="E453">
        <f>IF('R.M Billets Reports'!B452="","",TRIM('R.M Billets Reports'!B452))</f>
      </c>
      <c r="F453">
        <f>'R.M Billets Reports'!C452</f>
      </c>
      <c r="G453">
        <f>'R.M Billets Reports'!D452</f>
      </c>
      <c r="H453">
        <f>'R.M Billets Reports'!E452</f>
      </c>
      <c r="I453">
        <f>'R.M Billets Reports'!F452</f>
      </c>
      <c r="J453">
        <f>'R.M Billets Reports'!G452</f>
      </c>
      <c r="K453">
        <f>'R.M Billets Reports'!H452</f>
      </c>
      <c r="L453">
        <f>IF('R.M Billets Reports'!I452="","",'R.M Billets Reports'!I452)</f>
      </c>
      <c r="M453">
        <f t="shared" si="14"/>
      </c>
      <c r="N453">
        <f>IF('R.M Billets Reports'!J452="","",'R.M Billets Reports'!J452)</f>
      </c>
      <c r="O453">
        <f t="shared" si="15"/>
      </c>
      <c r="P453">
        <f>IF('R.M Billets Reports'!A452="SIZE",'R.M Billets Reports'!B452,P452)</f>
      </c>
    </row>
    <row r="454" spans="1:16" x14ac:dyDescent="0.25">
      <c r="A454">
        <f>IF(OR('R.M Billets Reports'!A453="Date-",'R.M Billets Reports'!A453="Date:-"),IF(IF(IF(ISNUMBER(SEARCH("Party Name:-",'R.M Billets Reports'!D453)),TRIM('R.M Billets Reports'!F453),IF(ISNUMBER(SEARCH("Party Name-",'R.M Billets Reports'!D453)),TRIM(MID('R.M Billets Reports'!D453,SEARCH("-",'R.M Billets Reports'!D453)+1,200)),""))&lt;&gt;"",IF(ISNUMBER(SEARCH("Party Name:-",'R.M Billets Reports'!D453)),TRIM('R.M Billets Reports'!F453),IF(ISNUMBER(SEARCH("Party Name-",'R.M Billets Reports'!D453)),TRIM(MID('R.M Billets Reports'!D453,SEARCH("-",'R.M Billets Reports'!D453)+1,200)),"")),IF(ISNUMBER(SEARCH("Party Name:-",'R.M Billets Reports'!D454)),TRIM('R.M Billets Reports'!F454),IF(ISNUMBER(SEARCH("Party Name-",'R.M Billets Reports'!D454)),TRIM(MID('R.M Billets Reports'!D454,SEARCH("-",'R.M Billets Reports'!D454)+1,200)),"")))="VRKP ISPAT PVT LTD","VRKP",IF(IF(IF(ISNUMBER(SEARCH("Party Name:-",'R.M Billets Reports'!D453)),TRIM('R.M Billets Reports'!F453),IF(ISNUMBER(SEARCH("Party Name-",'R.M Billets Reports'!D453)),TRIM(MID('R.M Billets Reports'!D453,SEARCH("-",'R.M Billets Reports'!D453)+1,200)),""))&lt;&gt;"",IF(ISNUMBER(SEARCH("Party Name:-",'R.M Billets Reports'!D453)),TRIM('R.M Billets Reports'!F453),IF(ISNUMBER(SEARCH("Party Name-",'R.M Billets Reports'!D453)),TRIM(MID('R.M Billets Reports'!D453,SEARCH("-",'R.M Billets Reports'!D453)+1,200)),"")),IF(ISNUMBER(SEARCH("Party Name:-",'R.M Billets Reports'!D454)),TRIM('R.M Billets Reports'!F454),IF(ISNUMBER(SEARCH("Party Name-",'R.M Billets Reports'!D454)),TRIM(MID('R.M Billets Reports'!D454,SEARCH("-",'R.M Billets Reports'!D454)+1,200)),"")))="SHRI RADHE","SHREE RADHE",IF(IF(IF(ISNUMBER(SEARCH("Party Name:-",'R.M Billets Reports'!D453)),TRIM('R.M Billets Reports'!F453),IF(ISNUMBER(SEARCH("Party Name-",'R.M Billets Reports'!D453)),TRIM(MID('R.M Billets Reports'!D453,SEARCH("-",'R.M Billets Reports'!D453)+1,200)),""))&lt;&gt;"",IF(ISNUMBER(SEARCH("Party Name:-",'R.M Billets Reports'!D453)),TRIM('R.M Billets Reports'!F453),IF(ISNUMBER(SEARCH("Party Name-",'R.M Billets Reports'!D453)),TRIM(MID('R.M Billets Reports'!D453,SEARCH("-",'R.M Billets Reports'!D453)+1,200)),"")),IF(ISNUMBER(SEARCH("Party Name:-",'R.M Billets Reports'!D454)),TRIM('R.M Billets Reports'!F454),IF(ISNUMBER(SEARCH("Party Name-",'R.M Billets Reports'!D454)),TRIM(MID('R.M Billets Reports'!D454,SEARCH("-",'R.M Billets Reports'!D454)+1,200)),"")))="SHREE RADHE SHAKTI SPONGE AND POWER PVT. LTD.","SHREE RADHE",IF(IF(ISNUMBER(SEARCH("Party Name:-",'R.M Billets Reports'!D453)),TRIM('R.M Billets Reports'!F453),IF(ISNUMBER(SEARCH("Party Name-",'R.M Billets Reports'!D453)),TRIM(MID('R.M Billets Reports'!D453,SEARCH("-",'R.M Billets Reports'!D453)+1,200)),""))&lt;&gt;"",IF(ISNUMBER(SEARCH("Party Name:-",'R.M Billets Reports'!D453)),TRIM('R.M Billets Reports'!F453),IF(ISNUMBER(SEARCH("Party Name-",'R.M Billets Reports'!D453)),TRIM(MID('R.M Billets Reports'!D453,SEARCH("-",'R.M Billets Reports'!D453)+1,200)),"")),IF(ISNUMBER(SEARCH("Party Name:-",'R.M Billets Reports'!D454)),TRIM('R.M Billets Reports'!F454),IF(ISNUMBER(SEARCH("Party Name-",'R.M Billets Reports'!D454)),TRIM(MID('R.M Billets Reports'!D454,SEARCH("-",'R.M Billets Reports'!D454)+1,200)),"")))))),IF(ROW()=2,"",A453))</f>
      </c>
      <c r="B454">
        <f>IF(OR('R.M Billets Reports'!A453="Date-",'R.M Billets Reports'!A453="Date:-"),'R.M Billets Reports'!B453,IF(ROW()=2,"",B453))</f>
      </c>
      <c r="C454">
        <f>IF('R.M Billets Reports'!A453="V.No.",'R.M Billets Reports'!B453,IF(ROW()=2,"",C453))</f>
      </c>
      <c r="D454">
        <f>IF('R.M Billets Reports'!A453&lt;&gt;"",'R.M Billets Reports'!A453,IF(ROW()=2,"",D453))</f>
      </c>
      <c r="E454">
        <f>IF('R.M Billets Reports'!B453="","",TRIM('R.M Billets Reports'!B453))</f>
      </c>
      <c r="F454">
        <f>'R.M Billets Reports'!C453</f>
      </c>
      <c r="G454">
        <f>'R.M Billets Reports'!D453</f>
      </c>
      <c r="H454">
        <f>'R.M Billets Reports'!E453</f>
      </c>
      <c r="I454">
        <f>'R.M Billets Reports'!F453</f>
      </c>
      <c r="J454">
        <f>'R.M Billets Reports'!G453</f>
      </c>
      <c r="K454">
        <f>'R.M Billets Reports'!H453</f>
      </c>
      <c r="L454">
        <f>IF('R.M Billets Reports'!I453="","",'R.M Billets Reports'!I453)</f>
      </c>
      <c r="M454">
        <f t="shared" si="14"/>
      </c>
      <c r="N454">
        <f>IF('R.M Billets Reports'!J453="","",'R.M Billets Reports'!J453)</f>
      </c>
      <c r="O454">
        <f t="shared" si="15"/>
      </c>
      <c r="P454">
        <f>IF('R.M Billets Reports'!A453="SIZE",'R.M Billets Reports'!B453,P453)</f>
      </c>
    </row>
    <row r="455" spans="1:16" x14ac:dyDescent="0.25">
      <c r="A455">
        <f>IF(OR('R.M Billets Reports'!A454="Date-",'R.M Billets Reports'!A454="Date:-"),IF(IF(IF(ISNUMBER(SEARCH("Party Name:-",'R.M Billets Reports'!D454)),TRIM('R.M Billets Reports'!F454),IF(ISNUMBER(SEARCH("Party Name-",'R.M Billets Reports'!D454)),TRIM(MID('R.M Billets Reports'!D454,SEARCH("-",'R.M Billets Reports'!D454)+1,200)),""))&lt;&gt;"",IF(ISNUMBER(SEARCH("Party Name:-",'R.M Billets Reports'!D454)),TRIM('R.M Billets Reports'!F454),IF(ISNUMBER(SEARCH("Party Name-",'R.M Billets Reports'!D454)),TRIM(MID('R.M Billets Reports'!D454,SEARCH("-",'R.M Billets Reports'!D454)+1,200)),"")),IF(ISNUMBER(SEARCH("Party Name:-",'R.M Billets Reports'!D455)),TRIM('R.M Billets Reports'!F455),IF(ISNUMBER(SEARCH("Party Name-",'R.M Billets Reports'!D455)),TRIM(MID('R.M Billets Reports'!D455,SEARCH("-",'R.M Billets Reports'!D455)+1,200)),"")))="VRKP ISPAT PVT LTD","VRKP",IF(IF(IF(ISNUMBER(SEARCH("Party Name:-",'R.M Billets Reports'!D454)),TRIM('R.M Billets Reports'!F454),IF(ISNUMBER(SEARCH("Party Name-",'R.M Billets Reports'!D454)),TRIM(MID('R.M Billets Reports'!D454,SEARCH("-",'R.M Billets Reports'!D454)+1,200)),""))&lt;&gt;"",IF(ISNUMBER(SEARCH("Party Name:-",'R.M Billets Reports'!D454)),TRIM('R.M Billets Reports'!F454),IF(ISNUMBER(SEARCH("Party Name-",'R.M Billets Reports'!D454)),TRIM(MID('R.M Billets Reports'!D454,SEARCH("-",'R.M Billets Reports'!D454)+1,200)),"")),IF(ISNUMBER(SEARCH("Party Name:-",'R.M Billets Reports'!D455)),TRIM('R.M Billets Reports'!F455),IF(ISNUMBER(SEARCH("Party Name-",'R.M Billets Reports'!D455)),TRIM(MID('R.M Billets Reports'!D455,SEARCH("-",'R.M Billets Reports'!D455)+1,200)),"")))="SHRI RADHE","SHREE RADHE",IF(IF(IF(ISNUMBER(SEARCH("Party Name:-",'R.M Billets Reports'!D454)),TRIM('R.M Billets Reports'!F454),IF(ISNUMBER(SEARCH("Party Name-",'R.M Billets Reports'!D454)),TRIM(MID('R.M Billets Reports'!D454,SEARCH("-",'R.M Billets Reports'!D454)+1,200)),""))&lt;&gt;"",IF(ISNUMBER(SEARCH("Party Name:-",'R.M Billets Reports'!D454)),TRIM('R.M Billets Reports'!F454),IF(ISNUMBER(SEARCH("Party Name-",'R.M Billets Reports'!D454)),TRIM(MID('R.M Billets Reports'!D454,SEARCH("-",'R.M Billets Reports'!D454)+1,200)),"")),IF(ISNUMBER(SEARCH("Party Name:-",'R.M Billets Reports'!D455)),TRIM('R.M Billets Reports'!F455),IF(ISNUMBER(SEARCH("Party Name-",'R.M Billets Reports'!D455)),TRIM(MID('R.M Billets Reports'!D455,SEARCH("-",'R.M Billets Reports'!D455)+1,200)),"")))="SHREE RADHE SHAKTI SPONGE AND POWER PVT. LTD.","SHREE RADHE",IF(IF(ISNUMBER(SEARCH("Party Name:-",'R.M Billets Reports'!D454)),TRIM('R.M Billets Reports'!F454),IF(ISNUMBER(SEARCH("Party Name-",'R.M Billets Reports'!D454)),TRIM(MID('R.M Billets Reports'!D454,SEARCH("-",'R.M Billets Reports'!D454)+1,200)),""))&lt;&gt;"",IF(ISNUMBER(SEARCH("Party Name:-",'R.M Billets Reports'!D454)),TRIM('R.M Billets Reports'!F454),IF(ISNUMBER(SEARCH("Party Name-",'R.M Billets Reports'!D454)),TRIM(MID('R.M Billets Reports'!D454,SEARCH("-",'R.M Billets Reports'!D454)+1,200)),"")),IF(ISNUMBER(SEARCH("Party Name:-",'R.M Billets Reports'!D455)),TRIM('R.M Billets Reports'!F455),IF(ISNUMBER(SEARCH("Party Name-",'R.M Billets Reports'!D455)),TRIM(MID('R.M Billets Reports'!D455,SEARCH("-",'R.M Billets Reports'!D455)+1,200)),"")))))),IF(ROW()=2,"",A454))</f>
      </c>
      <c r="B455">
        <f>IF(OR('R.M Billets Reports'!A454="Date-",'R.M Billets Reports'!A454="Date:-"),'R.M Billets Reports'!B454,IF(ROW()=2,"",B454))</f>
      </c>
      <c r="C455">
        <f>IF('R.M Billets Reports'!A454="V.No.",'R.M Billets Reports'!B454,IF(ROW()=2,"",C454))</f>
      </c>
      <c r="D455">
        <f>IF('R.M Billets Reports'!A454&lt;&gt;"",'R.M Billets Reports'!A454,IF(ROW()=2,"",D454))</f>
      </c>
      <c r="E455">
        <f>IF('R.M Billets Reports'!B454="","",TRIM('R.M Billets Reports'!B454))</f>
      </c>
      <c r="F455">
        <f>'R.M Billets Reports'!C454</f>
      </c>
      <c r="G455">
        <f>'R.M Billets Reports'!D454</f>
      </c>
      <c r="H455">
        <f>'R.M Billets Reports'!E454</f>
      </c>
      <c r="I455">
        <f>'R.M Billets Reports'!F454</f>
      </c>
      <c r="J455">
        <f>'R.M Billets Reports'!G454</f>
      </c>
      <c r="K455">
        <f>'R.M Billets Reports'!H454</f>
      </c>
      <c r="L455">
        <f>IF('R.M Billets Reports'!I454="","",'R.M Billets Reports'!I454)</f>
      </c>
      <c r="M455">
        <f t="shared" si="14"/>
      </c>
      <c r="N455">
        <f>IF('R.M Billets Reports'!J454="","",'R.M Billets Reports'!J454)</f>
      </c>
      <c r="O455">
        <f t="shared" si="15"/>
      </c>
      <c r="P455">
        <f>IF('R.M Billets Reports'!A454="SIZE",'R.M Billets Reports'!B454,P454)</f>
      </c>
    </row>
    <row r="456" spans="1:16" x14ac:dyDescent="0.25">
      <c r="A456">
        <f>IF(OR('R.M Billets Reports'!A455="Date-",'R.M Billets Reports'!A455="Date:-"),IF(IF(IF(ISNUMBER(SEARCH("Party Name:-",'R.M Billets Reports'!D455)),TRIM('R.M Billets Reports'!F455),IF(ISNUMBER(SEARCH("Party Name-",'R.M Billets Reports'!D455)),TRIM(MID('R.M Billets Reports'!D455,SEARCH("-",'R.M Billets Reports'!D455)+1,200)),""))&lt;&gt;"",IF(ISNUMBER(SEARCH("Party Name:-",'R.M Billets Reports'!D455)),TRIM('R.M Billets Reports'!F455),IF(ISNUMBER(SEARCH("Party Name-",'R.M Billets Reports'!D455)),TRIM(MID('R.M Billets Reports'!D455,SEARCH("-",'R.M Billets Reports'!D455)+1,200)),"")),IF(ISNUMBER(SEARCH("Party Name:-",'R.M Billets Reports'!D456)),TRIM('R.M Billets Reports'!F456),IF(ISNUMBER(SEARCH("Party Name-",'R.M Billets Reports'!D456)),TRIM(MID('R.M Billets Reports'!D456,SEARCH("-",'R.M Billets Reports'!D456)+1,200)),"")))="VRKP ISPAT PVT LTD","VRKP",IF(IF(IF(ISNUMBER(SEARCH("Party Name:-",'R.M Billets Reports'!D455)),TRIM('R.M Billets Reports'!F455),IF(ISNUMBER(SEARCH("Party Name-",'R.M Billets Reports'!D455)),TRIM(MID('R.M Billets Reports'!D455,SEARCH("-",'R.M Billets Reports'!D455)+1,200)),""))&lt;&gt;"",IF(ISNUMBER(SEARCH("Party Name:-",'R.M Billets Reports'!D455)),TRIM('R.M Billets Reports'!F455),IF(ISNUMBER(SEARCH("Party Name-",'R.M Billets Reports'!D455)),TRIM(MID('R.M Billets Reports'!D455,SEARCH("-",'R.M Billets Reports'!D455)+1,200)),"")),IF(ISNUMBER(SEARCH("Party Name:-",'R.M Billets Reports'!D456)),TRIM('R.M Billets Reports'!F456),IF(ISNUMBER(SEARCH("Party Name-",'R.M Billets Reports'!D456)),TRIM(MID('R.M Billets Reports'!D456,SEARCH("-",'R.M Billets Reports'!D456)+1,200)),"")))="SHRI RADHE","SHREE RADHE",IF(IF(IF(ISNUMBER(SEARCH("Party Name:-",'R.M Billets Reports'!D455)),TRIM('R.M Billets Reports'!F455),IF(ISNUMBER(SEARCH("Party Name-",'R.M Billets Reports'!D455)),TRIM(MID('R.M Billets Reports'!D455,SEARCH("-",'R.M Billets Reports'!D455)+1,200)),""))&lt;&gt;"",IF(ISNUMBER(SEARCH("Party Name:-",'R.M Billets Reports'!D455)),TRIM('R.M Billets Reports'!F455),IF(ISNUMBER(SEARCH("Party Name-",'R.M Billets Reports'!D455)),TRIM(MID('R.M Billets Reports'!D455,SEARCH("-",'R.M Billets Reports'!D455)+1,200)),"")),IF(ISNUMBER(SEARCH("Party Name:-",'R.M Billets Reports'!D456)),TRIM('R.M Billets Reports'!F456),IF(ISNUMBER(SEARCH("Party Name-",'R.M Billets Reports'!D456)),TRIM(MID('R.M Billets Reports'!D456,SEARCH("-",'R.M Billets Reports'!D456)+1,200)),"")))="SHREE RADHE SHAKTI SPONGE AND POWER PVT. LTD.","SHREE RADHE",IF(IF(ISNUMBER(SEARCH("Party Name:-",'R.M Billets Reports'!D455)),TRIM('R.M Billets Reports'!F455),IF(ISNUMBER(SEARCH("Party Name-",'R.M Billets Reports'!D455)),TRIM(MID('R.M Billets Reports'!D455,SEARCH("-",'R.M Billets Reports'!D455)+1,200)),""))&lt;&gt;"",IF(ISNUMBER(SEARCH("Party Name:-",'R.M Billets Reports'!D455)),TRIM('R.M Billets Reports'!F455),IF(ISNUMBER(SEARCH("Party Name-",'R.M Billets Reports'!D455)),TRIM(MID('R.M Billets Reports'!D455,SEARCH("-",'R.M Billets Reports'!D455)+1,200)),"")),IF(ISNUMBER(SEARCH("Party Name:-",'R.M Billets Reports'!D456)),TRIM('R.M Billets Reports'!F456),IF(ISNUMBER(SEARCH("Party Name-",'R.M Billets Reports'!D456)),TRIM(MID('R.M Billets Reports'!D456,SEARCH("-",'R.M Billets Reports'!D456)+1,200)),"")))))),IF(ROW()=2,"",A455))</f>
      </c>
      <c r="B456">
        <f>IF(OR('R.M Billets Reports'!A455="Date-",'R.M Billets Reports'!A455="Date:-"),'R.M Billets Reports'!B455,IF(ROW()=2,"",B455))</f>
      </c>
      <c r="C456">
        <f>IF('R.M Billets Reports'!A455="V.No.",'R.M Billets Reports'!B455,IF(ROW()=2,"",C455))</f>
      </c>
      <c r="D456">
        <f>IF('R.M Billets Reports'!A455&lt;&gt;"",'R.M Billets Reports'!A455,IF(ROW()=2,"",D455))</f>
      </c>
      <c r="E456">
        <f>IF('R.M Billets Reports'!B455="","",TRIM('R.M Billets Reports'!B455))</f>
      </c>
      <c r="F456">
        <f>'R.M Billets Reports'!C455</f>
      </c>
      <c r="G456">
        <f>'R.M Billets Reports'!D455</f>
      </c>
      <c r="H456">
        <f>'R.M Billets Reports'!E455</f>
      </c>
      <c r="I456">
        <f>'R.M Billets Reports'!F455</f>
      </c>
      <c r="J456">
        <f>'R.M Billets Reports'!G455</f>
      </c>
      <c r="K456">
        <f>'R.M Billets Reports'!H455</f>
      </c>
      <c r="L456">
        <f>IF('R.M Billets Reports'!I455="","",'R.M Billets Reports'!I455)</f>
      </c>
      <c r="M456">
        <f t="shared" si="14"/>
      </c>
      <c r="N456">
        <f>IF('R.M Billets Reports'!J455="","",'R.M Billets Reports'!J455)</f>
      </c>
      <c r="O456">
        <f t="shared" si="15"/>
      </c>
      <c r="P456">
        <f>IF('R.M Billets Reports'!A455="SIZE",'R.M Billets Reports'!B455,P455)</f>
      </c>
    </row>
    <row r="457" spans="1:16" x14ac:dyDescent="0.25">
      <c r="A457">
        <f>IF(OR('R.M Billets Reports'!A456="Date-",'R.M Billets Reports'!A456="Date:-"),IF(IF(IF(ISNUMBER(SEARCH("Party Name:-",'R.M Billets Reports'!D456)),TRIM('R.M Billets Reports'!F456),IF(ISNUMBER(SEARCH("Party Name-",'R.M Billets Reports'!D456)),TRIM(MID('R.M Billets Reports'!D456,SEARCH("-",'R.M Billets Reports'!D456)+1,200)),""))&lt;&gt;"",IF(ISNUMBER(SEARCH("Party Name:-",'R.M Billets Reports'!D456)),TRIM('R.M Billets Reports'!F456),IF(ISNUMBER(SEARCH("Party Name-",'R.M Billets Reports'!D456)),TRIM(MID('R.M Billets Reports'!D456,SEARCH("-",'R.M Billets Reports'!D456)+1,200)),"")),IF(ISNUMBER(SEARCH("Party Name:-",'R.M Billets Reports'!D457)),TRIM('R.M Billets Reports'!F457),IF(ISNUMBER(SEARCH("Party Name-",'R.M Billets Reports'!D457)),TRIM(MID('R.M Billets Reports'!D457,SEARCH("-",'R.M Billets Reports'!D457)+1,200)),"")))="VRKP ISPAT PVT LTD","VRKP",IF(IF(IF(ISNUMBER(SEARCH("Party Name:-",'R.M Billets Reports'!D456)),TRIM('R.M Billets Reports'!F456),IF(ISNUMBER(SEARCH("Party Name-",'R.M Billets Reports'!D456)),TRIM(MID('R.M Billets Reports'!D456,SEARCH("-",'R.M Billets Reports'!D456)+1,200)),""))&lt;&gt;"",IF(ISNUMBER(SEARCH("Party Name:-",'R.M Billets Reports'!D456)),TRIM('R.M Billets Reports'!F456),IF(ISNUMBER(SEARCH("Party Name-",'R.M Billets Reports'!D456)),TRIM(MID('R.M Billets Reports'!D456,SEARCH("-",'R.M Billets Reports'!D456)+1,200)),"")),IF(ISNUMBER(SEARCH("Party Name:-",'R.M Billets Reports'!D457)),TRIM('R.M Billets Reports'!F457),IF(ISNUMBER(SEARCH("Party Name-",'R.M Billets Reports'!D457)),TRIM(MID('R.M Billets Reports'!D457,SEARCH("-",'R.M Billets Reports'!D457)+1,200)),"")))="SHRI RADHE","SHREE RADHE",IF(IF(IF(ISNUMBER(SEARCH("Party Name:-",'R.M Billets Reports'!D456)),TRIM('R.M Billets Reports'!F456),IF(ISNUMBER(SEARCH("Party Name-",'R.M Billets Reports'!D456)),TRIM(MID('R.M Billets Reports'!D456,SEARCH("-",'R.M Billets Reports'!D456)+1,200)),""))&lt;&gt;"",IF(ISNUMBER(SEARCH("Party Name:-",'R.M Billets Reports'!D456)),TRIM('R.M Billets Reports'!F456),IF(ISNUMBER(SEARCH("Party Name-",'R.M Billets Reports'!D456)),TRIM(MID('R.M Billets Reports'!D456,SEARCH("-",'R.M Billets Reports'!D456)+1,200)),"")),IF(ISNUMBER(SEARCH("Party Name:-",'R.M Billets Reports'!D457)),TRIM('R.M Billets Reports'!F457),IF(ISNUMBER(SEARCH("Party Name-",'R.M Billets Reports'!D457)),TRIM(MID('R.M Billets Reports'!D457,SEARCH("-",'R.M Billets Reports'!D457)+1,200)),"")))="SHREE RADHE SHAKTI SPONGE AND POWER PVT. LTD.","SHREE RADHE",IF(IF(ISNUMBER(SEARCH("Party Name:-",'R.M Billets Reports'!D456)),TRIM('R.M Billets Reports'!F456),IF(ISNUMBER(SEARCH("Party Name-",'R.M Billets Reports'!D456)),TRIM(MID('R.M Billets Reports'!D456,SEARCH("-",'R.M Billets Reports'!D456)+1,200)),""))&lt;&gt;"",IF(ISNUMBER(SEARCH("Party Name:-",'R.M Billets Reports'!D456)),TRIM('R.M Billets Reports'!F456),IF(ISNUMBER(SEARCH("Party Name-",'R.M Billets Reports'!D456)),TRIM(MID('R.M Billets Reports'!D456,SEARCH("-",'R.M Billets Reports'!D456)+1,200)),"")),IF(ISNUMBER(SEARCH("Party Name:-",'R.M Billets Reports'!D457)),TRIM('R.M Billets Reports'!F457),IF(ISNUMBER(SEARCH("Party Name-",'R.M Billets Reports'!D457)),TRIM(MID('R.M Billets Reports'!D457,SEARCH("-",'R.M Billets Reports'!D457)+1,200)),"")))))),IF(ROW()=2,"",A456))</f>
      </c>
      <c r="B457">
        <f>IF(OR('R.M Billets Reports'!A456="Date-",'R.M Billets Reports'!A456="Date:-"),'R.M Billets Reports'!B456,IF(ROW()=2,"",B456))</f>
      </c>
      <c r="C457">
        <f>IF('R.M Billets Reports'!A456="V.No.",'R.M Billets Reports'!B456,IF(ROW()=2,"",C456))</f>
      </c>
      <c r="D457">
        <f>IF('R.M Billets Reports'!A456&lt;&gt;"",'R.M Billets Reports'!A456,IF(ROW()=2,"",D456))</f>
      </c>
      <c r="E457">
        <f>IF('R.M Billets Reports'!B456="","",TRIM('R.M Billets Reports'!B456))</f>
      </c>
      <c r="F457">
        <f>'R.M Billets Reports'!C456</f>
      </c>
      <c r="G457">
        <f>'R.M Billets Reports'!D456</f>
      </c>
      <c r="H457">
        <f>'R.M Billets Reports'!E456</f>
      </c>
      <c r="I457">
        <f>'R.M Billets Reports'!F456</f>
      </c>
      <c r="J457">
        <f>'R.M Billets Reports'!G456</f>
      </c>
      <c r="K457">
        <f>'R.M Billets Reports'!H456</f>
      </c>
      <c r="L457">
        <f>IF('R.M Billets Reports'!I456="","",'R.M Billets Reports'!I456)</f>
      </c>
      <c r="M457">
        <f t="shared" si="14"/>
      </c>
      <c r="N457">
        <f>IF('R.M Billets Reports'!J456="","",'R.M Billets Reports'!J456)</f>
      </c>
      <c r="O457">
        <f t="shared" si="15"/>
      </c>
      <c r="P457">
        <f>IF('R.M Billets Reports'!A456="SIZE",'R.M Billets Reports'!B456,P456)</f>
      </c>
    </row>
    <row r="458" spans="1:16" x14ac:dyDescent="0.25">
      <c r="A458">
        <f>IF(OR('R.M Billets Reports'!A457="Date-",'R.M Billets Reports'!A457="Date:-"),IF(IF(IF(ISNUMBER(SEARCH("Party Name:-",'R.M Billets Reports'!D457)),TRIM('R.M Billets Reports'!F457),IF(ISNUMBER(SEARCH("Party Name-",'R.M Billets Reports'!D457)),TRIM(MID('R.M Billets Reports'!D457,SEARCH("-",'R.M Billets Reports'!D457)+1,200)),""))&lt;&gt;"",IF(ISNUMBER(SEARCH("Party Name:-",'R.M Billets Reports'!D457)),TRIM('R.M Billets Reports'!F457),IF(ISNUMBER(SEARCH("Party Name-",'R.M Billets Reports'!D457)),TRIM(MID('R.M Billets Reports'!D457,SEARCH("-",'R.M Billets Reports'!D457)+1,200)),"")),IF(ISNUMBER(SEARCH("Party Name:-",'R.M Billets Reports'!D458)),TRIM('R.M Billets Reports'!F458),IF(ISNUMBER(SEARCH("Party Name-",'R.M Billets Reports'!D458)),TRIM(MID('R.M Billets Reports'!D458,SEARCH("-",'R.M Billets Reports'!D458)+1,200)),"")))="VRKP ISPAT PVT LTD","VRKP",IF(IF(IF(ISNUMBER(SEARCH("Party Name:-",'R.M Billets Reports'!D457)),TRIM('R.M Billets Reports'!F457),IF(ISNUMBER(SEARCH("Party Name-",'R.M Billets Reports'!D457)),TRIM(MID('R.M Billets Reports'!D457,SEARCH("-",'R.M Billets Reports'!D457)+1,200)),""))&lt;&gt;"",IF(ISNUMBER(SEARCH("Party Name:-",'R.M Billets Reports'!D457)),TRIM('R.M Billets Reports'!F457),IF(ISNUMBER(SEARCH("Party Name-",'R.M Billets Reports'!D457)),TRIM(MID('R.M Billets Reports'!D457,SEARCH("-",'R.M Billets Reports'!D457)+1,200)),"")),IF(ISNUMBER(SEARCH("Party Name:-",'R.M Billets Reports'!D458)),TRIM('R.M Billets Reports'!F458),IF(ISNUMBER(SEARCH("Party Name-",'R.M Billets Reports'!D458)),TRIM(MID('R.M Billets Reports'!D458,SEARCH("-",'R.M Billets Reports'!D458)+1,200)),"")))="SHRI RADHE","SHREE RADHE",IF(IF(IF(ISNUMBER(SEARCH("Party Name:-",'R.M Billets Reports'!D457)),TRIM('R.M Billets Reports'!F457),IF(ISNUMBER(SEARCH("Party Name-",'R.M Billets Reports'!D457)),TRIM(MID('R.M Billets Reports'!D457,SEARCH("-",'R.M Billets Reports'!D457)+1,200)),""))&lt;&gt;"",IF(ISNUMBER(SEARCH("Party Name:-",'R.M Billets Reports'!D457)),TRIM('R.M Billets Reports'!F457),IF(ISNUMBER(SEARCH("Party Name-",'R.M Billets Reports'!D457)),TRIM(MID('R.M Billets Reports'!D457,SEARCH("-",'R.M Billets Reports'!D457)+1,200)),"")),IF(ISNUMBER(SEARCH("Party Name:-",'R.M Billets Reports'!D458)),TRIM('R.M Billets Reports'!F458),IF(ISNUMBER(SEARCH("Party Name-",'R.M Billets Reports'!D458)),TRIM(MID('R.M Billets Reports'!D458,SEARCH("-",'R.M Billets Reports'!D458)+1,200)),"")))="SHREE RADHE SHAKTI SPONGE AND POWER PVT. LTD.","SHREE RADHE",IF(IF(ISNUMBER(SEARCH("Party Name:-",'R.M Billets Reports'!D457)),TRIM('R.M Billets Reports'!F457),IF(ISNUMBER(SEARCH("Party Name-",'R.M Billets Reports'!D457)),TRIM(MID('R.M Billets Reports'!D457,SEARCH("-",'R.M Billets Reports'!D457)+1,200)),""))&lt;&gt;"",IF(ISNUMBER(SEARCH("Party Name:-",'R.M Billets Reports'!D457)),TRIM('R.M Billets Reports'!F457),IF(ISNUMBER(SEARCH("Party Name-",'R.M Billets Reports'!D457)),TRIM(MID('R.M Billets Reports'!D457,SEARCH("-",'R.M Billets Reports'!D457)+1,200)),"")),IF(ISNUMBER(SEARCH("Party Name:-",'R.M Billets Reports'!D458)),TRIM('R.M Billets Reports'!F458),IF(ISNUMBER(SEARCH("Party Name-",'R.M Billets Reports'!D458)),TRIM(MID('R.M Billets Reports'!D458,SEARCH("-",'R.M Billets Reports'!D458)+1,200)),"")))))),IF(ROW()=2,"",A457))</f>
      </c>
      <c r="B458">
        <f>IF(OR('R.M Billets Reports'!A457="Date-",'R.M Billets Reports'!A457="Date:-"),'R.M Billets Reports'!B457,IF(ROW()=2,"",B457))</f>
      </c>
      <c r="C458">
        <f>IF('R.M Billets Reports'!A457="V.No.",'R.M Billets Reports'!B457,IF(ROW()=2,"",C457))</f>
      </c>
      <c r="D458">
        <f>IF('R.M Billets Reports'!A457&lt;&gt;"",'R.M Billets Reports'!A457,IF(ROW()=2,"",D457))</f>
      </c>
      <c r="E458">
        <f>IF('R.M Billets Reports'!B457="","",TRIM('R.M Billets Reports'!B457))</f>
      </c>
      <c r="F458">
        <f>'R.M Billets Reports'!C457</f>
      </c>
      <c r="G458">
        <f>'R.M Billets Reports'!D457</f>
      </c>
      <c r="H458">
        <f>'R.M Billets Reports'!E457</f>
      </c>
      <c r="I458">
        <f>'R.M Billets Reports'!F457</f>
      </c>
      <c r="J458">
        <f>'R.M Billets Reports'!G457</f>
      </c>
      <c r="K458">
        <f>'R.M Billets Reports'!H457</f>
      </c>
      <c r="L458">
        <f>IF('R.M Billets Reports'!I457="","",'R.M Billets Reports'!I457)</f>
      </c>
      <c r="M458">
        <f t="shared" si="14"/>
      </c>
      <c r="N458">
        <f>IF('R.M Billets Reports'!J457="","",'R.M Billets Reports'!J457)</f>
      </c>
      <c r="O458">
        <f t="shared" si="15"/>
      </c>
      <c r="P458">
        <f>IF('R.M Billets Reports'!A457="SIZE",'R.M Billets Reports'!B457,P457)</f>
      </c>
    </row>
    <row r="459" spans="1:16" x14ac:dyDescent="0.25">
      <c r="A459">
        <f>IF(OR('R.M Billets Reports'!A458="Date-",'R.M Billets Reports'!A458="Date:-"),IF(IF(IF(ISNUMBER(SEARCH("Party Name:-",'R.M Billets Reports'!D458)),TRIM('R.M Billets Reports'!F458),IF(ISNUMBER(SEARCH("Party Name-",'R.M Billets Reports'!D458)),TRIM(MID('R.M Billets Reports'!D458,SEARCH("-",'R.M Billets Reports'!D458)+1,200)),""))&lt;&gt;"",IF(ISNUMBER(SEARCH("Party Name:-",'R.M Billets Reports'!D458)),TRIM('R.M Billets Reports'!F458),IF(ISNUMBER(SEARCH("Party Name-",'R.M Billets Reports'!D458)),TRIM(MID('R.M Billets Reports'!D458,SEARCH("-",'R.M Billets Reports'!D458)+1,200)),"")),IF(ISNUMBER(SEARCH("Party Name:-",'R.M Billets Reports'!D459)),TRIM('R.M Billets Reports'!F459),IF(ISNUMBER(SEARCH("Party Name-",'R.M Billets Reports'!D459)),TRIM(MID('R.M Billets Reports'!D459,SEARCH("-",'R.M Billets Reports'!D459)+1,200)),"")))="VRKP ISPAT PVT LTD","VRKP",IF(IF(IF(ISNUMBER(SEARCH("Party Name:-",'R.M Billets Reports'!D458)),TRIM('R.M Billets Reports'!F458),IF(ISNUMBER(SEARCH("Party Name-",'R.M Billets Reports'!D458)),TRIM(MID('R.M Billets Reports'!D458,SEARCH("-",'R.M Billets Reports'!D458)+1,200)),""))&lt;&gt;"",IF(ISNUMBER(SEARCH("Party Name:-",'R.M Billets Reports'!D458)),TRIM('R.M Billets Reports'!F458),IF(ISNUMBER(SEARCH("Party Name-",'R.M Billets Reports'!D458)),TRIM(MID('R.M Billets Reports'!D458,SEARCH("-",'R.M Billets Reports'!D458)+1,200)),"")),IF(ISNUMBER(SEARCH("Party Name:-",'R.M Billets Reports'!D459)),TRIM('R.M Billets Reports'!F459),IF(ISNUMBER(SEARCH("Party Name-",'R.M Billets Reports'!D459)),TRIM(MID('R.M Billets Reports'!D459,SEARCH("-",'R.M Billets Reports'!D459)+1,200)),"")))="SHRI RADHE","SHREE RADHE",IF(IF(IF(ISNUMBER(SEARCH("Party Name:-",'R.M Billets Reports'!D458)),TRIM('R.M Billets Reports'!F458),IF(ISNUMBER(SEARCH("Party Name-",'R.M Billets Reports'!D458)),TRIM(MID('R.M Billets Reports'!D458,SEARCH("-",'R.M Billets Reports'!D458)+1,200)),""))&lt;&gt;"",IF(ISNUMBER(SEARCH("Party Name:-",'R.M Billets Reports'!D458)),TRIM('R.M Billets Reports'!F458),IF(ISNUMBER(SEARCH("Party Name-",'R.M Billets Reports'!D458)),TRIM(MID('R.M Billets Reports'!D458,SEARCH("-",'R.M Billets Reports'!D458)+1,200)),"")),IF(ISNUMBER(SEARCH("Party Name:-",'R.M Billets Reports'!D459)),TRIM('R.M Billets Reports'!F459),IF(ISNUMBER(SEARCH("Party Name-",'R.M Billets Reports'!D459)),TRIM(MID('R.M Billets Reports'!D459,SEARCH("-",'R.M Billets Reports'!D459)+1,200)),"")))="SHREE RADHE SHAKTI SPONGE AND POWER PVT. LTD.","SHREE RADHE",IF(IF(ISNUMBER(SEARCH("Party Name:-",'R.M Billets Reports'!D458)),TRIM('R.M Billets Reports'!F458),IF(ISNUMBER(SEARCH("Party Name-",'R.M Billets Reports'!D458)),TRIM(MID('R.M Billets Reports'!D458,SEARCH("-",'R.M Billets Reports'!D458)+1,200)),""))&lt;&gt;"",IF(ISNUMBER(SEARCH("Party Name:-",'R.M Billets Reports'!D458)),TRIM('R.M Billets Reports'!F458),IF(ISNUMBER(SEARCH("Party Name-",'R.M Billets Reports'!D458)),TRIM(MID('R.M Billets Reports'!D458,SEARCH("-",'R.M Billets Reports'!D458)+1,200)),"")),IF(ISNUMBER(SEARCH("Party Name:-",'R.M Billets Reports'!D459)),TRIM('R.M Billets Reports'!F459),IF(ISNUMBER(SEARCH("Party Name-",'R.M Billets Reports'!D459)),TRIM(MID('R.M Billets Reports'!D459,SEARCH("-",'R.M Billets Reports'!D459)+1,200)),"")))))),IF(ROW()=2,"",A458))</f>
      </c>
      <c r="B459">
        <f>IF(OR('R.M Billets Reports'!A458="Date-",'R.M Billets Reports'!A458="Date:-"),'R.M Billets Reports'!B458,IF(ROW()=2,"",B458))</f>
      </c>
      <c r="C459">
        <f>IF('R.M Billets Reports'!A458="V.No.",'R.M Billets Reports'!B458,IF(ROW()=2,"",C458))</f>
      </c>
      <c r="D459">
        <f>IF('R.M Billets Reports'!A458&lt;&gt;"",'R.M Billets Reports'!A458,IF(ROW()=2,"",D458))</f>
      </c>
      <c r="E459">
        <f>IF('R.M Billets Reports'!B458="","",TRIM('R.M Billets Reports'!B458))</f>
      </c>
      <c r="F459">
        <f>'R.M Billets Reports'!C458</f>
      </c>
      <c r="G459">
        <f>'R.M Billets Reports'!D458</f>
      </c>
      <c r="H459">
        <f>'R.M Billets Reports'!E458</f>
      </c>
      <c r="I459">
        <f>'R.M Billets Reports'!F458</f>
      </c>
      <c r="J459">
        <f>'R.M Billets Reports'!G458</f>
      </c>
      <c r="K459">
        <f>'R.M Billets Reports'!H458</f>
      </c>
      <c r="L459">
        <f>IF('R.M Billets Reports'!I458="","",'R.M Billets Reports'!I458)</f>
      </c>
      <c r="M459">
        <f t="shared" si="14"/>
      </c>
      <c r="N459">
        <f>IF('R.M Billets Reports'!J458="","",'R.M Billets Reports'!J458)</f>
      </c>
      <c r="O459">
        <f t="shared" si="15"/>
      </c>
      <c r="P459">
        <f>IF('R.M Billets Reports'!A458="SIZE",'R.M Billets Reports'!B458,P458)</f>
      </c>
    </row>
    <row r="460" spans="1:16" x14ac:dyDescent="0.25">
      <c r="A460">
        <f>IF(OR('R.M Billets Reports'!A459="Date-",'R.M Billets Reports'!A459="Date:-"),IF(IF(IF(ISNUMBER(SEARCH("Party Name:-",'R.M Billets Reports'!D459)),TRIM('R.M Billets Reports'!F459),IF(ISNUMBER(SEARCH("Party Name-",'R.M Billets Reports'!D459)),TRIM(MID('R.M Billets Reports'!D459,SEARCH("-",'R.M Billets Reports'!D459)+1,200)),""))&lt;&gt;"",IF(ISNUMBER(SEARCH("Party Name:-",'R.M Billets Reports'!D459)),TRIM('R.M Billets Reports'!F459),IF(ISNUMBER(SEARCH("Party Name-",'R.M Billets Reports'!D459)),TRIM(MID('R.M Billets Reports'!D459,SEARCH("-",'R.M Billets Reports'!D459)+1,200)),"")),IF(ISNUMBER(SEARCH("Party Name:-",'R.M Billets Reports'!D460)),TRIM('R.M Billets Reports'!F460),IF(ISNUMBER(SEARCH("Party Name-",'R.M Billets Reports'!D460)),TRIM(MID('R.M Billets Reports'!D460,SEARCH("-",'R.M Billets Reports'!D460)+1,200)),"")))="VRKP ISPAT PVT LTD","VRKP",IF(IF(IF(ISNUMBER(SEARCH("Party Name:-",'R.M Billets Reports'!D459)),TRIM('R.M Billets Reports'!F459),IF(ISNUMBER(SEARCH("Party Name-",'R.M Billets Reports'!D459)),TRIM(MID('R.M Billets Reports'!D459,SEARCH("-",'R.M Billets Reports'!D459)+1,200)),""))&lt;&gt;"",IF(ISNUMBER(SEARCH("Party Name:-",'R.M Billets Reports'!D459)),TRIM('R.M Billets Reports'!F459),IF(ISNUMBER(SEARCH("Party Name-",'R.M Billets Reports'!D459)),TRIM(MID('R.M Billets Reports'!D459,SEARCH("-",'R.M Billets Reports'!D459)+1,200)),"")),IF(ISNUMBER(SEARCH("Party Name:-",'R.M Billets Reports'!D460)),TRIM('R.M Billets Reports'!F460),IF(ISNUMBER(SEARCH("Party Name-",'R.M Billets Reports'!D460)),TRIM(MID('R.M Billets Reports'!D460,SEARCH("-",'R.M Billets Reports'!D460)+1,200)),"")))="SHRI RADHE","SHREE RADHE",IF(IF(IF(ISNUMBER(SEARCH("Party Name:-",'R.M Billets Reports'!D459)),TRIM('R.M Billets Reports'!F459),IF(ISNUMBER(SEARCH("Party Name-",'R.M Billets Reports'!D459)),TRIM(MID('R.M Billets Reports'!D459,SEARCH("-",'R.M Billets Reports'!D459)+1,200)),""))&lt;&gt;"",IF(ISNUMBER(SEARCH("Party Name:-",'R.M Billets Reports'!D459)),TRIM('R.M Billets Reports'!F459),IF(ISNUMBER(SEARCH("Party Name-",'R.M Billets Reports'!D459)),TRIM(MID('R.M Billets Reports'!D459,SEARCH("-",'R.M Billets Reports'!D459)+1,200)),"")),IF(ISNUMBER(SEARCH("Party Name:-",'R.M Billets Reports'!D460)),TRIM('R.M Billets Reports'!F460),IF(ISNUMBER(SEARCH("Party Name-",'R.M Billets Reports'!D460)),TRIM(MID('R.M Billets Reports'!D460,SEARCH("-",'R.M Billets Reports'!D460)+1,200)),"")))="SHREE RADHE SHAKTI SPONGE AND POWER PVT. LTD.","SHREE RADHE",IF(IF(ISNUMBER(SEARCH("Party Name:-",'R.M Billets Reports'!D459)),TRIM('R.M Billets Reports'!F459),IF(ISNUMBER(SEARCH("Party Name-",'R.M Billets Reports'!D459)),TRIM(MID('R.M Billets Reports'!D459,SEARCH("-",'R.M Billets Reports'!D459)+1,200)),""))&lt;&gt;"",IF(ISNUMBER(SEARCH("Party Name:-",'R.M Billets Reports'!D459)),TRIM('R.M Billets Reports'!F459),IF(ISNUMBER(SEARCH("Party Name-",'R.M Billets Reports'!D459)),TRIM(MID('R.M Billets Reports'!D459,SEARCH("-",'R.M Billets Reports'!D459)+1,200)),"")),IF(ISNUMBER(SEARCH("Party Name:-",'R.M Billets Reports'!D460)),TRIM('R.M Billets Reports'!F460),IF(ISNUMBER(SEARCH("Party Name-",'R.M Billets Reports'!D460)),TRIM(MID('R.M Billets Reports'!D460,SEARCH("-",'R.M Billets Reports'!D460)+1,200)),"")))))),IF(ROW()=2,"",A459))</f>
      </c>
      <c r="B460">
        <f>IF(OR('R.M Billets Reports'!A459="Date-",'R.M Billets Reports'!A459="Date:-"),'R.M Billets Reports'!B459,IF(ROW()=2,"",B459))</f>
      </c>
      <c r="C460">
        <f>IF('R.M Billets Reports'!A459="V.No.",'R.M Billets Reports'!B459,IF(ROW()=2,"",C459))</f>
      </c>
      <c r="D460">
        <f>IF('R.M Billets Reports'!A459&lt;&gt;"",'R.M Billets Reports'!A459,IF(ROW()=2,"",D459))</f>
      </c>
      <c r="E460">
        <f>IF('R.M Billets Reports'!B459="","",TRIM('R.M Billets Reports'!B459))</f>
      </c>
      <c r="F460">
        <f>'R.M Billets Reports'!C459</f>
      </c>
      <c r="G460">
        <f>'R.M Billets Reports'!D459</f>
      </c>
      <c r="H460">
        <f>'R.M Billets Reports'!E459</f>
      </c>
      <c r="I460">
        <f>'R.M Billets Reports'!F459</f>
      </c>
      <c r="J460">
        <f>'R.M Billets Reports'!G459</f>
      </c>
      <c r="K460">
        <f>'R.M Billets Reports'!H459</f>
      </c>
      <c r="L460">
        <f>IF('R.M Billets Reports'!I459="","",'R.M Billets Reports'!I459)</f>
      </c>
      <c r="M460">
        <f t="shared" si="14"/>
      </c>
      <c r="N460">
        <f>IF('R.M Billets Reports'!J459="","",'R.M Billets Reports'!J459)</f>
      </c>
      <c r="O460">
        <f t="shared" si="15"/>
      </c>
      <c r="P460">
        <f>IF('R.M Billets Reports'!A459="SIZE",'R.M Billets Reports'!B459,P459)</f>
      </c>
    </row>
    <row r="461" spans="1:16" x14ac:dyDescent="0.25">
      <c r="A461">
        <f>IF(OR('R.M Billets Reports'!A460="Date-",'R.M Billets Reports'!A460="Date:-"),IF(IF(IF(ISNUMBER(SEARCH("Party Name:-",'R.M Billets Reports'!D460)),TRIM('R.M Billets Reports'!F460),IF(ISNUMBER(SEARCH("Party Name-",'R.M Billets Reports'!D460)),TRIM(MID('R.M Billets Reports'!D460,SEARCH("-",'R.M Billets Reports'!D460)+1,200)),""))&lt;&gt;"",IF(ISNUMBER(SEARCH("Party Name:-",'R.M Billets Reports'!D460)),TRIM('R.M Billets Reports'!F460),IF(ISNUMBER(SEARCH("Party Name-",'R.M Billets Reports'!D460)),TRIM(MID('R.M Billets Reports'!D460,SEARCH("-",'R.M Billets Reports'!D460)+1,200)),"")),IF(ISNUMBER(SEARCH("Party Name:-",'R.M Billets Reports'!D461)),TRIM('R.M Billets Reports'!F461),IF(ISNUMBER(SEARCH("Party Name-",'R.M Billets Reports'!D461)),TRIM(MID('R.M Billets Reports'!D461,SEARCH("-",'R.M Billets Reports'!D461)+1,200)),"")))="VRKP ISPAT PVT LTD","VRKP",IF(IF(IF(ISNUMBER(SEARCH("Party Name:-",'R.M Billets Reports'!D460)),TRIM('R.M Billets Reports'!F460),IF(ISNUMBER(SEARCH("Party Name-",'R.M Billets Reports'!D460)),TRIM(MID('R.M Billets Reports'!D460,SEARCH("-",'R.M Billets Reports'!D460)+1,200)),""))&lt;&gt;"",IF(ISNUMBER(SEARCH("Party Name:-",'R.M Billets Reports'!D460)),TRIM('R.M Billets Reports'!F460),IF(ISNUMBER(SEARCH("Party Name-",'R.M Billets Reports'!D460)),TRIM(MID('R.M Billets Reports'!D460,SEARCH("-",'R.M Billets Reports'!D460)+1,200)),"")),IF(ISNUMBER(SEARCH("Party Name:-",'R.M Billets Reports'!D461)),TRIM('R.M Billets Reports'!F461),IF(ISNUMBER(SEARCH("Party Name-",'R.M Billets Reports'!D461)),TRIM(MID('R.M Billets Reports'!D461,SEARCH("-",'R.M Billets Reports'!D461)+1,200)),"")))="SHRI RADHE","SHREE RADHE",IF(IF(IF(ISNUMBER(SEARCH("Party Name:-",'R.M Billets Reports'!D460)),TRIM('R.M Billets Reports'!F460),IF(ISNUMBER(SEARCH("Party Name-",'R.M Billets Reports'!D460)),TRIM(MID('R.M Billets Reports'!D460,SEARCH("-",'R.M Billets Reports'!D460)+1,200)),""))&lt;&gt;"",IF(ISNUMBER(SEARCH("Party Name:-",'R.M Billets Reports'!D460)),TRIM('R.M Billets Reports'!F460),IF(ISNUMBER(SEARCH("Party Name-",'R.M Billets Reports'!D460)),TRIM(MID('R.M Billets Reports'!D460,SEARCH("-",'R.M Billets Reports'!D460)+1,200)),"")),IF(ISNUMBER(SEARCH("Party Name:-",'R.M Billets Reports'!D461)),TRIM('R.M Billets Reports'!F461),IF(ISNUMBER(SEARCH("Party Name-",'R.M Billets Reports'!D461)),TRIM(MID('R.M Billets Reports'!D461,SEARCH("-",'R.M Billets Reports'!D461)+1,200)),"")))="SHREE RADHE SHAKTI SPONGE AND POWER PVT. LTD.","SHREE RADHE",IF(IF(ISNUMBER(SEARCH("Party Name:-",'R.M Billets Reports'!D460)),TRIM('R.M Billets Reports'!F460),IF(ISNUMBER(SEARCH("Party Name-",'R.M Billets Reports'!D460)),TRIM(MID('R.M Billets Reports'!D460,SEARCH("-",'R.M Billets Reports'!D460)+1,200)),""))&lt;&gt;"",IF(ISNUMBER(SEARCH("Party Name:-",'R.M Billets Reports'!D460)),TRIM('R.M Billets Reports'!F460),IF(ISNUMBER(SEARCH("Party Name-",'R.M Billets Reports'!D460)),TRIM(MID('R.M Billets Reports'!D460,SEARCH("-",'R.M Billets Reports'!D460)+1,200)),"")),IF(ISNUMBER(SEARCH("Party Name:-",'R.M Billets Reports'!D461)),TRIM('R.M Billets Reports'!F461),IF(ISNUMBER(SEARCH("Party Name-",'R.M Billets Reports'!D461)),TRIM(MID('R.M Billets Reports'!D461,SEARCH("-",'R.M Billets Reports'!D461)+1,200)),"")))))),IF(ROW()=2,"",A460))</f>
      </c>
      <c r="B461">
        <f>IF(OR('R.M Billets Reports'!A460="Date-",'R.M Billets Reports'!A460="Date:-"),'R.M Billets Reports'!B460,IF(ROW()=2,"",B460))</f>
      </c>
      <c r="C461">
        <f>IF('R.M Billets Reports'!A460="V.No.",'R.M Billets Reports'!B460,IF(ROW()=2,"",C460))</f>
      </c>
      <c r="D461">
        <f>IF('R.M Billets Reports'!A460&lt;&gt;"",'R.M Billets Reports'!A460,IF(ROW()=2,"",D460))</f>
      </c>
      <c r="E461">
        <f>IF('R.M Billets Reports'!B460="","",TRIM('R.M Billets Reports'!B460))</f>
      </c>
      <c r="F461">
        <f>'R.M Billets Reports'!C460</f>
      </c>
      <c r="G461">
        <f>'R.M Billets Reports'!D460</f>
      </c>
      <c r="H461">
        <f>'R.M Billets Reports'!E460</f>
      </c>
      <c r="I461">
        <f>'R.M Billets Reports'!F460</f>
      </c>
      <c r="J461">
        <f>'R.M Billets Reports'!G460</f>
      </c>
      <c r="K461">
        <f>'R.M Billets Reports'!H460</f>
      </c>
      <c r="L461">
        <f>IF('R.M Billets Reports'!I460="","",'R.M Billets Reports'!I460)</f>
      </c>
      <c r="M461">
        <f t="shared" si="14"/>
      </c>
      <c r="N461">
        <f>IF('R.M Billets Reports'!J460="","",'R.M Billets Reports'!J460)</f>
      </c>
      <c r="O461">
        <f t="shared" si="15"/>
      </c>
      <c r="P461">
        <f>IF('R.M Billets Reports'!A460="SIZE",'R.M Billets Reports'!B460,P460)</f>
      </c>
    </row>
    <row r="462" spans="1:16" x14ac:dyDescent="0.25">
      <c r="A462">
        <f>IF(OR('R.M Billets Reports'!A461="Date-",'R.M Billets Reports'!A461="Date:-"),IF(IF(IF(ISNUMBER(SEARCH("Party Name:-",'R.M Billets Reports'!D461)),TRIM('R.M Billets Reports'!F461),IF(ISNUMBER(SEARCH("Party Name-",'R.M Billets Reports'!D461)),TRIM(MID('R.M Billets Reports'!D461,SEARCH("-",'R.M Billets Reports'!D461)+1,200)),""))&lt;&gt;"",IF(ISNUMBER(SEARCH("Party Name:-",'R.M Billets Reports'!D461)),TRIM('R.M Billets Reports'!F461),IF(ISNUMBER(SEARCH("Party Name-",'R.M Billets Reports'!D461)),TRIM(MID('R.M Billets Reports'!D461,SEARCH("-",'R.M Billets Reports'!D461)+1,200)),"")),IF(ISNUMBER(SEARCH("Party Name:-",'R.M Billets Reports'!D462)),TRIM('R.M Billets Reports'!F462),IF(ISNUMBER(SEARCH("Party Name-",'R.M Billets Reports'!D462)),TRIM(MID('R.M Billets Reports'!D462,SEARCH("-",'R.M Billets Reports'!D462)+1,200)),"")))="VRKP ISPAT PVT LTD","VRKP",IF(IF(IF(ISNUMBER(SEARCH("Party Name:-",'R.M Billets Reports'!D461)),TRIM('R.M Billets Reports'!F461),IF(ISNUMBER(SEARCH("Party Name-",'R.M Billets Reports'!D461)),TRIM(MID('R.M Billets Reports'!D461,SEARCH("-",'R.M Billets Reports'!D461)+1,200)),""))&lt;&gt;"",IF(ISNUMBER(SEARCH("Party Name:-",'R.M Billets Reports'!D461)),TRIM('R.M Billets Reports'!F461),IF(ISNUMBER(SEARCH("Party Name-",'R.M Billets Reports'!D461)),TRIM(MID('R.M Billets Reports'!D461,SEARCH("-",'R.M Billets Reports'!D461)+1,200)),"")),IF(ISNUMBER(SEARCH("Party Name:-",'R.M Billets Reports'!D462)),TRIM('R.M Billets Reports'!F462),IF(ISNUMBER(SEARCH("Party Name-",'R.M Billets Reports'!D462)),TRIM(MID('R.M Billets Reports'!D462,SEARCH("-",'R.M Billets Reports'!D462)+1,200)),"")))="SHRI RADHE","SHREE RADHE",IF(IF(IF(ISNUMBER(SEARCH("Party Name:-",'R.M Billets Reports'!D461)),TRIM('R.M Billets Reports'!F461),IF(ISNUMBER(SEARCH("Party Name-",'R.M Billets Reports'!D461)),TRIM(MID('R.M Billets Reports'!D461,SEARCH("-",'R.M Billets Reports'!D461)+1,200)),""))&lt;&gt;"",IF(ISNUMBER(SEARCH("Party Name:-",'R.M Billets Reports'!D461)),TRIM('R.M Billets Reports'!F461),IF(ISNUMBER(SEARCH("Party Name-",'R.M Billets Reports'!D461)),TRIM(MID('R.M Billets Reports'!D461,SEARCH("-",'R.M Billets Reports'!D461)+1,200)),"")),IF(ISNUMBER(SEARCH("Party Name:-",'R.M Billets Reports'!D462)),TRIM('R.M Billets Reports'!F462),IF(ISNUMBER(SEARCH("Party Name-",'R.M Billets Reports'!D462)),TRIM(MID('R.M Billets Reports'!D462,SEARCH("-",'R.M Billets Reports'!D462)+1,200)),"")))="SHREE RADHE SHAKTI SPONGE AND POWER PVT. LTD.","SHREE RADHE",IF(IF(ISNUMBER(SEARCH("Party Name:-",'R.M Billets Reports'!D461)),TRIM('R.M Billets Reports'!F461),IF(ISNUMBER(SEARCH("Party Name-",'R.M Billets Reports'!D461)),TRIM(MID('R.M Billets Reports'!D461,SEARCH("-",'R.M Billets Reports'!D461)+1,200)),""))&lt;&gt;"",IF(ISNUMBER(SEARCH("Party Name:-",'R.M Billets Reports'!D461)),TRIM('R.M Billets Reports'!F461),IF(ISNUMBER(SEARCH("Party Name-",'R.M Billets Reports'!D461)),TRIM(MID('R.M Billets Reports'!D461,SEARCH("-",'R.M Billets Reports'!D461)+1,200)),"")),IF(ISNUMBER(SEARCH("Party Name:-",'R.M Billets Reports'!D462)),TRIM('R.M Billets Reports'!F462),IF(ISNUMBER(SEARCH("Party Name-",'R.M Billets Reports'!D462)),TRIM(MID('R.M Billets Reports'!D462,SEARCH("-",'R.M Billets Reports'!D462)+1,200)),"")))))),IF(ROW()=2,"",A461))</f>
      </c>
      <c r="B462">
        <f>IF(OR('R.M Billets Reports'!A461="Date-",'R.M Billets Reports'!A461="Date:-"),'R.M Billets Reports'!B461,IF(ROW()=2,"",B461))</f>
      </c>
      <c r="C462">
        <f>IF('R.M Billets Reports'!A461="V.No.",'R.M Billets Reports'!B461,IF(ROW()=2,"",C461))</f>
      </c>
      <c r="D462">
        <f>IF('R.M Billets Reports'!A461&lt;&gt;"",'R.M Billets Reports'!A461,IF(ROW()=2,"",D461))</f>
      </c>
      <c r="E462">
        <f>IF('R.M Billets Reports'!B461="","",TRIM('R.M Billets Reports'!B461))</f>
      </c>
      <c r="F462">
        <f>'R.M Billets Reports'!C461</f>
      </c>
      <c r="G462">
        <f>'R.M Billets Reports'!D461</f>
      </c>
      <c r="H462">
        <f>'R.M Billets Reports'!E461</f>
      </c>
      <c r="I462">
        <f>'R.M Billets Reports'!F461</f>
      </c>
      <c r="J462">
        <f>'R.M Billets Reports'!G461</f>
      </c>
      <c r="K462">
        <f>'R.M Billets Reports'!H461</f>
      </c>
      <c r="L462">
        <f>IF('R.M Billets Reports'!I461="","",'R.M Billets Reports'!I461)</f>
      </c>
      <c r="M462">
        <f t="shared" si="14"/>
      </c>
      <c r="N462">
        <f>IF('R.M Billets Reports'!J461="","",'R.M Billets Reports'!J461)</f>
      </c>
      <c r="O462">
        <f t="shared" si="15"/>
      </c>
      <c r="P462">
        <f>IF('R.M Billets Reports'!A461="SIZE",'R.M Billets Reports'!B461,P461)</f>
      </c>
    </row>
    <row r="463" spans="1:16" x14ac:dyDescent="0.25">
      <c r="A463">
        <f>IF(OR('R.M Billets Reports'!A462="Date-",'R.M Billets Reports'!A462="Date:-"),IF(IF(IF(ISNUMBER(SEARCH("Party Name:-",'R.M Billets Reports'!D462)),TRIM('R.M Billets Reports'!F462),IF(ISNUMBER(SEARCH("Party Name-",'R.M Billets Reports'!D462)),TRIM(MID('R.M Billets Reports'!D462,SEARCH("-",'R.M Billets Reports'!D462)+1,200)),""))&lt;&gt;"",IF(ISNUMBER(SEARCH("Party Name:-",'R.M Billets Reports'!D462)),TRIM('R.M Billets Reports'!F462),IF(ISNUMBER(SEARCH("Party Name-",'R.M Billets Reports'!D462)),TRIM(MID('R.M Billets Reports'!D462,SEARCH("-",'R.M Billets Reports'!D462)+1,200)),"")),IF(ISNUMBER(SEARCH("Party Name:-",'R.M Billets Reports'!D463)),TRIM('R.M Billets Reports'!F463),IF(ISNUMBER(SEARCH("Party Name-",'R.M Billets Reports'!D463)),TRIM(MID('R.M Billets Reports'!D463,SEARCH("-",'R.M Billets Reports'!D463)+1,200)),"")))="VRKP ISPAT PVT LTD","VRKP",IF(IF(IF(ISNUMBER(SEARCH("Party Name:-",'R.M Billets Reports'!D462)),TRIM('R.M Billets Reports'!F462),IF(ISNUMBER(SEARCH("Party Name-",'R.M Billets Reports'!D462)),TRIM(MID('R.M Billets Reports'!D462,SEARCH("-",'R.M Billets Reports'!D462)+1,200)),""))&lt;&gt;"",IF(ISNUMBER(SEARCH("Party Name:-",'R.M Billets Reports'!D462)),TRIM('R.M Billets Reports'!F462),IF(ISNUMBER(SEARCH("Party Name-",'R.M Billets Reports'!D462)),TRIM(MID('R.M Billets Reports'!D462,SEARCH("-",'R.M Billets Reports'!D462)+1,200)),"")),IF(ISNUMBER(SEARCH("Party Name:-",'R.M Billets Reports'!D463)),TRIM('R.M Billets Reports'!F463),IF(ISNUMBER(SEARCH("Party Name-",'R.M Billets Reports'!D463)),TRIM(MID('R.M Billets Reports'!D463,SEARCH("-",'R.M Billets Reports'!D463)+1,200)),"")))="SHRI RADHE","SHREE RADHE",IF(IF(IF(ISNUMBER(SEARCH("Party Name:-",'R.M Billets Reports'!D462)),TRIM('R.M Billets Reports'!F462),IF(ISNUMBER(SEARCH("Party Name-",'R.M Billets Reports'!D462)),TRIM(MID('R.M Billets Reports'!D462,SEARCH("-",'R.M Billets Reports'!D462)+1,200)),""))&lt;&gt;"",IF(ISNUMBER(SEARCH("Party Name:-",'R.M Billets Reports'!D462)),TRIM('R.M Billets Reports'!F462),IF(ISNUMBER(SEARCH("Party Name-",'R.M Billets Reports'!D462)),TRIM(MID('R.M Billets Reports'!D462,SEARCH("-",'R.M Billets Reports'!D462)+1,200)),"")),IF(ISNUMBER(SEARCH("Party Name:-",'R.M Billets Reports'!D463)),TRIM('R.M Billets Reports'!F463),IF(ISNUMBER(SEARCH("Party Name-",'R.M Billets Reports'!D463)),TRIM(MID('R.M Billets Reports'!D463,SEARCH("-",'R.M Billets Reports'!D463)+1,200)),"")))="SHREE RADHE SHAKTI SPONGE AND POWER PVT. LTD.","SHREE RADHE",IF(IF(ISNUMBER(SEARCH("Party Name:-",'R.M Billets Reports'!D462)),TRIM('R.M Billets Reports'!F462),IF(ISNUMBER(SEARCH("Party Name-",'R.M Billets Reports'!D462)),TRIM(MID('R.M Billets Reports'!D462,SEARCH("-",'R.M Billets Reports'!D462)+1,200)),""))&lt;&gt;"",IF(ISNUMBER(SEARCH("Party Name:-",'R.M Billets Reports'!D462)),TRIM('R.M Billets Reports'!F462),IF(ISNUMBER(SEARCH("Party Name-",'R.M Billets Reports'!D462)),TRIM(MID('R.M Billets Reports'!D462,SEARCH("-",'R.M Billets Reports'!D462)+1,200)),"")),IF(ISNUMBER(SEARCH("Party Name:-",'R.M Billets Reports'!D463)),TRIM('R.M Billets Reports'!F463),IF(ISNUMBER(SEARCH("Party Name-",'R.M Billets Reports'!D463)),TRIM(MID('R.M Billets Reports'!D463,SEARCH("-",'R.M Billets Reports'!D463)+1,200)),"")))))),IF(ROW()=2,"",A462))</f>
      </c>
      <c r="B463">
        <f>IF(OR('R.M Billets Reports'!A462="Date-",'R.M Billets Reports'!A462="Date:-"),'R.M Billets Reports'!B462,IF(ROW()=2,"",B462))</f>
      </c>
      <c r="C463">
        <f>IF('R.M Billets Reports'!A462="V.No.",'R.M Billets Reports'!B462,IF(ROW()=2,"",C462))</f>
      </c>
      <c r="D463">
        <f>IF('R.M Billets Reports'!A462&lt;&gt;"",'R.M Billets Reports'!A462,IF(ROW()=2,"",D462))</f>
      </c>
      <c r="E463">
        <f>IF('R.M Billets Reports'!B462="","",TRIM('R.M Billets Reports'!B462))</f>
      </c>
      <c r="F463">
        <f>'R.M Billets Reports'!C462</f>
      </c>
      <c r="G463">
        <f>'R.M Billets Reports'!D462</f>
      </c>
      <c r="H463">
        <f>'R.M Billets Reports'!E462</f>
      </c>
      <c r="I463">
        <f>'R.M Billets Reports'!F462</f>
      </c>
      <c r="J463">
        <f>'R.M Billets Reports'!G462</f>
      </c>
      <c r="K463">
        <f>'R.M Billets Reports'!H462</f>
      </c>
      <c r="L463">
        <f>IF('R.M Billets Reports'!I462="","",'R.M Billets Reports'!I462)</f>
      </c>
      <c r="M463">
        <f t="shared" si="14"/>
      </c>
      <c r="N463">
        <f>IF('R.M Billets Reports'!J462="","",'R.M Billets Reports'!J462)</f>
      </c>
      <c r="O463">
        <f t="shared" si="15"/>
      </c>
      <c r="P463">
        <f>IF('R.M Billets Reports'!A462="SIZE",'R.M Billets Reports'!B462,P462)</f>
      </c>
    </row>
    <row r="464" spans="1:16" x14ac:dyDescent="0.25">
      <c r="A464">
        <f>IF(OR('R.M Billets Reports'!A463="Date-",'R.M Billets Reports'!A463="Date:-"),IF(IF(IF(ISNUMBER(SEARCH("Party Name:-",'R.M Billets Reports'!D463)),TRIM('R.M Billets Reports'!F463),IF(ISNUMBER(SEARCH("Party Name-",'R.M Billets Reports'!D463)),TRIM(MID('R.M Billets Reports'!D463,SEARCH("-",'R.M Billets Reports'!D463)+1,200)),""))&lt;&gt;"",IF(ISNUMBER(SEARCH("Party Name:-",'R.M Billets Reports'!D463)),TRIM('R.M Billets Reports'!F463),IF(ISNUMBER(SEARCH("Party Name-",'R.M Billets Reports'!D463)),TRIM(MID('R.M Billets Reports'!D463,SEARCH("-",'R.M Billets Reports'!D463)+1,200)),"")),IF(ISNUMBER(SEARCH("Party Name:-",'R.M Billets Reports'!D464)),TRIM('R.M Billets Reports'!F464),IF(ISNUMBER(SEARCH("Party Name-",'R.M Billets Reports'!D464)),TRIM(MID('R.M Billets Reports'!D464,SEARCH("-",'R.M Billets Reports'!D464)+1,200)),"")))="VRKP ISPAT PVT LTD","VRKP",IF(IF(IF(ISNUMBER(SEARCH("Party Name:-",'R.M Billets Reports'!D463)),TRIM('R.M Billets Reports'!F463),IF(ISNUMBER(SEARCH("Party Name-",'R.M Billets Reports'!D463)),TRIM(MID('R.M Billets Reports'!D463,SEARCH("-",'R.M Billets Reports'!D463)+1,200)),""))&lt;&gt;"",IF(ISNUMBER(SEARCH("Party Name:-",'R.M Billets Reports'!D463)),TRIM('R.M Billets Reports'!F463),IF(ISNUMBER(SEARCH("Party Name-",'R.M Billets Reports'!D463)),TRIM(MID('R.M Billets Reports'!D463,SEARCH("-",'R.M Billets Reports'!D463)+1,200)),"")),IF(ISNUMBER(SEARCH("Party Name:-",'R.M Billets Reports'!D464)),TRIM('R.M Billets Reports'!F464),IF(ISNUMBER(SEARCH("Party Name-",'R.M Billets Reports'!D464)),TRIM(MID('R.M Billets Reports'!D464,SEARCH("-",'R.M Billets Reports'!D464)+1,200)),"")))="SHRI RADHE","SHREE RADHE",IF(IF(IF(ISNUMBER(SEARCH("Party Name:-",'R.M Billets Reports'!D463)),TRIM('R.M Billets Reports'!F463),IF(ISNUMBER(SEARCH("Party Name-",'R.M Billets Reports'!D463)),TRIM(MID('R.M Billets Reports'!D463,SEARCH("-",'R.M Billets Reports'!D463)+1,200)),""))&lt;&gt;"",IF(ISNUMBER(SEARCH("Party Name:-",'R.M Billets Reports'!D463)),TRIM('R.M Billets Reports'!F463),IF(ISNUMBER(SEARCH("Party Name-",'R.M Billets Reports'!D463)),TRIM(MID('R.M Billets Reports'!D463,SEARCH("-",'R.M Billets Reports'!D463)+1,200)),"")),IF(ISNUMBER(SEARCH("Party Name:-",'R.M Billets Reports'!D464)),TRIM('R.M Billets Reports'!F464),IF(ISNUMBER(SEARCH("Party Name-",'R.M Billets Reports'!D464)),TRIM(MID('R.M Billets Reports'!D464,SEARCH("-",'R.M Billets Reports'!D464)+1,200)),"")))="SHREE RADHE SHAKTI SPONGE AND POWER PVT. LTD.","SHREE RADHE",IF(IF(ISNUMBER(SEARCH("Party Name:-",'R.M Billets Reports'!D463)),TRIM('R.M Billets Reports'!F463),IF(ISNUMBER(SEARCH("Party Name-",'R.M Billets Reports'!D463)),TRIM(MID('R.M Billets Reports'!D463,SEARCH("-",'R.M Billets Reports'!D463)+1,200)),""))&lt;&gt;"",IF(ISNUMBER(SEARCH("Party Name:-",'R.M Billets Reports'!D463)),TRIM('R.M Billets Reports'!F463),IF(ISNUMBER(SEARCH("Party Name-",'R.M Billets Reports'!D463)),TRIM(MID('R.M Billets Reports'!D463,SEARCH("-",'R.M Billets Reports'!D463)+1,200)),"")),IF(ISNUMBER(SEARCH("Party Name:-",'R.M Billets Reports'!D464)),TRIM('R.M Billets Reports'!F464),IF(ISNUMBER(SEARCH("Party Name-",'R.M Billets Reports'!D464)),TRIM(MID('R.M Billets Reports'!D464,SEARCH("-",'R.M Billets Reports'!D464)+1,200)),"")))))),IF(ROW()=2,"",A463))</f>
      </c>
      <c r="B464">
        <f>IF(OR('R.M Billets Reports'!A463="Date-",'R.M Billets Reports'!A463="Date:-"),'R.M Billets Reports'!B463,IF(ROW()=2,"",B463))</f>
      </c>
      <c r="C464">
        <f>IF('R.M Billets Reports'!A463="V.No.",'R.M Billets Reports'!B463,IF(ROW()=2,"",C463))</f>
      </c>
      <c r="D464">
        <f>IF('R.M Billets Reports'!A463&lt;&gt;"",'R.M Billets Reports'!A463,IF(ROW()=2,"",D463))</f>
      </c>
      <c r="E464">
        <f>IF('R.M Billets Reports'!B463="","",TRIM('R.M Billets Reports'!B463))</f>
      </c>
      <c r="F464">
        <f>'R.M Billets Reports'!C463</f>
      </c>
      <c r="G464">
        <f>'R.M Billets Reports'!D463</f>
      </c>
      <c r="H464">
        <f>'R.M Billets Reports'!E463</f>
      </c>
      <c r="I464">
        <f>'R.M Billets Reports'!F463</f>
      </c>
      <c r="J464">
        <f>'R.M Billets Reports'!G463</f>
      </c>
      <c r="K464">
        <f>'R.M Billets Reports'!H463</f>
      </c>
      <c r="L464">
        <f>IF('R.M Billets Reports'!I463="","",'R.M Billets Reports'!I463)</f>
      </c>
      <c r="M464">
        <f t="shared" si="14"/>
      </c>
      <c r="N464">
        <f>IF('R.M Billets Reports'!J463="","",'R.M Billets Reports'!J463)</f>
      </c>
      <c r="O464">
        <f t="shared" si="15"/>
      </c>
      <c r="P464">
        <f>IF('R.M Billets Reports'!A463="SIZE",'R.M Billets Reports'!B463,P463)</f>
      </c>
    </row>
    <row r="465" spans="1:16" x14ac:dyDescent="0.25">
      <c r="A465">
        <f>IF(OR('R.M Billets Reports'!A464="Date-",'R.M Billets Reports'!A464="Date:-"),IF(IF(IF(ISNUMBER(SEARCH("Party Name:-",'R.M Billets Reports'!D464)),TRIM('R.M Billets Reports'!F464),IF(ISNUMBER(SEARCH("Party Name-",'R.M Billets Reports'!D464)),TRIM(MID('R.M Billets Reports'!D464,SEARCH("-",'R.M Billets Reports'!D464)+1,200)),""))&lt;&gt;"",IF(ISNUMBER(SEARCH("Party Name:-",'R.M Billets Reports'!D464)),TRIM('R.M Billets Reports'!F464),IF(ISNUMBER(SEARCH("Party Name-",'R.M Billets Reports'!D464)),TRIM(MID('R.M Billets Reports'!D464,SEARCH("-",'R.M Billets Reports'!D464)+1,200)),"")),IF(ISNUMBER(SEARCH("Party Name:-",'R.M Billets Reports'!D465)),TRIM('R.M Billets Reports'!F465),IF(ISNUMBER(SEARCH("Party Name-",'R.M Billets Reports'!D465)),TRIM(MID('R.M Billets Reports'!D465,SEARCH("-",'R.M Billets Reports'!D465)+1,200)),"")))="VRKP ISPAT PVT LTD","VRKP",IF(IF(IF(ISNUMBER(SEARCH("Party Name:-",'R.M Billets Reports'!D464)),TRIM('R.M Billets Reports'!F464),IF(ISNUMBER(SEARCH("Party Name-",'R.M Billets Reports'!D464)),TRIM(MID('R.M Billets Reports'!D464,SEARCH("-",'R.M Billets Reports'!D464)+1,200)),""))&lt;&gt;"",IF(ISNUMBER(SEARCH("Party Name:-",'R.M Billets Reports'!D464)),TRIM('R.M Billets Reports'!F464),IF(ISNUMBER(SEARCH("Party Name-",'R.M Billets Reports'!D464)),TRIM(MID('R.M Billets Reports'!D464,SEARCH("-",'R.M Billets Reports'!D464)+1,200)),"")),IF(ISNUMBER(SEARCH("Party Name:-",'R.M Billets Reports'!D465)),TRIM('R.M Billets Reports'!F465),IF(ISNUMBER(SEARCH("Party Name-",'R.M Billets Reports'!D465)),TRIM(MID('R.M Billets Reports'!D465,SEARCH("-",'R.M Billets Reports'!D465)+1,200)),"")))="SHRI RADHE","SHREE RADHE",IF(IF(IF(ISNUMBER(SEARCH("Party Name:-",'R.M Billets Reports'!D464)),TRIM('R.M Billets Reports'!F464),IF(ISNUMBER(SEARCH("Party Name-",'R.M Billets Reports'!D464)),TRIM(MID('R.M Billets Reports'!D464,SEARCH("-",'R.M Billets Reports'!D464)+1,200)),""))&lt;&gt;"",IF(ISNUMBER(SEARCH("Party Name:-",'R.M Billets Reports'!D464)),TRIM('R.M Billets Reports'!F464),IF(ISNUMBER(SEARCH("Party Name-",'R.M Billets Reports'!D464)),TRIM(MID('R.M Billets Reports'!D464,SEARCH("-",'R.M Billets Reports'!D464)+1,200)),"")),IF(ISNUMBER(SEARCH("Party Name:-",'R.M Billets Reports'!D465)),TRIM('R.M Billets Reports'!F465),IF(ISNUMBER(SEARCH("Party Name-",'R.M Billets Reports'!D465)),TRIM(MID('R.M Billets Reports'!D465,SEARCH("-",'R.M Billets Reports'!D465)+1,200)),"")))="SHREE RADHE SHAKTI SPONGE AND POWER PVT. LTD.","SHREE RADHE",IF(IF(ISNUMBER(SEARCH("Party Name:-",'R.M Billets Reports'!D464)),TRIM('R.M Billets Reports'!F464),IF(ISNUMBER(SEARCH("Party Name-",'R.M Billets Reports'!D464)),TRIM(MID('R.M Billets Reports'!D464,SEARCH("-",'R.M Billets Reports'!D464)+1,200)),""))&lt;&gt;"",IF(ISNUMBER(SEARCH("Party Name:-",'R.M Billets Reports'!D464)),TRIM('R.M Billets Reports'!F464),IF(ISNUMBER(SEARCH("Party Name-",'R.M Billets Reports'!D464)),TRIM(MID('R.M Billets Reports'!D464,SEARCH("-",'R.M Billets Reports'!D464)+1,200)),"")),IF(ISNUMBER(SEARCH("Party Name:-",'R.M Billets Reports'!D465)),TRIM('R.M Billets Reports'!F465),IF(ISNUMBER(SEARCH("Party Name-",'R.M Billets Reports'!D465)),TRIM(MID('R.M Billets Reports'!D465,SEARCH("-",'R.M Billets Reports'!D465)+1,200)),"")))))),IF(ROW()=2,"",A464))</f>
      </c>
      <c r="B465">
        <f>IF(OR('R.M Billets Reports'!A464="Date-",'R.M Billets Reports'!A464="Date:-"),'R.M Billets Reports'!B464,IF(ROW()=2,"",B464))</f>
      </c>
      <c r="C465">
        <f>IF('R.M Billets Reports'!A464="V.No.",'R.M Billets Reports'!B464,IF(ROW()=2,"",C464))</f>
      </c>
      <c r="D465">
        <f>IF('R.M Billets Reports'!A464&lt;&gt;"",'R.M Billets Reports'!A464,IF(ROW()=2,"",D464))</f>
      </c>
      <c r="E465">
        <f>IF('R.M Billets Reports'!B464="","",TRIM('R.M Billets Reports'!B464))</f>
      </c>
      <c r="F465">
        <f>'R.M Billets Reports'!C464</f>
      </c>
      <c r="G465">
        <f>'R.M Billets Reports'!D464</f>
      </c>
      <c r="H465">
        <f>'R.M Billets Reports'!E464</f>
      </c>
      <c r="I465">
        <f>'R.M Billets Reports'!F464</f>
      </c>
      <c r="J465">
        <f>'R.M Billets Reports'!G464</f>
      </c>
      <c r="K465">
        <f>'R.M Billets Reports'!H464</f>
      </c>
      <c r="L465">
        <f>IF('R.M Billets Reports'!I464="","",'R.M Billets Reports'!I464)</f>
      </c>
      <c r="M465">
        <f t="shared" si="14"/>
      </c>
      <c r="N465">
        <f>IF('R.M Billets Reports'!J464="","",'R.M Billets Reports'!J464)</f>
      </c>
      <c r="O465">
        <f t="shared" si="15"/>
      </c>
      <c r="P465">
        <f>IF('R.M Billets Reports'!A464="SIZE",'R.M Billets Reports'!B464,P464)</f>
      </c>
    </row>
    <row r="466" spans="1:16" x14ac:dyDescent="0.25">
      <c r="A466">
        <f>IF(OR('R.M Billets Reports'!A465="Date-",'R.M Billets Reports'!A465="Date:-"),IF(IF(IF(ISNUMBER(SEARCH("Party Name:-",'R.M Billets Reports'!D465)),TRIM('R.M Billets Reports'!F465),IF(ISNUMBER(SEARCH("Party Name-",'R.M Billets Reports'!D465)),TRIM(MID('R.M Billets Reports'!D465,SEARCH("-",'R.M Billets Reports'!D465)+1,200)),""))&lt;&gt;"",IF(ISNUMBER(SEARCH("Party Name:-",'R.M Billets Reports'!D465)),TRIM('R.M Billets Reports'!F465),IF(ISNUMBER(SEARCH("Party Name-",'R.M Billets Reports'!D465)),TRIM(MID('R.M Billets Reports'!D465,SEARCH("-",'R.M Billets Reports'!D465)+1,200)),"")),IF(ISNUMBER(SEARCH("Party Name:-",'R.M Billets Reports'!D466)),TRIM('R.M Billets Reports'!F466),IF(ISNUMBER(SEARCH("Party Name-",'R.M Billets Reports'!D466)),TRIM(MID('R.M Billets Reports'!D466,SEARCH("-",'R.M Billets Reports'!D466)+1,200)),"")))="VRKP ISPAT PVT LTD","VRKP",IF(IF(IF(ISNUMBER(SEARCH("Party Name:-",'R.M Billets Reports'!D465)),TRIM('R.M Billets Reports'!F465),IF(ISNUMBER(SEARCH("Party Name-",'R.M Billets Reports'!D465)),TRIM(MID('R.M Billets Reports'!D465,SEARCH("-",'R.M Billets Reports'!D465)+1,200)),""))&lt;&gt;"",IF(ISNUMBER(SEARCH("Party Name:-",'R.M Billets Reports'!D465)),TRIM('R.M Billets Reports'!F465),IF(ISNUMBER(SEARCH("Party Name-",'R.M Billets Reports'!D465)),TRIM(MID('R.M Billets Reports'!D465,SEARCH("-",'R.M Billets Reports'!D465)+1,200)),"")),IF(ISNUMBER(SEARCH("Party Name:-",'R.M Billets Reports'!D466)),TRIM('R.M Billets Reports'!F466),IF(ISNUMBER(SEARCH("Party Name-",'R.M Billets Reports'!D466)),TRIM(MID('R.M Billets Reports'!D466,SEARCH("-",'R.M Billets Reports'!D466)+1,200)),"")))="SHRI RADHE","SHREE RADHE",IF(IF(IF(ISNUMBER(SEARCH("Party Name:-",'R.M Billets Reports'!D465)),TRIM('R.M Billets Reports'!F465),IF(ISNUMBER(SEARCH("Party Name-",'R.M Billets Reports'!D465)),TRIM(MID('R.M Billets Reports'!D465,SEARCH("-",'R.M Billets Reports'!D465)+1,200)),""))&lt;&gt;"",IF(ISNUMBER(SEARCH("Party Name:-",'R.M Billets Reports'!D465)),TRIM('R.M Billets Reports'!F465),IF(ISNUMBER(SEARCH("Party Name-",'R.M Billets Reports'!D465)),TRIM(MID('R.M Billets Reports'!D465,SEARCH("-",'R.M Billets Reports'!D465)+1,200)),"")),IF(ISNUMBER(SEARCH("Party Name:-",'R.M Billets Reports'!D466)),TRIM('R.M Billets Reports'!F466),IF(ISNUMBER(SEARCH("Party Name-",'R.M Billets Reports'!D466)),TRIM(MID('R.M Billets Reports'!D466,SEARCH("-",'R.M Billets Reports'!D466)+1,200)),"")))="SHREE RADHE SHAKTI SPONGE AND POWER PVT. LTD.","SHREE RADHE",IF(IF(ISNUMBER(SEARCH("Party Name:-",'R.M Billets Reports'!D465)),TRIM('R.M Billets Reports'!F465),IF(ISNUMBER(SEARCH("Party Name-",'R.M Billets Reports'!D465)),TRIM(MID('R.M Billets Reports'!D465,SEARCH("-",'R.M Billets Reports'!D465)+1,200)),""))&lt;&gt;"",IF(ISNUMBER(SEARCH("Party Name:-",'R.M Billets Reports'!D465)),TRIM('R.M Billets Reports'!F465),IF(ISNUMBER(SEARCH("Party Name-",'R.M Billets Reports'!D465)),TRIM(MID('R.M Billets Reports'!D465,SEARCH("-",'R.M Billets Reports'!D465)+1,200)),"")),IF(ISNUMBER(SEARCH("Party Name:-",'R.M Billets Reports'!D466)),TRIM('R.M Billets Reports'!F466),IF(ISNUMBER(SEARCH("Party Name-",'R.M Billets Reports'!D466)),TRIM(MID('R.M Billets Reports'!D466,SEARCH("-",'R.M Billets Reports'!D466)+1,200)),"")))))),IF(ROW()=2,"",A465))</f>
      </c>
      <c r="B466">
        <f>IF(OR('R.M Billets Reports'!A465="Date-",'R.M Billets Reports'!A465="Date:-"),'R.M Billets Reports'!B465,IF(ROW()=2,"",B465))</f>
      </c>
      <c r="C466">
        <f>IF('R.M Billets Reports'!A465="V.No.",'R.M Billets Reports'!B465,IF(ROW()=2,"",C465))</f>
      </c>
      <c r="D466">
        <f>IF('R.M Billets Reports'!A465&lt;&gt;"",'R.M Billets Reports'!A465,IF(ROW()=2,"",D465))</f>
      </c>
      <c r="E466">
        <f>IF('R.M Billets Reports'!B465="","",TRIM('R.M Billets Reports'!B465))</f>
      </c>
      <c r="F466">
        <f>'R.M Billets Reports'!C465</f>
      </c>
      <c r="G466">
        <f>'R.M Billets Reports'!D465</f>
      </c>
      <c r="H466">
        <f>'R.M Billets Reports'!E465</f>
      </c>
      <c r="I466">
        <f>'R.M Billets Reports'!F465</f>
      </c>
      <c r="J466">
        <f>'R.M Billets Reports'!G465</f>
      </c>
      <c r="K466">
        <f>'R.M Billets Reports'!H465</f>
      </c>
      <c r="L466">
        <f>IF('R.M Billets Reports'!I465="","",'R.M Billets Reports'!I465)</f>
      </c>
      <c r="M466">
        <f t="shared" si="14"/>
      </c>
      <c r="N466">
        <f>IF('R.M Billets Reports'!J465="","",'R.M Billets Reports'!J465)</f>
      </c>
      <c r="O466">
        <f t="shared" si="15"/>
      </c>
      <c r="P466">
        <f>IF('R.M Billets Reports'!A465="SIZE",'R.M Billets Reports'!B465,P465)</f>
      </c>
    </row>
    <row r="467" spans="1:16" x14ac:dyDescent="0.25">
      <c r="A467">
        <f>IF(OR('R.M Billets Reports'!A466="Date-",'R.M Billets Reports'!A466="Date:-"),IF(IF(IF(ISNUMBER(SEARCH("Party Name:-",'R.M Billets Reports'!D466)),TRIM('R.M Billets Reports'!F466),IF(ISNUMBER(SEARCH("Party Name-",'R.M Billets Reports'!D466)),TRIM(MID('R.M Billets Reports'!D466,SEARCH("-",'R.M Billets Reports'!D466)+1,200)),""))&lt;&gt;"",IF(ISNUMBER(SEARCH("Party Name:-",'R.M Billets Reports'!D466)),TRIM('R.M Billets Reports'!F466),IF(ISNUMBER(SEARCH("Party Name-",'R.M Billets Reports'!D466)),TRIM(MID('R.M Billets Reports'!D466,SEARCH("-",'R.M Billets Reports'!D466)+1,200)),"")),IF(ISNUMBER(SEARCH("Party Name:-",'R.M Billets Reports'!D467)),TRIM('R.M Billets Reports'!F467),IF(ISNUMBER(SEARCH("Party Name-",'R.M Billets Reports'!D467)),TRIM(MID('R.M Billets Reports'!D467,SEARCH("-",'R.M Billets Reports'!D467)+1,200)),"")))="VRKP ISPAT PVT LTD","VRKP",IF(IF(IF(ISNUMBER(SEARCH("Party Name:-",'R.M Billets Reports'!D466)),TRIM('R.M Billets Reports'!F466),IF(ISNUMBER(SEARCH("Party Name-",'R.M Billets Reports'!D466)),TRIM(MID('R.M Billets Reports'!D466,SEARCH("-",'R.M Billets Reports'!D466)+1,200)),""))&lt;&gt;"",IF(ISNUMBER(SEARCH("Party Name:-",'R.M Billets Reports'!D466)),TRIM('R.M Billets Reports'!F466),IF(ISNUMBER(SEARCH("Party Name-",'R.M Billets Reports'!D466)),TRIM(MID('R.M Billets Reports'!D466,SEARCH("-",'R.M Billets Reports'!D466)+1,200)),"")),IF(ISNUMBER(SEARCH("Party Name:-",'R.M Billets Reports'!D467)),TRIM('R.M Billets Reports'!F467),IF(ISNUMBER(SEARCH("Party Name-",'R.M Billets Reports'!D467)),TRIM(MID('R.M Billets Reports'!D467,SEARCH("-",'R.M Billets Reports'!D467)+1,200)),"")))="SHRI RADHE","SHREE RADHE",IF(IF(IF(ISNUMBER(SEARCH("Party Name:-",'R.M Billets Reports'!D466)),TRIM('R.M Billets Reports'!F466),IF(ISNUMBER(SEARCH("Party Name-",'R.M Billets Reports'!D466)),TRIM(MID('R.M Billets Reports'!D466,SEARCH("-",'R.M Billets Reports'!D466)+1,200)),""))&lt;&gt;"",IF(ISNUMBER(SEARCH("Party Name:-",'R.M Billets Reports'!D466)),TRIM('R.M Billets Reports'!F466),IF(ISNUMBER(SEARCH("Party Name-",'R.M Billets Reports'!D466)),TRIM(MID('R.M Billets Reports'!D466,SEARCH("-",'R.M Billets Reports'!D466)+1,200)),"")),IF(ISNUMBER(SEARCH("Party Name:-",'R.M Billets Reports'!D467)),TRIM('R.M Billets Reports'!F467),IF(ISNUMBER(SEARCH("Party Name-",'R.M Billets Reports'!D467)),TRIM(MID('R.M Billets Reports'!D467,SEARCH("-",'R.M Billets Reports'!D467)+1,200)),"")))="SHREE RADHE SHAKTI SPONGE AND POWER PVT. LTD.","SHREE RADHE",IF(IF(ISNUMBER(SEARCH("Party Name:-",'R.M Billets Reports'!D466)),TRIM('R.M Billets Reports'!F466),IF(ISNUMBER(SEARCH("Party Name-",'R.M Billets Reports'!D466)),TRIM(MID('R.M Billets Reports'!D466,SEARCH("-",'R.M Billets Reports'!D466)+1,200)),""))&lt;&gt;"",IF(ISNUMBER(SEARCH("Party Name:-",'R.M Billets Reports'!D466)),TRIM('R.M Billets Reports'!F466),IF(ISNUMBER(SEARCH("Party Name-",'R.M Billets Reports'!D466)),TRIM(MID('R.M Billets Reports'!D466,SEARCH("-",'R.M Billets Reports'!D466)+1,200)),"")),IF(ISNUMBER(SEARCH("Party Name:-",'R.M Billets Reports'!D467)),TRIM('R.M Billets Reports'!F467),IF(ISNUMBER(SEARCH("Party Name-",'R.M Billets Reports'!D467)),TRIM(MID('R.M Billets Reports'!D467,SEARCH("-",'R.M Billets Reports'!D467)+1,200)),"")))))),IF(ROW()=2,"",A466))</f>
      </c>
      <c r="B467">
        <f>IF(OR('R.M Billets Reports'!A466="Date-",'R.M Billets Reports'!A466="Date:-"),'R.M Billets Reports'!B466,IF(ROW()=2,"",B466))</f>
      </c>
      <c r="C467">
        <f>IF('R.M Billets Reports'!A466="V.No.",'R.M Billets Reports'!B466,IF(ROW()=2,"",C466))</f>
      </c>
      <c r="D467">
        <f>IF('R.M Billets Reports'!A466&lt;&gt;"",'R.M Billets Reports'!A466,IF(ROW()=2,"",D466))</f>
      </c>
      <c r="E467">
        <f>IF('R.M Billets Reports'!B466="","",TRIM('R.M Billets Reports'!B466))</f>
      </c>
      <c r="F467">
        <f>'R.M Billets Reports'!C466</f>
      </c>
      <c r="G467">
        <f>'R.M Billets Reports'!D466</f>
      </c>
      <c r="H467">
        <f>'R.M Billets Reports'!E466</f>
      </c>
      <c r="I467">
        <f>'R.M Billets Reports'!F466</f>
      </c>
      <c r="J467">
        <f>'R.M Billets Reports'!G466</f>
      </c>
      <c r="K467">
        <f>'R.M Billets Reports'!H466</f>
      </c>
      <c r="L467">
        <f>IF('R.M Billets Reports'!I466="","",'R.M Billets Reports'!I466)</f>
      </c>
      <c r="M467">
        <f t="shared" si="14"/>
      </c>
      <c r="N467">
        <f>IF('R.M Billets Reports'!J466="","",'R.M Billets Reports'!J466)</f>
      </c>
      <c r="O467">
        <f t="shared" si="15"/>
      </c>
      <c r="P467">
        <f>IF('R.M Billets Reports'!A466="SIZE",'R.M Billets Reports'!B466,P466)</f>
      </c>
    </row>
    <row r="468" spans="1:16" x14ac:dyDescent="0.25">
      <c r="A468">
        <f>IF(OR('R.M Billets Reports'!A467="Date-",'R.M Billets Reports'!A467="Date:-"),IF(IF(IF(ISNUMBER(SEARCH("Party Name:-",'R.M Billets Reports'!D467)),TRIM('R.M Billets Reports'!F467),IF(ISNUMBER(SEARCH("Party Name-",'R.M Billets Reports'!D467)),TRIM(MID('R.M Billets Reports'!D467,SEARCH("-",'R.M Billets Reports'!D467)+1,200)),""))&lt;&gt;"",IF(ISNUMBER(SEARCH("Party Name:-",'R.M Billets Reports'!D467)),TRIM('R.M Billets Reports'!F467),IF(ISNUMBER(SEARCH("Party Name-",'R.M Billets Reports'!D467)),TRIM(MID('R.M Billets Reports'!D467,SEARCH("-",'R.M Billets Reports'!D467)+1,200)),"")),IF(ISNUMBER(SEARCH("Party Name:-",'R.M Billets Reports'!D468)),TRIM('R.M Billets Reports'!F468),IF(ISNUMBER(SEARCH("Party Name-",'R.M Billets Reports'!D468)),TRIM(MID('R.M Billets Reports'!D468,SEARCH("-",'R.M Billets Reports'!D468)+1,200)),"")))="VRKP ISPAT PVT LTD","VRKP",IF(IF(IF(ISNUMBER(SEARCH("Party Name:-",'R.M Billets Reports'!D467)),TRIM('R.M Billets Reports'!F467),IF(ISNUMBER(SEARCH("Party Name-",'R.M Billets Reports'!D467)),TRIM(MID('R.M Billets Reports'!D467,SEARCH("-",'R.M Billets Reports'!D467)+1,200)),""))&lt;&gt;"",IF(ISNUMBER(SEARCH("Party Name:-",'R.M Billets Reports'!D467)),TRIM('R.M Billets Reports'!F467),IF(ISNUMBER(SEARCH("Party Name-",'R.M Billets Reports'!D467)),TRIM(MID('R.M Billets Reports'!D467,SEARCH("-",'R.M Billets Reports'!D467)+1,200)),"")),IF(ISNUMBER(SEARCH("Party Name:-",'R.M Billets Reports'!D468)),TRIM('R.M Billets Reports'!F468),IF(ISNUMBER(SEARCH("Party Name-",'R.M Billets Reports'!D468)),TRIM(MID('R.M Billets Reports'!D468,SEARCH("-",'R.M Billets Reports'!D468)+1,200)),"")))="SHRI RADHE","SHREE RADHE",IF(IF(IF(ISNUMBER(SEARCH("Party Name:-",'R.M Billets Reports'!D467)),TRIM('R.M Billets Reports'!F467),IF(ISNUMBER(SEARCH("Party Name-",'R.M Billets Reports'!D467)),TRIM(MID('R.M Billets Reports'!D467,SEARCH("-",'R.M Billets Reports'!D467)+1,200)),""))&lt;&gt;"",IF(ISNUMBER(SEARCH("Party Name:-",'R.M Billets Reports'!D467)),TRIM('R.M Billets Reports'!F467),IF(ISNUMBER(SEARCH("Party Name-",'R.M Billets Reports'!D467)),TRIM(MID('R.M Billets Reports'!D467,SEARCH("-",'R.M Billets Reports'!D467)+1,200)),"")),IF(ISNUMBER(SEARCH("Party Name:-",'R.M Billets Reports'!D468)),TRIM('R.M Billets Reports'!F468),IF(ISNUMBER(SEARCH("Party Name-",'R.M Billets Reports'!D468)),TRIM(MID('R.M Billets Reports'!D468,SEARCH("-",'R.M Billets Reports'!D468)+1,200)),"")))="SHREE RADHE SHAKTI SPONGE AND POWER PVT. LTD.","SHREE RADHE",IF(IF(ISNUMBER(SEARCH("Party Name:-",'R.M Billets Reports'!D467)),TRIM('R.M Billets Reports'!F467),IF(ISNUMBER(SEARCH("Party Name-",'R.M Billets Reports'!D467)),TRIM(MID('R.M Billets Reports'!D467,SEARCH("-",'R.M Billets Reports'!D467)+1,200)),""))&lt;&gt;"",IF(ISNUMBER(SEARCH("Party Name:-",'R.M Billets Reports'!D467)),TRIM('R.M Billets Reports'!F467),IF(ISNUMBER(SEARCH("Party Name-",'R.M Billets Reports'!D467)),TRIM(MID('R.M Billets Reports'!D467,SEARCH("-",'R.M Billets Reports'!D467)+1,200)),"")),IF(ISNUMBER(SEARCH("Party Name:-",'R.M Billets Reports'!D468)),TRIM('R.M Billets Reports'!F468),IF(ISNUMBER(SEARCH("Party Name-",'R.M Billets Reports'!D468)),TRIM(MID('R.M Billets Reports'!D468,SEARCH("-",'R.M Billets Reports'!D468)+1,200)),"")))))),IF(ROW()=2,"",A467))</f>
      </c>
      <c r="B468">
        <f>IF(OR('R.M Billets Reports'!A467="Date-",'R.M Billets Reports'!A467="Date:-"),'R.M Billets Reports'!B467,IF(ROW()=2,"",B467))</f>
      </c>
      <c r="C468">
        <f>IF('R.M Billets Reports'!A467="V.No.",'R.M Billets Reports'!B467,IF(ROW()=2,"",C467))</f>
      </c>
      <c r="D468">
        <f>IF('R.M Billets Reports'!A467&lt;&gt;"",'R.M Billets Reports'!A467,IF(ROW()=2,"",D467))</f>
      </c>
      <c r="E468">
        <f>IF('R.M Billets Reports'!B467="","",TRIM('R.M Billets Reports'!B467))</f>
      </c>
      <c r="F468">
        <f>'R.M Billets Reports'!C467</f>
      </c>
      <c r="G468">
        <f>'R.M Billets Reports'!D467</f>
      </c>
      <c r="H468">
        <f>'R.M Billets Reports'!E467</f>
      </c>
      <c r="I468">
        <f>'R.M Billets Reports'!F467</f>
      </c>
      <c r="J468">
        <f>'R.M Billets Reports'!G467</f>
      </c>
      <c r="K468">
        <f>'R.M Billets Reports'!H467</f>
      </c>
      <c r="L468">
        <f>IF('R.M Billets Reports'!I467="","",'R.M Billets Reports'!I467)</f>
      </c>
      <c r="M468">
        <f t="shared" si="14"/>
      </c>
      <c r="N468">
        <f>IF('R.M Billets Reports'!J467="","",'R.M Billets Reports'!J467)</f>
      </c>
      <c r="O468">
        <f t="shared" si="15"/>
      </c>
      <c r="P468">
        <f>IF('R.M Billets Reports'!A467="SIZE",'R.M Billets Reports'!B467,P467)</f>
      </c>
    </row>
    <row r="469" spans="1:16" x14ac:dyDescent="0.25">
      <c r="A469">
        <f>IF(OR('R.M Billets Reports'!A468="Date-",'R.M Billets Reports'!A468="Date:-"),IF(IF(IF(ISNUMBER(SEARCH("Party Name:-",'R.M Billets Reports'!D468)),TRIM('R.M Billets Reports'!F468),IF(ISNUMBER(SEARCH("Party Name-",'R.M Billets Reports'!D468)),TRIM(MID('R.M Billets Reports'!D468,SEARCH("-",'R.M Billets Reports'!D468)+1,200)),""))&lt;&gt;"",IF(ISNUMBER(SEARCH("Party Name:-",'R.M Billets Reports'!D468)),TRIM('R.M Billets Reports'!F468),IF(ISNUMBER(SEARCH("Party Name-",'R.M Billets Reports'!D468)),TRIM(MID('R.M Billets Reports'!D468,SEARCH("-",'R.M Billets Reports'!D468)+1,200)),"")),IF(ISNUMBER(SEARCH("Party Name:-",'R.M Billets Reports'!D469)),TRIM('R.M Billets Reports'!F469),IF(ISNUMBER(SEARCH("Party Name-",'R.M Billets Reports'!D469)),TRIM(MID('R.M Billets Reports'!D469,SEARCH("-",'R.M Billets Reports'!D469)+1,200)),"")))="VRKP ISPAT PVT LTD","VRKP",IF(IF(IF(ISNUMBER(SEARCH("Party Name:-",'R.M Billets Reports'!D468)),TRIM('R.M Billets Reports'!F468),IF(ISNUMBER(SEARCH("Party Name-",'R.M Billets Reports'!D468)),TRIM(MID('R.M Billets Reports'!D468,SEARCH("-",'R.M Billets Reports'!D468)+1,200)),""))&lt;&gt;"",IF(ISNUMBER(SEARCH("Party Name:-",'R.M Billets Reports'!D468)),TRIM('R.M Billets Reports'!F468),IF(ISNUMBER(SEARCH("Party Name-",'R.M Billets Reports'!D468)),TRIM(MID('R.M Billets Reports'!D468,SEARCH("-",'R.M Billets Reports'!D468)+1,200)),"")),IF(ISNUMBER(SEARCH("Party Name:-",'R.M Billets Reports'!D469)),TRIM('R.M Billets Reports'!F469),IF(ISNUMBER(SEARCH("Party Name-",'R.M Billets Reports'!D469)),TRIM(MID('R.M Billets Reports'!D469,SEARCH("-",'R.M Billets Reports'!D469)+1,200)),"")))="SHRI RADHE","SHREE RADHE",IF(IF(IF(ISNUMBER(SEARCH("Party Name:-",'R.M Billets Reports'!D468)),TRIM('R.M Billets Reports'!F468),IF(ISNUMBER(SEARCH("Party Name-",'R.M Billets Reports'!D468)),TRIM(MID('R.M Billets Reports'!D468,SEARCH("-",'R.M Billets Reports'!D468)+1,200)),""))&lt;&gt;"",IF(ISNUMBER(SEARCH("Party Name:-",'R.M Billets Reports'!D468)),TRIM('R.M Billets Reports'!F468),IF(ISNUMBER(SEARCH("Party Name-",'R.M Billets Reports'!D468)),TRIM(MID('R.M Billets Reports'!D468,SEARCH("-",'R.M Billets Reports'!D468)+1,200)),"")),IF(ISNUMBER(SEARCH("Party Name:-",'R.M Billets Reports'!D469)),TRIM('R.M Billets Reports'!F469),IF(ISNUMBER(SEARCH("Party Name-",'R.M Billets Reports'!D469)),TRIM(MID('R.M Billets Reports'!D469,SEARCH("-",'R.M Billets Reports'!D469)+1,200)),"")))="SHREE RADHE SHAKTI SPONGE AND POWER PVT. LTD.","SHREE RADHE",IF(IF(ISNUMBER(SEARCH("Party Name:-",'R.M Billets Reports'!D468)),TRIM('R.M Billets Reports'!F468),IF(ISNUMBER(SEARCH("Party Name-",'R.M Billets Reports'!D468)),TRIM(MID('R.M Billets Reports'!D468,SEARCH("-",'R.M Billets Reports'!D468)+1,200)),""))&lt;&gt;"",IF(ISNUMBER(SEARCH("Party Name:-",'R.M Billets Reports'!D468)),TRIM('R.M Billets Reports'!F468),IF(ISNUMBER(SEARCH("Party Name-",'R.M Billets Reports'!D468)),TRIM(MID('R.M Billets Reports'!D468,SEARCH("-",'R.M Billets Reports'!D468)+1,200)),"")),IF(ISNUMBER(SEARCH("Party Name:-",'R.M Billets Reports'!D469)),TRIM('R.M Billets Reports'!F469),IF(ISNUMBER(SEARCH("Party Name-",'R.M Billets Reports'!D469)),TRIM(MID('R.M Billets Reports'!D469,SEARCH("-",'R.M Billets Reports'!D469)+1,200)),"")))))),IF(ROW()=2,"",A468))</f>
      </c>
      <c r="B469">
        <f>IF(OR('R.M Billets Reports'!A468="Date-",'R.M Billets Reports'!A468="Date:-"),'R.M Billets Reports'!B468,IF(ROW()=2,"",B468))</f>
      </c>
      <c r="C469">
        <f>IF('R.M Billets Reports'!A468="V.No.",'R.M Billets Reports'!B468,IF(ROW()=2,"",C468))</f>
      </c>
      <c r="D469">
        <f>IF('R.M Billets Reports'!A468&lt;&gt;"",'R.M Billets Reports'!A468,IF(ROW()=2,"",D468))</f>
      </c>
      <c r="E469">
        <f>IF('R.M Billets Reports'!B468="","",TRIM('R.M Billets Reports'!B468))</f>
      </c>
      <c r="F469">
        <f>'R.M Billets Reports'!C468</f>
      </c>
      <c r="G469">
        <f>'R.M Billets Reports'!D468</f>
      </c>
      <c r="H469">
        <f>'R.M Billets Reports'!E468</f>
      </c>
      <c r="I469">
        <f>'R.M Billets Reports'!F468</f>
      </c>
      <c r="J469">
        <f>'R.M Billets Reports'!G468</f>
      </c>
      <c r="K469">
        <f>'R.M Billets Reports'!H468</f>
      </c>
      <c r="L469">
        <f>IF('R.M Billets Reports'!I468="","",'R.M Billets Reports'!I468)</f>
      </c>
      <c r="M469">
        <f t="shared" si="14"/>
      </c>
      <c r="N469">
        <f>IF('R.M Billets Reports'!J468="","",'R.M Billets Reports'!J468)</f>
      </c>
      <c r="O469">
        <f t="shared" si="15"/>
      </c>
      <c r="P469">
        <f>IF('R.M Billets Reports'!A468="SIZE",'R.M Billets Reports'!B468,P468)</f>
      </c>
    </row>
    <row r="470" spans="1:16" x14ac:dyDescent="0.25">
      <c r="A470">
        <f>IF(OR('R.M Billets Reports'!A469="Date-",'R.M Billets Reports'!A469="Date:-"),IF(IF(IF(ISNUMBER(SEARCH("Party Name:-",'R.M Billets Reports'!D469)),TRIM('R.M Billets Reports'!F469),IF(ISNUMBER(SEARCH("Party Name-",'R.M Billets Reports'!D469)),TRIM(MID('R.M Billets Reports'!D469,SEARCH("-",'R.M Billets Reports'!D469)+1,200)),""))&lt;&gt;"",IF(ISNUMBER(SEARCH("Party Name:-",'R.M Billets Reports'!D469)),TRIM('R.M Billets Reports'!F469),IF(ISNUMBER(SEARCH("Party Name-",'R.M Billets Reports'!D469)),TRIM(MID('R.M Billets Reports'!D469,SEARCH("-",'R.M Billets Reports'!D469)+1,200)),"")),IF(ISNUMBER(SEARCH("Party Name:-",'R.M Billets Reports'!D470)),TRIM('R.M Billets Reports'!F470),IF(ISNUMBER(SEARCH("Party Name-",'R.M Billets Reports'!D470)),TRIM(MID('R.M Billets Reports'!D470,SEARCH("-",'R.M Billets Reports'!D470)+1,200)),"")))="VRKP ISPAT PVT LTD","VRKP",IF(IF(IF(ISNUMBER(SEARCH("Party Name:-",'R.M Billets Reports'!D469)),TRIM('R.M Billets Reports'!F469),IF(ISNUMBER(SEARCH("Party Name-",'R.M Billets Reports'!D469)),TRIM(MID('R.M Billets Reports'!D469,SEARCH("-",'R.M Billets Reports'!D469)+1,200)),""))&lt;&gt;"",IF(ISNUMBER(SEARCH("Party Name:-",'R.M Billets Reports'!D469)),TRIM('R.M Billets Reports'!F469),IF(ISNUMBER(SEARCH("Party Name-",'R.M Billets Reports'!D469)),TRIM(MID('R.M Billets Reports'!D469,SEARCH("-",'R.M Billets Reports'!D469)+1,200)),"")),IF(ISNUMBER(SEARCH("Party Name:-",'R.M Billets Reports'!D470)),TRIM('R.M Billets Reports'!F470),IF(ISNUMBER(SEARCH("Party Name-",'R.M Billets Reports'!D470)),TRIM(MID('R.M Billets Reports'!D470,SEARCH("-",'R.M Billets Reports'!D470)+1,200)),"")))="SHRI RADHE","SHREE RADHE",IF(IF(IF(ISNUMBER(SEARCH("Party Name:-",'R.M Billets Reports'!D469)),TRIM('R.M Billets Reports'!F469),IF(ISNUMBER(SEARCH("Party Name-",'R.M Billets Reports'!D469)),TRIM(MID('R.M Billets Reports'!D469,SEARCH("-",'R.M Billets Reports'!D469)+1,200)),""))&lt;&gt;"",IF(ISNUMBER(SEARCH("Party Name:-",'R.M Billets Reports'!D469)),TRIM('R.M Billets Reports'!F469),IF(ISNUMBER(SEARCH("Party Name-",'R.M Billets Reports'!D469)),TRIM(MID('R.M Billets Reports'!D469,SEARCH("-",'R.M Billets Reports'!D469)+1,200)),"")),IF(ISNUMBER(SEARCH("Party Name:-",'R.M Billets Reports'!D470)),TRIM('R.M Billets Reports'!F470),IF(ISNUMBER(SEARCH("Party Name-",'R.M Billets Reports'!D470)),TRIM(MID('R.M Billets Reports'!D470,SEARCH("-",'R.M Billets Reports'!D470)+1,200)),"")))="SHREE RADHE SHAKTI SPONGE AND POWER PVT. LTD.","SHREE RADHE",IF(IF(ISNUMBER(SEARCH("Party Name:-",'R.M Billets Reports'!D469)),TRIM('R.M Billets Reports'!F469),IF(ISNUMBER(SEARCH("Party Name-",'R.M Billets Reports'!D469)),TRIM(MID('R.M Billets Reports'!D469,SEARCH("-",'R.M Billets Reports'!D469)+1,200)),""))&lt;&gt;"",IF(ISNUMBER(SEARCH("Party Name:-",'R.M Billets Reports'!D469)),TRIM('R.M Billets Reports'!F469),IF(ISNUMBER(SEARCH("Party Name-",'R.M Billets Reports'!D469)),TRIM(MID('R.M Billets Reports'!D469,SEARCH("-",'R.M Billets Reports'!D469)+1,200)),"")),IF(ISNUMBER(SEARCH("Party Name:-",'R.M Billets Reports'!D470)),TRIM('R.M Billets Reports'!F470),IF(ISNUMBER(SEARCH("Party Name-",'R.M Billets Reports'!D470)),TRIM(MID('R.M Billets Reports'!D470,SEARCH("-",'R.M Billets Reports'!D470)+1,200)),"")))))),IF(ROW()=2,"",A469))</f>
      </c>
      <c r="B470">
        <f>IF(OR('R.M Billets Reports'!A469="Date-",'R.M Billets Reports'!A469="Date:-"),'R.M Billets Reports'!B469,IF(ROW()=2,"",B469))</f>
      </c>
      <c r="C470">
        <f>IF('R.M Billets Reports'!A469="V.No.",'R.M Billets Reports'!B469,IF(ROW()=2,"",C469))</f>
      </c>
      <c r="D470">
        <f>IF('R.M Billets Reports'!A469&lt;&gt;"",'R.M Billets Reports'!A469,IF(ROW()=2,"",D469))</f>
      </c>
      <c r="E470">
        <f>IF('R.M Billets Reports'!B469="","",TRIM('R.M Billets Reports'!B469))</f>
      </c>
      <c r="F470">
        <f>'R.M Billets Reports'!C469</f>
      </c>
      <c r="G470">
        <f>'R.M Billets Reports'!D469</f>
      </c>
      <c r="H470">
        <f>'R.M Billets Reports'!E469</f>
      </c>
      <c r="I470">
        <f>'R.M Billets Reports'!F469</f>
      </c>
      <c r="J470">
        <f>'R.M Billets Reports'!G469</f>
      </c>
      <c r="K470">
        <f>'R.M Billets Reports'!H469</f>
      </c>
      <c r="L470">
        <f>IF('R.M Billets Reports'!I469="","",'R.M Billets Reports'!I469)</f>
      </c>
      <c r="M470">
        <f t="shared" si="14"/>
      </c>
      <c r="N470">
        <f>IF('R.M Billets Reports'!J469="","",'R.M Billets Reports'!J469)</f>
      </c>
      <c r="O470">
        <f t="shared" si="15"/>
      </c>
      <c r="P470">
        <f>IF('R.M Billets Reports'!A469="SIZE",'R.M Billets Reports'!B469,P469)</f>
      </c>
    </row>
    <row r="471" spans="1:16" x14ac:dyDescent="0.25">
      <c r="A471">
        <f>IF(OR('R.M Billets Reports'!A470="Date-",'R.M Billets Reports'!A470="Date:-"),IF(IF(IF(ISNUMBER(SEARCH("Party Name:-",'R.M Billets Reports'!D470)),TRIM('R.M Billets Reports'!F470),IF(ISNUMBER(SEARCH("Party Name-",'R.M Billets Reports'!D470)),TRIM(MID('R.M Billets Reports'!D470,SEARCH("-",'R.M Billets Reports'!D470)+1,200)),""))&lt;&gt;"",IF(ISNUMBER(SEARCH("Party Name:-",'R.M Billets Reports'!D470)),TRIM('R.M Billets Reports'!F470),IF(ISNUMBER(SEARCH("Party Name-",'R.M Billets Reports'!D470)),TRIM(MID('R.M Billets Reports'!D470,SEARCH("-",'R.M Billets Reports'!D470)+1,200)),"")),IF(ISNUMBER(SEARCH("Party Name:-",'R.M Billets Reports'!D471)),TRIM('R.M Billets Reports'!F471),IF(ISNUMBER(SEARCH("Party Name-",'R.M Billets Reports'!D471)),TRIM(MID('R.M Billets Reports'!D471,SEARCH("-",'R.M Billets Reports'!D471)+1,200)),"")))="VRKP ISPAT PVT LTD","VRKP",IF(IF(IF(ISNUMBER(SEARCH("Party Name:-",'R.M Billets Reports'!D470)),TRIM('R.M Billets Reports'!F470),IF(ISNUMBER(SEARCH("Party Name-",'R.M Billets Reports'!D470)),TRIM(MID('R.M Billets Reports'!D470,SEARCH("-",'R.M Billets Reports'!D470)+1,200)),""))&lt;&gt;"",IF(ISNUMBER(SEARCH("Party Name:-",'R.M Billets Reports'!D470)),TRIM('R.M Billets Reports'!F470),IF(ISNUMBER(SEARCH("Party Name-",'R.M Billets Reports'!D470)),TRIM(MID('R.M Billets Reports'!D470,SEARCH("-",'R.M Billets Reports'!D470)+1,200)),"")),IF(ISNUMBER(SEARCH("Party Name:-",'R.M Billets Reports'!D471)),TRIM('R.M Billets Reports'!F471),IF(ISNUMBER(SEARCH("Party Name-",'R.M Billets Reports'!D471)),TRIM(MID('R.M Billets Reports'!D471,SEARCH("-",'R.M Billets Reports'!D471)+1,200)),"")))="SHRI RADHE","SHREE RADHE",IF(IF(IF(ISNUMBER(SEARCH("Party Name:-",'R.M Billets Reports'!D470)),TRIM('R.M Billets Reports'!F470),IF(ISNUMBER(SEARCH("Party Name-",'R.M Billets Reports'!D470)),TRIM(MID('R.M Billets Reports'!D470,SEARCH("-",'R.M Billets Reports'!D470)+1,200)),""))&lt;&gt;"",IF(ISNUMBER(SEARCH("Party Name:-",'R.M Billets Reports'!D470)),TRIM('R.M Billets Reports'!F470),IF(ISNUMBER(SEARCH("Party Name-",'R.M Billets Reports'!D470)),TRIM(MID('R.M Billets Reports'!D470,SEARCH("-",'R.M Billets Reports'!D470)+1,200)),"")),IF(ISNUMBER(SEARCH("Party Name:-",'R.M Billets Reports'!D471)),TRIM('R.M Billets Reports'!F471),IF(ISNUMBER(SEARCH("Party Name-",'R.M Billets Reports'!D471)),TRIM(MID('R.M Billets Reports'!D471,SEARCH("-",'R.M Billets Reports'!D471)+1,200)),"")))="SHREE RADHE SHAKTI SPONGE AND POWER PVT. LTD.","SHREE RADHE",IF(IF(ISNUMBER(SEARCH("Party Name:-",'R.M Billets Reports'!D470)),TRIM('R.M Billets Reports'!F470),IF(ISNUMBER(SEARCH("Party Name-",'R.M Billets Reports'!D470)),TRIM(MID('R.M Billets Reports'!D470,SEARCH("-",'R.M Billets Reports'!D470)+1,200)),""))&lt;&gt;"",IF(ISNUMBER(SEARCH("Party Name:-",'R.M Billets Reports'!D470)),TRIM('R.M Billets Reports'!F470),IF(ISNUMBER(SEARCH("Party Name-",'R.M Billets Reports'!D470)),TRIM(MID('R.M Billets Reports'!D470,SEARCH("-",'R.M Billets Reports'!D470)+1,200)),"")),IF(ISNUMBER(SEARCH("Party Name:-",'R.M Billets Reports'!D471)),TRIM('R.M Billets Reports'!F471),IF(ISNUMBER(SEARCH("Party Name-",'R.M Billets Reports'!D471)),TRIM(MID('R.M Billets Reports'!D471,SEARCH("-",'R.M Billets Reports'!D471)+1,200)),"")))))),IF(ROW()=2,"",A470))</f>
      </c>
      <c r="B471">
        <f>IF(OR('R.M Billets Reports'!A470="Date-",'R.M Billets Reports'!A470="Date:-"),'R.M Billets Reports'!B470,IF(ROW()=2,"",B470))</f>
      </c>
      <c r="C471">
        <f>IF('R.M Billets Reports'!A470="V.No.",'R.M Billets Reports'!B470,IF(ROW()=2,"",C470))</f>
      </c>
      <c r="D471">
        <f>IF('R.M Billets Reports'!A470&lt;&gt;"",'R.M Billets Reports'!A470,IF(ROW()=2,"",D470))</f>
      </c>
      <c r="E471">
        <f>IF('R.M Billets Reports'!B470="","",TRIM('R.M Billets Reports'!B470))</f>
      </c>
      <c r="F471">
        <f>'R.M Billets Reports'!C470</f>
      </c>
      <c r="G471">
        <f>'R.M Billets Reports'!D470</f>
      </c>
      <c r="H471">
        <f>'R.M Billets Reports'!E470</f>
      </c>
      <c r="I471">
        <f>'R.M Billets Reports'!F470</f>
      </c>
      <c r="J471">
        <f>'R.M Billets Reports'!G470</f>
      </c>
      <c r="K471">
        <f>'R.M Billets Reports'!H470</f>
      </c>
      <c r="L471">
        <f>IF('R.M Billets Reports'!I470="","",'R.M Billets Reports'!I470)</f>
      </c>
      <c r="M471">
        <f t="shared" si="14"/>
      </c>
      <c r="N471">
        <f>IF('R.M Billets Reports'!J470="","",'R.M Billets Reports'!J470)</f>
      </c>
      <c r="O471">
        <f t="shared" si="15"/>
      </c>
      <c r="P471">
        <f>IF('R.M Billets Reports'!A470="SIZE",'R.M Billets Reports'!B470,P470)</f>
      </c>
    </row>
    <row r="472" spans="1:16" x14ac:dyDescent="0.25">
      <c r="A472">
        <f>IF(OR('R.M Billets Reports'!A471="Date-",'R.M Billets Reports'!A471="Date:-"),IF(IF(IF(ISNUMBER(SEARCH("Party Name:-",'R.M Billets Reports'!D471)),TRIM('R.M Billets Reports'!F471),IF(ISNUMBER(SEARCH("Party Name-",'R.M Billets Reports'!D471)),TRIM(MID('R.M Billets Reports'!D471,SEARCH("-",'R.M Billets Reports'!D471)+1,200)),""))&lt;&gt;"",IF(ISNUMBER(SEARCH("Party Name:-",'R.M Billets Reports'!D471)),TRIM('R.M Billets Reports'!F471),IF(ISNUMBER(SEARCH("Party Name-",'R.M Billets Reports'!D471)),TRIM(MID('R.M Billets Reports'!D471,SEARCH("-",'R.M Billets Reports'!D471)+1,200)),"")),IF(ISNUMBER(SEARCH("Party Name:-",'R.M Billets Reports'!D472)),TRIM('R.M Billets Reports'!F472),IF(ISNUMBER(SEARCH("Party Name-",'R.M Billets Reports'!D472)),TRIM(MID('R.M Billets Reports'!D472,SEARCH("-",'R.M Billets Reports'!D472)+1,200)),"")))="VRKP ISPAT PVT LTD","VRKP",IF(IF(IF(ISNUMBER(SEARCH("Party Name:-",'R.M Billets Reports'!D471)),TRIM('R.M Billets Reports'!F471),IF(ISNUMBER(SEARCH("Party Name-",'R.M Billets Reports'!D471)),TRIM(MID('R.M Billets Reports'!D471,SEARCH("-",'R.M Billets Reports'!D471)+1,200)),""))&lt;&gt;"",IF(ISNUMBER(SEARCH("Party Name:-",'R.M Billets Reports'!D471)),TRIM('R.M Billets Reports'!F471),IF(ISNUMBER(SEARCH("Party Name-",'R.M Billets Reports'!D471)),TRIM(MID('R.M Billets Reports'!D471,SEARCH("-",'R.M Billets Reports'!D471)+1,200)),"")),IF(ISNUMBER(SEARCH("Party Name:-",'R.M Billets Reports'!D472)),TRIM('R.M Billets Reports'!F472),IF(ISNUMBER(SEARCH("Party Name-",'R.M Billets Reports'!D472)),TRIM(MID('R.M Billets Reports'!D472,SEARCH("-",'R.M Billets Reports'!D472)+1,200)),"")))="SHRI RADHE","SHREE RADHE",IF(IF(IF(ISNUMBER(SEARCH("Party Name:-",'R.M Billets Reports'!D471)),TRIM('R.M Billets Reports'!F471),IF(ISNUMBER(SEARCH("Party Name-",'R.M Billets Reports'!D471)),TRIM(MID('R.M Billets Reports'!D471,SEARCH("-",'R.M Billets Reports'!D471)+1,200)),""))&lt;&gt;"",IF(ISNUMBER(SEARCH("Party Name:-",'R.M Billets Reports'!D471)),TRIM('R.M Billets Reports'!F471),IF(ISNUMBER(SEARCH("Party Name-",'R.M Billets Reports'!D471)),TRIM(MID('R.M Billets Reports'!D471,SEARCH("-",'R.M Billets Reports'!D471)+1,200)),"")),IF(ISNUMBER(SEARCH("Party Name:-",'R.M Billets Reports'!D472)),TRIM('R.M Billets Reports'!F472),IF(ISNUMBER(SEARCH("Party Name-",'R.M Billets Reports'!D472)),TRIM(MID('R.M Billets Reports'!D472,SEARCH("-",'R.M Billets Reports'!D472)+1,200)),"")))="SHREE RADHE SHAKTI SPONGE AND POWER PVT. LTD.","SHREE RADHE",IF(IF(ISNUMBER(SEARCH("Party Name:-",'R.M Billets Reports'!D471)),TRIM('R.M Billets Reports'!F471),IF(ISNUMBER(SEARCH("Party Name-",'R.M Billets Reports'!D471)),TRIM(MID('R.M Billets Reports'!D471,SEARCH("-",'R.M Billets Reports'!D471)+1,200)),""))&lt;&gt;"",IF(ISNUMBER(SEARCH("Party Name:-",'R.M Billets Reports'!D471)),TRIM('R.M Billets Reports'!F471),IF(ISNUMBER(SEARCH("Party Name-",'R.M Billets Reports'!D471)),TRIM(MID('R.M Billets Reports'!D471,SEARCH("-",'R.M Billets Reports'!D471)+1,200)),"")),IF(ISNUMBER(SEARCH("Party Name:-",'R.M Billets Reports'!D472)),TRIM('R.M Billets Reports'!F472),IF(ISNUMBER(SEARCH("Party Name-",'R.M Billets Reports'!D472)),TRIM(MID('R.M Billets Reports'!D472,SEARCH("-",'R.M Billets Reports'!D472)+1,200)),"")))))),IF(ROW()=2,"",A471))</f>
      </c>
      <c r="B472">
        <f>IF(OR('R.M Billets Reports'!A471="Date-",'R.M Billets Reports'!A471="Date:-"),'R.M Billets Reports'!B471,IF(ROW()=2,"",B471))</f>
      </c>
      <c r="C472">
        <f>IF('R.M Billets Reports'!A471="V.No.",'R.M Billets Reports'!B471,IF(ROW()=2,"",C471))</f>
      </c>
      <c r="D472">
        <f>IF('R.M Billets Reports'!A471&lt;&gt;"",'R.M Billets Reports'!A471,IF(ROW()=2,"",D471))</f>
      </c>
      <c r="E472">
        <f>IF('R.M Billets Reports'!B471="","",TRIM('R.M Billets Reports'!B471))</f>
      </c>
      <c r="F472">
        <f>'R.M Billets Reports'!C471</f>
      </c>
      <c r="G472">
        <f>'R.M Billets Reports'!D471</f>
      </c>
      <c r="H472">
        <f>'R.M Billets Reports'!E471</f>
      </c>
      <c r="I472">
        <f>'R.M Billets Reports'!F471</f>
      </c>
      <c r="J472">
        <f>'R.M Billets Reports'!G471</f>
      </c>
      <c r="K472">
        <f>'R.M Billets Reports'!H471</f>
      </c>
      <c r="L472">
        <f>IF('R.M Billets Reports'!I471="","",'R.M Billets Reports'!I471)</f>
      </c>
      <c r="M472">
        <f t="shared" si="14"/>
      </c>
      <c r="N472">
        <f>IF('R.M Billets Reports'!J471="","",'R.M Billets Reports'!J471)</f>
      </c>
      <c r="O472">
        <f t="shared" si="15"/>
      </c>
      <c r="P472">
        <f>IF('R.M Billets Reports'!A471="SIZE",'R.M Billets Reports'!B471,P471)</f>
      </c>
    </row>
    <row r="473" spans="1:16" x14ac:dyDescent="0.25">
      <c r="A473">
        <f>IF(OR('R.M Billets Reports'!A472="Date-",'R.M Billets Reports'!A472="Date:-"),IF(IF(IF(ISNUMBER(SEARCH("Party Name:-",'R.M Billets Reports'!D472)),TRIM('R.M Billets Reports'!F472),IF(ISNUMBER(SEARCH("Party Name-",'R.M Billets Reports'!D472)),TRIM(MID('R.M Billets Reports'!D472,SEARCH("-",'R.M Billets Reports'!D472)+1,200)),""))&lt;&gt;"",IF(ISNUMBER(SEARCH("Party Name:-",'R.M Billets Reports'!D472)),TRIM('R.M Billets Reports'!F472),IF(ISNUMBER(SEARCH("Party Name-",'R.M Billets Reports'!D472)),TRIM(MID('R.M Billets Reports'!D472,SEARCH("-",'R.M Billets Reports'!D472)+1,200)),"")),IF(ISNUMBER(SEARCH("Party Name:-",'R.M Billets Reports'!D473)),TRIM('R.M Billets Reports'!F473),IF(ISNUMBER(SEARCH("Party Name-",'R.M Billets Reports'!D473)),TRIM(MID('R.M Billets Reports'!D473,SEARCH("-",'R.M Billets Reports'!D473)+1,200)),"")))="VRKP ISPAT PVT LTD","VRKP",IF(IF(IF(ISNUMBER(SEARCH("Party Name:-",'R.M Billets Reports'!D472)),TRIM('R.M Billets Reports'!F472),IF(ISNUMBER(SEARCH("Party Name-",'R.M Billets Reports'!D472)),TRIM(MID('R.M Billets Reports'!D472,SEARCH("-",'R.M Billets Reports'!D472)+1,200)),""))&lt;&gt;"",IF(ISNUMBER(SEARCH("Party Name:-",'R.M Billets Reports'!D472)),TRIM('R.M Billets Reports'!F472),IF(ISNUMBER(SEARCH("Party Name-",'R.M Billets Reports'!D472)),TRIM(MID('R.M Billets Reports'!D472,SEARCH("-",'R.M Billets Reports'!D472)+1,200)),"")),IF(ISNUMBER(SEARCH("Party Name:-",'R.M Billets Reports'!D473)),TRIM('R.M Billets Reports'!F473),IF(ISNUMBER(SEARCH("Party Name-",'R.M Billets Reports'!D473)),TRIM(MID('R.M Billets Reports'!D473,SEARCH("-",'R.M Billets Reports'!D473)+1,200)),"")))="SHRI RADHE","SHREE RADHE",IF(IF(IF(ISNUMBER(SEARCH("Party Name:-",'R.M Billets Reports'!D472)),TRIM('R.M Billets Reports'!F472),IF(ISNUMBER(SEARCH("Party Name-",'R.M Billets Reports'!D472)),TRIM(MID('R.M Billets Reports'!D472,SEARCH("-",'R.M Billets Reports'!D472)+1,200)),""))&lt;&gt;"",IF(ISNUMBER(SEARCH("Party Name:-",'R.M Billets Reports'!D472)),TRIM('R.M Billets Reports'!F472),IF(ISNUMBER(SEARCH("Party Name-",'R.M Billets Reports'!D472)),TRIM(MID('R.M Billets Reports'!D472,SEARCH("-",'R.M Billets Reports'!D472)+1,200)),"")),IF(ISNUMBER(SEARCH("Party Name:-",'R.M Billets Reports'!D473)),TRIM('R.M Billets Reports'!F473),IF(ISNUMBER(SEARCH("Party Name-",'R.M Billets Reports'!D473)),TRIM(MID('R.M Billets Reports'!D473,SEARCH("-",'R.M Billets Reports'!D473)+1,200)),"")))="SHREE RADHE SHAKTI SPONGE AND POWER PVT. LTD.","SHREE RADHE",IF(IF(ISNUMBER(SEARCH("Party Name:-",'R.M Billets Reports'!D472)),TRIM('R.M Billets Reports'!F472),IF(ISNUMBER(SEARCH("Party Name-",'R.M Billets Reports'!D472)),TRIM(MID('R.M Billets Reports'!D472,SEARCH("-",'R.M Billets Reports'!D472)+1,200)),""))&lt;&gt;"",IF(ISNUMBER(SEARCH("Party Name:-",'R.M Billets Reports'!D472)),TRIM('R.M Billets Reports'!F472),IF(ISNUMBER(SEARCH("Party Name-",'R.M Billets Reports'!D472)),TRIM(MID('R.M Billets Reports'!D472,SEARCH("-",'R.M Billets Reports'!D472)+1,200)),"")),IF(ISNUMBER(SEARCH("Party Name:-",'R.M Billets Reports'!D473)),TRIM('R.M Billets Reports'!F473),IF(ISNUMBER(SEARCH("Party Name-",'R.M Billets Reports'!D473)),TRIM(MID('R.M Billets Reports'!D473,SEARCH("-",'R.M Billets Reports'!D473)+1,200)),"")))))),IF(ROW()=2,"",A472))</f>
      </c>
      <c r="B473">
        <f>IF(OR('R.M Billets Reports'!A472="Date-",'R.M Billets Reports'!A472="Date:-"),'R.M Billets Reports'!B472,IF(ROW()=2,"",B472))</f>
      </c>
      <c r="C473">
        <f>IF('R.M Billets Reports'!A472="V.No.",'R.M Billets Reports'!B472,IF(ROW()=2,"",C472))</f>
      </c>
      <c r="D473">
        <f>IF('R.M Billets Reports'!A472&lt;&gt;"",'R.M Billets Reports'!A472,IF(ROW()=2,"",D472))</f>
      </c>
      <c r="E473">
        <f>IF('R.M Billets Reports'!B472="","",TRIM('R.M Billets Reports'!B472))</f>
      </c>
      <c r="F473">
        <f>'R.M Billets Reports'!C472</f>
      </c>
      <c r="G473">
        <f>'R.M Billets Reports'!D472</f>
      </c>
      <c r="H473">
        <f>'R.M Billets Reports'!E472</f>
      </c>
      <c r="I473">
        <f>'R.M Billets Reports'!F472</f>
      </c>
      <c r="J473">
        <f>'R.M Billets Reports'!G472</f>
      </c>
      <c r="K473">
        <f>'R.M Billets Reports'!H472</f>
      </c>
      <c r="L473">
        <f>IF('R.M Billets Reports'!I472="","",'R.M Billets Reports'!I472)</f>
      </c>
      <c r="M473">
        <f t="shared" si="14"/>
      </c>
      <c r="N473">
        <f>IF('R.M Billets Reports'!J472="","",'R.M Billets Reports'!J472)</f>
      </c>
      <c r="O473">
        <f t="shared" si="15"/>
      </c>
      <c r="P473">
        <f>IF('R.M Billets Reports'!A472="SIZE",'R.M Billets Reports'!B472,P472)</f>
      </c>
    </row>
    <row r="474" spans="1:16" x14ac:dyDescent="0.25">
      <c r="A474">
        <f>IF(OR('R.M Billets Reports'!A473="Date-",'R.M Billets Reports'!A473="Date:-"),IF(IF(IF(ISNUMBER(SEARCH("Party Name:-",'R.M Billets Reports'!D473)),TRIM('R.M Billets Reports'!F473),IF(ISNUMBER(SEARCH("Party Name-",'R.M Billets Reports'!D473)),TRIM(MID('R.M Billets Reports'!D473,SEARCH("-",'R.M Billets Reports'!D473)+1,200)),""))&lt;&gt;"",IF(ISNUMBER(SEARCH("Party Name:-",'R.M Billets Reports'!D473)),TRIM('R.M Billets Reports'!F473),IF(ISNUMBER(SEARCH("Party Name-",'R.M Billets Reports'!D473)),TRIM(MID('R.M Billets Reports'!D473,SEARCH("-",'R.M Billets Reports'!D473)+1,200)),"")),IF(ISNUMBER(SEARCH("Party Name:-",'R.M Billets Reports'!D474)),TRIM('R.M Billets Reports'!F474),IF(ISNUMBER(SEARCH("Party Name-",'R.M Billets Reports'!D474)),TRIM(MID('R.M Billets Reports'!D474,SEARCH("-",'R.M Billets Reports'!D474)+1,200)),"")))="VRKP ISPAT PVT LTD","VRKP",IF(IF(IF(ISNUMBER(SEARCH("Party Name:-",'R.M Billets Reports'!D473)),TRIM('R.M Billets Reports'!F473),IF(ISNUMBER(SEARCH("Party Name-",'R.M Billets Reports'!D473)),TRIM(MID('R.M Billets Reports'!D473,SEARCH("-",'R.M Billets Reports'!D473)+1,200)),""))&lt;&gt;"",IF(ISNUMBER(SEARCH("Party Name:-",'R.M Billets Reports'!D473)),TRIM('R.M Billets Reports'!F473),IF(ISNUMBER(SEARCH("Party Name-",'R.M Billets Reports'!D473)),TRIM(MID('R.M Billets Reports'!D473,SEARCH("-",'R.M Billets Reports'!D473)+1,200)),"")),IF(ISNUMBER(SEARCH("Party Name:-",'R.M Billets Reports'!D474)),TRIM('R.M Billets Reports'!F474),IF(ISNUMBER(SEARCH("Party Name-",'R.M Billets Reports'!D474)),TRIM(MID('R.M Billets Reports'!D474,SEARCH("-",'R.M Billets Reports'!D474)+1,200)),"")))="SHRI RADHE","SHREE RADHE",IF(IF(IF(ISNUMBER(SEARCH("Party Name:-",'R.M Billets Reports'!D473)),TRIM('R.M Billets Reports'!F473),IF(ISNUMBER(SEARCH("Party Name-",'R.M Billets Reports'!D473)),TRIM(MID('R.M Billets Reports'!D473,SEARCH("-",'R.M Billets Reports'!D473)+1,200)),""))&lt;&gt;"",IF(ISNUMBER(SEARCH("Party Name:-",'R.M Billets Reports'!D473)),TRIM('R.M Billets Reports'!F473),IF(ISNUMBER(SEARCH("Party Name-",'R.M Billets Reports'!D473)),TRIM(MID('R.M Billets Reports'!D473,SEARCH("-",'R.M Billets Reports'!D473)+1,200)),"")),IF(ISNUMBER(SEARCH("Party Name:-",'R.M Billets Reports'!D474)),TRIM('R.M Billets Reports'!F474),IF(ISNUMBER(SEARCH("Party Name-",'R.M Billets Reports'!D474)),TRIM(MID('R.M Billets Reports'!D474,SEARCH("-",'R.M Billets Reports'!D474)+1,200)),"")))="SHREE RADHE SHAKTI SPONGE AND POWER PVT. LTD.","SHREE RADHE",IF(IF(ISNUMBER(SEARCH("Party Name:-",'R.M Billets Reports'!D473)),TRIM('R.M Billets Reports'!F473),IF(ISNUMBER(SEARCH("Party Name-",'R.M Billets Reports'!D473)),TRIM(MID('R.M Billets Reports'!D473,SEARCH("-",'R.M Billets Reports'!D473)+1,200)),""))&lt;&gt;"",IF(ISNUMBER(SEARCH("Party Name:-",'R.M Billets Reports'!D473)),TRIM('R.M Billets Reports'!F473),IF(ISNUMBER(SEARCH("Party Name-",'R.M Billets Reports'!D473)),TRIM(MID('R.M Billets Reports'!D473,SEARCH("-",'R.M Billets Reports'!D473)+1,200)),"")),IF(ISNUMBER(SEARCH("Party Name:-",'R.M Billets Reports'!D474)),TRIM('R.M Billets Reports'!F474),IF(ISNUMBER(SEARCH("Party Name-",'R.M Billets Reports'!D474)),TRIM(MID('R.M Billets Reports'!D474,SEARCH("-",'R.M Billets Reports'!D474)+1,200)),"")))))),IF(ROW()=2,"",A473))</f>
      </c>
      <c r="B474">
        <f>IF(OR('R.M Billets Reports'!A473="Date-",'R.M Billets Reports'!A473="Date:-"),'R.M Billets Reports'!B473,IF(ROW()=2,"",B473))</f>
      </c>
      <c r="C474">
        <f>IF('R.M Billets Reports'!A473="V.No.",'R.M Billets Reports'!B473,IF(ROW()=2,"",C473))</f>
      </c>
      <c r="D474">
        <f>IF('R.M Billets Reports'!A473&lt;&gt;"",'R.M Billets Reports'!A473,IF(ROW()=2,"",D473))</f>
      </c>
      <c r="E474">
        <f>IF('R.M Billets Reports'!B473="","",TRIM('R.M Billets Reports'!B473))</f>
      </c>
      <c r="F474">
        <f>'R.M Billets Reports'!C473</f>
      </c>
      <c r="G474">
        <f>'R.M Billets Reports'!D473</f>
      </c>
      <c r="H474">
        <f>'R.M Billets Reports'!E473</f>
      </c>
      <c r="I474">
        <f>'R.M Billets Reports'!F473</f>
      </c>
      <c r="J474">
        <f>'R.M Billets Reports'!G473</f>
      </c>
      <c r="K474">
        <f>'R.M Billets Reports'!H473</f>
      </c>
      <c r="L474">
        <f>IF('R.M Billets Reports'!I473="","",'R.M Billets Reports'!I473)</f>
      </c>
      <c r="M474">
        <f t="shared" si="14"/>
      </c>
      <c r="N474">
        <f>IF('R.M Billets Reports'!J473="","",'R.M Billets Reports'!J473)</f>
      </c>
      <c r="O474">
        <f t="shared" si="15"/>
      </c>
      <c r="P474">
        <f>IF('R.M Billets Reports'!A473="SIZE",'R.M Billets Reports'!B473,P473)</f>
      </c>
    </row>
    <row r="475" spans="1:16" x14ac:dyDescent="0.25">
      <c r="A475">
        <f>IF(OR('R.M Billets Reports'!A474="Date-",'R.M Billets Reports'!A474="Date:-"),IF(IF(IF(ISNUMBER(SEARCH("Party Name:-",'R.M Billets Reports'!D474)),TRIM('R.M Billets Reports'!F474),IF(ISNUMBER(SEARCH("Party Name-",'R.M Billets Reports'!D474)),TRIM(MID('R.M Billets Reports'!D474,SEARCH("-",'R.M Billets Reports'!D474)+1,200)),""))&lt;&gt;"",IF(ISNUMBER(SEARCH("Party Name:-",'R.M Billets Reports'!D474)),TRIM('R.M Billets Reports'!F474),IF(ISNUMBER(SEARCH("Party Name-",'R.M Billets Reports'!D474)),TRIM(MID('R.M Billets Reports'!D474,SEARCH("-",'R.M Billets Reports'!D474)+1,200)),"")),IF(ISNUMBER(SEARCH("Party Name:-",'R.M Billets Reports'!D475)),TRIM('R.M Billets Reports'!F475),IF(ISNUMBER(SEARCH("Party Name-",'R.M Billets Reports'!D475)),TRIM(MID('R.M Billets Reports'!D475,SEARCH("-",'R.M Billets Reports'!D475)+1,200)),"")))="VRKP ISPAT PVT LTD","VRKP",IF(IF(IF(ISNUMBER(SEARCH("Party Name:-",'R.M Billets Reports'!D474)),TRIM('R.M Billets Reports'!F474),IF(ISNUMBER(SEARCH("Party Name-",'R.M Billets Reports'!D474)),TRIM(MID('R.M Billets Reports'!D474,SEARCH("-",'R.M Billets Reports'!D474)+1,200)),""))&lt;&gt;"",IF(ISNUMBER(SEARCH("Party Name:-",'R.M Billets Reports'!D474)),TRIM('R.M Billets Reports'!F474),IF(ISNUMBER(SEARCH("Party Name-",'R.M Billets Reports'!D474)),TRIM(MID('R.M Billets Reports'!D474,SEARCH("-",'R.M Billets Reports'!D474)+1,200)),"")),IF(ISNUMBER(SEARCH("Party Name:-",'R.M Billets Reports'!D475)),TRIM('R.M Billets Reports'!F475),IF(ISNUMBER(SEARCH("Party Name-",'R.M Billets Reports'!D475)),TRIM(MID('R.M Billets Reports'!D475,SEARCH("-",'R.M Billets Reports'!D475)+1,200)),"")))="SHRI RADHE","SHREE RADHE",IF(IF(IF(ISNUMBER(SEARCH("Party Name:-",'R.M Billets Reports'!D474)),TRIM('R.M Billets Reports'!F474),IF(ISNUMBER(SEARCH("Party Name-",'R.M Billets Reports'!D474)),TRIM(MID('R.M Billets Reports'!D474,SEARCH("-",'R.M Billets Reports'!D474)+1,200)),""))&lt;&gt;"",IF(ISNUMBER(SEARCH("Party Name:-",'R.M Billets Reports'!D474)),TRIM('R.M Billets Reports'!F474),IF(ISNUMBER(SEARCH("Party Name-",'R.M Billets Reports'!D474)),TRIM(MID('R.M Billets Reports'!D474,SEARCH("-",'R.M Billets Reports'!D474)+1,200)),"")),IF(ISNUMBER(SEARCH("Party Name:-",'R.M Billets Reports'!D475)),TRIM('R.M Billets Reports'!F475),IF(ISNUMBER(SEARCH("Party Name-",'R.M Billets Reports'!D475)),TRIM(MID('R.M Billets Reports'!D475,SEARCH("-",'R.M Billets Reports'!D475)+1,200)),"")))="SHREE RADHE SHAKTI SPONGE AND POWER PVT. LTD.","SHREE RADHE",IF(IF(ISNUMBER(SEARCH("Party Name:-",'R.M Billets Reports'!D474)),TRIM('R.M Billets Reports'!F474),IF(ISNUMBER(SEARCH("Party Name-",'R.M Billets Reports'!D474)),TRIM(MID('R.M Billets Reports'!D474,SEARCH("-",'R.M Billets Reports'!D474)+1,200)),""))&lt;&gt;"",IF(ISNUMBER(SEARCH("Party Name:-",'R.M Billets Reports'!D474)),TRIM('R.M Billets Reports'!F474),IF(ISNUMBER(SEARCH("Party Name-",'R.M Billets Reports'!D474)),TRIM(MID('R.M Billets Reports'!D474,SEARCH("-",'R.M Billets Reports'!D474)+1,200)),"")),IF(ISNUMBER(SEARCH("Party Name:-",'R.M Billets Reports'!D475)),TRIM('R.M Billets Reports'!F475),IF(ISNUMBER(SEARCH("Party Name-",'R.M Billets Reports'!D475)),TRIM(MID('R.M Billets Reports'!D475,SEARCH("-",'R.M Billets Reports'!D475)+1,200)),"")))))),IF(ROW()=2,"",A474))</f>
      </c>
      <c r="B475">
        <f>IF(OR('R.M Billets Reports'!A474="Date-",'R.M Billets Reports'!A474="Date:-"),'R.M Billets Reports'!B474,IF(ROW()=2,"",B474))</f>
      </c>
      <c r="C475">
        <f>IF('R.M Billets Reports'!A474="V.No.",'R.M Billets Reports'!B474,IF(ROW()=2,"",C474))</f>
      </c>
      <c r="D475">
        <f>IF('R.M Billets Reports'!A474&lt;&gt;"",'R.M Billets Reports'!A474,IF(ROW()=2,"",D474))</f>
      </c>
      <c r="E475">
        <f>IF('R.M Billets Reports'!B474="","",TRIM('R.M Billets Reports'!B474))</f>
      </c>
      <c r="F475">
        <f>'R.M Billets Reports'!C474</f>
      </c>
      <c r="G475">
        <f>'R.M Billets Reports'!D474</f>
      </c>
      <c r="H475">
        <f>'R.M Billets Reports'!E474</f>
      </c>
      <c r="I475">
        <f>'R.M Billets Reports'!F474</f>
      </c>
      <c r="J475">
        <f>'R.M Billets Reports'!G474</f>
      </c>
      <c r="K475">
        <f>'R.M Billets Reports'!H474</f>
      </c>
      <c r="L475">
        <f>IF('R.M Billets Reports'!I474="","",'R.M Billets Reports'!I474)</f>
      </c>
      <c r="M475">
        <f t="shared" si="14"/>
      </c>
      <c r="N475">
        <f>IF('R.M Billets Reports'!J474="","",'R.M Billets Reports'!J474)</f>
      </c>
      <c r="O475">
        <f t="shared" si="15"/>
      </c>
      <c r="P475">
        <f>IF('R.M Billets Reports'!A474="SIZE",'R.M Billets Reports'!B474,P474)</f>
      </c>
    </row>
    <row r="476" spans="1:16" x14ac:dyDescent="0.25">
      <c r="A476">
        <f>IF(OR('R.M Billets Reports'!A475="Date-",'R.M Billets Reports'!A475="Date:-"),IF(IF(IF(ISNUMBER(SEARCH("Party Name:-",'R.M Billets Reports'!D475)),TRIM('R.M Billets Reports'!F475),IF(ISNUMBER(SEARCH("Party Name-",'R.M Billets Reports'!D475)),TRIM(MID('R.M Billets Reports'!D475,SEARCH("-",'R.M Billets Reports'!D475)+1,200)),""))&lt;&gt;"",IF(ISNUMBER(SEARCH("Party Name:-",'R.M Billets Reports'!D475)),TRIM('R.M Billets Reports'!F475),IF(ISNUMBER(SEARCH("Party Name-",'R.M Billets Reports'!D475)),TRIM(MID('R.M Billets Reports'!D475,SEARCH("-",'R.M Billets Reports'!D475)+1,200)),"")),IF(ISNUMBER(SEARCH("Party Name:-",'R.M Billets Reports'!D476)),TRIM('R.M Billets Reports'!F476),IF(ISNUMBER(SEARCH("Party Name-",'R.M Billets Reports'!D476)),TRIM(MID('R.M Billets Reports'!D476,SEARCH("-",'R.M Billets Reports'!D476)+1,200)),"")))="VRKP ISPAT PVT LTD","VRKP",IF(IF(IF(ISNUMBER(SEARCH("Party Name:-",'R.M Billets Reports'!D475)),TRIM('R.M Billets Reports'!F475),IF(ISNUMBER(SEARCH("Party Name-",'R.M Billets Reports'!D475)),TRIM(MID('R.M Billets Reports'!D475,SEARCH("-",'R.M Billets Reports'!D475)+1,200)),""))&lt;&gt;"",IF(ISNUMBER(SEARCH("Party Name:-",'R.M Billets Reports'!D475)),TRIM('R.M Billets Reports'!F475),IF(ISNUMBER(SEARCH("Party Name-",'R.M Billets Reports'!D475)),TRIM(MID('R.M Billets Reports'!D475,SEARCH("-",'R.M Billets Reports'!D475)+1,200)),"")),IF(ISNUMBER(SEARCH("Party Name:-",'R.M Billets Reports'!D476)),TRIM('R.M Billets Reports'!F476),IF(ISNUMBER(SEARCH("Party Name-",'R.M Billets Reports'!D476)),TRIM(MID('R.M Billets Reports'!D476,SEARCH("-",'R.M Billets Reports'!D476)+1,200)),"")))="SHRI RADHE","SHREE RADHE",IF(IF(IF(ISNUMBER(SEARCH("Party Name:-",'R.M Billets Reports'!D475)),TRIM('R.M Billets Reports'!F475),IF(ISNUMBER(SEARCH("Party Name-",'R.M Billets Reports'!D475)),TRIM(MID('R.M Billets Reports'!D475,SEARCH("-",'R.M Billets Reports'!D475)+1,200)),""))&lt;&gt;"",IF(ISNUMBER(SEARCH("Party Name:-",'R.M Billets Reports'!D475)),TRIM('R.M Billets Reports'!F475),IF(ISNUMBER(SEARCH("Party Name-",'R.M Billets Reports'!D475)),TRIM(MID('R.M Billets Reports'!D475,SEARCH("-",'R.M Billets Reports'!D475)+1,200)),"")),IF(ISNUMBER(SEARCH("Party Name:-",'R.M Billets Reports'!D476)),TRIM('R.M Billets Reports'!F476),IF(ISNUMBER(SEARCH("Party Name-",'R.M Billets Reports'!D476)),TRIM(MID('R.M Billets Reports'!D476,SEARCH("-",'R.M Billets Reports'!D476)+1,200)),"")))="SHREE RADHE SHAKTI SPONGE AND POWER PVT. LTD.","SHREE RADHE",IF(IF(ISNUMBER(SEARCH("Party Name:-",'R.M Billets Reports'!D475)),TRIM('R.M Billets Reports'!F475),IF(ISNUMBER(SEARCH("Party Name-",'R.M Billets Reports'!D475)),TRIM(MID('R.M Billets Reports'!D475,SEARCH("-",'R.M Billets Reports'!D475)+1,200)),""))&lt;&gt;"",IF(ISNUMBER(SEARCH("Party Name:-",'R.M Billets Reports'!D475)),TRIM('R.M Billets Reports'!F475),IF(ISNUMBER(SEARCH("Party Name-",'R.M Billets Reports'!D475)),TRIM(MID('R.M Billets Reports'!D475,SEARCH("-",'R.M Billets Reports'!D475)+1,200)),"")),IF(ISNUMBER(SEARCH("Party Name:-",'R.M Billets Reports'!D476)),TRIM('R.M Billets Reports'!F476),IF(ISNUMBER(SEARCH("Party Name-",'R.M Billets Reports'!D476)),TRIM(MID('R.M Billets Reports'!D476,SEARCH("-",'R.M Billets Reports'!D476)+1,200)),"")))))),IF(ROW()=2,"",A475))</f>
      </c>
      <c r="B476">
        <f>IF(OR('R.M Billets Reports'!A475="Date-",'R.M Billets Reports'!A475="Date:-"),'R.M Billets Reports'!B475,IF(ROW()=2,"",B475))</f>
      </c>
      <c r="C476">
        <f>IF('R.M Billets Reports'!A475="V.No.",'R.M Billets Reports'!B475,IF(ROW()=2,"",C475))</f>
      </c>
      <c r="D476">
        <f>IF('R.M Billets Reports'!A475&lt;&gt;"",'R.M Billets Reports'!A475,IF(ROW()=2,"",D475))</f>
      </c>
      <c r="E476">
        <f>IF('R.M Billets Reports'!B475="","",TRIM('R.M Billets Reports'!B475))</f>
      </c>
      <c r="F476">
        <f>'R.M Billets Reports'!C475</f>
      </c>
      <c r="G476">
        <f>'R.M Billets Reports'!D475</f>
      </c>
      <c r="H476">
        <f>'R.M Billets Reports'!E475</f>
      </c>
      <c r="I476">
        <f>'R.M Billets Reports'!F475</f>
      </c>
      <c r="J476">
        <f>'R.M Billets Reports'!G475</f>
      </c>
      <c r="K476">
        <f>'R.M Billets Reports'!H475</f>
      </c>
      <c r="L476">
        <f>IF('R.M Billets Reports'!I475="","",'R.M Billets Reports'!I475)</f>
      </c>
      <c r="M476">
        <f t="shared" si="14"/>
      </c>
      <c r="N476">
        <f>IF('R.M Billets Reports'!J475="","",'R.M Billets Reports'!J475)</f>
      </c>
      <c r="O476">
        <f t="shared" si="15"/>
      </c>
      <c r="P476">
        <f>IF('R.M Billets Reports'!A475="SIZE",'R.M Billets Reports'!B475,P475)</f>
      </c>
    </row>
    <row r="477" spans="1:16" x14ac:dyDescent="0.25">
      <c r="A477">
        <f>IF(OR('R.M Billets Reports'!A476="Date-",'R.M Billets Reports'!A476="Date:-"),IF(IF(IF(ISNUMBER(SEARCH("Party Name:-",'R.M Billets Reports'!D476)),TRIM('R.M Billets Reports'!F476),IF(ISNUMBER(SEARCH("Party Name-",'R.M Billets Reports'!D476)),TRIM(MID('R.M Billets Reports'!D476,SEARCH("-",'R.M Billets Reports'!D476)+1,200)),""))&lt;&gt;"",IF(ISNUMBER(SEARCH("Party Name:-",'R.M Billets Reports'!D476)),TRIM('R.M Billets Reports'!F476),IF(ISNUMBER(SEARCH("Party Name-",'R.M Billets Reports'!D476)),TRIM(MID('R.M Billets Reports'!D476,SEARCH("-",'R.M Billets Reports'!D476)+1,200)),"")),IF(ISNUMBER(SEARCH("Party Name:-",'R.M Billets Reports'!D477)),TRIM('R.M Billets Reports'!F477),IF(ISNUMBER(SEARCH("Party Name-",'R.M Billets Reports'!D477)),TRIM(MID('R.M Billets Reports'!D477,SEARCH("-",'R.M Billets Reports'!D477)+1,200)),"")))="VRKP ISPAT PVT LTD","VRKP",IF(IF(IF(ISNUMBER(SEARCH("Party Name:-",'R.M Billets Reports'!D476)),TRIM('R.M Billets Reports'!F476),IF(ISNUMBER(SEARCH("Party Name-",'R.M Billets Reports'!D476)),TRIM(MID('R.M Billets Reports'!D476,SEARCH("-",'R.M Billets Reports'!D476)+1,200)),""))&lt;&gt;"",IF(ISNUMBER(SEARCH("Party Name:-",'R.M Billets Reports'!D476)),TRIM('R.M Billets Reports'!F476),IF(ISNUMBER(SEARCH("Party Name-",'R.M Billets Reports'!D476)),TRIM(MID('R.M Billets Reports'!D476,SEARCH("-",'R.M Billets Reports'!D476)+1,200)),"")),IF(ISNUMBER(SEARCH("Party Name:-",'R.M Billets Reports'!D477)),TRIM('R.M Billets Reports'!F477),IF(ISNUMBER(SEARCH("Party Name-",'R.M Billets Reports'!D477)),TRIM(MID('R.M Billets Reports'!D477,SEARCH("-",'R.M Billets Reports'!D477)+1,200)),"")))="SHRI RADHE","SHREE RADHE",IF(IF(IF(ISNUMBER(SEARCH("Party Name:-",'R.M Billets Reports'!D476)),TRIM('R.M Billets Reports'!F476),IF(ISNUMBER(SEARCH("Party Name-",'R.M Billets Reports'!D476)),TRIM(MID('R.M Billets Reports'!D476,SEARCH("-",'R.M Billets Reports'!D476)+1,200)),""))&lt;&gt;"",IF(ISNUMBER(SEARCH("Party Name:-",'R.M Billets Reports'!D476)),TRIM('R.M Billets Reports'!F476),IF(ISNUMBER(SEARCH("Party Name-",'R.M Billets Reports'!D476)),TRIM(MID('R.M Billets Reports'!D476,SEARCH("-",'R.M Billets Reports'!D476)+1,200)),"")),IF(ISNUMBER(SEARCH("Party Name:-",'R.M Billets Reports'!D477)),TRIM('R.M Billets Reports'!F477),IF(ISNUMBER(SEARCH("Party Name-",'R.M Billets Reports'!D477)),TRIM(MID('R.M Billets Reports'!D477,SEARCH("-",'R.M Billets Reports'!D477)+1,200)),"")))="SHREE RADHE SHAKTI SPONGE AND POWER PVT. LTD.","SHREE RADHE",IF(IF(ISNUMBER(SEARCH("Party Name:-",'R.M Billets Reports'!D476)),TRIM('R.M Billets Reports'!F476),IF(ISNUMBER(SEARCH("Party Name-",'R.M Billets Reports'!D476)),TRIM(MID('R.M Billets Reports'!D476,SEARCH("-",'R.M Billets Reports'!D476)+1,200)),""))&lt;&gt;"",IF(ISNUMBER(SEARCH("Party Name:-",'R.M Billets Reports'!D476)),TRIM('R.M Billets Reports'!F476),IF(ISNUMBER(SEARCH("Party Name-",'R.M Billets Reports'!D476)),TRIM(MID('R.M Billets Reports'!D476,SEARCH("-",'R.M Billets Reports'!D476)+1,200)),"")),IF(ISNUMBER(SEARCH("Party Name:-",'R.M Billets Reports'!D477)),TRIM('R.M Billets Reports'!F477),IF(ISNUMBER(SEARCH("Party Name-",'R.M Billets Reports'!D477)),TRIM(MID('R.M Billets Reports'!D477,SEARCH("-",'R.M Billets Reports'!D477)+1,200)),"")))))),IF(ROW()=2,"",A476))</f>
      </c>
      <c r="B477">
        <f>IF(OR('R.M Billets Reports'!A476="Date-",'R.M Billets Reports'!A476="Date:-"),'R.M Billets Reports'!B476,IF(ROW()=2,"",B476))</f>
      </c>
      <c r="C477">
        <f>IF('R.M Billets Reports'!A476="V.No.",'R.M Billets Reports'!B476,IF(ROW()=2,"",C476))</f>
      </c>
      <c r="D477">
        <f>IF('R.M Billets Reports'!A476&lt;&gt;"",'R.M Billets Reports'!A476,IF(ROW()=2,"",D476))</f>
      </c>
      <c r="E477">
        <f>IF('R.M Billets Reports'!B476="","",TRIM('R.M Billets Reports'!B476))</f>
      </c>
      <c r="F477">
        <f>'R.M Billets Reports'!C476</f>
      </c>
      <c r="G477">
        <f>'R.M Billets Reports'!D476</f>
      </c>
      <c r="H477">
        <f>'R.M Billets Reports'!E476</f>
      </c>
      <c r="I477">
        <f>'R.M Billets Reports'!F476</f>
      </c>
      <c r="J477">
        <f>'R.M Billets Reports'!G476</f>
      </c>
      <c r="K477">
        <f>'R.M Billets Reports'!H476</f>
      </c>
      <c r="L477">
        <f>IF('R.M Billets Reports'!I476="","",'R.M Billets Reports'!I476)</f>
      </c>
      <c r="M477">
        <f t="shared" si="14"/>
      </c>
      <c r="N477">
        <f>IF('R.M Billets Reports'!J476="","",'R.M Billets Reports'!J476)</f>
      </c>
      <c r="O477">
        <f t="shared" si="15"/>
      </c>
      <c r="P477">
        <f>IF('R.M Billets Reports'!A476="SIZE",'R.M Billets Reports'!B476,P476)</f>
      </c>
    </row>
    <row r="478" spans="1:16" x14ac:dyDescent="0.25">
      <c r="A478">
        <f>IF(OR('R.M Billets Reports'!A477="Date-",'R.M Billets Reports'!A477="Date:-"),IF(IF(IF(ISNUMBER(SEARCH("Party Name:-",'R.M Billets Reports'!D477)),TRIM('R.M Billets Reports'!F477),IF(ISNUMBER(SEARCH("Party Name-",'R.M Billets Reports'!D477)),TRIM(MID('R.M Billets Reports'!D477,SEARCH("-",'R.M Billets Reports'!D477)+1,200)),""))&lt;&gt;"",IF(ISNUMBER(SEARCH("Party Name:-",'R.M Billets Reports'!D477)),TRIM('R.M Billets Reports'!F477),IF(ISNUMBER(SEARCH("Party Name-",'R.M Billets Reports'!D477)),TRIM(MID('R.M Billets Reports'!D477,SEARCH("-",'R.M Billets Reports'!D477)+1,200)),"")),IF(ISNUMBER(SEARCH("Party Name:-",'R.M Billets Reports'!D478)),TRIM('R.M Billets Reports'!F478),IF(ISNUMBER(SEARCH("Party Name-",'R.M Billets Reports'!D478)),TRIM(MID('R.M Billets Reports'!D478,SEARCH("-",'R.M Billets Reports'!D478)+1,200)),"")))="VRKP ISPAT PVT LTD","VRKP",IF(IF(IF(ISNUMBER(SEARCH("Party Name:-",'R.M Billets Reports'!D477)),TRIM('R.M Billets Reports'!F477),IF(ISNUMBER(SEARCH("Party Name-",'R.M Billets Reports'!D477)),TRIM(MID('R.M Billets Reports'!D477,SEARCH("-",'R.M Billets Reports'!D477)+1,200)),""))&lt;&gt;"",IF(ISNUMBER(SEARCH("Party Name:-",'R.M Billets Reports'!D477)),TRIM('R.M Billets Reports'!F477),IF(ISNUMBER(SEARCH("Party Name-",'R.M Billets Reports'!D477)),TRIM(MID('R.M Billets Reports'!D477,SEARCH("-",'R.M Billets Reports'!D477)+1,200)),"")),IF(ISNUMBER(SEARCH("Party Name:-",'R.M Billets Reports'!D478)),TRIM('R.M Billets Reports'!F478),IF(ISNUMBER(SEARCH("Party Name-",'R.M Billets Reports'!D478)),TRIM(MID('R.M Billets Reports'!D478,SEARCH("-",'R.M Billets Reports'!D478)+1,200)),"")))="SHRI RADHE","SHREE RADHE",IF(IF(IF(ISNUMBER(SEARCH("Party Name:-",'R.M Billets Reports'!D477)),TRIM('R.M Billets Reports'!F477),IF(ISNUMBER(SEARCH("Party Name-",'R.M Billets Reports'!D477)),TRIM(MID('R.M Billets Reports'!D477,SEARCH("-",'R.M Billets Reports'!D477)+1,200)),""))&lt;&gt;"",IF(ISNUMBER(SEARCH("Party Name:-",'R.M Billets Reports'!D477)),TRIM('R.M Billets Reports'!F477),IF(ISNUMBER(SEARCH("Party Name-",'R.M Billets Reports'!D477)),TRIM(MID('R.M Billets Reports'!D477,SEARCH("-",'R.M Billets Reports'!D477)+1,200)),"")),IF(ISNUMBER(SEARCH("Party Name:-",'R.M Billets Reports'!D478)),TRIM('R.M Billets Reports'!F478),IF(ISNUMBER(SEARCH("Party Name-",'R.M Billets Reports'!D478)),TRIM(MID('R.M Billets Reports'!D478,SEARCH("-",'R.M Billets Reports'!D478)+1,200)),"")))="SHREE RADHE SHAKTI SPONGE AND POWER PVT. LTD.","SHREE RADHE",IF(IF(ISNUMBER(SEARCH("Party Name:-",'R.M Billets Reports'!D477)),TRIM('R.M Billets Reports'!F477),IF(ISNUMBER(SEARCH("Party Name-",'R.M Billets Reports'!D477)),TRIM(MID('R.M Billets Reports'!D477,SEARCH("-",'R.M Billets Reports'!D477)+1,200)),""))&lt;&gt;"",IF(ISNUMBER(SEARCH("Party Name:-",'R.M Billets Reports'!D477)),TRIM('R.M Billets Reports'!F477),IF(ISNUMBER(SEARCH("Party Name-",'R.M Billets Reports'!D477)),TRIM(MID('R.M Billets Reports'!D477,SEARCH("-",'R.M Billets Reports'!D477)+1,200)),"")),IF(ISNUMBER(SEARCH("Party Name:-",'R.M Billets Reports'!D478)),TRIM('R.M Billets Reports'!F478),IF(ISNUMBER(SEARCH("Party Name-",'R.M Billets Reports'!D478)),TRIM(MID('R.M Billets Reports'!D478,SEARCH("-",'R.M Billets Reports'!D478)+1,200)),"")))))),IF(ROW()=2,"",A477))</f>
      </c>
      <c r="B478">
        <f>IF(OR('R.M Billets Reports'!A477="Date-",'R.M Billets Reports'!A477="Date:-"),'R.M Billets Reports'!B477,IF(ROW()=2,"",B477))</f>
      </c>
      <c r="C478">
        <f>IF('R.M Billets Reports'!A477="V.No.",'R.M Billets Reports'!B477,IF(ROW()=2,"",C477))</f>
      </c>
      <c r="D478">
        <f>IF('R.M Billets Reports'!A477&lt;&gt;"",'R.M Billets Reports'!A477,IF(ROW()=2,"",D477))</f>
      </c>
      <c r="E478">
        <f>IF('R.M Billets Reports'!B477="","",TRIM('R.M Billets Reports'!B477))</f>
      </c>
      <c r="F478">
        <f>'R.M Billets Reports'!C477</f>
      </c>
      <c r="G478">
        <f>'R.M Billets Reports'!D477</f>
      </c>
      <c r="H478">
        <f>'R.M Billets Reports'!E477</f>
      </c>
      <c r="I478">
        <f>'R.M Billets Reports'!F477</f>
      </c>
      <c r="J478">
        <f>'R.M Billets Reports'!G477</f>
      </c>
      <c r="K478">
        <f>'R.M Billets Reports'!H477</f>
      </c>
      <c r="L478">
        <f>IF('R.M Billets Reports'!I477="","",'R.M Billets Reports'!I477)</f>
      </c>
      <c r="M478">
        <f t="shared" si="14"/>
      </c>
      <c r="N478">
        <f>IF('R.M Billets Reports'!J477="","",'R.M Billets Reports'!J477)</f>
      </c>
      <c r="O478">
        <f t="shared" si="15"/>
      </c>
      <c r="P478">
        <f>IF('R.M Billets Reports'!A477="SIZE",'R.M Billets Reports'!B477,P477)</f>
      </c>
    </row>
    <row r="479" spans="1:16" x14ac:dyDescent="0.25">
      <c r="A479">
        <f>IF(OR('R.M Billets Reports'!A478="Date-",'R.M Billets Reports'!A478="Date:-"),IF(IF(IF(ISNUMBER(SEARCH("Party Name:-",'R.M Billets Reports'!D478)),TRIM('R.M Billets Reports'!F478),IF(ISNUMBER(SEARCH("Party Name-",'R.M Billets Reports'!D478)),TRIM(MID('R.M Billets Reports'!D478,SEARCH("-",'R.M Billets Reports'!D478)+1,200)),""))&lt;&gt;"",IF(ISNUMBER(SEARCH("Party Name:-",'R.M Billets Reports'!D478)),TRIM('R.M Billets Reports'!F478),IF(ISNUMBER(SEARCH("Party Name-",'R.M Billets Reports'!D478)),TRIM(MID('R.M Billets Reports'!D478,SEARCH("-",'R.M Billets Reports'!D478)+1,200)),"")),IF(ISNUMBER(SEARCH("Party Name:-",'R.M Billets Reports'!D479)),TRIM('R.M Billets Reports'!F479),IF(ISNUMBER(SEARCH("Party Name-",'R.M Billets Reports'!D479)),TRIM(MID('R.M Billets Reports'!D479,SEARCH("-",'R.M Billets Reports'!D479)+1,200)),"")))="VRKP ISPAT PVT LTD","VRKP",IF(IF(IF(ISNUMBER(SEARCH("Party Name:-",'R.M Billets Reports'!D478)),TRIM('R.M Billets Reports'!F478),IF(ISNUMBER(SEARCH("Party Name-",'R.M Billets Reports'!D478)),TRIM(MID('R.M Billets Reports'!D478,SEARCH("-",'R.M Billets Reports'!D478)+1,200)),""))&lt;&gt;"",IF(ISNUMBER(SEARCH("Party Name:-",'R.M Billets Reports'!D478)),TRIM('R.M Billets Reports'!F478),IF(ISNUMBER(SEARCH("Party Name-",'R.M Billets Reports'!D478)),TRIM(MID('R.M Billets Reports'!D478,SEARCH("-",'R.M Billets Reports'!D478)+1,200)),"")),IF(ISNUMBER(SEARCH("Party Name:-",'R.M Billets Reports'!D479)),TRIM('R.M Billets Reports'!F479),IF(ISNUMBER(SEARCH("Party Name-",'R.M Billets Reports'!D479)),TRIM(MID('R.M Billets Reports'!D479,SEARCH("-",'R.M Billets Reports'!D479)+1,200)),"")))="SHRI RADHE","SHREE RADHE",IF(IF(IF(ISNUMBER(SEARCH("Party Name:-",'R.M Billets Reports'!D478)),TRIM('R.M Billets Reports'!F478),IF(ISNUMBER(SEARCH("Party Name-",'R.M Billets Reports'!D478)),TRIM(MID('R.M Billets Reports'!D478,SEARCH("-",'R.M Billets Reports'!D478)+1,200)),""))&lt;&gt;"",IF(ISNUMBER(SEARCH("Party Name:-",'R.M Billets Reports'!D478)),TRIM('R.M Billets Reports'!F478),IF(ISNUMBER(SEARCH("Party Name-",'R.M Billets Reports'!D478)),TRIM(MID('R.M Billets Reports'!D478,SEARCH("-",'R.M Billets Reports'!D478)+1,200)),"")),IF(ISNUMBER(SEARCH("Party Name:-",'R.M Billets Reports'!D479)),TRIM('R.M Billets Reports'!F479),IF(ISNUMBER(SEARCH("Party Name-",'R.M Billets Reports'!D479)),TRIM(MID('R.M Billets Reports'!D479,SEARCH("-",'R.M Billets Reports'!D479)+1,200)),"")))="SHREE RADHE SHAKTI SPONGE AND POWER PVT. LTD.","SHREE RADHE",IF(IF(ISNUMBER(SEARCH("Party Name:-",'R.M Billets Reports'!D478)),TRIM('R.M Billets Reports'!F478),IF(ISNUMBER(SEARCH("Party Name-",'R.M Billets Reports'!D478)),TRIM(MID('R.M Billets Reports'!D478,SEARCH("-",'R.M Billets Reports'!D478)+1,200)),""))&lt;&gt;"",IF(ISNUMBER(SEARCH("Party Name:-",'R.M Billets Reports'!D478)),TRIM('R.M Billets Reports'!F478),IF(ISNUMBER(SEARCH("Party Name-",'R.M Billets Reports'!D478)),TRIM(MID('R.M Billets Reports'!D478,SEARCH("-",'R.M Billets Reports'!D478)+1,200)),"")),IF(ISNUMBER(SEARCH("Party Name:-",'R.M Billets Reports'!D479)),TRIM('R.M Billets Reports'!F479),IF(ISNUMBER(SEARCH("Party Name-",'R.M Billets Reports'!D479)),TRIM(MID('R.M Billets Reports'!D479,SEARCH("-",'R.M Billets Reports'!D479)+1,200)),"")))))),IF(ROW()=2,"",A478))</f>
      </c>
      <c r="B479">
        <f>IF(OR('R.M Billets Reports'!A478="Date-",'R.M Billets Reports'!A478="Date:-"),'R.M Billets Reports'!B478,IF(ROW()=2,"",B478))</f>
      </c>
      <c r="C479">
        <f>IF('R.M Billets Reports'!A478="V.No.",'R.M Billets Reports'!B478,IF(ROW()=2,"",C478))</f>
      </c>
      <c r="D479">
        <f>IF('R.M Billets Reports'!A478&lt;&gt;"",'R.M Billets Reports'!A478,IF(ROW()=2,"",D478))</f>
      </c>
      <c r="E479">
        <f>IF('R.M Billets Reports'!B478="","",TRIM('R.M Billets Reports'!B478))</f>
      </c>
      <c r="F479">
        <f>'R.M Billets Reports'!C478</f>
      </c>
      <c r="G479">
        <f>'R.M Billets Reports'!D478</f>
      </c>
      <c r="H479">
        <f>'R.M Billets Reports'!E478</f>
      </c>
      <c r="I479">
        <f>'R.M Billets Reports'!F478</f>
      </c>
      <c r="J479">
        <f>'R.M Billets Reports'!G478</f>
      </c>
      <c r="K479">
        <f>'R.M Billets Reports'!H478</f>
      </c>
      <c r="L479">
        <f>IF('R.M Billets Reports'!I478="","",'R.M Billets Reports'!I478)</f>
      </c>
      <c r="M479">
        <f t="shared" si="14"/>
      </c>
      <c r="N479">
        <f>IF('R.M Billets Reports'!J478="","",'R.M Billets Reports'!J478)</f>
      </c>
      <c r="O479">
        <f t="shared" si="15"/>
      </c>
      <c r="P479">
        <f>IF('R.M Billets Reports'!A478="SIZE",'R.M Billets Reports'!B478,P478)</f>
      </c>
    </row>
    <row r="480" spans="1:16" x14ac:dyDescent="0.25">
      <c r="A480">
        <f>IF(OR('R.M Billets Reports'!A479="Date-",'R.M Billets Reports'!A479="Date:-"),IF(IF(IF(ISNUMBER(SEARCH("Party Name:-",'R.M Billets Reports'!D479)),TRIM('R.M Billets Reports'!F479),IF(ISNUMBER(SEARCH("Party Name-",'R.M Billets Reports'!D479)),TRIM(MID('R.M Billets Reports'!D479,SEARCH("-",'R.M Billets Reports'!D479)+1,200)),""))&lt;&gt;"",IF(ISNUMBER(SEARCH("Party Name:-",'R.M Billets Reports'!D479)),TRIM('R.M Billets Reports'!F479),IF(ISNUMBER(SEARCH("Party Name-",'R.M Billets Reports'!D479)),TRIM(MID('R.M Billets Reports'!D479,SEARCH("-",'R.M Billets Reports'!D479)+1,200)),"")),IF(ISNUMBER(SEARCH("Party Name:-",'R.M Billets Reports'!D480)),TRIM('R.M Billets Reports'!F480),IF(ISNUMBER(SEARCH("Party Name-",'R.M Billets Reports'!D480)),TRIM(MID('R.M Billets Reports'!D480,SEARCH("-",'R.M Billets Reports'!D480)+1,200)),"")))="VRKP ISPAT PVT LTD","VRKP",IF(IF(IF(ISNUMBER(SEARCH("Party Name:-",'R.M Billets Reports'!D479)),TRIM('R.M Billets Reports'!F479),IF(ISNUMBER(SEARCH("Party Name-",'R.M Billets Reports'!D479)),TRIM(MID('R.M Billets Reports'!D479,SEARCH("-",'R.M Billets Reports'!D479)+1,200)),""))&lt;&gt;"",IF(ISNUMBER(SEARCH("Party Name:-",'R.M Billets Reports'!D479)),TRIM('R.M Billets Reports'!F479),IF(ISNUMBER(SEARCH("Party Name-",'R.M Billets Reports'!D479)),TRIM(MID('R.M Billets Reports'!D479,SEARCH("-",'R.M Billets Reports'!D479)+1,200)),"")),IF(ISNUMBER(SEARCH("Party Name:-",'R.M Billets Reports'!D480)),TRIM('R.M Billets Reports'!F480),IF(ISNUMBER(SEARCH("Party Name-",'R.M Billets Reports'!D480)),TRIM(MID('R.M Billets Reports'!D480,SEARCH("-",'R.M Billets Reports'!D480)+1,200)),"")))="SHRI RADHE","SHREE RADHE",IF(IF(IF(ISNUMBER(SEARCH("Party Name:-",'R.M Billets Reports'!D479)),TRIM('R.M Billets Reports'!F479),IF(ISNUMBER(SEARCH("Party Name-",'R.M Billets Reports'!D479)),TRIM(MID('R.M Billets Reports'!D479,SEARCH("-",'R.M Billets Reports'!D479)+1,200)),""))&lt;&gt;"",IF(ISNUMBER(SEARCH("Party Name:-",'R.M Billets Reports'!D479)),TRIM('R.M Billets Reports'!F479),IF(ISNUMBER(SEARCH("Party Name-",'R.M Billets Reports'!D479)),TRIM(MID('R.M Billets Reports'!D479,SEARCH("-",'R.M Billets Reports'!D479)+1,200)),"")),IF(ISNUMBER(SEARCH("Party Name:-",'R.M Billets Reports'!D480)),TRIM('R.M Billets Reports'!F480),IF(ISNUMBER(SEARCH("Party Name-",'R.M Billets Reports'!D480)),TRIM(MID('R.M Billets Reports'!D480,SEARCH("-",'R.M Billets Reports'!D480)+1,200)),"")))="SHREE RADHE SHAKTI SPONGE AND POWER PVT. LTD.","SHREE RADHE",IF(IF(ISNUMBER(SEARCH("Party Name:-",'R.M Billets Reports'!D479)),TRIM('R.M Billets Reports'!F479),IF(ISNUMBER(SEARCH("Party Name-",'R.M Billets Reports'!D479)),TRIM(MID('R.M Billets Reports'!D479,SEARCH("-",'R.M Billets Reports'!D479)+1,200)),""))&lt;&gt;"",IF(ISNUMBER(SEARCH("Party Name:-",'R.M Billets Reports'!D479)),TRIM('R.M Billets Reports'!F479),IF(ISNUMBER(SEARCH("Party Name-",'R.M Billets Reports'!D479)),TRIM(MID('R.M Billets Reports'!D479,SEARCH("-",'R.M Billets Reports'!D479)+1,200)),"")),IF(ISNUMBER(SEARCH("Party Name:-",'R.M Billets Reports'!D480)),TRIM('R.M Billets Reports'!F480),IF(ISNUMBER(SEARCH("Party Name-",'R.M Billets Reports'!D480)),TRIM(MID('R.M Billets Reports'!D480,SEARCH("-",'R.M Billets Reports'!D480)+1,200)),"")))))),IF(ROW()=2,"",A479))</f>
      </c>
      <c r="B480">
        <f>IF(OR('R.M Billets Reports'!A479="Date-",'R.M Billets Reports'!A479="Date:-"),'R.M Billets Reports'!B479,IF(ROW()=2,"",B479))</f>
      </c>
      <c r="C480">
        <f>IF('R.M Billets Reports'!A479="V.No.",'R.M Billets Reports'!B479,IF(ROW()=2,"",C479))</f>
      </c>
      <c r="D480">
        <f>IF('R.M Billets Reports'!A479&lt;&gt;"",'R.M Billets Reports'!A479,IF(ROW()=2,"",D479))</f>
      </c>
      <c r="E480">
        <f>IF('R.M Billets Reports'!B479="","",TRIM('R.M Billets Reports'!B479))</f>
      </c>
      <c r="F480">
        <f>'R.M Billets Reports'!C479</f>
      </c>
      <c r="G480">
        <f>'R.M Billets Reports'!D479</f>
      </c>
      <c r="H480">
        <f>'R.M Billets Reports'!E479</f>
      </c>
      <c r="I480">
        <f>'R.M Billets Reports'!F479</f>
      </c>
      <c r="J480">
        <f>'R.M Billets Reports'!G479</f>
      </c>
      <c r="K480">
        <f>'R.M Billets Reports'!H479</f>
      </c>
      <c r="L480">
        <f>IF('R.M Billets Reports'!I479="","",'R.M Billets Reports'!I479)</f>
      </c>
      <c r="M480">
        <f t="shared" si="14"/>
      </c>
      <c r="N480">
        <f>IF('R.M Billets Reports'!J479="","",'R.M Billets Reports'!J479)</f>
      </c>
      <c r="O480">
        <f t="shared" si="15"/>
      </c>
      <c r="P480">
        <f>IF('R.M Billets Reports'!A479="SIZE",'R.M Billets Reports'!B479,P479)</f>
      </c>
    </row>
    <row r="481" spans="1:16" x14ac:dyDescent="0.25">
      <c r="A481">
        <f>IF(OR('R.M Billets Reports'!A480="Date-",'R.M Billets Reports'!A480="Date:-"),IF(IF(IF(ISNUMBER(SEARCH("Party Name:-",'R.M Billets Reports'!D480)),TRIM('R.M Billets Reports'!F480),IF(ISNUMBER(SEARCH("Party Name-",'R.M Billets Reports'!D480)),TRIM(MID('R.M Billets Reports'!D480,SEARCH("-",'R.M Billets Reports'!D480)+1,200)),""))&lt;&gt;"",IF(ISNUMBER(SEARCH("Party Name:-",'R.M Billets Reports'!D480)),TRIM('R.M Billets Reports'!F480),IF(ISNUMBER(SEARCH("Party Name-",'R.M Billets Reports'!D480)),TRIM(MID('R.M Billets Reports'!D480,SEARCH("-",'R.M Billets Reports'!D480)+1,200)),"")),IF(ISNUMBER(SEARCH("Party Name:-",'R.M Billets Reports'!D481)),TRIM('R.M Billets Reports'!F481),IF(ISNUMBER(SEARCH("Party Name-",'R.M Billets Reports'!D481)),TRIM(MID('R.M Billets Reports'!D481,SEARCH("-",'R.M Billets Reports'!D481)+1,200)),"")))="VRKP ISPAT PVT LTD","VRKP",IF(IF(IF(ISNUMBER(SEARCH("Party Name:-",'R.M Billets Reports'!D480)),TRIM('R.M Billets Reports'!F480),IF(ISNUMBER(SEARCH("Party Name-",'R.M Billets Reports'!D480)),TRIM(MID('R.M Billets Reports'!D480,SEARCH("-",'R.M Billets Reports'!D480)+1,200)),""))&lt;&gt;"",IF(ISNUMBER(SEARCH("Party Name:-",'R.M Billets Reports'!D480)),TRIM('R.M Billets Reports'!F480),IF(ISNUMBER(SEARCH("Party Name-",'R.M Billets Reports'!D480)),TRIM(MID('R.M Billets Reports'!D480,SEARCH("-",'R.M Billets Reports'!D480)+1,200)),"")),IF(ISNUMBER(SEARCH("Party Name:-",'R.M Billets Reports'!D481)),TRIM('R.M Billets Reports'!F481),IF(ISNUMBER(SEARCH("Party Name-",'R.M Billets Reports'!D481)),TRIM(MID('R.M Billets Reports'!D481,SEARCH("-",'R.M Billets Reports'!D481)+1,200)),"")))="SHRI RADHE","SHREE RADHE",IF(IF(IF(ISNUMBER(SEARCH("Party Name:-",'R.M Billets Reports'!D480)),TRIM('R.M Billets Reports'!F480),IF(ISNUMBER(SEARCH("Party Name-",'R.M Billets Reports'!D480)),TRIM(MID('R.M Billets Reports'!D480,SEARCH("-",'R.M Billets Reports'!D480)+1,200)),""))&lt;&gt;"",IF(ISNUMBER(SEARCH("Party Name:-",'R.M Billets Reports'!D480)),TRIM('R.M Billets Reports'!F480),IF(ISNUMBER(SEARCH("Party Name-",'R.M Billets Reports'!D480)),TRIM(MID('R.M Billets Reports'!D480,SEARCH("-",'R.M Billets Reports'!D480)+1,200)),"")),IF(ISNUMBER(SEARCH("Party Name:-",'R.M Billets Reports'!D481)),TRIM('R.M Billets Reports'!F481),IF(ISNUMBER(SEARCH("Party Name-",'R.M Billets Reports'!D481)),TRIM(MID('R.M Billets Reports'!D481,SEARCH("-",'R.M Billets Reports'!D481)+1,200)),"")))="SHREE RADHE SHAKTI SPONGE AND POWER PVT. LTD.","SHREE RADHE",IF(IF(ISNUMBER(SEARCH("Party Name:-",'R.M Billets Reports'!D480)),TRIM('R.M Billets Reports'!F480),IF(ISNUMBER(SEARCH("Party Name-",'R.M Billets Reports'!D480)),TRIM(MID('R.M Billets Reports'!D480,SEARCH("-",'R.M Billets Reports'!D480)+1,200)),""))&lt;&gt;"",IF(ISNUMBER(SEARCH("Party Name:-",'R.M Billets Reports'!D480)),TRIM('R.M Billets Reports'!F480),IF(ISNUMBER(SEARCH("Party Name-",'R.M Billets Reports'!D480)),TRIM(MID('R.M Billets Reports'!D480,SEARCH("-",'R.M Billets Reports'!D480)+1,200)),"")),IF(ISNUMBER(SEARCH("Party Name:-",'R.M Billets Reports'!D481)),TRIM('R.M Billets Reports'!F481),IF(ISNUMBER(SEARCH("Party Name-",'R.M Billets Reports'!D481)),TRIM(MID('R.M Billets Reports'!D481,SEARCH("-",'R.M Billets Reports'!D481)+1,200)),"")))))),IF(ROW()=2,"",A480))</f>
      </c>
      <c r="B481">
        <f>IF(OR('R.M Billets Reports'!A480="Date-",'R.M Billets Reports'!A480="Date:-"),'R.M Billets Reports'!B480,IF(ROW()=2,"",B480))</f>
      </c>
      <c r="C481">
        <f>IF('R.M Billets Reports'!A480="V.No.",'R.M Billets Reports'!B480,IF(ROW()=2,"",C480))</f>
      </c>
      <c r="D481">
        <f>IF('R.M Billets Reports'!A480&lt;&gt;"",'R.M Billets Reports'!A480,IF(ROW()=2,"",D480))</f>
      </c>
      <c r="E481">
        <f>IF('R.M Billets Reports'!B480="","",TRIM('R.M Billets Reports'!B480))</f>
      </c>
      <c r="F481">
        <f>'R.M Billets Reports'!C480</f>
      </c>
      <c r="G481">
        <f>'R.M Billets Reports'!D480</f>
      </c>
      <c r="H481">
        <f>'R.M Billets Reports'!E480</f>
      </c>
      <c r="I481">
        <f>'R.M Billets Reports'!F480</f>
      </c>
      <c r="J481">
        <f>'R.M Billets Reports'!G480</f>
      </c>
      <c r="K481">
        <f>'R.M Billets Reports'!H480</f>
      </c>
      <c r="L481">
        <f>IF('R.M Billets Reports'!I480="","",'R.M Billets Reports'!I480)</f>
      </c>
      <c r="M481">
        <f t="shared" si="14"/>
      </c>
      <c r="N481">
        <f>IF('R.M Billets Reports'!J480="","",'R.M Billets Reports'!J480)</f>
      </c>
      <c r="O481">
        <f t="shared" si="15"/>
      </c>
      <c r="P481">
        <f>IF('R.M Billets Reports'!A480="SIZE",'R.M Billets Reports'!B480,P480)</f>
      </c>
    </row>
    <row r="482" spans="1:16" x14ac:dyDescent="0.25">
      <c r="A482">
        <f>IF(OR('R.M Billets Reports'!A481="Date-",'R.M Billets Reports'!A481="Date:-"),IF(IF(IF(ISNUMBER(SEARCH("Party Name:-",'R.M Billets Reports'!D481)),TRIM('R.M Billets Reports'!F481),IF(ISNUMBER(SEARCH("Party Name-",'R.M Billets Reports'!D481)),TRIM(MID('R.M Billets Reports'!D481,SEARCH("-",'R.M Billets Reports'!D481)+1,200)),""))&lt;&gt;"",IF(ISNUMBER(SEARCH("Party Name:-",'R.M Billets Reports'!D481)),TRIM('R.M Billets Reports'!F481),IF(ISNUMBER(SEARCH("Party Name-",'R.M Billets Reports'!D481)),TRIM(MID('R.M Billets Reports'!D481,SEARCH("-",'R.M Billets Reports'!D481)+1,200)),"")),IF(ISNUMBER(SEARCH("Party Name:-",'R.M Billets Reports'!D482)),TRIM('R.M Billets Reports'!F482),IF(ISNUMBER(SEARCH("Party Name-",'R.M Billets Reports'!D482)),TRIM(MID('R.M Billets Reports'!D482,SEARCH("-",'R.M Billets Reports'!D482)+1,200)),"")))="VRKP ISPAT PVT LTD","VRKP",IF(IF(IF(ISNUMBER(SEARCH("Party Name:-",'R.M Billets Reports'!D481)),TRIM('R.M Billets Reports'!F481),IF(ISNUMBER(SEARCH("Party Name-",'R.M Billets Reports'!D481)),TRIM(MID('R.M Billets Reports'!D481,SEARCH("-",'R.M Billets Reports'!D481)+1,200)),""))&lt;&gt;"",IF(ISNUMBER(SEARCH("Party Name:-",'R.M Billets Reports'!D481)),TRIM('R.M Billets Reports'!F481),IF(ISNUMBER(SEARCH("Party Name-",'R.M Billets Reports'!D481)),TRIM(MID('R.M Billets Reports'!D481,SEARCH("-",'R.M Billets Reports'!D481)+1,200)),"")),IF(ISNUMBER(SEARCH("Party Name:-",'R.M Billets Reports'!D482)),TRIM('R.M Billets Reports'!F482),IF(ISNUMBER(SEARCH("Party Name-",'R.M Billets Reports'!D482)),TRIM(MID('R.M Billets Reports'!D482,SEARCH("-",'R.M Billets Reports'!D482)+1,200)),"")))="SHRI RADHE","SHREE RADHE",IF(IF(IF(ISNUMBER(SEARCH("Party Name:-",'R.M Billets Reports'!D481)),TRIM('R.M Billets Reports'!F481),IF(ISNUMBER(SEARCH("Party Name-",'R.M Billets Reports'!D481)),TRIM(MID('R.M Billets Reports'!D481,SEARCH("-",'R.M Billets Reports'!D481)+1,200)),""))&lt;&gt;"",IF(ISNUMBER(SEARCH("Party Name:-",'R.M Billets Reports'!D481)),TRIM('R.M Billets Reports'!F481),IF(ISNUMBER(SEARCH("Party Name-",'R.M Billets Reports'!D481)),TRIM(MID('R.M Billets Reports'!D481,SEARCH("-",'R.M Billets Reports'!D481)+1,200)),"")),IF(ISNUMBER(SEARCH("Party Name:-",'R.M Billets Reports'!D482)),TRIM('R.M Billets Reports'!F482),IF(ISNUMBER(SEARCH("Party Name-",'R.M Billets Reports'!D482)),TRIM(MID('R.M Billets Reports'!D482,SEARCH("-",'R.M Billets Reports'!D482)+1,200)),"")))="SHREE RADHE SHAKTI SPONGE AND POWER PVT. LTD.","SHREE RADHE",IF(IF(ISNUMBER(SEARCH("Party Name:-",'R.M Billets Reports'!D481)),TRIM('R.M Billets Reports'!F481),IF(ISNUMBER(SEARCH("Party Name-",'R.M Billets Reports'!D481)),TRIM(MID('R.M Billets Reports'!D481,SEARCH("-",'R.M Billets Reports'!D481)+1,200)),""))&lt;&gt;"",IF(ISNUMBER(SEARCH("Party Name:-",'R.M Billets Reports'!D481)),TRIM('R.M Billets Reports'!F481),IF(ISNUMBER(SEARCH("Party Name-",'R.M Billets Reports'!D481)),TRIM(MID('R.M Billets Reports'!D481,SEARCH("-",'R.M Billets Reports'!D481)+1,200)),"")),IF(ISNUMBER(SEARCH("Party Name:-",'R.M Billets Reports'!D482)),TRIM('R.M Billets Reports'!F482),IF(ISNUMBER(SEARCH("Party Name-",'R.M Billets Reports'!D482)),TRIM(MID('R.M Billets Reports'!D482,SEARCH("-",'R.M Billets Reports'!D482)+1,200)),"")))))),IF(ROW()=2,"",A481))</f>
      </c>
      <c r="B482">
        <f>IF(OR('R.M Billets Reports'!A481="Date-",'R.M Billets Reports'!A481="Date:-"),'R.M Billets Reports'!B481,IF(ROW()=2,"",B481))</f>
      </c>
      <c r="C482">
        <f>IF('R.M Billets Reports'!A481="V.No.",'R.M Billets Reports'!B481,IF(ROW()=2,"",C481))</f>
      </c>
      <c r="D482">
        <f>IF('R.M Billets Reports'!A481&lt;&gt;"",'R.M Billets Reports'!A481,IF(ROW()=2,"",D481))</f>
      </c>
      <c r="E482">
        <f>IF('R.M Billets Reports'!B481="","",TRIM('R.M Billets Reports'!B481))</f>
      </c>
      <c r="F482">
        <f>'R.M Billets Reports'!C481</f>
      </c>
      <c r="G482">
        <f>'R.M Billets Reports'!D481</f>
      </c>
      <c r="H482">
        <f>'R.M Billets Reports'!E481</f>
      </c>
      <c r="I482">
        <f>'R.M Billets Reports'!F481</f>
      </c>
      <c r="J482">
        <f>'R.M Billets Reports'!G481</f>
      </c>
      <c r="K482">
        <f>'R.M Billets Reports'!H481</f>
      </c>
      <c r="L482">
        <f>IF('R.M Billets Reports'!I481="","",'R.M Billets Reports'!I481)</f>
      </c>
      <c r="M482">
        <f t="shared" si="14"/>
      </c>
      <c r="N482">
        <f>IF('R.M Billets Reports'!J481="","",'R.M Billets Reports'!J481)</f>
      </c>
      <c r="O482">
        <f t="shared" si="15"/>
      </c>
      <c r="P482">
        <f>IF('R.M Billets Reports'!A481="SIZE",'R.M Billets Reports'!B481,P481)</f>
      </c>
    </row>
    <row r="483" spans="1:16" x14ac:dyDescent="0.25">
      <c r="A483">
        <f>IF(OR('R.M Billets Reports'!A482="Date-",'R.M Billets Reports'!A482="Date:-"),IF(IF(IF(ISNUMBER(SEARCH("Party Name:-",'R.M Billets Reports'!D482)),TRIM('R.M Billets Reports'!F482),IF(ISNUMBER(SEARCH("Party Name-",'R.M Billets Reports'!D482)),TRIM(MID('R.M Billets Reports'!D482,SEARCH("-",'R.M Billets Reports'!D482)+1,200)),""))&lt;&gt;"",IF(ISNUMBER(SEARCH("Party Name:-",'R.M Billets Reports'!D482)),TRIM('R.M Billets Reports'!F482),IF(ISNUMBER(SEARCH("Party Name-",'R.M Billets Reports'!D482)),TRIM(MID('R.M Billets Reports'!D482,SEARCH("-",'R.M Billets Reports'!D482)+1,200)),"")),IF(ISNUMBER(SEARCH("Party Name:-",'R.M Billets Reports'!D483)),TRIM('R.M Billets Reports'!F483),IF(ISNUMBER(SEARCH("Party Name-",'R.M Billets Reports'!D483)),TRIM(MID('R.M Billets Reports'!D483,SEARCH("-",'R.M Billets Reports'!D483)+1,200)),"")))="VRKP ISPAT PVT LTD","VRKP",IF(IF(IF(ISNUMBER(SEARCH("Party Name:-",'R.M Billets Reports'!D482)),TRIM('R.M Billets Reports'!F482),IF(ISNUMBER(SEARCH("Party Name-",'R.M Billets Reports'!D482)),TRIM(MID('R.M Billets Reports'!D482,SEARCH("-",'R.M Billets Reports'!D482)+1,200)),""))&lt;&gt;"",IF(ISNUMBER(SEARCH("Party Name:-",'R.M Billets Reports'!D482)),TRIM('R.M Billets Reports'!F482),IF(ISNUMBER(SEARCH("Party Name-",'R.M Billets Reports'!D482)),TRIM(MID('R.M Billets Reports'!D482,SEARCH("-",'R.M Billets Reports'!D482)+1,200)),"")),IF(ISNUMBER(SEARCH("Party Name:-",'R.M Billets Reports'!D483)),TRIM('R.M Billets Reports'!F483),IF(ISNUMBER(SEARCH("Party Name-",'R.M Billets Reports'!D483)),TRIM(MID('R.M Billets Reports'!D483,SEARCH("-",'R.M Billets Reports'!D483)+1,200)),"")))="SHRI RADHE","SHREE RADHE",IF(IF(IF(ISNUMBER(SEARCH("Party Name:-",'R.M Billets Reports'!D482)),TRIM('R.M Billets Reports'!F482),IF(ISNUMBER(SEARCH("Party Name-",'R.M Billets Reports'!D482)),TRIM(MID('R.M Billets Reports'!D482,SEARCH("-",'R.M Billets Reports'!D482)+1,200)),""))&lt;&gt;"",IF(ISNUMBER(SEARCH("Party Name:-",'R.M Billets Reports'!D482)),TRIM('R.M Billets Reports'!F482),IF(ISNUMBER(SEARCH("Party Name-",'R.M Billets Reports'!D482)),TRIM(MID('R.M Billets Reports'!D482,SEARCH("-",'R.M Billets Reports'!D482)+1,200)),"")),IF(ISNUMBER(SEARCH("Party Name:-",'R.M Billets Reports'!D483)),TRIM('R.M Billets Reports'!F483),IF(ISNUMBER(SEARCH("Party Name-",'R.M Billets Reports'!D483)),TRIM(MID('R.M Billets Reports'!D483,SEARCH("-",'R.M Billets Reports'!D483)+1,200)),"")))="SHREE RADHE SHAKTI SPONGE AND POWER PVT. LTD.","SHREE RADHE",IF(IF(ISNUMBER(SEARCH("Party Name:-",'R.M Billets Reports'!D482)),TRIM('R.M Billets Reports'!F482),IF(ISNUMBER(SEARCH("Party Name-",'R.M Billets Reports'!D482)),TRIM(MID('R.M Billets Reports'!D482,SEARCH("-",'R.M Billets Reports'!D482)+1,200)),""))&lt;&gt;"",IF(ISNUMBER(SEARCH("Party Name:-",'R.M Billets Reports'!D482)),TRIM('R.M Billets Reports'!F482),IF(ISNUMBER(SEARCH("Party Name-",'R.M Billets Reports'!D482)),TRIM(MID('R.M Billets Reports'!D482,SEARCH("-",'R.M Billets Reports'!D482)+1,200)),"")),IF(ISNUMBER(SEARCH("Party Name:-",'R.M Billets Reports'!D483)),TRIM('R.M Billets Reports'!F483),IF(ISNUMBER(SEARCH("Party Name-",'R.M Billets Reports'!D483)),TRIM(MID('R.M Billets Reports'!D483,SEARCH("-",'R.M Billets Reports'!D483)+1,200)),"")))))),IF(ROW()=2,"",A482))</f>
      </c>
      <c r="B483">
        <f>IF(OR('R.M Billets Reports'!A482="Date-",'R.M Billets Reports'!A482="Date:-"),'R.M Billets Reports'!B482,IF(ROW()=2,"",B482))</f>
      </c>
      <c r="C483">
        <f>IF('R.M Billets Reports'!A482="V.No.",'R.M Billets Reports'!B482,IF(ROW()=2,"",C482))</f>
      </c>
      <c r="D483">
        <f>IF('R.M Billets Reports'!A482&lt;&gt;"",'R.M Billets Reports'!A482,IF(ROW()=2,"",D482))</f>
      </c>
      <c r="E483">
        <f>IF('R.M Billets Reports'!B482="","",TRIM('R.M Billets Reports'!B482))</f>
      </c>
      <c r="F483">
        <f>'R.M Billets Reports'!C482</f>
      </c>
      <c r="G483">
        <f>'R.M Billets Reports'!D482</f>
      </c>
      <c r="H483">
        <f>'R.M Billets Reports'!E482</f>
      </c>
      <c r="I483">
        <f>'R.M Billets Reports'!F482</f>
      </c>
      <c r="J483">
        <f>'R.M Billets Reports'!G482</f>
      </c>
      <c r="K483">
        <f>'R.M Billets Reports'!H482</f>
      </c>
      <c r="L483">
        <f>IF('R.M Billets Reports'!I482="","",'R.M Billets Reports'!I482)</f>
      </c>
      <c r="M483">
        <f t="shared" si="14"/>
      </c>
      <c r="N483">
        <f>IF('R.M Billets Reports'!J482="","",'R.M Billets Reports'!J482)</f>
      </c>
      <c r="O483">
        <f t="shared" si="15"/>
      </c>
      <c r="P483">
        <f>IF('R.M Billets Reports'!A482="SIZE",'R.M Billets Reports'!B482,P482)</f>
      </c>
    </row>
    <row r="484" spans="1:16" x14ac:dyDescent="0.25">
      <c r="A484">
        <f>IF(OR('R.M Billets Reports'!A483="Date-",'R.M Billets Reports'!A483="Date:-"),IF(IF(IF(ISNUMBER(SEARCH("Party Name:-",'R.M Billets Reports'!D483)),TRIM('R.M Billets Reports'!F483),IF(ISNUMBER(SEARCH("Party Name-",'R.M Billets Reports'!D483)),TRIM(MID('R.M Billets Reports'!D483,SEARCH("-",'R.M Billets Reports'!D483)+1,200)),""))&lt;&gt;"",IF(ISNUMBER(SEARCH("Party Name:-",'R.M Billets Reports'!D483)),TRIM('R.M Billets Reports'!F483),IF(ISNUMBER(SEARCH("Party Name-",'R.M Billets Reports'!D483)),TRIM(MID('R.M Billets Reports'!D483,SEARCH("-",'R.M Billets Reports'!D483)+1,200)),"")),IF(ISNUMBER(SEARCH("Party Name:-",'R.M Billets Reports'!D484)),TRIM('R.M Billets Reports'!F484),IF(ISNUMBER(SEARCH("Party Name-",'R.M Billets Reports'!D484)),TRIM(MID('R.M Billets Reports'!D484,SEARCH("-",'R.M Billets Reports'!D484)+1,200)),"")))="VRKP ISPAT PVT LTD","VRKP",IF(IF(IF(ISNUMBER(SEARCH("Party Name:-",'R.M Billets Reports'!D483)),TRIM('R.M Billets Reports'!F483),IF(ISNUMBER(SEARCH("Party Name-",'R.M Billets Reports'!D483)),TRIM(MID('R.M Billets Reports'!D483,SEARCH("-",'R.M Billets Reports'!D483)+1,200)),""))&lt;&gt;"",IF(ISNUMBER(SEARCH("Party Name:-",'R.M Billets Reports'!D483)),TRIM('R.M Billets Reports'!F483),IF(ISNUMBER(SEARCH("Party Name-",'R.M Billets Reports'!D483)),TRIM(MID('R.M Billets Reports'!D483,SEARCH("-",'R.M Billets Reports'!D483)+1,200)),"")),IF(ISNUMBER(SEARCH("Party Name:-",'R.M Billets Reports'!D484)),TRIM('R.M Billets Reports'!F484),IF(ISNUMBER(SEARCH("Party Name-",'R.M Billets Reports'!D484)),TRIM(MID('R.M Billets Reports'!D484,SEARCH("-",'R.M Billets Reports'!D484)+1,200)),"")))="SHRI RADHE","SHREE RADHE",IF(IF(IF(ISNUMBER(SEARCH("Party Name:-",'R.M Billets Reports'!D483)),TRIM('R.M Billets Reports'!F483),IF(ISNUMBER(SEARCH("Party Name-",'R.M Billets Reports'!D483)),TRIM(MID('R.M Billets Reports'!D483,SEARCH("-",'R.M Billets Reports'!D483)+1,200)),""))&lt;&gt;"",IF(ISNUMBER(SEARCH("Party Name:-",'R.M Billets Reports'!D483)),TRIM('R.M Billets Reports'!F483),IF(ISNUMBER(SEARCH("Party Name-",'R.M Billets Reports'!D483)),TRIM(MID('R.M Billets Reports'!D483,SEARCH("-",'R.M Billets Reports'!D483)+1,200)),"")),IF(ISNUMBER(SEARCH("Party Name:-",'R.M Billets Reports'!D484)),TRIM('R.M Billets Reports'!F484),IF(ISNUMBER(SEARCH("Party Name-",'R.M Billets Reports'!D484)),TRIM(MID('R.M Billets Reports'!D484,SEARCH("-",'R.M Billets Reports'!D484)+1,200)),"")))="SHREE RADHE SHAKTI SPONGE AND POWER PVT. LTD.","SHREE RADHE",IF(IF(ISNUMBER(SEARCH("Party Name:-",'R.M Billets Reports'!D483)),TRIM('R.M Billets Reports'!F483),IF(ISNUMBER(SEARCH("Party Name-",'R.M Billets Reports'!D483)),TRIM(MID('R.M Billets Reports'!D483,SEARCH("-",'R.M Billets Reports'!D483)+1,200)),""))&lt;&gt;"",IF(ISNUMBER(SEARCH("Party Name:-",'R.M Billets Reports'!D483)),TRIM('R.M Billets Reports'!F483),IF(ISNUMBER(SEARCH("Party Name-",'R.M Billets Reports'!D483)),TRIM(MID('R.M Billets Reports'!D483,SEARCH("-",'R.M Billets Reports'!D483)+1,200)),"")),IF(ISNUMBER(SEARCH("Party Name:-",'R.M Billets Reports'!D484)),TRIM('R.M Billets Reports'!F484),IF(ISNUMBER(SEARCH("Party Name-",'R.M Billets Reports'!D484)),TRIM(MID('R.M Billets Reports'!D484,SEARCH("-",'R.M Billets Reports'!D484)+1,200)),"")))))),IF(ROW()=2,"",A483))</f>
      </c>
      <c r="B484">
        <f>IF(OR('R.M Billets Reports'!A483="Date-",'R.M Billets Reports'!A483="Date:-"),'R.M Billets Reports'!B483,IF(ROW()=2,"",B483))</f>
      </c>
      <c r="C484">
        <f>IF('R.M Billets Reports'!A483="V.No.",'R.M Billets Reports'!B483,IF(ROW()=2,"",C483))</f>
      </c>
      <c r="D484">
        <f>IF('R.M Billets Reports'!A483&lt;&gt;"",'R.M Billets Reports'!A483,IF(ROW()=2,"",D483))</f>
      </c>
      <c r="E484">
        <f>IF('R.M Billets Reports'!B483="","",TRIM('R.M Billets Reports'!B483))</f>
      </c>
      <c r="F484">
        <f>'R.M Billets Reports'!C483</f>
      </c>
      <c r="G484">
        <f>'R.M Billets Reports'!D483</f>
      </c>
      <c r="H484">
        <f>'R.M Billets Reports'!E483</f>
      </c>
      <c r="I484">
        <f>'R.M Billets Reports'!F483</f>
      </c>
      <c r="J484">
        <f>'R.M Billets Reports'!G483</f>
      </c>
      <c r="K484">
        <f>'R.M Billets Reports'!H483</f>
      </c>
      <c r="L484">
        <f>IF('R.M Billets Reports'!I483="","",'R.M Billets Reports'!I483)</f>
      </c>
      <c r="M484">
        <f t="shared" si="14"/>
      </c>
      <c r="N484">
        <f>IF('R.M Billets Reports'!J483="","",'R.M Billets Reports'!J483)</f>
      </c>
      <c r="O484">
        <f t="shared" si="15"/>
      </c>
      <c r="P484">
        <f>IF('R.M Billets Reports'!A483="SIZE",'R.M Billets Reports'!B483,P483)</f>
      </c>
    </row>
    <row r="485" spans="1:16" x14ac:dyDescent="0.25">
      <c r="A485">
        <f>IF(OR('R.M Billets Reports'!A484="Date-",'R.M Billets Reports'!A484="Date:-"),IF(IF(IF(ISNUMBER(SEARCH("Party Name:-",'R.M Billets Reports'!D484)),TRIM('R.M Billets Reports'!F484),IF(ISNUMBER(SEARCH("Party Name-",'R.M Billets Reports'!D484)),TRIM(MID('R.M Billets Reports'!D484,SEARCH("-",'R.M Billets Reports'!D484)+1,200)),""))&lt;&gt;"",IF(ISNUMBER(SEARCH("Party Name:-",'R.M Billets Reports'!D484)),TRIM('R.M Billets Reports'!F484),IF(ISNUMBER(SEARCH("Party Name-",'R.M Billets Reports'!D484)),TRIM(MID('R.M Billets Reports'!D484,SEARCH("-",'R.M Billets Reports'!D484)+1,200)),"")),IF(ISNUMBER(SEARCH("Party Name:-",'R.M Billets Reports'!D485)),TRIM('R.M Billets Reports'!F485),IF(ISNUMBER(SEARCH("Party Name-",'R.M Billets Reports'!D485)),TRIM(MID('R.M Billets Reports'!D485,SEARCH("-",'R.M Billets Reports'!D485)+1,200)),"")))="VRKP ISPAT PVT LTD","VRKP",IF(IF(IF(ISNUMBER(SEARCH("Party Name:-",'R.M Billets Reports'!D484)),TRIM('R.M Billets Reports'!F484),IF(ISNUMBER(SEARCH("Party Name-",'R.M Billets Reports'!D484)),TRIM(MID('R.M Billets Reports'!D484,SEARCH("-",'R.M Billets Reports'!D484)+1,200)),""))&lt;&gt;"",IF(ISNUMBER(SEARCH("Party Name:-",'R.M Billets Reports'!D484)),TRIM('R.M Billets Reports'!F484),IF(ISNUMBER(SEARCH("Party Name-",'R.M Billets Reports'!D484)),TRIM(MID('R.M Billets Reports'!D484,SEARCH("-",'R.M Billets Reports'!D484)+1,200)),"")),IF(ISNUMBER(SEARCH("Party Name:-",'R.M Billets Reports'!D485)),TRIM('R.M Billets Reports'!F485),IF(ISNUMBER(SEARCH("Party Name-",'R.M Billets Reports'!D485)),TRIM(MID('R.M Billets Reports'!D485,SEARCH("-",'R.M Billets Reports'!D485)+1,200)),"")))="SHRI RADHE","SHREE RADHE",IF(IF(IF(ISNUMBER(SEARCH("Party Name:-",'R.M Billets Reports'!D484)),TRIM('R.M Billets Reports'!F484),IF(ISNUMBER(SEARCH("Party Name-",'R.M Billets Reports'!D484)),TRIM(MID('R.M Billets Reports'!D484,SEARCH("-",'R.M Billets Reports'!D484)+1,200)),""))&lt;&gt;"",IF(ISNUMBER(SEARCH("Party Name:-",'R.M Billets Reports'!D484)),TRIM('R.M Billets Reports'!F484),IF(ISNUMBER(SEARCH("Party Name-",'R.M Billets Reports'!D484)),TRIM(MID('R.M Billets Reports'!D484,SEARCH("-",'R.M Billets Reports'!D484)+1,200)),"")),IF(ISNUMBER(SEARCH("Party Name:-",'R.M Billets Reports'!D485)),TRIM('R.M Billets Reports'!F485),IF(ISNUMBER(SEARCH("Party Name-",'R.M Billets Reports'!D485)),TRIM(MID('R.M Billets Reports'!D485,SEARCH("-",'R.M Billets Reports'!D485)+1,200)),"")))="SHREE RADHE SHAKTI SPONGE AND POWER PVT. LTD.","SHREE RADHE",IF(IF(ISNUMBER(SEARCH("Party Name:-",'R.M Billets Reports'!D484)),TRIM('R.M Billets Reports'!F484),IF(ISNUMBER(SEARCH("Party Name-",'R.M Billets Reports'!D484)),TRIM(MID('R.M Billets Reports'!D484,SEARCH("-",'R.M Billets Reports'!D484)+1,200)),""))&lt;&gt;"",IF(ISNUMBER(SEARCH("Party Name:-",'R.M Billets Reports'!D484)),TRIM('R.M Billets Reports'!F484),IF(ISNUMBER(SEARCH("Party Name-",'R.M Billets Reports'!D484)),TRIM(MID('R.M Billets Reports'!D484,SEARCH("-",'R.M Billets Reports'!D484)+1,200)),"")),IF(ISNUMBER(SEARCH("Party Name:-",'R.M Billets Reports'!D485)),TRIM('R.M Billets Reports'!F485),IF(ISNUMBER(SEARCH("Party Name-",'R.M Billets Reports'!D485)),TRIM(MID('R.M Billets Reports'!D485,SEARCH("-",'R.M Billets Reports'!D485)+1,200)),"")))))),IF(ROW()=2,"",A484))</f>
      </c>
      <c r="B485">
        <f>IF(OR('R.M Billets Reports'!A484="Date-",'R.M Billets Reports'!A484="Date:-"),'R.M Billets Reports'!B484,IF(ROW()=2,"",B484))</f>
      </c>
      <c r="C485">
        <f>IF('R.M Billets Reports'!A484="V.No.",'R.M Billets Reports'!B484,IF(ROW()=2,"",C484))</f>
      </c>
      <c r="D485">
        <f>IF('R.M Billets Reports'!A484&lt;&gt;"",'R.M Billets Reports'!A484,IF(ROW()=2,"",D484))</f>
      </c>
      <c r="E485">
        <f>IF('R.M Billets Reports'!B484="","",TRIM('R.M Billets Reports'!B484))</f>
      </c>
      <c r="F485">
        <f>'R.M Billets Reports'!C484</f>
      </c>
      <c r="G485">
        <f>'R.M Billets Reports'!D484</f>
      </c>
      <c r="H485">
        <f>'R.M Billets Reports'!E484</f>
      </c>
      <c r="I485">
        <f>'R.M Billets Reports'!F484</f>
      </c>
      <c r="J485">
        <f>'R.M Billets Reports'!G484</f>
      </c>
      <c r="K485">
        <f>'R.M Billets Reports'!H484</f>
      </c>
      <c r="L485">
        <f>IF('R.M Billets Reports'!I484="","",'R.M Billets Reports'!I484)</f>
      </c>
      <c r="M485">
        <f t="shared" si="14"/>
      </c>
      <c r="N485">
        <f>IF('R.M Billets Reports'!J484="","",'R.M Billets Reports'!J484)</f>
      </c>
      <c r="O485">
        <f t="shared" si="15"/>
      </c>
      <c r="P485">
        <f>IF('R.M Billets Reports'!A484="SIZE",'R.M Billets Reports'!B484,P484)</f>
      </c>
    </row>
    <row r="486" spans="1:16" x14ac:dyDescent="0.25">
      <c r="A486">
        <f>IF(OR('R.M Billets Reports'!A485="Date-",'R.M Billets Reports'!A485="Date:-"),IF(IF(IF(ISNUMBER(SEARCH("Party Name:-",'R.M Billets Reports'!D485)),TRIM('R.M Billets Reports'!F485),IF(ISNUMBER(SEARCH("Party Name-",'R.M Billets Reports'!D485)),TRIM(MID('R.M Billets Reports'!D485,SEARCH("-",'R.M Billets Reports'!D485)+1,200)),""))&lt;&gt;"",IF(ISNUMBER(SEARCH("Party Name:-",'R.M Billets Reports'!D485)),TRIM('R.M Billets Reports'!F485),IF(ISNUMBER(SEARCH("Party Name-",'R.M Billets Reports'!D485)),TRIM(MID('R.M Billets Reports'!D485,SEARCH("-",'R.M Billets Reports'!D485)+1,200)),"")),IF(ISNUMBER(SEARCH("Party Name:-",'R.M Billets Reports'!D486)),TRIM('R.M Billets Reports'!F486),IF(ISNUMBER(SEARCH("Party Name-",'R.M Billets Reports'!D486)),TRIM(MID('R.M Billets Reports'!D486,SEARCH("-",'R.M Billets Reports'!D486)+1,200)),"")))="VRKP ISPAT PVT LTD","VRKP",IF(IF(IF(ISNUMBER(SEARCH("Party Name:-",'R.M Billets Reports'!D485)),TRIM('R.M Billets Reports'!F485),IF(ISNUMBER(SEARCH("Party Name-",'R.M Billets Reports'!D485)),TRIM(MID('R.M Billets Reports'!D485,SEARCH("-",'R.M Billets Reports'!D485)+1,200)),""))&lt;&gt;"",IF(ISNUMBER(SEARCH("Party Name:-",'R.M Billets Reports'!D485)),TRIM('R.M Billets Reports'!F485),IF(ISNUMBER(SEARCH("Party Name-",'R.M Billets Reports'!D485)),TRIM(MID('R.M Billets Reports'!D485,SEARCH("-",'R.M Billets Reports'!D485)+1,200)),"")),IF(ISNUMBER(SEARCH("Party Name:-",'R.M Billets Reports'!D486)),TRIM('R.M Billets Reports'!F486),IF(ISNUMBER(SEARCH("Party Name-",'R.M Billets Reports'!D486)),TRIM(MID('R.M Billets Reports'!D486,SEARCH("-",'R.M Billets Reports'!D486)+1,200)),"")))="SHRI RADHE","SHREE RADHE",IF(IF(IF(ISNUMBER(SEARCH("Party Name:-",'R.M Billets Reports'!D485)),TRIM('R.M Billets Reports'!F485),IF(ISNUMBER(SEARCH("Party Name-",'R.M Billets Reports'!D485)),TRIM(MID('R.M Billets Reports'!D485,SEARCH("-",'R.M Billets Reports'!D485)+1,200)),""))&lt;&gt;"",IF(ISNUMBER(SEARCH("Party Name:-",'R.M Billets Reports'!D485)),TRIM('R.M Billets Reports'!F485),IF(ISNUMBER(SEARCH("Party Name-",'R.M Billets Reports'!D485)),TRIM(MID('R.M Billets Reports'!D485,SEARCH("-",'R.M Billets Reports'!D485)+1,200)),"")),IF(ISNUMBER(SEARCH("Party Name:-",'R.M Billets Reports'!D486)),TRIM('R.M Billets Reports'!F486),IF(ISNUMBER(SEARCH("Party Name-",'R.M Billets Reports'!D486)),TRIM(MID('R.M Billets Reports'!D486,SEARCH("-",'R.M Billets Reports'!D486)+1,200)),"")))="SHREE RADHE SHAKTI SPONGE AND POWER PVT. LTD.","SHREE RADHE",IF(IF(ISNUMBER(SEARCH("Party Name:-",'R.M Billets Reports'!D485)),TRIM('R.M Billets Reports'!F485),IF(ISNUMBER(SEARCH("Party Name-",'R.M Billets Reports'!D485)),TRIM(MID('R.M Billets Reports'!D485,SEARCH("-",'R.M Billets Reports'!D485)+1,200)),""))&lt;&gt;"",IF(ISNUMBER(SEARCH("Party Name:-",'R.M Billets Reports'!D485)),TRIM('R.M Billets Reports'!F485),IF(ISNUMBER(SEARCH("Party Name-",'R.M Billets Reports'!D485)),TRIM(MID('R.M Billets Reports'!D485,SEARCH("-",'R.M Billets Reports'!D485)+1,200)),"")),IF(ISNUMBER(SEARCH("Party Name:-",'R.M Billets Reports'!D486)),TRIM('R.M Billets Reports'!F486),IF(ISNUMBER(SEARCH("Party Name-",'R.M Billets Reports'!D486)),TRIM(MID('R.M Billets Reports'!D486,SEARCH("-",'R.M Billets Reports'!D486)+1,200)),"")))))),IF(ROW()=2,"",A485))</f>
      </c>
      <c r="B486">
        <f>IF(OR('R.M Billets Reports'!A485="Date-",'R.M Billets Reports'!A485="Date:-"),'R.M Billets Reports'!B485,IF(ROW()=2,"",B485))</f>
      </c>
      <c r="C486">
        <f>IF('R.M Billets Reports'!A485="V.No.",'R.M Billets Reports'!B485,IF(ROW()=2,"",C485))</f>
      </c>
      <c r="D486">
        <f>IF('R.M Billets Reports'!A485&lt;&gt;"",'R.M Billets Reports'!A485,IF(ROW()=2,"",D485))</f>
      </c>
      <c r="E486">
        <f>IF('R.M Billets Reports'!B485="","",TRIM('R.M Billets Reports'!B485))</f>
      </c>
      <c r="F486">
        <f>'R.M Billets Reports'!C485</f>
      </c>
      <c r="G486">
        <f>'R.M Billets Reports'!D485</f>
      </c>
      <c r="H486">
        <f>'R.M Billets Reports'!E485</f>
      </c>
      <c r="I486">
        <f>'R.M Billets Reports'!F485</f>
      </c>
      <c r="J486">
        <f>'R.M Billets Reports'!G485</f>
      </c>
      <c r="K486">
        <f>'R.M Billets Reports'!H485</f>
      </c>
      <c r="L486">
        <f>IF('R.M Billets Reports'!I485="","",'R.M Billets Reports'!I485)</f>
      </c>
      <c r="M486">
        <f t="shared" si="14"/>
      </c>
      <c r="N486">
        <f>IF('R.M Billets Reports'!J485="","",'R.M Billets Reports'!J485)</f>
      </c>
      <c r="O486">
        <f t="shared" si="15"/>
      </c>
      <c r="P486">
        <f>IF('R.M Billets Reports'!A485="SIZE",'R.M Billets Reports'!B485,P485)</f>
      </c>
    </row>
    <row r="487" spans="1:16" x14ac:dyDescent="0.25">
      <c r="A487">
        <f>IF(OR('R.M Billets Reports'!A486="Date-",'R.M Billets Reports'!A486="Date:-"),IF(IF(IF(ISNUMBER(SEARCH("Party Name:-",'R.M Billets Reports'!D486)),TRIM('R.M Billets Reports'!F486),IF(ISNUMBER(SEARCH("Party Name-",'R.M Billets Reports'!D486)),TRIM(MID('R.M Billets Reports'!D486,SEARCH("-",'R.M Billets Reports'!D486)+1,200)),""))&lt;&gt;"",IF(ISNUMBER(SEARCH("Party Name:-",'R.M Billets Reports'!D486)),TRIM('R.M Billets Reports'!F486),IF(ISNUMBER(SEARCH("Party Name-",'R.M Billets Reports'!D486)),TRIM(MID('R.M Billets Reports'!D486,SEARCH("-",'R.M Billets Reports'!D486)+1,200)),"")),IF(ISNUMBER(SEARCH("Party Name:-",'R.M Billets Reports'!D487)),TRIM('R.M Billets Reports'!F487),IF(ISNUMBER(SEARCH("Party Name-",'R.M Billets Reports'!D487)),TRIM(MID('R.M Billets Reports'!D487,SEARCH("-",'R.M Billets Reports'!D487)+1,200)),"")))="VRKP ISPAT PVT LTD","VRKP",IF(IF(IF(ISNUMBER(SEARCH("Party Name:-",'R.M Billets Reports'!D486)),TRIM('R.M Billets Reports'!F486),IF(ISNUMBER(SEARCH("Party Name-",'R.M Billets Reports'!D486)),TRIM(MID('R.M Billets Reports'!D486,SEARCH("-",'R.M Billets Reports'!D486)+1,200)),""))&lt;&gt;"",IF(ISNUMBER(SEARCH("Party Name:-",'R.M Billets Reports'!D486)),TRIM('R.M Billets Reports'!F486),IF(ISNUMBER(SEARCH("Party Name-",'R.M Billets Reports'!D486)),TRIM(MID('R.M Billets Reports'!D486,SEARCH("-",'R.M Billets Reports'!D486)+1,200)),"")),IF(ISNUMBER(SEARCH("Party Name:-",'R.M Billets Reports'!D487)),TRIM('R.M Billets Reports'!F487),IF(ISNUMBER(SEARCH("Party Name-",'R.M Billets Reports'!D487)),TRIM(MID('R.M Billets Reports'!D487,SEARCH("-",'R.M Billets Reports'!D487)+1,200)),"")))="SHRI RADHE","SHREE RADHE",IF(IF(IF(ISNUMBER(SEARCH("Party Name:-",'R.M Billets Reports'!D486)),TRIM('R.M Billets Reports'!F486),IF(ISNUMBER(SEARCH("Party Name-",'R.M Billets Reports'!D486)),TRIM(MID('R.M Billets Reports'!D486,SEARCH("-",'R.M Billets Reports'!D486)+1,200)),""))&lt;&gt;"",IF(ISNUMBER(SEARCH("Party Name:-",'R.M Billets Reports'!D486)),TRIM('R.M Billets Reports'!F486),IF(ISNUMBER(SEARCH("Party Name-",'R.M Billets Reports'!D486)),TRIM(MID('R.M Billets Reports'!D486,SEARCH("-",'R.M Billets Reports'!D486)+1,200)),"")),IF(ISNUMBER(SEARCH("Party Name:-",'R.M Billets Reports'!D487)),TRIM('R.M Billets Reports'!F487),IF(ISNUMBER(SEARCH("Party Name-",'R.M Billets Reports'!D487)),TRIM(MID('R.M Billets Reports'!D487,SEARCH("-",'R.M Billets Reports'!D487)+1,200)),"")))="SHREE RADHE SHAKTI SPONGE AND POWER PVT. LTD.","SHREE RADHE",IF(IF(ISNUMBER(SEARCH("Party Name:-",'R.M Billets Reports'!D486)),TRIM('R.M Billets Reports'!F486),IF(ISNUMBER(SEARCH("Party Name-",'R.M Billets Reports'!D486)),TRIM(MID('R.M Billets Reports'!D486,SEARCH("-",'R.M Billets Reports'!D486)+1,200)),""))&lt;&gt;"",IF(ISNUMBER(SEARCH("Party Name:-",'R.M Billets Reports'!D486)),TRIM('R.M Billets Reports'!F486),IF(ISNUMBER(SEARCH("Party Name-",'R.M Billets Reports'!D486)),TRIM(MID('R.M Billets Reports'!D486,SEARCH("-",'R.M Billets Reports'!D486)+1,200)),"")),IF(ISNUMBER(SEARCH("Party Name:-",'R.M Billets Reports'!D487)),TRIM('R.M Billets Reports'!F487),IF(ISNUMBER(SEARCH("Party Name-",'R.M Billets Reports'!D487)),TRIM(MID('R.M Billets Reports'!D487,SEARCH("-",'R.M Billets Reports'!D487)+1,200)),"")))))),IF(ROW()=2,"",A486))</f>
      </c>
      <c r="B487">
        <f>IF(OR('R.M Billets Reports'!A486="Date-",'R.M Billets Reports'!A486="Date:-"),'R.M Billets Reports'!B486,IF(ROW()=2,"",B486))</f>
      </c>
      <c r="C487">
        <f>IF('R.M Billets Reports'!A486="V.No.",'R.M Billets Reports'!B486,IF(ROW()=2,"",C486))</f>
      </c>
      <c r="D487">
        <f>IF('R.M Billets Reports'!A486&lt;&gt;"",'R.M Billets Reports'!A486,IF(ROW()=2,"",D486))</f>
      </c>
      <c r="E487">
        <f>IF('R.M Billets Reports'!B486="","",TRIM('R.M Billets Reports'!B486))</f>
      </c>
      <c r="F487">
        <f>'R.M Billets Reports'!C486</f>
      </c>
      <c r="G487">
        <f>'R.M Billets Reports'!D486</f>
      </c>
      <c r="H487">
        <f>'R.M Billets Reports'!E486</f>
      </c>
      <c r="I487">
        <f>'R.M Billets Reports'!F486</f>
      </c>
      <c r="J487">
        <f>'R.M Billets Reports'!G486</f>
      </c>
      <c r="K487">
        <f>'R.M Billets Reports'!H486</f>
      </c>
      <c r="L487">
        <f>IF('R.M Billets Reports'!I486="","",'R.M Billets Reports'!I486)</f>
      </c>
      <c r="M487">
        <f t="shared" si="14"/>
      </c>
      <c r="N487">
        <f>IF('R.M Billets Reports'!J486="","",'R.M Billets Reports'!J486)</f>
      </c>
      <c r="O487">
        <f t="shared" si="15"/>
      </c>
      <c r="P487">
        <f>IF('R.M Billets Reports'!A486="SIZE",'R.M Billets Reports'!B486,P486)</f>
      </c>
    </row>
    <row r="488" spans="1:16" x14ac:dyDescent="0.25">
      <c r="A488">
        <f>IF(OR('R.M Billets Reports'!A487="Date-",'R.M Billets Reports'!A487="Date:-"),IF(IF(IF(ISNUMBER(SEARCH("Party Name:-",'R.M Billets Reports'!D487)),TRIM('R.M Billets Reports'!F487),IF(ISNUMBER(SEARCH("Party Name-",'R.M Billets Reports'!D487)),TRIM(MID('R.M Billets Reports'!D487,SEARCH("-",'R.M Billets Reports'!D487)+1,200)),""))&lt;&gt;"",IF(ISNUMBER(SEARCH("Party Name:-",'R.M Billets Reports'!D487)),TRIM('R.M Billets Reports'!F487),IF(ISNUMBER(SEARCH("Party Name-",'R.M Billets Reports'!D487)),TRIM(MID('R.M Billets Reports'!D487,SEARCH("-",'R.M Billets Reports'!D487)+1,200)),"")),IF(ISNUMBER(SEARCH("Party Name:-",'R.M Billets Reports'!D488)),TRIM('R.M Billets Reports'!F488),IF(ISNUMBER(SEARCH("Party Name-",'R.M Billets Reports'!D488)),TRIM(MID('R.M Billets Reports'!D488,SEARCH("-",'R.M Billets Reports'!D488)+1,200)),"")))="VRKP ISPAT PVT LTD","VRKP",IF(IF(IF(ISNUMBER(SEARCH("Party Name:-",'R.M Billets Reports'!D487)),TRIM('R.M Billets Reports'!F487),IF(ISNUMBER(SEARCH("Party Name-",'R.M Billets Reports'!D487)),TRIM(MID('R.M Billets Reports'!D487,SEARCH("-",'R.M Billets Reports'!D487)+1,200)),""))&lt;&gt;"",IF(ISNUMBER(SEARCH("Party Name:-",'R.M Billets Reports'!D487)),TRIM('R.M Billets Reports'!F487),IF(ISNUMBER(SEARCH("Party Name-",'R.M Billets Reports'!D487)),TRIM(MID('R.M Billets Reports'!D487,SEARCH("-",'R.M Billets Reports'!D487)+1,200)),"")),IF(ISNUMBER(SEARCH("Party Name:-",'R.M Billets Reports'!D488)),TRIM('R.M Billets Reports'!F488),IF(ISNUMBER(SEARCH("Party Name-",'R.M Billets Reports'!D488)),TRIM(MID('R.M Billets Reports'!D488,SEARCH("-",'R.M Billets Reports'!D488)+1,200)),"")))="SHRI RADHE","SHREE RADHE",IF(IF(IF(ISNUMBER(SEARCH("Party Name:-",'R.M Billets Reports'!D487)),TRIM('R.M Billets Reports'!F487),IF(ISNUMBER(SEARCH("Party Name-",'R.M Billets Reports'!D487)),TRIM(MID('R.M Billets Reports'!D487,SEARCH("-",'R.M Billets Reports'!D487)+1,200)),""))&lt;&gt;"",IF(ISNUMBER(SEARCH("Party Name:-",'R.M Billets Reports'!D487)),TRIM('R.M Billets Reports'!F487),IF(ISNUMBER(SEARCH("Party Name-",'R.M Billets Reports'!D487)),TRIM(MID('R.M Billets Reports'!D487,SEARCH("-",'R.M Billets Reports'!D487)+1,200)),"")),IF(ISNUMBER(SEARCH("Party Name:-",'R.M Billets Reports'!D488)),TRIM('R.M Billets Reports'!F488),IF(ISNUMBER(SEARCH("Party Name-",'R.M Billets Reports'!D488)),TRIM(MID('R.M Billets Reports'!D488,SEARCH("-",'R.M Billets Reports'!D488)+1,200)),"")))="SHREE RADHE SHAKTI SPONGE AND POWER PVT. LTD.","SHREE RADHE",IF(IF(ISNUMBER(SEARCH("Party Name:-",'R.M Billets Reports'!D487)),TRIM('R.M Billets Reports'!F487),IF(ISNUMBER(SEARCH("Party Name-",'R.M Billets Reports'!D487)),TRIM(MID('R.M Billets Reports'!D487,SEARCH("-",'R.M Billets Reports'!D487)+1,200)),""))&lt;&gt;"",IF(ISNUMBER(SEARCH("Party Name:-",'R.M Billets Reports'!D487)),TRIM('R.M Billets Reports'!F487),IF(ISNUMBER(SEARCH("Party Name-",'R.M Billets Reports'!D487)),TRIM(MID('R.M Billets Reports'!D487,SEARCH("-",'R.M Billets Reports'!D487)+1,200)),"")),IF(ISNUMBER(SEARCH("Party Name:-",'R.M Billets Reports'!D488)),TRIM('R.M Billets Reports'!F488),IF(ISNUMBER(SEARCH("Party Name-",'R.M Billets Reports'!D488)),TRIM(MID('R.M Billets Reports'!D488,SEARCH("-",'R.M Billets Reports'!D488)+1,200)),"")))))),IF(ROW()=2,"",A487))</f>
      </c>
      <c r="B488">
        <f>IF(OR('R.M Billets Reports'!A487="Date-",'R.M Billets Reports'!A487="Date:-"),'R.M Billets Reports'!B487,IF(ROW()=2,"",B487))</f>
      </c>
      <c r="C488">
        <f>IF('R.M Billets Reports'!A487="V.No.",'R.M Billets Reports'!B487,IF(ROW()=2,"",C487))</f>
      </c>
      <c r="D488">
        <f>IF('R.M Billets Reports'!A487&lt;&gt;"",'R.M Billets Reports'!A487,IF(ROW()=2,"",D487))</f>
      </c>
      <c r="E488">
        <f>IF('R.M Billets Reports'!B487="","",TRIM('R.M Billets Reports'!B487))</f>
      </c>
      <c r="F488">
        <f>'R.M Billets Reports'!C487</f>
      </c>
      <c r="G488">
        <f>'R.M Billets Reports'!D487</f>
      </c>
      <c r="H488">
        <f>'R.M Billets Reports'!E487</f>
      </c>
      <c r="I488">
        <f>'R.M Billets Reports'!F487</f>
      </c>
      <c r="J488">
        <f>'R.M Billets Reports'!G487</f>
      </c>
      <c r="K488">
        <f>'R.M Billets Reports'!H487</f>
      </c>
      <c r="L488">
        <f>IF('R.M Billets Reports'!I487="","",'R.M Billets Reports'!I487)</f>
      </c>
      <c r="M488">
        <f t="shared" si="14"/>
      </c>
      <c r="N488">
        <f>IF('R.M Billets Reports'!J487="","",'R.M Billets Reports'!J487)</f>
      </c>
      <c r="O488">
        <f t="shared" si="15"/>
      </c>
      <c r="P488">
        <f>IF('R.M Billets Reports'!A487="SIZE",'R.M Billets Reports'!B487,P487)</f>
      </c>
    </row>
    <row r="489" spans="1:16" x14ac:dyDescent="0.25">
      <c r="A489">
        <f>IF(OR('R.M Billets Reports'!A488="Date-",'R.M Billets Reports'!A488="Date:-"),IF(IF(IF(ISNUMBER(SEARCH("Party Name:-",'R.M Billets Reports'!D488)),TRIM('R.M Billets Reports'!F488),IF(ISNUMBER(SEARCH("Party Name-",'R.M Billets Reports'!D488)),TRIM(MID('R.M Billets Reports'!D488,SEARCH("-",'R.M Billets Reports'!D488)+1,200)),""))&lt;&gt;"",IF(ISNUMBER(SEARCH("Party Name:-",'R.M Billets Reports'!D488)),TRIM('R.M Billets Reports'!F488),IF(ISNUMBER(SEARCH("Party Name-",'R.M Billets Reports'!D488)),TRIM(MID('R.M Billets Reports'!D488,SEARCH("-",'R.M Billets Reports'!D488)+1,200)),"")),IF(ISNUMBER(SEARCH("Party Name:-",'R.M Billets Reports'!D489)),TRIM('R.M Billets Reports'!F489),IF(ISNUMBER(SEARCH("Party Name-",'R.M Billets Reports'!D489)),TRIM(MID('R.M Billets Reports'!D489,SEARCH("-",'R.M Billets Reports'!D489)+1,200)),"")))="VRKP ISPAT PVT LTD","VRKP",IF(IF(IF(ISNUMBER(SEARCH("Party Name:-",'R.M Billets Reports'!D488)),TRIM('R.M Billets Reports'!F488),IF(ISNUMBER(SEARCH("Party Name-",'R.M Billets Reports'!D488)),TRIM(MID('R.M Billets Reports'!D488,SEARCH("-",'R.M Billets Reports'!D488)+1,200)),""))&lt;&gt;"",IF(ISNUMBER(SEARCH("Party Name:-",'R.M Billets Reports'!D488)),TRIM('R.M Billets Reports'!F488),IF(ISNUMBER(SEARCH("Party Name-",'R.M Billets Reports'!D488)),TRIM(MID('R.M Billets Reports'!D488,SEARCH("-",'R.M Billets Reports'!D488)+1,200)),"")),IF(ISNUMBER(SEARCH("Party Name:-",'R.M Billets Reports'!D489)),TRIM('R.M Billets Reports'!F489),IF(ISNUMBER(SEARCH("Party Name-",'R.M Billets Reports'!D489)),TRIM(MID('R.M Billets Reports'!D489,SEARCH("-",'R.M Billets Reports'!D489)+1,200)),"")))="SHRI RADHE","SHREE RADHE",IF(IF(IF(ISNUMBER(SEARCH("Party Name:-",'R.M Billets Reports'!D488)),TRIM('R.M Billets Reports'!F488),IF(ISNUMBER(SEARCH("Party Name-",'R.M Billets Reports'!D488)),TRIM(MID('R.M Billets Reports'!D488,SEARCH("-",'R.M Billets Reports'!D488)+1,200)),""))&lt;&gt;"",IF(ISNUMBER(SEARCH("Party Name:-",'R.M Billets Reports'!D488)),TRIM('R.M Billets Reports'!F488),IF(ISNUMBER(SEARCH("Party Name-",'R.M Billets Reports'!D488)),TRIM(MID('R.M Billets Reports'!D488,SEARCH("-",'R.M Billets Reports'!D488)+1,200)),"")),IF(ISNUMBER(SEARCH("Party Name:-",'R.M Billets Reports'!D489)),TRIM('R.M Billets Reports'!F489),IF(ISNUMBER(SEARCH("Party Name-",'R.M Billets Reports'!D489)),TRIM(MID('R.M Billets Reports'!D489,SEARCH("-",'R.M Billets Reports'!D489)+1,200)),"")))="SHREE RADHE SHAKTI SPONGE AND POWER PVT. LTD.","SHREE RADHE",IF(IF(ISNUMBER(SEARCH("Party Name:-",'R.M Billets Reports'!D488)),TRIM('R.M Billets Reports'!F488),IF(ISNUMBER(SEARCH("Party Name-",'R.M Billets Reports'!D488)),TRIM(MID('R.M Billets Reports'!D488,SEARCH("-",'R.M Billets Reports'!D488)+1,200)),""))&lt;&gt;"",IF(ISNUMBER(SEARCH("Party Name:-",'R.M Billets Reports'!D488)),TRIM('R.M Billets Reports'!F488),IF(ISNUMBER(SEARCH("Party Name-",'R.M Billets Reports'!D488)),TRIM(MID('R.M Billets Reports'!D488,SEARCH("-",'R.M Billets Reports'!D488)+1,200)),"")),IF(ISNUMBER(SEARCH("Party Name:-",'R.M Billets Reports'!D489)),TRIM('R.M Billets Reports'!F489),IF(ISNUMBER(SEARCH("Party Name-",'R.M Billets Reports'!D489)),TRIM(MID('R.M Billets Reports'!D489,SEARCH("-",'R.M Billets Reports'!D489)+1,200)),"")))))),IF(ROW()=2,"",A488))</f>
      </c>
      <c r="B489">
        <f>IF(OR('R.M Billets Reports'!A488="Date-",'R.M Billets Reports'!A488="Date:-"),'R.M Billets Reports'!B488,IF(ROW()=2,"",B488))</f>
      </c>
      <c r="C489">
        <f>IF('R.M Billets Reports'!A488="V.No.",'R.M Billets Reports'!B488,IF(ROW()=2,"",C488))</f>
      </c>
      <c r="D489">
        <f>IF('R.M Billets Reports'!A488&lt;&gt;"",'R.M Billets Reports'!A488,IF(ROW()=2,"",D488))</f>
      </c>
      <c r="E489">
        <f>IF('R.M Billets Reports'!B488="","",TRIM('R.M Billets Reports'!B488))</f>
      </c>
      <c r="F489">
        <f>'R.M Billets Reports'!C488</f>
      </c>
      <c r="G489">
        <f>'R.M Billets Reports'!D488</f>
      </c>
      <c r="H489">
        <f>'R.M Billets Reports'!E488</f>
      </c>
      <c r="I489">
        <f>'R.M Billets Reports'!F488</f>
      </c>
      <c r="J489">
        <f>'R.M Billets Reports'!G488</f>
      </c>
      <c r="K489">
        <f>'R.M Billets Reports'!H488</f>
      </c>
      <c r="L489">
        <f>IF('R.M Billets Reports'!I488="","",'R.M Billets Reports'!I488)</f>
      </c>
      <c r="M489">
        <f t="shared" si="14"/>
      </c>
      <c r="N489">
        <f>IF('R.M Billets Reports'!J488="","",'R.M Billets Reports'!J488)</f>
      </c>
      <c r="O489">
        <f t="shared" si="15"/>
      </c>
      <c r="P489">
        <f>IF('R.M Billets Reports'!A488="SIZE",'R.M Billets Reports'!B488,P488)</f>
      </c>
    </row>
    <row r="490" spans="1:16" x14ac:dyDescent="0.25">
      <c r="A490">
        <f>IF(OR('R.M Billets Reports'!A489="Date-",'R.M Billets Reports'!A489="Date:-"),IF(IF(IF(ISNUMBER(SEARCH("Party Name:-",'R.M Billets Reports'!D489)),TRIM('R.M Billets Reports'!F489),IF(ISNUMBER(SEARCH("Party Name-",'R.M Billets Reports'!D489)),TRIM(MID('R.M Billets Reports'!D489,SEARCH("-",'R.M Billets Reports'!D489)+1,200)),""))&lt;&gt;"",IF(ISNUMBER(SEARCH("Party Name:-",'R.M Billets Reports'!D489)),TRIM('R.M Billets Reports'!F489),IF(ISNUMBER(SEARCH("Party Name-",'R.M Billets Reports'!D489)),TRIM(MID('R.M Billets Reports'!D489,SEARCH("-",'R.M Billets Reports'!D489)+1,200)),"")),IF(ISNUMBER(SEARCH("Party Name:-",'R.M Billets Reports'!D490)),TRIM('R.M Billets Reports'!F490),IF(ISNUMBER(SEARCH("Party Name-",'R.M Billets Reports'!D490)),TRIM(MID('R.M Billets Reports'!D490,SEARCH("-",'R.M Billets Reports'!D490)+1,200)),"")))="VRKP ISPAT PVT LTD","VRKP",IF(IF(IF(ISNUMBER(SEARCH("Party Name:-",'R.M Billets Reports'!D489)),TRIM('R.M Billets Reports'!F489),IF(ISNUMBER(SEARCH("Party Name-",'R.M Billets Reports'!D489)),TRIM(MID('R.M Billets Reports'!D489,SEARCH("-",'R.M Billets Reports'!D489)+1,200)),""))&lt;&gt;"",IF(ISNUMBER(SEARCH("Party Name:-",'R.M Billets Reports'!D489)),TRIM('R.M Billets Reports'!F489),IF(ISNUMBER(SEARCH("Party Name-",'R.M Billets Reports'!D489)),TRIM(MID('R.M Billets Reports'!D489,SEARCH("-",'R.M Billets Reports'!D489)+1,200)),"")),IF(ISNUMBER(SEARCH("Party Name:-",'R.M Billets Reports'!D490)),TRIM('R.M Billets Reports'!F490),IF(ISNUMBER(SEARCH("Party Name-",'R.M Billets Reports'!D490)),TRIM(MID('R.M Billets Reports'!D490,SEARCH("-",'R.M Billets Reports'!D490)+1,200)),"")))="SHRI RADHE","SHREE RADHE",IF(IF(IF(ISNUMBER(SEARCH("Party Name:-",'R.M Billets Reports'!D489)),TRIM('R.M Billets Reports'!F489),IF(ISNUMBER(SEARCH("Party Name-",'R.M Billets Reports'!D489)),TRIM(MID('R.M Billets Reports'!D489,SEARCH("-",'R.M Billets Reports'!D489)+1,200)),""))&lt;&gt;"",IF(ISNUMBER(SEARCH("Party Name:-",'R.M Billets Reports'!D489)),TRIM('R.M Billets Reports'!F489),IF(ISNUMBER(SEARCH("Party Name-",'R.M Billets Reports'!D489)),TRIM(MID('R.M Billets Reports'!D489,SEARCH("-",'R.M Billets Reports'!D489)+1,200)),"")),IF(ISNUMBER(SEARCH("Party Name:-",'R.M Billets Reports'!D490)),TRIM('R.M Billets Reports'!F490),IF(ISNUMBER(SEARCH("Party Name-",'R.M Billets Reports'!D490)),TRIM(MID('R.M Billets Reports'!D490,SEARCH("-",'R.M Billets Reports'!D490)+1,200)),"")))="SHREE RADHE SHAKTI SPONGE AND POWER PVT. LTD.","SHREE RADHE",IF(IF(ISNUMBER(SEARCH("Party Name:-",'R.M Billets Reports'!D489)),TRIM('R.M Billets Reports'!F489),IF(ISNUMBER(SEARCH("Party Name-",'R.M Billets Reports'!D489)),TRIM(MID('R.M Billets Reports'!D489,SEARCH("-",'R.M Billets Reports'!D489)+1,200)),""))&lt;&gt;"",IF(ISNUMBER(SEARCH("Party Name:-",'R.M Billets Reports'!D489)),TRIM('R.M Billets Reports'!F489),IF(ISNUMBER(SEARCH("Party Name-",'R.M Billets Reports'!D489)),TRIM(MID('R.M Billets Reports'!D489,SEARCH("-",'R.M Billets Reports'!D489)+1,200)),"")),IF(ISNUMBER(SEARCH("Party Name:-",'R.M Billets Reports'!D490)),TRIM('R.M Billets Reports'!F490),IF(ISNUMBER(SEARCH("Party Name-",'R.M Billets Reports'!D490)),TRIM(MID('R.M Billets Reports'!D490,SEARCH("-",'R.M Billets Reports'!D490)+1,200)),"")))))),IF(ROW()=2,"",A489))</f>
      </c>
      <c r="B490">
        <f>IF(OR('R.M Billets Reports'!A489="Date-",'R.M Billets Reports'!A489="Date:-"),'R.M Billets Reports'!B489,IF(ROW()=2,"",B489))</f>
      </c>
      <c r="C490">
        <f>IF('R.M Billets Reports'!A489="V.No.",'R.M Billets Reports'!B489,IF(ROW()=2,"",C489))</f>
      </c>
      <c r="D490">
        <f>IF('R.M Billets Reports'!A489&lt;&gt;"",'R.M Billets Reports'!A489,IF(ROW()=2,"",D489))</f>
      </c>
      <c r="E490">
        <f>IF('R.M Billets Reports'!B489="","",TRIM('R.M Billets Reports'!B489))</f>
      </c>
      <c r="F490">
        <f>'R.M Billets Reports'!C489</f>
      </c>
      <c r="G490">
        <f>'R.M Billets Reports'!D489</f>
      </c>
      <c r="H490">
        <f>'R.M Billets Reports'!E489</f>
      </c>
      <c r="I490">
        <f>'R.M Billets Reports'!F489</f>
      </c>
      <c r="J490">
        <f>'R.M Billets Reports'!G489</f>
      </c>
      <c r="K490">
        <f>'R.M Billets Reports'!H489</f>
      </c>
      <c r="L490">
        <f>IF('R.M Billets Reports'!I489="","",'R.M Billets Reports'!I489)</f>
      </c>
      <c r="M490">
        <f t="shared" si="14"/>
      </c>
      <c r="N490">
        <f>IF('R.M Billets Reports'!J489="","",'R.M Billets Reports'!J489)</f>
      </c>
      <c r="O490">
        <f t="shared" si="15"/>
      </c>
      <c r="P490">
        <f>IF('R.M Billets Reports'!A489="SIZE",'R.M Billets Reports'!B489,P489)</f>
      </c>
    </row>
    <row r="491" spans="1:16" x14ac:dyDescent="0.25">
      <c r="A491">
        <f>IF(OR('R.M Billets Reports'!A490="Date-",'R.M Billets Reports'!A490="Date:-"),IF(IF(IF(ISNUMBER(SEARCH("Party Name:-",'R.M Billets Reports'!D490)),TRIM('R.M Billets Reports'!F490),IF(ISNUMBER(SEARCH("Party Name-",'R.M Billets Reports'!D490)),TRIM(MID('R.M Billets Reports'!D490,SEARCH("-",'R.M Billets Reports'!D490)+1,200)),""))&lt;&gt;"",IF(ISNUMBER(SEARCH("Party Name:-",'R.M Billets Reports'!D490)),TRIM('R.M Billets Reports'!F490),IF(ISNUMBER(SEARCH("Party Name-",'R.M Billets Reports'!D490)),TRIM(MID('R.M Billets Reports'!D490,SEARCH("-",'R.M Billets Reports'!D490)+1,200)),"")),IF(ISNUMBER(SEARCH("Party Name:-",'R.M Billets Reports'!D491)),TRIM('R.M Billets Reports'!F491),IF(ISNUMBER(SEARCH("Party Name-",'R.M Billets Reports'!D491)),TRIM(MID('R.M Billets Reports'!D491,SEARCH("-",'R.M Billets Reports'!D491)+1,200)),"")))="VRKP ISPAT PVT LTD","VRKP",IF(IF(IF(ISNUMBER(SEARCH("Party Name:-",'R.M Billets Reports'!D490)),TRIM('R.M Billets Reports'!F490),IF(ISNUMBER(SEARCH("Party Name-",'R.M Billets Reports'!D490)),TRIM(MID('R.M Billets Reports'!D490,SEARCH("-",'R.M Billets Reports'!D490)+1,200)),""))&lt;&gt;"",IF(ISNUMBER(SEARCH("Party Name:-",'R.M Billets Reports'!D490)),TRIM('R.M Billets Reports'!F490),IF(ISNUMBER(SEARCH("Party Name-",'R.M Billets Reports'!D490)),TRIM(MID('R.M Billets Reports'!D490,SEARCH("-",'R.M Billets Reports'!D490)+1,200)),"")),IF(ISNUMBER(SEARCH("Party Name:-",'R.M Billets Reports'!D491)),TRIM('R.M Billets Reports'!F491),IF(ISNUMBER(SEARCH("Party Name-",'R.M Billets Reports'!D491)),TRIM(MID('R.M Billets Reports'!D491,SEARCH("-",'R.M Billets Reports'!D491)+1,200)),"")))="SHRI RADHE","SHREE RADHE",IF(IF(IF(ISNUMBER(SEARCH("Party Name:-",'R.M Billets Reports'!D490)),TRIM('R.M Billets Reports'!F490),IF(ISNUMBER(SEARCH("Party Name-",'R.M Billets Reports'!D490)),TRIM(MID('R.M Billets Reports'!D490,SEARCH("-",'R.M Billets Reports'!D490)+1,200)),""))&lt;&gt;"",IF(ISNUMBER(SEARCH("Party Name:-",'R.M Billets Reports'!D490)),TRIM('R.M Billets Reports'!F490),IF(ISNUMBER(SEARCH("Party Name-",'R.M Billets Reports'!D490)),TRIM(MID('R.M Billets Reports'!D490,SEARCH("-",'R.M Billets Reports'!D490)+1,200)),"")),IF(ISNUMBER(SEARCH("Party Name:-",'R.M Billets Reports'!D491)),TRIM('R.M Billets Reports'!F491),IF(ISNUMBER(SEARCH("Party Name-",'R.M Billets Reports'!D491)),TRIM(MID('R.M Billets Reports'!D491,SEARCH("-",'R.M Billets Reports'!D491)+1,200)),"")))="SHREE RADHE SHAKTI SPONGE AND POWER PVT. LTD.","SHREE RADHE",IF(IF(ISNUMBER(SEARCH("Party Name:-",'R.M Billets Reports'!D490)),TRIM('R.M Billets Reports'!F490),IF(ISNUMBER(SEARCH("Party Name-",'R.M Billets Reports'!D490)),TRIM(MID('R.M Billets Reports'!D490,SEARCH("-",'R.M Billets Reports'!D490)+1,200)),""))&lt;&gt;"",IF(ISNUMBER(SEARCH("Party Name:-",'R.M Billets Reports'!D490)),TRIM('R.M Billets Reports'!F490),IF(ISNUMBER(SEARCH("Party Name-",'R.M Billets Reports'!D490)),TRIM(MID('R.M Billets Reports'!D490,SEARCH("-",'R.M Billets Reports'!D490)+1,200)),"")),IF(ISNUMBER(SEARCH("Party Name:-",'R.M Billets Reports'!D491)),TRIM('R.M Billets Reports'!F491),IF(ISNUMBER(SEARCH("Party Name-",'R.M Billets Reports'!D491)),TRIM(MID('R.M Billets Reports'!D491,SEARCH("-",'R.M Billets Reports'!D491)+1,200)),"")))))),IF(ROW()=2,"",A490))</f>
      </c>
      <c r="B491">
        <f>IF(OR('R.M Billets Reports'!A490="Date-",'R.M Billets Reports'!A490="Date:-"),'R.M Billets Reports'!B490,IF(ROW()=2,"",B490))</f>
      </c>
      <c r="C491">
        <f>IF('R.M Billets Reports'!A490="V.No.",'R.M Billets Reports'!B490,IF(ROW()=2,"",C490))</f>
      </c>
      <c r="D491">
        <f>IF('R.M Billets Reports'!A490&lt;&gt;"",'R.M Billets Reports'!A490,IF(ROW()=2,"",D490))</f>
      </c>
      <c r="E491">
        <f>IF('R.M Billets Reports'!B490="","",TRIM('R.M Billets Reports'!B490))</f>
      </c>
      <c r="F491">
        <f>'R.M Billets Reports'!C490</f>
      </c>
      <c r="G491">
        <f>'R.M Billets Reports'!D490</f>
      </c>
      <c r="H491">
        <f>'R.M Billets Reports'!E490</f>
      </c>
      <c r="I491">
        <f>'R.M Billets Reports'!F490</f>
      </c>
      <c r="J491">
        <f>'R.M Billets Reports'!G490</f>
      </c>
      <c r="K491">
        <f>'R.M Billets Reports'!H490</f>
      </c>
      <c r="L491">
        <f>IF('R.M Billets Reports'!I490="","",'R.M Billets Reports'!I490)</f>
      </c>
      <c r="M491">
        <f t="shared" si="14"/>
      </c>
      <c r="N491">
        <f>IF('R.M Billets Reports'!J490="","",'R.M Billets Reports'!J490)</f>
      </c>
      <c r="O491">
        <f t="shared" si="15"/>
      </c>
      <c r="P491">
        <f>IF('R.M Billets Reports'!A490="SIZE",'R.M Billets Reports'!B490,P490)</f>
      </c>
    </row>
    <row r="492" spans="1:16" x14ac:dyDescent="0.25">
      <c r="A492">
        <f>IF(OR('R.M Billets Reports'!A491="Date-",'R.M Billets Reports'!A491="Date:-"),IF(IF(IF(ISNUMBER(SEARCH("Party Name:-",'R.M Billets Reports'!D491)),TRIM('R.M Billets Reports'!F491),IF(ISNUMBER(SEARCH("Party Name-",'R.M Billets Reports'!D491)),TRIM(MID('R.M Billets Reports'!D491,SEARCH("-",'R.M Billets Reports'!D491)+1,200)),""))&lt;&gt;"",IF(ISNUMBER(SEARCH("Party Name:-",'R.M Billets Reports'!D491)),TRIM('R.M Billets Reports'!F491),IF(ISNUMBER(SEARCH("Party Name-",'R.M Billets Reports'!D491)),TRIM(MID('R.M Billets Reports'!D491,SEARCH("-",'R.M Billets Reports'!D491)+1,200)),"")),IF(ISNUMBER(SEARCH("Party Name:-",'R.M Billets Reports'!D492)),TRIM('R.M Billets Reports'!F492),IF(ISNUMBER(SEARCH("Party Name-",'R.M Billets Reports'!D492)),TRIM(MID('R.M Billets Reports'!D492,SEARCH("-",'R.M Billets Reports'!D492)+1,200)),"")))="VRKP ISPAT PVT LTD","VRKP",IF(IF(IF(ISNUMBER(SEARCH("Party Name:-",'R.M Billets Reports'!D491)),TRIM('R.M Billets Reports'!F491),IF(ISNUMBER(SEARCH("Party Name-",'R.M Billets Reports'!D491)),TRIM(MID('R.M Billets Reports'!D491,SEARCH("-",'R.M Billets Reports'!D491)+1,200)),""))&lt;&gt;"",IF(ISNUMBER(SEARCH("Party Name:-",'R.M Billets Reports'!D491)),TRIM('R.M Billets Reports'!F491),IF(ISNUMBER(SEARCH("Party Name-",'R.M Billets Reports'!D491)),TRIM(MID('R.M Billets Reports'!D491,SEARCH("-",'R.M Billets Reports'!D491)+1,200)),"")),IF(ISNUMBER(SEARCH("Party Name:-",'R.M Billets Reports'!D492)),TRIM('R.M Billets Reports'!F492),IF(ISNUMBER(SEARCH("Party Name-",'R.M Billets Reports'!D492)),TRIM(MID('R.M Billets Reports'!D492,SEARCH("-",'R.M Billets Reports'!D492)+1,200)),"")))="SHRI RADHE","SHREE RADHE",IF(IF(IF(ISNUMBER(SEARCH("Party Name:-",'R.M Billets Reports'!D491)),TRIM('R.M Billets Reports'!F491),IF(ISNUMBER(SEARCH("Party Name-",'R.M Billets Reports'!D491)),TRIM(MID('R.M Billets Reports'!D491,SEARCH("-",'R.M Billets Reports'!D491)+1,200)),""))&lt;&gt;"",IF(ISNUMBER(SEARCH("Party Name:-",'R.M Billets Reports'!D491)),TRIM('R.M Billets Reports'!F491),IF(ISNUMBER(SEARCH("Party Name-",'R.M Billets Reports'!D491)),TRIM(MID('R.M Billets Reports'!D491,SEARCH("-",'R.M Billets Reports'!D491)+1,200)),"")),IF(ISNUMBER(SEARCH("Party Name:-",'R.M Billets Reports'!D492)),TRIM('R.M Billets Reports'!F492),IF(ISNUMBER(SEARCH("Party Name-",'R.M Billets Reports'!D492)),TRIM(MID('R.M Billets Reports'!D492,SEARCH("-",'R.M Billets Reports'!D492)+1,200)),"")))="SHREE RADHE SHAKTI SPONGE AND POWER PVT. LTD.","SHREE RADHE",IF(IF(ISNUMBER(SEARCH("Party Name:-",'R.M Billets Reports'!D491)),TRIM('R.M Billets Reports'!F491),IF(ISNUMBER(SEARCH("Party Name-",'R.M Billets Reports'!D491)),TRIM(MID('R.M Billets Reports'!D491,SEARCH("-",'R.M Billets Reports'!D491)+1,200)),""))&lt;&gt;"",IF(ISNUMBER(SEARCH("Party Name:-",'R.M Billets Reports'!D491)),TRIM('R.M Billets Reports'!F491),IF(ISNUMBER(SEARCH("Party Name-",'R.M Billets Reports'!D491)),TRIM(MID('R.M Billets Reports'!D491,SEARCH("-",'R.M Billets Reports'!D491)+1,200)),"")),IF(ISNUMBER(SEARCH("Party Name:-",'R.M Billets Reports'!D492)),TRIM('R.M Billets Reports'!F492),IF(ISNUMBER(SEARCH("Party Name-",'R.M Billets Reports'!D492)),TRIM(MID('R.M Billets Reports'!D492,SEARCH("-",'R.M Billets Reports'!D492)+1,200)),"")))))),IF(ROW()=2,"",A491))</f>
      </c>
      <c r="B492">
        <f>IF(OR('R.M Billets Reports'!A491="Date-",'R.M Billets Reports'!A491="Date:-"),'R.M Billets Reports'!B491,IF(ROW()=2,"",B491))</f>
      </c>
      <c r="C492">
        <f>IF('R.M Billets Reports'!A491="V.No.",'R.M Billets Reports'!B491,IF(ROW()=2,"",C491))</f>
      </c>
      <c r="D492">
        <f>IF('R.M Billets Reports'!A491&lt;&gt;"",'R.M Billets Reports'!A491,IF(ROW()=2,"",D491))</f>
      </c>
      <c r="E492">
        <f>IF('R.M Billets Reports'!B491="","",TRIM('R.M Billets Reports'!B491))</f>
      </c>
      <c r="F492">
        <f>'R.M Billets Reports'!C491</f>
      </c>
      <c r="G492">
        <f>'R.M Billets Reports'!D491</f>
      </c>
      <c r="H492">
        <f>'R.M Billets Reports'!E491</f>
      </c>
      <c r="I492">
        <f>'R.M Billets Reports'!F491</f>
      </c>
      <c r="J492">
        <f>'R.M Billets Reports'!G491</f>
      </c>
      <c r="K492">
        <f>'R.M Billets Reports'!H491</f>
      </c>
      <c r="L492">
        <f>IF('R.M Billets Reports'!I491="","",'R.M Billets Reports'!I491)</f>
      </c>
      <c r="M492">
        <f t="shared" si="14"/>
      </c>
      <c r="N492">
        <f>IF('R.M Billets Reports'!J491="","",'R.M Billets Reports'!J491)</f>
      </c>
      <c r="O492">
        <f t="shared" si="15"/>
      </c>
      <c r="P492">
        <f>IF('R.M Billets Reports'!A491="SIZE",'R.M Billets Reports'!B491,P491)</f>
      </c>
    </row>
    <row r="493" spans="1:16" x14ac:dyDescent="0.25">
      <c r="A493">
        <f>IF(OR('R.M Billets Reports'!A492="Date-",'R.M Billets Reports'!A492="Date:-"),IF(IF(IF(ISNUMBER(SEARCH("Party Name:-",'R.M Billets Reports'!D492)),TRIM('R.M Billets Reports'!F492),IF(ISNUMBER(SEARCH("Party Name-",'R.M Billets Reports'!D492)),TRIM(MID('R.M Billets Reports'!D492,SEARCH("-",'R.M Billets Reports'!D492)+1,200)),""))&lt;&gt;"",IF(ISNUMBER(SEARCH("Party Name:-",'R.M Billets Reports'!D492)),TRIM('R.M Billets Reports'!F492),IF(ISNUMBER(SEARCH("Party Name-",'R.M Billets Reports'!D492)),TRIM(MID('R.M Billets Reports'!D492,SEARCH("-",'R.M Billets Reports'!D492)+1,200)),"")),IF(ISNUMBER(SEARCH("Party Name:-",'R.M Billets Reports'!D493)),TRIM('R.M Billets Reports'!F493),IF(ISNUMBER(SEARCH("Party Name-",'R.M Billets Reports'!D493)),TRIM(MID('R.M Billets Reports'!D493,SEARCH("-",'R.M Billets Reports'!D493)+1,200)),"")))="VRKP ISPAT PVT LTD","VRKP",IF(IF(IF(ISNUMBER(SEARCH("Party Name:-",'R.M Billets Reports'!D492)),TRIM('R.M Billets Reports'!F492),IF(ISNUMBER(SEARCH("Party Name-",'R.M Billets Reports'!D492)),TRIM(MID('R.M Billets Reports'!D492,SEARCH("-",'R.M Billets Reports'!D492)+1,200)),""))&lt;&gt;"",IF(ISNUMBER(SEARCH("Party Name:-",'R.M Billets Reports'!D492)),TRIM('R.M Billets Reports'!F492),IF(ISNUMBER(SEARCH("Party Name-",'R.M Billets Reports'!D492)),TRIM(MID('R.M Billets Reports'!D492,SEARCH("-",'R.M Billets Reports'!D492)+1,200)),"")),IF(ISNUMBER(SEARCH("Party Name:-",'R.M Billets Reports'!D493)),TRIM('R.M Billets Reports'!F493),IF(ISNUMBER(SEARCH("Party Name-",'R.M Billets Reports'!D493)),TRIM(MID('R.M Billets Reports'!D493,SEARCH("-",'R.M Billets Reports'!D493)+1,200)),"")))="SHRI RADHE","SHREE RADHE",IF(IF(IF(ISNUMBER(SEARCH("Party Name:-",'R.M Billets Reports'!D492)),TRIM('R.M Billets Reports'!F492),IF(ISNUMBER(SEARCH("Party Name-",'R.M Billets Reports'!D492)),TRIM(MID('R.M Billets Reports'!D492,SEARCH("-",'R.M Billets Reports'!D492)+1,200)),""))&lt;&gt;"",IF(ISNUMBER(SEARCH("Party Name:-",'R.M Billets Reports'!D492)),TRIM('R.M Billets Reports'!F492),IF(ISNUMBER(SEARCH("Party Name-",'R.M Billets Reports'!D492)),TRIM(MID('R.M Billets Reports'!D492,SEARCH("-",'R.M Billets Reports'!D492)+1,200)),"")),IF(ISNUMBER(SEARCH("Party Name:-",'R.M Billets Reports'!D493)),TRIM('R.M Billets Reports'!F493),IF(ISNUMBER(SEARCH("Party Name-",'R.M Billets Reports'!D493)),TRIM(MID('R.M Billets Reports'!D493,SEARCH("-",'R.M Billets Reports'!D493)+1,200)),"")))="SHREE RADHE SHAKTI SPONGE AND POWER PVT. LTD.","SHREE RADHE",IF(IF(ISNUMBER(SEARCH("Party Name:-",'R.M Billets Reports'!D492)),TRIM('R.M Billets Reports'!F492),IF(ISNUMBER(SEARCH("Party Name-",'R.M Billets Reports'!D492)),TRIM(MID('R.M Billets Reports'!D492,SEARCH("-",'R.M Billets Reports'!D492)+1,200)),""))&lt;&gt;"",IF(ISNUMBER(SEARCH("Party Name:-",'R.M Billets Reports'!D492)),TRIM('R.M Billets Reports'!F492),IF(ISNUMBER(SEARCH("Party Name-",'R.M Billets Reports'!D492)),TRIM(MID('R.M Billets Reports'!D492,SEARCH("-",'R.M Billets Reports'!D492)+1,200)),"")),IF(ISNUMBER(SEARCH("Party Name:-",'R.M Billets Reports'!D493)),TRIM('R.M Billets Reports'!F493),IF(ISNUMBER(SEARCH("Party Name-",'R.M Billets Reports'!D493)),TRIM(MID('R.M Billets Reports'!D493,SEARCH("-",'R.M Billets Reports'!D493)+1,200)),"")))))),IF(ROW()=2,"",A492))</f>
      </c>
      <c r="B493">
        <f>IF(OR('R.M Billets Reports'!A492="Date-",'R.M Billets Reports'!A492="Date:-"),'R.M Billets Reports'!B492,IF(ROW()=2,"",B492))</f>
      </c>
      <c r="C493">
        <f>IF('R.M Billets Reports'!A492="V.No.",'R.M Billets Reports'!B492,IF(ROW()=2,"",C492))</f>
      </c>
      <c r="D493">
        <f>IF('R.M Billets Reports'!A492&lt;&gt;"",'R.M Billets Reports'!A492,IF(ROW()=2,"",D492))</f>
      </c>
      <c r="E493">
        <f>IF('R.M Billets Reports'!B492="","",TRIM('R.M Billets Reports'!B492))</f>
      </c>
      <c r="F493">
        <f>'R.M Billets Reports'!C492</f>
      </c>
      <c r="G493">
        <f>'R.M Billets Reports'!D492</f>
      </c>
      <c r="H493">
        <f>'R.M Billets Reports'!E492</f>
      </c>
      <c r="I493">
        <f>'R.M Billets Reports'!F492</f>
      </c>
      <c r="J493">
        <f>'R.M Billets Reports'!G492</f>
      </c>
      <c r="K493">
        <f>'R.M Billets Reports'!H492</f>
      </c>
      <c r="L493">
        <f>IF('R.M Billets Reports'!I492="","",'R.M Billets Reports'!I492)</f>
      </c>
      <c r="M493">
        <f t="shared" si="14"/>
      </c>
      <c r="N493">
        <f>IF('R.M Billets Reports'!J492="","",'R.M Billets Reports'!J492)</f>
      </c>
      <c r="O493">
        <f t="shared" si="15"/>
      </c>
      <c r="P493">
        <f>IF('R.M Billets Reports'!A492="SIZE",'R.M Billets Reports'!B492,P492)</f>
      </c>
    </row>
    <row r="494" spans="1:16" x14ac:dyDescent="0.25">
      <c r="A494">
        <f>IF(OR('R.M Billets Reports'!A493="Date-",'R.M Billets Reports'!A493="Date:-"),IF(IF(IF(ISNUMBER(SEARCH("Party Name:-",'R.M Billets Reports'!D493)),TRIM('R.M Billets Reports'!F493),IF(ISNUMBER(SEARCH("Party Name-",'R.M Billets Reports'!D493)),TRIM(MID('R.M Billets Reports'!D493,SEARCH("-",'R.M Billets Reports'!D493)+1,200)),""))&lt;&gt;"",IF(ISNUMBER(SEARCH("Party Name:-",'R.M Billets Reports'!D493)),TRIM('R.M Billets Reports'!F493),IF(ISNUMBER(SEARCH("Party Name-",'R.M Billets Reports'!D493)),TRIM(MID('R.M Billets Reports'!D493,SEARCH("-",'R.M Billets Reports'!D493)+1,200)),"")),IF(ISNUMBER(SEARCH("Party Name:-",'R.M Billets Reports'!D494)),TRIM('R.M Billets Reports'!F494),IF(ISNUMBER(SEARCH("Party Name-",'R.M Billets Reports'!D494)),TRIM(MID('R.M Billets Reports'!D494,SEARCH("-",'R.M Billets Reports'!D494)+1,200)),"")))="VRKP ISPAT PVT LTD","VRKP",IF(IF(IF(ISNUMBER(SEARCH("Party Name:-",'R.M Billets Reports'!D493)),TRIM('R.M Billets Reports'!F493),IF(ISNUMBER(SEARCH("Party Name-",'R.M Billets Reports'!D493)),TRIM(MID('R.M Billets Reports'!D493,SEARCH("-",'R.M Billets Reports'!D493)+1,200)),""))&lt;&gt;"",IF(ISNUMBER(SEARCH("Party Name:-",'R.M Billets Reports'!D493)),TRIM('R.M Billets Reports'!F493),IF(ISNUMBER(SEARCH("Party Name-",'R.M Billets Reports'!D493)),TRIM(MID('R.M Billets Reports'!D493,SEARCH("-",'R.M Billets Reports'!D493)+1,200)),"")),IF(ISNUMBER(SEARCH("Party Name:-",'R.M Billets Reports'!D494)),TRIM('R.M Billets Reports'!F494),IF(ISNUMBER(SEARCH("Party Name-",'R.M Billets Reports'!D494)),TRIM(MID('R.M Billets Reports'!D494,SEARCH("-",'R.M Billets Reports'!D494)+1,200)),"")))="SHRI RADHE","SHREE RADHE",IF(IF(IF(ISNUMBER(SEARCH("Party Name:-",'R.M Billets Reports'!D493)),TRIM('R.M Billets Reports'!F493),IF(ISNUMBER(SEARCH("Party Name-",'R.M Billets Reports'!D493)),TRIM(MID('R.M Billets Reports'!D493,SEARCH("-",'R.M Billets Reports'!D493)+1,200)),""))&lt;&gt;"",IF(ISNUMBER(SEARCH("Party Name:-",'R.M Billets Reports'!D493)),TRIM('R.M Billets Reports'!F493),IF(ISNUMBER(SEARCH("Party Name-",'R.M Billets Reports'!D493)),TRIM(MID('R.M Billets Reports'!D493,SEARCH("-",'R.M Billets Reports'!D493)+1,200)),"")),IF(ISNUMBER(SEARCH("Party Name:-",'R.M Billets Reports'!D494)),TRIM('R.M Billets Reports'!F494),IF(ISNUMBER(SEARCH("Party Name-",'R.M Billets Reports'!D494)),TRIM(MID('R.M Billets Reports'!D494,SEARCH("-",'R.M Billets Reports'!D494)+1,200)),"")))="SHREE RADHE SHAKTI SPONGE AND POWER PVT. LTD.","SHREE RADHE",IF(IF(ISNUMBER(SEARCH("Party Name:-",'R.M Billets Reports'!D493)),TRIM('R.M Billets Reports'!F493),IF(ISNUMBER(SEARCH("Party Name-",'R.M Billets Reports'!D493)),TRIM(MID('R.M Billets Reports'!D493,SEARCH("-",'R.M Billets Reports'!D493)+1,200)),""))&lt;&gt;"",IF(ISNUMBER(SEARCH("Party Name:-",'R.M Billets Reports'!D493)),TRIM('R.M Billets Reports'!F493),IF(ISNUMBER(SEARCH("Party Name-",'R.M Billets Reports'!D493)),TRIM(MID('R.M Billets Reports'!D493,SEARCH("-",'R.M Billets Reports'!D493)+1,200)),"")),IF(ISNUMBER(SEARCH("Party Name:-",'R.M Billets Reports'!D494)),TRIM('R.M Billets Reports'!F494),IF(ISNUMBER(SEARCH("Party Name-",'R.M Billets Reports'!D494)),TRIM(MID('R.M Billets Reports'!D494,SEARCH("-",'R.M Billets Reports'!D494)+1,200)),"")))))),IF(ROW()=2,"",A493))</f>
      </c>
      <c r="B494">
        <f>IF(OR('R.M Billets Reports'!A493="Date-",'R.M Billets Reports'!A493="Date:-"),'R.M Billets Reports'!B493,IF(ROW()=2,"",B493))</f>
      </c>
      <c r="C494">
        <f>IF('R.M Billets Reports'!A493="V.No.",'R.M Billets Reports'!B493,IF(ROW()=2,"",C493))</f>
      </c>
      <c r="D494">
        <f>IF('R.M Billets Reports'!A493&lt;&gt;"",'R.M Billets Reports'!A493,IF(ROW()=2,"",D493))</f>
      </c>
      <c r="E494">
        <f>IF('R.M Billets Reports'!B493="","",TRIM('R.M Billets Reports'!B493))</f>
      </c>
      <c r="F494">
        <f>'R.M Billets Reports'!C493</f>
      </c>
      <c r="G494">
        <f>'R.M Billets Reports'!D493</f>
      </c>
      <c r="H494">
        <f>'R.M Billets Reports'!E493</f>
      </c>
      <c r="I494">
        <f>'R.M Billets Reports'!F493</f>
      </c>
      <c r="J494">
        <f>'R.M Billets Reports'!G493</f>
      </c>
      <c r="K494">
        <f>'R.M Billets Reports'!H493</f>
      </c>
      <c r="L494">
        <f>IF('R.M Billets Reports'!I493="","",'R.M Billets Reports'!I493)</f>
      </c>
      <c r="M494">
        <f t="shared" si="14"/>
      </c>
      <c r="N494">
        <f>IF('R.M Billets Reports'!J493="","",'R.M Billets Reports'!J493)</f>
      </c>
      <c r="O494">
        <f t="shared" si="15"/>
      </c>
      <c r="P494">
        <f>IF('R.M Billets Reports'!A493="SIZE",'R.M Billets Reports'!B493,P493)</f>
      </c>
    </row>
    <row r="495" spans="1:16" x14ac:dyDescent="0.25">
      <c r="A495">
        <f>IF(OR('R.M Billets Reports'!A494="Date-",'R.M Billets Reports'!A494="Date:-"),IF(IF(IF(ISNUMBER(SEARCH("Party Name:-",'R.M Billets Reports'!D494)),TRIM('R.M Billets Reports'!F494),IF(ISNUMBER(SEARCH("Party Name-",'R.M Billets Reports'!D494)),TRIM(MID('R.M Billets Reports'!D494,SEARCH("-",'R.M Billets Reports'!D494)+1,200)),""))&lt;&gt;"",IF(ISNUMBER(SEARCH("Party Name:-",'R.M Billets Reports'!D494)),TRIM('R.M Billets Reports'!F494),IF(ISNUMBER(SEARCH("Party Name-",'R.M Billets Reports'!D494)),TRIM(MID('R.M Billets Reports'!D494,SEARCH("-",'R.M Billets Reports'!D494)+1,200)),"")),IF(ISNUMBER(SEARCH("Party Name:-",'R.M Billets Reports'!D495)),TRIM('R.M Billets Reports'!F495),IF(ISNUMBER(SEARCH("Party Name-",'R.M Billets Reports'!D495)),TRIM(MID('R.M Billets Reports'!D495,SEARCH("-",'R.M Billets Reports'!D495)+1,200)),"")))="VRKP ISPAT PVT LTD","VRKP",IF(IF(IF(ISNUMBER(SEARCH("Party Name:-",'R.M Billets Reports'!D494)),TRIM('R.M Billets Reports'!F494),IF(ISNUMBER(SEARCH("Party Name-",'R.M Billets Reports'!D494)),TRIM(MID('R.M Billets Reports'!D494,SEARCH("-",'R.M Billets Reports'!D494)+1,200)),""))&lt;&gt;"",IF(ISNUMBER(SEARCH("Party Name:-",'R.M Billets Reports'!D494)),TRIM('R.M Billets Reports'!F494),IF(ISNUMBER(SEARCH("Party Name-",'R.M Billets Reports'!D494)),TRIM(MID('R.M Billets Reports'!D494,SEARCH("-",'R.M Billets Reports'!D494)+1,200)),"")),IF(ISNUMBER(SEARCH("Party Name:-",'R.M Billets Reports'!D495)),TRIM('R.M Billets Reports'!F495),IF(ISNUMBER(SEARCH("Party Name-",'R.M Billets Reports'!D495)),TRIM(MID('R.M Billets Reports'!D495,SEARCH("-",'R.M Billets Reports'!D495)+1,200)),"")))="SHRI RADHE","SHREE RADHE",IF(IF(IF(ISNUMBER(SEARCH("Party Name:-",'R.M Billets Reports'!D494)),TRIM('R.M Billets Reports'!F494),IF(ISNUMBER(SEARCH("Party Name-",'R.M Billets Reports'!D494)),TRIM(MID('R.M Billets Reports'!D494,SEARCH("-",'R.M Billets Reports'!D494)+1,200)),""))&lt;&gt;"",IF(ISNUMBER(SEARCH("Party Name:-",'R.M Billets Reports'!D494)),TRIM('R.M Billets Reports'!F494),IF(ISNUMBER(SEARCH("Party Name-",'R.M Billets Reports'!D494)),TRIM(MID('R.M Billets Reports'!D494,SEARCH("-",'R.M Billets Reports'!D494)+1,200)),"")),IF(ISNUMBER(SEARCH("Party Name:-",'R.M Billets Reports'!D495)),TRIM('R.M Billets Reports'!F495),IF(ISNUMBER(SEARCH("Party Name-",'R.M Billets Reports'!D495)),TRIM(MID('R.M Billets Reports'!D495,SEARCH("-",'R.M Billets Reports'!D495)+1,200)),"")))="SHREE RADHE SHAKTI SPONGE AND POWER PVT. LTD.","SHREE RADHE",IF(IF(ISNUMBER(SEARCH("Party Name:-",'R.M Billets Reports'!D494)),TRIM('R.M Billets Reports'!F494),IF(ISNUMBER(SEARCH("Party Name-",'R.M Billets Reports'!D494)),TRIM(MID('R.M Billets Reports'!D494,SEARCH("-",'R.M Billets Reports'!D494)+1,200)),""))&lt;&gt;"",IF(ISNUMBER(SEARCH("Party Name:-",'R.M Billets Reports'!D494)),TRIM('R.M Billets Reports'!F494),IF(ISNUMBER(SEARCH("Party Name-",'R.M Billets Reports'!D494)),TRIM(MID('R.M Billets Reports'!D494,SEARCH("-",'R.M Billets Reports'!D494)+1,200)),"")),IF(ISNUMBER(SEARCH("Party Name:-",'R.M Billets Reports'!D495)),TRIM('R.M Billets Reports'!F495),IF(ISNUMBER(SEARCH("Party Name-",'R.M Billets Reports'!D495)),TRIM(MID('R.M Billets Reports'!D495,SEARCH("-",'R.M Billets Reports'!D495)+1,200)),"")))))),IF(ROW()=2,"",A494))</f>
      </c>
      <c r="B495">
        <f>IF(OR('R.M Billets Reports'!A494="Date-",'R.M Billets Reports'!A494="Date:-"),'R.M Billets Reports'!B494,IF(ROW()=2,"",B494))</f>
      </c>
      <c r="C495">
        <f>IF('R.M Billets Reports'!A494="V.No.",'R.M Billets Reports'!B494,IF(ROW()=2,"",C494))</f>
      </c>
      <c r="D495">
        <f>IF('R.M Billets Reports'!A494&lt;&gt;"",'R.M Billets Reports'!A494,IF(ROW()=2,"",D494))</f>
      </c>
      <c r="E495">
        <f>IF('R.M Billets Reports'!B494="","",TRIM('R.M Billets Reports'!B494))</f>
      </c>
      <c r="F495">
        <f>'R.M Billets Reports'!C494</f>
      </c>
      <c r="G495">
        <f>'R.M Billets Reports'!D494</f>
      </c>
      <c r="H495">
        <f>'R.M Billets Reports'!E494</f>
      </c>
      <c r="I495">
        <f>'R.M Billets Reports'!F494</f>
      </c>
      <c r="J495">
        <f>'R.M Billets Reports'!G494</f>
      </c>
      <c r="K495">
        <f>'R.M Billets Reports'!H494</f>
      </c>
      <c r="L495">
        <f>IF('R.M Billets Reports'!I494="","",'R.M Billets Reports'!I494)</f>
      </c>
      <c r="M495">
        <f t="shared" si="14"/>
      </c>
      <c r="N495">
        <f>IF('R.M Billets Reports'!J494="","",'R.M Billets Reports'!J494)</f>
      </c>
      <c r="O495">
        <f t="shared" si="15"/>
      </c>
      <c r="P495">
        <f>IF('R.M Billets Reports'!A494="SIZE",'R.M Billets Reports'!B494,P494)</f>
      </c>
    </row>
    <row r="496" spans="1:16" x14ac:dyDescent="0.25">
      <c r="A496">
        <f>IF(OR('R.M Billets Reports'!A495="Date-",'R.M Billets Reports'!A495="Date:-"),IF(IF(IF(ISNUMBER(SEARCH("Party Name:-",'R.M Billets Reports'!D495)),TRIM('R.M Billets Reports'!F495),IF(ISNUMBER(SEARCH("Party Name-",'R.M Billets Reports'!D495)),TRIM(MID('R.M Billets Reports'!D495,SEARCH("-",'R.M Billets Reports'!D495)+1,200)),""))&lt;&gt;"",IF(ISNUMBER(SEARCH("Party Name:-",'R.M Billets Reports'!D495)),TRIM('R.M Billets Reports'!F495),IF(ISNUMBER(SEARCH("Party Name-",'R.M Billets Reports'!D495)),TRIM(MID('R.M Billets Reports'!D495,SEARCH("-",'R.M Billets Reports'!D495)+1,200)),"")),IF(ISNUMBER(SEARCH("Party Name:-",'R.M Billets Reports'!D496)),TRIM('R.M Billets Reports'!F496),IF(ISNUMBER(SEARCH("Party Name-",'R.M Billets Reports'!D496)),TRIM(MID('R.M Billets Reports'!D496,SEARCH("-",'R.M Billets Reports'!D496)+1,200)),"")))="VRKP ISPAT PVT LTD","VRKP",IF(IF(IF(ISNUMBER(SEARCH("Party Name:-",'R.M Billets Reports'!D495)),TRIM('R.M Billets Reports'!F495),IF(ISNUMBER(SEARCH("Party Name-",'R.M Billets Reports'!D495)),TRIM(MID('R.M Billets Reports'!D495,SEARCH("-",'R.M Billets Reports'!D495)+1,200)),""))&lt;&gt;"",IF(ISNUMBER(SEARCH("Party Name:-",'R.M Billets Reports'!D495)),TRIM('R.M Billets Reports'!F495),IF(ISNUMBER(SEARCH("Party Name-",'R.M Billets Reports'!D495)),TRIM(MID('R.M Billets Reports'!D495,SEARCH("-",'R.M Billets Reports'!D495)+1,200)),"")),IF(ISNUMBER(SEARCH("Party Name:-",'R.M Billets Reports'!D496)),TRIM('R.M Billets Reports'!F496),IF(ISNUMBER(SEARCH("Party Name-",'R.M Billets Reports'!D496)),TRIM(MID('R.M Billets Reports'!D496,SEARCH("-",'R.M Billets Reports'!D496)+1,200)),"")))="SHRI RADHE","SHREE RADHE",IF(IF(IF(ISNUMBER(SEARCH("Party Name:-",'R.M Billets Reports'!D495)),TRIM('R.M Billets Reports'!F495),IF(ISNUMBER(SEARCH("Party Name-",'R.M Billets Reports'!D495)),TRIM(MID('R.M Billets Reports'!D495,SEARCH("-",'R.M Billets Reports'!D495)+1,200)),""))&lt;&gt;"",IF(ISNUMBER(SEARCH("Party Name:-",'R.M Billets Reports'!D495)),TRIM('R.M Billets Reports'!F495),IF(ISNUMBER(SEARCH("Party Name-",'R.M Billets Reports'!D495)),TRIM(MID('R.M Billets Reports'!D495,SEARCH("-",'R.M Billets Reports'!D495)+1,200)),"")),IF(ISNUMBER(SEARCH("Party Name:-",'R.M Billets Reports'!D496)),TRIM('R.M Billets Reports'!F496),IF(ISNUMBER(SEARCH("Party Name-",'R.M Billets Reports'!D496)),TRIM(MID('R.M Billets Reports'!D496,SEARCH("-",'R.M Billets Reports'!D496)+1,200)),"")))="SHREE RADHE SHAKTI SPONGE AND POWER PVT. LTD.","SHREE RADHE",IF(IF(ISNUMBER(SEARCH("Party Name:-",'R.M Billets Reports'!D495)),TRIM('R.M Billets Reports'!F495),IF(ISNUMBER(SEARCH("Party Name-",'R.M Billets Reports'!D495)),TRIM(MID('R.M Billets Reports'!D495,SEARCH("-",'R.M Billets Reports'!D495)+1,200)),""))&lt;&gt;"",IF(ISNUMBER(SEARCH("Party Name:-",'R.M Billets Reports'!D495)),TRIM('R.M Billets Reports'!F495),IF(ISNUMBER(SEARCH("Party Name-",'R.M Billets Reports'!D495)),TRIM(MID('R.M Billets Reports'!D495,SEARCH("-",'R.M Billets Reports'!D495)+1,200)),"")),IF(ISNUMBER(SEARCH("Party Name:-",'R.M Billets Reports'!D496)),TRIM('R.M Billets Reports'!F496),IF(ISNUMBER(SEARCH("Party Name-",'R.M Billets Reports'!D496)),TRIM(MID('R.M Billets Reports'!D496,SEARCH("-",'R.M Billets Reports'!D496)+1,200)),"")))))),IF(ROW()=2,"",A495))</f>
      </c>
      <c r="B496">
        <f>IF(OR('R.M Billets Reports'!A495="Date-",'R.M Billets Reports'!A495="Date:-"),'R.M Billets Reports'!B495,IF(ROW()=2,"",B495))</f>
      </c>
      <c r="C496">
        <f>IF('R.M Billets Reports'!A495="V.No.",'R.M Billets Reports'!B495,IF(ROW()=2,"",C495))</f>
      </c>
      <c r="D496">
        <f>IF('R.M Billets Reports'!A495&lt;&gt;"",'R.M Billets Reports'!A495,IF(ROW()=2,"",D495))</f>
      </c>
      <c r="E496">
        <f>IF('R.M Billets Reports'!B495="","",TRIM('R.M Billets Reports'!B495))</f>
      </c>
      <c r="F496">
        <f>'R.M Billets Reports'!C495</f>
      </c>
      <c r="G496">
        <f>'R.M Billets Reports'!D495</f>
      </c>
      <c r="H496">
        <f>'R.M Billets Reports'!E495</f>
      </c>
      <c r="I496">
        <f>'R.M Billets Reports'!F495</f>
      </c>
      <c r="J496">
        <f>'R.M Billets Reports'!G495</f>
      </c>
      <c r="K496">
        <f>'R.M Billets Reports'!H495</f>
      </c>
      <c r="L496">
        <f>IF('R.M Billets Reports'!I495="","",'R.M Billets Reports'!I495)</f>
      </c>
      <c r="M496">
        <f t="shared" si="14"/>
      </c>
      <c r="N496">
        <f>IF('R.M Billets Reports'!J495="","",'R.M Billets Reports'!J495)</f>
      </c>
      <c r="O496">
        <f t="shared" si="15"/>
      </c>
      <c r="P496">
        <f>IF('R.M Billets Reports'!A495="SIZE",'R.M Billets Reports'!B495,P495)</f>
      </c>
    </row>
    <row r="497" spans="1:16" x14ac:dyDescent="0.25">
      <c r="A497">
        <f>IF(OR('R.M Billets Reports'!A496="Date-",'R.M Billets Reports'!A496="Date:-"),IF(IF(IF(ISNUMBER(SEARCH("Party Name:-",'R.M Billets Reports'!D496)),TRIM('R.M Billets Reports'!F496),IF(ISNUMBER(SEARCH("Party Name-",'R.M Billets Reports'!D496)),TRIM(MID('R.M Billets Reports'!D496,SEARCH("-",'R.M Billets Reports'!D496)+1,200)),""))&lt;&gt;"",IF(ISNUMBER(SEARCH("Party Name:-",'R.M Billets Reports'!D496)),TRIM('R.M Billets Reports'!F496),IF(ISNUMBER(SEARCH("Party Name-",'R.M Billets Reports'!D496)),TRIM(MID('R.M Billets Reports'!D496,SEARCH("-",'R.M Billets Reports'!D496)+1,200)),"")),IF(ISNUMBER(SEARCH("Party Name:-",'R.M Billets Reports'!D497)),TRIM('R.M Billets Reports'!F497),IF(ISNUMBER(SEARCH("Party Name-",'R.M Billets Reports'!D497)),TRIM(MID('R.M Billets Reports'!D497,SEARCH("-",'R.M Billets Reports'!D497)+1,200)),"")))="VRKP ISPAT PVT LTD","VRKP",IF(IF(IF(ISNUMBER(SEARCH("Party Name:-",'R.M Billets Reports'!D496)),TRIM('R.M Billets Reports'!F496),IF(ISNUMBER(SEARCH("Party Name-",'R.M Billets Reports'!D496)),TRIM(MID('R.M Billets Reports'!D496,SEARCH("-",'R.M Billets Reports'!D496)+1,200)),""))&lt;&gt;"",IF(ISNUMBER(SEARCH("Party Name:-",'R.M Billets Reports'!D496)),TRIM('R.M Billets Reports'!F496),IF(ISNUMBER(SEARCH("Party Name-",'R.M Billets Reports'!D496)),TRIM(MID('R.M Billets Reports'!D496,SEARCH("-",'R.M Billets Reports'!D496)+1,200)),"")),IF(ISNUMBER(SEARCH("Party Name:-",'R.M Billets Reports'!D497)),TRIM('R.M Billets Reports'!F497),IF(ISNUMBER(SEARCH("Party Name-",'R.M Billets Reports'!D497)),TRIM(MID('R.M Billets Reports'!D497,SEARCH("-",'R.M Billets Reports'!D497)+1,200)),"")))="SHRI RADHE","SHREE RADHE",IF(IF(IF(ISNUMBER(SEARCH("Party Name:-",'R.M Billets Reports'!D496)),TRIM('R.M Billets Reports'!F496),IF(ISNUMBER(SEARCH("Party Name-",'R.M Billets Reports'!D496)),TRIM(MID('R.M Billets Reports'!D496,SEARCH("-",'R.M Billets Reports'!D496)+1,200)),""))&lt;&gt;"",IF(ISNUMBER(SEARCH("Party Name:-",'R.M Billets Reports'!D496)),TRIM('R.M Billets Reports'!F496),IF(ISNUMBER(SEARCH("Party Name-",'R.M Billets Reports'!D496)),TRIM(MID('R.M Billets Reports'!D496,SEARCH("-",'R.M Billets Reports'!D496)+1,200)),"")),IF(ISNUMBER(SEARCH("Party Name:-",'R.M Billets Reports'!D497)),TRIM('R.M Billets Reports'!F497),IF(ISNUMBER(SEARCH("Party Name-",'R.M Billets Reports'!D497)),TRIM(MID('R.M Billets Reports'!D497,SEARCH("-",'R.M Billets Reports'!D497)+1,200)),"")))="SHREE RADHE SHAKTI SPONGE AND POWER PVT. LTD.","SHREE RADHE",IF(IF(ISNUMBER(SEARCH("Party Name:-",'R.M Billets Reports'!D496)),TRIM('R.M Billets Reports'!F496),IF(ISNUMBER(SEARCH("Party Name-",'R.M Billets Reports'!D496)),TRIM(MID('R.M Billets Reports'!D496,SEARCH("-",'R.M Billets Reports'!D496)+1,200)),""))&lt;&gt;"",IF(ISNUMBER(SEARCH("Party Name:-",'R.M Billets Reports'!D496)),TRIM('R.M Billets Reports'!F496),IF(ISNUMBER(SEARCH("Party Name-",'R.M Billets Reports'!D496)),TRIM(MID('R.M Billets Reports'!D496,SEARCH("-",'R.M Billets Reports'!D496)+1,200)),"")),IF(ISNUMBER(SEARCH("Party Name:-",'R.M Billets Reports'!D497)),TRIM('R.M Billets Reports'!F497),IF(ISNUMBER(SEARCH("Party Name-",'R.M Billets Reports'!D497)),TRIM(MID('R.M Billets Reports'!D497,SEARCH("-",'R.M Billets Reports'!D497)+1,200)),"")))))),IF(ROW()=2,"",A496))</f>
      </c>
      <c r="B497">
        <f>IF(OR('R.M Billets Reports'!A496="Date-",'R.M Billets Reports'!A496="Date:-"),'R.M Billets Reports'!B496,IF(ROW()=2,"",B496))</f>
      </c>
      <c r="C497">
        <f>IF('R.M Billets Reports'!A496="V.No.",'R.M Billets Reports'!B496,IF(ROW()=2,"",C496))</f>
      </c>
      <c r="D497">
        <f>IF('R.M Billets Reports'!A496&lt;&gt;"",'R.M Billets Reports'!A496,IF(ROW()=2,"",D496))</f>
      </c>
      <c r="E497">
        <f>IF('R.M Billets Reports'!B496="","",TRIM('R.M Billets Reports'!B496))</f>
      </c>
      <c r="F497">
        <f>'R.M Billets Reports'!C496</f>
      </c>
      <c r="G497">
        <f>'R.M Billets Reports'!D496</f>
      </c>
      <c r="H497">
        <f>'R.M Billets Reports'!E496</f>
      </c>
      <c r="I497">
        <f>'R.M Billets Reports'!F496</f>
      </c>
      <c r="J497">
        <f>'R.M Billets Reports'!G496</f>
      </c>
      <c r="K497">
        <f>'R.M Billets Reports'!H496</f>
      </c>
      <c r="L497">
        <f>IF('R.M Billets Reports'!I496="","",'R.M Billets Reports'!I496)</f>
      </c>
      <c r="M497">
        <f t="shared" si="14"/>
      </c>
      <c r="N497">
        <f>IF('R.M Billets Reports'!J496="","",'R.M Billets Reports'!J496)</f>
      </c>
      <c r="O497">
        <f t="shared" si="15"/>
      </c>
      <c r="P497">
        <f>IF('R.M Billets Reports'!A496="SIZE",'R.M Billets Reports'!B496,P496)</f>
      </c>
    </row>
    <row r="498" spans="1:16" x14ac:dyDescent="0.25">
      <c r="A498">
        <f>IF(OR('R.M Billets Reports'!A497="Date-",'R.M Billets Reports'!A497="Date:-"),IF(IF(IF(ISNUMBER(SEARCH("Party Name:-",'R.M Billets Reports'!D497)),TRIM('R.M Billets Reports'!F497),IF(ISNUMBER(SEARCH("Party Name-",'R.M Billets Reports'!D497)),TRIM(MID('R.M Billets Reports'!D497,SEARCH("-",'R.M Billets Reports'!D497)+1,200)),""))&lt;&gt;"",IF(ISNUMBER(SEARCH("Party Name:-",'R.M Billets Reports'!D497)),TRIM('R.M Billets Reports'!F497),IF(ISNUMBER(SEARCH("Party Name-",'R.M Billets Reports'!D497)),TRIM(MID('R.M Billets Reports'!D497,SEARCH("-",'R.M Billets Reports'!D497)+1,200)),"")),IF(ISNUMBER(SEARCH("Party Name:-",'R.M Billets Reports'!D498)),TRIM('R.M Billets Reports'!F498),IF(ISNUMBER(SEARCH("Party Name-",'R.M Billets Reports'!D498)),TRIM(MID('R.M Billets Reports'!D498,SEARCH("-",'R.M Billets Reports'!D498)+1,200)),"")))="VRKP ISPAT PVT LTD","VRKP",IF(IF(IF(ISNUMBER(SEARCH("Party Name:-",'R.M Billets Reports'!D497)),TRIM('R.M Billets Reports'!F497),IF(ISNUMBER(SEARCH("Party Name-",'R.M Billets Reports'!D497)),TRIM(MID('R.M Billets Reports'!D497,SEARCH("-",'R.M Billets Reports'!D497)+1,200)),""))&lt;&gt;"",IF(ISNUMBER(SEARCH("Party Name:-",'R.M Billets Reports'!D497)),TRIM('R.M Billets Reports'!F497),IF(ISNUMBER(SEARCH("Party Name-",'R.M Billets Reports'!D497)),TRIM(MID('R.M Billets Reports'!D497,SEARCH("-",'R.M Billets Reports'!D497)+1,200)),"")),IF(ISNUMBER(SEARCH("Party Name:-",'R.M Billets Reports'!D498)),TRIM('R.M Billets Reports'!F498),IF(ISNUMBER(SEARCH("Party Name-",'R.M Billets Reports'!D498)),TRIM(MID('R.M Billets Reports'!D498,SEARCH("-",'R.M Billets Reports'!D498)+1,200)),"")))="SHRI RADHE","SHREE RADHE",IF(IF(IF(ISNUMBER(SEARCH("Party Name:-",'R.M Billets Reports'!D497)),TRIM('R.M Billets Reports'!F497),IF(ISNUMBER(SEARCH("Party Name-",'R.M Billets Reports'!D497)),TRIM(MID('R.M Billets Reports'!D497,SEARCH("-",'R.M Billets Reports'!D497)+1,200)),""))&lt;&gt;"",IF(ISNUMBER(SEARCH("Party Name:-",'R.M Billets Reports'!D497)),TRIM('R.M Billets Reports'!F497),IF(ISNUMBER(SEARCH("Party Name-",'R.M Billets Reports'!D497)),TRIM(MID('R.M Billets Reports'!D497,SEARCH("-",'R.M Billets Reports'!D497)+1,200)),"")),IF(ISNUMBER(SEARCH("Party Name:-",'R.M Billets Reports'!D498)),TRIM('R.M Billets Reports'!F498),IF(ISNUMBER(SEARCH("Party Name-",'R.M Billets Reports'!D498)),TRIM(MID('R.M Billets Reports'!D498,SEARCH("-",'R.M Billets Reports'!D498)+1,200)),"")))="SHREE RADHE SHAKTI SPONGE AND POWER PVT. LTD.","SHREE RADHE",IF(IF(ISNUMBER(SEARCH("Party Name:-",'R.M Billets Reports'!D497)),TRIM('R.M Billets Reports'!F497),IF(ISNUMBER(SEARCH("Party Name-",'R.M Billets Reports'!D497)),TRIM(MID('R.M Billets Reports'!D497,SEARCH("-",'R.M Billets Reports'!D497)+1,200)),""))&lt;&gt;"",IF(ISNUMBER(SEARCH("Party Name:-",'R.M Billets Reports'!D497)),TRIM('R.M Billets Reports'!F497),IF(ISNUMBER(SEARCH("Party Name-",'R.M Billets Reports'!D497)),TRIM(MID('R.M Billets Reports'!D497,SEARCH("-",'R.M Billets Reports'!D497)+1,200)),"")),IF(ISNUMBER(SEARCH("Party Name:-",'R.M Billets Reports'!D498)),TRIM('R.M Billets Reports'!F498),IF(ISNUMBER(SEARCH("Party Name-",'R.M Billets Reports'!D498)),TRIM(MID('R.M Billets Reports'!D498,SEARCH("-",'R.M Billets Reports'!D498)+1,200)),"")))))),IF(ROW()=2,"",A497))</f>
      </c>
      <c r="B498">
        <f>IF(OR('R.M Billets Reports'!A497="Date-",'R.M Billets Reports'!A497="Date:-"),'R.M Billets Reports'!B497,IF(ROW()=2,"",B497))</f>
      </c>
      <c r="C498">
        <f>IF('R.M Billets Reports'!A497="V.No.",'R.M Billets Reports'!B497,IF(ROW()=2,"",C497))</f>
      </c>
      <c r="D498">
        <f>IF('R.M Billets Reports'!A497&lt;&gt;"",'R.M Billets Reports'!A497,IF(ROW()=2,"",D497))</f>
      </c>
      <c r="E498">
        <f>IF('R.M Billets Reports'!B497="","",TRIM('R.M Billets Reports'!B497))</f>
      </c>
      <c r="F498">
        <f>'R.M Billets Reports'!C497</f>
      </c>
      <c r="G498">
        <f>'R.M Billets Reports'!D497</f>
      </c>
      <c r="H498">
        <f>'R.M Billets Reports'!E497</f>
      </c>
      <c r="I498">
        <f>'R.M Billets Reports'!F497</f>
      </c>
      <c r="J498">
        <f>'R.M Billets Reports'!G497</f>
      </c>
      <c r="K498">
        <f>'R.M Billets Reports'!H497</f>
      </c>
      <c r="L498">
        <f>IF('R.M Billets Reports'!I497="","",'R.M Billets Reports'!I497)</f>
      </c>
      <c r="M498">
        <f t="shared" si="14"/>
      </c>
      <c r="N498">
        <f>IF('R.M Billets Reports'!J497="","",'R.M Billets Reports'!J497)</f>
      </c>
      <c r="O498">
        <f t="shared" si="15"/>
      </c>
      <c r="P498">
        <f>IF('R.M Billets Reports'!A497="SIZE",'R.M Billets Reports'!B497,P497)</f>
      </c>
    </row>
    <row r="499" spans="1:16" x14ac:dyDescent="0.25">
      <c r="A499">
        <f>IF(OR('R.M Billets Reports'!A498="Date-",'R.M Billets Reports'!A498="Date:-"),IF(IF(IF(ISNUMBER(SEARCH("Party Name:-",'R.M Billets Reports'!D498)),TRIM('R.M Billets Reports'!F498),IF(ISNUMBER(SEARCH("Party Name-",'R.M Billets Reports'!D498)),TRIM(MID('R.M Billets Reports'!D498,SEARCH("-",'R.M Billets Reports'!D498)+1,200)),""))&lt;&gt;"",IF(ISNUMBER(SEARCH("Party Name:-",'R.M Billets Reports'!D498)),TRIM('R.M Billets Reports'!F498),IF(ISNUMBER(SEARCH("Party Name-",'R.M Billets Reports'!D498)),TRIM(MID('R.M Billets Reports'!D498,SEARCH("-",'R.M Billets Reports'!D498)+1,200)),"")),IF(ISNUMBER(SEARCH("Party Name:-",'R.M Billets Reports'!D499)),TRIM('R.M Billets Reports'!F499),IF(ISNUMBER(SEARCH("Party Name-",'R.M Billets Reports'!D499)),TRIM(MID('R.M Billets Reports'!D499,SEARCH("-",'R.M Billets Reports'!D499)+1,200)),"")))="VRKP ISPAT PVT LTD","VRKP",IF(IF(IF(ISNUMBER(SEARCH("Party Name:-",'R.M Billets Reports'!D498)),TRIM('R.M Billets Reports'!F498),IF(ISNUMBER(SEARCH("Party Name-",'R.M Billets Reports'!D498)),TRIM(MID('R.M Billets Reports'!D498,SEARCH("-",'R.M Billets Reports'!D498)+1,200)),""))&lt;&gt;"",IF(ISNUMBER(SEARCH("Party Name:-",'R.M Billets Reports'!D498)),TRIM('R.M Billets Reports'!F498),IF(ISNUMBER(SEARCH("Party Name-",'R.M Billets Reports'!D498)),TRIM(MID('R.M Billets Reports'!D498,SEARCH("-",'R.M Billets Reports'!D498)+1,200)),"")),IF(ISNUMBER(SEARCH("Party Name:-",'R.M Billets Reports'!D499)),TRIM('R.M Billets Reports'!F499),IF(ISNUMBER(SEARCH("Party Name-",'R.M Billets Reports'!D499)),TRIM(MID('R.M Billets Reports'!D499,SEARCH("-",'R.M Billets Reports'!D499)+1,200)),"")))="SHRI RADHE","SHREE RADHE",IF(IF(IF(ISNUMBER(SEARCH("Party Name:-",'R.M Billets Reports'!D498)),TRIM('R.M Billets Reports'!F498),IF(ISNUMBER(SEARCH("Party Name-",'R.M Billets Reports'!D498)),TRIM(MID('R.M Billets Reports'!D498,SEARCH("-",'R.M Billets Reports'!D498)+1,200)),""))&lt;&gt;"",IF(ISNUMBER(SEARCH("Party Name:-",'R.M Billets Reports'!D498)),TRIM('R.M Billets Reports'!F498),IF(ISNUMBER(SEARCH("Party Name-",'R.M Billets Reports'!D498)),TRIM(MID('R.M Billets Reports'!D498,SEARCH("-",'R.M Billets Reports'!D498)+1,200)),"")),IF(ISNUMBER(SEARCH("Party Name:-",'R.M Billets Reports'!D499)),TRIM('R.M Billets Reports'!F499),IF(ISNUMBER(SEARCH("Party Name-",'R.M Billets Reports'!D499)),TRIM(MID('R.M Billets Reports'!D499,SEARCH("-",'R.M Billets Reports'!D499)+1,200)),"")))="SHREE RADHE SHAKTI SPONGE AND POWER PVT. LTD.","SHREE RADHE",IF(IF(ISNUMBER(SEARCH("Party Name:-",'R.M Billets Reports'!D498)),TRIM('R.M Billets Reports'!F498),IF(ISNUMBER(SEARCH("Party Name-",'R.M Billets Reports'!D498)),TRIM(MID('R.M Billets Reports'!D498,SEARCH("-",'R.M Billets Reports'!D498)+1,200)),""))&lt;&gt;"",IF(ISNUMBER(SEARCH("Party Name:-",'R.M Billets Reports'!D498)),TRIM('R.M Billets Reports'!F498),IF(ISNUMBER(SEARCH("Party Name-",'R.M Billets Reports'!D498)),TRIM(MID('R.M Billets Reports'!D498,SEARCH("-",'R.M Billets Reports'!D498)+1,200)),"")),IF(ISNUMBER(SEARCH("Party Name:-",'R.M Billets Reports'!D499)),TRIM('R.M Billets Reports'!F499),IF(ISNUMBER(SEARCH("Party Name-",'R.M Billets Reports'!D499)),TRIM(MID('R.M Billets Reports'!D499,SEARCH("-",'R.M Billets Reports'!D499)+1,200)),"")))))),IF(ROW()=2,"",A498))</f>
      </c>
      <c r="B499">
        <f>IF(OR('R.M Billets Reports'!A498="Date-",'R.M Billets Reports'!A498="Date:-"),'R.M Billets Reports'!B498,IF(ROW()=2,"",B498))</f>
      </c>
      <c r="C499">
        <f>IF('R.M Billets Reports'!A498="V.No.",'R.M Billets Reports'!B498,IF(ROW()=2,"",C498))</f>
      </c>
      <c r="D499">
        <f>IF('R.M Billets Reports'!A498&lt;&gt;"",'R.M Billets Reports'!A498,IF(ROW()=2,"",D498))</f>
      </c>
      <c r="E499">
        <f>IF('R.M Billets Reports'!B498="","",TRIM('R.M Billets Reports'!B498))</f>
      </c>
      <c r="F499">
        <f>'R.M Billets Reports'!C498</f>
      </c>
      <c r="G499">
        <f>'R.M Billets Reports'!D498</f>
      </c>
      <c r="H499">
        <f>'R.M Billets Reports'!E498</f>
      </c>
      <c r="I499">
        <f>'R.M Billets Reports'!F498</f>
      </c>
      <c r="J499">
        <f>'R.M Billets Reports'!G498</f>
      </c>
      <c r="K499">
        <f>'R.M Billets Reports'!H498</f>
      </c>
      <c r="L499">
        <f>IF('R.M Billets Reports'!I498="","",'R.M Billets Reports'!I498)</f>
      </c>
      <c r="M499">
        <f t="shared" si="14"/>
      </c>
      <c r="N499">
        <f>IF('R.M Billets Reports'!J498="","",'R.M Billets Reports'!J498)</f>
      </c>
      <c r="O499">
        <f t="shared" si="15"/>
      </c>
      <c r="P499">
        <f>IF('R.M Billets Reports'!A498="SIZE",'R.M Billets Reports'!B498,P498)</f>
      </c>
    </row>
    <row r="500" spans="1:16" x14ac:dyDescent="0.25">
      <c r="A500">
        <f>IF(OR('R.M Billets Reports'!A499="Date-",'R.M Billets Reports'!A499="Date:-"),IF(IF(IF(ISNUMBER(SEARCH("Party Name:-",'R.M Billets Reports'!D499)),TRIM('R.M Billets Reports'!F499),IF(ISNUMBER(SEARCH("Party Name-",'R.M Billets Reports'!D499)),TRIM(MID('R.M Billets Reports'!D499,SEARCH("-",'R.M Billets Reports'!D499)+1,200)),""))&lt;&gt;"",IF(ISNUMBER(SEARCH("Party Name:-",'R.M Billets Reports'!D499)),TRIM('R.M Billets Reports'!F499),IF(ISNUMBER(SEARCH("Party Name-",'R.M Billets Reports'!D499)),TRIM(MID('R.M Billets Reports'!D499,SEARCH("-",'R.M Billets Reports'!D499)+1,200)),"")),IF(ISNUMBER(SEARCH("Party Name:-",'R.M Billets Reports'!D500)),TRIM('R.M Billets Reports'!F500),IF(ISNUMBER(SEARCH("Party Name-",'R.M Billets Reports'!D500)),TRIM(MID('R.M Billets Reports'!D500,SEARCH("-",'R.M Billets Reports'!D500)+1,200)),"")))="VRKP ISPAT PVT LTD","VRKP",IF(IF(IF(ISNUMBER(SEARCH("Party Name:-",'R.M Billets Reports'!D499)),TRIM('R.M Billets Reports'!F499),IF(ISNUMBER(SEARCH("Party Name-",'R.M Billets Reports'!D499)),TRIM(MID('R.M Billets Reports'!D499,SEARCH("-",'R.M Billets Reports'!D499)+1,200)),""))&lt;&gt;"",IF(ISNUMBER(SEARCH("Party Name:-",'R.M Billets Reports'!D499)),TRIM('R.M Billets Reports'!F499),IF(ISNUMBER(SEARCH("Party Name-",'R.M Billets Reports'!D499)),TRIM(MID('R.M Billets Reports'!D499,SEARCH("-",'R.M Billets Reports'!D499)+1,200)),"")),IF(ISNUMBER(SEARCH("Party Name:-",'R.M Billets Reports'!D500)),TRIM('R.M Billets Reports'!F500),IF(ISNUMBER(SEARCH("Party Name-",'R.M Billets Reports'!D500)),TRIM(MID('R.M Billets Reports'!D500,SEARCH("-",'R.M Billets Reports'!D500)+1,200)),"")))="SHRI RADHE","SHREE RADHE",IF(IF(IF(ISNUMBER(SEARCH("Party Name:-",'R.M Billets Reports'!D499)),TRIM('R.M Billets Reports'!F499),IF(ISNUMBER(SEARCH("Party Name-",'R.M Billets Reports'!D499)),TRIM(MID('R.M Billets Reports'!D499,SEARCH("-",'R.M Billets Reports'!D499)+1,200)),""))&lt;&gt;"",IF(ISNUMBER(SEARCH("Party Name:-",'R.M Billets Reports'!D499)),TRIM('R.M Billets Reports'!F499),IF(ISNUMBER(SEARCH("Party Name-",'R.M Billets Reports'!D499)),TRIM(MID('R.M Billets Reports'!D499,SEARCH("-",'R.M Billets Reports'!D499)+1,200)),"")),IF(ISNUMBER(SEARCH("Party Name:-",'R.M Billets Reports'!D500)),TRIM('R.M Billets Reports'!F500),IF(ISNUMBER(SEARCH("Party Name-",'R.M Billets Reports'!D500)),TRIM(MID('R.M Billets Reports'!D500,SEARCH("-",'R.M Billets Reports'!D500)+1,200)),"")))="SHREE RADHE SHAKTI SPONGE AND POWER PVT. LTD.","SHREE RADHE",IF(IF(ISNUMBER(SEARCH("Party Name:-",'R.M Billets Reports'!D499)),TRIM('R.M Billets Reports'!F499),IF(ISNUMBER(SEARCH("Party Name-",'R.M Billets Reports'!D499)),TRIM(MID('R.M Billets Reports'!D499,SEARCH("-",'R.M Billets Reports'!D499)+1,200)),""))&lt;&gt;"",IF(ISNUMBER(SEARCH("Party Name:-",'R.M Billets Reports'!D499)),TRIM('R.M Billets Reports'!F499),IF(ISNUMBER(SEARCH("Party Name-",'R.M Billets Reports'!D499)),TRIM(MID('R.M Billets Reports'!D499,SEARCH("-",'R.M Billets Reports'!D499)+1,200)),"")),IF(ISNUMBER(SEARCH("Party Name:-",'R.M Billets Reports'!D500)),TRIM('R.M Billets Reports'!F500),IF(ISNUMBER(SEARCH("Party Name-",'R.M Billets Reports'!D500)),TRIM(MID('R.M Billets Reports'!D500,SEARCH("-",'R.M Billets Reports'!D500)+1,200)),"")))))),IF(ROW()=2,"",A499))</f>
      </c>
      <c r="B500">
        <f>IF(OR('R.M Billets Reports'!A499="Date-",'R.M Billets Reports'!A499="Date:-"),'R.M Billets Reports'!B499,IF(ROW()=2,"",B499))</f>
      </c>
      <c r="C500">
        <f>IF('R.M Billets Reports'!A499="V.No.",'R.M Billets Reports'!B499,IF(ROW()=2,"",C499))</f>
      </c>
      <c r="D500">
        <f>IF('R.M Billets Reports'!A499&lt;&gt;"",'R.M Billets Reports'!A499,IF(ROW()=2,"",D499))</f>
      </c>
      <c r="E500">
        <f>IF('R.M Billets Reports'!B499="","",TRIM('R.M Billets Reports'!B499))</f>
      </c>
      <c r="F500">
        <f>'R.M Billets Reports'!C499</f>
      </c>
      <c r="G500">
        <f>'R.M Billets Reports'!D499</f>
      </c>
      <c r="H500">
        <f>'R.M Billets Reports'!E499</f>
      </c>
      <c r="I500">
        <f>'R.M Billets Reports'!F499</f>
      </c>
      <c r="J500">
        <f>'R.M Billets Reports'!G499</f>
      </c>
      <c r="K500">
        <f>'R.M Billets Reports'!H499</f>
      </c>
      <c r="L500">
        <f>IF('R.M Billets Reports'!I499="","",'R.M Billets Reports'!I499)</f>
      </c>
      <c r="M500">
        <f t="shared" si="14"/>
      </c>
      <c r="N500">
        <f>IF('R.M Billets Reports'!J499="","",'R.M Billets Reports'!J499)</f>
      </c>
      <c r="O500">
        <f t="shared" si="15"/>
      </c>
      <c r="P500">
        <f>IF('R.M Billets Reports'!A499="SIZE",'R.M Billets Reports'!B499,P499)</f>
      </c>
    </row>
    <row r="501" spans="1:16" x14ac:dyDescent="0.25">
      <c r="A501">
        <f>IF(OR('R.M Billets Reports'!A500="Date-",'R.M Billets Reports'!A500="Date:-"),IF(IF(IF(ISNUMBER(SEARCH("Party Name:-",'R.M Billets Reports'!D500)),TRIM('R.M Billets Reports'!F500),IF(ISNUMBER(SEARCH("Party Name-",'R.M Billets Reports'!D500)),TRIM(MID('R.M Billets Reports'!D500,SEARCH("-",'R.M Billets Reports'!D500)+1,200)),""))&lt;&gt;"",IF(ISNUMBER(SEARCH("Party Name:-",'R.M Billets Reports'!D500)),TRIM('R.M Billets Reports'!F500),IF(ISNUMBER(SEARCH("Party Name-",'R.M Billets Reports'!D500)),TRIM(MID('R.M Billets Reports'!D500,SEARCH("-",'R.M Billets Reports'!D500)+1,200)),"")),IF(ISNUMBER(SEARCH("Party Name:-",'R.M Billets Reports'!D501)),TRIM('R.M Billets Reports'!F501),IF(ISNUMBER(SEARCH("Party Name-",'R.M Billets Reports'!D501)),TRIM(MID('R.M Billets Reports'!D501,SEARCH("-",'R.M Billets Reports'!D501)+1,200)),"")))="VRKP ISPAT PVT LTD","VRKP",IF(IF(IF(ISNUMBER(SEARCH("Party Name:-",'R.M Billets Reports'!D500)),TRIM('R.M Billets Reports'!F500),IF(ISNUMBER(SEARCH("Party Name-",'R.M Billets Reports'!D500)),TRIM(MID('R.M Billets Reports'!D500,SEARCH("-",'R.M Billets Reports'!D500)+1,200)),""))&lt;&gt;"",IF(ISNUMBER(SEARCH("Party Name:-",'R.M Billets Reports'!D500)),TRIM('R.M Billets Reports'!F500),IF(ISNUMBER(SEARCH("Party Name-",'R.M Billets Reports'!D500)),TRIM(MID('R.M Billets Reports'!D500,SEARCH("-",'R.M Billets Reports'!D500)+1,200)),"")),IF(ISNUMBER(SEARCH("Party Name:-",'R.M Billets Reports'!D501)),TRIM('R.M Billets Reports'!F501),IF(ISNUMBER(SEARCH("Party Name-",'R.M Billets Reports'!D501)),TRIM(MID('R.M Billets Reports'!D501,SEARCH("-",'R.M Billets Reports'!D501)+1,200)),"")))="SHRI RADHE","SHREE RADHE",IF(IF(IF(ISNUMBER(SEARCH("Party Name:-",'R.M Billets Reports'!D500)),TRIM('R.M Billets Reports'!F500),IF(ISNUMBER(SEARCH("Party Name-",'R.M Billets Reports'!D500)),TRIM(MID('R.M Billets Reports'!D500,SEARCH("-",'R.M Billets Reports'!D500)+1,200)),""))&lt;&gt;"",IF(ISNUMBER(SEARCH("Party Name:-",'R.M Billets Reports'!D500)),TRIM('R.M Billets Reports'!F500),IF(ISNUMBER(SEARCH("Party Name-",'R.M Billets Reports'!D500)),TRIM(MID('R.M Billets Reports'!D500,SEARCH("-",'R.M Billets Reports'!D500)+1,200)),"")),IF(ISNUMBER(SEARCH("Party Name:-",'R.M Billets Reports'!D501)),TRIM('R.M Billets Reports'!F501),IF(ISNUMBER(SEARCH("Party Name-",'R.M Billets Reports'!D501)),TRIM(MID('R.M Billets Reports'!D501,SEARCH("-",'R.M Billets Reports'!D501)+1,200)),"")))="SHREE RADHE SHAKTI SPONGE AND POWER PVT. LTD.","SHREE RADHE",IF(IF(ISNUMBER(SEARCH("Party Name:-",'R.M Billets Reports'!D500)),TRIM('R.M Billets Reports'!F500),IF(ISNUMBER(SEARCH("Party Name-",'R.M Billets Reports'!D500)),TRIM(MID('R.M Billets Reports'!D500,SEARCH("-",'R.M Billets Reports'!D500)+1,200)),""))&lt;&gt;"",IF(ISNUMBER(SEARCH("Party Name:-",'R.M Billets Reports'!D500)),TRIM('R.M Billets Reports'!F500),IF(ISNUMBER(SEARCH("Party Name-",'R.M Billets Reports'!D500)),TRIM(MID('R.M Billets Reports'!D500,SEARCH("-",'R.M Billets Reports'!D500)+1,200)),"")),IF(ISNUMBER(SEARCH("Party Name:-",'R.M Billets Reports'!D501)),TRIM('R.M Billets Reports'!F501),IF(ISNUMBER(SEARCH("Party Name-",'R.M Billets Reports'!D501)),TRIM(MID('R.M Billets Reports'!D501,SEARCH("-",'R.M Billets Reports'!D501)+1,200)),"")))))),IF(ROW()=2,"",A500))</f>
      </c>
      <c r="B501">
        <f>IF(OR('R.M Billets Reports'!A500="Date-",'R.M Billets Reports'!A500="Date:-"),'R.M Billets Reports'!B500,IF(ROW()=2,"",B500))</f>
      </c>
      <c r="C501">
        <f>IF('R.M Billets Reports'!A500="V.No.",'R.M Billets Reports'!B500,IF(ROW()=2,"",C500))</f>
      </c>
      <c r="D501">
        <f>IF('R.M Billets Reports'!A500&lt;&gt;"",'R.M Billets Reports'!A500,IF(ROW()=2,"",D500))</f>
      </c>
      <c r="E501">
        <f>IF('R.M Billets Reports'!B500="","",TRIM('R.M Billets Reports'!B500))</f>
      </c>
      <c r="F501">
        <f>'R.M Billets Reports'!C500</f>
      </c>
      <c r="G501">
        <f>'R.M Billets Reports'!D500</f>
      </c>
      <c r="H501">
        <f>'R.M Billets Reports'!E500</f>
      </c>
      <c r="I501">
        <f>'R.M Billets Reports'!F500</f>
      </c>
      <c r="J501">
        <f>'R.M Billets Reports'!G500</f>
      </c>
      <c r="K501">
        <f>'R.M Billets Reports'!H500</f>
      </c>
      <c r="L501">
        <f>IF('R.M Billets Reports'!I500="","",'R.M Billets Reports'!I500)</f>
      </c>
      <c r="M501">
        <f t="shared" si="14"/>
      </c>
      <c r="N501">
        <f>IF('R.M Billets Reports'!J500="","",'R.M Billets Reports'!J500)</f>
      </c>
      <c r="O501">
        <f t="shared" si="15"/>
      </c>
      <c r="P501">
        <f>IF('R.M Billets Reports'!A500="SIZE",'R.M Billets Reports'!B500,P500)</f>
      </c>
    </row>
    <row r="502" spans="1:16" x14ac:dyDescent="0.25">
      <c r="A502">
        <f>IF(OR('R.M Billets Reports'!A501="Date-",'R.M Billets Reports'!A501="Date:-"),IF(IF(IF(ISNUMBER(SEARCH("Party Name:-",'R.M Billets Reports'!D501)),TRIM('R.M Billets Reports'!F501),IF(ISNUMBER(SEARCH("Party Name-",'R.M Billets Reports'!D501)),TRIM(MID('R.M Billets Reports'!D501,SEARCH("-",'R.M Billets Reports'!D501)+1,200)),""))&lt;&gt;"",IF(ISNUMBER(SEARCH("Party Name:-",'R.M Billets Reports'!D501)),TRIM('R.M Billets Reports'!F501),IF(ISNUMBER(SEARCH("Party Name-",'R.M Billets Reports'!D501)),TRIM(MID('R.M Billets Reports'!D501,SEARCH("-",'R.M Billets Reports'!D501)+1,200)),"")),IF(ISNUMBER(SEARCH("Party Name:-",'R.M Billets Reports'!D502)),TRIM('R.M Billets Reports'!F502),IF(ISNUMBER(SEARCH("Party Name-",'R.M Billets Reports'!D502)),TRIM(MID('R.M Billets Reports'!D502,SEARCH("-",'R.M Billets Reports'!D502)+1,200)),"")))="VRKP ISPAT PVT LTD","VRKP",IF(IF(IF(ISNUMBER(SEARCH("Party Name:-",'R.M Billets Reports'!D501)),TRIM('R.M Billets Reports'!F501),IF(ISNUMBER(SEARCH("Party Name-",'R.M Billets Reports'!D501)),TRIM(MID('R.M Billets Reports'!D501,SEARCH("-",'R.M Billets Reports'!D501)+1,200)),""))&lt;&gt;"",IF(ISNUMBER(SEARCH("Party Name:-",'R.M Billets Reports'!D501)),TRIM('R.M Billets Reports'!F501),IF(ISNUMBER(SEARCH("Party Name-",'R.M Billets Reports'!D501)),TRIM(MID('R.M Billets Reports'!D501,SEARCH("-",'R.M Billets Reports'!D501)+1,200)),"")),IF(ISNUMBER(SEARCH("Party Name:-",'R.M Billets Reports'!D502)),TRIM('R.M Billets Reports'!F502),IF(ISNUMBER(SEARCH("Party Name-",'R.M Billets Reports'!D502)),TRIM(MID('R.M Billets Reports'!D502,SEARCH("-",'R.M Billets Reports'!D502)+1,200)),"")))="SHRI RADHE","SHREE RADHE",IF(IF(IF(ISNUMBER(SEARCH("Party Name:-",'R.M Billets Reports'!D501)),TRIM('R.M Billets Reports'!F501),IF(ISNUMBER(SEARCH("Party Name-",'R.M Billets Reports'!D501)),TRIM(MID('R.M Billets Reports'!D501,SEARCH("-",'R.M Billets Reports'!D501)+1,200)),""))&lt;&gt;"",IF(ISNUMBER(SEARCH("Party Name:-",'R.M Billets Reports'!D501)),TRIM('R.M Billets Reports'!F501),IF(ISNUMBER(SEARCH("Party Name-",'R.M Billets Reports'!D501)),TRIM(MID('R.M Billets Reports'!D501,SEARCH("-",'R.M Billets Reports'!D501)+1,200)),"")),IF(ISNUMBER(SEARCH("Party Name:-",'R.M Billets Reports'!D502)),TRIM('R.M Billets Reports'!F502),IF(ISNUMBER(SEARCH("Party Name-",'R.M Billets Reports'!D502)),TRIM(MID('R.M Billets Reports'!D502,SEARCH("-",'R.M Billets Reports'!D502)+1,200)),"")))="SHREE RADHE SHAKTI SPONGE AND POWER PVT. LTD.","SHREE RADHE",IF(IF(ISNUMBER(SEARCH("Party Name:-",'R.M Billets Reports'!D501)),TRIM('R.M Billets Reports'!F501),IF(ISNUMBER(SEARCH("Party Name-",'R.M Billets Reports'!D501)),TRIM(MID('R.M Billets Reports'!D501,SEARCH("-",'R.M Billets Reports'!D501)+1,200)),""))&lt;&gt;"",IF(ISNUMBER(SEARCH("Party Name:-",'R.M Billets Reports'!D501)),TRIM('R.M Billets Reports'!F501),IF(ISNUMBER(SEARCH("Party Name-",'R.M Billets Reports'!D501)),TRIM(MID('R.M Billets Reports'!D501,SEARCH("-",'R.M Billets Reports'!D501)+1,200)),"")),IF(ISNUMBER(SEARCH("Party Name:-",'R.M Billets Reports'!D502)),TRIM('R.M Billets Reports'!F502),IF(ISNUMBER(SEARCH("Party Name-",'R.M Billets Reports'!D502)),TRIM(MID('R.M Billets Reports'!D502,SEARCH("-",'R.M Billets Reports'!D502)+1,200)),"")))))),IF(ROW()=2,"",A501))</f>
      </c>
      <c r="B502">
        <f>IF(OR('R.M Billets Reports'!A501="Date-",'R.M Billets Reports'!A501="Date:-"),'R.M Billets Reports'!B501,IF(ROW()=2,"",B501))</f>
      </c>
      <c r="C502">
        <f>IF('R.M Billets Reports'!A501="V.No.",'R.M Billets Reports'!B501,IF(ROW()=2,"",C501))</f>
      </c>
      <c r="D502">
        <f>IF('R.M Billets Reports'!A501&lt;&gt;"",'R.M Billets Reports'!A501,IF(ROW()=2,"",D501))</f>
      </c>
      <c r="E502">
        <f>IF('R.M Billets Reports'!B501="","",TRIM('R.M Billets Reports'!B501))</f>
      </c>
      <c r="F502">
        <f>'R.M Billets Reports'!C501</f>
      </c>
      <c r="G502">
        <f>'R.M Billets Reports'!D501</f>
      </c>
      <c r="H502">
        <f>'R.M Billets Reports'!E501</f>
      </c>
      <c r="I502">
        <f>'R.M Billets Reports'!F501</f>
      </c>
      <c r="J502">
        <f>'R.M Billets Reports'!G501</f>
      </c>
      <c r="K502">
        <f>'R.M Billets Reports'!H501</f>
      </c>
      <c r="L502">
        <f>IF('R.M Billets Reports'!I501="","",'R.M Billets Reports'!I501)</f>
      </c>
      <c r="M502">
        <f t="shared" si="14"/>
      </c>
      <c r="N502">
        <f>IF('R.M Billets Reports'!J501="","",'R.M Billets Reports'!J501)</f>
      </c>
      <c r="O502">
        <f t="shared" si="15"/>
      </c>
      <c r="P502">
        <f>IF('R.M Billets Reports'!A501="SIZE",'R.M Billets Reports'!B501,P501)</f>
      </c>
    </row>
    <row r="503" spans="1:16" x14ac:dyDescent="0.25">
      <c r="A503">
        <f>IF(OR('R.M Billets Reports'!A502="Date-",'R.M Billets Reports'!A502="Date:-"),IF(IF(IF(ISNUMBER(SEARCH("Party Name:-",'R.M Billets Reports'!D502)),TRIM('R.M Billets Reports'!F502),IF(ISNUMBER(SEARCH("Party Name-",'R.M Billets Reports'!D502)),TRIM(MID('R.M Billets Reports'!D502,SEARCH("-",'R.M Billets Reports'!D502)+1,200)),""))&lt;&gt;"",IF(ISNUMBER(SEARCH("Party Name:-",'R.M Billets Reports'!D502)),TRIM('R.M Billets Reports'!F502),IF(ISNUMBER(SEARCH("Party Name-",'R.M Billets Reports'!D502)),TRIM(MID('R.M Billets Reports'!D502,SEARCH("-",'R.M Billets Reports'!D502)+1,200)),"")),IF(ISNUMBER(SEARCH("Party Name:-",'R.M Billets Reports'!D503)),TRIM('R.M Billets Reports'!F503),IF(ISNUMBER(SEARCH("Party Name-",'R.M Billets Reports'!D503)),TRIM(MID('R.M Billets Reports'!D503,SEARCH("-",'R.M Billets Reports'!D503)+1,200)),"")))="VRKP ISPAT PVT LTD","VRKP",IF(IF(IF(ISNUMBER(SEARCH("Party Name:-",'R.M Billets Reports'!D502)),TRIM('R.M Billets Reports'!F502),IF(ISNUMBER(SEARCH("Party Name-",'R.M Billets Reports'!D502)),TRIM(MID('R.M Billets Reports'!D502,SEARCH("-",'R.M Billets Reports'!D502)+1,200)),""))&lt;&gt;"",IF(ISNUMBER(SEARCH("Party Name:-",'R.M Billets Reports'!D502)),TRIM('R.M Billets Reports'!F502),IF(ISNUMBER(SEARCH("Party Name-",'R.M Billets Reports'!D502)),TRIM(MID('R.M Billets Reports'!D502,SEARCH("-",'R.M Billets Reports'!D502)+1,200)),"")),IF(ISNUMBER(SEARCH("Party Name:-",'R.M Billets Reports'!D503)),TRIM('R.M Billets Reports'!F503),IF(ISNUMBER(SEARCH("Party Name-",'R.M Billets Reports'!D503)),TRIM(MID('R.M Billets Reports'!D503,SEARCH("-",'R.M Billets Reports'!D503)+1,200)),"")))="SHRI RADHE","SHREE RADHE",IF(IF(IF(ISNUMBER(SEARCH("Party Name:-",'R.M Billets Reports'!D502)),TRIM('R.M Billets Reports'!F502),IF(ISNUMBER(SEARCH("Party Name-",'R.M Billets Reports'!D502)),TRIM(MID('R.M Billets Reports'!D502,SEARCH("-",'R.M Billets Reports'!D502)+1,200)),""))&lt;&gt;"",IF(ISNUMBER(SEARCH("Party Name:-",'R.M Billets Reports'!D502)),TRIM('R.M Billets Reports'!F502),IF(ISNUMBER(SEARCH("Party Name-",'R.M Billets Reports'!D502)),TRIM(MID('R.M Billets Reports'!D502,SEARCH("-",'R.M Billets Reports'!D502)+1,200)),"")),IF(ISNUMBER(SEARCH("Party Name:-",'R.M Billets Reports'!D503)),TRIM('R.M Billets Reports'!F503),IF(ISNUMBER(SEARCH("Party Name-",'R.M Billets Reports'!D503)),TRIM(MID('R.M Billets Reports'!D503,SEARCH("-",'R.M Billets Reports'!D503)+1,200)),"")))="SHREE RADHE SHAKTI SPONGE AND POWER PVT. LTD.","SHREE RADHE",IF(IF(ISNUMBER(SEARCH("Party Name:-",'R.M Billets Reports'!D502)),TRIM('R.M Billets Reports'!F502),IF(ISNUMBER(SEARCH("Party Name-",'R.M Billets Reports'!D502)),TRIM(MID('R.M Billets Reports'!D502,SEARCH("-",'R.M Billets Reports'!D502)+1,200)),""))&lt;&gt;"",IF(ISNUMBER(SEARCH("Party Name:-",'R.M Billets Reports'!D502)),TRIM('R.M Billets Reports'!F502),IF(ISNUMBER(SEARCH("Party Name-",'R.M Billets Reports'!D502)),TRIM(MID('R.M Billets Reports'!D502,SEARCH("-",'R.M Billets Reports'!D502)+1,200)),"")),IF(ISNUMBER(SEARCH("Party Name:-",'R.M Billets Reports'!D503)),TRIM('R.M Billets Reports'!F503),IF(ISNUMBER(SEARCH("Party Name-",'R.M Billets Reports'!D503)),TRIM(MID('R.M Billets Reports'!D503,SEARCH("-",'R.M Billets Reports'!D503)+1,200)),"")))))),IF(ROW()=2,"",A502))</f>
      </c>
      <c r="B503">
        <f>IF(OR('R.M Billets Reports'!A502="Date-",'R.M Billets Reports'!A502="Date:-"),'R.M Billets Reports'!B502,IF(ROW()=2,"",B502))</f>
      </c>
      <c r="C503">
        <f>IF('R.M Billets Reports'!A502="V.No.",'R.M Billets Reports'!B502,IF(ROW()=2,"",C502))</f>
      </c>
      <c r="D503">
        <f>IF('R.M Billets Reports'!A502&lt;&gt;"",'R.M Billets Reports'!A502,IF(ROW()=2,"",D502))</f>
      </c>
      <c r="E503">
        <f>IF('R.M Billets Reports'!B502="","",TRIM('R.M Billets Reports'!B502))</f>
      </c>
      <c r="F503">
        <f>'R.M Billets Reports'!C502</f>
      </c>
      <c r="G503">
        <f>'R.M Billets Reports'!D502</f>
      </c>
      <c r="H503">
        <f>'R.M Billets Reports'!E502</f>
      </c>
      <c r="I503">
        <f>'R.M Billets Reports'!F502</f>
      </c>
      <c r="J503">
        <f>'R.M Billets Reports'!G502</f>
      </c>
      <c r="K503">
        <f>'R.M Billets Reports'!H502</f>
      </c>
      <c r="L503">
        <f>IF('R.M Billets Reports'!I502="","",'R.M Billets Reports'!I502)</f>
      </c>
      <c r="M503">
        <f t="shared" si="14"/>
      </c>
      <c r="N503">
        <f>IF('R.M Billets Reports'!J502="","",'R.M Billets Reports'!J502)</f>
      </c>
      <c r="O503">
        <f t="shared" si="15"/>
      </c>
      <c r="P503">
        <f>IF('R.M Billets Reports'!A502="SIZE",'R.M Billets Reports'!B502,P502)</f>
      </c>
    </row>
    <row r="504" spans="1:16" x14ac:dyDescent="0.25">
      <c r="A504">
        <f>IF(OR('R.M Billets Reports'!A503="Date-",'R.M Billets Reports'!A503="Date:-"),IF(IF(IF(ISNUMBER(SEARCH("Party Name:-",'R.M Billets Reports'!D503)),TRIM('R.M Billets Reports'!F503),IF(ISNUMBER(SEARCH("Party Name-",'R.M Billets Reports'!D503)),TRIM(MID('R.M Billets Reports'!D503,SEARCH("-",'R.M Billets Reports'!D503)+1,200)),""))&lt;&gt;"",IF(ISNUMBER(SEARCH("Party Name:-",'R.M Billets Reports'!D503)),TRIM('R.M Billets Reports'!F503),IF(ISNUMBER(SEARCH("Party Name-",'R.M Billets Reports'!D503)),TRIM(MID('R.M Billets Reports'!D503,SEARCH("-",'R.M Billets Reports'!D503)+1,200)),"")),IF(ISNUMBER(SEARCH("Party Name:-",'R.M Billets Reports'!D504)),TRIM('R.M Billets Reports'!F504),IF(ISNUMBER(SEARCH("Party Name-",'R.M Billets Reports'!D504)),TRIM(MID('R.M Billets Reports'!D504,SEARCH("-",'R.M Billets Reports'!D504)+1,200)),"")))="VRKP ISPAT PVT LTD","VRKP",IF(IF(IF(ISNUMBER(SEARCH("Party Name:-",'R.M Billets Reports'!D503)),TRIM('R.M Billets Reports'!F503),IF(ISNUMBER(SEARCH("Party Name-",'R.M Billets Reports'!D503)),TRIM(MID('R.M Billets Reports'!D503,SEARCH("-",'R.M Billets Reports'!D503)+1,200)),""))&lt;&gt;"",IF(ISNUMBER(SEARCH("Party Name:-",'R.M Billets Reports'!D503)),TRIM('R.M Billets Reports'!F503),IF(ISNUMBER(SEARCH("Party Name-",'R.M Billets Reports'!D503)),TRIM(MID('R.M Billets Reports'!D503,SEARCH("-",'R.M Billets Reports'!D503)+1,200)),"")),IF(ISNUMBER(SEARCH("Party Name:-",'R.M Billets Reports'!D504)),TRIM('R.M Billets Reports'!F504),IF(ISNUMBER(SEARCH("Party Name-",'R.M Billets Reports'!D504)),TRIM(MID('R.M Billets Reports'!D504,SEARCH("-",'R.M Billets Reports'!D504)+1,200)),"")))="SHRI RADHE","SHREE RADHE",IF(IF(IF(ISNUMBER(SEARCH("Party Name:-",'R.M Billets Reports'!D503)),TRIM('R.M Billets Reports'!F503),IF(ISNUMBER(SEARCH("Party Name-",'R.M Billets Reports'!D503)),TRIM(MID('R.M Billets Reports'!D503,SEARCH("-",'R.M Billets Reports'!D503)+1,200)),""))&lt;&gt;"",IF(ISNUMBER(SEARCH("Party Name:-",'R.M Billets Reports'!D503)),TRIM('R.M Billets Reports'!F503),IF(ISNUMBER(SEARCH("Party Name-",'R.M Billets Reports'!D503)),TRIM(MID('R.M Billets Reports'!D503,SEARCH("-",'R.M Billets Reports'!D503)+1,200)),"")),IF(ISNUMBER(SEARCH("Party Name:-",'R.M Billets Reports'!D504)),TRIM('R.M Billets Reports'!F504),IF(ISNUMBER(SEARCH("Party Name-",'R.M Billets Reports'!D504)),TRIM(MID('R.M Billets Reports'!D504,SEARCH("-",'R.M Billets Reports'!D504)+1,200)),"")))="SHREE RADHE SHAKTI SPONGE AND POWER PVT. LTD.","SHREE RADHE",IF(IF(ISNUMBER(SEARCH("Party Name:-",'R.M Billets Reports'!D503)),TRIM('R.M Billets Reports'!F503),IF(ISNUMBER(SEARCH("Party Name-",'R.M Billets Reports'!D503)),TRIM(MID('R.M Billets Reports'!D503,SEARCH("-",'R.M Billets Reports'!D503)+1,200)),""))&lt;&gt;"",IF(ISNUMBER(SEARCH("Party Name:-",'R.M Billets Reports'!D503)),TRIM('R.M Billets Reports'!F503),IF(ISNUMBER(SEARCH("Party Name-",'R.M Billets Reports'!D503)),TRIM(MID('R.M Billets Reports'!D503,SEARCH("-",'R.M Billets Reports'!D503)+1,200)),"")),IF(ISNUMBER(SEARCH("Party Name:-",'R.M Billets Reports'!D504)),TRIM('R.M Billets Reports'!F504),IF(ISNUMBER(SEARCH("Party Name-",'R.M Billets Reports'!D504)),TRIM(MID('R.M Billets Reports'!D504,SEARCH("-",'R.M Billets Reports'!D504)+1,200)),"")))))),IF(ROW()=2,"",A503))</f>
      </c>
      <c r="B504">
        <f>IF(OR('R.M Billets Reports'!A503="Date-",'R.M Billets Reports'!A503="Date:-"),'R.M Billets Reports'!B503,IF(ROW()=2,"",B503))</f>
      </c>
      <c r="C504">
        <f>IF('R.M Billets Reports'!A503="V.No.",'R.M Billets Reports'!B503,IF(ROW()=2,"",C503))</f>
      </c>
      <c r="D504">
        <f>IF('R.M Billets Reports'!A503&lt;&gt;"",'R.M Billets Reports'!A503,IF(ROW()=2,"",D503))</f>
      </c>
      <c r="E504">
        <f>IF('R.M Billets Reports'!B503="","",TRIM('R.M Billets Reports'!B503))</f>
      </c>
      <c r="F504">
        <f>'R.M Billets Reports'!C503</f>
      </c>
      <c r="G504">
        <f>'R.M Billets Reports'!D503</f>
      </c>
      <c r="H504">
        <f>'R.M Billets Reports'!E503</f>
      </c>
      <c r="I504">
        <f>'R.M Billets Reports'!F503</f>
      </c>
      <c r="J504">
        <f>'R.M Billets Reports'!G503</f>
      </c>
      <c r="K504">
        <f>'R.M Billets Reports'!H503</f>
      </c>
      <c r="L504">
        <f>IF('R.M Billets Reports'!I503="","",'R.M Billets Reports'!I503)</f>
      </c>
      <c r="M504">
        <f t="shared" si="14"/>
      </c>
      <c r="N504">
        <f>IF('R.M Billets Reports'!J503="","",'R.M Billets Reports'!J503)</f>
      </c>
      <c r="O504">
        <f t="shared" si="15"/>
      </c>
      <c r="P504">
        <f>IF('R.M Billets Reports'!A503="SIZE",'R.M Billets Reports'!B503,P503)</f>
      </c>
    </row>
    <row r="505" spans="1:16" x14ac:dyDescent="0.25">
      <c r="A505">
        <f>IF(OR('R.M Billets Reports'!A504="Date-",'R.M Billets Reports'!A504="Date:-"),IF(IF(IF(ISNUMBER(SEARCH("Party Name:-",'R.M Billets Reports'!D504)),TRIM('R.M Billets Reports'!F504),IF(ISNUMBER(SEARCH("Party Name-",'R.M Billets Reports'!D504)),TRIM(MID('R.M Billets Reports'!D504,SEARCH("-",'R.M Billets Reports'!D504)+1,200)),""))&lt;&gt;"",IF(ISNUMBER(SEARCH("Party Name:-",'R.M Billets Reports'!D504)),TRIM('R.M Billets Reports'!F504),IF(ISNUMBER(SEARCH("Party Name-",'R.M Billets Reports'!D504)),TRIM(MID('R.M Billets Reports'!D504,SEARCH("-",'R.M Billets Reports'!D504)+1,200)),"")),IF(ISNUMBER(SEARCH("Party Name:-",'R.M Billets Reports'!D505)),TRIM('R.M Billets Reports'!F505),IF(ISNUMBER(SEARCH("Party Name-",'R.M Billets Reports'!D505)),TRIM(MID('R.M Billets Reports'!D505,SEARCH("-",'R.M Billets Reports'!D505)+1,200)),"")))="VRKP ISPAT PVT LTD","VRKP",IF(IF(IF(ISNUMBER(SEARCH("Party Name:-",'R.M Billets Reports'!D504)),TRIM('R.M Billets Reports'!F504),IF(ISNUMBER(SEARCH("Party Name-",'R.M Billets Reports'!D504)),TRIM(MID('R.M Billets Reports'!D504,SEARCH("-",'R.M Billets Reports'!D504)+1,200)),""))&lt;&gt;"",IF(ISNUMBER(SEARCH("Party Name:-",'R.M Billets Reports'!D504)),TRIM('R.M Billets Reports'!F504),IF(ISNUMBER(SEARCH("Party Name-",'R.M Billets Reports'!D504)),TRIM(MID('R.M Billets Reports'!D504,SEARCH("-",'R.M Billets Reports'!D504)+1,200)),"")),IF(ISNUMBER(SEARCH("Party Name:-",'R.M Billets Reports'!D505)),TRIM('R.M Billets Reports'!F505),IF(ISNUMBER(SEARCH("Party Name-",'R.M Billets Reports'!D505)),TRIM(MID('R.M Billets Reports'!D505,SEARCH("-",'R.M Billets Reports'!D505)+1,200)),"")))="SHRI RADHE","SHREE RADHE",IF(IF(IF(ISNUMBER(SEARCH("Party Name:-",'R.M Billets Reports'!D504)),TRIM('R.M Billets Reports'!F504),IF(ISNUMBER(SEARCH("Party Name-",'R.M Billets Reports'!D504)),TRIM(MID('R.M Billets Reports'!D504,SEARCH("-",'R.M Billets Reports'!D504)+1,200)),""))&lt;&gt;"",IF(ISNUMBER(SEARCH("Party Name:-",'R.M Billets Reports'!D504)),TRIM('R.M Billets Reports'!F504),IF(ISNUMBER(SEARCH("Party Name-",'R.M Billets Reports'!D504)),TRIM(MID('R.M Billets Reports'!D504,SEARCH("-",'R.M Billets Reports'!D504)+1,200)),"")),IF(ISNUMBER(SEARCH("Party Name:-",'R.M Billets Reports'!D505)),TRIM('R.M Billets Reports'!F505),IF(ISNUMBER(SEARCH("Party Name-",'R.M Billets Reports'!D505)),TRIM(MID('R.M Billets Reports'!D505,SEARCH("-",'R.M Billets Reports'!D505)+1,200)),"")))="SHREE RADHE SHAKTI SPONGE AND POWER PVT. LTD.","SHREE RADHE",IF(IF(ISNUMBER(SEARCH("Party Name:-",'R.M Billets Reports'!D504)),TRIM('R.M Billets Reports'!F504),IF(ISNUMBER(SEARCH("Party Name-",'R.M Billets Reports'!D504)),TRIM(MID('R.M Billets Reports'!D504,SEARCH("-",'R.M Billets Reports'!D504)+1,200)),""))&lt;&gt;"",IF(ISNUMBER(SEARCH("Party Name:-",'R.M Billets Reports'!D504)),TRIM('R.M Billets Reports'!F504),IF(ISNUMBER(SEARCH("Party Name-",'R.M Billets Reports'!D504)),TRIM(MID('R.M Billets Reports'!D504,SEARCH("-",'R.M Billets Reports'!D504)+1,200)),"")),IF(ISNUMBER(SEARCH("Party Name:-",'R.M Billets Reports'!D505)),TRIM('R.M Billets Reports'!F505),IF(ISNUMBER(SEARCH("Party Name-",'R.M Billets Reports'!D505)),TRIM(MID('R.M Billets Reports'!D505,SEARCH("-",'R.M Billets Reports'!D505)+1,200)),"")))))),IF(ROW()=2,"",A504))</f>
      </c>
      <c r="B505">
        <f>IF(OR('R.M Billets Reports'!A504="Date-",'R.M Billets Reports'!A504="Date:-"),'R.M Billets Reports'!B504,IF(ROW()=2,"",B504))</f>
      </c>
      <c r="C505">
        <f>IF('R.M Billets Reports'!A504="V.No.",'R.M Billets Reports'!B504,IF(ROW()=2,"",C504))</f>
      </c>
      <c r="D505">
        <f>IF('R.M Billets Reports'!A504&lt;&gt;"",'R.M Billets Reports'!A504,IF(ROW()=2,"",D504))</f>
      </c>
      <c r="E505">
        <f>IF('R.M Billets Reports'!B504="","",TRIM('R.M Billets Reports'!B504))</f>
      </c>
      <c r="F505">
        <f>'R.M Billets Reports'!C504</f>
      </c>
      <c r="G505">
        <f>'R.M Billets Reports'!D504</f>
      </c>
      <c r="H505">
        <f>'R.M Billets Reports'!E504</f>
      </c>
      <c r="I505">
        <f>'R.M Billets Reports'!F504</f>
      </c>
      <c r="J505">
        <f>'R.M Billets Reports'!G504</f>
      </c>
      <c r="K505">
        <f>'R.M Billets Reports'!H504</f>
      </c>
      <c r="L505">
        <f>IF('R.M Billets Reports'!I504="","",'R.M Billets Reports'!I504)</f>
      </c>
      <c r="M505">
        <f t="shared" si="14"/>
      </c>
      <c r="N505">
        <f>IF('R.M Billets Reports'!J504="","",'R.M Billets Reports'!J504)</f>
      </c>
      <c r="O505">
        <f t="shared" si="15"/>
      </c>
      <c r="P505">
        <f>IF('R.M Billets Reports'!A504="SIZE",'R.M Billets Reports'!B504,P504)</f>
      </c>
    </row>
    <row r="506" spans="1:16" x14ac:dyDescent="0.25">
      <c r="A506">
        <f>IF(OR('R.M Billets Reports'!A505="Date-",'R.M Billets Reports'!A505="Date:-"),IF(IF(IF(ISNUMBER(SEARCH("Party Name:-",'R.M Billets Reports'!D505)),TRIM('R.M Billets Reports'!F505),IF(ISNUMBER(SEARCH("Party Name-",'R.M Billets Reports'!D505)),TRIM(MID('R.M Billets Reports'!D505,SEARCH("-",'R.M Billets Reports'!D505)+1,200)),""))&lt;&gt;"",IF(ISNUMBER(SEARCH("Party Name:-",'R.M Billets Reports'!D505)),TRIM('R.M Billets Reports'!F505),IF(ISNUMBER(SEARCH("Party Name-",'R.M Billets Reports'!D505)),TRIM(MID('R.M Billets Reports'!D505,SEARCH("-",'R.M Billets Reports'!D505)+1,200)),"")),IF(ISNUMBER(SEARCH("Party Name:-",'R.M Billets Reports'!D506)),TRIM('R.M Billets Reports'!F506),IF(ISNUMBER(SEARCH("Party Name-",'R.M Billets Reports'!D506)),TRIM(MID('R.M Billets Reports'!D506,SEARCH("-",'R.M Billets Reports'!D506)+1,200)),"")))="VRKP ISPAT PVT LTD","VRKP",IF(IF(IF(ISNUMBER(SEARCH("Party Name:-",'R.M Billets Reports'!D505)),TRIM('R.M Billets Reports'!F505),IF(ISNUMBER(SEARCH("Party Name-",'R.M Billets Reports'!D505)),TRIM(MID('R.M Billets Reports'!D505,SEARCH("-",'R.M Billets Reports'!D505)+1,200)),""))&lt;&gt;"",IF(ISNUMBER(SEARCH("Party Name:-",'R.M Billets Reports'!D505)),TRIM('R.M Billets Reports'!F505),IF(ISNUMBER(SEARCH("Party Name-",'R.M Billets Reports'!D505)),TRIM(MID('R.M Billets Reports'!D505,SEARCH("-",'R.M Billets Reports'!D505)+1,200)),"")),IF(ISNUMBER(SEARCH("Party Name:-",'R.M Billets Reports'!D506)),TRIM('R.M Billets Reports'!F506),IF(ISNUMBER(SEARCH("Party Name-",'R.M Billets Reports'!D506)),TRIM(MID('R.M Billets Reports'!D506,SEARCH("-",'R.M Billets Reports'!D506)+1,200)),"")))="SHRI RADHE","SHREE RADHE",IF(IF(IF(ISNUMBER(SEARCH("Party Name:-",'R.M Billets Reports'!D505)),TRIM('R.M Billets Reports'!F505),IF(ISNUMBER(SEARCH("Party Name-",'R.M Billets Reports'!D505)),TRIM(MID('R.M Billets Reports'!D505,SEARCH("-",'R.M Billets Reports'!D505)+1,200)),""))&lt;&gt;"",IF(ISNUMBER(SEARCH("Party Name:-",'R.M Billets Reports'!D505)),TRIM('R.M Billets Reports'!F505),IF(ISNUMBER(SEARCH("Party Name-",'R.M Billets Reports'!D505)),TRIM(MID('R.M Billets Reports'!D505,SEARCH("-",'R.M Billets Reports'!D505)+1,200)),"")),IF(ISNUMBER(SEARCH("Party Name:-",'R.M Billets Reports'!D506)),TRIM('R.M Billets Reports'!F506),IF(ISNUMBER(SEARCH("Party Name-",'R.M Billets Reports'!D506)),TRIM(MID('R.M Billets Reports'!D506,SEARCH("-",'R.M Billets Reports'!D506)+1,200)),"")))="SHREE RADHE SHAKTI SPONGE AND POWER PVT. LTD.","SHREE RADHE",IF(IF(ISNUMBER(SEARCH("Party Name:-",'R.M Billets Reports'!D505)),TRIM('R.M Billets Reports'!F505),IF(ISNUMBER(SEARCH("Party Name-",'R.M Billets Reports'!D505)),TRIM(MID('R.M Billets Reports'!D505,SEARCH("-",'R.M Billets Reports'!D505)+1,200)),""))&lt;&gt;"",IF(ISNUMBER(SEARCH("Party Name:-",'R.M Billets Reports'!D505)),TRIM('R.M Billets Reports'!F505),IF(ISNUMBER(SEARCH("Party Name-",'R.M Billets Reports'!D505)),TRIM(MID('R.M Billets Reports'!D505,SEARCH("-",'R.M Billets Reports'!D505)+1,200)),"")),IF(ISNUMBER(SEARCH("Party Name:-",'R.M Billets Reports'!D506)),TRIM('R.M Billets Reports'!F506),IF(ISNUMBER(SEARCH("Party Name-",'R.M Billets Reports'!D506)),TRIM(MID('R.M Billets Reports'!D506,SEARCH("-",'R.M Billets Reports'!D506)+1,200)),"")))))),IF(ROW()=2,"",A505))</f>
      </c>
      <c r="B506">
        <f>IF(OR('R.M Billets Reports'!A505="Date-",'R.M Billets Reports'!A505="Date:-"),'R.M Billets Reports'!B505,IF(ROW()=2,"",B505))</f>
      </c>
      <c r="C506">
        <f>IF('R.M Billets Reports'!A505="V.No.",'R.M Billets Reports'!B505,IF(ROW()=2,"",C505))</f>
      </c>
      <c r="D506">
        <f>IF('R.M Billets Reports'!A505&lt;&gt;"",'R.M Billets Reports'!A505,IF(ROW()=2,"",D505))</f>
      </c>
      <c r="E506">
        <f>IF('R.M Billets Reports'!B505="","",TRIM('R.M Billets Reports'!B505))</f>
      </c>
      <c r="F506">
        <f>'R.M Billets Reports'!C505</f>
      </c>
      <c r="G506">
        <f>'R.M Billets Reports'!D505</f>
      </c>
      <c r="H506">
        <f>'R.M Billets Reports'!E505</f>
      </c>
      <c r="I506">
        <f>'R.M Billets Reports'!F505</f>
      </c>
      <c r="J506">
        <f>'R.M Billets Reports'!G505</f>
      </c>
      <c r="K506">
        <f>'R.M Billets Reports'!H505</f>
      </c>
      <c r="L506">
        <f>IF('R.M Billets Reports'!I505="","",'R.M Billets Reports'!I505)</f>
      </c>
      <c r="M506">
        <f t="shared" si="14"/>
      </c>
      <c r="N506">
        <f>IF('R.M Billets Reports'!J505="","",'R.M Billets Reports'!J505)</f>
      </c>
      <c r="O506">
        <f t="shared" si="15"/>
      </c>
      <c r="P506">
        <f>IF('R.M Billets Reports'!A505="SIZE",'R.M Billets Reports'!B505,P505)</f>
      </c>
    </row>
    <row r="507" spans="1:16" x14ac:dyDescent="0.25">
      <c r="A507">
        <f>IF(OR('R.M Billets Reports'!A506="Date-",'R.M Billets Reports'!A506="Date:-"),IF(IF(IF(ISNUMBER(SEARCH("Party Name:-",'R.M Billets Reports'!D506)),TRIM('R.M Billets Reports'!F506),IF(ISNUMBER(SEARCH("Party Name-",'R.M Billets Reports'!D506)),TRIM(MID('R.M Billets Reports'!D506,SEARCH("-",'R.M Billets Reports'!D506)+1,200)),""))&lt;&gt;"",IF(ISNUMBER(SEARCH("Party Name:-",'R.M Billets Reports'!D506)),TRIM('R.M Billets Reports'!F506),IF(ISNUMBER(SEARCH("Party Name-",'R.M Billets Reports'!D506)),TRIM(MID('R.M Billets Reports'!D506,SEARCH("-",'R.M Billets Reports'!D506)+1,200)),"")),IF(ISNUMBER(SEARCH("Party Name:-",'R.M Billets Reports'!D507)),TRIM('R.M Billets Reports'!F507),IF(ISNUMBER(SEARCH("Party Name-",'R.M Billets Reports'!D507)),TRIM(MID('R.M Billets Reports'!D507,SEARCH("-",'R.M Billets Reports'!D507)+1,200)),"")))="VRKP ISPAT PVT LTD","VRKP",IF(IF(IF(ISNUMBER(SEARCH("Party Name:-",'R.M Billets Reports'!D506)),TRIM('R.M Billets Reports'!F506),IF(ISNUMBER(SEARCH("Party Name-",'R.M Billets Reports'!D506)),TRIM(MID('R.M Billets Reports'!D506,SEARCH("-",'R.M Billets Reports'!D506)+1,200)),""))&lt;&gt;"",IF(ISNUMBER(SEARCH("Party Name:-",'R.M Billets Reports'!D506)),TRIM('R.M Billets Reports'!F506),IF(ISNUMBER(SEARCH("Party Name-",'R.M Billets Reports'!D506)),TRIM(MID('R.M Billets Reports'!D506,SEARCH("-",'R.M Billets Reports'!D506)+1,200)),"")),IF(ISNUMBER(SEARCH("Party Name:-",'R.M Billets Reports'!D507)),TRIM('R.M Billets Reports'!F507),IF(ISNUMBER(SEARCH("Party Name-",'R.M Billets Reports'!D507)),TRIM(MID('R.M Billets Reports'!D507,SEARCH("-",'R.M Billets Reports'!D507)+1,200)),"")))="SHRI RADHE","SHREE RADHE",IF(IF(IF(ISNUMBER(SEARCH("Party Name:-",'R.M Billets Reports'!D506)),TRIM('R.M Billets Reports'!F506),IF(ISNUMBER(SEARCH("Party Name-",'R.M Billets Reports'!D506)),TRIM(MID('R.M Billets Reports'!D506,SEARCH("-",'R.M Billets Reports'!D506)+1,200)),""))&lt;&gt;"",IF(ISNUMBER(SEARCH("Party Name:-",'R.M Billets Reports'!D506)),TRIM('R.M Billets Reports'!F506),IF(ISNUMBER(SEARCH("Party Name-",'R.M Billets Reports'!D506)),TRIM(MID('R.M Billets Reports'!D506,SEARCH("-",'R.M Billets Reports'!D506)+1,200)),"")),IF(ISNUMBER(SEARCH("Party Name:-",'R.M Billets Reports'!D507)),TRIM('R.M Billets Reports'!F507),IF(ISNUMBER(SEARCH("Party Name-",'R.M Billets Reports'!D507)),TRIM(MID('R.M Billets Reports'!D507,SEARCH("-",'R.M Billets Reports'!D507)+1,200)),"")))="SHREE RADHE SHAKTI SPONGE AND POWER PVT. LTD.","SHREE RADHE",IF(IF(ISNUMBER(SEARCH("Party Name:-",'R.M Billets Reports'!D506)),TRIM('R.M Billets Reports'!F506),IF(ISNUMBER(SEARCH("Party Name-",'R.M Billets Reports'!D506)),TRIM(MID('R.M Billets Reports'!D506,SEARCH("-",'R.M Billets Reports'!D506)+1,200)),""))&lt;&gt;"",IF(ISNUMBER(SEARCH("Party Name:-",'R.M Billets Reports'!D506)),TRIM('R.M Billets Reports'!F506),IF(ISNUMBER(SEARCH("Party Name-",'R.M Billets Reports'!D506)),TRIM(MID('R.M Billets Reports'!D506,SEARCH("-",'R.M Billets Reports'!D506)+1,200)),"")),IF(ISNUMBER(SEARCH("Party Name:-",'R.M Billets Reports'!D507)),TRIM('R.M Billets Reports'!F507),IF(ISNUMBER(SEARCH("Party Name-",'R.M Billets Reports'!D507)),TRIM(MID('R.M Billets Reports'!D507,SEARCH("-",'R.M Billets Reports'!D507)+1,200)),"")))))),IF(ROW()=2,"",A506))</f>
      </c>
      <c r="B507">
        <f>IF(OR('R.M Billets Reports'!A506="Date-",'R.M Billets Reports'!A506="Date:-"),'R.M Billets Reports'!B506,IF(ROW()=2,"",B506))</f>
      </c>
      <c r="C507">
        <f>IF('R.M Billets Reports'!A506="V.No.",'R.M Billets Reports'!B506,IF(ROW()=2,"",C506))</f>
      </c>
      <c r="D507">
        <f>IF('R.M Billets Reports'!A506&lt;&gt;"",'R.M Billets Reports'!A506,IF(ROW()=2,"",D506))</f>
      </c>
      <c r="E507">
        <f>IF('R.M Billets Reports'!B506="","",TRIM('R.M Billets Reports'!B506))</f>
      </c>
      <c r="F507">
        <f>'R.M Billets Reports'!C506</f>
      </c>
      <c r="G507">
        <f>'R.M Billets Reports'!D506</f>
      </c>
      <c r="H507">
        <f>'R.M Billets Reports'!E506</f>
      </c>
      <c r="I507">
        <f>'R.M Billets Reports'!F506</f>
      </c>
      <c r="J507">
        <f>'R.M Billets Reports'!G506</f>
      </c>
      <c r="K507">
        <f>'R.M Billets Reports'!H506</f>
      </c>
      <c r="L507">
        <f>IF('R.M Billets Reports'!I506="","",'R.M Billets Reports'!I506)</f>
      </c>
      <c r="M507">
        <f t="shared" si="14"/>
      </c>
      <c r="N507">
        <f>IF('R.M Billets Reports'!J506="","",'R.M Billets Reports'!J506)</f>
      </c>
      <c r="O507">
        <f t="shared" si="15"/>
      </c>
      <c r="P507">
        <f>IF('R.M Billets Reports'!A506="SIZE",'R.M Billets Reports'!B506,P506)</f>
      </c>
    </row>
    <row r="508" spans="1:16" x14ac:dyDescent="0.25">
      <c r="A508">
        <f>IF(OR('R.M Billets Reports'!A507="Date-",'R.M Billets Reports'!A507="Date:-"),IF(IF(IF(ISNUMBER(SEARCH("Party Name:-",'R.M Billets Reports'!D507)),TRIM('R.M Billets Reports'!F507),IF(ISNUMBER(SEARCH("Party Name-",'R.M Billets Reports'!D507)),TRIM(MID('R.M Billets Reports'!D507,SEARCH("-",'R.M Billets Reports'!D507)+1,200)),""))&lt;&gt;"",IF(ISNUMBER(SEARCH("Party Name:-",'R.M Billets Reports'!D507)),TRIM('R.M Billets Reports'!F507),IF(ISNUMBER(SEARCH("Party Name-",'R.M Billets Reports'!D507)),TRIM(MID('R.M Billets Reports'!D507,SEARCH("-",'R.M Billets Reports'!D507)+1,200)),"")),IF(ISNUMBER(SEARCH("Party Name:-",'R.M Billets Reports'!D508)),TRIM('R.M Billets Reports'!F508),IF(ISNUMBER(SEARCH("Party Name-",'R.M Billets Reports'!D508)),TRIM(MID('R.M Billets Reports'!D508,SEARCH("-",'R.M Billets Reports'!D508)+1,200)),"")))="VRKP ISPAT PVT LTD","VRKP",IF(IF(IF(ISNUMBER(SEARCH("Party Name:-",'R.M Billets Reports'!D507)),TRIM('R.M Billets Reports'!F507),IF(ISNUMBER(SEARCH("Party Name-",'R.M Billets Reports'!D507)),TRIM(MID('R.M Billets Reports'!D507,SEARCH("-",'R.M Billets Reports'!D507)+1,200)),""))&lt;&gt;"",IF(ISNUMBER(SEARCH("Party Name:-",'R.M Billets Reports'!D507)),TRIM('R.M Billets Reports'!F507),IF(ISNUMBER(SEARCH("Party Name-",'R.M Billets Reports'!D507)),TRIM(MID('R.M Billets Reports'!D507,SEARCH("-",'R.M Billets Reports'!D507)+1,200)),"")),IF(ISNUMBER(SEARCH("Party Name:-",'R.M Billets Reports'!D508)),TRIM('R.M Billets Reports'!F508),IF(ISNUMBER(SEARCH("Party Name-",'R.M Billets Reports'!D508)),TRIM(MID('R.M Billets Reports'!D508,SEARCH("-",'R.M Billets Reports'!D508)+1,200)),"")))="SHRI RADHE","SHREE RADHE",IF(IF(IF(ISNUMBER(SEARCH("Party Name:-",'R.M Billets Reports'!D507)),TRIM('R.M Billets Reports'!F507),IF(ISNUMBER(SEARCH("Party Name-",'R.M Billets Reports'!D507)),TRIM(MID('R.M Billets Reports'!D507,SEARCH("-",'R.M Billets Reports'!D507)+1,200)),""))&lt;&gt;"",IF(ISNUMBER(SEARCH("Party Name:-",'R.M Billets Reports'!D507)),TRIM('R.M Billets Reports'!F507),IF(ISNUMBER(SEARCH("Party Name-",'R.M Billets Reports'!D507)),TRIM(MID('R.M Billets Reports'!D507,SEARCH("-",'R.M Billets Reports'!D507)+1,200)),"")),IF(ISNUMBER(SEARCH("Party Name:-",'R.M Billets Reports'!D508)),TRIM('R.M Billets Reports'!F508),IF(ISNUMBER(SEARCH("Party Name-",'R.M Billets Reports'!D508)),TRIM(MID('R.M Billets Reports'!D508,SEARCH("-",'R.M Billets Reports'!D508)+1,200)),"")))="SHREE RADHE SHAKTI SPONGE AND POWER PVT. LTD.","SHREE RADHE",IF(IF(ISNUMBER(SEARCH("Party Name:-",'R.M Billets Reports'!D507)),TRIM('R.M Billets Reports'!F507),IF(ISNUMBER(SEARCH("Party Name-",'R.M Billets Reports'!D507)),TRIM(MID('R.M Billets Reports'!D507,SEARCH("-",'R.M Billets Reports'!D507)+1,200)),""))&lt;&gt;"",IF(ISNUMBER(SEARCH("Party Name:-",'R.M Billets Reports'!D507)),TRIM('R.M Billets Reports'!F507),IF(ISNUMBER(SEARCH("Party Name-",'R.M Billets Reports'!D507)),TRIM(MID('R.M Billets Reports'!D507,SEARCH("-",'R.M Billets Reports'!D507)+1,200)),"")),IF(ISNUMBER(SEARCH("Party Name:-",'R.M Billets Reports'!D508)),TRIM('R.M Billets Reports'!F508),IF(ISNUMBER(SEARCH("Party Name-",'R.M Billets Reports'!D508)),TRIM(MID('R.M Billets Reports'!D508,SEARCH("-",'R.M Billets Reports'!D508)+1,200)),"")))))),IF(ROW()=2,"",A507))</f>
      </c>
      <c r="B508">
        <f>IF(OR('R.M Billets Reports'!A507="Date-",'R.M Billets Reports'!A507="Date:-"),'R.M Billets Reports'!B507,IF(ROW()=2,"",B507))</f>
      </c>
      <c r="C508">
        <f>IF('R.M Billets Reports'!A507="V.No.",'R.M Billets Reports'!B507,IF(ROW()=2,"",C507))</f>
      </c>
      <c r="D508">
        <f>IF('R.M Billets Reports'!A507&lt;&gt;"",'R.M Billets Reports'!A507,IF(ROW()=2,"",D507))</f>
      </c>
      <c r="E508">
        <f>IF('R.M Billets Reports'!B507="","",TRIM('R.M Billets Reports'!B507))</f>
      </c>
      <c r="F508">
        <f>'R.M Billets Reports'!C507</f>
      </c>
      <c r="G508">
        <f>'R.M Billets Reports'!D507</f>
      </c>
      <c r="H508">
        <f>'R.M Billets Reports'!E507</f>
      </c>
      <c r="I508">
        <f>'R.M Billets Reports'!F507</f>
      </c>
      <c r="J508">
        <f>'R.M Billets Reports'!G507</f>
      </c>
      <c r="K508">
        <f>'R.M Billets Reports'!H507</f>
      </c>
      <c r="L508">
        <f>IF('R.M Billets Reports'!I507="","",'R.M Billets Reports'!I507)</f>
      </c>
      <c r="M508">
        <f t="shared" si="14"/>
      </c>
      <c r="N508">
        <f>IF('R.M Billets Reports'!J507="","",'R.M Billets Reports'!J507)</f>
      </c>
      <c r="O508">
        <f t="shared" si="15"/>
      </c>
      <c r="P508">
        <f>IF('R.M Billets Reports'!A507="SIZE",'R.M Billets Reports'!B507,P507)</f>
      </c>
    </row>
    <row r="509" spans="1:16" x14ac:dyDescent="0.25">
      <c r="A509">
        <f>IF(OR('R.M Billets Reports'!A508="Date-",'R.M Billets Reports'!A508="Date:-"),IF(IF(IF(ISNUMBER(SEARCH("Party Name:-",'R.M Billets Reports'!D508)),TRIM('R.M Billets Reports'!F508),IF(ISNUMBER(SEARCH("Party Name-",'R.M Billets Reports'!D508)),TRIM(MID('R.M Billets Reports'!D508,SEARCH("-",'R.M Billets Reports'!D508)+1,200)),""))&lt;&gt;"",IF(ISNUMBER(SEARCH("Party Name:-",'R.M Billets Reports'!D508)),TRIM('R.M Billets Reports'!F508),IF(ISNUMBER(SEARCH("Party Name-",'R.M Billets Reports'!D508)),TRIM(MID('R.M Billets Reports'!D508,SEARCH("-",'R.M Billets Reports'!D508)+1,200)),"")),IF(ISNUMBER(SEARCH("Party Name:-",'R.M Billets Reports'!D509)),TRIM('R.M Billets Reports'!F509),IF(ISNUMBER(SEARCH("Party Name-",'R.M Billets Reports'!D509)),TRIM(MID('R.M Billets Reports'!D509,SEARCH("-",'R.M Billets Reports'!D509)+1,200)),"")))="VRKP ISPAT PVT LTD","VRKP",IF(IF(IF(ISNUMBER(SEARCH("Party Name:-",'R.M Billets Reports'!D508)),TRIM('R.M Billets Reports'!F508),IF(ISNUMBER(SEARCH("Party Name-",'R.M Billets Reports'!D508)),TRIM(MID('R.M Billets Reports'!D508,SEARCH("-",'R.M Billets Reports'!D508)+1,200)),""))&lt;&gt;"",IF(ISNUMBER(SEARCH("Party Name:-",'R.M Billets Reports'!D508)),TRIM('R.M Billets Reports'!F508),IF(ISNUMBER(SEARCH("Party Name-",'R.M Billets Reports'!D508)),TRIM(MID('R.M Billets Reports'!D508,SEARCH("-",'R.M Billets Reports'!D508)+1,200)),"")),IF(ISNUMBER(SEARCH("Party Name:-",'R.M Billets Reports'!D509)),TRIM('R.M Billets Reports'!F509),IF(ISNUMBER(SEARCH("Party Name-",'R.M Billets Reports'!D509)),TRIM(MID('R.M Billets Reports'!D509,SEARCH("-",'R.M Billets Reports'!D509)+1,200)),"")))="SHRI RADHE","SHREE RADHE",IF(IF(IF(ISNUMBER(SEARCH("Party Name:-",'R.M Billets Reports'!D508)),TRIM('R.M Billets Reports'!F508),IF(ISNUMBER(SEARCH("Party Name-",'R.M Billets Reports'!D508)),TRIM(MID('R.M Billets Reports'!D508,SEARCH("-",'R.M Billets Reports'!D508)+1,200)),""))&lt;&gt;"",IF(ISNUMBER(SEARCH("Party Name:-",'R.M Billets Reports'!D508)),TRIM('R.M Billets Reports'!F508),IF(ISNUMBER(SEARCH("Party Name-",'R.M Billets Reports'!D508)),TRIM(MID('R.M Billets Reports'!D508,SEARCH("-",'R.M Billets Reports'!D508)+1,200)),"")),IF(ISNUMBER(SEARCH("Party Name:-",'R.M Billets Reports'!D509)),TRIM('R.M Billets Reports'!F509),IF(ISNUMBER(SEARCH("Party Name-",'R.M Billets Reports'!D509)),TRIM(MID('R.M Billets Reports'!D509,SEARCH("-",'R.M Billets Reports'!D509)+1,200)),"")))="SHREE RADHE SHAKTI SPONGE AND POWER PVT. LTD.","SHREE RADHE",IF(IF(ISNUMBER(SEARCH("Party Name:-",'R.M Billets Reports'!D508)),TRIM('R.M Billets Reports'!F508),IF(ISNUMBER(SEARCH("Party Name-",'R.M Billets Reports'!D508)),TRIM(MID('R.M Billets Reports'!D508,SEARCH("-",'R.M Billets Reports'!D508)+1,200)),""))&lt;&gt;"",IF(ISNUMBER(SEARCH("Party Name:-",'R.M Billets Reports'!D508)),TRIM('R.M Billets Reports'!F508),IF(ISNUMBER(SEARCH("Party Name-",'R.M Billets Reports'!D508)),TRIM(MID('R.M Billets Reports'!D508,SEARCH("-",'R.M Billets Reports'!D508)+1,200)),"")),IF(ISNUMBER(SEARCH("Party Name:-",'R.M Billets Reports'!D509)),TRIM('R.M Billets Reports'!F509),IF(ISNUMBER(SEARCH("Party Name-",'R.M Billets Reports'!D509)),TRIM(MID('R.M Billets Reports'!D509,SEARCH("-",'R.M Billets Reports'!D509)+1,200)),"")))))),IF(ROW()=2,"",A508))</f>
      </c>
      <c r="B509">
        <f>IF(OR('R.M Billets Reports'!A508="Date-",'R.M Billets Reports'!A508="Date:-"),'R.M Billets Reports'!B508,IF(ROW()=2,"",B508))</f>
      </c>
      <c r="C509">
        <f>IF('R.M Billets Reports'!A508="V.No.",'R.M Billets Reports'!B508,IF(ROW()=2,"",C508))</f>
      </c>
      <c r="D509">
        <f>IF('R.M Billets Reports'!A508&lt;&gt;"",'R.M Billets Reports'!A508,IF(ROW()=2,"",D508))</f>
      </c>
      <c r="E509">
        <f>IF('R.M Billets Reports'!B508="","",TRIM('R.M Billets Reports'!B508))</f>
      </c>
      <c r="F509">
        <f>'R.M Billets Reports'!C508</f>
      </c>
      <c r="G509">
        <f>'R.M Billets Reports'!D508</f>
      </c>
      <c r="H509">
        <f>'R.M Billets Reports'!E508</f>
      </c>
      <c r="I509">
        <f>'R.M Billets Reports'!F508</f>
      </c>
      <c r="J509">
        <f>'R.M Billets Reports'!G508</f>
      </c>
      <c r="K509">
        <f>'R.M Billets Reports'!H508</f>
      </c>
      <c r="L509">
        <f>IF('R.M Billets Reports'!I508="","",'R.M Billets Reports'!I508)</f>
      </c>
      <c r="M509">
        <f t="shared" si="14"/>
      </c>
      <c r="N509">
        <f>IF('R.M Billets Reports'!J508="","",'R.M Billets Reports'!J508)</f>
      </c>
      <c r="O509">
        <f t="shared" si="15"/>
      </c>
      <c r="P509">
        <f>IF('R.M Billets Reports'!A508="SIZE",'R.M Billets Reports'!B508,P508)</f>
      </c>
    </row>
    <row r="510" spans="1:16" x14ac:dyDescent="0.25">
      <c r="A510">
        <f>IF(OR('R.M Billets Reports'!A509="Date-",'R.M Billets Reports'!A509="Date:-"),IF(IF(IF(ISNUMBER(SEARCH("Party Name:-",'R.M Billets Reports'!D509)),TRIM('R.M Billets Reports'!F509),IF(ISNUMBER(SEARCH("Party Name-",'R.M Billets Reports'!D509)),TRIM(MID('R.M Billets Reports'!D509,SEARCH("-",'R.M Billets Reports'!D509)+1,200)),""))&lt;&gt;"",IF(ISNUMBER(SEARCH("Party Name:-",'R.M Billets Reports'!D509)),TRIM('R.M Billets Reports'!F509),IF(ISNUMBER(SEARCH("Party Name-",'R.M Billets Reports'!D509)),TRIM(MID('R.M Billets Reports'!D509,SEARCH("-",'R.M Billets Reports'!D509)+1,200)),"")),IF(ISNUMBER(SEARCH("Party Name:-",'R.M Billets Reports'!D510)),TRIM('R.M Billets Reports'!F510),IF(ISNUMBER(SEARCH("Party Name-",'R.M Billets Reports'!D510)),TRIM(MID('R.M Billets Reports'!D510,SEARCH("-",'R.M Billets Reports'!D510)+1,200)),"")))="VRKP ISPAT PVT LTD","VRKP",IF(IF(IF(ISNUMBER(SEARCH("Party Name:-",'R.M Billets Reports'!D509)),TRIM('R.M Billets Reports'!F509),IF(ISNUMBER(SEARCH("Party Name-",'R.M Billets Reports'!D509)),TRIM(MID('R.M Billets Reports'!D509,SEARCH("-",'R.M Billets Reports'!D509)+1,200)),""))&lt;&gt;"",IF(ISNUMBER(SEARCH("Party Name:-",'R.M Billets Reports'!D509)),TRIM('R.M Billets Reports'!F509),IF(ISNUMBER(SEARCH("Party Name-",'R.M Billets Reports'!D509)),TRIM(MID('R.M Billets Reports'!D509,SEARCH("-",'R.M Billets Reports'!D509)+1,200)),"")),IF(ISNUMBER(SEARCH("Party Name:-",'R.M Billets Reports'!D510)),TRIM('R.M Billets Reports'!F510),IF(ISNUMBER(SEARCH("Party Name-",'R.M Billets Reports'!D510)),TRIM(MID('R.M Billets Reports'!D510,SEARCH("-",'R.M Billets Reports'!D510)+1,200)),"")))="SHRI RADHE","SHREE RADHE",IF(IF(IF(ISNUMBER(SEARCH("Party Name:-",'R.M Billets Reports'!D509)),TRIM('R.M Billets Reports'!F509),IF(ISNUMBER(SEARCH("Party Name-",'R.M Billets Reports'!D509)),TRIM(MID('R.M Billets Reports'!D509,SEARCH("-",'R.M Billets Reports'!D509)+1,200)),""))&lt;&gt;"",IF(ISNUMBER(SEARCH("Party Name:-",'R.M Billets Reports'!D509)),TRIM('R.M Billets Reports'!F509),IF(ISNUMBER(SEARCH("Party Name-",'R.M Billets Reports'!D509)),TRIM(MID('R.M Billets Reports'!D509,SEARCH("-",'R.M Billets Reports'!D509)+1,200)),"")),IF(ISNUMBER(SEARCH("Party Name:-",'R.M Billets Reports'!D510)),TRIM('R.M Billets Reports'!F510),IF(ISNUMBER(SEARCH("Party Name-",'R.M Billets Reports'!D510)),TRIM(MID('R.M Billets Reports'!D510,SEARCH("-",'R.M Billets Reports'!D510)+1,200)),"")))="SHREE RADHE SHAKTI SPONGE AND POWER PVT. LTD.","SHREE RADHE",IF(IF(ISNUMBER(SEARCH("Party Name:-",'R.M Billets Reports'!D509)),TRIM('R.M Billets Reports'!F509),IF(ISNUMBER(SEARCH("Party Name-",'R.M Billets Reports'!D509)),TRIM(MID('R.M Billets Reports'!D509,SEARCH("-",'R.M Billets Reports'!D509)+1,200)),""))&lt;&gt;"",IF(ISNUMBER(SEARCH("Party Name:-",'R.M Billets Reports'!D509)),TRIM('R.M Billets Reports'!F509),IF(ISNUMBER(SEARCH("Party Name-",'R.M Billets Reports'!D509)),TRIM(MID('R.M Billets Reports'!D509,SEARCH("-",'R.M Billets Reports'!D509)+1,200)),"")),IF(ISNUMBER(SEARCH("Party Name:-",'R.M Billets Reports'!D510)),TRIM('R.M Billets Reports'!F510),IF(ISNUMBER(SEARCH("Party Name-",'R.M Billets Reports'!D510)),TRIM(MID('R.M Billets Reports'!D510,SEARCH("-",'R.M Billets Reports'!D510)+1,200)),"")))))),IF(ROW()=2,"",A509))</f>
      </c>
      <c r="B510">
        <f>IF(OR('R.M Billets Reports'!A509="Date-",'R.M Billets Reports'!A509="Date:-"),'R.M Billets Reports'!B509,IF(ROW()=2,"",B509))</f>
      </c>
      <c r="C510">
        <f>IF('R.M Billets Reports'!A509="V.No.",'R.M Billets Reports'!B509,IF(ROW()=2,"",C509))</f>
      </c>
      <c r="D510">
        <f>IF('R.M Billets Reports'!A509&lt;&gt;"",'R.M Billets Reports'!A509,IF(ROW()=2,"",D509))</f>
      </c>
      <c r="E510">
        <f>IF('R.M Billets Reports'!B509="","",TRIM('R.M Billets Reports'!B509))</f>
      </c>
      <c r="F510">
        <f>'R.M Billets Reports'!C509</f>
      </c>
      <c r="G510">
        <f>'R.M Billets Reports'!D509</f>
      </c>
      <c r="H510">
        <f>'R.M Billets Reports'!E509</f>
      </c>
      <c r="I510">
        <f>'R.M Billets Reports'!F509</f>
      </c>
      <c r="J510">
        <f>'R.M Billets Reports'!G509</f>
      </c>
      <c r="K510">
        <f>'R.M Billets Reports'!H509</f>
      </c>
      <c r="L510">
        <f>IF('R.M Billets Reports'!I509="","",'R.M Billets Reports'!I509)</f>
      </c>
      <c r="M510">
        <f t="shared" si="14"/>
      </c>
      <c r="N510">
        <f>IF('R.M Billets Reports'!J509="","",'R.M Billets Reports'!J509)</f>
      </c>
      <c r="O510">
        <f t="shared" si="15"/>
      </c>
      <c r="P510">
        <f>IF('R.M Billets Reports'!A509="SIZE",'R.M Billets Reports'!B509,P509)</f>
      </c>
    </row>
    <row r="511" spans="1:16" x14ac:dyDescent="0.25">
      <c r="A511">
        <f>IF(OR('R.M Billets Reports'!A510="Date-",'R.M Billets Reports'!A510="Date:-"),IF(IF(IF(ISNUMBER(SEARCH("Party Name:-",'R.M Billets Reports'!D510)),TRIM('R.M Billets Reports'!F510),IF(ISNUMBER(SEARCH("Party Name-",'R.M Billets Reports'!D510)),TRIM(MID('R.M Billets Reports'!D510,SEARCH("-",'R.M Billets Reports'!D510)+1,200)),""))&lt;&gt;"",IF(ISNUMBER(SEARCH("Party Name:-",'R.M Billets Reports'!D510)),TRIM('R.M Billets Reports'!F510),IF(ISNUMBER(SEARCH("Party Name-",'R.M Billets Reports'!D510)),TRIM(MID('R.M Billets Reports'!D510,SEARCH("-",'R.M Billets Reports'!D510)+1,200)),"")),IF(ISNUMBER(SEARCH("Party Name:-",'R.M Billets Reports'!D511)),TRIM('R.M Billets Reports'!F511),IF(ISNUMBER(SEARCH("Party Name-",'R.M Billets Reports'!D511)),TRIM(MID('R.M Billets Reports'!D511,SEARCH("-",'R.M Billets Reports'!D511)+1,200)),"")))="VRKP ISPAT PVT LTD","VRKP",IF(IF(IF(ISNUMBER(SEARCH("Party Name:-",'R.M Billets Reports'!D510)),TRIM('R.M Billets Reports'!F510),IF(ISNUMBER(SEARCH("Party Name-",'R.M Billets Reports'!D510)),TRIM(MID('R.M Billets Reports'!D510,SEARCH("-",'R.M Billets Reports'!D510)+1,200)),""))&lt;&gt;"",IF(ISNUMBER(SEARCH("Party Name:-",'R.M Billets Reports'!D510)),TRIM('R.M Billets Reports'!F510),IF(ISNUMBER(SEARCH("Party Name-",'R.M Billets Reports'!D510)),TRIM(MID('R.M Billets Reports'!D510,SEARCH("-",'R.M Billets Reports'!D510)+1,200)),"")),IF(ISNUMBER(SEARCH("Party Name:-",'R.M Billets Reports'!D511)),TRIM('R.M Billets Reports'!F511),IF(ISNUMBER(SEARCH("Party Name-",'R.M Billets Reports'!D511)),TRIM(MID('R.M Billets Reports'!D511,SEARCH("-",'R.M Billets Reports'!D511)+1,200)),"")))="SHRI RADHE","SHREE RADHE",IF(IF(IF(ISNUMBER(SEARCH("Party Name:-",'R.M Billets Reports'!D510)),TRIM('R.M Billets Reports'!F510),IF(ISNUMBER(SEARCH("Party Name-",'R.M Billets Reports'!D510)),TRIM(MID('R.M Billets Reports'!D510,SEARCH("-",'R.M Billets Reports'!D510)+1,200)),""))&lt;&gt;"",IF(ISNUMBER(SEARCH("Party Name:-",'R.M Billets Reports'!D510)),TRIM('R.M Billets Reports'!F510),IF(ISNUMBER(SEARCH("Party Name-",'R.M Billets Reports'!D510)),TRIM(MID('R.M Billets Reports'!D510,SEARCH("-",'R.M Billets Reports'!D510)+1,200)),"")),IF(ISNUMBER(SEARCH("Party Name:-",'R.M Billets Reports'!D511)),TRIM('R.M Billets Reports'!F511),IF(ISNUMBER(SEARCH("Party Name-",'R.M Billets Reports'!D511)),TRIM(MID('R.M Billets Reports'!D511,SEARCH("-",'R.M Billets Reports'!D511)+1,200)),"")))="SHREE RADHE SHAKTI SPONGE AND POWER PVT. LTD.","SHREE RADHE",IF(IF(ISNUMBER(SEARCH("Party Name:-",'R.M Billets Reports'!D510)),TRIM('R.M Billets Reports'!F510),IF(ISNUMBER(SEARCH("Party Name-",'R.M Billets Reports'!D510)),TRIM(MID('R.M Billets Reports'!D510,SEARCH("-",'R.M Billets Reports'!D510)+1,200)),""))&lt;&gt;"",IF(ISNUMBER(SEARCH("Party Name:-",'R.M Billets Reports'!D510)),TRIM('R.M Billets Reports'!F510),IF(ISNUMBER(SEARCH("Party Name-",'R.M Billets Reports'!D510)),TRIM(MID('R.M Billets Reports'!D510,SEARCH("-",'R.M Billets Reports'!D510)+1,200)),"")),IF(ISNUMBER(SEARCH("Party Name:-",'R.M Billets Reports'!D511)),TRIM('R.M Billets Reports'!F511),IF(ISNUMBER(SEARCH("Party Name-",'R.M Billets Reports'!D511)),TRIM(MID('R.M Billets Reports'!D511,SEARCH("-",'R.M Billets Reports'!D511)+1,200)),"")))))),IF(ROW()=2,"",A510))</f>
      </c>
      <c r="B511">
        <f>IF(OR('R.M Billets Reports'!A510="Date-",'R.M Billets Reports'!A510="Date:-"),'R.M Billets Reports'!B510,IF(ROW()=2,"",B510))</f>
      </c>
      <c r="C511">
        <f>IF('R.M Billets Reports'!A510="V.No.",'R.M Billets Reports'!B510,IF(ROW()=2,"",C510))</f>
      </c>
      <c r="D511">
        <f>IF('R.M Billets Reports'!A510&lt;&gt;"",'R.M Billets Reports'!A510,IF(ROW()=2,"",D510))</f>
      </c>
      <c r="E511">
        <f>IF('R.M Billets Reports'!B510="","",TRIM('R.M Billets Reports'!B510))</f>
      </c>
      <c r="F511">
        <f>'R.M Billets Reports'!C510</f>
      </c>
      <c r="G511">
        <f>'R.M Billets Reports'!D510</f>
      </c>
      <c r="H511">
        <f>'R.M Billets Reports'!E510</f>
      </c>
      <c r="I511">
        <f>'R.M Billets Reports'!F510</f>
      </c>
      <c r="J511">
        <f>'R.M Billets Reports'!G510</f>
      </c>
      <c r="K511">
        <f>'R.M Billets Reports'!H510</f>
      </c>
      <c r="L511">
        <f>IF('R.M Billets Reports'!I510="","",'R.M Billets Reports'!I510)</f>
      </c>
      <c r="M511">
        <f t="shared" si="14"/>
      </c>
      <c r="N511">
        <f>IF('R.M Billets Reports'!J510="","",'R.M Billets Reports'!J510)</f>
      </c>
      <c r="O511">
        <f t="shared" si="15"/>
      </c>
      <c r="P511">
        <f>IF('R.M Billets Reports'!A510="SIZE",'R.M Billets Reports'!B510,P510)</f>
      </c>
    </row>
    <row r="512" spans="1:16" x14ac:dyDescent="0.25">
      <c r="A512">
        <f>IF(OR('R.M Billets Reports'!A511="Date-",'R.M Billets Reports'!A511="Date:-"),IF(IF(IF(ISNUMBER(SEARCH("Party Name:-",'R.M Billets Reports'!D511)),TRIM('R.M Billets Reports'!F511),IF(ISNUMBER(SEARCH("Party Name-",'R.M Billets Reports'!D511)),TRIM(MID('R.M Billets Reports'!D511,SEARCH("-",'R.M Billets Reports'!D511)+1,200)),""))&lt;&gt;"",IF(ISNUMBER(SEARCH("Party Name:-",'R.M Billets Reports'!D511)),TRIM('R.M Billets Reports'!F511),IF(ISNUMBER(SEARCH("Party Name-",'R.M Billets Reports'!D511)),TRIM(MID('R.M Billets Reports'!D511,SEARCH("-",'R.M Billets Reports'!D511)+1,200)),"")),IF(ISNUMBER(SEARCH("Party Name:-",'R.M Billets Reports'!D512)),TRIM('R.M Billets Reports'!F512),IF(ISNUMBER(SEARCH("Party Name-",'R.M Billets Reports'!D512)),TRIM(MID('R.M Billets Reports'!D512,SEARCH("-",'R.M Billets Reports'!D512)+1,200)),"")))="VRKP ISPAT PVT LTD","VRKP",IF(IF(IF(ISNUMBER(SEARCH("Party Name:-",'R.M Billets Reports'!D511)),TRIM('R.M Billets Reports'!F511),IF(ISNUMBER(SEARCH("Party Name-",'R.M Billets Reports'!D511)),TRIM(MID('R.M Billets Reports'!D511,SEARCH("-",'R.M Billets Reports'!D511)+1,200)),""))&lt;&gt;"",IF(ISNUMBER(SEARCH("Party Name:-",'R.M Billets Reports'!D511)),TRIM('R.M Billets Reports'!F511),IF(ISNUMBER(SEARCH("Party Name-",'R.M Billets Reports'!D511)),TRIM(MID('R.M Billets Reports'!D511,SEARCH("-",'R.M Billets Reports'!D511)+1,200)),"")),IF(ISNUMBER(SEARCH("Party Name:-",'R.M Billets Reports'!D512)),TRIM('R.M Billets Reports'!F512),IF(ISNUMBER(SEARCH("Party Name-",'R.M Billets Reports'!D512)),TRIM(MID('R.M Billets Reports'!D512,SEARCH("-",'R.M Billets Reports'!D512)+1,200)),"")))="SHRI RADHE","SHREE RADHE",IF(IF(IF(ISNUMBER(SEARCH("Party Name:-",'R.M Billets Reports'!D511)),TRIM('R.M Billets Reports'!F511),IF(ISNUMBER(SEARCH("Party Name-",'R.M Billets Reports'!D511)),TRIM(MID('R.M Billets Reports'!D511,SEARCH("-",'R.M Billets Reports'!D511)+1,200)),""))&lt;&gt;"",IF(ISNUMBER(SEARCH("Party Name:-",'R.M Billets Reports'!D511)),TRIM('R.M Billets Reports'!F511),IF(ISNUMBER(SEARCH("Party Name-",'R.M Billets Reports'!D511)),TRIM(MID('R.M Billets Reports'!D511,SEARCH("-",'R.M Billets Reports'!D511)+1,200)),"")),IF(ISNUMBER(SEARCH("Party Name:-",'R.M Billets Reports'!D512)),TRIM('R.M Billets Reports'!F512),IF(ISNUMBER(SEARCH("Party Name-",'R.M Billets Reports'!D512)),TRIM(MID('R.M Billets Reports'!D512,SEARCH("-",'R.M Billets Reports'!D512)+1,200)),"")))="SHREE RADHE SHAKTI SPONGE AND POWER PVT. LTD.","SHREE RADHE",IF(IF(ISNUMBER(SEARCH("Party Name:-",'R.M Billets Reports'!D511)),TRIM('R.M Billets Reports'!F511),IF(ISNUMBER(SEARCH("Party Name-",'R.M Billets Reports'!D511)),TRIM(MID('R.M Billets Reports'!D511,SEARCH("-",'R.M Billets Reports'!D511)+1,200)),""))&lt;&gt;"",IF(ISNUMBER(SEARCH("Party Name:-",'R.M Billets Reports'!D511)),TRIM('R.M Billets Reports'!F511),IF(ISNUMBER(SEARCH("Party Name-",'R.M Billets Reports'!D511)),TRIM(MID('R.M Billets Reports'!D511,SEARCH("-",'R.M Billets Reports'!D511)+1,200)),"")),IF(ISNUMBER(SEARCH("Party Name:-",'R.M Billets Reports'!D512)),TRIM('R.M Billets Reports'!F512),IF(ISNUMBER(SEARCH("Party Name-",'R.M Billets Reports'!D512)),TRIM(MID('R.M Billets Reports'!D512,SEARCH("-",'R.M Billets Reports'!D512)+1,200)),"")))))),IF(ROW()=2,"",A511))</f>
      </c>
      <c r="B512">
        <f>IF(OR('R.M Billets Reports'!A511="Date-",'R.M Billets Reports'!A511="Date:-"),'R.M Billets Reports'!B511,IF(ROW()=2,"",B511))</f>
      </c>
      <c r="C512">
        <f>IF('R.M Billets Reports'!A511="V.No.",'R.M Billets Reports'!B511,IF(ROW()=2,"",C511))</f>
      </c>
      <c r="D512">
        <f>IF('R.M Billets Reports'!A511&lt;&gt;"",'R.M Billets Reports'!A511,IF(ROW()=2,"",D511))</f>
      </c>
      <c r="E512">
        <f>IF('R.M Billets Reports'!B511="","",TRIM('R.M Billets Reports'!B511))</f>
      </c>
      <c r="F512">
        <f>'R.M Billets Reports'!C511</f>
      </c>
      <c r="G512">
        <f>'R.M Billets Reports'!D511</f>
      </c>
      <c r="H512">
        <f>'R.M Billets Reports'!E511</f>
      </c>
      <c r="I512">
        <f>'R.M Billets Reports'!F511</f>
      </c>
      <c r="J512">
        <f>'R.M Billets Reports'!G511</f>
      </c>
      <c r="K512">
        <f>'R.M Billets Reports'!H511</f>
      </c>
      <c r="L512">
        <f>IF('R.M Billets Reports'!I511="","",'R.M Billets Reports'!I511)</f>
      </c>
      <c r="M512">
        <f t="shared" si="14"/>
      </c>
      <c r="N512">
        <f>IF('R.M Billets Reports'!J511="","",'R.M Billets Reports'!J511)</f>
      </c>
      <c r="O512">
        <f t="shared" si="15"/>
      </c>
      <c r="P512">
        <f>IF('R.M Billets Reports'!A511="SIZE",'R.M Billets Reports'!B511,P511)</f>
      </c>
    </row>
    <row r="513" spans="1:16" x14ac:dyDescent="0.25">
      <c r="A513">
        <f>IF(OR('R.M Billets Reports'!A512="Date-",'R.M Billets Reports'!A512="Date:-"),IF(IF(IF(ISNUMBER(SEARCH("Party Name:-",'R.M Billets Reports'!D512)),TRIM('R.M Billets Reports'!F512),IF(ISNUMBER(SEARCH("Party Name-",'R.M Billets Reports'!D512)),TRIM(MID('R.M Billets Reports'!D512,SEARCH("-",'R.M Billets Reports'!D512)+1,200)),""))&lt;&gt;"",IF(ISNUMBER(SEARCH("Party Name:-",'R.M Billets Reports'!D512)),TRIM('R.M Billets Reports'!F512),IF(ISNUMBER(SEARCH("Party Name-",'R.M Billets Reports'!D512)),TRIM(MID('R.M Billets Reports'!D512,SEARCH("-",'R.M Billets Reports'!D512)+1,200)),"")),IF(ISNUMBER(SEARCH("Party Name:-",'R.M Billets Reports'!D513)),TRIM('R.M Billets Reports'!F513),IF(ISNUMBER(SEARCH("Party Name-",'R.M Billets Reports'!D513)),TRIM(MID('R.M Billets Reports'!D513,SEARCH("-",'R.M Billets Reports'!D513)+1,200)),"")))="VRKP ISPAT PVT LTD","VRKP",IF(IF(IF(ISNUMBER(SEARCH("Party Name:-",'R.M Billets Reports'!D512)),TRIM('R.M Billets Reports'!F512),IF(ISNUMBER(SEARCH("Party Name-",'R.M Billets Reports'!D512)),TRIM(MID('R.M Billets Reports'!D512,SEARCH("-",'R.M Billets Reports'!D512)+1,200)),""))&lt;&gt;"",IF(ISNUMBER(SEARCH("Party Name:-",'R.M Billets Reports'!D512)),TRIM('R.M Billets Reports'!F512),IF(ISNUMBER(SEARCH("Party Name-",'R.M Billets Reports'!D512)),TRIM(MID('R.M Billets Reports'!D512,SEARCH("-",'R.M Billets Reports'!D512)+1,200)),"")),IF(ISNUMBER(SEARCH("Party Name:-",'R.M Billets Reports'!D513)),TRIM('R.M Billets Reports'!F513),IF(ISNUMBER(SEARCH("Party Name-",'R.M Billets Reports'!D513)),TRIM(MID('R.M Billets Reports'!D513,SEARCH("-",'R.M Billets Reports'!D513)+1,200)),"")))="SHRI RADHE","SHREE RADHE",IF(IF(IF(ISNUMBER(SEARCH("Party Name:-",'R.M Billets Reports'!D512)),TRIM('R.M Billets Reports'!F512),IF(ISNUMBER(SEARCH("Party Name-",'R.M Billets Reports'!D512)),TRIM(MID('R.M Billets Reports'!D512,SEARCH("-",'R.M Billets Reports'!D512)+1,200)),""))&lt;&gt;"",IF(ISNUMBER(SEARCH("Party Name:-",'R.M Billets Reports'!D512)),TRIM('R.M Billets Reports'!F512),IF(ISNUMBER(SEARCH("Party Name-",'R.M Billets Reports'!D512)),TRIM(MID('R.M Billets Reports'!D512,SEARCH("-",'R.M Billets Reports'!D512)+1,200)),"")),IF(ISNUMBER(SEARCH("Party Name:-",'R.M Billets Reports'!D513)),TRIM('R.M Billets Reports'!F513),IF(ISNUMBER(SEARCH("Party Name-",'R.M Billets Reports'!D513)),TRIM(MID('R.M Billets Reports'!D513,SEARCH("-",'R.M Billets Reports'!D513)+1,200)),"")))="SHREE RADHE SHAKTI SPONGE AND POWER PVT. LTD.","SHREE RADHE",IF(IF(ISNUMBER(SEARCH("Party Name:-",'R.M Billets Reports'!D512)),TRIM('R.M Billets Reports'!F512),IF(ISNUMBER(SEARCH("Party Name-",'R.M Billets Reports'!D512)),TRIM(MID('R.M Billets Reports'!D512,SEARCH("-",'R.M Billets Reports'!D512)+1,200)),""))&lt;&gt;"",IF(ISNUMBER(SEARCH("Party Name:-",'R.M Billets Reports'!D512)),TRIM('R.M Billets Reports'!F512),IF(ISNUMBER(SEARCH("Party Name-",'R.M Billets Reports'!D512)),TRIM(MID('R.M Billets Reports'!D512,SEARCH("-",'R.M Billets Reports'!D512)+1,200)),"")),IF(ISNUMBER(SEARCH("Party Name:-",'R.M Billets Reports'!D513)),TRIM('R.M Billets Reports'!F513),IF(ISNUMBER(SEARCH("Party Name-",'R.M Billets Reports'!D513)),TRIM(MID('R.M Billets Reports'!D513,SEARCH("-",'R.M Billets Reports'!D513)+1,200)),"")))))),IF(ROW()=2,"",A512))</f>
      </c>
      <c r="B513">
        <f>IF(OR('R.M Billets Reports'!A512="Date-",'R.M Billets Reports'!A512="Date:-"),'R.M Billets Reports'!B512,IF(ROW()=2,"",B512))</f>
      </c>
      <c r="C513">
        <f>IF('R.M Billets Reports'!A512="V.No.",'R.M Billets Reports'!B512,IF(ROW()=2,"",C512))</f>
      </c>
      <c r="D513">
        <f>IF('R.M Billets Reports'!A512&lt;&gt;"",'R.M Billets Reports'!A512,IF(ROW()=2,"",D512))</f>
      </c>
      <c r="E513">
        <f>IF('R.M Billets Reports'!B512="","",TRIM('R.M Billets Reports'!B512))</f>
      </c>
      <c r="F513">
        <f>'R.M Billets Reports'!C512</f>
      </c>
      <c r="G513">
        <f>'R.M Billets Reports'!D512</f>
      </c>
      <c r="H513">
        <f>'R.M Billets Reports'!E512</f>
      </c>
      <c r="I513">
        <f>'R.M Billets Reports'!F512</f>
      </c>
      <c r="J513">
        <f>'R.M Billets Reports'!G512</f>
      </c>
      <c r="K513">
        <f>'R.M Billets Reports'!H512</f>
      </c>
      <c r="L513">
        <f>IF('R.M Billets Reports'!I512="","",'R.M Billets Reports'!I512)</f>
      </c>
      <c r="M513">
        <f t="shared" si="14"/>
      </c>
      <c r="N513">
        <f>IF('R.M Billets Reports'!J512="","",'R.M Billets Reports'!J512)</f>
      </c>
      <c r="O513">
        <f t="shared" si="15"/>
      </c>
      <c r="P513">
        <f>IF('R.M Billets Reports'!A512="SIZE",'R.M Billets Reports'!B512,P512)</f>
      </c>
    </row>
    <row r="514" spans="1:16" x14ac:dyDescent="0.25">
      <c r="A514">
        <f>IF(OR('R.M Billets Reports'!A513="Date-",'R.M Billets Reports'!A513="Date:-"),IF(IF(IF(ISNUMBER(SEARCH("Party Name:-",'R.M Billets Reports'!D513)),TRIM('R.M Billets Reports'!F513),IF(ISNUMBER(SEARCH("Party Name-",'R.M Billets Reports'!D513)),TRIM(MID('R.M Billets Reports'!D513,SEARCH("-",'R.M Billets Reports'!D513)+1,200)),""))&lt;&gt;"",IF(ISNUMBER(SEARCH("Party Name:-",'R.M Billets Reports'!D513)),TRIM('R.M Billets Reports'!F513),IF(ISNUMBER(SEARCH("Party Name-",'R.M Billets Reports'!D513)),TRIM(MID('R.M Billets Reports'!D513,SEARCH("-",'R.M Billets Reports'!D513)+1,200)),"")),IF(ISNUMBER(SEARCH("Party Name:-",'R.M Billets Reports'!D514)),TRIM('R.M Billets Reports'!F514),IF(ISNUMBER(SEARCH("Party Name-",'R.M Billets Reports'!D514)),TRIM(MID('R.M Billets Reports'!D514,SEARCH("-",'R.M Billets Reports'!D514)+1,200)),"")))="VRKP ISPAT PVT LTD","VRKP",IF(IF(IF(ISNUMBER(SEARCH("Party Name:-",'R.M Billets Reports'!D513)),TRIM('R.M Billets Reports'!F513),IF(ISNUMBER(SEARCH("Party Name-",'R.M Billets Reports'!D513)),TRIM(MID('R.M Billets Reports'!D513,SEARCH("-",'R.M Billets Reports'!D513)+1,200)),""))&lt;&gt;"",IF(ISNUMBER(SEARCH("Party Name:-",'R.M Billets Reports'!D513)),TRIM('R.M Billets Reports'!F513),IF(ISNUMBER(SEARCH("Party Name-",'R.M Billets Reports'!D513)),TRIM(MID('R.M Billets Reports'!D513,SEARCH("-",'R.M Billets Reports'!D513)+1,200)),"")),IF(ISNUMBER(SEARCH("Party Name:-",'R.M Billets Reports'!D514)),TRIM('R.M Billets Reports'!F514),IF(ISNUMBER(SEARCH("Party Name-",'R.M Billets Reports'!D514)),TRIM(MID('R.M Billets Reports'!D514,SEARCH("-",'R.M Billets Reports'!D514)+1,200)),"")))="SHRI RADHE","SHREE RADHE",IF(IF(IF(ISNUMBER(SEARCH("Party Name:-",'R.M Billets Reports'!D513)),TRIM('R.M Billets Reports'!F513),IF(ISNUMBER(SEARCH("Party Name-",'R.M Billets Reports'!D513)),TRIM(MID('R.M Billets Reports'!D513,SEARCH("-",'R.M Billets Reports'!D513)+1,200)),""))&lt;&gt;"",IF(ISNUMBER(SEARCH("Party Name:-",'R.M Billets Reports'!D513)),TRIM('R.M Billets Reports'!F513),IF(ISNUMBER(SEARCH("Party Name-",'R.M Billets Reports'!D513)),TRIM(MID('R.M Billets Reports'!D513,SEARCH("-",'R.M Billets Reports'!D513)+1,200)),"")),IF(ISNUMBER(SEARCH("Party Name:-",'R.M Billets Reports'!D514)),TRIM('R.M Billets Reports'!F514),IF(ISNUMBER(SEARCH("Party Name-",'R.M Billets Reports'!D514)),TRIM(MID('R.M Billets Reports'!D514,SEARCH("-",'R.M Billets Reports'!D514)+1,200)),"")))="SHREE RADHE SHAKTI SPONGE AND POWER PVT. LTD.","SHREE RADHE",IF(IF(ISNUMBER(SEARCH("Party Name:-",'R.M Billets Reports'!D513)),TRIM('R.M Billets Reports'!F513),IF(ISNUMBER(SEARCH("Party Name-",'R.M Billets Reports'!D513)),TRIM(MID('R.M Billets Reports'!D513,SEARCH("-",'R.M Billets Reports'!D513)+1,200)),""))&lt;&gt;"",IF(ISNUMBER(SEARCH("Party Name:-",'R.M Billets Reports'!D513)),TRIM('R.M Billets Reports'!F513),IF(ISNUMBER(SEARCH("Party Name-",'R.M Billets Reports'!D513)),TRIM(MID('R.M Billets Reports'!D513,SEARCH("-",'R.M Billets Reports'!D513)+1,200)),"")),IF(ISNUMBER(SEARCH("Party Name:-",'R.M Billets Reports'!D514)),TRIM('R.M Billets Reports'!F514),IF(ISNUMBER(SEARCH("Party Name-",'R.M Billets Reports'!D514)),TRIM(MID('R.M Billets Reports'!D514,SEARCH("-",'R.M Billets Reports'!D514)+1,200)),"")))))),IF(ROW()=2,"",A513))</f>
      </c>
      <c r="B514">
        <f>IF(OR('R.M Billets Reports'!A513="Date-",'R.M Billets Reports'!A513="Date:-"),'R.M Billets Reports'!B513,IF(ROW()=2,"",B513))</f>
      </c>
      <c r="C514">
        <f>IF('R.M Billets Reports'!A513="V.No.",'R.M Billets Reports'!B513,IF(ROW()=2,"",C513))</f>
      </c>
      <c r="D514">
        <f>IF('R.M Billets Reports'!A513&lt;&gt;"",'R.M Billets Reports'!A513,IF(ROW()=2,"",D513))</f>
      </c>
      <c r="E514">
        <f>IF('R.M Billets Reports'!B513="","",TRIM('R.M Billets Reports'!B513))</f>
      </c>
      <c r="F514">
        <f>'R.M Billets Reports'!C513</f>
      </c>
      <c r="G514">
        <f>'R.M Billets Reports'!D513</f>
      </c>
      <c r="H514">
        <f>'R.M Billets Reports'!E513</f>
      </c>
      <c r="I514">
        <f>'R.M Billets Reports'!F513</f>
      </c>
      <c r="J514">
        <f>'R.M Billets Reports'!G513</f>
      </c>
      <c r="K514">
        <f>'R.M Billets Reports'!H513</f>
      </c>
      <c r="L514">
        <f>IF('R.M Billets Reports'!I513="","",'R.M Billets Reports'!I513)</f>
      </c>
      <c r="M514">
        <f t="shared" si="14"/>
      </c>
      <c r="N514">
        <f>IF('R.M Billets Reports'!J513="","",'R.M Billets Reports'!J513)</f>
      </c>
      <c r="O514">
        <f t="shared" si="15"/>
      </c>
      <c r="P514">
        <f>IF('R.M Billets Reports'!A513="SIZE",'R.M Billets Reports'!B513,P513)</f>
      </c>
    </row>
    <row r="515" spans="1:16" x14ac:dyDescent="0.25">
      <c r="A515">
        <f>IF(OR('R.M Billets Reports'!A514="Date-",'R.M Billets Reports'!A514="Date:-"),IF(IF(IF(ISNUMBER(SEARCH("Party Name:-",'R.M Billets Reports'!D514)),TRIM('R.M Billets Reports'!F514),IF(ISNUMBER(SEARCH("Party Name-",'R.M Billets Reports'!D514)),TRIM(MID('R.M Billets Reports'!D514,SEARCH("-",'R.M Billets Reports'!D514)+1,200)),""))&lt;&gt;"",IF(ISNUMBER(SEARCH("Party Name:-",'R.M Billets Reports'!D514)),TRIM('R.M Billets Reports'!F514),IF(ISNUMBER(SEARCH("Party Name-",'R.M Billets Reports'!D514)),TRIM(MID('R.M Billets Reports'!D514,SEARCH("-",'R.M Billets Reports'!D514)+1,200)),"")),IF(ISNUMBER(SEARCH("Party Name:-",'R.M Billets Reports'!D515)),TRIM('R.M Billets Reports'!F515),IF(ISNUMBER(SEARCH("Party Name-",'R.M Billets Reports'!D515)),TRIM(MID('R.M Billets Reports'!D515,SEARCH("-",'R.M Billets Reports'!D515)+1,200)),"")))="VRKP ISPAT PVT LTD","VRKP",IF(IF(IF(ISNUMBER(SEARCH("Party Name:-",'R.M Billets Reports'!D514)),TRIM('R.M Billets Reports'!F514),IF(ISNUMBER(SEARCH("Party Name-",'R.M Billets Reports'!D514)),TRIM(MID('R.M Billets Reports'!D514,SEARCH("-",'R.M Billets Reports'!D514)+1,200)),""))&lt;&gt;"",IF(ISNUMBER(SEARCH("Party Name:-",'R.M Billets Reports'!D514)),TRIM('R.M Billets Reports'!F514),IF(ISNUMBER(SEARCH("Party Name-",'R.M Billets Reports'!D514)),TRIM(MID('R.M Billets Reports'!D514,SEARCH("-",'R.M Billets Reports'!D514)+1,200)),"")),IF(ISNUMBER(SEARCH("Party Name:-",'R.M Billets Reports'!D515)),TRIM('R.M Billets Reports'!F515),IF(ISNUMBER(SEARCH("Party Name-",'R.M Billets Reports'!D515)),TRIM(MID('R.M Billets Reports'!D515,SEARCH("-",'R.M Billets Reports'!D515)+1,200)),"")))="SHRI RADHE","SHREE RADHE",IF(IF(IF(ISNUMBER(SEARCH("Party Name:-",'R.M Billets Reports'!D514)),TRIM('R.M Billets Reports'!F514),IF(ISNUMBER(SEARCH("Party Name-",'R.M Billets Reports'!D514)),TRIM(MID('R.M Billets Reports'!D514,SEARCH("-",'R.M Billets Reports'!D514)+1,200)),""))&lt;&gt;"",IF(ISNUMBER(SEARCH("Party Name:-",'R.M Billets Reports'!D514)),TRIM('R.M Billets Reports'!F514),IF(ISNUMBER(SEARCH("Party Name-",'R.M Billets Reports'!D514)),TRIM(MID('R.M Billets Reports'!D514,SEARCH("-",'R.M Billets Reports'!D514)+1,200)),"")),IF(ISNUMBER(SEARCH("Party Name:-",'R.M Billets Reports'!D515)),TRIM('R.M Billets Reports'!F515),IF(ISNUMBER(SEARCH("Party Name-",'R.M Billets Reports'!D515)),TRIM(MID('R.M Billets Reports'!D515,SEARCH("-",'R.M Billets Reports'!D515)+1,200)),"")))="SHREE RADHE SHAKTI SPONGE AND POWER PVT. LTD.","SHREE RADHE",IF(IF(ISNUMBER(SEARCH("Party Name:-",'R.M Billets Reports'!D514)),TRIM('R.M Billets Reports'!F514),IF(ISNUMBER(SEARCH("Party Name-",'R.M Billets Reports'!D514)),TRIM(MID('R.M Billets Reports'!D514,SEARCH("-",'R.M Billets Reports'!D514)+1,200)),""))&lt;&gt;"",IF(ISNUMBER(SEARCH("Party Name:-",'R.M Billets Reports'!D514)),TRIM('R.M Billets Reports'!F514),IF(ISNUMBER(SEARCH("Party Name-",'R.M Billets Reports'!D514)),TRIM(MID('R.M Billets Reports'!D514,SEARCH("-",'R.M Billets Reports'!D514)+1,200)),"")),IF(ISNUMBER(SEARCH("Party Name:-",'R.M Billets Reports'!D515)),TRIM('R.M Billets Reports'!F515),IF(ISNUMBER(SEARCH("Party Name-",'R.M Billets Reports'!D515)),TRIM(MID('R.M Billets Reports'!D515,SEARCH("-",'R.M Billets Reports'!D515)+1,200)),"")))))),IF(ROW()=2,"",A514))</f>
      </c>
      <c r="B515">
        <f>IF(OR('R.M Billets Reports'!A514="Date-",'R.M Billets Reports'!A514="Date:-"),'R.M Billets Reports'!B514,IF(ROW()=2,"",B514))</f>
      </c>
      <c r="C515">
        <f>IF('R.M Billets Reports'!A514="V.No.",'R.M Billets Reports'!B514,IF(ROW()=2,"",C514))</f>
      </c>
      <c r="D515">
        <f>IF('R.M Billets Reports'!A514&lt;&gt;"",'R.M Billets Reports'!A514,IF(ROW()=2,"",D514))</f>
      </c>
      <c r="E515">
        <f>IF('R.M Billets Reports'!B514="","",TRIM('R.M Billets Reports'!B514))</f>
      </c>
      <c r="F515">
        <f>'R.M Billets Reports'!C514</f>
      </c>
      <c r="G515">
        <f>'R.M Billets Reports'!D514</f>
      </c>
      <c r="H515">
        <f>'R.M Billets Reports'!E514</f>
      </c>
      <c r="I515">
        <f>'R.M Billets Reports'!F514</f>
      </c>
      <c r="J515">
        <f>'R.M Billets Reports'!G514</f>
      </c>
      <c r="K515">
        <f>'R.M Billets Reports'!H514</f>
      </c>
      <c r="L515">
        <f>IF('R.M Billets Reports'!I514="","",'R.M Billets Reports'!I514)</f>
      </c>
      <c r="M515">
        <f t="shared" ref="M515:M578" si="16">IF(L515&lt;&gt;"",L515,IF(D515=D514,M514,""))</f>
      </c>
      <c r="N515">
        <f>IF('R.M Billets Reports'!J514="","",'R.M Billets Reports'!J514)</f>
      </c>
      <c r="O515">
        <f t="shared" ref="O515:O578" si="17">IF(N515&lt;&gt;"",N515,IF(D515=D514,O514,""))</f>
      </c>
      <c r="P515">
        <f>IF('R.M Billets Reports'!A514="SIZE",'R.M Billets Reports'!B514,P514)</f>
      </c>
    </row>
    <row r="516" spans="1:16" x14ac:dyDescent="0.25">
      <c r="A516">
        <f>IF(OR('R.M Billets Reports'!A515="Date-",'R.M Billets Reports'!A515="Date:-"),IF(IF(IF(ISNUMBER(SEARCH("Party Name:-",'R.M Billets Reports'!D515)),TRIM('R.M Billets Reports'!F515),IF(ISNUMBER(SEARCH("Party Name-",'R.M Billets Reports'!D515)),TRIM(MID('R.M Billets Reports'!D515,SEARCH("-",'R.M Billets Reports'!D515)+1,200)),""))&lt;&gt;"",IF(ISNUMBER(SEARCH("Party Name:-",'R.M Billets Reports'!D515)),TRIM('R.M Billets Reports'!F515),IF(ISNUMBER(SEARCH("Party Name-",'R.M Billets Reports'!D515)),TRIM(MID('R.M Billets Reports'!D515,SEARCH("-",'R.M Billets Reports'!D515)+1,200)),"")),IF(ISNUMBER(SEARCH("Party Name:-",'R.M Billets Reports'!D516)),TRIM('R.M Billets Reports'!F516),IF(ISNUMBER(SEARCH("Party Name-",'R.M Billets Reports'!D516)),TRIM(MID('R.M Billets Reports'!D516,SEARCH("-",'R.M Billets Reports'!D516)+1,200)),"")))="VRKP ISPAT PVT LTD","VRKP",IF(IF(IF(ISNUMBER(SEARCH("Party Name:-",'R.M Billets Reports'!D515)),TRIM('R.M Billets Reports'!F515),IF(ISNUMBER(SEARCH("Party Name-",'R.M Billets Reports'!D515)),TRIM(MID('R.M Billets Reports'!D515,SEARCH("-",'R.M Billets Reports'!D515)+1,200)),""))&lt;&gt;"",IF(ISNUMBER(SEARCH("Party Name:-",'R.M Billets Reports'!D515)),TRIM('R.M Billets Reports'!F515),IF(ISNUMBER(SEARCH("Party Name-",'R.M Billets Reports'!D515)),TRIM(MID('R.M Billets Reports'!D515,SEARCH("-",'R.M Billets Reports'!D515)+1,200)),"")),IF(ISNUMBER(SEARCH("Party Name:-",'R.M Billets Reports'!D516)),TRIM('R.M Billets Reports'!F516),IF(ISNUMBER(SEARCH("Party Name-",'R.M Billets Reports'!D516)),TRIM(MID('R.M Billets Reports'!D516,SEARCH("-",'R.M Billets Reports'!D516)+1,200)),"")))="SHRI RADHE","SHREE RADHE",IF(IF(IF(ISNUMBER(SEARCH("Party Name:-",'R.M Billets Reports'!D515)),TRIM('R.M Billets Reports'!F515),IF(ISNUMBER(SEARCH("Party Name-",'R.M Billets Reports'!D515)),TRIM(MID('R.M Billets Reports'!D515,SEARCH("-",'R.M Billets Reports'!D515)+1,200)),""))&lt;&gt;"",IF(ISNUMBER(SEARCH("Party Name:-",'R.M Billets Reports'!D515)),TRIM('R.M Billets Reports'!F515),IF(ISNUMBER(SEARCH("Party Name-",'R.M Billets Reports'!D515)),TRIM(MID('R.M Billets Reports'!D515,SEARCH("-",'R.M Billets Reports'!D515)+1,200)),"")),IF(ISNUMBER(SEARCH("Party Name:-",'R.M Billets Reports'!D516)),TRIM('R.M Billets Reports'!F516),IF(ISNUMBER(SEARCH("Party Name-",'R.M Billets Reports'!D516)),TRIM(MID('R.M Billets Reports'!D516,SEARCH("-",'R.M Billets Reports'!D516)+1,200)),"")))="SHREE RADHE SHAKTI SPONGE AND POWER PVT. LTD.","SHREE RADHE",IF(IF(ISNUMBER(SEARCH("Party Name:-",'R.M Billets Reports'!D515)),TRIM('R.M Billets Reports'!F515),IF(ISNUMBER(SEARCH("Party Name-",'R.M Billets Reports'!D515)),TRIM(MID('R.M Billets Reports'!D515,SEARCH("-",'R.M Billets Reports'!D515)+1,200)),""))&lt;&gt;"",IF(ISNUMBER(SEARCH("Party Name:-",'R.M Billets Reports'!D515)),TRIM('R.M Billets Reports'!F515),IF(ISNUMBER(SEARCH("Party Name-",'R.M Billets Reports'!D515)),TRIM(MID('R.M Billets Reports'!D515,SEARCH("-",'R.M Billets Reports'!D515)+1,200)),"")),IF(ISNUMBER(SEARCH("Party Name:-",'R.M Billets Reports'!D516)),TRIM('R.M Billets Reports'!F516),IF(ISNUMBER(SEARCH("Party Name-",'R.M Billets Reports'!D516)),TRIM(MID('R.M Billets Reports'!D516,SEARCH("-",'R.M Billets Reports'!D516)+1,200)),"")))))),IF(ROW()=2,"",A515))</f>
      </c>
      <c r="B516">
        <f>IF(OR('R.M Billets Reports'!A515="Date-",'R.M Billets Reports'!A515="Date:-"),'R.M Billets Reports'!B515,IF(ROW()=2,"",B515))</f>
      </c>
      <c r="C516">
        <f>IF('R.M Billets Reports'!A515="V.No.",'R.M Billets Reports'!B515,IF(ROW()=2,"",C515))</f>
      </c>
      <c r="D516">
        <f>IF('R.M Billets Reports'!A515&lt;&gt;"",'R.M Billets Reports'!A515,IF(ROW()=2,"",D515))</f>
      </c>
      <c r="E516">
        <f>IF('R.M Billets Reports'!B515="","",TRIM('R.M Billets Reports'!B515))</f>
      </c>
      <c r="F516">
        <f>'R.M Billets Reports'!C515</f>
      </c>
      <c r="G516">
        <f>'R.M Billets Reports'!D515</f>
      </c>
      <c r="H516">
        <f>'R.M Billets Reports'!E515</f>
      </c>
      <c r="I516">
        <f>'R.M Billets Reports'!F515</f>
      </c>
      <c r="J516">
        <f>'R.M Billets Reports'!G515</f>
      </c>
      <c r="K516">
        <f>'R.M Billets Reports'!H515</f>
      </c>
      <c r="L516">
        <f>IF('R.M Billets Reports'!I515="","",'R.M Billets Reports'!I515)</f>
      </c>
      <c r="M516">
        <f t="shared" si="16"/>
      </c>
      <c r="N516">
        <f>IF('R.M Billets Reports'!J515="","",'R.M Billets Reports'!J515)</f>
      </c>
      <c r="O516">
        <f t="shared" si="17"/>
      </c>
      <c r="P516">
        <f>IF('R.M Billets Reports'!A515="SIZE",'R.M Billets Reports'!B515,P515)</f>
      </c>
    </row>
    <row r="517" spans="1:16" x14ac:dyDescent="0.25">
      <c r="A517">
        <f>IF(OR('R.M Billets Reports'!A516="Date-",'R.M Billets Reports'!A516="Date:-"),IF(IF(IF(ISNUMBER(SEARCH("Party Name:-",'R.M Billets Reports'!D516)),TRIM('R.M Billets Reports'!F516),IF(ISNUMBER(SEARCH("Party Name-",'R.M Billets Reports'!D516)),TRIM(MID('R.M Billets Reports'!D516,SEARCH("-",'R.M Billets Reports'!D516)+1,200)),""))&lt;&gt;"",IF(ISNUMBER(SEARCH("Party Name:-",'R.M Billets Reports'!D516)),TRIM('R.M Billets Reports'!F516),IF(ISNUMBER(SEARCH("Party Name-",'R.M Billets Reports'!D516)),TRIM(MID('R.M Billets Reports'!D516,SEARCH("-",'R.M Billets Reports'!D516)+1,200)),"")),IF(ISNUMBER(SEARCH("Party Name:-",'R.M Billets Reports'!D517)),TRIM('R.M Billets Reports'!F517),IF(ISNUMBER(SEARCH("Party Name-",'R.M Billets Reports'!D517)),TRIM(MID('R.M Billets Reports'!D517,SEARCH("-",'R.M Billets Reports'!D517)+1,200)),"")))="VRKP ISPAT PVT LTD","VRKP",IF(IF(IF(ISNUMBER(SEARCH("Party Name:-",'R.M Billets Reports'!D516)),TRIM('R.M Billets Reports'!F516),IF(ISNUMBER(SEARCH("Party Name-",'R.M Billets Reports'!D516)),TRIM(MID('R.M Billets Reports'!D516,SEARCH("-",'R.M Billets Reports'!D516)+1,200)),""))&lt;&gt;"",IF(ISNUMBER(SEARCH("Party Name:-",'R.M Billets Reports'!D516)),TRIM('R.M Billets Reports'!F516),IF(ISNUMBER(SEARCH("Party Name-",'R.M Billets Reports'!D516)),TRIM(MID('R.M Billets Reports'!D516,SEARCH("-",'R.M Billets Reports'!D516)+1,200)),"")),IF(ISNUMBER(SEARCH("Party Name:-",'R.M Billets Reports'!D517)),TRIM('R.M Billets Reports'!F517),IF(ISNUMBER(SEARCH("Party Name-",'R.M Billets Reports'!D517)),TRIM(MID('R.M Billets Reports'!D517,SEARCH("-",'R.M Billets Reports'!D517)+1,200)),"")))="SHRI RADHE","SHREE RADHE",IF(IF(IF(ISNUMBER(SEARCH("Party Name:-",'R.M Billets Reports'!D516)),TRIM('R.M Billets Reports'!F516),IF(ISNUMBER(SEARCH("Party Name-",'R.M Billets Reports'!D516)),TRIM(MID('R.M Billets Reports'!D516,SEARCH("-",'R.M Billets Reports'!D516)+1,200)),""))&lt;&gt;"",IF(ISNUMBER(SEARCH("Party Name:-",'R.M Billets Reports'!D516)),TRIM('R.M Billets Reports'!F516),IF(ISNUMBER(SEARCH("Party Name-",'R.M Billets Reports'!D516)),TRIM(MID('R.M Billets Reports'!D516,SEARCH("-",'R.M Billets Reports'!D516)+1,200)),"")),IF(ISNUMBER(SEARCH("Party Name:-",'R.M Billets Reports'!D517)),TRIM('R.M Billets Reports'!F517),IF(ISNUMBER(SEARCH("Party Name-",'R.M Billets Reports'!D517)),TRIM(MID('R.M Billets Reports'!D517,SEARCH("-",'R.M Billets Reports'!D517)+1,200)),"")))="SHREE RADHE SHAKTI SPONGE AND POWER PVT. LTD.","SHREE RADHE",IF(IF(ISNUMBER(SEARCH("Party Name:-",'R.M Billets Reports'!D516)),TRIM('R.M Billets Reports'!F516),IF(ISNUMBER(SEARCH("Party Name-",'R.M Billets Reports'!D516)),TRIM(MID('R.M Billets Reports'!D516,SEARCH("-",'R.M Billets Reports'!D516)+1,200)),""))&lt;&gt;"",IF(ISNUMBER(SEARCH("Party Name:-",'R.M Billets Reports'!D516)),TRIM('R.M Billets Reports'!F516),IF(ISNUMBER(SEARCH("Party Name-",'R.M Billets Reports'!D516)),TRIM(MID('R.M Billets Reports'!D516,SEARCH("-",'R.M Billets Reports'!D516)+1,200)),"")),IF(ISNUMBER(SEARCH("Party Name:-",'R.M Billets Reports'!D517)),TRIM('R.M Billets Reports'!F517),IF(ISNUMBER(SEARCH("Party Name-",'R.M Billets Reports'!D517)),TRIM(MID('R.M Billets Reports'!D517,SEARCH("-",'R.M Billets Reports'!D517)+1,200)),"")))))),IF(ROW()=2,"",A516))</f>
      </c>
      <c r="B517">
        <f>IF(OR('R.M Billets Reports'!A516="Date-",'R.M Billets Reports'!A516="Date:-"),'R.M Billets Reports'!B516,IF(ROW()=2,"",B516))</f>
      </c>
      <c r="C517">
        <f>IF('R.M Billets Reports'!A516="V.No.",'R.M Billets Reports'!B516,IF(ROW()=2,"",C516))</f>
      </c>
      <c r="D517">
        <f>IF('R.M Billets Reports'!A516&lt;&gt;"",'R.M Billets Reports'!A516,IF(ROW()=2,"",D516))</f>
      </c>
      <c r="E517">
        <f>IF('R.M Billets Reports'!B516="","",TRIM('R.M Billets Reports'!B516))</f>
      </c>
      <c r="F517">
        <f>'R.M Billets Reports'!C516</f>
      </c>
      <c r="G517">
        <f>'R.M Billets Reports'!D516</f>
      </c>
      <c r="H517">
        <f>'R.M Billets Reports'!E516</f>
      </c>
      <c r="I517">
        <f>'R.M Billets Reports'!F516</f>
      </c>
      <c r="J517">
        <f>'R.M Billets Reports'!G516</f>
      </c>
      <c r="K517">
        <f>'R.M Billets Reports'!H516</f>
      </c>
      <c r="L517">
        <f>IF('R.M Billets Reports'!I516="","",'R.M Billets Reports'!I516)</f>
      </c>
      <c r="M517">
        <f t="shared" si="16"/>
      </c>
      <c r="N517">
        <f>IF('R.M Billets Reports'!J516="","",'R.M Billets Reports'!J516)</f>
      </c>
      <c r="O517">
        <f t="shared" si="17"/>
      </c>
      <c r="P517">
        <f>IF('R.M Billets Reports'!A516="SIZE",'R.M Billets Reports'!B516,P516)</f>
      </c>
    </row>
    <row r="518" spans="1:16" x14ac:dyDescent="0.25">
      <c r="A518">
        <f>IF(OR('R.M Billets Reports'!A517="Date-",'R.M Billets Reports'!A517="Date:-"),IF(IF(IF(ISNUMBER(SEARCH("Party Name:-",'R.M Billets Reports'!D517)),TRIM('R.M Billets Reports'!F517),IF(ISNUMBER(SEARCH("Party Name-",'R.M Billets Reports'!D517)),TRIM(MID('R.M Billets Reports'!D517,SEARCH("-",'R.M Billets Reports'!D517)+1,200)),""))&lt;&gt;"",IF(ISNUMBER(SEARCH("Party Name:-",'R.M Billets Reports'!D517)),TRIM('R.M Billets Reports'!F517),IF(ISNUMBER(SEARCH("Party Name-",'R.M Billets Reports'!D517)),TRIM(MID('R.M Billets Reports'!D517,SEARCH("-",'R.M Billets Reports'!D517)+1,200)),"")),IF(ISNUMBER(SEARCH("Party Name:-",'R.M Billets Reports'!D518)),TRIM('R.M Billets Reports'!F518),IF(ISNUMBER(SEARCH("Party Name-",'R.M Billets Reports'!D518)),TRIM(MID('R.M Billets Reports'!D518,SEARCH("-",'R.M Billets Reports'!D518)+1,200)),"")))="VRKP ISPAT PVT LTD","VRKP",IF(IF(IF(ISNUMBER(SEARCH("Party Name:-",'R.M Billets Reports'!D517)),TRIM('R.M Billets Reports'!F517),IF(ISNUMBER(SEARCH("Party Name-",'R.M Billets Reports'!D517)),TRIM(MID('R.M Billets Reports'!D517,SEARCH("-",'R.M Billets Reports'!D517)+1,200)),""))&lt;&gt;"",IF(ISNUMBER(SEARCH("Party Name:-",'R.M Billets Reports'!D517)),TRIM('R.M Billets Reports'!F517),IF(ISNUMBER(SEARCH("Party Name-",'R.M Billets Reports'!D517)),TRIM(MID('R.M Billets Reports'!D517,SEARCH("-",'R.M Billets Reports'!D517)+1,200)),"")),IF(ISNUMBER(SEARCH("Party Name:-",'R.M Billets Reports'!D518)),TRIM('R.M Billets Reports'!F518),IF(ISNUMBER(SEARCH("Party Name-",'R.M Billets Reports'!D518)),TRIM(MID('R.M Billets Reports'!D518,SEARCH("-",'R.M Billets Reports'!D518)+1,200)),"")))="SHRI RADHE","SHREE RADHE",IF(IF(IF(ISNUMBER(SEARCH("Party Name:-",'R.M Billets Reports'!D517)),TRIM('R.M Billets Reports'!F517),IF(ISNUMBER(SEARCH("Party Name-",'R.M Billets Reports'!D517)),TRIM(MID('R.M Billets Reports'!D517,SEARCH("-",'R.M Billets Reports'!D517)+1,200)),""))&lt;&gt;"",IF(ISNUMBER(SEARCH("Party Name:-",'R.M Billets Reports'!D517)),TRIM('R.M Billets Reports'!F517),IF(ISNUMBER(SEARCH("Party Name-",'R.M Billets Reports'!D517)),TRIM(MID('R.M Billets Reports'!D517,SEARCH("-",'R.M Billets Reports'!D517)+1,200)),"")),IF(ISNUMBER(SEARCH("Party Name:-",'R.M Billets Reports'!D518)),TRIM('R.M Billets Reports'!F518),IF(ISNUMBER(SEARCH("Party Name-",'R.M Billets Reports'!D518)),TRIM(MID('R.M Billets Reports'!D518,SEARCH("-",'R.M Billets Reports'!D518)+1,200)),"")))="SHREE RADHE SHAKTI SPONGE AND POWER PVT. LTD.","SHREE RADHE",IF(IF(ISNUMBER(SEARCH("Party Name:-",'R.M Billets Reports'!D517)),TRIM('R.M Billets Reports'!F517),IF(ISNUMBER(SEARCH("Party Name-",'R.M Billets Reports'!D517)),TRIM(MID('R.M Billets Reports'!D517,SEARCH("-",'R.M Billets Reports'!D517)+1,200)),""))&lt;&gt;"",IF(ISNUMBER(SEARCH("Party Name:-",'R.M Billets Reports'!D517)),TRIM('R.M Billets Reports'!F517),IF(ISNUMBER(SEARCH("Party Name-",'R.M Billets Reports'!D517)),TRIM(MID('R.M Billets Reports'!D517,SEARCH("-",'R.M Billets Reports'!D517)+1,200)),"")),IF(ISNUMBER(SEARCH("Party Name:-",'R.M Billets Reports'!D518)),TRIM('R.M Billets Reports'!F518),IF(ISNUMBER(SEARCH("Party Name-",'R.M Billets Reports'!D518)),TRIM(MID('R.M Billets Reports'!D518,SEARCH("-",'R.M Billets Reports'!D518)+1,200)),"")))))),IF(ROW()=2,"",A517))</f>
      </c>
      <c r="B518">
        <f>IF(OR('R.M Billets Reports'!A517="Date-",'R.M Billets Reports'!A517="Date:-"),'R.M Billets Reports'!B517,IF(ROW()=2,"",B517))</f>
      </c>
      <c r="C518">
        <f>IF('R.M Billets Reports'!A517="V.No.",'R.M Billets Reports'!B517,IF(ROW()=2,"",C517))</f>
      </c>
      <c r="D518">
        <f>IF('R.M Billets Reports'!A517&lt;&gt;"",'R.M Billets Reports'!A517,IF(ROW()=2,"",D517))</f>
      </c>
      <c r="E518">
        <f>IF('R.M Billets Reports'!B517="","",TRIM('R.M Billets Reports'!B517))</f>
      </c>
      <c r="F518">
        <f>'R.M Billets Reports'!C517</f>
      </c>
      <c r="G518">
        <f>'R.M Billets Reports'!D517</f>
      </c>
      <c r="H518">
        <f>'R.M Billets Reports'!E517</f>
      </c>
      <c r="I518">
        <f>'R.M Billets Reports'!F517</f>
      </c>
      <c r="J518">
        <f>'R.M Billets Reports'!G517</f>
      </c>
      <c r="K518">
        <f>'R.M Billets Reports'!H517</f>
      </c>
      <c r="L518">
        <f>IF('R.M Billets Reports'!I517="","",'R.M Billets Reports'!I517)</f>
      </c>
      <c r="M518">
        <f t="shared" si="16"/>
      </c>
      <c r="N518">
        <f>IF('R.M Billets Reports'!J517="","",'R.M Billets Reports'!J517)</f>
      </c>
      <c r="O518">
        <f t="shared" si="17"/>
      </c>
      <c r="P518">
        <f>IF('R.M Billets Reports'!A517="SIZE",'R.M Billets Reports'!B517,P517)</f>
      </c>
    </row>
    <row r="519" spans="1:16" x14ac:dyDescent="0.25">
      <c r="A519">
        <f>IF(OR('R.M Billets Reports'!A518="Date-",'R.M Billets Reports'!A518="Date:-"),IF(IF(IF(ISNUMBER(SEARCH("Party Name:-",'R.M Billets Reports'!D518)),TRIM('R.M Billets Reports'!F518),IF(ISNUMBER(SEARCH("Party Name-",'R.M Billets Reports'!D518)),TRIM(MID('R.M Billets Reports'!D518,SEARCH("-",'R.M Billets Reports'!D518)+1,200)),""))&lt;&gt;"",IF(ISNUMBER(SEARCH("Party Name:-",'R.M Billets Reports'!D518)),TRIM('R.M Billets Reports'!F518),IF(ISNUMBER(SEARCH("Party Name-",'R.M Billets Reports'!D518)),TRIM(MID('R.M Billets Reports'!D518,SEARCH("-",'R.M Billets Reports'!D518)+1,200)),"")),IF(ISNUMBER(SEARCH("Party Name:-",'R.M Billets Reports'!D519)),TRIM('R.M Billets Reports'!F519),IF(ISNUMBER(SEARCH("Party Name-",'R.M Billets Reports'!D519)),TRIM(MID('R.M Billets Reports'!D519,SEARCH("-",'R.M Billets Reports'!D519)+1,200)),"")))="VRKP ISPAT PVT LTD","VRKP",IF(IF(IF(ISNUMBER(SEARCH("Party Name:-",'R.M Billets Reports'!D518)),TRIM('R.M Billets Reports'!F518),IF(ISNUMBER(SEARCH("Party Name-",'R.M Billets Reports'!D518)),TRIM(MID('R.M Billets Reports'!D518,SEARCH("-",'R.M Billets Reports'!D518)+1,200)),""))&lt;&gt;"",IF(ISNUMBER(SEARCH("Party Name:-",'R.M Billets Reports'!D518)),TRIM('R.M Billets Reports'!F518),IF(ISNUMBER(SEARCH("Party Name-",'R.M Billets Reports'!D518)),TRIM(MID('R.M Billets Reports'!D518,SEARCH("-",'R.M Billets Reports'!D518)+1,200)),"")),IF(ISNUMBER(SEARCH("Party Name:-",'R.M Billets Reports'!D519)),TRIM('R.M Billets Reports'!F519),IF(ISNUMBER(SEARCH("Party Name-",'R.M Billets Reports'!D519)),TRIM(MID('R.M Billets Reports'!D519,SEARCH("-",'R.M Billets Reports'!D519)+1,200)),"")))="SHRI RADHE","SHREE RADHE",IF(IF(IF(ISNUMBER(SEARCH("Party Name:-",'R.M Billets Reports'!D518)),TRIM('R.M Billets Reports'!F518),IF(ISNUMBER(SEARCH("Party Name-",'R.M Billets Reports'!D518)),TRIM(MID('R.M Billets Reports'!D518,SEARCH("-",'R.M Billets Reports'!D518)+1,200)),""))&lt;&gt;"",IF(ISNUMBER(SEARCH("Party Name:-",'R.M Billets Reports'!D518)),TRIM('R.M Billets Reports'!F518),IF(ISNUMBER(SEARCH("Party Name-",'R.M Billets Reports'!D518)),TRIM(MID('R.M Billets Reports'!D518,SEARCH("-",'R.M Billets Reports'!D518)+1,200)),"")),IF(ISNUMBER(SEARCH("Party Name:-",'R.M Billets Reports'!D519)),TRIM('R.M Billets Reports'!F519),IF(ISNUMBER(SEARCH("Party Name-",'R.M Billets Reports'!D519)),TRIM(MID('R.M Billets Reports'!D519,SEARCH("-",'R.M Billets Reports'!D519)+1,200)),"")))="SHREE RADHE SHAKTI SPONGE AND POWER PVT. LTD.","SHREE RADHE",IF(IF(ISNUMBER(SEARCH("Party Name:-",'R.M Billets Reports'!D518)),TRIM('R.M Billets Reports'!F518),IF(ISNUMBER(SEARCH("Party Name-",'R.M Billets Reports'!D518)),TRIM(MID('R.M Billets Reports'!D518,SEARCH("-",'R.M Billets Reports'!D518)+1,200)),""))&lt;&gt;"",IF(ISNUMBER(SEARCH("Party Name:-",'R.M Billets Reports'!D518)),TRIM('R.M Billets Reports'!F518),IF(ISNUMBER(SEARCH("Party Name-",'R.M Billets Reports'!D518)),TRIM(MID('R.M Billets Reports'!D518,SEARCH("-",'R.M Billets Reports'!D518)+1,200)),"")),IF(ISNUMBER(SEARCH("Party Name:-",'R.M Billets Reports'!D519)),TRIM('R.M Billets Reports'!F519),IF(ISNUMBER(SEARCH("Party Name-",'R.M Billets Reports'!D519)),TRIM(MID('R.M Billets Reports'!D519,SEARCH("-",'R.M Billets Reports'!D519)+1,200)),"")))))),IF(ROW()=2,"",A518))</f>
      </c>
      <c r="B519">
        <f>IF(OR('R.M Billets Reports'!A518="Date-",'R.M Billets Reports'!A518="Date:-"),'R.M Billets Reports'!B518,IF(ROW()=2,"",B518))</f>
      </c>
      <c r="C519">
        <f>IF('R.M Billets Reports'!A518="V.No.",'R.M Billets Reports'!B518,IF(ROW()=2,"",C518))</f>
      </c>
      <c r="D519">
        <f>IF('R.M Billets Reports'!A518&lt;&gt;"",'R.M Billets Reports'!A518,IF(ROW()=2,"",D518))</f>
      </c>
      <c r="E519">
        <f>IF('R.M Billets Reports'!B518="","",TRIM('R.M Billets Reports'!B518))</f>
      </c>
      <c r="F519">
        <f>'R.M Billets Reports'!C518</f>
      </c>
      <c r="G519">
        <f>'R.M Billets Reports'!D518</f>
      </c>
      <c r="H519">
        <f>'R.M Billets Reports'!E518</f>
      </c>
      <c r="I519">
        <f>'R.M Billets Reports'!F518</f>
      </c>
      <c r="J519">
        <f>'R.M Billets Reports'!G518</f>
      </c>
      <c r="K519">
        <f>'R.M Billets Reports'!H518</f>
      </c>
      <c r="L519">
        <f>IF('R.M Billets Reports'!I518="","",'R.M Billets Reports'!I518)</f>
      </c>
      <c r="M519">
        <f t="shared" si="16"/>
      </c>
      <c r="N519">
        <f>IF('R.M Billets Reports'!J518="","",'R.M Billets Reports'!J518)</f>
      </c>
      <c r="O519">
        <f t="shared" si="17"/>
      </c>
      <c r="P519">
        <f>IF('R.M Billets Reports'!A518="SIZE",'R.M Billets Reports'!B518,P518)</f>
      </c>
    </row>
    <row r="520" spans="1:16" x14ac:dyDescent="0.25">
      <c r="A520">
        <f>IF(OR('R.M Billets Reports'!A519="Date-",'R.M Billets Reports'!A519="Date:-"),IF(IF(IF(ISNUMBER(SEARCH("Party Name:-",'R.M Billets Reports'!D519)),TRIM('R.M Billets Reports'!F519),IF(ISNUMBER(SEARCH("Party Name-",'R.M Billets Reports'!D519)),TRIM(MID('R.M Billets Reports'!D519,SEARCH("-",'R.M Billets Reports'!D519)+1,200)),""))&lt;&gt;"",IF(ISNUMBER(SEARCH("Party Name:-",'R.M Billets Reports'!D519)),TRIM('R.M Billets Reports'!F519),IF(ISNUMBER(SEARCH("Party Name-",'R.M Billets Reports'!D519)),TRIM(MID('R.M Billets Reports'!D519,SEARCH("-",'R.M Billets Reports'!D519)+1,200)),"")),IF(ISNUMBER(SEARCH("Party Name:-",'R.M Billets Reports'!D520)),TRIM('R.M Billets Reports'!F520),IF(ISNUMBER(SEARCH("Party Name-",'R.M Billets Reports'!D520)),TRIM(MID('R.M Billets Reports'!D520,SEARCH("-",'R.M Billets Reports'!D520)+1,200)),"")))="VRKP ISPAT PVT LTD","VRKP",IF(IF(IF(ISNUMBER(SEARCH("Party Name:-",'R.M Billets Reports'!D519)),TRIM('R.M Billets Reports'!F519),IF(ISNUMBER(SEARCH("Party Name-",'R.M Billets Reports'!D519)),TRIM(MID('R.M Billets Reports'!D519,SEARCH("-",'R.M Billets Reports'!D519)+1,200)),""))&lt;&gt;"",IF(ISNUMBER(SEARCH("Party Name:-",'R.M Billets Reports'!D519)),TRIM('R.M Billets Reports'!F519),IF(ISNUMBER(SEARCH("Party Name-",'R.M Billets Reports'!D519)),TRIM(MID('R.M Billets Reports'!D519,SEARCH("-",'R.M Billets Reports'!D519)+1,200)),"")),IF(ISNUMBER(SEARCH("Party Name:-",'R.M Billets Reports'!D520)),TRIM('R.M Billets Reports'!F520),IF(ISNUMBER(SEARCH("Party Name-",'R.M Billets Reports'!D520)),TRIM(MID('R.M Billets Reports'!D520,SEARCH("-",'R.M Billets Reports'!D520)+1,200)),"")))="SHRI RADHE","SHREE RADHE",IF(IF(IF(ISNUMBER(SEARCH("Party Name:-",'R.M Billets Reports'!D519)),TRIM('R.M Billets Reports'!F519),IF(ISNUMBER(SEARCH("Party Name-",'R.M Billets Reports'!D519)),TRIM(MID('R.M Billets Reports'!D519,SEARCH("-",'R.M Billets Reports'!D519)+1,200)),""))&lt;&gt;"",IF(ISNUMBER(SEARCH("Party Name:-",'R.M Billets Reports'!D519)),TRIM('R.M Billets Reports'!F519),IF(ISNUMBER(SEARCH("Party Name-",'R.M Billets Reports'!D519)),TRIM(MID('R.M Billets Reports'!D519,SEARCH("-",'R.M Billets Reports'!D519)+1,200)),"")),IF(ISNUMBER(SEARCH("Party Name:-",'R.M Billets Reports'!D520)),TRIM('R.M Billets Reports'!F520),IF(ISNUMBER(SEARCH("Party Name-",'R.M Billets Reports'!D520)),TRIM(MID('R.M Billets Reports'!D520,SEARCH("-",'R.M Billets Reports'!D520)+1,200)),"")))="SHREE RADHE SHAKTI SPONGE AND POWER PVT. LTD.","SHREE RADHE",IF(IF(ISNUMBER(SEARCH("Party Name:-",'R.M Billets Reports'!D519)),TRIM('R.M Billets Reports'!F519),IF(ISNUMBER(SEARCH("Party Name-",'R.M Billets Reports'!D519)),TRIM(MID('R.M Billets Reports'!D519,SEARCH("-",'R.M Billets Reports'!D519)+1,200)),""))&lt;&gt;"",IF(ISNUMBER(SEARCH("Party Name:-",'R.M Billets Reports'!D519)),TRIM('R.M Billets Reports'!F519),IF(ISNUMBER(SEARCH("Party Name-",'R.M Billets Reports'!D519)),TRIM(MID('R.M Billets Reports'!D519,SEARCH("-",'R.M Billets Reports'!D519)+1,200)),"")),IF(ISNUMBER(SEARCH("Party Name:-",'R.M Billets Reports'!D520)),TRIM('R.M Billets Reports'!F520),IF(ISNUMBER(SEARCH("Party Name-",'R.M Billets Reports'!D520)),TRIM(MID('R.M Billets Reports'!D520,SEARCH("-",'R.M Billets Reports'!D520)+1,200)),"")))))),IF(ROW()=2,"",A519))</f>
      </c>
      <c r="B520">
        <f>IF(OR('R.M Billets Reports'!A519="Date-",'R.M Billets Reports'!A519="Date:-"),'R.M Billets Reports'!B519,IF(ROW()=2,"",B519))</f>
      </c>
      <c r="C520">
        <f>IF('R.M Billets Reports'!A519="V.No.",'R.M Billets Reports'!B519,IF(ROW()=2,"",C519))</f>
      </c>
      <c r="D520">
        <f>IF('R.M Billets Reports'!A519&lt;&gt;"",'R.M Billets Reports'!A519,IF(ROW()=2,"",D519))</f>
      </c>
      <c r="E520">
        <f>IF('R.M Billets Reports'!B519="","",TRIM('R.M Billets Reports'!B519))</f>
      </c>
      <c r="F520">
        <f>'R.M Billets Reports'!C519</f>
      </c>
      <c r="G520">
        <f>'R.M Billets Reports'!D519</f>
      </c>
      <c r="H520">
        <f>'R.M Billets Reports'!E519</f>
      </c>
      <c r="I520">
        <f>'R.M Billets Reports'!F519</f>
      </c>
      <c r="J520">
        <f>'R.M Billets Reports'!G519</f>
      </c>
      <c r="K520">
        <f>'R.M Billets Reports'!H519</f>
      </c>
      <c r="L520">
        <f>IF('R.M Billets Reports'!I519="","",'R.M Billets Reports'!I519)</f>
      </c>
      <c r="M520">
        <f t="shared" si="16"/>
      </c>
      <c r="N520">
        <f>IF('R.M Billets Reports'!J519="","",'R.M Billets Reports'!J519)</f>
      </c>
      <c r="O520">
        <f t="shared" si="17"/>
      </c>
      <c r="P520">
        <f>IF('R.M Billets Reports'!A519="SIZE",'R.M Billets Reports'!B519,P519)</f>
      </c>
    </row>
    <row r="521" spans="1:16" x14ac:dyDescent="0.25">
      <c r="A521">
        <f>IF(OR('R.M Billets Reports'!A520="Date-",'R.M Billets Reports'!A520="Date:-"),IF(IF(IF(ISNUMBER(SEARCH("Party Name:-",'R.M Billets Reports'!D520)),TRIM('R.M Billets Reports'!F520),IF(ISNUMBER(SEARCH("Party Name-",'R.M Billets Reports'!D520)),TRIM(MID('R.M Billets Reports'!D520,SEARCH("-",'R.M Billets Reports'!D520)+1,200)),""))&lt;&gt;"",IF(ISNUMBER(SEARCH("Party Name:-",'R.M Billets Reports'!D520)),TRIM('R.M Billets Reports'!F520),IF(ISNUMBER(SEARCH("Party Name-",'R.M Billets Reports'!D520)),TRIM(MID('R.M Billets Reports'!D520,SEARCH("-",'R.M Billets Reports'!D520)+1,200)),"")),IF(ISNUMBER(SEARCH("Party Name:-",'R.M Billets Reports'!D521)),TRIM('R.M Billets Reports'!F521),IF(ISNUMBER(SEARCH("Party Name-",'R.M Billets Reports'!D521)),TRIM(MID('R.M Billets Reports'!D521,SEARCH("-",'R.M Billets Reports'!D521)+1,200)),"")))="VRKP ISPAT PVT LTD","VRKP",IF(IF(IF(ISNUMBER(SEARCH("Party Name:-",'R.M Billets Reports'!D520)),TRIM('R.M Billets Reports'!F520),IF(ISNUMBER(SEARCH("Party Name-",'R.M Billets Reports'!D520)),TRIM(MID('R.M Billets Reports'!D520,SEARCH("-",'R.M Billets Reports'!D520)+1,200)),""))&lt;&gt;"",IF(ISNUMBER(SEARCH("Party Name:-",'R.M Billets Reports'!D520)),TRIM('R.M Billets Reports'!F520),IF(ISNUMBER(SEARCH("Party Name-",'R.M Billets Reports'!D520)),TRIM(MID('R.M Billets Reports'!D520,SEARCH("-",'R.M Billets Reports'!D520)+1,200)),"")),IF(ISNUMBER(SEARCH("Party Name:-",'R.M Billets Reports'!D521)),TRIM('R.M Billets Reports'!F521),IF(ISNUMBER(SEARCH("Party Name-",'R.M Billets Reports'!D521)),TRIM(MID('R.M Billets Reports'!D521,SEARCH("-",'R.M Billets Reports'!D521)+1,200)),"")))="SHRI RADHE","SHREE RADHE",IF(IF(IF(ISNUMBER(SEARCH("Party Name:-",'R.M Billets Reports'!D520)),TRIM('R.M Billets Reports'!F520),IF(ISNUMBER(SEARCH("Party Name-",'R.M Billets Reports'!D520)),TRIM(MID('R.M Billets Reports'!D520,SEARCH("-",'R.M Billets Reports'!D520)+1,200)),""))&lt;&gt;"",IF(ISNUMBER(SEARCH("Party Name:-",'R.M Billets Reports'!D520)),TRIM('R.M Billets Reports'!F520),IF(ISNUMBER(SEARCH("Party Name-",'R.M Billets Reports'!D520)),TRIM(MID('R.M Billets Reports'!D520,SEARCH("-",'R.M Billets Reports'!D520)+1,200)),"")),IF(ISNUMBER(SEARCH("Party Name:-",'R.M Billets Reports'!D521)),TRIM('R.M Billets Reports'!F521),IF(ISNUMBER(SEARCH("Party Name-",'R.M Billets Reports'!D521)),TRIM(MID('R.M Billets Reports'!D521,SEARCH("-",'R.M Billets Reports'!D521)+1,200)),"")))="SHREE RADHE SHAKTI SPONGE AND POWER PVT. LTD.","SHREE RADHE",IF(IF(ISNUMBER(SEARCH("Party Name:-",'R.M Billets Reports'!D520)),TRIM('R.M Billets Reports'!F520),IF(ISNUMBER(SEARCH("Party Name-",'R.M Billets Reports'!D520)),TRIM(MID('R.M Billets Reports'!D520,SEARCH("-",'R.M Billets Reports'!D520)+1,200)),""))&lt;&gt;"",IF(ISNUMBER(SEARCH("Party Name:-",'R.M Billets Reports'!D520)),TRIM('R.M Billets Reports'!F520),IF(ISNUMBER(SEARCH("Party Name-",'R.M Billets Reports'!D520)),TRIM(MID('R.M Billets Reports'!D520,SEARCH("-",'R.M Billets Reports'!D520)+1,200)),"")),IF(ISNUMBER(SEARCH("Party Name:-",'R.M Billets Reports'!D521)),TRIM('R.M Billets Reports'!F521),IF(ISNUMBER(SEARCH("Party Name-",'R.M Billets Reports'!D521)),TRIM(MID('R.M Billets Reports'!D521,SEARCH("-",'R.M Billets Reports'!D521)+1,200)),"")))))),IF(ROW()=2,"",A520))</f>
      </c>
      <c r="B521">
        <f>IF(OR('R.M Billets Reports'!A520="Date-",'R.M Billets Reports'!A520="Date:-"),'R.M Billets Reports'!B520,IF(ROW()=2,"",B520))</f>
      </c>
      <c r="C521">
        <f>IF('R.M Billets Reports'!A520="V.No.",'R.M Billets Reports'!B520,IF(ROW()=2,"",C520))</f>
      </c>
      <c r="D521">
        <f>IF('R.M Billets Reports'!A520&lt;&gt;"",'R.M Billets Reports'!A520,IF(ROW()=2,"",D520))</f>
      </c>
      <c r="E521">
        <f>IF('R.M Billets Reports'!B520="","",TRIM('R.M Billets Reports'!B520))</f>
      </c>
      <c r="F521">
        <f>'R.M Billets Reports'!C520</f>
      </c>
      <c r="G521">
        <f>'R.M Billets Reports'!D520</f>
      </c>
      <c r="H521">
        <f>'R.M Billets Reports'!E520</f>
      </c>
      <c r="I521">
        <f>'R.M Billets Reports'!F520</f>
      </c>
      <c r="J521">
        <f>'R.M Billets Reports'!G520</f>
      </c>
      <c r="K521">
        <f>'R.M Billets Reports'!H520</f>
      </c>
      <c r="L521">
        <f>IF('R.M Billets Reports'!I520="","",'R.M Billets Reports'!I520)</f>
      </c>
      <c r="M521">
        <f t="shared" si="16"/>
      </c>
      <c r="N521">
        <f>IF('R.M Billets Reports'!J520="","",'R.M Billets Reports'!J520)</f>
      </c>
      <c r="O521">
        <f t="shared" si="17"/>
      </c>
      <c r="P521">
        <f>IF('R.M Billets Reports'!A520="SIZE",'R.M Billets Reports'!B520,P520)</f>
      </c>
    </row>
    <row r="522" spans="1:16" x14ac:dyDescent="0.25">
      <c r="A522">
        <f>IF(OR('R.M Billets Reports'!A521="Date-",'R.M Billets Reports'!A521="Date:-"),IF(IF(IF(ISNUMBER(SEARCH("Party Name:-",'R.M Billets Reports'!D521)),TRIM('R.M Billets Reports'!F521),IF(ISNUMBER(SEARCH("Party Name-",'R.M Billets Reports'!D521)),TRIM(MID('R.M Billets Reports'!D521,SEARCH("-",'R.M Billets Reports'!D521)+1,200)),""))&lt;&gt;"",IF(ISNUMBER(SEARCH("Party Name:-",'R.M Billets Reports'!D521)),TRIM('R.M Billets Reports'!F521),IF(ISNUMBER(SEARCH("Party Name-",'R.M Billets Reports'!D521)),TRIM(MID('R.M Billets Reports'!D521,SEARCH("-",'R.M Billets Reports'!D521)+1,200)),"")),IF(ISNUMBER(SEARCH("Party Name:-",'R.M Billets Reports'!D522)),TRIM('R.M Billets Reports'!F522),IF(ISNUMBER(SEARCH("Party Name-",'R.M Billets Reports'!D522)),TRIM(MID('R.M Billets Reports'!D522,SEARCH("-",'R.M Billets Reports'!D522)+1,200)),"")))="VRKP ISPAT PVT LTD","VRKP",IF(IF(IF(ISNUMBER(SEARCH("Party Name:-",'R.M Billets Reports'!D521)),TRIM('R.M Billets Reports'!F521),IF(ISNUMBER(SEARCH("Party Name-",'R.M Billets Reports'!D521)),TRIM(MID('R.M Billets Reports'!D521,SEARCH("-",'R.M Billets Reports'!D521)+1,200)),""))&lt;&gt;"",IF(ISNUMBER(SEARCH("Party Name:-",'R.M Billets Reports'!D521)),TRIM('R.M Billets Reports'!F521),IF(ISNUMBER(SEARCH("Party Name-",'R.M Billets Reports'!D521)),TRIM(MID('R.M Billets Reports'!D521,SEARCH("-",'R.M Billets Reports'!D521)+1,200)),"")),IF(ISNUMBER(SEARCH("Party Name:-",'R.M Billets Reports'!D522)),TRIM('R.M Billets Reports'!F522),IF(ISNUMBER(SEARCH("Party Name-",'R.M Billets Reports'!D522)),TRIM(MID('R.M Billets Reports'!D522,SEARCH("-",'R.M Billets Reports'!D522)+1,200)),"")))="SHRI RADHE","SHREE RADHE",IF(IF(IF(ISNUMBER(SEARCH("Party Name:-",'R.M Billets Reports'!D521)),TRIM('R.M Billets Reports'!F521),IF(ISNUMBER(SEARCH("Party Name-",'R.M Billets Reports'!D521)),TRIM(MID('R.M Billets Reports'!D521,SEARCH("-",'R.M Billets Reports'!D521)+1,200)),""))&lt;&gt;"",IF(ISNUMBER(SEARCH("Party Name:-",'R.M Billets Reports'!D521)),TRIM('R.M Billets Reports'!F521),IF(ISNUMBER(SEARCH("Party Name-",'R.M Billets Reports'!D521)),TRIM(MID('R.M Billets Reports'!D521,SEARCH("-",'R.M Billets Reports'!D521)+1,200)),"")),IF(ISNUMBER(SEARCH("Party Name:-",'R.M Billets Reports'!D522)),TRIM('R.M Billets Reports'!F522),IF(ISNUMBER(SEARCH("Party Name-",'R.M Billets Reports'!D522)),TRIM(MID('R.M Billets Reports'!D522,SEARCH("-",'R.M Billets Reports'!D522)+1,200)),"")))="SHREE RADHE SHAKTI SPONGE AND POWER PVT. LTD.","SHREE RADHE",IF(IF(ISNUMBER(SEARCH("Party Name:-",'R.M Billets Reports'!D521)),TRIM('R.M Billets Reports'!F521),IF(ISNUMBER(SEARCH("Party Name-",'R.M Billets Reports'!D521)),TRIM(MID('R.M Billets Reports'!D521,SEARCH("-",'R.M Billets Reports'!D521)+1,200)),""))&lt;&gt;"",IF(ISNUMBER(SEARCH("Party Name:-",'R.M Billets Reports'!D521)),TRIM('R.M Billets Reports'!F521),IF(ISNUMBER(SEARCH("Party Name-",'R.M Billets Reports'!D521)),TRIM(MID('R.M Billets Reports'!D521,SEARCH("-",'R.M Billets Reports'!D521)+1,200)),"")),IF(ISNUMBER(SEARCH("Party Name:-",'R.M Billets Reports'!D522)),TRIM('R.M Billets Reports'!F522),IF(ISNUMBER(SEARCH("Party Name-",'R.M Billets Reports'!D522)),TRIM(MID('R.M Billets Reports'!D522,SEARCH("-",'R.M Billets Reports'!D522)+1,200)),"")))))),IF(ROW()=2,"",A521))</f>
      </c>
      <c r="B522">
        <f>IF(OR('R.M Billets Reports'!A521="Date-",'R.M Billets Reports'!A521="Date:-"),'R.M Billets Reports'!B521,IF(ROW()=2,"",B521))</f>
      </c>
      <c r="C522">
        <f>IF('R.M Billets Reports'!A521="V.No.",'R.M Billets Reports'!B521,IF(ROW()=2,"",C521))</f>
      </c>
      <c r="D522">
        <f>IF('R.M Billets Reports'!A521&lt;&gt;"",'R.M Billets Reports'!A521,IF(ROW()=2,"",D521))</f>
      </c>
      <c r="E522">
        <f>IF('R.M Billets Reports'!B521="","",TRIM('R.M Billets Reports'!B521))</f>
      </c>
      <c r="F522">
        <f>'R.M Billets Reports'!C521</f>
      </c>
      <c r="G522">
        <f>'R.M Billets Reports'!D521</f>
      </c>
      <c r="H522">
        <f>'R.M Billets Reports'!E521</f>
      </c>
      <c r="I522">
        <f>'R.M Billets Reports'!F521</f>
      </c>
      <c r="J522">
        <f>'R.M Billets Reports'!G521</f>
      </c>
      <c r="K522">
        <f>'R.M Billets Reports'!H521</f>
      </c>
      <c r="L522">
        <f>IF('R.M Billets Reports'!I521="","",'R.M Billets Reports'!I521)</f>
      </c>
      <c r="M522">
        <f t="shared" si="16"/>
      </c>
      <c r="N522">
        <f>IF('R.M Billets Reports'!J521="","",'R.M Billets Reports'!J521)</f>
      </c>
      <c r="O522">
        <f t="shared" si="17"/>
      </c>
      <c r="P522">
        <f>IF('R.M Billets Reports'!A521="SIZE",'R.M Billets Reports'!B521,P521)</f>
      </c>
    </row>
    <row r="523" spans="1:16" x14ac:dyDescent="0.25">
      <c r="A523">
        <f>IF(OR('R.M Billets Reports'!A522="Date-",'R.M Billets Reports'!A522="Date:-"),IF(IF(IF(ISNUMBER(SEARCH("Party Name:-",'R.M Billets Reports'!D522)),TRIM('R.M Billets Reports'!F522),IF(ISNUMBER(SEARCH("Party Name-",'R.M Billets Reports'!D522)),TRIM(MID('R.M Billets Reports'!D522,SEARCH("-",'R.M Billets Reports'!D522)+1,200)),""))&lt;&gt;"",IF(ISNUMBER(SEARCH("Party Name:-",'R.M Billets Reports'!D522)),TRIM('R.M Billets Reports'!F522),IF(ISNUMBER(SEARCH("Party Name-",'R.M Billets Reports'!D522)),TRIM(MID('R.M Billets Reports'!D522,SEARCH("-",'R.M Billets Reports'!D522)+1,200)),"")),IF(ISNUMBER(SEARCH("Party Name:-",'R.M Billets Reports'!D523)),TRIM('R.M Billets Reports'!F523),IF(ISNUMBER(SEARCH("Party Name-",'R.M Billets Reports'!D523)),TRIM(MID('R.M Billets Reports'!D523,SEARCH("-",'R.M Billets Reports'!D523)+1,200)),"")))="VRKP ISPAT PVT LTD","VRKP",IF(IF(IF(ISNUMBER(SEARCH("Party Name:-",'R.M Billets Reports'!D522)),TRIM('R.M Billets Reports'!F522),IF(ISNUMBER(SEARCH("Party Name-",'R.M Billets Reports'!D522)),TRIM(MID('R.M Billets Reports'!D522,SEARCH("-",'R.M Billets Reports'!D522)+1,200)),""))&lt;&gt;"",IF(ISNUMBER(SEARCH("Party Name:-",'R.M Billets Reports'!D522)),TRIM('R.M Billets Reports'!F522),IF(ISNUMBER(SEARCH("Party Name-",'R.M Billets Reports'!D522)),TRIM(MID('R.M Billets Reports'!D522,SEARCH("-",'R.M Billets Reports'!D522)+1,200)),"")),IF(ISNUMBER(SEARCH("Party Name:-",'R.M Billets Reports'!D523)),TRIM('R.M Billets Reports'!F523),IF(ISNUMBER(SEARCH("Party Name-",'R.M Billets Reports'!D523)),TRIM(MID('R.M Billets Reports'!D523,SEARCH("-",'R.M Billets Reports'!D523)+1,200)),"")))="SHRI RADHE","SHREE RADHE",IF(IF(IF(ISNUMBER(SEARCH("Party Name:-",'R.M Billets Reports'!D522)),TRIM('R.M Billets Reports'!F522),IF(ISNUMBER(SEARCH("Party Name-",'R.M Billets Reports'!D522)),TRIM(MID('R.M Billets Reports'!D522,SEARCH("-",'R.M Billets Reports'!D522)+1,200)),""))&lt;&gt;"",IF(ISNUMBER(SEARCH("Party Name:-",'R.M Billets Reports'!D522)),TRIM('R.M Billets Reports'!F522),IF(ISNUMBER(SEARCH("Party Name-",'R.M Billets Reports'!D522)),TRIM(MID('R.M Billets Reports'!D522,SEARCH("-",'R.M Billets Reports'!D522)+1,200)),"")),IF(ISNUMBER(SEARCH("Party Name:-",'R.M Billets Reports'!D523)),TRIM('R.M Billets Reports'!F523),IF(ISNUMBER(SEARCH("Party Name-",'R.M Billets Reports'!D523)),TRIM(MID('R.M Billets Reports'!D523,SEARCH("-",'R.M Billets Reports'!D523)+1,200)),"")))="SHREE RADHE SHAKTI SPONGE AND POWER PVT. LTD.","SHREE RADHE",IF(IF(ISNUMBER(SEARCH("Party Name:-",'R.M Billets Reports'!D522)),TRIM('R.M Billets Reports'!F522),IF(ISNUMBER(SEARCH("Party Name-",'R.M Billets Reports'!D522)),TRIM(MID('R.M Billets Reports'!D522,SEARCH("-",'R.M Billets Reports'!D522)+1,200)),""))&lt;&gt;"",IF(ISNUMBER(SEARCH("Party Name:-",'R.M Billets Reports'!D522)),TRIM('R.M Billets Reports'!F522),IF(ISNUMBER(SEARCH("Party Name-",'R.M Billets Reports'!D522)),TRIM(MID('R.M Billets Reports'!D522,SEARCH("-",'R.M Billets Reports'!D522)+1,200)),"")),IF(ISNUMBER(SEARCH("Party Name:-",'R.M Billets Reports'!D523)),TRIM('R.M Billets Reports'!F523),IF(ISNUMBER(SEARCH("Party Name-",'R.M Billets Reports'!D523)),TRIM(MID('R.M Billets Reports'!D523,SEARCH("-",'R.M Billets Reports'!D523)+1,200)),"")))))),IF(ROW()=2,"",A522))</f>
      </c>
      <c r="B523">
        <f>IF(OR('R.M Billets Reports'!A522="Date-",'R.M Billets Reports'!A522="Date:-"),'R.M Billets Reports'!B522,IF(ROW()=2,"",B522))</f>
      </c>
      <c r="C523">
        <f>IF('R.M Billets Reports'!A522="V.No.",'R.M Billets Reports'!B522,IF(ROW()=2,"",C522))</f>
      </c>
      <c r="D523">
        <f>IF('R.M Billets Reports'!A522&lt;&gt;"",'R.M Billets Reports'!A522,IF(ROW()=2,"",D522))</f>
      </c>
      <c r="E523">
        <f>IF('R.M Billets Reports'!B522="","",TRIM('R.M Billets Reports'!B522))</f>
      </c>
      <c r="F523">
        <f>'R.M Billets Reports'!C522</f>
      </c>
      <c r="G523">
        <f>'R.M Billets Reports'!D522</f>
      </c>
      <c r="H523">
        <f>'R.M Billets Reports'!E522</f>
      </c>
      <c r="I523">
        <f>'R.M Billets Reports'!F522</f>
      </c>
      <c r="J523">
        <f>'R.M Billets Reports'!G522</f>
      </c>
      <c r="K523">
        <f>'R.M Billets Reports'!H522</f>
      </c>
      <c r="L523">
        <f>IF('R.M Billets Reports'!I522="","",'R.M Billets Reports'!I522)</f>
      </c>
      <c r="M523">
        <f t="shared" si="16"/>
      </c>
      <c r="N523">
        <f>IF('R.M Billets Reports'!J522="","",'R.M Billets Reports'!J522)</f>
      </c>
      <c r="O523">
        <f t="shared" si="17"/>
      </c>
      <c r="P523">
        <f>IF('R.M Billets Reports'!A522="SIZE",'R.M Billets Reports'!B522,P522)</f>
      </c>
    </row>
    <row r="524" spans="1:16" x14ac:dyDescent="0.25">
      <c r="A524">
        <f>IF(OR('R.M Billets Reports'!A523="Date-",'R.M Billets Reports'!A523="Date:-"),IF(IF(IF(ISNUMBER(SEARCH("Party Name:-",'R.M Billets Reports'!D523)),TRIM('R.M Billets Reports'!F523),IF(ISNUMBER(SEARCH("Party Name-",'R.M Billets Reports'!D523)),TRIM(MID('R.M Billets Reports'!D523,SEARCH("-",'R.M Billets Reports'!D523)+1,200)),""))&lt;&gt;"",IF(ISNUMBER(SEARCH("Party Name:-",'R.M Billets Reports'!D523)),TRIM('R.M Billets Reports'!F523),IF(ISNUMBER(SEARCH("Party Name-",'R.M Billets Reports'!D523)),TRIM(MID('R.M Billets Reports'!D523,SEARCH("-",'R.M Billets Reports'!D523)+1,200)),"")),IF(ISNUMBER(SEARCH("Party Name:-",'R.M Billets Reports'!D524)),TRIM('R.M Billets Reports'!F524),IF(ISNUMBER(SEARCH("Party Name-",'R.M Billets Reports'!D524)),TRIM(MID('R.M Billets Reports'!D524,SEARCH("-",'R.M Billets Reports'!D524)+1,200)),"")))="VRKP ISPAT PVT LTD","VRKP",IF(IF(IF(ISNUMBER(SEARCH("Party Name:-",'R.M Billets Reports'!D523)),TRIM('R.M Billets Reports'!F523),IF(ISNUMBER(SEARCH("Party Name-",'R.M Billets Reports'!D523)),TRIM(MID('R.M Billets Reports'!D523,SEARCH("-",'R.M Billets Reports'!D523)+1,200)),""))&lt;&gt;"",IF(ISNUMBER(SEARCH("Party Name:-",'R.M Billets Reports'!D523)),TRIM('R.M Billets Reports'!F523),IF(ISNUMBER(SEARCH("Party Name-",'R.M Billets Reports'!D523)),TRIM(MID('R.M Billets Reports'!D523,SEARCH("-",'R.M Billets Reports'!D523)+1,200)),"")),IF(ISNUMBER(SEARCH("Party Name:-",'R.M Billets Reports'!D524)),TRIM('R.M Billets Reports'!F524),IF(ISNUMBER(SEARCH("Party Name-",'R.M Billets Reports'!D524)),TRIM(MID('R.M Billets Reports'!D524,SEARCH("-",'R.M Billets Reports'!D524)+1,200)),"")))="SHRI RADHE","SHREE RADHE",IF(IF(IF(ISNUMBER(SEARCH("Party Name:-",'R.M Billets Reports'!D523)),TRIM('R.M Billets Reports'!F523),IF(ISNUMBER(SEARCH("Party Name-",'R.M Billets Reports'!D523)),TRIM(MID('R.M Billets Reports'!D523,SEARCH("-",'R.M Billets Reports'!D523)+1,200)),""))&lt;&gt;"",IF(ISNUMBER(SEARCH("Party Name:-",'R.M Billets Reports'!D523)),TRIM('R.M Billets Reports'!F523),IF(ISNUMBER(SEARCH("Party Name-",'R.M Billets Reports'!D523)),TRIM(MID('R.M Billets Reports'!D523,SEARCH("-",'R.M Billets Reports'!D523)+1,200)),"")),IF(ISNUMBER(SEARCH("Party Name:-",'R.M Billets Reports'!D524)),TRIM('R.M Billets Reports'!F524),IF(ISNUMBER(SEARCH("Party Name-",'R.M Billets Reports'!D524)),TRIM(MID('R.M Billets Reports'!D524,SEARCH("-",'R.M Billets Reports'!D524)+1,200)),"")))="SHREE RADHE SHAKTI SPONGE AND POWER PVT. LTD.","SHREE RADHE",IF(IF(ISNUMBER(SEARCH("Party Name:-",'R.M Billets Reports'!D523)),TRIM('R.M Billets Reports'!F523),IF(ISNUMBER(SEARCH("Party Name-",'R.M Billets Reports'!D523)),TRIM(MID('R.M Billets Reports'!D523,SEARCH("-",'R.M Billets Reports'!D523)+1,200)),""))&lt;&gt;"",IF(ISNUMBER(SEARCH("Party Name:-",'R.M Billets Reports'!D523)),TRIM('R.M Billets Reports'!F523),IF(ISNUMBER(SEARCH("Party Name-",'R.M Billets Reports'!D523)),TRIM(MID('R.M Billets Reports'!D523,SEARCH("-",'R.M Billets Reports'!D523)+1,200)),"")),IF(ISNUMBER(SEARCH("Party Name:-",'R.M Billets Reports'!D524)),TRIM('R.M Billets Reports'!F524),IF(ISNUMBER(SEARCH("Party Name-",'R.M Billets Reports'!D524)),TRIM(MID('R.M Billets Reports'!D524,SEARCH("-",'R.M Billets Reports'!D524)+1,200)),"")))))),IF(ROW()=2,"",A523))</f>
      </c>
      <c r="B524">
        <f>IF(OR('R.M Billets Reports'!A523="Date-",'R.M Billets Reports'!A523="Date:-"),'R.M Billets Reports'!B523,IF(ROW()=2,"",B523))</f>
      </c>
      <c r="C524">
        <f>IF('R.M Billets Reports'!A523="V.No.",'R.M Billets Reports'!B523,IF(ROW()=2,"",C523))</f>
      </c>
      <c r="D524">
        <f>IF('R.M Billets Reports'!A523&lt;&gt;"",'R.M Billets Reports'!A523,IF(ROW()=2,"",D523))</f>
      </c>
      <c r="E524">
        <f>IF('R.M Billets Reports'!B523="","",TRIM('R.M Billets Reports'!B523))</f>
      </c>
      <c r="F524">
        <f>'R.M Billets Reports'!C523</f>
      </c>
      <c r="G524">
        <f>'R.M Billets Reports'!D523</f>
      </c>
      <c r="H524">
        <f>'R.M Billets Reports'!E523</f>
      </c>
      <c r="I524">
        <f>'R.M Billets Reports'!F523</f>
      </c>
      <c r="J524">
        <f>'R.M Billets Reports'!G523</f>
      </c>
      <c r="K524">
        <f>'R.M Billets Reports'!H523</f>
      </c>
      <c r="L524">
        <f>IF('R.M Billets Reports'!I523="","",'R.M Billets Reports'!I523)</f>
      </c>
      <c r="M524">
        <f t="shared" si="16"/>
      </c>
      <c r="N524">
        <f>IF('R.M Billets Reports'!J523="","",'R.M Billets Reports'!J523)</f>
      </c>
      <c r="O524">
        <f t="shared" si="17"/>
      </c>
      <c r="P524">
        <f>IF('R.M Billets Reports'!A523="SIZE",'R.M Billets Reports'!B523,P523)</f>
      </c>
    </row>
    <row r="525" spans="1:16" x14ac:dyDescent="0.25">
      <c r="A525">
        <f>IF(OR('R.M Billets Reports'!A524="Date-",'R.M Billets Reports'!A524="Date:-"),IF(IF(IF(ISNUMBER(SEARCH("Party Name:-",'R.M Billets Reports'!D524)),TRIM('R.M Billets Reports'!F524),IF(ISNUMBER(SEARCH("Party Name-",'R.M Billets Reports'!D524)),TRIM(MID('R.M Billets Reports'!D524,SEARCH("-",'R.M Billets Reports'!D524)+1,200)),""))&lt;&gt;"",IF(ISNUMBER(SEARCH("Party Name:-",'R.M Billets Reports'!D524)),TRIM('R.M Billets Reports'!F524),IF(ISNUMBER(SEARCH("Party Name-",'R.M Billets Reports'!D524)),TRIM(MID('R.M Billets Reports'!D524,SEARCH("-",'R.M Billets Reports'!D524)+1,200)),"")),IF(ISNUMBER(SEARCH("Party Name:-",'R.M Billets Reports'!D525)),TRIM('R.M Billets Reports'!F525),IF(ISNUMBER(SEARCH("Party Name-",'R.M Billets Reports'!D525)),TRIM(MID('R.M Billets Reports'!D525,SEARCH("-",'R.M Billets Reports'!D525)+1,200)),"")))="VRKP ISPAT PVT LTD","VRKP",IF(IF(IF(ISNUMBER(SEARCH("Party Name:-",'R.M Billets Reports'!D524)),TRIM('R.M Billets Reports'!F524),IF(ISNUMBER(SEARCH("Party Name-",'R.M Billets Reports'!D524)),TRIM(MID('R.M Billets Reports'!D524,SEARCH("-",'R.M Billets Reports'!D524)+1,200)),""))&lt;&gt;"",IF(ISNUMBER(SEARCH("Party Name:-",'R.M Billets Reports'!D524)),TRIM('R.M Billets Reports'!F524),IF(ISNUMBER(SEARCH("Party Name-",'R.M Billets Reports'!D524)),TRIM(MID('R.M Billets Reports'!D524,SEARCH("-",'R.M Billets Reports'!D524)+1,200)),"")),IF(ISNUMBER(SEARCH("Party Name:-",'R.M Billets Reports'!D525)),TRIM('R.M Billets Reports'!F525),IF(ISNUMBER(SEARCH("Party Name-",'R.M Billets Reports'!D525)),TRIM(MID('R.M Billets Reports'!D525,SEARCH("-",'R.M Billets Reports'!D525)+1,200)),"")))="SHRI RADHE","SHREE RADHE",IF(IF(IF(ISNUMBER(SEARCH("Party Name:-",'R.M Billets Reports'!D524)),TRIM('R.M Billets Reports'!F524),IF(ISNUMBER(SEARCH("Party Name-",'R.M Billets Reports'!D524)),TRIM(MID('R.M Billets Reports'!D524,SEARCH("-",'R.M Billets Reports'!D524)+1,200)),""))&lt;&gt;"",IF(ISNUMBER(SEARCH("Party Name:-",'R.M Billets Reports'!D524)),TRIM('R.M Billets Reports'!F524),IF(ISNUMBER(SEARCH("Party Name-",'R.M Billets Reports'!D524)),TRIM(MID('R.M Billets Reports'!D524,SEARCH("-",'R.M Billets Reports'!D524)+1,200)),"")),IF(ISNUMBER(SEARCH("Party Name:-",'R.M Billets Reports'!D525)),TRIM('R.M Billets Reports'!F525),IF(ISNUMBER(SEARCH("Party Name-",'R.M Billets Reports'!D525)),TRIM(MID('R.M Billets Reports'!D525,SEARCH("-",'R.M Billets Reports'!D525)+1,200)),"")))="SHREE RADHE SHAKTI SPONGE AND POWER PVT. LTD.","SHREE RADHE",IF(IF(ISNUMBER(SEARCH("Party Name:-",'R.M Billets Reports'!D524)),TRIM('R.M Billets Reports'!F524),IF(ISNUMBER(SEARCH("Party Name-",'R.M Billets Reports'!D524)),TRIM(MID('R.M Billets Reports'!D524,SEARCH("-",'R.M Billets Reports'!D524)+1,200)),""))&lt;&gt;"",IF(ISNUMBER(SEARCH("Party Name:-",'R.M Billets Reports'!D524)),TRIM('R.M Billets Reports'!F524),IF(ISNUMBER(SEARCH("Party Name-",'R.M Billets Reports'!D524)),TRIM(MID('R.M Billets Reports'!D524,SEARCH("-",'R.M Billets Reports'!D524)+1,200)),"")),IF(ISNUMBER(SEARCH("Party Name:-",'R.M Billets Reports'!D525)),TRIM('R.M Billets Reports'!F525),IF(ISNUMBER(SEARCH("Party Name-",'R.M Billets Reports'!D525)),TRIM(MID('R.M Billets Reports'!D525,SEARCH("-",'R.M Billets Reports'!D525)+1,200)),"")))))),IF(ROW()=2,"",A524))</f>
      </c>
      <c r="B525">
        <f>IF(OR('R.M Billets Reports'!A524="Date-",'R.M Billets Reports'!A524="Date:-"),'R.M Billets Reports'!B524,IF(ROW()=2,"",B524))</f>
      </c>
      <c r="C525">
        <f>IF('R.M Billets Reports'!A524="V.No.",'R.M Billets Reports'!B524,IF(ROW()=2,"",C524))</f>
      </c>
      <c r="D525">
        <f>IF('R.M Billets Reports'!A524&lt;&gt;"",'R.M Billets Reports'!A524,IF(ROW()=2,"",D524))</f>
      </c>
      <c r="E525">
        <f>IF('R.M Billets Reports'!B524="","",TRIM('R.M Billets Reports'!B524))</f>
      </c>
      <c r="F525">
        <f>'R.M Billets Reports'!C524</f>
      </c>
      <c r="G525">
        <f>'R.M Billets Reports'!D524</f>
      </c>
      <c r="H525">
        <f>'R.M Billets Reports'!E524</f>
      </c>
      <c r="I525">
        <f>'R.M Billets Reports'!F524</f>
      </c>
      <c r="J525">
        <f>'R.M Billets Reports'!G524</f>
      </c>
      <c r="K525">
        <f>'R.M Billets Reports'!H524</f>
      </c>
      <c r="L525">
        <f>IF('R.M Billets Reports'!I524="","",'R.M Billets Reports'!I524)</f>
      </c>
      <c r="M525">
        <f t="shared" si="16"/>
      </c>
      <c r="N525">
        <f>IF('R.M Billets Reports'!J524="","",'R.M Billets Reports'!J524)</f>
      </c>
      <c r="O525">
        <f t="shared" si="17"/>
      </c>
      <c r="P525">
        <f>IF('R.M Billets Reports'!A524="SIZE",'R.M Billets Reports'!B524,P524)</f>
      </c>
    </row>
    <row r="526" spans="1:16" x14ac:dyDescent="0.25">
      <c r="A526">
        <f>IF(OR('R.M Billets Reports'!A525="Date-",'R.M Billets Reports'!A525="Date:-"),IF(IF(IF(ISNUMBER(SEARCH("Party Name:-",'R.M Billets Reports'!D525)),TRIM('R.M Billets Reports'!F525),IF(ISNUMBER(SEARCH("Party Name-",'R.M Billets Reports'!D525)),TRIM(MID('R.M Billets Reports'!D525,SEARCH("-",'R.M Billets Reports'!D525)+1,200)),""))&lt;&gt;"",IF(ISNUMBER(SEARCH("Party Name:-",'R.M Billets Reports'!D525)),TRIM('R.M Billets Reports'!F525),IF(ISNUMBER(SEARCH("Party Name-",'R.M Billets Reports'!D525)),TRIM(MID('R.M Billets Reports'!D525,SEARCH("-",'R.M Billets Reports'!D525)+1,200)),"")),IF(ISNUMBER(SEARCH("Party Name:-",'R.M Billets Reports'!D526)),TRIM('R.M Billets Reports'!F526),IF(ISNUMBER(SEARCH("Party Name-",'R.M Billets Reports'!D526)),TRIM(MID('R.M Billets Reports'!D526,SEARCH("-",'R.M Billets Reports'!D526)+1,200)),"")))="VRKP ISPAT PVT LTD","VRKP",IF(IF(IF(ISNUMBER(SEARCH("Party Name:-",'R.M Billets Reports'!D525)),TRIM('R.M Billets Reports'!F525),IF(ISNUMBER(SEARCH("Party Name-",'R.M Billets Reports'!D525)),TRIM(MID('R.M Billets Reports'!D525,SEARCH("-",'R.M Billets Reports'!D525)+1,200)),""))&lt;&gt;"",IF(ISNUMBER(SEARCH("Party Name:-",'R.M Billets Reports'!D525)),TRIM('R.M Billets Reports'!F525),IF(ISNUMBER(SEARCH("Party Name-",'R.M Billets Reports'!D525)),TRIM(MID('R.M Billets Reports'!D525,SEARCH("-",'R.M Billets Reports'!D525)+1,200)),"")),IF(ISNUMBER(SEARCH("Party Name:-",'R.M Billets Reports'!D526)),TRIM('R.M Billets Reports'!F526),IF(ISNUMBER(SEARCH("Party Name-",'R.M Billets Reports'!D526)),TRIM(MID('R.M Billets Reports'!D526,SEARCH("-",'R.M Billets Reports'!D526)+1,200)),"")))="SHRI RADHE","SHREE RADHE",IF(IF(IF(ISNUMBER(SEARCH("Party Name:-",'R.M Billets Reports'!D525)),TRIM('R.M Billets Reports'!F525),IF(ISNUMBER(SEARCH("Party Name-",'R.M Billets Reports'!D525)),TRIM(MID('R.M Billets Reports'!D525,SEARCH("-",'R.M Billets Reports'!D525)+1,200)),""))&lt;&gt;"",IF(ISNUMBER(SEARCH("Party Name:-",'R.M Billets Reports'!D525)),TRIM('R.M Billets Reports'!F525),IF(ISNUMBER(SEARCH("Party Name-",'R.M Billets Reports'!D525)),TRIM(MID('R.M Billets Reports'!D525,SEARCH("-",'R.M Billets Reports'!D525)+1,200)),"")),IF(ISNUMBER(SEARCH("Party Name:-",'R.M Billets Reports'!D526)),TRIM('R.M Billets Reports'!F526),IF(ISNUMBER(SEARCH("Party Name-",'R.M Billets Reports'!D526)),TRIM(MID('R.M Billets Reports'!D526,SEARCH("-",'R.M Billets Reports'!D526)+1,200)),"")))="SHREE RADHE SHAKTI SPONGE AND POWER PVT. LTD.","SHREE RADHE",IF(IF(ISNUMBER(SEARCH("Party Name:-",'R.M Billets Reports'!D525)),TRIM('R.M Billets Reports'!F525),IF(ISNUMBER(SEARCH("Party Name-",'R.M Billets Reports'!D525)),TRIM(MID('R.M Billets Reports'!D525,SEARCH("-",'R.M Billets Reports'!D525)+1,200)),""))&lt;&gt;"",IF(ISNUMBER(SEARCH("Party Name:-",'R.M Billets Reports'!D525)),TRIM('R.M Billets Reports'!F525),IF(ISNUMBER(SEARCH("Party Name-",'R.M Billets Reports'!D525)),TRIM(MID('R.M Billets Reports'!D525,SEARCH("-",'R.M Billets Reports'!D525)+1,200)),"")),IF(ISNUMBER(SEARCH("Party Name:-",'R.M Billets Reports'!D526)),TRIM('R.M Billets Reports'!F526),IF(ISNUMBER(SEARCH("Party Name-",'R.M Billets Reports'!D526)),TRIM(MID('R.M Billets Reports'!D526,SEARCH("-",'R.M Billets Reports'!D526)+1,200)),"")))))),IF(ROW()=2,"",A525))</f>
      </c>
      <c r="B526">
        <f>IF(OR('R.M Billets Reports'!A525="Date-",'R.M Billets Reports'!A525="Date:-"),'R.M Billets Reports'!B525,IF(ROW()=2,"",B525))</f>
      </c>
      <c r="C526">
        <f>IF('R.M Billets Reports'!A525="V.No.",'R.M Billets Reports'!B525,IF(ROW()=2,"",C525))</f>
      </c>
      <c r="D526">
        <f>IF('R.M Billets Reports'!A525&lt;&gt;"",'R.M Billets Reports'!A525,IF(ROW()=2,"",D525))</f>
      </c>
      <c r="E526">
        <f>IF('R.M Billets Reports'!B525="","",TRIM('R.M Billets Reports'!B525))</f>
      </c>
      <c r="F526">
        <f>'R.M Billets Reports'!C525</f>
      </c>
      <c r="G526">
        <f>'R.M Billets Reports'!D525</f>
      </c>
      <c r="H526">
        <f>'R.M Billets Reports'!E525</f>
      </c>
      <c r="I526">
        <f>'R.M Billets Reports'!F525</f>
      </c>
      <c r="J526">
        <f>'R.M Billets Reports'!G525</f>
      </c>
      <c r="K526">
        <f>'R.M Billets Reports'!H525</f>
      </c>
      <c r="L526">
        <f>IF('R.M Billets Reports'!I525="","",'R.M Billets Reports'!I525)</f>
      </c>
      <c r="M526">
        <f t="shared" si="16"/>
      </c>
      <c r="N526">
        <f>IF('R.M Billets Reports'!J525="","",'R.M Billets Reports'!J525)</f>
      </c>
      <c r="O526">
        <f t="shared" si="17"/>
      </c>
      <c r="P526">
        <f>IF('R.M Billets Reports'!A525="SIZE",'R.M Billets Reports'!B525,P525)</f>
      </c>
    </row>
    <row r="527" spans="1:16" x14ac:dyDescent="0.25">
      <c r="A527">
        <f>IF(OR('R.M Billets Reports'!A526="Date-",'R.M Billets Reports'!A526="Date:-"),IF(IF(IF(ISNUMBER(SEARCH("Party Name:-",'R.M Billets Reports'!D526)),TRIM('R.M Billets Reports'!F526),IF(ISNUMBER(SEARCH("Party Name-",'R.M Billets Reports'!D526)),TRIM(MID('R.M Billets Reports'!D526,SEARCH("-",'R.M Billets Reports'!D526)+1,200)),""))&lt;&gt;"",IF(ISNUMBER(SEARCH("Party Name:-",'R.M Billets Reports'!D526)),TRIM('R.M Billets Reports'!F526),IF(ISNUMBER(SEARCH("Party Name-",'R.M Billets Reports'!D526)),TRIM(MID('R.M Billets Reports'!D526,SEARCH("-",'R.M Billets Reports'!D526)+1,200)),"")),IF(ISNUMBER(SEARCH("Party Name:-",'R.M Billets Reports'!D527)),TRIM('R.M Billets Reports'!F527),IF(ISNUMBER(SEARCH("Party Name-",'R.M Billets Reports'!D527)),TRIM(MID('R.M Billets Reports'!D527,SEARCH("-",'R.M Billets Reports'!D527)+1,200)),"")))="VRKP ISPAT PVT LTD","VRKP",IF(IF(IF(ISNUMBER(SEARCH("Party Name:-",'R.M Billets Reports'!D526)),TRIM('R.M Billets Reports'!F526),IF(ISNUMBER(SEARCH("Party Name-",'R.M Billets Reports'!D526)),TRIM(MID('R.M Billets Reports'!D526,SEARCH("-",'R.M Billets Reports'!D526)+1,200)),""))&lt;&gt;"",IF(ISNUMBER(SEARCH("Party Name:-",'R.M Billets Reports'!D526)),TRIM('R.M Billets Reports'!F526),IF(ISNUMBER(SEARCH("Party Name-",'R.M Billets Reports'!D526)),TRIM(MID('R.M Billets Reports'!D526,SEARCH("-",'R.M Billets Reports'!D526)+1,200)),"")),IF(ISNUMBER(SEARCH("Party Name:-",'R.M Billets Reports'!D527)),TRIM('R.M Billets Reports'!F527),IF(ISNUMBER(SEARCH("Party Name-",'R.M Billets Reports'!D527)),TRIM(MID('R.M Billets Reports'!D527,SEARCH("-",'R.M Billets Reports'!D527)+1,200)),"")))="SHRI RADHE","SHREE RADHE",IF(IF(IF(ISNUMBER(SEARCH("Party Name:-",'R.M Billets Reports'!D526)),TRIM('R.M Billets Reports'!F526),IF(ISNUMBER(SEARCH("Party Name-",'R.M Billets Reports'!D526)),TRIM(MID('R.M Billets Reports'!D526,SEARCH("-",'R.M Billets Reports'!D526)+1,200)),""))&lt;&gt;"",IF(ISNUMBER(SEARCH("Party Name:-",'R.M Billets Reports'!D526)),TRIM('R.M Billets Reports'!F526),IF(ISNUMBER(SEARCH("Party Name-",'R.M Billets Reports'!D526)),TRIM(MID('R.M Billets Reports'!D526,SEARCH("-",'R.M Billets Reports'!D526)+1,200)),"")),IF(ISNUMBER(SEARCH("Party Name:-",'R.M Billets Reports'!D527)),TRIM('R.M Billets Reports'!F527),IF(ISNUMBER(SEARCH("Party Name-",'R.M Billets Reports'!D527)),TRIM(MID('R.M Billets Reports'!D527,SEARCH("-",'R.M Billets Reports'!D527)+1,200)),"")))="SHREE RADHE SHAKTI SPONGE AND POWER PVT. LTD.","SHREE RADHE",IF(IF(ISNUMBER(SEARCH("Party Name:-",'R.M Billets Reports'!D526)),TRIM('R.M Billets Reports'!F526),IF(ISNUMBER(SEARCH("Party Name-",'R.M Billets Reports'!D526)),TRIM(MID('R.M Billets Reports'!D526,SEARCH("-",'R.M Billets Reports'!D526)+1,200)),""))&lt;&gt;"",IF(ISNUMBER(SEARCH("Party Name:-",'R.M Billets Reports'!D526)),TRIM('R.M Billets Reports'!F526),IF(ISNUMBER(SEARCH("Party Name-",'R.M Billets Reports'!D526)),TRIM(MID('R.M Billets Reports'!D526,SEARCH("-",'R.M Billets Reports'!D526)+1,200)),"")),IF(ISNUMBER(SEARCH("Party Name:-",'R.M Billets Reports'!D527)),TRIM('R.M Billets Reports'!F527),IF(ISNUMBER(SEARCH("Party Name-",'R.M Billets Reports'!D527)),TRIM(MID('R.M Billets Reports'!D527,SEARCH("-",'R.M Billets Reports'!D527)+1,200)),"")))))),IF(ROW()=2,"",A526))</f>
      </c>
      <c r="B527">
        <f>IF(OR('R.M Billets Reports'!A526="Date-",'R.M Billets Reports'!A526="Date:-"),'R.M Billets Reports'!B526,IF(ROW()=2,"",B526))</f>
      </c>
      <c r="C527">
        <f>IF('R.M Billets Reports'!A526="V.No.",'R.M Billets Reports'!B526,IF(ROW()=2,"",C526))</f>
      </c>
      <c r="D527">
        <f>IF('R.M Billets Reports'!A526&lt;&gt;"",'R.M Billets Reports'!A526,IF(ROW()=2,"",D526))</f>
      </c>
      <c r="E527">
        <f>IF('R.M Billets Reports'!B526="","",TRIM('R.M Billets Reports'!B526))</f>
      </c>
      <c r="F527">
        <f>'R.M Billets Reports'!C526</f>
      </c>
      <c r="G527">
        <f>'R.M Billets Reports'!D526</f>
      </c>
      <c r="H527">
        <f>'R.M Billets Reports'!E526</f>
      </c>
      <c r="I527">
        <f>'R.M Billets Reports'!F526</f>
      </c>
      <c r="J527">
        <f>'R.M Billets Reports'!G526</f>
      </c>
      <c r="K527">
        <f>'R.M Billets Reports'!H526</f>
      </c>
      <c r="L527">
        <f>IF('R.M Billets Reports'!I526="","",'R.M Billets Reports'!I526)</f>
      </c>
      <c r="M527">
        <f t="shared" si="16"/>
      </c>
      <c r="N527">
        <f>IF('R.M Billets Reports'!J526="","",'R.M Billets Reports'!J526)</f>
      </c>
      <c r="O527">
        <f t="shared" si="17"/>
      </c>
      <c r="P527">
        <f>IF('R.M Billets Reports'!A526="SIZE",'R.M Billets Reports'!B526,P526)</f>
      </c>
    </row>
    <row r="528" spans="1:16" x14ac:dyDescent="0.25">
      <c r="A528">
        <f>IF(OR('R.M Billets Reports'!A527="Date-",'R.M Billets Reports'!A527="Date:-"),IF(IF(IF(ISNUMBER(SEARCH("Party Name:-",'R.M Billets Reports'!D527)),TRIM('R.M Billets Reports'!F527),IF(ISNUMBER(SEARCH("Party Name-",'R.M Billets Reports'!D527)),TRIM(MID('R.M Billets Reports'!D527,SEARCH("-",'R.M Billets Reports'!D527)+1,200)),""))&lt;&gt;"",IF(ISNUMBER(SEARCH("Party Name:-",'R.M Billets Reports'!D527)),TRIM('R.M Billets Reports'!F527),IF(ISNUMBER(SEARCH("Party Name-",'R.M Billets Reports'!D527)),TRIM(MID('R.M Billets Reports'!D527,SEARCH("-",'R.M Billets Reports'!D527)+1,200)),"")),IF(ISNUMBER(SEARCH("Party Name:-",'R.M Billets Reports'!D528)),TRIM('R.M Billets Reports'!F528),IF(ISNUMBER(SEARCH("Party Name-",'R.M Billets Reports'!D528)),TRIM(MID('R.M Billets Reports'!D528,SEARCH("-",'R.M Billets Reports'!D528)+1,200)),"")))="VRKP ISPAT PVT LTD","VRKP",IF(IF(IF(ISNUMBER(SEARCH("Party Name:-",'R.M Billets Reports'!D527)),TRIM('R.M Billets Reports'!F527),IF(ISNUMBER(SEARCH("Party Name-",'R.M Billets Reports'!D527)),TRIM(MID('R.M Billets Reports'!D527,SEARCH("-",'R.M Billets Reports'!D527)+1,200)),""))&lt;&gt;"",IF(ISNUMBER(SEARCH("Party Name:-",'R.M Billets Reports'!D527)),TRIM('R.M Billets Reports'!F527),IF(ISNUMBER(SEARCH("Party Name-",'R.M Billets Reports'!D527)),TRIM(MID('R.M Billets Reports'!D527,SEARCH("-",'R.M Billets Reports'!D527)+1,200)),"")),IF(ISNUMBER(SEARCH("Party Name:-",'R.M Billets Reports'!D528)),TRIM('R.M Billets Reports'!F528),IF(ISNUMBER(SEARCH("Party Name-",'R.M Billets Reports'!D528)),TRIM(MID('R.M Billets Reports'!D528,SEARCH("-",'R.M Billets Reports'!D528)+1,200)),"")))="SHRI RADHE","SHREE RADHE",IF(IF(IF(ISNUMBER(SEARCH("Party Name:-",'R.M Billets Reports'!D527)),TRIM('R.M Billets Reports'!F527),IF(ISNUMBER(SEARCH("Party Name-",'R.M Billets Reports'!D527)),TRIM(MID('R.M Billets Reports'!D527,SEARCH("-",'R.M Billets Reports'!D527)+1,200)),""))&lt;&gt;"",IF(ISNUMBER(SEARCH("Party Name:-",'R.M Billets Reports'!D527)),TRIM('R.M Billets Reports'!F527),IF(ISNUMBER(SEARCH("Party Name-",'R.M Billets Reports'!D527)),TRIM(MID('R.M Billets Reports'!D527,SEARCH("-",'R.M Billets Reports'!D527)+1,200)),"")),IF(ISNUMBER(SEARCH("Party Name:-",'R.M Billets Reports'!D528)),TRIM('R.M Billets Reports'!F528),IF(ISNUMBER(SEARCH("Party Name-",'R.M Billets Reports'!D528)),TRIM(MID('R.M Billets Reports'!D528,SEARCH("-",'R.M Billets Reports'!D528)+1,200)),"")))="SHREE RADHE SHAKTI SPONGE AND POWER PVT. LTD.","SHREE RADHE",IF(IF(ISNUMBER(SEARCH("Party Name:-",'R.M Billets Reports'!D527)),TRIM('R.M Billets Reports'!F527),IF(ISNUMBER(SEARCH("Party Name-",'R.M Billets Reports'!D527)),TRIM(MID('R.M Billets Reports'!D527,SEARCH("-",'R.M Billets Reports'!D527)+1,200)),""))&lt;&gt;"",IF(ISNUMBER(SEARCH("Party Name:-",'R.M Billets Reports'!D527)),TRIM('R.M Billets Reports'!F527),IF(ISNUMBER(SEARCH("Party Name-",'R.M Billets Reports'!D527)),TRIM(MID('R.M Billets Reports'!D527,SEARCH("-",'R.M Billets Reports'!D527)+1,200)),"")),IF(ISNUMBER(SEARCH("Party Name:-",'R.M Billets Reports'!D528)),TRIM('R.M Billets Reports'!F528),IF(ISNUMBER(SEARCH("Party Name-",'R.M Billets Reports'!D528)),TRIM(MID('R.M Billets Reports'!D528,SEARCH("-",'R.M Billets Reports'!D528)+1,200)),"")))))),IF(ROW()=2,"",A527))</f>
      </c>
      <c r="B528">
        <f>IF(OR('R.M Billets Reports'!A527="Date-",'R.M Billets Reports'!A527="Date:-"),'R.M Billets Reports'!B527,IF(ROW()=2,"",B527))</f>
      </c>
      <c r="C528">
        <f>IF('R.M Billets Reports'!A527="V.No.",'R.M Billets Reports'!B527,IF(ROW()=2,"",C527))</f>
      </c>
      <c r="D528">
        <f>IF('R.M Billets Reports'!A527&lt;&gt;"",'R.M Billets Reports'!A527,IF(ROW()=2,"",D527))</f>
      </c>
      <c r="E528">
        <f>IF('R.M Billets Reports'!B527="","",TRIM('R.M Billets Reports'!B527))</f>
      </c>
      <c r="F528">
        <f>'R.M Billets Reports'!C527</f>
      </c>
      <c r="G528">
        <f>'R.M Billets Reports'!D527</f>
      </c>
      <c r="H528">
        <f>'R.M Billets Reports'!E527</f>
      </c>
      <c r="I528">
        <f>'R.M Billets Reports'!F527</f>
      </c>
      <c r="J528">
        <f>'R.M Billets Reports'!G527</f>
      </c>
      <c r="K528">
        <f>'R.M Billets Reports'!H527</f>
      </c>
      <c r="L528">
        <f>IF('R.M Billets Reports'!I527="","",'R.M Billets Reports'!I527)</f>
      </c>
      <c r="M528">
        <f t="shared" si="16"/>
      </c>
      <c r="N528">
        <f>IF('R.M Billets Reports'!J527="","",'R.M Billets Reports'!J527)</f>
      </c>
      <c r="O528">
        <f t="shared" si="17"/>
      </c>
      <c r="P528">
        <f>IF('R.M Billets Reports'!A527="SIZE",'R.M Billets Reports'!B527,P527)</f>
      </c>
    </row>
    <row r="529" spans="1:16" x14ac:dyDescent="0.25">
      <c r="A529">
        <f>IF(OR('R.M Billets Reports'!A528="Date-",'R.M Billets Reports'!A528="Date:-"),IF(IF(IF(ISNUMBER(SEARCH("Party Name:-",'R.M Billets Reports'!D528)),TRIM('R.M Billets Reports'!F528),IF(ISNUMBER(SEARCH("Party Name-",'R.M Billets Reports'!D528)),TRIM(MID('R.M Billets Reports'!D528,SEARCH("-",'R.M Billets Reports'!D528)+1,200)),""))&lt;&gt;"",IF(ISNUMBER(SEARCH("Party Name:-",'R.M Billets Reports'!D528)),TRIM('R.M Billets Reports'!F528),IF(ISNUMBER(SEARCH("Party Name-",'R.M Billets Reports'!D528)),TRIM(MID('R.M Billets Reports'!D528,SEARCH("-",'R.M Billets Reports'!D528)+1,200)),"")),IF(ISNUMBER(SEARCH("Party Name:-",'R.M Billets Reports'!D529)),TRIM('R.M Billets Reports'!F529),IF(ISNUMBER(SEARCH("Party Name-",'R.M Billets Reports'!D529)),TRIM(MID('R.M Billets Reports'!D529,SEARCH("-",'R.M Billets Reports'!D529)+1,200)),"")))="VRKP ISPAT PVT LTD","VRKP",IF(IF(IF(ISNUMBER(SEARCH("Party Name:-",'R.M Billets Reports'!D528)),TRIM('R.M Billets Reports'!F528),IF(ISNUMBER(SEARCH("Party Name-",'R.M Billets Reports'!D528)),TRIM(MID('R.M Billets Reports'!D528,SEARCH("-",'R.M Billets Reports'!D528)+1,200)),""))&lt;&gt;"",IF(ISNUMBER(SEARCH("Party Name:-",'R.M Billets Reports'!D528)),TRIM('R.M Billets Reports'!F528),IF(ISNUMBER(SEARCH("Party Name-",'R.M Billets Reports'!D528)),TRIM(MID('R.M Billets Reports'!D528,SEARCH("-",'R.M Billets Reports'!D528)+1,200)),"")),IF(ISNUMBER(SEARCH("Party Name:-",'R.M Billets Reports'!D529)),TRIM('R.M Billets Reports'!F529),IF(ISNUMBER(SEARCH("Party Name-",'R.M Billets Reports'!D529)),TRIM(MID('R.M Billets Reports'!D529,SEARCH("-",'R.M Billets Reports'!D529)+1,200)),"")))="SHRI RADHE","SHREE RADHE",IF(IF(IF(ISNUMBER(SEARCH("Party Name:-",'R.M Billets Reports'!D528)),TRIM('R.M Billets Reports'!F528),IF(ISNUMBER(SEARCH("Party Name-",'R.M Billets Reports'!D528)),TRIM(MID('R.M Billets Reports'!D528,SEARCH("-",'R.M Billets Reports'!D528)+1,200)),""))&lt;&gt;"",IF(ISNUMBER(SEARCH("Party Name:-",'R.M Billets Reports'!D528)),TRIM('R.M Billets Reports'!F528),IF(ISNUMBER(SEARCH("Party Name-",'R.M Billets Reports'!D528)),TRIM(MID('R.M Billets Reports'!D528,SEARCH("-",'R.M Billets Reports'!D528)+1,200)),"")),IF(ISNUMBER(SEARCH("Party Name:-",'R.M Billets Reports'!D529)),TRIM('R.M Billets Reports'!F529),IF(ISNUMBER(SEARCH("Party Name-",'R.M Billets Reports'!D529)),TRIM(MID('R.M Billets Reports'!D529,SEARCH("-",'R.M Billets Reports'!D529)+1,200)),"")))="SHREE RADHE SHAKTI SPONGE AND POWER PVT. LTD.","SHREE RADHE",IF(IF(ISNUMBER(SEARCH("Party Name:-",'R.M Billets Reports'!D528)),TRIM('R.M Billets Reports'!F528),IF(ISNUMBER(SEARCH("Party Name-",'R.M Billets Reports'!D528)),TRIM(MID('R.M Billets Reports'!D528,SEARCH("-",'R.M Billets Reports'!D528)+1,200)),""))&lt;&gt;"",IF(ISNUMBER(SEARCH("Party Name:-",'R.M Billets Reports'!D528)),TRIM('R.M Billets Reports'!F528),IF(ISNUMBER(SEARCH("Party Name-",'R.M Billets Reports'!D528)),TRIM(MID('R.M Billets Reports'!D528,SEARCH("-",'R.M Billets Reports'!D528)+1,200)),"")),IF(ISNUMBER(SEARCH("Party Name:-",'R.M Billets Reports'!D529)),TRIM('R.M Billets Reports'!F529),IF(ISNUMBER(SEARCH("Party Name-",'R.M Billets Reports'!D529)),TRIM(MID('R.M Billets Reports'!D529,SEARCH("-",'R.M Billets Reports'!D529)+1,200)),"")))))),IF(ROW()=2,"",A528))</f>
      </c>
      <c r="B529">
        <f>IF(OR('R.M Billets Reports'!A528="Date-",'R.M Billets Reports'!A528="Date:-"),'R.M Billets Reports'!B528,IF(ROW()=2,"",B528))</f>
      </c>
      <c r="C529">
        <f>IF('R.M Billets Reports'!A528="V.No.",'R.M Billets Reports'!B528,IF(ROW()=2,"",C528))</f>
      </c>
      <c r="D529">
        <f>IF('R.M Billets Reports'!A528&lt;&gt;"",'R.M Billets Reports'!A528,IF(ROW()=2,"",D528))</f>
      </c>
      <c r="E529">
        <f>IF('R.M Billets Reports'!B528="","",TRIM('R.M Billets Reports'!B528))</f>
      </c>
      <c r="F529">
        <f>'R.M Billets Reports'!C528</f>
      </c>
      <c r="G529">
        <f>'R.M Billets Reports'!D528</f>
      </c>
      <c r="H529">
        <f>'R.M Billets Reports'!E528</f>
      </c>
      <c r="I529">
        <f>'R.M Billets Reports'!F528</f>
      </c>
      <c r="J529">
        <f>'R.M Billets Reports'!G528</f>
      </c>
      <c r="K529">
        <f>'R.M Billets Reports'!H528</f>
      </c>
      <c r="L529">
        <f>IF('R.M Billets Reports'!I528="","",'R.M Billets Reports'!I528)</f>
      </c>
      <c r="M529">
        <f t="shared" si="16"/>
      </c>
      <c r="N529">
        <f>IF('R.M Billets Reports'!J528="","",'R.M Billets Reports'!J528)</f>
      </c>
      <c r="O529">
        <f t="shared" si="17"/>
      </c>
      <c r="P529">
        <f>IF('R.M Billets Reports'!A528="SIZE",'R.M Billets Reports'!B528,P528)</f>
      </c>
    </row>
    <row r="530" spans="1:16" x14ac:dyDescent="0.25">
      <c r="A530">
        <f>IF(OR('R.M Billets Reports'!A529="Date-",'R.M Billets Reports'!A529="Date:-"),IF(IF(IF(ISNUMBER(SEARCH("Party Name:-",'R.M Billets Reports'!D529)),TRIM('R.M Billets Reports'!F529),IF(ISNUMBER(SEARCH("Party Name-",'R.M Billets Reports'!D529)),TRIM(MID('R.M Billets Reports'!D529,SEARCH("-",'R.M Billets Reports'!D529)+1,200)),""))&lt;&gt;"",IF(ISNUMBER(SEARCH("Party Name:-",'R.M Billets Reports'!D529)),TRIM('R.M Billets Reports'!F529),IF(ISNUMBER(SEARCH("Party Name-",'R.M Billets Reports'!D529)),TRIM(MID('R.M Billets Reports'!D529,SEARCH("-",'R.M Billets Reports'!D529)+1,200)),"")),IF(ISNUMBER(SEARCH("Party Name:-",'R.M Billets Reports'!D530)),TRIM('R.M Billets Reports'!F530),IF(ISNUMBER(SEARCH("Party Name-",'R.M Billets Reports'!D530)),TRIM(MID('R.M Billets Reports'!D530,SEARCH("-",'R.M Billets Reports'!D530)+1,200)),"")))="VRKP ISPAT PVT LTD","VRKP",IF(IF(IF(ISNUMBER(SEARCH("Party Name:-",'R.M Billets Reports'!D529)),TRIM('R.M Billets Reports'!F529),IF(ISNUMBER(SEARCH("Party Name-",'R.M Billets Reports'!D529)),TRIM(MID('R.M Billets Reports'!D529,SEARCH("-",'R.M Billets Reports'!D529)+1,200)),""))&lt;&gt;"",IF(ISNUMBER(SEARCH("Party Name:-",'R.M Billets Reports'!D529)),TRIM('R.M Billets Reports'!F529),IF(ISNUMBER(SEARCH("Party Name-",'R.M Billets Reports'!D529)),TRIM(MID('R.M Billets Reports'!D529,SEARCH("-",'R.M Billets Reports'!D529)+1,200)),"")),IF(ISNUMBER(SEARCH("Party Name:-",'R.M Billets Reports'!D530)),TRIM('R.M Billets Reports'!F530),IF(ISNUMBER(SEARCH("Party Name-",'R.M Billets Reports'!D530)),TRIM(MID('R.M Billets Reports'!D530,SEARCH("-",'R.M Billets Reports'!D530)+1,200)),"")))="SHRI RADHE","SHREE RADHE",IF(IF(IF(ISNUMBER(SEARCH("Party Name:-",'R.M Billets Reports'!D529)),TRIM('R.M Billets Reports'!F529),IF(ISNUMBER(SEARCH("Party Name-",'R.M Billets Reports'!D529)),TRIM(MID('R.M Billets Reports'!D529,SEARCH("-",'R.M Billets Reports'!D529)+1,200)),""))&lt;&gt;"",IF(ISNUMBER(SEARCH("Party Name:-",'R.M Billets Reports'!D529)),TRIM('R.M Billets Reports'!F529),IF(ISNUMBER(SEARCH("Party Name-",'R.M Billets Reports'!D529)),TRIM(MID('R.M Billets Reports'!D529,SEARCH("-",'R.M Billets Reports'!D529)+1,200)),"")),IF(ISNUMBER(SEARCH("Party Name:-",'R.M Billets Reports'!D530)),TRIM('R.M Billets Reports'!F530),IF(ISNUMBER(SEARCH("Party Name-",'R.M Billets Reports'!D530)),TRIM(MID('R.M Billets Reports'!D530,SEARCH("-",'R.M Billets Reports'!D530)+1,200)),"")))="SHREE RADHE SHAKTI SPONGE AND POWER PVT. LTD.","SHREE RADHE",IF(IF(ISNUMBER(SEARCH("Party Name:-",'R.M Billets Reports'!D529)),TRIM('R.M Billets Reports'!F529),IF(ISNUMBER(SEARCH("Party Name-",'R.M Billets Reports'!D529)),TRIM(MID('R.M Billets Reports'!D529,SEARCH("-",'R.M Billets Reports'!D529)+1,200)),""))&lt;&gt;"",IF(ISNUMBER(SEARCH("Party Name:-",'R.M Billets Reports'!D529)),TRIM('R.M Billets Reports'!F529),IF(ISNUMBER(SEARCH("Party Name-",'R.M Billets Reports'!D529)),TRIM(MID('R.M Billets Reports'!D529,SEARCH("-",'R.M Billets Reports'!D529)+1,200)),"")),IF(ISNUMBER(SEARCH("Party Name:-",'R.M Billets Reports'!D530)),TRIM('R.M Billets Reports'!F530),IF(ISNUMBER(SEARCH("Party Name-",'R.M Billets Reports'!D530)),TRIM(MID('R.M Billets Reports'!D530,SEARCH("-",'R.M Billets Reports'!D530)+1,200)),"")))))),IF(ROW()=2,"",A529))</f>
      </c>
      <c r="B530">
        <f>IF(OR('R.M Billets Reports'!A529="Date-",'R.M Billets Reports'!A529="Date:-"),'R.M Billets Reports'!B529,IF(ROW()=2,"",B529))</f>
      </c>
      <c r="C530">
        <f>IF('R.M Billets Reports'!A529="V.No.",'R.M Billets Reports'!B529,IF(ROW()=2,"",C529))</f>
      </c>
      <c r="D530">
        <f>IF('R.M Billets Reports'!A529&lt;&gt;"",'R.M Billets Reports'!A529,IF(ROW()=2,"",D529))</f>
      </c>
      <c r="E530">
        <f>IF('R.M Billets Reports'!B529="","",TRIM('R.M Billets Reports'!B529))</f>
      </c>
      <c r="F530">
        <f>'R.M Billets Reports'!C529</f>
      </c>
      <c r="G530">
        <f>'R.M Billets Reports'!D529</f>
      </c>
      <c r="H530">
        <f>'R.M Billets Reports'!E529</f>
      </c>
      <c r="I530">
        <f>'R.M Billets Reports'!F529</f>
      </c>
      <c r="J530">
        <f>'R.M Billets Reports'!G529</f>
      </c>
      <c r="K530">
        <f>'R.M Billets Reports'!H529</f>
      </c>
      <c r="L530">
        <f>IF('R.M Billets Reports'!I529="","",'R.M Billets Reports'!I529)</f>
      </c>
      <c r="M530">
        <f t="shared" si="16"/>
      </c>
      <c r="N530">
        <f>IF('R.M Billets Reports'!J529="","",'R.M Billets Reports'!J529)</f>
      </c>
      <c r="O530">
        <f t="shared" si="17"/>
      </c>
      <c r="P530">
        <f>IF('R.M Billets Reports'!A529="SIZE",'R.M Billets Reports'!B529,P529)</f>
      </c>
    </row>
    <row r="531" spans="1:16" x14ac:dyDescent="0.25">
      <c r="A531">
        <f>IF(OR('R.M Billets Reports'!A530="Date-",'R.M Billets Reports'!A530="Date:-"),IF(IF(IF(ISNUMBER(SEARCH("Party Name:-",'R.M Billets Reports'!D530)),TRIM('R.M Billets Reports'!F530),IF(ISNUMBER(SEARCH("Party Name-",'R.M Billets Reports'!D530)),TRIM(MID('R.M Billets Reports'!D530,SEARCH("-",'R.M Billets Reports'!D530)+1,200)),""))&lt;&gt;"",IF(ISNUMBER(SEARCH("Party Name:-",'R.M Billets Reports'!D530)),TRIM('R.M Billets Reports'!F530),IF(ISNUMBER(SEARCH("Party Name-",'R.M Billets Reports'!D530)),TRIM(MID('R.M Billets Reports'!D530,SEARCH("-",'R.M Billets Reports'!D530)+1,200)),"")),IF(ISNUMBER(SEARCH("Party Name:-",'R.M Billets Reports'!D531)),TRIM('R.M Billets Reports'!F531),IF(ISNUMBER(SEARCH("Party Name-",'R.M Billets Reports'!D531)),TRIM(MID('R.M Billets Reports'!D531,SEARCH("-",'R.M Billets Reports'!D531)+1,200)),"")))="VRKP ISPAT PVT LTD","VRKP",IF(IF(IF(ISNUMBER(SEARCH("Party Name:-",'R.M Billets Reports'!D530)),TRIM('R.M Billets Reports'!F530),IF(ISNUMBER(SEARCH("Party Name-",'R.M Billets Reports'!D530)),TRIM(MID('R.M Billets Reports'!D530,SEARCH("-",'R.M Billets Reports'!D530)+1,200)),""))&lt;&gt;"",IF(ISNUMBER(SEARCH("Party Name:-",'R.M Billets Reports'!D530)),TRIM('R.M Billets Reports'!F530),IF(ISNUMBER(SEARCH("Party Name-",'R.M Billets Reports'!D530)),TRIM(MID('R.M Billets Reports'!D530,SEARCH("-",'R.M Billets Reports'!D530)+1,200)),"")),IF(ISNUMBER(SEARCH("Party Name:-",'R.M Billets Reports'!D531)),TRIM('R.M Billets Reports'!F531),IF(ISNUMBER(SEARCH("Party Name-",'R.M Billets Reports'!D531)),TRIM(MID('R.M Billets Reports'!D531,SEARCH("-",'R.M Billets Reports'!D531)+1,200)),"")))="SHRI RADHE","SHREE RADHE",IF(IF(IF(ISNUMBER(SEARCH("Party Name:-",'R.M Billets Reports'!D530)),TRIM('R.M Billets Reports'!F530),IF(ISNUMBER(SEARCH("Party Name-",'R.M Billets Reports'!D530)),TRIM(MID('R.M Billets Reports'!D530,SEARCH("-",'R.M Billets Reports'!D530)+1,200)),""))&lt;&gt;"",IF(ISNUMBER(SEARCH("Party Name:-",'R.M Billets Reports'!D530)),TRIM('R.M Billets Reports'!F530),IF(ISNUMBER(SEARCH("Party Name-",'R.M Billets Reports'!D530)),TRIM(MID('R.M Billets Reports'!D530,SEARCH("-",'R.M Billets Reports'!D530)+1,200)),"")),IF(ISNUMBER(SEARCH("Party Name:-",'R.M Billets Reports'!D531)),TRIM('R.M Billets Reports'!F531),IF(ISNUMBER(SEARCH("Party Name-",'R.M Billets Reports'!D531)),TRIM(MID('R.M Billets Reports'!D531,SEARCH("-",'R.M Billets Reports'!D531)+1,200)),"")))="SHREE RADHE SHAKTI SPONGE AND POWER PVT. LTD.","SHREE RADHE",IF(IF(ISNUMBER(SEARCH("Party Name:-",'R.M Billets Reports'!D530)),TRIM('R.M Billets Reports'!F530),IF(ISNUMBER(SEARCH("Party Name-",'R.M Billets Reports'!D530)),TRIM(MID('R.M Billets Reports'!D530,SEARCH("-",'R.M Billets Reports'!D530)+1,200)),""))&lt;&gt;"",IF(ISNUMBER(SEARCH("Party Name:-",'R.M Billets Reports'!D530)),TRIM('R.M Billets Reports'!F530),IF(ISNUMBER(SEARCH("Party Name-",'R.M Billets Reports'!D530)),TRIM(MID('R.M Billets Reports'!D530,SEARCH("-",'R.M Billets Reports'!D530)+1,200)),"")),IF(ISNUMBER(SEARCH("Party Name:-",'R.M Billets Reports'!D531)),TRIM('R.M Billets Reports'!F531),IF(ISNUMBER(SEARCH("Party Name-",'R.M Billets Reports'!D531)),TRIM(MID('R.M Billets Reports'!D531,SEARCH("-",'R.M Billets Reports'!D531)+1,200)),"")))))),IF(ROW()=2,"",A530))</f>
      </c>
      <c r="B531">
        <f>IF(OR('R.M Billets Reports'!A530="Date-",'R.M Billets Reports'!A530="Date:-"),'R.M Billets Reports'!B530,IF(ROW()=2,"",B530))</f>
      </c>
      <c r="C531">
        <f>IF('R.M Billets Reports'!A530="V.No.",'R.M Billets Reports'!B530,IF(ROW()=2,"",C530))</f>
      </c>
      <c r="D531">
        <f>IF('R.M Billets Reports'!A530&lt;&gt;"",'R.M Billets Reports'!A530,IF(ROW()=2,"",D530))</f>
      </c>
      <c r="E531">
        <f>IF('R.M Billets Reports'!B530="","",TRIM('R.M Billets Reports'!B530))</f>
      </c>
      <c r="F531">
        <f>'R.M Billets Reports'!C530</f>
      </c>
      <c r="G531">
        <f>'R.M Billets Reports'!D530</f>
      </c>
      <c r="H531">
        <f>'R.M Billets Reports'!E530</f>
      </c>
      <c r="I531">
        <f>'R.M Billets Reports'!F530</f>
      </c>
      <c r="J531">
        <f>'R.M Billets Reports'!G530</f>
      </c>
      <c r="K531">
        <f>'R.M Billets Reports'!H530</f>
      </c>
      <c r="L531">
        <f>IF('R.M Billets Reports'!I530="","",'R.M Billets Reports'!I530)</f>
      </c>
      <c r="M531">
        <f t="shared" si="16"/>
      </c>
      <c r="N531">
        <f>IF('R.M Billets Reports'!J530="","",'R.M Billets Reports'!J530)</f>
      </c>
      <c r="O531">
        <f t="shared" si="17"/>
      </c>
      <c r="P531">
        <f>IF('R.M Billets Reports'!A530="SIZE",'R.M Billets Reports'!B530,P530)</f>
      </c>
    </row>
    <row r="532" spans="1:16" x14ac:dyDescent="0.25">
      <c r="A532">
        <f>IF(OR('R.M Billets Reports'!A531="Date-",'R.M Billets Reports'!A531="Date:-"),IF(IF(IF(ISNUMBER(SEARCH("Party Name:-",'R.M Billets Reports'!D531)),TRIM('R.M Billets Reports'!F531),IF(ISNUMBER(SEARCH("Party Name-",'R.M Billets Reports'!D531)),TRIM(MID('R.M Billets Reports'!D531,SEARCH("-",'R.M Billets Reports'!D531)+1,200)),""))&lt;&gt;"",IF(ISNUMBER(SEARCH("Party Name:-",'R.M Billets Reports'!D531)),TRIM('R.M Billets Reports'!F531),IF(ISNUMBER(SEARCH("Party Name-",'R.M Billets Reports'!D531)),TRIM(MID('R.M Billets Reports'!D531,SEARCH("-",'R.M Billets Reports'!D531)+1,200)),"")),IF(ISNUMBER(SEARCH("Party Name:-",'R.M Billets Reports'!D532)),TRIM('R.M Billets Reports'!F532),IF(ISNUMBER(SEARCH("Party Name-",'R.M Billets Reports'!D532)),TRIM(MID('R.M Billets Reports'!D532,SEARCH("-",'R.M Billets Reports'!D532)+1,200)),"")))="VRKP ISPAT PVT LTD","VRKP",IF(IF(IF(ISNUMBER(SEARCH("Party Name:-",'R.M Billets Reports'!D531)),TRIM('R.M Billets Reports'!F531),IF(ISNUMBER(SEARCH("Party Name-",'R.M Billets Reports'!D531)),TRIM(MID('R.M Billets Reports'!D531,SEARCH("-",'R.M Billets Reports'!D531)+1,200)),""))&lt;&gt;"",IF(ISNUMBER(SEARCH("Party Name:-",'R.M Billets Reports'!D531)),TRIM('R.M Billets Reports'!F531),IF(ISNUMBER(SEARCH("Party Name-",'R.M Billets Reports'!D531)),TRIM(MID('R.M Billets Reports'!D531,SEARCH("-",'R.M Billets Reports'!D531)+1,200)),"")),IF(ISNUMBER(SEARCH("Party Name:-",'R.M Billets Reports'!D532)),TRIM('R.M Billets Reports'!F532),IF(ISNUMBER(SEARCH("Party Name-",'R.M Billets Reports'!D532)),TRIM(MID('R.M Billets Reports'!D532,SEARCH("-",'R.M Billets Reports'!D532)+1,200)),"")))="SHRI RADHE","SHREE RADHE",IF(IF(IF(ISNUMBER(SEARCH("Party Name:-",'R.M Billets Reports'!D531)),TRIM('R.M Billets Reports'!F531),IF(ISNUMBER(SEARCH("Party Name-",'R.M Billets Reports'!D531)),TRIM(MID('R.M Billets Reports'!D531,SEARCH("-",'R.M Billets Reports'!D531)+1,200)),""))&lt;&gt;"",IF(ISNUMBER(SEARCH("Party Name:-",'R.M Billets Reports'!D531)),TRIM('R.M Billets Reports'!F531),IF(ISNUMBER(SEARCH("Party Name-",'R.M Billets Reports'!D531)),TRIM(MID('R.M Billets Reports'!D531,SEARCH("-",'R.M Billets Reports'!D531)+1,200)),"")),IF(ISNUMBER(SEARCH("Party Name:-",'R.M Billets Reports'!D532)),TRIM('R.M Billets Reports'!F532),IF(ISNUMBER(SEARCH("Party Name-",'R.M Billets Reports'!D532)),TRIM(MID('R.M Billets Reports'!D532,SEARCH("-",'R.M Billets Reports'!D532)+1,200)),"")))="SHREE RADHE SHAKTI SPONGE AND POWER PVT. LTD.","SHREE RADHE",IF(IF(ISNUMBER(SEARCH("Party Name:-",'R.M Billets Reports'!D531)),TRIM('R.M Billets Reports'!F531),IF(ISNUMBER(SEARCH("Party Name-",'R.M Billets Reports'!D531)),TRIM(MID('R.M Billets Reports'!D531,SEARCH("-",'R.M Billets Reports'!D531)+1,200)),""))&lt;&gt;"",IF(ISNUMBER(SEARCH("Party Name:-",'R.M Billets Reports'!D531)),TRIM('R.M Billets Reports'!F531),IF(ISNUMBER(SEARCH("Party Name-",'R.M Billets Reports'!D531)),TRIM(MID('R.M Billets Reports'!D531,SEARCH("-",'R.M Billets Reports'!D531)+1,200)),"")),IF(ISNUMBER(SEARCH("Party Name:-",'R.M Billets Reports'!D532)),TRIM('R.M Billets Reports'!F532),IF(ISNUMBER(SEARCH("Party Name-",'R.M Billets Reports'!D532)),TRIM(MID('R.M Billets Reports'!D532,SEARCH("-",'R.M Billets Reports'!D532)+1,200)),"")))))),IF(ROW()=2,"",A531))</f>
      </c>
      <c r="B532">
        <f>IF(OR('R.M Billets Reports'!A531="Date-",'R.M Billets Reports'!A531="Date:-"),'R.M Billets Reports'!B531,IF(ROW()=2,"",B531))</f>
      </c>
      <c r="C532">
        <f>IF('R.M Billets Reports'!A531="V.No.",'R.M Billets Reports'!B531,IF(ROW()=2,"",C531))</f>
      </c>
      <c r="D532">
        <f>IF('R.M Billets Reports'!A531&lt;&gt;"",'R.M Billets Reports'!A531,IF(ROW()=2,"",D531))</f>
      </c>
      <c r="E532">
        <f>IF('R.M Billets Reports'!B531="","",TRIM('R.M Billets Reports'!B531))</f>
      </c>
      <c r="F532">
        <f>'R.M Billets Reports'!C531</f>
      </c>
      <c r="G532">
        <f>'R.M Billets Reports'!D531</f>
      </c>
      <c r="H532">
        <f>'R.M Billets Reports'!E531</f>
      </c>
      <c r="I532">
        <f>'R.M Billets Reports'!F531</f>
      </c>
      <c r="J532">
        <f>'R.M Billets Reports'!G531</f>
      </c>
      <c r="K532">
        <f>'R.M Billets Reports'!H531</f>
      </c>
      <c r="L532">
        <f>IF('R.M Billets Reports'!I531="","",'R.M Billets Reports'!I531)</f>
      </c>
      <c r="M532">
        <f t="shared" si="16"/>
      </c>
      <c r="N532">
        <f>IF('R.M Billets Reports'!J531="","",'R.M Billets Reports'!J531)</f>
      </c>
      <c r="O532">
        <f t="shared" si="17"/>
      </c>
      <c r="P532">
        <f>IF('R.M Billets Reports'!A531="SIZE",'R.M Billets Reports'!B531,P531)</f>
      </c>
    </row>
    <row r="533" spans="1:16" x14ac:dyDescent="0.25">
      <c r="A533">
        <f>IF(OR('R.M Billets Reports'!A532="Date-",'R.M Billets Reports'!A532="Date:-"),IF(IF(IF(ISNUMBER(SEARCH("Party Name:-",'R.M Billets Reports'!D532)),TRIM('R.M Billets Reports'!F532),IF(ISNUMBER(SEARCH("Party Name-",'R.M Billets Reports'!D532)),TRIM(MID('R.M Billets Reports'!D532,SEARCH("-",'R.M Billets Reports'!D532)+1,200)),""))&lt;&gt;"",IF(ISNUMBER(SEARCH("Party Name:-",'R.M Billets Reports'!D532)),TRIM('R.M Billets Reports'!F532),IF(ISNUMBER(SEARCH("Party Name-",'R.M Billets Reports'!D532)),TRIM(MID('R.M Billets Reports'!D532,SEARCH("-",'R.M Billets Reports'!D532)+1,200)),"")),IF(ISNUMBER(SEARCH("Party Name:-",'R.M Billets Reports'!D533)),TRIM('R.M Billets Reports'!F533),IF(ISNUMBER(SEARCH("Party Name-",'R.M Billets Reports'!D533)),TRIM(MID('R.M Billets Reports'!D533,SEARCH("-",'R.M Billets Reports'!D533)+1,200)),"")))="VRKP ISPAT PVT LTD","VRKP",IF(IF(IF(ISNUMBER(SEARCH("Party Name:-",'R.M Billets Reports'!D532)),TRIM('R.M Billets Reports'!F532),IF(ISNUMBER(SEARCH("Party Name-",'R.M Billets Reports'!D532)),TRIM(MID('R.M Billets Reports'!D532,SEARCH("-",'R.M Billets Reports'!D532)+1,200)),""))&lt;&gt;"",IF(ISNUMBER(SEARCH("Party Name:-",'R.M Billets Reports'!D532)),TRIM('R.M Billets Reports'!F532),IF(ISNUMBER(SEARCH("Party Name-",'R.M Billets Reports'!D532)),TRIM(MID('R.M Billets Reports'!D532,SEARCH("-",'R.M Billets Reports'!D532)+1,200)),"")),IF(ISNUMBER(SEARCH("Party Name:-",'R.M Billets Reports'!D533)),TRIM('R.M Billets Reports'!F533),IF(ISNUMBER(SEARCH("Party Name-",'R.M Billets Reports'!D533)),TRIM(MID('R.M Billets Reports'!D533,SEARCH("-",'R.M Billets Reports'!D533)+1,200)),"")))="SHRI RADHE","SHREE RADHE",IF(IF(IF(ISNUMBER(SEARCH("Party Name:-",'R.M Billets Reports'!D532)),TRIM('R.M Billets Reports'!F532),IF(ISNUMBER(SEARCH("Party Name-",'R.M Billets Reports'!D532)),TRIM(MID('R.M Billets Reports'!D532,SEARCH("-",'R.M Billets Reports'!D532)+1,200)),""))&lt;&gt;"",IF(ISNUMBER(SEARCH("Party Name:-",'R.M Billets Reports'!D532)),TRIM('R.M Billets Reports'!F532),IF(ISNUMBER(SEARCH("Party Name-",'R.M Billets Reports'!D532)),TRIM(MID('R.M Billets Reports'!D532,SEARCH("-",'R.M Billets Reports'!D532)+1,200)),"")),IF(ISNUMBER(SEARCH("Party Name:-",'R.M Billets Reports'!D533)),TRIM('R.M Billets Reports'!F533),IF(ISNUMBER(SEARCH("Party Name-",'R.M Billets Reports'!D533)),TRIM(MID('R.M Billets Reports'!D533,SEARCH("-",'R.M Billets Reports'!D533)+1,200)),"")))="SHREE RADHE SHAKTI SPONGE AND POWER PVT. LTD.","SHREE RADHE",IF(IF(ISNUMBER(SEARCH("Party Name:-",'R.M Billets Reports'!D532)),TRIM('R.M Billets Reports'!F532),IF(ISNUMBER(SEARCH("Party Name-",'R.M Billets Reports'!D532)),TRIM(MID('R.M Billets Reports'!D532,SEARCH("-",'R.M Billets Reports'!D532)+1,200)),""))&lt;&gt;"",IF(ISNUMBER(SEARCH("Party Name:-",'R.M Billets Reports'!D532)),TRIM('R.M Billets Reports'!F532),IF(ISNUMBER(SEARCH("Party Name-",'R.M Billets Reports'!D532)),TRIM(MID('R.M Billets Reports'!D532,SEARCH("-",'R.M Billets Reports'!D532)+1,200)),"")),IF(ISNUMBER(SEARCH("Party Name:-",'R.M Billets Reports'!D533)),TRIM('R.M Billets Reports'!F533),IF(ISNUMBER(SEARCH("Party Name-",'R.M Billets Reports'!D533)),TRIM(MID('R.M Billets Reports'!D533,SEARCH("-",'R.M Billets Reports'!D533)+1,200)),"")))))),IF(ROW()=2,"",A532))</f>
      </c>
      <c r="B533">
        <f>IF(OR('R.M Billets Reports'!A532="Date-",'R.M Billets Reports'!A532="Date:-"),'R.M Billets Reports'!B532,IF(ROW()=2,"",B532))</f>
      </c>
      <c r="C533">
        <f>IF('R.M Billets Reports'!A532="V.No.",'R.M Billets Reports'!B532,IF(ROW()=2,"",C532))</f>
      </c>
      <c r="D533">
        <f>IF('R.M Billets Reports'!A532&lt;&gt;"",'R.M Billets Reports'!A532,IF(ROW()=2,"",D532))</f>
      </c>
      <c r="E533">
        <f>IF('R.M Billets Reports'!B532="","",TRIM('R.M Billets Reports'!B532))</f>
      </c>
      <c r="F533">
        <f>'R.M Billets Reports'!C532</f>
      </c>
      <c r="G533">
        <f>'R.M Billets Reports'!D532</f>
      </c>
      <c r="H533">
        <f>'R.M Billets Reports'!E532</f>
      </c>
      <c r="I533">
        <f>'R.M Billets Reports'!F532</f>
      </c>
      <c r="J533">
        <f>'R.M Billets Reports'!G532</f>
      </c>
      <c r="K533">
        <f>'R.M Billets Reports'!H532</f>
      </c>
      <c r="L533">
        <f>IF('R.M Billets Reports'!I532="","",'R.M Billets Reports'!I532)</f>
      </c>
      <c r="M533">
        <f t="shared" si="16"/>
      </c>
      <c r="N533">
        <f>IF('R.M Billets Reports'!J532="","",'R.M Billets Reports'!J532)</f>
      </c>
      <c r="O533">
        <f t="shared" si="17"/>
      </c>
      <c r="P533">
        <f>IF('R.M Billets Reports'!A532="SIZE",'R.M Billets Reports'!B532,P532)</f>
      </c>
    </row>
    <row r="534" spans="1:16" x14ac:dyDescent="0.25">
      <c r="A534">
        <f>IF(OR('R.M Billets Reports'!A533="Date-",'R.M Billets Reports'!A533="Date:-"),IF(IF(IF(ISNUMBER(SEARCH("Party Name:-",'R.M Billets Reports'!D533)),TRIM('R.M Billets Reports'!F533),IF(ISNUMBER(SEARCH("Party Name-",'R.M Billets Reports'!D533)),TRIM(MID('R.M Billets Reports'!D533,SEARCH("-",'R.M Billets Reports'!D533)+1,200)),""))&lt;&gt;"",IF(ISNUMBER(SEARCH("Party Name:-",'R.M Billets Reports'!D533)),TRIM('R.M Billets Reports'!F533),IF(ISNUMBER(SEARCH("Party Name-",'R.M Billets Reports'!D533)),TRIM(MID('R.M Billets Reports'!D533,SEARCH("-",'R.M Billets Reports'!D533)+1,200)),"")),IF(ISNUMBER(SEARCH("Party Name:-",'R.M Billets Reports'!D534)),TRIM('R.M Billets Reports'!F534),IF(ISNUMBER(SEARCH("Party Name-",'R.M Billets Reports'!D534)),TRIM(MID('R.M Billets Reports'!D534,SEARCH("-",'R.M Billets Reports'!D534)+1,200)),"")))="VRKP ISPAT PVT LTD","VRKP",IF(IF(IF(ISNUMBER(SEARCH("Party Name:-",'R.M Billets Reports'!D533)),TRIM('R.M Billets Reports'!F533),IF(ISNUMBER(SEARCH("Party Name-",'R.M Billets Reports'!D533)),TRIM(MID('R.M Billets Reports'!D533,SEARCH("-",'R.M Billets Reports'!D533)+1,200)),""))&lt;&gt;"",IF(ISNUMBER(SEARCH("Party Name:-",'R.M Billets Reports'!D533)),TRIM('R.M Billets Reports'!F533),IF(ISNUMBER(SEARCH("Party Name-",'R.M Billets Reports'!D533)),TRIM(MID('R.M Billets Reports'!D533,SEARCH("-",'R.M Billets Reports'!D533)+1,200)),"")),IF(ISNUMBER(SEARCH("Party Name:-",'R.M Billets Reports'!D534)),TRIM('R.M Billets Reports'!F534),IF(ISNUMBER(SEARCH("Party Name-",'R.M Billets Reports'!D534)),TRIM(MID('R.M Billets Reports'!D534,SEARCH("-",'R.M Billets Reports'!D534)+1,200)),"")))="SHRI RADHE","SHREE RADHE",IF(IF(IF(ISNUMBER(SEARCH("Party Name:-",'R.M Billets Reports'!D533)),TRIM('R.M Billets Reports'!F533),IF(ISNUMBER(SEARCH("Party Name-",'R.M Billets Reports'!D533)),TRIM(MID('R.M Billets Reports'!D533,SEARCH("-",'R.M Billets Reports'!D533)+1,200)),""))&lt;&gt;"",IF(ISNUMBER(SEARCH("Party Name:-",'R.M Billets Reports'!D533)),TRIM('R.M Billets Reports'!F533),IF(ISNUMBER(SEARCH("Party Name-",'R.M Billets Reports'!D533)),TRIM(MID('R.M Billets Reports'!D533,SEARCH("-",'R.M Billets Reports'!D533)+1,200)),"")),IF(ISNUMBER(SEARCH("Party Name:-",'R.M Billets Reports'!D534)),TRIM('R.M Billets Reports'!F534),IF(ISNUMBER(SEARCH("Party Name-",'R.M Billets Reports'!D534)),TRIM(MID('R.M Billets Reports'!D534,SEARCH("-",'R.M Billets Reports'!D534)+1,200)),"")))="SHREE RADHE SHAKTI SPONGE AND POWER PVT. LTD.","SHREE RADHE",IF(IF(ISNUMBER(SEARCH("Party Name:-",'R.M Billets Reports'!D533)),TRIM('R.M Billets Reports'!F533),IF(ISNUMBER(SEARCH("Party Name-",'R.M Billets Reports'!D533)),TRIM(MID('R.M Billets Reports'!D533,SEARCH("-",'R.M Billets Reports'!D533)+1,200)),""))&lt;&gt;"",IF(ISNUMBER(SEARCH("Party Name:-",'R.M Billets Reports'!D533)),TRIM('R.M Billets Reports'!F533),IF(ISNUMBER(SEARCH("Party Name-",'R.M Billets Reports'!D533)),TRIM(MID('R.M Billets Reports'!D533,SEARCH("-",'R.M Billets Reports'!D533)+1,200)),"")),IF(ISNUMBER(SEARCH("Party Name:-",'R.M Billets Reports'!D534)),TRIM('R.M Billets Reports'!F534),IF(ISNUMBER(SEARCH("Party Name-",'R.M Billets Reports'!D534)),TRIM(MID('R.M Billets Reports'!D534,SEARCH("-",'R.M Billets Reports'!D534)+1,200)),"")))))),IF(ROW()=2,"",A533))</f>
      </c>
      <c r="B534">
        <f>IF(OR('R.M Billets Reports'!A533="Date-",'R.M Billets Reports'!A533="Date:-"),'R.M Billets Reports'!B533,IF(ROW()=2,"",B533))</f>
      </c>
      <c r="C534">
        <f>IF('R.M Billets Reports'!A533="V.No.",'R.M Billets Reports'!B533,IF(ROW()=2,"",C533))</f>
      </c>
      <c r="D534">
        <f>IF('R.M Billets Reports'!A533&lt;&gt;"",'R.M Billets Reports'!A533,IF(ROW()=2,"",D533))</f>
      </c>
      <c r="E534">
        <f>IF('R.M Billets Reports'!B533="","",TRIM('R.M Billets Reports'!B533))</f>
      </c>
      <c r="F534">
        <f>'R.M Billets Reports'!C533</f>
      </c>
      <c r="G534">
        <f>'R.M Billets Reports'!D533</f>
      </c>
      <c r="H534">
        <f>'R.M Billets Reports'!E533</f>
      </c>
      <c r="I534">
        <f>'R.M Billets Reports'!F533</f>
      </c>
      <c r="J534">
        <f>'R.M Billets Reports'!G533</f>
      </c>
      <c r="K534">
        <f>'R.M Billets Reports'!H533</f>
      </c>
      <c r="L534">
        <f>IF('R.M Billets Reports'!I533="","",'R.M Billets Reports'!I533)</f>
      </c>
      <c r="M534">
        <f t="shared" si="16"/>
      </c>
      <c r="N534">
        <f>IF('R.M Billets Reports'!J533="","",'R.M Billets Reports'!J533)</f>
      </c>
      <c r="O534">
        <f t="shared" si="17"/>
      </c>
      <c r="P534">
        <f>IF('R.M Billets Reports'!A533="SIZE",'R.M Billets Reports'!B533,P533)</f>
      </c>
    </row>
    <row r="535" spans="1:16" x14ac:dyDescent="0.25">
      <c r="A535">
        <f>IF(OR('R.M Billets Reports'!A534="Date-",'R.M Billets Reports'!A534="Date:-"),IF(IF(IF(ISNUMBER(SEARCH("Party Name:-",'R.M Billets Reports'!D534)),TRIM('R.M Billets Reports'!F534),IF(ISNUMBER(SEARCH("Party Name-",'R.M Billets Reports'!D534)),TRIM(MID('R.M Billets Reports'!D534,SEARCH("-",'R.M Billets Reports'!D534)+1,200)),""))&lt;&gt;"",IF(ISNUMBER(SEARCH("Party Name:-",'R.M Billets Reports'!D534)),TRIM('R.M Billets Reports'!F534),IF(ISNUMBER(SEARCH("Party Name-",'R.M Billets Reports'!D534)),TRIM(MID('R.M Billets Reports'!D534,SEARCH("-",'R.M Billets Reports'!D534)+1,200)),"")),IF(ISNUMBER(SEARCH("Party Name:-",'R.M Billets Reports'!D535)),TRIM('R.M Billets Reports'!F535),IF(ISNUMBER(SEARCH("Party Name-",'R.M Billets Reports'!D535)),TRIM(MID('R.M Billets Reports'!D535,SEARCH("-",'R.M Billets Reports'!D535)+1,200)),"")))="VRKP ISPAT PVT LTD","VRKP",IF(IF(IF(ISNUMBER(SEARCH("Party Name:-",'R.M Billets Reports'!D534)),TRIM('R.M Billets Reports'!F534),IF(ISNUMBER(SEARCH("Party Name-",'R.M Billets Reports'!D534)),TRIM(MID('R.M Billets Reports'!D534,SEARCH("-",'R.M Billets Reports'!D534)+1,200)),""))&lt;&gt;"",IF(ISNUMBER(SEARCH("Party Name:-",'R.M Billets Reports'!D534)),TRIM('R.M Billets Reports'!F534),IF(ISNUMBER(SEARCH("Party Name-",'R.M Billets Reports'!D534)),TRIM(MID('R.M Billets Reports'!D534,SEARCH("-",'R.M Billets Reports'!D534)+1,200)),"")),IF(ISNUMBER(SEARCH("Party Name:-",'R.M Billets Reports'!D535)),TRIM('R.M Billets Reports'!F535),IF(ISNUMBER(SEARCH("Party Name-",'R.M Billets Reports'!D535)),TRIM(MID('R.M Billets Reports'!D535,SEARCH("-",'R.M Billets Reports'!D535)+1,200)),"")))="SHRI RADHE","SHREE RADHE",IF(IF(IF(ISNUMBER(SEARCH("Party Name:-",'R.M Billets Reports'!D534)),TRIM('R.M Billets Reports'!F534),IF(ISNUMBER(SEARCH("Party Name-",'R.M Billets Reports'!D534)),TRIM(MID('R.M Billets Reports'!D534,SEARCH("-",'R.M Billets Reports'!D534)+1,200)),""))&lt;&gt;"",IF(ISNUMBER(SEARCH("Party Name:-",'R.M Billets Reports'!D534)),TRIM('R.M Billets Reports'!F534),IF(ISNUMBER(SEARCH("Party Name-",'R.M Billets Reports'!D534)),TRIM(MID('R.M Billets Reports'!D534,SEARCH("-",'R.M Billets Reports'!D534)+1,200)),"")),IF(ISNUMBER(SEARCH("Party Name:-",'R.M Billets Reports'!D535)),TRIM('R.M Billets Reports'!F535),IF(ISNUMBER(SEARCH("Party Name-",'R.M Billets Reports'!D535)),TRIM(MID('R.M Billets Reports'!D535,SEARCH("-",'R.M Billets Reports'!D535)+1,200)),"")))="SHREE RADHE SHAKTI SPONGE AND POWER PVT. LTD.","SHREE RADHE",IF(IF(ISNUMBER(SEARCH("Party Name:-",'R.M Billets Reports'!D534)),TRIM('R.M Billets Reports'!F534),IF(ISNUMBER(SEARCH("Party Name-",'R.M Billets Reports'!D534)),TRIM(MID('R.M Billets Reports'!D534,SEARCH("-",'R.M Billets Reports'!D534)+1,200)),""))&lt;&gt;"",IF(ISNUMBER(SEARCH("Party Name:-",'R.M Billets Reports'!D534)),TRIM('R.M Billets Reports'!F534),IF(ISNUMBER(SEARCH("Party Name-",'R.M Billets Reports'!D534)),TRIM(MID('R.M Billets Reports'!D534,SEARCH("-",'R.M Billets Reports'!D534)+1,200)),"")),IF(ISNUMBER(SEARCH("Party Name:-",'R.M Billets Reports'!D535)),TRIM('R.M Billets Reports'!F535),IF(ISNUMBER(SEARCH("Party Name-",'R.M Billets Reports'!D535)),TRIM(MID('R.M Billets Reports'!D535,SEARCH("-",'R.M Billets Reports'!D535)+1,200)),"")))))),IF(ROW()=2,"",A534))</f>
      </c>
      <c r="B535">
        <f>IF(OR('R.M Billets Reports'!A534="Date-",'R.M Billets Reports'!A534="Date:-"),'R.M Billets Reports'!B534,IF(ROW()=2,"",B534))</f>
      </c>
      <c r="C535">
        <f>IF('R.M Billets Reports'!A534="V.No.",'R.M Billets Reports'!B534,IF(ROW()=2,"",C534))</f>
      </c>
      <c r="D535">
        <f>IF('R.M Billets Reports'!A534&lt;&gt;"",'R.M Billets Reports'!A534,IF(ROW()=2,"",D534))</f>
      </c>
      <c r="E535">
        <f>IF('R.M Billets Reports'!B534="","",TRIM('R.M Billets Reports'!B534))</f>
      </c>
      <c r="F535">
        <f>'R.M Billets Reports'!C534</f>
      </c>
      <c r="G535">
        <f>'R.M Billets Reports'!D534</f>
      </c>
      <c r="H535">
        <f>'R.M Billets Reports'!E534</f>
      </c>
      <c r="I535">
        <f>'R.M Billets Reports'!F534</f>
      </c>
      <c r="J535">
        <f>'R.M Billets Reports'!G534</f>
      </c>
      <c r="K535">
        <f>'R.M Billets Reports'!H534</f>
      </c>
      <c r="L535">
        <f>IF('R.M Billets Reports'!I534="","",'R.M Billets Reports'!I534)</f>
      </c>
      <c r="M535">
        <f t="shared" si="16"/>
      </c>
      <c r="N535">
        <f>IF('R.M Billets Reports'!J534="","",'R.M Billets Reports'!J534)</f>
      </c>
      <c r="O535">
        <f t="shared" si="17"/>
      </c>
      <c r="P535">
        <f>IF('R.M Billets Reports'!A534="SIZE",'R.M Billets Reports'!B534,P534)</f>
      </c>
    </row>
    <row r="536" spans="1:16" x14ac:dyDescent="0.25">
      <c r="A536">
        <f>IF(OR('R.M Billets Reports'!A535="Date-",'R.M Billets Reports'!A535="Date:-"),IF(IF(IF(ISNUMBER(SEARCH("Party Name:-",'R.M Billets Reports'!D535)),TRIM('R.M Billets Reports'!F535),IF(ISNUMBER(SEARCH("Party Name-",'R.M Billets Reports'!D535)),TRIM(MID('R.M Billets Reports'!D535,SEARCH("-",'R.M Billets Reports'!D535)+1,200)),""))&lt;&gt;"",IF(ISNUMBER(SEARCH("Party Name:-",'R.M Billets Reports'!D535)),TRIM('R.M Billets Reports'!F535),IF(ISNUMBER(SEARCH("Party Name-",'R.M Billets Reports'!D535)),TRIM(MID('R.M Billets Reports'!D535,SEARCH("-",'R.M Billets Reports'!D535)+1,200)),"")),IF(ISNUMBER(SEARCH("Party Name:-",'R.M Billets Reports'!D536)),TRIM('R.M Billets Reports'!F536),IF(ISNUMBER(SEARCH("Party Name-",'R.M Billets Reports'!D536)),TRIM(MID('R.M Billets Reports'!D536,SEARCH("-",'R.M Billets Reports'!D536)+1,200)),"")))="VRKP ISPAT PVT LTD","VRKP",IF(IF(IF(ISNUMBER(SEARCH("Party Name:-",'R.M Billets Reports'!D535)),TRIM('R.M Billets Reports'!F535),IF(ISNUMBER(SEARCH("Party Name-",'R.M Billets Reports'!D535)),TRIM(MID('R.M Billets Reports'!D535,SEARCH("-",'R.M Billets Reports'!D535)+1,200)),""))&lt;&gt;"",IF(ISNUMBER(SEARCH("Party Name:-",'R.M Billets Reports'!D535)),TRIM('R.M Billets Reports'!F535),IF(ISNUMBER(SEARCH("Party Name-",'R.M Billets Reports'!D535)),TRIM(MID('R.M Billets Reports'!D535,SEARCH("-",'R.M Billets Reports'!D535)+1,200)),"")),IF(ISNUMBER(SEARCH("Party Name:-",'R.M Billets Reports'!D536)),TRIM('R.M Billets Reports'!F536),IF(ISNUMBER(SEARCH("Party Name-",'R.M Billets Reports'!D536)),TRIM(MID('R.M Billets Reports'!D536,SEARCH("-",'R.M Billets Reports'!D536)+1,200)),"")))="SHRI RADHE","SHREE RADHE",IF(IF(IF(ISNUMBER(SEARCH("Party Name:-",'R.M Billets Reports'!D535)),TRIM('R.M Billets Reports'!F535),IF(ISNUMBER(SEARCH("Party Name-",'R.M Billets Reports'!D535)),TRIM(MID('R.M Billets Reports'!D535,SEARCH("-",'R.M Billets Reports'!D535)+1,200)),""))&lt;&gt;"",IF(ISNUMBER(SEARCH("Party Name:-",'R.M Billets Reports'!D535)),TRIM('R.M Billets Reports'!F535),IF(ISNUMBER(SEARCH("Party Name-",'R.M Billets Reports'!D535)),TRIM(MID('R.M Billets Reports'!D535,SEARCH("-",'R.M Billets Reports'!D535)+1,200)),"")),IF(ISNUMBER(SEARCH("Party Name:-",'R.M Billets Reports'!D536)),TRIM('R.M Billets Reports'!F536),IF(ISNUMBER(SEARCH("Party Name-",'R.M Billets Reports'!D536)),TRIM(MID('R.M Billets Reports'!D536,SEARCH("-",'R.M Billets Reports'!D536)+1,200)),"")))="SHREE RADHE SHAKTI SPONGE AND POWER PVT. LTD.","SHREE RADHE",IF(IF(ISNUMBER(SEARCH("Party Name:-",'R.M Billets Reports'!D535)),TRIM('R.M Billets Reports'!F535),IF(ISNUMBER(SEARCH("Party Name-",'R.M Billets Reports'!D535)),TRIM(MID('R.M Billets Reports'!D535,SEARCH("-",'R.M Billets Reports'!D535)+1,200)),""))&lt;&gt;"",IF(ISNUMBER(SEARCH("Party Name:-",'R.M Billets Reports'!D535)),TRIM('R.M Billets Reports'!F535),IF(ISNUMBER(SEARCH("Party Name-",'R.M Billets Reports'!D535)),TRIM(MID('R.M Billets Reports'!D535,SEARCH("-",'R.M Billets Reports'!D535)+1,200)),"")),IF(ISNUMBER(SEARCH("Party Name:-",'R.M Billets Reports'!D536)),TRIM('R.M Billets Reports'!F536),IF(ISNUMBER(SEARCH("Party Name-",'R.M Billets Reports'!D536)),TRIM(MID('R.M Billets Reports'!D536,SEARCH("-",'R.M Billets Reports'!D536)+1,200)),"")))))),IF(ROW()=2,"",A535))</f>
      </c>
      <c r="B536">
        <f>IF(OR('R.M Billets Reports'!A535="Date-",'R.M Billets Reports'!A535="Date:-"),'R.M Billets Reports'!B535,IF(ROW()=2,"",B535))</f>
      </c>
      <c r="C536">
        <f>IF('R.M Billets Reports'!A535="V.No.",'R.M Billets Reports'!B535,IF(ROW()=2,"",C535))</f>
      </c>
      <c r="D536">
        <f>IF('R.M Billets Reports'!A535&lt;&gt;"",'R.M Billets Reports'!A535,IF(ROW()=2,"",D535))</f>
      </c>
      <c r="E536">
        <f>IF('R.M Billets Reports'!B535="","",TRIM('R.M Billets Reports'!B535))</f>
      </c>
      <c r="F536">
        <f>'R.M Billets Reports'!C535</f>
      </c>
      <c r="G536">
        <f>'R.M Billets Reports'!D535</f>
      </c>
      <c r="H536">
        <f>'R.M Billets Reports'!E535</f>
      </c>
      <c r="I536">
        <f>'R.M Billets Reports'!F535</f>
      </c>
      <c r="J536">
        <f>'R.M Billets Reports'!G535</f>
      </c>
      <c r="K536">
        <f>'R.M Billets Reports'!H535</f>
      </c>
      <c r="L536">
        <f>IF('R.M Billets Reports'!I535="","",'R.M Billets Reports'!I535)</f>
      </c>
      <c r="M536">
        <f t="shared" si="16"/>
      </c>
      <c r="N536">
        <f>IF('R.M Billets Reports'!J535="","",'R.M Billets Reports'!J535)</f>
      </c>
      <c r="O536">
        <f t="shared" si="17"/>
      </c>
      <c r="P536">
        <f>IF('R.M Billets Reports'!A535="SIZE",'R.M Billets Reports'!B535,P535)</f>
      </c>
    </row>
    <row r="537" spans="1:16" x14ac:dyDescent="0.25">
      <c r="A537">
        <f>IF(OR('R.M Billets Reports'!A536="Date-",'R.M Billets Reports'!A536="Date:-"),IF(IF(IF(ISNUMBER(SEARCH("Party Name:-",'R.M Billets Reports'!D536)),TRIM('R.M Billets Reports'!F536),IF(ISNUMBER(SEARCH("Party Name-",'R.M Billets Reports'!D536)),TRIM(MID('R.M Billets Reports'!D536,SEARCH("-",'R.M Billets Reports'!D536)+1,200)),""))&lt;&gt;"",IF(ISNUMBER(SEARCH("Party Name:-",'R.M Billets Reports'!D536)),TRIM('R.M Billets Reports'!F536),IF(ISNUMBER(SEARCH("Party Name-",'R.M Billets Reports'!D536)),TRIM(MID('R.M Billets Reports'!D536,SEARCH("-",'R.M Billets Reports'!D536)+1,200)),"")),IF(ISNUMBER(SEARCH("Party Name:-",'R.M Billets Reports'!D537)),TRIM('R.M Billets Reports'!F537),IF(ISNUMBER(SEARCH("Party Name-",'R.M Billets Reports'!D537)),TRIM(MID('R.M Billets Reports'!D537,SEARCH("-",'R.M Billets Reports'!D537)+1,200)),"")))="VRKP ISPAT PVT LTD","VRKP",IF(IF(IF(ISNUMBER(SEARCH("Party Name:-",'R.M Billets Reports'!D536)),TRIM('R.M Billets Reports'!F536),IF(ISNUMBER(SEARCH("Party Name-",'R.M Billets Reports'!D536)),TRIM(MID('R.M Billets Reports'!D536,SEARCH("-",'R.M Billets Reports'!D536)+1,200)),""))&lt;&gt;"",IF(ISNUMBER(SEARCH("Party Name:-",'R.M Billets Reports'!D536)),TRIM('R.M Billets Reports'!F536),IF(ISNUMBER(SEARCH("Party Name-",'R.M Billets Reports'!D536)),TRIM(MID('R.M Billets Reports'!D536,SEARCH("-",'R.M Billets Reports'!D536)+1,200)),"")),IF(ISNUMBER(SEARCH("Party Name:-",'R.M Billets Reports'!D537)),TRIM('R.M Billets Reports'!F537),IF(ISNUMBER(SEARCH("Party Name-",'R.M Billets Reports'!D537)),TRIM(MID('R.M Billets Reports'!D537,SEARCH("-",'R.M Billets Reports'!D537)+1,200)),"")))="SHRI RADHE","SHREE RADHE",IF(IF(IF(ISNUMBER(SEARCH("Party Name:-",'R.M Billets Reports'!D536)),TRIM('R.M Billets Reports'!F536),IF(ISNUMBER(SEARCH("Party Name-",'R.M Billets Reports'!D536)),TRIM(MID('R.M Billets Reports'!D536,SEARCH("-",'R.M Billets Reports'!D536)+1,200)),""))&lt;&gt;"",IF(ISNUMBER(SEARCH("Party Name:-",'R.M Billets Reports'!D536)),TRIM('R.M Billets Reports'!F536),IF(ISNUMBER(SEARCH("Party Name-",'R.M Billets Reports'!D536)),TRIM(MID('R.M Billets Reports'!D536,SEARCH("-",'R.M Billets Reports'!D536)+1,200)),"")),IF(ISNUMBER(SEARCH("Party Name:-",'R.M Billets Reports'!D537)),TRIM('R.M Billets Reports'!F537),IF(ISNUMBER(SEARCH("Party Name-",'R.M Billets Reports'!D537)),TRIM(MID('R.M Billets Reports'!D537,SEARCH("-",'R.M Billets Reports'!D537)+1,200)),"")))="SHREE RADHE SHAKTI SPONGE AND POWER PVT. LTD.","SHREE RADHE",IF(IF(ISNUMBER(SEARCH("Party Name:-",'R.M Billets Reports'!D536)),TRIM('R.M Billets Reports'!F536),IF(ISNUMBER(SEARCH("Party Name-",'R.M Billets Reports'!D536)),TRIM(MID('R.M Billets Reports'!D536,SEARCH("-",'R.M Billets Reports'!D536)+1,200)),""))&lt;&gt;"",IF(ISNUMBER(SEARCH("Party Name:-",'R.M Billets Reports'!D536)),TRIM('R.M Billets Reports'!F536),IF(ISNUMBER(SEARCH("Party Name-",'R.M Billets Reports'!D536)),TRIM(MID('R.M Billets Reports'!D536,SEARCH("-",'R.M Billets Reports'!D536)+1,200)),"")),IF(ISNUMBER(SEARCH("Party Name:-",'R.M Billets Reports'!D537)),TRIM('R.M Billets Reports'!F537),IF(ISNUMBER(SEARCH("Party Name-",'R.M Billets Reports'!D537)),TRIM(MID('R.M Billets Reports'!D537,SEARCH("-",'R.M Billets Reports'!D537)+1,200)),"")))))),IF(ROW()=2,"",A536))</f>
      </c>
      <c r="B537">
        <f>IF(OR('R.M Billets Reports'!A536="Date-",'R.M Billets Reports'!A536="Date:-"),'R.M Billets Reports'!B536,IF(ROW()=2,"",B536))</f>
      </c>
      <c r="C537">
        <f>IF('R.M Billets Reports'!A536="V.No.",'R.M Billets Reports'!B536,IF(ROW()=2,"",C536))</f>
      </c>
      <c r="D537">
        <f>IF('R.M Billets Reports'!A536&lt;&gt;"",'R.M Billets Reports'!A536,IF(ROW()=2,"",D536))</f>
      </c>
      <c r="E537">
        <f>IF('R.M Billets Reports'!B536="","",TRIM('R.M Billets Reports'!B536))</f>
      </c>
      <c r="F537">
        <f>'R.M Billets Reports'!C536</f>
      </c>
      <c r="G537">
        <f>'R.M Billets Reports'!D536</f>
      </c>
      <c r="H537">
        <f>'R.M Billets Reports'!E536</f>
      </c>
      <c r="I537">
        <f>'R.M Billets Reports'!F536</f>
      </c>
      <c r="J537">
        <f>'R.M Billets Reports'!G536</f>
      </c>
      <c r="K537">
        <f>'R.M Billets Reports'!H536</f>
      </c>
      <c r="L537">
        <f>IF('R.M Billets Reports'!I536="","",'R.M Billets Reports'!I536)</f>
      </c>
      <c r="M537">
        <f t="shared" si="16"/>
      </c>
      <c r="N537">
        <f>IF('R.M Billets Reports'!J536="","",'R.M Billets Reports'!J536)</f>
      </c>
      <c r="O537">
        <f t="shared" si="17"/>
      </c>
      <c r="P537">
        <f>IF('R.M Billets Reports'!A536="SIZE",'R.M Billets Reports'!B536,P536)</f>
      </c>
    </row>
    <row r="538" spans="1:16" x14ac:dyDescent="0.25">
      <c r="A538">
        <f>IF(OR('R.M Billets Reports'!A537="Date-",'R.M Billets Reports'!A537="Date:-"),IF(IF(IF(ISNUMBER(SEARCH("Party Name:-",'R.M Billets Reports'!D537)),TRIM('R.M Billets Reports'!F537),IF(ISNUMBER(SEARCH("Party Name-",'R.M Billets Reports'!D537)),TRIM(MID('R.M Billets Reports'!D537,SEARCH("-",'R.M Billets Reports'!D537)+1,200)),""))&lt;&gt;"",IF(ISNUMBER(SEARCH("Party Name:-",'R.M Billets Reports'!D537)),TRIM('R.M Billets Reports'!F537),IF(ISNUMBER(SEARCH("Party Name-",'R.M Billets Reports'!D537)),TRIM(MID('R.M Billets Reports'!D537,SEARCH("-",'R.M Billets Reports'!D537)+1,200)),"")),IF(ISNUMBER(SEARCH("Party Name:-",'R.M Billets Reports'!D538)),TRIM('R.M Billets Reports'!F538),IF(ISNUMBER(SEARCH("Party Name-",'R.M Billets Reports'!D538)),TRIM(MID('R.M Billets Reports'!D538,SEARCH("-",'R.M Billets Reports'!D538)+1,200)),"")))="VRKP ISPAT PVT LTD","VRKP",IF(IF(IF(ISNUMBER(SEARCH("Party Name:-",'R.M Billets Reports'!D537)),TRIM('R.M Billets Reports'!F537),IF(ISNUMBER(SEARCH("Party Name-",'R.M Billets Reports'!D537)),TRIM(MID('R.M Billets Reports'!D537,SEARCH("-",'R.M Billets Reports'!D537)+1,200)),""))&lt;&gt;"",IF(ISNUMBER(SEARCH("Party Name:-",'R.M Billets Reports'!D537)),TRIM('R.M Billets Reports'!F537),IF(ISNUMBER(SEARCH("Party Name-",'R.M Billets Reports'!D537)),TRIM(MID('R.M Billets Reports'!D537,SEARCH("-",'R.M Billets Reports'!D537)+1,200)),"")),IF(ISNUMBER(SEARCH("Party Name:-",'R.M Billets Reports'!D538)),TRIM('R.M Billets Reports'!F538),IF(ISNUMBER(SEARCH("Party Name-",'R.M Billets Reports'!D538)),TRIM(MID('R.M Billets Reports'!D538,SEARCH("-",'R.M Billets Reports'!D538)+1,200)),"")))="SHRI RADHE","SHREE RADHE",IF(IF(IF(ISNUMBER(SEARCH("Party Name:-",'R.M Billets Reports'!D537)),TRIM('R.M Billets Reports'!F537),IF(ISNUMBER(SEARCH("Party Name-",'R.M Billets Reports'!D537)),TRIM(MID('R.M Billets Reports'!D537,SEARCH("-",'R.M Billets Reports'!D537)+1,200)),""))&lt;&gt;"",IF(ISNUMBER(SEARCH("Party Name:-",'R.M Billets Reports'!D537)),TRIM('R.M Billets Reports'!F537),IF(ISNUMBER(SEARCH("Party Name-",'R.M Billets Reports'!D537)),TRIM(MID('R.M Billets Reports'!D537,SEARCH("-",'R.M Billets Reports'!D537)+1,200)),"")),IF(ISNUMBER(SEARCH("Party Name:-",'R.M Billets Reports'!D538)),TRIM('R.M Billets Reports'!F538),IF(ISNUMBER(SEARCH("Party Name-",'R.M Billets Reports'!D538)),TRIM(MID('R.M Billets Reports'!D538,SEARCH("-",'R.M Billets Reports'!D538)+1,200)),"")))="SHREE RADHE SHAKTI SPONGE AND POWER PVT. LTD.","SHREE RADHE",IF(IF(ISNUMBER(SEARCH("Party Name:-",'R.M Billets Reports'!D537)),TRIM('R.M Billets Reports'!F537),IF(ISNUMBER(SEARCH("Party Name-",'R.M Billets Reports'!D537)),TRIM(MID('R.M Billets Reports'!D537,SEARCH("-",'R.M Billets Reports'!D537)+1,200)),""))&lt;&gt;"",IF(ISNUMBER(SEARCH("Party Name:-",'R.M Billets Reports'!D537)),TRIM('R.M Billets Reports'!F537),IF(ISNUMBER(SEARCH("Party Name-",'R.M Billets Reports'!D537)),TRIM(MID('R.M Billets Reports'!D537,SEARCH("-",'R.M Billets Reports'!D537)+1,200)),"")),IF(ISNUMBER(SEARCH("Party Name:-",'R.M Billets Reports'!D538)),TRIM('R.M Billets Reports'!F538),IF(ISNUMBER(SEARCH("Party Name-",'R.M Billets Reports'!D538)),TRIM(MID('R.M Billets Reports'!D538,SEARCH("-",'R.M Billets Reports'!D538)+1,200)),"")))))),IF(ROW()=2,"",A537))</f>
      </c>
      <c r="B538">
        <f>IF(OR('R.M Billets Reports'!A537="Date-",'R.M Billets Reports'!A537="Date:-"),'R.M Billets Reports'!B537,IF(ROW()=2,"",B537))</f>
      </c>
      <c r="C538">
        <f>IF('R.M Billets Reports'!A537="V.No.",'R.M Billets Reports'!B537,IF(ROW()=2,"",C537))</f>
      </c>
      <c r="D538">
        <f>IF('R.M Billets Reports'!A537&lt;&gt;"",'R.M Billets Reports'!A537,IF(ROW()=2,"",D537))</f>
      </c>
      <c r="E538">
        <f>IF('R.M Billets Reports'!B537="","",TRIM('R.M Billets Reports'!B537))</f>
      </c>
      <c r="F538">
        <f>'R.M Billets Reports'!C537</f>
      </c>
      <c r="G538">
        <f>'R.M Billets Reports'!D537</f>
      </c>
      <c r="H538">
        <f>'R.M Billets Reports'!E537</f>
      </c>
      <c r="I538">
        <f>'R.M Billets Reports'!F537</f>
      </c>
      <c r="J538">
        <f>'R.M Billets Reports'!G537</f>
      </c>
      <c r="K538">
        <f>'R.M Billets Reports'!H537</f>
      </c>
      <c r="L538">
        <f>IF('R.M Billets Reports'!I537="","",'R.M Billets Reports'!I537)</f>
      </c>
      <c r="M538">
        <f t="shared" si="16"/>
      </c>
      <c r="N538">
        <f>IF('R.M Billets Reports'!J537="","",'R.M Billets Reports'!J537)</f>
      </c>
      <c r="O538">
        <f t="shared" si="17"/>
      </c>
      <c r="P538">
        <f>IF('R.M Billets Reports'!A537="SIZE",'R.M Billets Reports'!B537,P537)</f>
      </c>
    </row>
    <row r="539" spans="1:16" x14ac:dyDescent="0.25">
      <c r="A539">
        <f>IF(OR('R.M Billets Reports'!A538="Date-",'R.M Billets Reports'!A538="Date:-"),IF(IF(IF(ISNUMBER(SEARCH("Party Name:-",'R.M Billets Reports'!D538)),TRIM('R.M Billets Reports'!F538),IF(ISNUMBER(SEARCH("Party Name-",'R.M Billets Reports'!D538)),TRIM(MID('R.M Billets Reports'!D538,SEARCH("-",'R.M Billets Reports'!D538)+1,200)),""))&lt;&gt;"",IF(ISNUMBER(SEARCH("Party Name:-",'R.M Billets Reports'!D538)),TRIM('R.M Billets Reports'!F538),IF(ISNUMBER(SEARCH("Party Name-",'R.M Billets Reports'!D538)),TRIM(MID('R.M Billets Reports'!D538,SEARCH("-",'R.M Billets Reports'!D538)+1,200)),"")),IF(ISNUMBER(SEARCH("Party Name:-",'R.M Billets Reports'!D539)),TRIM('R.M Billets Reports'!F539),IF(ISNUMBER(SEARCH("Party Name-",'R.M Billets Reports'!D539)),TRIM(MID('R.M Billets Reports'!D539,SEARCH("-",'R.M Billets Reports'!D539)+1,200)),"")))="VRKP ISPAT PVT LTD","VRKP",IF(IF(IF(ISNUMBER(SEARCH("Party Name:-",'R.M Billets Reports'!D538)),TRIM('R.M Billets Reports'!F538),IF(ISNUMBER(SEARCH("Party Name-",'R.M Billets Reports'!D538)),TRIM(MID('R.M Billets Reports'!D538,SEARCH("-",'R.M Billets Reports'!D538)+1,200)),""))&lt;&gt;"",IF(ISNUMBER(SEARCH("Party Name:-",'R.M Billets Reports'!D538)),TRIM('R.M Billets Reports'!F538),IF(ISNUMBER(SEARCH("Party Name-",'R.M Billets Reports'!D538)),TRIM(MID('R.M Billets Reports'!D538,SEARCH("-",'R.M Billets Reports'!D538)+1,200)),"")),IF(ISNUMBER(SEARCH("Party Name:-",'R.M Billets Reports'!D539)),TRIM('R.M Billets Reports'!F539),IF(ISNUMBER(SEARCH("Party Name-",'R.M Billets Reports'!D539)),TRIM(MID('R.M Billets Reports'!D539,SEARCH("-",'R.M Billets Reports'!D539)+1,200)),"")))="SHRI RADHE","SHREE RADHE",IF(IF(IF(ISNUMBER(SEARCH("Party Name:-",'R.M Billets Reports'!D538)),TRIM('R.M Billets Reports'!F538),IF(ISNUMBER(SEARCH("Party Name-",'R.M Billets Reports'!D538)),TRIM(MID('R.M Billets Reports'!D538,SEARCH("-",'R.M Billets Reports'!D538)+1,200)),""))&lt;&gt;"",IF(ISNUMBER(SEARCH("Party Name:-",'R.M Billets Reports'!D538)),TRIM('R.M Billets Reports'!F538),IF(ISNUMBER(SEARCH("Party Name-",'R.M Billets Reports'!D538)),TRIM(MID('R.M Billets Reports'!D538,SEARCH("-",'R.M Billets Reports'!D538)+1,200)),"")),IF(ISNUMBER(SEARCH("Party Name:-",'R.M Billets Reports'!D539)),TRIM('R.M Billets Reports'!F539),IF(ISNUMBER(SEARCH("Party Name-",'R.M Billets Reports'!D539)),TRIM(MID('R.M Billets Reports'!D539,SEARCH("-",'R.M Billets Reports'!D539)+1,200)),"")))="SHREE RADHE SHAKTI SPONGE AND POWER PVT. LTD.","SHREE RADHE",IF(IF(ISNUMBER(SEARCH("Party Name:-",'R.M Billets Reports'!D538)),TRIM('R.M Billets Reports'!F538),IF(ISNUMBER(SEARCH("Party Name-",'R.M Billets Reports'!D538)),TRIM(MID('R.M Billets Reports'!D538,SEARCH("-",'R.M Billets Reports'!D538)+1,200)),""))&lt;&gt;"",IF(ISNUMBER(SEARCH("Party Name:-",'R.M Billets Reports'!D538)),TRIM('R.M Billets Reports'!F538),IF(ISNUMBER(SEARCH("Party Name-",'R.M Billets Reports'!D538)),TRIM(MID('R.M Billets Reports'!D538,SEARCH("-",'R.M Billets Reports'!D538)+1,200)),"")),IF(ISNUMBER(SEARCH("Party Name:-",'R.M Billets Reports'!D539)),TRIM('R.M Billets Reports'!F539),IF(ISNUMBER(SEARCH("Party Name-",'R.M Billets Reports'!D539)),TRIM(MID('R.M Billets Reports'!D539,SEARCH("-",'R.M Billets Reports'!D539)+1,200)),"")))))),IF(ROW()=2,"",A538))</f>
      </c>
      <c r="B539">
        <f>IF(OR('R.M Billets Reports'!A538="Date-",'R.M Billets Reports'!A538="Date:-"),'R.M Billets Reports'!B538,IF(ROW()=2,"",B538))</f>
      </c>
      <c r="C539">
        <f>IF('R.M Billets Reports'!A538="V.No.",'R.M Billets Reports'!B538,IF(ROW()=2,"",C538))</f>
      </c>
      <c r="D539">
        <f>IF('R.M Billets Reports'!A538&lt;&gt;"",'R.M Billets Reports'!A538,IF(ROW()=2,"",D538))</f>
      </c>
      <c r="E539">
        <f>IF('R.M Billets Reports'!B538="","",TRIM('R.M Billets Reports'!B538))</f>
      </c>
      <c r="F539">
        <f>'R.M Billets Reports'!C538</f>
      </c>
      <c r="G539">
        <f>'R.M Billets Reports'!D538</f>
      </c>
      <c r="H539">
        <f>'R.M Billets Reports'!E538</f>
      </c>
      <c r="I539">
        <f>'R.M Billets Reports'!F538</f>
      </c>
      <c r="J539">
        <f>'R.M Billets Reports'!G538</f>
      </c>
      <c r="K539">
        <f>'R.M Billets Reports'!H538</f>
      </c>
      <c r="L539">
        <f>IF('R.M Billets Reports'!I538="","",'R.M Billets Reports'!I538)</f>
      </c>
      <c r="M539">
        <f t="shared" si="16"/>
      </c>
      <c r="N539">
        <f>IF('R.M Billets Reports'!J538="","",'R.M Billets Reports'!J538)</f>
      </c>
      <c r="O539">
        <f t="shared" si="17"/>
      </c>
      <c r="P539">
        <f>IF('R.M Billets Reports'!A538="SIZE",'R.M Billets Reports'!B538,P538)</f>
      </c>
    </row>
    <row r="540" spans="1:16" x14ac:dyDescent="0.25">
      <c r="A540">
        <f>IF(OR('R.M Billets Reports'!A539="Date-",'R.M Billets Reports'!A539="Date:-"),IF(IF(IF(ISNUMBER(SEARCH("Party Name:-",'R.M Billets Reports'!D539)),TRIM('R.M Billets Reports'!F539),IF(ISNUMBER(SEARCH("Party Name-",'R.M Billets Reports'!D539)),TRIM(MID('R.M Billets Reports'!D539,SEARCH("-",'R.M Billets Reports'!D539)+1,200)),""))&lt;&gt;"",IF(ISNUMBER(SEARCH("Party Name:-",'R.M Billets Reports'!D539)),TRIM('R.M Billets Reports'!F539),IF(ISNUMBER(SEARCH("Party Name-",'R.M Billets Reports'!D539)),TRIM(MID('R.M Billets Reports'!D539,SEARCH("-",'R.M Billets Reports'!D539)+1,200)),"")),IF(ISNUMBER(SEARCH("Party Name:-",'R.M Billets Reports'!D540)),TRIM('R.M Billets Reports'!F540),IF(ISNUMBER(SEARCH("Party Name-",'R.M Billets Reports'!D540)),TRIM(MID('R.M Billets Reports'!D540,SEARCH("-",'R.M Billets Reports'!D540)+1,200)),"")))="VRKP ISPAT PVT LTD","VRKP",IF(IF(IF(ISNUMBER(SEARCH("Party Name:-",'R.M Billets Reports'!D539)),TRIM('R.M Billets Reports'!F539),IF(ISNUMBER(SEARCH("Party Name-",'R.M Billets Reports'!D539)),TRIM(MID('R.M Billets Reports'!D539,SEARCH("-",'R.M Billets Reports'!D539)+1,200)),""))&lt;&gt;"",IF(ISNUMBER(SEARCH("Party Name:-",'R.M Billets Reports'!D539)),TRIM('R.M Billets Reports'!F539),IF(ISNUMBER(SEARCH("Party Name-",'R.M Billets Reports'!D539)),TRIM(MID('R.M Billets Reports'!D539,SEARCH("-",'R.M Billets Reports'!D539)+1,200)),"")),IF(ISNUMBER(SEARCH("Party Name:-",'R.M Billets Reports'!D540)),TRIM('R.M Billets Reports'!F540),IF(ISNUMBER(SEARCH("Party Name-",'R.M Billets Reports'!D540)),TRIM(MID('R.M Billets Reports'!D540,SEARCH("-",'R.M Billets Reports'!D540)+1,200)),"")))="SHRI RADHE","SHREE RADHE",IF(IF(IF(ISNUMBER(SEARCH("Party Name:-",'R.M Billets Reports'!D539)),TRIM('R.M Billets Reports'!F539),IF(ISNUMBER(SEARCH("Party Name-",'R.M Billets Reports'!D539)),TRIM(MID('R.M Billets Reports'!D539,SEARCH("-",'R.M Billets Reports'!D539)+1,200)),""))&lt;&gt;"",IF(ISNUMBER(SEARCH("Party Name:-",'R.M Billets Reports'!D539)),TRIM('R.M Billets Reports'!F539),IF(ISNUMBER(SEARCH("Party Name-",'R.M Billets Reports'!D539)),TRIM(MID('R.M Billets Reports'!D539,SEARCH("-",'R.M Billets Reports'!D539)+1,200)),"")),IF(ISNUMBER(SEARCH("Party Name:-",'R.M Billets Reports'!D540)),TRIM('R.M Billets Reports'!F540),IF(ISNUMBER(SEARCH("Party Name-",'R.M Billets Reports'!D540)),TRIM(MID('R.M Billets Reports'!D540,SEARCH("-",'R.M Billets Reports'!D540)+1,200)),"")))="SHREE RADHE SHAKTI SPONGE AND POWER PVT. LTD.","SHREE RADHE",IF(IF(ISNUMBER(SEARCH("Party Name:-",'R.M Billets Reports'!D539)),TRIM('R.M Billets Reports'!F539),IF(ISNUMBER(SEARCH("Party Name-",'R.M Billets Reports'!D539)),TRIM(MID('R.M Billets Reports'!D539,SEARCH("-",'R.M Billets Reports'!D539)+1,200)),""))&lt;&gt;"",IF(ISNUMBER(SEARCH("Party Name:-",'R.M Billets Reports'!D539)),TRIM('R.M Billets Reports'!F539),IF(ISNUMBER(SEARCH("Party Name-",'R.M Billets Reports'!D539)),TRIM(MID('R.M Billets Reports'!D539,SEARCH("-",'R.M Billets Reports'!D539)+1,200)),"")),IF(ISNUMBER(SEARCH("Party Name:-",'R.M Billets Reports'!D540)),TRIM('R.M Billets Reports'!F540),IF(ISNUMBER(SEARCH("Party Name-",'R.M Billets Reports'!D540)),TRIM(MID('R.M Billets Reports'!D540,SEARCH("-",'R.M Billets Reports'!D540)+1,200)),"")))))),IF(ROW()=2,"",A539))</f>
      </c>
      <c r="B540">
        <f>IF(OR('R.M Billets Reports'!A539="Date-",'R.M Billets Reports'!A539="Date:-"),'R.M Billets Reports'!B539,IF(ROW()=2,"",B539))</f>
      </c>
      <c r="C540">
        <f>IF('R.M Billets Reports'!A539="V.No.",'R.M Billets Reports'!B539,IF(ROW()=2,"",C539))</f>
      </c>
      <c r="D540">
        <f>IF('R.M Billets Reports'!A539&lt;&gt;"",'R.M Billets Reports'!A539,IF(ROW()=2,"",D539))</f>
      </c>
      <c r="E540">
        <f>IF('R.M Billets Reports'!B539="","",TRIM('R.M Billets Reports'!B539))</f>
      </c>
      <c r="F540">
        <f>'R.M Billets Reports'!C539</f>
      </c>
      <c r="G540">
        <f>'R.M Billets Reports'!D539</f>
      </c>
      <c r="H540">
        <f>'R.M Billets Reports'!E539</f>
      </c>
      <c r="I540">
        <f>'R.M Billets Reports'!F539</f>
      </c>
      <c r="J540">
        <f>'R.M Billets Reports'!G539</f>
      </c>
      <c r="K540">
        <f>'R.M Billets Reports'!H539</f>
      </c>
      <c r="L540">
        <f>IF('R.M Billets Reports'!I539="","",'R.M Billets Reports'!I539)</f>
      </c>
      <c r="M540">
        <f t="shared" si="16"/>
      </c>
      <c r="N540">
        <f>IF('R.M Billets Reports'!J539="","",'R.M Billets Reports'!J539)</f>
      </c>
      <c r="O540">
        <f t="shared" si="17"/>
      </c>
      <c r="P540">
        <f>IF('R.M Billets Reports'!A539="SIZE",'R.M Billets Reports'!B539,P539)</f>
      </c>
    </row>
    <row r="541" spans="1:16" x14ac:dyDescent="0.25">
      <c r="A541">
        <f>IF(OR('R.M Billets Reports'!A540="Date-",'R.M Billets Reports'!A540="Date:-"),IF(IF(IF(ISNUMBER(SEARCH("Party Name:-",'R.M Billets Reports'!D540)),TRIM('R.M Billets Reports'!F540),IF(ISNUMBER(SEARCH("Party Name-",'R.M Billets Reports'!D540)),TRIM(MID('R.M Billets Reports'!D540,SEARCH("-",'R.M Billets Reports'!D540)+1,200)),""))&lt;&gt;"",IF(ISNUMBER(SEARCH("Party Name:-",'R.M Billets Reports'!D540)),TRIM('R.M Billets Reports'!F540),IF(ISNUMBER(SEARCH("Party Name-",'R.M Billets Reports'!D540)),TRIM(MID('R.M Billets Reports'!D540,SEARCH("-",'R.M Billets Reports'!D540)+1,200)),"")),IF(ISNUMBER(SEARCH("Party Name:-",'R.M Billets Reports'!D541)),TRIM('R.M Billets Reports'!F541),IF(ISNUMBER(SEARCH("Party Name-",'R.M Billets Reports'!D541)),TRIM(MID('R.M Billets Reports'!D541,SEARCH("-",'R.M Billets Reports'!D541)+1,200)),"")))="VRKP ISPAT PVT LTD","VRKP",IF(IF(IF(ISNUMBER(SEARCH("Party Name:-",'R.M Billets Reports'!D540)),TRIM('R.M Billets Reports'!F540),IF(ISNUMBER(SEARCH("Party Name-",'R.M Billets Reports'!D540)),TRIM(MID('R.M Billets Reports'!D540,SEARCH("-",'R.M Billets Reports'!D540)+1,200)),""))&lt;&gt;"",IF(ISNUMBER(SEARCH("Party Name:-",'R.M Billets Reports'!D540)),TRIM('R.M Billets Reports'!F540),IF(ISNUMBER(SEARCH("Party Name-",'R.M Billets Reports'!D540)),TRIM(MID('R.M Billets Reports'!D540,SEARCH("-",'R.M Billets Reports'!D540)+1,200)),"")),IF(ISNUMBER(SEARCH("Party Name:-",'R.M Billets Reports'!D541)),TRIM('R.M Billets Reports'!F541),IF(ISNUMBER(SEARCH("Party Name-",'R.M Billets Reports'!D541)),TRIM(MID('R.M Billets Reports'!D541,SEARCH("-",'R.M Billets Reports'!D541)+1,200)),"")))="SHRI RADHE","SHREE RADHE",IF(IF(IF(ISNUMBER(SEARCH("Party Name:-",'R.M Billets Reports'!D540)),TRIM('R.M Billets Reports'!F540),IF(ISNUMBER(SEARCH("Party Name-",'R.M Billets Reports'!D540)),TRIM(MID('R.M Billets Reports'!D540,SEARCH("-",'R.M Billets Reports'!D540)+1,200)),""))&lt;&gt;"",IF(ISNUMBER(SEARCH("Party Name:-",'R.M Billets Reports'!D540)),TRIM('R.M Billets Reports'!F540),IF(ISNUMBER(SEARCH("Party Name-",'R.M Billets Reports'!D540)),TRIM(MID('R.M Billets Reports'!D540,SEARCH("-",'R.M Billets Reports'!D540)+1,200)),"")),IF(ISNUMBER(SEARCH("Party Name:-",'R.M Billets Reports'!D541)),TRIM('R.M Billets Reports'!F541),IF(ISNUMBER(SEARCH("Party Name-",'R.M Billets Reports'!D541)),TRIM(MID('R.M Billets Reports'!D541,SEARCH("-",'R.M Billets Reports'!D541)+1,200)),"")))="SHREE RADHE SHAKTI SPONGE AND POWER PVT. LTD.","SHREE RADHE",IF(IF(ISNUMBER(SEARCH("Party Name:-",'R.M Billets Reports'!D540)),TRIM('R.M Billets Reports'!F540),IF(ISNUMBER(SEARCH("Party Name-",'R.M Billets Reports'!D540)),TRIM(MID('R.M Billets Reports'!D540,SEARCH("-",'R.M Billets Reports'!D540)+1,200)),""))&lt;&gt;"",IF(ISNUMBER(SEARCH("Party Name:-",'R.M Billets Reports'!D540)),TRIM('R.M Billets Reports'!F540),IF(ISNUMBER(SEARCH("Party Name-",'R.M Billets Reports'!D540)),TRIM(MID('R.M Billets Reports'!D540,SEARCH("-",'R.M Billets Reports'!D540)+1,200)),"")),IF(ISNUMBER(SEARCH("Party Name:-",'R.M Billets Reports'!D541)),TRIM('R.M Billets Reports'!F541),IF(ISNUMBER(SEARCH("Party Name-",'R.M Billets Reports'!D541)),TRIM(MID('R.M Billets Reports'!D541,SEARCH("-",'R.M Billets Reports'!D541)+1,200)),"")))))),IF(ROW()=2,"",A540))</f>
      </c>
      <c r="B541">
        <f>IF(OR('R.M Billets Reports'!A540="Date-",'R.M Billets Reports'!A540="Date:-"),'R.M Billets Reports'!B540,IF(ROW()=2,"",B540))</f>
      </c>
      <c r="C541">
        <f>IF('R.M Billets Reports'!A540="V.No.",'R.M Billets Reports'!B540,IF(ROW()=2,"",C540))</f>
      </c>
      <c r="D541">
        <f>IF('R.M Billets Reports'!A540&lt;&gt;"",'R.M Billets Reports'!A540,IF(ROW()=2,"",D540))</f>
      </c>
      <c r="E541">
        <f>IF('R.M Billets Reports'!B540="","",TRIM('R.M Billets Reports'!B540))</f>
      </c>
      <c r="F541">
        <f>'R.M Billets Reports'!C540</f>
      </c>
      <c r="G541">
        <f>'R.M Billets Reports'!D540</f>
      </c>
      <c r="H541">
        <f>'R.M Billets Reports'!E540</f>
      </c>
      <c r="I541">
        <f>'R.M Billets Reports'!F540</f>
      </c>
      <c r="J541">
        <f>'R.M Billets Reports'!G540</f>
      </c>
      <c r="K541">
        <f>'R.M Billets Reports'!H540</f>
      </c>
      <c r="L541">
        <f>IF('R.M Billets Reports'!I540="","",'R.M Billets Reports'!I540)</f>
      </c>
      <c r="M541">
        <f t="shared" si="16"/>
      </c>
      <c r="N541">
        <f>IF('R.M Billets Reports'!J540="","",'R.M Billets Reports'!J540)</f>
      </c>
      <c r="O541">
        <f t="shared" si="17"/>
      </c>
      <c r="P541">
        <f>IF('R.M Billets Reports'!A540="SIZE",'R.M Billets Reports'!B540,P540)</f>
      </c>
    </row>
    <row r="542" spans="1:16" x14ac:dyDescent="0.25">
      <c r="A542">
        <f>IF(OR('R.M Billets Reports'!A541="Date-",'R.M Billets Reports'!A541="Date:-"),IF(IF(IF(ISNUMBER(SEARCH("Party Name:-",'R.M Billets Reports'!D541)),TRIM('R.M Billets Reports'!F541),IF(ISNUMBER(SEARCH("Party Name-",'R.M Billets Reports'!D541)),TRIM(MID('R.M Billets Reports'!D541,SEARCH("-",'R.M Billets Reports'!D541)+1,200)),""))&lt;&gt;"",IF(ISNUMBER(SEARCH("Party Name:-",'R.M Billets Reports'!D541)),TRIM('R.M Billets Reports'!F541),IF(ISNUMBER(SEARCH("Party Name-",'R.M Billets Reports'!D541)),TRIM(MID('R.M Billets Reports'!D541,SEARCH("-",'R.M Billets Reports'!D541)+1,200)),"")),IF(ISNUMBER(SEARCH("Party Name:-",'R.M Billets Reports'!D542)),TRIM('R.M Billets Reports'!F542),IF(ISNUMBER(SEARCH("Party Name-",'R.M Billets Reports'!D542)),TRIM(MID('R.M Billets Reports'!D542,SEARCH("-",'R.M Billets Reports'!D542)+1,200)),"")))="VRKP ISPAT PVT LTD","VRKP",IF(IF(IF(ISNUMBER(SEARCH("Party Name:-",'R.M Billets Reports'!D541)),TRIM('R.M Billets Reports'!F541),IF(ISNUMBER(SEARCH("Party Name-",'R.M Billets Reports'!D541)),TRIM(MID('R.M Billets Reports'!D541,SEARCH("-",'R.M Billets Reports'!D541)+1,200)),""))&lt;&gt;"",IF(ISNUMBER(SEARCH("Party Name:-",'R.M Billets Reports'!D541)),TRIM('R.M Billets Reports'!F541),IF(ISNUMBER(SEARCH("Party Name-",'R.M Billets Reports'!D541)),TRIM(MID('R.M Billets Reports'!D541,SEARCH("-",'R.M Billets Reports'!D541)+1,200)),"")),IF(ISNUMBER(SEARCH("Party Name:-",'R.M Billets Reports'!D542)),TRIM('R.M Billets Reports'!F542),IF(ISNUMBER(SEARCH("Party Name-",'R.M Billets Reports'!D542)),TRIM(MID('R.M Billets Reports'!D542,SEARCH("-",'R.M Billets Reports'!D542)+1,200)),"")))="SHRI RADHE","SHREE RADHE",IF(IF(IF(ISNUMBER(SEARCH("Party Name:-",'R.M Billets Reports'!D541)),TRIM('R.M Billets Reports'!F541),IF(ISNUMBER(SEARCH("Party Name-",'R.M Billets Reports'!D541)),TRIM(MID('R.M Billets Reports'!D541,SEARCH("-",'R.M Billets Reports'!D541)+1,200)),""))&lt;&gt;"",IF(ISNUMBER(SEARCH("Party Name:-",'R.M Billets Reports'!D541)),TRIM('R.M Billets Reports'!F541),IF(ISNUMBER(SEARCH("Party Name-",'R.M Billets Reports'!D541)),TRIM(MID('R.M Billets Reports'!D541,SEARCH("-",'R.M Billets Reports'!D541)+1,200)),"")),IF(ISNUMBER(SEARCH("Party Name:-",'R.M Billets Reports'!D542)),TRIM('R.M Billets Reports'!F542),IF(ISNUMBER(SEARCH("Party Name-",'R.M Billets Reports'!D542)),TRIM(MID('R.M Billets Reports'!D542,SEARCH("-",'R.M Billets Reports'!D542)+1,200)),"")))="SHREE RADHE SHAKTI SPONGE AND POWER PVT. LTD.","SHREE RADHE",IF(IF(ISNUMBER(SEARCH("Party Name:-",'R.M Billets Reports'!D541)),TRIM('R.M Billets Reports'!F541),IF(ISNUMBER(SEARCH("Party Name-",'R.M Billets Reports'!D541)),TRIM(MID('R.M Billets Reports'!D541,SEARCH("-",'R.M Billets Reports'!D541)+1,200)),""))&lt;&gt;"",IF(ISNUMBER(SEARCH("Party Name:-",'R.M Billets Reports'!D541)),TRIM('R.M Billets Reports'!F541),IF(ISNUMBER(SEARCH("Party Name-",'R.M Billets Reports'!D541)),TRIM(MID('R.M Billets Reports'!D541,SEARCH("-",'R.M Billets Reports'!D541)+1,200)),"")),IF(ISNUMBER(SEARCH("Party Name:-",'R.M Billets Reports'!D542)),TRIM('R.M Billets Reports'!F542),IF(ISNUMBER(SEARCH("Party Name-",'R.M Billets Reports'!D542)),TRIM(MID('R.M Billets Reports'!D542,SEARCH("-",'R.M Billets Reports'!D542)+1,200)),"")))))),IF(ROW()=2,"",A541))</f>
      </c>
      <c r="B542">
        <f>IF(OR('R.M Billets Reports'!A541="Date-",'R.M Billets Reports'!A541="Date:-"),'R.M Billets Reports'!B541,IF(ROW()=2,"",B541))</f>
      </c>
      <c r="C542">
        <f>IF('R.M Billets Reports'!A541="V.No.",'R.M Billets Reports'!B541,IF(ROW()=2,"",C541))</f>
      </c>
      <c r="D542">
        <f>IF('R.M Billets Reports'!A541&lt;&gt;"",'R.M Billets Reports'!A541,IF(ROW()=2,"",D541))</f>
      </c>
      <c r="E542">
        <f>IF('R.M Billets Reports'!B541="","",TRIM('R.M Billets Reports'!B541))</f>
      </c>
      <c r="F542">
        <f>'R.M Billets Reports'!C541</f>
      </c>
      <c r="G542">
        <f>'R.M Billets Reports'!D541</f>
      </c>
      <c r="H542">
        <f>'R.M Billets Reports'!E541</f>
      </c>
      <c r="I542">
        <f>'R.M Billets Reports'!F541</f>
      </c>
      <c r="J542">
        <f>'R.M Billets Reports'!G541</f>
      </c>
      <c r="K542">
        <f>'R.M Billets Reports'!H541</f>
      </c>
      <c r="L542">
        <f>IF('R.M Billets Reports'!I541="","",'R.M Billets Reports'!I541)</f>
      </c>
      <c r="M542">
        <f t="shared" si="16"/>
      </c>
      <c r="N542">
        <f>IF('R.M Billets Reports'!J541="","",'R.M Billets Reports'!J541)</f>
      </c>
      <c r="O542">
        <f t="shared" si="17"/>
      </c>
      <c r="P542">
        <f>IF('R.M Billets Reports'!A541="SIZE",'R.M Billets Reports'!B541,P541)</f>
      </c>
    </row>
    <row r="543" spans="1:16" x14ac:dyDescent="0.25">
      <c r="A543">
        <f>IF(OR('R.M Billets Reports'!A542="Date-",'R.M Billets Reports'!A542="Date:-"),IF(IF(IF(ISNUMBER(SEARCH("Party Name:-",'R.M Billets Reports'!D542)),TRIM('R.M Billets Reports'!F542),IF(ISNUMBER(SEARCH("Party Name-",'R.M Billets Reports'!D542)),TRIM(MID('R.M Billets Reports'!D542,SEARCH("-",'R.M Billets Reports'!D542)+1,200)),""))&lt;&gt;"",IF(ISNUMBER(SEARCH("Party Name:-",'R.M Billets Reports'!D542)),TRIM('R.M Billets Reports'!F542),IF(ISNUMBER(SEARCH("Party Name-",'R.M Billets Reports'!D542)),TRIM(MID('R.M Billets Reports'!D542,SEARCH("-",'R.M Billets Reports'!D542)+1,200)),"")),IF(ISNUMBER(SEARCH("Party Name:-",'R.M Billets Reports'!D543)),TRIM('R.M Billets Reports'!F543),IF(ISNUMBER(SEARCH("Party Name-",'R.M Billets Reports'!D543)),TRIM(MID('R.M Billets Reports'!D543,SEARCH("-",'R.M Billets Reports'!D543)+1,200)),"")))="VRKP ISPAT PVT LTD","VRKP",IF(IF(IF(ISNUMBER(SEARCH("Party Name:-",'R.M Billets Reports'!D542)),TRIM('R.M Billets Reports'!F542),IF(ISNUMBER(SEARCH("Party Name-",'R.M Billets Reports'!D542)),TRIM(MID('R.M Billets Reports'!D542,SEARCH("-",'R.M Billets Reports'!D542)+1,200)),""))&lt;&gt;"",IF(ISNUMBER(SEARCH("Party Name:-",'R.M Billets Reports'!D542)),TRIM('R.M Billets Reports'!F542),IF(ISNUMBER(SEARCH("Party Name-",'R.M Billets Reports'!D542)),TRIM(MID('R.M Billets Reports'!D542,SEARCH("-",'R.M Billets Reports'!D542)+1,200)),"")),IF(ISNUMBER(SEARCH("Party Name:-",'R.M Billets Reports'!D543)),TRIM('R.M Billets Reports'!F543),IF(ISNUMBER(SEARCH("Party Name-",'R.M Billets Reports'!D543)),TRIM(MID('R.M Billets Reports'!D543,SEARCH("-",'R.M Billets Reports'!D543)+1,200)),"")))="SHRI RADHE","SHREE RADHE",IF(IF(IF(ISNUMBER(SEARCH("Party Name:-",'R.M Billets Reports'!D542)),TRIM('R.M Billets Reports'!F542),IF(ISNUMBER(SEARCH("Party Name-",'R.M Billets Reports'!D542)),TRIM(MID('R.M Billets Reports'!D542,SEARCH("-",'R.M Billets Reports'!D542)+1,200)),""))&lt;&gt;"",IF(ISNUMBER(SEARCH("Party Name:-",'R.M Billets Reports'!D542)),TRIM('R.M Billets Reports'!F542),IF(ISNUMBER(SEARCH("Party Name-",'R.M Billets Reports'!D542)),TRIM(MID('R.M Billets Reports'!D542,SEARCH("-",'R.M Billets Reports'!D542)+1,200)),"")),IF(ISNUMBER(SEARCH("Party Name:-",'R.M Billets Reports'!D543)),TRIM('R.M Billets Reports'!F543),IF(ISNUMBER(SEARCH("Party Name-",'R.M Billets Reports'!D543)),TRIM(MID('R.M Billets Reports'!D543,SEARCH("-",'R.M Billets Reports'!D543)+1,200)),"")))="SHREE RADHE SHAKTI SPONGE AND POWER PVT. LTD.","SHREE RADHE",IF(IF(ISNUMBER(SEARCH("Party Name:-",'R.M Billets Reports'!D542)),TRIM('R.M Billets Reports'!F542),IF(ISNUMBER(SEARCH("Party Name-",'R.M Billets Reports'!D542)),TRIM(MID('R.M Billets Reports'!D542,SEARCH("-",'R.M Billets Reports'!D542)+1,200)),""))&lt;&gt;"",IF(ISNUMBER(SEARCH("Party Name:-",'R.M Billets Reports'!D542)),TRIM('R.M Billets Reports'!F542),IF(ISNUMBER(SEARCH("Party Name-",'R.M Billets Reports'!D542)),TRIM(MID('R.M Billets Reports'!D542,SEARCH("-",'R.M Billets Reports'!D542)+1,200)),"")),IF(ISNUMBER(SEARCH("Party Name:-",'R.M Billets Reports'!D543)),TRIM('R.M Billets Reports'!F543),IF(ISNUMBER(SEARCH("Party Name-",'R.M Billets Reports'!D543)),TRIM(MID('R.M Billets Reports'!D543,SEARCH("-",'R.M Billets Reports'!D543)+1,200)),"")))))),IF(ROW()=2,"",A542))</f>
      </c>
      <c r="B543">
        <f>IF(OR('R.M Billets Reports'!A542="Date-",'R.M Billets Reports'!A542="Date:-"),'R.M Billets Reports'!B542,IF(ROW()=2,"",B542))</f>
      </c>
      <c r="C543">
        <f>IF('R.M Billets Reports'!A542="V.No.",'R.M Billets Reports'!B542,IF(ROW()=2,"",C542))</f>
      </c>
      <c r="D543">
        <f>IF('R.M Billets Reports'!A542&lt;&gt;"",'R.M Billets Reports'!A542,IF(ROW()=2,"",D542))</f>
      </c>
      <c r="E543">
        <f>IF('R.M Billets Reports'!B542="","",TRIM('R.M Billets Reports'!B542))</f>
      </c>
      <c r="F543">
        <f>'R.M Billets Reports'!C542</f>
      </c>
      <c r="G543">
        <f>'R.M Billets Reports'!D542</f>
      </c>
      <c r="H543">
        <f>'R.M Billets Reports'!E542</f>
      </c>
      <c r="I543">
        <f>'R.M Billets Reports'!F542</f>
      </c>
      <c r="J543">
        <f>'R.M Billets Reports'!G542</f>
      </c>
      <c r="K543">
        <f>'R.M Billets Reports'!H542</f>
      </c>
      <c r="L543">
        <f>IF('R.M Billets Reports'!I542="","",'R.M Billets Reports'!I542)</f>
      </c>
      <c r="M543">
        <f t="shared" si="16"/>
      </c>
      <c r="N543">
        <f>IF('R.M Billets Reports'!J542="","",'R.M Billets Reports'!J542)</f>
      </c>
      <c r="O543">
        <f t="shared" si="17"/>
      </c>
      <c r="P543">
        <f>IF('R.M Billets Reports'!A542="SIZE",'R.M Billets Reports'!B542,P542)</f>
      </c>
    </row>
    <row r="544" spans="1:16" x14ac:dyDescent="0.25">
      <c r="A544">
        <f>IF(OR('R.M Billets Reports'!A543="Date-",'R.M Billets Reports'!A543="Date:-"),IF(IF(IF(ISNUMBER(SEARCH("Party Name:-",'R.M Billets Reports'!D543)),TRIM('R.M Billets Reports'!F543),IF(ISNUMBER(SEARCH("Party Name-",'R.M Billets Reports'!D543)),TRIM(MID('R.M Billets Reports'!D543,SEARCH("-",'R.M Billets Reports'!D543)+1,200)),""))&lt;&gt;"",IF(ISNUMBER(SEARCH("Party Name:-",'R.M Billets Reports'!D543)),TRIM('R.M Billets Reports'!F543),IF(ISNUMBER(SEARCH("Party Name-",'R.M Billets Reports'!D543)),TRIM(MID('R.M Billets Reports'!D543,SEARCH("-",'R.M Billets Reports'!D543)+1,200)),"")),IF(ISNUMBER(SEARCH("Party Name:-",'R.M Billets Reports'!D544)),TRIM('R.M Billets Reports'!F544),IF(ISNUMBER(SEARCH("Party Name-",'R.M Billets Reports'!D544)),TRIM(MID('R.M Billets Reports'!D544,SEARCH("-",'R.M Billets Reports'!D544)+1,200)),"")))="VRKP ISPAT PVT LTD","VRKP",IF(IF(IF(ISNUMBER(SEARCH("Party Name:-",'R.M Billets Reports'!D543)),TRIM('R.M Billets Reports'!F543),IF(ISNUMBER(SEARCH("Party Name-",'R.M Billets Reports'!D543)),TRIM(MID('R.M Billets Reports'!D543,SEARCH("-",'R.M Billets Reports'!D543)+1,200)),""))&lt;&gt;"",IF(ISNUMBER(SEARCH("Party Name:-",'R.M Billets Reports'!D543)),TRIM('R.M Billets Reports'!F543),IF(ISNUMBER(SEARCH("Party Name-",'R.M Billets Reports'!D543)),TRIM(MID('R.M Billets Reports'!D543,SEARCH("-",'R.M Billets Reports'!D543)+1,200)),"")),IF(ISNUMBER(SEARCH("Party Name:-",'R.M Billets Reports'!D544)),TRIM('R.M Billets Reports'!F544),IF(ISNUMBER(SEARCH("Party Name-",'R.M Billets Reports'!D544)),TRIM(MID('R.M Billets Reports'!D544,SEARCH("-",'R.M Billets Reports'!D544)+1,200)),"")))="SHRI RADHE","SHREE RADHE",IF(IF(IF(ISNUMBER(SEARCH("Party Name:-",'R.M Billets Reports'!D543)),TRIM('R.M Billets Reports'!F543),IF(ISNUMBER(SEARCH("Party Name-",'R.M Billets Reports'!D543)),TRIM(MID('R.M Billets Reports'!D543,SEARCH("-",'R.M Billets Reports'!D543)+1,200)),""))&lt;&gt;"",IF(ISNUMBER(SEARCH("Party Name:-",'R.M Billets Reports'!D543)),TRIM('R.M Billets Reports'!F543),IF(ISNUMBER(SEARCH("Party Name-",'R.M Billets Reports'!D543)),TRIM(MID('R.M Billets Reports'!D543,SEARCH("-",'R.M Billets Reports'!D543)+1,200)),"")),IF(ISNUMBER(SEARCH("Party Name:-",'R.M Billets Reports'!D544)),TRIM('R.M Billets Reports'!F544),IF(ISNUMBER(SEARCH("Party Name-",'R.M Billets Reports'!D544)),TRIM(MID('R.M Billets Reports'!D544,SEARCH("-",'R.M Billets Reports'!D544)+1,200)),"")))="SHREE RADHE SHAKTI SPONGE AND POWER PVT. LTD.","SHREE RADHE",IF(IF(ISNUMBER(SEARCH("Party Name:-",'R.M Billets Reports'!D543)),TRIM('R.M Billets Reports'!F543),IF(ISNUMBER(SEARCH("Party Name-",'R.M Billets Reports'!D543)),TRIM(MID('R.M Billets Reports'!D543,SEARCH("-",'R.M Billets Reports'!D543)+1,200)),""))&lt;&gt;"",IF(ISNUMBER(SEARCH("Party Name:-",'R.M Billets Reports'!D543)),TRIM('R.M Billets Reports'!F543),IF(ISNUMBER(SEARCH("Party Name-",'R.M Billets Reports'!D543)),TRIM(MID('R.M Billets Reports'!D543,SEARCH("-",'R.M Billets Reports'!D543)+1,200)),"")),IF(ISNUMBER(SEARCH("Party Name:-",'R.M Billets Reports'!D544)),TRIM('R.M Billets Reports'!F544),IF(ISNUMBER(SEARCH("Party Name-",'R.M Billets Reports'!D544)),TRIM(MID('R.M Billets Reports'!D544,SEARCH("-",'R.M Billets Reports'!D544)+1,200)),"")))))),IF(ROW()=2,"",A543))</f>
      </c>
      <c r="B544">
        <f>IF(OR('R.M Billets Reports'!A543="Date-",'R.M Billets Reports'!A543="Date:-"),'R.M Billets Reports'!B543,IF(ROW()=2,"",B543))</f>
      </c>
      <c r="C544">
        <f>IF('R.M Billets Reports'!A543="V.No.",'R.M Billets Reports'!B543,IF(ROW()=2,"",C543))</f>
      </c>
      <c r="D544">
        <f>IF('R.M Billets Reports'!A543&lt;&gt;"",'R.M Billets Reports'!A543,IF(ROW()=2,"",D543))</f>
      </c>
      <c r="E544">
        <f>IF('R.M Billets Reports'!B543="","",TRIM('R.M Billets Reports'!B543))</f>
      </c>
      <c r="F544">
        <f>'R.M Billets Reports'!C543</f>
      </c>
      <c r="G544">
        <f>'R.M Billets Reports'!D543</f>
      </c>
      <c r="H544">
        <f>'R.M Billets Reports'!E543</f>
      </c>
      <c r="I544">
        <f>'R.M Billets Reports'!F543</f>
      </c>
      <c r="J544">
        <f>'R.M Billets Reports'!G543</f>
      </c>
      <c r="K544">
        <f>'R.M Billets Reports'!H543</f>
      </c>
      <c r="L544">
        <f>IF('R.M Billets Reports'!I543="","",'R.M Billets Reports'!I543)</f>
      </c>
      <c r="M544">
        <f t="shared" si="16"/>
      </c>
      <c r="N544">
        <f>IF('R.M Billets Reports'!J543="","",'R.M Billets Reports'!J543)</f>
      </c>
      <c r="O544">
        <f t="shared" si="17"/>
      </c>
      <c r="P544">
        <f>IF('R.M Billets Reports'!A543="SIZE",'R.M Billets Reports'!B543,P543)</f>
      </c>
    </row>
    <row r="545" spans="1:16" x14ac:dyDescent="0.25">
      <c r="A545">
        <f>IF(OR('R.M Billets Reports'!A544="Date-",'R.M Billets Reports'!A544="Date:-"),IF(IF(IF(ISNUMBER(SEARCH("Party Name:-",'R.M Billets Reports'!D544)),TRIM('R.M Billets Reports'!F544),IF(ISNUMBER(SEARCH("Party Name-",'R.M Billets Reports'!D544)),TRIM(MID('R.M Billets Reports'!D544,SEARCH("-",'R.M Billets Reports'!D544)+1,200)),""))&lt;&gt;"",IF(ISNUMBER(SEARCH("Party Name:-",'R.M Billets Reports'!D544)),TRIM('R.M Billets Reports'!F544),IF(ISNUMBER(SEARCH("Party Name-",'R.M Billets Reports'!D544)),TRIM(MID('R.M Billets Reports'!D544,SEARCH("-",'R.M Billets Reports'!D544)+1,200)),"")),IF(ISNUMBER(SEARCH("Party Name:-",'R.M Billets Reports'!D545)),TRIM('R.M Billets Reports'!F545),IF(ISNUMBER(SEARCH("Party Name-",'R.M Billets Reports'!D545)),TRIM(MID('R.M Billets Reports'!D545,SEARCH("-",'R.M Billets Reports'!D545)+1,200)),"")))="VRKP ISPAT PVT LTD","VRKP",IF(IF(IF(ISNUMBER(SEARCH("Party Name:-",'R.M Billets Reports'!D544)),TRIM('R.M Billets Reports'!F544),IF(ISNUMBER(SEARCH("Party Name-",'R.M Billets Reports'!D544)),TRIM(MID('R.M Billets Reports'!D544,SEARCH("-",'R.M Billets Reports'!D544)+1,200)),""))&lt;&gt;"",IF(ISNUMBER(SEARCH("Party Name:-",'R.M Billets Reports'!D544)),TRIM('R.M Billets Reports'!F544),IF(ISNUMBER(SEARCH("Party Name-",'R.M Billets Reports'!D544)),TRIM(MID('R.M Billets Reports'!D544,SEARCH("-",'R.M Billets Reports'!D544)+1,200)),"")),IF(ISNUMBER(SEARCH("Party Name:-",'R.M Billets Reports'!D545)),TRIM('R.M Billets Reports'!F545),IF(ISNUMBER(SEARCH("Party Name-",'R.M Billets Reports'!D545)),TRIM(MID('R.M Billets Reports'!D545,SEARCH("-",'R.M Billets Reports'!D545)+1,200)),"")))="SHRI RADHE","SHREE RADHE",IF(IF(IF(ISNUMBER(SEARCH("Party Name:-",'R.M Billets Reports'!D544)),TRIM('R.M Billets Reports'!F544),IF(ISNUMBER(SEARCH("Party Name-",'R.M Billets Reports'!D544)),TRIM(MID('R.M Billets Reports'!D544,SEARCH("-",'R.M Billets Reports'!D544)+1,200)),""))&lt;&gt;"",IF(ISNUMBER(SEARCH("Party Name:-",'R.M Billets Reports'!D544)),TRIM('R.M Billets Reports'!F544),IF(ISNUMBER(SEARCH("Party Name-",'R.M Billets Reports'!D544)),TRIM(MID('R.M Billets Reports'!D544,SEARCH("-",'R.M Billets Reports'!D544)+1,200)),"")),IF(ISNUMBER(SEARCH("Party Name:-",'R.M Billets Reports'!D545)),TRIM('R.M Billets Reports'!F545),IF(ISNUMBER(SEARCH("Party Name-",'R.M Billets Reports'!D545)),TRIM(MID('R.M Billets Reports'!D545,SEARCH("-",'R.M Billets Reports'!D545)+1,200)),"")))="SHREE RADHE SHAKTI SPONGE AND POWER PVT. LTD.","SHREE RADHE",IF(IF(ISNUMBER(SEARCH("Party Name:-",'R.M Billets Reports'!D544)),TRIM('R.M Billets Reports'!F544),IF(ISNUMBER(SEARCH("Party Name-",'R.M Billets Reports'!D544)),TRIM(MID('R.M Billets Reports'!D544,SEARCH("-",'R.M Billets Reports'!D544)+1,200)),""))&lt;&gt;"",IF(ISNUMBER(SEARCH("Party Name:-",'R.M Billets Reports'!D544)),TRIM('R.M Billets Reports'!F544),IF(ISNUMBER(SEARCH("Party Name-",'R.M Billets Reports'!D544)),TRIM(MID('R.M Billets Reports'!D544,SEARCH("-",'R.M Billets Reports'!D544)+1,200)),"")),IF(ISNUMBER(SEARCH("Party Name:-",'R.M Billets Reports'!D545)),TRIM('R.M Billets Reports'!F545),IF(ISNUMBER(SEARCH("Party Name-",'R.M Billets Reports'!D545)),TRIM(MID('R.M Billets Reports'!D545,SEARCH("-",'R.M Billets Reports'!D545)+1,200)),"")))))),IF(ROW()=2,"",A544))</f>
      </c>
      <c r="B545">
        <f>IF(OR('R.M Billets Reports'!A544="Date-",'R.M Billets Reports'!A544="Date:-"),'R.M Billets Reports'!B544,IF(ROW()=2,"",B544))</f>
      </c>
      <c r="C545">
        <f>IF('R.M Billets Reports'!A544="V.No.",'R.M Billets Reports'!B544,IF(ROW()=2,"",C544))</f>
      </c>
      <c r="D545">
        <f>IF('R.M Billets Reports'!A544&lt;&gt;"",'R.M Billets Reports'!A544,IF(ROW()=2,"",D544))</f>
      </c>
      <c r="E545">
        <f>IF('R.M Billets Reports'!B544="","",TRIM('R.M Billets Reports'!B544))</f>
      </c>
      <c r="F545">
        <f>'R.M Billets Reports'!C544</f>
      </c>
      <c r="G545">
        <f>'R.M Billets Reports'!D544</f>
      </c>
      <c r="H545">
        <f>'R.M Billets Reports'!E544</f>
      </c>
      <c r="I545">
        <f>'R.M Billets Reports'!F544</f>
      </c>
      <c r="J545">
        <f>'R.M Billets Reports'!G544</f>
      </c>
      <c r="K545">
        <f>'R.M Billets Reports'!H544</f>
      </c>
      <c r="L545">
        <f>IF('R.M Billets Reports'!I544="","",'R.M Billets Reports'!I544)</f>
      </c>
      <c r="M545">
        <f t="shared" si="16"/>
      </c>
      <c r="N545">
        <f>IF('R.M Billets Reports'!J544="","",'R.M Billets Reports'!J544)</f>
      </c>
      <c r="O545">
        <f t="shared" si="17"/>
      </c>
      <c r="P545">
        <f>IF('R.M Billets Reports'!A544="SIZE",'R.M Billets Reports'!B544,P544)</f>
      </c>
    </row>
    <row r="546" spans="1:16" x14ac:dyDescent="0.25">
      <c r="A546">
        <f>IF(OR('R.M Billets Reports'!A545="Date-",'R.M Billets Reports'!A545="Date:-"),IF(IF(IF(ISNUMBER(SEARCH("Party Name:-",'R.M Billets Reports'!D545)),TRIM('R.M Billets Reports'!F545),IF(ISNUMBER(SEARCH("Party Name-",'R.M Billets Reports'!D545)),TRIM(MID('R.M Billets Reports'!D545,SEARCH("-",'R.M Billets Reports'!D545)+1,200)),""))&lt;&gt;"",IF(ISNUMBER(SEARCH("Party Name:-",'R.M Billets Reports'!D545)),TRIM('R.M Billets Reports'!F545),IF(ISNUMBER(SEARCH("Party Name-",'R.M Billets Reports'!D545)),TRIM(MID('R.M Billets Reports'!D545,SEARCH("-",'R.M Billets Reports'!D545)+1,200)),"")),IF(ISNUMBER(SEARCH("Party Name:-",'R.M Billets Reports'!D546)),TRIM('R.M Billets Reports'!F546),IF(ISNUMBER(SEARCH("Party Name-",'R.M Billets Reports'!D546)),TRIM(MID('R.M Billets Reports'!D546,SEARCH("-",'R.M Billets Reports'!D546)+1,200)),"")))="VRKP ISPAT PVT LTD","VRKP",IF(IF(IF(ISNUMBER(SEARCH("Party Name:-",'R.M Billets Reports'!D545)),TRIM('R.M Billets Reports'!F545),IF(ISNUMBER(SEARCH("Party Name-",'R.M Billets Reports'!D545)),TRIM(MID('R.M Billets Reports'!D545,SEARCH("-",'R.M Billets Reports'!D545)+1,200)),""))&lt;&gt;"",IF(ISNUMBER(SEARCH("Party Name:-",'R.M Billets Reports'!D545)),TRIM('R.M Billets Reports'!F545),IF(ISNUMBER(SEARCH("Party Name-",'R.M Billets Reports'!D545)),TRIM(MID('R.M Billets Reports'!D545,SEARCH("-",'R.M Billets Reports'!D545)+1,200)),"")),IF(ISNUMBER(SEARCH("Party Name:-",'R.M Billets Reports'!D546)),TRIM('R.M Billets Reports'!F546),IF(ISNUMBER(SEARCH("Party Name-",'R.M Billets Reports'!D546)),TRIM(MID('R.M Billets Reports'!D546,SEARCH("-",'R.M Billets Reports'!D546)+1,200)),"")))="SHRI RADHE","SHREE RADHE",IF(IF(IF(ISNUMBER(SEARCH("Party Name:-",'R.M Billets Reports'!D545)),TRIM('R.M Billets Reports'!F545),IF(ISNUMBER(SEARCH("Party Name-",'R.M Billets Reports'!D545)),TRIM(MID('R.M Billets Reports'!D545,SEARCH("-",'R.M Billets Reports'!D545)+1,200)),""))&lt;&gt;"",IF(ISNUMBER(SEARCH("Party Name:-",'R.M Billets Reports'!D545)),TRIM('R.M Billets Reports'!F545),IF(ISNUMBER(SEARCH("Party Name-",'R.M Billets Reports'!D545)),TRIM(MID('R.M Billets Reports'!D545,SEARCH("-",'R.M Billets Reports'!D545)+1,200)),"")),IF(ISNUMBER(SEARCH("Party Name:-",'R.M Billets Reports'!D546)),TRIM('R.M Billets Reports'!F546),IF(ISNUMBER(SEARCH("Party Name-",'R.M Billets Reports'!D546)),TRIM(MID('R.M Billets Reports'!D546,SEARCH("-",'R.M Billets Reports'!D546)+1,200)),"")))="SHREE RADHE SHAKTI SPONGE AND POWER PVT. LTD.","SHREE RADHE",IF(IF(ISNUMBER(SEARCH("Party Name:-",'R.M Billets Reports'!D545)),TRIM('R.M Billets Reports'!F545),IF(ISNUMBER(SEARCH("Party Name-",'R.M Billets Reports'!D545)),TRIM(MID('R.M Billets Reports'!D545,SEARCH("-",'R.M Billets Reports'!D545)+1,200)),""))&lt;&gt;"",IF(ISNUMBER(SEARCH("Party Name:-",'R.M Billets Reports'!D545)),TRIM('R.M Billets Reports'!F545),IF(ISNUMBER(SEARCH("Party Name-",'R.M Billets Reports'!D545)),TRIM(MID('R.M Billets Reports'!D545,SEARCH("-",'R.M Billets Reports'!D545)+1,200)),"")),IF(ISNUMBER(SEARCH("Party Name:-",'R.M Billets Reports'!D546)),TRIM('R.M Billets Reports'!F546),IF(ISNUMBER(SEARCH("Party Name-",'R.M Billets Reports'!D546)),TRIM(MID('R.M Billets Reports'!D546,SEARCH("-",'R.M Billets Reports'!D546)+1,200)),"")))))),IF(ROW()=2,"",A545))</f>
      </c>
      <c r="B546">
        <f>IF(OR('R.M Billets Reports'!A545="Date-",'R.M Billets Reports'!A545="Date:-"),'R.M Billets Reports'!B545,IF(ROW()=2,"",B545))</f>
      </c>
      <c r="C546">
        <f>IF('R.M Billets Reports'!A545="V.No.",'R.M Billets Reports'!B545,IF(ROW()=2,"",C545))</f>
      </c>
      <c r="D546">
        <f>IF('R.M Billets Reports'!A545&lt;&gt;"",'R.M Billets Reports'!A545,IF(ROW()=2,"",D545))</f>
      </c>
      <c r="E546">
        <f>IF('R.M Billets Reports'!B545="","",TRIM('R.M Billets Reports'!B545))</f>
      </c>
      <c r="F546">
        <f>'R.M Billets Reports'!C545</f>
      </c>
      <c r="G546">
        <f>'R.M Billets Reports'!D545</f>
      </c>
      <c r="H546">
        <f>'R.M Billets Reports'!E545</f>
      </c>
      <c r="I546">
        <f>'R.M Billets Reports'!F545</f>
      </c>
      <c r="J546">
        <f>'R.M Billets Reports'!G545</f>
      </c>
      <c r="K546">
        <f>'R.M Billets Reports'!H545</f>
      </c>
      <c r="L546">
        <f>IF('R.M Billets Reports'!I545="","",'R.M Billets Reports'!I545)</f>
      </c>
      <c r="M546">
        <f t="shared" si="16"/>
      </c>
      <c r="N546">
        <f>IF('R.M Billets Reports'!J545="","",'R.M Billets Reports'!J545)</f>
      </c>
      <c r="O546">
        <f t="shared" si="17"/>
      </c>
      <c r="P546">
        <f>IF('R.M Billets Reports'!A545="SIZE",'R.M Billets Reports'!B545,P545)</f>
      </c>
    </row>
    <row r="547" spans="1:16" x14ac:dyDescent="0.25">
      <c r="A547">
        <f>IF(OR('R.M Billets Reports'!A546="Date-",'R.M Billets Reports'!A546="Date:-"),IF(IF(IF(ISNUMBER(SEARCH("Party Name:-",'R.M Billets Reports'!D546)),TRIM('R.M Billets Reports'!F546),IF(ISNUMBER(SEARCH("Party Name-",'R.M Billets Reports'!D546)),TRIM(MID('R.M Billets Reports'!D546,SEARCH("-",'R.M Billets Reports'!D546)+1,200)),""))&lt;&gt;"",IF(ISNUMBER(SEARCH("Party Name:-",'R.M Billets Reports'!D546)),TRIM('R.M Billets Reports'!F546),IF(ISNUMBER(SEARCH("Party Name-",'R.M Billets Reports'!D546)),TRIM(MID('R.M Billets Reports'!D546,SEARCH("-",'R.M Billets Reports'!D546)+1,200)),"")),IF(ISNUMBER(SEARCH("Party Name:-",'R.M Billets Reports'!D547)),TRIM('R.M Billets Reports'!F547),IF(ISNUMBER(SEARCH("Party Name-",'R.M Billets Reports'!D547)),TRIM(MID('R.M Billets Reports'!D547,SEARCH("-",'R.M Billets Reports'!D547)+1,200)),"")))="VRKP ISPAT PVT LTD","VRKP",IF(IF(IF(ISNUMBER(SEARCH("Party Name:-",'R.M Billets Reports'!D546)),TRIM('R.M Billets Reports'!F546),IF(ISNUMBER(SEARCH("Party Name-",'R.M Billets Reports'!D546)),TRIM(MID('R.M Billets Reports'!D546,SEARCH("-",'R.M Billets Reports'!D546)+1,200)),""))&lt;&gt;"",IF(ISNUMBER(SEARCH("Party Name:-",'R.M Billets Reports'!D546)),TRIM('R.M Billets Reports'!F546),IF(ISNUMBER(SEARCH("Party Name-",'R.M Billets Reports'!D546)),TRIM(MID('R.M Billets Reports'!D546,SEARCH("-",'R.M Billets Reports'!D546)+1,200)),"")),IF(ISNUMBER(SEARCH("Party Name:-",'R.M Billets Reports'!D547)),TRIM('R.M Billets Reports'!F547),IF(ISNUMBER(SEARCH("Party Name-",'R.M Billets Reports'!D547)),TRIM(MID('R.M Billets Reports'!D547,SEARCH("-",'R.M Billets Reports'!D547)+1,200)),"")))="SHRI RADHE","SHREE RADHE",IF(IF(IF(ISNUMBER(SEARCH("Party Name:-",'R.M Billets Reports'!D546)),TRIM('R.M Billets Reports'!F546),IF(ISNUMBER(SEARCH("Party Name-",'R.M Billets Reports'!D546)),TRIM(MID('R.M Billets Reports'!D546,SEARCH("-",'R.M Billets Reports'!D546)+1,200)),""))&lt;&gt;"",IF(ISNUMBER(SEARCH("Party Name:-",'R.M Billets Reports'!D546)),TRIM('R.M Billets Reports'!F546),IF(ISNUMBER(SEARCH("Party Name-",'R.M Billets Reports'!D546)),TRIM(MID('R.M Billets Reports'!D546,SEARCH("-",'R.M Billets Reports'!D546)+1,200)),"")),IF(ISNUMBER(SEARCH("Party Name:-",'R.M Billets Reports'!D547)),TRIM('R.M Billets Reports'!F547),IF(ISNUMBER(SEARCH("Party Name-",'R.M Billets Reports'!D547)),TRIM(MID('R.M Billets Reports'!D547,SEARCH("-",'R.M Billets Reports'!D547)+1,200)),"")))="SHREE RADHE SHAKTI SPONGE AND POWER PVT. LTD.","SHREE RADHE",IF(IF(ISNUMBER(SEARCH("Party Name:-",'R.M Billets Reports'!D546)),TRIM('R.M Billets Reports'!F546),IF(ISNUMBER(SEARCH("Party Name-",'R.M Billets Reports'!D546)),TRIM(MID('R.M Billets Reports'!D546,SEARCH("-",'R.M Billets Reports'!D546)+1,200)),""))&lt;&gt;"",IF(ISNUMBER(SEARCH("Party Name:-",'R.M Billets Reports'!D546)),TRIM('R.M Billets Reports'!F546),IF(ISNUMBER(SEARCH("Party Name-",'R.M Billets Reports'!D546)),TRIM(MID('R.M Billets Reports'!D546,SEARCH("-",'R.M Billets Reports'!D546)+1,200)),"")),IF(ISNUMBER(SEARCH("Party Name:-",'R.M Billets Reports'!D547)),TRIM('R.M Billets Reports'!F547),IF(ISNUMBER(SEARCH("Party Name-",'R.M Billets Reports'!D547)),TRIM(MID('R.M Billets Reports'!D547,SEARCH("-",'R.M Billets Reports'!D547)+1,200)),"")))))),IF(ROW()=2,"",A546))</f>
      </c>
      <c r="B547">
        <f>IF(OR('R.M Billets Reports'!A546="Date-",'R.M Billets Reports'!A546="Date:-"),'R.M Billets Reports'!B546,IF(ROW()=2,"",B546))</f>
      </c>
      <c r="C547">
        <f>IF('R.M Billets Reports'!A546="V.No.",'R.M Billets Reports'!B546,IF(ROW()=2,"",C546))</f>
      </c>
      <c r="D547">
        <f>IF('R.M Billets Reports'!A546&lt;&gt;"",'R.M Billets Reports'!A546,IF(ROW()=2,"",D546))</f>
      </c>
      <c r="E547">
        <f>IF('R.M Billets Reports'!B546="","",TRIM('R.M Billets Reports'!B546))</f>
      </c>
      <c r="F547">
        <f>'R.M Billets Reports'!C546</f>
      </c>
      <c r="G547">
        <f>'R.M Billets Reports'!D546</f>
      </c>
      <c r="H547">
        <f>'R.M Billets Reports'!E546</f>
      </c>
      <c r="I547">
        <f>'R.M Billets Reports'!F546</f>
      </c>
      <c r="J547">
        <f>'R.M Billets Reports'!G546</f>
      </c>
      <c r="K547">
        <f>'R.M Billets Reports'!H546</f>
      </c>
      <c r="L547">
        <f>IF('R.M Billets Reports'!I546="","",'R.M Billets Reports'!I546)</f>
      </c>
      <c r="M547">
        <f t="shared" si="16"/>
      </c>
      <c r="N547">
        <f>IF('R.M Billets Reports'!J546="","",'R.M Billets Reports'!J546)</f>
      </c>
      <c r="O547">
        <f t="shared" si="17"/>
      </c>
      <c r="P547">
        <f>IF('R.M Billets Reports'!A546="SIZE",'R.M Billets Reports'!B546,P546)</f>
      </c>
    </row>
    <row r="548" spans="1:16" x14ac:dyDescent="0.25">
      <c r="A548">
        <f>IF(OR('R.M Billets Reports'!A547="Date-",'R.M Billets Reports'!A547="Date:-"),IF(IF(IF(ISNUMBER(SEARCH("Party Name:-",'R.M Billets Reports'!D547)),TRIM('R.M Billets Reports'!F547),IF(ISNUMBER(SEARCH("Party Name-",'R.M Billets Reports'!D547)),TRIM(MID('R.M Billets Reports'!D547,SEARCH("-",'R.M Billets Reports'!D547)+1,200)),""))&lt;&gt;"",IF(ISNUMBER(SEARCH("Party Name:-",'R.M Billets Reports'!D547)),TRIM('R.M Billets Reports'!F547),IF(ISNUMBER(SEARCH("Party Name-",'R.M Billets Reports'!D547)),TRIM(MID('R.M Billets Reports'!D547,SEARCH("-",'R.M Billets Reports'!D547)+1,200)),"")),IF(ISNUMBER(SEARCH("Party Name:-",'R.M Billets Reports'!D548)),TRIM('R.M Billets Reports'!F548),IF(ISNUMBER(SEARCH("Party Name-",'R.M Billets Reports'!D548)),TRIM(MID('R.M Billets Reports'!D548,SEARCH("-",'R.M Billets Reports'!D548)+1,200)),"")))="VRKP ISPAT PVT LTD","VRKP",IF(IF(IF(ISNUMBER(SEARCH("Party Name:-",'R.M Billets Reports'!D547)),TRIM('R.M Billets Reports'!F547),IF(ISNUMBER(SEARCH("Party Name-",'R.M Billets Reports'!D547)),TRIM(MID('R.M Billets Reports'!D547,SEARCH("-",'R.M Billets Reports'!D547)+1,200)),""))&lt;&gt;"",IF(ISNUMBER(SEARCH("Party Name:-",'R.M Billets Reports'!D547)),TRIM('R.M Billets Reports'!F547),IF(ISNUMBER(SEARCH("Party Name-",'R.M Billets Reports'!D547)),TRIM(MID('R.M Billets Reports'!D547,SEARCH("-",'R.M Billets Reports'!D547)+1,200)),"")),IF(ISNUMBER(SEARCH("Party Name:-",'R.M Billets Reports'!D548)),TRIM('R.M Billets Reports'!F548),IF(ISNUMBER(SEARCH("Party Name-",'R.M Billets Reports'!D548)),TRIM(MID('R.M Billets Reports'!D548,SEARCH("-",'R.M Billets Reports'!D548)+1,200)),"")))="SHRI RADHE","SHREE RADHE",IF(IF(IF(ISNUMBER(SEARCH("Party Name:-",'R.M Billets Reports'!D547)),TRIM('R.M Billets Reports'!F547),IF(ISNUMBER(SEARCH("Party Name-",'R.M Billets Reports'!D547)),TRIM(MID('R.M Billets Reports'!D547,SEARCH("-",'R.M Billets Reports'!D547)+1,200)),""))&lt;&gt;"",IF(ISNUMBER(SEARCH("Party Name:-",'R.M Billets Reports'!D547)),TRIM('R.M Billets Reports'!F547),IF(ISNUMBER(SEARCH("Party Name-",'R.M Billets Reports'!D547)),TRIM(MID('R.M Billets Reports'!D547,SEARCH("-",'R.M Billets Reports'!D547)+1,200)),"")),IF(ISNUMBER(SEARCH("Party Name:-",'R.M Billets Reports'!D548)),TRIM('R.M Billets Reports'!F548),IF(ISNUMBER(SEARCH("Party Name-",'R.M Billets Reports'!D548)),TRIM(MID('R.M Billets Reports'!D548,SEARCH("-",'R.M Billets Reports'!D548)+1,200)),"")))="SHREE RADHE SHAKTI SPONGE AND POWER PVT. LTD.","SHREE RADHE",IF(IF(ISNUMBER(SEARCH("Party Name:-",'R.M Billets Reports'!D547)),TRIM('R.M Billets Reports'!F547),IF(ISNUMBER(SEARCH("Party Name-",'R.M Billets Reports'!D547)),TRIM(MID('R.M Billets Reports'!D547,SEARCH("-",'R.M Billets Reports'!D547)+1,200)),""))&lt;&gt;"",IF(ISNUMBER(SEARCH("Party Name:-",'R.M Billets Reports'!D547)),TRIM('R.M Billets Reports'!F547),IF(ISNUMBER(SEARCH("Party Name-",'R.M Billets Reports'!D547)),TRIM(MID('R.M Billets Reports'!D547,SEARCH("-",'R.M Billets Reports'!D547)+1,200)),"")),IF(ISNUMBER(SEARCH("Party Name:-",'R.M Billets Reports'!D548)),TRIM('R.M Billets Reports'!F548),IF(ISNUMBER(SEARCH("Party Name-",'R.M Billets Reports'!D548)),TRIM(MID('R.M Billets Reports'!D548,SEARCH("-",'R.M Billets Reports'!D548)+1,200)),"")))))),IF(ROW()=2,"",A547))</f>
      </c>
      <c r="B548">
        <f>IF(OR('R.M Billets Reports'!A547="Date-",'R.M Billets Reports'!A547="Date:-"),'R.M Billets Reports'!B547,IF(ROW()=2,"",B547))</f>
      </c>
      <c r="C548">
        <f>IF('R.M Billets Reports'!A547="V.No.",'R.M Billets Reports'!B547,IF(ROW()=2,"",C547))</f>
      </c>
      <c r="D548">
        <f>IF('R.M Billets Reports'!A547&lt;&gt;"",'R.M Billets Reports'!A547,IF(ROW()=2,"",D547))</f>
      </c>
      <c r="E548">
        <f>IF('R.M Billets Reports'!B547="","",TRIM('R.M Billets Reports'!B547))</f>
      </c>
      <c r="F548">
        <f>'R.M Billets Reports'!C547</f>
      </c>
      <c r="G548">
        <f>'R.M Billets Reports'!D547</f>
      </c>
      <c r="H548">
        <f>'R.M Billets Reports'!E547</f>
      </c>
      <c r="I548">
        <f>'R.M Billets Reports'!F547</f>
      </c>
      <c r="J548">
        <f>'R.M Billets Reports'!G547</f>
      </c>
      <c r="K548">
        <f>'R.M Billets Reports'!H547</f>
      </c>
      <c r="L548">
        <f>IF('R.M Billets Reports'!I547="","",'R.M Billets Reports'!I547)</f>
      </c>
      <c r="M548">
        <f t="shared" si="16"/>
      </c>
      <c r="N548">
        <f>IF('R.M Billets Reports'!J547="","",'R.M Billets Reports'!J547)</f>
      </c>
      <c r="O548">
        <f t="shared" si="17"/>
      </c>
      <c r="P548">
        <f>IF('R.M Billets Reports'!A547="SIZE",'R.M Billets Reports'!B547,P547)</f>
      </c>
    </row>
    <row r="549" spans="1:16" x14ac:dyDescent="0.25">
      <c r="A549">
        <f>IF(OR('R.M Billets Reports'!A548="Date-",'R.M Billets Reports'!A548="Date:-"),IF(IF(IF(ISNUMBER(SEARCH("Party Name:-",'R.M Billets Reports'!D548)),TRIM('R.M Billets Reports'!F548),IF(ISNUMBER(SEARCH("Party Name-",'R.M Billets Reports'!D548)),TRIM(MID('R.M Billets Reports'!D548,SEARCH("-",'R.M Billets Reports'!D548)+1,200)),""))&lt;&gt;"",IF(ISNUMBER(SEARCH("Party Name:-",'R.M Billets Reports'!D548)),TRIM('R.M Billets Reports'!F548),IF(ISNUMBER(SEARCH("Party Name-",'R.M Billets Reports'!D548)),TRIM(MID('R.M Billets Reports'!D548,SEARCH("-",'R.M Billets Reports'!D548)+1,200)),"")),IF(ISNUMBER(SEARCH("Party Name:-",'R.M Billets Reports'!D549)),TRIM('R.M Billets Reports'!F549),IF(ISNUMBER(SEARCH("Party Name-",'R.M Billets Reports'!D549)),TRIM(MID('R.M Billets Reports'!D549,SEARCH("-",'R.M Billets Reports'!D549)+1,200)),"")))="VRKP ISPAT PVT LTD","VRKP",IF(IF(IF(ISNUMBER(SEARCH("Party Name:-",'R.M Billets Reports'!D548)),TRIM('R.M Billets Reports'!F548),IF(ISNUMBER(SEARCH("Party Name-",'R.M Billets Reports'!D548)),TRIM(MID('R.M Billets Reports'!D548,SEARCH("-",'R.M Billets Reports'!D548)+1,200)),""))&lt;&gt;"",IF(ISNUMBER(SEARCH("Party Name:-",'R.M Billets Reports'!D548)),TRIM('R.M Billets Reports'!F548),IF(ISNUMBER(SEARCH("Party Name-",'R.M Billets Reports'!D548)),TRIM(MID('R.M Billets Reports'!D548,SEARCH("-",'R.M Billets Reports'!D548)+1,200)),"")),IF(ISNUMBER(SEARCH("Party Name:-",'R.M Billets Reports'!D549)),TRIM('R.M Billets Reports'!F549),IF(ISNUMBER(SEARCH("Party Name-",'R.M Billets Reports'!D549)),TRIM(MID('R.M Billets Reports'!D549,SEARCH("-",'R.M Billets Reports'!D549)+1,200)),"")))="SHRI RADHE","SHREE RADHE",IF(IF(IF(ISNUMBER(SEARCH("Party Name:-",'R.M Billets Reports'!D548)),TRIM('R.M Billets Reports'!F548),IF(ISNUMBER(SEARCH("Party Name-",'R.M Billets Reports'!D548)),TRIM(MID('R.M Billets Reports'!D548,SEARCH("-",'R.M Billets Reports'!D548)+1,200)),""))&lt;&gt;"",IF(ISNUMBER(SEARCH("Party Name:-",'R.M Billets Reports'!D548)),TRIM('R.M Billets Reports'!F548),IF(ISNUMBER(SEARCH("Party Name-",'R.M Billets Reports'!D548)),TRIM(MID('R.M Billets Reports'!D548,SEARCH("-",'R.M Billets Reports'!D548)+1,200)),"")),IF(ISNUMBER(SEARCH("Party Name:-",'R.M Billets Reports'!D549)),TRIM('R.M Billets Reports'!F549),IF(ISNUMBER(SEARCH("Party Name-",'R.M Billets Reports'!D549)),TRIM(MID('R.M Billets Reports'!D549,SEARCH("-",'R.M Billets Reports'!D549)+1,200)),"")))="SHREE RADHE SHAKTI SPONGE AND POWER PVT. LTD.","SHREE RADHE",IF(IF(ISNUMBER(SEARCH("Party Name:-",'R.M Billets Reports'!D548)),TRIM('R.M Billets Reports'!F548),IF(ISNUMBER(SEARCH("Party Name-",'R.M Billets Reports'!D548)),TRIM(MID('R.M Billets Reports'!D548,SEARCH("-",'R.M Billets Reports'!D548)+1,200)),""))&lt;&gt;"",IF(ISNUMBER(SEARCH("Party Name:-",'R.M Billets Reports'!D548)),TRIM('R.M Billets Reports'!F548),IF(ISNUMBER(SEARCH("Party Name-",'R.M Billets Reports'!D548)),TRIM(MID('R.M Billets Reports'!D548,SEARCH("-",'R.M Billets Reports'!D548)+1,200)),"")),IF(ISNUMBER(SEARCH("Party Name:-",'R.M Billets Reports'!D549)),TRIM('R.M Billets Reports'!F549),IF(ISNUMBER(SEARCH("Party Name-",'R.M Billets Reports'!D549)),TRIM(MID('R.M Billets Reports'!D549,SEARCH("-",'R.M Billets Reports'!D549)+1,200)),"")))))),IF(ROW()=2,"",A548))</f>
      </c>
      <c r="B549">
        <f>IF(OR('R.M Billets Reports'!A548="Date-",'R.M Billets Reports'!A548="Date:-"),'R.M Billets Reports'!B548,IF(ROW()=2,"",B548))</f>
      </c>
      <c r="C549">
        <f>IF('R.M Billets Reports'!A548="V.No.",'R.M Billets Reports'!B548,IF(ROW()=2,"",C548))</f>
      </c>
      <c r="D549">
        <f>IF('R.M Billets Reports'!A548&lt;&gt;"",'R.M Billets Reports'!A548,IF(ROW()=2,"",D548))</f>
      </c>
      <c r="E549">
        <f>IF('R.M Billets Reports'!B548="","",TRIM('R.M Billets Reports'!B548))</f>
      </c>
      <c r="F549">
        <f>'R.M Billets Reports'!C548</f>
      </c>
      <c r="G549">
        <f>'R.M Billets Reports'!D548</f>
      </c>
      <c r="H549">
        <f>'R.M Billets Reports'!E548</f>
      </c>
      <c r="I549">
        <f>'R.M Billets Reports'!F548</f>
      </c>
      <c r="J549">
        <f>'R.M Billets Reports'!G548</f>
      </c>
      <c r="K549">
        <f>'R.M Billets Reports'!H548</f>
      </c>
      <c r="L549">
        <f>IF('R.M Billets Reports'!I548="","",'R.M Billets Reports'!I548)</f>
      </c>
      <c r="M549">
        <f t="shared" si="16"/>
      </c>
      <c r="N549">
        <f>IF('R.M Billets Reports'!J548="","",'R.M Billets Reports'!J548)</f>
      </c>
      <c r="O549">
        <f t="shared" si="17"/>
      </c>
      <c r="P549">
        <f>IF('R.M Billets Reports'!A548="SIZE",'R.M Billets Reports'!B548,P548)</f>
      </c>
    </row>
    <row r="550" spans="1:16" x14ac:dyDescent="0.25">
      <c r="A550">
        <f>IF(OR('R.M Billets Reports'!A549="Date-",'R.M Billets Reports'!A549="Date:-"),IF(IF(IF(ISNUMBER(SEARCH("Party Name:-",'R.M Billets Reports'!D549)),TRIM('R.M Billets Reports'!F549),IF(ISNUMBER(SEARCH("Party Name-",'R.M Billets Reports'!D549)),TRIM(MID('R.M Billets Reports'!D549,SEARCH("-",'R.M Billets Reports'!D549)+1,200)),""))&lt;&gt;"",IF(ISNUMBER(SEARCH("Party Name:-",'R.M Billets Reports'!D549)),TRIM('R.M Billets Reports'!F549),IF(ISNUMBER(SEARCH("Party Name-",'R.M Billets Reports'!D549)),TRIM(MID('R.M Billets Reports'!D549,SEARCH("-",'R.M Billets Reports'!D549)+1,200)),"")),IF(ISNUMBER(SEARCH("Party Name:-",'R.M Billets Reports'!D550)),TRIM('R.M Billets Reports'!F550),IF(ISNUMBER(SEARCH("Party Name-",'R.M Billets Reports'!D550)),TRIM(MID('R.M Billets Reports'!D550,SEARCH("-",'R.M Billets Reports'!D550)+1,200)),"")))="VRKP ISPAT PVT LTD","VRKP",IF(IF(IF(ISNUMBER(SEARCH("Party Name:-",'R.M Billets Reports'!D549)),TRIM('R.M Billets Reports'!F549),IF(ISNUMBER(SEARCH("Party Name-",'R.M Billets Reports'!D549)),TRIM(MID('R.M Billets Reports'!D549,SEARCH("-",'R.M Billets Reports'!D549)+1,200)),""))&lt;&gt;"",IF(ISNUMBER(SEARCH("Party Name:-",'R.M Billets Reports'!D549)),TRIM('R.M Billets Reports'!F549),IF(ISNUMBER(SEARCH("Party Name-",'R.M Billets Reports'!D549)),TRIM(MID('R.M Billets Reports'!D549,SEARCH("-",'R.M Billets Reports'!D549)+1,200)),"")),IF(ISNUMBER(SEARCH("Party Name:-",'R.M Billets Reports'!D550)),TRIM('R.M Billets Reports'!F550),IF(ISNUMBER(SEARCH("Party Name-",'R.M Billets Reports'!D550)),TRIM(MID('R.M Billets Reports'!D550,SEARCH("-",'R.M Billets Reports'!D550)+1,200)),"")))="SHRI RADHE","SHREE RADHE",IF(IF(IF(ISNUMBER(SEARCH("Party Name:-",'R.M Billets Reports'!D549)),TRIM('R.M Billets Reports'!F549),IF(ISNUMBER(SEARCH("Party Name-",'R.M Billets Reports'!D549)),TRIM(MID('R.M Billets Reports'!D549,SEARCH("-",'R.M Billets Reports'!D549)+1,200)),""))&lt;&gt;"",IF(ISNUMBER(SEARCH("Party Name:-",'R.M Billets Reports'!D549)),TRIM('R.M Billets Reports'!F549),IF(ISNUMBER(SEARCH("Party Name-",'R.M Billets Reports'!D549)),TRIM(MID('R.M Billets Reports'!D549,SEARCH("-",'R.M Billets Reports'!D549)+1,200)),"")),IF(ISNUMBER(SEARCH("Party Name:-",'R.M Billets Reports'!D550)),TRIM('R.M Billets Reports'!F550),IF(ISNUMBER(SEARCH("Party Name-",'R.M Billets Reports'!D550)),TRIM(MID('R.M Billets Reports'!D550,SEARCH("-",'R.M Billets Reports'!D550)+1,200)),"")))="SHREE RADHE SHAKTI SPONGE AND POWER PVT. LTD.","SHREE RADHE",IF(IF(ISNUMBER(SEARCH("Party Name:-",'R.M Billets Reports'!D549)),TRIM('R.M Billets Reports'!F549),IF(ISNUMBER(SEARCH("Party Name-",'R.M Billets Reports'!D549)),TRIM(MID('R.M Billets Reports'!D549,SEARCH("-",'R.M Billets Reports'!D549)+1,200)),""))&lt;&gt;"",IF(ISNUMBER(SEARCH("Party Name:-",'R.M Billets Reports'!D549)),TRIM('R.M Billets Reports'!F549),IF(ISNUMBER(SEARCH("Party Name-",'R.M Billets Reports'!D549)),TRIM(MID('R.M Billets Reports'!D549,SEARCH("-",'R.M Billets Reports'!D549)+1,200)),"")),IF(ISNUMBER(SEARCH("Party Name:-",'R.M Billets Reports'!D550)),TRIM('R.M Billets Reports'!F550),IF(ISNUMBER(SEARCH("Party Name-",'R.M Billets Reports'!D550)),TRIM(MID('R.M Billets Reports'!D550,SEARCH("-",'R.M Billets Reports'!D550)+1,200)),"")))))),IF(ROW()=2,"",A549))</f>
      </c>
      <c r="B550">
        <f>IF(OR('R.M Billets Reports'!A549="Date-",'R.M Billets Reports'!A549="Date:-"),'R.M Billets Reports'!B549,IF(ROW()=2,"",B549))</f>
      </c>
      <c r="C550">
        <f>IF('R.M Billets Reports'!A549="V.No.",'R.M Billets Reports'!B549,IF(ROW()=2,"",C549))</f>
      </c>
      <c r="D550">
        <f>IF('R.M Billets Reports'!A549&lt;&gt;"",'R.M Billets Reports'!A549,IF(ROW()=2,"",D549))</f>
      </c>
      <c r="E550">
        <f>IF('R.M Billets Reports'!B549="","",TRIM('R.M Billets Reports'!B549))</f>
      </c>
      <c r="F550">
        <f>'R.M Billets Reports'!C549</f>
      </c>
      <c r="G550">
        <f>'R.M Billets Reports'!D549</f>
      </c>
      <c r="H550">
        <f>'R.M Billets Reports'!E549</f>
      </c>
      <c r="I550">
        <f>'R.M Billets Reports'!F549</f>
      </c>
      <c r="J550">
        <f>'R.M Billets Reports'!G549</f>
      </c>
      <c r="K550">
        <f>'R.M Billets Reports'!H549</f>
      </c>
      <c r="L550">
        <f>IF('R.M Billets Reports'!I549="","",'R.M Billets Reports'!I549)</f>
      </c>
      <c r="M550">
        <f t="shared" si="16"/>
      </c>
      <c r="N550">
        <f>IF('R.M Billets Reports'!J549="","",'R.M Billets Reports'!J549)</f>
      </c>
      <c r="O550">
        <f t="shared" si="17"/>
      </c>
      <c r="P550">
        <f>IF('R.M Billets Reports'!A549="SIZE",'R.M Billets Reports'!B549,P549)</f>
      </c>
    </row>
    <row r="551" spans="1:16" x14ac:dyDescent="0.25">
      <c r="A551">
        <f>IF(OR('R.M Billets Reports'!A550="Date-",'R.M Billets Reports'!A550="Date:-"),IF(IF(IF(ISNUMBER(SEARCH("Party Name:-",'R.M Billets Reports'!D550)),TRIM('R.M Billets Reports'!F550),IF(ISNUMBER(SEARCH("Party Name-",'R.M Billets Reports'!D550)),TRIM(MID('R.M Billets Reports'!D550,SEARCH("-",'R.M Billets Reports'!D550)+1,200)),""))&lt;&gt;"",IF(ISNUMBER(SEARCH("Party Name:-",'R.M Billets Reports'!D550)),TRIM('R.M Billets Reports'!F550),IF(ISNUMBER(SEARCH("Party Name-",'R.M Billets Reports'!D550)),TRIM(MID('R.M Billets Reports'!D550,SEARCH("-",'R.M Billets Reports'!D550)+1,200)),"")),IF(ISNUMBER(SEARCH("Party Name:-",'R.M Billets Reports'!D551)),TRIM('R.M Billets Reports'!F551),IF(ISNUMBER(SEARCH("Party Name-",'R.M Billets Reports'!D551)),TRIM(MID('R.M Billets Reports'!D551,SEARCH("-",'R.M Billets Reports'!D551)+1,200)),"")))="VRKP ISPAT PVT LTD","VRKP",IF(IF(IF(ISNUMBER(SEARCH("Party Name:-",'R.M Billets Reports'!D550)),TRIM('R.M Billets Reports'!F550),IF(ISNUMBER(SEARCH("Party Name-",'R.M Billets Reports'!D550)),TRIM(MID('R.M Billets Reports'!D550,SEARCH("-",'R.M Billets Reports'!D550)+1,200)),""))&lt;&gt;"",IF(ISNUMBER(SEARCH("Party Name:-",'R.M Billets Reports'!D550)),TRIM('R.M Billets Reports'!F550),IF(ISNUMBER(SEARCH("Party Name-",'R.M Billets Reports'!D550)),TRIM(MID('R.M Billets Reports'!D550,SEARCH("-",'R.M Billets Reports'!D550)+1,200)),"")),IF(ISNUMBER(SEARCH("Party Name:-",'R.M Billets Reports'!D551)),TRIM('R.M Billets Reports'!F551),IF(ISNUMBER(SEARCH("Party Name-",'R.M Billets Reports'!D551)),TRIM(MID('R.M Billets Reports'!D551,SEARCH("-",'R.M Billets Reports'!D551)+1,200)),"")))="SHRI RADHE","SHREE RADHE",IF(IF(IF(ISNUMBER(SEARCH("Party Name:-",'R.M Billets Reports'!D550)),TRIM('R.M Billets Reports'!F550),IF(ISNUMBER(SEARCH("Party Name-",'R.M Billets Reports'!D550)),TRIM(MID('R.M Billets Reports'!D550,SEARCH("-",'R.M Billets Reports'!D550)+1,200)),""))&lt;&gt;"",IF(ISNUMBER(SEARCH("Party Name:-",'R.M Billets Reports'!D550)),TRIM('R.M Billets Reports'!F550),IF(ISNUMBER(SEARCH("Party Name-",'R.M Billets Reports'!D550)),TRIM(MID('R.M Billets Reports'!D550,SEARCH("-",'R.M Billets Reports'!D550)+1,200)),"")),IF(ISNUMBER(SEARCH("Party Name:-",'R.M Billets Reports'!D551)),TRIM('R.M Billets Reports'!F551),IF(ISNUMBER(SEARCH("Party Name-",'R.M Billets Reports'!D551)),TRIM(MID('R.M Billets Reports'!D551,SEARCH("-",'R.M Billets Reports'!D551)+1,200)),"")))="SHREE RADHE SHAKTI SPONGE AND POWER PVT. LTD.","SHREE RADHE",IF(IF(ISNUMBER(SEARCH("Party Name:-",'R.M Billets Reports'!D550)),TRIM('R.M Billets Reports'!F550),IF(ISNUMBER(SEARCH("Party Name-",'R.M Billets Reports'!D550)),TRIM(MID('R.M Billets Reports'!D550,SEARCH("-",'R.M Billets Reports'!D550)+1,200)),""))&lt;&gt;"",IF(ISNUMBER(SEARCH("Party Name:-",'R.M Billets Reports'!D550)),TRIM('R.M Billets Reports'!F550),IF(ISNUMBER(SEARCH("Party Name-",'R.M Billets Reports'!D550)),TRIM(MID('R.M Billets Reports'!D550,SEARCH("-",'R.M Billets Reports'!D550)+1,200)),"")),IF(ISNUMBER(SEARCH("Party Name:-",'R.M Billets Reports'!D551)),TRIM('R.M Billets Reports'!F551),IF(ISNUMBER(SEARCH("Party Name-",'R.M Billets Reports'!D551)),TRIM(MID('R.M Billets Reports'!D551,SEARCH("-",'R.M Billets Reports'!D551)+1,200)),"")))))),IF(ROW()=2,"",A550))</f>
      </c>
      <c r="B551">
        <f>IF(OR('R.M Billets Reports'!A550="Date-",'R.M Billets Reports'!A550="Date:-"),'R.M Billets Reports'!B550,IF(ROW()=2,"",B550))</f>
      </c>
      <c r="C551">
        <f>IF('R.M Billets Reports'!A550="V.No.",'R.M Billets Reports'!B550,IF(ROW()=2,"",C550))</f>
      </c>
      <c r="D551">
        <f>IF('R.M Billets Reports'!A550&lt;&gt;"",'R.M Billets Reports'!A550,IF(ROW()=2,"",D550))</f>
      </c>
      <c r="E551">
        <f>IF('R.M Billets Reports'!B550="","",TRIM('R.M Billets Reports'!B550))</f>
      </c>
      <c r="F551">
        <f>'R.M Billets Reports'!C550</f>
      </c>
      <c r="G551">
        <f>'R.M Billets Reports'!D550</f>
      </c>
      <c r="H551">
        <f>'R.M Billets Reports'!E550</f>
      </c>
      <c r="I551">
        <f>'R.M Billets Reports'!F550</f>
      </c>
      <c r="J551">
        <f>'R.M Billets Reports'!G550</f>
      </c>
      <c r="K551">
        <f>'R.M Billets Reports'!H550</f>
      </c>
      <c r="L551">
        <f>IF('R.M Billets Reports'!I550="","",'R.M Billets Reports'!I550)</f>
      </c>
      <c r="M551">
        <f t="shared" si="16"/>
      </c>
      <c r="N551">
        <f>IF('R.M Billets Reports'!J550="","",'R.M Billets Reports'!J550)</f>
      </c>
      <c r="O551">
        <f t="shared" si="17"/>
      </c>
      <c r="P551">
        <f>IF('R.M Billets Reports'!A550="SIZE",'R.M Billets Reports'!B550,P550)</f>
      </c>
    </row>
    <row r="552" spans="1:16" x14ac:dyDescent="0.25">
      <c r="A552">
        <f>IF(OR('R.M Billets Reports'!A551="Date-",'R.M Billets Reports'!A551="Date:-"),IF(IF(IF(ISNUMBER(SEARCH("Party Name:-",'R.M Billets Reports'!D551)),TRIM('R.M Billets Reports'!F551),IF(ISNUMBER(SEARCH("Party Name-",'R.M Billets Reports'!D551)),TRIM(MID('R.M Billets Reports'!D551,SEARCH("-",'R.M Billets Reports'!D551)+1,200)),""))&lt;&gt;"",IF(ISNUMBER(SEARCH("Party Name:-",'R.M Billets Reports'!D551)),TRIM('R.M Billets Reports'!F551),IF(ISNUMBER(SEARCH("Party Name-",'R.M Billets Reports'!D551)),TRIM(MID('R.M Billets Reports'!D551,SEARCH("-",'R.M Billets Reports'!D551)+1,200)),"")),IF(ISNUMBER(SEARCH("Party Name:-",'R.M Billets Reports'!D552)),TRIM('R.M Billets Reports'!F552),IF(ISNUMBER(SEARCH("Party Name-",'R.M Billets Reports'!D552)),TRIM(MID('R.M Billets Reports'!D552,SEARCH("-",'R.M Billets Reports'!D552)+1,200)),"")))="VRKP ISPAT PVT LTD","VRKP",IF(IF(IF(ISNUMBER(SEARCH("Party Name:-",'R.M Billets Reports'!D551)),TRIM('R.M Billets Reports'!F551),IF(ISNUMBER(SEARCH("Party Name-",'R.M Billets Reports'!D551)),TRIM(MID('R.M Billets Reports'!D551,SEARCH("-",'R.M Billets Reports'!D551)+1,200)),""))&lt;&gt;"",IF(ISNUMBER(SEARCH("Party Name:-",'R.M Billets Reports'!D551)),TRIM('R.M Billets Reports'!F551),IF(ISNUMBER(SEARCH("Party Name-",'R.M Billets Reports'!D551)),TRIM(MID('R.M Billets Reports'!D551,SEARCH("-",'R.M Billets Reports'!D551)+1,200)),"")),IF(ISNUMBER(SEARCH("Party Name:-",'R.M Billets Reports'!D552)),TRIM('R.M Billets Reports'!F552),IF(ISNUMBER(SEARCH("Party Name-",'R.M Billets Reports'!D552)),TRIM(MID('R.M Billets Reports'!D552,SEARCH("-",'R.M Billets Reports'!D552)+1,200)),"")))="SHRI RADHE","SHREE RADHE",IF(IF(IF(ISNUMBER(SEARCH("Party Name:-",'R.M Billets Reports'!D551)),TRIM('R.M Billets Reports'!F551),IF(ISNUMBER(SEARCH("Party Name-",'R.M Billets Reports'!D551)),TRIM(MID('R.M Billets Reports'!D551,SEARCH("-",'R.M Billets Reports'!D551)+1,200)),""))&lt;&gt;"",IF(ISNUMBER(SEARCH("Party Name:-",'R.M Billets Reports'!D551)),TRIM('R.M Billets Reports'!F551),IF(ISNUMBER(SEARCH("Party Name-",'R.M Billets Reports'!D551)),TRIM(MID('R.M Billets Reports'!D551,SEARCH("-",'R.M Billets Reports'!D551)+1,200)),"")),IF(ISNUMBER(SEARCH("Party Name:-",'R.M Billets Reports'!D552)),TRIM('R.M Billets Reports'!F552),IF(ISNUMBER(SEARCH("Party Name-",'R.M Billets Reports'!D552)),TRIM(MID('R.M Billets Reports'!D552,SEARCH("-",'R.M Billets Reports'!D552)+1,200)),"")))="SHREE RADHE SHAKTI SPONGE AND POWER PVT. LTD.","SHREE RADHE",IF(IF(ISNUMBER(SEARCH("Party Name:-",'R.M Billets Reports'!D551)),TRIM('R.M Billets Reports'!F551),IF(ISNUMBER(SEARCH("Party Name-",'R.M Billets Reports'!D551)),TRIM(MID('R.M Billets Reports'!D551,SEARCH("-",'R.M Billets Reports'!D551)+1,200)),""))&lt;&gt;"",IF(ISNUMBER(SEARCH("Party Name:-",'R.M Billets Reports'!D551)),TRIM('R.M Billets Reports'!F551),IF(ISNUMBER(SEARCH("Party Name-",'R.M Billets Reports'!D551)),TRIM(MID('R.M Billets Reports'!D551,SEARCH("-",'R.M Billets Reports'!D551)+1,200)),"")),IF(ISNUMBER(SEARCH("Party Name:-",'R.M Billets Reports'!D552)),TRIM('R.M Billets Reports'!F552),IF(ISNUMBER(SEARCH("Party Name-",'R.M Billets Reports'!D552)),TRIM(MID('R.M Billets Reports'!D552,SEARCH("-",'R.M Billets Reports'!D552)+1,200)),"")))))),IF(ROW()=2,"",A551))</f>
      </c>
      <c r="B552">
        <f>IF(OR('R.M Billets Reports'!A551="Date-",'R.M Billets Reports'!A551="Date:-"),'R.M Billets Reports'!B551,IF(ROW()=2,"",B551))</f>
      </c>
      <c r="C552">
        <f>IF('R.M Billets Reports'!A551="V.No.",'R.M Billets Reports'!B551,IF(ROW()=2,"",C551))</f>
      </c>
      <c r="D552">
        <f>IF('R.M Billets Reports'!A551&lt;&gt;"",'R.M Billets Reports'!A551,IF(ROW()=2,"",D551))</f>
      </c>
      <c r="E552">
        <f>IF('R.M Billets Reports'!B551="","",TRIM('R.M Billets Reports'!B551))</f>
      </c>
      <c r="F552">
        <f>'R.M Billets Reports'!C551</f>
      </c>
      <c r="G552">
        <f>'R.M Billets Reports'!D551</f>
      </c>
      <c r="H552">
        <f>'R.M Billets Reports'!E551</f>
      </c>
      <c r="I552">
        <f>'R.M Billets Reports'!F551</f>
      </c>
      <c r="J552">
        <f>'R.M Billets Reports'!G551</f>
      </c>
      <c r="K552">
        <f>'R.M Billets Reports'!H551</f>
      </c>
      <c r="L552">
        <f>IF('R.M Billets Reports'!I551="","",'R.M Billets Reports'!I551)</f>
      </c>
      <c r="M552">
        <f t="shared" si="16"/>
      </c>
      <c r="N552">
        <f>IF('R.M Billets Reports'!J551="","",'R.M Billets Reports'!J551)</f>
      </c>
      <c r="O552">
        <f t="shared" si="17"/>
      </c>
      <c r="P552">
        <f>IF('R.M Billets Reports'!A551="SIZE",'R.M Billets Reports'!B551,P551)</f>
      </c>
    </row>
    <row r="553" spans="1:16" x14ac:dyDescent="0.25">
      <c r="A553">
        <f>IF(OR('R.M Billets Reports'!A552="Date-",'R.M Billets Reports'!A552="Date:-"),IF(IF(IF(ISNUMBER(SEARCH("Party Name:-",'R.M Billets Reports'!D552)),TRIM('R.M Billets Reports'!F552),IF(ISNUMBER(SEARCH("Party Name-",'R.M Billets Reports'!D552)),TRIM(MID('R.M Billets Reports'!D552,SEARCH("-",'R.M Billets Reports'!D552)+1,200)),""))&lt;&gt;"",IF(ISNUMBER(SEARCH("Party Name:-",'R.M Billets Reports'!D552)),TRIM('R.M Billets Reports'!F552),IF(ISNUMBER(SEARCH("Party Name-",'R.M Billets Reports'!D552)),TRIM(MID('R.M Billets Reports'!D552,SEARCH("-",'R.M Billets Reports'!D552)+1,200)),"")),IF(ISNUMBER(SEARCH("Party Name:-",'R.M Billets Reports'!D553)),TRIM('R.M Billets Reports'!F553),IF(ISNUMBER(SEARCH("Party Name-",'R.M Billets Reports'!D553)),TRIM(MID('R.M Billets Reports'!D553,SEARCH("-",'R.M Billets Reports'!D553)+1,200)),"")))="VRKP ISPAT PVT LTD","VRKP",IF(IF(IF(ISNUMBER(SEARCH("Party Name:-",'R.M Billets Reports'!D552)),TRIM('R.M Billets Reports'!F552),IF(ISNUMBER(SEARCH("Party Name-",'R.M Billets Reports'!D552)),TRIM(MID('R.M Billets Reports'!D552,SEARCH("-",'R.M Billets Reports'!D552)+1,200)),""))&lt;&gt;"",IF(ISNUMBER(SEARCH("Party Name:-",'R.M Billets Reports'!D552)),TRIM('R.M Billets Reports'!F552),IF(ISNUMBER(SEARCH("Party Name-",'R.M Billets Reports'!D552)),TRIM(MID('R.M Billets Reports'!D552,SEARCH("-",'R.M Billets Reports'!D552)+1,200)),"")),IF(ISNUMBER(SEARCH("Party Name:-",'R.M Billets Reports'!D553)),TRIM('R.M Billets Reports'!F553),IF(ISNUMBER(SEARCH("Party Name-",'R.M Billets Reports'!D553)),TRIM(MID('R.M Billets Reports'!D553,SEARCH("-",'R.M Billets Reports'!D553)+1,200)),"")))="SHRI RADHE","SHREE RADHE",IF(IF(IF(ISNUMBER(SEARCH("Party Name:-",'R.M Billets Reports'!D552)),TRIM('R.M Billets Reports'!F552),IF(ISNUMBER(SEARCH("Party Name-",'R.M Billets Reports'!D552)),TRIM(MID('R.M Billets Reports'!D552,SEARCH("-",'R.M Billets Reports'!D552)+1,200)),""))&lt;&gt;"",IF(ISNUMBER(SEARCH("Party Name:-",'R.M Billets Reports'!D552)),TRIM('R.M Billets Reports'!F552),IF(ISNUMBER(SEARCH("Party Name-",'R.M Billets Reports'!D552)),TRIM(MID('R.M Billets Reports'!D552,SEARCH("-",'R.M Billets Reports'!D552)+1,200)),"")),IF(ISNUMBER(SEARCH("Party Name:-",'R.M Billets Reports'!D553)),TRIM('R.M Billets Reports'!F553),IF(ISNUMBER(SEARCH("Party Name-",'R.M Billets Reports'!D553)),TRIM(MID('R.M Billets Reports'!D553,SEARCH("-",'R.M Billets Reports'!D553)+1,200)),"")))="SHREE RADHE SHAKTI SPONGE AND POWER PVT. LTD.","SHREE RADHE",IF(IF(ISNUMBER(SEARCH("Party Name:-",'R.M Billets Reports'!D552)),TRIM('R.M Billets Reports'!F552),IF(ISNUMBER(SEARCH("Party Name-",'R.M Billets Reports'!D552)),TRIM(MID('R.M Billets Reports'!D552,SEARCH("-",'R.M Billets Reports'!D552)+1,200)),""))&lt;&gt;"",IF(ISNUMBER(SEARCH("Party Name:-",'R.M Billets Reports'!D552)),TRIM('R.M Billets Reports'!F552),IF(ISNUMBER(SEARCH("Party Name-",'R.M Billets Reports'!D552)),TRIM(MID('R.M Billets Reports'!D552,SEARCH("-",'R.M Billets Reports'!D552)+1,200)),"")),IF(ISNUMBER(SEARCH("Party Name:-",'R.M Billets Reports'!D553)),TRIM('R.M Billets Reports'!F553),IF(ISNUMBER(SEARCH("Party Name-",'R.M Billets Reports'!D553)),TRIM(MID('R.M Billets Reports'!D553,SEARCH("-",'R.M Billets Reports'!D553)+1,200)),"")))))),IF(ROW()=2,"",A552))</f>
      </c>
      <c r="B553">
        <f>IF(OR('R.M Billets Reports'!A552="Date-",'R.M Billets Reports'!A552="Date:-"),'R.M Billets Reports'!B552,IF(ROW()=2,"",B552))</f>
      </c>
      <c r="C553">
        <f>IF('R.M Billets Reports'!A552="V.No.",'R.M Billets Reports'!B552,IF(ROW()=2,"",C552))</f>
      </c>
      <c r="D553">
        <f>IF('R.M Billets Reports'!A552&lt;&gt;"",'R.M Billets Reports'!A552,IF(ROW()=2,"",D552))</f>
      </c>
      <c r="E553">
        <f>IF('R.M Billets Reports'!B552="","",TRIM('R.M Billets Reports'!B552))</f>
      </c>
      <c r="F553">
        <f>'R.M Billets Reports'!C552</f>
      </c>
      <c r="G553">
        <f>'R.M Billets Reports'!D552</f>
      </c>
      <c r="H553">
        <f>'R.M Billets Reports'!E552</f>
      </c>
      <c r="I553">
        <f>'R.M Billets Reports'!F552</f>
      </c>
      <c r="J553">
        <f>'R.M Billets Reports'!G552</f>
      </c>
      <c r="K553">
        <f>'R.M Billets Reports'!H552</f>
      </c>
      <c r="L553">
        <f>IF('R.M Billets Reports'!I552="","",'R.M Billets Reports'!I552)</f>
      </c>
      <c r="M553">
        <f t="shared" si="16"/>
      </c>
      <c r="N553">
        <f>IF('R.M Billets Reports'!J552="","",'R.M Billets Reports'!J552)</f>
      </c>
      <c r="O553">
        <f t="shared" si="17"/>
      </c>
      <c r="P553">
        <f>IF('R.M Billets Reports'!A552="SIZE",'R.M Billets Reports'!B552,P552)</f>
      </c>
    </row>
    <row r="554" spans="1:16" x14ac:dyDescent="0.25">
      <c r="A554">
        <f>IF(OR('R.M Billets Reports'!A553="Date-",'R.M Billets Reports'!A553="Date:-"),IF(IF(IF(ISNUMBER(SEARCH("Party Name:-",'R.M Billets Reports'!D553)),TRIM('R.M Billets Reports'!F553),IF(ISNUMBER(SEARCH("Party Name-",'R.M Billets Reports'!D553)),TRIM(MID('R.M Billets Reports'!D553,SEARCH("-",'R.M Billets Reports'!D553)+1,200)),""))&lt;&gt;"",IF(ISNUMBER(SEARCH("Party Name:-",'R.M Billets Reports'!D553)),TRIM('R.M Billets Reports'!F553),IF(ISNUMBER(SEARCH("Party Name-",'R.M Billets Reports'!D553)),TRIM(MID('R.M Billets Reports'!D553,SEARCH("-",'R.M Billets Reports'!D553)+1,200)),"")),IF(ISNUMBER(SEARCH("Party Name:-",'R.M Billets Reports'!D554)),TRIM('R.M Billets Reports'!F554),IF(ISNUMBER(SEARCH("Party Name-",'R.M Billets Reports'!D554)),TRIM(MID('R.M Billets Reports'!D554,SEARCH("-",'R.M Billets Reports'!D554)+1,200)),"")))="VRKP ISPAT PVT LTD","VRKP",IF(IF(IF(ISNUMBER(SEARCH("Party Name:-",'R.M Billets Reports'!D553)),TRIM('R.M Billets Reports'!F553),IF(ISNUMBER(SEARCH("Party Name-",'R.M Billets Reports'!D553)),TRIM(MID('R.M Billets Reports'!D553,SEARCH("-",'R.M Billets Reports'!D553)+1,200)),""))&lt;&gt;"",IF(ISNUMBER(SEARCH("Party Name:-",'R.M Billets Reports'!D553)),TRIM('R.M Billets Reports'!F553),IF(ISNUMBER(SEARCH("Party Name-",'R.M Billets Reports'!D553)),TRIM(MID('R.M Billets Reports'!D553,SEARCH("-",'R.M Billets Reports'!D553)+1,200)),"")),IF(ISNUMBER(SEARCH("Party Name:-",'R.M Billets Reports'!D554)),TRIM('R.M Billets Reports'!F554),IF(ISNUMBER(SEARCH("Party Name-",'R.M Billets Reports'!D554)),TRIM(MID('R.M Billets Reports'!D554,SEARCH("-",'R.M Billets Reports'!D554)+1,200)),"")))="SHRI RADHE","SHREE RADHE",IF(IF(IF(ISNUMBER(SEARCH("Party Name:-",'R.M Billets Reports'!D553)),TRIM('R.M Billets Reports'!F553),IF(ISNUMBER(SEARCH("Party Name-",'R.M Billets Reports'!D553)),TRIM(MID('R.M Billets Reports'!D553,SEARCH("-",'R.M Billets Reports'!D553)+1,200)),""))&lt;&gt;"",IF(ISNUMBER(SEARCH("Party Name:-",'R.M Billets Reports'!D553)),TRIM('R.M Billets Reports'!F553),IF(ISNUMBER(SEARCH("Party Name-",'R.M Billets Reports'!D553)),TRIM(MID('R.M Billets Reports'!D553,SEARCH("-",'R.M Billets Reports'!D553)+1,200)),"")),IF(ISNUMBER(SEARCH("Party Name:-",'R.M Billets Reports'!D554)),TRIM('R.M Billets Reports'!F554),IF(ISNUMBER(SEARCH("Party Name-",'R.M Billets Reports'!D554)),TRIM(MID('R.M Billets Reports'!D554,SEARCH("-",'R.M Billets Reports'!D554)+1,200)),"")))="SHREE RADHE SHAKTI SPONGE AND POWER PVT. LTD.","SHREE RADHE",IF(IF(ISNUMBER(SEARCH("Party Name:-",'R.M Billets Reports'!D553)),TRIM('R.M Billets Reports'!F553),IF(ISNUMBER(SEARCH("Party Name-",'R.M Billets Reports'!D553)),TRIM(MID('R.M Billets Reports'!D553,SEARCH("-",'R.M Billets Reports'!D553)+1,200)),""))&lt;&gt;"",IF(ISNUMBER(SEARCH("Party Name:-",'R.M Billets Reports'!D553)),TRIM('R.M Billets Reports'!F553),IF(ISNUMBER(SEARCH("Party Name-",'R.M Billets Reports'!D553)),TRIM(MID('R.M Billets Reports'!D553,SEARCH("-",'R.M Billets Reports'!D553)+1,200)),"")),IF(ISNUMBER(SEARCH("Party Name:-",'R.M Billets Reports'!D554)),TRIM('R.M Billets Reports'!F554),IF(ISNUMBER(SEARCH("Party Name-",'R.M Billets Reports'!D554)),TRIM(MID('R.M Billets Reports'!D554,SEARCH("-",'R.M Billets Reports'!D554)+1,200)),"")))))),IF(ROW()=2,"",A553))</f>
      </c>
      <c r="B554">
        <f>IF(OR('R.M Billets Reports'!A553="Date-",'R.M Billets Reports'!A553="Date:-"),'R.M Billets Reports'!B553,IF(ROW()=2,"",B553))</f>
      </c>
      <c r="C554">
        <f>IF('R.M Billets Reports'!A553="V.No.",'R.M Billets Reports'!B553,IF(ROW()=2,"",C553))</f>
      </c>
      <c r="D554">
        <f>IF('R.M Billets Reports'!A553&lt;&gt;"",'R.M Billets Reports'!A553,IF(ROW()=2,"",D553))</f>
      </c>
      <c r="E554">
        <f>IF('R.M Billets Reports'!B553="","",TRIM('R.M Billets Reports'!B553))</f>
      </c>
      <c r="F554">
        <f>'R.M Billets Reports'!C553</f>
      </c>
      <c r="G554">
        <f>'R.M Billets Reports'!D553</f>
      </c>
      <c r="H554">
        <f>'R.M Billets Reports'!E553</f>
      </c>
      <c r="I554">
        <f>'R.M Billets Reports'!F553</f>
      </c>
      <c r="J554">
        <f>'R.M Billets Reports'!G553</f>
      </c>
      <c r="K554">
        <f>'R.M Billets Reports'!H553</f>
      </c>
      <c r="L554">
        <f>IF('R.M Billets Reports'!I553="","",'R.M Billets Reports'!I553)</f>
      </c>
      <c r="M554">
        <f t="shared" si="16"/>
      </c>
      <c r="N554">
        <f>IF('R.M Billets Reports'!J553="","",'R.M Billets Reports'!J553)</f>
      </c>
      <c r="O554">
        <f t="shared" si="17"/>
      </c>
      <c r="P554">
        <f>IF('R.M Billets Reports'!A553="SIZE",'R.M Billets Reports'!B553,P553)</f>
      </c>
    </row>
    <row r="555" spans="1:16" x14ac:dyDescent="0.25">
      <c r="A555">
        <f>IF(OR('R.M Billets Reports'!A554="Date-",'R.M Billets Reports'!A554="Date:-"),IF(IF(IF(ISNUMBER(SEARCH("Party Name:-",'R.M Billets Reports'!D554)),TRIM('R.M Billets Reports'!F554),IF(ISNUMBER(SEARCH("Party Name-",'R.M Billets Reports'!D554)),TRIM(MID('R.M Billets Reports'!D554,SEARCH("-",'R.M Billets Reports'!D554)+1,200)),""))&lt;&gt;"",IF(ISNUMBER(SEARCH("Party Name:-",'R.M Billets Reports'!D554)),TRIM('R.M Billets Reports'!F554),IF(ISNUMBER(SEARCH("Party Name-",'R.M Billets Reports'!D554)),TRIM(MID('R.M Billets Reports'!D554,SEARCH("-",'R.M Billets Reports'!D554)+1,200)),"")),IF(ISNUMBER(SEARCH("Party Name:-",'R.M Billets Reports'!D555)),TRIM('R.M Billets Reports'!F555),IF(ISNUMBER(SEARCH("Party Name-",'R.M Billets Reports'!D555)),TRIM(MID('R.M Billets Reports'!D555,SEARCH("-",'R.M Billets Reports'!D555)+1,200)),"")))="VRKP ISPAT PVT LTD","VRKP",IF(IF(IF(ISNUMBER(SEARCH("Party Name:-",'R.M Billets Reports'!D554)),TRIM('R.M Billets Reports'!F554),IF(ISNUMBER(SEARCH("Party Name-",'R.M Billets Reports'!D554)),TRIM(MID('R.M Billets Reports'!D554,SEARCH("-",'R.M Billets Reports'!D554)+1,200)),""))&lt;&gt;"",IF(ISNUMBER(SEARCH("Party Name:-",'R.M Billets Reports'!D554)),TRIM('R.M Billets Reports'!F554),IF(ISNUMBER(SEARCH("Party Name-",'R.M Billets Reports'!D554)),TRIM(MID('R.M Billets Reports'!D554,SEARCH("-",'R.M Billets Reports'!D554)+1,200)),"")),IF(ISNUMBER(SEARCH("Party Name:-",'R.M Billets Reports'!D555)),TRIM('R.M Billets Reports'!F555),IF(ISNUMBER(SEARCH("Party Name-",'R.M Billets Reports'!D555)),TRIM(MID('R.M Billets Reports'!D555,SEARCH("-",'R.M Billets Reports'!D555)+1,200)),"")))="SHRI RADHE","SHREE RADHE",IF(IF(IF(ISNUMBER(SEARCH("Party Name:-",'R.M Billets Reports'!D554)),TRIM('R.M Billets Reports'!F554),IF(ISNUMBER(SEARCH("Party Name-",'R.M Billets Reports'!D554)),TRIM(MID('R.M Billets Reports'!D554,SEARCH("-",'R.M Billets Reports'!D554)+1,200)),""))&lt;&gt;"",IF(ISNUMBER(SEARCH("Party Name:-",'R.M Billets Reports'!D554)),TRIM('R.M Billets Reports'!F554),IF(ISNUMBER(SEARCH("Party Name-",'R.M Billets Reports'!D554)),TRIM(MID('R.M Billets Reports'!D554,SEARCH("-",'R.M Billets Reports'!D554)+1,200)),"")),IF(ISNUMBER(SEARCH("Party Name:-",'R.M Billets Reports'!D555)),TRIM('R.M Billets Reports'!F555),IF(ISNUMBER(SEARCH("Party Name-",'R.M Billets Reports'!D555)),TRIM(MID('R.M Billets Reports'!D555,SEARCH("-",'R.M Billets Reports'!D555)+1,200)),"")))="SHREE RADHE SHAKTI SPONGE AND POWER PVT. LTD.","SHREE RADHE",IF(IF(ISNUMBER(SEARCH("Party Name:-",'R.M Billets Reports'!D554)),TRIM('R.M Billets Reports'!F554),IF(ISNUMBER(SEARCH("Party Name-",'R.M Billets Reports'!D554)),TRIM(MID('R.M Billets Reports'!D554,SEARCH("-",'R.M Billets Reports'!D554)+1,200)),""))&lt;&gt;"",IF(ISNUMBER(SEARCH("Party Name:-",'R.M Billets Reports'!D554)),TRIM('R.M Billets Reports'!F554),IF(ISNUMBER(SEARCH("Party Name-",'R.M Billets Reports'!D554)),TRIM(MID('R.M Billets Reports'!D554,SEARCH("-",'R.M Billets Reports'!D554)+1,200)),"")),IF(ISNUMBER(SEARCH("Party Name:-",'R.M Billets Reports'!D555)),TRIM('R.M Billets Reports'!F555),IF(ISNUMBER(SEARCH("Party Name-",'R.M Billets Reports'!D555)),TRIM(MID('R.M Billets Reports'!D555,SEARCH("-",'R.M Billets Reports'!D555)+1,200)),"")))))),IF(ROW()=2,"",A554))</f>
      </c>
      <c r="B555">
        <f>IF(OR('R.M Billets Reports'!A554="Date-",'R.M Billets Reports'!A554="Date:-"),'R.M Billets Reports'!B554,IF(ROW()=2,"",B554))</f>
      </c>
      <c r="C555">
        <f>IF('R.M Billets Reports'!A554="V.No.",'R.M Billets Reports'!B554,IF(ROW()=2,"",C554))</f>
      </c>
      <c r="D555">
        <f>IF('R.M Billets Reports'!A554&lt;&gt;"",'R.M Billets Reports'!A554,IF(ROW()=2,"",D554))</f>
      </c>
      <c r="E555">
        <f>IF('R.M Billets Reports'!B554="","",TRIM('R.M Billets Reports'!B554))</f>
      </c>
      <c r="F555">
        <f>'R.M Billets Reports'!C554</f>
      </c>
      <c r="G555">
        <f>'R.M Billets Reports'!D554</f>
      </c>
      <c r="H555">
        <f>'R.M Billets Reports'!E554</f>
      </c>
      <c r="I555">
        <f>'R.M Billets Reports'!F554</f>
      </c>
      <c r="J555">
        <f>'R.M Billets Reports'!G554</f>
      </c>
      <c r="K555">
        <f>'R.M Billets Reports'!H554</f>
      </c>
      <c r="L555">
        <f>IF('R.M Billets Reports'!I554="","",'R.M Billets Reports'!I554)</f>
      </c>
      <c r="M555">
        <f t="shared" si="16"/>
      </c>
      <c r="N555">
        <f>IF('R.M Billets Reports'!J554="","",'R.M Billets Reports'!J554)</f>
      </c>
      <c r="O555">
        <f t="shared" si="17"/>
      </c>
      <c r="P555">
        <f>IF('R.M Billets Reports'!A554="SIZE",'R.M Billets Reports'!B554,P554)</f>
      </c>
    </row>
    <row r="556" spans="1:16" x14ac:dyDescent="0.25">
      <c r="A556">
        <f>IF(OR('R.M Billets Reports'!A555="Date-",'R.M Billets Reports'!A555="Date:-"),IF(IF(IF(ISNUMBER(SEARCH("Party Name:-",'R.M Billets Reports'!D555)),TRIM('R.M Billets Reports'!F555),IF(ISNUMBER(SEARCH("Party Name-",'R.M Billets Reports'!D555)),TRIM(MID('R.M Billets Reports'!D555,SEARCH("-",'R.M Billets Reports'!D555)+1,200)),""))&lt;&gt;"",IF(ISNUMBER(SEARCH("Party Name:-",'R.M Billets Reports'!D555)),TRIM('R.M Billets Reports'!F555),IF(ISNUMBER(SEARCH("Party Name-",'R.M Billets Reports'!D555)),TRIM(MID('R.M Billets Reports'!D555,SEARCH("-",'R.M Billets Reports'!D555)+1,200)),"")),IF(ISNUMBER(SEARCH("Party Name:-",'R.M Billets Reports'!D556)),TRIM('R.M Billets Reports'!F556),IF(ISNUMBER(SEARCH("Party Name-",'R.M Billets Reports'!D556)),TRIM(MID('R.M Billets Reports'!D556,SEARCH("-",'R.M Billets Reports'!D556)+1,200)),"")))="VRKP ISPAT PVT LTD","VRKP",IF(IF(IF(ISNUMBER(SEARCH("Party Name:-",'R.M Billets Reports'!D555)),TRIM('R.M Billets Reports'!F555),IF(ISNUMBER(SEARCH("Party Name-",'R.M Billets Reports'!D555)),TRIM(MID('R.M Billets Reports'!D555,SEARCH("-",'R.M Billets Reports'!D555)+1,200)),""))&lt;&gt;"",IF(ISNUMBER(SEARCH("Party Name:-",'R.M Billets Reports'!D555)),TRIM('R.M Billets Reports'!F555),IF(ISNUMBER(SEARCH("Party Name-",'R.M Billets Reports'!D555)),TRIM(MID('R.M Billets Reports'!D555,SEARCH("-",'R.M Billets Reports'!D555)+1,200)),"")),IF(ISNUMBER(SEARCH("Party Name:-",'R.M Billets Reports'!D556)),TRIM('R.M Billets Reports'!F556),IF(ISNUMBER(SEARCH("Party Name-",'R.M Billets Reports'!D556)),TRIM(MID('R.M Billets Reports'!D556,SEARCH("-",'R.M Billets Reports'!D556)+1,200)),"")))="SHRI RADHE","SHREE RADHE",IF(IF(IF(ISNUMBER(SEARCH("Party Name:-",'R.M Billets Reports'!D555)),TRIM('R.M Billets Reports'!F555),IF(ISNUMBER(SEARCH("Party Name-",'R.M Billets Reports'!D555)),TRIM(MID('R.M Billets Reports'!D555,SEARCH("-",'R.M Billets Reports'!D555)+1,200)),""))&lt;&gt;"",IF(ISNUMBER(SEARCH("Party Name:-",'R.M Billets Reports'!D555)),TRIM('R.M Billets Reports'!F555),IF(ISNUMBER(SEARCH("Party Name-",'R.M Billets Reports'!D555)),TRIM(MID('R.M Billets Reports'!D555,SEARCH("-",'R.M Billets Reports'!D555)+1,200)),"")),IF(ISNUMBER(SEARCH("Party Name:-",'R.M Billets Reports'!D556)),TRIM('R.M Billets Reports'!F556),IF(ISNUMBER(SEARCH("Party Name-",'R.M Billets Reports'!D556)),TRIM(MID('R.M Billets Reports'!D556,SEARCH("-",'R.M Billets Reports'!D556)+1,200)),"")))="SHREE RADHE SHAKTI SPONGE AND POWER PVT. LTD.","SHREE RADHE",IF(IF(ISNUMBER(SEARCH("Party Name:-",'R.M Billets Reports'!D555)),TRIM('R.M Billets Reports'!F555),IF(ISNUMBER(SEARCH("Party Name-",'R.M Billets Reports'!D555)),TRIM(MID('R.M Billets Reports'!D555,SEARCH("-",'R.M Billets Reports'!D555)+1,200)),""))&lt;&gt;"",IF(ISNUMBER(SEARCH("Party Name:-",'R.M Billets Reports'!D555)),TRIM('R.M Billets Reports'!F555),IF(ISNUMBER(SEARCH("Party Name-",'R.M Billets Reports'!D555)),TRIM(MID('R.M Billets Reports'!D555,SEARCH("-",'R.M Billets Reports'!D555)+1,200)),"")),IF(ISNUMBER(SEARCH("Party Name:-",'R.M Billets Reports'!D556)),TRIM('R.M Billets Reports'!F556),IF(ISNUMBER(SEARCH("Party Name-",'R.M Billets Reports'!D556)),TRIM(MID('R.M Billets Reports'!D556,SEARCH("-",'R.M Billets Reports'!D556)+1,200)),"")))))),IF(ROW()=2,"",A555))</f>
      </c>
      <c r="B556">
        <f>IF(OR('R.M Billets Reports'!A555="Date-",'R.M Billets Reports'!A555="Date:-"),'R.M Billets Reports'!B555,IF(ROW()=2,"",B555))</f>
      </c>
      <c r="C556">
        <f>IF('R.M Billets Reports'!A555="V.No.",'R.M Billets Reports'!B555,IF(ROW()=2,"",C555))</f>
      </c>
      <c r="D556">
        <f>IF('R.M Billets Reports'!A555&lt;&gt;"",'R.M Billets Reports'!A555,IF(ROW()=2,"",D555))</f>
      </c>
      <c r="E556">
        <f>IF('R.M Billets Reports'!B555="","",TRIM('R.M Billets Reports'!B555))</f>
      </c>
      <c r="F556">
        <f>'R.M Billets Reports'!C555</f>
      </c>
      <c r="G556">
        <f>'R.M Billets Reports'!D555</f>
      </c>
      <c r="H556">
        <f>'R.M Billets Reports'!E555</f>
      </c>
      <c r="I556">
        <f>'R.M Billets Reports'!F555</f>
      </c>
      <c r="J556">
        <f>'R.M Billets Reports'!G555</f>
      </c>
      <c r="K556">
        <f>'R.M Billets Reports'!H555</f>
      </c>
      <c r="L556">
        <f>IF('R.M Billets Reports'!I555="","",'R.M Billets Reports'!I555)</f>
      </c>
      <c r="M556">
        <f t="shared" si="16"/>
      </c>
      <c r="N556">
        <f>IF('R.M Billets Reports'!J555="","",'R.M Billets Reports'!J555)</f>
      </c>
      <c r="O556">
        <f t="shared" si="17"/>
      </c>
      <c r="P556">
        <f>IF('R.M Billets Reports'!A555="SIZE",'R.M Billets Reports'!B555,P555)</f>
      </c>
    </row>
    <row r="557" spans="1:16" x14ac:dyDescent="0.25">
      <c r="A557">
        <f>IF(OR('R.M Billets Reports'!A556="Date-",'R.M Billets Reports'!A556="Date:-"),IF(IF(IF(ISNUMBER(SEARCH("Party Name:-",'R.M Billets Reports'!D556)),TRIM('R.M Billets Reports'!F556),IF(ISNUMBER(SEARCH("Party Name-",'R.M Billets Reports'!D556)),TRIM(MID('R.M Billets Reports'!D556,SEARCH("-",'R.M Billets Reports'!D556)+1,200)),""))&lt;&gt;"",IF(ISNUMBER(SEARCH("Party Name:-",'R.M Billets Reports'!D556)),TRIM('R.M Billets Reports'!F556),IF(ISNUMBER(SEARCH("Party Name-",'R.M Billets Reports'!D556)),TRIM(MID('R.M Billets Reports'!D556,SEARCH("-",'R.M Billets Reports'!D556)+1,200)),"")),IF(ISNUMBER(SEARCH("Party Name:-",'R.M Billets Reports'!D557)),TRIM('R.M Billets Reports'!F557),IF(ISNUMBER(SEARCH("Party Name-",'R.M Billets Reports'!D557)),TRIM(MID('R.M Billets Reports'!D557,SEARCH("-",'R.M Billets Reports'!D557)+1,200)),"")))="VRKP ISPAT PVT LTD","VRKP",IF(IF(IF(ISNUMBER(SEARCH("Party Name:-",'R.M Billets Reports'!D556)),TRIM('R.M Billets Reports'!F556),IF(ISNUMBER(SEARCH("Party Name-",'R.M Billets Reports'!D556)),TRIM(MID('R.M Billets Reports'!D556,SEARCH("-",'R.M Billets Reports'!D556)+1,200)),""))&lt;&gt;"",IF(ISNUMBER(SEARCH("Party Name:-",'R.M Billets Reports'!D556)),TRIM('R.M Billets Reports'!F556),IF(ISNUMBER(SEARCH("Party Name-",'R.M Billets Reports'!D556)),TRIM(MID('R.M Billets Reports'!D556,SEARCH("-",'R.M Billets Reports'!D556)+1,200)),"")),IF(ISNUMBER(SEARCH("Party Name:-",'R.M Billets Reports'!D557)),TRIM('R.M Billets Reports'!F557),IF(ISNUMBER(SEARCH("Party Name-",'R.M Billets Reports'!D557)),TRIM(MID('R.M Billets Reports'!D557,SEARCH("-",'R.M Billets Reports'!D557)+1,200)),"")))="SHRI RADHE","SHREE RADHE",IF(IF(IF(ISNUMBER(SEARCH("Party Name:-",'R.M Billets Reports'!D556)),TRIM('R.M Billets Reports'!F556),IF(ISNUMBER(SEARCH("Party Name-",'R.M Billets Reports'!D556)),TRIM(MID('R.M Billets Reports'!D556,SEARCH("-",'R.M Billets Reports'!D556)+1,200)),""))&lt;&gt;"",IF(ISNUMBER(SEARCH("Party Name:-",'R.M Billets Reports'!D556)),TRIM('R.M Billets Reports'!F556),IF(ISNUMBER(SEARCH("Party Name-",'R.M Billets Reports'!D556)),TRIM(MID('R.M Billets Reports'!D556,SEARCH("-",'R.M Billets Reports'!D556)+1,200)),"")),IF(ISNUMBER(SEARCH("Party Name:-",'R.M Billets Reports'!D557)),TRIM('R.M Billets Reports'!F557),IF(ISNUMBER(SEARCH("Party Name-",'R.M Billets Reports'!D557)),TRIM(MID('R.M Billets Reports'!D557,SEARCH("-",'R.M Billets Reports'!D557)+1,200)),"")))="SHREE RADHE SHAKTI SPONGE AND POWER PVT. LTD.","SHREE RADHE",IF(IF(ISNUMBER(SEARCH("Party Name:-",'R.M Billets Reports'!D556)),TRIM('R.M Billets Reports'!F556),IF(ISNUMBER(SEARCH("Party Name-",'R.M Billets Reports'!D556)),TRIM(MID('R.M Billets Reports'!D556,SEARCH("-",'R.M Billets Reports'!D556)+1,200)),""))&lt;&gt;"",IF(ISNUMBER(SEARCH("Party Name:-",'R.M Billets Reports'!D556)),TRIM('R.M Billets Reports'!F556),IF(ISNUMBER(SEARCH("Party Name-",'R.M Billets Reports'!D556)),TRIM(MID('R.M Billets Reports'!D556,SEARCH("-",'R.M Billets Reports'!D556)+1,200)),"")),IF(ISNUMBER(SEARCH("Party Name:-",'R.M Billets Reports'!D557)),TRIM('R.M Billets Reports'!F557),IF(ISNUMBER(SEARCH("Party Name-",'R.M Billets Reports'!D557)),TRIM(MID('R.M Billets Reports'!D557,SEARCH("-",'R.M Billets Reports'!D557)+1,200)),"")))))),IF(ROW()=2,"",A556))</f>
      </c>
      <c r="B557">
        <f>IF(OR('R.M Billets Reports'!A556="Date-",'R.M Billets Reports'!A556="Date:-"),'R.M Billets Reports'!B556,IF(ROW()=2,"",B556))</f>
      </c>
      <c r="C557">
        <f>IF('R.M Billets Reports'!A556="V.No.",'R.M Billets Reports'!B556,IF(ROW()=2,"",C556))</f>
      </c>
      <c r="D557">
        <f>IF('R.M Billets Reports'!A556&lt;&gt;"",'R.M Billets Reports'!A556,IF(ROW()=2,"",D556))</f>
      </c>
      <c r="E557">
        <f>IF('R.M Billets Reports'!B556="","",TRIM('R.M Billets Reports'!B556))</f>
      </c>
      <c r="F557">
        <f>'R.M Billets Reports'!C556</f>
      </c>
      <c r="G557">
        <f>'R.M Billets Reports'!D556</f>
      </c>
      <c r="H557">
        <f>'R.M Billets Reports'!E556</f>
      </c>
      <c r="I557">
        <f>'R.M Billets Reports'!F556</f>
      </c>
      <c r="J557">
        <f>'R.M Billets Reports'!G556</f>
      </c>
      <c r="K557">
        <f>'R.M Billets Reports'!H556</f>
      </c>
      <c r="L557">
        <f>IF('R.M Billets Reports'!I556="","",'R.M Billets Reports'!I556)</f>
      </c>
      <c r="M557">
        <f t="shared" si="16"/>
      </c>
      <c r="N557">
        <f>IF('R.M Billets Reports'!J556="","",'R.M Billets Reports'!J556)</f>
      </c>
      <c r="O557">
        <f t="shared" si="17"/>
      </c>
      <c r="P557">
        <f>IF('R.M Billets Reports'!A556="SIZE",'R.M Billets Reports'!B556,P556)</f>
      </c>
    </row>
    <row r="558" spans="1:16" x14ac:dyDescent="0.25">
      <c r="A558">
        <f>IF(OR('R.M Billets Reports'!A557="Date-",'R.M Billets Reports'!A557="Date:-"),IF(IF(IF(ISNUMBER(SEARCH("Party Name:-",'R.M Billets Reports'!D557)),TRIM('R.M Billets Reports'!F557),IF(ISNUMBER(SEARCH("Party Name-",'R.M Billets Reports'!D557)),TRIM(MID('R.M Billets Reports'!D557,SEARCH("-",'R.M Billets Reports'!D557)+1,200)),""))&lt;&gt;"",IF(ISNUMBER(SEARCH("Party Name:-",'R.M Billets Reports'!D557)),TRIM('R.M Billets Reports'!F557),IF(ISNUMBER(SEARCH("Party Name-",'R.M Billets Reports'!D557)),TRIM(MID('R.M Billets Reports'!D557,SEARCH("-",'R.M Billets Reports'!D557)+1,200)),"")),IF(ISNUMBER(SEARCH("Party Name:-",'R.M Billets Reports'!D558)),TRIM('R.M Billets Reports'!F558),IF(ISNUMBER(SEARCH("Party Name-",'R.M Billets Reports'!D558)),TRIM(MID('R.M Billets Reports'!D558,SEARCH("-",'R.M Billets Reports'!D558)+1,200)),"")))="VRKP ISPAT PVT LTD","VRKP",IF(IF(IF(ISNUMBER(SEARCH("Party Name:-",'R.M Billets Reports'!D557)),TRIM('R.M Billets Reports'!F557),IF(ISNUMBER(SEARCH("Party Name-",'R.M Billets Reports'!D557)),TRIM(MID('R.M Billets Reports'!D557,SEARCH("-",'R.M Billets Reports'!D557)+1,200)),""))&lt;&gt;"",IF(ISNUMBER(SEARCH("Party Name:-",'R.M Billets Reports'!D557)),TRIM('R.M Billets Reports'!F557),IF(ISNUMBER(SEARCH("Party Name-",'R.M Billets Reports'!D557)),TRIM(MID('R.M Billets Reports'!D557,SEARCH("-",'R.M Billets Reports'!D557)+1,200)),"")),IF(ISNUMBER(SEARCH("Party Name:-",'R.M Billets Reports'!D558)),TRIM('R.M Billets Reports'!F558),IF(ISNUMBER(SEARCH("Party Name-",'R.M Billets Reports'!D558)),TRIM(MID('R.M Billets Reports'!D558,SEARCH("-",'R.M Billets Reports'!D558)+1,200)),"")))="SHRI RADHE","SHREE RADHE",IF(IF(IF(ISNUMBER(SEARCH("Party Name:-",'R.M Billets Reports'!D557)),TRIM('R.M Billets Reports'!F557),IF(ISNUMBER(SEARCH("Party Name-",'R.M Billets Reports'!D557)),TRIM(MID('R.M Billets Reports'!D557,SEARCH("-",'R.M Billets Reports'!D557)+1,200)),""))&lt;&gt;"",IF(ISNUMBER(SEARCH("Party Name:-",'R.M Billets Reports'!D557)),TRIM('R.M Billets Reports'!F557),IF(ISNUMBER(SEARCH("Party Name-",'R.M Billets Reports'!D557)),TRIM(MID('R.M Billets Reports'!D557,SEARCH("-",'R.M Billets Reports'!D557)+1,200)),"")),IF(ISNUMBER(SEARCH("Party Name:-",'R.M Billets Reports'!D558)),TRIM('R.M Billets Reports'!F558),IF(ISNUMBER(SEARCH("Party Name-",'R.M Billets Reports'!D558)),TRIM(MID('R.M Billets Reports'!D558,SEARCH("-",'R.M Billets Reports'!D558)+1,200)),"")))="SHREE RADHE SHAKTI SPONGE AND POWER PVT. LTD.","SHREE RADHE",IF(IF(ISNUMBER(SEARCH("Party Name:-",'R.M Billets Reports'!D557)),TRIM('R.M Billets Reports'!F557),IF(ISNUMBER(SEARCH("Party Name-",'R.M Billets Reports'!D557)),TRIM(MID('R.M Billets Reports'!D557,SEARCH("-",'R.M Billets Reports'!D557)+1,200)),""))&lt;&gt;"",IF(ISNUMBER(SEARCH("Party Name:-",'R.M Billets Reports'!D557)),TRIM('R.M Billets Reports'!F557),IF(ISNUMBER(SEARCH("Party Name-",'R.M Billets Reports'!D557)),TRIM(MID('R.M Billets Reports'!D557,SEARCH("-",'R.M Billets Reports'!D557)+1,200)),"")),IF(ISNUMBER(SEARCH("Party Name:-",'R.M Billets Reports'!D558)),TRIM('R.M Billets Reports'!F558),IF(ISNUMBER(SEARCH("Party Name-",'R.M Billets Reports'!D558)),TRIM(MID('R.M Billets Reports'!D558,SEARCH("-",'R.M Billets Reports'!D558)+1,200)),"")))))),IF(ROW()=2,"",A557))</f>
      </c>
      <c r="B558">
        <f>IF(OR('R.M Billets Reports'!A557="Date-",'R.M Billets Reports'!A557="Date:-"),'R.M Billets Reports'!B557,IF(ROW()=2,"",B557))</f>
      </c>
      <c r="C558">
        <f>IF('R.M Billets Reports'!A557="V.No.",'R.M Billets Reports'!B557,IF(ROW()=2,"",C557))</f>
      </c>
      <c r="D558">
        <f>IF('R.M Billets Reports'!A557&lt;&gt;"",'R.M Billets Reports'!A557,IF(ROW()=2,"",D557))</f>
      </c>
      <c r="E558">
        <f>IF('R.M Billets Reports'!B557="","",TRIM('R.M Billets Reports'!B557))</f>
      </c>
      <c r="F558">
        <f>'R.M Billets Reports'!C557</f>
      </c>
      <c r="G558">
        <f>'R.M Billets Reports'!D557</f>
      </c>
      <c r="H558">
        <f>'R.M Billets Reports'!E557</f>
      </c>
      <c r="I558">
        <f>'R.M Billets Reports'!F557</f>
      </c>
      <c r="J558">
        <f>'R.M Billets Reports'!G557</f>
      </c>
      <c r="K558">
        <f>'R.M Billets Reports'!H557</f>
      </c>
      <c r="L558">
        <f>IF('R.M Billets Reports'!I557="","",'R.M Billets Reports'!I557)</f>
      </c>
      <c r="M558">
        <f t="shared" si="16"/>
      </c>
      <c r="N558">
        <f>IF('R.M Billets Reports'!J557="","",'R.M Billets Reports'!J557)</f>
      </c>
      <c r="O558">
        <f t="shared" si="17"/>
      </c>
      <c r="P558">
        <f>IF('R.M Billets Reports'!A557="SIZE",'R.M Billets Reports'!B557,P557)</f>
      </c>
    </row>
    <row r="559" spans="1:16" x14ac:dyDescent="0.25">
      <c r="A559">
        <f>IF(OR('R.M Billets Reports'!A558="Date-",'R.M Billets Reports'!A558="Date:-"),IF(IF(IF(ISNUMBER(SEARCH("Party Name:-",'R.M Billets Reports'!D558)),TRIM('R.M Billets Reports'!F558),IF(ISNUMBER(SEARCH("Party Name-",'R.M Billets Reports'!D558)),TRIM(MID('R.M Billets Reports'!D558,SEARCH("-",'R.M Billets Reports'!D558)+1,200)),""))&lt;&gt;"",IF(ISNUMBER(SEARCH("Party Name:-",'R.M Billets Reports'!D558)),TRIM('R.M Billets Reports'!F558),IF(ISNUMBER(SEARCH("Party Name-",'R.M Billets Reports'!D558)),TRIM(MID('R.M Billets Reports'!D558,SEARCH("-",'R.M Billets Reports'!D558)+1,200)),"")),IF(ISNUMBER(SEARCH("Party Name:-",'R.M Billets Reports'!D559)),TRIM('R.M Billets Reports'!F559),IF(ISNUMBER(SEARCH("Party Name-",'R.M Billets Reports'!D559)),TRIM(MID('R.M Billets Reports'!D559,SEARCH("-",'R.M Billets Reports'!D559)+1,200)),"")))="VRKP ISPAT PVT LTD","VRKP",IF(IF(IF(ISNUMBER(SEARCH("Party Name:-",'R.M Billets Reports'!D558)),TRIM('R.M Billets Reports'!F558),IF(ISNUMBER(SEARCH("Party Name-",'R.M Billets Reports'!D558)),TRIM(MID('R.M Billets Reports'!D558,SEARCH("-",'R.M Billets Reports'!D558)+1,200)),""))&lt;&gt;"",IF(ISNUMBER(SEARCH("Party Name:-",'R.M Billets Reports'!D558)),TRIM('R.M Billets Reports'!F558),IF(ISNUMBER(SEARCH("Party Name-",'R.M Billets Reports'!D558)),TRIM(MID('R.M Billets Reports'!D558,SEARCH("-",'R.M Billets Reports'!D558)+1,200)),"")),IF(ISNUMBER(SEARCH("Party Name:-",'R.M Billets Reports'!D559)),TRIM('R.M Billets Reports'!F559),IF(ISNUMBER(SEARCH("Party Name-",'R.M Billets Reports'!D559)),TRIM(MID('R.M Billets Reports'!D559,SEARCH("-",'R.M Billets Reports'!D559)+1,200)),"")))="SHRI RADHE","SHREE RADHE",IF(IF(IF(ISNUMBER(SEARCH("Party Name:-",'R.M Billets Reports'!D558)),TRIM('R.M Billets Reports'!F558),IF(ISNUMBER(SEARCH("Party Name-",'R.M Billets Reports'!D558)),TRIM(MID('R.M Billets Reports'!D558,SEARCH("-",'R.M Billets Reports'!D558)+1,200)),""))&lt;&gt;"",IF(ISNUMBER(SEARCH("Party Name:-",'R.M Billets Reports'!D558)),TRIM('R.M Billets Reports'!F558),IF(ISNUMBER(SEARCH("Party Name-",'R.M Billets Reports'!D558)),TRIM(MID('R.M Billets Reports'!D558,SEARCH("-",'R.M Billets Reports'!D558)+1,200)),"")),IF(ISNUMBER(SEARCH("Party Name:-",'R.M Billets Reports'!D559)),TRIM('R.M Billets Reports'!F559),IF(ISNUMBER(SEARCH("Party Name-",'R.M Billets Reports'!D559)),TRIM(MID('R.M Billets Reports'!D559,SEARCH("-",'R.M Billets Reports'!D559)+1,200)),"")))="SHREE RADHE SHAKTI SPONGE AND POWER PVT. LTD.","SHREE RADHE",IF(IF(ISNUMBER(SEARCH("Party Name:-",'R.M Billets Reports'!D558)),TRIM('R.M Billets Reports'!F558),IF(ISNUMBER(SEARCH("Party Name-",'R.M Billets Reports'!D558)),TRIM(MID('R.M Billets Reports'!D558,SEARCH("-",'R.M Billets Reports'!D558)+1,200)),""))&lt;&gt;"",IF(ISNUMBER(SEARCH("Party Name:-",'R.M Billets Reports'!D558)),TRIM('R.M Billets Reports'!F558),IF(ISNUMBER(SEARCH("Party Name-",'R.M Billets Reports'!D558)),TRIM(MID('R.M Billets Reports'!D558,SEARCH("-",'R.M Billets Reports'!D558)+1,200)),"")),IF(ISNUMBER(SEARCH("Party Name:-",'R.M Billets Reports'!D559)),TRIM('R.M Billets Reports'!F559),IF(ISNUMBER(SEARCH("Party Name-",'R.M Billets Reports'!D559)),TRIM(MID('R.M Billets Reports'!D559,SEARCH("-",'R.M Billets Reports'!D559)+1,200)),"")))))),IF(ROW()=2,"",A558))</f>
      </c>
      <c r="B559">
        <f>IF(OR('R.M Billets Reports'!A558="Date-",'R.M Billets Reports'!A558="Date:-"),'R.M Billets Reports'!B558,IF(ROW()=2,"",B558))</f>
      </c>
      <c r="C559">
        <f>IF('R.M Billets Reports'!A558="V.No.",'R.M Billets Reports'!B558,IF(ROW()=2,"",C558))</f>
      </c>
      <c r="D559">
        <f>IF('R.M Billets Reports'!A558&lt;&gt;"",'R.M Billets Reports'!A558,IF(ROW()=2,"",D558))</f>
      </c>
      <c r="E559">
        <f>IF('R.M Billets Reports'!B558="","",TRIM('R.M Billets Reports'!B558))</f>
      </c>
      <c r="F559">
        <f>'R.M Billets Reports'!C558</f>
      </c>
      <c r="G559">
        <f>'R.M Billets Reports'!D558</f>
      </c>
      <c r="H559">
        <f>'R.M Billets Reports'!E558</f>
      </c>
      <c r="I559">
        <f>'R.M Billets Reports'!F558</f>
      </c>
      <c r="J559">
        <f>'R.M Billets Reports'!G558</f>
      </c>
      <c r="K559">
        <f>'R.M Billets Reports'!H558</f>
      </c>
      <c r="L559">
        <f>IF('R.M Billets Reports'!I558="","",'R.M Billets Reports'!I558)</f>
      </c>
      <c r="M559">
        <f t="shared" si="16"/>
      </c>
      <c r="N559">
        <f>IF('R.M Billets Reports'!J558="","",'R.M Billets Reports'!J558)</f>
      </c>
      <c r="O559">
        <f t="shared" si="17"/>
      </c>
      <c r="P559">
        <f>IF('R.M Billets Reports'!A558="SIZE",'R.M Billets Reports'!B558,P558)</f>
      </c>
    </row>
    <row r="560" spans="1:16" x14ac:dyDescent="0.25">
      <c r="A560">
        <f>IF(OR('R.M Billets Reports'!A559="Date-",'R.M Billets Reports'!A559="Date:-"),IF(IF(IF(ISNUMBER(SEARCH("Party Name:-",'R.M Billets Reports'!D559)),TRIM('R.M Billets Reports'!F559),IF(ISNUMBER(SEARCH("Party Name-",'R.M Billets Reports'!D559)),TRIM(MID('R.M Billets Reports'!D559,SEARCH("-",'R.M Billets Reports'!D559)+1,200)),""))&lt;&gt;"",IF(ISNUMBER(SEARCH("Party Name:-",'R.M Billets Reports'!D559)),TRIM('R.M Billets Reports'!F559),IF(ISNUMBER(SEARCH("Party Name-",'R.M Billets Reports'!D559)),TRIM(MID('R.M Billets Reports'!D559,SEARCH("-",'R.M Billets Reports'!D559)+1,200)),"")),IF(ISNUMBER(SEARCH("Party Name:-",'R.M Billets Reports'!D560)),TRIM('R.M Billets Reports'!F560),IF(ISNUMBER(SEARCH("Party Name-",'R.M Billets Reports'!D560)),TRIM(MID('R.M Billets Reports'!D560,SEARCH("-",'R.M Billets Reports'!D560)+1,200)),"")))="VRKP ISPAT PVT LTD","VRKP",IF(IF(IF(ISNUMBER(SEARCH("Party Name:-",'R.M Billets Reports'!D559)),TRIM('R.M Billets Reports'!F559),IF(ISNUMBER(SEARCH("Party Name-",'R.M Billets Reports'!D559)),TRIM(MID('R.M Billets Reports'!D559,SEARCH("-",'R.M Billets Reports'!D559)+1,200)),""))&lt;&gt;"",IF(ISNUMBER(SEARCH("Party Name:-",'R.M Billets Reports'!D559)),TRIM('R.M Billets Reports'!F559),IF(ISNUMBER(SEARCH("Party Name-",'R.M Billets Reports'!D559)),TRIM(MID('R.M Billets Reports'!D559,SEARCH("-",'R.M Billets Reports'!D559)+1,200)),"")),IF(ISNUMBER(SEARCH("Party Name:-",'R.M Billets Reports'!D560)),TRIM('R.M Billets Reports'!F560),IF(ISNUMBER(SEARCH("Party Name-",'R.M Billets Reports'!D560)),TRIM(MID('R.M Billets Reports'!D560,SEARCH("-",'R.M Billets Reports'!D560)+1,200)),"")))="SHRI RADHE","SHREE RADHE",IF(IF(IF(ISNUMBER(SEARCH("Party Name:-",'R.M Billets Reports'!D559)),TRIM('R.M Billets Reports'!F559),IF(ISNUMBER(SEARCH("Party Name-",'R.M Billets Reports'!D559)),TRIM(MID('R.M Billets Reports'!D559,SEARCH("-",'R.M Billets Reports'!D559)+1,200)),""))&lt;&gt;"",IF(ISNUMBER(SEARCH("Party Name:-",'R.M Billets Reports'!D559)),TRIM('R.M Billets Reports'!F559),IF(ISNUMBER(SEARCH("Party Name-",'R.M Billets Reports'!D559)),TRIM(MID('R.M Billets Reports'!D559,SEARCH("-",'R.M Billets Reports'!D559)+1,200)),"")),IF(ISNUMBER(SEARCH("Party Name:-",'R.M Billets Reports'!D560)),TRIM('R.M Billets Reports'!F560),IF(ISNUMBER(SEARCH("Party Name-",'R.M Billets Reports'!D560)),TRIM(MID('R.M Billets Reports'!D560,SEARCH("-",'R.M Billets Reports'!D560)+1,200)),"")))="SHREE RADHE SHAKTI SPONGE AND POWER PVT. LTD.","SHREE RADHE",IF(IF(ISNUMBER(SEARCH("Party Name:-",'R.M Billets Reports'!D559)),TRIM('R.M Billets Reports'!F559),IF(ISNUMBER(SEARCH("Party Name-",'R.M Billets Reports'!D559)),TRIM(MID('R.M Billets Reports'!D559,SEARCH("-",'R.M Billets Reports'!D559)+1,200)),""))&lt;&gt;"",IF(ISNUMBER(SEARCH("Party Name:-",'R.M Billets Reports'!D559)),TRIM('R.M Billets Reports'!F559),IF(ISNUMBER(SEARCH("Party Name-",'R.M Billets Reports'!D559)),TRIM(MID('R.M Billets Reports'!D559,SEARCH("-",'R.M Billets Reports'!D559)+1,200)),"")),IF(ISNUMBER(SEARCH("Party Name:-",'R.M Billets Reports'!D560)),TRIM('R.M Billets Reports'!F560),IF(ISNUMBER(SEARCH("Party Name-",'R.M Billets Reports'!D560)),TRIM(MID('R.M Billets Reports'!D560,SEARCH("-",'R.M Billets Reports'!D560)+1,200)),"")))))),IF(ROW()=2,"",A559))</f>
      </c>
      <c r="B560">
        <f>IF(OR('R.M Billets Reports'!A559="Date-",'R.M Billets Reports'!A559="Date:-"),'R.M Billets Reports'!B559,IF(ROW()=2,"",B559))</f>
      </c>
      <c r="C560">
        <f>IF('R.M Billets Reports'!A559="V.No.",'R.M Billets Reports'!B559,IF(ROW()=2,"",C559))</f>
      </c>
      <c r="D560">
        <f>IF('R.M Billets Reports'!A559&lt;&gt;"",'R.M Billets Reports'!A559,IF(ROW()=2,"",D559))</f>
      </c>
      <c r="E560">
        <f>IF('R.M Billets Reports'!B559="","",TRIM('R.M Billets Reports'!B559))</f>
      </c>
      <c r="F560">
        <f>'R.M Billets Reports'!C559</f>
      </c>
      <c r="G560">
        <f>'R.M Billets Reports'!D559</f>
      </c>
      <c r="H560">
        <f>'R.M Billets Reports'!E559</f>
      </c>
      <c r="I560">
        <f>'R.M Billets Reports'!F559</f>
      </c>
      <c r="J560">
        <f>'R.M Billets Reports'!G559</f>
      </c>
      <c r="K560">
        <f>'R.M Billets Reports'!H559</f>
      </c>
      <c r="L560">
        <f>IF('R.M Billets Reports'!I559="","",'R.M Billets Reports'!I559)</f>
      </c>
      <c r="M560">
        <f t="shared" si="16"/>
      </c>
      <c r="N560">
        <f>IF('R.M Billets Reports'!J559="","",'R.M Billets Reports'!J559)</f>
      </c>
      <c r="O560">
        <f t="shared" si="17"/>
      </c>
      <c r="P560">
        <f>IF('R.M Billets Reports'!A559="SIZE",'R.M Billets Reports'!B559,P559)</f>
      </c>
    </row>
    <row r="561" spans="1:16" x14ac:dyDescent="0.25">
      <c r="A561">
        <f>IF(OR('R.M Billets Reports'!A560="Date-",'R.M Billets Reports'!A560="Date:-"),IF(IF(IF(ISNUMBER(SEARCH("Party Name:-",'R.M Billets Reports'!D560)),TRIM('R.M Billets Reports'!F560),IF(ISNUMBER(SEARCH("Party Name-",'R.M Billets Reports'!D560)),TRIM(MID('R.M Billets Reports'!D560,SEARCH("-",'R.M Billets Reports'!D560)+1,200)),""))&lt;&gt;"",IF(ISNUMBER(SEARCH("Party Name:-",'R.M Billets Reports'!D560)),TRIM('R.M Billets Reports'!F560),IF(ISNUMBER(SEARCH("Party Name-",'R.M Billets Reports'!D560)),TRIM(MID('R.M Billets Reports'!D560,SEARCH("-",'R.M Billets Reports'!D560)+1,200)),"")),IF(ISNUMBER(SEARCH("Party Name:-",'R.M Billets Reports'!D561)),TRIM('R.M Billets Reports'!F561),IF(ISNUMBER(SEARCH("Party Name-",'R.M Billets Reports'!D561)),TRIM(MID('R.M Billets Reports'!D561,SEARCH("-",'R.M Billets Reports'!D561)+1,200)),"")))="VRKP ISPAT PVT LTD","VRKP",IF(IF(IF(ISNUMBER(SEARCH("Party Name:-",'R.M Billets Reports'!D560)),TRIM('R.M Billets Reports'!F560),IF(ISNUMBER(SEARCH("Party Name-",'R.M Billets Reports'!D560)),TRIM(MID('R.M Billets Reports'!D560,SEARCH("-",'R.M Billets Reports'!D560)+1,200)),""))&lt;&gt;"",IF(ISNUMBER(SEARCH("Party Name:-",'R.M Billets Reports'!D560)),TRIM('R.M Billets Reports'!F560),IF(ISNUMBER(SEARCH("Party Name-",'R.M Billets Reports'!D560)),TRIM(MID('R.M Billets Reports'!D560,SEARCH("-",'R.M Billets Reports'!D560)+1,200)),"")),IF(ISNUMBER(SEARCH("Party Name:-",'R.M Billets Reports'!D561)),TRIM('R.M Billets Reports'!F561),IF(ISNUMBER(SEARCH("Party Name-",'R.M Billets Reports'!D561)),TRIM(MID('R.M Billets Reports'!D561,SEARCH("-",'R.M Billets Reports'!D561)+1,200)),"")))="SHRI RADHE","SHREE RADHE",IF(IF(IF(ISNUMBER(SEARCH("Party Name:-",'R.M Billets Reports'!D560)),TRIM('R.M Billets Reports'!F560),IF(ISNUMBER(SEARCH("Party Name-",'R.M Billets Reports'!D560)),TRIM(MID('R.M Billets Reports'!D560,SEARCH("-",'R.M Billets Reports'!D560)+1,200)),""))&lt;&gt;"",IF(ISNUMBER(SEARCH("Party Name:-",'R.M Billets Reports'!D560)),TRIM('R.M Billets Reports'!F560),IF(ISNUMBER(SEARCH("Party Name-",'R.M Billets Reports'!D560)),TRIM(MID('R.M Billets Reports'!D560,SEARCH("-",'R.M Billets Reports'!D560)+1,200)),"")),IF(ISNUMBER(SEARCH("Party Name:-",'R.M Billets Reports'!D561)),TRIM('R.M Billets Reports'!F561),IF(ISNUMBER(SEARCH("Party Name-",'R.M Billets Reports'!D561)),TRIM(MID('R.M Billets Reports'!D561,SEARCH("-",'R.M Billets Reports'!D561)+1,200)),"")))="SHREE RADHE SHAKTI SPONGE AND POWER PVT. LTD.","SHREE RADHE",IF(IF(ISNUMBER(SEARCH("Party Name:-",'R.M Billets Reports'!D560)),TRIM('R.M Billets Reports'!F560),IF(ISNUMBER(SEARCH("Party Name-",'R.M Billets Reports'!D560)),TRIM(MID('R.M Billets Reports'!D560,SEARCH("-",'R.M Billets Reports'!D560)+1,200)),""))&lt;&gt;"",IF(ISNUMBER(SEARCH("Party Name:-",'R.M Billets Reports'!D560)),TRIM('R.M Billets Reports'!F560),IF(ISNUMBER(SEARCH("Party Name-",'R.M Billets Reports'!D560)),TRIM(MID('R.M Billets Reports'!D560,SEARCH("-",'R.M Billets Reports'!D560)+1,200)),"")),IF(ISNUMBER(SEARCH("Party Name:-",'R.M Billets Reports'!D561)),TRIM('R.M Billets Reports'!F561),IF(ISNUMBER(SEARCH("Party Name-",'R.M Billets Reports'!D561)),TRIM(MID('R.M Billets Reports'!D561,SEARCH("-",'R.M Billets Reports'!D561)+1,200)),"")))))),IF(ROW()=2,"",A560))</f>
      </c>
      <c r="B561">
        <f>IF(OR('R.M Billets Reports'!A560="Date-",'R.M Billets Reports'!A560="Date:-"),'R.M Billets Reports'!B560,IF(ROW()=2,"",B560))</f>
      </c>
      <c r="C561">
        <f>IF('R.M Billets Reports'!A560="V.No.",'R.M Billets Reports'!B560,IF(ROW()=2,"",C560))</f>
      </c>
      <c r="D561">
        <f>IF('R.M Billets Reports'!A560&lt;&gt;"",'R.M Billets Reports'!A560,IF(ROW()=2,"",D560))</f>
      </c>
      <c r="E561">
        <f>IF('R.M Billets Reports'!B560="","",TRIM('R.M Billets Reports'!B560))</f>
      </c>
      <c r="F561">
        <f>'R.M Billets Reports'!C560</f>
      </c>
      <c r="G561">
        <f>'R.M Billets Reports'!D560</f>
      </c>
      <c r="H561">
        <f>'R.M Billets Reports'!E560</f>
      </c>
      <c r="I561">
        <f>'R.M Billets Reports'!F560</f>
      </c>
      <c r="J561">
        <f>'R.M Billets Reports'!G560</f>
      </c>
      <c r="K561">
        <f>'R.M Billets Reports'!H560</f>
      </c>
      <c r="L561">
        <f>IF('R.M Billets Reports'!I560="","",'R.M Billets Reports'!I560)</f>
      </c>
      <c r="M561">
        <f t="shared" si="16"/>
      </c>
      <c r="N561">
        <f>IF('R.M Billets Reports'!J560="","",'R.M Billets Reports'!J560)</f>
      </c>
      <c r="O561">
        <f t="shared" si="17"/>
      </c>
      <c r="P561">
        <f>IF('R.M Billets Reports'!A560="SIZE",'R.M Billets Reports'!B560,P560)</f>
      </c>
    </row>
    <row r="562" spans="1:16" x14ac:dyDescent="0.25">
      <c r="A562">
        <f>IF(OR('R.M Billets Reports'!A561="Date-",'R.M Billets Reports'!A561="Date:-"),IF(IF(IF(ISNUMBER(SEARCH("Party Name:-",'R.M Billets Reports'!D561)),TRIM('R.M Billets Reports'!F561),IF(ISNUMBER(SEARCH("Party Name-",'R.M Billets Reports'!D561)),TRIM(MID('R.M Billets Reports'!D561,SEARCH("-",'R.M Billets Reports'!D561)+1,200)),""))&lt;&gt;"",IF(ISNUMBER(SEARCH("Party Name:-",'R.M Billets Reports'!D561)),TRIM('R.M Billets Reports'!F561),IF(ISNUMBER(SEARCH("Party Name-",'R.M Billets Reports'!D561)),TRIM(MID('R.M Billets Reports'!D561,SEARCH("-",'R.M Billets Reports'!D561)+1,200)),"")),IF(ISNUMBER(SEARCH("Party Name:-",'R.M Billets Reports'!D562)),TRIM('R.M Billets Reports'!F562),IF(ISNUMBER(SEARCH("Party Name-",'R.M Billets Reports'!D562)),TRIM(MID('R.M Billets Reports'!D562,SEARCH("-",'R.M Billets Reports'!D562)+1,200)),"")))="VRKP ISPAT PVT LTD","VRKP",IF(IF(IF(ISNUMBER(SEARCH("Party Name:-",'R.M Billets Reports'!D561)),TRIM('R.M Billets Reports'!F561),IF(ISNUMBER(SEARCH("Party Name-",'R.M Billets Reports'!D561)),TRIM(MID('R.M Billets Reports'!D561,SEARCH("-",'R.M Billets Reports'!D561)+1,200)),""))&lt;&gt;"",IF(ISNUMBER(SEARCH("Party Name:-",'R.M Billets Reports'!D561)),TRIM('R.M Billets Reports'!F561),IF(ISNUMBER(SEARCH("Party Name-",'R.M Billets Reports'!D561)),TRIM(MID('R.M Billets Reports'!D561,SEARCH("-",'R.M Billets Reports'!D561)+1,200)),"")),IF(ISNUMBER(SEARCH("Party Name:-",'R.M Billets Reports'!D562)),TRIM('R.M Billets Reports'!F562),IF(ISNUMBER(SEARCH("Party Name-",'R.M Billets Reports'!D562)),TRIM(MID('R.M Billets Reports'!D562,SEARCH("-",'R.M Billets Reports'!D562)+1,200)),"")))="SHRI RADHE","SHREE RADHE",IF(IF(IF(ISNUMBER(SEARCH("Party Name:-",'R.M Billets Reports'!D561)),TRIM('R.M Billets Reports'!F561),IF(ISNUMBER(SEARCH("Party Name-",'R.M Billets Reports'!D561)),TRIM(MID('R.M Billets Reports'!D561,SEARCH("-",'R.M Billets Reports'!D561)+1,200)),""))&lt;&gt;"",IF(ISNUMBER(SEARCH("Party Name:-",'R.M Billets Reports'!D561)),TRIM('R.M Billets Reports'!F561),IF(ISNUMBER(SEARCH("Party Name-",'R.M Billets Reports'!D561)),TRIM(MID('R.M Billets Reports'!D561,SEARCH("-",'R.M Billets Reports'!D561)+1,200)),"")),IF(ISNUMBER(SEARCH("Party Name:-",'R.M Billets Reports'!D562)),TRIM('R.M Billets Reports'!F562),IF(ISNUMBER(SEARCH("Party Name-",'R.M Billets Reports'!D562)),TRIM(MID('R.M Billets Reports'!D562,SEARCH("-",'R.M Billets Reports'!D562)+1,200)),"")))="SHREE RADHE SHAKTI SPONGE AND POWER PVT. LTD.","SHREE RADHE",IF(IF(ISNUMBER(SEARCH("Party Name:-",'R.M Billets Reports'!D561)),TRIM('R.M Billets Reports'!F561),IF(ISNUMBER(SEARCH("Party Name-",'R.M Billets Reports'!D561)),TRIM(MID('R.M Billets Reports'!D561,SEARCH("-",'R.M Billets Reports'!D561)+1,200)),""))&lt;&gt;"",IF(ISNUMBER(SEARCH("Party Name:-",'R.M Billets Reports'!D561)),TRIM('R.M Billets Reports'!F561),IF(ISNUMBER(SEARCH("Party Name-",'R.M Billets Reports'!D561)),TRIM(MID('R.M Billets Reports'!D561,SEARCH("-",'R.M Billets Reports'!D561)+1,200)),"")),IF(ISNUMBER(SEARCH("Party Name:-",'R.M Billets Reports'!D562)),TRIM('R.M Billets Reports'!F562),IF(ISNUMBER(SEARCH("Party Name-",'R.M Billets Reports'!D562)),TRIM(MID('R.M Billets Reports'!D562,SEARCH("-",'R.M Billets Reports'!D562)+1,200)),"")))))),IF(ROW()=2,"",A561))</f>
      </c>
      <c r="B562">
        <f>IF(OR('R.M Billets Reports'!A561="Date-",'R.M Billets Reports'!A561="Date:-"),'R.M Billets Reports'!B561,IF(ROW()=2,"",B561))</f>
      </c>
      <c r="C562">
        <f>IF('R.M Billets Reports'!A561="V.No.",'R.M Billets Reports'!B561,IF(ROW()=2,"",C561))</f>
      </c>
      <c r="D562">
        <f>IF('R.M Billets Reports'!A561&lt;&gt;"",'R.M Billets Reports'!A561,IF(ROW()=2,"",D561))</f>
      </c>
      <c r="E562">
        <f>IF('R.M Billets Reports'!B561="","",TRIM('R.M Billets Reports'!B561))</f>
      </c>
      <c r="F562">
        <f>'R.M Billets Reports'!C561</f>
      </c>
      <c r="G562">
        <f>'R.M Billets Reports'!D561</f>
      </c>
      <c r="H562">
        <f>'R.M Billets Reports'!E561</f>
      </c>
      <c r="I562">
        <f>'R.M Billets Reports'!F561</f>
      </c>
      <c r="J562">
        <f>'R.M Billets Reports'!G561</f>
      </c>
      <c r="K562">
        <f>'R.M Billets Reports'!H561</f>
      </c>
      <c r="L562">
        <f>IF('R.M Billets Reports'!I561="","",'R.M Billets Reports'!I561)</f>
      </c>
      <c r="M562">
        <f t="shared" si="16"/>
      </c>
      <c r="N562">
        <f>IF('R.M Billets Reports'!J561="","",'R.M Billets Reports'!J561)</f>
      </c>
      <c r="O562">
        <f t="shared" si="17"/>
      </c>
      <c r="P562">
        <f>IF('R.M Billets Reports'!A561="SIZE",'R.M Billets Reports'!B561,P561)</f>
      </c>
    </row>
    <row r="563" spans="1:16" x14ac:dyDescent="0.25">
      <c r="A563">
        <f>IF(OR('R.M Billets Reports'!A562="Date-",'R.M Billets Reports'!A562="Date:-"),IF(IF(IF(ISNUMBER(SEARCH("Party Name:-",'R.M Billets Reports'!D562)),TRIM('R.M Billets Reports'!F562),IF(ISNUMBER(SEARCH("Party Name-",'R.M Billets Reports'!D562)),TRIM(MID('R.M Billets Reports'!D562,SEARCH("-",'R.M Billets Reports'!D562)+1,200)),""))&lt;&gt;"",IF(ISNUMBER(SEARCH("Party Name:-",'R.M Billets Reports'!D562)),TRIM('R.M Billets Reports'!F562),IF(ISNUMBER(SEARCH("Party Name-",'R.M Billets Reports'!D562)),TRIM(MID('R.M Billets Reports'!D562,SEARCH("-",'R.M Billets Reports'!D562)+1,200)),"")),IF(ISNUMBER(SEARCH("Party Name:-",'R.M Billets Reports'!D563)),TRIM('R.M Billets Reports'!F563),IF(ISNUMBER(SEARCH("Party Name-",'R.M Billets Reports'!D563)),TRIM(MID('R.M Billets Reports'!D563,SEARCH("-",'R.M Billets Reports'!D563)+1,200)),"")))="VRKP ISPAT PVT LTD","VRKP",IF(IF(IF(ISNUMBER(SEARCH("Party Name:-",'R.M Billets Reports'!D562)),TRIM('R.M Billets Reports'!F562),IF(ISNUMBER(SEARCH("Party Name-",'R.M Billets Reports'!D562)),TRIM(MID('R.M Billets Reports'!D562,SEARCH("-",'R.M Billets Reports'!D562)+1,200)),""))&lt;&gt;"",IF(ISNUMBER(SEARCH("Party Name:-",'R.M Billets Reports'!D562)),TRIM('R.M Billets Reports'!F562),IF(ISNUMBER(SEARCH("Party Name-",'R.M Billets Reports'!D562)),TRIM(MID('R.M Billets Reports'!D562,SEARCH("-",'R.M Billets Reports'!D562)+1,200)),"")),IF(ISNUMBER(SEARCH("Party Name:-",'R.M Billets Reports'!D563)),TRIM('R.M Billets Reports'!F563),IF(ISNUMBER(SEARCH("Party Name-",'R.M Billets Reports'!D563)),TRIM(MID('R.M Billets Reports'!D563,SEARCH("-",'R.M Billets Reports'!D563)+1,200)),"")))="SHRI RADHE","SHREE RADHE",IF(IF(IF(ISNUMBER(SEARCH("Party Name:-",'R.M Billets Reports'!D562)),TRIM('R.M Billets Reports'!F562),IF(ISNUMBER(SEARCH("Party Name-",'R.M Billets Reports'!D562)),TRIM(MID('R.M Billets Reports'!D562,SEARCH("-",'R.M Billets Reports'!D562)+1,200)),""))&lt;&gt;"",IF(ISNUMBER(SEARCH("Party Name:-",'R.M Billets Reports'!D562)),TRIM('R.M Billets Reports'!F562),IF(ISNUMBER(SEARCH("Party Name-",'R.M Billets Reports'!D562)),TRIM(MID('R.M Billets Reports'!D562,SEARCH("-",'R.M Billets Reports'!D562)+1,200)),"")),IF(ISNUMBER(SEARCH("Party Name:-",'R.M Billets Reports'!D563)),TRIM('R.M Billets Reports'!F563),IF(ISNUMBER(SEARCH("Party Name-",'R.M Billets Reports'!D563)),TRIM(MID('R.M Billets Reports'!D563,SEARCH("-",'R.M Billets Reports'!D563)+1,200)),"")))="SHREE RADHE SHAKTI SPONGE AND POWER PVT. LTD.","SHREE RADHE",IF(IF(ISNUMBER(SEARCH("Party Name:-",'R.M Billets Reports'!D562)),TRIM('R.M Billets Reports'!F562),IF(ISNUMBER(SEARCH("Party Name-",'R.M Billets Reports'!D562)),TRIM(MID('R.M Billets Reports'!D562,SEARCH("-",'R.M Billets Reports'!D562)+1,200)),""))&lt;&gt;"",IF(ISNUMBER(SEARCH("Party Name:-",'R.M Billets Reports'!D562)),TRIM('R.M Billets Reports'!F562),IF(ISNUMBER(SEARCH("Party Name-",'R.M Billets Reports'!D562)),TRIM(MID('R.M Billets Reports'!D562,SEARCH("-",'R.M Billets Reports'!D562)+1,200)),"")),IF(ISNUMBER(SEARCH("Party Name:-",'R.M Billets Reports'!D563)),TRIM('R.M Billets Reports'!F563),IF(ISNUMBER(SEARCH("Party Name-",'R.M Billets Reports'!D563)),TRIM(MID('R.M Billets Reports'!D563,SEARCH("-",'R.M Billets Reports'!D563)+1,200)),"")))))),IF(ROW()=2,"",A562))</f>
      </c>
      <c r="B563">
        <f>IF(OR('R.M Billets Reports'!A562="Date-",'R.M Billets Reports'!A562="Date:-"),'R.M Billets Reports'!B562,IF(ROW()=2,"",B562))</f>
      </c>
      <c r="C563">
        <f>IF('R.M Billets Reports'!A562="V.No.",'R.M Billets Reports'!B562,IF(ROW()=2,"",C562))</f>
      </c>
      <c r="D563">
        <f>IF('R.M Billets Reports'!A562&lt;&gt;"",'R.M Billets Reports'!A562,IF(ROW()=2,"",D562))</f>
      </c>
      <c r="E563">
        <f>IF('R.M Billets Reports'!B562="","",TRIM('R.M Billets Reports'!B562))</f>
      </c>
      <c r="F563">
        <f>'R.M Billets Reports'!C562</f>
      </c>
      <c r="G563">
        <f>'R.M Billets Reports'!D562</f>
      </c>
      <c r="H563">
        <f>'R.M Billets Reports'!E562</f>
      </c>
      <c r="I563">
        <f>'R.M Billets Reports'!F562</f>
      </c>
      <c r="J563">
        <f>'R.M Billets Reports'!G562</f>
      </c>
      <c r="K563">
        <f>'R.M Billets Reports'!H562</f>
      </c>
      <c r="L563">
        <f>IF('R.M Billets Reports'!I562="","",'R.M Billets Reports'!I562)</f>
      </c>
      <c r="M563">
        <f t="shared" si="16"/>
      </c>
      <c r="N563">
        <f>IF('R.M Billets Reports'!J562="","",'R.M Billets Reports'!J562)</f>
      </c>
      <c r="O563">
        <f t="shared" si="17"/>
      </c>
      <c r="P563">
        <f>IF('R.M Billets Reports'!A562="SIZE",'R.M Billets Reports'!B562,P562)</f>
      </c>
    </row>
    <row r="564" spans="1:16" x14ac:dyDescent="0.25">
      <c r="A564">
        <f>IF(OR('R.M Billets Reports'!A563="Date-",'R.M Billets Reports'!A563="Date:-"),IF(IF(IF(ISNUMBER(SEARCH("Party Name:-",'R.M Billets Reports'!D563)),TRIM('R.M Billets Reports'!F563),IF(ISNUMBER(SEARCH("Party Name-",'R.M Billets Reports'!D563)),TRIM(MID('R.M Billets Reports'!D563,SEARCH("-",'R.M Billets Reports'!D563)+1,200)),""))&lt;&gt;"",IF(ISNUMBER(SEARCH("Party Name:-",'R.M Billets Reports'!D563)),TRIM('R.M Billets Reports'!F563),IF(ISNUMBER(SEARCH("Party Name-",'R.M Billets Reports'!D563)),TRIM(MID('R.M Billets Reports'!D563,SEARCH("-",'R.M Billets Reports'!D563)+1,200)),"")),IF(ISNUMBER(SEARCH("Party Name:-",'R.M Billets Reports'!D564)),TRIM('R.M Billets Reports'!F564),IF(ISNUMBER(SEARCH("Party Name-",'R.M Billets Reports'!D564)),TRIM(MID('R.M Billets Reports'!D564,SEARCH("-",'R.M Billets Reports'!D564)+1,200)),"")))="VRKP ISPAT PVT LTD","VRKP",IF(IF(IF(ISNUMBER(SEARCH("Party Name:-",'R.M Billets Reports'!D563)),TRIM('R.M Billets Reports'!F563),IF(ISNUMBER(SEARCH("Party Name-",'R.M Billets Reports'!D563)),TRIM(MID('R.M Billets Reports'!D563,SEARCH("-",'R.M Billets Reports'!D563)+1,200)),""))&lt;&gt;"",IF(ISNUMBER(SEARCH("Party Name:-",'R.M Billets Reports'!D563)),TRIM('R.M Billets Reports'!F563),IF(ISNUMBER(SEARCH("Party Name-",'R.M Billets Reports'!D563)),TRIM(MID('R.M Billets Reports'!D563,SEARCH("-",'R.M Billets Reports'!D563)+1,200)),"")),IF(ISNUMBER(SEARCH("Party Name:-",'R.M Billets Reports'!D564)),TRIM('R.M Billets Reports'!F564),IF(ISNUMBER(SEARCH("Party Name-",'R.M Billets Reports'!D564)),TRIM(MID('R.M Billets Reports'!D564,SEARCH("-",'R.M Billets Reports'!D564)+1,200)),"")))="SHRI RADHE","SHREE RADHE",IF(IF(IF(ISNUMBER(SEARCH("Party Name:-",'R.M Billets Reports'!D563)),TRIM('R.M Billets Reports'!F563),IF(ISNUMBER(SEARCH("Party Name-",'R.M Billets Reports'!D563)),TRIM(MID('R.M Billets Reports'!D563,SEARCH("-",'R.M Billets Reports'!D563)+1,200)),""))&lt;&gt;"",IF(ISNUMBER(SEARCH("Party Name:-",'R.M Billets Reports'!D563)),TRIM('R.M Billets Reports'!F563),IF(ISNUMBER(SEARCH("Party Name-",'R.M Billets Reports'!D563)),TRIM(MID('R.M Billets Reports'!D563,SEARCH("-",'R.M Billets Reports'!D563)+1,200)),"")),IF(ISNUMBER(SEARCH("Party Name:-",'R.M Billets Reports'!D564)),TRIM('R.M Billets Reports'!F564),IF(ISNUMBER(SEARCH("Party Name-",'R.M Billets Reports'!D564)),TRIM(MID('R.M Billets Reports'!D564,SEARCH("-",'R.M Billets Reports'!D564)+1,200)),"")))="SHREE RADHE SHAKTI SPONGE AND POWER PVT. LTD.","SHREE RADHE",IF(IF(ISNUMBER(SEARCH("Party Name:-",'R.M Billets Reports'!D563)),TRIM('R.M Billets Reports'!F563),IF(ISNUMBER(SEARCH("Party Name-",'R.M Billets Reports'!D563)),TRIM(MID('R.M Billets Reports'!D563,SEARCH("-",'R.M Billets Reports'!D563)+1,200)),""))&lt;&gt;"",IF(ISNUMBER(SEARCH("Party Name:-",'R.M Billets Reports'!D563)),TRIM('R.M Billets Reports'!F563),IF(ISNUMBER(SEARCH("Party Name-",'R.M Billets Reports'!D563)),TRIM(MID('R.M Billets Reports'!D563,SEARCH("-",'R.M Billets Reports'!D563)+1,200)),"")),IF(ISNUMBER(SEARCH("Party Name:-",'R.M Billets Reports'!D564)),TRIM('R.M Billets Reports'!F564),IF(ISNUMBER(SEARCH("Party Name-",'R.M Billets Reports'!D564)),TRIM(MID('R.M Billets Reports'!D564,SEARCH("-",'R.M Billets Reports'!D564)+1,200)),"")))))),IF(ROW()=2,"",A563))</f>
      </c>
      <c r="B564">
        <f>IF(OR('R.M Billets Reports'!A563="Date-",'R.M Billets Reports'!A563="Date:-"),'R.M Billets Reports'!B563,IF(ROW()=2,"",B563))</f>
      </c>
      <c r="C564">
        <f>IF('R.M Billets Reports'!A563="V.No.",'R.M Billets Reports'!B563,IF(ROW()=2,"",C563))</f>
      </c>
      <c r="D564">
        <f>IF('R.M Billets Reports'!A563&lt;&gt;"",'R.M Billets Reports'!A563,IF(ROW()=2,"",D563))</f>
      </c>
      <c r="E564">
        <f>IF('R.M Billets Reports'!B563="","",TRIM('R.M Billets Reports'!B563))</f>
      </c>
      <c r="F564">
        <f>'R.M Billets Reports'!C563</f>
      </c>
      <c r="G564">
        <f>'R.M Billets Reports'!D563</f>
      </c>
      <c r="H564">
        <f>'R.M Billets Reports'!E563</f>
      </c>
      <c r="I564">
        <f>'R.M Billets Reports'!F563</f>
      </c>
      <c r="J564">
        <f>'R.M Billets Reports'!G563</f>
      </c>
      <c r="K564">
        <f>'R.M Billets Reports'!H563</f>
      </c>
      <c r="L564">
        <f>IF('R.M Billets Reports'!I563="","",'R.M Billets Reports'!I563)</f>
      </c>
      <c r="M564">
        <f t="shared" si="16"/>
      </c>
      <c r="N564">
        <f>IF('R.M Billets Reports'!J563="","",'R.M Billets Reports'!J563)</f>
      </c>
      <c r="O564">
        <f t="shared" si="17"/>
      </c>
      <c r="P564">
        <f>IF('R.M Billets Reports'!A563="SIZE",'R.M Billets Reports'!B563,P563)</f>
      </c>
    </row>
    <row r="565" spans="1:16" x14ac:dyDescent="0.25">
      <c r="A565">
        <f>IF(OR('R.M Billets Reports'!A564="Date-",'R.M Billets Reports'!A564="Date:-"),IF(IF(IF(ISNUMBER(SEARCH("Party Name:-",'R.M Billets Reports'!D564)),TRIM('R.M Billets Reports'!F564),IF(ISNUMBER(SEARCH("Party Name-",'R.M Billets Reports'!D564)),TRIM(MID('R.M Billets Reports'!D564,SEARCH("-",'R.M Billets Reports'!D564)+1,200)),""))&lt;&gt;"",IF(ISNUMBER(SEARCH("Party Name:-",'R.M Billets Reports'!D564)),TRIM('R.M Billets Reports'!F564),IF(ISNUMBER(SEARCH("Party Name-",'R.M Billets Reports'!D564)),TRIM(MID('R.M Billets Reports'!D564,SEARCH("-",'R.M Billets Reports'!D564)+1,200)),"")),IF(ISNUMBER(SEARCH("Party Name:-",'R.M Billets Reports'!D565)),TRIM('R.M Billets Reports'!F565),IF(ISNUMBER(SEARCH("Party Name-",'R.M Billets Reports'!D565)),TRIM(MID('R.M Billets Reports'!D565,SEARCH("-",'R.M Billets Reports'!D565)+1,200)),"")))="VRKP ISPAT PVT LTD","VRKP",IF(IF(IF(ISNUMBER(SEARCH("Party Name:-",'R.M Billets Reports'!D564)),TRIM('R.M Billets Reports'!F564),IF(ISNUMBER(SEARCH("Party Name-",'R.M Billets Reports'!D564)),TRIM(MID('R.M Billets Reports'!D564,SEARCH("-",'R.M Billets Reports'!D564)+1,200)),""))&lt;&gt;"",IF(ISNUMBER(SEARCH("Party Name:-",'R.M Billets Reports'!D564)),TRIM('R.M Billets Reports'!F564),IF(ISNUMBER(SEARCH("Party Name-",'R.M Billets Reports'!D564)),TRIM(MID('R.M Billets Reports'!D564,SEARCH("-",'R.M Billets Reports'!D564)+1,200)),"")),IF(ISNUMBER(SEARCH("Party Name:-",'R.M Billets Reports'!D565)),TRIM('R.M Billets Reports'!F565),IF(ISNUMBER(SEARCH("Party Name-",'R.M Billets Reports'!D565)),TRIM(MID('R.M Billets Reports'!D565,SEARCH("-",'R.M Billets Reports'!D565)+1,200)),"")))="SHRI RADHE","SHREE RADHE",IF(IF(IF(ISNUMBER(SEARCH("Party Name:-",'R.M Billets Reports'!D564)),TRIM('R.M Billets Reports'!F564),IF(ISNUMBER(SEARCH("Party Name-",'R.M Billets Reports'!D564)),TRIM(MID('R.M Billets Reports'!D564,SEARCH("-",'R.M Billets Reports'!D564)+1,200)),""))&lt;&gt;"",IF(ISNUMBER(SEARCH("Party Name:-",'R.M Billets Reports'!D564)),TRIM('R.M Billets Reports'!F564),IF(ISNUMBER(SEARCH("Party Name-",'R.M Billets Reports'!D564)),TRIM(MID('R.M Billets Reports'!D564,SEARCH("-",'R.M Billets Reports'!D564)+1,200)),"")),IF(ISNUMBER(SEARCH("Party Name:-",'R.M Billets Reports'!D565)),TRIM('R.M Billets Reports'!F565),IF(ISNUMBER(SEARCH("Party Name-",'R.M Billets Reports'!D565)),TRIM(MID('R.M Billets Reports'!D565,SEARCH("-",'R.M Billets Reports'!D565)+1,200)),"")))="SHREE RADHE SHAKTI SPONGE AND POWER PVT. LTD.","SHREE RADHE",IF(IF(ISNUMBER(SEARCH("Party Name:-",'R.M Billets Reports'!D564)),TRIM('R.M Billets Reports'!F564),IF(ISNUMBER(SEARCH("Party Name-",'R.M Billets Reports'!D564)),TRIM(MID('R.M Billets Reports'!D564,SEARCH("-",'R.M Billets Reports'!D564)+1,200)),""))&lt;&gt;"",IF(ISNUMBER(SEARCH("Party Name:-",'R.M Billets Reports'!D564)),TRIM('R.M Billets Reports'!F564),IF(ISNUMBER(SEARCH("Party Name-",'R.M Billets Reports'!D564)),TRIM(MID('R.M Billets Reports'!D564,SEARCH("-",'R.M Billets Reports'!D564)+1,200)),"")),IF(ISNUMBER(SEARCH("Party Name:-",'R.M Billets Reports'!D565)),TRIM('R.M Billets Reports'!F565),IF(ISNUMBER(SEARCH("Party Name-",'R.M Billets Reports'!D565)),TRIM(MID('R.M Billets Reports'!D565,SEARCH("-",'R.M Billets Reports'!D565)+1,200)),"")))))),IF(ROW()=2,"",A564))</f>
      </c>
      <c r="B565">
        <f>IF(OR('R.M Billets Reports'!A564="Date-",'R.M Billets Reports'!A564="Date:-"),'R.M Billets Reports'!B564,IF(ROW()=2,"",B564))</f>
      </c>
      <c r="C565">
        <f>IF('R.M Billets Reports'!A564="V.No.",'R.M Billets Reports'!B564,IF(ROW()=2,"",C564))</f>
      </c>
      <c r="D565">
        <f>IF('R.M Billets Reports'!A564&lt;&gt;"",'R.M Billets Reports'!A564,IF(ROW()=2,"",D564))</f>
      </c>
      <c r="E565">
        <f>IF('R.M Billets Reports'!B564="","",TRIM('R.M Billets Reports'!B564))</f>
      </c>
      <c r="F565">
        <f>'R.M Billets Reports'!C564</f>
      </c>
      <c r="G565">
        <f>'R.M Billets Reports'!D564</f>
      </c>
      <c r="H565">
        <f>'R.M Billets Reports'!E564</f>
      </c>
      <c r="I565">
        <f>'R.M Billets Reports'!F564</f>
      </c>
      <c r="J565">
        <f>'R.M Billets Reports'!G564</f>
      </c>
      <c r="K565">
        <f>'R.M Billets Reports'!H564</f>
      </c>
      <c r="L565">
        <f>IF('R.M Billets Reports'!I564="","",'R.M Billets Reports'!I564)</f>
      </c>
      <c r="M565">
        <f t="shared" si="16"/>
      </c>
      <c r="N565">
        <f>IF('R.M Billets Reports'!J564="","",'R.M Billets Reports'!J564)</f>
      </c>
      <c r="O565">
        <f t="shared" si="17"/>
      </c>
      <c r="P565">
        <f>IF('R.M Billets Reports'!A564="SIZE",'R.M Billets Reports'!B564,P564)</f>
      </c>
    </row>
    <row r="566" spans="1:16" x14ac:dyDescent="0.25">
      <c r="A566">
        <f>IF(OR('R.M Billets Reports'!A565="Date-",'R.M Billets Reports'!A565="Date:-"),IF(IF(IF(ISNUMBER(SEARCH("Party Name:-",'R.M Billets Reports'!D565)),TRIM('R.M Billets Reports'!F565),IF(ISNUMBER(SEARCH("Party Name-",'R.M Billets Reports'!D565)),TRIM(MID('R.M Billets Reports'!D565,SEARCH("-",'R.M Billets Reports'!D565)+1,200)),""))&lt;&gt;"",IF(ISNUMBER(SEARCH("Party Name:-",'R.M Billets Reports'!D565)),TRIM('R.M Billets Reports'!F565),IF(ISNUMBER(SEARCH("Party Name-",'R.M Billets Reports'!D565)),TRIM(MID('R.M Billets Reports'!D565,SEARCH("-",'R.M Billets Reports'!D565)+1,200)),"")),IF(ISNUMBER(SEARCH("Party Name:-",'R.M Billets Reports'!D566)),TRIM('R.M Billets Reports'!F566),IF(ISNUMBER(SEARCH("Party Name-",'R.M Billets Reports'!D566)),TRIM(MID('R.M Billets Reports'!D566,SEARCH("-",'R.M Billets Reports'!D566)+1,200)),"")))="VRKP ISPAT PVT LTD","VRKP",IF(IF(IF(ISNUMBER(SEARCH("Party Name:-",'R.M Billets Reports'!D565)),TRIM('R.M Billets Reports'!F565),IF(ISNUMBER(SEARCH("Party Name-",'R.M Billets Reports'!D565)),TRIM(MID('R.M Billets Reports'!D565,SEARCH("-",'R.M Billets Reports'!D565)+1,200)),""))&lt;&gt;"",IF(ISNUMBER(SEARCH("Party Name:-",'R.M Billets Reports'!D565)),TRIM('R.M Billets Reports'!F565),IF(ISNUMBER(SEARCH("Party Name-",'R.M Billets Reports'!D565)),TRIM(MID('R.M Billets Reports'!D565,SEARCH("-",'R.M Billets Reports'!D565)+1,200)),"")),IF(ISNUMBER(SEARCH("Party Name:-",'R.M Billets Reports'!D566)),TRIM('R.M Billets Reports'!F566),IF(ISNUMBER(SEARCH("Party Name-",'R.M Billets Reports'!D566)),TRIM(MID('R.M Billets Reports'!D566,SEARCH("-",'R.M Billets Reports'!D566)+1,200)),"")))="SHRI RADHE","SHREE RADHE",IF(IF(IF(ISNUMBER(SEARCH("Party Name:-",'R.M Billets Reports'!D565)),TRIM('R.M Billets Reports'!F565),IF(ISNUMBER(SEARCH("Party Name-",'R.M Billets Reports'!D565)),TRIM(MID('R.M Billets Reports'!D565,SEARCH("-",'R.M Billets Reports'!D565)+1,200)),""))&lt;&gt;"",IF(ISNUMBER(SEARCH("Party Name:-",'R.M Billets Reports'!D565)),TRIM('R.M Billets Reports'!F565),IF(ISNUMBER(SEARCH("Party Name-",'R.M Billets Reports'!D565)),TRIM(MID('R.M Billets Reports'!D565,SEARCH("-",'R.M Billets Reports'!D565)+1,200)),"")),IF(ISNUMBER(SEARCH("Party Name:-",'R.M Billets Reports'!D566)),TRIM('R.M Billets Reports'!F566),IF(ISNUMBER(SEARCH("Party Name-",'R.M Billets Reports'!D566)),TRIM(MID('R.M Billets Reports'!D566,SEARCH("-",'R.M Billets Reports'!D566)+1,200)),"")))="SHREE RADHE SHAKTI SPONGE AND POWER PVT. LTD.","SHREE RADHE",IF(IF(ISNUMBER(SEARCH("Party Name:-",'R.M Billets Reports'!D565)),TRIM('R.M Billets Reports'!F565),IF(ISNUMBER(SEARCH("Party Name-",'R.M Billets Reports'!D565)),TRIM(MID('R.M Billets Reports'!D565,SEARCH("-",'R.M Billets Reports'!D565)+1,200)),""))&lt;&gt;"",IF(ISNUMBER(SEARCH("Party Name:-",'R.M Billets Reports'!D565)),TRIM('R.M Billets Reports'!F565),IF(ISNUMBER(SEARCH("Party Name-",'R.M Billets Reports'!D565)),TRIM(MID('R.M Billets Reports'!D565,SEARCH("-",'R.M Billets Reports'!D565)+1,200)),"")),IF(ISNUMBER(SEARCH("Party Name:-",'R.M Billets Reports'!D566)),TRIM('R.M Billets Reports'!F566),IF(ISNUMBER(SEARCH("Party Name-",'R.M Billets Reports'!D566)),TRIM(MID('R.M Billets Reports'!D566,SEARCH("-",'R.M Billets Reports'!D566)+1,200)),"")))))),IF(ROW()=2,"",A565))</f>
      </c>
      <c r="B566">
        <f>IF(OR('R.M Billets Reports'!A565="Date-",'R.M Billets Reports'!A565="Date:-"),'R.M Billets Reports'!B565,IF(ROW()=2,"",B565))</f>
      </c>
      <c r="C566">
        <f>IF('R.M Billets Reports'!A565="V.No.",'R.M Billets Reports'!B565,IF(ROW()=2,"",C565))</f>
      </c>
      <c r="D566">
        <f>IF('R.M Billets Reports'!A565&lt;&gt;"",'R.M Billets Reports'!A565,IF(ROW()=2,"",D565))</f>
      </c>
      <c r="E566">
        <f>IF('R.M Billets Reports'!B565="","",TRIM('R.M Billets Reports'!B565))</f>
      </c>
      <c r="F566">
        <f>'R.M Billets Reports'!C565</f>
      </c>
      <c r="G566">
        <f>'R.M Billets Reports'!D565</f>
      </c>
      <c r="H566">
        <f>'R.M Billets Reports'!E565</f>
      </c>
      <c r="I566">
        <f>'R.M Billets Reports'!F565</f>
      </c>
      <c r="J566">
        <f>'R.M Billets Reports'!G565</f>
      </c>
      <c r="K566">
        <f>'R.M Billets Reports'!H565</f>
      </c>
      <c r="L566">
        <f>IF('R.M Billets Reports'!I565="","",'R.M Billets Reports'!I565)</f>
      </c>
      <c r="M566">
        <f t="shared" si="16"/>
      </c>
      <c r="N566">
        <f>IF('R.M Billets Reports'!J565="","",'R.M Billets Reports'!J565)</f>
      </c>
      <c r="O566">
        <f t="shared" si="17"/>
      </c>
      <c r="P566">
        <f>IF('R.M Billets Reports'!A565="SIZE",'R.M Billets Reports'!B565,P565)</f>
      </c>
    </row>
    <row r="567" spans="1:16" x14ac:dyDescent="0.25">
      <c r="A567">
        <f>IF(OR('R.M Billets Reports'!A566="Date-",'R.M Billets Reports'!A566="Date:-"),IF(IF(IF(ISNUMBER(SEARCH("Party Name:-",'R.M Billets Reports'!D566)),TRIM('R.M Billets Reports'!F566),IF(ISNUMBER(SEARCH("Party Name-",'R.M Billets Reports'!D566)),TRIM(MID('R.M Billets Reports'!D566,SEARCH("-",'R.M Billets Reports'!D566)+1,200)),""))&lt;&gt;"",IF(ISNUMBER(SEARCH("Party Name:-",'R.M Billets Reports'!D566)),TRIM('R.M Billets Reports'!F566),IF(ISNUMBER(SEARCH("Party Name-",'R.M Billets Reports'!D566)),TRIM(MID('R.M Billets Reports'!D566,SEARCH("-",'R.M Billets Reports'!D566)+1,200)),"")),IF(ISNUMBER(SEARCH("Party Name:-",'R.M Billets Reports'!D567)),TRIM('R.M Billets Reports'!F567),IF(ISNUMBER(SEARCH("Party Name-",'R.M Billets Reports'!D567)),TRIM(MID('R.M Billets Reports'!D567,SEARCH("-",'R.M Billets Reports'!D567)+1,200)),"")))="VRKP ISPAT PVT LTD","VRKP",IF(IF(IF(ISNUMBER(SEARCH("Party Name:-",'R.M Billets Reports'!D566)),TRIM('R.M Billets Reports'!F566),IF(ISNUMBER(SEARCH("Party Name-",'R.M Billets Reports'!D566)),TRIM(MID('R.M Billets Reports'!D566,SEARCH("-",'R.M Billets Reports'!D566)+1,200)),""))&lt;&gt;"",IF(ISNUMBER(SEARCH("Party Name:-",'R.M Billets Reports'!D566)),TRIM('R.M Billets Reports'!F566),IF(ISNUMBER(SEARCH("Party Name-",'R.M Billets Reports'!D566)),TRIM(MID('R.M Billets Reports'!D566,SEARCH("-",'R.M Billets Reports'!D566)+1,200)),"")),IF(ISNUMBER(SEARCH("Party Name:-",'R.M Billets Reports'!D567)),TRIM('R.M Billets Reports'!F567),IF(ISNUMBER(SEARCH("Party Name-",'R.M Billets Reports'!D567)),TRIM(MID('R.M Billets Reports'!D567,SEARCH("-",'R.M Billets Reports'!D567)+1,200)),"")))="SHRI RADHE","SHREE RADHE",IF(IF(IF(ISNUMBER(SEARCH("Party Name:-",'R.M Billets Reports'!D566)),TRIM('R.M Billets Reports'!F566),IF(ISNUMBER(SEARCH("Party Name-",'R.M Billets Reports'!D566)),TRIM(MID('R.M Billets Reports'!D566,SEARCH("-",'R.M Billets Reports'!D566)+1,200)),""))&lt;&gt;"",IF(ISNUMBER(SEARCH("Party Name:-",'R.M Billets Reports'!D566)),TRIM('R.M Billets Reports'!F566),IF(ISNUMBER(SEARCH("Party Name-",'R.M Billets Reports'!D566)),TRIM(MID('R.M Billets Reports'!D566,SEARCH("-",'R.M Billets Reports'!D566)+1,200)),"")),IF(ISNUMBER(SEARCH("Party Name:-",'R.M Billets Reports'!D567)),TRIM('R.M Billets Reports'!F567),IF(ISNUMBER(SEARCH("Party Name-",'R.M Billets Reports'!D567)),TRIM(MID('R.M Billets Reports'!D567,SEARCH("-",'R.M Billets Reports'!D567)+1,200)),"")))="SHREE RADHE SHAKTI SPONGE AND POWER PVT. LTD.","SHREE RADHE",IF(IF(ISNUMBER(SEARCH("Party Name:-",'R.M Billets Reports'!D566)),TRIM('R.M Billets Reports'!F566),IF(ISNUMBER(SEARCH("Party Name-",'R.M Billets Reports'!D566)),TRIM(MID('R.M Billets Reports'!D566,SEARCH("-",'R.M Billets Reports'!D566)+1,200)),""))&lt;&gt;"",IF(ISNUMBER(SEARCH("Party Name:-",'R.M Billets Reports'!D566)),TRIM('R.M Billets Reports'!F566),IF(ISNUMBER(SEARCH("Party Name-",'R.M Billets Reports'!D566)),TRIM(MID('R.M Billets Reports'!D566,SEARCH("-",'R.M Billets Reports'!D566)+1,200)),"")),IF(ISNUMBER(SEARCH("Party Name:-",'R.M Billets Reports'!D567)),TRIM('R.M Billets Reports'!F567),IF(ISNUMBER(SEARCH("Party Name-",'R.M Billets Reports'!D567)),TRIM(MID('R.M Billets Reports'!D567,SEARCH("-",'R.M Billets Reports'!D567)+1,200)),"")))))),IF(ROW()=2,"",A566))</f>
      </c>
      <c r="B567">
        <f>IF(OR('R.M Billets Reports'!A566="Date-",'R.M Billets Reports'!A566="Date:-"),'R.M Billets Reports'!B566,IF(ROW()=2,"",B566))</f>
      </c>
      <c r="C567">
        <f>IF('R.M Billets Reports'!A566="V.No.",'R.M Billets Reports'!B566,IF(ROW()=2,"",C566))</f>
      </c>
      <c r="D567">
        <f>IF('R.M Billets Reports'!A566&lt;&gt;"",'R.M Billets Reports'!A566,IF(ROW()=2,"",D566))</f>
      </c>
      <c r="E567">
        <f>IF('R.M Billets Reports'!B566="","",TRIM('R.M Billets Reports'!B566))</f>
      </c>
      <c r="F567">
        <f>'R.M Billets Reports'!C566</f>
      </c>
      <c r="G567">
        <f>'R.M Billets Reports'!D566</f>
      </c>
      <c r="H567">
        <f>'R.M Billets Reports'!E566</f>
      </c>
      <c r="I567">
        <f>'R.M Billets Reports'!F566</f>
      </c>
      <c r="J567">
        <f>'R.M Billets Reports'!G566</f>
      </c>
      <c r="K567">
        <f>'R.M Billets Reports'!H566</f>
      </c>
      <c r="L567">
        <f>IF('R.M Billets Reports'!I566="","",'R.M Billets Reports'!I566)</f>
      </c>
      <c r="M567">
        <f t="shared" si="16"/>
      </c>
      <c r="N567">
        <f>IF('R.M Billets Reports'!J566="","",'R.M Billets Reports'!J566)</f>
      </c>
      <c r="O567">
        <f t="shared" si="17"/>
      </c>
      <c r="P567">
        <f>IF('R.M Billets Reports'!A566="SIZE",'R.M Billets Reports'!B566,P566)</f>
      </c>
    </row>
    <row r="568" spans="1:16" x14ac:dyDescent="0.25">
      <c r="A568">
        <f>IF(OR('R.M Billets Reports'!A567="Date-",'R.M Billets Reports'!A567="Date:-"),IF(IF(IF(ISNUMBER(SEARCH("Party Name:-",'R.M Billets Reports'!D567)),TRIM('R.M Billets Reports'!F567),IF(ISNUMBER(SEARCH("Party Name-",'R.M Billets Reports'!D567)),TRIM(MID('R.M Billets Reports'!D567,SEARCH("-",'R.M Billets Reports'!D567)+1,200)),""))&lt;&gt;"",IF(ISNUMBER(SEARCH("Party Name:-",'R.M Billets Reports'!D567)),TRIM('R.M Billets Reports'!F567),IF(ISNUMBER(SEARCH("Party Name-",'R.M Billets Reports'!D567)),TRIM(MID('R.M Billets Reports'!D567,SEARCH("-",'R.M Billets Reports'!D567)+1,200)),"")),IF(ISNUMBER(SEARCH("Party Name:-",'R.M Billets Reports'!D568)),TRIM('R.M Billets Reports'!F568),IF(ISNUMBER(SEARCH("Party Name-",'R.M Billets Reports'!D568)),TRIM(MID('R.M Billets Reports'!D568,SEARCH("-",'R.M Billets Reports'!D568)+1,200)),"")))="VRKP ISPAT PVT LTD","VRKP",IF(IF(IF(ISNUMBER(SEARCH("Party Name:-",'R.M Billets Reports'!D567)),TRIM('R.M Billets Reports'!F567),IF(ISNUMBER(SEARCH("Party Name-",'R.M Billets Reports'!D567)),TRIM(MID('R.M Billets Reports'!D567,SEARCH("-",'R.M Billets Reports'!D567)+1,200)),""))&lt;&gt;"",IF(ISNUMBER(SEARCH("Party Name:-",'R.M Billets Reports'!D567)),TRIM('R.M Billets Reports'!F567),IF(ISNUMBER(SEARCH("Party Name-",'R.M Billets Reports'!D567)),TRIM(MID('R.M Billets Reports'!D567,SEARCH("-",'R.M Billets Reports'!D567)+1,200)),"")),IF(ISNUMBER(SEARCH("Party Name:-",'R.M Billets Reports'!D568)),TRIM('R.M Billets Reports'!F568),IF(ISNUMBER(SEARCH("Party Name-",'R.M Billets Reports'!D568)),TRIM(MID('R.M Billets Reports'!D568,SEARCH("-",'R.M Billets Reports'!D568)+1,200)),"")))="SHRI RADHE","SHREE RADHE",IF(IF(IF(ISNUMBER(SEARCH("Party Name:-",'R.M Billets Reports'!D567)),TRIM('R.M Billets Reports'!F567),IF(ISNUMBER(SEARCH("Party Name-",'R.M Billets Reports'!D567)),TRIM(MID('R.M Billets Reports'!D567,SEARCH("-",'R.M Billets Reports'!D567)+1,200)),""))&lt;&gt;"",IF(ISNUMBER(SEARCH("Party Name:-",'R.M Billets Reports'!D567)),TRIM('R.M Billets Reports'!F567),IF(ISNUMBER(SEARCH("Party Name-",'R.M Billets Reports'!D567)),TRIM(MID('R.M Billets Reports'!D567,SEARCH("-",'R.M Billets Reports'!D567)+1,200)),"")),IF(ISNUMBER(SEARCH("Party Name:-",'R.M Billets Reports'!D568)),TRIM('R.M Billets Reports'!F568),IF(ISNUMBER(SEARCH("Party Name-",'R.M Billets Reports'!D568)),TRIM(MID('R.M Billets Reports'!D568,SEARCH("-",'R.M Billets Reports'!D568)+1,200)),"")))="SHREE RADHE SHAKTI SPONGE AND POWER PVT. LTD.","SHREE RADHE",IF(IF(ISNUMBER(SEARCH("Party Name:-",'R.M Billets Reports'!D567)),TRIM('R.M Billets Reports'!F567),IF(ISNUMBER(SEARCH("Party Name-",'R.M Billets Reports'!D567)),TRIM(MID('R.M Billets Reports'!D567,SEARCH("-",'R.M Billets Reports'!D567)+1,200)),""))&lt;&gt;"",IF(ISNUMBER(SEARCH("Party Name:-",'R.M Billets Reports'!D567)),TRIM('R.M Billets Reports'!F567),IF(ISNUMBER(SEARCH("Party Name-",'R.M Billets Reports'!D567)),TRIM(MID('R.M Billets Reports'!D567,SEARCH("-",'R.M Billets Reports'!D567)+1,200)),"")),IF(ISNUMBER(SEARCH("Party Name:-",'R.M Billets Reports'!D568)),TRIM('R.M Billets Reports'!F568),IF(ISNUMBER(SEARCH("Party Name-",'R.M Billets Reports'!D568)),TRIM(MID('R.M Billets Reports'!D568,SEARCH("-",'R.M Billets Reports'!D568)+1,200)),"")))))),IF(ROW()=2,"",A567))</f>
      </c>
      <c r="B568">
        <f>IF(OR('R.M Billets Reports'!A567="Date-",'R.M Billets Reports'!A567="Date:-"),'R.M Billets Reports'!B567,IF(ROW()=2,"",B567))</f>
      </c>
      <c r="C568">
        <f>IF('R.M Billets Reports'!A567="V.No.",'R.M Billets Reports'!B567,IF(ROW()=2,"",C567))</f>
      </c>
      <c r="D568">
        <f>IF('R.M Billets Reports'!A567&lt;&gt;"",'R.M Billets Reports'!A567,IF(ROW()=2,"",D567))</f>
      </c>
      <c r="E568">
        <f>IF('R.M Billets Reports'!B567="","",TRIM('R.M Billets Reports'!B567))</f>
      </c>
      <c r="F568">
        <f>'R.M Billets Reports'!C567</f>
      </c>
      <c r="G568">
        <f>'R.M Billets Reports'!D567</f>
      </c>
      <c r="H568">
        <f>'R.M Billets Reports'!E567</f>
      </c>
      <c r="I568">
        <f>'R.M Billets Reports'!F567</f>
      </c>
      <c r="J568">
        <f>'R.M Billets Reports'!G567</f>
      </c>
      <c r="K568">
        <f>'R.M Billets Reports'!H567</f>
      </c>
      <c r="L568">
        <f>IF('R.M Billets Reports'!I567="","",'R.M Billets Reports'!I567)</f>
      </c>
      <c r="M568">
        <f t="shared" si="16"/>
      </c>
      <c r="N568">
        <f>IF('R.M Billets Reports'!J567="","",'R.M Billets Reports'!J567)</f>
      </c>
      <c r="O568">
        <f t="shared" si="17"/>
      </c>
      <c r="P568">
        <f>IF('R.M Billets Reports'!A567="SIZE",'R.M Billets Reports'!B567,P567)</f>
      </c>
    </row>
    <row r="569" spans="1:16" x14ac:dyDescent="0.25">
      <c r="A569">
        <f>IF(OR('R.M Billets Reports'!A568="Date-",'R.M Billets Reports'!A568="Date:-"),IF(IF(IF(ISNUMBER(SEARCH("Party Name:-",'R.M Billets Reports'!D568)),TRIM('R.M Billets Reports'!F568),IF(ISNUMBER(SEARCH("Party Name-",'R.M Billets Reports'!D568)),TRIM(MID('R.M Billets Reports'!D568,SEARCH("-",'R.M Billets Reports'!D568)+1,200)),""))&lt;&gt;"",IF(ISNUMBER(SEARCH("Party Name:-",'R.M Billets Reports'!D568)),TRIM('R.M Billets Reports'!F568),IF(ISNUMBER(SEARCH("Party Name-",'R.M Billets Reports'!D568)),TRIM(MID('R.M Billets Reports'!D568,SEARCH("-",'R.M Billets Reports'!D568)+1,200)),"")),IF(ISNUMBER(SEARCH("Party Name:-",'R.M Billets Reports'!D569)),TRIM('R.M Billets Reports'!F569),IF(ISNUMBER(SEARCH("Party Name-",'R.M Billets Reports'!D569)),TRIM(MID('R.M Billets Reports'!D569,SEARCH("-",'R.M Billets Reports'!D569)+1,200)),"")))="VRKP ISPAT PVT LTD","VRKP",IF(IF(IF(ISNUMBER(SEARCH("Party Name:-",'R.M Billets Reports'!D568)),TRIM('R.M Billets Reports'!F568),IF(ISNUMBER(SEARCH("Party Name-",'R.M Billets Reports'!D568)),TRIM(MID('R.M Billets Reports'!D568,SEARCH("-",'R.M Billets Reports'!D568)+1,200)),""))&lt;&gt;"",IF(ISNUMBER(SEARCH("Party Name:-",'R.M Billets Reports'!D568)),TRIM('R.M Billets Reports'!F568),IF(ISNUMBER(SEARCH("Party Name-",'R.M Billets Reports'!D568)),TRIM(MID('R.M Billets Reports'!D568,SEARCH("-",'R.M Billets Reports'!D568)+1,200)),"")),IF(ISNUMBER(SEARCH("Party Name:-",'R.M Billets Reports'!D569)),TRIM('R.M Billets Reports'!F569),IF(ISNUMBER(SEARCH("Party Name-",'R.M Billets Reports'!D569)),TRIM(MID('R.M Billets Reports'!D569,SEARCH("-",'R.M Billets Reports'!D569)+1,200)),"")))="SHRI RADHE","SHREE RADHE",IF(IF(IF(ISNUMBER(SEARCH("Party Name:-",'R.M Billets Reports'!D568)),TRIM('R.M Billets Reports'!F568),IF(ISNUMBER(SEARCH("Party Name-",'R.M Billets Reports'!D568)),TRIM(MID('R.M Billets Reports'!D568,SEARCH("-",'R.M Billets Reports'!D568)+1,200)),""))&lt;&gt;"",IF(ISNUMBER(SEARCH("Party Name:-",'R.M Billets Reports'!D568)),TRIM('R.M Billets Reports'!F568),IF(ISNUMBER(SEARCH("Party Name-",'R.M Billets Reports'!D568)),TRIM(MID('R.M Billets Reports'!D568,SEARCH("-",'R.M Billets Reports'!D568)+1,200)),"")),IF(ISNUMBER(SEARCH("Party Name:-",'R.M Billets Reports'!D569)),TRIM('R.M Billets Reports'!F569),IF(ISNUMBER(SEARCH("Party Name-",'R.M Billets Reports'!D569)),TRIM(MID('R.M Billets Reports'!D569,SEARCH("-",'R.M Billets Reports'!D569)+1,200)),"")))="SHREE RADHE SHAKTI SPONGE AND POWER PVT. LTD.","SHREE RADHE",IF(IF(ISNUMBER(SEARCH("Party Name:-",'R.M Billets Reports'!D568)),TRIM('R.M Billets Reports'!F568),IF(ISNUMBER(SEARCH("Party Name-",'R.M Billets Reports'!D568)),TRIM(MID('R.M Billets Reports'!D568,SEARCH("-",'R.M Billets Reports'!D568)+1,200)),""))&lt;&gt;"",IF(ISNUMBER(SEARCH("Party Name:-",'R.M Billets Reports'!D568)),TRIM('R.M Billets Reports'!F568),IF(ISNUMBER(SEARCH("Party Name-",'R.M Billets Reports'!D568)),TRIM(MID('R.M Billets Reports'!D568,SEARCH("-",'R.M Billets Reports'!D568)+1,200)),"")),IF(ISNUMBER(SEARCH("Party Name:-",'R.M Billets Reports'!D569)),TRIM('R.M Billets Reports'!F569),IF(ISNUMBER(SEARCH("Party Name-",'R.M Billets Reports'!D569)),TRIM(MID('R.M Billets Reports'!D569,SEARCH("-",'R.M Billets Reports'!D569)+1,200)),"")))))),IF(ROW()=2,"",A568))</f>
      </c>
      <c r="B569">
        <f>IF(OR('R.M Billets Reports'!A568="Date-",'R.M Billets Reports'!A568="Date:-"),'R.M Billets Reports'!B568,IF(ROW()=2,"",B568))</f>
      </c>
      <c r="C569">
        <f>IF('R.M Billets Reports'!A568="V.No.",'R.M Billets Reports'!B568,IF(ROW()=2,"",C568))</f>
      </c>
      <c r="D569">
        <f>IF('R.M Billets Reports'!A568&lt;&gt;"",'R.M Billets Reports'!A568,IF(ROW()=2,"",D568))</f>
      </c>
      <c r="E569">
        <f>IF('R.M Billets Reports'!B568="","",TRIM('R.M Billets Reports'!B568))</f>
      </c>
      <c r="F569">
        <f>'R.M Billets Reports'!C568</f>
      </c>
      <c r="G569">
        <f>'R.M Billets Reports'!D568</f>
      </c>
      <c r="H569">
        <f>'R.M Billets Reports'!E568</f>
      </c>
      <c r="I569">
        <f>'R.M Billets Reports'!F568</f>
      </c>
      <c r="J569">
        <f>'R.M Billets Reports'!G568</f>
      </c>
      <c r="K569">
        <f>'R.M Billets Reports'!H568</f>
      </c>
      <c r="L569">
        <f>IF('R.M Billets Reports'!I568="","",'R.M Billets Reports'!I568)</f>
      </c>
      <c r="M569">
        <f t="shared" si="16"/>
      </c>
      <c r="N569">
        <f>IF('R.M Billets Reports'!J568="","",'R.M Billets Reports'!J568)</f>
      </c>
      <c r="O569">
        <f t="shared" si="17"/>
      </c>
      <c r="P569">
        <f>IF('R.M Billets Reports'!A568="SIZE",'R.M Billets Reports'!B568,P568)</f>
      </c>
    </row>
    <row r="570" spans="1:16" x14ac:dyDescent="0.25">
      <c r="A570">
        <f>IF(OR('R.M Billets Reports'!A569="Date-",'R.M Billets Reports'!A569="Date:-"),IF(IF(IF(ISNUMBER(SEARCH("Party Name:-",'R.M Billets Reports'!D569)),TRIM('R.M Billets Reports'!F569),IF(ISNUMBER(SEARCH("Party Name-",'R.M Billets Reports'!D569)),TRIM(MID('R.M Billets Reports'!D569,SEARCH("-",'R.M Billets Reports'!D569)+1,200)),""))&lt;&gt;"",IF(ISNUMBER(SEARCH("Party Name:-",'R.M Billets Reports'!D569)),TRIM('R.M Billets Reports'!F569),IF(ISNUMBER(SEARCH("Party Name-",'R.M Billets Reports'!D569)),TRIM(MID('R.M Billets Reports'!D569,SEARCH("-",'R.M Billets Reports'!D569)+1,200)),"")),IF(ISNUMBER(SEARCH("Party Name:-",'R.M Billets Reports'!D570)),TRIM('R.M Billets Reports'!F570),IF(ISNUMBER(SEARCH("Party Name-",'R.M Billets Reports'!D570)),TRIM(MID('R.M Billets Reports'!D570,SEARCH("-",'R.M Billets Reports'!D570)+1,200)),"")))="VRKP ISPAT PVT LTD","VRKP",IF(IF(IF(ISNUMBER(SEARCH("Party Name:-",'R.M Billets Reports'!D569)),TRIM('R.M Billets Reports'!F569),IF(ISNUMBER(SEARCH("Party Name-",'R.M Billets Reports'!D569)),TRIM(MID('R.M Billets Reports'!D569,SEARCH("-",'R.M Billets Reports'!D569)+1,200)),""))&lt;&gt;"",IF(ISNUMBER(SEARCH("Party Name:-",'R.M Billets Reports'!D569)),TRIM('R.M Billets Reports'!F569),IF(ISNUMBER(SEARCH("Party Name-",'R.M Billets Reports'!D569)),TRIM(MID('R.M Billets Reports'!D569,SEARCH("-",'R.M Billets Reports'!D569)+1,200)),"")),IF(ISNUMBER(SEARCH("Party Name:-",'R.M Billets Reports'!D570)),TRIM('R.M Billets Reports'!F570),IF(ISNUMBER(SEARCH("Party Name-",'R.M Billets Reports'!D570)),TRIM(MID('R.M Billets Reports'!D570,SEARCH("-",'R.M Billets Reports'!D570)+1,200)),"")))="SHRI RADHE","SHREE RADHE",IF(IF(IF(ISNUMBER(SEARCH("Party Name:-",'R.M Billets Reports'!D569)),TRIM('R.M Billets Reports'!F569),IF(ISNUMBER(SEARCH("Party Name-",'R.M Billets Reports'!D569)),TRIM(MID('R.M Billets Reports'!D569,SEARCH("-",'R.M Billets Reports'!D569)+1,200)),""))&lt;&gt;"",IF(ISNUMBER(SEARCH("Party Name:-",'R.M Billets Reports'!D569)),TRIM('R.M Billets Reports'!F569),IF(ISNUMBER(SEARCH("Party Name-",'R.M Billets Reports'!D569)),TRIM(MID('R.M Billets Reports'!D569,SEARCH("-",'R.M Billets Reports'!D569)+1,200)),"")),IF(ISNUMBER(SEARCH("Party Name:-",'R.M Billets Reports'!D570)),TRIM('R.M Billets Reports'!F570),IF(ISNUMBER(SEARCH("Party Name-",'R.M Billets Reports'!D570)),TRIM(MID('R.M Billets Reports'!D570,SEARCH("-",'R.M Billets Reports'!D570)+1,200)),"")))="SHREE RADHE SHAKTI SPONGE AND POWER PVT. LTD.","SHREE RADHE",IF(IF(ISNUMBER(SEARCH("Party Name:-",'R.M Billets Reports'!D569)),TRIM('R.M Billets Reports'!F569),IF(ISNUMBER(SEARCH("Party Name-",'R.M Billets Reports'!D569)),TRIM(MID('R.M Billets Reports'!D569,SEARCH("-",'R.M Billets Reports'!D569)+1,200)),""))&lt;&gt;"",IF(ISNUMBER(SEARCH("Party Name:-",'R.M Billets Reports'!D569)),TRIM('R.M Billets Reports'!F569),IF(ISNUMBER(SEARCH("Party Name-",'R.M Billets Reports'!D569)),TRIM(MID('R.M Billets Reports'!D569,SEARCH("-",'R.M Billets Reports'!D569)+1,200)),"")),IF(ISNUMBER(SEARCH("Party Name:-",'R.M Billets Reports'!D570)),TRIM('R.M Billets Reports'!F570),IF(ISNUMBER(SEARCH("Party Name-",'R.M Billets Reports'!D570)),TRIM(MID('R.M Billets Reports'!D570,SEARCH("-",'R.M Billets Reports'!D570)+1,200)),"")))))),IF(ROW()=2,"",A569))</f>
      </c>
      <c r="B570">
        <f>IF(OR('R.M Billets Reports'!A569="Date-",'R.M Billets Reports'!A569="Date:-"),'R.M Billets Reports'!B569,IF(ROW()=2,"",B569))</f>
      </c>
      <c r="C570">
        <f>IF('R.M Billets Reports'!A569="V.No.",'R.M Billets Reports'!B569,IF(ROW()=2,"",C569))</f>
      </c>
      <c r="D570">
        <f>IF('R.M Billets Reports'!A569&lt;&gt;"",'R.M Billets Reports'!A569,IF(ROW()=2,"",D569))</f>
      </c>
      <c r="E570">
        <f>IF('R.M Billets Reports'!B569="","",TRIM('R.M Billets Reports'!B569))</f>
      </c>
      <c r="F570">
        <f>'R.M Billets Reports'!C569</f>
      </c>
      <c r="G570">
        <f>'R.M Billets Reports'!D569</f>
      </c>
      <c r="H570">
        <f>'R.M Billets Reports'!E569</f>
      </c>
      <c r="I570">
        <f>'R.M Billets Reports'!F569</f>
      </c>
      <c r="J570">
        <f>'R.M Billets Reports'!G569</f>
      </c>
      <c r="K570">
        <f>'R.M Billets Reports'!H569</f>
      </c>
      <c r="L570">
        <f>IF('R.M Billets Reports'!I569="","",'R.M Billets Reports'!I569)</f>
      </c>
      <c r="M570">
        <f t="shared" si="16"/>
      </c>
      <c r="N570">
        <f>IF('R.M Billets Reports'!J569="","",'R.M Billets Reports'!J569)</f>
      </c>
      <c r="O570">
        <f t="shared" si="17"/>
      </c>
      <c r="P570">
        <f>IF('R.M Billets Reports'!A569="SIZE",'R.M Billets Reports'!B569,P569)</f>
      </c>
    </row>
    <row r="571" spans="1:16" x14ac:dyDescent="0.25">
      <c r="A571">
        <f>IF(OR('R.M Billets Reports'!A570="Date-",'R.M Billets Reports'!A570="Date:-"),IF(IF(IF(ISNUMBER(SEARCH("Party Name:-",'R.M Billets Reports'!D570)),TRIM('R.M Billets Reports'!F570),IF(ISNUMBER(SEARCH("Party Name-",'R.M Billets Reports'!D570)),TRIM(MID('R.M Billets Reports'!D570,SEARCH("-",'R.M Billets Reports'!D570)+1,200)),""))&lt;&gt;"",IF(ISNUMBER(SEARCH("Party Name:-",'R.M Billets Reports'!D570)),TRIM('R.M Billets Reports'!F570),IF(ISNUMBER(SEARCH("Party Name-",'R.M Billets Reports'!D570)),TRIM(MID('R.M Billets Reports'!D570,SEARCH("-",'R.M Billets Reports'!D570)+1,200)),"")),IF(ISNUMBER(SEARCH("Party Name:-",'R.M Billets Reports'!D571)),TRIM('R.M Billets Reports'!F571),IF(ISNUMBER(SEARCH("Party Name-",'R.M Billets Reports'!D571)),TRIM(MID('R.M Billets Reports'!D571,SEARCH("-",'R.M Billets Reports'!D571)+1,200)),"")))="VRKP ISPAT PVT LTD","VRKP",IF(IF(IF(ISNUMBER(SEARCH("Party Name:-",'R.M Billets Reports'!D570)),TRIM('R.M Billets Reports'!F570),IF(ISNUMBER(SEARCH("Party Name-",'R.M Billets Reports'!D570)),TRIM(MID('R.M Billets Reports'!D570,SEARCH("-",'R.M Billets Reports'!D570)+1,200)),""))&lt;&gt;"",IF(ISNUMBER(SEARCH("Party Name:-",'R.M Billets Reports'!D570)),TRIM('R.M Billets Reports'!F570),IF(ISNUMBER(SEARCH("Party Name-",'R.M Billets Reports'!D570)),TRIM(MID('R.M Billets Reports'!D570,SEARCH("-",'R.M Billets Reports'!D570)+1,200)),"")),IF(ISNUMBER(SEARCH("Party Name:-",'R.M Billets Reports'!D571)),TRIM('R.M Billets Reports'!F571),IF(ISNUMBER(SEARCH("Party Name-",'R.M Billets Reports'!D571)),TRIM(MID('R.M Billets Reports'!D571,SEARCH("-",'R.M Billets Reports'!D571)+1,200)),"")))="SHRI RADHE","SHREE RADHE",IF(IF(IF(ISNUMBER(SEARCH("Party Name:-",'R.M Billets Reports'!D570)),TRIM('R.M Billets Reports'!F570),IF(ISNUMBER(SEARCH("Party Name-",'R.M Billets Reports'!D570)),TRIM(MID('R.M Billets Reports'!D570,SEARCH("-",'R.M Billets Reports'!D570)+1,200)),""))&lt;&gt;"",IF(ISNUMBER(SEARCH("Party Name:-",'R.M Billets Reports'!D570)),TRIM('R.M Billets Reports'!F570),IF(ISNUMBER(SEARCH("Party Name-",'R.M Billets Reports'!D570)),TRIM(MID('R.M Billets Reports'!D570,SEARCH("-",'R.M Billets Reports'!D570)+1,200)),"")),IF(ISNUMBER(SEARCH("Party Name:-",'R.M Billets Reports'!D571)),TRIM('R.M Billets Reports'!F571),IF(ISNUMBER(SEARCH("Party Name-",'R.M Billets Reports'!D571)),TRIM(MID('R.M Billets Reports'!D571,SEARCH("-",'R.M Billets Reports'!D571)+1,200)),"")))="SHREE RADHE SHAKTI SPONGE AND POWER PVT. LTD.","SHREE RADHE",IF(IF(ISNUMBER(SEARCH("Party Name:-",'R.M Billets Reports'!D570)),TRIM('R.M Billets Reports'!F570),IF(ISNUMBER(SEARCH("Party Name-",'R.M Billets Reports'!D570)),TRIM(MID('R.M Billets Reports'!D570,SEARCH("-",'R.M Billets Reports'!D570)+1,200)),""))&lt;&gt;"",IF(ISNUMBER(SEARCH("Party Name:-",'R.M Billets Reports'!D570)),TRIM('R.M Billets Reports'!F570),IF(ISNUMBER(SEARCH("Party Name-",'R.M Billets Reports'!D570)),TRIM(MID('R.M Billets Reports'!D570,SEARCH("-",'R.M Billets Reports'!D570)+1,200)),"")),IF(ISNUMBER(SEARCH("Party Name:-",'R.M Billets Reports'!D571)),TRIM('R.M Billets Reports'!F571),IF(ISNUMBER(SEARCH("Party Name-",'R.M Billets Reports'!D571)),TRIM(MID('R.M Billets Reports'!D571,SEARCH("-",'R.M Billets Reports'!D571)+1,200)),"")))))),IF(ROW()=2,"",A570))</f>
      </c>
      <c r="B571">
        <f>IF(OR('R.M Billets Reports'!A570="Date-",'R.M Billets Reports'!A570="Date:-"),'R.M Billets Reports'!B570,IF(ROW()=2,"",B570))</f>
      </c>
      <c r="C571">
        <f>IF('R.M Billets Reports'!A570="V.No.",'R.M Billets Reports'!B570,IF(ROW()=2,"",C570))</f>
      </c>
      <c r="D571">
        <f>IF('R.M Billets Reports'!A570&lt;&gt;"",'R.M Billets Reports'!A570,IF(ROW()=2,"",D570))</f>
      </c>
      <c r="E571">
        <f>IF('R.M Billets Reports'!B570="","",TRIM('R.M Billets Reports'!B570))</f>
      </c>
      <c r="F571">
        <f>'R.M Billets Reports'!C570</f>
      </c>
      <c r="G571">
        <f>'R.M Billets Reports'!D570</f>
      </c>
      <c r="H571">
        <f>'R.M Billets Reports'!E570</f>
      </c>
      <c r="I571">
        <f>'R.M Billets Reports'!F570</f>
      </c>
      <c r="J571">
        <f>'R.M Billets Reports'!G570</f>
      </c>
      <c r="K571">
        <f>'R.M Billets Reports'!H570</f>
      </c>
      <c r="L571">
        <f>IF('R.M Billets Reports'!I570="","",'R.M Billets Reports'!I570)</f>
      </c>
      <c r="M571">
        <f t="shared" si="16"/>
      </c>
      <c r="N571">
        <f>IF('R.M Billets Reports'!J570="","",'R.M Billets Reports'!J570)</f>
      </c>
      <c r="O571">
        <f t="shared" si="17"/>
      </c>
      <c r="P571">
        <f>IF('R.M Billets Reports'!A570="SIZE",'R.M Billets Reports'!B570,P570)</f>
      </c>
    </row>
    <row r="572" spans="1:16" x14ac:dyDescent="0.25">
      <c r="A572">
        <f>IF(OR('R.M Billets Reports'!A571="Date-",'R.M Billets Reports'!A571="Date:-"),IF(IF(IF(ISNUMBER(SEARCH("Party Name:-",'R.M Billets Reports'!D571)),TRIM('R.M Billets Reports'!F571),IF(ISNUMBER(SEARCH("Party Name-",'R.M Billets Reports'!D571)),TRIM(MID('R.M Billets Reports'!D571,SEARCH("-",'R.M Billets Reports'!D571)+1,200)),""))&lt;&gt;"",IF(ISNUMBER(SEARCH("Party Name:-",'R.M Billets Reports'!D571)),TRIM('R.M Billets Reports'!F571),IF(ISNUMBER(SEARCH("Party Name-",'R.M Billets Reports'!D571)),TRIM(MID('R.M Billets Reports'!D571,SEARCH("-",'R.M Billets Reports'!D571)+1,200)),"")),IF(ISNUMBER(SEARCH("Party Name:-",'R.M Billets Reports'!D572)),TRIM('R.M Billets Reports'!F572),IF(ISNUMBER(SEARCH("Party Name-",'R.M Billets Reports'!D572)),TRIM(MID('R.M Billets Reports'!D572,SEARCH("-",'R.M Billets Reports'!D572)+1,200)),"")))="VRKP ISPAT PVT LTD","VRKP",IF(IF(IF(ISNUMBER(SEARCH("Party Name:-",'R.M Billets Reports'!D571)),TRIM('R.M Billets Reports'!F571),IF(ISNUMBER(SEARCH("Party Name-",'R.M Billets Reports'!D571)),TRIM(MID('R.M Billets Reports'!D571,SEARCH("-",'R.M Billets Reports'!D571)+1,200)),""))&lt;&gt;"",IF(ISNUMBER(SEARCH("Party Name:-",'R.M Billets Reports'!D571)),TRIM('R.M Billets Reports'!F571),IF(ISNUMBER(SEARCH("Party Name-",'R.M Billets Reports'!D571)),TRIM(MID('R.M Billets Reports'!D571,SEARCH("-",'R.M Billets Reports'!D571)+1,200)),"")),IF(ISNUMBER(SEARCH("Party Name:-",'R.M Billets Reports'!D572)),TRIM('R.M Billets Reports'!F572),IF(ISNUMBER(SEARCH("Party Name-",'R.M Billets Reports'!D572)),TRIM(MID('R.M Billets Reports'!D572,SEARCH("-",'R.M Billets Reports'!D572)+1,200)),"")))="SHRI RADHE","SHREE RADHE",IF(IF(IF(ISNUMBER(SEARCH("Party Name:-",'R.M Billets Reports'!D571)),TRIM('R.M Billets Reports'!F571),IF(ISNUMBER(SEARCH("Party Name-",'R.M Billets Reports'!D571)),TRIM(MID('R.M Billets Reports'!D571,SEARCH("-",'R.M Billets Reports'!D571)+1,200)),""))&lt;&gt;"",IF(ISNUMBER(SEARCH("Party Name:-",'R.M Billets Reports'!D571)),TRIM('R.M Billets Reports'!F571),IF(ISNUMBER(SEARCH("Party Name-",'R.M Billets Reports'!D571)),TRIM(MID('R.M Billets Reports'!D571,SEARCH("-",'R.M Billets Reports'!D571)+1,200)),"")),IF(ISNUMBER(SEARCH("Party Name:-",'R.M Billets Reports'!D572)),TRIM('R.M Billets Reports'!F572),IF(ISNUMBER(SEARCH("Party Name-",'R.M Billets Reports'!D572)),TRIM(MID('R.M Billets Reports'!D572,SEARCH("-",'R.M Billets Reports'!D572)+1,200)),"")))="SHREE RADHE SHAKTI SPONGE AND POWER PVT. LTD.","SHREE RADHE",IF(IF(ISNUMBER(SEARCH("Party Name:-",'R.M Billets Reports'!D571)),TRIM('R.M Billets Reports'!F571),IF(ISNUMBER(SEARCH("Party Name-",'R.M Billets Reports'!D571)),TRIM(MID('R.M Billets Reports'!D571,SEARCH("-",'R.M Billets Reports'!D571)+1,200)),""))&lt;&gt;"",IF(ISNUMBER(SEARCH("Party Name:-",'R.M Billets Reports'!D571)),TRIM('R.M Billets Reports'!F571),IF(ISNUMBER(SEARCH("Party Name-",'R.M Billets Reports'!D571)),TRIM(MID('R.M Billets Reports'!D571,SEARCH("-",'R.M Billets Reports'!D571)+1,200)),"")),IF(ISNUMBER(SEARCH("Party Name:-",'R.M Billets Reports'!D572)),TRIM('R.M Billets Reports'!F572),IF(ISNUMBER(SEARCH("Party Name-",'R.M Billets Reports'!D572)),TRIM(MID('R.M Billets Reports'!D572,SEARCH("-",'R.M Billets Reports'!D572)+1,200)),"")))))),IF(ROW()=2,"",A571))</f>
      </c>
      <c r="B572">
        <f>IF(OR('R.M Billets Reports'!A571="Date-",'R.M Billets Reports'!A571="Date:-"),'R.M Billets Reports'!B571,IF(ROW()=2,"",B571))</f>
      </c>
      <c r="C572">
        <f>IF('R.M Billets Reports'!A571="V.No.",'R.M Billets Reports'!B571,IF(ROW()=2,"",C571))</f>
      </c>
      <c r="D572">
        <f>IF('R.M Billets Reports'!A571&lt;&gt;"",'R.M Billets Reports'!A571,IF(ROW()=2,"",D571))</f>
      </c>
      <c r="E572">
        <f>IF('R.M Billets Reports'!B571="","",TRIM('R.M Billets Reports'!B571))</f>
      </c>
      <c r="F572">
        <f>'R.M Billets Reports'!C571</f>
      </c>
      <c r="G572">
        <f>'R.M Billets Reports'!D571</f>
      </c>
      <c r="H572">
        <f>'R.M Billets Reports'!E571</f>
      </c>
      <c r="I572">
        <f>'R.M Billets Reports'!F571</f>
      </c>
      <c r="J572">
        <f>'R.M Billets Reports'!G571</f>
      </c>
      <c r="K572">
        <f>'R.M Billets Reports'!H571</f>
      </c>
      <c r="L572">
        <f>IF('R.M Billets Reports'!I571="","",'R.M Billets Reports'!I571)</f>
      </c>
      <c r="M572">
        <f t="shared" si="16"/>
      </c>
      <c r="N572">
        <f>IF('R.M Billets Reports'!J571="","",'R.M Billets Reports'!J571)</f>
      </c>
      <c r="O572">
        <f t="shared" si="17"/>
      </c>
      <c r="P572">
        <f>IF('R.M Billets Reports'!A571="SIZE",'R.M Billets Reports'!B571,P571)</f>
      </c>
    </row>
    <row r="573" spans="1:16" x14ac:dyDescent="0.25">
      <c r="A573">
        <f>IF(OR('R.M Billets Reports'!A572="Date-",'R.M Billets Reports'!A572="Date:-"),IF(IF(IF(ISNUMBER(SEARCH("Party Name:-",'R.M Billets Reports'!D572)),TRIM('R.M Billets Reports'!F572),IF(ISNUMBER(SEARCH("Party Name-",'R.M Billets Reports'!D572)),TRIM(MID('R.M Billets Reports'!D572,SEARCH("-",'R.M Billets Reports'!D572)+1,200)),""))&lt;&gt;"",IF(ISNUMBER(SEARCH("Party Name:-",'R.M Billets Reports'!D572)),TRIM('R.M Billets Reports'!F572),IF(ISNUMBER(SEARCH("Party Name-",'R.M Billets Reports'!D572)),TRIM(MID('R.M Billets Reports'!D572,SEARCH("-",'R.M Billets Reports'!D572)+1,200)),"")),IF(ISNUMBER(SEARCH("Party Name:-",'R.M Billets Reports'!D573)),TRIM('R.M Billets Reports'!F573),IF(ISNUMBER(SEARCH("Party Name-",'R.M Billets Reports'!D573)),TRIM(MID('R.M Billets Reports'!D573,SEARCH("-",'R.M Billets Reports'!D573)+1,200)),"")))="VRKP ISPAT PVT LTD","VRKP",IF(IF(IF(ISNUMBER(SEARCH("Party Name:-",'R.M Billets Reports'!D572)),TRIM('R.M Billets Reports'!F572),IF(ISNUMBER(SEARCH("Party Name-",'R.M Billets Reports'!D572)),TRIM(MID('R.M Billets Reports'!D572,SEARCH("-",'R.M Billets Reports'!D572)+1,200)),""))&lt;&gt;"",IF(ISNUMBER(SEARCH("Party Name:-",'R.M Billets Reports'!D572)),TRIM('R.M Billets Reports'!F572),IF(ISNUMBER(SEARCH("Party Name-",'R.M Billets Reports'!D572)),TRIM(MID('R.M Billets Reports'!D572,SEARCH("-",'R.M Billets Reports'!D572)+1,200)),"")),IF(ISNUMBER(SEARCH("Party Name:-",'R.M Billets Reports'!D573)),TRIM('R.M Billets Reports'!F573),IF(ISNUMBER(SEARCH("Party Name-",'R.M Billets Reports'!D573)),TRIM(MID('R.M Billets Reports'!D573,SEARCH("-",'R.M Billets Reports'!D573)+1,200)),"")))="SHRI RADHE","SHREE RADHE",IF(IF(IF(ISNUMBER(SEARCH("Party Name:-",'R.M Billets Reports'!D572)),TRIM('R.M Billets Reports'!F572),IF(ISNUMBER(SEARCH("Party Name-",'R.M Billets Reports'!D572)),TRIM(MID('R.M Billets Reports'!D572,SEARCH("-",'R.M Billets Reports'!D572)+1,200)),""))&lt;&gt;"",IF(ISNUMBER(SEARCH("Party Name:-",'R.M Billets Reports'!D572)),TRIM('R.M Billets Reports'!F572),IF(ISNUMBER(SEARCH("Party Name-",'R.M Billets Reports'!D572)),TRIM(MID('R.M Billets Reports'!D572,SEARCH("-",'R.M Billets Reports'!D572)+1,200)),"")),IF(ISNUMBER(SEARCH("Party Name:-",'R.M Billets Reports'!D573)),TRIM('R.M Billets Reports'!F573),IF(ISNUMBER(SEARCH("Party Name-",'R.M Billets Reports'!D573)),TRIM(MID('R.M Billets Reports'!D573,SEARCH("-",'R.M Billets Reports'!D573)+1,200)),"")))="SHREE RADHE SHAKTI SPONGE AND POWER PVT. LTD.","SHREE RADHE",IF(IF(ISNUMBER(SEARCH("Party Name:-",'R.M Billets Reports'!D572)),TRIM('R.M Billets Reports'!F572),IF(ISNUMBER(SEARCH("Party Name-",'R.M Billets Reports'!D572)),TRIM(MID('R.M Billets Reports'!D572,SEARCH("-",'R.M Billets Reports'!D572)+1,200)),""))&lt;&gt;"",IF(ISNUMBER(SEARCH("Party Name:-",'R.M Billets Reports'!D572)),TRIM('R.M Billets Reports'!F572),IF(ISNUMBER(SEARCH("Party Name-",'R.M Billets Reports'!D572)),TRIM(MID('R.M Billets Reports'!D572,SEARCH("-",'R.M Billets Reports'!D572)+1,200)),"")),IF(ISNUMBER(SEARCH("Party Name:-",'R.M Billets Reports'!D573)),TRIM('R.M Billets Reports'!F573),IF(ISNUMBER(SEARCH("Party Name-",'R.M Billets Reports'!D573)),TRIM(MID('R.M Billets Reports'!D573,SEARCH("-",'R.M Billets Reports'!D573)+1,200)),"")))))),IF(ROW()=2,"",A572))</f>
      </c>
      <c r="B573">
        <f>IF(OR('R.M Billets Reports'!A572="Date-",'R.M Billets Reports'!A572="Date:-"),'R.M Billets Reports'!B572,IF(ROW()=2,"",B572))</f>
      </c>
      <c r="C573">
        <f>IF('R.M Billets Reports'!A572="V.No.",'R.M Billets Reports'!B572,IF(ROW()=2,"",C572))</f>
      </c>
      <c r="D573">
        <f>IF('R.M Billets Reports'!A572&lt;&gt;"",'R.M Billets Reports'!A572,IF(ROW()=2,"",D572))</f>
      </c>
      <c r="E573">
        <f>IF('R.M Billets Reports'!B572="","",TRIM('R.M Billets Reports'!B572))</f>
      </c>
      <c r="F573">
        <f>'R.M Billets Reports'!C572</f>
      </c>
      <c r="G573">
        <f>'R.M Billets Reports'!D572</f>
      </c>
      <c r="H573">
        <f>'R.M Billets Reports'!E572</f>
      </c>
      <c r="I573">
        <f>'R.M Billets Reports'!F572</f>
      </c>
      <c r="J573">
        <f>'R.M Billets Reports'!G572</f>
      </c>
      <c r="K573">
        <f>'R.M Billets Reports'!H572</f>
      </c>
      <c r="L573">
        <f>IF('R.M Billets Reports'!I572="","",'R.M Billets Reports'!I572)</f>
      </c>
      <c r="M573">
        <f t="shared" si="16"/>
      </c>
      <c r="N573">
        <f>IF('R.M Billets Reports'!J572="","",'R.M Billets Reports'!J572)</f>
      </c>
      <c r="O573">
        <f t="shared" si="17"/>
      </c>
      <c r="P573">
        <f>IF('R.M Billets Reports'!A572="SIZE",'R.M Billets Reports'!B572,P572)</f>
      </c>
    </row>
    <row r="574" spans="1:16" x14ac:dyDescent="0.25">
      <c r="A574">
        <f>IF(OR('R.M Billets Reports'!A573="Date-",'R.M Billets Reports'!A573="Date:-"),IF(IF(IF(ISNUMBER(SEARCH("Party Name:-",'R.M Billets Reports'!D573)),TRIM('R.M Billets Reports'!F573),IF(ISNUMBER(SEARCH("Party Name-",'R.M Billets Reports'!D573)),TRIM(MID('R.M Billets Reports'!D573,SEARCH("-",'R.M Billets Reports'!D573)+1,200)),""))&lt;&gt;"",IF(ISNUMBER(SEARCH("Party Name:-",'R.M Billets Reports'!D573)),TRIM('R.M Billets Reports'!F573),IF(ISNUMBER(SEARCH("Party Name-",'R.M Billets Reports'!D573)),TRIM(MID('R.M Billets Reports'!D573,SEARCH("-",'R.M Billets Reports'!D573)+1,200)),"")),IF(ISNUMBER(SEARCH("Party Name:-",'R.M Billets Reports'!D574)),TRIM('R.M Billets Reports'!F574),IF(ISNUMBER(SEARCH("Party Name-",'R.M Billets Reports'!D574)),TRIM(MID('R.M Billets Reports'!D574,SEARCH("-",'R.M Billets Reports'!D574)+1,200)),"")))="VRKP ISPAT PVT LTD","VRKP",IF(IF(IF(ISNUMBER(SEARCH("Party Name:-",'R.M Billets Reports'!D573)),TRIM('R.M Billets Reports'!F573),IF(ISNUMBER(SEARCH("Party Name-",'R.M Billets Reports'!D573)),TRIM(MID('R.M Billets Reports'!D573,SEARCH("-",'R.M Billets Reports'!D573)+1,200)),""))&lt;&gt;"",IF(ISNUMBER(SEARCH("Party Name:-",'R.M Billets Reports'!D573)),TRIM('R.M Billets Reports'!F573),IF(ISNUMBER(SEARCH("Party Name-",'R.M Billets Reports'!D573)),TRIM(MID('R.M Billets Reports'!D573,SEARCH("-",'R.M Billets Reports'!D573)+1,200)),"")),IF(ISNUMBER(SEARCH("Party Name:-",'R.M Billets Reports'!D574)),TRIM('R.M Billets Reports'!F574),IF(ISNUMBER(SEARCH("Party Name-",'R.M Billets Reports'!D574)),TRIM(MID('R.M Billets Reports'!D574,SEARCH("-",'R.M Billets Reports'!D574)+1,200)),"")))="SHRI RADHE","SHREE RADHE",IF(IF(IF(ISNUMBER(SEARCH("Party Name:-",'R.M Billets Reports'!D573)),TRIM('R.M Billets Reports'!F573),IF(ISNUMBER(SEARCH("Party Name-",'R.M Billets Reports'!D573)),TRIM(MID('R.M Billets Reports'!D573,SEARCH("-",'R.M Billets Reports'!D573)+1,200)),""))&lt;&gt;"",IF(ISNUMBER(SEARCH("Party Name:-",'R.M Billets Reports'!D573)),TRIM('R.M Billets Reports'!F573),IF(ISNUMBER(SEARCH("Party Name-",'R.M Billets Reports'!D573)),TRIM(MID('R.M Billets Reports'!D573,SEARCH("-",'R.M Billets Reports'!D573)+1,200)),"")),IF(ISNUMBER(SEARCH("Party Name:-",'R.M Billets Reports'!D574)),TRIM('R.M Billets Reports'!F574),IF(ISNUMBER(SEARCH("Party Name-",'R.M Billets Reports'!D574)),TRIM(MID('R.M Billets Reports'!D574,SEARCH("-",'R.M Billets Reports'!D574)+1,200)),"")))="SHREE RADHE SHAKTI SPONGE AND POWER PVT. LTD.","SHREE RADHE",IF(IF(ISNUMBER(SEARCH("Party Name:-",'R.M Billets Reports'!D573)),TRIM('R.M Billets Reports'!F573),IF(ISNUMBER(SEARCH("Party Name-",'R.M Billets Reports'!D573)),TRIM(MID('R.M Billets Reports'!D573,SEARCH("-",'R.M Billets Reports'!D573)+1,200)),""))&lt;&gt;"",IF(ISNUMBER(SEARCH("Party Name:-",'R.M Billets Reports'!D573)),TRIM('R.M Billets Reports'!F573),IF(ISNUMBER(SEARCH("Party Name-",'R.M Billets Reports'!D573)),TRIM(MID('R.M Billets Reports'!D573,SEARCH("-",'R.M Billets Reports'!D573)+1,200)),"")),IF(ISNUMBER(SEARCH("Party Name:-",'R.M Billets Reports'!D574)),TRIM('R.M Billets Reports'!F574),IF(ISNUMBER(SEARCH("Party Name-",'R.M Billets Reports'!D574)),TRIM(MID('R.M Billets Reports'!D574,SEARCH("-",'R.M Billets Reports'!D574)+1,200)),"")))))),IF(ROW()=2,"",A573))</f>
      </c>
      <c r="B574">
        <f>IF(OR('R.M Billets Reports'!A573="Date-",'R.M Billets Reports'!A573="Date:-"),'R.M Billets Reports'!B573,IF(ROW()=2,"",B573))</f>
      </c>
      <c r="C574">
        <f>IF('R.M Billets Reports'!A573="V.No.",'R.M Billets Reports'!B573,IF(ROW()=2,"",C573))</f>
      </c>
      <c r="D574">
        <f>IF('R.M Billets Reports'!A573&lt;&gt;"",'R.M Billets Reports'!A573,IF(ROW()=2,"",D573))</f>
      </c>
      <c r="E574">
        <f>IF('R.M Billets Reports'!B573="","",TRIM('R.M Billets Reports'!B573))</f>
      </c>
      <c r="F574">
        <f>'R.M Billets Reports'!C573</f>
      </c>
      <c r="G574">
        <f>'R.M Billets Reports'!D573</f>
      </c>
      <c r="H574">
        <f>'R.M Billets Reports'!E573</f>
      </c>
      <c r="I574">
        <f>'R.M Billets Reports'!F573</f>
      </c>
      <c r="J574">
        <f>'R.M Billets Reports'!G573</f>
      </c>
      <c r="K574">
        <f>'R.M Billets Reports'!H573</f>
      </c>
      <c r="L574">
        <f>IF('R.M Billets Reports'!I573="","",'R.M Billets Reports'!I573)</f>
      </c>
      <c r="M574">
        <f t="shared" si="16"/>
      </c>
      <c r="N574">
        <f>IF('R.M Billets Reports'!J573="","",'R.M Billets Reports'!J573)</f>
      </c>
      <c r="O574">
        <f t="shared" si="17"/>
      </c>
      <c r="P574">
        <f>IF('R.M Billets Reports'!A573="SIZE",'R.M Billets Reports'!B573,P573)</f>
      </c>
    </row>
    <row r="575" spans="1:16" x14ac:dyDescent="0.25">
      <c r="A575">
        <f>IF(OR('R.M Billets Reports'!A574="Date-",'R.M Billets Reports'!A574="Date:-"),IF(IF(IF(ISNUMBER(SEARCH("Party Name:-",'R.M Billets Reports'!D574)),TRIM('R.M Billets Reports'!F574),IF(ISNUMBER(SEARCH("Party Name-",'R.M Billets Reports'!D574)),TRIM(MID('R.M Billets Reports'!D574,SEARCH("-",'R.M Billets Reports'!D574)+1,200)),""))&lt;&gt;"",IF(ISNUMBER(SEARCH("Party Name:-",'R.M Billets Reports'!D574)),TRIM('R.M Billets Reports'!F574),IF(ISNUMBER(SEARCH("Party Name-",'R.M Billets Reports'!D574)),TRIM(MID('R.M Billets Reports'!D574,SEARCH("-",'R.M Billets Reports'!D574)+1,200)),"")),IF(ISNUMBER(SEARCH("Party Name:-",'R.M Billets Reports'!D575)),TRIM('R.M Billets Reports'!F575),IF(ISNUMBER(SEARCH("Party Name-",'R.M Billets Reports'!D575)),TRIM(MID('R.M Billets Reports'!D575,SEARCH("-",'R.M Billets Reports'!D575)+1,200)),"")))="VRKP ISPAT PVT LTD","VRKP",IF(IF(IF(ISNUMBER(SEARCH("Party Name:-",'R.M Billets Reports'!D574)),TRIM('R.M Billets Reports'!F574),IF(ISNUMBER(SEARCH("Party Name-",'R.M Billets Reports'!D574)),TRIM(MID('R.M Billets Reports'!D574,SEARCH("-",'R.M Billets Reports'!D574)+1,200)),""))&lt;&gt;"",IF(ISNUMBER(SEARCH("Party Name:-",'R.M Billets Reports'!D574)),TRIM('R.M Billets Reports'!F574),IF(ISNUMBER(SEARCH("Party Name-",'R.M Billets Reports'!D574)),TRIM(MID('R.M Billets Reports'!D574,SEARCH("-",'R.M Billets Reports'!D574)+1,200)),"")),IF(ISNUMBER(SEARCH("Party Name:-",'R.M Billets Reports'!D575)),TRIM('R.M Billets Reports'!F575),IF(ISNUMBER(SEARCH("Party Name-",'R.M Billets Reports'!D575)),TRIM(MID('R.M Billets Reports'!D575,SEARCH("-",'R.M Billets Reports'!D575)+1,200)),"")))="SHRI RADHE","SHREE RADHE",IF(IF(IF(ISNUMBER(SEARCH("Party Name:-",'R.M Billets Reports'!D574)),TRIM('R.M Billets Reports'!F574),IF(ISNUMBER(SEARCH("Party Name-",'R.M Billets Reports'!D574)),TRIM(MID('R.M Billets Reports'!D574,SEARCH("-",'R.M Billets Reports'!D574)+1,200)),""))&lt;&gt;"",IF(ISNUMBER(SEARCH("Party Name:-",'R.M Billets Reports'!D574)),TRIM('R.M Billets Reports'!F574),IF(ISNUMBER(SEARCH("Party Name-",'R.M Billets Reports'!D574)),TRIM(MID('R.M Billets Reports'!D574,SEARCH("-",'R.M Billets Reports'!D574)+1,200)),"")),IF(ISNUMBER(SEARCH("Party Name:-",'R.M Billets Reports'!D575)),TRIM('R.M Billets Reports'!F575),IF(ISNUMBER(SEARCH("Party Name-",'R.M Billets Reports'!D575)),TRIM(MID('R.M Billets Reports'!D575,SEARCH("-",'R.M Billets Reports'!D575)+1,200)),"")))="SHREE RADHE SHAKTI SPONGE AND POWER PVT. LTD.","SHREE RADHE",IF(IF(ISNUMBER(SEARCH("Party Name:-",'R.M Billets Reports'!D574)),TRIM('R.M Billets Reports'!F574),IF(ISNUMBER(SEARCH("Party Name-",'R.M Billets Reports'!D574)),TRIM(MID('R.M Billets Reports'!D574,SEARCH("-",'R.M Billets Reports'!D574)+1,200)),""))&lt;&gt;"",IF(ISNUMBER(SEARCH("Party Name:-",'R.M Billets Reports'!D574)),TRIM('R.M Billets Reports'!F574),IF(ISNUMBER(SEARCH("Party Name-",'R.M Billets Reports'!D574)),TRIM(MID('R.M Billets Reports'!D574,SEARCH("-",'R.M Billets Reports'!D574)+1,200)),"")),IF(ISNUMBER(SEARCH("Party Name:-",'R.M Billets Reports'!D575)),TRIM('R.M Billets Reports'!F575),IF(ISNUMBER(SEARCH("Party Name-",'R.M Billets Reports'!D575)),TRIM(MID('R.M Billets Reports'!D575,SEARCH("-",'R.M Billets Reports'!D575)+1,200)),"")))))),IF(ROW()=2,"",A574))</f>
      </c>
      <c r="B575">
        <f>IF(OR('R.M Billets Reports'!A574="Date-",'R.M Billets Reports'!A574="Date:-"),'R.M Billets Reports'!B574,IF(ROW()=2,"",B574))</f>
      </c>
      <c r="C575">
        <f>IF('R.M Billets Reports'!A574="V.No.",'R.M Billets Reports'!B574,IF(ROW()=2,"",C574))</f>
      </c>
      <c r="D575">
        <f>IF('R.M Billets Reports'!A574&lt;&gt;"",'R.M Billets Reports'!A574,IF(ROW()=2,"",D574))</f>
      </c>
      <c r="E575">
        <f>IF('R.M Billets Reports'!B574="","",TRIM('R.M Billets Reports'!B574))</f>
      </c>
      <c r="F575">
        <f>'R.M Billets Reports'!C574</f>
      </c>
      <c r="G575">
        <f>'R.M Billets Reports'!D574</f>
      </c>
      <c r="H575">
        <f>'R.M Billets Reports'!E574</f>
      </c>
      <c r="I575">
        <f>'R.M Billets Reports'!F574</f>
      </c>
      <c r="J575">
        <f>'R.M Billets Reports'!G574</f>
      </c>
      <c r="K575">
        <f>'R.M Billets Reports'!H574</f>
      </c>
      <c r="L575">
        <f>IF('R.M Billets Reports'!I574="","",'R.M Billets Reports'!I574)</f>
      </c>
      <c r="M575">
        <f t="shared" si="16"/>
      </c>
      <c r="N575">
        <f>IF('R.M Billets Reports'!J574="","",'R.M Billets Reports'!J574)</f>
      </c>
      <c r="O575">
        <f t="shared" si="17"/>
      </c>
      <c r="P575">
        <f>IF('R.M Billets Reports'!A574="SIZE",'R.M Billets Reports'!B574,P574)</f>
      </c>
    </row>
    <row r="576" spans="1:16" x14ac:dyDescent="0.25">
      <c r="A576">
        <f>IF(OR('R.M Billets Reports'!A575="Date-",'R.M Billets Reports'!A575="Date:-"),IF(IF(IF(ISNUMBER(SEARCH("Party Name:-",'R.M Billets Reports'!D575)),TRIM('R.M Billets Reports'!F575),IF(ISNUMBER(SEARCH("Party Name-",'R.M Billets Reports'!D575)),TRIM(MID('R.M Billets Reports'!D575,SEARCH("-",'R.M Billets Reports'!D575)+1,200)),""))&lt;&gt;"",IF(ISNUMBER(SEARCH("Party Name:-",'R.M Billets Reports'!D575)),TRIM('R.M Billets Reports'!F575),IF(ISNUMBER(SEARCH("Party Name-",'R.M Billets Reports'!D575)),TRIM(MID('R.M Billets Reports'!D575,SEARCH("-",'R.M Billets Reports'!D575)+1,200)),"")),IF(ISNUMBER(SEARCH("Party Name:-",'R.M Billets Reports'!D576)),TRIM('R.M Billets Reports'!F576),IF(ISNUMBER(SEARCH("Party Name-",'R.M Billets Reports'!D576)),TRIM(MID('R.M Billets Reports'!D576,SEARCH("-",'R.M Billets Reports'!D576)+1,200)),"")))="VRKP ISPAT PVT LTD","VRKP",IF(IF(IF(ISNUMBER(SEARCH("Party Name:-",'R.M Billets Reports'!D575)),TRIM('R.M Billets Reports'!F575),IF(ISNUMBER(SEARCH("Party Name-",'R.M Billets Reports'!D575)),TRIM(MID('R.M Billets Reports'!D575,SEARCH("-",'R.M Billets Reports'!D575)+1,200)),""))&lt;&gt;"",IF(ISNUMBER(SEARCH("Party Name:-",'R.M Billets Reports'!D575)),TRIM('R.M Billets Reports'!F575),IF(ISNUMBER(SEARCH("Party Name-",'R.M Billets Reports'!D575)),TRIM(MID('R.M Billets Reports'!D575,SEARCH("-",'R.M Billets Reports'!D575)+1,200)),"")),IF(ISNUMBER(SEARCH("Party Name:-",'R.M Billets Reports'!D576)),TRIM('R.M Billets Reports'!F576),IF(ISNUMBER(SEARCH("Party Name-",'R.M Billets Reports'!D576)),TRIM(MID('R.M Billets Reports'!D576,SEARCH("-",'R.M Billets Reports'!D576)+1,200)),"")))="SHRI RADHE","SHREE RADHE",IF(IF(IF(ISNUMBER(SEARCH("Party Name:-",'R.M Billets Reports'!D575)),TRIM('R.M Billets Reports'!F575),IF(ISNUMBER(SEARCH("Party Name-",'R.M Billets Reports'!D575)),TRIM(MID('R.M Billets Reports'!D575,SEARCH("-",'R.M Billets Reports'!D575)+1,200)),""))&lt;&gt;"",IF(ISNUMBER(SEARCH("Party Name:-",'R.M Billets Reports'!D575)),TRIM('R.M Billets Reports'!F575),IF(ISNUMBER(SEARCH("Party Name-",'R.M Billets Reports'!D575)),TRIM(MID('R.M Billets Reports'!D575,SEARCH("-",'R.M Billets Reports'!D575)+1,200)),"")),IF(ISNUMBER(SEARCH("Party Name:-",'R.M Billets Reports'!D576)),TRIM('R.M Billets Reports'!F576),IF(ISNUMBER(SEARCH("Party Name-",'R.M Billets Reports'!D576)),TRIM(MID('R.M Billets Reports'!D576,SEARCH("-",'R.M Billets Reports'!D576)+1,200)),"")))="SHREE RADHE SHAKTI SPONGE AND POWER PVT. LTD.","SHREE RADHE",IF(IF(ISNUMBER(SEARCH("Party Name:-",'R.M Billets Reports'!D575)),TRIM('R.M Billets Reports'!F575),IF(ISNUMBER(SEARCH("Party Name-",'R.M Billets Reports'!D575)),TRIM(MID('R.M Billets Reports'!D575,SEARCH("-",'R.M Billets Reports'!D575)+1,200)),""))&lt;&gt;"",IF(ISNUMBER(SEARCH("Party Name:-",'R.M Billets Reports'!D575)),TRIM('R.M Billets Reports'!F575),IF(ISNUMBER(SEARCH("Party Name-",'R.M Billets Reports'!D575)),TRIM(MID('R.M Billets Reports'!D575,SEARCH("-",'R.M Billets Reports'!D575)+1,200)),"")),IF(ISNUMBER(SEARCH("Party Name:-",'R.M Billets Reports'!D576)),TRIM('R.M Billets Reports'!F576),IF(ISNUMBER(SEARCH("Party Name-",'R.M Billets Reports'!D576)),TRIM(MID('R.M Billets Reports'!D576,SEARCH("-",'R.M Billets Reports'!D576)+1,200)),"")))))),IF(ROW()=2,"",A575))</f>
      </c>
      <c r="B576">
        <f>IF(OR('R.M Billets Reports'!A575="Date-",'R.M Billets Reports'!A575="Date:-"),'R.M Billets Reports'!B575,IF(ROW()=2,"",B575))</f>
      </c>
      <c r="C576">
        <f>IF('R.M Billets Reports'!A575="V.No.",'R.M Billets Reports'!B575,IF(ROW()=2,"",C575))</f>
      </c>
      <c r="D576">
        <f>IF('R.M Billets Reports'!A575&lt;&gt;"",'R.M Billets Reports'!A575,IF(ROW()=2,"",D575))</f>
      </c>
      <c r="E576">
        <f>IF('R.M Billets Reports'!B575="","",TRIM('R.M Billets Reports'!B575))</f>
      </c>
      <c r="F576">
        <f>'R.M Billets Reports'!C575</f>
      </c>
      <c r="G576">
        <f>'R.M Billets Reports'!D575</f>
      </c>
      <c r="H576">
        <f>'R.M Billets Reports'!E575</f>
      </c>
      <c r="I576">
        <f>'R.M Billets Reports'!F575</f>
      </c>
      <c r="J576">
        <f>'R.M Billets Reports'!G575</f>
      </c>
      <c r="K576">
        <f>'R.M Billets Reports'!H575</f>
      </c>
      <c r="L576">
        <f>IF('R.M Billets Reports'!I575="","",'R.M Billets Reports'!I575)</f>
      </c>
      <c r="M576">
        <f t="shared" si="16"/>
      </c>
      <c r="N576">
        <f>IF('R.M Billets Reports'!J575="","",'R.M Billets Reports'!J575)</f>
      </c>
      <c r="O576">
        <f t="shared" si="17"/>
      </c>
      <c r="P576">
        <f>IF('R.M Billets Reports'!A575="SIZE",'R.M Billets Reports'!B575,P575)</f>
      </c>
    </row>
    <row r="577" spans="1:16" x14ac:dyDescent="0.25">
      <c r="A577">
        <f>IF(OR('R.M Billets Reports'!A576="Date-",'R.M Billets Reports'!A576="Date:-"),IF(IF(IF(ISNUMBER(SEARCH("Party Name:-",'R.M Billets Reports'!D576)),TRIM('R.M Billets Reports'!F576),IF(ISNUMBER(SEARCH("Party Name-",'R.M Billets Reports'!D576)),TRIM(MID('R.M Billets Reports'!D576,SEARCH("-",'R.M Billets Reports'!D576)+1,200)),""))&lt;&gt;"",IF(ISNUMBER(SEARCH("Party Name:-",'R.M Billets Reports'!D576)),TRIM('R.M Billets Reports'!F576),IF(ISNUMBER(SEARCH("Party Name-",'R.M Billets Reports'!D576)),TRIM(MID('R.M Billets Reports'!D576,SEARCH("-",'R.M Billets Reports'!D576)+1,200)),"")),IF(ISNUMBER(SEARCH("Party Name:-",'R.M Billets Reports'!D577)),TRIM('R.M Billets Reports'!F577),IF(ISNUMBER(SEARCH("Party Name-",'R.M Billets Reports'!D577)),TRIM(MID('R.M Billets Reports'!D577,SEARCH("-",'R.M Billets Reports'!D577)+1,200)),"")))="VRKP ISPAT PVT LTD","VRKP",IF(IF(IF(ISNUMBER(SEARCH("Party Name:-",'R.M Billets Reports'!D576)),TRIM('R.M Billets Reports'!F576),IF(ISNUMBER(SEARCH("Party Name-",'R.M Billets Reports'!D576)),TRIM(MID('R.M Billets Reports'!D576,SEARCH("-",'R.M Billets Reports'!D576)+1,200)),""))&lt;&gt;"",IF(ISNUMBER(SEARCH("Party Name:-",'R.M Billets Reports'!D576)),TRIM('R.M Billets Reports'!F576),IF(ISNUMBER(SEARCH("Party Name-",'R.M Billets Reports'!D576)),TRIM(MID('R.M Billets Reports'!D576,SEARCH("-",'R.M Billets Reports'!D576)+1,200)),"")),IF(ISNUMBER(SEARCH("Party Name:-",'R.M Billets Reports'!D577)),TRIM('R.M Billets Reports'!F577),IF(ISNUMBER(SEARCH("Party Name-",'R.M Billets Reports'!D577)),TRIM(MID('R.M Billets Reports'!D577,SEARCH("-",'R.M Billets Reports'!D577)+1,200)),"")))="SHRI RADHE","SHREE RADHE",IF(IF(IF(ISNUMBER(SEARCH("Party Name:-",'R.M Billets Reports'!D576)),TRIM('R.M Billets Reports'!F576),IF(ISNUMBER(SEARCH("Party Name-",'R.M Billets Reports'!D576)),TRIM(MID('R.M Billets Reports'!D576,SEARCH("-",'R.M Billets Reports'!D576)+1,200)),""))&lt;&gt;"",IF(ISNUMBER(SEARCH("Party Name:-",'R.M Billets Reports'!D576)),TRIM('R.M Billets Reports'!F576),IF(ISNUMBER(SEARCH("Party Name-",'R.M Billets Reports'!D576)),TRIM(MID('R.M Billets Reports'!D576,SEARCH("-",'R.M Billets Reports'!D576)+1,200)),"")),IF(ISNUMBER(SEARCH("Party Name:-",'R.M Billets Reports'!D577)),TRIM('R.M Billets Reports'!F577),IF(ISNUMBER(SEARCH("Party Name-",'R.M Billets Reports'!D577)),TRIM(MID('R.M Billets Reports'!D577,SEARCH("-",'R.M Billets Reports'!D577)+1,200)),"")))="SHREE RADHE SHAKTI SPONGE AND POWER PVT. LTD.","SHREE RADHE",IF(IF(ISNUMBER(SEARCH("Party Name:-",'R.M Billets Reports'!D576)),TRIM('R.M Billets Reports'!F576),IF(ISNUMBER(SEARCH("Party Name-",'R.M Billets Reports'!D576)),TRIM(MID('R.M Billets Reports'!D576,SEARCH("-",'R.M Billets Reports'!D576)+1,200)),""))&lt;&gt;"",IF(ISNUMBER(SEARCH("Party Name:-",'R.M Billets Reports'!D576)),TRIM('R.M Billets Reports'!F576),IF(ISNUMBER(SEARCH("Party Name-",'R.M Billets Reports'!D576)),TRIM(MID('R.M Billets Reports'!D576,SEARCH("-",'R.M Billets Reports'!D576)+1,200)),"")),IF(ISNUMBER(SEARCH("Party Name:-",'R.M Billets Reports'!D577)),TRIM('R.M Billets Reports'!F577),IF(ISNUMBER(SEARCH("Party Name-",'R.M Billets Reports'!D577)),TRIM(MID('R.M Billets Reports'!D577,SEARCH("-",'R.M Billets Reports'!D577)+1,200)),"")))))),IF(ROW()=2,"",A576))</f>
      </c>
      <c r="B577">
        <f>IF(OR('R.M Billets Reports'!A576="Date-",'R.M Billets Reports'!A576="Date:-"),'R.M Billets Reports'!B576,IF(ROW()=2,"",B576))</f>
      </c>
      <c r="C577">
        <f>IF('R.M Billets Reports'!A576="V.No.",'R.M Billets Reports'!B576,IF(ROW()=2,"",C576))</f>
      </c>
      <c r="D577">
        <f>IF('R.M Billets Reports'!A576&lt;&gt;"",'R.M Billets Reports'!A576,IF(ROW()=2,"",D576))</f>
      </c>
      <c r="E577">
        <f>IF('R.M Billets Reports'!B576="","",TRIM('R.M Billets Reports'!B576))</f>
      </c>
      <c r="F577">
        <f>'R.M Billets Reports'!C576</f>
      </c>
      <c r="G577">
        <f>'R.M Billets Reports'!D576</f>
      </c>
      <c r="H577">
        <f>'R.M Billets Reports'!E576</f>
      </c>
      <c r="I577">
        <f>'R.M Billets Reports'!F576</f>
      </c>
      <c r="J577">
        <f>'R.M Billets Reports'!G576</f>
      </c>
      <c r="K577">
        <f>'R.M Billets Reports'!H576</f>
      </c>
      <c r="L577">
        <f>IF('R.M Billets Reports'!I576="","",'R.M Billets Reports'!I576)</f>
      </c>
      <c r="M577">
        <f t="shared" si="16"/>
      </c>
      <c r="N577">
        <f>IF('R.M Billets Reports'!J576="","",'R.M Billets Reports'!J576)</f>
      </c>
      <c r="O577">
        <f t="shared" si="17"/>
      </c>
      <c r="P577">
        <f>IF('R.M Billets Reports'!A576="SIZE",'R.M Billets Reports'!B576,P576)</f>
      </c>
    </row>
    <row r="578" spans="1:16" x14ac:dyDescent="0.25">
      <c r="A578">
        <f>IF(OR('R.M Billets Reports'!A577="Date-",'R.M Billets Reports'!A577="Date:-"),IF(IF(IF(ISNUMBER(SEARCH("Party Name:-",'R.M Billets Reports'!D577)),TRIM('R.M Billets Reports'!F577),IF(ISNUMBER(SEARCH("Party Name-",'R.M Billets Reports'!D577)),TRIM(MID('R.M Billets Reports'!D577,SEARCH("-",'R.M Billets Reports'!D577)+1,200)),""))&lt;&gt;"",IF(ISNUMBER(SEARCH("Party Name:-",'R.M Billets Reports'!D577)),TRIM('R.M Billets Reports'!F577),IF(ISNUMBER(SEARCH("Party Name-",'R.M Billets Reports'!D577)),TRIM(MID('R.M Billets Reports'!D577,SEARCH("-",'R.M Billets Reports'!D577)+1,200)),"")),IF(ISNUMBER(SEARCH("Party Name:-",'R.M Billets Reports'!D578)),TRIM('R.M Billets Reports'!F578),IF(ISNUMBER(SEARCH("Party Name-",'R.M Billets Reports'!D578)),TRIM(MID('R.M Billets Reports'!D578,SEARCH("-",'R.M Billets Reports'!D578)+1,200)),"")))="VRKP ISPAT PVT LTD","VRKP",IF(IF(IF(ISNUMBER(SEARCH("Party Name:-",'R.M Billets Reports'!D577)),TRIM('R.M Billets Reports'!F577),IF(ISNUMBER(SEARCH("Party Name-",'R.M Billets Reports'!D577)),TRIM(MID('R.M Billets Reports'!D577,SEARCH("-",'R.M Billets Reports'!D577)+1,200)),""))&lt;&gt;"",IF(ISNUMBER(SEARCH("Party Name:-",'R.M Billets Reports'!D577)),TRIM('R.M Billets Reports'!F577),IF(ISNUMBER(SEARCH("Party Name-",'R.M Billets Reports'!D577)),TRIM(MID('R.M Billets Reports'!D577,SEARCH("-",'R.M Billets Reports'!D577)+1,200)),"")),IF(ISNUMBER(SEARCH("Party Name:-",'R.M Billets Reports'!D578)),TRIM('R.M Billets Reports'!F578),IF(ISNUMBER(SEARCH("Party Name-",'R.M Billets Reports'!D578)),TRIM(MID('R.M Billets Reports'!D578,SEARCH("-",'R.M Billets Reports'!D578)+1,200)),"")))="SHRI RADHE","SHREE RADHE",IF(IF(IF(ISNUMBER(SEARCH("Party Name:-",'R.M Billets Reports'!D577)),TRIM('R.M Billets Reports'!F577),IF(ISNUMBER(SEARCH("Party Name-",'R.M Billets Reports'!D577)),TRIM(MID('R.M Billets Reports'!D577,SEARCH("-",'R.M Billets Reports'!D577)+1,200)),""))&lt;&gt;"",IF(ISNUMBER(SEARCH("Party Name:-",'R.M Billets Reports'!D577)),TRIM('R.M Billets Reports'!F577),IF(ISNUMBER(SEARCH("Party Name-",'R.M Billets Reports'!D577)),TRIM(MID('R.M Billets Reports'!D577,SEARCH("-",'R.M Billets Reports'!D577)+1,200)),"")),IF(ISNUMBER(SEARCH("Party Name:-",'R.M Billets Reports'!D578)),TRIM('R.M Billets Reports'!F578),IF(ISNUMBER(SEARCH("Party Name-",'R.M Billets Reports'!D578)),TRIM(MID('R.M Billets Reports'!D578,SEARCH("-",'R.M Billets Reports'!D578)+1,200)),"")))="SHREE RADHE SHAKTI SPONGE AND POWER PVT. LTD.","SHREE RADHE",IF(IF(ISNUMBER(SEARCH("Party Name:-",'R.M Billets Reports'!D577)),TRIM('R.M Billets Reports'!F577),IF(ISNUMBER(SEARCH("Party Name-",'R.M Billets Reports'!D577)),TRIM(MID('R.M Billets Reports'!D577,SEARCH("-",'R.M Billets Reports'!D577)+1,200)),""))&lt;&gt;"",IF(ISNUMBER(SEARCH("Party Name:-",'R.M Billets Reports'!D577)),TRIM('R.M Billets Reports'!F577),IF(ISNUMBER(SEARCH("Party Name-",'R.M Billets Reports'!D577)),TRIM(MID('R.M Billets Reports'!D577,SEARCH("-",'R.M Billets Reports'!D577)+1,200)),"")),IF(ISNUMBER(SEARCH("Party Name:-",'R.M Billets Reports'!D578)),TRIM('R.M Billets Reports'!F578),IF(ISNUMBER(SEARCH("Party Name-",'R.M Billets Reports'!D578)),TRIM(MID('R.M Billets Reports'!D578,SEARCH("-",'R.M Billets Reports'!D578)+1,200)),"")))))),IF(ROW()=2,"",A577))</f>
      </c>
      <c r="B578">
        <f>IF(OR('R.M Billets Reports'!A577="Date-",'R.M Billets Reports'!A577="Date:-"),'R.M Billets Reports'!B577,IF(ROW()=2,"",B577))</f>
      </c>
      <c r="C578">
        <f>IF('R.M Billets Reports'!A577="V.No.",'R.M Billets Reports'!B577,IF(ROW()=2,"",C577))</f>
      </c>
      <c r="D578">
        <f>IF('R.M Billets Reports'!A577&lt;&gt;"",'R.M Billets Reports'!A577,IF(ROW()=2,"",D577))</f>
      </c>
      <c r="E578">
        <f>IF('R.M Billets Reports'!B577="","",TRIM('R.M Billets Reports'!B577))</f>
      </c>
      <c r="F578">
        <f>'R.M Billets Reports'!C577</f>
      </c>
      <c r="G578">
        <f>'R.M Billets Reports'!D577</f>
      </c>
      <c r="H578">
        <f>'R.M Billets Reports'!E577</f>
      </c>
      <c r="I578">
        <f>'R.M Billets Reports'!F577</f>
      </c>
      <c r="J578">
        <f>'R.M Billets Reports'!G577</f>
      </c>
      <c r="K578">
        <f>'R.M Billets Reports'!H577</f>
      </c>
      <c r="L578">
        <f>IF('R.M Billets Reports'!I577="","",'R.M Billets Reports'!I577)</f>
      </c>
      <c r="M578">
        <f t="shared" si="16"/>
      </c>
      <c r="N578">
        <f>IF('R.M Billets Reports'!J577="","",'R.M Billets Reports'!J577)</f>
      </c>
      <c r="O578">
        <f t="shared" si="17"/>
      </c>
      <c r="P578">
        <f>IF('R.M Billets Reports'!A577="SIZE",'R.M Billets Reports'!B577,P577)</f>
      </c>
    </row>
    <row r="579" spans="1:16" x14ac:dyDescent="0.25">
      <c r="A579">
        <f>IF(OR('R.M Billets Reports'!A578="Date-",'R.M Billets Reports'!A578="Date:-"),IF(IF(IF(ISNUMBER(SEARCH("Party Name:-",'R.M Billets Reports'!D578)),TRIM('R.M Billets Reports'!F578),IF(ISNUMBER(SEARCH("Party Name-",'R.M Billets Reports'!D578)),TRIM(MID('R.M Billets Reports'!D578,SEARCH("-",'R.M Billets Reports'!D578)+1,200)),""))&lt;&gt;"",IF(ISNUMBER(SEARCH("Party Name:-",'R.M Billets Reports'!D578)),TRIM('R.M Billets Reports'!F578),IF(ISNUMBER(SEARCH("Party Name-",'R.M Billets Reports'!D578)),TRIM(MID('R.M Billets Reports'!D578,SEARCH("-",'R.M Billets Reports'!D578)+1,200)),"")),IF(ISNUMBER(SEARCH("Party Name:-",'R.M Billets Reports'!D579)),TRIM('R.M Billets Reports'!F579),IF(ISNUMBER(SEARCH("Party Name-",'R.M Billets Reports'!D579)),TRIM(MID('R.M Billets Reports'!D579,SEARCH("-",'R.M Billets Reports'!D579)+1,200)),"")))="VRKP ISPAT PVT LTD","VRKP",IF(IF(IF(ISNUMBER(SEARCH("Party Name:-",'R.M Billets Reports'!D578)),TRIM('R.M Billets Reports'!F578),IF(ISNUMBER(SEARCH("Party Name-",'R.M Billets Reports'!D578)),TRIM(MID('R.M Billets Reports'!D578,SEARCH("-",'R.M Billets Reports'!D578)+1,200)),""))&lt;&gt;"",IF(ISNUMBER(SEARCH("Party Name:-",'R.M Billets Reports'!D578)),TRIM('R.M Billets Reports'!F578),IF(ISNUMBER(SEARCH("Party Name-",'R.M Billets Reports'!D578)),TRIM(MID('R.M Billets Reports'!D578,SEARCH("-",'R.M Billets Reports'!D578)+1,200)),"")),IF(ISNUMBER(SEARCH("Party Name:-",'R.M Billets Reports'!D579)),TRIM('R.M Billets Reports'!F579),IF(ISNUMBER(SEARCH("Party Name-",'R.M Billets Reports'!D579)),TRIM(MID('R.M Billets Reports'!D579,SEARCH("-",'R.M Billets Reports'!D579)+1,200)),"")))="SHRI RADHE","SHREE RADHE",IF(IF(IF(ISNUMBER(SEARCH("Party Name:-",'R.M Billets Reports'!D578)),TRIM('R.M Billets Reports'!F578),IF(ISNUMBER(SEARCH("Party Name-",'R.M Billets Reports'!D578)),TRIM(MID('R.M Billets Reports'!D578,SEARCH("-",'R.M Billets Reports'!D578)+1,200)),""))&lt;&gt;"",IF(ISNUMBER(SEARCH("Party Name:-",'R.M Billets Reports'!D578)),TRIM('R.M Billets Reports'!F578),IF(ISNUMBER(SEARCH("Party Name-",'R.M Billets Reports'!D578)),TRIM(MID('R.M Billets Reports'!D578,SEARCH("-",'R.M Billets Reports'!D578)+1,200)),"")),IF(ISNUMBER(SEARCH("Party Name:-",'R.M Billets Reports'!D579)),TRIM('R.M Billets Reports'!F579),IF(ISNUMBER(SEARCH("Party Name-",'R.M Billets Reports'!D579)),TRIM(MID('R.M Billets Reports'!D579,SEARCH("-",'R.M Billets Reports'!D579)+1,200)),"")))="SHREE RADHE SHAKTI SPONGE AND POWER PVT. LTD.","SHREE RADHE",IF(IF(ISNUMBER(SEARCH("Party Name:-",'R.M Billets Reports'!D578)),TRIM('R.M Billets Reports'!F578),IF(ISNUMBER(SEARCH("Party Name-",'R.M Billets Reports'!D578)),TRIM(MID('R.M Billets Reports'!D578,SEARCH("-",'R.M Billets Reports'!D578)+1,200)),""))&lt;&gt;"",IF(ISNUMBER(SEARCH("Party Name:-",'R.M Billets Reports'!D578)),TRIM('R.M Billets Reports'!F578),IF(ISNUMBER(SEARCH("Party Name-",'R.M Billets Reports'!D578)),TRIM(MID('R.M Billets Reports'!D578,SEARCH("-",'R.M Billets Reports'!D578)+1,200)),"")),IF(ISNUMBER(SEARCH("Party Name:-",'R.M Billets Reports'!D579)),TRIM('R.M Billets Reports'!F579),IF(ISNUMBER(SEARCH("Party Name-",'R.M Billets Reports'!D579)),TRIM(MID('R.M Billets Reports'!D579,SEARCH("-",'R.M Billets Reports'!D579)+1,200)),"")))))),IF(ROW()=2,"",A578))</f>
      </c>
      <c r="B579">
        <f>IF(OR('R.M Billets Reports'!A578="Date-",'R.M Billets Reports'!A578="Date:-"),'R.M Billets Reports'!B578,IF(ROW()=2,"",B578))</f>
      </c>
      <c r="C579">
        <f>IF('R.M Billets Reports'!A578="V.No.",'R.M Billets Reports'!B578,IF(ROW()=2,"",C578))</f>
      </c>
      <c r="D579">
        <f>IF('R.M Billets Reports'!A578&lt;&gt;"",'R.M Billets Reports'!A578,IF(ROW()=2,"",D578))</f>
      </c>
      <c r="E579">
        <f>IF('R.M Billets Reports'!B578="","",TRIM('R.M Billets Reports'!B578))</f>
      </c>
      <c r="F579">
        <f>'R.M Billets Reports'!C578</f>
      </c>
      <c r="G579">
        <f>'R.M Billets Reports'!D578</f>
      </c>
      <c r="H579">
        <f>'R.M Billets Reports'!E578</f>
      </c>
      <c r="I579">
        <f>'R.M Billets Reports'!F578</f>
      </c>
      <c r="J579">
        <f>'R.M Billets Reports'!G578</f>
      </c>
      <c r="K579">
        <f>'R.M Billets Reports'!H578</f>
      </c>
      <c r="L579">
        <f>IF('R.M Billets Reports'!I578="","",'R.M Billets Reports'!I578)</f>
      </c>
      <c r="M579">
        <f t="shared" ref="M579:M642" si="18">IF(L579&lt;&gt;"",L579,IF(D579=D578,M578,""))</f>
      </c>
      <c r="N579">
        <f>IF('R.M Billets Reports'!J578="","",'R.M Billets Reports'!J578)</f>
      </c>
      <c r="O579">
        <f t="shared" ref="O579:O642" si="19">IF(N579&lt;&gt;"",N579,IF(D579=D578,O578,""))</f>
      </c>
      <c r="P579">
        <f>IF('R.M Billets Reports'!A578="SIZE",'R.M Billets Reports'!B578,P578)</f>
      </c>
    </row>
    <row r="580" spans="1:16" x14ac:dyDescent="0.25">
      <c r="A580">
        <f>IF(OR('R.M Billets Reports'!A579="Date-",'R.M Billets Reports'!A579="Date:-"),IF(IF(IF(ISNUMBER(SEARCH("Party Name:-",'R.M Billets Reports'!D579)),TRIM('R.M Billets Reports'!F579),IF(ISNUMBER(SEARCH("Party Name-",'R.M Billets Reports'!D579)),TRIM(MID('R.M Billets Reports'!D579,SEARCH("-",'R.M Billets Reports'!D579)+1,200)),""))&lt;&gt;"",IF(ISNUMBER(SEARCH("Party Name:-",'R.M Billets Reports'!D579)),TRIM('R.M Billets Reports'!F579),IF(ISNUMBER(SEARCH("Party Name-",'R.M Billets Reports'!D579)),TRIM(MID('R.M Billets Reports'!D579,SEARCH("-",'R.M Billets Reports'!D579)+1,200)),"")),IF(ISNUMBER(SEARCH("Party Name:-",'R.M Billets Reports'!D580)),TRIM('R.M Billets Reports'!F580),IF(ISNUMBER(SEARCH("Party Name-",'R.M Billets Reports'!D580)),TRIM(MID('R.M Billets Reports'!D580,SEARCH("-",'R.M Billets Reports'!D580)+1,200)),"")))="VRKP ISPAT PVT LTD","VRKP",IF(IF(IF(ISNUMBER(SEARCH("Party Name:-",'R.M Billets Reports'!D579)),TRIM('R.M Billets Reports'!F579),IF(ISNUMBER(SEARCH("Party Name-",'R.M Billets Reports'!D579)),TRIM(MID('R.M Billets Reports'!D579,SEARCH("-",'R.M Billets Reports'!D579)+1,200)),""))&lt;&gt;"",IF(ISNUMBER(SEARCH("Party Name:-",'R.M Billets Reports'!D579)),TRIM('R.M Billets Reports'!F579),IF(ISNUMBER(SEARCH("Party Name-",'R.M Billets Reports'!D579)),TRIM(MID('R.M Billets Reports'!D579,SEARCH("-",'R.M Billets Reports'!D579)+1,200)),"")),IF(ISNUMBER(SEARCH("Party Name:-",'R.M Billets Reports'!D580)),TRIM('R.M Billets Reports'!F580),IF(ISNUMBER(SEARCH("Party Name-",'R.M Billets Reports'!D580)),TRIM(MID('R.M Billets Reports'!D580,SEARCH("-",'R.M Billets Reports'!D580)+1,200)),"")))="SHRI RADHE","SHREE RADHE",IF(IF(IF(ISNUMBER(SEARCH("Party Name:-",'R.M Billets Reports'!D579)),TRIM('R.M Billets Reports'!F579),IF(ISNUMBER(SEARCH("Party Name-",'R.M Billets Reports'!D579)),TRIM(MID('R.M Billets Reports'!D579,SEARCH("-",'R.M Billets Reports'!D579)+1,200)),""))&lt;&gt;"",IF(ISNUMBER(SEARCH("Party Name:-",'R.M Billets Reports'!D579)),TRIM('R.M Billets Reports'!F579),IF(ISNUMBER(SEARCH("Party Name-",'R.M Billets Reports'!D579)),TRIM(MID('R.M Billets Reports'!D579,SEARCH("-",'R.M Billets Reports'!D579)+1,200)),"")),IF(ISNUMBER(SEARCH("Party Name:-",'R.M Billets Reports'!D580)),TRIM('R.M Billets Reports'!F580),IF(ISNUMBER(SEARCH("Party Name-",'R.M Billets Reports'!D580)),TRIM(MID('R.M Billets Reports'!D580,SEARCH("-",'R.M Billets Reports'!D580)+1,200)),"")))="SHREE RADHE SHAKTI SPONGE AND POWER PVT. LTD.","SHREE RADHE",IF(IF(ISNUMBER(SEARCH("Party Name:-",'R.M Billets Reports'!D579)),TRIM('R.M Billets Reports'!F579),IF(ISNUMBER(SEARCH("Party Name-",'R.M Billets Reports'!D579)),TRIM(MID('R.M Billets Reports'!D579,SEARCH("-",'R.M Billets Reports'!D579)+1,200)),""))&lt;&gt;"",IF(ISNUMBER(SEARCH("Party Name:-",'R.M Billets Reports'!D579)),TRIM('R.M Billets Reports'!F579),IF(ISNUMBER(SEARCH("Party Name-",'R.M Billets Reports'!D579)),TRIM(MID('R.M Billets Reports'!D579,SEARCH("-",'R.M Billets Reports'!D579)+1,200)),"")),IF(ISNUMBER(SEARCH("Party Name:-",'R.M Billets Reports'!D580)),TRIM('R.M Billets Reports'!F580),IF(ISNUMBER(SEARCH("Party Name-",'R.M Billets Reports'!D580)),TRIM(MID('R.M Billets Reports'!D580,SEARCH("-",'R.M Billets Reports'!D580)+1,200)),"")))))),IF(ROW()=2,"",A579))</f>
      </c>
      <c r="B580">
        <f>IF(OR('R.M Billets Reports'!A579="Date-",'R.M Billets Reports'!A579="Date:-"),'R.M Billets Reports'!B579,IF(ROW()=2,"",B579))</f>
      </c>
      <c r="C580">
        <f>IF('R.M Billets Reports'!A579="V.No.",'R.M Billets Reports'!B579,IF(ROW()=2,"",C579))</f>
      </c>
      <c r="D580">
        <f>IF('R.M Billets Reports'!A579&lt;&gt;"",'R.M Billets Reports'!A579,IF(ROW()=2,"",D579))</f>
      </c>
      <c r="E580">
        <f>IF('R.M Billets Reports'!B579="","",TRIM('R.M Billets Reports'!B579))</f>
      </c>
      <c r="F580">
        <f>'R.M Billets Reports'!C579</f>
      </c>
      <c r="G580">
        <f>'R.M Billets Reports'!D579</f>
      </c>
      <c r="H580">
        <f>'R.M Billets Reports'!E579</f>
      </c>
      <c r="I580">
        <f>'R.M Billets Reports'!F579</f>
      </c>
      <c r="J580">
        <f>'R.M Billets Reports'!G579</f>
      </c>
      <c r="K580">
        <f>'R.M Billets Reports'!H579</f>
      </c>
      <c r="L580">
        <f>IF('R.M Billets Reports'!I579="","",'R.M Billets Reports'!I579)</f>
      </c>
      <c r="M580">
        <f t="shared" si="18"/>
      </c>
      <c r="N580">
        <f>IF('R.M Billets Reports'!J579="","",'R.M Billets Reports'!J579)</f>
      </c>
      <c r="O580">
        <f t="shared" si="19"/>
      </c>
      <c r="P580">
        <f>IF('R.M Billets Reports'!A579="SIZE",'R.M Billets Reports'!B579,P579)</f>
      </c>
    </row>
    <row r="581" spans="1:16" x14ac:dyDescent="0.25">
      <c r="A581">
        <f>IF(OR('R.M Billets Reports'!A580="Date-",'R.M Billets Reports'!A580="Date:-"),IF(IF(IF(ISNUMBER(SEARCH("Party Name:-",'R.M Billets Reports'!D580)),TRIM('R.M Billets Reports'!F580),IF(ISNUMBER(SEARCH("Party Name-",'R.M Billets Reports'!D580)),TRIM(MID('R.M Billets Reports'!D580,SEARCH("-",'R.M Billets Reports'!D580)+1,200)),""))&lt;&gt;"",IF(ISNUMBER(SEARCH("Party Name:-",'R.M Billets Reports'!D580)),TRIM('R.M Billets Reports'!F580),IF(ISNUMBER(SEARCH("Party Name-",'R.M Billets Reports'!D580)),TRIM(MID('R.M Billets Reports'!D580,SEARCH("-",'R.M Billets Reports'!D580)+1,200)),"")),IF(ISNUMBER(SEARCH("Party Name:-",'R.M Billets Reports'!D581)),TRIM('R.M Billets Reports'!F581),IF(ISNUMBER(SEARCH("Party Name-",'R.M Billets Reports'!D581)),TRIM(MID('R.M Billets Reports'!D581,SEARCH("-",'R.M Billets Reports'!D581)+1,200)),"")))="VRKP ISPAT PVT LTD","VRKP",IF(IF(IF(ISNUMBER(SEARCH("Party Name:-",'R.M Billets Reports'!D580)),TRIM('R.M Billets Reports'!F580),IF(ISNUMBER(SEARCH("Party Name-",'R.M Billets Reports'!D580)),TRIM(MID('R.M Billets Reports'!D580,SEARCH("-",'R.M Billets Reports'!D580)+1,200)),""))&lt;&gt;"",IF(ISNUMBER(SEARCH("Party Name:-",'R.M Billets Reports'!D580)),TRIM('R.M Billets Reports'!F580),IF(ISNUMBER(SEARCH("Party Name-",'R.M Billets Reports'!D580)),TRIM(MID('R.M Billets Reports'!D580,SEARCH("-",'R.M Billets Reports'!D580)+1,200)),"")),IF(ISNUMBER(SEARCH("Party Name:-",'R.M Billets Reports'!D581)),TRIM('R.M Billets Reports'!F581),IF(ISNUMBER(SEARCH("Party Name-",'R.M Billets Reports'!D581)),TRIM(MID('R.M Billets Reports'!D581,SEARCH("-",'R.M Billets Reports'!D581)+1,200)),"")))="SHRI RADHE","SHREE RADHE",IF(IF(IF(ISNUMBER(SEARCH("Party Name:-",'R.M Billets Reports'!D580)),TRIM('R.M Billets Reports'!F580),IF(ISNUMBER(SEARCH("Party Name-",'R.M Billets Reports'!D580)),TRIM(MID('R.M Billets Reports'!D580,SEARCH("-",'R.M Billets Reports'!D580)+1,200)),""))&lt;&gt;"",IF(ISNUMBER(SEARCH("Party Name:-",'R.M Billets Reports'!D580)),TRIM('R.M Billets Reports'!F580),IF(ISNUMBER(SEARCH("Party Name-",'R.M Billets Reports'!D580)),TRIM(MID('R.M Billets Reports'!D580,SEARCH("-",'R.M Billets Reports'!D580)+1,200)),"")),IF(ISNUMBER(SEARCH("Party Name:-",'R.M Billets Reports'!D581)),TRIM('R.M Billets Reports'!F581),IF(ISNUMBER(SEARCH("Party Name-",'R.M Billets Reports'!D581)),TRIM(MID('R.M Billets Reports'!D581,SEARCH("-",'R.M Billets Reports'!D581)+1,200)),"")))="SHREE RADHE SHAKTI SPONGE AND POWER PVT. LTD.","SHREE RADHE",IF(IF(ISNUMBER(SEARCH("Party Name:-",'R.M Billets Reports'!D580)),TRIM('R.M Billets Reports'!F580),IF(ISNUMBER(SEARCH("Party Name-",'R.M Billets Reports'!D580)),TRIM(MID('R.M Billets Reports'!D580,SEARCH("-",'R.M Billets Reports'!D580)+1,200)),""))&lt;&gt;"",IF(ISNUMBER(SEARCH("Party Name:-",'R.M Billets Reports'!D580)),TRIM('R.M Billets Reports'!F580),IF(ISNUMBER(SEARCH("Party Name-",'R.M Billets Reports'!D580)),TRIM(MID('R.M Billets Reports'!D580,SEARCH("-",'R.M Billets Reports'!D580)+1,200)),"")),IF(ISNUMBER(SEARCH("Party Name:-",'R.M Billets Reports'!D581)),TRIM('R.M Billets Reports'!F581),IF(ISNUMBER(SEARCH("Party Name-",'R.M Billets Reports'!D581)),TRIM(MID('R.M Billets Reports'!D581,SEARCH("-",'R.M Billets Reports'!D581)+1,200)),"")))))),IF(ROW()=2,"",A580))</f>
      </c>
      <c r="B581">
        <f>IF(OR('R.M Billets Reports'!A580="Date-",'R.M Billets Reports'!A580="Date:-"),'R.M Billets Reports'!B580,IF(ROW()=2,"",B580))</f>
      </c>
      <c r="C581">
        <f>IF('R.M Billets Reports'!A580="V.No.",'R.M Billets Reports'!B580,IF(ROW()=2,"",C580))</f>
      </c>
      <c r="D581">
        <f>IF('R.M Billets Reports'!A580&lt;&gt;"",'R.M Billets Reports'!A580,IF(ROW()=2,"",D580))</f>
      </c>
      <c r="E581">
        <f>IF('R.M Billets Reports'!B580="","",TRIM('R.M Billets Reports'!B580))</f>
      </c>
      <c r="F581">
        <f>'R.M Billets Reports'!C580</f>
      </c>
      <c r="G581">
        <f>'R.M Billets Reports'!D580</f>
      </c>
      <c r="H581">
        <f>'R.M Billets Reports'!E580</f>
      </c>
      <c r="I581">
        <f>'R.M Billets Reports'!F580</f>
      </c>
      <c r="J581">
        <f>'R.M Billets Reports'!G580</f>
      </c>
      <c r="K581">
        <f>'R.M Billets Reports'!H580</f>
      </c>
      <c r="L581">
        <f>IF('R.M Billets Reports'!I580="","",'R.M Billets Reports'!I580)</f>
      </c>
      <c r="M581">
        <f t="shared" si="18"/>
      </c>
      <c r="N581">
        <f>IF('R.M Billets Reports'!J580="","",'R.M Billets Reports'!J580)</f>
      </c>
      <c r="O581">
        <f t="shared" si="19"/>
      </c>
      <c r="P581">
        <f>IF('R.M Billets Reports'!A580="SIZE",'R.M Billets Reports'!B580,P580)</f>
      </c>
    </row>
    <row r="582" spans="1:16" x14ac:dyDescent="0.25">
      <c r="A582">
        <f>IF(OR('R.M Billets Reports'!A581="Date-",'R.M Billets Reports'!A581="Date:-"),IF(IF(IF(ISNUMBER(SEARCH("Party Name:-",'R.M Billets Reports'!D581)),TRIM('R.M Billets Reports'!F581),IF(ISNUMBER(SEARCH("Party Name-",'R.M Billets Reports'!D581)),TRIM(MID('R.M Billets Reports'!D581,SEARCH("-",'R.M Billets Reports'!D581)+1,200)),""))&lt;&gt;"",IF(ISNUMBER(SEARCH("Party Name:-",'R.M Billets Reports'!D581)),TRIM('R.M Billets Reports'!F581),IF(ISNUMBER(SEARCH("Party Name-",'R.M Billets Reports'!D581)),TRIM(MID('R.M Billets Reports'!D581,SEARCH("-",'R.M Billets Reports'!D581)+1,200)),"")),IF(ISNUMBER(SEARCH("Party Name:-",'R.M Billets Reports'!D582)),TRIM('R.M Billets Reports'!F582),IF(ISNUMBER(SEARCH("Party Name-",'R.M Billets Reports'!D582)),TRIM(MID('R.M Billets Reports'!D582,SEARCH("-",'R.M Billets Reports'!D582)+1,200)),"")))="VRKP ISPAT PVT LTD","VRKP",IF(IF(IF(ISNUMBER(SEARCH("Party Name:-",'R.M Billets Reports'!D581)),TRIM('R.M Billets Reports'!F581),IF(ISNUMBER(SEARCH("Party Name-",'R.M Billets Reports'!D581)),TRIM(MID('R.M Billets Reports'!D581,SEARCH("-",'R.M Billets Reports'!D581)+1,200)),""))&lt;&gt;"",IF(ISNUMBER(SEARCH("Party Name:-",'R.M Billets Reports'!D581)),TRIM('R.M Billets Reports'!F581),IF(ISNUMBER(SEARCH("Party Name-",'R.M Billets Reports'!D581)),TRIM(MID('R.M Billets Reports'!D581,SEARCH("-",'R.M Billets Reports'!D581)+1,200)),"")),IF(ISNUMBER(SEARCH("Party Name:-",'R.M Billets Reports'!D582)),TRIM('R.M Billets Reports'!F582),IF(ISNUMBER(SEARCH("Party Name-",'R.M Billets Reports'!D582)),TRIM(MID('R.M Billets Reports'!D582,SEARCH("-",'R.M Billets Reports'!D582)+1,200)),"")))="SHRI RADHE","SHREE RADHE",IF(IF(IF(ISNUMBER(SEARCH("Party Name:-",'R.M Billets Reports'!D581)),TRIM('R.M Billets Reports'!F581),IF(ISNUMBER(SEARCH("Party Name-",'R.M Billets Reports'!D581)),TRIM(MID('R.M Billets Reports'!D581,SEARCH("-",'R.M Billets Reports'!D581)+1,200)),""))&lt;&gt;"",IF(ISNUMBER(SEARCH("Party Name:-",'R.M Billets Reports'!D581)),TRIM('R.M Billets Reports'!F581),IF(ISNUMBER(SEARCH("Party Name-",'R.M Billets Reports'!D581)),TRIM(MID('R.M Billets Reports'!D581,SEARCH("-",'R.M Billets Reports'!D581)+1,200)),"")),IF(ISNUMBER(SEARCH("Party Name:-",'R.M Billets Reports'!D582)),TRIM('R.M Billets Reports'!F582),IF(ISNUMBER(SEARCH("Party Name-",'R.M Billets Reports'!D582)),TRIM(MID('R.M Billets Reports'!D582,SEARCH("-",'R.M Billets Reports'!D582)+1,200)),"")))="SHREE RADHE SHAKTI SPONGE AND POWER PVT. LTD.","SHREE RADHE",IF(IF(ISNUMBER(SEARCH("Party Name:-",'R.M Billets Reports'!D581)),TRIM('R.M Billets Reports'!F581),IF(ISNUMBER(SEARCH("Party Name-",'R.M Billets Reports'!D581)),TRIM(MID('R.M Billets Reports'!D581,SEARCH("-",'R.M Billets Reports'!D581)+1,200)),""))&lt;&gt;"",IF(ISNUMBER(SEARCH("Party Name:-",'R.M Billets Reports'!D581)),TRIM('R.M Billets Reports'!F581),IF(ISNUMBER(SEARCH("Party Name-",'R.M Billets Reports'!D581)),TRIM(MID('R.M Billets Reports'!D581,SEARCH("-",'R.M Billets Reports'!D581)+1,200)),"")),IF(ISNUMBER(SEARCH("Party Name:-",'R.M Billets Reports'!D582)),TRIM('R.M Billets Reports'!F582),IF(ISNUMBER(SEARCH("Party Name-",'R.M Billets Reports'!D582)),TRIM(MID('R.M Billets Reports'!D582,SEARCH("-",'R.M Billets Reports'!D582)+1,200)),"")))))),IF(ROW()=2,"",A581))</f>
      </c>
      <c r="B582">
        <f>IF(OR('R.M Billets Reports'!A581="Date-",'R.M Billets Reports'!A581="Date:-"),'R.M Billets Reports'!B581,IF(ROW()=2,"",B581))</f>
      </c>
      <c r="C582">
        <f>IF('R.M Billets Reports'!A581="V.No.",'R.M Billets Reports'!B581,IF(ROW()=2,"",C581))</f>
      </c>
      <c r="D582">
        <f>IF('R.M Billets Reports'!A581&lt;&gt;"",'R.M Billets Reports'!A581,IF(ROW()=2,"",D581))</f>
      </c>
      <c r="E582">
        <f>IF('R.M Billets Reports'!B581="","",TRIM('R.M Billets Reports'!B581))</f>
      </c>
      <c r="F582">
        <f>'R.M Billets Reports'!C581</f>
      </c>
      <c r="G582">
        <f>'R.M Billets Reports'!D581</f>
      </c>
      <c r="H582">
        <f>'R.M Billets Reports'!E581</f>
      </c>
      <c r="I582">
        <f>'R.M Billets Reports'!F581</f>
      </c>
      <c r="J582">
        <f>'R.M Billets Reports'!G581</f>
      </c>
      <c r="K582">
        <f>'R.M Billets Reports'!H581</f>
      </c>
      <c r="L582">
        <f>IF('R.M Billets Reports'!I581="","",'R.M Billets Reports'!I581)</f>
      </c>
      <c r="M582">
        <f t="shared" si="18"/>
      </c>
      <c r="N582">
        <f>IF('R.M Billets Reports'!J581="","",'R.M Billets Reports'!J581)</f>
      </c>
      <c r="O582">
        <f t="shared" si="19"/>
      </c>
      <c r="P582">
        <f>IF('R.M Billets Reports'!A581="SIZE",'R.M Billets Reports'!B581,P581)</f>
      </c>
    </row>
    <row r="583" spans="1:16" x14ac:dyDescent="0.25">
      <c r="A583">
        <f>IF(OR('R.M Billets Reports'!A582="Date-",'R.M Billets Reports'!A582="Date:-"),IF(IF(IF(ISNUMBER(SEARCH("Party Name:-",'R.M Billets Reports'!D582)),TRIM('R.M Billets Reports'!F582),IF(ISNUMBER(SEARCH("Party Name-",'R.M Billets Reports'!D582)),TRIM(MID('R.M Billets Reports'!D582,SEARCH("-",'R.M Billets Reports'!D582)+1,200)),""))&lt;&gt;"",IF(ISNUMBER(SEARCH("Party Name:-",'R.M Billets Reports'!D582)),TRIM('R.M Billets Reports'!F582),IF(ISNUMBER(SEARCH("Party Name-",'R.M Billets Reports'!D582)),TRIM(MID('R.M Billets Reports'!D582,SEARCH("-",'R.M Billets Reports'!D582)+1,200)),"")),IF(ISNUMBER(SEARCH("Party Name:-",'R.M Billets Reports'!D583)),TRIM('R.M Billets Reports'!F583),IF(ISNUMBER(SEARCH("Party Name-",'R.M Billets Reports'!D583)),TRIM(MID('R.M Billets Reports'!D583,SEARCH("-",'R.M Billets Reports'!D583)+1,200)),"")))="VRKP ISPAT PVT LTD","VRKP",IF(IF(IF(ISNUMBER(SEARCH("Party Name:-",'R.M Billets Reports'!D582)),TRIM('R.M Billets Reports'!F582),IF(ISNUMBER(SEARCH("Party Name-",'R.M Billets Reports'!D582)),TRIM(MID('R.M Billets Reports'!D582,SEARCH("-",'R.M Billets Reports'!D582)+1,200)),""))&lt;&gt;"",IF(ISNUMBER(SEARCH("Party Name:-",'R.M Billets Reports'!D582)),TRIM('R.M Billets Reports'!F582),IF(ISNUMBER(SEARCH("Party Name-",'R.M Billets Reports'!D582)),TRIM(MID('R.M Billets Reports'!D582,SEARCH("-",'R.M Billets Reports'!D582)+1,200)),"")),IF(ISNUMBER(SEARCH("Party Name:-",'R.M Billets Reports'!D583)),TRIM('R.M Billets Reports'!F583),IF(ISNUMBER(SEARCH("Party Name-",'R.M Billets Reports'!D583)),TRIM(MID('R.M Billets Reports'!D583,SEARCH("-",'R.M Billets Reports'!D583)+1,200)),"")))="SHRI RADHE","SHREE RADHE",IF(IF(IF(ISNUMBER(SEARCH("Party Name:-",'R.M Billets Reports'!D582)),TRIM('R.M Billets Reports'!F582),IF(ISNUMBER(SEARCH("Party Name-",'R.M Billets Reports'!D582)),TRIM(MID('R.M Billets Reports'!D582,SEARCH("-",'R.M Billets Reports'!D582)+1,200)),""))&lt;&gt;"",IF(ISNUMBER(SEARCH("Party Name:-",'R.M Billets Reports'!D582)),TRIM('R.M Billets Reports'!F582),IF(ISNUMBER(SEARCH("Party Name-",'R.M Billets Reports'!D582)),TRIM(MID('R.M Billets Reports'!D582,SEARCH("-",'R.M Billets Reports'!D582)+1,200)),"")),IF(ISNUMBER(SEARCH("Party Name:-",'R.M Billets Reports'!D583)),TRIM('R.M Billets Reports'!F583),IF(ISNUMBER(SEARCH("Party Name-",'R.M Billets Reports'!D583)),TRIM(MID('R.M Billets Reports'!D583,SEARCH("-",'R.M Billets Reports'!D583)+1,200)),"")))="SHREE RADHE SHAKTI SPONGE AND POWER PVT. LTD.","SHREE RADHE",IF(IF(ISNUMBER(SEARCH("Party Name:-",'R.M Billets Reports'!D582)),TRIM('R.M Billets Reports'!F582),IF(ISNUMBER(SEARCH("Party Name-",'R.M Billets Reports'!D582)),TRIM(MID('R.M Billets Reports'!D582,SEARCH("-",'R.M Billets Reports'!D582)+1,200)),""))&lt;&gt;"",IF(ISNUMBER(SEARCH("Party Name:-",'R.M Billets Reports'!D582)),TRIM('R.M Billets Reports'!F582),IF(ISNUMBER(SEARCH("Party Name-",'R.M Billets Reports'!D582)),TRIM(MID('R.M Billets Reports'!D582,SEARCH("-",'R.M Billets Reports'!D582)+1,200)),"")),IF(ISNUMBER(SEARCH("Party Name:-",'R.M Billets Reports'!D583)),TRIM('R.M Billets Reports'!F583),IF(ISNUMBER(SEARCH("Party Name-",'R.M Billets Reports'!D583)),TRIM(MID('R.M Billets Reports'!D583,SEARCH("-",'R.M Billets Reports'!D583)+1,200)),"")))))),IF(ROW()=2,"",A582))</f>
      </c>
      <c r="B583">
        <f>IF(OR('R.M Billets Reports'!A582="Date-",'R.M Billets Reports'!A582="Date:-"),'R.M Billets Reports'!B582,IF(ROW()=2,"",B582))</f>
      </c>
      <c r="C583">
        <f>IF('R.M Billets Reports'!A582="V.No.",'R.M Billets Reports'!B582,IF(ROW()=2,"",C582))</f>
      </c>
      <c r="D583">
        <f>IF('R.M Billets Reports'!A582&lt;&gt;"",'R.M Billets Reports'!A582,IF(ROW()=2,"",D582))</f>
      </c>
      <c r="E583">
        <f>IF('R.M Billets Reports'!B582="","",TRIM('R.M Billets Reports'!B582))</f>
      </c>
      <c r="F583">
        <f>'R.M Billets Reports'!C582</f>
      </c>
      <c r="G583">
        <f>'R.M Billets Reports'!D582</f>
      </c>
      <c r="H583">
        <f>'R.M Billets Reports'!E582</f>
      </c>
      <c r="I583">
        <f>'R.M Billets Reports'!F582</f>
      </c>
      <c r="J583">
        <f>'R.M Billets Reports'!G582</f>
      </c>
      <c r="K583">
        <f>'R.M Billets Reports'!H582</f>
      </c>
      <c r="L583">
        <f>IF('R.M Billets Reports'!I582="","",'R.M Billets Reports'!I582)</f>
      </c>
      <c r="M583">
        <f t="shared" si="18"/>
      </c>
      <c r="N583">
        <f>IF('R.M Billets Reports'!J582="","",'R.M Billets Reports'!J582)</f>
      </c>
      <c r="O583">
        <f t="shared" si="19"/>
      </c>
      <c r="P583">
        <f>IF('R.M Billets Reports'!A582="SIZE",'R.M Billets Reports'!B582,P582)</f>
      </c>
    </row>
    <row r="584" spans="1:16" x14ac:dyDescent="0.25">
      <c r="A584">
        <f>IF(OR('R.M Billets Reports'!A583="Date-",'R.M Billets Reports'!A583="Date:-"),IF(IF(IF(ISNUMBER(SEARCH("Party Name:-",'R.M Billets Reports'!D583)),TRIM('R.M Billets Reports'!F583),IF(ISNUMBER(SEARCH("Party Name-",'R.M Billets Reports'!D583)),TRIM(MID('R.M Billets Reports'!D583,SEARCH("-",'R.M Billets Reports'!D583)+1,200)),""))&lt;&gt;"",IF(ISNUMBER(SEARCH("Party Name:-",'R.M Billets Reports'!D583)),TRIM('R.M Billets Reports'!F583),IF(ISNUMBER(SEARCH("Party Name-",'R.M Billets Reports'!D583)),TRIM(MID('R.M Billets Reports'!D583,SEARCH("-",'R.M Billets Reports'!D583)+1,200)),"")),IF(ISNUMBER(SEARCH("Party Name:-",'R.M Billets Reports'!D584)),TRIM('R.M Billets Reports'!F584),IF(ISNUMBER(SEARCH("Party Name-",'R.M Billets Reports'!D584)),TRIM(MID('R.M Billets Reports'!D584,SEARCH("-",'R.M Billets Reports'!D584)+1,200)),"")))="VRKP ISPAT PVT LTD","VRKP",IF(IF(IF(ISNUMBER(SEARCH("Party Name:-",'R.M Billets Reports'!D583)),TRIM('R.M Billets Reports'!F583),IF(ISNUMBER(SEARCH("Party Name-",'R.M Billets Reports'!D583)),TRIM(MID('R.M Billets Reports'!D583,SEARCH("-",'R.M Billets Reports'!D583)+1,200)),""))&lt;&gt;"",IF(ISNUMBER(SEARCH("Party Name:-",'R.M Billets Reports'!D583)),TRIM('R.M Billets Reports'!F583),IF(ISNUMBER(SEARCH("Party Name-",'R.M Billets Reports'!D583)),TRIM(MID('R.M Billets Reports'!D583,SEARCH("-",'R.M Billets Reports'!D583)+1,200)),"")),IF(ISNUMBER(SEARCH("Party Name:-",'R.M Billets Reports'!D584)),TRIM('R.M Billets Reports'!F584),IF(ISNUMBER(SEARCH("Party Name-",'R.M Billets Reports'!D584)),TRIM(MID('R.M Billets Reports'!D584,SEARCH("-",'R.M Billets Reports'!D584)+1,200)),"")))="SHRI RADHE","SHREE RADHE",IF(IF(IF(ISNUMBER(SEARCH("Party Name:-",'R.M Billets Reports'!D583)),TRIM('R.M Billets Reports'!F583),IF(ISNUMBER(SEARCH("Party Name-",'R.M Billets Reports'!D583)),TRIM(MID('R.M Billets Reports'!D583,SEARCH("-",'R.M Billets Reports'!D583)+1,200)),""))&lt;&gt;"",IF(ISNUMBER(SEARCH("Party Name:-",'R.M Billets Reports'!D583)),TRIM('R.M Billets Reports'!F583),IF(ISNUMBER(SEARCH("Party Name-",'R.M Billets Reports'!D583)),TRIM(MID('R.M Billets Reports'!D583,SEARCH("-",'R.M Billets Reports'!D583)+1,200)),"")),IF(ISNUMBER(SEARCH("Party Name:-",'R.M Billets Reports'!D584)),TRIM('R.M Billets Reports'!F584),IF(ISNUMBER(SEARCH("Party Name-",'R.M Billets Reports'!D584)),TRIM(MID('R.M Billets Reports'!D584,SEARCH("-",'R.M Billets Reports'!D584)+1,200)),"")))="SHREE RADHE SHAKTI SPONGE AND POWER PVT. LTD.","SHREE RADHE",IF(IF(ISNUMBER(SEARCH("Party Name:-",'R.M Billets Reports'!D583)),TRIM('R.M Billets Reports'!F583),IF(ISNUMBER(SEARCH("Party Name-",'R.M Billets Reports'!D583)),TRIM(MID('R.M Billets Reports'!D583,SEARCH("-",'R.M Billets Reports'!D583)+1,200)),""))&lt;&gt;"",IF(ISNUMBER(SEARCH("Party Name:-",'R.M Billets Reports'!D583)),TRIM('R.M Billets Reports'!F583),IF(ISNUMBER(SEARCH("Party Name-",'R.M Billets Reports'!D583)),TRIM(MID('R.M Billets Reports'!D583,SEARCH("-",'R.M Billets Reports'!D583)+1,200)),"")),IF(ISNUMBER(SEARCH("Party Name:-",'R.M Billets Reports'!D584)),TRIM('R.M Billets Reports'!F584),IF(ISNUMBER(SEARCH("Party Name-",'R.M Billets Reports'!D584)),TRIM(MID('R.M Billets Reports'!D584,SEARCH("-",'R.M Billets Reports'!D584)+1,200)),"")))))),IF(ROW()=2,"",A583))</f>
      </c>
      <c r="B584">
        <f>IF(OR('R.M Billets Reports'!A583="Date-",'R.M Billets Reports'!A583="Date:-"),'R.M Billets Reports'!B583,IF(ROW()=2,"",B583))</f>
      </c>
      <c r="C584">
        <f>IF('R.M Billets Reports'!A583="V.No.",'R.M Billets Reports'!B583,IF(ROW()=2,"",C583))</f>
      </c>
      <c r="D584">
        <f>IF('R.M Billets Reports'!A583&lt;&gt;"",'R.M Billets Reports'!A583,IF(ROW()=2,"",D583))</f>
      </c>
      <c r="E584">
        <f>IF('R.M Billets Reports'!B583="","",TRIM('R.M Billets Reports'!B583))</f>
      </c>
      <c r="F584">
        <f>'R.M Billets Reports'!C583</f>
      </c>
      <c r="G584">
        <f>'R.M Billets Reports'!D583</f>
      </c>
      <c r="H584">
        <f>'R.M Billets Reports'!E583</f>
      </c>
      <c r="I584">
        <f>'R.M Billets Reports'!F583</f>
      </c>
      <c r="J584">
        <f>'R.M Billets Reports'!G583</f>
      </c>
      <c r="K584">
        <f>'R.M Billets Reports'!H583</f>
      </c>
      <c r="L584">
        <f>IF('R.M Billets Reports'!I583="","",'R.M Billets Reports'!I583)</f>
      </c>
      <c r="M584">
        <f t="shared" si="18"/>
      </c>
      <c r="N584">
        <f>IF('R.M Billets Reports'!J583="","",'R.M Billets Reports'!J583)</f>
      </c>
      <c r="O584">
        <f t="shared" si="19"/>
      </c>
      <c r="P584">
        <f>IF('R.M Billets Reports'!A583="SIZE",'R.M Billets Reports'!B583,P583)</f>
      </c>
    </row>
    <row r="585" spans="1:16" x14ac:dyDescent="0.25">
      <c r="A585">
        <f>IF(OR('R.M Billets Reports'!A584="Date-",'R.M Billets Reports'!A584="Date:-"),IF(IF(IF(ISNUMBER(SEARCH("Party Name:-",'R.M Billets Reports'!D584)),TRIM('R.M Billets Reports'!F584),IF(ISNUMBER(SEARCH("Party Name-",'R.M Billets Reports'!D584)),TRIM(MID('R.M Billets Reports'!D584,SEARCH("-",'R.M Billets Reports'!D584)+1,200)),""))&lt;&gt;"",IF(ISNUMBER(SEARCH("Party Name:-",'R.M Billets Reports'!D584)),TRIM('R.M Billets Reports'!F584),IF(ISNUMBER(SEARCH("Party Name-",'R.M Billets Reports'!D584)),TRIM(MID('R.M Billets Reports'!D584,SEARCH("-",'R.M Billets Reports'!D584)+1,200)),"")),IF(ISNUMBER(SEARCH("Party Name:-",'R.M Billets Reports'!D585)),TRIM('R.M Billets Reports'!F585),IF(ISNUMBER(SEARCH("Party Name-",'R.M Billets Reports'!D585)),TRIM(MID('R.M Billets Reports'!D585,SEARCH("-",'R.M Billets Reports'!D585)+1,200)),"")))="VRKP ISPAT PVT LTD","VRKP",IF(IF(IF(ISNUMBER(SEARCH("Party Name:-",'R.M Billets Reports'!D584)),TRIM('R.M Billets Reports'!F584),IF(ISNUMBER(SEARCH("Party Name-",'R.M Billets Reports'!D584)),TRIM(MID('R.M Billets Reports'!D584,SEARCH("-",'R.M Billets Reports'!D584)+1,200)),""))&lt;&gt;"",IF(ISNUMBER(SEARCH("Party Name:-",'R.M Billets Reports'!D584)),TRIM('R.M Billets Reports'!F584),IF(ISNUMBER(SEARCH("Party Name-",'R.M Billets Reports'!D584)),TRIM(MID('R.M Billets Reports'!D584,SEARCH("-",'R.M Billets Reports'!D584)+1,200)),"")),IF(ISNUMBER(SEARCH("Party Name:-",'R.M Billets Reports'!D585)),TRIM('R.M Billets Reports'!F585),IF(ISNUMBER(SEARCH("Party Name-",'R.M Billets Reports'!D585)),TRIM(MID('R.M Billets Reports'!D585,SEARCH("-",'R.M Billets Reports'!D585)+1,200)),"")))="SHRI RADHE","SHREE RADHE",IF(IF(IF(ISNUMBER(SEARCH("Party Name:-",'R.M Billets Reports'!D584)),TRIM('R.M Billets Reports'!F584),IF(ISNUMBER(SEARCH("Party Name-",'R.M Billets Reports'!D584)),TRIM(MID('R.M Billets Reports'!D584,SEARCH("-",'R.M Billets Reports'!D584)+1,200)),""))&lt;&gt;"",IF(ISNUMBER(SEARCH("Party Name:-",'R.M Billets Reports'!D584)),TRIM('R.M Billets Reports'!F584),IF(ISNUMBER(SEARCH("Party Name-",'R.M Billets Reports'!D584)),TRIM(MID('R.M Billets Reports'!D584,SEARCH("-",'R.M Billets Reports'!D584)+1,200)),"")),IF(ISNUMBER(SEARCH("Party Name:-",'R.M Billets Reports'!D585)),TRIM('R.M Billets Reports'!F585),IF(ISNUMBER(SEARCH("Party Name-",'R.M Billets Reports'!D585)),TRIM(MID('R.M Billets Reports'!D585,SEARCH("-",'R.M Billets Reports'!D585)+1,200)),"")))="SHREE RADHE SHAKTI SPONGE AND POWER PVT. LTD.","SHREE RADHE",IF(IF(ISNUMBER(SEARCH("Party Name:-",'R.M Billets Reports'!D584)),TRIM('R.M Billets Reports'!F584),IF(ISNUMBER(SEARCH("Party Name-",'R.M Billets Reports'!D584)),TRIM(MID('R.M Billets Reports'!D584,SEARCH("-",'R.M Billets Reports'!D584)+1,200)),""))&lt;&gt;"",IF(ISNUMBER(SEARCH("Party Name:-",'R.M Billets Reports'!D584)),TRIM('R.M Billets Reports'!F584),IF(ISNUMBER(SEARCH("Party Name-",'R.M Billets Reports'!D584)),TRIM(MID('R.M Billets Reports'!D584,SEARCH("-",'R.M Billets Reports'!D584)+1,200)),"")),IF(ISNUMBER(SEARCH("Party Name:-",'R.M Billets Reports'!D585)),TRIM('R.M Billets Reports'!F585),IF(ISNUMBER(SEARCH("Party Name-",'R.M Billets Reports'!D585)),TRIM(MID('R.M Billets Reports'!D585,SEARCH("-",'R.M Billets Reports'!D585)+1,200)),"")))))),IF(ROW()=2,"",A584))</f>
      </c>
      <c r="B585">
        <f>IF(OR('R.M Billets Reports'!A584="Date-",'R.M Billets Reports'!A584="Date:-"),'R.M Billets Reports'!B584,IF(ROW()=2,"",B584))</f>
      </c>
      <c r="C585">
        <f>IF('R.M Billets Reports'!A584="V.No.",'R.M Billets Reports'!B584,IF(ROW()=2,"",C584))</f>
      </c>
      <c r="D585">
        <f>IF('R.M Billets Reports'!A584&lt;&gt;"",'R.M Billets Reports'!A584,IF(ROW()=2,"",D584))</f>
      </c>
      <c r="E585">
        <f>IF('R.M Billets Reports'!B584="","",TRIM('R.M Billets Reports'!B584))</f>
      </c>
      <c r="F585">
        <f>'R.M Billets Reports'!C584</f>
      </c>
      <c r="G585">
        <f>'R.M Billets Reports'!D584</f>
      </c>
      <c r="H585">
        <f>'R.M Billets Reports'!E584</f>
      </c>
      <c r="I585">
        <f>'R.M Billets Reports'!F584</f>
      </c>
      <c r="J585">
        <f>'R.M Billets Reports'!G584</f>
      </c>
      <c r="K585">
        <f>'R.M Billets Reports'!H584</f>
      </c>
      <c r="L585">
        <f>IF('R.M Billets Reports'!I584="","",'R.M Billets Reports'!I584)</f>
      </c>
      <c r="M585">
        <f t="shared" si="18"/>
      </c>
      <c r="N585">
        <f>IF('R.M Billets Reports'!J584="","",'R.M Billets Reports'!J584)</f>
      </c>
      <c r="O585">
        <f t="shared" si="19"/>
      </c>
      <c r="P585">
        <f>IF('R.M Billets Reports'!A584="SIZE",'R.M Billets Reports'!B584,P584)</f>
      </c>
    </row>
    <row r="586" spans="1:16" x14ac:dyDescent="0.25">
      <c r="A586">
        <f>IF(OR('R.M Billets Reports'!A585="Date-",'R.M Billets Reports'!A585="Date:-"),IF(IF(IF(ISNUMBER(SEARCH("Party Name:-",'R.M Billets Reports'!D585)),TRIM('R.M Billets Reports'!F585),IF(ISNUMBER(SEARCH("Party Name-",'R.M Billets Reports'!D585)),TRIM(MID('R.M Billets Reports'!D585,SEARCH("-",'R.M Billets Reports'!D585)+1,200)),""))&lt;&gt;"",IF(ISNUMBER(SEARCH("Party Name:-",'R.M Billets Reports'!D585)),TRIM('R.M Billets Reports'!F585),IF(ISNUMBER(SEARCH("Party Name-",'R.M Billets Reports'!D585)),TRIM(MID('R.M Billets Reports'!D585,SEARCH("-",'R.M Billets Reports'!D585)+1,200)),"")),IF(ISNUMBER(SEARCH("Party Name:-",'R.M Billets Reports'!D586)),TRIM('R.M Billets Reports'!F586),IF(ISNUMBER(SEARCH("Party Name-",'R.M Billets Reports'!D586)),TRIM(MID('R.M Billets Reports'!D586,SEARCH("-",'R.M Billets Reports'!D586)+1,200)),"")))="VRKP ISPAT PVT LTD","VRKP",IF(IF(IF(ISNUMBER(SEARCH("Party Name:-",'R.M Billets Reports'!D585)),TRIM('R.M Billets Reports'!F585),IF(ISNUMBER(SEARCH("Party Name-",'R.M Billets Reports'!D585)),TRIM(MID('R.M Billets Reports'!D585,SEARCH("-",'R.M Billets Reports'!D585)+1,200)),""))&lt;&gt;"",IF(ISNUMBER(SEARCH("Party Name:-",'R.M Billets Reports'!D585)),TRIM('R.M Billets Reports'!F585),IF(ISNUMBER(SEARCH("Party Name-",'R.M Billets Reports'!D585)),TRIM(MID('R.M Billets Reports'!D585,SEARCH("-",'R.M Billets Reports'!D585)+1,200)),"")),IF(ISNUMBER(SEARCH("Party Name:-",'R.M Billets Reports'!D586)),TRIM('R.M Billets Reports'!F586),IF(ISNUMBER(SEARCH("Party Name-",'R.M Billets Reports'!D586)),TRIM(MID('R.M Billets Reports'!D586,SEARCH("-",'R.M Billets Reports'!D586)+1,200)),"")))="SHRI RADHE","SHREE RADHE",IF(IF(IF(ISNUMBER(SEARCH("Party Name:-",'R.M Billets Reports'!D585)),TRIM('R.M Billets Reports'!F585),IF(ISNUMBER(SEARCH("Party Name-",'R.M Billets Reports'!D585)),TRIM(MID('R.M Billets Reports'!D585,SEARCH("-",'R.M Billets Reports'!D585)+1,200)),""))&lt;&gt;"",IF(ISNUMBER(SEARCH("Party Name:-",'R.M Billets Reports'!D585)),TRIM('R.M Billets Reports'!F585),IF(ISNUMBER(SEARCH("Party Name-",'R.M Billets Reports'!D585)),TRIM(MID('R.M Billets Reports'!D585,SEARCH("-",'R.M Billets Reports'!D585)+1,200)),"")),IF(ISNUMBER(SEARCH("Party Name:-",'R.M Billets Reports'!D586)),TRIM('R.M Billets Reports'!F586),IF(ISNUMBER(SEARCH("Party Name-",'R.M Billets Reports'!D586)),TRIM(MID('R.M Billets Reports'!D586,SEARCH("-",'R.M Billets Reports'!D586)+1,200)),"")))="SHREE RADHE SHAKTI SPONGE AND POWER PVT. LTD.","SHREE RADHE",IF(IF(ISNUMBER(SEARCH("Party Name:-",'R.M Billets Reports'!D585)),TRIM('R.M Billets Reports'!F585),IF(ISNUMBER(SEARCH("Party Name-",'R.M Billets Reports'!D585)),TRIM(MID('R.M Billets Reports'!D585,SEARCH("-",'R.M Billets Reports'!D585)+1,200)),""))&lt;&gt;"",IF(ISNUMBER(SEARCH("Party Name:-",'R.M Billets Reports'!D585)),TRIM('R.M Billets Reports'!F585),IF(ISNUMBER(SEARCH("Party Name-",'R.M Billets Reports'!D585)),TRIM(MID('R.M Billets Reports'!D585,SEARCH("-",'R.M Billets Reports'!D585)+1,200)),"")),IF(ISNUMBER(SEARCH("Party Name:-",'R.M Billets Reports'!D586)),TRIM('R.M Billets Reports'!F586),IF(ISNUMBER(SEARCH("Party Name-",'R.M Billets Reports'!D586)),TRIM(MID('R.M Billets Reports'!D586,SEARCH("-",'R.M Billets Reports'!D586)+1,200)),"")))))),IF(ROW()=2,"",A585))</f>
      </c>
      <c r="B586">
        <f>IF(OR('R.M Billets Reports'!A585="Date-",'R.M Billets Reports'!A585="Date:-"),'R.M Billets Reports'!B585,IF(ROW()=2,"",B585))</f>
      </c>
      <c r="C586">
        <f>IF('R.M Billets Reports'!A585="V.No.",'R.M Billets Reports'!B585,IF(ROW()=2,"",C585))</f>
      </c>
      <c r="D586">
        <f>IF('R.M Billets Reports'!A585&lt;&gt;"",'R.M Billets Reports'!A585,IF(ROW()=2,"",D585))</f>
      </c>
      <c r="E586">
        <f>IF('R.M Billets Reports'!B585="","",TRIM('R.M Billets Reports'!B585))</f>
      </c>
      <c r="F586">
        <f>'R.M Billets Reports'!C585</f>
      </c>
      <c r="G586">
        <f>'R.M Billets Reports'!D585</f>
      </c>
      <c r="H586">
        <f>'R.M Billets Reports'!E585</f>
      </c>
      <c r="I586">
        <f>'R.M Billets Reports'!F585</f>
      </c>
      <c r="J586">
        <f>'R.M Billets Reports'!G585</f>
      </c>
      <c r="K586">
        <f>'R.M Billets Reports'!H585</f>
      </c>
      <c r="L586">
        <f>IF('R.M Billets Reports'!I585="","",'R.M Billets Reports'!I585)</f>
      </c>
      <c r="M586">
        <f t="shared" si="18"/>
      </c>
      <c r="N586">
        <f>IF('R.M Billets Reports'!J585="","",'R.M Billets Reports'!J585)</f>
      </c>
      <c r="O586">
        <f t="shared" si="19"/>
      </c>
      <c r="P586">
        <f>IF('R.M Billets Reports'!A585="SIZE",'R.M Billets Reports'!B585,P585)</f>
      </c>
    </row>
    <row r="587" spans="1:16" x14ac:dyDescent="0.25">
      <c r="A587">
        <f>IF(OR('R.M Billets Reports'!A586="Date-",'R.M Billets Reports'!A586="Date:-"),IF(IF(IF(ISNUMBER(SEARCH("Party Name:-",'R.M Billets Reports'!D586)),TRIM('R.M Billets Reports'!F586),IF(ISNUMBER(SEARCH("Party Name-",'R.M Billets Reports'!D586)),TRIM(MID('R.M Billets Reports'!D586,SEARCH("-",'R.M Billets Reports'!D586)+1,200)),""))&lt;&gt;"",IF(ISNUMBER(SEARCH("Party Name:-",'R.M Billets Reports'!D586)),TRIM('R.M Billets Reports'!F586),IF(ISNUMBER(SEARCH("Party Name-",'R.M Billets Reports'!D586)),TRIM(MID('R.M Billets Reports'!D586,SEARCH("-",'R.M Billets Reports'!D586)+1,200)),"")),IF(ISNUMBER(SEARCH("Party Name:-",'R.M Billets Reports'!D587)),TRIM('R.M Billets Reports'!F587),IF(ISNUMBER(SEARCH("Party Name-",'R.M Billets Reports'!D587)),TRIM(MID('R.M Billets Reports'!D587,SEARCH("-",'R.M Billets Reports'!D587)+1,200)),"")))="VRKP ISPAT PVT LTD","VRKP",IF(IF(IF(ISNUMBER(SEARCH("Party Name:-",'R.M Billets Reports'!D586)),TRIM('R.M Billets Reports'!F586),IF(ISNUMBER(SEARCH("Party Name-",'R.M Billets Reports'!D586)),TRIM(MID('R.M Billets Reports'!D586,SEARCH("-",'R.M Billets Reports'!D586)+1,200)),""))&lt;&gt;"",IF(ISNUMBER(SEARCH("Party Name:-",'R.M Billets Reports'!D586)),TRIM('R.M Billets Reports'!F586),IF(ISNUMBER(SEARCH("Party Name-",'R.M Billets Reports'!D586)),TRIM(MID('R.M Billets Reports'!D586,SEARCH("-",'R.M Billets Reports'!D586)+1,200)),"")),IF(ISNUMBER(SEARCH("Party Name:-",'R.M Billets Reports'!D587)),TRIM('R.M Billets Reports'!F587),IF(ISNUMBER(SEARCH("Party Name-",'R.M Billets Reports'!D587)),TRIM(MID('R.M Billets Reports'!D587,SEARCH("-",'R.M Billets Reports'!D587)+1,200)),"")))="SHRI RADHE","SHREE RADHE",IF(IF(IF(ISNUMBER(SEARCH("Party Name:-",'R.M Billets Reports'!D586)),TRIM('R.M Billets Reports'!F586),IF(ISNUMBER(SEARCH("Party Name-",'R.M Billets Reports'!D586)),TRIM(MID('R.M Billets Reports'!D586,SEARCH("-",'R.M Billets Reports'!D586)+1,200)),""))&lt;&gt;"",IF(ISNUMBER(SEARCH("Party Name:-",'R.M Billets Reports'!D586)),TRIM('R.M Billets Reports'!F586),IF(ISNUMBER(SEARCH("Party Name-",'R.M Billets Reports'!D586)),TRIM(MID('R.M Billets Reports'!D586,SEARCH("-",'R.M Billets Reports'!D586)+1,200)),"")),IF(ISNUMBER(SEARCH("Party Name:-",'R.M Billets Reports'!D587)),TRIM('R.M Billets Reports'!F587),IF(ISNUMBER(SEARCH("Party Name-",'R.M Billets Reports'!D587)),TRIM(MID('R.M Billets Reports'!D587,SEARCH("-",'R.M Billets Reports'!D587)+1,200)),"")))="SHREE RADHE SHAKTI SPONGE AND POWER PVT. LTD.","SHREE RADHE",IF(IF(ISNUMBER(SEARCH("Party Name:-",'R.M Billets Reports'!D586)),TRIM('R.M Billets Reports'!F586),IF(ISNUMBER(SEARCH("Party Name-",'R.M Billets Reports'!D586)),TRIM(MID('R.M Billets Reports'!D586,SEARCH("-",'R.M Billets Reports'!D586)+1,200)),""))&lt;&gt;"",IF(ISNUMBER(SEARCH("Party Name:-",'R.M Billets Reports'!D586)),TRIM('R.M Billets Reports'!F586),IF(ISNUMBER(SEARCH("Party Name-",'R.M Billets Reports'!D586)),TRIM(MID('R.M Billets Reports'!D586,SEARCH("-",'R.M Billets Reports'!D586)+1,200)),"")),IF(ISNUMBER(SEARCH("Party Name:-",'R.M Billets Reports'!D587)),TRIM('R.M Billets Reports'!F587),IF(ISNUMBER(SEARCH("Party Name-",'R.M Billets Reports'!D587)),TRIM(MID('R.M Billets Reports'!D587,SEARCH("-",'R.M Billets Reports'!D587)+1,200)),"")))))),IF(ROW()=2,"",A586))</f>
      </c>
      <c r="B587">
        <f>IF(OR('R.M Billets Reports'!A586="Date-",'R.M Billets Reports'!A586="Date:-"),'R.M Billets Reports'!B586,IF(ROW()=2,"",B586))</f>
      </c>
      <c r="C587">
        <f>IF('R.M Billets Reports'!A586="V.No.",'R.M Billets Reports'!B586,IF(ROW()=2,"",C586))</f>
      </c>
      <c r="D587">
        <f>IF('R.M Billets Reports'!A586&lt;&gt;"",'R.M Billets Reports'!A586,IF(ROW()=2,"",D586))</f>
      </c>
      <c r="E587">
        <f>IF('R.M Billets Reports'!B586="","",TRIM('R.M Billets Reports'!B586))</f>
      </c>
      <c r="F587">
        <f>'R.M Billets Reports'!C586</f>
      </c>
      <c r="G587">
        <f>'R.M Billets Reports'!D586</f>
      </c>
      <c r="H587">
        <f>'R.M Billets Reports'!E586</f>
      </c>
      <c r="I587">
        <f>'R.M Billets Reports'!F586</f>
      </c>
      <c r="J587">
        <f>'R.M Billets Reports'!G586</f>
      </c>
      <c r="K587">
        <f>'R.M Billets Reports'!H586</f>
      </c>
      <c r="L587">
        <f>IF('R.M Billets Reports'!I586="","",'R.M Billets Reports'!I586)</f>
      </c>
      <c r="M587">
        <f t="shared" si="18"/>
      </c>
      <c r="N587">
        <f>IF('R.M Billets Reports'!J586="","",'R.M Billets Reports'!J586)</f>
      </c>
      <c r="O587">
        <f t="shared" si="19"/>
      </c>
      <c r="P587">
        <f>IF('R.M Billets Reports'!A586="SIZE",'R.M Billets Reports'!B586,P586)</f>
      </c>
    </row>
    <row r="588" spans="1:16" x14ac:dyDescent="0.25">
      <c r="A588">
        <f>IF(OR('R.M Billets Reports'!A587="Date-",'R.M Billets Reports'!A587="Date:-"),IF(IF(IF(ISNUMBER(SEARCH("Party Name:-",'R.M Billets Reports'!D587)),TRIM('R.M Billets Reports'!F587),IF(ISNUMBER(SEARCH("Party Name-",'R.M Billets Reports'!D587)),TRIM(MID('R.M Billets Reports'!D587,SEARCH("-",'R.M Billets Reports'!D587)+1,200)),""))&lt;&gt;"",IF(ISNUMBER(SEARCH("Party Name:-",'R.M Billets Reports'!D587)),TRIM('R.M Billets Reports'!F587),IF(ISNUMBER(SEARCH("Party Name-",'R.M Billets Reports'!D587)),TRIM(MID('R.M Billets Reports'!D587,SEARCH("-",'R.M Billets Reports'!D587)+1,200)),"")),IF(ISNUMBER(SEARCH("Party Name:-",'R.M Billets Reports'!D588)),TRIM('R.M Billets Reports'!F588),IF(ISNUMBER(SEARCH("Party Name-",'R.M Billets Reports'!D588)),TRIM(MID('R.M Billets Reports'!D588,SEARCH("-",'R.M Billets Reports'!D588)+1,200)),"")))="VRKP ISPAT PVT LTD","VRKP",IF(IF(IF(ISNUMBER(SEARCH("Party Name:-",'R.M Billets Reports'!D587)),TRIM('R.M Billets Reports'!F587),IF(ISNUMBER(SEARCH("Party Name-",'R.M Billets Reports'!D587)),TRIM(MID('R.M Billets Reports'!D587,SEARCH("-",'R.M Billets Reports'!D587)+1,200)),""))&lt;&gt;"",IF(ISNUMBER(SEARCH("Party Name:-",'R.M Billets Reports'!D587)),TRIM('R.M Billets Reports'!F587),IF(ISNUMBER(SEARCH("Party Name-",'R.M Billets Reports'!D587)),TRIM(MID('R.M Billets Reports'!D587,SEARCH("-",'R.M Billets Reports'!D587)+1,200)),"")),IF(ISNUMBER(SEARCH("Party Name:-",'R.M Billets Reports'!D588)),TRIM('R.M Billets Reports'!F588),IF(ISNUMBER(SEARCH("Party Name-",'R.M Billets Reports'!D588)),TRIM(MID('R.M Billets Reports'!D588,SEARCH("-",'R.M Billets Reports'!D588)+1,200)),"")))="SHRI RADHE","SHREE RADHE",IF(IF(IF(ISNUMBER(SEARCH("Party Name:-",'R.M Billets Reports'!D587)),TRIM('R.M Billets Reports'!F587),IF(ISNUMBER(SEARCH("Party Name-",'R.M Billets Reports'!D587)),TRIM(MID('R.M Billets Reports'!D587,SEARCH("-",'R.M Billets Reports'!D587)+1,200)),""))&lt;&gt;"",IF(ISNUMBER(SEARCH("Party Name:-",'R.M Billets Reports'!D587)),TRIM('R.M Billets Reports'!F587),IF(ISNUMBER(SEARCH("Party Name-",'R.M Billets Reports'!D587)),TRIM(MID('R.M Billets Reports'!D587,SEARCH("-",'R.M Billets Reports'!D587)+1,200)),"")),IF(ISNUMBER(SEARCH("Party Name:-",'R.M Billets Reports'!D588)),TRIM('R.M Billets Reports'!F588),IF(ISNUMBER(SEARCH("Party Name-",'R.M Billets Reports'!D588)),TRIM(MID('R.M Billets Reports'!D588,SEARCH("-",'R.M Billets Reports'!D588)+1,200)),"")))="SHREE RADHE SHAKTI SPONGE AND POWER PVT. LTD.","SHREE RADHE",IF(IF(ISNUMBER(SEARCH("Party Name:-",'R.M Billets Reports'!D587)),TRIM('R.M Billets Reports'!F587),IF(ISNUMBER(SEARCH("Party Name-",'R.M Billets Reports'!D587)),TRIM(MID('R.M Billets Reports'!D587,SEARCH("-",'R.M Billets Reports'!D587)+1,200)),""))&lt;&gt;"",IF(ISNUMBER(SEARCH("Party Name:-",'R.M Billets Reports'!D587)),TRIM('R.M Billets Reports'!F587),IF(ISNUMBER(SEARCH("Party Name-",'R.M Billets Reports'!D587)),TRIM(MID('R.M Billets Reports'!D587,SEARCH("-",'R.M Billets Reports'!D587)+1,200)),"")),IF(ISNUMBER(SEARCH("Party Name:-",'R.M Billets Reports'!D588)),TRIM('R.M Billets Reports'!F588),IF(ISNUMBER(SEARCH("Party Name-",'R.M Billets Reports'!D588)),TRIM(MID('R.M Billets Reports'!D588,SEARCH("-",'R.M Billets Reports'!D588)+1,200)),"")))))),IF(ROW()=2,"",A587))</f>
      </c>
      <c r="B588">
        <f>IF(OR('R.M Billets Reports'!A587="Date-",'R.M Billets Reports'!A587="Date:-"),'R.M Billets Reports'!B587,IF(ROW()=2,"",B587))</f>
      </c>
      <c r="C588">
        <f>IF('R.M Billets Reports'!A587="V.No.",'R.M Billets Reports'!B587,IF(ROW()=2,"",C587))</f>
      </c>
      <c r="D588">
        <f>IF('R.M Billets Reports'!A587&lt;&gt;"",'R.M Billets Reports'!A587,IF(ROW()=2,"",D587))</f>
      </c>
      <c r="E588">
        <f>IF('R.M Billets Reports'!B587="","",TRIM('R.M Billets Reports'!B587))</f>
      </c>
      <c r="F588">
        <f>'R.M Billets Reports'!C587</f>
      </c>
      <c r="G588">
        <f>'R.M Billets Reports'!D587</f>
      </c>
      <c r="H588">
        <f>'R.M Billets Reports'!E587</f>
      </c>
      <c r="I588">
        <f>'R.M Billets Reports'!F587</f>
      </c>
      <c r="J588">
        <f>'R.M Billets Reports'!G587</f>
      </c>
      <c r="K588">
        <f>'R.M Billets Reports'!H587</f>
      </c>
      <c r="L588">
        <f>IF('R.M Billets Reports'!I587="","",'R.M Billets Reports'!I587)</f>
      </c>
      <c r="M588">
        <f t="shared" si="18"/>
      </c>
      <c r="N588">
        <f>IF('R.M Billets Reports'!J587="","",'R.M Billets Reports'!J587)</f>
      </c>
      <c r="O588">
        <f t="shared" si="19"/>
      </c>
      <c r="P588">
        <f>IF('R.M Billets Reports'!A587="SIZE",'R.M Billets Reports'!B587,P587)</f>
      </c>
    </row>
    <row r="589" spans="1:16" x14ac:dyDescent="0.25">
      <c r="A589">
        <f>IF(OR('R.M Billets Reports'!A588="Date-",'R.M Billets Reports'!A588="Date:-"),IF(IF(IF(ISNUMBER(SEARCH("Party Name:-",'R.M Billets Reports'!D588)),TRIM('R.M Billets Reports'!F588),IF(ISNUMBER(SEARCH("Party Name-",'R.M Billets Reports'!D588)),TRIM(MID('R.M Billets Reports'!D588,SEARCH("-",'R.M Billets Reports'!D588)+1,200)),""))&lt;&gt;"",IF(ISNUMBER(SEARCH("Party Name:-",'R.M Billets Reports'!D588)),TRIM('R.M Billets Reports'!F588),IF(ISNUMBER(SEARCH("Party Name-",'R.M Billets Reports'!D588)),TRIM(MID('R.M Billets Reports'!D588,SEARCH("-",'R.M Billets Reports'!D588)+1,200)),"")),IF(ISNUMBER(SEARCH("Party Name:-",'R.M Billets Reports'!D589)),TRIM('R.M Billets Reports'!F589),IF(ISNUMBER(SEARCH("Party Name-",'R.M Billets Reports'!D589)),TRIM(MID('R.M Billets Reports'!D589,SEARCH("-",'R.M Billets Reports'!D589)+1,200)),"")))="VRKP ISPAT PVT LTD","VRKP",IF(IF(IF(ISNUMBER(SEARCH("Party Name:-",'R.M Billets Reports'!D588)),TRIM('R.M Billets Reports'!F588),IF(ISNUMBER(SEARCH("Party Name-",'R.M Billets Reports'!D588)),TRIM(MID('R.M Billets Reports'!D588,SEARCH("-",'R.M Billets Reports'!D588)+1,200)),""))&lt;&gt;"",IF(ISNUMBER(SEARCH("Party Name:-",'R.M Billets Reports'!D588)),TRIM('R.M Billets Reports'!F588),IF(ISNUMBER(SEARCH("Party Name-",'R.M Billets Reports'!D588)),TRIM(MID('R.M Billets Reports'!D588,SEARCH("-",'R.M Billets Reports'!D588)+1,200)),"")),IF(ISNUMBER(SEARCH("Party Name:-",'R.M Billets Reports'!D589)),TRIM('R.M Billets Reports'!F589),IF(ISNUMBER(SEARCH("Party Name-",'R.M Billets Reports'!D589)),TRIM(MID('R.M Billets Reports'!D589,SEARCH("-",'R.M Billets Reports'!D589)+1,200)),"")))="SHRI RADHE","SHREE RADHE",IF(IF(IF(ISNUMBER(SEARCH("Party Name:-",'R.M Billets Reports'!D588)),TRIM('R.M Billets Reports'!F588),IF(ISNUMBER(SEARCH("Party Name-",'R.M Billets Reports'!D588)),TRIM(MID('R.M Billets Reports'!D588,SEARCH("-",'R.M Billets Reports'!D588)+1,200)),""))&lt;&gt;"",IF(ISNUMBER(SEARCH("Party Name:-",'R.M Billets Reports'!D588)),TRIM('R.M Billets Reports'!F588),IF(ISNUMBER(SEARCH("Party Name-",'R.M Billets Reports'!D588)),TRIM(MID('R.M Billets Reports'!D588,SEARCH("-",'R.M Billets Reports'!D588)+1,200)),"")),IF(ISNUMBER(SEARCH("Party Name:-",'R.M Billets Reports'!D589)),TRIM('R.M Billets Reports'!F589),IF(ISNUMBER(SEARCH("Party Name-",'R.M Billets Reports'!D589)),TRIM(MID('R.M Billets Reports'!D589,SEARCH("-",'R.M Billets Reports'!D589)+1,200)),"")))="SHREE RADHE SHAKTI SPONGE AND POWER PVT. LTD.","SHREE RADHE",IF(IF(ISNUMBER(SEARCH("Party Name:-",'R.M Billets Reports'!D588)),TRIM('R.M Billets Reports'!F588),IF(ISNUMBER(SEARCH("Party Name-",'R.M Billets Reports'!D588)),TRIM(MID('R.M Billets Reports'!D588,SEARCH("-",'R.M Billets Reports'!D588)+1,200)),""))&lt;&gt;"",IF(ISNUMBER(SEARCH("Party Name:-",'R.M Billets Reports'!D588)),TRIM('R.M Billets Reports'!F588),IF(ISNUMBER(SEARCH("Party Name-",'R.M Billets Reports'!D588)),TRIM(MID('R.M Billets Reports'!D588,SEARCH("-",'R.M Billets Reports'!D588)+1,200)),"")),IF(ISNUMBER(SEARCH("Party Name:-",'R.M Billets Reports'!D589)),TRIM('R.M Billets Reports'!F589),IF(ISNUMBER(SEARCH("Party Name-",'R.M Billets Reports'!D589)),TRIM(MID('R.M Billets Reports'!D589,SEARCH("-",'R.M Billets Reports'!D589)+1,200)),"")))))),IF(ROW()=2,"",A588))</f>
      </c>
      <c r="B589">
        <f>IF(OR('R.M Billets Reports'!A588="Date-",'R.M Billets Reports'!A588="Date:-"),'R.M Billets Reports'!B588,IF(ROW()=2,"",B588))</f>
      </c>
      <c r="C589">
        <f>IF('R.M Billets Reports'!A588="V.No.",'R.M Billets Reports'!B588,IF(ROW()=2,"",C588))</f>
      </c>
      <c r="D589">
        <f>IF('R.M Billets Reports'!A588&lt;&gt;"",'R.M Billets Reports'!A588,IF(ROW()=2,"",D588))</f>
      </c>
      <c r="E589">
        <f>IF('R.M Billets Reports'!B588="","",TRIM('R.M Billets Reports'!B588))</f>
      </c>
      <c r="F589">
        <f>'R.M Billets Reports'!C588</f>
      </c>
      <c r="G589">
        <f>'R.M Billets Reports'!D588</f>
      </c>
      <c r="H589">
        <f>'R.M Billets Reports'!E588</f>
      </c>
      <c r="I589">
        <f>'R.M Billets Reports'!F588</f>
      </c>
      <c r="J589">
        <f>'R.M Billets Reports'!G588</f>
      </c>
      <c r="K589">
        <f>'R.M Billets Reports'!H588</f>
      </c>
      <c r="L589">
        <f>IF('R.M Billets Reports'!I588="","",'R.M Billets Reports'!I588)</f>
      </c>
      <c r="M589">
        <f t="shared" si="18"/>
      </c>
      <c r="N589">
        <f>IF('R.M Billets Reports'!J588="","",'R.M Billets Reports'!J588)</f>
      </c>
      <c r="O589">
        <f t="shared" si="19"/>
      </c>
      <c r="P589">
        <f>IF('R.M Billets Reports'!A588="SIZE",'R.M Billets Reports'!B588,P588)</f>
      </c>
    </row>
    <row r="590" spans="1:16" x14ac:dyDescent="0.25">
      <c r="A590">
        <f>IF(OR('R.M Billets Reports'!A589="Date-",'R.M Billets Reports'!A589="Date:-"),IF(IF(IF(ISNUMBER(SEARCH("Party Name:-",'R.M Billets Reports'!D589)),TRIM('R.M Billets Reports'!F589),IF(ISNUMBER(SEARCH("Party Name-",'R.M Billets Reports'!D589)),TRIM(MID('R.M Billets Reports'!D589,SEARCH("-",'R.M Billets Reports'!D589)+1,200)),""))&lt;&gt;"",IF(ISNUMBER(SEARCH("Party Name:-",'R.M Billets Reports'!D589)),TRIM('R.M Billets Reports'!F589),IF(ISNUMBER(SEARCH("Party Name-",'R.M Billets Reports'!D589)),TRIM(MID('R.M Billets Reports'!D589,SEARCH("-",'R.M Billets Reports'!D589)+1,200)),"")),IF(ISNUMBER(SEARCH("Party Name:-",'R.M Billets Reports'!D590)),TRIM('R.M Billets Reports'!F590),IF(ISNUMBER(SEARCH("Party Name-",'R.M Billets Reports'!D590)),TRIM(MID('R.M Billets Reports'!D590,SEARCH("-",'R.M Billets Reports'!D590)+1,200)),"")))="VRKP ISPAT PVT LTD","VRKP",IF(IF(IF(ISNUMBER(SEARCH("Party Name:-",'R.M Billets Reports'!D589)),TRIM('R.M Billets Reports'!F589),IF(ISNUMBER(SEARCH("Party Name-",'R.M Billets Reports'!D589)),TRIM(MID('R.M Billets Reports'!D589,SEARCH("-",'R.M Billets Reports'!D589)+1,200)),""))&lt;&gt;"",IF(ISNUMBER(SEARCH("Party Name:-",'R.M Billets Reports'!D589)),TRIM('R.M Billets Reports'!F589),IF(ISNUMBER(SEARCH("Party Name-",'R.M Billets Reports'!D589)),TRIM(MID('R.M Billets Reports'!D589,SEARCH("-",'R.M Billets Reports'!D589)+1,200)),"")),IF(ISNUMBER(SEARCH("Party Name:-",'R.M Billets Reports'!D590)),TRIM('R.M Billets Reports'!F590),IF(ISNUMBER(SEARCH("Party Name-",'R.M Billets Reports'!D590)),TRIM(MID('R.M Billets Reports'!D590,SEARCH("-",'R.M Billets Reports'!D590)+1,200)),"")))="SHRI RADHE","SHREE RADHE",IF(IF(IF(ISNUMBER(SEARCH("Party Name:-",'R.M Billets Reports'!D589)),TRIM('R.M Billets Reports'!F589),IF(ISNUMBER(SEARCH("Party Name-",'R.M Billets Reports'!D589)),TRIM(MID('R.M Billets Reports'!D589,SEARCH("-",'R.M Billets Reports'!D589)+1,200)),""))&lt;&gt;"",IF(ISNUMBER(SEARCH("Party Name:-",'R.M Billets Reports'!D589)),TRIM('R.M Billets Reports'!F589),IF(ISNUMBER(SEARCH("Party Name-",'R.M Billets Reports'!D589)),TRIM(MID('R.M Billets Reports'!D589,SEARCH("-",'R.M Billets Reports'!D589)+1,200)),"")),IF(ISNUMBER(SEARCH("Party Name:-",'R.M Billets Reports'!D590)),TRIM('R.M Billets Reports'!F590),IF(ISNUMBER(SEARCH("Party Name-",'R.M Billets Reports'!D590)),TRIM(MID('R.M Billets Reports'!D590,SEARCH("-",'R.M Billets Reports'!D590)+1,200)),"")))="SHREE RADHE SHAKTI SPONGE AND POWER PVT. LTD.","SHREE RADHE",IF(IF(ISNUMBER(SEARCH("Party Name:-",'R.M Billets Reports'!D589)),TRIM('R.M Billets Reports'!F589),IF(ISNUMBER(SEARCH("Party Name-",'R.M Billets Reports'!D589)),TRIM(MID('R.M Billets Reports'!D589,SEARCH("-",'R.M Billets Reports'!D589)+1,200)),""))&lt;&gt;"",IF(ISNUMBER(SEARCH("Party Name:-",'R.M Billets Reports'!D589)),TRIM('R.M Billets Reports'!F589),IF(ISNUMBER(SEARCH("Party Name-",'R.M Billets Reports'!D589)),TRIM(MID('R.M Billets Reports'!D589,SEARCH("-",'R.M Billets Reports'!D589)+1,200)),"")),IF(ISNUMBER(SEARCH("Party Name:-",'R.M Billets Reports'!D590)),TRIM('R.M Billets Reports'!F590),IF(ISNUMBER(SEARCH("Party Name-",'R.M Billets Reports'!D590)),TRIM(MID('R.M Billets Reports'!D590,SEARCH("-",'R.M Billets Reports'!D590)+1,200)),"")))))),IF(ROW()=2,"",A589))</f>
      </c>
      <c r="B590">
        <f>IF(OR('R.M Billets Reports'!A589="Date-",'R.M Billets Reports'!A589="Date:-"),'R.M Billets Reports'!B589,IF(ROW()=2,"",B589))</f>
      </c>
      <c r="C590">
        <f>IF('R.M Billets Reports'!A589="V.No.",'R.M Billets Reports'!B589,IF(ROW()=2,"",C589))</f>
      </c>
      <c r="D590">
        <f>IF('R.M Billets Reports'!A589&lt;&gt;"",'R.M Billets Reports'!A589,IF(ROW()=2,"",D589))</f>
      </c>
      <c r="E590">
        <f>IF('R.M Billets Reports'!B589="","",TRIM('R.M Billets Reports'!B589))</f>
      </c>
      <c r="F590">
        <f>'R.M Billets Reports'!C589</f>
      </c>
      <c r="G590">
        <f>'R.M Billets Reports'!D589</f>
      </c>
      <c r="H590">
        <f>'R.M Billets Reports'!E589</f>
      </c>
      <c r="I590">
        <f>'R.M Billets Reports'!F589</f>
      </c>
      <c r="J590">
        <f>'R.M Billets Reports'!G589</f>
      </c>
      <c r="K590">
        <f>'R.M Billets Reports'!H589</f>
      </c>
      <c r="L590">
        <f>IF('R.M Billets Reports'!I589="","",'R.M Billets Reports'!I589)</f>
      </c>
      <c r="M590">
        <f t="shared" si="18"/>
      </c>
      <c r="N590">
        <f>IF('R.M Billets Reports'!J589="","",'R.M Billets Reports'!J589)</f>
      </c>
      <c r="O590">
        <f t="shared" si="19"/>
      </c>
      <c r="P590">
        <f>IF('R.M Billets Reports'!A589="SIZE",'R.M Billets Reports'!B589,P589)</f>
      </c>
    </row>
    <row r="591" spans="1:16" x14ac:dyDescent="0.25">
      <c r="A591">
        <f>IF(OR('R.M Billets Reports'!A590="Date-",'R.M Billets Reports'!A590="Date:-"),IF(IF(IF(ISNUMBER(SEARCH("Party Name:-",'R.M Billets Reports'!D590)),TRIM('R.M Billets Reports'!F590),IF(ISNUMBER(SEARCH("Party Name-",'R.M Billets Reports'!D590)),TRIM(MID('R.M Billets Reports'!D590,SEARCH("-",'R.M Billets Reports'!D590)+1,200)),""))&lt;&gt;"",IF(ISNUMBER(SEARCH("Party Name:-",'R.M Billets Reports'!D590)),TRIM('R.M Billets Reports'!F590),IF(ISNUMBER(SEARCH("Party Name-",'R.M Billets Reports'!D590)),TRIM(MID('R.M Billets Reports'!D590,SEARCH("-",'R.M Billets Reports'!D590)+1,200)),"")),IF(ISNUMBER(SEARCH("Party Name:-",'R.M Billets Reports'!D591)),TRIM('R.M Billets Reports'!F591),IF(ISNUMBER(SEARCH("Party Name-",'R.M Billets Reports'!D591)),TRIM(MID('R.M Billets Reports'!D591,SEARCH("-",'R.M Billets Reports'!D591)+1,200)),"")))="VRKP ISPAT PVT LTD","VRKP",IF(IF(IF(ISNUMBER(SEARCH("Party Name:-",'R.M Billets Reports'!D590)),TRIM('R.M Billets Reports'!F590),IF(ISNUMBER(SEARCH("Party Name-",'R.M Billets Reports'!D590)),TRIM(MID('R.M Billets Reports'!D590,SEARCH("-",'R.M Billets Reports'!D590)+1,200)),""))&lt;&gt;"",IF(ISNUMBER(SEARCH("Party Name:-",'R.M Billets Reports'!D590)),TRIM('R.M Billets Reports'!F590),IF(ISNUMBER(SEARCH("Party Name-",'R.M Billets Reports'!D590)),TRIM(MID('R.M Billets Reports'!D590,SEARCH("-",'R.M Billets Reports'!D590)+1,200)),"")),IF(ISNUMBER(SEARCH("Party Name:-",'R.M Billets Reports'!D591)),TRIM('R.M Billets Reports'!F591),IF(ISNUMBER(SEARCH("Party Name-",'R.M Billets Reports'!D591)),TRIM(MID('R.M Billets Reports'!D591,SEARCH("-",'R.M Billets Reports'!D591)+1,200)),"")))="SHRI RADHE","SHREE RADHE",IF(IF(IF(ISNUMBER(SEARCH("Party Name:-",'R.M Billets Reports'!D590)),TRIM('R.M Billets Reports'!F590),IF(ISNUMBER(SEARCH("Party Name-",'R.M Billets Reports'!D590)),TRIM(MID('R.M Billets Reports'!D590,SEARCH("-",'R.M Billets Reports'!D590)+1,200)),""))&lt;&gt;"",IF(ISNUMBER(SEARCH("Party Name:-",'R.M Billets Reports'!D590)),TRIM('R.M Billets Reports'!F590),IF(ISNUMBER(SEARCH("Party Name-",'R.M Billets Reports'!D590)),TRIM(MID('R.M Billets Reports'!D590,SEARCH("-",'R.M Billets Reports'!D590)+1,200)),"")),IF(ISNUMBER(SEARCH("Party Name:-",'R.M Billets Reports'!D591)),TRIM('R.M Billets Reports'!F591),IF(ISNUMBER(SEARCH("Party Name-",'R.M Billets Reports'!D591)),TRIM(MID('R.M Billets Reports'!D591,SEARCH("-",'R.M Billets Reports'!D591)+1,200)),"")))="SHREE RADHE SHAKTI SPONGE AND POWER PVT. LTD.","SHREE RADHE",IF(IF(ISNUMBER(SEARCH("Party Name:-",'R.M Billets Reports'!D590)),TRIM('R.M Billets Reports'!F590),IF(ISNUMBER(SEARCH("Party Name-",'R.M Billets Reports'!D590)),TRIM(MID('R.M Billets Reports'!D590,SEARCH("-",'R.M Billets Reports'!D590)+1,200)),""))&lt;&gt;"",IF(ISNUMBER(SEARCH("Party Name:-",'R.M Billets Reports'!D590)),TRIM('R.M Billets Reports'!F590),IF(ISNUMBER(SEARCH("Party Name-",'R.M Billets Reports'!D590)),TRIM(MID('R.M Billets Reports'!D590,SEARCH("-",'R.M Billets Reports'!D590)+1,200)),"")),IF(ISNUMBER(SEARCH("Party Name:-",'R.M Billets Reports'!D591)),TRIM('R.M Billets Reports'!F591),IF(ISNUMBER(SEARCH("Party Name-",'R.M Billets Reports'!D591)),TRIM(MID('R.M Billets Reports'!D591,SEARCH("-",'R.M Billets Reports'!D591)+1,200)),"")))))),IF(ROW()=2,"",A590))</f>
      </c>
      <c r="B591">
        <f>IF(OR('R.M Billets Reports'!A590="Date-",'R.M Billets Reports'!A590="Date:-"),'R.M Billets Reports'!B590,IF(ROW()=2,"",B590))</f>
      </c>
      <c r="C591">
        <f>IF('R.M Billets Reports'!A590="V.No.",'R.M Billets Reports'!B590,IF(ROW()=2,"",C590))</f>
      </c>
      <c r="D591">
        <f>IF('R.M Billets Reports'!A590&lt;&gt;"",'R.M Billets Reports'!A590,IF(ROW()=2,"",D590))</f>
      </c>
      <c r="E591">
        <f>IF('R.M Billets Reports'!B590="","",TRIM('R.M Billets Reports'!B590))</f>
      </c>
      <c r="F591">
        <f>'R.M Billets Reports'!C590</f>
      </c>
      <c r="G591">
        <f>'R.M Billets Reports'!D590</f>
      </c>
      <c r="H591">
        <f>'R.M Billets Reports'!E590</f>
      </c>
      <c r="I591">
        <f>'R.M Billets Reports'!F590</f>
      </c>
      <c r="J591">
        <f>'R.M Billets Reports'!G590</f>
      </c>
      <c r="K591">
        <f>'R.M Billets Reports'!H590</f>
      </c>
      <c r="L591">
        <f>IF('R.M Billets Reports'!I590="","",'R.M Billets Reports'!I590)</f>
      </c>
      <c r="M591">
        <f t="shared" si="18"/>
      </c>
      <c r="N591">
        <f>IF('R.M Billets Reports'!J590="","",'R.M Billets Reports'!J590)</f>
      </c>
      <c r="O591">
        <f t="shared" si="19"/>
      </c>
      <c r="P591">
        <f>IF('R.M Billets Reports'!A590="SIZE",'R.M Billets Reports'!B590,P590)</f>
      </c>
    </row>
    <row r="592" spans="1:16" x14ac:dyDescent="0.25">
      <c r="A592">
        <f>IF(OR('R.M Billets Reports'!A591="Date-",'R.M Billets Reports'!A591="Date:-"),IF(IF(IF(ISNUMBER(SEARCH("Party Name:-",'R.M Billets Reports'!D591)),TRIM('R.M Billets Reports'!F591),IF(ISNUMBER(SEARCH("Party Name-",'R.M Billets Reports'!D591)),TRIM(MID('R.M Billets Reports'!D591,SEARCH("-",'R.M Billets Reports'!D591)+1,200)),""))&lt;&gt;"",IF(ISNUMBER(SEARCH("Party Name:-",'R.M Billets Reports'!D591)),TRIM('R.M Billets Reports'!F591),IF(ISNUMBER(SEARCH("Party Name-",'R.M Billets Reports'!D591)),TRIM(MID('R.M Billets Reports'!D591,SEARCH("-",'R.M Billets Reports'!D591)+1,200)),"")),IF(ISNUMBER(SEARCH("Party Name:-",'R.M Billets Reports'!D592)),TRIM('R.M Billets Reports'!F592),IF(ISNUMBER(SEARCH("Party Name-",'R.M Billets Reports'!D592)),TRIM(MID('R.M Billets Reports'!D592,SEARCH("-",'R.M Billets Reports'!D592)+1,200)),"")))="VRKP ISPAT PVT LTD","VRKP",IF(IF(IF(ISNUMBER(SEARCH("Party Name:-",'R.M Billets Reports'!D591)),TRIM('R.M Billets Reports'!F591),IF(ISNUMBER(SEARCH("Party Name-",'R.M Billets Reports'!D591)),TRIM(MID('R.M Billets Reports'!D591,SEARCH("-",'R.M Billets Reports'!D591)+1,200)),""))&lt;&gt;"",IF(ISNUMBER(SEARCH("Party Name:-",'R.M Billets Reports'!D591)),TRIM('R.M Billets Reports'!F591),IF(ISNUMBER(SEARCH("Party Name-",'R.M Billets Reports'!D591)),TRIM(MID('R.M Billets Reports'!D591,SEARCH("-",'R.M Billets Reports'!D591)+1,200)),"")),IF(ISNUMBER(SEARCH("Party Name:-",'R.M Billets Reports'!D592)),TRIM('R.M Billets Reports'!F592),IF(ISNUMBER(SEARCH("Party Name-",'R.M Billets Reports'!D592)),TRIM(MID('R.M Billets Reports'!D592,SEARCH("-",'R.M Billets Reports'!D592)+1,200)),"")))="SHRI RADHE","SHREE RADHE",IF(IF(IF(ISNUMBER(SEARCH("Party Name:-",'R.M Billets Reports'!D591)),TRIM('R.M Billets Reports'!F591),IF(ISNUMBER(SEARCH("Party Name-",'R.M Billets Reports'!D591)),TRIM(MID('R.M Billets Reports'!D591,SEARCH("-",'R.M Billets Reports'!D591)+1,200)),""))&lt;&gt;"",IF(ISNUMBER(SEARCH("Party Name:-",'R.M Billets Reports'!D591)),TRIM('R.M Billets Reports'!F591),IF(ISNUMBER(SEARCH("Party Name-",'R.M Billets Reports'!D591)),TRIM(MID('R.M Billets Reports'!D591,SEARCH("-",'R.M Billets Reports'!D591)+1,200)),"")),IF(ISNUMBER(SEARCH("Party Name:-",'R.M Billets Reports'!D592)),TRIM('R.M Billets Reports'!F592),IF(ISNUMBER(SEARCH("Party Name-",'R.M Billets Reports'!D592)),TRIM(MID('R.M Billets Reports'!D592,SEARCH("-",'R.M Billets Reports'!D592)+1,200)),"")))="SHREE RADHE SHAKTI SPONGE AND POWER PVT. LTD.","SHREE RADHE",IF(IF(ISNUMBER(SEARCH("Party Name:-",'R.M Billets Reports'!D591)),TRIM('R.M Billets Reports'!F591),IF(ISNUMBER(SEARCH("Party Name-",'R.M Billets Reports'!D591)),TRIM(MID('R.M Billets Reports'!D591,SEARCH("-",'R.M Billets Reports'!D591)+1,200)),""))&lt;&gt;"",IF(ISNUMBER(SEARCH("Party Name:-",'R.M Billets Reports'!D591)),TRIM('R.M Billets Reports'!F591),IF(ISNUMBER(SEARCH("Party Name-",'R.M Billets Reports'!D591)),TRIM(MID('R.M Billets Reports'!D591,SEARCH("-",'R.M Billets Reports'!D591)+1,200)),"")),IF(ISNUMBER(SEARCH("Party Name:-",'R.M Billets Reports'!D592)),TRIM('R.M Billets Reports'!F592),IF(ISNUMBER(SEARCH("Party Name-",'R.M Billets Reports'!D592)),TRIM(MID('R.M Billets Reports'!D592,SEARCH("-",'R.M Billets Reports'!D592)+1,200)),"")))))),IF(ROW()=2,"",A591))</f>
      </c>
      <c r="B592">
        <f>IF(OR('R.M Billets Reports'!A591="Date-",'R.M Billets Reports'!A591="Date:-"),'R.M Billets Reports'!B591,IF(ROW()=2,"",B591))</f>
      </c>
      <c r="C592">
        <f>IF('R.M Billets Reports'!A591="V.No.",'R.M Billets Reports'!B591,IF(ROW()=2,"",C591))</f>
      </c>
      <c r="D592">
        <f>IF('R.M Billets Reports'!A591&lt;&gt;"",'R.M Billets Reports'!A591,IF(ROW()=2,"",D591))</f>
      </c>
      <c r="E592">
        <f>IF('R.M Billets Reports'!B591="","",TRIM('R.M Billets Reports'!B591))</f>
      </c>
      <c r="F592">
        <f>'R.M Billets Reports'!C591</f>
      </c>
      <c r="G592">
        <f>'R.M Billets Reports'!D591</f>
      </c>
      <c r="H592">
        <f>'R.M Billets Reports'!E591</f>
      </c>
      <c r="I592">
        <f>'R.M Billets Reports'!F591</f>
      </c>
      <c r="J592">
        <f>'R.M Billets Reports'!G591</f>
      </c>
      <c r="K592">
        <f>'R.M Billets Reports'!H591</f>
      </c>
      <c r="L592">
        <f>IF('R.M Billets Reports'!I591="","",'R.M Billets Reports'!I591)</f>
      </c>
      <c r="M592">
        <f t="shared" si="18"/>
      </c>
      <c r="N592">
        <f>IF('R.M Billets Reports'!J591="","",'R.M Billets Reports'!J591)</f>
      </c>
      <c r="O592">
        <f t="shared" si="19"/>
      </c>
      <c r="P592">
        <f>IF('R.M Billets Reports'!A591="SIZE",'R.M Billets Reports'!B591,P591)</f>
      </c>
    </row>
    <row r="593" spans="1:16" x14ac:dyDescent="0.25">
      <c r="A593">
        <f>IF(OR('R.M Billets Reports'!A592="Date-",'R.M Billets Reports'!A592="Date:-"),IF(IF(IF(ISNUMBER(SEARCH("Party Name:-",'R.M Billets Reports'!D592)),TRIM('R.M Billets Reports'!F592),IF(ISNUMBER(SEARCH("Party Name-",'R.M Billets Reports'!D592)),TRIM(MID('R.M Billets Reports'!D592,SEARCH("-",'R.M Billets Reports'!D592)+1,200)),""))&lt;&gt;"",IF(ISNUMBER(SEARCH("Party Name:-",'R.M Billets Reports'!D592)),TRIM('R.M Billets Reports'!F592),IF(ISNUMBER(SEARCH("Party Name-",'R.M Billets Reports'!D592)),TRIM(MID('R.M Billets Reports'!D592,SEARCH("-",'R.M Billets Reports'!D592)+1,200)),"")),IF(ISNUMBER(SEARCH("Party Name:-",'R.M Billets Reports'!D593)),TRIM('R.M Billets Reports'!F593),IF(ISNUMBER(SEARCH("Party Name-",'R.M Billets Reports'!D593)),TRIM(MID('R.M Billets Reports'!D593,SEARCH("-",'R.M Billets Reports'!D593)+1,200)),"")))="VRKP ISPAT PVT LTD","VRKP",IF(IF(IF(ISNUMBER(SEARCH("Party Name:-",'R.M Billets Reports'!D592)),TRIM('R.M Billets Reports'!F592),IF(ISNUMBER(SEARCH("Party Name-",'R.M Billets Reports'!D592)),TRIM(MID('R.M Billets Reports'!D592,SEARCH("-",'R.M Billets Reports'!D592)+1,200)),""))&lt;&gt;"",IF(ISNUMBER(SEARCH("Party Name:-",'R.M Billets Reports'!D592)),TRIM('R.M Billets Reports'!F592),IF(ISNUMBER(SEARCH("Party Name-",'R.M Billets Reports'!D592)),TRIM(MID('R.M Billets Reports'!D592,SEARCH("-",'R.M Billets Reports'!D592)+1,200)),"")),IF(ISNUMBER(SEARCH("Party Name:-",'R.M Billets Reports'!D593)),TRIM('R.M Billets Reports'!F593),IF(ISNUMBER(SEARCH("Party Name-",'R.M Billets Reports'!D593)),TRIM(MID('R.M Billets Reports'!D593,SEARCH("-",'R.M Billets Reports'!D593)+1,200)),"")))="SHRI RADHE","SHREE RADHE",IF(IF(IF(ISNUMBER(SEARCH("Party Name:-",'R.M Billets Reports'!D592)),TRIM('R.M Billets Reports'!F592),IF(ISNUMBER(SEARCH("Party Name-",'R.M Billets Reports'!D592)),TRIM(MID('R.M Billets Reports'!D592,SEARCH("-",'R.M Billets Reports'!D592)+1,200)),""))&lt;&gt;"",IF(ISNUMBER(SEARCH("Party Name:-",'R.M Billets Reports'!D592)),TRIM('R.M Billets Reports'!F592),IF(ISNUMBER(SEARCH("Party Name-",'R.M Billets Reports'!D592)),TRIM(MID('R.M Billets Reports'!D592,SEARCH("-",'R.M Billets Reports'!D592)+1,200)),"")),IF(ISNUMBER(SEARCH("Party Name:-",'R.M Billets Reports'!D593)),TRIM('R.M Billets Reports'!F593),IF(ISNUMBER(SEARCH("Party Name-",'R.M Billets Reports'!D593)),TRIM(MID('R.M Billets Reports'!D593,SEARCH("-",'R.M Billets Reports'!D593)+1,200)),"")))="SHREE RADHE SHAKTI SPONGE AND POWER PVT. LTD.","SHREE RADHE",IF(IF(ISNUMBER(SEARCH("Party Name:-",'R.M Billets Reports'!D592)),TRIM('R.M Billets Reports'!F592),IF(ISNUMBER(SEARCH("Party Name-",'R.M Billets Reports'!D592)),TRIM(MID('R.M Billets Reports'!D592,SEARCH("-",'R.M Billets Reports'!D592)+1,200)),""))&lt;&gt;"",IF(ISNUMBER(SEARCH("Party Name:-",'R.M Billets Reports'!D592)),TRIM('R.M Billets Reports'!F592),IF(ISNUMBER(SEARCH("Party Name-",'R.M Billets Reports'!D592)),TRIM(MID('R.M Billets Reports'!D592,SEARCH("-",'R.M Billets Reports'!D592)+1,200)),"")),IF(ISNUMBER(SEARCH("Party Name:-",'R.M Billets Reports'!D593)),TRIM('R.M Billets Reports'!F593),IF(ISNUMBER(SEARCH("Party Name-",'R.M Billets Reports'!D593)),TRIM(MID('R.M Billets Reports'!D593,SEARCH("-",'R.M Billets Reports'!D593)+1,200)),"")))))),IF(ROW()=2,"",A592))</f>
      </c>
      <c r="B593">
        <f>IF(OR('R.M Billets Reports'!A592="Date-",'R.M Billets Reports'!A592="Date:-"),'R.M Billets Reports'!B592,IF(ROW()=2,"",B592))</f>
      </c>
      <c r="C593">
        <f>IF('R.M Billets Reports'!A592="V.No.",'R.M Billets Reports'!B592,IF(ROW()=2,"",C592))</f>
      </c>
      <c r="D593">
        <f>IF('R.M Billets Reports'!A592&lt;&gt;"",'R.M Billets Reports'!A592,IF(ROW()=2,"",D592))</f>
      </c>
      <c r="E593">
        <f>IF('R.M Billets Reports'!B592="","",TRIM('R.M Billets Reports'!B592))</f>
      </c>
      <c r="F593">
        <f>'R.M Billets Reports'!C592</f>
      </c>
      <c r="G593">
        <f>'R.M Billets Reports'!D592</f>
      </c>
      <c r="H593">
        <f>'R.M Billets Reports'!E592</f>
      </c>
      <c r="I593">
        <f>'R.M Billets Reports'!F592</f>
      </c>
      <c r="J593">
        <f>'R.M Billets Reports'!G592</f>
      </c>
      <c r="K593">
        <f>'R.M Billets Reports'!H592</f>
      </c>
      <c r="L593">
        <f>IF('R.M Billets Reports'!I592="","",'R.M Billets Reports'!I592)</f>
      </c>
      <c r="M593">
        <f t="shared" si="18"/>
      </c>
      <c r="N593">
        <f>IF('R.M Billets Reports'!J592="","",'R.M Billets Reports'!J592)</f>
      </c>
      <c r="O593">
        <f t="shared" si="19"/>
      </c>
      <c r="P593">
        <f>IF('R.M Billets Reports'!A592="SIZE",'R.M Billets Reports'!B592,P592)</f>
      </c>
    </row>
    <row r="594" spans="1:16" x14ac:dyDescent="0.25">
      <c r="A594">
        <f>IF(OR('R.M Billets Reports'!A593="Date-",'R.M Billets Reports'!A593="Date:-"),IF(IF(IF(ISNUMBER(SEARCH("Party Name:-",'R.M Billets Reports'!D593)),TRIM('R.M Billets Reports'!F593),IF(ISNUMBER(SEARCH("Party Name-",'R.M Billets Reports'!D593)),TRIM(MID('R.M Billets Reports'!D593,SEARCH("-",'R.M Billets Reports'!D593)+1,200)),""))&lt;&gt;"",IF(ISNUMBER(SEARCH("Party Name:-",'R.M Billets Reports'!D593)),TRIM('R.M Billets Reports'!F593),IF(ISNUMBER(SEARCH("Party Name-",'R.M Billets Reports'!D593)),TRIM(MID('R.M Billets Reports'!D593,SEARCH("-",'R.M Billets Reports'!D593)+1,200)),"")),IF(ISNUMBER(SEARCH("Party Name:-",'R.M Billets Reports'!D594)),TRIM('R.M Billets Reports'!F594),IF(ISNUMBER(SEARCH("Party Name-",'R.M Billets Reports'!D594)),TRIM(MID('R.M Billets Reports'!D594,SEARCH("-",'R.M Billets Reports'!D594)+1,200)),"")))="VRKP ISPAT PVT LTD","VRKP",IF(IF(IF(ISNUMBER(SEARCH("Party Name:-",'R.M Billets Reports'!D593)),TRIM('R.M Billets Reports'!F593),IF(ISNUMBER(SEARCH("Party Name-",'R.M Billets Reports'!D593)),TRIM(MID('R.M Billets Reports'!D593,SEARCH("-",'R.M Billets Reports'!D593)+1,200)),""))&lt;&gt;"",IF(ISNUMBER(SEARCH("Party Name:-",'R.M Billets Reports'!D593)),TRIM('R.M Billets Reports'!F593),IF(ISNUMBER(SEARCH("Party Name-",'R.M Billets Reports'!D593)),TRIM(MID('R.M Billets Reports'!D593,SEARCH("-",'R.M Billets Reports'!D593)+1,200)),"")),IF(ISNUMBER(SEARCH("Party Name:-",'R.M Billets Reports'!D594)),TRIM('R.M Billets Reports'!F594),IF(ISNUMBER(SEARCH("Party Name-",'R.M Billets Reports'!D594)),TRIM(MID('R.M Billets Reports'!D594,SEARCH("-",'R.M Billets Reports'!D594)+1,200)),"")))="SHRI RADHE","SHREE RADHE",IF(IF(IF(ISNUMBER(SEARCH("Party Name:-",'R.M Billets Reports'!D593)),TRIM('R.M Billets Reports'!F593),IF(ISNUMBER(SEARCH("Party Name-",'R.M Billets Reports'!D593)),TRIM(MID('R.M Billets Reports'!D593,SEARCH("-",'R.M Billets Reports'!D593)+1,200)),""))&lt;&gt;"",IF(ISNUMBER(SEARCH("Party Name:-",'R.M Billets Reports'!D593)),TRIM('R.M Billets Reports'!F593),IF(ISNUMBER(SEARCH("Party Name-",'R.M Billets Reports'!D593)),TRIM(MID('R.M Billets Reports'!D593,SEARCH("-",'R.M Billets Reports'!D593)+1,200)),"")),IF(ISNUMBER(SEARCH("Party Name:-",'R.M Billets Reports'!D594)),TRIM('R.M Billets Reports'!F594),IF(ISNUMBER(SEARCH("Party Name-",'R.M Billets Reports'!D594)),TRIM(MID('R.M Billets Reports'!D594,SEARCH("-",'R.M Billets Reports'!D594)+1,200)),"")))="SHREE RADHE SHAKTI SPONGE AND POWER PVT. LTD.","SHREE RADHE",IF(IF(ISNUMBER(SEARCH("Party Name:-",'R.M Billets Reports'!D593)),TRIM('R.M Billets Reports'!F593),IF(ISNUMBER(SEARCH("Party Name-",'R.M Billets Reports'!D593)),TRIM(MID('R.M Billets Reports'!D593,SEARCH("-",'R.M Billets Reports'!D593)+1,200)),""))&lt;&gt;"",IF(ISNUMBER(SEARCH("Party Name:-",'R.M Billets Reports'!D593)),TRIM('R.M Billets Reports'!F593),IF(ISNUMBER(SEARCH("Party Name-",'R.M Billets Reports'!D593)),TRIM(MID('R.M Billets Reports'!D593,SEARCH("-",'R.M Billets Reports'!D593)+1,200)),"")),IF(ISNUMBER(SEARCH("Party Name:-",'R.M Billets Reports'!D594)),TRIM('R.M Billets Reports'!F594),IF(ISNUMBER(SEARCH("Party Name-",'R.M Billets Reports'!D594)),TRIM(MID('R.M Billets Reports'!D594,SEARCH("-",'R.M Billets Reports'!D594)+1,200)),"")))))),IF(ROW()=2,"",A593))</f>
      </c>
      <c r="B594">
        <f>IF(OR('R.M Billets Reports'!A593="Date-",'R.M Billets Reports'!A593="Date:-"),'R.M Billets Reports'!B593,IF(ROW()=2,"",B593))</f>
      </c>
      <c r="C594">
        <f>IF('R.M Billets Reports'!A593="V.No.",'R.M Billets Reports'!B593,IF(ROW()=2,"",C593))</f>
      </c>
      <c r="D594">
        <f>IF('R.M Billets Reports'!A593&lt;&gt;"",'R.M Billets Reports'!A593,IF(ROW()=2,"",D593))</f>
      </c>
      <c r="E594">
        <f>IF('R.M Billets Reports'!B593="","",TRIM('R.M Billets Reports'!B593))</f>
      </c>
      <c r="F594">
        <f>'R.M Billets Reports'!C593</f>
      </c>
      <c r="G594">
        <f>'R.M Billets Reports'!D593</f>
      </c>
      <c r="H594">
        <f>'R.M Billets Reports'!E593</f>
      </c>
      <c r="I594">
        <f>'R.M Billets Reports'!F593</f>
      </c>
      <c r="J594">
        <f>'R.M Billets Reports'!G593</f>
      </c>
      <c r="K594">
        <f>'R.M Billets Reports'!H593</f>
      </c>
      <c r="L594">
        <f>IF('R.M Billets Reports'!I593="","",'R.M Billets Reports'!I593)</f>
      </c>
      <c r="M594">
        <f t="shared" si="18"/>
      </c>
      <c r="N594">
        <f>IF('R.M Billets Reports'!J593="","",'R.M Billets Reports'!J593)</f>
      </c>
      <c r="O594">
        <f t="shared" si="19"/>
      </c>
      <c r="P594">
        <f>IF('R.M Billets Reports'!A593="SIZE",'R.M Billets Reports'!B593,P593)</f>
      </c>
    </row>
    <row r="595" spans="1:16" x14ac:dyDescent="0.25">
      <c r="A595">
        <f>IF(OR('R.M Billets Reports'!A594="Date-",'R.M Billets Reports'!A594="Date:-"),IF(IF(IF(ISNUMBER(SEARCH("Party Name:-",'R.M Billets Reports'!D594)),TRIM('R.M Billets Reports'!F594),IF(ISNUMBER(SEARCH("Party Name-",'R.M Billets Reports'!D594)),TRIM(MID('R.M Billets Reports'!D594,SEARCH("-",'R.M Billets Reports'!D594)+1,200)),""))&lt;&gt;"",IF(ISNUMBER(SEARCH("Party Name:-",'R.M Billets Reports'!D594)),TRIM('R.M Billets Reports'!F594),IF(ISNUMBER(SEARCH("Party Name-",'R.M Billets Reports'!D594)),TRIM(MID('R.M Billets Reports'!D594,SEARCH("-",'R.M Billets Reports'!D594)+1,200)),"")),IF(ISNUMBER(SEARCH("Party Name:-",'R.M Billets Reports'!D595)),TRIM('R.M Billets Reports'!F595),IF(ISNUMBER(SEARCH("Party Name-",'R.M Billets Reports'!D595)),TRIM(MID('R.M Billets Reports'!D595,SEARCH("-",'R.M Billets Reports'!D595)+1,200)),"")))="VRKP ISPAT PVT LTD","VRKP",IF(IF(IF(ISNUMBER(SEARCH("Party Name:-",'R.M Billets Reports'!D594)),TRIM('R.M Billets Reports'!F594),IF(ISNUMBER(SEARCH("Party Name-",'R.M Billets Reports'!D594)),TRIM(MID('R.M Billets Reports'!D594,SEARCH("-",'R.M Billets Reports'!D594)+1,200)),""))&lt;&gt;"",IF(ISNUMBER(SEARCH("Party Name:-",'R.M Billets Reports'!D594)),TRIM('R.M Billets Reports'!F594),IF(ISNUMBER(SEARCH("Party Name-",'R.M Billets Reports'!D594)),TRIM(MID('R.M Billets Reports'!D594,SEARCH("-",'R.M Billets Reports'!D594)+1,200)),"")),IF(ISNUMBER(SEARCH("Party Name:-",'R.M Billets Reports'!D595)),TRIM('R.M Billets Reports'!F595),IF(ISNUMBER(SEARCH("Party Name-",'R.M Billets Reports'!D595)),TRIM(MID('R.M Billets Reports'!D595,SEARCH("-",'R.M Billets Reports'!D595)+1,200)),"")))="SHRI RADHE","SHREE RADHE",IF(IF(IF(ISNUMBER(SEARCH("Party Name:-",'R.M Billets Reports'!D594)),TRIM('R.M Billets Reports'!F594),IF(ISNUMBER(SEARCH("Party Name-",'R.M Billets Reports'!D594)),TRIM(MID('R.M Billets Reports'!D594,SEARCH("-",'R.M Billets Reports'!D594)+1,200)),""))&lt;&gt;"",IF(ISNUMBER(SEARCH("Party Name:-",'R.M Billets Reports'!D594)),TRIM('R.M Billets Reports'!F594),IF(ISNUMBER(SEARCH("Party Name-",'R.M Billets Reports'!D594)),TRIM(MID('R.M Billets Reports'!D594,SEARCH("-",'R.M Billets Reports'!D594)+1,200)),"")),IF(ISNUMBER(SEARCH("Party Name:-",'R.M Billets Reports'!D595)),TRIM('R.M Billets Reports'!F595),IF(ISNUMBER(SEARCH("Party Name-",'R.M Billets Reports'!D595)),TRIM(MID('R.M Billets Reports'!D595,SEARCH("-",'R.M Billets Reports'!D595)+1,200)),"")))="SHREE RADHE SHAKTI SPONGE AND POWER PVT. LTD.","SHREE RADHE",IF(IF(ISNUMBER(SEARCH("Party Name:-",'R.M Billets Reports'!D594)),TRIM('R.M Billets Reports'!F594),IF(ISNUMBER(SEARCH("Party Name-",'R.M Billets Reports'!D594)),TRIM(MID('R.M Billets Reports'!D594,SEARCH("-",'R.M Billets Reports'!D594)+1,200)),""))&lt;&gt;"",IF(ISNUMBER(SEARCH("Party Name:-",'R.M Billets Reports'!D594)),TRIM('R.M Billets Reports'!F594),IF(ISNUMBER(SEARCH("Party Name-",'R.M Billets Reports'!D594)),TRIM(MID('R.M Billets Reports'!D594,SEARCH("-",'R.M Billets Reports'!D594)+1,200)),"")),IF(ISNUMBER(SEARCH("Party Name:-",'R.M Billets Reports'!D595)),TRIM('R.M Billets Reports'!F595),IF(ISNUMBER(SEARCH("Party Name-",'R.M Billets Reports'!D595)),TRIM(MID('R.M Billets Reports'!D595,SEARCH("-",'R.M Billets Reports'!D595)+1,200)),"")))))),IF(ROW()=2,"",A594))</f>
      </c>
      <c r="B595">
        <f>IF(OR('R.M Billets Reports'!A594="Date-",'R.M Billets Reports'!A594="Date:-"),'R.M Billets Reports'!B594,IF(ROW()=2,"",B594))</f>
      </c>
      <c r="C595">
        <f>IF('R.M Billets Reports'!A594="V.No.",'R.M Billets Reports'!B594,IF(ROW()=2,"",C594))</f>
      </c>
      <c r="D595">
        <f>IF('R.M Billets Reports'!A594&lt;&gt;"",'R.M Billets Reports'!A594,IF(ROW()=2,"",D594))</f>
      </c>
      <c r="E595">
        <f>IF('R.M Billets Reports'!B594="","",TRIM('R.M Billets Reports'!B594))</f>
      </c>
      <c r="F595">
        <f>'R.M Billets Reports'!C594</f>
      </c>
      <c r="G595">
        <f>'R.M Billets Reports'!D594</f>
      </c>
      <c r="H595">
        <f>'R.M Billets Reports'!E594</f>
      </c>
      <c r="I595">
        <f>'R.M Billets Reports'!F594</f>
      </c>
      <c r="J595">
        <f>'R.M Billets Reports'!G594</f>
      </c>
      <c r="K595">
        <f>'R.M Billets Reports'!H594</f>
      </c>
      <c r="L595">
        <f>IF('R.M Billets Reports'!I594="","",'R.M Billets Reports'!I594)</f>
      </c>
      <c r="M595">
        <f t="shared" si="18"/>
      </c>
      <c r="N595">
        <f>IF('R.M Billets Reports'!J594="","",'R.M Billets Reports'!J594)</f>
      </c>
      <c r="O595">
        <f t="shared" si="19"/>
      </c>
      <c r="P595">
        <f>IF('R.M Billets Reports'!A594="SIZE",'R.M Billets Reports'!B594,P594)</f>
      </c>
    </row>
    <row r="596" spans="1:16" x14ac:dyDescent="0.25">
      <c r="A596">
        <f>IF(OR('R.M Billets Reports'!A595="Date-",'R.M Billets Reports'!A595="Date:-"),IF(IF(IF(ISNUMBER(SEARCH("Party Name:-",'R.M Billets Reports'!D595)),TRIM('R.M Billets Reports'!F595),IF(ISNUMBER(SEARCH("Party Name-",'R.M Billets Reports'!D595)),TRIM(MID('R.M Billets Reports'!D595,SEARCH("-",'R.M Billets Reports'!D595)+1,200)),""))&lt;&gt;"",IF(ISNUMBER(SEARCH("Party Name:-",'R.M Billets Reports'!D595)),TRIM('R.M Billets Reports'!F595),IF(ISNUMBER(SEARCH("Party Name-",'R.M Billets Reports'!D595)),TRIM(MID('R.M Billets Reports'!D595,SEARCH("-",'R.M Billets Reports'!D595)+1,200)),"")),IF(ISNUMBER(SEARCH("Party Name:-",'R.M Billets Reports'!D596)),TRIM('R.M Billets Reports'!F596),IF(ISNUMBER(SEARCH("Party Name-",'R.M Billets Reports'!D596)),TRIM(MID('R.M Billets Reports'!D596,SEARCH("-",'R.M Billets Reports'!D596)+1,200)),"")))="VRKP ISPAT PVT LTD","VRKP",IF(IF(IF(ISNUMBER(SEARCH("Party Name:-",'R.M Billets Reports'!D595)),TRIM('R.M Billets Reports'!F595),IF(ISNUMBER(SEARCH("Party Name-",'R.M Billets Reports'!D595)),TRIM(MID('R.M Billets Reports'!D595,SEARCH("-",'R.M Billets Reports'!D595)+1,200)),""))&lt;&gt;"",IF(ISNUMBER(SEARCH("Party Name:-",'R.M Billets Reports'!D595)),TRIM('R.M Billets Reports'!F595),IF(ISNUMBER(SEARCH("Party Name-",'R.M Billets Reports'!D595)),TRIM(MID('R.M Billets Reports'!D595,SEARCH("-",'R.M Billets Reports'!D595)+1,200)),"")),IF(ISNUMBER(SEARCH("Party Name:-",'R.M Billets Reports'!D596)),TRIM('R.M Billets Reports'!F596),IF(ISNUMBER(SEARCH("Party Name-",'R.M Billets Reports'!D596)),TRIM(MID('R.M Billets Reports'!D596,SEARCH("-",'R.M Billets Reports'!D596)+1,200)),"")))="SHRI RADHE","SHREE RADHE",IF(IF(IF(ISNUMBER(SEARCH("Party Name:-",'R.M Billets Reports'!D595)),TRIM('R.M Billets Reports'!F595),IF(ISNUMBER(SEARCH("Party Name-",'R.M Billets Reports'!D595)),TRIM(MID('R.M Billets Reports'!D595,SEARCH("-",'R.M Billets Reports'!D595)+1,200)),""))&lt;&gt;"",IF(ISNUMBER(SEARCH("Party Name:-",'R.M Billets Reports'!D595)),TRIM('R.M Billets Reports'!F595),IF(ISNUMBER(SEARCH("Party Name-",'R.M Billets Reports'!D595)),TRIM(MID('R.M Billets Reports'!D595,SEARCH("-",'R.M Billets Reports'!D595)+1,200)),"")),IF(ISNUMBER(SEARCH("Party Name:-",'R.M Billets Reports'!D596)),TRIM('R.M Billets Reports'!F596),IF(ISNUMBER(SEARCH("Party Name-",'R.M Billets Reports'!D596)),TRIM(MID('R.M Billets Reports'!D596,SEARCH("-",'R.M Billets Reports'!D596)+1,200)),"")))="SHREE RADHE SHAKTI SPONGE AND POWER PVT. LTD.","SHREE RADHE",IF(IF(ISNUMBER(SEARCH("Party Name:-",'R.M Billets Reports'!D595)),TRIM('R.M Billets Reports'!F595),IF(ISNUMBER(SEARCH("Party Name-",'R.M Billets Reports'!D595)),TRIM(MID('R.M Billets Reports'!D595,SEARCH("-",'R.M Billets Reports'!D595)+1,200)),""))&lt;&gt;"",IF(ISNUMBER(SEARCH("Party Name:-",'R.M Billets Reports'!D595)),TRIM('R.M Billets Reports'!F595),IF(ISNUMBER(SEARCH("Party Name-",'R.M Billets Reports'!D595)),TRIM(MID('R.M Billets Reports'!D595,SEARCH("-",'R.M Billets Reports'!D595)+1,200)),"")),IF(ISNUMBER(SEARCH("Party Name:-",'R.M Billets Reports'!D596)),TRIM('R.M Billets Reports'!F596),IF(ISNUMBER(SEARCH("Party Name-",'R.M Billets Reports'!D596)),TRIM(MID('R.M Billets Reports'!D596,SEARCH("-",'R.M Billets Reports'!D596)+1,200)),"")))))),IF(ROW()=2,"",A595))</f>
      </c>
      <c r="B596">
        <f>IF(OR('R.M Billets Reports'!A595="Date-",'R.M Billets Reports'!A595="Date:-"),'R.M Billets Reports'!B595,IF(ROW()=2,"",B595))</f>
      </c>
      <c r="C596">
        <f>IF('R.M Billets Reports'!A595="V.No.",'R.M Billets Reports'!B595,IF(ROW()=2,"",C595))</f>
      </c>
      <c r="D596">
        <f>IF('R.M Billets Reports'!A595&lt;&gt;"",'R.M Billets Reports'!A595,IF(ROW()=2,"",D595))</f>
      </c>
      <c r="E596">
        <f>IF('R.M Billets Reports'!B595="","",TRIM('R.M Billets Reports'!B595))</f>
      </c>
      <c r="F596">
        <f>'R.M Billets Reports'!C595</f>
      </c>
      <c r="G596">
        <f>'R.M Billets Reports'!D595</f>
      </c>
      <c r="H596">
        <f>'R.M Billets Reports'!E595</f>
      </c>
      <c r="I596">
        <f>'R.M Billets Reports'!F595</f>
      </c>
      <c r="J596">
        <f>'R.M Billets Reports'!G595</f>
      </c>
      <c r="K596">
        <f>'R.M Billets Reports'!H595</f>
      </c>
      <c r="L596">
        <f>IF('R.M Billets Reports'!I595="","",'R.M Billets Reports'!I595)</f>
      </c>
      <c r="M596">
        <f t="shared" si="18"/>
      </c>
      <c r="N596">
        <f>IF('R.M Billets Reports'!J595="","",'R.M Billets Reports'!J595)</f>
      </c>
      <c r="O596">
        <f t="shared" si="19"/>
      </c>
      <c r="P596">
        <f>IF('R.M Billets Reports'!A595="SIZE",'R.M Billets Reports'!B595,P595)</f>
      </c>
    </row>
    <row r="597" spans="1:16" x14ac:dyDescent="0.25">
      <c r="A597">
        <f>IF(OR('R.M Billets Reports'!A596="Date-",'R.M Billets Reports'!A596="Date:-"),IF(IF(IF(ISNUMBER(SEARCH("Party Name:-",'R.M Billets Reports'!D596)),TRIM('R.M Billets Reports'!F596),IF(ISNUMBER(SEARCH("Party Name-",'R.M Billets Reports'!D596)),TRIM(MID('R.M Billets Reports'!D596,SEARCH("-",'R.M Billets Reports'!D596)+1,200)),""))&lt;&gt;"",IF(ISNUMBER(SEARCH("Party Name:-",'R.M Billets Reports'!D596)),TRIM('R.M Billets Reports'!F596),IF(ISNUMBER(SEARCH("Party Name-",'R.M Billets Reports'!D596)),TRIM(MID('R.M Billets Reports'!D596,SEARCH("-",'R.M Billets Reports'!D596)+1,200)),"")),IF(ISNUMBER(SEARCH("Party Name:-",'R.M Billets Reports'!D597)),TRIM('R.M Billets Reports'!F597),IF(ISNUMBER(SEARCH("Party Name-",'R.M Billets Reports'!D597)),TRIM(MID('R.M Billets Reports'!D597,SEARCH("-",'R.M Billets Reports'!D597)+1,200)),"")))="VRKP ISPAT PVT LTD","VRKP",IF(IF(IF(ISNUMBER(SEARCH("Party Name:-",'R.M Billets Reports'!D596)),TRIM('R.M Billets Reports'!F596),IF(ISNUMBER(SEARCH("Party Name-",'R.M Billets Reports'!D596)),TRIM(MID('R.M Billets Reports'!D596,SEARCH("-",'R.M Billets Reports'!D596)+1,200)),""))&lt;&gt;"",IF(ISNUMBER(SEARCH("Party Name:-",'R.M Billets Reports'!D596)),TRIM('R.M Billets Reports'!F596),IF(ISNUMBER(SEARCH("Party Name-",'R.M Billets Reports'!D596)),TRIM(MID('R.M Billets Reports'!D596,SEARCH("-",'R.M Billets Reports'!D596)+1,200)),"")),IF(ISNUMBER(SEARCH("Party Name:-",'R.M Billets Reports'!D597)),TRIM('R.M Billets Reports'!F597),IF(ISNUMBER(SEARCH("Party Name-",'R.M Billets Reports'!D597)),TRIM(MID('R.M Billets Reports'!D597,SEARCH("-",'R.M Billets Reports'!D597)+1,200)),"")))="SHRI RADHE","SHREE RADHE",IF(IF(IF(ISNUMBER(SEARCH("Party Name:-",'R.M Billets Reports'!D596)),TRIM('R.M Billets Reports'!F596),IF(ISNUMBER(SEARCH("Party Name-",'R.M Billets Reports'!D596)),TRIM(MID('R.M Billets Reports'!D596,SEARCH("-",'R.M Billets Reports'!D596)+1,200)),""))&lt;&gt;"",IF(ISNUMBER(SEARCH("Party Name:-",'R.M Billets Reports'!D596)),TRIM('R.M Billets Reports'!F596),IF(ISNUMBER(SEARCH("Party Name-",'R.M Billets Reports'!D596)),TRIM(MID('R.M Billets Reports'!D596,SEARCH("-",'R.M Billets Reports'!D596)+1,200)),"")),IF(ISNUMBER(SEARCH("Party Name:-",'R.M Billets Reports'!D597)),TRIM('R.M Billets Reports'!F597),IF(ISNUMBER(SEARCH("Party Name-",'R.M Billets Reports'!D597)),TRIM(MID('R.M Billets Reports'!D597,SEARCH("-",'R.M Billets Reports'!D597)+1,200)),"")))="SHREE RADHE SHAKTI SPONGE AND POWER PVT. LTD.","SHREE RADHE",IF(IF(ISNUMBER(SEARCH("Party Name:-",'R.M Billets Reports'!D596)),TRIM('R.M Billets Reports'!F596),IF(ISNUMBER(SEARCH("Party Name-",'R.M Billets Reports'!D596)),TRIM(MID('R.M Billets Reports'!D596,SEARCH("-",'R.M Billets Reports'!D596)+1,200)),""))&lt;&gt;"",IF(ISNUMBER(SEARCH("Party Name:-",'R.M Billets Reports'!D596)),TRIM('R.M Billets Reports'!F596),IF(ISNUMBER(SEARCH("Party Name-",'R.M Billets Reports'!D596)),TRIM(MID('R.M Billets Reports'!D596,SEARCH("-",'R.M Billets Reports'!D596)+1,200)),"")),IF(ISNUMBER(SEARCH("Party Name:-",'R.M Billets Reports'!D597)),TRIM('R.M Billets Reports'!F597),IF(ISNUMBER(SEARCH("Party Name-",'R.M Billets Reports'!D597)),TRIM(MID('R.M Billets Reports'!D597,SEARCH("-",'R.M Billets Reports'!D597)+1,200)),"")))))),IF(ROW()=2,"",A596))</f>
      </c>
      <c r="B597">
        <f>IF(OR('R.M Billets Reports'!A596="Date-",'R.M Billets Reports'!A596="Date:-"),'R.M Billets Reports'!B596,IF(ROW()=2,"",B596))</f>
      </c>
      <c r="C597">
        <f>IF('R.M Billets Reports'!A596="V.No.",'R.M Billets Reports'!B596,IF(ROW()=2,"",C596))</f>
      </c>
      <c r="D597">
        <f>IF('R.M Billets Reports'!A596&lt;&gt;"",'R.M Billets Reports'!A596,IF(ROW()=2,"",D596))</f>
      </c>
      <c r="E597">
        <f>IF('R.M Billets Reports'!B596="","",TRIM('R.M Billets Reports'!B596))</f>
      </c>
      <c r="F597">
        <f>'R.M Billets Reports'!C596</f>
      </c>
      <c r="G597">
        <f>'R.M Billets Reports'!D596</f>
      </c>
      <c r="H597">
        <f>'R.M Billets Reports'!E596</f>
      </c>
      <c r="I597">
        <f>'R.M Billets Reports'!F596</f>
      </c>
      <c r="J597">
        <f>'R.M Billets Reports'!G596</f>
      </c>
      <c r="K597">
        <f>'R.M Billets Reports'!H596</f>
      </c>
      <c r="L597">
        <f>IF('R.M Billets Reports'!I596="","",'R.M Billets Reports'!I596)</f>
      </c>
      <c r="M597">
        <f t="shared" si="18"/>
      </c>
      <c r="N597">
        <f>IF('R.M Billets Reports'!J596="","",'R.M Billets Reports'!J596)</f>
      </c>
      <c r="O597">
        <f t="shared" si="19"/>
      </c>
      <c r="P597">
        <f>IF('R.M Billets Reports'!A596="SIZE",'R.M Billets Reports'!B596,P596)</f>
      </c>
    </row>
    <row r="598" spans="1:16" x14ac:dyDescent="0.25">
      <c r="A598">
        <f>IF(OR('R.M Billets Reports'!A597="Date-",'R.M Billets Reports'!A597="Date:-"),IF(IF(IF(ISNUMBER(SEARCH("Party Name:-",'R.M Billets Reports'!D597)),TRIM('R.M Billets Reports'!F597),IF(ISNUMBER(SEARCH("Party Name-",'R.M Billets Reports'!D597)),TRIM(MID('R.M Billets Reports'!D597,SEARCH("-",'R.M Billets Reports'!D597)+1,200)),""))&lt;&gt;"",IF(ISNUMBER(SEARCH("Party Name:-",'R.M Billets Reports'!D597)),TRIM('R.M Billets Reports'!F597),IF(ISNUMBER(SEARCH("Party Name-",'R.M Billets Reports'!D597)),TRIM(MID('R.M Billets Reports'!D597,SEARCH("-",'R.M Billets Reports'!D597)+1,200)),"")),IF(ISNUMBER(SEARCH("Party Name:-",'R.M Billets Reports'!D598)),TRIM('R.M Billets Reports'!F598),IF(ISNUMBER(SEARCH("Party Name-",'R.M Billets Reports'!D598)),TRIM(MID('R.M Billets Reports'!D598,SEARCH("-",'R.M Billets Reports'!D598)+1,200)),"")))="VRKP ISPAT PVT LTD","VRKP",IF(IF(IF(ISNUMBER(SEARCH("Party Name:-",'R.M Billets Reports'!D597)),TRIM('R.M Billets Reports'!F597),IF(ISNUMBER(SEARCH("Party Name-",'R.M Billets Reports'!D597)),TRIM(MID('R.M Billets Reports'!D597,SEARCH("-",'R.M Billets Reports'!D597)+1,200)),""))&lt;&gt;"",IF(ISNUMBER(SEARCH("Party Name:-",'R.M Billets Reports'!D597)),TRIM('R.M Billets Reports'!F597),IF(ISNUMBER(SEARCH("Party Name-",'R.M Billets Reports'!D597)),TRIM(MID('R.M Billets Reports'!D597,SEARCH("-",'R.M Billets Reports'!D597)+1,200)),"")),IF(ISNUMBER(SEARCH("Party Name:-",'R.M Billets Reports'!D598)),TRIM('R.M Billets Reports'!F598),IF(ISNUMBER(SEARCH("Party Name-",'R.M Billets Reports'!D598)),TRIM(MID('R.M Billets Reports'!D598,SEARCH("-",'R.M Billets Reports'!D598)+1,200)),"")))="SHRI RADHE","SHREE RADHE",IF(IF(IF(ISNUMBER(SEARCH("Party Name:-",'R.M Billets Reports'!D597)),TRIM('R.M Billets Reports'!F597),IF(ISNUMBER(SEARCH("Party Name-",'R.M Billets Reports'!D597)),TRIM(MID('R.M Billets Reports'!D597,SEARCH("-",'R.M Billets Reports'!D597)+1,200)),""))&lt;&gt;"",IF(ISNUMBER(SEARCH("Party Name:-",'R.M Billets Reports'!D597)),TRIM('R.M Billets Reports'!F597),IF(ISNUMBER(SEARCH("Party Name-",'R.M Billets Reports'!D597)),TRIM(MID('R.M Billets Reports'!D597,SEARCH("-",'R.M Billets Reports'!D597)+1,200)),"")),IF(ISNUMBER(SEARCH("Party Name:-",'R.M Billets Reports'!D598)),TRIM('R.M Billets Reports'!F598),IF(ISNUMBER(SEARCH("Party Name-",'R.M Billets Reports'!D598)),TRIM(MID('R.M Billets Reports'!D598,SEARCH("-",'R.M Billets Reports'!D598)+1,200)),"")))="SHREE RADHE SHAKTI SPONGE AND POWER PVT. LTD.","SHREE RADHE",IF(IF(ISNUMBER(SEARCH("Party Name:-",'R.M Billets Reports'!D597)),TRIM('R.M Billets Reports'!F597),IF(ISNUMBER(SEARCH("Party Name-",'R.M Billets Reports'!D597)),TRIM(MID('R.M Billets Reports'!D597,SEARCH("-",'R.M Billets Reports'!D597)+1,200)),""))&lt;&gt;"",IF(ISNUMBER(SEARCH("Party Name:-",'R.M Billets Reports'!D597)),TRIM('R.M Billets Reports'!F597),IF(ISNUMBER(SEARCH("Party Name-",'R.M Billets Reports'!D597)),TRIM(MID('R.M Billets Reports'!D597,SEARCH("-",'R.M Billets Reports'!D597)+1,200)),"")),IF(ISNUMBER(SEARCH("Party Name:-",'R.M Billets Reports'!D598)),TRIM('R.M Billets Reports'!F598),IF(ISNUMBER(SEARCH("Party Name-",'R.M Billets Reports'!D598)),TRIM(MID('R.M Billets Reports'!D598,SEARCH("-",'R.M Billets Reports'!D598)+1,200)),"")))))),IF(ROW()=2,"",A597))</f>
      </c>
      <c r="B598">
        <f>IF(OR('R.M Billets Reports'!A597="Date-",'R.M Billets Reports'!A597="Date:-"),'R.M Billets Reports'!B597,IF(ROW()=2,"",B597))</f>
      </c>
      <c r="C598">
        <f>IF('R.M Billets Reports'!A597="V.No.",'R.M Billets Reports'!B597,IF(ROW()=2,"",C597))</f>
      </c>
      <c r="D598">
        <f>IF('R.M Billets Reports'!A597&lt;&gt;"",'R.M Billets Reports'!A597,IF(ROW()=2,"",D597))</f>
      </c>
      <c r="E598">
        <f>IF('R.M Billets Reports'!B597="","",TRIM('R.M Billets Reports'!B597))</f>
      </c>
      <c r="F598">
        <f>'R.M Billets Reports'!C597</f>
      </c>
      <c r="G598">
        <f>'R.M Billets Reports'!D597</f>
      </c>
      <c r="H598">
        <f>'R.M Billets Reports'!E597</f>
      </c>
      <c r="I598">
        <f>'R.M Billets Reports'!F597</f>
      </c>
      <c r="J598">
        <f>'R.M Billets Reports'!G597</f>
      </c>
      <c r="K598">
        <f>'R.M Billets Reports'!H597</f>
      </c>
      <c r="L598">
        <f>IF('R.M Billets Reports'!I597="","",'R.M Billets Reports'!I597)</f>
      </c>
      <c r="M598">
        <f t="shared" si="18"/>
      </c>
      <c r="N598">
        <f>IF('R.M Billets Reports'!J597="","",'R.M Billets Reports'!J597)</f>
      </c>
      <c r="O598">
        <f t="shared" si="19"/>
      </c>
      <c r="P598">
        <f>IF('R.M Billets Reports'!A597="SIZE",'R.M Billets Reports'!B597,P597)</f>
      </c>
    </row>
    <row r="599" spans="1:16" x14ac:dyDescent="0.25">
      <c r="A599">
        <f>IF(OR('R.M Billets Reports'!A598="Date-",'R.M Billets Reports'!A598="Date:-"),IF(IF(IF(ISNUMBER(SEARCH("Party Name:-",'R.M Billets Reports'!D598)),TRIM('R.M Billets Reports'!F598),IF(ISNUMBER(SEARCH("Party Name-",'R.M Billets Reports'!D598)),TRIM(MID('R.M Billets Reports'!D598,SEARCH("-",'R.M Billets Reports'!D598)+1,200)),""))&lt;&gt;"",IF(ISNUMBER(SEARCH("Party Name:-",'R.M Billets Reports'!D598)),TRIM('R.M Billets Reports'!F598),IF(ISNUMBER(SEARCH("Party Name-",'R.M Billets Reports'!D598)),TRIM(MID('R.M Billets Reports'!D598,SEARCH("-",'R.M Billets Reports'!D598)+1,200)),"")),IF(ISNUMBER(SEARCH("Party Name:-",'R.M Billets Reports'!D599)),TRIM('R.M Billets Reports'!F599),IF(ISNUMBER(SEARCH("Party Name-",'R.M Billets Reports'!D599)),TRIM(MID('R.M Billets Reports'!D599,SEARCH("-",'R.M Billets Reports'!D599)+1,200)),"")))="VRKP ISPAT PVT LTD","VRKP",IF(IF(IF(ISNUMBER(SEARCH("Party Name:-",'R.M Billets Reports'!D598)),TRIM('R.M Billets Reports'!F598),IF(ISNUMBER(SEARCH("Party Name-",'R.M Billets Reports'!D598)),TRIM(MID('R.M Billets Reports'!D598,SEARCH("-",'R.M Billets Reports'!D598)+1,200)),""))&lt;&gt;"",IF(ISNUMBER(SEARCH("Party Name:-",'R.M Billets Reports'!D598)),TRIM('R.M Billets Reports'!F598),IF(ISNUMBER(SEARCH("Party Name-",'R.M Billets Reports'!D598)),TRIM(MID('R.M Billets Reports'!D598,SEARCH("-",'R.M Billets Reports'!D598)+1,200)),"")),IF(ISNUMBER(SEARCH("Party Name:-",'R.M Billets Reports'!D599)),TRIM('R.M Billets Reports'!F599),IF(ISNUMBER(SEARCH("Party Name-",'R.M Billets Reports'!D599)),TRIM(MID('R.M Billets Reports'!D599,SEARCH("-",'R.M Billets Reports'!D599)+1,200)),"")))="SHRI RADHE","SHREE RADHE",IF(IF(IF(ISNUMBER(SEARCH("Party Name:-",'R.M Billets Reports'!D598)),TRIM('R.M Billets Reports'!F598),IF(ISNUMBER(SEARCH("Party Name-",'R.M Billets Reports'!D598)),TRIM(MID('R.M Billets Reports'!D598,SEARCH("-",'R.M Billets Reports'!D598)+1,200)),""))&lt;&gt;"",IF(ISNUMBER(SEARCH("Party Name:-",'R.M Billets Reports'!D598)),TRIM('R.M Billets Reports'!F598),IF(ISNUMBER(SEARCH("Party Name-",'R.M Billets Reports'!D598)),TRIM(MID('R.M Billets Reports'!D598,SEARCH("-",'R.M Billets Reports'!D598)+1,200)),"")),IF(ISNUMBER(SEARCH("Party Name:-",'R.M Billets Reports'!D599)),TRIM('R.M Billets Reports'!F599),IF(ISNUMBER(SEARCH("Party Name-",'R.M Billets Reports'!D599)),TRIM(MID('R.M Billets Reports'!D599,SEARCH("-",'R.M Billets Reports'!D599)+1,200)),"")))="SHREE RADHE SHAKTI SPONGE AND POWER PVT. LTD.","SHREE RADHE",IF(IF(ISNUMBER(SEARCH("Party Name:-",'R.M Billets Reports'!D598)),TRIM('R.M Billets Reports'!F598),IF(ISNUMBER(SEARCH("Party Name-",'R.M Billets Reports'!D598)),TRIM(MID('R.M Billets Reports'!D598,SEARCH("-",'R.M Billets Reports'!D598)+1,200)),""))&lt;&gt;"",IF(ISNUMBER(SEARCH("Party Name:-",'R.M Billets Reports'!D598)),TRIM('R.M Billets Reports'!F598),IF(ISNUMBER(SEARCH("Party Name-",'R.M Billets Reports'!D598)),TRIM(MID('R.M Billets Reports'!D598,SEARCH("-",'R.M Billets Reports'!D598)+1,200)),"")),IF(ISNUMBER(SEARCH("Party Name:-",'R.M Billets Reports'!D599)),TRIM('R.M Billets Reports'!F599),IF(ISNUMBER(SEARCH("Party Name-",'R.M Billets Reports'!D599)),TRIM(MID('R.M Billets Reports'!D599,SEARCH("-",'R.M Billets Reports'!D599)+1,200)),"")))))),IF(ROW()=2,"",A598))</f>
      </c>
      <c r="B599">
        <f>IF(OR('R.M Billets Reports'!A598="Date-",'R.M Billets Reports'!A598="Date:-"),'R.M Billets Reports'!B598,IF(ROW()=2,"",B598))</f>
      </c>
      <c r="C599">
        <f>IF('R.M Billets Reports'!A598="V.No.",'R.M Billets Reports'!B598,IF(ROW()=2,"",C598))</f>
      </c>
      <c r="D599">
        <f>IF('R.M Billets Reports'!A598&lt;&gt;"",'R.M Billets Reports'!A598,IF(ROW()=2,"",D598))</f>
      </c>
      <c r="E599">
        <f>IF('R.M Billets Reports'!B598="","",TRIM('R.M Billets Reports'!B598))</f>
      </c>
      <c r="F599">
        <f>'R.M Billets Reports'!C598</f>
      </c>
      <c r="G599">
        <f>'R.M Billets Reports'!D598</f>
      </c>
      <c r="H599">
        <f>'R.M Billets Reports'!E598</f>
      </c>
      <c r="I599">
        <f>'R.M Billets Reports'!F598</f>
      </c>
      <c r="J599">
        <f>'R.M Billets Reports'!G598</f>
      </c>
      <c r="K599">
        <f>'R.M Billets Reports'!H598</f>
      </c>
      <c r="L599">
        <f>IF('R.M Billets Reports'!I598="","",'R.M Billets Reports'!I598)</f>
      </c>
      <c r="M599">
        <f t="shared" si="18"/>
      </c>
      <c r="N599">
        <f>IF('R.M Billets Reports'!J598="","",'R.M Billets Reports'!J598)</f>
      </c>
      <c r="O599">
        <f t="shared" si="19"/>
      </c>
      <c r="P599">
        <f>IF('R.M Billets Reports'!A598="SIZE",'R.M Billets Reports'!B598,P598)</f>
      </c>
    </row>
    <row r="600" spans="1:16" x14ac:dyDescent="0.25">
      <c r="A600">
        <f>IF(OR('R.M Billets Reports'!A599="Date-",'R.M Billets Reports'!A599="Date:-"),IF(IF(IF(ISNUMBER(SEARCH("Party Name:-",'R.M Billets Reports'!D599)),TRIM('R.M Billets Reports'!F599),IF(ISNUMBER(SEARCH("Party Name-",'R.M Billets Reports'!D599)),TRIM(MID('R.M Billets Reports'!D599,SEARCH("-",'R.M Billets Reports'!D599)+1,200)),""))&lt;&gt;"",IF(ISNUMBER(SEARCH("Party Name:-",'R.M Billets Reports'!D599)),TRIM('R.M Billets Reports'!F599),IF(ISNUMBER(SEARCH("Party Name-",'R.M Billets Reports'!D599)),TRIM(MID('R.M Billets Reports'!D599,SEARCH("-",'R.M Billets Reports'!D599)+1,200)),"")),IF(ISNUMBER(SEARCH("Party Name:-",'R.M Billets Reports'!D600)),TRIM('R.M Billets Reports'!F600),IF(ISNUMBER(SEARCH("Party Name-",'R.M Billets Reports'!D600)),TRIM(MID('R.M Billets Reports'!D600,SEARCH("-",'R.M Billets Reports'!D600)+1,200)),"")))="VRKP ISPAT PVT LTD","VRKP",IF(IF(IF(ISNUMBER(SEARCH("Party Name:-",'R.M Billets Reports'!D599)),TRIM('R.M Billets Reports'!F599),IF(ISNUMBER(SEARCH("Party Name-",'R.M Billets Reports'!D599)),TRIM(MID('R.M Billets Reports'!D599,SEARCH("-",'R.M Billets Reports'!D599)+1,200)),""))&lt;&gt;"",IF(ISNUMBER(SEARCH("Party Name:-",'R.M Billets Reports'!D599)),TRIM('R.M Billets Reports'!F599),IF(ISNUMBER(SEARCH("Party Name-",'R.M Billets Reports'!D599)),TRIM(MID('R.M Billets Reports'!D599,SEARCH("-",'R.M Billets Reports'!D599)+1,200)),"")),IF(ISNUMBER(SEARCH("Party Name:-",'R.M Billets Reports'!D600)),TRIM('R.M Billets Reports'!F600),IF(ISNUMBER(SEARCH("Party Name-",'R.M Billets Reports'!D600)),TRIM(MID('R.M Billets Reports'!D600,SEARCH("-",'R.M Billets Reports'!D600)+1,200)),"")))="SHRI RADHE","SHREE RADHE",IF(IF(IF(ISNUMBER(SEARCH("Party Name:-",'R.M Billets Reports'!D599)),TRIM('R.M Billets Reports'!F599),IF(ISNUMBER(SEARCH("Party Name-",'R.M Billets Reports'!D599)),TRIM(MID('R.M Billets Reports'!D599,SEARCH("-",'R.M Billets Reports'!D599)+1,200)),""))&lt;&gt;"",IF(ISNUMBER(SEARCH("Party Name:-",'R.M Billets Reports'!D599)),TRIM('R.M Billets Reports'!F599),IF(ISNUMBER(SEARCH("Party Name-",'R.M Billets Reports'!D599)),TRIM(MID('R.M Billets Reports'!D599,SEARCH("-",'R.M Billets Reports'!D599)+1,200)),"")),IF(ISNUMBER(SEARCH("Party Name:-",'R.M Billets Reports'!D600)),TRIM('R.M Billets Reports'!F600),IF(ISNUMBER(SEARCH("Party Name-",'R.M Billets Reports'!D600)),TRIM(MID('R.M Billets Reports'!D600,SEARCH("-",'R.M Billets Reports'!D600)+1,200)),"")))="SHREE RADHE SHAKTI SPONGE AND POWER PVT. LTD.","SHREE RADHE",IF(IF(ISNUMBER(SEARCH("Party Name:-",'R.M Billets Reports'!D599)),TRIM('R.M Billets Reports'!F599),IF(ISNUMBER(SEARCH("Party Name-",'R.M Billets Reports'!D599)),TRIM(MID('R.M Billets Reports'!D599,SEARCH("-",'R.M Billets Reports'!D599)+1,200)),""))&lt;&gt;"",IF(ISNUMBER(SEARCH("Party Name:-",'R.M Billets Reports'!D599)),TRIM('R.M Billets Reports'!F599),IF(ISNUMBER(SEARCH("Party Name-",'R.M Billets Reports'!D599)),TRIM(MID('R.M Billets Reports'!D599,SEARCH("-",'R.M Billets Reports'!D599)+1,200)),"")),IF(ISNUMBER(SEARCH("Party Name:-",'R.M Billets Reports'!D600)),TRIM('R.M Billets Reports'!F600),IF(ISNUMBER(SEARCH("Party Name-",'R.M Billets Reports'!D600)),TRIM(MID('R.M Billets Reports'!D600,SEARCH("-",'R.M Billets Reports'!D600)+1,200)),"")))))),IF(ROW()=2,"",A599))</f>
      </c>
      <c r="B600">
        <f>IF(OR('R.M Billets Reports'!A599="Date-",'R.M Billets Reports'!A599="Date:-"),'R.M Billets Reports'!B599,IF(ROW()=2,"",B599))</f>
      </c>
      <c r="C600">
        <f>IF('R.M Billets Reports'!A599="V.No.",'R.M Billets Reports'!B599,IF(ROW()=2,"",C599))</f>
      </c>
      <c r="D600">
        <f>IF('R.M Billets Reports'!A599&lt;&gt;"",'R.M Billets Reports'!A599,IF(ROW()=2,"",D599))</f>
      </c>
      <c r="E600">
        <f>IF('R.M Billets Reports'!B599="","",TRIM('R.M Billets Reports'!B599))</f>
      </c>
      <c r="F600">
        <f>'R.M Billets Reports'!C599</f>
      </c>
      <c r="G600">
        <f>'R.M Billets Reports'!D599</f>
      </c>
      <c r="H600">
        <f>'R.M Billets Reports'!E599</f>
      </c>
      <c r="I600">
        <f>'R.M Billets Reports'!F599</f>
      </c>
      <c r="J600">
        <f>'R.M Billets Reports'!G599</f>
      </c>
      <c r="K600">
        <f>'R.M Billets Reports'!H599</f>
      </c>
      <c r="L600">
        <f>IF('R.M Billets Reports'!I599="","",'R.M Billets Reports'!I599)</f>
      </c>
      <c r="M600">
        <f t="shared" si="18"/>
      </c>
      <c r="N600">
        <f>IF('R.M Billets Reports'!J599="","",'R.M Billets Reports'!J599)</f>
      </c>
      <c r="O600">
        <f t="shared" si="19"/>
      </c>
      <c r="P600">
        <f>IF('R.M Billets Reports'!A599="SIZE",'R.M Billets Reports'!B599,P599)</f>
      </c>
    </row>
    <row r="601" spans="1:16" x14ac:dyDescent="0.25">
      <c r="A601">
        <f>IF(OR('R.M Billets Reports'!A600="Date-",'R.M Billets Reports'!A600="Date:-"),IF(IF(IF(ISNUMBER(SEARCH("Party Name:-",'R.M Billets Reports'!D600)),TRIM('R.M Billets Reports'!F600),IF(ISNUMBER(SEARCH("Party Name-",'R.M Billets Reports'!D600)),TRIM(MID('R.M Billets Reports'!D600,SEARCH("-",'R.M Billets Reports'!D600)+1,200)),""))&lt;&gt;"",IF(ISNUMBER(SEARCH("Party Name:-",'R.M Billets Reports'!D600)),TRIM('R.M Billets Reports'!F600),IF(ISNUMBER(SEARCH("Party Name-",'R.M Billets Reports'!D600)),TRIM(MID('R.M Billets Reports'!D600,SEARCH("-",'R.M Billets Reports'!D600)+1,200)),"")),IF(ISNUMBER(SEARCH("Party Name:-",'R.M Billets Reports'!D601)),TRIM('R.M Billets Reports'!F601),IF(ISNUMBER(SEARCH("Party Name-",'R.M Billets Reports'!D601)),TRIM(MID('R.M Billets Reports'!D601,SEARCH("-",'R.M Billets Reports'!D601)+1,200)),"")))="VRKP ISPAT PVT LTD","VRKP",IF(IF(IF(ISNUMBER(SEARCH("Party Name:-",'R.M Billets Reports'!D600)),TRIM('R.M Billets Reports'!F600),IF(ISNUMBER(SEARCH("Party Name-",'R.M Billets Reports'!D600)),TRIM(MID('R.M Billets Reports'!D600,SEARCH("-",'R.M Billets Reports'!D600)+1,200)),""))&lt;&gt;"",IF(ISNUMBER(SEARCH("Party Name:-",'R.M Billets Reports'!D600)),TRIM('R.M Billets Reports'!F600),IF(ISNUMBER(SEARCH("Party Name-",'R.M Billets Reports'!D600)),TRIM(MID('R.M Billets Reports'!D600,SEARCH("-",'R.M Billets Reports'!D600)+1,200)),"")),IF(ISNUMBER(SEARCH("Party Name:-",'R.M Billets Reports'!D601)),TRIM('R.M Billets Reports'!F601),IF(ISNUMBER(SEARCH("Party Name-",'R.M Billets Reports'!D601)),TRIM(MID('R.M Billets Reports'!D601,SEARCH("-",'R.M Billets Reports'!D601)+1,200)),"")))="SHRI RADHE","SHREE RADHE",IF(IF(IF(ISNUMBER(SEARCH("Party Name:-",'R.M Billets Reports'!D600)),TRIM('R.M Billets Reports'!F600),IF(ISNUMBER(SEARCH("Party Name-",'R.M Billets Reports'!D600)),TRIM(MID('R.M Billets Reports'!D600,SEARCH("-",'R.M Billets Reports'!D600)+1,200)),""))&lt;&gt;"",IF(ISNUMBER(SEARCH("Party Name:-",'R.M Billets Reports'!D600)),TRIM('R.M Billets Reports'!F600),IF(ISNUMBER(SEARCH("Party Name-",'R.M Billets Reports'!D600)),TRIM(MID('R.M Billets Reports'!D600,SEARCH("-",'R.M Billets Reports'!D600)+1,200)),"")),IF(ISNUMBER(SEARCH("Party Name:-",'R.M Billets Reports'!D601)),TRIM('R.M Billets Reports'!F601),IF(ISNUMBER(SEARCH("Party Name-",'R.M Billets Reports'!D601)),TRIM(MID('R.M Billets Reports'!D601,SEARCH("-",'R.M Billets Reports'!D601)+1,200)),"")))="SHREE RADHE SHAKTI SPONGE AND POWER PVT. LTD.","SHREE RADHE",IF(IF(ISNUMBER(SEARCH("Party Name:-",'R.M Billets Reports'!D600)),TRIM('R.M Billets Reports'!F600),IF(ISNUMBER(SEARCH("Party Name-",'R.M Billets Reports'!D600)),TRIM(MID('R.M Billets Reports'!D600,SEARCH("-",'R.M Billets Reports'!D600)+1,200)),""))&lt;&gt;"",IF(ISNUMBER(SEARCH("Party Name:-",'R.M Billets Reports'!D600)),TRIM('R.M Billets Reports'!F600),IF(ISNUMBER(SEARCH("Party Name-",'R.M Billets Reports'!D600)),TRIM(MID('R.M Billets Reports'!D600,SEARCH("-",'R.M Billets Reports'!D600)+1,200)),"")),IF(ISNUMBER(SEARCH("Party Name:-",'R.M Billets Reports'!D601)),TRIM('R.M Billets Reports'!F601),IF(ISNUMBER(SEARCH("Party Name-",'R.M Billets Reports'!D601)),TRIM(MID('R.M Billets Reports'!D601,SEARCH("-",'R.M Billets Reports'!D601)+1,200)),"")))))),IF(ROW()=2,"",A600))</f>
      </c>
      <c r="B601">
        <f>IF(OR('R.M Billets Reports'!A600="Date-",'R.M Billets Reports'!A600="Date:-"),'R.M Billets Reports'!B600,IF(ROW()=2,"",B600))</f>
      </c>
      <c r="C601">
        <f>IF('R.M Billets Reports'!A600="V.No.",'R.M Billets Reports'!B600,IF(ROW()=2,"",C600))</f>
      </c>
      <c r="D601">
        <f>IF('R.M Billets Reports'!A600&lt;&gt;"",'R.M Billets Reports'!A600,IF(ROW()=2,"",D600))</f>
      </c>
      <c r="E601">
        <f>IF('R.M Billets Reports'!B600="","",TRIM('R.M Billets Reports'!B600))</f>
      </c>
      <c r="F601">
        <f>'R.M Billets Reports'!C600</f>
      </c>
      <c r="G601">
        <f>'R.M Billets Reports'!D600</f>
      </c>
      <c r="H601">
        <f>'R.M Billets Reports'!E600</f>
      </c>
      <c r="I601">
        <f>'R.M Billets Reports'!F600</f>
      </c>
      <c r="J601">
        <f>'R.M Billets Reports'!G600</f>
      </c>
      <c r="K601">
        <f>'R.M Billets Reports'!H600</f>
      </c>
      <c r="L601">
        <f>IF('R.M Billets Reports'!I600="","",'R.M Billets Reports'!I600)</f>
      </c>
      <c r="M601">
        <f t="shared" si="18"/>
      </c>
      <c r="N601">
        <f>IF('R.M Billets Reports'!J600="","",'R.M Billets Reports'!J600)</f>
      </c>
      <c r="O601">
        <f t="shared" si="19"/>
      </c>
      <c r="P601">
        <f>IF('R.M Billets Reports'!A600="SIZE",'R.M Billets Reports'!B600,P600)</f>
      </c>
    </row>
    <row r="602" spans="1:16" x14ac:dyDescent="0.25">
      <c r="A602">
        <f>IF(OR('R.M Billets Reports'!A601="Date-",'R.M Billets Reports'!A601="Date:-"),IF(IF(IF(ISNUMBER(SEARCH("Party Name:-",'R.M Billets Reports'!D601)),TRIM('R.M Billets Reports'!F601),IF(ISNUMBER(SEARCH("Party Name-",'R.M Billets Reports'!D601)),TRIM(MID('R.M Billets Reports'!D601,SEARCH("-",'R.M Billets Reports'!D601)+1,200)),""))&lt;&gt;"",IF(ISNUMBER(SEARCH("Party Name:-",'R.M Billets Reports'!D601)),TRIM('R.M Billets Reports'!F601),IF(ISNUMBER(SEARCH("Party Name-",'R.M Billets Reports'!D601)),TRIM(MID('R.M Billets Reports'!D601,SEARCH("-",'R.M Billets Reports'!D601)+1,200)),"")),IF(ISNUMBER(SEARCH("Party Name:-",'R.M Billets Reports'!D602)),TRIM('R.M Billets Reports'!F602),IF(ISNUMBER(SEARCH("Party Name-",'R.M Billets Reports'!D602)),TRIM(MID('R.M Billets Reports'!D602,SEARCH("-",'R.M Billets Reports'!D602)+1,200)),"")))="VRKP ISPAT PVT LTD","VRKP",IF(IF(IF(ISNUMBER(SEARCH("Party Name:-",'R.M Billets Reports'!D601)),TRIM('R.M Billets Reports'!F601),IF(ISNUMBER(SEARCH("Party Name-",'R.M Billets Reports'!D601)),TRIM(MID('R.M Billets Reports'!D601,SEARCH("-",'R.M Billets Reports'!D601)+1,200)),""))&lt;&gt;"",IF(ISNUMBER(SEARCH("Party Name:-",'R.M Billets Reports'!D601)),TRIM('R.M Billets Reports'!F601),IF(ISNUMBER(SEARCH("Party Name-",'R.M Billets Reports'!D601)),TRIM(MID('R.M Billets Reports'!D601,SEARCH("-",'R.M Billets Reports'!D601)+1,200)),"")),IF(ISNUMBER(SEARCH("Party Name:-",'R.M Billets Reports'!D602)),TRIM('R.M Billets Reports'!F602),IF(ISNUMBER(SEARCH("Party Name-",'R.M Billets Reports'!D602)),TRIM(MID('R.M Billets Reports'!D602,SEARCH("-",'R.M Billets Reports'!D602)+1,200)),"")))="SHRI RADHE","SHREE RADHE",IF(IF(IF(ISNUMBER(SEARCH("Party Name:-",'R.M Billets Reports'!D601)),TRIM('R.M Billets Reports'!F601),IF(ISNUMBER(SEARCH("Party Name-",'R.M Billets Reports'!D601)),TRIM(MID('R.M Billets Reports'!D601,SEARCH("-",'R.M Billets Reports'!D601)+1,200)),""))&lt;&gt;"",IF(ISNUMBER(SEARCH("Party Name:-",'R.M Billets Reports'!D601)),TRIM('R.M Billets Reports'!F601),IF(ISNUMBER(SEARCH("Party Name-",'R.M Billets Reports'!D601)),TRIM(MID('R.M Billets Reports'!D601,SEARCH("-",'R.M Billets Reports'!D601)+1,200)),"")),IF(ISNUMBER(SEARCH("Party Name:-",'R.M Billets Reports'!D602)),TRIM('R.M Billets Reports'!F602),IF(ISNUMBER(SEARCH("Party Name-",'R.M Billets Reports'!D602)),TRIM(MID('R.M Billets Reports'!D602,SEARCH("-",'R.M Billets Reports'!D602)+1,200)),"")))="SHREE RADHE SHAKTI SPONGE AND POWER PVT. LTD.","SHREE RADHE",IF(IF(ISNUMBER(SEARCH("Party Name:-",'R.M Billets Reports'!D601)),TRIM('R.M Billets Reports'!F601),IF(ISNUMBER(SEARCH("Party Name-",'R.M Billets Reports'!D601)),TRIM(MID('R.M Billets Reports'!D601,SEARCH("-",'R.M Billets Reports'!D601)+1,200)),""))&lt;&gt;"",IF(ISNUMBER(SEARCH("Party Name:-",'R.M Billets Reports'!D601)),TRIM('R.M Billets Reports'!F601),IF(ISNUMBER(SEARCH("Party Name-",'R.M Billets Reports'!D601)),TRIM(MID('R.M Billets Reports'!D601,SEARCH("-",'R.M Billets Reports'!D601)+1,200)),"")),IF(ISNUMBER(SEARCH("Party Name:-",'R.M Billets Reports'!D602)),TRIM('R.M Billets Reports'!F602),IF(ISNUMBER(SEARCH("Party Name-",'R.M Billets Reports'!D602)),TRIM(MID('R.M Billets Reports'!D602,SEARCH("-",'R.M Billets Reports'!D602)+1,200)),"")))))),IF(ROW()=2,"",A601))</f>
      </c>
      <c r="B602">
        <f>IF(OR('R.M Billets Reports'!A601="Date-",'R.M Billets Reports'!A601="Date:-"),'R.M Billets Reports'!B601,IF(ROW()=2,"",B601))</f>
      </c>
      <c r="C602">
        <f>IF('R.M Billets Reports'!A601="V.No.",'R.M Billets Reports'!B601,IF(ROW()=2,"",C601))</f>
      </c>
      <c r="D602">
        <f>IF('R.M Billets Reports'!A601&lt;&gt;"",'R.M Billets Reports'!A601,IF(ROW()=2,"",D601))</f>
      </c>
      <c r="E602">
        <f>IF('R.M Billets Reports'!B601="","",TRIM('R.M Billets Reports'!B601))</f>
      </c>
      <c r="F602">
        <f>'R.M Billets Reports'!C601</f>
      </c>
      <c r="G602">
        <f>'R.M Billets Reports'!D601</f>
      </c>
      <c r="H602">
        <f>'R.M Billets Reports'!E601</f>
      </c>
      <c r="I602">
        <f>'R.M Billets Reports'!F601</f>
      </c>
      <c r="J602">
        <f>'R.M Billets Reports'!G601</f>
      </c>
      <c r="K602">
        <f>'R.M Billets Reports'!H601</f>
      </c>
      <c r="L602">
        <f>IF('R.M Billets Reports'!I601="","",'R.M Billets Reports'!I601)</f>
      </c>
      <c r="M602">
        <f t="shared" si="18"/>
      </c>
      <c r="N602">
        <f>IF('R.M Billets Reports'!J601="","",'R.M Billets Reports'!J601)</f>
      </c>
      <c r="O602">
        <f t="shared" si="19"/>
      </c>
      <c r="P602">
        <f>IF('R.M Billets Reports'!A601="SIZE",'R.M Billets Reports'!B601,P601)</f>
      </c>
    </row>
    <row r="603" spans="1:16" x14ac:dyDescent="0.25">
      <c r="A603">
        <f>IF(OR('R.M Billets Reports'!A602="Date-",'R.M Billets Reports'!A602="Date:-"),IF(IF(IF(ISNUMBER(SEARCH("Party Name:-",'R.M Billets Reports'!D602)),TRIM('R.M Billets Reports'!F602),IF(ISNUMBER(SEARCH("Party Name-",'R.M Billets Reports'!D602)),TRIM(MID('R.M Billets Reports'!D602,SEARCH("-",'R.M Billets Reports'!D602)+1,200)),""))&lt;&gt;"",IF(ISNUMBER(SEARCH("Party Name:-",'R.M Billets Reports'!D602)),TRIM('R.M Billets Reports'!F602),IF(ISNUMBER(SEARCH("Party Name-",'R.M Billets Reports'!D602)),TRIM(MID('R.M Billets Reports'!D602,SEARCH("-",'R.M Billets Reports'!D602)+1,200)),"")),IF(ISNUMBER(SEARCH("Party Name:-",'R.M Billets Reports'!D603)),TRIM('R.M Billets Reports'!F603),IF(ISNUMBER(SEARCH("Party Name-",'R.M Billets Reports'!D603)),TRIM(MID('R.M Billets Reports'!D603,SEARCH("-",'R.M Billets Reports'!D603)+1,200)),"")))="VRKP ISPAT PVT LTD","VRKP",IF(IF(IF(ISNUMBER(SEARCH("Party Name:-",'R.M Billets Reports'!D602)),TRIM('R.M Billets Reports'!F602),IF(ISNUMBER(SEARCH("Party Name-",'R.M Billets Reports'!D602)),TRIM(MID('R.M Billets Reports'!D602,SEARCH("-",'R.M Billets Reports'!D602)+1,200)),""))&lt;&gt;"",IF(ISNUMBER(SEARCH("Party Name:-",'R.M Billets Reports'!D602)),TRIM('R.M Billets Reports'!F602),IF(ISNUMBER(SEARCH("Party Name-",'R.M Billets Reports'!D602)),TRIM(MID('R.M Billets Reports'!D602,SEARCH("-",'R.M Billets Reports'!D602)+1,200)),"")),IF(ISNUMBER(SEARCH("Party Name:-",'R.M Billets Reports'!D603)),TRIM('R.M Billets Reports'!F603),IF(ISNUMBER(SEARCH("Party Name-",'R.M Billets Reports'!D603)),TRIM(MID('R.M Billets Reports'!D603,SEARCH("-",'R.M Billets Reports'!D603)+1,200)),"")))="SHRI RADHE","SHREE RADHE",IF(IF(IF(ISNUMBER(SEARCH("Party Name:-",'R.M Billets Reports'!D602)),TRIM('R.M Billets Reports'!F602),IF(ISNUMBER(SEARCH("Party Name-",'R.M Billets Reports'!D602)),TRIM(MID('R.M Billets Reports'!D602,SEARCH("-",'R.M Billets Reports'!D602)+1,200)),""))&lt;&gt;"",IF(ISNUMBER(SEARCH("Party Name:-",'R.M Billets Reports'!D602)),TRIM('R.M Billets Reports'!F602),IF(ISNUMBER(SEARCH("Party Name-",'R.M Billets Reports'!D602)),TRIM(MID('R.M Billets Reports'!D602,SEARCH("-",'R.M Billets Reports'!D602)+1,200)),"")),IF(ISNUMBER(SEARCH("Party Name:-",'R.M Billets Reports'!D603)),TRIM('R.M Billets Reports'!F603),IF(ISNUMBER(SEARCH("Party Name-",'R.M Billets Reports'!D603)),TRIM(MID('R.M Billets Reports'!D603,SEARCH("-",'R.M Billets Reports'!D603)+1,200)),"")))="SHREE RADHE SHAKTI SPONGE AND POWER PVT. LTD.","SHREE RADHE",IF(IF(ISNUMBER(SEARCH("Party Name:-",'R.M Billets Reports'!D602)),TRIM('R.M Billets Reports'!F602),IF(ISNUMBER(SEARCH("Party Name-",'R.M Billets Reports'!D602)),TRIM(MID('R.M Billets Reports'!D602,SEARCH("-",'R.M Billets Reports'!D602)+1,200)),""))&lt;&gt;"",IF(ISNUMBER(SEARCH("Party Name:-",'R.M Billets Reports'!D602)),TRIM('R.M Billets Reports'!F602),IF(ISNUMBER(SEARCH("Party Name-",'R.M Billets Reports'!D602)),TRIM(MID('R.M Billets Reports'!D602,SEARCH("-",'R.M Billets Reports'!D602)+1,200)),"")),IF(ISNUMBER(SEARCH("Party Name:-",'R.M Billets Reports'!D603)),TRIM('R.M Billets Reports'!F603),IF(ISNUMBER(SEARCH("Party Name-",'R.M Billets Reports'!D603)),TRIM(MID('R.M Billets Reports'!D603,SEARCH("-",'R.M Billets Reports'!D603)+1,200)),"")))))),IF(ROW()=2,"",A602))</f>
      </c>
      <c r="B603">
        <f>IF(OR('R.M Billets Reports'!A602="Date-",'R.M Billets Reports'!A602="Date:-"),'R.M Billets Reports'!B602,IF(ROW()=2,"",B602))</f>
      </c>
      <c r="C603">
        <f>IF('R.M Billets Reports'!A602="V.No.",'R.M Billets Reports'!B602,IF(ROW()=2,"",C602))</f>
      </c>
      <c r="D603">
        <f>IF('R.M Billets Reports'!A602&lt;&gt;"",'R.M Billets Reports'!A602,IF(ROW()=2,"",D602))</f>
      </c>
      <c r="E603">
        <f>IF('R.M Billets Reports'!B602="","",TRIM('R.M Billets Reports'!B602))</f>
      </c>
      <c r="F603">
        <f>'R.M Billets Reports'!C602</f>
      </c>
      <c r="G603">
        <f>'R.M Billets Reports'!D602</f>
      </c>
      <c r="H603">
        <f>'R.M Billets Reports'!E602</f>
      </c>
      <c r="I603">
        <f>'R.M Billets Reports'!F602</f>
      </c>
      <c r="J603">
        <f>'R.M Billets Reports'!G602</f>
      </c>
      <c r="K603">
        <f>'R.M Billets Reports'!H602</f>
      </c>
      <c r="L603">
        <f>IF('R.M Billets Reports'!I602="","",'R.M Billets Reports'!I602)</f>
      </c>
      <c r="M603">
        <f t="shared" si="18"/>
      </c>
      <c r="N603">
        <f>IF('R.M Billets Reports'!J602="","",'R.M Billets Reports'!J602)</f>
      </c>
      <c r="O603">
        <f t="shared" si="19"/>
      </c>
      <c r="P603">
        <f>IF('R.M Billets Reports'!A602="SIZE",'R.M Billets Reports'!B602,P602)</f>
      </c>
    </row>
    <row r="604" spans="1:16" x14ac:dyDescent="0.25">
      <c r="A604">
        <f>IF(OR('R.M Billets Reports'!A603="Date-",'R.M Billets Reports'!A603="Date:-"),IF(IF(IF(ISNUMBER(SEARCH("Party Name:-",'R.M Billets Reports'!D603)),TRIM('R.M Billets Reports'!F603),IF(ISNUMBER(SEARCH("Party Name-",'R.M Billets Reports'!D603)),TRIM(MID('R.M Billets Reports'!D603,SEARCH("-",'R.M Billets Reports'!D603)+1,200)),""))&lt;&gt;"",IF(ISNUMBER(SEARCH("Party Name:-",'R.M Billets Reports'!D603)),TRIM('R.M Billets Reports'!F603),IF(ISNUMBER(SEARCH("Party Name-",'R.M Billets Reports'!D603)),TRIM(MID('R.M Billets Reports'!D603,SEARCH("-",'R.M Billets Reports'!D603)+1,200)),"")),IF(ISNUMBER(SEARCH("Party Name:-",'R.M Billets Reports'!D604)),TRIM('R.M Billets Reports'!F604),IF(ISNUMBER(SEARCH("Party Name-",'R.M Billets Reports'!D604)),TRIM(MID('R.M Billets Reports'!D604,SEARCH("-",'R.M Billets Reports'!D604)+1,200)),"")))="VRKP ISPAT PVT LTD","VRKP",IF(IF(IF(ISNUMBER(SEARCH("Party Name:-",'R.M Billets Reports'!D603)),TRIM('R.M Billets Reports'!F603),IF(ISNUMBER(SEARCH("Party Name-",'R.M Billets Reports'!D603)),TRIM(MID('R.M Billets Reports'!D603,SEARCH("-",'R.M Billets Reports'!D603)+1,200)),""))&lt;&gt;"",IF(ISNUMBER(SEARCH("Party Name:-",'R.M Billets Reports'!D603)),TRIM('R.M Billets Reports'!F603),IF(ISNUMBER(SEARCH("Party Name-",'R.M Billets Reports'!D603)),TRIM(MID('R.M Billets Reports'!D603,SEARCH("-",'R.M Billets Reports'!D603)+1,200)),"")),IF(ISNUMBER(SEARCH("Party Name:-",'R.M Billets Reports'!D604)),TRIM('R.M Billets Reports'!F604),IF(ISNUMBER(SEARCH("Party Name-",'R.M Billets Reports'!D604)),TRIM(MID('R.M Billets Reports'!D604,SEARCH("-",'R.M Billets Reports'!D604)+1,200)),"")))="SHRI RADHE","SHREE RADHE",IF(IF(IF(ISNUMBER(SEARCH("Party Name:-",'R.M Billets Reports'!D603)),TRIM('R.M Billets Reports'!F603),IF(ISNUMBER(SEARCH("Party Name-",'R.M Billets Reports'!D603)),TRIM(MID('R.M Billets Reports'!D603,SEARCH("-",'R.M Billets Reports'!D603)+1,200)),""))&lt;&gt;"",IF(ISNUMBER(SEARCH("Party Name:-",'R.M Billets Reports'!D603)),TRIM('R.M Billets Reports'!F603),IF(ISNUMBER(SEARCH("Party Name-",'R.M Billets Reports'!D603)),TRIM(MID('R.M Billets Reports'!D603,SEARCH("-",'R.M Billets Reports'!D603)+1,200)),"")),IF(ISNUMBER(SEARCH("Party Name:-",'R.M Billets Reports'!D604)),TRIM('R.M Billets Reports'!F604),IF(ISNUMBER(SEARCH("Party Name-",'R.M Billets Reports'!D604)),TRIM(MID('R.M Billets Reports'!D604,SEARCH("-",'R.M Billets Reports'!D604)+1,200)),"")))="SHREE RADHE SHAKTI SPONGE AND POWER PVT. LTD.","SHREE RADHE",IF(IF(ISNUMBER(SEARCH("Party Name:-",'R.M Billets Reports'!D603)),TRIM('R.M Billets Reports'!F603),IF(ISNUMBER(SEARCH("Party Name-",'R.M Billets Reports'!D603)),TRIM(MID('R.M Billets Reports'!D603,SEARCH("-",'R.M Billets Reports'!D603)+1,200)),""))&lt;&gt;"",IF(ISNUMBER(SEARCH("Party Name:-",'R.M Billets Reports'!D603)),TRIM('R.M Billets Reports'!F603),IF(ISNUMBER(SEARCH("Party Name-",'R.M Billets Reports'!D603)),TRIM(MID('R.M Billets Reports'!D603,SEARCH("-",'R.M Billets Reports'!D603)+1,200)),"")),IF(ISNUMBER(SEARCH("Party Name:-",'R.M Billets Reports'!D604)),TRIM('R.M Billets Reports'!F604),IF(ISNUMBER(SEARCH("Party Name-",'R.M Billets Reports'!D604)),TRIM(MID('R.M Billets Reports'!D604,SEARCH("-",'R.M Billets Reports'!D604)+1,200)),"")))))),IF(ROW()=2,"",A603))</f>
      </c>
      <c r="B604">
        <f>IF(OR('R.M Billets Reports'!A603="Date-",'R.M Billets Reports'!A603="Date:-"),'R.M Billets Reports'!B603,IF(ROW()=2,"",B603))</f>
      </c>
      <c r="C604">
        <f>IF('R.M Billets Reports'!A603="V.No.",'R.M Billets Reports'!B603,IF(ROW()=2,"",C603))</f>
      </c>
      <c r="D604">
        <f>IF('R.M Billets Reports'!A603&lt;&gt;"",'R.M Billets Reports'!A603,IF(ROW()=2,"",D603))</f>
      </c>
      <c r="E604">
        <f>IF('R.M Billets Reports'!B603="","",TRIM('R.M Billets Reports'!B603))</f>
      </c>
      <c r="F604">
        <f>'R.M Billets Reports'!C603</f>
      </c>
      <c r="G604">
        <f>'R.M Billets Reports'!D603</f>
      </c>
      <c r="H604">
        <f>'R.M Billets Reports'!E603</f>
      </c>
      <c r="I604">
        <f>'R.M Billets Reports'!F603</f>
      </c>
      <c r="J604">
        <f>'R.M Billets Reports'!G603</f>
      </c>
      <c r="K604">
        <f>'R.M Billets Reports'!H603</f>
      </c>
      <c r="L604">
        <f>IF('R.M Billets Reports'!I603="","",'R.M Billets Reports'!I603)</f>
      </c>
      <c r="M604">
        <f t="shared" si="18"/>
      </c>
      <c r="N604">
        <f>IF('R.M Billets Reports'!J603="","",'R.M Billets Reports'!J603)</f>
      </c>
      <c r="O604">
        <f t="shared" si="19"/>
      </c>
      <c r="P604">
        <f>IF('R.M Billets Reports'!A603="SIZE",'R.M Billets Reports'!B603,P603)</f>
      </c>
    </row>
    <row r="605" spans="1:16" x14ac:dyDescent="0.25">
      <c r="A605">
        <f>IF(OR('R.M Billets Reports'!A604="Date-",'R.M Billets Reports'!A604="Date:-"),IF(IF(IF(ISNUMBER(SEARCH("Party Name:-",'R.M Billets Reports'!D604)),TRIM('R.M Billets Reports'!F604),IF(ISNUMBER(SEARCH("Party Name-",'R.M Billets Reports'!D604)),TRIM(MID('R.M Billets Reports'!D604,SEARCH("-",'R.M Billets Reports'!D604)+1,200)),""))&lt;&gt;"",IF(ISNUMBER(SEARCH("Party Name:-",'R.M Billets Reports'!D604)),TRIM('R.M Billets Reports'!F604),IF(ISNUMBER(SEARCH("Party Name-",'R.M Billets Reports'!D604)),TRIM(MID('R.M Billets Reports'!D604,SEARCH("-",'R.M Billets Reports'!D604)+1,200)),"")),IF(ISNUMBER(SEARCH("Party Name:-",'R.M Billets Reports'!D605)),TRIM('R.M Billets Reports'!F605),IF(ISNUMBER(SEARCH("Party Name-",'R.M Billets Reports'!D605)),TRIM(MID('R.M Billets Reports'!D605,SEARCH("-",'R.M Billets Reports'!D605)+1,200)),"")))="VRKP ISPAT PVT LTD","VRKP",IF(IF(IF(ISNUMBER(SEARCH("Party Name:-",'R.M Billets Reports'!D604)),TRIM('R.M Billets Reports'!F604),IF(ISNUMBER(SEARCH("Party Name-",'R.M Billets Reports'!D604)),TRIM(MID('R.M Billets Reports'!D604,SEARCH("-",'R.M Billets Reports'!D604)+1,200)),""))&lt;&gt;"",IF(ISNUMBER(SEARCH("Party Name:-",'R.M Billets Reports'!D604)),TRIM('R.M Billets Reports'!F604),IF(ISNUMBER(SEARCH("Party Name-",'R.M Billets Reports'!D604)),TRIM(MID('R.M Billets Reports'!D604,SEARCH("-",'R.M Billets Reports'!D604)+1,200)),"")),IF(ISNUMBER(SEARCH("Party Name:-",'R.M Billets Reports'!D605)),TRIM('R.M Billets Reports'!F605),IF(ISNUMBER(SEARCH("Party Name-",'R.M Billets Reports'!D605)),TRIM(MID('R.M Billets Reports'!D605,SEARCH("-",'R.M Billets Reports'!D605)+1,200)),"")))="SHRI RADHE","SHREE RADHE",IF(IF(IF(ISNUMBER(SEARCH("Party Name:-",'R.M Billets Reports'!D604)),TRIM('R.M Billets Reports'!F604),IF(ISNUMBER(SEARCH("Party Name-",'R.M Billets Reports'!D604)),TRIM(MID('R.M Billets Reports'!D604,SEARCH("-",'R.M Billets Reports'!D604)+1,200)),""))&lt;&gt;"",IF(ISNUMBER(SEARCH("Party Name:-",'R.M Billets Reports'!D604)),TRIM('R.M Billets Reports'!F604),IF(ISNUMBER(SEARCH("Party Name-",'R.M Billets Reports'!D604)),TRIM(MID('R.M Billets Reports'!D604,SEARCH("-",'R.M Billets Reports'!D604)+1,200)),"")),IF(ISNUMBER(SEARCH("Party Name:-",'R.M Billets Reports'!D605)),TRIM('R.M Billets Reports'!F605),IF(ISNUMBER(SEARCH("Party Name-",'R.M Billets Reports'!D605)),TRIM(MID('R.M Billets Reports'!D605,SEARCH("-",'R.M Billets Reports'!D605)+1,200)),"")))="SHREE RADHE SHAKTI SPONGE AND POWER PVT. LTD.","SHREE RADHE",IF(IF(ISNUMBER(SEARCH("Party Name:-",'R.M Billets Reports'!D604)),TRIM('R.M Billets Reports'!F604),IF(ISNUMBER(SEARCH("Party Name-",'R.M Billets Reports'!D604)),TRIM(MID('R.M Billets Reports'!D604,SEARCH("-",'R.M Billets Reports'!D604)+1,200)),""))&lt;&gt;"",IF(ISNUMBER(SEARCH("Party Name:-",'R.M Billets Reports'!D604)),TRIM('R.M Billets Reports'!F604),IF(ISNUMBER(SEARCH("Party Name-",'R.M Billets Reports'!D604)),TRIM(MID('R.M Billets Reports'!D604,SEARCH("-",'R.M Billets Reports'!D604)+1,200)),"")),IF(ISNUMBER(SEARCH("Party Name:-",'R.M Billets Reports'!D605)),TRIM('R.M Billets Reports'!F605),IF(ISNUMBER(SEARCH("Party Name-",'R.M Billets Reports'!D605)),TRIM(MID('R.M Billets Reports'!D605,SEARCH("-",'R.M Billets Reports'!D605)+1,200)),"")))))),IF(ROW()=2,"",A604))</f>
      </c>
      <c r="B605">
        <f>IF(OR('R.M Billets Reports'!A604="Date-",'R.M Billets Reports'!A604="Date:-"),'R.M Billets Reports'!B604,IF(ROW()=2,"",B604))</f>
      </c>
      <c r="C605">
        <f>IF('R.M Billets Reports'!A604="V.No.",'R.M Billets Reports'!B604,IF(ROW()=2,"",C604))</f>
      </c>
      <c r="D605">
        <f>IF('R.M Billets Reports'!A604&lt;&gt;"",'R.M Billets Reports'!A604,IF(ROW()=2,"",D604))</f>
      </c>
      <c r="E605">
        <f>IF('R.M Billets Reports'!B604="","",TRIM('R.M Billets Reports'!B604))</f>
      </c>
      <c r="F605">
        <f>'R.M Billets Reports'!C604</f>
      </c>
      <c r="G605">
        <f>'R.M Billets Reports'!D604</f>
      </c>
      <c r="H605">
        <f>'R.M Billets Reports'!E604</f>
      </c>
      <c r="I605">
        <f>'R.M Billets Reports'!F604</f>
      </c>
      <c r="J605">
        <f>'R.M Billets Reports'!G604</f>
      </c>
      <c r="K605">
        <f>'R.M Billets Reports'!H604</f>
      </c>
      <c r="L605">
        <f>IF('R.M Billets Reports'!I604="","",'R.M Billets Reports'!I604)</f>
      </c>
      <c r="M605">
        <f t="shared" si="18"/>
      </c>
      <c r="N605">
        <f>IF('R.M Billets Reports'!J604="","",'R.M Billets Reports'!J604)</f>
      </c>
      <c r="O605">
        <f t="shared" si="19"/>
      </c>
      <c r="P605">
        <f>IF('R.M Billets Reports'!A604="SIZE",'R.M Billets Reports'!B604,P604)</f>
      </c>
    </row>
    <row r="606" spans="1:16" x14ac:dyDescent="0.25">
      <c r="A606">
        <f>IF(OR('R.M Billets Reports'!A605="Date-",'R.M Billets Reports'!A605="Date:-"),IF(IF(IF(ISNUMBER(SEARCH("Party Name:-",'R.M Billets Reports'!D605)),TRIM('R.M Billets Reports'!F605),IF(ISNUMBER(SEARCH("Party Name-",'R.M Billets Reports'!D605)),TRIM(MID('R.M Billets Reports'!D605,SEARCH("-",'R.M Billets Reports'!D605)+1,200)),""))&lt;&gt;"",IF(ISNUMBER(SEARCH("Party Name:-",'R.M Billets Reports'!D605)),TRIM('R.M Billets Reports'!F605),IF(ISNUMBER(SEARCH("Party Name-",'R.M Billets Reports'!D605)),TRIM(MID('R.M Billets Reports'!D605,SEARCH("-",'R.M Billets Reports'!D605)+1,200)),"")),IF(ISNUMBER(SEARCH("Party Name:-",'R.M Billets Reports'!D606)),TRIM('R.M Billets Reports'!F606),IF(ISNUMBER(SEARCH("Party Name-",'R.M Billets Reports'!D606)),TRIM(MID('R.M Billets Reports'!D606,SEARCH("-",'R.M Billets Reports'!D606)+1,200)),"")))="VRKP ISPAT PVT LTD","VRKP",IF(IF(IF(ISNUMBER(SEARCH("Party Name:-",'R.M Billets Reports'!D605)),TRIM('R.M Billets Reports'!F605),IF(ISNUMBER(SEARCH("Party Name-",'R.M Billets Reports'!D605)),TRIM(MID('R.M Billets Reports'!D605,SEARCH("-",'R.M Billets Reports'!D605)+1,200)),""))&lt;&gt;"",IF(ISNUMBER(SEARCH("Party Name:-",'R.M Billets Reports'!D605)),TRIM('R.M Billets Reports'!F605),IF(ISNUMBER(SEARCH("Party Name-",'R.M Billets Reports'!D605)),TRIM(MID('R.M Billets Reports'!D605,SEARCH("-",'R.M Billets Reports'!D605)+1,200)),"")),IF(ISNUMBER(SEARCH("Party Name:-",'R.M Billets Reports'!D606)),TRIM('R.M Billets Reports'!F606),IF(ISNUMBER(SEARCH("Party Name-",'R.M Billets Reports'!D606)),TRIM(MID('R.M Billets Reports'!D606,SEARCH("-",'R.M Billets Reports'!D606)+1,200)),"")))="SHRI RADHE","SHREE RADHE",IF(IF(IF(ISNUMBER(SEARCH("Party Name:-",'R.M Billets Reports'!D605)),TRIM('R.M Billets Reports'!F605),IF(ISNUMBER(SEARCH("Party Name-",'R.M Billets Reports'!D605)),TRIM(MID('R.M Billets Reports'!D605,SEARCH("-",'R.M Billets Reports'!D605)+1,200)),""))&lt;&gt;"",IF(ISNUMBER(SEARCH("Party Name:-",'R.M Billets Reports'!D605)),TRIM('R.M Billets Reports'!F605),IF(ISNUMBER(SEARCH("Party Name-",'R.M Billets Reports'!D605)),TRIM(MID('R.M Billets Reports'!D605,SEARCH("-",'R.M Billets Reports'!D605)+1,200)),"")),IF(ISNUMBER(SEARCH("Party Name:-",'R.M Billets Reports'!D606)),TRIM('R.M Billets Reports'!F606),IF(ISNUMBER(SEARCH("Party Name-",'R.M Billets Reports'!D606)),TRIM(MID('R.M Billets Reports'!D606,SEARCH("-",'R.M Billets Reports'!D606)+1,200)),"")))="SHREE RADHE SHAKTI SPONGE AND POWER PVT. LTD.","SHREE RADHE",IF(IF(ISNUMBER(SEARCH("Party Name:-",'R.M Billets Reports'!D605)),TRIM('R.M Billets Reports'!F605),IF(ISNUMBER(SEARCH("Party Name-",'R.M Billets Reports'!D605)),TRIM(MID('R.M Billets Reports'!D605,SEARCH("-",'R.M Billets Reports'!D605)+1,200)),""))&lt;&gt;"",IF(ISNUMBER(SEARCH("Party Name:-",'R.M Billets Reports'!D605)),TRIM('R.M Billets Reports'!F605),IF(ISNUMBER(SEARCH("Party Name-",'R.M Billets Reports'!D605)),TRIM(MID('R.M Billets Reports'!D605,SEARCH("-",'R.M Billets Reports'!D605)+1,200)),"")),IF(ISNUMBER(SEARCH("Party Name:-",'R.M Billets Reports'!D606)),TRIM('R.M Billets Reports'!F606),IF(ISNUMBER(SEARCH("Party Name-",'R.M Billets Reports'!D606)),TRIM(MID('R.M Billets Reports'!D606,SEARCH("-",'R.M Billets Reports'!D606)+1,200)),"")))))),IF(ROW()=2,"",A605))</f>
      </c>
      <c r="B606">
        <f>IF(OR('R.M Billets Reports'!A605="Date-",'R.M Billets Reports'!A605="Date:-"),'R.M Billets Reports'!B605,IF(ROW()=2,"",B605))</f>
      </c>
      <c r="C606">
        <f>IF('R.M Billets Reports'!A605="V.No.",'R.M Billets Reports'!B605,IF(ROW()=2,"",C605))</f>
      </c>
      <c r="D606">
        <f>IF('R.M Billets Reports'!A605&lt;&gt;"",'R.M Billets Reports'!A605,IF(ROW()=2,"",D605))</f>
      </c>
      <c r="E606">
        <f>IF('R.M Billets Reports'!B605="","",TRIM('R.M Billets Reports'!B605))</f>
      </c>
      <c r="F606">
        <f>'R.M Billets Reports'!C605</f>
      </c>
      <c r="G606">
        <f>'R.M Billets Reports'!D605</f>
      </c>
      <c r="H606">
        <f>'R.M Billets Reports'!E605</f>
      </c>
      <c r="I606">
        <f>'R.M Billets Reports'!F605</f>
      </c>
      <c r="J606">
        <f>'R.M Billets Reports'!G605</f>
      </c>
      <c r="K606">
        <f>'R.M Billets Reports'!H605</f>
      </c>
      <c r="L606">
        <f>IF('R.M Billets Reports'!I605="","",'R.M Billets Reports'!I605)</f>
      </c>
      <c r="M606">
        <f t="shared" si="18"/>
      </c>
      <c r="N606">
        <f>IF('R.M Billets Reports'!J605="","",'R.M Billets Reports'!J605)</f>
      </c>
      <c r="O606">
        <f t="shared" si="19"/>
      </c>
      <c r="P606">
        <f>IF('R.M Billets Reports'!A605="SIZE",'R.M Billets Reports'!B605,P605)</f>
      </c>
    </row>
    <row r="607" spans="1:16" x14ac:dyDescent="0.25">
      <c r="A607">
        <f>IF(OR('R.M Billets Reports'!A606="Date-",'R.M Billets Reports'!A606="Date:-"),IF(IF(IF(ISNUMBER(SEARCH("Party Name:-",'R.M Billets Reports'!D606)),TRIM('R.M Billets Reports'!F606),IF(ISNUMBER(SEARCH("Party Name-",'R.M Billets Reports'!D606)),TRIM(MID('R.M Billets Reports'!D606,SEARCH("-",'R.M Billets Reports'!D606)+1,200)),""))&lt;&gt;"",IF(ISNUMBER(SEARCH("Party Name:-",'R.M Billets Reports'!D606)),TRIM('R.M Billets Reports'!F606),IF(ISNUMBER(SEARCH("Party Name-",'R.M Billets Reports'!D606)),TRIM(MID('R.M Billets Reports'!D606,SEARCH("-",'R.M Billets Reports'!D606)+1,200)),"")),IF(ISNUMBER(SEARCH("Party Name:-",'R.M Billets Reports'!D607)),TRIM('R.M Billets Reports'!F607),IF(ISNUMBER(SEARCH("Party Name-",'R.M Billets Reports'!D607)),TRIM(MID('R.M Billets Reports'!D607,SEARCH("-",'R.M Billets Reports'!D607)+1,200)),"")))="VRKP ISPAT PVT LTD","VRKP",IF(IF(IF(ISNUMBER(SEARCH("Party Name:-",'R.M Billets Reports'!D606)),TRIM('R.M Billets Reports'!F606),IF(ISNUMBER(SEARCH("Party Name-",'R.M Billets Reports'!D606)),TRIM(MID('R.M Billets Reports'!D606,SEARCH("-",'R.M Billets Reports'!D606)+1,200)),""))&lt;&gt;"",IF(ISNUMBER(SEARCH("Party Name:-",'R.M Billets Reports'!D606)),TRIM('R.M Billets Reports'!F606),IF(ISNUMBER(SEARCH("Party Name-",'R.M Billets Reports'!D606)),TRIM(MID('R.M Billets Reports'!D606,SEARCH("-",'R.M Billets Reports'!D606)+1,200)),"")),IF(ISNUMBER(SEARCH("Party Name:-",'R.M Billets Reports'!D607)),TRIM('R.M Billets Reports'!F607),IF(ISNUMBER(SEARCH("Party Name-",'R.M Billets Reports'!D607)),TRIM(MID('R.M Billets Reports'!D607,SEARCH("-",'R.M Billets Reports'!D607)+1,200)),"")))="SHRI RADHE","SHREE RADHE",IF(IF(IF(ISNUMBER(SEARCH("Party Name:-",'R.M Billets Reports'!D606)),TRIM('R.M Billets Reports'!F606),IF(ISNUMBER(SEARCH("Party Name-",'R.M Billets Reports'!D606)),TRIM(MID('R.M Billets Reports'!D606,SEARCH("-",'R.M Billets Reports'!D606)+1,200)),""))&lt;&gt;"",IF(ISNUMBER(SEARCH("Party Name:-",'R.M Billets Reports'!D606)),TRIM('R.M Billets Reports'!F606),IF(ISNUMBER(SEARCH("Party Name-",'R.M Billets Reports'!D606)),TRIM(MID('R.M Billets Reports'!D606,SEARCH("-",'R.M Billets Reports'!D606)+1,200)),"")),IF(ISNUMBER(SEARCH("Party Name:-",'R.M Billets Reports'!D607)),TRIM('R.M Billets Reports'!F607),IF(ISNUMBER(SEARCH("Party Name-",'R.M Billets Reports'!D607)),TRIM(MID('R.M Billets Reports'!D607,SEARCH("-",'R.M Billets Reports'!D607)+1,200)),"")))="SHREE RADHE SHAKTI SPONGE AND POWER PVT. LTD.","SHREE RADHE",IF(IF(ISNUMBER(SEARCH("Party Name:-",'R.M Billets Reports'!D606)),TRIM('R.M Billets Reports'!F606),IF(ISNUMBER(SEARCH("Party Name-",'R.M Billets Reports'!D606)),TRIM(MID('R.M Billets Reports'!D606,SEARCH("-",'R.M Billets Reports'!D606)+1,200)),""))&lt;&gt;"",IF(ISNUMBER(SEARCH("Party Name:-",'R.M Billets Reports'!D606)),TRIM('R.M Billets Reports'!F606),IF(ISNUMBER(SEARCH("Party Name-",'R.M Billets Reports'!D606)),TRIM(MID('R.M Billets Reports'!D606,SEARCH("-",'R.M Billets Reports'!D606)+1,200)),"")),IF(ISNUMBER(SEARCH("Party Name:-",'R.M Billets Reports'!D607)),TRIM('R.M Billets Reports'!F607),IF(ISNUMBER(SEARCH("Party Name-",'R.M Billets Reports'!D607)),TRIM(MID('R.M Billets Reports'!D607,SEARCH("-",'R.M Billets Reports'!D607)+1,200)),"")))))),IF(ROW()=2,"",A606))</f>
      </c>
      <c r="B607">
        <f>IF(OR('R.M Billets Reports'!A606="Date-",'R.M Billets Reports'!A606="Date:-"),'R.M Billets Reports'!B606,IF(ROW()=2,"",B606))</f>
      </c>
      <c r="C607">
        <f>IF('R.M Billets Reports'!A606="V.No.",'R.M Billets Reports'!B606,IF(ROW()=2,"",C606))</f>
      </c>
      <c r="D607">
        <f>IF('R.M Billets Reports'!A606&lt;&gt;"",'R.M Billets Reports'!A606,IF(ROW()=2,"",D606))</f>
      </c>
      <c r="E607">
        <f>IF('R.M Billets Reports'!B606="","",TRIM('R.M Billets Reports'!B606))</f>
      </c>
      <c r="F607">
        <f>'R.M Billets Reports'!C606</f>
      </c>
      <c r="G607">
        <f>'R.M Billets Reports'!D606</f>
      </c>
      <c r="H607">
        <f>'R.M Billets Reports'!E606</f>
      </c>
      <c r="I607">
        <f>'R.M Billets Reports'!F606</f>
      </c>
      <c r="J607">
        <f>'R.M Billets Reports'!G606</f>
      </c>
      <c r="K607">
        <f>'R.M Billets Reports'!H606</f>
      </c>
      <c r="L607">
        <f>IF('R.M Billets Reports'!I606="","",'R.M Billets Reports'!I606)</f>
      </c>
      <c r="M607">
        <f t="shared" si="18"/>
      </c>
      <c r="N607">
        <f>IF('R.M Billets Reports'!J606="","",'R.M Billets Reports'!J606)</f>
      </c>
      <c r="O607">
        <f t="shared" si="19"/>
      </c>
      <c r="P607">
        <f>IF('R.M Billets Reports'!A606="SIZE",'R.M Billets Reports'!B606,P606)</f>
      </c>
    </row>
    <row r="608" spans="1:16" x14ac:dyDescent="0.25">
      <c r="A608">
        <f>IF(OR('R.M Billets Reports'!A607="Date-",'R.M Billets Reports'!A607="Date:-"),IF(IF(IF(ISNUMBER(SEARCH("Party Name:-",'R.M Billets Reports'!D607)),TRIM('R.M Billets Reports'!F607),IF(ISNUMBER(SEARCH("Party Name-",'R.M Billets Reports'!D607)),TRIM(MID('R.M Billets Reports'!D607,SEARCH("-",'R.M Billets Reports'!D607)+1,200)),""))&lt;&gt;"",IF(ISNUMBER(SEARCH("Party Name:-",'R.M Billets Reports'!D607)),TRIM('R.M Billets Reports'!F607),IF(ISNUMBER(SEARCH("Party Name-",'R.M Billets Reports'!D607)),TRIM(MID('R.M Billets Reports'!D607,SEARCH("-",'R.M Billets Reports'!D607)+1,200)),"")),IF(ISNUMBER(SEARCH("Party Name:-",'R.M Billets Reports'!D608)),TRIM('R.M Billets Reports'!F608),IF(ISNUMBER(SEARCH("Party Name-",'R.M Billets Reports'!D608)),TRIM(MID('R.M Billets Reports'!D608,SEARCH("-",'R.M Billets Reports'!D608)+1,200)),"")))="VRKP ISPAT PVT LTD","VRKP",IF(IF(IF(ISNUMBER(SEARCH("Party Name:-",'R.M Billets Reports'!D607)),TRIM('R.M Billets Reports'!F607),IF(ISNUMBER(SEARCH("Party Name-",'R.M Billets Reports'!D607)),TRIM(MID('R.M Billets Reports'!D607,SEARCH("-",'R.M Billets Reports'!D607)+1,200)),""))&lt;&gt;"",IF(ISNUMBER(SEARCH("Party Name:-",'R.M Billets Reports'!D607)),TRIM('R.M Billets Reports'!F607),IF(ISNUMBER(SEARCH("Party Name-",'R.M Billets Reports'!D607)),TRIM(MID('R.M Billets Reports'!D607,SEARCH("-",'R.M Billets Reports'!D607)+1,200)),"")),IF(ISNUMBER(SEARCH("Party Name:-",'R.M Billets Reports'!D608)),TRIM('R.M Billets Reports'!F608),IF(ISNUMBER(SEARCH("Party Name-",'R.M Billets Reports'!D608)),TRIM(MID('R.M Billets Reports'!D608,SEARCH("-",'R.M Billets Reports'!D608)+1,200)),"")))="SHRI RADHE","SHREE RADHE",IF(IF(IF(ISNUMBER(SEARCH("Party Name:-",'R.M Billets Reports'!D607)),TRIM('R.M Billets Reports'!F607),IF(ISNUMBER(SEARCH("Party Name-",'R.M Billets Reports'!D607)),TRIM(MID('R.M Billets Reports'!D607,SEARCH("-",'R.M Billets Reports'!D607)+1,200)),""))&lt;&gt;"",IF(ISNUMBER(SEARCH("Party Name:-",'R.M Billets Reports'!D607)),TRIM('R.M Billets Reports'!F607),IF(ISNUMBER(SEARCH("Party Name-",'R.M Billets Reports'!D607)),TRIM(MID('R.M Billets Reports'!D607,SEARCH("-",'R.M Billets Reports'!D607)+1,200)),"")),IF(ISNUMBER(SEARCH("Party Name:-",'R.M Billets Reports'!D608)),TRIM('R.M Billets Reports'!F608),IF(ISNUMBER(SEARCH("Party Name-",'R.M Billets Reports'!D608)),TRIM(MID('R.M Billets Reports'!D608,SEARCH("-",'R.M Billets Reports'!D608)+1,200)),"")))="SHREE RADHE SHAKTI SPONGE AND POWER PVT. LTD.","SHREE RADHE",IF(IF(ISNUMBER(SEARCH("Party Name:-",'R.M Billets Reports'!D607)),TRIM('R.M Billets Reports'!F607),IF(ISNUMBER(SEARCH("Party Name-",'R.M Billets Reports'!D607)),TRIM(MID('R.M Billets Reports'!D607,SEARCH("-",'R.M Billets Reports'!D607)+1,200)),""))&lt;&gt;"",IF(ISNUMBER(SEARCH("Party Name:-",'R.M Billets Reports'!D607)),TRIM('R.M Billets Reports'!F607),IF(ISNUMBER(SEARCH("Party Name-",'R.M Billets Reports'!D607)),TRIM(MID('R.M Billets Reports'!D607,SEARCH("-",'R.M Billets Reports'!D607)+1,200)),"")),IF(ISNUMBER(SEARCH("Party Name:-",'R.M Billets Reports'!D608)),TRIM('R.M Billets Reports'!F608),IF(ISNUMBER(SEARCH("Party Name-",'R.M Billets Reports'!D608)),TRIM(MID('R.M Billets Reports'!D608,SEARCH("-",'R.M Billets Reports'!D608)+1,200)),"")))))),IF(ROW()=2,"",A607))</f>
      </c>
      <c r="B608">
        <f>IF(OR('R.M Billets Reports'!A607="Date-",'R.M Billets Reports'!A607="Date:-"),'R.M Billets Reports'!B607,IF(ROW()=2,"",B607))</f>
      </c>
      <c r="C608">
        <f>IF('R.M Billets Reports'!A607="V.No.",'R.M Billets Reports'!B607,IF(ROW()=2,"",C607))</f>
      </c>
      <c r="D608">
        <f>IF('R.M Billets Reports'!A607&lt;&gt;"",'R.M Billets Reports'!A607,IF(ROW()=2,"",D607))</f>
      </c>
      <c r="E608">
        <f>IF('R.M Billets Reports'!B607="","",TRIM('R.M Billets Reports'!B607))</f>
      </c>
      <c r="F608">
        <f>'R.M Billets Reports'!C607</f>
      </c>
      <c r="G608">
        <f>'R.M Billets Reports'!D607</f>
      </c>
      <c r="H608">
        <f>'R.M Billets Reports'!E607</f>
      </c>
      <c r="I608">
        <f>'R.M Billets Reports'!F607</f>
      </c>
      <c r="J608">
        <f>'R.M Billets Reports'!G607</f>
      </c>
      <c r="K608">
        <f>'R.M Billets Reports'!H607</f>
      </c>
      <c r="L608">
        <f>IF('R.M Billets Reports'!I607="","",'R.M Billets Reports'!I607)</f>
      </c>
      <c r="M608">
        <f t="shared" si="18"/>
      </c>
      <c r="N608">
        <f>IF('R.M Billets Reports'!J607="","",'R.M Billets Reports'!J607)</f>
      </c>
      <c r="O608">
        <f t="shared" si="19"/>
      </c>
      <c r="P608">
        <f>IF('R.M Billets Reports'!A607="SIZE",'R.M Billets Reports'!B607,P607)</f>
      </c>
    </row>
    <row r="609" spans="1:16" x14ac:dyDescent="0.25">
      <c r="A609">
        <f>IF(OR('R.M Billets Reports'!A608="Date-",'R.M Billets Reports'!A608="Date:-"),IF(IF(IF(ISNUMBER(SEARCH("Party Name:-",'R.M Billets Reports'!D608)),TRIM('R.M Billets Reports'!F608),IF(ISNUMBER(SEARCH("Party Name-",'R.M Billets Reports'!D608)),TRIM(MID('R.M Billets Reports'!D608,SEARCH("-",'R.M Billets Reports'!D608)+1,200)),""))&lt;&gt;"",IF(ISNUMBER(SEARCH("Party Name:-",'R.M Billets Reports'!D608)),TRIM('R.M Billets Reports'!F608),IF(ISNUMBER(SEARCH("Party Name-",'R.M Billets Reports'!D608)),TRIM(MID('R.M Billets Reports'!D608,SEARCH("-",'R.M Billets Reports'!D608)+1,200)),"")),IF(ISNUMBER(SEARCH("Party Name:-",'R.M Billets Reports'!D609)),TRIM('R.M Billets Reports'!F609),IF(ISNUMBER(SEARCH("Party Name-",'R.M Billets Reports'!D609)),TRIM(MID('R.M Billets Reports'!D609,SEARCH("-",'R.M Billets Reports'!D609)+1,200)),"")))="VRKP ISPAT PVT LTD","VRKP",IF(IF(IF(ISNUMBER(SEARCH("Party Name:-",'R.M Billets Reports'!D608)),TRIM('R.M Billets Reports'!F608),IF(ISNUMBER(SEARCH("Party Name-",'R.M Billets Reports'!D608)),TRIM(MID('R.M Billets Reports'!D608,SEARCH("-",'R.M Billets Reports'!D608)+1,200)),""))&lt;&gt;"",IF(ISNUMBER(SEARCH("Party Name:-",'R.M Billets Reports'!D608)),TRIM('R.M Billets Reports'!F608),IF(ISNUMBER(SEARCH("Party Name-",'R.M Billets Reports'!D608)),TRIM(MID('R.M Billets Reports'!D608,SEARCH("-",'R.M Billets Reports'!D608)+1,200)),"")),IF(ISNUMBER(SEARCH("Party Name:-",'R.M Billets Reports'!D609)),TRIM('R.M Billets Reports'!F609),IF(ISNUMBER(SEARCH("Party Name-",'R.M Billets Reports'!D609)),TRIM(MID('R.M Billets Reports'!D609,SEARCH("-",'R.M Billets Reports'!D609)+1,200)),"")))="SHRI RADHE","SHREE RADHE",IF(IF(IF(ISNUMBER(SEARCH("Party Name:-",'R.M Billets Reports'!D608)),TRIM('R.M Billets Reports'!F608),IF(ISNUMBER(SEARCH("Party Name-",'R.M Billets Reports'!D608)),TRIM(MID('R.M Billets Reports'!D608,SEARCH("-",'R.M Billets Reports'!D608)+1,200)),""))&lt;&gt;"",IF(ISNUMBER(SEARCH("Party Name:-",'R.M Billets Reports'!D608)),TRIM('R.M Billets Reports'!F608),IF(ISNUMBER(SEARCH("Party Name-",'R.M Billets Reports'!D608)),TRIM(MID('R.M Billets Reports'!D608,SEARCH("-",'R.M Billets Reports'!D608)+1,200)),"")),IF(ISNUMBER(SEARCH("Party Name:-",'R.M Billets Reports'!D609)),TRIM('R.M Billets Reports'!F609),IF(ISNUMBER(SEARCH("Party Name-",'R.M Billets Reports'!D609)),TRIM(MID('R.M Billets Reports'!D609,SEARCH("-",'R.M Billets Reports'!D609)+1,200)),"")))="SHREE RADHE SHAKTI SPONGE AND POWER PVT. LTD.","SHREE RADHE",IF(IF(ISNUMBER(SEARCH("Party Name:-",'R.M Billets Reports'!D608)),TRIM('R.M Billets Reports'!F608),IF(ISNUMBER(SEARCH("Party Name-",'R.M Billets Reports'!D608)),TRIM(MID('R.M Billets Reports'!D608,SEARCH("-",'R.M Billets Reports'!D608)+1,200)),""))&lt;&gt;"",IF(ISNUMBER(SEARCH("Party Name:-",'R.M Billets Reports'!D608)),TRIM('R.M Billets Reports'!F608),IF(ISNUMBER(SEARCH("Party Name-",'R.M Billets Reports'!D608)),TRIM(MID('R.M Billets Reports'!D608,SEARCH("-",'R.M Billets Reports'!D608)+1,200)),"")),IF(ISNUMBER(SEARCH("Party Name:-",'R.M Billets Reports'!D609)),TRIM('R.M Billets Reports'!F609),IF(ISNUMBER(SEARCH("Party Name-",'R.M Billets Reports'!D609)),TRIM(MID('R.M Billets Reports'!D609,SEARCH("-",'R.M Billets Reports'!D609)+1,200)),"")))))),IF(ROW()=2,"",A608))</f>
      </c>
      <c r="B609">
        <f>IF(OR('R.M Billets Reports'!A608="Date-",'R.M Billets Reports'!A608="Date:-"),'R.M Billets Reports'!B608,IF(ROW()=2,"",B608))</f>
      </c>
      <c r="C609">
        <f>IF('R.M Billets Reports'!A608="V.No.",'R.M Billets Reports'!B608,IF(ROW()=2,"",C608))</f>
      </c>
      <c r="D609">
        <f>IF('R.M Billets Reports'!A608&lt;&gt;"",'R.M Billets Reports'!A608,IF(ROW()=2,"",D608))</f>
      </c>
      <c r="E609">
        <f>IF('R.M Billets Reports'!B608="","",TRIM('R.M Billets Reports'!B608))</f>
      </c>
      <c r="F609">
        <f>'R.M Billets Reports'!C608</f>
      </c>
      <c r="G609">
        <f>'R.M Billets Reports'!D608</f>
      </c>
      <c r="H609">
        <f>'R.M Billets Reports'!E608</f>
      </c>
      <c r="I609">
        <f>'R.M Billets Reports'!F608</f>
      </c>
      <c r="J609">
        <f>'R.M Billets Reports'!G608</f>
      </c>
      <c r="K609">
        <f>'R.M Billets Reports'!H608</f>
      </c>
      <c r="L609">
        <f>IF('R.M Billets Reports'!I608="","",'R.M Billets Reports'!I608)</f>
      </c>
      <c r="M609">
        <f t="shared" si="18"/>
      </c>
      <c r="N609">
        <f>IF('R.M Billets Reports'!J608="","",'R.M Billets Reports'!J608)</f>
      </c>
      <c r="O609">
        <f t="shared" si="19"/>
      </c>
      <c r="P609">
        <f>IF('R.M Billets Reports'!A608="SIZE",'R.M Billets Reports'!B608,P608)</f>
      </c>
    </row>
    <row r="610" spans="1:16" x14ac:dyDescent="0.25">
      <c r="A610">
        <f>IF(OR('R.M Billets Reports'!A609="Date-",'R.M Billets Reports'!A609="Date:-"),IF(IF(IF(ISNUMBER(SEARCH("Party Name:-",'R.M Billets Reports'!D609)),TRIM('R.M Billets Reports'!F609),IF(ISNUMBER(SEARCH("Party Name-",'R.M Billets Reports'!D609)),TRIM(MID('R.M Billets Reports'!D609,SEARCH("-",'R.M Billets Reports'!D609)+1,200)),""))&lt;&gt;"",IF(ISNUMBER(SEARCH("Party Name:-",'R.M Billets Reports'!D609)),TRIM('R.M Billets Reports'!F609),IF(ISNUMBER(SEARCH("Party Name-",'R.M Billets Reports'!D609)),TRIM(MID('R.M Billets Reports'!D609,SEARCH("-",'R.M Billets Reports'!D609)+1,200)),"")),IF(ISNUMBER(SEARCH("Party Name:-",'R.M Billets Reports'!D610)),TRIM('R.M Billets Reports'!F610),IF(ISNUMBER(SEARCH("Party Name-",'R.M Billets Reports'!D610)),TRIM(MID('R.M Billets Reports'!D610,SEARCH("-",'R.M Billets Reports'!D610)+1,200)),"")))="VRKP ISPAT PVT LTD","VRKP",IF(IF(IF(ISNUMBER(SEARCH("Party Name:-",'R.M Billets Reports'!D609)),TRIM('R.M Billets Reports'!F609),IF(ISNUMBER(SEARCH("Party Name-",'R.M Billets Reports'!D609)),TRIM(MID('R.M Billets Reports'!D609,SEARCH("-",'R.M Billets Reports'!D609)+1,200)),""))&lt;&gt;"",IF(ISNUMBER(SEARCH("Party Name:-",'R.M Billets Reports'!D609)),TRIM('R.M Billets Reports'!F609),IF(ISNUMBER(SEARCH("Party Name-",'R.M Billets Reports'!D609)),TRIM(MID('R.M Billets Reports'!D609,SEARCH("-",'R.M Billets Reports'!D609)+1,200)),"")),IF(ISNUMBER(SEARCH("Party Name:-",'R.M Billets Reports'!D610)),TRIM('R.M Billets Reports'!F610),IF(ISNUMBER(SEARCH("Party Name-",'R.M Billets Reports'!D610)),TRIM(MID('R.M Billets Reports'!D610,SEARCH("-",'R.M Billets Reports'!D610)+1,200)),"")))="SHRI RADHE","SHREE RADHE",IF(IF(IF(ISNUMBER(SEARCH("Party Name:-",'R.M Billets Reports'!D609)),TRIM('R.M Billets Reports'!F609),IF(ISNUMBER(SEARCH("Party Name-",'R.M Billets Reports'!D609)),TRIM(MID('R.M Billets Reports'!D609,SEARCH("-",'R.M Billets Reports'!D609)+1,200)),""))&lt;&gt;"",IF(ISNUMBER(SEARCH("Party Name:-",'R.M Billets Reports'!D609)),TRIM('R.M Billets Reports'!F609),IF(ISNUMBER(SEARCH("Party Name-",'R.M Billets Reports'!D609)),TRIM(MID('R.M Billets Reports'!D609,SEARCH("-",'R.M Billets Reports'!D609)+1,200)),"")),IF(ISNUMBER(SEARCH("Party Name:-",'R.M Billets Reports'!D610)),TRIM('R.M Billets Reports'!F610),IF(ISNUMBER(SEARCH("Party Name-",'R.M Billets Reports'!D610)),TRIM(MID('R.M Billets Reports'!D610,SEARCH("-",'R.M Billets Reports'!D610)+1,200)),"")))="SHREE RADHE SHAKTI SPONGE AND POWER PVT. LTD.","SHREE RADHE",IF(IF(ISNUMBER(SEARCH("Party Name:-",'R.M Billets Reports'!D609)),TRIM('R.M Billets Reports'!F609),IF(ISNUMBER(SEARCH("Party Name-",'R.M Billets Reports'!D609)),TRIM(MID('R.M Billets Reports'!D609,SEARCH("-",'R.M Billets Reports'!D609)+1,200)),""))&lt;&gt;"",IF(ISNUMBER(SEARCH("Party Name:-",'R.M Billets Reports'!D609)),TRIM('R.M Billets Reports'!F609),IF(ISNUMBER(SEARCH("Party Name-",'R.M Billets Reports'!D609)),TRIM(MID('R.M Billets Reports'!D609,SEARCH("-",'R.M Billets Reports'!D609)+1,200)),"")),IF(ISNUMBER(SEARCH("Party Name:-",'R.M Billets Reports'!D610)),TRIM('R.M Billets Reports'!F610),IF(ISNUMBER(SEARCH("Party Name-",'R.M Billets Reports'!D610)),TRIM(MID('R.M Billets Reports'!D610,SEARCH("-",'R.M Billets Reports'!D610)+1,200)),"")))))),IF(ROW()=2,"",A609))</f>
      </c>
      <c r="B610">
        <f>IF(OR('R.M Billets Reports'!A609="Date-",'R.M Billets Reports'!A609="Date:-"),'R.M Billets Reports'!B609,IF(ROW()=2,"",B609))</f>
      </c>
      <c r="C610">
        <f>IF('R.M Billets Reports'!A609="V.No.",'R.M Billets Reports'!B609,IF(ROW()=2,"",C609))</f>
      </c>
      <c r="D610">
        <f>IF('R.M Billets Reports'!A609&lt;&gt;"",'R.M Billets Reports'!A609,IF(ROW()=2,"",D609))</f>
      </c>
      <c r="E610">
        <f>IF('R.M Billets Reports'!B609="","",TRIM('R.M Billets Reports'!B609))</f>
      </c>
      <c r="F610">
        <f>'R.M Billets Reports'!C609</f>
      </c>
      <c r="G610">
        <f>'R.M Billets Reports'!D609</f>
      </c>
      <c r="H610">
        <f>'R.M Billets Reports'!E609</f>
      </c>
      <c r="I610">
        <f>'R.M Billets Reports'!F609</f>
      </c>
      <c r="J610">
        <f>'R.M Billets Reports'!G609</f>
      </c>
      <c r="K610">
        <f>'R.M Billets Reports'!H609</f>
      </c>
      <c r="L610">
        <f>IF('R.M Billets Reports'!I609="","",'R.M Billets Reports'!I609)</f>
      </c>
      <c r="M610">
        <f t="shared" si="18"/>
      </c>
      <c r="N610">
        <f>IF('R.M Billets Reports'!J609="","",'R.M Billets Reports'!J609)</f>
      </c>
      <c r="O610">
        <f t="shared" si="19"/>
      </c>
      <c r="P610">
        <f>IF('R.M Billets Reports'!A609="SIZE",'R.M Billets Reports'!B609,P609)</f>
      </c>
    </row>
    <row r="611" spans="1:16" x14ac:dyDescent="0.25">
      <c r="A611">
        <f>IF(OR('R.M Billets Reports'!A610="Date-",'R.M Billets Reports'!A610="Date:-"),IF(IF(IF(ISNUMBER(SEARCH("Party Name:-",'R.M Billets Reports'!D610)),TRIM('R.M Billets Reports'!F610),IF(ISNUMBER(SEARCH("Party Name-",'R.M Billets Reports'!D610)),TRIM(MID('R.M Billets Reports'!D610,SEARCH("-",'R.M Billets Reports'!D610)+1,200)),""))&lt;&gt;"",IF(ISNUMBER(SEARCH("Party Name:-",'R.M Billets Reports'!D610)),TRIM('R.M Billets Reports'!F610),IF(ISNUMBER(SEARCH("Party Name-",'R.M Billets Reports'!D610)),TRIM(MID('R.M Billets Reports'!D610,SEARCH("-",'R.M Billets Reports'!D610)+1,200)),"")),IF(ISNUMBER(SEARCH("Party Name:-",'R.M Billets Reports'!D611)),TRIM('R.M Billets Reports'!F611),IF(ISNUMBER(SEARCH("Party Name-",'R.M Billets Reports'!D611)),TRIM(MID('R.M Billets Reports'!D611,SEARCH("-",'R.M Billets Reports'!D611)+1,200)),"")))="VRKP ISPAT PVT LTD","VRKP",IF(IF(IF(ISNUMBER(SEARCH("Party Name:-",'R.M Billets Reports'!D610)),TRIM('R.M Billets Reports'!F610),IF(ISNUMBER(SEARCH("Party Name-",'R.M Billets Reports'!D610)),TRIM(MID('R.M Billets Reports'!D610,SEARCH("-",'R.M Billets Reports'!D610)+1,200)),""))&lt;&gt;"",IF(ISNUMBER(SEARCH("Party Name:-",'R.M Billets Reports'!D610)),TRIM('R.M Billets Reports'!F610),IF(ISNUMBER(SEARCH("Party Name-",'R.M Billets Reports'!D610)),TRIM(MID('R.M Billets Reports'!D610,SEARCH("-",'R.M Billets Reports'!D610)+1,200)),"")),IF(ISNUMBER(SEARCH("Party Name:-",'R.M Billets Reports'!D611)),TRIM('R.M Billets Reports'!F611),IF(ISNUMBER(SEARCH("Party Name-",'R.M Billets Reports'!D611)),TRIM(MID('R.M Billets Reports'!D611,SEARCH("-",'R.M Billets Reports'!D611)+1,200)),"")))="SHRI RADHE","SHREE RADHE",IF(IF(IF(ISNUMBER(SEARCH("Party Name:-",'R.M Billets Reports'!D610)),TRIM('R.M Billets Reports'!F610),IF(ISNUMBER(SEARCH("Party Name-",'R.M Billets Reports'!D610)),TRIM(MID('R.M Billets Reports'!D610,SEARCH("-",'R.M Billets Reports'!D610)+1,200)),""))&lt;&gt;"",IF(ISNUMBER(SEARCH("Party Name:-",'R.M Billets Reports'!D610)),TRIM('R.M Billets Reports'!F610),IF(ISNUMBER(SEARCH("Party Name-",'R.M Billets Reports'!D610)),TRIM(MID('R.M Billets Reports'!D610,SEARCH("-",'R.M Billets Reports'!D610)+1,200)),"")),IF(ISNUMBER(SEARCH("Party Name:-",'R.M Billets Reports'!D611)),TRIM('R.M Billets Reports'!F611),IF(ISNUMBER(SEARCH("Party Name-",'R.M Billets Reports'!D611)),TRIM(MID('R.M Billets Reports'!D611,SEARCH("-",'R.M Billets Reports'!D611)+1,200)),"")))="SHREE RADHE SHAKTI SPONGE AND POWER PVT. LTD.","SHREE RADHE",IF(IF(ISNUMBER(SEARCH("Party Name:-",'R.M Billets Reports'!D610)),TRIM('R.M Billets Reports'!F610),IF(ISNUMBER(SEARCH("Party Name-",'R.M Billets Reports'!D610)),TRIM(MID('R.M Billets Reports'!D610,SEARCH("-",'R.M Billets Reports'!D610)+1,200)),""))&lt;&gt;"",IF(ISNUMBER(SEARCH("Party Name:-",'R.M Billets Reports'!D610)),TRIM('R.M Billets Reports'!F610),IF(ISNUMBER(SEARCH("Party Name-",'R.M Billets Reports'!D610)),TRIM(MID('R.M Billets Reports'!D610,SEARCH("-",'R.M Billets Reports'!D610)+1,200)),"")),IF(ISNUMBER(SEARCH("Party Name:-",'R.M Billets Reports'!D611)),TRIM('R.M Billets Reports'!F611),IF(ISNUMBER(SEARCH("Party Name-",'R.M Billets Reports'!D611)),TRIM(MID('R.M Billets Reports'!D611,SEARCH("-",'R.M Billets Reports'!D611)+1,200)),"")))))),IF(ROW()=2,"",A610))</f>
      </c>
      <c r="B611">
        <f>IF(OR('R.M Billets Reports'!A610="Date-",'R.M Billets Reports'!A610="Date:-"),'R.M Billets Reports'!B610,IF(ROW()=2,"",B610))</f>
      </c>
      <c r="C611">
        <f>IF('R.M Billets Reports'!A610="V.No.",'R.M Billets Reports'!B610,IF(ROW()=2,"",C610))</f>
      </c>
      <c r="D611">
        <f>IF('R.M Billets Reports'!A610&lt;&gt;"",'R.M Billets Reports'!A610,IF(ROW()=2,"",D610))</f>
      </c>
      <c r="E611">
        <f>IF('R.M Billets Reports'!B610="","",TRIM('R.M Billets Reports'!B610))</f>
      </c>
      <c r="F611">
        <f>'R.M Billets Reports'!C610</f>
      </c>
      <c r="G611">
        <f>'R.M Billets Reports'!D610</f>
      </c>
      <c r="H611">
        <f>'R.M Billets Reports'!E610</f>
      </c>
      <c r="I611">
        <f>'R.M Billets Reports'!F610</f>
      </c>
      <c r="J611">
        <f>'R.M Billets Reports'!G610</f>
      </c>
      <c r="K611">
        <f>'R.M Billets Reports'!H610</f>
      </c>
      <c r="L611">
        <f>IF('R.M Billets Reports'!I610="","",'R.M Billets Reports'!I610)</f>
      </c>
      <c r="M611">
        <f t="shared" si="18"/>
      </c>
      <c r="N611">
        <f>IF('R.M Billets Reports'!J610="","",'R.M Billets Reports'!J610)</f>
      </c>
      <c r="O611">
        <f t="shared" si="19"/>
      </c>
      <c r="P611">
        <f>IF('R.M Billets Reports'!A610="SIZE",'R.M Billets Reports'!B610,P610)</f>
      </c>
    </row>
    <row r="612" spans="1:16" x14ac:dyDescent="0.25">
      <c r="A612">
        <f>IF(OR('R.M Billets Reports'!A611="Date-",'R.M Billets Reports'!A611="Date:-"),IF(IF(IF(ISNUMBER(SEARCH("Party Name:-",'R.M Billets Reports'!D611)),TRIM('R.M Billets Reports'!F611),IF(ISNUMBER(SEARCH("Party Name-",'R.M Billets Reports'!D611)),TRIM(MID('R.M Billets Reports'!D611,SEARCH("-",'R.M Billets Reports'!D611)+1,200)),""))&lt;&gt;"",IF(ISNUMBER(SEARCH("Party Name:-",'R.M Billets Reports'!D611)),TRIM('R.M Billets Reports'!F611),IF(ISNUMBER(SEARCH("Party Name-",'R.M Billets Reports'!D611)),TRIM(MID('R.M Billets Reports'!D611,SEARCH("-",'R.M Billets Reports'!D611)+1,200)),"")),IF(ISNUMBER(SEARCH("Party Name:-",'R.M Billets Reports'!D612)),TRIM('R.M Billets Reports'!F612),IF(ISNUMBER(SEARCH("Party Name-",'R.M Billets Reports'!D612)),TRIM(MID('R.M Billets Reports'!D612,SEARCH("-",'R.M Billets Reports'!D612)+1,200)),"")))="VRKP ISPAT PVT LTD","VRKP",IF(IF(IF(ISNUMBER(SEARCH("Party Name:-",'R.M Billets Reports'!D611)),TRIM('R.M Billets Reports'!F611),IF(ISNUMBER(SEARCH("Party Name-",'R.M Billets Reports'!D611)),TRIM(MID('R.M Billets Reports'!D611,SEARCH("-",'R.M Billets Reports'!D611)+1,200)),""))&lt;&gt;"",IF(ISNUMBER(SEARCH("Party Name:-",'R.M Billets Reports'!D611)),TRIM('R.M Billets Reports'!F611),IF(ISNUMBER(SEARCH("Party Name-",'R.M Billets Reports'!D611)),TRIM(MID('R.M Billets Reports'!D611,SEARCH("-",'R.M Billets Reports'!D611)+1,200)),"")),IF(ISNUMBER(SEARCH("Party Name:-",'R.M Billets Reports'!D612)),TRIM('R.M Billets Reports'!F612),IF(ISNUMBER(SEARCH("Party Name-",'R.M Billets Reports'!D612)),TRIM(MID('R.M Billets Reports'!D612,SEARCH("-",'R.M Billets Reports'!D612)+1,200)),"")))="SHRI RADHE","SHREE RADHE",IF(IF(IF(ISNUMBER(SEARCH("Party Name:-",'R.M Billets Reports'!D611)),TRIM('R.M Billets Reports'!F611),IF(ISNUMBER(SEARCH("Party Name-",'R.M Billets Reports'!D611)),TRIM(MID('R.M Billets Reports'!D611,SEARCH("-",'R.M Billets Reports'!D611)+1,200)),""))&lt;&gt;"",IF(ISNUMBER(SEARCH("Party Name:-",'R.M Billets Reports'!D611)),TRIM('R.M Billets Reports'!F611),IF(ISNUMBER(SEARCH("Party Name-",'R.M Billets Reports'!D611)),TRIM(MID('R.M Billets Reports'!D611,SEARCH("-",'R.M Billets Reports'!D611)+1,200)),"")),IF(ISNUMBER(SEARCH("Party Name:-",'R.M Billets Reports'!D612)),TRIM('R.M Billets Reports'!F612),IF(ISNUMBER(SEARCH("Party Name-",'R.M Billets Reports'!D612)),TRIM(MID('R.M Billets Reports'!D612,SEARCH("-",'R.M Billets Reports'!D612)+1,200)),"")))="SHREE RADHE SHAKTI SPONGE AND POWER PVT. LTD.","SHREE RADHE",IF(IF(ISNUMBER(SEARCH("Party Name:-",'R.M Billets Reports'!D611)),TRIM('R.M Billets Reports'!F611),IF(ISNUMBER(SEARCH("Party Name-",'R.M Billets Reports'!D611)),TRIM(MID('R.M Billets Reports'!D611,SEARCH("-",'R.M Billets Reports'!D611)+1,200)),""))&lt;&gt;"",IF(ISNUMBER(SEARCH("Party Name:-",'R.M Billets Reports'!D611)),TRIM('R.M Billets Reports'!F611),IF(ISNUMBER(SEARCH("Party Name-",'R.M Billets Reports'!D611)),TRIM(MID('R.M Billets Reports'!D611,SEARCH("-",'R.M Billets Reports'!D611)+1,200)),"")),IF(ISNUMBER(SEARCH("Party Name:-",'R.M Billets Reports'!D612)),TRIM('R.M Billets Reports'!F612),IF(ISNUMBER(SEARCH("Party Name-",'R.M Billets Reports'!D612)),TRIM(MID('R.M Billets Reports'!D612,SEARCH("-",'R.M Billets Reports'!D612)+1,200)),"")))))),IF(ROW()=2,"",A611))</f>
      </c>
      <c r="B612">
        <f>IF(OR('R.M Billets Reports'!A611="Date-",'R.M Billets Reports'!A611="Date:-"),'R.M Billets Reports'!B611,IF(ROW()=2,"",B611))</f>
      </c>
      <c r="C612">
        <f>IF('R.M Billets Reports'!A611="V.No.",'R.M Billets Reports'!B611,IF(ROW()=2,"",C611))</f>
      </c>
      <c r="D612">
        <f>IF('R.M Billets Reports'!A611&lt;&gt;"",'R.M Billets Reports'!A611,IF(ROW()=2,"",D611))</f>
      </c>
      <c r="E612">
        <f>IF('R.M Billets Reports'!B611="","",TRIM('R.M Billets Reports'!B611))</f>
      </c>
      <c r="F612">
        <f>'R.M Billets Reports'!C611</f>
      </c>
      <c r="G612">
        <f>'R.M Billets Reports'!D611</f>
      </c>
      <c r="H612">
        <f>'R.M Billets Reports'!E611</f>
      </c>
      <c r="I612">
        <f>'R.M Billets Reports'!F611</f>
      </c>
      <c r="J612">
        <f>'R.M Billets Reports'!G611</f>
      </c>
      <c r="K612">
        <f>'R.M Billets Reports'!H611</f>
      </c>
      <c r="L612">
        <f>IF('R.M Billets Reports'!I611="","",'R.M Billets Reports'!I611)</f>
      </c>
      <c r="M612">
        <f t="shared" si="18"/>
      </c>
      <c r="N612">
        <f>IF('R.M Billets Reports'!J611="","",'R.M Billets Reports'!J611)</f>
      </c>
      <c r="O612">
        <f t="shared" si="19"/>
      </c>
      <c r="P612">
        <f>IF('R.M Billets Reports'!A611="SIZE",'R.M Billets Reports'!B611,P611)</f>
      </c>
    </row>
    <row r="613" spans="1:16" x14ac:dyDescent="0.25">
      <c r="A613">
        <f>IF(OR('R.M Billets Reports'!A612="Date-",'R.M Billets Reports'!A612="Date:-"),IF(IF(IF(ISNUMBER(SEARCH("Party Name:-",'R.M Billets Reports'!D612)),TRIM('R.M Billets Reports'!F612),IF(ISNUMBER(SEARCH("Party Name-",'R.M Billets Reports'!D612)),TRIM(MID('R.M Billets Reports'!D612,SEARCH("-",'R.M Billets Reports'!D612)+1,200)),""))&lt;&gt;"",IF(ISNUMBER(SEARCH("Party Name:-",'R.M Billets Reports'!D612)),TRIM('R.M Billets Reports'!F612),IF(ISNUMBER(SEARCH("Party Name-",'R.M Billets Reports'!D612)),TRIM(MID('R.M Billets Reports'!D612,SEARCH("-",'R.M Billets Reports'!D612)+1,200)),"")),IF(ISNUMBER(SEARCH("Party Name:-",'R.M Billets Reports'!D613)),TRIM('R.M Billets Reports'!F613),IF(ISNUMBER(SEARCH("Party Name-",'R.M Billets Reports'!D613)),TRIM(MID('R.M Billets Reports'!D613,SEARCH("-",'R.M Billets Reports'!D613)+1,200)),"")))="VRKP ISPAT PVT LTD","VRKP",IF(IF(IF(ISNUMBER(SEARCH("Party Name:-",'R.M Billets Reports'!D612)),TRIM('R.M Billets Reports'!F612),IF(ISNUMBER(SEARCH("Party Name-",'R.M Billets Reports'!D612)),TRIM(MID('R.M Billets Reports'!D612,SEARCH("-",'R.M Billets Reports'!D612)+1,200)),""))&lt;&gt;"",IF(ISNUMBER(SEARCH("Party Name:-",'R.M Billets Reports'!D612)),TRIM('R.M Billets Reports'!F612),IF(ISNUMBER(SEARCH("Party Name-",'R.M Billets Reports'!D612)),TRIM(MID('R.M Billets Reports'!D612,SEARCH("-",'R.M Billets Reports'!D612)+1,200)),"")),IF(ISNUMBER(SEARCH("Party Name:-",'R.M Billets Reports'!D613)),TRIM('R.M Billets Reports'!F613),IF(ISNUMBER(SEARCH("Party Name-",'R.M Billets Reports'!D613)),TRIM(MID('R.M Billets Reports'!D613,SEARCH("-",'R.M Billets Reports'!D613)+1,200)),"")))="SHRI RADHE","SHREE RADHE",IF(IF(IF(ISNUMBER(SEARCH("Party Name:-",'R.M Billets Reports'!D612)),TRIM('R.M Billets Reports'!F612),IF(ISNUMBER(SEARCH("Party Name-",'R.M Billets Reports'!D612)),TRIM(MID('R.M Billets Reports'!D612,SEARCH("-",'R.M Billets Reports'!D612)+1,200)),""))&lt;&gt;"",IF(ISNUMBER(SEARCH("Party Name:-",'R.M Billets Reports'!D612)),TRIM('R.M Billets Reports'!F612),IF(ISNUMBER(SEARCH("Party Name-",'R.M Billets Reports'!D612)),TRIM(MID('R.M Billets Reports'!D612,SEARCH("-",'R.M Billets Reports'!D612)+1,200)),"")),IF(ISNUMBER(SEARCH("Party Name:-",'R.M Billets Reports'!D613)),TRIM('R.M Billets Reports'!F613),IF(ISNUMBER(SEARCH("Party Name-",'R.M Billets Reports'!D613)),TRIM(MID('R.M Billets Reports'!D613,SEARCH("-",'R.M Billets Reports'!D613)+1,200)),"")))="SHREE RADHE SHAKTI SPONGE AND POWER PVT. LTD.","SHREE RADHE",IF(IF(ISNUMBER(SEARCH("Party Name:-",'R.M Billets Reports'!D612)),TRIM('R.M Billets Reports'!F612),IF(ISNUMBER(SEARCH("Party Name-",'R.M Billets Reports'!D612)),TRIM(MID('R.M Billets Reports'!D612,SEARCH("-",'R.M Billets Reports'!D612)+1,200)),""))&lt;&gt;"",IF(ISNUMBER(SEARCH("Party Name:-",'R.M Billets Reports'!D612)),TRIM('R.M Billets Reports'!F612),IF(ISNUMBER(SEARCH("Party Name-",'R.M Billets Reports'!D612)),TRIM(MID('R.M Billets Reports'!D612,SEARCH("-",'R.M Billets Reports'!D612)+1,200)),"")),IF(ISNUMBER(SEARCH("Party Name:-",'R.M Billets Reports'!D613)),TRIM('R.M Billets Reports'!F613),IF(ISNUMBER(SEARCH("Party Name-",'R.M Billets Reports'!D613)),TRIM(MID('R.M Billets Reports'!D613,SEARCH("-",'R.M Billets Reports'!D613)+1,200)),"")))))),IF(ROW()=2,"",A612))</f>
      </c>
      <c r="B613">
        <f>IF(OR('R.M Billets Reports'!A612="Date-",'R.M Billets Reports'!A612="Date:-"),'R.M Billets Reports'!B612,IF(ROW()=2,"",B612))</f>
      </c>
      <c r="C613">
        <f>IF('R.M Billets Reports'!A612="V.No.",'R.M Billets Reports'!B612,IF(ROW()=2,"",C612))</f>
      </c>
      <c r="D613">
        <f>IF('R.M Billets Reports'!A612&lt;&gt;"",'R.M Billets Reports'!A612,IF(ROW()=2,"",D612))</f>
      </c>
      <c r="E613">
        <f>IF('R.M Billets Reports'!B612="","",TRIM('R.M Billets Reports'!B612))</f>
      </c>
      <c r="F613">
        <f>'R.M Billets Reports'!C612</f>
      </c>
      <c r="G613">
        <f>'R.M Billets Reports'!D612</f>
      </c>
      <c r="H613">
        <f>'R.M Billets Reports'!E612</f>
      </c>
      <c r="I613">
        <f>'R.M Billets Reports'!F612</f>
      </c>
      <c r="J613">
        <f>'R.M Billets Reports'!G612</f>
      </c>
      <c r="K613">
        <f>'R.M Billets Reports'!H612</f>
      </c>
      <c r="L613">
        <f>IF('R.M Billets Reports'!I612="","",'R.M Billets Reports'!I612)</f>
      </c>
      <c r="M613">
        <f t="shared" si="18"/>
      </c>
      <c r="N613">
        <f>IF('R.M Billets Reports'!J612="","",'R.M Billets Reports'!J612)</f>
      </c>
      <c r="O613">
        <f t="shared" si="19"/>
      </c>
      <c r="P613">
        <f>IF('R.M Billets Reports'!A612="SIZE",'R.M Billets Reports'!B612,P612)</f>
      </c>
    </row>
    <row r="614" spans="1:16" x14ac:dyDescent="0.25">
      <c r="A614">
        <f>IF(OR('R.M Billets Reports'!A613="Date-",'R.M Billets Reports'!A613="Date:-"),IF(IF(IF(ISNUMBER(SEARCH("Party Name:-",'R.M Billets Reports'!D613)),TRIM('R.M Billets Reports'!F613),IF(ISNUMBER(SEARCH("Party Name-",'R.M Billets Reports'!D613)),TRIM(MID('R.M Billets Reports'!D613,SEARCH("-",'R.M Billets Reports'!D613)+1,200)),""))&lt;&gt;"",IF(ISNUMBER(SEARCH("Party Name:-",'R.M Billets Reports'!D613)),TRIM('R.M Billets Reports'!F613),IF(ISNUMBER(SEARCH("Party Name-",'R.M Billets Reports'!D613)),TRIM(MID('R.M Billets Reports'!D613,SEARCH("-",'R.M Billets Reports'!D613)+1,200)),"")),IF(ISNUMBER(SEARCH("Party Name:-",'R.M Billets Reports'!D614)),TRIM('R.M Billets Reports'!F614),IF(ISNUMBER(SEARCH("Party Name-",'R.M Billets Reports'!D614)),TRIM(MID('R.M Billets Reports'!D614,SEARCH("-",'R.M Billets Reports'!D614)+1,200)),"")))="VRKP ISPAT PVT LTD","VRKP",IF(IF(IF(ISNUMBER(SEARCH("Party Name:-",'R.M Billets Reports'!D613)),TRIM('R.M Billets Reports'!F613),IF(ISNUMBER(SEARCH("Party Name-",'R.M Billets Reports'!D613)),TRIM(MID('R.M Billets Reports'!D613,SEARCH("-",'R.M Billets Reports'!D613)+1,200)),""))&lt;&gt;"",IF(ISNUMBER(SEARCH("Party Name:-",'R.M Billets Reports'!D613)),TRIM('R.M Billets Reports'!F613),IF(ISNUMBER(SEARCH("Party Name-",'R.M Billets Reports'!D613)),TRIM(MID('R.M Billets Reports'!D613,SEARCH("-",'R.M Billets Reports'!D613)+1,200)),"")),IF(ISNUMBER(SEARCH("Party Name:-",'R.M Billets Reports'!D614)),TRIM('R.M Billets Reports'!F614),IF(ISNUMBER(SEARCH("Party Name-",'R.M Billets Reports'!D614)),TRIM(MID('R.M Billets Reports'!D614,SEARCH("-",'R.M Billets Reports'!D614)+1,200)),"")))="SHRI RADHE","SHREE RADHE",IF(IF(IF(ISNUMBER(SEARCH("Party Name:-",'R.M Billets Reports'!D613)),TRIM('R.M Billets Reports'!F613),IF(ISNUMBER(SEARCH("Party Name-",'R.M Billets Reports'!D613)),TRIM(MID('R.M Billets Reports'!D613,SEARCH("-",'R.M Billets Reports'!D613)+1,200)),""))&lt;&gt;"",IF(ISNUMBER(SEARCH("Party Name:-",'R.M Billets Reports'!D613)),TRIM('R.M Billets Reports'!F613),IF(ISNUMBER(SEARCH("Party Name-",'R.M Billets Reports'!D613)),TRIM(MID('R.M Billets Reports'!D613,SEARCH("-",'R.M Billets Reports'!D613)+1,200)),"")),IF(ISNUMBER(SEARCH("Party Name:-",'R.M Billets Reports'!D614)),TRIM('R.M Billets Reports'!F614),IF(ISNUMBER(SEARCH("Party Name-",'R.M Billets Reports'!D614)),TRIM(MID('R.M Billets Reports'!D614,SEARCH("-",'R.M Billets Reports'!D614)+1,200)),"")))="SHREE RADHE SHAKTI SPONGE AND POWER PVT. LTD.","SHREE RADHE",IF(IF(ISNUMBER(SEARCH("Party Name:-",'R.M Billets Reports'!D613)),TRIM('R.M Billets Reports'!F613),IF(ISNUMBER(SEARCH("Party Name-",'R.M Billets Reports'!D613)),TRIM(MID('R.M Billets Reports'!D613,SEARCH("-",'R.M Billets Reports'!D613)+1,200)),""))&lt;&gt;"",IF(ISNUMBER(SEARCH("Party Name:-",'R.M Billets Reports'!D613)),TRIM('R.M Billets Reports'!F613),IF(ISNUMBER(SEARCH("Party Name-",'R.M Billets Reports'!D613)),TRIM(MID('R.M Billets Reports'!D613,SEARCH("-",'R.M Billets Reports'!D613)+1,200)),"")),IF(ISNUMBER(SEARCH("Party Name:-",'R.M Billets Reports'!D614)),TRIM('R.M Billets Reports'!F614),IF(ISNUMBER(SEARCH("Party Name-",'R.M Billets Reports'!D614)),TRIM(MID('R.M Billets Reports'!D614,SEARCH("-",'R.M Billets Reports'!D614)+1,200)),"")))))),IF(ROW()=2,"",A613))</f>
      </c>
      <c r="B614">
        <f>IF(OR('R.M Billets Reports'!A613="Date-",'R.M Billets Reports'!A613="Date:-"),'R.M Billets Reports'!B613,IF(ROW()=2,"",B613))</f>
      </c>
      <c r="C614">
        <f>IF('R.M Billets Reports'!A613="V.No.",'R.M Billets Reports'!B613,IF(ROW()=2,"",C613))</f>
      </c>
      <c r="D614">
        <f>IF('R.M Billets Reports'!A613&lt;&gt;"",'R.M Billets Reports'!A613,IF(ROW()=2,"",D613))</f>
      </c>
      <c r="E614">
        <f>IF('R.M Billets Reports'!B613="","",TRIM('R.M Billets Reports'!B613))</f>
      </c>
      <c r="F614">
        <f>'R.M Billets Reports'!C613</f>
      </c>
      <c r="G614">
        <f>'R.M Billets Reports'!D613</f>
      </c>
      <c r="H614">
        <f>'R.M Billets Reports'!E613</f>
      </c>
      <c r="I614">
        <f>'R.M Billets Reports'!F613</f>
      </c>
      <c r="J614">
        <f>'R.M Billets Reports'!G613</f>
      </c>
      <c r="K614">
        <f>'R.M Billets Reports'!H613</f>
      </c>
      <c r="L614">
        <f>IF('R.M Billets Reports'!I613="","",'R.M Billets Reports'!I613)</f>
      </c>
      <c r="M614">
        <f t="shared" si="18"/>
      </c>
      <c r="N614">
        <f>IF('R.M Billets Reports'!J613="","",'R.M Billets Reports'!J613)</f>
      </c>
      <c r="O614">
        <f t="shared" si="19"/>
      </c>
      <c r="P614">
        <f>IF('R.M Billets Reports'!A613="SIZE",'R.M Billets Reports'!B613,P613)</f>
      </c>
    </row>
    <row r="615" spans="1:16" x14ac:dyDescent="0.25">
      <c r="A615">
        <f>IF(OR('R.M Billets Reports'!A614="Date-",'R.M Billets Reports'!A614="Date:-"),IF(IF(IF(ISNUMBER(SEARCH("Party Name:-",'R.M Billets Reports'!D614)),TRIM('R.M Billets Reports'!F614),IF(ISNUMBER(SEARCH("Party Name-",'R.M Billets Reports'!D614)),TRIM(MID('R.M Billets Reports'!D614,SEARCH("-",'R.M Billets Reports'!D614)+1,200)),""))&lt;&gt;"",IF(ISNUMBER(SEARCH("Party Name:-",'R.M Billets Reports'!D614)),TRIM('R.M Billets Reports'!F614),IF(ISNUMBER(SEARCH("Party Name-",'R.M Billets Reports'!D614)),TRIM(MID('R.M Billets Reports'!D614,SEARCH("-",'R.M Billets Reports'!D614)+1,200)),"")),IF(ISNUMBER(SEARCH("Party Name:-",'R.M Billets Reports'!D615)),TRIM('R.M Billets Reports'!F615),IF(ISNUMBER(SEARCH("Party Name-",'R.M Billets Reports'!D615)),TRIM(MID('R.M Billets Reports'!D615,SEARCH("-",'R.M Billets Reports'!D615)+1,200)),"")))="VRKP ISPAT PVT LTD","VRKP",IF(IF(IF(ISNUMBER(SEARCH("Party Name:-",'R.M Billets Reports'!D614)),TRIM('R.M Billets Reports'!F614),IF(ISNUMBER(SEARCH("Party Name-",'R.M Billets Reports'!D614)),TRIM(MID('R.M Billets Reports'!D614,SEARCH("-",'R.M Billets Reports'!D614)+1,200)),""))&lt;&gt;"",IF(ISNUMBER(SEARCH("Party Name:-",'R.M Billets Reports'!D614)),TRIM('R.M Billets Reports'!F614),IF(ISNUMBER(SEARCH("Party Name-",'R.M Billets Reports'!D614)),TRIM(MID('R.M Billets Reports'!D614,SEARCH("-",'R.M Billets Reports'!D614)+1,200)),"")),IF(ISNUMBER(SEARCH("Party Name:-",'R.M Billets Reports'!D615)),TRIM('R.M Billets Reports'!F615),IF(ISNUMBER(SEARCH("Party Name-",'R.M Billets Reports'!D615)),TRIM(MID('R.M Billets Reports'!D615,SEARCH("-",'R.M Billets Reports'!D615)+1,200)),"")))="SHRI RADHE","SHREE RADHE",IF(IF(IF(ISNUMBER(SEARCH("Party Name:-",'R.M Billets Reports'!D614)),TRIM('R.M Billets Reports'!F614),IF(ISNUMBER(SEARCH("Party Name-",'R.M Billets Reports'!D614)),TRIM(MID('R.M Billets Reports'!D614,SEARCH("-",'R.M Billets Reports'!D614)+1,200)),""))&lt;&gt;"",IF(ISNUMBER(SEARCH("Party Name:-",'R.M Billets Reports'!D614)),TRIM('R.M Billets Reports'!F614),IF(ISNUMBER(SEARCH("Party Name-",'R.M Billets Reports'!D614)),TRIM(MID('R.M Billets Reports'!D614,SEARCH("-",'R.M Billets Reports'!D614)+1,200)),"")),IF(ISNUMBER(SEARCH("Party Name:-",'R.M Billets Reports'!D615)),TRIM('R.M Billets Reports'!F615),IF(ISNUMBER(SEARCH("Party Name-",'R.M Billets Reports'!D615)),TRIM(MID('R.M Billets Reports'!D615,SEARCH("-",'R.M Billets Reports'!D615)+1,200)),"")))="SHREE RADHE SHAKTI SPONGE AND POWER PVT. LTD.","SHREE RADHE",IF(IF(ISNUMBER(SEARCH("Party Name:-",'R.M Billets Reports'!D614)),TRIM('R.M Billets Reports'!F614),IF(ISNUMBER(SEARCH("Party Name-",'R.M Billets Reports'!D614)),TRIM(MID('R.M Billets Reports'!D614,SEARCH("-",'R.M Billets Reports'!D614)+1,200)),""))&lt;&gt;"",IF(ISNUMBER(SEARCH("Party Name:-",'R.M Billets Reports'!D614)),TRIM('R.M Billets Reports'!F614),IF(ISNUMBER(SEARCH("Party Name-",'R.M Billets Reports'!D614)),TRIM(MID('R.M Billets Reports'!D614,SEARCH("-",'R.M Billets Reports'!D614)+1,200)),"")),IF(ISNUMBER(SEARCH("Party Name:-",'R.M Billets Reports'!D615)),TRIM('R.M Billets Reports'!F615),IF(ISNUMBER(SEARCH("Party Name-",'R.M Billets Reports'!D615)),TRIM(MID('R.M Billets Reports'!D615,SEARCH("-",'R.M Billets Reports'!D615)+1,200)),"")))))),IF(ROW()=2,"",A614))</f>
      </c>
      <c r="B615">
        <f>IF(OR('R.M Billets Reports'!A614="Date-",'R.M Billets Reports'!A614="Date:-"),'R.M Billets Reports'!B614,IF(ROW()=2,"",B614))</f>
      </c>
      <c r="C615">
        <f>IF('R.M Billets Reports'!A614="V.No.",'R.M Billets Reports'!B614,IF(ROW()=2,"",C614))</f>
      </c>
      <c r="D615">
        <f>IF('R.M Billets Reports'!A614&lt;&gt;"",'R.M Billets Reports'!A614,IF(ROW()=2,"",D614))</f>
      </c>
      <c r="E615">
        <f>IF('R.M Billets Reports'!B614="","",TRIM('R.M Billets Reports'!B614))</f>
      </c>
      <c r="F615">
        <f>'R.M Billets Reports'!C614</f>
      </c>
      <c r="G615">
        <f>'R.M Billets Reports'!D614</f>
      </c>
      <c r="H615">
        <f>'R.M Billets Reports'!E614</f>
      </c>
      <c r="I615">
        <f>'R.M Billets Reports'!F614</f>
      </c>
      <c r="J615">
        <f>'R.M Billets Reports'!G614</f>
      </c>
      <c r="K615">
        <f>'R.M Billets Reports'!H614</f>
      </c>
      <c r="L615">
        <f>IF('R.M Billets Reports'!I614="","",'R.M Billets Reports'!I614)</f>
      </c>
      <c r="M615">
        <f t="shared" si="18"/>
      </c>
      <c r="N615">
        <f>IF('R.M Billets Reports'!J614="","",'R.M Billets Reports'!J614)</f>
      </c>
      <c r="O615">
        <f t="shared" si="19"/>
      </c>
      <c r="P615">
        <f>IF('R.M Billets Reports'!A614="SIZE",'R.M Billets Reports'!B614,P614)</f>
      </c>
    </row>
    <row r="616" spans="1:16" x14ac:dyDescent="0.25">
      <c r="A616">
        <f>IF(OR('R.M Billets Reports'!A615="Date-",'R.M Billets Reports'!A615="Date:-"),IF(IF(IF(ISNUMBER(SEARCH("Party Name:-",'R.M Billets Reports'!D615)),TRIM('R.M Billets Reports'!F615),IF(ISNUMBER(SEARCH("Party Name-",'R.M Billets Reports'!D615)),TRIM(MID('R.M Billets Reports'!D615,SEARCH("-",'R.M Billets Reports'!D615)+1,200)),""))&lt;&gt;"",IF(ISNUMBER(SEARCH("Party Name:-",'R.M Billets Reports'!D615)),TRIM('R.M Billets Reports'!F615),IF(ISNUMBER(SEARCH("Party Name-",'R.M Billets Reports'!D615)),TRIM(MID('R.M Billets Reports'!D615,SEARCH("-",'R.M Billets Reports'!D615)+1,200)),"")),IF(ISNUMBER(SEARCH("Party Name:-",'R.M Billets Reports'!D616)),TRIM('R.M Billets Reports'!F616),IF(ISNUMBER(SEARCH("Party Name-",'R.M Billets Reports'!D616)),TRIM(MID('R.M Billets Reports'!D616,SEARCH("-",'R.M Billets Reports'!D616)+1,200)),"")))="VRKP ISPAT PVT LTD","VRKP",IF(IF(IF(ISNUMBER(SEARCH("Party Name:-",'R.M Billets Reports'!D615)),TRIM('R.M Billets Reports'!F615),IF(ISNUMBER(SEARCH("Party Name-",'R.M Billets Reports'!D615)),TRIM(MID('R.M Billets Reports'!D615,SEARCH("-",'R.M Billets Reports'!D615)+1,200)),""))&lt;&gt;"",IF(ISNUMBER(SEARCH("Party Name:-",'R.M Billets Reports'!D615)),TRIM('R.M Billets Reports'!F615),IF(ISNUMBER(SEARCH("Party Name-",'R.M Billets Reports'!D615)),TRIM(MID('R.M Billets Reports'!D615,SEARCH("-",'R.M Billets Reports'!D615)+1,200)),"")),IF(ISNUMBER(SEARCH("Party Name:-",'R.M Billets Reports'!D616)),TRIM('R.M Billets Reports'!F616),IF(ISNUMBER(SEARCH("Party Name-",'R.M Billets Reports'!D616)),TRIM(MID('R.M Billets Reports'!D616,SEARCH("-",'R.M Billets Reports'!D616)+1,200)),"")))="SHRI RADHE","SHREE RADHE",IF(IF(IF(ISNUMBER(SEARCH("Party Name:-",'R.M Billets Reports'!D615)),TRIM('R.M Billets Reports'!F615),IF(ISNUMBER(SEARCH("Party Name-",'R.M Billets Reports'!D615)),TRIM(MID('R.M Billets Reports'!D615,SEARCH("-",'R.M Billets Reports'!D615)+1,200)),""))&lt;&gt;"",IF(ISNUMBER(SEARCH("Party Name:-",'R.M Billets Reports'!D615)),TRIM('R.M Billets Reports'!F615),IF(ISNUMBER(SEARCH("Party Name-",'R.M Billets Reports'!D615)),TRIM(MID('R.M Billets Reports'!D615,SEARCH("-",'R.M Billets Reports'!D615)+1,200)),"")),IF(ISNUMBER(SEARCH("Party Name:-",'R.M Billets Reports'!D616)),TRIM('R.M Billets Reports'!F616),IF(ISNUMBER(SEARCH("Party Name-",'R.M Billets Reports'!D616)),TRIM(MID('R.M Billets Reports'!D616,SEARCH("-",'R.M Billets Reports'!D616)+1,200)),"")))="SHREE RADHE SHAKTI SPONGE AND POWER PVT. LTD.","SHREE RADHE",IF(IF(ISNUMBER(SEARCH("Party Name:-",'R.M Billets Reports'!D615)),TRIM('R.M Billets Reports'!F615),IF(ISNUMBER(SEARCH("Party Name-",'R.M Billets Reports'!D615)),TRIM(MID('R.M Billets Reports'!D615,SEARCH("-",'R.M Billets Reports'!D615)+1,200)),""))&lt;&gt;"",IF(ISNUMBER(SEARCH("Party Name:-",'R.M Billets Reports'!D615)),TRIM('R.M Billets Reports'!F615),IF(ISNUMBER(SEARCH("Party Name-",'R.M Billets Reports'!D615)),TRIM(MID('R.M Billets Reports'!D615,SEARCH("-",'R.M Billets Reports'!D615)+1,200)),"")),IF(ISNUMBER(SEARCH("Party Name:-",'R.M Billets Reports'!D616)),TRIM('R.M Billets Reports'!F616),IF(ISNUMBER(SEARCH("Party Name-",'R.M Billets Reports'!D616)),TRIM(MID('R.M Billets Reports'!D616,SEARCH("-",'R.M Billets Reports'!D616)+1,200)),"")))))),IF(ROW()=2,"",A615))</f>
      </c>
      <c r="B616">
        <f>IF(OR('R.M Billets Reports'!A615="Date-",'R.M Billets Reports'!A615="Date:-"),'R.M Billets Reports'!B615,IF(ROW()=2,"",B615))</f>
      </c>
      <c r="C616">
        <f>IF('R.M Billets Reports'!A615="V.No.",'R.M Billets Reports'!B615,IF(ROW()=2,"",C615))</f>
      </c>
      <c r="D616">
        <f>IF('R.M Billets Reports'!A615&lt;&gt;"",'R.M Billets Reports'!A615,IF(ROW()=2,"",D615))</f>
      </c>
      <c r="E616">
        <f>IF('R.M Billets Reports'!B615="","",TRIM('R.M Billets Reports'!B615))</f>
      </c>
      <c r="F616">
        <f>'R.M Billets Reports'!C615</f>
      </c>
      <c r="G616">
        <f>'R.M Billets Reports'!D615</f>
      </c>
      <c r="H616">
        <f>'R.M Billets Reports'!E615</f>
      </c>
      <c r="I616">
        <f>'R.M Billets Reports'!F615</f>
      </c>
      <c r="J616">
        <f>'R.M Billets Reports'!G615</f>
      </c>
      <c r="K616">
        <f>'R.M Billets Reports'!H615</f>
      </c>
      <c r="L616">
        <f>IF('R.M Billets Reports'!I615="","",'R.M Billets Reports'!I615)</f>
      </c>
      <c r="M616">
        <f t="shared" si="18"/>
      </c>
      <c r="N616">
        <f>IF('R.M Billets Reports'!J615="","",'R.M Billets Reports'!J615)</f>
      </c>
      <c r="O616">
        <f t="shared" si="19"/>
      </c>
      <c r="P616">
        <f>IF('R.M Billets Reports'!A615="SIZE",'R.M Billets Reports'!B615,P615)</f>
      </c>
    </row>
    <row r="617" spans="1:16" x14ac:dyDescent="0.25">
      <c r="A617">
        <f>IF(OR('R.M Billets Reports'!A616="Date-",'R.M Billets Reports'!A616="Date:-"),IF(IF(IF(ISNUMBER(SEARCH("Party Name:-",'R.M Billets Reports'!D616)),TRIM('R.M Billets Reports'!F616),IF(ISNUMBER(SEARCH("Party Name-",'R.M Billets Reports'!D616)),TRIM(MID('R.M Billets Reports'!D616,SEARCH("-",'R.M Billets Reports'!D616)+1,200)),""))&lt;&gt;"",IF(ISNUMBER(SEARCH("Party Name:-",'R.M Billets Reports'!D616)),TRIM('R.M Billets Reports'!F616),IF(ISNUMBER(SEARCH("Party Name-",'R.M Billets Reports'!D616)),TRIM(MID('R.M Billets Reports'!D616,SEARCH("-",'R.M Billets Reports'!D616)+1,200)),"")),IF(ISNUMBER(SEARCH("Party Name:-",'R.M Billets Reports'!D617)),TRIM('R.M Billets Reports'!F617),IF(ISNUMBER(SEARCH("Party Name-",'R.M Billets Reports'!D617)),TRIM(MID('R.M Billets Reports'!D617,SEARCH("-",'R.M Billets Reports'!D617)+1,200)),"")))="VRKP ISPAT PVT LTD","VRKP",IF(IF(IF(ISNUMBER(SEARCH("Party Name:-",'R.M Billets Reports'!D616)),TRIM('R.M Billets Reports'!F616),IF(ISNUMBER(SEARCH("Party Name-",'R.M Billets Reports'!D616)),TRIM(MID('R.M Billets Reports'!D616,SEARCH("-",'R.M Billets Reports'!D616)+1,200)),""))&lt;&gt;"",IF(ISNUMBER(SEARCH("Party Name:-",'R.M Billets Reports'!D616)),TRIM('R.M Billets Reports'!F616),IF(ISNUMBER(SEARCH("Party Name-",'R.M Billets Reports'!D616)),TRIM(MID('R.M Billets Reports'!D616,SEARCH("-",'R.M Billets Reports'!D616)+1,200)),"")),IF(ISNUMBER(SEARCH("Party Name:-",'R.M Billets Reports'!D617)),TRIM('R.M Billets Reports'!F617),IF(ISNUMBER(SEARCH("Party Name-",'R.M Billets Reports'!D617)),TRIM(MID('R.M Billets Reports'!D617,SEARCH("-",'R.M Billets Reports'!D617)+1,200)),"")))="SHRI RADHE","SHREE RADHE",IF(IF(IF(ISNUMBER(SEARCH("Party Name:-",'R.M Billets Reports'!D616)),TRIM('R.M Billets Reports'!F616),IF(ISNUMBER(SEARCH("Party Name-",'R.M Billets Reports'!D616)),TRIM(MID('R.M Billets Reports'!D616,SEARCH("-",'R.M Billets Reports'!D616)+1,200)),""))&lt;&gt;"",IF(ISNUMBER(SEARCH("Party Name:-",'R.M Billets Reports'!D616)),TRIM('R.M Billets Reports'!F616),IF(ISNUMBER(SEARCH("Party Name-",'R.M Billets Reports'!D616)),TRIM(MID('R.M Billets Reports'!D616,SEARCH("-",'R.M Billets Reports'!D616)+1,200)),"")),IF(ISNUMBER(SEARCH("Party Name:-",'R.M Billets Reports'!D617)),TRIM('R.M Billets Reports'!F617),IF(ISNUMBER(SEARCH("Party Name-",'R.M Billets Reports'!D617)),TRIM(MID('R.M Billets Reports'!D617,SEARCH("-",'R.M Billets Reports'!D617)+1,200)),"")))="SHREE RADHE SHAKTI SPONGE AND POWER PVT. LTD.","SHREE RADHE",IF(IF(ISNUMBER(SEARCH("Party Name:-",'R.M Billets Reports'!D616)),TRIM('R.M Billets Reports'!F616),IF(ISNUMBER(SEARCH("Party Name-",'R.M Billets Reports'!D616)),TRIM(MID('R.M Billets Reports'!D616,SEARCH("-",'R.M Billets Reports'!D616)+1,200)),""))&lt;&gt;"",IF(ISNUMBER(SEARCH("Party Name:-",'R.M Billets Reports'!D616)),TRIM('R.M Billets Reports'!F616),IF(ISNUMBER(SEARCH("Party Name-",'R.M Billets Reports'!D616)),TRIM(MID('R.M Billets Reports'!D616,SEARCH("-",'R.M Billets Reports'!D616)+1,200)),"")),IF(ISNUMBER(SEARCH("Party Name:-",'R.M Billets Reports'!D617)),TRIM('R.M Billets Reports'!F617),IF(ISNUMBER(SEARCH("Party Name-",'R.M Billets Reports'!D617)),TRIM(MID('R.M Billets Reports'!D617,SEARCH("-",'R.M Billets Reports'!D617)+1,200)),"")))))),IF(ROW()=2,"",A616))</f>
      </c>
      <c r="B617">
        <f>IF(OR('R.M Billets Reports'!A616="Date-",'R.M Billets Reports'!A616="Date:-"),'R.M Billets Reports'!B616,IF(ROW()=2,"",B616))</f>
      </c>
      <c r="C617">
        <f>IF('R.M Billets Reports'!A616="V.No.",'R.M Billets Reports'!B616,IF(ROW()=2,"",C616))</f>
      </c>
      <c r="D617">
        <f>IF('R.M Billets Reports'!A616&lt;&gt;"",'R.M Billets Reports'!A616,IF(ROW()=2,"",D616))</f>
      </c>
      <c r="E617">
        <f>IF('R.M Billets Reports'!B616="","",TRIM('R.M Billets Reports'!B616))</f>
      </c>
      <c r="F617">
        <f>'R.M Billets Reports'!C616</f>
      </c>
      <c r="G617">
        <f>'R.M Billets Reports'!D616</f>
      </c>
      <c r="H617">
        <f>'R.M Billets Reports'!E616</f>
      </c>
      <c r="I617">
        <f>'R.M Billets Reports'!F616</f>
      </c>
      <c r="J617">
        <f>'R.M Billets Reports'!G616</f>
      </c>
      <c r="K617">
        <f>'R.M Billets Reports'!H616</f>
      </c>
      <c r="L617">
        <f>IF('R.M Billets Reports'!I616="","",'R.M Billets Reports'!I616)</f>
      </c>
      <c r="M617">
        <f t="shared" si="18"/>
      </c>
      <c r="N617">
        <f>IF('R.M Billets Reports'!J616="","",'R.M Billets Reports'!J616)</f>
      </c>
      <c r="O617">
        <f t="shared" si="19"/>
      </c>
      <c r="P617">
        <f>IF('R.M Billets Reports'!A616="SIZE",'R.M Billets Reports'!B616,P616)</f>
      </c>
    </row>
    <row r="618" spans="1:16" x14ac:dyDescent="0.25">
      <c r="A618">
        <f>IF(OR('R.M Billets Reports'!A617="Date-",'R.M Billets Reports'!A617="Date:-"),IF(IF(IF(ISNUMBER(SEARCH("Party Name:-",'R.M Billets Reports'!D617)),TRIM('R.M Billets Reports'!F617),IF(ISNUMBER(SEARCH("Party Name-",'R.M Billets Reports'!D617)),TRIM(MID('R.M Billets Reports'!D617,SEARCH("-",'R.M Billets Reports'!D617)+1,200)),""))&lt;&gt;"",IF(ISNUMBER(SEARCH("Party Name:-",'R.M Billets Reports'!D617)),TRIM('R.M Billets Reports'!F617),IF(ISNUMBER(SEARCH("Party Name-",'R.M Billets Reports'!D617)),TRIM(MID('R.M Billets Reports'!D617,SEARCH("-",'R.M Billets Reports'!D617)+1,200)),"")),IF(ISNUMBER(SEARCH("Party Name:-",'R.M Billets Reports'!D618)),TRIM('R.M Billets Reports'!F618),IF(ISNUMBER(SEARCH("Party Name-",'R.M Billets Reports'!D618)),TRIM(MID('R.M Billets Reports'!D618,SEARCH("-",'R.M Billets Reports'!D618)+1,200)),"")))="VRKP ISPAT PVT LTD","VRKP",IF(IF(IF(ISNUMBER(SEARCH("Party Name:-",'R.M Billets Reports'!D617)),TRIM('R.M Billets Reports'!F617),IF(ISNUMBER(SEARCH("Party Name-",'R.M Billets Reports'!D617)),TRIM(MID('R.M Billets Reports'!D617,SEARCH("-",'R.M Billets Reports'!D617)+1,200)),""))&lt;&gt;"",IF(ISNUMBER(SEARCH("Party Name:-",'R.M Billets Reports'!D617)),TRIM('R.M Billets Reports'!F617),IF(ISNUMBER(SEARCH("Party Name-",'R.M Billets Reports'!D617)),TRIM(MID('R.M Billets Reports'!D617,SEARCH("-",'R.M Billets Reports'!D617)+1,200)),"")),IF(ISNUMBER(SEARCH("Party Name:-",'R.M Billets Reports'!D618)),TRIM('R.M Billets Reports'!F618),IF(ISNUMBER(SEARCH("Party Name-",'R.M Billets Reports'!D618)),TRIM(MID('R.M Billets Reports'!D618,SEARCH("-",'R.M Billets Reports'!D618)+1,200)),"")))="SHRI RADHE","SHREE RADHE",IF(IF(IF(ISNUMBER(SEARCH("Party Name:-",'R.M Billets Reports'!D617)),TRIM('R.M Billets Reports'!F617),IF(ISNUMBER(SEARCH("Party Name-",'R.M Billets Reports'!D617)),TRIM(MID('R.M Billets Reports'!D617,SEARCH("-",'R.M Billets Reports'!D617)+1,200)),""))&lt;&gt;"",IF(ISNUMBER(SEARCH("Party Name:-",'R.M Billets Reports'!D617)),TRIM('R.M Billets Reports'!F617),IF(ISNUMBER(SEARCH("Party Name-",'R.M Billets Reports'!D617)),TRIM(MID('R.M Billets Reports'!D617,SEARCH("-",'R.M Billets Reports'!D617)+1,200)),"")),IF(ISNUMBER(SEARCH("Party Name:-",'R.M Billets Reports'!D618)),TRIM('R.M Billets Reports'!F618),IF(ISNUMBER(SEARCH("Party Name-",'R.M Billets Reports'!D618)),TRIM(MID('R.M Billets Reports'!D618,SEARCH("-",'R.M Billets Reports'!D618)+1,200)),"")))="SHREE RADHE SHAKTI SPONGE AND POWER PVT. LTD.","SHREE RADHE",IF(IF(ISNUMBER(SEARCH("Party Name:-",'R.M Billets Reports'!D617)),TRIM('R.M Billets Reports'!F617),IF(ISNUMBER(SEARCH("Party Name-",'R.M Billets Reports'!D617)),TRIM(MID('R.M Billets Reports'!D617,SEARCH("-",'R.M Billets Reports'!D617)+1,200)),""))&lt;&gt;"",IF(ISNUMBER(SEARCH("Party Name:-",'R.M Billets Reports'!D617)),TRIM('R.M Billets Reports'!F617),IF(ISNUMBER(SEARCH("Party Name-",'R.M Billets Reports'!D617)),TRIM(MID('R.M Billets Reports'!D617,SEARCH("-",'R.M Billets Reports'!D617)+1,200)),"")),IF(ISNUMBER(SEARCH("Party Name:-",'R.M Billets Reports'!D618)),TRIM('R.M Billets Reports'!F618),IF(ISNUMBER(SEARCH("Party Name-",'R.M Billets Reports'!D618)),TRIM(MID('R.M Billets Reports'!D618,SEARCH("-",'R.M Billets Reports'!D618)+1,200)),"")))))),IF(ROW()=2,"",A617))</f>
      </c>
      <c r="B618">
        <f>IF(OR('R.M Billets Reports'!A617="Date-",'R.M Billets Reports'!A617="Date:-"),'R.M Billets Reports'!B617,IF(ROW()=2,"",B617))</f>
      </c>
      <c r="C618">
        <f>IF('R.M Billets Reports'!A617="V.No.",'R.M Billets Reports'!B617,IF(ROW()=2,"",C617))</f>
      </c>
      <c r="D618">
        <f>IF('R.M Billets Reports'!A617&lt;&gt;"",'R.M Billets Reports'!A617,IF(ROW()=2,"",D617))</f>
      </c>
      <c r="E618">
        <f>IF('R.M Billets Reports'!B617="","",TRIM('R.M Billets Reports'!B617))</f>
      </c>
      <c r="F618">
        <f>'R.M Billets Reports'!C617</f>
      </c>
      <c r="G618">
        <f>'R.M Billets Reports'!D617</f>
      </c>
      <c r="H618">
        <f>'R.M Billets Reports'!E617</f>
      </c>
      <c r="I618">
        <f>'R.M Billets Reports'!F617</f>
      </c>
      <c r="J618">
        <f>'R.M Billets Reports'!G617</f>
      </c>
      <c r="K618">
        <f>'R.M Billets Reports'!H617</f>
      </c>
      <c r="L618">
        <f>IF('R.M Billets Reports'!I617="","",'R.M Billets Reports'!I617)</f>
      </c>
      <c r="M618">
        <f t="shared" si="18"/>
      </c>
      <c r="N618">
        <f>IF('R.M Billets Reports'!J617="","",'R.M Billets Reports'!J617)</f>
      </c>
      <c r="O618">
        <f t="shared" si="19"/>
      </c>
      <c r="P618">
        <f>IF('R.M Billets Reports'!A617="SIZE",'R.M Billets Reports'!B617,P617)</f>
      </c>
    </row>
    <row r="619" spans="1:16" x14ac:dyDescent="0.25">
      <c r="A619">
        <f>IF(OR('R.M Billets Reports'!A618="Date-",'R.M Billets Reports'!A618="Date:-"),IF(IF(IF(ISNUMBER(SEARCH("Party Name:-",'R.M Billets Reports'!D618)),TRIM('R.M Billets Reports'!F618),IF(ISNUMBER(SEARCH("Party Name-",'R.M Billets Reports'!D618)),TRIM(MID('R.M Billets Reports'!D618,SEARCH("-",'R.M Billets Reports'!D618)+1,200)),""))&lt;&gt;"",IF(ISNUMBER(SEARCH("Party Name:-",'R.M Billets Reports'!D618)),TRIM('R.M Billets Reports'!F618),IF(ISNUMBER(SEARCH("Party Name-",'R.M Billets Reports'!D618)),TRIM(MID('R.M Billets Reports'!D618,SEARCH("-",'R.M Billets Reports'!D618)+1,200)),"")),IF(ISNUMBER(SEARCH("Party Name:-",'R.M Billets Reports'!D619)),TRIM('R.M Billets Reports'!F619),IF(ISNUMBER(SEARCH("Party Name-",'R.M Billets Reports'!D619)),TRIM(MID('R.M Billets Reports'!D619,SEARCH("-",'R.M Billets Reports'!D619)+1,200)),"")))="VRKP ISPAT PVT LTD","VRKP",IF(IF(IF(ISNUMBER(SEARCH("Party Name:-",'R.M Billets Reports'!D618)),TRIM('R.M Billets Reports'!F618),IF(ISNUMBER(SEARCH("Party Name-",'R.M Billets Reports'!D618)),TRIM(MID('R.M Billets Reports'!D618,SEARCH("-",'R.M Billets Reports'!D618)+1,200)),""))&lt;&gt;"",IF(ISNUMBER(SEARCH("Party Name:-",'R.M Billets Reports'!D618)),TRIM('R.M Billets Reports'!F618),IF(ISNUMBER(SEARCH("Party Name-",'R.M Billets Reports'!D618)),TRIM(MID('R.M Billets Reports'!D618,SEARCH("-",'R.M Billets Reports'!D618)+1,200)),"")),IF(ISNUMBER(SEARCH("Party Name:-",'R.M Billets Reports'!D619)),TRIM('R.M Billets Reports'!F619),IF(ISNUMBER(SEARCH("Party Name-",'R.M Billets Reports'!D619)),TRIM(MID('R.M Billets Reports'!D619,SEARCH("-",'R.M Billets Reports'!D619)+1,200)),"")))="SHRI RADHE","SHREE RADHE",IF(IF(IF(ISNUMBER(SEARCH("Party Name:-",'R.M Billets Reports'!D618)),TRIM('R.M Billets Reports'!F618),IF(ISNUMBER(SEARCH("Party Name-",'R.M Billets Reports'!D618)),TRIM(MID('R.M Billets Reports'!D618,SEARCH("-",'R.M Billets Reports'!D618)+1,200)),""))&lt;&gt;"",IF(ISNUMBER(SEARCH("Party Name:-",'R.M Billets Reports'!D618)),TRIM('R.M Billets Reports'!F618),IF(ISNUMBER(SEARCH("Party Name-",'R.M Billets Reports'!D618)),TRIM(MID('R.M Billets Reports'!D618,SEARCH("-",'R.M Billets Reports'!D618)+1,200)),"")),IF(ISNUMBER(SEARCH("Party Name:-",'R.M Billets Reports'!D619)),TRIM('R.M Billets Reports'!F619),IF(ISNUMBER(SEARCH("Party Name-",'R.M Billets Reports'!D619)),TRIM(MID('R.M Billets Reports'!D619,SEARCH("-",'R.M Billets Reports'!D619)+1,200)),"")))="SHREE RADHE SHAKTI SPONGE AND POWER PVT. LTD.","SHREE RADHE",IF(IF(ISNUMBER(SEARCH("Party Name:-",'R.M Billets Reports'!D618)),TRIM('R.M Billets Reports'!F618),IF(ISNUMBER(SEARCH("Party Name-",'R.M Billets Reports'!D618)),TRIM(MID('R.M Billets Reports'!D618,SEARCH("-",'R.M Billets Reports'!D618)+1,200)),""))&lt;&gt;"",IF(ISNUMBER(SEARCH("Party Name:-",'R.M Billets Reports'!D618)),TRIM('R.M Billets Reports'!F618),IF(ISNUMBER(SEARCH("Party Name-",'R.M Billets Reports'!D618)),TRIM(MID('R.M Billets Reports'!D618,SEARCH("-",'R.M Billets Reports'!D618)+1,200)),"")),IF(ISNUMBER(SEARCH("Party Name:-",'R.M Billets Reports'!D619)),TRIM('R.M Billets Reports'!F619),IF(ISNUMBER(SEARCH("Party Name-",'R.M Billets Reports'!D619)),TRIM(MID('R.M Billets Reports'!D619,SEARCH("-",'R.M Billets Reports'!D619)+1,200)),"")))))),IF(ROW()=2,"",A618))</f>
      </c>
      <c r="B619">
        <f>IF(OR('R.M Billets Reports'!A618="Date-",'R.M Billets Reports'!A618="Date:-"),'R.M Billets Reports'!B618,IF(ROW()=2,"",B618))</f>
      </c>
      <c r="C619">
        <f>IF('R.M Billets Reports'!A618="V.No.",'R.M Billets Reports'!B618,IF(ROW()=2,"",C618))</f>
      </c>
      <c r="D619">
        <f>IF('R.M Billets Reports'!A618&lt;&gt;"",'R.M Billets Reports'!A618,IF(ROW()=2,"",D618))</f>
      </c>
      <c r="E619">
        <f>IF('R.M Billets Reports'!B618="","",TRIM('R.M Billets Reports'!B618))</f>
      </c>
      <c r="F619">
        <f>'R.M Billets Reports'!C618</f>
      </c>
      <c r="G619">
        <f>'R.M Billets Reports'!D618</f>
      </c>
      <c r="H619">
        <f>'R.M Billets Reports'!E618</f>
      </c>
      <c r="I619">
        <f>'R.M Billets Reports'!F618</f>
      </c>
      <c r="J619">
        <f>'R.M Billets Reports'!G618</f>
      </c>
      <c r="K619">
        <f>'R.M Billets Reports'!H618</f>
      </c>
      <c r="L619">
        <f>IF('R.M Billets Reports'!I618="","",'R.M Billets Reports'!I618)</f>
      </c>
      <c r="M619">
        <f t="shared" si="18"/>
      </c>
      <c r="N619">
        <f>IF('R.M Billets Reports'!J618="","",'R.M Billets Reports'!J618)</f>
      </c>
      <c r="O619">
        <f t="shared" si="19"/>
      </c>
      <c r="P619">
        <f>IF('R.M Billets Reports'!A618="SIZE",'R.M Billets Reports'!B618,P618)</f>
      </c>
    </row>
    <row r="620" spans="1:16" x14ac:dyDescent="0.25">
      <c r="A620">
        <f>IF(OR('R.M Billets Reports'!A619="Date-",'R.M Billets Reports'!A619="Date:-"),IF(IF(IF(ISNUMBER(SEARCH("Party Name:-",'R.M Billets Reports'!D619)),TRIM('R.M Billets Reports'!F619),IF(ISNUMBER(SEARCH("Party Name-",'R.M Billets Reports'!D619)),TRIM(MID('R.M Billets Reports'!D619,SEARCH("-",'R.M Billets Reports'!D619)+1,200)),""))&lt;&gt;"",IF(ISNUMBER(SEARCH("Party Name:-",'R.M Billets Reports'!D619)),TRIM('R.M Billets Reports'!F619),IF(ISNUMBER(SEARCH("Party Name-",'R.M Billets Reports'!D619)),TRIM(MID('R.M Billets Reports'!D619,SEARCH("-",'R.M Billets Reports'!D619)+1,200)),"")),IF(ISNUMBER(SEARCH("Party Name:-",'R.M Billets Reports'!D620)),TRIM('R.M Billets Reports'!F620),IF(ISNUMBER(SEARCH("Party Name-",'R.M Billets Reports'!D620)),TRIM(MID('R.M Billets Reports'!D620,SEARCH("-",'R.M Billets Reports'!D620)+1,200)),"")))="VRKP ISPAT PVT LTD","VRKP",IF(IF(IF(ISNUMBER(SEARCH("Party Name:-",'R.M Billets Reports'!D619)),TRIM('R.M Billets Reports'!F619),IF(ISNUMBER(SEARCH("Party Name-",'R.M Billets Reports'!D619)),TRIM(MID('R.M Billets Reports'!D619,SEARCH("-",'R.M Billets Reports'!D619)+1,200)),""))&lt;&gt;"",IF(ISNUMBER(SEARCH("Party Name:-",'R.M Billets Reports'!D619)),TRIM('R.M Billets Reports'!F619),IF(ISNUMBER(SEARCH("Party Name-",'R.M Billets Reports'!D619)),TRIM(MID('R.M Billets Reports'!D619,SEARCH("-",'R.M Billets Reports'!D619)+1,200)),"")),IF(ISNUMBER(SEARCH("Party Name:-",'R.M Billets Reports'!D620)),TRIM('R.M Billets Reports'!F620),IF(ISNUMBER(SEARCH("Party Name-",'R.M Billets Reports'!D620)),TRIM(MID('R.M Billets Reports'!D620,SEARCH("-",'R.M Billets Reports'!D620)+1,200)),"")))="SHRI RADHE","SHREE RADHE",IF(IF(IF(ISNUMBER(SEARCH("Party Name:-",'R.M Billets Reports'!D619)),TRIM('R.M Billets Reports'!F619),IF(ISNUMBER(SEARCH("Party Name-",'R.M Billets Reports'!D619)),TRIM(MID('R.M Billets Reports'!D619,SEARCH("-",'R.M Billets Reports'!D619)+1,200)),""))&lt;&gt;"",IF(ISNUMBER(SEARCH("Party Name:-",'R.M Billets Reports'!D619)),TRIM('R.M Billets Reports'!F619),IF(ISNUMBER(SEARCH("Party Name-",'R.M Billets Reports'!D619)),TRIM(MID('R.M Billets Reports'!D619,SEARCH("-",'R.M Billets Reports'!D619)+1,200)),"")),IF(ISNUMBER(SEARCH("Party Name:-",'R.M Billets Reports'!D620)),TRIM('R.M Billets Reports'!F620),IF(ISNUMBER(SEARCH("Party Name-",'R.M Billets Reports'!D620)),TRIM(MID('R.M Billets Reports'!D620,SEARCH("-",'R.M Billets Reports'!D620)+1,200)),"")))="SHREE RADHE SHAKTI SPONGE AND POWER PVT. LTD.","SHREE RADHE",IF(IF(ISNUMBER(SEARCH("Party Name:-",'R.M Billets Reports'!D619)),TRIM('R.M Billets Reports'!F619),IF(ISNUMBER(SEARCH("Party Name-",'R.M Billets Reports'!D619)),TRIM(MID('R.M Billets Reports'!D619,SEARCH("-",'R.M Billets Reports'!D619)+1,200)),""))&lt;&gt;"",IF(ISNUMBER(SEARCH("Party Name:-",'R.M Billets Reports'!D619)),TRIM('R.M Billets Reports'!F619),IF(ISNUMBER(SEARCH("Party Name-",'R.M Billets Reports'!D619)),TRIM(MID('R.M Billets Reports'!D619,SEARCH("-",'R.M Billets Reports'!D619)+1,200)),"")),IF(ISNUMBER(SEARCH("Party Name:-",'R.M Billets Reports'!D620)),TRIM('R.M Billets Reports'!F620),IF(ISNUMBER(SEARCH("Party Name-",'R.M Billets Reports'!D620)),TRIM(MID('R.M Billets Reports'!D620,SEARCH("-",'R.M Billets Reports'!D620)+1,200)),"")))))),IF(ROW()=2,"",A619))</f>
      </c>
      <c r="B620">
        <f>IF(OR('R.M Billets Reports'!A619="Date-",'R.M Billets Reports'!A619="Date:-"),'R.M Billets Reports'!B619,IF(ROW()=2,"",B619))</f>
      </c>
      <c r="C620">
        <f>IF('R.M Billets Reports'!A619="V.No.",'R.M Billets Reports'!B619,IF(ROW()=2,"",C619))</f>
      </c>
      <c r="D620">
        <f>IF('R.M Billets Reports'!A619&lt;&gt;"",'R.M Billets Reports'!A619,IF(ROW()=2,"",D619))</f>
      </c>
      <c r="E620">
        <f>IF('R.M Billets Reports'!B619="","",TRIM('R.M Billets Reports'!B619))</f>
      </c>
      <c r="F620">
        <f>'R.M Billets Reports'!C619</f>
      </c>
      <c r="G620">
        <f>'R.M Billets Reports'!D619</f>
      </c>
      <c r="H620">
        <f>'R.M Billets Reports'!E619</f>
      </c>
      <c r="I620">
        <f>'R.M Billets Reports'!F619</f>
      </c>
      <c r="J620">
        <f>'R.M Billets Reports'!G619</f>
      </c>
      <c r="K620">
        <f>'R.M Billets Reports'!H619</f>
      </c>
      <c r="L620">
        <f>IF('R.M Billets Reports'!I619="","",'R.M Billets Reports'!I619)</f>
      </c>
      <c r="M620">
        <f t="shared" si="18"/>
      </c>
      <c r="N620">
        <f>IF('R.M Billets Reports'!J619="","",'R.M Billets Reports'!J619)</f>
      </c>
      <c r="O620">
        <f t="shared" si="19"/>
      </c>
      <c r="P620">
        <f>IF('R.M Billets Reports'!A619="SIZE",'R.M Billets Reports'!B619,P619)</f>
      </c>
    </row>
    <row r="621" spans="1:16" x14ac:dyDescent="0.25">
      <c r="A621">
        <f>IF(OR('R.M Billets Reports'!A620="Date-",'R.M Billets Reports'!A620="Date:-"),IF(IF(IF(ISNUMBER(SEARCH("Party Name:-",'R.M Billets Reports'!D620)),TRIM('R.M Billets Reports'!F620),IF(ISNUMBER(SEARCH("Party Name-",'R.M Billets Reports'!D620)),TRIM(MID('R.M Billets Reports'!D620,SEARCH("-",'R.M Billets Reports'!D620)+1,200)),""))&lt;&gt;"",IF(ISNUMBER(SEARCH("Party Name:-",'R.M Billets Reports'!D620)),TRIM('R.M Billets Reports'!F620),IF(ISNUMBER(SEARCH("Party Name-",'R.M Billets Reports'!D620)),TRIM(MID('R.M Billets Reports'!D620,SEARCH("-",'R.M Billets Reports'!D620)+1,200)),"")),IF(ISNUMBER(SEARCH("Party Name:-",'R.M Billets Reports'!D621)),TRIM('R.M Billets Reports'!F621),IF(ISNUMBER(SEARCH("Party Name-",'R.M Billets Reports'!D621)),TRIM(MID('R.M Billets Reports'!D621,SEARCH("-",'R.M Billets Reports'!D621)+1,200)),"")))="VRKP ISPAT PVT LTD","VRKP",IF(IF(IF(ISNUMBER(SEARCH("Party Name:-",'R.M Billets Reports'!D620)),TRIM('R.M Billets Reports'!F620),IF(ISNUMBER(SEARCH("Party Name-",'R.M Billets Reports'!D620)),TRIM(MID('R.M Billets Reports'!D620,SEARCH("-",'R.M Billets Reports'!D620)+1,200)),""))&lt;&gt;"",IF(ISNUMBER(SEARCH("Party Name:-",'R.M Billets Reports'!D620)),TRIM('R.M Billets Reports'!F620),IF(ISNUMBER(SEARCH("Party Name-",'R.M Billets Reports'!D620)),TRIM(MID('R.M Billets Reports'!D620,SEARCH("-",'R.M Billets Reports'!D620)+1,200)),"")),IF(ISNUMBER(SEARCH("Party Name:-",'R.M Billets Reports'!D621)),TRIM('R.M Billets Reports'!F621),IF(ISNUMBER(SEARCH("Party Name-",'R.M Billets Reports'!D621)),TRIM(MID('R.M Billets Reports'!D621,SEARCH("-",'R.M Billets Reports'!D621)+1,200)),"")))="SHRI RADHE","SHREE RADHE",IF(IF(IF(ISNUMBER(SEARCH("Party Name:-",'R.M Billets Reports'!D620)),TRIM('R.M Billets Reports'!F620),IF(ISNUMBER(SEARCH("Party Name-",'R.M Billets Reports'!D620)),TRIM(MID('R.M Billets Reports'!D620,SEARCH("-",'R.M Billets Reports'!D620)+1,200)),""))&lt;&gt;"",IF(ISNUMBER(SEARCH("Party Name:-",'R.M Billets Reports'!D620)),TRIM('R.M Billets Reports'!F620),IF(ISNUMBER(SEARCH("Party Name-",'R.M Billets Reports'!D620)),TRIM(MID('R.M Billets Reports'!D620,SEARCH("-",'R.M Billets Reports'!D620)+1,200)),"")),IF(ISNUMBER(SEARCH("Party Name:-",'R.M Billets Reports'!D621)),TRIM('R.M Billets Reports'!F621),IF(ISNUMBER(SEARCH("Party Name-",'R.M Billets Reports'!D621)),TRIM(MID('R.M Billets Reports'!D621,SEARCH("-",'R.M Billets Reports'!D621)+1,200)),"")))="SHREE RADHE SHAKTI SPONGE AND POWER PVT. LTD.","SHREE RADHE",IF(IF(ISNUMBER(SEARCH("Party Name:-",'R.M Billets Reports'!D620)),TRIM('R.M Billets Reports'!F620),IF(ISNUMBER(SEARCH("Party Name-",'R.M Billets Reports'!D620)),TRIM(MID('R.M Billets Reports'!D620,SEARCH("-",'R.M Billets Reports'!D620)+1,200)),""))&lt;&gt;"",IF(ISNUMBER(SEARCH("Party Name:-",'R.M Billets Reports'!D620)),TRIM('R.M Billets Reports'!F620),IF(ISNUMBER(SEARCH("Party Name-",'R.M Billets Reports'!D620)),TRIM(MID('R.M Billets Reports'!D620,SEARCH("-",'R.M Billets Reports'!D620)+1,200)),"")),IF(ISNUMBER(SEARCH("Party Name:-",'R.M Billets Reports'!D621)),TRIM('R.M Billets Reports'!F621),IF(ISNUMBER(SEARCH("Party Name-",'R.M Billets Reports'!D621)),TRIM(MID('R.M Billets Reports'!D621,SEARCH("-",'R.M Billets Reports'!D621)+1,200)),"")))))),IF(ROW()=2,"",A620))</f>
      </c>
      <c r="B621">
        <f>IF(OR('R.M Billets Reports'!A620="Date-",'R.M Billets Reports'!A620="Date:-"),'R.M Billets Reports'!B620,IF(ROW()=2,"",B620))</f>
      </c>
      <c r="C621">
        <f>IF('R.M Billets Reports'!A620="V.No.",'R.M Billets Reports'!B620,IF(ROW()=2,"",C620))</f>
      </c>
      <c r="D621">
        <f>IF('R.M Billets Reports'!A620&lt;&gt;"",'R.M Billets Reports'!A620,IF(ROW()=2,"",D620))</f>
      </c>
      <c r="E621">
        <f>IF('R.M Billets Reports'!B620="","",TRIM('R.M Billets Reports'!B620))</f>
      </c>
      <c r="F621">
        <f>'R.M Billets Reports'!C620</f>
      </c>
      <c r="G621">
        <f>'R.M Billets Reports'!D620</f>
      </c>
      <c r="H621">
        <f>'R.M Billets Reports'!E620</f>
      </c>
      <c r="I621">
        <f>'R.M Billets Reports'!F620</f>
      </c>
      <c r="J621">
        <f>'R.M Billets Reports'!G620</f>
      </c>
      <c r="K621">
        <f>'R.M Billets Reports'!H620</f>
      </c>
      <c r="L621">
        <f>IF('R.M Billets Reports'!I620="","",'R.M Billets Reports'!I620)</f>
      </c>
      <c r="M621">
        <f t="shared" si="18"/>
      </c>
      <c r="N621">
        <f>IF('R.M Billets Reports'!J620="","",'R.M Billets Reports'!J620)</f>
      </c>
      <c r="O621">
        <f t="shared" si="19"/>
      </c>
      <c r="P621">
        <f>IF('R.M Billets Reports'!A620="SIZE",'R.M Billets Reports'!B620,P620)</f>
      </c>
    </row>
    <row r="622" spans="1:16" x14ac:dyDescent="0.25">
      <c r="A622">
        <f>IF(OR('R.M Billets Reports'!A621="Date-",'R.M Billets Reports'!A621="Date:-"),IF(IF(IF(ISNUMBER(SEARCH("Party Name:-",'R.M Billets Reports'!D621)),TRIM('R.M Billets Reports'!F621),IF(ISNUMBER(SEARCH("Party Name-",'R.M Billets Reports'!D621)),TRIM(MID('R.M Billets Reports'!D621,SEARCH("-",'R.M Billets Reports'!D621)+1,200)),""))&lt;&gt;"",IF(ISNUMBER(SEARCH("Party Name:-",'R.M Billets Reports'!D621)),TRIM('R.M Billets Reports'!F621),IF(ISNUMBER(SEARCH("Party Name-",'R.M Billets Reports'!D621)),TRIM(MID('R.M Billets Reports'!D621,SEARCH("-",'R.M Billets Reports'!D621)+1,200)),"")),IF(ISNUMBER(SEARCH("Party Name:-",'R.M Billets Reports'!D622)),TRIM('R.M Billets Reports'!F622),IF(ISNUMBER(SEARCH("Party Name-",'R.M Billets Reports'!D622)),TRIM(MID('R.M Billets Reports'!D622,SEARCH("-",'R.M Billets Reports'!D622)+1,200)),"")))="VRKP ISPAT PVT LTD","VRKP",IF(IF(IF(ISNUMBER(SEARCH("Party Name:-",'R.M Billets Reports'!D621)),TRIM('R.M Billets Reports'!F621),IF(ISNUMBER(SEARCH("Party Name-",'R.M Billets Reports'!D621)),TRIM(MID('R.M Billets Reports'!D621,SEARCH("-",'R.M Billets Reports'!D621)+1,200)),""))&lt;&gt;"",IF(ISNUMBER(SEARCH("Party Name:-",'R.M Billets Reports'!D621)),TRIM('R.M Billets Reports'!F621),IF(ISNUMBER(SEARCH("Party Name-",'R.M Billets Reports'!D621)),TRIM(MID('R.M Billets Reports'!D621,SEARCH("-",'R.M Billets Reports'!D621)+1,200)),"")),IF(ISNUMBER(SEARCH("Party Name:-",'R.M Billets Reports'!D622)),TRIM('R.M Billets Reports'!F622),IF(ISNUMBER(SEARCH("Party Name-",'R.M Billets Reports'!D622)),TRIM(MID('R.M Billets Reports'!D622,SEARCH("-",'R.M Billets Reports'!D622)+1,200)),"")))="SHRI RADHE","SHREE RADHE",IF(IF(IF(ISNUMBER(SEARCH("Party Name:-",'R.M Billets Reports'!D621)),TRIM('R.M Billets Reports'!F621),IF(ISNUMBER(SEARCH("Party Name-",'R.M Billets Reports'!D621)),TRIM(MID('R.M Billets Reports'!D621,SEARCH("-",'R.M Billets Reports'!D621)+1,200)),""))&lt;&gt;"",IF(ISNUMBER(SEARCH("Party Name:-",'R.M Billets Reports'!D621)),TRIM('R.M Billets Reports'!F621),IF(ISNUMBER(SEARCH("Party Name-",'R.M Billets Reports'!D621)),TRIM(MID('R.M Billets Reports'!D621,SEARCH("-",'R.M Billets Reports'!D621)+1,200)),"")),IF(ISNUMBER(SEARCH("Party Name:-",'R.M Billets Reports'!D622)),TRIM('R.M Billets Reports'!F622),IF(ISNUMBER(SEARCH("Party Name-",'R.M Billets Reports'!D622)),TRIM(MID('R.M Billets Reports'!D622,SEARCH("-",'R.M Billets Reports'!D622)+1,200)),"")))="SHREE RADHE SHAKTI SPONGE AND POWER PVT. LTD.","SHREE RADHE",IF(IF(ISNUMBER(SEARCH("Party Name:-",'R.M Billets Reports'!D621)),TRIM('R.M Billets Reports'!F621),IF(ISNUMBER(SEARCH("Party Name-",'R.M Billets Reports'!D621)),TRIM(MID('R.M Billets Reports'!D621,SEARCH("-",'R.M Billets Reports'!D621)+1,200)),""))&lt;&gt;"",IF(ISNUMBER(SEARCH("Party Name:-",'R.M Billets Reports'!D621)),TRIM('R.M Billets Reports'!F621),IF(ISNUMBER(SEARCH("Party Name-",'R.M Billets Reports'!D621)),TRIM(MID('R.M Billets Reports'!D621,SEARCH("-",'R.M Billets Reports'!D621)+1,200)),"")),IF(ISNUMBER(SEARCH("Party Name:-",'R.M Billets Reports'!D622)),TRIM('R.M Billets Reports'!F622),IF(ISNUMBER(SEARCH("Party Name-",'R.M Billets Reports'!D622)),TRIM(MID('R.M Billets Reports'!D622,SEARCH("-",'R.M Billets Reports'!D622)+1,200)),"")))))),IF(ROW()=2,"",A621))</f>
      </c>
      <c r="B622">
        <f>IF(OR('R.M Billets Reports'!A621="Date-",'R.M Billets Reports'!A621="Date:-"),'R.M Billets Reports'!B621,IF(ROW()=2,"",B621))</f>
      </c>
      <c r="C622">
        <f>IF('R.M Billets Reports'!A621="V.No.",'R.M Billets Reports'!B621,IF(ROW()=2,"",C621))</f>
      </c>
      <c r="D622">
        <f>IF('R.M Billets Reports'!A621&lt;&gt;"",'R.M Billets Reports'!A621,IF(ROW()=2,"",D621))</f>
      </c>
      <c r="E622">
        <f>IF('R.M Billets Reports'!B621="","",TRIM('R.M Billets Reports'!B621))</f>
      </c>
      <c r="F622">
        <f>'R.M Billets Reports'!C621</f>
      </c>
      <c r="G622">
        <f>'R.M Billets Reports'!D621</f>
      </c>
      <c r="H622">
        <f>'R.M Billets Reports'!E621</f>
      </c>
      <c r="I622">
        <f>'R.M Billets Reports'!F621</f>
      </c>
      <c r="J622">
        <f>'R.M Billets Reports'!G621</f>
      </c>
      <c r="K622">
        <f>'R.M Billets Reports'!H621</f>
      </c>
      <c r="L622">
        <f>IF('R.M Billets Reports'!I621="","",'R.M Billets Reports'!I621)</f>
      </c>
      <c r="M622">
        <f t="shared" si="18"/>
      </c>
      <c r="N622">
        <f>IF('R.M Billets Reports'!J621="","",'R.M Billets Reports'!J621)</f>
      </c>
      <c r="O622">
        <f t="shared" si="19"/>
      </c>
      <c r="P622">
        <f>IF('R.M Billets Reports'!A621="SIZE",'R.M Billets Reports'!B621,P621)</f>
      </c>
    </row>
    <row r="623" spans="1:16" x14ac:dyDescent="0.25">
      <c r="A623">
        <f>IF(OR('R.M Billets Reports'!A622="Date-",'R.M Billets Reports'!A622="Date:-"),IF(IF(IF(ISNUMBER(SEARCH("Party Name:-",'R.M Billets Reports'!D622)),TRIM('R.M Billets Reports'!F622),IF(ISNUMBER(SEARCH("Party Name-",'R.M Billets Reports'!D622)),TRIM(MID('R.M Billets Reports'!D622,SEARCH("-",'R.M Billets Reports'!D622)+1,200)),""))&lt;&gt;"",IF(ISNUMBER(SEARCH("Party Name:-",'R.M Billets Reports'!D622)),TRIM('R.M Billets Reports'!F622),IF(ISNUMBER(SEARCH("Party Name-",'R.M Billets Reports'!D622)),TRIM(MID('R.M Billets Reports'!D622,SEARCH("-",'R.M Billets Reports'!D622)+1,200)),"")),IF(ISNUMBER(SEARCH("Party Name:-",'R.M Billets Reports'!D623)),TRIM('R.M Billets Reports'!F623),IF(ISNUMBER(SEARCH("Party Name-",'R.M Billets Reports'!D623)),TRIM(MID('R.M Billets Reports'!D623,SEARCH("-",'R.M Billets Reports'!D623)+1,200)),"")))="VRKP ISPAT PVT LTD","VRKP",IF(IF(IF(ISNUMBER(SEARCH("Party Name:-",'R.M Billets Reports'!D622)),TRIM('R.M Billets Reports'!F622),IF(ISNUMBER(SEARCH("Party Name-",'R.M Billets Reports'!D622)),TRIM(MID('R.M Billets Reports'!D622,SEARCH("-",'R.M Billets Reports'!D622)+1,200)),""))&lt;&gt;"",IF(ISNUMBER(SEARCH("Party Name:-",'R.M Billets Reports'!D622)),TRIM('R.M Billets Reports'!F622),IF(ISNUMBER(SEARCH("Party Name-",'R.M Billets Reports'!D622)),TRIM(MID('R.M Billets Reports'!D622,SEARCH("-",'R.M Billets Reports'!D622)+1,200)),"")),IF(ISNUMBER(SEARCH("Party Name:-",'R.M Billets Reports'!D623)),TRIM('R.M Billets Reports'!F623),IF(ISNUMBER(SEARCH("Party Name-",'R.M Billets Reports'!D623)),TRIM(MID('R.M Billets Reports'!D623,SEARCH("-",'R.M Billets Reports'!D623)+1,200)),"")))="SHRI RADHE","SHREE RADHE",IF(IF(IF(ISNUMBER(SEARCH("Party Name:-",'R.M Billets Reports'!D622)),TRIM('R.M Billets Reports'!F622),IF(ISNUMBER(SEARCH("Party Name-",'R.M Billets Reports'!D622)),TRIM(MID('R.M Billets Reports'!D622,SEARCH("-",'R.M Billets Reports'!D622)+1,200)),""))&lt;&gt;"",IF(ISNUMBER(SEARCH("Party Name:-",'R.M Billets Reports'!D622)),TRIM('R.M Billets Reports'!F622),IF(ISNUMBER(SEARCH("Party Name-",'R.M Billets Reports'!D622)),TRIM(MID('R.M Billets Reports'!D622,SEARCH("-",'R.M Billets Reports'!D622)+1,200)),"")),IF(ISNUMBER(SEARCH("Party Name:-",'R.M Billets Reports'!D623)),TRIM('R.M Billets Reports'!F623),IF(ISNUMBER(SEARCH("Party Name-",'R.M Billets Reports'!D623)),TRIM(MID('R.M Billets Reports'!D623,SEARCH("-",'R.M Billets Reports'!D623)+1,200)),"")))="SHREE RADHE SHAKTI SPONGE AND POWER PVT. LTD.","SHREE RADHE",IF(IF(ISNUMBER(SEARCH("Party Name:-",'R.M Billets Reports'!D622)),TRIM('R.M Billets Reports'!F622),IF(ISNUMBER(SEARCH("Party Name-",'R.M Billets Reports'!D622)),TRIM(MID('R.M Billets Reports'!D622,SEARCH("-",'R.M Billets Reports'!D622)+1,200)),""))&lt;&gt;"",IF(ISNUMBER(SEARCH("Party Name:-",'R.M Billets Reports'!D622)),TRIM('R.M Billets Reports'!F622),IF(ISNUMBER(SEARCH("Party Name-",'R.M Billets Reports'!D622)),TRIM(MID('R.M Billets Reports'!D622,SEARCH("-",'R.M Billets Reports'!D622)+1,200)),"")),IF(ISNUMBER(SEARCH("Party Name:-",'R.M Billets Reports'!D623)),TRIM('R.M Billets Reports'!F623),IF(ISNUMBER(SEARCH("Party Name-",'R.M Billets Reports'!D623)),TRIM(MID('R.M Billets Reports'!D623,SEARCH("-",'R.M Billets Reports'!D623)+1,200)),"")))))),IF(ROW()=2,"",A622))</f>
      </c>
      <c r="B623">
        <f>IF(OR('R.M Billets Reports'!A622="Date-",'R.M Billets Reports'!A622="Date:-"),'R.M Billets Reports'!B622,IF(ROW()=2,"",B622))</f>
      </c>
      <c r="C623">
        <f>IF('R.M Billets Reports'!A622="V.No.",'R.M Billets Reports'!B622,IF(ROW()=2,"",C622))</f>
      </c>
      <c r="D623">
        <f>IF('R.M Billets Reports'!A622&lt;&gt;"",'R.M Billets Reports'!A622,IF(ROW()=2,"",D622))</f>
      </c>
      <c r="E623">
        <f>IF('R.M Billets Reports'!B622="","",TRIM('R.M Billets Reports'!B622))</f>
      </c>
      <c r="F623">
        <f>'R.M Billets Reports'!C622</f>
      </c>
      <c r="G623">
        <f>'R.M Billets Reports'!D622</f>
      </c>
      <c r="H623">
        <f>'R.M Billets Reports'!E622</f>
      </c>
      <c r="I623">
        <f>'R.M Billets Reports'!F622</f>
      </c>
      <c r="J623">
        <f>'R.M Billets Reports'!G622</f>
      </c>
      <c r="K623">
        <f>'R.M Billets Reports'!H622</f>
      </c>
      <c r="L623">
        <f>IF('R.M Billets Reports'!I622="","",'R.M Billets Reports'!I622)</f>
      </c>
      <c r="M623">
        <f t="shared" si="18"/>
      </c>
      <c r="N623">
        <f>IF('R.M Billets Reports'!J622="","",'R.M Billets Reports'!J622)</f>
      </c>
      <c r="O623">
        <f t="shared" si="19"/>
      </c>
      <c r="P623">
        <f>IF('R.M Billets Reports'!A622="SIZE",'R.M Billets Reports'!B622,P622)</f>
      </c>
    </row>
    <row r="624" spans="1:16" x14ac:dyDescent="0.25">
      <c r="A624">
        <f>IF(OR('R.M Billets Reports'!A623="Date-",'R.M Billets Reports'!A623="Date:-"),IF(IF(IF(ISNUMBER(SEARCH("Party Name:-",'R.M Billets Reports'!D623)),TRIM('R.M Billets Reports'!F623),IF(ISNUMBER(SEARCH("Party Name-",'R.M Billets Reports'!D623)),TRIM(MID('R.M Billets Reports'!D623,SEARCH("-",'R.M Billets Reports'!D623)+1,200)),""))&lt;&gt;"",IF(ISNUMBER(SEARCH("Party Name:-",'R.M Billets Reports'!D623)),TRIM('R.M Billets Reports'!F623),IF(ISNUMBER(SEARCH("Party Name-",'R.M Billets Reports'!D623)),TRIM(MID('R.M Billets Reports'!D623,SEARCH("-",'R.M Billets Reports'!D623)+1,200)),"")),IF(ISNUMBER(SEARCH("Party Name:-",'R.M Billets Reports'!D624)),TRIM('R.M Billets Reports'!F624),IF(ISNUMBER(SEARCH("Party Name-",'R.M Billets Reports'!D624)),TRIM(MID('R.M Billets Reports'!D624,SEARCH("-",'R.M Billets Reports'!D624)+1,200)),"")))="VRKP ISPAT PVT LTD","VRKP",IF(IF(IF(ISNUMBER(SEARCH("Party Name:-",'R.M Billets Reports'!D623)),TRIM('R.M Billets Reports'!F623),IF(ISNUMBER(SEARCH("Party Name-",'R.M Billets Reports'!D623)),TRIM(MID('R.M Billets Reports'!D623,SEARCH("-",'R.M Billets Reports'!D623)+1,200)),""))&lt;&gt;"",IF(ISNUMBER(SEARCH("Party Name:-",'R.M Billets Reports'!D623)),TRIM('R.M Billets Reports'!F623),IF(ISNUMBER(SEARCH("Party Name-",'R.M Billets Reports'!D623)),TRIM(MID('R.M Billets Reports'!D623,SEARCH("-",'R.M Billets Reports'!D623)+1,200)),"")),IF(ISNUMBER(SEARCH("Party Name:-",'R.M Billets Reports'!D624)),TRIM('R.M Billets Reports'!F624),IF(ISNUMBER(SEARCH("Party Name-",'R.M Billets Reports'!D624)),TRIM(MID('R.M Billets Reports'!D624,SEARCH("-",'R.M Billets Reports'!D624)+1,200)),"")))="SHRI RADHE","SHREE RADHE",IF(IF(IF(ISNUMBER(SEARCH("Party Name:-",'R.M Billets Reports'!D623)),TRIM('R.M Billets Reports'!F623),IF(ISNUMBER(SEARCH("Party Name-",'R.M Billets Reports'!D623)),TRIM(MID('R.M Billets Reports'!D623,SEARCH("-",'R.M Billets Reports'!D623)+1,200)),""))&lt;&gt;"",IF(ISNUMBER(SEARCH("Party Name:-",'R.M Billets Reports'!D623)),TRIM('R.M Billets Reports'!F623),IF(ISNUMBER(SEARCH("Party Name-",'R.M Billets Reports'!D623)),TRIM(MID('R.M Billets Reports'!D623,SEARCH("-",'R.M Billets Reports'!D623)+1,200)),"")),IF(ISNUMBER(SEARCH("Party Name:-",'R.M Billets Reports'!D624)),TRIM('R.M Billets Reports'!F624),IF(ISNUMBER(SEARCH("Party Name-",'R.M Billets Reports'!D624)),TRIM(MID('R.M Billets Reports'!D624,SEARCH("-",'R.M Billets Reports'!D624)+1,200)),"")))="SHREE RADHE SHAKTI SPONGE AND POWER PVT. LTD.","SHREE RADHE",IF(IF(ISNUMBER(SEARCH("Party Name:-",'R.M Billets Reports'!D623)),TRIM('R.M Billets Reports'!F623),IF(ISNUMBER(SEARCH("Party Name-",'R.M Billets Reports'!D623)),TRIM(MID('R.M Billets Reports'!D623,SEARCH("-",'R.M Billets Reports'!D623)+1,200)),""))&lt;&gt;"",IF(ISNUMBER(SEARCH("Party Name:-",'R.M Billets Reports'!D623)),TRIM('R.M Billets Reports'!F623),IF(ISNUMBER(SEARCH("Party Name-",'R.M Billets Reports'!D623)),TRIM(MID('R.M Billets Reports'!D623,SEARCH("-",'R.M Billets Reports'!D623)+1,200)),"")),IF(ISNUMBER(SEARCH("Party Name:-",'R.M Billets Reports'!D624)),TRIM('R.M Billets Reports'!F624),IF(ISNUMBER(SEARCH("Party Name-",'R.M Billets Reports'!D624)),TRIM(MID('R.M Billets Reports'!D624,SEARCH("-",'R.M Billets Reports'!D624)+1,200)),"")))))),IF(ROW()=2,"",A623))</f>
      </c>
      <c r="B624">
        <f>IF(OR('R.M Billets Reports'!A623="Date-",'R.M Billets Reports'!A623="Date:-"),'R.M Billets Reports'!B623,IF(ROW()=2,"",B623))</f>
      </c>
      <c r="C624">
        <f>IF('R.M Billets Reports'!A623="V.No.",'R.M Billets Reports'!B623,IF(ROW()=2,"",C623))</f>
      </c>
      <c r="D624">
        <f>IF('R.M Billets Reports'!A623&lt;&gt;"",'R.M Billets Reports'!A623,IF(ROW()=2,"",D623))</f>
      </c>
      <c r="E624">
        <f>IF('R.M Billets Reports'!B623="","",TRIM('R.M Billets Reports'!B623))</f>
      </c>
      <c r="F624">
        <f>'R.M Billets Reports'!C623</f>
      </c>
      <c r="G624">
        <f>'R.M Billets Reports'!D623</f>
      </c>
      <c r="H624">
        <f>'R.M Billets Reports'!E623</f>
      </c>
      <c r="I624">
        <f>'R.M Billets Reports'!F623</f>
      </c>
      <c r="J624">
        <f>'R.M Billets Reports'!G623</f>
      </c>
      <c r="K624">
        <f>'R.M Billets Reports'!H623</f>
      </c>
      <c r="L624">
        <f>IF('R.M Billets Reports'!I623="","",'R.M Billets Reports'!I623)</f>
      </c>
      <c r="M624">
        <f t="shared" si="18"/>
      </c>
      <c r="N624">
        <f>IF('R.M Billets Reports'!J623="","",'R.M Billets Reports'!J623)</f>
      </c>
      <c r="O624">
        <f t="shared" si="19"/>
      </c>
      <c r="P624">
        <f>IF('R.M Billets Reports'!A623="SIZE",'R.M Billets Reports'!B623,P623)</f>
      </c>
    </row>
    <row r="625" spans="1:16" x14ac:dyDescent="0.25">
      <c r="A625">
        <f>IF(OR('R.M Billets Reports'!A624="Date-",'R.M Billets Reports'!A624="Date:-"),IF(IF(IF(ISNUMBER(SEARCH("Party Name:-",'R.M Billets Reports'!D624)),TRIM('R.M Billets Reports'!F624),IF(ISNUMBER(SEARCH("Party Name-",'R.M Billets Reports'!D624)),TRIM(MID('R.M Billets Reports'!D624,SEARCH("-",'R.M Billets Reports'!D624)+1,200)),""))&lt;&gt;"",IF(ISNUMBER(SEARCH("Party Name:-",'R.M Billets Reports'!D624)),TRIM('R.M Billets Reports'!F624),IF(ISNUMBER(SEARCH("Party Name-",'R.M Billets Reports'!D624)),TRIM(MID('R.M Billets Reports'!D624,SEARCH("-",'R.M Billets Reports'!D624)+1,200)),"")),IF(ISNUMBER(SEARCH("Party Name:-",'R.M Billets Reports'!D625)),TRIM('R.M Billets Reports'!F625),IF(ISNUMBER(SEARCH("Party Name-",'R.M Billets Reports'!D625)),TRIM(MID('R.M Billets Reports'!D625,SEARCH("-",'R.M Billets Reports'!D625)+1,200)),"")))="VRKP ISPAT PVT LTD","VRKP",IF(IF(IF(ISNUMBER(SEARCH("Party Name:-",'R.M Billets Reports'!D624)),TRIM('R.M Billets Reports'!F624),IF(ISNUMBER(SEARCH("Party Name-",'R.M Billets Reports'!D624)),TRIM(MID('R.M Billets Reports'!D624,SEARCH("-",'R.M Billets Reports'!D624)+1,200)),""))&lt;&gt;"",IF(ISNUMBER(SEARCH("Party Name:-",'R.M Billets Reports'!D624)),TRIM('R.M Billets Reports'!F624),IF(ISNUMBER(SEARCH("Party Name-",'R.M Billets Reports'!D624)),TRIM(MID('R.M Billets Reports'!D624,SEARCH("-",'R.M Billets Reports'!D624)+1,200)),"")),IF(ISNUMBER(SEARCH("Party Name:-",'R.M Billets Reports'!D625)),TRIM('R.M Billets Reports'!F625),IF(ISNUMBER(SEARCH("Party Name-",'R.M Billets Reports'!D625)),TRIM(MID('R.M Billets Reports'!D625,SEARCH("-",'R.M Billets Reports'!D625)+1,200)),"")))="SHRI RADHE","SHREE RADHE",IF(IF(IF(ISNUMBER(SEARCH("Party Name:-",'R.M Billets Reports'!D624)),TRIM('R.M Billets Reports'!F624),IF(ISNUMBER(SEARCH("Party Name-",'R.M Billets Reports'!D624)),TRIM(MID('R.M Billets Reports'!D624,SEARCH("-",'R.M Billets Reports'!D624)+1,200)),""))&lt;&gt;"",IF(ISNUMBER(SEARCH("Party Name:-",'R.M Billets Reports'!D624)),TRIM('R.M Billets Reports'!F624),IF(ISNUMBER(SEARCH("Party Name-",'R.M Billets Reports'!D624)),TRIM(MID('R.M Billets Reports'!D624,SEARCH("-",'R.M Billets Reports'!D624)+1,200)),"")),IF(ISNUMBER(SEARCH("Party Name:-",'R.M Billets Reports'!D625)),TRIM('R.M Billets Reports'!F625),IF(ISNUMBER(SEARCH("Party Name-",'R.M Billets Reports'!D625)),TRIM(MID('R.M Billets Reports'!D625,SEARCH("-",'R.M Billets Reports'!D625)+1,200)),"")))="SHREE RADHE SHAKTI SPONGE AND POWER PVT. LTD.","SHREE RADHE",IF(IF(ISNUMBER(SEARCH("Party Name:-",'R.M Billets Reports'!D624)),TRIM('R.M Billets Reports'!F624),IF(ISNUMBER(SEARCH("Party Name-",'R.M Billets Reports'!D624)),TRIM(MID('R.M Billets Reports'!D624,SEARCH("-",'R.M Billets Reports'!D624)+1,200)),""))&lt;&gt;"",IF(ISNUMBER(SEARCH("Party Name:-",'R.M Billets Reports'!D624)),TRIM('R.M Billets Reports'!F624),IF(ISNUMBER(SEARCH("Party Name-",'R.M Billets Reports'!D624)),TRIM(MID('R.M Billets Reports'!D624,SEARCH("-",'R.M Billets Reports'!D624)+1,200)),"")),IF(ISNUMBER(SEARCH("Party Name:-",'R.M Billets Reports'!D625)),TRIM('R.M Billets Reports'!F625),IF(ISNUMBER(SEARCH("Party Name-",'R.M Billets Reports'!D625)),TRIM(MID('R.M Billets Reports'!D625,SEARCH("-",'R.M Billets Reports'!D625)+1,200)),"")))))),IF(ROW()=2,"",A624))</f>
      </c>
      <c r="B625">
        <f>IF(OR('R.M Billets Reports'!A624="Date-",'R.M Billets Reports'!A624="Date:-"),'R.M Billets Reports'!B624,IF(ROW()=2,"",B624))</f>
      </c>
      <c r="C625">
        <f>IF('R.M Billets Reports'!A624="V.No.",'R.M Billets Reports'!B624,IF(ROW()=2,"",C624))</f>
      </c>
      <c r="D625">
        <f>IF('R.M Billets Reports'!A624&lt;&gt;"",'R.M Billets Reports'!A624,IF(ROW()=2,"",D624))</f>
      </c>
      <c r="E625">
        <f>IF('R.M Billets Reports'!B624="","",TRIM('R.M Billets Reports'!B624))</f>
      </c>
      <c r="F625">
        <f>'R.M Billets Reports'!C624</f>
      </c>
      <c r="G625">
        <f>'R.M Billets Reports'!D624</f>
      </c>
      <c r="H625">
        <f>'R.M Billets Reports'!E624</f>
      </c>
      <c r="I625">
        <f>'R.M Billets Reports'!F624</f>
      </c>
      <c r="J625">
        <f>'R.M Billets Reports'!G624</f>
      </c>
      <c r="K625">
        <f>'R.M Billets Reports'!H624</f>
      </c>
      <c r="L625">
        <f>IF('R.M Billets Reports'!I624="","",'R.M Billets Reports'!I624)</f>
      </c>
      <c r="M625">
        <f t="shared" si="18"/>
      </c>
      <c r="N625">
        <f>IF('R.M Billets Reports'!J624="","",'R.M Billets Reports'!J624)</f>
      </c>
      <c r="O625">
        <f t="shared" si="19"/>
      </c>
      <c r="P625">
        <f>IF('R.M Billets Reports'!A624="SIZE",'R.M Billets Reports'!B624,P624)</f>
      </c>
    </row>
    <row r="626" spans="1:16" x14ac:dyDescent="0.25">
      <c r="A626">
        <f>IF(OR('R.M Billets Reports'!A625="Date-",'R.M Billets Reports'!A625="Date:-"),IF(IF(IF(ISNUMBER(SEARCH("Party Name:-",'R.M Billets Reports'!D625)),TRIM('R.M Billets Reports'!F625),IF(ISNUMBER(SEARCH("Party Name-",'R.M Billets Reports'!D625)),TRIM(MID('R.M Billets Reports'!D625,SEARCH("-",'R.M Billets Reports'!D625)+1,200)),""))&lt;&gt;"",IF(ISNUMBER(SEARCH("Party Name:-",'R.M Billets Reports'!D625)),TRIM('R.M Billets Reports'!F625),IF(ISNUMBER(SEARCH("Party Name-",'R.M Billets Reports'!D625)),TRIM(MID('R.M Billets Reports'!D625,SEARCH("-",'R.M Billets Reports'!D625)+1,200)),"")),IF(ISNUMBER(SEARCH("Party Name:-",'R.M Billets Reports'!D626)),TRIM('R.M Billets Reports'!F626),IF(ISNUMBER(SEARCH("Party Name-",'R.M Billets Reports'!D626)),TRIM(MID('R.M Billets Reports'!D626,SEARCH("-",'R.M Billets Reports'!D626)+1,200)),"")))="VRKP ISPAT PVT LTD","VRKP",IF(IF(IF(ISNUMBER(SEARCH("Party Name:-",'R.M Billets Reports'!D625)),TRIM('R.M Billets Reports'!F625),IF(ISNUMBER(SEARCH("Party Name-",'R.M Billets Reports'!D625)),TRIM(MID('R.M Billets Reports'!D625,SEARCH("-",'R.M Billets Reports'!D625)+1,200)),""))&lt;&gt;"",IF(ISNUMBER(SEARCH("Party Name:-",'R.M Billets Reports'!D625)),TRIM('R.M Billets Reports'!F625),IF(ISNUMBER(SEARCH("Party Name-",'R.M Billets Reports'!D625)),TRIM(MID('R.M Billets Reports'!D625,SEARCH("-",'R.M Billets Reports'!D625)+1,200)),"")),IF(ISNUMBER(SEARCH("Party Name:-",'R.M Billets Reports'!D626)),TRIM('R.M Billets Reports'!F626),IF(ISNUMBER(SEARCH("Party Name-",'R.M Billets Reports'!D626)),TRIM(MID('R.M Billets Reports'!D626,SEARCH("-",'R.M Billets Reports'!D626)+1,200)),"")))="SHRI RADHE","SHREE RADHE",IF(IF(IF(ISNUMBER(SEARCH("Party Name:-",'R.M Billets Reports'!D625)),TRIM('R.M Billets Reports'!F625),IF(ISNUMBER(SEARCH("Party Name-",'R.M Billets Reports'!D625)),TRIM(MID('R.M Billets Reports'!D625,SEARCH("-",'R.M Billets Reports'!D625)+1,200)),""))&lt;&gt;"",IF(ISNUMBER(SEARCH("Party Name:-",'R.M Billets Reports'!D625)),TRIM('R.M Billets Reports'!F625),IF(ISNUMBER(SEARCH("Party Name-",'R.M Billets Reports'!D625)),TRIM(MID('R.M Billets Reports'!D625,SEARCH("-",'R.M Billets Reports'!D625)+1,200)),"")),IF(ISNUMBER(SEARCH("Party Name:-",'R.M Billets Reports'!D626)),TRIM('R.M Billets Reports'!F626),IF(ISNUMBER(SEARCH("Party Name-",'R.M Billets Reports'!D626)),TRIM(MID('R.M Billets Reports'!D626,SEARCH("-",'R.M Billets Reports'!D626)+1,200)),"")))="SHREE RADHE SHAKTI SPONGE AND POWER PVT. LTD.","SHREE RADHE",IF(IF(ISNUMBER(SEARCH("Party Name:-",'R.M Billets Reports'!D625)),TRIM('R.M Billets Reports'!F625),IF(ISNUMBER(SEARCH("Party Name-",'R.M Billets Reports'!D625)),TRIM(MID('R.M Billets Reports'!D625,SEARCH("-",'R.M Billets Reports'!D625)+1,200)),""))&lt;&gt;"",IF(ISNUMBER(SEARCH("Party Name:-",'R.M Billets Reports'!D625)),TRIM('R.M Billets Reports'!F625),IF(ISNUMBER(SEARCH("Party Name-",'R.M Billets Reports'!D625)),TRIM(MID('R.M Billets Reports'!D625,SEARCH("-",'R.M Billets Reports'!D625)+1,200)),"")),IF(ISNUMBER(SEARCH("Party Name:-",'R.M Billets Reports'!D626)),TRIM('R.M Billets Reports'!F626),IF(ISNUMBER(SEARCH("Party Name-",'R.M Billets Reports'!D626)),TRIM(MID('R.M Billets Reports'!D626,SEARCH("-",'R.M Billets Reports'!D626)+1,200)),"")))))),IF(ROW()=2,"",A625))</f>
      </c>
      <c r="B626">
        <f>IF(OR('R.M Billets Reports'!A625="Date-",'R.M Billets Reports'!A625="Date:-"),'R.M Billets Reports'!B625,IF(ROW()=2,"",B625))</f>
      </c>
      <c r="C626">
        <f>IF('R.M Billets Reports'!A625="V.No.",'R.M Billets Reports'!B625,IF(ROW()=2,"",C625))</f>
      </c>
      <c r="D626">
        <f>IF('R.M Billets Reports'!A625&lt;&gt;"",'R.M Billets Reports'!A625,IF(ROW()=2,"",D625))</f>
      </c>
      <c r="E626">
        <f>IF('R.M Billets Reports'!B625="","",TRIM('R.M Billets Reports'!B625))</f>
      </c>
      <c r="F626">
        <f>'R.M Billets Reports'!C625</f>
      </c>
      <c r="G626">
        <f>'R.M Billets Reports'!D625</f>
      </c>
      <c r="H626">
        <f>'R.M Billets Reports'!E625</f>
      </c>
      <c r="I626">
        <f>'R.M Billets Reports'!F625</f>
      </c>
      <c r="J626">
        <f>'R.M Billets Reports'!G625</f>
      </c>
      <c r="K626">
        <f>'R.M Billets Reports'!H625</f>
      </c>
      <c r="L626">
        <f>IF('R.M Billets Reports'!I625="","",'R.M Billets Reports'!I625)</f>
      </c>
      <c r="M626">
        <f t="shared" si="18"/>
      </c>
      <c r="N626">
        <f>IF('R.M Billets Reports'!J625="","",'R.M Billets Reports'!J625)</f>
      </c>
      <c r="O626">
        <f t="shared" si="19"/>
      </c>
      <c r="P626">
        <f>IF('R.M Billets Reports'!A625="SIZE",'R.M Billets Reports'!B625,P625)</f>
      </c>
    </row>
    <row r="627" spans="1:16" x14ac:dyDescent="0.25">
      <c r="A627">
        <f>IF(OR('R.M Billets Reports'!A626="Date-",'R.M Billets Reports'!A626="Date:-"),IF(IF(IF(ISNUMBER(SEARCH("Party Name:-",'R.M Billets Reports'!D626)),TRIM('R.M Billets Reports'!F626),IF(ISNUMBER(SEARCH("Party Name-",'R.M Billets Reports'!D626)),TRIM(MID('R.M Billets Reports'!D626,SEARCH("-",'R.M Billets Reports'!D626)+1,200)),""))&lt;&gt;"",IF(ISNUMBER(SEARCH("Party Name:-",'R.M Billets Reports'!D626)),TRIM('R.M Billets Reports'!F626),IF(ISNUMBER(SEARCH("Party Name-",'R.M Billets Reports'!D626)),TRIM(MID('R.M Billets Reports'!D626,SEARCH("-",'R.M Billets Reports'!D626)+1,200)),"")),IF(ISNUMBER(SEARCH("Party Name:-",'R.M Billets Reports'!D627)),TRIM('R.M Billets Reports'!F627),IF(ISNUMBER(SEARCH("Party Name-",'R.M Billets Reports'!D627)),TRIM(MID('R.M Billets Reports'!D627,SEARCH("-",'R.M Billets Reports'!D627)+1,200)),"")))="VRKP ISPAT PVT LTD","VRKP",IF(IF(IF(ISNUMBER(SEARCH("Party Name:-",'R.M Billets Reports'!D626)),TRIM('R.M Billets Reports'!F626),IF(ISNUMBER(SEARCH("Party Name-",'R.M Billets Reports'!D626)),TRIM(MID('R.M Billets Reports'!D626,SEARCH("-",'R.M Billets Reports'!D626)+1,200)),""))&lt;&gt;"",IF(ISNUMBER(SEARCH("Party Name:-",'R.M Billets Reports'!D626)),TRIM('R.M Billets Reports'!F626),IF(ISNUMBER(SEARCH("Party Name-",'R.M Billets Reports'!D626)),TRIM(MID('R.M Billets Reports'!D626,SEARCH("-",'R.M Billets Reports'!D626)+1,200)),"")),IF(ISNUMBER(SEARCH("Party Name:-",'R.M Billets Reports'!D627)),TRIM('R.M Billets Reports'!F627),IF(ISNUMBER(SEARCH("Party Name-",'R.M Billets Reports'!D627)),TRIM(MID('R.M Billets Reports'!D627,SEARCH("-",'R.M Billets Reports'!D627)+1,200)),"")))="SHRI RADHE","SHREE RADHE",IF(IF(IF(ISNUMBER(SEARCH("Party Name:-",'R.M Billets Reports'!D626)),TRIM('R.M Billets Reports'!F626),IF(ISNUMBER(SEARCH("Party Name-",'R.M Billets Reports'!D626)),TRIM(MID('R.M Billets Reports'!D626,SEARCH("-",'R.M Billets Reports'!D626)+1,200)),""))&lt;&gt;"",IF(ISNUMBER(SEARCH("Party Name:-",'R.M Billets Reports'!D626)),TRIM('R.M Billets Reports'!F626),IF(ISNUMBER(SEARCH("Party Name-",'R.M Billets Reports'!D626)),TRIM(MID('R.M Billets Reports'!D626,SEARCH("-",'R.M Billets Reports'!D626)+1,200)),"")),IF(ISNUMBER(SEARCH("Party Name:-",'R.M Billets Reports'!D627)),TRIM('R.M Billets Reports'!F627),IF(ISNUMBER(SEARCH("Party Name-",'R.M Billets Reports'!D627)),TRIM(MID('R.M Billets Reports'!D627,SEARCH("-",'R.M Billets Reports'!D627)+1,200)),"")))="SHREE RADHE SHAKTI SPONGE AND POWER PVT. LTD.","SHREE RADHE",IF(IF(ISNUMBER(SEARCH("Party Name:-",'R.M Billets Reports'!D626)),TRIM('R.M Billets Reports'!F626),IF(ISNUMBER(SEARCH("Party Name-",'R.M Billets Reports'!D626)),TRIM(MID('R.M Billets Reports'!D626,SEARCH("-",'R.M Billets Reports'!D626)+1,200)),""))&lt;&gt;"",IF(ISNUMBER(SEARCH("Party Name:-",'R.M Billets Reports'!D626)),TRIM('R.M Billets Reports'!F626),IF(ISNUMBER(SEARCH("Party Name-",'R.M Billets Reports'!D626)),TRIM(MID('R.M Billets Reports'!D626,SEARCH("-",'R.M Billets Reports'!D626)+1,200)),"")),IF(ISNUMBER(SEARCH("Party Name:-",'R.M Billets Reports'!D627)),TRIM('R.M Billets Reports'!F627),IF(ISNUMBER(SEARCH("Party Name-",'R.M Billets Reports'!D627)),TRIM(MID('R.M Billets Reports'!D627,SEARCH("-",'R.M Billets Reports'!D627)+1,200)),"")))))),IF(ROW()=2,"",A626))</f>
      </c>
      <c r="B627">
        <f>IF(OR('R.M Billets Reports'!A626="Date-",'R.M Billets Reports'!A626="Date:-"),'R.M Billets Reports'!B626,IF(ROW()=2,"",B626))</f>
      </c>
      <c r="C627">
        <f>IF('R.M Billets Reports'!A626="V.No.",'R.M Billets Reports'!B626,IF(ROW()=2,"",C626))</f>
      </c>
      <c r="D627">
        <f>IF('R.M Billets Reports'!A626&lt;&gt;"",'R.M Billets Reports'!A626,IF(ROW()=2,"",D626))</f>
      </c>
      <c r="E627">
        <f>IF('R.M Billets Reports'!B626="","",TRIM('R.M Billets Reports'!B626))</f>
      </c>
      <c r="F627">
        <f>'R.M Billets Reports'!C626</f>
      </c>
      <c r="G627">
        <f>'R.M Billets Reports'!D626</f>
      </c>
      <c r="H627">
        <f>'R.M Billets Reports'!E626</f>
      </c>
      <c r="I627">
        <f>'R.M Billets Reports'!F626</f>
      </c>
      <c r="J627">
        <f>'R.M Billets Reports'!G626</f>
      </c>
      <c r="K627">
        <f>'R.M Billets Reports'!H626</f>
      </c>
      <c r="L627">
        <f>IF('R.M Billets Reports'!I626="","",'R.M Billets Reports'!I626)</f>
      </c>
      <c r="M627">
        <f t="shared" si="18"/>
      </c>
      <c r="N627">
        <f>IF('R.M Billets Reports'!J626="","",'R.M Billets Reports'!J626)</f>
      </c>
      <c r="O627">
        <f t="shared" si="19"/>
      </c>
      <c r="P627">
        <f>IF('R.M Billets Reports'!A626="SIZE",'R.M Billets Reports'!B626,P626)</f>
      </c>
    </row>
    <row r="628" spans="1:16" x14ac:dyDescent="0.25">
      <c r="A628">
        <f>IF(OR('R.M Billets Reports'!A627="Date-",'R.M Billets Reports'!A627="Date:-"),IF(IF(IF(ISNUMBER(SEARCH("Party Name:-",'R.M Billets Reports'!D627)),TRIM('R.M Billets Reports'!F627),IF(ISNUMBER(SEARCH("Party Name-",'R.M Billets Reports'!D627)),TRIM(MID('R.M Billets Reports'!D627,SEARCH("-",'R.M Billets Reports'!D627)+1,200)),""))&lt;&gt;"",IF(ISNUMBER(SEARCH("Party Name:-",'R.M Billets Reports'!D627)),TRIM('R.M Billets Reports'!F627),IF(ISNUMBER(SEARCH("Party Name-",'R.M Billets Reports'!D627)),TRIM(MID('R.M Billets Reports'!D627,SEARCH("-",'R.M Billets Reports'!D627)+1,200)),"")),IF(ISNUMBER(SEARCH("Party Name:-",'R.M Billets Reports'!D628)),TRIM('R.M Billets Reports'!F628),IF(ISNUMBER(SEARCH("Party Name-",'R.M Billets Reports'!D628)),TRIM(MID('R.M Billets Reports'!D628,SEARCH("-",'R.M Billets Reports'!D628)+1,200)),"")))="VRKP ISPAT PVT LTD","VRKP",IF(IF(IF(ISNUMBER(SEARCH("Party Name:-",'R.M Billets Reports'!D627)),TRIM('R.M Billets Reports'!F627),IF(ISNUMBER(SEARCH("Party Name-",'R.M Billets Reports'!D627)),TRIM(MID('R.M Billets Reports'!D627,SEARCH("-",'R.M Billets Reports'!D627)+1,200)),""))&lt;&gt;"",IF(ISNUMBER(SEARCH("Party Name:-",'R.M Billets Reports'!D627)),TRIM('R.M Billets Reports'!F627),IF(ISNUMBER(SEARCH("Party Name-",'R.M Billets Reports'!D627)),TRIM(MID('R.M Billets Reports'!D627,SEARCH("-",'R.M Billets Reports'!D627)+1,200)),"")),IF(ISNUMBER(SEARCH("Party Name:-",'R.M Billets Reports'!D628)),TRIM('R.M Billets Reports'!F628),IF(ISNUMBER(SEARCH("Party Name-",'R.M Billets Reports'!D628)),TRIM(MID('R.M Billets Reports'!D628,SEARCH("-",'R.M Billets Reports'!D628)+1,200)),"")))="SHRI RADHE","SHREE RADHE",IF(IF(IF(ISNUMBER(SEARCH("Party Name:-",'R.M Billets Reports'!D627)),TRIM('R.M Billets Reports'!F627),IF(ISNUMBER(SEARCH("Party Name-",'R.M Billets Reports'!D627)),TRIM(MID('R.M Billets Reports'!D627,SEARCH("-",'R.M Billets Reports'!D627)+1,200)),""))&lt;&gt;"",IF(ISNUMBER(SEARCH("Party Name:-",'R.M Billets Reports'!D627)),TRIM('R.M Billets Reports'!F627),IF(ISNUMBER(SEARCH("Party Name-",'R.M Billets Reports'!D627)),TRIM(MID('R.M Billets Reports'!D627,SEARCH("-",'R.M Billets Reports'!D627)+1,200)),"")),IF(ISNUMBER(SEARCH("Party Name:-",'R.M Billets Reports'!D628)),TRIM('R.M Billets Reports'!F628),IF(ISNUMBER(SEARCH("Party Name-",'R.M Billets Reports'!D628)),TRIM(MID('R.M Billets Reports'!D628,SEARCH("-",'R.M Billets Reports'!D628)+1,200)),"")))="SHREE RADHE SHAKTI SPONGE AND POWER PVT. LTD.","SHREE RADHE",IF(IF(ISNUMBER(SEARCH("Party Name:-",'R.M Billets Reports'!D627)),TRIM('R.M Billets Reports'!F627),IF(ISNUMBER(SEARCH("Party Name-",'R.M Billets Reports'!D627)),TRIM(MID('R.M Billets Reports'!D627,SEARCH("-",'R.M Billets Reports'!D627)+1,200)),""))&lt;&gt;"",IF(ISNUMBER(SEARCH("Party Name:-",'R.M Billets Reports'!D627)),TRIM('R.M Billets Reports'!F627),IF(ISNUMBER(SEARCH("Party Name-",'R.M Billets Reports'!D627)),TRIM(MID('R.M Billets Reports'!D627,SEARCH("-",'R.M Billets Reports'!D627)+1,200)),"")),IF(ISNUMBER(SEARCH("Party Name:-",'R.M Billets Reports'!D628)),TRIM('R.M Billets Reports'!F628),IF(ISNUMBER(SEARCH("Party Name-",'R.M Billets Reports'!D628)),TRIM(MID('R.M Billets Reports'!D628,SEARCH("-",'R.M Billets Reports'!D628)+1,200)),"")))))),IF(ROW()=2,"",A627))</f>
      </c>
      <c r="B628">
        <f>IF(OR('R.M Billets Reports'!A627="Date-",'R.M Billets Reports'!A627="Date:-"),'R.M Billets Reports'!B627,IF(ROW()=2,"",B627))</f>
      </c>
      <c r="C628">
        <f>IF('R.M Billets Reports'!A627="V.No.",'R.M Billets Reports'!B627,IF(ROW()=2,"",C627))</f>
      </c>
      <c r="D628">
        <f>IF('R.M Billets Reports'!A627&lt;&gt;"",'R.M Billets Reports'!A627,IF(ROW()=2,"",D627))</f>
      </c>
      <c r="E628">
        <f>IF('R.M Billets Reports'!B627="","",TRIM('R.M Billets Reports'!B627))</f>
      </c>
      <c r="F628">
        <f>'R.M Billets Reports'!C627</f>
      </c>
      <c r="G628">
        <f>'R.M Billets Reports'!D627</f>
      </c>
      <c r="H628">
        <f>'R.M Billets Reports'!E627</f>
      </c>
      <c r="I628">
        <f>'R.M Billets Reports'!F627</f>
      </c>
      <c r="J628">
        <f>'R.M Billets Reports'!G627</f>
      </c>
      <c r="K628">
        <f>'R.M Billets Reports'!H627</f>
      </c>
      <c r="L628">
        <f>IF('R.M Billets Reports'!I627="","",'R.M Billets Reports'!I627)</f>
      </c>
      <c r="M628">
        <f t="shared" si="18"/>
      </c>
      <c r="N628">
        <f>IF('R.M Billets Reports'!J627="","",'R.M Billets Reports'!J627)</f>
      </c>
      <c r="O628">
        <f t="shared" si="19"/>
      </c>
      <c r="P628">
        <f>IF('R.M Billets Reports'!A627="SIZE",'R.M Billets Reports'!B627,P627)</f>
      </c>
    </row>
    <row r="629" spans="1:16" x14ac:dyDescent="0.25">
      <c r="A629">
        <f>IF(OR('R.M Billets Reports'!A628="Date-",'R.M Billets Reports'!A628="Date:-"),IF(IF(IF(ISNUMBER(SEARCH("Party Name:-",'R.M Billets Reports'!D628)),TRIM('R.M Billets Reports'!F628),IF(ISNUMBER(SEARCH("Party Name-",'R.M Billets Reports'!D628)),TRIM(MID('R.M Billets Reports'!D628,SEARCH("-",'R.M Billets Reports'!D628)+1,200)),""))&lt;&gt;"",IF(ISNUMBER(SEARCH("Party Name:-",'R.M Billets Reports'!D628)),TRIM('R.M Billets Reports'!F628),IF(ISNUMBER(SEARCH("Party Name-",'R.M Billets Reports'!D628)),TRIM(MID('R.M Billets Reports'!D628,SEARCH("-",'R.M Billets Reports'!D628)+1,200)),"")),IF(ISNUMBER(SEARCH("Party Name:-",'R.M Billets Reports'!D629)),TRIM('R.M Billets Reports'!F629),IF(ISNUMBER(SEARCH("Party Name-",'R.M Billets Reports'!D629)),TRIM(MID('R.M Billets Reports'!D629,SEARCH("-",'R.M Billets Reports'!D629)+1,200)),"")))="VRKP ISPAT PVT LTD","VRKP",IF(IF(IF(ISNUMBER(SEARCH("Party Name:-",'R.M Billets Reports'!D628)),TRIM('R.M Billets Reports'!F628),IF(ISNUMBER(SEARCH("Party Name-",'R.M Billets Reports'!D628)),TRIM(MID('R.M Billets Reports'!D628,SEARCH("-",'R.M Billets Reports'!D628)+1,200)),""))&lt;&gt;"",IF(ISNUMBER(SEARCH("Party Name:-",'R.M Billets Reports'!D628)),TRIM('R.M Billets Reports'!F628),IF(ISNUMBER(SEARCH("Party Name-",'R.M Billets Reports'!D628)),TRIM(MID('R.M Billets Reports'!D628,SEARCH("-",'R.M Billets Reports'!D628)+1,200)),"")),IF(ISNUMBER(SEARCH("Party Name:-",'R.M Billets Reports'!D629)),TRIM('R.M Billets Reports'!F629),IF(ISNUMBER(SEARCH("Party Name-",'R.M Billets Reports'!D629)),TRIM(MID('R.M Billets Reports'!D629,SEARCH("-",'R.M Billets Reports'!D629)+1,200)),"")))="SHRI RADHE","SHREE RADHE",IF(IF(IF(ISNUMBER(SEARCH("Party Name:-",'R.M Billets Reports'!D628)),TRIM('R.M Billets Reports'!F628),IF(ISNUMBER(SEARCH("Party Name-",'R.M Billets Reports'!D628)),TRIM(MID('R.M Billets Reports'!D628,SEARCH("-",'R.M Billets Reports'!D628)+1,200)),""))&lt;&gt;"",IF(ISNUMBER(SEARCH("Party Name:-",'R.M Billets Reports'!D628)),TRIM('R.M Billets Reports'!F628),IF(ISNUMBER(SEARCH("Party Name-",'R.M Billets Reports'!D628)),TRIM(MID('R.M Billets Reports'!D628,SEARCH("-",'R.M Billets Reports'!D628)+1,200)),"")),IF(ISNUMBER(SEARCH("Party Name:-",'R.M Billets Reports'!D629)),TRIM('R.M Billets Reports'!F629),IF(ISNUMBER(SEARCH("Party Name-",'R.M Billets Reports'!D629)),TRIM(MID('R.M Billets Reports'!D629,SEARCH("-",'R.M Billets Reports'!D629)+1,200)),"")))="SHREE RADHE SHAKTI SPONGE AND POWER PVT. LTD.","SHREE RADHE",IF(IF(ISNUMBER(SEARCH("Party Name:-",'R.M Billets Reports'!D628)),TRIM('R.M Billets Reports'!F628),IF(ISNUMBER(SEARCH("Party Name-",'R.M Billets Reports'!D628)),TRIM(MID('R.M Billets Reports'!D628,SEARCH("-",'R.M Billets Reports'!D628)+1,200)),""))&lt;&gt;"",IF(ISNUMBER(SEARCH("Party Name:-",'R.M Billets Reports'!D628)),TRIM('R.M Billets Reports'!F628),IF(ISNUMBER(SEARCH("Party Name-",'R.M Billets Reports'!D628)),TRIM(MID('R.M Billets Reports'!D628,SEARCH("-",'R.M Billets Reports'!D628)+1,200)),"")),IF(ISNUMBER(SEARCH("Party Name:-",'R.M Billets Reports'!D629)),TRIM('R.M Billets Reports'!F629),IF(ISNUMBER(SEARCH("Party Name-",'R.M Billets Reports'!D629)),TRIM(MID('R.M Billets Reports'!D629,SEARCH("-",'R.M Billets Reports'!D629)+1,200)),"")))))),IF(ROW()=2,"",A628))</f>
      </c>
      <c r="B629">
        <f>IF(OR('R.M Billets Reports'!A628="Date-",'R.M Billets Reports'!A628="Date:-"),'R.M Billets Reports'!B628,IF(ROW()=2,"",B628))</f>
      </c>
      <c r="C629">
        <f>IF('R.M Billets Reports'!A628="V.No.",'R.M Billets Reports'!B628,IF(ROW()=2,"",C628))</f>
      </c>
      <c r="D629">
        <f>IF('R.M Billets Reports'!A628&lt;&gt;"",'R.M Billets Reports'!A628,IF(ROW()=2,"",D628))</f>
      </c>
      <c r="E629">
        <f>IF('R.M Billets Reports'!B628="","",TRIM('R.M Billets Reports'!B628))</f>
      </c>
      <c r="F629">
        <f>'R.M Billets Reports'!C628</f>
      </c>
      <c r="G629">
        <f>'R.M Billets Reports'!D628</f>
      </c>
      <c r="H629">
        <f>'R.M Billets Reports'!E628</f>
      </c>
      <c r="I629">
        <f>'R.M Billets Reports'!F628</f>
      </c>
      <c r="J629">
        <f>'R.M Billets Reports'!G628</f>
      </c>
      <c r="K629">
        <f>'R.M Billets Reports'!H628</f>
      </c>
      <c r="L629">
        <f>IF('R.M Billets Reports'!I628="","",'R.M Billets Reports'!I628)</f>
      </c>
      <c r="M629">
        <f t="shared" si="18"/>
      </c>
      <c r="N629">
        <f>IF('R.M Billets Reports'!J628="","",'R.M Billets Reports'!J628)</f>
      </c>
      <c r="O629">
        <f t="shared" si="19"/>
      </c>
      <c r="P629">
        <f>IF('R.M Billets Reports'!A628="SIZE",'R.M Billets Reports'!B628,P628)</f>
      </c>
    </row>
    <row r="630" spans="1:16" x14ac:dyDescent="0.25">
      <c r="A630">
        <f>IF(OR('R.M Billets Reports'!A629="Date-",'R.M Billets Reports'!A629="Date:-"),IF(IF(IF(ISNUMBER(SEARCH("Party Name:-",'R.M Billets Reports'!D629)),TRIM('R.M Billets Reports'!F629),IF(ISNUMBER(SEARCH("Party Name-",'R.M Billets Reports'!D629)),TRIM(MID('R.M Billets Reports'!D629,SEARCH("-",'R.M Billets Reports'!D629)+1,200)),""))&lt;&gt;"",IF(ISNUMBER(SEARCH("Party Name:-",'R.M Billets Reports'!D629)),TRIM('R.M Billets Reports'!F629),IF(ISNUMBER(SEARCH("Party Name-",'R.M Billets Reports'!D629)),TRIM(MID('R.M Billets Reports'!D629,SEARCH("-",'R.M Billets Reports'!D629)+1,200)),"")),IF(ISNUMBER(SEARCH("Party Name:-",'R.M Billets Reports'!D630)),TRIM('R.M Billets Reports'!F630),IF(ISNUMBER(SEARCH("Party Name-",'R.M Billets Reports'!D630)),TRIM(MID('R.M Billets Reports'!D630,SEARCH("-",'R.M Billets Reports'!D630)+1,200)),"")))="VRKP ISPAT PVT LTD","VRKP",IF(IF(IF(ISNUMBER(SEARCH("Party Name:-",'R.M Billets Reports'!D629)),TRIM('R.M Billets Reports'!F629),IF(ISNUMBER(SEARCH("Party Name-",'R.M Billets Reports'!D629)),TRIM(MID('R.M Billets Reports'!D629,SEARCH("-",'R.M Billets Reports'!D629)+1,200)),""))&lt;&gt;"",IF(ISNUMBER(SEARCH("Party Name:-",'R.M Billets Reports'!D629)),TRIM('R.M Billets Reports'!F629),IF(ISNUMBER(SEARCH("Party Name-",'R.M Billets Reports'!D629)),TRIM(MID('R.M Billets Reports'!D629,SEARCH("-",'R.M Billets Reports'!D629)+1,200)),"")),IF(ISNUMBER(SEARCH("Party Name:-",'R.M Billets Reports'!D630)),TRIM('R.M Billets Reports'!F630),IF(ISNUMBER(SEARCH("Party Name-",'R.M Billets Reports'!D630)),TRIM(MID('R.M Billets Reports'!D630,SEARCH("-",'R.M Billets Reports'!D630)+1,200)),"")))="SHRI RADHE","SHREE RADHE",IF(IF(IF(ISNUMBER(SEARCH("Party Name:-",'R.M Billets Reports'!D629)),TRIM('R.M Billets Reports'!F629),IF(ISNUMBER(SEARCH("Party Name-",'R.M Billets Reports'!D629)),TRIM(MID('R.M Billets Reports'!D629,SEARCH("-",'R.M Billets Reports'!D629)+1,200)),""))&lt;&gt;"",IF(ISNUMBER(SEARCH("Party Name:-",'R.M Billets Reports'!D629)),TRIM('R.M Billets Reports'!F629),IF(ISNUMBER(SEARCH("Party Name-",'R.M Billets Reports'!D629)),TRIM(MID('R.M Billets Reports'!D629,SEARCH("-",'R.M Billets Reports'!D629)+1,200)),"")),IF(ISNUMBER(SEARCH("Party Name:-",'R.M Billets Reports'!D630)),TRIM('R.M Billets Reports'!F630),IF(ISNUMBER(SEARCH("Party Name-",'R.M Billets Reports'!D630)),TRIM(MID('R.M Billets Reports'!D630,SEARCH("-",'R.M Billets Reports'!D630)+1,200)),"")))="SHREE RADHE SHAKTI SPONGE AND POWER PVT. LTD.","SHREE RADHE",IF(IF(ISNUMBER(SEARCH("Party Name:-",'R.M Billets Reports'!D629)),TRIM('R.M Billets Reports'!F629),IF(ISNUMBER(SEARCH("Party Name-",'R.M Billets Reports'!D629)),TRIM(MID('R.M Billets Reports'!D629,SEARCH("-",'R.M Billets Reports'!D629)+1,200)),""))&lt;&gt;"",IF(ISNUMBER(SEARCH("Party Name:-",'R.M Billets Reports'!D629)),TRIM('R.M Billets Reports'!F629),IF(ISNUMBER(SEARCH("Party Name-",'R.M Billets Reports'!D629)),TRIM(MID('R.M Billets Reports'!D629,SEARCH("-",'R.M Billets Reports'!D629)+1,200)),"")),IF(ISNUMBER(SEARCH("Party Name:-",'R.M Billets Reports'!D630)),TRIM('R.M Billets Reports'!F630),IF(ISNUMBER(SEARCH("Party Name-",'R.M Billets Reports'!D630)),TRIM(MID('R.M Billets Reports'!D630,SEARCH("-",'R.M Billets Reports'!D630)+1,200)),"")))))),IF(ROW()=2,"",A629))</f>
      </c>
      <c r="B630">
        <f>IF(OR('R.M Billets Reports'!A629="Date-",'R.M Billets Reports'!A629="Date:-"),'R.M Billets Reports'!B629,IF(ROW()=2,"",B629))</f>
      </c>
      <c r="C630">
        <f>IF('R.M Billets Reports'!A629="V.No.",'R.M Billets Reports'!B629,IF(ROW()=2,"",C629))</f>
      </c>
      <c r="D630">
        <f>IF('R.M Billets Reports'!A629&lt;&gt;"",'R.M Billets Reports'!A629,IF(ROW()=2,"",D629))</f>
      </c>
      <c r="E630">
        <f>IF('R.M Billets Reports'!B629="","",TRIM('R.M Billets Reports'!B629))</f>
      </c>
      <c r="F630">
        <f>'R.M Billets Reports'!C629</f>
      </c>
      <c r="G630">
        <f>'R.M Billets Reports'!D629</f>
      </c>
      <c r="H630">
        <f>'R.M Billets Reports'!E629</f>
      </c>
      <c r="I630">
        <f>'R.M Billets Reports'!F629</f>
      </c>
      <c r="J630">
        <f>'R.M Billets Reports'!G629</f>
      </c>
      <c r="K630">
        <f>'R.M Billets Reports'!H629</f>
      </c>
      <c r="L630">
        <f>IF('R.M Billets Reports'!I629="","",'R.M Billets Reports'!I629)</f>
      </c>
      <c r="M630">
        <f t="shared" si="18"/>
      </c>
      <c r="N630">
        <f>IF('R.M Billets Reports'!J629="","",'R.M Billets Reports'!J629)</f>
      </c>
      <c r="O630">
        <f t="shared" si="19"/>
      </c>
      <c r="P630">
        <f>IF('R.M Billets Reports'!A629="SIZE",'R.M Billets Reports'!B629,P629)</f>
      </c>
    </row>
    <row r="631" spans="1:16" x14ac:dyDescent="0.25">
      <c r="A631">
        <f>IF(OR('R.M Billets Reports'!A630="Date-",'R.M Billets Reports'!A630="Date:-"),IF(IF(IF(ISNUMBER(SEARCH("Party Name:-",'R.M Billets Reports'!D630)),TRIM('R.M Billets Reports'!F630),IF(ISNUMBER(SEARCH("Party Name-",'R.M Billets Reports'!D630)),TRIM(MID('R.M Billets Reports'!D630,SEARCH("-",'R.M Billets Reports'!D630)+1,200)),""))&lt;&gt;"",IF(ISNUMBER(SEARCH("Party Name:-",'R.M Billets Reports'!D630)),TRIM('R.M Billets Reports'!F630),IF(ISNUMBER(SEARCH("Party Name-",'R.M Billets Reports'!D630)),TRIM(MID('R.M Billets Reports'!D630,SEARCH("-",'R.M Billets Reports'!D630)+1,200)),"")),IF(ISNUMBER(SEARCH("Party Name:-",'R.M Billets Reports'!D631)),TRIM('R.M Billets Reports'!F631),IF(ISNUMBER(SEARCH("Party Name-",'R.M Billets Reports'!D631)),TRIM(MID('R.M Billets Reports'!D631,SEARCH("-",'R.M Billets Reports'!D631)+1,200)),"")))="VRKP ISPAT PVT LTD","VRKP",IF(IF(IF(ISNUMBER(SEARCH("Party Name:-",'R.M Billets Reports'!D630)),TRIM('R.M Billets Reports'!F630),IF(ISNUMBER(SEARCH("Party Name-",'R.M Billets Reports'!D630)),TRIM(MID('R.M Billets Reports'!D630,SEARCH("-",'R.M Billets Reports'!D630)+1,200)),""))&lt;&gt;"",IF(ISNUMBER(SEARCH("Party Name:-",'R.M Billets Reports'!D630)),TRIM('R.M Billets Reports'!F630),IF(ISNUMBER(SEARCH("Party Name-",'R.M Billets Reports'!D630)),TRIM(MID('R.M Billets Reports'!D630,SEARCH("-",'R.M Billets Reports'!D630)+1,200)),"")),IF(ISNUMBER(SEARCH("Party Name:-",'R.M Billets Reports'!D631)),TRIM('R.M Billets Reports'!F631),IF(ISNUMBER(SEARCH("Party Name-",'R.M Billets Reports'!D631)),TRIM(MID('R.M Billets Reports'!D631,SEARCH("-",'R.M Billets Reports'!D631)+1,200)),"")))="SHRI RADHE","SHREE RADHE",IF(IF(IF(ISNUMBER(SEARCH("Party Name:-",'R.M Billets Reports'!D630)),TRIM('R.M Billets Reports'!F630),IF(ISNUMBER(SEARCH("Party Name-",'R.M Billets Reports'!D630)),TRIM(MID('R.M Billets Reports'!D630,SEARCH("-",'R.M Billets Reports'!D630)+1,200)),""))&lt;&gt;"",IF(ISNUMBER(SEARCH("Party Name:-",'R.M Billets Reports'!D630)),TRIM('R.M Billets Reports'!F630),IF(ISNUMBER(SEARCH("Party Name-",'R.M Billets Reports'!D630)),TRIM(MID('R.M Billets Reports'!D630,SEARCH("-",'R.M Billets Reports'!D630)+1,200)),"")),IF(ISNUMBER(SEARCH("Party Name:-",'R.M Billets Reports'!D631)),TRIM('R.M Billets Reports'!F631),IF(ISNUMBER(SEARCH("Party Name-",'R.M Billets Reports'!D631)),TRIM(MID('R.M Billets Reports'!D631,SEARCH("-",'R.M Billets Reports'!D631)+1,200)),"")))="SHREE RADHE SHAKTI SPONGE AND POWER PVT. LTD.","SHREE RADHE",IF(IF(ISNUMBER(SEARCH("Party Name:-",'R.M Billets Reports'!D630)),TRIM('R.M Billets Reports'!F630),IF(ISNUMBER(SEARCH("Party Name-",'R.M Billets Reports'!D630)),TRIM(MID('R.M Billets Reports'!D630,SEARCH("-",'R.M Billets Reports'!D630)+1,200)),""))&lt;&gt;"",IF(ISNUMBER(SEARCH("Party Name:-",'R.M Billets Reports'!D630)),TRIM('R.M Billets Reports'!F630),IF(ISNUMBER(SEARCH("Party Name-",'R.M Billets Reports'!D630)),TRIM(MID('R.M Billets Reports'!D630,SEARCH("-",'R.M Billets Reports'!D630)+1,200)),"")),IF(ISNUMBER(SEARCH("Party Name:-",'R.M Billets Reports'!D631)),TRIM('R.M Billets Reports'!F631),IF(ISNUMBER(SEARCH("Party Name-",'R.M Billets Reports'!D631)),TRIM(MID('R.M Billets Reports'!D631,SEARCH("-",'R.M Billets Reports'!D631)+1,200)),"")))))),IF(ROW()=2,"",A630))</f>
      </c>
      <c r="B631">
        <f>IF(OR('R.M Billets Reports'!A630="Date-",'R.M Billets Reports'!A630="Date:-"),'R.M Billets Reports'!B630,IF(ROW()=2,"",B630))</f>
      </c>
      <c r="C631">
        <f>IF('R.M Billets Reports'!A630="V.No.",'R.M Billets Reports'!B630,IF(ROW()=2,"",C630))</f>
      </c>
      <c r="D631">
        <f>IF('R.M Billets Reports'!A630&lt;&gt;"",'R.M Billets Reports'!A630,IF(ROW()=2,"",D630))</f>
      </c>
      <c r="E631">
        <f>IF('R.M Billets Reports'!B630="","",TRIM('R.M Billets Reports'!B630))</f>
      </c>
      <c r="F631">
        <f>'R.M Billets Reports'!C630</f>
      </c>
      <c r="G631">
        <f>'R.M Billets Reports'!D630</f>
      </c>
      <c r="H631">
        <f>'R.M Billets Reports'!E630</f>
      </c>
      <c r="I631">
        <f>'R.M Billets Reports'!F630</f>
      </c>
      <c r="J631">
        <f>'R.M Billets Reports'!G630</f>
      </c>
      <c r="K631">
        <f>'R.M Billets Reports'!H630</f>
      </c>
      <c r="L631">
        <f>IF('R.M Billets Reports'!I630="","",'R.M Billets Reports'!I630)</f>
      </c>
      <c r="M631">
        <f t="shared" si="18"/>
      </c>
      <c r="N631">
        <f>IF('R.M Billets Reports'!J630="","",'R.M Billets Reports'!J630)</f>
      </c>
      <c r="O631">
        <f t="shared" si="19"/>
      </c>
      <c r="P631">
        <f>IF('R.M Billets Reports'!A630="SIZE",'R.M Billets Reports'!B630,P630)</f>
      </c>
    </row>
    <row r="632" spans="1:16" x14ac:dyDescent="0.25">
      <c r="A632">
        <f>IF(OR('R.M Billets Reports'!A631="Date-",'R.M Billets Reports'!A631="Date:-"),IF(IF(IF(ISNUMBER(SEARCH("Party Name:-",'R.M Billets Reports'!D631)),TRIM('R.M Billets Reports'!F631),IF(ISNUMBER(SEARCH("Party Name-",'R.M Billets Reports'!D631)),TRIM(MID('R.M Billets Reports'!D631,SEARCH("-",'R.M Billets Reports'!D631)+1,200)),""))&lt;&gt;"",IF(ISNUMBER(SEARCH("Party Name:-",'R.M Billets Reports'!D631)),TRIM('R.M Billets Reports'!F631),IF(ISNUMBER(SEARCH("Party Name-",'R.M Billets Reports'!D631)),TRIM(MID('R.M Billets Reports'!D631,SEARCH("-",'R.M Billets Reports'!D631)+1,200)),"")),IF(ISNUMBER(SEARCH("Party Name:-",'R.M Billets Reports'!D632)),TRIM('R.M Billets Reports'!F632),IF(ISNUMBER(SEARCH("Party Name-",'R.M Billets Reports'!D632)),TRIM(MID('R.M Billets Reports'!D632,SEARCH("-",'R.M Billets Reports'!D632)+1,200)),"")))="VRKP ISPAT PVT LTD","VRKP",IF(IF(IF(ISNUMBER(SEARCH("Party Name:-",'R.M Billets Reports'!D631)),TRIM('R.M Billets Reports'!F631),IF(ISNUMBER(SEARCH("Party Name-",'R.M Billets Reports'!D631)),TRIM(MID('R.M Billets Reports'!D631,SEARCH("-",'R.M Billets Reports'!D631)+1,200)),""))&lt;&gt;"",IF(ISNUMBER(SEARCH("Party Name:-",'R.M Billets Reports'!D631)),TRIM('R.M Billets Reports'!F631),IF(ISNUMBER(SEARCH("Party Name-",'R.M Billets Reports'!D631)),TRIM(MID('R.M Billets Reports'!D631,SEARCH("-",'R.M Billets Reports'!D631)+1,200)),"")),IF(ISNUMBER(SEARCH("Party Name:-",'R.M Billets Reports'!D632)),TRIM('R.M Billets Reports'!F632),IF(ISNUMBER(SEARCH("Party Name-",'R.M Billets Reports'!D632)),TRIM(MID('R.M Billets Reports'!D632,SEARCH("-",'R.M Billets Reports'!D632)+1,200)),"")))="SHRI RADHE","SHREE RADHE",IF(IF(IF(ISNUMBER(SEARCH("Party Name:-",'R.M Billets Reports'!D631)),TRIM('R.M Billets Reports'!F631),IF(ISNUMBER(SEARCH("Party Name-",'R.M Billets Reports'!D631)),TRIM(MID('R.M Billets Reports'!D631,SEARCH("-",'R.M Billets Reports'!D631)+1,200)),""))&lt;&gt;"",IF(ISNUMBER(SEARCH("Party Name:-",'R.M Billets Reports'!D631)),TRIM('R.M Billets Reports'!F631),IF(ISNUMBER(SEARCH("Party Name-",'R.M Billets Reports'!D631)),TRIM(MID('R.M Billets Reports'!D631,SEARCH("-",'R.M Billets Reports'!D631)+1,200)),"")),IF(ISNUMBER(SEARCH("Party Name:-",'R.M Billets Reports'!D632)),TRIM('R.M Billets Reports'!F632),IF(ISNUMBER(SEARCH("Party Name-",'R.M Billets Reports'!D632)),TRIM(MID('R.M Billets Reports'!D632,SEARCH("-",'R.M Billets Reports'!D632)+1,200)),"")))="SHREE RADHE SHAKTI SPONGE AND POWER PVT. LTD.","SHREE RADHE",IF(IF(ISNUMBER(SEARCH("Party Name:-",'R.M Billets Reports'!D631)),TRIM('R.M Billets Reports'!F631),IF(ISNUMBER(SEARCH("Party Name-",'R.M Billets Reports'!D631)),TRIM(MID('R.M Billets Reports'!D631,SEARCH("-",'R.M Billets Reports'!D631)+1,200)),""))&lt;&gt;"",IF(ISNUMBER(SEARCH("Party Name:-",'R.M Billets Reports'!D631)),TRIM('R.M Billets Reports'!F631),IF(ISNUMBER(SEARCH("Party Name-",'R.M Billets Reports'!D631)),TRIM(MID('R.M Billets Reports'!D631,SEARCH("-",'R.M Billets Reports'!D631)+1,200)),"")),IF(ISNUMBER(SEARCH("Party Name:-",'R.M Billets Reports'!D632)),TRIM('R.M Billets Reports'!F632),IF(ISNUMBER(SEARCH("Party Name-",'R.M Billets Reports'!D632)),TRIM(MID('R.M Billets Reports'!D632,SEARCH("-",'R.M Billets Reports'!D632)+1,200)),"")))))),IF(ROW()=2,"",A631))</f>
      </c>
      <c r="B632">
        <f>IF(OR('R.M Billets Reports'!A631="Date-",'R.M Billets Reports'!A631="Date:-"),'R.M Billets Reports'!B631,IF(ROW()=2,"",B631))</f>
      </c>
      <c r="C632">
        <f>IF('R.M Billets Reports'!A631="V.No.",'R.M Billets Reports'!B631,IF(ROW()=2,"",C631))</f>
      </c>
      <c r="D632">
        <f>IF('R.M Billets Reports'!A631&lt;&gt;"",'R.M Billets Reports'!A631,IF(ROW()=2,"",D631))</f>
      </c>
      <c r="E632">
        <f>IF('R.M Billets Reports'!B631="","",TRIM('R.M Billets Reports'!B631))</f>
      </c>
      <c r="F632">
        <f>'R.M Billets Reports'!C631</f>
      </c>
      <c r="G632">
        <f>'R.M Billets Reports'!D631</f>
      </c>
      <c r="H632">
        <f>'R.M Billets Reports'!E631</f>
      </c>
      <c r="I632">
        <f>'R.M Billets Reports'!F631</f>
      </c>
      <c r="J632">
        <f>'R.M Billets Reports'!G631</f>
      </c>
      <c r="K632">
        <f>'R.M Billets Reports'!H631</f>
      </c>
      <c r="L632">
        <f>IF('R.M Billets Reports'!I631="","",'R.M Billets Reports'!I631)</f>
      </c>
      <c r="M632">
        <f t="shared" si="18"/>
      </c>
      <c r="N632">
        <f>IF('R.M Billets Reports'!J631="","",'R.M Billets Reports'!J631)</f>
      </c>
      <c r="O632">
        <f t="shared" si="19"/>
      </c>
      <c r="P632">
        <f>IF('R.M Billets Reports'!A631="SIZE",'R.M Billets Reports'!B631,P631)</f>
      </c>
    </row>
    <row r="633" spans="1:16" x14ac:dyDescent="0.25">
      <c r="A633">
        <f>IF(OR('R.M Billets Reports'!A632="Date-",'R.M Billets Reports'!A632="Date:-"),IF(IF(IF(ISNUMBER(SEARCH("Party Name:-",'R.M Billets Reports'!D632)),TRIM('R.M Billets Reports'!F632),IF(ISNUMBER(SEARCH("Party Name-",'R.M Billets Reports'!D632)),TRIM(MID('R.M Billets Reports'!D632,SEARCH("-",'R.M Billets Reports'!D632)+1,200)),""))&lt;&gt;"",IF(ISNUMBER(SEARCH("Party Name:-",'R.M Billets Reports'!D632)),TRIM('R.M Billets Reports'!F632),IF(ISNUMBER(SEARCH("Party Name-",'R.M Billets Reports'!D632)),TRIM(MID('R.M Billets Reports'!D632,SEARCH("-",'R.M Billets Reports'!D632)+1,200)),"")),IF(ISNUMBER(SEARCH("Party Name:-",'R.M Billets Reports'!D633)),TRIM('R.M Billets Reports'!F633),IF(ISNUMBER(SEARCH("Party Name-",'R.M Billets Reports'!D633)),TRIM(MID('R.M Billets Reports'!D633,SEARCH("-",'R.M Billets Reports'!D633)+1,200)),"")))="VRKP ISPAT PVT LTD","VRKP",IF(IF(IF(ISNUMBER(SEARCH("Party Name:-",'R.M Billets Reports'!D632)),TRIM('R.M Billets Reports'!F632),IF(ISNUMBER(SEARCH("Party Name-",'R.M Billets Reports'!D632)),TRIM(MID('R.M Billets Reports'!D632,SEARCH("-",'R.M Billets Reports'!D632)+1,200)),""))&lt;&gt;"",IF(ISNUMBER(SEARCH("Party Name:-",'R.M Billets Reports'!D632)),TRIM('R.M Billets Reports'!F632),IF(ISNUMBER(SEARCH("Party Name-",'R.M Billets Reports'!D632)),TRIM(MID('R.M Billets Reports'!D632,SEARCH("-",'R.M Billets Reports'!D632)+1,200)),"")),IF(ISNUMBER(SEARCH("Party Name:-",'R.M Billets Reports'!D633)),TRIM('R.M Billets Reports'!F633),IF(ISNUMBER(SEARCH("Party Name-",'R.M Billets Reports'!D633)),TRIM(MID('R.M Billets Reports'!D633,SEARCH("-",'R.M Billets Reports'!D633)+1,200)),"")))="SHRI RADHE","SHREE RADHE",IF(IF(IF(ISNUMBER(SEARCH("Party Name:-",'R.M Billets Reports'!D632)),TRIM('R.M Billets Reports'!F632),IF(ISNUMBER(SEARCH("Party Name-",'R.M Billets Reports'!D632)),TRIM(MID('R.M Billets Reports'!D632,SEARCH("-",'R.M Billets Reports'!D632)+1,200)),""))&lt;&gt;"",IF(ISNUMBER(SEARCH("Party Name:-",'R.M Billets Reports'!D632)),TRIM('R.M Billets Reports'!F632),IF(ISNUMBER(SEARCH("Party Name-",'R.M Billets Reports'!D632)),TRIM(MID('R.M Billets Reports'!D632,SEARCH("-",'R.M Billets Reports'!D632)+1,200)),"")),IF(ISNUMBER(SEARCH("Party Name:-",'R.M Billets Reports'!D633)),TRIM('R.M Billets Reports'!F633),IF(ISNUMBER(SEARCH("Party Name-",'R.M Billets Reports'!D633)),TRIM(MID('R.M Billets Reports'!D633,SEARCH("-",'R.M Billets Reports'!D633)+1,200)),"")))="SHREE RADHE SHAKTI SPONGE AND POWER PVT. LTD.","SHREE RADHE",IF(IF(ISNUMBER(SEARCH("Party Name:-",'R.M Billets Reports'!D632)),TRIM('R.M Billets Reports'!F632),IF(ISNUMBER(SEARCH("Party Name-",'R.M Billets Reports'!D632)),TRIM(MID('R.M Billets Reports'!D632,SEARCH("-",'R.M Billets Reports'!D632)+1,200)),""))&lt;&gt;"",IF(ISNUMBER(SEARCH("Party Name:-",'R.M Billets Reports'!D632)),TRIM('R.M Billets Reports'!F632),IF(ISNUMBER(SEARCH("Party Name-",'R.M Billets Reports'!D632)),TRIM(MID('R.M Billets Reports'!D632,SEARCH("-",'R.M Billets Reports'!D632)+1,200)),"")),IF(ISNUMBER(SEARCH("Party Name:-",'R.M Billets Reports'!D633)),TRIM('R.M Billets Reports'!F633),IF(ISNUMBER(SEARCH("Party Name-",'R.M Billets Reports'!D633)),TRIM(MID('R.M Billets Reports'!D633,SEARCH("-",'R.M Billets Reports'!D633)+1,200)),"")))))),IF(ROW()=2,"",A632))</f>
      </c>
      <c r="B633">
        <f>IF(OR('R.M Billets Reports'!A632="Date-",'R.M Billets Reports'!A632="Date:-"),'R.M Billets Reports'!B632,IF(ROW()=2,"",B632))</f>
      </c>
      <c r="C633">
        <f>IF('R.M Billets Reports'!A632="V.No.",'R.M Billets Reports'!B632,IF(ROW()=2,"",C632))</f>
      </c>
      <c r="D633">
        <f>IF('R.M Billets Reports'!A632&lt;&gt;"",'R.M Billets Reports'!A632,IF(ROW()=2,"",D632))</f>
      </c>
      <c r="E633">
        <f>IF('R.M Billets Reports'!B632="","",TRIM('R.M Billets Reports'!B632))</f>
      </c>
      <c r="F633">
        <f>'R.M Billets Reports'!C632</f>
      </c>
      <c r="G633">
        <f>'R.M Billets Reports'!D632</f>
      </c>
      <c r="H633">
        <f>'R.M Billets Reports'!E632</f>
      </c>
      <c r="I633">
        <f>'R.M Billets Reports'!F632</f>
      </c>
      <c r="J633">
        <f>'R.M Billets Reports'!G632</f>
      </c>
      <c r="K633">
        <f>'R.M Billets Reports'!H632</f>
      </c>
      <c r="L633">
        <f>IF('R.M Billets Reports'!I632="","",'R.M Billets Reports'!I632)</f>
      </c>
      <c r="M633">
        <f t="shared" si="18"/>
      </c>
      <c r="N633">
        <f>IF('R.M Billets Reports'!J632="","",'R.M Billets Reports'!J632)</f>
      </c>
      <c r="O633">
        <f t="shared" si="19"/>
      </c>
      <c r="P633">
        <f>IF('R.M Billets Reports'!A632="SIZE",'R.M Billets Reports'!B632,P632)</f>
      </c>
    </row>
    <row r="634" spans="1:16" x14ac:dyDescent="0.25">
      <c r="A634">
        <f>IF(OR('R.M Billets Reports'!A633="Date-",'R.M Billets Reports'!A633="Date:-"),IF(IF(IF(ISNUMBER(SEARCH("Party Name:-",'R.M Billets Reports'!D633)),TRIM('R.M Billets Reports'!F633),IF(ISNUMBER(SEARCH("Party Name-",'R.M Billets Reports'!D633)),TRIM(MID('R.M Billets Reports'!D633,SEARCH("-",'R.M Billets Reports'!D633)+1,200)),""))&lt;&gt;"",IF(ISNUMBER(SEARCH("Party Name:-",'R.M Billets Reports'!D633)),TRIM('R.M Billets Reports'!F633),IF(ISNUMBER(SEARCH("Party Name-",'R.M Billets Reports'!D633)),TRIM(MID('R.M Billets Reports'!D633,SEARCH("-",'R.M Billets Reports'!D633)+1,200)),"")),IF(ISNUMBER(SEARCH("Party Name:-",'R.M Billets Reports'!D634)),TRIM('R.M Billets Reports'!F634),IF(ISNUMBER(SEARCH("Party Name-",'R.M Billets Reports'!D634)),TRIM(MID('R.M Billets Reports'!D634,SEARCH("-",'R.M Billets Reports'!D634)+1,200)),"")))="VRKP ISPAT PVT LTD","VRKP",IF(IF(IF(ISNUMBER(SEARCH("Party Name:-",'R.M Billets Reports'!D633)),TRIM('R.M Billets Reports'!F633),IF(ISNUMBER(SEARCH("Party Name-",'R.M Billets Reports'!D633)),TRIM(MID('R.M Billets Reports'!D633,SEARCH("-",'R.M Billets Reports'!D633)+1,200)),""))&lt;&gt;"",IF(ISNUMBER(SEARCH("Party Name:-",'R.M Billets Reports'!D633)),TRIM('R.M Billets Reports'!F633),IF(ISNUMBER(SEARCH("Party Name-",'R.M Billets Reports'!D633)),TRIM(MID('R.M Billets Reports'!D633,SEARCH("-",'R.M Billets Reports'!D633)+1,200)),"")),IF(ISNUMBER(SEARCH("Party Name:-",'R.M Billets Reports'!D634)),TRIM('R.M Billets Reports'!F634),IF(ISNUMBER(SEARCH("Party Name-",'R.M Billets Reports'!D634)),TRIM(MID('R.M Billets Reports'!D634,SEARCH("-",'R.M Billets Reports'!D634)+1,200)),"")))="SHRI RADHE","SHREE RADHE",IF(IF(IF(ISNUMBER(SEARCH("Party Name:-",'R.M Billets Reports'!D633)),TRIM('R.M Billets Reports'!F633),IF(ISNUMBER(SEARCH("Party Name-",'R.M Billets Reports'!D633)),TRIM(MID('R.M Billets Reports'!D633,SEARCH("-",'R.M Billets Reports'!D633)+1,200)),""))&lt;&gt;"",IF(ISNUMBER(SEARCH("Party Name:-",'R.M Billets Reports'!D633)),TRIM('R.M Billets Reports'!F633),IF(ISNUMBER(SEARCH("Party Name-",'R.M Billets Reports'!D633)),TRIM(MID('R.M Billets Reports'!D633,SEARCH("-",'R.M Billets Reports'!D633)+1,200)),"")),IF(ISNUMBER(SEARCH("Party Name:-",'R.M Billets Reports'!D634)),TRIM('R.M Billets Reports'!F634),IF(ISNUMBER(SEARCH("Party Name-",'R.M Billets Reports'!D634)),TRIM(MID('R.M Billets Reports'!D634,SEARCH("-",'R.M Billets Reports'!D634)+1,200)),"")))="SHREE RADHE SHAKTI SPONGE AND POWER PVT. LTD.","SHREE RADHE",IF(IF(ISNUMBER(SEARCH("Party Name:-",'R.M Billets Reports'!D633)),TRIM('R.M Billets Reports'!F633),IF(ISNUMBER(SEARCH("Party Name-",'R.M Billets Reports'!D633)),TRIM(MID('R.M Billets Reports'!D633,SEARCH("-",'R.M Billets Reports'!D633)+1,200)),""))&lt;&gt;"",IF(ISNUMBER(SEARCH("Party Name:-",'R.M Billets Reports'!D633)),TRIM('R.M Billets Reports'!F633),IF(ISNUMBER(SEARCH("Party Name-",'R.M Billets Reports'!D633)),TRIM(MID('R.M Billets Reports'!D633,SEARCH("-",'R.M Billets Reports'!D633)+1,200)),"")),IF(ISNUMBER(SEARCH("Party Name:-",'R.M Billets Reports'!D634)),TRIM('R.M Billets Reports'!F634),IF(ISNUMBER(SEARCH("Party Name-",'R.M Billets Reports'!D634)),TRIM(MID('R.M Billets Reports'!D634,SEARCH("-",'R.M Billets Reports'!D634)+1,200)),"")))))),IF(ROW()=2,"",A633))</f>
      </c>
      <c r="B634">
        <f>IF(OR('R.M Billets Reports'!A633="Date-",'R.M Billets Reports'!A633="Date:-"),'R.M Billets Reports'!B633,IF(ROW()=2,"",B633))</f>
      </c>
      <c r="C634">
        <f>IF('R.M Billets Reports'!A633="V.No.",'R.M Billets Reports'!B633,IF(ROW()=2,"",C633))</f>
      </c>
      <c r="D634">
        <f>IF('R.M Billets Reports'!A633&lt;&gt;"",'R.M Billets Reports'!A633,IF(ROW()=2,"",D633))</f>
      </c>
      <c r="E634">
        <f>IF('R.M Billets Reports'!B633="","",TRIM('R.M Billets Reports'!B633))</f>
      </c>
      <c r="F634">
        <f>'R.M Billets Reports'!C633</f>
      </c>
      <c r="G634">
        <f>'R.M Billets Reports'!D633</f>
      </c>
      <c r="H634">
        <f>'R.M Billets Reports'!E633</f>
      </c>
      <c r="I634">
        <f>'R.M Billets Reports'!F633</f>
      </c>
      <c r="J634">
        <f>'R.M Billets Reports'!G633</f>
      </c>
      <c r="K634">
        <f>'R.M Billets Reports'!H633</f>
      </c>
      <c r="L634">
        <f>IF('R.M Billets Reports'!I633="","",'R.M Billets Reports'!I633)</f>
      </c>
      <c r="M634">
        <f t="shared" si="18"/>
      </c>
      <c r="N634">
        <f>IF('R.M Billets Reports'!J633="","",'R.M Billets Reports'!J633)</f>
      </c>
      <c r="O634">
        <f t="shared" si="19"/>
      </c>
      <c r="P634">
        <f>IF('R.M Billets Reports'!A633="SIZE",'R.M Billets Reports'!B633,P633)</f>
      </c>
    </row>
    <row r="635" spans="1:16" x14ac:dyDescent="0.25">
      <c r="A635">
        <f>IF(OR('R.M Billets Reports'!A634="Date-",'R.M Billets Reports'!A634="Date:-"),IF(IF(IF(ISNUMBER(SEARCH("Party Name:-",'R.M Billets Reports'!D634)),TRIM('R.M Billets Reports'!F634),IF(ISNUMBER(SEARCH("Party Name-",'R.M Billets Reports'!D634)),TRIM(MID('R.M Billets Reports'!D634,SEARCH("-",'R.M Billets Reports'!D634)+1,200)),""))&lt;&gt;"",IF(ISNUMBER(SEARCH("Party Name:-",'R.M Billets Reports'!D634)),TRIM('R.M Billets Reports'!F634),IF(ISNUMBER(SEARCH("Party Name-",'R.M Billets Reports'!D634)),TRIM(MID('R.M Billets Reports'!D634,SEARCH("-",'R.M Billets Reports'!D634)+1,200)),"")),IF(ISNUMBER(SEARCH("Party Name:-",'R.M Billets Reports'!D635)),TRIM('R.M Billets Reports'!F635),IF(ISNUMBER(SEARCH("Party Name-",'R.M Billets Reports'!D635)),TRIM(MID('R.M Billets Reports'!D635,SEARCH("-",'R.M Billets Reports'!D635)+1,200)),"")))="VRKP ISPAT PVT LTD","VRKP",IF(IF(IF(ISNUMBER(SEARCH("Party Name:-",'R.M Billets Reports'!D634)),TRIM('R.M Billets Reports'!F634),IF(ISNUMBER(SEARCH("Party Name-",'R.M Billets Reports'!D634)),TRIM(MID('R.M Billets Reports'!D634,SEARCH("-",'R.M Billets Reports'!D634)+1,200)),""))&lt;&gt;"",IF(ISNUMBER(SEARCH("Party Name:-",'R.M Billets Reports'!D634)),TRIM('R.M Billets Reports'!F634),IF(ISNUMBER(SEARCH("Party Name-",'R.M Billets Reports'!D634)),TRIM(MID('R.M Billets Reports'!D634,SEARCH("-",'R.M Billets Reports'!D634)+1,200)),"")),IF(ISNUMBER(SEARCH("Party Name:-",'R.M Billets Reports'!D635)),TRIM('R.M Billets Reports'!F635),IF(ISNUMBER(SEARCH("Party Name-",'R.M Billets Reports'!D635)),TRIM(MID('R.M Billets Reports'!D635,SEARCH("-",'R.M Billets Reports'!D635)+1,200)),"")))="SHRI RADHE","SHREE RADHE",IF(IF(IF(ISNUMBER(SEARCH("Party Name:-",'R.M Billets Reports'!D634)),TRIM('R.M Billets Reports'!F634),IF(ISNUMBER(SEARCH("Party Name-",'R.M Billets Reports'!D634)),TRIM(MID('R.M Billets Reports'!D634,SEARCH("-",'R.M Billets Reports'!D634)+1,200)),""))&lt;&gt;"",IF(ISNUMBER(SEARCH("Party Name:-",'R.M Billets Reports'!D634)),TRIM('R.M Billets Reports'!F634),IF(ISNUMBER(SEARCH("Party Name-",'R.M Billets Reports'!D634)),TRIM(MID('R.M Billets Reports'!D634,SEARCH("-",'R.M Billets Reports'!D634)+1,200)),"")),IF(ISNUMBER(SEARCH("Party Name:-",'R.M Billets Reports'!D635)),TRIM('R.M Billets Reports'!F635),IF(ISNUMBER(SEARCH("Party Name-",'R.M Billets Reports'!D635)),TRIM(MID('R.M Billets Reports'!D635,SEARCH("-",'R.M Billets Reports'!D635)+1,200)),"")))="SHREE RADHE SHAKTI SPONGE AND POWER PVT. LTD.","SHREE RADHE",IF(IF(ISNUMBER(SEARCH("Party Name:-",'R.M Billets Reports'!D634)),TRIM('R.M Billets Reports'!F634),IF(ISNUMBER(SEARCH("Party Name-",'R.M Billets Reports'!D634)),TRIM(MID('R.M Billets Reports'!D634,SEARCH("-",'R.M Billets Reports'!D634)+1,200)),""))&lt;&gt;"",IF(ISNUMBER(SEARCH("Party Name:-",'R.M Billets Reports'!D634)),TRIM('R.M Billets Reports'!F634),IF(ISNUMBER(SEARCH("Party Name-",'R.M Billets Reports'!D634)),TRIM(MID('R.M Billets Reports'!D634,SEARCH("-",'R.M Billets Reports'!D634)+1,200)),"")),IF(ISNUMBER(SEARCH("Party Name:-",'R.M Billets Reports'!D635)),TRIM('R.M Billets Reports'!F635),IF(ISNUMBER(SEARCH("Party Name-",'R.M Billets Reports'!D635)),TRIM(MID('R.M Billets Reports'!D635,SEARCH("-",'R.M Billets Reports'!D635)+1,200)),"")))))),IF(ROW()=2,"",A634))</f>
      </c>
      <c r="B635">
        <f>IF(OR('R.M Billets Reports'!A634="Date-",'R.M Billets Reports'!A634="Date:-"),'R.M Billets Reports'!B634,IF(ROW()=2,"",B634))</f>
      </c>
      <c r="C635">
        <f>IF('R.M Billets Reports'!A634="V.No.",'R.M Billets Reports'!B634,IF(ROW()=2,"",C634))</f>
      </c>
      <c r="D635">
        <f>IF('R.M Billets Reports'!A634&lt;&gt;"",'R.M Billets Reports'!A634,IF(ROW()=2,"",D634))</f>
      </c>
      <c r="E635">
        <f>IF('R.M Billets Reports'!B634="","",TRIM('R.M Billets Reports'!B634))</f>
      </c>
      <c r="F635">
        <f>'R.M Billets Reports'!C634</f>
      </c>
      <c r="G635">
        <f>'R.M Billets Reports'!D634</f>
      </c>
      <c r="H635">
        <f>'R.M Billets Reports'!E634</f>
      </c>
      <c r="I635">
        <f>'R.M Billets Reports'!F634</f>
      </c>
      <c r="J635">
        <f>'R.M Billets Reports'!G634</f>
      </c>
      <c r="K635">
        <f>'R.M Billets Reports'!H634</f>
      </c>
      <c r="L635">
        <f>IF('R.M Billets Reports'!I634="","",'R.M Billets Reports'!I634)</f>
      </c>
      <c r="M635">
        <f t="shared" si="18"/>
      </c>
      <c r="N635">
        <f>IF('R.M Billets Reports'!J634="","",'R.M Billets Reports'!J634)</f>
      </c>
      <c r="O635">
        <f t="shared" si="19"/>
      </c>
      <c r="P635">
        <f>IF('R.M Billets Reports'!A634="SIZE",'R.M Billets Reports'!B634,P634)</f>
      </c>
    </row>
    <row r="636" spans="1:16" x14ac:dyDescent="0.25">
      <c r="A636">
        <f>IF(OR('R.M Billets Reports'!A635="Date-",'R.M Billets Reports'!A635="Date:-"),IF(IF(IF(ISNUMBER(SEARCH("Party Name:-",'R.M Billets Reports'!D635)),TRIM('R.M Billets Reports'!F635),IF(ISNUMBER(SEARCH("Party Name-",'R.M Billets Reports'!D635)),TRIM(MID('R.M Billets Reports'!D635,SEARCH("-",'R.M Billets Reports'!D635)+1,200)),""))&lt;&gt;"",IF(ISNUMBER(SEARCH("Party Name:-",'R.M Billets Reports'!D635)),TRIM('R.M Billets Reports'!F635),IF(ISNUMBER(SEARCH("Party Name-",'R.M Billets Reports'!D635)),TRIM(MID('R.M Billets Reports'!D635,SEARCH("-",'R.M Billets Reports'!D635)+1,200)),"")),IF(ISNUMBER(SEARCH("Party Name:-",'R.M Billets Reports'!D636)),TRIM('R.M Billets Reports'!F636),IF(ISNUMBER(SEARCH("Party Name-",'R.M Billets Reports'!D636)),TRIM(MID('R.M Billets Reports'!D636,SEARCH("-",'R.M Billets Reports'!D636)+1,200)),"")))="VRKP ISPAT PVT LTD","VRKP",IF(IF(IF(ISNUMBER(SEARCH("Party Name:-",'R.M Billets Reports'!D635)),TRIM('R.M Billets Reports'!F635),IF(ISNUMBER(SEARCH("Party Name-",'R.M Billets Reports'!D635)),TRIM(MID('R.M Billets Reports'!D635,SEARCH("-",'R.M Billets Reports'!D635)+1,200)),""))&lt;&gt;"",IF(ISNUMBER(SEARCH("Party Name:-",'R.M Billets Reports'!D635)),TRIM('R.M Billets Reports'!F635),IF(ISNUMBER(SEARCH("Party Name-",'R.M Billets Reports'!D635)),TRIM(MID('R.M Billets Reports'!D635,SEARCH("-",'R.M Billets Reports'!D635)+1,200)),"")),IF(ISNUMBER(SEARCH("Party Name:-",'R.M Billets Reports'!D636)),TRIM('R.M Billets Reports'!F636),IF(ISNUMBER(SEARCH("Party Name-",'R.M Billets Reports'!D636)),TRIM(MID('R.M Billets Reports'!D636,SEARCH("-",'R.M Billets Reports'!D636)+1,200)),"")))="SHRI RADHE","SHREE RADHE",IF(IF(IF(ISNUMBER(SEARCH("Party Name:-",'R.M Billets Reports'!D635)),TRIM('R.M Billets Reports'!F635),IF(ISNUMBER(SEARCH("Party Name-",'R.M Billets Reports'!D635)),TRIM(MID('R.M Billets Reports'!D635,SEARCH("-",'R.M Billets Reports'!D635)+1,200)),""))&lt;&gt;"",IF(ISNUMBER(SEARCH("Party Name:-",'R.M Billets Reports'!D635)),TRIM('R.M Billets Reports'!F635),IF(ISNUMBER(SEARCH("Party Name-",'R.M Billets Reports'!D635)),TRIM(MID('R.M Billets Reports'!D635,SEARCH("-",'R.M Billets Reports'!D635)+1,200)),"")),IF(ISNUMBER(SEARCH("Party Name:-",'R.M Billets Reports'!D636)),TRIM('R.M Billets Reports'!F636),IF(ISNUMBER(SEARCH("Party Name-",'R.M Billets Reports'!D636)),TRIM(MID('R.M Billets Reports'!D636,SEARCH("-",'R.M Billets Reports'!D636)+1,200)),"")))="SHREE RADHE SHAKTI SPONGE AND POWER PVT. LTD.","SHREE RADHE",IF(IF(ISNUMBER(SEARCH("Party Name:-",'R.M Billets Reports'!D635)),TRIM('R.M Billets Reports'!F635),IF(ISNUMBER(SEARCH("Party Name-",'R.M Billets Reports'!D635)),TRIM(MID('R.M Billets Reports'!D635,SEARCH("-",'R.M Billets Reports'!D635)+1,200)),""))&lt;&gt;"",IF(ISNUMBER(SEARCH("Party Name:-",'R.M Billets Reports'!D635)),TRIM('R.M Billets Reports'!F635),IF(ISNUMBER(SEARCH("Party Name-",'R.M Billets Reports'!D635)),TRIM(MID('R.M Billets Reports'!D635,SEARCH("-",'R.M Billets Reports'!D635)+1,200)),"")),IF(ISNUMBER(SEARCH("Party Name:-",'R.M Billets Reports'!D636)),TRIM('R.M Billets Reports'!F636),IF(ISNUMBER(SEARCH("Party Name-",'R.M Billets Reports'!D636)),TRIM(MID('R.M Billets Reports'!D636,SEARCH("-",'R.M Billets Reports'!D636)+1,200)),"")))))),IF(ROW()=2,"",A635))</f>
      </c>
      <c r="B636">
        <f>IF(OR('R.M Billets Reports'!A635="Date-",'R.M Billets Reports'!A635="Date:-"),'R.M Billets Reports'!B635,IF(ROW()=2,"",B635))</f>
      </c>
      <c r="C636">
        <f>IF('R.M Billets Reports'!A635="V.No.",'R.M Billets Reports'!B635,IF(ROW()=2,"",C635))</f>
      </c>
      <c r="D636">
        <f>IF('R.M Billets Reports'!A635&lt;&gt;"",'R.M Billets Reports'!A635,IF(ROW()=2,"",D635))</f>
      </c>
      <c r="E636">
        <f>IF('R.M Billets Reports'!B635="","",TRIM('R.M Billets Reports'!B635))</f>
      </c>
      <c r="F636">
        <f>'R.M Billets Reports'!C635</f>
      </c>
      <c r="G636">
        <f>'R.M Billets Reports'!D635</f>
      </c>
      <c r="H636">
        <f>'R.M Billets Reports'!E635</f>
      </c>
      <c r="I636">
        <f>'R.M Billets Reports'!F635</f>
      </c>
      <c r="J636">
        <f>'R.M Billets Reports'!G635</f>
      </c>
      <c r="K636">
        <f>'R.M Billets Reports'!H635</f>
      </c>
      <c r="L636">
        <f>IF('R.M Billets Reports'!I635="","",'R.M Billets Reports'!I635)</f>
      </c>
      <c r="M636">
        <f t="shared" si="18"/>
      </c>
      <c r="N636">
        <f>IF('R.M Billets Reports'!J635="","",'R.M Billets Reports'!J635)</f>
      </c>
      <c r="O636">
        <f t="shared" si="19"/>
      </c>
      <c r="P636">
        <f>IF('R.M Billets Reports'!A635="SIZE",'R.M Billets Reports'!B635,P635)</f>
      </c>
    </row>
    <row r="637" spans="1:16" x14ac:dyDescent="0.25">
      <c r="A637">
        <f>IF(OR('R.M Billets Reports'!A636="Date-",'R.M Billets Reports'!A636="Date:-"),IF(IF(IF(ISNUMBER(SEARCH("Party Name:-",'R.M Billets Reports'!D636)),TRIM('R.M Billets Reports'!F636),IF(ISNUMBER(SEARCH("Party Name-",'R.M Billets Reports'!D636)),TRIM(MID('R.M Billets Reports'!D636,SEARCH("-",'R.M Billets Reports'!D636)+1,200)),""))&lt;&gt;"",IF(ISNUMBER(SEARCH("Party Name:-",'R.M Billets Reports'!D636)),TRIM('R.M Billets Reports'!F636),IF(ISNUMBER(SEARCH("Party Name-",'R.M Billets Reports'!D636)),TRIM(MID('R.M Billets Reports'!D636,SEARCH("-",'R.M Billets Reports'!D636)+1,200)),"")),IF(ISNUMBER(SEARCH("Party Name:-",'R.M Billets Reports'!D637)),TRIM('R.M Billets Reports'!F637),IF(ISNUMBER(SEARCH("Party Name-",'R.M Billets Reports'!D637)),TRIM(MID('R.M Billets Reports'!D637,SEARCH("-",'R.M Billets Reports'!D637)+1,200)),"")))="VRKP ISPAT PVT LTD","VRKP",IF(IF(IF(ISNUMBER(SEARCH("Party Name:-",'R.M Billets Reports'!D636)),TRIM('R.M Billets Reports'!F636),IF(ISNUMBER(SEARCH("Party Name-",'R.M Billets Reports'!D636)),TRIM(MID('R.M Billets Reports'!D636,SEARCH("-",'R.M Billets Reports'!D636)+1,200)),""))&lt;&gt;"",IF(ISNUMBER(SEARCH("Party Name:-",'R.M Billets Reports'!D636)),TRIM('R.M Billets Reports'!F636),IF(ISNUMBER(SEARCH("Party Name-",'R.M Billets Reports'!D636)),TRIM(MID('R.M Billets Reports'!D636,SEARCH("-",'R.M Billets Reports'!D636)+1,200)),"")),IF(ISNUMBER(SEARCH("Party Name:-",'R.M Billets Reports'!D637)),TRIM('R.M Billets Reports'!F637),IF(ISNUMBER(SEARCH("Party Name-",'R.M Billets Reports'!D637)),TRIM(MID('R.M Billets Reports'!D637,SEARCH("-",'R.M Billets Reports'!D637)+1,200)),"")))="SHRI RADHE","SHREE RADHE",IF(IF(IF(ISNUMBER(SEARCH("Party Name:-",'R.M Billets Reports'!D636)),TRIM('R.M Billets Reports'!F636),IF(ISNUMBER(SEARCH("Party Name-",'R.M Billets Reports'!D636)),TRIM(MID('R.M Billets Reports'!D636,SEARCH("-",'R.M Billets Reports'!D636)+1,200)),""))&lt;&gt;"",IF(ISNUMBER(SEARCH("Party Name:-",'R.M Billets Reports'!D636)),TRIM('R.M Billets Reports'!F636),IF(ISNUMBER(SEARCH("Party Name-",'R.M Billets Reports'!D636)),TRIM(MID('R.M Billets Reports'!D636,SEARCH("-",'R.M Billets Reports'!D636)+1,200)),"")),IF(ISNUMBER(SEARCH("Party Name:-",'R.M Billets Reports'!D637)),TRIM('R.M Billets Reports'!F637),IF(ISNUMBER(SEARCH("Party Name-",'R.M Billets Reports'!D637)),TRIM(MID('R.M Billets Reports'!D637,SEARCH("-",'R.M Billets Reports'!D637)+1,200)),"")))="SHREE RADHE SHAKTI SPONGE AND POWER PVT. LTD.","SHREE RADHE",IF(IF(ISNUMBER(SEARCH("Party Name:-",'R.M Billets Reports'!D636)),TRIM('R.M Billets Reports'!F636),IF(ISNUMBER(SEARCH("Party Name-",'R.M Billets Reports'!D636)),TRIM(MID('R.M Billets Reports'!D636,SEARCH("-",'R.M Billets Reports'!D636)+1,200)),""))&lt;&gt;"",IF(ISNUMBER(SEARCH("Party Name:-",'R.M Billets Reports'!D636)),TRIM('R.M Billets Reports'!F636),IF(ISNUMBER(SEARCH("Party Name-",'R.M Billets Reports'!D636)),TRIM(MID('R.M Billets Reports'!D636,SEARCH("-",'R.M Billets Reports'!D636)+1,200)),"")),IF(ISNUMBER(SEARCH("Party Name:-",'R.M Billets Reports'!D637)),TRIM('R.M Billets Reports'!F637),IF(ISNUMBER(SEARCH("Party Name-",'R.M Billets Reports'!D637)),TRIM(MID('R.M Billets Reports'!D637,SEARCH("-",'R.M Billets Reports'!D637)+1,200)),"")))))),IF(ROW()=2,"",A636))</f>
      </c>
      <c r="B637">
        <f>IF(OR('R.M Billets Reports'!A636="Date-",'R.M Billets Reports'!A636="Date:-"),'R.M Billets Reports'!B636,IF(ROW()=2,"",B636))</f>
      </c>
      <c r="C637">
        <f>IF('R.M Billets Reports'!A636="V.No.",'R.M Billets Reports'!B636,IF(ROW()=2,"",C636))</f>
      </c>
      <c r="D637">
        <f>IF('R.M Billets Reports'!A636&lt;&gt;"",'R.M Billets Reports'!A636,IF(ROW()=2,"",D636))</f>
      </c>
      <c r="E637">
        <f>IF('R.M Billets Reports'!B636="","",TRIM('R.M Billets Reports'!B636))</f>
      </c>
      <c r="F637">
        <f>'R.M Billets Reports'!C636</f>
      </c>
      <c r="G637">
        <f>'R.M Billets Reports'!D636</f>
      </c>
      <c r="H637">
        <f>'R.M Billets Reports'!E636</f>
      </c>
      <c r="I637">
        <f>'R.M Billets Reports'!F636</f>
      </c>
      <c r="J637">
        <f>'R.M Billets Reports'!G636</f>
      </c>
      <c r="K637">
        <f>'R.M Billets Reports'!H636</f>
      </c>
      <c r="L637">
        <f>IF('R.M Billets Reports'!I636="","",'R.M Billets Reports'!I636)</f>
      </c>
      <c r="M637">
        <f t="shared" si="18"/>
      </c>
      <c r="N637">
        <f>IF('R.M Billets Reports'!J636="","",'R.M Billets Reports'!J636)</f>
      </c>
      <c r="O637">
        <f t="shared" si="19"/>
      </c>
      <c r="P637">
        <f>IF('R.M Billets Reports'!A636="SIZE",'R.M Billets Reports'!B636,P636)</f>
      </c>
    </row>
    <row r="638" spans="1:16" x14ac:dyDescent="0.25">
      <c r="A638">
        <f>IF(OR('R.M Billets Reports'!A637="Date-",'R.M Billets Reports'!A637="Date:-"),IF(IF(IF(ISNUMBER(SEARCH("Party Name:-",'R.M Billets Reports'!D637)),TRIM('R.M Billets Reports'!F637),IF(ISNUMBER(SEARCH("Party Name-",'R.M Billets Reports'!D637)),TRIM(MID('R.M Billets Reports'!D637,SEARCH("-",'R.M Billets Reports'!D637)+1,200)),""))&lt;&gt;"",IF(ISNUMBER(SEARCH("Party Name:-",'R.M Billets Reports'!D637)),TRIM('R.M Billets Reports'!F637),IF(ISNUMBER(SEARCH("Party Name-",'R.M Billets Reports'!D637)),TRIM(MID('R.M Billets Reports'!D637,SEARCH("-",'R.M Billets Reports'!D637)+1,200)),"")),IF(ISNUMBER(SEARCH("Party Name:-",'R.M Billets Reports'!D638)),TRIM('R.M Billets Reports'!F638),IF(ISNUMBER(SEARCH("Party Name-",'R.M Billets Reports'!D638)),TRIM(MID('R.M Billets Reports'!D638,SEARCH("-",'R.M Billets Reports'!D638)+1,200)),"")))="VRKP ISPAT PVT LTD","VRKP",IF(IF(IF(ISNUMBER(SEARCH("Party Name:-",'R.M Billets Reports'!D637)),TRIM('R.M Billets Reports'!F637),IF(ISNUMBER(SEARCH("Party Name-",'R.M Billets Reports'!D637)),TRIM(MID('R.M Billets Reports'!D637,SEARCH("-",'R.M Billets Reports'!D637)+1,200)),""))&lt;&gt;"",IF(ISNUMBER(SEARCH("Party Name:-",'R.M Billets Reports'!D637)),TRIM('R.M Billets Reports'!F637),IF(ISNUMBER(SEARCH("Party Name-",'R.M Billets Reports'!D637)),TRIM(MID('R.M Billets Reports'!D637,SEARCH("-",'R.M Billets Reports'!D637)+1,200)),"")),IF(ISNUMBER(SEARCH("Party Name:-",'R.M Billets Reports'!D638)),TRIM('R.M Billets Reports'!F638),IF(ISNUMBER(SEARCH("Party Name-",'R.M Billets Reports'!D638)),TRIM(MID('R.M Billets Reports'!D638,SEARCH("-",'R.M Billets Reports'!D638)+1,200)),"")))="SHRI RADHE","SHREE RADHE",IF(IF(IF(ISNUMBER(SEARCH("Party Name:-",'R.M Billets Reports'!D637)),TRIM('R.M Billets Reports'!F637),IF(ISNUMBER(SEARCH("Party Name-",'R.M Billets Reports'!D637)),TRIM(MID('R.M Billets Reports'!D637,SEARCH("-",'R.M Billets Reports'!D637)+1,200)),""))&lt;&gt;"",IF(ISNUMBER(SEARCH("Party Name:-",'R.M Billets Reports'!D637)),TRIM('R.M Billets Reports'!F637),IF(ISNUMBER(SEARCH("Party Name-",'R.M Billets Reports'!D637)),TRIM(MID('R.M Billets Reports'!D637,SEARCH("-",'R.M Billets Reports'!D637)+1,200)),"")),IF(ISNUMBER(SEARCH("Party Name:-",'R.M Billets Reports'!D638)),TRIM('R.M Billets Reports'!F638),IF(ISNUMBER(SEARCH("Party Name-",'R.M Billets Reports'!D638)),TRIM(MID('R.M Billets Reports'!D638,SEARCH("-",'R.M Billets Reports'!D638)+1,200)),"")))="SHREE RADHE SHAKTI SPONGE AND POWER PVT. LTD.","SHREE RADHE",IF(IF(ISNUMBER(SEARCH("Party Name:-",'R.M Billets Reports'!D637)),TRIM('R.M Billets Reports'!F637),IF(ISNUMBER(SEARCH("Party Name-",'R.M Billets Reports'!D637)),TRIM(MID('R.M Billets Reports'!D637,SEARCH("-",'R.M Billets Reports'!D637)+1,200)),""))&lt;&gt;"",IF(ISNUMBER(SEARCH("Party Name:-",'R.M Billets Reports'!D637)),TRIM('R.M Billets Reports'!F637),IF(ISNUMBER(SEARCH("Party Name-",'R.M Billets Reports'!D637)),TRIM(MID('R.M Billets Reports'!D637,SEARCH("-",'R.M Billets Reports'!D637)+1,200)),"")),IF(ISNUMBER(SEARCH("Party Name:-",'R.M Billets Reports'!D638)),TRIM('R.M Billets Reports'!F638),IF(ISNUMBER(SEARCH("Party Name-",'R.M Billets Reports'!D638)),TRIM(MID('R.M Billets Reports'!D638,SEARCH("-",'R.M Billets Reports'!D638)+1,200)),"")))))),IF(ROW()=2,"",A637))</f>
      </c>
      <c r="B638">
        <f>IF(OR('R.M Billets Reports'!A637="Date-",'R.M Billets Reports'!A637="Date:-"),'R.M Billets Reports'!B637,IF(ROW()=2,"",B637))</f>
      </c>
      <c r="C638">
        <f>IF('R.M Billets Reports'!A637="V.No.",'R.M Billets Reports'!B637,IF(ROW()=2,"",C637))</f>
      </c>
      <c r="D638">
        <f>IF('R.M Billets Reports'!A637&lt;&gt;"",'R.M Billets Reports'!A637,IF(ROW()=2,"",D637))</f>
      </c>
      <c r="E638">
        <f>IF('R.M Billets Reports'!B637="","",TRIM('R.M Billets Reports'!B637))</f>
      </c>
      <c r="F638">
        <f>'R.M Billets Reports'!C637</f>
      </c>
      <c r="G638">
        <f>'R.M Billets Reports'!D637</f>
      </c>
      <c r="H638">
        <f>'R.M Billets Reports'!E637</f>
      </c>
      <c r="I638">
        <f>'R.M Billets Reports'!F637</f>
      </c>
      <c r="J638">
        <f>'R.M Billets Reports'!G637</f>
      </c>
      <c r="K638">
        <f>'R.M Billets Reports'!H637</f>
      </c>
      <c r="L638">
        <f>IF('R.M Billets Reports'!I637="","",'R.M Billets Reports'!I637)</f>
      </c>
      <c r="M638">
        <f t="shared" si="18"/>
      </c>
      <c r="N638">
        <f>IF('R.M Billets Reports'!J637="","",'R.M Billets Reports'!J637)</f>
      </c>
      <c r="O638">
        <f t="shared" si="19"/>
      </c>
      <c r="P638">
        <f>IF('R.M Billets Reports'!A637="SIZE",'R.M Billets Reports'!B637,P637)</f>
      </c>
    </row>
    <row r="639" spans="1:16" x14ac:dyDescent="0.25">
      <c r="A639">
        <f>IF(OR('R.M Billets Reports'!A638="Date-",'R.M Billets Reports'!A638="Date:-"),IF(IF(IF(ISNUMBER(SEARCH("Party Name:-",'R.M Billets Reports'!D638)),TRIM('R.M Billets Reports'!F638),IF(ISNUMBER(SEARCH("Party Name-",'R.M Billets Reports'!D638)),TRIM(MID('R.M Billets Reports'!D638,SEARCH("-",'R.M Billets Reports'!D638)+1,200)),""))&lt;&gt;"",IF(ISNUMBER(SEARCH("Party Name:-",'R.M Billets Reports'!D638)),TRIM('R.M Billets Reports'!F638),IF(ISNUMBER(SEARCH("Party Name-",'R.M Billets Reports'!D638)),TRIM(MID('R.M Billets Reports'!D638,SEARCH("-",'R.M Billets Reports'!D638)+1,200)),"")),IF(ISNUMBER(SEARCH("Party Name:-",'R.M Billets Reports'!D639)),TRIM('R.M Billets Reports'!F639),IF(ISNUMBER(SEARCH("Party Name-",'R.M Billets Reports'!D639)),TRIM(MID('R.M Billets Reports'!D639,SEARCH("-",'R.M Billets Reports'!D639)+1,200)),"")))="VRKP ISPAT PVT LTD","VRKP",IF(IF(IF(ISNUMBER(SEARCH("Party Name:-",'R.M Billets Reports'!D638)),TRIM('R.M Billets Reports'!F638),IF(ISNUMBER(SEARCH("Party Name-",'R.M Billets Reports'!D638)),TRIM(MID('R.M Billets Reports'!D638,SEARCH("-",'R.M Billets Reports'!D638)+1,200)),""))&lt;&gt;"",IF(ISNUMBER(SEARCH("Party Name:-",'R.M Billets Reports'!D638)),TRIM('R.M Billets Reports'!F638),IF(ISNUMBER(SEARCH("Party Name-",'R.M Billets Reports'!D638)),TRIM(MID('R.M Billets Reports'!D638,SEARCH("-",'R.M Billets Reports'!D638)+1,200)),"")),IF(ISNUMBER(SEARCH("Party Name:-",'R.M Billets Reports'!D639)),TRIM('R.M Billets Reports'!F639),IF(ISNUMBER(SEARCH("Party Name-",'R.M Billets Reports'!D639)),TRIM(MID('R.M Billets Reports'!D639,SEARCH("-",'R.M Billets Reports'!D639)+1,200)),"")))="SHRI RADHE","SHREE RADHE",IF(IF(IF(ISNUMBER(SEARCH("Party Name:-",'R.M Billets Reports'!D638)),TRIM('R.M Billets Reports'!F638),IF(ISNUMBER(SEARCH("Party Name-",'R.M Billets Reports'!D638)),TRIM(MID('R.M Billets Reports'!D638,SEARCH("-",'R.M Billets Reports'!D638)+1,200)),""))&lt;&gt;"",IF(ISNUMBER(SEARCH("Party Name:-",'R.M Billets Reports'!D638)),TRIM('R.M Billets Reports'!F638),IF(ISNUMBER(SEARCH("Party Name-",'R.M Billets Reports'!D638)),TRIM(MID('R.M Billets Reports'!D638,SEARCH("-",'R.M Billets Reports'!D638)+1,200)),"")),IF(ISNUMBER(SEARCH("Party Name:-",'R.M Billets Reports'!D639)),TRIM('R.M Billets Reports'!F639),IF(ISNUMBER(SEARCH("Party Name-",'R.M Billets Reports'!D639)),TRIM(MID('R.M Billets Reports'!D639,SEARCH("-",'R.M Billets Reports'!D639)+1,200)),"")))="SHREE RADHE SHAKTI SPONGE AND POWER PVT. LTD.","SHREE RADHE",IF(IF(ISNUMBER(SEARCH("Party Name:-",'R.M Billets Reports'!D638)),TRIM('R.M Billets Reports'!F638),IF(ISNUMBER(SEARCH("Party Name-",'R.M Billets Reports'!D638)),TRIM(MID('R.M Billets Reports'!D638,SEARCH("-",'R.M Billets Reports'!D638)+1,200)),""))&lt;&gt;"",IF(ISNUMBER(SEARCH("Party Name:-",'R.M Billets Reports'!D638)),TRIM('R.M Billets Reports'!F638),IF(ISNUMBER(SEARCH("Party Name-",'R.M Billets Reports'!D638)),TRIM(MID('R.M Billets Reports'!D638,SEARCH("-",'R.M Billets Reports'!D638)+1,200)),"")),IF(ISNUMBER(SEARCH("Party Name:-",'R.M Billets Reports'!D639)),TRIM('R.M Billets Reports'!F639),IF(ISNUMBER(SEARCH("Party Name-",'R.M Billets Reports'!D639)),TRIM(MID('R.M Billets Reports'!D639,SEARCH("-",'R.M Billets Reports'!D639)+1,200)),"")))))),IF(ROW()=2,"",A638))</f>
      </c>
      <c r="B639">
        <f>IF(OR('R.M Billets Reports'!A638="Date-",'R.M Billets Reports'!A638="Date:-"),'R.M Billets Reports'!B638,IF(ROW()=2,"",B638))</f>
      </c>
      <c r="C639">
        <f>IF('R.M Billets Reports'!A638="V.No.",'R.M Billets Reports'!B638,IF(ROW()=2,"",C638))</f>
      </c>
      <c r="D639">
        <f>IF('R.M Billets Reports'!A638&lt;&gt;"",'R.M Billets Reports'!A638,IF(ROW()=2,"",D638))</f>
      </c>
      <c r="E639">
        <f>IF('R.M Billets Reports'!B638="","",TRIM('R.M Billets Reports'!B638))</f>
      </c>
      <c r="F639">
        <f>'R.M Billets Reports'!C638</f>
      </c>
      <c r="G639">
        <f>'R.M Billets Reports'!D638</f>
      </c>
      <c r="H639">
        <f>'R.M Billets Reports'!E638</f>
      </c>
      <c r="I639">
        <f>'R.M Billets Reports'!F638</f>
      </c>
      <c r="J639">
        <f>'R.M Billets Reports'!G638</f>
      </c>
      <c r="K639">
        <f>'R.M Billets Reports'!H638</f>
      </c>
      <c r="L639">
        <f>IF('R.M Billets Reports'!I638="","",'R.M Billets Reports'!I638)</f>
      </c>
      <c r="M639">
        <f t="shared" si="18"/>
      </c>
      <c r="N639">
        <f>IF('R.M Billets Reports'!J638="","",'R.M Billets Reports'!J638)</f>
      </c>
      <c r="O639">
        <f t="shared" si="19"/>
      </c>
      <c r="P639">
        <f>IF('R.M Billets Reports'!A638="SIZE",'R.M Billets Reports'!B638,P638)</f>
      </c>
    </row>
    <row r="640" spans="1:16" x14ac:dyDescent="0.25">
      <c r="A640">
        <f>IF(OR('R.M Billets Reports'!A639="Date-",'R.M Billets Reports'!A639="Date:-"),IF(IF(IF(ISNUMBER(SEARCH("Party Name:-",'R.M Billets Reports'!D639)),TRIM('R.M Billets Reports'!F639),IF(ISNUMBER(SEARCH("Party Name-",'R.M Billets Reports'!D639)),TRIM(MID('R.M Billets Reports'!D639,SEARCH("-",'R.M Billets Reports'!D639)+1,200)),""))&lt;&gt;"",IF(ISNUMBER(SEARCH("Party Name:-",'R.M Billets Reports'!D639)),TRIM('R.M Billets Reports'!F639),IF(ISNUMBER(SEARCH("Party Name-",'R.M Billets Reports'!D639)),TRIM(MID('R.M Billets Reports'!D639,SEARCH("-",'R.M Billets Reports'!D639)+1,200)),"")),IF(ISNUMBER(SEARCH("Party Name:-",'R.M Billets Reports'!D640)),TRIM('R.M Billets Reports'!F640),IF(ISNUMBER(SEARCH("Party Name-",'R.M Billets Reports'!D640)),TRIM(MID('R.M Billets Reports'!D640,SEARCH("-",'R.M Billets Reports'!D640)+1,200)),"")))="VRKP ISPAT PVT LTD","VRKP",IF(IF(IF(ISNUMBER(SEARCH("Party Name:-",'R.M Billets Reports'!D639)),TRIM('R.M Billets Reports'!F639),IF(ISNUMBER(SEARCH("Party Name-",'R.M Billets Reports'!D639)),TRIM(MID('R.M Billets Reports'!D639,SEARCH("-",'R.M Billets Reports'!D639)+1,200)),""))&lt;&gt;"",IF(ISNUMBER(SEARCH("Party Name:-",'R.M Billets Reports'!D639)),TRIM('R.M Billets Reports'!F639),IF(ISNUMBER(SEARCH("Party Name-",'R.M Billets Reports'!D639)),TRIM(MID('R.M Billets Reports'!D639,SEARCH("-",'R.M Billets Reports'!D639)+1,200)),"")),IF(ISNUMBER(SEARCH("Party Name:-",'R.M Billets Reports'!D640)),TRIM('R.M Billets Reports'!F640),IF(ISNUMBER(SEARCH("Party Name-",'R.M Billets Reports'!D640)),TRIM(MID('R.M Billets Reports'!D640,SEARCH("-",'R.M Billets Reports'!D640)+1,200)),"")))="SHRI RADHE","SHREE RADHE",IF(IF(IF(ISNUMBER(SEARCH("Party Name:-",'R.M Billets Reports'!D639)),TRIM('R.M Billets Reports'!F639),IF(ISNUMBER(SEARCH("Party Name-",'R.M Billets Reports'!D639)),TRIM(MID('R.M Billets Reports'!D639,SEARCH("-",'R.M Billets Reports'!D639)+1,200)),""))&lt;&gt;"",IF(ISNUMBER(SEARCH("Party Name:-",'R.M Billets Reports'!D639)),TRIM('R.M Billets Reports'!F639),IF(ISNUMBER(SEARCH("Party Name-",'R.M Billets Reports'!D639)),TRIM(MID('R.M Billets Reports'!D639,SEARCH("-",'R.M Billets Reports'!D639)+1,200)),"")),IF(ISNUMBER(SEARCH("Party Name:-",'R.M Billets Reports'!D640)),TRIM('R.M Billets Reports'!F640),IF(ISNUMBER(SEARCH("Party Name-",'R.M Billets Reports'!D640)),TRIM(MID('R.M Billets Reports'!D640,SEARCH("-",'R.M Billets Reports'!D640)+1,200)),"")))="SHREE RADHE SHAKTI SPONGE AND POWER PVT. LTD.","SHREE RADHE",IF(IF(ISNUMBER(SEARCH("Party Name:-",'R.M Billets Reports'!D639)),TRIM('R.M Billets Reports'!F639),IF(ISNUMBER(SEARCH("Party Name-",'R.M Billets Reports'!D639)),TRIM(MID('R.M Billets Reports'!D639,SEARCH("-",'R.M Billets Reports'!D639)+1,200)),""))&lt;&gt;"",IF(ISNUMBER(SEARCH("Party Name:-",'R.M Billets Reports'!D639)),TRIM('R.M Billets Reports'!F639),IF(ISNUMBER(SEARCH("Party Name-",'R.M Billets Reports'!D639)),TRIM(MID('R.M Billets Reports'!D639,SEARCH("-",'R.M Billets Reports'!D639)+1,200)),"")),IF(ISNUMBER(SEARCH("Party Name:-",'R.M Billets Reports'!D640)),TRIM('R.M Billets Reports'!F640),IF(ISNUMBER(SEARCH("Party Name-",'R.M Billets Reports'!D640)),TRIM(MID('R.M Billets Reports'!D640,SEARCH("-",'R.M Billets Reports'!D640)+1,200)),"")))))),IF(ROW()=2,"",A639))</f>
      </c>
      <c r="B640">
        <f>IF(OR('R.M Billets Reports'!A639="Date-",'R.M Billets Reports'!A639="Date:-"),'R.M Billets Reports'!B639,IF(ROW()=2,"",B639))</f>
      </c>
      <c r="C640">
        <f>IF('R.M Billets Reports'!A639="V.No.",'R.M Billets Reports'!B639,IF(ROW()=2,"",C639))</f>
      </c>
      <c r="D640">
        <f>IF('R.M Billets Reports'!A639&lt;&gt;"",'R.M Billets Reports'!A639,IF(ROW()=2,"",D639))</f>
      </c>
      <c r="E640">
        <f>IF('R.M Billets Reports'!B639="","",TRIM('R.M Billets Reports'!B639))</f>
      </c>
      <c r="F640">
        <f>'R.M Billets Reports'!C639</f>
      </c>
      <c r="G640">
        <f>'R.M Billets Reports'!D639</f>
      </c>
      <c r="H640">
        <f>'R.M Billets Reports'!E639</f>
      </c>
      <c r="I640">
        <f>'R.M Billets Reports'!F639</f>
      </c>
      <c r="J640">
        <f>'R.M Billets Reports'!G639</f>
      </c>
      <c r="K640">
        <f>'R.M Billets Reports'!H639</f>
      </c>
      <c r="L640">
        <f>IF('R.M Billets Reports'!I639="","",'R.M Billets Reports'!I639)</f>
      </c>
      <c r="M640">
        <f t="shared" si="18"/>
      </c>
      <c r="N640">
        <f>IF('R.M Billets Reports'!J639="","",'R.M Billets Reports'!J639)</f>
      </c>
      <c r="O640">
        <f t="shared" si="19"/>
      </c>
      <c r="P640">
        <f>IF('R.M Billets Reports'!A639="SIZE",'R.M Billets Reports'!B639,P639)</f>
      </c>
    </row>
    <row r="641" spans="1:16" x14ac:dyDescent="0.25">
      <c r="A641">
        <f>IF(OR('R.M Billets Reports'!A640="Date-",'R.M Billets Reports'!A640="Date:-"),IF(IF(IF(ISNUMBER(SEARCH("Party Name:-",'R.M Billets Reports'!D640)),TRIM('R.M Billets Reports'!F640),IF(ISNUMBER(SEARCH("Party Name-",'R.M Billets Reports'!D640)),TRIM(MID('R.M Billets Reports'!D640,SEARCH("-",'R.M Billets Reports'!D640)+1,200)),""))&lt;&gt;"",IF(ISNUMBER(SEARCH("Party Name:-",'R.M Billets Reports'!D640)),TRIM('R.M Billets Reports'!F640),IF(ISNUMBER(SEARCH("Party Name-",'R.M Billets Reports'!D640)),TRIM(MID('R.M Billets Reports'!D640,SEARCH("-",'R.M Billets Reports'!D640)+1,200)),"")),IF(ISNUMBER(SEARCH("Party Name:-",'R.M Billets Reports'!D641)),TRIM('R.M Billets Reports'!F641),IF(ISNUMBER(SEARCH("Party Name-",'R.M Billets Reports'!D641)),TRIM(MID('R.M Billets Reports'!D641,SEARCH("-",'R.M Billets Reports'!D641)+1,200)),"")))="VRKP ISPAT PVT LTD","VRKP",IF(IF(IF(ISNUMBER(SEARCH("Party Name:-",'R.M Billets Reports'!D640)),TRIM('R.M Billets Reports'!F640),IF(ISNUMBER(SEARCH("Party Name-",'R.M Billets Reports'!D640)),TRIM(MID('R.M Billets Reports'!D640,SEARCH("-",'R.M Billets Reports'!D640)+1,200)),""))&lt;&gt;"",IF(ISNUMBER(SEARCH("Party Name:-",'R.M Billets Reports'!D640)),TRIM('R.M Billets Reports'!F640),IF(ISNUMBER(SEARCH("Party Name-",'R.M Billets Reports'!D640)),TRIM(MID('R.M Billets Reports'!D640,SEARCH("-",'R.M Billets Reports'!D640)+1,200)),"")),IF(ISNUMBER(SEARCH("Party Name:-",'R.M Billets Reports'!D641)),TRIM('R.M Billets Reports'!F641),IF(ISNUMBER(SEARCH("Party Name-",'R.M Billets Reports'!D641)),TRIM(MID('R.M Billets Reports'!D641,SEARCH("-",'R.M Billets Reports'!D641)+1,200)),"")))="SHRI RADHE","SHREE RADHE",IF(IF(IF(ISNUMBER(SEARCH("Party Name:-",'R.M Billets Reports'!D640)),TRIM('R.M Billets Reports'!F640),IF(ISNUMBER(SEARCH("Party Name-",'R.M Billets Reports'!D640)),TRIM(MID('R.M Billets Reports'!D640,SEARCH("-",'R.M Billets Reports'!D640)+1,200)),""))&lt;&gt;"",IF(ISNUMBER(SEARCH("Party Name:-",'R.M Billets Reports'!D640)),TRIM('R.M Billets Reports'!F640),IF(ISNUMBER(SEARCH("Party Name-",'R.M Billets Reports'!D640)),TRIM(MID('R.M Billets Reports'!D640,SEARCH("-",'R.M Billets Reports'!D640)+1,200)),"")),IF(ISNUMBER(SEARCH("Party Name:-",'R.M Billets Reports'!D641)),TRIM('R.M Billets Reports'!F641),IF(ISNUMBER(SEARCH("Party Name-",'R.M Billets Reports'!D641)),TRIM(MID('R.M Billets Reports'!D641,SEARCH("-",'R.M Billets Reports'!D641)+1,200)),"")))="SHREE RADHE SHAKTI SPONGE AND POWER PVT. LTD.","SHREE RADHE",IF(IF(ISNUMBER(SEARCH("Party Name:-",'R.M Billets Reports'!D640)),TRIM('R.M Billets Reports'!F640),IF(ISNUMBER(SEARCH("Party Name-",'R.M Billets Reports'!D640)),TRIM(MID('R.M Billets Reports'!D640,SEARCH("-",'R.M Billets Reports'!D640)+1,200)),""))&lt;&gt;"",IF(ISNUMBER(SEARCH("Party Name:-",'R.M Billets Reports'!D640)),TRIM('R.M Billets Reports'!F640),IF(ISNUMBER(SEARCH("Party Name-",'R.M Billets Reports'!D640)),TRIM(MID('R.M Billets Reports'!D640,SEARCH("-",'R.M Billets Reports'!D640)+1,200)),"")),IF(ISNUMBER(SEARCH("Party Name:-",'R.M Billets Reports'!D641)),TRIM('R.M Billets Reports'!F641),IF(ISNUMBER(SEARCH("Party Name-",'R.M Billets Reports'!D641)),TRIM(MID('R.M Billets Reports'!D641,SEARCH("-",'R.M Billets Reports'!D641)+1,200)),"")))))),IF(ROW()=2,"",A640))</f>
      </c>
      <c r="B641">
        <f>IF(OR('R.M Billets Reports'!A640="Date-",'R.M Billets Reports'!A640="Date:-"),'R.M Billets Reports'!B640,IF(ROW()=2,"",B640))</f>
      </c>
      <c r="C641">
        <f>IF('R.M Billets Reports'!A640="V.No.",'R.M Billets Reports'!B640,IF(ROW()=2,"",C640))</f>
      </c>
      <c r="D641">
        <f>IF('R.M Billets Reports'!A640&lt;&gt;"",'R.M Billets Reports'!A640,IF(ROW()=2,"",D640))</f>
      </c>
      <c r="E641">
        <f>IF('R.M Billets Reports'!B640="","",TRIM('R.M Billets Reports'!B640))</f>
      </c>
      <c r="F641">
        <f>'R.M Billets Reports'!C640</f>
      </c>
      <c r="G641">
        <f>'R.M Billets Reports'!D640</f>
      </c>
      <c r="H641">
        <f>'R.M Billets Reports'!E640</f>
      </c>
      <c r="I641">
        <f>'R.M Billets Reports'!F640</f>
      </c>
      <c r="J641">
        <f>'R.M Billets Reports'!G640</f>
      </c>
      <c r="K641">
        <f>'R.M Billets Reports'!H640</f>
      </c>
      <c r="L641">
        <f>IF('R.M Billets Reports'!I640="","",'R.M Billets Reports'!I640)</f>
      </c>
      <c r="M641">
        <f t="shared" si="18"/>
      </c>
      <c r="N641">
        <f>IF('R.M Billets Reports'!J640="","",'R.M Billets Reports'!J640)</f>
      </c>
      <c r="O641">
        <f t="shared" si="19"/>
      </c>
      <c r="P641">
        <f>IF('R.M Billets Reports'!A640="SIZE",'R.M Billets Reports'!B640,P640)</f>
      </c>
    </row>
    <row r="642" spans="1:16" x14ac:dyDescent="0.25">
      <c r="A642">
        <f>IF(OR('R.M Billets Reports'!A641="Date-",'R.M Billets Reports'!A641="Date:-"),IF(IF(IF(ISNUMBER(SEARCH("Party Name:-",'R.M Billets Reports'!D641)),TRIM('R.M Billets Reports'!F641),IF(ISNUMBER(SEARCH("Party Name-",'R.M Billets Reports'!D641)),TRIM(MID('R.M Billets Reports'!D641,SEARCH("-",'R.M Billets Reports'!D641)+1,200)),""))&lt;&gt;"",IF(ISNUMBER(SEARCH("Party Name:-",'R.M Billets Reports'!D641)),TRIM('R.M Billets Reports'!F641),IF(ISNUMBER(SEARCH("Party Name-",'R.M Billets Reports'!D641)),TRIM(MID('R.M Billets Reports'!D641,SEARCH("-",'R.M Billets Reports'!D641)+1,200)),"")),IF(ISNUMBER(SEARCH("Party Name:-",'R.M Billets Reports'!D642)),TRIM('R.M Billets Reports'!F642),IF(ISNUMBER(SEARCH("Party Name-",'R.M Billets Reports'!D642)),TRIM(MID('R.M Billets Reports'!D642,SEARCH("-",'R.M Billets Reports'!D642)+1,200)),"")))="VRKP ISPAT PVT LTD","VRKP",IF(IF(IF(ISNUMBER(SEARCH("Party Name:-",'R.M Billets Reports'!D641)),TRIM('R.M Billets Reports'!F641),IF(ISNUMBER(SEARCH("Party Name-",'R.M Billets Reports'!D641)),TRIM(MID('R.M Billets Reports'!D641,SEARCH("-",'R.M Billets Reports'!D641)+1,200)),""))&lt;&gt;"",IF(ISNUMBER(SEARCH("Party Name:-",'R.M Billets Reports'!D641)),TRIM('R.M Billets Reports'!F641),IF(ISNUMBER(SEARCH("Party Name-",'R.M Billets Reports'!D641)),TRIM(MID('R.M Billets Reports'!D641,SEARCH("-",'R.M Billets Reports'!D641)+1,200)),"")),IF(ISNUMBER(SEARCH("Party Name:-",'R.M Billets Reports'!D642)),TRIM('R.M Billets Reports'!F642),IF(ISNUMBER(SEARCH("Party Name-",'R.M Billets Reports'!D642)),TRIM(MID('R.M Billets Reports'!D642,SEARCH("-",'R.M Billets Reports'!D642)+1,200)),"")))="SHRI RADHE","SHREE RADHE",IF(IF(IF(ISNUMBER(SEARCH("Party Name:-",'R.M Billets Reports'!D641)),TRIM('R.M Billets Reports'!F641),IF(ISNUMBER(SEARCH("Party Name-",'R.M Billets Reports'!D641)),TRIM(MID('R.M Billets Reports'!D641,SEARCH("-",'R.M Billets Reports'!D641)+1,200)),""))&lt;&gt;"",IF(ISNUMBER(SEARCH("Party Name:-",'R.M Billets Reports'!D641)),TRIM('R.M Billets Reports'!F641),IF(ISNUMBER(SEARCH("Party Name-",'R.M Billets Reports'!D641)),TRIM(MID('R.M Billets Reports'!D641,SEARCH("-",'R.M Billets Reports'!D641)+1,200)),"")),IF(ISNUMBER(SEARCH("Party Name:-",'R.M Billets Reports'!D642)),TRIM('R.M Billets Reports'!F642),IF(ISNUMBER(SEARCH("Party Name-",'R.M Billets Reports'!D642)),TRIM(MID('R.M Billets Reports'!D642,SEARCH("-",'R.M Billets Reports'!D642)+1,200)),"")))="SHREE RADHE SHAKTI SPONGE AND POWER PVT. LTD.","SHREE RADHE",IF(IF(ISNUMBER(SEARCH("Party Name:-",'R.M Billets Reports'!D641)),TRIM('R.M Billets Reports'!F641),IF(ISNUMBER(SEARCH("Party Name-",'R.M Billets Reports'!D641)),TRIM(MID('R.M Billets Reports'!D641,SEARCH("-",'R.M Billets Reports'!D641)+1,200)),""))&lt;&gt;"",IF(ISNUMBER(SEARCH("Party Name:-",'R.M Billets Reports'!D641)),TRIM('R.M Billets Reports'!F641),IF(ISNUMBER(SEARCH("Party Name-",'R.M Billets Reports'!D641)),TRIM(MID('R.M Billets Reports'!D641,SEARCH("-",'R.M Billets Reports'!D641)+1,200)),"")),IF(ISNUMBER(SEARCH("Party Name:-",'R.M Billets Reports'!D642)),TRIM('R.M Billets Reports'!F642),IF(ISNUMBER(SEARCH("Party Name-",'R.M Billets Reports'!D642)),TRIM(MID('R.M Billets Reports'!D642,SEARCH("-",'R.M Billets Reports'!D642)+1,200)),"")))))),IF(ROW()=2,"",A641))</f>
      </c>
      <c r="B642">
        <f>IF(OR('R.M Billets Reports'!A641="Date-",'R.M Billets Reports'!A641="Date:-"),'R.M Billets Reports'!B641,IF(ROW()=2,"",B641))</f>
      </c>
      <c r="C642">
        <f>IF('R.M Billets Reports'!A641="V.No.",'R.M Billets Reports'!B641,IF(ROW()=2,"",C641))</f>
      </c>
      <c r="D642">
        <f>IF('R.M Billets Reports'!A641&lt;&gt;"",'R.M Billets Reports'!A641,IF(ROW()=2,"",D641))</f>
      </c>
      <c r="E642">
        <f>IF('R.M Billets Reports'!B641="","",TRIM('R.M Billets Reports'!B641))</f>
      </c>
      <c r="F642">
        <f>'R.M Billets Reports'!C641</f>
      </c>
      <c r="G642">
        <f>'R.M Billets Reports'!D641</f>
      </c>
      <c r="H642">
        <f>'R.M Billets Reports'!E641</f>
      </c>
      <c r="I642">
        <f>'R.M Billets Reports'!F641</f>
      </c>
      <c r="J642">
        <f>'R.M Billets Reports'!G641</f>
      </c>
      <c r="K642">
        <f>'R.M Billets Reports'!H641</f>
      </c>
      <c r="L642">
        <f>IF('R.M Billets Reports'!I641="","",'R.M Billets Reports'!I641)</f>
      </c>
      <c r="M642">
        <f t="shared" si="18"/>
      </c>
      <c r="N642">
        <f>IF('R.M Billets Reports'!J641="","",'R.M Billets Reports'!J641)</f>
      </c>
      <c r="O642">
        <f t="shared" si="19"/>
      </c>
      <c r="P642">
        <f>IF('R.M Billets Reports'!A641="SIZE",'R.M Billets Reports'!B641,P641)</f>
      </c>
    </row>
    <row r="643" spans="1:16" x14ac:dyDescent="0.25">
      <c r="A643">
        <f>IF(OR('R.M Billets Reports'!A642="Date-",'R.M Billets Reports'!A642="Date:-"),IF(IF(IF(ISNUMBER(SEARCH("Party Name:-",'R.M Billets Reports'!D642)),TRIM('R.M Billets Reports'!F642),IF(ISNUMBER(SEARCH("Party Name-",'R.M Billets Reports'!D642)),TRIM(MID('R.M Billets Reports'!D642,SEARCH("-",'R.M Billets Reports'!D642)+1,200)),""))&lt;&gt;"",IF(ISNUMBER(SEARCH("Party Name:-",'R.M Billets Reports'!D642)),TRIM('R.M Billets Reports'!F642),IF(ISNUMBER(SEARCH("Party Name-",'R.M Billets Reports'!D642)),TRIM(MID('R.M Billets Reports'!D642,SEARCH("-",'R.M Billets Reports'!D642)+1,200)),"")),IF(ISNUMBER(SEARCH("Party Name:-",'R.M Billets Reports'!D643)),TRIM('R.M Billets Reports'!F643),IF(ISNUMBER(SEARCH("Party Name-",'R.M Billets Reports'!D643)),TRIM(MID('R.M Billets Reports'!D643,SEARCH("-",'R.M Billets Reports'!D643)+1,200)),"")))="VRKP ISPAT PVT LTD","VRKP",IF(IF(IF(ISNUMBER(SEARCH("Party Name:-",'R.M Billets Reports'!D642)),TRIM('R.M Billets Reports'!F642),IF(ISNUMBER(SEARCH("Party Name-",'R.M Billets Reports'!D642)),TRIM(MID('R.M Billets Reports'!D642,SEARCH("-",'R.M Billets Reports'!D642)+1,200)),""))&lt;&gt;"",IF(ISNUMBER(SEARCH("Party Name:-",'R.M Billets Reports'!D642)),TRIM('R.M Billets Reports'!F642),IF(ISNUMBER(SEARCH("Party Name-",'R.M Billets Reports'!D642)),TRIM(MID('R.M Billets Reports'!D642,SEARCH("-",'R.M Billets Reports'!D642)+1,200)),"")),IF(ISNUMBER(SEARCH("Party Name:-",'R.M Billets Reports'!D643)),TRIM('R.M Billets Reports'!F643),IF(ISNUMBER(SEARCH("Party Name-",'R.M Billets Reports'!D643)),TRIM(MID('R.M Billets Reports'!D643,SEARCH("-",'R.M Billets Reports'!D643)+1,200)),"")))="SHRI RADHE","SHREE RADHE",IF(IF(IF(ISNUMBER(SEARCH("Party Name:-",'R.M Billets Reports'!D642)),TRIM('R.M Billets Reports'!F642),IF(ISNUMBER(SEARCH("Party Name-",'R.M Billets Reports'!D642)),TRIM(MID('R.M Billets Reports'!D642,SEARCH("-",'R.M Billets Reports'!D642)+1,200)),""))&lt;&gt;"",IF(ISNUMBER(SEARCH("Party Name:-",'R.M Billets Reports'!D642)),TRIM('R.M Billets Reports'!F642),IF(ISNUMBER(SEARCH("Party Name-",'R.M Billets Reports'!D642)),TRIM(MID('R.M Billets Reports'!D642,SEARCH("-",'R.M Billets Reports'!D642)+1,200)),"")),IF(ISNUMBER(SEARCH("Party Name:-",'R.M Billets Reports'!D643)),TRIM('R.M Billets Reports'!F643),IF(ISNUMBER(SEARCH("Party Name-",'R.M Billets Reports'!D643)),TRIM(MID('R.M Billets Reports'!D643,SEARCH("-",'R.M Billets Reports'!D643)+1,200)),"")))="SHREE RADHE SHAKTI SPONGE AND POWER PVT. LTD.","SHREE RADHE",IF(IF(ISNUMBER(SEARCH("Party Name:-",'R.M Billets Reports'!D642)),TRIM('R.M Billets Reports'!F642),IF(ISNUMBER(SEARCH("Party Name-",'R.M Billets Reports'!D642)),TRIM(MID('R.M Billets Reports'!D642,SEARCH("-",'R.M Billets Reports'!D642)+1,200)),""))&lt;&gt;"",IF(ISNUMBER(SEARCH("Party Name:-",'R.M Billets Reports'!D642)),TRIM('R.M Billets Reports'!F642),IF(ISNUMBER(SEARCH("Party Name-",'R.M Billets Reports'!D642)),TRIM(MID('R.M Billets Reports'!D642,SEARCH("-",'R.M Billets Reports'!D642)+1,200)),"")),IF(ISNUMBER(SEARCH("Party Name:-",'R.M Billets Reports'!D643)),TRIM('R.M Billets Reports'!F643),IF(ISNUMBER(SEARCH("Party Name-",'R.M Billets Reports'!D643)),TRIM(MID('R.M Billets Reports'!D643,SEARCH("-",'R.M Billets Reports'!D643)+1,200)),"")))))),IF(ROW()=2,"",A642))</f>
      </c>
      <c r="B643">
        <f>IF(OR('R.M Billets Reports'!A642="Date-",'R.M Billets Reports'!A642="Date:-"),'R.M Billets Reports'!B642,IF(ROW()=2,"",B642))</f>
      </c>
      <c r="C643">
        <f>IF('R.M Billets Reports'!A642="V.No.",'R.M Billets Reports'!B642,IF(ROW()=2,"",C642))</f>
      </c>
      <c r="D643">
        <f>IF('R.M Billets Reports'!A642&lt;&gt;"",'R.M Billets Reports'!A642,IF(ROW()=2,"",D642))</f>
      </c>
      <c r="E643">
        <f>IF('R.M Billets Reports'!B642="","",TRIM('R.M Billets Reports'!B642))</f>
      </c>
      <c r="F643">
        <f>'R.M Billets Reports'!C642</f>
      </c>
      <c r="G643">
        <f>'R.M Billets Reports'!D642</f>
      </c>
      <c r="H643">
        <f>'R.M Billets Reports'!E642</f>
      </c>
      <c r="I643">
        <f>'R.M Billets Reports'!F642</f>
      </c>
      <c r="J643">
        <f>'R.M Billets Reports'!G642</f>
      </c>
      <c r="K643">
        <f>'R.M Billets Reports'!H642</f>
      </c>
      <c r="L643">
        <f>IF('R.M Billets Reports'!I642="","",'R.M Billets Reports'!I642)</f>
      </c>
      <c r="M643">
        <f t="shared" ref="M643:M706" si="20">IF(L643&lt;&gt;"",L643,IF(D643=D642,M642,""))</f>
      </c>
      <c r="N643">
        <f>IF('R.M Billets Reports'!J642="","",'R.M Billets Reports'!J642)</f>
      </c>
      <c r="O643">
        <f t="shared" ref="O643:O706" si="21">IF(N643&lt;&gt;"",N643,IF(D643=D642,O642,""))</f>
      </c>
      <c r="P643">
        <f>IF('R.M Billets Reports'!A642="SIZE",'R.M Billets Reports'!B642,P642)</f>
      </c>
    </row>
    <row r="644" spans="1:16" x14ac:dyDescent="0.25">
      <c r="A644">
        <f>IF(OR('R.M Billets Reports'!A643="Date-",'R.M Billets Reports'!A643="Date:-"),IF(IF(IF(ISNUMBER(SEARCH("Party Name:-",'R.M Billets Reports'!D643)),TRIM('R.M Billets Reports'!F643),IF(ISNUMBER(SEARCH("Party Name-",'R.M Billets Reports'!D643)),TRIM(MID('R.M Billets Reports'!D643,SEARCH("-",'R.M Billets Reports'!D643)+1,200)),""))&lt;&gt;"",IF(ISNUMBER(SEARCH("Party Name:-",'R.M Billets Reports'!D643)),TRIM('R.M Billets Reports'!F643),IF(ISNUMBER(SEARCH("Party Name-",'R.M Billets Reports'!D643)),TRIM(MID('R.M Billets Reports'!D643,SEARCH("-",'R.M Billets Reports'!D643)+1,200)),"")),IF(ISNUMBER(SEARCH("Party Name:-",'R.M Billets Reports'!D644)),TRIM('R.M Billets Reports'!F644),IF(ISNUMBER(SEARCH("Party Name-",'R.M Billets Reports'!D644)),TRIM(MID('R.M Billets Reports'!D644,SEARCH("-",'R.M Billets Reports'!D644)+1,200)),"")))="VRKP ISPAT PVT LTD","VRKP",IF(IF(IF(ISNUMBER(SEARCH("Party Name:-",'R.M Billets Reports'!D643)),TRIM('R.M Billets Reports'!F643),IF(ISNUMBER(SEARCH("Party Name-",'R.M Billets Reports'!D643)),TRIM(MID('R.M Billets Reports'!D643,SEARCH("-",'R.M Billets Reports'!D643)+1,200)),""))&lt;&gt;"",IF(ISNUMBER(SEARCH("Party Name:-",'R.M Billets Reports'!D643)),TRIM('R.M Billets Reports'!F643),IF(ISNUMBER(SEARCH("Party Name-",'R.M Billets Reports'!D643)),TRIM(MID('R.M Billets Reports'!D643,SEARCH("-",'R.M Billets Reports'!D643)+1,200)),"")),IF(ISNUMBER(SEARCH("Party Name:-",'R.M Billets Reports'!D644)),TRIM('R.M Billets Reports'!F644),IF(ISNUMBER(SEARCH("Party Name-",'R.M Billets Reports'!D644)),TRIM(MID('R.M Billets Reports'!D644,SEARCH("-",'R.M Billets Reports'!D644)+1,200)),"")))="SHRI RADHE","SHREE RADHE",IF(IF(IF(ISNUMBER(SEARCH("Party Name:-",'R.M Billets Reports'!D643)),TRIM('R.M Billets Reports'!F643),IF(ISNUMBER(SEARCH("Party Name-",'R.M Billets Reports'!D643)),TRIM(MID('R.M Billets Reports'!D643,SEARCH("-",'R.M Billets Reports'!D643)+1,200)),""))&lt;&gt;"",IF(ISNUMBER(SEARCH("Party Name:-",'R.M Billets Reports'!D643)),TRIM('R.M Billets Reports'!F643),IF(ISNUMBER(SEARCH("Party Name-",'R.M Billets Reports'!D643)),TRIM(MID('R.M Billets Reports'!D643,SEARCH("-",'R.M Billets Reports'!D643)+1,200)),"")),IF(ISNUMBER(SEARCH("Party Name:-",'R.M Billets Reports'!D644)),TRIM('R.M Billets Reports'!F644),IF(ISNUMBER(SEARCH("Party Name-",'R.M Billets Reports'!D644)),TRIM(MID('R.M Billets Reports'!D644,SEARCH("-",'R.M Billets Reports'!D644)+1,200)),"")))="SHREE RADHE SHAKTI SPONGE AND POWER PVT. LTD.","SHREE RADHE",IF(IF(ISNUMBER(SEARCH("Party Name:-",'R.M Billets Reports'!D643)),TRIM('R.M Billets Reports'!F643),IF(ISNUMBER(SEARCH("Party Name-",'R.M Billets Reports'!D643)),TRIM(MID('R.M Billets Reports'!D643,SEARCH("-",'R.M Billets Reports'!D643)+1,200)),""))&lt;&gt;"",IF(ISNUMBER(SEARCH("Party Name:-",'R.M Billets Reports'!D643)),TRIM('R.M Billets Reports'!F643),IF(ISNUMBER(SEARCH("Party Name-",'R.M Billets Reports'!D643)),TRIM(MID('R.M Billets Reports'!D643,SEARCH("-",'R.M Billets Reports'!D643)+1,200)),"")),IF(ISNUMBER(SEARCH("Party Name:-",'R.M Billets Reports'!D644)),TRIM('R.M Billets Reports'!F644),IF(ISNUMBER(SEARCH("Party Name-",'R.M Billets Reports'!D644)),TRIM(MID('R.M Billets Reports'!D644,SEARCH("-",'R.M Billets Reports'!D644)+1,200)),"")))))),IF(ROW()=2,"",A643))</f>
      </c>
      <c r="B644">
        <f>IF(OR('R.M Billets Reports'!A643="Date-",'R.M Billets Reports'!A643="Date:-"),'R.M Billets Reports'!B643,IF(ROW()=2,"",B643))</f>
      </c>
      <c r="C644">
        <f>IF('R.M Billets Reports'!A643="V.No.",'R.M Billets Reports'!B643,IF(ROW()=2,"",C643))</f>
      </c>
      <c r="D644">
        <f>IF('R.M Billets Reports'!A643&lt;&gt;"",'R.M Billets Reports'!A643,IF(ROW()=2,"",D643))</f>
      </c>
      <c r="E644">
        <f>IF('R.M Billets Reports'!B643="","",TRIM('R.M Billets Reports'!B643))</f>
      </c>
      <c r="F644">
        <f>'R.M Billets Reports'!C643</f>
      </c>
      <c r="G644">
        <f>'R.M Billets Reports'!D643</f>
      </c>
      <c r="H644">
        <f>'R.M Billets Reports'!E643</f>
      </c>
      <c r="I644">
        <f>'R.M Billets Reports'!F643</f>
      </c>
      <c r="J644">
        <f>'R.M Billets Reports'!G643</f>
      </c>
      <c r="K644">
        <f>'R.M Billets Reports'!H643</f>
      </c>
      <c r="L644">
        <f>IF('R.M Billets Reports'!I643="","",'R.M Billets Reports'!I643)</f>
      </c>
      <c r="M644">
        <f t="shared" si="20"/>
      </c>
      <c r="N644">
        <f>IF('R.M Billets Reports'!J643="","",'R.M Billets Reports'!J643)</f>
      </c>
      <c r="O644">
        <f t="shared" si="21"/>
      </c>
      <c r="P644">
        <f>IF('R.M Billets Reports'!A643="SIZE",'R.M Billets Reports'!B643,P643)</f>
      </c>
    </row>
    <row r="645" spans="1:16" x14ac:dyDescent="0.25">
      <c r="A645">
        <f>IF(OR('R.M Billets Reports'!A644="Date-",'R.M Billets Reports'!A644="Date:-"),IF(IF(IF(ISNUMBER(SEARCH("Party Name:-",'R.M Billets Reports'!D644)),TRIM('R.M Billets Reports'!F644),IF(ISNUMBER(SEARCH("Party Name-",'R.M Billets Reports'!D644)),TRIM(MID('R.M Billets Reports'!D644,SEARCH("-",'R.M Billets Reports'!D644)+1,200)),""))&lt;&gt;"",IF(ISNUMBER(SEARCH("Party Name:-",'R.M Billets Reports'!D644)),TRIM('R.M Billets Reports'!F644),IF(ISNUMBER(SEARCH("Party Name-",'R.M Billets Reports'!D644)),TRIM(MID('R.M Billets Reports'!D644,SEARCH("-",'R.M Billets Reports'!D644)+1,200)),"")),IF(ISNUMBER(SEARCH("Party Name:-",'R.M Billets Reports'!D645)),TRIM('R.M Billets Reports'!F645),IF(ISNUMBER(SEARCH("Party Name-",'R.M Billets Reports'!D645)),TRIM(MID('R.M Billets Reports'!D645,SEARCH("-",'R.M Billets Reports'!D645)+1,200)),"")))="VRKP ISPAT PVT LTD","VRKP",IF(IF(IF(ISNUMBER(SEARCH("Party Name:-",'R.M Billets Reports'!D644)),TRIM('R.M Billets Reports'!F644),IF(ISNUMBER(SEARCH("Party Name-",'R.M Billets Reports'!D644)),TRIM(MID('R.M Billets Reports'!D644,SEARCH("-",'R.M Billets Reports'!D644)+1,200)),""))&lt;&gt;"",IF(ISNUMBER(SEARCH("Party Name:-",'R.M Billets Reports'!D644)),TRIM('R.M Billets Reports'!F644),IF(ISNUMBER(SEARCH("Party Name-",'R.M Billets Reports'!D644)),TRIM(MID('R.M Billets Reports'!D644,SEARCH("-",'R.M Billets Reports'!D644)+1,200)),"")),IF(ISNUMBER(SEARCH("Party Name:-",'R.M Billets Reports'!D645)),TRIM('R.M Billets Reports'!F645),IF(ISNUMBER(SEARCH("Party Name-",'R.M Billets Reports'!D645)),TRIM(MID('R.M Billets Reports'!D645,SEARCH("-",'R.M Billets Reports'!D645)+1,200)),"")))="SHRI RADHE","SHREE RADHE",IF(IF(IF(ISNUMBER(SEARCH("Party Name:-",'R.M Billets Reports'!D644)),TRIM('R.M Billets Reports'!F644),IF(ISNUMBER(SEARCH("Party Name-",'R.M Billets Reports'!D644)),TRIM(MID('R.M Billets Reports'!D644,SEARCH("-",'R.M Billets Reports'!D644)+1,200)),""))&lt;&gt;"",IF(ISNUMBER(SEARCH("Party Name:-",'R.M Billets Reports'!D644)),TRIM('R.M Billets Reports'!F644),IF(ISNUMBER(SEARCH("Party Name-",'R.M Billets Reports'!D644)),TRIM(MID('R.M Billets Reports'!D644,SEARCH("-",'R.M Billets Reports'!D644)+1,200)),"")),IF(ISNUMBER(SEARCH("Party Name:-",'R.M Billets Reports'!D645)),TRIM('R.M Billets Reports'!F645),IF(ISNUMBER(SEARCH("Party Name-",'R.M Billets Reports'!D645)),TRIM(MID('R.M Billets Reports'!D645,SEARCH("-",'R.M Billets Reports'!D645)+1,200)),"")))="SHREE RADHE SHAKTI SPONGE AND POWER PVT. LTD.","SHREE RADHE",IF(IF(ISNUMBER(SEARCH("Party Name:-",'R.M Billets Reports'!D644)),TRIM('R.M Billets Reports'!F644),IF(ISNUMBER(SEARCH("Party Name-",'R.M Billets Reports'!D644)),TRIM(MID('R.M Billets Reports'!D644,SEARCH("-",'R.M Billets Reports'!D644)+1,200)),""))&lt;&gt;"",IF(ISNUMBER(SEARCH("Party Name:-",'R.M Billets Reports'!D644)),TRIM('R.M Billets Reports'!F644),IF(ISNUMBER(SEARCH("Party Name-",'R.M Billets Reports'!D644)),TRIM(MID('R.M Billets Reports'!D644,SEARCH("-",'R.M Billets Reports'!D644)+1,200)),"")),IF(ISNUMBER(SEARCH("Party Name:-",'R.M Billets Reports'!D645)),TRIM('R.M Billets Reports'!F645),IF(ISNUMBER(SEARCH("Party Name-",'R.M Billets Reports'!D645)),TRIM(MID('R.M Billets Reports'!D645,SEARCH("-",'R.M Billets Reports'!D645)+1,200)),"")))))),IF(ROW()=2,"",A644))</f>
      </c>
      <c r="B645">
        <f>IF(OR('R.M Billets Reports'!A644="Date-",'R.M Billets Reports'!A644="Date:-"),'R.M Billets Reports'!B644,IF(ROW()=2,"",B644))</f>
      </c>
      <c r="C645">
        <f>IF('R.M Billets Reports'!A644="V.No.",'R.M Billets Reports'!B644,IF(ROW()=2,"",C644))</f>
      </c>
      <c r="D645">
        <f>IF('R.M Billets Reports'!A644&lt;&gt;"",'R.M Billets Reports'!A644,IF(ROW()=2,"",D644))</f>
      </c>
      <c r="E645">
        <f>IF('R.M Billets Reports'!B644="","",TRIM('R.M Billets Reports'!B644))</f>
      </c>
      <c r="F645">
        <f>'R.M Billets Reports'!C644</f>
      </c>
      <c r="G645">
        <f>'R.M Billets Reports'!D644</f>
      </c>
      <c r="H645">
        <f>'R.M Billets Reports'!E644</f>
      </c>
      <c r="I645">
        <f>'R.M Billets Reports'!F644</f>
      </c>
      <c r="J645">
        <f>'R.M Billets Reports'!G644</f>
      </c>
      <c r="K645">
        <f>'R.M Billets Reports'!H644</f>
      </c>
      <c r="L645">
        <f>IF('R.M Billets Reports'!I644="","",'R.M Billets Reports'!I644)</f>
      </c>
      <c r="M645">
        <f t="shared" si="20"/>
      </c>
      <c r="N645">
        <f>IF('R.M Billets Reports'!J644="","",'R.M Billets Reports'!J644)</f>
      </c>
      <c r="O645">
        <f t="shared" si="21"/>
      </c>
      <c r="P645">
        <f>IF('R.M Billets Reports'!A644="SIZE",'R.M Billets Reports'!B644,P644)</f>
      </c>
    </row>
    <row r="646" spans="1:16" x14ac:dyDescent="0.25">
      <c r="A646">
        <f>IF(OR('R.M Billets Reports'!A645="Date-",'R.M Billets Reports'!A645="Date:-"),IF(IF(IF(ISNUMBER(SEARCH("Party Name:-",'R.M Billets Reports'!D645)),TRIM('R.M Billets Reports'!F645),IF(ISNUMBER(SEARCH("Party Name-",'R.M Billets Reports'!D645)),TRIM(MID('R.M Billets Reports'!D645,SEARCH("-",'R.M Billets Reports'!D645)+1,200)),""))&lt;&gt;"",IF(ISNUMBER(SEARCH("Party Name:-",'R.M Billets Reports'!D645)),TRIM('R.M Billets Reports'!F645),IF(ISNUMBER(SEARCH("Party Name-",'R.M Billets Reports'!D645)),TRIM(MID('R.M Billets Reports'!D645,SEARCH("-",'R.M Billets Reports'!D645)+1,200)),"")),IF(ISNUMBER(SEARCH("Party Name:-",'R.M Billets Reports'!D646)),TRIM('R.M Billets Reports'!F646),IF(ISNUMBER(SEARCH("Party Name-",'R.M Billets Reports'!D646)),TRIM(MID('R.M Billets Reports'!D646,SEARCH("-",'R.M Billets Reports'!D646)+1,200)),"")))="VRKP ISPAT PVT LTD","VRKP",IF(IF(IF(ISNUMBER(SEARCH("Party Name:-",'R.M Billets Reports'!D645)),TRIM('R.M Billets Reports'!F645),IF(ISNUMBER(SEARCH("Party Name-",'R.M Billets Reports'!D645)),TRIM(MID('R.M Billets Reports'!D645,SEARCH("-",'R.M Billets Reports'!D645)+1,200)),""))&lt;&gt;"",IF(ISNUMBER(SEARCH("Party Name:-",'R.M Billets Reports'!D645)),TRIM('R.M Billets Reports'!F645),IF(ISNUMBER(SEARCH("Party Name-",'R.M Billets Reports'!D645)),TRIM(MID('R.M Billets Reports'!D645,SEARCH("-",'R.M Billets Reports'!D645)+1,200)),"")),IF(ISNUMBER(SEARCH("Party Name:-",'R.M Billets Reports'!D646)),TRIM('R.M Billets Reports'!F646),IF(ISNUMBER(SEARCH("Party Name-",'R.M Billets Reports'!D646)),TRIM(MID('R.M Billets Reports'!D646,SEARCH("-",'R.M Billets Reports'!D646)+1,200)),"")))="SHRI RADHE","SHREE RADHE",IF(IF(IF(ISNUMBER(SEARCH("Party Name:-",'R.M Billets Reports'!D645)),TRIM('R.M Billets Reports'!F645),IF(ISNUMBER(SEARCH("Party Name-",'R.M Billets Reports'!D645)),TRIM(MID('R.M Billets Reports'!D645,SEARCH("-",'R.M Billets Reports'!D645)+1,200)),""))&lt;&gt;"",IF(ISNUMBER(SEARCH("Party Name:-",'R.M Billets Reports'!D645)),TRIM('R.M Billets Reports'!F645),IF(ISNUMBER(SEARCH("Party Name-",'R.M Billets Reports'!D645)),TRIM(MID('R.M Billets Reports'!D645,SEARCH("-",'R.M Billets Reports'!D645)+1,200)),"")),IF(ISNUMBER(SEARCH("Party Name:-",'R.M Billets Reports'!D646)),TRIM('R.M Billets Reports'!F646),IF(ISNUMBER(SEARCH("Party Name-",'R.M Billets Reports'!D646)),TRIM(MID('R.M Billets Reports'!D646,SEARCH("-",'R.M Billets Reports'!D646)+1,200)),"")))="SHREE RADHE SHAKTI SPONGE AND POWER PVT. LTD.","SHREE RADHE",IF(IF(ISNUMBER(SEARCH("Party Name:-",'R.M Billets Reports'!D645)),TRIM('R.M Billets Reports'!F645),IF(ISNUMBER(SEARCH("Party Name-",'R.M Billets Reports'!D645)),TRIM(MID('R.M Billets Reports'!D645,SEARCH("-",'R.M Billets Reports'!D645)+1,200)),""))&lt;&gt;"",IF(ISNUMBER(SEARCH("Party Name:-",'R.M Billets Reports'!D645)),TRIM('R.M Billets Reports'!F645),IF(ISNUMBER(SEARCH("Party Name-",'R.M Billets Reports'!D645)),TRIM(MID('R.M Billets Reports'!D645,SEARCH("-",'R.M Billets Reports'!D645)+1,200)),"")),IF(ISNUMBER(SEARCH("Party Name:-",'R.M Billets Reports'!D646)),TRIM('R.M Billets Reports'!F646),IF(ISNUMBER(SEARCH("Party Name-",'R.M Billets Reports'!D646)),TRIM(MID('R.M Billets Reports'!D646,SEARCH("-",'R.M Billets Reports'!D646)+1,200)),"")))))),IF(ROW()=2,"",A645))</f>
      </c>
      <c r="B646">
        <f>IF(OR('R.M Billets Reports'!A645="Date-",'R.M Billets Reports'!A645="Date:-"),'R.M Billets Reports'!B645,IF(ROW()=2,"",B645))</f>
      </c>
      <c r="C646">
        <f>IF('R.M Billets Reports'!A645="V.No.",'R.M Billets Reports'!B645,IF(ROW()=2,"",C645))</f>
      </c>
      <c r="D646">
        <f>IF('R.M Billets Reports'!A645&lt;&gt;"",'R.M Billets Reports'!A645,IF(ROW()=2,"",D645))</f>
      </c>
      <c r="E646">
        <f>IF('R.M Billets Reports'!B645="","",TRIM('R.M Billets Reports'!B645))</f>
      </c>
      <c r="F646">
        <f>'R.M Billets Reports'!C645</f>
      </c>
      <c r="G646">
        <f>'R.M Billets Reports'!D645</f>
      </c>
      <c r="H646">
        <f>'R.M Billets Reports'!E645</f>
      </c>
      <c r="I646">
        <f>'R.M Billets Reports'!F645</f>
      </c>
      <c r="J646">
        <f>'R.M Billets Reports'!G645</f>
      </c>
      <c r="K646">
        <f>'R.M Billets Reports'!H645</f>
      </c>
      <c r="L646">
        <f>IF('R.M Billets Reports'!I645="","",'R.M Billets Reports'!I645)</f>
      </c>
      <c r="M646">
        <f t="shared" si="20"/>
      </c>
      <c r="N646">
        <f>IF('R.M Billets Reports'!J645="","",'R.M Billets Reports'!J645)</f>
      </c>
      <c r="O646">
        <f t="shared" si="21"/>
      </c>
      <c r="P646">
        <f>IF('R.M Billets Reports'!A645="SIZE",'R.M Billets Reports'!B645,P645)</f>
      </c>
    </row>
    <row r="647" spans="1:16" x14ac:dyDescent="0.25">
      <c r="A647">
        <f>IF(OR('R.M Billets Reports'!A646="Date-",'R.M Billets Reports'!A646="Date:-"),IF(IF(IF(ISNUMBER(SEARCH("Party Name:-",'R.M Billets Reports'!D646)),TRIM('R.M Billets Reports'!F646),IF(ISNUMBER(SEARCH("Party Name-",'R.M Billets Reports'!D646)),TRIM(MID('R.M Billets Reports'!D646,SEARCH("-",'R.M Billets Reports'!D646)+1,200)),""))&lt;&gt;"",IF(ISNUMBER(SEARCH("Party Name:-",'R.M Billets Reports'!D646)),TRIM('R.M Billets Reports'!F646),IF(ISNUMBER(SEARCH("Party Name-",'R.M Billets Reports'!D646)),TRIM(MID('R.M Billets Reports'!D646,SEARCH("-",'R.M Billets Reports'!D646)+1,200)),"")),IF(ISNUMBER(SEARCH("Party Name:-",'R.M Billets Reports'!D647)),TRIM('R.M Billets Reports'!F647),IF(ISNUMBER(SEARCH("Party Name-",'R.M Billets Reports'!D647)),TRIM(MID('R.M Billets Reports'!D647,SEARCH("-",'R.M Billets Reports'!D647)+1,200)),"")))="VRKP ISPAT PVT LTD","VRKP",IF(IF(IF(ISNUMBER(SEARCH("Party Name:-",'R.M Billets Reports'!D646)),TRIM('R.M Billets Reports'!F646),IF(ISNUMBER(SEARCH("Party Name-",'R.M Billets Reports'!D646)),TRIM(MID('R.M Billets Reports'!D646,SEARCH("-",'R.M Billets Reports'!D646)+1,200)),""))&lt;&gt;"",IF(ISNUMBER(SEARCH("Party Name:-",'R.M Billets Reports'!D646)),TRIM('R.M Billets Reports'!F646),IF(ISNUMBER(SEARCH("Party Name-",'R.M Billets Reports'!D646)),TRIM(MID('R.M Billets Reports'!D646,SEARCH("-",'R.M Billets Reports'!D646)+1,200)),"")),IF(ISNUMBER(SEARCH("Party Name:-",'R.M Billets Reports'!D647)),TRIM('R.M Billets Reports'!F647),IF(ISNUMBER(SEARCH("Party Name-",'R.M Billets Reports'!D647)),TRIM(MID('R.M Billets Reports'!D647,SEARCH("-",'R.M Billets Reports'!D647)+1,200)),"")))="SHRI RADHE","SHREE RADHE",IF(IF(IF(ISNUMBER(SEARCH("Party Name:-",'R.M Billets Reports'!D646)),TRIM('R.M Billets Reports'!F646),IF(ISNUMBER(SEARCH("Party Name-",'R.M Billets Reports'!D646)),TRIM(MID('R.M Billets Reports'!D646,SEARCH("-",'R.M Billets Reports'!D646)+1,200)),""))&lt;&gt;"",IF(ISNUMBER(SEARCH("Party Name:-",'R.M Billets Reports'!D646)),TRIM('R.M Billets Reports'!F646),IF(ISNUMBER(SEARCH("Party Name-",'R.M Billets Reports'!D646)),TRIM(MID('R.M Billets Reports'!D646,SEARCH("-",'R.M Billets Reports'!D646)+1,200)),"")),IF(ISNUMBER(SEARCH("Party Name:-",'R.M Billets Reports'!D647)),TRIM('R.M Billets Reports'!F647),IF(ISNUMBER(SEARCH("Party Name-",'R.M Billets Reports'!D647)),TRIM(MID('R.M Billets Reports'!D647,SEARCH("-",'R.M Billets Reports'!D647)+1,200)),"")))="SHREE RADHE SHAKTI SPONGE AND POWER PVT. LTD.","SHREE RADHE",IF(IF(ISNUMBER(SEARCH("Party Name:-",'R.M Billets Reports'!D646)),TRIM('R.M Billets Reports'!F646),IF(ISNUMBER(SEARCH("Party Name-",'R.M Billets Reports'!D646)),TRIM(MID('R.M Billets Reports'!D646,SEARCH("-",'R.M Billets Reports'!D646)+1,200)),""))&lt;&gt;"",IF(ISNUMBER(SEARCH("Party Name:-",'R.M Billets Reports'!D646)),TRIM('R.M Billets Reports'!F646),IF(ISNUMBER(SEARCH("Party Name-",'R.M Billets Reports'!D646)),TRIM(MID('R.M Billets Reports'!D646,SEARCH("-",'R.M Billets Reports'!D646)+1,200)),"")),IF(ISNUMBER(SEARCH("Party Name:-",'R.M Billets Reports'!D647)),TRIM('R.M Billets Reports'!F647),IF(ISNUMBER(SEARCH("Party Name-",'R.M Billets Reports'!D647)),TRIM(MID('R.M Billets Reports'!D647,SEARCH("-",'R.M Billets Reports'!D647)+1,200)),"")))))),IF(ROW()=2,"",A646))</f>
      </c>
      <c r="B647">
        <f>IF(OR('R.M Billets Reports'!A646="Date-",'R.M Billets Reports'!A646="Date:-"),'R.M Billets Reports'!B646,IF(ROW()=2,"",B646))</f>
      </c>
      <c r="C647">
        <f>IF('R.M Billets Reports'!A646="V.No.",'R.M Billets Reports'!B646,IF(ROW()=2,"",C646))</f>
      </c>
      <c r="D647">
        <f>IF('R.M Billets Reports'!A646&lt;&gt;"",'R.M Billets Reports'!A646,IF(ROW()=2,"",D646))</f>
      </c>
      <c r="E647">
        <f>IF('R.M Billets Reports'!B646="","",TRIM('R.M Billets Reports'!B646))</f>
      </c>
      <c r="F647">
        <f>'R.M Billets Reports'!C646</f>
      </c>
      <c r="G647">
        <f>'R.M Billets Reports'!D646</f>
      </c>
      <c r="H647">
        <f>'R.M Billets Reports'!E646</f>
      </c>
      <c r="I647">
        <f>'R.M Billets Reports'!F646</f>
      </c>
      <c r="J647">
        <f>'R.M Billets Reports'!G646</f>
      </c>
      <c r="K647">
        <f>'R.M Billets Reports'!H646</f>
      </c>
      <c r="L647">
        <f>IF('R.M Billets Reports'!I646="","",'R.M Billets Reports'!I646)</f>
      </c>
      <c r="M647">
        <f t="shared" si="20"/>
      </c>
      <c r="N647">
        <f>IF('R.M Billets Reports'!J646="","",'R.M Billets Reports'!J646)</f>
      </c>
      <c r="O647">
        <f t="shared" si="21"/>
      </c>
      <c r="P647">
        <f>IF('R.M Billets Reports'!A646="SIZE",'R.M Billets Reports'!B646,P646)</f>
      </c>
    </row>
    <row r="648" spans="1:16" x14ac:dyDescent="0.25">
      <c r="A648">
        <f>IF(OR('R.M Billets Reports'!A647="Date-",'R.M Billets Reports'!A647="Date:-"),IF(IF(IF(ISNUMBER(SEARCH("Party Name:-",'R.M Billets Reports'!D647)),TRIM('R.M Billets Reports'!F647),IF(ISNUMBER(SEARCH("Party Name-",'R.M Billets Reports'!D647)),TRIM(MID('R.M Billets Reports'!D647,SEARCH("-",'R.M Billets Reports'!D647)+1,200)),""))&lt;&gt;"",IF(ISNUMBER(SEARCH("Party Name:-",'R.M Billets Reports'!D647)),TRIM('R.M Billets Reports'!F647),IF(ISNUMBER(SEARCH("Party Name-",'R.M Billets Reports'!D647)),TRIM(MID('R.M Billets Reports'!D647,SEARCH("-",'R.M Billets Reports'!D647)+1,200)),"")),IF(ISNUMBER(SEARCH("Party Name:-",'R.M Billets Reports'!D648)),TRIM('R.M Billets Reports'!F648),IF(ISNUMBER(SEARCH("Party Name-",'R.M Billets Reports'!D648)),TRIM(MID('R.M Billets Reports'!D648,SEARCH("-",'R.M Billets Reports'!D648)+1,200)),"")))="VRKP ISPAT PVT LTD","VRKP",IF(IF(IF(ISNUMBER(SEARCH("Party Name:-",'R.M Billets Reports'!D647)),TRIM('R.M Billets Reports'!F647),IF(ISNUMBER(SEARCH("Party Name-",'R.M Billets Reports'!D647)),TRIM(MID('R.M Billets Reports'!D647,SEARCH("-",'R.M Billets Reports'!D647)+1,200)),""))&lt;&gt;"",IF(ISNUMBER(SEARCH("Party Name:-",'R.M Billets Reports'!D647)),TRIM('R.M Billets Reports'!F647),IF(ISNUMBER(SEARCH("Party Name-",'R.M Billets Reports'!D647)),TRIM(MID('R.M Billets Reports'!D647,SEARCH("-",'R.M Billets Reports'!D647)+1,200)),"")),IF(ISNUMBER(SEARCH("Party Name:-",'R.M Billets Reports'!D648)),TRIM('R.M Billets Reports'!F648),IF(ISNUMBER(SEARCH("Party Name-",'R.M Billets Reports'!D648)),TRIM(MID('R.M Billets Reports'!D648,SEARCH("-",'R.M Billets Reports'!D648)+1,200)),"")))="SHRI RADHE","SHREE RADHE",IF(IF(IF(ISNUMBER(SEARCH("Party Name:-",'R.M Billets Reports'!D647)),TRIM('R.M Billets Reports'!F647),IF(ISNUMBER(SEARCH("Party Name-",'R.M Billets Reports'!D647)),TRIM(MID('R.M Billets Reports'!D647,SEARCH("-",'R.M Billets Reports'!D647)+1,200)),""))&lt;&gt;"",IF(ISNUMBER(SEARCH("Party Name:-",'R.M Billets Reports'!D647)),TRIM('R.M Billets Reports'!F647),IF(ISNUMBER(SEARCH("Party Name-",'R.M Billets Reports'!D647)),TRIM(MID('R.M Billets Reports'!D647,SEARCH("-",'R.M Billets Reports'!D647)+1,200)),"")),IF(ISNUMBER(SEARCH("Party Name:-",'R.M Billets Reports'!D648)),TRIM('R.M Billets Reports'!F648),IF(ISNUMBER(SEARCH("Party Name-",'R.M Billets Reports'!D648)),TRIM(MID('R.M Billets Reports'!D648,SEARCH("-",'R.M Billets Reports'!D648)+1,200)),"")))="SHREE RADHE SHAKTI SPONGE AND POWER PVT. LTD.","SHREE RADHE",IF(IF(ISNUMBER(SEARCH("Party Name:-",'R.M Billets Reports'!D647)),TRIM('R.M Billets Reports'!F647),IF(ISNUMBER(SEARCH("Party Name-",'R.M Billets Reports'!D647)),TRIM(MID('R.M Billets Reports'!D647,SEARCH("-",'R.M Billets Reports'!D647)+1,200)),""))&lt;&gt;"",IF(ISNUMBER(SEARCH("Party Name:-",'R.M Billets Reports'!D647)),TRIM('R.M Billets Reports'!F647),IF(ISNUMBER(SEARCH("Party Name-",'R.M Billets Reports'!D647)),TRIM(MID('R.M Billets Reports'!D647,SEARCH("-",'R.M Billets Reports'!D647)+1,200)),"")),IF(ISNUMBER(SEARCH("Party Name:-",'R.M Billets Reports'!D648)),TRIM('R.M Billets Reports'!F648),IF(ISNUMBER(SEARCH("Party Name-",'R.M Billets Reports'!D648)),TRIM(MID('R.M Billets Reports'!D648,SEARCH("-",'R.M Billets Reports'!D648)+1,200)),"")))))),IF(ROW()=2,"",A647))</f>
      </c>
      <c r="B648">
        <f>IF(OR('R.M Billets Reports'!A647="Date-",'R.M Billets Reports'!A647="Date:-"),'R.M Billets Reports'!B647,IF(ROW()=2,"",B647))</f>
      </c>
      <c r="C648">
        <f>IF('R.M Billets Reports'!A647="V.No.",'R.M Billets Reports'!B647,IF(ROW()=2,"",C647))</f>
      </c>
      <c r="D648">
        <f>IF('R.M Billets Reports'!A647&lt;&gt;"",'R.M Billets Reports'!A647,IF(ROW()=2,"",D647))</f>
      </c>
      <c r="E648">
        <f>IF('R.M Billets Reports'!B647="","",TRIM('R.M Billets Reports'!B647))</f>
      </c>
      <c r="F648">
        <f>'R.M Billets Reports'!C647</f>
      </c>
      <c r="G648">
        <f>'R.M Billets Reports'!D647</f>
      </c>
      <c r="H648">
        <f>'R.M Billets Reports'!E647</f>
      </c>
      <c r="I648">
        <f>'R.M Billets Reports'!F647</f>
      </c>
      <c r="J648">
        <f>'R.M Billets Reports'!G647</f>
      </c>
      <c r="K648">
        <f>'R.M Billets Reports'!H647</f>
      </c>
      <c r="L648">
        <f>IF('R.M Billets Reports'!I647="","",'R.M Billets Reports'!I647)</f>
      </c>
      <c r="M648">
        <f t="shared" si="20"/>
      </c>
      <c r="N648">
        <f>IF('R.M Billets Reports'!J647="","",'R.M Billets Reports'!J647)</f>
      </c>
      <c r="O648">
        <f t="shared" si="21"/>
      </c>
      <c r="P648">
        <f>IF('R.M Billets Reports'!A647="SIZE",'R.M Billets Reports'!B647,P647)</f>
      </c>
    </row>
    <row r="649" spans="1:16" x14ac:dyDescent="0.25">
      <c r="A649">
        <f>IF(OR('R.M Billets Reports'!A648="Date-",'R.M Billets Reports'!A648="Date:-"),IF(IF(IF(ISNUMBER(SEARCH("Party Name:-",'R.M Billets Reports'!D648)),TRIM('R.M Billets Reports'!F648),IF(ISNUMBER(SEARCH("Party Name-",'R.M Billets Reports'!D648)),TRIM(MID('R.M Billets Reports'!D648,SEARCH("-",'R.M Billets Reports'!D648)+1,200)),""))&lt;&gt;"",IF(ISNUMBER(SEARCH("Party Name:-",'R.M Billets Reports'!D648)),TRIM('R.M Billets Reports'!F648),IF(ISNUMBER(SEARCH("Party Name-",'R.M Billets Reports'!D648)),TRIM(MID('R.M Billets Reports'!D648,SEARCH("-",'R.M Billets Reports'!D648)+1,200)),"")),IF(ISNUMBER(SEARCH("Party Name:-",'R.M Billets Reports'!D649)),TRIM('R.M Billets Reports'!F649),IF(ISNUMBER(SEARCH("Party Name-",'R.M Billets Reports'!D649)),TRIM(MID('R.M Billets Reports'!D649,SEARCH("-",'R.M Billets Reports'!D649)+1,200)),"")))="VRKP ISPAT PVT LTD","VRKP",IF(IF(IF(ISNUMBER(SEARCH("Party Name:-",'R.M Billets Reports'!D648)),TRIM('R.M Billets Reports'!F648),IF(ISNUMBER(SEARCH("Party Name-",'R.M Billets Reports'!D648)),TRIM(MID('R.M Billets Reports'!D648,SEARCH("-",'R.M Billets Reports'!D648)+1,200)),""))&lt;&gt;"",IF(ISNUMBER(SEARCH("Party Name:-",'R.M Billets Reports'!D648)),TRIM('R.M Billets Reports'!F648),IF(ISNUMBER(SEARCH("Party Name-",'R.M Billets Reports'!D648)),TRIM(MID('R.M Billets Reports'!D648,SEARCH("-",'R.M Billets Reports'!D648)+1,200)),"")),IF(ISNUMBER(SEARCH("Party Name:-",'R.M Billets Reports'!D649)),TRIM('R.M Billets Reports'!F649),IF(ISNUMBER(SEARCH("Party Name-",'R.M Billets Reports'!D649)),TRIM(MID('R.M Billets Reports'!D649,SEARCH("-",'R.M Billets Reports'!D649)+1,200)),"")))="SHRI RADHE","SHREE RADHE",IF(IF(IF(ISNUMBER(SEARCH("Party Name:-",'R.M Billets Reports'!D648)),TRIM('R.M Billets Reports'!F648),IF(ISNUMBER(SEARCH("Party Name-",'R.M Billets Reports'!D648)),TRIM(MID('R.M Billets Reports'!D648,SEARCH("-",'R.M Billets Reports'!D648)+1,200)),""))&lt;&gt;"",IF(ISNUMBER(SEARCH("Party Name:-",'R.M Billets Reports'!D648)),TRIM('R.M Billets Reports'!F648),IF(ISNUMBER(SEARCH("Party Name-",'R.M Billets Reports'!D648)),TRIM(MID('R.M Billets Reports'!D648,SEARCH("-",'R.M Billets Reports'!D648)+1,200)),"")),IF(ISNUMBER(SEARCH("Party Name:-",'R.M Billets Reports'!D649)),TRIM('R.M Billets Reports'!F649),IF(ISNUMBER(SEARCH("Party Name-",'R.M Billets Reports'!D649)),TRIM(MID('R.M Billets Reports'!D649,SEARCH("-",'R.M Billets Reports'!D649)+1,200)),"")))="SHREE RADHE SHAKTI SPONGE AND POWER PVT. LTD.","SHREE RADHE",IF(IF(ISNUMBER(SEARCH("Party Name:-",'R.M Billets Reports'!D648)),TRIM('R.M Billets Reports'!F648),IF(ISNUMBER(SEARCH("Party Name-",'R.M Billets Reports'!D648)),TRIM(MID('R.M Billets Reports'!D648,SEARCH("-",'R.M Billets Reports'!D648)+1,200)),""))&lt;&gt;"",IF(ISNUMBER(SEARCH("Party Name:-",'R.M Billets Reports'!D648)),TRIM('R.M Billets Reports'!F648),IF(ISNUMBER(SEARCH("Party Name-",'R.M Billets Reports'!D648)),TRIM(MID('R.M Billets Reports'!D648,SEARCH("-",'R.M Billets Reports'!D648)+1,200)),"")),IF(ISNUMBER(SEARCH("Party Name:-",'R.M Billets Reports'!D649)),TRIM('R.M Billets Reports'!F649),IF(ISNUMBER(SEARCH("Party Name-",'R.M Billets Reports'!D649)),TRIM(MID('R.M Billets Reports'!D649,SEARCH("-",'R.M Billets Reports'!D649)+1,200)),"")))))),IF(ROW()=2,"",A648))</f>
      </c>
      <c r="B649">
        <f>IF(OR('R.M Billets Reports'!A648="Date-",'R.M Billets Reports'!A648="Date:-"),'R.M Billets Reports'!B648,IF(ROW()=2,"",B648))</f>
      </c>
      <c r="C649">
        <f>IF('R.M Billets Reports'!A648="V.No.",'R.M Billets Reports'!B648,IF(ROW()=2,"",C648))</f>
      </c>
      <c r="D649">
        <f>IF('R.M Billets Reports'!A648&lt;&gt;"",'R.M Billets Reports'!A648,IF(ROW()=2,"",D648))</f>
      </c>
      <c r="E649">
        <f>IF('R.M Billets Reports'!B648="","",TRIM('R.M Billets Reports'!B648))</f>
      </c>
      <c r="F649">
        <f>'R.M Billets Reports'!C648</f>
      </c>
      <c r="G649">
        <f>'R.M Billets Reports'!D648</f>
      </c>
      <c r="H649">
        <f>'R.M Billets Reports'!E648</f>
      </c>
      <c r="I649">
        <f>'R.M Billets Reports'!F648</f>
      </c>
      <c r="J649">
        <f>'R.M Billets Reports'!G648</f>
      </c>
      <c r="K649">
        <f>'R.M Billets Reports'!H648</f>
      </c>
      <c r="L649">
        <f>IF('R.M Billets Reports'!I648="","",'R.M Billets Reports'!I648)</f>
      </c>
      <c r="M649">
        <f t="shared" si="20"/>
      </c>
      <c r="N649">
        <f>IF('R.M Billets Reports'!J648="","",'R.M Billets Reports'!J648)</f>
      </c>
      <c r="O649">
        <f t="shared" si="21"/>
      </c>
      <c r="P649">
        <f>IF('R.M Billets Reports'!A648="SIZE",'R.M Billets Reports'!B648,P648)</f>
      </c>
    </row>
    <row r="650" spans="1:16" x14ac:dyDescent="0.25">
      <c r="A650">
        <f>IF(OR('R.M Billets Reports'!A649="Date-",'R.M Billets Reports'!A649="Date:-"),IF(IF(IF(ISNUMBER(SEARCH("Party Name:-",'R.M Billets Reports'!D649)),TRIM('R.M Billets Reports'!F649),IF(ISNUMBER(SEARCH("Party Name-",'R.M Billets Reports'!D649)),TRIM(MID('R.M Billets Reports'!D649,SEARCH("-",'R.M Billets Reports'!D649)+1,200)),""))&lt;&gt;"",IF(ISNUMBER(SEARCH("Party Name:-",'R.M Billets Reports'!D649)),TRIM('R.M Billets Reports'!F649),IF(ISNUMBER(SEARCH("Party Name-",'R.M Billets Reports'!D649)),TRIM(MID('R.M Billets Reports'!D649,SEARCH("-",'R.M Billets Reports'!D649)+1,200)),"")),IF(ISNUMBER(SEARCH("Party Name:-",'R.M Billets Reports'!D650)),TRIM('R.M Billets Reports'!F650),IF(ISNUMBER(SEARCH("Party Name-",'R.M Billets Reports'!D650)),TRIM(MID('R.M Billets Reports'!D650,SEARCH("-",'R.M Billets Reports'!D650)+1,200)),"")))="VRKP ISPAT PVT LTD","VRKP",IF(IF(IF(ISNUMBER(SEARCH("Party Name:-",'R.M Billets Reports'!D649)),TRIM('R.M Billets Reports'!F649),IF(ISNUMBER(SEARCH("Party Name-",'R.M Billets Reports'!D649)),TRIM(MID('R.M Billets Reports'!D649,SEARCH("-",'R.M Billets Reports'!D649)+1,200)),""))&lt;&gt;"",IF(ISNUMBER(SEARCH("Party Name:-",'R.M Billets Reports'!D649)),TRIM('R.M Billets Reports'!F649),IF(ISNUMBER(SEARCH("Party Name-",'R.M Billets Reports'!D649)),TRIM(MID('R.M Billets Reports'!D649,SEARCH("-",'R.M Billets Reports'!D649)+1,200)),"")),IF(ISNUMBER(SEARCH("Party Name:-",'R.M Billets Reports'!D650)),TRIM('R.M Billets Reports'!F650),IF(ISNUMBER(SEARCH("Party Name-",'R.M Billets Reports'!D650)),TRIM(MID('R.M Billets Reports'!D650,SEARCH("-",'R.M Billets Reports'!D650)+1,200)),"")))="SHRI RADHE","SHREE RADHE",IF(IF(IF(ISNUMBER(SEARCH("Party Name:-",'R.M Billets Reports'!D649)),TRIM('R.M Billets Reports'!F649),IF(ISNUMBER(SEARCH("Party Name-",'R.M Billets Reports'!D649)),TRIM(MID('R.M Billets Reports'!D649,SEARCH("-",'R.M Billets Reports'!D649)+1,200)),""))&lt;&gt;"",IF(ISNUMBER(SEARCH("Party Name:-",'R.M Billets Reports'!D649)),TRIM('R.M Billets Reports'!F649),IF(ISNUMBER(SEARCH("Party Name-",'R.M Billets Reports'!D649)),TRIM(MID('R.M Billets Reports'!D649,SEARCH("-",'R.M Billets Reports'!D649)+1,200)),"")),IF(ISNUMBER(SEARCH("Party Name:-",'R.M Billets Reports'!D650)),TRIM('R.M Billets Reports'!F650),IF(ISNUMBER(SEARCH("Party Name-",'R.M Billets Reports'!D650)),TRIM(MID('R.M Billets Reports'!D650,SEARCH("-",'R.M Billets Reports'!D650)+1,200)),"")))="SHREE RADHE SHAKTI SPONGE AND POWER PVT. LTD.","SHREE RADHE",IF(IF(ISNUMBER(SEARCH("Party Name:-",'R.M Billets Reports'!D649)),TRIM('R.M Billets Reports'!F649),IF(ISNUMBER(SEARCH("Party Name-",'R.M Billets Reports'!D649)),TRIM(MID('R.M Billets Reports'!D649,SEARCH("-",'R.M Billets Reports'!D649)+1,200)),""))&lt;&gt;"",IF(ISNUMBER(SEARCH("Party Name:-",'R.M Billets Reports'!D649)),TRIM('R.M Billets Reports'!F649),IF(ISNUMBER(SEARCH("Party Name-",'R.M Billets Reports'!D649)),TRIM(MID('R.M Billets Reports'!D649,SEARCH("-",'R.M Billets Reports'!D649)+1,200)),"")),IF(ISNUMBER(SEARCH("Party Name:-",'R.M Billets Reports'!D650)),TRIM('R.M Billets Reports'!F650),IF(ISNUMBER(SEARCH("Party Name-",'R.M Billets Reports'!D650)),TRIM(MID('R.M Billets Reports'!D650,SEARCH("-",'R.M Billets Reports'!D650)+1,200)),"")))))),IF(ROW()=2,"",A649))</f>
      </c>
      <c r="B650">
        <f>IF(OR('R.M Billets Reports'!A649="Date-",'R.M Billets Reports'!A649="Date:-"),'R.M Billets Reports'!B649,IF(ROW()=2,"",B649))</f>
      </c>
      <c r="C650">
        <f>IF('R.M Billets Reports'!A649="V.No.",'R.M Billets Reports'!B649,IF(ROW()=2,"",C649))</f>
      </c>
      <c r="D650">
        <f>IF('R.M Billets Reports'!A649&lt;&gt;"",'R.M Billets Reports'!A649,IF(ROW()=2,"",D649))</f>
      </c>
      <c r="E650">
        <f>IF('R.M Billets Reports'!B649="","",TRIM('R.M Billets Reports'!B649))</f>
      </c>
      <c r="F650">
        <f>'R.M Billets Reports'!C649</f>
      </c>
      <c r="G650">
        <f>'R.M Billets Reports'!D649</f>
      </c>
      <c r="H650">
        <f>'R.M Billets Reports'!E649</f>
      </c>
      <c r="I650">
        <f>'R.M Billets Reports'!F649</f>
      </c>
      <c r="J650">
        <f>'R.M Billets Reports'!G649</f>
      </c>
      <c r="K650">
        <f>'R.M Billets Reports'!H649</f>
      </c>
      <c r="L650">
        <f>IF('R.M Billets Reports'!I649="","",'R.M Billets Reports'!I649)</f>
      </c>
      <c r="M650">
        <f t="shared" si="20"/>
      </c>
      <c r="N650">
        <f>IF('R.M Billets Reports'!J649="","",'R.M Billets Reports'!J649)</f>
      </c>
      <c r="O650">
        <f t="shared" si="21"/>
      </c>
      <c r="P650">
        <f>IF('R.M Billets Reports'!A649="SIZE",'R.M Billets Reports'!B649,P649)</f>
      </c>
    </row>
    <row r="651" spans="1:16" x14ac:dyDescent="0.25">
      <c r="A651">
        <f>IF(OR('R.M Billets Reports'!A650="Date-",'R.M Billets Reports'!A650="Date:-"),IF(IF(IF(ISNUMBER(SEARCH("Party Name:-",'R.M Billets Reports'!D650)),TRIM('R.M Billets Reports'!F650),IF(ISNUMBER(SEARCH("Party Name-",'R.M Billets Reports'!D650)),TRIM(MID('R.M Billets Reports'!D650,SEARCH("-",'R.M Billets Reports'!D650)+1,200)),""))&lt;&gt;"",IF(ISNUMBER(SEARCH("Party Name:-",'R.M Billets Reports'!D650)),TRIM('R.M Billets Reports'!F650),IF(ISNUMBER(SEARCH("Party Name-",'R.M Billets Reports'!D650)),TRIM(MID('R.M Billets Reports'!D650,SEARCH("-",'R.M Billets Reports'!D650)+1,200)),"")),IF(ISNUMBER(SEARCH("Party Name:-",'R.M Billets Reports'!D651)),TRIM('R.M Billets Reports'!F651),IF(ISNUMBER(SEARCH("Party Name-",'R.M Billets Reports'!D651)),TRIM(MID('R.M Billets Reports'!D651,SEARCH("-",'R.M Billets Reports'!D651)+1,200)),"")))="VRKP ISPAT PVT LTD","VRKP",IF(IF(IF(ISNUMBER(SEARCH("Party Name:-",'R.M Billets Reports'!D650)),TRIM('R.M Billets Reports'!F650),IF(ISNUMBER(SEARCH("Party Name-",'R.M Billets Reports'!D650)),TRIM(MID('R.M Billets Reports'!D650,SEARCH("-",'R.M Billets Reports'!D650)+1,200)),""))&lt;&gt;"",IF(ISNUMBER(SEARCH("Party Name:-",'R.M Billets Reports'!D650)),TRIM('R.M Billets Reports'!F650),IF(ISNUMBER(SEARCH("Party Name-",'R.M Billets Reports'!D650)),TRIM(MID('R.M Billets Reports'!D650,SEARCH("-",'R.M Billets Reports'!D650)+1,200)),"")),IF(ISNUMBER(SEARCH("Party Name:-",'R.M Billets Reports'!D651)),TRIM('R.M Billets Reports'!F651),IF(ISNUMBER(SEARCH("Party Name-",'R.M Billets Reports'!D651)),TRIM(MID('R.M Billets Reports'!D651,SEARCH("-",'R.M Billets Reports'!D651)+1,200)),"")))="SHRI RADHE","SHREE RADHE",IF(IF(IF(ISNUMBER(SEARCH("Party Name:-",'R.M Billets Reports'!D650)),TRIM('R.M Billets Reports'!F650),IF(ISNUMBER(SEARCH("Party Name-",'R.M Billets Reports'!D650)),TRIM(MID('R.M Billets Reports'!D650,SEARCH("-",'R.M Billets Reports'!D650)+1,200)),""))&lt;&gt;"",IF(ISNUMBER(SEARCH("Party Name:-",'R.M Billets Reports'!D650)),TRIM('R.M Billets Reports'!F650),IF(ISNUMBER(SEARCH("Party Name-",'R.M Billets Reports'!D650)),TRIM(MID('R.M Billets Reports'!D650,SEARCH("-",'R.M Billets Reports'!D650)+1,200)),"")),IF(ISNUMBER(SEARCH("Party Name:-",'R.M Billets Reports'!D651)),TRIM('R.M Billets Reports'!F651),IF(ISNUMBER(SEARCH("Party Name-",'R.M Billets Reports'!D651)),TRIM(MID('R.M Billets Reports'!D651,SEARCH("-",'R.M Billets Reports'!D651)+1,200)),"")))="SHREE RADHE SHAKTI SPONGE AND POWER PVT. LTD.","SHREE RADHE",IF(IF(ISNUMBER(SEARCH("Party Name:-",'R.M Billets Reports'!D650)),TRIM('R.M Billets Reports'!F650),IF(ISNUMBER(SEARCH("Party Name-",'R.M Billets Reports'!D650)),TRIM(MID('R.M Billets Reports'!D650,SEARCH("-",'R.M Billets Reports'!D650)+1,200)),""))&lt;&gt;"",IF(ISNUMBER(SEARCH("Party Name:-",'R.M Billets Reports'!D650)),TRIM('R.M Billets Reports'!F650),IF(ISNUMBER(SEARCH("Party Name-",'R.M Billets Reports'!D650)),TRIM(MID('R.M Billets Reports'!D650,SEARCH("-",'R.M Billets Reports'!D650)+1,200)),"")),IF(ISNUMBER(SEARCH("Party Name:-",'R.M Billets Reports'!D651)),TRIM('R.M Billets Reports'!F651),IF(ISNUMBER(SEARCH("Party Name-",'R.M Billets Reports'!D651)),TRIM(MID('R.M Billets Reports'!D651,SEARCH("-",'R.M Billets Reports'!D651)+1,200)),"")))))),IF(ROW()=2,"",A650))</f>
      </c>
      <c r="B651">
        <f>IF(OR('R.M Billets Reports'!A650="Date-",'R.M Billets Reports'!A650="Date:-"),'R.M Billets Reports'!B650,IF(ROW()=2,"",B650))</f>
      </c>
      <c r="C651">
        <f>IF('R.M Billets Reports'!A650="V.No.",'R.M Billets Reports'!B650,IF(ROW()=2,"",C650))</f>
      </c>
      <c r="D651">
        <f>IF('R.M Billets Reports'!A650&lt;&gt;"",'R.M Billets Reports'!A650,IF(ROW()=2,"",D650))</f>
      </c>
      <c r="E651">
        <f>IF('R.M Billets Reports'!B650="","",TRIM('R.M Billets Reports'!B650))</f>
      </c>
      <c r="F651">
        <f>'R.M Billets Reports'!C650</f>
      </c>
      <c r="G651">
        <f>'R.M Billets Reports'!D650</f>
      </c>
      <c r="H651">
        <f>'R.M Billets Reports'!E650</f>
      </c>
      <c r="I651">
        <f>'R.M Billets Reports'!F650</f>
      </c>
      <c r="J651">
        <f>'R.M Billets Reports'!G650</f>
      </c>
      <c r="K651">
        <f>'R.M Billets Reports'!H650</f>
      </c>
      <c r="L651">
        <f>IF('R.M Billets Reports'!I650="","",'R.M Billets Reports'!I650)</f>
      </c>
      <c r="M651">
        <f t="shared" si="20"/>
      </c>
      <c r="N651">
        <f>IF('R.M Billets Reports'!J650="","",'R.M Billets Reports'!J650)</f>
      </c>
      <c r="O651">
        <f t="shared" si="21"/>
      </c>
      <c r="P651">
        <f>IF('R.M Billets Reports'!A650="SIZE",'R.M Billets Reports'!B650,P650)</f>
      </c>
    </row>
    <row r="652" spans="1:16" x14ac:dyDescent="0.25">
      <c r="A652">
        <f>IF(OR('R.M Billets Reports'!A651="Date-",'R.M Billets Reports'!A651="Date:-"),IF(IF(IF(ISNUMBER(SEARCH("Party Name:-",'R.M Billets Reports'!D651)),TRIM('R.M Billets Reports'!F651),IF(ISNUMBER(SEARCH("Party Name-",'R.M Billets Reports'!D651)),TRIM(MID('R.M Billets Reports'!D651,SEARCH("-",'R.M Billets Reports'!D651)+1,200)),""))&lt;&gt;"",IF(ISNUMBER(SEARCH("Party Name:-",'R.M Billets Reports'!D651)),TRIM('R.M Billets Reports'!F651),IF(ISNUMBER(SEARCH("Party Name-",'R.M Billets Reports'!D651)),TRIM(MID('R.M Billets Reports'!D651,SEARCH("-",'R.M Billets Reports'!D651)+1,200)),"")),IF(ISNUMBER(SEARCH("Party Name:-",'R.M Billets Reports'!D652)),TRIM('R.M Billets Reports'!F652),IF(ISNUMBER(SEARCH("Party Name-",'R.M Billets Reports'!D652)),TRIM(MID('R.M Billets Reports'!D652,SEARCH("-",'R.M Billets Reports'!D652)+1,200)),"")))="VRKP ISPAT PVT LTD","VRKP",IF(IF(IF(ISNUMBER(SEARCH("Party Name:-",'R.M Billets Reports'!D651)),TRIM('R.M Billets Reports'!F651),IF(ISNUMBER(SEARCH("Party Name-",'R.M Billets Reports'!D651)),TRIM(MID('R.M Billets Reports'!D651,SEARCH("-",'R.M Billets Reports'!D651)+1,200)),""))&lt;&gt;"",IF(ISNUMBER(SEARCH("Party Name:-",'R.M Billets Reports'!D651)),TRIM('R.M Billets Reports'!F651),IF(ISNUMBER(SEARCH("Party Name-",'R.M Billets Reports'!D651)),TRIM(MID('R.M Billets Reports'!D651,SEARCH("-",'R.M Billets Reports'!D651)+1,200)),"")),IF(ISNUMBER(SEARCH("Party Name:-",'R.M Billets Reports'!D652)),TRIM('R.M Billets Reports'!F652),IF(ISNUMBER(SEARCH("Party Name-",'R.M Billets Reports'!D652)),TRIM(MID('R.M Billets Reports'!D652,SEARCH("-",'R.M Billets Reports'!D652)+1,200)),"")))="SHRI RADHE","SHREE RADHE",IF(IF(IF(ISNUMBER(SEARCH("Party Name:-",'R.M Billets Reports'!D651)),TRIM('R.M Billets Reports'!F651),IF(ISNUMBER(SEARCH("Party Name-",'R.M Billets Reports'!D651)),TRIM(MID('R.M Billets Reports'!D651,SEARCH("-",'R.M Billets Reports'!D651)+1,200)),""))&lt;&gt;"",IF(ISNUMBER(SEARCH("Party Name:-",'R.M Billets Reports'!D651)),TRIM('R.M Billets Reports'!F651),IF(ISNUMBER(SEARCH("Party Name-",'R.M Billets Reports'!D651)),TRIM(MID('R.M Billets Reports'!D651,SEARCH("-",'R.M Billets Reports'!D651)+1,200)),"")),IF(ISNUMBER(SEARCH("Party Name:-",'R.M Billets Reports'!D652)),TRIM('R.M Billets Reports'!F652),IF(ISNUMBER(SEARCH("Party Name-",'R.M Billets Reports'!D652)),TRIM(MID('R.M Billets Reports'!D652,SEARCH("-",'R.M Billets Reports'!D652)+1,200)),"")))="SHREE RADHE SHAKTI SPONGE AND POWER PVT. LTD.","SHREE RADHE",IF(IF(ISNUMBER(SEARCH("Party Name:-",'R.M Billets Reports'!D651)),TRIM('R.M Billets Reports'!F651),IF(ISNUMBER(SEARCH("Party Name-",'R.M Billets Reports'!D651)),TRIM(MID('R.M Billets Reports'!D651,SEARCH("-",'R.M Billets Reports'!D651)+1,200)),""))&lt;&gt;"",IF(ISNUMBER(SEARCH("Party Name:-",'R.M Billets Reports'!D651)),TRIM('R.M Billets Reports'!F651),IF(ISNUMBER(SEARCH("Party Name-",'R.M Billets Reports'!D651)),TRIM(MID('R.M Billets Reports'!D651,SEARCH("-",'R.M Billets Reports'!D651)+1,200)),"")),IF(ISNUMBER(SEARCH("Party Name:-",'R.M Billets Reports'!D652)),TRIM('R.M Billets Reports'!F652),IF(ISNUMBER(SEARCH("Party Name-",'R.M Billets Reports'!D652)),TRIM(MID('R.M Billets Reports'!D652,SEARCH("-",'R.M Billets Reports'!D652)+1,200)),"")))))),IF(ROW()=2,"",A651))</f>
      </c>
      <c r="B652">
        <f>IF(OR('R.M Billets Reports'!A651="Date-",'R.M Billets Reports'!A651="Date:-"),'R.M Billets Reports'!B651,IF(ROW()=2,"",B651))</f>
      </c>
      <c r="C652">
        <f>IF('R.M Billets Reports'!A651="V.No.",'R.M Billets Reports'!B651,IF(ROW()=2,"",C651))</f>
      </c>
      <c r="D652">
        <f>IF('R.M Billets Reports'!A651&lt;&gt;"",'R.M Billets Reports'!A651,IF(ROW()=2,"",D651))</f>
      </c>
      <c r="E652">
        <f>IF('R.M Billets Reports'!B651="","",TRIM('R.M Billets Reports'!B651))</f>
      </c>
      <c r="F652">
        <f>'R.M Billets Reports'!C651</f>
      </c>
      <c r="G652">
        <f>'R.M Billets Reports'!D651</f>
      </c>
      <c r="H652">
        <f>'R.M Billets Reports'!E651</f>
      </c>
      <c r="I652">
        <f>'R.M Billets Reports'!F651</f>
      </c>
      <c r="J652">
        <f>'R.M Billets Reports'!G651</f>
      </c>
      <c r="K652">
        <f>'R.M Billets Reports'!H651</f>
      </c>
      <c r="L652">
        <f>IF('R.M Billets Reports'!I651="","",'R.M Billets Reports'!I651)</f>
      </c>
      <c r="M652">
        <f t="shared" si="20"/>
      </c>
      <c r="N652">
        <f>IF('R.M Billets Reports'!J651="","",'R.M Billets Reports'!J651)</f>
      </c>
      <c r="O652">
        <f t="shared" si="21"/>
      </c>
      <c r="P652">
        <f>IF('R.M Billets Reports'!A651="SIZE",'R.M Billets Reports'!B651,P651)</f>
      </c>
    </row>
    <row r="653" spans="1:16" x14ac:dyDescent="0.25">
      <c r="A653">
        <f>IF(OR('R.M Billets Reports'!A652="Date-",'R.M Billets Reports'!A652="Date:-"),IF(IF(IF(ISNUMBER(SEARCH("Party Name:-",'R.M Billets Reports'!D652)),TRIM('R.M Billets Reports'!F652),IF(ISNUMBER(SEARCH("Party Name-",'R.M Billets Reports'!D652)),TRIM(MID('R.M Billets Reports'!D652,SEARCH("-",'R.M Billets Reports'!D652)+1,200)),""))&lt;&gt;"",IF(ISNUMBER(SEARCH("Party Name:-",'R.M Billets Reports'!D652)),TRIM('R.M Billets Reports'!F652),IF(ISNUMBER(SEARCH("Party Name-",'R.M Billets Reports'!D652)),TRIM(MID('R.M Billets Reports'!D652,SEARCH("-",'R.M Billets Reports'!D652)+1,200)),"")),IF(ISNUMBER(SEARCH("Party Name:-",'R.M Billets Reports'!D653)),TRIM('R.M Billets Reports'!F653),IF(ISNUMBER(SEARCH("Party Name-",'R.M Billets Reports'!D653)),TRIM(MID('R.M Billets Reports'!D653,SEARCH("-",'R.M Billets Reports'!D653)+1,200)),"")))="VRKP ISPAT PVT LTD","VRKP",IF(IF(IF(ISNUMBER(SEARCH("Party Name:-",'R.M Billets Reports'!D652)),TRIM('R.M Billets Reports'!F652),IF(ISNUMBER(SEARCH("Party Name-",'R.M Billets Reports'!D652)),TRIM(MID('R.M Billets Reports'!D652,SEARCH("-",'R.M Billets Reports'!D652)+1,200)),""))&lt;&gt;"",IF(ISNUMBER(SEARCH("Party Name:-",'R.M Billets Reports'!D652)),TRIM('R.M Billets Reports'!F652),IF(ISNUMBER(SEARCH("Party Name-",'R.M Billets Reports'!D652)),TRIM(MID('R.M Billets Reports'!D652,SEARCH("-",'R.M Billets Reports'!D652)+1,200)),"")),IF(ISNUMBER(SEARCH("Party Name:-",'R.M Billets Reports'!D653)),TRIM('R.M Billets Reports'!F653),IF(ISNUMBER(SEARCH("Party Name-",'R.M Billets Reports'!D653)),TRIM(MID('R.M Billets Reports'!D653,SEARCH("-",'R.M Billets Reports'!D653)+1,200)),"")))="SHRI RADHE","SHREE RADHE",IF(IF(IF(ISNUMBER(SEARCH("Party Name:-",'R.M Billets Reports'!D652)),TRIM('R.M Billets Reports'!F652),IF(ISNUMBER(SEARCH("Party Name-",'R.M Billets Reports'!D652)),TRIM(MID('R.M Billets Reports'!D652,SEARCH("-",'R.M Billets Reports'!D652)+1,200)),""))&lt;&gt;"",IF(ISNUMBER(SEARCH("Party Name:-",'R.M Billets Reports'!D652)),TRIM('R.M Billets Reports'!F652),IF(ISNUMBER(SEARCH("Party Name-",'R.M Billets Reports'!D652)),TRIM(MID('R.M Billets Reports'!D652,SEARCH("-",'R.M Billets Reports'!D652)+1,200)),"")),IF(ISNUMBER(SEARCH("Party Name:-",'R.M Billets Reports'!D653)),TRIM('R.M Billets Reports'!F653),IF(ISNUMBER(SEARCH("Party Name-",'R.M Billets Reports'!D653)),TRIM(MID('R.M Billets Reports'!D653,SEARCH("-",'R.M Billets Reports'!D653)+1,200)),"")))="SHREE RADHE SHAKTI SPONGE AND POWER PVT. LTD.","SHREE RADHE",IF(IF(ISNUMBER(SEARCH("Party Name:-",'R.M Billets Reports'!D652)),TRIM('R.M Billets Reports'!F652),IF(ISNUMBER(SEARCH("Party Name-",'R.M Billets Reports'!D652)),TRIM(MID('R.M Billets Reports'!D652,SEARCH("-",'R.M Billets Reports'!D652)+1,200)),""))&lt;&gt;"",IF(ISNUMBER(SEARCH("Party Name:-",'R.M Billets Reports'!D652)),TRIM('R.M Billets Reports'!F652),IF(ISNUMBER(SEARCH("Party Name-",'R.M Billets Reports'!D652)),TRIM(MID('R.M Billets Reports'!D652,SEARCH("-",'R.M Billets Reports'!D652)+1,200)),"")),IF(ISNUMBER(SEARCH("Party Name:-",'R.M Billets Reports'!D653)),TRIM('R.M Billets Reports'!F653),IF(ISNUMBER(SEARCH("Party Name-",'R.M Billets Reports'!D653)),TRIM(MID('R.M Billets Reports'!D653,SEARCH("-",'R.M Billets Reports'!D653)+1,200)),"")))))),IF(ROW()=2,"",A652))</f>
      </c>
      <c r="B653">
        <f>IF(OR('R.M Billets Reports'!A652="Date-",'R.M Billets Reports'!A652="Date:-"),'R.M Billets Reports'!B652,IF(ROW()=2,"",B652))</f>
      </c>
      <c r="C653">
        <f>IF('R.M Billets Reports'!A652="V.No.",'R.M Billets Reports'!B652,IF(ROW()=2,"",C652))</f>
      </c>
      <c r="D653">
        <f>IF('R.M Billets Reports'!A652&lt;&gt;"",'R.M Billets Reports'!A652,IF(ROW()=2,"",D652))</f>
      </c>
      <c r="E653">
        <f>IF('R.M Billets Reports'!B652="","",TRIM('R.M Billets Reports'!B652))</f>
      </c>
      <c r="F653">
        <f>'R.M Billets Reports'!C652</f>
      </c>
      <c r="G653">
        <f>'R.M Billets Reports'!D652</f>
      </c>
      <c r="H653">
        <f>'R.M Billets Reports'!E652</f>
      </c>
      <c r="I653">
        <f>'R.M Billets Reports'!F652</f>
      </c>
      <c r="J653">
        <f>'R.M Billets Reports'!G652</f>
      </c>
      <c r="K653">
        <f>'R.M Billets Reports'!H652</f>
      </c>
      <c r="L653">
        <f>IF('R.M Billets Reports'!I652="","",'R.M Billets Reports'!I652)</f>
      </c>
      <c r="M653">
        <f t="shared" si="20"/>
      </c>
      <c r="N653">
        <f>IF('R.M Billets Reports'!J652="","",'R.M Billets Reports'!J652)</f>
      </c>
      <c r="O653">
        <f t="shared" si="21"/>
      </c>
      <c r="P653">
        <f>IF('R.M Billets Reports'!A652="SIZE",'R.M Billets Reports'!B652,P652)</f>
      </c>
    </row>
    <row r="654" spans="1:16" x14ac:dyDescent="0.25">
      <c r="A654">
        <f>IF(OR('R.M Billets Reports'!A653="Date-",'R.M Billets Reports'!A653="Date:-"),IF(IF(IF(ISNUMBER(SEARCH("Party Name:-",'R.M Billets Reports'!D653)),TRIM('R.M Billets Reports'!F653),IF(ISNUMBER(SEARCH("Party Name-",'R.M Billets Reports'!D653)),TRIM(MID('R.M Billets Reports'!D653,SEARCH("-",'R.M Billets Reports'!D653)+1,200)),""))&lt;&gt;"",IF(ISNUMBER(SEARCH("Party Name:-",'R.M Billets Reports'!D653)),TRIM('R.M Billets Reports'!F653),IF(ISNUMBER(SEARCH("Party Name-",'R.M Billets Reports'!D653)),TRIM(MID('R.M Billets Reports'!D653,SEARCH("-",'R.M Billets Reports'!D653)+1,200)),"")),IF(ISNUMBER(SEARCH("Party Name:-",'R.M Billets Reports'!D654)),TRIM('R.M Billets Reports'!F654),IF(ISNUMBER(SEARCH("Party Name-",'R.M Billets Reports'!D654)),TRIM(MID('R.M Billets Reports'!D654,SEARCH("-",'R.M Billets Reports'!D654)+1,200)),"")))="VRKP ISPAT PVT LTD","VRKP",IF(IF(IF(ISNUMBER(SEARCH("Party Name:-",'R.M Billets Reports'!D653)),TRIM('R.M Billets Reports'!F653),IF(ISNUMBER(SEARCH("Party Name-",'R.M Billets Reports'!D653)),TRIM(MID('R.M Billets Reports'!D653,SEARCH("-",'R.M Billets Reports'!D653)+1,200)),""))&lt;&gt;"",IF(ISNUMBER(SEARCH("Party Name:-",'R.M Billets Reports'!D653)),TRIM('R.M Billets Reports'!F653),IF(ISNUMBER(SEARCH("Party Name-",'R.M Billets Reports'!D653)),TRIM(MID('R.M Billets Reports'!D653,SEARCH("-",'R.M Billets Reports'!D653)+1,200)),"")),IF(ISNUMBER(SEARCH("Party Name:-",'R.M Billets Reports'!D654)),TRIM('R.M Billets Reports'!F654),IF(ISNUMBER(SEARCH("Party Name-",'R.M Billets Reports'!D654)),TRIM(MID('R.M Billets Reports'!D654,SEARCH("-",'R.M Billets Reports'!D654)+1,200)),"")))="SHRI RADHE","SHREE RADHE",IF(IF(IF(ISNUMBER(SEARCH("Party Name:-",'R.M Billets Reports'!D653)),TRIM('R.M Billets Reports'!F653),IF(ISNUMBER(SEARCH("Party Name-",'R.M Billets Reports'!D653)),TRIM(MID('R.M Billets Reports'!D653,SEARCH("-",'R.M Billets Reports'!D653)+1,200)),""))&lt;&gt;"",IF(ISNUMBER(SEARCH("Party Name:-",'R.M Billets Reports'!D653)),TRIM('R.M Billets Reports'!F653),IF(ISNUMBER(SEARCH("Party Name-",'R.M Billets Reports'!D653)),TRIM(MID('R.M Billets Reports'!D653,SEARCH("-",'R.M Billets Reports'!D653)+1,200)),"")),IF(ISNUMBER(SEARCH("Party Name:-",'R.M Billets Reports'!D654)),TRIM('R.M Billets Reports'!F654),IF(ISNUMBER(SEARCH("Party Name-",'R.M Billets Reports'!D654)),TRIM(MID('R.M Billets Reports'!D654,SEARCH("-",'R.M Billets Reports'!D654)+1,200)),"")))="SHREE RADHE SHAKTI SPONGE AND POWER PVT. LTD.","SHREE RADHE",IF(IF(ISNUMBER(SEARCH("Party Name:-",'R.M Billets Reports'!D653)),TRIM('R.M Billets Reports'!F653),IF(ISNUMBER(SEARCH("Party Name-",'R.M Billets Reports'!D653)),TRIM(MID('R.M Billets Reports'!D653,SEARCH("-",'R.M Billets Reports'!D653)+1,200)),""))&lt;&gt;"",IF(ISNUMBER(SEARCH("Party Name:-",'R.M Billets Reports'!D653)),TRIM('R.M Billets Reports'!F653),IF(ISNUMBER(SEARCH("Party Name-",'R.M Billets Reports'!D653)),TRIM(MID('R.M Billets Reports'!D653,SEARCH("-",'R.M Billets Reports'!D653)+1,200)),"")),IF(ISNUMBER(SEARCH("Party Name:-",'R.M Billets Reports'!D654)),TRIM('R.M Billets Reports'!F654),IF(ISNUMBER(SEARCH("Party Name-",'R.M Billets Reports'!D654)),TRIM(MID('R.M Billets Reports'!D654,SEARCH("-",'R.M Billets Reports'!D654)+1,200)),"")))))),IF(ROW()=2,"",A653))</f>
      </c>
      <c r="B654">
        <f>IF(OR('R.M Billets Reports'!A653="Date-",'R.M Billets Reports'!A653="Date:-"),'R.M Billets Reports'!B653,IF(ROW()=2,"",B653))</f>
      </c>
      <c r="C654">
        <f>IF('R.M Billets Reports'!A653="V.No.",'R.M Billets Reports'!B653,IF(ROW()=2,"",C653))</f>
      </c>
      <c r="D654">
        <f>IF('R.M Billets Reports'!A653&lt;&gt;"",'R.M Billets Reports'!A653,IF(ROW()=2,"",D653))</f>
      </c>
      <c r="E654">
        <f>IF('R.M Billets Reports'!B653="","",TRIM('R.M Billets Reports'!B653))</f>
      </c>
      <c r="F654">
        <f>'R.M Billets Reports'!C653</f>
      </c>
      <c r="G654">
        <f>'R.M Billets Reports'!D653</f>
      </c>
      <c r="H654">
        <f>'R.M Billets Reports'!E653</f>
      </c>
      <c r="I654">
        <f>'R.M Billets Reports'!F653</f>
      </c>
      <c r="J654">
        <f>'R.M Billets Reports'!G653</f>
      </c>
      <c r="K654">
        <f>'R.M Billets Reports'!H653</f>
      </c>
      <c r="L654">
        <f>IF('R.M Billets Reports'!I653="","",'R.M Billets Reports'!I653)</f>
      </c>
      <c r="M654">
        <f t="shared" si="20"/>
      </c>
      <c r="N654">
        <f>IF('R.M Billets Reports'!J653="","",'R.M Billets Reports'!J653)</f>
      </c>
      <c r="O654">
        <f t="shared" si="21"/>
      </c>
      <c r="P654">
        <f>IF('R.M Billets Reports'!A653="SIZE",'R.M Billets Reports'!B653,P653)</f>
      </c>
    </row>
    <row r="655" spans="1:16" x14ac:dyDescent="0.25">
      <c r="A655">
        <f>IF(OR('R.M Billets Reports'!A654="Date-",'R.M Billets Reports'!A654="Date:-"),IF(IF(IF(ISNUMBER(SEARCH("Party Name:-",'R.M Billets Reports'!D654)),TRIM('R.M Billets Reports'!F654),IF(ISNUMBER(SEARCH("Party Name-",'R.M Billets Reports'!D654)),TRIM(MID('R.M Billets Reports'!D654,SEARCH("-",'R.M Billets Reports'!D654)+1,200)),""))&lt;&gt;"",IF(ISNUMBER(SEARCH("Party Name:-",'R.M Billets Reports'!D654)),TRIM('R.M Billets Reports'!F654),IF(ISNUMBER(SEARCH("Party Name-",'R.M Billets Reports'!D654)),TRIM(MID('R.M Billets Reports'!D654,SEARCH("-",'R.M Billets Reports'!D654)+1,200)),"")),IF(ISNUMBER(SEARCH("Party Name:-",'R.M Billets Reports'!D655)),TRIM('R.M Billets Reports'!F655),IF(ISNUMBER(SEARCH("Party Name-",'R.M Billets Reports'!D655)),TRIM(MID('R.M Billets Reports'!D655,SEARCH("-",'R.M Billets Reports'!D655)+1,200)),"")))="VRKP ISPAT PVT LTD","VRKP",IF(IF(IF(ISNUMBER(SEARCH("Party Name:-",'R.M Billets Reports'!D654)),TRIM('R.M Billets Reports'!F654),IF(ISNUMBER(SEARCH("Party Name-",'R.M Billets Reports'!D654)),TRIM(MID('R.M Billets Reports'!D654,SEARCH("-",'R.M Billets Reports'!D654)+1,200)),""))&lt;&gt;"",IF(ISNUMBER(SEARCH("Party Name:-",'R.M Billets Reports'!D654)),TRIM('R.M Billets Reports'!F654),IF(ISNUMBER(SEARCH("Party Name-",'R.M Billets Reports'!D654)),TRIM(MID('R.M Billets Reports'!D654,SEARCH("-",'R.M Billets Reports'!D654)+1,200)),"")),IF(ISNUMBER(SEARCH("Party Name:-",'R.M Billets Reports'!D655)),TRIM('R.M Billets Reports'!F655),IF(ISNUMBER(SEARCH("Party Name-",'R.M Billets Reports'!D655)),TRIM(MID('R.M Billets Reports'!D655,SEARCH("-",'R.M Billets Reports'!D655)+1,200)),"")))="SHRI RADHE","SHREE RADHE",IF(IF(IF(ISNUMBER(SEARCH("Party Name:-",'R.M Billets Reports'!D654)),TRIM('R.M Billets Reports'!F654),IF(ISNUMBER(SEARCH("Party Name-",'R.M Billets Reports'!D654)),TRIM(MID('R.M Billets Reports'!D654,SEARCH("-",'R.M Billets Reports'!D654)+1,200)),""))&lt;&gt;"",IF(ISNUMBER(SEARCH("Party Name:-",'R.M Billets Reports'!D654)),TRIM('R.M Billets Reports'!F654),IF(ISNUMBER(SEARCH("Party Name-",'R.M Billets Reports'!D654)),TRIM(MID('R.M Billets Reports'!D654,SEARCH("-",'R.M Billets Reports'!D654)+1,200)),"")),IF(ISNUMBER(SEARCH("Party Name:-",'R.M Billets Reports'!D655)),TRIM('R.M Billets Reports'!F655),IF(ISNUMBER(SEARCH("Party Name-",'R.M Billets Reports'!D655)),TRIM(MID('R.M Billets Reports'!D655,SEARCH("-",'R.M Billets Reports'!D655)+1,200)),"")))="SHREE RADHE SHAKTI SPONGE AND POWER PVT. LTD.","SHREE RADHE",IF(IF(ISNUMBER(SEARCH("Party Name:-",'R.M Billets Reports'!D654)),TRIM('R.M Billets Reports'!F654),IF(ISNUMBER(SEARCH("Party Name-",'R.M Billets Reports'!D654)),TRIM(MID('R.M Billets Reports'!D654,SEARCH("-",'R.M Billets Reports'!D654)+1,200)),""))&lt;&gt;"",IF(ISNUMBER(SEARCH("Party Name:-",'R.M Billets Reports'!D654)),TRIM('R.M Billets Reports'!F654),IF(ISNUMBER(SEARCH("Party Name-",'R.M Billets Reports'!D654)),TRIM(MID('R.M Billets Reports'!D654,SEARCH("-",'R.M Billets Reports'!D654)+1,200)),"")),IF(ISNUMBER(SEARCH("Party Name:-",'R.M Billets Reports'!D655)),TRIM('R.M Billets Reports'!F655),IF(ISNUMBER(SEARCH("Party Name-",'R.M Billets Reports'!D655)),TRIM(MID('R.M Billets Reports'!D655,SEARCH("-",'R.M Billets Reports'!D655)+1,200)),"")))))),IF(ROW()=2,"",A654))</f>
      </c>
      <c r="B655">
        <f>IF(OR('R.M Billets Reports'!A654="Date-",'R.M Billets Reports'!A654="Date:-"),'R.M Billets Reports'!B654,IF(ROW()=2,"",B654))</f>
      </c>
      <c r="C655">
        <f>IF('R.M Billets Reports'!A654="V.No.",'R.M Billets Reports'!B654,IF(ROW()=2,"",C654))</f>
      </c>
      <c r="D655">
        <f>IF('R.M Billets Reports'!A654&lt;&gt;"",'R.M Billets Reports'!A654,IF(ROW()=2,"",D654))</f>
      </c>
      <c r="E655">
        <f>IF('R.M Billets Reports'!B654="","",TRIM('R.M Billets Reports'!B654))</f>
      </c>
      <c r="F655">
        <f>'R.M Billets Reports'!C654</f>
      </c>
      <c r="G655">
        <f>'R.M Billets Reports'!D654</f>
      </c>
      <c r="H655">
        <f>'R.M Billets Reports'!E654</f>
      </c>
      <c r="I655">
        <f>'R.M Billets Reports'!F654</f>
      </c>
      <c r="J655">
        <f>'R.M Billets Reports'!G654</f>
      </c>
      <c r="K655">
        <f>'R.M Billets Reports'!H654</f>
      </c>
      <c r="L655">
        <f>IF('R.M Billets Reports'!I654="","",'R.M Billets Reports'!I654)</f>
      </c>
      <c r="M655">
        <f t="shared" si="20"/>
      </c>
      <c r="N655">
        <f>IF('R.M Billets Reports'!J654="","",'R.M Billets Reports'!J654)</f>
      </c>
      <c r="O655">
        <f t="shared" si="21"/>
      </c>
      <c r="P655">
        <f>IF('R.M Billets Reports'!A654="SIZE",'R.M Billets Reports'!B654,P654)</f>
      </c>
    </row>
    <row r="656" spans="1:16" x14ac:dyDescent="0.25">
      <c r="A656">
        <f>IF(OR('R.M Billets Reports'!A655="Date-",'R.M Billets Reports'!A655="Date:-"),IF(IF(IF(ISNUMBER(SEARCH("Party Name:-",'R.M Billets Reports'!D655)),TRIM('R.M Billets Reports'!F655),IF(ISNUMBER(SEARCH("Party Name-",'R.M Billets Reports'!D655)),TRIM(MID('R.M Billets Reports'!D655,SEARCH("-",'R.M Billets Reports'!D655)+1,200)),""))&lt;&gt;"",IF(ISNUMBER(SEARCH("Party Name:-",'R.M Billets Reports'!D655)),TRIM('R.M Billets Reports'!F655),IF(ISNUMBER(SEARCH("Party Name-",'R.M Billets Reports'!D655)),TRIM(MID('R.M Billets Reports'!D655,SEARCH("-",'R.M Billets Reports'!D655)+1,200)),"")),IF(ISNUMBER(SEARCH("Party Name:-",'R.M Billets Reports'!D656)),TRIM('R.M Billets Reports'!F656),IF(ISNUMBER(SEARCH("Party Name-",'R.M Billets Reports'!D656)),TRIM(MID('R.M Billets Reports'!D656,SEARCH("-",'R.M Billets Reports'!D656)+1,200)),"")))="VRKP ISPAT PVT LTD","VRKP",IF(IF(IF(ISNUMBER(SEARCH("Party Name:-",'R.M Billets Reports'!D655)),TRIM('R.M Billets Reports'!F655),IF(ISNUMBER(SEARCH("Party Name-",'R.M Billets Reports'!D655)),TRIM(MID('R.M Billets Reports'!D655,SEARCH("-",'R.M Billets Reports'!D655)+1,200)),""))&lt;&gt;"",IF(ISNUMBER(SEARCH("Party Name:-",'R.M Billets Reports'!D655)),TRIM('R.M Billets Reports'!F655),IF(ISNUMBER(SEARCH("Party Name-",'R.M Billets Reports'!D655)),TRIM(MID('R.M Billets Reports'!D655,SEARCH("-",'R.M Billets Reports'!D655)+1,200)),"")),IF(ISNUMBER(SEARCH("Party Name:-",'R.M Billets Reports'!D656)),TRIM('R.M Billets Reports'!F656),IF(ISNUMBER(SEARCH("Party Name-",'R.M Billets Reports'!D656)),TRIM(MID('R.M Billets Reports'!D656,SEARCH("-",'R.M Billets Reports'!D656)+1,200)),"")))="SHRI RADHE","SHREE RADHE",IF(IF(IF(ISNUMBER(SEARCH("Party Name:-",'R.M Billets Reports'!D655)),TRIM('R.M Billets Reports'!F655),IF(ISNUMBER(SEARCH("Party Name-",'R.M Billets Reports'!D655)),TRIM(MID('R.M Billets Reports'!D655,SEARCH("-",'R.M Billets Reports'!D655)+1,200)),""))&lt;&gt;"",IF(ISNUMBER(SEARCH("Party Name:-",'R.M Billets Reports'!D655)),TRIM('R.M Billets Reports'!F655),IF(ISNUMBER(SEARCH("Party Name-",'R.M Billets Reports'!D655)),TRIM(MID('R.M Billets Reports'!D655,SEARCH("-",'R.M Billets Reports'!D655)+1,200)),"")),IF(ISNUMBER(SEARCH("Party Name:-",'R.M Billets Reports'!D656)),TRIM('R.M Billets Reports'!F656),IF(ISNUMBER(SEARCH("Party Name-",'R.M Billets Reports'!D656)),TRIM(MID('R.M Billets Reports'!D656,SEARCH("-",'R.M Billets Reports'!D656)+1,200)),"")))="SHREE RADHE SHAKTI SPONGE AND POWER PVT. LTD.","SHREE RADHE",IF(IF(ISNUMBER(SEARCH("Party Name:-",'R.M Billets Reports'!D655)),TRIM('R.M Billets Reports'!F655),IF(ISNUMBER(SEARCH("Party Name-",'R.M Billets Reports'!D655)),TRIM(MID('R.M Billets Reports'!D655,SEARCH("-",'R.M Billets Reports'!D655)+1,200)),""))&lt;&gt;"",IF(ISNUMBER(SEARCH("Party Name:-",'R.M Billets Reports'!D655)),TRIM('R.M Billets Reports'!F655),IF(ISNUMBER(SEARCH("Party Name-",'R.M Billets Reports'!D655)),TRIM(MID('R.M Billets Reports'!D655,SEARCH("-",'R.M Billets Reports'!D655)+1,200)),"")),IF(ISNUMBER(SEARCH("Party Name:-",'R.M Billets Reports'!D656)),TRIM('R.M Billets Reports'!F656),IF(ISNUMBER(SEARCH("Party Name-",'R.M Billets Reports'!D656)),TRIM(MID('R.M Billets Reports'!D656,SEARCH("-",'R.M Billets Reports'!D656)+1,200)),"")))))),IF(ROW()=2,"",A655))</f>
      </c>
      <c r="B656">
        <f>IF(OR('R.M Billets Reports'!A655="Date-",'R.M Billets Reports'!A655="Date:-"),'R.M Billets Reports'!B655,IF(ROW()=2,"",B655))</f>
      </c>
      <c r="C656">
        <f>IF('R.M Billets Reports'!A655="V.No.",'R.M Billets Reports'!B655,IF(ROW()=2,"",C655))</f>
      </c>
      <c r="D656">
        <f>IF('R.M Billets Reports'!A655&lt;&gt;"",'R.M Billets Reports'!A655,IF(ROW()=2,"",D655))</f>
      </c>
      <c r="E656">
        <f>IF('R.M Billets Reports'!B655="","",TRIM('R.M Billets Reports'!B655))</f>
      </c>
      <c r="F656">
        <f>'R.M Billets Reports'!C655</f>
      </c>
      <c r="G656">
        <f>'R.M Billets Reports'!D655</f>
      </c>
      <c r="H656">
        <f>'R.M Billets Reports'!E655</f>
      </c>
      <c r="I656">
        <f>'R.M Billets Reports'!F655</f>
      </c>
      <c r="J656">
        <f>'R.M Billets Reports'!G655</f>
      </c>
      <c r="K656">
        <f>'R.M Billets Reports'!H655</f>
      </c>
      <c r="L656">
        <f>IF('R.M Billets Reports'!I655="","",'R.M Billets Reports'!I655)</f>
      </c>
      <c r="M656">
        <f t="shared" si="20"/>
      </c>
      <c r="N656">
        <f>IF('R.M Billets Reports'!J655="","",'R.M Billets Reports'!J655)</f>
      </c>
      <c r="O656">
        <f t="shared" si="21"/>
      </c>
      <c r="P656">
        <f>IF('R.M Billets Reports'!A655="SIZE",'R.M Billets Reports'!B655,P655)</f>
      </c>
    </row>
    <row r="657" spans="1:16" x14ac:dyDescent="0.25">
      <c r="A657">
        <f>IF(OR('R.M Billets Reports'!A656="Date-",'R.M Billets Reports'!A656="Date:-"),IF(IF(IF(ISNUMBER(SEARCH("Party Name:-",'R.M Billets Reports'!D656)),TRIM('R.M Billets Reports'!F656),IF(ISNUMBER(SEARCH("Party Name-",'R.M Billets Reports'!D656)),TRIM(MID('R.M Billets Reports'!D656,SEARCH("-",'R.M Billets Reports'!D656)+1,200)),""))&lt;&gt;"",IF(ISNUMBER(SEARCH("Party Name:-",'R.M Billets Reports'!D656)),TRIM('R.M Billets Reports'!F656),IF(ISNUMBER(SEARCH("Party Name-",'R.M Billets Reports'!D656)),TRIM(MID('R.M Billets Reports'!D656,SEARCH("-",'R.M Billets Reports'!D656)+1,200)),"")),IF(ISNUMBER(SEARCH("Party Name:-",'R.M Billets Reports'!D657)),TRIM('R.M Billets Reports'!F657),IF(ISNUMBER(SEARCH("Party Name-",'R.M Billets Reports'!D657)),TRIM(MID('R.M Billets Reports'!D657,SEARCH("-",'R.M Billets Reports'!D657)+1,200)),"")))="VRKP ISPAT PVT LTD","VRKP",IF(IF(IF(ISNUMBER(SEARCH("Party Name:-",'R.M Billets Reports'!D656)),TRIM('R.M Billets Reports'!F656),IF(ISNUMBER(SEARCH("Party Name-",'R.M Billets Reports'!D656)),TRIM(MID('R.M Billets Reports'!D656,SEARCH("-",'R.M Billets Reports'!D656)+1,200)),""))&lt;&gt;"",IF(ISNUMBER(SEARCH("Party Name:-",'R.M Billets Reports'!D656)),TRIM('R.M Billets Reports'!F656),IF(ISNUMBER(SEARCH("Party Name-",'R.M Billets Reports'!D656)),TRIM(MID('R.M Billets Reports'!D656,SEARCH("-",'R.M Billets Reports'!D656)+1,200)),"")),IF(ISNUMBER(SEARCH("Party Name:-",'R.M Billets Reports'!D657)),TRIM('R.M Billets Reports'!F657),IF(ISNUMBER(SEARCH("Party Name-",'R.M Billets Reports'!D657)),TRIM(MID('R.M Billets Reports'!D657,SEARCH("-",'R.M Billets Reports'!D657)+1,200)),"")))="SHRI RADHE","SHREE RADHE",IF(IF(IF(ISNUMBER(SEARCH("Party Name:-",'R.M Billets Reports'!D656)),TRIM('R.M Billets Reports'!F656),IF(ISNUMBER(SEARCH("Party Name-",'R.M Billets Reports'!D656)),TRIM(MID('R.M Billets Reports'!D656,SEARCH("-",'R.M Billets Reports'!D656)+1,200)),""))&lt;&gt;"",IF(ISNUMBER(SEARCH("Party Name:-",'R.M Billets Reports'!D656)),TRIM('R.M Billets Reports'!F656),IF(ISNUMBER(SEARCH("Party Name-",'R.M Billets Reports'!D656)),TRIM(MID('R.M Billets Reports'!D656,SEARCH("-",'R.M Billets Reports'!D656)+1,200)),"")),IF(ISNUMBER(SEARCH("Party Name:-",'R.M Billets Reports'!D657)),TRIM('R.M Billets Reports'!F657),IF(ISNUMBER(SEARCH("Party Name-",'R.M Billets Reports'!D657)),TRIM(MID('R.M Billets Reports'!D657,SEARCH("-",'R.M Billets Reports'!D657)+1,200)),"")))="SHREE RADHE SHAKTI SPONGE AND POWER PVT. LTD.","SHREE RADHE",IF(IF(ISNUMBER(SEARCH("Party Name:-",'R.M Billets Reports'!D656)),TRIM('R.M Billets Reports'!F656),IF(ISNUMBER(SEARCH("Party Name-",'R.M Billets Reports'!D656)),TRIM(MID('R.M Billets Reports'!D656,SEARCH("-",'R.M Billets Reports'!D656)+1,200)),""))&lt;&gt;"",IF(ISNUMBER(SEARCH("Party Name:-",'R.M Billets Reports'!D656)),TRIM('R.M Billets Reports'!F656),IF(ISNUMBER(SEARCH("Party Name-",'R.M Billets Reports'!D656)),TRIM(MID('R.M Billets Reports'!D656,SEARCH("-",'R.M Billets Reports'!D656)+1,200)),"")),IF(ISNUMBER(SEARCH("Party Name:-",'R.M Billets Reports'!D657)),TRIM('R.M Billets Reports'!F657),IF(ISNUMBER(SEARCH("Party Name-",'R.M Billets Reports'!D657)),TRIM(MID('R.M Billets Reports'!D657,SEARCH("-",'R.M Billets Reports'!D657)+1,200)),"")))))),IF(ROW()=2,"",A656))</f>
      </c>
      <c r="B657">
        <f>IF(OR('R.M Billets Reports'!A656="Date-",'R.M Billets Reports'!A656="Date:-"),'R.M Billets Reports'!B656,IF(ROW()=2,"",B656))</f>
      </c>
      <c r="C657">
        <f>IF('R.M Billets Reports'!A656="V.No.",'R.M Billets Reports'!B656,IF(ROW()=2,"",C656))</f>
      </c>
      <c r="D657">
        <f>IF('R.M Billets Reports'!A656&lt;&gt;"",'R.M Billets Reports'!A656,IF(ROW()=2,"",D656))</f>
      </c>
      <c r="E657">
        <f>IF('R.M Billets Reports'!B656="","",TRIM('R.M Billets Reports'!B656))</f>
      </c>
      <c r="F657">
        <f>'R.M Billets Reports'!C656</f>
      </c>
      <c r="G657">
        <f>'R.M Billets Reports'!D656</f>
      </c>
      <c r="H657">
        <f>'R.M Billets Reports'!E656</f>
      </c>
      <c r="I657">
        <f>'R.M Billets Reports'!F656</f>
      </c>
      <c r="J657">
        <f>'R.M Billets Reports'!G656</f>
      </c>
      <c r="K657">
        <f>'R.M Billets Reports'!H656</f>
      </c>
      <c r="L657">
        <f>IF('R.M Billets Reports'!I656="","",'R.M Billets Reports'!I656)</f>
      </c>
      <c r="M657">
        <f t="shared" si="20"/>
      </c>
      <c r="N657">
        <f>IF('R.M Billets Reports'!J656="","",'R.M Billets Reports'!J656)</f>
      </c>
      <c r="O657">
        <f t="shared" si="21"/>
      </c>
      <c r="P657">
        <f>IF('R.M Billets Reports'!A656="SIZE",'R.M Billets Reports'!B656,P656)</f>
      </c>
    </row>
    <row r="658" spans="1:16" x14ac:dyDescent="0.25">
      <c r="A658">
        <f>IF(OR('R.M Billets Reports'!A657="Date-",'R.M Billets Reports'!A657="Date:-"),IF(IF(IF(ISNUMBER(SEARCH("Party Name:-",'R.M Billets Reports'!D657)),TRIM('R.M Billets Reports'!F657),IF(ISNUMBER(SEARCH("Party Name-",'R.M Billets Reports'!D657)),TRIM(MID('R.M Billets Reports'!D657,SEARCH("-",'R.M Billets Reports'!D657)+1,200)),""))&lt;&gt;"",IF(ISNUMBER(SEARCH("Party Name:-",'R.M Billets Reports'!D657)),TRIM('R.M Billets Reports'!F657),IF(ISNUMBER(SEARCH("Party Name-",'R.M Billets Reports'!D657)),TRIM(MID('R.M Billets Reports'!D657,SEARCH("-",'R.M Billets Reports'!D657)+1,200)),"")),IF(ISNUMBER(SEARCH("Party Name:-",'R.M Billets Reports'!D658)),TRIM('R.M Billets Reports'!F658),IF(ISNUMBER(SEARCH("Party Name-",'R.M Billets Reports'!D658)),TRIM(MID('R.M Billets Reports'!D658,SEARCH("-",'R.M Billets Reports'!D658)+1,200)),"")))="VRKP ISPAT PVT LTD","VRKP",IF(IF(IF(ISNUMBER(SEARCH("Party Name:-",'R.M Billets Reports'!D657)),TRIM('R.M Billets Reports'!F657),IF(ISNUMBER(SEARCH("Party Name-",'R.M Billets Reports'!D657)),TRIM(MID('R.M Billets Reports'!D657,SEARCH("-",'R.M Billets Reports'!D657)+1,200)),""))&lt;&gt;"",IF(ISNUMBER(SEARCH("Party Name:-",'R.M Billets Reports'!D657)),TRIM('R.M Billets Reports'!F657),IF(ISNUMBER(SEARCH("Party Name-",'R.M Billets Reports'!D657)),TRIM(MID('R.M Billets Reports'!D657,SEARCH("-",'R.M Billets Reports'!D657)+1,200)),"")),IF(ISNUMBER(SEARCH("Party Name:-",'R.M Billets Reports'!D658)),TRIM('R.M Billets Reports'!F658),IF(ISNUMBER(SEARCH("Party Name-",'R.M Billets Reports'!D658)),TRIM(MID('R.M Billets Reports'!D658,SEARCH("-",'R.M Billets Reports'!D658)+1,200)),"")))="SHRI RADHE","SHREE RADHE",IF(IF(IF(ISNUMBER(SEARCH("Party Name:-",'R.M Billets Reports'!D657)),TRIM('R.M Billets Reports'!F657),IF(ISNUMBER(SEARCH("Party Name-",'R.M Billets Reports'!D657)),TRIM(MID('R.M Billets Reports'!D657,SEARCH("-",'R.M Billets Reports'!D657)+1,200)),""))&lt;&gt;"",IF(ISNUMBER(SEARCH("Party Name:-",'R.M Billets Reports'!D657)),TRIM('R.M Billets Reports'!F657),IF(ISNUMBER(SEARCH("Party Name-",'R.M Billets Reports'!D657)),TRIM(MID('R.M Billets Reports'!D657,SEARCH("-",'R.M Billets Reports'!D657)+1,200)),"")),IF(ISNUMBER(SEARCH("Party Name:-",'R.M Billets Reports'!D658)),TRIM('R.M Billets Reports'!F658),IF(ISNUMBER(SEARCH("Party Name-",'R.M Billets Reports'!D658)),TRIM(MID('R.M Billets Reports'!D658,SEARCH("-",'R.M Billets Reports'!D658)+1,200)),"")))="SHREE RADHE SHAKTI SPONGE AND POWER PVT. LTD.","SHREE RADHE",IF(IF(ISNUMBER(SEARCH("Party Name:-",'R.M Billets Reports'!D657)),TRIM('R.M Billets Reports'!F657),IF(ISNUMBER(SEARCH("Party Name-",'R.M Billets Reports'!D657)),TRIM(MID('R.M Billets Reports'!D657,SEARCH("-",'R.M Billets Reports'!D657)+1,200)),""))&lt;&gt;"",IF(ISNUMBER(SEARCH("Party Name:-",'R.M Billets Reports'!D657)),TRIM('R.M Billets Reports'!F657),IF(ISNUMBER(SEARCH("Party Name-",'R.M Billets Reports'!D657)),TRIM(MID('R.M Billets Reports'!D657,SEARCH("-",'R.M Billets Reports'!D657)+1,200)),"")),IF(ISNUMBER(SEARCH("Party Name:-",'R.M Billets Reports'!D658)),TRIM('R.M Billets Reports'!F658),IF(ISNUMBER(SEARCH("Party Name-",'R.M Billets Reports'!D658)),TRIM(MID('R.M Billets Reports'!D658,SEARCH("-",'R.M Billets Reports'!D658)+1,200)),"")))))),IF(ROW()=2,"",A657))</f>
      </c>
      <c r="B658">
        <f>IF(OR('R.M Billets Reports'!A657="Date-",'R.M Billets Reports'!A657="Date:-"),'R.M Billets Reports'!B657,IF(ROW()=2,"",B657))</f>
      </c>
      <c r="C658">
        <f>IF('R.M Billets Reports'!A657="V.No.",'R.M Billets Reports'!B657,IF(ROW()=2,"",C657))</f>
      </c>
      <c r="D658">
        <f>IF('R.M Billets Reports'!A657&lt;&gt;"",'R.M Billets Reports'!A657,IF(ROW()=2,"",D657))</f>
      </c>
      <c r="E658">
        <f>IF('R.M Billets Reports'!B657="","",TRIM('R.M Billets Reports'!B657))</f>
      </c>
      <c r="F658">
        <f>'R.M Billets Reports'!C657</f>
      </c>
      <c r="G658">
        <f>'R.M Billets Reports'!D657</f>
      </c>
      <c r="H658">
        <f>'R.M Billets Reports'!E657</f>
      </c>
      <c r="I658">
        <f>'R.M Billets Reports'!F657</f>
      </c>
      <c r="J658">
        <f>'R.M Billets Reports'!G657</f>
      </c>
      <c r="K658">
        <f>'R.M Billets Reports'!H657</f>
      </c>
      <c r="L658">
        <f>IF('R.M Billets Reports'!I657="","",'R.M Billets Reports'!I657)</f>
      </c>
      <c r="M658">
        <f t="shared" si="20"/>
      </c>
      <c r="N658">
        <f>IF('R.M Billets Reports'!J657="","",'R.M Billets Reports'!J657)</f>
      </c>
      <c r="O658">
        <f t="shared" si="21"/>
      </c>
      <c r="P658">
        <f>IF('R.M Billets Reports'!A657="SIZE",'R.M Billets Reports'!B657,P657)</f>
      </c>
    </row>
    <row r="659" spans="1:16" x14ac:dyDescent="0.25">
      <c r="A659">
        <f>IF(OR('R.M Billets Reports'!A658="Date-",'R.M Billets Reports'!A658="Date:-"),IF(IF(IF(ISNUMBER(SEARCH("Party Name:-",'R.M Billets Reports'!D658)),TRIM('R.M Billets Reports'!F658),IF(ISNUMBER(SEARCH("Party Name-",'R.M Billets Reports'!D658)),TRIM(MID('R.M Billets Reports'!D658,SEARCH("-",'R.M Billets Reports'!D658)+1,200)),""))&lt;&gt;"",IF(ISNUMBER(SEARCH("Party Name:-",'R.M Billets Reports'!D658)),TRIM('R.M Billets Reports'!F658),IF(ISNUMBER(SEARCH("Party Name-",'R.M Billets Reports'!D658)),TRIM(MID('R.M Billets Reports'!D658,SEARCH("-",'R.M Billets Reports'!D658)+1,200)),"")),IF(ISNUMBER(SEARCH("Party Name:-",'R.M Billets Reports'!D659)),TRIM('R.M Billets Reports'!F659),IF(ISNUMBER(SEARCH("Party Name-",'R.M Billets Reports'!D659)),TRIM(MID('R.M Billets Reports'!D659,SEARCH("-",'R.M Billets Reports'!D659)+1,200)),"")))="VRKP ISPAT PVT LTD","VRKP",IF(IF(IF(ISNUMBER(SEARCH("Party Name:-",'R.M Billets Reports'!D658)),TRIM('R.M Billets Reports'!F658),IF(ISNUMBER(SEARCH("Party Name-",'R.M Billets Reports'!D658)),TRIM(MID('R.M Billets Reports'!D658,SEARCH("-",'R.M Billets Reports'!D658)+1,200)),""))&lt;&gt;"",IF(ISNUMBER(SEARCH("Party Name:-",'R.M Billets Reports'!D658)),TRIM('R.M Billets Reports'!F658),IF(ISNUMBER(SEARCH("Party Name-",'R.M Billets Reports'!D658)),TRIM(MID('R.M Billets Reports'!D658,SEARCH("-",'R.M Billets Reports'!D658)+1,200)),"")),IF(ISNUMBER(SEARCH("Party Name:-",'R.M Billets Reports'!D659)),TRIM('R.M Billets Reports'!F659),IF(ISNUMBER(SEARCH("Party Name-",'R.M Billets Reports'!D659)),TRIM(MID('R.M Billets Reports'!D659,SEARCH("-",'R.M Billets Reports'!D659)+1,200)),"")))="SHRI RADHE","SHREE RADHE",IF(IF(IF(ISNUMBER(SEARCH("Party Name:-",'R.M Billets Reports'!D658)),TRIM('R.M Billets Reports'!F658),IF(ISNUMBER(SEARCH("Party Name-",'R.M Billets Reports'!D658)),TRIM(MID('R.M Billets Reports'!D658,SEARCH("-",'R.M Billets Reports'!D658)+1,200)),""))&lt;&gt;"",IF(ISNUMBER(SEARCH("Party Name:-",'R.M Billets Reports'!D658)),TRIM('R.M Billets Reports'!F658),IF(ISNUMBER(SEARCH("Party Name-",'R.M Billets Reports'!D658)),TRIM(MID('R.M Billets Reports'!D658,SEARCH("-",'R.M Billets Reports'!D658)+1,200)),"")),IF(ISNUMBER(SEARCH("Party Name:-",'R.M Billets Reports'!D659)),TRIM('R.M Billets Reports'!F659),IF(ISNUMBER(SEARCH("Party Name-",'R.M Billets Reports'!D659)),TRIM(MID('R.M Billets Reports'!D659,SEARCH("-",'R.M Billets Reports'!D659)+1,200)),"")))="SHREE RADHE SHAKTI SPONGE AND POWER PVT. LTD.","SHREE RADHE",IF(IF(ISNUMBER(SEARCH("Party Name:-",'R.M Billets Reports'!D658)),TRIM('R.M Billets Reports'!F658),IF(ISNUMBER(SEARCH("Party Name-",'R.M Billets Reports'!D658)),TRIM(MID('R.M Billets Reports'!D658,SEARCH("-",'R.M Billets Reports'!D658)+1,200)),""))&lt;&gt;"",IF(ISNUMBER(SEARCH("Party Name:-",'R.M Billets Reports'!D658)),TRIM('R.M Billets Reports'!F658),IF(ISNUMBER(SEARCH("Party Name-",'R.M Billets Reports'!D658)),TRIM(MID('R.M Billets Reports'!D658,SEARCH("-",'R.M Billets Reports'!D658)+1,200)),"")),IF(ISNUMBER(SEARCH("Party Name:-",'R.M Billets Reports'!D659)),TRIM('R.M Billets Reports'!F659),IF(ISNUMBER(SEARCH("Party Name-",'R.M Billets Reports'!D659)),TRIM(MID('R.M Billets Reports'!D659,SEARCH("-",'R.M Billets Reports'!D659)+1,200)),"")))))),IF(ROW()=2,"",A658))</f>
      </c>
      <c r="B659">
        <f>IF(OR('R.M Billets Reports'!A658="Date-",'R.M Billets Reports'!A658="Date:-"),'R.M Billets Reports'!B658,IF(ROW()=2,"",B658))</f>
      </c>
      <c r="C659">
        <f>IF('R.M Billets Reports'!A658="V.No.",'R.M Billets Reports'!B658,IF(ROW()=2,"",C658))</f>
      </c>
      <c r="D659">
        <f>IF('R.M Billets Reports'!A658&lt;&gt;"",'R.M Billets Reports'!A658,IF(ROW()=2,"",D658))</f>
      </c>
      <c r="E659">
        <f>IF('R.M Billets Reports'!B658="","",TRIM('R.M Billets Reports'!B658))</f>
      </c>
      <c r="F659">
        <f>'R.M Billets Reports'!C658</f>
      </c>
      <c r="G659">
        <f>'R.M Billets Reports'!D658</f>
      </c>
      <c r="H659">
        <f>'R.M Billets Reports'!E658</f>
      </c>
      <c r="I659">
        <f>'R.M Billets Reports'!F658</f>
      </c>
      <c r="J659">
        <f>'R.M Billets Reports'!G658</f>
      </c>
      <c r="K659">
        <f>'R.M Billets Reports'!H658</f>
      </c>
      <c r="L659">
        <f>IF('R.M Billets Reports'!I658="","",'R.M Billets Reports'!I658)</f>
      </c>
      <c r="M659">
        <f t="shared" si="20"/>
      </c>
      <c r="N659">
        <f>IF('R.M Billets Reports'!J658="","",'R.M Billets Reports'!J658)</f>
      </c>
      <c r="O659">
        <f t="shared" si="21"/>
      </c>
      <c r="P659">
        <f>IF('R.M Billets Reports'!A658="SIZE",'R.M Billets Reports'!B658,P658)</f>
      </c>
    </row>
    <row r="660" spans="1:16" x14ac:dyDescent="0.25">
      <c r="A660">
        <f>IF(OR('R.M Billets Reports'!A659="Date-",'R.M Billets Reports'!A659="Date:-"),IF(IF(IF(ISNUMBER(SEARCH("Party Name:-",'R.M Billets Reports'!D659)),TRIM('R.M Billets Reports'!F659),IF(ISNUMBER(SEARCH("Party Name-",'R.M Billets Reports'!D659)),TRIM(MID('R.M Billets Reports'!D659,SEARCH("-",'R.M Billets Reports'!D659)+1,200)),""))&lt;&gt;"",IF(ISNUMBER(SEARCH("Party Name:-",'R.M Billets Reports'!D659)),TRIM('R.M Billets Reports'!F659),IF(ISNUMBER(SEARCH("Party Name-",'R.M Billets Reports'!D659)),TRIM(MID('R.M Billets Reports'!D659,SEARCH("-",'R.M Billets Reports'!D659)+1,200)),"")),IF(ISNUMBER(SEARCH("Party Name:-",'R.M Billets Reports'!D660)),TRIM('R.M Billets Reports'!F660),IF(ISNUMBER(SEARCH("Party Name-",'R.M Billets Reports'!D660)),TRIM(MID('R.M Billets Reports'!D660,SEARCH("-",'R.M Billets Reports'!D660)+1,200)),"")))="VRKP ISPAT PVT LTD","VRKP",IF(IF(IF(ISNUMBER(SEARCH("Party Name:-",'R.M Billets Reports'!D659)),TRIM('R.M Billets Reports'!F659),IF(ISNUMBER(SEARCH("Party Name-",'R.M Billets Reports'!D659)),TRIM(MID('R.M Billets Reports'!D659,SEARCH("-",'R.M Billets Reports'!D659)+1,200)),""))&lt;&gt;"",IF(ISNUMBER(SEARCH("Party Name:-",'R.M Billets Reports'!D659)),TRIM('R.M Billets Reports'!F659),IF(ISNUMBER(SEARCH("Party Name-",'R.M Billets Reports'!D659)),TRIM(MID('R.M Billets Reports'!D659,SEARCH("-",'R.M Billets Reports'!D659)+1,200)),"")),IF(ISNUMBER(SEARCH("Party Name:-",'R.M Billets Reports'!D660)),TRIM('R.M Billets Reports'!F660),IF(ISNUMBER(SEARCH("Party Name-",'R.M Billets Reports'!D660)),TRIM(MID('R.M Billets Reports'!D660,SEARCH("-",'R.M Billets Reports'!D660)+1,200)),"")))="SHRI RADHE","SHREE RADHE",IF(IF(IF(ISNUMBER(SEARCH("Party Name:-",'R.M Billets Reports'!D659)),TRIM('R.M Billets Reports'!F659),IF(ISNUMBER(SEARCH("Party Name-",'R.M Billets Reports'!D659)),TRIM(MID('R.M Billets Reports'!D659,SEARCH("-",'R.M Billets Reports'!D659)+1,200)),""))&lt;&gt;"",IF(ISNUMBER(SEARCH("Party Name:-",'R.M Billets Reports'!D659)),TRIM('R.M Billets Reports'!F659),IF(ISNUMBER(SEARCH("Party Name-",'R.M Billets Reports'!D659)),TRIM(MID('R.M Billets Reports'!D659,SEARCH("-",'R.M Billets Reports'!D659)+1,200)),"")),IF(ISNUMBER(SEARCH("Party Name:-",'R.M Billets Reports'!D660)),TRIM('R.M Billets Reports'!F660),IF(ISNUMBER(SEARCH("Party Name-",'R.M Billets Reports'!D660)),TRIM(MID('R.M Billets Reports'!D660,SEARCH("-",'R.M Billets Reports'!D660)+1,200)),"")))="SHREE RADHE SHAKTI SPONGE AND POWER PVT. LTD.","SHREE RADHE",IF(IF(ISNUMBER(SEARCH("Party Name:-",'R.M Billets Reports'!D659)),TRIM('R.M Billets Reports'!F659),IF(ISNUMBER(SEARCH("Party Name-",'R.M Billets Reports'!D659)),TRIM(MID('R.M Billets Reports'!D659,SEARCH("-",'R.M Billets Reports'!D659)+1,200)),""))&lt;&gt;"",IF(ISNUMBER(SEARCH("Party Name:-",'R.M Billets Reports'!D659)),TRIM('R.M Billets Reports'!F659),IF(ISNUMBER(SEARCH("Party Name-",'R.M Billets Reports'!D659)),TRIM(MID('R.M Billets Reports'!D659,SEARCH("-",'R.M Billets Reports'!D659)+1,200)),"")),IF(ISNUMBER(SEARCH("Party Name:-",'R.M Billets Reports'!D660)),TRIM('R.M Billets Reports'!F660),IF(ISNUMBER(SEARCH("Party Name-",'R.M Billets Reports'!D660)),TRIM(MID('R.M Billets Reports'!D660,SEARCH("-",'R.M Billets Reports'!D660)+1,200)),"")))))),IF(ROW()=2,"",A659))</f>
      </c>
      <c r="B660">
        <f>IF(OR('R.M Billets Reports'!A659="Date-",'R.M Billets Reports'!A659="Date:-"),'R.M Billets Reports'!B659,IF(ROW()=2,"",B659))</f>
      </c>
      <c r="C660">
        <f>IF('R.M Billets Reports'!A659="V.No.",'R.M Billets Reports'!B659,IF(ROW()=2,"",C659))</f>
      </c>
      <c r="D660">
        <f>IF('R.M Billets Reports'!A659&lt;&gt;"",'R.M Billets Reports'!A659,IF(ROW()=2,"",D659))</f>
      </c>
      <c r="E660">
        <f>IF('R.M Billets Reports'!B659="","",TRIM('R.M Billets Reports'!B659))</f>
      </c>
      <c r="F660">
        <f>'R.M Billets Reports'!C659</f>
      </c>
      <c r="G660">
        <f>'R.M Billets Reports'!D659</f>
      </c>
      <c r="H660">
        <f>'R.M Billets Reports'!E659</f>
      </c>
      <c r="I660">
        <f>'R.M Billets Reports'!F659</f>
      </c>
      <c r="J660">
        <f>'R.M Billets Reports'!G659</f>
      </c>
      <c r="K660">
        <f>'R.M Billets Reports'!H659</f>
      </c>
      <c r="L660">
        <f>IF('R.M Billets Reports'!I659="","",'R.M Billets Reports'!I659)</f>
      </c>
      <c r="M660">
        <f t="shared" si="20"/>
      </c>
      <c r="N660">
        <f>IF('R.M Billets Reports'!J659="","",'R.M Billets Reports'!J659)</f>
      </c>
      <c r="O660">
        <f t="shared" si="21"/>
      </c>
      <c r="P660">
        <f>IF('R.M Billets Reports'!A659="SIZE",'R.M Billets Reports'!B659,P659)</f>
      </c>
    </row>
    <row r="661" spans="1:16" x14ac:dyDescent="0.25">
      <c r="A661">
        <f>IF(OR('R.M Billets Reports'!A660="Date-",'R.M Billets Reports'!A660="Date:-"),IF(IF(IF(ISNUMBER(SEARCH("Party Name:-",'R.M Billets Reports'!D660)),TRIM('R.M Billets Reports'!F660),IF(ISNUMBER(SEARCH("Party Name-",'R.M Billets Reports'!D660)),TRIM(MID('R.M Billets Reports'!D660,SEARCH("-",'R.M Billets Reports'!D660)+1,200)),""))&lt;&gt;"",IF(ISNUMBER(SEARCH("Party Name:-",'R.M Billets Reports'!D660)),TRIM('R.M Billets Reports'!F660),IF(ISNUMBER(SEARCH("Party Name-",'R.M Billets Reports'!D660)),TRIM(MID('R.M Billets Reports'!D660,SEARCH("-",'R.M Billets Reports'!D660)+1,200)),"")),IF(ISNUMBER(SEARCH("Party Name:-",'R.M Billets Reports'!D661)),TRIM('R.M Billets Reports'!F661),IF(ISNUMBER(SEARCH("Party Name-",'R.M Billets Reports'!D661)),TRIM(MID('R.M Billets Reports'!D661,SEARCH("-",'R.M Billets Reports'!D661)+1,200)),"")))="VRKP ISPAT PVT LTD","VRKP",IF(IF(IF(ISNUMBER(SEARCH("Party Name:-",'R.M Billets Reports'!D660)),TRIM('R.M Billets Reports'!F660),IF(ISNUMBER(SEARCH("Party Name-",'R.M Billets Reports'!D660)),TRIM(MID('R.M Billets Reports'!D660,SEARCH("-",'R.M Billets Reports'!D660)+1,200)),""))&lt;&gt;"",IF(ISNUMBER(SEARCH("Party Name:-",'R.M Billets Reports'!D660)),TRIM('R.M Billets Reports'!F660),IF(ISNUMBER(SEARCH("Party Name-",'R.M Billets Reports'!D660)),TRIM(MID('R.M Billets Reports'!D660,SEARCH("-",'R.M Billets Reports'!D660)+1,200)),"")),IF(ISNUMBER(SEARCH("Party Name:-",'R.M Billets Reports'!D661)),TRIM('R.M Billets Reports'!F661),IF(ISNUMBER(SEARCH("Party Name-",'R.M Billets Reports'!D661)),TRIM(MID('R.M Billets Reports'!D661,SEARCH("-",'R.M Billets Reports'!D661)+1,200)),"")))="SHRI RADHE","SHREE RADHE",IF(IF(IF(ISNUMBER(SEARCH("Party Name:-",'R.M Billets Reports'!D660)),TRIM('R.M Billets Reports'!F660),IF(ISNUMBER(SEARCH("Party Name-",'R.M Billets Reports'!D660)),TRIM(MID('R.M Billets Reports'!D660,SEARCH("-",'R.M Billets Reports'!D660)+1,200)),""))&lt;&gt;"",IF(ISNUMBER(SEARCH("Party Name:-",'R.M Billets Reports'!D660)),TRIM('R.M Billets Reports'!F660),IF(ISNUMBER(SEARCH("Party Name-",'R.M Billets Reports'!D660)),TRIM(MID('R.M Billets Reports'!D660,SEARCH("-",'R.M Billets Reports'!D660)+1,200)),"")),IF(ISNUMBER(SEARCH("Party Name:-",'R.M Billets Reports'!D661)),TRIM('R.M Billets Reports'!F661),IF(ISNUMBER(SEARCH("Party Name-",'R.M Billets Reports'!D661)),TRIM(MID('R.M Billets Reports'!D661,SEARCH("-",'R.M Billets Reports'!D661)+1,200)),"")))="SHREE RADHE SHAKTI SPONGE AND POWER PVT. LTD.","SHREE RADHE",IF(IF(ISNUMBER(SEARCH("Party Name:-",'R.M Billets Reports'!D660)),TRIM('R.M Billets Reports'!F660),IF(ISNUMBER(SEARCH("Party Name-",'R.M Billets Reports'!D660)),TRIM(MID('R.M Billets Reports'!D660,SEARCH("-",'R.M Billets Reports'!D660)+1,200)),""))&lt;&gt;"",IF(ISNUMBER(SEARCH("Party Name:-",'R.M Billets Reports'!D660)),TRIM('R.M Billets Reports'!F660),IF(ISNUMBER(SEARCH("Party Name-",'R.M Billets Reports'!D660)),TRIM(MID('R.M Billets Reports'!D660,SEARCH("-",'R.M Billets Reports'!D660)+1,200)),"")),IF(ISNUMBER(SEARCH("Party Name:-",'R.M Billets Reports'!D661)),TRIM('R.M Billets Reports'!F661),IF(ISNUMBER(SEARCH("Party Name-",'R.M Billets Reports'!D661)),TRIM(MID('R.M Billets Reports'!D661,SEARCH("-",'R.M Billets Reports'!D661)+1,200)),"")))))),IF(ROW()=2,"",A660))</f>
      </c>
      <c r="B661">
        <f>IF(OR('R.M Billets Reports'!A660="Date-",'R.M Billets Reports'!A660="Date:-"),'R.M Billets Reports'!B660,IF(ROW()=2,"",B660))</f>
      </c>
      <c r="C661">
        <f>IF('R.M Billets Reports'!A660="V.No.",'R.M Billets Reports'!B660,IF(ROW()=2,"",C660))</f>
      </c>
      <c r="D661">
        <f>IF('R.M Billets Reports'!A660&lt;&gt;"",'R.M Billets Reports'!A660,IF(ROW()=2,"",D660))</f>
      </c>
      <c r="E661">
        <f>IF('R.M Billets Reports'!B660="","",TRIM('R.M Billets Reports'!B660))</f>
      </c>
      <c r="F661">
        <f>'R.M Billets Reports'!C660</f>
      </c>
      <c r="G661">
        <f>'R.M Billets Reports'!D660</f>
      </c>
      <c r="H661">
        <f>'R.M Billets Reports'!E660</f>
      </c>
      <c r="I661">
        <f>'R.M Billets Reports'!F660</f>
      </c>
      <c r="J661">
        <f>'R.M Billets Reports'!G660</f>
      </c>
      <c r="K661">
        <f>'R.M Billets Reports'!H660</f>
      </c>
      <c r="L661">
        <f>IF('R.M Billets Reports'!I660="","",'R.M Billets Reports'!I660)</f>
      </c>
      <c r="M661">
        <f t="shared" si="20"/>
      </c>
      <c r="N661">
        <f>IF('R.M Billets Reports'!J660="","",'R.M Billets Reports'!J660)</f>
      </c>
      <c r="O661">
        <f t="shared" si="21"/>
      </c>
      <c r="P661">
        <f>IF('R.M Billets Reports'!A660="SIZE",'R.M Billets Reports'!B660,P660)</f>
      </c>
    </row>
    <row r="662" spans="1:16" x14ac:dyDescent="0.25">
      <c r="A662">
        <f>IF(OR('R.M Billets Reports'!A661="Date-",'R.M Billets Reports'!A661="Date:-"),IF(IF(IF(ISNUMBER(SEARCH("Party Name:-",'R.M Billets Reports'!D661)),TRIM('R.M Billets Reports'!F661),IF(ISNUMBER(SEARCH("Party Name-",'R.M Billets Reports'!D661)),TRIM(MID('R.M Billets Reports'!D661,SEARCH("-",'R.M Billets Reports'!D661)+1,200)),""))&lt;&gt;"",IF(ISNUMBER(SEARCH("Party Name:-",'R.M Billets Reports'!D661)),TRIM('R.M Billets Reports'!F661),IF(ISNUMBER(SEARCH("Party Name-",'R.M Billets Reports'!D661)),TRIM(MID('R.M Billets Reports'!D661,SEARCH("-",'R.M Billets Reports'!D661)+1,200)),"")),IF(ISNUMBER(SEARCH("Party Name:-",'R.M Billets Reports'!D662)),TRIM('R.M Billets Reports'!F662),IF(ISNUMBER(SEARCH("Party Name-",'R.M Billets Reports'!D662)),TRIM(MID('R.M Billets Reports'!D662,SEARCH("-",'R.M Billets Reports'!D662)+1,200)),"")))="VRKP ISPAT PVT LTD","VRKP",IF(IF(IF(ISNUMBER(SEARCH("Party Name:-",'R.M Billets Reports'!D661)),TRIM('R.M Billets Reports'!F661),IF(ISNUMBER(SEARCH("Party Name-",'R.M Billets Reports'!D661)),TRIM(MID('R.M Billets Reports'!D661,SEARCH("-",'R.M Billets Reports'!D661)+1,200)),""))&lt;&gt;"",IF(ISNUMBER(SEARCH("Party Name:-",'R.M Billets Reports'!D661)),TRIM('R.M Billets Reports'!F661),IF(ISNUMBER(SEARCH("Party Name-",'R.M Billets Reports'!D661)),TRIM(MID('R.M Billets Reports'!D661,SEARCH("-",'R.M Billets Reports'!D661)+1,200)),"")),IF(ISNUMBER(SEARCH("Party Name:-",'R.M Billets Reports'!D662)),TRIM('R.M Billets Reports'!F662),IF(ISNUMBER(SEARCH("Party Name-",'R.M Billets Reports'!D662)),TRIM(MID('R.M Billets Reports'!D662,SEARCH("-",'R.M Billets Reports'!D662)+1,200)),"")))="SHRI RADHE","SHREE RADHE",IF(IF(IF(ISNUMBER(SEARCH("Party Name:-",'R.M Billets Reports'!D661)),TRIM('R.M Billets Reports'!F661),IF(ISNUMBER(SEARCH("Party Name-",'R.M Billets Reports'!D661)),TRIM(MID('R.M Billets Reports'!D661,SEARCH("-",'R.M Billets Reports'!D661)+1,200)),""))&lt;&gt;"",IF(ISNUMBER(SEARCH("Party Name:-",'R.M Billets Reports'!D661)),TRIM('R.M Billets Reports'!F661),IF(ISNUMBER(SEARCH("Party Name-",'R.M Billets Reports'!D661)),TRIM(MID('R.M Billets Reports'!D661,SEARCH("-",'R.M Billets Reports'!D661)+1,200)),"")),IF(ISNUMBER(SEARCH("Party Name:-",'R.M Billets Reports'!D662)),TRIM('R.M Billets Reports'!F662),IF(ISNUMBER(SEARCH("Party Name-",'R.M Billets Reports'!D662)),TRIM(MID('R.M Billets Reports'!D662,SEARCH("-",'R.M Billets Reports'!D662)+1,200)),"")))="SHREE RADHE SHAKTI SPONGE AND POWER PVT. LTD.","SHREE RADHE",IF(IF(ISNUMBER(SEARCH("Party Name:-",'R.M Billets Reports'!D661)),TRIM('R.M Billets Reports'!F661),IF(ISNUMBER(SEARCH("Party Name-",'R.M Billets Reports'!D661)),TRIM(MID('R.M Billets Reports'!D661,SEARCH("-",'R.M Billets Reports'!D661)+1,200)),""))&lt;&gt;"",IF(ISNUMBER(SEARCH("Party Name:-",'R.M Billets Reports'!D661)),TRIM('R.M Billets Reports'!F661),IF(ISNUMBER(SEARCH("Party Name-",'R.M Billets Reports'!D661)),TRIM(MID('R.M Billets Reports'!D661,SEARCH("-",'R.M Billets Reports'!D661)+1,200)),"")),IF(ISNUMBER(SEARCH("Party Name:-",'R.M Billets Reports'!D662)),TRIM('R.M Billets Reports'!F662),IF(ISNUMBER(SEARCH("Party Name-",'R.M Billets Reports'!D662)),TRIM(MID('R.M Billets Reports'!D662,SEARCH("-",'R.M Billets Reports'!D662)+1,200)),"")))))),IF(ROW()=2,"",A661))</f>
      </c>
      <c r="B662">
        <f>IF(OR('R.M Billets Reports'!A661="Date-",'R.M Billets Reports'!A661="Date:-"),'R.M Billets Reports'!B661,IF(ROW()=2,"",B661))</f>
      </c>
      <c r="C662">
        <f>IF('R.M Billets Reports'!A661="V.No.",'R.M Billets Reports'!B661,IF(ROW()=2,"",C661))</f>
      </c>
      <c r="D662">
        <f>IF('R.M Billets Reports'!A661&lt;&gt;"",'R.M Billets Reports'!A661,IF(ROW()=2,"",D661))</f>
      </c>
      <c r="E662">
        <f>IF('R.M Billets Reports'!B661="","",TRIM('R.M Billets Reports'!B661))</f>
      </c>
      <c r="F662">
        <f>'R.M Billets Reports'!C661</f>
      </c>
      <c r="G662">
        <f>'R.M Billets Reports'!D661</f>
      </c>
      <c r="H662">
        <f>'R.M Billets Reports'!E661</f>
      </c>
      <c r="I662">
        <f>'R.M Billets Reports'!F661</f>
      </c>
      <c r="J662">
        <f>'R.M Billets Reports'!G661</f>
      </c>
      <c r="K662">
        <f>'R.M Billets Reports'!H661</f>
      </c>
      <c r="L662">
        <f>IF('R.M Billets Reports'!I661="","",'R.M Billets Reports'!I661)</f>
      </c>
      <c r="M662">
        <f t="shared" si="20"/>
      </c>
      <c r="N662">
        <f>IF('R.M Billets Reports'!J661="","",'R.M Billets Reports'!J661)</f>
      </c>
      <c r="O662">
        <f t="shared" si="21"/>
      </c>
      <c r="P662">
        <f>IF('R.M Billets Reports'!A661="SIZE",'R.M Billets Reports'!B661,P661)</f>
      </c>
    </row>
    <row r="663" spans="1:16" x14ac:dyDescent="0.25">
      <c r="A663">
        <f>IF(OR('R.M Billets Reports'!A662="Date-",'R.M Billets Reports'!A662="Date:-"),IF(IF(IF(ISNUMBER(SEARCH("Party Name:-",'R.M Billets Reports'!D662)),TRIM('R.M Billets Reports'!F662),IF(ISNUMBER(SEARCH("Party Name-",'R.M Billets Reports'!D662)),TRIM(MID('R.M Billets Reports'!D662,SEARCH("-",'R.M Billets Reports'!D662)+1,200)),""))&lt;&gt;"",IF(ISNUMBER(SEARCH("Party Name:-",'R.M Billets Reports'!D662)),TRIM('R.M Billets Reports'!F662),IF(ISNUMBER(SEARCH("Party Name-",'R.M Billets Reports'!D662)),TRIM(MID('R.M Billets Reports'!D662,SEARCH("-",'R.M Billets Reports'!D662)+1,200)),"")),IF(ISNUMBER(SEARCH("Party Name:-",'R.M Billets Reports'!D663)),TRIM('R.M Billets Reports'!F663),IF(ISNUMBER(SEARCH("Party Name-",'R.M Billets Reports'!D663)),TRIM(MID('R.M Billets Reports'!D663,SEARCH("-",'R.M Billets Reports'!D663)+1,200)),"")))="VRKP ISPAT PVT LTD","VRKP",IF(IF(IF(ISNUMBER(SEARCH("Party Name:-",'R.M Billets Reports'!D662)),TRIM('R.M Billets Reports'!F662),IF(ISNUMBER(SEARCH("Party Name-",'R.M Billets Reports'!D662)),TRIM(MID('R.M Billets Reports'!D662,SEARCH("-",'R.M Billets Reports'!D662)+1,200)),""))&lt;&gt;"",IF(ISNUMBER(SEARCH("Party Name:-",'R.M Billets Reports'!D662)),TRIM('R.M Billets Reports'!F662),IF(ISNUMBER(SEARCH("Party Name-",'R.M Billets Reports'!D662)),TRIM(MID('R.M Billets Reports'!D662,SEARCH("-",'R.M Billets Reports'!D662)+1,200)),"")),IF(ISNUMBER(SEARCH("Party Name:-",'R.M Billets Reports'!D663)),TRIM('R.M Billets Reports'!F663),IF(ISNUMBER(SEARCH("Party Name-",'R.M Billets Reports'!D663)),TRIM(MID('R.M Billets Reports'!D663,SEARCH("-",'R.M Billets Reports'!D663)+1,200)),"")))="SHRI RADHE","SHREE RADHE",IF(IF(IF(ISNUMBER(SEARCH("Party Name:-",'R.M Billets Reports'!D662)),TRIM('R.M Billets Reports'!F662),IF(ISNUMBER(SEARCH("Party Name-",'R.M Billets Reports'!D662)),TRIM(MID('R.M Billets Reports'!D662,SEARCH("-",'R.M Billets Reports'!D662)+1,200)),""))&lt;&gt;"",IF(ISNUMBER(SEARCH("Party Name:-",'R.M Billets Reports'!D662)),TRIM('R.M Billets Reports'!F662),IF(ISNUMBER(SEARCH("Party Name-",'R.M Billets Reports'!D662)),TRIM(MID('R.M Billets Reports'!D662,SEARCH("-",'R.M Billets Reports'!D662)+1,200)),"")),IF(ISNUMBER(SEARCH("Party Name:-",'R.M Billets Reports'!D663)),TRIM('R.M Billets Reports'!F663),IF(ISNUMBER(SEARCH("Party Name-",'R.M Billets Reports'!D663)),TRIM(MID('R.M Billets Reports'!D663,SEARCH("-",'R.M Billets Reports'!D663)+1,200)),"")))="SHREE RADHE SHAKTI SPONGE AND POWER PVT. LTD.","SHREE RADHE",IF(IF(ISNUMBER(SEARCH("Party Name:-",'R.M Billets Reports'!D662)),TRIM('R.M Billets Reports'!F662),IF(ISNUMBER(SEARCH("Party Name-",'R.M Billets Reports'!D662)),TRIM(MID('R.M Billets Reports'!D662,SEARCH("-",'R.M Billets Reports'!D662)+1,200)),""))&lt;&gt;"",IF(ISNUMBER(SEARCH("Party Name:-",'R.M Billets Reports'!D662)),TRIM('R.M Billets Reports'!F662),IF(ISNUMBER(SEARCH("Party Name-",'R.M Billets Reports'!D662)),TRIM(MID('R.M Billets Reports'!D662,SEARCH("-",'R.M Billets Reports'!D662)+1,200)),"")),IF(ISNUMBER(SEARCH("Party Name:-",'R.M Billets Reports'!D663)),TRIM('R.M Billets Reports'!F663),IF(ISNUMBER(SEARCH("Party Name-",'R.M Billets Reports'!D663)),TRIM(MID('R.M Billets Reports'!D663,SEARCH("-",'R.M Billets Reports'!D663)+1,200)),"")))))),IF(ROW()=2,"",A662))</f>
      </c>
      <c r="B663">
        <f>IF(OR('R.M Billets Reports'!A662="Date-",'R.M Billets Reports'!A662="Date:-"),'R.M Billets Reports'!B662,IF(ROW()=2,"",B662))</f>
      </c>
      <c r="C663">
        <f>IF('R.M Billets Reports'!A662="V.No.",'R.M Billets Reports'!B662,IF(ROW()=2,"",C662))</f>
      </c>
      <c r="D663">
        <f>IF('R.M Billets Reports'!A662&lt;&gt;"",'R.M Billets Reports'!A662,IF(ROW()=2,"",D662))</f>
      </c>
      <c r="E663">
        <f>IF('R.M Billets Reports'!B662="","",TRIM('R.M Billets Reports'!B662))</f>
      </c>
      <c r="F663">
        <f>'R.M Billets Reports'!C662</f>
      </c>
      <c r="G663">
        <f>'R.M Billets Reports'!D662</f>
      </c>
      <c r="H663">
        <f>'R.M Billets Reports'!E662</f>
      </c>
      <c r="I663">
        <f>'R.M Billets Reports'!F662</f>
      </c>
      <c r="J663">
        <f>'R.M Billets Reports'!G662</f>
      </c>
      <c r="K663">
        <f>'R.M Billets Reports'!H662</f>
      </c>
      <c r="L663">
        <f>IF('R.M Billets Reports'!I662="","",'R.M Billets Reports'!I662)</f>
      </c>
      <c r="M663">
        <f t="shared" si="20"/>
      </c>
      <c r="N663">
        <f>IF('R.M Billets Reports'!J662="","",'R.M Billets Reports'!J662)</f>
      </c>
      <c r="O663">
        <f t="shared" si="21"/>
      </c>
      <c r="P663">
        <f>IF('R.M Billets Reports'!A662="SIZE",'R.M Billets Reports'!B662,P662)</f>
      </c>
    </row>
    <row r="664" spans="1:16" x14ac:dyDescent="0.25">
      <c r="A664">
        <f>IF(OR('R.M Billets Reports'!A663="Date-",'R.M Billets Reports'!A663="Date:-"),IF(IF(IF(ISNUMBER(SEARCH("Party Name:-",'R.M Billets Reports'!D663)),TRIM('R.M Billets Reports'!F663),IF(ISNUMBER(SEARCH("Party Name-",'R.M Billets Reports'!D663)),TRIM(MID('R.M Billets Reports'!D663,SEARCH("-",'R.M Billets Reports'!D663)+1,200)),""))&lt;&gt;"",IF(ISNUMBER(SEARCH("Party Name:-",'R.M Billets Reports'!D663)),TRIM('R.M Billets Reports'!F663),IF(ISNUMBER(SEARCH("Party Name-",'R.M Billets Reports'!D663)),TRIM(MID('R.M Billets Reports'!D663,SEARCH("-",'R.M Billets Reports'!D663)+1,200)),"")),IF(ISNUMBER(SEARCH("Party Name:-",'R.M Billets Reports'!D664)),TRIM('R.M Billets Reports'!F664),IF(ISNUMBER(SEARCH("Party Name-",'R.M Billets Reports'!D664)),TRIM(MID('R.M Billets Reports'!D664,SEARCH("-",'R.M Billets Reports'!D664)+1,200)),"")))="VRKP ISPAT PVT LTD","VRKP",IF(IF(IF(ISNUMBER(SEARCH("Party Name:-",'R.M Billets Reports'!D663)),TRIM('R.M Billets Reports'!F663),IF(ISNUMBER(SEARCH("Party Name-",'R.M Billets Reports'!D663)),TRIM(MID('R.M Billets Reports'!D663,SEARCH("-",'R.M Billets Reports'!D663)+1,200)),""))&lt;&gt;"",IF(ISNUMBER(SEARCH("Party Name:-",'R.M Billets Reports'!D663)),TRIM('R.M Billets Reports'!F663),IF(ISNUMBER(SEARCH("Party Name-",'R.M Billets Reports'!D663)),TRIM(MID('R.M Billets Reports'!D663,SEARCH("-",'R.M Billets Reports'!D663)+1,200)),"")),IF(ISNUMBER(SEARCH("Party Name:-",'R.M Billets Reports'!D664)),TRIM('R.M Billets Reports'!F664),IF(ISNUMBER(SEARCH("Party Name-",'R.M Billets Reports'!D664)),TRIM(MID('R.M Billets Reports'!D664,SEARCH("-",'R.M Billets Reports'!D664)+1,200)),"")))="SHRI RADHE","SHREE RADHE",IF(IF(IF(ISNUMBER(SEARCH("Party Name:-",'R.M Billets Reports'!D663)),TRIM('R.M Billets Reports'!F663),IF(ISNUMBER(SEARCH("Party Name-",'R.M Billets Reports'!D663)),TRIM(MID('R.M Billets Reports'!D663,SEARCH("-",'R.M Billets Reports'!D663)+1,200)),""))&lt;&gt;"",IF(ISNUMBER(SEARCH("Party Name:-",'R.M Billets Reports'!D663)),TRIM('R.M Billets Reports'!F663),IF(ISNUMBER(SEARCH("Party Name-",'R.M Billets Reports'!D663)),TRIM(MID('R.M Billets Reports'!D663,SEARCH("-",'R.M Billets Reports'!D663)+1,200)),"")),IF(ISNUMBER(SEARCH("Party Name:-",'R.M Billets Reports'!D664)),TRIM('R.M Billets Reports'!F664),IF(ISNUMBER(SEARCH("Party Name-",'R.M Billets Reports'!D664)),TRIM(MID('R.M Billets Reports'!D664,SEARCH("-",'R.M Billets Reports'!D664)+1,200)),"")))="SHREE RADHE SHAKTI SPONGE AND POWER PVT. LTD.","SHREE RADHE",IF(IF(ISNUMBER(SEARCH("Party Name:-",'R.M Billets Reports'!D663)),TRIM('R.M Billets Reports'!F663),IF(ISNUMBER(SEARCH("Party Name-",'R.M Billets Reports'!D663)),TRIM(MID('R.M Billets Reports'!D663,SEARCH("-",'R.M Billets Reports'!D663)+1,200)),""))&lt;&gt;"",IF(ISNUMBER(SEARCH("Party Name:-",'R.M Billets Reports'!D663)),TRIM('R.M Billets Reports'!F663),IF(ISNUMBER(SEARCH("Party Name-",'R.M Billets Reports'!D663)),TRIM(MID('R.M Billets Reports'!D663,SEARCH("-",'R.M Billets Reports'!D663)+1,200)),"")),IF(ISNUMBER(SEARCH("Party Name:-",'R.M Billets Reports'!D664)),TRIM('R.M Billets Reports'!F664),IF(ISNUMBER(SEARCH("Party Name-",'R.M Billets Reports'!D664)),TRIM(MID('R.M Billets Reports'!D664,SEARCH("-",'R.M Billets Reports'!D664)+1,200)),"")))))),IF(ROW()=2,"",A663))</f>
      </c>
      <c r="B664">
        <f>IF(OR('R.M Billets Reports'!A663="Date-",'R.M Billets Reports'!A663="Date:-"),'R.M Billets Reports'!B663,IF(ROW()=2,"",B663))</f>
      </c>
      <c r="C664">
        <f>IF('R.M Billets Reports'!A663="V.No.",'R.M Billets Reports'!B663,IF(ROW()=2,"",C663))</f>
      </c>
      <c r="D664">
        <f>IF('R.M Billets Reports'!A663&lt;&gt;"",'R.M Billets Reports'!A663,IF(ROW()=2,"",D663))</f>
      </c>
      <c r="E664">
        <f>IF('R.M Billets Reports'!B663="","",TRIM('R.M Billets Reports'!B663))</f>
      </c>
      <c r="F664">
        <f>'R.M Billets Reports'!C663</f>
      </c>
      <c r="G664">
        <f>'R.M Billets Reports'!D663</f>
      </c>
      <c r="H664">
        <f>'R.M Billets Reports'!E663</f>
      </c>
      <c r="I664">
        <f>'R.M Billets Reports'!F663</f>
      </c>
      <c r="J664">
        <f>'R.M Billets Reports'!G663</f>
      </c>
      <c r="K664">
        <f>'R.M Billets Reports'!H663</f>
      </c>
      <c r="L664">
        <f>IF('R.M Billets Reports'!I663="","",'R.M Billets Reports'!I663)</f>
      </c>
      <c r="M664">
        <f t="shared" si="20"/>
      </c>
      <c r="N664">
        <f>IF('R.M Billets Reports'!J663="","",'R.M Billets Reports'!J663)</f>
      </c>
      <c r="O664">
        <f t="shared" si="21"/>
      </c>
      <c r="P664">
        <f>IF('R.M Billets Reports'!A663="SIZE",'R.M Billets Reports'!B663,P663)</f>
      </c>
    </row>
    <row r="665" spans="1:16" x14ac:dyDescent="0.25">
      <c r="A665">
        <f>IF(OR('R.M Billets Reports'!A664="Date-",'R.M Billets Reports'!A664="Date:-"),IF(IF(IF(ISNUMBER(SEARCH("Party Name:-",'R.M Billets Reports'!D664)),TRIM('R.M Billets Reports'!F664),IF(ISNUMBER(SEARCH("Party Name-",'R.M Billets Reports'!D664)),TRIM(MID('R.M Billets Reports'!D664,SEARCH("-",'R.M Billets Reports'!D664)+1,200)),""))&lt;&gt;"",IF(ISNUMBER(SEARCH("Party Name:-",'R.M Billets Reports'!D664)),TRIM('R.M Billets Reports'!F664),IF(ISNUMBER(SEARCH("Party Name-",'R.M Billets Reports'!D664)),TRIM(MID('R.M Billets Reports'!D664,SEARCH("-",'R.M Billets Reports'!D664)+1,200)),"")),IF(ISNUMBER(SEARCH("Party Name:-",'R.M Billets Reports'!D665)),TRIM('R.M Billets Reports'!F665),IF(ISNUMBER(SEARCH("Party Name-",'R.M Billets Reports'!D665)),TRIM(MID('R.M Billets Reports'!D665,SEARCH("-",'R.M Billets Reports'!D665)+1,200)),"")))="VRKP ISPAT PVT LTD","VRKP",IF(IF(IF(ISNUMBER(SEARCH("Party Name:-",'R.M Billets Reports'!D664)),TRIM('R.M Billets Reports'!F664),IF(ISNUMBER(SEARCH("Party Name-",'R.M Billets Reports'!D664)),TRIM(MID('R.M Billets Reports'!D664,SEARCH("-",'R.M Billets Reports'!D664)+1,200)),""))&lt;&gt;"",IF(ISNUMBER(SEARCH("Party Name:-",'R.M Billets Reports'!D664)),TRIM('R.M Billets Reports'!F664),IF(ISNUMBER(SEARCH("Party Name-",'R.M Billets Reports'!D664)),TRIM(MID('R.M Billets Reports'!D664,SEARCH("-",'R.M Billets Reports'!D664)+1,200)),"")),IF(ISNUMBER(SEARCH("Party Name:-",'R.M Billets Reports'!D665)),TRIM('R.M Billets Reports'!F665),IF(ISNUMBER(SEARCH("Party Name-",'R.M Billets Reports'!D665)),TRIM(MID('R.M Billets Reports'!D665,SEARCH("-",'R.M Billets Reports'!D665)+1,200)),"")))="SHRI RADHE","SHREE RADHE",IF(IF(IF(ISNUMBER(SEARCH("Party Name:-",'R.M Billets Reports'!D664)),TRIM('R.M Billets Reports'!F664),IF(ISNUMBER(SEARCH("Party Name-",'R.M Billets Reports'!D664)),TRIM(MID('R.M Billets Reports'!D664,SEARCH("-",'R.M Billets Reports'!D664)+1,200)),""))&lt;&gt;"",IF(ISNUMBER(SEARCH("Party Name:-",'R.M Billets Reports'!D664)),TRIM('R.M Billets Reports'!F664),IF(ISNUMBER(SEARCH("Party Name-",'R.M Billets Reports'!D664)),TRIM(MID('R.M Billets Reports'!D664,SEARCH("-",'R.M Billets Reports'!D664)+1,200)),"")),IF(ISNUMBER(SEARCH("Party Name:-",'R.M Billets Reports'!D665)),TRIM('R.M Billets Reports'!F665),IF(ISNUMBER(SEARCH("Party Name-",'R.M Billets Reports'!D665)),TRIM(MID('R.M Billets Reports'!D665,SEARCH("-",'R.M Billets Reports'!D665)+1,200)),"")))="SHREE RADHE SHAKTI SPONGE AND POWER PVT. LTD.","SHREE RADHE",IF(IF(ISNUMBER(SEARCH("Party Name:-",'R.M Billets Reports'!D664)),TRIM('R.M Billets Reports'!F664),IF(ISNUMBER(SEARCH("Party Name-",'R.M Billets Reports'!D664)),TRIM(MID('R.M Billets Reports'!D664,SEARCH("-",'R.M Billets Reports'!D664)+1,200)),""))&lt;&gt;"",IF(ISNUMBER(SEARCH("Party Name:-",'R.M Billets Reports'!D664)),TRIM('R.M Billets Reports'!F664),IF(ISNUMBER(SEARCH("Party Name-",'R.M Billets Reports'!D664)),TRIM(MID('R.M Billets Reports'!D664,SEARCH("-",'R.M Billets Reports'!D664)+1,200)),"")),IF(ISNUMBER(SEARCH("Party Name:-",'R.M Billets Reports'!D665)),TRIM('R.M Billets Reports'!F665),IF(ISNUMBER(SEARCH("Party Name-",'R.M Billets Reports'!D665)),TRIM(MID('R.M Billets Reports'!D665,SEARCH("-",'R.M Billets Reports'!D665)+1,200)),"")))))),IF(ROW()=2,"",A664))</f>
      </c>
      <c r="B665">
        <f>IF(OR('R.M Billets Reports'!A664="Date-",'R.M Billets Reports'!A664="Date:-"),'R.M Billets Reports'!B664,IF(ROW()=2,"",B664))</f>
      </c>
      <c r="C665">
        <f>IF('R.M Billets Reports'!A664="V.No.",'R.M Billets Reports'!B664,IF(ROW()=2,"",C664))</f>
      </c>
      <c r="D665">
        <f>IF('R.M Billets Reports'!A664&lt;&gt;"",'R.M Billets Reports'!A664,IF(ROW()=2,"",D664))</f>
      </c>
      <c r="E665">
        <f>IF('R.M Billets Reports'!B664="","",TRIM('R.M Billets Reports'!B664))</f>
      </c>
      <c r="F665">
        <f>'R.M Billets Reports'!C664</f>
      </c>
      <c r="G665">
        <f>'R.M Billets Reports'!D664</f>
      </c>
      <c r="H665">
        <f>'R.M Billets Reports'!E664</f>
      </c>
      <c r="I665">
        <f>'R.M Billets Reports'!F664</f>
      </c>
      <c r="J665">
        <f>'R.M Billets Reports'!G664</f>
      </c>
      <c r="K665">
        <f>'R.M Billets Reports'!H664</f>
      </c>
      <c r="L665">
        <f>IF('R.M Billets Reports'!I664="","",'R.M Billets Reports'!I664)</f>
      </c>
      <c r="M665">
        <f t="shared" si="20"/>
      </c>
      <c r="N665">
        <f>IF('R.M Billets Reports'!J664="","",'R.M Billets Reports'!J664)</f>
      </c>
      <c r="O665">
        <f t="shared" si="21"/>
      </c>
      <c r="P665">
        <f>IF('R.M Billets Reports'!A664="SIZE",'R.M Billets Reports'!B664,P664)</f>
      </c>
    </row>
    <row r="666" spans="1:16" x14ac:dyDescent="0.25">
      <c r="A666">
        <f>IF(OR('R.M Billets Reports'!A665="Date-",'R.M Billets Reports'!A665="Date:-"),IF(IF(IF(ISNUMBER(SEARCH("Party Name:-",'R.M Billets Reports'!D665)),TRIM('R.M Billets Reports'!F665),IF(ISNUMBER(SEARCH("Party Name-",'R.M Billets Reports'!D665)),TRIM(MID('R.M Billets Reports'!D665,SEARCH("-",'R.M Billets Reports'!D665)+1,200)),""))&lt;&gt;"",IF(ISNUMBER(SEARCH("Party Name:-",'R.M Billets Reports'!D665)),TRIM('R.M Billets Reports'!F665),IF(ISNUMBER(SEARCH("Party Name-",'R.M Billets Reports'!D665)),TRIM(MID('R.M Billets Reports'!D665,SEARCH("-",'R.M Billets Reports'!D665)+1,200)),"")),IF(ISNUMBER(SEARCH("Party Name:-",'R.M Billets Reports'!D666)),TRIM('R.M Billets Reports'!F666),IF(ISNUMBER(SEARCH("Party Name-",'R.M Billets Reports'!D666)),TRIM(MID('R.M Billets Reports'!D666,SEARCH("-",'R.M Billets Reports'!D666)+1,200)),"")))="VRKP ISPAT PVT LTD","VRKP",IF(IF(IF(ISNUMBER(SEARCH("Party Name:-",'R.M Billets Reports'!D665)),TRIM('R.M Billets Reports'!F665),IF(ISNUMBER(SEARCH("Party Name-",'R.M Billets Reports'!D665)),TRIM(MID('R.M Billets Reports'!D665,SEARCH("-",'R.M Billets Reports'!D665)+1,200)),""))&lt;&gt;"",IF(ISNUMBER(SEARCH("Party Name:-",'R.M Billets Reports'!D665)),TRIM('R.M Billets Reports'!F665),IF(ISNUMBER(SEARCH("Party Name-",'R.M Billets Reports'!D665)),TRIM(MID('R.M Billets Reports'!D665,SEARCH("-",'R.M Billets Reports'!D665)+1,200)),"")),IF(ISNUMBER(SEARCH("Party Name:-",'R.M Billets Reports'!D666)),TRIM('R.M Billets Reports'!F666),IF(ISNUMBER(SEARCH("Party Name-",'R.M Billets Reports'!D666)),TRIM(MID('R.M Billets Reports'!D666,SEARCH("-",'R.M Billets Reports'!D666)+1,200)),"")))="SHRI RADHE","SHREE RADHE",IF(IF(IF(ISNUMBER(SEARCH("Party Name:-",'R.M Billets Reports'!D665)),TRIM('R.M Billets Reports'!F665),IF(ISNUMBER(SEARCH("Party Name-",'R.M Billets Reports'!D665)),TRIM(MID('R.M Billets Reports'!D665,SEARCH("-",'R.M Billets Reports'!D665)+1,200)),""))&lt;&gt;"",IF(ISNUMBER(SEARCH("Party Name:-",'R.M Billets Reports'!D665)),TRIM('R.M Billets Reports'!F665),IF(ISNUMBER(SEARCH("Party Name-",'R.M Billets Reports'!D665)),TRIM(MID('R.M Billets Reports'!D665,SEARCH("-",'R.M Billets Reports'!D665)+1,200)),"")),IF(ISNUMBER(SEARCH("Party Name:-",'R.M Billets Reports'!D666)),TRIM('R.M Billets Reports'!F666),IF(ISNUMBER(SEARCH("Party Name-",'R.M Billets Reports'!D666)),TRIM(MID('R.M Billets Reports'!D666,SEARCH("-",'R.M Billets Reports'!D666)+1,200)),"")))="SHREE RADHE SHAKTI SPONGE AND POWER PVT. LTD.","SHREE RADHE",IF(IF(ISNUMBER(SEARCH("Party Name:-",'R.M Billets Reports'!D665)),TRIM('R.M Billets Reports'!F665),IF(ISNUMBER(SEARCH("Party Name-",'R.M Billets Reports'!D665)),TRIM(MID('R.M Billets Reports'!D665,SEARCH("-",'R.M Billets Reports'!D665)+1,200)),""))&lt;&gt;"",IF(ISNUMBER(SEARCH("Party Name:-",'R.M Billets Reports'!D665)),TRIM('R.M Billets Reports'!F665),IF(ISNUMBER(SEARCH("Party Name-",'R.M Billets Reports'!D665)),TRIM(MID('R.M Billets Reports'!D665,SEARCH("-",'R.M Billets Reports'!D665)+1,200)),"")),IF(ISNUMBER(SEARCH("Party Name:-",'R.M Billets Reports'!D666)),TRIM('R.M Billets Reports'!F666),IF(ISNUMBER(SEARCH("Party Name-",'R.M Billets Reports'!D666)),TRIM(MID('R.M Billets Reports'!D666,SEARCH("-",'R.M Billets Reports'!D666)+1,200)),"")))))),IF(ROW()=2,"",A665))</f>
      </c>
      <c r="B666">
        <f>IF(OR('R.M Billets Reports'!A665="Date-",'R.M Billets Reports'!A665="Date:-"),'R.M Billets Reports'!B665,IF(ROW()=2,"",B665))</f>
      </c>
      <c r="C666">
        <f>IF('R.M Billets Reports'!A665="V.No.",'R.M Billets Reports'!B665,IF(ROW()=2,"",C665))</f>
      </c>
      <c r="D666">
        <f>IF('R.M Billets Reports'!A665&lt;&gt;"",'R.M Billets Reports'!A665,IF(ROW()=2,"",D665))</f>
      </c>
      <c r="E666">
        <f>IF('R.M Billets Reports'!B665="","",TRIM('R.M Billets Reports'!B665))</f>
      </c>
      <c r="F666">
        <f>'R.M Billets Reports'!C665</f>
      </c>
      <c r="G666">
        <f>'R.M Billets Reports'!D665</f>
      </c>
      <c r="H666">
        <f>'R.M Billets Reports'!E665</f>
      </c>
      <c r="I666">
        <f>'R.M Billets Reports'!F665</f>
      </c>
      <c r="J666">
        <f>'R.M Billets Reports'!G665</f>
      </c>
      <c r="K666">
        <f>'R.M Billets Reports'!H665</f>
      </c>
      <c r="L666">
        <f>IF('R.M Billets Reports'!I665="","",'R.M Billets Reports'!I665)</f>
      </c>
      <c r="M666">
        <f t="shared" si="20"/>
      </c>
      <c r="N666">
        <f>IF('R.M Billets Reports'!J665="","",'R.M Billets Reports'!J665)</f>
      </c>
      <c r="O666">
        <f t="shared" si="21"/>
      </c>
      <c r="P666">
        <f>IF('R.M Billets Reports'!A665="SIZE",'R.M Billets Reports'!B665,P665)</f>
      </c>
    </row>
    <row r="667" spans="1:16" x14ac:dyDescent="0.25">
      <c r="A667">
        <f>IF(OR('R.M Billets Reports'!A666="Date-",'R.M Billets Reports'!A666="Date:-"),IF(IF(IF(ISNUMBER(SEARCH("Party Name:-",'R.M Billets Reports'!D666)),TRIM('R.M Billets Reports'!F666),IF(ISNUMBER(SEARCH("Party Name-",'R.M Billets Reports'!D666)),TRIM(MID('R.M Billets Reports'!D666,SEARCH("-",'R.M Billets Reports'!D666)+1,200)),""))&lt;&gt;"",IF(ISNUMBER(SEARCH("Party Name:-",'R.M Billets Reports'!D666)),TRIM('R.M Billets Reports'!F666),IF(ISNUMBER(SEARCH("Party Name-",'R.M Billets Reports'!D666)),TRIM(MID('R.M Billets Reports'!D666,SEARCH("-",'R.M Billets Reports'!D666)+1,200)),"")),IF(ISNUMBER(SEARCH("Party Name:-",'R.M Billets Reports'!D667)),TRIM('R.M Billets Reports'!F667),IF(ISNUMBER(SEARCH("Party Name-",'R.M Billets Reports'!D667)),TRIM(MID('R.M Billets Reports'!D667,SEARCH("-",'R.M Billets Reports'!D667)+1,200)),"")))="VRKP ISPAT PVT LTD","VRKP",IF(IF(IF(ISNUMBER(SEARCH("Party Name:-",'R.M Billets Reports'!D666)),TRIM('R.M Billets Reports'!F666),IF(ISNUMBER(SEARCH("Party Name-",'R.M Billets Reports'!D666)),TRIM(MID('R.M Billets Reports'!D666,SEARCH("-",'R.M Billets Reports'!D666)+1,200)),""))&lt;&gt;"",IF(ISNUMBER(SEARCH("Party Name:-",'R.M Billets Reports'!D666)),TRIM('R.M Billets Reports'!F666),IF(ISNUMBER(SEARCH("Party Name-",'R.M Billets Reports'!D666)),TRIM(MID('R.M Billets Reports'!D666,SEARCH("-",'R.M Billets Reports'!D666)+1,200)),"")),IF(ISNUMBER(SEARCH("Party Name:-",'R.M Billets Reports'!D667)),TRIM('R.M Billets Reports'!F667),IF(ISNUMBER(SEARCH("Party Name-",'R.M Billets Reports'!D667)),TRIM(MID('R.M Billets Reports'!D667,SEARCH("-",'R.M Billets Reports'!D667)+1,200)),"")))="SHRI RADHE","SHREE RADHE",IF(IF(IF(ISNUMBER(SEARCH("Party Name:-",'R.M Billets Reports'!D666)),TRIM('R.M Billets Reports'!F666),IF(ISNUMBER(SEARCH("Party Name-",'R.M Billets Reports'!D666)),TRIM(MID('R.M Billets Reports'!D666,SEARCH("-",'R.M Billets Reports'!D666)+1,200)),""))&lt;&gt;"",IF(ISNUMBER(SEARCH("Party Name:-",'R.M Billets Reports'!D666)),TRIM('R.M Billets Reports'!F666),IF(ISNUMBER(SEARCH("Party Name-",'R.M Billets Reports'!D666)),TRIM(MID('R.M Billets Reports'!D666,SEARCH("-",'R.M Billets Reports'!D666)+1,200)),"")),IF(ISNUMBER(SEARCH("Party Name:-",'R.M Billets Reports'!D667)),TRIM('R.M Billets Reports'!F667),IF(ISNUMBER(SEARCH("Party Name-",'R.M Billets Reports'!D667)),TRIM(MID('R.M Billets Reports'!D667,SEARCH("-",'R.M Billets Reports'!D667)+1,200)),"")))="SHREE RADHE SHAKTI SPONGE AND POWER PVT. LTD.","SHREE RADHE",IF(IF(ISNUMBER(SEARCH("Party Name:-",'R.M Billets Reports'!D666)),TRIM('R.M Billets Reports'!F666),IF(ISNUMBER(SEARCH("Party Name-",'R.M Billets Reports'!D666)),TRIM(MID('R.M Billets Reports'!D666,SEARCH("-",'R.M Billets Reports'!D666)+1,200)),""))&lt;&gt;"",IF(ISNUMBER(SEARCH("Party Name:-",'R.M Billets Reports'!D666)),TRIM('R.M Billets Reports'!F666),IF(ISNUMBER(SEARCH("Party Name-",'R.M Billets Reports'!D666)),TRIM(MID('R.M Billets Reports'!D666,SEARCH("-",'R.M Billets Reports'!D666)+1,200)),"")),IF(ISNUMBER(SEARCH("Party Name:-",'R.M Billets Reports'!D667)),TRIM('R.M Billets Reports'!F667),IF(ISNUMBER(SEARCH("Party Name-",'R.M Billets Reports'!D667)),TRIM(MID('R.M Billets Reports'!D667,SEARCH("-",'R.M Billets Reports'!D667)+1,200)),"")))))),IF(ROW()=2,"",A666))</f>
      </c>
      <c r="B667">
        <f>IF(OR('R.M Billets Reports'!A666="Date-",'R.M Billets Reports'!A666="Date:-"),'R.M Billets Reports'!B666,IF(ROW()=2,"",B666))</f>
      </c>
      <c r="C667">
        <f>IF('R.M Billets Reports'!A666="V.No.",'R.M Billets Reports'!B666,IF(ROW()=2,"",C666))</f>
      </c>
      <c r="D667">
        <f>IF('R.M Billets Reports'!A666&lt;&gt;"",'R.M Billets Reports'!A666,IF(ROW()=2,"",D666))</f>
      </c>
      <c r="E667">
        <f>IF('R.M Billets Reports'!B666="","",TRIM('R.M Billets Reports'!B666))</f>
      </c>
      <c r="F667">
        <f>'R.M Billets Reports'!C666</f>
      </c>
      <c r="G667">
        <f>'R.M Billets Reports'!D666</f>
      </c>
      <c r="H667">
        <f>'R.M Billets Reports'!E666</f>
      </c>
      <c r="I667">
        <f>'R.M Billets Reports'!F666</f>
      </c>
      <c r="J667">
        <f>'R.M Billets Reports'!G666</f>
      </c>
      <c r="K667">
        <f>'R.M Billets Reports'!H666</f>
      </c>
      <c r="L667">
        <f>IF('R.M Billets Reports'!I666="","",'R.M Billets Reports'!I666)</f>
      </c>
      <c r="M667">
        <f t="shared" si="20"/>
      </c>
      <c r="N667">
        <f>IF('R.M Billets Reports'!J666="","",'R.M Billets Reports'!J666)</f>
      </c>
      <c r="O667">
        <f t="shared" si="21"/>
      </c>
      <c r="P667">
        <f>IF('R.M Billets Reports'!A666="SIZE",'R.M Billets Reports'!B666,P666)</f>
      </c>
    </row>
    <row r="668" spans="1:16" x14ac:dyDescent="0.25">
      <c r="A668">
        <f>IF(OR('R.M Billets Reports'!A667="Date-",'R.M Billets Reports'!A667="Date:-"),IF(IF(IF(ISNUMBER(SEARCH("Party Name:-",'R.M Billets Reports'!D667)),TRIM('R.M Billets Reports'!F667),IF(ISNUMBER(SEARCH("Party Name-",'R.M Billets Reports'!D667)),TRIM(MID('R.M Billets Reports'!D667,SEARCH("-",'R.M Billets Reports'!D667)+1,200)),""))&lt;&gt;"",IF(ISNUMBER(SEARCH("Party Name:-",'R.M Billets Reports'!D667)),TRIM('R.M Billets Reports'!F667),IF(ISNUMBER(SEARCH("Party Name-",'R.M Billets Reports'!D667)),TRIM(MID('R.M Billets Reports'!D667,SEARCH("-",'R.M Billets Reports'!D667)+1,200)),"")),IF(ISNUMBER(SEARCH("Party Name:-",'R.M Billets Reports'!D668)),TRIM('R.M Billets Reports'!F668),IF(ISNUMBER(SEARCH("Party Name-",'R.M Billets Reports'!D668)),TRIM(MID('R.M Billets Reports'!D668,SEARCH("-",'R.M Billets Reports'!D668)+1,200)),"")))="VRKP ISPAT PVT LTD","VRKP",IF(IF(IF(ISNUMBER(SEARCH("Party Name:-",'R.M Billets Reports'!D667)),TRIM('R.M Billets Reports'!F667),IF(ISNUMBER(SEARCH("Party Name-",'R.M Billets Reports'!D667)),TRIM(MID('R.M Billets Reports'!D667,SEARCH("-",'R.M Billets Reports'!D667)+1,200)),""))&lt;&gt;"",IF(ISNUMBER(SEARCH("Party Name:-",'R.M Billets Reports'!D667)),TRIM('R.M Billets Reports'!F667),IF(ISNUMBER(SEARCH("Party Name-",'R.M Billets Reports'!D667)),TRIM(MID('R.M Billets Reports'!D667,SEARCH("-",'R.M Billets Reports'!D667)+1,200)),"")),IF(ISNUMBER(SEARCH("Party Name:-",'R.M Billets Reports'!D668)),TRIM('R.M Billets Reports'!F668),IF(ISNUMBER(SEARCH("Party Name-",'R.M Billets Reports'!D668)),TRIM(MID('R.M Billets Reports'!D668,SEARCH("-",'R.M Billets Reports'!D668)+1,200)),"")))="SHRI RADHE","SHREE RADHE",IF(IF(IF(ISNUMBER(SEARCH("Party Name:-",'R.M Billets Reports'!D667)),TRIM('R.M Billets Reports'!F667),IF(ISNUMBER(SEARCH("Party Name-",'R.M Billets Reports'!D667)),TRIM(MID('R.M Billets Reports'!D667,SEARCH("-",'R.M Billets Reports'!D667)+1,200)),""))&lt;&gt;"",IF(ISNUMBER(SEARCH("Party Name:-",'R.M Billets Reports'!D667)),TRIM('R.M Billets Reports'!F667),IF(ISNUMBER(SEARCH("Party Name-",'R.M Billets Reports'!D667)),TRIM(MID('R.M Billets Reports'!D667,SEARCH("-",'R.M Billets Reports'!D667)+1,200)),"")),IF(ISNUMBER(SEARCH("Party Name:-",'R.M Billets Reports'!D668)),TRIM('R.M Billets Reports'!F668),IF(ISNUMBER(SEARCH("Party Name-",'R.M Billets Reports'!D668)),TRIM(MID('R.M Billets Reports'!D668,SEARCH("-",'R.M Billets Reports'!D668)+1,200)),"")))="SHREE RADHE SHAKTI SPONGE AND POWER PVT. LTD.","SHREE RADHE",IF(IF(ISNUMBER(SEARCH("Party Name:-",'R.M Billets Reports'!D667)),TRIM('R.M Billets Reports'!F667),IF(ISNUMBER(SEARCH("Party Name-",'R.M Billets Reports'!D667)),TRIM(MID('R.M Billets Reports'!D667,SEARCH("-",'R.M Billets Reports'!D667)+1,200)),""))&lt;&gt;"",IF(ISNUMBER(SEARCH("Party Name:-",'R.M Billets Reports'!D667)),TRIM('R.M Billets Reports'!F667),IF(ISNUMBER(SEARCH("Party Name-",'R.M Billets Reports'!D667)),TRIM(MID('R.M Billets Reports'!D667,SEARCH("-",'R.M Billets Reports'!D667)+1,200)),"")),IF(ISNUMBER(SEARCH("Party Name:-",'R.M Billets Reports'!D668)),TRIM('R.M Billets Reports'!F668),IF(ISNUMBER(SEARCH("Party Name-",'R.M Billets Reports'!D668)),TRIM(MID('R.M Billets Reports'!D668,SEARCH("-",'R.M Billets Reports'!D668)+1,200)),"")))))),IF(ROW()=2,"",A667))</f>
      </c>
      <c r="B668">
        <f>IF(OR('R.M Billets Reports'!A667="Date-",'R.M Billets Reports'!A667="Date:-"),'R.M Billets Reports'!B667,IF(ROW()=2,"",B667))</f>
      </c>
      <c r="C668">
        <f>IF('R.M Billets Reports'!A667="V.No.",'R.M Billets Reports'!B667,IF(ROW()=2,"",C667))</f>
      </c>
      <c r="D668">
        <f>IF('R.M Billets Reports'!A667&lt;&gt;"",'R.M Billets Reports'!A667,IF(ROW()=2,"",D667))</f>
      </c>
      <c r="E668">
        <f>IF('R.M Billets Reports'!B667="","",TRIM('R.M Billets Reports'!B667))</f>
      </c>
      <c r="F668">
        <f>'R.M Billets Reports'!C667</f>
      </c>
      <c r="G668">
        <f>'R.M Billets Reports'!D667</f>
      </c>
      <c r="H668">
        <f>'R.M Billets Reports'!E667</f>
      </c>
      <c r="I668">
        <f>'R.M Billets Reports'!F667</f>
      </c>
      <c r="J668">
        <f>'R.M Billets Reports'!G667</f>
      </c>
      <c r="K668">
        <f>'R.M Billets Reports'!H667</f>
      </c>
      <c r="L668">
        <f>IF('R.M Billets Reports'!I667="","",'R.M Billets Reports'!I667)</f>
      </c>
      <c r="M668">
        <f t="shared" si="20"/>
      </c>
      <c r="N668">
        <f>IF('R.M Billets Reports'!J667="","",'R.M Billets Reports'!J667)</f>
      </c>
      <c r="O668">
        <f t="shared" si="21"/>
      </c>
      <c r="P668">
        <f>IF('R.M Billets Reports'!A667="SIZE",'R.M Billets Reports'!B667,P667)</f>
      </c>
    </row>
    <row r="669" spans="1:16" x14ac:dyDescent="0.25">
      <c r="A669">
        <f>IF(OR('R.M Billets Reports'!A668="Date-",'R.M Billets Reports'!A668="Date:-"),IF(IF(IF(ISNUMBER(SEARCH("Party Name:-",'R.M Billets Reports'!D668)),TRIM('R.M Billets Reports'!F668),IF(ISNUMBER(SEARCH("Party Name-",'R.M Billets Reports'!D668)),TRIM(MID('R.M Billets Reports'!D668,SEARCH("-",'R.M Billets Reports'!D668)+1,200)),""))&lt;&gt;"",IF(ISNUMBER(SEARCH("Party Name:-",'R.M Billets Reports'!D668)),TRIM('R.M Billets Reports'!F668),IF(ISNUMBER(SEARCH("Party Name-",'R.M Billets Reports'!D668)),TRIM(MID('R.M Billets Reports'!D668,SEARCH("-",'R.M Billets Reports'!D668)+1,200)),"")),IF(ISNUMBER(SEARCH("Party Name:-",'R.M Billets Reports'!D669)),TRIM('R.M Billets Reports'!F669),IF(ISNUMBER(SEARCH("Party Name-",'R.M Billets Reports'!D669)),TRIM(MID('R.M Billets Reports'!D669,SEARCH("-",'R.M Billets Reports'!D669)+1,200)),"")))="VRKP ISPAT PVT LTD","VRKP",IF(IF(IF(ISNUMBER(SEARCH("Party Name:-",'R.M Billets Reports'!D668)),TRIM('R.M Billets Reports'!F668),IF(ISNUMBER(SEARCH("Party Name-",'R.M Billets Reports'!D668)),TRIM(MID('R.M Billets Reports'!D668,SEARCH("-",'R.M Billets Reports'!D668)+1,200)),""))&lt;&gt;"",IF(ISNUMBER(SEARCH("Party Name:-",'R.M Billets Reports'!D668)),TRIM('R.M Billets Reports'!F668),IF(ISNUMBER(SEARCH("Party Name-",'R.M Billets Reports'!D668)),TRIM(MID('R.M Billets Reports'!D668,SEARCH("-",'R.M Billets Reports'!D668)+1,200)),"")),IF(ISNUMBER(SEARCH("Party Name:-",'R.M Billets Reports'!D669)),TRIM('R.M Billets Reports'!F669),IF(ISNUMBER(SEARCH("Party Name-",'R.M Billets Reports'!D669)),TRIM(MID('R.M Billets Reports'!D669,SEARCH("-",'R.M Billets Reports'!D669)+1,200)),"")))="SHRI RADHE","SHREE RADHE",IF(IF(IF(ISNUMBER(SEARCH("Party Name:-",'R.M Billets Reports'!D668)),TRIM('R.M Billets Reports'!F668),IF(ISNUMBER(SEARCH("Party Name-",'R.M Billets Reports'!D668)),TRIM(MID('R.M Billets Reports'!D668,SEARCH("-",'R.M Billets Reports'!D668)+1,200)),""))&lt;&gt;"",IF(ISNUMBER(SEARCH("Party Name:-",'R.M Billets Reports'!D668)),TRIM('R.M Billets Reports'!F668),IF(ISNUMBER(SEARCH("Party Name-",'R.M Billets Reports'!D668)),TRIM(MID('R.M Billets Reports'!D668,SEARCH("-",'R.M Billets Reports'!D668)+1,200)),"")),IF(ISNUMBER(SEARCH("Party Name:-",'R.M Billets Reports'!D669)),TRIM('R.M Billets Reports'!F669),IF(ISNUMBER(SEARCH("Party Name-",'R.M Billets Reports'!D669)),TRIM(MID('R.M Billets Reports'!D669,SEARCH("-",'R.M Billets Reports'!D669)+1,200)),"")))="SHREE RADHE SHAKTI SPONGE AND POWER PVT. LTD.","SHREE RADHE",IF(IF(ISNUMBER(SEARCH("Party Name:-",'R.M Billets Reports'!D668)),TRIM('R.M Billets Reports'!F668),IF(ISNUMBER(SEARCH("Party Name-",'R.M Billets Reports'!D668)),TRIM(MID('R.M Billets Reports'!D668,SEARCH("-",'R.M Billets Reports'!D668)+1,200)),""))&lt;&gt;"",IF(ISNUMBER(SEARCH("Party Name:-",'R.M Billets Reports'!D668)),TRIM('R.M Billets Reports'!F668),IF(ISNUMBER(SEARCH("Party Name-",'R.M Billets Reports'!D668)),TRIM(MID('R.M Billets Reports'!D668,SEARCH("-",'R.M Billets Reports'!D668)+1,200)),"")),IF(ISNUMBER(SEARCH("Party Name:-",'R.M Billets Reports'!D669)),TRIM('R.M Billets Reports'!F669),IF(ISNUMBER(SEARCH("Party Name-",'R.M Billets Reports'!D669)),TRIM(MID('R.M Billets Reports'!D669,SEARCH("-",'R.M Billets Reports'!D669)+1,200)),"")))))),IF(ROW()=2,"",A668))</f>
      </c>
      <c r="B669">
        <f>IF(OR('R.M Billets Reports'!A668="Date-",'R.M Billets Reports'!A668="Date:-"),'R.M Billets Reports'!B668,IF(ROW()=2,"",B668))</f>
      </c>
      <c r="C669">
        <f>IF('R.M Billets Reports'!A668="V.No.",'R.M Billets Reports'!B668,IF(ROW()=2,"",C668))</f>
      </c>
      <c r="D669">
        <f>IF('R.M Billets Reports'!A668&lt;&gt;"",'R.M Billets Reports'!A668,IF(ROW()=2,"",D668))</f>
      </c>
      <c r="E669">
        <f>IF('R.M Billets Reports'!B668="","",TRIM('R.M Billets Reports'!B668))</f>
      </c>
      <c r="F669">
        <f>'R.M Billets Reports'!C668</f>
      </c>
      <c r="G669">
        <f>'R.M Billets Reports'!D668</f>
      </c>
      <c r="H669">
        <f>'R.M Billets Reports'!E668</f>
      </c>
      <c r="I669">
        <f>'R.M Billets Reports'!F668</f>
      </c>
      <c r="J669">
        <f>'R.M Billets Reports'!G668</f>
      </c>
      <c r="K669">
        <f>'R.M Billets Reports'!H668</f>
      </c>
      <c r="L669">
        <f>IF('R.M Billets Reports'!I668="","",'R.M Billets Reports'!I668)</f>
      </c>
      <c r="M669">
        <f t="shared" si="20"/>
      </c>
      <c r="N669">
        <f>IF('R.M Billets Reports'!J668="","",'R.M Billets Reports'!J668)</f>
      </c>
      <c r="O669">
        <f t="shared" si="21"/>
      </c>
      <c r="P669">
        <f>IF('R.M Billets Reports'!A668="SIZE",'R.M Billets Reports'!B668,P668)</f>
      </c>
    </row>
    <row r="670" spans="1:16" x14ac:dyDescent="0.25">
      <c r="A670">
        <f>IF(OR('R.M Billets Reports'!A669="Date-",'R.M Billets Reports'!A669="Date:-"),IF(IF(IF(ISNUMBER(SEARCH("Party Name:-",'R.M Billets Reports'!D669)),TRIM('R.M Billets Reports'!F669),IF(ISNUMBER(SEARCH("Party Name-",'R.M Billets Reports'!D669)),TRIM(MID('R.M Billets Reports'!D669,SEARCH("-",'R.M Billets Reports'!D669)+1,200)),""))&lt;&gt;"",IF(ISNUMBER(SEARCH("Party Name:-",'R.M Billets Reports'!D669)),TRIM('R.M Billets Reports'!F669),IF(ISNUMBER(SEARCH("Party Name-",'R.M Billets Reports'!D669)),TRIM(MID('R.M Billets Reports'!D669,SEARCH("-",'R.M Billets Reports'!D669)+1,200)),"")),IF(ISNUMBER(SEARCH("Party Name:-",'R.M Billets Reports'!D670)),TRIM('R.M Billets Reports'!F670),IF(ISNUMBER(SEARCH("Party Name-",'R.M Billets Reports'!D670)),TRIM(MID('R.M Billets Reports'!D670,SEARCH("-",'R.M Billets Reports'!D670)+1,200)),"")))="VRKP ISPAT PVT LTD","VRKP",IF(IF(IF(ISNUMBER(SEARCH("Party Name:-",'R.M Billets Reports'!D669)),TRIM('R.M Billets Reports'!F669),IF(ISNUMBER(SEARCH("Party Name-",'R.M Billets Reports'!D669)),TRIM(MID('R.M Billets Reports'!D669,SEARCH("-",'R.M Billets Reports'!D669)+1,200)),""))&lt;&gt;"",IF(ISNUMBER(SEARCH("Party Name:-",'R.M Billets Reports'!D669)),TRIM('R.M Billets Reports'!F669),IF(ISNUMBER(SEARCH("Party Name-",'R.M Billets Reports'!D669)),TRIM(MID('R.M Billets Reports'!D669,SEARCH("-",'R.M Billets Reports'!D669)+1,200)),"")),IF(ISNUMBER(SEARCH("Party Name:-",'R.M Billets Reports'!D670)),TRIM('R.M Billets Reports'!F670),IF(ISNUMBER(SEARCH("Party Name-",'R.M Billets Reports'!D670)),TRIM(MID('R.M Billets Reports'!D670,SEARCH("-",'R.M Billets Reports'!D670)+1,200)),"")))="SHRI RADHE","SHREE RADHE",IF(IF(IF(ISNUMBER(SEARCH("Party Name:-",'R.M Billets Reports'!D669)),TRIM('R.M Billets Reports'!F669),IF(ISNUMBER(SEARCH("Party Name-",'R.M Billets Reports'!D669)),TRIM(MID('R.M Billets Reports'!D669,SEARCH("-",'R.M Billets Reports'!D669)+1,200)),""))&lt;&gt;"",IF(ISNUMBER(SEARCH("Party Name:-",'R.M Billets Reports'!D669)),TRIM('R.M Billets Reports'!F669),IF(ISNUMBER(SEARCH("Party Name-",'R.M Billets Reports'!D669)),TRIM(MID('R.M Billets Reports'!D669,SEARCH("-",'R.M Billets Reports'!D669)+1,200)),"")),IF(ISNUMBER(SEARCH("Party Name:-",'R.M Billets Reports'!D670)),TRIM('R.M Billets Reports'!F670),IF(ISNUMBER(SEARCH("Party Name-",'R.M Billets Reports'!D670)),TRIM(MID('R.M Billets Reports'!D670,SEARCH("-",'R.M Billets Reports'!D670)+1,200)),"")))="SHREE RADHE SHAKTI SPONGE AND POWER PVT. LTD.","SHREE RADHE",IF(IF(ISNUMBER(SEARCH("Party Name:-",'R.M Billets Reports'!D669)),TRIM('R.M Billets Reports'!F669),IF(ISNUMBER(SEARCH("Party Name-",'R.M Billets Reports'!D669)),TRIM(MID('R.M Billets Reports'!D669,SEARCH("-",'R.M Billets Reports'!D669)+1,200)),""))&lt;&gt;"",IF(ISNUMBER(SEARCH("Party Name:-",'R.M Billets Reports'!D669)),TRIM('R.M Billets Reports'!F669),IF(ISNUMBER(SEARCH("Party Name-",'R.M Billets Reports'!D669)),TRIM(MID('R.M Billets Reports'!D669,SEARCH("-",'R.M Billets Reports'!D669)+1,200)),"")),IF(ISNUMBER(SEARCH("Party Name:-",'R.M Billets Reports'!D670)),TRIM('R.M Billets Reports'!F670),IF(ISNUMBER(SEARCH("Party Name-",'R.M Billets Reports'!D670)),TRIM(MID('R.M Billets Reports'!D670,SEARCH("-",'R.M Billets Reports'!D670)+1,200)),"")))))),IF(ROW()=2,"",A669))</f>
      </c>
      <c r="B670">
        <f>IF(OR('R.M Billets Reports'!A669="Date-",'R.M Billets Reports'!A669="Date:-"),'R.M Billets Reports'!B669,IF(ROW()=2,"",B669))</f>
      </c>
      <c r="C670">
        <f>IF('R.M Billets Reports'!A669="V.No.",'R.M Billets Reports'!B669,IF(ROW()=2,"",C669))</f>
      </c>
      <c r="D670">
        <f>IF('R.M Billets Reports'!A669&lt;&gt;"",'R.M Billets Reports'!A669,IF(ROW()=2,"",D669))</f>
      </c>
      <c r="E670">
        <f>IF('R.M Billets Reports'!B669="","",TRIM('R.M Billets Reports'!B669))</f>
      </c>
      <c r="F670">
        <f>'R.M Billets Reports'!C669</f>
      </c>
      <c r="G670">
        <f>'R.M Billets Reports'!D669</f>
      </c>
      <c r="H670">
        <f>'R.M Billets Reports'!E669</f>
      </c>
      <c r="I670">
        <f>'R.M Billets Reports'!F669</f>
      </c>
      <c r="J670">
        <f>'R.M Billets Reports'!G669</f>
      </c>
      <c r="K670">
        <f>'R.M Billets Reports'!H669</f>
      </c>
      <c r="L670">
        <f>IF('R.M Billets Reports'!I669="","",'R.M Billets Reports'!I669)</f>
      </c>
      <c r="M670">
        <f t="shared" si="20"/>
      </c>
      <c r="N670">
        <f>IF('R.M Billets Reports'!J669="","",'R.M Billets Reports'!J669)</f>
      </c>
      <c r="O670">
        <f t="shared" si="21"/>
      </c>
      <c r="P670">
        <f>IF('R.M Billets Reports'!A669="SIZE",'R.M Billets Reports'!B669,P669)</f>
      </c>
    </row>
    <row r="671" spans="1:16" x14ac:dyDescent="0.25">
      <c r="A671">
        <f>IF(OR('R.M Billets Reports'!A670="Date-",'R.M Billets Reports'!A670="Date:-"),IF(IF(IF(ISNUMBER(SEARCH("Party Name:-",'R.M Billets Reports'!D670)),TRIM('R.M Billets Reports'!F670),IF(ISNUMBER(SEARCH("Party Name-",'R.M Billets Reports'!D670)),TRIM(MID('R.M Billets Reports'!D670,SEARCH("-",'R.M Billets Reports'!D670)+1,200)),""))&lt;&gt;"",IF(ISNUMBER(SEARCH("Party Name:-",'R.M Billets Reports'!D670)),TRIM('R.M Billets Reports'!F670),IF(ISNUMBER(SEARCH("Party Name-",'R.M Billets Reports'!D670)),TRIM(MID('R.M Billets Reports'!D670,SEARCH("-",'R.M Billets Reports'!D670)+1,200)),"")),IF(ISNUMBER(SEARCH("Party Name:-",'R.M Billets Reports'!D671)),TRIM('R.M Billets Reports'!F671),IF(ISNUMBER(SEARCH("Party Name-",'R.M Billets Reports'!D671)),TRIM(MID('R.M Billets Reports'!D671,SEARCH("-",'R.M Billets Reports'!D671)+1,200)),"")))="VRKP ISPAT PVT LTD","VRKP",IF(IF(IF(ISNUMBER(SEARCH("Party Name:-",'R.M Billets Reports'!D670)),TRIM('R.M Billets Reports'!F670),IF(ISNUMBER(SEARCH("Party Name-",'R.M Billets Reports'!D670)),TRIM(MID('R.M Billets Reports'!D670,SEARCH("-",'R.M Billets Reports'!D670)+1,200)),""))&lt;&gt;"",IF(ISNUMBER(SEARCH("Party Name:-",'R.M Billets Reports'!D670)),TRIM('R.M Billets Reports'!F670),IF(ISNUMBER(SEARCH("Party Name-",'R.M Billets Reports'!D670)),TRIM(MID('R.M Billets Reports'!D670,SEARCH("-",'R.M Billets Reports'!D670)+1,200)),"")),IF(ISNUMBER(SEARCH("Party Name:-",'R.M Billets Reports'!D671)),TRIM('R.M Billets Reports'!F671),IF(ISNUMBER(SEARCH("Party Name-",'R.M Billets Reports'!D671)),TRIM(MID('R.M Billets Reports'!D671,SEARCH("-",'R.M Billets Reports'!D671)+1,200)),"")))="SHRI RADHE","SHREE RADHE",IF(IF(IF(ISNUMBER(SEARCH("Party Name:-",'R.M Billets Reports'!D670)),TRIM('R.M Billets Reports'!F670),IF(ISNUMBER(SEARCH("Party Name-",'R.M Billets Reports'!D670)),TRIM(MID('R.M Billets Reports'!D670,SEARCH("-",'R.M Billets Reports'!D670)+1,200)),""))&lt;&gt;"",IF(ISNUMBER(SEARCH("Party Name:-",'R.M Billets Reports'!D670)),TRIM('R.M Billets Reports'!F670),IF(ISNUMBER(SEARCH("Party Name-",'R.M Billets Reports'!D670)),TRIM(MID('R.M Billets Reports'!D670,SEARCH("-",'R.M Billets Reports'!D670)+1,200)),"")),IF(ISNUMBER(SEARCH("Party Name:-",'R.M Billets Reports'!D671)),TRIM('R.M Billets Reports'!F671),IF(ISNUMBER(SEARCH("Party Name-",'R.M Billets Reports'!D671)),TRIM(MID('R.M Billets Reports'!D671,SEARCH("-",'R.M Billets Reports'!D671)+1,200)),"")))="SHREE RADHE SHAKTI SPONGE AND POWER PVT. LTD.","SHREE RADHE",IF(IF(ISNUMBER(SEARCH("Party Name:-",'R.M Billets Reports'!D670)),TRIM('R.M Billets Reports'!F670),IF(ISNUMBER(SEARCH("Party Name-",'R.M Billets Reports'!D670)),TRIM(MID('R.M Billets Reports'!D670,SEARCH("-",'R.M Billets Reports'!D670)+1,200)),""))&lt;&gt;"",IF(ISNUMBER(SEARCH("Party Name:-",'R.M Billets Reports'!D670)),TRIM('R.M Billets Reports'!F670),IF(ISNUMBER(SEARCH("Party Name-",'R.M Billets Reports'!D670)),TRIM(MID('R.M Billets Reports'!D670,SEARCH("-",'R.M Billets Reports'!D670)+1,200)),"")),IF(ISNUMBER(SEARCH("Party Name:-",'R.M Billets Reports'!D671)),TRIM('R.M Billets Reports'!F671),IF(ISNUMBER(SEARCH("Party Name-",'R.M Billets Reports'!D671)),TRIM(MID('R.M Billets Reports'!D671,SEARCH("-",'R.M Billets Reports'!D671)+1,200)),"")))))),IF(ROW()=2,"",A670))</f>
      </c>
      <c r="B671">
        <f>IF(OR('R.M Billets Reports'!A670="Date-",'R.M Billets Reports'!A670="Date:-"),'R.M Billets Reports'!B670,IF(ROW()=2,"",B670))</f>
      </c>
      <c r="C671">
        <f>IF('R.M Billets Reports'!A670="V.No.",'R.M Billets Reports'!B670,IF(ROW()=2,"",C670))</f>
      </c>
      <c r="D671">
        <f>IF('R.M Billets Reports'!A670&lt;&gt;"",'R.M Billets Reports'!A670,IF(ROW()=2,"",D670))</f>
      </c>
      <c r="E671">
        <f>IF('R.M Billets Reports'!B670="","",TRIM('R.M Billets Reports'!B670))</f>
      </c>
      <c r="F671">
        <f>'R.M Billets Reports'!C670</f>
      </c>
      <c r="G671">
        <f>'R.M Billets Reports'!D670</f>
      </c>
      <c r="H671">
        <f>'R.M Billets Reports'!E670</f>
      </c>
      <c r="I671">
        <f>'R.M Billets Reports'!F670</f>
      </c>
      <c r="J671">
        <f>'R.M Billets Reports'!G670</f>
      </c>
      <c r="K671">
        <f>'R.M Billets Reports'!H670</f>
      </c>
      <c r="L671">
        <f>IF('R.M Billets Reports'!I670="","",'R.M Billets Reports'!I670)</f>
      </c>
      <c r="M671">
        <f t="shared" si="20"/>
      </c>
      <c r="N671">
        <f>IF('R.M Billets Reports'!J670="","",'R.M Billets Reports'!J670)</f>
      </c>
      <c r="O671">
        <f t="shared" si="21"/>
      </c>
      <c r="P671">
        <f>IF('R.M Billets Reports'!A670="SIZE",'R.M Billets Reports'!B670,P670)</f>
      </c>
    </row>
    <row r="672" spans="1:16" x14ac:dyDescent="0.25">
      <c r="A672">
        <f>IF(OR('R.M Billets Reports'!A671="Date-",'R.M Billets Reports'!A671="Date:-"),IF(IF(IF(ISNUMBER(SEARCH("Party Name:-",'R.M Billets Reports'!D671)),TRIM('R.M Billets Reports'!F671),IF(ISNUMBER(SEARCH("Party Name-",'R.M Billets Reports'!D671)),TRIM(MID('R.M Billets Reports'!D671,SEARCH("-",'R.M Billets Reports'!D671)+1,200)),""))&lt;&gt;"",IF(ISNUMBER(SEARCH("Party Name:-",'R.M Billets Reports'!D671)),TRIM('R.M Billets Reports'!F671),IF(ISNUMBER(SEARCH("Party Name-",'R.M Billets Reports'!D671)),TRIM(MID('R.M Billets Reports'!D671,SEARCH("-",'R.M Billets Reports'!D671)+1,200)),"")),IF(ISNUMBER(SEARCH("Party Name:-",'R.M Billets Reports'!D672)),TRIM('R.M Billets Reports'!F672),IF(ISNUMBER(SEARCH("Party Name-",'R.M Billets Reports'!D672)),TRIM(MID('R.M Billets Reports'!D672,SEARCH("-",'R.M Billets Reports'!D672)+1,200)),"")))="VRKP ISPAT PVT LTD","VRKP",IF(IF(IF(ISNUMBER(SEARCH("Party Name:-",'R.M Billets Reports'!D671)),TRIM('R.M Billets Reports'!F671),IF(ISNUMBER(SEARCH("Party Name-",'R.M Billets Reports'!D671)),TRIM(MID('R.M Billets Reports'!D671,SEARCH("-",'R.M Billets Reports'!D671)+1,200)),""))&lt;&gt;"",IF(ISNUMBER(SEARCH("Party Name:-",'R.M Billets Reports'!D671)),TRIM('R.M Billets Reports'!F671),IF(ISNUMBER(SEARCH("Party Name-",'R.M Billets Reports'!D671)),TRIM(MID('R.M Billets Reports'!D671,SEARCH("-",'R.M Billets Reports'!D671)+1,200)),"")),IF(ISNUMBER(SEARCH("Party Name:-",'R.M Billets Reports'!D672)),TRIM('R.M Billets Reports'!F672),IF(ISNUMBER(SEARCH("Party Name-",'R.M Billets Reports'!D672)),TRIM(MID('R.M Billets Reports'!D672,SEARCH("-",'R.M Billets Reports'!D672)+1,200)),"")))="SHRI RADHE","SHREE RADHE",IF(IF(IF(ISNUMBER(SEARCH("Party Name:-",'R.M Billets Reports'!D671)),TRIM('R.M Billets Reports'!F671),IF(ISNUMBER(SEARCH("Party Name-",'R.M Billets Reports'!D671)),TRIM(MID('R.M Billets Reports'!D671,SEARCH("-",'R.M Billets Reports'!D671)+1,200)),""))&lt;&gt;"",IF(ISNUMBER(SEARCH("Party Name:-",'R.M Billets Reports'!D671)),TRIM('R.M Billets Reports'!F671),IF(ISNUMBER(SEARCH("Party Name-",'R.M Billets Reports'!D671)),TRIM(MID('R.M Billets Reports'!D671,SEARCH("-",'R.M Billets Reports'!D671)+1,200)),"")),IF(ISNUMBER(SEARCH("Party Name:-",'R.M Billets Reports'!D672)),TRIM('R.M Billets Reports'!F672),IF(ISNUMBER(SEARCH("Party Name-",'R.M Billets Reports'!D672)),TRIM(MID('R.M Billets Reports'!D672,SEARCH("-",'R.M Billets Reports'!D672)+1,200)),"")))="SHREE RADHE SHAKTI SPONGE AND POWER PVT. LTD.","SHREE RADHE",IF(IF(ISNUMBER(SEARCH("Party Name:-",'R.M Billets Reports'!D671)),TRIM('R.M Billets Reports'!F671),IF(ISNUMBER(SEARCH("Party Name-",'R.M Billets Reports'!D671)),TRIM(MID('R.M Billets Reports'!D671,SEARCH("-",'R.M Billets Reports'!D671)+1,200)),""))&lt;&gt;"",IF(ISNUMBER(SEARCH("Party Name:-",'R.M Billets Reports'!D671)),TRIM('R.M Billets Reports'!F671),IF(ISNUMBER(SEARCH("Party Name-",'R.M Billets Reports'!D671)),TRIM(MID('R.M Billets Reports'!D671,SEARCH("-",'R.M Billets Reports'!D671)+1,200)),"")),IF(ISNUMBER(SEARCH("Party Name:-",'R.M Billets Reports'!D672)),TRIM('R.M Billets Reports'!F672),IF(ISNUMBER(SEARCH("Party Name-",'R.M Billets Reports'!D672)),TRIM(MID('R.M Billets Reports'!D672,SEARCH("-",'R.M Billets Reports'!D672)+1,200)),"")))))),IF(ROW()=2,"",A671))</f>
      </c>
      <c r="B672">
        <f>IF(OR('R.M Billets Reports'!A671="Date-",'R.M Billets Reports'!A671="Date:-"),'R.M Billets Reports'!B671,IF(ROW()=2,"",B671))</f>
      </c>
      <c r="C672">
        <f>IF('R.M Billets Reports'!A671="V.No.",'R.M Billets Reports'!B671,IF(ROW()=2,"",C671))</f>
      </c>
      <c r="D672">
        <f>IF('R.M Billets Reports'!A671&lt;&gt;"",'R.M Billets Reports'!A671,IF(ROW()=2,"",D671))</f>
      </c>
      <c r="E672">
        <f>IF('R.M Billets Reports'!B671="","",TRIM('R.M Billets Reports'!B671))</f>
      </c>
      <c r="F672">
        <f>'R.M Billets Reports'!C671</f>
      </c>
      <c r="G672">
        <f>'R.M Billets Reports'!D671</f>
      </c>
      <c r="H672">
        <f>'R.M Billets Reports'!E671</f>
      </c>
      <c r="I672">
        <f>'R.M Billets Reports'!F671</f>
      </c>
      <c r="J672">
        <f>'R.M Billets Reports'!G671</f>
      </c>
      <c r="K672">
        <f>'R.M Billets Reports'!H671</f>
      </c>
      <c r="L672">
        <f>IF('R.M Billets Reports'!I671="","",'R.M Billets Reports'!I671)</f>
      </c>
      <c r="M672">
        <f t="shared" si="20"/>
      </c>
      <c r="N672">
        <f>IF('R.M Billets Reports'!J671="","",'R.M Billets Reports'!J671)</f>
      </c>
      <c r="O672">
        <f t="shared" si="21"/>
      </c>
      <c r="P672">
        <f>IF('R.M Billets Reports'!A671="SIZE",'R.M Billets Reports'!B671,P671)</f>
      </c>
    </row>
    <row r="673" spans="1:16" x14ac:dyDescent="0.25">
      <c r="A673">
        <f>IF(OR('R.M Billets Reports'!A672="Date-",'R.M Billets Reports'!A672="Date:-"),IF(IF(IF(ISNUMBER(SEARCH("Party Name:-",'R.M Billets Reports'!D672)),TRIM('R.M Billets Reports'!F672),IF(ISNUMBER(SEARCH("Party Name-",'R.M Billets Reports'!D672)),TRIM(MID('R.M Billets Reports'!D672,SEARCH("-",'R.M Billets Reports'!D672)+1,200)),""))&lt;&gt;"",IF(ISNUMBER(SEARCH("Party Name:-",'R.M Billets Reports'!D672)),TRIM('R.M Billets Reports'!F672),IF(ISNUMBER(SEARCH("Party Name-",'R.M Billets Reports'!D672)),TRIM(MID('R.M Billets Reports'!D672,SEARCH("-",'R.M Billets Reports'!D672)+1,200)),"")),IF(ISNUMBER(SEARCH("Party Name:-",'R.M Billets Reports'!D673)),TRIM('R.M Billets Reports'!F673),IF(ISNUMBER(SEARCH("Party Name-",'R.M Billets Reports'!D673)),TRIM(MID('R.M Billets Reports'!D673,SEARCH("-",'R.M Billets Reports'!D673)+1,200)),"")))="VRKP ISPAT PVT LTD","VRKP",IF(IF(IF(ISNUMBER(SEARCH("Party Name:-",'R.M Billets Reports'!D672)),TRIM('R.M Billets Reports'!F672),IF(ISNUMBER(SEARCH("Party Name-",'R.M Billets Reports'!D672)),TRIM(MID('R.M Billets Reports'!D672,SEARCH("-",'R.M Billets Reports'!D672)+1,200)),""))&lt;&gt;"",IF(ISNUMBER(SEARCH("Party Name:-",'R.M Billets Reports'!D672)),TRIM('R.M Billets Reports'!F672),IF(ISNUMBER(SEARCH("Party Name-",'R.M Billets Reports'!D672)),TRIM(MID('R.M Billets Reports'!D672,SEARCH("-",'R.M Billets Reports'!D672)+1,200)),"")),IF(ISNUMBER(SEARCH("Party Name:-",'R.M Billets Reports'!D673)),TRIM('R.M Billets Reports'!F673),IF(ISNUMBER(SEARCH("Party Name-",'R.M Billets Reports'!D673)),TRIM(MID('R.M Billets Reports'!D673,SEARCH("-",'R.M Billets Reports'!D673)+1,200)),"")))="SHRI RADHE","SHREE RADHE",IF(IF(IF(ISNUMBER(SEARCH("Party Name:-",'R.M Billets Reports'!D672)),TRIM('R.M Billets Reports'!F672),IF(ISNUMBER(SEARCH("Party Name-",'R.M Billets Reports'!D672)),TRIM(MID('R.M Billets Reports'!D672,SEARCH("-",'R.M Billets Reports'!D672)+1,200)),""))&lt;&gt;"",IF(ISNUMBER(SEARCH("Party Name:-",'R.M Billets Reports'!D672)),TRIM('R.M Billets Reports'!F672),IF(ISNUMBER(SEARCH("Party Name-",'R.M Billets Reports'!D672)),TRIM(MID('R.M Billets Reports'!D672,SEARCH("-",'R.M Billets Reports'!D672)+1,200)),"")),IF(ISNUMBER(SEARCH("Party Name:-",'R.M Billets Reports'!D673)),TRIM('R.M Billets Reports'!F673),IF(ISNUMBER(SEARCH("Party Name-",'R.M Billets Reports'!D673)),TRIM(MID('R.M Billets Reports'!D673,SEARCH("-",'R.M Billets Reports'!D673)+1,200)),"")))="SHREE RADHE SHAKTI SPONGE AND POWER PVT. LTD.","SHREE RADHE",IF(IF(ISNUMBER(SEARCH("Party Name:-",'R.M Billets Reports'!D672)),TRIM('R.M Billets Reports'!F672),IF(ISNUMBER(SEARCH("Party Name-",'R.M Billets Reports'!D672)),TRIM(MID('R.M Billets Reports'!D672,SEARCH("-",'R.M Billets Reports'!D672)+1,200)),""))&lt;&gt;"",IF(ISNUMBER(SEARCH("Party Name:-",'R.M Billets Reports'!D672)),TRIM('R.M Billets Reports'!F672),IF(ISNUMBER(SEARCH("Party Name-",'R.M Billets Reports'!D672)),TRIM(MID('R.M Billets Reports'!D672,SEARCH("-",'R.M Billets Reports'!D672)+1,200)),"")),IF(ISNUMBER(SEARCH("Party Name:-",'R.M Billets Reports'!D673)),TRIM('R.M Billets Reports'!F673),IF(ISNUMBER(SEARCH("Party Name-",'R.M Billets Reports'!D673)),TRIM(MID('R.M Billets Reports'!D673,SEARCH("-",'R.M Billets Reports'!D673)+1,200)),"")))))),IF(ROW()=2,"",A672))</f>
      </c>
      <c r="B673">
        <f>IF(OR('R.M Billets Reports'!A672="Date-",'R.M Billets Reports'!A672="Date:-"),'R.M Billets Reports'!B672,IF(ROW()=2,"",B672))</f>
      </c>
      <c r="C673">
        <f>IF('R.M Billets Reports'!A672="V.No.",'R.M Billets Reports'!B672,IF(ROW()=2,"",C672))</f>
      </c>
      <c r="D673">
        <f>IF('R.M Billets Reports'!A672&lt;&gt;"",'R.M Billets Reports'!A672,IF(ROW()=2,"",D672))</f>
      </c>
      <c r="E673">
        <f>IF('R.M Billets Reports'!B672="","",TRIM('R.M Billets Reports'!B672))</f>
      </c>
      <c r="F673">
        <f>'R.M Billets Reports'!C672</f>
      </c>
      <c r="G673">
        <f>'R.M Billets Reports'!D672</f>
      </c>
      <c r="H673">
        <f>'R.M Billets Reports'!E672</f>
      </c>
      <c r="I673">
        <f>'R.M Billets Reports'!F672</f>
      </c>
      <c r="J673">
        <f>'R.M Billets Reports'!G672</f>
      </c>
      <c r="K673">
        <f>'R.M Billets Reports'!H672</f>
      </c>
      <c r="L673">
        <f>IF('R.M Billets Reports'!I672="","",'R.M Billets Reports'!I672)</f>
      </c>
      <c r="M673">
        <f t="shared" si="20"/>
      </c>
      <c r="N673">
        <f>IF('R.M Billets Reports'!J672="","",'R.M Billets Reports'!J672)</f>
      </c>
      <c r="O673">
        <f t="shared" si="21"/>
      </c>
      <c r="P673">
        <f>IF('R.M Billets Reports'!A672="SIZE",'R.M Billets Reports'!B672,P672)</f>
      </c>
    </row>
    <row r="674" spans="1:16" x14ac:dyDescent="0.25">
      <c r="A674">
        <f>IF(OR('R.M Billets Reports'!A673="Date-",'R.M Billets Reports'!A673="Date:-"),IF(IF(IF(ISNUMBER(SEARCH("Party Name:-",'R.M Billets Reports'!D673)),TRIM('R.M Billets Reports'!F673),IF(ISNUMBER(SEARCH("Party Name-",'R.M Billets Reports'!D673)),TRIM(MID('R.M Billets Reports'!D673,SEARCH("-",'R.M Billets Reports'!D673)+1,200)),""))&lt;&gt;"",IF(ISNUMBER(SEARCH("Party Name:-",'R.M Billets Reports'!D673)),TRIM('R.M Billets Reports'!F673),IF(ISNUMBER(SEARCH("Party Name-",'R.M Billets Reports'!D673)),TRIM(MID('R.M Billets Reports'!D673,SEARCH("-",'R.M Billets Reports'!D673)+1,200)),"")),IF(ISNUMBER(SEARCH("Party Name:-",'R.M Billets Reports'!D674)),TRIM('R.M Billets Reports'!F674),IF(ISNUMBER(SEARCH("Party Name-",'R.M Billets Reports'!D674)),TRIM(MID('R.M Billets Reports'!D674,SEARCH("-",'R.M Billets Reports'!D674)+1,200)),"")))="VRKP ISPAT PVT LTD","VRKP",IF(IF(IF(ISNUMBER(SEARCH("Party Name:-",'R.M Billets Reports'!D673)),TRIM('R.M Billets Reports'!F673),IF(ISNUMBER(SEARCH("Party Name-",'R.M Billets Reports'!D673)),TRIM(MID('R.M Billets Reports'!D673,SEARCH("-",'R.M Billets Reports'!D673)+1,200)),""))&lt;&gt;"",IF(ISNUMBER(SEARCH("Party Name:-",'R.M Billets Reports'!D673)),TRIM('R.M Billets Reports'!F673),IF(ISNUMBER(SEARCH("Party Name-",'R.M Billets Reports'!D673)),TRIM(MID('R.M Billets Reports'!D673,SEARCH("-",'R.M Billets Reports'!D673)+1,200)),"")),IF(ISNUMBER(SEARCH("Party Name:-",'R.M Billets Reports'!D674)),TRIM('R.M Billets Reports'!F674),IF(ISNUMBER(SEARCH("Party Name-",'R.M Billets Reports'!D674)),TRIM(MID('R.M Billets Reports'!D674,SEARCH("-",'R.M Billets Reports'!D674)+1,200)),"")))="SHRI RADHE","SHREE RADHE",IF(IF(IF(ISNUMBER(SEARCH("Party Name:-",'R.M Billets Reports'!D673)),TRIM('R.M Billets Reports'!F673),IF(ISNUMBER(SEARCH("Party Name-",'R.M Billets Reports'!D673)),TRIM(MID('R.M Billets Reports'!D673,SEARCH("-",'R.M Billets Reports'!D673)+1,200)),""))&lt;&gt;"",IF(ISNUMBER(SEARCH("Party Name:-",'R.M Billets Reports'!D673)),TRIM('R.M Billets Reports'!F673),IF(ISNUMBER(SEARCH("Party Name-",'R.M Billets Reports'!D673)),TRIM(MID('R.M Billets Reports'!D673,SEARCH("-",'R.M Billets Reports'!D673)+1,200)),"")),IF(ISNUMBER(SEARCH("Party Name:-",'R.M Billets Reports'!D674)),TRIM('R.M Billets Reports'!F674),IF(ISNUMBER(SEARCH("Party Name-",'R.M Billets Reports'!D674)),TRIM(MID('R.M Billets Reports'!D674,SEARCH("-",'R.M Billets Reports'!D674)+1,200)),"")))="SHREE RADHE SHAKTI SPONGE AND POWER PVT. LTD.","SHREE RADHE",IF(IF(ISNUMBER(SEARCH("Party Name:-",'R.M Billets Reports'!D673)),TRIM('R.M Billets Reports'!F673),IF(ISNUMBER(SEARCH("Party Name-",'R.M Billets Reports'!D673)),TRIM(MID('R.M Billets Reports'!D673,SEARCH("-",'R.M Billets Reports'!D673)+1,200)),""))&lt;&gt;"",IF(ISNUMBER(SEARCH("Party Name:-",'R.M Billets Reports'!D673)),TRIM('R.M Billets Reports'!F673),IF(ISNUMBER(SEARCH("Party Name-",'R.M Billets Reports'!D673)),TRIM(MID('R.M Billets Reports'!D673,SEARCH("-",'R.M Billets Reports'!D673)+1,200)),"")),IF(ISNUMBER(SEARCH("Party Name:-",'R.M Billets Reports'!D674)),TRIM('R.M Billets Reports'!F674),IF(ISNUMBER(SEARCH("Party Name-",'R.M Billets Reports'!D674)),TRIM(MID('R.M Billets Reports'!D674,SEARCH("-",'R.M Billets Reports'!D674)+1,200)),"")))))),IF(ROW()=2,"",A673))</f>
      </c>
      <c r="B674">
        <f>IF(OR('R.M Billets Reports'!A673="Date-",'R.M Billets Reports'!A673="Date:-"),'R.M Billets Reports'!B673,IF(ROW()=2,"",B673))</f>
      </c>
      <c r="C674">
        <f>IF('R.M Billets Reports'!A673="V.No.",'R.M Billets Reports'!B673,IF(ROW()=2,"",C673))</f>
      </c>
      <c r="D674">
        <f>IF('R.M Billets Reports'!A673&lt;&gt;"",'R.M Billets Reports'!A673,IF(ROW()=2,"",D673))</f>
      </c>
      <c r="E674">
        <f>IF('R.M Billets Reports'!B673="","",TRIM('R.M Billets Reports'!B673))</f>
      </c>
      <c r="F674">
        <f>'R.M Billets Reports'!C673</f>
      </c>
      <c r="G674">
        <f>'R.M Billets Reports'!D673</f>
      </c>
      <c r="H674">
        <f>'R.M Billets Reports'!E673</f>
      </c>
      <c r="I674">
        <f>'R.M Billets Reports'!F673</f>
      </c>
      <c r="J674">
        <f>'R.M Billets Reports'!G673</f>
      </c>
      <c r="K674">
        <f>'R.M Billets Reports'!H673</f>
      </c>
      <c r="L674">
        <f>IF('R.M Billets Reports'!I673="","",'R.M Billets Reports'!I673)</f>
      </c>
      <c r="M674">
        <f t="shared" si="20"/>
      </c>
      <c r="N674">
        <f>IF('R.M Billets Reports'!J673="","",'R.M Billets Reports'!J673)</f>
      </c>
      <c r="O674">
        <f t="shared" si="21"/>
      </c>
      <c r="P674">
        <f>IF('R.M Billets Reports'!A673="SIZE",'R.M Billets Reports'!B673,P673)</f>
      </c>
    </row>
    <row r="675" spans="1:16" x14ac:dyDescent="0.25">
      <c r="A675">
        <f>IF(OR('R.M Billets Reports'!A674="Date-",'R.M Billets Reports'!A674="Date:-"),IF(IF(IF(ISNUMBER(SEARCH("Party Name:-",'R.M Billets Reports'!D674)),TRIM('R.M Billets Reports'!F674),IF(ISNUMBER(SEARCH("Party Name-",'R.M Billets Reports'!D674)),TRIM(MID('R.M Billets Reports'!D674,SEARCH("-",'R.M Billets Reports'!D674)+1,200)),""))&lt;&gt;"",IF(ISNUMBER(SEARCH("Party Name:-",'R.M Billets Reports'!D674)),TRIM('R.M Billets Reports'!F674),IF(ISNUMBER(SEARCH("Party Name-",'R.M Billets Reports'!D674)),TRIM(MID('R.M Billets Reports'!D674,SEARCH("-",'R.M Billets Reports'!D674)+1,200)),"")),IF(ISNUMBER(SEARCH("Party Name:-",'R.M Billets Reports'!D675)),TRIM('R.M Billets Reports'!F675),IF(ISNUMBER(SEARCH("Party Name-",'R.M Billets Reports'!D675)),TRIM(MID('R.M Billets Reports'!D675,SEARCH("-",'R.M Billets Reports'!D675)+1,200)),"")))="VRKP ISPAT PVT LTD","VRKP",IF(IF(IF(ISNUMBER(SEARCH("Party Name:-",'R.M Billets Reports'!D674)),TRIM('R.M Billets Reports'!F674),IF(ISNUMBER(SEARCH("Party Name-",'R.M Billets Reports'!D674)),TRIM(MID('R.M Billets Reports'!D674,SEARCH("-",'R.M Billets Reports'!D674)+1,200)),""))&lt;&gt;"",IF(ISNUMBER(SEARCH("Party Name:-",'R.M Billets Reports'!D674)),TRIM('R.M Billets Reports'!F674),IF(ISNUMBER(SEARCH("Party Name-",'R.M Billets Reports'!D674)),TRIM(MID('R.M Billets Reports'!D674,SEARCH("-",'R.M Billets Reports'!D674)+1,200)),"")),IF(ISNUMBER(SEARCH("Party Name:-",'R.M Billets Reports'!D675)),TRIM('R.M Billets Reports'!F675),IF(ISNUMBER(SEARCH("Party Name-",'R.M Billets Reports'!D675)),TRIM(MID('R.M Billets Reports'!D675,SEARCH("-",'R.M Billets Reports'!D675)+1,200)),"")))="SHRI RADHE","SHREE RADHE",IF(IF(IF(ISNUMBER(SEARCH("Party Name:-",'R.M Billets Reports'!D674)),TRIM('R.M Billets Reports'!F674),IF(ISNUMBER(SEARCH("Party Name-",'R.M Billets Reports'!D674)),TRIM(MID('R.M Billets Reports'!D674,SEARCH("-",'R.M Billets Reports'!D674)+1,200)),""))&lt;&gt;"",IF(ISNUMBER(SEARCH("Party Name:-",'R.M Billets Reports'!D674)),TRIM('R.M Billets Reports'!F674),IF(ISNUMBER(SEARCH("Party Name-",'R.M Billets Reports'!D674)),TRIM(MID('R.M Billets Reports'!D674,SEARCH("-",'R.M Billets Reports'!D674)+1,200)),"")),IF(ISNUMBER(SEARCH("Party Name:-",'R.M Billets Reports'!D675)),TRIM('R.M Billets Reports'!F675),IF(ISNUMBER(SEARCH("Party Name-",'R.M Billets Reports'!D675)),TRIM(MID('R.M Billets Reports'!D675,SEARCH("-",'R.M Billets Reports'!D675)+1,200)),"")))="SHREE RADHE SHAKTI SPONGE AND POWER PVT. LTD.","SHREE RADHE",IF(IF(ISNUMBER(SEARCH("Party Name:-",'R.M Billets Reports'!D674)),TRIM('R.M Billets Reports'!F674),IF(ISNUMBER(SEARCH("Party Name-",'R.M Billets Reports'!D674)),TRIM(MID('R.M Billets Reports'!D674,SEARCH("-",'R.M Billets Reports'!D674)+1,200)),""))&lt;&gt;"",IF(ISNUMBER(SEARCH("Party Name:-",'R.M Billets Reports'!D674)),TRIM('R.M Billets Reports'!F674),IF(ISNUMBER(SEARCH("Party Name-",'R.M Billets Reports'!D674)),TRIM(MID('R.M Billets Reports'!D674,SEARCH("-",'R.M Billets Reports'!D674)+1,200)),"")),IF(ISNUMBER(SEARCH("Party Name:-",'R.M Billets Reports'!D675)),TRIM('R.M Billets Reports'!F675),IF(ISNUMBER(SEARCH("Party Name-",'R.M Billets Reports'!D675)),TRIM(MID('R.M Billets Reports'!D675,SEARCH("-",'R.M Billets Reports'!D675)+1,200)),"")))))),IF(ROW()=2,"",A674))</f>
      </c>
      <c r="B675">
        <f>IF(OR('R.M Billets Reports'!A674="Date-",'R.M Billets Reports'!A674="Date:-"),'R.M Billets Reports'!B674,IF(ROW()=2,"",B674))</f>
      </c>
      <c r="C675">
        <f>IF('R.M Billets Reports'!A674="V.No.",'R.M Billets Reports'!B674,IF(ROW()=2,"",C674))</f>
      </c>
      <c r="D675">
        <f>IF('R.M Billets Reports'!A674&lt;&gt;"",'R.M Billets Reports'!A674,IF(ROW()=2,"",D674))</f>
      </c>
      <c r="E675">
        <f>IF('R.M Billets Reports'!B674="","",TRIM('R.M Billets Reports'!B674))</f>
      </c>
      <c r="F675">
        <f>'R.M Billets Reports'!C674</f>
      </c>
      <c r="G675">
        <f>'R.M Billets Reports'!D674</f>
      </c>
      <c r="H675">
        <f>'R.M Billets Reports'!E674</f>
      </c>
      <c r="I675">
        <f>'R.M Billets Reports'!F674</f>
      </c>
      <c r="J675">
        <f>'R.M Billets Reports'!G674</f>
      </c>
      <c r="K675">
        <f>'R.M Billets Reports'!H674</f>
      </c>
      <c r="L675">
        <f>IF('R.M Billets Reports'!I674="","",'R.M Billets Reports'!I674)</f>
      </c>
      <c r="M675">
        <f t="shared" si="20"/>
      </c>
      <c r="N675">
        <f>IF('R.M Billets Reports'!J674="","",'R.M Billets Reports'!J674)</f>
      </c>
      <c r="O675">
        <f t="shared" si="21"/>
      </c>
      <c r="P675">
        <f>IF('R.M Billets Reports'!A674="SIZE",'R.M Billets Reports'!B674,P674)</f>
      </c>
    </row>
    <row r="676" spans="1:16" x14ac:dyDescent="0.25">
      <c r="A676">
        <f>IF(OR('R.M Billets Reports'!A675="Date-",'R.M Billets Reports'!A675="Date:-"),IF(IF(IF(ISNUMBER(SEARCH("Party Name:-",'R.M Billets Reports'!D675)),TRIM('R.M Billets Reports'!F675),IF(ISNUMBER(SEARCH("Party Name-",'R.M Billets Reports'!D675)),TRIM(MID('R.M Billets Reports'!D675,SEARCH("-",'R.M Billets Reports'!D675)+1,200)),""))&lt;&gt;"",IF(ISNUMBER(SEARCH("Party Name:-",'R.M Billets Reports'!D675)),TRIM('R.M Billets Reports'!F675),IF(ISNUMBER(SEARCH("Party Name-",'R.M Billets Reports'!D675)),TRIM(MID('R.M Billets Reports'!D675,SEARCH("-",'R.M Billets Reports'!D675)+1,200)),"")),IF(ISNUMBER(SEARCH("Party Name:-",'R.M Billets Reports'!D676)),TRIM('R.M Billets Reports'!F676),IF(ISNUMBER(SEARCH("Party Name-",'R.M Billets Reports'!D676)),TRIM(MID('R.M Billets Reports'!D676,SEARCH("-",'R.M Billets Reports'!D676)+1,200)),"")))="VRKP ISPAT PVT LTD","VRKP",IF(IF(IF(ISNUMBER(SEARCH("Party Name:-",'R.M Billets Reports'!D675)),TRIM('R.M Billets Reports'!F675),IF(ISNUMBER(SEARCH("Party Name-",'R.M Billets Reports'!D675)),TRIM(MID('R.M Billets Reports'!D675,SEARCH("-",'R.M Billets Reports'!D675)+1,200)),""))&lt;&gt;"",IF(ISNUMBER(SEARCH("Party Name:-",'R.M Billets Reports'!D675)),TRIM('R.M Billets Reports'!F675),IF(ISNUMBER(SEARCH("Party Name-",'R.M Billets Reports'!D675)),TRIM(MID('R.M Billets Reports'!D675,SEARCH("-",'R.M Billets Reports'!D675)+1,200)),"")),IF(ISNUMBER(SEARCH("Party Name:-",'R.M Billets Reports'!D676)),TRIM('R.M Billets Reports'!F676),IF(ISNUMBER(SEARCH("Party Name-",'R.M Billets Reports'!D676)),TRIM(MID('R.M Billets Reports'!D676,SEARCH("-",'R.M Billets Reports'!D676)+1,200)),"")))="SHRI RADHE","SHREE RADHE",IF(IF(IF(ISNUMBER(SEARCH("Party Name:-",'R.M Billets Reports'!D675)),TRIM('R.M Billets Reports'!F675),IF(ISNUMBER(SEARCH("Party Name-",'R.M Billets Reports'!D675)),TRIM(MID('R.M Billets Reports'!D675,SEARCH("-",'R.M Billets Reports'!D675)+1,200)),""))&lt;&gt;"",IF(ISNUMBER(SEARCH("Party Name:-",'R.M Billets Reports'!D675)),TRIM('R.M Billets Reports'!F675),IF(ISNUMBER(SEARCH("Party Name-",'R.M Billets Reports'!D675)),TRIM(MID('R.M Billets Reports'!D675,SEARCH("-",'R.M Billets Reports'!D675)+1,200)),"")),IF(ISNUMBER(SEARCH("Party Name:-",'R.M Billets Reports'!D676)),TRIM('R.M Billets Reports'!F676),IF(ISNUMBER(SEARCH("Party Name-",'R.M Billets Reports'!D676)),TRIM(MID('R.M Billets Reports'!D676,SEARCH("-",'R.M Billets Reports'!D676)+1,200)),"")))="SHREE RADHE SHAKTI SPONGE AND POWER PVT. LTD.","SHREE RADHE",IF(IF(ISNUMBER(SEARCH("Party Name:-",'R.M Billets Reports'!D675)),TRIM('R.M Billets Reports'!F675),IF(ISNUMBER(SEARCH("Party Name-",'R.M Billets Reports'!D675)),TRIM(MID('R.M Billets Reports'!D675,SEARCH("-",'R.M Billets Reports'!D675)+1,200)),""))&lt;&gt;"",IF(ISNUMBER(SEARCH("Party Name:-",'R.M Billets Reports'!D675)),TRIM('R.M Billets Reports'!F675),IF(ISNUMBER(SEARCH("Party Name-",'R.M Billets Reports'!D675)),TRIM(MID('R.M Billets Reports'!D675,SEARCH("-",'R.M Billets Reports'!D675)+1,200)),"")),IF(ISNUMBER(SEARCH("Party Name:-",'R.M Billets Reports'!D676)),TRIM('R.M Billets Reports'!F676),IF(ISNUMBER(SEARCH("Party Name-",'R.M Billets Reports'!D676)),TRIM(MID('R.M Billets Reports'!D676,SEARCH("-",'R.M Billets Reports'!D676)+1,200)),"")))))),IF(ROW()=2,"",A675))</f>
      </c>
      <c r="B676">
        <f>IF(OR('R.M Billets Reports'!A675="Date-",'R.M Billets Reports'!A675="Date:-"),'R.M Billets Reports'!B675,IF(ROW()=2,"",B675))</f>
      </c>
      <c r="C676">
        <f>IF('R.M Billets Reports'!A675="V.No.",'R.M Billets Reports'!B675,IF(ROW()=2,"",C675))</f>
      </c>
      <c r="D676">
        <f>IF('R.M Billets Reports'!A675&lt;&gt;"",'R.M Billets Reports'!A675,IF(ROW()=2,"",D675))</f>
      </c>
      <c r="E676">
        <f>IF('R.M Billets Reports'!B675="","",TRIM('R.M Billets Reports'!B675))</f>
      </c>
      <c r="F676">
        <f>'R.M Billets Reports'!C675</f>
      </c>
      <c r="G676">
        <f>'R.M Billets Reports'!D675</f>
      </c>
      <c r="H676">
        <f>'R.M Billets Reports'!E675</f>
      </c>
      <c r="I676">
        <f>'R.M Billets Reports'!F675</f>
      </c>
      <c r="J676">
        <f>'R.M Billets Reports'!G675</f>
      </c>
      <c r="K676">
        <f>'R.M Billets Reports'!H675</f>
      </c>
      <c r="L676">
        <f>IF('R.M Billets Reports'!I675="","",'R.M Billets Reports'!I675)</f>
      </c>
      <c r="M676">
        <f t="shared" si="20"/>
      </c>
      <c r="N676">
        <f>IF('R.M Billets Reports'!J675="","",'R.M Billets Reports'!J675)</f>
      </c>
      <c r="O676">
        <f t="shared" si="21"/>
      </c>
      <c r="P676">
        <f>IF('R.M Billets Reports'!A675="SIZE",'R.M Billets Reports'!B675,P675)</f>
      </c>
    </row>
    <row r="677" spans="1:16" x14ac:dyDescent="0.25">
      <c r="A677">
        <f>IF(OR('R.M Billets Reports'!A676="Date-",'R.M Billets Reports'!A676="Date:-"),IF(IF(IF(ISNUMBER(SEARCH("Party Name:-",'R.M Billets Reports'!D676)),TRIM('R.M Billets Reports'!F676),IF(ISNUMBER(SEARCH("Party Name-",'R.M Billets Reports'!D676)),TRIM(MID('R.M Billets Reports'!D676,SEARCH("-",'R.M Billets Reports'!D676)+1,200)),""))&lt;&gt;"",IF(ISNUMBER(SEARCH("Party Name:-",'R.M Billets Reports'!D676)),TRIM('R.M Billets Reports'!F676),IF(ISNUMBER(SEARCH("Party Name-",'R.M Billets Reports'!D676)),TRIM(MID('R.M Billets Reports'!D676,SEARCH("-",'R.M Billets Reports'!D676)+1,200)),"")),IF(ISNUMBER(SEARCH("Party Name:-",'R.M Billets Reports'!D677)),TRIM('R.M Billets Reports'!F677),IF(ISNUMBER(SEARCH("Party Name-",'R.M Billets Reports'!D677)),TRIM(MID('R.M Billets Reports'!D677,SEARCH("-",'R.M Billets Reports'!D677)+1,200)),"")))="VRKP ISPAT PVT LTD","VRKP",IF(IF(IF(ISNUMBER(SEARCH("Party Name:-",'R.M Billets Reports'!D676)),TRIM('R.M Billets Reports'!F676),IF(ISNUMBER(SEARCH("Party Name-",'R.M Billets Reports'!D676)),TRIM(MID('R.M Billets Reports'!D676,SEARCH("-",'R.M Billets Reports'!D676)+1,200)),""))&lt;&gt;"",IF(ISNUMBER(SEARCH("Party Name:-",'R.M Billets Reports'!D676)),TRIM('R.M Billets Reports'!F676),IF(ISNUMBER(SEARCH("Party Name-",'R.M Billets Reports'!D676)),TRIM(MID('R.M Billets Reports'!D676,SEARCH("-",'R.M Billets Reports'!D676)+1,200)),"")),IF(ISNUMBER(SEARCH("Party Name:-",'R.M Billets Reports'!D677)),TRIM('R.M Billets Reports'!F677),IF(ISNUMBER(SEARCH("Party Name-",'R.M Billets Reports'!D677)),TRIM(MID('R.M Billets Reports'!D677,SEARCH("-",'R.M Billets Reports'!D677)+1,200)),"")))="SHRI RADHE","SHREE RADHE",IF(IF(IF(ISNUMBER(SEARCH("Party Name:-",'R.M Billets Reports'!D676)),TRIM('R.M Billets Reports'!F676),IF(ISNUMBER(SEARCH("Party Name-",'R.M Billets Reports'!D676)),TRIM(MID('R.M Billets Reports'!D676,SEARCH("-",'R.M Billets Reports'!D676)+1,200)),""))&lt;&gt;"",IF(ISNUMBER(SEARCH("Party Name:-",'R.M Billets Reports'!D676)),TRIM('R.M Billets Reports'!F676),IF(ISNUMBER(SEARCH("Party Name-",'R.M Billets Reports'!D676)),TRIM(MID('R.M Billets Reports'!D676,SEARCH("-",'R.M Billets Reports'!D676)+1,200)),"")),IF(ISNUMBER(SEARCH("Party Name:-",'R.M Billets Reports'!D677)),TRIM('R.M Billets Reports'!F677),IF(ISNUMBER(SEARCH("Party Name-",'R.M Billets Reports'!D677)),TRIM(MID('R.M Billets Reports'!D677,SEARCH("-",'R.M Billets Reports'!D677)+1,200)),"")))="SHREE RADHE SHAKTI SPONGE AND POWER PVT. LTD.","SHREE RADHE",IF(IF(ISNUMBER(SEARCH("Party Name:-",'R.M Billets Reports'!D676)),TRIM('R.M Billets Reports'!F676),IF(ISNUMBER(SEARCH("Party Name-",'R.M Billets Reports'!D676)),TRIM(MID('R.M Billets Reports'!D676,SEARCH("-",'R.M Billets Reports'!D676)+1,200)),""))&lt;&gt;"",IF(ISNUMBER(SEARCH("Party Name:-",'R.M Billets Reports'!D676)),TRIM('R.M Billets Reports'!F676),IF(ISNUMBER(SEARCH("Party Name-",'R.M Billets Reports'!D676)),TRIM(MID('R.M Billets Reports'!D676,SEARCH("-",'R.M Billets Reports'!D676)+1,200)),"")),IF(ISNUMBER(SEARCH("Party Name:-",'R.M Billets Reports'!D677)),TRIM('R.M Billets Reports'!F677),IF(ISNUMBER(SEARCH("Party Name-",'R.M Billets Reports'!D677)),TRIM(MID('R.M Billets Reports'!D677,SEARCH("-",'R.M Billets Reports'!D677)+1,200)),"")))))),IF(ROW()=2,"",A676))</f>
      </c>
      <c r="B677">
        <f>IF(OR('R.M Billets Reports'!A676="Date-",'R.M Billets Reports'!A676="Date:-"),'R.M Billets Reports'!B676,IF(ROW()=2,"",B676))</f>
      </c>
      <c r="C677">
        <f>IF('R.M Billets Reports'!A676="V.No.",'R.M Billets Reports'!B676,IF(ROW()=2,"",C676))</f>
      </c>
      <c r="D677">
        <f>IF('R.M Billets Reports'!A676&lt;&gt;"",'R.M Billets Reports'!A676,IF(ROW()=2,"",D676))</f>
      </c>
      <c r="E677">
        <f>IF('R.M Billets Reports'!B676="","",TRIM('R.M Billets Reports'!B676))</f>
      </c>
      <c r="F677">
        <f>'R.M Billets Reports'!C676</f>
      </c>
      <c r="G677">
        <f>'R.M Billets Reports'!D676</f>
      </c>
      <c r="H677">
        <f>'R.M Billets Reports'!E676</f>
      </c>
      <c r="I677">
        <f>'R.M Billets Reports'!F676</f>
      </c>
      <c r="J677">
        <f>'R.M Billets Reports'!G676</f>
      </c>
      <c r="K677">
        <f>'R.M Billets Reports'!H676</f>
      </c>
      <c r="L677">
        <f>IF('R.M Billets Reports'!I676="","",'R.M Billets Reports'!I676)</f>
      </c>
      <c r="M677">
        <f t="shared" si="20"/>
      </c>
      <c r="N677">
        <f>IF('R.M Billets Reports'!J676="","",'R.M Billets Reports'!J676)</f>
      </c>
      <c r="O677">
        <f t="shared" si="21"/>
      </c>
      <c r="P677">
        <f>IF('R.M Billets Reports'!A676="SIZE",'R.M Billets Reports'!B676,P676)</f>
      </c>
    </row>
    <row r="678" spans="1:16" x14ac:dyDescent="0.25">
      <c r="A678">
        <f>IF(OR('R.M Billets Reports'!A677="Date-",'R.M Billets Reports'!A677="Date:-"),IF(IF(IF(ISNUMBER(SEARCH("Party Name:-",'R.M Billets Reports'!D677)),TRIM('R.M Billets Reports'!F677),IF(ISNUMBER(SEARCH("Party Name-",'R.M Billets Reports'!D677)),TRIM(MID('R.M Billets Reports'!D677,SEARCH("-",'R.M Billets Reports'!D677)+1,200)),""))&lt;&gt;"",IF(ISNUMBER(SEARCH("Party Name:-",'R.M Billets Reports'!D677)),TRIM('R.M Billets Reports'!F677),IF(ISNUMBER(SEARCH("Party Name-",'R.M Billets Reports'!D677)),TRIM(MID('R.M Billets Reports'!D677,SEARCH("-",'R.M Billets Reports'!D677)+1,200)),"")),IF(ISNUMBER(SEARCH("Party Name:-",'R.M Billets Reports'!D678)),TRIM('R.M Billets Reports'!F678),IF(ISNUMBER(SEARCH("Party Name-",'R.M Billets Reports'!D678)),TRIM(MID('R.M Billets Reports'!D678,SEARCH("-",'R.M Billets Reports'!D678)+1,200)),"")))="VRKP ISPAT PVT LTD","VRKP",IF(IF(IF(ISNUMBER(SEARCH("Party Name:-",'R.M Billets Reports'!D677)),TRIM('R.M Billets Reports'!F677),IF(ISNUMBER(SEARCH("Party Name-",'R.M Billets Reports'!D677)),TRIM(MID('R.M Billets Reports'!D677,SEARCH("-",'R.M Billets Reports'!D677)+1,200)),""))&lt;&gt;"",IF(ISNUMBER(SEARCH("Party Name:-",'R.M Billets Reports'!D677)),TRIM('R.M Billets Reports'!F677),IF(ISNUMBER(SEARCH("Party Name-",'R.M Billets Reports'!D677)),TRIM(MID('R.M Billets Reports'!D677,SEARCH("-",'R.M Billets Reports'!D677)+1,200)),"")),IF(ISNUMBER(SEARCH("Party Name:-",'R.M Billets Reports'!D678)),TRIM('R.M Billets Reports'!F678),IF(ISNUMBER(SEARCH("Party Name-",'R.M Billets Reports'!D678)),TRIM(MID('R.M Billets Reports'!D678,SEARCH("-",'R.M Billets Reports'!D678)+1,200)),"")))="SHRI RADHE","SHREE RADHE",IF(IF(IF(ISNUMBER(SEARCH("Party Name:-",'R.M Billets Reports'!D677)),TRIM('R.M Billets Reports'!F677),IF(ISNUMBER(SEARCH("Party Name-",'R.M Billets Reports'!D677)),TRIM(MID('R.M Billets Reports'!D677,SEARCH("-",'R.M Billets Reports'!D677)+1,200)),""))&lt;&gt;"",IF(ISNUMBER(SEARCH("Party Name:-",'R.M Billets Reports'!D677)),TRIM('R.M Billets Reports'!F677),IF(ISNUMBER(SEARCH("Party Name-",'R.M Billets Reports'!D677)),TRIM(MID('R.M Billets Reports'!D677,SEARCH("-",'R.M Billets Reports'!D677)+1,200)),"")),IF(ISNUMBER(SEARCH("Party Name:-",'R.M Billets Reports'!D678)),TRIM('R.M Billets Reports'!F678),IF(ISNUMBER(SEARCH("Party Name-",'R.M Billets Reports'!D678)),TRIM(MID('R.M Billets Reports'!D678,SEARCH("-",'R.M Billets Reports'!D678)+1,200)),"")))="SHREE RADHE SHAKTI SPONGE AND POWER PVT. LTD.","SHREE RADHE",IF(IF(ISNUMBER(SEARCH("Party Name:-",'R.M Billets Reports'!D677)),TRIM('R.M Billets Reports'!F677),IF(ISNUMBER(SEARCH("Party Name-",'R.M Billets Reports'!D677)),TRIM(MID('R.M Billets Reports'!D677,SEARCH("-",'R.M Billets Reports'!D677)+1,200)),""))&lt;&gt;"",IF(ISNUMBER(SEARCH("Party Name:-",'R.M Billets Reports'!D677)),TRIM('R.M Billets Reports'!F677),IF(ISNUMBER(SEARCH("Party Name-",'R.M Billets Reports'!D677)),TRIM(MID('R.M Billets Reports'!D677,SEARCH("-",'R.M Billets Reports'!D677)+1,200)),"")),IF(ISNUMBER(SEARCH("Party Name:-",'R.M Billets Reports'!D678)),TRIM('R.M Billets Reports'!F678),IF(ISNUMBER(SEARCH("Party Name-",'R.M Billets Reports'!D678)),TRIM(MID('R.M Billets Reports'!D678,SEARCH("-",'R.M Billets Reports'!D678)+1,200)),"")))))),IF(ROW()=2,"",A677))</f>
      </c>
      <c r="B678">
        <f>IF(OR('R.M Billets Reports'!A677="Date-",'R.M Billets Reports'!A677="Date:-"),'R.M Billets Reports'!B677,IF(ROW()=2,"",B677))</f>
      </c>
      <c r="C678">
        <f>IF('R.M Billets Reports'!A677="V.No.",'R.M Billets Reports'!B677,IF(ROW()=2,"",C677))</f>
      </c>
      <c r="D678">
        <f>IF('R.M Billets Reports'!A677&lt;&gt;"",'R.M Billets Reports'!A677,IF(ROW()=2,"",D677))</f>
      </c>
      <c r="E678">
        <f>IF('R.M Billets Reports'!B677="","",TRIM('R.M Billets Reports'!B677))</f>
      </c>
      <c r="F678">
        <f>'R.M Billets Reports'!C677</f>
      </c>
      <c r="G678">
        <f>'R.M Billets Reports'!D677</f>
      </c>
      <c r="H678">
        <f>'R.M Billets Reports'!E677</f>
      </c>
      <c r="I678">
        <f>'R.M Billets Reports'!F677</f>
      </c>
      <c r="J678">
        <f>'R.M Billets Reports'!G677</f>
      </c>
      <c r="K678">
        <f>'R.M Billets Reports'!H677</f>
      </c>
      <c r="L678">
        <f>IF('R.M Billets Reports'!I677="","",'R.M Billets Reports'!I677)</f>
      </c>
      <c r="M678">
        <f t="shared" si="20"/>
      </c>
      <c r="N678">
        <f>IF('R.M Billets Reports'!J677="","",'R.M Billets Reports'!J677)</f>
      </c>
      <c r="O678">
        <f t="shared" si="21"/>
      </c>
      <c r="P678">
        <f>IF('R.M Billets Reports'!A677="SIZE",'R.M Billets Reports'!B677,P677)</f>
      </c>
    </row>
    <row r="679" spans="1:16" x14ac:dyDescent="0.25">
      <c r="A679">
        <f>IF(OR('R.M Billets Reports'!A678="Date-",'R.M Billets Reports'!A678="Date:-"),IF(IF(IF(ISNUMBER(SEARCH("Party Name:-",'R.M Billets Reports'!D678)),TRIM('R.M Billets Reports'!F678),IF(ISNUMBER(SEARCH("Party Name-",'R.M Billets Reports'!D678)),TRIM(MID('R.M Billets Reports'!D678,SEARCH("-",'R.M Billets Reports'!D678)+1,200)),""))&lt;&gt;"",IF(ISNUMBER(SEARCH("Party Name:-",'R.M Billets Reports'!D678)),TRIM('R.M Billets Reports'!F678),IF(ISNUMBER(SEARCH("Party Name-",'R.M Billets Reports'!D678)),TRIM(MID('R.M Billets Reports'!D678,SEARCH("-",'R.M Billets Reports'!D678)+1,200)),"")),IF(ISNUMBER(SEARCH("Party Name:-",'R.M Billets Reports'!D679)),TRIM('R.M Billets Reports'!F679),IF(ISNUMBER(SEARCH("Party Name-",'R.M Billets Reports'!D679)),TRIM(MID('R.M Billets Reports'!D679,SEARCH("-",'R.M Billets Reports'!D679)+1,200)),"")))="VRKP ISPAT PVT LTD","VRKP",IF(IF(IF(ISNUMBER(SEARCH("Party Name:-",'R.M Billets Reports'!D678)),TRIM('R.M Billets Reports'!F678),IF(ISNUMBER(SEARCH("Party Name-",'R.M Billets Reports'!D678)),TRIM(MID('R.M Billets Reports'!D678,SEARCH("-",'R.M Billets Reports'!D678)+1,200)),""))&lt;&gt;"",IF(ISNUMBER(SEARCH("Party Name:-",'R.M Billets Reports'!D678)),TRIM('R.M Billets Reports'!F678),IF(ISNUMBER(SEARCH("Party Name-",'R.M Billets Reports'!D678)),TRIM(MID('R.M Billets Reports'!D678,SEARCH("-",'R.M Billets Reports'!D678)+1,200)),"")),IF(ISNUMBER(SEARCH("Party Name:-",'R.M Billets Reports'!D679)),TRIM('R.M Billets Reports'!F679),IF(ISNUMBER(SEARCH("Party Name-",'R.M Billets Reports'!D679)),TRIM(MID('R.M Billets Reports'!D679,SEARCH("-",'R.M Billets Reports'!D679)+1,200)),"")))="SHRI RADHE","SHREE RADHE",IF(IF(IF(ISNUMBER(SEARCH("Party Name:-",'R.M Billets Reports'!D678)),TRIM('R.M Billets Reports'!F678),IF(ISNUMBER(SEARCH("Party Name-",'R.M Billets Reports'!D678)),TRIM(MID('R.M Billets Reports'!D678,SEARCH("-",'R.M Billets Reports'!D678)+1,200)),""))&lt;&gt;"",IF(ISNUMBER(SEARCH("Party Name:-",'R.M Billets Reports'!D678)),TRIM('R.M Billets Reports'!F678),IF(ISNUMBER(SEARCH("Party Name-",'R.M Billets Reports'!D678)),TRIM(MID('R.M Billets Reports'!D678,SEARCH("-",'R.M Billets Reports'!D678)+1,200)),"")),IF(ISNUMBER(SEARCH("Party Name:-",'R.M Billets Reports'!D679)),TRIM('R.M Billets Reports'!F679),IF(ISNUMBER(SEARCH("Party Name-",'R.M Billets Reports'!D679)),TRIM(MID('R.M Billets Reports'!D679,SEARCH("-",'R.M Billets Reports'!D679)+1,200)),"")))="SHREE RADHE SHAKTI SPONGE AND POWER PVT. LTD.","SHREE RADHE",IF(IF(ISNUMBER(SEARCH("Party Name:-",'R.M Billets Reports'!D678)),TRIM('R.M Billets Reports'!F678),IF(ISNUMBER(SEARCH("Party Name-",'R.M Billets Reports'!D678)),TRIM(MID('R.M Billets Reports'!D678,SEARCH("-",'R.M Billets Reports'!D678)+1,200)),""))&lt;&gt;"",IF(ISNUMBER(SEARCH("Party Name:-",'R.M Billets Reports'!D678)),TRIM('R.M Billets Reports'!F678),IF(ISNUMBER(SEARCH("Party Name-",'R.M Billets Reports'!D678)),TRIM(MID('R.M Billets Reports'!D678,SEARCH("-",'R.M Billets Reports'!D678)+1,200)),"")),IF(ISNUMBER(SEARCH("Party Name:-",'R.M Billets Reports'!D679)),TRIM('R.M Billets Reports'!F679),IF(ISNUMBER(SEARCH("Party Name-",'R.M Billets Reports'!D679)),TRIM(MID('R.M Billets Reports'!D679,SEARCH("-",'R.M Billets Reports'!D679)+1,200)),"")))))),IF(ROW()=2,"",A678))</f>
      </c>
      <c r="B679">
        <f>IF(OR('R.M Billets Reports'!A678="Date-",'R.M Billets Reports'!A678="Date:-"),'R.M Billets Reports'!B678,IF(ROW()=2,"",B678))</f>
      </c>
      <c r="C679">
        <f>IF('R.M Billets Reports'!A678="V.No.",'R.M Billets Reports'!B678,IF(ROW()=2,"",C678))</f>
      </c>
      <c r="D679">
        <f>IF('R.M Billets Reports'!A678&lt;&gt;"",'R.M Billets Reports'!A678,IF(ROW()=2,"",D678))</f>
      </c>
      <c r="E679">
        <f>IF('R.M Billets Reports'!B678="","",TRIM('R.M Billets Reports'!B678))</f>
      </c>
      <c r="F679">
        <f>'R.M Billets Reports'!C678</f>
      </c>
      <c r="G679">
        <f>'R.M Billets Reports'!D678</f>
      </c>
      <c r="H679">
        <f>'R.M Billets Reports'!E678</f>
      </c>
      <c r="I679">
        <f>'R.M Billets Reports'!F678</f>
      </c>
      <c r="J679">
        <f>'R.M Billets Reports'!G678</f>
      </c>
      <c r="K679">
        <f>'R.M Billets Reports'!H678</f>
      </c>
      <c r="L679">
        <f>IF('R.M Billets Reports'!I678="","",'R.M Billets Reports'!I678)</f>
      </c>
      <c r="M679">
        <f t="shared" si="20"/>
      </c>
      <c r="N679">
        <f>IF('R.M Billets Reports'!J678="","",'R.M Billets Reports'!J678)</f>
      </c>
      <c r="O679">
        <f t="shared" si="21"/>
      </c>
      <c r="P679">
        <f>IF('R.M Billets Reports'!A678="SIZE",'R.M Billets Reports'!B678,P678)</f>
      </c>
    </row>
    <row r="680" spans="1:16" x14ac:dyDescent="0.25">
      <c r="A680">
        <f>IF(OR('R.M Billets Reports'!A679="Date-",'R.M Billets Reports'!A679="Date:-"),IF(IF(IF(ISNUMBER(SEARCH("Party Name:-",'R.M Billets Reports'!D679)),TRIM('R.M Billets Reports'!F679),IF(ISNUMBER(SEARCH("Party Name-",'R.M Billets Reports'!D679)),TRIM(MID('R.M Billets Reports'!D679,SEARCH("-",'R.M Billets Reports'!D679)+1,200)),""))&lt;&gt;"",IF(ISNUMBER(SEARCH("Party Name:-",'R.M Billets Reports'!D679)),TRIM('R.M Billets Reports'!F679),IF(ISNUMBER(SEARCH("Party Name-",'R.M Billets Reports'!D679)),TRIM(MID('R.M Billets Reports'!D679,SEARCH("-",'R.M Billets Reports'!D679)+1,200)),"")),IF(ISNUMBER(SEARCH("Party Name:-",'R.M Billets Reports'!D680)),TRIM('R.M Billets Reports'!F680),IF(ISNUMBER(SEARCH("Party Name-",'R.M Billets Reports'!D680)),TRIM(MID('R.M Billets Reports'!D680,SEARCH("-",'R.M Billets Reports'!D680)+1,200)),"")))="VRKP ISPAT PVT LTD","VRKP",IF(IF(IF(ISNUMBER(SEARCH("Party Name:-",'R.M Billets Reports'!D679)),TRIM('R.M Billets Reports'!F679),IF(ISNUMBER(SEARCH("Party Name-",'R.M Billets Reports'!D679)),TRIM(MID('R.M Billets Reports'!D679,SEARCH("-",'R.M Billets Reports'!D679)+1,200)),""))&lt;&gt;"",IF(ISNUMBER(SEARCH("Party Name:-",'R.M Billets Reports'!D679)),TRIM('R.M Billets Reports'!F679),IF(ISNUMBER(SEARCH("Party Name-",'R.M Billets Reports'!D679)),TRIM(MID('R.M Billets Reports'!D679,SEARCH("-",'R.M Billets Reports'!D679)+1,200)),"")),IF(ISNUMBER(SEARCH("Party Name:-",'R.M Billets Reports'!D680)),TRIM('R.M Billets Reports'!F680),IF(ISNUMBER(SEARCH("Party Name-",'R.M Billets Reports'!D680)),TRIM(MID('R.M Billets Reports'!D680,SEARCH("-",'R.M Billets Reports'!D680)+1,200)),"")))="SHRI RADHE","SHREE RADHE",IF(IF(IF(ISNUMBER(SEARCH("Party Name:-",'R.M Billets Reports'!D679)),TRIM('R.M Billets Reports'!F679),IF(ISNUMBER(SEARCH("Party Name-",'R.M Billets Reports'!D679)),TRIM(MID('R.M Billets Reports'!D679,SEARCH("-",'R.M Billets Reports'!D679)+1,200)),""))&lt;&gt;"",IF(ISNUMBER(SEARCH("Party Name:-",'R.M Billets Reports'!D679)),TRIM('R.M Billets Reports'!F679),IF(ISNUMBER(SEARCH("Party Name-",'R.M Billets Reports'!D679)),TRIM(MID('R.M Billets Reports'!D679,SEARCH("-",'R.M Billets Reports'!D679)+1,200)),"")),IF(ISNUMBER(SEARCH("Party Name:-",'R.M Billets Reports'!D680)),TRIM('R.M Billets Reports'!F680),IF(ISNUMBER(SEARCH("Party Name-",'R.M Billets Reports'!D680)),TRIM(MID('R.M Billets Reports'!D680,SEARCH("-",'R.M Billets Reports'!D680)+1,200)),"")))="SHREE RADHE SHAKTI SPONGE AND POWER PVT. LTD.","SHREE RADHE",IF(IF(ISNUMBER(SEARCH("Party Name:-",'R.M Billets Reports'!D679)),TRIM('R.M Billets Reports'!F679),IF(ISNUMBER(SEARCH("Party Name-",'R.M Billets Reports'!D679)),TRIM(MID('R.M Billets Reports'!D679,SEARCH("-",'R.M Billets Reports'!D679)+1,200)),""))&lt;&gt;"",IF(ISNUMBER(SEARCH("Party Name:-",'R.M Billets Reports'!D679)),TRIM('R.M Billets Reports'!F679),IF(ISNUMBER(SEARCH("Party Name-",'R.M Billets Reports'!D679)),TRIM(MID('R.M Billets Reports'!D679,SEARCH("-",'R.M Billets Reports'!D679)+1,200)),"")),IF(ISNUMBER(SEARCH("Party Name:-",'R.M Billets Reports'!D680)),TRIM('R.M Billets Reports'!F680),IF(ISNUMBER(SEARCH("Party Name-",'R.M Billets Reports'!D680)),TRIM(MID('R.M Billets Reports'!D680,SEARCH("-",'R.M Billets Reports'!D680)+1,200)),"")))))),IF(ROW()=2,"",A679))</f>
      </c>
      <c r="B680">
        <f>IF(OR('R.M Billets Reports'!A679="Date-",'R.M Billets Reports'!A679="Date:-"),'R.M Billets Reports'!B679,IF(ROW()=2,"",B679))</f>
      </c>
      <c r="C680">
        <f>IF('R.M Billets Reports'!A679="V.No.",'R.M Billets Reports'!B679,IF(ROW()=2,"",C679))</f>
      </c>
      <c r="D680">
        <f>IF('R.M Billets Reports'!A679&lt;&gt;"",'R.M Billets Reports'!A679,IF(ROW()=2,"",D679))</f>
      </c>
      <c r="E680">
        <f>IF('R.M Billets Reports'!B679="","",TRIM('R.M Billets Reports'!B679))</f>
      </c>
      <c r="F680">
        <f>'R.M Billets Reports'!C679</f>
      </c>
      <c r="G680">
        <f>'R.M Billets Reports'!D679</f>
      </c>
      <c r="H680">
        <f>'R.M Billets Reports'!E679</f>
      </c>
      <c r="I680">
        <f>'R.M Billets Reports'!F679</f>
      </c>
      <c r="J680">
        <f>'R.M Billets Reports'!G679</f>
      </c>
      <c r="K680">
        <f>'R.M Billets Reports'!H679</f>
      </c>
      <c r="L680">
        <f>IF('R.M Billets Reports'!I679="","",'R.M Billets Reports'!I679)</f>
      </c>
      <c r="M680">
        <f t="shared" si="20"/>
      </c>
      <c r="N680">
        <f>IF('R.M Billets Reports'!J679="","",'R.M Billets Reports'!J679)</f>
      </c>
      <c r="O680">
        <f t="shared" si="21"/>
      </c>
      <c r="P680">
        <f>IF('R.M Billets Reports'!A679="SIZE",'R.M Billets Reports'!B679,P679)</f>
      </c>
    </row>
    <row r="681" spans="1:16" x14ac:dyDescent="0.25">
      <c r="A681">
        <f>IF(OR('R.M Billets Reports'!A680="Date-",'R.M Billets Reports'!A680="Date:-"),IF(IF(IF(ISNUMBER(SEARCH("Party Name:-",'R.M Billets Reports'!D680)),TRIM('R.M Billets Reports'!F680),IF(ISNUMBER(SEARCH("Party Name-",'R.M Billets Reports'!D680)),TRIM(MID('R.M Billets Reports'!D680,SEARCH("-",'R.M Billets Reports'!D680)+1,200)),""))&lt;&gt;"",IF(ISNUMBER(SEARCH("Party Name:-",'R.M Billets Reports'!D680)),TRIM('R.M Billets Reports'!F680),IF(ISNUMBER(SEARCH("Party Name-",'R.M Billets Reports'!D680)),TRIM(MID('R.M Billets Reports'!D680,SEARCH("-",'R.M Billets Reports'!D680)+1,200)),"")),IF(ISNUMBER(SEARCH("Party Name:-",'R.M Billets Reports'!D681)),TRIM('R.M Billets Reports'!F681),IF(ISNUMBER(SEARCH("Party Name-",'R.M Billets Reports'!D681)),TRIM(MID('R.M Billets Reports'!D681,SEARCH("-",'R.M Billets Reports'!D681)+1,200)),"")))="VRKP ISPAT PVT LTD","VRKP",IF(IF(IF(ISNUMBER(SEARCH("Party Name:-",'R.M Billets Reports'!D680)),TRIM('R.M Billets Reports'!F680),IF(ISNUMBER(SEARCH("Party Name-",'R.M Billets Reports'!D680)),TRIM(MID('R.M Billets Reports'!D680,SEARCH("-",'R.M Billets Reports'!D680)+1,200)),""))&lt;&gt;"",IF(ISNUMBER(SEARCH("Party Name:-",'R.M Billets Reports'!D680)),TRIM('R.M Billets Reports'!F680),IF(ISNUMBER(SEARCH("Party Name-",'R.M Billets Reports'!D680)),TRIM(MID('R.M Billets Reports'!D680,SEARCH("-",'R.M Billets Reports'!D680)+1,200)),"")),IF(ISNUMBER(SEARCH("Party Name:-",'R.M Billets Reports'!D681)),TRIM('R.M Billets Reports'!F681),IF(ISNUMBER(SEARCH("Party Name-",'R.M Billets Reports'!D681)),TRIM(MID('R.M Billets Reports'!D681,SEARCH("-",'R.M Billets Reports'!D681)+1,200)),"")))="SHRI RADHE","SHREE RADHE",IF(IF(IF(ISNUMBER(SEARCH("Party Name:-",'R.M Billets Reports'!D680)),TRIM('R.M Billets Reports'!F680),IF(ISNUMBER(SEARCH("Party Name-",'R.M Billets Reports'!D680)),TRIM(MID('R.M Billets Reports'!D680,SEARCH("-",'R.M Billets Reports'!D680)+1,200)),""))&lt;&gt;"",IF(ISNUMBER(SEARCH("Party Name:-",'R.M Billets Reports'!D680)),TRIM('R.M Billets Reports'!F680),IF(ISNUMBER(SEARCH("Party Name-",'R.M Billets Reports'!D680)),TRIM(MID('R.M Billets Reports'!D680,SEARCH("-",'R.M Billets Reports'!D680)+1,200)),"")),IF(ISNUMBER(SEARCH("Party Name:-",'R.M Billets Reports'!D681)),TRIM('R.M Billets Reports'!F681),IF(ISNUMBER(SEARCH("Party Name-",'R.M Billets Reports'!D681)),TRIM(MID('R.M Billets Reports'!D681,SEARCH("-",'R.M Billets Reports'!D681)+1,200)),"")))="SHREE RADHE SHAKTI SPONGE AND POWER PVT. LTD.","SHREE RADHE",IF(IF(ISNUMBER(SEARCH("Party Name:-",'R.M Billets Reports'!D680)),TRIM('R.M Billets Reports'!F680),IF(ISNUMBER(SEARCH("Party Name-",'R.M Billets Reports'!D680)),TRIM(MID('R.M Billets Reports'!D680,SEARCH("-",'R.M Billets Reports'!D680)+1,200)),""))&lt;&gt;"",IF(ISNUMBER(SEARCH("Party Name:-",'R.M Billets Reports'!D680)),TRIM('R.M Billets Reports'!F680),IF(ISNUMBER(SEARCH("Party Name-",'R.M Billets Reports'!D680)),TRIM(MID('R.M Billets Reports'!D680,SEARCH("-",'R.M Billets Reports'!D680)+1,200)),"")),IF(ISNUMBER(SEARCH("Party Name:-",'R.M Billets Reports'!D681)),TRIM('R.M Billets Reports'!F681),IF(ISNUMBER(SEARCH("Party Name-",'R.M Billets Reports'!D681)),TRIM(MID('R.M Billets Reports'!D681,SEARCH("-",'R.M Billets Reports'!D681)+1,200)),"")))))),IF(ROW()=2,"",A680))</f>
      </c>
      <c r="B681">
        <f>IF(OR('R.M Billets Reports'!A680="Date-",'R.M Billets Reports'!A680="Date:-"),'R.M Billets Reports'!B680,IF(ROW()=2,"",B680))</f>
      </c>
      <c r="C681">
        <f>IF('R.M Billets Reports'!A680="V.No.",'R.M Billets Reports'!B680,IF(ROW()=2,"",C680))</f>
      </c>
      <c r="D681">
        <f>IF('R.M Billets Reports'!A680&lt;&gt;"",'R.M Billets Reports'!A680,IF(ROW()=2,"",D680))</f>
      </c>
      <c r="E681">
        <f>IF('R.M Billets Reports'!B680="","",TRIM('R.M Billets Reports'!B680))</f>
      </c>
      <c r="F681">
        <f>'R.M Billets Reports'!C680</f>
      </c>
      <c r="G681">
        <f>'R.M Billets Reports'!D680</f>
      </c>
      <c r="H681">
        <f>'R.M Billets Reports'!E680</f>
      </c>
      <c r="I681">
        <f>'R.M Billets Reports'!F680</f>
      </c>
      <c r="J681">
        <f>'R.M Billets Reports'!G680</f>
      </c>
      <c r="K681">
        <f>'R.M Billets Reports'!H680</f>
      </c>
      <c r="L681">
        <f>IF('R.M Billets Reports'!I680="","",'R.M Billets Reports'!I680)</f>
      </c>
      <c r="M681">
        <f t="shared" si="20"/>
      </c>
      <c r="N681">
        <f>IF('R.M Billets Reports'!J680="","",'R.M Billets Reports'!J680)</f>
      </c>
      <c r="O681">
        <f t="shared" si="21"/>
      </c>
      <c r="P681">
        <f>IF('R.M Billets Reports'!A680="SIZE",'R.M Billets Reports'!B680,P680)</f>
      </c>
    </row>
    <row r="682" spans="1:16" x14ac:dyDescent="0.25">
      <c r="A682">
        <f>IF(OR('R.M Billets Reports'!A681="Date-",'R.M Billets Reports'!A681="Date:-"),IF(IF(IF(ISNUMBER(SEARCH("Party Name:-",'R.M Billets Reports'!D681)),TRIM('R.M Billets Reports'!F681),IF(ISNUMBER(SEARCH("Party Name-",'R.M Billets Reports'!D681)),TRIM(MID('R.M Billets Reports'!D681,SEARCH("-",'R.M Billets Reports'!D681)+1,200)),""))&lt;&gt;"",IF(ISNUMBER(SEARCH("Party Name:-",'R.M Billets Reports'!D681)),TRIM('R.M Billets Reports'!F681),IF(ISNUMBER(SEARCH("Party Name-",'R.M Billets Reports'!D681)),TRIM(MID('R.M Billets Reports'!D681,SEARCH("-",'R.M Billets Reports'!D681)+1,200)),"")),IF(ISNUMBER(SEARCH("Party Name:-",'R.M Billets Reports'!D682)),TRIM('R.M Billets Reports'!F682),IF(ISNUMBER(SEARCH("Party Name-",'R.M Billets Reports'!D682)),TRIM(MID('R.M Billets Reports'!D682,SEARCH("-",'R.M Billets Reports'!D682)+1,200)),"")))="VRKP ISPAT PVT LTD","VRKP",IF(IF(IF(ISNUMBER(SEARCH("Party Name:-",'R.M Billets Reports'!D681)),TRIM('R.M Billets Reports'!F681),IF(ISNUMBER(SEARCH("Party Name-",'R.M Billets Reports'!D681)),TRIM(MID('R.M Billets Reports'!D681,SEARCH("-",'R.M Billets Reports'!D681)+1,200)),""))&lt;&gt;"",IF(ISNUMBER(SEARCH("Party Name:-",'R.M Billets Reports'!D681)),TRIM('R.M Billets Reports'!F681),IF(ISNUMBER(SEARCH("Party Name-",'R.M Billets Reports'!D681)),TRIM(MID('R.M Billets Reports'!D681,SEARCH("-",'R.M Billets Reports'!D681)+1,200)),"")),IF(ISNUMBER(SEARCH("Party Name:-",'R.M Billets Reports'!D682)),TRIM('R.M Billets Reports'!F682),IF(ISNUMBER(SEARCH("Party Name-",'R.M Billets Reports'!D682)),TRIM(MID('R.M Billets Reports'!D682,SEARCH("-",'R.M Billets Reports'!D682)+1,200)),"")))="SHRI RADHE","SHREE RADHE",IF(IF(IF(ISNUMBER(SEARCH("Party Name:-",'R.M Billets Reports'!D681)),TRIM('R.M Billets Reports'!F681),IF(ISNUMBER(SEARCH("Party Name-",'R.M Billets Reports'!D681)),TRIM(MID('R.M Billets Reports'!D681,SEARCH("-",'R.M Billets Reports'!D681)+1,200)),""))&lt;&gt;"",IF(ISNUMBER(SEARCH("Party Name:-",'R.M Billets Reports'!D681)),TRIM('R.M Billets Reports'!F681),IF(ISNUMBER(SEARCH("Party Name-",'R.M Billets Reports'!D681)),TRIM(MID('R.M Billets Reports'!D681,SEARCH("-",'R.M Billets Reports'!D681)+1,200)),"")),IF(ISNUMBER(SEARCH("Party Name:-",'R.M Billets Reports'!D682)),TRIM('R.M Billets Reports'!F682),IF(ISNUMBER(SEARCH("Party Name-",'R.M Billets Reports'!D682)),TRIM(MID('R.M Billets Reports'!D682,SEARCH("-",'R.M Billets Reports'!D682)+1,200)),"")))="SHREE RADHE SHAKTI SPONGE AND POWER PVT. LTD.","SHREE RADHE",IF(IF(ISNUMBER(SEARCH("Party Name:-",'R.M Billets Reports'!D681)),TRIM('R.M Billets Reports'!F681),IF(ISNUMBER(SEARCH("Party Name-",'R.M Billets Reports'!D681)),TRIM(MID('R.M Billets Reports'!D681,SEARCH("-",'R.M Billets Reports'!D681)+1,200)),""))&lt;&gt;"",IF(ISNUMBER(SEARCH("Party Name:-",'R.M Billets Reports'!D681)),TRIM('R.M Billets Reports'!F681),IF(ISNUMBER(SEARCH("Party Name-",'R.M Billets Reports'!D681)),TRIM(MID('R.M Billets Reports'!D681,SEARCH("-",'R.M Billets Reports'!D681)+1,200)),"")),IF(ISNUMBER(SEARCH("Party Name:-",'R.M Billets Reports'!D682)),TRIM('R.M Billets Reports'!F682),IF(ISNUMBER(SEARCH("Party Name-",'R.M Billets Reports'!D682)),TRIM(MID('R.M Billets Reports'!D682,SEARCH("-",'R.M Billets Reports'!D682)+1,200)),"")))))),IF(ROW()=2,"",A681))</f>
      </c>
      <c r="B682">
        <f>IF(OR('R.M Billets Reports'!A681="Date-",'R.M Billets Reports'!A681="Date:-"),'R.M Billets Reports'!B681,IF(ROW()=2,"",B681))</f>
      </c>
      <c r="C682">
        <f>IF('R.M Billets Reports'!A681="V.No.",'R.M Billets Reports'!B681,IF(ROW()=2,"",C681))</f>
      </c>
      <c r="D682">
        <f>IF('R.M Billets Reports'!A681&lt;&gt;"",'R.M Billets Reports'!A681,IF(ROW()=2,"",D681))</f>
      </c>
      <c r="E682">
        <f>IF('R.M Billets Reports'!B681="","",TRIM('R.M Billets Reports'!B681))</f>
      </c>
      <c r="F682">
        <f>'R.M Billets Reports'!C681</f>
      </c>
      <c r="G682">
        <f>'R.M Billets Reports'!D681</f>
      </c>
      <c r="H682">
        <f>'R.M Billets Reports'!E681</f>
      </c>
      <c r="I682">
        <f>'R.M Billets Reports'!F681</f>
      </c>
      <c r="J682">
        <f>'R.M Billets Reports'!G681</f>
      </c>
      <c r="K682">
        <f>'R.M Billets Reports'!H681</f>
      </c>
      <c r="L682">
        <f>IF('R.M Billets Reports'!I681="","",'R.M Billets Reports'!I681)</f>
      </c>
      <c r="M682">
        <f t="shared" si="20"/>
      </c>
      <c r="N682">
        <f>IF('R.M Billets Reports'!J681="","",'R.M Billets Reports'!J681)</f>
      </c>
      <c r="O682">
        <f t="shared" si="21"/>
      </c>
      <c r="P682">
        <f>IF('R.M Billets Reports'!A681="SIZE",'R.M Billets Reports'!B681,P681)</f>
      </c>
    </row>
    <row r="683" spans="1:16" x14ac:dyDescent="0.25">
      <c r="A683">
        <f>IF(OR('R.M Billets Reports'!A682="Date-",'R.M Billets Reports'!A682="Date:-"),IF(IF(IF(ISNUMBER(SEARCH("Party Name:-",'R.M Billets Reports'!D682)),TRIM('R.M Billets Reports'!F682),IF(ISNUMBER(SEARCH("Party Name-",'R.M Billets Reports'!D682)),TRIM(MID('R.M Billets Reports'!D682,SEARCH("-",'R.M Billets Reports'!D682)+1,200)),""))&lt;&gt;"",IF(ISNUMBER(SEARCH("Party Name:-",'R.M Billets Reports'!D682)),TRIM('R.M Billets Reports'!F682),IF(ISNUMBER(SEARCH("Party Name-",'R.M Billets Reports'!D682)),TRIM(MID('R.M Billets Reports'!D682,SEARCH("-",'R.M Billets Reports'!D682)+1,200)),"")),IF(ISNUMBER(SEARCH("Party Name:-",'R.M Billets Reports'!D683)),TRIM('R.M Billets Reports'!F683),IF(ISNUMBER(SEARCH("Party Name-",'R.M Billets Reports'!D683)),TRIM(MID('R.M Billets Reports'!D683,SEARCH("-",'R.M Billets Reports'!D683)+1,200)),"")))="VRKP ISPAT PVT LTD","VRKP",IF(IF(IF(ISNUMBER(SEARCH("Party Name:-",'R.M Billets Reports'!D682)),TRIM('R.M Billets Reports'!F682),IF(ISNUMBER(SEARCH("Party Name-",'R.M Billets Reports'!D682)),TRIM(MID('R.M Billets Reports'!D682,SEARCH("-",'R.M Billets Reports'!D682)+1,200)),""))&lt;&gt;"",IF(ISNUMBER(SEARCH("Party Name:-",'R.M Billets Reports'!D682)),TRIM('R.M Billets Reports'!F682),IF(ISNUMBER(SEARCH("Party Name-",'R.M Billets Reports'!D682)),TRIM(MID('R.M Billets Reports'!D682,SEARCH("-",'R.M Billets Reports'!D682)+1,200)),"")),IF(ISNUMBER(SEARCH("Party Name:-",'R.M Billets Reports'!D683)),TRIM('R.M Billets Reports'!F683),IF(ISNUMBER(SEARCH("Party Name-",'R.M Billets Reports'!D683)),TRIM(MID('R.M Billets Reports'!D683,SEARCH("-",'R.M Billets Reports'!D683)+1,200)),"")))="SHRI RADHE","SHREE RADHE",IF(IF(IF(ISNUMBER(SEARCH("Party Name:-",'R.M Billets Reports'!D682)),TRIM('R.M Billets Reports'!F682),IF(ISNUMBER(SEARCH("Party Name-",'R.M Billets Reports'!D682)),TRIM(MID('R.M Billets Reports'!D682,SEARCH("-",'R.M Billets Reports'!D682)+1,200)),""))&lt;&gt;"",IF(ISNUMBER(SEARCH("Party Name:-",'R.M Billets Reports'!D682)),TRIM('R.M Billets Reports'!F682),IF(ISNUMBER(SEARCH("Party Name-",'R.M Billets Reports'!D682)),TRIM(MID('R.M Billets Reports'!D682,SEARCH("-",'R.M Billets Reports'!D682)+1,200)),"")),IF(ISNUMBER(SEARCH("Party Name:-",'R.M Billets Reports'!D683)),TRIM('R.M Billets Reports'!F683),IF(ISNUMBER(SEARCH("Party Name-",'R.M Billets Reports'!D683)),TRIM(MID('R.M Billets Reports'!D683,SEARCH("-",'R.M Billets Reports'!D683)+1,200)),"")))="SHREE RADHE SHAKTI SPONGE AND POWER PVT. LTD.","SHREE RADHE",IF(IF(ISNUMBER(SEARCH("Party Name:-",'R.M Billets Reports'!D682)),TRIM('R.M Billets Reports'!F682),IF(ISNUMBER(SEARCH("Party Name-",'R.M Billets Reports'!D682)),TRIM(MID('R.M Billets Reports'!D682,SEARCH("-",'R.M Billets Reports'!D682)+1,200)),""))&lt;&gt;"",IF(ISNUMBER(SEARCH("Party Name:-",'R.M Billets Reports'!D682)),TRIM('R.M Billets Reports'!F682),IF(ISNUMBER(SEARCH("Party Name-",'R.M Billets Reports'!D682)),TRIM(MID('R.M Billets Reports'!D682,SEARCH("-",'R.M Billets Reports'!D682)+1,200)),"")),IF(ISNUMBER(SEARCH("Party Name:-",'R.M Billets Reports'!D683)),TRIM('R.M Billets Reports'!F683),IF(ISNUMBER(SEARCH("Party Name-",'R.M Billets Reports'!D683)),TRIM(MID('R.M Billets Reports'!D683,SEARCH("-",'R.M Billets Reports'!D683)+1,200)),"")))))),IF(ROW()=2,"",A682))</f>
      </c>
      <c r="B683">
        <f>IF(OR('R.M Billets Reports'!A682="Date-",'R.M Billets Reports'!A682="Date:-"),'R.M Billets Reports'!B682,IF(ROW()=2,"",B682))</f>
      </c>
      <c r="C683">
        <f>IF('R.M Billets Reports'!A682="V.No.",'R.M Billets Reports'!B682,IF(ROW()=2,"",C682))</f>
      </c>
      <c r="D683">
        <f>IF('R.M Billets Reports'!A682&lt;&gt;"",'R.M Billets Reports'!A682,IF(ROW()=2,"",D682))</f>
      </c>
      <c r="E683">
        <f>IF('R.M Billets Reports'!B682="","",TRIM('R.M Billets Reports'!B682))</f>
      </c>
      <c r="F683">
        <f>'R.M Billets Reports'!C682</f>
      </c>
      <c r="G683">
        <f>'R.M Billets Reports'!D682</f>
      </c>
      <c r="H683">
        <f>'R.M Billets Reports'!E682</f>
      </c>
      <c r="I683">
        <f>'R.M Billets Reports'!F682</f>
      </c>
      <c r="J683">
        <f>'R.M Billets Reports'!G682</f>
      </c>
      <c r="K683">
        <f>'R.M Billets Reports'!H682</f>
      </c>
      <c r="L683">
        <f>IF('R.M Billets Reports'!I682="","",'R.M Billets Reports'!I682)</f>
      </c>
      <c r="M683">
        <f t="shared" si="20"/>
      </c>
      <c r="N683">
        <f>IF('R.M Billets Reports'!J682="","",'R.M Billets Reports'!J682)</f>
      </c>
      <c r="O683">
        <f t="shared" si="21"/>
      </c>
      <c r="P683">
        <f>IF('R.M Billets Reports'!A682="SIZE",'R.M Billets Reports'!B682,P682)</f>
      </c>
    </row>
    <row r="684" spans="1:16" x14ac:dyDescent="0.25">
      <c r="A684">
        <f>IF(OR('R.M Billets Reports'!A683="Date-",'R.M Billets Reports'!A683="Date:-"),IF(IF(IF(ISNUMBER(SEARCH("Party Name:-",'R.M Billets Reports'!D683)),TRIM('R.M Billets Reports'!F683),IF(ISNUMBER(SEARCH("Party Name-",'R.M Billets Reports'!D683)),TRIM(MID('R.M Billets Reports'!D683,SEARCH("-",'R.M Billets Reports'!D683)+1,200)),""))&lt;&gt;"",IF(ISNUMBER(SEARCH("Party Name:-",'R.M Billets Reports'!D683)),TRIM('R.M Billets Reports'!F683),IF(ISNUMBER(SEARCH("Party Name-",'R.M Billets Reports'!D683)),TRIM(MID('R.M Billets Reports'!D683,SEARCH("-",'R.M Billets Reports'!D683)+1,200)),"")),IF(ISNUMBER(SEARCH("Party Name:-",'R.M Billets Reports'!D684)),TRIM('R.M Billets Reports'!F684),IF(ISNUMBER(SEARCH("Party Name-",'R.M Billets Reports'!D684)),TRIM(MID('R.M Billets Reports'!D684,SEARCH("-",'R.M Billets Reports'!D684)+1,200)),"")))="VRKP ISPAT PVT LTD","VRKP",IF(IF(IF(ISNUMBER(SEARCH("Party Name:-",'R.M Billets Reports'!D683)),TRIM('R.M Billets Reports'!F683),IF(ISNUMBER(SEARCH("Party Name-",'R.M Billets Reports'!D683)),TRIM(MID('R.M Billets Reports'!D683,SEARCH("-",'R.M Billets Reports'!D683)+1,200)),""))&lt;&gt;"",IF(ISNUMBER(SEARCH("Party Name:-",'R.M Billets Reports'!D683)),TRIM('R.M Billets Reports'!F683),IF(ISNUMBER(SEARCH("Party Name-",'R.M Billets Reports'!D683)),TRIM(MID('R.M Billets Reports'!D683,SEARCH("-",'R.M Billets Reports'!D683)+1,200)),"")),IF(ISNUMBER(SEARCH("Party Name:-",'R.M Billets Reports'!D684)),TRIM('R.M Billets Reports'!F684),IF(ISNUMBER(SEARCH("Party Name-",'R.M Billets Reports'!D684)),TRIM(MID('R.M Billets Reports'!D684,SEARCH("-",'R.M Billets Reports'!D684)+1,200)),"")))="SHRI RADHE","SHREE RADHE",IF(IF(IF(ISNUMBER(SEARCH("Party Name:-",'R.M Billets Reports'!D683)),TRIM('R.M Billets Reports'!F683),IF(ISNUMBER(SEARCH("Party Name-",'R.M Billets Reports'!D683)),TRIM(MID('R.M Billets Reports'!D683,SEARCH("-",'R.M Billets Reports'!D683)+1,200)),""))&lt;&gt;"",IF(ISNUMBER(SEARCH("Party Name:-",'R.M Billets Reports'!D683)),TRIM('R.M Billets Reports'!F683),IF(ISNUMBER(SEARCH("Party Name-",'R.M Billets Reports'!D683)),TRIM(MID('R.M Billets Reports'!D683,SEARCH("-",'R.M Billets Reports'!D683)+1,200)),"")),IF(ISNUMBER(SEARCH("Party Name:-",'R.M Billets Reports'!D684)),TRIM('R.M Billets Reports'!F684),IF(ISNUMBER(SEARCH("Party Name-",'R.M Billets Reports'!D684)),TRIM(MID('R.M Billets Reports'!D684,SEARCH("-",'R.M Billets Reports'!D684)+1,200)),"")))="SHREE RADHE SHAKTI SPONGE AND POWER PVT. LTD.","SHREE RADHE",IF(IF(ISNUMBER(SEARCH("Party Name:-",'R.M Billets Reports'!D683)),TRIM('R.M Billets Reports'!F683),IF(ISNUMBER(SEARCH("Party Name-",'R.M Billets Reports'!D683)),TRIM(MID('R.M Billets Reports'!D683,SEARCH("-",'R.M Billets Reports'!D683)+1,200)),""))&lt;&gt;"",IF(ISNUMBER(SEARCH("Party Name:-",'R.M Billets Reports'!D683)),TRIM('R.M Billets Reports'!F683),IF(ISNUMBER(SEARCH("Party Name-",'R.M Billets Reports'!D683)),TRIM(MID('R.M Billets Reports'!D683,SEARCH("-",'R.M Billets Reports'!D683)+1,200)),"")),IF(ISNUMBER(SEARCH("Party Name:-",'R.M Billets Reports'!D684)),TRIM('R.M Billets Reports'!F684),IF(ISNUMBER(SEARCH("Party Name-",'R.M Billets Reports'!D684)),TRIM(MID('R.M Billets Reports'!D684,SEARCH("-",'R.M Billets Reports'!D684)+1,200)),"")))))),IF(ROW()=2,"",A683))</f>
      </c>
      <c r="B684">
        <f>IF(OR('R.M Billets Reports'!A683="Date-",'R.M Billets Reports'!A683="Date:-"),'R.M Billets Reports'!B683,IF(ROW()=2,"",B683))</f>
      </c>
      <c r="C684">
        <f>IF('R.M Billets Reports'!A683="V.No.",'R.M Billets Reports'!B683,IF(ROW()=2,"",C683))</f>
      </c>
      <c r="D684">
        <f>IF('R.M Billets Reports'!A683&lt;&gt;"",'R.M Billets Reports'!A683,IF(ROW()=2,"",D683))</f>
      </c>
      <c r="E684">
        <f>IF('R.M Billets Reports'!B683="","",TRIM('R.M Billets Reports'!B683))</f>
      </c>
      <c r="F684">
        <f>'R.M Billets Reports'!C683</f>
      </c>
      <c r="G684">
        <f>'R.M Billets Reports'!D683</f>
      </c>
      <c r="H684">
        <f>'R.M Billets Reports'!E683</f>
      </c>
      <c r="I684">
        <f>'R.M Billets Reports'!F683</f>
      </c>
      <c r="J684">
        <f>'R.M Billets Reports'!G683</f>
      </c>
      <c r="K684">
        <f>'R.M Billets Reports'!H683</f>
      </c>
      <c r="L684">
        <f>IF('R.M Billets Reports'!I683="","",'R.M Billets Reports'!I683)</f>
      </c>
      <c r="M684">
        <f t="shared" si="20"/>
      </c>
      <c r="N684">
        <f>IF('R.M Billets Reports'!J683="","",'R.M Billets Reports'!J683)</f>
      </c>
      <c r="O684">
        <f t="shared" si="21"/>
      </c>
      <c r="P684">
        <f>IF('R.M Billets Reports'!A683="SIZE",'R.M Billets Reports'!B683,P683)</f>
      </c>
    </row>
    <row r="685" spans="1:16" x14ac:dyDescent="0.25">
      <c r="A685">
        <f>IF(OR('R.M Billets Reports'!A684="Date-",'R.M Billets Reports'!A684="Date:-"),IF(IF(IF(ISNUMBER(SEARCH("Party Name:-",'R.M Billets Reports'!D684)),TRIM('R.M Billets Reports'!F684),IF(ISNUMBER(SEARCH("Party Name-",'R.M Billets Reports'!D684)),TRIM(MID('R.M Billets Reports'!D684,SEARCH("-",'R.M Billets Reports'!D684)+1,200)),""))&lt;&gt;"",IF(ISNUMBER(SEARCH("Party Name:-",'R.M Billets Reports'!D684)),TRIM('R.M Billets Reports'!F684),IF(ISNUMBER(SEARCH("Party Name-",'R.M Billets Reports'!D684)),TRIM(MID('R.M Billets Reports'!D684,SEARCH("-",'R.M Billets Reports'!D684)+1,200)),"")),IF(ISNUMBER(SEARCH("Party Name:-",'R.M Billets Reports'!D685)),TRIM('R.M Billets Reports'!F685),IF(ISNUMBER(SEARCH("Party Name-",'R.M Billets Reports'!D685)),TRIM(MID('R.M Billets Reports'!D685,SEARCH("-",'R.M Billets Reports'!D685)+1,200)),"")))="VRKP ISPAT PVT LTD","VRKP",IF(IF(IF(ISNUMBER(SEARCH("Party Name:-",'R.M Billets Reports'!D684)),TRIM('R.M Billets Reports'!F684),IF(ISNUMBER(SEARCH("Party Name-",'R.M Billets Reports'!D684)),TRIM(MID('R.M Billets Reports'!D684,SEARCH("-",'R.M Billets Reports'!D684)+1,200)),""))&lt;&gt;"",IF(ISNUMBER(SEARCH("Party Name:-",'R.M Billets Reports'!D684)),TRIM('R.M Billets Reports'!F684),IF(ISNUMBER(SEARCH("Party Name-",'R.M Billets Reports'!D684)),TRIM(MID('R.M Billets Reports'!D684,SEARCH("-",'R.M Billets Reports'!D684)+1,200)),"")),IF(ISNUMBER(SEARCH("Party Name:-",'R.M Billets Reports'!D685)),TRIM('R.M Billets Reports'!F685),IF(ISNUMBER(SEARCH("Party Name-",'R.M Billets Reports'!D685)),TRIM(MID('R.M Billets Reports'!D685,SEARCH("-",'R.M Billets Reports'!D685)+1,200)),"")))="SHRI RADHE","SHREE RADHE",IF(IF(IF(ISNUMBER(SEARCH("Party Name:-",'R.M Billets Reports'!D684)),TRIM('R.M Billets Reports'!F684),IF(ISNUMBER(SEARCH("Party Name-",'R.M Billets Reports'!D684)),TRIM(MID('R.M Billets Reports'!D684,SEARCH("-",'R.M Billets Reports'!D684)+1,200)),""))&lt;&gt;"",IF(ISNUMBER(SEARCH("Party Name:-",'R.M Billets Reports'!D684)),TRIM('R.M Billets Reports'!F684),IF(ISNUMBER(SEARCH("Party Name-",'R.M Billets Reports'!D684)),TRIM(MID('R.M Billets Reports'!D684,SEARCH("-",'R.M Billets Reports'!D684)+1,200)),"")),IF(ISNUMBER(SEARCH("Party Name:-",'R.M Billets Reports'!D685)),TRIM('R.M Billets Reports'!F685),IF(ISNUMBER(SEARCH("Party Name-",'R.M Billets Reports'!D685)),TRIM(MID('R.M Billets Reports'!D685,SEARCH("-",'R.M Billets Reports'!D685)+1,200)),"")))="SHREE RADHE SHAKTI SPONGE AND POWER PVT. LTD.","SHREE RADHE",IF(IF(ISNUMBER(SEARCH("Party Name:-",'R.M Billets Reports'!D684)),TRIM('R.M Billets Reports'!F684),IF(ISNUMBER(SEARCH("Party Name-",'R.M Billets Reports'!D684)),TRIM(MID('R.M Billets Reports'!D684,SEARCH("-",'R.M Billets Reports'!D684)+1,200)),""))&lt;&gt;"",IF(ISNUMBER(SEARCH("Party Name:-",'R.M Billets Reports'!D684)),TRIM('R.M Billets Reports'!F684),IF(ISNUMBER(SEARCH("Party Name-",'R.M Billets Reports'!D684)),TRIM(MID('R.M Billets Reports'!D684,SEARCH("-",'R.M Billets Reports'!D684)+1,200)),"")),IF(ISNUMBER(SEARCH("Party Name:-",'R.M Billets Reports'!D685)),TRIM('R.M Billets Reports'!F685),IF(ISNUMBER(SEARCH("Party Name-",'R.M Billets Reports'!D685)),TRIM(MID('R.M Billets Reports'!D685,SEARCH("-",'R.M Billets Reports'!D685)+1,200)),"")))))),IF(ROW()=2,"",A684))</f>
      </c>
      <c r="B685">
        <f>IF(OR('R.M Billets Reports'!A684="Date-",'R.M Billets Reports'!A684="Date:-"),'R.M Billets Reports'!B684,IF(ROW()=2,"",B684))</f>
      </c>
      <c r="C685">
        <f>IF('R.M Billets Reports'!A684="V.No.",'R.M Billets Reports'!B684,IF(ROW()=2,"",C684))</f>
      </c>
      <c r="D685">
        <f>IF('R.M Billets Reports'!A684&lt;&gt;"",'R.M Billets Reports'!A684,IF(ROW()=2,"",D684))</f>
      </c>
      <c r="E685">
        <f>IF('R.M Billets Reports'!B684="","",TRIM('R.M Billets Reports'!B684))</f>
      </c>
      <c r="F685">
        <f>'R.M Billets Reports'!C684</f>
      </c>
      <c r="G685">
        <f>'R.M Billets Reports'!D684</f>
      </c>
      <c r="H685">
        <f>'R.M Billets Reports'!E684</f>
      </c>
      <c r="I685">
        <f>'R.M Billets Reports'!F684</f>
      </c>
      <c r="J685">
        <f>'R.M Billets Reports'!G684</f>
      </c>
      <c r="K685">
        <f>'R.M Billets Reports'!H684</f>
      </c>
      <c r="L685">
        <f>IF('R.M Billets Reports'!I684="","",'R.M Billets Reports'!I684)</f>
      </c>
      <c r="M685">
        <f t="shared" si="20"/>
      </c>
      <c r="N685">
        <f>IF('R.M Billets Reports'!J684="","",'R.M Billets Reports'!J684)</f>
      </c>
      <c r="O685">
        <f t="shared" si="21"/>
      </c>
      <c r="P685">
        <f>IF('R.M Billets Reports'!A684="SIZE",'R.M Billets Reports'!B684,P684)</f>
      </c>
    </row>
    <row r="686" spans="1:16" x14ac:dyDescent="0.25">
      <c r="A686">
        <f>IF(OR('R.M Billets Reports'!A685="Date-",'R.M Billets Reports'!A685="Date:-"),IF(IF(IF(ISNUMBER(SEARCH("Party Name:-",'R.M Billets Reports'!D685)),TRIM('R.M Billets Reports'!F685),IF(ISNUMBER(SEARCH("Party Name-",'R.M Billets Reports'!D685)),TRIM(MID('R.M Billets Reports'!D685,SEARCH("-",'R.M Billets Reports'!D685)+1,200)),""))&lt;&gt;"",IF(ISNUMBER(SEARCH("Party Name:-",'R.M Billets Reports'!D685)),TRIM('R.M Billets Reports'!F685),IF(ISNUMBER(SEARCH("Party Name-",'R.M Billets Reports'!D685)),TRIM(MID('R.M Billets Reports'!D685,SEARCH("-",'R.M Billets Reports'!D685)+1,200)),"")),IF(ISNUMBER(SEARCH("Party Name:-",'R.M Billets Reports'!D686)),TRIM('R.M Billets Reports'!F686),IF(ISNUMBER(SEARCH("Party Name-",'R.M Billets Reports'!D686)),TRIM(MID('R.M Billets Reports'!D686,SEARCH("-",'R.M Billets Reports'!D686)+1,200)),"")))="VRKP ISPAT PVT LTD","VRKP",IF(IF(IF(ISNUMBER(SEARCH("Party Name:-",'R.M Billets Reports'!D685)),TRIM('R.M Billets Reports'!F685),IF(ISNUMBER(SEARCH("Party Name-",'R.M Billets Reports'!D685)),TRIM(MID('R.M Billets Reports'!D685,SEARCH("-",'R.M Billets Reports'!D685)+1,200)),""))&lt;&gt;"",IF(ISNUMBER(SEARCH("Party Name:-",'R.M Billets Reports'!D685)),TRIM('R.M Billets Reports'!F685),IF(ISNUMBER(SEARCH("Party Name-",'R.M Billets Reports'!D685)),TRIM(MID('R.M Billets Reports'!D685,SEARCH("-",'R.M Billets Reports'!D685)+1,200)),"")),IF(ISNUMBER(SEARCH("Party Name:-",'R.M Billets Reports'!D686)),TRIM('R.M Billets Reports'!F686),IF(ISNUMBER(SEARCH("Party Name-",'R.M Billets Reports'!D686)),TRIM(MID('R.M Billets Reports'!D686,SEARCH("-",'R.M Billets Reports'!D686)+1,200)),"")))="SHRI RADHE","SHREE RADHE",IF(IF(IF(ISNUMBER(SEARCH("Party Name:-",'R.M Billets Reports'!D685)),TRIM('R.M Billets Reports'!F685),IF(ISNUMBER(SEARCH("Party Name-",'R.M Billets Reports'!D685)),TRIM(MID('R.M Billets Reports'!D685,SEARCH("-",'R.M Billets Reports'!D685)+1,200)),""))&lt;&gt;"",IF(ISNUMBER(SEARCH("Party Name:-",'R.M Billets Reports'!D685)),TRIM('R.M Billets Reports'!F685),IF(ISNUMBER(SEARCH("Party Name-",'R.M Billets Reports'!D685)),TRIM(MID('R.M Billets Reports'!D685,SEARCH("-",'R.M Billets Reports'!D685)+1,200)),"")),IF(ISNUMBER(SEARCH("Party Name:-",'R.M Billets Reports'!D686)),TRIM('R.M Billets Reports'!F686),IF(ISNUMBER(SEARCH("Party Name-",'R.M Billets Reports'!D686)),TRIM(MID('R.M Billets Reports'!D686,SEARCH("-",'R.M Billets Reports'!D686)+1,200)),"")))="SHREE RADHE SHAKTI SPONGE AND POWER PVT. LTD.","SHREE RADHE",IF(IF(ISNUMBER(SEARCH("Party Name:-",'R.M Billets Reports'!D685)),TRIM('R.M Billets Reports'!F685),IF(ISNUMBER(SEARCH("Party Name-",'R.M Billets Reports'!D685)),TRIM(MID('R.M Billets Reports'!D685,SEARCH("-",'R.M Billets Reports'!D685)+1,200)),""))&lt;&gt;"",IF(ISNUMBER(SEARCH("Party Name:-",'R.M Billets Reports'!D685)),TRIM('R.M Billets Reports'!F685),IF(ISNUMBER(SEARCH("Party Name-",'R.M Billets Reports'!D685)),TRIM(MID('R.M Billets Reports'!D685,SEARCH("-",'R.M Billets Reports'!D685)+1,200)),"")),IF(ISNUMBER(SEARCH("Party Name:-",'R.M Billets Reports'!D686)),TRIM('R.M Billets Reports'!F686),IF(ISNUMBER(SEARCH("Party Name-",'R.M Billets Reports'!D686)),TRIM(MID('R.M Billets Reports'!D686,SEARCH("-",'R.M Billets Reports'!D686)+1,200)),"")))))),IF(ROW()=2,"",A685))</f>
      </c>
      <c r="B686">
        <f>IF(OR('R.M Billets Reports'!A685="Date-",'R.M Billets Reports'!A685="Date:-"),'R.M Billets Reports'!B685,IF(ROW()=2,"",B685))</f>
      </c>
      <c r="C686">
        <f>IF('R.M Billets Reports'!A685="V.No.",'R.M Billets Reports'!B685,IF(ROW()=2,"",C685))</f>
      </c>
      <c r="D686">
        <f>IF('R.M Billets Reports'!A685&lt;&gt;"",'R.M Billets Reports'!A685,IF(ROW()=2,"",D685))</f>
      </c>
      <c r="E686">
        <f>IF('R.M Billets Reports'!B685="","",TRIM('R.M Billets Reports'!B685))</f>
      </c>
      <c r="F686">
        <f>'R.M Billets Reports'!C685</f>
      </c>
      <c r="G686">
        <f>'R.M Billets Reports'!D685</f>
      </c>
      <c r="H686">
        <f>'R.M Billets Reports'!E685</f>
      </c>
      <c r="I686">
        <f>'R.M Billets Reports'!F685</f>
      </c>
      <c r="J686">
        <f>'R.M Billets Reports'!G685</f>
      </c>
      <c r="K686">
        <f>'R.M Billets Reports'!H685</f>
      </c>
      <c r="L686">
        <f>IF('R.M Billets Reports'!I685="","",'R.M Billets Reports'!I685)</f>
      </c>
      <c r="M686">
        <f t="shared" si="20"/>
      </c>
      <c r="N686">
        <f>IF('R.M Billets Reports'!J685="","",'R.M Billets Reports'!J685)</f>
      </c>
      <c r="O686">
        <f t="shared" si="21"/>
      </c>
      <c r="P686">
        <f>IF('R.M Billets Reports'!A685="SIZE",'R.M Billets Reports'!B685,P685)</f>
      </c>
    </row>
    <row r="687" spans="1:16" x14ac:dyDescent="0.25">
      <c r="A687">
        <f>IF(OR('R.M Billets Reports'!A686="Date-",'R.M Billets Reports'!A686="Date:-"),IF(IF(IF(ISNUMBER(SEARCH("Party Name:-",'R.M Billets Reports'!D686)),TRIM('R.M Billets Reports'!F686),IF(ISNUMBER(SEARCH("Party Name-",'R.M Billets Reports'!D686)),TRIM(MID('R.M Billets Reports'!D686,SEARCH("-",'R.M Billets Reports'!D686)+1,200)),""))&lt;&gt;"",IF(ISNUMBER(SEARCH("Party Name:-",'R.M Billets Reports'!D686)),TRIM('R.M Billets Reports'!F686),IF(ISNUMBER(SEARCH("Party Name-",'R.M Billets Reports'!D686)),TRIM(MID('R.M Billets Reports'!D686,SEARCH("-",'R.M Billets Reports'!D686)+1,200)),"")),IF(ISNUMBER(SEARCH("Party Name:-",'R.M Billets Reports'!D687)),TRIM('R.M Billets Reports'!F687),IF(ISNUMBER(SEARCH("Party Name-",'R.M Billets Reports'!D687)),TRIM(MID('R.M Billets Reports'!D687,SEARCH("-",'R.M Billets Reports'!D687)+1,200)),"")))="VRKP ISPAT PVT LTD","VRKP",IF(IF(IF(ISNUMBER(SEARCH("Party Name:-",'R.M Billets Reports'!D686)),TRIM('R.M Billets Reports'!F686),IF(ISNUMBER(SEARCH("Party Name-",'R.M Billets Reports'!D686)),TRIM(MID('R.M Billets Reports'!D686,SEARCH("-",'R.M Billets Reports'!D686)+1,200)),""))&lt;&gt;"",IF(ISNUMBER(SEARCH("Party Name:-",'R.M Billets Reports'!D686)),TRIM('R.M Billets Reports'!F686),IF(ISNUMBER(SEARCH("Party Name-",'R.M Billets Reports'!D686)),TRIM(MID('R.M Billets Reports'!D686,SEARCH("-",'R.M Billets Reports'!D686)+1,200)),"")),IF(ISNUMBER(SEARCH("Party Name:-",'R.M Billets Reports'!D687)),TRIM('R.M Billets Reports'!F687),IF(ISNUMBER(SEARCH("Party Name-",'R.M Billets Reports'!D687)),TRIM(MID('R.M Billets Reports'!D687,SEARCH("-",'R.M Billets Reports'!D687)+1,200)),"")))="SHRI RADHE","SHREE RADHE",IF(IF(IF(ISNUMBER(SEARCH("Party Name:-",'R.M Billets Reports'!D686)),TRIM('R.M Billets Reports'!F686),IF(ISNUMBER(SEARCH("Party Name-",'R.M Billets Reports'!D686)),TRIM(MID('R.M Billets Reports'!D686,SEARCH("-",'R.M Billets Reports'!D686)+1,200)),""))&lt;&gt;"",IF(ISNUMBER(SEARCH("Party Name:-",'R.M Billets Reports'!D686)),TRIM('R.M Billets Reports'!F686),IF(ISNUMBER(SEARCH("Party Name-",'R.M Billets Reports'!D686)),TRIM(MID('R.M Billets Reports'!D686,SEARCH("-",'R.M Billets Reports'!D686)+1,200)),"")),IF(ISNUMBER(SEARCH("Party Name:-",'R.M Billets Reports'!D687)),TRIM('R.M Billets Reports'!F687),IF(ISNUMBER(SEARCH("Party Name-",'R.M Billets Reports'!D687)),TRIM(MID('R.M Billets Reports'!D687,SEARCH("-",'R.M Billets Reports'!D687)+1,200)),"")))="SHREE RADHE SHAKTI SPONGE AND POWER PVT. LTD.","SHREE RADHE",IF(IF(ISNUMBER(SEARCH("Party Name:-",'R.M Billets Reports'!D686)),TRIM('R.M Billets Reports'!F686),IF(ISNUMBER(SEARCH("Party Name-",'R.M Billets Reports'!D686)),TRIM(MID('R.M Billets Reports'!D686,SEARCH("-",'R.M Billets Reports'!D686)+1,200)),""))&lt;&gt;"",IF(ISNUMBER(SEARCH("Party Name:-",'R.M Billets Reports'!D686)),TRIM('R.M Billets Reports'!F686),IF(ISNUMBER(SEARCH("Party Name-",'R.M Billets Reports'!D686)),TRIM(MID('R.M Billets Reports'!D686,SEARCH("-",'R.M Billets Reports'!D686)+1,200)),"")),IF(ISNUMBER(SEARCH("Party Name:-",'R.M Billets Reports'!D687)),TRIM('R.M Billets Reports'!F687),IF(ISNUMBER(SEARCH("Party Name-",'R.M Billets Reports'!D687)),TRIM(MID('R.M Billets Reports'!D687,SEARCH("-",'R.M Billets Reports'!D687)+1,200)),"")))))),IF(ROW()=2,"",A686))</f>
      </c>
      <c r="B687">
        <f>IF(OR('R.M Billets Reports'!A686="Date-",'R.M Billets Reports'!A686="Date:-"),'R.M Billets Reports'!B686,IF(ROW()=2,"",B686))</f>
      </c>
      <c r="C687">
        <f>IF('R.M Billets Reports'!A686="V.No.",'R.M Billets Reports'!B686,IF(ROW()=2,"",C686))</f>
      </c>
      <c r="D687">
        <f>IF('R.M Billets Reports'!A686&lt;&gt;"",'R.M Billets Reports'!A686,IF(ROW()=2,"",D686))</f>
      </c>
      <c r="E687">
        <f>IF('R.M Billets Reports'!B686="","",TRIM('R.M Billets Reports'!B686))</f>
      </c>
      <c r="F687">
        <f>'R.M Billets Reports'!C686</f>
      </c>
      <c r="G687">
        <f>'R.M Billets Reports'!D686</f>
      </c>
      <c r="H687">
        <f>'R.M Billets Reports'!E686</f>
      </c>
      <c r="I687">
        <f>'R.M Billets Reports'!F686</f>
      </c>
      <c r="J687">
        <f>'R.M Billets Reports'!G686</f>
      </c>
      <c r="K687">
        <f>'R.M Billets Reports'!H686</f>
      </c>
      <c r="L687">
        <f>IF('R.M Billets Reports'!I686="","",'R.M Billets Reports'!I686)</f>
      </c>
      <c r="M687">
        <f t="shared" si="20"/>
      </c>
      <c r="N687">
        <f>IF('R.M Billets Reports'!J686="","",'R.M Billets Reports'!J686)</f>
      </c>
      <c r="O687">
        <f t="shared" si="21"/>
      </c>
      <c r="P687">
        <f>IF('R.M Billets Reports'!A686="SIZE",'R.M Billets Reports'!B686,P686)</f>
      </c>
    </row>
    <row r="688" spans="1:16" x14ac:dyDescent="0.25">
      <c r="A688">
        <f>IF(OR('R.M Billets Reports'!A687="Date-",'R.M Billets Reports'!A687="Date:-"),IF(IF(IF(ISNUMBER(SEARCH("Party Name:-",'R.M Billets Reports'!D687)),TRIM('R.M Billets Reports'!F687),IF(ISNUMBER(SEARCH("Party Name-",'R.M Billets Reports'!D687)),TRIM(MID('R.M Billets Reports'!D687,SEARCH("-",'R.M Billets Reports'!D687)+1,200)),""))&lt;&gt;"",IF(ISNUMBER(SEARCH("Party Name:-",'R.M Billets Reports'!D687)),TRIM('R.M Billets Reports'!F687),IF(ISNUMBER(SEARCH("Party Name-",'R.M Billets Reports'!D687)),TRIM(MID('R.M Billets Reports'!D687,SEARCH("-",'R.M Billets Reports'!D687)+1,200)),"")),IF(ISNUMBER(SEARCH("Party Name:-",'R.M Billets Reports'!D688)),TRIM('R.M Billets Reports'!F688),IF(ISNUMBER(SEARCH("Party Name-",'R.M Billets Reports'!D688)),TRIM(MID('R.M Billets Reports'!D688,SEARCH("-",'R.M Billets Reports'!D688)+1,200)),"")))="VRKP ISPAT PVT LTD","VRKP",IF(IF(IF(ISNUMBER(SEARCH("Party Name:-",'R.M Billets Reports'!D687)),TRIM('R.M Billets Reports'!F687),IF(ISNUMBER(SEARCH("Party Name-",'R.M Billets Reports'!D687)),TRIM(MID('R.M Billets Reports'!D687,SEARCH("-",'R.M Billets Reports'!D687)+1,200)),""))&lt;&gt;"",IF(ISNUMBER(SEARCH("Party Name:-",'R.M Billets Reports'!D687)),TRIM('R.M Billets Reports'!F687),IF(ISNUMBER(SEARCH("Party Name-",'R.M Billets Reports'!D687)),TRIM(MID('R.M Billets Reports'!D687,SEARCH("-",'R.M Billets Reports'!D687)+1,200)),"")),IF(ISNUMBER(SEARCH("Party Name:-",'R.M Billets Reports'!D688)),TRIM('R.M Billets Reports'!F688),IF(ISNUMBER(SEARCH("Party Name-",'R.M Billets Reports'!D688)),TRIM(MID('R.M Billets Reports'!D688,SEARCH("-",'R.M Billets Reports'!D688)+1,200)),"")))="SHRI RADHE","SHREE RADHE",IF(IF(IF(ISNUMBER(SEARCH("Party Name:-",'R.M Billets Reports'!D687)),TRIM('R.M Billets Reports'!F687),IF(ISNUMBER(SEARCH("Party Name-",'R.M Billets Reports'!D687)),TRIM(MID('R.M Billets Reports'!D687,SEARCH("-",'R.M Billets Reports'!D687)+1,200)),""))&lt;&gt;"",IF(ISNUMBER(SEARCH("Party Name:-",'R.M Billets Reports'!D687)),TRIM('R.M Billets Reports'!F687),IF(ISNUMBER(SEARCH("Party Name-",'R.M Billets Reports'!D687)),TRIM(MID('R.M Billets Reports'!D687,SEARCH("-",'R.M Billets Reports'!D687)+1,200)),"")),IF(ISNUMBER(SEARCH("Party Name:-",'R.M Billets Reports'!D688)),TRIM('R.M Billets Reports'!F688),IF(ISNUMBER(SEARCH("Party Name-",'R.M Billets Reports'!D688)),TRIM(MID('R.M Billets Reports'!D688,SEARCH("-",'R.M Billets Reports'!D688)+1,200)),"")))="SHREE RADHE SHAKTI SPONGE AND POWER PVT. LTD.","SHREE RADHE",IF(IF(ISNUMBER(SEARCH("Party Name:-",'R.M Billets Reports'!D687)),TRIM('R.M Billets Reports'!F687),IF(ISNUMBER(SEARCH("Party Name-",'R.M Billets Reports'!D687)),TRIM(MID('R.M Billets Reports'!D687,SEARCH("-",'R.M Billets Reports'!D687)+1,200)),""))&lt;&gt;"",IF(ISNUMBER(SEARCH("Party Name:-",'R.M Billets Reports'!D687)),TRIM('R.M Billets Reports'!F687),IF(ISNUMBER(SEARCH("Party Name-",'R.M Billets Reports'!D687)),TRIM(MID('R.M Billets Reports'!D687,SEARCH("-",'R.M Billets Reports'!D687)+1,200)),"")),IF(ISNUMBER(SEARCH("Party Name:-",'R.M Billets Reports'!D688)),TRIM('R.M Billets Reports'!F688),IF(ISNUMBER(SEARCH("Party Name-",'R.M Billets Reports'!D688)),TRIM(MID('R.M Billets Reports'!D688,SEARCH("-",'R.M Billets Reports'!D688)+1,200)),"")))))),IF(ROW()=2,"",A687))</f>
      </c>
      <c r="B688">
        <f>IF(OR('R.M Billets Reports'!A687="Date-",'R.M Billets Reports'!A687="Date:-"),'R.M Billets Reports'!B687,IF(ROW()=2,"",B687))</f>
      </c>
      <c r="C688">
        <f>IF('R.M Billets Reports'!A687="V.No.",'R.M Billets Reports'!B687,IF(ROW()=2,"",C687))</f>
      </c>
      <c r="D688">
        <f>IF('R.M Billets Reports'!A687&lt;&gt;"",'R.M Billets Reports'!A687,IF(ROW()=2,"",D687))</f>
      </c>
      <c r="E688">
        <f>IF('R.M Billets Reports'!B687="","",TRIM('R.M Billets Reports'!B687))</f>
      </c>
      <c r="F688">
        <f>'R.M Billets Reports'!C687</f>
      </c>
      <c r="G688">
        <f>'R.M Billets Reports'!D687</f>
      </c>
      <c r="H688">
        <f>'R.M Billets Reports'!E687</f>
      </c>
      <c r="I688">
        <f>'R.M Billets Reports'!F687</f>
      </c>
      <c r="J688">
        <f>'R.M Billets Reports'!G687</f>
      </c>
      <c r="K688">
        <f>'R.M Billets Reports'!H687</f>
      </c>
      <c r="L688">
        <f>IF('R.M Billets Reports'!I687="","",'R.M Billets Reports'!I687)</f>
      </c>
      <c r="M688">
        <f t="shared" si="20"/>
      </c>
      <c r="N688">
        <f>IF('R.M Billets Reports'!J687="","",'R.M Billets Reports'!J687)</f>
      </c>
      <c r="O688">
        <f t="shared" si="21"/>
      </c>
      <c r="P688">
        <f>IF('R.M Billets Reports'!A687="SIZE",'R.M Billets Reports'!B687,P687)</f>
      </c>
    </row>
    <row r="689" spans="1:16" x14ac:dyDescent="0.25">
      <c r="A689">
        <f>IF(OR('R.M Billets Reports'!A688="Date-",'R.M Billets Reports'!A688="Date:-"),IF(IF(IF(ISNUMBER(SEARCH("Party Name:-",'R.M Billets Reports'!D688)),TRIM('R.M Billets Reports'!F688),IF(ISNUMBER(SEARCH("Party Name-",'R.M Billets Reports'!D688)),TRIM(MID('R.M Billets Reports'!D688,SEARCH("-",'R.M Billets Reports'!D688)+1,200)),""))&lt;&gt;"",IF(ISNUMBER(SEARCH("Party Name:-",'R.M Billets Reports'!D688)),TRIM('R.M Billets Reports'!F688),IF(ISNUMBER(SEARCH("Party Name-",'R.M Billets Reports'!D688)),TRIM(MID('R.M Billets Reports'!D688,SEARCH("-",'R.M Billets Reports'!D688)+1,200)),"")),IF(ISNUMBER(SEARCH("Party Name:-",'R.M Billets Reports'!D689)),TRIM('R.M Billets Reports'!F689),IF(ISNUMBER(SEARCH("Party Name-",'R.M Billets Reports'!D689)),TRIM(MID('R.M Billets Reports'!D689,SEARCH("-",'R.M Billets Reports'!D689)+1,200)),"")))="VRKP ISPAT PVT LTD","VRKP",IF(IF(IF(ISNUMBER(SEARCH("Party Name:-",'R.M Billets Reports'!D688)),TRIM('R.M Billets Reports'!F688),IF(ISNUMBER(SEARCH("Party Name-",'R.M Billets Reports'!D688)),TRIM(MID('R.M Billets Reports'!D688,SEARCH("-",'R.M Billets Reports'!D688)+1,200)),""))&lt;&gt;"",IF(ISNUMBER(SEARCH("Party Name:-",'R.M Billets Reports'!D688)),TRIM('R.M Billets Reports'!F688),IF(ISNUMBER(SEARCH("Party Name-",'R.M Billets Reports'!D688)),TRIM(MID('R.M Billets Reports'!D688,SEARCH("-",'R.M Billets Reports'!D688)+1,200)),"")),IF(ISNUMBER(SEARCH("Party Name:-",'R.M Billets Reports'!D689)),TRIM('R.M Billets Reports'!F689),IF(ISNUMBER(SEARCH("Party Name-",'R.M Billets Reports'!D689)),TRIM(MID('R.M Billets Reports'!D689,SEARCH("-",'R.M Billets Reports'!D689)+1,200)),"")))="SHRI RADHE","SHREE RADHE",IF(IF(IF(ISNUMBER(SEARCH("Party Name:-",'R.M Billets Reports'!D688)),TRIM('R.M Billets Reports'!F688),IF(ISNUMBER(SEARCH("Party Name-",'R.M Billets Reports'!D688)),TRIM(MID('R.M Billets Reports'!D688,SEARCH("-",'R.M Billets Reports'!D688)+1,200)),""))&lt;&gt;"",IF(ISNUMBER(SEARCH("Party Name:-",'R.M Billets Reports'!D688)),TRIM('R.M Billets Reports'!F688),IF(ISNUMBER(SEARCH("Party Name-",'R.M Billets Reports'!D688)),TRIM(MID('R.M Billets Reports'!D688,SEARCH("-",'R.M Billets Reports'!D688)+1,200)),"")),IF(ISNUMBER(SEARCH("Party Name:-",'R.M Billets Reports'!D689)),TRIM('R.M Billets Reports'!F689),IF(ISNUMBER(SEARCH("Party Name-",'R.M Billets Reports'!D689)),TRIM(MID('R.M Billets Reports'!D689,SEARCH("-",'R.M Billets Reports'!D689)+1,200)),"")))="SHREE RADHE SHAKTI SPONGE AND POWER PVT. LTD.","SHREE RADHE",IF(IF(ISNUMBER(SEARCH("Party Name:-",'R.M Billets Reports'!D688)),TRIM('R.M Billets Reports'!F688),IF(ISNUMBER(SEARCH("Party Name-",'R.M Billets Reports'!D688)),TRIM(MID('R.M Billets Reports'!D688,SEARCH("-",'R.M Billets Reports'!D688)+1,200)),""))&lt;&gt;"",IF(ISNUMBER(SEARCH("Party Name:-",'R.M Billets Reports'!D688)),TRIM('R.M Billets Reports'!F688),IF(ISNUMBER(SEARCH("Party Name-",'R.M Billets Reports'!D688)),TRIM(MID('R.M Billets Reports'!D688,SEARCH("-",'R.M Billets Reports'!D688)+1,200)),"")),IF(ISNUMBER(SEARCH("Party Name:-",'R.M Billets Reports'!D689)),TRIM('R.M Billets Reports'!F689),IF(ISNUMBER(SEARCH("Party Name-",'R.M Billets Reports'!D689)),TRIM(MID('R.M Billets Reports'!D689,SEARCH("-",'R.M Billets Reports'!D689)+1,200)),"")))))),IF(ROW()=2,"",A688))</f>
      </c>
      <c r="B689">
        <f>IF(OR('R.M Billets Reports'!A688="Date-",'R.M Billets Reports'!A688="Date:-"),'R.M Billets Reports'!B688,IF(ROW()=2,"",B688))</f>
      </c>
      <c r="C689">
        <f>IF('R.M Billets Reports'!A688="V.No.",'R.M Billets Reports'!B688,IF(ROW()=2,"",C688))</f>
      </c>
      <c r="D689">
        <f>IF('R.M Billets Reports'!A688&lt;&gt;"",'R.M Billets Reports'!A688,IF(ROW()=2,"",D688))</f>
      </c>
      <c r="E689">
        <f>IF('R.M Billets Reports'!B688="","",TRIM('R.M Billets Reports'!B688))</f>
      </c>
      <c r="F689">
        <f>'R.M Billets Reports'!C688</f>
      </c>
      <c r="G689">
        <f>'R.M Billets Reports'!D688</f>
      </c>
      <c r="H689">
        <f>'R.M Billets Reports'!E688</f>
      </c>
      <c r="I689">
        <f>'R.M Billets Reports'!F688</f>
      </c>
      <c r="J689">
        <f>'R.M Billets Reports'!G688</f>
      </c>
      <c r="K689">
        <f>'R.M Billets Reports'!H688</f>
      </c>
      <c r="L689">
        <f>IF('R.M Billets Reports'!I688="","",'R.M Billets Reports'!I688)</f>
      </c>
      <c r="M689">
        <f t="shared" si="20"/>
      </c>
      <c r="N689">
        <f>IF('R.M Billets Reports'!J688="","",'R.M Billets Reports'!J688)</f>
      </c>
      <c r="O689">
        <f t="shared" si="21"/>
      </c>
      <c r="P689">
        <f>IF('R.M Billets Reports'!A688="SIZE",'R.M Billets Reports'!B688,P688)</f>
      </c>
    </row>
    <row r="690" spans="1:16" x14ac:dyDescent="0.25">
      <c r="A690">
        <f>IF(OR('R.M Billets Reports'!A689="Date-",'R.M Billets Reports'!A689="Date:-"),IF(IF(IF(ISNUMBER(SEARCH("Party Name:-",'R.M Billets Reports'!D689)),TRIM('R.M Billets Reports'!F689),IF(ISNUMBER(SEARCH("Party Name-",'R.M Billets Reports'!D689)),TRIM(MID('R.M Billets Reports'!D689,SEARCH("-",'R.M Billets Reports'!D689)+1,200)),""))&lt;&gt;"",IF(ISNUMBER(SEARCH("Party Name:-",'R.M Billets Reports'!D689)),TRIM('R.M Billets Reports'!F689),IF(ISNUMBER(SEARCH("Party Name-",'R.M Billets Reports'!D689)),TRIM(MID('R.M Billets Reports'!D689,SEARCH("-",'R.M Billets Reports'!D689)+1,200)),"")),IF(ISNUMBER(SEARCH("Party Name:-",'R.M Billets Reports'!D690)),TRIM('R.M Billets Reports'!F690),IF(ISNUMBER(SEARCH("Party Name-",'R.M Billets Reports'!D690)),TRIM(MID('R.M Billets Reports'!D690,SEARCH("-",'R.M Billets Reports'!D690)+1,200)),"")))="VRKP ISPAT PVT LTD","VRKP",IF(IF(IF(ISNUMBER(SEARCH("Party Name:-",'R.M Billets Reports'!D689)),TRIM('R.M Billets Reports'!F689),IF(ISNUMBER(SEARCH("Party Name-",'R.M Billets Reports'!D689)),TRIM(MID('R.M Billets Reports'!D689,SEARCH("-",'R.M Billets Reports'!D689)+1,200)),""))&lt;&gt;"",IF(ISNUMBER(SEARCH("Party Name:-",'R.M Billets Reports'!D689)),TRIM('R.M Billets Reports'!F689),IF(ISNUMBER(SEARCH("Party Name-",'R.M Billets Reports'!D689)),TRIM(MID('R.M Billets Reports'!D689,SEARCH("-",'R.M Billets Reports'!D689)+1,200)),"")),IF(ISNUMBER(SEARCH("Party Name:-",'R.M Billets Reports'!D690)),TRIM('R.M Billets Reports'!F690),IF(ISNUMBER(SEARCH("Party Name-",'R.M Billets Reports'!D690)),TRIM(MID('R.M Billets Reports'!D690,SEARCH("-",'R.M Billets Reports'!D690)+1,200)),"")))="SHRI RADHE","SHREE RADHE",IF(IF(IF(ISNUMBER(SEARCH("Party Name:-",'R.M Billets Reports'!D689)),TRIM('R.M Billets Reports'!F689),IF(ISNUMBER(SEARCH("Party Name-",'R.M Billets Reports'!D689)),TRIM(MID('R.M Billets Reports'!D689,SEARCH("-",'R.M Billets Reports'!D689)+1,200)),""))&lt;&gt;"",IF(ISNUMBER(SEARCH("Party Name:-",'R.M Billets Reports'!D689)),TRIM('R.M Billets Reports'!F689),IF(ISNUMBER(SEARCH("Party Name-",'R.M Billets Reports'!D689)),TRIM(MID('R.M Billets Reports'!D689,SEARCH("-",'R.M Billets Reports'!D689)+1,200)),"")),IF(ISNUMBER(SEARCH("Party Name:-",'R.M Billets Reports'!D690)),TRIM('R.M Billets Reports'!F690),IF(ISNUMBER(SEARCH("Party Name-",'R.M Billets Reports'!D690)),TRIM(MID('R.M Billets Reports'!D690,SEARCH("-",'R.M Billets Reports'!D690)+1,200)),"")))="SHREE RADHE SHAKTI SPONGE AND POWER PVT. LTD.","SHREE RADHE",IF(IF(ISNUMBER(SEARCH("Party Name:-",'R.M Billets Reports'!D689)),TRIM('R.M Billets Reports'!F689),IF(ISNUMBER(SEARCH("Party Name-",'R.M Billets Reports'!D689)),TRIM(MID('R.M Billets Reports'!D689,SEARCH("-",'R.M Billets Reports'!D689)+1,200)),""))&lt;&gt;"",IF(ISNUMBER(SEARCH("Party Name:-",'R.M Billets Reports'!D689)),TRIM('R.M Billets Reports'!F689),IF(ISNUMBER(SEARCH("Party Name-",'R.M Billets Reports'!D689)),TRIM(MID('R.M Billets Reports'!D689,SEARCH("-",'R.M Billets Reports'!D689)+1,200)),"")),IF(ISNUMBER(SEARCH("Party Name:-",'R.M Billets Reports'!D690)),TRIM('R.M Billets Reports'!F690),IF(ISNUMBER(SEARCH("Party Name-",'R.M Billets Reports'!D690)),TRIM(MID('R.M Billets Reports'!D690,SEARCH("-",'R.M Billets Reports'!D690)+1,200)),"")))))),IF(ROW()=2,"",A689))</f>
      </c>
      <c r="B690">
        <f>IF(OR('R.M Billets Reports'!A689="Date-",'R.M Billets Reports'!A689="Date:-"),'R.M Billets Reports'!B689,IF(ROW()=2,"",B689))</f>
      </c>
      <c r="C690">
        <f>IF('R.M Billets Reports'!A689="V.No.",'R.M Billets Reports'!B689,IF(ROW()=2,"",C689))</f>
      </c>
      <c r="D690">
        <f>IF('R.M Billets Reports'!A689&lt;&gt;"",'R.M Billets Reports'!A689,IF(ROW()=2,"",D689))</f>
      </c>
      <c r="E690">
        <f>IF('R.M Billets Reports'!B689="","",TRIM('R.M Billets Reports'!B689))</f>
      </c>
      <c r="F690">
        <f>'R.M Billets Reports'!C689</f>
      </c>
      <c r="G690">
        <f>'R.M Billets Reports'!D689</f>
      </c>
      <c r="H690">
        <f>'R.M Billets Reports'!E689</f>
      </c>
      <c r="I690">
        <f>'R.M Billets Reports'!F689</f>
      </c>
      <c r="J690">
        <f>'R.M Billets Reports'!G689</f>
      </c>
      <c r="K690">
        <f>'R.M Billets Reports'!H689</f>
      </c>
      <c r="L690">
        <f>IF('R.M Billets Reports'!I689="","",'R.M Billets Reports'!I689)</f>
      </c>
      <c r="M690">
        <f t="shared" si="20"/>
      </c>
      <c r="N690">
        <f>IF('R.M Billets Reports'!J689="","",'R.M Billets Reports'!J689)</f>
      </c>
      <c r="O690">
        <f t="shared" si="21"/>
      </c>
      <c r="P690">
        <f>IF('R.M Billets Reports'!A689="SIZE",'R.M Billets Reports'!B689,P689)</f>
      </c>
    </row>
    <row r="691" spans="1:16" x14ac:dyDescent="0.25">
      <c r="A691">
        <f>IF(OR('R.M Billets Reports'!A690="Date-",'R.M Billets Reports'!A690="Date:-"),IF(IF(IF(ISNUMBER(SEARCH("Party Name:-",'R.M Billets Reports'!D690)),TRIM('R.M Billets Reports'!F690),IF(ISNUMBER(SEARCH("Party Name-",'R.M Billets Reports'!D690)),TRIM(MID('R.M Billets Reports'!D690,SEARCH("-",'R.M Billets Reports'!D690)+1,200)),""))&lt;&gt;"",IF(ISNUMBER(SEARCH("Party Name:-",'R.M Billets Reports'!D690)),TRIM('R.M Billets Reports'!F690),IF(ISNUMBER(SEARCH("Party Name-",'R.M Billets Reports'!D690)),TRIM(MID('R.M Billets Reports'!D690,SEARCH("-",'R.M Billets Reports'!D690)+1,200)),"")),IF(ISNUMBER(SEARCH("Party Name:-",'R.M Billets Reports'!D691)),TRIM('R.M Billets Reports'!F691),IF(ISNUMBER(SEARCH("Party Name-",'R.M Billets Reports'!D691)),TRIM(MID('R.M Billets Reports'!D691,SEARCH("-",'R.M Billets Reports'!D691)+1,200)),"")))="VRKP ISPAT PVT LTD","VRKP",IF(IF(IF(ISNUMBER(SEARCH("Party Name:-",'R.M Billets Reports'!D690)),TRIM('R.M Billets Reports'!F690),IF(ISNUMBER(SEARCH("Party Name-",'R.M Billets Reports'!D690)),TRIM(MID('R.M Billets Reports'!D690,SEARCH("-",'R.M Billets Reports'!D690)+1,200)),""))&lt;&gt;"",IF(ISNUMBER(SEARCH("Party Name:-",'R.M Billets Reports'!D690)),TRIM('R.M Billets Reports'!F690),IF(ISNUMBER(SEARCH("Party Name-",'R.M Billets Reports'!D690)),TRIM(MID('R.M Billets Reports'!D690,SEARCH("-",'R.M Billets Reports'!D690)+1,200)),"")),IF(ISNUMBER(SEARCH("Party Name:-",'R.M Billets Reports'!D691)),TRIM('R.M Billets Reports'!F691),IF(ISNUMBER(SEARCH("Party Name-",'R.M Billets Reports'!D691)),TRIM(MID('R.M Billets Reports'!D691,SEARCH("-",'R.M Billets Reports'!D691)+1,200)),"")))="SHRI RADHE","SHREE RADHE",IF(IF(IF(ISNUMBER(SEARCH("Party Name:-",'R.M Billets Reports'!D690)),TRIM('R.M Billets Reports'!F690),IF(ISNUMBER(SEARCH("Party Name-",'R.M Billets Reports'!D690)),TRIM(MID('R.M Billets Reports'!D690,SEARCH("-",'R.M Billets Reports'!D690)+1,200)),""))&lt;&gt;"",IF(ISNUMBER(SEARCH("Party Name:-",'R.M Billets Reports'!D690)),TRIM('R.M Billets Reports'!F690),IF(ISNUMBER(SEARCH("Party Name-",'R.M Billets Reports'!D690)),TRIM(MID('R.M Billets Reports'!D690,SEARCH("-",'R.M Billets Reports'!D690)+1,200)),"")),IF(ISNUMBER(SEARCH("Party Name:-",'R.M Billets Reports'!D691)),TRIM('R.M Billets Reports'!F691),IF(ISNUMBER(SEARCH("Party Name-",'R.M Billets Reports'!D691)),TRIM(MID('R.M Billets Reports'!D691,SEARCH("-",'R.M Billets Reports'!D691)+1,200)),"")))="SHREE RADHE SHAKTI SPONGE AND POWER PVT. LTD.","SHREE RADHE",IF(IF(ISNUMBER(SEARCH("Party Name:-",'R.M Billets Reports'!D690)),TRIM('R.M Billets Reports'!F690),IF(ISNUMBER(SEARCH("Party Name-",'R.M Billets Reports'!D690)),TRIM(MID('R.M Billets Reports'!D690,SEARCH("-",'R.M Billets Reports'!D690)+1,200)),""))&lt;&gt;"",IF(ISNUMBER(SEARCH("Party Name:-",'R.M Billets Reports'!D690)),TRIM('R.M Billets Reports'!F690),IF(ISNUMBER(SEARCH("Party Name-",'R.M Billets Reports'!D690)),TRIM(MID('R.M Billets Reports'!D690,SEARCH("-",'R.M Billets Reports'!D690)+1,200)),"")),IF(ISNUMBER(SEARCH("Party Name:-",'R.M Billets Reports'!D691)),TRIM('R.M Billets Reports'!F691),IF(ISNUMBER(SEARCH("Party Name-",'R.M Billets Reports'!D691)),TRIM(MID('R.M Billets Reports'!D691,SEARCH("-",'R.M Billets Reports'!D691)+1,200)),"")))))),IF(ROW()=2,"",A690))</f>
      </c>
      <c r="B691">
        <f>IF(OR('R.M Billets Reports'!A690="Date-",'R.M Billets Reports'!A690="Date:-"),'R.M Billets Reports'!B690,IF(ROW()=2,"",B690))</f>
      </c>
      <c r="C691">
        <f>IF('R.M Billets Reports'!A690="V.No.",'R.M Billets Reports'!B690,IF(ROW()=2,"",C690))</f>
      </c>
      <c r="D691">
        <f>IF('R.M Billets Reports'!A690&lt;&gt;"",'R.M Billets Reports'!A690,IF(ROW()=2,"",D690))</f>
      </c>
      <c r="E691">
        <f>IF('R.M Billets Reports'!B690="","",TRIM('R.M Billets Reports'!B690))</f>
      </c>
      <c r="F691">
        <f>'R.M Billets Reports'!C690</f>
      </c>
      <c r="G691">
        <f>'R.M Billets Reports'!D690</f>
      </c>
      <c r="H691">
        <f>'R.M Billets Reports'!E690</f>
      </c>
      <c r="I691">
        <f>'R.M Billets Reports'!F690</f>
      </c>
      <c r="J691">
        <f>'R.M Billets Reports'!G690</f>
      </c>
      <c r="K691">
        <f>'R.M Billets Reports'!H690</f>
      </c>
      <c r="L691">
        <f>IF('R.M Billets Reports'!I690="","",'R.M Billets Reports'!I690)</f>
      </c>
      <c r="M691">
        <f t="shared" si="20"/>
      </c>
      <c r="N691">
        <f>IF('R.M Billets Reports'!J690="","",'R.M Billets Reports'!J690)</f>
      </c>
      <c r="O691">
        <f t="shared" si="21"/>
      </c>
      <c r="P691">
        <f>IF('R.M Billets Reports'!A690="SIZE",'R.M Billets Reports'!B690,P690)</f>
      </c>
    </row>
    <row r="692" spans="1:16" x14ac:dyDescent="0.25">
      <c r="A692">
        <f>IF(OR('R.M Billets Reports'!A691="Date-",'R.M Billets Reports'!A691="Date:-"),IF(IF(IF(ISNUMBER(SEARCH("Party Name:-",'R.M Billets Reports'!D691)),TRIM('R.M Billets Reports'!F691),IF(ISNUMBER(SEARCH("Party Name-",'R.M Billets Reports'!D691)),TRIM(MID('R.M Billets Reports'!D691,SEARCH("-",'R.M Billets Reports'!D691)+1,200)),""))&lt;&gt;"",IF(ISNUMBER(SEARCH("Party Name:-",'R.M Billets Reports'!D691)),TRIM('R.M Billets Reports'!F691),IF(ISNUMBER(SEARCH("Party Name-",'R.M Billets Reports'!D691)),TRIM(MID('R.M Billets Reports'!D691,SEARCH("-",'R.M Billets Reports'!D691)+1,200)),"")),IF(ISNUMBER(SEARCH("Party Name:-",'R.M Billets Reports'!D692)),TRIM('R.M Billets Reports'!F692),IF(ISNUMBER(SEARCH("Party Name-",'R.M Billets Reports'!D692)),TRIM(MID('R.M Billets Reports'!D692,SEARCH("-",'R.M Billets Reports'!D692)+1,200)),"")))="VRKP ISPAT PVT LTD","VRKP",IF(IF(IF(ISNUMBER(SEARCH("Party Name:-",'R.M Billets Reports'!D691)),TRIM('R.M Billets Reports'!F691),IF(ISNUMBER(SEARCH("Party Name-",'R.M Billets Reports'!D691)),TRIM(MID('R.M Billets Reports'!D691,SEARCH("-",'R.M Billets Reports'!D691)+1,200)),""))&lt;&gt;"",IF(ISNUMBER(SEARCH("Party Name:-",'R.M Billets Reports'!D691)),TRIM('R.M Billets Reports'!F691),IF(ISNUMBER(SEARCH("Party Name-",'R.M Billets Reports'!D691)),TRIM(MID('R.M Billets Reports'!D691,SEARCH("-",'R.M Billets Reports'!D691)+1,200)),"")),IF(ISNUMBER(SEARCH("Party Name:-",'R.M Billets Reports'!D692)),TRIM('R.M Billets Reports'!F692),IF(ISNUMBER(SEARCH("Party Name-",'R.M Billets Reports'!D692)),TRIM(MID('R.M Billets Reports'!D692,SEARCH("-",'R.M Billets Reports'!D692)+1,200)),"")))="SHRI RADHE","SHREE RADHE",IF(IF(IF(ISNUMBER(SEARCH("Party Name:-",'R.M Billets Reports'!D691)),TRIM('R.M Billets Reports'!F691),IF(ISNUMBER(SEARCH("Party Name-",'R.M Billets Reports'!D691)),TRIM(MID('R.M Billets Reports'!D691,SEARCH("-",'R.M Billets Reports'!D691)+1,200)),""))&lt;&gt;"",IF(ISNUMBER(SEARCH("Party Name:-",'R.M Billets Reports'!D691)),TRIM('R.M Billets Reports'!F691),IF(ISNUMBER(SEARCH("Party Name-",'R.M Billets Reports'!D691)),TRIM(MID('R.M Billets Reports'!D691,SEARCH("-",'R.M Billets Reports'!D691)+1,200)),"")),IF(ISNUMBER(SEARCH("Party Name:-",'R.M Billets Reports'!D692)),TRIM('R.M Billets Reports'!F692),IF(ISNUMBER(SEARCH("Party Name-",'R.M Billets Reports'!D692)),TRIM(MID('R.M Billets Reports'!D692,SEARCH("-",'R.M Billets Reports'!D692)+1,200)),"")))="SHREE RADHE SHAKTI SPONGE AND POWER PVT. LTD.","SHREE RADHE",IF(IF(ISNUMBER(SEARCH("Party Name:-",'R.M Billets Reports'!D691)),TRIM('R.M Billets Reports'!F691),IF(ISNUMBER(SEARCH("Party Name-",'R.M Billets Reports'!D691)),TRIM(MID('R.M Billets Reports'!D691,SEARCH("-",'R.M Billets Reports'!D691)+1,200)),""))&lt;&gt;"",IF(ISNUMBER(SEARCH("Party Name:-",'R.M Billets Reports'!D691)),TRIM('R.M Billets Reports'!F691),IF(ISNUMBER(SEARCH("Party Name-",'R.M Billets Reports'!D691)),TRIM(MID('R.M Billets Reports'!D691,SEARCH("-",'R.M Billets Reports'!D691)+1,200)),"")),IF(ISNUMBER(SEARCH("Party Name:-",'R.M Billets Reports'!D692)),TRIM('R.M Billets Reports'!F692),IF(ISNUMBER(SEARCH("Party Name-",'R.M Billets Reports'!D692)),TRIM(MID('R.M Billets Reports'!D692,SEARCH("-",'R.M Billets Reports'!D692)+1,200)),"")))))),IF(ROW()=2,"",A691))</f>
      </c>
      <c r="B692">
        <f>IF(OR('R.M Billets Reports'!A691="Date-",'R.M Billets Reports'!A691="Date:-"),'R.M Billets Reports'!B691,IF(ROW()=2,"",B691))</f>
      </c>
      <c r="C692">
        <f>IF('R.M Billets Reports'!A691="V.No.",'R.M Billets Reports'!B691,IF(ROW()=2,"",C691))</f>
      </c>
      <c r="D692">
        <f>IF('R.M Billets Reports'!A691&lt;&gt;"",'R.M Billets Reports'!A691,IF(ROW()=2,"",D691))</f>
      </c>
      <c r="E692">
        <f>IF('R.M Billets Reports'!B691="","",TRIM('R.M Billets Reports'!B691))</f>
      </c>
      <c r="F692">
        <f>'R.M Billets Reports'!C691</f>
      </c>
      <c r="G692">
        <f>'R.M Billets Reports'!D691</f>
      </c>
      <c r="H692">
        <f>'R.M Billets Reports'!E691</f>
      </c>
      <c r="I692">
        <f>'R.M Billets Reports'!F691</f>
      </c>
      <c r="J692">
        <f>'R.M Billets Reports'!G691</f>
      </c>
      <c r="K692">
        <f>'R.M Billets Reports'!H691</f>
      </c>
      <c r="L692">
        <f>IF('R.M Billets Reports'!I691="","",'R.M Billets Reports'!I691)</f>
      </c>
      <c r="M692">
        <f t="shared" si="20"/>
      </c>
      <c r="N692">
        <f>IF('R.M Billets Reports'!J691="","",'R.M Billets Reports'!J691)</f>
      </c>
      <c r="O692">
        <f t="shared" si="21"/>
      </c>
      <c r="P692">
        <f>IF('R.M Billets Reports'!A691="SIZE",'R.M Billets Reports'!B691,P691)</f>
      </c>
    </row>
    <row r="693" spans="1:16" x14ac:dyDescent="0.25">
      <c r="A693">
        <f>IF(OR('R.M Billets Reports'!A692="Date-",'R.M Billets Reports'!A692="Date:-"),IF(IF(IF(ISNUMBER(SEARCH("Party Name:-",'R.M Billets Reports'!D692)),TRIM('R.M Billets Reports'!F692),IF(ISNUMBER(SEARCH("Party Name-",'R.M Billets Reports'!D692)),TRIM(MID('R.M Billets Reports'!D692,SEARCH("-",'R.M Billets Reports'!D692)+1,200)),""))&lt;&gt;"",IF(ISNUMBER(SEARCH("Party Name:-",'R.M Billets Reports'!D692)),TRIM('R.M Billets Reports'!F692),IF(ISNUMBER(SEARCH("Party Name-",'R.M Billets Reports'!D692)),TRIM(MID('R.M Billets Reports'!D692,SEARCH("-",'R.M Billets Reports'!D692)+1,200)),"")),IF(ISNUMBER(SEARCH("Party Name:-",'R.M Billets Reports'!D693)),TRIM('R.M Billets Reports'!F693),IF(ISNUMBER(SEARCH("Party Name-",'R.M Billets Reports'!D693)),TRIM(MID('R.M Billets Reports'!D693,SEARCH("-",'R.M Billets Reports'!D693)+1,200)),"")))="VRKP ISPAT PVT LTD","VRKP",IF(IF(IF(ISNUMBER(SEARCH("Party Name:-",'R.M Billets Reports'!D692)),TRIM('R.M Billets Reports'!F692),IF(ISNUMBER(SEARCH("Party Name-",'R.M Billets Reports'!D692)),TRIM(MID('R.M Billets Reports'!D692,SEARCH("-",'R.M Billets Reports'!D692)+1,200)),""))&lt;&gt;"",IF(ISNUMBER(SEARCH("Party Name:-",'R.M Billets Reports'!D692)),TRIM('R.M Billets Reports'!F692),IF(ISNUMBER(SEARCH("Party Name-",'R.M Billets Reports'!D692)),TRIM(MID('R.M Billets Reports'!D692,SEARCH("-",'R.M Billets Reports'!D692)+1,200)),"")),IF(ISNUMBER(SEARCH("Party Name:-",'R.M Billets Reports'!D693)),TRIM('R.M Billets Reports'!F693),IF(ISNUMBER(SEARCH("Party Name-",'R.M Billets Reports'!D693)),TRIM(MID('R.M Billets Reports'!D693,SEARCH("-",'R.M Billets Reports'!D693)+1,200)),"")))="SHRI RADHE","SHREE RADHE",IF(IF(IF(ISNUMBER(SEARCH("Party Name:-",'R.M Billets Reports'!D692)),TRIM('R.M Billets Reports'!F692),IF(ISNUMBER(SEARCH("Party Name-",'R.M Billets Reports'!D692)),TRIM(MID('R.M Billets Reports'!D692,SEARCH("-",'R.M Billets Reports'!D692)+1,200)),""))&lt;&gt;"",IF(ISNUMBER(SEARCH("Party Name:-",'R.M Billets Reports'!D692)),TRIM('R.M Billets Reports'!F692),IF(ISNUMBER(SEARCH("Party Name-",'R.M Billets Reports'!D692)),TRIM(MID('R.M Billets Reports'!D692,SEARCH("-",'R.M Billets Reports'!D692)+1,200)),"")),IF(ISNUMBER(SEARCH("Party Name:-",'R.M Billets Reports'!D693)),TRIM('R.M Billets Reports'!F693),IF(ISNUMBER(SEARCH("Party Name-",'R.M Billets Reports'!D693)),TRIM(MID('R.M Billets Reports'!D693,SEARCH("-",'R.M Billets Reports'!D693)+1,200)),"")))="SHREE RADHE SHAKTI SPONGE AND POWER PVT. LTD.","SHREE RADHE",IF(IF(ISNUMBER(SEARCH("Party Name:-",'R.M Billets Reports'!D692)),TRIM('R.M Billets Reports'!F692),IF(ISNUMBER(SEARCH("Party Name-",'R.M Billets Reports'!D692)),TRIM(MID('R.M Billets Reports'!D692,SEARCH("-",'R.M Billets Reports'!D692)+1,200)),""))&lt;&gt;"",IF(ISNUMBER(SEARCH("Party Name:-",'R.M Billets Reports'!D692)),TRIM('R.M Billets Reports'!F692),IF(ISNUMBER(SEARCH("Party Name-",'R.M Billets Reports'!D692)),TRIM(MID('R.M Billets Reports'!D692,SEARCH("-",'R.M Billets Reports'!D692)+1,200)),"")),IF(ISNUMBER(SEARCH("Party Name:-",'R.M Billets Reports'!D693)),TRIM('R.M Billets Reports'!F693),IF(ISNUMBER(SEARCH("Party Name-",'R.M Billets Reports'!D693)),TRIM(MID('R.M Billets Reports'!D693,SEARCH("-",'R.M Billets Reports'!D693)+1,200)),"")))))),IF(ROW()=2,"",A692))</f>
      </c>
      <c r="B693">
        <f>IF(OR('R.M Billets Reports'!A692="Date-",'R.M Billets Reports'!A692="Date:-"),'R.M Billets Reports'!B692,IF(ROW()=2,"",B692))</f>
      </c>
      <c r="C693">
        <f>IF('R.M Billets Reports'!A692="V.No.",'R.M Billets Reports'!B692,IF(ROW()=2,"",C692))</f>
      </c>
      <c r="D693">
        <f>IF('R.M Billets Reports'!A692&lt;&gt;"",'R.M Billets Reports'!A692,IF(ROW()=2,"",D692))</f>
      </c>
      <c r="E693">
        <f>IF('R.M Billets Reports'!B692="","",TRIM('R.M Billets Reports'!B692))</f>
      </c>
      <c r="F693">
        <f>'R.M Billets Reports'!C692</f>
      </c>
      <c r="G693">
        <f>'R.M Billets Reports'!D692</f>
      </c>
      <c r="H693">
        <f>'R.M Billets Reports'!E692</f>
      </c>
      <c r="I693">
        <f>'R.M Billets Reports'!F692</f>
      </c>
      <c r="J693">
        <f>'R.M Billets Reports'!G692</f>
      </c>
      <c r="K693">
        <f>'R.M Billets Reports'!H692</f>
      </c>
      <c r="L693">
        <f>IF('R.M Billets Reports'!I692="","",'R.M Billets Reports'!I692)</f>
      </c>
      <c r="M693">
        <f t="shared" si="20"/>
      </c>
      <c r="N693">
        <f>IF('R.M Billets Reports'!J692="","",'R.M Billets Reports'!J692)</f>
      </c>
      <c r="O693">
        <f t="shared" si="21"/>
      </c>
      <c r="P693">
        <f>IF('R.M Billets Reports'!A692="SIZE",'R.M Billets Reports'!B692,P692)</f>
      </c>
    </row>
    <row r="694" spans="1:16" x14ac:dyDescent="0.25">
      <c r="A694">
        <f>IF(OR('R.M Billets Reports'!A693="Date-",'R.M Billets Reports'!A693="Date:-"),IF(IF(IF(ISNUMBER(SEARCH("Party Name:-",'R.M Billets Reports'!D693)),TRIM('R.M Billets Reports'!F693),IF(ISNUMBER(SEARCH("Party Name-",'R.M Billets Reports'!D693)),TRIM(MID('R.M Billets Reports'!D693,SEARCH("-",'R.M Billets Reports'!D693)+1,200)),""))&lt;&gt;"",IF(ISNUMBER(SEARCH("Party Name:-",'R.M Billets Reports'!D693)),TRIM('R.M Billets Reports'!F693),IF(ISNUMBER(SEARCH("Party Name-",'R.M Billets Reports'!D693)),TRIM(MID('R.M Billets Reports'!D693,SEARCH("-",'R.M Billets Reports'!D693)+1,200)),"")),IF(ISNUMBER(SEARCH("Party Name:-",'R.M Billets Reports'!D694)),TRIM('R.M Billets Reports'!F694),IF(ISNUMBER(SEARCH("Party Name-",'R.M Billets Reports'!D694)),TRIM(MID('R.M Billets Reports'!D694,SEARCH("-",'R.M Billets Reports'!D694)+1,200)),"")))="VRKP ISPAT PVT LTD","VRKP",IF(IF(IF(ISNUMBER(SEARCH("Party Name:-",'R.M Billets Reports'!D693)),TRIM('R.M Billets Reports'!F693),IF(ISNUMBER(SEARCH("Party Name-",'R.M Billets Reports'!D693)),TRIM(MID('R.M Billets Reports'!D693,SEARCH("-",'R.M Billets Reports'!D693)+1,200)),""))&lt;&gt;"",IF(ISNUMBER(SEARCH("Party Name:-",'R.M Billets Reports'!D693)),TRIM('R.M Billets Reports'!F693),IF(ISNUMBER(SEARCH("Party Name-",'R.M Billets Reports'!D693)),TRIM(MID('R.M Billets Reports'!D693,SEARCH("-",'R.M Billets Reports'!D693)+1,200)),"")),IF(ISNUMBER(SEARCH("Party Name:-",'R.M Billets Reports'!D694)),TRIM('R.M Billets Reports'!F694),IF(ISNUMBER(SEARCH("Party Name-",'R.M Billets Reports'!D694)),TRIM(MID('R.M Billets Reports'!D694,SEARCH("-",'R.M Billets Reports'!D694)+1,200)),"")))="SHRI RADHE","SHREE RADHE",IF(IF(IF(ISNUMBER(SEARCH("Party Name:-",'R.M Billets Reports'!D693)),TRIM('R.M Billets Reports'!F693),IF(ISNUMBER(SEARCH("Party Name-",'R.M Billets Reports'!D693)),TRIM(MID('R.M Billets Reports'!D693,SEARCH("-",'R.M Billets Reports'!D693)+1,200)),""))&lt;&gt;"",IF(ISNUMBER(SEARCH("Party Name:-",'R.M Billets Reports'!D693)),TRIM('R.M Billets Reports'!F693),IF(ISNUMBER(SEARCH("Party Name-",'R.M Billets Reports'!D693)),TRIM(MID('R.M Billets Reports'!D693,SEARCH("-",'R.M Billets Reports'!D693)+1,200)),"")),IF(ISNUMBER(SEARCH("Party Name:-",'R.M Billets Reports'!D694)),TRIM('R.M Billets Reports'!F694),IF(ISNUMBER(SEARCH("Party Name-",'R.M Billets Reports'!D694)),TRIM(MID('R.M Billets Reports'!D694,SEARCH("-",'R.M Billets Reports'!D694)+1,200)),"")))="SHREE RADHE SHAKTI SPONGE AND POWER PVT. LTD.","SHREE RADHE",IF(IF(ISNUMBER(SEARCH("Party Name:-",'R.M Billets Reports'!D693)),TRIM('R.M Billets Reports'!F693),IF(ISNUMBER(SEARCH("Party Name-",'R.M Billets Reports'!D693)),TRIM(MID('R.M Billets Reports'!D693,SEARCH("-",'R.M Billets Reports'!D693)+1,200)),""))&lt;&gt;"",IF(ISNUMBER(SEARCH("Party Name:-",'R.M Billets Reports'!D693)),TRIM('R.M Billets Reports'!F693),IF(ISNUMBER(SEARCH("Party Name-",'R.M Billets Reports'!D693)),TRIM(MID('R.M Billets Reports'!D693,SEARCH("-",'R.M Billets Reports'!D693)+1,200)),"")),IF(ISNUMBER(SEARCH("Party Name:-",'R.M Billets Reports'!D694)),TRIM('R.M Billets Reports'!F694),IF(ISNUMBER(SEARCH("Party Name-",'R.M Billets Reports'!D694)),TRIM(MID('R.M Billets Reports'!D694,SEARCH("-",'R.M Billets Reports'!D694)+1,200)),"")))))),IF(ROW()=2,"",A693))</f>
      </c>
      <c r="B694">
        <f>IF(OR('R.M Billets Reports'!A693="Date-",'R.M Billets Reports'!A693="Date:-"),'R.M Billets Reports'!B693,IF(ROW()=2,"",B693))</f>
      </c>
      <c r="C694">
        <f>IF('R.M Billets Reports'!A693="V.No.",'R.M Billets Reports'!B693,IF(ROW()=2,"",C693))</f>
      </c>
      <c r="D694">
        <f>IF('R.M Billets Reports'!A693&lt;&gt;"",'R.M Billets Reports'!A693,IF(ROW()=2,"",D693))</f>
      </c>
      <c r="E694">
        <f>IF('R.M Billets Reports'!B693="","",TRIM('R.M Billets Reports'!B693))</f>
      </c>
      <c r="F694">
        <f>'R.M Billets Reports'!C693</f>
      </c>
      <c r="G694">
        <f>'R.M Billets Reports'!D693</f>
      </c>
      <c r="H694">
        <f>'R.M Billets Reports'!E693</f>
      </c>
      <c r="I694">
        <f>'R.M Billets Reports'!F693</f>
      </c>
      <c r="J694">
        <f>'R.M Billets Reports'!G693</f>
      </c>
      <c r="K694">
        <f>'R.M Billets Reports'!H693</f>
      </c>
      <c r="L694">
        <f>IF('R.M Billets Reports'!I693="","",'R.M Billets Reports'!I693)</f>
      </c>
      <c r="M694">
        <f t="shared" si="20"/>
      </c>
      <c r="N694">
        <f>IF('R.M Billets Reports'!J693="","",'R.M Billets Reports'!J693)</f>
      </c>
      <c r="O694">
        <f t="shared" si="21"/>
      </c>
      <c r="P694">
        <f>IF('R.M Billets Reports'!A693="SIZE",'R.M Billets Reports'!B693,P693)</f>
      </c>
    </row>
    <row r="695" spans="1:16" x14ac:dyDescent="0.25">
      <c r="A695">
        <f>IF(OR('R.M Billets Reports'!A694="Date-",'R.M Billets Reports'!A694="Date:-"),IF(IF(IF(ISNUMBER(SEARCH("Party Name:-",'R.M Billets Reports'!D694)),TRIM('R.M Billets Reports'!F694),IF(ISNUMBER(SEARCH("Party Name-",'R.M Billets Reports'!D694)),TRIM(MID('R.M Billets Reports'!D694,SEARCH("-",'R.M Billets Reports'!D694)+1,200)),""))&lt;&gt;"",IF(ISNUMBER(SEARCH("Party Name:-",'R.M Billets Reports'!D694)),TRIM('R.M Billets Reports'!F694),IF(ISNUMBER(SEARCH("Party Name-",'R.M Billets Reports'!D694)),TRIM(MID('R.M Billets Reports'!D694,SEARCH("-",'R.M Billets Reports'!D694)+1,200)),"")),IF(ISNUMBER(SEARCH("Party Name:-",'R.M Billets Reports'!D695)),TRIM('R.M Billets Reports'!F695),IF(ISNUMBER(SEARCH("Party Name-",'R.M Billets Reports'!D695)),TRIM(MID('R.M Billets Reports'!D695,SEARCH("-",'R.M Billets Reports'!D695)+1,200)),"")))="VRKP ISPAT PVT LTD","VRKP",IF(IF(IF(ISNUMBER(SEARCH("Party Name:-",'R.M Billets Reports'!D694)),TRIM('R.M Billets Reports'!F694),IF(ISNUMBER(SEARCH("Party Name-",'R.M Billets Reports'!D694)),TRIM(MID('R.M Billets Reports'!D694,SEARCH("-",'R.M Billets Reports'!D694)+1,200)),""))&lt;&gt;"",IF(ISNUMBER(SEARCH("Party Name:-",'R.M Billets Reports'!D694)),TRIM('R.M Billets Reports'!F694),IF(ISNUMBER(SEARCH("Party Name-",'R.M Billets Reports'!D694)),TRIM(MID('R.M Billets Reports'!D694,SEARCH("-",'R.M Billets Reports'!D694)+1,200)),"")),IF(ISNUMBER(SEARCH("Party Name:-",'R.M Billets Reports'!D695)),TRIM('R.M Billets Reports'!F695),IF(ISNUMBER(SEARCH("Party Name-",'R.M Billets Reports'!D695)),TRIM(MID('R.M Billets Reports'!D695,SEARCH("-",'R.M Billets Reports'!D695)+1,200)),"")))="SHRI RADHE","SHREE RADHE",IF(IF(IF(ISNUMBER(SEARCH("Party Name:-",'R.M Billets Reports'!D694)),TRIM('R.M Billets Reports'!F694),IF(ISNUMBER(SEARCH("Party Name-",'R.M Billets Reports'!D694)),TRIM(MID('R.M Billets Reports'!D694,SEARCH("-",'R.M Billets Reports'!D694)+1,200)),""))&lt;&gt;"",IF(ISNUMBER(SEARCH("Party Name:-",'R.M Billets Reports'!D694)),TRIM('R.M Billets Reports'!F694),IF(ISNUMBER(SEARCH("Party Name-",'R.M Billets Reports'!D694)),TRIM(MID('R.M Billets Reports'!D694,SEARCH("-",'R.M Billets Reports'!D694)+1,200)),"")),IF(ISNUMBER(SEARCH("Party Name:-",'R.M Billets Reports'!D695)),TRIM('R.M Billets Reports'!F695),IF(ISNUMBER(SEARCH("Party Name-",'R.M Billets Reports'!D695)),TRIM(MID('R.M Billets Reports'!D695,SEARCH("-",'R.M Billets Reports'!D695)+1,200)),"")))="SHREE RADHE SHAKTI SPONGE AND POWER PVT. LTD.","SHREE RADHE",IF(IF(ISNUMBER(SEARCH("Party Name:-",'R.M Billets Reports'!D694)),TRIM('R.M Billets Reports'!F694),IF(ISNUMBER(SEARCH("Party Name-",'R.M Billets Reports'!D694)),TRIM(MID('R.M Billets Reports'!D694,SEARCH("-",'R.M Billets Reports'!D694)+1,200)),""))&lt;&gt;"",IF(ISNUMBER(SEARCH("Party Name:-",'R.M Billets Reports'!D694)),TRIM('R.M Billets Reports'!F694),IF(ISNUMBER(SEARCH("Party Name-",'R.M Billets Reports'!D694)),TRIM(MID('R.M Billets Reports'!D694,SEARCH("-",'R.M Billets Reports'!D694)+1,200)),"")),IF(ISNUMBER(SEARCH("Party Name:-",'R.M Billets Reports'!D695)),TRIM('R.M Billets Reports'!F695),IF(ISNUMBER(SEARCH("Party Name-",'R.M Billets Reports'!D695)),TRIM(MID('R.M Billets Reports'!D695,SEARCH("-",'R.M Billets Reports'!D695)+1,200)),"")))))),IF(ROW()=2,"",A694))</f>
      </c>
      <c r="B695">
        <f>IF(OR('R.M Billets Reports'!A694="Date-",'R.M Billets Reports'!A694="Date:-"),'R.M Billets Reports'!B694,IF(ROW()=2,"",B694))</f>
      </c>
      <c r="C695">
        <f>IF('R.M Billets Reports'!A694="V.No.",'R.M Billets Reports'!B694,IF(ROW()=2,"",C694))</f>
      </c>
      <c r="D695">
        <f>IF('R.M Billets Reports'!A694&lt;&gt;"",'R.M Billets Reports'!A694,IF(ROW()=2,"",D694))</f>
      </c>
      <c r="E695">
        <f>IF('R.M Billets Reports'!B694="","",TRIM('R.M Billets Reports'!B694))</f>
      </c>
      <c r="F695">
        <f>'R.M Billets Reports'!C694</f>
      </c>
      <c r="G695">
        <f>'R.M Billets Reports'!D694</f>
      </c>
      <c r="H695">
        <f>'R.M Billets Reports'!E694</f>
      </c>
      <c r="I695">
        <f>'R.M Billets Reports'!F694</f>
      </c>
      <c r="J695">
        <f>'R.M Billets Reports'!G694</f>
      </c>
      <c r="K695">
        <f>'R.M Billets Reports'!H694</f>
      </c>
      <c r="L695">
        <f>IF('R.M Billets Reports'!I694="","",'R.M Billets Reports'!I694)</f>
      </c>
      <c r="M695">
        <f t="shared" si="20"/>
      </c>
      <c r="N695">
        <f>IF('R.M Billets Reports'!J694="","",'R.M Billets Reports'!J694)</f>
      </c>
      <c r="O695">
        <f t="shared" si="21"/>
      </c>
      <c r="P695">
        <f>IF('R.M Billets Reports'!A694="SIZE",'R.M Billets Reports'!B694,P694)</f>
      </c>
    </row>
    <row r="696" spans="1:16" x14ac:dyDescent="0.25">
      <c r="A696">
        <f>IF(OR('R.M Billets Reports'!A695="Date-",'R.M Billets Reports'!A695="Date:-"),IF(IF(IF(ISNUMBER(SEARCH("Party Name:-",'R.M Billets Reports'!D695)),TRIM('R.M Billets Reports'!F695),IF(ISNUMBER(SEARCH("Party Name-",'R.M Billets Reports'!D695)),TRIM(MID('R.M Billets Reports'!D695,SEARCH("-",'R.M Billets Reports'!D695)+1,200)),""))&lt;&gt;"",IF(ISNUMBER(SEARCH("Party Name:-",'R.M Billets Reports'!D695)),TRIM('R.M Billets Reports'!F695),IF(ISNUMBER(SEARCH("Party Name-",'R.M Billets Reports'!D695)),TRIM(MID('R.M Billets Reports'!D695,SEARCH("-",'R.M Billets Reports'!D695)+1,200)),"")),IF(ISNUMBER(SEARCH("Party Name:-",'R.M Billets Reports'!D696)),TRIM('R.M Billets Reports'!F696),IF(ISNUMBER(SEARCH("Party Name-",'R.M Billets Reports'!D696)),TRIM(MID('R.M Billets Reports'!D696,SEARCH("-",'R.M Billets Reports'!D696)+1,200)),"")))="VRKP ISPAT PVT LTD","VRKP",IF(IF(IF(ISNUMBER(SEARCH("Party Name:-",'R.M Billets Reports'!D695)),TRIM('R.M Billets Reports'!F695),IF(ISNUMBER(SEARCH("Party Name-",'R.M Billets Reports'!D695)),TRIM(MID('R.M Billets Reports'!D695,SEARCH("-",'R.M Billets Reports'!D695)+1,200)),""))&lt;&gt;"",IF(ISNUMBER(SEARCH("Party Name:-",'R.M Billets Reports'!D695)),TRIM('R.M Billets Reports'!F695),IF(ISNUMBER(SEARCH("Party Name-",'R.M Billets Reports'!D695)),TRIM(MID('R.M Billets Reports'!D695,SEARCH("-",'R.M Billets Reports'!D695)+1,200)),"")),IF(ISNUMBER(SEARCH("Party Name:-",'R.M Billets Reports'!D696)),TRIM('R.M Billets Reports'!F696),IF(ISNUMBER(SEARCH("Party Name-",'R.M Billets Reports'!D696)),TRIM(MID('R.M Billets Reports'!D696,SEARCH("-",'R.M Billets Reports'!D696)+1,200)),"")))="SHRI RADHE","SHREE RADHE",IF(IF(IF(ISNUMBER(SEARCH("Party Name:-",'R.M Billets Reports'!D695)),TRIM('R.M Billets Reports'!F695),IF(ISNUMBER(SEARCH("Party Name-",'R.M Billets Reports'!D695)),TRIM(MID('R.M Billets Reports'!D695,SEARCH("-",'R.M Billets Reports'!D695)+1,200)),""))&lt;&gt;"",IF(ISNUMBER(SEARCH("Party Name:-",'R.M Billets Reports'!D695)),TRIM('R.M Billets Reports'!F695),IF(ISNUMBER(SEARCH("Party Name-",'R.M Billets Reports'!D695)),TRIM(MID('R.M Billets Reports'!D695,SEARCH("-",'R.M Billets Reports'!D695)+1,200)),"")),IF(ISNUMBER(SEARCH("Party Name:-",'R.M Billets Reports'!D696)),TRIM('R.M Billets Reports'!F696),IF(ISNUMBER(SEARCH("Party Name-",'R.M Billets Reports'!D696)),TRIM(MID('R.M Billets Reports'!D696,SEARCH("-",'R.M Billets Reports'!D696)+1,200)),"")))="SHREE RADHE SHAKTI SPONGE AND POWER PVT. LTD.","SHREE RADHE",IF(IF(ISNUMBER(SEARCH("Party Name:-",'R.M Billets Reports'!D695)),TRIM('R.M Billets Reports'!F695),IF(ISNUMBER(SEARCH("Party Name-",'R.M Billets Reports'!D695)),TRIM(MID('R.M Billets Reports'!D695,SEARCH("-",'R.M Billets Reports'!D695)+1,200)),""))&lt;&gt;"",IF(ISNUMBER(SEARCH("Party Name:-",'R.M Billets Reports'!D695)),TRIM('R.M Billets Reports'!F695),IF(ISNUMBER(SEARCH("Party Name-",'R.M Billets Reports'!D695)),TRIM(MID('R.M Billets Reports'!D695,SEARCH("-",'R.M Billets Reports'!D695)+1,200)),"")),IF(ISNUMBER(SEARCH("Party Name:-",'R.M Billets Reports'!D696)),TRIM('R.M Billets Reports'!F696),IF(ISNUMBER(SEARCH("Party Name-",'R.M Billets Reports'!D696)),TRIM(MID('R.M Billets Reports'!D696,SEARCH("-",'R.M Billets Reports'!D696)+1,200)),"")))))),IF(ROW()=2,"",A695))</f>
      </c>
      <c r="B696">
        <f>IF(OR('R.M Billets Reports'!A695="Date-",'R.M Billets Reports'!A695="Date:-"),'R.M Billets Reports'!B695,IF(ROW()=2,"",B695))</f>
      </c>
      <c r="C696">
        <f>IF('R.M Billets Reports'!A695="V.No.",'R.M Billets Reports'!B695,IF(ROW()=2,"",C695))</f>
      </c>
      <c r="D696">
        <f>IF('R.M Billets Reports'!A695&lt;&gt;"",'R.M Billets Reports'!A695,IF(ROW()=2,"",D695))</f>
      </c>
      <c r="E696">
        <f>IF('R.M Billets Reports'!B695="","",TRIM('R.M Billets Reports'!B695))</f>
      </c>
      <c r="F696">
        <f>'R.M Billets Reports'!C695</f>
      </c>
      <c r="G696">
        <f>'R.M Billets Reports'!D695</f>
      </c>
      <c r="H696">
        <f>'R.M Billets Reports'!E695</f>
      </c>
      <c r="I696">
        <f>'R.M Billets Reports'!F695</f>
      </c>
      <c r="J696">
        <f>'R.M Billets Reports'!G695</f>
      </c>
      <c r="K696">
        <f>'R.M Billets Reports'!H695</f>
      </c>
      <c r="L696">
        <f>IF('R.M Billets Reports'!I695="","",'R.M Billets Reports'!I695)</f>
      </c>
      <c r="M696">
        <f t="shared" si="20"/>
      </c>
      <c r="N696">
        <f>IF('R.M Billets Reports'!J695="","",'R.M Billets Reports'!J695)</f>
      </c>
      <c r="O696">
        <f t="shared" si="21"/>
      </c>
      <c r="P696">
        <f>IF('R.M Billets Reports'!A695="SIZE",'R.M Billets Reports'!B695,P695)</f>
      </c>
    </row>
    <row r="697" spans="1:16" x14ac:dyDescent="0.25">
      <c r="A697">
        <f>IF(OR('R.M Billets Reports'!A696="Date-",'R.M Billets Reports'!A696="Date:-"),IF(IF(IF(ISNUMBER(SEARCH("Party Name:-",'R.M Billets Reports'!D696)),TRIM('R.M Billets Reports'!F696),IF(ISNUMBER(SEARCH("Party Name-",'R.M Billets Reports'!D696)),TRIM(MID('R.M Billets Reports'!D696,SEARCH("-",'R.M Billets Reports'!D696)+1,200)),""))&lt;&gt;"",IF(ISNUMBER(SEARCH("Party Name:-",'R.M Billets Reports'!D696)),TRIM('R.M Billets Reports'!F696),IF(ISNUMBER(SEARCH("Party Name-",'R.M Billets Reports'!D696)),TRIM(MID('R.M Billets Reports'!D696,SEARCH("-",'R.M Billets Reports'!D696)+1,200)),"")),IF(ISNUMBER(SEARCH("Party Name:-",'R.M Billets Reports'!D697)),TRIM('R.M Billets Reports'!F697),IF(ISNUMBER(SEARCH("Party Name-",'R.M Billets Reports'!D697)),TRIM(MID('R.M Billets Reports'!D697,SEARCH("-",'R.M Billets Reports'!D697)+1,200)),"")))="VRKP ISPAT PVT LTD","VRKP",IF(IF(IF(ISNUMBER(SEARCH("Party Name:-",'R.M Billets Reports'!D696)),TRIM('R.M Billets Reports'!F696),IF(ISNUMBER(SEARCH("Party Name-",'R.M Billets Reports'!D696)),TRIM(MID('R.M Billets Reports'!D696,SEARCH("-",'R.M Billets Reports'!D696)+1,200)),""))&lt;&gt;"",IF(ISNUMBER(SEARCH("Party Name:-",'R.M Billets Reports'!D696)),TRIM('R.M Billets Reports'!F696),IF(ISNUMBER(SEARCH("Party Name-",'R.M Billets Reports'!D696)),TRIM(MID('R.M Billets Reports'!D696,SEARCH("-",'R.M Billets Reports'!D696)+1,200)),"")),IF(ISNUMBER(SEARCH("Party Name:-",'R.M Billets Reports'!D697)),TRIM('R.M Billets Reports'!F697),IF(ISNUMBER(SEARCH("Party Name-",'R.M Billets Reports'!D697)),TRIM(MID('R.M Billets Reports'!D697,SEARCH("-",'R.M Billets Reports'!D697)+1,200)),"")))="SHRI RADHE","SHREE RADHE",IF(IF(IF(ISNUMBER(SEARCH("Party Name:-",'R.M Billets Reports'!D696)),TRIM('R.M Billets Reports'!F696),IF(ISNUMBER(SEARCH("Party Name-",'R.M Billets Reports'!D696)),TRIM(MID('R.M Billets Reports'!D696,SEARCH("-",'R.M Billets Reports'!D696)+1,200)),""))&lt;&gt;"",IF(ISNUMBER(SEARCH("Party Name:-",'R.M Billets Reports'!D696)),TRIM('R.M Billets Reports'!F696),IF(ISNUMBER(SEARCH("Party Name-",'R.M Billets Reports'!D696)),TRIM(MID('R.M Billets Reports'!D696,SEARCH("-",'R.M Billets Reports'!D696)+1,200)),"")),IF(ISNUMBER(SEARCH("Party Name:-",'R.M Billets Reports'!D697)),TRIM('R.M Billets Reports'!F697),IF(ISNUMBER(SEARCH("Party Name-",'R.M Billets Reports'!D697)),TRIM(MID('R.M Billets Reports'!D697,SEARCH("-",'R.M Billets Reports'!D697)+1,200)),"")))="SHREE RADHE SHAKTI SPONGE AND POWER PVT. LTD.","SHREE RADHE",IF(IF(ISNUMBER(SEARCH("Party Name:-",'R.M Billets Reports'!D696)),TRIM('R.M Billets Reports'!F696),IF(ISNUMBER(SEARCH("Party Name-",'R.M Billets Reports'!D696)),TRIM(MID('R.M Billets Reports'!D696,SEARCH("-",'R.M Billets Reports'!D696)+1,200)),""))&lt;&gt;"",IF(ISNUMBER(SEARCH("Party Name:-",'R.M Billets Reports'!D696)),TRIM('R.M Billets Reports'!F696),IF(ISNUMBER(SEARCH("Party Name-",'R.M Billets Reports'!D696)),TRIM(MID('R.M Billets Reports'!D696,SEARCH("-",'R.M Billets Reports'!D696)+1,200)),"")),IF(ISNUMBER(SEARCH("Party Name:-",'R.M Billets Reports'!D697)),TRIM('R.M Billets Reports'!F697),IF(ISNUMBER(SEARCH("Party Name-",'R.M Billets Reports'!D697)),TRIM(MID('R.M Billets Reports'!D697,SEARCH("-",'R.M Billets Reports'!D697)+1,200)),"")))))),IF(ROW()=2,"",A696))</f>
      </c>
      <c r="B697">
        <f>IF(OR('R.M Billets Reports'!A696="Date-",'R.M Billets Reports'!A696="Date:-"),'R.M Billets Reports'!B696,IF(ROW()=2,"",B696))</f>
      </c>
      <c r="C697">
        <f>IF('R.M Billets Reports'!A696="V.No.",'R.M Billets Reports'!B696,IF(ROW()=2,"",C696))</f>
      </c>
      <c r="D697">
        <f>IF('R.M Billets Reports'!A696&lt;&gt;"",'R.M Billets Reports'!A696,IF(ROW()=2,"",D696))</f>
      </c>
      <c r="E697">
        <f>IF('R.M Billets Reports'!B696="","",TRIM('R.M Billets Reports'!B696))</f>
      </c>
      <c r="F697">
        <f>'R.M Billets Reports'!C696</f>
      </c>
      <c r="G697">
        <f>'R.M Billets Reports'!D696</f>
      </c>
      <c r="H697">
        <f>'R.M Billets Reports'!E696</f>
      </c>
      <c r="I697">
        <f>'R.M Billets Reports'!F696</f>
      </c>
      <c r="J697">
        <f>'R.M Billets Reports'!G696</f>
      </c>
      <c r="K697">
        <f>'R.M Billets Reports'!H696</f>
      </c>
      <c r="L697">
        <f>IF('R.M Billets Reports'!I696="","",'R.M Billets Reports'!I696)</f>
      </c>
      <c r="M697">
        <f t="shared" si="20"/>
      </c>
      <c r="N697">
        <f>IF('R.M Billets Reports'!J696="","",'R.M Billets Reports'!J696)</f>
      </c>
      <c r="O697">
        <f t="shared" si="21"/>
      </c>
      <c r="P697">
        <f>IF('R.M Billets Reports'!A696="SIZE",'R.M Billets Reports'!B696,P696)</f>
      </c>
    </row>
    <row r="698" spans="1:16" x14ac:dyDescent="0.25">
      <c r="A698">
        <f>IF(OR('R.M Billets Reports'!A697="Date-",'R.M Billets Reports'!A697="Date:-"),IF(IF(IF(ISNUMBER(SEARCH("Party Name:-",'R.M Billets Reports'!D697)),TRIM('R.M Billets Reports'!F697),IF(ISNUMBER(SEARCH("Party Name-",'R.M Billets Reports'!D697)),TRIM(MID('R.M Billets Reports'!D697,SEARCH("-",'R.M Billets Reports'!D697)+1,200)),""))&lt;&gt;"",IF(ISNUMBER(SEARCH("Party Name:-",'R.M Billets Reports'!D697)),TRIM('R.M Billets Reports'!F697),IF(ISNUMBER(SEARCH("Party Name-",'R.M Billets Reports'!D697)),TRIM(MID('R.M Billets Reports'!D697,SEARCH("-",'R.M Billets Reports'!D697)+1,200)),"")),IF(ISNUMBER(SEARCH("Party Name:-",'R.M Billets Reports'!D698)),TRIM('R.M Billets Reports'!F698),IF(ISNUMBER(SEARCH("Party Name-",'R.M Billets Reports'!D698)),TRIM(MID('R.M Billets Reports'!D698,SEARCH("-",'R.M Billets Reports'!D698)+1,200)),"")))="VRKP ISPAT PVT LTD","VRKP",IF(IF(IF(ISNUMBER(SEARCH("Party Name:-",'R.M Billets Reports'!D697)),TRIM('R.M Billets Reports'!F697),IF(ISNUMBER(SEARCH("Party Name-",'R.M Billets Reports'!D697)),TRIM(MID('R.M Billets Reports'!D697,SEARCH("-",'R.M Billets Reports'!D697)+1,200)),""))&lt;&gt;"",IF(ISNUMBER(SEARCH("Party Name:-",'R.M Billets Reports'!D697)),TRIM('R.M Billets Reports'!F697),IF(ISNUMBER(SEARCH("Party Name-",'R.M Billets Reports'!D697)),TRIM(MID('R.M Billets Reports'!D697,SEARCH("-",'R.M Billets Reports'!D697)+1,200)),"")),IF(ISNUMBER(SEARCH("Party Name:-",'R.M Billets Reports'!D698)),TRIM('R.M Billets Reports'!F698),IF(ISNUMBER(SEARCH("Party Name-",'R.M Billets Reports'!D698)),TRIM(MID('R.M Billets Reports'!D698,SEARCH("-",'R.M Billets Reports'!D698)+1,200)),"")))="SHRI RADHE","SHREE RADHE",IF(IF(IF(ISNUMBER(SEARCH("Party Name:-",'R.M Billets Reports'!D697)),TRIM('R.M Billets Reports'!F697),IF(ISNUMBER(SEARCH("Party Name-",'R.M Billets Reports'!D697)),TRIM(MID('R.M Billets Reports'!D697,SEARCH("-",'R.M Billets Reports'!D697)+1,200)),""))&lt;&gt;"",IF(ISNUMBER(SEARCH("Party Name:-",'R.M Billets Reports'!D697)),TRIM('R.M Billets Reports'!F697),IF(ISNUMBER(SEARCH("Party Name-",'R.M Billets Reports'!D697)),TRIM(MID('R.M Billets Reports'!D697,SEARCH("-",'R.M Billets Reports'!D697)+1,200)),"")),IF(ISNUMBER(SEARCH("Party Name:-",'R.M Billets Reports'!D698)),TRIM('R.M Billets Reports'!F698),IF(ISNUMBER(SEARCH("Party Name-",'R.M Billets Reports'!D698)),TRIM(MID('R.M Billets Reports'!D698,SEARCH("-",'R.M Billets Reports'!D698)+1,200)),"")))="SHREE RADHE SHAKTI SPONGE AND POWER PVT. LTD.","SHREE RADHE",IF(IF(ISNUMBER(SEARCH("Party Name:-",'R.M Billets Reports'!D697)),TRIM('R.M Billets Reports'!F697),IF(ISNUMBER(SEARCH("Party Name-",'R.M Billets Reports'!D697)),TRIM(MID('R.M Billets Reports'!D697,SEARCH("-",'R.M Billets Reports'!D697)+1,200)),""))&lt;&gt;"",IF(ISNUMBER(SEARCH("Party Name:-",'R.M Billets Reports'!D697)),TRIM('R.M Billets Reports'!F697),IF(ISNUMBER(SEARCH("Party Name-",'R.M Billets Reports'!D697)),TRIM(MID('R.M Billets Reports'!D697,SEARCH("-",'R.M Billets Reports'!D697)+1,200)),"")),IF(ISNUMBER(SEARCH("Party Name:-",'R.M Billets Reports'!D698)),TRIM('R.M Billets Reports'!F698),IF(ISNUMBER(SEARCH("Party Name-",'R.M Billets Reports'!D698)),TRIM(MID('R.M Billets Reports'!D698,SEARCH("-",'R.M Billets Reports'!D698)+1,200)),"")))))),IF(ROW()=2,"",A697))</f>
      </c>
      <c r="B698">
        <f>IF(OR('R.M Billets Reports'!A697="Date-",'R.M Billets Reports'!A697="Date:-"),'R.M Billets Reports'!B697,IF(ROW()=2,"",B697))</f>
      </c>
      <c r="C698">
        <f>IF('R.M Billets Reports'!A697="V.No.",'R.M Billets Reports'!B697,IF(ROW()=2,"",C697))</f>
      </c>
      <c r="D698">
        <f>IF('R.M Billets Reports'!A697&lt;&gt;"",'R.M Billets Reports'!A697,IF(ROW()=2,"",D697))</f>
      </c>
      <c r="E698">
        <f>IF('R.M Billets Reports'!B697="","",TRIM('R.M Billets Reports'!B697))</f>
      </c>
      <c r="F698">
        <f>'R.M Billets Reports'!C697</f>
      </c>
      <c r="G698">
        <f>'R.M Billets Reports'!D697</f>
      </c>
      <c r="H698">
        <f>'R.M Billets Reports'!E697</f>
      </c>
      <c r="I698">
        <f>'R.M Billets Reports'!F697</f>
      </c>
      <c r="J698">
        <f>'R.M Billets Reports'!G697</f>
      </c>
      <c r="K698">
        <f>'R.M Billets Reports'!H697</f>
      </c>
      <c r="L698">
        <f>IF('R.M Billets Reports'!I697="","",'R.M Billets Reports'!I697)</f>
      </c>
      <c r="M698">
        <f t="shared" si="20"/>
      </c>
      <c r="N698">
        <f>IF('R.M Billets Reports'!J697="","",'R.M Billets Reports'!J697)</f>
      </c>
      <c r="O698">
        <f t="shared" si="21"/>
      </c>
      <c r="P698">
        <f>IF('R.M Billets Reports'!A697="SIZE",'R.M Billets Reports'!B697,P697)</f>
      </c>
    </row>
    <row r="699" spans="1:16" x14ac:dyDescent="0.25">
      <c r="A699">
        <f>IF(OR('R.M Billets Reports'!A698="Date-",'R.M Billets Reports'!A698="Date:-"),IF(IF(IF(ISNUMBER(SEARCH("Party Name:-",'R.M Billets Reports'!D698)),TRIM('R.M Billets Reports'!F698),IF(ISNUMBER(SEARCH("Party Name-",'R.M Billets Reports'!D698)),TRIM(MID('R.M Billets Reports'!D698,SEARCH("-",'R.M Billets Reports'!D698)+1,200)),""))&lt;&gt;"",IF(ISNUMBER(SEARCH("Party Name:-",'R.M Billets Reports'!D698)),TRIM('R.M Billets Reports'!F698),IF(ISNUMBER(SEARCH("Party Name-",'R.M Billets Reports'!D698)),TRIM(MID('R.M Billets Reports'!D698,SEARCH("-",'R.M Billets Reports'!D698)+1,200)),"")),IF(ISNUMBER(SEARCH("Party Name:-",'R.M Billets Reports'!D699)),TRIM('R.M Billets Reports'!F699),IF(ISNUMBER(SEARCH("Party Name-",'R.M Billets Reports'!D699)),TRIM(MID('R.M Billets Reports'!D699,SEARCH("-",'R.M Billets Reports'!D699)+1,200)),"")))="VRKP ISPAT PVT LTD","VRKP",IF(IF(IF(ISNUMBER(SEARCH("Party Name:-",'R.M Billets Reports'!D698)),TRIM('R.M Billets Reports'!F698),IF(ISNUMBER(SEARCH("Party Name-",'R.M Billets Reports'!D698)),TRIM(MID('R.M Billets Reports'!D698,SEARCH("-",'R.M Billets Reports'!D698)+1,200)),""))&lt;&gt;"",IF(ISNUMBER(SEARCH("Party Name:-",'R.M Billets Reports'!D698)),TRIM('R.M Billets Reports'!F698),IF(ISNUMBER(SEARCH("Party Name-",'R.M Billets Reports'!D698)),TRIM(MID('R.M Billets Reports'!D698,SEARCH("-",'R.M Billets Reports'!D698)+1,200)),"")),IF(ISNUMBER(SEARCH("Party Name:-",'R.M Billets Reports'!D699)),TRIM('R.M Billets Reports'!F699),IF(ISNUMBER(SEARCH("Party Name-",'R.M Billets Reports'!D699)),TRIM(MID('R.M Billets Reports'!D699,SEARCH("-",'R.M Billets Reports'!D699)+1,200)),"")))="SHRI RADHE","SHREE RADHE",IF(IF(IF(ISNUMBER(SEARCH("Party Name:-",'R.M Billets Reports'!D698)),TRIM('R.M Billets Reports'!F698),IF(ISNUMBER(SEARCH("Party Name-",'R.M Billets Reports'!D698)),TRIM(MID('R.M Billets Reports'!D698,SEARCH("-",'R.M Billets Reports'!D698)+1,200)),""))&lt;&gt;"",IF(ISNUMBER(SEARCH("Party Name:-",'R.M Billets Reports'!D698)),TRIM('R.M Billets Reports'!F698),IF(ISNUMBER(SEARCH("Party Name-",'R.M Billets Reports'!D698)),TRIM(MID('R.M Billets Reports'!D698,SEARCH("-",'R.M Billets Reports'!D698)+1,200)),"")),IF(ISNUMBER(SEARCH("Party Name:-",'R.M Billets Reports'!D699)),TRIM('R.M Billets Reports'!F699),IF(ISNUMBER(SEARCH("Party Name-",'R.M Billets Reports'!D699)),TRIM(MID('R.M Billets Reports'!D699,SEARCH("-",'R.M Billets Reports'!D699)+1,200)),"")))="SHREE RADHE SHAKTI SPONGE AND POWER PVT. LTD.","SHREE RADHE",IF(IF(ISNUMBER(SEARCH("Party Name:-",'R.M Billets Reports'!D698)),TRIM('R.M Billets Reports'!F698),IF(ISNUMBER(SEARCH("Party Name-",'R.M Billets Reports'!D698)),TRIM(MID('R.M Billets Reports'!D698,SEARCH("-",'R.M Billets Reports'!D698)+1,200)),""))&lt;&gt;"",IF(ISNUMBER(SEARCH("Party Name:-",'R.M Billets Reports'!D698)),TRIM('R.M Billets Reports'!F698),IF(ISNUMBER(SEARCH("Party Name-",'R.M Billets Reports'!D698)),TRIM(MID('R.M Billets Reports'!D698,SEARCH("-",'R.M Billets Reports'!D698)+1,200)),"")),IF(ISNUMBER(SEARCH("Party Name:-",'R.M Billets Reports'!D699)),TRIM('R.M Billets Reports'!F699),IF(ISNUMBER(SEARCH("Party Name-",'R.M Billets Reports'!D699)),TRIM(MID('R.M Billets Reports'!D699,SEARCH("-",'R.M Billets Reports'!D699)+1,200)),"")))))),IF(ROW()=2,"",A698))</f>
      </c>
      <c r="B699">
        <f>IF(OR('R.M Billets Reports'!A698="Date-",'R.M Billets Reports'!A698="Date:-"),'R.M Billets Reports'!B698,IF(ROW()=2,"",B698))</f>
      </c>
      <c r="C699">
        <f>IF('R.M Billets Reports'!A698="V.No.",'R.M Billets Reports'!B698,IF(ROW()=2,"",C698))</f>
      </c>
      <c r="D699">
        <f>IF('R.M Billets Reports'!A698&lt;&gt;"",'R.M Billets Reports'!A698,IF(ROW()=2,"",D698))</f>
      </c>
      <c r="E699">
        <f>IF('R.M Billets Reports'!B698="","",TRIM('R.M Billets Reports'!B698))</f>
      </c>
      <c r="F699">
        <f>'R.M Billets Reports'!C698</f>
      </c>
      <c r="G699">
        <f>'R.M Billets Reports'!D698</f>
      </c>
      <c r="H699">
        <f>'R.M Billets Reports'!E698</f>
      </c>
      <c r="I699">
        <f>'R.M Billets Reports'!F698</f>
      </c>
      <c r="J699">
        <f>'R.M Billets Reports'!G698</f>
      </c>
      <c r="K699">
        <f>'R.M Billets Reports'!H698</f>
      </c>
      <c r="L699">
        <f>IF('R.M Billets Reports'!I698="","",'R.M Billets Reports'!I698)</f>
      </c>
      <c r="M699">
        <f t="shared" si="20"/>
      </c>
      <c r="N699">
        <f>IF('R.M Billets Reports'!J698="","",'R.M Billets Reports'!J698)</f>
      </c>
      <c r="O699">
        <f t="shared" si="21"/>
      </c>
      <c r="P699">
        <f>IF('R.M Billets Reports'!A698="SIZE",'R.M Billets Reports'!B698,P698)</f>
      </c>
    </row>
    <row r="700" spans="1:16" x14ac:dyDescent="0.25">
      <c r="A700">
        <f>IF(OR('R.M Billets Reports'!A699="Date-",'R.M Billets Reports'!A699="Date:-"),IF(IF(IF(ISNUMBER(SEARCH("Party Name:-",'R.M Billets Reports'!D699)),TRIM('R.M Billets Reports'!F699),IF(ISNUMBER(SEARCH("Party Name-",'R.M Billets Reports'!D699)),TRIM(MID('R.M Billets Reports'!D699,SEARCH("-",'R.M Billets Reports'!D699)+1,200)),""))&lt;&gt;"",IF(ISNUMBER(SEARCH("Party Name:-",'R.M Billets Reports'!D699)),TRIM('R.M Billets Reports'!F699),IF(ISNUMBER(SEARCH("Party Name-",'R.M Billets Reports'!D699)),TRIM(MID('R.M Billets Reports'!D699,SEARCH("-",'R.M Billets Reports'!D699)+1,200)),"")),IF(ISNUMBER(SEARCH("Party Name:-",'R.M Billets Reports'!D700)),TRIM('R.M Billets Reports'!F700),IF(ISNUMBER(SEARCH("Party Name-",'R.M Billets Reports'!D700)),TRIM(MID('R.M Billets Reports'!D700,SEARCH("-",'R.M Billets Reports'!D700)+1,200)),"")))="VRKP ISPAT PVT LTD","VRKP",IF(IF(IF(ISNUMBER(SEARCH("Party Name:-",'R.M Billets Reports'!D699)),TRIM('R.M Billets Reports'!F699),IF(ISNUMBER(SEARCH("Party Name-",'R.M Billets Reports'!D699)),TRIM(MID('R.M Billets Reports'!D699,SEARCH("-",'R.M Billets Reports'!D699)+1,200)),""))&lt;&gt;"",IF(ISNUMBER(SEARCH("Party Name:-",'R.M Billets Reports'!D699)),TRIM('R.M Billets Reports'!F699),IF(ISNUMBER(SEARCH("Party Name-",'R.M Billets Reports'!D699)),TRIM(MID('R.M Billets Reports'!D699,SEARCH("-",'R.M Billets Reports'!D699)+1,200)),"")),IF(ISNUMBER(SEARCH("Party Name:-",'R.M Billets Reports'!D700)),TRIM('R.M Billets Reports'!F700),IF(ISNUMBER(SEARCH("Party Name-",'R.M Billets Reports'!D700)),TRIM(MID('R.M Billets Reports'!D700,SEARCH("-",'R.M Billets Reports'!D700)+1,200)),"")))="SHRI RADHE","SHREE RADHE",IF(IF(IF(ISNUMBER(SEARCH("Party Name:-",'R.M Billets Reports'!D699)),TRIM('R.M Billets Reports'!F699),IF(ISNUMBER(SEARCH("Party Name-",'R.M Billets Reports'!D699)),TRIM(MID('R.M Billets Reports'!D699,SEARCH("-",'R.M Billets Reports'!D699)+1,200)),""))&lt;&gt;"",IF(ISNUMBER(SEARCH("Party Name:-",'R.M Billets Reports'!D699)),TRIM('R.M Billets Reports'!F699),IF(ISNUMBER(SEARCH("Party Name-",'R.M Billets Reports'!D699)),TRIM(MID('R.M Billets Reports'!D699,SEARCH("-",'R.M Billets Reports'!D699)+1,200)),"")),IF(ISNUMBER(SEARCH("Party Name:-",'R.M Billets Reports'!D700)),TRIM('R.M Billets Reports'!F700),IF(ISNUMBER(SEARCH("Party Name-",'R.M Billets Reports'!D700)),TRIM(MID('R.M Billets Reports'!D700,SEARCH("-",'R.M Billets Reports'!D700)+1,200)),"")))="SHREE RADHE SHAKTI SPONGE AND POWER PVT. LTD.","SHREE RADHE",IF(IF(ISNUMBER(SEARCH("Party Name:-",'R.M Billets Reports'!D699)),TRIM('R.M Billets Reports'!F699),IF(ISNUMBER(SEARCH("Party Name-",'R.M Billets Reports'!D699)),TRIM(MID('R.M Billets Reports'!D699,SEARCH("-",'R.M Billets Reports'!D699)+1,200)),""))&lt;&gt;"",IF(ISNUMBER(SEARCH("Party Name:-",'R.M Billets Reports'!D699)),TRIM('R.M Billets Reports'!F699),IF(ISNUMBER(SEARCH("Party Name-",'R.M Billets Reports'!D699)),TRIM(MID('R.M Billets Reports'!D699,SEARCH("-",'R.M Billets Reports'!D699)+1,200)),"")),IF(ISNUMBER(SEARCH("Party Name:-",'R.M Billets Reports'!D700)),TRIM('R.M Billets Reports'!F700),IF(ISNUMBER(SEARCH("Party Name-",'R.M Billets Reports'!D700)),TRIM(MID('R.M Billets Reports'!D700,SEARCH("-",'R.M Billets Reports'!D700)+1,200)),"")))))),IF(ROW()=2,"",A699))</f>
      </c>
      <c r="B700">
        <f>IF(OR('R.M Billets Reports'!A699="Date-",'R.M Billets Reports'!A699="Date:-"),'R.M Billets Reports'!B699,IF(ROW()=2,"",B699))</f>
      </c>
      <c r="C700">
        <f>IF('R.M Billets Reports'!A699="V.No.",'R.M Billets Reports'!B699,IF(ROW()=2,"",C699))</f>
      </c>
      <c r="D700">
        <f>IF('R.M Billets Reports'!A699&lt;&gt;"",'R.M Billets Reports'!A699,IF(ROW()=2,"",D699))</f>
      </c>
      <c r="E700">
        <f>IF('R.M Billets Reports'!B699="","",TRIM('R.M Billets Reports'!B699))</f>
      </c>
      <c r="F700">
        <f>'R.M Billets Reports'!C699</f>
      </c>
      <c r="G700">
        <f>'R.M Billets Reports'!D699</f>
      </c>
      <c r="H700">
        <f>'R.M Billets Reports'!E699</f>
      </c>
      <c r="I700">
        <f>'R.M Billets Reports'!F699</f>
      </c>
      <c r="J700">
        <f>'R.M Billets Reports'!G699</f>
      </c>
      <c r="K700">
        <f>'R.M Billets Reports'!H699</f>
      </c>
      <c r="L700">
        <f>IF('R.M Billets Reports'!I699="","",'R.M Billets Reports'!I699)</f>
      </c>
      <c r="M700">
        <f t="shared" si="20"/>
      </c>
      <c r="N700">
        <f>IF('R.M Billets Reports'!J699="","",'R.M Billets Reports'!J699)</f>
      </c>
      <c r="O700">
        <f t="shared" si="21"/>
      </c>
      <c r="P700">
        <f>IF('R.M Billets Reports'!A699="SIZE",'R.M Billets Reports'!B699,P699)</f>
      </c>
    </row>
    <row r="701" spans="1:16" x14ac:dyDescent="0.25">
      <c r="A701">
        <f>IF(OR('R.M Billets Reports'!A700="Date-",'R.M Billets Reports'!A700="Date:-"),IF(IF(IF(ISNUMBER(SEARCH("Party Name:-",'R.M Billets Reports'!D700)),TRIM('R.M Billets Reports'!F700),IF(ISNUMBER(SEARCH("Party Name-",'R.M Billets Reports'!D700)),TRIM(MID('R.M Billets Reports'!D700,SEARCH("-",'R.M Billets Reports'!D700)+1,200)),""))&lt;&gt;"",IF(ISNUMBER(SEARCH("Party Name:-",'R.M Billets Reports'!D700)),TRIM('R.M Billets Reports'!F700),IF(ISNUMBER(SEARCH("Party Name-",'R.M Billets Reports'!D700)),TRIM(MID('R.M Billets Reports'!D700,SEARCH("-",'R.M Billets Reports'!D700)+1,200)),"")),IF(ISNUMBER(SEARCH("Party Name:-",'R.M Billets Reports'!D701)),TRIM('R.M Billets Reports'!F701),IF(ISNUMBER(SEARCH("Party Name-",'R.M Billets Reports'!D701)),TRIM(MID('R.M Billets Reports'!D701,SEARCH("-",'R.M Billets Reports'!D701)+1,200)),"")))="VRKP ISPAT PVT LTD","VRKP",IF(IF(IF(ISNUMBER(SEARCH("Party Name:-",'R.M Billets Reports'!D700)),TRIM('R.M Billets Reports'!F700),IF(ISNUMBER(SEARCH("Party Name-",'R.M Billets Reports'!D700)),TRIM(MID('R.M Billets Reports'!D700,SEARCH("-",'R.M Billets Reports'!D700)+1,200)),""))&lt;&gt;"",IF(ISNUMBER(SEARCH("Party Name:-",'R.M Billets Reports'!D700)),TRIM('R.M Billets Reports'!F700),IF(ISNUMBER(SEARCH("Party Name-",'R.M Billets Reports'!D700)),TRIM(MID('R.M Billets Reports'!D700,SEARCH("-",'R.M Billets Reports'!D700)+1,200)),"")),IF(ISNUMBER(SEARCH("Party Name:-",'R.M Billets Reports'!D701)),TRIM('R.M Billets Reports'!F701),IF(ISNUMBER(SEARCH("Party Name-",'R.M Billets Reports'!D701)),TRIM(MID('R.M Billets Reports'!D701,SEARCH("-",'R.M Billets Reports'!D701)+1,200)),"")))="SHRI RADHE","SHREE RADHE",IF(IF(IF(ISNUMBER(SEARCH("Party Name:-",'R.M Billets Reports'!D700)),TRIM('R.M Billets Reports'!F700),IF(ISNUMBER(SEARCH("Party Name-",'R.M Billets Reports'!D700)),TRIM(MID('R.M Billets Reports'!D700,SEARCH("-",'R.M Billets Reports'!D700)+1,200)),""))&lt;&gt;"",IF(ISNUMBER(SEARCH("Party Name:-",'R.M Billets Reports'!D700)),TRIM('R.M Billets Reports'!F700),IF(ISNUMBER(SEARCH("Party Name-",'R.M Billets Reports'!D700)),TRIM(MID('R.M Billets Reports'!D700,SEARCH("-",'R.M Billets Reports'!D700)+1,200)),"")),IF(ISNUMBER(SEARCH("Party Name:-",'R.M Billets Reports'!D701)),TRIM('R.M Billets Reports'!F701),IF(ISNUMBER(SEARCH("Party Name-",'R.M Billets Reports'!D701)),TRIM(MID('R.M Billets Reports'!D701,SEARCH("-",'R.M Billets Reports'!D701)+1,200)),"")))="SHREE RADHE SHAKTI SPONGE AND POWER PVT. LTD.","SHREE RADHE",IF(IF(ISNUMBER(SEARCH("Party Name:-",'R.M Billets Reports'!D700)),TRIM('R.M Billets Reports'!F700),IF(ISNUMBER(SEARCH("Party Name-",'R.M Billets Reports'!D700)),TRIM(MID('R.M Billets Reports'!D700,SEARCH("-",'R.M Billets Reports'!D700)+1,200)),""))&lt;&gt;"",IF(ISNUMBER(SEARCH("Party Name:-",'R.M Billets Reports'!D700)),TRIM('R.M Billets Reports'!F700),IF(ISNUMBER(SEARCH("Party Name-",'R.M Billets Reports'!D700)),TRIM(MID('R.M Billets Reports'!D700,SEARCH("-",'R.M Billets Reports'!D700)+1,200)),"")),IF(ISNUMBER(SEARCH("Party Name:-",'R.M Billets Reports'!D701)),TRIM('R.M Billets Reports'!F701),IF(ISNUMBER(SEARCH("Party Name-",'R.M Billets Reports'!D701)),TRIM(MID('R.M Billets Reports'!D701,SEARCH("-",'R.M Billets Reports'!D701)+1,200)),"")))))),IF(ROW()=2,"",A700))</f>
      </c>
      <c r="B701">
        <f>IF(OR('R.M Billets Reports'!A700="Date-",'R.M Billets Reports'!A700="Date:-"),'R.M Billets Reports'!B700,IF(ROW()=2,"",B700))</f>
      </c>
      <c r="C701">
        <f>IF('R.M Billets Reports'!A700="V.No.",'R.M Billets Reports'!B700,IF(ROW()=2,"",C700))</f>
      </c>
      <c r="D701">
        <f>IF('R.M Billets Reports'!A700&lt;&gt;"",'R.M Billets Reports'!A700,IF(ROW()=2,"",D700))</f>
      </c>
      <c r="E701">
        <f>IF('R.M Billets Reports'!B700="","",TRIM('R.M Billets Reports'!B700))</f>
      </c>
      <c r="F701">
        <f>'R.M Billets Reports'!C700</f>
      </c>
      <c r="G701">
        <f>'R.M Billets Reports'!D700</f>
      </c>
      <c r="H701">
        <f>'R.M Billets Reports'!E700</f>
      </c>
      <c r="I701">
        <f>'R.M Billets Reports'!F700</f>
      </c>
      <c r="J701">
        <f>'R.M Billets Reports'!G700</f>
      </c>
      <c r="K701">
        <f>'R.M Billets Reports'!H700</f>
      </c>
      <c r="L701">
        <f>IF('R.M Billets Reports'!I700="","",'R.M Billets Reports'!I700)</f>
      </c>
      <c r="M701">
        <f t="shared" si="20"/>
      </c>
      <c r="N701">
        <f>IF('R.M Billets Reports'!J700="","",'R.M Billets Reports'!J700)</f>
      </c>
      <c r="O701">
        <f t="shared" si="21"/>
      </c>
      <c r="P701">
        <f>IF('R.M Billets Reports'!A700="SIZE",'R.M Billets Reports'!B700,P700)</f>
      </c>
    </row>
    <row r="702" spans="1:16" x14ac:dyDescent="0.25">
      <c r="A702">
        <f>IF(OR('R.M Billets Reports'!A701="Date-",'R.M Billets Reports'!A701="Date:-"),IF(IF(IF(ISNUMBER(SEARCH("Party Name:-",'R.M Billets Reports'!D701)),TRIM('R.M Billets Reports'!F701),IF(ISNUMBER(SEARCH("Party Name-",'R.M Billets Reports'!D701)),TRIM(MID('R.M Billets Reports'!D701,SEARCH("-",'R.M Billets Reports'!D701)+1,200)),""))&lt;&gt;"",IF(ISNUMBER(SEARCH("Party Name:-",'R.M Billets Reports'!D701)),TRIM('R.M Billets Reports'!F701),IF(ISNUMBER(SEARCH("Party Name-",'R.M Billets Reports'!D701)),TRIM(MID('R.M Billets Reports'!D701,SEARCH("-",'R.M Billets Reports'!D701)+1,200)),"")),IF(ISNUMBER(SEARCH("Party Name:-",'R.M Billets Reports'!D702)),TRIM('R.M Billets Reports'!F702),IF(ISNUMBER(SEARCH("Party Name-",'R.M Billets Reports'!D702)),TRIM(MID('R.M Billets Reports'!D702,SEARCH("-",'R.M Billets Reports'!D702)+1,200)),"")))="VRKP ISPAT PVT LTD","VRKP",IF(IF(IF(ISNUMBER(SEARCH("Party Name:-",'R.M Billets Reports'!D701)),TRIM('R.M Billets Reports'!F701),IF(ISNUMBER(SEARCH("Party Name-",'R.M Billets Reports'!D701)),TRIM(MID('R.M Billets Reports'!D701,SEARCH("-",'R.M Billets Reports'!D701)+1,200)),""))&lt;&gt;"",IF(ISNUMBER(SEARCH("Party Name:-",'R.M Billets Reports'!D701)),TRIM('R.M Billets Reports'!F701),IF(ISNUMBER(SEARCH("Party Name-",'R.M Billets Reports'!D701)),TRIM(MID('R.M Billets Reports'!D701,SEARCH("-",'R.M Billets Reports'!D701)+1,200)),"")),IF(ISNUMBER(SEARCH("Party Name:-",'R.M Billets Reports'!D702)),TRIM('R.M Billets Reports'!F702),IF(ISNUMBER(SEARCH("Party Name-",'R.M Billets Reports'!D702)),TRIM(MID('R.M Billets Reports'!D702,SEARCH("-",'R.M Billets Reports'!D702)+1,200)),"")))="SHRI RADHE","SHREE RADHE",IF(IF(IF(ISNUMBER(SEARCH("Party Name:-",'R.M Billets Reports'!D701)),TRIM('R.M Billets Reports'!F701),IF(ISNUMBER(SEARCH("Party Name-",'R.M Billets Reports'!D701)),TRIM(MID('R.M Billets Reports'!D701,SEARCH("-",'R.M Billets Reports'!D701)+1,200)),""))&lt;&gt;"",IF(ISNUMBER(SEARCH("Party Name:-",'R.M Billets Reports'!D701)),TRIM('R.M Billets Reports'!F701),IF(ISNUMBER(SEARCH("Party Name-",'R.M Billets Reports'!D701)),TRIM(MID('R.M Billets Reports'!D701,SEARCH("-",'R.M Billets Reports'!D701)+1,200)),"")),IF(ISNUMBER(SEARCH("Party Name:-",'R.M Billets Reports'!D702)),TRIM('R.M Billets Reports'!F702),IF(ISNUMBER(SEARCH("Party Name-",'R.M Billets Reports'!D702)),TRIM(MID('R.M Billets Reports'!D702,SEARCH("-",'R.M Billets Reports'!D702)+1,200)),"")))="SHREE RADHE SHAKTI SPONGE AND POWER PVT. LTD.","SHREE RADHE",IF(IF(ISNUMBER(SEARCH("Party Name:-",'R.M Billets Reports'!D701)),TRIM('R.M Billets Reports'!F701),IF(ISNUMBER(SEARCH("Party Name-",'R.M Billets Reports'!D701)),TRIM(MID('R.M Billets Reports'!D701,SEARCH("-",'R.M Billets Reports'!D701)+1,200)),""))&lt;&gt;"",IF(ISNUMBER(SEARCH("Party Name:-",'R.M Billets Reports'!D701)),TRIM('R.M Billets Reports'!F701),IF(ISNUMBER(SEARCH("Party Name-",'R.M Billets Reports'!D701)),TRIM(MID('R.M Billets Reports'!D701,SEARCH("-",'R.M Billets Reports'!D701)+1,200)),"")),IF(ISNUMBER(SEARCH("Party Name:-",'R.M Billets Reports'!D702)),TRIM('R.M Billets Reports'!F702),IF(ISNUMBER(SEARCH("Party Name-",'R.M Billets Reports'!D702)),TRIM(MID('R.M Billets Reports'!D702,SEARCH("-",'R.M Billets Reports'!D702)+1,200)),"")))))),IF(ROW()=2,"",A701))</f>
      </c>
      <c r="B702">
        <f>IF(OR('R.M Billets Reports'!A701="Date-",'R.M Billets Reports'!A701="Date:-"),'R.M Billets Reports'!B701,IF(ROW()=2,"",B701))</f>
      </c>
      <c r="C702">
        <f>IF('R.M Billets Reports'!A701="V.No.",'R.M Billets Reports'!B701,IF(ROW()=2,"",C701))</f>
      </c>
      <c r="D702">
        <f>IF('R.M Billets Reports'!A701&lt;&gt;"",'R.M Billets Reports'!A701,IF(ROW()=2,"",D701))</f>
      </c>
      <c r="E702">
        <f>IF('R.M Billets Reports'!B701="","",TRIM('R.M Billets Reports'!B701))</f>
      </c>
      <c r="F702">
        <f>'R.M Billets Reports'!C701</f>
      </c>
      <c r="G702">
        <f>'R.M Billets Reports'!D701</f>
      </c>
      <c r="H702">
        <f>'R.M Billets Reports'!E701</f>
      </c>
      <c r="I702">
        <f>'R.M Billets Reports'!F701</f>
      </c>
      <c r="J702">
        <f>'R.M Billets Reports'!G701</f>
      </c>
      <c r="K702">
        <f>'R.M Billets Reports'!H701</f>
      </c>
      <c r="L702">
        <f>IF('R.M Billets Reports'!I701="","",'R.M Billets Reports'!I701)</f>
      </c>
      <c r="M702">
        <f t="shared" si="20"/>
      </c>
      <c r="N702">
        <f>IF('R.M Billets Reports'!J701="","",'R.M Billets Reports'!J701)</f>
      </c>
      <c r="O702">
        <f t="shared" si="21"/>
      </c>
      <c r="P702">
        <f>IF('R.M Billets Reports'!A701="SIZE",'R.M Billets Reports'!B701,P701)</f>
      </c>
    </row>
    <row r="703" spans="1:16" x14ac:dyDescent="0.25">
      <c r="A703">
        <f>IF(OR('R.M Billets Reports'!A702="Date-",'R.M Billets Reports'!A702="Date:-"),IF(IF(IF(ISNUMBER(SEARCH("Party Name:-",'R.M Billets Reports'!D702)),TRIM('R.M Billets Reports'!F702),IF(ISNUMBER(SEARCH("Party Name-",'R.M Billets Reports'!D702)),TRIM(MID('R.M Billets Reports'!D702,SEARCH("-",'R.M Billets Reports'!D702)+1,200)),""))&lt;&gt;"",IF(ISNUMBER(SEARCH("Party Name:-",'R.M Billets Reports'!D702)),TRIM('R.M Billets Reports'!F702),IF(ISNUMBER(SEARCH("Party Name-",'R.M Billets Reports'!D702)),TRIM(MID('R.M Billets Reports'!D702,SEARCH("-",'R.M Billets Reports'!D702)+1,200)),"")),IF(ISNUMBER(SEARCH("Party Name:-",'R.M Billets Reports'!D703)),TRIM('R.M Billets Reports'!F703),IF(ISNUMBER(SEARCH("Party Name-",'R.M Billets Reports'!D703)),TRIM(MID('R.M Billets Reports'!D703,SEARCH("-",'R.M Billets Reports'!D703)+1,200)),"")))="VRKP ISPAT PVT LTD","VRKP",IF(IF(IF(ISNUMBER(SEARCH("Party Name:-",'R.M Billets Reports'!D702)),TRIM('R.M Billets Reports'!F702),IF(ISNUMBER(SEARCH("Party Name-",'R.M Billets Reports'!D702)),TRIM(MID('R.M Billets Reports'!D702,SEARCH("-",'R.M Billets Reports'!D702)+1,200)),""))&lt;&gt;"",IF(ISNUMBER(SEARCH("Party Name:-",'R.M Billets Reports'!D702)),TRIM('R.M Billets Reports'!F702),IF(ISNUMBER(SEARCH("Party Name-",'R.M Billets Reports'!D702)),TRIM(MID('R.M Billets Reports'!D702,SEARCH("-",'R.M Billets Reports'!D702)+1,200)),"")),IF(ISNUMBER(SEARCH("Party Name:-",'R.M Billets Reports'!D703)),TRIM('R.M Billets Reports'!F703),IF(ISNUMBER(SEARCH("Party Name-",'R.M Billets Reports'!D703)),TRIM(MID('R.M Billets Reports'!D703,SEARCH("-",'R.M Billets Reports'!D703)+1,200)),"")))="SHRI RADHE","SHREE RADHE",IF(IF(IF(ISNUMBER(SEARCH("Party Name:-",'R.M Billets Reports'!D702)),TRIM('R.M Billets Reports'!F702),IF(ISNUMBER(SEARCH("Party Name-",'R.M Billets Reports'!D702)),TRIM(MID('R.M Billets Reports'!D702,SEARCH("-",'R.M Billets Reports'!D702)+1,200)),""))&lt;&gt;"",IF(ISNUMBER(SEARCH("Party Name:-",'R.M Billets Reports'!D702)),TRIM('R.M Billets Reports'!F702),IF(ISNUMBER(SEARCH("Party Name-",'R.M Billets Reports'!D702)),TRIM(MID('R.M Billets Reports'!D702,SEARCH("-",'R.M Billets Reports'!D702)+1,200)),"")),IF(ISNUMBER(SEARCH("Party Name:-",'R.M Billets Reports'!D703)),TRIM('R.M Billets Reports'!F703),IF(ISNUMBER(SEARCH("Party Name-",'R.M Billets Reports'!D703)),TRIM(MID('R.M Billets Reports'!D703,SEARCH("-",'R.M Billets Reports'!D703)+1,200)),"")))="SHREE RADHE SHAKTI SPONGE AND POWER PVT. LTD.","SHREE RADHE",IF(IF(ISNUMBER(SEARCH("Party Name:-",'R.M Billets Reports'!D702)),TRIM('R.M Billets Reports'!F702),IF(ISNUMBER(SEARCH("Party Name-",'R.M Billets Reports'!D702)),TRIM(MID('R.M Billets Reports'!D702,SEARCH("-",'R.M Billets Reports'!D702)+1,200)),""))&lt;&gt;"",IF(ISNUMBER(SEARCH("Party Name:-",'R.M Billets Reports'!D702)),TRIM('R.M Billets Reports'!F702),IF(ISNUMBER(SEARCH("Party Name-",'R.M Billets Reports'!D702)),TRIM(MID('R.M Billets Reports'!D702,SEARCH("-",'R.M Billets Reports'!D702)+1,200)),"")),IF(ISNUMBER(SEARCH("Party Name:-",'R.M Billets Reports'!D703)),TRIM('R.M Billets Reports'!F703),IF(ISNUMBER(SEARCH("Party Name-",'R.M Billets Reports'!D703)),TRIM(MID('R.M Billets Reports'!D703,SEARCH("-",'R.M Billets Reports'!D703)+1,200)),"")))))),IF(ROW()=2,"",A702))</f>
      </c>
      <c r="B703">
        <f>IF(OR('R.M Billets Reports'!A702="Date-",'R.M Billets Reports'!A702="Date:-"),'R.M Billets Reports'!B702,IF(ROW()=2,"",B702))</f>
      </c>
      <c r="C703">
        <f>IF('R.M Billets Reports'!A702="V.No.",'R.M Billets Reports'!B702,IF(ROW()=2,"",C702))</f>
      </c>
      <c r="D703">
        <f>IF('R.M Billets Reports'!A702&lt;&gt;"",'R.M Billets Reports'!A702,IF(ROW()=2,"",D702))</f>
      </c>
      <c r="E703">
        <f>IF('R.M Billets Reports'!B702="","",TRIM('R.M Billets Reports'!B702))</f>
      </c>
      <c r="F703">
        <f>'R.M Billets Reports'!C702</f>
      </c>
      <c r="G703">
        <f>'R.M Billets Reports'!D702</f>
      </c>
      <c r="H703">
        <f>'R.M Billets Reports'!E702</f>
      </c>
      <c r="I703">
        <f>'R.M Billets Reports'!F702</f>
      </c>
      <c r="J703">
        <f>'R.M Billets Reports'!G702</f>
      </c>
      <c r="K703">
        <f>'R.M Billets Reports'!H702</f>
      </c>
      <c r="L703">
        <f>IF('R.M Billets Reports'!I702="","",'R.M Billets Reports'!I702)</f>
      </c>
      <c r="M703">
        <f t="shared" si="20"/>
      </c>
      <c r="N703">
        <f>IF('R.M Billets Reports'!J702="","",'R.M Billets Reports'!J702)</f>
      </c>
      <c r="O703">
        <f t="shared" si="21"/>
      </c>
      <c r="P703">
        <f>IF('R.M Billets Reports'!A702="SIZE",'R.M Billets Reports'!B702,P702)</f>
      </c>
    </row>
    <row r="704" spans="1:16" x14ac:dyDescent="0.25">
      <c r="A704">
        <f>IF(OR('R.M Billets Reports'!A703="Date-",'R.M Billets Reports'!A703="Date:-"),IF(IF(IF(ISNUMBER(SEARCH("Party Name:-",'R.M Billets Reports'!D703)),TRIM('R.M Billets Reports'!F703),IF(ISNUMBER(SEARCH("Party Name-",'R.M Billets Reports'!D703)),TRIM(MID('R.M Billets Reports'!D703,SEARCH("-",'R.M Billets Reports'!D703)+1,200)),""))&lt;&gt;"",IF(ISNUMBER(SEARCH("Party Name:-",'R.M Billets Reports'!D703)),TRIM('R.M Billets Reports'!F703),IF(ISNUMBER(SEARCH("Party Name-",'R.M Billets Reports'!D703)),TRIM(MID('R.M Billets Reports'!D703,SEARCH("-",'R.M Billets Reports'!D703)+1,200)),"")),IF(ISNUMBER(SEARCH("Party Name:-",'R.M Billets Reports'!D704)),TRIM('R.M Billets Reports'!F704),IF(ISNUMBER(SEARCH("Party Name-",'R.M Billets Reports'!D704)),TRIM(MID('R.M Billets Reports'!D704,SEARCH("-",'R.M Billets Reports'!D704)+1,200)),"")))="VRKP ISPAT PVT LTD","VRKP",IF(IF(IF(ISNUMBER(SEARCH("Party Name:-",'R.M Billets Reports'!D703)),TRIM('R.M Billets Reports'!F703),IF(ISNUMBER(SEARCH("Party Name-",'R.M Billets Reports'!D703)),TRIM(MID('R.M Billets Reports'!D703,SEARCH("-",'R.M Billets Reports'!D703)+1,200)),""))&lt;&gt;"",IF(ISNUMBER(SEARCH("Party Name:-",'R.M Billets Reports'!D703)),TRIM('R.M Billets Reports'!F703),IF(ISNUMBER(SEARCH("Party Name-",'R.M Billets Reports'!D703)),TRIM(MID('R.M Billets Reports'!D703,SEARCH("-",'R.M Billets Reports'!D703)+1,200)),"")),IF(ISNUMBER(SEARCH("Party Name:-",'R.M Billets Reports'!D704)),TRIM('R.M Billets Reports'!F704),IF(ISNUMBER(SEARCH("Party Name-",'R.M Billets Reports'!D704)),TRIM(MID('R.M Billets Reports'!D704,SEARCH("-",'R.M Billets Reports'!D704)+1,200)),"")))="SHRI RADHE","SHREE RADHE",IF(IF(IF(ISNUMBER(SEARCH("Party Name:-",'R.M Billets Reports'!D703)),TRIM('R.M Billets Reports'!F703),IF(ISNUMBER(SEARCH("Party Name-",'R.M Billets Reports'!D703)),TRIM(MID('R.M Billets Reports'!D703,SEARCH("-",'R.M Billets Reports'!D703)+1,200)),""))&lt;&gt;"",IF(ISNUMBER(SEARCH("Party Name:-",'R.M Billets Reports'!D703)),TRIM('R.M Billets Reports'!F703),IF(ISNUMBER(SEARCH("Party Name-",'R.M Billets Reports'!D703)),TRIM(MID('R.M Billets Reports'!D703,SEARCH("-",'R.M Billets Reports'!D703)+1,200)),"")),IF(ISNUMBER(SEARCH("Party Name:-",'R.M Billets Reports'!D704)),TRIM('R.M Billets Reports'!F704),IF(ISNUMBER(SEARCH("Party Name-",'R.M Billets Reports'!D704)),TRIM(MID('R.M Billets Reports'!D704,SEARCH("-",'R.M Billets Reports'!D704)+1,200)),"")))="SHREE RADHE SHAKTI SPONGE AND POWER PVT. LTD.","SHREE RADHE",IF(IF(ISNUMBER(SEARCH("Party Name:-",'R.M Billets Reports'!D703)),TRIM('R.M Billets Reports'!F703),IF(ISNUMBER(SEARCH("Party Name-",'R.M Billets Reports'!D703)),TRIM(MID('R.M Billets Reports'!D703,SEARCH("-",'R.M Billets Reports'!D703)+1,200)),""))&lt;&gt;"",IF(ISNUMBER(SEARCH("Party Name:-",'R.M Billets Reports'!D703)),TRIM('R.M Billets Reports'!F703),IF(ISNUMBER(SEARCH("Party Name-",'R.M Billets Reports'!D703)),TRIM(MID('R.M Billets Reports'!D703,SEARCH("-",'R.M Billets Reports'!D703)+1,200)),"")),IF(ISNUMBER(SEARCH("Party Name:-",'R.M Billets Reports'!D704)),TRIM('R.M Billets Reports'!F704),IF(ISNUMBER(SEARCH("Party Name-",'R.M Billets Reports'!D704)),TRIM(MID('R.M Billets Reports'!D704,SEARCH("-",'R.M Billets Reports'!D704)+1,200)),"")))))),IF(ROW()=2,"",A703))</f>
      </c>
      <c r="B704">
        <f>IF(OR('R.M Billets Reports'!A703="Date-",'R.M Billets Reports'!A703="Date:-"),'R.M Billets Reports'!B703,IF(ROW()=2,"",B703))</f>
      </c>
      <c r="C704">
        <f>IF('R.M Billets Reports'!A703="V.No.",'R.M Billets Reports'!B703,IF(ROW()=2,"",C703))</f>
      </c>
      <c r="D704">
        <f>IF('R.M Billets Reports'!A703&lt;&gt;"",'R.M Billets Reports'!A703,IF(ROW()=2,"",D703))</f>
      </c>
      <c r="E704">
        <f>IF('R.M Billets Reports'!B703="","",TRIM('R.M Billets Reports'!B703))</f>
      </c>
      <c r="F704">
        <f>'R.M Billets Reports'!C703</f>
      </c>
      <c r="G704">
        <f>'R.M Billets Reports'!D703</f>
      </c>
      <c r="H704">
        <f>'R.M Billets Reports'!E703</f>
      </c>
      <c r="I704">
        <f>'R.M Billets Reports'!F703</f>
      </c>
      <c r="J704">
        <f>'R.M Billets Reports'!G703</f>
      </c>
      <c r="K704">
        <f>'R.M Billets Reports'!H703</f>
      </c>
      <c r="L704">
        <f>IF('R.M Billets Reports'!I703="","",'R.M Billets Reports'!I703)</f>
      </c>
      <c r="M704">
        <f t="shared" si="20"/>
      </c>
      <c r="N704">
        <f>IF('R.M Billets Reports'!J703="","",'R.M Billets Reports'!J703)</f>
      </c>
      <c r="O704">
        <f t="shared" si="21"/>
      </c>
      <c r="P704">
        <f>IF('R.M Billets Reports'!A703="SIZE",'R.M Billets Reports'!B703,P703)</f>
      </c>
    </row>
    <row r="705" spans="1:16" x14ac:dyDescent="0.25">
      <c r="A705">
        <f>IF(OR('R.M Billets Reports'!A704="Date-",'R.M Billets Reports'!A704="Date:-"),IF(IF(IF(ISNUMBER(SEARCH("Party Name:-",'R.M Billets Reports'!D704)),TRIM('R.M Billets Reports'!F704),IF(ISNUMBER(SEARCH("Party Name-",'R.M Billets Reports'!D704)),TRIM(MID('R.M Billets Reports'!D704,SEARCH("-",'R.M Billets Reports'!D704)+1,200)),""))&lt;&gt;"",IF(ISNUMBER(SEARCH("Party Name:-",'R.M Billets Reports'!D704)),TRIM('R.M Billets Reports'!F704),IF(ISNUMBER(SEARCH("Party Name-",'R.M Billets Reports'!D704)),TRIM(MID('R.M Billets Reports'!D704,SEARCH("-",'R.M Billets Reports'!D704)+1,200)),"")),IF(ISNUMBER(SEARCH("Party Name:-",'R.M Billets Reports'!D705)),TRIM('R.M Billets Reports'!F705),IF(ISNUMBER(SEARCH("Party Name-",'R.M Billets Reports'!D705)),TRIM(MID('R.M Billets Reports'!D705,SEARCH("-",'R.M Billets Reports'!D705)+1,200)),"")))="VRKP ISPAT PVT LTD","VRKP",IF(IF(IF(ISNUMBER(SEARCH("Party Name:-",'R.M Billets Reports'!D704)),TRIM('R.M Billets Reports'!F704),IF(ISNUMBER(SEARCH("Party Name-",'R.M Billets Reports'!D704)),TRIM(MID('R.M Billets Reports'!D704,SEARCH("-",'R.M Billets Reports'!D704)+1,200)),""))&lt;&gt;"",IF(ISNUMBER(SEARCH("Party Name:-",'R.M Billets Reports'!D704)),TRIM('R.M Billets Reports'!F704),IF(ISNUMBER(SEARCH("Party Name-",'R.M Billets Reports'!D704)),TRIM(MID('R.M Billets Reports'!D704,SEARCH("-",'R.M Billets Reports'!D704)+1,200)),"")),IF(ISNUMBER(SEARCH("Party Name:-",'R.M Billets Reports'!D705)),TRIM('R.M Billets Reports'!F705),IF(ISNUMBER(SEARCH("Party Name-",'R.M Billets Reports'!D705)),TRIM(MID('R.M Billets Reports'!D705,SEARCH("-",'R.M Billets Reports'!D705)+1,200)),"")))="SHRI RADHE","SHREE RADHE",IF(IF(IF(ISNUMBER(SEARCH("Party Name:-",'R.M Billets Reports'!D704)),TRIM('R.M Billets Reports'!F704),IF(ISNUMBER(SEARCH("Party Name-",'R.M Billets Reports'!D704)),TRIM(MID('R.M Billets Reports'!D704,SEARCH("-",'R.M Billets Reports'!D704)+1,200)),""))&lt;&gt;"",IF(ISNUMBER(SEARCH("Party Name:-",'R.M Billets Reports'!D704)),TRIM('R.M Billets Reports'!F704),IF(ISNUMBER(SEARCH("Party Name-",'R.M Billets Reports'!D704)),TRIM(MID('R.M Billets Reports'!D704,SEARCH("-",'R.M Billets Reports'!D704)+1,200)),"")),IF(ISNUMBER(SEARCH("Party Name:-",'R.M Billets Reports'!D705)),TRIM('R.M Billets Reports'!F705),IF(ISNUMBER(SEARCH("Party Name-",'R.M Billets Reports'!D705)),TRIM(MID('R.M Billets Reports'!D705,SEARCH("-",'R.M Billets Reports'!D705)+1,200)),"")))="SHREE RADHE SHAKTI SPONGE AND POWER PVT. LTD.","SHREE RADHE",IF(IF(ISNUMBER(SEARCH("Party Name:-",'R.M Billets Reports'!D704)),TRIM('R.M Billets Reports'!F704),IF(ISNUMBER(SEARCH("Party Name-",'R.M Billets Reports'!D704)),TRIM(MID('R.M Billets Reports'!D704,SEARCH("-",'R.M Billets Reports'!D704)+1,200)),""))&lt;&gt;"",IF(ISNUMBER(SEARCH("Party Name:-",'R.M Billets Reports'!D704)),TRIM('R.M Billets Reports'!F704),IF(ISNUMBER(SEARCH("Party Name-",'R.M Billets Reports'!D704)),TRIM(MID('R.M Billets Reports'!D704,SEARCH("-",'R.M Billets Reports'!D704)+1,200)),"")),IF(ISNUMBER(SEARCH("Party Name:-",'R.M Billets Reports'!D705)),TRIM('R.M Billets Reports'!F705),IF(ISNUMBER(SEARCH("Party Name-",'R.M Billets Reports'!D705)),TRIM(MID('R.M Billets Reports'!D705,SEARCH("-",'R.M Billets Reports'!D705)+1,200)),"")))))),IF(ROW()=2,"",A704))</f>
      </c>
      <c r="B705">
        <f>IF(OR('R.M Billets Reports'!A704="Date-",'R.M Billets Reports'!A704="Date:-"),'R.M Billets Reports'!B704,IF(ROW()=2,"",B704))</f>
      </c>
      <c r="C705">
        <f>IF('R.M Billets Reports'!A704="V.No.",'R.M Billets Reports'!B704,IF(ROW()=2,"",C704))</f>
      </c>
      <c r="D705">
        <f>IF('R.M Billets Reports'!A704&lt;&gt;"",'R.M Billets Reports'!A704,IF(ROW()=2,"",D704))</f>
      </c>
      <c r="E705">
        <f>IF('R.M Billets Reports'!B704="","",TRIM('R.M Billets Reports'!B704))</f>
      </c>
      <c r="F705">
        <f>'R.M Billets Reports'!C704</f>
      </c>
      <c r="G705">
        <f>'R.M Billets Reports'!D704</f>
      </c>
      <c r="H705">
        <f>'R.M Billets Reports'!E704</f>
      </c>
      <c r="I705">
        <f>'R.M Billets Reports'!F704</f>
      </c>
      <c r="J705">
        <f>'R.M Billets Reports'!G704</f>
      </c>
      <c r="K705">
        <f>'R.M Billets Reports'!H704</f>
      </c>
      <c r="L705">
        <f>IF('R.M Billets Reports'!I704="","",'R.M Billets Reports'!I704)</f>
      </c>
      <c r="M705">
        <f t="shared" si="20"/>
      </c>
      <c r="N705">
        <f>IF('R.M Billets Reports'!J704="","",'R.M Billets Reports'!J704)</f>
      </c>
      <c r="O705">
        <f t="shared" si="21"/>
      </c>
      <c r="P705">
        <f>IF('R.M Billets Reports'!A704="SIZE",'R.M Billets Reports'!B704,P704)</f>
      </c>
    </row>
    <row r="706" spans="1:16" x14ac:dyDescent="0.25">
      <c r="A706">
        <f>IF(OR('R.M Billets Reports'!A705="Date-",'R.M Billets Reports'!A705="Date:-"),IF(IF(IF(ISNUMBER(SEARCH("Party Name:-",'R.M Billets Reports'!D705)),TRIM('R.M Billets Reports'!F705),IF(ISNUMBER(SEARCH("Party Name-",'R.M Billets Reports'!D705)),TRIM(MID('R.M Billets Reports'!D705,SEARCH("-",'R.M Billets Reports'!D705)+1,200)),""))&lt;&gt;"",IF(ISNUMBER(SEARCH("Party Name:-",'R.M Billets Reports'!D705)),TRIM('R.M Billets Reports'!F705),IF(ISNUMBER(SEARCH("Party Name-",'R.M Billets Reports'!D705)),TRIM(MID('R.M Billets Reports'!D705,SEARCH("-",'R.M Billets Reports'!D705)+1,200)),"")),IF(ISNUMBER(SEARCH("Party Name:-",'R.M Billets Reports'!D706)),TRIM('R.M Billets Reports'!F706),IF(ISNUMBER(SEARCH("Party Name-",'R.M Billets Reports'!D706)),TRIM(MID('R.M Billets Reports'!D706,SEARCH("-",'R.M Billets Reports'!D706)+1,200)),"")))="VRKP ISPAT PVT LTD","VRKP",IF(IF(IF(ISNUMBER(SEARCH("Party Name:-",'R.M Billets Reports'!D705)),TRIM('R.M Billets Reports'!F705),IF(ISNUMBER(SEARCH("Party Name-",'R.M Billets Reports'!D705)),TRIM(MID('R.M Billets Reports'!D705,SEARCH("-",'R.M Billets Reports'!D705)+1,200)),""))&lt;&gt;"",IF(ISNUMBER(SEARCH("Party Name:-",'R.M Billets Reports'!D705)),TRIM('R.M Billets Reports'!F705),IF(ISNUMBER(SEARCH("Party Name-",'R.M Billets Reports'!D705)),TRIM(MID('R.M Billets Reports'!D705,SEARCH("-",'R.M Billets Reports'!D705)+1,200)),"")),IF(ISNUMBER(SEARCH("Party Name:-",'R.M Billets Reports'!D706)),TRIM('R.M Billets Reports'!F706),IF(ISNUMBER(SEARCH("Party Name-",'R.M Billets Reports'!D706)),TRIM(MID('R.M Billets Reports'!D706,SEARCH("-",'R.M Billets Reports'!D706)+1,200)),"")))="SHRI RADHE","SHREE RADHE",IF(IF(IF(ISNUMBER(SEARCH("Party Name:-",'R.M Billets Reports'!D705)),TRIM('R.M Billets Reports'!F705),IF(ISNUMBER(SEARCH("Party Name-",'R.M Billets Reports'!D705)),TRIM(MID('R.M Billets Reports'!D705,SEARCH("-",'R.M Billets Reports'!D705)+1,200)),""))&lt;&gt;"",IF(ISNUMBER(SEARCH("Party Name:-",'R.M Billets Reports'!D705)),TRIM('R.M Billets Reports'!F705),IF(ISNUMBER(SEARCH("Party Name-",'R.M Billets Reports'!D705)),TRIM(MID('R.M Billets Reports'!D705,SEARCH("-",'R.M Billets Reports'!D705)+1,200)),"")),IF(ISNUMBER(SEARCH("Party Name:-",'R.M Billets Reports'!D706)),TRIM('R.M Billets Reports'!F706),IF(ISNUMBER(SEARCH("Party Name-",'R.M Billets Reports'!D706)),TRIM(MID('R.M Billets Reports'!D706,SEARCH("-",'R.M Billets Reports'!D706)+1,200)),"")))="SHREE RADHE SHAKTI SPONGE AND POWER PVT. LTD.","SHREE RADHE",IF(IF(ISNUMBER(SEARCH("Party Name:-",'R.M Billets Reports'!D705)),TRIM('R.M Billets Reports'!F705),IF(ISNUMBER(SEARCH("Party Name-",'R.M Billets Reports'!D705)),TRIM(MID('R.M Billets Reports'!D705,SEARCH("-",'R.M Billets Reports'!D705)+1,200)),""))&lt;&gt;"",IF(ISNUMBER(SEARCH("Party Name:-",'R.M Billets Reports'!D705)),TRIM('R.M Billets Reports'!F705),IF(ISNUMBER(SEARCH("Party Name-",'R.M Billets Reports'!D705)),TRIM(MID('R.M Billets Reports'!D705,SEARCH("-",'R.M Billets Reports'!D705)+1,200)),"")),IF(ISNUMBER(SEARCH("Party Name:-",'R.M Billets Reports'!D706)),TRIM('R.M Billets Reports'!F706),IF(ISNUMBER(SEARCH("Party Name-",'R.M Billets Reports'!D706)),TRIM(MID('R.M Billets Reports'!D706,SEARCH("-",'R.M Billets Reports'!D706)+1,200)),"")))))),IF(ROW()=2,"",A705))</f>
      </c>
      <c r="B706">
        <f>IF(OR('R.M Billets Reports'!A705="Date-",'R.M Billets Reports'!A705="Date:-"),'R.M Billets Reports'!B705,IF(ROW()=2,"",B705))</f>
      </c>
      <c r="C706">
        <f>IF('R.M Billets Reports'!A705="V.No.",'R.M Billets Reports'!B705,IF(ROW()=2,"",C705))</f>
      </c>
      <c r="D706">
        <f>IF('R.M Billets Reports'!A705&lt;&gt;"",'R.M Billets Reports'!A705,IF(ROW()=2,"",D705))</f>
      </c>
      <c r="E706">
        <f>IF('R.M Billets Reports'!B705="","",TRIM('R.M Billets Reports'!B705))</f>
      </c>
      <c r="F706">
        <f>'R.M Billets Reports'!C705</f>
      </c>
      <c r="G706">
        <f>'R.M Billets Reports'!D705</f>
      </c>
      <c r="H706">
        <f>'R.M Billets Reports'!E705</f>
      </c>
      <c r="I706">
        <f>'R.M Billets Reports'!F705</f>
      </c>
      <c r="J706">
        <f>'R.M Billets Reports'!G705</f>
      </c>
      <c r="K706">
        <f>'R.M Billets Reports'!H705</f>
      </c>
      <c r="L706">
        <f>IF('R.M Billets Reports'!I705="","",'R.M Billets Reports'!I705)</f>
      </c>
      <c r="M706">
        <f t="shared" si="20"/>
      </c>
      <c r="N706">
        <f>IF('R.M Billets Reports'!J705="","",'R.M Billets Reports'!J705)</f>
      </c>
      <c r="O706">
        <f t="shared" si="21"/>
      </c>
      <c r="P706">
        <f>IF('R.M Billets Reports'!A705="SIZE",'R.M Billets Reports'!B705,P705)</f>
      </c>
    </row>
    <row r="707" spans="1:16" x14ac:dyDescent="0.25">
      <c r="A707">
        <f>IF(OR('R.M Billets Reports'!A706="Date-",'R.M Billets Reports'!A706="Date:-"),IF(IF(IF(ISNUMBER(SEARCH("Party Name:-",'R.M Billets Reports'!D706)),TRIM('R.M Billets Reports'!F706),IF(ISNUMBER(SEARCH("Party Name-",'R.M Billets Reports'!D706)),TRIM(MID('R.M Billets Reports'!D706,SEARCH("-",'R.M Billets Reports'!D706)+1,200)),""))&lt;&gt;"",IF(ISNUMBER(SEARCH("Party Name:-",'R.M Billets Reports'!D706)),TRIM('R.M Billets Reports'!F706),IF(ISNUMBER(SEARCH("Party Name-",'R.M Billets Reports'!D706)),TRIM(MID('R.M Billets Reports'!D706,SEARCH("-",'R.M Billets Reports'!D706)+1,200)),"")),IF(ISNUMBER(SEARCH("Party Name:-",'R.M Billets Reports'!D707)),TRIM('R.M Billets Reports'!F707),IF(ISNUMBER(SEARCH("Party Name-",'R.M Billets Reports'!D707)),TRIM(MID('R.M Billets Reports'!D707,SEARCH("-",'R.M Billets Reports'!D707)+1,200)),"")))="VRKP ISPAT PVT LTD","VRKP",IF(IF(IF(ISNUMBER(SEARCH("Party Name:-",'R.M Billets Reports'!D706)),TRIM('R.M Billets Reports'!F706),IF(ISNUMBER(SEARCH("Party Name-",'R.M Billets Reports'!D706)),TRIM(MID('R.M Billets Reports'!D706,SEARCH("-",'R.M Billets Reports'!D706)+1,200)),""))&lt;&gt;"",IF(ISNUMBER(SEARCH("Party Name:-",'R.M Billets Reports'!D706)),TRIM('R.M Billets Reports'!F706),IF(ISNUMBER(SEARCH("Party Name-",'R.M Billets Reports'!D706)),TRIM(MID('R.M Billets Reports'!D706,SEARCH("-",'R.M Billets Reports'!D706)+1,200)),"")),IF(ISNUMBER(SEARCH("Party Name:-",'R.M Billets Reports'!D707)),TRIM('R.M Billets Reports'!F707),IF(ISNUMBER(SEARCH("Party Name-",'R.M Billets Reports'!D707)),TRIM(MID('R.M Billets Reports'!D707,SEARCH("-",'R.M Billets Reports'!D707)+1,200)),"")))="SHRI RADHE","SHREE RADHE",IF(IF(IF(ISNUMBER(SEARCH("Party Name:-",'R.M Billets Reports'!D706)),TRIM('R.M Billets Reports'!F706),IF(ISNUMBER(SEARCH("Party Name-",'R.M Billets Reports'!D706)),TRIM(MID('R.M Billets Reports'!D706,SEARCH("-",'R.M Billets Reports'!D706)+1,200)),""))&lt;&gt;"",IF(ISNUMBER(SEARCH("Party Name:-",'R.M Billets Reports'!D706)),TRIM('R.M Billets Reports'!F706),IF(ISNUMBER(SEARCH("Party Name-",'R.M Billets Reports'!D706)),TRIM(MID('R.M Billets Reports'!D706,SEARCH("-",'R.M Billets Reports'!D706)+1,200)),"")),IF(ISNUMBER(SEARCH("Party Name:-",'R.M Billets Reports'!D707)),TRIM('R.M Billets Reports'!F707),IF(ISNUMBER(SEARCH("Party Name-",'R.M Billets Reports'!D707)),TRIM(MID('R.M Billets Reports'!D707,SEARCH("-",'R.M Billets Reports'!D707)+1,200)),"")))="SHREE RADHE SHAKTI SPONGE AND POWER PVT. LTD.","SHREE RADHE",IF(IF(ISNUMBER(SEARCH("Party Name:-",'R.M Billets Reports'!D706)),TRIM('R.M Billets Reports'!F706),IF(ISNUMBER(SEARCH("Party Name-",'R.M Billets Reports'!D706)),TRIM(MID('R.M Billets Reports'!D706,SEARCH("-",'R.M Billets Reports'!D706)+1,200)),""))&lt;&gt;"",IF(ISNUMBER(SEARCH("Party Name:-",'R.M Billets Reports'!D706)),TRIM('R.M Billets Reports'!F706),IF(ISNUMBER(SEARCH("Party Name-",'R.M Billets Reports'!D706)),TRIM(MID('R.M Billets Reports'!D706,SEARCH("-",'R.M Billets Reports'!D706)+1,200)),"")),IF(ISNUMBER(SEARCH("Party Name:-",'R.M Billets Reports'!D707)),TRIM('R.M Billets Reports'!F707),IF(ISNUMBER(SEARCH("Party Name-",'R.M Billets Reports'!D707)),TRIM(MID('R.M Billets Reports'!D707,SEARCH("-",'R.M Billets Reports'!D707)+1,200)),"")))))),IF(ROW()=2,"",A706))</f>
      </c>
      <c r="B707">
        <f>IF(OR('R.M Billets Reports'!A706="Date-",'R.M Billets Reports'!A706="Date:-"),'R.M Billets Reports'!B706,IF(ROW()=2,"",B706))</f>
      </c>
      <c r="C707">
        <f>IF('R.M Billets Reports'!A706="V.No.",'R.M Billets Reports'!B706,IF(ROW()=2,"",C706))</f>
      </c>
      <c r="D707">
        <f>IF('R.M Billets Reports'!A706&lt;&gt;"",'R.M Billets Reports'!A706,IF(ROW()=2,"",D706))</f>
      </c>
      <c r="E707">
        <f>IF('R.M Billets Reports'!B706="","",TRIM('R.M Billets Reports'!B706))</f>
      </c>
      <c r="F707">
        <f>'R.M Billets Reports'!C706</f>
      </c>
      <c r="G707">
        <f>'R.M Billets Reports'!D706</f>
      </c>
      <c r="H707">
        <f>'R.M Billets Reports'!E706</f>
      </c>
      <c r="I707">
        <f>'R.M Billets Reports'!F706</f>
      </c>
      <c r="J707">
        <f>'R.M Billets Reports'!G706</f>
      </c>
      <c r="K707">
        <f>'R.M Billets Reports'!H706</f>
      </c>
      <c r="L707">
        <f>IF('R.M Billets Reports'!I706="","",'R.M Billets Reports'!I706)</f>
      </c>
      <c r="M707">
        <f t="shared" ref="M707:M770" si="22">IF(L707&lt;&gt;"",L707,IF(D707=D706,M706,""))</f>
      </c>
      <c r="N707">
        <f>IF('R.M Billets Reports'!J706="","",'R.M Billets Reports'!J706)</f>
      </c>
      <c r="O707">
        <f t="shared" ref="O707:O770" si="23">IF(N707&lt;&gt;"",N707,IF(D707=D706,O706,""))</f>
      </c>
      <c r="P707">
        <f>IF('R.M Billets Reports'!A706="SIZE",'R.M Billets Reports'!B706,P706)</f>
      </c>
    </row>
    <row r="708" spans="1:16" x14ac:dyDescent="0.25">
      <c r="A708">
        <f>IF(OR('R.M Billets Reports'!A707="Date-",'R.M Billets Reports'!A707="Date:-"),IF(IF(IF(ISNUMBER(SEARCH("Party Name:-",'R.M Billets Reports'!D707)),TRIM('R.M Billets Reports'!F707),IF(ISNUMBER(SEARCH("Party Name-",'R.M Billets Reports'!D707)),TRIM(MID('R.M Billets Reports'!D707,SEARCH("-",'R.M Billets Reports'!D707)+1,200)),""))&lt;&gt;"",IF(ISNUMBER(SEARCH("Party Name:-",'R.M Billets Reports'!D707)),TRIM('R.M Billets Reports'!F707),IF(ISNUMBER(SEARCH("Party Name-",'R.M Billets Reports'!D707)),TRIM(MID('R.M Billets Reports'!D707,SEARCH("-",'R.M Billets Reports'!D707)+1,200)),"")),IF(ISNUMBER(SEARCH("Party Name:-",'R.M Billets Reports'!D708)),TRIM('R.M Billets Reports'!F708),IF(ISNUMBER(SEARCH("Party Name-",'R.M Billets Reports'!D708)),TRIM(MID('R.M Billets Reports'!D708,SEARCH("-",'R.M Billets Reports'!D708)+1,200)),"")))="VRKP ISPAT PVT LTD","VRKP",IF(IF(IF(ISNUMBER(SEARCH("Party Name:-",'R.M Billets Reports'!D707)),TRIM('R.M Billets Reports'!F707),IF(ISNUMBER(SEARCH("Party Name-",'R.M Billets Reports'!D707)),TRIM(MID('R.M Billets Reports'!D707,SEARCH("-",'R.M Billets Reports'!D707)+1,200)),""))&lt;&gt;"",IF(ISNUMBER(SEARCH("Party Name:-",'R.M Billets Reports'!D707)),TRIM('R.M Billets Reports'!F707),IF(ISNUMBER(SEARCH("Party Name-",'R.M Billets Reports'!D707)),TRIM(MID('R.M Billets Reports'!D707,SEARCH("-",'R.M Billets Reports'!D707)+1,200)),"")),IF(ISNUMBER(SEARCH("Party Name:-",'R.M Billets Reports'!D708)),TRIM('R.M Billets Reports'!F708),IF(ISNUMBER(SEARCH("Party Name-",'R.M Billets Reports'!D708)),TRIM(MID('R.M Billets Reports'!D708,SEARCH("-",'R.M Billets Reports'!D708)+1,200)),"")))="SHRI RADHE","SHREE RADHE",IF(IF(IF(ISNUMBER(SEARCH("Party Name:-",'R.M Billets Reports'!D707)),TRIM('R.M Billets Reports'!F707),IF(ISNUMBER(SEARCH("Party Name-",'R.M Billets Reports'!D707)),TRIM(MID('R.M Billets Reports'!D707,SEARCH("-",'R.M Billets Reports'!D707)+1,200)),""))&lt;&gt;"",IF(ISNUMBER(SEARCH("Party Name:-",'R.M Billets Reports'!D707)),TRIM('R.M Billets Reports'!F707),IF(ISNUMBER(SEARCH("Party Name-",'R.M Billets Reports'!D707)),TRIM(MID('R.M Billets Reports'!D707,SEARCH("-",'R.M Billets Reports'!D707)+1,200)),"")),IF(ISNUMBER(SEARCH("Party Name:-",'R.M Billets Reports'!D708)),TRIM('R.M Billets Reports'!F708),IF(ISNUMBER(SEARCH("Party Name-",'R.M Billets Reports'!D708)),TRIM(MID('R.M Billets Reports'!D708,SEARCH("-",'R.M Billets Reports'!D708)+1,200)),"")))="SHREE RADHE SHAKTI SPONGE AND POWER PVT. LTD.","SHREE RADHE",IF(IF(ISNUMBER(SEARCH("Party Name:-",'R.M Billets Reports'!D707)),TRIM('R.M Billets Reports'!F707),IF(ISNUMBER(SEARCH("Party Name-",'R.M Billets Reports'!D707)),TRIM(MID('R.M Billets Reports'!D707,SEARCH("-",'R.M Billets Reports'!D707)+1,200)),""))&lt;&gt;"",IF(ISNUMBER(SEARCH("Party Name:-",'R.M Billets Reports'!D707)),TRIM('R.M Billets Reports'!F707),IF(ISNUMBER(SEARCH("Party Name-",'R.M Billets Reports'!D707)),TRIM(MID('R.M Billets Reports'!D707,SEARCH("-",'R.M Billets Reports'!D707)+1,200)),"")),IF(ISNUMBER(SEARCH("Party Name:-",'R.M Billets Reports'!D708)),TRIM('R.M Billets Reports'!F708),IF(ISNUMBER(SEARCH("Party Name-",'R.M Billets Reports'!D708)),TRIM(MID('R.M Billets Reports'!D708,SEARCH("-",'R.M Billets Reports'!D708)+1,200)),"")))))),IF(ROW()=2,"",A707))</f>
      </c>
      <c r="B708">
        <f>IF(OR('R.M Billets Reports'!A707="Date-",'R.M Billets Reports'!A707="Date:-"),'R.M Billets Reports'!B707,IF(ROW()=2,"",B707))</f>
      </c>
      <c r="C708">
        <f>IF('R.M Billets Reports'!A707="V.No.",'R.M Billets Reports'!B707,IF(ROW()=2,"",C707))</f>
      </c>
      <c r="D708">
        <f>IF('R.M Billets Reports'!A707&lt;&gt;"",'R.M Billets Reports'!A707,IF(ROW()=2,"",D707))</f>
      </c>
      <c r="E708">
        <f>IF('R.M Billets Reports'!B707="","",TRIM('R.M Billets Reports'!B707))</f>
      </c>
      <c r="F708">
        <f>'R.M Billets Reports'!C707</f>
      </c>
      <c r="G708">
        <f>'R.M Billets Reports'!D707</f>
      </c>
      <c r="H708">
        <f>'R.M Billets Reports'!E707</f>
      </c>
      <c r="I708">
        <f>'R.M Billets Reports'!F707</f>
      </c>
      <c r="J708">
        <f>'R.M Billets Reports'!G707</f>
      </c>
      <c r="K708">
        <f>'R.M Billets Reports'!H707</f>
      </c>
      <c r="L708">
        <f>IF('R.M Billets Reports'!I707="","",'R.M Billets Reports'!I707)</f>
      </c>
      <c r="M708">
        <f t="shared" si="22"/>
      </c>
      <c r="N708">
        <f>IF('R.M Billets Reports'!J707="","",'R.M Billets Reports'!J707)</f>
      </c>
      <c r="O708">
        <f t="shared" si="23"/>
      </c>
      <c r="P708">
        <f>IF('R.M Billets Reports'!A707="SIZE",'R.M Billets Reports'!B707,P707)</f>
      </c>
    </row>
    <row r="709" spans="1:16" x14ac:dyDescent="0.25">
      <c r="A709">
        <f>IF(OR('R.M Billets Reports'!A708="Date-",'R.M Billets Reports'!A708="Date:-"),IF(IF(IF(ISNUMBER(SEARCH("Party Name:-",'R.M Billets Reports'!D708)),TRIM('R.M Billets Reports'!F708),IF(ISNUMBER(SEARCH("Party Name-",'R.M Billets Reports'!D708)),TRIM(MID('R.M Billets Reports'!D708,SEARCH("-",'R.M Billets Reports'!D708)+1,200)),""))&lt;&gt;"",IF(ISNUMBER(SEARCH("Party Name:-",'R.M Billets Reports'!D708)),TRIM('R.M Billets Reports'!F708),IF(ISNUMBER(SEARCH("Party Name-",'R.M Billets Reports'!D708)),TRIM(MID('R.M Billets Reports'!D708,SEARCH("-",'R.M Billets Reports'!D708)+1,200)),"")),IF(ISNUMBER(SEARCH("Party Name:-",'R.M Billets Reports'!D709)),TRIM('R.M Billets Reports'!F709),IF(ISNUMBER(SEARCH("Party Name-",'R.M Billets Reports'!D709)),TRIM(MID('R.M Billets Reports'!D709,SEARCH("-",'R.M Billets Reports'!D709)+1,200)),"")))="VRKP ISPAT PVT LTD","VRKP",IF(IF(IF(ISNUMBER(SEARCH("Party Name:-",'R.M Billets Reports'!D708)),TRIM('R.M Billets Reports'!F708),IF(ISNUMBER(SEARCH("Party Name-",'R.M Billets Reports'!D708)),TRIM(MID('R.M Billets Reports'!D708,SEARCH("-",'R.M Billets Reports'!D708)+1,200)),""))&lt;&gt;"",IF(ISNUMBER(SEARCH("Party Name:-",'R.M Billets Reports'!D708)),TRIM('R.M Billets Reports'!F708),IF(ISNUMBER(SEARCH("Party Name-",'R.M Billets Reports'!D708)),TRIM(MID('R.M Billets Reports'!D708,SEARCH("-",'R.M Billets Reports'!D708)+1,200)),"")),IF(ISNUMBER(SEARCH("Party Name:-",'R.M Billets Reports'!D709)),TRIM('R.M Billets Reports'!F709),IF(ISNUMBER(SEARCH("Party Name-",'R.M Billets Reports'!D709)),TRIM(MID('R.M Billets Reports'!D709,SEARCH("-",'R.M Billets Reports'!D709)+1,200)),"")))="SHRI RADHE","SHREE RADHE",IF(IF(IF(ISNUMBER(SEARCH("Party Name:-",'R.M Billets Reports'!D708)),TRIM('R.M Billets Reports'!F708),IF(ISNUMBER(SEARCH("Party Name-",'R.M Billets Reports'!D708)),TRIM(MID('R.M Billets Reports'!D708,SEARCH("-",'R.M Billets Reports'!D708)+1,200)),""))&lt;&gt;"",IF(ISNUMBER(SEARCH("Party Name:-",'R.M Billets Reports'!D708)),TRIM('R.M Billets Reports'!F708),IF(ISNUMBER(SEARCH("Party Name-",'R.M Billets Reports'!D708)),TRIM(MID('R.M Billets Reports'!D708,SEARCH("-",'R.M Billets Reports'!D708)+1,200)),"")),IF(ISNUMBER(SEARCH("Party Name:-",'R.M Billets Reports'!D709)),TRIM('R.M Billets Reports'!F709),IF(ISNUMBER(SEARCH("Party Name-",'R.M Billets Reports'!D709)),TRIM(MID('R.M Billets Reports'!D709,SEARCH("-",'R.M Billets Reports'!D709)+1,200)),"")))="SHREE RADHE SHAKTI SPONGE AND POWER PVT. LTD.","SHREE RADHE",IF(IF(ISNUMBER(SEARCH("Party Name:-",'R.M Billets Reports'!D708)),TRIM('R.M Billets Reports'!F708),IF(ISNUMBER(SEARCH("Party Name-",'R.M Billets Reports'!D708)),TRIM(MID('R.M Billets Reports'!D708,SEARCH("-",'R.M Billets Reports'!D708)+1,200)),""))&lt;&gt;"",IF(ISNUMBER(SEARCH("Party Name:-",'R.M Billets Reports'!D708)),TRIM('R.M Billets Reports'!F708),IF(ISNUMBER(SEARCH("Party Name-",'R.M Billets Reports'!D708)),TRIM(MID('R.M Billets Reports'!D708,SEARCH("-",'R.M Billets Reports'!D708)+1,200)),"")),IF(ISNUMBER(SEARCH("Party Name:-",'R.M Billets Reports'!D709)),TRIM('R.M Billets Reports'!F709),IF(ISNUMBER(SEARCH("Party Name-",'R.M Billets Reports'!D709)),TRIM(MID('R.M Billets Reports'!D709,SEARCH("-",'R.M Billets Reports'!D709)+1,200)),"")))))),IF(ROW()=2,"",A708))</f>
      </c>
      <c r="B709">
        <f>IF(OR('R.M Billets Reports'!A708="Date-",'R.M Billets Reports'!A708="Date:-"),'R.M Billets Reports'!B708,IF(ROW()=2,"",B708))</f>
      </c>
      <c r="C709">
        <f>IF('R.M Billets Reports'!A708="V.No.",'R.M Billets Reports'!B708,IF(ROW()=2,"",C708))</f>
      </c>
      <c r="D709">
        <f>IF('R.M Billets Reports'!A708&lt;&gt;"",'R.M Billets Reports'!A708,IF(ROW()=2,"",D708))</f>
      </c>
      <c r="E709">
        <f>IF('R.M Billets Reports'!B708="","",TRIM('R.M Billets Reports'!B708))</f>
      </c>
      <c r="F709">
        <f>'R.M Billets Reports'!C708</f>
      </c>
      <c r="G709">
        <f>'R.M Billets Reports'!D708</f>
      </c>
      <c r="H709">
        <f>'R.M Billets Reports'!E708</f>
      </c>
      <c r="I709">
        <f>'R.M Billets Reports'!F708</f>
      </c>
      <c r="J709">
        <f>'R.M Billets Reports'!G708</f>
      </c>
      <c r="K709">
        <f>'R.M Billets Reports'!H708</f>
      </c>
      <c r="L709">
        <f>IF('R.M Billets Reports'!I708="","",'R.M Billets Reports'!I708)</f>
      </c>
      <c r="M709">
        <f t="shared" si="22"/>
      </c>
      <c r="N709">
        <f>IF('R.M Billets Reports'!J708="","",'R.M Billets Reports'!J708)</f>
      </c>
      <c r="O709">
        <f t="shared" si="23"/>
      </c>
      <c r="P709">
        <f>IF('R.M Billets Reports'!A708="SIZE",'R.M Billets Reports'!B708,P708)</f>
      </c>
    </row>
    <row r="710" spans="1:16" x14ac:dyDescent="0.25">
      <c r="A710">
        <f>IF(OR('R.M Billets Reports'!A709="Date-",'R.M Billets Reports'!A709="Date:-"),IF(IF(IF(ISNUMBER(SEARCH("Party Name:-",'R.M Billets Reports'!D709)),TRIM('R.M Billets Reports'!F709),IF(ISNUMBER(SEARCH("Party Name-",'R.M Billets Reports'!D709)),TRIM(MID('R.M Billets Reports'!D709,SEARCH("-",'R.M Billets Reports'!D709)+1,200)),""))&lt;&gt;"",IF(ISNUMBER(SEARCH("Party Name:-",'R.M Billets Reports'!D709)),TRIM('R.M Billets Reports'!F709),IF(ISNUMBER(SEARCH("Party Name-",'R.M Billets Reports'!D709)),TRIM(MID('R.M Billets Reports'!D709,SEARCH("-",'R.M Billets Reports'!D709)+1,200)),"")),IF(ISNUMBER(SEARCH("Party Name:-",'R.M Billets Reports'!D710)),TRIM('R.M Billets Reports'!F710),IF(ISNUMBER(SEARCH("Party Name-",'R.M Billets Reports'!D710)),TRIM(MID('R.M Billets Reports'!D710,SEARCH("-",'R.M Billets Reports'!D710)+1,200)),"")))="VRKP ISPAT PVT LTD","VRKP",IF(IF(IF(ISNUMBER(SEARCH("Party Name:-",'R.M Billets Reports'!D709)),TRIM('R.M Billets Reports'!F709),IF(ISNUMBER(SEARCH("Party Name-",'R.M Billets Reports'!D709)),TRIM(MID('R.M Billets Reports'!D709,SEARCH("-",'R.M Billets Reports'!D709)+1,200)),""))&lt;&gt;"",IF(ISNUMBER(SEARCH("Party Name:-",'R.M Billets Reports'!D709)),TRIM('R.M Billets Reports'!F709),IF(ISNUMBER(SEARCH("Party Name-",'R.M Billets Reports'!D709)),TRIM(MID('R.M Billets Reports'!D709,SEARCH("-",'R.M Billets Reports'!D709)+1,200)),"")),IF(ISNUMBER(SEARCH("Party Name:-",'R.M Billets Reports'!D710)),TRIM('R.M Billets Reports'!F710),IF(ISNUMBER(SEARCH("Party Name-",'R.M Billets Reports'!D710)),TRIM(MID('R.M Billets Reports'!D710,SEARCH("-",'R.M Billets Reports'!D710)+1,200)),"")))="SHRI RADHE","SHREE RADHE",IF(IF(IF(ISNUMBER(SEARCH("Party Name:-",'R.M Billets Reports'!D709)),TRIM('R.M Billets Reports'!F709),IF(ISNUMBER(SEARCH("Party Name-",'R.M Billets Reports'!D709)),TRIM(MID('R.M Billets Reports'!D709,SEARCH("-",'R.M Billets Reports'!D709)+1,200)),""))&lt;&gt;"",IF(ISNUMBER(SEARCH("Party Name:-",'R.M Billets Reports'!D709)),TRIM('R.M Billets Reports'!F709),IF(ISNUMBER(SEARCH("Party Name-",'R.M Billets Reports'!D709)),TRIM(MID('R.M Billets Reports'!D709,SEARCH("-",'R.M Billets Reports'!D709)+1,200)),"")),IF(ISNUMBER(SEARCH("Party Name:-",'R.M Billets Reports'!D710)),TRIM('R.M Billets Reports'!F710),IF(ISNUMBER(SEARCH("Party Name-",'R.M Billets Reports'!D710)),TRIM(MID('R.M Billets Reports'!D710,SEARCH("-",'R.M Billets Reports'!D710)+1,200)),"")))="SHREE RADHE SHAKTI SPONGE AND POWER PVT. LTD.","SHREE RADHE",IF(IF(ISNUMBER(SEARCH("Party Name:-",'R.M Billets Reports'!D709)),TRIM('R.M Billets Reports'!F709),IF(ISNUMBER(SEARCH("Party Name-",'R.M Billets Reports'!D709)),TRIM(MID('R.M Billets Reports'!D709,SEARCH("-",'R.M Billets Reports'!D709)+1,200)),""))&lt;&gt;"",IF(ISNUMBER(SEARCH("Party Name:-",'R.M Billets Reports'!D709)),TRIM('R.M Billets Reports'!F709),IF(ISNUMBER(SEARCH("Party Name-",'R.M Billets Reports'!D709)),TRIM(MID('R.M Billets Reports'!D709,SEARCH("-",'R.M Billets Reports'!D709)+1,200)),"")),IF(ISNUMBER(SEARCH("Party Name:-",'R.M Billets Reports'!D710)),TRIM('R.M Billets Reports'!F710),IF(ISNUMBER(SEARCH("Party Name-",'R.M Billets Reports'!D710)),TRIM(MID('R.M Billets Reports'!D710,SEARCH("-",'R.M Billets Reports'!D710)+1,200)),"")))))),IF(ROW()=2,"",A709))</f>
      </c>
      <c r="B710">
        <f>IF(OR('R.M Billets Reports'!A709="Date-",'R.M Billets Reports'!A709="Date:-"),'R.M Billets Reports'!B709,IF(ROW()=2,"",B709))</f>
      </c>
      <c r="C710">
        <f>IF('R.M Billets Reports'!A709="V.No.",'R.M Billets Reports'!B709,IF(ROW()=2,"",C709))</f>
      </c>
      <c r="D710">
        <f>IF('R.M Billets Reports'!A709&lt;&gt;"",'R.M Billets Reports'!A709,IF(ROW()=2,"",D709))</f>
      </c>
      <c r="E710">
        <f>IF('R.M Billets Reports'!B709="","",TRIM('R.M Billets Reports'!B709))</f>
      </c>
      <c r="F710">
        <f>'R.M Billets Reports'!C709</f>
      </c>
      <c r="G710">
        <f>'R.M Billets Reports'!D709</f>
      </c>
      <c r="H710">
        <f>'R.M Billets Reports'!E709</f>
      </c>
      <c r="I710">
        <f>'R.M Billets Reports'!F709</f>
      </c>
      <c r="J710">
        <f>'R.M Billets Reports'!G709</f>
      </c>
      <c r="K710">
        <f>'R.M Billets Reports'!H709</f>
      </c>
      <c r="L710">
        <f>IF('R.M Billets Reports'!I709="","",'R.M Billets Reports'!I709)</f>
      </c>
      <c r="M710">
        <f t="shared" si="22"/>
      </c>
      <c r="N710">
        <f>IF('R.M Billets Reports'!J709="","",'R.M Billets Reports'!J709)</f>
      </c>
      <c r="O710">
        <f t="shared" si="23"/>
      </c>
      <c r="P710">
        <f>IF('R.M Billets Reports'!A709="SIZE",'R.M Billets Reports'!B709,P709)</f>
      </c>
    </row>
    <row r="711" spans="1:16" x14ac:dyDescent="0.25">
      <c r="A711">
        <f>IF(OR('R.M Billets Reports'!A710="Date-",'R.M Billets Reports'!A710="Date:-"),IF(IF(IF(ISNUMBER(SEARCH("Party Name:-",'R.M Billets Reports'!D710)),TRIM('R.M Billets Reports'!F710),IF(ISNUMBER(SEARCH("Party Name-",'R.M Billets Reports'!D710)),TRIM(MID('R.M Billets Reports'!D710,SEARCH("-",'R.M Billets Reports'!D710)+1,200)),""))&lt;&gt;"",IF(ISNUMBER(SEARCH("Party Name:-",'R.M Billets Reports'!D710)),TRIM('R.M Billets Reports'!F710),IF(ISNUMBER(SEARCH("Party Name-",'R.M Billets Reports'!D710)),TRIM(MID('R.M Billets Reports'!D710,SEARCH("-",'R.M Billets Reports'!D710)+1,200)),"")),IF(ISNUMBER(SEARCH("Party Name:-",'R.M Billets Reports'!D711)),TRIM('R.M Billets Reports'!F711),IF(ISNUMBER(SEARCH("Party Name-",'R.M Billets Reports'!D711)),TRIM(MID('R.M Billets Reports'!D711,SEARCH("-",'R.M Billets Reports'!D711)+1,200)),"")))="VRKP ISPAT PVT LTD","VRKP",IF(IF(IF(ISNUMBER(SEARCH("Party Name:-",'R.M Billets Reports'!D710)),TRIM('R.M Billets Reports'!F710),IF(ISNUMBER(SEARCH("Party Name-",'R.M Billets Reports'!D710)),TRIM(MID('R.M Billets Reports'!D710,SEARCH("-",'R.M Billets Reports'!D710)+1,200)),""))&lt;&gt;"",IF(ISNUMBER(SEARCH("Party Name:-",'R.M Billets Reports'!D710)),TRIM('R.M Billets Reports'!F710),IF(ISNUMBER(SEARCH("Party Name-",'R.M Billets Reports'!D710)),TRIM(MID('R.M Billets Reports'!D710,SEARCH("-",'R.M Billets Reports'!D710)+1,200)),"")),IF(ISNUMBER(SEARCH("Party Name:-",'R.M Billets Reports'!D711)),TRIM('R.M Billets Reports'!F711),IF(ISNUMBER(SEARCH("Party Name-",'R.M Billets Reports'!D711)),TRIM(MID('R.M Billets Reports'!D711,SEARCH("-",'R.M Billets Reports'!D711)+1,200)),"")))="SHRI RADHE","SHREE RADHE",IF(IF(IF(ISNUMBER(SEARCH("Party Name:-",'R.M Billets Reports'!D710)),TRIM('R.M Billets Reports'!F710),IF(ISNUMBER(SEARCH("Party Name-",'R.M Billets Reports'!D710)),TRIM(MID('R.M Billets Reports'!D710,SEARCH("-",'R.M Billets Reports'!D710)+1,200)),""))&lt;&gt;"",IF(ISNUMBER(SEARCH("Party Name:-",'R.M Billets Reports'!D710)),TRIM('R.M Billets Reports'!F710),IF(ISNUMBER(SEARCH("Party Name-",'R.M Billets Reports'!D710)),TRIM(MID('R.M Billets Reports'!D710,SEARCH("-",'R.M Billets Reports'!D710)+1,200)),"")),IF(ISNUMBER(SEARCH("Party Name:-",'R.M Billets Reports'!D711)),TRIM('R.M Billets Reports'!F711),IF(ISNUMBER(SEARCH("Party Name-",'R.M Billets Reports'!D711)),TRIM(MID('R.M Billets Reports'!D711,SEARCH("-",'R.M Billets Reports'!D711)+1,200)),"")))="SHREE RADHE SHAKTI SPONGE AND POWER PVT. LTD.","SHREE RADHE",IF(IF(ISNUMBER(SEARCH("Party Name:-",'R.M Billets Reports'!D710)),TRIM('R.M Billets Reports'!F710),IF(ISNUMBER(SEARCH("Party Name-",'R.M Billets Reports'!D710)),TRIM(MID('R.M Billets Reports'!D710,SEARCH("-",'R.M Billets Reports'!D710)+1,200)),""))&lt;&gt;"",IF(ISNUMBER(SEARCH("Party Name:-",'R.M Billets Reports'!D710)),TRIM('R.M Billets Reports'!F710),IF(ISNUMBER(SEARCH("Party Name-",'R.M Billets Reports'!D710)),TRIM(MID('R.M Billets Reports'!D710,SEARCH("-",'R.M Billets Reports'!D710)+1,200)),"")),IF(ISNUMBER(SEARCH("Party Name:-",'R.M Billets Reports'!D711)),TRIM('R.M Billets Reports'!F711),IF(ISNUMBER(SEARCH("Party Name-",'R.M Billets Reports'!D711)),TRIM(MID('R.M Billets Reports'!D711,SEARCH("-",'R.M Billets Reports'!D711)+1,200)),"")))))),IF(ROW()=2,"",A710))</f>
      </c>
      <c r="B711">
        <f>IF(OR('R.M Billets Reports'!A710="Date-",'R.M Billets Reports'!A710="Date:-"),'R.M Billets Reports'!B710,IF(ROW()=2,"",B710))</f>
      </c>
      <c r="C711">
        <f>IF('R.M Billets Reports'!A710="V.No.",'R.M Billets Reports'!B710,IF(ROW()=2,"",C710))</f>
      </c>
      <c r="D711">
        <f>IF('R.M Billets Reports'!A710&lt;&gt;"",'R.M Billets Reports'!A710,IF(ROW()=2,"",D710))</f>
      </c>
      <c r="E711">
        <f>IF('R.M Billets Reports'!B710="","",TRIM('R.M Billets Reports'!B710))</f>
      </c>
      <c r="F711">
        <f>'R.M Billets Reports'!C710</f>
      </c>
      <c r="G711">
        <f>'R.M Billets Reports'!D710</f>
      </c>
      <c r="H711">
        <f>'R.M Billets Reports'!E710</f>
      </c>
      <c r="I711">
        <f>'R.M Billets Reports'!F710</f>
      </c>
      <c r="J711">
        <f>'R.M Billets Reports'!G710</f>
      </c>
      <c r="K711">
        <f>'R.M Billets Reports'!H710</f>
      </c>
      <c r="L711">
        <f>IF('R.M Billets Reports'!I710="","",'R.M Billets Reports'!I710)</f>
      </c>
      <c r="M711">
        <f t="shared" si="22"/>
      </c>
      <c r="N711">
        <f>IF('R.M Billets Reports'!J710="","",'R.M Billets Reports'!J710)</f>
      </c>
      <c r="O711">
        <f t="shared" si="23"/>
      </c>
      <c r="P711">
        <f>IF('R.M Billets Reports'!A710="SIZE",'R.M Billets Reports'!B710,P710)</f>
      </c>
    </row>
    <row r="712" spans="1:16" x14ac:dyDescent="0.25">
      <c r="A712">
        <f>IF(OR('R.M Billets Reports'!A711="Date-",'R.M Billets Reports'!A711="Date:-"),IF(IF(IF(ISNUMBER(SEARCH("Party Name:-",'R.M Billets Reports'!D711)),TRIM('R.M Billets Reports'!F711),IF(ISNUMBER(SEARCH("Party Name-",'R.M Billets Reports'!D711)),TRIM(MID('R.M Billets Reports'!D711,SEARCH("-",'R.M Billets Reports'!D711)+1,200)),""))&lt;&gt;"",IF(ISNUMBER(SEARCH("Party Name:-",'R.M Billets Reports'!D711)),TRIM('R.M Billets Reports'!F711),IF(ISNUMBER(SEARCH("Party Name-",'R.M Billets Reports'!D711)),TRIM(MID('R.M Billets Reports'!D711,SEARCH("-",'R.M Billets Reports'!D711)+1,200)),"")),IF(ISNUMBER(SEARCH("Party Name:-",'R.M Billets Reports'!D712)),TRIM('R.M Billets Reports'!F712),IF(ISNUMBER(SEARCH("Party Name-",'R.M Billets Reports'!D712)),TRIM(MID('R.M Billets Reports'!D712,SEARCH("-",'R.M Billets Reports'!D712)+1,200)),"")))="VRKP ISPAT PVT LTD","VRKP",IF(IF(IF(ISNUMBER(SEARCH("Party Name:-",'R.M Billets Reports'!D711)),TRIM('R.M Billets Reports'!F711),IF(ISNUMBER(SEARCH("Party Name-",'R.M Billets Reports'!D711)),TRIM(MID('R.M Billets Reports'!D711,SEARCH("-",'R.M Billets Reports'!D711)+1,200)),""))&lt;&gt;"",IF(ISNUMBER(SEARCH("Party Name:-",'R.M Billets Reports'!D711)),TRIM('R.M Billets Reports'!F711),IF(ISNUMBER(SEARCH("Party Name-",'R.M Billets Reports'!D711)),TRIM(MID('R.M Billets Reports'!D711,SEARCH("-",'R.M Billets Reports'!D711)+1,200)),"")),IF(ISNUMBER(SEARCH("Party Name:-",'R.M Billets Reports'!D712)),TRIM('R.M Billets Reports'!F712),IF(ISNUMBER(SEARCH("Party Name-",'R.M Billets Reports'!D712)),TRIM(MID('R.M Billets Reports'!D712,SEARCH("-",'R.M Billets Reports'!D712)+1,200)),"")))="SHRI RADHE","SHREE RADHE",IF(IF(IF(ISNUMBER(SEARCH("Party Name:-",'R.M Billets Reports'!D711)),TRIM('R.M Billets Reports'!F711),IF(ISNUMBER(SEARCH("Party Name-",'R.M Billets Reports'!D711)),TRIM(MID('R.M Billets Reports'!D711,SEARCH("-",'R.M Billets Reports'!D711)+1,200)),""))&lt;&gt;"",IF(ISNUMBER(SEARCH("Party Name:-",'R.M Billets Reports'!D711)),TRIM('R.M Billets Reports'!F711),IF(ISNUMBER(SEARCH("Party Name-",'R.M Billets Reports'!D711)),TRIM(MID('R.M Billets Reports'!D711,SEARCH("-",'R.M Billets Reports'!D711)+1,200)),"")),IF(ISNUMBER(SEARCH("Party Name:-",'R.M Billets Reports'!D712)),TRIM('R.M Billets Reports'!F712),IF(ISNUMBER(SEARCH("Party Name-",'R.M Billets Reports'!D712)),TRIM(MID('R.M Billets Reports'!D712,SEARCH("-",'R.M Billets Reports'!D712)+1,200)),"")))="SHREE RADHE SHAKTI SPONGE AND POWER PVT. LTD.","SHREE RADHE",IF(IF(ISNUMBER(SEARCH("Party Name:-",'R.M Billets Reports'!D711)),TRIM('R.M Billets Reports'!F711),IF(ISNUMBER(SEARCH("Party Name-",'R.M Billets Reports'!D711)),TRIM(MID('R.M Billets Reports'!D711,SEARCH("-",'R.M Billets Reports'!D711)+1,200)),""))&lt;&gt;"",IF(ISNUMBER(SEARCH("Party Name:-",'R.M Billets Reports'!D711)),TRIM('R.M Billets Reports'!F711),IF(ISNUMBER(SEARCH("Party Name-",'R.M Billets Reports'!D711)),TRIM(MID('R.M Billets Reports'!D711,SEARCH("-",'R.M Billets Reports'!D711)+1,200)),"")),IF(ISNUMBER(SEARCH("Party Name:-",'R.M Billets Reports'!D712)),TRIM('R.M Billets Reports'!F712),IF(ISNUMBER(SEARCH("Party Name-",'R.M Billets Reports'!D712)),TRIM(MID('R.M Billets Reports'!D712,SEARCH("-",'R.M Billets Reports'!D712)+1,200)),"")))))),IF(ROW()=2,"",A711))</f>
      </c>
      <c r="B712">
        <f>IF(OR('R.M Billets Reports'!A711="Date-",'R.M Billets Reports'!A711="Date:-"),'R.M Billets Reports'!B711,IF(ROW()=2,"",B711))</f>
      </c>
      <c r="C712">
        <f>IF('R.M Billets Reports'!A711="V.No.",'R.M Billets Reports'!B711,IF(ROW()=2,"",C711))</f>
      </c>
      <c r="D712">
        <f>IF('R.M Billets Reports'!A711&lt;&gt;"",'R.M Billets Reports'!A711,IF(ROW()=2,"",D711))</f>
      </c>
      <c r="E712">
        <f>IF('R.M Billets Reports'!B711="","",TRIM('R.M Billets Reports'!B711))</f>
      </c>
      <c r="F712">
        <f>'R.M Billets Reports'!C711</f>
      </c>
      <c r="G712">
        <f>'R.M Billets Reports'!D711</f>
      </c>
      <c r="H712">
        <f>'R.M Billets Reports'!E711</f>
      </c>
      <c r="I712">
        <f>'R.M Billets Reports'!F711</f>
      </c>
      <c r="J712">
        <f>'R.M Billets Reports'!G711</f>
      </c>
      <c r="K712">
        <f>'R.M Billets Reports'!H711</f>
      </c>
      <c r="L712">
        <f>IF('R.M Billets Reports'!I711="","",'R.M Billets Reports'!I711)</f>
      </c>
      <c r="M712">
        <f t="shared" si="22"/>
      </c>
      <c r="N712">
        <f>IF('R.M Billets Reports'!J711="","",'R.M Billets Reports'!J711)</f>
      </c>
      <c r="O712">
        <f t="shared" si="23"/>
      </c>
      <c r="P712">
        <f>IF('R.M Billets Reports'!A711="SIZE",'R.M Billets Reports'!B711,P711)</f>
      </c>
    </row>
    <row r="713" spans="1:16" x14ac:dyDescent="0.25">
      <c r="A713">
        <f>IF(OR('R.M Billets Reports'!A712="Date-",'R.M Billets Reports'!A712="Date:-"),IF(IF(IF(ISNUMBER(SEARCH("Party Name:-",'R.M Billets Reports'!D712)),TRIM('R.M Billets Reports'!F712),IF(ISNUMBER(SEARCH("Party Name-",'R.M Billets Reports'!D712)),TRIM(MID('R.M Billets Reports'!D712,SEARCH("-",'R.M Billets Reports'!D712)+1,200)),""))&lt;&gt;"",IF(ISNUMBER(SEARCH("Party Name:-",'R.M Billets Reports'!D712)),TRIM('R.M Billets Reports'!F712),IF(ISNUMBER(SEARCH("Party Name-",'R.M Billets Reports'!D712)),TRIM(MID('R.M Billets Reports'!D712,SEARCH("-",'R.M Billets Reports'!D712)+1,200)),"")),IF(ISNUMBER(SEARCH("Party Name:-",'R.M Billets Reports'!D713)),TRIM('R.M Billets Reports'!F713),IF(ISNUMBER(SEARCH("Party Name-",'R.M Billets Reports'!D713)),TRIM(MID('R.M Billets Reports'!D713,SEARCH("-",'R.M Billets Reports'!D713)+1,200)),"")))="VRKP ISPAT PVT LTD","VRKP",IF(IF(IF(ISNUMBER(SEARCH("Party Name:-",'R.M Billets Reports'!D712)),TRIM('R.M Billets Reports'!F712),IF(ISNUMBER(SEARCH("Party Name-",'R.M Billets Reports'!D712)),TRIM(MID('R.M Billets Reports'!D712,SEARCH("-",'R.M Billets Reports'!D712)+1,200)),""))&lt;&gt;"",IF(ISNUMBER(SEARCH("Party Name:-",'R.M Billets Reports'!D712)),TRIM('R.M Billets Reports'!F712),IF(ISNUMBER(SEARCH("Party Name-",'R.M Billets Reports'!D712)),TRIM(MID('R.M Billets Reports'!D712,SEARCH("-",'R.M Billets Reports'!D712)+1,200)),"")),IF(ISNUMBER(SEARCH("Party Name:-",'R.M Billets Reports'!D713)),TRIM('R.M Billets Reports'!F713),IF(ISNUMBER(SEARCH("Party Name-",'R.M Billets Reports'!D713)),TRIM(MID('R.M Billets Reports'!D713,SEARCH("-",'R.M Billets Reports'!D713)+1,200)),"")))="SHRI RADHE","SHREE RADHE",IF(IF(IF(ISNUMBER(SEARCH("Party Name:-",'R.M Billets Reports'!D712)),TRIM('R.M Billets Reports'!F712),IF(ISNUMBER(SEARCH("Party Name-",'R.M Billets Reports'!D712)),TRIM(MID('R.M Billets Reports'!D712,SEARCH("-",'R.M Billets Reports'!D712)+1,200)),""))&lt;&gt;"",IF(ISNUMBER(SEARCH("Party Name:-",'R.M Billets Reports'!D712)),TRIM('R.M Billets Reports'!F712),IF(ISNUMBER(SEARCH("Party Name-",'R.M Billets Reports'!D712)),TRIM(MID('R.M Billets Reports'!D712,SEARCH("-",'R.M Billets Reports'!D712)+1,200)),"")),IF(ISNUMBER(SEARCH("Party Name:-",'R.M Billets Reports'!D713)),TRIM('R.M Billets Reports'!F713),IF(ISNUMBER(SEARCH("Party Name-",'R.M Billets Reports'!D713)),TRIM(MID('R.M Billets Reports'!D713,SEARCH("-",'R.M Billets Reports'!D713)+1,200)),"")))="SHREE RADHE SHAKTI SPONGE AND POWER PVT. LTD.","SHREE RADHE",IF(IF(ISNUMBER(SEARCH("Party Name:-",'R.M Billets Reports'!D712)),TRIM('R.M Billets Reports'!F712),IF(ISNUMBER(SEARCH("Party Name-",'R.M Billets Reports'!D712)),TRIM(MID('R.M Billets Reports'!D712,SEARCH("-",'R.M Billets Reports'!D712)+1,200)),""))&lt;&gt;"",IF(ISNUMBER(SEARCH("Party Name:-",'R.M Billets Reports'!D712)),TRIM('R.M Billets Reports'!F712),IF(ISNUMBER(SEARCH("Party Name-",'R.M Billets Reports'!D712)),TRIM(MID('R.M Billets Reports'!D712,SEARCH("-",'R.M Billets Reports'!D712)+1,200)),"")),IF(ISNUMBER(SEARCH("Party Name:-",'R.M Billets Reports'!D713)),TRIM('R.M Billets Reports'!F713),IF(ISNUMBER(SEARCH("Party Name-",'R.M Billets Reports'!D713)),TRIM(MID('R.M Billets Reports'!D713,SEARCH("-",'R.M Billets Reports'!D713)+1,200)),"")))))),IF(ROW()=2,"",A712))</f>
      </c>
      <c r="B713">
        <f>IF(OR('R.M Billets Reports'!A712="Date-",'R.M Billets Reports'!A712="Date:-"),'R.M Billets Reports'!B712,IF(ROW()=2,"",B712))</f>
      </c>
      <c r="C713">
        <f>IF('R.M Billets Reports'!A712="V.No.",'R.M Billets Reports'!B712,IF(ROW()=2,"",C712))</f>
      </c>
      <c r="D713">
        <f>IF('R.M Billets Reports'!A712&lt;&gt;"",'R.M Billets Reports'!A712,IF(ROW()=2,"",D712))</f>
      </c>
      <c r="E713">
        <f>IF('R.M Billets Reports'!B712="","",TRIM('R.M Billets Reports'!B712))</f>
      </c>
      <c r="F713">
        <f>'R.M Billets Reports'!C712</f>
      </c>
      <c r="G713">
        <f>'R.M Billets Reports'!D712</f>
      </c>
      <c r="H713">
        <f>'R.M Billets Reports'!E712</f>
      </c>
      <c r="I713">
        <f>'R.M Billets Reports'!F712</f>
      </c>
      <c r="J713">
        <f>'R.M Billets Reports'!G712</f>
      </c>
      <c r="K713">
        <f>'R.M Billets Reports'!H712</f>
      </c>
      <c r="L713">
        <f>IF('R.M Billets Reports'!I712="","",'R.M Billets Reports'!I712)</f>
      </c>
      <c r="M713">
        <f t="shared" si="22"/>
      </c>
      <c r="N713">
        <f>IF('R.M Billets Reports'!J712="","",'R.M Billets Reports'!J712)</f>
      </c>
      <c r="O713">
        <f t="shared" si="23"/>
      </c>
      <c r="P713">
        <f>IF('R.M Billets Reports'!A712="SIZE",'R.M Billets Reports'!B712,P712)</f>
      </c>
    </row>
    <row r="714" spans="1:16" x14ac:dyDescent="0.25">
      <c r="A714">
        <f>IF(OR('R.M Billets Reports'!A713="Date-",'R.M Billets Reports'!A713="Date:-"),IF(IF(IF(ISNUMBER(SEARCH("Party Name:-",'R.M Billets Reports'!D713)),TRIM('R.M Billets Reports'!F713),IF(ISNUMBER(SEARCH("Party Name-",'R.M Billets Reports'!D713)),TRIM(MID('R.M Billets Reports'!D713,SEARCH("-",'R.M Billets Reports'!D713)+1,200)),""))&lt;&gt;"",IF(ISNUMBER(SEARCH("Party Name:-",'R.M Billets Reports'!D713)),TRIM('R.M Billets Reports'!F713),IF(ISNUMBER(SEARCH("Party Name-",'R.M Billets Reports'!D713)),TRIM(MID('R.M Billets Reports'!D713,SEARCH("-",'R.M Billets Reports'!D713)+1,200)),"")),IF(ISNUMBER(SEARCH("Party Name:-",'R.M Billets Reports'!D714)),TRIM('R.M Billets Reports'!F714),IF(ISNUMBER(SEARCH("Party Name-",'R.M Billets Reports'!D714)),TRIM(MID('R.M Billets Reports'!D714,SEARCH("-",'R.M Billets Reports'!D714)+1,200)),"")))="VRKP ISPAT PVT LTD","VRKP",IF(IF(IF(ISNUMBER(SEARCH("Party Name:-",'R.M Billets Reports'!D713)),TRIM('R.M Billets Reports'!F713),IF(ISNUMBER(SEARCH("Party Name-",'R.M Billets Reports'!D713)),TRIM(MID('R.M Billets Reports'!D713,SEARCH("-",'R.M Billets Reports'!D713)+1,200)),""))&lt;&gt;"",IF(ISNUMBER(SEARCH("Party Name:-",'R.M Billets Reports'!D713)),TRIM('R.M Billets Reports'!F713),IF(ISNUMBER(SEARCH("Party Name-",'R.M Billets Reports'!D713)),TRIM(MID('R.M Billets Reports'!D713,SEARCH("-",'R.M Billets Reports'!D713)+1,200)),"")),IF(ISNUMBER(SEARCH("Party Name:-",'R.M Billets Reports'!D714)),TRIM('R.M Billets Reports'!F714),IF(ISNUMBER(SEARCH("Party Name-",'R.M Billets Reports'!D714)),TRIM(MID('R.M Billets Reports'!D714,SEARCH("-",'R.M Billets Reports'!D714)+1,200)),"")))="SHRI RADHE","SHREE RADHE",IF(IF(IF(ISNUMBER(SEARCH("Party Name:-",'R.M Billets Reports'!D713)),TRIM('R.M Billets Reports'!F713),IF(ISNUMBER(SEARCH("Party Name-",'R.M Billets Reports'!D713)),TRIM(MID('R.M Billets Reports'!D713,SEARCH("-",'R.M Billets Reports'!D713)+1,200)),""))&lt;&gt;"",IF(ISNUMBER(SEARCH("Party Name:-",'R.M Billets Reports'!D713)),TRIM('R.M Billets Reports'!F713),IF(ISNUMBER(SEARCH("Party Name-",'R.M Billets Reports'!D713)),TRIM(MID('R.M Billets Reports'!D713,SEARCH("-",'R.M Billets Reports'!D713)+1,200)),"")),IF(ISNUMBER(SEARCH("Party Name:-",'R.M Billets Reports'!D714)),TRIM('R.M Billets Reports'!F714),IF(ISNUMBER(SEARCH("Party Name-",'R.M Billets Reports'!D714)),TRIM(MID('R.M Billets Reports'!D714,SEARCH("-",'R.M Billets Reports'!D714)+1,200)),"")))="SHREE RADHE SHAKTI SPONGE AND POWER PVT. LTD.","SHREE RADHE",IF(IF(ISNUMBER(SEARCH("Party Name:-",'R.M Billets Reports'!D713)),TRIM('R.M Billets Reports'!F713),IF(ISNUMBER(SEARCH("Party Name-",'R.M Billets Reports'!D713)),TRIM(MID('R.M Billets Reports'!D713,SEARCH("-",'R.M Billets Reports'!D713)+1,200)),""))&lt;&gt;"",IF(ISNUMBER(SEARCH("Party Name:-",'R.M Billets Reports'!D713)),TRIM('R.M Billets Reports'!F713),IF(ISNUMBER(SEARCH("Party Name-",'R.M Billets Reports'!D713)),TRIM(MID('R.M Billets Reports'!D713,SEARCH("-",'R.M Billets Reports'!D713)+1,200)),"")),IF(ISNUMBER(SEARCH("Party Name:-",'R.M Billets Reports'!D714)),TRIM('R.M Billets Reports'!F714),IF(ISNUMBER(SEARCH("Party Name-",'R.M Billets Reports'!D714)),TRIM(MID('R.M Billets Reports'!D714,SEARCH("-",'R.M Billets Reports'!D714)+1,200)),"")))))),IF(ROW()=2,"",A713))</f>
      </c>
      <c r="B714">
        <f>IF(OR('R.M Billets Reports'!A713="Date-",'R.M Billets Reports'!A713="Date:-"),'R.M Billets Reports'!B713,IF(ROW()=2,"",B713))</f>
      </c>
      <c r="C714">
        <f>IF('R.M Billets Reports'!A713="V.No.",'R.M Billets Reports'!B713,IF(ROW()=2,"",C713))</f>
      </c>
      <c r="D714">
        <f>IF('R.M Billets Reports'!A713&lt;&gt;"",'R.M Billets Reports'!A713,IF(ROW()=2,"",D713))</f>
      </c>
      <c r="E714">
        <f>IF('R.M Billets Reports'!B713="","",TRIM('R.M Billets Reports'!B713))</f>
      </c>
      <c r="F714">
        <f>'R.M Billets Reports'!C713</f>
      </c>
      <c r="G714">
        <f>'R.M Billets Reports'!D713</f>
      </c>
      <c r="H714">
        <f>'R.M Billets Reports'!E713</f>
      </c>
      <c r="I714">
        <f>'R.M Billets Reports'!F713</f>
      </c>
      <c r="J714">
        <f>'R.M Billets Reports'!G713</f>
      </c>
      <c r="K714">
        <f>'R.M Billets Reports'!H713</f>
      </c>
      <c r="L714">
        <f>IF('R.M Billets Reports'!I713="","",'R.M Billets Reports'!I713)</f>
      </c>
      <c r="M714">
        <f t="shared" si="22"/>
      </c>
      <c r="N714">
        <f>IF('R.M Billets Reports'!J713="","",'R.M Billets Reports'!J713)</f>
      </c>
      <c r="O714">
        <f t="shared" si="23"/>
      </c>
      <c r="P714">
        <f>IF('R.M Billets Reports'!A713="SIZE",'R.M Billets Reports'!B713,P713)</f>
      </c>
    </row>
    <row r="715" spans="1:16" x14ac:dyDescent="0.25">
      <c r="A715">
        <f>IF(OR('R.M Billets Reports'!A714="Date-",'R.M Billets Reports'!A714="Date:-"),IF(IF(IF(ISNUMBER(SEARCH("Party Name:-",'R.M Billets Reports'!D714)),TRIM('R.M Billets Reports'!F714),IF(ISNUMBER(SEARCH("Party Name-",'R.M Billets Reports'!D714)),TRIM(MID('R.M Billets Reports'!D714,SEARCH("-",'R.M Billets Reports'!D714)+1,200)),""))&lt;&gt;"",IF(ISNUMBER(SEARCH("Party Name:-",'R.M Billets Reports'!D714)),TRIM('R.M Billets Reports'!F714),IF(ISNUMBER(SEARCH("Party Name-",'R.M Billets Reports'!D714)),TRIM(MID('R.M Billets Reports'!D714,SEARCH("-",'R.M Billets Reports'!D714)+1,200)),"")),IF(ISNUMBER(SEARCH("Party Name:-",'R.M Billets Reports'!D715)),TRIM('R.M Billets Reports'!F715),IF(ISNUMBER(SEARCH("Party Name-",'R.M Billets Reports'!D715)),TRIM(MID('R.M Billets Reports'!D715,SEARCH("-",'R.M Billets Reports'!D715)+1,200)),"")))="VRKP ISPAT PVT LTD","VRKP",IF(IF(IF(ISNUMBER(SEARCH("Party Name:-",'R.M Billets Reports'!D714)),TRIM('R.M Billets Reports'!F714),IF(ISNUMBER(SEARCH("Party Name-",'R.M Billets Reports'!D714)),TRIM(MID('R.M Billets Reports'!D714,SEARCH("-",'R.M Billets Reports'!D714)+1,200)),""))&lt;&gt;"",IF(ISNUMBER(SEARCH("Party Name:-",'R.M Billets Reports'!D714)),TRIM('R.M Billets Reports'!F714),IF(ISNUMBER(SEARCH("Party Name-",'R.M Billets Reports'!D714)),TRIM(MID('R.M Billets Reports'!D714,SEARCH("-",'R.M Billets Reports'!D714)+1,200)),"")),IF(ISNUMBER(SEARCH("Party Name:-",'R.M Billets Reports'!D715)),TRIM('R.M Billets Reports'!F715),IF(ISNUMBER(SEARCH("Party Name-",'R.M Billets Reports'!D715)),TRIM(MID('R.M Billets Reports'!D715,SEARCH("-",'R.M Billets Reports'!D715)+1,200)),"")))="SHRI RADHE","SHREE RADHE",IF(IF(IF(ISNUMBER(SEARCH("Party Name:-",'R.M Billets Reports'!D714)),TRIM('R.M Billets Reports'!F714),IF(ISNUMBER(SEARCH("Party Name-",'R.M Billets Reports'!D714)),TRIM(MID('R.M Billets Reports'!D714,SEARCH("-",'R.M Billets Reports'!D714)+1,200)),""))&lt;&gt;"",IF(ISNUMBER(SEARCH("Party Name:-",'R.M Billets Reports'!D714)),TRIM('R.M Billets Reports'!F714),IF(ISNUMBER(SEARCH("Party Name-",'R.M Billets Reports'!D714)),TRIM(MID('R.M Billets Reports'!D714,SEARCH("-",'R.M Billets Reports'!D714)+1,200)),"")),IF(ISNUMBER(SEARCH("Party Name:-",'R.M Billets Reports'!D715)),TRIM('R.M Billets Reports'!F715),IF(ISNUMBER(SEARCH("Party Name-",'R.M Billets Reports'!D715)),TRIM(MID('R.M Billets Reports'!D715,SEARCH("-",'R.M Billets Reports'!D715)+1,200)),"")))="SHREE RADHE SHAKTI SPONGE AND POWER PVT. LTD.","SHREE RADHE",IF(IF(ISNUMBER(SEARCH("Party Name:-",'R.M Billets Reports'!D714)),TRIM('R.M Billets Reports'!F714),IF(ISNUMBER(SEARCH("Party Name-",'R.M Billets Reports'!D714)),TRIM(MID('R.M Billets Reports'!D714,SEARCH("-",'R.M Billets Reports'!D714)+1,200)),""))&lt;&gt;"",IF(ISNUMBER(SEARCH("Party Name:-",'R.M Billets Reports'!D714)),TRIM('R.M Billets Reports'!F714),IF(ISNUMBER(SEARCH("Party Name-",'R.M Billets Reports'!D714)),TRIM(MID('R.M Billets Reports'!D714,SEARCH("-",'R.M Billets Reports'!D714)+1,200)),"")),IF(ISNUMBER(SEARCH("Party Name:-",'R.M Billets Reports'!D715)),TRIM('R.M Billets Reports'!F715),IF(ISNUMBER(SEARCH("Party Name-",'R.M Billets Reports'!D715)),TRIM(MID('R.M Billets Reports'!D715,SEARCH("-",'R.M Billets Reports'!D715)+1,200)),"")))))),IF(ROW()=2,"",A714))</f>
      </c>
      <c r="B715">
        <f>IF(OR('R.M Billets Reports'!A714="Date-",'R.M Billets Reports'!A714="Date:-"),'R.M Billets Reports'!B714,IF(ROW()=2,"",B714))</f>
      </c>
      <c r="C715">
        <f>IF('R.M Billets Reports'!A714="V.No.",'R.M Billets Reports'!B714,IF(ROW()=2,"",C714))</f>
      </c>
      <c r="D715">
        <f>IF('R.M Billets Reports'!A714&lt;&gt;"",'R.M Billets Reports'!A714,IF(ROW()=2,"",D714))</f>
      </c>
      <c r="E715">
        <f>IF('R.M Billets Reports'!B714="","",TRIM('R.M Billets Reports'!B714))</f>
      </c>
      <c r="F715">
        <f>'R.M Billets Reports'!C714</f>
      </c>
      <c r="G715">
        <f>'R.M Billets Reports'!D714</f>
      </c>
      <c r="H715">
        <f>'R.M Billets Reports'!E714</f>
      </c>
      <c r="I715">
        <f>'R.M Billets Reports'!F714</f>
      </c>
      <c r="J715">
        <f>'R.M Billets Reports'!G714</f>
      </c>
      <c r="K715">
        <f>'R.M Billets Reports'!H714</f>
      </c>
      <c r="L715">
        <f>IF('R.M Billets Reports'!I714="","",'R.M Billets Reports'!I714)</f>
      </c>
      <c r="M715">
        <f t="shared" si="22"/>
      </c>
      <c r="N715">
        <f>IF('R.M Billets Reports'!J714="","",'R.M Billets Reports'!J714)</f>
      </c>
      <c r="O715">
        <f t="shared" si="23"/>
      </c>
      <c r="P715">
        <f>IF('R.M Billets Reports'!A714="SIZE",'R.M Billets Reports'!B714,P714)</f>
      </c>
    </row>
    <row r="716" spans="1:16" x14ac:dyDescent="0.25">
      <c r="A716">
        <f>IF(OR('R.M Billets Reports'!A715="Date-",'R.M Billets Reports'!A715="Date:-"),IF(IF(IF(ISNUMBER(SEARCH("Party Name:-",'R.M Billets Reports'!D715)),TRIM('R.M Billets Reports'!F715),IF(ISNUMBER(SEARCH("Party Name-",'R.M Billets Reports'!D715)),TRIM(MID('R.M Billets Reports'!D715,SEARCH("-",'R.M Billets Reports'!D715)+1,200)),""))&lt;&gt;"",IF(ISNUMBER(SEARCH("Party Name:-",'R.M Billets Reports'!D715)),TRIM('R.M Billets Reports'!F715),IF(ISNUMBER(SEARCH("Party Name-",'R.M Billets Reports'!D715)),TRIM(MID('R.M Billets Reports'!D715,SEARCH("-",'R.M Billets Reports'!D715)+1,200)),"")),IF(ISNUMBER(SEARCH("Party Name:-",'R.M Billets Reports'!D716)),TRIM('R.M Billets Reports'!F716),IF(ISNUMBER(SEARCH("Party Name-",'R.M Billets Reports'!D716)),TRIM(MID('R.M Billets Reports'!D716,SEARCH("-",'R.M Billets Reports'!D716)+1,200)),"")))="VRKP ISPAT PVT LTD","VRKP",IF(IF(IF(ISNUMBER(SEARCH("Party Name:-",'R.M Billets Reports'!D715)),TRIM('R.M Billets Reports'!F715),IF(ISNUMBER(SEARCH("Party Name-",'R.M Billets Reports'!D715)),TRIM(MID('R.M Billets Reports'!D715,SEARCH("-",'R.M Billets Reports'!D715)+1,200)),""))&lt;&gt;"",IF(ISNUMBER(SEARCH("Party Name:-",'R.M Billets Reports'!D715)),TRIM('R.M Billets Reports'!F715),IF(ISNUMBER(SEARCH("Party Name-",'R.M Billets Reports'!D715)),TRIM(MID('R.M Billets Reports'!D715,SEARCH("-",'R.M Billets Reports'!D715)+1,200)),"")),IF(ISNUMBER(SEARCH("Party Name:-",'R.M Billets Reports'!D716)),TRIM('R.M Billets Reports'!F716),IF(ISNUMBER(SEARCH("Party Name-",'R.M Billets Reports'!D716)),TRIM(MID('R.M Billets Reports'!D716,SEARCH("-",'R.M Billets Reports'!D716)+1,200)),"")))="SHRI RADHE","SHREE RADHE",IF(IF(IF(ISNUMBER(SEARCH("Party Name:-",'R.M Billets Reports'!D715)),TRIM('R.M Billets Reports'!F715),IF(ISNUMBER(SEARCH("Party Name-",'R.M Billets Reports'!D715)),TRIM(MID('R.M Billets Reports'!D715,SEARCH("-",'R.M Billets Reports'!D715)+1,200)),""))&lt;&gt;"",IF(ISNUMBER(SEARCH("Party Name:-",'R.M Billets Reports'!D715)),TRIM('R.M Billets Reports'!F715),IF(ISNUMBER(SEARCH("Party Name-",'R.M Billets Reports'!D715)),TRIM(MID('R.M Billets Reports'!D715,SEARCH("-",'R.M Billets Reports'!D715)+1,200)),"")),IF(ISNUMBER(SEARCH("Party Name:-",'R.M Billets Reports'!D716)),TRIM('R.M Billets Reports'!F716),IF(ISNUMBER(SEARCH("Party Name-",'R.M Billets Reports'!D716)),TRIM(MID('R.M Billets Reports'!D716,SEARCH("-",'R.M Billets Reports'!D716)+1,200)),"")))="SHREE RADHE SHAKTI SPONGE AND POWER PVT. LTD.","SHREE RADHE",IF(IF(ISNUMBER(SEARCH("Party Name:-",'R.M Billets Reports'!D715)),TRIM('R.M Billets Reports'!F715),IF(ISNUMBER(SEARCH("Party Name-",'R.M Billets Reports'!D715)),TRIM(MID('R.M Billets Reports'!D715,SEARCH("-",'R.M Billets Reports'!D715)+1,200)),""))&lt;&gt;"",IF(ISNUMBER(SEARCH("Party Name:-",'R.M Billets Reports'!D715)),TRIM('R.M Billets Reports'!F715),IF(ISNUMBER(SEARCH("Party Name-",'R.M Billets Reports'!D715)),TRIM(MID('R.M Billets Reports'!D715,SEARCH("-",'R.M Billets Reports'!D715)+1,200)),"")),IF(ISNUMBER(SEARCH("Party Name:-",'R.M Billets Reports'!D716)),TRIM('R.M Billets Reports'!F716),IF(ISNUMBER(SEARCH("Party Name-",'R.M Billets Reports'!D716)),TRIM(MID('R.M Billets Reports'!D716,SEARCH("-",'R.M Billets Reports'!D716)+1,200)),"")))))),IF(ROW()=2,"",A715))</f>
      </c>
      <c r="B716">
        <f>IF(OR('R.M Billets Reports'!A715="Date-",'R.M Billets Reports'!A715="Date:-"),'R.M Billets Reports'!B715,IF(ROW()=2,"",B715))</f>
      </c>
      <c r="C716">
        <f>IF('R.M Billets Reports'!A715="V.No.",'R.M Billets Reports'!B715,IF(ROW()=2,"",C715))</f>
      </c>
      <c r="D716">
        <f>IF('R.M Billets Reports'!A715&lt;&gt;"",'R.M Billets Reports'!A715,IF(ROW()=2,"",D715))</f>
      </c>
      <c r="E716">
        <f>IF('R.M Billets Reports'!B715="","",TRIM('R.M Billets Reports'!B715))</f>
      </c>
      <c r="F716">
        <f>'R.M Billets Reports'!C715</f>
      </c>
      <c r="G716">
        <f>'R.M Billets Reports'!D715</f>
      </c>
      <c r="H716">
        <f>'R.M Billets Reports'!E715</f>
      </c>
      <c r="I716">
        <f>'R.M Billets Reports'!F715</f>
      </c>
      <c r="J716">
        <f>'R.M Billets Reports'!G715</f>
      </c>
      <c r="K716">
        <f>'R.M Billets Reports'!H715</f>
      </c>
      <c r="L716">
        <f>IF('R.M Billets Reports'!I715="","",'R.M Billets Reports'!I715)</f>
      </c>
      <c r="M716">
        <f t="shared" si="22"/>
      </c>
      <c r="N716">
        <f>IF('R.M Billets Reports'!J715="","",'R.M Billets Reports'!J715)</f>
      </c>
      <c r="O716">
        <f t="shared" si="23"/>
      </c>
      <c r="P716">
        <f>IF('R.M Billets Reports'!A715="SIZE",'R.M Billets Reports'!B715,P715)</f>
      </c>
    </row>
    <row r="717" spans="1:16" x14ac:dyDescent="0.25">
      <c r="A717">
        <f>IF(OR('R.M Billets Reports'!A716="Date-",'R.M Billets Reports'!A716="Date:-"),IF(IF(IF(ISNUMBER(SEARCH("Party Name:-",'R.M Billets Reports'!D716)),TRIM('R.M Billets Reports'!F716),IF(ISNUMBER(SEARCH("Party Name-",'R.M Billets Reports'!D716)),TRIM(MID('R.M Billets Reports'!D716,SEARCH("-",'R.M Billets Reports'!D716)+1,200)),""))&lt;&gt;"",IF(ISNUMBER(SEARCH("Party Name:-",'R.M Billets Reports'!D716)),TRIM('R.M Billets Reports'!F716),IF(ISNUMBER(SEARCH("Party Name-",'R.M Billets Reports'!D716)),TRIM(MID('R.M Billets Reports'!D716,SEARCH("-",'R.M Billets Reports'!D716)+1,200)),"")),IF(ISNUMBER(SEARCH("Party Name:-",'R.M Billets Reports'!D717)),TRIM('R.M Billets Reports'!F717),IF(ISNUMBER(SEARCH("Party Name-",'R.M Billets Reports'!D717)),TRIM(MID('R.M Billets Reports'!D717,SEARCH("-",'R.M Billets Reports'!D717)+1,200)),"")))="VRKP ISPAT PVT LTD","VRKP",IF(IF(IF(ISNUMBER(SEARCH("Party Name:-",'R.M Billets Reports'!D716)),TRIM('R.M Billets Reports'!F716),IF(ISNUMBER(SEARCH("Party Name-",'R.M Billets Reports'!D716)),TRIM(MID('R.M Billets Reports'!D716,SEARCH("-",'R.M Billets Reports'!D716)+1,200)),""))&lt;&gt;"",IF(ISNUMBER(SEARCH("Party Name:-",'R.M Billets Reports'!D716)),TRIM('R.M Billets Reports'!F716),IF(ISNUMBER(SEARCH("Party Name-",'R.M Billets Reports'!D716)),TRIM(MID('R.M Billets Reports'!D716,SEARCH("-",'R.M Billets Reports'!D716)+1,200)),"")),IF(ISNUMBER(SEARCH("Party Name:-",'R.M Billets Reports'!D717)),TRIM('R.M Billets Reports'!F717),IF(ISNUMBER(SEARCH("Party Name-",'R.M Billets Reports'!D717)),TRIM(MID('R.M Billets Reports'!D717,SEARCH("-",'R.M Billets Reports'!D717)+1,200)),"")))="SHRI RADHE","SHREE RADHE",IF(IF(IF(ISNUMBER(SEARCH("Party Name:-",'R.M Billets Reports'!D716)),TRIM('R.M Billets Reports'!F716),IF(ISNUMBER(SEARCH("Party Name-",'R.M Billets Reports'!D716)),TRIM(MID('R.M Billets Reports'!D716,SEARCH("-",'R.M Billets Reports'!D716)+1,200)),""))&lt;&gt;"",IF(ISNUMBER(SEARCH("Party Name:-",'R.M Billets Reports'!D716)),TRIM('R.M Billets Reports'!F716),IF(ISNUMBER(SEARCH("Party Name-",'R.M Billets Reports'!D716)),TRIM(MID('R.M Billets Reports'!D716,SEARCH("-",'R.M Billets Reports'!D716)+1,200)),"")),IF(ISNUMBER(SEARCH("Party Name:-",'R.M Billets Reports'!D717)),TRIM('R.M Billets Reports'!F717),IF(ISNUMBER(SEARCH("Party Name-",'R.M Billets Reports'!D717)),TRIM(MID('R.M Billets Reports'!D717,SEARCH("-",'R.M Billets Reports'!D717)+1,200)),"")))="SHREE RADHE SHAKTI SPONGE AND POWER PVT. LTD.","SHREE RADHE",IF(IF(ISNUMBER(SEARCH("Party Name:-",'R.M Billets Reports'!D716)),TRIM('R.M Billets Reports'!F716),IF(ISNUMBER(SEARCH("Party Name-",'R.M Billets Reports'!D716)),TRIM(MID('R.M Billets Reports'!D716,SEARCH("-",'R.M Billets Reports'!D716)+1,200)),""))&lt;&gt;"",IF(ISNUMBER(SEARCH("Party Name:-",'R.M Billets Reports'!D716)),TRIM('R.M Billets Reports'!F716),IF(ISNUMBER(SEARCH("Party Name-",'R.M Billets Reports'!D716)),TRIM(MID('R.M Billets Reports'!D716,SEARCH("-",'R.M Billets Reports'!D716)+1,200)),"")),IF(ISNUMBER(SEARCH("Party Name:-",'R.M Billets Reports'!D717)),TRIM('R.M Billets Reports'!F717),IF(ISNUMBER(SEARCH("Party Name-",'R.M Billets Reports'!D717)),TRIM(MID('R.M Billets Reports'!D717,SEARCH("-",'R.M Billets Reports'!D717)+1,200)),"")))))),IF(ROW()=2,"",A716))</f>
      </c>
      <c r="B717">
        <f>IF(OR('R.M Billets Reports'!A716="Date-",'R.M Billets Reports'!A716="Date:-"),'R.M Billets Reports'!B716,IF(ROW()=2,"",B716))</f>
      </c>
      <c r="C717">
        <f>IF('R.M Billets Reports'!A716="V.No.",'R.M Billets Reports'!B716,IF(ROW()=2,"",C716))</f>
      </c>
      <c r="D717">
        <f>IF('R.M Billets Reports'!A716&lt;&gt;"",'R.M Billets Reports'!A716,IF(ROW()=2,"",D716))</f>
      </c>
      <c r="E717">
        <f>IF('R.M Billets Reports'!B716="","",TRIM('R.M Billets Reports'!B716))</f>
      </c>
      <c r="F717">
        <f>'R.M Billets Reports'!C716</f>
      </c>
      <c r="G717">
        <f>'R.M Billets Reports'!D716</f>
      </c>
      <c r="H717">
        <f>'R.M Billets Reports'!E716</f>
      </c>
      <c r="I717">
        <f>'R.M Billets Reports'!F716</f>
      </c>
      <c r="J717">
        <f>'R.M Billets Reports'!G716</f>
      </c>
      <c r="K717">
        <f>'R.M Billets Reports'!H716</f>
      </c>
      <c r="L717">
        <f>IF('R.M Billets Reports'!I716="","",'R.M Billets Reports'!I716)</f>
      </c>
      <c r="M717">
        <f t="shared" si="22"/>
      </c>
      <c r="N717">
        <f>IF('R.M Billets Reports'!J716="","",'R.M Billets Reports'!J716)</f>
      </c>
      <c r="O717">
        <f t="shared" si="23"/>
      </c>
      <c r="P717">
        <f>IF('R.M Billets Reports'!A716="SIZE",'R.M Billets Reports'!B716,P716)</f>
      </c>
    </row>
    <row r="718" spans="1:16" x14ac:dyDescent="0.25">
      <c r="A718">
        <f>IF(OR('R.M Billets Reports'!A717="Date-",'R.M Billets Reports'!A717="Date:-"),IF(IF(IF(ISNUMBER(SEARCH("Party Name:-",'R.M Billets Reports'!D717)),TRIM('R.M Billets Reports'!F717),IF(ISNUMBER(SEARCH("Party Name-",'R.M Billets Reports'!D717)),TRIM(MID('R.M Billets Reports'!D717,SEARCH("-",'R.M Billets Reports'!D717)+1,200)),""))&lt;&gt;"",IF(ISNUMBER(SEARCH("Party Name:-",'R.M Billets Reports'!D717)),TRIM('R.M Billets Reports'!F717),IF(ISNUMBER(SEARCH("Party Name-",'R.M Billets Reports'!D717)),TRIM(MID('R.M Billets Reports'!D717,SEARCH("-",'R.M Billets Reports'!D717)+1,200)),"")),IF(ISNUMBER(SEARCH("Party Name:-",'R.M Billets Reports'!D718)),TRIM('R.M Billets Reports'!F718),IF(ISNUMBER(SEARCH("Party Name-",'R.M Billets Reports'!D718)),TRIM(MID('R.M Billets Reports'!D718,SEARCH("-",'R.M Billets Reports'!D718)+1,200)),"")))="VRKP ISPAT PVT LTD","VRKP",IF(IF(IF(ISNUMBER(SEARCH("Party Name:-",'R.M Billets Reports'!D717)),TRIM('R.M Billets Reports'!F717),IF(ISNUMBER(SEARCH("Party Name-",'R.M Billets Reports'!D717)),TRIM(MID('R.M Billets Reports'!D717,SEARCH("-",'R.M Billets Reports'!D717)+1,200)),""))&lt;&gt;"",IF(ISNUMBER(SEARCH("Party Name:-",'R.M Billets Reports'!D717)),TRIM('R.M Billets Reports'!F717),IF(ISNUMBER(SEARCH("Party Name-",'R.M Billets Reports'!D717)),TRIM(MID('R.M Billets Reports'!D717,SEARCH("-",'R.M Billets Reports'!D717)+1,200)),"")),IF(ISNUMBER(SEARCH("Party Name:-",'R.M Billets Reports'!D718)),TRIM('R.M Billets Reports'!F718),IF(ISNUMBER(SEARCH("Party Name-",'R.M Billets Reports'!D718)),TRIM(MID('R.M Billets Reports'!D718,SEARCH("-",'R.M Billets Reports'!D718)+1,200)),"")))="SHRI RADHE","SHREE RADHE",IF(IF(IF(ISNUMBER(SEARCH("Party Name:-",'R.M Billets Reports'!D717)),TRIM('R.M Billets Reports'!F717),IF(ISNUMBER(SEARCH("Party Name-",'R.M Billets Reports'!D717)),TRIM(MID('R.M Billets Reports'!D717,SEARCH("-",'R.M Billets Reports'!D717)+1,200)),""))&lt;&gt;"",IF(ISNUMBER(SEARCH("Party Name:-",'R.M Billets Reports'!D717)),TRIM('R.M Billets Reports'!F717),IF(ISNUMBER(SEARCH("Party Name-",'R.M Billets Reports'!D717)),TRIM(MID('R.M Billets Reports'!D717,SEARCH("-",'R.M Billets Reports'!D717)+1,200)),"")),IF(ISNUMBER(SEARCH("Party Name:-",'R.M Billets Reports'!D718)),TRIM('R.M Billets Reports'!F718),IF(ISNUMBER(SEARCH("Party Name-",'R.M Billets Reports'!D718)),TRIM(MID('R.M Billets Reports'!D718,SEARCH("-",'R.M Billets Reports'!D718)+1,200)),"")))="SHREE RADHE SHAKTI SPONGE AND POWER PVT. LTD.","SHREE RADHE",IF(IF(ISNUMBER(SEARCH("Party Name:-",'R.M Billets Reports'!D717)),TRIM('R.M Billets Reports'!F717),IF(ISNUMBER(SEARCH("Party Name-",'R.M Billets Reports'!D717)),TRIM(MID('R.M Billets Reports'!D717,SEARCH("-",'R.M Billets Reports'!D717)+1,200)),""))&lt;&gt;"",IF(ISNUMBER(SEARCH("Party Name:-",'R.M Billets Reports'!D717)),TRIM('R.M Billets Reports'!F717),IF(ISNUMBER(SEARCH("Party Name-",'R.M Billets Reports'!D717)),TRIM(MID('R.M Billets Reports'!D717,SEARCH("-",'R.M Billets Reports'!D717)+1,200)),"")),IF(ISNUMBER(SEARCH("Party Name:-",'R.M Billets Reports'!D718)),TRIM('R.M Billets Reports'!F718),IF(ISNUMBER(SEARCH("Party Name-",'R.M Billets Reports'!D718)),TRIM(MID('R.M Billets Reports'!D718,SEARCH("-",'R.M Billets Reports'!D718)+1,200)),"")))))),IF(ROW()=2,"",A717))</f>
      </c>
      <c r="B718">
        <f>IF(OR('R.M Billets Reports'!A717="Date-",'R.M Billets Reports'!A717="Date:-"),'R.M Billets Reports'!B717,IF(ROW()=2,"",B717))</f>
      </c>
      <c r="C718">
        <f>IF('R.M Billets Reports'!A717="V.No.",'R.M Billets Reports'!B717,IF(ROW()=2,"",C717))</f>
      </c>
      <c r="D718">
        <f>IF('R.M Billets Reports'!A717&lt;&gt;"",'R.M Billets Reports'!A717,IF(ROW()=2,"",D717))</f>
      </c>
      <c r="E718">
        <f>IF('R.M Billets Reports'!B717="","",TRIM('R.M Billets Reports'!B717))</f>
      </c>
      <c r="F718">
        <f>'R.M Billets Reports'!C717</f>
      </c>
      <c r="G718">
        <f>'R.M Billets Reports'!D717</f>
      </c>
      <c r="H718">
        <f>'R.M Billets Reports'!E717</f>
      </c>
      <c r="I718">
        <f>'R.M Billets Reports'!F717</f>
      </c>
      <c r="J718">
        <f>'R.M Billets Reports'!G717</f>
      </c>
      <c r="K718">
        <f>'R.M Billets Reports'!H717</f>
      </c>
      <c r="L718">
        <f>IF('R.M Billets Reports'!I717="","",'R.M Billets Reports'!I717)</f>
      </c>
      <c r="M718">
        <f t="shared" si="22"/>
      </c>
      <c r="N718">
        <f>IF('R.M Billets Reports'!J717="","",'R.M Billets Reports'!J717)</f>
      </c>
      <c r="O718">
        <f t="shared" si="23"/>
      </c>
      <c r="P718">
        <f>IF('R.M Billets Reports'!A717="SIZE",'R.M Billets Reports'!B717,P717)</f>
      </c>
    </row>
    <row r="719" spans="1:16" x14ac:dyDescent="0.25">
      <c r="A719">
        <f>IF(OR('R.M Billets Reports'!A718="Date-",'R.M Billets Reports'!A718="Date:-"),IF(IF(IF(ISNUMBER(SEARCH("Party Name:-",'R.M Billets Reports'!D718)),TRIM('R.M Billets Reports'!F718),IF(ISNUMBER(SEARCH("Party Name-",'R.M Billets Reports'!D718)),TRIM(MID('R.M Billets Reports'!D718,SEARCH("-",'R.M Billets Reports'!D718)+1,200)),""))&lt;&gt;"",IF(ISNUMBER(SEARCH("Party Name:-",'R.M Billets Reports'!D718)),TRIM('R.M Billets Reports'!F718),IF(ISNUMBER(SEARCH("Party Name-",'R.M Billets Reports'!D718)),TRIM(MID('R.M Billets Reports'!D718,SEARCH("-",'R.M Billets Reports'!D718)+1,200)),"")),IF(ISNUMBER(SEARCH("Party Name:-",'R.M Billets Reports'!D719)),TRIM('R.M Billets Reports'!F719),IF(ISNUMBER(SEARCH("Party Name-",'R.M Billets Reports'!D719)),TRIM(MID('R.M Billets Reports'!D719,SEARCH("-",'R.M Billets Reports'!D719)+1,200)),"")))="VRKP ISPAT PVT LTD","VRKP",IF(IF(IF(ISNUMBER(SEARCH("Party Name:-",'R.M Billets Reports'!D718)),TRIM('R.M Billets Reports'!F718),IF(ISNUMBER(SEARCH("Party Name-",'R.M Billets Reports'!D718)),TRIM(MID('R.M Billets Reports'!D718,SEARCH("-",'R.M Billets Reports'!D718)+1,200)),""))&lt;&gt;"",IF(ISNUMBER(SEARCH("Party Name:-",'R.M Billets Reports'!D718)),TRIM('R.M Billets Reports'!F718),IF(ISNUMBER(SEARCH("Party Name-",'R.M Billets Reports'!D718)),TRIM(MID('R.M Billets Reports'!D718,SEARCH("-",'R.M Billets Reports'!D718)+1,200)),"")),IF(ISNUMBER(SEARCH("Party Name:-",'R.M Billets Reports'!D719)),TRIM('R.M Billets Reports'!F719),IF(ISNUMBER(SEARCH("Party Name-",'R.M Billets Reports'!D719)),TRIM(MID('R.M Billets Reports'!D719,SEARCH("-",'R.M Billets Reports'!D719)+1,200)),"")))="SHRI RADHE","SHREE RADHE",IF(IF(IF(ISNUMBER(SEARCH("Party Name:-",'R.M Billets Reports'!D718)),TRIM('R.M Billets Reports'!F718),IF(ISNUMBER(SEARCH("Party Name-",'R.M Billets Reports'!D718)),TRIM(MID('R.M Billets Reports'!D718,SEARCH("-",'R.M Billets Reports'!D718)+1,200)),""))&lt;&gt;"",IF(ISNUMBER(SEARCH("Party Name:-",'R.M Billets Reports'!D718)),TRIM('R.M Billets Reports'!F718),IF(ISNUMBER(SEARCH("Party Name-",'R.M Billets Reports'!D718)),TRIM(MID('R.M Billets Reports'!D718,SEARCH("-",'R.M Billets Reports'!D718)+1,200)),"")),IF(ISNUMBER(SEARCH("Party Name:-",'R.M Billets Reports'!D719)),TRIM('R.M Billets Reports'!F719),IF(ISNUMBER(SEARCH("Party Name-",'R.M Billets Reports'!D719)),TRIM(MID('R.M Billets Reports'!D719,SEARCH("-",'R.M Billets Reports'!D719)+1,200)),"")))="SHREE RADHE SHAKTI SPONGE AND POWER PVT. LTD.","SHREE RADHE",IF(IF(ISNUMBER(SEARCH("Party Name:-",'R.M Billets Reports'!D718)),TRIM('R.M Billets Reports'!F718),IF(ISNUMBER(SEARCH("Party Name-",'R.M Billets Reports'!D718)),TRIM(MID('R.M Billets Reports'!D718,SEARCH("-",'R.M Billets Reports'!D718)+1,200)),""))&lt;&gt;"",IF(ISNUMBER(SEARCH("Party Name:-",'R.M Billets Reports'!D718)),TRIM('R.M Billets Reports'!F718),IF(ISNUMBER(SEARCH("Party Name-",'R.M Billets Reports'!D718)),TRIM(MID('R.M Billets Reports'!D718,SEARCH("-",'R.M Billets Reports'!D718)+1,200)),"")),IF(ISNUMBER(SEARCH("Party Name:-",'R.M Billets Reports'!D719)),TRIM('R.M Billets Reports'!F719),IF(ISNUMBER(SEARCH("Party Name-",'R.M Billets Reports'!D719)),TRIM(MID('R.M Billets Reports'!D719,SEARCH("-",'R.M Billets Reports'!D719)+1,200)),"")))))),IF(ROW()=2,"",A718))</f>
      </c>
      <c r="B719">
        <f>IF(OR('R.M Billets Reports'!A718="Date-",'R.M Billets Reports'!A718="Date:-"),'R.M Billets Reports'!B718,IF(ROW()=2,"",B718))</f>
      </c>
      <c r="C719">
        <f>IF('R.M Billets Reports'!A718="V.No.",'R.M Billets Reports'!B718,IF(ROW()=2,"",C718))</f>
      </c>
      <c r="D719">
        <f>IF('R.M Billets Reports'!A718&lt;&gt;"",'R.M Billets Reports'!A718,IF(ROW()=2,"",D718))</f>
      </c>
      <c r="E719">
        <f>IF('R.M Billets Reports'!B718="","",TRIM('R.M Billets Reports'!B718))</f>
      </c>
      <c r="F719">
        <f>'R.M Billets Reports'!C718</f>
      </c>
      <c r="G719">
        <f>'R.M Billets Reports'!D718</f>
      </c>
      <c r="H719">
        <f>'R.M Billets Reports'!E718</f>
      </c>
      <c r="I719">
        <f>'R.M Billets Reports'!F718</f>
      </c>
      <c r="J719">
        <f>'R.M Billets Reports'!G718</f>
      </c>
      <c r="K719">
        <f>'R.M Billets Reports'!H718</f>
      </c>
      <c r="L719">
        <f>IF('R.M Billets Reports'!I718="","",'R.M Billets Reports'!I718)</f>
      </c>
      <c r="M719">
        <f t="shared" si="22"/>
      </c>
      <c r="N719">
        <f>IF('R.M Billets Reports'!J718="","",'R.M Billets Reports'!J718)</f>
      </c>
      <c r="O719">
        <f t="shared" si="23"/>
      </c>
      <c r="P719">
        <f>IF('R.M Billets Reports'!A718="SIZE",'R.M Billets Reports'!B718,P718)</f>
      </c>
    </row>
    <row r="720" spans="1:16" x14ac:dyDescent="0.25">
      <c r="A720">
        <f>IF(OR('R.M Billets Reports'!A719="Date-",'R.M Billets Reports'!A719="Date:-"),IF(IF(IF(ISNUMBER(SEARCH("Party Name:-",'R.M Billets Reports'!D719)),TRIM('R.M Billets Reports'!F719),IF(ISNUMBER(SEARCH("Party Name-",'R.M Billets Reports'!D719)),TRIM(MID('R.M Billets Reports'!D719,SEARCH("-",'R.M Billets Reports'!D719)+1,200)),""))&lt;&gt;"",IF(ISNUMBER(SEARCH("Party Name:-",'R.M Billets Reports'!D719)),TRIM('R.M Billets Reports'!F719),IF(ISNUMBER(SEARCH("Party Name-",'R.M Billets Reports'!D719)),TRIM(MID('R.M Billets Reports'!D719,SEARCH("-",'R.M Billets Reports'!D719)+1,200)),"")),IF(ISNUMBER(SEARCH("Party Name:-",'R.M Billets Reports'!D720)),TRIM('R.M Billets Reports'!F720),IF(ISNUMBER(SEARCH("Party Name-",'R.M Billets Reports'!D720)),TRIM(MID('R.M Billets Reports'!D720,SEARCH("-",'R.M Billets Reports'!D720)+1,200)),"")))="VRKP ISPAT PVT LTD","VRKP",IF(IF(IF(ISNUMBER(SEARCH("Party Name:-",'R.M Billets Reports'!D719)),TRIM('R.M Billets Reports'!F719),IF(ISNUMBER(SEARCH("Party Name-",'R.M Billets Reports'!D719)),TRIM(MID('R.M Billets Reports'!D719,SEARCH("-",'R.M Billets Reports'!D719)+1,200)),""))&lt;&gt;"",IF(ISNUMBER(SEARCH("Party Name:-",'R.M Billets Reports'!D719)),TRIM('R.M Billets Reports'!F719),IF(ISNUMBER(SEARCH("Party Name-",'R.M Billets Reports'!D719)),TRIM(MID('R.M Billets Reports'!D719,SEARCH("-",'R.M Billets Reports'!D719)+1,200)),"")),IF(ISNUMBER(SEARCH("Party Name:-",'R.M Billets Reports'!D720)),TRIM('R.M Billets Reports'!F720),IF(ISNUMBER(SEARCH("Party Name-",'R.M Billets Reports'!D720)),TRIM(MID('R.M Billets Reports'!D720,SEARCH("-",'R.M Billets Reports'!D720)+1,200)),"")))="SHRI RADHE","SHREE RADHE",IF(IF(IF(ISNUMBER(SEARCH("Party Name:-",'R.M Billets Reports'!D719)),TRIM('R.M Billets Reports'!F719),IF(ISNUMBER(SEARCH("Party Name-",'R.M Billets Reports'!D719)),TRIM(MID('R.M Billets Reports'!D719,SEARCH("-",'R.M Billets Reports'!D719)+1,200)),""))&lt;&gt;"",IF(ISNUMBER(SEARCH("Party Name:-",'R.M Billets Reports'!D719)),TRIM('R.M Billets Reports'!F719),IF(ISNUMBER(SEARCH("Party Name-",'R.M Billets Reports'!D719)),TRIM(MID('R.M Billets Reports'!D719,SEARCH("-",'R.M Billets Reports'!D719)+1,200)),"")),IF(ISNUMBER(SEARCH("Party Name:-",'R.M Billets Reports'!D720)),TRIM('R.M Billets Reports'!F720),IF(ISNUMBER(SEARCH("Party Name-",'R.M Billets Reports'!D720)),TRIM(MID('R.M Billets Reports'!D720,SEARCH("-",'R.M Billets Reports'!D720)+1,200)),"")))="SHREE RADHE SHAKTI SPONGE AND POWER PVT. LTD.","SHREE RADHE",IF(IF(ISNUMBER(SEARCH("Party Name:-",'R.M Billets Reports'!D719)),TRIM('R.M Billets Reports'!F719),IF(ISNUMBER(SEARCH("Party Name-",'R.M Billets Reports'!D719)),TRIM(MID('R.M Billets Reports'!D719,SEARCH("-",'R.M Billets Reports'!D719)+1,200)),""))&lt;&gt;"",IF(ISNUMBER(SEARCH("Party Name:-",'R.M Billets Reports'!D719)),TRIM('R.M Billets Reports'!F719),IF(ISNUMBER(SEARCH("Party Name-",'R.M Billets Reports'!D719)),TRIM(MID('R.M Billets Reports'!D719,SEARCH("-",'R.M Billets Reports'!D719)+1,200)),"")),IF(ISNUMBER(SEARCH("Party Name:-",'R.M Billets Reports'!D720)),TRIM('R.M Billets Reports'!F720),IF(ISNUMBER(SEARCH("Party Name-",'R.M Billets Reports'!D720)),TRIM(MID('R.M Billets Reports'!D720,SEARCH("-",'R.M Billets Reports'!D720)+1,200)),"")))))),IF(ROW()=2,"",A719))</f>
      </c>
      <c r="B720">
        <f>IF(OR('R.M Billets Reports'!A719="Date-",'R.M Billets Reports'!A719="Date:-"),'R.M Billets Reports'!B719,IF(ROW()=2,"",B719))</f>
      </c>
      <c r="C720">
        <f>IF('R.M Billets Reports'!A719="V.No.",'R.M Billets Reports'!B719,IF(ROW()=2,"",C719))</f>
      </c>
      <c r="D720">
        <f>IF('R.M Billets Reports'!A719&lt;&gt;"",'R.M Billets Reports'!A719,IF(ROW()=2,"",D719))</f>
      </c>
      <c r="E720">
        <f>IF('R.M Billets Reports'!B719="","",TRIM('R.M Billets Reports'!B719))</f>
      </c>
      <c r="F720">
        <f>'R.M Billets Reports'!C719</f>
      </c>
      <c r="G720">
        <f>'R.M Billets Reports'!D719</f>
      </c>
      <c r="H720">
        <f>'R.M Billets Reports'!E719</f>
      </c>
      <c r="I720">
        <f>'R.M Billets Reports'!F719</f>
      </c>
      <c r="J720">
        <f>'R.M Billets Reports'!G719</f>
      </c>
      <c r="K720">
        <f>'R.M Billets Reports'!H719</f>
      </c>
      <c r="L720">
        <f>IF('R.M Billets Reports'!I719="","",'R.M Billets Reports'!I719)</f>
      </c>
      <c r="M720">
        <f t="shared" si="22"/>
      </c>
      <c r="N720">
        <f>IF('R.M Billets Reports'!J719="","",'R.M Billets Reports'!J719)</f>
      </c>
      <c r="O720">
        <f t="shared" si="23"/>
      </c>
      <c r="P720">
        <f>IF('R.M Billets Reports'!A719="SIZE",'R.M Billets Reports'!B719,P719)</f>
      </c>
    </row>
    <row r="721" spans="1:16" x14ac:dyDescent="0.25">
      <c r="A721">
        <f>IF(OR('R.M Billets Reports'!A720="Date-",'R.M Billets Reports'!A720="Date:-"),IF(IF(IF(ISNUMBER(SEARCH("Party Name:-",'R.M Billets Reports'!D720)),TRIM('R.M Billets Reports'!F720),IF(ISNUMBER(SEARCH("Party Name-",'R.M Billets Reports'!D720)),TRIM(MID('R.M Billets Reports'!D720,SEARCH("-",'R.M Billets Reports'!D720)+1,200)),""))&lt;&gt;"",IF(ISNUMBER(SEARCH("Party Name:-",'R.M Billets Reports'!D720)),TRIM('R.M Billets Reports'!F720),IF(ISNUMBER(SEARCH("Party Name-",'R.M Billets Reports'!D720)),TRIM(MID('R.M Billets Reports'!D720,SEARCH("-",'R.M Billets Reports'!D720)+1,200)),"")),IF(ISNUMBER(SEARCH("Party Name:-",'R.M Billets Reports'!D721)),TRIM('R.M Billets Reports'!F721),IF(ISNUMBER(SEARCH("Party Name-",'R.M Billets Reports'!D721)),TRIM(MID('R.M Billets Reports'!D721,SEARCH("-",'R.M Billets Reports'!D721)+1,200)),"")))="VRKP ISPAT PVT LTD","VRKP",IF(IF(IF(ISNUMBER(SEARCH("Party Name:-",'R.M Billets Reports'!D720)),TRIM('R.M Billets Reports'!F720),IF(ISNUMBER(SEARCH("Party Name-",'R.M Billets Reports'!D720)),TRIM(MID('R.M Billets Reports'!D720,SEARCH("-",'R.M Billets Reports'!D720)+1,200)),""))&lt;&gt;"",IF(ISNUMBER(SEARCH("Party Name:-",'R.M Billets Reports'!D720)),TRIM('R.M Billets Reports'!F720),IF(ISNUMBER(SEARCH("Party Name-",'R.M Billets Reports'!D720)),TRIM(MID('R.M Billets Reports'!D720,SEARCH("-",'R.M Billets Reports'!D720)+1,200)),"")),IF(ISNUMBER(SEARCH("Party Name:-",'R.M Billets Reports'!D721)),TRIM('R.M Billets Reports'!F721),IF(ISNUMBER(SEARCH("Party Name-",'R.M Billets Reports'!D721)),TRIM(MID('R.M Billets Reports'!D721,SEARCH("-",'R.M Billets Reports'!D721)+1,200)),"")))="SHRI RADHE","SHREE RADHE",IF(IF(IF(ISNUMBER(SEARCH("Party Name:-",'R.M Billets Reports'!D720)),TRIM('R.M Billets Reports'!F720),IF(ISNUMBER(SEARCH("Party Name-",'R.M Billets Reports'!D720)),TRIM(MID('R.M Billets Reports'!D720,SEARCH("-",'R.M Billets Reports'!D720)+1,200)),""))&lt;&gt;"",IF(ISNUMBER(SEARCH("Party Name:-",'R.M Billets Reports'!D720)),TRIM('R.M Billets Reports'!F720),IF(ISNUMBER(SEARCH("Party Name-",'R.M Billets Reports'!D720)),TRIM(MID('R.M Billets Reports'!D720,SEARCH("-",'R.M Billets Reports'!D720)+1,200)),"")),IF(ISNUMBER(SEARCH("Party Name:-",'R.M Billets Reports'!D721)),TRIM('R.M Billets Reports'!F721),IF(ISNUMBER(SEARCH("Party Name-",'R.M Billets Reports'!D721)),TRIM(MID('R.M Billets Reports'!D721,SEARCH("-",'R.M Billets Reports'!D721)+1,200)),"")))="SHREE RADHE SHAKTI SPONGE AND POWER PVT. LTD.","SHREE RADHE",IF(IF(ISNUMBER(SEARCH("Party Name:-",'R.M Billets Reports'!D720)),TRIM('R.M Billets Reports'!F720),IF(ISNUMBER(SEARCH("Party Name-",'R.M Billets Reports'!D720)),TRIM(MID('R.M Billets Reports'!D720,SEARCH("-",'R.M Billets Reports'!D720)+1,200)),""))&lt;&gt;"",IF(ISNUMBER(SEARCH("Party Name:-",'R.M Billets Reports'!D720)),TRIM('R.M Billets Reports'!F720),IF(ISNUMBER(SEARCH("Party Name-",'R.M Billets Reports'!D720)),TRIM(MID('R.M Billets Reports'!D720,SEARCH("-",'R.M Billets Reports'!D720)+1,200)),"")),IF(ISNUMBER(SEARCH("Party Name:-",'R.M Billets Reports'!D721)),TRIM('R.M Billets Reports'!F721),IF(ISNUMBER(SEARCH("Party Name-",'R.M Billets Reports'!D721)),TRIM(MID('R.M Billets Reports'!D721,SEARCH("-",'R.M Billets Reports'!D721)+1,200)),"")))))),IF(ROW()=2,"",A720))</f>
      </c>
      <c r="B721">
        <f>IF(OR('R.M Billets Reports'!A720="Date-",'R.M Billets Reports'!A720="Date:-"),'R.M Billets Reports'!B720,IF(ROW()=2,"",B720))</f>
      </c>
      <c r="C721">
        <f>IF('R.M Billets Reports'!A720="V.No.",'R.M Billets Reports'!B720,IF(ROW()=2,"",C720))</f>
      </c>
      <c r="D721">
        <f>IF('R.M Billets Reports'!A720&lt;&gt;"",'R.M Billets Reports'!A720,IF(ROW()=2,"",D720))</f>
      </c>
      <c r="E721">
        <f>IF('R.M Billets Reports'!B720="","",TRIM('R.M Billets Reports'!B720))</f>
      </c>
      <c r="F721">
        <f>'R.M Billets Reports'!C720</f>
      </c>
      <c r="G721">
        <f>'R.M Billets Reports'!D720</f>
      </c>
      <c r="H721">
        <f>'R.M Billets Reports'!E720</f>
      </c>
      <c r="I721">
        <f>'R.M Billets Reports'!F720</f>
      </c>
      <c r="J721">
        <f>'R.M Billets Reports'!G720</f>
      </c>
      <c r="K721">
        <f>'R.M Billets Reports'!H720</f>
      </c>
      <c r="L721">
        <f>IF('R.M Billets Reports'!I720="","",'R.M Billets Reports'!I720)</f>
      </c>
      <c r="M721">
        <f t="shared" si="22"/>
      </c>
      <c r="N721">
        <f>IF('R.M Billets Reports'!J720="","",'R.M Billets Reports'!J720)</f>
      </c>
      <c r="O721">
        <f t="shared" si="23"/>
      </c>
      <c r="P721">
        <f>IF('R.M Billets Reports'!A720="SIZE",'R.M Billets Reports'!B720,P720)</f>
      </c>
    </row>
    <row r="722" spans="1:16" x14ac:dyDescent="0.25">
      <c r="A722">
        <f>IF(OR('R.M Billets Reports'!A721="Date-",'R.M Billets Reports'!A721="Date:-"),IF(IF(IF(ISNUMBER(SEARCH("Party Name:-",'R.M Billets Reports'!D721)),TRIM('R.M Billets Reports'!F721),IF(ISNUMBER(SEARCH("Party Name-",'R.M Billets Reports'!D721)),TRIM(MID('R.M Billets Reports'!D721,SEARCH("-",'R.M Billets Reports'!D721)+1,200)),""))&lt;&gt;"",IF(ISNUMBER(SEARCH("Party Name:-",'R.M Billets Reports'!D721)),TRIM('R.M Billets Reports'!F721),IF(ISNUMBER(SEARCH("Party Name-",'R.M Billets Reports'!D721)),TRIM(MID('R.M Billets Reports'!D721,SEARCH("-",'R.M Billets Reports'!D721)+1,200)),"")),IF(ISNUMBER(SEARCH("Party Name:-",'R.M Billets Reports'!D722)),TRIM('R.M Billets Reports'!F722),IF(ISNUMBER(SEARCH("Party Name-",'R.M Billets Reports'!D722)),TRIM(MID('R.M Billets Reports'!D722,SEARCH("-",'R.M Billets Reports'!D722)+1,200)),"")))="VRKP ISPAT PVT LTD","VRKP",IF(IF(IF(ISNUMBER(SEARCH("Party Name:-",'R.M Billets Reports'!D721)),TRIM('R.M Billets Reports'!F721),IF(ISNUMBER(SEARCH("Party Name-",'R.M Billets Reports'!D721)),TRIM(MID('R.M Billets Reports'!D721,SEARCH("-",'R.M Billets Reports'!D721)+1,200)),""))&lt;&gt;"",IF(ISNUMBER(SEARCH("Party Name:-",'R.M Billets Reports'!D721)),TRIM('R.M Billets Reports'!F721),IF(ISNUMBER(SEARCH("Party Name-",'R.M Billets Reports'!D721)),TRIM(MID('R.M Billets Reports'!D721,SEARCH("-",'R.M Billets Reports'!D721)+1,200)),"")),IF(ISNUMBER(SEARCH("Party Name:-",'R.M Billets Reports'!D722)),TRIM('R.M Billets Reports'!F722),IF(ISNUMBER(SEARCH("Party Name-",'R.M Billets Reports'!D722)),TRIM(MID('R.M Billets Reports'!D722,SEARCH("-",'R.M Billets Reports'!D722)+1,200)),"")))="SHRI RADHE","SHREE RADHE",IF(IF(IF(ISNUMBER(SEARCH("Party Name:-",'R.M Billets Reports'!D721)),TRIM('R.M Billets Reports'!F721),IF(ISNUMBER(SEARCH("Party Name-",'R.M Billets Reports'!D721)),TRIM(MID('R.M Billets Reports'!D721,SEARCH("-",'R.M Billets Reports'!D721)+1,200)),""))&lt;&gt;"",IF(ISNUMBER(SEARCH("Party Name:-",'R.M Billets Reports'!D721)),TRIM('R.M Billets Reports'!F721),IF(ISNUMBER(SEARCH("Party Name-",'R.M Billets Reports'!D721)),TRIM(MID('R.M Billets Reports'!D721,SEARCH("-",'R.M Billets Reports'!D721)+1,200)),"")),IF(ISNUMBER(SEARCH("Party Name:-",'R.M Billets Reports'!D722)),TRIM('R.M Billets Reports'!F722),IF(ISNUMBER(SEARCH("Party Name-",'R.M Billets Reports'!D722)),TRIM(MID('R.M Billets Reports'!D722,SEARCH("-",'R.M Billets Reports'!D722)+1,200)),"")))="SHREE RADHE SHAKTI SPONGE AND POWER PVT. LTD.","SHREE RADHE",IF(IF(ISNUMBER(SEARCH("Party Name:-",'R.M Billets Reports'!D721)),TRIM('R.M Billets Reports'!F721),IF(ISNUMBER(SEARCH("Party Name-",'R.M Billets Reports'!D721)),TRIM(MID('R.M Billets Reports'!D721,SEARCH("-",'R.M Billets Reports'!D721)+1,200)),""))&lt;&gt;"",IF(ISNUMBER(SEARCH("Party Name:-",'R.M Billets Reports'!D721)),TRIM('R.M Billets Reports'!F721),IF(ISNUMBER(SEARCH("Party Name-",'R.M Billets Reports'!D721)),TRIM(MID('R.M Billets Reports'!D721,SEARCH("-",'R.M Billets Reports'!D721)+1,200)),"")),IF(ISNUMBER(SEARCH("Party Name:-",'R.M Billets Reports'!D722)),TRIM('R.M Billets Reports'!F722),IF(ISNUMBER(SEARCH("Party Name-",'R.M Billets Reports'!D722)),TRIM(MID('R.M Billets Reports'!D722,SEARCH("-",'R.M Billets Reports'!D722)+1,200)),"")))))),IF(ROW()=2,"",A721))</f>
      </c>
      <c r="B722">
        <f>IF(OR('R.M Billets Reports'!A721="Date-",'R.M Billets Reports'!A721="Date:-"),'R.M Billets Reports'!B721,IF(ROW()=2,"",B721))</f>
      </c>
      <c r="C722">
        <f>IF('R.M Billets Reports'!A721="V.No.",'R.M Billets Reports'!B721,IF(ROW()=2,"",C721))</f>
      </c>
      <c r="D722">
        <f>IF('R.M Billets Reports'!A721&lt;&gt;"",'R.M Billets Reports'!A721,IF(ROW()=2,"",D721))</f>
      </c>
      <c r="E722">
        <f>IF('R.M Billets Reports'!B721="","",TRIM('R.M Billets Reports'!B721))</f>
      </c>
      <c r="F722">
        <f>'R.M Billets Reports'!C721</f>
      </c>
      <c r="G722">
        <f>'R.M Billets Reports'!D721</f>
      </c>
      <c r="H722">
        <f>'R.M Billets Reports'!E721</f>
      </c>
      <c r="I722">
        <f>'R.M Billets Reports'!F721</f>
      </c>
      <c r="J722">
        <f>'R.M Billets Reports'!G721</f>
      </c>
      <c r="K722">
        <f>'R.M Billets Reports'!H721</f>
      </c>
      <c r="L722">
        <f>IF('R.M Billets Reports'!I721="","",'R.M Billets Reports'!I721)</f>
      </c>
      <c r="M722">
        <f t="shared" si="22"/>
      </c>
      <c r="N722">
        <f>IF('R.M Billets Reports'!J721="","",'R.M Billets Reports'!J721)</f>
      </c>
      <c r="O722">
        <f t="shared" si="23"/>
      </c>
      <c r="P722">
        <f>IF('R.M Billets Reports'!A721="SIZE",'R.M Billets Reports'!B721,P721)</f>
      </c>
    </row>
    <row r="723" spans="1:16" x14ac:dyDescent="0.25">
      <c r="A723">
        <f>IF(OR('R.M Billets Reports'!A722="Date-",'R.M Billets Reports'!A722="Date:-"),IF(IF(IF(ISNUMBER(SEARCH("Party Name:-",'R.M Billets Reports'!D722)),TRIM('R.M Billets Reports'!F722),IF(ISNUMBER(SEARCH("Party Name-",'R.M Billets Reports'!D722)),TRIM(MID('R.M Billets Reports'!D722,SEARCH("-",'R.M Billets Reports'!D722)+1,200)),""))&lt;&gt;"",IF(ISNUMBER(SEARCH("Party Name:-",'R.M Billets Reports'!D722)),TRIM('R.M Billets Reports'!F722),IF(ISNUMBER(SEARCH("Party Name-",'R.M Billets Reports'!D722)),TRIM(MID('R.M Billets Reports'!D722,SEARCH("-",'R.M Billets Reports'!D722)+1,200)),"")),IF(ISNUMBER(SEARCH("Party Name:-",'R.M Billets Reports'!D723)),TRIM('R.M Billets Reports'!F723),IF(ISNUMBER(SEARCH("Party Name-",'R.M Billets Reports'!D723)),TRIM(MID('R.M Billets Reports'!D723,SEARCH("-",'R.M Billets Reports'!D723)+1,200)),"")))="VRKP ISPAT PVT LTD","VRKP",IF(IF(IF(ISNUMBER(SEARCH("Party Name:-",'R.M Billets Reports'!D722)),TRIM('R.M Billets Reports'!F722),IF(ISNUMBER(SEARCH("Party Name-",'R.M Billets Reports'!D722)),TRIM(MID('R.M Billets Reports'!D722,SEARCH("-",'R.M Billets Reports'!D722)+1,200)),""))&lt;&gt;"",IF(ISNUMBER(SEARCH("Party Name:-",'R.M Billets Reports'!D722)),TRIM('R.M Billets Reports'!F722),IF(ISNUMBER(SEARCH("Party Name-",'R.M Billets Reports'!D722)),TRIM(MID('R.M Billets Reports'!D722,SEARCH("-",'R.M Billets Reports'!D722)+1,200)),"")),IF(ISNUMBER(SEARCH("Party Name:-",'R.M Billets Reports'!D723)),TRIM('R.M Billets Reports'!F723),IF(ISNUMBER(SEARCH("Party Name-",'R.M Billets Reports'!D723)),TRIM(MID('R.M Billets Reports'!D723,SEARCH("-",'R.M Billets Reports'!D723)+1,200)),"")))="SHRI RADHE","SHREE RADHE",IF(IF(IF(ISNUMBER(SEARCH("Party Name:-",'R.M Billets Reports'!D722)),TRIM('R.M Billets Reports'!F722),IF(ISNUMBER(SEARCH("Party Name-",'R.M Billets Reports'!D722)),TRIM(MID('R.M Billets Reports'!D722,SEARCH("-",'R.M Billets Reports'!D722)+1,200)),""))&lt;&gt;"",IF(ISNUMBER(SEARCH("Party Name:-",'R.M Billets Reports'!D722)),TRIM('R.M Billets Reports'!F722),IF(ISNUMBER(SEARCH("Party Name-",'R.M Billets Reports'!D722)),TRIM(MID('R.M Billets Reports'!D722,SEARCH("-",'R.M Billets Reports'!D722)+1,200)),"")),IF(ISNUMBER(SEARCH("Party Name:-",'R.M Billets Reports'!D723)),TRIM('R.M Billets Reports'!F723),IF(ISNUMBER(SEARCH("Party Name-",'R.M Billets Reports'!D723)),TRIM(MID('R.M Billets Reports'!D723,SEARCH("-",'R.M Billets Reports'!D723)+1,200)),"")))="SHREE RADHE SHAKTI SPONGE AND POWER PVT. LTD.","SHREE RADHE",IF(IF(ISNUMBER(SEARCH("Party Name:-",'R.M Billets Reports'!D722)),TRIM('R.M Billets Reports'!F722),IF(ISNUMBER(SEARCH("Party Name-",'R.M Billets Reports'!D722)),TRIM(MID('R.M Billets Reports'!D722,SEARCH("-",'R.M Billets Reports'!D722)+1,200)),""))&lt;&gt;"",IF(ISNUMBER(SEARCH("Party Name:-",'R.M Billets Reports'!D722)),TRIM('R.M Billets Reports'!F722),IF(ISNUMBER(SEARCH("Party Name-",'R.M Billets Reports'!D722)),TRIM(MID('R.M Billets Reports'!D722,SEARCH("-",'R.M Billets Reports'!D722)+1,200)),"")),IF(ISNUMBER(SEARCH("Party Name:-",'R.M Billets Reports'!D723)),TRIM('R.M Billets Reports'!F723),IF(ISNUMBER(SEARCH("Party Name-",'R.M Billets Reports'!D723)),TRIM(MID('R.M Billets Reports'!D723,SEARCH("-",'R.M Billets Reports'!D723)+1,200)),"")))))),IF(ROW()=2,"",A722))</f>
      </c>
      <c r="B723">
        <f>IF(OR('R.M Billets Reports'!A722="Date-",'R.M Billets Reports'!A722="Date:-"),'R.M Billets Reports'!B722,IF(ROW()=2,"",B722))</f>
      </c>
      <c r="C723">
        <f>IF('R.M Billets Reports'!A722="V.No.",'R.M Billets Reports'!B722,IF(ROW()=2,"",C722))</f>
      </c>
      <c r="D723">
        <f>IF('R.M Billets Reports'!A722&lt;&gt;"",'R.M Billets Reports'!A722,IF(ROW()=2,"",D722))</f>
      </c>
      <c r="E723">
        <f>IF('R.M Billets Reports'!B722="","",TRIM('R.M Billets Reports'!B722))</f>
      </c>
      <c r="F723">
        <f>'R.M Billets Reports'!C722</f>
      </c>
      <c r="G723">
        <f>'R.M Billets Reports'!D722</f>
      </c>
      <c r="H723">
        <f>'R.M Billets Reports'!E722</f>
      </c>
      <c r="I723">
        <f>'R.M Billets Reports'!F722</f>
      </c>
      <c r="J723">
        <f>'R.M Billets Reports'!G722</f>
      </c>
      <c r="K723">
        <f>'R.M Billets Reports'!H722</f>
      </c>
      <c r="L723">
        <f>IF('R.M Billets Reports'!I722="","",'R.M Billets Reports'!I722)</f>
      </c>
      <c r="M723">
        <f t="shared" si="22"/>
      </c>
      <c r="N723">
        <f>IF('R.M Billets Reports'!J722="","",'R.M Billets Reports'!J722)</f>
      </c>
      <c r="O723">
        <f t="shared" si="23"/>
      </c>
      <c r="P723">
        <f>IF('R.M Billets Reports'!A722="SIZE",'R.M Billets Reports'!B722,P722)</f>
      </c>
    </row>
    <row r="724" spans="1:16" x14ac:dyDescent="0.25">
      <c r="A724">
        <f>IF(OR('R.M Billets Reports'!A723="Date-",'R.M Billets Reports'!A723="Date:-"),IF(IF(IF(ISNUMBER(SEARCH("Party Name:-",'R.M Billets Reports'!D723)),TRIM('R.M Billets Reports'!F723),IF(ISNUMBER(SEARCH("Party Name-",'R.M Billets Reports'!D723)),TRIM(MID('R.M Billets Reports'!D723,SEARCH("-",'R.M Billets Reports'!D723)+1,200)),""))&lt;&gt;"",IF(ISNUMBER(SEARCH("Party Name:-",'R.M Billets Reports'!D723)),TRIM('R.M Billets Reports'!F723),IF(ISNUMBER(SEARCH("Party Name-",'R.M Billets Reports'!D723)),TRIM(MID('R.M Billets Reports'!D723,SEARCH("-",'R.M Billets Reports'!D723)+1,200)),"")),IF(ISNUMBER(SEARCH("Party Name:-",'R.M Billets Reports'!D724)),TRIM('R.M Billets Reports'!F724),IF(ISNUMBER(SEARCH("Party Name-",'R.M Billets Reports'!D724)),TRIM(MID('R.M Billets Reports'!D724,SEARCH("-",'R.M Billets Reports'!D724)+1,200)),"")))="VRKP ISPAT PVT LTD","VRKP",IF(IF(IF(ISNUMBER(SEARCH("Party Name:-",'R.M Billets Reports'!D723)),TRIM('R.M Billets Reports'!F723),IF(ISNUMBER(SEARCH("Party Name-",'R.M Billets Reports'!D723)),TRIM(MID('R.M Billets Reports'!D723,SEARCH("-",'R.M Billets Reports'!D723)+1,200)),""))&lt;&gt;"",IF(ISNUMBER(SEARCH("Party Name:-",'R.M Billets Reports'!D723)),TRIM('R.M Billets Reports'!F723),IF(ISNUMBER(SEARCH("Party Name-",'R.M Billets Reports'!D723)),TRIM(MID('R.M Billets Reports'!D723,SEARCH("-",'R.M Billets Reports'!D723)+1,200)),"")),IF(ISNUMBER(SEARCH("Party Name:-",'R.M Billets Reports'!D724)),TRIM('R.M Billets Reports'!F724),IF(ISNUMBER(SEARCH("Party Name-",'R.M Billets Reports'!D724)),TRIM(MID('R.M Billets Reports'!D724,SEARCH("-",'R.M Billets Reports'!D724)+1,200)),"")))="SHRI RADHE","SHREE RADHE",IF(IF(IF(ISNUMBER(SEARCH("Party Name:-",'R.M Billets Reports'!D723)),TRIM('R.M Billets Reports'!F723),IF(ISNUMBER(SEARCH("Party Name-",'R.M Billets Reports'!D723)),TRIM(MID('R.M Billets Reports'!D723,SEARCH("-",'R.M Billets Reports'!D723)+1,200)),""))&lt;&gt;"",IF(ISNUMBER(SEARCH("Party Name:-",'R.M Billets Reports'!D723)),TRIM('R.M Billets Reports'!F723),IF(ISNUMBER(SEARCH("Party Name-",'R.M Billets Reports'!D723)),TRIM(MID('R.M Billets Reports'!D723,SEARCH("-",'R.M Billets Reports'!D723)+1,200)),"")),IF(ISNUMBER(SEARCH("Party Name:-",'R.M Billets Reports'!D724)),TRIM('R.M Billets Reports'!F724),IF(ISNUMBER(SEARCH("Party Name-",'R.M Billets Reports'!D724)),TRIM(MID('R.M Billets Reports'!D724,SEARCH("-",'R.M Billets Reports'!D724)+1,200)),"")))="SHREE RADHE SHAKTI SPONGE AND POWER PVT. LTD.","SHREE RADHE",IF(IF(ISNUMBER(SEARCH("Party Name:-",'R.M Billets Reports'!D723)),TRIM('R.M Billets Reports'!F723),IF(ISNUMBER(SEARCH("Party Name-",'R.M Billets Reports'!D723)),TRIM(MID('R.M Billets Reports'!D723,SEARCH("-",'R.M Billets Reports'!D723)+1,200)),""))&lt;&gt;"",IF(ISNUMBER(SEARCH("Party Name:-",'R.M Billets Reports'!D723)),TRIM('R.M Billets Reports'!F723),IF(ISNUMBER(SEARCH("Party Name-",'R.M Billets Reports'!D723)),TRIM(MID('R.M Billets Reports'!D723,SEARCH("-",'R.M Billets Reports'!D723)+1,200)),"")),IF(ISNUMBER(SEARCH("Party Name:-",'R.M Billets Reports'!D724)),TRIM('R.M Billets Reports'!F724),IF(ISNUMBER(SEARCH("Party Name-",'R.M Billets Reports'!D724)),TRIM(MID('R.M Billets Reports'!D724,SEARCH("-",'R.M Billets Reports'!D724)+1,200)),"")))))),IF(ROW()=2,"",A723))</f>
      </c>
      <c r="B724">
        <f>IF(OR('R.M Billets Reports'!A723="Date-",'R.M Billets Reports'!A723="Date:-"),'R.M Billets Reports'!B723,IF(ROW()=2,"",B723))</f>
      </c>
      <c r="C724">
        <f>IF('R.M Billets Reports'!A723="V.No.",'R.M Billets Reports'!B723,IF(ROW()=2,"",C723))</f>
      </c>
      <c r="D724">
        <f>IF('R.M Billets Reports'!A723&lt;&gt;"",'R.M Billets Reports'!A723,IF(ROW()=2,"",D723))</f>
      </c>
      <c r="E724">
        <f>IF('R.M Billets Reports'!B723="","",TRIM('R.M Billets Reports'!B723))</f>
      </c>
      <c r="F724">
        <f>'R.M Billets Reports'!C723</f>
      </c>
      <c r="G724">
        <f>'R.M Billets Reports'!D723</f>
      </c>
      <c r="H724">
        <f>'R.M Billets Reports'!E723</f>
      </c>
      <c r="I724">
        <f>'R.M Billets Reports'!F723</f>
      </c>
      <c r="J724">
        <f>'R.M Billets Reports'!G723</f>
      </c>
      <c r="K724">
        <f>'R.M Billets Reports'!H723</f>
      </c>
      <c r="L724">
        <f>IF('R.M Billets Reports'!I723="","",'R.M Billets Reports'!I723)</f>
      </c>
      <c r="M724">
        <f t="shared" si="22"/>
      </c>
      <c r="N724">
        <f>IF('R.M Billets Reports'!J723="","",'R.M Billets Reports'!J723)</f>
      </c>
      <c r="O724">
        <f t="shared" si="23"/>
      </c>
      <c r="P724">
        <f>IF('R.M Billets Reports'!A723="SIZE",'R.M Billets Reports'!B723,P723)</f>
      </c>
    </row>
    <row r="725" spans="1:16" x14ac:dyDescent="0.25">
      <c r="A725">
        <f>IF(OR('R.M Billets Reports'!A724="Date-",'R.M Billets Reports'!A724="Date:-"),IF(IF(IF(ISNUMBER(SEARCH("Party Name:-",'R.M Billets Reports'!D724)),TRIM('R.M Billets Reports'!F724),IF(ISNUMBER(SEARCH("Party Name-",'R.M Billets Reports'!D724)),TRIM(MID('R.M Billets Reports'!D724,SEARCH("-",'R.M Billets Reports'!D724)+1,200)),""))&lt;&gt;"",IF(ISNUMBER(SEARCH("Party Name:-",'R.M Billets Reports'!D724)),TRIM('R.M Billets Reports'!F724),IF(ISNUMBER(SEARCH("Party Name-",'R.M Billets Reports'!D724)),TRIM(MID('R.M Billets Reports'!D724,SEARCH("-",'R.M Billets Reports'!D724)+1,200)),"")),IF(ISNUMBER(SEARCH("Party Name:-",'R.M Billets Reports'!D725)),TRIM('R.M Billets Reports'!F725),IF(ISNUMBER(SEARCH("Party Name-",'R.M Billets Reports'!D725)),TRIM(MID('R.M Billets Reports'!D725,SEARCH("-",'R.M Billets Reports'!D725)+1,200)),"")))="VRKP ISPAT PVT LTD","VRKP",IF(IF(IF(ISNUMBER(SEARCH("Party Name:-",'R.M Billets Reports'!D724)),TRIM('R.M Billets Reports'!F724),IF(ISNUMBER(SEARCH("Party Name-",'R.M Billets Reports'!D724)),TRIM(MID('R.M Billets Reports'!D724,SEARCH("-",'R.M Billets Reports'!D724)+1,200)),""))&lt;&gt;"",IF(ISNUMBER(SEARCH("Party Name:-",'R.M Billets Reports'!D724)),TRIM('R.M Billets Reports'!F724),IF(ISNUMBER(SEARCH("Party Name-",'R.M Billets Reports'!D724)),TRIM(MID('R.M Billets Reports'!D724,SEARCH("-",'R.M Billets Reports'!D724)+1,200)),"")),IF(ISNUMBER(SEARCH("Party Name:-",'R.M Billets Reports'!D725)),TRIM('R.M Billets Reports'!F725),IF(ISNUMBER(SEARCH("Party Name-",'R.M Billets Reports'!D725)),TRIM(MID('R.M Billets Reports'!D725,SEARCH("-",'R.M Billets Reports'!D725)+1,200)),"")))="SHRI RADHE","SHREE RADHE",IF(IF(IF(ISNUMBER(SEARCH("Party Name:-",'R.M Billets Reports'!D724)),TRIM('R.M Billets Reports'!F724),IF(ISNUMBER(SEARCH("Party Name-",'R.M Billets Reports'!D724)),TRIM(MID('R.M Billets Reports'!D724,SEARCH("-",'R.M Billets Reports'!D724)+1,200)),""))&lt;&gt;"",IF(ISNUMBER(SEARCH("Party Name:-",'R.M Billets Reports'!D724)),TRIM('R.M Billets Reports'!F724),IF(ISNUMBER(SEARCH("Party Name-",'R.M Billets Reports'!D724)),TRIM(MID('R.M Billets Reports'!D724,SEARCH("-",'R.M Billets Reports'!D724)+1,200)),"")),IF(ISNUMBER(SEARCH("Party Name:-",'R.M Billets Reports'!D725)),TRIM('R.M Billets Reports'!F725),IF(ISNUMBER(SEARCH("Party Name-",'R.M Billets Reports'!D725)),TRIM(MID('R.M Billets Reports'!D725,SEARCH("-",'R.M Billets Reports'!D725)+1,200)),"")))="SHREE RADHE SHAKTI SPONGE AND POWER PVT. LTD.","SHREE RADHE",IF(IF(ISNUMBER(SEARCH("Party Name:-",'R.M Billets Reports'!D724)),TRIM('R.M Billets Reports'!F724),IF(ISNUMBER(SEARCH("Party Name-",'R.M Billets Reports'!D724)),TRIM(MID('R.M Billets Reports'!D724,SEARCH("-",'R.M Billets Reports'!D724)+1,200)),""))&lt;&gt;"",IF(ISNUMBER(SEARCH("Party Name:-",'R.M Billets Reports'!D724)),TRIM('R.M Billets Reports'!F724),IF(ISNUMBER(SEARCH("Party Name-",'R.M Billets Reports'!D724)),TRIM(MID('R.M Billets Reports'!D724,SEARCH("-",'R.M Billets Reports'!D724)+1,200)),"")),IF(ISNUMBER(SEARCH("Party Name:-",'R.M Billets Reports'!D725)),TRIM('R.M Billets Reports'!F725),IF(ISNUMBER(SEARCH("Party Name-",'R.M Billets Reports'!D725)),TRIM(MID('R.M Billets Reports'!D725,SEARCH("-",'R.M Billets Reports'!D725)+1,200)),"")))))),IF(ROW()=2,"",A724))</f>
      </c>
      <c r="B725">
        <f>IF(OR('R.M Billets Reports'!A724="Date-",'R.M Billets Reports'!A724="Date:-"),'R.M Billets Reports'!B724,IF(ROW()=2,"",B724))</f>
      </c>
      <c r="C725">
        <f>IF('R.M Billets Reports'!A724="V.No.",'R.M Billets Reports'!B724,IF(ROW()=2,"",C724))</f>
      </c>
      <c r="D725">
        <f>IF('R.M Billets Reports'!A724&lt;&gt;"",'R.M Billets Reports'!A724,IF(ROW()=2,"",D724))</f>
      </c>
      <c r="E725">
        <f>IF('R.M Billets Reports'!B724="","",TRIM('R.M Billets Reports'!B724))</f>
      </c>
      <c r="F725">
        <f>'R.M Billets Reports'!C724</f>
      </c>
      <c r="G725">
        <f>'R.M Billets Reports'!D724</f>
      </c>
      <c r="H725">
        <f>'R.M Billets Reports'!E724</f>
      </c>
      <c r="I725">
        <f>'R.M Billets Reports'!F724</f>
      </c>
      <c r="J725">
        <f>'R.M Billets Reports'!G724</f>
      </c>
      <c r="K725">
        <f>'R.M Billets Reports'!H724</f>
      </c>
      <c r="L725">
        <f>IF('R.M Billets Reports'!I724="","",'R.M Billets Reports'!I724)</f>
      </c>
      <c r="M725">
        <f t="shared" si="22"/>
      </c>
      <c r="N725">
        <f>IF('R.M Billets Reports'!J724="","",'R.M Billets Reports'!J724)</f>
      </c>
      <c r="O725">
        <f t="shared" si="23"/>
      </c>
      <c r="P725">
        <f>IF('R.M Billets Reports'!A724="SIZE",'R.M Billets Reports'!B724,P724)</f>
      </c>
    </row>
    <row r="726" spans="1:16" x14ac:dyDescent="0.25">
      <c r="A726">
        <f>IF(OR('R.M Billets Reports'!A725="Date-",'R.M Billets Reports'!A725="Date:-"),IF(IF(IF(ISNUMBER(SEARCH("Party Name:-",'R.M Billets Reports'!D725)),TRIM('R.M Billets Reports'!F725),IF(ISNUMBER(SEARCH("Party Name-",'R.M Billets Reports'!D725)),TRIM(MID('R.M Billets Reports'!D725,SEARCH("-",'R.M Billets Reports'!D725)+1,200)),""))&lt;&gt;"",IF(ISNUMBER(SEARCH("Party Name:-",'R.M Billets Reports'!D725)),TRIM('R.M Billets Reports'!F725),IF(ISNUMBER(SEARCH("Party Name-",'R.M Billets Reports'!D725)),TRIM(MID('R.M Billets Reports'!D725,SEARCH("-",'R.M Billets Reports'!D725)+1,200)),"")),IF(ISNUMBER(SEARCH("Party Name:-",'R.M Billets Reports'!D726)),TRIM('R.M Billets Reports'!F726),IF(ISNUMBER(SEARCH("Party Name-",'R.M Billets Reports'!D726)),TRIM(MID('R.M Billets Reports'!D726,SEARCH("-",'R.M Billets Reports'!D726)+1,200)),"")))="VRKP ISPAT PVT LTD","VRKP",IF(IF(IF(ISNUMBER(SEARCH("Party Name:-",'R.M Billets Reports'!D725)),TRIM('R.M Billets Reports'!F725),IF(ISNUMBER(SEARCH("Party Name-",'R.M Billets Reports'!D725)),TRIM(MID('R.M Billets Reports'!D725,SEARCH("-",'R.M Billets Reports'!D725)+1,200)),""))&lt;&gt;"",IF(ISNUMBER(SEARCH("Party Name:-",'R.M Billets Reports'!D725)),TRIM('R.M Billets Reports'!F725),IF(ISNUMBER(SEARCH("Party Name-",'R.M Billets Reports'!D725)),TRIM(MID('R.M Billets Reports'!D725,SEARCH("-",'R.M Billets Reports'!D725)+1,200)),"")),IF(ISNUMBER(SEARCH("Party Name:-",'R.M Billets Reports'!D726)),TRIM('R.M Billets Reports'!F726),IF(ISNUMBER(SEARCH("Party Name-",'R.M Billets Reports'!D726)),TRIM(MID('R.M Billets Reports'!D726,SEARCH("-",'R.M Billets Reports'!D726)+1,200)),"")))="SHRI RADHE","SHREE RADHE",IF(IF(IF(ISNUMBER(SEARCH("Party Name:-",'R.M Billets Reports'!D725)),TRIM('R.M Billets Reports'!F725),IF(ISNUMBER(SEARCH("Party Name-",'R.M Billets Reports'!D725)),TRIM(MID('R.M Billets Reports'!D725,SEARCH("-",'R.M Billets Reports'!D725)+1,200)),""))&lt;&gt;"",IF(ISNUMBER(SEARCH("Party Name:-",'R.M Billets Reports'!D725)),TRIM('R.M Billets Reports'!F725),IF(ISNUMBER(SEARCH("Party Name-",'R.M Billets Reports'!D725)),TRIM(MID('R.M Billets Reports'!D725,SEARCH("-",'R.M Billets Reports'!D725)+1,200)),"")),IF(ISNUMBER(SEARCH("Party Name:-",'R.M Billets Reports'!D726)),TRIM('R.M Billets Reports'!F726),IF(ISNUMBER(SEARCH("Party Name-",'R.M Billets Reports'!D726)),TRIM(MID('R.M Billets Reports'!D726,SEARCH("-",'R.M Billets Reports'!D726)+1,200)),"")))="SHREE RADHE SHAKTI SPONGE AND POWER PVT. LTD.","SHREE RADHE",IF(IF(ISNUMBER(SEARCH("Party Name:-",'R.M Billets Reports'!D725)),TRIM('R.M Billets Reports'!F725),IF(ISNUMBER(SEARCH("Party Name-",'R.M Billets Reports'!D725)),TRIM(MID('R.M Billets Reports'!D725,SEARCH("-",'R.M Billets Reports'!D725)+1,200)),""))&lt;&gt;"",IF(ISNUMBER(SEARCH("Party Name:-",'R.M Billets Reports'!D725)),TRIM('R.M Billets Reports'!F725),IF(ISNUMBER(SEARCH("Party Name-",'R.M Billets Reports'!D725)),TRIM(MID('R.M Billets Reports'!D725,SEARCH("-",'R.M Billets Reports'!D725)+1,200)),"")),IF(ISNUMBER(SEARCH("Party Name:-",'R.M Billets Reports'!D726)),TRIM('R.M Billets Reports'!F726),IF(ISNUMBER(SEARCH("Party Name-",'R.M Billets Reports'!D726)),TRIM(MID('R.M Billets Reports'!D726,SEARCH("-",'R.M Billets Reports'!D726)+1,200)),"")))))),IF(ROW()=2,"",A725))</f>
      </c>
      <c r="B726">
        <f>IF(OR('R.M Billets Reports'!A725="Date-",'R.M Billets Reports'!A725="Date:-"),'R.M Billets Reports'!B725,IF(ROW()=2,"",B725))</f>
      </c>
      <c r="C726">
        <f>IF('R.M Billets Reports'!A725="V.No.",'R.M Billets Reports'!B725,IF(ROW()=2,"",C725))</f>
      </c>
      <c r="D726">
        <f>IF('R.M Billets Reports'!A725&lt;&gt;"",'R.M Billets Reports'!A725,IF(ROW()=2,"",D725))</f>
      </c>
      <c r="E726">
        <f>IF('R.M Billets Reports'!B725="","",TRIM('R.M Billets Reports'!B725))</f>
      </c>
      <c r="F726">
        <f>'R.M Billets Reports'!C725</f>
      </c>
      <c r="G726">
        <f>'R.M Billets Reports'!D725</f>
      </c>
      <c r="H726">
        <f>'R.M Billets Reports'!E725</f>
      </c>
      <c r="I726">
        <f>'R.M Billets Reports'!F725</f>
      </c>
      <c r="J726">
        <f>'R.M Billets Reports'!G725</f>
      </c>
      <c r="K726">
        <f>'R.M Billets Reports'!H725</f>
      </c>
      <c r="L726">
        <f>IF('R.M Billets Reports'!I725="","",'R.M Billets Reports'!I725)</f>
      </c>
      <c r="M726">
        <f t="shared" si="22"/>
      </c>
      <c r="N726">
        <f>IF('R.M Billets Reports'!J725="","",'R.M Billets Reports'!J725)</f>
      </c>
      <c r="O726">
        <f t="shared" si="23"/>
      </c>
      <c r="P726">
        <f>IF('R.M Billets Reports'!A725="SIZE",'R.M Billets Reports'!B725,P725)</f>
      </c>
    </row>
    <row r="727" spans="1:16" x14ac:dyDescent="0.25">
      <c r="A727">
        <f>IF(OR('R.M Billets Reports'!A726="Date-",'R.M Billets Reports'!A726="Date:-"),IF(IF(IF(ISNUMBER(SEARCH("Party Name:-",'R.M Billets Reports'!D726)),TRIM('R.M Billets Reports'!F726),IF(ISNUMBER(SEARCH("Party Name-",'R.M Billets Reports'!D726)),TRIM(MID('R.M Billets Reports'!D726,SEARCH("-",'R.M Billets Reports'!D726)+1,200)),""))&lt;&gt;"",IF(ISNUMBER(SEARCH("Party Name:-",'R.M Billets Reports'!D726)),TRIM('R.M Billets Reports'!F726),IF(ISNUMBER(SEARCH("Party Name-",'R.M Billets Reports'!D726)),TRIM(MID('R.M Billets Reports'!D726,SEARCH("-",'R.M Billets Reports'!D726)+1,200)),"")),IF(ISNUMBER(SEARCH("Party Name:-",'R.M Billets Reports'!D727)),TRIM('R.M Billets Reports'!F727),IF(ISNUMBER(SEARCH("Party Name-",'R.M Billets Reports'!D727)),TRIM(MID('R.M Billets Reports'!D727,SEARCH("-",'R.M Billets Reports'!D727)+1,200)),"")))="VRKP ISPAT PVT LTD","VRKP",IF(IF(IF(ISNUMBER(SEARCH("Party Name:-",'R.M Billets Reports'!D726)),TRIM('R.M Billets Reports'!F726),IF(ISNUMBER(SEARCH("Party Name-",'R.M Billets Reports'!D726)),TRIM(MID('R.M Billets Reports'!D726,SEARCH("-",'R.M Billets Reports'!D726)+1,200)),""))&lt;&gt;"",IF(ISNUMBER(SEARCH("Party Name:-",'R.M Billets Reports'!D726)),TRIM('R.M Billets Reports'!F726),IF(ISNUMBER(SEARCH("Party Name-",'R.M Billets Reports'!D726)),TRIM(MID('R.M Billets Reports'!D726,SEARCH("-",'R.M Billets Reports'!D726)+1,200)),"")),IF(ISNUMBER(SEARCH("Party Name:-",'R.M Billets Reports'!D727)),TRIM('R.M Billets Reports'!F727),IF(ISNUMBER(SEARCH("Party Name-",'R.M Billets Reports'!D727)),TRIM(MID('R.M Billets Reports'!D727,SEARCH("-",'R.M Billets Reports'!D727)+1,200)),"")))="SHRI RADHE","SHREE RADHE",IF(IF(IF(ISNUMBER(SEARCH("Party Name:-",'R.M Billets Reports'!D726)),TRIM('R.M Billets Reports'!F726),IF(ISNUMBER(SEARCH("Party Name-",'R.M Billets Reports'!D726)),TRIM(MID('R.M Billets Reports'!D726,SEARCH("-",'R.M Billets Reports'!D726)+1,200)),""))&lt;&gt;"",IF(ISNUMBER(SEARCH("Party Name:-",'R.M Billets Reports'!D726)),TRIM('R.M Billets Reports'!F726),IF(ISNUMBER(SEARCH("Party Name-",'R.M Billets Reports'!D726)),TRIM(MID('R.M Billets Reports'!D726,SEARCH("-",'R.M Billets Reports'!D726)+1,200)),"")),IF(ISNUMBER(SEARCH("Party Name:-",'R.M Billets Reports'!D727)),TRIM('R.M Billets Reports'!F727),IF(ISNUMBER(SEARCH("Party Name-",'R.M Billets Reports'!D727)),TRIM(MID('R.M Billets Reports'!D727,SEARCH("-",'R.M Billets Reports'!D727)+1,200)),"")))="SHREE RADHE SHAKTI SPONGE AND POWER PVT. LTD.","SHREE RADHE",IF(IF(ISNUMBER(SEARCH("Party Name:-",'R.M Billets Reports'!D726)),TRIM('R.M Billets Reports'!F726),IF(ISNUMBER(SEARCH("Party Name-",'R.M Billets Reports'!D726)),TRIM(MID('R.M Billets Reports'!D726,SEARCH("-",'R.M Billets Reports'!D726)+1,200)),""))&lt;&gt;"",IF(ISNUMBER(SEARCH("Party Name:-",'R.M Billets Reports'!D726)),TRIM('R.M Billets Reports'!F726),IF(ISNUMBER(SEARCH("Party Name-",'R.M Billets Reports'!D726)),TRIM(MID('R.M Billets Reports'!D726,SEARCH("-",'R.M Billets Reports'!D726)+1,200)),"")),IF(ISNUMBER(SEARCH("Party Name:-",'R.M Billets Reports'!D727)),TRIM('R.M Billets Reports'!F727),IF(ISNUMBER(SEARCH("Party Name-",'R.M Billets Reports'!D727)),TRIM(MID('R.M Billets Reports'!D727,SEARCH("-",'R.M Billets Reports'!D727)+1,200)),"")))))),IF(ROW()=2,"",A726))</f>
      </c>
      <c r="B727">
        <f>IF(OR('R.M Billets Reports'!A726="Date-",'R.M Billets Reports'!A726="Date:-"),'R.M Billets Reports'!B726,IF(ROW()=2,"",B726))</f>
      </c>
      <c r="C727">
        <f>IF('R.M Billets Reports'!A726="V.No.",'R.M Billets Reports'!B726,IF(ROW()=2,"",C726))</f>
      </c>
      <c r="D727">
        <f>IF('R.M Billets Reports'!A726&lt;&gt;"",'R.M Billets Reports'!A726,IF(ROW()=2,"",D726))</f>
      </c>
      <c r="E727">
        <f>IF('R.M Billets Reports'!B726="","",TRIM('R.M Billets Reports'!B726))</f>
      </c>
      <c r="F727">
        <f>'R.M Billets Reports'!C726</f>
      </c>
      <c r="G727">
        <f>'R.M Billets Reports'!D726</f>
      </c>
      <c r="H727">
        <f>'R.M Billets Reports'!E726</f>
      </c>
      <c r="I727">
        <f>'R.M Billets Reports'!F726</f>
      </c>
      <c r="J727">
        <f>'R.M Billets Reports'!G726</f>
      </c>
      <c r="K727">
        <f>'R.M Billets Reports'!H726</f>
      </c>
      <c r="L727">
        <f>IF('R.M Billets Reports'!I726="","",'R.M Billets Reports'!I726)</f>
      </c>
      <c r="M727">
        <f t="shared" si="22"/>
      </c>
      <c r="N727">
        <f>IF('R.M Billets Reports'!J726="","",'R.M Billets Reports'!J726)</f>
      </c>
      <c r="O727">
        <f t="shared" si="23"/>
      </c>
      <c r="P727">
        <f>IF('R.M Billets Reports'!A726="SIZE",'R.M Billets Reports'!B726,P726)</f>
      </c>
    </row>
    <row r="728" spans="1:16" x14ac:dyDescent="0.25">
      <c r="A728">
        <f>IF(OR('R.M Billets Reports'!A727="Date-",'R.M Billets Reports'!A727="Date:-"),IF(IF(IF(ISNUMBER(SEARCH("Party Name:-",'R.M Billets Reports'!D727)),TRIM('R.M Billets Reports'!F727),IF(ISNUMBER(SEARCH("Party Name-",'R.M Billets Reports'!D727)),TRIM(MID('R.M Billets Reports'!D727,SEARCH("-",'R.M Billets Reports'!D727)+1,200)),""))&lt;&gt;"",IF(ISNUMBER(SEARCH("Party Name:-",'R.M Billets Reports'!D727)),TRIM('R.M Billets Reports'!F727),IF(ISNUMBER(SEARCH("Party Name-",'R.M Billets Reports'!D727)),TRIM(MID('R.M Billets Reports'!D727,SEARCH("-",'R.M Billets Reports'!D727)+1,200)),"")),IF(ISNUMBER(SEARCH("Party Name:-",'R.M Billets Reports'!D728)),TRIM('R.M Billets Reports'!F728),IF(ISNUMBER(SEARCH("Party Name-",'R.M Billets Reports'!D728)),TRIM(MID('R.M Billets Reports'!D728,SEARCH("-",'R.M Billets Reports'!D728)+1,200)),"")))="VRKP ISPAT PVT LTD","VRKP",IF(IF(IF(ISNUMBER(SEARCH("Party Name:-",'R.M Billets Reports'!D727)),TRIM('R.M Billets Reports'!F727),IF(ISNUMBER(SEARCH("Party Name-",'R.M Billets Reports'!D727)),TRIM(MID('R.M Billets Reports'!D727,SEARCH("-",'R.M Billets Reports'!D727)+1,200)),""))&lt;&gt;"",IF(ISNUMBER(SEARCH("Party Name:-",'R.M Billets Reports'!D727)),TRIM('R.M Billets Reports'!F727),IF(ISNUMBER(SEARCH("Party Name-",'R.M Billets Reports'!D727)),TRIM(MID('R.M Billets Reports'!D727,SEARCH("-",'R.M Billets Reports'!D727)+1,200)),"")),IF(ISNUMBER(SEARCH("Party Name:-",'R.M Billets Reports'!D728)),TRIM('R.M Billets Reports'!F728),IF(ISNUMBER(SEARCH("Party Name-",'R.M Billets Reports'!D728)),TRIM(MID('R.M Billets Reports'!D728,SEARCH("-",'R.M Billets Reports'!D728)+1,200)),"")))="SHRI RADHE","SHREE RADHE",IF(IF(IF(ISNUMBER(SEARCH("Party Name:-",'R.M Billets Reports'!D727)),TRIM('R.M Billets Reports'!F727),IF(ISNUMBER(SEARCH("Party Name-",'R.M Billets Reports'!D727)),TRIM(MID('R.M Billets Reports'!D727,SEARCH("-",'R.M Billets Reports'!D727)+1,200)),""))&lt;&gt;"",IF(ISNUMBER(SEARCH("Party Name:-",'R.M Billets Reports'!D727)),TRIM('R.M Billets Reports'!F727),IF(ISNUMBER(SEARCH("Party Name-",'R.M Billets Reports'!D727)),TRIM(MID('R.M Billets Reports'!D727,SEARCH("-",'R.M Billets Reports'!D727)+1,200)),"")),IF(ISNUMBER(SEARCH("Party Name:-",'R.M Billets Reports'!D728)),TRIM('R.M Billets Reports'!F728),IF(ISNUMBER(SEARCH("Party Name-",'R.M Billets Reports'!D728)),TRIM(MID('R.M Billets Reports'!D728,SEARCH("-",'R.M Billets Reports'!D728)+1,200)),"")))="SHREE RADHE SHAKTI SPONGE AND POWER PVT. LTD.","SHREE RADHE",IF(IF(ISNUMBER(SEARCH("Party Name:-",'R.M Billets Reports'!D727)),TRIM('R.M Billets Reports'!F727),IF(ISNUMBER(SEARCH("Party Name-",'R.M Billets Reports'!D727)),TRIM(MID('R.M Billets Reports'!D727,SEARCH("-",'R.M Billets Reports'!D727)+1,200)),""))&lt;&gt;"",IF(ISNUMBER(SEARCH("Party Name:-",'R.M Billets Reports'!D727)),TRIM('R.M Billets Reports'!F727),IF(ISNUMBER(SEARCH("Party Name-",'R.M Billets Reports'!D727)),TRIM(MID('R.M Billets Reports'!D727,SEARCH("-",'R.M Billets Reports'!D727)+1,200)),"")),IF(ISNUMBER(SEARCH("Party Name:-",'R.M Billets Reports'!D728)),TRIM('R.M Billets Reports'!F728),IF(ISNUMBER(SEARCH("Party Name-",'R.M Billets Reports'!D728)),TRIM(MID('R.M Billets Reports'!D728,SEARCH("-",'R.M Billets Reports'!D728)+1,200)),"")))))),IF(ROW()=2,"",A727))</f>
      </c>
      <c r="B728">
        <f>IF(OR('R.M Billets Reports'!A727="Date-",'R.M Billets Reports'!A727="Date:-"),'R.M Billets Reports'!B727,IF(ROW()=2,"",B727))</f>
      </c>
      <c r="C728">
        <f>IF('R.M Billets Reports'!A727="V.No.",'R.M Billets Reports'!B727,IF(ROW()=2,"",C727))</f>
      </c>
      <c r="D728">
        <f>IF('R.M Billets Reports'!A727&lt;&gt;"",'R.M Billets Reports'!A727,IF(ROW()=2,"",D727))</f>
      </c>
      <c r="E728">
        <f>IF('R.M Billets Reports'!B727="","",TRIM('R.M Billets Reports'!B727))</f>
      </c>
      <c r="F728">
        <f>'R.M Billets Reports'!C727</f>
      </c>
      <c r="G728">
        <f>'R.M Billets Reports'!D727</f>
      </c>
      <c r="H728">
        <f>'R.M Billets Reports'!E727</f>
      </c>
      <c r="I728">
        <f>'R.M Billets Reports'!F727</f>
      </c>
      <c r="J728">
        <f>'R.M Billets Reports'!G727</f>
      </c>
      <c r="K728">
        <f>'R.M Billets Reports'!H727</f>
      </c>
      <c r="L728">
        <f>IF('R.M Billets Reports'!I727="","",'R.M Billets Reports'!I727)</f>
      </c>
      <c r="M728">
        <f t="shared" si="22"/>
      </c>
      <c r="N728">
        <f>IF('R.M Billets Reports'!J727="","",'R.M Billets Reports'!J727)</f>
      </c>
      <c r="O728">
        <f t="shared" si="23"/>
      </c>
      <c r="P728">
        <f>IF('R.M Billets Reports'!A727="SIZE",'R.M Billets Reports'!B727,P727)</f>
      </c>
    </row>
    <row r="729" spans="1:16" x14ac:dyDescent="0.25">
      <c r="A729">
        <f>IF(OR('R.M Billets Reports'!A728="Date-",'R.M Billets Reports'!A728="Date:-"),IF(IF(IF(ISNUMBER(SEARCH("Party Name:-",'R.M Billets Reports'!D728)),TRIM('R.M Billets Reports'!F728),IF(ISNUMBER(SEARCH("Party Name-",'R.M Billets Reports'!D728)),TRIM(MID('R.M Billets Reports'!D728,SEARCH("-",'R.M Billets Reports'!D728)+1,200)),""))&lt;&gt;"",IF(ISNUMBER(SEARCH("Party Name:-",'R.M Billets Reports'!D728)),TRIM('R.M Billets Reports'!F728),IF(ISNUMBER(SEARCH("Party Name-",'R.M Billets Reports'!D728)),TRIM(MID('R.M Billets Reports'!D728,SEARCH("-",'R.M Billets Reports'!D728)+1,200)),"")),IF(ISNUMBER(SEARCH("Party Name:-",'R.M Billets Reports'!D729)),TRIM('R.M Billets Reports'!F729),IF(ISNUMBER(SEARCH("Party Name-",'R.M Billets Reports'!D729)),TRIM(MID('R.M Billets Reports'!D729,SEARCH("-",'R.M Billets Reports'!D729)+1,200)),"")))="VRKP ISPAT PVT LTD","VRKP",IF(IF(IF(ISNUMBER(SEARCH("Party Name:-",'R.M Billets Reports'!D728)),TRIM('R.M Billets Reports'!F728),IF(ISNUMBER(SEARCH("Party Name-",'R.M Billets Reports'!D728)),TRIM(MID('R.M Billets Reports'!D728,SEARCH("-",'R.M Billets Reports'!D728)+1,200)),""))&lt;&gt;"",IF(ISNUMBER(SEARCH("Party Name:-",'R.M Billets Reports'!D728)),TRIM('R.M Billets Reports'!F728),IF(ISNUMBER(SEARCH("Party Name-",'R.M Billets Reports'!D728)),TRIM(MID('R.M Billets Reports'!D728,SEARCH("-",'R.M Billets Reports'!D728)+1,200)),"")),IF(ISNUMBER(SEARCH("Party Name:-",'R.M Billets Reports'!D729)),TRIM('R.M Billets Reports'!F729),IF(ISNUMBER(SEARCH("Party Name-",'R.M Billets Reports'!D729)),TRIM(MID('R.M Billets Reports'!D729,SEARCH("-",'R.M Billets Reports'!D729)+1,200)),"")))="SHRI RADHE","SHREE RADHE",IF(IF(IF(ISNUMBER(SEARCH("Party Name:-",'R.M Billets Reports'!D728)),TRIM('R.M Billets Reports'!F728),IF(ISNUMBER(SEARCH("Party Name-",'R.M Billets Reports'!D728)),TRIM(MID('R.M Billets Reports'!D728,SEARCH("-",'R.M Billets Reports'!D728)+1,200)),""))&lt;&gt;"",IF(ISNUMBER(SEARCH("Party Name:-",'R.M Billets Reports'!D728)),TRIM('R.M Billets Reports'!F728),IF(ISNUMBER(SEARCH("Party Name-",'R.M Billets Reports'!D728)),TRIM(MID('R.M Billets Reports'!D728,SEARCH("-",'R.M Billets Reports'!D728)+1,200)),"")),IF(ISNUMBER(SEARCH("Party Name:-",'R.M Billets Reports'!D729)),TRIM('R.M Billets Reports'!F729),IF(ISNUMBER(SEARCH("Party Name-",'R.M Billets Reports'!D729)),TRIM(MID('R.M Billets Reports'!D729,SEARCH("-",'R.M Billets Reports'!D729)+1,200)),"")))="SHREE RADHE SHAKTI SPONGE AND POWER PVT. LTD.","SHREE RADHE",IF(IF(ISNUMBER(SEARCH("Party Name:-",'R.M Billets Reports'!D728)),TRIM('R.M Billets Reports'!F728),IF(ISNUMBER(SEARCH("Party Name-",'R.M Billets Reports'!D728)),TRIM(MID('R.M Billets Reports'!D728,SEARCH("-",'R.M Billets Reports'!D728)+1,200)),""))&lt;&gt;"",IF(ISNUMBER(SEARCH("Party Name:-",'R.M Billets Reports'!D728)),TRIM('R.M Billets Reports'!F728),IF(ISNUMBER(SEARCH("Party Name-",'R.M Billets Reports'!D728)),TRIM(MID('R.M Billets Reports'!D728,SEARCH("-",'R.M Billets Reports'!D728)+1,200)),"")),IF(ISNUMBER(SEARCH("Party Name:-",'R.M Billets Reports'!D729)),TRIM('R.M Billets Reports'!F729),IF(ISNUMBER(SEARCH("Party Name-",'R.M Billets Reports'!D729)),TRIM(MID('R.M Billets Reports'!D729,SEARCH("-",'R.M Billets Reports'!D729)+1,200)),"")))))),IF(ROW()=2,"",A728))</f>
      </c>
      <c r="B729">
        <f>IF(OR('R.M Billets Reports'!A728="Date-",'R.M Billets Reports'!A728="Date:-"),'R.M Billets Reports'!B728,IF(ROW()=2,"",B728))</f>
      </c>
      <c r="C729">
        <f>IF('R.M Billets Reports'!A728="V.No.",'R.M Billets Reports'!B728,IF(ROW()=2,"",C728))</f>
      </c>
      <c r="D729">
        <f>IF('R.M Billets Reports'!A728&lt;&gt;"",'R.M Billets Reports'!A728,IF(ROW()=2,"",D728))</f>
      </c>
      <c r="E729">
        <f>IF('R.M Billets Reports'!B728="","",TRIM('R.M Billets Reports'!B728))</f>
      </c>
      <c r="F729">
        <f>'R.M Billets Reports'!C728</f>
      </c>
      <c r="G729">
        <f>'R.M Billets Reports'!D728</f>
      </c>
      <c r="H729">
        <f>'R.M Billets Reports'!E728</f>
      </c>
      <c r="I729">
        <f>'R.M Billets Reports'!F728</f>
      </c>
      <c r="J729">
        <f>'R.M Billets Reports'!G728</f>
      </c>
      <c r="K729">
        <f>'R.M Billets Reports'!H728</f>
      </c>
      <c r="L729">
        <f>IF('R.M Billets Reports'!I728="","",'R.M Billets Reports'!I728)</f>
      </c>
      <c r="M729">
        <f t="shared" si="22"/>
      </c>
      <c r="N729">
        <f>IF('R.M Billets Reports'!J728="","",'R.M Billets Reports'!J728)</f>
      </c>
      <c r="O729">
        <f t="shared" si="23"/>
      </c>
      <c r="P729">
        <f>IF('R.M Billets Reports'!A728="SIZE",'R.M Billets Reports'!B728,P728)</f>
      </c>
    </row>
    <row r="730" spans="1:16" x14ac:dyDescent="0.25">
      <c r="A730">
        <f>IF(OR('R.M Billets Reports'!A729="Date-",'R.M Billets Reports'!A729="Date:-"),IF(IF(IF(ISNUMBER(SEARCH("Party Name:-",'R.M Billets Reports'!D729)),TRIM('R.M Billets Reports'!F729),IF(ISNUMBER(SEARCH("Party Name-",'R.M Billets Reports'!D729)),TRIM(MID('R.M Billets Reports'!D729,SEARCH("-",'R.M Billets Reports'!D729)+1,200)),""))&lt;&gt;"",IF(ISNUMBER(SEARCH("Party Name:-",'R.M Billets Reports'!D729)),TRIM('R.M Billets Reports'!F729),IF(ISNUMBER(SEARCH("Party Name-",'R.M Billets Reports'!D729)),TRIM(MID('R.M Billets Reports'!D729,SEARCH("-",'R.M Billets Reports'!D729)+1,200)),"")),IF(ISNUMBER(SEARCH("Party Name:-",'R.M Billets Reports'!D730)),TRIM('R.M Billets Reports'!F730),IF(ISNUMBER(SEARCH("Party Name-",'R.M Billets Reports'!D730)),TRIM(MID('R.M Billets Reports'!D730,SEARCH("-",'R.M Billets Reports'!D730)+1,200)),"")))="VRKP ISPAT PVT LTD","VRKP",IF(IF(IF(ISNUMBER(SEARCH("Party Name:-",'R.M Billets Reports'!D729)),TRIM('R.M Billets Reports'!F729),IF(ISNUMBER(SEARCH("Party Name-",'R.M Billets Reports'!D729)),TRIM(MID('R.M Billets Reports'!D729,SEARCH("-",'R.M Billets Reports'!D729)+1,200)),""))&lt;&gt;"",IF(ISNUMBER(SEARCH("Party Name:-",'R.M Billets Reports'!D729)),TRIM('R.M Billets Reports'!F729),IF(ISNUMBER(SEARCH("Party Name-",'R.M Billets Reports'!D729)),TRIM(MID('R.M Billets Reports'!D729,SEARCH("-",'R.M Billets Reports'!D729)+1,200)),"")),IF(ISNUMBER(SEARCH("Party Name:-",'R.M Billets Reports'!D730)),TRIM('R.M Billets Reports'!F730),IF(ISNUMBER(SEARCH("Party Name-",'R.M Billets Reports'!D730)),TRIM(MID('R.M Billets Reports'!D730,SEARCH("-",'R.M Billets Reports'!D730)+1,200)),"")))="SHRI RADHE","SHREE RADHE",IF(IF(IF(ISNUMBER(SEARCH("Party Name:-",'R.M Billets Reports'!D729)),TRIM('R.M Billets Reports'!F729),IF(ISNUMBER(SEARCH("Party Name-",'R.M Billets Reports'!D729)),TRIM(MID('R.M Billets Reports'!D729,SEARCH("-",'R.M Billets Reports'!D729)+1,200)),""))&lt;&gt;"",IF(ISNUMBER(SEARCH("Party Name:-",'R.M Billets Reports'!D729)),TRIM('R.M Billets Reports'!F729),IF(ISNUMBER(SEARCH("Party Name-",'R.M Billets Reports'!D729)),TRIM(MID('R.M Billets Reports'!D729,SEARCH("-",'R.M Billets Reports'!D729)+1,200)),"")),IF(ISNUMBER(SEARCH("Party Name:-",'R.M Billets Reports'!D730)),TRIM('R.M Billets Reports'!F730),IF(ISNUMBER(SEARCH("Party Name-",'R.M Billets Reports'!D730)),TRIM(MID('R.M Billets Reports'!D730,SEARCH("-",'R.M Billets Reports'!D730)+1,200)),"")))="SHREE RADHE SHAKTI SPONGE AND POWER PVT. LTD.","SHREE RADHE",IF(IF(ISNUMBER(SEARCH("Party Name:-",'R.M Billets Reports'!D729)),TRIM('R.M Billets Reports'!F729),IF(ISNUMBER(SEARCH("Party Name-",'R.M Billets Reports'!D729)),TRIM(MID('R.M Billets Reports'!D729,SEARCH("-",'R.M Billets Reports'!D729)+1,200)),""))&lt;&gt;"",IF(ISNUMBER(SEARCH("Party Name:-",'R.M Billets Reports'!D729)),TRIM('R.M Billets Reports'!F729),IF(ISNUMBER(SEARCH("Party Name-",'R.M Billets Reports'!D729)),TRIM(MID('R.M Billets Reports'!D729,SEARCH("-",'R.M Billets Reports'!D729)+1,200)),"")),IF(ISNUMBER(SEARCH("Party Name:-",'R.M Billets Reports'!D730)),TRIM('R.M Billets Reports'!F730),IF(ISNUMBER(SEARCH("Party Name-",'R.M Billets Reports'!D730)),TRIM(MID('R.M Billets Reports'!D730,SEARCH("-",'R.M Billets Reports'!D730)+1,200)),"")))))),IF(ROW()=2,"",A729))</f>
      </c>
      <c r="B730">
        <f>IF(OR('R.M Billets Reports'!A729="Date-",'R.M Billets Reports'!A729="Date:-"),'R.M Billets Reports'!B729,IF(ROW()=2,"",B729))</f>
      </c>
      <c r="C730">
        <f>IF('R.M Billets Reports'!A729="V.No.",'R.M Billets Reports'!B729,IF(ROW()=2,"",C729))</f>
      </c>
      <c r="D730">
        <f>IF('R.M Billets Reports'!A729&lt;&gt;"",'R.M Billets Reports'!A729,IF(ROW()=2,"",D729))</f>
      </c>
      <c r="E730">
        <f>IF('R.M Billets Reports'!B729="","",TRIM('R.M Billets Reports'!B729))</f>
      </c>
      <c r="F730">
        <f>'R.M Billets Reports'!C729</f>
      </c>
      <c r="G730">
        <f>'R.M Billets Reports'!D729</f>
      </c>
      <c r="H730">
        <f>'R.M Billets Reports'!E729</f>
      </c>
      <c r="I730">
        <f>'R.M Billets Reports'!F729</f>
      </c>
      <c r="J730">
        <f>'R.M Billets Reports'!G729</f>
      </c>
      <c r="K730">
        <f>'R.M Billets Reports'!H729</f>
      </c>
      <c r="L730">
        <f>IF('R.M Billets Reports'!I729="","",'R.M Billets Reports'!I729)</f>
      </c>
      <c r="M730">
        <f t="shared" si="22"/>
      </c>
      <c r="N730">
        <f>IF('R.M Billets Reports'!J729="","",'R.M Billets Reports'!J729)</f>
      </c>
      <c r="O730">
        <f t="shared" si="23"/>
      </c>
      <c r="P730">
        <f>IF('R.M Billets Reports'!A729="SIZE",'R.M Billets Reports'!B729,P729)</f>
      </c>
    </row>
    <row r="731" spans="1:16" x14ac:dyDescent="0.25">
      <c r="A731">
        <f>IF(OR('R.M Billets Reports'!A730="Date-",'R.M Billets Reports'!A730="Date:-"),IF(IF(IF(ISNUMBER(SEARCH("Party Name:-",'R.M Billets Reports'!D730)),TRIM('R.M Billets Reports'!F730),IF(ISNUMBER(SEARCH("Party Name-",'R.M Billets Reports'!D730)),TRIM(MID('R.M Billets Reports'!D730,SEARCH("-",'R.M Billets Reports'!D730)+1,200)),""))&lt;&gt;"",IF(ISNUMBER(SEARCH("Party Name:-",'R.M Billets Reports'!D730)),TRIM('R.M Billets Reports'!F730),IF(ISNUMBER(SEARCH("Party Name-",'R.M Billets Reports'!D730)),TRIM(MID('R.M Billets Reports'!D730,SEARCH("-",'R.M Billets Reports'!D730)+1,200)),"")),IF(ISNUMBER(SEARCH("Party Name:-",'R.M Billets Reports'!D731)),TRIM('R.M Billets Reports'!F731),IF(ISNUMBER(SEARCH("Party Name-",'R.M Billets Reports'!D731)),TRIM(MID('R.M Billets Reports'!D731,SEARCH("-",'R.M Billets Reports'!D731)+1,200)),"")))="VRKP ISPAT PVT LTD","VRKP",IF(IF(IF(ISNUMBER(SEARCH("Party Name:-",'R.M Billets Reports'!D730)),TRIM('R.M Billets Reports'!F730),IF(ISNUMBER(SEARCH("Party Name-",'R.M Billets Reports'!D730)),TRIM(MID('R.M Billets Reports'!D730,SEARCH("-",'R.M Billets Reports'!D730)+1,200)),""))&lt;&gt;"",IF(ISNUMBER(SEARCH("Party Name:-",'R.M Billets Reports'!D730)),TRIM('R.M Billets Reports'!F730),IF(ISNUMBER(SEARCH("Party Name-",'R.M Billets Reports'!D730)),TRIM(MID('R.M Billets Reports'!D730,SEARCH("-",'R.M Billets Reports'!D730)+1,200)),"")),IF(ISNUMBER(SEARCH("Party Name:-",'R.M Billets Reports'!D731)),TRIM('R.M Billets Reports'!F731),IF(ISNUMBER(SEARCH("Party Name-",'R.M Billets Reports'!D731)),TRIM(MID('R.M Billets Reports'!D731,SEARCH("-",'R.M Billets Reports'!D731)+1,200)),"")))="SHRI RADHE","SHREE RADHE",IF(IF(IF(ISNUMBER(SEARCH("Party Name:-",'R.M Billets Reports'!D730)),TRIM('R.M Billets Reports'!F730),IF(ISNUMBER(SEARCH("Party Name-",'R.M Billets Reports'!D730)),TRIM(MID('R.M Billets Reports'!D730,SEARCH("-",'R.M Billets Reports'!D730)+1,200)),""))&lt;&gt;"",IF(ISNUMBER(SEARCH("Party Name:-",'R.M Billets Reports'!D730)),TRIM('R.M Billets Reports'!F730),IF(ISNUMBER(SEARCH("Party Name-",'R.M Billets Reports'!D730)),TRIM(MID('R.M Billets Reports'!D730,SEARCH("-",'R.M Billets Reports'!D730)+1,200)),"")),IF(ISNUMBER(SEARCH("Party Name:-",'R.M Billets Reports'!D731)),TRIM('R.M Billets Reports'!F731),IF(ISNUMBER(SEARCH("Party Name-",'R.M Billets Reports'!D731)),TRIM(MID('R.M Billets Reports'!D731,SEARCH("-",'R.M Billets Reports'!D731)+1,200)),"")))="SHREE RADHE SHAKTI SPONGE AND POWER PVT. LTD.","SHREE RADHE",IF(IF(ISNUMBER(SEARCH("Party Name:-",'R.M Billets Reports'!D730)),TRIM('R.M Billets Reports'!F730),IF(ISNUMBER(SEARCH("Party Name-",'R.M Billets Reports'!D730)),TRIM(MID('R.M Billets Reports'!D730,SEARCH("-",'R.M Billets Reports'!D730)+1,200)),""))&lt;&gt;"",IF(ISNUMBER(SEARCH("Party Name:-",'R.M Billets Reports'!D730)),TRIM('R.M Billets Reports'!F730),IF(ISNUMBER(SEARCH("Party Name-",'R.M Billets Reports'!D730)),TRIM(MID('R.M Billets Reports'!D730,SEARCH("-",'R.M Billets Reports'!D730)+1,200)),"")),IF(ISNUMBER(SEARCH("Party Name:-",'R.M Billets Reports'!D731)),TRIM('R.M Billets Reports'!F731),IF(ISNUMBER(SEARCH("Party Name-",'R.M Billets Reports'!D731)),TRIM(MID('R.M Billets Reports'!D731,SEARCH("-",'R.M Billets Reports'!D731)+1,200)),"")))))),IF(ROW()=2,"",A730))</f>
      </c>
      <c r="B731">
        <f>IF(OR('R.M Billets Reports'!A730="Date-",'R.M Billets Reports'!A730="Date:-"),'R.M Billets Reports'!B730,IF(ROW()=2,"",B730))</f>
      </c>
      <c r="C731">
        <f>IF('R.M Billets Reports'!A730="V.No.",'R.M Billets Reports'!B730,IF(ROW()=2,"",C730))</f>
      </c>
      <c r="D731">
        <f>IF('R.M Billets Reports'!A730&lt;&gt;"",'R.M Billets Reports'!A730,IF(ROW()=2,"",D730))</f>
      </c>
      <c r="E731">
        <f>IF('R.M Billets Reports'!B730="","",TRIM('R.M Billets Reports'!B730))</f>
      </c>
      <c r="F731">
        <f>'R.M Billets Reports'!C730</f>
      </c>
      <c r="G731">
        <f>'R.M Billets Reports'!D730</f>
      </c>
      <c r="H731">
        <f>'R.M Billets Reports'!E730</f>
      </c>
      <c r="I731">
        <f>'R.M Billets Reports'!F730</f>
      </c>
      <c r="J731">
        <f>'R.M Billets Reports'!G730</f>
      </c>
      <c r="K731">
        <f>'R.M Billets Reports'!H730</f>
      </c>
      <c r="L731">
        <f>IF('R.M Billets Reports'!I730="","",'R.M Billets Reports'!I730)</f>
      </c>
      <c r="M731">
        <f t="shared" si="22"/>
      </c>
      <c r="N731">
        <f>IF('R.M Billets Reports'!J730="","",'R.M Billets Reports'!J730)</f>
      </c>
      <c r="O731">
        <f t="shared" si="23"/>
      </c>
      <c r="P731">
        <f>IF('R.M Billets Reports'!A730="SIZE",'R.M Billets Reports'!B730,P730)</f>
      </c>
    </row>
    <row r="732" spans="1:16" x14ac:dyDescent="0.25">
      <c r="A732">
        <f>IF(OR('R.M Billets Reports'!A731="Date-",'R.M Billets Reports'!A731="Date:-"),IF(IF(IF(ISNUMBER(SEARCH("Party Name:-",'R.M Billets Reports'!D731)),TRIM('R.M Billets Reports'!F731),IF(ISNUMBER(SEARCH("Party Name-",'R.M Billets Reports'!D731)),TRIM(MID('R.M Billets Reports'!D731,SEARCH("-",'R.M Billets Reports'!D731)+1,200)),""))&lt;&gt;"",IF(ISNUMBER(SEARCH("Party Name:-",'R.M Billets Reports'!D731)),TRIM('R.M Billets Reports'!F731),IF(ISNUMBER(SEARCH("Party Name-",'R.M Billets Reports'!D731)),TRIM(MID('R.M Billets Reports'!D731,SEARCH("-",'R.M Billets Reports'!D731)+1,200)),"")),IF(ISNUMBER(SEARCH("Party Name:-",'R.M Billets Reports'!D732)),TRIM('R.M Billets Reports'!F732),IF(ISNUMBER(SEARCH("Party Name-",'R.M Billets Reports'!D732)),TRIM(MID('R.M Billets Reports'!D732,SEARCH("-",'R.M Billets Reports'!D732)+1,200)),"")))="VRKP ISPAT PVT LTD","VRKP",IF(IF(IF(ISNUMBER(SEARCH("Party Name:-",'R.M Billets Reports'!D731)),TRIM('R.M Billets Reports'!F731),IF(ISNUMBER(SEARCH("Party Name-",'R.M Billets Reports'!D731)),TRIM(MID('R.M Billets Reports'!D731,SEARCH("-",'R.M Billets Reports'!D731)+1,200)),""))&lt;&gt;"",IF(ISNUMBER(SEARCH("Party Name:-",'R.M Billets Reports'!D731)),TRIM('R.M Billets Reports'!F731),IF(ISNUMBER(SEARCH("Party Name-",'R.M Billets Reports'!D731)),TRIM(MID('R.M Billets Reports'!D731,SEARCH("-",'R.M Billets Reports'!D731)+1,200)),"")),IF(ISNUMBER(SEARCH("Party Name:-",'R.M Billets Reports'!D732)),TRIM('R.M Billets Reports'!F732),IF(ISNUMBER(SEARCH("Party Name-",'R.M Billets Reports'!D732)),TRIM(MID('R.M Billets Reports'!D732,SEARCH("-",'R.M Billets Reports'!D732)+1,200)),"")))="SHRI RADHE","SHREE RADHE",IF(IF(IF(ISNUMBER(SEARCH("Party Name:-",'R.M Billets Reports'!D731)),TRIM('R.M Billets Reports'!F731),IF(ISNUMBER(SEARCH("Party Name-",'R.M Billets Reports'!D731)),TRIM(MID('R.M Billets Reports'!D731,SEARCH("-",'R.M Billets Reports'!D731)+1,200)),""))&lt;&gt;"",IF(ISNUMBER(SEARCH("Party Name:-",'R.M Billets Reports'!D731)),TRIM('R.M Billets Reports'!F731),IF(ISNUMBER(SEARCH("Party Name-",'R.M Billets Reports'!D731)),TRIM(MID('R.M Billets Reports'!D731,SEARCH("-",'R.M Billets Reports'!D731)+1,200)),"")),IF(ISNUMBER(SEARCH("Party Name:-",'R.M Billets Reports'!D732)),TRIM('R.M Billets Reports'!F732),IF(ISNUMBER(SEARCH("Party Name-",'R.M Billets Reports'!D732)),TRIM(MID('R.M Billets Reports'!D732,SEARCH("-",'R.M Billets Reports'!D732)+1,200)),"")))="SHREE RADHE SHAKTI SPONGE AND POWER PVT. LTD.","SHREE RADHE",IF(IF(ISNUMBER(SEARCH("Party Name:-",'R.M Billets Reports'!D731)),TRIM('R.M Billets Reports'!F731),IF(ISNUMBER(SEARCH("Party Name-",'R.M Billets Reports'!D731)),TRIM(MID('R.M Billets Reports'!D731,SEARCH("-",'R.M Billets Reports'!D731)+1,200)),""))&lt;&gt;"",IF(ISNUMBER(SEARCH("Party Name:-",'R.M Billets Reports'!D731)),TRIM('R.M Billets Reports'!F731),IF(ISNUMBER(SEARCH("Party Name-",'R.M Billets Reports'!D731)),TRIM(MID('R.M Billets Reports'!D731,SEARCH("-",'R.M Billets Reports'!D731)+1,200)),"")),IF(ISNUMBER(SEARCH("Party Name:-",'R.M Billets Reports'!D732)),TRIM('R.M Billets Reports'!F732),IF(ISNUMBER(SEARCH("Party Name-",'R.M Billets Reports'!D732)),TRIM(MID('R.M Billets Reports'!D732,SEARCH("-",'R.M Billets Reports'!D732)+1,200)),"")))))),IF(ROW()=2,"",A731))</f>
      </c>
      <c r="B732">
        <f>IF(OR('R.M Billets Reports'!A731="Date-",'R.M Billets Reports'!A731="Date:-"),'R.M Billets Reports'!B731,IF(ROW()=2,"",B731))</f>
      </c>
      <c r="C732">
        <f>IF('R.M Billets Reports'!A731="V.No.",'R.M Billets Reports'!B731,IF(ROW()=2,"",C731))</f>
      </c>
      <c r="D732">
        <f>IF('R.M Billets Reports'!A731&lt;&gt;"",'R.M Billets Reports'!A731,IF(ROW()=2,"",D731))</f>
      </c>
      <c r="E732">
        <f>IF('R.M Billets Reports'!B731="","",TRIM('R.M Billets Reports'!B731))</f>
      </c>
      <c r="F732">
        <f>'R.M Billets Reports'!C731</f>
      </c>
      <c r="G732">
        <f>'R.M Billets Reports'!D731</f>
      </c>
      <c r="H732">
        <f>'R.M Billets Reports'!E731</f>
      </c>
      <c r="I732">
        <f>'R.M Billets Reports'!F731</f>
      </c>
      <c r="J732">
        <f>'R.M Billets Reports'!G731</f>
      </c>
      <c r="K732">
        <f>'R.M Billets Reports'!H731</f>
      </c>
      <c r="L732">
        <f>IF('R.M Billets Reports'!I731="","",'R.M Billets Reports'!I731)</f>
      </c>
      <c r="M732">
        <f t="shared" si="22"/>
      </c>
      <c r="N732">
        <f>IF('R.M Billets Reports'!J731="","",'R.M Billets Reports'!J731)</f>
      </c>
      <c r="O732">
        <f t="shared" si="23"/>
      </c>
      <c r="P732">
        <f>IF('R.M Billets Reports'!A731="SIZE",'R.M Billets Reports'!B731,P731)</f>
      </c>
    </row>
    <row r="733" spans="1:16" x14ac:dyDescent="0.25">
      <c r="A733">
        <f>IF(OR('R.M Billets Reports'!A732="Date-",'R.M Billets Reports'!A732="Date:-"),IF(IF(IF(ISNUMBER(SEARCH("Party Name:-",'R.M Billets Reports'!D732)),TRIM('R.M Billets Reports'!F732),IF(ISNUMBER(SEARCH("Party Name-",'R.M Billets Reports'!D732)),TRIM(MID('R.M Billets Reports'!D732,SEARCH("-",'R.M Billets Reports'!D732)+1,200)),""))&lt;&gt;"",IF(ISNUMBER(SEARCH("Party Name:-",'R.M Billets Reports'!D732)),TRIM('R.M Billets Reports'!F732),IF(ISNUMBER(SEARCH("Party Name-",'R.M Billets Reports'!D732)),TRIM(MID('R.M Billets Reports'!D732,SEARCH("-",'R.M Billets Reports'!D732)+1,200)),"")),IF(ISNUMBER(SEARCH("Party Name:-",'R.M Billets Reports'!D733)),TRIM('R.M Billets Reports'!F733),IF(ISNUMBER(SEARCH("Party Name-",'R.M Billets Reports'!D733)),TRIM(MID('R.M Billets Reports'!D733,SEARCH("-",'R.M Billets Reports'!D733)+1,200)),"")))="VRKP ISPAT PVT LTD","VRKP",IF(IF(IF(ISNUMBER(SEARCH("Party Name:-",'R.M Billets Reports'!D732)),TRIM('R.M Billets Reports'!F732),IF(ISNUMBER(SEARCH("Party Name-",'R.M Billets Reports'!D732)),TRIM(MID('R.M Billets Reports'!D732,SEARCH("-",'R.M Billets Reports'!D732)+1,200)),""))&lt;&gt;"",IF(ISNUMBER(SEARCH("Party Name:-",'R.M Billets Reports'!D732)),TRIM('R.M Billets Reports'!F732),IF(ISNUMBER(SEARCH("Party Name-",'R.M Billets Reports'!D732)),TRIM(MID('R.M Billets Reports'!D732,SEARCH("-",'R.M Billets Reports'!D732)+1,200)),"")),IF(ISNUMBER(SEARCH("Party Name:-",'R.M Billets Reports'!D733)),TRIM('R.M Billets Reports'!F733),IF(ISNUMBER(SEARCH("Party Name-",'R.M Billets Reports'!D733)),TRIM(MID('R.M Billets Reports'!D733,SEARCH("-",'R.M Billets Reports'!D733)+1,200)),"")))="SHRI RADHE","SHREE RADHE",IF(IF(IF(ISNUMBER(SEARCH("Party Name:-",'R.M Billets Reports'!D732)),TRIM('R.M Billets Reports'!F732),IF(ISNUMBER(SEARCH("Party Name-",'R.M Billets Reports'!D732)),TRIM(MID('R.M Billets Reports'!D732,SEARCH("-",'R.M Billets Reports'!D732)+1,200)),""))&lt;&gt;"",IF(ISNUMBER(SEARCH("Party Name:-",'R.M Billets Reports'!D732)),TRIM('R.M Billets Reports'!F732),IF(ISNUMBER(SEARCH("Party Name-",'R.M Billets Reports'!D732)),TRIM(MID('R.M Billets Reports'!D732,SEARCH("-",'R.M Billets Reports'!D732)+1,200)),"")),IF(ISNUMBER(SEARCH("Party Name:-",'R.M Billets Reports'!D733)),TRIM('R.M Billets Reports'!F733),IF(ISNUMBER(SEARCH("Party Name-",'R.M Billets Reports'!D733)),TRIM(MID('R.M Billets Reports'!D733,SEARCH("-",'R.M Billets Reports'!D733)+1,200)),"")))="SHREE RADHE SHAKTI SPONGE AND POWER PVT. LTD.","SHREE RADHE",IF(IF(ISNUMBER(SEARCH("Party Name:-",'R.M Billets Reports'!D732)),TRIM('R.M Billets Reports'!F732),IF(ISNUMBER(SEARCH("Party Name-",'R.M Billets Reports'!D732)),TRIM(MID('R.M Billets Reports'!D732,SEARCH("-",'R.M Billets Reports'!D732)+1,200)),""))&lt;&gt;"",IF(ISNUMBER(SEARCH("Party Name:-",'R.M Billets Reports'!D732)),TRIM('R.M Billets Reports'!F732),IF(ISNUMBER(SEARCH("Party Name-",'R.M Billets Reports'!D732)),TRIM(MID('R.M Billets Reports'!D732,SEARCH("-",'R.M Billets Reports'!D732)+1,200)),"")),IF(ISNUMBER(SEARCH("Party Name:-",'R.M Billets Reports'!D733)),TRIM('R.M Billets Reports'!F733),IF(ISNUMBER(SEARCH("Party Name-",'R.M Billets Reports'!D733)),TRIM(MID('R.M Billets Reports'!D733,SEARCH("-",'R.M Billets Reports'!D733)+1,200)),"")))))),IF(ROW()=2,"",A732))</f>
      </c>
      <c r="B733">
        <f>IF(OR('R.M Billets Reports'!A732="Date-",'R.M Billets Reports'!A732="Date:-"),'R.M Billets Reports'!B732,IF(ROW()=2,"",B732))</f>
      </c>
      <c r="C733">
        <f>IF('R.M Billets Reports'!A732="V.No.",'R.M Billets Reports'!B732,IF(ROW()=2,"",C732))</f>
      </c>
      <c r="D733">
        <f>IF('R.M Billets Reports'!A732&lt;&gt;"",'R.M Billets Reports'!A732,IF(ROW()=2,"",D732))</f>
      </c>
      <c r="E733">
        <f>IF('R.M Billets Reports'!B732="","",TRIM('R.M Billets Reports'!B732))</f>
      </c>
      <c r="F733">
        <f>'R.M Billets Reports'!C732</f>
      </c>
      <c r="G733">
        <f>'R.M Billets Reports'!D732</f>
      </c>
      <c r="H733">
        <f>'R.M Billets Reports'!E732</f>
      </c>
      <c r="I733">
        <f>'R.M Billets Reports'!F732</f>
      </c>
      <c r="J733">
        <f>'R.M Billets Reports'!G732</f>
      </c>
      <c r="K733">
        <f>'R.M Billets Reports'!H732</f>
      </c>
      <c r="L733">
        <f>IF('R.M Billets Reports'!I732="","",'R.M Billets Reports'!I732)</f>
      </c>
      <c r="M733">
        <f t="shared" si="22"/>
      </c>
      <c r="N733">
        <f>IF('R.M Billets Reports'!J732="","",'R.M Billets Reports'!J732)</f>
      </c>
      <c r="O733">
        <f t="shared" si="23"/>
      </c>
      <c r="P733">
        <f>IF('R.M Billets Reports'!A732="SIZE",'R.M Billets Reports'!B732,P732)</f>
      </c>
    </row>
    <row r="734" spans="1:16" x14ac:dyDescent="0.25">
      <c r="A734">
        <f>IF(OR('R.M Billets Reports'!A733="Date-",'R.M Billets Reports'!A733="Date:-"),IF(IF(IF(ISNUMBER(SEARCH("Party Name:-",'R.M Billets Reports'!D733)),TRIM('R.M Billets Reports'!F733),IF(ISNUMBER(SEARCH("Party Name-",'R.M Billets Reports'!D733)),TRIM(MID('R.M Billets Reports'!D733,SEARCH("-",'R.M Billets Reports'!D733)+1,200)),""))&lt;&gt;"",IF(ISNUMBER(SEARCH("Party Name:-",'R.M Billets Reports'!D733)),TRIM('R.M Billets Reports'!F733),IF(ISNUMBER(SEARCH("Party Name-",'R.M Billets Reports'!D733)),TRIM(MID('R.M Billets Reports'!D733,SEARCH("-",'R.M Billets Reports'!D733)+1,200)),"")),IF(ISNUMBER(SEARCH("Party Name:-",'R.M Billets Reports'!D734)),TRIM('R.M Billets Reports'!F734),IF(ISNUMBER(SEARCH("Party Name-",'R.M Billets Reports'!D734)),TRIM(MID('R.M Billets Reports'!D734,SEARCH("-",'R.M Billets Reports'!D734)+1,200)),"")))="VRKP ISPAT PVT LTD","VRKP",IF(IF(IF(ISNUMBER(SEARCH("Party Name:-",'R.M Billets Reports'!D733)),TRIM('R.M Billets Reports'!F733),IF(ISNUMBER(SEARCH("Party Name-",'R.M Billets Reports'!D733)),TRIM(MID('R.M Billets Reports'!D733,SEARCH("-",'R.M Billets Reports'!D733)+1,200)),""))&lt;&gt;"",IF(ISNUMBER(SEARCH("Party Name:-",'R.M Billets Reports'!D733)),TRIM('R.M Billets Reports'!F733),IF(ISNUMBER(SEARCH("Party Name-",'R.M Billets Reports'!D733)),TRIM(MID('R.M Billets Reports'!D733,SEARCH("-",'R.M Billets Reports'!D733)+1,200)),"")),IF(ISNUMBER(SEARCH("Party Name:-",'R.M Billets Reports'!D734)),TRIM('R.M Billets Reports'!F734),IF(ISNUMBER(SEARCH("Party Name-",'R.M Billets Reports'!D734)),TRIM(MID('R.M Billets Reports'!D734,SEARCH("-",'R.M Billets Reports'!D734)+1,200)),"")))="SHRI RADHE","SHREE RADHE",IF(IF(IF(ISNUMBER(SEARCH("Party Name:-",'R.M Billets Reports'!D733)),TRIM('R.M Billets Reports'!F733),IF(ISNUMBER(SEARCH("Party Name-",'R.M Billets Reports'!D733)),TRIM(MID('R.M Billets Reports'!D733,SEARCH("-",'R.M Billets Reports'!D733)+1,200)),""))&lt;&gt;"",IF(ISNUMBER(SEARCH("Party Name:-",'R.M Billets Reports'!D733)),TRIM('R.M Billets Reports'!F733),IF(ISNUMBER(SEARCH("Party Name-",'R.M Billets Reports'!D733)),TRIM(MID('R.M Billets Reports'!D733,SEARCH("-",'R.M Billets Reports'!D733)+1,200)),"")),IF(ISNUMBER(SEARCH("Party Name:-",'R.M Billets Reports'!D734)),TRIM('R.M Billets Reports'!F734),IF(ISNUMBER(SEARCH("Party Name-",'R.M Billets Reports'!D734)),TRIM(MID('R.M Billets Reports'!D734,SEARCH("-",'R.M Billets Reports'!D734)+1,200)),"")))="SHREE RADHE SHAKTI SPONGE AND POWER PVT. LTD.","SHREE RADHE",IF(IF(ISNUMBER(SEARCH("Party Name:-",'R.M Billets Reports'!D733)),TRIM('R.M Billets Reports'!F733),IF(ISNUMBER(SEARCH("Party Name-",'R.M Billets Reports'!D733)),TRIM(MID('R.M Billets Reports'!D733,SEARCH("-",'R.M Billets Reports'!D733)+1,200)),""))&lt;&gt;"",IF(ISNUMBER(SEARCH("Party Name:-",'R.M Billets Reports'!D733)),TRIM('R.M Billets Reports'!F733),IF(ISNUMBER(SEARCH("Party Name-",'R.M Billets Reports'!D733)),TRIM(MID('R.M Billets Reports'!D733,SEARCH("-",'R.M Billets Reports'!D733)+1,200)),"")),IF(ISNUMBER(SEARCH("Party Name:-",'R.M Billets Reports'!D734)),TRIM('R.M Billets Reports'!F734),IF(ISNUMBER(SEARCH("Party Name-",'R.M Billets Reports'!D734)),TRIM(MID('R.M Billets Reports'!D734,SEARCH("-",'R.M Billets Reports'!D734)+1,200)),"")))))),IF(ROW()=2,"",A733))</f>
      </c>
      <c r="B734">
        <f>IF(OR('R.M Billets Reports'!A733="Date-",'R.M Billets Reports'!A733="Date:-"),'R.M Billets Reports'!B733,IF(ROW()=2,"",B733))</f>
      </c>
      <c r="C734">
        <f>IF('R.M Billets Reports'!A733="V.No.",'R.M Billets Reports'!B733,IF(ROW()=2,"",C733))</f>
      </c>
      <c r="D734">
        <f>IF('R.M Billets Reports'!A733&lt;&gt;"",'R.M Billets Reports'!A733,IF(ROW()=2,"",D733))</f>
      </c>
      <c r="E734">
        <f>IF('R.M Billets Reports'!B733="","",TRIM('R.M Billets Reports'!B733))</f>
      </c>
      <c r="F734">
        <f>'R.M Billets Reports'!C733</f>
      </c>
      <c r="G734">
        <f>'R.M Billets Reports'!D733</f>
      </c>
      <c r="H734">
        <f>'R.M Billets Reports'!E733</f>
      </c>
      <c r="I734">
        <f>'R.M Billets Reports'!F733</f>
      </c>
      <c r="J734">
        <f>'R.M Billets Reports'!G733</f>
      </c>
      <c r="K734">
        <f>'R.M Billets Reports'!H733</f>
      </c>
      <c r="L734">
        <f>IF('R.M Billets Reports'!I733="","",'R.M Billets Reports'!I733)</f>
      </c>
      <c r="M734">
        <f t="shared" si="22"/>
      </c>
      <c r="N734">
        <f>IF('R.M Billets Reports'!J733="","",'R.M Billets Reports'!J733)</f>
      </c>
      <c r="O734">
        <f t="shared" si="23"/>
      </c>
      <c r="P734">
        <f>IF('R.M Billets Reports'!A733="SIZE",'R.M Billets Reports'!B733,P733)</f>
      </c>
    </row>
    <row r="735" spans="1:16" x14ac:dyDescent="0.25">
      <c r="A735">
        <f>IF(OR('R.M Billets Reports'!A734="Date-",'R.M Billets Reports'!A734="Date:-"),IF(IF(IF(ISNUMBER(SEARCH("Party Name:-",'R.M Billets Reports'!D734)),TRIM('R.M Billets Reports'!F734),IF(ISNUMBER(SEARCH("Party Name-",'R.M Billets Reports'!D734)),TRIM(MID('R.M Billets Reports'!D734,SEARCH("-",'R.M Billets Reports'!D734)+1,200)),""))&lt;&gt;"",IF(ISNUMBER(SEARCH("Party Name:-",'R.M Billets Reports'!D734)),TRIM('R.M Billets Reports'!F734),IF(ISNUMBER(SEARCH("Party Name-",'R.M Billets Reports'!D734)),TRIM(MID('R.M Billets Reports'!D734,SEARCH("-",'R.M Billets Reports'!D734)+1,200)),"")),IF(ISNUMBER(SEARCH("Party Name:-",'R.M Billets Reports'!D735)),TRIM('R.M Billets Reports'!F735),IF(ISNUMBER(SEARCH("Party Name-",'R.M Billets Reports'!D735)),TRIM(MID('R.M Billets Reports'!D735,SEARCH("-",'R.M Billets Reports'!D735)+1,200)),"")))="VRKP ISPAT PVT LTD","VRKP",IF(IF(IF(ISNUMBER(SEARCH("Party Name:-",'R.M Billets Reports'!D734)),TRIM('R.M Billets Reports'!F734),IF(ISNUMBER(SEARCH("Party Name-",'R.M Billets Reports'!D734)),TRIM(MID('R.M Billets Reports'!D734,SEARCH("-",'R.M Billets Reports'!D734)+1,200)),""))&lt;&gt;"",IF(ISNUMBER(SEARCH("Party Name:-",'R.M Billets Reports'!D734)),TRIM('R.M Billets Reports'!F734),IF(ISNUMBER(SEARCH("Party Name-",'R.M Billets Reports'!D734)),TRIM(MID('R.M Billets Reports'!D734,SEARCH("-",'R.M Billets Reports'!D734)+1,200)),"")),IF(ISNUMBER(SEARCH("Party Name:-",'R.M Billets Reports'!D735)),TRIM('R.M Billets Reports'!F735),IF(ISNUMBER(SEARCH("Party Name-",'R.M Billets Reports'!D735)),TRIM(MID('R.M Billets Reports'!D735,SEARCH("-",'R.M Billets Reports'!D735)+1,200)),"")))="SHRI RADHE","SHREE RADHE",IF(IF(IF(ISNUMBER(SEARCH("Party Name:-",'R.M Billets Reports'!D734)),TRIM('R.M Billets Reports'!F734),IF(ISNUMBER(SEARCH("Party Name-",'R.M Billets Reports'!D734)),TRIM(MID('R.M Billets Reports'!D734,SEARCH("-",'R.M Billets Reports'!D734)+1,200)),""))&lt;&gt;"",IF(ISNUMBER(SEARCH("Party Name:-",'R.M Billets Reports'!D734)),TRIM('R.M Billets Reports'!F734),IF(ISNUMBER(SEARCH("Party Name-",'R.M Billets Reports'!D734)),TRIM(MID('R.M Billets Reports'!D734,SEARCH("-",'R.M Billets Reports'!D734)+1,200)),"")),IF(ISNUMBER(SEARCH("Party Name:-",'R.M Billets Reports'!D735)),TRIM('R.M Billets Reports'!F735),IF(ISNUMBER(SEARCH("Party Name-",'R.M Billets Reports'!D735)),TRIM(MID('R.M Billets Reports'!D735,SEARCH("-",'R.M Billets Reports'!D735)+1,200)),"")))="SHREE RADHE SHAKTI SPONGE AND POWER PVT. LTD.","SHREE RADHE",IF(IF(ISNUMBER(SEARCH("Party Name:-",'R.M Billets Reports'!D734)),TRIM('R.M Billets Reports'!F734),IF(ISNUMBER(SEARCH("Party Name-",'R.M Billets Reports'!D734)),TRIM(MID('R.M Billets Reports'!D734,SEARCH("-",'R.M Billets Reports'!D734)+1,200)),""))&lt;&gt;"",IF(ISNUMBER(SEARCH("Party Name:-",'R.M Billets Reports'!D734)),TRIM('R.M Billets Reports'!F734),IF(ISNUMBER(SEARCH("Party Name-",'R.M Billets Reports'!D734)),TRIM(MID('R.M Billets Reports'!D734,SEARCH("-",'R.M Billets Reports'!D734)+1,200)),"")),IF(ISNUMBER(SEARCH("Party Name:-",'R.M Billets Reports'!D735)),TRIM('R.M Billets Reports'!F735),IF(ISNUMBER(SEARCH("Party Name-",'R.M Billets Reports'!D735)),TRIM(MID('R.M Billets Reports'!D735,SEARCH("-",'R.M Billets Reports'!D735)+1,200)),"")))))),IF(ROW()=2,"",A734))</f>
      </c>
      <c r="B735">
        <f>IF(OR('R.M Billets Reports'!A734="Date-",'R.M Billets Reports'!A734="Date:-"),'R.M Billets Reports'!B734,IF(ROW()=2,"",B734))</f>
      </c>
      <c r="C735">
        <f>IF('R.M Billets Reports'!A734="V.No.",'R.M Billets Reports'!B734,IF(ROW()=2,"",C734))</f>
      </c>
      <c r="D735">
        <f>IF('R.M Billets Reports'!A734&lt;&gt;"",'R.M Billets Reports'!A734,IF(ROW()=2,"",D734))</f>
      </c>
      <c r="E735">
        <f>IF('R.M Billets Reports'!B734="","",TRIM('R.M Billets Reports'!B734))</f>
      </c>
      <c r="F735">
        <f>'R.M Billets Reports'!C734</f>
      </c>
      <c r="G735">
        <f>'R.M Billets Reports'!D734</f>
      </c>
      <c r="H735">
        <f>'R.M Billets Reports'!E734</f>
      </c>
      <c r="I735">
        <f>'R.M Billets Reports'!F734</f>
      </c>
      <c r="J735">
        <f>'R.M Billets Reports'!G734</f>
      </c>
      <c r="K735">
        <f>'R.M Billets Reports'!H734</f>
      </c>
      <c r="L735">
        <f>IF('R.M Billets Reports'!I734="","",'R.M Billets Reports'!I734)</f>
      </c>
      <c r="M735">
        <f t="shared" si="22"/>
      </c>
      <c r="N735">
        <f>IF('R.M Billets Reports'!J734="","",'R.M Billets Reports'!J734)</f>
      </c>
      <c r="O735">
        <f t="shared" si="23"/>
      </c>
      <c r="P735">
        <f>IF('R.M Billets Reports'!A734="SIZE",'R.M Billets Reports'!B734,P734)</f>
      </c>
    </row>
    <row r="736" spans="1:16" x14ac:dyDescent="0.25">
      <c r="A736">
        <f>IF(OR('R.M Billets Reports'!A735="Date-",'R.M Billets Reports'!A735="Date:-"),IF(IF(IF(ISNUMBER(SEARCH("Party Name:-",'R.M Billets Reports'!D735)),TRIM('R.M Billets Reports'!F735),IF(ISNUMBER(SEARCH("Party Name-",'R.M Billets Reports'!D735)),TRIM(MID('R.M Billets Reports'!D735,SEARCH("-",'R.M Billets Reports'!D735)+1,200)),""))&lt;&gt;"",IF(ISNUMBER(SEARCH("Party Name:-",'R.M Billets Reports'!D735)),TRIM('R.M Billets Reports'!F735),IF(ISNUMBER(SEARCH("Party Name-",'R.M Billets Reports'!D735)),TRIM(MID('R.M Billets Reports'!D735,SEARCH("-",'R.M Billets Reports'!D735)+1,200)),"")),IF(ISNUMBER(SEARCH("Party Name:-",'R.M Billets Reports'!D736)),TRIM('R.M Billets Reports'!F736),IF(ISNUMBER(SEARCH("Party Name-",'R.M Billets Reports'!D736)),TRIM(MID('R.M Billets Reports'!D736,SEARCH("-",'R.M Billets Reports'!D736)+1,200)),"")))="VRKP ISPAT PVT LTD","VRKP",IF(IF(IF(ISNUMBER(SEARCH("Party Name:-",'R.M Billets Reports'!D735)),TRIM('R.M Billets Reports'!F735),IF(ISNUMBER(SEARCH("Party Name-",'R.M Billets Reports'!D735)),TRIM(MID('R.M Billets Reports'!D735,SEARCH("-",'R.M Billets Reports'!D735)+1,200)),""))&lt;&gt;"",IF(ISNUMBER(SEARCH("Party Name:-",'R.M Billets Reports'!D735)),TRIM('R.M Billets Reports'!F735),IF(ISNUMBER(SEARCH("Party Name-",'R.M Billets Reports'!D735)),TRIM(MID('R.M Billets Reports'!D735,SEARCH("-",'R.M Billets Reports'!D735)+1,200)),"")),IF(ISNUMBER(SEARCH("Party Name:-",'R.M Billets Reports'!D736)),TRIM('R.M Billets Reports'!F736),IF(ISNUMBER(SEARCH("Party Name-",'R.M Billets Reports'!D736)),TRIM(MID('R.M Billets Reports'!D736,SEARCH("-",'R.M Billets Reports'!D736)+1,200)),"")))="SHRI RADHE","SHREE RADHE",IF(IF(IF(ISNUMBER(SEARCH("Party Name:-",'R.M Billets Reports'!D735)),TRIM('R.M Billets Reports'!F735),IF(ISNUMBER(SEARCH("Party Name-",'R.M Billets Reports'!D735)),TRIM(MID('R.M Billets Reports'!D735,SEARCH("-",'R.M Billets Reports'!D735)+1,200)),""))&lt;&gt;"",IF(ISNUMBER(SEARCH("Party Name:-",'R.M Billets Reports'!D735)),TRIM('R.M Billets Reports'!F735),IF(ISNUMBER(SEARCH("Party Name-",'R.M Billets Reports'!D735)),TRIM(MID('R.M Billets Reports'!D735,SEARCH("-",'R.M Billets Reports'!D735)+1,200)),"")),IF(ISNUMBER(SEARCH("Party Name:-",'R.M Billets Reports'!D736)),TRIM('R.M Billets Reports'!F736),IF(ISNUMBER(SEARCH("Party Name-",'R.M Billets Reports'!D736)),TRIM(MID('R.M Billets Reports'!D736,SEARCH("-",'R.M Billets Reports'!D736)+1,200)),"")))="SHREE RADHE SHAKTI SPONGE AND POWER PVT. LTD.","SHREE RADHE",IF(IF(ISNUMBER(SEARCH("Party Name:-",'R.M Billets Reports'!D735)),TRIM('R.M Billets Reports'!F735),IF(ISNUMBER(SEARCH("Party Name-",'R.M Billets Reports'!D735)),TRIM(MID('R.M Billets Reports'!D735,SEARCH("-",'R.M Billets Reports'!D735)+1,200)),""))&lt;&gt;"",IF(ISNUMBER(SEARCH("Party Name:-",'R.M Billets Reports'!D735)),TRIM('R.M Billets Reports'!F735),IF(ISNUMBER(SEARCH("Party Name-",'R.M Billets Reports'!D735)),TRIM(MID('R.M Billets Reports'!D735,SEARCH("-",'R.M Billets Reports'!D735)+1,200)),"")),IF(ISNUMBER(SEARCH("Party Name:-",'R.M Billets Reports'!D736)),TRIM('R.M Billets Reports'!F736),IF(ISNUMBER(SEARCH("Party Name-",'R.M Billets Reports'!D736)),TRIM(MID('R.M Billets Reports'!D736,SEARCH("-",'R.M Billets Reports'!D736)+1,200)),"")))))),IF(ROW()=2,"",A735))</f>
      </c>
      <c r="B736">
        <f>IF(OR('R.M Billets Reports'!A735="Date-",'R.M Billets Reports'!A735="Date:-"),'R.M Billets Reports'!B735,IF(ROW()=2,"",B735))</f>
      </c>
      <c r="C736">
        <f>IF('R.M Billets Reports'!A735="V.No.",'R.M Billets Reports'!B735,IF(ROW()=2,"",C735))</f>
      </c>
      <c r="D736">
        <f>IF('R.M Billets Reports'!A735&lt;&gt;"",'R.M Billets Reports'!A735,IF(ROW()=2,"",D735))</f>
      </c>
      <c r="E736">
        <f>IF('R.M Billets Reports'!B735="","",TRIM('R.M Billets Reports'!B735))</f>
      </c>
      <c r="F736">
        <f>'R.M Billets Reports'!C735</f>
      </c>
      <c r="G736">
        <f>'R.M Billets Reports'!D735</f>
      </c>
      <c r="H736">
        <f>'R.M Billets Reports'!E735</f>
      </c>
      <c r="I736">
        <f>'R.M Billets Reports'!F735</f>
      </c>
      <c r="J736">
        <f>'R.M Billets Reports'!G735</f>
      </c>
      <c r="K736">
        <f>'R.M Billets Reports'!H735</f>
      </c>
      <c r="L736">
        <f>IF('R.M Billets Reports'!I735="","",'R.M Billets Reports'!I735)</f>
      </c>
      <c r="M736">
        <f t="shared" si="22"/>
      </c>
      <c r="N736">
        <f>IF('R.M Billets Reports'!J735="","",'R.M Billets Reports'!J735)</f>
      </c>
      <c r="O736">
        <f t="shared" si="23"/>
      </c>
      <c r="P736">
        <f>IF('R.M Billets Reports'!A735="SIZE",'R.M Billets Reports'!B735,P735)</f>
      </c>
    </row>
    <row r="737" spans="1:16" x14ac:dyDescent="0.25">
      <c r="A737">
        <f>IF(OR('R.M Billets Reports'!A736="Date-",'R.M Billets Reports'!A736="Date:-"),IF(IF(IF(ISNUMBER(SEARCH("Party Name:-",'R.M Billets Reports'!D736)),TRIM('R.M Billets Reports'!F736),IF(ISNUMBER(SEARCH("Party Name-",'R.M Billets Reports'!D736)),TRIM(MID('R.M Billets Reports'!D736,SEARCH("-",'R.M Billets Reports'!D736)+1,200)),""))&lt;&gt;"",IF(ISNUMBER(SEARCH("Party Name:-",'R.M Billets Reports'!D736)),TRIM('R.M Billets Reports'!F736),IF(ISNUMBER(SEARCH("Party Name-",'R.M Billets Reports'!D736)),TRIM(MID('R.M Billets Reports'!D736,SEARCH("-",'R.M Billets Reports'!D736)+1,200)),"")),IF(ISNUMBER(SEARCH("Party Name:-",'R.M Billets Reports'!D737)),TRIM('R.M Billets Reports'!F737),IF(ISNUMBER(SEARCH("Party Name-",'R.M Billets Reports'!D737)),TRIM(MID('R.M Billets Reports'!D737,SEARCH("-",'R.M Billets Reports'!D737)+1,200)),"")))="VRKP ISPAT PVT LTD","VRKP",IF(IF(IF(ISNUMBER(SEARCH("Party Name:-",'R.M Billets Reports'!D736)),TRIM('R.M Billets Reports'!F736),IF(ISNUMBER(SEARCH("Party Name-",'R.M Billets Reports'!D736)),TRIM(MID('R.M Billets Reports'!D736,SEARCH("-",'R.M Billets Reports'!D736)+1,200)),""))&lt;&gt;"",IF(ISNUMBER(SEARCH("Party Name:-",'R.M Billets Reports'!D736)),TRIM('R.M Billets Reports'!F736),IF(ISNUMBER(SEARCH("Party Name-",'R.M Billets Reports'!D736)),TRIM(MID('R.M Billets Reports'!D736,SEARCH("-",'R.M Billets Reports'!D736)+1,200)),"")),IF(ISNUMBER(SEARCH("Party Name:-",'R.M Billets Reports'!D737)),TRIM('R.M Billets Reports'!F737),IF(ISNUMBER(SEARCH("Party Name-",'R.M Billets Reports'!D737)),TRIM(MID('R.M Billets Reports'!D737,SEARCH("-",'R.M Billets Reports'!D737)+1,200)),"")))="SHRI RADHE","SHREE RADHE",IF(IF(IF(ISNUMBER(SEARCH("Party Name:-",'R.M Billets Reports'!D736)),TRIM('R.M Billets Reports'!F736),IF(ISNUMBER(SEARCH("Party Name-",'R.M Billets Reports'!D736)),TRIM(MID('R.M Billets Reports'!D736,SEARCH("-",'R.M Billets Reports'!D736)+1,200)),""))&lt;&gt;"",IF(ISNUMBER(SEARCH("Party Name:-",'R.M Billets Reports'!D736)),TRIM('R.M Billets Reports'!F736),IF(ISNUMBER(SEARCH("Party Name-",'R.M Billets Reports'!D736)),TRIM(MID('R.M Billets Reports'!D736,SEARCH("-",'R.M Billets Reports'!D736)+1,200)),"")),IF(ISNUMBER(SEARCH("Party Name:-",'R.M Billets Reports'!D737)),TRIM('R.M Billets Reports'!F737),IF(ISNUMBER(SEARCH("Party Name-",'R.M Billets Reports'!D737)),TRIM(MID('R.M Billets Reports'!D737,SEARCH("-",'R.M Billets Reports'!D737)+1,200)),"")))="SHREE RADHE SHAKTI SPONGE AND POWER PVT. LTD.","SHREE RADHE",IF(IF(ISNUMBER(SEARCH("Party Name:-",'R.M Billets Reports'!D736)),TRIM('R.M Billets Reports'!F736),IF(ISNUMBER(SEARCH("Party Name-",'R.M Billets Reports'!D736)),TRIM(MID('R.M Billets Reports'!D736,SEARCH("-",'R.M Billets Reports'!D736)+1,200)),""))&lt;&gt;"",IF(ISNUMBER(SEARCH("Party Name:-",'R.M Billets Reports'!D736)),TRIM('R.M Billets Reports'!F736),IF(ISNUMBER(SEARCH("Party Name-",'R.M Billets Reports'!D736)),TRIM(MID('R.M Billets Reports'!D736,SEARCH("-",'R.M Billets Reports'!D736)+1,200)),"")),IF(ISNUMBER(SEARCH("Party Name:-",'R.M Billets Reports'!D737)),TRIM('R.M Billets Reports'!F737),IF(ISNUMBER(SEARCH("Party Name-",'R.M Billets Reports'!D737)),TRIM(MID('R.M Billets Reports'!D737,SEARCH("-",'R.M Billets Reports'!D737)+1,200)),"")))))),IF(ROW()=2,"",A736))</f>
      </c>
      <c r="B737">
        <f>IF(OR('R.M Billets Reports'!A736="Date-",'R.M Billets Reports'!A736="Date:-"),'R.M Billets Reports'!B736,IF(ROW()=2,"",B736))</f>
      </c>
      <c r="C737">
        <f>IF('R.M Billets Reports'!A736="V.No.",'R.M Billets Reports'!B736,IF(ROW()=2,"",C736))</f>
      </c>
      <c r="D737">
        <f>IF('R.M Billets Reports'!A736&lt;&gt;"",'R.M Billets Reports'!A736,IF(ROW()=2,"",D736))</f>
      </c>
      <c r="E737">
        <f>IF('R.M Billets Reports'!B736="","",TRIM('R.M Billets Reports'!B736))</f>
      </c>
      <c r="F737">
        <f>'R.M Billets Reports'!C736</f>
      </c>
      <c r="G737">
        <f>'R.M Billets Reports'!D736</f>
      </c>
      <c r="H737">
        <f>'R.M Billets Reports'!E736</f>
      </c>
      <c r="I737">
        <f>'R.M Billets Reports'!F736</f>
      </c>
      <c r="J737">
        <f>'R.M Billets Reports'!G736</f>
      </c>
      <c r="K737">
        <f>'R.M Billets Reports'!H736</f>
      </c>
      <c r="L737">
        <f>IF('R.M Billets Reports'!I736="","",'R.M Billets Reports'!I736)</f>
      </c>
      <c r="M737">
        <f t="shared" si="22"/>
      </c>
      <c r="N737">
        <f>IF('R.M Billets Reports'!J736="","",'R.M Billets Reports'!J736)</f>
      </c>
      <c r="O737">
        <f t="shared" si="23"/>
      </c>
      <c r="P737">
        <f>IF('R.M Billets Reports'!A736="SIZE",'R.M Billets Reports'!B736,P736)</f>
      </c>
    </row>
    <row r="738" spans="1:16" x14ac:dyDescent="0.25">
      <c r="A738">
        <f>IF(OR('R.M Billets Reports'!A737="Date-",'R.M Billets Reports'!A737="Date:-"),IF(IF(IF(ISNUMBER(SEARCH("Party Name:-",'R.M Billets Reports'!D737)),TRIM('R.M Billets Reports'!F737),IF(ISNUMBER(SEARCH("Party Name-",'R.M Billets Reports'!D737)),TRIM(MID('R.M Billets Reports'!D737,SEARCH("-",'R.M Billets Reports'!D737)+1,200)),""))&lt;&gt;"",IF(ISNUMBER(SEARCH("Party Name:-",'R.M Billets Reports'!D737)),TRIM('R.M Billets Reports'!F737),IF(ISNUMBER(SEARCH("Party Name-",'R.M Billets Reports'!D737)),TRIM(MID('R.M Billets Reports'!D737,SEARCH("-",'R.M Billets Reports'!D737)+1,200)),"")),IF(ISNUMBER(SEARCH("Party Name:-",'R.M Billets Reports'!D738)),TRIM('R.M Billets Reports'!F738),IF(ISNUMBER(SEARCH("Party Name-",'R.M Billets Reports'!D738)),TRIM(MID('R.M Billets Reports'!D738,SEARCH("-",'R.M Billets Reports'!D738)+1,200)),"")))="VRKP ISPAT PVT LTD","VRKP",IF(IF(IF(ISNUMBER(SEARCH("Party Name:-",'R.M Billets Reports'!D737)),TRIM('R.M Billets Reports'!F737),IF(ISNUMBER(SEARCH("Party Name-",'R.M Billets Reports'!D737)),TRIM(MID('R.M Billets Reports'!D737,SEARCH("-",'R.M Billets Reports'!D737)+1,200)),""))&lt;&gt;"",IF(ISNUMBER(SEARCH("Party Name:-",'R.M Billets Reports'!D737)),TRIM('R.M Billets Reports'!F737),IF(ISNUMBER(SEARCH("Party Name-",'R.M Billets Reports'!D737)),TRIM(MID('R.M Billets Reports'!D737,SEARCH("-",'R.M Billets Reports'!D737)+1,200)),"")),IF(ISNUMBER(SEARCH("Party Name:-",'R.M Billets Reports'!D738)),TRIM('R.M Billets Reports'!F738),IF(ISNUMBER(SEARCH("Party Name-",'R.M Billets Reports'!D738)),TRIM(MID('R.M Billets Reports'!D738,SEARCH("-",'R.M Billets Reports'!D738)+1,200)),"")))="SHRI RADHE","SHREE RADHE",IF(IF(IF(ISNUMBER(SEARCH("Party Name:-",'R.M Billets Reports'!D737)),TRIM('R.M Billets Reports'!F737),IF(ISNUMBER(SEARCH("Party Name-",'R.M Billets Reports'!D737)),TRIM(MID('R.M Billets Reports'!D737,SEARCH("-",'R.M Billets Reports'!D737)+1,200)),""))&lt;&gt;"",IF(ISNUMBER(SEARCH("Party Name:-",'R.M Billets Reports'!D737)),TRIM('R.M Billets Reports'!F737),IF(ISNUMBER(SEARCH("Party Name-",'R.M Billets Reports'!D737)),TRIM(MID('R.M Billets Reports'!D737,SEARCH("-",'R.M Billets Reports'!D737)+1,200)),"")),IF(ISNUMBER(SEARCH("Party Name:-",'R.M Billets Reports'!D738)),TRIM('R.M Billets Reports'!F738),IF(ISNUMBER(SEARCH("Party Name-",'R.M Billets Reports'!D738)),TRIM(MID('R.M Billets Reports'!D738,SEARCH("-",'R.M Billets Reports'!D738)+1,200)),"")))="SHREE RADHE SHAKTI SPONGE AND POWER PVT. LTD.","SHREE RADHE",IF(IF(ISNUMBER(SEARCH("Party Name:-",'R.M Billets Reports'!D737)),TRIM('R.M Billets Reports'!F737),IF(ISNUMBER(SEARCH("Party Name-",'R.M Billets Reports'!D737)),TRIM(MID('R.M Billets Reports'!D737,SEARCH("-",'R.M Billets Reports'!D737)+1,200)),""))&lt;&gt;"",IF(ISNUMBER(SEARCH("Party Name:-",'R.M Billets Reports'!D737)),TRIM('R.M Billets Reports'!F737),IF(ISNUMBER(SEARCH("Party Name-",'R.M Billets Reports'!D737)),TRIM(MID('R.M Billets Reports'!D737,SEARCH("-",'R.M Billets Reports'!D737)+1,200)),"")),IF(ISNUMBER(SEARCH("Party Name:-",'R.M Billets Reports'!D738)),TRIM('R.M Billets Reports'!F738),IF(ISNUMBER(SEARCH("Party Name-",'R.M Billets Reports'!D738)),TRIM(MID('R.M Billets Reports'!D738,SEARCH("-",'R.M Billets Reports'!D738)+1,200)),"")))))),IF(ROW()=2,"",A737))</f>
      </c>
      <c r="B738">
        <f>IF(OR('R.M Billets Reports'!A737="Date-",'R.M Billets Reports'!A737="Date:-"),'R.M Billets Reports'!B737,IF(ROW()=2,"",B737))</f>
      </c>
      <c r="C738">
        <f>IF('R.M Billets Reports'!A737="V.No.",'R.M Billets Reports'!B737,IF(ROW()=2,"",C737))</f>
      </c>
      <c r="D738">
        <f>IF('R.M Billets Reports'!A737&lt;&gt;"",'R.M Billets Reports'!A737,IF(ROW()=2,"",D737))</f>
      </c>
      <c r="E738">
        <f>IF('R.M Billets Reports'!B737="","",TRIM('R.M Billets Reports'!B737))</f>
      </c>
      <c r="F738">
        <f>'R.M Billets Reports'!C737</f>
      </c>
      <c r="G738">
        <f>'R.M Billets Reports'!D737</f>
      </c>
      <c r="H738">
        <f>'R.M Billets Reports'!E737</f>
      </c>
      <c r="I738">
        <f>'R.M Billets Reports'!F737</f>
      </c>
      <c r="J738">
        <f>'R.M Billets Reports'!G737</f>
      </c>
      <c r="K738">
        <f>'R.M Billets Reports'!H737</f>
      </c>
      <c r="L738">
        <f>IF('R.M Billets Reports'!I737="","",'R.M Billets Reports'!I737)</f>
      </c>
      <c r="M738">
        <f t="shared" si="22"/>
      </c>
      <c r="N738">
        <f>IF('R.M Billets Reports'!J737="","",'R.M Billets Reports'!J737)</f>
      </c>
      <c r="O738">
        <f t="shared" si="23"/>
      </c>
      <c r="P738">
        <f>IF('R.M Billets Reports'!A737="SIZE",'R.M Billets Reports'!B737,P737)</f>
      </c>
    </row>
    <row r="739" spans="1:16" x14ac:dyDescent="0.25">
      <c r="A739">
        <f>IF(OR('R.M Billets Reports'!A738="Date-",'R.M Billets Reports'!A738="Date:-"),IF(IF(IF(ISNUMBER(SEARCH("Party Name:-",'R.M Billets Reports'!D738)),TRIM('R.M Billets Reports'!F738),IF(ISNUMBER(SEARCH("Party Name-",'R.M Billets Reports'!D738)),TRIM(MID('R.M Billets Reports'!D738,SEARCH("-",'R.M Billets Reports'!D738)+1,200)),""))&lt;&gt;"",IF(ISNUMBER(SEARCH("Party Name:-",'R.M Billets Reports'!D738)),TRIM('R.M Billets Reports'!F738),IF(ISNUMBER(SEARCH("Party Name-",'R.M Billets Reports'!D738)),TRIM(MID('R.M Billets Reports'!D738,SEARCH("-",'R.M Billets Reports'!D738)+1,200)),"")),IF(ISNUMBER(SEARCH("Party Name:-",'R.M Billets Reports'!D739)),TRIM('R.M Billets Reports'!F739),IF(ISNUMBER(SEARCH("Party Name-",'R.M Billets Reports'!D739)),TRIM(MID('R.M Billets Reports'!D739,SEARCH("-",'R.M Billets Reports'!D739)+1,200)),"")))="VRKP ISPAT PVT LTD","VRKP",IF(IF(IF(ISNUMBER(SEARCH("Party Name:-",'R.M Billets Reports'!D738)),TRIM('R.M Billets Reports'!F738),IF(ISNUMBER(SEARCH("Party Name-",'R.M Billets Reports'!D738)),TRIM(MID('R.M Billets Reports'!D738,SEARCH("-",'R.M Billets Reports'!D738)+1,200)),""))&lt;&gt;"",IF(ISNUMBER(SEARCH("Party Name:-",'R.M Billets Reports'!D738)),TRIM('R.M Billets Reports'!F738),IF(ISNUMBER(SEARCH("Party Name-",'R.M Billets Reports'!D738)),TRIM(MID('R.M Billets Reports'!D738,SEARCH("-",'R.M Billets Reports'!D738)+1,200)),"")),IF(ISNUMBER(SEARCH("Party Name:-",'R.M Billets Reports'!D739)),TRIM('R.M Billets Reports'!F739),IF(ISNUMBER(SEARCH("Party Name-",'R.M Billets Reports'!D739)),TRIM(MID('R.M Billets Reports'!D739,SEARCH("-",'R.M Billets Reports'!D739)+1,200)),"")))="SHRI RADHE","SHREE RADHE",IF(IF(IF(ISNUMBER(SEARCH("Party Name:-",'R.M Billets Reports'!D738)),TRIM('R.M Billets Reports'!F738),IF(ISNUMBER(SEARCH("Party Name-",'R.M Billets Reports'!D738)),TRIM(MID('R.M Billets Reports'!D738,SEARCH("-",'R.M Billets Reports'!D738)+1,200)),""))&lt;&gt;"",IF(ISNUMBER(SEARCH("Party Name:-",'R.M Billets Reports'!D738)),TRIM('R.M Billets Reports'!F738),IF(ISNUMBER(SEARCH("Party Name-",'R.M Billets Reports'!D738)),TRIM(MID('R.M Billets Reports'!D738,SEARCH("-",'R.M Billets Reports'!D738)+1,200)),"")),IF(ISNUMBER(SEARCH("Party Name:-",'R.M Billets Reports'!D739)),TRIM('R.M Billets Reports'!F739),IF(ISNUMBER(SEARCH("Party Name-",'R.M Billets Reports'!D739)),TRIM(MID('R.M Billets Reports'!D739,SEARCH("-",'R.M Billets Reports'!D739)+1,200)),"")))="SHREE RADHE SHAKTI SPONGE AND POWER PVT. LTD.","SHREE RADHE",IF(IF(ISNUMBER(SEARCH("Party Name:-",'R.M Billets Reports'!D738)),TRIM('R.M Billets Reports'!F738),IF(ISNUMBER(SEARCH("Party Name-",'R.M Billets Reports'!D738)),TRIM(MID('R.M Billets Reports'!D738,SEARCH("-",'R.M Billets Reports'!D738)+1,200)),""))&lt;&gt;"",IF(ISNUMBER(SEARCH("Party Name:-",'R.M Billets Reports'!D738)),TRIM('R.M Billets Reports'!F738),IF(ISNUMBER(SEARCH("Party Name-",'R.M Billets Reports'!D738)),TRIM(MID('R.M Billets Reports'!D738,SEARCH("-",'R.M Billets Reports'!D738)+1,200)),"")),IF(ISNUMBER(SEARCH("Party Name:-",'R.M Billets Reports'!D739)),TRIM('R.M Billets Reports'!F739),IF(ISNUMBER(SEARCH("Party Name-",'R.M Billets Reports'!D739)),TRIM(MID('R.M Billets Reports'!D739,SEARCH("-",'R.M Billets Reports'!D739)+1,200)),"")))))),IF(ROW()=2,"",A738))</f>
      </c>
      <c r="B739">
        <f>IF(OR('R.M Billets Reports'!A738="Date-",'R.M Billets Reports'!A738="Date:-"),'R.M Billets Reports'!B738,IF(ROW()=2,"",B738))</f>
      </c>
      <c r="C739">
        <f>IF('R.M Billets Reports'!A738="V.No.",'R.M Billets Reports'!B738,IF(ROW()=2,"",C738))</f>
      </c>
      <c r="D739">
        <f>IF('R.M Billets Reports'!A738&lt;&gt;"",'R.M Billets Reports'!A738,IF(ROW()=2,"",D738))</f>
      </c>
      <c r="E739">
        <f>IF('R.M Billets Reports'!B738="","",TRIM('R.M Billets Reports'!B738))</f>
      </c>
      <c r="F739">
        <f>'R.M Billets Reports'!C738</f>
      </c>
      <c r="G739">
        <f>'R.M Billets Reports'!D738</f>
      </c>
      <c r="H739">
        <f>'R.M Billets Reports'!E738</f>
      </c>
      <c r="I739">
        <f>'R.M Billets Reports'!F738</f>
      </c>
      <c r="J739">
        <f>'R.M Billets Reports'!G738</f>
      </c>
      <c r="K739">
        <f>'R.M Billets Reports'!H738</f>
      </c>
      <c r="L739">
        <f>IF('R.M Billets Reports'!I738="","",'R.M Billets Reports'!I738)</f>
      </c>
      <c r="M739">
        <f t="shared" si="22"/>
      </c>
      <c r="N739">
        <f>IF('R.M Billets Reports'!J738="","",'R.M Billets Reports'!J738)</f>
      </c>
      <c r="O739">
        <f t="shared" si="23"/>
      </c>
      <c r="P739">
        <f>IF('R.M Billets Reports'!A738="SIZE",'R.M Billets Reports'!B738,P738)</f>
      </c>
    </row>
    <row r="740" spans="1:16" x14ac:dyDescent="0.25">
      <c r="A740">
        <f>IF(OR('R.M Billets Reports'!A739="Date-",'R.M Billets Reports'!A739="Date:-"),IF(IF(IF(ISNUMBER(SEARCH("Party Name:-",'R.M Billets Reports'!D739)),TRIM('R.M Billets Reports'!F739),IF(ISNUMBER(SEARCH("Party Name-",'R.M Billets Reports'!D739)),TRIM(MID('R.M Billets Reports'!D739,SEARCH("-",'R.M Billets Reports'!D739)+1,200)),""))&lt;&gt;"",IF(ISNUMBER(SEARCH("Party Name:-",'R.M Billets Reports'!D739)),TRIM('R.M Billets Reports'!F739),IF(ISNUMBER(SEARCH("Party Name-",'R.M Billets Reports'!D739)),TRIM(MID('R.M Billets Reports'!D739,SEARCH("-",'R.M Billets Reports'!D739)+1,200)),"")),IF(ISNUMBER(SEARCH("Party Name:-",'R.M Billets Reports'!D740)),TRIM('R.M Billets Reports'!F740),IF(ISNUMBER(SEARCH("Party Name-",'R.M Billets Reports'!D740)),TRIM(MID('R.M Billets Reports'!D740,SEARCH("-",'R.M Billets Reports'!D740)+1,200)),"")))="VRKP ISPAT PVT LTD","VRKP",IF(IF(IF(ISNUMBER(SEARCH("Party Name:-",'R.M Billets Reports'!D739)),TRIM('R.M Billets Reports'!F739),IF(ISNUMBER(SEARCH("Party Name-",'R.M Billets Reports'!D739)),TRIM(MID('R.M Billets Reports'!D739,SEARCH("-",'R.M Billets Reports'!D739)+1,200)),""))&lt;&gt;"",IF(ISNUMBER(SEARCH("Party Name:-",'R.M Billets Reports'!D739)),TRIM('R.M Billets Reports'!F739),IF(ISNUMBER(SEARCH("Party Name-",'R.M Billets Reports'!D739)),TRIM(MID('R.M Billets Reports'!D739,SEARCH("-",'R.M Billets Reports'!D739)+1,200)),"")),IF(ISNUMBER(SEARCH("Party Name:-",'R.M Billets Reports'!D740)),TRIM('R.M Billets Reports'!F740),IF(ISNUMBER(SEARCH("Party Name-",'R.M Billets Reports'!D740)),TRIM(MID('R.M Billets Reports'!D740,SEARCH("-",'R.M Billets Reports'!D740)+1,200)),"")))="SHRI RADHE","SHREE RADHE",IF(IF(IF(ISNUMBER(SEARCH("Party Name:-",'R.M Billets Reports'!D739)),TRIM('R.M Billets Reports'!F739),IF(ISNUMBER(SEARCH("Party Name-",'R.M Billets Reports'!D739)),TRIM(MID('R.M Billets Reports'!D739,SEARCH("-",'R.M Billets Reports'!D739)+1,200)),""))&lt;&gt;"",IF(ISNUMBER(SEARCH("Party Name:-",'R.M Billets Reports'!D739)),TRIM('R.M Billets Reports'!F739),IF(ISNUMBER(SEARCH("Party Name-",'R.M Billets Reports'!D739)),TRIM(MID('R.M Billets Reports'!D739,SEARCH("-",'R.M Billets Reports'!D739)+1,200)),"")),IF(ISNUMBER(SEARCH("Party Name:-",'R.M Billets Reports'!D740)),TRIM('R.M Billets Reports'!F740),IF(ISNUMBER(SEARCH("Party Name-",'R.M Billets Reports'!D740)),TRIM(MID('R.M Billets Reports'!D740,SEARCH("-",'R.M Billets Reports'!D740)+1,200)),"")))="SHREE RADHE SHAKTI SPONGE AND POWER PVT. LTD.","SHREE RADHE",IF(IF(ISNUMBER(SEARCH("Party Name:-",'R.M Billets Reports'!D739)),TRIM('R.M Billets Reports'!F739),IF(ISNUMBER(SEARCH("Party Name-",'R.M Billets Reports'!D739)),TRIM(MID('R.M Billets Reports'!D739,SEARCH("-",'R.M Billets Reports'!D739)+1,200)),""))&lt;&gt;"",IF(ISNUMBER(SEARCH("Party Name:-",'R.M Billets Reports'!D739)),TRIM('R.M Billets Reports'!F739),IF(ISNUMBER(SEARCH("Party Name-",'R.M Billets Reports'!D739)),TRIM(MID('R.M Billets Reports'!D739,SEARCH("-",'R.M Billets Reports'!D739)+1,200)),"")),IF(ISNUMBER(SEARCH("Party Name:-",'R.M Billets Reports'!D740)),TRIM('R.M Billets Reports'!F740),IF(ISNUMBER(SEARCH("Party Name-",'R.M Billets Reports'!D740)),TRIM(MID('R.M Billets Reports'!D740,SEARCH("-",'R.M Billets Reports'!D740)+1,200)),"")))))),IF(ROW()=2,"",A739))</f>
      </c>
      <c r="B740">
        <f>IF(OR('R.M Billets Reports'!A739="Date-",'R.M Billets Reports'!A739="Date:-"),'R.M Billets Reports'!B739,IF(ROW()=2,"",B739))</f>
      </c>
      <c r="C740">
        <f>IF('R.M Billets Reports'!A739="V.No.",'R.M Billets Reports'!B739,IF(ROW()=2,"",C739))</f>
      </c>
      <c r="D740">
        <f>IF('R.M Billets Reports'!A739&lt;&gt;"",'R.M Billets Reports'!A739,IF(ROW()=2,"",D739))</f>
      </c>
      <c r="E740">
        <f>IF('R.M Billets Reports'!B739="","",TRIM('R.M Billets Reports'!B739))</f>
      </c>
      <c r="F740">
        <f>'R.M Billets Reports'!C739</f>
      </c>
      <c r="G740">
        <f>'R.M Billets Reports'!D739</f>
      </c>
      <c r="H740">
        <f>'R.M Billets Reports'!E739</f>
      </c>
      <c r="I740">
        <f>'R.M Billets Reports'!F739</f>
      </c>
      <c r="J740">
        <f>'R.M Billets Reports'!G739</f>
      </c>
      <c r="K740">
        <f>'R.M Billets Reports'!H739</f>
      </c>
      <c r="L740">
        <f>IF('R.M Billets Reports'!I739="","",'R.M Billets Reports'!I739)</f>
      </c>
      <c r="M740">
        <f t="shared" si="22"/>
      </c>
      <c r="N740">
        <f>IF('R.M Billets Reports'!J739="","",'R.M Billets Reports'!J739)</f>
      </c>
      <c r="O740">
        <f t="shared" si="23"/>
      </c>
      <c r="P740">
        <f>IF('R.M Billets Reports'!A739="SIZE",'R.M Billets Reports'!B739,P739)</f>
      </c>
    </row>
    <row r="741" spans="1:16" x14ac:dyDescent="0.25">
      <c r="A741">
        <f>IF(OR('R.M Billets Reports'!A740="Date-",'R.M Billets Reports'!A740="Date:-"),IF(IF(IF(ISNUMBER(SEARCH("Party Name:-",'R.M Billets Reports'!D740)),TRIM('R.M Billets Reports'!F740),IF(ISNUMBER(SEARCH("Party Name-",'R.M Billets Reports'!D740)),TRIM(MID('R.M Billets Reports'!D740,SEARCH("-",'R.M Billets Reports'!D740)+1,200)),""))&lt;&gt;"",IF(ISNUMBER(SEARCH("Party Name:-",'R.M Billets Reports'!D740)),TRIM('R.M Billets Reports'!F740),IF(ISNUMBER(SEARCH("Party Name-",'R.M Billets Reports'!D740)),TRIM(MID('R.M Billets Reports'!D740,SEARCH("-",'R.M Billets Reports'!D740)+1,200)),"")),IF(ISNUMBER(SEARCH("Party Name:-",'R.M Billets Reports'!D741)),TRIM('R.M Billets Reports'!F741),IF(ISNUMBER(SEARCH("Party Name-",'R.M Billets Reports'!D741)),TRIM(MID('R.M Billets Reports'!D741,SEARCH("-",'R.M Billets Reports'!D741)+1,200)),"")))="VRKP ISPAT PVT LTD","VRKP",IF(IF(IF(ISNUMBER(SEARCH("Party Name:-",'R.M Billets Reports'!D740)),TRIM('R.M Billets Reports'!F740),IF(ISNUMBER(SEARCH("Party Name-",'R.M Billets Reports'!D740)),TRIM(MID('R.M Billets Reports'!D740,SEARCH("-",'R.M Billets Reports'!D740)+1,200)),""))&lt;&gt;"",IF(ISNUMBER(SEARCH("Party Name:-",'R.M Billets Reports'!D740)),TRIM('R.M Billets Reports'!F740),IF(ISNUMBER(SEARCH("Party Name-",'R.M Billets Reports'!D740)),TRIM(MID('R.M Billets Reports'!D740,SEARCH("-",'R.M Billets Reports'!D740)+1,200)),"")),IF(ISNUMBER(SEARCH("Party Name:-",'R.M Billets Reports'!D741)),TRIM('R.M Billets Reports'!F741),IF(ISNUMBER(SEARCH("Party Name-",'R.M Billets Reports'!D741)),TRIM(MID('R.M Billets Reports'!D741,SEARCH("-",'R.M Billets Reports'!D741)+1,200)),"")))="SHRI RADHE","SHREE RADHE",IF(IF(IF(ISNUMBER(SEARCH("Party Name:-",'R.M Billets Reports'!D740)),TRIM('R.M Billets Reports'!F740),IF(ISNUMBER(SEARCH("Party Name-",'R.M Billets Reports'!D740)),TRIM(MID('R.M Billets Reports'!D740,SEARCH("-",'R.M Billets Reports'!D740)+1,200)),""))&lt;&gt;"",IF(ISNUMBER(SEARCH("Party Name:-",'R.M Billets Reports'!D740)),TRIM('R.M Billets Reports'!F740),IF(ISNUMBER(SEARCH("Party Name-",'R.M Billets Reports'!D740)),TRIM(MID('R.M Billets Reports'!D740,SEARCH("-",'R.M Billets Reports'!D740)+1,200)),"")),IF(ISNUMBER(SEARCH("Party Name:-",'R.M Billets Reports'!D741)),TRIM('R.M Billets Reports'!F741),IF(ISNUMBER(SEARCH("Party Name-",'R.M Billets Reports'!D741)),TRIM(MID('R.M Billets Reports'!D741,SEARCH("-",'R.M Billets Reports'!D741)+1,200)),"")))="SHREE RADHE SHAKTI SPONGE AND POWER PVT. LTD.","SHREE RADHE",IF(IF(ISNUMBER(SEARCH("Party Name:-",'R.M Billets Reports'!D740)),TRIM('R.M Billets Reports'!F740),IF(ISNUMBER(SEARCH("Party Name-",'R.M Billets Reports'!D740)),TRIM(MID('R.M Billets Reports'!D740,SEARCH("-",'R.M Billets Reports'!D740)+1,200)),""))&lt;&gt;"",IF(ISNUMBER(SEARCH("Party Name:-",'R.M Billets Reports'!D740)),TRIM('R.M Billets Reports'!F740),IF(ISNUMBER(SEARCH("Party Name-",'R.M Billets Reports'!D740)),TRIM(MID('R.M Billets Reports'!D740,SEARCH("-",'R.M Billets Reports'!D740)+1,200)),"")),IF(ISNUMBER(SEARCH("Party Name:-",'R.M Billets Reports'!D741)),TRIM('R.M Billets Reports'!F741),IF(ISNUMBER(SEARCH("Party Name-",'R.M Billets Reports'!D741)),TRIM(MID('R.M Billets Reports'!D741,SEARCH("-",'R.M Billets Reports'!D741)+1,200)),"")))))),IF(ROW()=2,"",A740))</f>
      </c>
      <c r="B741">
        <f>IF(OR('R.M Billets Reports'!A740="Date-",'R.M Billets Reports'!A740="Date:-"),'R.M Billets Reports'!B740,IF(ROW()=2,"",B740))</f>
      </c>
      <c r="C741">
        <f>IF('R.M Billets Reports'!A740="V.No.",'R.M Billets Reports'!B740,IF(ROW()=2,"",C740))</f>
      </c>
      <c r="D741">
        <f>IF('R.M Billets Reports'!A740&lt;&gt;"",'R.M Billets Reports'!A740,IF(ROW()=2,"",D740))</f>
      </c>
      <c r="E741">
        <f>IF('R.M Billets Reports'!B740="","",TRIM('R.M Billets Reports'!B740))</f>
      </c>
      <c r="F741">
        <f>'R.M Billets Reports'!C740</f>
      </c>
      <c r="G741">
        <f>'R.M Billets Reports'!D740</f>
      </c>
      <c r="H741">
        <f>'R.M Billets Reports'!E740</f>
      </c>
      <c r="I741">
        <f>'R.M Billets Reports'!F740</f>
      </c>
      <c r="J741">
        <f>'R.M Billets Reports'!G740</f>
      </c>
      <c r="K741">
        <f>'R.M Billets Reports'!H740</f>
      </c>
      <c r="L741">
        <f>IF('R.M Billets Reports'!I740="","",'R.M Billets Reports'!I740)</f>
      </c>
      <c r="M741">
        <f t="shared" si="22"/>
      </c>
      <c r="N741">
        <f>IF('R.M Billets Reports'!J740="","",'R.M Billets Reports'!J740)</f>
      </c>
      <c r="O741">
        <f t="shared" si="23"/>
      </c>
      <c r="P741">
        <f>IF('R.M Billets Reports'!A740="SIZE",'R.M Billets Reports'!B740,P740)</f>
      </c>
    </row>
    <row r="742" spans="1:16" x14ac:dyDescent="0.25">
      <c r="A742">
        <f>IF(OR('R.M Billets Reports'!A741="Date-",'R.M Billets Reports'!A741="Date:-"),IF(IF(IF(ISNUMBER(SEARCH("Party Name:-",'R.M Billets Reports'!D741)),TRIM('R.M Billets Reports'!F741),IF(ISNUMBER(SEARCH("Party Name-",'R.M Billets Reports'!D741)),TRIM(MID('R.M Billets Reports'!D741,SEARCH("-",'R.M Billets Reports'!D741)+1,200)),""))&lt;&gt;"",IF(ISNUMBER(SEARCH("Party Name:-",'R.M Billets Reports'!D741)),TRIM('R.M Billets Reports'!F741),IF(ISNUMBER(SEARCH("Party Name-",'R.M Billets Reports'!D741)),TRIM(MID('R.M Billets Reports'!D741,SEARCH("-",'R.M Billets Reports'!D741)+1,200)),"")),IF(ISNUMBER(SEARCH("Party Name:-",'R.M Billets Reports'!D742)),TRIM('R.M Billets Reports'!F742),IF(ISNUMBER(SEARCH("Party Name-",'R.M Billets Reports'!D742)),TRIM(MID('R.M Billets Reports'!D742,SEARCH("-",'R.M Billets Reports'!D742)+1,200)),"")))="VRKP ISPAT PVT LTD","VRKP",IF(IF(IF(ISNUMBER(SEARCH("Party Name:-",'R.M Billets Reports'!D741)),TRIM('R.M Billets Reports'!F741),IF(ISNUMBER(SEARCH("Party Name-",'R.M Billets Reports'!D741)),TRIM(MID('R.M Billets Reports'!D741,SEARCH("-",'R.M Billets Reports'!D741)+1,200)),""))&lt;&gt;"",IF(ISNUMBER(SEARCH("Party Name:-",'R.M Billets Reports'!D741)),TRIM('R.M Billets Reports'!F741),IF(ISNUMBER(SEARCH("Party Name-",'R.M Billets Reports'!D741)),TRIM(MID('R.M Billets Reports'!D741,SEARCH("-",'R.M Billets Reports'!D741)+1,200)),"")),IF(ISNUMBER(SEARCH("Party Name:-",'R.M Billets Reports'!D742)),TRIM('R.M Billets Reports'!F742),IF(ISNUMBER(SEARCH("Party Name-",'R.M Billets Reports'!D742)),TRIM(MID('R.M Billets Reports'!D742,SEARCH("-",'R.M Billets Reports'!D742)+1,200)),"")))="SHRI RADHE","SHREE RADHE",IF(IF(IF(ISNUMBER(SEARCH("Party Name:-",'R.M Billets Reports'!D741)),TRIM('R.M Billets Reports'!F741),IF(ISNUMBER(SEARCH("Party Name-",'R.M Billets Reports'!D741)),TRIM(MID('R.M Billets Reports'!D741,SEARCH("-",'R.M Billets Reports'!D741)+1,200)),""))&lt;&gt;"",IF(ISNUMBER(SEARCH("Party Name:-",'R.M Billets Reports'!D741)),TRIM('R.M Billets Reports'!F741),IF(ISNUMBER(SEARCH("Party Name-",'R.M Billets Reports'!D741)),TRIM(MID('R.M Billets Reports'!D741,SEARCH("-",'R.M Billets Reports'!D741)+1,200)),"")),IF(ISNUMBER(SEARCH("Party Name:-",'R.M Billets Reports'!D742)),TRIM('R.M Billets Reports'!F742),IF(ISNUMBER(SEARCH("Party Name-",'R.M Billets Reports'!D742)),TRIM(MID('R.M Billets Reports'!D742,SEARCH("-",'R.M Billets Reports'!D742)+1,200)),"")))="SHREE RADHE SHAKTI SPONGE AND POWER PVT. LTD.","SHREE RADHE",IF(IF(ISNUMBER(SEARCH("Party Name:-",'R.M Billets Reports'!D741)),TRIM('R.M Billets Reports'!F741),IF(ISNUMBER(SEARCH("Party Name-",'R.M Billets Reports'!D741)),TRIM(MID('R.M Billets Reports'!D741,SEARCH("-",'R.M Billets Reports'!D741)+1,200)),""))&lt;&gt;"",IF(ISNUMBER(SEARCH("Party Name:-",'R.M Billets Reports'!D741)),TRIM('R.M Billets Reports'!F741),IF(ISNUMBER(SEARCH("Party Name-",'R.M Billets Reports'!D741)),TRIM(MID('R.M Billets Reports'!D741,SEARCH("-",'R.M Billets Reports'!D741)+1,200)),"")),IF(ISNUMBER(SEARCH("Party Name:-",'R.M Billets Reports'!D742)),TRIM('R.M Billets Reports'!F742),IF(ISNUMBER(SEARCH("Party Name-",'R.M Billets Reports'!D742)),TRIM(MID('R.M Billets Reports'!D742,SEARCH("-",'R.M Billets Reports'!D742)+1,200)),"")))))),IF(ROW()=2,"",A741))</f>
      </c>
      <c r="B742">
        <f>IF(OR('R.M Billets Reports'!A741="Date-",'R.M Billets Reports'!A741="Date:-"),'R.M Billets Reports'!B741,IF(ROW()=2,"",B741))</f>
      </c>
      <c r="C742">
        <f>IF('R.M Billets Reports'!A741="V.No.",'R.M Billets Reports'!B741,IF(ROW()=2,"",C741))</f>
      </c>
      <c r="D742">
        <f>IF('R.M Billets Reports'!A741&lt;&gt;"",'R.M Billets Reports'!A741,IF(ROW()=2,"",D741))</f>
      </c>
      <c r="E742">
        <f>IF('R.M Billets Reports'!B741="","",TRIM('R.M Billets Reports'!B741))</f>
      </c>
      <c r="F742">
        <f>'R.M Billets Reports'!C741</f>
      </c>
      <c r="G742">
        <f>'R.M Billets Reports'!D741</f>
      </c>
      <c r="H742">
        <f>'R.M Billets Reports'!E741</f>
      </c>
      <c r="I742">
        <f>'R.M Billets Reports'!F741</f>
      </c>
      <c r="J742">
        <f>'R.M Billets Reports'!G741</f>
      </c>
      <c r="K742">
        <f>'R.M Billets Reports'!H741</f>
      </c>
      <c r="L742">
        <f>IF('R.M Billets Reports'!I741="","",'R.M Billets Reports'!I741)</f>
      </c>
      <c r="M742">
        <f t="shared" si="22"/>
      </c>
      <c r="N742">
        <f>IF('R.M Billets Reports'!J741="","",'R.M Billets Reports'!J741)</f>
      </c>
      <c r="O742">
        <f t="shared" si="23"/>
      </c>
      <c r="P742">
        <f>IF('R.M Billets Reports'!A741="SIZE",'R.M Billets Reports'!B741,P741)</f>
      </c>
    </row>
    <row r="743" spans="1:16" x14ac:dyDescent="0.25">
      <c r="A743">
        <f>IF(OR('R.M Billets Reports'!A742="Date-",'R.M Billets Reports'!A742="Date:-"),IF(IF(IF(ISNUMBER(SEARCH("Party Name:-",'R.M Billets Reports'!D742)),TRIM('R.M Billets Reports'!F742),IF(ISNUMBER(SEARCH("Party Name-",'R.M Billets Reports'!D742)),TRIM(MID('R.M Billets Reports'!D742,SEARCH("-",'R.M Billets Reports'!D742)+1,200)),""))&lt;&gt;"",IF(ISNUMBER(SEARCH("Party Name:-",'R.M Billets Reports'!D742)),TRIM('R.M Billets Reports'!F742),IF(ISNUMBER(SEARCH("Party Name-",'R.M Billets Reports'!D742)),TRIM(MID('R.M Billets Reports'!D742,SEARCH("-",'R.M Billets Reports'!D742)+1,200)),"")),IF(ISNUMBER(SEARCH("Party Name:-",'R.M Billets Reports'!D743)),TRIM('R.M Billets Reports'!F743),IF(ISNUMBER(SEARCH("Party Name-",'R.M Billets Reports'!D743)),TRIM(MID('R.M Billets Reports'!D743,SEARCH("-",'R.M Billets Reports'!D743)+1,200)),"")))="VRKP ISPAT PVT LTD","VRKP",IF(IF(IF(ISNUMBER(SEARCH("Party Name:-",'R.M Billets Reports'!D742)),TRIM('R.M Billets Reports'!F742),IF(ISNUMBER(SEARCH("Party Name-",'R.M Billets Reports'!D742)),TRIM(MID('R.M Billets Reports'!D742,SEARCH("-",'R.M Billets Reports'!D742)+1,200)),""))&lt;&gt;"",IF(ISNUMBER(SEARCH("Party Name:-",'R.M Billets Reports'!D742)),TRIM('R.M Billets Reports'!F742),IF(ISNUMBER(SEARCH("Party Name-",'R.M Billets Reports'!D742)),TRIM(MID('R.M Billets Reports'!D742,SEARCH("-",'R.M Billets Reports'!D742)+1,200)),"")),IF(ISNUMBER(SEARCH("Party Name:-",'R.M Billets Reports'!D743)),TRIM('R.M Billets Reports'!F743),IF(ISNUMBER(SEARCH("Party Name-",'R.M Billets Reports'!D743)),TRIM(MID('R.M Billets Reports'!D743,SEARCH("-",'R.M Billets Reports'!D743)+1,200)),"")))="SHRI RADHE","SHREE RADHE",IF(IF(IF(ISNUMBER(SEARCH("Party Name:-",'R.M Billets Reports'!D742)),TRIM('R.M Billets Reports'!F742),IF(ISNUMBER(SEARCH("Party Name-",'R.M Billets Reports'!D742)),TRIM(MID('R.M Billets Reports'!D742,SEARCH("-",'R.M Billets Reports'!D742)+1,200)),""))&lt;&gt;"",IF(ISNUMBER(SEARCH("Party Name:-",'R.M Billets Reports'!D742)),TRIM('R.M Billets Reports'!F742),IF(ISNUMBER(SEARCH("Party Name-",'R.M Billets Reports'!D742)),TRIM(MID('R.M Billets Reports'!D742,SEARCH("-",'R.M Billets Reports'!D742)+1,200)),"")),IF(ISNUMBER(SEARCH("Party Name:-",'R.M Billets Reports'!D743)),TRIM('R.M Billets Reports'!F743),IF(ISNUMBER(SEARCH("Party Name-",'R.M Billets Reports'!D743)),TRIM(MID('R.M Billets Reports'!D743,SEARCH("-",'R.M Billets Reports'!D743)+1,200)),"")))="SHREE RADHE SHAKTI SPONGE AND POWER PVT. LTD.","SHREE RADHE",IF(IF(ISNUMBER(SEARCH("Party Name:-",'R.M Billets Reports'!D742)),TRIM('R.M Billets Reports'!F742),IF(ISNUMBER(SEARCH("Party Name-",'R.M Billets Reports'!D742)),TRIM(MID('R.M Billets Reports'!D742,SEARCH("-",'R.M Billets Reports'!D742)+1,200)),""))&lt;&gt;"",IF(ISNUMBER(SEARCH("Party Name:-",'R.M Billets Reports'!D742)),TRIM('R.M Billets Reports'!F742),IF(ISNUMBER(SEARCH("Party Name-",'R.M Billets Reports'!D742)),TRIM(MID('R.M Billets Reports'!D742,SEARCH("-",'R.M Billets Reports'!D742)+1,200)),"")),IF(ISNUMBER(SEARCH("Party Name:-",'R.M Billets Reports'!D743)),TRIM('R.M Billets Reports'!F743),IF(ISNUMBER(SEARCH("Party Name-",'R.M Billets Reports'!D743)),TRIM(MID('R.M Billets Reports'!D743,SEARCH("-",'R.M Billets Reports'!D743)+1,200)),"")))))),IF(ROW()=2,"",A742))</f>
      </c>
      <c r="B743">
        <f>IF(OR('R.M Billets Reports'!A742="Date-",'R.M Billets Reports'!A742="Date:-"),'R.M Billets Reports'!B742,IF(ROW()=2,"",B742))</f>
      </c>
      <c r="C743">
        <f>IF('R.M Billets Reports'!A742="V.No.",'R.M Billets Reports'!B742,IF(ROW()=2,"",C742))</f>
      </c>
      <c r="D743">
        <f>IF('R.M Billets Reports'!A742&lt;&gt;"",'R.M Billets Reports'!A742,IF(ROW()=2,"",D742))</f>
      </c>
      <c r="E743">
        <f>IF('R.M Billets Reports'!B742="","",TRIM('R.M Billets Reports'!B742))</f>
      </c>
      <c r="F743">
        <f>'R.M Billets Reports'!C742</f>
      </c>
      <c r="G743">
        <f>'R.M Billets Reports'!D742</f>
      </c>
      <c r="H743">
        <f>'R.M Billets Reports'!E742</f>
      </c>
      <c r="I743">
        <f>'R.M Billets Reports'!F742</f>
      </c>
      <c r="J743">
        <f>'R.M Billets Reports'!G742</f>
      </c>
      <c r="K743">
        <f>'R.M Billets Reports'!H742</f>
      </c>
      <c r="L743">
        <f>IF('R.M Billets Reports'!I742="","",'R.M Billets Reports'!I742)</f>
      </c>
      <c r="M743">
        <f t="shared" si="22"/>
      </c>
      <c r="N743">
        <f>IF('R.M Billets Reports'!J742="","",'R.M Billets Reports'!J742)</f>
      </c>
      <c r="O743">
        <f t="shared" si="23"/>
      </c>
      <c r="P743">
        <f>IF('R.M Billets Reports'!A742="SIZE",'R.M Billets Reports'!B742,P742)</f>
      </c>
    </row>
    <row r="744" spans="1:16" x14ac:dyDescent="0.25">
      <c r="A744">
        <f>IF(OR('R.M Billets Reports'!A743="Date-",'R.M Billets Reports'!A743="Date:-"),IF(IF(IF(ISNUMBER(SEARCH("Party Name:-",'R.M Billets Reports'!D743)),TRIM('R.M Billets Reports'!F743),IF(ISNUMBER(SEARCH("Party Name-",'R.M Billets Reports'!D743)),TRIM(MID('R.M Billets Reports'!D743,SEARCH("-",'R.M Billets Reports'!D743)+1,200)),""))&lt;&gt;"",IF(ISNUMBER(SEARCH("Party Name:-",'R.M Billets Reports'!D743)),TRIM('R.M Billets Reports'!F743),IF(ISNUMBER(SEARCH("Party Name-",'R.M Billets Reports'!D743)),TRIM(MID('R.M Billets Reports'!D743,SEARCH("-",'R.M Billets Reports'!D743)+1,200)),"")),IF(ISNUMBER(SEARCH("Party Name:-",'R.M Billets Reports'!D744)),TRIM('R.M Billets Reports'!F744),IF(ISNUMBER(SEARCH("Party Name-",'R.M Billets Reports'!D744)),TRIM(MID('R.M Billets Reports'!D744,SEARCH("-",'R.M Billets Reports'!D744)+1,200)),"")))="VRKP ISPAT PVT LTD","VRKP",IF(IF(IF(ISNUMBER(SEARCH("Party Name:-",'R.M Billets Reports'!D743)),TRIM('R.M Billets Reports'!F743),IF(ISNUMBER(SEARCH("Party Name-",'R.M Billets Reports'!D743)),TRIM(MID('R.M Billets Reports'!D743,SEARCH("-",'R.M Billets Reports'!D743)+1,200)),""))&lt;&gt;"",IF(ISNUMBER(SEARCH("Party Name:-",'R.M Billets Reports'!D743)),TRIM('R.M Billets Reports'!F743),IF(ISNUMBER(SEARCH("Party Name-",'R.M Billets Reports'!D743)),TRIM(MID('R.M Billets Reports'!D743,SEARCH("-",'R.M Billets Reports'!D743)+1,200)),"")),IF(ISNUMBER(SEARCH("Party Name:-",'R.M Billets Reports'!D744)),TRIM('R.M Billets Reports'!F744),IF(ISNUMBER(SEARCH("Party Name-",'R.M Billets Reports'!D744)),TRIM(MID('R.M Billets Reports'!D744,SEARCH("-",'R.M Billets Reports'!D744)+1,200)),"")))="SHRI RADHE","SHREE RADHE",IF(IF(IF(ISNUMBER(SEARCH("Party Name:-",'R.M Billets Reports'!D743)),TRIM('R.M Billets Reports'!F743),IF(ISNUMBER(SEARCH("Party Name-",'R.M Billets Reports'!D743)),TRIM(MID('R.M Billets Reports'!D743,SEARCH("-",'R.M Billets Reports'!D743)+1,200)),""))&lt;&gt;"",IF(ISNUMBER(SEARCH("Party Name:-",'R.M Billets Reports'!D743)),TRIM('R.M Billets Reports'!F743),IF(ISNUMBER(SEARCH("Party Name-",'R.M Billets Reports'!D743)),TRIM(MID('R.M Billets Reports'!D743,SEARCH("-",'R.M Billets Reports'!D743)+1,200)),"")),IF(ISNUMBER(SEARCH("Party Name:-",'R.M Billets Reports'!D744)),TRIM('R.M Billets Reports'!F744),IF(ISNUMBER(SEARCH("Party Name-",'R.M Billets Reports'!D744)),TRIM(MID('R.M Billets Reports'!D744,SEARCH("-",'R.M Billets Reports'!D744)+1,200)),"")))="SHREE RADHE SHAKTI SPONGE AND POWER PVT. LTD.","SHREE RADHE",IF(IF(ISNUMBER(SEARCH("Party Name:-",'R.M Billets Reports'!D743)),TRIM('R.M Billets Reports'!F743),IF(ISNUMBER(SEARCH("Party Name-",'R.M Billets Reports'!D743)),TRIM(MID('R.M Billets Reports'!D743,SEARCH("-",'R.M Billets Reports'!D743)+1,200)),""))&lt;&gt;"",IF(ISNUMBER(SEARCH("Party Name:-",'R.M Billets Reports'!D743)),TRIM('R.M Billets Reports'!F743),IF(ISNUMBER(SEARCH("Party Name-",'R.M Billets Reports'!D743)),TRIM(MID('R.M Billets Reports'!D743,SEARCH("-",'R.M Billets Reports'!D743)+1,200)),"")),IF(ISNUMBER(SEARCH("Party Name:-",'R.M Billets Reports'!D744)),TRIM('R.M Billets Reports'!F744),IF(ISNUMBER(SEARCH("Party Name-",'R.M Billets Reports'!D744)),TRIM(MID('R.M Billets Reports'!D744,SEARCH("-",'R.M Billets Reports'!D744)+1,200)),"")))))),IF(ROW()=2,"",A743))</f>
      </c>
      <c r="B744">
        <f>IF(OR('R.M Billets Reports'!A743="Date-",'R.M Billets Reports'!A743="Date:-"),'R.M Billets Reports'!B743,IF(ROW()=2,"",B743))</f>
      </c>
      <c r="C744">
        <f>IF('R.M Billets Reports'!A743="V.No.",'R.M Billets Reports'!B743,IF(ROW()=2,"",C743))</f>
      </c>
      <c r="D744">
        <f>IF('R.M Billets Reports'!A743&lt;&gt;"",'R.M Billets Reports'!A743,IF(ROW()=2,"",D743))</f>
      </c>
      <c r="E744">
        <f>IF('R.M Billets Reports'!B743="","",TRIM('R.M Billets Reports'!B743))</f>
      </c>
      <c r="F744">
        <f>'R.M Billets Reports'!C743</f>
      </c>
      <c r="G744">
        <f>'R.M Billets Reports'!D743</f>
      </c>
      <c r="H744">
        <f>'R.M Billets Reports'!E743</f>
      </c>
      <c r="I744">
        <f>'R.M Billets Reports'!F743</f>
      </c>
      <c r="J744">
        <f>'R.M Billets Reports'!G743</f>
      </c>
      <c r="K744">
        <f>'R.M Billets Reports'!H743</f>
      </c>
      <c r="L744">
        <f>IF('R.M Billets Reports'!I743="","",'R.M Billets Reports'!I743)</f>
      </c>
      <c r="M744">
        <f t="shared" si="22"/>
      </c>
      <c r="N744">
        <f>IF('R.M Billets Reports'!J743="","",'R.M Billets Reports'!J743)</f>
      </c>
      <c r="O744">
        <f t="shared" si="23"/>
      </c>
      <c r="P744">
        <f>IF('R.M Billets Reports'!A743="SIZE",'R.M Billets Reports'!B743,P743)</f>
      </c>
    </row>
    <row r="745" spans="1:16" x14ac:dyDescent="0.25">
      <c r="A745">
        <f>IF(OR('R.M Billets Reports'!A744="Date-",'R.M Billets Reports'!A744="Date:-"),IF(IF(IF(ISNUMBER(SEARCH("Party Name:-",'R.M Billets Reports'!D744)),TRIM('R.M Billets Reports'!F744),IF(ISNUMBER(SEARCH("Party Name-",'R.M Billets Reports'!D744)),TRIM(MID('R.M Billets Reports'!D744,SEARCH("-",'R.M Billets Reports'!D744)+1,200)),""))&lt;&gt;"",IF(ISNUMBER(SEARCH("Party Name:-",'R.M Billets Reports'!D744)),TRIM('R.M Billets Reports'!F744),IF(ISNUMBER(SEARCH("Party Name-",'R.M Billets Reports'!D744)),TRIM(MID('R.M Billets Reports'!D744,SEARCH("-",'R.M Billets Reports'!D744)+1,200)),"")),IF(ISNUMBER(SEARCH("Party Name:-",'R.M Billets Reports'!D745)),TRIM('R.M Billets Reports'!F745),IF(ISNUMBER(SEARCH("Party Name-",'R.M Billets Reports'!D745)),TRIM(MID('R.M Billets Reports'!D745,SEARCH("-",'R.M Billets Reports'!D745)+1,200)),"")))="VRKP ISPAT PVT LTD","VRKP",IF(IF(IF(ISNUMBER(SEARCH("Party Name:-",'R.M Billets Reports'!D744)),TRIM('R.M Billets Reports'!F744),IF(ISNUMBER(SEARCH("Party Name-",'R.M Billets Reports'!D744)),TRIM(MID('R.M Billets Reports'!D744,SEARCH("-",'R.M Billets Reports'!D744)+1,200)),""))&lt;&gt;"",IF(ISNUMBER(SEARCH("Party Name:-",'R.M Billets Reports'!D744)),TRIM('R.M Billets Reports'!F744),IF(ISNUMBER(SEARCH("Party Name-",'R.M Billets Reports'!D744)),TRIM(MID('R.M Billets Reports'!D744,SEARCH("-",'R.M Billets Reports'!D744)+1,200)),"")),IF(ISNUMBER(SEARCH("Party Name:-",'R.M Billets Reports'!D745)),TRIM('R.M Billets Reports'!F745),IF(ISNUMBER(SEARCH("Party Name-",'R.M Billets Reports'!D745)),TRIM(MID('R.M Billets Reports'!D745,SEARCH("-",'R.M Billets Reports'!D745)+1,200)),"")))="SHRI RADHE","SHREE RADHE",IF(IF(IF(ISNUMBER(SEARCH("Party Name:-",'R.M Billets Reports'!D744)),TRIM('R.M Billets Reports'!F744),IF(ISNUMBER(SEARCH("Party Name-",'R.M Billets Reports'!D744)),TRIM(MID('R.M Billets Reports'!D744,SEARCH("-",'R.M Billets Reports'!D744)+1,200)),""))&lt;&gt;"",IF(ISNUMBER(SEARCH("Party Name:-",'R.M Billets Reports'!D744)),TRIM('R.M Billets Reports'!F744),IF(ISNUMBER(SEARCH("Party Name-",'R.M Billets Reports'!D744)),TRIM(MID('R.M Billets Reports'!D744,SEARCH("-",'R.M Billets Reports'!D744)+1,200)),"")),IF(ISNUMBER(SEARCH("Party Name:-",'R.M Billets Reports'!D745)),TRIM('R.M Billets Reports'!F745),IF(ISNUMBER(SEARCH("Party Name-",'R.M Billets Reports'!D745)),TRIM(MID('R.M Billets Reports'!D745,SEARCH("-",'R.M Billets Reports'!D745)+1,200)),"")))="SHREE RADHE SHAKTI SPONGE AND POWER PVT. LTD.","SHREE RADHE",IF(IF(ISNUMBER(SEARCH("Party Name:-",'R.M Billets Reports'!D744)),TRIM('R.M Billets Reports'!F744),IF(ISNUMBER(SEARCH("Party Name-",'R.M Billets Reports'!D744)),TRIM(MID('R.M Billets Reports'!D744,SEARCH("-",'R.M Billets Reports'!D744)+1,200)),""))&lt;&gt;"",IF(ISNUMBER(SEARCH("Party Name:-",'R.M Billets Reports'!D744)),TRIM('R.M Billets Reports'!F744),IF(ISNUMBER(SEARCH("Party Name-",'R.M Billets Reports'!D744)),TRIM(MID('R.M Billets Reports'!D744,SEARCH("-",'R.M Billets Reports'!D744)+1,200)),"")),IF(ISNUMBER(SEARCH("Party Name:-",'R.M Billets Reports'!D745)),TRIM('R.M Billets Reports'!F745),IF(ISNUMBER(SEARCH("Party Name-",'R.M Billets Reports'!D745)),TRIM(MID('R.M Billets Reports'!D745,SEARCH("-",'R.M Billets Reports'!D745)+1,200)),"")))))),IF(ROW()=2,"",A744))</f>
      </c>
      <c r="B745">
        <f>IF(OR('R.M Billets Reports'!A744="Date-",'R.M Billets Reports'!A744="Date:-"),'R.M Billets Reports'!B744,IF(ROW()=2,"",B744))</f>
      </c>
      <c r="C745">
        <f>IF('R.M Billets Reports'!A744="V.No.",'R.M Billets Reports'!B744,IF(ROW()=2,"",C744))</f>
      </c>
      <c r="D745">
        <f>IF('R.M Billets Reports'!A744&lt;&gt;"",'R.M Billets Reports'!A744,IF(ROW()=2,"",D744))</f>
      </c>
      <c r="E745">
        <f>IF('R.M Billets Reports'!B744="","",TRIM('R.M Billets Reports'!B744))</f>
      </c>
      <c r="F745">
        <f>'R.M Billets Reports'!C744</f>
      </c>
      <c r="G745">
        <f>'R.M Billets Reports'!D744</f>
      </c>
      <c r="H745">
        <f>'R.M Billets Reports'!E744</f>
      </c>
      <c r="I745">
        <f>'R.M Billets Reports'!F744</f>
      </c>
      <c r="J745">
        <f>'R.M Billets Reports'!G744</f>
      </c>
      <c r="K745">
        <f>'R.M Billets Reports'!H744</f>
      </c>
      <c r="L745">
        <f>IF('R.M Billets Reports'!I744="","",'R.M Billets Reports'!I744)</f>
      </c>
      <c r="M745">
        <f t="shared" si="22"/>
      </c>
      <c r="N745">
        <f>IF('R.M Billets Reports'!J744="","",'R.M Billets Reports'!J744)</f>
      </c>
      <c r="O745">
        <f t="shared" si="23"/>
      </c>
      <c r="P745">
        <f>IF('R.M Billets Reports'!A744="SIZE",'R.M Billets Reports'!B744,P744)</f>
      </c>
    </row>
    <row r="746" spans="1:16" x14ac:dyDescent="0.25">
      <c r="A746">
        <f>IF(OR('R.M Billets Reports'!A745="Date-",'R.M Billets Reports'!A745="Date:-"),IF(IF(IF(ISNUMBER(SEARCH("Party Name:-",'R.M Billets Reports'!D745)),TRIM('R.M Billets Reports'!F745),IF(ISNUMBER(SEARCH("Party Name-",'R.M Billets Reports'!D745)),TRIM(MID('R.M Billets Reports'!D745,SEARCH("-",'R.M Billets Reports'!D745)+1,200)),""))&lt;&gt;"",IF(ISNUMBER(SEARCH("Party Name:-",'R.M Billets Reports'!D745)),TRIM('R.M Billets Reports'!F745),IF(ISNUMBER(SEARCH("Party Name-",'R.M Billets Reports'!D745)),TRIM(MID('R.M Billets Reports'!D745,SEARCH("-",'R.M Billets Reports'!D745)+1,200)),"")),IF(ISNUMBER(SEARCH("Party Name:-",'R.M Billets Reports'!D746)),TRIM('R.M Billets Reports'!F746),IF(ISNUMBER(SEARCH("Party Name-",'R.M Billets Reports'!D746)),TRIM(MID('R.M Billets Reports'!D746,SEARCH("-",'R.M Billets Reports'!D746)+1,200)),"")))="VRKP ISPAT PVT LTD","VRKP",IF(IF(IF(ISNUMBER(SEARCH("Party Name:-",'R.M Billets Reports'!D745)),TRIM('R.M Billets Reports'!F745),IF(ISNUMBER(SEARCH("Party Name-",'R.M Billets Reports'!D745)),TRIM(MID('R.M Billets Reports'!D745,SEARCH("-",'R.M Billets Reports'!D745)+1,200)),""))&lt;&gt;"",IF(ISNUMBER(SEARCH("Party Name:-",'R.M Billets Reports'!D745)),TRIM('R.M Billets Reports'!F745),IF(ISNUMBER(SEARCH("Party Name-",'R.M Billets Reports'!D745)),TRIM(MID('R.M Billets Reports'!D745,SEARCH("-",'R.M Billets Reports'!D745)+1,200)),"")),IF(ISNUMBER(SEARCH("Party Name:-",'R.M Billets Reports'!D746)),TRIM('R.M Billets Reports'!F746),IF(ISNUMBER(SEARCH("Party Name-",'R.M Billets Reports'!D746)),TRIM(MID('R.M Billets Reports'!D746,SEARCH("-",'R.M Billets Reports'!D746)+1,200)),"")))="SHRI RADHE","SHREE RADHE",IF(IF(IF(ISNUMBER(SEARCH("Party Name:-",'R.M Billets Reports'!D745)),TRIM('R.M Billets Reports'!F745),IF(ISNUMBER(SEARCH("Party Name-",'R.M Billets Reports'!D745)),TRIM(MID('R.M Billets Reports'!D745,SEARCH("-",'R.M Billets Reports'!D745)+1,200)),""))&lt;&gt;"",IF(ISNUMBER(SEARCH("Party Name:-",'R.M Billets Reports'!D745)),TRIM('R.M Billets Reports'!F745),IF(ISNUMBER(SEARCH("Party Name-",'R.M Billets Reports'!D745)),TRIM(MID('R.M Billets Reports'!D745,SEARCH("-",'R.M Billets Reports'!D745)+1,200)),"")),IF(ISNUMBER(SEARCH("Party Name:-",'R.M Billets Reports'!D746)),TRIM('R.M Billets Reports'!F746),IF(ISNUMBER(SEARCH("Party Name-",'R.M Billets Reports'!D746)),TRIM(MID('R.M Billets Reports'!D746,SEARCH("-",'R.M Billets Reports'!D746)+1,200)),"")))="SHREE RADHE SHAKTI SPONGE AND POWER PVT. LTD.","SHREE RADHE",IF(IF(ISNUMBER(SEARCH("Party Name:-",'R.M Billets Reports'!D745)),TRIM('R.M Billets Reports'!F745),IF(ISNUMBER(SEARCH("Party Name-",'R.M Billets Reports'!D745)),TRIM(MID('R.M Billets Reports'!D745,SEARCH("-",'R.M Billets Reports'!D745)+1,200)),""))&lt;&gt;"",IF(ISNUMBER(SEARCH("Party Name:-",'R.M Billets Reports'!D745)),TRIM('R.M Billets Reports'!F745),IF(ISNUMBER(SEARCH("Party Name-",'R.M Billets Reports'!D745)),TRIM(MID('R.M Billets Reports'!D745,SEARCH("-",'R.M Billets Reports'!D745)+1,200)),"")),IF(ISNUMBER(SEARCH("Party Name:-",'R.M Billets Reports'!D746)),TRIM('R.M Billets Reports'!F746),IF(ISNUMBER(SEARCH("Party Name-",'R.M Billets Reports'!D746)),TRIM(MID('R.M Billets Reports'!D746,SEARCH("-",'R.M Billets Reports'!D746)+1,200)),"")))))),IF(ROW()=2,"",A745))</f>
      </c>
      <c r="B746">
        <f>IF(OR('R.M Billets Reports'!A745="Date-",'R.M Billets Reports'!A745="Date:-"),'R.M Billets Reports'!B745,IF(ROW()=2,"",B745))</f>
      </c>
      <c r="C746">
        <f>IF('R.M Billets Reports'!A745="V.No.",'R.M Billets Reports'!B745,IF(ROW()=2,"",C745))</f>
      </c>
      <c r="D746">
        <f>IF('R.M Billets Reports'!A745&lt;&gt;"",'R.M Billets Reports'!A745,IF(ROW()=2,"",D745))</f>
      </c>
      <c r="E746">
        <f>IF('R.M Billets Reports'!B745="","",TRIM('R.M Billets Reports'!B745))</f>
      </c>
      <c r="F746">
        <f>'R.M Billets Reports'!C745</f>
      </c>
      <c r="G746">
        <f>'R.M Billets Reports'!D745</f>
      </c>
      <c r="H746">
        <f>'R.M Billets Reports'!E745</f>
      </c>
      <c r="I746">
        <f>'R.M Billets Reports'!F745</f>
      </c>
      <c r="J746">
        <f>'R.M Billets Reports'!G745</f>
      </c>
      <c r="K746">
        <f>'R.M Billets Reports'!H745</f>
      </c>
      <c r="L746">
        <f>IF('R.M Billets Reports'!I745="","",'R.M Billets Reports'!I745)</f>
      </c>
      <c r="M746">
        <f t="shared" si="22"/>
      </c>
      <c r="N746">
        <f>IF('R.M Billets Reports'!J745="","",'R.M Billets Reports'!J745)</f>
      </c>
      <c r="O746">
        <f t="shared" si="23"/>
      </c>
      <c r="P746">
        <f>IF('R.M Billets Reports'!A745="SIZE",'R.M Billets Reports'!B745,P745)</f>
      </c>
    </row>
    <row r="747" spans="1:16" x14ac:dyDescent="0.25">
      <c r="A747">
        <f>IF(OR('R.M Billets Reports'!A746="Date-",'R.M Billets Reports'!A746="Date:-"),IF(IF(IF(ISNUMBER(SEARCH("Party Name:-",'R.M Billets Reports'!D746)),TRIM('R.M Billets Reports'!F746),IF(ISNUMBER(SEARCH("Party Name-",'R.M Billets Reports'!D746)),TRIM(MID('R.M Billets Reports'!D746,SEARCH("-",'R.M Billets Reports'!D746)+1,200)),""))&lt;&gt;"",IF(ISNUMBER(SEARCH("Party Name:-",'R.M Billets Reports'!D746)),TRIM('R.M Billets Reports'!F746),IF(ISNUMBER(SEARCH("Party Name-",'R.M Billets Reports'!D746)),TRIM(MID('R.M Billets Reports'!D746,SEARCH("-",'R.M Billets Reports'!D746)+1,200)),"")),IF(ISNUMBER(SEARCH("Party Name:-",'R.M Billets Reports'!D747)),TRIM('R.M Billets Reports'!F747),IF(ISNUMBER(SEARCH("Party Name-",'R.M Billets Reports'!D747)),TRIM(MID('R.M Billets Reports'!D747,SEARCH("-",'R.M Billets Reports'!D747)+1,200)),"")))="VRKP ISPAT PVT LTD","VRKP",IF(IF(IF(ISNUMBER(SEARCH("Party Name:-",'R.M Billets Reports'!D746)),TRIM('R.M Billets Reports'!F746),IF(ISNUMBER(SEARCH("Party Name-",'R.M Billets Reports'!D746)),TRIM(MID('R.M Billets Reports'!D746,SEARCH("-",'R.M Billets Reports'!D746)+1,200)),""))&lt;&gt;"",IF(ISNUMBER(SEARCH("Party Name:-",'R.M Billets Reports'!D746)),TRIM('R.M Billets Reports'!F746),IF(ISNUMBER(SEARCH("Party Name-",'R.M Billets Reports'!D746)),TRIM(MID('R.M Billets Reports'!D746,SEARCH("-",'R.M Billets Reports'!D746)+1,200)),"")),IF(ISNUMBER(SEARCH("Party Name:-",'R.M Billets Reports'!D747)),TRIM('R.M Billets Reports'!F747),IF(ISNUMBER(SEARCH("Party Name-",'R.M Billets Reports'!D747)),TRIM(MID('R.M Billets Reports'!D747,SEARCH("-",'R.M Billets Reports'!D747)+1,200)),"")))="SHRI RADHE","SHREE RADHE",IF(IF(IF(ISNUMBER(SEARCH("Party Name:-",'R.M Billets Reports'!D746)),TRIM('R.M Billets Reports'!F746),IF(ISNUMBER(SEARCH("Party Name-",'R.M Billets Reports'!D746)),TRIM(MID('R.M Billets Reports'!D746,SEARCH("-",'R.M Billets Reports'!D746)+1,200)),""))&lt;&gt;"",IF(ISNUMBER(SEARCH("Party Name:-",'R.M Billets Reports'!D746)),TRIM('R.M Billets Reports'!F746),IF(ISNUMBER(SEARCH("Party Name-",'R.M Billets Reports'!D746)),TRIM(MID('R.M Billets Reports'!D746,SEARCH("-",'R.M Billets Reports'!D746)+1,200)),"")),IF(ISNUMBER(SEARCH("Party Name:-",'R.M Billets Reports'!D747)),TRIM('R.M Billets Reports'!F747),IF(ISNUMBER(SEARCH("Party Name-",'R.M Billets Reports'!D747)),TRIM(MID('R.M Billets Reports'!D747,SEARCH("-",'R.M Billets Reports'!D747)+1,200)),"")))="SHREE RADHE SHAKTI SPONGE AND POWER PVT. LTD.","SHREE RADHE",IF(IF(ISNUMBER(SEARCH("Party Name:-",'R.M Billets Reports'!D746)),TRIM('R.M Billets Reports'!F746),IF(ISNUMBER(SEARCH("Party Name-",'R.M Billets Reports'!D746)),TRIM(MID('R.M Billets Reports'!D746,SEARCH("-",'R.M Billets Reports'!D746)+1,200)),""))&lt;&gt;"",IF(ISNUMBER(SEARCH("Party Name:-",'R.M Billets Reports'!D746)),TRIM('R.M Billets Reports'!F746),IF(ISNUMBER(SEARCH("Party Name-",'R.M Billets Reports'!D746)),TRIM(MID('R.M Billets Reports'!D746,SEARCH("-",'R.M Billets Reports'!D746)+1,200)),"")),IF(ISNUMBER(SEARCH("Party Name:-",'R.M Billets Reports'!D747)),TRIM('R.M Billets Reports'!F747),IF(ISNUMBER(SEARCH("Party Name-",'R.M Billets Reports'!D747)),TRIM(MID('R.M Billets Reports'!D747,SEARCH("-",'R.M Billets Reports'!D747)+1,200)),"")))))),IF(ROW()=2,"",A746))</f>
      </c>
      <c r="B747">
        <f>IF(OR('R.M Billets Reports'!A746="Date-",'R.M Billets Reports'!A746="Date:-"),'R.M Billets Reports'!B746,IF(ROW()=2,"",B746))</f>
      </c>
      <c r="C747">
        <f>IF('R.M Billets Reports'!A746="V.No.",'R.M Billets Reports'!B746,IF(ROW()=2,"",C746))</f>
      </c>
      <c r="D747">
        <f>IF('R.M Billets Reports'!A746&lt;&gt;"",'R.M Billets Reports'!A746,IF(ROW()=2,"",D746))</f>
      </c>
      <c r="E747">
        <f>IF('R.M Billets Reports'!B746="","",TRIM('R.M Billets Reports'!B746))</f>
      </c>
      <c r="F747">
        <f>'R.M Billets Reports'!C746</f>
      </c>
      <c r="G747">
        <f>'R.M Billets Reports'!D746</f>
      </c>
      <c r="H747">
        <f>'R.M Billets Reports'!E746</f>
      </c>
      <c r="I747">
        <f>'R.M Billets Reports'!F746</f>
      </c>
      <c r="J747">
        <f>'R.M Billets Reports'!G746</f>
      </c>
      <c r="K747">
        <f>'R.M Billets Reports'!H746</f>
      </c>
      <c r="L747">
        <f>IF('R.M Billets Reports'!I746="","",'R.M Billets Reports'!I746)</f>
      </c>
      <c r="M747">
        <f t="shared" si="22"/>
      </c>
      <c r="N747">
        <f>IF('R.M Billets Reports'!J746="","",'R.M Billets Reports'!J746)</f>
      </c>
      <c r="O747">
        <f t="shared" si="23"/>
      </c>
      <c r="P747">
        <f>IF('R.M Billets Reports'!A746="SIZE",'R.M Billets Reports'!B746,P746)</f>
      </c>
    </row>
    <row r="748" spans="1:16" x14ac:dyDescent="0.25">
      <c r="A748">
        <f>IF(OR('R.M Billets Reports'!A747="Date-",'R.M Billets Reports'!A747="Date:-"),IF(IF(IF(ISNUMBER(SEARCH("Party Name:-",'R.M Billets Reports'!D747)),TRIM('R.M Billets Reports'!F747),IF(ISNUMBER(SEARCH("Party Name-",'R.M Billets Reports'!D747)),TRIM(MID('R.M Billets Reports'!D747,SEARCH("-",'R.M Billets Reports'!D747)+1,200)),""))&lt;&gt;"",IF(ISNUMBER(SEARCH("Party Name:-",'R.M Billets Reports'!D747)),TRIM('R.M Billets Reports'!F747),IF(ISNUMBER(SEARCH("Party Name-",'R.M Billets Reports'!D747)),TRIM(MID('R.M Billets Reports'!D747,SEARCH("-",'R.M Billets Reports'!D747)+1,200)),"")),IF(ISNUMBER(SEARCH("Party Name:-",'R.M Billets Reports'!D748)),TRIM('R.M Billets Reports'!F748),IF(ISNUMBER(SEARCH("Party Name-",'R.M Billets Reports'!D748)),TRIM(MID('R.M Billets Reports'!D748,SEARCH("-",'R.M Billets Reports'!D748)+1,200)),"")))="VRKP ISPAT PVT LTD","VRKP",IF(IF(IF(ISNUMBER(SEARCH("Party Name:-",'R.M Billets Reports'!D747)),TRIM('R.M Billets Reports'!F747),IF(ISNUMBER(SEARCH("Party Name-",'R.M Billets Reports'!D747)),TRIM(MID('R.M Billets Reports'!D747,SEARCH("-",'R.M Billets Reports'!D747)+1,200)),""))&lt;&gt;"",IF(ISNUMBER(SEARCH("Party Name:-",'R.M Billets Reports'!D747)),TRIM('R.M Billets Reports'!F747),IF(ISNUMBER(SEARCH("Party Name-",'R.M Billets Reports'!D747)),TRIM(MID('R.M Billets Reports'!D747,SEARCH("-",'R.M Billets Reports'!D747)+1,200)),"")),IF(ISNUMBER(SEARCH("Party Name:-",'R.M Billets Reports'!D748)),TRIM('R.M Billets Reports'!F748),IF(ISNUMBER(SEARCH("Party Name-",'R.M Billets Reports'!D748)),TRIM(MID('R.M Billets Reports'!D748,SEARCH("-",'R.M Billets Reports'!D748)+1,200)),"")))="SHRI RADHE","SHREE RADHE",IF(IF(IF(ISNUMBER(SEARCH("Party Name:-",'R.M Billets Reports'!D747)),TRIM('R.M Billets Reports'!F747),IF(ISNUMBER(SEARCH("Party Name-",'R.M Billets Reports'!D747)),TRIM(MID('R.M Billets Reports'!D747,SEARCH("-",'R.M Billets Reports'!D747)+1,200)),""))&lt;&gt;"",IF(ISNUMBER(SEARCH("Party Name:-",'R.M Billets Reports'!D747)),TRIM('R.M Billets Reports'!F747),IF(ISNUMBER(SEARCH("Party Name-",'R.M Billets Reports'!D747)),TRIM(MID('R.M Billets Reports'!D747,SEARCH("-",'R.M Billets Reports'!D747)+1,200)),"")),IF(ISNUMBER(SEARCH("Party Name:-",'R.M Billets Reports'!D748)),TRIM('R.M Billets Reports'!F748),IF(ISNUMBER(SEARCH("Party Name-",'R.M Billets Reports'!D748)),TRIM(MID('R.M Billets Reports'!D748,SEARCH("-",'R.M Billets Reports'!D748)+1,200)),"")))="SHREE RADHE SHAKTI SPONGE AND POWER PVT. LTD.","SHREE RADHE",IF(IF(ISNUMBER(SEARCH("Party Name:-",'R.M Billets Reports'!D747)),TRIM('R.M Billets Reports'!F747),IF(ISNUMBER(SEARCH("Party Name-",'R.M Billets Reports'!D747)),TRIM(MID('R.M Billets Reports'!D747,SEARCH("-",'R.M Billets Reports'!D747)+1,200)),""))&lt;&gt;"",IF(ISNUMBER(SEARCH("Party Name:-",'R.M Billets Reports'!D747)),TRIM('R.M Billets Reports'!F747),IF(ISNUMBER(SEARCH("Party Name-",'R.M Billets Reports'!D747)),TRIM(MID('R.M Billets Reports'!D747,SEARCH("-",'R.M Billets Reports'!D747)+1,200)),"")),IF(ISNUMBER(SEARCH("Party Name:-",'R.M Billets Reports'!D748)),TRIM('R.M Billets Reports'!F748),IF(ISNUMBER(SEARCH("Party Name-",'R.M Billets Reports'!D748)),TRIM(MID('R.M Billets Reports'!D748,SEARCH("-",'R.M Billets Reports'!D748)+1,200)),"")))))),IF(ROW()=2,"",A747))</f>
      </c>
      <c r="B748">
        <f>IF(OR('R.M Billets Reports'!A747="Date-",'R.M Billets Reports'!A747="Date:-"),'R.M Billets Reports'!B747,IF(ROW()=2,"",B747))</f>
      </c>
      <c r="C748">
        <f>IF('R.M Billets Reports'!A747="V.No.",'R.M Billets Reports'!B747,IF(ROW()=2,"",C747))</f>
      </c>
      <c r="D748">
        <f>IF('R.M Billets Reports'!A747&lt;&gt;"",'R.M Billets Reports'!A747,IF(ROW()=2,"",D747))</f>
      </c>
      <c r="E748">
        <f>IF('R.M Billets Reports'!B747="","",TRIM('R.M Billets Reports'!B747))</f>
      </c>
      <c r="F748">
        <f>'R.M Billets Reports'!C747</f>
      </c>
      <c r="G748">
        <f>'R.M Billets Reports'!D747</f>
      </c>
      <c r="H748">
        <f>'R.M Billets Reports'!E747</f>
      </c>
      <c r="I748">
        <f>'R.M Billets Reports'!F747</f>
      </c>
      <c r="J748">
        <f>'R.M Billets Reports'!G747</f>
      </c>
      <c r="K748">
        <f>'R.M Billets Reports'!H747</f>
      </c>
      <c r="L748">
        <f>IF('R.M Billets Reports'!I747="","",'R.M Billets Reports'!I747)</f>
      </c>
      <c r="M748">
        <f t="shared" si="22"/>
      </c>
      <c r="N748">
        <f>IF('R.M Billets Reports'!J747="","",'R.M Billets Reports'!J747)</f>
      </c>
      <c r="O748">
        <f t="shared" si="23"/>
      </c>
      <c r="P748">
        <f>IF('R.M Billets Reports'!A747="SIZE",'R.M Billets Reports'!B747,P747)</f>
      </c>
    </row>
    <row r="749" spans="1:16" x14ac:dyDescent="0.25">
      <c r="A749">
        <f>IF(OR('R.M Billets Reports'!A748="Date-",'R.M Billets Reports'!A748="Date:-"),IF(IF(IF(ISNUMBER(SEARCH("Party Name:-",'R.M Billets Reports'!D748)),TRIM('R.M Billets Reports'!F748),IF(ISNUMBER(SEARCH("Party Name-",'R.M Billets Reports'!D748)),TRIM(MID('R.M Billets Reports'!D748,SEARCH("-",'R.M Billets Reports'!D748)+1,200)),""))&lt;&gt;"",IF(ISNUMBER(SEARCH("Party Name:-",'R.M Billets Reports'!D748)),TRIM('R.M Billets Reports'!F748),IF(ISNUMBER(SEARCH("Party Name-",'R.M Billets Reports'!D748)),TRIM(MID('R.M Billets Reports'!D748,SEARCH("-",'R.M Billets Reports'!D748)+1,200)),"")),IF(ISNUMBER(SEARCH("Party Name:-",'R.M Billets Reports'!D749)),TRIM('R.M Billets Reports'!F749),IF(ISNUMBER(SEARCH("Party Name-",'R.M Billets Reports'!D749)),TRIM(MID('R.M Billets Reports'!D749,SEARCH("-",'R.M Billets Reports'!D749)+1,200)),"")))="VRKP ISPAT PVT LTD","VRKP",IF(IF(IF(ISNUMBER(SEARCH("Party Name:-",'R.M Billets Reports'!D748)),TRIM('R.M Billets Reports'!F748),IF(ISNUMBER(SEARCH("Party Name-",'R.M Billets Reports'!D748)),TRIM(MID('R.M Billets Reports'!D748,SEARCH("-",'R.M Billets Reports'!D748)+1,200)),""))&lt;&gt;"",IF(ISNUMBER(SEARCH("Party Name:-",'R.M Billets Reports'!D748)),TRIM('R.M Billets Reports'!F748),IF(ISNUMBER(SEARCH("Party Name-",'R.M Billets Reports'!D748)),TRIM(MID('R.M Billets Reports'!D748,SEARCH("-",'R.M Billets Reports'!D748)+1,200)),"")),IF(ISNUMBER(SEARCH("Party Name:-",'R.M Billets Reports'!D749)),TRIM('R.M Billets Reports'!F749),IF(ISNUMBER(SEARCH("Party Name-",'R.M Billets Reports'!D749)),TRIM(MID('R.M Billets Reports'!D749,SEARCH("-",'R.M Billets Reports'!D749)+1,200)),"")))="SHRI RADHE","SHREE RADHE",IF(IF(IF(ISNUMBER(SEARCH("Party Name:-",'R.M Billets Reports'!D748)),TRIM('R.M Billets Reports'!F748),IF(ISNUMBER(SEARCH("Party Name-",'R.M Billets Reports'!D748)),TRIM(MID('R.M Billets Reports'!D748,SEARCH("-",'R.M Billets Reports'!D748)+1,200)),""))&lt;&gt;"",IF(ISNUMBER(SEARCH("Party Name:-",'R.M Billets Reports'!D748)),TRIM('R.M Billets Reports'!F748),IF(ISNUMBER(SEARCH("Party Name-",'R.M Billets Reports'!D748)),TRIM(MID('R.M Billets Reports'!D748,SEARCH("-",'R.M Billets Reports'!D748)+1,200)),"")),IF(ISNUMBER(SEARCH("Party Name:-",'R.M Billets Reports'!D749)),TRIM('R.M Billets Reports'!F749),IF(ISNUMBER(SEARCH("Party Name-",'R.M Billets Reports'!D749)),TRIM(MID('R.M Billets Reports'!D749,SEARCH("-",'R.M Billets Reports'!D749)+1,200)),"")))="SHREE RADHE SHAKTI SPONGE AND POWER PVT. LTD.","SHREE RADHE",IF(IF(ISNUMBER(SEARCH("Party Name:-",'R.M Billets Reports'!D748)),TRIM('R.M Billets Reports'!F748),IF(ISNUMBER(SEARCH("Party Name-",'R.M Billets Reports'!D748)),TRIM(MID('R.M Billets Reports'!D748,SEARCH("-",'R.M Billets Reports'!D748)+1,200)),""))&lt;&gt;"",IF(ISNUMBER(SEARCH("Party Name:-",'R.M Billets Reports'!D748)),TRIM('R.M Billets Reports'!F748),IF(ISNUMBER(SEARCH("Party Name-",'R.M Billets Reports'!D748)),TRIM(MID('R.M Billets Reports'!D748,SEARCH("-",'R.M Billets Reports'!D748)+1,200)),"")),IF(ISNUMBER(SEARCH("Party Name:-",'R.M Billets Reports'!D749)),TRIM('R.M Billets Reports'!F749),IF(ISNUMBER(SEARCH("Party Name-",'R.M Billets Reports'!D749)),TRIM(MID('R.M Billets Reports'!D749,SEARCH("-",'R.M Billets Reports'!D749)+1,200)),"")))))),IF(ROW()=2,"",A748))</f>
      </c>
      <c r="B749">
        <f>IF(OR('R.M Billets Reports'!A748="Date-",'R.M Billets Reports'!A748="Date:-"),'R.M Billets Reports'!B748,IF(ROW()=2,"",B748))</f>
      </c>
      <c r="C749">
        <f>IF('R.M Billets Reports'!A748="V.No.",'R.M Billets Reports'!B748,IF(ROW()=2,"",C748))</f>
      </c>
      <c r="D749">
        <f>IF('R.M Billets Reports'!A748&lt;&gt;"",'R.M Billets Reports'!A748,IF(ROW()=2,"",D748))</f>
      </c>
      <c r="E749">
        <f>IF('R.M Billets Reports'!B748="","",TRIM('R.M Billets Reports'!B748))</f>
      </c>
      <c r="F749">
        <f>'R.M Billets Reports'!C748</f>
      </c>
      <c r="G749">
        <f>'R.M Billets Reports'!D748</f>
      </c>
      <c r="H749">
        <f>'R.M Billets Reports'!E748</f>
      </c>
      <c r="I749">
        <f>'R.M Billets Reports'!F748</f>
      </c>
      <c r="J749">
        <f>'R.M Billets Reports'!G748</f>
      </c>
      <c r="K749">
        <f>'R.M Billets Reports'!H748</f>
      </c>
      <c r="L749">
        <f>IF('R.M Billets Reports'!I748="","",'R.M Billets Reports'!I748)</f>
      </c>
      <c r="M749">
        <f t="shared" si="22"/>
      </c>
      <c r="N749">
        <f>IF('R.M Billets Reports'!J748="","",'R.M Billets Reports'!J748)</f>
      </c>
      <c r="O749">
        <f t="shared" si="23"/>
      </c>
      <c r="P749">
        <f>IF('R.M Billets Reports'!A748="SIZE",'R.M Billets Reports'!B748,P748)</f>
      </c>
    </row>
    <row r="750" spans="1:16" x14ac:dyDescent="0.25">
      <c r="A750">
        <f>IF(OR('R.M Billets Reports'!A749="Date-",'R.M Billets Reports'!A749="Date:-"),IF(IF(IF(ISNUMBER(SEARCH("Party Name:-",'R.M Billets Reports'!D749)),TRIM('R.M Billets Reports'!F749),IF(ISNUMBER(SEARCH("Party Name-",'R.M Billets Reports'!D749)),TRIM(MID('R.M Billets Reports'!D749,SEARCH("-",'R.M Billets Reports'!D749)+1,200)),""))&lt;&gt;"",IF(ISNUMBER(SEARCH("Party Name:-",'R.M Billets Reports'!D749)),TRIM('R.M Billets Reports'!F749),IF(ISNUMBER(SEARCH("Party Name-",'R.M Billets Reports'!D749)),TRIM(MID('R.M Billets Reports'!D749,SEARCH("-",'R.M Billets Reports'!D749)+1,200)),"")),IF(ISNUMBER(SEARCH("Party Name:-",'R.M Billets Reports'!D750)),TRIM('R.M Billets Reports'!F750),IF(ISNUMBER(SEARCH("Party Name-",'R.M Billets Reports'!D750)),TRIM(MID('R.M Billets Reports'!D750,SEARCH("-",'R.M Billets Reports'!D750)+1,200)),"")))="VRKP ISPAT PVT LTD","VRKP",IF(IF(IF(ISNUMBER(SEARCH("Party Name:-",'R.M Billets Reports'!D749)),TRIM('R.M Billets Reports'!F749),IF(ISNUMBER(SEARCH("Party Name-",'R.M Billets Reports'!D749)),TRIM(MID('R.M Billets Reports'!D749,SEARCH("-",'R.M Billets Reports'!D749)+1,200)),""))&lt;&gt;"",IF(ISNUMBER(SEARCH("Party Name:-",'R.M Billets Reports'!D749)),TRIM('R.M Billets Reports'!F749),IF(ISNUMBER(SEARCH("Party Name-",'R.M Billets Reports'!D749)),TRIM(MID('R.M Billets Reports'!D749,SEARCH("-",'R.M Billets Reports'!D749)+1,200)),"")),IF(ISNUMBER(SEARCH("Party Name:-",'R.M Billets Reports'!D750)),TRIM('R.M Billets Reports'!F750),IF(ISNUMBER(SEARCH("Party Name-",'R.M Billets Reports'!D750)),TRIM(MID('R.M Billets Reports'!D750,SEARCH("-",'R.M Billets Reports'!D750)+1,200)),"")))="SHRI RADHE","SHREE RADHE",IF(IF(IF(ISNUMBER(SEARCH("Party Name:-",'R.M Billets Reports'!D749)),TRIM('R.M Billets Reports'!F749),IF(ISNUMBER(SEARCH("Party Name-",'R.M Billets Reports'!D749)),TRIM(MID('R.M Billets Reports'!D749,SEARCH("-",'R.M Billets Reports'!D749)+1,200)),""))&lt;&gt;"",IF(ISNUMBER(SEARCH("Party Name:-",'R.M Billets Reports'!D749)),TRIM('R.M Billets Reports'!F749),IF(ISNUMBER(SEARCH("Party Name-",'R.M Billets Reports'!D749)),TRIM(MID('R.M Billets Reports'!D749,SEARCH("-",'R.M Billets Reports'!D749)+1,200)),"")),IF(ISNUMBER(SEARCH("Party Name:-",'R.M Billets Reports'!D750)),TRIM('R.M Billets Reports'!F750),IF(ISNUMBER(SEARCH("Party Name-",'R.M Billets Reports'!D750)),TRIM(MID('R.M Billets Reports'!D750,SEARCH("-",'R.M Billets Reports'!D750)+1,200)),"")))="SHREE RADHE SHAKTI SPONGE AND POWER PVT. LTD.","SHREE RADHE",IF(IF(ISNUMBER(SEARCH("Party Name:-",'R.M Billets Reports'!D749)),TRIM('R.M Billets Reports'!F749),IF(ISNUMBER(SEARCH("Party Name-",'R.M Billets Reports'!D749)),TRIM(MID('R.M Billets Reports'!D749,SEARCH("-",'R.M Billets Reports'!D749)+1,200)),""))&lt;&gt;"",IF(ISNUMBER(SEARCH("Party Name:-",'R.M Billets Reports'!D749)),TRIM('R.M Billets Reports'!F749),IF(ISNUMBER(SEARCH("Party Name-",'R.M Billets Reports'!D749)),TRIM(MID('R.M Billets Reports'!D749,SEARCH("-",'R.M Billets Reports'!D749)+1,200)),"")),IF(ISNUMBER(SEARCH("Party Name:-",'R.M Billets Reports'!D750)),TRIM('R.M Billets Reports'!F750),IF(ISNUMBER(SEARCH("Party Name-",'R.M Billets Reports'!D750)),TRIM(MID('R.M Billets Reports'!D750,SEARCH("-",'R.M Billets Reports'!D750)+1,200)),"")))))),IF(ROW()=2,"",A749))</f>
      </c>
      <c r="B750">
        <f>IF(OR('R.M Billets Reports'!A749="Date-",'R.M Billets Reports'!A749="Date:-"),'R.M Billets Reports'!B749,IF(ROW()=2,"",B749))</f>
      </c>
      <c r="C750">
        <f>IF('R.M Billets Reports'!A749="V.No.",'R.M Billets Reports'!B749,IF(ROW()=2,"",C749))</f>
      </c>
      <c r="D750">
        <f>IF('R.M Billets Reports'!A749&lt;&gt;"",'R.M Billets Reports'!A749,IF(ROW()=2,"",D749))</f>
      </c>
      <c r="E750">
        <f>IF('R.M Billets Reports'!B749="","",TRIM('R.M Billets Reports'!B749))</f>
      </c>
      <c r="F750">
        <f>'R.M Billets Reports'!C749</f>
      </c>
      <c r="G750">
        <f>'R.M Billets Reports'!D749</f>
      </c>
      <c r="H750">
        <f>'R.M Billets Reports'!E749</f>
      </c>
      <c r="I750">
        <f>'R.M Billets Reports'!F749</f>
      </c>
      <c r="J750">
        <f>'R.M Billets Reports'!G749</f>
      </c>
      <c r="K750">
        <f>'R.M Billets Reports'!H749</f>
      </c>
      <c r="L750">
        <f>IF('R.M Billets Reports'!I749="","",'R.M Billets Reports'!I749)</f>
      </c>
      <c r="M750">
        <f t="shared" si="22"/>
      </c>
      <c r="N750">
        <f>IF('R.M Billets Reports'!J749="","",'R.M Billets Reports'!J749)</f>
      </c>
      <c r="O750">
        <f t="shared" si="23"/>
      </c>
      <c r="P750">
        <f>IF('R.M Billets Reports'!A749="SIZE",'R.M Billets Reports'!B749,P749)</f>
      </c>
    </row>
    <row r="751" spans="1:16" x14ac:dyDescent="0.25">
      <c r="A751">
        <f>IF(OR('R.M Billets Reports'!A750="Date-",'R.M Billets Reports'!A750="Date:-"),IF(IF(IF(ISNUMBER(SEARCH("Party Name:-",'R.M Billets Reports'!D750)),TRIM('R.M Billets Reports'!F750),IF(ISNUMBER(SEARCH("Party Name-",'R.M Billets Reports'!D750)),TRIM(MID('R.M Billets Reports'!D750,SEARCH("-",'R.M Billets Reports'!D750)+1,200)),""))&lt;&gt;"",IF(ISNUMBER(SEARCH("Party Name:-",'R.M Billets Reports'!D750)),TRIM('R.M Billets Reports'!F750),IF(ISNUMBER(SEARCH("Party Name-",'R.M Billets Reports'!D750)),TRIM(MID('R.M Billets Reports'!D750,SEARCH("-",'R.M Billets Reports'!D750)+1,200)),"")),IF(ISNUMBER(SEARCH("Party Name:-",'R.M Billets Reports'!D751)),TRIM('R.M Billets Reports'!F751),IF(ISNUMBER(SEARCH("Party Name-",'R.M Billets Reports'!D751)),TRIM(MID('R.M Billets Reports'!D751,SEARCH("-",'R.M Billets Reports'!D751)+1,200)),"")))="VRKP ISPAT PVT LTD","VRKP",IF(IF(IF(ISNUMBER(SEARCH("Party Name:-",'R.M Billets Reports'!D750)),TRIM('R.M Billets Reports'!F750),IF(ISNUMBER(SEARCH("Party Name-",'R.M Billets Reports'!D750)),TRIM(MID('R.M Billets Reports'!D750,SEARCH("-",'R.M Billets Reports'!D750)+1,200)),""))&lt;&gt;"",IF(ISNUMBER(SEARCH("Party Name:-",'R.M Billets Reports'!D750)),TRIM('R.M Billets Reports'!F750),IF(ISNUMBER(SEARCH("Party Name-",'R.M Billets Reports'!D750)),TRIM(MID('R.M Billets Reports'!D750,SEARCH("-",'R.M Billets Reports'!D750)+1,200)),"")),IF(ISNUMBER(SEARCH("Party Name:-",'R.M Billets Reports'!D751)),TRIM('R.M Billets Reports'!F751),IF(ISNUMBER(SEARCH("Party Name-",'R.M Billets Reports'!D751)),TRIM(MID('R.M Billets Reports'!D751,SEARCH("-",'R.M Billets Reports'!D751)+1,200)),"")))="SHRI RADHE","SHREE RADHE",IF(IF(IF(ISNUMBER(SEARCH("Party Name:-",'R.M Billets Reports'!D750)),TRIM('R.M Billets Reports'!F750),IF(ISNUMBER(SEARCH("Party Name-",'R.M Billets Reports'!D750)),TRIM(MID('R.M Billets Reports'!D750,SEARCH("-",'R.M Billets Reports'!D750)+1,200)),""))&lt;&gt;"",IF(ISNUMBER(SEARCH("Party Name:-",'R.M Billets Reports'!D750)),TRIM('R.M Billets Reports'!F750),IF(ISNUMBER(SEARCH("Party Name-",'R.M Billets Reports'!D750)),TRIM(MID('R.M Billets Reports'!D750,SEARCH("-",'R.M Billets Reports'!D750)+1,200)),"")),IF(ISNUMBER(SEARCH("Party Name:-",'R.M Billets Reports'!D751)),TRIM('R.M Billets Reports'!F751),IF(ISNUMBER(SEARCH("Party Name-",'R.M Billets Reports'!D751)),TRIM(MID('R.M Billets Reports'!D751,SEARCH("-",'R.M Billets Reports'!D751)+1,200)),"")))="SHREE RADHE SHAKTI SPONGE AND POWER PVT. LTD.","SHREE RADHE",IF(IF(ISNUMBER(SEARCH("Party Name:-",'R.M Billets Reports'!D750)),TRIM('R.M Billets Reports'!F750),IF(ISNUMBER(SEARCH("Party Name-",'R.M Billets Reports'!D750)),TRIM(MID('R.M Billets Reports'!D750,SEARCH("-",'R.M Billets Reports'!D750)+1,200)),""))&lt;&gt;"",IF(ISNUMBER(SEARCH("Party Name:-",'R.M Billets Reports'!D750)),TRIM('R.M Billets Reports'!F750),IF(ISNUMBER(SEARCH("Party Name-",'R.M Billets Reports'!D750)),TRIM(MID('R.M Billets Reports'!D750,SEARCH("-",'R.M Billets Reports'!D750)+1,200)),"")),IF(ISNUMBER(SEARCH("Party Name:-",'R.M Billets Reports'!D751)),TRIM('R.M Billets Reports'!F751),IF(ISNUMBER(SEARCH("Party Name-",'R.M Billets Reports'!D751)),TRIM(MID('R.M Billets Reports'!D751,SEARCH("-",'R.M Billets Reports'!D751)+1,200)),"")))))),IF(ROW()=2,"",A750))</f>
      </c>
      <c r="B751">
        <f>IF(OR('R.M Billets Reports'!A750="Date-",'R.M Billets Reports'!A750="Date:-"),'R.M Billets Reports'!B750,IF(ROW()=2,"",B750))</f>
      </c>
      <c r="C751">
        <f>IF('R.M Billets Reports'!A750="V.No.",'R.M Billets Reports'!B750,IF(ROW()=2,"",C750))</f>
      </c>
      <c r="D751">
        <f>IF('R.M Billets Reports'!A750&lt;&gt;"",'R.M Billets Reports'!A750,IF(ROW()=2,"",D750))</f>
      </c>
      <c r="E751">
        <f>IF('R.M Billets Reports'!B750="","",TRIM('R.M Billets Reports'!B750))</f>
      </c>
      <c r="F751">
        <f>'R.M Billets Reports'!C750</f>
      </c>
      <c r="G751">
        <f>'R.M Billets Reports'!D750</f>
      </c>
      <c r="H751">
        <f>'R.M Billets Reports'!E750</f>
      </c>
      <c r="I751">
        <f>'R.M Billets Reports'!F750</f>
      </c>
      <c r="J751">
        <f>'R.M Billets Reports'!G750</f>
      </c>
      <c r="K751">
        <f>'R.M Billets Reports'!H750</f>
      </c>
      <c r="L751">
        <f>IF('R.M Billets Reports'!I750="","",'R.M Billets Reports'!I750)</f>
      </c>
      <c r="M751">
        <f t="shared" si="22"/>
      </c>
      <c r="N751">
        <f>IF('R.M Billets Reports'!J750="","",'R.M Billets Reports'!J750)</f>
      </c>
      <c r="O751">
        <f t="shared" si="23"/>
      </c>
      <c r="P751">
        <f>IF('R.M Billets Reports'!A750="SIZE",'R.M Billets Reports'!B750,P750)</f>
      </c>
    </row>
    <row r="752" spans="1:16" x14ac:dyDescent="0.25">
      <c r="A752">
        <f>IF(OR('R.M Billets Reports'!A751="Date-",'R.M Billets Reports'!A751="Date:-"),IF(IF(IF(ISNUMBER(SEARCH("Party Name:-",'R.M Billets Reports'!D751)),TRIM('R.M Billets Reports'!F751),IF(ISNUMBER(SEARCH("Party Name-",'R.M Billets Reports'!D751)),TRIM(MID('R.M Billets Reports'!D751,SEARCH("-",'R.M Billets Reports'!D751)+1,200)),""))&lt;&gt;"",IF(ISNUMBER(SEARCH("Party Name:-",'R.M Billets Reports'!D751)),TRIM('R.M Billets Reports'!F751),IF(ISNUMBER(SEARCH("Party Name-",'R.M Billets Reports'!D751)),TRIM(MID('R.M Billets Reports'!D751,SEARCH("-",'R.M Billets Reports'!D751)+1,200)),"")),IF(ISNUMBER(SEARCH("Party Name:-",'R.M Billets Reports'!D752)),TRIM('R.M Billets Reports'!F752),IF(ISNUMBER(SEARCH("Party Name-",'R.M Billets Reports'!D752)),TRIM(MID('R.M Billets Reports'!D752,SEARCH("-",'R.M Billets Reports'!D752)+1,200)),"")))="VRKP ISPAT PVT LTD","VRKP",IF(IF(IF(ISNUMBER(SEARCH("Party Name:-",'R.M Billets Reports'!D751)),TRIM('R.M Billets Reports'!F751),IF(ISNUMBER(SEARCH("Party Name-",'R.M Billets Reports'!D751)),TRIM(MID('R.M Billets Reports'!D751,SEARCH("-",'R.M Billets Reports'!D751)+1,200)),""))&lt;&gt;"",IF(ISNUMBER(SEARCH("Party Name:-",'R.M Billets Reports'!D751)),TRIM('R.M Billets Reports'!F751),IF(ISNUMBER(SEARCH("Party Name-",'R.M Billets Reports'!D751)),TRIM(MID('R.M Billets Reports'!D751,SEARCH("-",'R.M Billets Reports'!D751)+1,200)),"")),IF(ISNUMBER(SEARCH("Party Name:-",'R.M Billets Reports'!D752)),TRIM('R.M Billets Reports'!F752),IF(ISNUMBER(SEARCH("Party Name-",'R.M Billets Reports'!D752)),TRIM(MID('R.M Billets Reports'!D752,SEARCH("-",'R.M Billets Reports'!D752)+1,200)),"")))="SHRI RADHE","SHREE RADHE",IF(IF(IF(ISNUMBER(SEARCH("Party Name:-",'R.M Billets Reports'!D751)),TRIM('R.M Billets Reports'!F751),IF(ISNUMBER(SEARCH("Party Name-",'R.M Billets Reports'!D751)),TRIM(MID('R.M Billets Reports'!D751,SEARCH("-",'R.M Billets Reports'!D751)+1,200)),""))&lt;&gt;"",IF(ISNUMBER(SEARCH("Party Name:-",'R.M Billets Reports'!D751)),TRIM('R.M Billets Reports'!F751),IF(ISNUMBER(SEARCH("Party Name-",'R.M Billets Reports'!D751)),TRIM(MID('R.M Billets Reports'!D751,SEARCH("-",'R.M Billets Reports'!D751)+1,200)),"")),IF(ISNUMBER(SEARCH("Party Name:-",'R.M Billets Reports'!D752)),TRIM('R.M Billets Reports'!F752),IF(ISNUMBER(SEARCH("Party Name-",'R.M Billets Reports'!D752)),TRIM(MID('R.M Billets Reports'!D752,SEARCH("-",'R.M Billets Reports'!D752)+1,200)),"")))="SHREE RADHE SHAKTI SPONGE AND POWER PVT. LTD.","SHREE RADHE",IF(IF(ISNUMBER(SEARCH("Party Name:-",'R.M Billets Reports'!D751)),TRIM('R.M Billets Reports'!F751),IF(ISNUMBER(SEARCH("Party Name-",'R.M Billets Reports'!D751)),TRIM(MID('R.M Billets Reports'!D751,SEARCH("-",'R.M Billets Reports'!D751)+1,200)),""))&lt;&gt;"",IF(ISNUMBER(SEARCH("Party Name:-",'R.M Billets Reports'!D751)),TRIM('R.M Billets Reports'!F751),IF(ISNUMBER(SEARCH("Party Name-",'R.M Billets Reports'!D751)),TRIM(MID('R.M Billets Reports'!D751,SEARCH("-",'R.M Billets Reports'!D751)+1,200)),"")),IF(ISNUMBER(SEARCH("Party Name:-",'R.M Billets Reports'!D752)),TRIM('R.M Billets Reports'!F752),IF(ISNUMBER(SEARCH("Party Name-",'R.M Billets Reports'!D752)),TRIM(MID('R.M Billets Reports'!D752,SEARCH("-",'R.M Billets Reports'!D752)+1,200)),"")))))),IF(ROW()=2,"",A751))</f>
      </c>
      <c r="B752">
        <f>IF(OR('R.M Billets Reports'!A751="Date-",'R.M Billets Reports'!A751="Date:-"),'R.M Billets Reports'!B751,IF(ROW()=2,"",B751))</f>
      </c>
      <c r="C752">
        <f>IF('R.M Billets Reports'!A751="V.No.",'R.M Billets Reports'!B751,IF(ROW()=2,"",C751))</f>
      </c>
      <c r="D752">
        <f>IF('R.M Billets Reports'!A751&lt;&gt;"",'R.M Billets Reports'!A751,IF(ROW()=2,"",D751))</f>
      </c>
      <c r="E752">
        <f>IF('R.M Billets Reports'!B751="","",TRIM('R.M Billets Reports'!B751))</f>
      </c>
      <c r="F752">
        <f>'R.M Billets Reports'!C751</f>
      </c>
      <c r="G752">
        <f>'R.M Billets Reports'!D751</f>
      </c>
      <c r="H752">
        <f>'R.M Billets Reports'!E751</f>
      </c>
      <c r="I752">
        <f>'R.M Billets Reports'!F751</f>
      </c>
      <c r="J752">
        <f>'R.M Billets Reports'!G751</f>
      </c>
      <c r="K752">
        <f>'R.M Billets Reports'!H751</f>
      </c>
      <c r="L752">
        <f>IF('R.M Billets Reports'!I751="","",'R.M Billets Reports'!I751)</f>
      </c>
      <c r="M752">
        <f t="shared" si="22"/>
      </c>
      <c r="N752">
        <f>IF('R.M Billets Reports'!J751="","",'R.M Billets Reports'!J751)</f>
      </c>
      <c r="O752">
        <f t="shared" si="23"/>
      </c>
      <c r="P752">
        <f>IF('R.M Billets Reports'!A751="SIZE",'R.M Billets Reports'!B751,P751)</f>
      </c>
    </row>
    <row r="753" spans="1:16" x14ac:dyDescent="0.25">
      <c r="A753">
        <f>IF(OR('R.M Billets Reports'!A752="Date-",'R.M Billets Reports'!A752="Date:-"),IF(IF(IF(ISNUMBER(SEARCH("Party Name:-",'R.M Billets Reports'!D752)),TRIM('R.M Billets Reports'!F752),IF(ISNUMBER(SEARCH("Party Name-",'R.M Billets Reports'!D752)),TRIM(MID('R.M Billets Reports'!D752,SEARCH("-",'R.M Billets Reports'!D752)+1,200)),""))&lt;&gt;"",IF(ISNUMBER(SEARCH("Party Name:-",'R.M Billets Reports'!D752)),TRIM('R.M Billets Reports'!F752),IF(ISNUMBER(SEARCH("Party Name-",'R.M Billets Reports'!D752)),TRIM(MID('R.M Billets Reports'!D752,SEARCH("-",'R.M Billets Reports'!D752)+1,200)),"")),IF(ISNUMBER(SEARCH("Party Name:-",'R.M Billets Reports'!D753)),TRIM('R.M Billets Reports'!F753),IF(ISNUMBER(SEARCH("Party Name-",'R.M Billets Reports'!D753)),TRIM(MID('R.M Billets Reports'!D753,SEARCH("-",'R.M Billets Reports'!D753)+1,200)),"")))="VRKP ISPAT PVT LTD","VRKP",IF(IF(IF(ISNUMBER(SEARCH("Party Name:-",'R.M Billets Reports'!D752)),TRIM('R.M Billets Reports'!F752),IF(ISNUMBER(SEARCH("Party Name-",'R.M Billets Reports'!D752)),TRIM(MID('R.M Billets Reports'!D752,SEARCH("-",'R.M Billets Reports'!D752)+1,200)),""))&lt;&gt;"",IF(ISNUMBER(SEARCH("Party Name:-",'R.M Billets Reports'!D752)),TRIM('R.M Billets Reports'!F752),IF(ISNUMBER(SEARCH("Party Name-",'R.M Billets Reports'!D752)),TRIM(MID('R.M Billets Reports'!D752,SEARCH("-",'R.M Billets Reports'!D752)+1,200)),"")),IF(ISNUMBER(SEARCH("Party Name:-",'R.M Billets Reports'!D753)),TRIM('R.M Billets Reports'!F753),IF(ISNUMBER(SEARCH("Party Name-",'R.M Billets Reports'!D753)),TRIM(MID('R.M Billets Reports'!D753,SEARCH("-",'R.M Billets Reports'!D753)+1,200)),"")))="SHRI RADHE","SHREE RADHE",IF(IF(IF(ISNUMBER(SEARCH("Party Name:-",'R.M Billets Reports'!D752)),TRIM('R.M Billets Reports'!F752),IF(ISNUMBER(SEARCH("Party Name-",'R.M Billets Reports'!D752)),TRIM(MID('R.M Billets Reports'!D752,SEARCH("-",'R.M Billets Reports'!D752)+1,200)),""))&lt;&gt;"",IF(ISNUMBER(SEARCH("Party Name:-",'R.M Billets Reports'!D752)),TRIM('R.M Billets Reports'!F752),IF(ISNUMBER(SEARCH("Party Name-",'R.M Billets Reports'!D752)),TRIM(MID('R.M Billets Reports'!D752,SEARCH("-",'R.M Billets Reports'!D752)+1,200)),"")),IF(ISNUMBER(SEARCH("Party Name:-",'R.M Billets Reports'!D753)),TRIM('R.M Billets Reports'!F753),IF(ISNUMBER(SEARCH("Party Name-",'R.M Billets Reports'!D753)),TRIM(MID('R.M Billets Reports'!D753,SEARCH("-",'R.M Billets Reports'!D753)+1,200)),"")))="SHREE RADHE SHAKTI SPONGE AND POWER PVT. LTD.","SHREE RADHE",IF(IF(ISNUMBER(SEARCH("Party Name:-",'R.M Billets Reports'!D752)),TRIM('R.M Billets Reports'!F752),IF(ISNUMBER(SEARCH("Party Name-",'R.M Billets Reports'!D752)),TRIM(MID('R.M Billets Reports'!D752,SEARCH("-",'R.M Billets Reports'!D752)+1,200)),""))&lt;&gt;"",IF(ISNUMBER(SEARCH("Party Name:-",'R.M Billets Reports'!D752)),TRIM('R.M Billets Reports'!F752),IF(ISNUMBER(SEARCH("Party Name-",'R.M Billets Reports'!D752)),TRIM(MID('R.M Billets Reports'!D752,SEARCH("-",'R.M Billets Reports'!D752)+1,200)),"")),IF(ISNUMBER(SEARCH("Party Name:-",'R.M Billets Reports'!D753)),TRIM('R.M Billets Reports'!F753),IF(ISNUMBER(SEARCH("Party Name-",'R.M Billets Reports'!D753)),TRIM(MID('R.M Billets Reports'!D753,SEARCH("-",'R.M Billets Reports'!D753)+1,200)),"")))))),IF(ROW()=2,"",A752))</f>
      </c>
      <c r="B753">
        <f>IF(OR('R.M Billets Reports'!A752="Date-",'R.M Billets Reports'!A752="Date:-"),'R.M Billets Reports'!B752,IF(ROW()=2,"",B752))</f>
      </c>
      <c r="C753">
        <f>IF('R.M Billets Reports'!A752="V.No.",'R.M Billets Reports'!B752,IF(ROW()=2,"",C752))</f>
      </c>
      <c r="D753">
        <f>IF('R.M Billets Reports'!A752&lt;&gt;"",'R.M Billets Reports'!A752,IF(ROW()=2,"",D752))</f>
      </c>
      <c r="E753">
        <f>IF('R.M Billets Reports'!B752="","",TRIM('R.M Billets Reports'!B752))</f>
      </c>
      <c r="F753">
        <f>'R.M Billets Reports'!C752</f>
      </c>
      <c r="G753">
        <f>'R.M Billets Reports'!D752</f>
      </c>
      <c r="H753">
        <f>'R.M Billets Reports'!E752</f>
      </c>
      <c r="I753">
        <f>'R.M Billets Reports'!F752</f>
      </c>
      <c r="J753">
        <f>'R.M Billets Reports'!G752</f>
      </c>
      <c r="K753">
        <f>'R.M Billets Reports'!H752</f>
      </c>
      <c r="L753">
        <f>IF('R.M Billets Reports'!I752="","",'R.M Billets Reports'!I752)</f>
      </c>
      <c r="M753">
        <f t="shared" si="22"/>
      </c>
      <c r="N753">
        <f>IF('R.M Billets Reports'!J752="","",'R.M Billets Reports'!J752)</f>
      </c>
      <c r="O753">
        <f t="shared" si="23"/>
      </c>
      <c r="P753">
        <f>IF('R.M Billets Reports'!A752="SIZE",'R.M Billets Reports'!B752,P752)</f>
      </c>
    </row>
    <row r="754" spans="1:16" x14ac:dyDescent="0.25">
      <c r="A754">
        <f>IF(OR('R.M Billets Reports'!A753="Date-",'R.M Billets Reports'!A753="Date:-"),IF(IF(IF(ISNUMBER(SEARCH("Party Name:-",'R.M Billets Reports'!D753)),TRIM('R.M Billets Reports'!F753),IF(ISNUMBER(SEARCH("Party Name-",'R.M Billets Reports'!D753)),TRIM(MID('R.M Billets Reports'!D753,SEARCH("-",'R.M Billets Reports'!D753)+1,200)),""))&lt;&gt;"",IF(ISNUMBER(SEARCH("Party Name:-",'R.M Billets Reports'!D753)),TRIM('R.M Billets Reports'!F753),IF(ISNUMBER(SEARCH("Party Name-",'R.M Billets Reports'!D753)),TRIM(MID('R.M Billets Reports'!D753,SEARCH("-",'R.M Billets Reports'!D753)+1,200)),"")),IF(ISNUMBER(SEARCH("Party Name:-",'R.M Billets Reports'!D754)),TRIM('R.M Billets Reports'!F754),IF(ISNUMBER(SEARCH("Party Name-",'R.M Billets Reports'!D754)),TRIM(MID('R.M Billets Reports'!D754,SEARCH("-",'R.M Billets Reports'!D754)+1,200)),"")))="VRKP ISPAT PVT LTD","VRKP",IF(IF(IF(ISNUMBER(SEARCH("Party Name:-",'R.M Billets Reports'!D753)),TRIM('R.M Billets Reports'!F753),IF(ISNUMBER(SEARCH("Party Name-",'R.M Billets Reports'!D753)),TRIM(MID('R.M Billets Reports'!D753,SEARCH("-",'R.M Billets Reports'!D753)+1,200)),""))&lt;&gt;"",IF(ISNUMBER(SEARCH("Party Name:-",'R.M Billets Reports'!D753)),TRIM('R.M Billets Reports'!F753),IF(ISNUMBER(SEARCH("Party Name-",'R.M Billets Reports'!D753)),TRIM(MID('R.M Billets Reports'!D753,SEARCH("-",'R.M Billets Reports'!D753)+1,200)),"")),IF(ISNUMBER(SEARCH("Party Name:-",'R.M Billets Reports'!D754)),TRIM('R.M Billets Reports'!F754),IF(ISNUMBER(SEARCH("Party Name-",'R.M Billets Reports'!D754)),TRIM(MID('R.M Billets Reports'!D754,SEARCH("-",'R.M Billets Reports'!D754)+1,200)),"")))="SHRI RADHE","SHREE RADHE",IF(IF(IF(ISNUMBER(SEARCH("Party Name:-",'R.M Billets Reports'!D753)),TRIM('R.M Billets Reports'!F753),IF(ISNUMBER(SEARCH("Party Name-",'R.M Billets Reports'!D753)),TRIM(MID('R.M Billets Reports'!D753,SEARCH("-",'R.M Billets Reports'!D753)+1,200)),""))&lt;&gt;"",IF(ISNUMBER(SEARCH("Party Name:-",'R.M Billets Reports'!D753)),TRIM('R.M Billets Reports'!F753),IF(ISNUMBER(SEARCH("Party Name-",'R.M Billets Reports'!D753)),TRIM(MID('R.M Billets Reports'!D753,SEARCH("-",'R.M Billets Reports'!D753)+1,200)),"")),IF(ISNUMBER(SEARCH("Party Name:-",'R.M Billets Reports'!D754)),TRIM('R.M Billets Reports'!F754),IF(ISNUMBER(SEARCH("Party Name-",'R.M Billets Reports'!D754)),TRIM(MID('R.M Billets Reports'!D754,SEARCH("-",'R.M Billets Reports'!D754)+1,200)),"")))="SHREE RADHE SHAKTI SPONGE AND POWER PVT. LTD.","SHREE RADHE",IF(IF(ISNUMBER(SEARCH("Party Name:-",'R.M Billets Reports'!D753)),TRIM('R.M Billets Reports'!F753),IF(ISNUMBER(SEARCH("Party Name-",'R.M Billets Reports'!D753)),TRIM(MID('R.M Billets Reports'!D753,SEARCH("-",'R.M Billets Reports'!D753)+1,200)),""))&lt;&gt;"",IF(ISNUMBER(SEARCH("Party Name:-",'R.M Billets Reports'!D753)),TRIM('R.M Billets Reports'!F753),IF(ISNUMBER(SEARCH("Party Name-",'R.M Billets Reports'!D753)),TRIM(MID('R.M Billets Reports'!D753,SEARCH("-",'R.M Billets Reports'!D753)+1,200)),"")),IF(ISNUMBER(SEARCH("Party Name:-",'R.M Billets Reports'!D754)),TRIM('R.M Billets Reports'!F754),IF(ISNUMBER(SEARCH("Party Name-",'R.M Billets Reports'!D754)),TRIM(MID('R.M Billets Reports'!D754,SEARCH("-",'R.M Billets Reports'!D754)+1,200)),"")))))),IF(ROW()=2,"",A753))</f>
      </c>
      <c r="B754">
        <f>IF(OR('R.M Billets Reports'!A753="Date-",'R.M Billets Reports'!A753="Date:-"),'R.M Billets Reports'!B753,IF(ROW()=2,"",B753))</f>
      </c>
      <c r="C754">
        <f>IF('R.M Billets Reports'!A753="V.No.",'R.M Billets Reports'!B753,IF(ROW()=2,"",C753))</f>
      </c>
      <c r="D754">
        <f>IF('R.M Billets Reports'!A753&lt;&gt;"",'R.M Billets Reports'!A753,IF(ROW()=2,"",D753))</f>
      </c>
      <c r="E754">
        <f>IF('R.M Billets Reports'!B753="","",TRIM('R.M Billets Reports'!B753))</f>
      </c>
      <c r="F754">
        <f>'R.M Billets Reports'!C753</f>
      </c>
      <c r="G754">
        <f>'R.M Billets Reports'!D753</f>
      </c>
      <c r="H754">
        <f>'R.M Billets Reports'!E753</f>
      </c>
      <c r="I754">
        <f>'R.M Billets Reports'!F753</f>
      </c>
      <c r="J754">
        <f>'R.M Billets Reports'!G753</f>
      </c>
      <c r="K754">
        <f>'R.M Billets Reports'!H753</f>
      </c>
      <c r="L754">
        <f>IF('R.M Billets Reports'!I753="","",'R.M Billets Reports'!I753)</f>
      </c>
      <c r="M754">
        <f t="shared" si="22"/>
      </c>
      <c r="N754">
        <f>IF('R.M Billets Reports'!J753="","",'R.M Billets Reports'!J753)</f>
      </c>
      <c r="O754">
        <f t="shared" si="23"/>
      </c>
      <c r="P754">
        <f>IF('R.M Billets Reports'!A753="SIZE",'R.M Billets Reports'!B753,P753)</f>
      </c>
    </row>
    <row r="755" spans="1:16" x14ac:dyDescent="0.25">
      <c r="A755">
        <f>IF(OR('R.M Billets Reports'!A754="Date-",'R.M Billets Reports'!A754="Date:-"),IF(IF(IF(ISNUMBER(SEARCH("Party Name:-",'R.M Billets Reports'!D754)),TRIM('R.M Billets Reports'!F754),IF(ISNUMBER(SEARCH("Party Name-",'R.M Billets Reports'!D754)),TRIM(MID('R.M Billets Reports'!D754,SEARCH("-",'R.M Billets Reports'!D754)+1,200)),""))&lt;&gt;"",IF(ISNUMBER(SEARCH("Party Name:-",'R.M Billets Reports'!D754)),TRIM('R.M Billets Reports'!F754),IF(ISNUMBER(SEARCH("Party Name-",'R.M Billets Reports'!D754)),TRIM(MID('R.M Billets Reports'!D754,SEARCH("-",'R.M Billets Reports'!D754)+1,200)),"")),IF(ISNUMBER(SEARCH("Party Name:-",'R.M Billets Reports'!D755)),TRIM('R.M Billets Reports'!F755),IF(ISNUMBER(SEARCH("Party Name-",'R.M Billets Reports'!D755)),TRIM(MID('R.M Billets Reports'!D755,SEARCH("-",'R.M Billets Reports'!D755)+1,200)),"")))="VRKP ISPAT PVT LTD","VRKP",IF(IF(IF(ISNUMBER(SEARCH("Party Name:-",'R.M Billets Reports'!D754)),TRIM('R.M Billets Reports'!F754),IF(ISNUMBER(SEARCH("Party Name-",'R.M Billets Reports'!D754)),TRIM(MID('R.M Billets Reports'!D754,SEARCH("-",'R.M Billets Reports'!D754)+1,200)),""))&lt;&gt;"",IF(ISNUMBER(SEARCH("Party Name:-",'R.M Billets Reports'!D754)),TRIM('R.M Billets Reports'!F754),IF(ISNUMBER(SEARCH("Party Name-",'R.M Billets Reports'!D754)),TRIM(MID('R.M Billets Reports'!D754,SEARCH("-",'R.M Billets Reports'!D754)+1,200)),"")),IF(ISNUMBER(SEARCH("Party Name:-",'R.M Billets Reports'!D755)),TRIM('R.M Billets Reports'!F755),IF(ISNUMBER(SEARCH("Party Name-",'R.M Billets Reports'!D755)),TRIM(MID('R.M Billets Reports'!D755,SEARCH("-",'R.M Billets Reports'!D755)+1,200)),"")))="SHRI RADHE","SHREE RADHE",IF(IF(IF(ISNUMBER(SEARCH("Party Name:-",'R.M Billets Reports'!D754)),TRIM('R.M Billets Reports'!F754),IF(ISNUMBER(SEARCH("Party Name-",'R.M Billets Reports'!D754)),TRIM(MID('R.M Billets Reports'!D754,SEARCH("-",'R.M Billets Reports'!D754)+1,200)),""))&lt;&gt;"",IF(ISNUMBER(SEARCH("Party Name:-",'R.M Billets Reports'!D754)),TRIM('R.M Billets Reports'!F754),IF(ISNUMBER(SEARCH("Party Name-",'R.M Billets Reports'!D754)),TRIM(MID('R.M Billets Reports'!D754,SEARCH("-",'R.M Billets Reports'!D754)+1,200)),"")),IF(ISNUMBER(SEARCH("Party Name:-",'R.M Billets Reports'!D755)),TRIM('R.M Billets Reports'!F755),IF(ISNUMBER(SEARCH("Party Name-",'R.M Billets Reports'!D755)),TRIM(MID('R.M Billets Reports'!D755,SEARCH("-",'R.M Billets Reports'!D755)+1,200)),"")))="SHREE RADHE SHAKTI SPONGE AND POWER PVT. LTD.","SHREE RADHE",IF(IF(ISNUMBER(SEARCH("Party Name:-",'R.M Billets Reports'!D754)),TRIM('R.M Billets Reports'!F754),IF(ISNUMBER(SEARCH("Party Name-",'R.M Billets Reports'!D754)),TRIM(MID('R.M Billets Reports'!D754,SEARCH("-",'R.M Billets Reports'!D754)+1,200)),""))&lt;&gt;"",IF(ISNUMBER(SEARCH("Party Name:-",'R.M Billets Reports'!D754)),TRIM('R.M Billets Reports'!F754),IF(ISNUMBER(SEARCH("Party Name-",'R.M Billets Reports'!D754)),TRIM(MID('R.M Billets Reports'!D754,SEARCH("-",'R.M Billets Reports'!D754)+1,200)),"")),IF(ISNUMBER(SEARCH("Party Name:-",'R.M Billets Reports'!D755)),TRIM('R.M Billets Reports'!F755),IF(ISNUMBER(SEARCH("Party Name-",'R.M Billets Reports'!D755)),TRIM(MID('R.M Billets Reports'!D755,SEARCH("-",'R.M Billets Reports'!D755)+1,200)),"")))))),IF(ROW()=2,"",A754))</f>
      </c>
      <c r="B755">
        <f>IF(OR('R.M Billets Reports'!A754="Date-",'R.M Billets Reports'!A754="Date:-"),'R.M Billets Reports'!B754,IF(ROW()=2,"",B754))</f>
      </c>
      <c r="C755">
        <f>IF('R.M Billets Reports'!A754="V.No.",'R.M Billets Reports'!B754,IF(ROW()=2,"",C754))</f>
      </c>
      <c r="D755">
        <f>IF('R.M Billets Reports'!A754&lt;&gt;"",'R.M Billets Reports'!A754,IF(ROW()=2,"",D754))</f>
      </c>
      <c r="E755">
        <f>IF('R.M Billets Reports'!B754="","",TRIM('R.M Billets Reports'!B754))</f>
      </c>
      <c r="F755">
        <f>'R.M Billets Reports'!C754</f>
      </c>
      <c r="G755">
        <f>'R.M Billets Reports'!D754</f>
      </c>
      <c r="H755">
        <f>'R.M Billets Reports'!E754</f>
      </c>
      <c r="I755">
        <f>'R.M Billets Reports'!F754</f>
      </c>
      <c r="J755">
        <f>'R.M Billets Reports'!G754</f>
      </c>
      <c r="K755">
        <f>'R.M Billets Reports'!H754</f>
      </c>
      <c r="L755">
        <f>IF('R.M Billets Reports'!I754="","",'R.M Billets Reports'!I754)</f>
      </c>
      <c r="M755">
        <f t="shared" si="22"/>
      </c>
      <c r="N755">
        <f>IF('R.M Billets Reports'!J754="","",'R.M Billets Reports'!J754)</f>
      </c>
      <c r="O755">
        <f t="shared" si="23"/>
      </c>
      <c r="P755">
        <f>IF('R.M Billets Reports'!A754="SIZE",'R.M Billets Reports'!B754,P754)</f>
      </c>
    </row>
    <row r="756" spans="1:16" x14ac:dyDescent="0.25">
      <c r="A756">
        <f>IF(OR('R.M Billets Reports'!A755="Date-",'R.M Billets Reports'!A755="Date:-"),IF(IF(IF(ISNUMBER(SEARCH("Party Name:-",'R.M Billets Reports'!D755)),TRIM('R.M Billets Reports'!F755),IF(ISNUMBER(SEARCH("Party Name-",'R.M Billets Reports'!D755)),TRIM(MID('R.M Billets Reports'!D755,SEARCH("-",'R.M Billets Reports'!D755)+1,200)),""))&lt;&gt;"",IF(ISNUMBER(SEARCH("Party Name:-",'R.M Billets Reports'!D755)),TRIM('R.M Billets Reports'!F755),IF(ISNUMBER(SEARCH("Party Name-",'R.M Billets Reports'!D755)),TRIM(MID('R.M Billets Reports'!D755,SEARCH("-",'R.M Billets Reports'!D755)+1,200)),"")),IF(ISNUMBER(SEARCH("Party Name:-",'R.M Billets Reports'!D756)),TRIM('R.M Billets Reports'!F756),IF(ISNUMBER(SEARCH("Party Name-",'R.M Billets Reports'!D756)),TRIM(MID('R.M Billets Reports'!D756,SEARCH("-",'R.M Billets Reports'!D756)+1,200)),"")))="VRKP ISPAT PVT LTD","VRKP",IF(IF(IF(ISNUMBER(SEARCH("Party Name:-",'R.M Billets Reports'!D755)),TRIM('R.M Billets Reports'!F755),IF(ISNUMBER(SEARCH("Party Name-",'R.M Billets Reports'!D755)),TRIM(MID('R.M Billets Reports'!D755,SEARCH("-",'R.M Billets Reports'!D755)+1,200)),""))&lt;&gt;"",IF(ISNUMBER(SEARCH("Party Name:-",'R.M Billets Reports'!D755)),TRIM('R.M Billets Reports'!F755),IF(ISNUMBER(SEARCH("Party Name-",'R.M Billets Reports'!D755)),TRIM(MID('R.M Billets Reports'!D755,SEARCH("-",'R.M Billets Reports'!D755)+1,200)),"")),IF(ISNUMBER(SEARCH("Party Name:-",'R.M Billets Reports'!D756)),TRIM('R.M Billets Reports'!F756),IF(ISNUMBER(SEARCH("Party Name-",'R.M Billets Reports'!D756)),TRIM(MID('R.M Billets Reports'!D756,SEARCH("-",'R.M Billets Reports'!D756)+1,200)),"")))="SHRI RADHE","SHREE RADHE",IF(IF(IF(ISNUMBER(SEARCH("Party Name:-",'R.M Billets Reports'!D755)),TRIM('R.M Billets Reports'!F755),IF(ISNUMBER(SEARCH("Party Name-",'R.M Billets Reports'!D755)),TRIM(MID('R.M Billets Reports'!D755,SEARCH("-",'R.M Billets Reports'!D755)+1,200)),""))&lt;&gt;"",IF(ISNUMBER(SEARCH("Party Name:-",'R.M Billets Reports'!D755)),TRIM('R.M Billets Reports'!F755),IF(ISNUMBER(SEARCH("Party Name-",'R.M Billets Reports'!D755)),TRIM(MID('R.M Billets Reports'!D755,SEARCH("-",'R.M Billets Reports'!D755)+1,200)),"")),IF(ISNUMBER(SEARCH("Party Name:-",'R.M Billets Reports'!D756)),TRIM('R.M Billets Reports'!F756),IF(ISNUMBER(SEARCH("Party Name-",'R.M Billets Reports'!D756)),TRIM(MID('R.M Billets Reports'!D756,SEARCH("-",'R.M Billets Reports'!D756)+1,200)),"")))="SHREE RADHE SHAKTI SPONGE AND POWER PVT. LTD.","SHREE RADHE",IF(IF(ISNUMBER(SEARCH("Party Name:-",'R.M Billets Reports'!D755)),TRIM('R.M Billets Reports'!F755),IF(ISNUMBER(SEARCH("Party Name-",'R.M Billets Reports'!D755)),TRIM(MID('R.M Billets Reports'!D755,SEARCH("-",'R.M Billets Reports'!D755)+1,200)),""))&lt;&gt;"",IF(ISNUMBER(SEARCH("Party Name:-",'R.M Billets Reports'!D755)),TRIM('R.M Billets Reports'!F755),IF(ISNUMBER(SEARCH("Party Name-",'R.M Billets Reports'!D755)),TRIM(MID('R.M Billets Reports'!D755,SEARCH("-",'R.M Billets Reports'!D755)+1,200)),"")),IF(ISNUMBER(SEARCH("Party Name:-",'R.M Billets Reports'!D756)),TRIM('R.M Billets Reports'!F756),IF(ISNUMBER(SEARCH("Party Name-",'R.M Billets Reports'!D756)),TRIM(MID('R.M Billets Reports'!D756,SEARCH("-",'R.M Billets Reports'!D756)+1,200)),"")))))),IF(ROW()=2,"",A755))</f>
      </c>
      <c r="B756">
        <f>IF(OR('R.M Billets Reports'!A755="Date-",'R.M Billets Reports'!A755="Date:-"),'R.M Billets Reports'!B755,IF(ROW()=2,"",B755))</f>
      </c>
      <c r="C756">
        <f>IF('R.M Billets Reports'!A755="V.No.",'R.M Billets Reports'!B755,IF(ROW()=2,"",C755))</f>
      </c>
      <c r="D756">
        <f>IF('R.M Billets Reports'!A755&lt;&gt;"",'R.M Billets Reports'!A755,IF(ROW()=2,"",D755))</f>
      </c>
      <c r="E756">
        <f>IF('R.M Billets Reports'!B755="","",TRIM('R.M Billets Reports'!B755))</f>
      </c>
      <c r="F756">
        <f>'R.M Billets Reports'!C755</f>
      </c>
      <c r="G756">
        <f>'R.M Billets Reports'!D755</f>
      </c>
      <c r="H756">
        <f>'R.M Billets Reports'!E755</f>
      </c>
      <c r="I756">
        <f>'R.M Billets Reports'!F755</f>
      </c>
      <c r="J756">
        <f>'R.M Billets Reports'!G755</f>
      </c>
      <c r="K756">
        <f>'R.M Billets Reports'!H755</f>
      </c>
      <c r="L756">
        <f>IF('R.M Billets Reports'!I755="","",'R.M Billets Reports'!I755)</f>
      </c>
      <c r="M756">
        <f t="shared" si="22"/>
      </c>
      <c r="N756">
        <f>IF('R.M Billets Reports'!J755="","",'R.M Billets Reports'!J755)</f>
      </c>
      <c r="O756">
        <f t="shared" si="23"/>
      </c>
      <c r="P756">
        <f>IF('R.M Billets Reports'!A755="SIZE",'R.M Billets Reports'!B755,P755)</f>
      </c>
    </row>
    <row r="757" spans="1:16" x14ac:dyDescent="0.25">
      <c r="A757">
        <f>IF(OR('R.M Billets Reports'!A756="Date-",'R.M Billets Reports'!A756="Date:-"),IF(IF(IF(ISNUMBER(SEARCH("Party Name:-",'R.M Billets Reports'!D756)),TRIM('R.M Billets Reports'!F756),IF(ISNUMBER(SEARCH("Party Name-",'R.M Billets Reports'!D756)),TRIM(MID('R.M Billets Reports'!D756,SEARCH("-",'R.M Billets Reports'!D756)+1,200)),""))&lt;&gt;"",IF(ISNUMBER(SEARCH("Party Name:-",'R.M Billets Reports'!D756)),TRIM('R.M Billets Reports'!F756),IF(ISNUMBER(SEARCH("Party Name-",'R.M Billets Reports'!D756)),TRIM(MID('R.M Billets Reports'!D756,SEARCH("-",'R.M Billets Reports'!D756)+1,200)),"")),IF(ISNUMBER(SEARCH("Party Name:-",'R.M Billets Reports'!D757)),TRIM('R.M Billets Reports'!F757),IF(ISNUMBER(SEARCH("Party Name-",'R.M Billets Reports'!D757)),TRIM(MID('R.M Billets Reports'!D757,SEARCH("-",'R.M Billets Reports'!D757)+1,200)),"")))="VRKP ISPAT PVT LTD","VRKP",IF(IF(IF(ISNUMBER(SEARCH("Party Name:-",'R.M Billets Reports'!D756)),TRIM('R.M Billets Reports'!F756),IF(ISNUMBER(SEARCH("Party Name-",'R.M Billets Reports'!D756)),TRIM(MID('R.M Billets Reports'!D756,SEARCH("-",'R.M Billets Reports'!D756)+1,200)),""))&lt;&gt;"",IF(ISNUMBER(SEARCH("Party Name:-",'R.M Billets Reports'!D756)),TRIM('R.M Billets Reports'!F756),IF(ISNUMBER(SEARCH("Party Name-",'R.M Billets Reports'!D756)),TRIM(MID('R.M Billets Reports'!D756,SEARCH("-",'R.M Billets Reports'!D756)+1,200)),"")),IF(ISNUMBER(SEARCH("Party Name:-",'R.M Billets Reports'!D757)),TRIM('R.M Billets Reports'!F757),IF(ISNUMBER(SEARCH("Party Name-",'R.M Billets Reports'!D757)),TRIM(MID('R.M Billets Reports'!D757,SEARCH("-",'R.M Billets Reports'!D757)+1,200)),"")))="SHRI RADHE","SHREE RADHE",IF(IF(IF(ISNUMBER(SEARCH("Party Name:-",'R.M Billets Reports'!D756)),TRIM('R.M Billets Reports'!F756),IF(ISNUMBER(SEARCH("Party Name-",'R.M Billets Reports'!D756)),TRIM(MID('R.M Billets Reports'!D756,SEARCH("-",'R.M Billets Reports'!D756)+1,200)),""))&lt;&gt;"",IF(ISNUMBER(SEARCH("Party Name:-",'R.M Billets Reports'!D756)),TRIM('R.M Billets Reports'!F756),IF(ISNUMBER(SEARCH("Party Name-",'R.M Billets Reports'!D756)),TRIM(MID('R.M Billets Reports'!D756,SEARCH("-",'R.M Billets Reports'!D756)+1,200)),"")),IF(ISNUMBER(SEARCH("Party Name:-",'R.M Billets Reports'!D757)),TRIM('R.M Billets Reports'!F757),IF(ISNUMBER(SEARCH("Party Name-",'R.M Billets Reports'!D757)),TRIM(MID('R.M Billets Reports'!D757,SEARCH("-",'R.M Billets Reports'!D757)+1,200)),"")))="SHREE RADHE SHAKTI SPONGE AND POWER PVT. LTD.","SHREE RADHE",IF(IF(ISNUMBER(SEARCH("Party Name:-",'R.M Billets Reports'!D756)),TRIM('R.M Billets Reports'!F756),IF(ISNUMBER(SEARCH("Party Name-",'R.M Billets Reports'!D756)),TRIM(MID('R.M Billets Reports'!D756,SEARCH("-",'R.M Billets Reports'!D756)+1,200)),""))&lt;&gt;"",IF(ISNUMBER(SEARCH("Party Name:-",'R.M Billets Reports'!D756)),TRIM('R.M Billets Reports'!F756),IF(ISNUMBER(SEARCH("Party Name-",'R.M Billets Reports'!D756)),TRIM(MID('R.M Billets Reports'!D756,SEARCH("-",'R.M Billets Reports'!D756)+1,200)),"")),IF(ISNUMBER(SEARCH("Party Name:-",'R.M Billets Reports'!D757)),TRIM('R.M Billets Reports'!F757),IF(ISNUMBER(SEARCH("Party Name-",'R.M Billets Reports'!D757)),TRIM(MID('R.M Billets Reports'!D757,SEARCH("-",'R.M Billets Reports'!D757)+1,200)),"")))))),IF(ROW()=2,"",A756))</f>
      </c>
      <c r="B757">
        <f>IF(OR('R.M Billets Reports'!A756="Date-",'R.M Billets Reports'!A756="Date:-"),'R.M Billets Reports'!B756,IF(ROW()=2,"",B756))</f>
      </c>
      <c r="C757">
        <f>IF('R.M Billets Reports'!A756="V.No.",'R.M Billets Reports'!B756,IF(ROW()=2,"",C756))</f>
      </c>
      <c r="D757">
        <f>IF('R.M Billets Reports'!A756&lt;&gt;"",'R.M Billets Reports'!A756,IF(ROW()=2,"",D756))</f>
      </c>
      <c r="E757">
        <f>IF('R.M Billets Reports'!B756="","",TRIM('R.M Billets Reports'!B756))</f>
      </c>
      <c r="F757">
        <f>'R.M Billets Reports'!C756</f>
      </c>
      <c r="G757">
        <f>'R.M Billets Reports'!D756</f>
      </c>
      <c r="H757">
        <f>'R.M Billets Reports'!E756</f>
      </c>
      <c r="I757">
        <f>'R.M Billets Reports'!F756</f>
      </c>
      <c r="J757">
        <f>'R.M Billets Reports'!G756</f>
      </c>
      <c r="K757">
        <f>'R.M Billets Reports'!H756</f>
      </c>
      <c r="L757">
        <f>IF('R.M Billets Reports'!I756="","",'R.M Billets Reports'!I756)</f>
      </c>
      <c r="M757">
        <f t="shared" si="22"/>
      </c>
      <c r="N757">
        <f>IF('R.M Billets Reports'!J756="","",'R.M Billets Reports'!J756)</f>
      </c>
      <c r="O757">
        <f t="shared" si="23"/>
      </c>
      <c r="P757">
        <f>IF('R.M Billets Reports'!A756="SIZE",'R.M Billets Reports'!B756,P756)</f>
      </c>
    </row>
    <row r="758" spans="1:16" x14ac:dyDescent="0.25">
      <c r="A758">
        <f>IF(OR('R.M Billets Reports'!A757="Date-",'R.M Billets Reports'!A757="Date:-"),IF(IF(IF(ISNUMBER(SEARCH("Party Name:-",'R.M Billets Reports'!D757)),TRIM('R.M Billets Reports'!F757),IF(ISNUMBER(SEARCH("Party Name-",'R.M Billets Reports'!D757)),TRIM(MID('R.M Billets Reports'!D757,SEARCH("-",'R.M Billets Reports'!D757)+1,200)),""))&lt;&gt;"",IF(ISNUMBER(SEARCH("Party Name:-",'R.M Billets Reports'!D757)),TRIM('R.M Billets Reports'!F757),IF(ISNUMBER(SEARCH("Party Name-",'R.M Billets Reports'!D757)),TRIM(MID('R.M Billets Reports'!D757,SEARCH("-",'R.M Billets Reports'!D757)+1,200)),"")),IF(ISNUMBER(SEARCH("Party Name:-",'R.M Billets Reports'!D758)),TRIM('R.M Billets Reports'!F758),IF(ISNUMBER(SEARCH("Party Name-",'R.M Billets Reports'!D758)),TRIM(MID('R.M Billets Reports'!D758,SEARCH("-",'R.M Billets Reports'!D758)+1,200)),"")))="VRKP ISPAT PVT LTD","VRKP",IF(IF(IF(ISNUMBER(SEARCH("Party Name:-",'R.M Billets Reports'!D757)),TRIM('R.M Billets Reports'!F757),IF(ISNUMBER(SEARCH("Party Name-",'R.M Billets Reports'!D757)),TRIM(MID('R.M Billets Reports'!D757,SEARCH("-",'R.M Billets Reports'!D757)+1,200)),""))&lt;&gt;"",IF(ISNUMBER(SEARCH("Party Name:-",'R.M Billets Reports'!D757)),TRIM('R.M Billets Reports'!F757),IF(ISNUMBER(SEARCH("Party Name-",'R.M Billets Reports'!D757)),TRIM(MID('R.M Billets Reports'!D757,SEARCH("-",'R.M Billets Reports'!D757)+1,200)),"")),IF(ISNUMBER(SEARCH("Party Name:-",'R.M Billets Reports'!D758)),TRIM('R.M Billets Reports'!F758),IF(ISNUMBER(SEARCH("Party Name-",'R.M Billets Reports'!D758)),TRIM(MID('R.M Billets Reports'!D758,SEARCH("-",'R.M Billets Reports'!D758)+1,200)),"")))="SHRI RADHE","SHREE RADHE",IF(IF(IF(ISNUMBER(SEARCH("Party Name:-",'R.M Billets Reports'!D757)),TRIM('R.M Billets Reports'!F757),IF(ISNUMBER(SEARCH("Party Name-",'R.M Billets Reports'!D757)),TRIM(MID('R.M Billets Reports'!D757,SEARCH("-",'R.M Billets Reports'!D757)+1,200)),""))&lt;&gt;"",IF(ISNUMBER(SEARCH("Party Name:-",'R.M Billets Reports'!D757)),TRIM('R.M Billets Reports'!F757),IF(ISNUMBER(SEARCH("Party Name-",'R.M Billets Reports'!D757)),TRIM(MID('R.M Billets Reports'!D757,SEARCH("-",'R.M Billets Reports'!D757)+1,200)),"")),IF(ISNUMBER(SEARCH("Party Name:-",'R.M Billets Reports'!D758)),TRIM('R.M Billets Reports'!F758),IF(ISNUMBER(SEARCH("Party Name-",'R.M Billets Reports'!D758)),TRIM(MID('R.M Billets Reports'!D758,SEARCH("-",'R.M Billets Reports'!D758)+1,200)),"")))="SHREE RADHE SHAKTI SPONGE AND POWER PVT. LTD.","SHREE RADHE",IF(IF(ISNUMBER(SEARCH("Party Name:-",'R.M Billets Reports'!D757)),TRIM('R.M Billets Reports'!F757),IF(ISNUMBER(SEARCH("Party Name-",'R.M Billets Reports'!D757)),TRIM(MID('R.M Billets Reports'!D757,SEARCH("-",'R.M Billets Reports'!D757)+1,200)),""))&lt;&gt;"",IF(ISNUMBER(SEARCH("Party Name:-",'R.M Billets Reports'!D757)),TRIM('R.M Billets Reports'!F757),IF(ISNUMBER(SEARCH("Party Name-",'R.M Billets Reports'!D757)),TRIM(MID('R.M Billets Reports'!D757,SEARCH("-",'R.M Billets Reports'!D757)+1,200)),"")),IF(ISNUMBER(SEARCH("Party Name:-",'R.M Billets Reports'!D758)),TRIM('R.M Billets Reports'!F758),IF(ISNUMBER(SEARCH("Party Name-",'R.M Billets Reports'!D758)),TRIM(MID('R.M Billets Reports'!D758,SEARCH("-",'R.M Billets Reports'!D758)+1,200)),"")))))),IF(ROW()=2,"",A757))</f>
      </c>
      <c r="B758">
        <f>IF(OR('R.M Billets Reports'!A757="Date-",'R.M Billets Reports'!A757="Date:-"),'R.M Billets Reports'!B757,IF(ROW()=2,"",B757))</f>
      </c>
      <c r="C758">
        <f>IF('R.M Billets Reports'!A757="V.No.",'R.M Billets Reports'!B757,IF(ROW()=2,"",C757))</f>
      </c>
      <c r="D758">
        <f>IF('R.M Billets Reports'!A757&lt;&gt;"",'R.M Billets Reports'!A757,IF(ROW()=2,"",D757))</f>
      </c>
      <c r="E758">
        <f>IF('R.M Billets Reports'!B757="","",TRIM('R.M Billets Reports'!B757))</f>
      </c>
      <c r="F758">
        <f>'R.M Billets Reports'!C757</f>
      </c>
      <c r="G758">
        <f>'R.M Billets Reports'!D757</f>
      </c>
      <c r="H758">
        <f>'R.M Billets Reports'!E757</f>
      </c>
      <c r="I758">
        <f>'R.M Billets Reports'!F757</f>
      </c>
      <c r="J758">
        <f>'R.M Billets Reports'!G757</f>
      </c>
      <c r="K758">
        <f>'R.M Billets Reports'!H757</f>
      </c>
      <c r="L758">
        <f>IF('R.M Billets Reports'!I757="","",'R.M Billets Reports'!I757)</f>
      </c>
      <c r="M758">
        <f t="shared" si="22"/>
      </c>
      <c r="N758">
        <f>IF('R.M Billets Reports'!J757="","",'R.M Billets Reports'!J757)</f>
      </c>
      <c r="O758">
        <f t="shared" si="23"/>
      </c>
      <c r="P758">
        <f>IF('R.M Billets Reports'!A757="SIZE",'R.M Billets Reports'!B757,P757)</f>
      </c>
    </row>
    <row r="759" spans="1:16" x14ac:dyDescent="0.25">
      <c r="A759">
        <f>IF(OR('R.M Billets Reports'!A758="Date-",'R.M Billets Reports'!A758="Date:-"),IF(IF(IF(ISNUMBER(SEARCH("Party Name:-",'R.M Billets Reports'!D758)),TRIM('R.M Billets Reports'!F758),IF(ISNUMBER(SEARCH("Party Name-",'R.M Billets Reports'!D758)),TRIM(MID('R.M Billets Reports'!D758,SEARCH("-",'R.M Billets Reports'!D758)+1,200)),""))&lt;&gt;"",IF(ISNUMBER(SEARCH("Party Name:-",'R.M Billets Reports'!D758)),TRIM('R.M Billets Reports'!F758),IF(ISNUMBER(SEARCH("Party Name-",'R.M Billets Reports'!D758)),TRIM(MID('R.M Billets Reports'!D758,SEARCH("-",'R.M Billets Reports'!D758)+1,200)),"")),IF(ISNUMBER(SEARCH("Party Name:-",'R.M Billets Reports'!D759)),TRIM('R.M Billets Reports'!F759),IF(ISNUMBER(SEARCH("Party Name-",'R.M Billets Reports'!D759)),TRIM(MID('R.M Billets Reports'!D759,SEARCH("-",'R.M Billets Reports'!D759)+1,200)),"")))="VRKP ISPAT PVT LTD","VRKP",IF(IF(IF(ISNUMBER(SEARCH("Party Name:-",'R.M Billets Reports'!D758)),TRIM('R.M Billets Reports'!F758),IF(ISNUMBER(SEARCH("Party Name-",'R.M Billets Reports'!D758)),TRIM(MID('R.M Billets Reports'!D758,SEARCH("-",'R.M Billets Reports'!D758)+1,200)),""))&lt;&gt;"",IF(ISNUMBER(SEARCH("Party Name:-",'R.M Billets Reports'!D758)),TRIM('R.M Billets Reports'!F758),IF(ISNUMBER(SEARCH("Party Name-",'R.M Billets Reports'!D758)),TRIM(MID('R.M Billets Reports'!D758,SEARCH("-",'R.M Billets Reports'!D758)+1,200)),"")),IF(ISNUMBER(SEARCH("Party Name:-",'R.M Billets Reports'!D759)),TRIM('R.M Billets Reports'!F759),IF(ISNUMBER(SEARCH("Party Name-",'R.M Billets Reports'!D759)),TRIM(MID('R.M Billets Reports'!D759,SEARCH("-",'R.M Billets Reports'!D759)+1,200)),"")))="SHRI RADHE","SHREE RADHE",IF(IF(IF(ISNUMBER(SEARCH("Party Name:-",'R.M Billets Reports'!D758)),TRIM('R.M Billets Reports'!F758),IF(ISNUMBER(SEARCH("Party Name-",'R.M Billets Reports'!D758)),TRIM(MID('R.M Billets Reports'!D758,SEARCH("-",'R.M Billets Reports'!D758)+1,200)),""))&lt;&gt;"",IF(ISNUMBER(SEARCH("Party Name:-",'R.M Billets Reports'!D758)),TRIM('R.M Billets Reports'!F758),IF(ISNUMBER(SEARCH("Party Name-",'R.M Billets Reports'!D758)),TRIM(MID('R.M Billets Reports'!D758,SEARCH("-",'R.M Billets Reports'!D758)+1,200)),"")),IF(ISNUMBER(SEARCH("Party Name:-",'R.M Billets Reports'!D759)),TRIM('R.M Billets Reports'!F759),IF(ISNUMBER(SEARCH("Party Name-",'R.M Billets Reports'!D759)),TRIM(MID('R.M Billets Reports'!D759,SEARCH("-",'R.M Billets Reports'!D759)+1,200)),"")))="SHREE RADHE SHAKTI SPONGE AND POWER PVT. LTD.","SHREE RADHE",IF(IF(ISNUMBER(SEARCH("Party Name:-",'R.M Billets Reports'!D758)),TRIM('R.M Billets Reports'!F758),IF(ISNUMBER(SEARCH("Party Name-",'R.M Billets Reports'!D758)),TRIM(MID('R.M Billets Reports'!D758,SEARCH("-",'R.M Billets Reports'!D758)+1,200)),""))&lt;&gt;"",IF(ISNUMBER(SEARCH("Party Name:-",'R.M Billets Reports'!D758)),TRIM('R.M Billets Reports'!F758),IF(ISNUMBER(SEARCH("Party Name-",'R.M Billets Reports'!D758)),TRIM(MID('R.M Billets Reports'!D758,SEARCH("-",'R.M Billets Reports'!D758)+1,200)),"")),IF(ISNUMBER(SEARCH("Party Name:-",'R.M Billets Reports'!D759)),TRIM('R.M Billets Reports'!F759),IF(ISNUMBER(SEARCH("Party Name-",'R.M Billets Reports'!D759)),TRIM(MID('R.M Billets Reports'!D759,SEARCH("-",'R.M Billets Reports'!D759)+1,200)),"")))))),IF(ROW()=2,"",A758))</f>
      </c>
      <c r="B759">
        <f>IF(OR('R.M Billets Reports'!A758="Date-",'R.M Billets Reports'!A758="Date:-"),'R.M Billets Reports'!B758,IF(ROW()=2,"",B758))</f>
      </c>
      <c r="C759">
        <f>IF('R.M Billets Reports'!A758="V.No.",'R.M Billets Reports'!B758,IF(ROW()=2,"",C758))</f>
      </c>
      <c r="D759">
        <f>IF('R.M Billets Reports'!A758&lt;&gt;"",'R.M Billets Reports'!A758,IF(ROW()=2,"",D758))</f>
      </c>
      <c r="E759">
        <f>IF('R.M Billets Reports'!B758="","",TRIM('R.M Billets Reports'!B758))</f>
      </c>
      <c r="F759">
        <f>'R.M Billets Reports'!C758</f>
      </c>
      <c r="G759">
        <f>'R.M Billets Reports'!D758</f>
      </c>
      <c r="H759">
        <f>'R.M Billets Reports'!E758</f>
      </c>
      <c r="I759">
        <f>'R.M Billets Reports'!F758</f>
      </c>
      <c r="J759">
        <f>'R.M Billets Reports'!G758</f>
      </c>
      <c r="K759">
        <f>'R.M Billets Reports'!H758</f>
      </c>
      <c r="L759">
        <f>IF('R.M Billets Reports'!I758="","",'R.M Billets Reports'!I758)</f>
      </c>
      <c r="M759">
        <f t="shared" si="22"/>
      </c>
      <c r="N759">
        <f>IF('R.M Billets Reports'!J758="","",'R.M Billets Reports'!J758)</f>
      </c>
      <c r="O759">
        <f t="shared" si="23"/>
      </c>
      <c r="P759">
        <f>IF('R.M Billets Reports'!A758="SIZE",'R.M Billets Reports'!B758,P758)</f>
      </c>
    </row>
    <row r="760" spans="1:16" x14ac:dyDescent="0.25">
      <c r="A760">
        <f>IF(OR('R.M Billets Reports'!A759="Date-",'R.M Billets Reports'!A759="Date:-"),IF(IF(IF(ISNUMBER(SEARCH("Party Name:-",'R.M Billets Reports'!D759)),TRIM('R.M Billets Reports'!F759),IF(ISNUMBER(SEARCH("Party Name-",'R.M Billets Reports'!D759)),TRIM(MID('R.M Billets Reports'!D759,SEARCH("-",'R.M Billets Reports'!D759)+1,200)),""))&lt;&gt;"",IF(ISNUMBER(SEARCH("Party Name:-",'R.M Billets Reports'!D759)),TRIM('R.M Billets Reports'!F759),IF(ISNUMBER(SEARCH("Party Name-",'R.M Billets Reports'!D759)),TRIM(MID('R.M Billets Reports'!D759,SEARCH("-",'R.M Billets Reports'!D759)+1,200)),"")),IF(ISNUMBER(SEARCH("Party Name:-",'R.M Billets Reports'!D760)),TRIM('R.M Billets Reports'!F760),IF(ISNUMBER(SEARCH("Party Name-",'R.M Billets Reports'!D760)),TRIM(MID('R.M Billets Reports'!D760,SEARCH("-",'R.M Billets Reports'!D760)+1,200)),"")))="VRKP ISPAT PVT LTD","VRKP",IF(IF(IF(ISNUMBER(SEARCH("Party Name:-",'R.M Billets Reports'!D759)),TRIM('R.M Billets Reports'!F759),IF(ISNUMBER(SEARCH("Party Name-",'R.M Billets Reports'!D759)),TRIM(MID('R.M Billets Reports'!D759,SEARCH("-",'R.M Billets Reports'!D759)+1,200)),""))&lt;&gt;"",IF(ISNUMBER(SEARCH("Party Name:-",'R.M Billets Reports'!D759)),TRIM('R.M Billets Reports'!F759),IF(ISNUMBER(SEARCH("Party Name-",'R.M Billets Reports'!D759)),TRIM(MID('R.M Billets Reports'!D759,SEARCH("-",'R.M Billets Reports'!D759)+1,200)),"")),IF(ISNUMBER(SEARCH("Party Name:-",'R.M Billets Reports'!D760)),TRIM('R.M Billets Reports'!F760),IF(ISNUMBER(SEARCH("Party Name-",'R.M Billets Reports'!D760)),TRIM(MID('R.M Billets Reports'!D760,SEARCH("-",'R.M Billets Reports'!D760)+1,200)),"")))="SHRI RADHE","SHREE RADHE",IF(IF(IF(ISNUMBER(SEARCH("Party Name:-",'R.M Billets Reports'!D759)),TRIM('R.M Billets Reports'!F759),IF(ISNUMBER(SEARCH("Party Name-",'R.M Billets Reports'!D759)),TRIM(MID('R.M Billets Reports'!D759,SEARCH("-",'R.M Billets Reports'!D759)+1,200)),""))&lt;&gt;"",IF(ISNUMBER(SEARCH("Party Name:-",'R.M Billets Reports'!D759)),TRIM('R.M Billets Reports'!F759),IF(ISNUMBER(SEARCH("Party Name-",'R.M Billets Reports'!D759)),TRIM(MID('R.M Billets Reports'!D759,SEARCH("-",'R.M Billets Reports'!D759)+1,200)),"")),IF(ISNUMBER(SEARCH("Party Name:-",'R.M Billets Reports'!D760)),TRIM('R.M Billets Reports'!F760),IF(ISNUMBER(SEARCH("Party Name-",'R.M Billets Reports'!D760)),TRIM(MID('R.M Billets Reports'!D760,SEARCH("-",'R.M Billets Reports'!D760)+1,200)),"")))="SHREE RADHE SHAKTI SPONGE AND POWER PVT. LTD.","SHREE RADHE",IF(IF(ISNUMBER(SEARCH("Party Name:-",'R.M Billets Reports'!D759)),TRIM('R.M Billets Reports'!F759),IF(ISNUMBER(SEARCH("Party Name-",'R.M Billets Reports'!D759)),TRIM(MID('R.M Billets Reports'!D759,SEARCH("-",'R.M Billets Reports'!D759)+1,200)),""))&lt;&gt;"",IF(ISNUMBER(SEARCH("Party Name:-",'R.M Billets Reports'!D759)),TRIM('R.M Billets Reports'!F759),IF(ISNUMBER(SEARCH("Party Name-",'R.M Billets Reports'!D759)),TRIM(MID('R.M Billets Reports'!D759,SEARCH("-",'R.M Billets Reports'!D759)+1,200)),"")),IF(ISNUMBER(SEARCH("Party Name:-",'R.M Billets Reports'!D760)),TRIM('R.M Billets Reports'!F760),IF(ISNUMBER(SEARCH("Party Name-",'R.M Billets Reports'!D760)),TRIM(MID('R.M Billets Reports'!D760,SEARCH("-",'R.M Billets Reports'!D760)+1,200)),"")))))),IF(ROW()=2,"",A759))</f>
      </c>
      <c r="B760">
        <f>IF(OR('R.M Billets Reports'!A759="Date-",'R.M Billets Reports'!A759="Date:-"),'R.M Billets Reports'!B759,IF(ROW()=2,"",B759))</f>
      </c>
      <c r="C760">
        <f>IF('R.M Billets Reports'!A759="V.No.",'R.M Billets Reports'!B759,IF(ROW()=2,"",C759))</f>
      </c>
      <c r="D760">
        <f>IF('R.M Billets Reports'!A759&lt;&gt;"",'R.M Billets Reports'!A759,IF(ROW()=2,"",D759))</f>
      </c>
      <c r="E760">
        <f>IF('R.M Billets Reports'!B759="","",TRIM('R.M Billets Reports'!B759))</f>
      </c>
      <c r="F760">
        <f>'R.M Billets Reports'!C759</f>
      </c>
      <c r="G760">
        <f>'R.M Billets Reports'!D759</f>
      </c>
      <c r="H760">
        <f>'R.M Billets Reports'!E759</f>
      </c>
      <c r="I760">
        <f>'R.M Billets Reports'!F759</f>
      </c>
      <c r="J760">
        <f>'R.M Billets Reports'!G759</f>
      </c>
      <c r="K760">
        <f>'R.M Billets Reports'!H759</f>
      </c>
      <c r="L760">
        <f>IF('R.M Billets Reports'!I759="","",'R.M Billets Reports'!I759)</f>
      </c>
      <c r="M760">
        <f t="shared" si="22"/>
      </c>
      <c r="N760">
        <f>IF('R.M Billets Reports'!J759="","",'R.M Billets Reports'!J759)</f>
      </c>
      <c r="O760">
        <f t="shared" si="23"/>
      </c>
      <c r="P760">
        <f>IF('R.M Billets Reports'!A759="SIZE",'R.M Billets Reports'!B759,P759)</f>
      </c>
    </row>
    <row r="761" spans="1:16" x14ac:dyDescent="0.25">
      <c r="A761">
        <f>IF(OR('R.M Billets Reports'!A760="Date-",'R.M Billets Reports'!A760="Date:-"),IF(IF(IF(ISNUMBER(SEARCH("Party Name:-",'R.M Billets Reports'!D760)),TRIM('R.M Billets Reports'!F760),IF(ISNUMBER(SEARCH("Party Name-",'R.M Billets Reports'!D760)),TRIM(MID('R.M Billets Reports'!D760,SEARCH("-",'R.M Billets Reports'!D760)+1,200)),""))&lt;&gt;"",IF(ISNUMBER(SEARCH("Party Name:-",'R.M Billets Reports'!D760)),TRIM('R.M Billets Reports'!F760),IF(ISNUMBER(SEARCH("Party Name-",'R.M Billets Reports'!D760)),TRIM(MID('R.M Billets Reports'!D760,SEARCH("-",'R.M Billets Reports'!D760)+1,200)),"")),IF(ISNUMBER(SEARCH("Party Name:-",'R.M Billets Reports'!D761)),TRIM('R.M Billets Reports'!F761),IF(ISNUMBER(SEARCH("Party Name-",'R.M Billets Reports'!D761)),TRIM(MID('R.M Billets Reports'!D761,SEARCH("-",'R.M Billets Reports'!D761)+1,200)),"")))="VRKP ISPAT PVT LTD","VRKP",IF(IF(IF(ISNUMBER(SEARCH("Party Name:-",'R.M Billets Reports'!D760)),TRIM('R.M Billets Reports'!F760),IF(ISNUMBER(SEARCH("Party Name-",'R.M Billets Reports'!D760)),TRIM(MID('R.M Billets Reports'!D760,SEARCH("-",'R.M Billets Reports'!D760)+1,200)),""))&lt;&gt;"",IF(ISNUMBER(SEARCH("Party Name:-",'R.M Billets Reports'!D760)),TRIM('R.M Billets Reports'!F760),IF(ISNUMBER(SEARCH("Party Name-",'R.M Billets Reports'!D760)),TRIM(MID('R.M Billets Reports'!D760,SEARCH("-",'R.M Billets Reports'!D760)+1,200)),"")),IF(ISNUMBER(SEARCH("Party Name:-",'R.M Billets Reports'!D761)),TRIM('R.M Billets Reports'!F761),IF(ISNUMBER(SEARCH("Party Name-",'R.M Billets Reports'!D761)),TRIM(MID('R.M Billets Reports'!D761,SEARCH("-",'R.M Billets Reports'!D761)+1,200)),"")))="SHRI RADHE","SHREE RADHE",IF(IF(IF(ISNUMBER(SEARCH("Party Name:-",'R.M Billets Reports'!D760)),TRIM('R.M Billets Reports'!F760),IF(ISNUMBER(SEARCH("Party Name-",'R.M Billets Reports'!D760)),TRIM(MID('R.M Billets Reports'!D760,SEARCH("-",'R.M Billets Reports'!D760)+1,200)),""))&lt;&gt;"",IF(ISNUMBER(SEARCH("Party Name:-",'R.M Billets Reports'!D760)),TRIM('R.M Billets Reports'!F760),IF(ISNUMBER(SEARCH("Party Name-",'R.M Billets Reports'!D760)),TRIM(MID('R.M Billets Reports'!D760,SEARCH("-",'R.M Billets Reports'!D760)+1,200)),"")),IF(ISNUMBER(SEARCH("Party Name:-",'R.M Billets Reports'!D761)),TRIM('R.M Billets Reports'!F761),IF(ISNUMBER(SEARCH("Party Name-",'R.M Billets Reports'!D761)),TRIM(MID('R.M Billets Reports'!D761,SEARCH("-",'R.M Billets Reports'!D761)+1,200)),"")))="SHREE RADHE SHAKTI SPONGE AND POWER PVT. LTD.","SHREE RADHE",IF(IF(ISNUMBER(SEARCH("Party Name:-",'R.M Billets Reports'!D760)),TRIM('R.M Billets Reports'!F760),IF(ISNUMBER(SEARCH("Party Name-",'R.M Billets Reports'!D760)),TRIM(MID('R.M Billets Reports'!D760,SEARCH("-",'R.M Billets Reports'!D760)+1,200)),""))&lt;&gt;"",IF(ISNUMBER(SEARCH("Party Name:-",'R.M Billets Reports'!D760)),TRIM('R.M Billets Reports'!F760),IF(ISNUMBER(SEARCH("Party Name-",'R.M Billets Reports'!D760)),TRIM(MID('R.M Billets Reports'!D760,SEARCH("-",'R.M Billets Reports'!D760)+1,200)),"")),IF(ISNUMBER(SEARCH("Party Name:-",'R.M Billets Reports'!D761)),TRIM('R.M Billets Reports'!F761),IF(ISNUMBER(SEARCH("Party Name-",'R.M Billets Reports'!D761)),TRIM(MID('R.M Billets Reports'!D761,SEARCH("-",'R.M Billets Reports'!D761)+1,200)),"")))))),IF(ROW()=2,"",A760))</f>
      </c>
      <c r="B761">
        <f>IF(OR('R.M Billets Reports'!A760="Date-",'R.M Billets Reports'!A760="Date:-"),'R.M Billets Reports'!B760,IF(ROW()=2,"",B760))</f>
      </c>
      <c r="C761">
        <f>IF('R.M Billets Reports'!A760="V.No.",'R.M Billets Reports'!B760,IF(ROW()=2,"",C760))</f>
      </c>
      <c r="D761">
        <f>IF('R.M Billets Reports'!A760&lt;&gt;"",'R.M Billets Reports'!A760,IF(ROW()=2,"",D760))</f>
      </c>
      <c r="E761">
        <f>IF('R.M Billets Reports'!B760="","",TRIM('R.M Billets Reports'!B760))</f>
      </c>
      <c r="F761">
        <f>'R.M Billets Reports'!C760</f>
      </c>
      <c r="G761">
        <f>'R.M Billets Reports'!D760</f>
      </c>
      <c r="H761">
        <f>'R.M Billets Reports'!E760</f>
      </c>
      <c r="I761">
        <f>'R.M Billets Reports'!F760</f>
      </c>
      <c r="J761">
        <f>'R.M Billets Reports'!G760</f>
      </c>
      <c r="K761">
        <f>'R.M Billets Reports'!H760</f>
      </c>
      <c r="L761">
        <f>IF('R.M Billets Reports'!I760="","",'R.M Billets Reports'!I760)</f>
      </c>
      <c r="M761">
        <f t="shared" si="22"/>
      </c>
      <c r="N761">
        <f>IF('R.M Billets Reports'!J760="","",'R.M Billets Reports'!J760)</f>
      </c>
      <c r="O761">
        <f t="shared" si="23"/>
      </c>
      <c r="P761">
        <f>IF('R.M Billets Reports'!A760="SIZE",'R.M Billets Reports'!B760,P760)</f>
      </c>
    </row>
    <row r="762" spans="1:16" x14ac:dyDescent="0.25">
      <c r="A762">
        <f>IF(OR('R.M Billets Reports'!A761="Date-",'R.M Billets Reports'!A761="Date:-"),IF(IF(IF(ISNUMBER(SEARCH("Party Name:-",'R.M Billets Reports'!D761)),TRIM('R.M Billets Reports'!F761),IF(ISNUMBER(SEARCH("Party Name-",'R.M Billets Reports'!D761)),TRIM(MID('R.M Billets Reports'!D761,SEARCH("-",'R.M Billets Reports'!D761)+1,200)),""))&lt;&gt;"",IF(ISNUMBER(SEARCH("Party Name:-",'R.M Billets Reports'!D761)),TRIM('R.M Billets Reports'!F761),IF(ISNUMBER(SEARCH("Party Name-",'R.M Billets Reports'!D761)),TRIM(MID('R.M Billets Reports'!D761,SEARCH("-",'R.M Billets Reports'!D761)+1,200)),"")),IF(ISNUMBER(SEARCH("Party Name:-",'R.M Billets Reports'!D762)),TRIM('R.M Billets Reports'!F762),IF(ISNUMBER(SEARCH("Party Name-",'R.M Billets Reports'!D762)),TRIM(MID('R.M Billets Reports'!D762,SEARCH("-",'R.M Billets Reports'!D762)+1,200)),"")))="VRKP ISPAT PVT LTD","VRKP",IF(IF(IF(ISNUMBER(SEARCH("Party Name:-",'R.M Billets Reports'!D761)),TRIM('R.M Billets Reports'!F761),IF(ISNUMBER(SEARCH("Party Name-",'R.M Billets Reports'!D761)),TRIM(MID('R.M Billets Reports'!D761,SEARCH("-",'R.M Billets Reports'!D761)+1,200)),""))&lt;&gt;"",IF(ISNUMBER(SEARCH("Party Name:-",'R.M Billets Reports'!D761)),TRIM('R.M Billets Reports'!F761),IF(ISNUMBER(SEARCH("Party Name-",'R.M Billets Reports'!D761)),TRIM(MID('R.M Billets Reports'!D761,SEARCH("-",'R.M Billets Reports'!D761)+1,200)),"")),IF(ISNUMBER(SEARCH("Party Name:-",'R.M Billets Reports'!D762)),TRIM('R.M Billets Reports'!F762),IF(ISNUMBER(SEARCH("Party Name-",'R.M Billets Reports'!D762)),TRIM(MID('R.M Billets Reports'!D762,SEARCH("-",'R.M Billets Reports'!D762)+1,200)),"")))="SHRI RADHE","SHREE RADHE",IF(IF(IF(ISNUMBER(SEARCH("Party Name:-",'R.M Billets Reports'!D761)),TRIM('R.M Billets Reports'!F761),IF(ISNUMBER(SEARCH("Party Name-",'R.M Billets Reports'!D761)),TRIM(MID('R.M Billets Reports'!D761,SEARCH("-",'R.M Billets Reports'!D761)+1,200)),""))&lt;&gt;"",IF(ISNUMBER(SEARCH("Party Name:-",'R.M Billets Reports'!D761)),TRIM('R.M Billets Reports'!F761),IF(ISNUMBER(SEARCH("Party Name-",'R.M Billets Reports'!D761)),TRIM(MID('R.M Billets Reports'!D761,SEARCH("-",'R.M Billets Reports'!D761)+1,200)),"")),IF(ISNUMBER(SEARCH("Party Name:-",'R.M Billets Reports'!D762)),TRIM('R.M Billets Reports'!F762),IF(ISNUMBER(SEARCH("Party Name-",'R.M Billets Reports'!D762)),TRIM(MID('R.M Billets Reports'!D762,SEARCH("-",'R.M Billets Reports'!D762)+1,200)),"")))="SHREE RADHE SHAKTI SPONGE AND POWER PVT. LTD.","SHREE RADHE",IF(IF(ISNUMBER(SEARCH("Party Name:-",'R.M Billets Reports'!D761)),TRIM('R.M Billets Reports'!F761),IF(ISNUMBER(SEARCH("Party Name-",'R.M Billets Reports'!D761)),TRIM(MID('R.M Billets Reports'!D761,SEARCH("-",'R.M Billets Reports'!D761)+1,200)),""))&lt;&gt;"",IF(ISNUMBER(SEARCH("Party Name:-",'R.M Billets Reports'!D761)),TRIM('R.M Billets Reports'!F761),IF(ISNUMBER(SEARCH("Party Name-",'R.M Billets Reports'!D761)),TRIM(MID('R.M Billets Reports'!D761,SEARCH("-",'R.M Billets Reports'!D761)+1,200)),"")),IF(ISNUMBER(SEARCH("Party Name:-",'R.M Billets Reports'!D762)),TRIM('R.M Billets Reports'!F762),IF(ISNUMBER(SEARCH("Party Name-",'R.M Billets Reports'!D762)),TRIM(MID('R.M Billets Reports'!D762,SEARCH("-",'R.M Billets Reports'!D762)+1,200)),"")))))),IF(ROW()=2,"",A761))</f>
      </c>
      <c r="B762">
        <f>IF(OR('R.M Billets Reports'!A761="Date-",'R.M Billets Reports'!A761="Date:-"),'R.M Billets Reports'!B761,IF(ROW()=2,"",B761))</f>
      </c>
      <c r="C762">
        <f>IF('R.M Billets Reports'!A761="V.No.",'R.M Billets Reports'!B761,IF(ROW()=2,"",C761))</f>
      </c>
      <c r="D762">
        <f>IF('R.M Billets Reports'!A761&lt;&gt;"",'R.M Billets Reports'!A761,IF(ROW()=2,"",D761))</f>
      </c>
      <c r="E762">
        <f>IF('R.M Billets Reports'!B761="","",TRIM('R.M Billets Reports'!B761))</f>
      </c>
      <c r="F762">
        <f>'R.M Billets Reports'!C761</f>
      </c>
      <c r="G762">
        <f>'R.M Billets Reports'!D761</f>
      </c>
      <c r="H762">
        <f>'R.M Billets Reports'!E761</f>
      </c>
      <c r="I762">
        <f>'R.M Billets Reports'!F761</f>
      </c>
      <c r="J762">
        <f>'R.M Billets Reports'!G761</f>
      </c>
      <c r="K762">
        <f>'R.M Billets Reports'!H761</f>
      </c>
      <c r="L762">
        <f>IF('R.M Billets Reports'!I761="","",'R.M Billets Reports'!I761)</f>
      </c>
      <c r="M762">
        <f t="shared" si="22"/>
      </c>
      <c r="N762">
        <f>IF('R.M Billets Reports'!J761="","",'R.M Billets Reports'!J761)</f>
      </c>
      <c r="O762">
        <f t="shared" si="23"/>
      </c>
      <c r="P762">
        <f>IF('R.M Billets Reports'!A761="SIZE",'R.M Billets Reports'!B761,P761)</f>
      </c>
    </row>
    <row r="763" spans="1:16" x14ac:dyDescent="0.25">
      <c r="A763">
        <f>IF(OR('R.M Billets Reports'!A762="Date-",'R.M Billets Reports'!A762="Date:-"),IF(IF(IF(ISNUMBER(SEARCH("Party Name:-",'R.M Billets Reports'!D762)),TRIM('R.M Billets Reports'!F762),IF(ISNUMBER(SEARCH("Party Name-",'R.M Billets Reports'!D762)),TRIM(MID('R.M Billets Reports'!D762,SEARCH("-",'R.M Billets Reports'!D762)+1,200)),""))&lt;&gt;"",IF(ISNUMBER(SEARCH("Party Name:-",'R.M Billets Reports'!D762)),TRIM('R.M Billets Reports'!F762),IF(ISNUMBER(SEARCH("Party Name-",'R.M Billets Reports'!D762)),TRIM(MID('R.M Billets Reports'!D762,SEARCH("-",'R.M Billets Reports'!D762)+1,200)),"")),IF(ISNUMBER(SEARCH("Party Name:-",'R.M Billets Reports'!D763)),TRIM('R.M Billets Reports'!F763),IF(ISNUMBER(SEARCH("Party Name-",'R.M Billets Reports'!D763)),TRIM(MID('R.M Billets Reports'!D763,SEARCH("-",'R.M Billets Reports'!D763)+1,200)),"")))="VRKP ISPAT PVT LTD","VRKP",IF(IF(IF(ISNUMBER(SEARCH("Party Name:-",'R.M Billets Reports'!D762)),TRIM('R.M Billets Reports'!F762),IF(ISNUMBER(SEARCH("Party Name-",'R.M Billets Reports'!D762)),TRIM(MID('R.M Billets Reports'!D762,SEARCH("-",'R.M Billets Reports'!D762)+1,200)),""))&lt;&gt;"",IF(ISNUMBER(SEARCH("Party Name:-",'R.M Billets Reports'!D762)),TRIM('R.M Billets Reports'!F762),IF(ISNUMBER(SEARCH("Party Name-",'R.M Billets Reports'!D762)),TRIM(MID('R.M Billets Reports'!D762,SEARCH("-",'R.M Billets Reports'!D762)+1,200)),"")),IF(ISNUMBER(SEARCH("Party Name:-",'R.M Billets Reports'!D763)),TRIM('R.M Billets Reports'!F763),IF(ISNUMBER(SEARCH("Party Name-",'R.M Billets Reports'!D763)),TRIM(MID('R.M Billets Reports'!D763,SEARCH("-",'R.M Billets Reports'!D763)+1,200)),"")))="SHRI RADHE","SHREE RADHE",IF(IF(IF(ISNUMBER(SEARCH("Party Name:-",'R.M Billets Reports'!D762)),TRIM('R.M Billets Reports'!F762),IF(ISNUMBER(SEARCH("Party Name-",'R.M Billets Reports'!D762)),TRIM(MID('R.M Billets Reports'!D762,SEARCH("-",'R.M Billets Reports'!D762)+1,200)),""))&lt;&gt;"",IF(ISNUMBER(SEARCH("Party Name:-",'R.M Billets Reports'!D762)),TRIM('R.M Billets Reports'!F762),IF(ISNUMBER(SEARCH("Party Name-",'R.M Billets Reports'!D762)),TRIM(MID('R.M Billets Reports'!D762,SEARCH("-",'R.M Billets Reports'!D762)+1,200)),"")),IF(ISNUMBER(SEARCH("Party Name:-",'R.M Billets Reports'!D763)),TRIM('R.M Billets Reports'!F763),IF(ISNUMBER(SEARCH("Party Name-",'R.M Billets Reports'!D763)),TRIM(MID('R.M Billets Reports'!D763,SEARCH("-",'R.M Billets Reports'!D763)+1,200)),"")))="SHREE RADHE SHAKTI SPONGE AND POWER PVT. LTD.","SHREE RADHE",IF(IF(ISNUMBER(SEARCH("Party Name:-",'R.M Billets Reports'!D762)),TRIM('R.M Billets Reports'!F762),IF(ISNUMBER(SEARCH("Party Name-",'R.M Billets Reports'!D762)),TRIM(MID('R.M Billets Reports'!D762,SEARCH("-",'R.M Billets Reports'!D762)+1,200)),""))&lt;&gt;"",IF(ISNUMBER(SEARCH("Party Name:-",'R.M Billets Reports'!D762)),TRIM('R.M Billets Reports'!F762),IF(ISNUMBER(SEARCH("Party Name-",'R.M Billets Reports'!D762)),TRIM(MID('R.M Billets Reports'!D762,SEARCH("-",'R.M Billets Reports'!D762)+1,200)),"")),IF(ISNUMBER(SEARCH("Party Name:-",'R.M Billets Reports'!D763)),TRIM('R.M Billets Reports'!F763),IF(ISNUMBER(SEARCH("Party Name-",'R.M Billets Reports'!D763)),TRIM(MID('R.M Billets Reports'!D763,SEARCH("-",'R.M Billets Reports'!D763)+1,200)),"")))))),IF(ROW()=2,"",A762))</f>
      </c>
      <c r="B763">
        <f>IF(OR('R.M Billets Reports'!A762="Date-",'R.M Billets Reports'!A762="Date:-"),'R.M Billets Reports'!B762,IF(ROW()=2,"",B762))</f>
      </c>
      <c r="C763">
        <f>IF('R.M Billets Reports'!A762="V.No.",'R.M Billets Reports'!B762,IF(ROW()=2,"",C762))</f>
      </c>
      <c r="D763">
        <f>IF('R.M Billets Reports'!A762&lt;&gt;"",'R.M Billets Reports'!A762,IF(ROW()=2,"",D762))</f>
      </c>
      <c r="E763">
        <f>IF('R.M Billets Reports'!B762="","",TRIM('R.M Billets Reports'!B762))</f>
      </c>
      <c r="F763">
        <f>'R.M Billets Reports'!C762</f>
      </c>
      <c r="G763">
        <f>'R.M Billets Reports'!D762</f>
      </c>
      <c r="H763">
        <f>'R.M Billets Reports'!E762</f>
      </c>
      <c r="I763">
        <f>'R.M Billets Reports'!F762</f>
      </c>
      <c r="J763">
        <f>'R.M Billets Reports'!G762</f>
      </c>
      <c r="K763">
        <f>'R.M Billets Reports'!H762</f>
      </c>
      <c r="L763">
        <f>IF('R.M Billets Reports'!I762="","",'R.M Billets Reports'!I762)</f>
      </c>
      <c r="M763">
        <f t="shared" si="22"/>
      </c>
      <c r="N763">
        <f>IF('R.M Billets Reports'!J762="","",'R.M Billets Reports'!J762)</f>
      </c>
      <c r="O763">
        <f t="shared" si="23"/>
      </c>
      <c r="P763">
        <f>IF('R.M Billets Reports'!A762="SIZE",'R.M Billets Reports'!B762,P762)</f>
      </c>
    </row>
    <row r="764" spans="1:16" x14ac:dyDescent="0.25">
      <c r="A764">
        <f>IF(OR('R.M Billets Reports'!A763="Date-",'R.M Billets Reports'!A763="Date:-"),IF(IF(IF(ISNUMBER(SEARCH("Party Name:-",'R.M Billets Reports'!D763)),TRIM('R.M Billets Reports'!F763),IF(ISNUMBER(SEARCH("Party Name-",'R.M Billets Reports'!D763)),TRIM(MID('R.M Billets Reports'!D763,SEARCH("-",'R.M Billets Reports'!D763)+1,200)),""))&lt;&gt;"",IF(ISNUMBER(SEARCH("Party Name:-",'R.M Billets Reports'!D763)),TRIM('R.M Billets Reports'!F763),IF(ISNUMBER(SEARCH("Party Name-",'R.M Billets Reports'!D763)),TRIM(MID('R.M Billets Reports'!D763,SEARCH("-",'R.M Billets Reports'!D763)+1,200)),"")),IF(ISNUMBER(SEARCH("Party Name:-",'R.M Billets Reports'!D764)),TRIM('R.M Billets Reports'!F764),IF(ISNUMBER(SEARCH("Party Name-",'R.M Billets Reports'!D764)),TRIM(MID('R.M Billets Reports'!D764,SEARCH("-",'R.M Billets Reports'!D764)+1,200)),"")))="VRKP ISPAT PVT LTD","VRKP",IF(IF(IF(ISNUMBER(SEARCH("Party Name:-",'R.M Billets Reports'!D763)),TRIM('R.M Billets Reports'!F763),IF(ISNUMBER(SEARCH("Party Name-",'R.M Billets Reports'!D763)),TRIM(MID('R.M Billets Reports'!D763,SEARCH("-",'R.M Billets Reports'!D763)+1,200)),""))&lt;&gt;"",IF(ISNUMBER(SEARCH("Party Name:-",'R.M Billets Reports'!D763)),TRIM('R.M Billets Reports'!F763),IF(ISNUMBER(SEARCH("Party Name-",'R.M Billets Reports'!D763)),TRIM(MID('R.M Billets Reports'!D763,SEARCH("-",'R.M Billets Reports'!D763)+1,200)),"")),IF(ISNUMBER(SEARCH("Party Name:-",'R.M Billets Reports'!D764)),TRIM('R.M Billets Reports'!F764),IF(ISNUMBER(SEARCH("Party Name-",'R.M Billets Reports'!D764)),TRIM(MID('R.M Billets Reports'!D764,SEARCH("-",'R.M Billets Reports'!D764)+1,200)),"")))="SHRI RADHE","SHREE RADHE",IF(IF(IF(ISNUMBER(SEARCH("Party Name:-",'R.M Billets Reports'!D763)),TRIM('R.M Billets Reports'!F763),IF(ISNUMBER(SEARCH("Party Name-",'R.M Billets Reports'!D763)),TRIM(MID('R.M Billets Reports'!D763,SEARCH("-",'R.M Billets Reports'!D763)+1,200)),""))&lt;&gt;"",IF(ISNUMBER(SEARCH("Party Name:-",'R.M Billets Reports'!D763)),TRIM('R.M Billets Reports'!F763),IF(ISNUMBER(SEARCH("Party Name-",'R.M Billets Reports'!D763)),TRIM(MID('R.M Billets Reports'!D763,SEARCH("-",'R.M Billets Reports'!D763)+1,200)),"")),IF(ISNUMBER(SEARCH("Party Name:-",'R.M Billets Reports'!D764)),TRIM('R.M Billets Reports'!F764),IF(ISNUMBER(SEARCH("Party Name-",'R.M Billets Reports'!D764)),TRIM(MID('R.M Billets Reports'!D764,SEARCH("-",'R.M Billets Reports'!D764)+1,200)),"")))="SHREE RADHE SHAKTI SPONGE AND POWER PVT. LTD.","SHREE RADHE",IF(IF(ISNUMBER(SEARCH("Party Name:-",'R.M Billets Reports'!D763)),TRIM('R.M Billets Reports'!F763),IF(ISNUMBER(SEARCH("Party Name-",'R.M Billets Reports'!D763)),TRIM(MID('R.M Billets Reports'!D763,SEARCH("-",'R.M Billets Reports'!D763)+1,200)),""))&lt;&gt;"",IF(ISNUMBER(SEARCH("Party Name:-",'R.M Billets Reports'!D763)),TRIM('R.M Billets Reports'!F763),IF(ISNUMBER(SEARCH("Party Name-",'R.M Billets Reports'!D763)),TRIM(MID('R.M Billets Reports'!D763,SEARCH("-",'R.M Billets Reports'!D763)+1,200)),"")),IF(ISNUMBER(SEARCH("Party Name:-",'R.M Billets Reports'!D764)),TRIM('R.M Billets Reports'!F764),IF(ISNUMBER(SEARCH("Party Name-",'R.M Billets Reports'!D764)),TRIM(MID('R.M Billets Reports'!D764,SEARCH("-",'R.M Billets Reports'!D764)+1,200)),"")))))),IF(ROW()=2,"",A763))</f>
      </c>
      <c r="B764">
        <f>IF(OR('R.M Billets Reports'!A763="Date-",'R.M Billets Reports'!A763="Date:-"),'R.M Billets Reports'!B763,IF(ROW()=2,"",B763))</f>
      </c>
      <c r="C764">
        <f>IF('R.M Billets Reports'!A763="V.No.",'R.M Billets Reports'!B763,IF(ROW()=2,"",C763))</f>
      </c>
      <c r="D764">
        <f>IF('R.M Billets Reports'!A763&lt;&gt;"",'R.M Billets Reports'!A763,IF(ROW()=2,"",D763))</f>
      </c>
      <c r="E764">
        <f>IF('R.M Billets Reports'!B763="","",TRIM('R.M Billets Reports'!B763))</f>
      </c>
      <c r="F764">
        <f>'R.M Billets Reports'!C763</f>
      </c>
      <c r="G764">
        <f>'R.M Billets Reports'!D763</f>
      </c>
      <c r="H764">
        <f>'R.M Billets Reports'!E763</f>
      </c>
      <c r="I764">
        <f>'R.M Billets Reports'!F763</f>
      </c>
      <c r="J764">
        <f>'R.M Billets Reports'!G763</f>
      </c>
      <c r="K764">
        <f>'R.M Billets Reports'!H763</f>
      </c>
      <c r="L764">
        <f>IF('R.M Billets Reports'!I763="","",'R.M Billets Reports'!I763)</f>
      </c>
      <c r="M764">
        <f t="shared" si="22"/>
      </c>
      <c r="N764">
        <f>IF('R.M Billets Reports'!J763="","",'R.M Billets Reports'!J763)</f>
      </c>
      <c r="O764">
        <f t="shared" si="23"/>
      </c>
      <c r="P764">
        <f>IF('R.M Billets Reports'!A763="SIZE",'R.M Billets Reports'!B763,P763)</f>
      </c>
    </row>
    <row r="765" spans="1:16" x14ac:dyDescent="0.25">
      <c r="A765">
        <f>IF(OR('R.M Billets Reports'!A764="Date-",'R.M Billets Reports'!A764="Date:-"),IF(IF(IF(ISNUMBER(SEARCH("Party Name:-",'R.M Billets Reports'!D764)),TRIM('R.M Billets Reports'!F764),IF(ISNUMBER(SEARCH("Party Name-",'R.M Billets Reports'!D764)),TRIM(MID('R.M Billets Reports'!D764,SEARCH("-",'R.M Billets Reports'!D764)+1,200)),""))&lt;&gt;"",IF(ISNUMBER(SEARCH("Party Name:-",'R.M Billets Reports'!D764)),TRIM('R.M Billets Reports'!F764),IF(ISNUMBER(SEARCH("Party Name-",'R.M Billets Reports'!D764)),TRIM(MID('R.M Billets Reports'!D764,SEARCH("-",'R.M Billets Reports'!D764)+1,200)),"")),IF(ISNUMBER(SEARCH("Party Name:-",'R.M Billets Reports'!D765)),TRIM('R.M Billets Reports'!F765),IF(ISNUMBER(SEARCH("Party Name-",'R.M Billets Reports'!D765)),TRIM(MID('R.M Billets Reports'!D765,SEARCH("-",'R.M Billets Reports'!D765)+1,200)),"")))="VRKP ISPAT PVT LTD","VRKP",IF(IF(IF(ISNUMBER(SEARCH("Party Name:-",'R.M Billets Reports'!D764)),TRIM('R.M Billets Reports'!F764),IF(ISNUMBER(SEARCH("Party Name-",'R.M Billets Reports'!D764)),TRIM(MID('R.M Billets Reports'!D764,SEARCH("-",'R.M Billets Reports'!D764)+1,200)),""))&lt;&gt;"",IF(ISNUMBER(SEARCH("Party Name:-",'R.M Billets Reports'!D764)),TRIM('R.M Billets Reports'!F764),IF(ISNUMBER(SEARCH("Party Name-",'R.M Billets Reports'!D764)),TRIM(MID('R.M Billets Reports'!D764,SEARCH("-",'R.M Billets Reports'!D764)+1,200)),"")),IF(ISNUMBER(SEARCH("Party Name:-",'R.M Billets Reports'!D765)),TRIM('R.M Billets Reports'!F765),IF(ISNUMBER(SEARCH("Party Name-",'R.M Billets Reports'!D765)),TRIM(MID('R.M Billets Reports'!D765,SEARCH("-",'R.M Billets Reports'!D765)+1,200)),"")))="SHRI RADHE","SHREE RADHE",IF(IF(IF(ISNUMBER(SEARCH("Party Name:-",'R.M Billets Reports'!D764)),TRIM('R.M Billets Reports'!F764),IF(ISNUMBER(SEARCH("Party Name-",'R.M Billets Reports'!D764)),TRIM(MID('R.M Billets Reports'!D764,SEARCH("-",'R.M Billets Reports'!D764)+1,200)),""))&lt;&gt;"",IF(ISNUMBER(SEARCH("Party Name:-",'R.M Billets Reports'!D764)),TRIM('R.M Billets Reports'!F764),IF(ISNUMBER(SEARCH("Party Name-",'R.M Billets Reports'!D764)),TRIM(MID('R.M Billets Reports'!D764,SEARCH("-",'R.M Billets Reports'!D764)+1,200)),"")),IF(ISNUMBER(SEARCH("Party Name:-",'R.M Billets Reports'!D765)),TRIM('R.M Billets Reports'!F765),IF(ISNUMBER(SEARCH("Party Name-",'R.M Billets Reports'!D765)),TRIM(MID('R.M Billets Reports'!D765,SEARCH("-",'R.M Billets Reports'!D765)+1,200)),"")))="SHREE RADHE SHAKTI SPONGE AND POWER PVT. LTD.","SHREE RADHE",IF(IF(ISNUMBER(SEARCH("Party Name:-",'R.M Billets Reports'!D764)),TRIM('R.M Billets Reports'!F764),IF(ISNUMBER(SEARCH("Party Name-",'R.M Billets Reports'!D764)),TRIM(MID('R.M Billets Reports'!D764,SEARCH("-",'R.M Billets Reports'!D764)+1,200)),""))&lt;&gt;"",IF(ISNUMBER(SEARCH("Party Name:-",'R.M Billets Reports'!D764)),TRIM('R.M Billets Reports'!F764),IF(ISNUMBER(SEARCH("Party Name-",'R.M Billets Reports'!D764)),TRIM(MID('R.M Billets Reports'!D764,SEARCH("-",'R.M Billets Reports'!D764)+1,200)),"")),IF(ISNUMBER(SEARCH("Party Name:-",'R.M Billets Reports'!D765)),TRIM('R.M Billets Reports'!F765),IF(ISNUMBER(SEARCH("Party Name-",'R.M Billets Reports'!D765)),TRIM(MID('R.M Billets Reports'!D765,SEARCH("-",'R.M Billets Reports'!D765)+1,200)),"")))))),IF(ROW()=2,"",A764))</f>
      </c>
      <c r="B765">
        <f>IF(OR('R.M Billets Reports'!A764="Date-",'R.M Billets Reports'!A764="Date:-"),'R.M Billets Reports'!B764,IF(ROW()=2,"",B764))</f>
      </c>
      <c r="C765">
        <f>IF('R.M Billets Reports'!A764="V.No.",'R.M Billets Reports'!B764,IF(ROW()=2,"",C764))</f>
      </c>
      <c r="D765">
        <f>IF('R.M Billets Reports'!A764&lt;&gt;"",'R.M Billets Reports'!A764,IF(ROW()=2,"",D764))</f>
      </c>
      <c r="E765">
        <f>IF('R.M Billets Reports'!B764="","",TRIM('R.M Billets Reports'!B764))</f>
      </c>
      <c r="F765">
        <f>'R.M Billets Reports'!C764</f>
      </c>
      <c r="G765">
        <f>'R.M Billets Reports'!D764</f>
      </c>
      <c r="H765">
        <f>'R.M Billets Reports'!E764</f>
      </c>
      <c r="I765">
        <f>'R.M Billets Reports'!F764</f>
      </c>
      <c r="J765">
        <f>'R.M Billets Reports'!G764</f>
      </c>
      <c r="K765">
        <f>'R.M Billets Reports'!H764</f>
      </c>
      <c r="L765">
        <f>IF('R.M Billets Reports'!I764="","",'R.M Billets Reports'!I764)</f>
      </c>
      <c r="M765">
        <f t="shared" si="22"/>
      </c>
      <c r="N765">
        <f>IF('R.M Billets Reports'!J764="","",'R.M Billets Reports'!J764)</f>
      </c>
      <c r="O765">
        <f t="shared" si="23"/>
      </c>
      <c r="P765">
        <f>IF('R.M Billets Reports'!A764="SIZE",'R.M Billets Reports'!B764,P764)</f>
      </c>
    </row>
    <row r="766" spans="1:16" x14ac:dyDescent="0.25">
      <c r="A766">
        <f>IF(OR('R.M Billets Reports'!A765="Date-",'R.M Billets Reports'!A765="Date:-"),IF(IF(IF(ISNUMBER(SEARCH("Party Name:-",'R.M Billets Reports'!D765)),TRIM('R.M Billets Reports'!F765),IF(ISNUMBER(SEARCH("Party Name-",'R.M Billets Reports'!D765)),TRIM(MID('R.M Billets Reports'!D765,SEARCH("-",'R.M Billets Reports'!D765)+1,200)),""))&lt;&gt;"",IF(ISNUMBER(SEARCH("Party Name:-",'R.M Billets Reports'!D765)),TRIM('R.M Billets Reports'!F765),IF(ISNUMBER(SEARCH("Party Name-",'R.M Billets Reports'!D765)),TRIM(MID('R.M Billets Reports'!D765,SEARCH("-",'R.M Billets Reports'!D765)+1,200)),"")),IF(ISNUMBER(SEARCH("Party Name:-",'R.M Billets Reports'!D766)),TRIM('R.M Billets Reports'!F766),IF(ISNUMBER(SEARCH("Party Name-",'R.M Billets Reports'!D766)),TRIM(MID('R.M Billets Reports'!D766,SEARCH("-",'R.M Billets Reports'!D766)+1,200)),"")))="VRKP ISPAT PVT LTD","VRKP",IF(IF(IF(ISNUMBER(SEARCH("Party Name:-",'R.M Billets Reports'!D765)),TRIM('R.M Billets Reports'!F765),IF(ISNUMBER(SEARCH("Party Name-",'R.M Billets Reports'!D765)),TRIM(MID('R.M Billets Reports'!D765,SEARCH("-",'R.M Billets Reports'!D765)+1,200)),""))&lt;&gt;"",IF(ISNUMBER(SEARCH("Party Name:-",'R.M Billets Reports'!D765)),TRIM('R.M Billets Reports'!F765),IF(ISNUMBER(SEARCH("Party Name-",'R.M Billets Reports'!D765)),TRIM(MID('R.M Billets Reports'!D765,SEARCH("-",'R.M Billets Reports'!D765)+1,200)),"")),IF(ISNUMBER(SEARCH("Party Name:-",'R.M Billets Reports'!D766)),TRIM('R.M Billets Reports'!F766),IF(ISNUMBER(SEARCH("Party Name-",'R.M Billets Reports'!D766)),TRIM(MID('R.M Billets Reports'!D766,SEARCH("-",'R.M Billets Reports'!D766)+1,200)),"")))="SHRI RADHE","SHREE RADHE",IF(IF(IF(ISNUMBER(SEARCH("Party Name:-",'R.M Billets Reports'!D765)),TRIM('R.M Billets Reports'!F765),IF(ISNUMBER(SEARCH("Party Name-",'R.M Billets Reports'!D765)),TRIM(MID('R.M Billets Reports'!D765,SEARCH("-",'R.M Billets Reports'!D765)+1,200)),""))&lt;&gt;"",IF(ISNUMBER(SEARCH("Party Name:-",'R.M Billets Reports'!D765)),TRIM('R.M Billets Reports'!F765),IF(ISNUMBER(SEARCH("Party Name-",'R.M Billets Reports'!D765)),TRIM(MID('R.M Billets Reports'!D765,SEARCH("-",'R.M Billets Reports'!D765)+1,200)),"")),IF(ISNUMBER(SEARCH("Party Name:-",'R.M Billets Reports'!D766)),TRIM('R.M Billets Reports'!F766),IF(ISNUMBER(SEARCH("Party Name-",'R.M Billets Reports'!D766)),TRIM(MID('R.M Billets Reports'!D766,SEARCH("-",'R.M Billets Reports'!D766)+1,200)),"")))="SHREE RADHE SHAKTI SPONGE AND POWER PVT. LTD.","SHREE RADHE",IF(IF(ISNUMBER(SEARCH("Party Name:-",'R.M Billets Reports'!D765)),TRIM('R.M Billets Reports'!F765),IF(ISNUMBER(SEARCH("Party Name-",'R.M Billets Reports'!D765)),TRIM(MID('R.M Billets Reports'!D765,SEARCH("-",'R.M Billets Reports'!D765)+1,200)),""))&lt;&gt;"",IF(ISNUMBER(SEARCH("Party Name:-",'R.M Billets Reports'!D765)),TRIM('R.M Billets Reports'!F765),IF(ISNUMBER(SEARCH("Party Name-",'R.M Billets Reports'!D765)),TRIM(MID('R.M Billets Reports'!D765,SEARCH("-",'R.M Billets Reports'!D765)+1,200)),"")),IF(ISNUMBER(SEARCH("Party Name:-",'R.M Billets Reports'!D766)),TRIM('R.M Billets Reports'!F766),IF(ISNUMBER(SEARCH("Party Name-",'R.M Billets Reports'!D766)),TRIM(MID('R.M Billets Reports'!D766,SEARCH("-",'R.M Billets Reports'!D766)+1,200)),"")))))),IF(ROW()=2,"",A765))</f>
      </c>
      <c r="B766">
        <f>IF(OR('R.M Billets Reports'!A765="Date-",'R.M Billets Reports'!A765="Date:-"),'R.M Billets Reports'!B765,IF(ROW()=2,"",B765))</f>
      </c>
      <c r="C766">
        <f>IF('R.M Billets Reports'!A765="V.No.",'R.M Billets Reports'!B765,IF(ROW()=2,"",C765))</f>
      </c>
      <c r="D766">
        <f>IF('R.M Billets Reports'!A765&lt;&gt;"",'R.M Billets Reports'!A765,IF(ROW()=2,"",D765))</f>
      </c>
      <c r="E766">
        <f>IF('R.M Billets Reports'!B765="","",TRIM('R.M Billets Reports'!B765))</f>
      </c>
      <c r="F766">
        <f>'R.M Billets Reports'!C765</f>
      </c>
      <c r="G766">
        <f>'R.M Billets Reports'!D765</f>
      </c>
      <c r="H766">
        <f>'R.M Billets Reports'!E765</f>
      </c>
      <c r="I766">
        <f>'R.M Billets Reports'!F765</f>
      </c>
      <c r="J766">
        <f>'R.M Billets Reports'!G765</f>
      </c>
      <c r="K766">
        <f>'R.M Billets Reports'!H765</f>
      </c>
      <c r="L766">
        <f>IF('R.M Billets Reports'!I765="","",'R.M Billets Reports'!I765)</f>
      </c>
      <c r="M766">
        <f t="shared" si="22"/>
      </c>
      <c r="N766">
        <f>IF('R.M Billets Reports'!J765="","",'R.M Billets Reports'!J765)</f>
      </c>
      <c r="O766">
        <f t="shared" si="23"/>
      </c>
      <c r="P766">
        <f>IF('R.M Billets Reports'!A765="SIZE",'R.M Billets Reports'!B765,P765)</f>
      </c>
    </row>
    <row r="767" spans="1:16" x14ac:dyDescent="0.25">
      <c r="A767">
        <f>IF(OR('R.M Billets Reports'!A766="Date-",'R.M Billets Reports'!A766="Date:-"),IF(IF(IF(ISNUMBER(SEARCH("Party Name:-",'R.M Billets Reports'!D766)),TRIM('R.M Billets Reports'!F766),IF(ISNUMBER(SEARCH("Party Name-",'R.M Billets Reports'!D766)),TRIM(MID('R.M Billets Reports'!D766,SEARCH("-",'R.M Billets Reports'!D766)+1,200)),""))&lt;&gt;"",IF(ISNUMBER(SEARCH("Party Name:-",'R.M Billets Reports'!D766)),TRIM('R.M Billets Reports'!F766),IF(ISNUMBER(SEARCH("Party Name-",'R.M Billets Reports'!D766)),TRIM(MID('R.M Billets Reports'!D766,SEARCH("-",'R.M Billets Reports'!D766)+1,200)),"")),IF(ISNUMBER(SEARCH("Party Name:-",'R.M Billets Reports'!D767)),TRIM('R.M Billets Reports'!F767),IF(ISNUMBER(SEARCH("Party Name-",'R.M Billets Reports'!D767)),TRIM(MID('R.M Billets Reports'!D767,SEARCH("-",'R.M Billets Reports'!D767)+1,200)),"")))="VRKP ISPAT PVT LTD","VRKP",IF(IF(IF(ISNUMBER(SEARCH("Party Name:-",'R.M Billets Reports'!D766)),TRIM('R.M Billets Reports'!F766),IF(ISNUMBER(SEARCH("Party Name-",'R.M Billets Reports'!D766)),TRIM(MID('R.M Billets Reports'!D766,SEARCH("-",'R.M Billets Reports'!D766)+1,200)),""))&lt;&gt;"",IF(ISNUMBER(SEARCH("Party Name:-",'R.M Billets Reports'!D766)),TRIM('R.M Billets Reports'!F766),IF(ISNUMBER(SEARCH("Party Name-",'R.M Billets Reports'!D766)),TRIM(MID('R.M Billets Reports'!D766,SEARCH("-",'R.M Billets Reports'!D766)+1,200)),"")),IF(ISNUMBER(SEARCH("Party Name:-",'R.M Billets Reports'!D767)),TRIM('R.M Billets Reports'!F767),IF(ISNUMBER(SEARCH("Party Name-",'R.M Billets Reports'!D767)),TRIM(MID('R.M Billets Reports'!D767,SEARCH("-",'R.M Billets Reports'!D767)+1,200)),"")))="SHRI RADHE","SHREE RADHE",IF(IF(IF(ISNUMBER(SEARCH("Party Name:-",'R.M Billets Reports'!D766)),TRIM('R.M Billets Reports'!F766),IF(ISNUMBER(SEARCH("Party Name-",'R.M Billets Reports'!D766)),TRIM(MID('R.M Billets Reports'!D766,SEARCH("-",'R.M Billets Reports'!D766)+1,200)),""))&lt;&gt;"",IF(ISNUMBER(SEARCH("Party Name:-",'R.M Billets Reports'!D766)),TRIM('R.M Billets Reports'!F766),IF(ISNUMBER(SEARCH("Party Name-",'R.M Billets Reports'!D766)),TRIM(MID('R.M Billets Reports'!D766,SEARCH("-",'R.M Billets Reports'!D766)+1,200)),"")),IF(ISNUMBER(SEARCH("Party Name:-",'R.M Billets Reports'!D767)),TRIM('R.M Billets Reports'!F767),IF(ISNUMBER(SEARCH("Party Name-",'R.M Billets Reports'!D767)),TRIM(MID('R.M Billets Reports'!D767,SEARCH("-",'R.M Billets Reports'!D767)+1,200)),"")))="SHREE RADHE SHAKTI SPONGE AND POWER PVT. LTD.","SHREE RADHE",IF(IF(ISNUMBER(SEARCH("Party Name:-",'R.M Billets Reports'!D766)),TRIM('R.M Billets Reports'!F766),IF(ISNUMBER(SEARCH("Party Name-",'R.M Billets Reports'!D766)),TRIM(MID('R.M Billets Reports'!D766,SEARCH("-",'R.M Billets Reports'!D766)+1,200)),""))&lt;&gt;"",IF(ISNUMBER(SEARCH("Party Name:-",'R.M Billets Reports'!D766)),TRIM('R.M Billets Reports'!F766),IF(ISNUMBER(SEARCH("Party Name-",'R.M Billets Reports'!D766)),TRIM(MID('R.M Billets Reports'!D766,SEARCH("-",'R.M Billets Reports'!D766)+1,200)),"")),IF(ISNUMBER(SEARCH("Party Name:-",'R.M Billets Reports'!D767)),TRIM('R.M Billets Reports'!F767),IF(ISNUMBER(SEARCH("Party Name-",'R.M Billets Reports'!D767)),TRIM(MID('R.M Billets Reports'!D767,SEARCH("-",'R.M Billets Reports'!D767)+1,200)),"")))))),IF(ROW()=2,"",A766))</f>
      </c>
      <c r="B767">
        <f>IF(OR('R.M Billets Reports'!A766="Date-",'R.M Billets Reports'!A766="Date:-"),'R.M Billets Reports'!B766,IF(ROW()=2,"",B766))</f>
      </c>
      <c r="C767">
        <f>IF('R.M Billets Reports'!A766="V.No.",'R.M Billets Reports'!B766,IF(ROW()=2,"",C766))</f>
      </c>
      <c r="D767">
        <f>IF('R.M Billets Reports'!A766&lt;&gt;"",'R.M Billets Reports'!A766,IF(ROW()=2,"",D766))</f>
      </c>
      <c r="E767">
        <f>IF('R.M Billets Reports'!B766="","",TRIM('R.M Billets Reports'!B766))</f>
      </c>
      <c r="F767">
        <f>'R.M Billets Reports'!C766</f>
      </c>
      <c r="G767">
        <f>'R.M Billets Reports'!D766</f>
      </c>
      <c r="H767">
        <f>'R.M Billets Reports'!E766</f>
      </c>
      <c r="I767">
        <f>'R.M Billets Reports'!F766</f>
      </c>
      <c r="J767">
        <f>'R.M Billets Reports'!G766</f>
      </c>
      <c r="K767">
        <f>'R.M Billets Reports'!H766</f>
      </c>
      <c r="L767">
        <f>IF('R.M Billets Reports'!I766="","",'R.M Billets Reports'!I766)</f>
      </c>
      <c r="M767">
        <f t="shared" si="22"/>
      </c>
      <c r="N767">
        <f>IF('R.M Billets Reports'!J766="","",'R.M Billets Reports'!J766)</f>
      </c>
      <c r="O767">
        <f t="shared" si="23"/>
      </c>
      <c r="P767">
        <f>IF('R.M Billets Reports'!A766="SIZE",'R.M Billets Reports'!B766,P766)</f>
      </c>
    </row>
    <row r="768" spans="1:16" x14ac:dyDescent="0.25">
      <c r="A768">
        <f>IF(OR('R.M Billets Reports'!A767="Date-",'R.M Billets Reports'!A767="Date:-"),IF(IF(IF(ISNUMBER(SEARCH("Party Name:-",'R.M Billets Reports'!D767)),TRIM('R.M Billets Reports'!F767),IF(ISNUMBER(SEARCH("Party Name-",'R.M Billets Reports'!D767)),TRIM(MID('R.M Billets Reports'!D767,SEARCH("-",'R.M Billets Reports'!D767)+1,200)),""))&lt;&gt;"",IF(ISNUMBER(SEARCH("Party Name:-",'R.M Billets Reports'!D767)),TRIM('R.M Billets Reports'!F767),IF(ISNUMBER(SEARCH("Party Name-",'R.M Billets Reports'!D767)),TRIM(MID('R.M Billets Reports'!D767,SEARCH("-",'R.M Billets Reports'!D767)+1,200)),"")),IF(ISNUMBER(SEARCH("Party Name:-",'R.M Billets Reports'!D768)),TRIM('R.M Billets Reports'!F768),IF(ISNUMBER(SEARCH("Party Name-",'R.M Billets Reports'!D768)),TRIM(MID('R.M Billets Reports'!D768,SEARCH("-",'R.M Billets Reports'!D768)+1,200)),"")))="VRKP ISPAT PVT LTD","VRKP",IF(IF(IF(ISNUMBER(SEARCH("Party Name:-",'R.M Billets Reports'!D767)),TRIM('R.M Billets Reports'!F767),IF(ISNUMBER(SEARCH("Party Name-",'R.M Billets Reports'!D767)),TRIM(MID('R.M Billets Reports'!D767,SEARCH("-",'R.M Billets Reports'!D767)+1,200)),""))&lt;&gt;"",IF(ISNUMBER(SEARCH("Party Name:-",'R.M Billets Reports'!D767)),TRIM('R.M Billets Reports'!F767),IF(ISNUMBER(SEARCH("Party Name-",'R.M Billets Reports'!D767)),TRIM(MID('R.M Billets Reports'!D767,SEARCH("-",'R.M Billets Reports'!D767)+1,200)),"")),IF(ISNUMBER(SEARCH("Party Name:-",'R.M Billets Reports'!D768)),TRIM('R.M Billets Reports'!F768),IF(ISNUMBER(SEARCH("Party Name-",'R.M Billets Reports'!D768)),TRIM(MID('R.M Billets Reports'!D768,SEARCH("-",'R.M Billets Reports'!D768)+1,200)),"")))="SHRI RADHE","SHREE RADHE",IF(IF(IF(ISNUMBER(SEARCH("Party Name:-",'R.M Billets Reports'!D767)),TRIM('R.M Billets Reports'!F767),IF(ISNUMBER(SEARCH("Party Name-",'R.M Billets Reports'!D767)),TRIM(MID('R.M Billets Reports'!D767,SEARCH("-",'R.M Billets Reports'!D767)+1,200)),""))&lt;&gt;"",IF(ISNUMBER(SEARCH("Party Name:-",'R.M Billets Reports'!D767)),TRIM('R.M Billets Reports'!F767),IF(ISNUMBER(SEARCH("Party Name-",'R.M Billets Reports'!D767)),TRIM(MID('R.M Billets Reports'!D767,SEARCH("-",'R.M Billets Reports'!D767)+1,200)),"")),IF(ISNUMBER(SEARCH("Party Name:-",'R.M Billets Reports'!D768)),TRIM('R.M Billets Reports'!F768),IF(ISNUMBER(SEARCH("Party Name-",'R.M Billets Reports'!D768)),TRIM(MID('R.M Billets Reports'!D768,SEARCH("-",'R.M Billets Reports'!D768)+1,200)),"")))="SHREE RADHE SHAKTI SPONGE AND POWER PVT. LTD.","SHREE RADHE",IF(IF(ISNUMBER(SEARCH("Party Name:-",'R.M Billets Reports'!D767)),TRIM('R.M Billets Reports'!F767),IF(ISNUMBER(SEARCH("Party Name-",'R.M Billets Reports'!D767)),TRIM(MID('R.M Billets Reports'!D767,SEARCH("-",'R.M Billets Reports'!D767)+1,200)),""))&lt;&gt;"",IF(ISNUMBER(SEARCH("Party Name:-",'R.M Billets Reports'!D767)),TRIM('R.M Billets Reports'!F767),IF(ISNUMBER(SEARCH("Party Name-",'R.M Billets Reports'!D767)),TRIM(MID('R.M Billets Reports'!D767,SEARCH("-",'R.M Billets Reports'!D767)+1,200)),"")),IF(ISNUMBER(SEARCH("Party Name:-",'R.M Billets Reports'!D768)),TRIM('R.M Billets Reports'!F768),IF(ISNUMBER(SEARCH("Party Name-",'R.M Billets Reports'!D768)),TRIM(MID('R.M Billets Reports'!D768,SEARCH("-",'R.M Billets Reports'!D768)+1,200)),"")))))),IF(ROW()=2,"",A767))</f>
      </c>
      <c r="B768">
        <f>IF(OR('R.M Billets Reports'!A767="Date-",'R.M Billets Reports'!A767="Date:-"),'R.M Billets Reports'!B767,IF(ROW()=2,"",B767))</f>
      </c>
      <c r="C768">
        <f>IF('R.M Billets Reports'!A767="V.No.",'R.M Billets Reports'!B767,IF(ROW()=2,"",C767))</f>
      </c>
      <c r="D768">
        <f>IF('R.M Billets Reports'!A767&lt;&gt;"",'R.M Billets Reports'!A767,IF(ROW()=2,"",D767))</f>
      </c>
      <c r="E768">
        <f>IF('R.M Billets Reports'!B767="","",TRIM('R.M Billets Reports'!B767))</f>
      </c>
      <c r="F768">
        <f>'R.M Billets Reports'!C767</f>
      </c>
      <c r="G768">
        <f>'R.M Billets Reports'!D767</f>
      </c>
      <c r="H768">
        <f>'R.M Billets Reports'!E767</f>
      </c>
      <c r="I768">
        <f>'R.M Billets Reports'!F767</f>
      </c>
      <c r="J768">
        <f>'R.M Billets Reports'!G767</f>
      </c>
      <c r="K768">
        <f>'R.M Billets Reports'!H767</f>
      </c>
      <c r="L768">
        <f>IF('R.M Billets Reports'!I767="","",'R.M Billets Reports'!I767)</f>
      </c>
      <c r="M768">
        <f t="shared" si="22"/>
      </c>
      <c r="N768">
        <f>IF('R.M Billets Reports'!J767="","",'R.M Billets Reports'!J767)</f>
      </c>
      <c r="O768">
        <f t="shared" si="23"/>
      </c>
      <c r="P768">
        <f>IF('R.M Billets Reports'!A767="SIZE",'R.M Billets Reports'!B767,P767)</f>
      </c>
    </row>
    <row r="769" spans="1:16" x14ac:dyDescent="0.25">
      <c r="A769">
        <f>IF(OR('R.M Billets Reports'!A768="Date-",'R.M Billets Reports'!A768="Date:-"),IF(IF(IF(ISNUMBER(SEARCH("Party Name:-",'R.M Billets Reports'!D768)),TRIM('R.M Billets Reports'!F768),IF(ISNUMBER(SEARCH("Party Name-",'R.M Billets Reports'!D768)),TRIM(MID('R.M Billets Reports'!D768,SEARCH("-",'R.M Billets Reports'!D768)+1,200)),""))&lt;&gt;"",IF(ISNUMBER(SEARCH("Party Name:-",'R.M Billets Reports'!D768)),TRIM('R.M Billets Reports'!F768),IF(ISNUMBER(SEARCH("Party Name-",'R.M Billets Reports'!D768)),TRIM(MID('R.M Billets Reports'!D768,SEARCH("-",'R.M Billets Reports'!D768)+1,200)),"")),IF(ISNUMBER(SEARCH("Party Name:-",'R.M Billets Reports'!D769)),TRIM('R.M Billets Reports'!F769),IF(ISNUMBER(SEARCH("Party Name-",'R.M Billets Reports'!D769)),TRIM(MID('R.M Billets Reports'!D769,SEARCH("-",'R.M Billets Reports'!D769)+1,200)),"")))="VRKP ISPAT PVT LTD","VRKP",IF(IF(IF(ISNUMBER(SEARCH("Party Name:-",'R.M Billets Reports'!D768)),TRIM('R.M Billets Reports'!F768),IF(ISNUMBER(SEARCH("Party Name-",'R.M Billets Reports'!D768)),TRIM(MID('R.M Billets Reports'!D768,SEARCH("-",'R.M Billets Reports'!D768)+1,200)),""))&lt;&gt;"",IF(ISNUMBER(SEARCH("Party Name:-",'R.M Billets Reports'!D768)),TRIM('R.M Billets Reports'!F768),IF(ISNUMBER(SEARCH("Party Name-",'R.M Billets Reports'!D768)),TRIM(MID('R.M Billets Reports'!D768,SEARCH("-",'R.M Billets Reports'!D768)+1,200)),"")),IF(ISNUMBER(SEARCH("Party Name:-",'R.M Billets Reports'!D769)),TRIM('R.M Billets Reports'!F769),IF(ISNUMBER(SEARCH("Party Name-",'R.M Billets Reports'!D769)),TRIM(MID('R.M Billets Reports'!D769,SEARCH("-",'R.M Billets Reports'!D769)+1,200)),"")))="SHRI RADHE","SHREE RADHE",IF(IF(IF(ISNUMBER(SEARCH("Party Name:-",'R.M Billets Reports'!D768)),TRIM('R.M Billets Reports'!F768),IF(ISNUMBER(SEARCH("Party Name-",'R.M Billets Reports'!D768)),TRIM(MID('R.M Billets Reports'!D768,SEARCH("-",'R.M Billets Reports'!D768)+1,200)),""))&lt;&gt;"",IF(ISNUMBER(SEARCH("Party Name:-",'R.M Billets Reports'!D768)),TRIM('R.M Billets Reports'!F768),IF(ISNUMBER(SEARCH("Party Name-",'R.M Billets Reports'!D768)),TRIM(MID('R.M Billets Reports'!D768,SEARCH("-",'R.M Billets Reports'!D768)+1,200)),"")),IF(ISNUMBER(SEARCH("Party Name:-",'R.M Billets Reports'!D769)),TRIM('R.M Billets Reports'!F769),IF(ISNUMBER(SEARCH("Party Name-",'R.M Billets Reports'!D769)),TRIM(MID('R.M Billets Reports'!D769,SEARCH("-",'R.M Billets Reports'!D769)+1,200)),"")))="SHREE RADHE SHAKTI SPONGE AND POWER PVT. LTD.","SHREE RADHE",IF(IF(ISNUMBER(SEARCH("Party Name:-",'R.M Billets Reports'!D768)),TRIM('R.M Billets Reports'!F768),IF(ISNUMBER(SEARCH("Party Name-",'R.M Billets Reports'!D768)),TRIM(MID('R.M Billets Reports'!D768,SEARCH("-",'R.M Billets Reports'!D768)+1,200)),""))&lt;&gt;"",IF(ISNUMBER(SEARCH("Party Name:-",'R.M Billets Reports'!D768)),TRIM('R.M Billets Reports'!F768),IF(ISNUMBER(SEARCH("Party Name-",'R.M Billets Reports'!D768)),TRIM(MID('R.M Billets Reports'!D768,SEARCH("-",'R.M Billets Reports'!D768)+1,200)),"")),IF(ISNUMBER(SEARCH("Party Name:-",'R.M Billets Reports'!D769)),TRIM('R.M Billets Reports'!F769),IF(ISNUMBER(SEARCH("Party Name-",'R.M Billets Reports'!D769)),TRIM(MID('R.M Billets Reports'!D769,SEARCH("-",'R.M Billets Reports'!D769)+1,200)),"")))))),IF(ROW()=2,"",A768))</f>
      </c>
      <c r="B769">
        <f>IF(OR('R.M Billets Reports'!A768="Date-",'R.M Billets Reports'!A768="Date:-"),'R.M Billets Reports'!B768,IF(ROW()=2,"",B768))</f>
      </c>
      <c r="C769">
        <f>IF('R.M Billets Reports'!A768="V.No.",'R.M Billets Reports'!B768,IF(ROW()=2,"",C768))</f>
      </c>
      <c r="D769">
        <f>IF('R.M Billets Reports'!A768&lt;&gt;"",'R.M Billets Reports'!A768,IF(ROW()=2,"",D768))</f>
      </c>
      <c r="E769">
        <f>IF('R.M Billets Reports'!B768="","",TRIM('R.M Billets Reports'!B768))</f>
      </c>
      <c r="F769">
        <f>'R.M Billets Reports'!C768</f>
      </c>
      <c r="G769">
        <f>'R.M Billets Reports'!D768</f>
      </c>
      <c r="H769">
        <f>'R.M Billets Reports'!E768</f>
      </c>
      <c r="I769">
        <f>'R.M Billets Reports'!F768</f>
      </c>
      <c r="J769">
        <f>'R.M Billets Reports'!G768</f>
      </c>
      <c r="K769">
        <f>'R.M Billets Reports'!H768</f>
      </c>
      <c r="L769">
        <f>IF('R.M Billets Reports'!I768="","",'R.M Billets Reports'!I768)</f>
      </c>
      <c r="M769">
        <f t="shared" si="22"/>
      </c>
      <c r="N769">
        <f>IF('R.M Billets Reports'!J768="","",'R.M Billets Reports'!J768)</f>
      </c>
      <c r="O769">
        <f t="shared" si="23"/>
      </c>
      <c r="P769">
        <f>IF('R.M Billets Reports'!A768="SIZE",'R.M Billets Reports'!B768,P768)</f>
      </c>
    </row>
    <row r="770" spans="1:16" x14ac:dyDescent="0.25">
      <c r="A770">
        <f>IF(OR('R.M Billets Reports'!A769="Date-",'R.M Billets Reports'!A769="Date:-"),IF(IF(IF(ISNUMBER(SEARCH("Party Name:-",'R.M Billets Reports'!D769)),TRIM('R.M Billets Reports'!F769),IF(ISNUMBER(SEARCH("Party Name-",'R.M Billets Reports'!D769)),TRIM(MID('R.M Billets Reports'!D769,SEARCH("-",'R.M Billets Reports'!D769)+1,200)),""))&lt;&gt;"",IF(ISNUMBER(SEARCH("Party Name:-",'R.M Billets Reports'!D769)),TRIM('R.M Billets Reports'!F769),IF(ISNUMBER(SEARCH("Party Name-",'R.M Billets Reports'!D769)),TRIM(MID('R.M Billets Reports'!D769,SEARCH("-",'R.M Billets Reports'!D769)+1,200)),"")),IF(ISNUMBER(SEARCH("Party Name:-",'R.M Billets Reports'!D770)),TRIM('R.M Billets Reports'!F770),IF(ISNUMBER(SEARCH("Party Name-",'R.M Billets Reports'!D770)),TRIM(MID('R.M Billets Reports'!D770,SEARCH("-",'R.M Billets Reports'!D770)+1,200)),"")))="VRKP ISPAT PVT LTD","VRKP",IF(IF(IF(ISNUMBER(SEARCH("Party Name:-",'R.M Billets Reports'!D769)),TRIM('R.M Billets Reports'!F769),IF(ISNUMBER(SEARCH("Party Name-",'R.M Billets Reports'!D769)),TRIM(MID('R.M Billets Reports'!D769,SEARCH("-",'R.M Billets Reports'!D769)+1,200)),""))&lt;&gt;"",IF(ISNUMBER(SEARCH("Party Name:-",'R.M Billets Reports'!D769)),TRIM('R.M Billets Reports'!F769),IF(ISNUMBER(SEARCH("Party Name-",'R.M Billets Reports'!D769)),TRIM(MID('R.M Billets Reports'!D769,SEARCH("-",'R.M Billets Reports'!D769)+1,200)),"")),IF(ISNUMBER(SEARCH("Party Name:-",'R.M Billets Reports'!D770)),TRIM('R.M Billets Reports'!F770),IF(ISNUMBER(SEARCH("Party Name-",'R.M Billets Reports'!D770)),TRIM(MID('R.M Billets Reports'!D770,SEARCH("-",'R.M Billets Reports'!D770)+1,200)),"")))="SHRI RADHE","SHREE RADHE",IF(IF(IF(ISNUMBER(SEARCH("Party Name:-",'R.M Billets Reports'!D769)),TRIM('R.M Billets Reports'!F769),IF(ISNUMBER(SEARCH("Party Name-",'R.M Billets Reports'!D769)),TRIM(MID('R.M Billets Reports'!D769,SEARCH("-",'R.M Billets Reports'!D769)+1,200)),""))&lt;&gt;"",IF(ISNUMBER(SEARCH("Party Name:-",'R.M Billets Reports'!D769)),TRIM('R.M Billets Reports'!F769),IF(ISNUMBER(SEARCH("Party Name-",'R.M Billets Reports'!D769)),TRIM(MID('R.M Billets Reports'!D769,SEARCH("-",'R.M Billets Reports'!D769)+1,200)),"")),IF(ISNUMBER(SEARCH("Party Name:-",'R.M Billets Reports'!D770)),TRIM('R.M Billets Reports'!F770),IF(ISNUMBER(SEARCH("Party Name-",'R.M Billets Reports'!D770)),TRIM(MID('R.M Billets Reports'!D770,SEARCH("-",'R.M Billets Reports'!D770)+1,200)),"")))="SHREE RADHE SHAKTI SPONGE AND POWER PVT. LTD.","SHREE RADHE",IF(IF(ISNUMBER(SEARCH("Party Name:-",'R.M Billets Reports'!D769)),TRIM('R.M Billets Reports'!F769),IF(ISNUMBER(SEARCH("Party Name-",'R.M Billets Reports'!D769)),TRIM(MID('R.M Billets Reports'!D769,SEARCH("-",'R.M Billets Reports'!D769)+1,200)),""))&lt;&gt;"",IF(ISNUMBER(SEARCH("Party Name:-",'R.M Billets Reports'!D769)),TRIM('R.M Billets Reports'!F769),IF(ISNUMBER(SEARCH("Party Name-",'R.M Billets Reports'!D769)),TRIM(MID('R.M Billets Reports'!D769,SEARCH("-",'R.M Billets Reports'!D769)+1,200)),"")),IF(ISNUMBER(SEARCH("Party Name:-",'R.M Billets Reports'!D770)),TRIM('R.M Billets Reports'!F770),IF(ISNUMBER(SEARCH("Party Name-",'R.M Billets Reports'!D770)),TRIM(MID('R.M Billets Reports'!D770,SEARCH("-",'R.M Billets Reports'!D770)+1,200)),"")))))),IF(ROW()=2,"",A769))</f>
      </c>
      <c r="B770">
        <f>IF(OR('R.M Billets Reports'!A769="Date-",'R.M Billets Reports'!A769="Date:-"),'R.M Billets Reports'!B769,IF(ROW()=2,"",B769))</f>
      </c>
      <c r="C770">
        <f>IF('R.M Billets Reports'!A769="V.No.",'R.M Billets Reports'!B769,IF(ROW()=2,"",C769))</f>
      </c>
      <c r="D770">
        <f>IF('R.M Billets Reports'!A769&lt;&gt;"",'R.M Billets Reports'!A769,IF(ROW()=2,"",D769))</f>
      </c>
      <c r="E770">
        <f>IF('R.M Billets Reports'!B769="","",TRIM('R.M Billets Reports'!B769))</f>
      </c>
      <c r="F770">
        <f>'R.M Billets Reports'!C769</f>
      </c>
      <c r="G770">
        <f>'R.M Billets Reports'!D769</f>
      </c>
      <c r="H770">
        <f>'R.M Billets Reports'!E769</f>
      </c>
      <c r="I770">
        <f>'R.M Billets Reports'!F769</f>
      </c>
      <c r="J770">
        <f>'R.M Billets Reports'!G769</f>
      </c>
      <c r="K770">
        <f>'R.M Billets Reports'!H769</f>
      </c>
      <c r="L770">
        <f>IF('R.M Billets Reports'!I769="","",'R.M Billets Reports'!I769)</f>
      </c>
      <c r="M770">
        <f t="shared" si="22"/>
      </c>
      <c r="N770">
        <f>IF('R.M Billets Reports'!J769="","",'R.M Billets Reports'!J769)</f>
      </c>
      <c r="O770">
        <f t="shared" si="23"/>
      </c>
      <c r="P770">
        <f>IF('R.M Billets Reports'!A769="SIZE",'R.M Billets Reports'!B769,P769)</f>
      </c>
    </row>
    <row r="771" spans="1:16" x14ac:dyDescent="0.25">
      <c r="A771">
        <f>IF(OR('R.M Billets Reports'!A770="Date-",'R.M Billets Reports'!A770="Date:-"),IF(IF(IF(ISNUMBER(SEARCH("Party Name:-",'R.M Billets Reports'!D770)),TRIM('R.M Billets Reports'!F770),IF(ISNUMBER(SEARCH("Party Name-",'R.M Billets Reports'!D770)),TRIM(MID('R.M Billets Reports'!D770,SEARCH("-",'R.M Billets Reports'!D770)+1,200)),""))&lt;&gt;"",IF(ISNUMBER(SEARCH("Party Name:-",'R.M Billets Reports'!D770)),TRIM('R.M Billets Reports'!F770),IF(ISNUMBER(SEARCH("Party Name-",'R.M Billets Reports'!D770)),TRIM(MID('R.M Billets Reports'!D770,SEARCH("-",'R.M Billets Reports'!D770)+1,200)),"")),IF(ISNUMBER(SEARCH("Party Name:-",'R.M Billets Reports'!D771)),TRIM('R.M Billets Reports'!F771),IF(ISNUMBER(SEARCH("Party Name-",'R.M Billets Reports'!D771)),TRIM(MID('R.M Billets Reports'!D771,SEARCH("-",'R.M Billets Reports'!D771)+1,200)),"")))="VRKP ISPAT PVT LTD","VRKP",IF(IF(IF(ISNUMBER(SEARCH("Party Name:-",'R.M Billets Reports'!D770)),TRIM('R.M Billets Reports'!F770),IF(ISNUMBER(SEARCH("Party Name-",'R.M Billets Reports'!D770)),TRIM(MID('R.M Billets Reports'!D770,SEARCH("-",'R.M Billets Reports'!D770)+1,200)),""))&lt;&gt;"",IF(ISNUMBER(SEARCH("Party Name:-",'R.M Billets Reports'!D770)),TRIM('R.M Billets Reports'!F770),IF(ISNUMBER(SEARCH("Party Name-",'R.M Billets Reports'!D770)),TRIM(MID('R.M Billets Reports'!D770,SEARCH("-",'R.M Billets Reports'!D770)+1,200)),"")),IF(ISNUMBER(SEARCH("Party Name:-",'R.M Billets Reports'!D771)),TRIM('R.M Billets Reports'!F771),IF(ISNUMBER(SEARCH("Party Name-",'R.M Billets Reports'!D771)),TRIM(MID('R.M Billets Reports'!D771,SEARCH("-",'R.M Billets Reports'!D771)+1,200)),"")))="SHRI RADHE","SHREE RADHE",IF(IF(IF(ISNUMBER(SEARCH("Party Name:-",'R.M Billets Reports'!D770)),TRIM('R.M Billets Reports'!F770),IF(ISNUMBER(SEARCH("Party Name-",'R.M Billets Reports'!D770)),TRIM(MID('R.M Billets Reports'!D770,SEARCH("-",'R.M Billets Reports'!D770)+1,200)),""))&lt;&gt;"",IF(ISNUMBER(SEARCH("Party Name:-",'R.M Billets Reports'!D770)),TRIM('R.M Billets Reports'!F770),IF(ISNUMBER(SEARCH("Party Name-",'R.M Billets Reports'!D770)),TRIM(MID('R.M Billets Reports'!D770,SEARCH("-",'R.M Billets Reports'!D770)+1,200)),"")),IF(ISNUMBER(SEARCH("Party Name:-",'R.M Billets Reports'!D771)),TRIM('R.M Billets Reports'!F771),IF(ISNUMBER(SEARCH("Party Name-",'R.M Billets Reports'!D771)),TRIM(MID('R.M Billets Reports'!D771,SEARCH("-",'R.M Billets Reports'!D771)+1,200)),"")))="SHREE RADHE SHAKTI SPONGE AND POWER PVT. LTD.","SHREE RADHE",IF(IF(ISNUMBER(SEARCH("Party Name:-",'R.M Billets Reports'!D770)),TRIM('R.M Billets Reports'!F770),IF(ISNUMBER(SEARCH("Party Name-",'R.M Billets Reports'!D770)),TRIM(MID('R.M Billets Reports'!D770,SEARCH("-",'R.M Billets Reports'!D770)+1,200)),""))&lt;&gt;"",IF(ISNUMBER(SEARCH("Party Name:-",'R.M Billets Reports'!D770)),TRIM('R.M Billets Reports'!F770),IF(ISNUMBER(SEARCH("Party Name-",'R.M Billets Reports'!D770)),TRIM(MID('R.M Billets Reports'!D770,SEARCH("-",'R.M Billets Reports'!D770)+1,200)),"")),IF(ISNUMBER(SEARCH("Party Name:-",'R.M Billets Reports'!D771)),TRIM('R.M Billets Reports'!F771),IF(ISNUMBER(SEARCH("Party Name-",'R.M Billets Reports'!D771)),TRIM(MID('R.M Billets Reports'!D771,SEARCH("-",'R.M Billets Reports'!D771)+1,200)),"")))))),IF(ROW()=2,"",A770))</f>
      </c>
      <c r="B771">
        <f>IF(OR('R.M Billets Reports'!A770="Date-",'R.M Billets Reports'!A770="Date:-"),'R.M Billets Reports'!B770,IF(ROW()=2,"",B770))</f>
      </c>
      <c r="C771">
        <f>IF('R.M Billets Reports'!A770="V.No.",'R.M Billets Reports'!B770,IF(ROW()=2,"",C770))</f>
      </c>
      <c r="D771">
        <f>IF('R.M Billets Reports'!A770&lt;&gt;"",'R.M Billets Reports'!A770,IF(ROW()=2,"",D770))</f>
      </c>
      <c r="E771">
        <f>IF('R.M Billets Reports'!B770="","",TRIM('R.M Billets Reports'!B770))</f>
      </c>
      <c r="F771">
        <f>'R.M Billets Reports'!C770</f>
      </c>
      <c r="G771">
        <f>'R.M Billets Reports'!D770</f>
      </c>
      <c r="H771">
        <f>'R.M Billets Reports'!E770</f>
      </c>
      <c r="I771">
        <f>'R.M Billets Reports'!F770</f>
      </c>
      <c r="J771">
        <f>'R.M Billets Reports'!G770</f>
      </c>
      <c r="K771">
        <f>'R.M Billets Reports'!H770</f>
      </c>
      <c r="L771">
        <f>IF('R.M Billets Reports'!I770="","",'R.M Billets Reports'!I770)</f>
      </c>
      <c r="M771">
        <f t="shared" ref="M771:M834" si="24">IF(L771&lt;&gt;"",L771,IF(D771=D770,M770,""))</f>
      </c>
      <c r="N771">
        <f>IF('R.M Billets Reports'!J770="","",'R.M Billets Reports'!J770)</f>
      </c>
      <c r="O771">
        <f t="shared" ref="O771:O834" si="25">IF(N771&lt;&gt;"",N771,IF(D771=D770,O770,""))</f>
      </c>
      <c r="P771">
        <f>IF('R.M Billets Reports'!A770="SIZE",'R.M Billets Reports'!B770,P770)</f>
      </c>
    </row>
    <row r="772" spans="1:16" x14ac:dyDescent="0.25">
      <c r="A772">
        <f>IF(OR('R.M Billets Reports'!A771="Date-",'R.M Billets Reports'!A771="Date:-"),IF(IF(IF(ISNUMBER(SEARCH("Party Name:-",'R.M Billets Reports'!D771)),TRIM('R.M Billets Reports'!F771),IF(ISNUMBER(SEARCH("Party Name-",'R.M Billets Reports'!D771)),TRIM(MID('R.M Billets Reports'!D771,SEARCH("-",'R.M Billets Reports'!D771)+1,200)),""))&lt;&gt;"",IF(ISNUMBER(SEARCH("Party Name:-",'R.M Billets Reports'!D771)),TRIM('R.M Billets Reports'!F771),IF(ISNUMBER(SEARCH("Party Name-",'R.M Billets Reports'!D771)),TRIM(MID('R.M Billets Reports'!D771,SEARCH("-",'R.M Billets Reports'!D771)+1,200)),"")),IF(ISNUMBER(SEARCH("Party Name:-",'R.M Billets Reports'!D772)),TRIM('R.M Billets Reports'!F772),IF(ISNUMBER(SEARCH("Party Name-",'R.M Billets Reports'!D772)),TRIM(MID('R.M Billets Reports'!D772,SEARCH("-",'R.M Billets Reports'!D772)+1,200)),"")))="VRKP ISPAT PVT LTD","VRKP",IF(IF(IF(ISNUMBER(SEARCH("Party Name:-",'R.M Billets Reports'!D771)),TRIM('R.M Billets Reports'!F771),IF(ISNUMBER(SEARCH("Party Name-",'R.M Billets Reports'!D771)),TRIM(MID('R.M Billets Reports'!D771,SEARCH("-",'R.M Billets Reports'!D771)+1,200)),""))&lt;&gt;"",IF(ISNUMBER(SEARCH("Party Name:-",'R.M Billets Reports'!D771)),TRIM('R.M Billets Reports'!F771),IF(ISNUMBER(SEARCH("Party Name-",'R.M Billets Reports'!D771)),TRIM(MID('R.M Billets Reports'!D771,SEARCH("-",'R.M Billets Reports'!D771)+1,200)),"")),IF(ISNUMBER(SEARCH("Party Name:-",'R.M Billets Reports'!D772)),TRIM('R.M Billets Reports'!F772),IF(ISNUMBER(SEARCH("Party Name-",'R.M Billets Reports'!D772)),TRIM(MID('R.M Billets Reports'!D772,SEARCH("-",'R.M Billets Reports'!D772)+1,200)),"")))="SHRI RADHE","SHREE RADHE",IF(IF(IF(ISNUMBER(SEARCH("Party Name:-",'R.M Billets Reports'!D771)),TRIM('R.M Billets Reports'!F771),IF(ISNUMBER(SEARCH("Party Name-",'R.M Billets Reports'!D771)),TRIM(MID('R.M Billets Reports'!D771,SEARCH("-",'R.M Billets Reports'!D771)+1,200)),""))&lt;&gt;"",IF(ISNUMBER(SEARCH("Party Name:-",'R.M Billets Reports'!D771)),TRIM('R.M Billets Reports'!F771),IF(ISNUMBER(SEARCH("Party Name-",'R.M Billets Reports'!D771)),TRIM(MID('R.M Billets Reports'!D771,SEARCH("-",'R.M Billets Reports'!D771)+1,200)),"")),IF(ISNUMBER(SEARCH("Party Name:-",'R.M Billets Reports'!D772)),TRIM('R.M Billets Reports'!F772),IF(ISNUMBER(SEARCH("Party Name-",'R.M Billets Reports'!D772)),TRIM(MID('R.M Billets Reports'!D772,SEARCH("-",'R.M Billets Reports'!D772)+1,200)),"")))="SHREE RADHE SHAKTI SPONGE AND POWER PVT. LTD.","SHREE RADHE",IF(IF(ISNUMBER(SEARCH("Party Name:-",'R.M Billets Reports'!D771)),TRIM('R.M Billets Reports'!F771),IF(ISNUMBER(SEARCH("Party Name-",'R.M Billets Reports'!D771)),TRIM(MID('R.M Billets Reports'!D771,SEARCH("-",'R.M Billets Reports'!D771)+1,200)),""))&lt;&gt;"",IF(ISNUMBER(SEARCH("Party Name:-",'R.M Billets Reports'!D771)),TRIM('R.M Billets Reports'!F771),IF(ISNUMBER(SEARCH("Party Name-",'R.M Billets Reports'!D771)),TRIM(MID('R.M Billets Reports'!D771,SEARCH("-",'R.M Billets Reports'!D771)+1,200)),"")),IF(ISNUMBER(SEARCH("Party Name:-",'R.M Billets Reports'!D772)),TRIM('R.M Billets Reports'!F772),IF(ISNUMBER(SEARCH("Party Name-",'R.M Billets Reports'!D772)),TRIM(MID('R.M Billets Reports'!D772,SEARCH("-",'R.M Billets Reports'!D772)+1,200)),"")))))),IF(ROW()=2,"",A771))</f>
      </c>
      <c r="B772">
        <f>IF(OR('R.M Billets Reports'!A771="Date-",'R.M Billets Reports'!A771="Date:-"),'R.M Billets Reports'!B771,IF(ROW()=2,"",B771))</f>
      </c>
      <c r="C772">
        <f>IF('R.M Billets Reports'!A771="V.No.",'R.M Billets Reports'!B771,IF(ROW()=2,"",C771))</f>
      </c>
      <c r="D772">
        <f>IF('R.M Billets Reports'!A771&lt;&gt;"",'R.M Billets Reports'!A771,IF(ROW()=2,"",D771))</f>
      </c>
      <c r="E772">
        <f>IF('R.M Billets Reports'!B771="","",TRIM('R.M Billets Reports'!B771))</f>
      </c>
      <c r="F772">
        <f>'R.M Billets Reports'!C771</f>
      </c>
      <c r="G772">
        <f>'R.M Billets Reports'!D771</f>
      </c>
      <c r="H772">
        <f>'R.M Billets Reports'!E771</f>
      </c>
      <c r="I772">
        <f>'R.M Billets Reports'!F771</f>
      </c>
      <c r="J772">
        <f>'R.M Billets Reports'!G771</f>
      </c>
      <c r="K772">
        <f>'R.M Billets Reports'!H771</f>
      </c>
      <c r="L772">
        <f>IF('R.M Billets Reports'!I771="","",'R.M Billets Reports'!I771)</f>
      </c>
      <c r="M772">
        <f t="shared" si="24"/>
      </c>
      <c r="N772">
        <f>IF('R.M Billets Reports'!J771="","",'R.M Billets Reports'!J771)</f>
      </c>
      <c r="O772">
        <f t="shared" si="25"/>
      </c>
      <c r="P772">
        <f>IF('R.M Billets Reports'!A771="SIZE",'R.M Billets Reports'!B771,P771)</f>
      </c>
    </row>
    <row r="773" spans="1:16" x14ac:dyDescent="0.25">
      <c r="A773">
        <f>IF(OR('R.M Billets Reports'!A772="Date-",'R.M Billets Reports'!A772="Date:-"),IF(IF(IF(ISNUMBER(SEARCH("Party Name:-",'R.M Billets Reports'!D772)),TRIM('R.M Billets Reports'!F772),IF(ISNUMBER(SEARCH("Party Name-",'R.M Billets Reports'!D772)),TRIM(MID('R.M Billets Reports'!D772,SEARCH("-",'R.M Billets Reports'!D772)+1,200)),""))&lt;&gt;"",IF(ISNUMBER(SEARCH("Party Name:-",'R.M Billets Reports'!D772)),TRIM('R.M Billets Reports'!F772),IF(ISNUMBER(SEARCH("Party Name-",'R.M Billets Reports'!D772)),TRIM(MID('R.M Billets Reports'!D772,SEARCH("-",'R.M Billets Reports'!D772)+1,200)),"")),IF(ISNUMBER(SEARCH("Party Name:-",'R.M Billets Reports'!D773)),TRIM('R.M Billets Reports'!F773),IF(ISNUMBER(SEARCH("Party Name-",'R.M Billets Reports'!D773)),TRIM(MID('R.M Billets Reports'!D773,SEARCH("-",'R.M Billets Reports'!D773)+1,200)),"")))="VRKP ISPAT PVT LTD","VRKP",IF(IF(IF(ISNUMBER(SEARCH("Party Name:-",'R.M Billets Reports'!D772)),TRIM('R.M Billets Reports'!F772),IF(ISNUMBER(SEARCH("Party Name-",'R.M Billets Reports'!D772)),TRIM(MID('R.M Billets Reports'!D772,SEARCH("-",'R.M Billets Reports'!D772)+1,200)),""))&lt;&gt;"",IF(ISNUMBER(SEARCH("Party Name:-",'R.M Billets Reports'!D772)),TRIM('R.M Billets Reports'!F772),IF(ISNUMBER(SEARCH("Party Name-",'R.M Billets Reports'!D772)),TRIM(MID('R.M Billets Reports'!D772,SEARCH("-",'R.M Billets Reports'!D772)+1,200)),"")),IF(ISNUMBER(SEARCH("Party Name:-",'R.M Billets Reports'!D773)),TRIM('R.M Billets Reports'!F773),IF(ISNUMBER(SEARCH("Party Name-",'R.M Billets Reports'!D773)),TRIM(MID('R.M Billets Reports'!D773,SEARCH("-",'R.M Billets Reports'!D773)+1,200)),"")))="SHRI RADHE","SHREE RADHE",IF(IF(IF(ISNUMBER(SEARCH("Party Name:-",'R.M Billets Reports'!D772)),TRIM('R.M Billets Reports'!F772),IF(ISNUMBER(SEARCH("Party Name-",'R.M Billets Reports'!D772)),TRIM(MID('R.M Billets Reports'!D772,SEARCH("-",'R.M Billets Reports'!D772)+1,200)),""))&lt;&gt;"",IF(ISNUMBER(SEARCH("Party Name:-",'R.M Billets Reports'!D772)),TRIM('R.M Billets Reports'!F772),IF(ISNUMBER(SEARCH("Party Name-",'R.M Billets Reports'!D772)),TRIM(MID('R.M Billets Reports'!D772,SEARCH("-",'R.M Billets Reports'!D772)+1,200)),"")),IF(ISNUMBER(SEARCH("Party Name:-",'R.M Billets Reports'!D773)),TRIM('R.M Billets Reports'!F773),IF(ISNUMBER(SEARCH("Party Name-",'R.M Billets Reports'!D773)),TRIM(MID('R.M Billets Reports'!D773,SEARCH("-",'R.M Billets Reports'!D773)+1,200)),"")))="SHREE RADHE SHAKTI SPONGE AND POWER PVT. LTD.","SHREE RADHE",IF(IF(ISNUMBER(SEARCH("Party Name:-",'R.M Billets Reports'!D772)),TRIM('R.M Billets Reports'!F772),IF(ISNUMBER(SEARCH("Party Name-",'R.M Billets Reports'!D772)),TRIM(MID('R.M Billets Reports'!D772,SEARCH("-",'R.M Billets Reports'!D772)+1,200)),""))&lt;&gt;"",IF(ISNUMBER(SEARCH("Party Name:-",'R.M Billets Reports'!D772)),TRIM('R.M Billets Reports'!F772),IF(ISNUMBER(SEARCH("Party Name-",'R.M Billets Reports'!D772)),TRIM(MID('R.M Billets Reports'!D772,SEARCH("-",'R.M Billets Reports'!D772)+1,200)),"")),IF(ISNUMBER(SEARCH("Party Name:-",'R.M Billets Reports'!D773)),TRIM('R.M Billets Reports'!F773),IF(ISNUMBER(SEARCH("Party Name-",'R.M Billets Reports'!D773)),TRIM(MID('R.M Billets Reports'!D773,SEARCH("-",'R.M Billets Reports'!D773)+1,200)),"")))))),IF(ROW()=2,"",A772))</f>
      </c>
      <c r="B773">
        <f>IF(OR('R.M Billets Reports'!A772="Date-",'R.M Billets Reports'!A772="Date:-"),'R.M Billets Reports'!B772,IF(ROW()=2,"",B772))</f>
      </c>
      <c r="C773">
        <f>IF('R.M Billets Reports'!A772="V.No.",'R.M Billets Reports'!B772,IF(ROW()=2,"",C772))</f>
      </c>
      <c r="D773">
        <f>IF('R.M Billets Reports'!A772&lt;&gt;"",'R.M Billets Reports'!A772,IF(ROW()=2,"",D772))</f>
      </c>
      <c r="E773">
        <f>IF('R.M Billets Reports'!B772="","",TRIM('R.M Billets Reports'!B772))</f>
      </c>
      <c r="F773">
        <f>'R.M Billets Reports'!C772</f>
      </c>
      <c r="G773">
        <f>'R.M Billets Reports'!D772</f>
      </c>
      <c r="H773">
        <f>'R.M Billets Reports'!E772</f>
      </c>
      <c r="I773">
        <f>'R.M Billets Reports'!F772</f>
      </c>
      <c r="J773">
        <f>'R.M Billets Reports'!G772</f>
      </c>
      <c r="K773">
        <f>'R.M Billets Reports'!H772</f>
      </c>
      <c r="L773">
        <f>IF('R.M Billets Reports'!I772="","",'R.M Billets Reports'!I772)</f>
      </c>
      <c r="M773">
        <f t="shared" si="24"/>
      </c>
      <c r="N773">
        <f>IF('R.M Billets Reports'!J772="","",'R.M Billets Reports'!J772)</f>
      </c>
      <c r="O773">
        <f t="shared" si="25"/>
      </c>
      <c r="P773">
        <f>IF('R.M Billets Reports'!A772="SIZE",'R.M Billets Reports'!B772,P772)</f>
      </c>
    </row>
    <row r="774" spans="1:16" x14ac:dyDescent="0.25">
      <c r="A774">
        <f>IF(OR('R.M Billets Reports'!A773="Date-",'R.M Billets Reports'!A773="Date:-"),IF(IF(IF(ISNUMBER(SEARCH("Party Name:-",'R.M Billets Reports'!D773)),TRIM('R.M Billets Reports'!F773),IF(ISNUMBER(SEARCH("Party Name-",'R.M Billets Reports'!D773)),TRIM(MID('R.M Billets Reports'!D773,SEARCH("-",'R.M Billets Reports'!D773)+1,200)),""))&lt;&gt;"",IF(ISNUMBER(SEARCH("Party Name:-",'R.M Billets Reports'!D773)),TRIM('R.M Billets Reports'!F773),IF(ISNUMBER(SEARCH("Party Name-",'R.M Billets Reports'!D773)),TRIM(MID('R.M Billets Reports'!D773,SEARCH("-",'R.M Billets Reports'!D773)+1,200)),"")),IF(ISNUMBER(SEARCH("Party Name:-",'R.M Billets Reports'!D774)),TRIM('R.M Billets Reports'!F774),IF(ISNUMBER(SEARCH("Party Name-",'R.M Billets Reports'!D774)),TRIM(MID('R.M Billets Reports'!D774,SEARCH("-",'R.M Billets Reports'!D774)+1,200)),"")))="VRKP ISPAT PVT LTD","VRKP",IF(IF(IF(ISNUMBER(SEARCH("Party Name:-",'R.M Billets Reports'!D773)),TRIM('R.M Billets Reports'!F773),IF(ISNUMBER(SEARCH("Party Name-",'R.M Billets Reports'!D773)),TRIM(MID('R.M Billets Reports'!D773,SEARCH("-",'R.M Billets Reports'!D773)+1,200)),""))&lt;&gt;"",IF(ISNUMBER(SEARCH("Party Name:-",'R.M Billets Reports'!D773)),TRIM('R.M Billets Reports'!F773),IF(ISNUMBER(SEARCH("Party Name-",'R.M Billets Reports'!D773)),TRIM(MID('R.M Billets Reports'!D773,SEARCH("-",'R.M Billets Reports'!D773)+1,200)),"")),IF(ISNUMBER(SEARCH("Party Name:-",'R.M Billets Reports'!D774)),TRIM('R.M Billets Reports'!F774),IF(ISNUMBER(SEARCH("Party Name-",'R.M Billets Reports'!D774)),TRIM(MID('R.M Billets Reports'!D774,SEARCH("-",'R.M Billets Reports'!D774)+1,200)),"")))="SHRI RADHE","SHREE RADHE",IF(IF(IF(ISNUMBER(SEARCH("Party Name:-",'R.M Billets Reports'!D773)),TRIM('R.M Billets Reports'!F773),IF(ISNUMBER(SEARCH("Party Name-",'R.M Billets Reports'!D773)),TRIM(MID('R.M Billets Reports'!D773,SEARCH("-",'R.M Billets Reports'!D773)+1,200)),""))&lt;&gt;"",IF(ISNUMBER(SEARCH("Party Name:-",'R.M Billets Reports'!D773)),TRIM('R.M Billets Reports'!F773),IF(ISNUMBER(SEARCH("Party Name-",'R.M Billets Reports'!D773)),TRIM(MID('R.M Billets Reports'!D773,SEARCH("-",'R.M Billets Reports'!D773)+1,200)),"")),IF(ISNUMBER(SEARCH("Party Name:-",'R.M Billets Reports'!D774)),TRIM('R.M Billets Reports'!F774),IF(ISNUMBER(SEARCH("Party Name-",'R.M Billets Reports'!D774)),TRIM(MID('R.M Billets Reports'!D774,SEARCH("-",'R.M Billets Reports'!D774)+1,200)),"")))="SHREE RADHE SHAKTI SPONGE AND POWER PVT. LTD.","SHREE RADHE",IF(IF(ISNUMBER(SEARCH("Party Name:-",'R.M Billets Reports'!D773)),TRIM('R.M Billets Reports'!F773),IF(ISNUMBER(SEARCH("Party Name-",'R.M Billets Reports'!D773)),TRIM(MID('R.M Billets Reports'!D773,SEARCH("-",'R.M Billets Reports'!D773)+1,200)),""))&lt;&gt;"",IF(ISNUMBER(SEARCH("Party Name:-",'R.M Billets Reports'!D773)),TRIM('R.M Billets Reports'!F773),IF(ISNUMBER(SEARCH("Party Name-",'R.M Billets Reports'!D773)),TRIM(MID('R.M Billets Reports'!D773,SEARCH("-",'R.M Billets Reports'!D773)+1,200)),"")),IF(ISNUMBER(SEARCH("Party Name:-",'R.M Billets Reports'!D774)),TRIM('R.M Billets Reports'!F774),IF(ISNUMBER(SEARCH("Party Name-",'R.M Billets Reports'!D774)),TRIM(MID('R.M Billets Reports'!D774,SEARCH("-",'R.M Billets Reports'!D774)+1,200)),"")))))),IF(ROW()=2,"",A773))</f>
      </c>
      <c r="B774">
        <f>IF(OR('R.M Billets Reports'!A773="Date-",'R.M Billets Reports'!A773="Date:-"),'R.M Billets Reports'!B773,IF(ROW()=2,"",B773))</f>
      </c>
      <c r="C774">
        <f>IF('R.M Billets Reports'!A773="V.No.",'R.M Billets Reports'!B773,IF(ROW()=2,"",C773))</f>
      </c>
      <c r="D774">
        <f>IF('R.M Billets Reports'!A773&lt;&gt;"",'R.M Billets Reports'!A773,IF(ROW()=2,"",D773))</f>
      </c>
      <c r="E774">
        <f>IF('R.M Billets Reports'!B773="","",TRIM('R.M Billets Reports'!B773))</f>
      </c>
      <c r="F774">
        <f>'R.M Billets Reports'!C773</f>
      </c>
      <c r="G774">
        <f>'R.M Billets Reports'!D773</f>
      </c>
      <c r="H774">
        <f>'R.M Billets Reports'!E773</f>
      </c>
      <c r="I774">
        <f>'R.M Billets Reports'!F773</f>
      </c>
      <c r="J774">
        <f>'R.M Billets Reports'!G773</f>
      </c>
      <c r="K774">
        <f>'R.M Billets Reports'!H773</f>
      </c>
      <c r="L774">
        <f>IF('R.M Billets Reports'!I773="","",'R.M Billets Reports'!I773)</f>
      </c>
      <c r="M774">
        <f t="shared" si="24"/>
      </c>
      <c r="N774">
        <f>IF('R.M Billets Reports'!J773="","",'R.M Billets Reports'!J773)</f>
      </c>
      <c r="O774">
        <f t="shared" si="25"/>
      </c>
      <c r="P774">
        <f>IF('R.M Billets Reports'!A773="SIZE",'R.M Billets Reports'!B773,P773)</f>
      </c>
    </row>
    <row r="775" spans="1:16" x14ac:dyDescent="0.25">
      <c r="A775">
        <f>IF(OR('R.M Billets Reports'!A774="Date-",'R.M Billets Reports'!A774="Date:-"),IF(IF(IF(ISNUMBER(SEARCH("Party Name:-",'R.M Billets Reports'!D774)),TRIM('R.M Billets Reports'!F774),IF(ISNUMBER(SEARCH("Party Name-",'R.M Billets Reports'!D774)),TRIM(MID('R.M Billets Reports'!D774,SEARCH("-",'R.M Billets Reports'!D774)+1,200)),""))&lt;&gt;"",IF(ISNUMBER(SEARCH("Party Name:-",'R.M Billets Reports'!D774)),TRIM('R.M Billets Reports'!F774),IF(ISNUMBER(SEARCH("Party Name-",'R.M Billets Reports'!D774)),TRIM(MID('R.M Billets Reports'!D774,SEARCH("-",'R.M Billets Reports'!D774)+1,200)),"")),IF(ISNUMBER(SEARCH("Party Name:-",'R.M Billets Reports'!D775)),TRIM('R.M Billets Reports'!F775),IF(ISNUMBER(SEARCH("Party Name-",'R.M Billets Reports'!D775)),TRIM(MID('R.M Billets Reports'!D775,SEARCH("-",'R.M Billets Reports'!D775)+1,200)),"")))="VRKP ISPAT PVT LTD","VRKP",IF(IF(IF(ISNUMBER(SEARCH("Party Name:-",'R.M Billets Reports'!D774)),TRIM('R.M Billets Reports'!F774),IF(ISNUMBER(SEARCH("Party Name-",'R.M Billets Reports'!D774)),TRIM(MID('R.M Billets Reports'!D774,SEARCH("-",'R.M Billets Reports'!D774)+1,200)),""))&lt;&gt;"",IF(ISNUMBER(SEARCH("Party Name:-",'R.M Billets Reports'!D774)),TRIM('R.M Billets Reports'!F774),IF(ISNUMBER(SEARCH("Party Name-",'R.M Billets Reports'!D774)),TRIM(MID('R.M Billets Reports'!D774,SEARCH("-",'R.M Billets Reports'!D774)+1,200)),"")),IF(ISNUMBER(SEARCH("Party Name:-",'R.M Billets Reports'!D775)),TRIM('R.M Billets Reports'!F775),IF(ISNUMBER(SEARCH("Party Name-",'R.M Billets Reports'!D775)),TRIM(MID('R.M Billets Reports'!D775,SEARCH("-",'R.M Billets Reports'!D775)+1,200)),"")))="SHRI RADHE","SHREE RADHE",IF(IF(IF(ISNUMBER(SEARCH("Party Name:-",'R.M Billets Reports'!D774)),TRIM('R.M Billets Reports'!F774),IF(ISNUMBER(SEARCH("Party Name-",'R.M Billets Reports'!D774)),TRIM(MID('R.M Billets Reports'!D774,SEARCH("-",'R.M Billets Reports'!D774)+1,200)),""))&lt;&gt;"",IF(ISNUMBER(SEARCH("Party Name:-",'R.M Billets Reports'!D774)),TRIM('R.M Billets Reports'!F774),IF(ISNUMBER(SEARCH("Party Name-",'R.M Billets Reports'!D774)),TRIM(MID('R.M Billets Reports'!D774,SEARCH("-",'R.M Billets Reports'!D774)+1,200)),"")),IF(ISNUMBER(SEARCH("Party Name:-",'R.M Billets Reports'!D775)),TRIM('R.M Billets Reports'!F775),IF(ISNUMBER(SEARCH("Party Name-",'R.M Billets Reports'!D775)),TRIM(MID('R.M Billets Reports'!D775,SEARCH("-",'R.M Billets Reports'!D775)+1,200)),"")))="SHREE RADHE SHAKTI SPONGE AND POWER PVT. LTD.","SHREE RADHE",IF(IF(ISNUMBER(SEARCH("Party Name:-",'R.M Billets Reports'!D774)),TRIM('R.M Billets Reports'!F774),IF(ISNUMBER(SEARCH("Party Name-",'R.M Billets Reports'!D774)),TRIM(MID('R.M Billets Reports'!D774,SEARCH("-",'R.M Billets Reports'!D774)+1,200)),""))&lt;&gt;"",IF(ISNUMBER(SEARCH("Party Name:-",'R.M Billets Reports'!D774)),TRIM('R.M Billets Reports'!F774),IF(ISNUMBER(SEARCH("Party Name-",'R.M Billets Reports'!D774)),TRIM(MID('R.M Billets Reports'!D774,SEARCH("-",'R.M Billets Reports'!D774)+1,200)),"")),IF(ISNUMBER(SEARCH("Party Name:-",'R.M Billets Reports'!D775)),TRIM('R.M Billets Reports'!F775),IF(ISNUMBER(SEARCH("Party Name-",'R.M Billets Reports'!D775)),TRIM(MID('R.M Billets Reports'!D775,SEARCH("-",'R.M Billets Reports'!D775)+1,200)),"")))))),IF(ROW()=2,"",A774))</f>
      </c>
      <c r="B775">
        <f>IF(OR('R.M Billets Reports'!A774="Date-",'R.M Billets Reports'!A774="Date:-"),'R.M Billets Reports'!B774,IF(ROW()=2,"",B774))</f>
      </c>
      <c r="C775">
        <f>IF('R.M Billets Reports'!A774="V.No.",'R.M Billets Reports'!B774,IF(ROW()=2,"",C774))</f>
      </c>
      <c r="D775">
        <f>IF('R.M Billets Reports'!A774&lt;&gt;"",'R.M Billets Reports'!A774,IF(ROW()=2,"",D774))</f>
      </c>
      <c r="E775">
        <f>IF('R.M Billets Reports'!B774="","",TRIM('R.M Billets Reports'!B774))</f>
      </c>
      <c r="F775">
        <f>'R.M Billets Reports'!C774</f>
      </c>
      <c r="G775">
        <f>'R.M Billets Reports'!D774</f>
      </c>
      <c r="H775">
        <f>'R.M Billets Reports'!E774</f>
      </c>
      <c r="I775">
        <f>'R.M Billets Reports'!F774</f>
      </c>
      <c r="J775">
        <f>'R.M Billets Reports'!G774</f>
      </c>
      <c r="K775">
        <f>'R.M Billets Reports'!H774</f>
      </c>
      <c r="L775">
        <f>IF('R.M Billets Reports'!I774="","",'R.M Billets Reports'!I774)</f>
      </c>
      <c r="M775">
        <f t="shared" si="24"/>
      </c>
      <c r="N775">
        <f>IF('R.M Billets Reports'!J774="","",'R.M Billets Reports'!J774)</f>
      </c>
      <c r="O775">
        <f t="shared" si="25"/>
      </c>
      <c r="P775">
        <f>IF('R.M Billets Reports'!A774="SIZE",'R.M Billets Reports'!B774,P774)</f>
      </c>
    </row>
    <row r="776" spans="1:16" x14ac:dyDescent="0.25">
      <c r="A776">
        <f>IF(OR('R.M Billets Reports'!A775="Date-",'R.M Billets Reports'!A775="Date:-"),IF(IF(IF(ISNUMBER(SEARCH("Party Name:-",'R.M Billets Reports'!D775)),TRIM('R.M Billets Reports'!F775),IF(ISNUMBER(SEARCH("Party Name-",'R.M Billets Reports'!D775)),TRIM(MID('R.M Billets Reports'!D775,SEARCH("-",'R.M Billets Reports'!D775)+1,200)),""))&lt;&gt;"",IF(ISNUMBER(SEARCH("Party Name:-",'R.M Billets Reports'!D775)),TRIM('R.M Billets Reports'!F775),IF(ISNUMBER(SEARCH("Party Name-",'R.M Billets Reports'!D775)),TRIM(MID('R.M Billets Reports'!D775,SEARCH("-",'R.M Billets Reports'!D775)+1,200)),"")),IF(ISNUMBER(SEARCH("Party Name:-",'R.M Billets Reports'!D776)),TRIM('R.M Billets Reports'!F776),IF(ISNUMBER(SEARCH("Party Name-",'R.M Billets Reports'!D776)),TRIM(MID('R.M Billets Reports'!D776,SEARCH("-",'R.M Billets Reports'!D776)+1,200)),"")))="VRKP ISPAT PVT LTD","VRKP",IF(IF(IF(ISNUMBER(SEARCH("Party Name:-",'R.M Billets Reports'!D775)),TRIM('R.M Billets Reports'!F775),IF(ISNUMBER(SEARCH("Party Name-",'R.M Billets Reports'!D775)),TRIM(MID('R.M Billets Reports'!D775,SEARCH("-",'R.M Billets Reports'!D775)+1,200)),""))&lt;&gt;"",IF(ISNUMBER(SEARCH("Party Name:-",'R.M Billets Reports'!D775)),TRIM('R.M Billets Reports'!F775),IF(ISNUMBER(SEARCH("Party Name-",'R.M Billets Reports'!D775)),TRIM(MID('R.M Billets Reports'!D775,SEARCH("-",'R.M Billets Reports'!D775)+1,200)),"")),IF(ISNUMBER(SEARCH("Party Name:-",'R.M Billets Reports'!D776)),TRIM('R.M Billets Reports'!F776),IF(ISNUMBER(SEARCH("Party Name-",'R.M Billets Reports'!D776)),TRIM(MID('R.M Billets Reports'!D776,SEARCH("-",'R.M Billets Reports'!D776)+1,200)),"")))="SHRI RADHE","SHREE RADHE",IF(IF(IF(ISNUMBER(SEARCH("Party Name:-",'R.M Billets Reports'!D775)),TRIM('R.M Billets Reports'!F775),IF(ISNUMBER(SEARCH("Party Name-",'R.M Billets Reports'!D775)),TRIM(MID('R.M Billets Reports'!D775,SEARCH("-",'R.M Billets Reports'!D775)+1,200)),""))&lt;&gt;"",IF(ISNUMBER(SEARCH("Party Name:-",'R.M Billets Reports'!D775)),TRIM('R.M Billets Reports'!F775),IF(ISNUMBER(SEARCH("Party Name-",'R.M Billets Reports'!D775)),TRIM(MID('R.M Billets Reports'!D775,SEARCH("-",'R.M Billets Reports'!D775)+1,200)),"")),IF(ISNUMBER(SEARCH("Party Name:-",'R.M Billets Reports'!D776)),TRIM('R.M Billets Reports'!F776),IF(ISNUMBER(SEARCH("Party Name-",'R.M Billets Reports'!D776)),TRIM(MID('R.M Billets Reports'!D776,SEARCH("-",'R.M Billets Reports'!D776)+1,200)),"")))="SHREE RADHE SHAKTI SPONGE AND POWER PVT. LTD.","SHREE RADHE",IF(IF(ISNUMBER(SEARCH("Party Name:-",'R.M Billets Reports'!D775)),TRIM('R.M Billets Reports'!F775),IF(ISNUMBER(SEARCH("Party Name-",'R.M Billets Reports'!D775)),TRIM(MID('R.M Billets Reports'!D775,SEARCH("-",'R.M Billets Reports'!D775)+1,200)),""))&lt;&gt;"",IF(ISNUMBER(SEARCH("Party Name:-",'R.M Billets Reports'!D775)),TRIM('R.M Billets Reports'!F775),IF(ISNUMBER(SEARCH("Party Name-",'R.M Billets Reports'!D775)),TRIM(MID('R.M Billets Reports'!D775,SEARCH("-",'R.M Billets Reports'!D775)+1,200)),"")),IF(ISNUMBER(SEARCH("Party Name:-",'R.M Billets Reports'!D776)),TRIM('R.M Billets Reports'!F776),IF(ISNUMBER(SEARCH("Party Name-",'R.M Billets Reports'!D776)),TRIM(MID('R.M Billets Reports'!D776,SEARCH("-",'R.M Billets Reports'!D776)+1,200)),"")))))),IF(ROW()=2,"",A775))</f>
      </c>
      <c r="B776">
        <f>IF(OR('R.M Billets Reports'!A775="Date-",'R.M Billets Reports'!A775="Date:-"),'R.M Billets Reports'!B775,IF(ROW()=2,"",B775))</f>
      </c>
      <c r="C776">
        <f>IF('R.M Billets Reports'!A775="V.No.",'R.M Billets Reports'!B775,IF(ROW()=2,"",C775))</f>
      </c>
      <c r="D776">
        <f>IF('R.M Billets Reports'!A775&lt;&gt;"",'R.M Billets Reports'!A775,IF(ROW()=2,"",D775))</f>
      </c>
      <c r="E776">
        <f>IF('R.M Billets Reports'!B775="","",TRIM('R.M Billets Reports'!B775))</f>
      </c>
      <c r="F776">
        <f>'R.M Billets Reports'!C775</f>
      </c>
      <c r="G776">
        <f>'R.M Billets Reports'!D775</f>
      </c>
      <c r="H776">
        <f>'R.M Billets Reports'!E775</f>
      </c>
      <c r="I776">
        <f>'R.M Billets Reports'!F775</f>
      </c>
      <c r="J776">
        <f>'R.M Billets Reports'!G775</f>
      </c>
      <c r="K776">
        <f>'R.M Billets Reports'!H775</f>
      </c>
      <c r="L776">
        <f>IF('R.M Billets Reports'!I775="","",'R.M Billets Reports'!I775)</f>
      </c>
      <c r="M776">
        <f t="shared" si="24"/>
      </c>
      <c r="N776">
        <f>IF('R.M Billets Reports'!J775="","",'R.M Billets Reports'!J775)</f>
      </c>
      <c r="O776">
        <f t="shared" si="25"/>
      </c>
      <c r="P776">
        <f>IF('R.M Billets Reports'!A775="SIZE",'R.M Billets Reports'!B775,P775)</f>
      </c>
    </row>
    <row r="777" spans="1:16" x14ac:dyDescent="0.25">
      <c r="A777">
        <f>IF(OR('R.M Billets Reports'!A776="Date-",'R.M Billets Reports'!A776="Date:-"),IF(IF(IF(ISNUMBER(SEARCH("Party Name:-",'R.M Billets Reports'!D776)),TRIM('R.M Billets Reports'!F776),IF(ISNUMBER(SEARCH("Party Name-",'R.M Billets Reports'!D776)),TRIM(MID('R.M Billets Reports'!D776,SEARCH("-",'R.M Billets Reports'!D776)+1,200)),""))&lt;&gt;"",IF(ISNUMBER(SEARCH("Party Name:-",'R.M Billets Reports'!D776)),TRIM('R.M Billets Reports'!F776),IF(ISNUMBER(SEARCH("Party Name-",'R.M Billets Reports'!D776)),TRIM(MID('R.M Billets Reports'!D776,SEARCH("-",'R.M Billets Reports'!D776)+1,200)),"")),IF(ISNUMBER(SEARCH("Party Name:-",'R.M Billets Reports'!D777)),TRIM('R.M Billets Reports'!F777),IF(ISNUMBER(SEARCH("Party Name-",'R.M Billets Reports'!D777)),TRIM(MID('R.M Billets Reports'!D777,SEARCH("-",'R.M Billets Reports'!D777)+1,200)),"")))="VRKP ISPAT PVT LTD","VRKP",IF(IF(IF(ISNUMBER(SEARCH("Party Name:-",'R.M Billets Reports'!D776)),TRIM('R.M Billets Reports'!F776),IF(ISNUMBER(SEARCH("Party Name-",'R.M Billets Reports'!D776)),TRIM(MID('R.M Billets Reports'!D776,SEARCH("-",'R.M Billets Reports'!D776)+1,200)),""))&lt;&gt;"",IF(ISNUMBER(SEARCH("Party Name:-",'R.M Billets Reports'!D776)),TRIM('R.M Billets Reports'!F776),IF(ISNUMBER(SEARCH("Party Name-",'R.M Billets Reports'!D776)),TRIM(MID('R.M Billets Reports'!D776,SEARCH("-",'R.M Billets Reports'!D776)+1,200)),"")),IF(ISNUMBER(SEARCH("Party Name:-",'R.M Billets Reports'!D777)),TRIM('R.M Billets Reports'!F777),IF(ISNUMBER(SEARCH("Party Name-",'R.M Billets Reports'!D777)),TRIM(MID('R.M Billets Reports'!D777,SEARCH("-",'R.M Billets Reports'!D777)+1,200)),"")))="SHRI RADHE","SHREE RADHE",IF(IF(IF(ISNUMBER(SEARCH("Party Name:-",'R.M Billets Reports'!D776)),TRIM('R.M Billets Reports'!F776),IF(ISNUMBER(SEARCH("Party Name-",'R.M Billets Reports'!D776)),TRIM(MID('R.M Billets Reports'!D776,SEARCH("-",'R.M Billets Reports'!D776)+1,200)),""))&lt;&gt;"",IF(ISNUMBER(SEARCH("Party Name:-",'R.M Billets Reports'!D776)),TRIM('R.M Billets Reports'!F776),IF(ISNUMBER(SEARCH("Party Name-",'R.M Billets Reports'!D776)),TRIM(MID('R.M Billets Reports'!D776,SEARCH("-",'R.M Billets Reports'!D776)+1,200)),"")),IF(ISNUMBER(SEARCH("Party Name:-",'R.M Billets Reports'!D777)),TRIM('R.M Billets Reports'!F777),IF(ISNUMBER(SEARCH("Party Name-",'R.M Billets Reports'!D777)),TRIM(MID('R.M Billets Reports'!D777,SEARCH("-",'R.M Billets Reports'!D777)+1,200)),"")))="SHREE RADHE SHAKTI SPONGE AND POWER PVT. LTD.","SHREE RADHE",IF(IF(ISNUMBER(SEARCH("Party Name:-",'R.M Billets Reports'!D776)),TRIM('R.M Billets Reports'!F776),IF(ISNUMBER(SEARCH("Party Name-",'R.M Billets Reports'!D776)),TRIM(MID('R.M Billets Reports'!D776,SEARCH("-",'R.M Billets Reports'!D776)+1,200)),""))&lt;&gt;"",IF(ISNUMBER(SEARCH("Party Name:-",'R.M Billets Reports'!D776)),TRIM('R.M Billets Reports'!F776),IF(ISNUMBER(SEARCH("Party Name-",'R.M Billets Reports'!D776)),TRIM(MID('R.M Billets Reports'!D776,SEARCH("-",'R.M Billets Reports'!D776)+1,200)),"")),IF(ISNUMBER(SEARCH("Party Name:-",'R.M Billets Reports'!D777)),TRIM('R.M Billets Reports'!F777),IF(ISNUMBER(SEARCH("Party Name-",'R.M Billets Reports'!D777)),TRIM(MID('R.M Billets Reports'!D777,SEARCH("-",'R.M Billets Reports'!D777)+1,200)),"")))))),IF(ROW()=2,"",A776))</f>
      </c>
      <c r="B777">
        <f>IF(OR('R.M Billets Reports'!A776="Date-",'R.M Billets Reports'!A776="Date:-"),'R.M Billets Reports'!B776,IF(ROW()=2,"",B776))</f>
      </c>
      <c r="C777">
        <f>IF('R.M Billets Reports'!A776="V.No.",'R.M Billets Reports'!B776,IF(ROW()=2,"",C776))</f>
      </c>
      <c r="D777">
        <f>IF('R.M Billets Reports'!A776&lt;&gt;"",'R.M Billets Reports'!A776,IF(ROW()=2,"",D776))</f>
      </c>
      <c r="E777">
        <f>IF('R.M Billets Reports'!B776="","",TRIM('R.M Billets Reports'!B776))</f>
      </c>
      <c r="F777">
        <f>'R.M Billets Reports'!C776</f>
      </c>
      <c r="G777">
        <f>'R.M Billets Reports'!D776</f>
      </c>
      <c r="H777">
        <f>'R.M Billets Reports'!E776</f>
      </c>
      <c r="I777">
        <f>'R.M Billets Reports'!F776</f>
      </c>
      <c r="J777">
        <f>'R.M Billets Reports'!G776</f>
      </c>
      <c r="K777">
        <f>'R.M Billets Reports'!H776</f>
      </c>
      <c r="L777">
        <f>IF('R.M Billets Reports'!I776="","",'R.M Billets Reports'!I776)</f>
      </c>
      <c r="M777">
        <f t="shared" si="24"/>
      </c>
      <c r="N777">
        <f>IF('R.M Billets Reports'!J776="","",'R.M Billets Reports'!J776)</f>
      </c>
      <c r="O777">
        <f t="shared" si="25"/>
      </c>
      <c r="P777">
        <f>IF('R.M Billets Reports'!A776="SIZE",'R.M Billets Reports'!B776,P776)</f>
      </c>
    </row>
    <row r="778" spans="1:16" x14ac:dyDescent="0.25">
      <c r="A778">
        <f>IF(OR('R.M Billets Reports'!A777="Date-",'R.M Billets Reports'!A777="Date:-"),IF(IF(IF(ISNUMBER(SEARCH("Party Name:-",'R.M Billets Reports'!D777)),TRIM('R.M Billets Reports'!F777),IF(ISNUMBER(SEARCH("Party Name-",'R.M Billets Reports'!D777)),TRIM(MID('R.M Billets Reports'!D777,SEARCH("-",'R.M Billets Reports'!D777)+1,200)),""))&lt;&gt;"",IF(ISNUMBER(SEARCH("Party Name:-",'R.M Billets Reports'!D777)),TRIM('R.M Billets Reports'!F777),IF(ISNUMBER(SEARCH("Party Name-",'R.M Billets Reports'!D777)),TRIM(MID('R.M Billets Reports'!D777,SEARCH("-",'R.M Billets Reports'!D777)+1,200)),"")),IF(ISNUMBER(SEARCH("Party Name:-",'R.M Billets Reports'!D778)),TRIM('R.M Billets Reports'!F778),IF(ISNUMBER(SEARCH("Party Name-",'R.M Billets Reports'!D778)),TRIM(MID('R.M Billets Reports'!D778,SEARCH("-",'R.M Billets Reports'!D778)+1,200)),"")))="VRKP ISPAT PVT LTD","VRKP",IF(IF(IF(ISNUMBER(SEARCH("Party Name:-",'R.M Billets Reports'!D777)),TRIM('R.M Billets Reports'!F777),IF(ISNUMBER(SEARCH("Party Name-",'R.M Billets Reports'!D777)),TRIM(MID('R.M Billets Reports'!D777,SEARCH("-",'R.M Billets Reports'!D777)+1,200)),""))&lt;&gt;"",IF(ISNUMBER(SEARCH("Party Name:-",'R.M Billets Reports'!D777)),TRIM('R.M Billets Reports'!F777),IF(ISNUMBER(SEARCH("Party Name-",'R.M Billets Reports'!D777)),TRIM(MID('R.M Billets Reports'!D777,SEARCH("-",'R.M Billets Reports'!D777)+1,200)),"")),IF(ISNUMBER(SEARCH("Party Name:-",'R.M Billets Reports'!D778)),TRIM('R.M Billets Reports'!F778),IF(ISNUMBER(SEARCH("Party Name-",'R.M Billets Reports'!D778)),TRIM(MID('R.M Billets Reports'!D778,SEARCH("-",'R.M Billets Reports'!D778)+1,200)),"")))="SHRI RADHE","SHREE RADHE",IF(IF(IF(ISNUMBER(SEARCH("Party Name:-",'R.M Billets Reports'!D777)),TRIM('R.M Billets Reports'!F777),IF(ISNUMBER(SEARCH("Party Name-",'R.M Billets Reports'!D777)),TRIM(MID('R.M Billets Reports'!D777,SEARCH("-",'R.M Billets Reports'!D777)+1,200)),""))&lt;&gt;"",IF(ISNUMBER(SEARCH("Party Name:-",'R.M Billets Reports'!D777)),TRIM('R.M Billets Reports'!F777),IF(ISNUMBER(SEARCH("Party Name-",'R.M Billets Reports'!D777)),TRIM(MID('R.M Billets Reports'!D777,SEARCH("-",'R.M Billets Reports'!D777)+1,200)),"")),IF(ISNUMBER(SEARCH("Party Name:-",'R.M Billets Reports'!D778)),TRIM('R.M Billets Reports'!F778),IF(ISNUMBER(SEARCH("Party Name-",'R.M Billets Reports'!D778)),TRIM(MID('R.M Billets Reports'!D778,SEARCH("-",'R.M Billets Reports'!D778)+1,200)),"")))="SHREE RADHE SHAKTI SPONGE AND POWER PVT. LTD.","SHREE RADHE",IF(IF(ISNUMBER(SEARCH("Party Name:-",'R.M Billets Reports'!D777)),TRIM('R.M Billets Reports'!F777),IF(ISNUMBER(SEARCH("Party Name-",'R.M Billets Reports'!D777)),TRIM(MID('R.M Billets Reports'!D777,SEARCH("-",'R.M Billets Reports'!D777)+1,200)),""))&lt;&gt;"",IF(ISNUMBER(SEARCH("Party Name:-",'R.M Billets Reports'!D777)),TRIM('R.M Billets Reports'!F777),IF(ISNUMBER(SEARCH("Party Name-",'R.M Billets Reports'!D777)),TRIM(MID('R.M Billets Reports'!D777,SEARCH("-",'R.M Billets Reports'!D777)+1,200)),"")),IF(ISNUMBER(SEARCH("Party Name:-",'R.M Billets Reports'!D778)),TRIM('R.M Billets Reports'!F778),IF(ISNUMBER(SEARCH("Party Name-",'R.M Billets Reports'!D778)),TRIM(MID('R.M Billets Reports'!D778,SEARCH("-",'R.M Billets Reports'!D778)+1,200)),"")))))),IF(ROW()=2,"",A777))</f>
      </c>
      <c r="B778">
        <f>IF(OR('R.M Billets Reports'!A777="Date-",'R.M Billets Reports'!A777="Date:-"),'R.M Billets Reports'!B777,IF(ROW()=2,"",B777))</f>
      </c>
      <c r="C778">
        <f>IF('R.M Billets Reports'!A777="V.No.",'R.M Billets Reports'!B777,IF(ROW()=2,"",C777))</f>
      </c>
      <c r="D778">
        <f>IF('R.M Billets Reports'!A777&lt;&gt;"",'R.M Billets Reports'!A777,IF(ROW()=2,"",D777))</f>
      </c>
      <c r="E778">
        <f>IF('R.M Billets Reports'!B777="","",TRIM('R.M Billets Reports'!B777))</f>
      </c>
      <c r="F778">
        <f>'R.M Billets Reports'!C777</f>
      </c>
      <c r="G778">
        <f>'R.M Billets Reports'!D777</f>
      </c>
      <c r="H778">
        <f>'R.M Billets Reports'!E777</f>
      </c>
      <c r="I778">
        <f>'R.M Billets Reports'!F777</f>
      </c>
      <c r="J778">
        <f>'R.M Billets Reports'!G777</f>
      </c>
      <c r="K778">
        <f>'R.M Billets Reports'!H777</f>
      </c>
      <c r="L778">
        <f>IF('R.M Billets Reports'!I777="","",'R.M Billets Reports'!I777)</f>
      </c>
      <c r="M778">
        <f t="shared" si="24"/>
      </c>
      <c r="N778">
        <f>IF('R.M Billets Reports'!J777="","",'R.M Billets Reports'!J777)</f>
      </c>
      <c r="O778">
        <f t="shared" si="25"/>
      </c>
      <c r="P778">
        <f>IF('R.M Billets Reports'!A777="SIZE",'R.M Billets Reports'!B777,P777)</f>
      </c>
    </row>
    <row r="779" spans="1:16" x14ac:dyDescent="0.25">
      <c r="A779">
        <f>IF(OR('R.M Billets Reports'!A778="Date-",'R.M Billets Reports'!A778="Date:-"),IF(IF(IF(ISNUMBER(SEARCH("Party Name:-",'R.M Billets Reports'!D778)),TRIM('R.M Billets Reports'!F778),IF(ISNUMBER(SEARCH("Party Name-",'R.M Billets Reports'!D778)),TRIM(MID('R.M Billets Reports'!D778,SEARCH("-",'R.M Billets Reports'!D778)+1,200)),""))&lt;&gt;"",IF(ISNUMBER(SEARCH("Party Name:-",'R.M Billets Reports'!D778)),TRIM('R.M Billets Reports'!F778),IF(ISNUMBER(SEARCH("Party Name-",'R.M Billets Reports'!D778)),TRIM(MID('R.M Billets Reports'!D778,SEARCH("-",'R.M Billets Reports'!D778)+1,200)),"")),IF(ISNUMBER(SEARCH("Party Name:-",'R.M Billets Reports'!D779)),TRIM('R.M Billets Reports'!F779),IF(ISNUMBER(SEARCH("Party Name-",'R.M Billets Reports'!D779)),TRIM(MID('R.M Billets Reports'!D779,SEARCH("-",'R.M Billets Reports'!D779)+1,200)),"")))="VRKP ISPAT PVT LTD","VRKP",IF(IF(IF(ISNUMBER(SEARCH("Party Name:-",'R.M Billets Reports'!D778)),TRIM('R.M Billets Reports'!F778),IF(ISNUMBER(SEARCH("Party Name-",'R.M Billets Reports'!D778)),TRIM(MID('R.M Billets Reports'!D778,SEARCH("-",'R.M Billets Reports'!D778)+1,200)),""))&lt;&gt;"",IF(ISNUMBER(SEARCH("Party Name:-",'R.M Billets Reports'!D778)),TRIM('R.M Billets Reports'!F778),IF(ISNUMBER(SEARCH("Party Name-",'R.M Billets Reports'!D778)),TRIM(MID('R.M Billets Reports'!D778,SEARCH("-",'R.M Billets Reports'!D778)+1,200)),"")),IF(ISNUMBER(SEARCH("Party Name:-",'R.M Billets Reports'!D779)),TRIM('R.M Billets Reports'!F779),IF(ISNUMBER(SEARCH("Party Name-",'R.M Billets Reports'!D779)),TRIM(MID('R.M Billets Reports'!D779,SEARCH("-",'R.M Billets Reports'!D779)+1,200)),"")))="SHRI RADHE","SHREE RADHE",IF(IF(IF(ISNUMBER(SEARCH("Party Name:-",'R.M Billets Reports'!D778)),TRIM('R.M Billets Reports'!F778),IF(ISNUMBER(SEARCH("Party Name-",'R.M Billets Reports'!D778)),TRIM(MID('R.M Billets Reports'!D778,SEARCH("-",'R.M Billets Reports'!D778)+1,200)),""))&lt;&gt;"",IF(ISNUMBER(SEARCH("Party Name:-",'R.M Billets Reports'!D778)),TRIM('R.M Billets Reports'!F778),IF(ISNUMBER(SEARCH("Party Name-",'R.M Billets Reports'!D778)),TRIM(MID('R.M Billets Reports'!D778,SEARCH("-",'R.M Billets Reports'!D778)+1,200)),"")),IF(ISNUMBER(SEARCH("Party Name:-",'R.M Billets Reports'!D779)),TRIM('R.M Billets Reports'!F779),IF(ISNUMBER(SEARCH("Party Name-",'R.M Billets Reports'!D779)),TRIM(MID('R.M Billets Reports'!D779,SEARCH("-",'R.M Billets Reports'!D779)+1,200)),"")))="SHREE RADHE SHAKTI SPONGE AND POWER PVT. LTD.","SHREE RADHE",IF(IF(ISNUMBER(SEARCH("Party Name:-",'R.M Billets Reports'!D778)),TRIM('R.M Billets Reports'!F778),IF(ISNUMBER(SEARCH("Party Name-",'R.M Billets Reports'!D778)),TRIM(MID('R.M Billets Reports'!D778,SEARCH("-",'R.M Billets Reports'!D778)+1,200)),""))&lt;&gt;"",IF(ISNUMBER(SEARCH("Party Name:-",'R.M Billets Reports'!D778)),TRIM('R.M Billets Reports'!F778),IF(ISNUMBER(SEARCH("Party Name-",'R.M Billets Reports'!D778)),TRIM(MID('R.M Billets Reports'!D778,SEARCH("-",'R.M Billets Reports'!D778)+1,200)),"")),IF(ISNUMBER(SEARCH("Party Name:-",'R.M Billets Reports'!D779)),TRIM('R.M Billets Reports'!F779),IF(ISNUMBER(SEARCH("Party Name-",'R.M Billets Reports'!D779)),TRIM(MID('R.M Billets Reports'!D779,SEARCH("-",'R.M Billets Reports'!D779)+1,200)),"")))))),IF(ROW()=2,"",A778))</f>
      </c>
      <c r="B779">
        <f>IF(OR('R.M Billets Reports'!A778="Date-",'R.M Billets Reports'!A778="Date:-"),'R.M Billets Reports'!B778,IF(ROW()=2,"",B778))</f>
      </c>
      <c r="C779">
        <f>IF('R.M Billets Reports'!A778="V.No.",'R.M Billets Reports'!B778,IF(ROW()=2,"",C778))</f>
      </c>
      <c r="D779">
        <f>IF('R.M Billets Reports'!A778&lt;&gt;"",'R.M Billets Reports'!A778,IF(ROW()=2,"",D778))</f>
      </c>
      <c r="E779">
        <f>IF('R.M Billets Reports'!B778="","",TRIM('R.M Billets Reports'!B778))</f>
      </c>
      <c r="F779">
        <f>'R.M Billets Reports'!C778</f>
      </c>
      <c r="G779">
        <f>'R.M Billets Reports'!D778</f>
      </c>
      <c r="H779">
        <f>'R.M Billets Reports'!E778</f>
      </c>
      <c r="I779">
        <f>'R.M Billets Reports'!F778</f>
      </c>
      <c r="J779">
        <f>'R.M Billets Reports'!G778</f>
      </c>
      <c r="K779">
        <f>'R.M Billets Reports'!H778</f>
      </c>
      <c r="L779">
        <f>IF('R.M Billets Reports'!I778="","",'R.M Billets Reports'!I778)</f>
      </c>
      <c r="M779">
        <f t="shared" si="24"/>
      </c>
      <c r="N779">
        <f>IF('R.M Billets Reports'!J778="","",'R.M Billets Reports'!J778)</f>
      </c>
      <c r="O779">
        <f t="shared" si="25"/>
      </c>
      <c r="P779">
        <f>IF('R.M Billets Reports'!A778="SIZE",'R.M Billets Reports'!B778,P778)</f>
      </c>
    </row>
    <row r="780" spans="1:16" x14ac:dyDescent="0.25">
      <c r="A780">
        <f>IF(OR('R.M Billets Reports'!A779="Date-",'R.M Billets Reports'!A779="Date:-"),IF(IF(IF(ISNUMBER(SEARCH("Party Name:-",'R.M Billets Reports'!D779)),TRIM('R.M Billets Reports'!F779),IF(ISNUMBER(SEARCH("Party Name-",'R.M Billets Reports'!D779)),TRIM(MID('R.M Billets Reports'!D779,SEARCH("-",'R.M Billets Reports'!D779)+1,200)),""))&lt;&gt;"",IF(ISNUMBER(SEARCH("Party Name:-",'R.M Billets Reports'!D779)),TRIM('R.M Billets Reports'!F779),IF(ISNUMBER(SEARCH("Party Name-",'R.M Billets Reports'!D779)),TRIM(MID('R.M Billets Reports'!D779,SEARCH("-",'R.M Billets Reports'!D779)+1,200)),"")),IF(ISNUMBER(SEARCH("Party Name:-",'R.M Billets Reports'!D780)),TRIM('R.M Billets Reports'!F780),IF(ISNUMBER(SEARCH("Party Name-",'R.M Billets Reports'!D780)),TRIM(MID('R.M Billets Reports'!D780,SEARCH("-",'R.M Billets Reports'!D780)+1,200)),"")))="VRKP ISPAT PVT LTD","VRKP",IF(IF(IF(ISNUMBER(SEARCH("Party Name:-",'R.M Billets Reports'!D779)),TRIM('R.M Billets Reports'!F779),IF(ISNUMBER(SEARCH("Party Name-",'R.M Billets Reports'!D779)),TRIM(MID('R.M Billets Reports'!D779,SEARCH("-",'R.M Billets Reports'!D779)+1,200)),""))&lt;&gt;"",IF(ISNUMBER(SEARCH("Party Name:-",'R.M Billets Reports'!D779)),TRIM('R.M Billets Reports'!F779),IF(ISNUMBER(SEARCH("Party Name-",'R.M Billets Reports'!D779)),TRIM(MID('R.M Billets Reports'!D779,SEARCH("-",'R.M Billets Reports'!D779)+1,200)),"")),IF(ISNUMBER(SEARCH("Party Name:-",'R.M Billets Reports'!D780)),TRIM('R.M Billets Reports'!F780),IF(ISNUMBER(SEARCH("Party Name-",'R.M Billets Reports'!D780)),TRIM(MID('R.M Billets Reports'!D780,SEARCH("-",'R.M Billets Reports'!D780)+1,200)),"")))="SHRI RADHE","SHREE RADHE",IF(IF(IF(ISNUMBER(SEARCH("Party Name:-",'R.M Billets Reports'!D779)),TRIM('R.M Billets Reports'!F779),IF(ISNUMBER(SEARCH("Party Name-",'R.M Billets Reports'!D779)),TRIM(MID('R.M Billets Reports'!D779,SEARCH("-",'R.M Billets Reports'!D779)+1,200)),""))&lt;&gt;"",IF(ISNUMBER(SEARCH("Party Name:-",'R.M Billets Reports'!D779)),TRIM('R.M Billets Reports'!F779),IF(ISNUMBER(SEARCH("Party Name-",'R.M Billets Reports'!D779)),TRIM(MID('R.M Billets Reports'!D779,SEARCH("-",'R.M Billets Reports'!D779)+1,200)),"")),IF(ISNUMBER(SEARCH("Party Name:-",'R.M Billets Reports'!D780)),TRIM('R.M Billets Reports'!F780),IF(ISNUMBER(SEARCH("Party Name-",'R.M Billets Reports'!D780)),TRIM(MID('R.M Billets Reports'!D780,SEARCH("-",'R.M Billets Reports'!D780)+1,200)),"")))="SHREE RADHE SHAKTI SPONGE AND POWER PVT. LTD.","SHREE RADHE",IF(IF(ISNUMBER(SEARCH("Party Name:-",'R.M Billets Reports'!D779)),TRIM('R.M Billets Reports'!F779),IF(ISNUMBER(SEARCH("Party Name-",'R.M Billets Reports'!D779)),TRIM(MID('R.M Billets Reports'!D779,SEARCH("-",'R.M Billets Reports'!D779)+1,200)),""))&lt;&gt;"",IF(ISNUMBER(SEARCH("Party Name:-",'R.M Billets Reports'!D779)),TRIM('R.M Billets Reports'!F779),IF(ISNUMBER(SEARCH("Party Name-",'R.M Billets Reports'!D779)),TRIM(MID('R.M Billets Reports'!D779,SEARCH("-",'R.M Billets Reports'!D779)+1,200)),"")),IF(ISNUMBER(SEARCH("Party Name:-",'R.M Billets Reports'!D780)),TRIM('R.M Billets Reports'!F780),IF(ISNUMBER(SEARCH("Party Name-",'R.M Billets Reports'!D780)),TRIM(MID('R.M Billets Reports'!D780,SEARCH("-",'R.M Billets Reports'!D780)+1,200)),"")))))),IF(ROW()=2,"",A779))</f>
      </c>
      <c r="B780">
        <f>IF(OR('R.M Billets Reports'!A779="Date-",'R.M Billets Reports'!A779="Date:-"),'R.M Billets Reports'!B779,IF(ROW()=2,"",B779))</f>
      </c>
      <c r="C780">
        <f>IF('R.M Billets Reports'!A779="V.No.",'R.M Billets Reports'!B779,IF(ROW()=2,"",C779))</f>
      </c>
      <c r="D780">
        <f>IF('R.M Billets Reports'!A779&lt;&gt;"",'R.M Billets Reports'!A779,IF(ROW()=2,"",D779))</f>
      </c>
      <c r="E780">
        <f>IF('R.M Billets Reports'!B779="","",TRIM('R.M Billets Reports'!B779))</f>
      </c>
      <c r="F780">
        <f>'R.M Billets Reports'!C779</f>
      </c>
      <c r="G780">
        <f>'R.M Billets Reports'!D779</f>
      </c>
      <c r="H780">
        <f>'R.M Billets Reports'!E779</f>
      </c>
      <c r="I780">
        <f>'R.M Billets Reports'!F779</f>
      </c>
      <c r="J780">
        <f>'R.M Billets Reports'!G779</f>
      </c>
      <c r="K780">
        <f>'R.M Billets Reports'!H779</f>
      </c>
      <c r="L780">
        <f>IF('R.M Billets Reports'!I779="","",'R.M Billets Reports'!I779)</f>
      </c>
      <c r="M780">
        <f t="shared" si="24"/>
      </c>
      <c r="N780">
        <f>IF('R.M Billets Reports'!J779="","",'R.M Billets Reports'!J779)</f>
      </c>
      <c r="O780">
        <f t="shared" si="25"/>
      </c>
      <c r="P780">
        <f>IF('R.M Billets Reports'!A779="SIZE",'R.M Billets Reports'!B779,P779)</f>
      </c>
    </row>
    <row r="781" spans="1:16" x14ac:dyDescent="0.25">
      <c r="A781">
        <f>IF(OR('R.M Billets Reports'!A780="Date-",'R.M Billets Reports'!A780="Date:-"),IF(IF(IF(ISNUMBER(SEARCH("Party Name:-",'R.M Billets Reports'!D780)),TRIM('R.M Billets Reports'!F780),IF(ISNUMBER(SEARCH("Party Name-",'R.M Billets Reports'!D780)),TRIM(MID('R.M Billets Reports'!D780,SEARCH("-",'R.M Billets Reports'!D780)+1,200)),""))&lt;&gt;"",IF(ISNUMBER(SEARCH("Party Name:-",'R.M Billets Reports'!D780)),TRIM('R.M Billets Reports'!F780),IF(ISNUMBER(SEARCH("Party Name-",'R.M Billets Reports'!D780)),TRIM(MID('R.M Billets Reports'!D780,SEARCH("-",'R.M Billets Reports'!D780)+1,200)),"")),IF(ISNUMBER(SEARCH("Party Name:-",'R.M Billets Reports'!D781)),TRIM('R.M Billets Reports'!F781),IF(ISNUMBER(SEARCH("Party Name-",'R.M Billets Reports'!D781)),TRIM(MID('R.M Billets Reports'!D781,SEARCH("-",'R.M Billets Reports'!D781)+1,200)),"")))="VRKP ISPAT PVT LTD","VRKP",IF(IF(IF(ISNUMBER(SEARCH("Party Name:-",'R.M Billets Reports'!D780)),TRIM('R.M Billets Reports'!F780),IF(ISNUMBER(SEARCH("Party Name-",'R.M Billets Reports'!D780)),TRIM(MID('R.M Billets Reports'!D780,SEARCH("-",'R.M Billets Reports'!D780)+1,200)),""))&lt;&gt;"",IF(ISNUMBER(SEARCH("Party Name:-",'R.M Billets Reports'!D780)),TRIM('R.M Billets Reports'!F780),IF(ISNUMBER(SEARCH("Party Name-",'R.M Billets Reports'!D780)),TRIM(MID('R.M Billets Reports'!D780,SEARCH("-",'R.M Billets Reports'!D780)+1,200)),"")),IF(ISNUMBER(SEARCH("Party Name:-",'R.M Billets Reports'!D781)),TRIM('R.M Billets Reports'!F781),IF(ISNUMBER(SEARCH("Party Name-",'R.M Billets Reports'!D781)),TRIM(MID('R.M Billets Reports'!D781,SEARCH("-",'R.M Billets Reports'!D781)+1,200)),"")))="SHRI RADHE","SHREE RADHE",IF(IF(IF(ISNUMBER(SEARCH("Party Name:-",'R.M Billets Reports'!D780)),TRIM('R.M Billets Reports'!F780),IF(ISNUMBER(SEARCH("Party Name-",'R.M Billets Reports'!D780)),TRIM(MID('R.M Billets Reports'!D780,SEARCH("-",'R.M Billets Reports'!D780)+1,200)),""))&lt;&gt;"",IF(ISNUMBER(SEARCH("Party Name:-",'R.M Billets Reports'!D780)),TRIM('R.M Billets Reports'!F780),IF(ISNUMBER(SEARCH("Party Name-",'R.M Billets Reports'!D780)),TRIM(MID('R.M Billets Reports'!D780,SEARCH("-",'R.M Billets Reports'!D780)+1,200)),"")),IF(ISNUMBER(SEARCH("Party Name:-",'R.M Billets Reports'!D781)),TRIM('R.M Billets Reports'!F781),IF(ISNUMBER(SEARCH("Party Name-",'R.M Billets Reports'!D781)),TRIM(MID('R.M Billets Reports'!D781,SEARCH("-",'R.M Billets Reports'!D781)+1,200)),"")))="SHREE RADHE SHAKTI SPONGE AND POWER PVT. LTD.","SHREE RADHE",IF(IF(ISNUMBER(SEARCH("Party Name:-",'R.M Billets Reports'!D780)),TRIM('R.M Billets Reports'!F780),IF(ISNUMBER(SEARCH("Party Name-",'R.M Billets Reports'!D780)),TRIM(MID('R.M Billets Reports'!D780,SEARCH("-",'R.M Billets Reports'!D780)+1,200)),""))&lt;&gt;"",IF(ISNUMBER(SEARCH("Party Name:-",'R.M Billets Reports'!D780)),TRIM('R.M Billets Reports'!F780),IF(ISNUMBER(SEARCH("Party Name-",'R.M Billets Reports'!D780)),TRIM(MID('R.M Billets Reports'!D780,SEARCH("-",'R.M Billets Reports'!D780)+1,200)),"")),IF(ISNUMBER(SEARCH("Party Name:-",'R.M Billets Reports'!D781)),TRIM('R.M Billets Reports'!F781),IF(ISNUMBER(SEARCH("Party Name-",'R.M Billets Reports'!D781)),TRIM(MID('R.M Billets Reports'!D781,SEARCH("-",'R.M Billets Reports'!D781)+1,200)),"")))))),IF(ROW()=2,"",A780))</f>
      </c>
      <c r="B781">
        <f>IF(OR('R.M Billets Reports'!A780="Date-",'R.M Billets Reports'!A780="Date:-"),'R.M Billets Reports'!B780,IF(ROW()=2,"",B780))</f>
      </c>
      <c r="C781">
        <f>IF('R.M Billets Reports'!A780="V.No.",'R.M Billets Reports'!B780,IF(ROW()=2,"",C780))</f>
      </c>
      <c r="D781">
        <f>IF('R.M Billets Reports'!A780&lt;&gt;"",'R.M Billets Reports'!A780,IF(ROW()=2,"",D780))</f>
      </c>
      <c r="E781">
        <f>IF('R.M Billets Reports'!B780="","",TRIM('R.M Billets Reports'!B780))</f>
      </c>
      <c r="F781">
        <f>'R.M Billets Reports'!C780</f>
      </c>
      <c r="G781">
        <f>'R.M Billets Reports'!D780</f>
      </c>
      <c r="H781">
        <f>'R.M Billets Reports'!E780</f>
      </c>
      <c r="I781">
        <f>'R.M Billets Reports'!F780</f>
      </c>
      <c r="J781">
        <f>'R.M Billets Reports'!G780</f>
      </c>
      <c r="K781">
        <f>'R.M Billets Reports'!H780</f>
      </c>
      <c r="L781">
        <f>IF('R.M Billets Reports'!I780="","",'R.M Billets Reports'!I780)</f>
      </c>
      <c r="M781">
        <f t="shared" si="24"/>
      </c>
      <c r="N781">
        <f>IF('R.M Billets Reports'!J780="","",'R.M Billets Reports'!J780)</f>
      </c>
      <c r="O781">
        <f t="shared" si="25"/>
      </c>
      <c r="P781">
        <f>IF('R.M Billets Reports'!A780="SIZE",'R.M Billets Reports'!B780,P780)</f>
      </c>
    </row>
    <row r="782" spans="1:16" x14ac:dyDescent="0.25">
      <c r="A782">
        <f>IF(OR('R.M Billets Reports'!A781="Date-",'R.M Billets Reports'!A781="Date:-"),IF(IF(IF(ISNUMBER(SEARCH("Party Name:-",'R.M Billets Reports'!D781)),TRIM('R.M Billets Reports'!F781),IF(ISNUMBER(SEARCH("Party Name-",'R.M Billets Reports'!D781)),TRIM(MID('R.M Billets Reports'!D781,SEARCH("-",'R.M Billets Reports'!D781)+1,200)),""))&lt;&gt;"",IF(ISNUMBER(SEARCH("Party Name:-",'R.M Billets Reports'!D781)),TRIM('R.M Billets Reports'!F781),IF(ISNUMBER(SEARCH("Party Name-",'R.M Billets Reports'!D781)),TRIM(MID('R.M Billets Reports'!D781,SEARCH("-",'R.M Billets Reports'!D781)+1,200)),"")),IF(ISNUMBER(SEARCH("Party Name:-",'R.M Billets Reports'!D782)),TRIM('R.M Billets Reports'!F782),IF(ISNUMBER(SEARCH("Party Name-",'R.M Billets Reports'!D782)),TRIM(MID('R.M Billets Reports'!D782,SEARCH("-",'R.M Billets Reports'!D782)+1,200)),"")))="VRKP ISPAT PVT LTD","VRKP",IF(IF(IF(ISNUMBER(SEARCH("Party Name:-",'R.M Billets Reports'!D781)),TRIM('R.M Billets Reports'!F781),IF(ISNUMBER(SEARCH("Party Name-",'R.M Billets Reports'!D781)),TRIM(MID('R.M Billets Reports'!D781,SEARCH("-",'R.M Billets Reports'!D781)+1,200)),""))&lt;&gt;"",IF(ISNUMBER(SEARCH("Party Name:-",'R.M Billets Reports'!D781)),TRIM('R.M Billets Reports'!F781),IF(ISNUMBER(SEARCH("Party Name-",'R.M Billets Reports'!D781)),TRIM(MID('R.M Billets Reports'!D781,SEARCH("-",'R.M Billets Reports'!D781)+1,200)),"")),IF(ISNUMBER(SEARCH("Party Name:-",'R.M Billets Reports'!D782)),TRIM('R.M Billets Reports'!F782),IF(ISNUMBER(SEARCH("Party Name-",'R.M Billets Reports'!D782)),TRIM(MID('R.M Billets Reports'!D782,SEARCH("-",'R.M Billets Reports'!D782)+1,200)),"")))="SHRI RADHE","SHREE RADHE",IF(IF(IF(ISNUMBER(SEARCH("Party Name:-",'R.M Billets Reports'!D781)),TRIM('R.M Billets Reports'!F781),IF(ISNUMBER(SEARCH("Party Name-",'R.M Billets Reports'!D781)),TRIM(MID('R.M Billets Reports'!D781,SEARCH("-",'R.M Billets Reports'!D781)+1,200)),""))&lt;&gt;"",IF(ISNUMBER(SEARCH("Party Name:-",'R.M Billets Reports'!D781)),TRIM('R.M Billets Reports'!F781),IF(ISNUMBER(SEARCH("Party Name-",'R.M Billets Reports'!D781)),TRIM(MID('R.M Billets Reports'!D781,SEARCH("-",'R.M Billets Reports'!D781)+1,200)),"")),IF(ISNUMBER(SEARCH("Party Name:-",'R.M Billets Reports'!D782)),TRIM('R.M Billets Reports'!F782),IF(ISNUMBER(SEARCH("Party Name-",'R.M Billets Reports'!D782)),TRIM(MID('R.M Billets Reports'!D782,SEARCH("-",'R.M Billets Reports'!D782)+1,200)),"")))="SHREE RADHE SHAKTI SPONGE AND POWER PVT. LTD.","SHREE RADHE",IF(IF(ISNUMBER(SEARCH("Party Name:-",'R.M Billets Reports'!D781)),TRIM('R.M Billets Reports'!F781),IF(ISNUMBER(SEARCH("Party Name-",'R.M Billets Reports'!D781)),TRIM(MID('R.M Billets Reports'!D781,SEARCH("-",'R.M Billets Reports'!D781)+1,200)),""))&lt;&gt;"",IF(ISNUMBER(SEARCH("Party Name:-",'R.M Billets Reports'!D781)),TRIM('R.M Billets Reports'!F781),IF(ISNUMBER(SEARCH("Party Name-",'R.M Billets Reports'!D781)),TRIM(MID('R.M Billets Reports'!D781,SEARCH("-",'R.M Billets Reports'!D781)+1,200)),"")),IF(ISNUMBER(SEARCH("Party Name:-",'R.M Billets Reports'!D782)),TRIM('R.M Billets Reports'!F782),IF(ISNUMBER(SEARCH("Party Name-",'R.M Billets Reports'!D782)),TRIM(MID('R.M Billets Reports'!D782,SEARCH("-",'R.M Billets Reports'!D782)+1,200)),"")))))),IF(ROW()=2,"",A781))</f>
      </c>
      <c r="B782">
        <f>IF(OR('R.M Billets Reports'!A781="Date-",'R.M Billets Reports'!A781="Date:-"),'R.M Billets Reports'!B781,IF(ROW()=2,"",B781))</f>
      </c>
      <c r="C782">
        <f>IF('R.M Billets Reports'!A781="V.No.",'R.M Billets Reports'!B781,IF(ROW()=2,"",C781))</f>
      </c>
      <c r="D782">
        <f>IF('R.M Billets Reports'!A781&lt;&gt;"",'R.M Billets Reports'!A781,IF(ROW()=2,"",D781))</f>
      </c>
      <c r="E782">
        <f>IF('R.M Billets Reports'!B781="","",TRIM('R.M Billets Reports'!B781))</f>
      </c>
      <c r="F782">
        <f>'R.M Billets Reports'!C781</f>
      </c>
      <c r="G782">
        <f>'R.M Billets Reports'!D781</f>
      </c>
      <c r="H782">
        <f>'R.M Billets Reports'!E781</f>
      </c>
      <c r="I782">
        <f>'R.M Billets Reports'!F781</f>
      </c>
      <c r="J782">
        <f>'R.M Billets Reports'!G781</f>
      </c>
      <c r="K782">
        <f>'R.M Billets Reports'!H781</f>
      </c>
      <c r="L782">
        <f>IF('R.M Billets Reports'!I781="","",'R.M Billets Reports'!I781)</f>
      </c>
      <c r="M782">
        <f t="shared" si="24"/>
      </c>
      <c r="N782">
        <f>IF('R.M Billets Reports'!J781="","",'R.M Billets Reports'!J781)</f>
      </c>
      <c r="O782">
        <f t="shared" si="25"/>
      </c>
      <c r="P782">
        <f>IF('R.M Billets Reports'!A781="SIZE",'R.M Billets Reports'!B781,P781)</f>
      </c>
    </row>
    <row r="783" spans="1:16" x14ac:dyDescent="0.25">
      <c r="A783">
        <f>IF(OR('R.M Billets Reports'!A782="Date-",'R.M Billets Reports'!A782="Date:-"),IF(IF(IF(ISNUMBER(SEARCH("Party Name:-",'R.M Billets Reports'!D782)),TRIM('R.M Billets Reports'!F782),IF(ISNUMBER(SEARCH("Party Name-",'R.M Billets Reports'!D782)),TRIM(MID('R.M Billets Reports'!D782,SEARCH("-",'R.M Billets Reports'!D782)+1,200)),""))&lt;&gt;"",IF(ISNUMBER(SEARCH("Party Name:-",'R.M Billets Reports'!D782)),TRIM('R.M Billets Reports'!F782),IF(ISNUMBER(SEARCH("Party Name-",'R.M Billets Reports'!D782)),TRIM(MID('R.M Billets Reports'!D782,SEARCH("-",'R.M Billets Reports'!D782)+1,200)),"")),IF(ISNUMBER(SEARCH("Party Name:-",'R.M Billets Reports'!D783)),TRIM('R.M Billets Reports'!F783),IF(ISNUMBER(SEARCH("Party Name-",'R.M Billets Reports'!D783)),TRIM(MID('R.M Billets Reports'!D783,SEARCH("-",'R.M Billets Reports'!D783)+1,200)),"")))="VRKP ISPAT PVT LTD","VRKP",IF(IF(IF(ISNUMBER(SEARCH("Party Name:-",'R.M Billets Reports'!D782)),TRIM('R.M Billets Reports'!F782),IF(ISNUMBER(SEARCH("Party Name-",'R.M Billets Reports'!D782)),TRIM(MID('R.M Billets Reports'!D782,SEARCH("-",'R.M Billets Reports'!D782)+1,200)),""))&lt;&gt;"",IF(ISNUMBER(SEARCH("Party Name:-",'R.M Billets Reports'!D782)),TRIM('R.M Billets Reports'!F782),IF(ISNUMBER(SEARCH("Party Name-",'R.M Billets Reports'!D782)),TRIM(MID('R.M Billets Reports'!D782,SEARCH("-",'R.M Billets Reports'!D782)+1,200)),"")),IF(ISNUMBER(SEARCH("Party Name:-",'R.M Billets Reports'!D783)),TRIM('R.M Billets Reports'!F783),IF(ISNUMBER(SEARCH("Party Name-",'R.M Billets Reports'!D783)),TRIM(MID('R.M Billets Reports'!D783,SEARCH("-",'R.M Billets Reports'!D783)+1,200)),"")))="SHRI RADHE","SHREE RADHE",IF(IF(IF(ISNUMBER(SEARCH("Party Name:-",'R.M Billets Reports'!D782)),TRIM('R.M Billets Reports'!F782),IF(ISNUMBER(SEARCH("Party Name-",'R.M Billets Reports'!D782)),TRIM(MID('R.M Billets Reports'!D782,SEARCH("-",'R.M Billets Reports'!D782)+1,200)),""))&lt;&gt;"",IF(ISNUMBER(SEARCH("Party Name:-",'R.M Billets Reports'!D782)),TRIM('R.M Billets Reports'!F782),IF(ISNUMBER(SEARCH("Party Name-",'R.M Billets Reports'!D782)),TRIM(MID('R.M Billets Reports'!D782,SEARCH("-",'R.M Billets Reports'!D782)+1,200)),"")),IF(ISNUMBER(SEARCH("Party Name:-",'R.M Billets Reports'!D783)),TRIM('R.M Billets Reports'!F783),IF(ISNUMBER(SEARCH("Party Name-",'R.M Billets Reports'!D783)),TRIM(MID('R.M Billets Reports'!D783,SEARCH("-",'R.M Billets Reports'!D783)+1,200)),"")))="SHREE RADHE SHAKTI SPONGE AND POWER PVT. LTD.","SHREE RADHE",IF(IF(ISNUMBER(SEARCH("Party Name:-",'R.M Billets Reports'!D782)),TRIM('R.M Billets Reports'!F782),IF(ISNUMBER(SEARCH("Party Name-",'R.M Billets Reports'!D782)),TRIM(MID('R.M Billets Reports'!D782,SEARCH("-",'R.M Billets Reports'!D782)+1,200)),""))&lt;&gt;"",IF(ISNUMBER(SEARCH("Party Name:-",'R.M Billets Reports'!D782)),TRIM('R.M Billets Reports'!F782),IF(ISNUMBER(SEARCH("Party Name-",'R.M Billets Reports'!D782)),TRIM(MID('R.M Billets Reports'!D782,SEARCH("-",'R.M Billets Reports'!D782)+1,200)),"")),IF(ISNUMBER(SEARCH("Party Name:-",'R.M Billets Reports'!D783)),TRIM('R.M Billets Reports'!F783),IF(ISNUMBER(SEARCH("Party Name-",'R.M Billets Reports'!D783)),TRIM(MID('R.M Billets Reports'!D783,SEARCH("-",'R.M Billets Reports'!D783)+1,200)),"")))))),IF(ROW()=2,"",A782))</f>
      </c>
      <c r="B783">
        <f>IF(OR('R.M Billets Reports'!A782="Date-",'R.M Billets Reports'!A782="Date:-"),'R.M Billets Reports'!B782,IF(ROW()=2,"",B782))</f>
      </c>
      <c r="C783">
        <f>IF('R.M Billets Reports'!A782="V.No.",'R.M Billets Reports'!B782,IF(ROW()=2,"",C782))</f>
      </c>
      <c r="D783">
        <f>IF('R.M Billets Reports'!A782&lt;&gt;"",'R.M Billets Reports'!A782,IF(ROW()=2,"",D782))</f>
      </c>
      <c r="E783">
        <f>IF('R.M Billets Reports'!B782="","",TRIM('R.M Billets Reports'!B782))</f>
      </c>
      <c r="F783">
        <f>'R.M Billets Reports'!C782</f>
      </c>
      <c r="G783">
        <f>'R.M Billets Reports'!D782</f>
      </c>
      <c r="H783">
        <f>'R.M Billets Reports'!E782</f>
      </c>
      <c r="I783">
        <f>'R.M Billets Reports'!F782</f>
      </c>
      <c r="J783">
        <f>'R.M Billets Reports'!G782</f>
      </c>
      <c r="K783">
        <f>'R.M Billets Reports'!H782</f>
      </c>
      <c r="L783">
        <f>IF('R.M Billets Reports'!I782="","",'R.M Billets Reports'!I782)</f>
      </c>
      <c r="M783">
        <f t="shared" si="24"/>
      </c>
      <c r="N783">
        <f>IF('R.M Billets Reports'!J782="","",'R.M Billets Reports'!J782)</f>
      </c>
      <c r="O783">
        <f t="shared" si="25"/>
      </c>
      <c r="P783">
        <f>IF('R.M Billets Reports'!A782="SIZE",'R.M Billets Reports'!B782,P782)</f>
      </c>
    </row>
    <row r="784" spans="1:16" x14ac:dyDescent="0.25">
      <c r="A784">
        <f>IF(OR('R.M Billets Reports'!A783="Date-",'R.M Billets Reports'!A783="Date:-"),IF(IF(IF(ISNUMBER(SEARCH("Party Name:-",'R.M Billets Reports'!D783)),TRIM('R.M Billets Reports'!F783),IF(ISNUMBER(SEARCH("Party Name-",'R.M Billets Reports'!D783)),TRIM(MID('R.M Billets Reports'!D783,SEARCH("-",'R.M Billets Reports'!D783)+1,200)),""))&lt;&gt;"",IF(ISNUMBER(SEARCH("Party Name:-",'R.M Billets Reports'!D783)),TRIM('R.M Billets Reports'!F783),IF(ISNUMBER(SEARCH("Party Name-",'R.M Billets Reports'!D783)),TRIM(MID('R.M Billets Reports'!D783,SEARCH("-",'R.M Billets Reports'!D783)+1,200)),"")),IF(ISNUMBER(SEARCH("Party Name:-",'R.M Billets Reports'!D784)),TRIM('R.M Billets Reports'!F784),IF(ISNUMBER(SEARCH("Party Name-",'R.M Billets Reports'!D784)),TRIM(MID('R.M Billets Reports'!D784,SEARCH("-",'R.M Billets Reports'!D784)+1,200)),"")))="VRKP ISPAT PVT LTD","VRKP",IF(IF(IF(ISNUMBER(SEARCH("Party Name:-",'R.M Billets Reports'!D783)),TRIM('R.M Billets Reports'!F783),IF(ISNUMBER(SEARCH("Party Name-",'R.M Billets Reports'!D783)),TRIM(MID('R.M Billets Reports'!D783,SEARCH("-",'R.M Billets Reports'!D783)+1,200)),""))&lt;&gt;"",IF(ISNUMBER(SEARCH("Party Name:-",'R.M Billets Reports'!D783)),TRIM('R.M Billets Reports'!F783),IF(ISNUMBER(SEARCH("Party Name-",'R.M Billets Reports'!D783)),TRIM(MID('R.M Billets Reports'!D783,SEARCH("-",'R.M Billets Reports'!D783)+1,200)),"")),IF(ISNUMBER(SEARCH("Party Name:-",'R.M Billets Reports'!D784)),TRIM('R.M Billets Reports'!F784),IF(ISNUMBER(SEARCH("Party Name-",'R.M Billets Reports'!D784)),TRIM(MID('R.M Billets Reports'!D784,SEARCH("-",'R.M Billets Reports'!D784)+1,200)),"")))="SHRI RADHE","SHREE RADHE",IF(IF(IF(ISNUMBER(SEARCH("Party Name:-",'R.M Billets Reports'!D783)),TRIM('R.M Billets Reports'!F783),IF(ISNUMBER(SEARCH("Party Name-",'R.M Billets Reports'!D783)),TRIM(MID('R.M Billets Reports'!D783,SEARCH("-",'R.M Billets Reports'!D783)+1,200)),""))&lt;&gt;"",IF(ISNUMBER(SEARCH("Party Name:-",'R.M Billets Reports'!D783)),TRIM('R.M Billets Reports'!F783),IF(ISNUMBER(SEARCH("Party Name-",'R.M Billets Reports'!D783)),TRIM(MID('R.M Billets Reports'!D783,SEARCH("-",'R.M Billets Reports'!D783)+1,200)),"")),IF(ISNUMBER(SEARCH("Party Name:-",'R.M Billets Reports'!D784)),TRIM('R.M Billets Reports'!F784),IF(ISNUMBER(SEARCH("Party Name-",'R.M Billets Reports'!D784)),TRIM(MID('R.M Billets Reports'!D784,SEARCH("-",'R.M Billets Reports'!D784)+1,200)),"")))="SHREE RADHE SHAKTI SPONGE AND POWER PVT. LTD.","SHREE RADHE",IF(IF(ISNUMBER(SEARCH("Party Name:-",'R.M Billets Reports'!D783)),TRIM('R.M Billets Reports'!F783),IF(ISNUMBER(SEARCH("Party Name-",'R.M Billets Reports'!D783)),TRIM(MID('R.M Billets Reports'!D783,SEARCH("-",'R.M Billets Reports'!D783)+1,200)),""))&lt;&gt;"",IF(ISNUMBER(SEARCH("Party Name:-",'R.M Billets Reports'!D783)),TRIM('R.M Billets Reports'!F783),IF(ISNUMBER(SEARCH("Party Name-",'R.M Billets Reports'!D783)),TRIM(MID('R.M Billets Reports'!D783,SEARCH("-",'R.M Billets Reports'!D783)+1,200)),"")),IF(ISNUMBER(SEARCH("Party Name:-",'R.M Billets Reports'!D784)),TRIM('R.M Billets Reports'!F784),IF(ISNUMBER(SEARCH("Party Name-",'R.M Billets Reports'!D784)),TRIM(MID('R.M Billets Reports'!D784,SEARCH("-",'R.M Billets Reports'!D784)+1,200)),"")))))),IF(ROW()=2,"",A783))</f>
      </c>
      <c r="B784">
        <f>IF(OR('R.M Billets Reports'!A783="Date-",'R.M Billets Reports'!A783="Date:-"),'R.M Billets Reports'!B783,IF(ROW()=2,"",B783))</f>
      </c>
      <c r="C784">
        <f>IF('R.M Billets Reports'!A783="V.No.",'R.M Billets Reports'!B783,IF(ROW()=2,"",C783))</f>
      </c>
      <c r="D784">
        <f>IF('R.M Billets Reports'!A783&lt;&gt;"",'R.M Billets Reports'!A783,IF(ROW()=2,"",D783))</f>
      </c>
      <c r="E784">
        <f>IF('R.M Billets Reports'!B783="","",TRIM('R.M Billets Reports'!B783))</f>
      </c>
      <c r="F784">
        <f>'R.M Billets Reports'!C783</f>
      </c>
      <c r="G784">
        <f>'R.M Billets Reports'!D783</f>
      </c>
      <c r="H784">
        <f>'R.M Billets Reports'!E783</f>
      </c>
      <c r="I784">
        <f>'R.M Billets Reports'!F783</f>
      </c>
      <c r="J784">
        <f>'R.M Billets Reports'!G783</f>
      </c>
      <c r="K784">
        <f>'R.M Billets Reports'!H783</f>
      </c>
      <c r="L784">
        <f>IF('R.M Billets Reports'!I783="","",'R.M Billets Reports'!I783)</f>
      </c>
      <c r="M784">
        <f t="shared" si="24"/>
      </c>
      <c r="N784">
        <f>IF('R.M Billets Reports'!J783="","",'R.M Billets Reports'!J783)</f>
      </c>
      <c r="O784">
        <f t="shared" si="25"/>
      </c>
      <c r="P784">
        <f>IF('R.M Billets Reports'!A783="SIZE",'R.M Billets Reports'!B783,P783)</f>
      </c>
    </row>
    <row r="785" spans="1:16" x14ac:dyDescent="0.25">
      <c r="A785">
        <f>IF(OR('R.M Billets Reports'!A784="Date-",'R.M Billets Reports'!A784="Date:-"),IF(IF(IF(ISNUMBER(SEARCH("Party Name:-",'R.M Billets Reports'!D784)),TRIM('R.M Billets Reports'!F784),IF(ISNUMBER(SEARCH("Party Name-",'R.M Billets Reports'!D784)),TRIM(MID('R.M Billets Reports'!D784,SEARCH("-",'R.M Billets Reports'!D784)+1,200)),""))&lt;&gt;"",IF(ISNUMBER(SEARCH("Party Name:-",'R.M Billets Reports'!D784)),TRIM('R.M Billets Reports'!F784),IF(ISNUMBER(SEARCH("Party Name-",'R.M Billets Reports'!D784)),TRIM(MID('R.M Billets Reports'!D784,SEARCH("-",'R.M Billets Reports'!D784)+1,200)),"")),IF(ISNUMBER(SEARCH("Party Name:-",'R.M Billets Reports'!D785)),TRIM('R.M Billets Reports'!F785),IF(ISNUMBER(SEARCH("Party Name-",'R.M Billets Reports'!D785)),TRIM(MID('R.M Billets Reports'!D785,SEARCH("-",'R.M Billets Reports'!D785)+1,200)),"")))="VRKP ISPAT PVT LTD","VRKP",IF(IF(IF(ISNUMBER(SEARCH("Party Name:-",'R.M Billets Reports'!D784)),TRIM('R.M Billets Reports'!F784),IF(ISNUMBER(SEARCH("Party Name-",'R.M Billets Reports'!D784)),TRIM(MID('R.M Billets Reports'!D784,SEARCH("-",'R.M Billets Reports'!D784)+1,200)),""))&lt;&gt;"",IF(ISNUMBER(SEARCH("Party Name:-",'R.M Billets Reports'!D784)),TRIM('R.M Billets Reports'!F784),IF(ISNUMBER(SEARCH("Party Name-",'R.M Billets Reports'!D784)),TRIM(MID('R.M Billets Reports'!D784,SEARCH("-",'R.M Billets Reports'!D784)+1,200)),"")),IF(ISNUMBER(SEARCH("Party Name:-",'R.M Billets Reports'!D785)),TRIM('R.M Billets Reports'!F785),IF(ISNUMBER(SEARCH("Party Name-",'R.M Billets Reports'!D785)),TRIM(MID('R.M Billets Reports'!D785,SEARCH("-",'R.M Billets Reports'!D785)+1,200)),"")))="SHRI RADHE","SHREE RADHE",IF(IF(IF(ISNUMBER(SEARCH("Party Name:-",'R.M Billets Reports'!D784)),TRIM('R.M Billets Reports'!F784),IF(ISNUMBER(SEARCH("Party Name-",'R.M Billets Reports'!D784)),TRIM(MID('R.M Billets Reports'!D784,SEARCH("-",'R.M Billets Reports'!D784)+1,200)),""))&lt;&gt;"",IF(ISNUMBER(SEARCH("Party Name:-",'R.M Billets Reports'!D784)),TRIM('R.M Billets Reports'!F784),IF(ISNUMBER(SEARCH("Party Name-",'R.M Billets Reports'!D784)),TRIM(MID('R.M Billets Reports'!D784,SEARCH("-",'R.M Billets Reports'!D784)+1,200)),"")),IF(ISNUMBER(SEARCH("Party Name:-",'R.M Billets Reports'!D785)),TRIM('R.M Billets Reports'!F785),IF(ISNUMBER(SEARCH("Party Name-",'R.M Billets Reports'!D785)),TRIM(MID('R.M Billets Reports'!D785,SEARCH("-",'R.M Billets Reports'!D785)+1,200)),"")))="SHREE RADHE SHAKTI SPONGE AND POWER PVT. LTD.","SHREE RADHE",IF(IF(ISNUMBER(SEARCH("Party Name:-",'R.M Billets Reports'!D784)),TRIM('R.M Billets Reports'!F784),IF(ISNUMBER(SEARCH("Party Name-",'R.M Billets Reports'!D784)),TRIM(MID('R.M Billets Reports'!D784,SEARCH("-",'R.M Billets Reports'!D784)+1,200)),""))&lt;&gt;"",IF(ISNUMBER(SEARCH("Party Name:-",'R.M Billets Reports'!D784)),TRIM('R.M Billets Reports'!F784),IF(ISNUMBER(SEARCH("Party Name-",'R.M Billets Reports'!D784)),TRIM(MID('R.M Billets Reports'!D784,SEARCH("-",'R.M Billets Reports'!D784)+1,200)),"")),IF(ISNUMBER(SEARCH("Party Name:-",'R.M Billets Reports'!D785)),TRIM('R.M Billets Reports'!F785),IF(ISNUMBER(SEARCH("Party Name-",'R.M Billets Reports'!D785)),TRIM(MID('R.M Billets Reports'!D785,SEARCH("-",'R.M Billets Reports'!D785)+1,200)),"")))))),IF(ROW()=2,"",A784))</f>
      </c>
      <c r="B785">
        <f>IF(OR('R.M Billets Reports'!A784="Date-",'R.M Billets Reports'!A784="Date:-"),'R.M Billets Reports'!B784,IF(ROW()=2,"",B784))</f>
      </c>
      <c r="C785">
        <f>IF('R.M Billets Reports'!A784="V.No.",'R.M Billets Reports'!B784,IF(ROW()=2,"",C784))</f>
      </c>
      <c r="D785">
        <f>IF('R.M Billets Reports'!A784&lt;&gt;"",'R.M Billets Reports'!A784,IF(ROW()=2,"",D784))</f>
      </c>
      <c r="E785">
        <f>IF('R.M Billets Reports'!B784="","",TRIM('R.M Billets Reports'!B784))</f>
      </c>
      <c r="F785">
        <f>'R.M Billets Reports'!C784</f>
      </c>
      <c r="G785">
        <f>'R.M Billets Reports'!D784</f>
      </c>
      <c r="H785">
        <f>'R.M Billets Reports'!E784</f>
      </c>
      <c r="I785">
        <f>'R.M Billets Reports'!F784</f>
      </c>
      <c r="J785">
        <f>'R.M Billets Reports'!G784</f>
      </c>
      <c r="K785">
        <f>'R.M Billets Reports'!H784</f>
      </c>
      <c r="L785">
        <f>IF('R.M Billets Reports'!I784="","",'R.M Billets Reports'!I784)</f>
      </c>
      <c r="M785">
        <f t="shared" si="24"/>
      </c>
      <c r="N785">
        <f>IF('R.M Billets Reports'!J784="","",'R.M Billets Reports'!J784)</f>
      </c>
      <c r="O785">
        <f t="shared" si="25"/>
      </c>
      <c r="P785">
        <f>IF('R.M Billets Reports'!A784="SIZE",'R.M Billets Reports'!B784,P784)</f>
      </c>
    </row>
    <row r="786" spans="1:16" x14ac:dyDescent="0.25">
      <c r="A786">
        <f>IF(OR('R.M Billets Reports'!A785="Date-",'R.M Billets Reports'!A785="Date:-"),IF(IF(IF(ISNUMBER(SEARCH("Party Name:-",'R.M Billets Reports'!D785)),TRIM('R.M Billets Reports'!F785),IF(ISNUMBER(SEARCH("Party Name-",'R.M Billets Reports'!D785)),TRIM(MID('R.M Billets Reports'!D785,SEARCH("-",'R.M Billets Reports'!D785)+1,200)),""))&lt;&gt;"",IF(ISNUMBER(SEARCH("Party Name:-",'R.M Billets Reports'!D785)),TRIM('R.M Billets Reports'!F785),IF(ISNUMBER(SEARCH("Party Name-",'R.M Billets Reports'!D785)),TRIM(MID('R.M Billets Reports'!D785,SEARCH("-",'R.M Billets Reports'!D785)+1,200)),"")),IF(ISNUMBER(SEARCH("Party Name:-",'R.M Billets Reports'!D786)),TRIM('R.M Billets Reports'!F786),IF(ISNUMBER(SEARCH("Party Name-",'R.M Billets Reports'!D786)),TRIM(MID('R.M Billets Reports'!D786,SEARCH("-",'R.M Billets Reports'!D786)+1,200)),"")))="VRKP ISPAT PVT LTD","VRKP",IF(IF(IF(ISNUMBER(SEARCH("Party Name:-",'R.M Billets Reports'!D785)),TRIM('R.M Billets Reports'!F785),IF(ISNUMBER(SEARCH("Party Name-",'R.M Billets Reports'!D785)),TRIM(MID('R.M Billets Reports'!D785,SEARCH("-",'R.M Billets Reports'!D785)+1,200)),""))&lt;&gt;"",IF(ISNUMBER(SEARCH("Party Name:-",'R.M Billets Reports'!D785)),TRIM('R.M Billets Reports'!F785),IF(ISNUMBER(SEARCH("Party Name-",'R.M Billets Reports'!D785)),TRIM(MID('R.M Billets Reports'!D785,SEARCH("-",'R.M Billets Reports'!D785)+1,200)),"")),IF(ISNUMBER(SEARCH("Party Name:-",'R.M Billets Reports'!D786)),TRIM('R.M Billets Reports'!F786),IF(ISNUMBER(SEARCH("Party Name-",'R.M Billets Reports'!D786)),TRIM(MID('R.M Billets Reports'!D786,SEARCH("-",'R.M Billets Reports'!D786)+1,200)),"")))="SHRI RADHE","SHREE RADHE",IF(IF(IF(ISNUMBER(SEARCH("Party Name:-",'R.M Billets Reports'!D785)),TRIM('R.M Billets Reports'!F785),IF(ISNUMBER(SEARCH("Party Name-",'R.M Billets Reports'!D785)),TRIM(MID('R.M Billets Reports'!D785,SEARCH("-",'R.M Billets Reports'!D785)+1,200)),""))&lt;&gt;"",IF(ISNUMBER(SEARCH("Party Name:-",'R.M Billets Reports'!D785)),TRIM('R.M Billets Reports'!F785),IF(ISNUMBER(SEARCH("Party Name-",'R.M Billets Reports'!D785)),TRIM(MID('R.M Billets Reports'!D785,SEARCH("-",'R.M Billets Reports'!D785)+1,200)),"")),IF(ISNUMBER(SEARCH("Party Name:-",'R.M Billets Reports'!D786)),TRIM('R.M Billets Reports'!F786),IF(ISNUMBER(SEARCH("Party Name-",'R.M Billets Reports'!D786)),TRIM(MID('R.M Billets Reports'!D786,SEARCH("-",'R.M Billets Reports'!D786)+1,200)),"")))="SHREE RADHE SHAKTI SPONGE AND POWER PVT. LTD.","SHREE RADHE",IF(IF(ISNUMBER(SEARCH("Party Name:-",'R.M Billets Reports'!D785)),TRIM('R.M Billets Reports'!F785),IF(ISNUMBER(SEARCH("Party Name-",'R.M Billets Reports'!D785)),TRIM(MID('R.M Billets Reports'!D785,SEARCH("-",'R.M Billets Reports'!D785)+1,200)),""))&lt;&gt;"",IF(ISNUMBER(SEARCH("Party Name:-",'R.M Billets Reports'!D785)),TRIM('R.M Billets Reports'!F785),IF(ISNUMBER(SEARCH("Party Name-",'R.M Billets Reports'!D785)),TRIM(MID('R.M Billets Reports'!D785,SEARCH("-",'R.M Billets Reports'!D785)+1,200)),"")),IF(ISNUMBER(SEARCH("Party Name:-",'R.M Billets Reports'!D786)),TRIM('R.M Billets Reports'!F786),IF(ISNUMBER(SEARCH("Party Name-",'R.M Billets Reports'!D786)),TRIM(MID('R.M Billets Reports'!D786,SEARCH("-",'R.M Billets Reports'!D786)+1,200)),"")))))),IF(ROW()=2,"",A785))</f>
      </c>
      <c r="B786">
        <f>IF(OR('R.M Billets Reports'!A785="Date-",'R.M Billets Reports'!A785="Date:-"),'R.M Billets Reports'!B785,IF(ROW()=2,"",B785))</f>
      </c>
      <c r="C786">
        <f>IF('R.M Billets Reports'!A785="V.No.",'R.M Billets Reports'!B785,IF(ROW()=2,"",C785))</f>
      </c>
      <c r="D786">
        <f>IF('R.M Billets Reports'!A785&lt;&gt;"",'R.M Billets Reports'!A785,IF(ROW()=2,"",D785))</f>
      </c>
      <c r="E786">
        <f>IF('R.M Billets Reports'!B785="","",TRIM('R.M Billets Reports'!B785))</f>
      </c>
      <c r="F786">
        <f>'R.M Billets Reports'!C785</f>
      </c>
      <c r="G786">
        <f>'R.M Billets Reports'!D785</f>
      </c>
      <c r="H786">
        <f>'R.M Billets Reports'!E785</f>
      </c>
      <c r="I786">
        <f>'R.M Billets Reports'!F785</f>
      </c>
      <c r="J786">
        <f>'R.M Billets Reports'!G785</f>
      </c>
      <c r="K786">
        <f>'R.M Billets Reports'!H785</f>
      </c>
      <c r="L786">
        <f>IF('R.M Billets Reports'!I785="","",'R.M Billets Reports'!I785)</f>
      </c>
      <c r="M786">
        <f t="shared" si="24"/>
      </c>
      <c r="N786">
        <f>IF('R.M Billets Reports'!J785="","",'R.M Billets Reports'!J785)</f>
      </c>
      <c r="O786">
        <f t="shared" si="25"/>
      </c>
      <c r="P786">
        <f>IF('R.M Billets Reports'!A785="SIZE",'R.M Billets Reports'!B785,P785)</f>
      </c>
    </row>
    <row r="787" spans="1:16" x14ac:dyDescent="0.25">
      <c r="A787">
        <f>IF(OR('R.M Billets Reports'!A786="Date-",'R.M Billets Reports'!A786="Date:-"),IF(IF(IF(ISNUMBER(SEARCH("Party Name:-",'R.M Billets Reports'!D786)),TRIM('R.M Billets Reports'!F786),IF(ISNUMBER(SEARCH("Party Name-",'R.M Billets Reports'!D786)),TRIM(MID('R.M Billets Reports'!D786,SEARCH("-",'R.M Billets Reports'!D786)+1,200)),""))&lt;&gt;"",IF(ISNUMBER(SEARCH("Party Name:-",'R.M Billets Reports'!D786)),TRIM('R.M Billets Reports'!F786),IF(ISNUMBER(SEARCH("Party Name-",'R.M Billets Reports'!D786)),TRIM(MID('R.M Billets Reports'!D786,SEARCH("-",'R.M Billets Reports'!D786)+1,200)),"")),IF(ISNUMBER(SEARCH("Party Name:-",'R.M Billets Reports'!D787)),TRIM('R.M Billets Reports'!F787),IF(ISNUMBER(SEARCH("Party Name-",'R.M Billets Reports'!D787)),TRIM(MID('R.M Billets Reports'!D787,SEARCH("-",'R.M Billets Reports'!D787)+1,200)),"")))="VRKP ISPAT PVT LTD","VRKP",IF(IF(IF(ISNUMBER(SEARCH("Party Name:-",'R.M Billets Reports'!D786)),TRIM('R.M Billets Reports'!F786),IF(ISNUMBER(SEARCH("Party Name-",'R.M Billets Reports'!D786)),TRIM(MID('R.M Billets Reports'!D786,SEARCH("-",'R.M Billets Reports'!D786)+1,200)),""))&lt;&gt;"",IF(ISNUMBER(SEARCH("Party Name:-",'R.M Billets Reports'!D786)),TRIM('R.M Billets Reports'!F786),IF(ISNUMBER(SEARCH("Party Name-",'R.M Billets Reports'!D786)),TRIM(MID('R.M Billets Reports'!D786,SEARCH("-",'R.M Billets Reports'!D786)+1,200)),"")),IF(ISNUMBER(SEARCH("Party Name:-",'R.M Billets Reports'!D787)),TRIM('R.M Billets Reports'!F787),IF(ISNUMBER(SEARCH("Party Name-",'R.M Billets Reports'!D787)),TRIM(MID('R.M Billets Reports'!D787,SEARCH("-",'R.M Billets Reports'!D787)+1,200)),"")))="SHRI RADHE","SHREE RADHE",IF(IF(IF(ISNUMBER(SEARCH("Party Name:-",'R.M Billets Reports'!D786)),TRIM('R.M Billets Reports'!F786),IF(ISNUMBER(SEARCH("Party Name-",'R.M Billets Reports'!D786)),TRIM(MID('R.M Billets Reports'!D786,SEARCH("-",'R.M Billets Reports'!D786)+1,200)),""))&lt;&gt;"",IF(ISNUMBER(SEARCH("Party Name:-",'R.M Billets Reports'!D786)),TRIM('R.M Billets Reports'!F786),IF(ISNUMBER(SEARCH("Party Name-",'R.M Billets Reports'!D786)),TRIM(MID('R.M Billets Reports'!D786,SEARCH("-",'R.M Billets Reports'!D786)+1,200)),"")),IF(ISNUMBER(SEARCH("Party Name:-",'R.M Billets Reports'!D787)),TRIM('R.M Billets Reports'!F787),IF(ISNUMBER(SEARCH("Party Name-",'R.M Billets Reports'!D787)),TRIM(MID('R.M Billets Reports'!D787,SEARCH("-",'R.M Billets Reports'!D787)+1,200)),"")))="SHREE RADHE SHAKTI SPONGE AND POWER PVT. LTD.","SHREE RADHE",IF(IF(ISNUMBER(SEARCH("Party Name:-",'R.M Billets Reports'!D786)),TRIM('R.M Billets Reports'!F786),IF(ISNUMBER(SEARCH("Party Name-",'R.M Billets Reports'!D786)),TRIM(MID('R.M Billets Reports'!D786,SEARCH("-",'R.M Billets Reports'!D786)+1,200)),""))&lt;&gt;"",IF(ISNUMBER(SEARCH("Party Name:-",'R.M Billets Reports'!D786)),TRIM('R.M Billets Reports'!F786),IF(ISNUMBER(SEARCH("Party Name-",'R.M Billets Reports'!D786)),TRIM(MID('R.M Billets Reports'!D786,SEARCH("-",'R.M Billets Reports'!D786)+1,200)),"")),IF(ISNUMBER(SEARCH("Party Name:-",'R.M Billets Reports'!D787)),TRIM('R.M Billets Reports'!F787),IF(ISNUMBER(SEARCH("Party Name-",'R.M Billets Reports'!D787)),TRIM(MID('R.M Billets Reports'!D787,SEARCH("-",'R.M Billets Reports'!D787)+1,200)),"")))))),IF(ROW()=2,"",A786))</f>
      </c>
      <c r="B787">
        <f>IF(OR('R.M Billets Reports'!A786="Date-",'R.M Billets Reports'!A786="Date:-"),'R.M Billets Reports'!B786,IF(ROW()=2,"",B786))</f>
      </c>
      <c r="C787">
        <f>IF('R.M Billets Reports'!A786="V.No.",'R.M Billets Reports'!B786,IF(ROW()=2,"",C786))</f>
      </c>
      <c r="D787">
        <f>IF('R.M Billets Reports'!A786&lt;&gt;"",'R.M Billets Reports'!A786,IF(ROW()=2,"",D786))</f>
      </c>
      <c r="E787">
        <f>IF('R.M Billets Reports'!B786="","",TRIM('R.M Billets Reports'!B786))</f>
      </c>
      <c r="F787">
        <f>'R.M Billets Reports'!C786</f>
      </c>
      <c r="G787">
        <f>'R.M Billets Reports'!D786</f>
      </c>
      <c r="H787">
        <f>'R.M Billets Reports'!E786</f>
      </c>
      <c r="I787">
        <f>'R.M Billets Reports'!F786</f>
      </c>
      <c r="J787">
        <f>'R.M Billets Reports'!G786</f>
      </c>
      <c r="K787">
        <f>'R.M Billets Reports'!H786</f>
      </c>
      <c r="L787">
        <f>IF('R.M Billets Reports'!I786="","",'R.M Billets Reports'!I786)</f>
      </c>
      <c r="M787">
        <f t="shared" si="24"/>
      </c>
      <c r="N787">
        <f>IF('R.M Billets Reports'!J786="","",'R.M Billets Reports'!J786)</f>
      </c>
      <c r="O787">
        <f t="shared" si="25"/>
      </c>
      <c r="P787">
        <f>IF('R.M Billets Reports'!A786="SIZE",'R.M Billets Reports'!B786,P786)</f>
      </c>
    </row>
    <row r="788" spans="1:16" x14ac:dyDescent="0.25">
      <c r="A788">
        <f>IF(OR('R.M Billets Reports'!A787="Date-",'R.M Billets Reports'!A787="Date:-"),IF(IF(IF(ISNUMBER(SEARCH("Party Name:-",'R.M Billets Reports'!D787)),TRIM('R.M Billets Reports'!F787),IF(ISNUMBER(SEARCH("Party Name-",'R.M Billets Reports'!D787)),TRIM(MID('R.M Billets Reports'!D787,SEARCH("-",'R.M Billets Reports'!D787)+1,200)),""))&lt;&gt;"",IF(ISNUMBER(SEARCH("Party Name:-",'R.M Billets Reports'!D787)),TRIM('R.M Billets Reports'!F787),IF(ISNUMBER(SEARCH("Party Name-",'R.M Billets Reports'!D787)),TRIM(MID('R.M Billets Reports'!D787,SEARCH("-",'R.M Billets Reports'!D787)+1,200)),"")),IF(ISNUMBER(SEARCH("Party Name:-",'R.M Billets Reports'!D788)),TRIM('R.M Billets Reports'!F788),IF(ISNUMBER(SEARCH("Party Name-",'R.M Billets Reports'!D788)),TRIM(MID('R.M Billets Reports'!D788,SEARCH("-",'R.M Billets Reports'!D788)+1,200)),"")))="VRKP ISPAT PVT LTD","VRKP",IF(IF(IF(ISNUMBER(SEARCH("Party Name:-",'R.M Billets Reports'!D787)),TRIM('R.M Billets Reports'!F787),IF(ISNUMBER(SEARCH("Party Name-",'R.M Billets Reports'!D787)),TRIM(MID('R.M Billets Reports'!D787,SEARCH("-",'R.M Billets Reports'!D787)+1,200)),""))&lt;&gt;"",IF(ISNUMBER(SEARCH("Party Name:-",'R.M Billets Reports'!D787)),TRIM('R.M Billets Reports'!F787),IF(ISNUMBER(SEARCH("Party Name-",'R.M Billets Reports'!D787)),TRIM(MID('R.M Billets Reports'!D787,SEARCH("-",'R.M Billets Reports'!D787)+1,200)),"")),IF(ISNUMBER(SEARCH("Party Name:-",'R.M Billets Reports'!D788)),TRIM('R.M Billets Reports'!F788),IF(ISNUMBER(SEARCH("Party Name-",'R.M Billets Reports'!D788)),TRIM(MID('R.M Billets Reports'!D788,SEARCH("-",'R.M Billets Reports'!D788)+1,200)),"")))="SHRI RADHE","SHREE RADHE",IF(IF(IF(ISNUMBER(SEARCH("Party Name:-",'R.M Billets Reports'!D787)),TRIM('R.M Billets Reports'!F787),IF(ISNUMBER(SEARCH("Party Name-",'R.M Billets Reports'!D787)),TRIM(MID('R.M Billets Reports'!D787,SEARCH("-",'R.M Billets Reports'!D787)+1,200)),""))&lt;&gt;"",IF(ISNUMBER(SEARCH("Party Name:-",'R.M Billets Reports'!D787)),TRIM('R.M Billets Reports'!F787),IF(ISNUMBER(SEARCH("Party Name-",'R.M Billets Reports'!D787)),TRIM(MID('R.M Billets Reports'!D787,SEARCH("-",'R.M Billets Reports'!D787)+1,200)),"")),IF(ISNUMBER(SEARCH("Party Name:-",'R.M Billets Reports'!D788)),TRIM('R.M Billets Reports'!F788),IF(ISNUMBER(SEARCH("Party Name-",'R.M Billets Reports'!D788)),TRIM(MID('R.M Billets Reports'!D788,SEARCH("-",'R.M Billets Reports'!D788)+1,200)),"")))="SHREE RADHE SHAKTI SPONGE AND POWER PVT. LTD.","SHREE RADHE",IF(IF(ISNUMBER(SEARCH("Party Name:-",'R.M Billets Reports'!D787)),TRIM('R.M Billets Reports'!F787),IF(ISNUMBER(SEARCH("Party Name-",'R.M Billets Reports'!D787)),TRIM(MID('R.M Billets Reports'!D787,SEARCH("-",'R.M Billets Reports'!D787)+1,200)),""))&lt;&gt;"",IF(ISNUMBER(SEARCH("Party Name:-",'R.M Billets Reports'!D787)),TRIM('R.M Billets Reports'!F787),IF(ISNUMBER(SEARCH("Party Name-",'R.M Billets Reports'!D787)),TRIM(MID('R.M Billets Reports'!D787,SEARCH("-",'R.M Billets Reports'!D787)+1,200)),"")),IF(ISNUMBER(SEARCH("Party Name:-",'R.M Billets Reports'!D788)),TRIM('R.M Billets Reports'!F788),IF(ISNUMBER(SEARCH("Party Name-",'R.M Billets Reports'!D788)),TRIM(MID('R.M Billets Reports'!D788,SEARCH("-",'R.M Billets Reports'!D788)+1,200)),"")))))),IF(ROW()=2,"",A787))</f>
      </c>
      <c r="B788">
        <f>IF(OR('R.M Billets Reports'!A787="Date-",'R.M Billets Reports'!A787="Date:-"),'R.M Billets Reports'!B787,IF(ROW()=2,"",B787))</f>
      </c>
      <c r="C788">
        <f>IF('R.M Billets Reports'!A787="V.No.",'R.M Billets Reports'!B787,IF(ROW()=2,"",C787))</f>
      </c>
      <c r="D788">
        <f>IF('R.M Billets Reports'!A787&lt;&gt;"",'R.M Billets Reports'!A787,IF(ROW()=2,"",D787))</f>
      </c>
      <c r="E788">
        <f>IF('R.M Billets Reports'!B787="","",TRIM('R.M Billets Reports'!B787))</f>
      </c>
      <c r="F788">
        <f>'R.M Billets Reports'!C787</f>
      </c>
      <c r="G788">
        <f>'R.M Billets Reports'!D787</f>
      </c>
      <c r="H788">
        <f>'R.M Billets Reports'!E787</f>
      </c>
      <c r="I788">
        <f>'R.M Billets Reports'!F787</f>
      </c>
      <c r="J788">
        <f>'R.M Billets Reports'!G787</f>
      </c>
      <c r="K788">
        <f>'R.M Billets Reports'!H787</f>
      </c>
      <c r="L788">
        <f>IF('R.M Billets Reports'!I787="","",'R.M Billets Reports'!I787)</f>
      </c>
      <c r="M788">
        <f t="shared" si="24"/>
      </c>
      <c r="N788">
        <f>IF('R.M Billets Reports'!J787="","",'R.M Billets Reports'!J787)</f>
      </c>
      <c r="O788">
        <f t="shared" si="25"/>
      </c>
      <c r="P788">
        <f>IF('R.M Billets Reports'!A787="SIZE",'R.M Billets Reports'!B787,P787)</f>
      </c>
    </row>
    <row r="789" spans="1:16" x14ac:dyDescent="0.25">
      <c r="A789">
        <f>IF(OR('R.M Billets Reports'!A788="Date-",'R.M Billets Reports'!A788="Date:-"),IF(IF(IF(ISNUMBER(SEARCH("Party Name:-",'R.M Billets Reports'!D788)),TRIM('R.M Billets Reports'!F788),IF(ISNUMBER(SEARCH("Party Name-",'R.M Billets Reports'!D788)),TRIM(MID('R.M Billets Reports'!D788,SEARCH("-",'R.M Billets Reports'!D788)+1,200)),""))&lt;&gt;"",IF(ISNUMBER(SEARCH("Party Name:-",'R.M Billets Reports'!D788)),TRIM('R.M Billets Reports'!F788),IF(ISNUMBER(SEARCH("Party Name-",'R.M Billets Reports'!D788)),TRIM(MID('R.M Billets Reports'!D788,SEARCH("-",'R.M Billets Reports'!D788)+1,200)),"")),IF(ISNUMBER(SEARCH("Party Name:-",'R.M Billets Reports'!D789)),TRIM('R.M Billets Reports'!F789),IF(ISNUMBER(SEARCH("Party Name-",'R.M Billets Reports'!D789)),TRIM(MID('R.M Billets Reports'!D789,SEARCH("-",'R.M Billets Reports'!D789)+1,200)),"")))="VRKP ISPAT PVT LTD","VRKP",IF(IF(IF(ISNUMBER(SEARCH("Party Name:-",'R.M Billets Reports'!D788)),TRIM('R.M Billets Reports'!F788),IF(ISNUMBER(SEARCH("Party Name-",'R.M Billets Reports'!D788)),TRIM(MID('R.M Billets Reports'!D788,SEARCH("-",'R.M Billets Reports'!D788)+1,200)),""))&lt;&gt;"",IF(ISNUMBER(SEARCH("Party Name:-",'R.M Billets Reports'!D788)),TRIM('R.M Billets Reports'!F788),IF(ISNUMBER(SEARCH("Party Name-",'R.M Billets Reports'!D788)),TRIM(MID('R.M Billets Reports'!D788,SEARCH("-",'R.M Billets Reports'!D788)+1,200)),"")),IF(ISNUMBER(SEARCH("Party Name:-",'R.M Billets Reports'!D789)),TRIM('R.M Billets Reports'!F789),IF(ISNUMBER(SEARCH("Party Name-",'R.M Billets Reports'!D789)),TRIM(MID('R.M Billets Reports'!D789,SEARCH("-",'R.M Billets Reports'!D789)+1,200)),"")))="SHRI RADHE","SHREE RADHE",IF(IF(IF(ISNUMBER(SEARCH("Party Name:-",'R.M Billets Reports'!D788)),TRIM('R.M Billets Reports'!F788),IF(ISNUMBER(SEARCH("Party Name-",'R.M Billets Reports'!D788)),TRIM(MID('R.M Billets Reports'!D788,SEARCH("-",'R.M Billets Reports'!D788)+1,200)),""))&lt;&gt;"",IF(ISNUMBER(SEARCH("Party Name:-",'R.M Billets Reports'!D788)),TRIM('R.M Billets Reports'!F788),IF(ISNUMBER(SEARCH("Party Name-",'R.M Billets Reports'!D788)),TRIM(MID('R.M Billets Reports'!D788,SEARCH("-",'R.M Billets Reports'!D788)+1,200)),"")),IF(ISNUMBER(SEARCH("Party Name:-",'R.M Billets Reports'!D789)),TRIM('R.M Billets Reports'!F789),IF(ISNUMBER(SEARCH("Party Name-",'R.M Billets Reports'!D789)),TRIM(MID('R.M Billets Reports'!D789,SEARCH("-",'R.M Billets Reports'!D789)+1,200)),"")))="SHREE RADHE SHAKTI SPONGE AND POWER PVT. LTD.","SHREE RADHE",IF(IF(ISNUMBER(SEARCH("Party Name:-",'R.M Billets Reports'!D788)),TRIM('R.M Billets Reports'!F788),IF(ISNUMBER(SEARCH("Party Name-",'R.M Billets Reports'!D788)),TRIM(MID('R.M Billets Reports'!D788,SEARCH("-",'R.M Billets Reports'!D788)+1,200)),""))&lt;&gt;"",IF(ISNUMBER(SEARCH("Party Name:-",'R.M Billets Reports'!D788)),TRIM('R.M Billets Reports'!F788),IF(ISNUMBER(SEARCH("Party Name-",'R.M Billets Reports'!D788)),TRIM(MID('R.M Billets Reports'!D788,SEARCH("-",'R.M Billets Reports'!D788)+1,200)),"")),IF(ISNUMBER(SEARCH("Party Name:-",'R.M Billets Reports'!D789)),TRIM('R.M Billets Reports'!F789),IF(ISNUMBER(SEARCH("Party Name-",'R.M Billets Reports'!D789)),TRIM(MID('R.M Billets Reports'!D789,SEARCH("-",'R.M Billets Reports'!D789)+1,200)),"")))))),IF(ROW()=2,"",A788))</f>
      </c>
      <c r="B789">
        <f>IF(OR('R.M Billets Reports'!A788="Date-",'R.M Billets Reports'!A788="Date:-"),'R.M Billets Reports'!B788,IF(ROW()=2,"",B788))</f>
      </c>
      <c r="C789">
        <f>IF('R.M Billets Reports'!A788="V.No.",'R.M Billets Reports'!B788,IF(ROW()=2,"",C788))</f>
      </c>
      <c r="D789">
        <f>IF('R.M Billets Reports'!A788&lt;&gt;"",'R.M Billets Reports'!A788,IF(ROW()=2,"",D788))</f>
      </c>
      <c r="E789">
        <f>IF('R.M Billets Reports'!B788="","",TRIM('R.M Billets Reports'!B788))</f>
      </c>
      <c r="F789">
        <f>'R.M Billets Reports'!C788</f>
      </c>
      <c r="G789">
        <f>'R.M Billets Reports'!D788</f>
      </c>
      <c r="H789">
        <f>'R.M Billets Reports'!E788</f>
      </c>
      <c r="I789">
        <f>'R.M Billets Reports'!F788</f>
      </c>
      <c r="J789">
        <f>'R.M Billets Reports'!G788</f>
      </c>
      <c r="K789">
        <f>'R.M Billets Reports'!H788</f>
      </c>
      <c r="L789">
        <f>IF('R.M Billets Reports'!I788="","",'R.M Billets Reports'!I788)</f>
      </c>
      <c r="M789">
        <f t="shared" si="24"/>
      </c>
      <c r="N789">
        <f>IF('R.M Billets Reports'!J788="","",'R.M Billets Reports'!J788)</f>
      </c>
      <c r="O789">
        <f t="shared" si="25"/>
      </c>
      <c r="P789">
        <f>IF('R.M Billets Reports'!A788="SIZE",'R.M Billets Reports'!B788,P788)</f>
      </c>
    </row>
    <row r="790" spans="1:16" x14ac:dyDescent="0.25">
      <c r="A790">
        <f>IF(OR('R.M Billets Reports'!A789="Date-",'R.M Billets Reports'!A789="Date:-"),IF(IF(IF(ISNUMBER(SEARCH("Party Name:-",'R.M Billets Reports'!D789)),TRIM('R.M Billets Reports'!F789),IF(ISNUMBER(SEARCH("Party Name-",'R.M Billets Reports'!D789)),TRIM(MID('R.M Billets Reports'!D789,SEARCH("-",'R.M Billets Reports'!D789)+1,200)),""))&lt;&gt;"",IF(ISNUMBER(SEARCH("Party Name:-",'R.M Billets Reports'!D789)),TRIM('R.M Billets Reports'!F789),IF(ISNUMBER(SEARCH("Party Name-",'R.M Billets Reports'!D789)),TRIM(MID('R.M Billets Reports'!D789,SEARCH("-",'R.M Billets Reports'!D789)+1,200)),"")),IF(ISNUMBER(SEARCH("Party Name:-",'R.M Billets Reports'!D790)),TRIM('R.M Billets Reports'!F790),IF(ISNUMBER(SEARCH("Party Name-",'R.M Billets Reports'!D790)),TRIM(MID('R.M Billets Reports'!D790,SEARCH("-",'R.M Billets Reports'!D790)+1,200)),"")))="VRKP ISPAT PVT LTD","VRKP",IF(IF(IF(ISNUMBER(SEARCH("Party Name:-",'R.M Billets Reports'!D789)),TRIM('R.M Billets Reports'!F789),IF(ISNUMBER(SEARCH("Party Name-",'R.M Billets Reports'!D789)),TRIM(MID('R.M Billets Reports'!D789,SEARCH("-",'R.M Billets Reports'!D789)+1,200)),""))&lt;&gt;"",IF(ISNUMBER(SEARCH("Party Name:-",'R.M Billets Reports'!D789)),TRIM('R.M Billets Reports'!F789),IF(ISNUMBER(SEARCH("Party Name-",'R.M Billets Reports'!D789)),TRIM(MID('R.M Billets Reports'!D789,SEARCH("-",'R.M Billets Reports'!D789)+1,200)),"")),IF(ISNUMBER(SEARCH("Party Name:-",'R.M Billets Reports'!D790)),TRIM('R.M Billets Reports'!F790),IF(ISNUMBER(SEARCH("Party Name-",'R.M Billets Reports'!D790)),TRIM(MID('R.M Billets Reports'!D790,SEARCH("-",'R.M Billets Reports'!D790)+1,200)),"")))="SHRI RADHE","SHREE RADHE",IF(IF(IF(ISNUMBER(SEARCH("Party Name:-",'R.M Billets Reports'!D789)),TRIM('R.M Billets Reports'!F789),IF(ISNUMBER(SEARCH("Party Name-",'R.M Billets Reports'!D789)),TRIM(MID('R.M Billets Reports'!D789,SEARCH("-",'R.M Billets Reports'!D789)+1,200)),""))&lt;&gt;"",IF(ISNUMBER(SEARCH("Party Name:-",'R.M Billets Reports'!D789)),TRIM('R.M Billets Reports'!F789),IF(ISNUMBER(SEARCH("Party Name-",'R.M Billets Reports'!D789)),TRIM(MID('R.M Billets Reports'!D789,SEARCH("-",'R.M Billets Reports'!D789)+1,200)),"")),IF(ISNUMBER(SEARCH("Party Name:-",'R.M Billets Reports'!D790)),TRIM('R.M Billets Reports'!F790),IF(ISNUMBER(SEARCH("Party Name-",'R.M Billets Reports'!D790)),TRIM(MID('R.M Billets Reports'!D790,SEARCH("-",'R.M Billets Reports'!D790)+1,200)),"")))="SHREE RADHE SHAKTI SPONGE AND POWER PVT. LTD.","SHREE RADHE",IF(IF(ISNUMBER(SEARCH("Party Name:-",'R.M Billets Reports'!D789)),TRIM('R.M Billets Reports'!F789),IF(ISNUMBER(SEARCH("Party Name-",'R.M Billets Reports'!D789)),TRIM(MID('R.M Billets Reports'!D789,SEARCH("-",'R.M Billets Reports'!D789)+1,200)),""))&lt;&gt;"",IF(ISNUMBER(SEARCH("Party Name:-",'R.M Billets Reports'!D789)),TRIM('R.M Billets Reports'!F789),IF(ISNUMBER(SEARCH("Party Name-",'R.M Billets Reports'!D789)),TRIM(MID('R.M Billets Reports'!D789,SEARCH("-",'R.M Billets Reports'!D789)+1,200)),"")),IF(ISNUMBER(SEARCH("Party Name:-",'R.M Billets Reports'!D790)),TRIM('R.M Billets Reports'!F790),IF(ISNUMBER(SEARCH("Party Name-",'R.M Billets Reports'!D790)),TRIM(MID('R.M Billets Reports'!D790,SEARCH("-",'R.M Billets Reports'!D790)+1,200)),"")))))),IF(ROW()=2,"",A789))</f>
      </c>
      <c r="B790">
        <f>IF(OR('R.M Billets Reports'!A789="Date-",'R.M Billets Reports'!A789="Date:-"),'R.M Billets Reports'!B789,IF(ROW()=2,"",B789))</f>
      </c>
      <c r="C790">
        <f>IF('R.M Billets Reports'!A789="V.No.",'R.M Billets Reports'!B789,IF(ROW()=2,"",C789))</f>
      </c>
      <c r="D790">
        <f>IF('R.M Billets Reports'!A789&lt;&gt;"",'R.M Billets Reports'!A789,IF(ROW()=2,"",D789))</f>
      </c>
      <c r="E790">
        <f>IF('R.M Billets Reports'!B789="","",TRIM('R.M Billets Reports'!B789))</f>
      </c>
      <c r="F790">
        <f>'R.M Billets Reports'!C789</f>
      </c>
      <c r="G790">
        <f>'R.M Billets Reports'!D789</f>
      </c>
      <c r="H790">
        <f>'R.M Billets Reports'!E789</f>
      </c>
      <c r="I790">
        <f>'R.M Billets Reports'!F789</f>
      </c>
      <c r="J790">
        <f>'R.M Billets Reports'!G789</f>
      </c>
      <c r="K790">
        <f>'R.M Billets Reports'!H789</f>
      </c>
      <c r="L790">
        <f>IF('R.M Billets Reports'!I789="","",'R.M Billets Reports'!I789)</f>
      </c>
      <c r="M790">
        <f t="shared" si="24"/>
      </c>
      <c r="N790">
        <f>IF('R.M Billets Reports'!J789="","",'R.M Billets Reports'!J789)</f>
      </c>
      <c r="O790">
        <f t="shared" si="25"/>
      </c>
      <c r="P790">
        <f>IF('R.M Billets Reports'!A789="SIZE",'R.M Billets Reports'!B789,P789)</f>
      </c>
    </row>
    <row r="791" spans="1:16" x14ac:dyDescent="0.25">
      <c r="A791">
        <f>IF(OR('R.M Billets Reports'!A790="Date-",'R.M Billets Reports'!A790="Date:-"),IF(IF(IF(ISNUMBER(SEARCH("Party Name:-",'R.M Billets Reports'!D790)),TRIM('R.M Billets Reports'!F790),IF(ISNUMBER(SEARCH("Party Name-",'R.M Billets Reports'!D790)),TRIM(MID('R.M Billets Reports'!D790,SEARCH("-",'R.M Billets Reports'!D790)+1,200)),""))&lt;&gt;"",IF(ISNUMBER(SEARCH("Party Name:-",'R.M Billets Reports'!D790)),TRIM('R.M Billets Reports'!F790),IF(ISNUMBER(SEARCH("Party Name-",'R.M Billets Reports'!D790)),TRIM(MID('R.M Billets Reports'!D790,SEARCH("-",'R.M Billets Reports'!D790)+1,200)),"")),IF(ISNUMBER(SEARCH("Party Name:-",'R.M Billets Reports'!D791)),TRIM('R.M Billets Reports'!F791),IF(ISNUMBER(SEARCH("Party Name-",'R.M Billets Reports'!D791)),TRIM(MID('R.M Billets Reports'!D791,SEARCH("-",'R.M Billets Reports'!D791)+1,200)),"")))="VRKP ISPAT PVT LTD","VRKP",IF(IF(IF(ISNUMBER(SEARCH("Party Name:-",'R.M Billets Reports'!D790)),TRIM('R.M Billets Reports'!F790),IF(ISNUMBER(SEARCH("Party Name-",'R.M Billets Reports'!D790)),TRIM(MID('R.M Billets Reports'!D790,SEARCH("-",'R.M Billets Reports'!D790)+1,200)),""))&lt;&gt;"",IF(ISNUMBER(SEARCH("Party Name:-",'R.M Billets Reports'!D790)),TRIM('R.M Billets Reports'!F790),IF(ISNUMBER(SEARCH("Party Name-",'R.M Billets Reports'!D790)),TRIM(MID('R.M Billets Reports'!D790,SEARCH("-",'R.M Billets Reports'!D790)+1,200)),"")),IF(ISNUMBER(SEARCH("Party Name:-",'R.M Billets Reports'!D791)),TRIM('R.M Billets Reports'!F791),IF(ISNUMBER(SEARCH("Party Name-",'R.M Billets Reports'!D791)),TRIM(MID('R.M Billets Reports'!D791,SEARCH("-",'R.M Billets Reports'!D791)+1,200)),"")))="SHRI RADHE","SHREE RADHE",IF(IF(IF(ISNUMBER(SEARCH("Party Name:-",'R.M Billets Reports'!D790)),TRIM('R.M Billets Reports'!F790),IF(ISNUMBER(SEARCH("Party Name-",'R.M Billets Reports'!D790)),TRIM(MID('R.M Billets Reports'!D790,SEARCH("-",'R.M Billets Reports'!D790)+1,200)),""))&lt;&gt;"",IF(ISNUMBER(SEARCH("Party Name:-",'R.M Billets Reports'!D790)),TRIM('R.M Billets Reports'!F790),IF(ISNUMBER(SEARCH("Party Name-",'R.M Billets Reports'!D790)),TRIM(MID('R.M Billets Reports'!D790,SEARCH("-",'R.M Billets Reports'!D790)+1,200)),"")),IF(ISNUMBER(SEARCH("Party Name:-",'R.M Billets Reports'!D791)),TRIM('R.M Billets Reports'!F791),IF(ISNUMBER(SEARCH("Party Name-",'R.M Billets Reports'!D791)),TRIM(MID('R.M Billets Reports'!D791,SEARCH("-",'R.M Billets Reports'!D791)+1,200)),"")))="SHREE RADHE SHAKTI SPONGE AND POWER PVT. LTD.","SHREE RADHE",IF(IF(ISNUMBER(SEARCH("Party Name:-",'R.M Billets Reports'!D790)),TRIM('R.M Billets Reports'!F790),IF(ISNUMBER(SEARCH("Party Name-",'R.M Billets Reports'!D790)),TRIM(MID('R.M Billets Reports'!D790,SEARCH("-",'R.M Billets Reports'!D790)+1,200)),""))&lt;&gt;"",IF(ISNUMBER(SEARCH("Party Name:-",'R.M Billets Reports'!D790)),TRIM('R.M Billets Reports'!F790),IF(ISNUMBER(SEARCH("Party Name-",'R.M Billets Reports'!D790)),TRIM(MID('R.M Billets Reports'!D790,SEARCH("-",'R.M Billets Reports'!D790)+1,200)),"")),IF(ISNUMBER(SEARCH("Party Name:-",'R.M Billets Reports'!D791)),TRIM('R.M Billets Reports'!F791),IF(ISNUMBER(SEARCH("Party Name-",'R.M Billets Reports'!D791)),TRIM(MID('R.M Billets Reports'!D791,SEARCH("-",'R.M Billets Reports'!D791)+1,200)),"")))))),IF(ROW()=2,"",A790))</f>
      </c>
      <c r="B791">
        <f>IF(OR('R.M Billets Reports'!A790="Date-",'R.M Billets Reports'!A790="Date:-"),'R.M Billets Reports'!B790,IF(ROW()=2,"",B790))</f>
      </c>
      <c r="C791">
        <f>IF('R.M Billets Reports'!A790="V.No.",'R.M Billets Reports'!B790,IF(ROW()=2,"",C790))</f>
      </c>
      <c r="D791">
        <f>IF('R.M Billets Reports'!A790&lt;&gt;"",'R.M Billets Reports'!A790,IF(ROW()=2,"",D790))</f>
      </c>
      <c r="E791">
        <f>IF('R.M Billets Reports'!B790="","",TRIM('R.M Billets Reports'!B790))</f>
      </c>
      <c r="F791">
        <f>'R.M Billets Reports'!C790</f>
      </c>
      <c r="G791">
        <f>'R.M Billets Reports'!D790</f>
      </c>
      <c r="H791">
        <f>'R.M Billets Reports'!E790</f>
      </c>
      <c r="I791">
        <f>'R.M Billets Reports'!F790</f>
      </c>
      <c r="J791">
        <f>'R.M Billets Reports'!G790</f>
      </c>
      <c r="K791">
        <f>'R.M Billets Reports'!H790</f>
      </c>
      <c r="L791">
        <f>IF('R.M Billets Reports'!I790="","",'R.M Billets Reports'!I790)</f>
      </c>
      <c r="M791">
        <f t="shared" si="24"/>
      </c>
      <c r="N791">
        <f>IF('R.M Billets Reports'!J790="","",'R.M Billets Reports'!J790)</f>
      </c>
      <c r="O791">
        <f t="shared" si="25"/>
      </c>
      <c r="P791">
        <f>IF('R.M Billets Reports'!A790="SIZE",'R.M Billets Reports'!B790,P790)</f>
      </c>
    </row>
    <row r="792" spans="1:16" x14ac:dyDescent="0.25">
      <c r="A792">
        <f>IF(OR('R.M Billets Reports'!A791="Date-",'R.M Billets Reports'!A791="Date:-"),IF(IF(IF(ISNUMBER(SEARCH("Party Name:-",'R.M Billets Reports'!D791)),TRIM('R.M Billets Reports'!F791),IF(ISNUMBER(SEARCH("Party Name-",'R.M Billets Reports'!D791)),TRIM(MID('R.M Billets Reports'!D791,SEARCH("-",'R.M Billets Reports'!D791)+1,200)),""))&lt;&gt;"",IF(ISNUMBER(SEARCH("Party Name:-",'R.M Billets Reports'!D791)),TRIM('R.M Billets Reports'!F791),IF(ISNUMBER(SEARCH("Party Name-",'R.M Billets Reports'!D791)),TRIM(MID('R.M Billets Reports'!D791,SEARCH("-",'R.M Billets Reports'!D791)+1,200)),"")),IF(ISNUMBER(SEARCH("Party Name:-",'R.M Billets Reports'!D792)),TRIM('R.M Billets Reports'!F792),IF(ISNUMBER(SEARCH("Party Name-",'R.M Billets Reports'!D792)),TRIM(MID('R.M Billets Reports'!D792,SEARCH("-",'R.M Billets Reports'!D792)+1,200)),"")))="VRKP ISPAT PVT LTD","VRKP",IF(IF(IF(ISNUMBER(SEARCH("Party Name:-",'R.M Billets Reports'!D791)),TRIM('R.M Billets Reports'!F791),IF(ISNUMBER(SEARCH("Party Name-",'R.M Billets Reports'!D791)),TRIM(MID('R.M Billets Reports'!D791,SEARCH("-",'R.M Billets Reports'!D791)+1,200)),""))&lt;&gt;"",IF(ISNUMBER(SEARCH("Party Name:-",'R.M Billets Reports'!D791)),TRIM('R.M Billets Reports'!F791),IF(ISNUMBER(SEARCH("Party Name-",'R.M Billets Reports'!D791)),TRIM(MID('R.M Billets Reports'!D791,SEARCH("-",'R.M Billets Reports'!D791)+1,200)),"")),IF(ISNUMBER(SEARCH("Party Name:-",'R.M Billets Reports'!D792)),TRIM('R.M Billets Reports'!F792),IF(ISNUMBER(SEARCH("Party Name-",'R.M Billets Reports'!D792)),TRIM(MID('R.M Billets Reports'!D792,SEARCH("-",'R.M Billets Reports'!D792)+1,200)),"")))="SHRI RADHE","SHREE RADHE",IF(IF(IF(ISNUMBER(SEARCH("Party Name:-",'R.M Billets Reports'!D791)),TRIM('R.M Billets Reports'!F791),IF(ISNUMBER(SEARCH("Party Name-",'R.M Billets Reports'!D791)),TRIM(MID('R.M Billets Reports'!D791,SEARCH("-",'R.M Billets Reports'!D791)+1,200)),""))&lt;&gt;"",IF(ISNUMBER(SEARCH("Party Name:-",'R.M Billets Reports'!D791)),TRIM('R.M Billets Reports'!F791),IF(ISNUMBER(SEARCH("Party Name-",'R.M Billets Reports'!D791)),TRIM(MID('R.M Billets Reports'!D791,SEARCH("-",'R.M Billets Reports'!D791)+1,200)),"")),IF(ISNUMBER(SEARCH("Party Name:-",'R.M Billets Reports'!D792)),TRIM('R.M Billets Reports'!F792),IF(ISNUMBER(SEARCH("Party Name-",'R.M Billets Reports'!D792)),TRIM(MID('R.M Billets Reports'!D792,SEARCH("-",'R.M Billets Reports'!D792)+1,200)),"")))="SHREE RADHE SHAKTI SPONGE AND POWER PVT. LTD.","SHREE RADHE",IF(IF(ISNUMBER(SEARCH("Party Name:-",'R.M Billets Reports'!D791)),TRIM('R.M Billets Reports'!F791),IF(ISNUMBER(SEARCH("Party Name-",'R.M Billets Reports'!D791)),TRIM(MID('R.M Billets Reports'!D791,SEARCH("-",'R.M Billets Reports'!D791)+1,200)),""))&lt;&gt;"",IF(ISNUMBER(SEARCH("Party Name:-",'R.M Billets Reports'!D791)),TRIM('R.M Billets Reports'!F791),IF(ISNUMBER(SEARCH("Party Name-",'R.M Billets Reports'!D791)),TRIM(MID('R.M Billets Reports'!D791,SEARCH("-",'R.M Billets Reports'!D791)+1,200)),"")),IF(ISNUMBER(SEARCH("Party Name:-",'R.M Billets Reports'!D792)),TRIM('R.M Billets Reports'!F792),IF(ISNUMBER(SEARCH("Party Name-",'R.M Billets Reports'!D792)),TRIM(MID('R.M Billets Reports'!D792,SEARCH("-",'R.M Billets Reports'!D792)+1,200)),"")))))),IF(ROW()=2,"",A791))</f>
      </c>
      <c r="B792">
        <f>IF(OR('R.M Billets Reports'!A791="Date-",'R.M Billets Reports'!A791="Date:-"),'R.M Billets Reports'!B791,IF(ROW()=2,"",B791))</f>
      </c>
      <c r="C792">
        <f>IF('R.M Billets Reports'!A791="V.No.",'R.M Billets Reports'!B791,IF(ROW()=2,"",C791))</f>
      </c>
      <c r="D792">
        <f>IF('R.M Billets Reports'!A791&lt;&gt;"",'R.M Billets Reports'!A791,IF(ROW()=2,"",D791))</f>
      </c>
      <c r="E792">
        <f>IF('R.M Billets Reports'!B791="","",TRIM('R.M Billets Reports'!B791))</f>
      </c>
      <c r="F792">
        <f>'R.M Billets Reports'!C791</f>
      </c>
      <c r="G792">
        <f>'R.M Billets Reports'!D791</f>
      </c>
      <c r="H792">
        <f>'R.M Billets Reports'!E791</f>
      </c>
      <c r="I792">
        <f>'R.M Billets Reports'!F791</f>
      </c>
      <c r="J792">
        <f>'R.M Billets Reports'!G791</f>
      </c>
      <c r="K792">
        <f>'R.M Billets Reports'!H791</f>
      </c>
      <c r="L792">
        <f>IF('R.M Billets Reports'!I791="","",'R.M Billets Reports'!I791)</f>
      </c>
      <c r="M792">
        <f t="shared" si="24"/>
      </c>
      <c r="N792">
        <f>IF('R.M Billets Reports'!J791="","",'R.M Billets Reports'!J791)</f>
      </c>
      <c r="O792">
        <f t="shared" si="25"/>
      </c>
      <c r="P792">
        <f>IF('R.M Billets Reports'!A791="SIZE",'R.M Billets Reports'!B791,P791)</f>
      </c>
    </row>
    <row r="793" spans="1:16" x14ac:dyDescent="0.25">
      <c r="A793">
        <f>IF(OR('R.M Billets Reports'!A792="Date-",'R.M Billets Reports'!A792="Date:-"),IF(IF(IF(ISNUMBER(SEARCH("Party Name:-",'R.M Billets Reports'!D792)),TRIM('R.M Billets Reports'!F792),IF(ISNUMBER(SEARCH("Party Name-",'R.M Billets Reports'!D792)),TRIM(MID('R.M Billets Reports'!D792,SEARCH("-",'R.M Billets Reports'!D792)+1,200)),""))&lt;&gt;"",IF(ISNUMBER(SEARCH("Party Name:-",'R.M Billets Reports'!D792)),TRIM('R.M Billets Reports'!F792),IF(ISNUMBER(SEARCH("Party Name-",'R.M Billets Reports'!D792)),TRIM(MID('R.M Billets Reports'!D792,SEARCH("-",'R.M Billets Reports'!D792)+1,200)),"")),IF(ISNUMBER(SEARCH("Party Name:-",'R.M Billets Reports'!D793)),TRIM('R.M Billets Reports'!F793),IF(ISNUMBER(SEARCH("Party Name-",'R.M Billets Reports'!D793)),TRIM(MID('R.M Billets Reports'!D793,SEARCH("-",'R.M Billets Reports'!D793)+1,200)),"")))="VRKP ISPAT PVT LTD","VRKP",IF(IF(IF(ISNUMBER(SEARCH("Party Name:-",'R.M Billets Reports'!D792)),TRIM('R.M Billets Reports'!F792),IF(ISNUMBER(SEARCH("Party Name-",'R.M Billets Reports'!D792)),TRIM(MID('R.M Billets Reports'!D792,SEARCH("-",'R.M Billets Reports'!D792)+1,200)),""))&lt;&gt;"",IF(ISNUMBER(SEARCH("Party Name:-",'R.M Billets Reports'!D792)),TRIM('R.M Billets Reports'!F792),IF(ISNUMBER(SEARCH("Party Name-",'R.M Billets Reports'!D792)),TRIM(MID('R.M Billets Reports'!D792,SEARCH("-",'R.M Billets Reports'!D792)+1,200)),"")),IF(ISNUMBER(SEARCH("Party Name:-",'R.M Billets Reports'!D793)),TRIM('R.M Billets Reports'!F793),IF(ISNUMBER(SEARCH("Party Name-",'R.M Billets Reports'!D793)),TRIM(MID('R.M Billets Reports'!D793,SEARCH("-",'R.M Billets Reports'!D793)+1,200)),"")))="SHRI RADHE","SHREE RADHE",IF(IF(IF(ISNUMBER(SEARCH("Party Name:-",'R.M Billets Reports'!D792)),TRIM('R.M Billets Reports'!F792),IF(ISNUMBER(SEARCH("Party Name-",'R.M Billets Reports'!D792)),TRIM(MID('R.M Billets Reports'!D792,SEARCH("-",'R.M Billets Reports'!D792)+1,200)),""))&lt;&gt;"",IF(ISNUMBER(SEARCH("Party Name:-",'R.M Billets Reports'!D792)),TRIM('R.M Billets Reports'!F792),IF(ISNUMBER(SEARCH("Party Name-",'R.M Billets Reports'!D792)),TRIM(MID('R.M Billets Reports'!D792,SEARCH("-",'R.M Billets Reports'!D792)+1,200)),"")),IF(ISNUMBER(SEARCH("Party Name:-",'R.M Billets Reports'!D793)),TRIM('R.M Billets Reports'!F793),IF(ISNUMBER(SEARCH("Party Name-",'R.M Billets Reports'!D793)),TRIM(MID('R.M Billets Reports'!D793,SEARCH("-",'R.M Billets Reports'!D793)+1,200)),"")))="SHREE RADHE SHAKTI SPONGE AND POWER PVT. LTD.","SHREE RADHE",IF(IF(ISNUMBER(SEARCH("Party Name:-",'R.M Billets Reports'!D792)),TRIM('R.M Billets Reports'!F792),IF(ISNUMBER(SEARCH("Party Name-",'R.M Billets Reports'!D792)),TRIM(MID('R.M Billets Reports'!D792,SEARCH("-",'R.M Billets Reports'!D792)+1,200)),""))&lt;&gt;"",IF(ISNUMBER(SEARCH("Party Name:-",'R.M Billets Reports'!D792)),TRIM('R.M Billets Reports'!F792),IF(ISNUMBER(SEARCH("Party Name-",'R.M Billets Reports'!D792)),TRIM(MID('R.M Billets Reports'!D792,SEARCH("-",'R.M Billets Reports'!D792)+1,200)),"")),IF(ISNUMBER(SEARCH("Party Name:-",'R.M Billets Reports'!D793)),TRIM('R.M Billets Reports'!F793),IF(ISNUMBER(SEARCH("Party Name-",'R.M Billets Reports'!D793)),TRIM(MID('R.M Billets Reports'!D793,SEARCH("-",'R.M Billets Reports'!D793)+1,200)),"")))))),IF(ROW()=2,"",A792))</f>
      </c>
      <c r="B793">
        <f>IF(OR('R.M Billets Reports'!A792="Date-",'R.M Billets Reports'!A792="Date:-"),'R.M Billets Reports'!B792,IF(ROW()=2,"",B792))</f>
      </c>
      <c r="C793">
        <f>IF('R.M Billets Reports'!A792="V.No.",'R.M Billets Reports'!B792,IF(ROW()=2,"",C792))</f>
      </c>
      <c r="D793">
        <f>IF('R.M Billets Reports'!A792&lt;&gt;"",'R.M Billets Reports'!A792,IF(ROW()=2,"",D792))</f>
      </c>
      <c r="E793">
        <f>IF('R.M Billets Reports'!B792="","",TRIM('R.M Billets Reports'!B792))</f>
      </c>
      <c r="F793">
        <f>'R.M Billets Reports'!C792</f>
      </c>
      <c r="G793">
        <f>'R.M Billets Reports'!D792</f>
      </c>
      <c r="H793">
        <f>'R.M Billets Reports'!E792</f>
      </c>
      <c r="I793">
        <f>'R.M Billets Reports'!F792</f>
      </c>
      <c r="J793">
        <f>'R.M Billets Reports'!G792</f>
      </c>
      <c r="K793">
        <f>'R.M Billets Reports'!H792</f>
      </c>
      <c r="L793">
        <f>IF('R.M Billets Reports'!I792="","",'R.M Billets Reports'!I792)</f>
      </c>
      <c r="M793">
        <f t="shared" si="24"/>
      </c>
      <c r="N793">
        <f>IF('R.M Billets Reports'!J792="","",'R.M Billets Reports'!J792)</f>
      </c>
      <c r="O793">
        <f t="shared" si="25"/>
      </c>
      <c r="P793">
        <f>IF('R.M Billets Reports'!A792="SIZE",'R.M Billets Reports'!B792,P792)</f>
      </c>
    </row>
    <row r="794" spans="1:16" x14ac:dyDescent="0.25">
      <c r="A794">
        <f>IF(OR('R.M Billets Reports'!A793="Date-",'R.M Billets Reports'!A793="Date:-"),IF(IF(IF(ISNUMBER(SEARCH("Party Name:-",'R.M Billets Reports'!D793)),TRIM('R.M Billets Reports'!F793),IF(ISNUMBER(SEARCH("Party Name-",'R.M Billets Reports'!D793)),TRIM(MID('R.M Billets Reports'!D793,SEARCH("-",'R.M Billets Reports'!D793)+1,200)),""))&lt;&gt;"",IF(ISNUMBER(SEARCH("Party Name:-",'R.M Billets Reports'!D793)),TRIM('R.M Billets Reports'!F793),IF(ISNUMBER(SEARCH("Party Name-",'R.M Billets Reports'!D793)),TRIM(MID('R.M Billets Reports'!D793,SEARCH("-",'R.M Billets Reports'!D793)+1,200)),"")),IF(ISNUMBER(SEARCH("Party Name:-",'R.M Billets Reports'!D794)),TRIM('R.M Billets Reports'!F794),IF(ISNUMBER(SEARCH("Party Name-",'R.M Billets Reports'!D794)),TRIM(MID('R.M Billets Reports'!D794,SEARCH("-",'R.M Billets Reports'!D794)+1,200)),"")))="VRKP ISPAT PVT LTD","VRKP",IF(IF(IF(ISNUMBER(SEARCH("Party Name:-",'R.M Billets Reports'!D793)),TRIM('R.M Billets Reports'!F793),IF(ISNUMBER(SEARCH("Party Name-",'R.M Billets Reports'!D793)),TRIM(MID('R.M Billets Reports'!D793,SEARCH("-",'R.M Billets Reports'!D793)+1,200)),""))&lt;&gt;"",IF(ISNUMBER(SEARCH("Party Name:-",'R.M Billets Reports'!D793)),TRIM('R.M Billets Reports'!F793),IF(ISNUMBER(SEARCH("Party Name-",'R.M Billets Reports'!D793)),TRIM(MID('R.M Billets Reports'!D793,SEARCH("-",'R.M Billets Reports'!D793)+1,200)),"")),IF(ISNUMBER(SEARCH("Party Name:-",'R.M Billets Reports'!D794)),TRIM('R.M Billets Reports'!F794),IF(ISNUMBER(SEARCH("Party Name-",'R.M Billets Reports'!D794)),TRIM(MID('R.M Billets Reports'!D794,SEARCH("-",'R.M Billets Reports'!D794)+1,200)),"")))="SHRI RADHE","SHREE RADHE",IF(IF(IF(ISNUMBER(SEARCH("Party Name:-",'R.M Billets Reports'!D793)),TRIM('R.M Billets Reports'!F793),IF(ISNUMBER(SEARCH("Party Name-",'R.M Billets Reports'!D793)),TRIM(MID('R.M Billets Reports'!D793,SEARCH("-",'R.M Billets Reports'!D793)+1,200)),""))&lt;&gt;"",IF(ISNUMBER(SEARCH("Party Name:-",'R.M Billets Reports'!D793)),TRIM('R.M Billets Reports'!F793),IF(ISNUMBER(SEARCH("Party Name-",'R.M Billets Reports'!D793)),TRIM(MID('R.M Billets Reports'!D793,SEARCH("-",'R.M Billets Reports'!D793)+1,200)),"")),IF(ISNUMBER(SEARCH("Party Name:-",'R.M Billets Reports'!D794)),TRIM('R.M Billets Reports'!F794),IF(ISNUMBER(SEARCH("Party Name-",'R.M Billets Reports'!D794)),TRIM(MID('R.M Billets Reports'!D794,SEARCH("-",'R.M Billets Reports'!D794)+1,200)),"")))="SHREE RADHE SHAKTI SPONGE AND POWER PVT. LTD.","SHREE RADHE",IF(IF(ISNUMBER(SEARCH("Party Name:-",'R.M Billets Reports'!D793)),TRIM('R.M Billets Reports'!F793),IF(ISNUMBER(SEARCH("Party Name-",'R.M Billets Reports'!D793)),TRIM(MID('R.M Billets Reports'!D793,SEARCH("-",'R.M Billets Reports'!D793)+1,200)),""))&lt;&gt;"",IF(ISNUMBER(SEARCH("Party Name:-",'R.M Billets Reports'!D793)),TRIM('R.M Billets Reports'!F793),IF(ISNUMBER(SEARCH("Party Name-",'R.M Billets Reports'!D793)),TRIM(MID('R.M Billets Reports'!D793,SEARCH("-",'R.M Billets Reports'!D793)+1,200)),"")),IF(ISNUMBER(SEARCH("Party Name:-",'R.M Billets Reports'!D794)),TRIM('R.M Billets Reports'!F794),IF(ISNUMBER(SEARCH("Party Name-",'R.M Billets Reports'!D794)),TRIM(MID('R.M Billets Reports'!D794,SEARCH("-",'R.M Billets Reports'!D794)+1,200)),"")))))),IF(ROW()=2,"",A793))</f>
      </c>
      <c r="B794">
        <f>IF(OR('R.M Billets Reports'!A793="Date-",'R.M Billets Reports'!A793="Date:-"),'R.M Billets Reports'!B793,IF(ROW()=2,"",B793))</f>
      </c>
      <c r="C794">
        <f>IF('R.M Billets Reports'!A793="V.No.",'R.M Billets Reports'!B793,IF(ROW()=2,"",C793))</f>
      </c>
      <c r="D794">
        <f>IF('R.M Billets Reports'!A793&lt;&gt;"",'R.M Billets Reports'!A793,IF(ROW()=2,"",D793))</f>
      </c>
      <c r="E794">
        <f>IF('R.M Billets Reports'!B793="","",TRIM('R.M Billets Reports'!B793))</f>
      </c>
      <c r="F794">
        <f>'R.M Billets Reports'!C793</f>
      </c>
      <c r="G794">
        <f>'R.M Billets Reports'!D793</f>
      </c>
      <c r="H794">
        <f>'R.M Billets Reports'!E793</f>
      </c>
      <c r="I794">
        <f>'R.M Billets Reports'!F793</f>
      </c>
      <c r="J794">
        <f>'R.M Billets Reports'!G793</f>
      </c>
      <c r="K794">
        <f>'R.M Billets Reports'!H793</f>
      </c>
      <c r="L794">
        <f>IF('R.M Billets Reports'!I793="","",'R.M Billets Reports'!I793)</f>
      </c>
      <c r="M794">
        <f t="shared" si="24"/>
      </c>
      <c r="N794">
        <f>IF('R.M Billets Reports'!J793="","",'R.M Billets Reports'!J793)</f>
      </c>
      <c r="O794">
        <f t="shared" si="25"/>
      </c>
      <c r="P794">
        <f>IF('R.M Billets Reports'!A793="SIZE",'R.M Billets Reports'!B793,P793)</f>
      </c>
    </row>
    <row r="795" spans="1:16" x14ac:dyDescent="0.25">
      <c r="A795">
        <f>IF(OR('R.M Billets Reports'!A794="Date-",'R.M Billets Reports'!A794="Date:-"),IF(IF(IF(ISNUMBER(SEARCH("Party Name:-",'R.M Billets Reports'!D794)),TRIM('R.M Billets Reports'!F794),IF(ISNUMBER(SEARCH("Party Name-",'R.M Billets Reports'!D794)),TRIM(MID('R.M Billets Reports'!D794,SEARCH("-",'R.M Billets Reports'!D794)+1,200)),""))&lt;&gt;"",IF(ISNUMBER(SEARCH("Party Name:-",'R.M Billets Reports'!D794)),TRIM('R.M Billets Reports'!F794),IF(ISNUMBER(SEARCH("Party Name-",'R.M Billets Reports'!D794)),TRIM(MID('R.M Billets Reports'!D794,SEARCH("-",'R.M Billets Reports'!D794)+1,200)),"")),IF(ISNUMBER(SEARCH("Party Name:-",'R.M Billets Reports'!D795)),TRIM('R.M Billets Reports'!F795),IF(ISNUMBER(SEARCH("Party Name-",'R.M Billets Reports'!D795)),TRIM(MID('R.M Billets Reports'!D795,SEARCH("-",'R.M Billets Reports'!D795)+1,200)),"")))="VRKP ISPAT PVT LTD","VRKP",IF(IF(IF(ISNUMBER(SEARCH("Party Name:-",'R.M Billets Reports'!D794)),TRIM('R.M Billets Reports'!F794),IF(ISNUMBER(SEARCH("Party Name-",'R.M Billets Reports'!D794)),TRIM(MID('R.M Billets Reports'!D794,SEARCH("-",'R.M Billets Reports'!D794)+1,200)),""))&lt;&gt;"",IF(ISNUMBER(SEARCH("Party Name:-",'R.M Billets Reports'!D794)),TRIM('R.M Billets Reports'!F794),IF(ISNUMBER(SEARCH("Party Name-",'R.M Billets Reports'!D794)),TRIM(MID('R.M Billets Reports'!D794,SEARCH("-",'R.M Billets Reports'!D794)+1,200)),"")),IF(ISNUMBER(SEARCH("Party Name:-",'R.M Billets Reports'!D795)),TRIM('R.M Billets Reports'!F795),IF(ISNUMBER(SEARCH("Party Name-",'R.M Billets Reports'!D795)),TRIM(MID('R.M Billets Reports'!D795,SEARCH("-",'R.M Billets Reports'!D795)+1,200)),"")))="SHRI RADHE","SHREE RADHE",IF(IF(IF(ISNUMBER(SEARCH("Party Name:-",'R.M Billets Reports'!D794)),TRIM('R.M Billets Reports'!F794),IF(ISNUMBER(SEARCH("Party Name-",'R.M Billets Reports'!D794)),TRIM(MID('R.M Billets Reports'!D794,SEARCH("-",'R.M Billets Reports'!D794)+1,200)),""))&lt;&gt;"",IF(ISNUMBER(SEARCH("Party Name:-",'R.M Billets Reports'!D794)),TRIM('R.M Billets Reports'!F794),IF(ISNUMBER(SEARCH("Party Name-",'R.M Billets Reports'!D794)),TRIM(MID('R.M Billets Reports'!D794,SEARCH("-",'R.M Billets Reports'!D794)+1,200)),"")),IF(ISNUMBER(SEARCH("Party Name:-",'R.M Billets Reports'!D795)),TRIM('R.M Billets Reports'!F795),IF(ISNUMBER(SEARCH("Party Name-",'R.M Billets Reports'!D795)),TRIM(MID('R.M Billets Reports'!D795,SEARCH("-",'R.M Billets Reports'!D795)+1,200)),"")))="SHREE RADHE SHAKTI SPONGE AND POWER PVT. LTD.","SHREE RADHE",IF(IF(ISNUMBER(SEARCH("Party Name:-",'R.M Billets Reports'!D794)),TRIM('R.M Billets Reports'!F794),IF(ISNUMBER(SEARCH("Party Name-",'R.M Billets Reports'!D794)),TRIM(MID('R.M Billets Reports'!D794,SEARCH("-",'R.M Billets Reports'!D794)+1,200)),""))&lt;&gt;"",IF(ISNUMBER(SEARCH("Party Name:-",'R.M Billets Reports'!D794)),TRIM('R.M Billets Reports'!F794),IF(ISNUMBER(SEARCH("Party Name-",'R.M Billets Reports'!D794)),TRIM(MID('R.M Billets Reports'!D794,SEARCH("-",'R.M Billets Reports'!D794)+1,200)),"")),IF(ISNUMBER(SEARCH("Party Name:-",'R.M Billets Reports'!D795)),TRIM('R.M Billets Reports'!F795),IF(ISNUMBER(SEARCH("Party Name-",'R.M Billets Reports'!D795)),TRIM(MID('R.M Billets Reports'!D795,SEARCH("-",'R.M Billets Reports'!D795)+1,200)),"")))))),IF(ROW()=2,"",A794))</f>
      </c>
      <c r="B795">
        <f>IF(OR('R.M Billets Reports'!A794="Date-",'R.M Billets Reports'!A794="Date:-"),'R.M Billets Reports'!B794,IF(ROW()=2,"",B794))</f>
      </c>
      <c r="C795">
        <f>IF('R.M Billets Reports'!A794="V.No.",'R.M Billets Reports'!B794,IF(ROW()=2,"",C794))</f>
      </c>
      <c r="D795">
        <f>IF('R.M Billets Reports'!A794&lt;&gt;"",'R.M Billets Reports'!A794,IF(ROW()=2,"",D794))</f>
      </c>
      <c r="E795">
        <f>IF('R.M Billets Reports'!B794="","",TRIM('R.M Billets Reports'!B794))</f>
      </c>
      <c r="F795">
        <f>'R.M Billets Reports'!C794</f>
      </c>
      <c r="G795">
        <f>'R.M Billets Reports'!D794</f>
      </c>
      <c r="H795">
        <f>'R.M Billets Reports'!E794</f>
      </c>
      <c r="I795">
        <f>'R.M Billets Reports'!F794</f>
      </c>
      <c r="J795">
        <f>'R.M Billets Reports'!G794</f>
      </c>
      <c r="K795">
        <f>'R.M Billets Reports'!H794</f>
      </c>
      <c r="L795">
        <f>IF('R.M Billets Reports'!I794="","",'R.M Billets Reports'!I794)</f>
      </c>
      <c r="M795">
        <f t="shared" si="24"/>
      </c>
      <c r="N795">
        <f>IF('R.M Billets Reports'!J794="","",'R.M Billets Reports'!J794)</f>
      </c>
      <c r="O795">
        <f t="shared" si="25"/>
      </c>
      <c r="P795">
        <f>IF('R.M Billets Reports'!A794="SIZE",'R.M Billets Reports'!B794,P794)</f>
      </c>
    </row>
    <row r="796" spans="1:16" x14ac:dyDescent="0.25">
      <c r="A796">
        <f>IF(OR('R.M Billets Reports'!A795="Date-",'R.M Billets Reports'!A795="Date:-"),IF(IF(IF(ISNUMBER(SEARCH("Party Name:-",'R.M Billets Reports'!D795)),TRIM('R.M Billets Reports'!F795),IF(ISNUMBER(SEARCH("Party Name-",'R.M Billets Reports'!D795)),TRIM(MID('R.M Billets Reports'!D795,SEARCH("-",'R.M Billets Reports'!D795)+1,200)),""))&lt;&gt;"",IF(ISNUMBER(SEARCH("Party Name:-",'R.M Billets Reports'!D795)),TRIM('R.M Billets Reports'!F795),IF(ISNUMBER(SEARCH("Party Name-",'R.M Billets Reports'!D795)),TRIM(MID('R.M Billets Reports'!D795,SEARCH("-",'R.M Billets Reports'!D795)+1,200)),"")),IF(ISNUMBER(SEARCH("Party Name:-",'R.M Billets Reports'!D796)),TRIM('R.M Billets Reports'!F796),IF(ISNUMBER(SEARCH("Party Name-",'R.M Billets Reports'!D796)),TRIM(MID('R.M Billets Reports'!D796,SEARCH("-",'R.M Billets Reports'!D796)+1,200)),"")))="VRKP ISPAT PVT LTD","VRKP",IF(IF(IF(ISNUMBER(SEARCH("Party Name:-",'R.M Billets Reports'!D795)),TRIM('R.M Billets Reports'!F795),IF(ISNUMBER(SEARCH("Party Name-",'R.M Billets Reports'!D795)),TRIM(MID('R.M Billets Reports'!D795,SEARCH("-",'R.M Billets Reports'!D795)+1,200)),""))&lt;&gt;"",IF(ISNUMBER(SEARCH("Party Name:-",'R.M Billets Reports'!D795)),TRIM('R.M Billets Reports'!F795),IF(ISNUMBER(SEARCH("Party Name-",'R.M Billets Reports'!D795)),TRIM(MID('R.M Billets Reports'!D795,SEARCH("-",'R.M Billets Reports'!D795)+1,200)),"")),IF(ISNUMBER(SEARCH("Party Name:-",'R.M Billets Reports'!D796)),TRIM('R.M Billets Reports'!F796),IF(ISNUMBER(SEARCH("Party Name-",'R.M Billets Reports'!D796)),TRIM(MID('R.M Billets Reports'!D796,SEARCH("-",'R.M Billets Reports'!D796)+1,200)),"")))="SHRI RADHE","SHREE RADHE",IF(IF(IF(ISNUMBER(SEARCH("Party Name:-",'R.M Billets Reports'!D795)),TRIM('R.M Billets Reports'!F795),IF(ISNUMBER(SEARCH("Party Name-",'R.M Billets Reports'!D795)),TRIM(MID('R.M Billets Reports'!D795,SEARCH("-",'R.M Billets Reports'!D795)+1,200)),""))&lt;&gt;"",IF(ISNUMBER(SEARCH("Party Name:-",'R.M Billets Reports'!D795)),TRIM('R.M Billets Reports'!F795),IF(ISNUMBER(SEARCH("Party Name-",'R.M Billets Reports'!D795)),TRIM(MID('R.M Billets Reports'!D795,SEARCH("-",'R.M Billets Reports'!D795)+1,200)),"")),IF(ISNUMBER(SEARCH("Party Name:-",'R.M Billets Reports'!D796)),TRIM('R.M Billets Reports'!F796),IF(ISNUMBER(SEARCH("Party Name-",'R.M Billets Reports'!D796)),TRIM(MID('R.M Billets Reports'!D796,SEARCH("-",'R.M Billets Reports'!D796)+1,200)),"")))="SHREE RADHE SHAKTI SPONGE AND POWER PVT. LTD.","SHREE RADHE",IF(IF(ISNUMBER(SEARCH("Party Name:-",'R.M Billets Reports'!D795)),TRIM('R.M Billets Reports'!F795),IF(ISNUMBER(SEARCH("Party Name-",'R.M Billets Reports'!D795)),TRIM(MID('R.M Billets Reports'!D795,SEARCH("-",'R.M Billets Reports'!D795)+1,200)),""))&lt;&gt;"",IF(ISNUMBER(SEARCH("Party Name:-",'R.M Billets Reports'!D795)),TRIM('R.M Billets Reports'!F795),IF(ISNUMBER(SEARCH("Party Name-",'R.M Billets Reports'!D795)),TRIM(MID('R.M Billets Reports'!D795,SEARCH("-",'R.M Billets Reports'!D795)+1,200)),"")),IF(ISNUMBER(SEARCH("Party Name:-",'R.M Billets Reports'!D796)),TRIM('R.M Billets Reports'!F796),IF(ISNUMBER(SEARCH("Party Name-",'R.M Billets Reports'!D796)),TRIM(MID('R.M Billets Reports'!D796,SEARCH("-",'R.M Billets Reports'!D796)+1,200)),"")))))),IF(ROW()=2,"",A795))</f>
      </c>
      <c r="B796">
        <f>IF(OR('R.M Billets Reports'!A795="Date-",'R.M Billets Reports'!A795="Date:-"),'R.M Billets Reports'!B795,IF(ROW()=2,"",B795))</f>
      </c>
      <c r="C796">
        <f>IF('R.M Billets Reports'!A795="V.No.",'R.M Billets Reports'!B795,IF(ROW()=2,"",C795))</f>
      </c>
      <c r="D796">
        <f>IF('R.M Billets Reports'!A795&lt;&gt;"",'R.M Billets Reports'!A795,IF(ROW()=2,"",D795))</f>
      </c>
      <c r="E796">
        <f>IF('R.M Billets Reports'!B795="","",TRIM('R.M Billets Reports'!B795))</f>
      </c>
      <c r="F796">
        <f>'R.M Billets Reports'!C795</f>
      </c>
      <c r="G796">
        <f>'R.M Billets Reports'!D795</f>
      </c>
      <c r="H796">
        <f>'R.M Billets Reports'!E795</f>
      </c>
      <c r="I796">
        <f>'R.M Billets Reports'!F795</f>
      </c>
      <c r="J796">
        <f>'R.M Billets Reports'!G795</f>
      </c>
      <c r="K796">
        <f>'R.M Billets Reports'!H795</f>
      </c>
      <c r="L796">
        <f>IF('R.M Billets Reports'!I795="","",'R.M Billets Reports'!I795)</f>
      </c>
      <c r="M796">
        <f t="shared" si="24"/>
      </c>
      <c r="N796">
        <f>IF('R.M Billets Reports'!J795="","",'R.M Billets Reports'!J795)</f>
      </c>
      <c r="O796">
        <f t="shared" si="25"/>
      </c>
      <c r="P796">
        <f>IF('R.M Billets Reports'!A795="SIZE",'R.M Billets Reports'!B795,P795)</f>
      </c>
    </row>
    <row r="797" spans="1:16" x14ac:dyDescent="0.25">
      <c r="A797">
        <f>IF(OR('R.M Billets Reports'!A796="Date-",'R.M Billets Reports'!A796="Date:-"),IF(IF(IF(ISNUMBER(SEARCH("Party Name:-",'R.M Billets Reports'!D796)),TRIM('R.M Billets Reports'!F796),IF(ISNUMBER(SEARCH("Party Name-",'R.M Billets Reports'!D796)),TRIM(MID('R.M Billets Reports'!D796,SEARCH("-",'R.M Billets Reports'!D796)+1,200)),""))&lt;&gt;"",IF(ISNUMBER(SEARCH("Party Name:-",'R.M Billets Reports'!D796)),TRIM('R.M Billets Reports'!F796),IF(ISNUMBER(SEARCH("Party Name-",'R.M Billets Reports'!D796)),TRIM(MID('R.M Billets Reports'!D796,SEARCH("-",'R.M Billets Reports'!D796)+1,200)),"")),IF(ISNUMBER(SEARCH("Party Name:-",'R.M Billets Reports'!D797)),TRIM('R.M Billets Reports'!F797),IF(ISNUMBER(SEARCH("Party Name-",'R.M Billets Reports'!D797)),TRIM(MID('R.M Billets Reports'!D797,SEARCH("-",'R.M Billets Reports'!D797)+1,200)),"")))="VRKP ISPAT PVT LTD","VRKP",IF(IF(IF(ISNUMBER(SEARCH("Party Name:-",'R.M Billets Reports'!D796)),TRIM('R.M Billets Reports'!F796),IF(ISNUMBER(SEARCH("Party Name-",'R.M Billets Reports'!D796)),TRIM(MID('R.M Billets Reports'!D796,SEARCH("-",'R.M Billets Reports'!D796)+1,200)),""))&lt;&gt;"",IF(ISNUMBER(SEARCH("Party Name:-",'R.M Billets Reports'!D796)),TRIM('R.M Billets Reports'!F796),IF(ISNUMBER(SEARCH("Party Name-",'R.M Billets Reports'!D796)),TRIM(MID('R.M Billets Reports'!D796,SEARCH("-",'R.M Billets Reports'!D796)+1,200)),"")),IF(ISNUMBER(SEARCH("Party Name:-",'R.M Billets Reports'!D797)),TRIM('R.M Billets Reports'!F797),IF(ISNUMBER(SEARCH("Party Name-",'R.M Billets Reports'!D797)),TRIM(MID('R.M Billets Reports'!D797,SEARCH("-",'R.M Billets Reports'!D797)+1,200)),"")))="SHRI RADHE","SHREE RADHE",IF(IF(IF(ISNUMBER(SEARCH("Party Name:-",'R.M Billets Reports'!D796)),TRIM('R.M Billets Reports'!F796),IF(ISNUMBER(SEARCH("Party Name-",'R.M Billets Reports'!D796)),TRIM(MID('R.M Billets Reports'!D796,SEARCH("-",'R.M Billets Reports'!D796)+1,200)),""))&lt;&gt;"",IF(ISNUMBER(SEARCH("Party Name:-",'R.M Billets Reports'!D796)),TRIM('R.M Billets Reports'!F796),IF(ISNUMBER(SEARCH("Party Name-",'R.M Billets Reports'!D796)),TRIM(MID('R.M Billets Reports'!D796,SEARCH("-",'R.M Billets Reports'!D796)+1,200)),"")),IF(ISNUMBER(SEARCH("Party Name:-",'R.M Billets Reports'!D797)),TRIM('R.M Billets Reports'!F797),IF(ISNUMBER(SEARCH("Party Name-",'R.M Billets Reports'!D797)),TRIM(MID('R.M Billets Reports'!D797,SEARCH("-",'R.M Billets Reports'!D797)+1,200)),"")))="SHREE RADHE SHAKTI SPONGE AND POWER PVT. LTD.","SHREE RADHE",IF(IF(ISNUMBER(SEARCH("Party Name:-",'R.M Billets Reports'!D796)),TRIM('R.M Billets Reports'!F796),IF(ISNUMBER(SEARCH("Party Name-",'R.M Billets Reports'!D796)),TRIM(MID('R.M Billets Reports'!D796,SEARCH("-",'R.M Billets Reports'!D796)+1,200)),""))&lt;&gt;"",IF(ISNUMBER(SEARCH("Party Name:-",'R.M Billets Reports'!D796)),TRIM('R.M Billets Reports'!F796),IF(ISNUMBER(SEARCH("Party Name-",'R.M Billets Reports'!D796)),TRIM(MID('R.M Billets Reports'!D796,SEARCH("-",'R.M Billets Reports'!D796)+1,200)),"")),IF(ISNUMBER(SEARCH("Party Name:-",'R.M Billets Reports'!D797)),TRIM('R.M Billets Reports'!F797),IF(ISNUMBER(SEARCH("Party Name-",'R.M Billets Reports'!D797)),TRIM(MID('R.M Billets Reports'!D797,SEARCH("-",'R.M Billets Reports'!D797)+1,200)),"")))))),IF(ROW()=2,"",A796))</f>
      </c>
      <c r="B797">
        <f>IF(OR('R.M Billets Reports'!A796="Date-",'R.M Billets Reports'!A796="Date:-"),'R.M Billets Reports'!B796,IF(ROW()=2,"",B796))</f>
      </c>
      <c r="C797">
        <f>IF('R.M Billets Reports'!A796="V.No.",'R.M Billets Reports'!B796,IF(ROW()=2,"",C796))</f>
      </c>
      <c r="D797">
        <f>IF('R.M Billets Reports'!A796&lt;&gt;"",'R.M Billets Reports'!A796,IF(ROW()=2,"",D796))</f>
      </c>
      <c r="E797">
        <f>IF('R.M Billets Reports'!B796="","",TRIM('R.M Billets Reports'!B796))</f>
      </c>
      <c r="F797">
        <f>'R.M Billets Reports'!C796</f>
      </c>
      <c r="G797">
        <f>'R.M Billets Reports'!D796</f>
      </c>
      <c r="H797">
        <f>'R.M Billets Reports'!E796</f>
      </c>
      <c r="I797">
        <f>'R.M Billets Reports'!F796</f>
      </c>
      <c r="J797">
        <f>'R.M Billets Reports'!G796</f>
      </c>
      <c r="K797">
        <f>'R.M Billets Reports'!H796</f>
      </c>
      <c r="L797">
        <f>IF('R.M Billets Reports'!I796="","",'R.M Billets Reports'!I796)</f>
      </c>
      <c r="M797">
        <f t="shared" si="24"/>
      </c>
      <c r="N797">
        <f>IF('R.M Billets Reports'!J796="","",'R.M Billets Reports'!J796)</f>
      </c>
      <c r="O797">
        <f t="shared" si="25"/>
      </c>
      <c r="P797">
        <f>IF('R.M Billets Reports'!A796="SIZE",'R.M Billets Reports'!B796,P796)</f>
      </c>
    </row>
    <row r="798" spans="1:16" x14ac:dyDescent="0.25">
      <c r="A798">
        <f>IF(OR('R.M Billets Reports'!A797="Date-",'R.M Billets Reports'!A797="Date:-"),IF(IF(IF(ISNUMBER(SEARCH("Party Name:-",'R.M Billets Reports'!D797)),TRIM('R.M Billets Reports'!F797),IF(ISNUMBER(SEARCH("Party Name-",'R.M Billets Reports'!D797)),TRIM(MID('R.M Billets Reports'!D797,SEARCH("-",'R.M Billets Reports'!D797)+1,200)),""))&lt;&gt;"",IF(ISNUMBER(SEARCH("Party Name:-",'R.M Billets Reports'!D797)),TRIM('R.M Billets Reports'!F797),IF(ISNUMBER(SEARCH("Party Name-",'R.M Billets Reports'!D797)),TRIM(MID('R.M Billets Reports'!D797,SEARCH("-",'R.M Billets Reports'!D797)+1,200)),"")),IF(ISNUMBER(SEARCH("Party Name:-",'R.M Billets Reports'!D798)),TRIM('R.M Billets Reports'!F798),IF(ISNUMBER(SEARCH("Party Name-",'R.M Billets Reports'!D798)),TRIM(MID('R.M Billets Reports'!D798,SEARCH("-",'R.M Billets Reports'!D798)+1,200)),"")))="VRKP ISPAT PVT LTD","VRKP",IF(IF(IF(ISNUMBER(SEARCH("Party Name:-",'R.M Billets Reports'!D797)),TRIM('R.M Billets Reports'!F797),IF(ISNUMBER(SEARCH("Party Name-",'R.M Billets Reports'!D797)),TRIM(MID('R.M Billets Reports'!D797,SEARCH("-",'R.M Billets Reports'!D797)+1,200)),""))&lt;&gt;"",IF(ISNUMBER(SEARCH("Party Name:-",'R.M Billets Reports'!D797)),TRIM('R.M Billets Reports'!F797),IF(ISNUMBER(SEARCH("Party Name-",'R.M Billets Reports'!D797)),TRIM(MID('R.M Billets Reports'!D797,SEARCH("-",'R.M Billets Reports'!D797)+1,200)),"")),IF(ISNUMBER(SEARCH("Party Name:-",'R.M Billets Reports'!D798)),TRIM('R.M Billets Reports'!F798),IF(ISNUMBER(SEARCH("Party Name-",'R.M Billets Reports'!D798)),TRIM(MID('R.M Billets Reports'!D798,SEARCH("-",'R.M Billets Reports'!D798)+1,200)),"")))="SHRI RADHE","SHREE RADHE",IF(IF(IF(ISNUMBER(SEARCH("Party Name:-",'R.M Billets Reports'!D797)),TRIM('R.M Billets Reports'!F797),IF(ISNUMBER(SEARCH("Party Name-",'R.M Billets Reports'!D797)),TRIM(MID('R.M Billets Reports'!D797,SEARCH("-",'R.M Billets Reports'!D797)+1,200)),""))&lt;&gt;"",IF(ISNUMBER(SEARCH("Party Name:-",'R.M Billets Reports'!D797)),TRIM('R.M Billets Reports'!F797),IF(ISNUMBER(SEARCH("Party Name-",'R.M Billets Reports'!D797)),TRIM(MID('R.M Billets Reports'!D797,SEARCH("-",'R.M Billets Reports'!D797)+1,200)),"")),IF(ISNUMBER(SEARCH("Party Name:-",'R.M Billets Reports'!D798)),TRIM('R.M Billets Reports'!F798),IF(ISNUMBER(SEARCH("Party Name-",'R.M Billets Reports'!D798)),TRIM(MID('R.M Billets Reports'!D798,SEARCH("-",'R.M Billets Reports'!D798)+1,200)),"")))="SHREE RADHE SHAKTI SPONGE AND POWER PVT. LTD.","SHREE RADHE",IF(IF(ISNUMBER(SEARCH("Party Name:-",'R.M Billets Reports'!D797)),TRIM('R.M Billets Reports'!F797),IF(ISNUMBER(SEARCH("Party Name-",'R.M Billets Reports'!D797)),TRIM(MID('R.M Billets Reports'!D797,SEARCH("-",'R.M Billets Reports'!D797)+1,200)),""))&lt;&gt;"",IF(ISNUMBER(SEARCH("Party Name:-",'R.M Billets Reports'!D797)),TRIM('R.M Billets Reports'!F797),IF(ISNUMBER(SEARCH("Party Name-",'R.M Billets Reports'!D797)),TRIM(MID('R.M Billets Reports'!D797,SEARCH("-",'R.M Billets Reports'!D797)+1,200)),"")),IF(ISNUMBER(SEARCH("Party Name:-",'R.M Billets Reports'!D798)),TRIM('R.M Billets Reports'!F798),IF(ISNUMBER(SEARCH("Party Name-",'R.M Billets Reports'!D798)),TRIM(MID('R.M Billets Reports'!D798,SEARCH("-",'R.M Billets Reports'!D798)+1,200)),"")))))),IF(ROW()=2,"",A797))</f>
      </c>
      <c r="B798">
        <f>IF(OR('R.M Billets Reports'!A797="Date-",'R.M Billets Reports'!A797="Date:-"),'R.M Billets Reports'!B797,IF(ROW()=2,"",B797))</f>
      </c>
      <c r="C798">
        <f>IF('R.M Billets Reports'!A797="V.No.",'R.M Billets Reports'!B797,IF(ROW()=2,"",C797))</f>
      </c>
      <c r="D798">
        <f>IF('R.M Billets Reports'!A797&lt;&gt;"",'R.M Billets Reports'!A797,IF(ROW()=2,"",D797))</f>
      </c>
      <c r="E798">
        <f>IF('R.M Billets Reports'!B797="","",TRIM('R.M Billets Reports'!B797))</f>
      </c>
      <c r="F798">
        <f>'R.M Billets Reports'!C797</f>
      </c>
      <c r="G798">
        <f>'R.M Billets Reports'!D797</f>
      </c>
      <c r="H798">
        <f>'R.M Billets Reports'!E797</f>
      </c>
      <c r="I798">
        <f>'R.M Billets Reports'!F797</f>
      </c>
      <c r="J798">
        <f>'R.M Billets Reports'!G797</f>
      </c>
      <c r="K798">
        <f>'R.M Billets Reports'!H797</f>
      </c>
      <c r="L798">
        <f>IF('R.M Billets Reports'!I797="","",'R.M Billets Reports'!I797)</f>
      </c>
      <c r="M798">
        <f t="shared" si="24"/>
      </c>
      <c r="N798">
        <f>IF('R.M Billets Reports'!J797="","",'R.M Billets Reports'!J797)</f>
      </c>
      <c r="O798">
        <f t="shared" si="25"/>
      </c>
      <c r="P798">
        <f>IF('R.M Billets Reports'!A797="SIZE",'R.M Billets Reports'!B797,P797)</f>
      </c>
    </row>
    <row r="799" spans="1:16" x14ac:dyDescent="0.25">
      <c r="A799">
        <f>IF(OR('R.M Billets Reports'!A798="Date-",'R.M Billets Reports'!A798="Date:-"),IF(IF(IF(ISNUMBER(SEARCH("Party Name:-",'R.M Billets Reports'!D798)),TRIM('R.M Billets Reports'!F798),IF(ISNUMBER(SEARCH("Party Name-",'R.M Billets Reports'!D798)),TRIM(MID('R.M Billets Reports'!D798,SEARCH("-",'R.M Billets Reports'!D798)+1,200)),""))&lt;&gt;"",IF(ISNUMBER(SEARCH("Party Name:-",'R.M Billets Reports'!D798)),TRIM('R.M Billets Reports'!F798),IF(ISNUMBER(SEARCH("Party Name-",'R.M Billets Reports'!D798)),TRIM(MID('R.M Billets Reports'!D798,SEARCH("-",'R.M Billets Reports'!D798)+1,200)),"")),IF(ISNUMBER(SEARCH("Party Name:-",'R.M Billets Reports'!D799)),TRIM('R.M Billets Reports'!F799),IF(ISNUMBER(SEARCH("Party Name-",'R.M Billets Reports'!D799)),TRIM(MID('R.M Billets Reports'!D799,SEARCH("-",'R.M Billets Reports'!D799)+1,200)),"")))="VRKP ISPAT PVT LTD","VRKP",IF(IF(IF(ISNUMBER(SEARCH("Party Name:-",'R.M Billets Reports'!D798)),TRIM('R.M Billets Reports'!F798),IF(ISNUMBER(SEARCH("Party Name-",'R.M Billets Reports'!D798)),TRIM(MID('R.M Billets Reports'!D798,SEARCH("-",'R.M Billets Reports'!D798)+1,200)),""))&lt;&gt;"",IF(ISNUMBER(SEARCH("Party Name:-",'R.M Billets Reports'!D798)),TRIM('R.M Billets Reports'!F798),IF(ISNUMBER(SEARCH("Party Name-",'R.M Billets Reports'!D798)),TRIM(MID('R.M Billets Reports'!D798,SEARCH("-",'R.M Billets Reports'!D798)+1,200)),"")),IF(ISNUMBER(SEARCH("Party Name:-",'R.M Billets Reports'!D799)),TRIM('R.M Billets Reports'!F799),IF(ISNUMBER(SEARCH("Party Name-",'R.M Billets Reports'!D799)),TRIM(MID('R.M Billets Reports'!D799,SEARCH("-",'R.M Billets Reports'!D799)+1,200)),"")))="SHRI RADHE","SHREE RADHE",IF(IF(IF(ISNUMBER(SEARCH("Party Name:-",'R.M Billets Reports'!D798)),TRIM('R.M Billets Reports'!F798),IF(ISNUMBER(SEARCH("Party Name-",'R.M Billets Reports'!D798)),TRIM(MID('R.M Billets Reports'!D798,SEARCH("-",'R.M Billets Reports'!D798)+1,200)),""))&lt;&gt;"",IF(ISNUMBER(SEARCH("Party Name:-",'R.M Billets Reports'!D798)),TRIM('R.M Billets Reports'!F798),IF(ISNUMBER(SEARCH("Party Name-",'R.M Billets Reports'!D798)),TRIM(MID('R.M Billets Reports'!D798,SEARCH("-",'R.M Billets Reports'!D798)+1,200)),"")),IF(ISNUMBER(SEARCH("Party Name:-",'R.M Billets Reports'!D799)),TRIM('R.M Billets Reports'!F799),IF(ISNUMBER(SEARCH("Party Name-",'R.M Billets Reports'!D799)),TRIM(MID('R.M Billets Reports'!D799,SEARCH("-",'R.M Billets Reports'!D799)+1,200)),"")))="SHREE RADHE SHAKTI SPONGE AND POWER PVT. LTD.","SHREE RADHE",IF(IF(ISNUMBER(SEARCH("Party Name:-",'R.M Billets Reports'!D798)),TRIM('R.M Billets Reports'!F798),IF(ISNUMBER(SEARCH("Party Name-",'R.M Billets Reports'!D798)),TRIM(MID('R.M Billets Reports'!D798,SEARCH("-",'R.M Billets Reports'!D798)+1,200)),""))&lt;&gt;"",IF(ISNUMBER(SEARCH("Party Name:-",'R.M Billets Reports'!D798)),TRIM('R.M Billets Reports'!F798),IF(ISNUMBER(SEARCH("Party Name-",'R.M Billets Reports'!D798)),TRIM(MID('R.M Billets Reports'!D798,SEARCH("-",'R.M Billets Reports'!D798)+1,200)),"")),IF(ISNUMBER(SEARCH("Party Name:-",'R.M Billets Reports'!D799)),TRIM('R.M Billets Reports'!F799),IF(ISNUMBER(SEARCH("Party Name-",'R.M Billets Reports'!D799)),TRIM(MID('R.M Billets Reports'!D799,SEARCH("-",'R.M Billets Reports'!D799)+1,200)),"")))))),IF(ROW()=2,"",A798))</f>
      </c>
      <c r="B799">
        <f>IF(OR('R.M Billets Reports'!A798="Date-",'R.M Billets Reports'!A798="Date:-"),'R.M Billets Reports'!B798,IF(ROW()=2,"",B798))</f>
      </c>
      <c r="C799">
        <f>IF('R.M Billets Reports'!A798="V.No.",'R.M Billets Reports'!B798,IF(ROW()=2,"",C798))</f>
      </c>
      <c r="D799">
        <f>IF('R.M Billets Reports'!A798&lt;&gt;"",'R.M Billets Reports'!A798,IF(ROW()=2,"",D798))</f>
      </c>
      <c r="E799">
        <f>IF('R.M Billets Reports'!B798="","",TRIM('R.M Billets Reports'!B798))</f>
      </c>
      <c r="F799">
        <f>'R.M Billets Reports'!C798</f>
      </c>
      <c r="G799">
        <f>'R.M Billets Reports'!D798</f>
      </c>
      <c r="H799">
        <f>'R.M Billets Reports'!E798</f>
      </c>
      <c r="I799">
        <f>'R.M Billets Reports'!F798</f>
      </c>
      <c r="J799">
        <f>'R.M Billets Reports'!G798</f>
      </c>
      <c r="K799">
        <f>'R.M Billets Reports'!H798</f>
      </c>
      <c r="L799">
        <f>IF('R.M Billets Reports'!I798="","",'R.M Billets Reports'!I798)</f>
      </c>
      <c r="M799">
        <f t="shared" si="24"/>
      </c>
      <c r="N799">
        <f>IF('R.M Billets Reports'!J798="","",'R.M Billets Reports'!J798)</f>
      </c>
      <c r="O799">
        <f t="shared" si="25"/>
      </c>
      <c r="P799">
        <f>IF('R.M Billets Reports'!A798="SIZE",'R.M Billets Reports'!B798,P798)</f>
      </c>
    </row>
    <row r="800" spans="1:16" x14ac:dyDescent="0.25">
      <c r="A800">
        <f>IF(OR('R.M Billets Reports'!A799="Date-",'R.M Billets Reports'!A799="Date:-"),IF(IF(IF(ISNUMBER(SEARCH("Party Name:-",'R.M Billets Reports'!D799)),TRIM('R.M Billets Reports'!F799),IF(ISNUMBER(SEARCH("Party Name-",'R.M Billets Reports'!D799)),TRIM(MID('R.M Billets Reports'!D799,SEARCH("-",'R.M Billets Reports'!D799)+1,200)),""))&lt;&gt;"",IF(ISNUMBER(SEARCH("Party Name:-",'R.M Billets Reports'!D799)),TRIM('R.M Billets Reports'!F799),IF(ISNUMBER(SEARCH("Party Name-",'R.M Billets Reports'!D799)),TRIM(MID('R.M Billets Reports'!D799,SEARCH("-",'R.M Billets Reports'!D799)+1,200)),"")),IF(ISNUMBER(SEARCH("Party Name:-",'R.M Billets Reports'!D800)),TRIM('R.M Billets Reports'!F800),IF(ISNUMBER(SEARCH("Party Name-",'R.M Billets Reports'!D800)),TRIM(MID('R.M Billets Reports'!D800,SEARCH("-",'R.M Billets Reports'!D800)+1,200)),"")))="VRKP ISPAT PVT LTD","VRKP",IF(IF(IF(ISNUMBER(SEARCH("Party Name:-",'R.M Billets Reports'!D799)),TRIM('R.M Billets Reports'!F799),IF(ISNUMBER(SEARCH("Party Name-",'R.M Billets Reports'!D799)),TRIM(MID('R.M Billets Reports'!D799,SEARCH("-",'R.M Billets Reports'!D799)+1,200)),""))&lt;&gt;"",IF(ISNUMBER(SEARCH("Party Name:-",'R.M Billets Reports'!D799)),TRIM('R.M Billets Reports'!F799),IF(ISNUMBER(SEARCH("Party Name-",'R.M Billets Reports'!D799)),TRIM(MID('R.M Billets Reports'!D799,SEARCH("-",'R.M Billets Reports'!D799)+1,200)),"")),IF(ISNUMBER(SEARCH("Party Name:-",'R.M Billets Reports'!D800)),TRIM('R.M Billets Reports'!F800),IF(ISNUMBER(SEARCH("Party Name-",'R.M Billets Reports'!D800)),TRIM(MID('R.M Billets Reports'!D800,SEARCH("-",'R.M Billets Reports'!D800)+1,200)),"")))="SHRI RADHE","SHREE RADHE",IF(IF(IF(ISNUMBER(SEARCH("Party Name:-",'R.M Billets Reports'!D799)),TRIM('R.M Billets Reports'!F799),IF(ISNUMBER(SEARCH("Party Name-",'R.M Billets Reports'!D799)),TRIM(MID('R.M Billets Reports'!D799,SEARCH("-",'R.M Billets Reports'!D799)+1,200)),""))&lt;&gt;"",IF(ISNUMBER(SEARCH("Party Name:-",'R.M Billets Reports'!D799)),TRIM('R.M Billets Reports'!F799),IF(ISNUMBER(SEARCH("Party Name-",'R.M Billets Reports'!D799)),TRIM(MID('R.M Billets Reports'!D799,SEARCH("-",'R.M Billets Reports'!D799)+1,200)),"")),IF(ISNUMBER(SEARCH("Party Name:-",'R.M Billets Reports'!D800)),TRIM('R.M Billets Reports'!F800),IF(ISNUMBER(SEARCH("Party Name-",'R.M Billets Reports'!D800)),TRIM(MID('R.M Billets Reports'!D800,SEARCH("-",'R.M Billets Reports'!D800)+1,200)),"")))="SHREE RADHE SHAKTI SPONGE AND POWER PVT. LTD.","SHREE RADHE",IF(IF(ISNUMBER(SEARCH("Party Name:-",'R.M Billets Reports'!D799)),TRIM('R.M Billets Reports'!F799),IF(ISNUMBER(SEARCH("Party Name-",'R.M Billets Reports'!D799)),TRIM(MID('R.M Billets Reports'!D799,SEARCH("-",'R.M Billets Reports'!D799)+1,200)),""))&lt;&gt;"",IF(ISNUMBER(SEARCH("Party Name:-",'R.M Billets Reports'!D799)),TRIM('R.M Billets Reports'!F799),IF(ISNUMBER(SEARCH("Party Name-",'R.M Billets Reports'!D799)),TRIM(MID('R.M Billets Reports'!D799,SEARCH("-",'R.M Billets Reports'!D799)+1,200)),"")),IF(ISNUMBER(SEARCH("Party Name:-",'R.M Billets Reports'!D800)),TRIM('R.M Billets Reports'!F800),IF(ISNUMBER(SEARCH("Party Name-",'R.M Billets Reports'!D800)),TRIM(MID('R.M Billets Reports'!D800,SEARCH("-",'R.M Billets Reports'!D800)+1,200)),"")))))),IF(ROW()=2,"",A799))</f>
      </c>
      <c r="B800">
        <f>IF(OR('R.M Billets Reports'!A799="Date-",'R.M Billets Reports'!A799="Date:-"),'R.M Billets Reports'!B799,IF(ROW()=2,"",B799))</f>
      </c>
      <c r="C800">
        <f>IF('R.M Billets Reports'!A799="V.No.",'R.M Billets Reports'!B799,IF(ROW()=2,"",C799))</f>
      </c>
      <c r="D800">
        <f>IF('R.M Billets Reports'!A799&lt;&gt;"",'R.M Billets Reports'!A799,IF(ROW()=2,"",D799))</f>
      </c>
      <c r="E800">
        <f>IF('R.M Billets Reports'!B799="","",TRIM('R.M Billets Reports'!B799))</f>
      </c>
      <c r="F800">
        <f>'R.M Billets Reports'!C799</f>
      </c>
      <c r="G800">
        <f>'R.M Billets Reports'!D799</f>
      </c>
      <c r="H800">
        <f>'R.M Billets Reports'!E799</f>
      </c>
      <c r="I800">
        <f>'R.M Billets Reports'!F799</f>
      </c>
      <c r="J800">
        <f>'R.M Billets Reports'!G799</f>
      </c>
      <c r="K800">
        <f>'R.M Billets Reports'!H799</f>
      </c>
      <c r="L800">
        <f>IF('R.M Billets Reports'!I799="","",'R.M Billets Reports'!I799)</f>
      </c>
      <c r="M800">
        <f t="shared" si="24"/>
      </c>
      <c r="N800">
        <f>IF('R.M Billets Reports'!J799="","",'R.M Billets Reports'!J799)</f>
      </c>
      <c r="O800">
        <f t="shared" si="25"/>
      </c>
      <c r="P800">
        <f>IF('R.M Billets Reports'!A799="SIZE",'R.M Billets Reports'!B799,P799)</f>
      </c>
    </row>
    <row r="801" spans="1:16" x14ac:dyDescent="0.25">
      <c r="A801">
        <f>IF(OR('R.M Billets Reports'!A800="Date-",'R.M Billets Reports'!A800="Date:-"),IF(IF(IF(ISNUMBER(SEARCH("Party Name:-",'R.M Billets Reports'!D800)),TRIM('R.M Billets Reports'!F800),IF(ISNUMBER(SEARCH("Party Name-",'R.M Billets Reports'!D800)),TRIM(MID('R.M Billets Reports'!D800,SEARCH("-",'R.M Billets Reports'!D800)+1,200)),""))&lt;&gt;"",IF(ISNUMBER(SEARCH("Party Name:-",'R.M Billets Reports'!D800)),TRIM('R.M Billets Reports'!F800),IF(ISNUMBER(SEARCH("Party Name-",'R.M Billets Reports'!D800)),TRIM(MID('R.M Billets Reports'!D800,SEARCH("-",'R.M Billets Reports'!D800)+1,200)),"")),IF(ISNUMBER(SEARCH("Party Name:-",'R.M Billets Reports'!D801)),TRIM('R.M Billets Reports'!F801),IF(ISNUMBER(SEARCH("Party Name-",'R.M Billets Reports'!D801)),TRIM(MID('R.M Billets Reports'!D801,SEARCH("-",'R.M Billets Reports'!D801)+1,200)),"")))="VRKP ISPAT PVT LTD","VRKP",IF(IF(IF(ISNUMBER(SEARCH("Party Name:-",'R.M Billets Reports'!D800)),TRIM('R.M Billets Reports'!F800),IF(ISNUMBER(SEARCH("Party Name-",'R.M Billets Reports'!D800)),TRIM(MID('R.M Billets Reports'!D800,SEARCH("-",'R.M Billets Reports'!D800)+1,200)),""))&lt;&gt;"",IF(ISNUMBER(SEARCH("Party Name:-",'R.M Billets Reports'!D800)),TRIM('R.M Billets Reports'!F800),IF(ISNUMBER(SEARCH("Party Name-",'R.M Billets Reports'!D800)),TRIM(MID('R.M Billets Reports'!D800,SEARCH("-",'R.M Billets Reports'!D800)+1,200)),"")),IF(ISNUMBER(SEARCH("Party Name:-",'R.M Billets Reports'!D801)),TRIM('R.M Billets Reports'!F801),IF(ISNUMBER(SEARCH("Party Name-",'R.M Billets Reports'!D801)),TRIM(MID('R.M Billets Reports'!D801,SEARCH("-",'R.M Billets Reports'!D801)+1,200)),"")))="SHRI RADHE","SHREE RADHE",IF(IF(IF(ISNUMBER(SEARCH("Party Name:-",'R.M Billets Reports'!D800)),TRIM('R.M Billets Reports'!F800),IF(ISNUMBER(SEARCH("Party Name-",'R.M Billets Reports'!D800)),TRIM(MID('R.M Billets Reports'!D800,SEARCH("-",'R.M Billets Reports'!D800)+1,200)),""))&lt;&gt;"",IF(ISNUMBER(SEARCH("Party Name:-",'R.M Billets Reports'!D800)),TRIM('R.M Billets Reports'!F800),IF(ISNUMBER(SEARCH("Party Name-",'R.M Billets Reports'!D800)),TRIM(MID('R.M Billets Reports'!D800,SEARCH("-",'R.M Billets Reports'!D800)+1,200)),"")),IF(ISNUMBER(SEARCH("Party Name:-",'R.M Billets Reports'!D801)),TRIM('R.M Billets Reports'!F801),IF(ISNUMBER(SEARCH("Party Name-",'R.M Billets Reports'!D801)),TRIM(MID('R.M Billets Reports'!D801,SEARCH("-",'R.M Billets Reports'!D801)+1,200)),"")))="SHREE RADHE SHAKTI SPONGE AND POWER PVT. LTD.","SHREE RADHE",IF(IF(ISNUMBER(SEARCH("Party Name:-",'R.M Billets Reports'!D800)),TRIM('R.M Billets Reports'!F800),IF(ISNUMBER(SEARCH("Party Name-",'R.M Billets Reports'!D800)),TRIM(MID('R.M Billets Reports'!D800,SEARCH("-",'R.M Billets Reports'!D800)+1,200)),""))&lt;&gt;"",IF(ISNUMBER(SEARCH("Party Name:-",'R.M Billets Reports'!D800)),TRIM('R.M Billets Reports'!F800),IF(ISNUMBER(SEARCH("Party Name-",'R.M Billets Reports'!D800)),TRIM(MID('R.M Billets Reports'!D800,SEARCH("-",'R.M Billets Reports'!D800)+1,200)),"")),IF(ISNUMBER(SEARCH("Party Name:-",'R.M Billets Reports'!D801)),TRIM('R.M Billets Reports'!F801),IF(ISNUMBER(SEARCH("Party Name-",'R.M Billets Reports'!D801)),TRIM(MID('R.M Billets Reports'!D801,SEARCH("-",'R.M Billets Reports'!D801)+1,200)),"")))))),IF(ROW()=2,"",A800))</f>
      </c>
      <c r="B801">
        <f>IF(OR('R.M Billets Reports'!A800="Date-",'R.M Billets Reports'!A800="Date:-"),'R.M Billets Reports'!B800,IF(ROW()=2,"",B800))</f>
      </c>
      <c r="C801">
        <f>IF('R.M Billets Reports'!A800="V.No.",'R.M Billets Reports'!B800,IF(ROW()=2,"",C800))</f>
      </c>
      <c r="D801">
        <f>IF('R.M Billets Reports'!A800&lt;&gt;"",'R.M Billets Reports'!A800,IF(ROW()=2,"",D800))</f>
      </c>
      <c r="E801">
        <f>IF('R.M Billets Reports'!B800="","",TRIM('R.M Billets Reports'!B800))</f>
      </c>
      <c r="F801">
        <f>'R.M Billets Reports'!C800</f>
      </c>
      <c r="G801">
        <f>'R.M Billets Reports'!D800</f>
      </c>
      <c r="H801">
        <f>'R.M Billets Reports'!E800</f>
      </c>
      <c r="I801">
        <f>'R.M Billets Reports'!F800</f>
      </c>
      <c r="J801">
        <f>'R.M Billets Reports'!G800</f>
      </c>
      <c r="K801">
        <f>'R.M Billets Reports'!H800</f>
      </c>
      <c r="L801">
        <f>IF('R.M Billets Reports'!I800="","",'R.M Billets Reports'!I800)</f>
      </c>
      <c r="M801">
        <f t="shared" si="24"/>
      </c>
      <c r="N801">
        <f>IF('R.M Billets Reports'!J800="","",'R.M Billets Reports'!J800)</f>
      </c>
      <c r="O801">
        <f t="shared" si="25"/>
      </c>
      <c r="P801">
        <f>IF('R.M Billets Reports'!A800="SIZE",'R.M Billets Reports'!B800,P800)</f>
      </c>
    </row>
    <row r="802" spans="1:16" x14ac:dyDescent="0.25">
      <c r="A802">
        <f>IF(OR('R.M Billets Reports'!A801="Date-",'R.M Billets Reports'!A801="Date:-"),IF(IF(IF(ISNUMBER(SEARCH("Party Name:-",'R.M Billets Reports'!D801)),TRIM('R.M Billets Reports'!F801),IF(ISNUMBER(SEARCH("Party Name-",'R.M Billets Reports'!D801)),TRIM(MID('R.M Billets Reports'!D801,SEARCH("-",'R.M Billets Reports'!D801)+1,200)),""))&lt;&gt;"",IF(ISNUMBER(SEARCH("Party Name:-",'R.M Billets Reports'!D801)),TRIM('R.M Billets Reports'!F801),IF(ISNUMBER(SEARCH("Party Name-",'R.M Billets Reports'!D801)),TRIM(MID('R.M Billets Reports'!D801,SEARCH("-",'R.M Billets Reports'!D801)+1,200)),"")),IF(ISNUMBER(SEARCH("Party Name:-",'R.M Billets Reports'!D802)),TRIM('R.M Billets Reports'!F802),IF(ISNUMBER(SEARCH("Party Name-",'R.M Billets Reports'!D802)),TRIM(MID('R.M Billets Reports'!D802,SEARCH("-",'R.M Billets Reports'!D802)+1,200)),"")))="VRKP ISPAT PVT LTD","VRKP",IF(IF(IF(ISNUMBER(SEARCH("Party Name:-",'R.M Billets Reports'!D801)),TRIM('R.M Billets Reports'!F801),IF(ISNUMBER(SEARCH("Party Name-",'R.M Billets Reports'!D801)),TRIM(MID('R.M Billets Reports'!D801,SEARCH("-",'R.M Billets Reports'!D801)+1,200)),""))&lt;&gt;"",IF(ISNUMBER(SEARCH("Party Name:-",'R.M Billets Reports'!D801)),TRIM('R.M Billets Reports'!F801),IF(ISNUMBER(SEARCH("Party Name-",'R.M Billets Reports'!D801)),TRIM(MID('R.M Billets Reports'!D801,SEARCH("-",'R.M Billets Reports'!D801)+1,200)),"")),IF(ISNUMBER(SEARCH("Party Name:-",'R.M Billets Reports'!D802)),TRIM('R.M Billets Reports'!F802),IF(ISNUMBER(SEARCH("Party Name-",'R.M Billets Reports'!D802)),TRIM(MID('R.M Billets Reports'!D802,SEARCH("-",'R.M Billets Reports'!D802)+1,200)),"")))="SHRI RADHE","SHREE RADHE",IF(IF(IF(ISNUMBER(SEARCH("Party Name:-",'R.M Billets Reports'!D801)),TRIM('R.M Billets Reports'!F801),IF(ISNUMBER(SEARCH("Party Name-",'R.M Billets Reports'!D801)),TRIM(MID('R.M Billets Reports'!D801,SEARCH("-",'R.M Billets Reports'!D801)+1,200)),""))&lt;&gt;"",IF(ISNUMBER(SEARCH("Party Name:-",'R.M Billets Reports'!D801)),TRIM('R.M Billets Reports'!F801),IF(ISNUMBER(SEARCH("Party Name-",'R.M Billets Reports'!D801)),TRIM(MID('R.M Billets Reports'!D801,SEARCH("-",'R.M Billets Reports'!D801)+1,200)),"")),IF(ISNUMBER(SEARCH("Party Name:-",'R.M Billets Reports'!D802)),TRIM('R.M Billets Reports'!F802),IF(ISNUMBER(SEARCH("Party Name-",'R.M Billets Reports'!D802)),TRIM(MID('R.M Billets Reports'!D802,SEARCH("-",'R.M Billets Reports'!D802)+1,200)),"")))="SHREE RADHE SHAKTI SPONGE AND POWER PVT. LTD.","SHREE RADHE",IF(IF(ISNUMBER(SEARCH("Party Name:-",'R.M Billets Reports'!D801)),TRIM('R.M Billets Reports'!F801),IF(ISNUMBER(SEARCH("Party Name-",'R.M Billets Reports'!D801)),TRIM(MID('R.M Billets Reports'!D801,SEARCH("-",'R.M Billets Reports'!D801)+1,200)),""))&lt;&gt;"",IF(ISNUMBER(SEARCH("Party Name:-",'R.M Billets Reports'!D801)),TRIM('R.M Billets Reports'!F801),IF(ISNUMBER(SEARCH("Party Name-",'R.M Billets Reports'!D801)),TRIM(MID('R.M Billets Reports'!D801,SEARCH("-",'R.M Billets Reports'!D801)+1,200)),"")),IF(ISNUMBER(SEARCH("Party Name:-",'R.M Billets Reports'!D802)),TRIM('R.M Billets Reports'!F802),IF(ISNUMBER(SEARCH("Party Name-",'R.M Billets Reports'!D802)),TRIM(MID('R.M Billets Reports'!D802,SEARCH("-",'R.M Billets Reports'!D802)+1,200)),"")))))),IF(ROW()=2,"",A801))</f>
      </c>
      <c r="B802">
        <f>IF(OR('R.M Billets Reports'!A801="Date-",'R.M Billets Reports'!A801="Date:-"),'R.M Billets Reports'!B801,IF(ROW()=2,"",B801))</f>
      </c>
      <c r="C802">
        <f>IF('R.M Billets Reports'!A801="V.No.",'R.M Billets Reports'!B801,IF(ROW()=2,"",C801))</f>
      </c>
      <c r="D802">
        <f>IF('R.M Billets Reports'!A801&lt;&gt;"",'R.M Billets Reports'!A801,IF(ROW()=2,"",D801))</f>
      </c>
      <c r="E802">
        <f>IF('R.M Billets Reports'!B801="","",TRIM('R.M Billets Reports'!B801))</f>
      </c>
      <c r="F802">
        <f>'R.M Billets Reports'!C801</f>
      </c>
      <c r="G802">
        <f>'R.M Billets Reports'!D801</f>
      </c>
      <c r="H802">
        <f>'R.M Billets Reports'!E801</f>
      </c>
      <c r="I802">
        <f>'R.M Billets Reports'!F801</f>
      </c>
      <c r="J802">
        <f>'R.M Billets Reports'!G801</f>
      </c>
      <c r="K802">
        <f>'R.M Billets Reports'!H801</f>
      </c>
      <c r="L802">
        <f>IF('R.M Billets Reports'!I801="","",'R.M Billets Reports'!I801)</f>
      </c>
      <c r="M802">
        <f t="shared" si="24"/>
      </c>
      <c r="N802">
        <f>IF('R.M Billets Reports'!J801="","",'R.M Billets Reports'!J801)</f>
      </c>
      <c r="O802">
        <f t="shared" si="25"/>
      </c>
      <c r="P802">
        <f>IF('R.M Billets Reports'!A801="SIZE",'R.M Billets Reports'!B801,P801)</f>
      </c>
    </row>
    <row r="803" spans="1:16" x14ac:dyDescent="0.25">
      <c r="A803">
        <f>IF(OR('R.M Billets Reports'!A802="Date-",'R.M Billets Reports'!A802="Date:-"),IF(IF(IF(ISNUMBER(SEARCH("Party Name:-",'R.M Billets Reports'!D802)),TRIM('R.M Billets Reports'!F802),IF(ISNUMBER(SEARCH("Party Name-",'R.M Billets Reports'!D802)),TRIM(MID('R.M Billets Reports'!D802,SEARCH("-",'R.M Billets Reports'!D802)+1,200)),""))&lt;&gt;"",IF(ISNUMBER(SEARCH("Party Name:-",'R.M Billets Reports'!D802)),TRIM('R.M Billets Reports'!F802),IF(ISNUMBER(SEARCH("Party Name-",'R.M Billets Reports'!D802)),TRIM(MID('R.M Billets Reports'!D802,SEARCH("-",'R.M Billets Reports'!D802)+1,200)),"")),IF(ISNUMBER(SEARCH("Party Name:-",'R.M Billets Reports'!D803)),TRIM('R.M Billets Reports'!F803),IF(ISNUMBER(SEARCH("Party Name-",'R.M Billets Reports'!D803)),TRIM(MID('R.M Billets Reports'!D803,SEARCH("-",'R.M Billets Reports'!D803)+1,200)),"")))="VRKP ISPAT PVT LTD","VRKP",IF(IF(IF(ISNUMBER(SEARCH("Party Name:-",'R.M Billets Reports'!D802)),TRIM('R.M Billets Reports'!F802),IF(ISNUMBER(SEARCH("Party Name-",'R.M Billets Reports'!D802)),TRIM(MID('R.M Billets Reports'!D802,SEARCH("-",'R.M Billets Reports'!D802)+1,200)),""))&lt;&gt;"",IF(ISNUMBER(SEARCH("Party Name:-",'R.M Billets Reports'!D802)),TRIM('R.M Billets Reports'!F802),IF(ISNUMBER(SEARCH("Party Name-",'R.M Billets Reports'!D802)),TRIM(MID('R.M Billets Reports'!D802,SEARCH("-",'R.M Billets Reports'!D802)+1,200)),"")),IF(ISNUMBER(SEARCH("Party Name:-",'R.M Billets Reports'!D803)),TRIM('R.M Billets Reports'!F803),IF(ISNUMBER(SEARCH("Party Name-",'R.M Billets Reports'!D803)),TRIM(MID('R.M Billets Reports'!D803,SEARCH("-",'R.M Billets Reports'!D803)+1,200)),"")))="SHRI RADHE","SHREE RADHE",IF(IF(IF(ISNUMBER(SEARCH("Party Name:-",'R.M Billets Reports'!D802)),TRIM('R.M Billets Reports'!F802),IF(ISNUMBER(SEARCH("Party Name-",'R.M Billets Reports'!D802)),TRIM(MID('R.M Billets Reports'!D802,SEARCH("-",'R.M Billets Reports'!D802)+1,200)),""))&lt;&gt;"",IF(ISNUMBER(SEARCH("Party Name:-",'R.M Billets Reports'!D802)),TRIM('R.M Billets Reports'!F802),IF(ISNUMBER(SEARCH("Party Name-",'R.M Billets Reports'!D802)),TRIM(MID('R.M Billets Reports'!D802,SEARCH("-",'R.M Billets Reports'!D802)+1,200)),"")),IF(ISNUMBER(SEARCH("Party Name:-",'R.M Billets Reports'!D803)),TRIM('R.M Billets Reports'!F803),IF(ISNUMBER(SEARCH("Party Name-",'R.M Billets Reports'!D803)),TRIM(MID('R.M Billets Reports'!D803,SEARCH("-",'R.M Billets Reports'!D803)+1,200)),"")))="SHREE RADHE SHAKTI SPONGE AND POWER PVT. LTD.","SHREE RADHE",IF(IF(ISNUMBER(SEARCH("Party Name:-",'R.M Billets Reports'!D802)),TRIM('R.M Billets Reports'!F802),IF(ISNUMBER(SEARCH("Party Name-",'R.M Billets Reports'!D802)),TRIM(MID('R.M Billets Reports'!D802,SEARCH("-",'R.M Billets Reports'!D802)+1,200)),""))&lt;&gt;"",IF(ISNUMBER(SEARCH("Party Name:-",'R.M Billets Reports'!D802)),TRIM('R.M Billets Reports'!F802),IF(ISNUMBER(SEARCH("Party Name-",'R.M Billets Reports'!D802)),TRIM(MID('R.M Billets Reports'!D802,SEARCH("-",'R.M Billets Reports'!D802)+1,200)),"")),IF(ISNUMBER(SEARCH("Party Name:-",'R.M Billets Reports'!D803)),TRIM('R.M Billets Reports'!F803),IF(ISNUMBER(SEARCH("Party Name-",'R.M Billets Reports'!D803)),TRIM(MID('R.M Billets Reports'!D803,SEARCH("-",'R.M Billets Reports'!D803)+1,200)),"")))))),IF(ROW()=2,"",A802))</f>
      </c>
      <c r="B803">
        <f>IF(OR('R.M Billets Reports'!A802="Date-",'R.M Billets Reports'!A802="Date:-"),'R.M Billets Reports'!B802,IF(ROW()=2,"",B802))</f>
      </c>
      <c r="C803">
        <f>IF('R.M Billets Reports'!A802="V.No.",'R.M Billets Reports'!B802,IF(ROW()=2,"",C802))</f>
      </c>
      <c r="D803">
        <f>IF('R.M Billets Reports'!A802&lt;&gt;"",'R.M Billets Reports'!A802,IF(ROW()=2,"",D802))</f>
      </c>
      <c r="E803">
        <f>IF('R.M Billets Reports'!B802="","",TRIM('R.M Billets Reports'!B802))</f>
      </c>
      <c r="F803">
        <f>'R.M Billets Reports'!C802</f>
      </c>
      <c r="G803">
        <f>'R.M Billets Reports'!D802</f>
      </c>
      <c r="H803">
        <f>'R.M Billets Reports'!E802</f>
      </c>
      <c r="I803">
        <f>'R.M Billets Reports'!F802</f>
      </c>
      <c r="J803">
        <f>'R.M Billets Reports'!G802</f>
      </c>
      <c r="K803">
        <f>'R.M Billets Reports'!H802</f>
      </c>
      <c r="L803">
        <f>IF('R.M Billets Reports'!I802="","",'R.M Billets Reports'!I802)</f>
      </c>
      <c r="M803">
        <f t="shared" si="24"/>
      </c>
      <c r="N803">
        <f>IF('R.M Billets Reports'!J802="","",'R.M Billets Reports'!J802)</f>
      </c>
      <c r="O803">
        <f t="shared" si="25"/>
      </c>
      <c r="P803">
        <f>IF('R.M Billets Reports'!A802="SIZE",'R.M Billets Reports'!B802,P802)</f>
      </c>
    </row>
    <row r="804" spans="1:16" x14ac:dyDescent="0.25">
      <c r="A804">
        <f>IF(OR('R.M Billets Reports'!A803="Date-",'R.M Billets Reports'!A803="Date:-"),IF(IF(IF(ISNUMBER(SEARCH("Party Name:-",'R.M Billets Reports'!D803)),TRIM('R.M Billets Reports'!F803),IF(ISNUMBER(SEARCH("Party Name-",'R.M Billets Reports'!D803)),TRIM(MID('R.M Billets Reports'!D803,SEARCH("-",'R.M Billets Reports'!D803)+1,200)),""))&lt;&gt;"",IF(ISNUMBER(SEARCH("Party Name:-",'R.M Billets Reports'!D803)),TRIM('R.M Billets Reports'!F803),IF(ISNUMBER(SEARCH("Party Name-",'R.M Billets Reports'!D803)),TRIM(MID('R.M Billets Reports'!D803,SEARCH("-",'R.M Billets Reports'!D803)+1,200)),"")),IF(ISNUMBER(SEARCH("Party Name:-",'R.M Billets Reports'!D804)),TRIM('R.M Billets Reports'!F804),IF(ISNUMBER(SEARCH("Party Name-",'R.M Billets Reports'!D804)),TRIM(MID('R.M Billets Reports'!D804,SEARCH("-",'R.M Billets Reports'!D804)+1,200)),"")))="VRKP ISPAT PVT LTD","VRKP",IF(IF(IF(ISNUMBER(SEARCH("Party Name:-",'R.M Billets Reports'!D803)),TRIM('R.M Billets Reports'!F803),IF(ISNUMBER(SEARCH("Party Name-",'R.M Billets Reports'!D803)),TRIM(MID('R.M Billets Reports'!D803,SEARCH("-",'R.M Billets Reports'!D803)+1,200)),""))&lt;&gt;"",IF(ISNUMBER(SEARCH("Party Name:-",'R.M Billets Reports'!D803)),TRIM('R.M Billets Reports'!F803),IF(ISNUMBER(SEARCH("Party Name-",'R.M Billets Reports'!D803)),TRIM(MID('R.M Billets Reports'!D803,SEARCH("-",'R.M Billets Reports'!D803)+1,200)),"")),IF(ISNUMBER(SEARCH("Party Name:-",'R.M Billets Reports'!D804)),TRIM('R.M Billets Reports'!F804),IF(ISNUMBER(SEARCH("Party Name-",'R.M Billets Reports'!D804)),TRIM(MID('R.M Billets Reports'!D804,SEARCH("-",'R.M Billets Reports'!D804)+1,200)),"")))="SHRI RADHE","SHREE RADHE",IF(IF(IF(ISNUMBER(SEARCH("Party Name:-",'R.M Billets Reports'!D803)),TRIM('R.M Billets Reports'!F803),IF(ISNUMBER(SEARCH("Party Name-",'R.M Billets Reports'!D803)),TRIM(MID('R.M Billets Reports'!D803,SEARCH("-",'R.M Billets Reports'!D803)+1,200)),""))&lt;&gt;"",IF(ISNUMBER(SEARCH("Party Name:-",'R.M Billets Reports'!D803)),TRIM('R.M Billets Reports'!F803),IF(ISNUMBER(SEARCH("Party Name-",'R.M Billets Reports'!D803)),TRIM(MID('R.M Billets Reports'!D803,SEARCH("-",'R.M Billets Reports'!D803)+1,200)),"")),IF(ISNUMBER(SEARCH("Party Name:-",'R.M Billets Reports'!D804)),TRIM('R.M Billets Reports'!F804),IF(ISNUMBER(SEARCH("Party Name-",'R.M Billets Reports'!D804)),TRIM(MID('R.M Billets Reports'!D804,SEARCH("-",'R.M Billets Reports'!D804)+1,200)),"")))="SHREE RADHE SHAKTI SPONGE AND POWER PVT. LTD.","SHREE RADHE",IF(IF(ISNUMBER(SEARCH("Party Name:-",'R.M Billets Reports'!D803)),TRIM('R.M Billets Reports'!F803),IF(ISNUMBER(SEARCH("Party Name-",'R.M Billets Reports'!D803)),TRIM(MID('R.M Billets Reports'!D803,SEARCH("-",'R.M Billets Reports'!D803)+1,200)),""))&lt;&gt;"",IF(ISNUMBER(SEARCH("Party Name:-",'R.M Billets Reports'!D803)),TRIM('R.M Billets Reports'!F803),IF(ISNUMBER(SEARCH("Party Name-",'R.M Billets Reports'!D803)),TRIM(MID('R.M Billets Reports'!D803,SEARCH("-",'R.M Billets Reports'!D803)+1,200)),"")),IF(ISNUMBER(SEARCH("Party Name:-",'R.M Billets Reports'!D804)),TRIM('R.M Billets Reports'!F804),IF(ISNUMBER(SEARCH("Party Name-",'R.M Billets Reports'!D804)),TRIM(MID('R.M Billets Reports'!D804,SEARCH("-",'R.M Billets Reports'!D804)+1,200)),"")))))),IF(ROW()=2,"",A803))</f>
      </c>
      <c r="B804">
        <f>IF(OR('R.M Billets Reports'!A803="Date-",'R.M Billets Reports'!A803="Date:-"),'R.M Billets Reports'!B803,IF(ROW()=2,"",B803))</f>
      </c>
      <c r="C804">
        <f>IF('R.M Billets Reports'!A803="V.No.",'R.M Billets Reports'!B803,IF(ROW()=2,"",C803))</f>
      </c>
      <c r="D804">
        <f>IF('R.M Billets Reports'!A803&lt;&gt;"",'R.M Billets Reports'!A803,IF(ROW()=2,"",D803))</f>
      </c>
      <c r="E804">
        <f>IF('R.M Billets Reports'!B803="","",TRIM('R.M Billets Reports'!B803))</f>
      </c>
      <c r="F804">
        <f>'R.M Billets Reports'!C803</f>
      </c>
      <c r="G804">
        <f>'R.M Billets Reports'!D803</f>
      </c>
      <c r="H804">
        <f>'R.M Billets Reports'!E803</f>
      </c>
      <c r="I804">
        <f>'R.M Billets Reports'!F803</f>
      </c>
      <c r="J804">
        <f>'R.M Billets Reports'!G803</f>
      </c>
      <c r="K804">
        <f>'R.M Billets Reports'!H803</f>
      </c>
      <c r="L804">
        <f>IF('R.M Billets Reports'!I803="","",'R.M Billets Reports'!I803)</f>
      </c>
      <c r="M804">
        <f t="shared" si="24"/>
      </c>
      <c r="N804">
        <f>IF('R.M Billets Reports'!J803="","",'R.M Billets Reports'!J803)</f>
      </c>
      <c r="O804">
        <f t="shared" si="25"/>
      </c>
      <c r="P804">
        <f>IF('R.M Billets Reports'!A803="SIZE",'R.M Billets Reports'!B803,P803)</f>
      </c>
    </row>
    <row r="805" spans="1:16" x14ac:dyDescent="0.25">
      <c r="A805">
        <f>IF(OR('R.M Billets Reports'!A804="Date-",'R.M Billets Reports'!A804="Date:-"),IF(IF(IF(ISNUMBER(SEARCH("Party Name:-",'R.M Billets Reports'!D804)),TRIM('R.M Billets Reports'!F804),IF(ISNUMBER(SEARCH("Party Name-",'R.M Billets Reports'!D804)),TRIM(MID('R.M Billets Reports'!D804,SEARCH("-",'R.M Billets Reports'!D804)+1,200)),""))&lt;&gt;"",IF(ISNUMBER(SEARCH("Party Name:-",'R.M Billets Reports'!D804)),TRIM('R.M Billets Reports'!F804),IF(ISNUMBER(SEARCH("Party Name-",'R.M Billets Reports'!D804)),TRIM(MID('R.M Billets Reports'!D804,SEARCH("-",'R.M Billets Reports'!D804)+1,200)),"")),IF(ISNUMBER(SEARCH("Party Name:-",'R.M Billets Reports'!D805)),TRIM('R.M Billets Reports'!F805),IF(ISNUMBER(SEARCH("Party Name-",'R.M Billets Reports'!D805)),TRIM(MID('R.M Billets Reports'!D805,SEARCH("-",'R.M Billets Reports'!D805)+1,200)),"")))="VRKP ISPAT PVT LTD","VRKP",IF(IF(IF(ISNUMBER(SEARCH("Party Name:-",'R.M Billets Reports'!D804)),TRIM('R.M Billets Reports'!F804),IF(ISNUMBER(SEARCH("Party Name-",'R.M Billets Reports'!D804)),TRIM(MID('R.M Billets Reports'!D804,SEARCH("-",'R.M Billets Reports'!D804)+1,200)),""))&lt;&gt;"",IF(ISNUMBER(SEARCH("Party Name:-",'R.M Billets Reports'!D804)),TRIM('R.M Billets Reports'!F804),IF(ISNUMBER(SEARCH("Party Name-",'R.M Billets Reports'!D804)),TRIM(MID('R.M Billets Reports'!D804,SEARCH("-",'R.M Billets Reports'!D804)+1,200)),"")),IF(ISNUMBER(SEARCH("Party Name:-",'R.M Billets Reports'!D805)),TRIM('R.M Billets Reports'!F805),IF(ISNUMBER(SEARCH("Party Name-",'R.M Billets Reports'!D805)),TRIM(MID('R.M Billets Reports'!D805,SEARCH("-",'R.M Billets Reports'!D805)+1,200)),"")))="SHRI RADHE","SHREE RADHE",IF(IF(IF(ISNUMBER(SEARCH("Party Name:-",'R.M Billets Reports'!D804)),TRIM('R.M Billets Reports'!F804),IF(ISNUMBER(SEARCH("Party Name-",'R.M Billets Reports'!D804)),TRIM(MID('R.M Billets Reports'!D804,SEARCH("-",'R.M Billets Reports'!D804)+1,200)),""))&lt;&gt;"",IF(ISNUMBER(SEARCH("Party Name:-",'R.M Billets Reports'!D804)),TRIM('R.M Billets Reports'!F804),IF(ISNUMBER(SEARCH("Party Name-",'R.M Billets Reports'!D804)),TRIM(MID('R.M Billets Reports'!D804,SEARCH("-",'R.M Billets Reports'!D804)+1,200)),"")),IF(ISNUMBER(SEARCH("Party Name:-",'R.M Billets Reports'!D805)),TRIM('R.M Billets Reports'!F805),IF(ISNUMBER(SEARCH("Party Name-",'R.M Billets Reports'!D805)),TRIM(MID('R.M Billets Reports'!D805,SEARCH("-",'R.M Billets Reports'!D805)+1,200)),"")))="SHREE RADHE SHAKTI SPONGE AND POWER PVT. LTD.","SHREE RADHE",IF(IF(ISNUMBER(SEARCH("Party Name:-",'R.M Billets Reports'!D804)),TRIM('R.M Billets Reports'!F804),IF(ISNUMBER(SEARCH("Party Name-",'R.M Billets Reports'!D804)),TRIM(MID('R.M Billets Reports'!D804,SEARCH("-",'R.M Billets Reports'!D804)+1,200)),""))&lt;&gt;"",IF(ISNUMBER(SEARCH("Party Name:-",'R.M Billets Reports'!D804)),TRIM('R.M Billets Reports'!F804),IF(ISNUMBER(SEARCH("Party Name-",'R.M Billets Reports'!D804)),TRIM(MID('R.M Billets Reports'!D804,SEARCH("-",'R.M Billets Reports'!D804)+1,200)),"")),IF(ISNUMBER(SEARCH("Party Name:-",'R.M Billets Reports'!D805)),TRIM('R.M Billets Reports'!F805),IF(ISNUMBER(SEARCH("Party Name-",'R.M Billets Reports'!D805)),TRIM(MID('R.M Billets Reports'!D805,SEARCH("-",'R.M Billets Reports'!D805)+1,200)),"")))))),IF(ROW()=2,"",A804))</f>
      </c>
      <c r="B805">
        <f>IF(OR('R.M Billets Reports'!A804="Date-",'R.M Billets Reports'!A804="Date:-"),'R.M Billets Reports'!B804,IF(ROW()=2,"",B804))</f>
      </c>
      <c r="C805">
        <f>IF('R.M Billets Reports'!A804="V.No.",'R.M Billets Reports'!B804,IF(ROW()=2,"",C804))</f>
      </c>
      <c r="D805">
        <f>IF('R.M Billets Reports'!A804&lt;&gt;"",'R.M Billets Reports'!A804,IF(ROW()=2,"",D804))</f>
      </c>
      <c r="E805">
        <f>IF('R.M Billets Reports'!B804="","",TRIM('R.M Billets Reports'!B804))</f>
      </c>
      <c r="F805">
        <f>'R.M Billets Reports'!C804</f>
      </c>
      <c r="G805">
        <f>'R.M Billets Reports'!D804</f>
      </c>
      <c r="H805">
        <f>'R.M Billets Reports'!E804</f>
      </c>
      <c r="I805">
        <f>'R.M Billets Reports'!F804</f>
      </c>
      <c r="J805">
        <f>'R.M Billets Reports'!G804</f>
      </c>
      <c r="K805">
        <f>'R.M Billets Reports'!H804</f>
      </c>
      <c r="L805">
        <f>IF('R.M Billets Reports'!I804="","",'R.M Billets Reports'!I804)</f>
      </c>
      <c r="M805">
        <f t="shared" si="24"/>
      </c>
      <c r="N805">
        <f>IF('R.M Billets Reports'!J804="","",'R.M Billets Reports'!J804)</f>
      </c>
      <c r="O805">
        <f t="shared" si="25"/>
      </c>
      <c r="P805">
        <f>IF('R.M Billets Reports'!A804="SIZE",'R.M Billets Reports'!B804,P804)</f>
      </c>
    </row>
    <row r="806" spans="1:16" x14ac:dyDescent="0.25">
      <c r="A806">
        <f>IF(OR('R.M Billets Reports'!A805="Date-",'R.M Billets Reports'!A805="Date:-"),IF(IF(IF(ISNUMBER(SEARCH("Party Name:-",'R.M Billets Reports'!D805)),TRIM('R.M Billets Reports'!F805),IF(ISNUMBER(SEARCH("Party Name-",'R.M Billets Reports'!D805)),TRIM(MID('R.M Billets Reports'!D805,SEARCH("-",'R.M Billets Reports'!D805)+1,200)),""))&lt;&gt;"",IF(ISNUMBER(SEARCH("Party Name:-",'R.M Billets Reports'!D805)),TRIM('R.M Billets Reports'!F805),IF(ISNUMBER(SEARCH("Party Name-",'R.M Billets Reports'!D805)),TRIM(MID('R.M Billets Reports'!D805,SEARCH("-",'R.M Billets Reports'!D805)+1,200)),"")),IF(ISNUMBER(SEARCH("Party Name:-",'R.M Billets Reports'!D806)),TRIM('R.M Billets Reports'!F806),IF(ISNUMBER(SEARCH("Party Name-",'R.M Billets Reports'!D806)),TRIM(MID('R.M Billets Reports'!D806,SEARCH("-",'R.M Billets Reports'!D806)+1,200)),"")))="VRKP ISPAT PVT LTD","VRKP",IF(IF(IF(ISNUMBER(SEARCH("Party Name:-",'R.M Billets Reports'!D805)),TRIM('R.M Billets Reports'!F805),IF(ISNUMBER(SEARCH("Party Name-",'R.M Billets Reports'!D805)),TRIM(MID('R.M Billets Reports'!D805,SEARCH("-",'R.M Billets Reports'!D805)+1,200)),""))&lt;&gt;"",IF(ISNUMBER(SEARCH("Party Name:-",'R.M Billets Reports'!D805)),TRIM('R.M Billets Reports'!F805),IF(ISNUMBER(SEARCH("Party Name-",'R.M Billets Reports'!D805)),TRIM(MID('R.M Billets Reports'!D805,SEARCH("-",'R.M Billets Reports'!D805)+1,200)),"")),IF(ISNUMBER(SEARCH("Party Name:-",'R.M Billets Reports'!D806)),TRIM('R.M Billets Reports'!F806),IF(ISNUMBER(SEARCH("Party Name-",'R.M Billets Reports'!D806)),TRIM(MID('R.M Billets Reports'!D806,SEARCH("-",'R.M Billets Reports'!D806)+1,200)),"")))="SHRI RADHE","SHREE RADHE",IF(IF(IF(ISNUMBER(SEARCH("Party Name:-",'R.M Billets Reports'!D805)),TRIM('R.M Billets Reports'!F805),IF(ISNUMBER(SEARCH("Party Name-",'R.M Billets Reports'!D805)),TRIM(MID('R.M Billets Reports'!D805,SEARCH("-",'R.M Billets Reports'!D805)+1,200)),""))&lt;&gt;"",IF(ISNUMBER(SEARCH("Party Name:-",'R.M Billets Reports'!D805)),TRIM('R.M Billets Reports'!F805),IF(ISNUMBER(SEARCH("Party Name-",'R.M Billets Reports'!D805)),TRIM(MID('R.M Billets Reports'!D805,SEARCH("-",'R.M Billets Reports'!D805)+1,200)),"")),IF(ISNUMBER(SEARCH("Party Name:-",'R.M Billets Reports'!D806)),TRIM('R.M Billets Reports'!F806),IF(ISNUMBER(SEARCH("Party Name-",'R.M Billets Reports'!D806)),TRIM(MID('R.M Billets Reports'!D806,SEARCH("-",'R.M Billets Reports'!D806)+1,200)),"")))="SHREE RADHE SHAKTI SPONGE AND POWER PVT. LTD.","SHREE RADHE",IF(IF(ISNUMBER(SEARCH("Party Name:-",'R.M Billets Reports'!D805)),TRIM('R.M Billets Reports'!F805),IF(ISNUMBER(SEARCH("Party Name-",'R.M Billets Reports'!D805)),TRIM(MID('R.M Billets Reports'!D805,SEARCH("-",'R.M Billets Reports'!D805)+1,200)),""))&lt;&gt;"",IF(ISNUMBER(SEARCH("Party Name:-",'R.M Billets Reports'!D805)),TRIM('R.M Billets Reports'!F805),IF(ISNUMBER(SEARCH("Party Name-",'R.M Billets Reports'!D805)),TRIM(MID('R.M Billets Reports'!D805,SEARCH("-",'R.M Billets Reports'!D805)+1,200)),"")),IF(ISNUMBER(SEARCH("Party Name:-",'R.M Billets Reports'!D806)),TRIM('R.M Billets Reports'!F806),IF(ISNUMBER(SEARCH("Party Name-",'R.M Billets Reports'!D806)),TRIM(MID('R.M Billets Reports'!D806,SEARCH("-",'R.M Billets Reports'!D806)+1,200)),"")))))),IF(ROW()=2,"",A805))</f>
      </c>
      <c r="B806">
        <f>IF(OR('R.M Billets Reports'!A805="Date-",'R.M Billets Reports'!A805="Date:-"),'R.M Billets Reports'!B805,IF(ROW()=2,"",B805))</f>
      </c>
      <c r="C806">
        <f>IF('R.M Billets Reports'!A805="V.No.",'R.M Billets Reports'!B805,IF(ROW()=2,"",C805))</f>
      </c>
      <c r="D806">
        <f>IF('R.M Billets Reports'!A805&lt;&gt;"",'R.M Billets Reports'!A805,IF(ROW()=2,"",D805))</f>
      </c>
      <c r="E806">
        <f>IF('R.M Billets Reports'!B805="","",TRIM('R.M Billets Reports'!B805))</f>
      </c>
      <c r="F806">
        <f>'R.M Billets Reports'!C805</f>
      </c>
      <c r="G806">
        <f>'R.M Billets Reports'!D805</f>
      </c>
      <c r="H806">
        <f>'R.M Billets Reports'!E805</f>
      </c>
      <c r="I806">
        <f>'R.M Billets Reports'!F805</f>
      </c>
      <c r="J806">
        <f>'R.M Billets Reports'!G805</f>
      </c>
      <c r="K806">
        <f>'R.M Billets Reports'!H805</f>
      </c>
      <c r="L806">
        <f>IF('R.M Billets Reports'!I805="","",'R.M Billets Reports'!I805)</f>
      </c>
      <c r="M806">
        <f t="shared" si="24"/>
      </c>
      <c r="N806">
        <f>IF('R.M Billets Reports'!J805="","",'R.M Billets Reports'!J805)</f>
      </c>
      <c r="O806">
        <f t="shared" si="25"/>
      </c>
      <c r="P806">
        <f>IF('R.M Billets Reports'!A805="SIZE",'R.M Billets Reports'!B805,P805)</f>
      </c>
    </row>
    <row r="807" spans="1:16" x14ac:dyDescent="0.25">
      <c r="A807">
        <f>IF(OR('R.M Billets Reports'!A806="Date-",'R.M Billets Reports'!A806="Date:-"),IF(IF(IF(ISNUMBER(SEARCH("Party Name:-",'R.M Billets Reports'!D806)),TRIM('R.M Billets Reports'!F806),IF(ISNUMBER(SEARCH("Party Name-",'R.M Billets Reports'!D806)),TRIM(MID('R.M Billets Reports'!D806,SEARCH("-",'R.M Billets Reports'!D806)+1,200)),""))&lt;&gt;"",IF(ISNUMBER(SEARCH("Party Name:-",'R.M Billets Reports'!D806)),TRIM('R.M Billets Reports'!F806),IF(ISNUMBER(SEARCH("Party Name-",'R.M Billets Reports'!D806)),TRIM(MID('R.M Billets Reports'!D806,SEARCH("-",'R.M Billets Reports'!D806)+1,200)),"")),IF(ISNUMBER(SEARCH("Party Name:-",'R.M Billets Reports'!D807)),TRIM('R.M Billets Reports'!F807),IF(ISNUMBER(SEARCH("Party Name-",'R.M Billets Reports'!D807)),TRIM(MID('R.M Billets Reports'!D807,SEARCH("-",'R.M Billets Reports'!D807)+1,200)),"")))="VRKP ISPAT PVT LTD","VRKP",IF(IF(IF(ISNUMBER(SEARCH("Party Name:-",'R.M Billets Reports'!D806)),TRIM('R.M Billets Reports'!F806),IF(ISNUMBER(SEARCH("Party Name-",'R.M Billets Reports'!D806)),TRIM(MID('R.M Billets Reports'!D806,SEARCH("-",'R.M Billets Reports'!D806)+1,200)),""))&lt;&gt;"",IF(ISNUMBER(SEARCH("Party Name:-",'R.M Billets Reports'!D806)),TRIM('R.M Billets Reports'!F806),IF(ISNUMBER(SEARCH("Party Name-",'R.M Billets Reports'!D806)),TRIM(MID('R.M Billets Reports'!D806,SEARCH("-",'R.M Billets Reports'!D806)+1,200)),"")),IF(ISNUMBER(SEARCH("Party Name:-",'R.M Billets Reports'!D807)),TRIM('R.M Billets Reports'!F807),IF(ISNUMBER(SEARCH("Party Name-",'R.M Billets Reports'!D807)),TRIM(MID('R.M Billets Reports'!D807,SEARCH("-",'R.M Billets Reports'!D807)+1,200)),"")))="SHRI RADHE","SHREE RADHE",IF(IF(IF(ISNUMBER(SEARCH("Party Name:-",'R.M Billets Reports'!D806)),TRIM('R.M Billets Reports'!F806),IF(ISNUMBER(SEARCH("Party Name-",'R.M Billets Reports'!D806)),TRIM(MID('R.M Billets Reports'!D806,SEARCH("-",'R.M Billets Reports'!D806)+1,200)),""))&lt;&gt;"",IF(ISNUMBER(SEARCH("Party Name:-",'R.M Billets Reports'!D806)),TRIM('R.M Billets Reports'!F806),IF(ISNUMBER(SEARCH("Party Name-",'R.M Billets Reports'!D806)),TRIM(MID('R.M Billets Reports'!D806,SEARCH("-",'R.M Billets Reports'!D806)+1,200)),"")),IF(ISNUMBER(SEARCH("Party Name:-",'R.M Billets Reports'!D807)),TRIM('R.M Billets Reports'!F807),IF(ISNUMBER(SEARCH("Party Name-",'R.M Billets Reports'!D807)),TRIM(MID('R.M Billets Reports'!D807,SEARCH("-",'R.M Billets Reports'!D807)+1,200)),"")))="SHREE RADHE SHAKTI SPONGE AND POWER PVT. LTD.","SHREE RADHE",IF(IF(ISNUMBER(SEARCH("Party Name:-",'R.M Billets Reports'!D806)),TRIM('R.M Billets Reports'!F806),IF(ISNUMBER(SEARCH("Party Name-",'R.M Billets Reports'!D806)),TRIM(MID('R.M Billets Reports'!D806,SEARCH("-",'R.M Billets Reports'!D806)+1,200)),""))&lt;&gt;"",IF(ISNUMBER(SEARCH("Party Name:-",'R.M Billets Reports'!D806)),TRIM('R.M Billets Reports'!F806),IF(ISNUMBER(SEARCH("Party Name-",'R.M Billets Reports'!D806)),TRIM(MID('R.M Billets Reports'!D806,SEARCH("-",'R.M Billets Reports'!D806)+1,200)),"")),IF(ISNUMBER(SEARCH("Party Name:-",'R.M Billets Reports'!D807)),TRIM('R.M Billets Reports'!F807),IF(ISNUMBER(SEARCH("Party Name-",'R.M Billets Reports'!D807)),TRIM(MID('R.M Billets Reports'!D807,SEARCH("-",'R.M Billets Reports'!D807)+1,200)),"")))))),IF(ROW()=2,"",A806))</f>
      </c>
      <c r="B807">
        <f>IF(OR('R.M Billets Reports'!A806="Date-",'R.M Billets Reports'!A806="Date:-"),'R.M Billets Reports'!B806,IF(ROW()=2,"",B806))</f>
      </c>
      <c r="C807">
        <f>IF('R.M Billets Reports'!A806="V.No.",'R.M Billets Reports'!B806,IF(ROW()=2,"",C806))</f>
      </c>
      <c r="D807">
        <f>IF('R.M Billets Reports'!A806&lt;&gt;"",'R.M Billets Reports'!A806,IF(ROW()=2,"",D806))</f>
      </c>
      <c r="E807">
        <f>IF('R.M Billets Reports'!B806="","",TRIM('R.M Billets Reports'!B806))</f>
      </c>
      <c r="F807">
        <f>'R.M Billets Reports'!C806</f>
      </c>
      <c r="G807">
        <f>'R.M Billets Reports'!D806</f>
      </c>
      <c r="H807">
        <f>'R.M Billets Reports'!E806</f>
      </c>
      <c r="I807">
        <f>'R.M Billets Reports'!F806</f>
      </c>
      <c r="J807">
        <f>'R.M Billets Reports'!G806</f>
      </c>
      <c r="K807">
        <f>'R.M Billets Reports'!H806</f>
      </c>
      <c r="L807">
        <f>IF('R.M Billets Reports'!I806="","",'R.M Billets Reports'!I806)</f>
      </c>
      <c r="M807">
        <f t="shared" si="24"/>
      </c>
      <c r="N807">
        <f>IF('R.M Billets Reports'!J806="","",'R.M Billets Reports'!J806)</f>
      </c>
      <c r="O807">
        <f t="shared" si="25"/>
      </c>
      <c r="P807">
        <f>IF('R.M Billets Reports'!A806="SIZE",'R.M Billets Reports'!B806,P806)</f>
      </c>
    </row>
    <row r="808" spans="1:16" x14ac:dyDescent="0.25">
      <c r="A808">
        <f>IF(OR('R.M Billets Reports'!A807="Date-",'R.M Billets Reports'!A807="Date:-"),IF(IF(IF(ISNUMBER(SEARCH("Party Name:-",'R.M Billets Reports'!D807)),TRIM('R.M Billets Reports'!F807),IF(ISNUMBER(SEARCH("Party Name-",'R.M Billets Reports'!D807)),TRIM(MID('R.M Billets Reports'!D807,SEARCH("-",'R.M Billets Reports'!D807)+1,200)),""))&lt;&gt;"",IF(ISNUMBER(SEARCH("Party Name:-",'R.M Billets Reports'!D807)),TRIM('R.M Billets Reports'!F807),IF(ISNUMBER(SEARCH("Party Name-",'R.M Billets Reports'!D807)),TRIM(MID('R.M Billets Reports'!D807,SEARCH("-",'R.M Billets Reports'!D807)+1,200)),"")),IF(ISNUMBER(SEARCH("Party Name:-",'R.M Billets Reports'!D808)),TRIM('R.M Billets Reports'!F808),IF(ISNUMBER(SEARCH("Party Name-",'R.M Billets Reports'!D808)),TRIM(MID('R.M Billets Reports'!D808,SEARCH("-",'R.M Billets Reports'!D808)+1,200)),"")))="VRKP ISPAT PVT LTD","VRKP",IF(IF(IF(ISNUMBER(SEARCH("Party Name:-",'R.M Billets Reports'!D807)),TRIM('R.M Billets Reports'!F807),IF(ISNUMBER(SEARCH("Party Name-",'R.M Billets Reports'!D807)),TRIM(MID('R.M Billets Reports'!D807,SEARCH("-",'R.M Billets Reports'!D807)+1,200)),""))&lt;&gt;"",IF(ISNUMBER(SEARCH("Party Name:-",'R.M Billets Reports'!D807)),TRIM('R.M Billets Reports'!F807),IF(ISNUMBER(SEARCH("Party Name-",'R.M Billets Reports'!D807)),TRIM(MID('R.M Billets Reports'!D807,SEARCH("-",'R.M Billets Reports'!D807)+1,200)),"")),IF(ISNUMBER(SEARCH("Party Name:-",'R.M Billets Reports'!D808)),TRIM('R.M Billets Reports'!F808),IF(ISNUMBER(SEARCH("Party Name-",'R.M Billets Reports'!D808)),TRIM(MID('R.M Billets Reports'!D808,SEARCH("-",'R.M Billets Reports'!D808)+1,200)),"")))="SHRI RADHE","SHREE RADHE",IF(IF(IF(ISNUMBER(SEARCH("Party Name:-",'R.M Billets Reports'!D807)),TRIM('R.M Billets Reports'!F807),IF(ISNUMBER(SEARCH("Party Name-",'R.M Billets Reports'!D807)),TRIM(MID('R.M Billets Reports'!D807,SEARCH("-",'R.M Billets Reports'!D807)+1,200)),""))&lt;&gt;"",IF(ISNUMBER(SEARCH("Party Name:-",'R.M Billets Reports'!D807)),TRIM('R.M Billets Reports'!F807),IF(ISNUMBER(SEARCH("Party Name-",'R.M Billets Reports'!D807)),TRIM(MID('R.M Billets Reports'!D807,SEARCH("-",'R.M Billets Reports'!D807)+1,200)),"")),IF(ISNUMBER(SEARCH("Party Name:-",'R.M Billets Reports'!D808)),TRIM('R.M Billets Reports'!F808),IF(ISNUMBER(SEARCH("Party Name-",'R.M Billets Reports'!D808)),TRIM(MID('R.M Billets Reports'!D808,SEARCH("-",'R.M Billets Reports'!D808)+1,200)),"")))="SHREE RADHE SHAKTI SPONGE AND POWER PVT. LTD.","SHREE RADHE",IF(IF(ISNUMBER(SEARCH("Party Name:-",'R.M Billets Reports'!D807)),TRIM('R.M Billets Reports'!F807),IF(ISNUMBER(SEARCH("Party Name-",'R.M Billets Reports'!D807)),TRIM(MID('R.M Billets Reports'!D807,SEARCH("-",'R.M Billets Reports'!D807)+1,200)),""))&lt;&gt;"",IF(ISNUMBER(SEARCH("Party Name:-",'R.M Billets Reports'!D807)),TRIM('R.M Billets Reports'!F807),IF(ISNUMBER(SEARCH("Party Name-",'R.M Billets Reports'!D807)),TRIM(MID('R.M Billets Reports'!D807,SEARCH("-",'R.M Billets Reports'!D807)+1,200)),"")),IF(ISNUMBER(SEARCH("Party Name:-",'R.M Billets Reports'!D808)),TRIM('R.M Billets Reports'!F808),IF(ISNUMBER(SEARCH("Party Name-",'R.M Billets Reports'!D808)),TRIM(MID('R.M Billets Reports'!D808,SEARCH("-",'R.M Billets Reports'!D808)+1,200)),"")))))),IF(ROW()=2,"",A807))</f>
      </c>
      <c r="B808">
        <f>IF(OR('R.M Billets Reports'!A807="Date-",'R.M Billets Reports'!A807="Date:-"),'R.M Billets Reports'!B807,IF(ROW()=2,"",B807))</f>
      </c>
      <c r="C808">
        <f>IF('R.M Billets Reports'!A807="V.No.",'R.M Billets Reports'!B807,IF(ROW()=2,"",C807))</f>
      </c>
      <c r="D808">
        <f>IF('R.M Billets Reports'!A807&lt;&gt;"",'R.M Billets Reports'!A807,IF(ROW()=2,"",D807))</f>
      </c>
      <c r="E808">
        <f>IF('R.M Billets Reports'!B807="","",TRIM('R.M Billets Reports'!B807))</f>
      </c>
      <c r="F808">
        <f>'R.M Billets Reports'!C807</f>
      </c>
      <c r="G808">
        <f>'R.M Billets Reports'!D807</f>
      </c>
      <c r="H808">
        <f>'R.M Billets Reports'!E807</f>
      </c>
      <c r="I808">
        <f>'R.M Billets Reports'!F807</f>
      </c>
      <c r="J808">
        <f>'R.M Billets Reports'!G807</f>
      </c>
      <c r="K808">
        <f>'R.M Billets Reports'!H807</f>
      </c>
      <c r="L808">
        <f>IF('R.M Billets Reports'!I807="","",'R.M Billets Reports'!I807)</f>
      </c>
      <c r="M808">
        <f t="shared" si="24"/>
      </c>
      <c r="N808">
        <f>IF('R.M Billets Reports'!J807="","",'R.M Billets Reports'!J807)</f>
      </c>
      <c r="O808">
        <f t="shared" si="25"/>
      </c>
      <c r="P808">
        <f>IF('R.M Billets Reports'!A807="SIZE",'R.M Billets Reports'!B807,P807)</f>
      </c>
    </row>
    <row r="809" spans="1:16" x14ac:dyDescent="0.25">
      <c r="A809">
        <f>IF(OR('R.M Billets Reports'!A808="Date-",'R.M Billets Reports'!A808="Date:-"),IF(IF(IF(ISNUMBER(SEARCH("Party Name:-",'R.M Billets Reports'!D808)),TRIM('R.M Billets Reports'!F808),IF(ISNUMBER(SEARCH("Party Name-",'R.M Billets Reports'!D808)),TRIM(MID('R.M Billets Reports'!D808,SEARCH("-",'R.M Billets Reports'!D808)+1,200)),""))&lt;&gt;"",IF(ISNUMBER(SEARCH("Party Name:-",'R.M Billets Reports'!D808)),TRIM('R.M Billets Reports'!F808),IF(ISNUMBER(SEARCH("Party Name-",'R.M Billets Reports'!D808)),TRIM(MID('R.M Billets Reports'!D808,SEARCH("-",'R.M Billets Reports'!D808)+1,200)),"")),IF(ISNUMBER(SEARCH("Party Name:-",'R.M Billets Reports'!D809)),TRIM('R.M Billets Reports'!F809),IF(ISNUMBER(SEARCH("Party Name-",'R.M Billets Reports'!D809)),TRIM(MID('R.M Billets Reports'!D809,SEARCH("-",'R.M Billets Reports'!D809)+1,200)),"")))="VRKP ISPAT PVT LTD","VRKP",IF(IF(IF(ISNUMBER(SEARCH("Party Name:-",'R.M Billets Reports'!D808)),TRIM('R.M Billets Reports'!F808),IF(ISNUMBER(SEARCH("Party Name-",'R.M Billets Reports'!D808)),TRIM(MID('R.M Billets Reports'!D808,SEARCH("-",'R.M Billets Reports'!D808)+1,200)),""))&lt;&gt;"",IF(ISNUMBER(SEARCH("Party Name:-",'R.M Billets Reports'!D808)),TRIM('R.M Billets Reports'!F808),IF(ISNUMBER(SEARCH("Party Name-",'R.M Billets Reports'!D808)),TRIM(MID('R.M Billets Reports'!D808,SEARCH("-",'R.M Billets Reports'!D808)+1,200)),"")),IF(ISNUMBER(SEARCH("Party Name:-",'R.M Billets Reports'!D809)),TRIM('R.M Billets Reports'!F809),IF(ISNUMBER(SEARCH("Party Name-",'R.M Billets Reports'!D809)),TRIM(MID('R.M Billets Reports'!D809,SEARCH("-",'R.M Billets Reports'!D809)+1,200)),"")))="SHRI RADHE","SHREE RADHE",IF(IF(IF(ISNUMBER(SEARCH("Party Name:-",'R.M Billets Reports'!D808)),TRIM('R.M Billets Reports'!F808),IF(ISNUMBER(SEARCH("Party Name-",'R.M Billets Reports'!D808)),TRIM(MID('R.M Billets Reports'!D808,SEARCH("-",'R.M Billets Reports'!D808)+1,200)),""))&lt;&gt;"",IF(ISNUMBER(SEARCH("Party Name:-",'R.M Billets Reports'!D808)),TRIM('R.M Billets Reports'!F808),IF(ISNUMBER(SEARCH("Party Name-",'R.M Billets Reports'!D808)),TRIM(MID('R.M Billets Reports'!D808,SEARCH("-",'R.M Billets Reports'!D808)+1,200)),"")),IF(ISNUMBER(SEARCH("Party Name:-",'R.M Billets Reports'!D809)),TRIM('R.M Billets Reports'!F809),IF(ISNUMBER(SEARCH("Party Name-",'R.M Billets Reports'!D809)),TRIM(MID('R.M Billets Reports'!D809,SEARCH("-",'R.M Billets Reports'!D809)+1,200)),"")))="SHREE RADHE SHAKTI SPONGE AND POWER PVT. LTD.","SHREE RADHE",IF(IF(ISNUMBER(SEARCH("Party Name:-",'R.M Billets Reports'!D808)),TRIM('R.M Billets Reports'!F808),IF(ISNUMBER(SEARCH("Party Name-",'R.M Billets Reports'!D808)),TRIM(MID('R.M Billets Reports'!D808,SEARCH("-",'R.M Billets Reports'!D808)+1,200)),""))&lt;&gt;"",IF(ISNUMBER(SEARCH("Party Name:-",'R.M Billets Reports'!D808)),TRIM('R.M Billets Reports'!F808),IF(ISNUMBER(SEARCH("Party Name-",'R.M Billets Reports'!D808)),TRIM(MID('R.M Billets Reports'!D808,SEARCH("-",'R.M Billets Reports'!D808)+1,200)),"")),IF(ISNUMBER(SEARCH("Party Name:-",'R.M Billets Reports'!D809)),TRIM('R.M Billets Reports'!F809),IF(ISNUMBER(SEARCH("Party Name-",'R.M Billets Reports'!D809)),TRIM(MID('R.M Billets Reports'!D809,SEARCH("-",'R.M Billets Reports'!D809)+1,200)),"")))))),IF(ROW()=2,"",A808))</f>
      </c>
      <c r="B809">
        <f>IF(OR('R.M Billets Reports'!A808="Date-",'R.M Billets Reports'!A808="Date:-"),'R.M Billets Reports'!B808,IF(ROW()=2,"",B808))</f>
      </c>
      <c r="C809">
        <f>IF('R.M Billets Reports'!A808="V.No.",'R.M Billets Reports'!B808,IF(ROW()=2,"",C808))</f>
      </c>
      <c r="D809">
        <f>IF('R.M Billets Reports'!A808&lt;&gt;"",'R.M Billets Reports'!A808,IF(ROW()=2,"",D808))</f>
      </c>
      <c r="E809">
        <f>IF('R.M Billets Reports'!B808="","",TRIM('R.M Billets Reports'!B808))</f>
      </c>
      <c r="F809">
        <f>'R.M Billets Reports'!C808</f>
      </c>
      <c r="G809">
        <f>'R.M Billets Reports'!D808</f>
      </c>
      <c r="H809">
        <f>'R.M Billets Reports'!E808</f>
      </c>
      <c r="I809">
        <f>'R.M Billets Reports'!F808</f>
      </c>
      <c r="J809">
        <f>'R.M Billets Reports'!G808</f>
      </c>
      <c r="K809">
        <f>'R.M Billets Reports'!H808</f>
      </c>
      <c r="L809">
        <f>IF('R.M Billets Reports'!I808="","",'R.M Billets Reports'!I808)</f>
      </c>
      <c r="M809">
        <f t="shared" si="24"/>
      </c>
      <c r="N809">
        <f>IF('R.M Billets Reports'!J808="","",'R.M Billets Reports'!J808)</f>
      </c>
      <c r="O809">
        <f t="shared" si="25"/>
      </c>
      <c r="P809">
        <f>IF('R.M Billets Reports'!A808="SIZE",'R.M Billets Reports'!B808,P808)</f>
      </c>
    </row>
    <row r="810" spans="1:16" x14ac:dyDescent="0.25">
      <c r="A810">
        <f>IF(OR('R.M Billets Reports'!A809="Date-",'R.M Billets Reports'!A809="Date:-"),IF(IF(IF(ISNUMBER(SEARCH("Party Name:-",'R.M Billets Reports'!D809)),TRIM('R.M Billets Reports'!F809),IF(ISNUMBER(SEARCH("Party Name-",'R.M Billets Reports'!D809)),TRIM(MID('R.M Billets Reports'!D809,SEARCH("-",'R.M Billets Reports'!D809)+1,200)),""))&lt;&gt;"",IF(ISNUMBER(SEARCH("Party Name:-",'R.M Billets Reports'!D809)),TRIM('R.M Billets Reports'!F809),IF(ISNUMBER(SEARCH("Party Name-",'R.M Billets Reports'!D809)),TRIM(MID('R.M Billets Reports'!D809,SEARCH("-",'R.M Billets Reports'!D809)+1,200)),"")),IF(ISNUMBER(SEARCH("Party Name:-",'R.M Billets Reports'!D810)),TRIM('R.M Billets Reports'!F810),IF(ISNUMBER(SEARCH("Party Name-",'R.M Billets Reports'!D810)),TRIM(MID('R.M Billets Reports'!D810,SEARCH("-",'R.M Billets Reports'!D810)+1,200)),"")))="VRKP ISPAT PVT LTD","VRKP",IF(IF(IF(ISNUMBER(SEARCH("Party Name:-",'R.M Billets Reports'!D809)),TRIM('R.M Billets Reports'!F809),IF(ISNUMBER(SEARCH("Party Name-",'R.M Billets Reports'!D809)),TRIM(MID('R.M Billets Reports'!D809,SEARCH("-",'R.M Billets Reports'!D809)+1,200)),""))&lt;&gt;"",IF(ISNUMBER(SEARCH("Party Name:-",'R.M Billets Reports'!D809)),TRIM('R.M Billets Reports'!F809),IF(ISNUMBER(SEARCH("Party Name-",'R.M Billets Reports'!D809)),TRIM(MID('R.M Billets Reports'!D809,SEARCH("-",'R.M Billets Reports'!D809)+1,200)),"")),IF(ISNUMBER(SEARCH("Party Name:-",'R.M Billets Reports'!D810)),TRIM('R.M Billets Reports'!F810),IF(ISNUMBER(SEARCH("Party Name-",'R.M Billets Reports'!D810)),TRIM(MID('R.M Billets Reports'!D810,SEARCH("-",'R.M Billets Reports'!D810)+1,200)),"")))="SHRI RADHE","SHREE RADHE",IF(IF(IF(ISNUMBER(SEARCH("Party Name:-",'R.M Billets Reports'!D809)),TRIM('R.M Billets Reports'!F809),IF(ISNUMBER(SEARCH("Party Name-",'R.M Billets Reports'!D809)),TRIM(MID('R.M Billets Reports'!D809,SEARCH("-",'R.M Billets Reports'!D809)+1,200)),""))&lt;&gt;"",IF(ISNUMBER(SEARCH("Party Name:-",'R.M Billets Reports'!D809)),TRIM('R.M Billets Reports'!F809),IF(ISNUMBER(SEARCH("Party Name-",'R.M Billets Reports'!D809)),TRIM(MID('R.M Billets Reports'!D809,SEARCH("-",'R.M Billets Reports'!D809)+1,200)),"")),IF(ISNUMBER(SEARCH("Party Name:-",'R.M Billets Reports'!D810)),TRIM('R.M Billets Reports'!F810),IF(ISNUMBER(SEARCH("Party Name-",'R.M Billets Reports'!D810)),TRIM(MID('R.M Billets Reports'!D810,SEARCH("-",'R.M Billets Reports'!D810)+1,200)),"")))="SHREE RADHE SHAKTI SPONGE AND POWER PVT. LTD.","SHREE RADHE",IF(IF(ISNUMBER(SEARCH("Party Name:-",'R.M Billets Reports'!D809)),TRIM('R.M Billets Reports'!F809),IF(ISNUMBER(SEARCH("Party Name-",'R.M Billets Reports'!D809)),TRIM(MID('R.M Billets Reports'!D809,SEARCH("-",'R.M Billets Reports'!D809)+1,200)),""))&lt;&gt;"",IF(ISNUMBER(SEARCH("Party Name:-",'R.M Billets Reports'!D809)),TRIM('R.M Billets Reports'!F809),IF(ISNUMBER(SEARCH("Party Name-",'R.M Billets Reports'!D809)),TRIM(MID('R.M Billets Reports'!D809,SEARCH("-",'R.M Billets Reports'!D809)+1,200)),"")),IF(ISNUMBER(SEARCH("Party Name:-",'R.M Billets Reports'!D810)),TRIM('R.M Billets Reports'!F810),IF(ISNUMBER(SEARCH("Party Name-",'R.M Billets Reports'!D810)),TRIM(MID('R.M Billets Reports'!D810,SEARCH("-",'R.M Billets Reports'!D810)+1,200)),"")))))),IF(ROW()=2,"",A809))</f>
      </c>
      <c r="B810">
        <f>IF(OR('R.M Billets Reports'!A809="Date-",'R.M Billets Reports'!A809="Date:-"),'R.M Billets Reports'!B809,IF(ROW()=2,"",B809))</f>
      </c>
      <c r="C810">
        <f>IF('R.M Billets Reports'!A809="V.No.",'R.M Billets Reports'!B809,IF(ROW()=2,"",C809))</f>
      </c>
      <c r="D810">
        <f>IF('R.M Billets Reports'!A809&lt;&gt;"",'R.M Billets Reports'!A809,IF(ROW()=2,"",D809))</f>
      </c>
      <c r="E810">
        <f>IF('R.M Billets Reports'!B809="","",TRIM('R.M Billets Reports'!B809))</f>
      </c>
      <c r="F810">
        <f>'R.M Billets Reports'!C809</f>
      </c>
      <c r="G810">
        <f>'R.M Billets Reports'!D809</f>
      </c>
      <c r="H810">
        <f>'R.M Billets Reports'!E809</f>
      </c>
      <c r="I810">
        <f>'R.M Billets Reports'!F809</f>
      </c>
      <c r="J810">
        <f>'R.M Billets Reports'!G809</f>
      </c>
      <c r="K810">
        <f>'R.M Billets Reports'!H809</f>
      </c>
      <c r="L810">
        <f>IF('R.M Billets Reports'!I809="","",'R.M Billets Reports'!I809)</f>
      </c>
      <c r="M810">
        <f t="shared" si="24"/>
      </c>
      <c r="N810">
        <f>IF('R.M Billets Reports'!J809="","",'R.M Billets Reports'!J809)</f>
      </c>
      <c r="O810">
        <f t="shared" si="25"/>
      </c>
      <c r="P810">
        <f>IF('R.M Billets Reports'!A809="SIZE",'R.M Billets Reports'!B809,P809)</f>
      </c>
    </row>
    <row r="811" spans="1:16" x14ac:dyDescent="0.25">
      <c r="A811">
        <f>IF(OR('R.M Billets Reports'!A810="Date-",'R.M Billets Reports'!A810="Date:-"),IF(IF(IF(ISNUMBER(SEARCH("Party Name:-",'R.M Billets Reports'!D810)),TRIM('R.M Billets Reports'!F810),IF(ISNUMBER(SEARCH("Party Name-",'R.M Billets Reports'!D810)),TRIM(MID('R.M Billets Reports'!D810,SEARCH("-",'R.M Billets Reports'!D810)+1,200)),""))&lt;&gt;"",IF(ISNUMBER(SEARCH("Party Name:-",'R.M Billets Reports'!D810)),TRIM('R.M Billets Reports'!F810),IF(ISNUMBER(SEARCH("Party Name-",'R.M Billets Reports'!D810)),TRIM(MID('R.M Billets Reports'!D810,SEARCH("-",'R.M Billets Reports'!D810)+1,200)),"")),IF(ISNUMBER(SEARCH("Party Name:-",'R.M Billets Reports'!D811)),TRIM('R.M Billets Reports'!F811),IF(ISNUMBER(SEARCH("Party Name-",'R.M Billets Reports'!D811)),TRIM(MID('R.M Billets Reports'!D811,SEARCH("-",'R.M Billets Reports'!D811)+1,200)),"")))="VRKP ISPAT PVT LTD","VRKP",IF(IF(IF(ISNUMBER(SEARCH("Party Name:-",'R.M Billets Reports'!D810)),TRIM('R.M Billets Reports'!F810),IF(ISNUMBER(SEARCH("Party Name-",'R.M Billets Reports'!D810)),TRIM(MID('R.M Billets Reports'!D810,SEARCH("-",'R.M Billets Reports'!D810)+1,200)),""))&lt;&gt;"",IF(ISNUMBER(SEARCH("Party Name:-",'R.M Billets Reports'!D810)),TRIM('R.M Billets Reports'!F810),IF(ISNUMBER(SEARCH("Party Name-",'R.M Billets Reports'!D810)),TRIM(MID('R.M Billets Reports'!D810,SEARCH("-",'R.M Billets Reports'!D810)+1,200)),"")),IF(ISNUMBER(SEARCH("Party Name:-",'R.M Billets Reports'!D811)),TRIM('R.M Billets Reports'!F811),IF(ISNUMBER(SEARCH("Party Name-",'R.M Billets Reports'!D811)),TRIM(MID('R.M Billets Reports'!D811,SEARCH("-",'R.M Billets Reports'!D811)+1,200)),"")))="SHRI RADHE","SHREE RADHE",IF(IF(IF(ISNUMBER(SEARCH("Party Name:-",'R.M Billets Reports'!D810)),TRIM('R.M Billets Reports'!F810),IF(ISNUMBER(SEARCH("Party Name-",'R.M Billets Reports'!D810)),TRIM(MID('R.M Billets Reports'!D810,SEARCH("-",'R.M Billets Reports'!D810)+1,200)),""))&lt;&gt;"",IF(ISNUMBER(SEARCH("Party Name:-",'R.M Billets Reports'!D810)),TRIM('R.M Billets Reports'!F810),IF(ISNUMBER(SEARCH("Party Name-",'R.M Billets Reports'!D810)),TRIM(MID('R.M Billets Reports'!D810,SEARCH("-",'R.M Billets Reports'!D810)+1,200)),"")),IF(ISNUMBER(SEARCH("Party Name:-",'R.M Billets Reports'!D811)),TRIM('R.M Billets Reports'!F811),IF(ISNUMBER(SEARCH("Party Name-",'R.M Billets Reports'!D811)),TRIM(MID('R.M Billets Reports'!D811,SEARCH("-",'R.M Billets Reports'!D811)+1,200)),"")))="SHREE RADHE SHAKTI SPONGE AND POWER PVT. LTD.","SHREE RADHE",IF(IF(ISNUMBER(SEARCH("Party Name:-",'R.M Billets Reports'!D810)),TRIM('R.M Billets Reports'!F810),IF(ISNUMBER(SEARCH("Party Name-",'R.M Billets Reports'!D810)),TRIM(MID('R.M Billets Reports'!D810,SEARCH("-",'R.M Billets Reports'!D810)+1,200)),""))&lt;&gt;"",IF(ISNUMBER(SEARCH("Party Name:-",'R.M Billets Reports'!D810)),TRIM('R.M Billets Reports'!F810),IF(ISNUMBER(SEARCH("Party Name-",'R.M Billets Reports'!D810)),TRIM(MID('R.M Billets Reports'!D810,SEARCH("-",'R.M Billets Reports'!D810)+1,200)),"")),IF(ISNUMBER(SEARCH("Party Name:-",'R.M Billets Reports'!D811)),TRIM('R.M Billets Reports'!F811),IF(ISNUMBER(SEARCH("Party Name-",'R.M Billets Reports'!D811)),TRIM(MID('R.M Billets Reports'!D811,SEARCH("-",'R.M Billets Reports'!D811)+1,200)),"")))))),IF(ROW()=2,"",A810))</f>
      </c>
      <c r="B811">
        <f>IF(OR('R.M Billets Reports'!A810="Date-",'R.M Billets Reports'!A810="Date:-"),'R.M Billets Reports'!B810,IF(ROW()=2,"",B810))</f>
      </c>
      <c r="C811">
        <f>IF('R.M Billets Reports'!A810="V.No.",'R.M Billets Reports'!B810,IF(ROW()=2,"",C810))</f>
      </c>
      <c r="D811">
        <f>IF('R.M Billets Reports'!A810&lt;&gt;"",'R.M Billets Reports'!A810,IF(ROW()=2,"",D810))</f>
      </c>
      <c r="E811">
        <f>IF('R.M Billets Reports'!B810="","",TRIM('R.M Billets Reports'!B810))</f>
      </c>
      <c r="F811">
        <f>'R.M Billets Reports'!C810</f>
      </c>
      <c r="G811">
        <f>'R.M Billets Reports'!D810</f>
      </c>
      <c r="H811">
        <f>'R.M Billets Reports'!E810</f>
      </c>
      <c r="I811">
        <f>'R.M Billets Reports'!F810</f>
      </c>
      <c r="J811">
        <f>'R.M Billets Reports'!G810</f>
      </c>
      <c r="K811">
        <f>'R.M Billets Reports'!H810</f>
      </c>
      <c r="L811">
        <f>IF('R.M Billets Reports'!I810="","",'R.M Billets Reports'!I810)</f>
      </c>
      <c r="M811">
        <f t="shared" si="24"/>
      </c>
      <c r="N811">
        <f>IF('R.M Billets Reports'!J810="","",'R.M Billets Reports'!J810)</f>
      </c>
      <c r="O811">
        <f t="shared" si="25"/>
      </c>
      <c r="P811">
        <f>IF('R.M Billets Reports'!A810="SIZE",'R.M Billets Reports'!B810,P810)</f>
      </c>
    </row>
    <row r="812" spans="1:16" x14ac:dyDescent="0.25">
      <c r="A812">
        <f>IF(OR('R.M Billets Reports'!A811="Date-",'R.M Billets Reports'!A811="Date:-"),IF(IF(IF(ISNUMBER(SEARCH("Party Name:-",'R.M Billets Reports'!D811)),TRIM('R.M Billets Reports'!F811),IF(ISNUMBER(SEARCH("Party Name-",'R.M Billets Reports'!D811)),TRIM(MID('R.M Billets Reports'!D811,SEARCH("-",'R.M Billets Reports'!D811)+1,200)),""))&lt;&gt;"",IF(ISNUMBER(SEARCH("Party Name:-",'R.M Billets Reports'!D811)),TRIM('R.M Billets Reports'!F811),IF(ISNUMBER(SEARCH("Party Name-",'R.M Billets Reports'!D811)),TRIM(MID('R.M Billets Reports'!D811,SEARCH("-",'R.M Billets Reports'!D811)+1,200)),"")),IF(ISNUMBER(SEARCH("Party Name:-",'R.M Billets Reports'!D812)),TRIM('R.M Billets Reports'!F812),IF(ISNUMBER(SEARCH("Party Name-",'R.M Billets Reports'!D812)),TRIM(MID('R.M Billets Reports'!D812,SEARCH("-",'R.M Billets Reports'!D812)+1,200)),"")))="VRKP ISPAT PVT LTD","VRKP",IF(IF(IF(ISNUMBER(SEARCH("Party Name:-",'R.M Billets Reports'!D811)),TRIM('R.M Billets Reports'!F811),IF(ISNUMBER(SEARCH("Party Name-",'R.M Billets Reports'!D811)),TRIM(MID('R.M Billets Reports'!D811,SEARCH("-",'R.M Billets Reports'!D811)+1,200)),""))&lt;&gt;"",IF(ISNUMBER(SEARCH("Party Name:-",'R.M Billets Reports'!D811)),TRIM('R.M Billets Reports'!F811),IF(ISNUMBER(SEARCH("Party Name-",'R.M Billets Reports'!D811)),TRIM(MID('R.M Billets Reports'!D811,SEARCH("-",'R.M Billets Reports'!D811)+1,200)),"")),IF(ISNUMBER(SEARCH("Party Name:-",'R.M Billets Reports'!D812)),TRIM('R.M Billets Reports'!F812),IF(ISNUMBER(SEARCH("Party Name-",'R.M Billets Reports'!D812)),TRIM(MID('R.M Billets Reports'!D812,SEARCH("-",'R.M Billets Reports'!D812)+1,200)),"")))="SHRI RADHE","SHREE RADHE",IF(IF(IF(ISNUMBER(SEARCH("Party Name:-",'R.M Billets Reports'!D811)),TRIM('R.M Billets Reports'!F811),IF(ISNUMBER(SEARCH("Party Name-",'R.M Billets Reports'!D811)),TRIM(MID('R.M Billets Reports'!D811,SEARCH("-",'R.M Billets Reports'!D811)+1,200)),""))&lt;&gt;"",IF(ISNUMBER(SEARCH("Party Name:-",'R.M Billets Reports'!D811)),TRIM('R.M Billets Reports'!F811),IF(ISNUMBER(SEARCH("Party Name-",'R.M Billets Reports'!D811)),TRIM(MID('R.M Billets Reports'!D811,SEARCH("-",'R.M Billets Reports'!D811)+1,200)),"")),IF(ISNUMBER(SEARCH("Party Name:-",'R.M Billets Reports'!D812)),TRIM('R.M Billets Reports'!F812),IF(ISNUMBER(SEARCH("Party Name-",'R.M Billets Reports'!D812)),TRIM(MID('R.M Billets Reports'!D812,SEARCH("-",'R.M Billets Reports'!D812)+1,200)),"")))="SHREE RADHE SHAKTI SPONGE AND POWER PVT. LTD.","SHREE RADHE",IF(IF(ISNUMBER(SEARCH("Party Name:-",'R.M Billets Reports'!D811)),TRIM('R.M Billets Reports'!F811),IF(ISNUMBER(SEARCH("Party Name-",'R.M Billets Reports'!D811)),TRIM(MID('R.M Billets Reports'!D811,SEARCH("-",'R.M Billets Reports'!D811)+1,200)),""))&lt;&gt;"",IF(ISNUMBER(SEARCH("Party Name:-",'R.M Billets Reports'!D811)),TRIM('R.M Billets Reports'!F811),IF(ISNUMBER(SEARCH("Party Name-",'R.M Billets Reports'!D811)),TRIM(MID('R.M Billets Reports'!D811,SEARCH("-",'R.M Billets Reports'!D811)+1,200)),"")),IF(ISNUMBER(SEARCH("Party Name:-",'R.M Billets Reports'!D812)),TRIM('R.M Billets Reports'!F812),IF(ISNUMBER(SEARCH("Party Name-",'R.M Billets Reports'!D812)),TRIM(MID('R.M Billets Reports'!D812,SEARCH("-",'R.M Billets Reports'!D812)+1,200)),"")))))),IF(ROW()=2,"",A811))</f>
      </c>
      <c r="B812">
        <f>IF(OR('R.M Billets Reports'!A811="Date-",'R.M Billets Reports'!A811="Date:-"),'R.M Billets Reports'!B811,IF(ROW()=2,"",B811))</f>
      </c>
      <c r="C812">
        <f>IF('R.M Billets Reports'!A811="V.No.",'R.M Billets Reports'!B811,IF(ROW()=2,"",C811))</f>
      </c>
      <c r="D812">
        <f>IF('R.M Billets Reports'!A811&lt;&gt;"",'R.M Billets Reports'!A811,IF(ROW()=2,"",D811))</f>
      </c>
      <c r="E812">
        <f>IF('R.M Billets Reports'!B811="","",TRIM('R.M Billets Reports'!B811))</f>
      </c>
      <c r="F812">
        <f>'R.M Billets Reports'!C811</f>
      </c>
      <c r="G812">
        <f>'R.M Billets Reports'!D811</f>
      </c>
      <c r="H812">
        <f>'R.M Billets Reports'!E811</f>
      </c>
      <c r="I812">
        <f>'R.M Billets Reports'!F811</f>
      </c>
      <c r="J812">
        <f>'R.M Billets Reports'!G811</f>
      </c>
      <c r="K812">
        <f>'R.M Billets Reports'!H811</f>
      </c>
      <c r="L812">
        <f>IF('R.M Billets Reports'!I811="","",'R.M Billets Reports'!I811)</f>
      </c>
      <c r="M812">
        <f t="shared" si="24"/>
      </c>
      <c r="N812">
        <f>IF('R.M Billets Reports'!J811="","",'R.M Billets Reports'!J811)</f>
      </c>
      <c r="O812">
        <f t="shared" si="25"/>
      </c>
      <c r="P812">
        <f>IF('R.M Billets Reports'!A811="SIZE",'R.M Billets Reports'!B811,P811)</f>
      </c>
    </row>
    <row r="813" spans="1:16" x14ac:dyDescent="0.25">
      <c r="A813">
        <f>IF(OR('R.M Billets Reports'!A812="Date-",'R.M Billets Reports'!A812="Date:-"),IF(IF(IF(ISNUMBER(SEARCH("Party Name:-",'R.M Billets Reports'!D812)),TRIM('R.M Billets Reports'!F812),IF(ISNUMBER(SEARCH("Party Name-",'R.M Billets Reports'!D812)),TRIM(MID('R.M Billets Reports'!D812,SEARCH("-",'R.M Billets Reports'!D812)+1,200)),""))&lt;&gt;"",IF(ISNUMBER(SEARCH("Party Name:-",'R.M Billets Reports'!D812)),TRIM('R.M Billets Reports'!F812),IF(ISNUMBER(SEARCH("Party Name-",'R.M Billets Reports'!D812)),TRIM(MID('R.M Billets Reports'!D812,SEARCH("-",'R.M Billets Reports'!D812)+1,200)),"")),IF(ISNUMBER(SEARCH("Party Name:-",'R.M Billets Reports'!D813)),TRIM('R.M Billets Reports'!F813),IF(ISNUMBER(SEARCH("Party Name-",'R.M Billets Reports'!D813)),TRIM(MID('R.M Billets Reports'!D813,SEARCH("-",'R.M Billets Reports'!D813)+1,200)),"")))="VRKP ISPAT PVT LTD","VRKP",IF(IF(IF(ISNUMBER(SEARCH("Party Name:-",'R.M Billets Reports'!D812)),TRIM('R.M Billets Reports'!F812),IF(ISNUMBER(SEARCH("Party Name-",'R.M Billets Reports'!D812)),TRIM(MID('R.M Billets Reports'!D812,SEARCH("-",'R.M Billets Reports'!D812)+1,200)),""))&lt;&gt;"",IF(ISNUMBER(SEARCH("Party Name:-",'R.M Billets Reports'!D812)),TRIM('R.M Billets Reports'!F812),IF(ISNUMBER(SEARCH("Party Name-",'R.M Billets Reports'!D812)),TRIM(MID('R.M Billets Reports'!D812,SEARCH("-",'R.M Billets Reports'!D812)+1,200)),"")),IF(ISNUMBER(SEARCH("Party Name:-",'R.M Billets Reports'!D813)),TRIM('R.M Billets Reports'!F813),IF(ISNUMBER(SEARCH("Party Name-",'R.M Billets Reports'!D813)),TRIM(MID('R.M Billets Reports'!D813,SEARCH("-",'R.M Billets Reports'!D813)+1,200)),"")))="SHRI RADHE","SHREE RADHE",IF(IF(IF(ISNUMBER(SEARCH("Party Name:-",'R.M Billets Reports'!D812)),TRIM('R.M Billets Reports'!F812),IF(ISNUMBER(SEARCH("Party Name-",'R.M Billets Reports'!D812)),TRIM(MID('R.M Billets Reports'!D812,SEARCH("-",'R.M Billets Reports'!D812)+1,200)),""))&lt;&gt;"",IF(ISNUMBER(SEARCH("Party Name:-",'R.M Billets Reports'!D812)),TRIM('R.M Billets Reports'!F812),IF(ISNUMBER(SEARCH("Party Name-",'R.M Billets Reports'!D812)),TRIM(MID('R.M Billets Reports'!D812,SEARCH("-",'R.M Billets Reports'!D812)+1,200)),"")),IF(ISNUMBER(SEARCH("Party Name:-",'R.M Billets Reports'!D813)),TRIM('R.M Billets Reports'!F813),IF(ISNUMBER(SEARCH("Party Name-",'R.M Billets Reports'!D813)),TRIM(MID('R.M Billets Reports'!D813,SEARCH("-",'R.M Billets Reports'!D813)+1,200)),"")))="SHREE RADHE SHAKTI SPONGE AND POWER PVT. LTD.","SHREE RADHE",IF(IF(ISNUMBER(SEARCH("Party Name:-",'R.M Billets Reports'!D812)),TRIM('R.M Billets Reports'!F812),IF(ISNUMBER(SEARCH("Party Name-",'R.M Billets Reports'!D812)),TRIM(MID('R.M Billets Reports'!D812,SEARCH("-",'R.M Billets Reports'!D812)+1,200)),""))&lt;&gt;"",IF(ISNUMBER(SEARCH("Party Name:-",'R.M Billets Reports'!D812)),TRIM('R.M Billets Reports'!F812),IF(ISNUMBER(SEARCH("Party Name-",'R.M Billets Reports'!D812)),TRIM(MID('R.M Billets Reports'!D812,SEARCH("-",'R.M Billets Reports'!D812)+1,200)),"")),IF(ISNUMBER(SEARCH("Party Name:-",'R.M Billets Reports'!D813)),TRIM('R.M Billets Reports'!F813),IF(ISNUMBER(SEARCH("Party Name-",'R.M Billets Reports'!D813)),TRIM(MID('R.M Billets Reports'!D813,SEARCH("-",'R.M Billets Reports'!D813)+1,200)),"")))))),IF(ROW()=2,"",A812))</f>
      </c>
      <c r="B813">
        <f>IF(OR('R.M Billets Reports'!A812="Date-",'R.M Billets Reports'!A812="Date:-"),'R.M Billets Reports'!B812,IF(ROW()=2,"",B812))</f>
      </c>
      <c r="C813">
        <f>IF('R.M Billets Reports'!A812="V.No.",'R.M Billets Reports'!B812,IF(ROW()=2,"",C812))</f>
      </c>
      <c r="D813">
        <f>IF('R.M Billets Reports'!A812&lt;&gt;"",'R.M Billets Reports'!A812,IF(ROW()=2,"",D812))</f>
      </c>
      <c r="E813">
        <f>IF('R.M Billets Reports'!B812="","",TRIM('R.M Billets Reports'!B812))</f>
      </c>
      <c r="F813">
        <f>'R.M Billets Reports'!C812</f>
      </c>
      <c r="G813">
        <f>'R.M Billets Reports'!D812</f>
      </c>
      <c r="H813">
        <f>'R.M Billets Reports'!E812</f>
      </c>
      <c r="I813">
        <f>'R.M Billets Reports'!F812</f>
      </c>
      <c r="J813">
        <f>'R.M Billets Reports'!G812</f>
      </c>
      <c r="K813">
        <f>'R.M Billets Reports'!H812</f>
      </c>
      <c r="L813">
        <f>IF('R.M Billets Reports'!I812="","",'R.M Billets Reports'!I812)</f>
      </c>
      <c r="M813">
        <f t="shared" si="24"/>
      </c>
      <c r="N813">
        <f>IF('R.M Billets Reports'!J812="","",'R.M Billets Reports'!J812)</f>
      </c>
      <c r="O813">
        <f t="shared" si="25"/>
      </c>
      <c r="P813">
        <f>IF('R.M Billets Reports'!A812="SIZE",'R.M Billets Reports'!B812,P812)</f>
      </c>
    </row>
    <row r="814" spans="1:16" x14ac:dyDescent="0.25">
      <c r="A814">
        <f>IF(OR('R.M Billets Reports'!A813="Date-",'R.M Billets Reports'!A813="Date:-"),IF(IF(IF(ISNUMBER(SEARCH("Party Name:-",'R.M Billets Reports'!D813)),TRIM('R.M Billets Reports'!F813),IF(ISNUMBER(SEARCH("Party Name-",'R.M Billets Reports'!D813)),TRIM(MID('R.M Billets Reports'!D813,SEARCH("-",'R.M Billets Reports'!D813)+1,200)),""))&lt;&gt;"",IF(ISNUMBER(SEARCH("Party Name:-",'R.M Billets Reports'!D813)),TRIM('R.M Billets Reports'!F813),IF(ISNUMBER(SEARCH("Party Name-",'R.M Billets Reports'!D813)),TRIM(MID('R.M Billets Reports'!D813,SEARCH("-",'R.M Billets Reports'!D813)+1,200)),"")),IF(ISNUMBER(SEARCH("Party Name:-",'R.M Billets Reports'!D814)),TRIM('R.M Billets Reports'!F814),IF(ISNUMBER(SEARCH("Party Name-",'R.M Billets Reports'!D814)),TRIM(MID('R.M Billets Reports'!D814,SEARCH("-",'R.M Billets Reports'!D814)+1,200)),"")))="VRKP ISPAT PVT LTD","VRKP",IF(IF(IF(ISNUMBER(SEARCH("Party Name:-",'R.M Billets Reports'!D813)),TRIM('R.M Billets Reports'!F813),IF(ISNUMBER(SEARCH("Party Name-",'R.M Billets Reports'!D813)),TRIM(MID('R.M Billets Reports'!D813,SEARCH("-",'R.M Billets Reports'!D813)+1,200)),""))&lt;&gt;"",IF(ISNUMBER(SEARCH("Party Name:-",'R.M Billets Reports'!D813)),TRIM('R.M Billets Reports'!F813),IF(ISNUMBER(SEARCH("Party Name-",'R.M Billets Reports'!D813)),TRIM(MID('R.M Billets Reports'!D813,SEARCH("-",'R.M Billets Reports'!D813)+1,200)),"")),IF(ISNUMBER(SEARCH("Party Name:-",'R.M Billets Reports'!D814)),TRIM('R.M Billets Reports'!F814),IF(ISNUMBER(SEARCH("Party Name-",'R.M Billets Reports'!D814)),TRIM(MID('R.M Billets Reports'!D814,SEARCH("-",'R.M Billets Reports'!D814)+1,200)),"")))="SHRI RADHE","SHREE RADHE",IF(IF(IF(ISNUMBER(SEARCH("Party Name:-",'R.M Billets Reports'!D813)),TRIM('R.M Billets Reports'!F813),IF(ISNUMBER(SEARCH("Party Name-",'R.M Billets Reports'!D813)),TRIM(MID('R.M Billets Reports'!D813,SEARCH("-",'R.M Billets Reports'!D813)+1,200)),""))&lt;&gt;"",IF(ISNUMBER(SEARCH("Party Name:-",'R.M Billets Reports'!D813)),TRIM('R.M Billets Reports'!F813),IF(ISNUMBER(SEARCH("Party Name-",'R.M Billets Reports'!D813)),TRIM(MID('R.M Billets Reports'!D813,SEARCH("-",'R.M Billets Reports'!D813)+1,200)),"")),IF(ISNUMBER(SEARCH("Party Name:-",'R.M Billets Reports'!D814)),TRIM('R.M Billets Reports'!F814),IF(ISNUMBER(SEARCH("Party Name-",'R.M Billets Reports'!D814)),TRIM(MID('R.M Billets Reports'!D814,SEARCH("-",'R.M Billets Reports'!D814)+1,200)),"")))="SHREE RADHE SHAKTI SPONGE AND POWER PVT. LTD.","SHREE RADHE",IF(IF(ISNUMBER(SEARCH("Party Name:-",'R.M Billets Reports'!D813)),TRIM('R.M Billets Reports'!F813),IF(ISNUMBER(SEARCH("Party Name-",'R.M Billets Reports'!D813)),TRIM(MID('R.M Billets Reports'!D813,SEARCH("-",'R.M Billets Reports'!D813)+1,200)),""))&lt;&gt;"",IF(ISNUMBER(SEARCH("Party Name:-",'R.M Billets Reports'!D813)),TRIM('R.M Billets Reports'!F813),IF(ISNUMBER(SEARCH("Party Name-",'R.M Billets Reports'!D813)),TRIM(MID('R.M Billets Reports'!D813,SEARCH("-",'R.M Billets Reports'!D813)+1,200)),"")),IF(ISNUMBER(SEARCH("Party Name:-",'R.M Billets Reports'!D814)),TRIM('R.M Billets Reports'!F814),IF(ISNUMBER(SEARCH("Party Name-",'R.M Billets Reports'!D814)),TRIM(MID('R.M Billets Reports'!D814,SEARCH("-",'R.M Billets Reports'!D814)+1,200)),"")))))),IF(ROW()=2,"",A813))</f>
      </c>
      <c r="B814">
        <f>IF(OR('R.M Billets Reports'!A813="Date-",'R.M Billets Reports'!A813="Date:-"),'R.M Billets Reports'!B813,IF(ROW()=2,"",B813))</f>
      </c>
      <c r="C814">
        <f>IF('R.M Billets Reports'!A813="V.No.",'R.M Billets Reports'!B813,IF(ROW()=2,"",C813))</f>
      </c>
      <c r="D814">
        <f>IF('R.M Billets Reports'!A813&lt;&gt;"",'R.M Billets Reports'!A813,IF(ROW()=2,"",D813))</f>
      </c>
      <c r="E814">
        <f>IF('R.M Billets Reports'!B813="","",TRIM('R.M Billets Reports'!B813))</f>
      </c>
      <c r="F814">
        <f>'R.M Billets Reports'!C813</f>
      </c>
      <c r="G814">
        <f>'R.M Billets Reports'!D813</f>
      </c>
      <c r="H814">
        <f>'R.M Billets Reports'!E813</f>
      </c>
      <c r="I814">
        <f>'R.M Billets Reports'!F813</f>
      </c>
      <c r="J814">
        <f>'R.M Billets Reports'!G813</f>
      </c>
      <c r="K814">
        <f>'R.M Billets Reports'!H813</f>
      </c>
      <c r="L814">
        <f>IF('R.M Billets Reports'!I813="","",'R.M Billets Reports'!I813)</f>
      </c>
      <c r="M814">
        <f t="shared" si="24"/>
      </c>
      <c r="N814">
        <f>IF('R.M Billets Reports'!J813="","",'R.M Billets Reports'!J813)</f>
      </c>
      <c r="O814">
        <f t="shared" si="25"/>
      </c>
      <c r="P814">
        <f>IF('R.M Billets Reports'!A813="SIZE",'R.M Billets Reports'!B813,P813)</f>
      </c>
    </row>
    <row r="815" spans="1:16" x14ac:dyDescent="0.25">
      <c r="A815">
        <f>IF(OR('R.M Billets Reports'!A814="Date-",'R.M Billets Reports'!A814="Date:-"),IF(IF(IF(ISNUMBER(SEARCH("Party Name:-",'R.M Billets Reports'!D814)),TRIM('R.M Billets Reports'!F814),IF(ISNUMBER(SEARCH("Party Name-",'R.M Billets Reports'!D814)),TRIM(MID('R.M Billets Reports'!D814,SEARCH("-",'R.M Billets Reports'!D814)+1,200)),""))&lt;&gt;"",IF(ISNUMBER(SEARCH("Party Name:-",'R.M Billets Reports'!D814)),TRIM('R.M Billets Reports'!F814),IF(ISNUMBER(SEARCH("Party Name-",'R.M Billets Reports'!D814)),TRIM(MID('R.M Billets Reports'!D814,SEARCH("-",'R.M Billets Reports'!D814)+1,200)),"")),IF(ISNUMBER(SEARCH("Party Name:-",'R.M Billets Reports'!D815)),TRIM('R.M Billets Reports'!F815),IF(ISNUMBER(SEARCH("Party Name-",'R.M Billets Reports'!D815)),TRIM(MID('R.M Billets Reports'!D815,SEARCH("-",'R.M Billets Reports'!D815)+1,200)),"")))="VRKP ISPAT PVT LTD","VRKP",IF(IF(IF(ISNUMBER(SEARCH("Party Name:-",'R.M Billets Reports'!D814)),TRIM('R.M Billets Reports'!F814),IF(ISNUMBER(SEARCH("Party Name-",'R.M Billets Reports'!D814)),TRIM(MID('R.M Billets Reports'!D814,SEARCH("-",'R.M Billets Reports'!D814)+1,200)),""))&lt;&gt;"",IF(ISNUMBER(SEARCH("Party Name:-",'R.M Billets Reports'!D814)),TRIM('R.M Billets Reports'!F814),IF(ISNUMBER(SEARCH("Party Name-",'R.M Billets Reports'!D814)),TRIM(MID('R.M Billets Reports'!D814,SEARCH("-",'R.M Billets Reports'!D814)+1,200)),"")),IF(ISNUMBER(SEARCH("Party Name:-",'R.M Billets Reports'!D815)),TRIM('R.M Billets Reports'!F815),IF(ISNUMBER(SEARCH("Party Name-",'R.M Billets Reports'!D815)),TRIM(MID('R.M Billets Reports'!D815,SEARCH("-",'R.M Billets Reports'!D815)+1,200)),"")))="SHRI RADHE","SHREE RADHE",IF(IF(IF(ISNUMBER(SEARCH("Party Name:-",'R.M Billets Reports'!D814)),TRIM('R.M Billets Reports'!F814),IF(ISNUMBER(SEARCH("Party Name-",'R.M Billets Reports'!D814)),TRIM(MID('R.M Billets Reports'!D814,SEARCH("-",'R.M Billets Reports'!D814)+1,200)),""))&lt;&gt;"",IF(ISNUMBER(SEARCH("Party Name:-",'R.M Billets Reports'!D814)),TRIM('R.M Billets Reports'!F814),IF(ISNUMBER(SEARCH("Party Name-",'R.M Billets Reports'!D814)),TRIM(MID('R.M Billets Reports'!D814,SEARCH("-",'R.M Billets Reports'!D814)+1,200)),"")),IF(ISNUMBER(SEARCH("Party Name:-",'R.M Billets Reports'!D815)),TRIM('R.M Billets Reports'!F815),IF(ISNUMBER(SEARCH("Party Name-",'R.M Billets Reports'!D815)),TRIM(MID('R.M Billets Reports'!D815,SEARCH("-",'R.M Billets Reports'!D815)+1,200)),"")))="SHREE RADHE SHAKTI SPONGE AND POWER PVT. LTD.","SHREE RADHE",IF(IF(ISNUMBER(SEARCH("Party Name:-",'R.M Billets Reports'!D814)),TRIM('R.M Billets Reports'!F814),IF(ISNUMBER(SEARCH("Party Name-",'R.M Billets Reports'!D814)),TRIM(MID('R.M Billets Reports'!D814,SEARCH("-",'R.M Billets Reports'!D814)+1,200)),""))&lt;&gt;"",IF(ISNUMBER(SEARCH("Party Name:-",'R.M Billets Reports'!D814)),TRIM('R.M Billets Reports'!F814),IF(ISNUMBER(SEARCH("Party Name-",'R.M Billets Reports'!D814)),TRIM(MID('R.M Billets Reports'!D814,SEARCH("-",'R.M Billets Reports'!D814)+1,200)),"")),IF(ISNUMBER(SEARCH("Party Name:-",'R.M Billets Reports'!D815)),TRIM('R.M Billets Reports'!F815),IF(ISNUMBER(SEARCH("Party Name-",'R.M Billets Reports'!D815)),TRIM(MID('R.M Billets Reports'!D815,SEARCH("-",'R.M Billets Reports'!D815)+1,200)),"")))))),IF(ROW()=2,"",A814))</f>
      </c>
      <c r="B815">
        <f>IF(OR('R.M Billets Reports'!A814="Date-",'R.M Billets Reports'!A814="Date:-"),'R.M Billets Reports'!B814,IF(ROW()=2,"",B814))</f>
      </c>
      <c r="C815">
        <f>IF('R.M Billets Reports'!A814="V.No.",'R.M Billets Reports'!B814,IF(ROW()=2,"",C814))</f>
      </c>
      <c r="D815">
        <f>IF('R.M Billets Reports'!A814&lt;&gt;"",'R.M Billets Reports'!A814,IF(ROW()=2,"",D814))</f>
      </c>
      <c r="E815">
        <f>IF('R.M Billets Reports'!B814="","",TRIM('R.M Billets Reports'!B814))</f>
      </c>
      <c r="F815">
        <f>'R.M Billets Reports'!C814</f>
      </c>
      <c r="G815">
        <f>'R.M Billets Reports'!D814</f>
      </c>
      <c r="H815">
        <f>'R.M Billets Reports'!E814</f>
      </c>
      <c r="I815">
        <f>'R.M Billets Reports'!F814</f>
      </c>
      <c r="J815">
        <f>'R.M Billets Reports'!G814</f>
      </c>
      <c r="K815">
        <f>'R.M Billets Reports'!H814</f>
      </c>
      <c r="L815">
        <f>IF('R.M Billets Reports'!I814="","",'R.M Billets Reports'!I814)</f>
      </c>
      <c r="M815">
        <f t="shared" si="24"/>
      </c>
      <c r="N815">
        <f>IF('R.M Billets Reports'!J814="","",'R.M Billets Reports'!J814)</f>
      </c>
      <c r="O815">
        <f t="shared" si="25"/>
      </c>
      <c r="P815">
        <f>IF('R.M Billets Reports'!A814="SIZE",'R.M Billets Reports'!B814,P814)</f>
      </c>
    </row>
    <row r="816" spans="1:16" x14ac:dyDescent="0.25">
      <c r="A816">
        <f>IF(OR('R.M Billets Reports'!A815="Date-",'R.M Billets Reports'!A815="Date:-"),IF(IF(IF(ISNUMBER(SEARCH("Party Name:-",'R.M Billets Reports'!D815)),TRIM('R.M Billets Reports'!F815),IF(ISNUMBER(SEARCH("Party Name-",'R.M Billets Reports'!D815)),TRIM(MID('R.M Billets Reports'!D815,SEARCH("-",'R.M Billets Reports'!D815)+1,200)),""))&lt;&gt;"",IF(ISNUMBER(SEARCH("Party Name:-",'R.M Billets Reports'!D815)),TRIM('R.M Billets Reports'!F815),IF(ISNUMBER(SEARCH("Party Name-",'R.M Billets Reports'!D815)),TRIM(MID('R.M Billets Reports'!D815,SEARCH("-",'R.M Billets Reports'!D815)+1,200)),"")),IF(ISNUMBER(SEARCH("Party Name:-",'R.M Billets Reports'!D816)),TRIM('R.M Billets Reports'!F816),IF(ISNUMBER(SEARCH("Party Name-",'R.M Billets Reports'!D816)),TRIM(MID('R.M Billets Reports'!D816,SEARCH("-",'R.M Billets Reports'!D816)+1,200)),"")))="VRKP ISPAT PVT LTD","VRKP",IF(IF(IF(ISNUMBER(SEARCH("Party Name:-",'R.M Billets Reports'!D815)),TRIM('R.M Billets Reports'!F815),IF(ISNUMBER(SEARCH("Party Name-",'R.M Billets Reports'!D815)),TRIM(MID('R.M Billets Reports'!D815,SEARCH("-",'R.M Billets Reports'!D815)+1,200)),""))&lt;&gt;"",IF(ISNUMBER(SEARCH("Party Name:-",'R.M Billets Reports'!D815)),TRIM('R.M Billets Reports'!F815),IF(ISNUMBER(SEARCH("Party Name-",'R.M Billets Reports'!D815)),TRIM(MID('R.M Billets Reports'!D815,SEARCH("-",'R.M Billets Reports'!D815)+1,200)),"")),IF(ISNUMBER(SEARCH("Party Name:-",'R.M Billets Reports'!D816)),TRIM('R.M Billets Reports'!F816),IF(ISNUMBER(SEARCH("Party Name-",'R.M Billets Reports'!D816)),TRIM(MID('R.M Billets Reports'!D816,SEARCH("-",'R.M Billets Reports'!D816)+1,200)),"")))="SHRI RADHE","SHREE RADHE",IF(IF(IF(ISNUMBER(SEARCH("Party Name:-",'R.M Billets Reports'!D815)),TRIM('R.M Billets Reports'!F815),IF(ISNUMBER(SEARCH("Party Name-",'R.M Billets Reports'!D815)),TRIM(MID('R.M Billets Reports'!D815,SEARCH("-",'R.M Billets Reports'!D815)+1,200)),""))&lt;&gt;"",IF(ISNUMBER(SEARCH("Party Name:-",'R.M Billets Reports'!D815)),TRIM('R.M Billets Reports'!F815),IF(ISNUMBER(SEARCH("Party Name-",'R.M Billets Reports'!D815)),TRIM(MID('R.M Billets Reports'!D815,SEARCH("-",'R.M Billets Reports'!D815)+1,200)),"")),IF(ISNUMBER(SEARCH("Party Name:-",'R.M Billets Reports'!D816)),TRIM('R.M Billets Reports'!F816),IF(ISNUMBER(SEARCH("Party Name-",'R.M Billets Reports'!D816)),TRIM(MID('R.M Billets Reports'!D816,SEARCH("-",'R.M Billets Reports'!D816)+1,200)),"")))="SHREE RADHE SHAKTI SPONGE AND POWER PVT. LTD.","SHREE RADHE",IF(IF(ISNUMBER(SEARCH("Party Name:-",'R.M Billets Reports'!D815)),TRIM('R.M Billets Reports'!F815),IF(ISNUMBER(SEARCH("Party Name-",'R.M Billets Reports'!D815)),TRIM(MID('R.M Billets Reports'!D815,SEARCH("-",'R.M Billets Reports'!D815)+1,200)),""))&lt;&gt;"",IF(ISNUMBER(SEARCH("Party Name:-",'R.M Billets Reports'!D815)),TRIM('R.M Billets Reports'!F815),IF(ISNUMBER(SEARCH("Party Name-",'R.M Billets Reports'!D815)),TRIM(MID('R.M Billets Reports'!D815,SEARCH("-",'R.M Billets Reports'!D815)+1,200)),"")),IF(ISNUMBER(SEARCH("Party Name:-",'R.M Billets Reports'!D816)),TRIM('R.M Billets Reports'!F816),IF(ISNUMBER(SEARCH("Party Name-",'R.M Billets Reports'!D816)),TRIM(MID('R.M Billets Reports'!D816,SEARCH("-",'R.M Billets Reports'!D816)+1,200)),"")))))),IF(ROW()=2,"",A815))</f>
      </c>
      <c r="B816">
        <f>IF(OR('R.M Billets Reports'!A815="Date-",'R.M Billets Reports'!A815="Date:-"),'R.M Billets Reports'!B815,IF(ROW()=2,"",B815))</f>
      </c>
      <c r="C816">
        <f>IF('R.M Billets Reports'!A815="V.No.",'R.M Billets Reports'!B815,IF(ROW()=2,"",C815))</f>
      </c>
      <c r="D816">
        <f>IF('R.M Billets Reports'!A815&lt;&gt;"",'R.M Billets Reports'!A815,IF(ROW()=2,"",D815))</f>
      </c>
      <c r="E816">
        <f>IF('R.M Billets Reports'!B815="","",TRIM('R.M Billets Reports'!B815))</f>
      </c>
      <c r="F816">
        <f>'R.M Billets Reports'!C815</f>
      </c>
      <c r="G816">
        <f>'R.M Billets Reports'!D815</f>
      </c>
      <c r="H816">
        <f>'R.M Billets Reports'!E815</f>
      </c>
      <c r="I816">
        <f>'R.M Billets Reports'!F815</f>
      </c>
      <c r="J816">
        <f>'R.M Billets Reports'!G815</f>
      </c>
      <c r="K816">
        <f>'R.M Billets Reports'!H815</f>
      </c>
      <c r="L816">
        <f>IF('R.M Billets Reports'!I815="","",'R.M Billets Reports'!I815)</f>
      </c>
      <c r="M816">
        <f t="shared" si="24"/>
      </c>
      <c r="N816">
        <f>IF('R.M Billets Reports'!J815="","",'R.M Billets Reports'!J815)</f>
      </c>
      <c r="O816">
        <f t="shared" si="25"/>
      </c>
      <c r="P816">
        <f>IF('R.M Billets Reports'!A815="SIZE",'R.M Billets Reports'!B815,P815)</f>
      </c>
    </row>
    <row r="817" spans="1:16" x14ac:dyDescent="0.25">
      <c r="A817">
        <f>IF(OR('R.M Billets Reports'!A816="Date-",'R.M Billets Reports'!A816="Date:-"),IF(IF(IF(ISNUMBER(SEARCH("Party Name:-",'R.M Billets Reports'!D816)),TRIM('R.M Billets Reports'!F816),IF(ISNUMBER(SEARCH("Party Name-",'R.M Billets Reports'!D816)),TRIM(MID('R.M Billets Reports'!D816,SEARCH("-",'R.M Billets Reports'!D816)+1,200)),""))&lt;&gt;"",IF(ISNUMBER(SEARCH("Party Name:-",'R.M Billets Reports'!D816)),TRIM('R.M Billets Reports'!F816),IF(ISNUMBER(SEARCH("Party Name-",'R.M Billets Reports'!D816)),TRIM(MID('R.M Billets Reports'!D816,SEARCH("-",'R.M Billets Reports'!D816)+1,200)),"")),IF(ISNUMBER(SEARCH("Party Name:-",'R.M Billets Reports'!D817)),TRIM('R.M Billets Reports'!F817),IF(ISNUMBER(SEARCH("Party Name-",'R.M Billets Reports'!D817)),TRIM(MID('R.M Billets Reports'!D817,SEARCH("-",'R.M Billets Reports'!D817)+1,200)),"")))="VRKP ISPAT PVT LTD","VRKP",IF(IF(IF(ISNUMBER(SEARCH("Party Name:-",'R.M Billets Reports'!D816)),TRIM('R.M Billets Reports'!F816),IF(ISNUMBER(SEARCH("Party Name-",'R.M Billets Reports'!D816)),TRIM(MID('R.M Billets Reports'!D816,SEARCH("-",'R.M Billets Reports'!D816)+1,200)),""))&lt;&gt;"",IF(ISNUMBER(SEARCH("Party Name:-",'R.M Billets Reports'!D816)),TRIM('R.M Billets Reports'!F816),IF(ISNUMBER(SEARCH("Party Name-",'R.M Billets Reports'!D816)),TRIM(MID('R.M Billets Reports'!D816,SEARCH("-",'R.M Billets Reports'!D816)+1,200)),"")),IF(ISNUMBER(SEARCH("Party Name:-",'R.M Billets Reports'!D817)),TRIM('R.M Billets Reports'!F817),IF(ISNUMBER(SEARCH("Party Name-",'R.M Billets Reports'!D817)),TRIM(MID('R.M Billets Reports'!D817,SEARCH("-",'R.M Billets Reports'!D817)+1,200)),"")))="SHRI RADHE","SHREE RADHE",IF(IF(IF(ISNUMBER(SEARCH("Party Name:-",'R.M Billets Reports'!D816)),TRIM('R.M Billets Reports'!F816),IF(ISNUMBER(SEARCH("Party Name-",'R.M Billets Reports'!D816)),TRIM(MID('R.M Billets Reports'!D816,SEARCH("-",'R.M Billets Reports'!D816)+1,200)),""))&lt;&gt;"",IF(ISNUMBER(SEARCH("Party Name:-",'R.M Billets Reports'!D816)),TRIM('R.M Billets Reports'!F816),IF(ISNUMBER(SEARCH("Party Name-",'R.M Billets Reports'!D816)),TRIM(MID('R.M Billets Reports'!D816,SEARCH("-",'R.M Billets Reports'!D816)+1,200)),"")),IF(ISNUMBER(SEARCH("Party Name:-",'R.M Billets Reports'!D817)),TRIM('R.M Billets Reports'!F817),IF(ISNUMBER(SEARCH("Party Name-",'R.M Billets Reports'!D817)),TRIM(MID('R.M Billets Reports'!D817,SEARCH("-",'R.M Billets Reports'!D817)+1,200)),"")))="SHREE RADHE SHAKTI SPONGE AND POWER PVT. LTD.","SHREE RADHE",IF(IF(ISNUMBER(SEARCH("Party Name:-",'R.M Billets Reports'!D816)),TRIM('R.M Billets Reports'!F816),IF(ISNUMBER(SEARCH("Party Name-",'R.M Billets Reports'!D816)),TRIM(MID('R.M Billets Reports'!D816,SEARCH("-",'R.M Billets Reports'!D816)+1,200)),""))&lt;&gt;"",IF(ISNUMBER(SEARCH("Party Name:-",'R.M Billets Reports'!D816)),TRIM('R.M Billets Reports'!F816),IF(ISNUMBER(SEARCH("Party Name-",'R.M Billets Reports'!D816)),TRIM(MID('R.M Billets Reports'!D816,SEARCH("-",'R.M Billets Reports'!D816)+1,200)),"")),IF(ISNUMBER(SEARCH("Party Name:-",'R.M Billets Reports'!D817)),TRIM('R.M Billets Reports'!F817),IF(ISNUMBER(SEARCH("Party Name-",'R.M Billets Reports'!D817)),TRIM(MID('R.M Billets Reports'!D817,SEARCH("-",'R.M Billets Reports'!D817)+1,200)),"")))))),IF(ROW()=2,"",A816))</f>
      </c>
      <c r="B817">
        <f>IF(OR('R.M Billets Reports'!A816="Date-",'R.M Billets Reports'!A816="Date:-"),'R.M Billets Reports'!B816,IF(ROW()=2,"",B816))</f>
      </c>
      <c r="C817">
        <f>IF('R.M Billets Reports'!A816="V.No.",'R.M Billets Reports'!B816,IF(ROW()=2,"",C816))</f>
      </c>
      <c r="D817">
        <f>IF('R.M Billets Reports'!A816&lt;&gt;"",'R.M Billets Reports'!A816,IF(ROW()=2,"",D816))</f>
      </c>
      <c r="E817">
        <f>IF('R.M Billets Reports'!B816="","",TRIM('R.M Billets Reports'!B816))</f>
      </c>
      <c r="F817">
        <f>'R.M Billets Reports'!C816</f>
      </c>
      <c r="G817">
        <f>'R.M Billets Reports'!D816</f>
      </c>
      <c r="H817">
        <f>'R.M Billets Reports'!E816</f>
      </c>
      <c r="I817">
        <f>'R.M Billets Reports'!F816</f>
      </c>
      <c r="J817">
        <f>'R.M Billets Reports'!G816</f>
      </c>
      <c r="K817">
        <f>'R.M Billets Reports'!H816</f>
      </c>
      <c r="L817">
        <f>IF('R.M Billets Reports'!I816="","",'R.M Billets Reports'!I816)</f>
      </c>
      <c r="M817">
        <f t="shared" si="24"/>
      </c>
      <c r="N817">
        <f>IF('R.M Billets Reports'!J816="","",'R.M Billets Reports'!J816)</f>
      </c>
      <c r="O817">
        <f t="shared" si="25"/>
      </c>
      <c r="P817">
        <f>IF('R.M Billets Reports'!A816="SIZE",'R.M Billets Reports'!B816,P816)</f>
      </c>
    </row>
    <row r="818" spans="1:16" x14ac:dyDescent="0.25">
      <c r="A818">
        <f>IF(OR('R.M Billets Reports'!A817="Date-",'R.M Billets Reports'!A817="Date:-"),IF(IF(IF(ISNUMBER(SEARCH("Party Name:-",'R.M Billets Reports'!D817)),TRIM('R.M Billets Reports'!F817),IF(ISNUMBER(SEARCH("Party Name-",'R.M Billets Reports'!D817)),TRIM(MID('R.M Billets Reports'!D817,SEARCH("-",'R.M Billets Reports'!D817)+1,200)),""))&lt;&gt;"",IF(ISNUMBER(SEARCH("Party Name:-",'R.M Billets Reports'!D817)),TRIM('R.M Billets Reports'!F817),IF(ISNUMBER(SEARCH("Party Name-",'R.M Billets Reports'!D817)),TRIM(MID('R.M Billets Reports'!D817,SEARCH("-",'R.M Billets Reports'!D817)+1,200)),"")),IF(ISNUMBER(SEARCH("Party Name:-",'R.M Billets Reports'!D818)),TRIM('R.M Billets Reports'!F818),IF(ISNUMBER(SEARCH("Party Name-",'R.M Billets Reports'!D818)),TRIM(MID('R.M Billets Reports'!D818,SEARCH("-",'R.M Billets Reports'!D818)+1,200)),"")))="VRKP ISPAT PVT LTD","VRKP",IF(IF(IF(ISNUMBER(SEARCH("Party Name:-",'R.M Billets Reports'!D817)),TRIM('R.M Billets Reports'!F817),IF(ISNUMBER(SEARCH("Party Name-",'R.M Billets Reports'!D817)),TRIM(MID('R.M Billets Reports'!D817,SEARCH("-",'R.M Billets Reports'!D817)+1,200)),""))&lt;&gt;"",IF(ISNUMBER(SEARCH("Party Name:-",'R.M Billets Reports'!D817)),TRIM('R.M Billets Reports'!F817),IF(ISNUMBER(SEARCH("Party Name-",'R.M Billets Reports'!D817)),TRIM(MID('R.M Billets Reports'!D817,SEARCH("-",'R.M Billets Reports'!D817)+1,200)),"")),IF(ISNUMBER(SEARCH("Party Name:-",'R.M Billets Reports'!D818)),TRIM('R.M Billets Reports'!F818),IF(ISNUMBER(SEARCH("Party Name-",'R.M Billets Reports'!D818)),TRIM(MID('R.M Billets Reports'!D818,SEARCH("-",'R.M Billets Reports'!D818)+1,200)),"")))="SHRI RADHE","SHREE RADHE",IF(IF(IF(ISNUMBER(SEARCH("Party Name:-",'R.M Billets Reports'!D817)),TRIM('R.M Billets Reports'!F817),IF(ISNUMBER(SEARCH("Party Name-",'R.M Billets Reports'!D817)),TRIM(MID('R.M Billets Reports'!D817,SEARCH("-",'R.M Billets Reports'!D817)+1,200)),""))&lt;&gt;"",IF(ISNUMBER(SEARCH("Party Name:-",'R.M Billets Reports'!D817)),TRIM('R.M Billets Reports'!F817),IF(ISNUMBER(SEARCH("Party Name-",'R.M Billets Reports'!D817)),TRIM(MID('R.M Billets Reports'!D817,SEARCH("-",'R.M Billets Reports'!D817)+1,200)),"")),IF(ISNUMBER(SEARCH("Party Name:-",'R.M Billets Reports'!D818)),TRIM('R.M Billets Reports'!F818),IF(ISNUMBER(SEARCH("Party Name-",'R.M Billets Reports'!D818)),TRIM(MID('R.M Billets Reports'!D818,SEARCH("-",'R.M Billets Reports'!D818)+1,200)),"")))="SHREE RADHE SHAKTI SPONGE AND POWER PVT. LTD.","SHREE RADHE",IF(IF(ISNUMBER(SEARCH("Party Name:-",'R.M Billets Reports'!D817)),TRIM('R.M Billets Reports'!F817),IF(ISNUMBER(SEARCH("Party Name-",'R.M Billets Reports'!D817)),TRIM(MID('R.M Billets Reports'!D817,SEARCH("-",'R.M Billets Reports'!D817)+1,200)),""))&lt;&gt;"",IF(ISNUMBER(SEARCH("Party Name:-",'R.M Billets Reports'!D817)),TRIM('R.M Billets Reports'!F817),IF(ISNUMBER(SEARCH("Party Name-",'R.M Billets Reports'!D817)),TRIM(MID('R.M Billets Reports'!D817,SEARCH("-",'R.M Billets Reports'!D817)+1,200)),"")),IF(ISNUMBER(SEARCH("Party Name:-",'R.M Billets Reports'!D818)),TRIM('R.M Billets Reports'!F818),IF(ISNUMBER(SEARCH("Party Name-",'R.M Billets Reports'!D818)),TRIM(MID('R.M Billets Reports'!D818,SEARCH("-",'R.M Billets Reports'!D818)+1,200)),"")))))),IF(ROW()=2,"",A817))</f>
      </c>
      <c r="B818">
        <f>IF(OR('R.M Billets Reports'!A817="Date-",'R.M Billets Reports'!A817="Date:-"),'R.M Billets Reports'!B817,IF(ROW()=2,"",B817))</f>
      </c>
      <c r="C818">
        <f>IF('R.M Billets Reports'!A817="V.No.",'R.M Billets Reports'!B817,IF(ROW()=2,"",C817))</f>
      </c>
      <c r="D818">
        <f>IF('R.M Billets Reports'!A817&lt;&gt;"",'R.M Billets Reports'!A817,IF(ROW()=2,"",D817))</f>
      </c>
      <c r="E818">
        <f>IF('R.M Billets Reports'!B817="","",TRIM('R.M Billets Reports'!B817))</f>
      </c>
      <c r="F818">
        <f>'R.M Billets Reports'!C817</f>
      </c>
      <c r="G818">
        <f>'R.M Billets Reports'!D817</f>
      </c>
      <c r="H818">
        <f>'R.M Billets Reports'!E817</f>
      </c>
      <c r="I818">
        <f>'R.M Billets Reports'!F817</f>
      </c>
      <c r="J818">
        <f>'R.M Billets Reports'!G817</f>
      </c>
      <c r="K818">
        <f>'R.M Billets Reports'!H817</f>
      </c>
      <c r="L818">
        <f>IF('R.M Billets Reports'!I817="","",'R.M Billets Reports'!I817)</f>
      </c>
      <c r="M818">
        <f t="shared" si="24"/>
      </c>
      <c r="N818">
        <f>IF('R.M Billets Reports'!J817="","",'R.M Billets Reports'!J817)</f>
      </c>
      <c r="O818">
        <f t="shared" si="25"/>
      </c>
      <c r="P818">
        <f>IF('R.M Billets Reports'!A817="SIZE",'R.M Billets Reports'!B817,P817)</f>
      </c>
    </row>
    <row r="819" spans="1:16" x14ac:dyDescent="0.25">
      <c r="A819">
        <f>IF(OR('R.M Billets Reports'!A818="Date-",'R.M Billets Reports'!A818="Date:-"),IF(IF(IF(ISNUMBER(SEARCH("Party Name:-",'R.M Billets Reports'!D818)),TRIM('R.M Billets Reports'!F818),IF(ISNUMBER(SEARCH("Party Name-",'R.M Billets Reports'!D818)),TRIM(MID('R.M Billets Reports'!D818,SEARCH("-",'R.M Billets Reports'!D818)+1,200)),""))&lt;&gt;"",IF(ISNUMBER(SEARCH("Party Name:-",'R.M Billets Reports'!D818)),TRIM('R.M Billets Reports'!F818),IF(ISNUMBER(SEARCH("Party Name-",'R.M Billets Reports'!D818)),TRIM(MID('R.M Billets Reports'!D818,SEARCH("-",'R.M Billets Reports'!D818)+1,200)),"")),IF(ISNUMBER(SEARCH("Party Name:-",'R.M Billets Reports'!D819)),TRIM('R.M Billets Reports'!F819),IF(ISNUMBER(SEARCH("Party Name-",'R.M Billets Reports'!D819)),TRIM(MID('R.M Billets Reports'!D819,SEARCH("-",'R.M Billets Reports'!D819)+1,200)),"")))="VRKP ISPAT PVT LTD","VRKP",IF(IF(IF(ISNUMBER(SEARCH("Party Name:-",'R.M Billets Reports'!D818)),TRIM('R.M Billets Reports'!F818),IF(ISNUMBER(SEARCH("Party Name-",'R.M Billets Reports'!D818)),TRIM(MID('R.M Billets Reports'!D818,SEARCH("-",'R.M Billets Reports'!D818)+1,200)),""))&lt;&gt;"",IF(ISNUMBER(SEARCH("Party Name:-",'R.M Billets Reports'!D818)),TRIM('R.M Billets Reports'!F818),IF(ISNUMBER(SEARCH("Party Name-",'R.M Billets Reports'!D818)),TRIM(MID('R.M Billets Reports'!D818,SEARCH("-",'R.M Billets Reports'!D818)+1,200)),"")),IF(ISNUMBER(SEARCH("Party Name:-",'R.M Billets Reports'!D819)),TRIM('R.M Billets Reports'!F819),IF(ISNUMBER(SEARCH("Party Name-",'R.M Billets Reports'!D819)),TRIM(MID('R.M Billets Reports'!D819,SEARCH("-",'R.M Billets Reports'!D819)+1,200)),"")))="SHRI RADHE","SHREE RADHE",IF(IF(IF(ISNUMBER(SEARCH("Party Name:-",'R.M Billets Reports'!D818)),TRIM('R.M Billets Reports'!F818),IF(ISNUMBER(SEARCH("Party Name-",'R.M Billets Reports'!D818)),TRIM(MID('R.M Billets Reports'!D818,SEARCH("-",'R.M Billets Reports'!D818)+1,200)),""))&lt;&gt;"",IF(ISNUMBER(SEARCH("Party Name:-",'R.M Billets Reports'!D818)),TRIM('R.M Billets Reports'!F818),IF(ISNUMBER(SEARCH("Party Name-",'R.M Billets Reports'!D818)),TRIM(MID('R.M Billets Reports'!D818,SEARCH("-",'R.M Billets Reports'!D818)+1,200)),"")),IF(ISNUMBER(SEARCH("Party Name:-",'R.M Billets Reports'!D819)),TRIM('R.M Billets Reports'!F819),IF(ISNUMBER(SEARCH("Party Name-",'R.M Billets Reports'!D819)),TRIM(MID('R.M Billets Reports'!D819,SEARCH("-",'R.M Billets Reports'!D819)+1,200)),"")))="SHREE RADHE SHAKTI SPONGE AND POWER PVT. LTD.","SHREE RADHE",IF(IF(ISNUMBER(SEARCH("Party Name:-",'R.M Billets Reports'!D818)),TRIM('R.M Billets Reports'!F818),IF(ISNUMBER(SEARCH("Party Name-",'R.M Billets Reports'!D818)),TRIM(MID('R.M Billets Reports'!D818,SEARCH("-",'R.M Billets Reports'!D818)+1,200)),""))&lt;&gt;"",IF(ISNUMBER(SEARCH("Party Name:-",'R.M Billets Reports'!D818)),TRIM('R.M Billets Reports'!F818),IF(ISNUMBER(SEARCH("Party Name-",'R.M Billets Reports'!D818)),TRIM(MID('R.M Billets Reports'!D818,SEARCH("-",'R.M Billets Reports'!D818)+1,200)),"")),IF(ISNUMBER(SEARCH("Party Name:-",'R.M Billets Reports'!D819)),TRIM('R.M Billets Reports'!F819),IF(ISNUMBER(SEARCH("Party Name-",'R.M Billets Reports'!D819)),TRIM(MID('R.M Billets Reports'!D819,SEARCH("-",'R.M Billets Reports'!D819)+1,200)),"")))))),IF(ROW()=2,"",A818))</f>
      </c>
      <c r="B819">
        <f>IF(OR('R.M Billets Reports'!A818="Date-",'R.M Billets Reports'!A818="Date:-"),'R.M Billets Reports'!B818,IF(ROW()=2,"",B818))</f>
      </c>
      <c r="C819">
        <f>IF('R.M Billets Reports'!A818="V.No.",'R.M Billets Reports'!B818,IF(ROW()=2,"",C818))</f>
      </c>
      <c r="D819">
        <f>IF('R.M Billets Reports'!A818&lt;&gt;"",'R.M Billets Reports'!A818,IF(ROW()=2,"",D818))</f>
      </c>
      <c r="E819">
        <f>IF('R.M Billets Reports'!B818="","",TRIM('R.M Billets Reports'!B818))</f>
      </c>
      <c r="F819">
        <f>'R.M Billets Reports'!C818</f>
      </c>
      <c r="G819">
        <f>'R.M Billets Reports'!D818</f>
      </c>
      <c r="H819">
        <f>'R.M Billets Reports'!E818</f>
      </c>
      <c r="I819">
        <f>'R.M Billets Reports'!F818</f>
      </c>
      <c r="J819">
        <f>'R.M Billets Reports'!G818</f>
      </c>
      <c r="K819">
        <f>'R.M Billets Reports'!H818</f>
      </c>
      <c r="L819">
        <f>IF('R.M Billets Reports'!I818="","",'R.M Billets Reports'!I818)</f>
      </c>
      <c r="M819">
        <f t="shared" si="24"/>
      </c>
      <c r="N819">
        <f>IF('R.M Billets Reports'!J818="","",'R.M Billets Reports'!J818)</f>
      </c>
      <c r="O819">
        <f t="shared" si="25"/>
      </c>
      <c r="P819">
        <f>IF('R.M Billets Reports'!A818="SIZE",'R.M Billets Reports'!B818,P818)</f>
      </c>
    </row>
    <row r="820" spans="1:16" x14ac:dyDescent="0.25">
      <c r="A820">
        <f>IF(OR('R.M Billets Reports'!A819="Date-",'R.M Billets Reports'!A819="Date:-"),IF(IF(IF(ISNUMBER(SEARCH("Party Name:-",'R.M Billets Reports'!D819)),TRIM('R.M Billets Reports'!F819),IF(ISNUMBER(SEARCH("Party Name-",'R.M Billets Reports'!D819)),TRIM(MID('R.M Billets Reports'!D819,SEARCH("-",'R.M Billets Reports'!D819)+1,200)),""))&lt;&gt;"",IF(ISNUMBER(SEARCH("Party Name:-",'R.M Billets Reports'!D819)),TRIM('R.M Billets Reports'!F819),IF(ISNUMBER(SEARCH("Party Name-",'R.M Billets Reports'!D819)),TRIM(MID('R.M Billets Reports'!D819,SEARCH("-",'R.M Billets Reports'!D819)+1,200)),"")),IF(ISNUMBER(SEARCH("Party Name:-",'R.M Billets Reports'!D820)),TRIM('R.M Billets Reports'!F820),IF(ISNUMBER(SEARCH("Party Name-",'R.M Billets Reports'!D820)),TRIM(MID('R.M Billets Reports'!D820,SEARCH("-",'R.M Billets Reports'!D820)+1,200)),"")))="VRKP ISPAT PVT LTD","VRKP",IF(IF(IF(ISNUMBER(SEARCH("Party Name:-",'R.M Billets Reports'!D819)),TRIM('R.M Billets Reports'!F819),IF(ISNUMBER(SEARCH("Party Name-",'R.M Billets Reports'!D819)),TRIM(MID('R.M Billets Reports'!D819,SEARCH("-",'R.M Billets Reports'!D819)+1,200)),""))&lt;&gt;"",IF(ISNUMBER(SEARCH("Party Name:-",'R.M Billets Reports'!D819)),TRIM('R.M Billets Reports'!F819),IF(ISNUMBER(SEARCH("Party Name-",'R.M Billets Reports'!D819)),TRIM(MID('R.M Billets Reports'!D819,SEARCH("-",'R.M Billets Reports'!D819)+1,200)),"")),IF(ISNUMBER(SEARCH("Party Name:-",'R.M Billets Reports'!D820)),TRIM('R.M Billets Reports'!F820),IF(ISNUMBER(SEARCH("Party Name-",'R.M Billets Reports'!D820)),TRIM(MID('R.M Billets Reports'!D820,SEARCH("-",'R.M Billets Reports'!D820)+1,200)),"")))="SHRI RADHE","SHREE RADHE",IF(IF(IF(ISNUMBER(SEARCH("Party Name:-",'R.M Billets Reports'!D819)),TRIM('R.M Billets Reports'!F819),IF(ISNUMBER(SEARCH("Party Name-",'R.M Billets Reports'!D819)),TRIM(MID('R.M Billets Reports'!D819,SEARCH("-",'R.M Billets Reports'!D819)+1,200)),""))&lt;&gt;"",IF(ISNUMBER(SEARCH("Party Name:-",'R.M Billets Reports'!D819)),TRIM('R.M Billets Reports'!F819),IF(ISNUMBER(SEARCH("Party Name-",'R.M Billets Reports'!D819)),TRIM(MID('R.M Billets Reports'!D819,SEARCH("-",'R.M Billets Reports'!D819)+1,200)),"")),IF(ISNUMBER(SEARCH("Party Name:-",'R.M Billets Reports'!D820)),TRIM('R.M Billets Reports'!F820),IF(ISNUMBER(SEARCH("Party Name-",'R.M Billets Reports'!D820)),TRIM(MID('R.M Billets Reports'!D820,SEARCH("-",'R.M Billets Reports'!D820)+1,200)),"")))="SHREE RADHE SHAKTI SPONGE AND POWER PVT. LTD.","SHREE RADHE",IF(IF(ISNUMBER(SEARCH("Party Name:-",'R.M Billets Reports'!D819)),TRIM('R.M Billets Reports'!F819),IF(ISNUMBER(SEARCH("Party Name-",'R.M Billets Reports'!D819)),TRIM(MID('R.M Billets Reports'!D819,SEARCH("-",'R.M Billets Reports'!D819)+1,200)),""))&lt;&gt;"",IF(ISNUMBER(SEARCH("Party Name:-",'R.M Billets Reports'!D819)),TRIM('R.M Billets Reports'!F819),IF(ISNUMBER(SEARCH("Party Name-",'R.M Billets Reports'!D819)),TRIM(MID('R.M Billets Reports'!D819,SEARCH("-",'R.M Billets Reports'!D819)+1,200)),"")),IF(ISNUMBER(SEARCH("Party Name:-",'R.M Billets Reports'!D820)),TRIM('R.M Billets Reports'!F820),IF(ISNUMBER(SEARCH("Party Name-",'R.M Billets Reports'!D820)),TRIM(MID('R.M Billets Reports'!D820,SEARCH("-",'R.M Billets Reports'!D820)+1,200)),"")))))),IF(ROW()=2,"",A819))</f>
      </c>
      <c r="B820">
        <f>IF(OR('R.M Billets Reports'!A819="Date-",'R.M Billets Reports'!A819="Date:-"),'R.M Billets Reports'!B819,IF(ROW()=2,"",B819))</f>
      </c>
      <c r="C820">
        <f>IF('R.M Billets Reports'!A819="V.No.",'R.M Billets Reports'!B819,IF(ROW()=2,"",C819))</f>
      </c>
      <c r="D820">
        <f>IF('R.M Billets Reports'!A819&lt;&gt;"",'R.M Billets Reports'!A819,IF(ROW()=2,"",D819))</f>
      </c>
      <c r="E820">
        <f>IF('R.M Billets Reports'!B819="","",TRIM('R.M Billets Reports'!B819))</f>
      </c>
      <c r="F820">
        <f>'R.M Billets Reports'!C819</f>
      </c>
      <c r="G820">
        <f>'R.M Billets Reports'!D819</f>
      </c>
      <c r="H820">
        <f>'R.M Billets Reports'!E819</f>
      </c>
      <c r="I820">
        <f>'R.M Billets Reports'!F819</f>
      </c>
      <c r="J820">
        <f>'R.M Billets Reports'!G819</f>
      </c>
      <c r="K820">
        <f>'R.M Billets Reports'!H819</f>
      </c>
      <c r="L820">
        <f>IF('R.M Billets Reports'!I819="","",'R.M Billets Reports'!I819)</f>
      </c>
      <c r="M820">
        <f t="shared" si="24"/>
      </c>
      <c r="N820">
        <f>IF('R.M Billets Reports'!J819="","",'R.M Billets Reports'!J819)</f>
      </c>
      <c r="O820">
        <f t="shared" si="25"/>
      </c>
      <c r="P820">
        <f>IF('R.M Billets Reports'!A819="SIZE",'R.M Billets Reports'!B819,P819)</f>
      </c>
    </row>
    <row r="821" spans="1:16" x14ac:dyDescent="0.25">
      <c r="A821">
        <f>IF(OR('R.M Billets Reports'!A820="Date-",'R.M Billets Reports'!A820="Date:-"),IF(IF(IF(ISNUMBER(SEARCH("Party Name:-",'R.M Billets Reports'!D820)),TRIM('R.M Billets Reports'!F820),IF(ISNUMBER(SEARCH("Party Name-",'R.M Billets Reports'!D820)),TRIM(MID('R.M Billets Reports'!D820,SEARCH("-",'R.M Billets Reports'!D820)+1,200)),""))&lt;&gt;"",IF(ISNUMBER(SEARCH("Party Name:-",'R.M Billets Reports'!D820)),TRIM('R.M Billets Reports'!F820),IF(ISNUMBER(SEARCH("Party Name-",'R.M Billets Reports'!D820)),TRIM(MID('R.M Billets Reports'!D820,SEARCH("-",'R.M Billets Reports'!D820)+1,200)),"")),IF(ISNUMBER(SEARCH("Party Name:-",'R.M Billets Reports'!D821)),TRIM('R.M Billets Reports'!F821),IF(ISNUMBER(SEARCH("Party Name-",'R.M Billets Reports'!D821)),TRIM(MID('R.M Billets Reports'!D821,SEARCH("-",'R.M Billets Reports'!D821)+1,200)),"")))="VRKP ISPAT PVT LTD","VRKP",IF(IF(IF(ISNUMBER(SEARCH("Party Name:-",'R.M Billets Reports'!D820)),TRIM('R.M Billets Reports'!F820),IF(ISNUMBER(SEARCH("Party Name-",'R.M Billets Reports'!D820)),TRIM(MID('R.M Billets Reports'!D820,SEARCH("-",'R.M Billets Reports'!D820)+1,200)),""))&lt;&gt;"",IF(ISNUMBER(SEARCH("Party Name:-",'R.M Billets Reports'!D820)),TRIM('R.M Billets Reports'!F820),IF(ISNUMBER(SEARCH("Party Name-",'R.M Billets Reports'!D820)),TRIM(MID('R.M Billets Reports'!D820,SEARCH("-",'R.M Billets Reports'!D820)+1,200)),"")),IF(ISNUMBER(SEARCH("Party Name:-",'R.M Billets Reports'!D821)),TRIM('R.M Billets Reports'!F821),IF(ISNUMBER(SEARCH("Party Name-",'R.M Billets Reports'!D821)),TRIM(MID('R.M Billets Reports'!D821,SEARCH("-",'R.M Billets Reports'!D821)+1,200)),"")))="SHRI RADHE","SHREE RADHE",IF(IF(IF(ISNUMBER(SEARCH("Party Name:-",'R.M Billets Reports'!D820)),TRIM('R.M Billets Reports'!F820),IF(ISNUMBER(SEARCH("Party Name-",'R.M Billets Reports'!D820)),TRIM(MID('R.M Billets Reports'!D820,SEARCH("-",'R.M Billets Reports'!D820)+1,200)),""))&lt;&gt;"",IF(ISNUMBER(SEARCH("Party Name:-",'R.M Billets Reports'!D820)),TRIM('R.M Billets Reports'!F820),IF(ISNUMBER(SEARCH("Party Name-",'R.M Billets Reports'!D820)),TRIM(MID('R.M Billets Reports'!D820,SEARCH("-",'R.M Billets Reports'!D820)+1,200)),"")),IF(ISNUMBER(SEARCH("Party Name:-",'R.M Billets Reports'!D821)),TRIM('R.M Billets Reports'!F821),IF(ISNUMBER(SEARCH("Party Name-",'R.M Billets Reports'!D821)),TRIM(MID('R.M Billets Reports'!D821,SEARCH("-",'R.M Billets Reports'!D821)+1,200)),"")))="SHREE RADHE SHAKTI SPONGE AND POWER PVT. LTD.","SHREE RADHE",IF(IF(ISNUMBER(SEARCH("Party Name:-",'R.M Billets Reports'!D820)),TRIM('R.M Billets Reports'!F820),IF(ISNUMBER(SEARCH("Party Name-",'R.M Billets Reports'!D820)),TRIM(MID('R.M Billets Reports'!D820,SEARCH("-",'R.M Billets Reports'!D820)+1,200)),""))&lt;&gt;"",IF(ISNUMBER(SEARCH("Party Name:-",'R.M Billets Reports'!D820)),TRIM('R.M Billets Reports'!F820),IF(ISNUMBER(SEARCH("Party Name-",'R.M Billets Reports'!D820)),TRIM(MID('R.M Billets Reports'!D820,SEARCH("-",'R.M Billets Reports'!D820)+1,200)),"")),IF(ISNUMBER(SEARCH("Party Name:-",'R.M Billets Reports'!D821)),TRIM('R.M Billets Reports'!F821),IF(ISNUMBER(SEARCH("Party Name-",'R.M Billets Reports'!D821)),TRIM(MID('R.M Billets Reports'!D821,SEARCH("-",'R.M Billets Reports'!D821)+1,200)),"")))))),IF(ROW()=2,"",A820))</f>
      </c>
      <c r="B821">
        <f>IF(OR('R.M Billets Reports'!A820="Date-",'R.M Billets Reports'!A820="Date:-"),'R.M Billets Reports'!B820,IF(ROW()=2,"",B820))</f>
      </c>
      <c r="C821">
        <f>IF('R.M Billets Reports'!A820="V.No.",'R.M Billets Reports'!B820,IF(ROW()=2,"",C820))</f>
      </c>
      <c r="D821">
        <f>IF('R.M Billets Reports'!A820&lt;&gt;"",'R.M Billets Reports'!A820,IF(ROW()=2,"",D820))</f>
      </c>
      <c r="E821">
        <f>IF('R.M Billets Reports'!B820="","",TRIM('R.M Billets Reports'!B820))</f>
      </c>
      <c r="F821">
        <f>'R.M Billets Reports'!C820</f>
      </c>
      <c r="G821">
        <f>'R.M Billets Reports'!D820</f>
      </c>
      <c r="H821">
        <f>'R.M Billets Reports'!E820</f>
      </c>
      <c r="I821">
        <f>'R.M Billets Reports'!F820</f>
      </c>
      <c r="J821">
        <f>'R.M Billets Reports'!G820</f>
      </c>
      <c r="K821">
        <f>'R.M Billets Reports'!H820</f>
      </c>
      <c r="L821">
        <f>IF('R.M Billets Reports'!I820="","",'R.M Billets Reports'!I820)</f>
      </c>
      <c r="M821">
        <f t="shared" si="24"/>
      </c>
      <c r="N821">
        <f>IF('R.M Billets Reports'!J820="","",'R.M Billets Reports'!J820)</f>
      </c>
      <c r="O821">
        <f t="shared" si="25"/>
      </c>
      <c r="P821">
        <f>IF('R.M Billets Reports'!A820="SIZE",'R.M Billets Reports'!B820,P820)</f>
      </c>
    </row>
    <row r="822" spans="1:16" x14ac:dyDescent="0.25">
      <c r="A822">
        <f>IF(OR('R.M Billets Reports'!A821="Date-",'R.M Billets Reports'!A821="Date:-"),IF(IF(IF(ISNUMBER(SEARCH("Party Name:-",'R.M Billets Reports'!D821)),TRIM('R.M Billets Reports'!F821),IF(ISNUMBER(SEARCH("Party Name-",'R.M Billets Reports'!D821)),TRIM(MID('R.M Billets Reports'!D821,SEARCH("-",'R.M Billets Reports'!D821)+1,200)),""))&lt;&gt;"",IF(ISNUMBER(SEARCH("Party Name:-",'R.M Billets Reports'!D821)),TRIM('R.M Billets Reports'!F821),IF(ISNUMBER(SEARCH("Party Name-",'R.M Billets Reports'!D821)),TRIM(MID('R.M Billets Reports'!D821,SEARCH("-",'R.M Billets Reports'!D821)+1,200)),"")),IF(ISNUMBER(SEARCH("Party Name:-",'R.M Billets Reports'!D822)),TRIM('R.M Billets Reports'!F822),IF(ISNUMBER(SEARCH("Party Name-",'R.M Billets Reports'!D822)),TRIM(MID('R.M Billets Reports'!D822,SEARCH("-",'R.M Billets Reports'!D822)+1,200)),"")))="VRKP ISPAT PVT LTD","VRKP",IF(IF(IF(ISNUMBER(SEARCH("Party Name:-",'R.M Billets Reports'!D821)),TRIM('R.M Billets Reports'!F821),IF(ISNUMBER(SEARCH("Party Name-",'R.M Billets Reports'!D821)),TRIM(MID('R.M Billets Reports'!D821,SEARCH("-",'R.M Billets Reports'!D821)+1,200)),""))&lt;&gt;"",IF(ISNUMBER(SEARCH("Party Name:-",'R.M Billets Reports'!D821)),TRIM('R.M Billets Reports'!F821),IF(ISNUMBER(SEARCH("Party Name-",'R.M Billets Reports'!D821)),TRIM(MID('R.M Billets Reports'!D821,SEARCH("-",'R.M Billets Reports'!D821)+1,200)),"")),IF(ISNUMBER(SEARCH("Party Name:-",'R.M Billets Reports'!D822)),TRIM('R.M Billets Reports'!F822),IF(ISNUMBER(SEARCH("Party Name-",'R.M Billets Reports'!D822)),TRIM(MID('R.M Billets Reports'!D822,SEARCH("-",'R.M Billets Reports'!D822)+1,200)),"")))="SHRI RADHE","SHREE RADHE",IF(IF(IF(ISNUMBER(SEARCH("Party Name:-",'R.M Billets Reports'!D821)),TRIM('R.M Billets Reports'!F821),IF(ISNUMBER(SEARCH("Party Name-",'R.M Billets Reports'!D821)),TRIM(MID('R.M Billets Reports'!D821,SEARCH("-",'R.M Billets Reports'!D821)+1,200)),""))&lt;&gt;"",IF(ISNUMBER(SEARCH("Party Name:-",'R.M Billets Reports'!D821)),TRIM('R.M Billets Reports'!F821),IF(ISNUMBER(SEARCH("Party Name-",'R.M Billets Reports'!D821)),TRIM(MID('R.M Billets Reports'!D821,SEARCH("-",'R.M Billets Reports'!D821)+1,200)),"")),IF(ISNUMBER(SEARCH("Party Name:-",'R.M Billets Reports'!D822)),TRIM('R.M Billets Reports'!F822),IF(ISNUMBER(SEARCH("Party Name-",'R.M Billets Reports'!D822)),TRIM(MID('R.M Billets Reports'!D822,SEARCH("-",'R.M Billets Reports'!D822)+1,200)),"")))="SHREE RADHE SHAKTI SPONGE AND POWER PVT. LTD.","SHREE RADHE",IF(IF(ISNUMBER(SEARCH("Party Name:-",'R.M Billets Reports'!D821)),TRIM('R.M Billets Reports'!F821),IF(ISNUMBER(SEARCH("Party Name-",'R.M Billets Reports'!D821)),TRIM(MID('R.M Billets Reports'!D821,SEARCH("-",'R.M Billets Reports'!D821)+1,200)),""))&lt;&gt;"",IF(ISNUMBER(SEARCH("Party Name:-",'R.M Billets Reports'!D821)),TRIM('R.M Billets Reports'!F821),IF(ISNUMBER(SEARCH("Party Name-",'R.M Billets Reports'!D821)),TRIM(MID('R.M Billets Reports'!D821,SEARCH("-",'R.M Billets Reports'!D821)+1,200)),"")),IF(ISNUMBER(SEARCH("Party Name:-",'R.M Billets Reports'!D822)),TRIM('R.M Billets Reports'!F822),IF(ISNUMBER(SEARCH("Party Name-",'R.M Billets Reports'!D822)),TRIM(MID('R.M Billets Reports'!D822,SEARCH("-",'R.M Billets Reports'!D822)+1,200)),"")))))),IF(ROW()=2,"",A821))</f>
      </c>
      <c r="B822">
        <f>IF(OR('R.M Billets Reports'!A821="Date-",'R.M Billets Reports'!A821="Date:-"),'R.M Billets Reports'!B821,IF(ROW()=2,"",B821))</f>
      </c>
      <c r="C822">
        <f>IF('R.M Billets Reports'!A821="V.No.",'R.M Billets Reports'!B821,IF(ROW()=2,"",C821))</f>
      </c>
      <c r="D822">
        <f>IF('R.M Billets Reports'!A821&lt;&gt;"",'R.M Billets Reports'!A821,IF(ROW()=2,"",D821))</f>
      </c>
      <c r="E822">
        <f>IF('R.M Billets Reports'!B821="","",TRIM('R.M Billets Reports'!B821))</f>
      </c>
      <c r="F822">
        <f>'R.M Billets Reports'!C821</f>
      </c>
      <c r="G822">
        <f>'R.M Billets Reports'!D821</f>
      </c>
      <c r="H822">
        <f>'R.M Billets Reports'!E821</f>
      </c>
      <c r="I822">
        <f>'R.M Billets Reports'!F821</f>
      </c>
      <c r="J822">
        <f>'R.M Billets Reports'!G821</f>
      </c>
      <c r="K822">
        <f>'R.M Billets Reports'!H821</f>
      </c>
      <c r="L822">
        <f>IF('R.M Billets Reports'!I821="","",'R.M Billets Reports'!I821)</f>
      </c>
      <c r="M822">
        <f t="shared" si="24"/>
      </c>
      <c r="N822">
        <f>IF('R.M Billets Reports'!J821="","",'R.M Billets Reports'!J821)</f>
      </c>
      <c r="O822">
        <f t="shared" si="25"/>
      </c>
      <c r="P822">
        <f>IF('R.M Billets Reports'!A821="SIZE",'R.M Billets Reports'!B821,P821)</f>
      </c>
    </row>
    <row r="823" spans="1:16" x14ac:dyDescent="0.25">
      <c r="A823">
        <f>IF(OR('R.M Billets Reports'!A822="Date-",'R.M Billets Reports'!A822="Date:-"),IF(IF(IF(ISNUMBER(SEARCH("Party Name:-",'R.M Billets Reports'!D822)),TRIM('R.M Billets Reports'!F822),IF(ISNUMBER(SEARCH("Party Name-",'R.M Billets Reports'!D822)),TRIM(MID('R.M Billets Reports'!D822,SEARCH("-",'R.M Billets Reports'!D822)+1,200)),""))&lt;&gt;"",IF(ISNUMBER(SEARCH("Party Name:-",'R.M Billets Reports'!D822)),TRIM('R.M Billets Reports'!F822),IF(ISNUMBER(SEARCH("Party Name-",'R.M Billets Reports'!D822)),TRIM(MID('R.M Billets Reports'!D822,SEARCH("-",'R.M Billets Reports'!D822)+1,200)),"")),IF(ISNUMBER(SEARCH("Party Name:-",'R.M Billets Reports'!D823)),TRIM('R.M Billets Reports'!F823),IF(ISNUMBER(SEARCH("Party Name-",'R.M Billets Reports'!D823)),TRIM(MID('R.M Billets Reports'!D823,SEARCH("-",'R.M Billets Reports'!D823)+1,200)),"")))="VRKP ISPAT PVT LTD","VRKP",IF(IF(IF(ISNUMBER(SEARCH("Party Name:-",'R.M Billets Reports'!D822)),TRIM('R.M Billets Reports'!F822),IF(ISNUMBER(SEARCH("Party Name-",'R.M Billets Reports'!D822)),TRIM(MID('R.M Billets Reports'!D822,SEARCH("-",'R.M Billets Reports'!D822)+1,200)),""))&lt;&gt;"",IF(ISNUMBER(SEARCH("Party Name:-",'R.M Billets Reports'!D822)),TRIM('R.M Billets Reports'!F822),IF(ISNUMBER(SEARCH("Party Name-",'R.M Billets Reports'!D822)),TRIM(MID('R.M Billets Reports'!D822,SEARCH("-",'R.M Billets Reports'!D822)+1,200)),"")),IF(ISNUMBER(SEARCH("Party Name:-",'R.M Billets Reports'!D823)),TRIM('R.M Billets Reports'!F823),IF(ISNUMBER(SEARCH("Party Name-",'R.M Billets Reports'!D823)),TRIM(MID('R.M Billets Reports'!D823,SEARCH("-",'R.M Billets Reports'!D823)+1,200)),"")))="SHRI RADHE","SHREE RADHE",IF(IF(IF(ISNUMBER(SEARCH("Party Name:-",'R.M Billets Reports'!D822)),TRIM('R.M Billets Reports'!F822),IF(ISNUMBER(SEARCH("Party Name-",'R.M Billets Reports'!D822)),TRIM(MID('R.M Billets Reports'!D822,SEARCH("-",'R.M Billets Reports'!D822)+1,200)),""))&lt;&gt;"",IF(ISNUMBER(SEARCH("Party Name:-",'R.M Billets Reports'!D822)),TRIM('R.M Billets Reports'!F822),IF(ISNUMBER(SEARCH("Party Name-",'R.M Billets Reports'!D822)),TRIM(MID('R.M Billets Reports'!D822,SEARCH("-",'R.M Billets Reports'!D822)+1,200)),"")),IF(ISNUMBER(SEARCH("Party Name:-",'R.M Billets Reports'!D823)),TRIM('R.M Billets Reports'!F823),IF(ISNUMBER(SEARCH("Party Name-",'R.M Billets Reports'!D823)),TRIM(MID('R.M Billets Reports'!D823,SEARCH("-",'R.M Billets Reports'!D823)+1,200)),"")))="SHREE RADHE SHAKTI SPONGE AND POWER PVT. LTD.","SHREE RADHE",IF(IF(ISNUMBER(SEARCH("Party Name:-",'R.M Billets Reports'!D822)),TRIM('R.M Billets Reports'!F822),IF(ISNUMBER(SEARCH("Party Name-",'R.M Billets Reports'!D822)),TRIM(MID('R.M Billets Reports'!D822,SEARCH("-",'R.M Billets Reports'!D822)+1,200)),""))&lt;&gt;"",IF(ISNUMBER(SEARCH("Party Name:-",'R.M Billets Reports'!D822)),TRIM('R.M Billets Reports'!F822),IF(ISNUMBER(SEARCH("Party Name-",'R.M Billets Reports'!D822)),TRIM(MID('R.M Billets Reports'!D822,SEARCH("-",'R.M Billets Reports'!D822)+1,200)),"")),IF(ISNUMBER(SEARCH("Party Name:-",'R.M Billets Reports'!D823)),TRIM('R.M Billets Reports'!F823),IF(ISNUMBER(SEARCH("Party Name-",'R.M Billets Reports'!D823)),TRIM(MID('R.M Billets Reports'!D823,SEARCH("-",'R.M Billets Reports'!D823)+1,200)),"")))))),IF(ROW()=2,"",A822))</f>
      </c>
      <c r="B823">
        <f>IF(OR('R.M Billets Reports'!A822="Date-",'R.M Billets Reports'!A822="Date:-"),'R.M Billets Reports'!B822,IF(ROW()=2,"",B822))</f>
      </c>
      <c r="C823">
        <f>IF('R.M Billets Reports'!A822="V.No.",'R.M Billets Reports'!B822,IF(ROW()=2,"",C822))</f>
      </c>
      <c r="D823">
        <f>IF('R.M Billets Reports'!A822&lt;&gt;"",'R.M Billets Reports'!A822,IF(ROW()=2,"",D822))</f>
      </c>
      <c r="E823">
        <f>IF('R.M Billets Reports'!B822="","",TRIM('R.M Billets Reports'!B822))</f>
      </c>
      <c r="F823">
        <f>'R.M Billets Reports'!C822</f>
      </c>
      <c r="G823">
        <f>'R.M Billets Reports'!D822</f>
      </c>
      <c r="H823">
        <f>'R.M Billets Reports'!E822</f>
      </c>
      <c r="I823">
        <f>'R.M Billets Reports'!F822</f>
      </c>
      <c r="J823">
        <f>'R.M Billets Reports'!G822</f>
      </c>
      <c r="K823">
        <f>'R.M Billets Reports'!H822</f>
      </c>
      <c r="L823">
        <f>IF('R.M Billets Reports'!I822="","",'R.M Billets Reports'!I822)</f>
      </c>
      <c r="M823">
        <f t="shared" si="24"/>
      </c>
      <c r="N823">
        <f>IF('R.M Billets Reports'!J822="","",'R.M Billets Reports'!J822)</f>
      </c>
      <c r="O823">
        <f t="shared" si="25"/>
      </c>
      <c r="P823">
        <f>IF('R.M Billets Reports'!A822="SIZE",'R.M Billets Reports'!B822,P822)</f>
      </c>
    </row>
    <row r="824" spans="1:16" x14ac:dyDescent="0.25">
      <c r="A824">
        <f>IF(OR('R.M Billets Reports'!A823="Date-",'R.M Billets Reports'!A823="Date:-"),IF(IF(IF(ISNUMBER(SEARCH("Party Name:-",'R.M Billets Reports'!D823)),TRIM('R.M Billets Reports'!F823),IF(ISNUMBER(SEARCH("Party Name-",'R.M Billets Reports'!D823)),TRIM(MID('R.M Billets Reports'!D823,SEARCH("-",'R.M Billets Reports'!D823)+1,200)),""))&lt;&gt;"",IF(ISNUMBER(SEARCH("Party Name:-",'R.M Billets Reports'!D823)),TRIM('R.M Billets Reports'!F823),IF(ISNUMBER(SEARCH("Party Name-",'R.M Billets Reports'!D823)),TRIM(MID('R.M Billets Reports'!D823,SEARCH("-",'R.M Billets Reports'!D823)+1,200)),"")),IF(ISNUMBER(SEARCH("Party Name:-",'R.M Billets Reports'!D824)),TRIM('R.M Billets Reports'!F824),IF(ISNUMBER(SEARCH("Party Name-",'R.M Billets Reports'!D824)),TRIM(MID('R.M Billets Reports'!D824,SEARCH("-",'R.M Billets Reports'!D824)+1,200)),"")))="VRKP ISPAT PVT LTD","VRKP",IF(IF(IF(ISNUMBER(SEARCH("Party Name:-",'R.M Billets Reports'!D823)),TRIM('R.M Billets Reports'!F823),IF(ISNUMBER(SEARCH("Party Name-",'R.M Billets Reports'!D823)),TRIM(MID('R.M Billets Reports'!D823,SEARCH("-",'R.M Billets Reports'!D823)+1,200)),""))&lt;&gt;"",IF(ISNUMBER(SEARCH("Party Name:-",'R.M Billets Reports'!D823)),TRIM('R.M Billets Reports'!F823),IF(ISNUMBER(SEARCH("Party Name-",'R.M Billets Reports'!D823)),TRIM(MID('R.M Billets Reports'!D823,SEARCH("-",'R.M Billets Reports'!D823)+1,200)),"")),IF(ISNUMBER(SEARCH("Party Name:-",'R.M Billets Reports'!D824)),TRIM('R.M Billets Reports'!F824),IF(ISNUMBER(SEARCH("Party Name-",'R.M Billets Reports'!D824)),TRIM(MID('R.M Billets Reports'!D824,SEARCH("-",'R.M Billets Reports'!D824)+1,200)),"")))="SHRI RADHE","SHREE RADHE",IF(IF(IF(ISNUMBER(SEARCH("Party Name:-",'R.M Billets Reports'!D823)),TRIM('R.M Billets Reports'!F823),IF(ISNUMBER(SEARCH("Party Name-",'R.M Billets Reports'!D823)),TRIM(MID('R.M Billets Reports'!D823,SEARCH("-",'R.M Billets Reports'!D823)+1,200)),""))&lt;&gt;"",IF(ISNUMBER(SEARCH("Party Name:-",'R.M Billets Reports'!D823)),TRIM('R.M Billets Reports'!F823),IF(ISNUMBER(SEARCH("Party Name-",'R.M Billets Reports'!D823)),TRIM(MID('R.M Billets Reports'!D823,SEARCH("-",'R.M Billets Reports'!D823)+1,200)),"")),IF(ISNUMBER(SEARCH("Party Name:-",'R.M Billets Reports'!D824)),TRIM('R.M Billets Reports'!F824),IF(ISNUMBER(SEARCH("Party Name-",'R.M Billets Reports'!D824)),TRIM(MID('R.M Billets Reports'!D824,SEARCH("-",'R.M Billets Reports'!D824)+1,200)),"")))="SHREE RADHE SHAKTI SPONGE AND POWER PVT. LTD.","SHREE RADHE",IF(IF(ISNUMBER(SEARCH("Party Name:-",'R.M Billets Reports'!D823)),TRIM('R.M Billets Reports'!F823),IF(ISNUMBER(SEARCH("Party Name-",'R.M Billets Reports'!D823)),TRIM(MID('R.M Billets Reports'!D823,SEARCH("-",'R.M Billets Reports'!D823)+1,200)),""))&lt;&gt;"",IF(ISNUMBER(SEARCH("Party Name:-",'R.M Billets Reports'!D823)),TRIM('R.M Billets Reports'!F823),IF(ISNUMBER(SEARCH("Party Name-",'R.M Billets Reports'!D823)),TRIM(MID('R.M Billets Reports'!D823,SEARCH("-",'R.M Billets Reports'!D823)+1,200)),"")),IF(ISNUMBER(SEARCH("Party Name:-",'R.M Billets Reports'!D824)),TRIM('R.M Billets Reports'!F824),IF(ISNUMBER(SEARCH("Party Name-",'R.M Billets Reports'!D824)),TRIM(MID('R.M Billets Reports'!D824,SEARCH("-",'R.M Billets Reports'!D824)+1,200)),"")))))),IF(ROW()=2,"",A823))</f>
      </c>
      <c r="B824">
        <f>IF(OR('R.M Billets Reports'!A823="Date-",'R.M Billets Reports'!A823="Date:-"),'R.M Billets Reports'!B823,IF(ROW()=2,"",B823))</f>
      </c>
      <c r="C824">
        <f>IF('R.M Billets Reports'!A823="V.No.",'R.M Billets Reports'!B823,IF(ROW()=2,"",C823))</f>
      </c>
      <c r="D824">
        <f>IF('R.M Billets Reports'!A823&lt;&gt;"",'R.M Billets Reports'!A823,IF(ROW()=2,"",D823))</f>
      </c>
      <c r="E824">
        <f>IF('R.M Billets Reports'!B823="","",TRIM('R.M Billets Reports'!B823))</f>
      </c>
      <c r="F824">
        <f>'R.M Billets Reports'!C823</f>
      </c>
      <c r="G824">
        <f>'R.M Billets Reports'!D823</f>
      </c>
      <c r="H824">
        <f>'R.M Billets Reports'!E823</f>
      </c>
      <c r="I824">
        <f>'R.M Billets Reports'!F823</f>
      </c>
      <c r="J824">
        <f>'R.M Billets Reports'!G823</f>
      </c>
      <c r="K824">
        <f>'R.M Billets Reports'!H823</f>
      </c>
      <c r="L824">
        <f>IF('R.M Billets Reports'!I823="","",'R.M Billets Reports'!I823)</f>
      </c>
      <c r="M824">
        <f t="shared" si="24"/>
      </c>
      <c r="N824">
        <f>IF('R.M Billets Reports'!J823="","",'R.M Billets Reports'!J823)</f>
      </c>
      <c r="O824">
        <f t="shared" si="25"/>
      </c>
      <c r="P824">
        <f>IF('R.M Billets Reports'!A823="SIZE",'R.M Billets Reports'!B823,P823)</f>
      </c>
    </row>
    <row r="825" spans="1:16" x14ac:dyDescent="0.25">
      <c r="A825">
        <f>IF(OR('R.M Billets Reports'!A824="Date-",'R.M Billets Reports'!A824="Date:-"),IF(IF(IF(ISNUMBER(SEARCH("Party Name:-",'R.M Billets Reports'!D824)),TRIM('R.M Billets Reports'!F824),IF(ISNUMBER(SEARCH("Party Name-",'R.M Billets Reports'!D824)),TRIM(MID('R.M Billets Reports'!D824,SEARCH("-",'R.M Billets Reports'!D824)+1,200)),""))&lt;&gt;"",IF(ISNUMBER(SEARCH("Party Name:-",'R.M Billets Reports'!D824)),TRIM('R.M Billets Reports'!F824),IF(ISNUMBER(SEARCH("Party Name-",'R.M Billets Reports'!D824)),TRIM(MID('R.M Billets Reports'!D824,SEARCH("-",'R.M Billets Reports'!D824)+1,200)),"")),IF(ISNUMBER(SEARCH("Party Name:-",'R.M Billets Reports'!D825)),TRIM('R.M Billets Reports'!F825),IF(ISNUMBER(SEARCH("Party Name-",'R.M Billets Reports'!D825)),TRIM(MID('R.M Billets Reports'!D825,SEARCH("-",'R.M Billets Reports'!D825)+1,200)),"")))="VRKP ISPAT PVT LTD","VRKP",IF(IF(IF(ISNUMBER(SEARCH("Party Name:-",'R.M Billets Reports'!D824)),TRIM('R.M Billets Reports'!F824),IF(ISNUMBER(SEARCH("Party Name-",'R.M Billets Reports'!D824)),TRIM(MID('R.M Billets Reports'!D824,SEARCH("-",'R.M Billets Reports'!D824)+1,200)),""))&lt;&gt;"",IF(ISNUMBER(SEARCH("Party Name:-",'R.M Billets Reports'!D824)),TRIM('R.M Billets Reports'!F824),IF(ISNUMBER(SEARCH("Party Name-",'R.M Billets Reports'!D824)),TRIM(MID('R.M Billets Reports'!D824,SEARCH("-",'R.M Billets Reports'!D824)+1,200)),"")),IF(ISNUMBER(SEARCH("Party Name:-",'R.M Billets Reports'!D825)),TRIM('R.M Billets Reports'!F825),IF(ISNUMBER(SEARCH("Party Name-",'R.M Billets Reports'!D825)),TRIM(MID('R.M Billets Reports'!D825,SEARCH("-",'R.M Billets Reports'!D825)+1,200)),"")))="SHRI RADHE","SHREE RADHE",IF(IF(IF(ISNUMBER(SEARCH("Party Name:-",'R.M Billets Reports'!D824)),TRIM('R.M Billets Reports'!F824),IF(ISNUMBER(SEARCH("Party Name-",'R.M Billets Reports'!D824)),TRIM(MID('R.M Billets Reports'!D824,SEARCH("-",'R.M Billets Reports'!D824)+1,200)),""))&lt;&gt;"",IF(ISNUMBER(SEARCH("Party Name:-",'R.M Billets Reports'!D824)),TRIM('R.M Billets Reports'!F824),IF(ISNUMBER(SEARCH("Party Name-",'R.M Billets Reports'!D824)),TRIM(MID('R.M Billets Reports'!D824,SEARCH("-",'R.M Billets Reports'!D824)+1,200)),"")),IF(ISNUMBER(SEARCH("Party Name:-",'R.M Billets Reports'!D825)),TRIM('R.M Billets Reports'!F825),IF(ISNUMBER(SEARCH("Party Name-",'R.M Billets Reports'!D825)),TRIM(MID('R.M Billets Reports'!D825,SEARCH("-",'R.M Billets Reports'!D825)+1,200)),"")))="SHREE RADHE SHAKTI SPONGE AND POWER PVT. LTD.","SHREE RADHE",IF(IF(ISNUMBER(SEARCH("Party Name:-",'R.M Billets Reports'!D824)),TRIM('R.M Billets Reports'!F824),IF(ISNUMBER(SEARCH("Party Name-",'R.M Billets Reports'!D824)),TRIM(MID('R.M Billets Reports'!D824,SEARCH("-",'R.M Billets Reports'!D824)+1,200)),""))&lt;&gt;"",IF(ISNUMBER(SEARCH("Party Name:-",'R.M Billets Reports'!D824)),TRIM('R.M Billets Reports'!F824),IF(ISNUMBER(SEARCH("Party Name-",'R.M Billets Reports'!D824)),TRIM(MID('R.M Billets Reports'!D824,SEARCH("-",'R.M Billets Reports'!D824)+1,200)),"")),IF(ISNUMBER(SEARCH("Party Name:-",'R.M Billets Reports'!D825)),TRIM('R.M Billets Reports'!F825),IF(ISNUMBER(SEARCH("Party Name-",'R.M Billets Reports'!D825)),TRIM(MID('R.M Billets Reports'!D825,SEARCH("-",'R.M Billets Reports'!D825)+1,200)),"")))))),IF(ROW()=2,"",A824))</f>
      </c>
      <c r="B825">
        <f>IF(OR('R.M Billets Reports'!A824="Date-",'R.M Billets Reports'!A824="Date:-"),'R.M Billets Reports'!B824,IF(ROW()=2,"",B824))</f>
      </c>
      <c r="C825">
        <f>IF('R.M Billets Reports'!A824="V.No.",'R.M Billets Reports'!B824,IF(ROW()=2,"",C824))</f>
      </c>
      <c r="D825">
        <f>IF('R.M Billets Reports'!A824&lt;&gt;"",'R.M Billets Reports'!A824,IF(ROW()=2,"",D824))</f>
      </c>
      <c r="E825">
        <f>IF('R.M Billets Reports'!B824="","",TRIM('R.M Billets Reports'!B824))</f>
      </c>
      <c r="F825">
        <f>'R.M Billets Reports'!C824</f>
      </c>
      <c r="G825">
        <f>'R.M Billets Reports'!D824</f>
      </c>
      <c r="H825">
        <f>'R.M Billets Reports'!E824</f>
      </c>
      <c r="I825">
        <f>'R.M Billets Reports'!F824</f>
      </c>
      <c r="J825">
        <f>'R.M Billets Reports'!G824</f>
      </c>
      <c r="K825">
        <f>'R.M Billets Reports'!H824</f>
      </c>
      <c r="L825">
        <f>IF('R.M Billets Reports'!I824="","",'R.M Billets Reports'!I824)</f>
      </c>
      <c r="M825">
        <f t="shared" si="24"/>
      </c>
      <c r="N825">
        <f>IF('R.M Billets Reports'!J824="","",'R.M Billets Reports'!J824)</f>
      </c>
      <c r="O825">
        <f t="shared" si="25"/>
      </c>
      <c r="P825">
        <f>IF('R.M Billets Reports'!A824="SIZE",'R.M Billets Reports'!B824,P824)</f>
      </c>
    </row>
    <row r="826" spans="1:16" x14ac:dyDescent="0.25">
      <c r="A826">
        <f>IF(OR('R.M Billets Reports'!A825="Date-",'R.M Billets Reports'!A825="Date:-"),IF(IF(IF(ISNUMBER(SEARCH("Party Name:-",'R.M Billets Reports'!D825)),TRIM('R.M Billets Reports'!F825),IF(ISNUMBER(SEARCH("Party Name-",'R.M Billets Reports'!D825)),TRIM(MID('R.M Billets Reports'!D825,SEARCH("-",'R.M Billets Reports'!D825)+1,200)),""))&lt;&gt;"",IF(ISNUMBER(SEARCH("Party Name:-",'R.M Billets Reports'!D825)),TRIM('R.M Billets Reports'!F825),IF(ISNUMBER(SEARCH("Party Name-",'R.M Billets Reports'!D825)),TRIM(MID('R.M Billets Reports'!D825,SEARCH("-",'R.M Billets Reports'!D825)+1,200)),"")),IF(ISNUMBER(SEARCH("Party Name:-",'R.M Billets Reports'!D826)),TRIM('R.M Billets Reports'!F826),IF(ISNUMBER(SEARCH("Party Name-",'R.M Billets Reports'!D826)),TRIM(MID('R.M Billets Reports'!D826,SEARCH("-",'R.M Billets Reports'!D826)+1,200)),"")))="VRKP ISPAT PVT LTD","VRKP",IF(IF(IF(ISNUMBER(SEARCH("Party Name:-",'R.M Billets Reports'!D825)),TRIM('R.M Billets Reports'!F825),IF(ISNUMBER(SEARCH("Party Name-",'R.M Billets Reports'!D825)),TRIM(MID('R.M Billets Reports'!D825,SEARCH("-",'R.M Billets Reports'!D825)+1,200)),""))&lt;&gt;"",IF(ISNUMBER(SEARCH("Party Name:-",'R.M Billets Reports'!D825)),TRIM('R.M Billets Reports'!F825),IF(ISNUMBER(SEARCH("Party Name-",'R.M Billets Reports'!D825)),TRIM(MID('R.M Billets Reports'!D825,SEARCH("-",'R.M Billets Reports'!D825)+1,200)),"")),IF(ISNUMBER(SEARCH("Party Name:-",'R.M Billets Reports'!D826)),TRIM('R.M Billets Reports'!F826),IF(ISNUMBER(SEARCH("Party Name-",'R.M Billets Reports'!D826)),TRIM(MID('R.M Billets Reports'!D826,SEARCH("-",'R.M Billets Reports'!D826)+1,200)),"")))="SHRI RADHE","SHREE RADHE",IF(IF(IF(ISNUMBER(SEARCH("Party Name:-",'R.M Billets Reports'!D825)),TRIM('R.M Billets Reports'!F825),IF(ISNUMBER(SEARCH("Party Name-",'R.M Billets Reports'!D825)),TRIM(MID('R.M Billets Reports'!D825,SEARCH("-",'R.M Billets Reports'!D825)+1,200)),""))&lt;&gt;"",IF(ISNUMBER(SEARCH("Party Name:-",'R.M Billets Reports'!D825)),TRIM('R.M Billets Reports'!F825),IF(ISNUMBER(SEARCH("Party Name-",'R.M Billets Reports'!D825)),TRIM(MID('R.M Billets Reports'!D825,SEARCH("-",'R.M Billets Reports'!D825)+1,200)),"")),IF(ISNUMBER(SEARCH("Party Name:-",'R.M Billets Reports'!D826)),TRIM('R.M Billets Reports'!F826),IF(ISNUMBER(SEARCH("Party Name-",'R.M Billets Reports'!D826)),TRIM(MID('R.M Billets Reports'!D826,SEARCH("-",'R.M Billets Reports'!D826)+1,200)),"")))="SHREE RADHE SHAKTI SPONGE AND POWER PVT. LTD.","SHREE RADHE",IF(IF(ISNUMBER(SEARCH("Party Name:-",'R.M Billets Reports'!D825)),TRIM('R.M Billets Reports'!F825),IF(ISNUMBER(SEARCH("Party Name-",'R.M Billets Reports'!D825)),TRIM(MID('R.M Billets Reports'!D825,SEARCH("-",'R.M Billets Reports'!D825)+1,200)),""))&lt;&gt;"",IF(ISNUMBER(SEARCH("Party Name:-",'R.M Billets Reports'!D825)),TRIM('R.M Billets Reports'!F825),IF(ISNUMBER(SEARCH("Party Name-",'R.M Billets Reports'!D825)),TRIM(MID('R.M Billets Reports'!D825,SEARCH("-",'R.M Billets Reports'!D825)+1,200)),"")),IF(ISNUMBER(SEARCH("Party Name:-",'R.M Billets Reports'!D826)),TRIM('R.M Billets Reports'!F826),IF(ISNUMBER(SEARCH("Party Name-",'R.M Billets Reports'!D826)),TRIM(MID('R.M Billets Reports'!D826,SEARCH("-",'R.M Billets Reports'!D826)+1,200)),"")))))),IF(ROW()=2,"",A825))</f>
      </c>
      <c r="B826">
        <f>IF(OR('R.M Billets Reports'!A825="Date-",'R.M Billets Reports'!A825="Date:-"),'R.M Billets Reports'!B825,IF(ROW()=2,"",B825))</f>
      </c>
      <c r="C826">
        <f>IF('R.M Billets Reports'!A825="V.No.",'R.M Billets Reports'!B825,IF(ROW()=2,"",C825))</f>
      </c>
      <c r="D826">
        <f>IF('R.M Billets Reports'!A825&lt;&gt;"",'R.M Billets Reports'!A825,IF(ROW()=2,"",D825))</f>
      </c>
      <c r="E826">
        <f>IF('R.M Billets Reports'!B825="","",TRIM('R.M Billets Reports'!B825))</f>
      </c>
      <c r="F826">
        <f>'R.M Billets Reports'!C825</f>
      </c>
      <c r="G826">
        <f>'R.M Billets Reports'!D825</f>
      </c>
      <c r="H826">
        <f>'R.M Billets Reports'!E825</f>
      </c>
      <c r="I826">
        <f>'R.M Billets Reports'!F825</f>
      </c>
      <c r="J826">
        <f>'R.M Billets Reports'!G825</f>
      </c>
      <c r="K826">
        <f>'R.M Billets Reports'!H825</f>
      </c>
      <c r="L826">
        <f>IF('R.M Billets Reports'!I825="","",'R.M Billets Reports'!I825)</f>
      </c>
      <c r="M826">
        <f t="shared" si="24"/>
      </c>
      <c r="N826">
        <f>IF('R.M Billets Reports'!J825="","",'R.M Billets Reports'!J825)</f>
      </c>
      <c r="O826">
        <f t="shared" si="25"/>
      </c>
      <c r="P826">
        <f>IF('R.M Billets Reports'!A825="SIZE",'R.M Billets Reports'!B825,P825)</f>
      </c>
    </row>
    <row r="827" spans="1:16" x14ac:dyDescent="0.25">
      <c r="A827">
        <f>IF(OR('R.M Billets Reports'!A826="Date-",'R.M Billets Reports'!A826="Date:-"),IF(IF(IF(ISNUMBER(SEARCH("Party Name:-",'R.M Billets Reports'!D826)),TRIM('R.M Billets Reports'!F826),IF(ISNUMBER(SEARCH("Party Name-",'R.M Billets Reports'!D826)),TRIM(MID('R.M Billets Reports'!D826,SEARCH("-",'R.M Billets Reports'!D826)+1,200)),""))&lt;&gt;"",IF(ISNUMBER(SEARCH("Party Name:-",'R.M Billets Reports'!D826)),TRIM('R.M Billets Reports'!F826),IF(ISNUMBER(SEARCH("Party Name-",'R.M Billets Reports'!D826)),TRIM(MID('R.M Billets Reports'!D826,SEARCH("-",'R.M Billets Reports'!D826)+1,200)),"")),IF(ISNUMBER(SEARCH("Party Name:-",'R.M Billets Reports'!D827)),TRIM('R.M Billets Reports'!F827),IF(ISNUMBER(SEARCH("Party Name-",'R.M Billets Reports'!D827)),TRIM(MID('R.M Billets Reports'!D827,SEARCH("-",'R.M Billets Reports'!D827)+1,200)),"")))="VRKP ISPAT PVT LTD","VRKP",IF(IF(IF(ISNUMBER(SEARCH("Party Name:-",'R.M Billets Reports'!D826)),TRIM('R.M Billets Reports'!F826),IF(ISNUMBER(SEARCH("Party Name-",'R.M Billets Reports'!D826)),TRIM(MID('R.M Billets Reports'!D826,SEARCH("-",'R.M Billets Reports'!D826)+1,200)),""))&lt;&gt;"",IF(ISNUMBER(SEARCH("Party Name:-",'R.M Billets Reports'!D826)),TRIM('R.M Billets Reports'!F826),IF(ISNUMBER(SEARCH("Party Name-",'R.M Billets Reports'!D826)),TRIM(MID('R.M Billets Reports'!D826,SEARCH("-",'R.M Billets Reports'!D826)+1,200)),"")),IF(ISNUMBER(SEARCH("Party Name:-",'R.M Billets Reports'!D827)),TRIM('R.M Billets Reports'!F827),IF(ISNUMBER(SEARCH("Party Name-",'R.M Billets Reports'!D827)),TRIM(MID('R.M Billets Reports'!D827,SEARCH("-",'R.M Billets Reports'!D827)+1,200)),"")))="SHRI RADHE","SHREE RADHE",IF(IF(IF(ISNUMBER(SEARCH("Party Name:-",'R.M Billets Reports'!D826)),TRIM('R.M Billets Reports'!F826),IF(ISNUMBER(SEARCH("Party Name-",'R.M Billets Reports'!D826)),TRIM(MID('R.M Billets Reports'!D826,SEARCH("-",'R.M Billets Reports'!D826)+1,200)),""))&lt;&gt;"",IF(ISNUMBER(SEARCH("Party Name:-",'R.M Billets Reports'!D826)),TRIM('R.M Billets Reports'!F826),IF(ISNUMBER(SEARCH("Party Name-",'R.M Billets Reports'!D826)),TRIM(MID('R.M Billets Reports'!D826,SEARCH("-",'R.M Billets Reports'!D826)+1,200)),"")),IF(ISNUMBER(SEARCH("Party Name:-",'R.M Billets Reports'!D827)),TRIM('R.M Billets Reports'!F827),IF(ISNUMBER(SEARCH("Party Name-",'R.M Billets Reports'!D827)),TRIM(MID('R.M Billets Reports'!D827,SEARCH("-",'R.M Billets Reports'!D827)+1,200)),"")))="SHREE RADHE SHAKTI SPONGE AND POWER PVT. LTD.","SHREE RADHE",IF(IF(ISNUMBER(SEARCH("Party Name:-",'R.M Billets Reports'!D826)),TRIM('R.M Billets Reports'!F826),IF(ISNUMBER(SEARCH("Party Name-",'R.M Billets Reports'!D826)),TRIM(MID('R.M Billets Reports'!D826,SEARCH("-",'R.M Billets Reports'!D826)+1,200)),""))&lt;&gt;"",IF(ISNUMBER(SEARCH("Party Name:-",'R.M Billets Reports'!D826)),TRIM('R.M Billets Reports'!F826),IF(ISNUMBER(SEARCH("Party Name-",'R.M Billets Reports'!D826)),TRIM(MID('R.M Billets Reports'!D826,SEARCH("-",'R.M Billets Reports'!D826)+1,200)),"")),IF(ISNUMBER(SEARCH("Party Name:-",'R.M Billets Reports'!D827)),TRIM('R.M Billets Reports'!F827),IF(ISNUMBER(SEARCH("Party Name-",'R.M Billets Reports'!D827)),TRIM(MID('R.M Billets Reports'!D827,SEARCH("-",'R.M Billets Reports'!D827)+1,200)),"")))))),IF(ROW()=2,"",A826))</f>
      </c>
      <c r="B827">
        <f>IF(OR('R.M Billets Reports'!A826="Date-",'R.M Billets Reports'!A826="Date:-"),'R.M Billets Reports'!B826,IF(ROW()=2,"",B826))</f>
      </c>
      <c r="C827">
        <f>IF('R.M Billets Reports'!A826="V.No.",'R.M Billets Reports'!B826,IF(ROW()=2,"",C826))</f>
      </c>
      <c r="D827">
        <f>IF('R.M Billets Reports'!A826&lt;&gt;"",'R.M Billets Reports'!A826,IF(ROW()=2,"",D826))</f>
      </c>
      <c r="E827">
        <f>IF('R.M Billets Reports'!B826="","",TRIM('R.M Billets Reports'!B826))</f>
      </c>
      <c r="F827">
        <f>'R.M Billets Reports'!C826</f>
      </c>
      <c r="G827">
        <f>'R.M Billets Reports'!D826</f>
      </c>
      <c r="H827">
        <f>'R.M Billets Reports'!E826</f>
      </c>
      <c r="I827">
        <f>'R.M Billets Reports'!F826</f>
      </c>
      <c r="J827">
        <f>'R.M Billets Reports'!G826</f>
      </c>
      <c r="K827">
        <f>'R.M Billets Reports'!H826</f>
      </c>
      <c r="L827">
        <f>IF('R.M Billets Reports'!I826="","",'R.M Billets Reports'!I826)</f>
      </c>
      <c r="M827">
        <f t="shared" si="24"/>
      </c>
      <c r="N827">
        <f>IF('R.M Billets Reports'!J826="","",'R.M Billets Reports'!J826)</f>
      </c>
      <c r="O827">
        <f t="shared" si="25"/>
      </c>
      <c r="P827">
        <f>IF('R.M Billets Reports'!A826="SIZE",'R.M Billets Reports'!B826,P826)</f>
      </c>
    </row>
    <row r="828" spans="1:16" x14ac:dyDescent="0.25">
      <c r="A828">
        <f>IF(OR('R.M Billets Reports'!A827="Date-",'R.M Billets Reports'!A827="Date:-"),IF(IF(IF(ISNUMBER(SEARCH("Party Name:-",'R.M Billets Reports'!D827)),TRIM('R.M Billets Reports'!F827),IF(ISNUMBER(SEARCH("Party Name-",'R.M Billets Reports'!D827)),TRIM(MID('R.M Billets Reports'!D827,SEARCH("-",'R.M Billets Reports'!D827)+1,200)),""))&lt;&gt;"",IF(ISNUMBER(SEARCH("Party Name:-",'R.M Billets Reports'!D827)),TRIM('R.M Billets Reports'!F827),IF(ISNUMBER(SEARCH("Party Name-",'R.M Billets Reports'!D827)),TRIM(MID('R.M Billets Reports'!D827,SEARCH("-",'R.M Billets Reports'!D827)+1,200)),"")),IF(ISNUMBER(SEARCH("Party Name:-",'R.M Billets Reports'!D828)),TRIM('R.M Billets Reports'!F828),IF(ISNUMBER(SEARCH("Party Name-",'R.M Billets Reports'!D828)),TRIM(MID('R.M Billets Reports'!D828,SEARCH("-",'R.M Billets Reports'!D828)+1,200)),"")))="VRKP ISPAT PVT LTD","VRKP",IF(IF(IF(ISNUMBER(SEARCH("Party Name:-",'R.M Billets Reports'!D827)),TRIM('R.M Billets Reports'!F827),IF(ISNUMBER(SEARCH("Party Name-",'R.M Billets Reports'!D827)),TRIM(MID('R.M Billets Reports'!D827,SEARCH("-",'R.M Billets Reports'!D827)+1,200)),""))&lt;&gt;"",IF(ISNUMBER(SEARCH("Party Name:-",'R.M Billets Reports'!D827)),TRIM('R.M Billets Reports'!F827),IF(ISNUMBER(SEARCH("Party Name-",'R.M Billets Reports'!D827)),TRIM(MID('R.M Billets Reports'!D827,SEARCH("-",'R.M Billets Reports'!D827)+1,200)),"")),IF(ISNUMBER(SEARCH("Party Name:-",'R.M Billets Reports'!D828)),TRIM('R.M Billets Reports'!F828),IF(ISNUMBER(SEARCH("Party Name-",'R.M Billets Reports'!D828)),TRIM(MID('R.M Billets Reports'!D828,SEARCH("-",'R.M Billets Reports'!D828)+1,200)),"")))="SHRI RADHE","SHREE RADHE",IF(IF(IF(ISNUMBER(SEARCH("Party Name:-",'R.M Billets Reports'!D827)),TRIM('R.M Billets Reports'!F827),IF(ISNUMBER(SEARCH("Party Name-",'R.M Billets Reports'!D827)),TRIM(MID('R.M Billets Reports'!D827,SEARCH("-",'R.M Billets Reports'!D827)+1,200)),""))&lt;&gt;"",IF(ISNUMBER(SEARCH("Party Name:-",'R.M Billets Reports'!D827)),TRIM('R.M Billets Reports'!F827),IF(ISNUMBER(SEARCH("Party Name-",'R.M Billets Reports'!D827)),TRIM(MID('R.M Billets Reports'!D827,SEARCH("-",'R.M Billets Reports'!D827)+1,200)),"")),IF(ISNUMBER(SEARCH("Party Name:-",'R.M Billets Reports'!D828)),TRIM('R.M Billets Reports'!F828),IF(ISNUMBER(SEARCH("Party Name-",'R.M Billets Reports'!D828)),TRIM(MID('R.M Billets Reports'!D828,SEARCH("-",'R.M Billets Reports'!D828)+1,200)),"")))="SHREE RADHE SHAKTI SPONGE AND POWER PVT. LTD.","SHREE RADHE",IF(IF(ISNUMBER(SEARCH("Party Name:-",'R.M Billets Reports'!D827)),TRIM('R.M Billets Reports'!F827),IF(ISNUMBER(SEARCH("Party Name-",'R.M Billets Reports'!D827)),TRIM(MID('R.M Billets Reports'!D827,SEARCH("-",'R.M Billets Reports'!D827)+1,200)),""))&lt;&gt;"",IF(ISNUMBER(SEARCH("Party Name:-",'R.M Billets Reports'!D827)),TRIM('R.M Billets Reports'!F827),IF(ISNUMBER(SEARCH("Party Name-",'R.M Billets Reports'!D827)),TRIM(MID('R.M Billets Reports'!D827,SEARCH("-",'R.M Billets Reports'!D827)+1,200)),"")),IF(ISNUMBER(SEARCH("Party Name:-",'R.M Billets Reports'!D828)),TRIM('R.M Billets Reports'!F828),IF(ISNUMBER(SEARCH("Party Name-",'R.M Billets Reports'!D828)),TRIM(MID('R.M Billets Reports'!D828,SEARCH("-",'R.M Billets Reports'!D828)+1,200)),"")))))),IF(ROW()=2,"",A827))</f>
      </c>
      <c r="B828">
        <f>IF(OR('R.M Billets Reports'!A827="Date-",'R.M Billets Reports'!A827="Date:-"),'R.M Billets Reports'!B827,IF(ROW()=2,"",B827))</f>
      </c>
      <c r="C828">
        <f>IF('R.M Billets Reports'!A827="V.No.",'R.M Billets Reports'!B827,IF(ROW()=2,"",C827))</f>
      </c>
      <c r="D828">
        <f>IF('R.M Billets Reports'!A827&lt;&gt;"",'R.M Billets Reports'!A827,IF(ROW()=2,"",D827))</f>
      </c>
      <c r="E828">
        <f>IF('R.M Billets Reports'!B827="","",TRIM('R.M Billets Reports'!B827))</f>
      </c>
      <c r="F828">
        <f>'R.M Billets Reports'!C827</f>
      </c>
      <c r="G828">
        <f>'R.M Billets Reports'!D827</f>
      </c>
      <c r="H828">
        <f>'R.M Billets Reports'!E827</f>
      </c>
      <c r="I828">
        <f>'R.M Billets Reports'!F827</f>
      </c>
      <c r="J828">
        <f>'R.M Billets Reports'!G827</f>
      </c>
      <c r="K828">
        <f>'R.M Billets Reports'!H827</f>
      </c>
      <c r="L828">
        <f>IF('R.M Billets Reports'!I827="","",'R.M Billets Reports'!I827)</f>
      </c>
      <c r="M828">
        <f t="shared" si="24"/>
      </c>
      <c r="N828">
        <f>IF('R.M Billets Reports'!J827="","",'R.M Billets Reports'!J827)</f>
      </c>
      <c r="O828">
        <f t="shared" si="25"/>
      </c>
      <c r="P828">
        <f>IF('R.M Billets Reports'!A827="SIZE",'R.M Billets Reports'!B827,P827)</f>
      </c>
    </row>
    <row r="829" spans="1:16" x14ac:dyDescent="0.25">
      <c r="A829">
        <f>IF(OR('R.M Billets Reports'!A828="Date-",'R.M Billets Reports'!A828="Date:-"),IF(IF(IF(ISNUMBER(SEARCH("Party Name:-",'R.M Billets Reports'!D828)),TRIM('R.M Billets Reports'!F828),IF(ISNUMBER(SEARCH("Party Name-",'R.M Billets Reports'!D828)),TRIM(MID('R.M Billets Reports'!D828,SEARCH("-",'R.M Billets Reports'!D828)+1,200)),""))&lt;&gt;"",IF(ISNUMBER(SEARCH("Party Name:-",'R.M Billets Reports'!D828)),TRIM('R.M Billets Reports'!F828),IF(ISNUMBER(SEARCH("Party Name-",'R.M Billets Reports'!D828)),TRIM(MID('R.M Billets Reports'!D828,SEARCH("-",'R.M Billets Reports'!D828)+1,200)),"")),IF(ISNUMBER(SEARCH("Party Name:-",'R.M Billets Reports'!D829)),TRIM('R.M Billets Reports'!F829),IF(ISNUMBER(SEARCH("Party Name-",'R.M Billets Reports'!D829)),TRIM(MID('R.M Billets Reports'!D829,SEARCH("-",'R.M Billets Reports'!D829)+1,200)),"")))="VRKP ISPAT PVT LTD","VRKP",IF(IF(IF(ISNUMBER(SEARCH("Party Name:-",'R.M Billets Reports'!D828)),TRIM('R.M Billets Reports'!F828),IF(ISNUMBER(SEARCH("Party Name-",'R.M Billets Reports'!D828)),TRIM(MID('R.M Billets Reports'!D828,SEARCH("-",'R.M Billets Reports'!D828)+1,200)),""))&lt;&gt;"",IF(ISNUMBER(SEARCH("Party Name:-",'R.M Billets Reports'!D828)),TRIM('R.M Billets Reports'!F828),IF(ISNUMBER(SEARCH("Party Name-",'R.M Billets Reports'!D828)),TRIM(MID('R.M Billets Reports'!D828,SEARCH("-",'R.M Billets Reports'!D828)+1,200)),"")),IF(ISNUMBER(SEARCH("Party Name:-",'R.M Billets Reports'!D829)),TRIM('R.M Billets Reports'!F829),IF(ISNUMBER(SEARCH("Party Name-",'R.M Billets Reports'!D829)),TRIM(MID('R.M Billets Reports'!D829,SEARCH("-",'R.M Billets Reports'!D829)+1,200)),"")))="SHRI RADHE","SHREE RADHE",IF(IF(IF(ISNUMBER(SEARCH("Party Name:-",'R.M Billets Reports'!D828)),TRIM('R.M Billets Reports'!F828),IF(ISNUMBER(SEARCH("Party Name-",'R.M Billets Reports'!D828)),TRIM(MID('R.M Billets Reports'!D828,SEARCH("-",'R.M Billets Reports'!D828)+1,200)),""))&lt;&gt;"",IF(ISNUMBER(SEARCH("Party Name:-",'R.M Billets Reports'!D828)),TRIM('R.M Billets Reports'!F828),IF(ISNUMBER(SEARCH("Party Name-",'R.M Billets Reports'!D828)),TRIM(MID('R.M Billets Reports'!D828,SEARCH("-",'R.M Billets Reports'!D828)+1,200)),"")),IF(ISNUMBER(SEARCH("Party Name:-",'R.M Billets Reports'!D829)),TRIM('R.M Billets Reports'!F829),IF(ISNUMBER(SEARCH("Party Name-",'R.M Billets Reports'!D829)),TRIM(MID('R.M Billets Reports'!D829,SEARCH("-",'R.M Billets Reports'!D829)+1,200)),"")))="SHREE RADHE SHAKTI SPONGE AND POWER PVT. LTD.","SHREE RADHE",IF(IF(ISNUMBER(SEARCH("Party Name:-",'R.M Billets Reports'!D828)),TRIM('R.M Billets Reports'!F828),IF(ISNUMBER(SEARCH("Party Name-",'R.M Billets Reports'!D828)),TRIM(MID('R.M Billets Reports'!D828,SEARCH("-",'R.M Billets Reports'!D828)+1,200)),""))&lt;&gt;"",IF(ISNUMBER(SEARCH("Party Name:-",'R.M Billets Reports'!D828)),TRIM('R.M Billets Reports'!F828),IF(ISNUMBER(SEARCH("Party Name-",'R.M Billets Reports'!D828)),TRIM(MID('R.M Billets Reports'!D828,SEARCH("-",'R.M Billets Reports'!D828)+1,200)),"")),IF(ISNUMBER(SEARCH("Party Name:-",'R.M Billets Reports'!D829)),TRIM('R.M Billets Reports'!F829),IF(ISNUMBER(SEARCH("Party Name-",'R.M Billets Reports'!D829)),TRIM(MID('R.M Billets Reports'!D829,SEARCH("-",'R.M Billets Reports'!D829)+1,200)),"")))))),IF(ROW()=2,"",A828))</f>
      </c>
      <c r="B829">
        <f>IF(OR('R.M Billets Reports'!A828="Date-",'R.M Billets Reports'!A828="Date:-"),'R.M Billets Reports'!B828,IF(ROW()=2,"",B828))</f>
      </c>
      <c r="C829">
        <f>IF('R.M Billets Reports'!A828="V.No.",'R.M Billets Reports'!B828,IF(ROW()=2,"",C828))</f>
      </c>
      <c r="D829">
        <f>IF('R.M Billets Reports'!A828&lt;&gt;"",'R.M Billets Reports'!A828,IF(ROW()=2,"",D828))</f>
      </c>
      <c r="E829">
        <f>IF('R.M Billets Reports'!B828="","",TRIM('R.M Billets Reports'!B828))</f>
      </c>
      <c r="F829">
        <f>'R.M Billets Reports'!C828</f>
      </c>
      <c r="G829">
        <f>'R.M Billets Reports'!D828</f>
      </c>
      <c r="H829">
        <f>'R.M Billets Reports'!E828</f>
      </c>
      <c r="I829">
        <f>'R.M Billets Reports'!F828</f>
      </c>
      <c r="J829">
        <f>'R.M Billets Reports'!G828</f>
      </c>
      <c r="K829">
        <f>'R.M Billets Reports'!H828</f>
      </c>
      <c r="L829">
        <f>IF('R.M Billets Reports'!I828="","",'R.M Billets Reports'!I828)</f>
      </c>
      <c r="M829">
        <f t="shared" si="24"/>
      </c>
      <c r="N829">
        <f>IF('R.M Billets Reports'!J828="","",'R.M Billets Reports'!J828)</f>
      </c>
      <c r="O829">
        <f t="shared" si="25"/>
      </c>
      <c r="P829">
        <f>IF('R.M Billets Reports'!A828="SIZE",'R.M Billets Reports'!B828,P828)</f>
      </c>
    </row>
    <row r="830" spans="1:16" x14ac:dyDescent="0.25">
      <c r="A830">
        <f>IF(OR('R.M Billets Reports'!A829="Date-",'R.M Billets Reports'!A829="Date:-"),IF(IF(IF(ISNUMBER(SEARCH("Party Name:-",'R.M Billets Reports'!D829)),TRIM('R.M Billets Reports'!F829),IF(ISNUMBER(SEARCH("Party Name-",'R.M Billets Reports'!D829)),TRIM(MID('R.M Billets Reports'!D829,SEARCH("-",'R.M Billets Reports'!D829)+1,200)),""))&lt;&gt;"",IF(ISNUMBER(SEARCH("Party Name:-",'R.M Billets Reports'!D829)),TRIM('R.M Billets Reports'!F829),IF(ISNUMBER(SEARCH("Party Name-",'R.M Billets Reports'!D829)),TRIM(MID('R.M Billets Reports'!D829,SEARCH("-",'R.M Billets Reports'!D829)+1,200)),"")),IF(ISNUMBER(SEARCH("Party Name:-",'R.M Billets Reports'!D830)),TRIM('R.M Billets Reports'!F830),IF(ISNUMBER(SEARCH("Party Name-",'R.M Billets Reports'!D830)),TRIM(MID('R.M Billets Reports'!D830,SEARCH("-",'R.M Billets Reports'!D830)+1,200)),"")))="VRKP ISPAT PVT LTD","VRKP",IF(IF(IF(ISNUMBER(SEARCH("Party Name:-",'R.M Billets Reports'!D829)),TRIM('R.M Billets Reports'!F829),IF(ISNUMBER(SEARCH("Party Name-",'R.M Billets Reports'!D829)),TRIM(MID('R.M Billets Reports'!D829,SEARCH("-",'R.M Billets Reports'!D829)+1,200)),""))&lt;&gt;"",IF(ISNUMBER(SEARCH("Party Name:-",'R.M Billets Reports'!D829)),TRIM('R.M Billets Reports'!F829),IF(ISNUMBER(SEARCH("Party Name-",'R.M Billets Reports'!D829)),TRIM(MID('R.M Billets Reports'!D829,SEARCH("-",'R.M Billets Reports'!D829)+1,200)),"")),IF(ISNUMBER(SEARCH("Party Name:-",'R.M Billets Reports'!D830)),TRIM('R.M Billets Reports'!F830),IF(ISNUMBER(SEARCH("Party Name-",'R.M Billets Reports'!D830)),TRIM(MID('R.M Billets Reports'!D830,SEARCH("-",'R.M Billets Reports'!D830)+1,200)),"")))="SHRI RADHE","SHREE RADHE",IF(IF(IF(ISNUMBER(SEARCH("Party Name:-",'R.M Billets Reports'!D829)),TRIM('R.M Billets Reports'!F829),IF(ISNUMBER(SEARCH("Party Name-",'R.M Billets Reports'!D829)),TRIM(MID('R.M Billets Reports'!D829,SEARCH("-",'R.M Billets Reports'!D829)+1,200)),""))&lt;&gt;"",IF(ISNUMBER(SEARCH("Party Name:-",'R.M Billets Reports'!D829)),TRIM('R.M Billets Reports'!F829),IF(ISNUMBER(SEARCH("Party Name-",'R.M Billets Reports'!D829)),TRIM(MID('R.M Billets Reports'!D829,SEARCH("-",'R.M Billets Reports'!D829)+1,200)),"")),IF(ISNUMBER(SEARCH("Party Name:-",'R.M Billets Reports'!D830)),TRIM('R.M Billets Reports'!F830),IF(ISNUMBER(SEARCH("Party Name-",'R.M Billets Reports'!D830)),TRIM(MID('R.M Billets Reports'!D830,SEARCH("-",'R.M Billets Reports'!D830)+1,200)),"")))="SHREE RADHE SHAKTI SPONGE AND POWER PVT. LTD.","SHREE RADHE",IF(IF(ISNUMBER(SEARCH("Party Name:-",'R.M Billets Reports'!D829)),TRIM('R.M Billets Reports'!F829),IF(ISNUMBER(SEARCH("Party Name-",'R.M Billets Reports'!D829)),TRIM(MID('R.M Billets Reports'!D829,SEARCH("-",'R.M Billets Reports'!D829)+1,200)),""))&lt;&gt;"",IF(ISNUMBER(SEARCH("Party Name:-",'R.M Billets Reports'!D829)),TRIM('R.M Billets Reports'!F829),IF(ISNUMBER(SEARCH("Party Name-",'R.M Billets Reports'!D829)),TRIM(MID('R.M Billets Reports'!D829,SEARCH("-",'R.M Billets Reports'!D829)+1,200)),"")),IF(ISNUMBER(SEARCH("Party Name:-",'R.M Billets Reports'!D830)),TRIM('R.M Billets Reports'!F830),IF(ISNUMBER(SEARCH("Party Name-",'R.M Billets Reports'!D830)),TRIM(MID('R.M Billets Reports'!D830,SEARCH("-",'R.M Billets Reports'!D830)+1,200)),"")))))),IF(ROW()=2,"",A829))</f>
      </c>
      <c r="B830">
        <f>IF(OR('R.M Billets Reports'!A829="Date-",'R.M Billets Reports'!A829="Date:-"),'R.M Billets Reports'!B829,IF(ROW()=2,"",B829))</f>
      </c>
      <c r="C830">
        <f>IF('R.M Billets Reports'!A829="V.No.",'R.M Billets Reports'!B829,IF(ROW()=2,"",C829))</f>
      </c>
      <c r="D830">
        <f>IF('R.M Billets Reports'!A829&lt;&gt;"",'R.M Billets Reports'!A829,IF(ROW()=2,"",D829))</f>
      </c>
      <c r="E830">
        <f>IF('R.M Billets Reports'!B829="","",TRIM('R.M Billets Reports'!B829))</f>
      </c>
      <c r="F830">
        <f>'R.M Billets Reports'!C829</f>
      </c>
      <c r="G830">
        <f>'R.M Billets Reports'!D829</f>
      </c>
      <c r="H830">
        <f>'R.M Billets Reports'!E829</f>
      </c>
      <c r="I830">
        <f>'R.M Billets Reports'!F829</f>
      </c>
      <c r="J830">
        <f>'R.M Billets Reports'!G829</f>
      </c>
      <c r="K830">
        <f>'R.M Billets Reports'!H829</f>
      </c>
      <c r="L830">
        <f>IF('R.M Billets Reports'!I829="","",'R.M Billets Reports'!I829)</f>
      </c>
      <c r="M830">
        <f t="shared" si="24"/>
      </c>
      <c r="N830">
        <f>IF('R.M Billets Reports'!J829="","",'R.M Billets Reports'!J829)</f>
      </c>
      <c r="O830">
        <f t="shared" si="25"/>
      </c>
      <c r="P830">
        <f>IF('R.M Billets Reports'!A829="SIZE",'R.M Billets Reports'!B829,P829)</f>
      </c>
    </row>
    <row r="831" spans="1:16" x14ac:dyDescent="0.25">
      <c r="A831">
        <f>IF(OR('R.M Billets Reports'!A830="Date-",'R.M Billets Reports'!A830="Date:-"),IF(IF(IF(ISNUMBER(SEARCH("Party Name:-",'R.M Billets Reports'!D830)),TRIM('R.M Billets Reports'!F830),IF(ISNUMBER(SEARCH("Party Name-",'R.M Billets Reports'!D830)),TRIM(MID('R.M Billets Reports'!D830,SEARCH("-",'R.M Billets Reports'!D830)+1,200)),""))&lt;&gt;"",IF(ISNUMBER(SEARCH("Party Name:-",'R.M Billets Reports'!D830)),TRIM('R.M Billets Reports'!F830),IF(ISNUMBER(SEARCH("Party Name-",'R.M Billets Reports'!D830)),TRIM(MID('R.M Billets Reports'!D830,SEARCH("-",'R.M Billets Reports'!D830)+1,200)),"")),IF(ISNUMBER(SEARCH("Party Name:-",'R.M Billets Reports'!D831)),TRIM('R.M Billets Reports'!F831),IF(ISNUMBER(SEARCH("Party Name-",'R.M Billets Reports'!D831)),TRIM(MID('R.M Billets Reports'!D831,SEARCH("-",'R.M Billets Reports'!D831)+1,200)),"")))="VRKP ISPAT PVT LTD","VRKP",IF(IF(IF(ISNUMBER(SEARCH("Party Name:-",'R.M Billets Reports'!D830)),TRIM('R.M Billets Reports'!F830),IF(ISNUMBER(SEARCH("Party Name-",'R.M Billets Reports'!D830)),TRIM(MID('R.M Billets Reports'!D830,SEARCH("-",'R.M Billets Reports'!D830)+1,200)),""))&lt;&gt;"",IF(ISNUMBER(SEARCH("Party Name:-",'R.M Billets Reports'!D830)),TRIM('R.M Billets Reports'!F830),IF(ISNUMBER(SEARCH("Party Name-",'R.M Billets Reports'!D830)),TRIM(MID('R.M Billets Reports'!D830,SEARCH("-",'R.M Billets Reports'!D830)+1,200)),"")),IF(ISNUMBER(SEARCH("Party Name:-",'R.M Billets Reports'!D831)),TRIM('R.M Billets Reports'!F831),IF(ISNUMBER(SEARCH("Party Name-",'R.M Billets Reports'!D831)),TRIM(MID('R.M Billets Reports'!D831,SEARCH("-",'R.M Billets Reports'!D831)+1,200)),"")))="SHRI RADHE","SHREE RADHE",IF(IF(IF(ISNUMBER(SEARCH("Party Name:-",'R.M Billets Reports'!D830)),TRIM('R.M Billets Reports'!F830),IF(ISNUMBER(SEARCH("Party Name-",'R.M Billets Reports'!D830)),TRIM(MID('R.M Billets Reports'!D830,SEARCH("-",'R.M Billets Reports'!D830)+1,200)),""))&lt;&gt;"",IF(ISNUMBER(SEARCH("Party Name:-",'R.M Billets Reports'!D830)),TRIM('R.M Billets Reports'!F830),IF(ISNUMBER(SEARCH("Party Name-",'R.M Billets Reports'!D830)),TRIM(MID('R.M Billets Reports'!D830,SEARCH("-",'R.M Billets Reports'!D830)+1,200)),"")),IF(ISNUMBER(SEARCH("Party Name:-",'R.M Billets Reports'!D831)),TRIM('R.M Billets Reports'!F831),IF(ISNUMBER(SEARCH("Party Name-",'R.M Billets Reports'!D831)),TRIM(MID('R.M Billets Reports'!D831,SEARCH("-",'R.M Billets Reports'!D831)+1,200)),"")))="SHREE RADHE SHAKTI SPONGE AND POWER PVT. LTD.","SHREE RADHE",IF(IF(ISNUMBER(SEARCH("Party Name:-",'R.M Billets Reports'!D830)),TRIM('R.M Billets Reports'!F830),IF(ISNUMBER(SEARCH("Party Name-",'R.M Billets Reports'!D830)),TRIM(MID('R.M Billets Reports'!D830,SEARCH("-",'R.M Billets Reports'!D830)+1,200)),""))&lt;&gt;"",IF(ISNUMBER(SEARCH("Party Name:-",'R.M Billets Reports'!D830)),TRIM('R.M Billets Reports'!F830),IF(ISNUMBER(SEARCH("Party Name-",'R.M Billets Reports'!D830)),TRIM(MID('R.M Billets Reports'!D830,SEARCH("-",'R.M Billets Reports'!D830)+1,200)),"")),IF(ISNUMBER(SEARCH("Party Name:-",'R.M Billets Reports'!D831)),TRIM('R.M Billets Reports'!F831),IF(ISNUMBER(SEARCH("Party Name-",'R.M Billets Reports'!D831)),TRIM(MID('R.M Billets Reports'!D831,SEARCH("-",'R.M Billets Reports'!D831)+1,200)),"")))))),IF(ROW()=2,"",A830))</f>
      </c>
      <c r="B831">
        <f>IF(OR('R.M Billets Reports'!A830="Date-",'R.M Billets Reports'!A830="Date:-"),'R.M Billets Reports'!B830,IF(ROW()=2,"",B830))</f>
      </c>
      <c r="C831">
        <f>IF('R.M Billets Reports'!A830="V.No.",'R.M Billets Reports'!B830,IF(ROW()=2,"",C830))</f>
      </c>
      <c r="D831">
        <f>IF('R.M Billets Reports'!A830&lt;&gt;"",'R.M Billets Reports'!A830,IF(ROW()=2,"",D830))</f>
      </c>
      <c r="E831">
        <f>IF('R.M Billets Reports'!B830="","",TRIM('R.M Billets Reports'!B830))</f>
      </c>
      <c r="F831">
        <f>'R.M Billets Reports'!C830</f>
      </c>
      <c r="G831">
        <f>'R.M Billets Reports'!D830</f>
      </c>
      <c r="H831">
        <f>'R.M Billets Reports'!E830</f>
      </c>
      <c r="I831">
        <f>'R.M Billets Reports'!F830</f>
      </c>
      <c r="J831">
        <f>'R.M Billets Reports'!G830</f>
      </c>
      <c r="K831">
        <f>'R.M Billets Reports'!H830</f>
      </c>
      <c r="L831">
        <f>IF('R.M Billets Reports'!I830="","",'R.M Billets Reports'!I830)</f>
      </c>
      <c r="M831">
        <f t="shared" si="24"/>
      </c>
      <c r="N831">
        <f>IF('R.M Billets Reports'!J830="","",'R.M Billets Reports'!J830)</f>
      </c>
      <c r="O831">
        <f t="shared" si="25"/>
      </c>
      <c r="P831">
        <f>IF('R.M Billets Reports'!A830="SIZE",'R.M Billets Reports'!B830,P830)</f>
      </c>
    </row>
    <row r="832" spans="1:16" x14ac:dyDescent="0.25">
      <c r="A832">
        <f>IF(OR('R.M Billets Reports'!A831="Date-",'R.M Billets Reports'!A831="Date:-"),IF(IF(IF(ISNUMBER(SEARCH("Party Name:-",'R.M Billets Reports'!D831)),TRIM('R.M Billets Reports'!F831),IF(ISNUMBER(SEARCH("Party Name-",'R.M Billets Reports'!D831)),TRIM(MID('R.M Billets Reports'!D831,SEARCH("-",'R.M Billets Reports'!D831)+1,200)),""))&lt;&gt;"",IF(ISNUMBER(SEARCH("Party Name:-",'R.M Billets Reports'!D831)),TRIM('R.M Billets Reports'!F831),IF(ISNUMBER(SEARCH("Party Name-",'R.M Billets Reports'!D831)),TRIM(MID('R.M Billets Reports'!D831,SEARCH("-",'R.M Billets Reports'!D831)+1,200)),"")),IF(ISNUMBER(SEARCH("Party Name:-",'R.M Billets Reports'!D832)),TRIM('R.M Billets Reports'!F832),IF(ISNUMBER(SEARCH("Party Name-",'R.M Billets Reports'!D832)),TRIM(MID('R.M Billets Reports'!D832,SEARCH("-",'R.M Billets Reports'!D832)+1,200)),"")))="VRKP ISPAT PVT LTD","VRKP",IF(IF(IF(ISNUMBER(SEARCH("Party Name:-",'R.M Billets Reports'!D831)),TRIM('R.M Billets Reports'!F831),IF(ISNUMBER(SEARCH("Party Name-",'R.M Billets Reports'!D831)),TRIM(MID('R.M Billets Reports'!D831,SEARCH("-",'R.M Billets Reports'!D831)+1,200)),""))&lt;&gt;"",IF(ISNUMBER(SEARCH("Party Name:-",'R.M Billets Reports'!D831)),TRIM('R.M Billets Reports'!F831),IF(ISNUMBER(SEARCH("Party Name-",'R.M Billets Reports'!D831)),TRIM(MID('R.M Billets Reports'!D831,SEARCH("-",'R.M Billets Reports'!D831)+1,200)),"")),IF(ISNUMBER(SEARCH("Party Name:-",'R.M Billets Reports'!D832)),TRIM('R.M Billets Reports'!F832),IF(ISNUMBER(SEARCH("Party Name-",'R.M Billets Reports'!D832)),TRIM(MID('R.M Billets Reports'!D832,SEARCH("-",'R.M Billets Reports'!D832)+1,200)),"")))="SHRI RADHE","SHREE RADHE",IF(IF(IF(ISNUMBER(SEARCH("Party Name:-",'R.M Billets Reports'!D831)),TRIM('R.M Billets Reports'!F831),IF(ISNUMBER(SEARCH("Party Name-",'R.M Billets Reports'!D831)),TRIM(MID('R.M Billets Reports'!D831,SEARCH("-",'R.M Billets Reports'!D831)+1,200)),""))&lt;&gt;"",IF(ISNUMBER(SEARCH("Party Name:-",'R.M Billets Reports'!D831)),TRIM('R.M Billets Reports'!F831),IF(ISNUMBER(SEARCH("Party Name-",'R.M Billets Reports'!D831)),TRIM(MID('R.M Billets Reports'!D831,SEARCH("-",'R.M Billets Reports'!D831)+1,200)),"")),IF(ISNUMBER(SEARCH("Party Name:-",'R.M Billets Reports'!D832)),TRIM('R.M Billets Reports'!F832),IF(ISNUMBER(SEARCH("Party Name-",'R.M Billets Reports'!D832)),TRIM(MID('R.M Billets Reports'!D832,SEARCH("-",'R.M Billets Reports'!D832)+1,200)),"")))="SHREE RADHE SHAKTI SPONGE AND POWER PVT. LTD.","SHREE RADHE",IF(IF(ISNUMBER(SEARCH("Party Name:-",'R.M Billets Reports'!D831)),TRIM('R.M Billets Reports'!F831),IF(ISNUMBER(SEARCH("Party Name-",'R.M Billets Reports'!D831)),TRIM(MID('R.M Billets Reports'!D831,SEARCH("-",'R.M Billets Reports'!D831)+1,200)),""))&lt;&gt;"",IF(ISNUMBER(SEARCH("Party Name:-",'R.M Billets Reports'!D831)),TRIM('R.M Billets Reports'!F831),IF(ISNUMBER(SEARCH("Party Name-",'R.M Billets Reports'!D831)),TRIM(MID('R.M Billets Reports'!D831,SEARCH("-",'R.M Billets Reports'!D831)+1,200)),"")),IF(ISNUMBER(SEARCH("Party Name:-",'R.M Billets Reports'!D832)),TRIM('R.M Billets Reports'!F832),IF(ISNUMBER(SEARCH("Party Name-",'R.M Billets Reports'!D832)),TRIM(MID('R.M Billets Reports'!D832,SEARCH("-",'R.M Billets Reports'!D832)+1,200)),"")))))),IF(ROW()=2,"",A831))</f>
      </c>
      <c r="B832">
        <f>IF(OR('R.M Billets Reports'!A831="Date-",'R.M Billets Reports'!A831="Date:-"),'R.M Billets Reports'!B831,IF(ROW()=2,"",B831))</f>
      </c>
      <c r="C832">
        <f>IF('R.M Billets Reports'!A831="V.No.",'R.M Billets Reports'!B831,IF(ROW()=2,"",C831))</f>
      </c>
      <c r="D832">
        <f>IF('R.M Billets Reports'!A831&lt;&gt;"",'R.M Billets Reports'!A831,IF(ROW()=2,"",D831))</f>
      </c>
      <c r="E832">
        <f>IF('R.M Billets Reports'!B831="","",TRIM('R.M Billets Reports'!B831))</f>
      </c>
      <c r="F832">
        <f>'R.M Billets Reports'!C831</f>
      </c>
      <c r="G832">
        <f>'R.M Billets Reports'!D831</f>
      </c>
      <c r="H832">
        <f>'R.M Billets Reports'!E831</f>
      </c>
      <c r="I832">
        <f>'R.M Billets Reports'!F831</f>
      </c>
      <c r="J832">
        <f>'R.M Billets Reports'!G831</f>
      </c>
      <c r="K832">
        <f>'R.M Billets Reports'!H831</f>
      </c>
      <c r="L832">
        <f>IF('R.M Billets Reports'!I831="","",'R.M Billets Reports'!I831)</f>
      </c>
      <c r="M832">
        <f t="shared" si="24"/>
      </c>
      <c r="N832">
        <f>IF('R.M Billets Reports'!J831="","",'R.M Billets Reports'!J831)</f>
      </c>
      <c r="O832">
        <f t="shared" si="25"/>
      </c>
      <c r="P832">
        <f>IF('R.M Billets Reports'!A831="SIZE",'R.M Billets Reports'!B831,P831)</f>
      </c>
    </row>
    <row r="833" spans="1:16" x14ac:dyDescent="0.25">
      <c r="A833">
        <f>IF(OR('R.M Billets Reports'!A832="Date-",'R.M Billets Reports'!A832="Date:-"),IF(IF(IF(ISNUMBER(SEARCH("Party Name:-",'R.M Billets Reports'!D832)),TRIM('R.M Billets Reports'!F832),IF(ISNUMBER(SEARCH("Party Name-",'R.M Billets Reports'!D832)),TRIM(MID('R.M Billets Reports'!D832,SEARCH("-",'R.M Billets Reports'!D832)+1,200)),""))&lt;&gt;"",IF(ISNUMBER(SEARCH("Party Name:-",'R.M Billets Reports'!D832)),TRIM('R.M Billets Reports'!F832),IF(ISNUMBER(SEARCH("Party Name-",'R.M Billets Reports'!D832)),TRIM(MID('R.M Billets Reports'!D832,SEARCH("-",'R.M Billets Reports'!D832)+1,200)),"")),IF(ISNUMBER(SEARCH("Party Name:-",'R.M Billets Reports'!D833)),TRIM('R.M Billets Reports'!F833),IF(ISNUMBER(SEARCH("Party Name-",'R.M Billets Reports'!D833)),TRIM(MID('R.M Billets Reports'!D833,SEARCH("-",'R.M Billets Reports'!D833)+1,200)),"")))="VRKP ISPAT PVT LTD","VRKP",IF(IF(IF(ISNUMBER(SEARCH("Party Name:-",'R.M Billets Reports'!D832)),TRIM('R.M Billets Reports'!F832),IF(ISNUMBER(SEARCH("Party Name-",'R.M Billets Reports'!D832)),TRIM(MID('R.M Billets Reports'!D832,SEARCH("-",'R.M Billets Reports'!D832)+1,200)),""))&lt;&gt;"",IF(ISNUMBER(SEARCH("Party Name:-",'R.M Billets Reports'!D832)),TRIM('R.M Billets Reports'!F832),IF(ISNUMBER(SEARCH("Party Name-",'R.M Billets Reports'!D832)),TRIM(MID('R.M Billets Reports'!D832,SEARCH("-",'R.M Billets Reports'!D832)+1,200)),"")),IF(ISNUMBER(SEARCH("Party Name:-",'R.M Billets Reports'!D833)),TRIM('R.M Billets Reports'!F833),IF(ISNUMBER(SEARCH("Party Name-",'R.M Billets Reports'!D833)),TRIM(MID('R.M Billets Reports'!D833,SEARCH("-",'R.M Billets Reports'!D833)+1,200)),"")))="SHRI RADHE","SHREE RADHE",IF(IF(IF(ISNUMBER(SEARCH("Party Name:-",'R.M Billets Reports'!D832)),TRIM('R.M Billets Reports'!F832),IF(ISNUMBER(SEARCH("Party Name-",'R.M Billets Reports'!D832)),TRIM(MID('R.M Billets Reports'!D832,SEARCH("-",'R.M Billets Reports'!D832)+1,200)),""))&lt;&gt;"",IF(ISNUMBER(SEARCH("Party Name:-",'R.M Billets Reports'!D832)),TRIM('R.M Billets Reports'!F832),IF(ISNUMBER(SEARCH("Party Name-",'R.M Billets Reports'!D832)),TRIM(MID('R.M Billets Reports'!D832,SEARCH("-",'R.M Billets Reports'!D832)+1,200)),"")),IF(ISNUMBER(SEARCH("Party Name:-",'R.M Billets Reports'!D833)),TRIM('R.M Billets Reports'!F833),IF(ISNUMBER(SEARCH("Party Name-",'R.M Billets Reports'!D833)),TRIM(MID('R.M Billets Reports'!D833,SEARCH("-",'R.M Billets Reports'!D833)+1,200)),"")))="SHREE RADHE SHAKTI SPONGE AND POWER PVT. LTD.","SHREE RADHE",IF(IF(ISNUMBER(SEARCH("Party Name:-",'R.M Billets Reports'!D832)),TRIM('R.M Billets Reports'!F832),IF(ISNUMBER(SEARCH("Party Name-",'R.M Billets Reports'!D832)),TRIM(MID('R.M Billets Reports'!D832,SEARCH("-",'R.M Billets Reports'!D832)+1,200)),""))&lt;&gt;"",IF(ISNUMBER(SEARCH("Party Name:-",'R.M Billets Reports'!D832)),TRIM('R.M Billets Reports'!F832),IF(ISNUMBER(SEARCH("Party Name-",'R.M Billets Reports'!D832)),TRIM(MID('R.M Billets Reports'!D832,SEARCH("-",'R.M Billets Reports'!D832)+1,200)),"")),IF(ISNUMBER(SEARCH("Party Name:-",'R.M Billets Reports'!D833)),TRIM('R.M Billets Reports'!F833),IF(ISNUMBER(SEARCH("Party Name-",'R.M Billets Reports'!D833)),TRIM(MID('R.M Billets Reports'!D833,SEARCH("-",'R.M Billets Reports'!D833)+1,200)),"")))))),IF(ROW()=2,"",A832))</f>
      </c>
      <c r="B833">
        <f>IF(OR('R.M Billets Reports'!A832="Date-",'R.M Billets Reports'!A832="Date:-"),'R.M Billets Reports'!B832,IF(ROW()=2,"",B832))</f>
      </c>
      <c r="C833">
        <f>IF('R.M Billets Reports'!A832="V.No.",'R.M Billets Reports'!B832,IF(ROW()=2,"",C832))</f>
      </c>
      <c r="D833">
        <f>IF('R.M Billets Reports'!A832&lt;&gt;"",'R.M Billets Reports'!A832,IF(ROW()=2,"",D832))</f>
      </c>
      <c r="E833">
        <f>IF('R.M Billets Reports'!B832="","",TRIM('R.M Billets Reports'!B832))</f>
      </c>
      <c r="F833">
        <f>'R.M Billets Reports'!C832</f>
      </c>
      <c r="G833">
        <f>'R.M Billets Reports'!D832</f>
      </c>
      <c r="H833">
        <f>'R.M Billets Reports'!E832</f>
      </c>
      <c r="I833">
        <f>'R.M Billets Reports'!F832</f>
      </c>
      <c r="J833">
        <f>'R.M Billets Reports'!G832</f>
      </c>
      <c r="K833">
        <f>'R.M Billets Reports'!H832</f>
      </c>
      <c r="L833">
        <f>IF('R.M Billets Reports'!I832="","",'R.M Billets Reports'!I832)</f>
      </c>
      <c r="M833">
        <f t="shared" si="24"/>
      </c>
      <c r="N833">
        <f>IF('R.M Billets Reports'!J832="","",'R.M Billets Reports'!J832)</f>
      </c>
      <c r="O833">
        <f t="shared" si="25"/>
      </c>
      <c r="P833">
        <f>IF('R.M Billets Reports'!A832="SIZE",'R.M Billets Reports'!B832,P832)</f>
      </c>
    </row>
    <row r="834" spans="1:16" x14ac:dyDescent="0.25">
      <c r="A834">
        <f>IF(OR('R.M Billets Reports'!A833="Date-",'R.M Billets Reports'!A833="Date:-"),IF(IF(IF(ISNUMBER(SEARCH("Party Name:-",'R.M Billets Reports'!D833)),TRIM('R.M Billets Reports'!F833),IF(ISNUMBER(SEARCH("Party Name-",'R.M Billets Reports'!D833)),TRIM(MID('R.M Billets Reports'!D833,SEARCH("-",'R.M Billets Reports'!D833)+1,200)),""))&lt;&gt;"",IF(ISNUMBER(SEARCH("Party Name:-",'R.M Billets Reports'!D833)),TRIM('R.M Billets Reports'!F833),IF(ISNUMBER(SEARCH("Party Name-",'R.M Billets Reports'!D833)),TRIM(MID('R.M Billets Reports'!D833,SEARCH("-",'R.M Billets Reports'!D833)+1,200)),"")),IF(ISNUMBER(SEARCH("Party Name:-",'R.M Billets Reports'!D834)),TRIM('R.M Billets Reports'!F834),IF(ISNUMBER(SEARCH("Party Name-",'R.M Billets Reports'!D834)),TRIM(MID('R.M Billets Reports'!D834,SEARCH("-",'R.M Billets Reports'!D834)+1,200)),"")))="VRKP ISPAT PVT LTD","VRKP",IF(IF(IF(ISNUMBER(SEARCH("Party Name:-",'R.M Billets Reports'!D833)),TRIM('R.M Billets Reports'!F833),IF(ISNUMBER(SEARCH("Party Name-",'R.M Billets Reports'!D833)),TRIM(MID('R.M Billets Reports'!D833,SEARCH("-",'R.M Billets Reports'!D833)+1,200)),""))&lt;&gt;"",IF(ISNUMBER(SEARCH("Party Name:-",'R.M Billets Reports'!D833)),TRIM('R.M Billets Reports'!F833),IF(ISNUMBER(SEARCH("Party Name-",'R.M Billets Reports'!D833)),TRIM(MID('R.M Billets Reports'!D833,SEARCH("-",'R.M Billets Reports'!D833)+1,200)),"")),IF(ISNUMBER(SEARCH("Party Name:-",'R.M Billets Reports'!D834)),TRIM('R.M Billets Reports'!F834),IF(ISNUMBER(SEARCH("Party Name-",'R.M Billets Reports'!D834)),TRIM(MID('R.M Billets Reports'!D834,SEARCH("-",'R.M Billets Reports'!D834)+1,200)),"")))="SHRI RADHE","SHREE RADHE",IF(IF(IF(ISNUMBER(SEARCH("Party Name:-",'R.M Billets Reports'!D833)),TRIM('R.M Billets Reports'!F833),IF(ISNUMBER(SEARCH("Party Name-",'R.M Billets Reports'!D833)),TRIM(MID('R.M Billets Reports'!D833,SEARCH("-",'R.M Billets Reports'!D833)+1,200)),""))&lt;&gt;"",IF(ISNUMBER(SEARCH("Party Name:-",'R.M Billets Reports'!D833)),TRIM('R.M Billets Reports'!F833),IF(ISNUMBER(SEARCH("Party Name-",'R.M Billets Reports'!D833)),TRIM(MID('R.M Billets Reports'!D833,SEARCH("-",'R.M Billets Reports'!D833)+1,200)),"")),IF(ISNUMBER(SEARCH("Party Name:-",'R.M Billets Reports'!D834)),TRIM('R.M Billets Reports'!F834),IF(ISNUMBER(SEARCH("Party Name-",'R.M Billets Reports'!D834)),TRIM(MID('R.M Billets Reports'!D834,SEARCH("-",'R.M Billets Reports'!D834)+1,200)),"")))="SHREE RADHE SHAKTI SPONGE AND POWER PVT. LTD.","SHREE RADHE",IF(IF(ISNUMBER(SEARCH("Party Name:-",'R.M Billets Reports'!D833)),TRIM('R.M Billets Reports'!F833),IF(ISNUMBER(SEARCH("Party Name-",'R.M Billets Reports'!D833)),TRIM(MID('R.M Billets Reports'!D833,SEARCH("-",'R.M Billets Reports'!D833)+1,200)),""))&lt;&gt;"",IF(ISNUMBER(SEARCH("Party Name:-",'R.M Billets Reports'!D833)),TRIM('R.M Billets Reports'!F833),IF(ISNUMBER(SEARCH("Party Name-",'R.M Billets Reports'!D833)),TRIM(MID('R.M Billets Reports'!D833,SEARCH("-",'R.M Billets Reports'!D833)+1,200)),"")),IF(ISNUMBER(SEARCH("Party Name:-",'R.M Billets Reports'!D834)),TRIM('R.M Billets Reports'!F834),IF(ISNUMBER(SEARCH("Party Name-",'R.M Billets Reports'!D834)),TRIM(MID('R.M Billets Reports'!D834,SEARCH("-",'R.M Billets Reports'!D834)+1,200)),"")))))),IF(ROW()=2,"",A833))</f>
      </c>
      <c r="B834">
        <f>IF(OR('R.M Billets Reports'!A833="Date-",'R.M Billets Reports'!A833="Date:-"),'R.M Billets Reports'!B833,IF(ROW()=2,"",B833))</f>
      </c>
      <c r="C834">
        <f>IF('R.M Billets Reports'!A833="V.No.",'R.M Billets Reports'!B833,IF(ROW()=2,"",C833))</f>
      </c>
      <c r="D834">
        <f>IF('R.M Billets Reports'!A833&lt;&gt;"",'R.M Billets Reports'!A833,IF(ROW()=2,"",D833))</f>
      </c>
      <c r="E834">
        <f>IF('R.M Billets Reports'!B833="","",TRIM('R.M Billets Reports'!B833))</f>
      </c>
      <c r="F834">
        <f>'R.M Billets Reports'!C833</f>
      </c>
      <c r="G834">
        <f>'R.M Billets Reports'!D833</f>
      </c>
      <c r="H834">
        <f>'R.M Billets Reports'!E833</f>
      </c>
      <c r="I834">
        <f>'R.M Billets Reports'!F833</f>
      </c>
      <c r="J834">
        <f>'R.M Billets Reports'!G833</f>
      </c>
      <c r="K834">
        <f>'R.M Billets Reports'!H833</f>
      </c>
      <c r="L834">
        <f>IF('R.M Billets Reports'!I833="","",'R.M Billets Reports'!I833)</f>
      </c>
      <c r="M834">
        <f t="shared" si="24"/>
      </c>
      <c r="N834">
        <f>IF('R.M Billets Reports'!J833="","",'R.M Billets Reports'!J833)</f>
      </c>
      <c r="O834">
        <f t="shared" si="25"/>
      </c>
      <c r="P834">
        <f>IF('R.M Billets Reports'!A833="SIZE",'R.M Billets Reports'!B833,P833)</f>
      </c>
    </row>
    <row r="835" spans="1:16" x14ac:dyDescent="0.25">
      <c r="A835">
        <f>IF(OR('R.M Billets Reports'!A834="Date-",'R.M Billets Reports'!A834="Date:-"),IF(IF(IF(ISNUMBER(SEARCH("Party Name:-",'R.M Billets Reports'!D834)),TRIM('R.M Billets Reports'!F834),IF(ISNUMBER(SEARCH("Party Name-",'R.M Billets Reports'!D834)),TRIM(MID('R.M Billets Reports'!D834,SEARCH("-",'R.M Billets Reports'!D834)+1,200)),""))&lt;&gt;"",IF(ISNUMBER(SEARCH("Party Name:-",'R.M Billets Reports'!D834)),TRIM('R.M Billets Reports'!F834),IF(ISNUMBER(SEARCH("Party Name-",'R.M Billets Reports'!D834)),TRIM(MID('R.M Billets Reports'!D834,SEARCH("-",'R.M Billets Reports'!D834)+1,200)),"")),IF(ISNUMBER(SEARCH("Party Name:-",'R.M Billets Reports'!D835)),TRIM('R.M Billets Reports'!F835),IF(ISNUMBER(SEARCH("Party Name-",'R.M Billets Reports'!D835)),TRIM(MID('R.M Billets Reports'!D835,SEARCH("-",'R.M Billets Reports'!D835)+1,200)),"")))="VRKP ISPAT PVT LTD","VRKP",IF(IF(IF(ISNUMBER(SEARCH("Party Name:-",'R.M Billets Reports'!D834)),TRIM('R.M Billets Reports'!F834),IF(ISNUMBER(SEARCH("Party Name-",'R.M Billets Reports'!D834)),TRIM(MID('R.M Billets Reports'!D834,SEARCH("-",'R.M Billets Reports'!D834)+1,200)),""))&lt;&gt;"",IF(ISNUMBER(SEARCH("Party Name:-",'R.M Billets Reports'!D834)),TRIM('R.M Billets Reports'!F834),IF(ISNUMBER(SEARCH("Party Name-",'R.M Billets Reports'!D834)),TRIM(MID('R.M Billets Reports'!D834,SEARCH("-",'R.M Billets Reports'!D834)+1,200)),"")),IF(ISNUMBER(SEARCH("Party Name:-",'R.M Billets Reports'!D835)),TRIM('R.M Billets Reports'!F835),IF(ISNUMBER(SEARCH("Party Name-",'R.M Billets Reports'!D835)),TRIM(MID('R.M Billets Reports'!D835,SEARCH("-",'R.M Billets Reports'!D835)+1,200)),"")))="SHRI RADHE","SHREE RADHE",IF(IF(IF(ISNUMBER(SEARCH("Party Name:-",'R.M Billets Reports'!D834)),TRIM('R.M Billets Reports'!F834),IF(ISNUMBER(SEARCH("Party Name-",'R.M Billets Reports'!D834)),TRIM(MID('R.M Billets Reports'!D834,SEARCH("-",'R.M Billets Reports'!D834)+1,200)),""))&lt;&gt;"",IF(ISNUMBER(SEARCH("Party Name:-",'R.M Billets Reports'!D834)),TRIM('R.M Billets Reports'!F834),IF(ISNUMBER(SEARCH("Party Name-",'R.M Billets Reports'!D834)),TRIM(MID('R.M Billets Reports'!D834,SEARCH("-",'R.M Billets Reports'!D834)+1,200)),"")),IF(ISNUMBER(SEARCH("Party Name:-",'R.M Billets Reports'!D835)),TRIM('R.M Billets Reports'!F835),IF(ISNUMBER(SEARCH("Party Name-",'R.M Billets Reports'!D835)),TRIM(MID('R.M Billets Reports'!D835,SEARCH("-",'R.M Billets Reports'!D835)+1,200)),"")))="SHREE RADHE SHAKTI SPONGE AND POWER PVT. LTD.","SHREE RADHE",IF(IF(ISNUMBER(SEARCH("Party Name:-",'R.M Billets Reports'!D834)),TRIM('R.M Billets Reports'!F834),IF(ISNUMBER(SEARCH("Party Name-",'R.M Billets Reports'!D834)),TRIM(MID('R.M Billets Reports'!D834,SEARCH("-",'R.M Billets Reports'!D834)+1,200)),""))&lt;&gt;"",IF(ISNUMBER(SEARCH("Party Name:-",'R.M Billets Reports'!D834)),TRIM('R.M Billets Reports'!F834),IF(ISNUMBER(SEARCH("Party Name-",'R.M Billets Reports'!D834)),TRIM(MID('R.M Billets Reports'!D834,SEARCH("-",'R.M Billets Reports'!D834)+1,200)),"")),IF(ISNUMBER(SEARCH("Party Name:-",'R.M Billets Reports'!D835)),TRIM('R.M Billets Reports'!F835),IF(ISNUMBER(SEARCH("Party Name-",'R.M Billets Reports'!D835)),TRIM(MID('R.M Billets Reports'!D835,SEARCH("-",'R.M Billets Reports'!D835)+1,200)),"")))))),IF(ROW()=2,"",A834))</f>
      </c>
      <c r="B835">
        <f>IF(OR('R.M Billets Reports'!A834="Date-",'R.M Billets Reports'!A834="Date:-"),'R.M Billets Reports'!B834,IF(ROW()=2,"",B834))</f>
      </c>
      <c r="C835">
        <f>IF('R.M Billets Reports'!A834="V.No.",'R.M Billets Reports'!B834,IF(ROW()=2,"",C834))</f>
      </c>
      <c r="D835">
        <f>IF('R.M Billets Reports'!A834&lt;&gt;"",'R.M Billets Reports'!A834,IF(ROW()=2,"",D834))</f>
      </c>
      <c r="E835">
        <f>IF('R.M Billets Reports'!B834="","",TRIM('R.M Billets Reports'!B834))</f>
      </c>
      <c r="F835">
        <f>'R.M Billets Reports'!C834</f>
      </c>
      <c r="G835">
        <f>'R.M Billets Reports'!D834</f>
      </c>
      <c r="H835">
        <f>'R.M Billets Reports'!E834</f>
      </c>
      <c r="I835">
        <f>'R.M Billets Reports'!F834</f>
      </c>
      <c r="J835">
        <f>'R.M Billets Reports'!G834</f>
      </c>
      <c r="K835">
        <f>'R.M Billets Reports'!H834</f>
      </c>
      <c r="L835">
        <f>IF('R.M Billets Reports'!I834="","",'R.M Billets Reports'!I834)</f>
      </c>
      <c r="M835">
        <f t="shared" ref="M835:M898" si="26">IF(L835&lt;&gt;"",L835,IF(D835=D834,M834,""))</f>
      </c>
      <c r="N835">
        <f>IF('R.M Billets Reports'!J834="","",'R.M Billets Reports'!J834)</f>
      </c>
      <c r="O835">
        <f t="shared" ref="O835:O898" si="27">IF(N835&lt;&gt;"",N835,IF(D835=D834,O834,""))</f>
      </c>
      <c r="P835">
        <f>IF('R.M Billets Reports'!A834="SIZE",'R.M Billets Reports'!B834,P834)</f>
      </c>
    </row>
    <row r="836" spans="1:16" x14ac:dyDescent="0.25">
      <c r="A836">
        <f>IF(OR('R.M Billets Reports'!A835="Date-",'R.M Billets Reports'!A835="Date:-"),IF(IF(IF(ISNUMBER(SEARCH("Party Name:-",'R.M Billets Reports'!D835)),TRIM('R.M Billets Reports'!F835),IF(ISNUMBER(SEARCH("Party Name-",'R.M Billets Reports'!D835)),TRIM(MID('R.M Billets Reports'!D835,SEARCH("-",'R.M Billets Reports'!D835)+1,200)),""))&lt;&gt;"",IF(ISNUMBER(SEARCH("Party Name:-",'R.M Billets Reports'!D835)),TRIM('R.M Billets Reports'!F835),IF(ISNUMBER(SEARCH("Party Name-",'R.M Billets Reports'!D835)),TRIM(MID('R.M Billets Reports'!D835,SEARCH("-",'R.M Billets Reports'!D835)+1,200)),"")),IF(ISNUMBER(SEARCH("Party Name:-",'R.M Billets Reports'!D836)),TRIM('R.M Billets Reports'!F836),IF(ISNUMBER(SEARCH("Party Name-",'R.M Billets Reports'!D836)),TRIM(MID('R.M Billets Reports'!D836,SEARCH("-",'R.M Billets Reports'!D836)+1,200)),"")))="VRKP ISPAT PVT LTD","VRKP",IF(IF(IF(ISNUMBER(SEARCH("Party Name:-",'R.M Billets Reports'!D835)),TRIM('R.M Billets Reports'!F835),IF(ISNUMBER(SEARCH("Party Name-",'R.M Billets Reports'!D835)),TRIM(MID('R.M Billets Reports'!D835,SEARCH("-",'R.M Billets Reports'!D835)+1,200)),""))&lt;&gt;"",IF(ISNUMBER(SEARCH("Party Name:-",'R.M Billets Reports'!D835)),TRIM('R.M Billets Reports'!F835),IF(ISNUMBER(SEARCH("Party Name-",'R.M Billets Reports'!D835)),TRIM(MID('R.M Billets Reports'!D835,SEARCH("-",'R.M Billets Reports'!D835)+1,200)),"")),IF(ISNUMBER(SEARCH("Party Name:-",'R.M Billets Reports'!D836)),TRIM('R.M Billets Reports'!F836),IF(ISNUMBER(SEARCH("Party Name-",'R.M Billets Reports'!D836)),TRIM(MID('R.M Billets Reports'!D836,SEARCH("-",'R.M Billets Reports'!D836)+1,200)),"")))="SHRI RADHE","SHREE RADHE",IF(IF(IF(ISNUMBER(SEARCH("Party Name:-",'R.M Billets Reports'!D835)),TRIM('R.M Billets Reports'!F835),IF(ISNUMBER(SEARCH("Party Name-",'R.M Billets Reports'!D835)),TRIM(MID('R.M Billets Reports'!D835,SEARCH("-",'R.M Billets Reports'!D835)+1,200)),""))&lt;&gt;"",IF(ISNUMBER(SEARCH("Party Name:-",'R.M Billets Reports'!D835)),TRIM('R.M Billets Reports'!F835),IF(ISNUMBER(SEARCH("Party Name-",'R.M Billets Reports'!D835)),TRIM(MID('R.M Billets Reports'!D835,SEARCH("-",'R.M Billets Reports'!D835)+1,200)),"")),IF(ISNUMBER(SEARCH("Party Name:-",'R.M Billets Reports'!D836)),TRIM('R.M Billets Reports'!F836),IF(ISNUMBER(SEARCH("Party Name-",'R.M Billets Reports'!D836)),TRIM(MID('R.M Billets Reports'!D836,SEARCH("-",'R.M Billets Reports'!D836)+1,200)),"")))="SHREE RADHE SHAKTI SPONGE AND POWER PVT. LTD.","SHREE RADHE",IF(IF(ISNUMBER(SEARCH("Party Name:-",'R.M Billets Reports'!D835)),TRIM('R.M Billets Reports'!F835),IF(ISNUMBER(SEARCH("Party Name-",'R.M Billets Reports'!D835)),TRIM(MID('R.M Billets Reports'!D835,SEARCH("-",'R.M Billets Reports'!D835)+1,200)),""))&lt;&gt;"",IF(ISNUMBER(SEARCH("Party Name:-",'R.M Billets Reports'!D835)),TRIM('R.M Billets Reports'!F835),IF(ISNUMBER(SEARCH("Party Name-",'R.M Billets Reports'!D835)),TRIM(MID('R.M Billets Reports'!D835,SEARCH("-",'R.M Billets Reports'!D835)+1,200)),"")),IF(ISNUMBER(SEARCH("Party Name:-",'R.M Billets Reports'!D836)),TRIM('R.M Billets Reports'!F836),IF(ISNUMBER(SEARCH("Party Name-",'R.M Billets Reports'!D836)),TRIM(MID('R.M Billets Reports'!D836,SEARCH("-",'R.M Billets Reports'!D836)+1,200)),"")))))),IF(ROW()=2,"",A835))</f>
      </c>
      <c r="B836">
        <f>IF(OR('R.M Billets Reports'!A835="Date-",'R.M Billets Reports'!A835="Date:-"),'R.M Billets Reports'!B835,IF(ROW()=2,"",B835))</f>
      </c>
      <c r="C836">
        <f>IF('R.M Billets Reports'!A835="V.No.",'R.M Billets Reports'!B835,IF(ROW()=2,"",C835))</f>
      </c>
      <c r="D836">
        <f>IF('R.M Billets Reports'!A835&lt;&gt;"",'R.M Billets Reports'!A835,IF(ROW()=2,"",D835))</f>
      </c>
      <c r="E836">
        <f>IF('R.M Billets Reports'!B835="","",TRIM('R.M Billets Reports'!B835))</f>
      </c>
      <c r="F836">
        <f>'R.M Billets Reports'!C835</f>
      </c>
      <c r="G836">
        <f>'R.M Billets Reports'!D835</f>
      </c>
      <c r="H836">
        <f>'R.M Billets Reports'!E835</f>
      </c>
      <c r="I836">
        <f>'R.M Billets Reports'!F835</f>
      </c>
      <c r="J836">
        <f>'R.M Billets Reports'!G835</f>
      </c>
      <c r="K836">
        <f>'R.M Billets Reports'!H835</f>
      </c>
      <c r="L836">
        <f>IF('R.M Billets Reports'!I835="","",'R.M Billets Reports'!I835)</f>
      </c>
      <c r="M836">
        <f t="shared" si="26"/>
      </c>
      <c r="N836">
        <f>IF('R.M Billets Reports'!J835="","",'R.M Billets Reports'!J835)</f>
      </c>
      <c r="O836">
        <f t="shared" si="27"/>
      </c>
      <c r="P836">
        <f>IF('R.M Billets Reports'!A835="SIZE",'R.M Billets Reports'!B835,P835)</f>
      </c>
    </row>
    <row r="837" spans="1:16" x14ac:dyDescent="0.25">
      <c r="A837">
        <f>IF(OR('R.M Billets Reports'!A836="Date-",'R.M Billets Reports'!A836="Date:-"),IF(IF(IF(ISNUMBER(SEARCH("Party Name:-",'R.M Billets Reports'!D836)),TRIM('R.M Billets Reports'!F836),IF(ISNUMBER(SEARCH("Party Name-",'R.M Billets Reports'!D836)),TRIM(MID('R.M Billets Reports'!D836,SEARCH("-",'R.M Billets Reports'!D836)+1,200)),""))&lt;&gt;"",IF(ISNUMBER(SEARCH("Party Name:-",'R.M Billets Reports'!D836)),TRIM('R.M Billets Reports'!F836),IF(ISNUMBER(SEARCH("Party Name-",'R.M Billets Reports'!D836)),TRIM(MID('R.M Billets Reports'!D836,SEARCH("-",'R.M Billets Reports'!D836)+1,200)),"")),IF(ISNUMBER(SEARCH("Party Name:-",'R.M Billets Reports'!D837)),TRIM('R.M Billets Reports'!F837),IF(ISNUMBER(SEARCH("Party Name-",'R.M Billets Reports'!D837)),TRIM(MID('R.M Billets Reports'!D837,SEARCH("-",'R.M Billets Reports'!D837)+1,200)),"")))="VRKP ISPAT PVT LTD","VRKP",IF(IF(IF(ISNUMBER(SEARCH("Party Name:-",'R.M Billets Reports'!D836)),TRIM('R.M Billets Reports'!F836),IF(ISNUMBER(SEARCH("Party Name-",'R.M Billets Reports'!D836)),TRIM(MID('R.M Billets Reports'!D836,SEARCH("-",'R.M Billets Reports'!D836)+1,200)),""))&lt;&gt;"",IF(ISNUMBER(SEARCH("Party Name:-",'R.M Billets Reports'!D836)),TRIM('R.M Billets Reports'!F836),IF(ISNUMBER(SEARCH("Party Name-",'R.M Billets Reports'!D836)),TRIM(MID('R.M Billets Reports'!D836,SEARCH("-",'R.M Billets Reports'!D836)+1,200)),"")),IF(ISNUMBER(SEARCH("Party Name:-",'R.M Billets Reports'!D837)),TRIM('R.M Billets Reports'!F837),IF(ISNUMBER(SEARCH("Party Name-",'R.M Billets Reports'!D837)),TRIM(MID('R.M Billets Reports'!D837,SEARCH("-",'R.M Billets Reports'!D837)+1,200)),"")))="SHRI RADHE","SHREE RADHE",IF(IF(IF(ISNUMBER(SEARCH("Party Name:-",'R.M Billets Reports'!D836)),TRIM('R.M Billets Reports'!F836),IF(ISNUMBER(SEARCH("Party Name-",'R.M Billets Reports'!D836)),TRIM(MID('R.M Billets Reports'!D836,SEARCH("-",'R.M Billets Reports'!D836)+1,200)),""))&lt;&gt;"",IF(ISNUMBER(SEARCH("Party Name:-",'R.M Billets Reports'!D836)),TRIM('R.M Billets Reports'!F836),IF(ISNUMBER(SEARCH("Party Name-",'R.M Billets Reports'!D836)),TRIM(MID('R.M Billets Reports'!D836,SEARCH("-",'R.M Billets Reports'!D836)+1,200)),"")),IF(ISNUMBER(SEARCH("Party Name:-",'R.M Billets Reports'!D837)),TRIM('R.M Billets Reports'!F837),IF(ISNUMBER(SEARCH("Party Name-",'R.M Billets Reports'!D837)),TRIM(MID('R.M Billets Reports'!D837,SEARCH("-",'R.M Billets Reports'!D837)+1,200)),"")))="SHREE RADHE SHAKTI SPONGE AND POWER PVT. LTD.","SHREE RADHE",IF(IF(ISNUMBER(SEARCH("Party Name:-",'R.M Billets Reports'!D836)),TRIM('R.M Billets Reports'!F836),IF(ISNUMBER(SEARCH("Party Name-",'R.M Billets Reports'!D836)),TRIM(MID('R.M Billets Reports'!D836,SEARCH("-",'R.M Billets Reports'!D836)+1,200)),""))&lt;&gt;"",IF(ISNUMBER(SEARCH("Party Name:-",'R.M Billets Reports'!D836)),TRIM('R.M Billets Reports'!F836),IF(ISNUMBER(SEARCH("Party Name-",'R.M Billets Reports'!D836)),TRIM(MID('R.M Billets Reports'!D836,SEARCH("-",'R.M Billets Reports'!D836)+1,200)),"")),IF(ISNUMBER(SEARCH("Party Name:-",'R.M Billets Reports'!D837)),TRIM('R.M Billets Reports'!F837),IF(ISNUMBER(SEARCH("Party Name-",'R.M Billets Reports'!D837)),TRIM(MID('R.M Billets Reports'!D837,SEARCH("-",'R.M Billets Reports'!D837)+1,200)),"")))))),IF(ROW()=2,"",A836))</f>
      </c>
      <c r="B837">
        <f>IF(OR('R.M Billets Reports'!A836="Date-",'R.M Billets Reports'!A836="Date:-"),'R.M Billets Reports'!B836,IF(ROW()=2,"",B836))</f>
      </c>
      <c r="C837">
        <f>IF('R.M Billets Reports'!A836="V.No.",'R.M Billets Reports'!B836,IF(ROW()=2,"",C836))</f>
      </c>
      <c r="D837">
        <f>IF('R.M Billets Reports'!A836&lt;&gt;"",'R.M Billets Reports'!A836,IF(ROW()=2,"",D836))</f>
      </c>
      <c r="E837">
        <f>IF('R.M Billets Reports'!B836="","",TRIM('R.M Billets Reports'!B836))</f>
      </c>
      <c r="F837">
        <f>'R.M Billets Reports'!C836</f>
      </c>
      <c r="G837">
        <f>'R.M Billets Reports'!D836</f>
      </c>
      <c r="H837">
        <f>'R.M Billets Reports'!E836</f>
      </c>
      <c r="I837">
        <f>'R.M Billets Reports'!F836</f>
      </c>
      <c r="J837">
        <f>'R.M Billets Reports'!G836</f>
      </c>
      <c r="K837">
        <f>'R.M Billets Reports'!H836</f>
      </c>
      <c r="L837">
        <f>IF('R.M Billets Reports'!I836="","",'R.M Billets Reports'!I836)</f>
      </c>
      <c r="M837">
        <f t="shared" si="26"/>
      </c>
      <c r="N837">
        <f>IF('R.M Billets Reports'!J836="","",'R.M Billets Reports'!J836)</f>
      </c>
      <c r="O837">
        <f t="shared" si="27"/>
      </c>
      <c r="P837">
        <f>IF('R.M Billets Reports'!A836="SIZE",'R.M Billets Reports'!B836,P836)</f>
      </c>
    </row>
    <row r="838" spans="1:16" x14ac:dyDescent="0.25">
      <c r="A838">
        <f>IF(OR('R.M Billets Reports'!A837="Date-",'R.M Billets Reports'!A837="Date:-"),IF(IF(IF(ISNUMBER(SEARCH("Party Name:-",'R.M Billets Reports'!D837)),TRIM('R.M Billets Reports'!F837),IF(ISNUMBER(SEARCH("Party Name-",'R.M Billets Reports'!D837)),TRIM(MID('R.M Billets Reports'!D837,SEARCH("-",'R.M Billets Reports'!D837)+1,200)),""))&lt;&gt;"",IF(ISNUMBER(SEARCH("Party Name:-",'R.M Billets Reports'!D837)),TRIM('R.M Billets Reports'!F837),IF(ISNUMBER(SEARCH("Party Name-",'R.M Billets Reports'!D837)),TRIM(MID('R.M Billets Reports'!D837,SEARCH("-",'R.M Billets Reports'!D837)+1,200)),"")),IF(ISNUMBER(SEARCH("Party Name:-",'R.M Billets Reports'!D838)),TRIM('R.M Billets Reports'!F838),IF(ISNUMBER(SEARCH("Party Name-",'R.M Billets Reports'!D838)),TRIM(MID('R.M Billets Reports'!D838,SEARCH("-",'R.M Billets Reports'!D838)+1,200)),"")))="VRKP ISPAT PVT LTD","VRKP",IF(IF(IF(ISNUMBER(SEARCH("Party Name:-",'R.M Billets Reports'!D837)),TRIM('R.M Billets Reports'!F837),IF(ISNUMBER(SEARCH("Party Name-",'R.M Billets Reports'!D837)),TRIM(MID('R.M Billets Reports'!D837,SEARCH("-",'R.M Billets Reports'!D837)+1,200)),""))&lt;&gt;"",IF(ISNUMBER(SEARCH("Party Name:-",'R.M Billets Reports'!D837)),TRIM('R.M Billets Reports'!F837),IF(ISNUMBER(SEARCH("Party Name-",'R.M Billets Reports'!D837)),TRIM(MID('R.M Billets Reports'!D837,SEARCH("-",'R.M Billets Reports'!D837)+1,200)),"")),IF(ISNUMBER(SEARCH("Party Name:-",'R.M Billets Reports'!D838)),TRIM('R.M Billets Reports'!F838),IF(ISNUMBER(SEARCH("Party Name-",'R.M Billets Reports'!D838)),TRIM(MID('R.M Billets Reports'!D838,SEARCH("-",'R.M Billets Reports'!D838)+1,200)),"")))="SHRI RADHE","SHREE RADHE",IF(IF(IF(ISNUMBER(SEARCH("Party Name:-",'R.M Billets Reports'!D837)),TRIM('R.M Billets Reports'!F837),IF(ISNUMBER(SEARCH("Party Name-",'R.M Billets Reports'!D837)),TRIM(MID('R.M Billets Reports'!D837,SEARCH("-",'R.M Billets Reports'!D837)+1,200)),""))&lt;&gt;"",IF(ISNUMBER(SEARCH("Party Name:-",'R.M Billets Reports'!D837)),TRIM('R.M Billets Reports'!F837),IF(ISNUMBER(SEARCH("Party Name-",'R.M Billets Reports'!D837)),TRIM(MID('R.M Billets Reports'!D837,SEARCH("-",'R.M Billets Reports'!D837)+1,200)),"")),IF(ISNUMBER(SEARCH("Party Name:-",'R.M Billets Reports'!D838)),TRIM('R.M Billets Reports'!F838),IF(ISNUMBER(SEARCH("Party Name-",'R.M Billets Reports'!D838)),TRIM(MID('R.M Billets Reports'!D838,SEARCH("-",'R.M Billets Reports'!D838)+1,200)),"")))="SHREE RADHE SHAKTI SPONGE AND POWER PVT. LTD.","SHREE RADHE",IF(IF(ISNUMBER(SEARCH("Party Name:-",'R.M Billets Reports'!D837)),TRIM('R.M Billets Reports'!F837),IF(ISNUMBER(SEARCH("Party Name-",'R.M Billets Reports'!D837)),TRIM(MID('R.M Billets Reports'!D837,SEARCH("-",'R.M Billets Reports'!D837)+1,200)),""))&lt;&gt;"",IF(ISNUMBER(SEARCH("Party Name:-",'R.M Billets Reports'!D837)),TRIM('R.M Billets Reports'!F837),IF(ISNUMBER(SEARCH("Party Name-",'R.M Billets Reports'!D837)),TRIM(MID('R.M Billets Reports'!D837,SEARCH("-",'R.M Billets Reports'!D837)+1,200)),"")),IF(ISNUMBER(SEARCH("Party Name:-",'R.M Billets Reports'!D838)),TRIM('R.M Billets Reports'!F838),IF(ISNUMBER(SEARCH("Party Name-",'R.M Billets Reports'!D838)),TRIM(MID('R.M Billets Reports'!D838,SEARCH("-",'R.M Billets Reports'!D838)+1,200)),"")))))),IF(ROW()=2,"",A837))</f>
      </c>
      <c r="B838">
        <f>IF(OR('R.M Billets Reports'!A837="Date-",'R.M Billets Reports'!A837="Date:-"),'R.M Billets Reports'!B837,IF(ROW()=2,"",B837))</f>
      </c>
      <c r="C838">
        <f>IF('R.M Billets Reports'!A837="V.No.",'R.M Billets Reports'!B837,IF(ROW()=2,"",C837))</f>
      </c>
      <c r="D838">
        <f>IF('R.M Billets Reports'!A837&lt;&gt;"",'R.M Billets Reports'!A837,IF(ROW()=2,"",D837))</f>
      </c>
      <c r="E838">
        <f>IF('R.M Billets Reports'!B837="","",TRIM('R.M Billets Reports'!B837))</f>
      </c>
      <c r="F838">
        <f>'R.M Billets Reports'!C837</f>
      </c>
      <c r="G838">
        <f>'R.M Billets Reports'!D837</f>
      </c>
      <c r="H838">
        <f>'R.M Billets Reports'!E837</f>
      </c>
      <c r="I838">
        <f>'R.M Billets Reports'!F837</f>
      </c>
      <c r="J838">
        <f>'R.M Billets Reports'!G837</f>
      </c>
      <c r="K838">
        <f>'R.M Billets Reports'!H837</f>
      </c>
      <c r="L838">
        <f>IF('R.M Billets Reports'!I837="","",'R.M Billets Reports'!I837)</f>
      </c>
      <c r="M838">
        <f t="shared" si="26"/>
      </c>
      <c r="N838">
        <f>IF('R.M Billets Reports'!J837="","",'R.M Billets Reports'!J837)</f>
      </c>
      <c r="O838">
        <f t="shared" si="27"/>
      </c>
      <c r="P838">
        <f>IF('R.M Billets Reports'!A837="SIZE",'R.M Billets Reports'!B837,P837)</f>
      </c>
    </row>
    <row r="839" spans="1:16" x14ac:dyDescent="0.25">
      <c r="A839">
        <f>IF(OR('R.M Billets Reports'!A838="Date-",'R.M Billets Reports'!A838="Date:-"),IF(IF(IF(ISNUMBER(SEARCH("Party Name:-",'R.M Billets Reports'!D838)),TRIM('R.M Billets Reports'!F838),IF(ISNUMBER(SEARCH("Party Name-",'R.M Billets Reports'!D838)),TRIM(MID('R.M Billets Reports'!D838,SEARCH("-",'R.M Billets Reports'!D838)+1,200)),""))&lt;&gt;"",IF(ISNUMBER(SEARCH("Party Name:-",'R.M Billets Reports'!D838)),TRIM('R.M Billets Reports'!F838),IF(ISNUMBER(SEARCH("Party Name-",'R.M Billets Reports'!D838)),TRIM(MID('R.M Billets Reports'!D838,SEARCH("-",'R.M Billets Reports'!D838)+1,200)),"")),IF(ISNUMBER(SEARCH("Party Name:-",'R.M Billets Reports'!D839)),TRIM('R.M Billets Reports'!F839),IF(ISNUMBER(SEARCH("Party Name-",'R.M Billets Reports'!D839)),TRIM(MID('R.M Billets Reports'!D839,SEARCH("-",'R.M Billets Reports'!D839)+1,200)),"")))="VRKP ISPAT PVT LTD","VRKP",IF(IF(IF(ISNUMBER(SEARCH("Party Name:-",'R.M Billets Reports'!D838)),TRIM('R.M Billets Reports'!F838),IF(ISNUMBER(SEARCH("Party Name-",'R.M Billets Reports'!D838)),TRIM(MID('R.M Billets Reports'!D838,SEARCH("-",'R.M Billets Reports'!D838)+1,200)),""))&lt;&gt;"",IF(ISNUMBER(SEARCH("Party Name:-",'R.M Billets Reports'!D838)),TRIM('R.M Billets Reports'!F838),IF(ISNUMBER(SEARCH("Party Name-",'R.M Billets Reports'!D838)),TRIM(MID('R.M Billets Reports'!D838,SEARCH("-",'R.M Billets Reports'!D838)+1,200)),"")),IF(ISNUMBER(SEARCH("Party Name:-",'R.M Billets Reports'!D839)),TRIM('R.M Billets Reports'!F839),IF(ISNUMBER(SEARCH("Party Name-",'R.M Billets Reports'!D839)),TRIM(MID('R.M Billets Reports'!D839,SEARCH("-",'R.M Billets Reports'!D839)+1,200)),"")))="SHRI RADHE","SHREE RADHE",IF(IF(IF(ISNUMBER(SEARCH("Party Name:-",'R.M Billets Reports'!D838)),TRIM('R.M Billets Reports'!F838),IF(ISNUMBER(SEARCH("Party Name-",'R.M Billets Reports'!D838)),TRIM(MID('R.M Billets Reports'!D838,SEARCH("-",'R.M Billets Reports'!D838)+1,200)),""))&lt;&gt;"",IF(ISNUMBER(SEARCH("Party Name:-",'R.M Billets Reports'!D838)),TRIM('R.M Billets Reports'!F838),IF(ISNUMBER(SEARCH("Party Name-",'R.M Billets Reports'!D838)),TRIM(MID('R.M Billets Reports'!D838,SEARCH("-",'R.M Billets Reports'!D838)+1,200)),"")),IF(ISNUMBER(SEARCH("Party Name:-",'R.M Billets Reports'!D839)),TRIM('R.M Billets Reports'!F839),IF(ISNUMBER(SEARCH("Party Name-",'R.M Billets Reports'!D839)),TRIM(MID('R.M Billets Reports'!D839,SEARCH("-",'R.M Billets Reports'!D839)+1,200)),"")))="SHREE RADHE SHAKTI SPONGE AND POWER PVT. LTD.","SHREE RADHE",IF(IF(ISNUMBER(SEARCH("Party Name:-",'R.M Billets Reports'!D838)),TRIM('R.M Billets Reports'!F838),IF(ISNUMBER(SEARCH("Party Name-",'R.M Billets Reports'!D838)),TRIM(MID('R.M Billets Reports'!D838,SEARCH("-",'R.M Billets Reports'!D838)+1,200)),""))&lt;&gt;"",IF(ISNUMBER(SEARCH("Party Name:-",'R.M Billets Reports'!D838)),TRIM('R.M Billets Reports'!F838),IF(ISNUMBER(SEARCH("Party Name-",'R.M Billets Reports'!D838)),TRIM(MID('R.M Billets Reports'!D838,SEARCH("-",'R.M Billets Reports'!D838)+1,200)),"")),IF(ISNUMBER(SEARCH("Party Name:-",'R.M Billets Reports'!D839)),TRIM('R.M Billets Reports'!F839),IF(ISNUMBER(SEARCH("Party Name-",'R.M Billets Reports'!D839)),TRIM(MID('R.M Billets Reports'!D839,SEARCH("-",'R.M Billets Reports'!D839)+1,200)),"")))))),IF(ROW()=2,"",A838))</f>
      </c>
      <c r="B839">
        <f>IF(OR('R.M Billets Reports'!A838="Date-",'R.M Billets Reports'!A838="Date:-"),'R.M Billets Reports'!B838,IF(ROW()=2,"",B838))</f>
      </c>
      <c r="C839">
        <f>IF('R.M Billets Reports'!A838="V.No.",'R.M Billets Reports'!B838,IF(ROW()=2,"",C838))</f>
      </c>
      <c r="D839">
        <f>IF('R.M Billets Reports'!A838&lt;&gt;"",'R.M Billets Reports'!A838,IF(ROW()=2,"",D838))</f>
      </c>
      <c r="E839">
        <f>IF('R.M Billets Reports'!B838="","",TRIM('R.M Billets Reports'!B838))</f>
      </c>
      <c r="F839">
        <f>'R.M Billets Reports'!C838</f>
      </c>
      <c r="G839">
        <f>'R.M Billets Reports'!D838</f>
      </c>
      <c r="H839">
        <f>'R.M Billets Reports'!E838</f>
      </c>
      <c r="I839">
        <f>'R.M Billets Reports'!F838</f>
      </c>
      <c r="J839">
        <f>'R.M Billets Reports'!G838</f>
      </c>
      <c r="K839">
        <f>'R.M Billets Reports'!H838</f>
      </c>
      <c r="L839">
        <f>IF('R.M Billets Reports'!I838="","",'R.M Billets Reports'!I838)</f>
      </c>
      <c r="M839">
        <f t="shared" si="26"/>
      </c>
      <c r="N839">
        <f>IF('R.M Billets Reports'!J838="","",'R.M Billets Reports'!J838)</f>
      </c>
      <c r="O839">
        <f t="shared" si="27"/>
      </c>
      <c r="P839">
        <f>IF('R.M Billets Reports'!A838="SIZE",'R.M Billets Reports'!B838,P838)</f>
      </c>
    </row>
    <row r="840" spans="1:16" x14ac:dyDescent="0.25">
      <c r="A840">
        <f>IF(OR('R.M Billets Reports'!A839="Date-",'R.M Billets Reports'!A839="Date:-"),IF(IF(IF(ISNUMBER(SEARCH("Party Name:-",'R.M Billets Reports'!D839)),TRIM('R.M Billets Reports'!F839),IF(ISNUMBER(SEARCH("Party Name-",'R.M Billets Reports'!D839)),TRIM(MID('R.M Billets Reports'!D839,SEARCH("-",'R.M Billets Reports'!D839)+1,200)),""))&lt;&gt;"",IF(ISNUMBER(SEARCH("Party Name:-",'R.M Billets Reports'!D839)),TRIM('R.M Billets Reports'!F839),IF(ISNUMBER(SEARCH("Party Name-",'R.M Billets Reports'!D839)),TRIM(MID('R.M Billets Reports'!D839,SEARCH("-",'R.M Billets Reports'!D839)+1,200)),"")),IF(ISNUMBER(SEARCH("Party Name:-",'R.M Billets Reports'!D840)),TRIM('R.M Billets Reports'!F840),IF(ISNUMBER(SEARCH("Party Name-",'R.M Billets Reports'!D840)),TRIM(MID('R.M Billets Reports'!D840,SEARCH("-",'R.M Billets Reports'!D840)+1,200)),"")))="VRKP ISPAT PVT LTD","VRKP",IF(IF(IF(ISNUMBER(SEARCH("Party Name:-",'R.M Billets Reports'!D839)),TRIM('R.M Billets Reports'!F839),IF(ISNUMBER(SEARCH("Party Name-",'R.M Billets Reports'!D839)),TRIM(MID('R.M Billets Reports'!D839,SEARCH("-",'R.M Billets Reports'!D839)+1,200)),""))&lt;&gt;"",IF(ISNUMBER(SEARCH("Party Name:-",'R.M Billets Reports'!D839)),TRIM('R.M Billets Reports'!F839),IF(ISNUMBER(SEARCH("Party Name-",'R.M Billets Reports'!D839)),TRIM(MID('R.M Billets Reports'!D839,SEARCH("-",'R.M Billets Reports'!D839)+1,200)),"")),IF(ISNUMBER(SEARCH("Party Name:-",'R.M Billets Reports'!D840)),TRIM('R.M Billets Reports'!F840),IF(ISNUMBER(SEARCH("Party Name-",'R.M Billets Reports'!D840)),TRIM(MID('R.M Billets Reports'!D840,SEARCH("-",'R.M Billets Reports'!D840)+1,200)),"")))="SHRI RADHE","SHREE RADHE",IF(IF(IF(ISNUMBER(SEARCH("Party Name:-",'R.M Billets Reports'!D839)),TRIM('R.M Billets Reports'!F839),IF(ISNUMBER(SEARCH("Party Name-",'R.M Billets Reports'!D839)),TRIM(MID('R.M Billets Reports'!D839,SEARCH("-",'R.M Billets Reports'!D839)+1,200)),""))&lt;&gt;"",IF(ISNUMBER(SEARCH("Party Name:-",'R.M Billets Reports'!D839)),TRIM('R.M Billets Reports'!F839),IF(ISNUMBER(SEARCH("Party Name-",'R.M Billets Reports'!D839)),TRIM(MID('R.M Billets Reports'!D839,SEARCH("-",'R.M Billets Reports'!D839)+1,200)),"")),IF(ISNUMBER(SEARCH("Party Name:-",'R.M Billets Reports'!D840)),TRIM('R.M Billets Reports'!F840),IF(ISNUMBER(SEARCH("Party Name-",'R.M Billets Reports'!D840)),TRIM(MID('R.M Billets Reports'!D840,SEARCH("-",'R.M Billets Reports'!D840)+1,200)),"")))="SHREE RADHE SHAKTI SPONGE AND POWER PVT. LTD.","SHREE RADHE",IF(IF(ISNUMBER(SEARCH("Party Name:-",'R.M Billets Reports'!D839)),TRIM('R.M Billets Reports'!F839),IF(ISNUMBER(SEARCH("Party Name-",'R.M Billets Reports'!D839)),TRIM(MID('R.M Billets Reports'!D839,SEARCH("-",'R.M Billets Reports'!D839)+1,200)),""))&lt;&gt;"",IF(ISNUMBER(SEARCH("Party Name:-",'R.M Billets Reports'!D839)),TRIM('R.M Billets Reports'!F839),IF(ISNUMBER(SEARCH("Party Name-",'R.M Billets Reports'!D839)),TRIM(MID('R.M Billets Reports'!D839,SEARCH("-",'R.M Billets Reports'!D839)+1,200)),"")),IF(ISNUMBER(SEARCH("Party Name:-",'R.M Billets Reports'!D840)),TRIM('R.M Billets Reports'!F840),IF(ISNUMBER(SEARCH("Party Name-",'R.M Billets Reports'!D840)),TRIM(MID('R.M Billets Reports'!D840,SEARCH("-",'R.M Billets Reports'!D840)+1,200)),"")))))),IF(ROW()=2,"",A839))</f>
      </c>
      <c r="B840">
        <f>IF(OR('R.M Billets Reports'!A839="Date-",'R.M Billets Reports'!A839="Date:-"),'R.M Billets Reports'!B839,IF(ROW()=2,"",B839))</f>
      </c>
      <c r="C840">
        <f>IF('R.M Billets Reports'!A839="V.No.",'R.M Billets Reports'!B839,IF(ROW()=2,"",C839))</f>
      </c>
      <c r="D840">
        <f>IF('R.M Billets Reports'!A839&lt;&gt;"",'R.M Billets Reports'!A839,IF(ROW()=2,"",D839))</f>
      </c>
      <c r="E840">
        <f>IF('R.M Billets Reports'!B839="","",TRIM('R.M Billets Reports'!B839))</f>
      </c>
      <c r="F840">
        <f>'R.M Billets Reports'!C839</f>
      </c>
      <c r="G840">
        <f>'R.M Billets Reports'!D839</f>
      </c>
      <c r="H840">
        <f>'R.M Billets Reports'!E839</f>
      </c>
      <c r="I840">
        <f>'R.M Billets Reports'!F839</f>
      </c>
      <c r="J840">
        <f>'R.M Billets Reports'!G839</f>
      </c>
      <c r="K840">
        <f>'R.M Billets Reports'!H839</f>
      </c>
      <c r="L840">
        <f>IF('R.M Billets Reports'!I839="","",'R.M Billets Reports'!I839)</f>
      </c>
      <c r="M840">
        <f t="shared" si="26"/>
      </c>
      <c r="N840">
        <f>IF('R.M Billets Reports'!J839="","",'R.M Billets Reports'!J839)</f>
      </c>
      <c r="O840">
        <f t="shared" si="27"/>
      </c>
      <c r="P840">
        <f>IF('R.M Billets Reports'!A839="SIZE",'R.M Billets Reports'!B839,P839)</f>
      </c>
    </row>
    <row r="841" spans="1:16" x14ac:dyDescent="0.25">
      <c r="A841">
        <f>IF(OR('R.M Billets Reports'!A840="Date-",'R.M Billets Reports'!A840="Date:-"),IF(IF(IF(ISNUMBER(SEARCH("Party Name:-",'R.M Billets Reports'!D840)),TRIM('R.M Billets Reports'!F840),IF(ISNUMBER(SEARCH("Party Name-",'R.M Billets Reports'!D840)),TRIM(MID('R.M Billets Reports'!D840,SEARCH("-",'R.M Billets Reports'!D840)+1,200)),""))&lt;&gt;"",IF(ISNUMBER(SEARCH("Party Name:-",'R.M Billets Reports'!D840)),TRIM('R.M Billets Reports'!F840),IF(ISNUMBER(SEARCH("Party Name-",'R.M Billets Reports'!D840)),TRIM(MID('R.M Billets Reports'!D840,SEARCH("-",'R.M Billets Reports'!D840)+1,200)),"")),IF(ISNUMBER(SEARCH("Party Name:-",'R.M Billets Reports'!D841)),TRIM('R.M Billets Reports'!F841),IF(ISNUMBER(SEARCH("Party Name-",'R.M Billets Reports'!D841)),TRIM(MID('R.M Billets Reports'!D841,SEARCH("-",'R.M Billets Reports'!D841)+1,200)),"")))="VRKP ISPAT PVT LTD","VRKP",IF(IF(IF(ISNUMBER(SEARCH("Party Name:-",'R.M Billets Reports'!D840)),TRIM('R.M Billets Reports'!F840),IF(ISNUMBER(SEARCH("Party Name-",'R.M Billets Reports'!D840)),TRIM(MID('R.M Billets Reports'!D840,SEARCH("-",'R.M Billets Reports'!D840)+1,200)),""))&lt;&gt;"",IF(ISNUMBER(SEARCH("Party Name:-",'R.M Billets Reports'!D840)),TRIM('R.M Billets Reports'!F840),IF(ISNUMBER(SEARCH("Party Name-",'R.M Billets Reports'!D840)),TRIM(MID('R.M Billets Reports'!D840,SEARCH("-",'R.M Billets Reports'!D840)+1,200)),"")),IF(ISNUMBER(SEARCH("Party Name:-",'R.M Billets Reports'!D841)),TRIM('R.M Billets Reports'!F841),IF(ISNUMBER(SEARCH("Party Name-",'R.M Billets Reports'!D841)),TRIM(MID('R.M Billets Reports'!D841,SEARCH("-",'R.M Billets Reports'!D841)+1,200)),"")))="SHRI RADHE","SHREE RADHE",IF(IF(IF(ISNUMBER(SEARCH("Party Name:-",'R.M Billets Reports'!D840)),TRIM('R.M Billets Reports'!F840),IF(ISNUMBER(SEARCH("Party Name-",'R.M Billets Reports'!D840)),TRIM(MID('R.M Billets Reports'!D840,SEARCH("-",'R.M Billets Reports'!D840)+1,200)),""))&lt;&gt;"",IF(ISNUMBER(SEARCH("Party Name:-",'R.M Billets Reports'!D840)),TRIM('R.M Billets Reports'!F840),IF(ISNUMBER(SEARCH("Party Name-",'R.M Billets Reports'!D840)),TRIM(MID('R.M Billets Reports'!D840,SEARCH("-",'R.M Billets Reports'!D840)+1,200)),"")),IF(ISNUMBER(SEARCH("Party Name:-",'R.M Billets Reports'!D841)),TRIM('R.M Billets Reports'!F841),IF(ISNUMBER(SEARCH("Party Name-",'R.M Billets Reports'!D841)),TRIM(MID('R.M Billets Reports'!D841,SEARCH("-",'R.M Billets Reports'!D841)+1,200)),"")))="SHREE RADHE SHAKTI SPONGE AND POWER PVT. LTD.","SHREE RADHE",IF(IF(ISNUMBER(SEARCH("Party Name:-",'R.M Billets Reports'!D840)),TRIM('R.M Billets Reports'!F840),IF(ISNUMBER(SEARCH("Party Name-",'R.M Billets Reports'!D840)),TRIM(MID('R.M Billets Reports'!D840,SEARCH("-",'R.M Billets Reports'!D840)+1,200)),""))&lt;&gt;"",IF(ISNUMBER(SEARCH("Party Name:-",'R.M Billets Reports'!D840)),TRIM('R.M Billets Reports'!F840),IF(ISNUMBER(SEARCH("Party Name-",'R.M Billets Reports'!D840)),TRIM(MID('R.M Billets Reports'!D840,SEARCH("-",'R.M Billets Reports'!D840)+1,200)),"")),IF(ISNUMBER(SEARCH("Party Name:-",'R.M Billets Reports'!D841)),TRIM('R.M Billets Reports'!F841),IF(ISNUMBER(SEARCH("Party Name-",'R.M Billets Reports'!D841)),TRIM(MID('R.M Billets Reports'!D841,SEARCH("-",'R.M Billets Reports'!D841)+1,200)),"")))))),IF(ROW()=2,"",A840))</f>
      </c>
      <c r="B841">
        <f>IF(OR('R.M Billets Reports'!A840="Date-",'R.M Billets Reports'!A840="Date:-"),'R.M Billets Reports'!B840,IF(ROW()=2,"",B840))</f>
      </c>
      <c r="C841">
        <f>IF('R.M Billets Reports'!A840="V.No.",'R.M Billets Reports'!B840,IF(ROW()=2,"",C840))</f>
      </c>
      <c r="D841">
        <f>IF('R.M Billets Reports'!A840&lt;&gt;"",'R.M Billets Reports'!A840,IF(ROW()=2,"",D840))</f>
      </c>
      <c r="E841">
        <f>IF('R.M Billets Reports'!B840="","",TRIM('R.M Billets Reports'!B840))</f>
      </c>
      <c r="F841">
        <f>'R.M Billets Reports'!C840</f>
      </c>
      <c r="G841">
        <f>'R.M Billets Reports'!D840</f>
      </c>
      <c r="H841">
        <f>'R.M Billets Reports'!E840</f>
      </c>
      <c r="I841">
        <f>'R.M Billets Reports'!F840</f>
      </c>
      <c r="J841">
        <f>'R.M Billets Reports'!G840</f>
      </c>
      <c r="K841">
        <f>'R.M Billets Reports'!H840</f>
      </c>
      <c r="L841">
        <f>IF('R.M Billets Reports'!I840="","",'R.M Billets Reports'!I840)</f>
      </c>
      <c r="M841">
        <f t="shared" si="26"/>
      </c>
      <c r="N841">
        <f>IF('R.M Billets Reports'!J840="","",'R.M Billets Reports'!J840)</f>
      </c>
      <c r="O841">
        <f t="shared" si="27"/>
      </c>
      <c r="P841">
        <f>IF('R.M Billets Reports'!A840="SIZE",'R.M Billets Reports'!B840,P840)</f>
      </c>
    </row>
    <row r="842" spans="1:16" x14ac:dyDescent="0.25">
      <c r="A842">
        <f>IF(OR('R.M Billets Reports'!A841="Date-",'R.M Billets Reports'!A841="Date:-"),IF(IF(IF(ISNUMBER(SEARCH("Party Name:-",'R.M Billets Reports'!D841)),TRIM('R.M Billets Reports'!F841),IF(ISNUMBER(SEARCH("Party Name-",'R.M Billets Reports'!D841)),TRIM(MID('R.M Billets Reports'!D841,SEARCH("-",'R.M Billets Reports'!D841)+1,200)),""))&lt;&gt;"",IF(ISNUMBER(SEARCH("Party Name:-",'R.M Billets Reports'!D841)),TRIM('R.M Billets Reports'!F841),IF(ISNUMBER(SEARCH("Party Name-",'R.M Billets Reports'!D841)),TRIM(MID('R.M Billets Reports'!D841,SEARCH("-",'R.M Billets Reports'!D841)+1,200)),"")),IF(ISNUMBER(SEARCH("Party Name:-",'R.M Billets Reports'!D842)),TRIM('R.M Billets Reports'!F842),IF(ISNUMBER(SEARCH("Party Name-",'R.M Billets Reports'!D842)),TRIM(MID('R.M Billets Reports'!D842,SEARCH("-",'R.M Billets Reports'!D842)+1,200)),"")))="VRKP ISPAT PVT LTD","VRKP",IF(IF(IF(ISNUMBER(SEARCH("Party Name:-",'R.M Billets Reports'!D841)),TRIM('R.M Billets Reports'!F841),IF(ISNUMBER(SEARCH("Party Name-",'R.M Billets Reports'!D841)),TRIM(MID('R.M Billets Reports'!D841,SEARCH("-",'R.M Billets Reports'!D841)+1,200)),""))&lt;&gt;"",IF(ISNUMBER(SEARCH("Party Name:-",'R.M Billets Reports'!D841)),TRIM('R.M Billets Reports'!F841),IF(ISNUMBER(SEARCH("Party Name-",'R.M Billets Reports'!D841)),TRIM(MID('R.M Billets Reports'!D841,SEARCH("-",'R.M Billets Reports'!D841)+1,200)),"")),IF(ISNUMBER(SEARCH("Party Name:-",'R.M Billets Reports'!D842)),TRIM('R.M Billets Reports'!F842),IF(ISNUMBER(SEARCH("Party Name-",'R.M Billets Reports'!D842)),TRIM(MID('R.M Billets Reports'!D842,SEARCH("-",'R.M Billets Reports'!D842)+1,200)),"")))="SHRI RADHE","SHREE RADHE",IF(IF(IF(ISNUMBER(SEARCH("Party Name:-",'R.M Billets Reports'!D841)),TRIM('R.M Billets Reports'!F841),IF(ISNUMBER(SEARCH("Party Name-",'R.M Billets Reports'!D841)),TRIM(MID('R.M Billets Reports'!D841,SEARCH("-",'R.M Billets Reports'!D841)+1,200)),""))&lt;&gt;"",IF(ISNUMBER(SEARCH("Party Name:-",'R.M Billets Reports'!D841)),TRIM('R.M Billets Reports'!F841),IF(ISNUMBER(SEARCH("Party Name-",'R.M Billets Reports'!D841)),TRIM(MID('R.M Billets Reports'!D841,SEARCH("-",'R.M Billets Reports'!D841)+1,200)),"")),IF(ISNUMBER(SEARCH("Party Name:-",'R.M Billets Reports'!D842)),TRIM('R.M Billets Reports'!F842),IF(ISNUMBER(SEARCH("Party Name-",'R.M Billets Reports'!D842)),TRIM(MID('R.M Billets Reports'!D842,SEARCH("-",'R.M Billets Reports'!D842)+1,200)),"")))="SHREE RADHE SHAKTI SPONGE AND POWER PVT. LTD.","SHREE RADHE",IF(IF(ISNUMBER(SEARCH("Party Name:-",'R.M Billets Reports'!D841)),TRIM('R.M Billets Reports'!F841),IF(ISNUMBER(SEARCH("Party Name-",'R.M Billets Reports'!D841)),TRIM(MID('R.M Billets Reports'!D841,SEARCH("-",'R.M Billets Reports'!D841)+1,200)),""))&lt;&gt;"",IF(ISNUMBER(SEARCH("Party Name:-",'R.M Billets Reports'!D841)),TRIM('R.M Billets Reports'!F841),IF(ISNUMBER(SEARCH("Party Name-",'R.M Billets Reports'!D841)),TRIM(MID('R.M Billets Reports'!D841,SEARCH("-",'R.M Billets Reports'!D841)+1,200)),"")),IF(ISNUMBER(SEARCH("Party Name:-",'R.M Billets Reports'!D842)),TRIM('R.M Billets Reports'!F842),IF(ISNUMBER(SEARCH("Party Name-",'R.M Billets Reports'!D842)),TRIM(MID('R.M Billets Reports'!D842,SEARCH("-",'R.M Billets Reports'!D842)+1,200)),"")))))),IF(ROW()=2,"",A841))</f>
      </c>
      <c r="B842">
        <f>IF(OR('R.M Billets Reports'!A841="Date-",'R.M Billets Reports'!A841="Date:-"),'R.M Billets Reports'!B841,IF(ROW()=2,"",B841))</f>
      </c>
      <c r="C842">
        <f>IF('R.M Billets Reports'!A841="V.No.",'R.M Billets Reports'!B841,IF(ROW()=2,"",C841))</f>
      </c>
      <c r="D842">
        <f>IF('R.M Billets Reports'!A841&lt;&gt;"",'R.M Billets Reports'!A841,IF(ROW()=2,"",D841))</f>
      </c>
      <c r="E842">
        <f>IF('R.M Billets Reports'!B841="","",TRIM('R.M Billets Reports'!B841))</f>
      </c>
      <c r="F842">
        <f>'R.M Billets Reports'!C841</f>
      </c>
      <c r="G842">
        <f>'R.M Billets Reports'!D841</f>
      </c>
      <c r="H842">
        <f>'R.M Billets Reports'!E841</f>
      </c>
      <c r="I842">
        <f>'R.M Billets Reports'!F841</f>
      </c>
      <c r="J842">
        <f>'R.M Billets Reports'!G841</f>
      </c>
      <c r="K842">
        <f>'R.M Billets Reports'!H841</f>
      </c>
      <c r="L842">
        <f>IF('R.M Billets Reports'!I841="","",'R.M Billets Reports'!I841)</f>
      </c>
      <c r="M842">
        <f t="shared" si="26"/>
      </c>
      <c r="N842">
        <f>IF('R.M Billets Reports'!J841="","",'R.M Billets Reports'!J841)</f>
      </c>
      <c r="O842">
        <f t="shared" si="27"/>
      </c>
      <c r="P842">
        <f>IF('R.M Billets Reports'!A841="SIZE",'R.M Billets Reports'!B841,P841)</f>
      </c>
    </row>
    <row r="843" spans="1:16" x14ac:dyDescent="0.25">
      <c r="A843">
        <f>IF(OR('R.M Billets Reports'!A842="Date-",'R.M Billets Reports'!A842="Date:-"),IF(IF(IF(ISNUMBER(SEARCH("Party Name:-",'R.M Billets Reports'!D842)),TRIM('R.M Billets Reports'!F842),IF(ISNUMBER(SEARCH("Party Name-",'R.M Billets Reports'!D842)),TRIM(MID('R.M Billets Reports'!D842,SEARCH("-",'R.M Billets Reports'!D842)+1,200)),""))&lt;&gt;"",IF(ISNUMBER(SEARCH("Party Name:-",'R.M Billets Reports'!D842)),TRIM('R.M Billets Reports'!F842),IF(ISNUMBER(SEARCH("Party Name-",'R.M Billets Reports'!D842)),TRIM(MID('R.M Billets Reports'!D842,SEARCH("-",'R.M Billets Reports'!D842)+1,200)),"")),IF(ISNUMBER(SEARCH("Party Name:-",'R.M Billets Reports'!D843)),TRIM('R.M Billets Reports'!F843),IF(ISNUMBER(SEARCH("Party Name-",'R.M Billets Reports'!D843)),TRIM(MID('R.M Billets Reports'!D843,SEARCH("-",'R.M Billets Reports'!D843)+1,200)),"")))="VRKP ISPAT PVT LTD","VRKP",IF(IF(IF(ISNUMBER(SEARCH("Party Name:-",'R.M Billets Reports'!D842)),TRIM('R.M Billets Reports'!F842),IF(ISNUMBER(SEARCH("Party Name-",'R.M Billets Reports'!D842)),TRIM(MID('R.M Billets Reports'!D842,SEARCH("-",'R.M Billets Reports'!D842)+1,200)),""))&lt;&gt;"",IF(ISNUMBER(SEARCH("Party Name:-",'R.M Billets Reports'!D842)),TRIM('R.M Billets Reports'!F842),IF(ISNUMBER(SEARCH("Party Name-",'R.M Billets Reports'!D842)),TRIM(MID('R.M Billets Reports'!D842,SEARCH("-",'R.M Billets Reports'!D842)+1,200)),"")),IF(ISNUMBER(SEARCH("Party Name:-",'R.M Billets Reports'!D843)),TRIM('R.M Billets Reports'!F843),IF(ISNUMBER(SEARCH("Party Name-",'R.M Billets Reports'!D843)),TRIM(MID('R.M Billets Reports'!D843,SEARCH("-",'R.M Billets Reports'!D843)+1,200)),"")))="SHRI RADHE","SHREE RADHE",IF(IF(IF(ISNUMBER(SEARCH("Party Name:-",'R.M Billets Reports'!D842)),TRIM('R.M Billets Reports'!F842),IF(ISNUMBER(SEARCH("Party Name-",'R.M Billets Reports'!D842)),TRIM(MID('R.M Billets Reports'!D842,SEARCH("-",'R.M Billets Reports'!D842)+1,200)),""))&lt;&gt;"",IF(ISNUMBER(SEARCH("Party Name:-",'R.M Billets Reports'!D842)),TRIM('R.M Billets Reports'!F842),IF(ISNUMBER(SEARCH("Party Name-",'R.M Billets Reports'!D842)),TRIM(MID('R.M Billets Reports'!D842,SEARCH("-",'R.M Billets Reports'!D842)+1,200)),"")),IF(ISNUMBER(SEARCH("Party Name:-",'R.M Billets Reports'!D843)),TRIM('R.M Billets Reports'!F843),IF(ISNUMBER(SEARCH("Party Name-",'R.M Billets Reports'!D843)),TRIM(MID('R.M Billets Reports'!D843,SEARCH("-",'R.M Billets Reports'!D843)+1,200)),"")))="SHREE RADHE SHAKTI SPONGE AND POWER PVT. LTD.","SHREE RADHE",IF(IF(ISNUMBER(SEARCH("Party Name:-",'R.M Billets Reports'!D842)),TRIM('R.M Billets Reports'!F842),IF(ISNUMBER(SEARCH("Party Name-",'R.M Billets Reports'!D842)),TRIM(MID('R.M Billets Reports'!D842,SEARCH("-",'R.M Billets Reports'!D842)+1,200)),""))&lt;&gt;"",IF(ISNUMBER(SEARCH("Party Name:-",'R.M Billets Reports'!D842)),TRIM('R.M Billets Reports'!F842),IF(ISNUMBER(SEARCH("Party Name-",'R.M Billets Reports'!D842)),TRIM(MID('R.M Billets Reports'!D842,SEARCH("-",'R.M Billets Reports'!D842)+1,200)),"")),IF(ISNUMBER(SEARCH("Party Name:-",'R.M Billets Reports'!D843)),TRIM('R.M Billets Reports'!F843),IF(ISNUMBER(SEARCH("Party Name-",'R.M Billets Reports'!D843)),TRIM(MID('R.M Billets Reports'!D843,SEARCH("-",'R.M Billets Reports'!D843)+1,200)),"")))))),IF(ROW()=2,"",A842))</f>
      </c>
      <c r="B843">
        <f>IF(OR('R.M Billets Reports'!A842="Date-",'R.M Billets Reports'!A842="Date:-"),'R.M Billets Reports'!B842,IF(ROW()=2,"",B842))</f>
      </c>
      <c r="C843">
        <f>IF('R.M Billets Reports'!A842="V.No.",'R.M Billets Reports'!B842,IF(ROW()=2,"",C842))</f>
      </c>
      <c r="D843">
        <f>IF('R.M Billets Reports'!A842&lt;&gt;"",'R.M Billets Reports'!A842,IF(ROW()=2,"",D842))</f>
      </c>
      <c r="E843">
        <f>IF('R.M Billets Reports'!B842="","",TRIM('R.M Billets Reports'!B842))</f>
      </c>
      <c r="F843">
        <f>'R.M Billets Reports'!C842</f>
      </c>
      <c r="G843">
        <f>'R.M Billets Reports'!D842</f>
      </c>
      <c r="H843">
        <f>'R.M Billets Reports'!E842</f>
      </c>
      <c r="I843">
        <f>'R.M Billets Reports'!F842</f>
      </c>
      <c r="J843">
        <f>'R.M Billets Reports'!G842</f>
      </c>
      <c r="K843">
        <f>'R.M Billets Reports'!H842</f>
      </c>
      <c r="L843">
        <f>IF('R.M Billets Reports'!I842="","",'R.M Billets Reports'!I842)</f>
      </c>
      <c r="M843">
        <f t="shared" si="26"/>
      </c>
      <c r="N843">
        <f>IF('R.M Billets Reports'!J842="","",'R.M Billets Reports'!J842)</f>
      </c>
      <c r="O843">
        <f t="shared" si="27"/>
      </c>
      <c r="P843">
        <f>IF('R.M Billets Reports'!A842="SIZE",'R.M Billets Reports'!B842,P842)</f>
      </c>
    </row>
    <row r="844" spans="1:16" x14ac:dyDescent="0.25">
      <c r="A844">
        <f>IF(OR('R.M Billets Reports'!A843="Date-",'R.M Billets Reports'!A843="Date:-"),IF(IF(IF(ISNUMBER(SEARCH("Party Name:-",'R.M Billets Reports'!D843)),TRIM('R.M Billets Reports'!F843),IF(ISNUMBER(SEARCH("Party Name-",'R.M Billets Reports'!D843)),TRIM(MID('R.M Billets Reports'!D843,SEARCH("-",'R.M Billets Reports'!D843)+1,200)),""))&lt;&gt;"",IF(ISNUMBER(SEARCH("Party Name:-",'R.M Billets Reports'!D843)),TRIM('R.M Billets Reports'!F843),IF(ISNUMBER(SEARCH("Party Name-",'R.M Billets Reports'!D843)),TRIM(MID('R.M Billets Reports'!D843,SEARCH("-",'R.M Billets Reports'!D843)+1,200)),"")),IF(ISNUMBER(SEARCH("Party Name:-",'R.M Billets Reports'!D844)),TRIM('R.M Billets Reports'!F844),IF(ISNUMBER(SEARCH("Party Name-",'R.M Billets Reports'!D844)),TRIM(MID('R.M Billets Reports'!D844,SEARCH("-",'R.M Billets Reports'!D844)+1,200)),"")))="VRKP ISPAT PVT LTD","VRKP",IF(IF(IF(ISNUMBER(SEARCH("Party Name:-",'R.M Billets Reports'!D843)),TRIM('R.M Billets Reports'!F843),IF(ISNUMBER(SEARCH("Party Name-",'R.M Billets Reports'!D843)),TRIM(MID('R.M Billets Reports'!D843,SEARCH("-",'R.M Billets Reports'!D843)+1,200)),""))&lt;&gt;"",IF(ISNUMBER(SEARCH("Party Name:-",'R.M Billets Reports'!D843)),TRIM('R.M Billets Reports'!F843),IF(ISNUMBER(SEARCH("Party Name-",'R.M Billets Reports'!D843)),TRIM(MID('R.M Billets Reports'!D843,SEARCH("-",'R.M Billets Reports'!D843)+1,200)),"")),IF(ISNUMBER(SEARCH("Party Name:-",'R.M Billets Reports'!D844)),TRIM('R.M Billets Reports'!F844),IF(ISNUMBER(SEARCH("Party Name-",'R.M Billets Reports'!D844)),TRIM(MID('R.M Billets Reports'!D844,SEARCH("-",'R.M Billets Reports'!D844)+1,200)),"")))="SHRI RADHE","SHREE RADHE",IF(IF(IF(ISNUMBER(SEARCH("Party Name:-",'R.M Billets Reports'!D843)),TRIM('R.M Billets Reports'!F843),IF(ISNUMBER(SEARCH("Party Name-",'R.M Billets Reports'!D843)),TRIM(MID('R.M Billets Reports'!D843,SEARCH("-",'R.M Billets Reports'!D843)+1,200)),""))&lt;&gt;"",IF(ISNUMBER(SEARCH("Party Name:-",'R.M Billets Reports'!D843)),TRIM('R.M Billets Reports'!F843),IF(ISNUMBER(SEARCH("Party Name-",'R.M Billets Reports'!D843)),TRIM(MID('R.M Billets Reports'!D843,SEARCH("-",'R.M Billets Reports'!D843)+1,200)),"")),IF(ISNUMBER(SEARCH("Party Name:-",'R.M Billets Reports'!D844)),TRIM('R.M Billets Reports'!F844),IF(ISNUMBER(SEARCH("Party Name-",'R.M Billets Reports'!D844)),TRIM(MID('R.M Billets Reports'!D844,SEARCH("-",'R.M Billets Reports'!D844)+1,200)),"")))="SHREE RADHE SHAKTI SPONGE AND POWER PVT. LTD.","SHREE RADHE",IF(IF(ISNUMBER(SEARCH("Party Name:-",'R.M Billets Reports'!D843)),TRIM('R.M Billets Reports'!F843),IF(ISNUMBER(SEARCH("Party Name-",'R.M Billets Reports'!D843)),TRIM(MID('R.M Billets Reports'!D843,SEARCH("-",'R.M Billets Reports'!D843)+1,200)),""))&lt;&gt;"",IF(ISNUMBER(SEARCH("Party Name:-",'R.M Billets Reports'!D843)),TRIM('R.M Billets Reports'!F843),IF(ISNUMBER(SEARCH("Party Name-",'R.M Billets Reports'!D843)),TRIM(MID('R.M Billets Reports'!D843,SEARCH("-",'R.M Billets Reports'!D843)+1,200)),"")),IF(ISNUMBER(SEARCH("Party Name:-",'R.M Billets Reports'!D844)),TRIM('R.M Billets Reports'!F844),IF(ISNUMBER(SEARCH("Party Name-",'R.M Billets Reports'!D844)),TRIM(MID('R.M Billets Reports'!D844,SEARCH("-",'R.M Billets Reports'!D844)+1,200)),"")))))),IF(ROW()=2,"",A843))</f>
      </c>
      <c r="B844">
        <f>IF(OR('R.M Billets Reports'!A843="Date-",'R.M Billets Reports'!A843="Date:-"),'R.M Billets Reports'!B843,IF(ROW()=2,"",B843))</f>
      </c>
      <c r="C844">
        <f>IF('R.M Billets Reports'!A843="V.No.",'R.M Billets Reports'!B843,IF(ROW()=2,"",C843))</f>
      </c>
      <c r="D844">
        <f>IF('R.M Billets Reports'!A843&lt;&gt;"",'R.M Billets Reports'!A843,IF(ROW()=2,"",D843))</f>
      </c>
      <c r="E844">
        <f>IF('R.M Billets Reports'!B843="","",TRIM('R.M Billets Reports'!B843))</f>
      </c>
      <c r="F844">
        <f>'R.M Billets Reports'!C843</f>
      </c>
      <c r="G844">
        <f>'R.M Billets Reports'!D843</f>
      </c>
      <c r="H844">
        <f>'R.M Billets Reports'!E843</f>
      </c>
      <c r="I844">
        <f>'R.M Billets Reports'!F843</f>
      </c>
      <c r="J844">
        <f>'R.M Billets Reports'!G843</f>
      </c>
      <c r="K844">
        <f>'R.M Billets Reports'!H843</f>
      </c>
      <c r="L844">
        <f>IF('R.M Billets Reports'!I843="","",'R.M Billets Reports'!I843)</f>
      </c>
      <c r="M844">
        <f t="shared" si="26"/>
      </c>
      <c r="N844">
        <f>IF('R.M Billets Reports'!J843="","",'R.M Billets Reports'!J843)</f>
      </c>
      <c r="O844">
        <f t="shared" si="27"/>
      </c>
      <c r="P844">
        <f>IF('R.M Billets Reports'!A843="SIZE",'R.M Billets Reports'!B843,P843)</f>
      </c>
    </row>
    <row r="845" spans="1:16" x14ac:dyDescent="0.25">
      <c r="A845">
        <f>IF(OR('R.M Billets Reports'!A844="Date-",'R.M Billets Reports'!A844="Date:-"),IF(IF(IF(ISNUMBER(SEARCH("Party Name:-",'R.M Billets Reports'!D844)),TRIM('R.M Billets Reports'!F844),IF(ISNUMBER(SEARCH("Party Name-",'R.M Billets Reports'!D844)),TRIM(MID('R.M Billets Reports'!D844,SEARCH("-",'R.M Billets Reports'!D844)+1,200)),""))&lt;&gt;"",IF(ISNUMBER(SEARCH("Party Name:-",'R.M Billets Reports'!D844)),TRIM('R.M Billets Reports'!F844),IF(ISNUMBER(SEARCH("Party Name-",'R.M Billets Reports'!D844)),TRIM(MID('R.M Billets Reports'!D844,SEARCH("-",'R.M Billets Reports'!D844)+1,200)),"")),IF(ISNUMBER(SEARCH("Party Name:-",'R.M Billets Reports'!D845)),TRIM('R.M Billets Reports'!F845),IF(ISNUMBER(SEARCH("Party Name-",'R.M Billets Reports'!D845)),TRIM(MID('R.M Billets Reports'!D845,SEARCH("-",'R.M Billets Reports'!D845)+1,200)),"")))="VRKP ISPAT PVT LTD","VRKP",IF(IF(IF(ISNUMBER(SEARCH("Party Name:-",'R.M Billets Reports'!D844)),TRIM('R.M Billets Reports'!F844),IF(ISNUMBER(SEARCH("Party Name-",'R.M Billets Reports'!D844)),TRIM(MID('R.M Billets Reports'!D844,SEARCH("-",'R.M Billets Reports'!D844)+1,200)),""))&lt;&gt;"",IF(ISNUMBER(SEARCH("Party Name:-",'R.M Billets Reports'!D844)),TRIM('R.M Billets Reports'!F844),IF(ISNUMBER(SEARCH("Party Name-",'R.M Billets Reports'!D844)),TRIM(MID('R.M Billets Reports'!D844,SEARCH("-",'R.M Billets Reports'!D844)+1,200)),"")),IF(ISNUMBER(SEARCH("Party Name:-",'R.M Billets Reports'!D845)),TRIM('R.M Billets Reports'!F845),IF(ISNUMBER(SEARCH("Party Name-",'R.M Billets Reports'!D845)),TRIM(MID('R.M Billets Reports'!D845,SEARCH("-",'R.M Billets Reports'!D845)+1,200)),"")))="SHRI RADHE","SHREE RADHE",IF(IF(IF(ISNUMBER(SEARCH("Party Name:-",'R.M Billets Reports'!D844)),TRIM('R.M Billets Reports'!F844),IF(ISNUMBER(SEARCH("Party Name-",'R.M Billets Reports'!D844)),TRIM(MID('R.M Billets Reports'!D844,SEARCH("-",'R.M Billets Reports'!D844)+1,200)),""))&lt;&gt;"",IF(ISNUMBER(SEARCH("Party Name:-",'R.M Billets Reports'!D844)),TRIM('R.M Billets Reports'!F844),IF(ISNUMBER(SEARCH("Party Name-",'R.M Billets Reports'!D844)),TRIM(MID('R.M Billets Reports'!D844,SEARCH("-",'R.M Billets Reports'!D844)+1,200)),"")),IF(ISNUMBER(SEARCH("Party Name:-",'R.M Billets Reports'!D845)),TRIM('R.M Billets Reports'!F845),IF(ISNUMBER(SEARCH("Party Name-",'R.M Billets Reports'!D845)),TRIM(MID('R.M Billets Reports'!D845,SEARCH("-",'R.M Billets Reports'!D845)+1,200)),"")))="SHREE RADHE SHAKTI SPONGE AND POWER PVT. LTD.","SHREE RADHE",IF(IF(ISNUMBER(SEARCH("Party Name:-",'R.M Billets Reports'!D844)),TRIM('R.M Billets Reports'!F844),IF(ISNUMBER(SEARCH("Party Name-",'R.M Billets Reports'!D844)),TRIM(MID('R.M Billets Reports'!D844,SEARCH("-",'R.M Billets Reports'!D844)+1,200)),""))&lt;&gt;"",IF(ISNUMBER(SEARCH("Party Name:-",'R.M Billets Reports'!D844)),TRIM('R.M Billets Reports'!F844),IF(ISNUMBER(SEARCH("Party Name-",'R.M Billets Reports'!D844)),TRIM(MID('R.M Billets Reports'!D844,SEARCH("-",'R.M Billets Reports'!D844)+1,200)),"")),IF(ISNUMBER(SEARCH("Party Name:-",'R.M Billets Reports'!D845)),TRIM('R.M Billets Reports'!F845),IF(ISNUMBER(SEARCH("Party Name-",'R.M Billets Reports'!D845)),TRIM(MID('R.M Billets Reports'!D845,SEARCH("-",'R.M Billets Reports'!D845)+1,200)),"")))))),IF(ROW()=2,"",A844))</f>
      </c>
      <c r="B845">
        <f>IF(OR('R.M Billets Reports'!A844="Date-",'R.M Billets Reports'!A844="Date:-"),'R.M Billets Reports'!B844,IF(ROW()=2,"",B844))</f>
      </c>
      <c r="C845">
        <f>IF('R.M Billets Reports'!A844="V.No.",'R.M Billets Reports'!B844,IF(ROW()=2,"",C844))</f>
      </c>
      <c r="D845">
        <f>IF('R.M Billets Reports'!A844&lt;&gt;"",'R.M Billets Reports'!A844,IF(ROW()=2,"",D844))</f>
      </c>
      <c r="E845">
        <f>IF('R.M Billets Reports'!B844="","",TRIM('R.M Billets Reports'!B844))</f>
      </c>
      <c r="F845">
        <f>'R.M Billets Reports'!C844</f>
      </c>
      <c r="G845">
        <f>'R.M Billets Reports'!D844</f>
      </c>
      <c r="H845">
        <f>'R.M Billets Reports'!E844</f>
      </c>
      <c r="I845">
        <f>'R.M Billets Reports'!F844</f>
      </c>
      <c r="J845">
        <f>'R.M Billets Reports'!G844</f>
      </c>
      <c r="K845">
        <f>'R.M Billets Reports'!H844</f>
      </c>
      <c r="L845">
        <f>IF('R.M Billets Reports'!I844="","",'R.M Billets Reports'!I844)</f>
      </c>
      <c r="M845">
        <f t="shared" si="26"/>
      </c>
      <c r="N845">
        <f>IF('R.M Billets Reports'!J844="","",'R.M Billets Reports'!J844)</f>
      </c>
      <c r="O845">
        <f t="shared" si="27"/>
      </c>
      <c r="P845">
        <f>IF('R.M Billets Reports'!A844="SIZE",'R.M Billets Reports'!B844,P844)</f>
      </c>
    </row>
    <row r="846" spans="1:16" x14ac:dyDescent="0.25">
      <c r="A846">
        <f>IF(OR('R.M Billets Reports'!A845="Date-",'R.M Billets Reports'!A845="Date:-"),IF(IF(IF(ISNUMBER(SEARCH("Party Name:-",'R.M Billets Reports'!D845)),TRIM('R.M Billets Reports'!F845),IF(ISNUMBER(SEARCH("Party Name-",'R.M Billets Reports'!D845)),TRIM(MID('R.M Billets Reports'!D845,SEARCH("-",'R.M Billets Reports'!D845)+1,200)),""))&lt;&gt;"",IF(ISNUMBER(SEARCH("Party Name:-",'R.M Billets Reports'!D845)),TRIM('R.M Billets Reports'!F845),IF(ISNUMBER(SEARCH("Party Name-",'R.M Billets Reports'!D845)),TRIM(MID('R.M Billets Reports'!D845,SEARCH("-",'R.M Billets Reports'!D845)+1,200)),"")),IF(ISNUMBER(SEARCH("Party Name:-",'R.M Billets Reports'!D846)),TRIM('R.M Billets Reports'!F846),IF(ISNUMBER(SEARCH("Party Name-",'R.M Billets Reports'!D846)),TRIM(MID('R.M Billets Reports'!D846,SEARCH("-",'R.M Billets Reports'!D846)+1,200)),"")))="VRKP ISPAT PVT LTD","VRKP",IF(IF(IF(ISNUMBER(SEARCH("Party Name:-",'R.M Billets Reports'!D845)),TRIM('R.M Billets Reports'!F845),IF(ISNUMBER(SEARCH("Party Name-",'R.M Billets Reports'!D845)),TRIM(MID('R.M Billets Reports'!D845,SEARCH("-",'R.M Billets Reports'!D845)+1,200)),""))&lt;&gt;"",IF(ISNUMBER(SEARCH("Party Name:-",'R.M Billets Reports'!D845)),TRIM('R.M Billets Reports'!F845),IF(ISNUMBER(SEARCH("Party Name-",'R.M Billets Reports'!D845)),TRIM(MID('R.M Billets Reports'!D845,SEARCH("-",'R.M Billets Reports'!D845)+1,200)),"")),IF(ISNUMBER(SEARCH("Party Name:-",'R.M Billets Reports'!D846)),TRIM('R.M Billets Reports'!F846),IF(ISNUMBER(SEARCH("Party Name-",'R.M Billets Reports'!D846)),TRIM(MID('R.M Billets Reports'!D846,SEARCH("-",'R.M Billets Reports'!D846)+1,200)),"")))="SHRI RADHE","SHREE RADHE",IF(IF(IF(ISNUMBER(SEARCH("Party Name:-",'R.M Billets Reports'!D845)),TRIM('R.M Billets Reports'!F845),IF(ISNUMBER(SEARCH("Party Name-",'R.M Billets Reports'!D845)),TRIM(MID('R.M Billets Reports'!D845,SEARCH("-",'R.M Billets Reports'!D845)+1,200)),""))&lt;&gt;"",IF(ISNUMBER(SEARCH("Party Name:-",'R.M Billets Reports'!D845)),TRIM('R.M Billets Reports'!F845),IF(ISNUMBER(SEARCH("Party Name-",'R.M Billets Reports'!D845)),TRIM(MID('R.M Billets Reports'!D845,SEARCH("-",'R.M Billets Reports'!D845)+1,200)),"")),IF(ISNUMBER(SEARCH("Party Name:-",'R.M Billets Reports'!D846)),TRIM('R.M Billets Reports'!F846),IF(ISNUMBER(SEARCH("Party Name-",'R.M Billets Reports'!D846)),TRIM(MID('R.M Billets Reports'!D846,SEARCH("-",'R.M Billets Reports'!D846)+1,200)),"")))="SHREE RADHE SHAKTI SPONGE AND POWER PVT. LTD.","SHREE RADHE",IF(IF(ISNUMBER(SEARCH("Party Name:-",'R.M Billets Reports'!D845)),TRIM('R.M Billets Reports'!F845),IF(ISNUMBER(SEARCH("Party Name-",'R.M Billets Reports'!D845)),TRIM(MID('R.M Billets Reports'!D845,SEARCH("-",'R.M Billets Reports'!D845)+1,200)),""))&lt;&gt;"",IF(ISNUMBER(SEARCH("Party Name:-",'R.M Billets Reports'!D845)),TRIM('R.M Billets Reports'!F845),IF(ISNUMBER(SEARCH("Party Name-",'R.M Billets Reports'!D845)),TRIM(MID('R.M Billets Reports'!D845,SEARCH("-",'R.M Billets Reports'!D845)+1,200)),"")),IF(ISNUMBER(SEARCH("Party Name:-",'R.M Billets Reports'!D846)),TRIM('R.M Billets Reports'!F846),IF(ISNUMBER(SEARCH("Party Name-",'R.M Billets Reports'!D846)),TRIM(MID('R.M Billets Reports'!D846,SEARCH("-",'R.M Billets Reports'!D846)+1,200)),"")))))),IF(ROW()=2,"",A845))</f>
      </c>
      <c r="B846">
        <f>IF(OR('R.M Billets Reports'!A845="Date-",'R.M Billets Reports'!A845="Date:-"),'R.M Billets Reports'!B845,IF(ROW()=2,"",B845))</f>
      </c>
      <c r="C846">
        <f>IF('R.M Billets Reports'!A845="V.No.",'R.M Billets Reports'!B845,IF(ROW()=2,"",C845))</f>
      </c>
      <c r="D846">
        <f>IF('R.M Billets Reports'!A845&lt;&gt;"",'R.M Billets Reports'!A845,IF(ROW()=2,"",D845))</f>
      </c>
      <c r="E846">
        <f>IF('R.M Billets Reports'!B845="","",TRIM('R.M Billets Reports'!B845))</f>
      </c>
      <c r="F846">
        <f>'R.M Billets Reports'!C845</f>
      </c>
      <c r="G846">
        <f>'R.M Billets Reports'!D845</f>
      </c>
      <c r="H846">
        <f>'R.M Billets Reports'!E845</f>
      </c>
      <c r="I846">
        <f>'R.M Billets Reports'!F845</f>
      </c>
      <c r="J846">
        <f>'R.M Billets Reports'!G845</f>
      </c>
      <c r="K846">
        <f>'R.M Billets Reports'!H845</f>
      </c>
      <c r="L846">
        <f>IF('R.M Billets Reports'!I845="","",'R.M Billets Reports'!I845)</f>
      </c>
      <c r="M846">
        <f t="shared" si="26"/>
      </c>
      <c r="N846">
        <f>IF('R.M Billets Reports'!J845="","",'R.M Billets Reports'!J845)</f>
      </c>
      <c r="O846">
        <f t="shared" si="27"/>
      </c>
      <c r="P846">
        <f>IF('R.M Billets Reports'!A845="SIZE",'R.M Billets Reports'!B845,P845)</f>
      </c>
    </row>
    <row r="847" spans="1:16" x14ac:dyDescent="0.25">
      <c r="A847">
        <f>IF(OR('R.M Billets Reports'!A846="Date-",'R.M Billets Reports'!A846="Date:-"),IF(IF(IF(ISNUMBER(SEARCH("Party Name:-",'R.M Billets Reports'!D846)),TRIM('R.M Billets Reports'!F846),IF(ISNUMBER(SEARCH("Party Name-",'R.M Billets Reports'!D846)),TRIM(MID('R.M Billets Reports'!D846,SEARCH("-",'R.M Billets Reports'!D846)+1,200)),""))&lt;&gt;"",IF(ISNUMBER(SEARCH("Party Name:-",'R.M Billets Reports'!D846)),TRIM('R.M Billets Reports'!F846),IF(ISNUMBER(SEARCH("Party Name-",'R.M Billets Reports'!D846)),TRIM(MID('R.M Billets Reports'!D846,SEARCH("-",'R.M Billets Reports'!D846)+1,200)),"")),IF(ISNUMBER(SEARCH("Party Name:-",'R.M Billets Reports'!D847)),TRIM('R.M Billets Reports'!F847),IF(ISNUMBER(SEARCH("Party Name-",'R.M Billets Reports'!D847)),TRIM(MID('R.M Billets Reports'!D847,SEARCH("-",'R.M Billets Reports'!D847)+1,200)),"")))="VRKP ISPAT PVT LTD","VRKP",IF(IF(IF(ISNUMBER(SEARCH("Party Name:-",'R.M Billets Reports'!D846)),TRIM('R.M Billets Reports'!F846),IF(ISNUMBER(SEARCH("Party Name-",'R.M Billets Reports'!D846)),TRIM(MID('R.M Billets Reports'!D846,SEARCH("-",'R.M Billets Reports'!D846)+1,200)),""))&lt;&gt;"",IF(ISNUMBER(SEARCH("Party Name:-",'R.M Billets Reports'!D846)),TRIM('R.M Billets Reports'!F846),IF(ISNUMBER(SEARCH("Party Name-",'R.M Billets Reports'!D846)),TRIM(MID('R.M Billets Reports'!D846,SEARCH("-",'R.M Billets Reports'!D846)+1,200)),"")),IF(ISNUMBER(SEARCH("Party Name:-",'R.M Billets Reports'!D847)),TRIM('R.M Billets Reports'!F847),IF(ISNUMBER(SEARCH("Party Name-",'R.M Billets Reports'!D847)),TRIM(MID('R.M Billets Reports'!D847,SEARCH("-",'R.M Billets Reports'!D847)+1,200)),"")))="SHRI RADHE","SHREE RADHE",IF(IF(IF(ISNUMBER(SEARCH("Party Name:-",'R.M Billets Reports'!D846)),TRIM('R.M Billets Reports'!F846),IF(ISNUMBER(SEARCH("Party Name-",'R.M Billets Reports'!D846)),TRIM(MID('R.M Billets Reports'!D846,SEARCH("-",'R.M Billets Reports'!D846)+1,200)),""))&lt;&gt;"",IF(ISNUMBER(SEARCH("Party Name:-",'R.M Billets Reports'!D846)),TRIM('R.M Billets Reports'!F846),IF(ISNUMBER(SEARCH("Party Name-",'R.M Billets Reports'!D846)),TRIM(MID('R.M Billets Reports'!D846,SEARCH("-",'R.M Billets Reports'!D846)+1,200)),"")),IF(ISNUMBER(SEARCH("Party Name:-",'R.M Billets Reports'!D847)),TRIM('R.M Billets Reports'!F847),IF(ISNUMBER(SEARCH("Party Name-",'R.M Billets Reports'!D847)),TRIM(MID('R.M Billets Reports'!D847,SEARCH("-",'R.M Billets Reports'!D847)+1,200)),"")))="SHREE RADHE SHAKTI SPONGE AND POWER PVT. LTD.","SHREE RADHE",IF(IF(ISNUMBER(SEARCH("Party Name:-",'R.M Billets Reports'!D846)),TRIM('R.M Billets Reports'!F846),IF(ISNUMBER(SEARCH("Party Name-",'R.M Billets Reports'!D846)),TRIM(MID('R.M Billets Reports'!D846,SEARCH("-",'R.M Billets Reports'!D846)+1,200)),""))&lt;&gt;"",IF(ISNUMBER(SEARCH("Party Name:-",'R.M Billets Reports'!D846)),TRIM('R.M Billets Reports'!F846),IF(ISNUMBER(SEARCH("Party Name-",'R.M Billets Reports'!D846)),TRIM(MID('R.M Billets Reports'!D846,SEARCH("-",'R.M Billets Reports'!D846)+1,200)),"")),IF(ISNUMBER(SEARCH("Party Name:-",'R.M Billets Reports'!D847)),TRIM('R.M Billets Reports'!F847),IF(ISNUMBER(SEARCH("Party Name-",'R.M Billets Reports'!D847)),TRIM(MID('R.M Billets Reports'!D847,SEARCH("-",'R.M Billets Reports'!D847)+1,200)),"")))))),IF(ROW()=2,"",A846))</f>
      </c>
      <c r="B847">
        <f>IF(OR('R.M Billets Reports'!A846="Date-",'R.M Billets Reports'!A846="Date:-"),'R.M Billets Reports'!B846,IF(ROW()=2,"",B846))</f>
      </c>
      <c r="C847">
        <f>IF('R.M Billets Reports'!A846="V.No.",'R.M Billets Reports'!B846,IF(ROW()=2,"",C846))</f>
      </c>
      <c r="D847">
        <f>IF('R.M Billets Reports'!A846&lt;&gt;"",'R.M Billets Reports'!A846,IF(ROW()=2,"",D846))</f>
      </c>
      <c r="E847">
        <f>IF('R.M Billets Reports'!B846="","",TRIM('R.M Billets Reports'!B846))</f>
      </c>
      <c r="F847">
        <f>'R.M Billets Reports'!C846</f>
      </c>
      <c r="G847">
        <f>'R.M Billets Reports'!D846</f>
      </c>
      <c r="H847">
        <f>'R.M Billets Reports'!E846</f>
      </c>
      <c r="I847">
        <f>'R.M Billets Reports'!F846</f>
      </c>
      <c r="J847">
        <f>'R.M Billets Reports'!G846</f>
      </c>
      <c r="K847">
        <f>'R.M Billets Reports'!H846</f>
      </c>
      <c r="L847">
        <f>IF('R.M Billets Reports'!I846="","",'R.M Billets Reports'!I846)</f>
      </c>
      <c r="M847">
        <f t="shared" si="26"/>
      </c>
      <c r="N847">
        <f>IF('R.M Billets Reports'!J846="","",'R.M Billets Reports'!J846)</f>
      </c>
      <c r="O847">
        <f t="shared" si="27"/>
      </c>
      <c r="P847">
        <f>IF('R.M Billets Reports'!A846="SIZE",'R.M Billets Reports'!B846,P846)</f>
      </c>
    </row>
    <row r="848" spans="1:16" x14ac:dyDescent="0.25">
      <c r="A848">
        <f>IF(OR('R.M Billets Reports'!A847="Date-",'R.M Billets Reports'!A847="Date:-"),IF(IF(IF(ISNUMBER(SEARCH("Party Name:-",'R.M Billets Reports'!D847)),TRIM('R.M Billets Reports'!F847),IF(ISNUMBER(SEARCH("Party Name-",'R.M Billets Reports'!D847)),TRIM(MID('R.M Billets Reports'!D847,SEARCH("-",'R.M Billets Reports'!D847)+1,200)),""))&lt;&gt;"",IF(ISNUMBER(SEARCH("Party Name:-",'R.M Billets Reports'!D847)),TRIM('R.M Billets Reports'!F847),IF(ISNUMBER(SEARCH("Party Name-",'R.M Billets Reports'!D847)),TRIM(MID('R.M Billets Reports'!D847,SEARCH("-",'R.M Billets Reports'!D847)+1,200)),"")),IF(ISNUMBER(SEARCH("Party Name:-",'R.M Billets Reports'!D848)),TRIM('R.M Billets Reports'!F848),IF(ISNUMBER(SEARCH("Party Name-",'R.M Billets Reports'!D848)),TRIM(MID('R.M Billets Reports'!D848,SEARCH("-",'R.M Billets Reports'!D848)+1,200)),"")))="VRKP ISPAT PVT LTD","VRKP",IF(IF(IF(ISNUMBER(SEARCH("Party Name:-",'R.M Billets Reports'!D847)),TRIM('R.M Billets Reports'!F847),IF(ISNUMBER(SEARCH("Party Name-",'R.M Billets Reports'!D847)),TRIM(MID('R.M Billets Reports'!D847,SEARCH("-",'R.M Billets Reports'!D847)+1,200)),""))&lt;&gt;"",IF(ISNUMBER(SEARCH("Party Name:-",'R.M Billets Reports'!D847)),TRIM('R.M Billets Reports'!F847),IF(ISNUMBER(SEARCH("Party Name-",'R.M Billets Reports'!D847)),TRIM(MID('R.M Billets Reports'!D847,SEARCH("-",'R.M Billets Reports'!D847)+1,200)),"")),IF(ISNUMBER(SEARCH("Party Name:-",'R.M Billets Reports'!D848)),TRIM('R.M Billets Reports'!F848),IF(ISNUMBER(SEARCH("Party Name-",'R.M Billets Reports'!D848)),TRIM(MID('R.M Billets Reports'!D848,SEARCH("-",'R.M Billets Reports'!D848)+1,200)),"")))="SHRI RADHE","SHREE RADHE",IF(IF(IF(ISNUMBER(SEARCH("Party Name:-",'R.M Billets Reports'!D847)),TRIM('R.M Billets Reports'!F847),IF(ISNUMBER(SEARCH("Party Name-",'R.M Billets Reports'!D847)),TRIM(MID('R.M Billets Reports'!D847,SEARCH("-",'R.M Billets Reports'!D847)+1,200)),""))&lt;&gt;"",IF(ISNUMBER(SEARCH("Party Name:-",'R.M Billets Reports'!D847)),TRIM('R.M Billets Reports'!F847),IF(ISNUMBER(SEARCH("Party Name-",'R.M Billets Reports'!D847)),TRIM(MID('R.M Billets Reports'!D847,SEARCH("-",'R.M Billets Reports'!D847)+1,200)),"")),IF(ISNUMBER(SEARCH("Party Name:-",'R.M Billets Reports'!D848)),TRIM('R.M Billets Reports'!F848),IF(ISNUMBER(SEARCH("Party Name-",'R.M Billets Reports'!D848)),TRIM(MID('R.M Billets Reports'!D848,SEARCH("-",'R.M Billets Reports'!D848)+1,200)),"")))="SHREE RADHE SHAKTI SPONGE AND POWER PVT. LTD.","SHREE RADHE",IF(IF(ISNUMBER(SEARCH("Party Name:-",'R.M Billets Reports'!D847)),TRIM('R.M Billets Reports'!F847),IF(ISNUMBER(SEARCH("Party Name-",'R.M Billets Reports'!D847)),TRIM(MID('R.M Billets Reports'!D847,SEARCH("-",'R.M Billets Reports'!D847)+1,200)),""))&lt;&gt;"",IF(ISNUMBER(SEARCH("Party Name:-",'R.M Billets Reports'!D847)),TRIM('R.M Billets Reports'!F847),IF(ISNUMBER(SEARCH("Party Name-",'R.M Billets Reports'!D847)),TRIM(MID('R.M Billets Reports'!D847,SEARCH("-",'R.M Billets Reports'!D847)+1,200)),"")),IF(ISNUMBER(SEARCH("Party Name:-",'R.M Billets Reports'!D848)),TRIM('R.M Billets Reports'!F848),IF(ISNUMBER(SEARCH("Party Name-",'R.M Billets Reports'!D848)),TRIM(MID('R.M Billets Reports'!D848,SEARCH("-",'R.M Billets Reports'!D848)+1,200)),"")))))),IF(ROW()=2,"",A847))</f>
      </c>
      <c r="B848">
        <f>IF(OR('R.M Billets Reports'!A847="Date-",'R.M Billets Reports'!A847="Date:-"),'R.M Billets Reports'!B847,IF(ROW()=2,"",B847))</f>
      </c>
      <c r="C848">
        <f>IF('R.M Billets Reports'!A847="V.No.",'R.M Billets Reports'!B847,IF(ROW()=2,"",C847))</f>
      </c>
      <c r="D848">
        <f>IF('R.M Billets Reports'!A847&lt;&gt;"",'R.M Billets Reports'!A847,IF(ROW()=2,"",D847))</f>
      </c>
      <c r="E848">
        <f>IF('R.M Billets Reports'!B847="","",TRIM('R.M Billets Reports'!B847))</f>
      </c>
      <c r="F848">
        <f>'R.M Billets Reports'!C847</f>
      </c>
      <c r="G848">
        <f>'R.M Billets Reports'!D847</f>
      </c>
      <c r="H848">
        <f>'R.M Billets Reports'!E847</f>
      </c>
      <c r="I848">
        <f>'R.M Billets Reports'!F847</f>
      </c>
      <c r="J848">
        <f>'R.M Billets Reports'!G847</f>
      </c>
      <c r="K848">
        <f>'R.M Billets Reports'!H847</f>
      </c>
      <c r="L848">
        <f>IF('R.M Billets Reports'!I847="","",'R.M Billets Reports'!I847)</f>
      </c>
      <c r="M848">
        <f t="shared" si="26"/>
      </c>
      <c r="N848">
        <f>IF('R.M Billets Reports'!J847="","",'R.M Billets Reports'!J847)</f>
      </c>
      <c r="O848">
        <f t="shared" si="27"/>
      </c>
      <c r="P848">
        <f>IF('R.M Billets Reports'!A847="SIZE",'R.M Billets Reports'!B847,P847)</f>
      </c>
    </row>
    <row r="849" spans="1:16" x14ac:dyDescent="0.25">
      <c r="A849">
        <f>IF(OR('R.M Billets Reports'!A848="Date-",'R.M Billets Reports'!A848="Date:-"),IF(IF(IF(ISNUMBER(SEARCH("Party Name:-",'R.M Billets Reports'!D848)),TRIM('R.M Billets Reports'!F848),IF(ISNUMBER(SEARCH("Party Name-",'R.M Billets Reports'!D848)),TRIM(MID('R.M Billets Reports'!D848,SEARCH("-",'R.M Billets Reports'!D848)+1,200)),""))&lt;&gt;"",IF(ISNUMBER(SEARCH("Party Name:-",'R.M Billets Reports'!D848)),TRIM('R.M Billets Reports'!F848),IF(ISNUMBER(SEARCH("Party Name-",'R.M Billets Reports'!D848)),TRIM(MID('R.M Billets Reports'!D848,SEARCH("-",'R.M Billets Reports'!D848)+1,200)),"")),IF(ISNUMBER(SEARCH("Party Name:-",'R.M Billets Reports'!D849)),TRIM('R.M Billets Reports'!F849),IF(ISNUMBER(SEARCH("Party Name-",'R.M Billets Reports'!D849)),TRIM(MID('R.M Billets Reports'!D849,SEARCH("-",'R.M Billets Reports'!D849)+1,200)),"")))="VRKP ISPAT PVT LTD","VRKP",IF(IF(IF(ISNUMBER(SEARCH("Party Name:-",'R.M Billets Reports'!D848)),TRIM('R.M Billets Reports'!F848),IF(ISNUMBER(SEARCH("Party Name-",'R.M Billets Reports'!D848)),TRIM(MID('R.M Billets Reports'!D848,SEARCH("-",'R.M Billets Reports'!D848)+1,200)),""))&lt;&gt;"",IF(ISNUMBER(SEARCH("Party Name:-",'R.M Billets Reports'!D848)),TRIM('R.M Billets Reports'!F848),IF(ISNUMBER(SEARCH("Party Name-",'R.M Billets Reports'!D848)),TRIM(MID('R.M Billets Reports'!D848,SEARCH("-",'R.M Billets Reports'!D848)+1,200)),"")),IF(ISNUMBER(SEARCH("Party Name:-",'R.M Billets Reports'!D849)),TRIM('R.M Billets Reports'!F849),IF(ISNUMBER(SEARCH("Party Name-",'R.M Billets Reports'!D849)),TRIM(MID('R.M Billets Reports'!D849,SEARCH("-",'R.M Billets Reports'!D849)+1,200)),"")))="SHRI RADHE","SHREE RADHE",IF(IF(IF(ISNUMBER(SEARCH("Party Name:-",'R.M Billets Reports'!D848)),TRIM('R.M Billets Reports'!F848),IF(ISNUMBER(SEARCH("Party Name-",'R.M Billets Reports'!D848)),TRIM(MID('R.M Billets Reports'!D848,SEARCH("-",'R.M Billets Reports'!D848)+1,200)),""))&lt;&gt;"",IF(ISNUMBER(SEARCH("Party Name:-",'R.M Billets Reports'!D848)),TRIM('R.M Billets Reports'!F848),IF(ISNUMBER(SEARCH("Party Name-",'R.M Billets Reports'!D848)),TRIM(MID('R.M Billets Reports'!D848,SEARCH("-",'R.M Billets Reports'!D848)+1,200)),"")),IF(ISNUMBER(SEARCH("Party Name:-",'R.M Billets Reports'!D849)),TRIM('R.M Billets Reports'!F849),IF(ISNUMBER(SEARCH("Party Name-",'R.M Billets Reports'!D849)),TRIM(MID('R.M Billets Reports'!D849,SEARCH("-",'R.M Billets Reports'!D849)+1,200)),"")))="SHREE RADHE SHAKTI SPONGE AND POWER PVT. LTD.","SHREE RADHE",IF(IF(ISNUMBER(SEARCH("Party Name:-",'R.M Billets Reports'!D848)),TRIM('R.M Billets Reports'!F848),IF(ISNUMBER(SEARCH("Party Name-",'R.M Billets Reports'!D848)),TRIM(MID('R.M Billets Reports'!D848,SEARCH("-",'R.M Billets Reports'!D848)+1,200)),""))&lt;&gt;"",IF(ISNUMBER(SEARCH("Party Name:-",'R.M Billets Reports'!D848)),TRIM('R.M Billets Reports'!F848),IF(ISNUMBER(SEARCH("Party Name-",'R.M Billets Reports'!D848)),TRIM(MID('R.M Billets Reports'!D848,SEARCH("-",'R.M Billets Reports'!D848)+1,200)),"")),IF(ISNUMBER(SEARCH("Party Name:-",'R.M Billets Reports'!D849)),TRIM('R.M Billets Reports'!F849),IF(ISNUMBER(SEARCH("Party Name-",'R.M Billets Reports'!D849)),TRIM(MID('R.M Billets Reports'!D849,SEARCH("-",'R.M Billets Reports'!D849)+1,200)),"")))))),IF(ROW()=2,"",A848))</f>
      </c>
      <c r="B849">
        <f>IF(OR('R.M Billets Reports'!A848="Date-",'R.M Billets Reports'!A848="Date:-"),'R.M Billets Reports'!B848,IF(ROW()=2,"",B848))</f>
      </c>
      <c r="C849">
        <f>IF('R.M Billets Reports'!A848="V.No.",'R.M Billets Reports'!B848,IF(ROW()=2,"",C848))</f>
      </c>
      <c r="D849">
        <f>IF('R.M Billets Reports'!A848&lt;&gt;"",'R.M Billets Reports'!A848,IF(ROW()=2,"",D848))</f>
      </c>
      <c r="E849">
        <f>IF('R.M Billets Reports'!B848="","",TRIM('R.M Billets Reports'!B848))</f>
      </c>
      <c r="F849">
        <f>'R.M Billets Reports'!C848</f>
      </c>
      <c r="G849">
        <f>'R.M Billets Reports'!D848</f>
      </c>
      <c r="H849">
        <f>'R.M Billets Reports'!E848</f>
      </c>
      <c r="I849">
        <f>'R.M Billets Reports'!F848</f>
      </c>
      <c r="J849">
        <f>'R.M Billets Reports'!G848</f>
      </c>
      <c r="K849">
        <f>'R.M Billets Reports'!H848</f>
      </c>
      <c r="L849">
        <f>IF('R.M Billets Reports'!I848="","",'R.M Billets Reports'!I848)</f>
      </c>
      <c r="M849">
        <f t="shared" si="26"/>
      </c>
      <c r="N849">
        <f>IF('R.M Billets Reports'!J848="","",'R.M Billets Reports'!J848)</f>
      </c>
      <c r="O849">
        <f t="shared" si="27"/>
      </c>
      <c r="P849">
        <f>IF('R.M Billets Reports'!A848="SIZE",'R.M Billets Reports'!B848,P848)</f>
      </c>
    </row>
    <row r="850" spans="1:16" x14ac:dyDescent="0.25">
      <c r="A850">
        <f>IF(OR('R.M Billets Reports'!A849="Date-",'R.M Billets Reports'!A849="Date:-"),IF(IF(IF(ISNUMBER(SEARCH("Party Name:-",'R.M Billets Reports'!D849)),TRIM('R.M Billets Reports'!F849),IF(ISNUMBER(SEARCH("Party Name-",'R.M Billets Reports'!D849)),TRIM(MID('R.M Billets Reports'!D849,SEARCH("-",'R.M Billets Reports'!D849)+1,200)),""))&lt;&gt;"",IF(ISNUMBER(SEARCH("Party Name:-",'R.M Billets Reports'!D849)),TRIM('R.M Billets Reports'!F849),IF(ISNUMBER(SEARCH("Party Name-",'R.M Billets Reports'!D849)),TRIM(MID('R.M Billets Reports'!D849,SEARCH("-",'R.M Billets Reports'!D849)+1,200)),"")),IF(ISNUMBER(SEARCH("Party Name:-",'R.M Billets Reports'!D850)),TRIM('R.M Billets Reports'!F850),IF(ISNUMBER(SEARCH("Party Name-",'R.M Billets Reports'!D850)),TRIM(MID('R.M Billets Reports'!D850,SEARCH("-",'R.M Billets Reports'!D850)+1,200)),"")))="VRKP ISPAT PVT LTD","VRKP",IF(IF(IF(ISNUMBER(SEARCH("Party Name:-",'R.M Billets Reports'!D849)),TRIM('R.M Billets Reports'!F849),IF(ISNUMBER(SEARCH("Party Name-",'R.M Billets Reports'!D849)),TRIM(MID('R.M Billets Reports'!D849,SEARCH("-",'R.M Billets Reports'!D849)+1,200)),""))&lt;&gt;"",IF(ISNUMBER(SEARCH("Party Name:-",'R.M Billets Reports'!D849)),TRIM('R.M Billets Reports'!F849),IF(ISNUMBER(SEARCH("Party Name-",'R.M Billets Reports'!D849)),TRIM(MID('R.M Billets Reports'!D849,SEARCH("-",'R.M Billets Reports'!D849)+1,200)),"")),IF(ISNUMBER(SEARCH("Party Name:-",'R.M Billets Reports'!D850)),TRIM('R.M Billets Reports'!F850),IF(ISNUMBER(SEARCH("Party Name-",'R.M Billets Reports'!D850)),TRIM(MID('R.M Billets Reports'!D850,SEARCH("-",'R.M Billets Reports'!D850)+1,200)),"")))="SHRI RADHE","SHREE RADHE",IF(IF(IF(ISNUMBER(SEARCH("Party Name:-",'R.M Billets Reports'!D849)),TRIM('R.M Billets Reports'!F849),IF(ISNUMBER(SEARCH("Party Name-",'R.M Billets Reports'!D849)),TRIM(MID('R.M Billets Reports'!D849,SEARCH("-",'R.M Billets Reports'!D849)+1,200)),""))&lt;&gt;"",IF(ISNUMBER(SEARCH("Party Name:-",'R.M Billets Reports'!D849)),TRIM('R.M Billets Reports'!F849),IF(ISNUMBER(SEARCH("Party Name-",'R.M Billets Reports'!D849)),TRIM(MID('R.M Billets Reports'!D849,SEARCH("-",'R.M Billets Reports'!D849)+1,200)),"")),IF(ISNUMBER(SEARCH("Party Name:-",'R.M Billets Reports'!D850)),TRIM('R.M Billets Reports'!F850),IF(ISNUMBER(SEARCH("Party Name-",'R.M Billets Reports'!D850)),TRIM(MID('R.M Billets Reports'!D850,SEARCH("-",'R.M Billets Reports'!D850)+1,200)),"")))="SHREE RADHE SHAKTI SPONGE AND POWER PVT. LTD.","SHREE RADHE",IF(IF(ISNUMBER(SEARCH("Party Name:-",'R.M Billets Reports'!D849)),TRIM('R.M Billets Reports'!F849),IF(ISNUMBER(SEARCH("Party Name-",'R.M Billets Reports'!D849)),TRIM(MID('R.M Billets Reports'!D849,SEARCH("-",'R.M Billets Reports'!D849)+1,200)),""))&lt;&gt;"",IF(ISNUMBER(SEARCH("Party Name:-",'R.M Billets Reports'!D849)),TRIM('R.M Billets Reports'!F849),IF(ISNUMBER(SEARCH("Party Name-",'R.M Billets Reports'!D849)),TRIM(MID('R.M Billets Reports'!D849,SEARCH("-",'R.M Billets Reports'!D849)+1,200)),"")),IF(ISNUMBER(SEARCH("Party Name:-",'R.M Billets Reports'!D850)),TRIM('R.M Billets Reports'!F850),IF(ISNUMBER(SEARCH("Party Name-",'R.M Billets Reports'!D850)),TRIM(MID('R.M Billets Reports'!D850,SEARCH("-",'R.M Billets Reports'!D850)+1,200)),"")))))),IF(ROW()=2,"",A849))</f>
      </c>
      <c r="B850">
        <f>IF(OR('R.M Billets Reports'!A849="Date-",'R.M Billets Reports'!A849="Date:-"),'R.M Billets Reports'!B849,IF(ROW()=2,"",B849))</f>
      </c>
      <c r="C850">
        <f>IF('R.M Billets Reports'!A849="V.No.",'R.M Billets Reports'!B849,IF(ROW()=2,"",C849))</f>
      </c>
      <c r="D850">
        <f>IF('R.M Billets Reports'!A849&lt;&gt;"",'R.M Billets Reports'!A849,IF(ROW()=2,"",D849))</f>
      </c>
      <c r="E850">
        <f>IF('R.M Billets Reports'!B849="","",TRIM('R.M Billets Reports'!B849))</f>
      </c>
      <c r="F850">
        <f>'R.M Billets Reports'!C849</f>
      </c>
      <c r="G850">
        <f>'R.M Billets Reports'!D849</f>
      </c>
      <c r="H850">
        <f>'R.M Billets Reports'!E849</f>
      </c>
      <c r="I850">
        <f>'R.M Billets Reports'!F849</f>
      </c>
      <c r="J850">
        <f>'R.M Billets Reports'!G849</f>
      </c>
      <c r="K850">
        <f>'R.M Billets Reports'!H849</f>
      </c>
      <c r="L850">
        <f>IF('R.M Billets Reports'!I849="","",'R.M Billets Reports'!I849)</f>
      </c>
      <c r="M850">
        <f t="shared" si="26"/>
      </c>
      <c r="N850">
        <f>IF('R.M Billets Reports'!J849="","",'R.M Billets Reports'!J849)</f>
      </c>
      <c r="O850">
        <f t="shared" si="27"/>
      </c>
      <c r="P850">
        <f>IF('R.M Billets Reports'!A849="SIZE",'R.M Billets Reports'!B849,P849)</f>
      </c>
    </row>
    <row r="851" spans="1:16" x14ac:dyDescent="0.25">
      <c r="A851">
        <f>IF(OR('R.M Billets Reports'!A850="Date-",'R.M Billets Reports'!A850="Date:-"),IF(IF(IF(ISNUMBER(SEARCH("Party Name:-",'R.M Billets Reports'!D850)),TRIM('R.M Billets Reports'!F850),IF(ISNUMBER(SEARCH("Party Name-",'R.M Billets Reports'!D850)),TRIM(MID('R.M Billets Reports'!D850,SEARCH("-",'R.M Billets Reports'!D850)+1,200)),""))&lt;&gt;"",IF(ISNUMBER(SEARCH("Party Name:-",'R.M Billets Reports'!D850)),TRIM('R.M Billets Reports'!F850),IF(ISNUMBER(SEARCH("Party Name-",'R.M Billets Reports'!D850)),TRIM(MID('R.M Billets Reports'!D850,SEARCH("-",'R.M Billets Reports'!D850)+1,200)),"")),IF(ISNUMBER(SEARCH("Party Name:-",'R.M Billets Reports'!D851)),TRIM('R.M Billets Reports'!F851),IF(ISNUMBER(SEARCH("Party Name-",'R.M Billets Reports'!D851)),TRIM(MID('R.M Billets Reports'!D851,SEARCH("-",'R.M Billets Reports'!D851)+1,200)),"")))="VRKP ISPAT PVT LTD","VRKP",IF(IF(IF(ISNUMBER(SEARCH("Party Name:-",'R.M Billets Reports'!D850)),TRIM('R.M Billets Reports'!F850),IF(ISNUMBER(SEARCH("Party Name-",'R.M Billets Reports'!D850)),TRIM(MID('R.M Billets Reports'!D850,SEARCH("-",'R.M Billets Reports'!D850)+1,200)),""))&lt;&gt;"",IF(ISNUMBER(SEARCH("Party Name:-",'R.M Billets Reports'!D850)),TRIM('R.M Billets Reports'!F850),IF(ISNUMBER(SEARCH("Party Name-",'R.M Billets Reports'!D850)),TRIM(MID('R.M Billets Reports'!D850,SEARCH("-",'R.M Billets Reports'!D850)+1,200)),"")),IF(ISNUMBER(SEARCH("Party Name:-",'R.M Billets Reports'!D851)),TRIM('R.M Billets Reports'!F851),IF(ISNUMBER(SEARCH("Party Name-",'R.M Billets Reports'!D851)),TRIM(MID('R.M Billets Reports'!D851,SEARCH("-",'R.M Billets Reports'!D851)+1,200)),"")))="SHRI RADHE","SHREE RADHE",IF(IF(IF(ISNUMBER(SEARCH("Party Name:-",'R.M Billets Reports'!D850)),TRIM('R.M Billets Reports'!F850),IF(ISNUMBER(SEARCH("Party Name-",'R.M Billets Reports'!D850)),TRIM(MID('R.M Billets Reports'!D850,SEARCH("-",'R.M Billets Reports'!D850)+1,200)),""))&lt;&gt;"",IF(ISNUMBER(SEARCH("Party Name:-",'R.M Billets Reports'!D850)),TRIM('R.M Billets Reports'!F850),IF(ISNUMBER(SEARCH("Party Name-",'R.M Billets Reports'!D850)),TRIM(MID('R.M Billets Reports'!D850,SEARCH("-",'R.M Billets Reports'!D850)+1,200)),"")),IF(ISNUMBER(SEARCH("Party Name:-",'R.M Billets Reports'!D851)),TRIM('R.M Billets Reports'!F851),IF(ISNUMBER(SEARCH("Party Name-",'R.M Billets Reports'!D851)),TRIM(MID('R.M Billets Reports'!D851,SEARCH("-",'R.M Billets Reports'!D851)+1,200)),"")))="SHREE RADHE SHAKTI SPONGE AND POWER PVT. LTD.","SHREE RADHE",IF(IF(ISNUMBER(SEARCH("Party Name:-",'R.M Billets Reports'!D850)),TRIM('R.M Billets Reports'!F850),IF(ISNUMBER(SEARCH("Party Name-",'R.M Billets Reports'!D850)),TRIM(MID('R.M Billets Reports'!D850,SEARCH("-",'R.M Billets Reports'!D850)+1,200)),""))&lt;&gt;"",IF(ISNUMBER(SEARCH("Party Name:-",'R.M Billets Reports'!D850)),TRIM('R.M Billets Reports'!F850),IF(ISNUMBER(SEARCH("Party Name-",'R.M Billets Reports'!D850)),TRIM(MID('R.M Billets Reports'!D850,SEARCH("-",'R.M Billets Reports'!D850)+1,200)),"")),IF(ISNUMBER(SEARCH("Party Name:-",'R.M Billets Reports'!D851)),TRIM('R.M Billets Reports'!F851),IF(ISNUMBER(SEARCH("Party Name-",'R.M Billets Reports'!D851)),TRIM(MID('R.M Billets Reports'!D851,SEARCH("-",'R.M Billets Reports'!D851)+1,200)),"")))))),IF(ROW()=2,"",A850))</f>
      </c>
      <c r="B851">
        <f>IF(OR('R.M Billets Reports'!A850="Date-",'R.M Billets Reports'!A850="Date:-"),'R.M Billets Reports'!B850,IF(ROW()=2,"",B850))</f>
      </c>
      <c r="C851">
        <f>IF('R.M Billets Reports'!A850="V.No.",'R.M Billets Reports'!B850,IF(ROW()=2,"",C850))</f>
      </c>
      <c r="D851">
        <f>IF('R.M Billets Reports'!A850&lt;&gt;"",'R.M Billets Reports'!A850,IF(ROW()=2,"",D850))</f>
      </c>
      <c r="E851">
        <f>IF('R.M Billets Reports'!B850="","",TRIM('R.M Billets Reports'!B850))</f>
      </c>
      <c r="F851">
        <f>'R.M Billets Reports'!C850</f>
      </c>
      <c r="G851">
        <f>'R.M Billets Reports'!D850</f>
      </c>
      <c r="H851">
        <f>'R.M Billets Reports'!E850</f>
      </c>
      <c r="I851">
        <f>'R.M Billets Reports'!F850</f>
      </c>
      <c r="J851">
        <f>'R.M Billets Reports'!G850</f>
      </c>
      <c r="K851">
        <f>'R.M Billets Reports'!H850</f>
      </c>
      <c r="L851">
        <f>IF('R.M Billets Reports'!I850="","",'R.M Billets Reports'!I850)</f>
      </c>
      <c r="M851">
        <f t="shared" si="26"/>
      </c>
      <c r="N851">
        <f>IF('R.M Billets Reports'!J850="","",'R.M Billets Reports'!J850)</f>
      </c>
      <c r="O851">
        <f t="shared" si="27"/>
      </c>
      <c r="P851">
        <f>IF('R.M Billets Reports'!A850="SIZE",'R.M Billets Reports'!B850,P850)</f>
      </c>
    </row>
    <row r="852" spans="1:16" x14ac:dyDescent="0.25">
      <c r="A852">
        <f>IF(OR('R.M Billets Reports'!A851="Date-",'R.M Billets Reports'!A851="Date:-"),IF(IF(IF(ISNUMBER(SEARCH("Party Name:-",'R.M Billets Reports'!D851)),TRIM('R.M Billets Reports'!F851),IF(ISNUMBER(SEARCH("Party Name-",'R.M Billets Reports'!D851)),TRIM(MID('R.M Billets Reports'!D851,SEARCH("-",'R.M Billets Reports'!D851)+1,200)),""))&lt;&gt;"",IF(ISNUMBER(SEARCH("Party Name:-",'R.M Billets Reports'!D851)),TRIM('R.M Billets Reports'!F851),IF(ISNUMBER(SEARCH("Party Name-",'R.M Billets Reports'!D851)),TRIM(MID('R.M Billets Reports'!D851,SEARCH("-",'R.M Billets Reports'!D851)+1,200)),"")),IF(ISNUMBER(SEARCH("Party Name:-",'R.M Billets Reports'!D852)),TRIM('R.M Billets Reports'!F852),IF(ISNUMBER(SEARCH("Party Name-",'R.M Billets Reports'!D852)),TRIM(MID('R.M Billets Reports'!D852,SEARCH("-",'R.M Billets Reports'!D852)+1,200)),"")))="VRKP ISPAT PVT LTD","VRKP",IF(IF(IF(ISNUMBER(SEARCH("Party Name:-",'R.M Billets Reports'!D851)),TRIM('R.M Billets Reports'!F851),IF(ISNUMBER(SEARCH("Party Name-",'R.M Billets Reports'!D851)),TRIM(MID('R.M Billets Reports'!D851,SEARCH("-",'R.M Billets Reports'!D851)+1,200)),""))&lt;&gt;"",IF(ISNUMBER(SEARCH("Party Name:-",'R.M Billets Reports'!D851)),TRIM('R.M Billets Reports'!F851),IF(ISNUMBER(SEARCH("Party Name-",'R.M Billets Reports'!D851)),TRIM(MID('R.M Billets Reports'!D851,SEARCH("-",'R.M Billets Reports'!D851)+1,200)),"")),IF(ISNUMBER(SEARCH("Party Name:-",'R.M Billets Reports'!D852)),TRIM('R.M Billets Reports'!F852),IF(ISNUMBER(SEARCH("Party Name-",'R.M Billets Reports'!D852)),TRIM(MID('R.M Billets Reports'!D852,SEARCH("-",'R.M Billets Reports'!D852)+1,200)),"")))="SHRI RADHE","SHREE RADHE",IF(IF(IF(ISNUMBER(SEARCH("Party Name:-",'R.M Billets Reports'!D851)),TRIM('R.M Billets Reports'!F851),IF(ISNUMBER(SEARCH("Party Name-",'R.M Billets Reports'!D851)),TRIM(MID('R.M Billets Reports'!D851,SEARCH("-",'R.M Billets Reports'!D851)+1,200)),""))&lt;&gt;"",IF(ISNUMBER(SEARCH("Party Name:-",'R.M Billets Reports'!D851)),TRIM('R.M Billets Reports'!F851),IF(ISNUMBER(SEARCH("Party Name-",'R.M Billets Reports'!D851)),TRIM(MID('R.M Billets Reports'!D851,SEARCH("-",'R.M Billets Reports'!D851)+1,200)),"")),IF(ISNUMBER(SEARCH("Party Name:-",'R.M Billets Reports'!D852)),TRIM('R.M Billets Reports'!F852),IF(ISNUMBER(SEARCH("Party Name-",'R.M Billets Reports'!D852)),TRIM(MID('R.M Billets Reports'!D852,SEARCH("-",'R.M Billets Reports'!D852)+1,200)),"")))="SHREE RADHE SHAKTI SPONGE AND POWER PVT. LTD.","SHREE RADHE",IF(IF(ISNUMBER(SEARCH("Party Name:-",'R.M Billets Reports'!D851)),TRIM('R.M Billets Reports'!F851),IF(ISNUMBER(SEARCH("Party Name-",'R.M Billets Reports'!D851)),TRIM(MID('R.M Billets Reports'!D851,SEARCH("-",'R.M Billets Reports'!D851)+1,200)),""))&lt;&gt;"",IF(ISNUMBER(SEARCH("Party Name:-",'R.M Billets Reports'!D851)),TRIM('R.M Billets Reports'!F851),IF(ISNUMBER(SEARCH("Party Name-",'R.M Billets Reports'!D851)),TRIM(MID('R.M Billets Reports'!D851,SEARCH("-",'R.M Billets Reports'!D851)+1,200)),"")),IF(ISNUMBER(SEARCH("Party Name:-",'R.M Billets Reports'!D852)),TRIM('R.M Billets Reports'!F852),IF(ISNUMBER(SEARCH("Party Name-",'R.M Billets Reports'!D852)),TRIM(MID('R.M Billets Reports'!D852,SEARCH("-",'R.M Billets Reports'!D852)+1,200)),"")))))),IF(ROW()=2,"",A851))</f>
      </c>
      <c r="B852">
        <f>IF(OR('R.M Billets Reports'!A851="Date-",'R.M Billets Reports'!A851="Date:-"),'R.M Billets Reports'!B851,IF(ROW()=2,"",B851))</f>
      </c>
      <c r="C852">
        <f>IF('R.M Billets Reports'!A851="V.No.",'R.M Billets Reports'!B851,IF(ROW()=2,"",C851))</f>
      </c>
      <c r="D852">
        <f>IF('R.M Billets Reports'!A851&lt;&gt;"",'R.M Billets Reports'!A851,IF(ROW()=2,"",D851))</f>
      </c>
      <c r="E852">
        <f>IF('R.M Billets Reports'!B851="","",TRIM('R.M Billets Reports'!B851))</f>
      </c>
      <c r="F852">
        <f>'R.M Billets Reports'!C851</f>
      </c>
      <c r="G852">
        <f>'R.M Billets Reports'!D851</f>
      </c>
      <c r="H852">
        <f>'R.M Billets Reports'!E851</f>
      </c>
      <c r="I852">
        <f>'R.M Billets Reports'!F851</f>
      </c>
      <c r="J852">
        <f>'R.M Billets Reports'!G851</f>
      </c>
      <c r="K852">
        <f>'R.M Billets Reports'!H851</f>
      </c>
      <c r="L852">
        <f>IF('R.M Billets Reports'!I851="","",'R.M Billets Reports'!I851)</f>
      </c>
      <c r="M852">
        <f t="shared" si="26"/>
      </c>
      <c r="N852">
        <f>IF('R.M Billets Reports'!J851="","",'R.M Billets Reports'!J851)</f>
      </c>
      <c r="O852">
        <f t="shared" si="27"/>
      </c>
      <c r="P852">
        <f>IF('R.M Billets Reports'!A851="SIZE",'R.M Billets Reports'!B851,P851)</f>
      </c>
    </row>
    <row r="853" spans="1:16" x14ac:dyDescent="0.25">
      <c r="A853">
        <f>IF(OR('R.M Billets Reports'!A852="Date-",'R.M Billets Reports'!A852="Date:-"),IF(IF(IF(ISNUMBER(SEARCH("Party Name:-",'R.M Billets Reports'!D852)),TRIM('R.M Billets Reports'!F852),IF(ISNUMBER(SEARCH("Party Name-",'R.M Billets Reports'!D852)),TRIM(MID('R.M Billets Reports'!D852,SEARCH("-",'R.M Billets Reports'!D852)+1,200)),""))&lt;&gt;"",IF(ISNUMBER(SEARCH("Party Name:-",'R.M Billets Reports'!D852)),TRIM('R.M Billets Reports'!F852),IF(ISNUMBER(SEARCH("Party Name-",'R.M Billets Reports'!D852)),TRIM(MID('R.M Billets Reports'!D852,SEARCH("-",'R.M Billets Reports'!D852)+1,200)),"")),IF(ISNUMBER(SEARCH("Party Name:-",'R.M Billets Reports'!D853)),TRIM('R.M Billets Reports'!F853),IF(ISNUMBER(SEARCH("Party Name-",'R.M Billets Reports'!D853)),TRIM(MID('R.M Billets Reports'!D853,SEARCH("-",'R.M Billets Reports'!D853)+1,200)),"")))="VRKP ISPAT PVT LTD","VRKP",IF(IF(IF(ISNUMBER(SEARCH("Party Name:-",'R.M Billets Reports'!D852)),TRIM('R.M Billets Reports'!F852),IF(ISNUMBER(SEARCH("Party Name-",'R.M Billets Reports'!D852)),TRIM(MID('R.M Billets Reports'!D852,SEARCH("-",'R.M Billets Reports'!D852)+1,200)),""))&lt;&gt;"",IF(ISNUMBER(SEARCH("Party Name:-",'R.M Billets Reports'!D852)),TRIM('R.M Billets Reports'!F852),IF(ISNUMBER(SEARCH("Party Name-",'R.M Billets Reports'!D852)),TRIM(MID('R.M Billets Reports'!D852,SEARCH("-",'R.M Billets Reports'!D852)+1,200)),"")),IF(ISNUMBER(SEARCH("Party Name:-",'R.M Billets Reports'!D853)),TRIM('R.M Billets Reports'!F853),IF(ISNUMBER(SEARCH("Party Name-",'R.M Billets Reports'!D853)),TRIM(MID('R.M Billets Reports'!D853,SEARCH("-",'R.M Billets Reports'!D853)+1,200)),"")))="SHRI RADHE","SHREE RADHE",IF(IF(IF(ISNUMBER(SEARCH("Party Name:-",'R.M Billets Reports'!D852)),TRIM('R.M Billets Reports'!F852),IF(ISNUMBER(SEARCH("Party Name-",'R.M Billets Reports'!D852)),TRIM(MID('R.M Billets Reports'!D852,SEARCH("-",'R.M Billets Reports'!D852)+1,200)),""))&lt;&gt;"",IF(ISNUMBER(SEARCH("Party Name:-",'R.M Billets Reports'!D852)),TRIM('R.M Billets Reports'!F852),IF(ISNUMBER(SEARCH("Party Name-",'R.M Billets Reports'!D852)),TRIM(MID('R.M Billets Reports'!D852,SEARCH("-",'R.M Billets Reports'!D852)+1,200)),"")),IF(ISNUMBER(SEARCH("Party Name:-",'R.M Billets Reports'!D853)),TRIM('R.M Billets Reports'!F853),IF(ISNUMBER(SEARCH("Party Name-",'R.M Billets Reports'!D853)),TRIM(MID('R.M Billets Reports'!D853,SEARCH("-",'R.M Billets Reports'!D853)+1,200)),"")))="SHREE RADHE SHAKTI SPONGE AND POWER PVT. LTD.","SHREE RADHE",IF(IF(ISNUMBER(SEARCH("Party Name:-",'R.M Billets Reports'!D852)),TRIM('R.M Billets Reports'!F852),IF(ISNUMBER(SEARCH("Party Name-",'R.M Billets Reports'!D852)),TRIM(MID('R.M Billets Reports'!D852,SEARCH("-",'R.M Billets Reports'!D852)+1,200)),""))&lt;&gt;"",IF(ISNUMBER(SEARCH("Party Name:-",'R.M Billets Reports'!D852)),TRIM('R.M Billets Reports'!F852),IF(ISNUMBER(SEARCH("Party Name-",'R.M Billets Reports'!D852)),TRIM(MID('R.M Billets Reports'!D852,SEARCH("-",'R.M Billets Reports'!D852)+1,200)),"")),IF(ISNUMBER(SEARCH("Party Name:-",'R.M Billets Reports'!D853)),TRIM('R.M Billets Reports'!F853),IF(ISNUMBER(SEARCH("Party Name-",'R.M Billets Reports'!D853)),TRIM(MID('R.M Billets Reports'!D853,SEARCH("-",'R.M Billets Reports'!D853)+1,200)),"")))))),IF(ROW()=2,"",A852))</f>
      </c>
      <c r="B853">
        <f>IF(OR('R.M Billets Reports'!A852="Date-",'R.M Billets Reports'!A852="Date:-"),'R.M Billets Reports'!B852,IF(ROW()=2,"",B852))</f>
      </c>
      <c r="C853">
        <f>IF('R.M Billets Reports'!A852="V.No.",'R.M Billets Reports'!B852,IF(ROW()=2,"",C852))</f>
      </c>
      <c r="D853">
        <f>IF('R.M Billets Reports'!A852&lt;&gt;"",'R.M Billets Reports'!A852,IF(ROW()=2,"",D852))</f>
      </c>
      <c r="E853">
        <f>IF('R.M Billets Reports'!B852="","",TRIM('R.M Billets Reports'!B852))</f>
      </c>
      <c r="F853">
        <f>'R.M Billets Reports'!C852</f>
      </c>
      <c r="G853">
        <f>'R.M Billets Reports'!D852</f>
      </c>
      <c r="H853">
        <f>'R.M Billets Reports'!E852</f>
      </c>
      <c r="I853">
        <f>'R.M Billets Reports'!F852</f>
      </c>
      <c r="J853">
        <f>'R.M Billets Reports'!G852</f>
      </c>
      <c r="K853">
        <f>'R.M Billets Reports'!H852</f>
      </c>
      <c r="L853">
        <f>IF('R.M Billets Reports'!I852="","",'R.M Billets Reports'!I852)</f>
      </c>
      <c r="M853">
        <f t="shared" si="26"/>
      </c>
      <c r="N853">
        <f>IF('R.M Billets Reports'!J852="","",'R.M Billets Reports'!J852)</f>
      </c>
      <c r="O853">
        <f t="shared" si="27"/>
      </c>
      <c r="P853">
        <f>IF('R.M Billets Reports'!A852="SIZE",'R.M Billets Reports'!B852,P852)</f>
      </c>
    </row>
    <row r="854" spans="1:16" x14ac:dyDescent="0.25">
      <c r="A854">
        <f>IF(OR('R.M Billets Reports'!A853="Date-",'R.M Billets Reports'!A853="Date:-"),IF(IF(IF(ISNUMBER(SEARCH("Party Name:-",'R.M Billets Reports'!D853)),TRIM('R.M Billets Reports'!F853),IF(ISNUMBER(SEARCH("Party Name-",'R.M Billets Reports'!D853)),TRIM(MID('R.M Billets Reports'!D853,SEARCH("-",'R.M Billets Reports'!D853)+1,200)),""))&lt;&gt;"",IF(ISNUMBER(SEARCH("Party Name:-",'R.M Billets Reports'!D853)),TRIM('R.M Billets Reports'!F853),IF(ISNUMBER(SEARCH("Party Name-",'R.M Billets Reports'!D853)),TRIM(MID('R.M Billets Reports'!D853,SEARCH("-",'R.M Billets Reports'!D853)+1,200)),"")),IF(ISNUMBER(SEARCH("Party Name:-",'R.M Billets Reports'!D854)),TRIM('R.M Billets Reports'!F854),IF(ISNUMBER(SEARCH("Party Name-",'R.M Billets Reports'!D854)),TRIM(MID('R.M Billets Reports'!D854,SEARCH("-",'R.M Billets Reports'!D854)+1,200)),"")))="VRKP ISPAT PVT LTD","VRKP",IF(IF(IF(ISNUMBER(SEARCH("Party Name:-",'R.M Billets Reports'!D853)),TRIM('R.M Billets Reports'!F853),IF(ISNUMBER(SEARCH("Party Name-",'R.M Billets Reports'!D853)),TRIM(MID('R.M Billets Reports'!D853,SEARCH("-",'R.M Billets Reports'!D853)+1,200)),""))&lt;&gt;"",IF(ISNUMBER(SEARCH("Party Name:-",'R.M Billets Reports'!D853)),TRIM('R.M Billets Reports'!F853),IF(ISNUMBER(SEARCH("Party Name-",'R.M Billets Reports'!D853)),TRIM(MID('R.M Billets Reports'!D853,SEARCH("-",'R.M Billets Reports'!D853)+1,200)),"")),IF(ISNUMBER(SEARCH("Party Name:-",'R.M Billets Reports'!D854)),TRIM('R.M Billets Reports'!F854),IF(ISNUMBER(SEARCH("Party Name-",'R.M Billets Reports'!D854)),TRIM(MID('R.M Billets Reports'!D854,SEARCH("-",'R.M Billets Reports'!D854)+1,200)),"")))="SHRI RADHE","SHREE RADHE",IF(IF(IF(ISNUMBER(SEARCH("Party Name:-",'R.M Billets Reports'!D853)),TRIM('R.M Billets Reports'!F853),IF(ISNUMBER(SEARCH("Party Name-",'R.M Billets Reports'!D853)),TRIM(MID('R.M Billets Reports'!D853,SEARCH("-",'R.M Billets Reports'!D853)+1,200)),""))&lt;&gt;"",IF(ISNUMBER(SEARCH("Party Name:-",'R.M Billets Reports'!D853)),TRIM('R.M Billets Reports'!F853),IF(ISNUMBER(SEARCH("Party Name-",'R.M Billets Reports'!D853)),TRIM(MID('R.M Billets Reports'!D853,SEARCH("-",'R.M Billets Reports'!D853)+1,200)),"")),IF(ISNUMBER(SEARCH("Party Name:-",'R.M Billets Reports'!D854)),TRIM('R.M Billets Reports'!F854),IF(ISNUMBER(SEARCH("Party Name-",'R.M Billets Reports'!D854)),TRIM(MID('R.M Billets Reports'!D854,SEARCH("-",'R.M Billets Reports'!D854)+1,200)),"")))="SHREE RADHE SHAKTI SPONGE AND POWER PVT. LTD.","SHREE RADHE",IF(IF(ISNUMBER(SEARCH("Party Name:-",'R.M Billets Reports'!D853)),TRIM('R.M Billets Reports'!F853),IF(ISNUMBER(SEARCH("Party Name-",'R.M Billets Reports'!D853)),TRIM(MID('R.M Billets Reports'!D853,SEARCH("-",'R.M Billets Reports'!D853)+1,200)),""))&lt;&gt;"",IF(ISNUMBER(SEARCH("Party Name:-",'R.M Billets Reports'!D853)),TRIM('R.M Billets Reports'!F853),IF(ISNUMBER(SEARCH("Party Name-",'R.M Billets Reports'!D853)),TRIM(MID('R.M Billets Reports'!D853,SEARCH("-",'R.M Billets Reports'!D853)+1,200)),"")),IF(ISNUMBER(SEARCH("Party Name:-",'R.M Billets Reports'!D854)),TRIM('R.M Billets Reports'!F854),IF(ISNUMBER(SEARCH("Party Name-",'R.M Billets Reports'!D854)),TRIM(MID('R.M Billets Reports'!D854,SEARCH("-",'R.M Billets Reports'!D854)+1,200)),"")))))),IF(ROW()=2,"",A853))</f>
      </c>
      <c r="B854">
        <f>IF(OR('R.M Billets Reports'!A853="Date-",'R.M Billets Reports'!A853="Date:-"),'R.M Billets Reports'!B853,IF(ROW()=2,"",B853))</f>
      </c>
      <c r="C854">
        <f>IF('R.M Billets Reports'!A853="V.No.",'R.M Billets Reports'!B853,IF(ROW()=2,"",C853))</f>
      </c>
      <c r="D854">
        <f>IF('R.M Billets Reports'!A853&lt;&gt;"",'R.M Billets Reports'!A853,IF(ROW()=2,"",D853))</f>
      </c>
      <c r="E854">
        <f>IF('R.M Billets Reports'!B853="","",TRIM('R.M Billets Reports'!B853))</f>
      </c>
      <c r="F854">
        <f>'R.M Billets Reports'!C853</f>
      </c>
      <c r="G854">
        <f>'R.M Billets Reports'!D853</f>
      </c>
      <c r="H854">
        <f>'R.M Billets Reports'!E853</f>
      </c>
      <c r="I854">
        <f>'R.M Billets Reports'!F853</f>
      </c>
      <c r="J854">
        <f>'R.M Billets Reports'!G853</f>
      </c>
      <c r="K854">
        <f>'R.M Billets Reports'!H853</f>
      </c>
      <c r="L854">
        <f>IF('R.M Billets Reports'!I853="","",'R.M Billets Reports'!I853)</f>
      </c>
      <c r="M854">
        <f t="shared" si="26"/>
      </c>
      <c r="N854">
        <f>IF('R.M Billets Reports'!J853="","",'R.M Billets Reports'!J853)</f>
      </c>
      <c r="O854">
        <f t="shared" si="27"/>
      </c>
      <c r="P854">
        <f>IF('R.M Billets Reports'!A853="SIZE",'R.M Billets Reports'!B853,P853)</f>
      </c>
    </row>
    <row r="855" spans="1:16" x14ac:dyDescent="0.25">
      <c r="A855">
        <f>IF(OR('R.M Billets Reports'!A854="Date-",'R.M Billets Reports'!A854="Date:-"),IF(IF(IF(ISNUMBER(SEARCH("Party Name:-",'R.M Billets Reports'!D854)),TRIM('R.M Billets Reports'!F854),IF(ISNUMBER(SEARCH("Party Name-",'R.M Billets Reports'!D854)),TRIM(MID('R.M Billets Reports'!D854,SEARCH("-",'R.M Billets Reports'!D854)+1,200)),""))&lt;&gt;"",IF(ISNUMBER(SEARCH("Party Name:-",'R.M Billets Reports'!D854)),TRIM('R.M Billets Reports'!F854),IF(ISNUMBER(SEARCH("Party Name-",'R.M Billets Reports'!D854)),TRIM(MID('R.M Billets Reports'!D854,SEARCH("-",'R.M Billets Reports'!D854)+1,200)),"")),IF(ISNUMBER(SEARCH("Party Name:-",'R.M Billets Reports'!D855)),TRIM('R.M Billets Reports'!F855),IF(ISNUMBER(SEARCH("Party Name-",'R.M Billets Reports'!D855)),TRIM(MID('R.M Billets Reports'!D855,SEARCH("-",'R.M Billets Reports'!D855)+1,200)),"")))="VRKP ISPAT PVT LTD","VRKP",IF(IF(IF(ISNUMBER(SEARCH("Party Name:-",'R.M Billets Reports'!D854)),TRIM('R.M Billets Reports'!F854),IF(ISNUMBER(SEARCH("Party Name-",'R.M Billets Reports'!D854)),TRIM(MID('R.M Billets Reports'!D854,SEARCH("-",'R.M Billets Reports'!D854)+1,200)),""))&lt;&gt;"",IF(ISNUMBER(SEARCH("Party Name:-",'R.M Billets Reports'!D854)),TRIM('R.M Billets Reports'!F854),IF(ISNUMBER(SEARCH("Party Name-",'R.M Billets Reports'!D854)),TRIM(MID('R.M Billets Reports'!D854,SEARCH("-",'R.M Billets Reports'!D854)+1,200)),"")),IF(ISNUMBER(SEARCH("Party Name:-",'R.M Billets Reports'!D855)),TRIM('R.M Billets Reports'!F855),IF(ISNUMBER(SEARCH("Party Name-",'R.M Billets Reports'!D855)),TRIM(MID('R.M Billets Reports'!D855,SEARCH("-",'R.M Billets Reports'!D855)+1,200)),"")))="SHRI RADHE","SHREE RADHE",IF(IF(IF(ISNUMBER(SEARCH("Party Name:-",'R.M Billets Reports'!D854)),TRIM('R.M Billets Reports'!F854),IF(ISNUMBER(SEARCH("Party Name-",'R.M Billets Reports'!D854)),TRIM(MID('R.M Billets Reports'!D854,SEARCH("-",'R.M Billets Reports'!D854)+1,200)),""))&lt;&gt;"",IF(ISNUMBER(SEARCH("Party Name:-",'R.M Billets Reports'!D854)),TRIM('R.M Billets Reports'!F854),IF(ISNUMBER(SEARCH("Party Name-",'R.M Billets Reports'!D854)),TRIM(MID('R.M Billets Reports'!D854,SEARCH("-",'R.M Billets Reports'!D854)+1,200)),"")),IF(ISNUMBER(SEARCH("Party Name:-",'R.M Billets Reports'!D855)),TRIM('R.M Billets Reports'!F855),IF(ISNUMBER(SEARCH("Party Name-",'R.M Billets Reports'!D855)),TRIM(MID('R.M Billets Reports'!D855,SEARCH("-",'R.M Billets Reports'!D855)+1,200)),"")))="SHREE RADHE SHAKTI SPONGE AND POWER PVT. LTD.","SHREE RADHE",IF(IF(ISNUMBER(SEARCH("Party Name:-",'R.M Billets Reports'!D854)),TRIM('R.M Billets Reports'!F854),IF(ISNUMBER(SEARCH("Party Name-",'R.M Billets Reports'!D854)),TRIM(MID('R.M Billets Reports'!D854,SEARCH("-",'R.M Billets Reports'!D854)+1,200)),""))&lt;&gt;"",IF(ISNUMBER(SEARCH("Party Name:-",'R.M Billets Reports'!D854)),TRIM('R.M Billets Reports'!F854),IF(ISNUMBER(SEARCH("Party Name-",'R.M Billets Reports'!D854)),TRIM(MID('R.M Billets Reports'!D854,SEARCH("-",'R.M Billets Reports'!D854)+1,200)),"")),IF(ISNUMBER(SEARCH("Party Name:-",'R.M Billets Reports'!D855)),TRIM('R.M Billets Reports'!F855),IF(ISNUMBER(SEARCH("Party Name-",'R.M Billets Reports'!D855)),TRIM(MID('R.M Billets Reports'!D855,SEARCH("-",'R.M Billets Reports'!D855)+1,200)),"")))))),IF(ROW()=2,"",A854))</f>
      </c>
      <c r="B855">
        <f>IF(OR('R.M Billets Reports'!A854="Date-",'R.M Billets Reports'!A854="Date:-"),'R.M Billets Reports'!B854,IF(ROW()=2,"",B854))</f>
      </c>
      <c r="C855">
        <f>IF('R.M Billets Reports'!A854="V.No.",'R.M Billets Reports'!B854,IF(ROW()=2,"",C854))</f>
      </c>
      <c r="D855">
        <f>IF('R.M Billets Reports'!A854&lt;&gt;"",'R.M Billets Reports'!A854,IF(ROW()=2,"",D854))</f>
      </c>
      <c r="E855">
        <f>IF('R.M Billets Reports'!B854="","",TRIM('R.M Billets Reports'!B854))</f>
      </c>
      <c r="F855">
        <f>'R.M Billets Reports'!C854</f>
      </c>
      <c r="G855">
        <f>'R.M Billets Reports'!D854</f>
      </c>
      <c r="H855">
        <f>'R.M Billets Reports'!E854</f>
      </c>
      <c r="I855">
        <f>'R.M Billets Reports'!F854</f>
      </c>
      <c r="J855">
        <f>'R.M Billets Reports'!G854</f>
      </c>
      <c r="K855">
        <f>'R.M Billets Reports'!H854</f>
      </c>
      <c r="L855">
        <f>IF('R.M Billets Reports'!I854="","",'R.M Billets Reports'!I854)</f>
      </c>
      <c r="M855">
        <f t="shared" si="26"/>
      </c>
      <c r="N855">
        <f>IF('R.M Billets Reports'!J854="","",'R.M Billets Reports'!J854)</f>
      </c>
      <c r="O855">
        <f t="shared" si="27"/>
      </c>
      <c r="P855">
        <f>IF('R.M Billets Reports'!A854="SIZE",'R.M Billets Reports'!B854,P854)</f>
      </c>
    </row>
    <row r="856" spans="1:16" x14ac:dyDescent="0.25">
      <c r="A856">
        <f>IF(OR('R.M Billets Reports'!A855="Date-",'R.M Billets Reports'!A855="Date:-"),IF(IF(IF(ISNUMBER(SEARCH("Party Name:-",'R.M Billets Reports'!D855)),TRIM('R.M Billets Reports'!F855),IF(ISNUMBER(SEARCH("Party Name-",'R.M Billets Reports'!D855)),TRIM(MID('R.M Billets Reports'!D855,SEARCH("-",'R.M Billets Reports'!D855)+1,200)),""))&lt;&gt;"",IF(ISNUMBER(SEARCH("Party Name:-",'R.M Billets Reports'!D855)),TRIM('R.M Billets Reports'!F855),IF(ISNUMBER(SEARCH("Party Name-",'R.M Billets Reports'!D855)),TRIM(MID('R.M Billets Reports'!D855,SEARCH("-",'R.M Billets Reports'!D855)+1,200)),"")),IF(ISNUMBER(SEARCH("Party Name:-",'R.M Billets Reports'!D856)),TRIM('R.M Billets Reports'!F856),IF(ISNUMBER(SEARCH("Party Name-",'R.M Billets Reports'!D856)),TRIM(MID('R.M Billets Reports'!D856,SEARCH("-",'R.M Billets Reports'!D856)+1,200)),"")))="VRKP ISPAT PVT LTD","VRKP",IF(IF(IF(ISNUMBER(SEARCH("Party Name:-",'R.M Billets Reports'!D855)),TRIM('R.M Billets Reports'!F855),IF(ISNUMBER(SEARCH("Party Name-",'R.M Billets Reports'!D855)),TRIM(MID('R.M Billets Reports'!D855,SEARCH("-",'R.M Billets Reports'!D855)+1,200)),""))&lt;&gt;"",IF(ISNUMBER(SEARCH("Party Name:-",'R.M Billets Reports'!D855)),TRIM('R.M Billets Reports'!F855),IF(ISNUMBER(SEARCH("Party Name-",'R.M Billets Reports'!D855)),TRIM(MID('R.M Billets Reports'!D855,SEARCH("-",'R.M Billets Reports'!D855)+1,200)),"")),IF(ISNUMBER(SEARCH("Party Name:-",'R.M Billets Reports'!D856)),TRIM('R.M Billets Reports'!F856),IF(ISNUMBER(SEARCH("Party Name-",'R.M Billets Reports'!D856)),TRIM(MID('R.M Billets Reports'!D856,SEARCH("-",'R.M Billets Reports'!D856)+1,200)),"")))="SHRI RADHE","SHREE RADHE",IF(IF(IF(ISNUMBER(SEARCH("Party Name:-",'R.M Billets Reports'!D855)),TRIM('R.M Billets Reports'!F855),IF(ISNUMBER(SEARCH("Party Name-",'R.M Billets Reports'!D855)),TRIM(MID('R.M Billets Reports'!D855,SEARCH("-",'R.M Billets Reports'!D855)+1,200)),""))&lt;&gt;"",IF(ISNUMBER(SEARCH("Party Name:-",'R.M Billets Reports'!D855)),TRIM('R.M Billets Reports'!F855),IF(ISNUMBER(SEARCH("Party Name-",'R.M Billets Reports'!D855)),TRIM(MID('R.M Billets Reports'!D855,SEARCH("-",'R.M Billets Reports'!D855)+1,200)),"")),IF(ISNUMBER(SEARCH("Party Name:-",'R.M Billets Reports'!D856)),TRIM('R.M Billets Reports'!F856),IF(ISNUMBER(SEARCH("Party Name-",'R.M Billets Reports'!D856)),TRIM(MID('R.M Billets Reports'!D856,SEARCH("-",'R.M Billets Reports'!D856)+1,200)),"")))="SHREE RADHE SHAKTI SPONGE AND POWER PVT. LTD.","SHREE RADHE",IF(IF(ISNUMBER(SEARCH("Party Name:-",'R.M Billets Reports'!D855)),TRIM('R.M Billets Reports'!F855),IF(ISNUMBER(SEARCH("Party Name-",'R.M Billets Reports'!D855)),TRIM(MID('R.M Billets Reports'!D855,SEARCH("-",'R.M Billets Reports'!D855)+1,200)),""))&lt;&gt;"",IF(ISNUMBER(SEARCH("Party Name:-",'R.M Billets Reports'!D855)),TRIM('R.M Billets Reports'!F855),IF(ISNUMBER(SEARCH("Party Name-",'R.M Billets Reports'!D855)),TRIM(MID('R.M Billets Reports'!D855,SEARCH("-",'R.M Billets Reports'!D855)+1,200)),"")),IF(ISNUMBER(SEARCH("Party Name:-",'R.M Billets Reports'!D856)),TRIM('R.M Billets Reports'!F856),IF(ISNUMBER(SEARCH("Party Name-",'R.M Billets Reports'!D856)),TRIM(MID('R.M Billets Reports'!D856,SEARCH("-",'R.M Billets Reports'!D856)+1,200)),"")))))),IF(ROW()=2,"",A855))</f>
      </c>
      <c r="B856">
        <f>IF(OR('R.M Billets Reports'!A855="Date-",'R.M Billets Reports'!A855="Date:-"),'R.M Billets Reports'!B855,IF(ROW()=2,"",B855))</f>
      </c>
      <c r="C856">
        <f>IF('R.M Billets Reports'!A855="V.No.",'R.M Billets Reports'!B855,IF(ROW()=2,"",C855))</f>
      </c>
      <c r="D856">
        <f>IF('R.M Billets Reports'!A855&lt;&gt;"",'R.M Billets Reports'!A855,IF(ROW()=2,"",D855))</f>
      </c>
      <c r="E856">
        <f>IF('R.M Billets Reports'!B855="","",TRIM('R.M Billets Reports'!B855))</f>
      </c>
      <c r="F856">
        <f>'R.M Billets Reports'!C855</f>
      </c>
      <c r="G856">
        <f>'R.M Billets Reports'!D855</f>
      </c>
      <c r="H856">
        <f>'R.M Billets Reports'!E855</f>
      </c>
      <c r="I856">
        <f>'R.M Billets Reports'!F855</f>
      </c>
      <c r="J856">
        <f>'R.M Billets Reports'!G855</f>
      </c>
      <c r="K856">
        <f>'R.M Billets Reports'!H855</f>
      </c>
      <c r="L856">
        <f>IF('R.M Billets Reports'!I855="","",'R.M Billets Reports'!I855)</f>
      </c>
      <c r="M856">
        <f t="shared" si="26"/>
      </c>
      <c r="N856">
        <f>IF('R.M Billets Reports'!J855="","",'R.M Billets Reports'!J855)</f>
      </c>
      <c r="O856">
        <f t="shared" si="27"/>
      </c>
      <c r="P856">
        <f>IF('R.M Billets Reports'!A855="SIZE",'R.M Billets Reports'!B855,P855)</f>
      </c>
    </row>
    <row r="857" spans="1:16" x14ac:dyDescent="0.25">
      <c r="A857">
        <f>IF(OR('R.M Billets Reports'!A856="Date-",'R.M Billets Reports'!A856="Date:-"),IF(IF(IF(ISNUMBER(SEARCH("Party Name:-",'R.M Billets Reports'!D856)),TRIM('R.M Billets Reports'!F856),IF(ISNUMBER(SEARCH("Party Name-",'R.M Billets Reports'!D856)),TRIM(MID('R.M Billets Reports'!D856,SEARCH("-",'R.M Billets Reports'!D856)+1,200)),""))&lt;&gt;"",IF(ISNUMBER(SEARCH("Party Name:-",'R.M Billets Reports'!D856)),TRIM('R.M Billets Reports'!F856),IF(ISNUMBER(SEARCH("Party Name-",'R.M Billets Reports'!D856)),TRIM(MID('R.M Billets Reports'!D856,SEARCH("-",'R.M Billets Reports'!D856)+1,200)),"")),IF(ISNUMBER(SEARCH("Party Name:-",'R.M Billets Reports'!D857)),TRIM('R.M Billets Reports'!F857),IF(ISNUMBER(SEARCH("Party Name-",'R.M Billets Reports'!D857)),TRIM(MID('R.M Billets Reports'!D857,SEARCH("-",'R.M Billets Reports'!D857)+1,200)),"")))="VRKP ISPAT PVT LTD","VRKP",IF(IF(IF(ISNUMBER(SEARCH("Party Name:-",'R.M Billets Reports'!D856)),TRIM('R.M Billets Reports'!F856),IF(ISNUMBER(SEARCH("Party Name-",'R.M Billets Reports'!D856)),TRIM(MID('R.M Billets Reports'!D856,SEARCH("-",'R.M Billets Reports'!D856)+1,200)),""))&lt;&gt;"",IF(ISNUMBER(SEARCH("Party Name:-",'R.M Billets Reports'!D856)),TRIM('R.M Billets Reports'!F856),IF(ISNUMBER(SEARCH("Party Name-",'R.M Billets Reports'!D856)),TRIM(MID('R.M Billets Reports'!D856,SEARCH("-",'R.M Billets Reports'!D856)+1,200)),"")),IF(ISNUMBER(SEARCH("Party Name:-",'R.M Billets Reports'!D857)),TRIM('R.M Billets Reports'!F857),IF(ISNUMBER(SEARCH("Party Name-",'R.M Billets Reports'!D857)),TRIM(MID('R.M Billets Reports'!D857,SEARCH("-",'R.M Billets Reports'!D857)+1,200)),"")))="SHRI RADHE","SHREE RADHE",IF(IF(IF(ISNUMBER(SEARCH("Party Name:-",'R.M Billets Reports'!D856)),TRIM('R.M Billets Reports'!F856),IF(ISNUMBER(SEARCH("Party Name-",'R.M Billets Reports'!D856)),TRIM(MID('R.M Billets Reports'!D856,SEARCH("-",'R.M Billets Reports'!D856)+1,200)),""))&lt;&gt;"",IF(ISNUMBER(SEARCH("Party Name:-",'R.M Billets Reports'!D856)),TRIM('R.M Billets Reports'!F856),IF(ISNUMBER(SEARCH("Party Name-",'R.M Billets Reports'!D856)),TRIM(MID('R.M Billets Reports'!D856,SEARCH("-",'R.M Billets Reports'!D856)+1,200)),"")),IF(ISNUMBER(SEARCH("Party Name:-",'R.M Billets Reports'!D857)),TRIM('R.M Billets Reports'!F857),IF(ISNUMBER(SEARCH("Party Name-",'R.M Billets Reports'!D857)),TRIM(MID('R.M Billets Reports'!D857,SEARCH("-",'R.M Billets Reports'!D857)+1,200)),"")))="SHREE RADHE SHAKTI SPONGE AND POWER PVT. LTD.","SHREE RADHE",IF(IF(ISNUMBER(SEARCH("Party Name:-",'R.M Billets Reports'!D856)),TRIM('R.M Billets Reports'!F856),IF(ISNUMBER(SEARCH("Party Name-",'R.M Billets Reports'!D856)),TRIM(MID('R.M Billets Reports'!D856,SEARCH("-",'R.M Billets Reports'!D856)+1,200)),""))&lt;&gt;"",IF(ISNUMBER(SEARCH("Party Name:-",'R.M Billets Reports'!D856)),TRIM('R.M Billets Reports'!F856),IF(ISNUMBER(SEARCH("Party Name-",'R.M Billets Reports'!D856)),TRIM(MID('R.M Billets Reports'!D856,SEARCH("-",'R.M Billets Reports'!D856)+1,200)),"")),IF(ISNUMBER(SEARCH("Party Name:-",'R.M Billets Reports'!D857)),TRIM('R.M Billets Reports'!F857),IF(ISNUMBER(SEARCH("Party Name-",'R.M Billets Reports'!D857)),TRIM(MID('R.M Billets Reports'!D857,SEARCH("-",'R.M Billets Reports'!D857)+1,200)),"")))))),IF(ROW()=2,"",A856))</f>
      </c>
      <c r="B857">
        <f>IF(OR('R.M Billets Reports'!A856="Date-",'R.M Billets Reports'!A856="Date:-"),'R.M Billets Reports'!B856,IF(ROW()=2,"",B856))</f>
      </c>
      <c r="C857">
        <f>IF('R.M Billets Reports'!A856="V.No.",'R.M Billets Reports'!B856,IF(ROW()=2,"",C856))</f>
      </c>
      <c r="D857">
        <f>IF('R.M Billets Reports'!A856&lt;&gt;"",'R.M Billets Reports'!A856,IF(ROW()=2,"",D856))</f>
      </c>
      <c r="E857">
        <f>IF('R.M Billets Reports'!B856="","",TRIM('R.M Billets Reports'!B856))</f>
      </c>
      <c r="F857">
        <f>'R.M Billets Reports'!C856</f>
      </c>
      <c r="G857">
        <f>'R.M Billets Reports'!D856</f>
      </c>
      <c r="H857">
        <f>'R.M Billets Reports'!E856</f>
      </c>
      <c r="I857">
        <f>'R.M Billets Reports'!F856</f>
      </c>
      <c r="J857">
        <f>'R.M Billets Reports'!G856</f>
      </c>
      <c r="K857">
        <f>'R.M Billets Reports'!H856</f>
      </c>
      <c r="L857">
        <f>IF('R.M Billets Reports'!I856="","",'R.M Billets Reports'!I856)</f>
      </c>
      <c r="M857">
        <f t="shared" si="26"/>
      </c>
      <c r="N857">
        <f>IF('R.M Billets Reports'!J856="","",'R.M Billets Reports'!J856)</f>
      </c>
      <c r="O857">
        <f t="shared" si="27"/>
      </c>
      <c r="P857">
        <f>IF('R.M Billets Reports'!A856="SIZE",'R.M Billets Reports'!B856,P856)</f>
      </c>
    </row>
    <row r="858" spans="1:16" x14ac:dyDescent="0.25">
      <c r="A858">
        <f>IF(OR('R.M Billets Reports'!A857="Date-",'R.M Billets Reports'!A857="Date:-"),IF(IF(IF(ISNUMBER(SEARCH("Party Name:-",'R.M Billets Reports'!D857)),TRIM('R.M Billets Reports'!F857),IF(ISNUMBER(SEARCH("Party Name-",'R.M Billets Reports'!D857)),TRIM(MID('R.M Billets Reports'!D857,SEARCH("-",'R.M Billets Reports'!D857)+1,200)),""))&lt;&gt;"",IF(ISNUMBER(SEARCH("Party Name:-",'R.M Billets Reports'!D857)),TRIM('R.M Billets Reports'!F857),IF(ISNUMBER(SEARCH("Party Name-",'R.M Billets Reports'!D857)),TRIM(MID('R.M Billets Reports'!D857,SEARCH("-",'R.M Billets Reports'!D857)+1,200)),"")),IF(ISNUMBER(SEARCH("Party Name:-",'R.M Billets Reports'!D858)),TRIM('R.M Billets Reports'!F858),IF(ISNUMBER(SEARCH("Party Name-",'R.M Billets Reports'!D858)),TRIM(MID('R.M Billets Reports'!D858,SEARCH("-",'R.M Billets Reports'!D858)+1,200)),"")))="VRKP ISPAT PVT LTD","VRKP",IF(IF(IF(ISNUMBER(SEARCH("Party Name:-",'R.M Billets Reports'!D857)),TRIM('R.M Billets Reports'!F857),IF(ISNUMBER(SEARCH("Party Name-",'R.M Billets Reports'!D857)),TRIM(MID('R.M Billets Reports'!D857,SEARCH("-",'R.M Billets Reports'!D857)+1,200)),""))&lt;&gt;"",IF(ISNUMBER(SEARCH("Party Name:-",'R.M Billets Reports'!D857)),TRIM('R.M Billets Reports'!F857),IF(ISNUMBER(SEARCH("Party Name-",'R.M Billets Reports'!D857)),TRIM(MID('R.M Billets Reports'!D857,SEARCH("-",'R.M Billets Reports'!D857)+1,200)),"")),IF(ISNUMBER(SEARCH("Party Name:-",'R.M Billets Reports'!D858)),TRIM('R.M Billets Reports'!F858),IF(ISNUMBER(SEARCH("Party Name-",'R.M Billets Reports'!D858)),TRIM(MID('R.M Billets Reports'!D858,SEARCH("-",'R.M Billets Reports'!D858)+1,200)),"")))="SHRI RADHE","SHREE RADHE",IF(IF(IF(ISNUMBER(SEARCH("Party Name:-",'R.M Billets Reports'!D857)),TRIM('R.M Billets Reports'!F857),IF(ISNUMBER(SEARCH("Party Name-",'R.M Billets Reports'!D857)),TRIM(MID('R.M Billets Reports'!D857,SEARCH("-",'R.M Billets Reports'!D857)+1,200)),""))&lt;&gt;"",IF(ISNUMBER(SEARCH("Party Name:-",'R.M Billets Reports'!D857)),TRIM('R.M Billets Reports'!F857),IF(ISNUMBER(SEARCH("Party Name-",'R.M Billets Reports'!D857)),TRIM(MID('R.M Billets Reports'!D857,SEARCH("-",'R.M Billets Reports'!D857)+1,200)),"")),IF(ISNUMBER(SEARCH("Party Name:-",'R.M Billets Reports'!D858)),TRIM('R.M Billets Reports'!F858),IF(ISNUMBER(SEARCH("Party Name-",'R.M Billets Reports'!D858)),TRIM(MID('R.M Billets Reports'!D858,SEARCH("-",'R.M Billets Reports'!D858)+1,200)),"")))="SHREE RADHE SHAKTI SPONGE AND POWER PVT. LTD.","SHREE RADHE",IF(IF(ISNUMBER(SEARCH("Party Name:-",'R.M Billets Reports'!D857)),TRIM('R.M Billets Reports'!F857),IF(ISNUMBER(SEARCH("Party Name-",'R.M Billets Reports'!D857)),TRIM(MID('R.M Billets Reports'!D857,SEARCH("-",'R.M Billets Reports'!D857)+1,200)),""))&lt;&gt;"",IF(ISNUMBER(SEARCH("Party Name:-",'R.M Billets Reports'!D857)),TRIM('R.M Billets Reports'!F857),IF(ISNUMBER(SEARCH("Party Name-",'R.M Billets Reports'!D857)),TRIM(MID('R.M Billets Reports'!D857,SEARCH("-",'R.M Billets Reports'!D857)+1,200)),"")),IF(ISNUMBER(SEARCH("Party Name:-",'R.M Billets Reports'!D858)),TRIM('R.M Billets Reports'!F858),IF(ISNUMBER(SEARCH("Party Name-",'R.M Billets Reports'!D858)),TRIM(MID('R.M Billets Reports'!D858,SEARCH("-",'R.M Billets Reports'!D858)+1,200)),"")))))),IF(ROW()=2,"",A857))</f>
      </c>
      <c r="B858">
        <f>IF(OR('R.M Billets Reports'!A857="Date-",'R.M Billets Reports'!A857="Date:-"),'R.M Billets Reports'!B857,IF(ROW()=2,"",B857))</f>
      </c>
      <c r="C858">
        <f>IF('R.M Billets Reports'!A857="V.No.",'R.M Billets Reports'!B857,IF(ROW()=2,"",C857))</f>
      </c>
      <c r="D858">
        <f>IF('R.M Billets Reports'!A857&lt;&gt;"",'R.M Billets Reports'!A857,IF(ROW()=2,"",D857))</f>
      </c>
      <c r="E858">
        <f>IF('R.M Billets Reports'!B857="","",TRIM('R.M Billets Reports'!B857))</f>
      </c>
      <c r="F858">
        <f>'R.M Billets Reports'!C857</f>
      </c>
      <c r="G858">
        <f>'R.M Billets Reports'!D857</f>
      </c>
      <c r="H858">
        <f>'R.M Billets Reports'!E857</f>
      </c>
      <c r="I858">
        <f>'R.M Billets Reports'!F857</f>
      </c>
      <c r="J858">
        <f>'R.M Billets Reports'!G857</f>
      </c>
      <c r="K858">
        <f>'R.M Billets Reports'!H857</f>
      </c>
      <c r="L858">
        <f>IF('R.M Billets Reports'!I857="","",'R.M Billets Reports'!I857)</f>
      </c>
      <c r="M858">
        <f t="shared" si="26"/>
      </c>
      <c r="N858">
        <f>IF('R.M Billets Reports'!J857="","",'R.M Billets Reports'!J857)</f>
      </c>
      <c r="O858">
        <f t="shared" si="27"/>
      </c>
      <c r="P858">
        <f>IF('R.M Billets Reports'!A857="SIZE",'R.M Billets Reports'!B857,P857)</f>
      </c>
    </row>
    <row r="859" spans="1:16" x14ac:dyDescent="0.25">
      <c r="A859">
        <f>IF(OR('R.M Billets Reports'!A858="Date-",'R.M Billets Reports'!A858="Date:-"),IF(IF(IF(ISNUMBER(SEARCH("Party Name:-",'R.M Billets Reports'!D858)),TRIM('R.M Billets Reports'!F858),IF(ISNUMBER(SEARCH("Party Name-",'R.M Billets Reports'!D858)),TRIM(MID('R.M Billets Reports'!D858,SEARCH("-",'R.M Billets Reports'!D858)+1,200)),""))&lt;&gt;"",IF(ISNUMBER(SEARCH("Party Name:-",'R.M Billets Reports'!D858)),TRIM('R.M Billets Reports'!F858),IF(ISNUMBER(SEARCH("Party Name-",'R.M Billets Reports'!D858)),TRIM(MID('R.M Billets Reports'!D858,SEARCH("-",'R.M Billets Reports'!D858)+1,200)),"")),IF(ISNUMBER(SEARCH("Party Name:-",'R.M Billets Reports'!D859)),TRIM('R.M Billets Reports'!F859),IF(ISNUMBER(SEARCH("Party Name-",'R.M Billets Reports'!D859)),TRIM(MID('R.M Billets Reports'!D859,SEARCH("-",'R.M Billets Reports'!D859)+1,200)),"")))="VRKP ISPAT PVT LTD","VRKP",IF(IF(IF(ISNUMBER(SEARCH("Party Name:-",'R.M Billets Reports'!D858)),TRIM('R.M Billets Reports'!F858),IF(ISNUMBER(SEARCH("Party Name-",'R.M Billets Reports'!D858)),TRIM(MID('R.M Billets Reports'!D858,SEARCH("-",'R.M Billets Reports'!D858)+1,200)),""))&lt;&gt;"",IF(ISNUMBER(SEARCH("Party Name:-",'R.M Billets Reports'!D858)),TRIM('R.M Billets Reports'!F858),IF(ISNUMBER(SEARCH("Party Name-",'R.M Billets Reports'!D858)),TRIM(MID('R.M Billets Reports'!D858,SEARCH("-",'R.M Billets Reports'!D858)+1,200)),"")),IF(ISNUMBER(SEARCH("Party Name:-",'R.M Billets Reports'!D859)),TRIM('R.M Billets Reports'!F859),IF(ISNUMBER(SEARCH("Party Name-",'R.M Billets Reports'!D859)),TRIM(MID('R.M Billets Reports'!D859,SEARCH("-",'R.M Billets Reports'!D859)+1,200)),"")))="SHRI RADHE","SHREE RADHE",IF(IF(IF(ISNUMBER(SEARCH("Party Name:-",'R.M Billets Reports'!D858)),TRIM('R.M Billets Reports'!F858),IF(ISNUMBER(SEARCH("Party Name-",'R.M Billets Reports'!D858)),TRIM(MID('R.M Billets Reports'!D858,SEARCH("-",'R.M Billets Reports'!D858)+1,200)),""))&lt;&gt;"",IF(ISNUMBER(SEARCH("Party Name:-",'R.M Billets Reports'!D858)),TRIM('R.M Billets Reports'!F858),IF(ISNUMBER(SEARCH("Party Name-",'R.M Billets Reports'!D858)),TRIM(MID('R.M Billets Reports'!D858,SEARCH("-",'R.M Billets Reports'!D858)+1,200)),"")),IF(ISNUMBER(SEARCH("Party Name:-",'R.M Billets Reports'!D859)),TRIM('R.M Billets Reports'!F859),IF(ISNUMBER(SEARCH("Party Name-",'R.M Billets Reports'!D859)),TRIM(MID('R.M Billets Reports'!D859,SEARCH("-",'R.M Billets Reports'!D859)+1,200)),"")))="SHREE RADHE SHAKTI SPONGE AND POWER PVT. LTD.","SHREE RADHE",IF(IF(ISNUMBER(SEARCH("Party Name:-",'R.M Billets Reports'!D858)),TRIM('R.M Billets Reports'!F858),IF(ISNUMBER(SEARCH("Party Name-",'R.M Billets Reports'!D858)),TRIM(MID('R.M Billets Reports'!D858,SEARCH("-",'R.M Billets Reports'!D858)+1,200)),""))&lt;&gt;"",IF(ISNUMBER(SEARCH("Party Name:-",'R.M Billets Reports'!D858)),TRIM('R.M Billets Reports'!F858),IF(ISNUMBER(SEARCH("Party Name-",'R.M Billets Reports'!D858)),TRIM(MID('R.M Billets Reports'!D858,SEARCH("-",'R.M Billets Reports'!D858)+1,200)),"")),IF(ISNUMBER(SEARCH("Party Name:-",'R.M Billets Reports'!D859)),TRIM('R.M Billets Reports'!F859),IF(ISNUMBER(SEARCH("Party Name-",'R.M Billets Reports'!D859)),TRIM(MID('R.M Billets Reports'!D859,SEARCH("-",'R.M Billets Reports'!D859)+1,200)),"")))))),IF(ROW()=2,"",A858))</f>
      </c>
      <c r="B859">
        <f>IF(OR('R.M Billets Reports'!A858="Date-",'R.M Billets Reports'!A858="Date:-"),'R.M Billets Reports'!B858,IF(ROW()=2,"",B858))</f>
      </c>
      <c r="C859">
        <f>IF('R.M Billets Reports'!A858="V.No.",'R.M Billets Reports'!B858,IF(ROW()=2,"",C858))</f>
      </c>
      <c r="D859">
        <f>IF('R.M Billets Reports'!A858&lt;&gt;"",'R.M Billets Reports'!A858,IF(ROW()=2,"",D858))</f>
      </c>
      <c r="E859">
        <f>IF('R.M Billets Reports'!B858="","",TRIM('R.M Billets Reports'!B858))</f>
      </c>
      <c r="F859">
        <f>'R.M Billets Reports'!C858</f>
      </c>
      <c r="G859">
        <f>'R.M Billets Reports'!D858</f>
      </c>
      <c r="H859">
        <f>'R.M Billets Reports'!E858</f>
      </c>
      <c r="I859">
        <f>'R.M Billets Reports'!F858</f>
      </c>
      <c r="J859">
        <f>'R.M Billets Reports'!G858</f>
      </c>
      <c r="K859">
        <f>'R.M Billets Reports'!H858</f>
      </c>
      <c r="L859">
        <f>IF('R.M Billets Reports'!I858="","",'R.M Billets Reports'!I858)</f>
      </c>
      <c r="M859">
        <f t="shared" si="26"/>
      </c>
      <c r="N859">
        <f>IF('R.M Billets Reports'!J858="","",'R.M Billets Reports'!J858)</f>
      </c>
      <c r="O859">
        <f t="shared" si="27"/>
      </c>
      <c r="P859">
        <f>IF('R.M Billets Reports'!A858="SIZE",'R.M Billets Reports'!B858,P858)</f>
      </c>
    </row>
    <row r="860" spans="1:16" x14ac:dyDescent="0.25">
      <c r="A860">
        <f>IF(OR('R.M Billets Reports'!A859="Date-",'R.M Billets Reports'!A859="Date:-"),IF(IF(IF(ISNUMBER(SEARCH("Party Name:-",'R.M Billets Reports'!D859)),TRIM('R.M Billets Reports'!F859),IF(ISNUMBER(SEARCH("Party Name-",'R.M Billets Reports'!D859)),TRIM(MID('R.M Billets Reports'!D859,SEARCH("-",'R.M Billets Reports'!D859)+1,200)),""))&lt;&gt;"",IF(ISNUMBER(SEARCH("Party Name:-",'R.M Billets Reports'!D859)),TRIM('R.M Billets Reports'!F859),IF(ISNUMBER(SEARCH("Party Name-",'R.M Billets Reports'!D859)),TRIM(MID('R.M Billets Reports'!D859,SEARCH("-",'R.M Billets Reports'!D859)+1,200)),"")),IF(ISNUMBER(SEARCH("Party Name:-",'R.M Billets Reports'!D860)),TRIM('R.M Billets Reports'!F860),IF(ISNUMBER(SEARCH("Party Name-",'R.M Billets Reports'!D860)),TRIM(MID('R.M Billets Reports'!D860,SEARCH("-",'R.M Billets Reports'!D860)+1,200)),"")))="VRKP ISPAT PVT LTD","VRKP",IF(IF(IF(ISNUMBER(SEARCH("Party Name:-",'R.M Billets Reports'!D859)),TRIM('R.M Billets Reports'!F859),IF(ISNUMBER(SEARCH("Party Name-",'R.M Billets Reports'!D859)),TRIM(MID('R.M Billets Reports'!D859,SEARCH("-",'R.M Billets Reports'!D859)+1,200)),""))&lt;&gt;"",IF(ISNUMBER(SEARCH("Party Name:-",'R.M Billets Reports'!D859)),TRIM('R.M Billets Reports'!F859),IF(ISNUMBER(SEARCH("Party Name-",'R.M Billets Reports'!D859)),TRIM(MID('R.M Billets Reports'!D859,SEARCH("-",'R.M Billets Reports'!D859)+1,200)),"")),IF(ISNUMBER(SEARCH("Party Name:-",'R.M Billets Reports'!D860)),TRIM('R.M Billets Reports'!F860),IF(ISNUMBER(SEARCH("Party Name-",'R.M Billets Reports'!D860)),TRIM(MID('R.M Billets Reports'!D860,SEARCH("-",'R.M Billets Reports'!D860)+1,200)),"")))="SHRI RADHE","SHREE RADHE",IF(IF(IF(ISNUMBER(SEARCH("Party Name:-",'R.M Billets Reports'!D859)),TRIM('R.M Billets Reports'!F859),IF(ISNUMBER(SEARCH("Party Name-",'R.M Billets Reports'!D859)),TRIM(MID('R.M Billets Reports'!D859,SEARCH("-",'R.M Billets Reports'!D859)+1,200)),""))&lt;&gt;"",IF(ISNUMBER(SEARCH("Party Name:-",'R.M Billets Reports'!D859)),TRIM('R.M Billets Reports'!F859),IF(ISNUMBER(SEARCH("Party Name-",'R.M Billets Reports'!D859)),TRIM(MID('R.M Billets Reports'!D859,SEARCH("-",'R.M Billets Reports'!D859)+1,200)),"")),IF(ISNUMBER(SEARCH("Party Name:-",'R.M Billets Reports'!D860)),TRIM('R.M Billets Reports'!F860),IF(ISNUMBER(SEARCH("Party Name-",'R.M Billets Reports'!D860)),TRIM(MID('R.M Billets Reports'!D860,SEARCH("-",'R.M Billets Reports'!D860)+1,200)),"")))="SHREE RADHE SHAKTI SPONGE AND POWER PVT. LTD.","SHREE RADHE",IF(IF(ISNUMBER(SEARCH("Party Name:-",'R.M Billets Reports'!D859)),TRIM('R.M Billets Reports'!F859),IF(ISNUMBER(SEARCH("Party Name-",'R.M Billets Reports'!D859)),TRIM(MID('R.M Billets Reports'!D859,SEARCH("-",'R.M Billets Reports'!D859)+1,200)),""))&lt;&gt;"",IF(ISNUMBER(SEARCH("Party Name:-",'R.M Billets Reports'!D859)),TRIM('R.M Billets Reports'!F859),IF(ISNUMBER(SEARCH("Party Name-",'R.M Billets Reports'!D859)),TRIM(MID('R.M Billets Reports'!D859,SEARCH("-",'R.M Billets Reports'!D859)+1,200)),"")),IF(ISNUMBER(SEARCH("Party Name:-",'R.M Billets Reports'!D860)),TRIM('R.M Billets Reports'!F860),IF(ISNUMBER(SEARCH("Party Name-",'R.M Billets Reports'!D860)),TRIM(MID('R.M Billets Reports'!D860,SEARCH("-",'R.M Billets Reports'!D860)+1,200)),"")))))),IF(ROW()=2,"",A859))</f>
      </c>
      <c r="B860">
        <f>IF(OR('R.M Billets Reports'!A859="Date-",'R.M Billets Reports'!A859="Date:-"),'R.M Billets Reports'!B859,IF(ROW()=2,"",B859))</f>
      </c>
      <c r="C860">
        <f>IF('R.M Billets Reports'!A859="V.No.",'R.M Billets Reports'!B859,IF(ROW()=2,"",C859))</f>
      </c>
      <c r="D860">
        <f>IF('R.M Billets Reports'!A859&lt;&gt;"",'R.M Billets Reports'!A859,IF(ROW()=2,"",D859))</f>
      </c>
      <c r="E860">
        <f>IF('R.M Billets Reports'!B859="","",TRIM('R.M Billets Reports'!B859))</f>
      </c>
      <c r="F860">
        <f>'R.M Billets Reports'!C859</f>
      </c>
      <c r="G860">
        <f>'R.M Billets Reports'!D859</f>
      </c>
      <c r="H860">
        <f>'R.M Billets Reports'!E859</f>
      </c>
      <c r="I860">
        <f>'R.M Billets Reports'!F859</f>
      </c>
      <c r="J860">
        <f>'R.M Billets Reports'!G859</f>
      </c>
      <c r="K860">
        <f>'R.M Billets Reports'!H859</f>
      </c>
      <c r="L860">
        <f>IF('R.M Billets Reports'!I859="","",'R.M Billets Reports'!I859)</f>
      </c>
      <c r="M860">
        <f t="shared" si="26"/>
      </c>
      <c r="N860">
        <f>IF('R.M Billets Reports'!J859="","",'R.M Billets Reports'!J859)</f>
      </c>
      <c r="O860">
        <f t="shared" si="27"/>
      </c>
      <c r="P860">
        <f>IF('R.M Billets Reports'!A859="SIZE",'R.M Billets Reports'!B859,P859)</f>
      </c>
    </row>
    <row r="861" spans="1:16" x14ac:dyDescent="0.25">
      <c r="A861">
        <f>IF(OR('R.M Billets Reports'!A860="Date-",'R.M Billets Reports'!A860="Date:-"),IF(IF(IF(ISNUMBER(SEARCH("Party Name:-",'R.M Billets Reports'!D860)),TRIM('R.M Billets Reports'!F860),IF(ISNUMBER(SEARCH("Party Name-",'R.M Billets Reports'!D860)),TRIM(MID('R.M Billets Reports'!D860,SEARCH("-",'R.M Billets Reports'!D860)+1,200)),""))&lt;&gt;"",IF(ISNUMBER(SEARCH("Party Name:-",'R.M Billets Reports'!D860)),TRIM('R.M Billets Reports'!F860),IF(ISNUMBER(SEARCH("Party Name-",'R.M Billets Reports'!D860)),TRIM(MID('R.M Billets Reports'!D860,SEARCH("-",'R.M Billets Reports'!D860)+1,200)),"")),IF(ISNUMBER(SEARCH("Party Name:-",'R.M Billets Reports'!D861)),TRIM('R.M Billets Reports'!F861),IF(ISNUMBER(SEARCH("Party Name-",'R.M Billets Reports'!D861)),TRIM(MID('R.M Billets Reports'!D861,SEARCH("-",'R.M Billets Reports'!D861)+1,200)),"")))="VRKP ISPAT PVT LTD","VRKP",IF(IF(IF(ISNUMBER(SEARCH("Party Name:-",'R.M Billets Reports'!D860)),TRIM('R.M Billets Reports'!F860),IF(ISNUMBER(SEARCH("Party Name-",'R.M Billets Reports'!D860)),TRIM(MID('R.M Billets Reports'!D860,SEARCH("-",'R.M Billets Reports'!D860)+1,200)),""))&lt;&gt;"",IF(ISNUMBER(SEARCH("Party Name:-",'R.M Billets Reports'!D860)),TRIM('R.M Billets Reports'!F860),IF(ISNUMBER(SEARCH("Party Name-",'R.M Billets Reports'!D860)),TRIM(MID('R.M Billets Reports'!D860,SEARCH("-",'R.M Billets Reports'!D860)+1,200)),"")),IF(ISNUMBER(SEARCH("Party Name:-",'R.M Billets Reports'!D861)),TRIM('R.M Billets Reports'!F861),IF(ISNUMBER(SEARCH("Party Name-",'R.M Billets Reports'!D861)),TRIM(MID('R.M Billets Reports'!D861,SEARCH("-",'R.M Billets Reports'!D861)+1,200)),"")))="SHRI RADHE","SHREE RADHE",IF(IF(IF(ISNUMBER(SEARCH("Party Name:-",'R.M Billets Reports'!D860)),TRIM('R.M Billets Reports'!F860),IF(ISNUMBER(SEARCH("Party Name-",'R.M Billets Reports'!D860)),TRIM(MID('R.M Billets Reports'!D860,SEARCH("-",'R.M Billets Reports'!D860)+1,200)),""))&lt;&gt;"",IF(ISNUMBER(SEARCH("Party Name:-",'R.M Billets Reports'!D860)),TRIM('R.M Billets Reports'!F860),IF(ISNUMBER(SEARCH("Party Name-",'R.M Billets Reports'!D860)),TRIM(MID('R.M Billets Reports'!D860,SEARCH("-",'R.M Billets Reports'!D860)+1,200)),"")),IF(ISNUMBER(SEARCH("Party Name:-",'R.M Billets Reports'!D861)),TRIM('R.M Billets Reports'!F861),IF(ISNUMBER(SEARCH("Party Name-",'R.M Billets Reports'!D861)),TRIM(MID('R.M Billets Reports'!D861,SEARCH("-",'R.M Billets Reports'!D861)+1,200)),"")))="SHREE RADHE SHAKTI SPONGE AND POWER PVT. LTD.","SHREE RADHE",IF(IF(ISNUMBER(SEARCH("Party Name:-",'R.M Billets Reports'!D860)),TRIM('R.M Billets Reports'!F860),IF(ISNUMBER(SEARCH("Party Name-",'R.M Billets Reports'!D860)),TRIM(MID('R.M Billets Reports'!D860,SEARCH("-",'R.M Billets Reports'!D860)+1,200)),""))&lt;&gt;"",IF(ISNUMBER(SEARCH("Party Name:-",'R.M Billets Reports'!D860)),TRIM('R.M Billets Reports'!F860),IF(ISNUMBER(SEARCH("Party Name-",'R.M Billets Reports'!D860)),TRIM(MID('R.M Billets Reports'!D860,SEARCH("-",'R.M Billets Reports'!D860)+1,200)),"")),IF(ISNUMBER(SEARCH("Party Name:-",'R.M Billets Reports'!D861)),TRIM('R.M Billets Reports'!F861),IF(ISNUMBER(SEARCH("Party Name-",'R.M Billets Reports'!D861)),TRIM(MID('R.M Billets Reports'!D861,SEARCH("-",'R.M Billets Reports'!D861)+1,200)),"")))))),IF(ROW()=2,"",A860))</f>
      </c>
      <c r="B861">
        <f>IF(OR('R.M Billets Reports'!A860="Date-",'R.M Billets Reports'!A860="Date:-"),'R.M Billets Reports'!B860,IF(ROW()=2,"",B860))</f>
      </c>
      <c r="C861">
        <f>IF('R.M Billets Reports'!A860="V.No.",'R.M Billets Reports'!B860,IF(ROW()=2,"",C860))</f>
      </c>
      <c r="D861">
        <f>IF('R.M Billets Reports'!A860&lt;&gt;"",'R.M Billets Reports'!A860,IF(ROW()=2,"",D860))</f>
      </c>
      <c r="E861">
        <f>IF('R.M Billets Reports'!B860="","",TRIM('R.M Billets Reports'!B860))</f>
      </c>
      <c r="F861">
        <f>'R.M Billets Reports'!C860</f>
      </c>
      <c r="G861">
        <f>'R.M Billets Reports'!D860</f>
      </c>
      <c r="H861">
        <f>'R.M Billets Reports'!E860</f>
      </c>
      <c r="I861">
        <f>'R.M Billets Reports'!F860</f>
      </c>
      <c r="J861">
        <f>'R.M Billets Reports'!G860</f>
      </c>
      <c r="K861">
        <f>'R.M Billets Reports'!H860</f>
      </c>
      <c r="L861">
        <f>IF('R.M Billets Reports'!I860="","",'R.M Billets Reports'!I860)</f>
      </c>
      <c r="M861">
        <f t="shared" si="26"/>
      </c>
      <c r="N861">
        <f>IF('R.M Billets Reports'!J860="","",'R.M Billets Reports'!J860)</f>
      </c>
      <c r="O861">
        <f t="shared" si="27"/>
      </c>
      <c r="P861">
        <f>IF('R.M Billets Reports'!A860="SIZE",'R.M Billets Reports'!B860,P860)</f>
      </c>
    </row>
    <row r="862" spans="1:16" x14ac:dyDescent="0.25">
      <c r="A862">
        <f>IF(OR('R.M Billets Reports'!A861="Date-",'R.M Billets Reports'!A861="Date:-"),IF(IF(IF(ISNUMBER(SEARCH("Party Name:-",'R.M Billets Reports'!D861)),TRIM('R.M Billets Reports'!F861),IF(ISNUMBER(SEARCH("Party Name-",'R.M Billets Reports'!D861)),TRIM(MID('R.M Billets Reports'!D861,SEARCH("-",'R.M Billets Reports'!D861)+1,200)),""))&lt;&gt;"",IF(ISNUMBER(SEARCH("Party Name:-",'R.M Billets Reports'!D861)),TRIM('R.M Billets Reports'!F861),IF(ISNUMBER(SEARCH("Party Name-",'R.M Billets Reports'!D861)),TRIM(MID('R.M Billets Reports'!D861,SEARCH("-",'R.M Billets Reports'!D861)+1,200)),"")),IF(ISNUMBER(SEARCH("Party Name:-",'R.M Billets Reports'!D862)),TRIM('R.M Billets Reports'!F862),IF(ISNUMBER(SEARCH("Party Name-",'R.M Billets Reports'!D862)),TRIM(MID('R.M Billets Reports'!D862,SEARCH("-",'R.M Billets Reports'!D862)+1,200)),"")))="VRKP ISPAT PVT LTD","VRKP",IF(IF(IF(ISNUMBER(SEARCH("Party Name:-",'R.M Billets Reports'!D861)),TRIM('R.M Billets Reports'!F861),IF(ISNUMBER(SEARCH("Party Name-",'R.M Billets Reports'!D861)),TRIM(MID('R.M Billets Reports'!D861,SEARCH("-",'R.M Billets Reports'!D861)+1,200)),""))&lt;&gt;"",IF(ISNUMBER(SEARCH("Party Name:-",'R.M Billets Reports'!D861)),TRIM('R.M Billets Reports'!F861),IF(ISNUMBER(SEARCH("Party Name-",'R.M Billets Reports'!D861)),TRIM(MID('R.M Billets Reports'!D861,SEARCH("-",'R.M Billets Reports'!D861)+1,200)),"")),IF(ISNUMBER(SEARCH("Party Name:-",'R.M Billets Reports'!D862)),TRIM('R.M Billets Reports'!F862),IF(ISNUMBER(SEARCH("Party Name-",'R.M Billets Reports'!D862)),TRIM(MID('R.M Billets Reports'!D862,SEARCH("-",'R.M Billets Reports'!D862)+1,200)),"")))="SHRI RADHE","SHREE RADHE",IF(IF(IF(ISNUMBER(SEARCH("Party Name:-",'R.M Billets Reports'!D861)),TRIM('R.M Billets Reports'!F861),IF(ISNUMBER(SEARCH("Party Name-",'R.M Billets Reports'!D861)),TRIM(MID('R.M Billets Reports'!D861,SEARCH("-",'R.M Billets Reports'!D861)+1,200)),""))&lt;&gt;"",IF(ISNUMBER(SEARCH("Party Name:-",'R.M Billets Reports'!D861)),TRIM('R.M Billets Reports'!F861),IF(ISNUMBER(SEARCH("Party Name-",'R.M Billets Reports'!D861)),TRIM(MID('R.M Billets Reports'!D861,SEARCH("-",'R.M Billets Reports'!D861)+1,200)),"")),IF(ISNUMBER(SEARCH("Party Name:-",'R.M Billets Reports'!D862)),TRIM('R.M Billets Reports'!F862),IF(ISNUMBER(SEARCH("Party Name-",'R.M Billets Reports'!D862)),TRIM(MID('R.M Billets Reports'!D862,SEARCH("-",'R.M Billets Reports'!D862)+1,200)),"")))="SHREE RADHE SHAKTI SPONGE AND POWER PVT. LTD.","SHREE RADHE",IF(IF(ISNUMBER(SEARCH("Party Name:-",'R.M Billets Reports'!D861)),TRIM('R.M Billets Reports'!F861),IF(ISNUMBER(SEARCH("Party Name-",'R.M Billets Reports'!D861)),TRIM(MID('R.M Billets Reports'!D861,SEARCH("-",'R.M Billets Reports'!D861)+1,200)),""))&lt;&gt;"",IF(ISNUMBER(SEARCH("Party Name:-",'R.M Billets Reports'!D861)),TRIM('R.M Billets Reports'!F861),IF(ISNUMBER(SEARCH("Party Name-",'R.M Billets Reports'!D861)),TRIM(MID('R.M Billets Reports'!D861,SEARCH("-",'R.M Billets Reports'!D861)+1,200)),"")),IF(ISNUMBER(SEARCH("Party Name:-",'R.M Billets Reports'!D862)),TRIM('R.M Billets Reports'!F862),IF(ISNUMBER(SEARCH("Party Name-",'R.M Billets Reports'!D862)),TRIM(MID('R.M Billets Reports'!D862,SEARCH("-",'R.M Billets Reports'!D862)+1,200)),"")))))),IF(ROW()=2,"",A861))</f>
      </c>
      <c r="B862">
        <f>IF(OR('R.M Billets Reports'!A861="Date-",'R.M Billets Reports'!A861="Date:-"),'R.M Billets Reports'!B861,IF(ROW()=2,"",B861))</f>
      </c>
      <c r="C862">
        <f>IF('R.M Billets Reports'!A861="V.No.",'R.M Billets Reports'!B861,IF(ROW()=2,"",C861))</f>
      </c>
      <c r="D862">
        <f>IF('R.M Billets Reports'!A861&lt;&gt;"",'R.M Billets Reports'!A861,IF(ROW()=2,"",D861))</f>
      </c>
      <c r="E862">
        <f>IF('R.M Billets Reports'!B861="","",TRIM('R.M Billets Reports'!B861))</f>
      </c>
      <c r="F862">
        <f>'R.M Billets Reports'!C861</f>
      </c>
      <c r="G862">
        <f>'R.M Billets Reports'!D861</f>
      </c>
      <c r="H862">
        <f>'R.M Billets Reports'!E861</f>
      </c>
      <c r="I862">
        <f>'R.M Billets Reports'!F861</f>
      </c>
      <c r="J862">
        <f>'R.M Billets Reports'!G861</f>
      </c>
      <c r="K862">
        <f>'R.M Billets Reports'!H861</f>
      </c>
      <c r="L862">
        <f>IF('R.M Billets Reports'!I861="","",'R.M Billets Reports'!I861)</f>
      </c>
      <c r="M862">
        <f t="shared" si="26"/>
      </c>
      <c r="N862">
        <f>IF('R.M Billets Reports'!J861="","",'R.M Billets Reports'!J861)</f>
      </c>
      <c r="O862">
        <f t="shared" si="27"/>
      </c>
      <c r="P862">
        <f>IF('R.M Billets Reports'!A861="SIZE",'R.M Billets Reports'!B861,P861)</f>
      </c>
    </row>
    <row r="863" spans="1:16" x14ac:dyDescent="0.25">
      <c r="A863">
        <f>IF(OR('R.M Billets Reports'!A862="Date-",'R.M Billets Reports'!A862="Date:-"),IF(IF(IF(ISNUMBER(SEARCH("Party Name:-",'R.M Billets Reports'!D862)),TRIM('R.M Billets Reports'!F862),IF(ISNUMBER(SEARCH("Party Name-",'R.M Billets Reports'!D862)),TRIM(MID('R.M Billets Reports'!D862,SEARCH("-",'R.M Billets Reports'!D862)+1,200)),""))&lt;&gt;"",IF(ISNUMBER(SEARCH("Party Name:-",'R.M Billets Reports'!D862)),TRIM('R.M Billets Reports'!F862),IF(ISNUMBER(SEARCH("Party Name-",'R.M Billets Reports'!D862)),TRIM(MID('R.M Billets Reports'!D862,SEARCH("-",'R.M Billets Reports'!D862)+1,200)),"")),IF(ISNUMBER(SEARCH("Party Name:-",'R.M Billets Reports'!D863)),TRIM('R.M Billets Reports'!F863),IF(ISNUMBER(SEARCH("Party Name-",'R.M Billets Reports'!D863)),TRIM(MID('R.M Billets Reports'!D863,SEARCH("-",'R.M Billets Reports'!D863)+1,200)),"")))="VRKP ISPAT PVT LTD","VRKP",IF(IF(IF(ISNUMBER(SEARCH("Party Name:-",'R.M Billets Reports'!D862)),TRIM('R.M Billets Reports'!F862),IF(ISNUMBER(SEARCH("Party Name-",'R.M Billets Reports'!D862)),TRIM(MID('R.M Billets Reports'!D862,SEARCH("-",'R.M Billets Reports'!D862)+1,200)),""))&lt;&gt;"",IF(ISNUMBER(SEARCH("Party Name:-",'R.M Billets Reports'!D862)),TRIM('R.M Billets Reports'!F862),IF(ISNUMBER(SEARCH("Party Name-",'R.M Billets Reports'!D862)),TRIM(MID('R.M Billets Reports'!D862,SEARCH("-",'R.M Billets Reports'!D862)+1,200)),"")),IF(ISNUMBER(SEARCH("Party Name:-",'R.M Billets Reports'!D863)),TRIM('R.M Billets Reports'!F863),IF(ISNUMBER(SEARCH("Party Name-",'R.M Billets Reports'!D863)),TRIM(MID('R.M Billets Reports'!D863,SEARCH("-",'R.M Billets Reports'!D863)+1,200)),"")))="SHRI RADHE","SHREE RADHE",IF(IF(IF(ISNUMBER(SEARCH("Party Name:-",'R.M Billets Reports'!D862)),TRIM('R.M Billets Reports'!F862),IF(ISNUMBER(SEARCH("Party Name-",'R.M Billets Reports'!D862)),TRIM(MID('R.M Billets Reports'!D862,SEARCH("-",'R.M Billets Reports'!D862)+1,200)),""))&lt;&gt;"",IF(ISNUMBER(SEARCH("Party Name:-",'R.M Billets Reports'!D862)),TRIM('R.M Billets Reports'!F862),IF(ISNUMBER(SEARCH("Party Name-",'R.M Billets Reports'!D862)),TRIM(MID('R.M Billets Reports'!D862,SEARCH("-",'R.M Billets Reports'!D862)+1,200)),"")),IF(ISNUMBER(SEARCH("Party Name:-",'R.M Billets Reports'!D863)),TRIM('R.M Billets Reports'!F863),IF(ISNUMBER(SEARCH("Party Name-",'R.M Billets Reports'!D863)),TRIM(MID('R.M Billets Reports'!D863,SEARCH("-",'R.M Billets Reports'!D863)+1,200)),"")))="SHREE RADHE SHAKTI SPONGE AND POWER PVT. LTD.","SHREE RADHE",IF(IF(ISNUMBER(SEARCH("Party Name:-",'R.M Billets Reports'!D862)),TRIM('R.M Billets Reports'!F862),IF(ISNUMBER(SEARCH("Party Name-",'R.M Billets Reports'!D862)),TRIM(MID('R.M Billets Reports'!D862,SEARCH("-",'R.M Billets Reports'!D862)+1,200)),""))&lt;&gt;"",IF(ISNUMBER(SEARCH("Party Name:-",'R.M Billets Reports'!D862)),TRIM('R.M Billets Reports'!F862),IF(ISNUMBER(SEARCH("Party Name-",'R.M Billets Reports'!D862)),TRIM(MID('R.M Billets Reports'!D862,SEARCH("-",'R.M Billets Reports'!D862)+1,200)),"")),IF(ISNUMBER(SEARCH("Party Name:-",'R.M Billets Reports'!D863)),TRIM('R.M Billets Reports'!F863),IF(ISNUMBER(SEARCH("Party Name-",'R.M Billets Reports'!D863)),TRIM(MID('R.M Billets Reports'!D863,SEARCH("-",'R.M Billets Reports'!D863)+1,200)),"")))))),IF(ROW()=2,"",A862))</f>
      </c>
      <c r="B863">
        <f>IF(OR('R.M Billets Reports'!A862="Date-",'R.M Billets Reports'!A862="Date:-"),'R.M Billets Reports'!B862,IF(ROW()=2,"",B862))</f>
      </c>
      <c r="C863">
        <f>IF('R.M Billets Reports'!A862="V.No.",'R.M Billets Reports'!B862,IF(ROW()=2,"",C862))</f>
      </c>
      <c r="D863">
        <f>IF('R.M Billets Reports'!A862&lt;&gt;"",'R.M Billets Reports'!A862,IF(ROW()=2,"",D862))</f>
      </c>
      <c r="E863">
        <f>IF('R.M Billets Reports'!B862="","",TRIM('R.M Billets Reports'!B862))</f>
      </c>
      <c r="F863">
        <f>'R.M Billets Reports'!C862</f>
      </c>
      <c r="G863">
        <f>'R.M Billets Reports'!D862</f>
      </c>
      <c r="H863">
        <f>'R.M Billets Reports'!E862</f>
      </c>
      <c r="I863">
        <f>'R.M Billets Reports'!F862</f>
      </c>
      <c r="J863">
        <f>'R.M Billets Reports'!G862</f>
      </c>
      <c r="K863">
        <f>'R.M Billets Reports'!H862</f>
      </c>
      <c r="L863">
        <f>IF('R.M Billets Reports'!I862="","",'R.M Billets Reports'!I862)</f>
      </c>
      <c r="M863">
        <f t="shared" si="26"/>
      </c>
      <c r="N863">
        <f>IF('R.M Billets Reports'!J862="","",'R.M Billets Reports'!J862)</f>
      </c>
      <c r="O863">
        <f t="shared" si="27"/>
      </c>
      <c r="P863">
        <f>IF('R.M Billets Reports'!A862="SIZE",'R.M Billets Reports'!B862,P862)</f>
      </c>
    </row>
    <row r="864" spans="1:16" x14ac:dyDescent="0.25">
      <c r="A864">
        <f>IF(OR('R.M Billets Reports'!A863="Date-",'R.M Billets Reports'!A863="Date:-"),IF(IF(IF(ISNUMBER(SEARCH("Party Name:-",'R.M Billets Reports'!D863)),TRIM('R.M Billets Reports'!F863),IF(ISNUMBER(SEARCH("Party Name-",'R.M Billets Reports'!D863)),TRIM(MID('R.M Billets Reports'!D863,SEARCH("-",'R.M Billets Reports'!D863)+1,200)),""))&lt;&gt;"",IF(ISNUMBER(SEARCH("Party Name:-",'R.M Billets Reports'!D863)),TRIM('R.M Billets Reports'!F863),IF(ISNUMBER(SEARCH("Party Name-",'R.M Billets Reports'!D863)),TRIM(MID('R.M Billets Reports'!D863,SEARCH("-",'R.M Billets Reports'!D863)+1,200)),"")),IF(ISNUMBER(SEARCH("Party Name:-",'R.M Billets Reports'!D864)),TRIM('R.M Billets Reports'!F864),IF(ISNUMBER(SEARCH("Party Name-",'R.M Billets Reports'!D864)),TRIM(MID('R.M Billets Reports'!D864,SEARCH("-",'R.M Billets Reports'!D864)+1,200)),"")))="VRKP ISPAT PVT LTD","VRKP",IF(IF(IF(ISNUMBER(SEARCH("Party Name:-",'R.M Billets Reports'!D863)),TRIM('R.M Billets Reports'!F863),IF(ISNUMBER(SEARCH("Party Name-",'R.M Billets Reports'!D863)),TRIM(MID('R.M Billets Reports'!D863,SEARCH("-",'R.M Billets Reports'!D863)+1,200)),""))&lt;&gt;"",IF(ISNUMBER(SEARCH("Party Name:-",'R.M Billets Reports'!D863)),TRIM('R.M Billets Reports'!F863),IF(ISNUMBER(SEARCH("Party Name-",'R.M Billets Reports'!D863)),TRIM(MID('R.M Billets Reports'!D863,SEARCH("-",'R.M Billets Reports'!D863)+1,200)),"")),IF(ISNUMBER(SEARCH("Party Name:-",'R.M Billets Reports'!D864)),TRIM('R.M Billets Reports'!F864),IF(ISNUMBER(SEARCH("Party Name-",'R.M Billets Reports'!D864)),TRIM(MID('R.M Billets Reports'!D864,SEARCH("-",'R.M Billets Reports'!D864)+1,200)),"")))="SHRI RADHE","SHREE RADHE",IF(IF(IF(ISNUMBER(SEARCH("Party Name:-",'R.M Billets Reports'!D863)),TRIM('R.M Billets Reports'!F863),IF(ISNUMBER(SEARCH("Party Name-",'R.M Billets Reports'!D863)),TRIM(MID('R.M Billets Reports'!D863,SEARCH("-",'R.M Billets Reports'!D863)+1,200)),""))&lt;&gt;"",IF(ISNUMBER(SEARCH("Party Name:-",'R.M Billets Reports'!D863)),TRIM('R.M Billets Reports'!F863),IF(ISNUMBER(SEARCH("Party Name-",'R.M Billets Reports'!D863)),TRIM(MID('R.M Billets Reports'!D863,SEARCH("-",'R.M Billets Reports'!D863)+1,200)),"")),IF(ISNUMBER(SEARCH("Party Name:-",'R.M Billets Reports'!D864)),TRIM('R.M Billets Reports'!F864),IF(ISNUMBER(SEARCH("Party Name-",'R.M Billets Reports'!D864)),TRIM(MID('R.M Billets Reports'!D864,SEARCH("-",'R.M Billets Reports'!D864)+1,200)),"")))="SHREE RADHE SHAKTI SPONGE AND POWER PVT. LTD.","SHREE RADHE",IF(IF(ISNUMBER(SEARCH("Party Name:-",'R.M Billets Reports'!D863)),TRIM('R.M Billets Reports'!F863),IF(ISNUMBER(SEARCH("Party Name-",'R.M Billets Reports'!D863)),TRIM(MID('R.M Billets Reports'!D863,SEARCH("-",'R.M Billets Reports'!D863)+1,200)),""))&lt;&gt;"",IF(ISNUMBER(SEARCH("Party Name:-",'R.M Billets Reports'!D863)),TRIM('R.M Billets Reports'!F863),IF(ISNUMBER(SEARCH("Party Name-",'R.M Billets Reports'!D863)),TRIM(MID('R.M Billets Reports'!D863,SEARCH("-",'R.M Billets Reports'!D863)+1,200)),"")),IF(ISNUMBER(SEARCH("Party Name:-",'R.M Billets Reports'!D864)),TRIM('R.M Billets Reports'!F864),IF(ISNUMBER(SEARCH("Party Name-",'R.M Billets Reports'!D864)),TRIM(MID('R.M Billets Reports'!D864,SEARCH("-",'R.M Billets Reports'!D864)+1,200)),"")))))),IF(ROW()=2,"",A863))</f>
      </c>
      <c r="B864">
        <f>IF(OR('R.M Billets Reports'!A863="Date-",'R.M Billets Reports'!A863="Date:-"),'R.M Billets Reports'!B863,IF(ROW()=2,"",B863))</f>
      </c>
      <c r="C864">
        <f>IF('R.M Billets Reports'!A863="V.No.",'R.M Billets Reports'!B863,IF(ROW()=2,"",C863))</f>
      </c>
      <c r="D864">
        <f>IF('R.M Billets Reports'!A863&lt;&gt;"",'R.M Billets Reports'!A863,IF(ROW()=2,"",D863))</f>
      </c>
      <c r="E864">
        <f>IF('R.M Billets Reports'!B863="","",TRIM('R.M Billets Reports'!B863))</f>
      </c>
      <c r="F864">
        <f>'R.M Billets Reports'!C863</f>
      </c>
      <c r="G864">
        <f>'R.M Billets Reports'!D863</f>
      </c>
      <c r="H864">
        <f>'R.M Billets Reports'!E863</f>
      </c>
      <c r="I864">
        <f>'R.M Billets Reports'!F863</f>
      </c>
      <c r="J864">
        <f>'R.M Billets Reports'!G863</f>
      </c>
      <c r="K864">
        <f>'R.M Billets Reports'!H863</f>
      </c>
      <c r="L864">
        <f>IF('R.M Billets Reports'!I863="","",'R.M Billets Reports'!I863)</f>
      </c>
      <c r="M864">
        <f t="shared" si="26"/>
      </c>
      <c r="N864">
        <f>IF('R.M Billets Reports'!J863="","",'R.M Billets Reports'!J863)</f>
      </c>
      <c r="O864">
        <f t="shared" si="27"/>
      </c>
      <c r="P864">
        <f>IF('R.M Billets Reports'!A863="SIZE",'R.M Billets Reports'!B863,P863)</f>
      </c>
    </row>
    <row r="865" spans="1:16" x14ac:dyDescent="0.25">
      <c r="A865">
        <f>IF(OR('R.M Billets Reports'!A864="Date-",'R.M Billets Reports'!A864="Date:-"),IF(IF(IF(ISNUMBER(SEARCH("Party Name:-",'R.M Billets Reports'!D864)),TRIM('R.M Billets Reports'!F864),IF(ISNUMBER(SEARCH("Party Name-",'R.M Billets Reports'!D864)),TRIM(MID('R.M Billets Reports'!D864,SEARCH("-",'R.M Billets Reports'!D864)+1,200)),""))&lt;&gt;"",IF(ISNUMBER(SEARCH("Party Name:-",'R.M Billets Reports'!D864)),TRIM('R.M Billets Reports'!F864),IF(ISNUMBER(SEARCH("Party Name-",'R.M Billets Reports'!D864)),TRIM(MID('R.M Billets Reports'!D864,SEARCH("-",'R.M Billets Reports'!D864)+1,200)),"")),IF(ISNUMBER(SEARCH("Party Name:-",'R.M Billets Reports'!D865)),TRIM('R.M Billets Reports'!F865),IF(ISNUMBER(SEARCH("Party Name-",'R.M Billets Reports'!D865)),TRIM(MID('R.M Billets Reports'!D865,SEARCH("-",'R.M Billets Reports'!D865)+1,200)),"")))="VRKP ISPAT PVT LTD","VRKP",IF(IF(IF(ISNUMBER(SEARCH("Party Name:-",'R.M Billets Reports'!D864)),TRIM('R.M Billets Reports'!F864),IF(ISNUMBER(SEARCH("Party Name-",'R.M Billets Reports'!D864)),TRIM(MID('R.M Billets Reports'!D864,SEARCH("-",'R.M Billets Reports'!D864)+1,200)),""))&lt;&gt;"",IF(ISNUMBER(SEARCH("Party Name:-",'R.M Billets Reports'!D864)),TRIM('R.M Billets Reports'!F864),IF(ISNUMBER(SEARCH("Party Name-",'R.M Billets Reports'!D864)),TRIM(MID('R.M Billets Reports'!D864,SEARCH("-",'R.M Billets Reports'!D864)+1,200)),"")),IF(ISNUMBER(SEARCH("Party Name:-",'R.M Billets Reports'!D865)),TRIM('R.M Billets Reports'!F865),IF(ISNUMBER(SEARCH("Party Name-",'R.M Billets Reports'!D865)),TRIM(MID('R.M Billets Reports'!D865,SEARCH("-",'R.M Billets Reports'!D865)+1,200)),"")))="SHRI RADHE","SHREE RADHE",IF(IF(IF(ISNUMBER(SEARCH("Party Name:-",'R.M Billets Reports'!D864)),TRIM('R.M Billets Reports'!F864),IF(ISNUMBER(SEARCH("Party Name-",'R.M Billets Reports'!D864)),TRIM(MID('R.M Billets Reports'!D864,SEARCH("-",'R.M Billets Reports'!D864)+1,200)),""))&lt;&gt;"",IF(ISNUMBER(SEARCH("Party Name:-",'R.M Billets Reports'!D864)),TRIM('R.M Billets Reports'!F864),IF(ISNUMBER(SEARCH("Party Name-",'R.M Billets Reports'!D864)),TRIM(MID('R.M Billets Reports'!D864,SEARCH("-",'R.M Billets Reports'!D864)+1,200)),"")),IF(ISNUMBER(SEARCH("Party Name:-",'R.M Billets Reports'!D865)),TRIM('R.M Billets Reports'!F865),IF(ISNUMBER(SEARCH("Party Name-",'R.M Billets Reports'!D865)),TRIM(MID('R.M Billets Reports'!D865,SEARCH("-",'R.M Billets Reports'!D865)+1,200)),"")))="SHREE RADHE SHAKTI SPONGE AND POWER PVT. LTD.","SHREE RADHE",IF(IF(ISNUMBER(SEARCH("Party Name:-",'R.M Billets Reports'!D864)),TRIM('R.M Billets Reports'!F864),IF(ISNUMBER(SEARCH("Party Name-",'R.M Billets Reports'!D864)),TRIM(MID('R.M Billets Reports'!D864,SEARCH("-",'R.M Billets Reports'!D864)+1,200)),""))&lt;&gt;"",IF(ISNUMBER(SEARCH("Party Name:-",'R.M Billets Reports'!D864)),TRIM('R.M Billets Reports'!F864),IF(ISNUMBER(SEARCH("Party Name-",'R.M Billets Reports'!D864)),TRIM(MID('R.M Billets Reports'!D864,SEARCH("-",'R.M Billets Reports'!D864)+1,200)),"")),IF(ISNUMBER(SEARCH("Party Name:-",'R.M Billets Reports'!D865)),TRIM('R.M Billets Reports'!F865),IF(ISNUMBER(SEARCH("Party Name-",'R.M Billets Reports'!D865)),TRIM(MID('R.M Billets Reports'!D865,SEARCH("-",'R.M Billets Reports'!D865)+1,200)),"")))))),IF(ROW()=2,"",A864))</f>
      </c>
      <c r="B865">
        <f>IF(OR('R.M Billets Reports'!A864="Date-",'R.M Billets Reports'!A864="Date:-"),'R.M Billets Reports'!B864,IF(ROW()=2,"",B864))</f>
      </c>
      <c r="C865">
        <f>IF('R.M Billets Reports'!A864="V.No.",'R.M Billets Reports'!B864,IF(ROW()=2,"",C864))</f>
      </c>
      <c r="D865">
        <f>IF('R.M Billets Reports'!A864&lt;&gt;"",'R.M Billets Reports'!A864,IF(ROW()=2,"",D864))</f>
      </c>
      <c r="E865">
        <f>IF('R.M Billets Reports'!B864="","",TRIM('R.M Billets Reports'!B864))</f>
      </c>
      <c r="F865">
        <f>'R.M Billets Reports'!C864</f>
      </c>
      <c r="G865">
        <f>'R.M Billets Reports'!D864</f>
      </c>
      <c r="H865">
        <f>'R.M Billets Reports'!E864</f>
      </c>
      <c r="I865">
        <f>'R.M Billets Reports'!F864</f>
      </c>
      <c r="J865">
        <f>'R.M Billets Reports'!G864</f>
      </c>
      <c r="K865">
        <f>'R.M Billets Reports'!H864</f>
      </c>
      <c r="L865">
        <f>IF('R.M Billets Reports'!I864="","",'R.M Billets Reports'!I864)</f>
      </c>
      <c r="M865">
        <f t="shared" si="26"/>
      </c>
      <c r="N865">
        <f>IF('R.M Billets Reports'!J864="","",'R.M Billets Reports'!J864)</f>
      </c>
      <c r="O865">
        <f t="shared" si="27"/>
      </c>
      <c r="P865">
        <f>IF('R.M Billets Reports'!A864="SIZE",'R.M Billets Reports'!B864,P864)</f>
      </c>
    </row>
    <row r="866" spans="1:16" x14ac:dyDescent="0.25">
      <c r="A866">
        <f>IF(OR('R.M Billets Reports'!A865="Date-",'R.M Billets Reports'!A865="Date:-"),IF(IF(IF(ISNUMBER(SEARCH("Party Name:-",'R.M Billets Reports'!D865)),TRIM('R.M Billets Reports'!F865),IF(ISNUMBER(SEARCH("Party Name-",'R.M Billets Reports'!D865)),TRIM(MID('R.M Billets Reports'!D865,SEARCH("-",'R.M Billets Reports'!D865)+1,200)),""))&lt;&gt;"",IF(ISNUMBER(SEARCH("Party Name:-",'R.M Billets Reports'!D865)),TRIM('R.M Billets Reports'!F865),IF(ISNUMBER(SEARCH("Party Name-",'R.M Billets Reports'!D865)),TRIM(MID('R.M Billets Reports'!D865,SEARCH("-",'R.M Billets Reports'!D865)+1,200)),"")),IF(ISNUMBER(SEARCH("Party Name:-",'R.M Billets Reports'!D866)),TRIM('R.M Billets Reports'!F866),IF(ISNUMBER(SEARCH("Party Name-",'R.M Billets Reports'!D866)),TRIM(MID('R.M Billets Reports'!D866,SEARCH("-",'R.M Billets Reports'!D866)+1,200)),"")))="VRKP ISPAT PVT LTD","VRKP",IF(IF(IF(ISNUMBER(SEARCH("Party Name:-",'R.M Billets Reports'!D865)),TRIM('R.M Billets Reports'!F865),IF(ISNUMBER(SEARCH("Party Name-",'R.M Billets Reports'!D865)),TRIM(MID('R.M Billets Reports'!D865,SEARCH("-",'R.M Billets Reports'!D865)+1,200)),""))&lt;&gt;"",IF(ISNUMBER(SEARCH("Party Name:-",'R.M Billets Reports'!D865)),TRIM('R.M Billets Reports'!F865),IF(ISNUMBER(SEARCH("Party Name-",'R.M Billets Reports'!D865)),TRIM(MID('R.M Billets Reports'!D865,SEARCH("-",'R.M Billets Reports'!D865)+1,200)),"")),IF(ISNUMBER(SEARCH("Party Name:-",'R.M Billets Reports'!D866)),TRIM('R.M Billets Reports'!F866),IF(ISNUMBER(SEARCH("Party Name-",'R.M Billets Reports'!D866)),TRIM(MID('R.M Billets Reports'!D866,SEARCH("-",'R.M Billets Reports'!D866)+1,200)),"")))="SHRI RADHE","SHREE RADHE",IF(IF(IF(ISNUMBER(SEARCH("Party Name:-",'R.M Billets Reports'!D865)),TRIM('R.M Billets Reports'!F865),IF(ISNUMBER(SEARCH("Party Name-",'R.M Billets Reports'!D865)),TRIM(MID('R.M Billets Reports'!D865,SEARCH("-",'R.M Billets Reports'!D865)+1,200)),""))&lt;&gt;"",IF(ISNUMBER(SEARCH("Party Name:-",'R.M Billets Reports'!D865)),TRIM('R.M Billets Reports'!F865),IF(ISNUMBER(SEARCH("Party Name-",'R.M Billets Reports'!D865)),TRIM(MID('R.M Billets Reports'!D865,SEARCH("-",'R.M Billets Reports'!D865)+1,200)),"")),IF(ISNUMBER(SEARCH("Party Name:-",'R.M Billets Reports'!D866)),TRIM('R.M Billets Reports'!F866),IF(ISNUMBER(SEARCH("Party Name-",'R.M Billets Reports'!D866)),TRIM(MID('R.M Billets Reports'!D866,SEARCH("-",'R.M Billets Reports'!D866)+1,200)),"")))="SHREE RADHE SHAKTI SPONGE AND POWER PVT. LTD.","SHREE RADHE",IF(IF(ISNUMBER(SEARCH("Party Name:-",'R.M Billets Reports'!D865)),TRIM('R.M Billets Reports'!F865),IF(ISNUMBER(SEARCH("Party Name-",'R.M Billets Reports'!D865)),TRIM(MID('R.M Billets Reports'!D865,SEARCH("-",'R.M Billets Reports'!D865)+1,200)),""))&lt;&gt;"",IF(ISNUMBER(SEARCH("Party Name:-",'R.M Billets Reports'!D865)),TRIM('R.M Billets Reports'!F865),IF(ISNUMBER(SEARCH("Party Name-",'R.M Billets Reports'!D865)),TRIM(MID('R.M Billets Reports'!D865,SEARCH("-",'R.M Billets Reports'!D865)+1,200)),"")),IF(ISNUMBER(SEARCH("Party Name:-",'R.M Billets Reports'!D866)),TRIM('R.M Billets Reports'!F866),IF(ISNUMBER(SEARCH("Party Name-",'R.M Billets Reports'!D866)),TRIM(MID('R.M Billets Reports'!D866,SEARCH("-",'R.M Billets Reports'!D866)+1,200)),"")))))),IF(ROW()=2,"",A865))</f>
      </c>
      <c r="B866">
        <f>IF(OR('R.M Billets Reports'!A865="Date-",'R.M Billets Reports'!A865="Date:-"),'R.M Billets Reports'!B865,IF(ROW()=2,"",B865))</f>
      </c>
      <c r="C866">
        <f>IF('R.M Billets Reports'!A865="V.No.",'R.M Billets Reports'!B865,IF(ROW()=2,"",C865))</f>
      </c>
      <c r="D866">
        <f>IF('R.M Billets Reports'!A865&lt;&gt;"",'R.M Billets Reports'!A865,IF(ROW()=2,"",D865))</f>
      </c>
      <c r="E866">
        <f>IF('R.M Billets Reports'!B865="","",TRIM('R.M Billets Reports'!B865))</f>
      </c>
      <c r="F866">
        <f>'R.M Billets Reports'!C865</f>
      </c>
      <c r="G866">
        <f>'R.M Billets Reports'!D865</f>
      </c>
      <c r="H866">
        <f>'R.M Billets Reports'!E865</f>
      </c>
      <c r="I866">
        <f>'R.M Billets Reports'!F865</f>
      </c>
      <c r="J866">
        <f>'R.M Billets Reports'!G865</f>
      </c>
      <c r="K866">
        <f>'R.M Billets Reports'!H865</f>
      </c>
      <c r="L866">
        <f>IF('R.M Billets Reports'!I865="","",'R.M Billets Reports'!I865)</f>
      </c>
      <c r="M866">
        <f t="shared" si="26"/>
      </c>
      <c r="N866">
        <f>IF('R.M Billets Reports'!J865="","",'R.M Billets Reports'!J865)</f>
      </c>
      <c r="O866">
        <f t="shared" si="27"/>
      </c>
      <c r="P866">
        <f>IF('R.M Billets Reports'!A865="SIZE",'R.M Billets Reports'!B865,P865)</f>
      </c>
    </row>
    <row r="867" spans="1:16" x14ac:dyDescent="0.25">
      <c r="A867">
        <f>IF(OR('R.M Billets Reports'!A866="Date-",'R.M Billets Reports'!A866="Date:-"),IF(IF(IF(ISNUMBER(SEARCH("Party Name:-",'R.M Billets Reports'!D866)),TRIM('R.M Billets Reports'!F866),IF(ISNUMBER(SEARCH("Party Name-",'R.M Billets Reports'!D866)),TRIM(MID('R.M Billets Reports'!D866,SEARCH("-",'R.M Billets Reports'!D866)+1,200)),""))&lt;&gt;"",IF(ISNUMBER(SEARCH("Party Name:-",'R.M Billets Reports'!D866)),TRIM('R.M Billets Reports'!F866),IF(ISNUMBER(SEARCH("Party Name-",'R.M Billets Reports'!D866)),TRIM(MID('R.M Billets Reports'!D866,SEARCH("-",'R.M Billets Reports'!D866)+1,200)),"")),IF(ISNUMBER(SEARCH("Party Name:-",'R.M Billets Reports'!D867)),TRIM('R.M Billets Reports'!F867),IF(ISNUMBER(SEARCH("Party Name-",'R.M Billets Reports'!D867)),TRIM(MID('R.M Billets Reports'!D867,SEARCH("-",'R.M Billets Reports'!D867)+1,200)),"")))="VRKP ISPAT PVT LTD","VRKP",IF(IF(IF(ISNUMBER(SEARCH("Party Name:-",'R.M Billets Reports'!D866)),TRIM('R.M Billets Reports'!F866),IF(ISNUMBER(SEARCH("Party Name-",'R.M Billets Reports'!D866)),TRIM(MID('R.M Billets Reports'!D866,SEARCH("-",'R.M Billets Reports'!D866)+1,200)),""))&lt;&gt;"",IF(ISNUMBER(SEARCH("Party Name:-",'R.M Billets Reports'!D866)),TRIM('R.M Billets Reports'!F866),IF(ISNUMBER(SEARCH("Party Name-",'R.M Billets Reports'!D866)),TRIM(MID('R.M Billets Reports'!D866,SEARCH("-",'R.M Billets Reports'!D866)+1,200)),"")),IF(ISNUMBER(SEARCH("Party Name:-",'R.M Billets Reports'!D867)),TRIM('R.M Billets Reports'!F867),IF(ISNUMBER(SEARCH("Party Name-",'R.M Billets Reports'!D867)),TRIM(MID('R.M Billets Reports'!D867,SEARCH("-",'R.M Billets Reports'!D867)+1,200)),"")))="SHRI RADHE","SHREE RADHE",IF(IF(IF(ISNUMBER(SEARCH("Party Name:-",'R.M Billets Reports'!D866)),TRIM('R.M Billets Reports'!F866),IF(ISNUMBER(SEARCH("Party Name-",'R.M Billets Reports'!D866)),TRIM(MID('R.M Billets Reports'!D866,SEARCH("-",'R.M Billets Reports'!D866)+1,200)),""))&lt;&gt;"",IF(ISNUMBER(SEARCH("Party Name:-",'R.M Billets Reports'!D866)),TRIM('R.M Billets Reports'!F866),IF(ISNUMBER(SEARCH("Party Name-",'R.M Billets Reports'!D866)),TRIM(MID('R.M Billets Reports'!D866,SEARCH("-",'R.M Billets Reports'!D866)+1,200)),"")),IF(ISNUMBER(SEARCH("Party Name:-",'R.M Billets Reports'!D867)),TRIM('R.M Billets Reports'!F867),IF(ISNUMBER(SEARCH("Party Name-",'R.M Billets Reports'!D867)),TRIM(MID('R.M Billets Reports'!D867,SEARCH("-",'R.M Billets Reports'!D867)+1,200)),"")))="SHREE RADHE SHAKTI SPONGE AND POWER PVT. LTD.","SHREE RADHE",IF(IF(ISNUMBER(SEARCH("Party Name:-",'R.M Billets Reports'!D866)),TRIM('R.M Billets Reports'!F866),IF(ISNUMBER(SEARCH("Party Name-",'R.M Billets Reports'!D866)),TRIM(MID('R.M Billets Reports'!D866,SEARCH("-",'R.M Billets Reports'!D866)+1,200)),""))&lt;&gt;"",IF(ISNUMBER(SEARCH("Party Name:-",'R.M Billets Reports'!D866)),TRIM('R.M Billets Reports'!F866),IF(ISNUMBER(SEARCH("Party Name-",'R.M Billets Reports'!D866)),TRIM(MID('R.M Billets Reports'!D866,SEARCH("-",'R.M Billets Reports'!D866)+1,200)),"")),IF(ISNUMBER(SEARCH("Party Name:-",'R.M Billets Reports'!D867)),TRIM('R.M Billets Reports'!F867),IF(ISNUMBER(SEARCH("Party Name-",'R.M Billets Reports'!D867)),TRIM(MID('R.M Billets Reports'!D867,SEARCH("-",'R.M Billets Reports'!D867)+1,200)),"")))))),IF(ROW()=2,"",A866))</f>
      </c>
      <c r="B867">
        <f>IF(OR('R.M Billets Reports'!A866="Date-",'R.M Billets Reports'!A866="Date:-"),'R.M Billets Reports'!B866,IF(ROW()=2,"",B866))</f>
      </c>
      <c r="C867">
        <f>IF('R.M Billets Reports'!A866="V.No.",'R.M Billets Reports'!B866,IF(ROW()=2,"",C866))</f>
      </c>
      <c r="D867">
        <f>IF('R.M Billets Reports'!A866&lt;&gt;"",'R.M Billets Reports'!A866,IF(ROW()=2,"",D866))</f>
      </c>
      <c r="E867">
        <f>IF('R.M Billets Reports'!B866="","",TRIM('R.M Billets Reports'!B866))</f>
      </c>
      <c r="F867">
        <f>'R.M Billets Reports'!C866</f>
      </c>
      <c r="G867">
        <f>'R.M Billets Reports'!D866</f>
      </c>
      <c r="H867">
        <f>'R.M Billets Reports'!E866</f>
      </c>
      <c r="I867">
        <f>'R.M Billets Reports'!F866</f>
      </c>
      <c r="J867">
        <f>'R.M Billets Reports'!G866</f>
      </c>
      <c r="K867">
        <f>'R.M Billets Reports'!H866</f>
      </c>
      <c r="L867">
        <f>IF('R.M Billets Reports'!I866="","",'R.M Billets Reports'!I866)</f>
      </c>
      <c r="M867">
        <f t="shared" si="26"/>
      </c>
      <c r="N867">
        <f>IF('R.M Billets Reports'!J866="","",'R.M Billets Reports'!J866)</f>
      </c>
      <c r="O867">
        <f t="shared" si="27"/>
      </c>
      <c r="P867">
        <f>IF('R.M Billets Reports'!A866="SIZE",'R.M Billets Reports'!B866,P866)</f>
      </c>
    </row>
    <row r="868" spans="1:16" x14ac:dyDescent="0.25">
      <c r="A868">
        <f>IF(OR('R.M Billets Reports'!A867="Date-",'R.M Billets Reports'!A867="Date:-"),IF(IF(IF(ISNUMBER(SEARCH("Party Name:-",'R.M Billets Reports'!D867)),TRIM('R.M Billets Reports'!F867),IF(ISNUMBER(SEARCH("Party Name-",'R.M Billets Reports'!D867)),TRIM(MID('R.M Billets Reports'!D867,SEARCH("-",'R.M Billets Reports'!D867)+1,200)),""))&lt;&gt;"",IF(ISNUMBER(SEARCH("Party Name:-",'R.M Billets Reports'!D867)),TRIM('R.M Billets Reports'!F867),IF(ISNUMBER(SEARCH("Party Name-",'R.M Billets Reports'!D867)),TRIM(MID('R.M Billets Reports'!D867,SEARCH("-",'R.M Billets Reports'!D867)+1,200)),"")),IF(ISNUMBER(SEARCH("Party Name:-",'R.M Billets Reports'!D868)),TRIM('R.M Billets Reports'!F868),IF(ISNUMBER(SEARCH("Party Name-",'R.M Billets Reports'!D868)),TRIM(MID('R.M Billets Reports'!D868,SEARCH("-",'R.M Billets Reports'!D868)+1,200)),"")))="VRKP ISPAT PVT LTD","VRKP",IF(IF(IF(ISNUMBER(SEARCH("Party Name:-",'R.M Billets Reports'!D867)),TRIM('R.M Billets Reports'!F867),IF(ISNUMBER(SEARCH("Party Name-",'R.M Billets Reports'!D867)),TRIM(MID('R.M Billets Reports'!D867,SEARCH("-",'R.M Billets Reports'!D867)+1,200)),""))&lt;&gt;"",IF(ISNUMBER(SEARCH("Party Name:-",'R.M Billets Reports'!D867)),TRIM('R.M Billets Reports'!F867),IF(ISNUMBER(SEARCH("Party Name-",'R.M Billets Reports'!D867)),TRIM(MID('R.M Billets Reports'!D867,SEARCH("-",'R.M Billets Reports'!D867)+1,200)),"")),IF(ISNUMBER(SEARCH("Party Name:-",'R.M Billets Reports'!D868)),TRIM('R.M Billets Reports'!F868),IF(ISNUMBER(SEARCH("Party Name-",'R.M Billets Reports'!D868)),TRIM(MID('R.M Billets Reports'!D868,SEARCH("-",'R.M Billets Reports'!D868)+1,200)),"")))="SHRI RADHE","SHREE RADHE",IF(IF(IF(ISNUMBER(SEARCH("Party Name:-",'R.M Billets Reports'!D867)),TRIM('R.M Billets Reports'!F867),IF(ISNUMBER(SEARCH("Party Name-",'R.M Billets Reports'!D867)),TRIM(MID('R.M Billets Reports'!D867,SEARCH("-",'R.M Billets Reports'!D867)+1,200)),""))&lt;&gt;"",IF(ISNUMBER(SEARCH("Party Name:-",'R.M Billets Reports'!D867)),TRIM('R.M Billets Reports'!F867),IF(ISNUMBER(SEARCH("Party Name-",'R.M Billets Reports'!D867)),TRIM(MID('R.M Billets Reports'!D867,SEARCH("-",'R.M Billets Reports'!D867)+1,200)),"")),IF(ISNUMBER(SEARCH("Party Name:-",'R.M Billets Reports'!D868)),TRIM('R.M Billets Reports'!F868),IF(ISNUMBER(SEARCH("Party Name-",'R.M Billets Reports'!D868)),TRIM(MID('R.M Billets Reports'!D868,SEARCH("-",'R.M Billets Reports'!D868)+1,200)),"")))="SHREE RADHE SHAKTI SPONGE AND POWER PVT. LTD.","SHREE RADHE",IF(IF(ISNUMBER(SEARCH("Party Name:-",'R.M Billets Reports'!D867)),TRIM('R.M Billets Reports'!F867),IF(ISNUMBER(SEARCH("Party Name-",'R.M Billets Reports'!D867)),TRIM(MID('R.M Billets Reports'!D867,SEARCH("-",'R.M Billets Reports'!D867)+1,200)),""))&lt;&gt;"",IF(ISNUMBER(SEARCH("Party Name:-",'R.M Billets Reports'!D867)),TRIM('R.M Billets Reports'!F867),IF(ISNUMBER(SEARCH("Party Name-",'R.M Billets Reports'!D867)),TRIM(MID('R.M Billets Reports'!D867,SEARCH("-",'R.M Billets Reports'!D867)+1,200)),"")),IF(ISNUMBER(SEARCH("Party Name:-",'R.M Billets Reports'!D868)),TRIM('R.M Billets Reports'!F868),IF(ISNUMBER(SEARCH("Party Name-",'R.M Billets Reports'!D868)),TRIM(MID('R.M Billets Reports'!D868,SEARCH("-",'R.M Billets Reports'!D868)+1,200)),"")))))),IF(ROW()=2,"",A867))</f>
      </c>
      <c r="B868">
        <f>IF(OR('R.M Billets Reports'!A867="Date-",'R.M Billets Reports'!A867="Date:-"),'R.M Billets Reports'!B867,IF(ROW()=2,"",B867))</f>
      </c>
      <c r="C868">
        <f>IF('R.M Billets Reports'!A867="V.No.",'R.M Billets Reports'!B867,IF(ROW()=2,"",C867))</f>
      </c>
      <c r="D868">
        <f>IF('R.M Billets Reports'!A867&lt;&gt;"",'R.M Billets Reports'!A867,IF(ROW()=2,"",D867))</f>
      </c>
      <c r="E868">
        <f>IF('R.M Billets Reports'!B867="","",TRIM('R.M Billets Reports'!B867))</f>
      </c>
      <c r="F868">
        <f>'R.M Billets Reports'!C867</f>
      </c>
      <c r="G868">
        <f>'R.M Billets Reports'!D867</f>
      </c>
      <c r="H868">
        <f>'R.M Billets Reports'!E867</f>
      </c>
      <c r="I868">
        <f>'R.M Billets Reports'!F867</f>
      </c>
      <c r="J868">
        <f>'R.M Billets Reports'!G867</f>
      </c>
      <c r="K868">
        <f>'R.M Billets Reports'!H867</f>
      </c>
      <c r="L868">
        <f>IF('R.M Billets Reports'!I867="","",'R.M Billets Reports'!I867)</f>
      </c>
      <c r="M868">
        <f t="shared" si="26"/>
      </c>
      <c r="N868">
        <f>IF('R.M Billets Reports'!J867="","",'R.M Billets Reports'!J867)</f>
      </c>
      <c r="O868">
        <f t="shared" si="27"/>
      </c>
      <c r="P868">
        <f>IF('R.M Billets Reports'!A867="SIZE",'R.M Billets Reports'!B867,P867)</f>
      </c>
    </row>
    <row r="869" spans="1:16" x14ac:dyDescent="0.25">
      <c r="A869">
        <f>IF(OR('R.M Billets Reports'!A868="Date-",'R.M Billets Reports'!A868="Date:-"),IF(IF(IF(ISNUMBER(SEARCH("Party Name:-",'R.M Billets Reports'!D868)),TRIM('R.M Billets Reports'!F868),IF(ISNUMBER(SEARCH("Party Name-",'R.M Billets Reports'!D868)),TRIM(MID('R.M Billets Reports'!D868,SEARCH("-",'R.M Billets Reports'!D868)+1,200)),""))&lt;&gt;"",IF(ISNUMBER(SEARCH("Party Name:-",'R.M Billets Reports'!D868)),TRIM('R.M Billets Reports'!F868),IF(ISNUMBER(SEARCH("Party Name-",'R.M Billets Reports'!D868)),TRIM(MID('R.M Billets Reports'!D868,SEARCH("-",'R.M Billets Reports'!D868)+1,200)),"")),IF(ISNUMBER(SEARCH("Party Name:-",'R.M Billets Reports'!D869)),TRIM('R.M Billets Reports'!F869),IF(ISNUMBER(SEARCH("Party Name-",'R.M Billets Reports'!D869)),TRIM(MID('R.M Billets Reports'!D869,SEARCH("-",'R.M Billets Reports'!D869)+1,200)),"")))="VRKP ISPAT PVT LTD","VRKP",IF(IF(IF(ISNUMBER(SEARCH("Party Name:-",'R.M Billets Reports'!D868)),TRIM('R.M Billets Reports'!F868),IF(ISNUMBER(SEARCH("Party Name-",'R.M Billets Reports'!D868)),TRIM(MID('R.M Billets Reports'!D868,SEARCH("-",'R.M Billets Reports'!D868)+1,200)),""))&lt;&gt;"",IF(ISNUMBER(SEARCH("Party Name:-",'R.M Billets Reports'!D868)),TRIM('R.M Billets Reports'!F868),IF(ISNUMBER(SEARCH("Party Name-",'R.M Billets Reports'!D868)),TRIM(MID('R.M Billets Reports'!D868,SEARCH("-",'R.M Billets Reports'!D868)+1,200)),"")),IF(ISNUMBER(SEARCH("Party Name:-",'R.M Billets Reports'!D869)),TRIM('R.M Billets Reports'!F869),IF(ISNUMBER(SEARCH("Party Name-",'R.M Billets Reports'!D869)),TRIM(MID('R.M Billets Reports'!D869,SEARCH("-",'R.M Billets Reports'!D869)+1,200)),"")))="SHRI RADHE","SHREE RADHE",IF(IF(IF(ISNUMBER(SEARCH("Party Name:-",'R.M Billets Reports'!D868)),TRIM('R.M Billets Reports'!F868),IF(ISNUMBER(SEARCH("Party Name-",'R.M Billets Reports'!D868)),TRIM(MID('R.M Billets Reports'!D868,SEARCH("-",'R.M Billets Reports'!D868)+1,200)),""))&lt;&gt;"",IF(ISNUMBER(SEARCH("Party Name:-",'R.M Billets Reports'!D868)),TRIM('R.M Billets Reports'!F868),IF(ISNUMBER(SEARCH("Party Name-",'R.M Billets Reports'!D868)),TRIM(MID('R.M Billets Reports'!D868,SEARCH("-",'R.M Billets Reports'!D868)+1,200)),"")),IF(ISNUMBER(SEARCH("Party Name:-",'R.M Billets Reports'!D869)),TRIM('R.M Billets Reports'!F869),IF(ISNUMBER(SEARCH("Party Name-",'R.M Billets Reports'!D869)),TRIM(MID('R.M Billets Reports'!D869,SEARCH("-",'R.M Billets Reports'!D869)+1,200)),"")))="SHREE RADHE SHAKTI SPONGE AND POWER PVT. LTD.","SHREE RADHE",IF(IF(ISNUMBER(SEARCH("Party Name:-",'R.M Billets Reports'!D868)),TRIM('R.M Billets Reports'!F868),IF(ISNUMBER(SEARCH("Party Name-",'R.M Billets Reports'!D868)),TRIM(MID('R.M Billets Reports'!D868,SEARCH("-",'R.M Billets Reports'!D868)+1,200)),""))&lt;&gt;"",IF(ISNUMBER(SEARCH("Party Name:-",'R.M Billets Reports'!D868)),TRIM('R.M Billets Reports'!F868),IF(ISNUMBER(SEARCH("Party Name-",'R.M Billets Reports'!D868)),TRIM(MID('R.M Billets Reports'!D868,SEARCH("-",'R.M Billets Reports'!D868)+1,200)),"")),IF(ISNUMBER(SEARCH("Party Name:-",'R.M Billets Reports'!D869)),TRIM('R.M Billets Reports'!F869),IF(ISNUMBER(SEARCH("Party Name-",'R.M Billets Reports'!D869)),TRIM(MID('R.M Billets Reports'!D869,SEARCH("-",'R.M Billets Reports'!D869)+1,200)),"")))))),IF(ROW()=2,"",A868))</f>
      </c>
      <c r="B869">
        <f>IF(OR('R.M Billets Reports'!A868="Date-",'R.M Billets Reports'!A868="Date:-"),'R.M Billets Reports'!B868,IF(ROW()=2,"",B868))</f>
      </c>
      <c r="C869">
        <f>IF('R.M Billets Reports'!A868="V.No.",'R.M Billets Reports'!B868,IF(ROW()=2,"",C868))</f>
      </c>
      <c r="D869">
        <f>IF('R.M Billets Reports'!A868&lt;&gt;"",'R.M Billets Reports'!A868,IF(ROW()=2,"",D868))</f>
      </c>
      <c r="E869">
        <f>IF('R.M Billets Reports'!B868="","",TRIM('R.M Billets Reports'!B868))</f>
      </c>
      <c r="F869">
        <f>'R.M Billets Reports'!C868</f>
      </c>
      <c r="G869">
        <f>'R.M Billets Reports'!D868</f>
      </c>
      <c r="H869">
        <f>'R.M Billets Reports'!E868</f>
      </c>
      <c r="I869">
        <f>'R.M Billets Reports'!F868</f>
      </c>
      <c r="J869">
        <f>'R.M Billets Reports'!G868</f>
      </c>
      <c r="K869">
        <f>'R.M Billets Reports'!H868</f>
      </c>
      <c r="L869">
        <f>IF('R.M Billets Reports'!I868="","",'R.M Billets Reports'!I868)</f>
      </c>
      <c r="M869">
        <f t="shared" si="26"/>
      </c>
      <c r="N869">
        <f>IF('R.M Billets Reports'!J868="","",'R.M Billets Reports'!J868)</f>
      </c>
      <c r="O869">
        <f t="shared" si="27"/>
      </c>
      <c r="P869">
        <f>IF('R.M Billets Reports'!A868="SIZE",'R.M Billets Reports'!B868,P868)</f>
      </c>
    </row>
    <row r="870" spans="1:16" x14ac:dyDescent="0.25">
      <c r="A870">
        <f>IF(OR('R.M Billets Reports'!A869="Date-",'R.M Billets Reports'!A869="Date:-"),IF(IF(IF(ISNUMBER(SEARCH("Party Name:-",'R.M Billets Reports'!D869)),TRIM('R.M Billets Reports'!F869),IF(ISNUMBER(SEARCH("Party Name-",'R.M Billets Reports'!D869)),TRIM(MID('R.M Billets Reports'!D869,SEARCH("-",'R.M Billets Reports'!D869)+1,200)),""))&lt;&gt;"",IF(ISNUMBER(SEARCH("Party Name:-",'R.M Billets Reports'!D869)),TRIM('R.M Billets Reports'!F869),IF(ISNUMBER(SEARCH("Party Name-",'R.M Billets Reports'!D869)),TRIM(MID('R.M Billets Reports'!D869,SEARCH("-",'R.M Billets Reports'!D869)+1,200)),"")),IF(ISNUMBER(SEARCH("Party Name:-",'R.M Billets Reports'!D870)),TRIM('R.M Billets Reports'!F870),IF(ISNUMBER(SEARCH("Party Name-",'R.M Billets Reports'!D870)),TRIM(MID('R.M Billets Reports'!D870,SEARCH("-",'R.M Billets Reports'!D870)+1,200)),"")))="VRKP ISPAT PVT LTD","VRKP",IF(IF(IF(ISNUMBER(SEARCH("Party Name:-",'R.M Billets Reports'!D869)),TRIM('R.M Billets Reports'!F869),IF(ISNUMBER(SEARCH("Party Name-",'R.M Billets Reports'!D869)),TRIM(MID('R.M Billets Reports'!D869,SEARCH("-",'R.M Billets Reports'!D869)+1,200)),""))&lt;&gt;"",IF(ISNUMBER(SEARCH("Party Name:-",'R.M Billets Reports'!D869)),TRIM('R.M Billets Reports'!F869),IF(ISNUMBER(SEARCH("Party Name-",'R.M Billets Reports'!D869)),TRIM(MID('R.M Billets Reports'!D869,SEARCH("-",'R.M Billets Reports'!D869)+1,200)),"")),IF(ISNUMBER(SEARCH("Party Name:-",'R.M Billets Reports'!D870)),TRIM('R.M Billets Reports'!F870),IF(ISNUMBER(SEARCH("Party Name-",'R.M Billets Reports'!D870)),TRIM(MID('R.M Billets Reports'!D870,SEARCH("-",'R.M Billets Reports'!D870)+1,200)),"")))="SHRI RADHE","SHREE RADHE",IF(IF(IF(ISNUMBER(SEARCH("Party Name:-",'R.M Billets Reports'!D869)),TRIM('R.M Billets Reports'!F869),IF(ISNUMBER(SEARCH("Party Name-",'R.M Billets Reports'!D869)),TRIM(MID('R.M Billets Reports'!D869,SEARCH("-",'R.M Billets Reports'!D869)+1,200)),""))&lt;&gt;"",IF(ISNUMBER(SEARCH("Party Name:-",'R.M Billets Reports'!D869)),TRIM('R.M Billets Reports'!F869),IF(ISNUMBER(SEARCH("Party Name-",'R.M Billets Reports'!D869)),TRIM(MID('R.M Billets Reports'!D869,SEARCH("-",'R.M Billets Reports'!D869)+1,200)),"")),IF(ISNUMBER(SEARCH("Party Name:-",'R.M Billets Reports'!D870)),TRIM('R.M Billets Reports'!F870),IF(ISNUMBER(SEARCH("Party Name-",'R.M Billets Reports'!D870)),TRIM(MID('R.M Billets Reports'!D870,SEARCH("-",'R.M Billets Reports'!D870)+1,200)),"")))="SHREE RADHE SHAKTI SPONGE AND POWER PVT. LTD.","SHREE RADHE",IF(IF(ISNUMBER(SEARCH("Party Name:-",'R.M Billets Reports'!D869)),TRIM('R.M Billets Reports'!F869),IF(ISNUMBER(SEARCH("Party Name-",'R.M Billets Reports'!D869)),TRIM(MID('R.M Billets Reports'!D869,SEARCH("-",'R.M Billets Reports'!D869)+1,200)),""))&lt;&gt;"",IF(ISNUMBER(SEARCH("Party Name:-",'R.M Billets Reports'!D869)),TRIM('R.M Billets Reports'!F869),IF(ISNUMBER(SEARCH("Party Name-",'R.M Billets Reports'!D869)),TRIM(MID('R.M Billets Reports'!D869,SEARCH("-",'R.M Billets Reports'!D869)+1,200)),"")),IF(ISNUMBER(SEARCH("Party Name:-",'R.M Billets Reports'!D870)),TRIM('R.M Billets Reports'!F870),IF(ISNUMBER(SEARCH("Party Name-",'R.M Billets Reports'!D870)),TRIM(MID('R.M Billets Reports'!D870,SEARCH("-",'R.M Billets Reports'!D870)+1,200)),"")))))),IF(ROW()=2,"",A869))</f>
      </c>
      <c r="B870">
        <f>IF(OR('R.M Billets Reports'!A869="Date-",'R.M Billets Reports'!A869="Date:-"),'R.M Billets Reports'!B869,IF(ROW()=2,"",B869))</f>
      </c>
      <c r="C870">
        <f>IF('R.M Billets Reports'!A869="V.No.",'R.M Billets Reports'!B869,IF(ROW()=2,"",C869))</f>
      </c>
      <c r="D870">
        <f>IF('R.M Billets Reports'!A869&lt;&gt;"",'R.M Billets Reports'!A869,IF(ROW()=2,"",D869))</f>
      </c>
      <c r="E870">
        <f>IF('R.M Billets Reports'!B869="","",TRIM('R.M Billets Reports'!B869))</f>
      </c>
      <c r="F870">
        <f>'R.M Billets Reports'!C869</f>
      </c>
      <c r="G870">
        <f>'R.M Billets Reports'!D869</f>
      </c>
      <c r="H870">
        <f>'R.M Billets Reports'!E869</f>
      </c>
      <c r="I870">
        <f>'R.M Billets Reports'!F869</f>
      </c>
      <c r="J870">
        <f>'R.M Billets Reports'!G869</f>
      </c>
      <c r="K870">
        <f>'R.M Billets Reports'!H869</f>
      </c>
      <c r="L870">
        <f>IF('R.M Billets Reports'!I869="","",'R.M Billets Reports'!I869)</f>
      </c>
      <c r="M870">
        <f t="shared" si="26"/>
      </c>
      <c r="N870">
        <f>IF('R.M Billets Reports'!J869="","",'R.M Billets Reports'!J869)</f>
      </c>
      <c r="O870">
        <f t="shared" si="27"/>
      </c>
      <c r="P870">
        <f>IF('R.M Billets Reports'!A869="SIZE",'R.M Billets Reports'!B869,P869)</f>
      </c>
    </row>
    <row r="871" spans="1:16" x14ac:dyDescent="0.25">
      <c r="A871">
        <f>IF(OR('R.M Billets Reports'!A870="Date-",'R.M Billets Reports'!A870="Date:-"),IF(IF(IF(ISNUMBER(SEARCH("Party Name:-",'R.M Billets Reports'!D870)),TRIM('R.M Billets Reports'!F870),IF(ISNUMBER(SEARCH("Party Name-",'R.M Billets Reports'!D870)),TRIM(MID('R.M Billets Reports'!D870,SEARCH("-",'R.M Billets Reports'!D870)+1,200)),""))&lt;&gt;"",IF(ISNUMBER(SEARCH("Party Name:-",'R.M Billets Reports'!D870)),TRIM('R.M Billets Reports'!F870),IF(ISNUMBER(SEARCH("Party Name-",'R.M Billets Reports'!D870)),TRIM(MID('R.M Billets Reports'!D870,SEARCH("-",'R.M Billets Reports'!D870)+1,200)),"")),IF(ISNUMBER(SEARCH("Party Name:-",'R.M Billets Reports'!D871)),TRIM('R.M Billets Reports'!F871),IF(ISNUMBER(SEARCH("Party Name-",'R.M Billets Reports'!D871)),TRIM(MID('R.M Billets Reports'!D871,SEARCH("-",'R.M Billets Reports'!D871)+1,200)),"")))="VRKP ISPAT PVT LTD","VRKP",IF(IF(IF(ISNUMBER(SEARCH("Party Name:-",'R.M Billets Reports'!D870)),TRIM('R.M Billets Reports'!F870),IF(ISNUMBER(SEARCH("Party Name-",'R.M Billets Reports'!D870)),TRIM(MID('R.M Billets Reports'!D870,SEARCH("-",'R.M Billets Reports'!D870)+1,200)),""))&lt;&gt;"",IF(ISNUMBER(SEARCH("Party Name:-",'R.M Billets Reports'!D870)),TRIM('R.M Billets Reports'!F870),IF(ISNUMBER(SEARCH("Party Name-",'R.M Billets Reports'!D870)),TRIM(MID('R.M Billets Reports'!D870,SEARCH("-",'R.M Billets Reports'!D870)+1,200)),"")),IF(ISNUMBER(SEARCH("Party Name:-",'R.M Billets Reports'!D871)),TRIM('R.M Billets Reports'!F871),IF(ISNUMBER(SEARCH("Party Name-",'R.M Billets Reports'!D871)),TRIM(MID('R.M Billets Reports'!D871,SEARCH("-",'R.M Billets Reports'!D871)+1,200)),"")))="SHRI RADHE","SHREE RADHE",IF(IF(IF(ISNUMBER(SEARCH("Party Name:-",'R.M Billets Reports'!D870)),TRIM('R.M Billets Reports'!F870),IF(ISNUMBER(SEARCH("Party Name-",'R.M Billets Reports'!D870)),TRIM(MID('R.M Billets Reports'!D870,SEARCH("-",'R.M Billets Reports'!D870)+1,200)),""))&lt;&gt;"",IF(ISNUMBER(SEARCH("Party Name:-",'R.M Billets Reports'!D870)),TRIM('R.M Billets Reports'!F870),IF(ISNUMBER(SEARCH("Party Name-",'R.M Billets Reports'!D870)),TRIM(MID('R.M Billets Reports'!D870,SEARCH("-",'R.M Billets Reports'!D870)+1,200)),"")),IF(ISNUMBER(SEARCH("Party Name:-",'R.M Billets Reports'!D871)),TRIM('R.M Billets Reports'!F871),IF(ISNUMBER(SEARCH("Party Name-",'R.M Billets Reports'!D871)),TRIM(MID('R.M Billets Reports'!D871,SEARCH("-",'R.M Billets Reports'!D871)+1,200)),"")))="SHREE RADHE SHAKTI SPONGE AND POWER PVT. LTD.","SHREE RADHE",IF(IF(ISNUMBER(SEARCH("Party Name:-",'R.M Billets Reports'!D870)),TRIM('R.M Billets Reports'!F870),IF(ISNUMBER(SEARCH("Party Name-",'R.M Billets Reports'!D870)),TRIM(MID('R.M Billets Reports'!D870,SEARCH("-",'R.M Billets Reports'!D870)+1,200)),""))&lt;&gt;"",IF(ISNUMBER(SEARCH("Party Name:-",'R.M Billets Reports'!D870)),TRIM('R.M Billets Reports'!F870),IF(ISNUMBER(SEARCH("Party Name-",'R.M Billets Reports'!D870)),TRIM(MID('R.M Billets Reports'!D870,SEARCH("-",'R.M Billets Reports'!D870)+1,200)),"")),IF(ISNUMBER(SEARCH("Party Name:-",'R.M Billets Reports'!D871)),TRIM('R.M Billets Reports'!F871),IF(ISNUMBER(SEARCH("Party Name-",'R.M Billets Reports'!D871)),TRIM(MID('R.M Billets Reports'!D871,SEARCH("-",'R.M Billets Reports'!D871)+1,200)),"")))))),IF(ROW()=2,"",A870))</f>
      </c>
      <c r="B871">
        <f>IF(OR('R.M Billets Reports'!A870="Date-",'R.M Billets Reports'!A870="Date:-"),'R.M Billets Reports'!B870,IF(ROW()=2,"",B870))</f>
      </c>
      <c r="C871">
        <f>IF('R.M Billets Reports'!A870="V.No.",'R.M Billets Reports'!B870,IF(ROW()=2,"",C870))</f>
      </c>
      <c r="D871">
        <f>IF('R.M Billets Reports'!A870&lt;&gt;"",'R.M Billets Reports'!A870,IF(ROW()=2,"",D870))</f>
      </c>
      <c r="E871">
        <f>IF('R.M Billets Reports'!B870="","",TRIM('R.M Billets Reports'!B870))</f>
      </c>
      <c r="F871">
        <f>'R.M Billets Reports'!C870</f>
      </c>
      <c r="G871">
        <f>'R.M Billets Reports'!D870</f>
      </c>
      <c r="H871">
        <f>'R.M Billets Reports'!E870</f>
      </c>
      <c r="I871">
        <f>'R.M Billets Reports'!F870</f>
      </c>
      <c r="J871">
        <f>'R.M Billets Reports'!G870</f>
      </c>
      <c r="K871">
        <f>'R.M Billets Reports'!H870</f>
      </c>
      <c r="L871">
        <f>IF('R.M Billets Reports'!I870="","",'R.M Billets Reports'!I870)</f>
      </c>
      <c r="M871">
        <f t="shared" si="26"/>
      </c>
      <c r="N871">
        <f>IF('R.M Billets Reports'!J870="","",'R.M Billets Reports'!J870)</f>
      </c>
      <c r="O871">
        <f t="shared" si="27"/>
      </c>
      <c r="P871">
        <f>IF('R.M Billets Reports'!A870="SIZE",'R.M Billets Reports'!B870,P870)</f>
      </c>
    </row>
    <row r="872" spans="1:16" x14ac:dyDescent="0.25">
      <c r="A872">
        <f>IF(OR('R.M Billets Reports'!A871="Date-",'R.M Billets Reports'!A871="Date:-"),IF(IF(IF(ISNUMBER(SEARCH("Party Name:-",'R.M Billets Reports'!D871)),TRIM('R.M Billets Reports'!F871),IF(ISNUMBER(SEARCH("Party Name-",'R.M Billets Reports'!D871)),TRIM(MID('R.M Billets Reports'!D871,SEARCH("-",'R.M Billets Reports'!D871)+1,200)),""))&lt;&gt;"",IF(ISNUMBER(SEARCH("Party Name:-",'R.M Billets Reports'!D871)),TRIM('R.M Billets Reports'!F871),IF(ISNUMBER(SEARCH("Party Name-",'R.M Billets Reports'!D871)),TRIM(MID('R.M Billets Reports'!D871,SEARCH("-",'R.M Billets Reports'!D871)+1,200)),"")),IF(ISNUMBER(SEARCH("Party Name:-",'R.M Billets Reports'!D872)),TRIM('R.M Billets Reports'!F872),IF(ISNUMBER(SEARCH("Party Name-",'R.M Billets Reports'!D872)),TRIM(MID('R.M Billets Reports'!D872,SEARCH("-",'R.M Billets Reports'!D872)+1,200)),"")))="VRKP ISPAT PVT LTD","VRKP",IF(IF(IF(ISNUMBER(SEARCH("Party Name:-",'R.M Billets Reports'!D871)),TRIM('R.M Billets Reports'!F871),IF(ISNUMBER(SEARCH("Party Name-",'R.M Billets Reports'!D871)),TRIM(MID('R.M Billets Reports'!D871,SEARCH("-",'R.M Billets Reports'!D871)+1,200)),""))&lt;&gt;"",IF(ISNUMBER(SEARCH("Party Name:-",'R.M Billets Reports'!D871)),TRIM('R.M Billets Reports'!F871),IF(ISNUMBER(SEARCH("Party Name-",'R.M Billets Reports'!D871)),TRIM(MID('R.M Billets Reports'!D871,SEARCH("-",'R.M Billets Reports'!D871)+1,200)),"")),IF(ISNUMBER(SEARCH("Party Name:-",'R.M Billets Reports'!D872)),TRIM('R.M Billets Reports'!F872),IF(ISNUMBER(SEARCH("Party Name-",'R.M Billets Reports'!D872)),TRIM(MID('R.M Billets Reports'!D872,SEARCH("-",'R.M Billets Reports'!D872)+1,200)),"")))="SHRI RADHE","SHREE RADHE",IF(IF(IF(ISNUMBER(SEARCH("Party Name:-",'R.M Billets Reports'!D871)),TRIM('R.M Billets Reports'!F871),IF(ISNUMBER(SEARCH("Party Name-",'R.M Billets Reports'!D871)),TRIM(MID('R.M Billets Reports'!D871,SEARCH("-",'R.M Billets Reports'!D871)+1,200)),""))&lt;&gt;"",IF(ISNUMBER(SEARCH("Party Name:-",'R.M Billets Reports'!D871)),TRIM('R.M Billets Reports'!F871),IF(ISNUMBER(SEARCH("Party Name-",'R.M Billets Reports'!D871)),TRIM(MID('R.M Billets Reports'!D871,SEARCH("-",'R.M Billets Reports'!D871)+1,200)),"")),IF(ISNUMBER(SEARCH("Party Name:-",'R.M Billets Reports'!D872)),TRIM('R.M Billets Reports'!F872),IF(ISNUMBER(SEARCH("Party Name-",'R.M Billets Reports'!D872)),TRIM(MID('R.M Billets Reports'!D872,SEARCH("-",'R.M Billets Reports'!D872)+1,200)),"")))="SHREE RADHE SHAKTI SPONGE AND POWER PVT. LTD.","SHREE RADHE",IF(IF(ISNUMBER(SEARCH("Party Name:-",'R.M Billets Reports'!D871)),TRIM('R.M Billets Reports'!F871),IF(ISNUMBER(SEARCH("Party Name-",'R.M Billets Reports'!D871)),TRIM(MID('R.M Billets Reports'!D871,SEARCH("-",'R.M Billets Reports'!D871)+1,200)),""))&lt;&gt;"",IF(ISNUMBER(SEARCH("Party Name:-",'R.M Billets Reports'!D871)),TRIM('R.M Billets Reports'!F871),IF(ISNUMBER(SEARCH("Party Name-",'R.M Billets Reports'!D871)),TRIM(MID('R.M Billets Reports'!D871,SEARCH("-",'R.M Billets Reports'!D871)+1,200)),"")),IF(ISNUMBER(SEARCH("Party Name:-",'R.M Billets Reports'!D872)),TRIM('R.M Billets Reports'!F872),IF(ISNUMBER(SEARCH("Party Name-",'R.M Billets Reports'!D872)),TRIM(MID('R.M Billets Reports'!D872,SEARCH("-",'R.M Billets Reports'!D872)+1,200)),"")))))),IF(ROW()=2,"",A871))</f>
      </c>
      <c r="B872">
        <f>IF(OR('R.M Billets Reports'!A871="Date-",'R.M Billets Reports'!A871="Date:-"),'R.M Billets Reports'!B871,IF(ROW()=2,"",B871))</f>
      </c>
      <c r="C872">
        <f>IF('R.M Billets Reports'!A871="V.No.",'R.M Billets Reports'!B871,IF(ROW()=2,"",C871))</f>
      </c>
      <c r="D872">
        <f>IF('R.M Billets Reports'!A871&lt;&gt;"",'R.M Billets Reports'!A871,IF(ROW()=2,"",D871))</f>
      </c>
      <c r="E872">
        <f>IF('R.M Billets Reports'!B871="","",TRIM('R.M Billets Reports'!B871))</f>
      </c>
      <c r="F872">
        <f>'R.M Billets Reports'!C871</f>
      </c>
      <c r="G872">
        <f>'R.M Billets Reports'!D871</f>
      </c>
      <c r="H872">
        <f>'R.M Billets Reports'!E871</f>
      </c>
      <c r="I872">
        <f>'R.M Billets Reports'!F871</f>
      </c>
      <c r="J872">
        <f>'R.M Billets Reports'!G871</f>
      </c>
      <c r="K872">
        <f>'R.M Billets Reports'!H871</f>
      </c>
      <c r="L872">
        <f>IF('R.M Billets Reports'!I871="","",'R.M Billets Reports'!I871)</f>
      </c>
      <c r="M872">
        <f t="shared" si="26"/>
      </c>
      <c r="N872">
        <f>IF('R.M Billets Reports'!J871="","",'R.M Billets Reports'!J871)</f>
      </c>
      <c r="O872">
        <f t="shared" si="27"/>
      </c>
      <c r="P872">
        <f>IF('R.M Billets Reports'!A871="SIZE",'R.M Billets Reports'!B871,P871)</f>
      </c>
    </row>
    <row r="873" spans="1:16" x14ac:dyDescent="0.25">
      <c r="A873">
        <f>IF(OR('R.M Billets Reports'!A872="Date-",'R.M Billets Reports'!A872="Date:-"),IF(IF(IF(ISNUMBER(SEARCH("Party Name:-",'R.M Billets Reports'!D872)),TRIM('R.M Billets Reports'!F872),IF(ISNUMBER(SEARCH("Party Name-",'R.M Billets Reports'!D872)),TRIM(MID('R.M Billets Reports'!D872,SEARCH("-",'R.M Billets Reports'!D872)+1,200)),""))&lt;&gt;"",IF(ISNUMBER(SEARCH("Party Name:-",'R.M Billets Reports'!D872)),TRIM('R.M Billets Reports'!F872),IF(ISNUMBER(SEARCH("Party Name-",'R.M Billets Reports'!D872)),TRIM(MID('R.M Billets Reports'!D872,SEARCH("-",'R.M Billets Reports'!D872)+1,200)),"")),IF(ISNUMBER(SEARCH("Party Name:-",'R.M Billets Reports'!D873)),TRIM('R.M Billets Reports'!F873),IF(ISNUMBER(SEARCH("Party Name-",'R.M Billets Reports'!D873)),TRIM(MID('R.M Billets Reports'!D873,SEARCH("-",'R.M Billets Reports'!D873)+1,200)),"")))="VRKP ISPAT PVT LTD","VRKP",IF(IF(IF(ISNUMBER(SEARCH("Party Name:-",'R.M Billets Reports'!D872)),TRIM('R.M Billets Reports'!F872),IF(ISNUMBER(SEARCH("Party Name-",'R.M Billets Reports'!D872)),TRIM(MID('R.M Billets Reports'!D872,SEARCH("-",'R.M Billets Reports'!D872)+1,200)),""))&lt;&gt;"",IF(ISNUMBER(SEARCH("Party Name:-",'R.M Billets Reports'!D872)),TRIM('R.M Billets Reports'!F872),IF(ISNUMBER(SEARCH("Party Name-",'R.M Billets Reports'!D872)),TRIM(MID('R.M Billets Reports'!D872,SEARCH("-",'R.M Billets Reports'!D872)+1,200)),"")),IF(ISNUMBER(SEARCH("Party Name:-",'R.M Billets Reports'!D873)),TRIM('R.M Billets Reports'!F873),IF(ISNUMBER(SEARCH("Party Name-",'R.M Billets Reports'!D873)),TRIM(MID('R.M Billets Reports'!D873,SEARCH("-",'R.M Billets Reports'!D873)+1,200)),"")))="SHRI RADHE","SHREE RADHE",IF(IF(IF(ISNUMBER(SEARCH("Party Name:-",'R.M Billets Reports'!D872)),TRIM('R.M Billets Reports'!F872),IF(ISNUMBER(SEARCH("Party Name-",'R.M Billets Reports'!D872)),TRIM(MID('R.M Billets Reports'!D872,SEARCH("-",'R.M Billets Reports'!D872)+1,200)),""))&lt;&gt;"",IF(ISNUMBER(SEARCH("Party Name:-",'R.M Billets Reports'!D872)),TRIM('R.M Billets Reports'!F872),IF(ISNUMBER(SEARCH("Party Name-",'R.M Billets Reports'!D872)),TRIM(MID('R.M Billets Reports'!D872,SEARCH("-",'R.M Billets Reports'!D872)+1,200)),"")),IF(ISNUMBER(SEARCH("Party Name:-",'R.M Billets Reports'!D873)),TRIM('R.M Billets Reports'!F873),IF(ISNUMBER(SEARCH("Party Name-",'R.M Billets Reports'!D873)),TRIM(MID('R.M Billets Reports'!D873,SEARCH("-",'R.M Billets Reports'!D873)+1,200)),"")))="SHREE RADHE SHAKTI SPONGE AND POWER PVT. LTD.","SHREE RADHE",IF(IF(ISNUMBER(SEARCH("Party Name:-",'R.M Billets Reports'!D872)),TRIM('R.M Billets Reports'!F872),IF(ISNUMBER(SEARCH("Party Name-",'R.M Billets Reports'!D872)),TRIM(MID('R.M Billets Reports'!D872,SEARCH("-",'R.M Billets Reports'!D872)+1,200)),""))&lt;&gt;"",IF(ISNUMBER(SEARCH("Party Name:-",'R.M Billets Reports'!D872)),TRIM('R.M Billets Reports'!F872),IF(ISNUMBER(SEARCH("Party Name-",'R.M Billets Reports'!D872)),TRIM(MID('R.M Billets Reports'!D872,SEARCH("-",'R.M Billets Reports'!D872)+1,200)),"")),IF(ISNUMBER(SEARCH("Party Name:-",'R.M Billets Reports'!D873)),TRIM('R.M Billets Reports'!F873),IF(ISNUMBER(SEARCH("Party Name-",'R.M Billets Reports'!D873)),TRIM(MID('R.M Billets Reports'!D873,SEARCH("-",'R.M Billets Reports'!D873)+1,200)),"")))))),IF(ROW()=2,"",A872))</f>
      </c>
      <c r="B873">
        <f>IF(OR('R.M Billets Reports'!A872="Date-",'R.M Billets Reports'!A872="Date:-"),'R.M Billets Reports'!B872,IF(ROW()=2,"",B872))</f>
      </c>
      <c r="C873">
        <f>IF('R.M Billets Reports'!A872="V.No.",'R.M Billets Reports'!B872,IF(ROW()=2,"",C872))</f>
      </c>
      <c r="D873">
        <f>IF('R.M Billets Reports'!A872&lt;&gt;"",'R.M Billets Reports'!A872,IF(ROW()=2,"",D872))</f>
      </c>
      <c r="E873">
        <f>IF('R.M Billets Reports'!B872="","",TRIM('R.M Billets Reports'!B872))</f>
      </c>
      <c r="F873">
        <f>'R.M Billets Reports'!C872</f>
      </c>
      <c r="G873">
        <f>'R.M Billets Reports'!D872</f>
      </c>
      <c r="H873">
        <f>'R.M Billets Reports'!E872</f>
      </c>
      <c r="I873">
        <f>'R.M Billets Reports'!F872</f>
      </c>
      <c r="J873">
        <f>'R.M Billets Reports'!G872</f>
      </c>
      <c r="K873">
        <f>'R.M Billets Reports'!H872</f>
      </c>
      <c r="L873">
        <f>IF('R.M Billets Reports'!I872="","",'R.M Billets Reports'!I872)</f>
      </c>
      <c r="M873">
        <f t="shared" si="26"/>
      </c>
      <c r="N873">
        <f>IF('R.M Billets Reports'!J872="","",'R.M Billets Reports'!J872)</f>
      </c>
      <c r="O873">
        <f t="shared" si="27"/>
      </c>
      <c r="P873">
        <f>IF('R.M Billets Reports'!A872="SIZE",'R.M Billets Reports'!B872,P872)</f>
      </c>
    </row>
    <row r="874" spans="1:16" x14ac:dyDescent="0.25">
      <c r="A874">
        <f>IF(OR('R.M Billets Reports'!A873="Date-",'R.M Billets Reports'!A873="Date:-"),IF(IF(IF(ISNUMBER(SEARCH("Party Name:-",'R.M Billets Reports'!D873)),TRIM('R.M Billets Reports'!F873),IF(ISNUMBER(SEARCH("Party Name-",'R.M Billets Reports'!D873)),TRIM(MID('R.M Billets Reports'!D873,SEARCH("-",'R.M Billets Reports'!D873)+1,200)),""))&lt;&gt;"",IF(ISNUMBER(SEARCH("Party Name:-",'R.M Billets Reports'!D873)),TRIM('R.M Billets Reports'!F873),IF(ISNUMBER(SEARCH("Party Name-",'R.M Billets Reports'!D873)),TRIM(MID('R.M Billets Reports'!D873,SEARCH("-",'R.M Billets Reports'!D873)+1,200)),"")),IF(ISNUMBER(SEARCH("Party Name:-",'R.M Billets Reports'!D874)),TRIM('R.M Billets Reports'!F874),IF(ISNUMBER(SEARCH("Party Name-",'R.M Billets Reports'!D874)),TRIM(MID('R.M Billets Reports'!D874,SEARCH("-",'R.M Billets Reports'!D874)+1,200)),"")))="VRKP ISPAT PVT LTD","VRKP",IF(IF(IF(ISNUMBER(SEARCH("Party Name:-",'R.M Billets Reports'!D873)),TRIM('R.M Billets Reports'!F873),IF(ISNUMBER(SEARCH("Party Name-",'R.M Billets Reports'!D873)),TRIM(MID('R.M Billets Reports'!D873,SEARCH("-",'R.M Billets Reports'!D873)+1,200)),""))&lt;&gt;"",IF(ISNUMBER(SEARCH("Party Name:-",'R.M Billets Reports'!D873)),TRIM('R.M Billets Reports'!F873),IF(ISNUMBER(SEARCH("Party Name-",'R.M Billets Reports'!D873)),TRIM(MID('R.M Billets Reports'!D873,SEARCH("-",'R.M Billets Reports'!D873)+1,200)),"")),IF(ISNUMBER(SEARCH("Party Name:-",'R.M Billets Reports'!D874)),TRIM('R.M Billets Reports'!F874),IF(ISNUMBER(SEARCH("Party Name-",'R.M Billets Reports'!D874)),TRIM(MID('R.M Billets Reports'!D874,SEARCH("-",'R.M Billets Reports'!D874)+1,200)),"")))="SHRI RADHE","SHREE RADHE",IF(IF(IF(ISNUMBER(SEARCH("Party Name:-",'R.M Billets Reports'!D873)),TRIM('R.M Billets Reports'!F873),IF(ISNUMBER(SEARCH("Party Name-",'R.M Billets Reports'!D873)),TRIM(MID('R.M Billets Reports'!D873,SEARCH("-",'R.M Billets Reports'!D873)+1,200)),""))&lt;&gt;"",IF(ISNUMBER(SEARCH("Party Name:-",'R.M Billets Reports'!D873)),TRIM('R.M Billets Reports'!F873),IF(ISNUMBER(SEARCH("Party Name-",'R.M Billets Reports'!D873)),TRIM(MID('R.M Billets Reports'!D873,SEARCH("-",'R.M Billets Reports'!D873)+1,200)),"")),IF(ISNUMBER(SEARCH("Party Name:-",'R.M Billets Reports'!D874)),TRIM('R.M Billets Reports'!F874),IF(ISNUMBER(SEARCH("Party Name-",'R.M Billets Reports'!D874)),TRIM(MID('R.M Billets Reports'!D874,SEARCH("-",'R.M Billets Reports'!D874)+1,200)),"")))="SHREE RADHE SHAKTI SPONGE AND POWER PVT. LTD.","SHREE RADHE",IF(IF(ISNUMBER(SEARCH("Party Name:-",'R.M Billets Reports'!D873)),TRIM('R.M Billets Reports'!F873),IF(ISNUMBER(SEARCH("Party Name-",'R.M Billets Reports'!D873)),TRIM(MID('R.M Billets Reports'!D873,SEARCH("-",'R.M Billets Reports'!D873)+1,200)),""))&lt;&gt;"",IF(ISNUMBER(SEARCH("Party Name:-",'R.M Billets Reports'!D873)),TRIM('R.M Billets Reports'!F873),IF(ISNUMBER(SEARCH("Party Name-",'R.M Billets Reports'!D873)),TRIM(MID('R.M Billets Reports'!D873,SEARCH("-",'R.M Billets Reports'!D873)+1,200)),"")),IF(ISNUMBER(SEARCH("Party Name:-",'R.M Billets Reports'!D874)),TRIM('R.M Billets Reports'!F874),IF(ISNUMBER(SEARCH("Party Name-",'R.M Billets Reports'!D874)),TRIM(MID('R.M Billets Reports'!D874,SEARCH("-",'R.M Billets Reports'!D874)+1,200)),"")))))),IF(ROW()=2,"",A873))</f>
      </c>
      <c r="B874">
        <f>IF(OR('R.M Billets Reports'!A873="Date-",'R.M Billets Reports'!A873="Date:-"),'R.M Billets Reports'!B873,IF(ROW()=2,"",B873))</f>
      </c>
      <c r="C874">
        <f>IF('R.M Billets Reports'!A873="V.No.",'R.M Billets Reports'!B873,IF(ROW()=2,"",C873))</f>
      </c>
      <c r="D874">
        <f>IF('R.M Billets Reports'!A873&lt;&gt;"",'R.M Billets Reports'!A873,IF(ROW()=2,"",D873))</f>
      </c>
      <c r="E874">
        <f>IF('R.M Billets Reports'!B873="","",TRIM('R.M Billets Reports'!B873))</f>
      </c>
      <c r="F874">
        <f>'R.M Billets Reports'!C873</f>
      </c>
      <c r="G874">
        <f>'R.M Billets Reports'!D873</f>
      </c>
      <c r="H874">
        <f>'R.M Billets Reports'!E873</f>
      </c>
      <c r="I874">
        <f>'R.M Billets Reports'!F873</f>
      </c>
      <c r="J874">
        <f>'R.M Billets Reports'!G873</f>
      </c>
      <c r="K874">
        <f>'R.M Billets Reports'!H873</f>
      </c>
      <c r="L874">
        <f>IF('R.M Billets Reports'!I873="","",'R.M Billets Reports'!I873)</f>
      </c>
      <c r="M874">
        <f t="shared" si="26"/>
      </c>
      <c r="N874">
        <f>IF('R.M Billets Reports'!J873="","",'R.M Billets Reports'!J873)</f>
      </c>
      <c r="O874">
        <f t="shared" si="27"/>
      </c>
      <c r="P874">
        <f>IF('R.M Billets Reports'!A873="SIZE",'R.M Billets Reports'!B873,P873)</f>
      </c>
    </row>
    <row r="875" spans="1:16" x14ac:dyDescent="0.25">
      <c r="A875">
        <f>IF(OR('R.M Billets Reports'!A874="Date-",'R.M Billets Reports'!A874="Date:-"),IF(IF(IF(ISNUMBER(SEARCH("Party Name:-",'R.M Billets Reports'!D874)),TRIM('R.M Billets Reports'!F874),IF(ISNUMBER(SEARCH("Party Name-",'R.M Billets Reports'!D874)),TRIM(MID('R.M Billets Reports'!D874,SEARCH("-",'R.M Billets Reports'!D874)+1,200)),""))&lt;&gt;"",IF(ISNUMBER(SEARCH("Party Name:-",'R.M Billets Reports'!D874)),TRIM('R.M Billets Reports'!F874),IF(ISNUMBER(SEARCH("Party Name-",'R.M Billets Reports'!D874)),TRIM(MID('R.M Billets Reports'!D874,SEARCH("-",'R.M Billets Reports'!D874)+1,200)),"")),IF(ISNUMBER(SEARCH("Party Name:-",'R.M Billets Reports'!D875)),TRIM('R.M Billets Reports'!F875),IF(ISNUMBER(SEARCH("Party Name-",'R.M Billets Reports'!D875)),TRIM(MID('R.M Billets Reports'!D875,SEARCH("-",'R.M Billets Reports'!D875)+1,200)),"")))="VRKP ISPAT PVT LTD","VRKP",IF(IF(IF(ISNUMBER(SEARCH("Party Name:-",'R.M Billets Reports'!D874)),TRIM('R.M Billets Reports'!F874),IF(ISNUMBER(SEARCH("Party Name-",'R.M Billets Reports'!D874)),TRIM(MID('R.M Billets Reports'!D874,SEARCH("-",'R.M Billets Reports'!D874)+1,200)),""))&lt;&gt;"",IF(ISNUMBER(SEARCH("Party Name:-",'R.M Billets Reports'!D874)),TRIM('R.M Billets Reports'!F874),IF(ISNUMBER(SEARCH("Party Name-",'R.M Billets Reports'!D874)),TRIM(MID('R.M Billets Reports'!D874,SEARCH("-",'R.M Billets Reports'!D874)+1,200)),"")),IF(ISNUMBER(SEARCH("Party Name:-",'R.M Billets Reports'!D875)),TRIM('R.M Billets Reports'!F875),IF(ISNUMBER(SEARCH("Party Name-",'R.M Billets Reports'!D875)),TRIM(MID('R.M Billets Reports'!D875,SEARCH("-",'R.M Billets Reports'!D875)+1,200)),"")))="SHRI RADHE","SHREE RADHE",IF(IF(IF(ISNUMBER(SEARCH("Party Name:-",'R.M Billets Reports'!D874)),TRIM('R.M Billets Reports'!F874),IF(ISNUMBER(SEARCH("Party Name-",'R.M Billets Reports'!D874)),TRIM(MID('R.M Billets Reports'!D874,SEARCH("-",'R.M Billets Reports'!D874)+1,200)),""))&lt;&gt;"",IF(ISNUMBER(SEARCH("Party Name:-",'R.M Billets Reports'!D874)),TRIM('R.M Billets Reports'!F874),IF(ISNUMBER(SEARCH("Party Name-",'R.M Billets Reports'!D874)),TRIM(MID('R.M Billets Reports'!D874,SEARCH("-",'R.M Billets Reports'!D874)+1,200)),"")),IF(ISNUMBER(SEARCH("Party Name:-",'R.M Billets Reports'!D875)),TRIM('R.M Billets Reports'!F875),IF(ISNUMBER(SEARCH("Party Name-",'R.M Billets Reports'!D875)),TRIM(MID('R.M Billets Reports'!D875,SEARCH("-",'R.M Billets Reports'!D875)+1,200)),"")))="SHREE RADHE SHAKTI SPONGE AND POWER PVT. LTD.","SHREE RADHE",IF(IF(ISNUMBER(SEARCH("Party Name:-",'R.M Billets Reports'!D874)),TRIM('R.M Billets Reports'!F874),IF(ISNUMBER(SEARCH("Party Name-",'R.M Billets Reports'!D874)),TRIM(MID('R.M Billets Reports'!D874,SEARCH("-",'R.M Billets Reports'!D874)+1,200)),""))&lt;&gt;"",IF(ISNUMBER(SEARCH("Party Name:-",'R.M Billets Reports'!D874)),TRIM('R.M Billets Reports'!F874),IF(ISNUMBER(SEARCH("Party Name-",'R.M Billets Reports'!D874)),TRIM(MID('R.M Billets Reports'!D874,SEARCH("-",'R.M Billets Reports'!D874)+1,200)),"")),IF(ISNUMBER(SEARCH("Party Name:-",'R.M Billets Reports'!D875)),TRIM('R.M Billets Reports'!F875),IF(ISNUMBER(SEARCH("Party Name-",'R.M Billets Reports'!D875)),TRIM(MID('R.M Billets Reports'!D875,SEARCH("-",'R.M Billets Reports'!D875)+1,200)),"")))))),IF(ROW()=2,"",A874))</f>
      </c>
      <c r="B875">
        <f>IF(OR('R.M Billets Reports'!A874="Date-",'R.M Billets Reports'!A874="Date:-"),'R.M Billets Reports'!B874,IF(ROW()=2,"",B874))</f>
      </c>
      <c r="C875">
        <f>IF('R.M Billets Reports'!A874="V.No.",'R.M Billets Reports'!B874,IF(ROW()=2,"",C874))</f>
      </c>
      <c r="D875">
        <f>IF('R.M Billets Reports'!A874&lt;&gt;"",'R.M Billets Reports'!A874,IF(ROW()=2,"",D874))</f>
      </c>
      <c r="E875">
        <f>IF('R.M Billets Reports'!B874="","",TRIM('R.M Billets Reports'!B874))</f>
      </c>
      <c r="F875">
        <f>'R.M Billets Reports'!C874</f>
      </c>
      <c r="G875">
        <f>'R.M Billets Reports'!D874</f>
      </c>
      <c r="H875">
        <f>'R.M Billets Reports'!E874</f>
      </c>
      <c r="I875">
        <f>'R.M Billets Reports'!F874</f>
      </c>
      <c r="J875">
        <f>'R.M Billets Reports'!G874</f>
      </c>
      <c r="K875">
        <f>'R.M Billets Reports'!H874</f>
      </c>
      <c r="L875">
        <f>IF('R.M Billets Reports'!I874="","",'R.M Billets Reports'!I874)</f>
      </c>
      <c r="M875">
        <f t="shared" si="26"/>
      </c>
      <c r="N875">
        <f>IF('R.M Billets Reports'!J874="","",'R.M Billets Reports'!J874)</f>
      </c>
      <c r="O875">
        <f t="shared" si="27"/>
      </c>
      <c r="P875">
        <f>IF('R.M Billets Reports'!A874="SIZE",'R.M Billets Reports'!B874,P874)</f>
      </c>
    </row>
    <row r="876" spans="1:16" x14ac:dyDescent="0.25">
      <c r="A876">
        <f>IF(OR('R.M Billets Reports'!A875="Date-",'R.M Billets Reports'!A875="Date:-"),IF(IF(IF(ISNUMBER(SEARCH("Party Name:-",'R.M Billets Reports'!D875)),TRIM('R.M Billets Reports'!F875),IF(ISNUMBER(SEARCH("Party Name-",'R.M Billets Reports'!D875)),TRIM(MID('R.M Billets Reports'!D875,SEARCH("-",'R.M Billets Reports'!D875)+1,200)),""))&lt;&gt;"",IF(ISNUMBER(SEARCH("Party Name:-",'R.M Billets Reports'!D875)),TRIM('R.M Billets Reports'!F875),IF(ISNUMBER(SEARCH("Party Name-",'R.M Billets Reports'!D875)),TRIM(MID('R.M Billets Reports'!D875,SEARCH("-",'R.M Billets Reports'!D875)+1,200)),"")),IF(ISNUMBER(SEARCH("Party Name:-",'R.M Billets Reports'!D876)),TRIM('R.M Billets Reports'!F876),IF(ISNUMBER(SEARCH("Party Name-",'R.M Billets Reports'!D876)),TRIM(MID('R.M Billets Reports'!D876,SEARCH("-",'R.M Billets Reports'!D876)+1,200)),"")))="VRKP ISPAT PVT LTD","VRKP",IF(IF(IF(ISNUMBER(SEARCH("Party Name:-",'R.M Billets Reports'!D875)),TRIM('R.M Billets Reports'!F875),IF(ISNUMBER(SEARCH("Party Name-",'R.M Billets Reports'!D875)),TRIM(MID('R.M Billets Reports'!D875,SEARCH("-",'R.M Billets Reports'!D875)+1,200)),""))&lt;&gt;"",IF(ISNUMBER(SEARCH("Party Name:-",'R.M Billets Reports'!D875)),TRIM('R.M Billets Reports'!F875),IF(ISNUMBER(SEARCH("Party Name-",'R.M Billets Reports'!D875)),TRIM(MID('R.M Billets Reports'!D875,SEARCH("-",'R.M Billets Reports'!D875)+1,200)),"")),IF(ISNUMBER(SEARCH("Party Name:-",'R.M Billets Reports'!D876)),TRIM('R.M Billets Reports'!F876),IF(ISNUMBER(SEARCH("Party Name-",'R.M Billets Reports'!D876)),TRIM(MID('R.M Billets Reports'!D876,SEARCH("-",'R.M Billets Reports'!D876)+1,200)),"")))="SHRI RADHE","SHREE RADHE",IF(IF(IF(ISNUMBER(SEARCH("Party Name:-",'R.M Billets Reports'!D875)),TRIM('R.M Billets Reports'!F875),IF(ISNUMBER(SEARCH("Party Name-",'R.M Billets Reports'!D875)),TRIM(MID('R.M Billets Reports'!D875,SEARCH("-",'R.M Billets Reports'!D875)+1,200)),""))&lt;&gt;"",IF(ISNUMBER(SEARCH("Party Name:-",'R.M Billets Reports'!D875)),TRIM('R.M Billets Reports'!F875),IF(ISNUMBER(SEARCH("Party Name-",'R.M Billets Reports'!D875)),TRIM(MID('R.M Billets Reports'!D875,SEARCH("-",'R.M Billets Reports'!D875)+1,200)),"")),IF(ISNUMBER(SEARCH("Party Name:-",'R.M Billets Reports'!D876)),TRIM('R.M Billets Reports'!F876),IF(ISNUMBER(SEARCH("Party Name-",'R.M Billets Reports'!D876)),TRIM(MID('R.M Billets Reports'!D876,SEARCH("-",'R.M Billets Reports'!D876)+1,200)),"")))="SHREE RADHE SHAKTI SPONGE AND POWER PVT. LTD.","SHREE RADHE",IF(IF(ISNUMBER(SEARCH("Party Name:-",'R.M Billets Reports'!D875)),TRIM('R.M Billets Reports'!F875),IF(ISNUMBER(SEARCH("Party Name-",'R.M Billets Reports'!D875)),TRIM(MID('R.M Billets Reports'!D875,SEARCH("-",'R.M Billets Reports'!D875)+1,200)),""))&lt;&gt;"",IF(ISNUMBER(SEARCH("Party Name:-",'R.M Billets Reports'!D875)),TRIM('R.M Billets Reports'!F875),IF(ISNUMBER(SEARCH("Party Name-",'R.M Billets Reports'!D875)),TRIM(MID('R.M Billets Reports'!D875,SEARCH("-",'R.M Billets Reports'!D875)+1,200)),"")),IF(ISNUMBER(SEARCH("Party Name:-",'R.M Billets Reports'!D876)),TRIM('R.M Billets Reports'!F876),IF(ISNUMBER(SEARCH("Party Name-",'R.M Billets Reports'!D876)),TRIM(MID('R.M Billets Reports'!D876,SEARCH("-",'R.M Billets Reports'!D876)+1,200)),"")))))),IF(ROW()=2,"",A875))</f>
      </c>
      <c r="B876">
        <f>IF(OR('R.M Billets Reports'!A875="Date-",'R.M Billets Reports'!A875="Date:-"),'R.M Billets Reports'!B875,IF(ROW()=2,"",B875))</f>
      </c>
      <c r="C876">
        <f>IF('R.M Billets Reports'!A875="V.No.",'R.M Billets Reports'!B875,IF(ROW()=2,"",C875))</f>
      </c>
      <c r="D876">
        <f>IF('R.M Billets Reports'!A875&lt;&gt;"",'R.M Billets Reports'!A875,IF(ROW()=2,"",D875))</f>
      </c>
      <c r="E876">
        <f>IF('R.M Billets Reports'!B875="","",TRIM('R.M Billets Reports'!B875))</f>
      </c>
      <c r="F876">
        <f>'R.M Billets Reports'!C875</f>
      </c>
      <c r="G876">
        <f>'R.M Billets Reports'!D875</f>
      </c>
      <c r="H876">
        <f>'R.M Billets Reports'!E875</f>
      </c>
      <c r="I876">
        <f>'R.M Billets Reports'!F875</f>
      </c>
      <c r="J876">
        <f>'R.M Billets Reports'!G875</f>
      </c>
      <c r="K876">
        <f>'R.M Billets Reports'!H875</f>
      </c>
      <c r="L876">
        <f>IF('R.M Billets Reports'!I875="","",'R.M Billets Reports'!I875)</f>
      </c>
      <c r="M876">
        <f t="shared" si="26"/>
      </c>
      <c r="N876">
        <f>IF('R.M Billets Reports'!J875="","",'R.M Billets Reports'!J875)</f>
      </c>
      <c r="O876">
        <f t="shared" si="27"/>
      </c>
      <c r="P876">
        <f>IF('R.M Billets Reports'!A875="SIZE",'R.M Billets Reports'!B875,P875)</f>
      </c>
    </row>
    <row r="877" spans="1:16" x14ac:dyDescent="0.25">
      <c r="A877">
        <f>IF(OR('R.M Billets Reports'!A876="Date-",'R.M Billets Reports'!A876="Date:-"),IF(IF(IF(ISNUMBER(SEARCH("Party Name:-",'R.M Billets Reports'!D876)),TRIM('R.M Billets Reports'!F876),IF(ISNUMBER(SEARCH("Party Name-",'R.M Billets Reports'!D876)),TRIM(MID('R.M Billets Reports'!D876,SEARCH("-",'R.M Billets Reports'!D876)+1,200)),""))&lt;&gt;"",IF(ISNUMBER(SEARCH("Party Name:-",'R.M Billets Reports'!D876)),TRIM('R.M Billets Reports'!F876),IF(ISNUMBER(SEARCH("Party Name-",'R.M Billets Reports'!D876)),TRIM(MID('R.M Billets Reports'!D876,SEARCH("-",'R.M Billets Reports'!D876)+1,200)),"")),IF(ISNUMBER(SEARCH("Party Name:-",'R.M Billets Reports'!D877)),TRIM('R.M Billets Reports'!F877),IF(ISNUMBER(SEARCH("Party Name-",'R.M Billets Reports'!D877)),TRIM(MID('R.M Billets Reports'!D877,SEARCH("-",'R.M Billets Reports'!D877)+1,200)),"")))="VRKP ISPAT PVT LTD","VRKP",IF(IF(IF(ISNUMBER(SEARCH("Party Name:-",'R.M Billets Reports'!D876)),TRIM('R.M Billets Reports'!F876),IF(ISNUMBER(SEARCH("Party Name-",'R.M Billets Reports'!D876)),TRIM(MID('R.M Billets Reports'!D876,SEARCH("-",'R.M Billets Reports'!D876)+1,200)),""))&lt;&gt;"",IF(ISNUMBER(SEARCH("Party Name:-",'R.M Billets Reports'!D876)),TRIM('R.M Billets Reports'!F876),IF(ISNUMBER(SEARCH("Party Name-",'R.M Billets Reports'!D876)),TRIM(MID('R.M Billets Reports'!D876,SEARCH("-",'R.M Billets Reports'!D876)+1,200)),"")),IF(ISNUMBER(SEARCH("Party Name:-",'R.M Billets Reports'!D877)),TRIM('R.M Billets Reports'!F877),IF(ISNUMBER(SEARCH("Party Name-",'R.M Billets Reports'!D877)),TRIM(MID('R.M Billets Reports'!D877,SEARCH("-",'R.M Billets Reports'!D877)+1,200)),"")))="SHRI RADHE","SHREE RADHE",IF(IF(IF(ISNUMBER(SEARCH("Party Name:-",'R.M Billets Reports'!D876)),TRIM('R.M Billets Reports'!F876),IF(ISNUMBER(SEARCH("Party Name-",'R.M Billets Reports'!D876)),TRIM(MID('R.M Billets Reports'!D876,SEARCH("-",'R.M Billets Reports'!D876)+1,200)),""))&lt;&gt;"",IF(ISNUMBER(SEARCH("Party Name:-",'R.M Billets Reports'!D876)),TRIM('R.M Billets Reports'!F876),IF(ISNUMBER(SEARCH("Party Name-",'R.M Billets Reports'!D876)),TRIM(MID('R.M Billets Reports'!D876,SEARCH("-",'R.M Billets Reports'!D876)+1,200)),"")),IF(ISNUMBER(SEARCH("Party Name:-",'R.M Billets Reports'!D877)),TRIM('R.M Billets Reports'!F877),IF(ISNUMBER(SEARCH("Party Name-",'R.M Billets Reports'!D877)),TRIM(MID('R.M Billets Reports'!D877,SEARCH("-",'R.M Billets Reports'!D877)+1,200)),"")))="SHREE RADHE SHAKTI SPONGE AND POWER PVT. LTD.","SHREE RADHE",IF(IF(ISNUMBER(SEARCH("Party Name:-",'R.M Billets Reports'!D876)),TRIM('R.M Billets Reports'!F876),IF(ISNUMBER(SEARCH("Party Name-",'R.M Billets Reports'!D876)),TRIM(MID('R.M Billets Reports'!D876,SEARCH("-",'R.M Billets Reports'!D876)+1,200)),""))&lt;&gt;"",IF(ISNUMBER(SEARCH("Party Name:-",'R.M Billets Reports'!D876)),TRIM('R.M Billets Reports'!F876),IF(ISNUMBER(SEARCH("Party Name-",'R.M Billets Reports'!D876)),TRIM(MID('R.M Billets Reports'!D876,SEARCH("-",'R.M Billets Reports'!D876)+1,200)),"")),IF(ISNUMBER(SEARCH("Party Name:-",'R.M Billets Reports'!D877)),TRIM('R.M Billets Reports'!F877),IF(ISNUMBER(SEARCH("Party Name-",'R.M Billets Reports'!D877)),TRIM(MID('R.M Billets Reports'!D877,SEARCH("-",'R.M Billets Reports'!D877)+1,200)),"")))))),IF(ROW()=2,"",A876))</f>
      </c>
      <c r="B877">
        <f>IF(OR('R.M Billets Reports'!A876="Date-",'R.M Billets Reports'!A876="Date:-"),'R.M Billets Reports'!B876,IF(ROW()=2,"",B876))</f>
      </c>
      <c r="C877">
        <f>IF('R.M Billets Reports'!A876="V.No.",'R.M Billets Reports'!B876,IF(ROW()=2,"",C876))</f>
      </c>
      <c r="D877">
        <f>IF('R.M Billets Reports'!A876&lt;&gt;"",'R.M Billets Reports'!A876,IF(ROW()=2,"",D876))</f>
      </c>
      <c r="E877">
        <f>IF('R.M Billets Reports'!B876="","",TRIM('R.M Billets Reports'!B876))</f>
      </c>
      <c r="F877">
        <f>'R.M Billets Reports'!C876</f>
      </c>
      <c r="G877">
        <f>'R.M Billets Reports'!D876</f>
      </c>
      <c r="H877">
        <f>'R.M Billets Reports'!E876</f>
      </c>
      <c r="I877">
        <f>'R.M Billets Reports'!F876</f>
      </c>
      <c r="J877">
        <f>'R.M Billets Reports'!G876</f>
      </c>
      <c r="K877">
        <f>'R.M Billets Reports'!H876</f>
      </c>
      <c r="L877">
        <f>IF('R.M Billets Reports'!I876="","",'R.M Billets Reports'!I876)</f>
      </c>
      <c r="M877">
        <f t="shared" si="26"/>
      </c>
      <c r="N877">
        <f>IF('R.M Billets Reports'!J876="","",'R.M Billets Reports'!J876)</f>
      </c>
      <c r="O877">
        <f t="shared" si="27"/>
      </c>
      <c r="P877">
        <f>IF('R.M Billets Reports'!A876="SIZE",'R.M Billets Reports'!B876,P876)</f>
      </c>
    </row>
    <row r="878" spans="1:16" x14ac:dyDescent="0.25">
      <c r="A878">
        <f>IF(OR('R.M Billets Reports'!A877="Date-",'R.M Billets Reports'!A877="Date:-"),IF(IF(IF(ISNUMBER(SEARCH("Party Name:-",'R.M Billets Reports'!D877)),TRIM('R.M Billets Reports'!F877),IF(ISNUMBER(SEARCH("Party Name-",'R.M Billets Reports'!D877)),TRIM(MID('R.M Billets Reports'!D877,SEARCH("-",'R.M Billets Reports'!D877)+1,200)),""))&lt;&gt;"",IF(ISNUMBER(SEARCH("Party Name:-",'R.M Billets Reports'!D877)),TRIM('R.M Billets Reports'!F877),IF(ISNUMBER(SEARCH("Party Name-",'R.M Billets Reports'!D877)),TRIM(MID('R.M Billets Reports'!D877,SEARCH("-",'R.M Billets Reports'!D877)+1,200)),"")),IF(ISNUMBER(SEARCH("Party Name:-",'R.M Billets Reports'!D878)),TRIM('R.M Billets Reports'!F878),IF(ISNUMBER(SEARCH("Party Name-",'R.M Billets Reports'!D878)),TRIM(MID('R.M Billets Reports'!D878,SEARCH("-",'R.M Billets Reports'!D878)+1,200)),"")))="VRKP ISPAT PVT LTD","VRKP",IF(IF(IF(ISNUMBER(SEARCH("Party Name:-",'R.M Billets Reports'!D877)),TRIM('R.M Billets Reports'!F877),IF(ISNUMBER(SEARCH("Party Name-",'R.M Billets Reports'!D877)),TRIM(MID('R.M Billets Reports'!D877,SEARCH("-",'R.M Billets Reports'!D877)+1,200)),""))&lt;&gt;"",IF(ISNUMBER(SEARCH("Party Name:-",'R.M Billets Reports'!D877)),TRIM('R.M Billets Reports'!F877),IF(ISNUMBER(SEARCH("Party Name-",'R.M Billets Reports'!D877)),TRIM(MID('R.M Billets Reports'!D877,SEARCH("-",'R.M Billets Reports'!D877)+1,200)),"")),IF(ISNUMBER(SEARCH("Party Name:-",'R.M Billets Reports'!D878)),TRIM('R.M Billets Reports'!F878),IF(ISNUMBER(SEARCH("Party Name-",'R.M Billets Reports'!D878)),TRIM(MID('R.M Billets Reports'!D878,SEARCH("-",'R.M Billets Reports'!D878)+1,200)),"")))="SHRI RADHE","SHREE RADHE",IF(IF(IF(ISNUMBER(SEARCH("Party Name:-",'R.M Billets Reports'!D877)),TRIM('R.M Billets Reports'!F877),IF(ISNUMBER(SEARCH("Party Name-",'R.M Billets Reports'!D877)),TRIM(MID('R.M Billets Reports'!D877,SEARCH("-",'R.M Billets Reports'!D877)+1,200)),""))&lt;&gt;"",IF(ISNUMBER(SEARCH("Party Name:-",'R.M Billets Reports'!D877)),TRIM('R.M Billets Reports'!F877),IF(ISNUMBER(SEARCH("Party Name-",'R.M Billets Reports'!D877)),TRIM(MID('R.M Billets Reports'!D877,SEARCH("-",'R.M Billets Reports'!D877)+1,200)),"")),IF(ISNUMBER(SEARCH("Party Name:-",'R.M Billets Reports'!D878)),TRIM('R.M Billets Reports'!F878),IF(ISNUMBER(SEARCH("Party Name-",'R.M Billets Reports'!D878)),TRIM(MID('R.M Billets Reports'!D878,SEARCH("-",'R.M Billets Reports'!D878)+1,200)),"")))="SHREE RADHE SHAKTI SPONGE AND POWER PVT. LTD.","SHREE RADHE",IF(IF(ISNUMBER(SEARCH("Party Name:-",'R.M Billets Reports'!D877)),TRIM('R.M Billets Reports'!F877),IF(ISNUMBER(SEARCH("Party Name-",'R.M Billets Reports'!D877)),TRIM(MID('R.M Billets Reports'!D877,SEARCH("-",'R.M Billets Reports'!D877)+1,200)),""))&lt;&gt;"",IF(ISNUMBER(SEARCH("Party Name:-",'R.M Billets Reports'!D877)),TRIM('R.M Billets Reports'!F877),IF(ISNUMBER(SEARCH("Party Name-",'R.M Billets Reports'!D877)),TRIM(MID('R.M Billets Reports'!D877,SEARCH("-",'R.M Billets Reports'!D877)+1,200)),"")),IF(ISNUMBER(SEARCH("Party Name:-",'R.M Billets Reports'!D878)),TRIM('R.M Billets Reports'!F878),IF(ISNUMBER(SEARCH("Party Name-",'R.M Billets Reports'!D878)),TRIM(MID('R.M Billets Reports'!D878,SEARCH("-",'R.M Billets Reports'!D878)+1,200)),"")))))),IF(ROW()=2,"",A877))</f>
      </c>
      <c r="B878">
        <f>IF(OR('R.M Billets Reports'!A877="Date-",'R.M Billets Reports'!A877="Date:-"),'R.M Billets Reports'!B877,IF(ROW()=2,"",B877))</f>
      </c>
      <c r="C878">
        <f>IF('R.M Billets Reports'!A877="V.No.",'R.M Billets Reports'!B877,IF(ROW()=2,"",C877))</f>
      </c>
      <c r="D878">
        <f>IF('R.M Billets Reports'!A877&lt;&gt;"",'R.M Billets Reports'!A877,IF(ROW()=2,"",D877))</f>
      </c>
      <c r="E878">
        <f>IF('R.M Billets Reports'!B877="","",TRIM('R.M Billets Reports'!B877))</f>
      </c>
      <c r="F878">
        <f>'R.M Billets Reports'!C877</f>
      </c>
      <c r="G878">
        <f>'R.M Billets Reports'!D877</f>
      </c>
      <c r="H878">
        <f>'R.M Billets Reports'!E877</f>
      </c>
      <c r="I878">
        <f>'R.M Billets Reports'!F877</f>
      </c>
      <c r="J878">
        <f>'R.M Billets Reports'!G877</f>
      </c>
      <c r="K878">
        <f>'R.M Billets Reports'!H877</f>
      </c>
      <c r="L878">
        <f>IF('R.M Billets Reports'!I877="","",'R.M Billets Reports'!I877)</f>
      </c>
      <c r="M878">
        <f t="shared" si="26"/>
      </c>
      <c r="N878">
        <f>IF('R.M Billets Reports'!J877="","",'R.M Billets Reports'!J877)</f>
      </c>
      <c r="O878">
        <f t="shared" si="27"/>
      </c>
      <c r="P878">
        <f>IF('R.M Billets Reports'!A877="SIZE",'R.M Billets Reports'!B877,P877)</f>
      </c>
    </row>
    <row r="879" spans="1:16" x14ac:dyDescent="0.25">
      <c r="A879">
        <f>IF(OR('R.M Billets Reports'!A878="Date-",'R.M Billets Reports'!A878="Date:-"),IF(IF(IF(ISNUMBER(SEARCH("Party Name:-",'R.M Billets Reports'!D878)),TRIM('R.M Billets Reports'!F878),IF(ISNUMBER(SEARCH("Party Name-",'R.M Billets Reports'!D878)),TRIM(MID('R.M Billets Reports'!D878,SEARCH("-",'R.M Billets Reports'!D878)+1,200)),""))&lt;&gt;"",IF(ISNUMBER(SEARCH("Party Name:-",'R.M Billets Reports'!D878)),TRIM('R.M Billets Reports'!F878),IF(ISNUMBER(SEARCH("Party Name-",'R.M Billets Reports'!D878)),TRIM(MID('R.M Billets Reports'!D878,SEARCH("-",'R.M Billets Reports'!D878)+1,200)),"")),IF(ISNUMBER(SEARCH("Party Name:-",'R.M Billets Reports'!D879)),TRIM('R.M Billets Reports'!F879),IF(ISNUMBER(SEARCH("Party Name-",'R.M Billets Reports'!D879)),TRIM(MID('R.M Billets Reports'!D879,SEARCH("-",'R.M Billets Reports'!D879)+1,200)),"")))="VRKP ISPAT PVT LTD","VRKP",IF(IF(IF(ISNUMBER(SEARCH("Party Name:-",'R.M Billets Reports'!D878)),TRIM('R.M Billets Reports'!F878),IF(ISNUMBER(SEARCH("Party Name-",'R.M Billets Reports'!D878)),TRIM(MID('R.M Billets Reports'!D878,SEARCH("-",'R.M Billets Reports'!D878)+1,200)),""))&lt;&gt;"",IF(ISNUMBER(SEARCH("Party Name:-",'R.M Billets Reports'!D878)),TRIM('R.M Billets Reports'!F878),IF(ISNUMBER(SEARCH("Party Name-",'R.M Billets Reports'!D878)),TRIM(MID('R.M Billets Reports'!D878,SEARCH("-",'R.M Billets Reports'!D878)+1,200)),"")),IF(ISNUMBER(SEARCH("Party Name:-",'R.M Billets Reports'!D879)),TRIM('R.M Billets Reports'!F879),IF(ISNUMBER(SEARCH("Party Name-",'R.M Billets Reports'!D879)),TRIM(MID('R.M Billets Reports'!D879,SEARCH("-",'R.M Billets Reports'!D879)+1,200)),"")))="SHRI RADHE","SHREE RADHE",IF(IF(IF(ISNUMBER(SEARCH("Party Name:-",'R.M Billets Reports'!D878)),TRIM('R.M Billets Reports'!F878),IF(ISNUMBER(SEARCH("Party Name-",'R.M Billets Reports'!D878)),TRIM(MID('R.M Billets Reports'!D878,SEARCH("-",'R.M Billets Reports'!D878)+1,200)),""))&lt;&gt;"",IF(ISNUMBER(SEARCH("Party Name:-",'R.M Billets Reports'!D878)),TRIM('R.M Billets Reports'!F878),IF(ISNUMBER(SEARCH("Party Name-",'R.M Billets Reports'!D878)),TRIM(MID('R.M Billets Reports'!D878,SEARCH("-",'R.M Billets Reports'!D878)+1,200)),"")),IF(ISNUMBER(SEARCH("Party Name:-",'R.M Billets Reports'!D879)),TRIM('R.M Billets Reports'!F879),IF(ISNUMBER(SEARCH("Party Name-",'R.M Billets Reports'!D879)),TRIM(MID('R.M Billets Reports'!D879,SEARCH("-",'R.M Billets Reports'!D879)+1,200)),"")))="SHREE RADHE SHAKTI SPONGE AND POWER PVT. LTD.","SHREE RADHE",IF(IF(ISNUMBER(SEARCH("Party Name:-",'R.M Billets Reports'!D878)),TRIM('R.M Billets Reports'!F878),IF(ISNUMBER(SEARCH("Party Name-",'R.M Billets Reports'!D878)),TRIM(MID('R.M Billets Reports'!D878,SEARCH("-",'R.M Billets Reports'!D878)+1,200)),""))&lt;&gt;"",IF(ISNUMBER(SEARCH("Party Name:-",'R.M Billets Reports'!D878)),TRIM('R.M Billets Reports'!F878),IF(ISNUMBER(SEARCH("Party Name-",'R.M Billets Reports'!D878)),TRIM(MID('R.M Billets Reports'!D878,SEARCH("-",'R.M Billets Reports'!D878)+1,200)),"")),IF(ISNUMBER(SEARCH("Party Name:-",'R.M Billets Reports'!D879)),TRIM('R.M Billets Reports'!F879),IF(ISNUMBER(SEARCH("Party Name-",'R.M Billets Reports'!D879)),TRIM(MID('R.M Billets Reports'!D879,SEARCH("-",'R.M Billets Reports'!D879)+1,200)),"")))))),IF(ROW()=2,"",A878))</f>
      </c>
      <c r="B879">
        <f>IF(OR('R.M Billets Reports'!A878="Date-",'R.M Billets Reports'!A878="Date:-"),'R.M Billets Reports'!B878,IF(ROW()=2,"",B878))</f>
      </c>
      <c r="C879">
        <f>IF('R.M Billets Reports'!A878="V.No.",'R.M Billets Reports'!B878,IF(ROW()=2,"",C878))</f>
      </c>
      <c r="D879">
        <f>IF('R.M Billets Reports'!A878&lt;&gt;"",'R.M Billets Reports'!A878,IF(ROW()=2,"",D878))</f>
      </c>
      <c r="E879">
        <f>IF('R.M Billets Reports'!B878="","",TRIM('R.M Billets Reports'!B878))</f>
      </c>
      <c r="F879">
        <f>'R.M Billets Reports'!C878</f>
      </c>
      <c r="G879">
        <f>'R.M Billets Reports'!D878</f>
      </c>
      <c r="H879">
        <f>'R.M Billets Reports'!E878</f>
      </c>
      <c r="I879">
        <f>'R.M Billets Reports'!F878</f>
      </c>
      <c r="J879">
        <f>'R.M Billets Reports'!G878</f>
      </c>
      <c r="K879">
        <f>'R.M Billets Reports'!H878</f>
      </c>
      <c r="L879">
        <f>IF('R.M Billets Reports'!I878="","",'R.M Billets Reports'!I878)</f>
      </c>
      <c r="M879">
        <f t="shared" si="26"/>
      </c>
      <c r="N879">
        <f>IF('R.M Billets Reports'!J878="","",'R.M Billets Reports'!J878)</f>
      </c>
      <c r="O879">
        <f t="shared" si="27"/>
      </c>
      <c r="P879">
        <f>IF('R.M Billets Reports'!A878="SIZE",'R.M Billets Reports'!B878,P878)</f>
      </c>
    </row>
    <row r="880" spans="1:16" x14ac:dyDescent="0.25">
      <c r="A880">
        <f>IF(OR('R.M Billets Reports'!A879="Date-",'R.M Billets Reports'!A879="Date:-"),IF(IF(IF(ISNUMBER(SEARCH("Party Name:-",'R.M Billets Reports'!D879)),TRIM('R.M Billets Reports'!F879),IF(ISNUMBER(SEARCH("Party Name-",'R.M Billets Reports'!D879)),TRIM(MID('R.M Billets Reports'!D879,SEARCH("-",'R.M Billets Reports'!D879)+1,200)),""))&lt;&gt;"",IF(ISNUMBER(SEARCH("Party Name:-",'R.M Billets Reports'!D879)),TRIM('R.M Billets Reports'!F879),IF(ISNUMBER(SEARCH("Party Name-",'R.M Billets Reports'!D879)),TRIM(MID('R.M Billets Reports'!D879,SEARCH("-",'R.M Billets Reports'!D879)+1,200)),"")),IF(ISNUMBER(SEARCH("Party Name:-",'R.M Billets Reports'!D880)),TRIM('R.M Billets Reports'!F880),IF(ISNUMBER(SEARCH("Party Name-",'R.M Billets Reports'!D880)),TRIM(MID('R.M Billets Reports'!D880,SEARCH("-",'R.M Billets Reports'!D880)+1,200)),"")))="VRKP ISPAT PVT LTD","VRKP",IF(IF(IF(ISNUMBER(SEARCH("Party Name:-",'R.M Billets Reports'!D879)),TRIM('R.M Billets Reports'!F879),IF(ISNUMBER(SEARCH("Party Name-",'R.M Billets Reports'!D879)),TRIM(MID('R.M Billets Reports'!D879,SEARCH("-",'R.M Billets Reports'!D879)+1,200)),""))&lt;&gt;"",IF(ISNUMBER(SEARCH("Party Name:-",'R.M Billets Reports'!D879)),TRIM('R.M Billets Reports'!F879),IF(ISNUMBER(SEARCH("Party Name-",'R.M Billets Reports'!D879)),TRIM(MID('R.M Billets Reports'!D879,SEARCH("-",'R.M Billets Reports'!D879)+1,200)),"")),IF(ISNUMBER(SEARCH("Party Name:-",'R.M Billets Reports'!D880)),TRIM('R.M Billets Reports'!F880),IF(ISNUMBER(SEARCH("Party Name-",'R.M Billets Reports'!D880)),TRIM(MID('R.M Billets Reports'!D880,SEARCH("-",'R.M Billets Reports'!D880)+1,200)),"")))="SHRI RADHE","SHREE RADHE",IF(IF(IF(ISNUMBER(SEARCH("Party Name:-",'R.M Billets Reports'!D879)),TRIM('R.M Billets Reports'!F879),IF(ISNUMBER(SEARCH("Party Name-",'R.M Billets Reports'!D879)),TRIM(MID('R.M Billets Reports'!D879,SEARCH("-",'R.M Billets Reports'!D879)+1,200)),""))&lt;&gt;"",IF(ISNUMBER(SEARCH("Party Name:-",'R.M Billets Reports'!D879)),TRIM('R.M Billets Reports'!F879),IF(ISNUMBER(SEARCH("Party Name-",'R.M Billets Reports'!D879)),TRIM(MID('R.M Billets Reports'!D879,SEARCH("-",'R.M Billets Reports'!D879)+1,200)),"")),IF(ISNUMBER(SEARCH("Party Name:-",'R.M Billets Reports'!D880)),TRIM('R.M Billets Reports'!F880),IF(ISNUMBER(SEARCH("Party Name-",'R.M Billets Reports'!D880)),TRIM(MID('R.M Billets Reports'!D880,SEARCH("-",'R.M Billets Reports'!D880)+1,200)),"")))="SHREE RADHE SHAKTI SPONGE AND POWER PVT. LTD.","SHREE RADHE",IF(IF(ISNUMBER(SEARCH("Party Name:-",'R.M Billets Reports'!D879)),TRIM('R.M Billets Reports'!F879),IF(ISNUMBER(SEARCH("Party Name-",'R.M Billets Reports'!D879)),TRIM(MID('R.M Billets Reports'!D879,SEARCH("-",'R.M Billets Reports'!D879)+1,200)),""))&lt;&gt;"",IF(ISNUMBER(SEARCH("Party Name:-",'R.M Billets Reports'!D879)),TRIM('R.M Billets Reports'!F879),IF(ISNUMBER(SEARCH("Party Name-",'R.M Billets Reports'!D879)),TRIM(MID('R.M Billets Reports'!D879,SEARCH("-",'R.M Billets Reports'!D879)+1,200)),"")),IF(ISNUMBER(SEARCH("Party Name:-",'R.M Billets Reports'!D880)),TRIM('R.M Billets Reports'!F880),IF(ISNUMBER(SEARCH("Party Name-",'R.M Billets Reports'!D880)),TRIM(MID('R.M Billets Reports'!D880,SEARCH("-",'R.M Billets Reports'!D880)+1,200)),"")))))),IF(ROW()=2,"",A879))</f>
      </c>
      <c r="B880">
        <f>IF(OR('R.M Billets Reports'!A879="Date-",'R.M Billets Reports'!A879="Date:-"),'R.M Billets Reports'!B879,IF(ROW()=2,"",B879))</f>
      </c>
      <c r="C880">
        <f>IF('R.M Billets Reports'!A879="V.No.",'R.M Billets Reports'!B879,IF(ROW()=2,"",C879))</f>
      </c>
      <c r="D880">
        <f>IF('R.M Billets Reports'!A879&lt;&gt;"",'R.M Billets Reports'!A879,IF(ROW()=2,"",D879))</f>
      </c>
      <c r="E880">
        <f>IF('R.M Billets Reports'!B879="","",TRIM('R.M Billets Reports'!B879))</f>
      </c>
      <c r="F880">
        <f>'R.M Billets Reports'!C879</f>
      </c>
      <c r="G880">
        <f>'R.M Billets Reports'!D879</f>
      </c>
      <c r="H880">
        <f>'R.M Billets Reports'!E879</f>
      </c>
      <c r="I880">
        <f>'R.M Billets Reports'!F879</f>
      </c>
      <c r="J880">
        <f>'R.M Billets Reports'!G879</f>
      </c>
      <c r="K880">
        <f>'R.M Billets Reports'!H879</f>
      </c>
      <c r="L880">
        <f>IF('R.M Billets Reports'!I879="","",'R.M Billets Reports'!I879)</f>
      </c>
      <c r="M880">
        <f t="shared" si="26"/>
      </c>
      <c r="N880">
        <f>IF('R.M Billets Reports'!J879="","",'R.M Billets Reports'!J879)</f>
      </c>
      <c r="O880">
        <f t="shared" si="27"/>
      </c>
      <c r="P880">
        <f>IF('R.M Billets Reports'!A879="SIZE",'R.M Billets Reports'!B879,P879)</f>
      </c>
    </row>
    <row r="881" spans="1:16" x14ac:dyDescent="0.25">
      <c r="A881">
        <f>IF(OR('R.M Billets Reports'!A880="Date-",'R.M Billets Reports'!A880="Date:-"),IF(IF(IF(ISNUMBER(SEARCH("Party Name:-",'R.M Billets Reports'!D880)),TRIM('R.M Billets Reports'!F880),IF(ISNUMBER(SEARCH("Party Name-",'R.M Billets Reports'!D880)),TRIM(MID('R.M Billets Reports'!D880,SEARCH("-",'R.M Billets Reports'!D880)+1,200)),""))&lt;&gt;"",IF(ISNUMBER(SEARCH("Party Name:-",'R.M Billets Reports'!D880)),TRIM('R.M Billets Reports'!F880),IF(ISNUMBER(SEARCH("Party Name-",'R.M Billets Reports'!D880)),TRIM(MID('R.M Billets Reports'!D880,SEARCH("-",'R.M Billets Reports'!D880)+1,200)),"")),IF(ISNUMBER(SEARCH("Party Name:-",'R.M Billets Reports'!D881)),TRIM('R.M Billets Reports'!F881),IF(ISNUMBER(SEARCH("Party Name-",'R.M Billets Reports'!D881)),TRIM(MID('R.M Billets Reports'!D881,SEARCH("-",'R.M Billets Reports'!D881)+1,200)),"")))="VRKP ISPAT PVT LTD","VRKP",IF(IF(IF(ISNUMBER(SEARCH("Party Name:-",'R.M Billets Reports'!D880)),TRIM('R.M Billets Reports'!F880),IF(ISNUMBER(SEARCH("Party Name-",'R.M Billets Reports'!D880)),TRIM(MID('R.M Billets Reports'!D880,SEARCH("-",'R.M Billets Reports'!D880)+1,200)),""))&lt;&gt;"",IF(ISNUMBER(SEARCH("Party Name:-",'R.M Billets Reports'!D880)),TRIM('R.M Billets Reports'!F880),IF(ISNUMBER(SEARCH("Party Name-",'R.M Billets Reports'!D880)),TRIM(MID('R.M Billets Reports'!D880,SEARCH("-",'R.M Billets Reports'!D880)+1,200)),"")),IF(ISNUMBER(SEARCH("Party Name:-",'R.M Billets Reports'!D881)),TRIM('R.M Billets Reports'!F881),IF(ISNUMBER(SEARCH("Party Name-",'R.M Billets Reports'!D881)),TRIM(MID('R.M Billets Reports'!D881,SEARCH("-",'R.M Billets Reports'!D881)+1,200)),"")))="SHRI RADHE","SHREE RADHE",IF(IF(IF(ISNUMBER(SEARCH("Party Name:-",'R.M Billets Reports'!D880)),TRIM('R.M Billets Reports'!F880),IF(ISNUMBER(SEARCH("Party Name-",'R.M Billets Reports'!D880)),TRIM(MID('R.M Billets Reports'!D880,SEARCH("-",'R.M Billets Reports'!D880)+1,200)),""))&lt;&gt;"",IF(ISNUMBER(SEARCH("Party Name:-",'R.M Billets Reports'!D880)),TRIM('R.M Billets Reports'!F880),IF(ISNUMBER(SEARCH("Party Name-",'R.M Billets Reports'!D880)),TRIM(MID('R.M Billets Reports'!D880,SEARCH("-",'R.M Billets Reports'!D880)+1,200)),"")),IF(ISNUMBER(SEARCH("Party Name:-",'R.M Billets Reports'!D881)),TRIM('R.M Billets Reports'!F881),IF(ISNUMBER(SEARCH("Party Name-",'R.M Billets Reports'!D881)),TRIM(MID('R.M Billets Reports'!D881,SEARCH("-",'R.M Billets Reports'!D881)+1,200)),"")))="SHREE RADHE SHAKTI SPONGE AND POWER PVT. LTD.","SHREE RADHE",IF(IF(ISNUMBER(SEARCH("Party Name:-",'R.M Billets Reports'!D880)),TRIM('R.M Billets Reports'!F880),IF(ISNUMBER(SEARCH("Party Name-",'R.M Billets Reports'!D880)),TRIM(MID('R.M Billets Reports'!D880,SEARCH("-",'R.M Billets Reports'!D880)+1,200)),""))&lt;&gt;"",IF(ISNUMBER(SEARCH("Party Name:-",'R.M Billets Reports'!D880)),TRIM('R.M Billets Reports'!F880),IF(ISNUMBER(SEARCH("Party Name-",'R.M Billets Reports'!D880)),TRIM(MID('R.M Billets Reports'!D880,SEARCH("-",'R.M Billets Reports'!D880)+1,200)),"")),IF(ISNUMBER(SEARCH("Party Name:-",'R.M Billets Reports'!D881)),TRIM('R.M Billets Reports'!F881),IF(ISNUMBER(SEARCH("Party Name-",'R.M Billets Reports'!D881)),TRIM(MID('R.M Billets Reports'!D881,SEARCH("-",'R.M Billets Reports'!D881)+1,200)),"")))))),IF(ROW()=2,"",A880))</f>
      </c>
      <c r="B881">
        <f>IF(OR('R.M Billets Reports'!A880="Date-",'R.M Billets Reports'!A880="Date:-"),'R.M Billets Reports'!B880,IF(ROW()=2,"",B880))</f>
      </c>
      <c r="C881">
        <f>IF('R.M Billets Reports'!A880="V.No.",'R.M Billets Reports'!B880,IF(ROW()=2,"",C880))</f>
      </c>
      <c r="D881">
        <f>IF('R.M Billets Reports'!A880&lt;&gt;"",'R.M Billets Reports'!A880,IF(ROW()=2,"",D880))</f>
      </c>
      <c r="E881">
        <f>IF('R.M Billets Reports'!B880="","",TRIM('R.M Billets Reports'!B880))</f>
      </c>
      <c r="F881">
        <f>'R.M Billets Reports'!C880</f>
      </c>
      <c r="G881">
        <f>'R.M Billets Reports'!D880</f>
      </c>
      <c r="H881">
        <f>'R.M Billets Reports'!E880</f>
      </c>
      <c r="I881">
        <f>'R.M Billets Reports'!F880</f>
      </c>
      <c r="J881">
        <f>'R.M Billets Reports'!G880</f>
      </c>
      <c r="K881">
        <f>'R.M Billets Reports'!H880</f>
      </c>
      <c r="L881">
        <f>IF('R.M Billets Reports'!I880="","",'R.M Billets Reports'!I880)</f>
      </c>
      <c r="M881">
        <f t="shared" si="26"/>
      </c>
      <c r="N881">
        <f>IF('R.M Billets Reports'!J880="","",'R.M Billets Reports'!J880)</f>
      </c>
      <c r="O881">
        <f t="shared" si="27"/>
      </c>
      <c r="P881">
        <f>IF('R.M Billets Reports'!A880="SIZE",'R.M Billets Reports'!B880,P880)</f>
      </c>
    </row>
    <row r="882" spans="1:16" x14ac:dyDescent="0.25">
      <c r="A882">
        <f>IF(OR('R.M Billets Reports'!A881="Date-",'R.M Billets Reports'!A881="Date:-"),IF(IF(IF(ISNUMBER(SEARCH("Party Name:-",'R.M Billets Reports'!D881)),TRIM('R.M Billets Reports'!F881),IF(ISNUMBER(SEARCH("Party Name-",'R.M Billets Reports'!D881)),TRIM(MID('R.M Billets Reports'!D881,SEARCH("-",'R.M Billets Reports'!D881)+1,200)),""))&lt;&gt;"",IF(ISNUMBER(SEARCH("Party Name:-",'R.M Billets Reports'!D881)),TRIM('R.M Billets Reports'!F881),IF(ISNUMBER(SEARCH("Party Name-",'R.M Billets Reports'!D881)),TRIM(MID('R.M Billets Reports'!D881,SEARCH("-",'R.M Billets Reports'!D881)+1,200)),"")),IF(ISNUMBER(SEARCH("Party Name:-",'R.M Billets Reports'!D882)),TRIM('R.M Billets Reports'!F882),IF(ISNUMBER(SEARCH("Party Name-",'R.M Billets Reports'!D882)),TRIM(MID('R.M Billets Reports'!D882,SEARCH("-",'R.M Billets Reports'!D882)+1,200)),"")))="VRKP ISPAT PVT LTD","VRKP",IF(IF(IF(ISNUMBER(SEARCH("Party Name:-",'R.M Billets Reports'!D881)),TRIM('R.M Billets Reports'!F881),IF(ISNUMBER(SEARCH("Party Name-",'R.M Billets Reports'!D881)),TRIM(MID('R.M Billets Reports'!D881,SEARCH("-",'R.M Billets Reports'!D881)+1,200)),""))&lt;&gt;"",IF(ISNUMBER(SEARCH("Party Name:-",'R.M Billets Reports'!D881)),TRIM('R.M Billets Reports'!F881),IF(ISNUMBER(SEARCH("Party Name-",'R.M Billets Reports'!D881)),TRIM(MID('R.M Billets Reports'!D881,SEARCH("-",'R.M Billets Reports'!D881)+1,200)),"")),IF(ISNUMBER(SEARCH("Party Name:-",'R.M Billets Reports'!D882)),TRIM('R.M Billets Reports'!F882),IF(ISNUMBER(SEARCH("Party Name-",'R.M Billets Reports'!D882)),TRIM(MID('R.M Billets Reports'!D882,SEARCH("-",'R.M Billets Reports'!D882)+1,200)),"")))="SHRI RADHE","SHREE RADHE",IF(IF(IF(ISNUMBER(SEARCH("Party Name:-",'R.M Billets Reports'!D881)),TRIM('R.M Billets Reports'!F881),IF(ISNUMBER(SEARCH("Party Name-",'R.M Billets Reports'!D881)),TRIM(MID('R.M Billets Reports'!D881,SEARCH("-",'R.M Billets Reports'!D881)+1,200)),""))&lt;&gt;"",IF(ISNUMBER(SEARCH("Party Name:-",'R.M Billets Reports'!D881)),TRIM('R.M Billets Reports'!F881),IF(ISNUMBER(SEARCH("Party Name-",'R.M Billets Reports'!D881)),TRIM(MID('R.M Billets Reports'!D881,SEARCH("-",'R.M Billets Reports'!D881)+1,200)),"")),IF(ISNUMBER(SEARCH("Party Name:-",'R.M Billets Reports'!D882)),TRIM('R.M Billets Reports'!F882),IF(ISNUMBER(SEARCH("Party Name-",'R.M Billets Reports'!D882)),TRIM(MID('R.M Billets Reports'!D882,SEARCH("-",'R.M Billets Reports'!D882)+1,200)),"")))="SHREE RADHE SHAKTI SPONGE AND POWER PVT. LTD.","SHREE RADHE",IF(IF(ISNUMBER(SEARCH("Party Name:-",'R.M Billets Reports'!D881)),TRIM('R.M Billets Reports'!F881),IF(ISNUMBER(SEARCH("Party Name-",'R.M Billets Reports'!D881)),TRIM(MID('R.M Billets Reports'!D881,SEARCH("-",'R.M Billets Reports'!D881)+1,200)),""))&lt;&gt;"",IF(ISNUMBER(SEARCH("Party Name:-",'R.M Billets Reports'!D881)),TRIM('R.M Billets Reports'!F881),IF(ISNUMBER(SEARCH("Party Name-",'R.M Billets Reports'!D881)),TRIM(MID('R.M Billets Reports'!D881,SEARCH("-",'R.M Billets Reports'!D881)+1,200)),"")),IF(ISNUMBER(SEARCH("Party Name:-",'R.M Billets Reports'!D882)),TRIM('R.M Billets Reports'!F882),IF(ISNUMBER(SEARCH("Party Name-",'R.M Billets Reports'!D882)),TRIM(MID('R.M Billets Reports'!D882,SEARCH("-",'R.M Billets Reports'!D882)+1,200)),"")))))),IF(ROW()=2,"",A881))</f>
      </c>
      <c r="B882">
        <f>IF(OR('R.M Billets Reports'!A881="Date-",'R.M Billets Reports'!A881="Date:-"),'R.M Billets Reports'!B881,IF(ROW()=2,"",B881))</f>
      </c>
      <c r="C882">
        <f>IF('R.M Billets Reports'!A881="V.No.",'R.M Billets Reports'!B881,IF(ROW()=2,"",C881))</f>
      </c>
      <c r="D882">
        <f>IF('R.M Billets Reports'!A881&lt;&gt;"",'R.M Billets Reports'!A881,IF(ROW()=2,"",D881))</f>
      </c>
      <c r="E882">
        <f>IF('R.M Billets Reports'!B881="","",TRIM('R.M Billets Reports'!B881))</f>
      </c>
      <c r="F882">
        <f>'R.M Billets Reports'!C881</f>
      </c>
      <c r="G882">
        <f>'R.M Billets Reports'!D881</f>
      </c>
      <c r="H882">
        <f>'R.M Billets Reports'!E881</f>
      </c>
      <c r="I882">
        <f>'R.M Billets Reports'!F881</f>
      </c>
      <c r="J882">
        <f>'R.M Billets Reports'!G881</f>
      </c>
      <c r="K882">
        <f>'R.M Billets Reports'!H881</f>
      </c>
      <c r="L882">
        <f>IF('R.M Billets Reports'!I881="","",'R.M Billets Reports'!I881)</f>
      </c>
      <c r="M882">
        <f t="shared" si="26"/>
      </c>
      <c r="N882">
        <f>IF('R.M Billets Reports'!J881="","",'R.M Billets Reports'!J881)</f>
      </c>
      <c r="O882">
        <f t="shared" si="27"/>
      </c>
      <c r="P882">
        <f>IF('R.M Billets Reports'!A881="SIZE",'R.M Billets Reports'!B881,P881)</f>
      </c>
    </row>
    <row r="883" spans="1:16" x14ac:dyDescent="0.25">
      <c r="A883">
        <f>IF(OR('R.M Billets Reports'!A882="Date-",'R.M Billets Reports'!A882="Date:-"),IF(IF(IF(ISNUMBER(SEARCH("Party Name:-",'R.M Billets Reports'!D882)),TRIM('R.M Billets Reports'!F882),IF(ISNUMBER(SEARCH("Party Name-",'R.M Billets Reports'!D882)),TRIM(MID('R.M Billets Reports'!D882,SEARCH("-",'R.M Billets Reports'!D882)+1,200)),""))&lt;&gt;"",IF(ISNUMBER(SEARCH("Party Name:-",'R.M Billets Reports'!D882)),TRIM('R.M Billets Reports'!F882),IF(ISNUMBER(SEARCH("Party Name-",'R.M Billets Reports'!D882)),TRIM(MID('R.M Billets Reports'!D882,SEARCH("-",'R.M Billets Reports'!D882)+1,200)),"")),IF(ISNUMBER(SEARCH("Party Name:-",'R.M Billets Reports'!D883)),TRIM('R.M Billets Reports'!F883),IF(ISNUMBER(SEARCH("Party Name-",'R.M Billets Reports'!D883)),TRIM(MID('R.M Billets Reports'!D883,SEARCH("-",'R.M Billets Reports'!D883)+1,200)),"")))="VRKP ISPAT PVT LTD","VRKP",IF(IF(IF(ISNUMBER(SEARCH("Party Name:-",'R.M Billets Reports'!D882)),TRIM('R.M Billets Reports'!F882),IF(ISNUMBER(SEARCH("Party Name-",'R.M Billets Reports'!D882)),TRIM(MID('R.M Billets Reports'!D882,SEARCH("-",'R.M Billets Reports'!D882)+1,200)),""))&lt;&gt;"",IF(ISNUMBER(SEARCH("Party Name:-",'R.M Billets Reports'!D882)),TRIM('R.M Billets Reports'!F882),IF(ISNUMBER(SEARCH("Party Name-",'R.M Billets Reports'!D882)),TRIM(MID('R.M Billets Reports'!D882,SEARCH("-",'R.M Billets Reports'!D882)+1,200)),"")),IF(ISNUMBER(SEARCH("Party Name:-",'R.M Billets Reports'!D883)),TRIM('R.M Billets Reports'!F883),IF(ISNUMBER(SEARCH("Party Name-",'R.M Billets Reports'!D883)),TRIM(MID('R.M Billets Reports'!D883,SEARCH("-",'R.M Billets Reports'!D883)+1,200)),"")))="SHRI RADHE","SHREE RADHE",IF(IF(IF(ISNUMBER(SEARCH("Party Name:-",'R.M Billets Reports'!D882)),TRIM('R.M Billets Reports'!F882),IF(ISNUMBER(SEARCH("Party Name-",'R.M Billets Reports'!D882)),TRIM(MID('R.M Billets Reports'!D882,SEARCH("-",'R.M Billets Reports'!D882)+1,200)),""))&lt;&gt;"",IF(ISNUMBER(SEARCH("Party Name:-",'R.M Billets Reports'!D882)),TRIM('R.M Billets Reports'!F882),IF(ISNUMBER(SEARCH("Party Name-",'R.M Billets Reports'!D882)),TRIM(MID('R.M Billets Reports'!D882,SEARCH("-",'R.M Billets Reports'!D882)+1,200)),"")),IF(ISNUMBER(SEARCH("Party Name:-",'R.M Billets Reports'!D883)),TRIM('R.M Billets Reports'!F883),IF(ISNUMBER(SEARCH("Party Name-",'R.M Billets Reports'!D883)),TRIM(MID('R.M Billets Reports'!D883,SEARCH("-",'R.M Billets Reports'!D883)+1,200)),"")))="SHREE RADHE SHAKTI SPONGE AND POWER PVT. LTD.","SHREE RADHE",IF(IF(ISNUMBER(SEARCH("Party Name:-",'R.M Billets Reports'!D882)),TRIM('R.M Billets Reports'!F882),IF(ISNUMBER(SEARCH("Party Name-",'R.M Billets Reports'!D882)),TRIM(MID('R.M Billets Reports'!D882,SEARCH("-",'R.M Billets Reports'!D882)+1,200)),""))&lt;&gt;"",IF(ISNUMBER(SEARCH("Party Name:-",'R.M Billets Reports'!D882)),TRIM('R.M Billets Reports'!F882),IF(ISNUMBER(SEARCH("Party Name-",'R.M Billets Reports'!D882)),TRIM(MID('R.M Billets Reports'!D882,SEARCH("-",'R.M Billets Reports'!D882)+1,200)),"")),IF(ISNUMBER(SEARCH("Party Name:-",'R.M Billets Reports'!D883)),TRIM('R.M Billets Reports'!F883),IF(ISNUMBER(SEARCH("Party Name-",'R.M Billets Reports'!D883)),TRIM(MID('R.M Billets Reports'!D883,SEARCH("-",'R.M Billets Reports'!D883)+1,200)),"")))))),IF(ROW()=2,"",A882))</f>
      </c>
      <c r="B883">
        <f>IF(OR('R.M Billets Reports'!A882="Date-",'R.M Billets Reports'!A882="Date:-"),'R.M Billets Reports'!B882,IF(ROW()=2,"",B882))</f>
      </c>
      <c r="C883">
        <f>IF('R.M Billets Reports'!A882="V.No.",'R.M Billets Reports'!B882,IF(ROW()=2,"",C882))</f>
      </c>
      <c r="D883">
        <f>IF('R.M Billets Reports'!A882&lt;&gt;"",'R.M Billets Reports'!A882,IF(ROW()=2,"",D882))</f>
      </c>
      <c r="E883">
        <f>IF('R.M Billets Reports'!B882="","",TRIM('R.M Billets Reports'!B882))</f>
      </c>
      <c r="F883">
        <f>'R.M Billets Reports'!C882</f>
      </c>
      <c r="G883">
        <f>'R.M Billets Reports'!D882</f>
      </c>
      <c r="H883">
        <f>'R.M Billets Reports'!E882</f>
      </c>
      <c r="I883">
        <f>'R.M Billets Reports'!F882</f>
      </c>
      <c r="J883">
        <f>'R.M Billets Reports'!G882</f>
      </c>
      <c r="K883">
        <f>'R.M Billets Reports'!H882</f>
      </c>
      <c r="L883">
        <f>IF('R.M Billets Reports'!I882="","",'R.M Billets Reports'!I882)</f>
      </c>
      <c r="M883">
        <f t="shared" si="26"/>
      </c>
      <c r="N883">
        <f>IF('R.M Billets Reports'!J882="","",'R.M Billets Reports'!J882)</f>
      </c>
      <c r="O883">
        <f t="shared" si="27"/>
      </c>
      <c r="P883">
        <f>IF('R.M Billets Reports'!A882="SIZE",'R.M Billets Reports'!B882,P882)</f>
      </c>
    </row>
    <row r="884" spans="1:16" x14ac:dyDescent="0.25">
      <c r="A884">
        <f>IF(OR('R.M Billets Reports'!A883="Date-",'R.M Billets Reports'!A883="Date:-"),IF(IF(IF(ISNUMBER(SEARCH("Party Name:-",'R.M Billets Reports'!D883)),TRIM('R.M Billets Reports'!F883),IF(ISNUMBER(SEARCH("Party Name-",'R.M Billets Reports'!D883)),TRIM(MID('R.M Billets Reports'!D883,SEARCH("-",'R.M Billets Reports'!D883)+1,200)),""))&lt;&gt;"",IF(ISNUMBER(SEARCH("Party Name:-",'R.M Billets Reports'!D883)),TRIM('R.M Billets Reports'!F883),IF(ISNUMBER(SEARCH("Party Name-",'R.M Billets Reports'!D883)),TRIM(MID('R.M Billets Reports'!D883,SEARCH("-",'R.M Billets Reports'!D883)+1,200)),"")),IF(ISNUMBER(SEARCH("Party Name:-",'R.M Billets Reports'!D884)),TRIM('R.M Billets Reports'!F884),IF(ISNUMBER(SEARCH("Party Name-",'R.M Billets Reports'!D884)),TRIM(MID('R.M Billets Reports'!D884,SEARCH("-",'R.M Billets Reports'!D884)+1,200)),"")))="VRKP ISPAT PVT LTD","VRKP",IF(IF(IF(ISNUMBER(SEARCH("Party Name:-",'R.M Billets Reports'!D883)),TRIM('R.M Billets Reports'!F883),IF(ISNUMBER(SEARCH("Party Name-",'R.M Billets Reports'!D883)),TRIM(MID('R.M Billets Reports'!D883,SEARCH("-",'R.M Billets Reports'!D883)+1,200)),""))&lt;&gt;"",IF(ISNUMBER(SEARCH("Party Name:-",'R.M Billets Reports'!D883)),TRIM('R.M Billets Reports'!F883),IF(ISNUMBER(SEARCH("Party Name-",'R.M Billets Reports'!D883)),TRIM(MID('R.M Billets Reports'!D883,SEARCH("-",'R.M Billets Reports'!D883)+1,200)),"")),IF(ISNUMBER(SEARCH("Party Name:-",'R.M Billets Reports'!D884)),TRIM('R.M Billets Reports'!F884),IF(ISNUMBER(SEARCH("Party Name-",'R.M Billets Reports'!D884)),TRIM(MID('R.M Billets Reports'!D884,SEARCH("-",'R.M Billets Reports'!D884)+1,200)),"")))="SHRI RADHE","SHREE RADHE",IF(IF(IF(ISNUMBER(SEARCH("Party Name:-",'R.M Billets Reports'!D883)),TRIM('R.M Billets Reports'!F883),IF(ISNUMBER(SEARCH("Party Name-",'R.M Billets Reports'!D883)),TRIM(MID('R.M Billets Reports'!D883,SEARCH("-",'R.M Billets Reports'!D883)+1,200)),""))&lt;&gt;"",IF(ISNUMBER(SEARCH("Party Name:-",'R.M Billets Reports'!D883)),TRIM('R.M Billets Reports'!F883),IF(ISNUMBER(SEARCH("Party Name-",'R.M Billets Reports'!D883)),TRIM(MID('R.M Billets Reports'!D883,SEARCH("-",'R.M Billets Reports'!D883)+1,200)),"")),IF(ISNUMBER(SEARCH("Party Name:-",'R.M Billets Reports'!D884)),TRIM('R.M Billets Reports'!F884),IF(ISNUMBER(SEARCH("Party Name-",'R.M Billets Reports'!D884)),TRIM(MID('R.M Billets Reports'!D884,SEARCH("-",'R.M Billets Reports'!D884)+1,200)),"")))="SHREE RADHE SHAKTI SPONGE AND POWER PVT. LTD.","SHREE RADHE",IF(IF(ISNUMBER(SEARCH("Party Name:-",'R.M Billets Reports'!D883)),TRIM('R.M Billets Reports'!F883),IF(ISNUMBER(SEARCH("Party Name-",'R.M Billets Reports'!D883)),TRIM(MID('R.M Billets Reports'!D883,SEARCH("-",'R.M Billets Reports'!D883)+1,200)),""))&lt;&gt;"",IF(ISNUMBER(SEARCH("Party Name:-",'R.M Billets Reports'!D883)),TRIM('R.M Billets Reports'!F883),IF(ISNUMBER(SEARCH("Party Name-",'R.M Billets Reports'!D883)),TRIM(MID('R.M Billets Reports'!D883,SEARCH("-",'R.M Billets Reports'!D883)+1,200)),"")),IF(ISNUMBER(SEARCH("Party Name:-",'R.M Billets Reports'!D884)),TRIM('R.M Billets Reports'!F884),IF(ISNUMBER(SEARCH("Party Name-",'R.M Billets Reports'!D884)),TRIM(MID('R.M Billets Reports'!D884,SEARCH("-",'R.M Billets Reports'!D884)+1,200)),"")))))),IF(ROW()=2,"",A883))</f>
      </c>
      <c r="B884">
        <f>IF(OR('R.M Billets Reports'!A883="Date-",'R.M Billets Reports'!A883="Date:-"),'R.M Billets Reports'!B883,IF(ROW()=2,"",B883))</f>
      </c>
      <c r="C884">
        <f>IF('R.M Billets Reports'!A883="V.No.",'R.M Billets Reports'!B883,IF(ROW()=2,"",C883))</f>
      </c>
      <c r="D884">
        <f>IF('R.M Billets Reports'!A883&lt;&gt;"",'R.M Billets Reports'!A883,IF(ROW()=2,"",D883))</f>
      </c>
      <c r="E884">
        <f>IF('R.M Billets Reports'!B883="","",TRIM('R.M Billets Reports'!B883))</f>
      </c>
      <c r="F884">
        <f>'R.M Billets Reports'!C883</f>
      </c>
      <c r="G884">
        <f>'R.M Billets Reports'!D883</f>
      </c>
      <c r="H884">
        <f>'R.M Billets Reports'!E883</f>
      </c>
      <c r="I884">
        <f>'R.M Billets Reports'!F883</f>
      </c>
      <c r="J884">
        <f>'R.M Billets Reports'!G883</f>
      </c>
      <c r="K884">
        <f>'R.M Billets Reports'!H883</f>
      </c>
      <c r="L884">
        <f>IF('R.M Billets Reports'!I883="","",'R.M Billets Reports'!I883)</f>
      </c>
      <c r="M884">
        <f t="shared" si="26"/>
      </c>
      <c r="N884">
        <f>IF('R.M Billets Reports'!J883="","",'R.M Billets Reports'!J883)</f>
      </c>
      <c r="O884">
        <f t="shared" si="27"/>
      </c>
      <c r="P884">
        <f>IF('R.M Billets Reports'!A883="SIZE",'R.M Billets Reports'!B883,P883)</f>
      </c>
    </row>
    <row r="885" spans="1:16" x14ac:dyDescent="0.25">
      <c r="A885">
        <f>IF(OR('R.M Billets Reports'!A884="Date-",'R.M Billets Reports'!A884="Date:-"),IF(IF(IF(ISNUMBER(SEARCH("Party Name:-",'R.M Billets Reports'!D884)),TRIM('R.M Billets Reports'!F884),IF(ISNUMBER(SEARCH("Party Name-",'R.M Billets Reports'!D884)),TRIM(MID('R.M Billets Reports'!D884,SEARCH("-",'R.M Billets Reports'!D884)+1,200)),""))&lt;&gt;"",IF(ISNUMBER(SEARCH("Party Name:-",'R.M Billets Reports'!D884)),TRIM('R.M Billets Reports'!F884),IF(ISNUMBER(SEARCH("Party Name-",'R.M Billets Reports'!D884)),TRIM(MID('R.M Billets Reports'!D884,SEARCH("-",'R.M Billets Reports'!D884)+1,200)),"")),IF(ISNUMBER(SEARCH("Party Name:-",'R.M Billets Reports'!D885)),TRIM('R.M Billets Reports'!F885),IF(ISNUMBER(SEARCH("Party Name-",'R.M Billets Reports'!D885)),TRIM(MID('R.M Billets Reports'!D885,SEARCH("-",'R.M Billets Reports'!D885)+1,200)),"")))="VRKP ISPAT PVT LTD","VRKP",IF(IF(IF(ISNUMBER(SEARCH("Party Name:-",'R.M Billets Reports'!D884)),TRIM('R.M Billets Reports'!F884),IF(ISNUMBER(SEARCH("Party Name-",'R.M Billets Reports'!D884)),TRIM(MID('R.M Billets Reports'!D884,SEARCH("-",'R.M Billets Reports'!D884)+1,200)),""))&lt;&gt;"",IF(ISNUMBER(SEARCH("Party Name:-",'R.M Billets Reports'!D884)),TRIM('R.M Billets Reports'!F884),IF(ISNUMBER(SEARCH("Party Name-",'R.M Billets Reports'!D884)),TRIM(MID('R.M Billets Reports'!D884,SEARCH("-",'R.M Billets Reports'!D884)+1,200)),"")),IF(ISNUMBER(SEARCH("Party Name:-",'R.M Billets Reports'!D885)),TRIM('R.M Billets Reports'!F885),IF(ISNUMBER(SEARCH("Party Name-",'R.M Billets Reports'!D885)),TRIM(MID('R.M Billets Reports'!D885,SEARCH("-",'R.M Billets Reports'!D885)+1,200)),"")))="SHRI RADHE","SHREE RADHE",IF(IF(IF(ISNUMBER(SEARCH("Party Name:-",'R.M Billets Reports'!D884)),TRIM('R.M Billets Reports'!F884),IF(ISNUMBER(SEARCH("Party Name-",'R.M Billets Reports'!D884)),TRIM(MID('R.M Billets Reports'!D884,SEARCH("-",'R.M Billets Reports'!D884)+1,200)),""))&lt;&gt;"",IF(ISNUMBER(SEARCH("Party Name:-",'R.M Billets Reports'!D884)),TRIM('R.M Billets Reports'!F884),IF(ISNUMBER(SEARCH("Party Name-",'R.M Billets Reports'!D884)),TRIM(MID('R.M Billets Reports'!D884,SEARCH("-",'R.M Billets Reports'!D884)+1,200)),"")),IF(ISNUMBER(SEARCH("Party Name:-",'R.M Billets Reports'!D885)),TRIM('R.M Billets Reports'!F885),IF(ISNUMBER(SEARCH("Party Name-",'R.M Billets Reports'!D885)),TRIM(MID('R.M Billets Reports'!D885,SEARCH("-",'R.M Billets Reports'!D885)+1,200)),"")))="SHREE RADHE SHAKTI SPONGE AND POWER PVT. LTD.","SHREE RADHE",IF(IF(ISNUMBER(SEARCH("Party Name:-",'R.M Billets Reports'!D884)),TRIM('R.M Billets Reports'!F884),IF(ISNUMBER(SEARCH("Party Name-",'R.M Billets Reports'!D884)),TRIM(MID('R.M Billets Reports'!D884,SEARCH("-",'R.M Billets Reports'!D884)+1,200)),""))&lt;&gt;"",IF(ISNUMBER(SEARCH("Party Name:-",'R.M Billets Reports'!D884)),TRIM('R.M Billets Reports'!F884),IF(ISNUMBER(SEARCH("Party Name-",'R.M Billets Reports'!D884)),TRIM(MID('R.M Billets Reports'!D884,SEARCH("-",'R.M Billets Reports'!D884)+1,200)),"")),IF(ISNUMBER(SEARCH("Party Name:-",'R.M Billets Reports'!D885)),TRIM('R.M Billets Reports'!F885),IF(ISNUMBER(SEARCH("Party Name-",'R.M Billets Reports'!D885)),TRIM(MID('R.M Billets Reports'!D885,SEARCH("-",'R.M Billets Reports'!D885)+1,200)),"")))))),IF(ROW()=2,"",A884))</f>
      </c>
      <c r="B885">
        <f>IF(OR('R.M Billets Reports'!A884="Date-",'R.M Billets Reports'!A884="Date:-"),'R.M Billets Reports'!B884,IF(ROW()=2,"",B884))</f>
      </c>
      <c r="C885">
        <f>IF('R.M Billets Reports'!A884="V.No.",'R.M Billets Reports'!B884,IF(ROW()=2,"",C884))</f>
      </c>
      <c r="D885">
        <f>IF('R.M Billets Reports'!A884&lt;&gt;"",'R.M Billets Reports'!A884,IF(ROW()=2,"",D884))</f>
      </c>
      <c r="E885">
        <f>IF('R.M Billets Reports'!B884="","",TRIM('R.M Billets Reports'!B884))</f>
      </c>
      <c r="F885">
        <f>'R.M Billets Reports'!C884</f>
      </c>
      <c r="G885">
        <f>'R.M Billets Reports'!D884</f>
      </c>
      <c r="H885">
        <f>'R.M Billets Reports'!E884</f>
      </c>
      <c r="I885">
        <f>'R.M Billets Reports'!F884</f>
      </c>
      <c r="J885">
        <f>'R.M Billets Reports'!G884</f>
      </c>
      <c r="K885">
        <f>'R.M Billets Reports'!H884</f>
      </c>
      <c r="L885">
        <f>IF('R.M Billets Reports'!I884="","",'R.M Billets Reports'!I884)</f>
      </c>
      <c r="M885">
        <f t="shared" si="26"/>
      </c>
      <c r="N885">
        <f>IF('R.M Billets Reports'!J884="","",'R.M Billets Reports'!J884)</f>
      </c>
      <c r="O885">
        <f t="shared" si="27"/>
      </c>
      <c r="P885">
        <f>IF('R.M Billets Reports'!A884="SIZE",'R.M Billets Reports'!B884,P884)</f>
      </c>
    </row>
    <row r="886" spans="1:16" x14ac:dyDescent="0.25">
      <c r="A886">
        <f>IF(OR('R.M Billets Reports'!A885="Date-",'R.M Billets Reports'!A885="Date:-"),IF(IF(IF(ISNUMBER(SEARCH("Party Name:-",'R.M Billets Reports'!D885)),TRIM('R.M Billets Reports'!F885),IF(ISNUMBER(SEARCH("Party Name-",'R.M Billets Reports'!D885)),TRIM(MID('R.M Billets Reports'!D885,SEARCH("-",'R.M Billets Reports'!D885)+1,200)),""))&lt;&gt;"",IF(ISNUMBER(SEARCH("Party Name:-",'R.M Billets Reports'!D885)),TRIM('R.M Billets Reports'!F885),IF(ISNUMBER(SEARCH("Party Name-",'R.M Billets Reports'!D885)),TRIM(MID('R.M Billets Reports'!D885,SEARCH("-",'R.M Billets Reports'!D885)+1,200)),"")),IF(ISNUMBER(SEARCH("Party Name:-",'R.M Billets Reports'!D886)),TRIM('R.M Billets Reports'!F886),IF(ISNUMBER(SEARCH("Party Name-",'R.M Billets Reports'!D886)),TRIM(MID('R.M Billets Reports'!D886,SEARCH("-",'R.M Billets Reports'!D886)+1,200)),"")))="VRKP ISPAT PVT LTD","VRKP",IF(IF(IF(ISNUMBER(SEARCH("Party Name:-",'R.M Billets Reports'!D885)),TRIM('R.M Billets Reports'!F885),IF(ISNUMBER(SEARCH("Party Name-",'R.M Billets Reports'!D885)),TRIM(MID('R.M Billets Reports'!D885,SEARCH("-",'R.M Billets Reports'!D885)+1,200)),""))&lt;&gt;"",IF(ISNUMBER(SEARCH("Party Name:-",'R.M Billets Reports'!D885)),TRIM('R.M Billets Reports'!F885),IF(ISNUMBER(SEARCH("Party Name-",'R.M Billets Reports'!D885)),TRIM(MID('R.M Billets Reports'!D885,SEARCH("-",'R.M Billets Reports'!D885)+1,200)),"")),IF(ISNUMBER(SEARCH("Party Name:-",'R.M Billets Reports'!D886)),TRIM('R.M Billets Reports'!F886),IF(ISNUMBER(SEARCH("Party Name-",'R.M Billets Reports'!D886)),TRIM(MID('R.M Billets Reports'!D886,SEARCH("-",'R.M Billets Reports'!D886)+1,200)),"")))="SHRI RADHE","SHREE RADHE",IF(IF(IF(ISNUMBER(SEARCH("Party Name:-",'R.M Billets Reports'!D885)),TRIM('R.M Billets Reports'!F885),IF(ISNUMBER(SEARCH("Party Name-",'R.M Billets Reports'!D885)),TRIM(MID('R.M Billets Reports'!D885,SEARCH("-",'R.M Billets Reports'!D885)+1,200)),""))&lt;&gt;"",IF(ISNUMBER(SEARCH("Party Name:-",'R.M Billets Reports'!D885)),TRIM('R.M Billets Reports'!F885),IF(ISNUMBER(SEARCH("Party Name-",'R.M Billets Reports'!D885)),TRIM(MID('R.M Billets Reports'!D885,SEARCH("-",'R.M Billets Reports'!D885)+1,200)),"")),IF(ISNUMBER(SEARCH("Party Name:-",'R.M Billets Reports'!D886)),TRIM('R.M Billets Reports'!F886),IF(ISNUMBER(SEARCH("Party Name-",'R.M Billets Reports'!D886)),TRIM(MID('R.M Billets Reports'!D886,SEARCH("-",'R.M Billets Reports'!D886)+1,200)),"")))="SHREE RADHE SHAKTI SPONGE AND POWER PVT. LTD.","SHREE RADHE",IF(IF(ISNUMBER(SEARCH("Party Name:-",'R.M Billets Reports'!D885)),TRIM('R.M Billets Reports'!F885),IF(ISNUMBER(SEARCH("Party Name-",'R.M Billets Reports'!D885)),TRIM(MID('R.M Billets Reports'!D885,SEARCH("-",'R.M Billets Reports'!D885)+1,200)),""))&lt;&gt;"",IF(ISNUMBER(SEARCH("Party Name:-",'R.M Billets Reports'!D885)),TRIM('R.M Billets Reports'!F885),IF(ISNUMBER(SEARCH("Party Name-",'R.M Billets Reports'!D885)),TRIM(MID('R.M Billets Reports'!D885,SEARCH("-",'R.M Billets Reports'!D885)+1,200)),"")),IF(ISNUMBER(SEARCH("Party Name:-",'R.M Billets Reports'!D886)),TRIM('R.M Billets Reports'!F886),IF(ISNUMBER(SEARCH("Party Name-",'R.M Billets Reports'!D886)),TRIM(MID('R.M Billets Reports'!D886,SEARCH("-",'R.M Billets Reports'!D886)+1,200)),"")))))),IF(ROW()=2,"",A885))</f>
      </c>
      <c r="B886">
        <f>IF(OR('R.M Billets Reports'!A885="Date-",'R.M Billets Reports'!A885="Date:-"),'R.M Billets Reports'!B885,IF(ROW()=2,"",B885))</f>
      </c>
      <c r="C886">
        <f>IF('R.M Billets Reports'!A885="V.No.",'R.M Billets Reports'!B885,IF(ROW()=2,"",C885))</f>
      </c>
      <c r="D886">
        <f>IF('R.M Billets Reports'!A885&lt;&gt;"",'R.M Billets Reports'!A885,IF(ROW()=2,"",D885))</f>
      </c>
      <c r="E886">
        <f>IF('R.M Billets Reports'!B885="","",TRIM('R.M Billets Reports'!B885))</f>
      </c>
      <c r="F886">
        <f>'R.M Billets Reports'!C885</f>
      </c>
      <c r="G886">
        <f>'R.M Billets Reports'!D885</f>
      </c>
      <c r="H886">
        <f>'R.M Billets Reports'!E885</f>
      </c>
      <c r="I886">
        <f>'R.M Billets Reports'!F885</f>
      </c>
      <c r="J886">
        <f>'R.M Billets Reports'!G885</f>
      </c>
      <c r="K886">
        <f>'R.M Billets Reports'!H885</f>
      </c>
      <c r="L886">
        <f>IF('R.M Billets Reports'!I885="","",'R.M Billets Reports'!I885)</f>
      </c>
      <c r="M886">
        <f t="shared" si="26"/>
      </c>
      <c r="N886">
        <f>IF('R.M Billets Reports'!J885="","",'R.M Billets Reports'!J885)</f>
      </c>
      <c r="O886">
        <f t="shared" si="27"/>
      </c>
      <c r="P886">
        <f>IF('R.M Billets Reports'!A885="SIZE",'R.M Billets Reports'!B885,P885)</f>
      </c>
    </row>
    <row r="887" spans="1:16" x14ac:dyDescent="0.25">
      <c r="A887">
        <f>IF(OR('R.M Billets Reports'!A886="Date-",'R.M Billets Reports'!A886="Date:-"),IF(IF(IF(ISNUMBER(SEARCH("Party Name:-",'R.M Billets Reports'!D886)),TRIM('R.M Billets Reports'!F886),IF(ISNUMBER(SEARCH("Party Name-",'R.M Billets Reports'!D886)),TRIM(MID('R.M Billets Reports'!D886,SEARCH("-",'R.M Billets Reports'!D886)+1,200)),""))&lt;&gt;"",IF(ISNUMBER(SEARCH("Party Name:-",'R.M Billets Reports'!D886)),TRIM('R.M Billets Reports'!F886),IF(ISNUMBER(SEARCH("Party Name-",'R.M Billets Reports'!D886)),TRIM(MID('R.M Billets Reports'!D886,SEARCH("-",'R.M Billets Reports'!D886)+1,200)),"")),IF(ISNUMBER(SEARCH("Party Name:-",'R.M Billets Reports'!D887)),TRIM('R.M Billets Reports'!F887),IF(ISNUMBER(SEARCH("Party Name-",'R.M Billets Reports'!D887)),TRIM(MID('R.M Billets Reports'!D887,SEARCH("-",'R.M Billets Reports'!D887)+1,200)),"")))="VRKP ISPAT PVT LTD","VRKP",IF(IF(IF(ISNUMBER(SEARCH("Party Name:-",'R.M Billets Reports'!D886)),TRIM('R.M Billets Reports'!F886),IF(ISNUMBER(SEARCH("Party Name-",'R.M Billets Reports'!D886)),TRIM(MID('R.M Billets Reports'!D886,SEARCH("-",'R.M Billets Reports'!D886)+1,200)),""))&lt;&gt;"",IF(ISNUMBER(SEARCH("Party Name:-",'R.M Billets Reports'!D886)),TRIM('R.M Billets Reports'!F886),IF(ISNUMBER(SEARCH("Party Name-",'R.M Billets Reports'!D886)),TRIM(MID('R.M Billets Reports'!D886,SEARCH("-",'R.M Billets Reports'!D886)+1,200)),"")),IF(ISNUMBER(SEARCH("Party Name:-",'R.M Billets Reports'!D887)),TRIM('R.M Billets Reports'!F887),IF(ISNUMBER(SEARCH("Party Name-",'R.M Billets Reports'!D887)),TRIM(MID('R.M Billets Reports'!D887,SEARCH("-",'R.M Billets Reports'!D887)+1,200)),"")))="SHRI RADHE","SHREE RADHE",IF(IF(IF(ISNUMBER(SEARCH("Party Name:-",'R.M Billets Reports'!D886)),TRIM('R.M Billets Reports'!F886),IF(ISNUMBER(SEARCH("Party Name-",'R.M Billets Reports'!D886)),TRIM(MID('R.M Billets Reports'!D886,SEARCH("-",'R.M Billets Reports'!D886)+1,200)),""))&lt;&gt;"",IF(ISNUMBER(SEARCH("Party Name:-",'R.M Billets Reports'!D886)),TRIM('R.M Billets Reports'!F886),IF(ISNUMBER(SEARCH("Party Name-",'R.M Billets Reports'!D886)),TRIM(MID('R.M Billets Reports'!D886,SEARCH("-",'R.M Billets Reports'!D886)+1,200)),"")),IF(ISNUMBER(SEARCH("Party Name:-",'R.M Billets Reports'!D887)),TRIM('R.M Billets Reports'!F887),IF(ISNUMBER(SEARCH("Party Name-",'R.M Billets Reports'!D887)),TRIM(MID('R.M Billets Reports'!D887,SEARCH("-",'R.M Billets Reports'!D887)+1,200)),"")))="SHREE RADHE SHAKTI SPONGE AND POWER PVT. LTD.","SHREE RADHE",IF(IF(ISNUMBER(SEARCH("Party Name:-",'R.M Billets Reports'!D886)),TRIM('R.M Billets Reports'!F886),IF(ISNUMBER(SEARCH("Party Name-",'R.M Billets Reports'!D886)),TRIM(MID('R.M Billets Reports'!D886,SEARCH("-",'R.M Billets Reports'!D886)+1,200)),""))&lt;&gt;"",IF(ISNUMBER(SEARCH("Party Name:-",'R.M Billets Reports'!D886)),TRIM('R.M Billets Reports'!F886),IF(ISNUMBER(SEARCH("Party Name-",'R.M Billets Reports'!D886)),TRIM(MID('R.M Billets Reports'!D886,SEARCH("-",'R.M Billets Reports'!D886)+1,200)),"")),IF(ISNUMBER(SEARCH("Party Name:-",'R.M Billets Reports'!D887)),TRIM('R.M Billets Reports'!F887),IF(ISNUMBER(SEARCH("Party Name-",'R.M Billets Reports'!D887)),TRIM(MID('R.M Billets Reports'!D887,SEARCH("-",'R.M Billets Reports'!D887)+1,200)),"")))))),IF(ROW()=2,"",A886))</f>
      </c>
      <c r="B887">
        <f>IF(OR('R.M Billets Reports'!A886="Date-",'R.M Billets Reports'!A886="Date:-"),'R.M Billets Reports'!B886,IF(ROW()=2,"",B886))</f>
      </c>
      <c r="C887">
        <f>IF('R.M Billets Reports'!A886="V.No.",'R.M Billets Reports'!B886,IF(ROW()=2,"",C886))</f>
      </c>
      <c r="D887">
        <f>IF('R.M Billets Reports'!A886&lt;&gt;"",'R.M Billets Reports'!A886,IF(ROW()=2,"",D886))</f>
      </c>
      <c r="E887">
        <f>IF('R.M Billets Reports'!B886="","",TRIM('R.M Billets Reports'!B886))</f>
      </c>
      <c r="F887">
        <f>'R.M Billets Reports'!C886</f>
      </c>
      <c r="G887">
        <f>'R.M Billets Reports'!D886</f>
      </c>
      <c r="H887">
        <f>'R.M Billets Reports'!E886</f>
      </c>
      <c r="I887">
        <f>'R.M Billets Reports'!F886</f>
      </c>
      <c r="J887">
        <f>'R.M Billets Reports'!G886</f>
      </c>
      <c r="K887">
        <f>'R.M Billets Reports'!H886</f>
      </c>
      <c r="L887">
        <f>IF('R.M Billets Reports'!I886="","",'R.M Billets Reports'!I886)</f>
      </c>
      <c r="M887">
        <f t="shared" si="26"/>
      </c>
      <c r="N887">
        <f>IF('R.M Billets Reports'!J886="","",'R.M Billets Reports'!J886)</f>
      </c>
      <c r="O887">
        <f t="shared" si="27"/>
      </c>
      <c r="P887">
        <f>IF('R.M Billets Reports'!A886="SIZE",'R.M Billets Reports'!B886,P886)</f>
      </c>
    </row>
    <row r="888" spans="1:16" x14ac:dyDescent="0.25">
      <c r="A888">
        <f>IF(OR('R.M Billets Reports'!A887="Date-",'R.M Billets Reports'!A887="Date:-"),IF(IF(IF(ISNUMBER(SEARCH("Party Name:-",'R.M Billets Reports'!D887)),TRIM('R.M Billets Reports'!F887),IF(ISNUMBER(SEARCH("Party Name-",'R.M Billets Reports'!D887)),TRIM(MID('R.M Billets Reports'!D887,SEARCH("-",'R.M Billets Reports'!D887)+1,200)),""))&lt;&gt;"",IF(ISNUMBER(SEARCH("Party Name:-",'R.M Billets Reports'!D887)),TRIM('R.M Billets Reports'!F887),IF(ISNUMBER(SEARCH("Party Name-",'R.M Billets Reports'!D887)),TRIM(MID('R.M Billets Reports'!D887,SEARCH("-",'R.M Billets Reports'!D887)+1,200)),"")),IF(ISNUMBER(SEARCH("Party Name:-",'R.M Billets Reports'!D888)),TRIM('R.M Billets Reports'!F888),IF(ISNUMBER(SEARCH("Party Name-",'R.M Billets Reports'!D888)),TRIM(MID('R.M Billets Reports'!D888,SEARCH("-",'R.M Billets Reports'!D888)+1,200)),"")))="VRKP ISPAT PVT LTD","VRKP",IF(IF(IF(ISNUMBER(SEARCH("Party Name:-",'R.M Billets Reports'!D887)),TRIM('R.M Billets Reports'!F887),IF(ISNUMBER(SEARCH("Party Name-",'R.M Billets Reports'!D887)),TRIM(MID('R.M Billets Reports'!D887,SEARCH("-",'R.M Billets Reports'!D887)+1,200)),""))&lt;&gt;"",IF(ISNUMBER(SEARCH("Party Name:-",'R.M Billets Reports'!D887)),TRIM('R.M Billets Reports'!F887),IF(ISNUMBER(SEARCH("Party Name-",'R.M Billets Reports'!D887)),TRIM(MID('R.M Billets Reports'!D887,SEARCH("-",'R.M Billets Reports'!D887)+1,200)),"")),IF(ISNUMBER(SEARCH("Party Name:-",'R.M Billets Reports'!D888)),TRIM('R.M Billets Reports'!F888),IF(ISNUMBER(SEARCH("Party Name-",'R.M Billets Reports'!D888)),TRIM(MID('R.M Billets Reports'!D888,SEARCH("-",'R.M Billets Reports'!D888)+1,200)),"")))="SHRI RADHE","SHREE RADHE",IF(IF(IF(ISNUMBER(SEARCH("Party Name:-",'R.M Billets Reports'!D887)),TRIM('R.M Billets Reports'!F887),IF(ISNUMBER(SEARCH("Party Name-",'R.M Billets Reports'!D887)),TRIM(MID('R.M Billets Reports'!D887,SEARCH("-",'R.M Billets Reports'!D887)+1,200)),""))&lt;&gt;"",IF(ISNUMBER(SEARCH("Party Name:-",'R.M Billets Reports'!D887)),TRIM('R.M Billets Reports'!F887),IF(ISNUMBER(SEARCH("Party Name-",'R.M Billets Reports'!D887)),TRIM(MID('R.M Billets Reports'!D887,SEARCH("-",'R.M Billets Reports'!D887)+1,200)),"")),IF(ISNUMBER(SEARCH("Party Name:-",'R.M Billets Reports'!D888)),TRIM('R.M Billets Reports'!F888),IF(ISNUMBER(SEARCH("Party Name-",'R.M Billets Reports'!D888)),TRIM(MID('R.M Billets Reports'!D888,SEARCH("-",'R.M Billets Reports'!D888)+1,200)),"")))="SHREE RADHE SHAKTI SPONGE AND POWER PVT. LTD.","SHREE RADHE",IF(IF(ISNUMBER(SEARCH("Party Name:-",'R.M Billets Reports'!D887)),TRIM('R.M Billets Reports'!F887),IF(ISNUMBER(SEARCH("Party Name-",'R.M Billets Reports'!D887)),TRIM(MID('R.M Billets Reports'!D887,SEARCH("-",'R.M Billets Reports'!D887)+1,200)),""))&lt;&gt;"",IF(ISNUMBER(SEARCH("Party Name:-",'R.M Billets Reports'!D887)),TRIM('R.M Billets Reports'!F887),IF(ISNUMBER(SEARCH("Party Name-",'R.M Billets Reports'!D887)),TRIM(MID('R.M Billets Reports'!D887,SEARCH("-",'R.M Billets Reports'!D887)+1,200)),"")),IF(ISNUMBER(SEARCH("Party Name:-",'R.M Billets Reports'!D888)),TRIM('R.M Billets Reports'!F888),IF(ISNUMBER(SEARCH("Party Name-",'R.M Billets Reports'!D888)),TRIM(MID('R.M Billets Reports'!D888,SEARCH("-",'R.M Billets Reports'!D888)+1,200)),"")))))),IF(ROW()=2,"",A887))</f>
      </c>
      <c r="B888">
        <f>IF(OR('R.M Billets Reports'!A887="Date-",'R.M Billets Reports'!A887="Date:-"),'R.M Billets Reports'!B887,IF(ROW()=2,"",B887))</f>
      </c>
      <c r="C888">
        <f>IF('R.M Billets Reports'!A887="V.No.",'R.M Billets Reports'!B887,IF(ROW()=2,"",C887))</f>
      </c>
      <c r="D888">
        <f>IF('R.M Billets Reports'!A887&lt;&gt;"",'R.M Billets Reports'!A887,IF(ROW()=2,"",D887))</f>
      </c>
      <c r="E888">
        <f>IF('R.M Billets Reports'!B887="","",TRIM('R.M Billets Reports'!B887))</f>
      </c>
      <c r="F888">
        <f>'R.M Billets Reports'!C887</f>
      </c>
      <c r="G888">
        <f>'R.M Billets Reports'!D887</f>
      </c>
      <c r="H888">
        <f>'R.M Billets Reports'!E887</f>
      </c>
      <c r="I888">
        <f>'R.M Billets Reports'!F887</f>
      </c>
      <c r="J888">
        <f>'R.M Billets Reports'!G887</f>
      </c>
      <c r="K888">
        <f>'R.M Billets Reports'!H887</f>
      </c>
      <c r="L888">
        <f>IF('R.M Billets Reports'!I887="","",'R.M Billets Reports'!I887)</f>
      </c>
      <c r="M888">
        <f t="shared" si="26"/>
      </c>
      <c r="N888">
        <f>IF('R.M Billets Reports'!J887="","",'R.M Billets Reports'!J887)</f>
      </c>
      <c r="O888">
        <f t="shared" si="27"/>
      </c>
      <c r="P888">
        <f>IF('R.M Billets Reports'!A887="SIZE",'R.M Billets Reports'!B887,P887)</f>
      </c>
    </row>
    <row r="889" spans="1:16" x14ac:dyDescent="0.25">
      <c r="A889">
        <f>IF(OR('R.M Billets Reports'!A888="Date-",'R.M Billets Reports'!A888="Date:-"),IF(IF(IF(ISNUMBER(SEARCH("Party Name:-",'R.M Billets Reports'!D888)),TRIM('R.M Billets Reports'!F888),IF(ISNUMBER(SEARCH("Party Name-",'R.M Billets Reports'!D888)),TRIM(MID('R.M Billets Reports'!D888,SEARCH("-",'R.M Billets Reports'!D888)+1,200)),""))&lt;&gt;"",IF(ISNUMBER(SEARCH("Party Name:-",'R.M Billets Reports'!D888)),TRIM('R.M Billets Reports'!F888),IF(ISNUMBER(SEARCH("Party Name-",'R.M Billets Reports'!D888)),TRIM(MID('R.M Billets Reports'!D888,SEARCH("-",'R.M Billets Reports'!D888)+1,200)),"")),IF(ISNUMBER(SEARCH("Party Name:-",'R.M Billets Reports'!D889)),TRIM('R.M Billets Reports'!F889),IF(ISNUMBER(SEARCH("Party Name-",'R.M Billets Reports'!D889)),TRIM(MID('R.M Billets Reports'!D889,SEARCH("-",'R.M Billets Reports'!D889)+1,200)),"")))="VRKP ISPAT PVT LTD","VRKP",IF(IF(IF(ISNUMBER(SEARCH("Party Name:-",'R.M Billets Reports'!D888)),TRIM('R.M Billets Reports'!F888),IF(ISNUMBER(SEARCH("Party Name-",'R.M Billets Reports'!D888)),TRIM(MID('R.M Billets Reports'!D888,SEARCH("-",'R.M Billets Reports'!D888)+1,200)),""))&lt;&gt;"",IF(ISNUMBER(SEARCH("Party Name:-",'R.M Billets Reports'!D888)),TRIM('R.M Billets Reports'!F888),IF(ISNUMBER(SEARCH("Party Name-",'R.M Billets Reports'!D888)),TRIM(MID('R.M Billets Reports'!D888,SEARCH("-",'R.M Billets Reports'!D888)+1,200)),"")),IF(ISNUMBER(SEARCH("Party Name:-",'R.M Billets Reports'!D889)),TRIM('R.M Billets Reports'!F889),IF(ISNUMBER(SEARCH("Party Name-",'R.M Billets Reports'!D889)),TRIM(MID('R.M Billets Reports'!D889,SEARCH("-",'R.M Billets Reports'!D889)+1,200)),"")))="SHRI RADHE","SHREE RADHE",IF(IF(IF(ISNUMBER(SEARCH("Party Name:-",'R.M Billets Reports'!D888)),TRIM('R.M Billets Reports'!F888),IF(ISNUMBER(SEARCH("Party Name-",'R.M Billets Reports'!D888)),TRIM(MID('R.M Billets Reports'!D888,SEARCH("-",'R.M Billets Reports'!D888)+1,200)),""))&lt;&gt;"",IF(ISNUMBER(SEARCH("Party Name:-",'R.M Billets Reports'!D888)),TRIM('R.M Billets Reports'!F888),IF(ISNUMBER(SEARCH("Party Name-",'R.M Billets Reports'!D888)),TRIM(MID('R.M Billets Reports'!D888,SEARCH("-",'R.M Billets Reports'!D888)+1,200)),"")),IF(ISNUMBER(SEARCH("Party Name:-",'R.M Billets Reports'!D889)),TRIM('R.M Billets Reports'!F889),IF(ISNUMBER(SEARCH("Party Name-",'R.M Billets Reports'!D889)),TRIM(MID('R.M Billets Reports'!D889,SEARCH("-",'R.M Billets Reports'!D889)+1,200)),"")))="SHREE RADHE SHAKTI SPONGE AND POWER PVT. LTD.","SHREE RADHE",IF(IF(ISNUMBER(SEARCH("Party Name:-",'R.M Billets Reports'!D888)),TRIM('R.M Billets Reports'!F888),IF(ISNUMBER(SEARCH("Party Name-",'R.M Billets Reports'!D888)),TRIM(MID('R.M Billets Reports'!D888,SEARCH("-",'R.M Billets Reports'!D888)+1,200)),""))&lt;&gt;"",IF(ISNUMBER(SEARCH("Party Name:-",'R.M Billets Reports'!D888)),TRIM('R.M Billets Reports'!F888),IF(ISNUMBER(SEARCH("Party Name-",'R.M Billets Reports'!D888)),TRIM(MID('R.M Billets Reports'!D888,SEARCH("-",'R.M Billets Reports'!D888)+1,200)),"")),IF(ISNUMBER(SEARCH("Party Name:-",'R.M Billets Reports'!D889)),TRIM('R.M Billets Reports'!F889),IF(ISNUMBER(SEARCH("Party Name-",'R.M Billets Reports'!D889)),TRIM(MID('R.M Billets Reports'!D889,SEARCH("-",'R.M Billets Reports'!D889)+1,200)),"")))))),IF(ROW()=2,"",A888))</f>
      </c>
      <c r="B889">
        <f>IF(OR('R.M Billets Reports'!A888="Date-",'R.M Billets Reports'!A888="Date:-"),'R.M Billets Reports'!B888,IF(ROW()=2,"",B888))</f>
      </c>
      <c r="C889">
        <f>IF('R.M Billets Reports'!A888="V.No.",'R.M Billets Reports'!B888,IF(ROW()=2,"",C888))</f>
      </c>
      <c r="D889">
        <f>IF('R.M Billets Reports'!A888&lt;&gt;"",'R.M Billets Reports'!A888,IF(ROW()=2,"",D888))</f>
      </c>
      <c r="E889">
        <f>IF('R.M Billets Reports'!B888="","",TRIM('R.M Billets Reports'!B888))</f>
      </c>
      <c r="F889">
        <f>'R.M Billets Reports'!C888</f>
      </c>
      <c r="G889">
        <f>'R.M Billets Reports'!D888</f>
      </c>
      <c r="H889">
        <f>'R.M Billets Reports'!E888</f>
      </c>
      <c r="I889">
        <f>'R.M Billets Reports'!F888</f>
      </c>
      <c r="J889">
        <f>'R.M Billets Reports'!G888</f>
      </c>
      <c r="K889">
        <f>'R.M Billets Reports'!H888</f>
      </c>
      <c r="L889">
        <f>IF('R.M Billets Reports'!I888="","",'R.M Billets Reports'!I888)</f>
      </c>
      <c r="M889">
        <f t="shared" si="26"/>
      </c>
      <c r="N889">
        <f>IF('R.M Billets Reports'!J888="","",'R.M Billets Reports'!J888)</f>
      </c>
      <c r="O889">
        <f t="shared" si="27"/>
      </c>
      <c r="P889">
        <f>IF('R.M Billets Reports'!A888="SIZE",'R.M Billets Reports'!B888,P888)</f>
      </c>
    </row>
    <row r="890" spans="1:16" x14ac:dyDescent="0.25">
      <c r="A890">
        <f>IF(OR('R.M Billets Reports'!A889="Date-",'R.M Billets Reports'!A889="Date:-"),IF(IF(IF(ISNUMBER(SEARCH("Party Name:-",'R.M Billets Reports'!D889)),TRIM('R.M Billets Reports'!F889),IF(ISNUMBER(SEARCH("Party Name-",'R.M Billets Reports'!D889)),TRIM(MID('R.M Billets Reports'!D889,SEARCH("-",'R.M Billets Reports'!D889)+1,200)),""))&lt;&gt;"",IF(ISNUMBER(SEARCH("Party Name:-",'R.M Billets Reports'!D889)),TRIM('R.M Billets Reports'!F889),IF(ISNUMBER(SEARCH("Party Name-",'R.M Billets Reports'!D889)),TRIM(MID('R.M Billets Reports'!D889,SEARCH("-",'R.M Billets Reports'!D889)+1,200)),"")),IF(ISNUMBER(SEARCH("Party Name:-",'R.M Billets Reports'!D890)),TRIM('R.M Billets Reports'!F890),IF(ISNUMBER(SEARCH("Party Name-",'R.M Billets Reports'!D890)),TRIM(MID('R.M Billets Reports'!D890,SEARCH("-",'R.M Billets Reports'!D890)+1,200)),"")))="VRKP ISPAT PVT LTD","VRKP",IF(IF(IF(ISNUMBER(SEARCH("Party Name:-",'R.M Billets Reports'!D889)),TRIM('R.M Billets Reports'!F889),IF(ISNUMBER(SEARCH("Party Name-",'R.M Billets Reports'!D889)),TRIM(MID('R.M Billets Reports'!D889,SEARCH("-",'R.M Billets Reports'!D889)+1,200)),""))&lt;&gt;"",IF(ISNUMBER(SEARCH("Party Name:-",'R.M Billets Reports'!D889)),TRIM('R.M Billets Reports'!F889),IF(ISNUMBER(SEARCH("Party Name-",'R.M Billets Reports'!D889)),TRIM(MID('R.M Billets Reports'!D889,SEARCH("-",'R.M Billets Reports'!D889)+1,200)),"")),IF(ISNUMBER(SEARCH("Party Name:-",'R.M Billets Reports'!D890)),TRIM('R.M Billets Reports'!F890),IF(ISNUMBER(SEARCH("Party Name-",'R.M Billets Reports'!D890)),TRIM(MID('R.M Billets Reports'!D890,SEARCH("-",'R.M Billets Reports'!D890)+1,200)),"")))="SHRI RADHE","SHREE RADHE",IF(IF(IF(ISNUMBER(SEARCH("Party Name:-",'R.M Billets Reports'!D889)),TRIM('R.M Billets Reports'!F889),IF(ISNUMBER(SEARCH("Party Name-",'R.M Billets Reports'!D889)),TRIM(MID('R.M Billets Reports'!D889,SEARCH("-",'R.M Billets Reports'!D889)+1,200)),""))&lt;&gt;"",IF(ISNUMBER(SEARCH("Party Name:-",'R.M Billets Reports'!D889)),TRIM('R.M Billets Reports'!F889),IF(ISNUMBER(SEARCH("Party Name-",'R.M Billets Reports'!D889)),TRIM(MID('R.M Billets Reports'!D889,SEARCH("-",'R.M Billets Reports'!D889)+1,200)),"")),IF(ISNUMBER(SEARCH("Party Name:-",'R.M Billets Reports'!D890)),TRIM('R.M Billets Reports'!F890),IF(ISNUMBER(SEARCH("Party Name-",'R.M Billets Reports'!D890)),TRIM(MID('R.M Billets Reports'!D890,SEARCH("-",'R.M Billets Reports'!D890)+1,200)),"")))="SHREE RADHE SHAKTI SPONGE AND POWER PVT. LTD.","SHREE RADHE",IF(IF(ISNUMBER(SEARCH("Party Name:-",'R.M Billets Reports'!D889)),TRIM('R.M Billets Reports'!F889),IF(ISNUMBER(SEARCH("Party Name-",'R.M Billets Reports'!D889)),TRIM(MID('R.M Billets Reports'!D889,SEARCH("-",'R.M Billets Reports'!D889)+1,200)),""))&lt;&gt;"",IF(ISNUMBER(SEARCH("Party Name:-",'R.M Billets Reports'!D889)),TRIM('R.M Billets Reports'!F889),IF(ISNUMBER(SEARCH("Party Name-",'R.M Billets Reports'!D889)),TRIM(MID('R.M Billets Reports'!D889,SEARCH("-",'R.M Billets Reports'!D889)+1,200)),"")),IF(ISNUMBER(SEARCH("Party Name:-",'R.M Billets Reports'!D890)),TRIM('R.M Billets Reports'!F890),IF(ISNUMBER(SEARCH("Party Name-",'R.M Billets Reports'!D890)),TRIM(MID('R.M Billets Reports'!D890,SEARCH("-",'R.M Billets Reports'!D890)+1,200)),"")))))),IF(ROW()=2,"",A889))</f>
      </c>
      <c r="B890">
        <f>IF(OR('R.M Billets Reports'!A889="Date-",'R.M Billets Reports'!A889="Date:-"),'R.M Billets Reports'!B889,IF(ROW()=2,"",B889))</f>
      </c>
      <c r="C890">
        <f>IF('R.M Billets Reports'!A889="V.No.",'R.M Billets Reports'!B889,IF(ROW()=2,"",C889))</f>
      </c>
      <c r="D890">
        <f>IF('R.M Billets Reports'!A889&lt;&gt;"",'R.M Billets Reports'!A889,IF(ROW()=2,"",D889))</f>
      </c>
      <c r="E890">
        <f>IF('R.M Billets Reports'!B889="","",TRIM('R.M Billets Reports'!B889))</f>
      </c>
      <c r="F890">
        <f>'R.M Billets Reports'!C889</f>
      </c>
      <c r="G890">
        <f>'R.M Billets Reports'!D889</f>
      </c>
      <c r="H890">
        <f>'R.M Billets Reports'!E889</f>
      </c>
      <c r="I890">
        <f>'R.M Billets Reports'!F889</f>
      </c>
      <c r="J890">
        <f>'R.M Billets Reports'!G889</f>
      </c>
      <c r="K890">
        <f>'R.M Billets Reports'!H889</f>
      </c>
      <c r="L890">
        <f>IF('R.M Billets Reports'!I889="","",'R.M Billets Reports'!I889)</f>
      </c>
      <c r="M890">
        <f t="shared" si="26"/>
      </c>
      <c r="N890">
        <f>IF('R.M Billets Reports'!J889="","",'R.M Billets Reports'!J889)</f>
      </c>
      <c r="O890">
        <f t="shared" si="27"/>
      </c>
      <c r="P890">
        <f>IF('R.M Billets Reports'!A889="SIZE",'R.M Billets Reports'!B889,P889)</f>
      </c>
    </row>
    <row r="891" spans="1:16" x14ac:dyDescent="0.25">
      <c r="A891">
        <f>IF(OR('R.M Billets Reports'!A890="Date-",'R.M Billets Reports'!A890="Date:-"),IF(IF(IF(ISNUMBER(SEARCH("Party Name:-",'R.M Billets Reports'!D890)),TRIM('R.M Billets Reports'!F890),IF(ISNUMBER(SEARCH("Party Name-",'R.M Billets Reports'!D890)),TRIM(MID('R.M Billets Reports'!D890,SEARCH("-",'R.M Billets Reports'!D890)+1,200)),""))&lt;&gt;"",IF(ISNUMBER(SEARCH("Party Name:-",'R.M Billets Reports'!D890)),TRIM('R.M Billets Reports'!F890),IF(ISNUMBER(SEARCH("Party Name-",'R.M Billets Reports'!D890)),TRIM(MID('R.M Billets Reports'!D890,SEARCH("-",'R.M Billets Reports'!D890)+1,200)),"")),IF(ISNUMBER(SEARCH("Party Name:-",'R.M Billets Reports'!D891)),TRIM('R.M Billets Reports'!F891),IF(ISNUMBER(SEARCH("Party Name-",'R.M Billets Reports'!D891)),TRIM(MID('R.M Billets Reports'!D891,SEARCH("-",'R.M Billets Reports'!D891)+1,200)),"")))="VRKP ISPAT PVT LTD","VRKP",IF(IF(IF(ISNUMBER(SEARCH("Party Name:-",'R.M Billets Reports'!D890)),TRIM('R.M Billets Reports'!F890),IF(ISNUMBER(SEARCH("Party Name-",'R.M Billets Reports'!D890)),TRIM(MID('R.M Billets Reports'!D890,SEARCH("-",'R.M Billets Reports'!D890)+1,200)),""))&lt;&gt;"",IF(ISNUMBER(SEARCH("Party Name:-",'R.M Billets Reports'!D890)),TRIM('R.M Billets Reports'!F890),IF(ISNUMBER(SEARCH("Party Name-",'R.M Billets Reports'!D890)),TRIM(MID('R.M Billets Reports'!D890,SEARCH("-",'R.M Billets Reports'!D890)+1,200)),"")),IF(ISNUMBER(SEARCH("Party Name:-",'R.M Billets Reports'!D891)),TRIM('R.M Billets Reports'!F891),IF(ISNUMBER(SEARCH("Party Name-",'R.M Billets Reports'!D891)),TRIM(MID('R.M Billets Reports'!D891,SEARCH("-",'R.M Billets Reports'!D891)+1,200)),"")))="SHRI RADHE","SHREE RADHE",IF(IF(IF(ISNUMBER(SEARCH("Party Name:-",'R.M Billets Reports'!D890)),TRIM('R.M Billets Reports'!F890),IF(ISNUMBER(SEARCH("Party Name-",'R.M Billets Reports'!D890)),TRIM(MID('R.M Billets Reports'!D890,SEARCH("-",'R.M Billets Reports'!D890)+1,200)),""))&lt;&gt;"",IF(ISNUMBER(SEARCH("Party Name:-",'R.M Billets Reports'!D890)),TRIM('R.M Billets Reports'!F890),IF(ISNUMBER(SEARCH("Party Name-",'R.M Billets Reports'!D890)),TRIM(MID('R.M Billets Reports'!D890,SEARCH("-",'R.M Billets Reports'!D890)+1,200)),"")),IF(ISNUMBER(SEARCH("Party Name:-",'R.M Billets Reports'!D891)),TRIM('R.M Billets Reports'!F891),IF(ISNUMBER(SEARCH("Party Name-",'R.M Billets Reports'!D891)),TRIM(MID('R.M Billets Reports'!D891,SEARCH("-",'R.M Billets Reports'!D891)+1,200)),"")))="SHREE RADHE SHAKTI SPONGE AND POWER PVT. LTD.","SHREE RADHE",IF(IF(ISNUMBER(SEARCH("Party Name:-",'R.M Billets Reports'!D890)),TRIM('R.M Billets Reports'!F890),IF(ISNUMBER(SEARCH("Party Name-",'R.M Billets Reports'!D890)),TRIM(MID('R.M Billets Reports'!D890,SEARCH("-",'R.M Billets Reports'!D890)+1,200)),""))&lt;&gt;"",IF(ISNUMBER(SEARCH("Party Name:-",'R.M Billets Reports'!D890)),TRIM('R.M Billets Reports'!F890),IF(ISNUMBER(SEARCH("Party Name-",'R.M Billets Reports'!D890)),TRIM(MID('R.M Billets Reports'!D890,SEARCH("-",'R.M Billets Reports'!D890)+1,200)),"")),IF(ISNUMBER(SEARCH("Party Name:-",'R.M Billets Reports'!D891)),TRIM('R.M Billets Reports'!F891),IF(ISNUMBER(SEARCH("Party Name-",'R.M Billets Reports'!D891)),TRIM(MID('R.M Billets Reports'!D891,SEARCH("-",'R.M Billets Reports'!D891)+1,200)),"")))))),IF(ROW()=2,"",A890))</f>
      </c>
      <c r="B891">
        <f>IF(OR('R.M Billets Reports'!A890="Date-",'R.M Billets Reports'!A890="Date:-"),'R.M Billets Reports'!B890,IF(ROW()=2,"",B890))</f>
      </c>
      <c r="C891">
        <f>IF('R.M Billets Reports'!A890="V.No.",'R.M Billets Reports'!B890,IF(ROW()=2,"",C890))</f>
      </c>
      <c r="D891">
        <f>IF('R.M Billets Reports'!A890&lt;&gt;"",'R.M Billets Reports'!A890,IF(ROW()=2,"",D890))</f>
      </c>
      <c r="E891">
        <f>IF('R.M Billets Reports'!B890="","",TRIM('R.M Billets Reports'!B890))</f>
      </c>
      <c r="F891">
        <f>'R.M Billets Reports'!C890</f>
      </c>
      <c r="G891">
        <f>'R.M Billets Reports'!D890</f>
      </c>
      <c r="H891">
        <f>'R.M Billets Reports'!E890</f>
      </c>
      <c r="I891">
        <f>'R.M Billets Reports'!F890</f>
      </c>
      <c r="J891">
        <f>'R.M Billets Reports'!G890</f>
      </c>
      <c r="K891">
        <f>'R.M Billets Reports'!H890</f>
      </c>
      <c r="L891">
        <f>IF('R.M Billets Reports'!I890="","",'R.M Billets Reports'!I890)</f>
      </c>
      <c r="M891">
        <f t="shared" si="26"/>
      </c>
      <c r="N891">
        <f>IF('R.M Billets Reports'!J890="","",'R.M Billets Reports'!J890)</f>
      </c>
      <c r="O891">
        <f t="shared" si="27"/>
      </c>
      <c r="P891">
        <f>IF('R.M Billets Reports'!A890="SIZE",'R.M Billets Reports'!B890,P890)</f>
      </c>
    </row>
    <row r="892" spans="1:16" x14ac:dyDescent="0.25">
      <c r="A892">
        <f>IF(OR('R.M Billets Reports'!A891="Date-",'R.M Billets Reports'!A891="Date:-"),IF(IF(IF(ISNUMBER(SEARCH("Party Name:-",'R.M Billets Reports'!D891)),TRIM('R.M Billets Reports'!F891),IF(ISNUMBER(SEARCH("Party Name-",'R.M Billets Reports'!D891)),TRIM(MID('R.M Billets Reports'!D891,SEARCH("-",'R.M Billets Reports'!D891)+1,200)),""))&lt;&gt;"",IF(ISNUMBER(SEARCH("Party Name:-",'R.M Billets Reports'!D891)),TRIM('R.M Billets Reports'!F891),IF(ISNUMBER(SEARCH("Party Name-",'R.M Billets Reports'!D891)),TRIM(MID('R.M Billets Reports'!D891,SEARCH("-",'R.M Billets Reports'!D891)+1,200)),"")),IF(ISNUMBER(SEARCH("Party Name:-",'R.M Billets Reports'!D892)),TRIM('R.M Billets Reports'!F892),IF(ISNUMBER(SEARCH("Party Name-",'R.M Billets Reports'!D892)),TRIM(MID('R.M Billets Reports'!D892,SEARCH("-",'R.M Billets Reports'!D892)+1,200)),"")))="VRKP ISPAT PVT LTD","VRKP",IF(IF(IF(ISNUMBER(SEARCH("Party Name:-",'R.M Billets Reports'!D891)),TRIM('R.M Billets Reports'!F891),IF(ISNUMBER(SEARCH("Party Name-",'R.M Billets Reports'!D891)),TRIM(MID('R.M Billets Reports'!D891,SEARCH("-",'R.M Billets Reports'!D891)+1,200)),""))&lt;&gt;"",IF(ISNUMBER(SEARCH("Party Name:-",'R.M Billets Reports'!D891)),TRIM('R.M Billets Reports'!F891),IF(ISNUMBER(SEARCH("Party Name-",'R.M Billets Reports'!D891)),TRIM(MID('R.M Billets Reports'!D891,SEARCH("-",'R.M Billets Reports'!D891)+1,200)),"")),IF(ISNUMBER(SEARCH("Party Name:-",'R.M Billets Reports'!D892)),TRIM('R.M Billets Reports'!F892),IF(ISNUMBER(SEARCH("Party Name-",'R.M Billets Reports'!D892)),TRIM(MID('R.M Billets Reports'!D892,SEARCH("-",'R.M Billets Reports'!D892)+1,200)),"")))="SHRI RADHE","SHREE RADHE",IF(IF(IF(ISNUMBER(SEARCH("Party Name:-",'R.M Billets Reports'!D891)),TRIM('R.M Billets Reports'!F891),IF(ISNUMBER(SEARCH("Party Name-",'R.M Billets Reports'!D891)),TRIM(MID('R.M Billets Reports'!D891,SEARCH("-",'R.M Billets Reports'!D891)+1,200)),""))&lt;&gt;"",IF(ISNUMBER(SEARCH("Party Name:-",'R.M Billets Reports'!D891)),TRIM('R.M Billets Reports'!F891),IF(ISNUMBER(SEARCH("Party Name-",'R.M Billets Reports'!D891)),TRIM(MID('R.M Billets Reports'!D891,SEARCH("-",'R.M Billets Reports'!D891)+1,200)),"")),IF(ISNUMBER(SEARCH("Party Name:-",'R.M Billets Reports'!D892)),TRIM('R.M Billets Reports'!F892),IF(ISNUMBER(SEARCH("Party Name-",'R.M Billets Reports'!D892)),TRIM(MID('R.M Billets Reports'!D892,SEARCH("-",'R.M Billets Reports'!D892)+1,200)),"")))="SHREE RADHE SHAKTI SPONGE AND POWER PVT. LTD.","SHREE RADHE",IF(IF(ISNUMBER(SEARCH("Party Name:-",'R.M Billets Reports'!D891)),TRIM('R.M Billets Reports'!F891),IF(ISNUMBER(SEARCH("Party Name-",'R.M Billets Reports'!D891)),TRIM(MID('R.M Billets Reports'!D891,SEARCH("-",'R.M Billets Reports'!D891)+1,200)),""))&lt;&gt;"",IF(ISNUMBER(SEARCH("Party Name:-",'R.M Billets Reports'!D891)),TRIM('R.M Billets Reports'!F891),IF(ISNUMBER(SEARCH("Party Name-",'R.M Billets Reports'!D891)),TRIM(MID('R.M Billets Reports'!D891,SEARCH("-",'R.M Billets Reports'!D891)+1,200)),"")),IF(ISNUMBER(SEARCH("Party Name:-",'R.M Billets Reports'!D892)),TRIM('R.M Billets Reports'!F892),IF(ISNUMBER(SEARCH("Party Name-",'R.M Billets Reports'!D892)),TRIM(MID('R.M Billets Reports'!D892,SEARCH("-",'R.M Billets Reports'!D892)+1,200)),"")))))),IF(ROW()=2,"",A891))</f>
      </c>
      <c r="B892">
        <f>IF(OR('R.M Billets Reports'!A891="Date-",'R.M Billets Reports'!A891="Date:-"),'R.M Billets Reports'!B891,IF(ROW()=2,"",B891))</f>
      </c>
      <c r="C892">
        <f>IF('R.M Billets Reports'!A891="V.No.",'R.M Billets Reports'!B891,IF(ROW()=2,"",C891))</f>
      </c>
      <c r="D892">
        <f>IF('R.M Billets Reports'!A891&lt;&gt;"",'R.M Billets Reports'!A891,IF(ROW()=2,"",D891))</f>
      </c>
      <c r="E892">
        <f>IF('R.M Billets Reports'!B891="","",TRIM('R.M Billets Reports'!B891))</f>
      </c>
      <c r="F892">
        <f>'R.M Billets Reports'!C891</f>
      </c>
      <c r="G892">
        <f>'R.M Billets Reports'!D891</f>
      </c>
      <c r="H892">
        <f>'R.M Billets Reports'!E891</f>
      </c>
      <c r="I892">
        <f>'R.M Billets Reports'!F891</f>
      </c>
      <c r="J892">
        <f>'R.M Billets Reports'!G891</f>
      </c>
      <c r="K892">
        <f>'R.M Billets Reports'!H891</f>
      </c>
      <c r="L892">
        <f>IF('R.M Billets Reports'!I891="","",'R.M Billets Reports'!I891)</f>
      </c>
      <c r="M892">
        <f t="shared" si="26"/>
      </c>
      <c r="N892">
        <f>IF('R.M Billets Reports'!J891="","",'R.M Billets Reports'!J891)</f>
      </c>
      <c r="O892">
        <f t="shared" si="27"/>
      </c>
      <c r="P892">
        <f>IF('R.M Billets Reports'!A891="SIZE",'R.M Billets Reports'!B891,P891)</f>
      </c>
    </row>
    <row r="893" spans="1:16" x14ac:dyDescent="0.25">
      <c r="A893">
        <f>IF(OR('R.M Billets Reports'!A892="Date-",'R.M Billets Reports'!A892="Date:-"),IF(IF(IF(ISNUMBER(SEARCH("Party Name:-",'R.M Billets Reports'!D892)),TRIM('R.M Billets Reports'!F892),IF(ISNUMBER(SEARCH("Party Name-",'R.M Billets Reports'!D892)),TRIM(MID('R.M Billets Reports'!D892,SEARCH("-",'R.M Billets Reports'!D892)+1,200)),""))&lt;&gt;"",IF(ISNUMBER(SEARCH("Party Name:-",'R.M Billets Reports'!D892)),TRIM('R.M Billets Reports'!F892),IF(ISNUMBER(SEARCH("Party Name-",'R.M Billets Reports'!D892)),TRIM(MID('R.M Billets Reports'!D892,SEARCH("-",'R.M Billets Reports'!D892)+1,200)),"")),IF(ISNUMBER(SEARCH("Party Name:-",'R.M Billets Reports'!D893)),TRIM('R.M Billets Reports'!F893),IF(ISNUMBER(SEARCH("Party Name-",'R.M Billets Reports'!D893)),TRIM(MID('R.M Billets Reports'!D893,SEARCH("-",'R.M Billets Reports'!D893)+1,200)),"")))="VRKP ISPAT PVT LTD","VRKP",IF(IF(IF(ISNUMBER(SEARCH("Party Name:-",'R.M Billets Reports'!D892)),TRIM('R.M Billets Reports'!F892),IF(ISNUMBER(SEARCH("Party Name-",'R.M Billets Reports'!D892)),TRIM(MID('R.M Billets Reports'!D892,SEARCH("-",'R.M Billets Reports'!D892)+1,200)),""))&lt;&gt;"",IF(ISNUMBER(SEARCH("Party Name:-",'R.M Billets Reports'!D892)),TRIM('R.M Billets Reports'!F892),IF(ISNUMBER(SEARCH("Party Name-",'R.M Billets Reports'!D892)),TRIM(MID('R.M Billets Reports'!D892,SEARCH("-",'R.M Billets Reports'!D892)+1,200)),"")),IF(ISNUMBER(SEARCH("Party Name:-",'R.M Billets Reports'!D893)),TRIM('R.M Billets Reports'!F893),IF(ISNUMBER(SEARCH("Party Name-",'R.M Billets Reports'!D893)),TRIM(MID('R.M Billets Reports'!D893,SEARCH("-",'R.M Billets Reports'!D893)+1,200)),"")))="SHRI RADHE","SHREE RADHE",IF(IF(IF(ISNUMBER(SEARCH("Party Name:-",'R.M Billets Reports'!D892)),TRIM('R.M Billets Reports'!F892),IF(ISNUMBER(SEARCH("Party Name-",'R.M Billets Reports'!D892)),TRIM(MID('R.M Billets Reports'!D892,SEARCH("-",'R.M Billets Reports'!D892)+1,200)),""))&lt;&gt;"",IF(ISNUMBER(SEARCH("Party Name:-",'R.M Billets Reports'!D892)),TRIM('R.M Billets Reports'!F892),IF(ISNUMBER(SEARCH("Party Name-",'R.M Billets Reports'!D892)),TRIM(MID('R.M Billets Reports'!D892,SEARCH("-",'R.M Billets Reports'!D892)+1,200)),"")),IF(ISNUMBER(SEARCH("Party Name:-",'R.M Billets Reports'!D893)),TRIM('R.M Billets Reports'!F893),IF(ISNUMBER(SEARCH("Party Name-",'R.M Billets Reports'!D893)),TRIM(MID('R.M Billets Reports'!D893,SEARCH("-",'R.M Billets Reports'!D893)+1,200)),"")))="SHREE RADHE SHAKTI SPONGE AND POWER PVT. LTD.","SHREE RADHE",IF(IF(ISNUMBER(SEARCH("Party Name:-",'R.M Billets Reports'!D892)),TRIM('R.M Billets Reports'!F892),IF(ISNUMBER(SEARCH("Party Name-",'R.M Billets Reports'!D892)),TRIM(MID('R.M Billets Reports'!D892,SEARCH("-",'R.M Billets Reports'!D892)+1,200)),""))&lt;&gt;"",IF(ISNUMBER(SEARCH("Party Name:-",'R.M Billets Reports'!D892)),TRIM('R.M Billets Reports'!F892),IF(ISNUMBER(SEARCH("Party Name-",'R.M Billets Reports'!D892)),TRIM(MID('R.M Billets Reports'!D892,SEARCH("-",'R.M Billets Reports'!D892)+1,200)),"")),IF(ISNUMBER(SEARCH("Party Name:-",'R.M Billets Reports'!D893)),TRIM('R.M Billets Reports'!F893),IF(ISNUMBER(SEARCH("Party Name-",'R.M Billets Reports'!D893)),TRIM(MID('R.M Billets Reports'!D893,SEARCH("-",'R.M Billets Reports'!D893)+1,200)),"")))))),IF(ROW()=2,"",A892))</f>
      </c>
      <c r="B893">
        <f>IF(OR('R.M Billets Reports'!A892="Date-",'R.M Billets Reports'!A892="Date:-"),'R.M Billets Reports'!B892,IF(ROW()=2,"",B892))</f>
      </c>
      <c r="C893">
        <f>IF('R.M Billets Reports'!A892="V.No.",'R.M Billets Reports'!B892,IF(ROW()=2,"",C892))</f>
      </c>
      <c r="D893">
        <f>IF('R.M Billets Reports'!A892&lt;&gt;"",'R.M Billets Reports'!A892,IF(ROW()=2,"",D892))</f>
      </c>
      <c r="E893">
        <f>IF('R.M Billets Reports'!B892="","",TRIM('R.M Billets Reports'!B892))</f>
      </c>
      <c r="F893">
        <f>'R.M Billets Reports'!C892</f>
      </c>
      <c r="G893">
        <f>'R.M Billets Reports'!D892</f>
      </c>
      <c r="H893">
        <f>'R.M Billets Reports'!E892</f>
      </c>
      <c r="I893">
        <f>'R.M Billets Reports'!F892</f>
      </c>
      <c r="J893">
        <f>'R.M Billets Reports'!G892</f>
      </c>
      <c r="K893">
        <f>'R.M Billets Reports'!H892</f>
      </c>
      <c r="L893">
        <f>IF('R.M Billets Reports'!I892="","",'R.M Billets Reports'!I892)</f>
      </c>
      <c r="M893">
        <f t="shared" si="26"/>
      </c>
      <c r="N893">
        <f>IF('R.M Billets Reports'!J892="","",'R.M Billets Reports'!J892)</f>
      </c>
      <c r="O893">
        <f t="shared" si="27"/>
      </c>
      <c r="P893">
        <f>IF('R.M Billets Reports'!A892="SIZE",'R.M Billets Reports'!B892,P892)</f>
      </c>
    </row>
    <row r="894" spans="1:16" x14ac:dyDescent="0.25">
      <c r="A894">
        <f>IF(OR('R.M Billets Reports'!A893="Date-",'R.M Billets Reports'!A893="Date:-"),IF(IF(IF(ISNUMBER(SEARCH("Party Name:-",'R.M Billets Reports'!D893)),TRIM('R.M Billets Reports'!F893),IF(ISNUMBER(SEARCH("Party Name-",'R.M Billets Reports'!D893)),TRIM(MID('R.M Billets Reports'!D893,SEARCH("-",'R.M Billets Reports'!D893)+1,200)),""))&lt;&gt;"",IF(ISNUMBER(SEARCH("Party Name:-",'R.M Billets Reports'!D893)),TRIM('R.M Billets Reports'!F893),IF(ISNUMBER(SEARCH("Party Name-",'R.M Billets Reports'!D893)),TRIM(MID('R.M Billets Reports'!D893,SEARCH("-",'R.M Billets Reports'!D893)+1,200)),"")),IF(ISNUMBER(SEARCH("Party Name:-",'R.M Billets Reports'!D894)),TRIM('R.M Billets Reports'!F894),IF(ISNUMBER(SEARCH("Party Name-",'R.M Billets Reports'!D894)),TRIM(MID('R.M Billets Reports'!D894,SEARCH("-",'R.M Billets Reports'!D894)+1,200)),"")))="VRKP ISPAT PVT LTD","VRKP",IF(IF(IF(ISNUMBER(SEARCH("Party Name:-",'R.M Billets Reports'!D893)),TRIM('R.M Billets Reports'!F893),IF(ISNUMBER(SEARCH("Party Name-",'R.M Billets Reports'!D893)),TRIM(MID('R.M Billets Reports'!D893,SEARCH("-",'R.M Billets Reports'!D893)+1,200)),""))&lt;&gt;"",IF(ISNUMBER(SEARCH("Party Name:-",'R.M Billets Reports'!D893)),TRIM('R.M Billets Reports'!F893),IF(ISNUMBER(SEARCH("Party Name-",'R.M Billets Reports'!D893)),TRIM(MID('R.M Billets Reports'!D893,SEARCH("-",'R.M Billets Reports'!D893)+1,200)),"")),IF(ISNUMBER(SEARCH("Party Name:-",'R.M Billets Reports'!D894)),TRIM('R.M Billets Reports'!F894),IF(ISNUMBER(SEARCH("Party Name-",'R.M Billets Reports'!D894)),TRIM(MID('R.M Billets Reports'!D894,SEARCH("-",'R.M Billets Reports'!D894)+1,200)),"")))="SHRI RADHE","SHREE RADHE",IF(IF(IF(ISNUMBER(SEARCH("Party Name:-",'R.M Billets Reports'!D893)),TRIM('R.M Billets Reports'!F893),IF(ISNUMBER(SEARCH("Party Name-",'R.M Billets Reports'!D893)),TRIM(MID('R.M Billets Reports'!D893,SEARCH("-",'R.M Billets Reports'!D893)+1,200)),""))&lt;&gt;"",IF(ISNUMBER(SEARCH("Party Name:-",'R.M Billets Reports'!D893)),TRIM('R.M Billets Reports'!F893),IF(ISNUMBER(SEARCH("Party Name-",'R.M Billets Reports'!D893)),TRIM(MID('R.M Billets Reports'!D893,SEARCH("-",'R.M Billets Reports'!D893)+1,200)),"")),IF(ISNUMBER(SEARCH("Party Name:-",'R.M Billets Reports'!D894)),TRIM('R.M Billets Reports'!F894),IF(ISNUMBER(SEARCH("Party Name-",'R.M Billets Reports'!D894)),TRIM(MID('R.M Billets Reports'!D894,SEARCH("-",'R.M Billets Reports'!D894)+1,200)),"")))="SHREE RADHE SHAKTI SPONGE AND POWER PVT. LTD.","SHREE RADHE",IF(IF(ISNUMBER(SEARCH("Party Name:-",'R.M Billets Reports'!D893)),TRIM('R.M Billets Reports'!F893),IF(ISNUMBER(SEARCH("Party Name-",'R.M Billets Reports'!D893)),TRIM(MID('R.M Billets Reports'!D893,SEARCH("-",'R.M Billets Reports'!D893)+1,200)),""))&lt;&gt;"",IF(ISNUMBER(SEARCH("Party Name:-",'R.M Billets Reports'!D893)),TRIM('R.M Billets Reports'!F893),IF(ISNUMBER(SEARCH("Party Name-",'R.M Billets Reports'!D893)),TRIM(MID('R.M Billets Reports'!D893,SEARCH("-",'R.M Billets Reports'!D893)+1,200)),"")),IF(ISNUMBER(SEARCH("Party Name:-",'R.M Billets Reports'!D894)),TRIM('R.M Billets Reports'!F894),IF(ISNUMBER(SEARCH("Party Name-",'R.M Billets Reports'!D894)),TRIM(MID('R.M Billets Reports'!D894,SEARCH("-",'R.M Billets Reports'!D894)+1,200)),"")))))),IF(ROW()=2,"",A893))</f>
      </c>
      <c r="B894">
        <f>IF(OR('R.M Billets Reports'!A893="Date-",'R.M Billets Reports'!A893="Date:-"),'R.M Billets Reports'!B893,IF(ROW()=2,"",B893))</f>
      </c>
      <c r="C894">
        <f>IF('R.M Billets Reports'!A893="V.No.",'R.M Billets Reports'!B893,IF(ROW()=2,"",C893))</f>
      </c>
      <c r="D894">
        <f>IF('R.M Billets Reports'!A893&lt;&gt;"",'R.M Billets Reports'!A893,IF(ROW()=2,"",D893))</f>
      </c>
      <c r="E894">
        <f>IF('R.M Billets Reports'!B893="","",TRIM('R.M Billets Reports'!B893))</f>
      </c>
      <c r="F894">
        <f>'R.M Billets Reports'!C893</f>
      </c>
      <c r="G894">
        <f>'R.M Billets Reports'!D893</f>
      </c>
      <c r="H894">
        <f>'R.M Billets Reports'!E893</f>
      </c>
      <c r="I894">
        <f>'R.M Billets Reports'!F893</f>
      </c>
      <c r="J894">
        <f>'R.M Billets Reports'!G893</f>
      </c>
      <c r="K894">
        <f>'R.M Billets Reports'!H893</f>
      </c>
      <c r="L894">
        <f>IF('R.M Billets Reports'!I893="","",'R.M Billets Reports'!I893)</f>
      </c>
      <c r="M894">
        <f t="shared" si="26"/>
      </c>
      <c r="N894">
        <f>IF('R.M Billets Reports'!J893="","",'R.M Billets Reports'!J893)</f>
      </c>
      <c r="O894">
        <f t="shared" si="27"/>
      </c>
      <c r="P894">
        <f>IF('R.M Billets Reports'!A893="SIZE",'R.M Billets Reports'!B893,P893)</f>
      </c>
    </row>
    <row r="895" spans="1:16" x14ac:dyDescent="0.25">
      <c r="A895">
        <f>IF(OR('R.M Billets Reports'!A894="Date-",'R.M Billets Reports'!A894="Date:-"),IF(IF(IF(ISNUMBER(SEARCH("Party Name:-",'R.M Billets Reports'!D894)),TRIM('R.M Billets Reports'!F894),IF(ISNUMBER(SEARCH("Party Name-",'R.M Billets Reports'!D894)),TRIM(MID('R.M Billets Reports'!D894,SEARCH("-",'R.M Billets Reports'!D894)+1,200)),""))&lt;&gt;"",IF(ISNUMBER(SEARCH("Party Name:-",'R.M Billets Reports'!D894)),TRIM('R.M Billets Reports'!F894),IF(ISNUMBER(SEARCH("Party Name-",'R.M Billets Reports'!D894)),TRIM(MID('R.M Billets Reports'!D894,SEARCH("-",'R.M Billets Reports'!D894)+1,200)),"")),IF(ISNUMBER(SEARCH("Party Name:-",'R.M Billets Reports'!D895)),TRIM('R.M Billets Reports'!F895),IF(ISNUMBER(SEARCH("Party Name-",'R.M Billets Reports'!D895)),TRIM(MID('R.M Billets Reports'!D895,SEARCH("-",'R.M Billets Reports'!D895)+1,200)),"")))="VRKP ISPAT PVT LTD","VRKP",IF(IF(IF(ISNUMBER(SEARCH("Party Name:-",'R.M Billets Reports'!D894)),TRIM('R.M Billets Reports'!F894),IF(ISNUMBER(SEARCH("Party Name-",'R.M Billets Reports'!D894)),TRIM(MID('R.M Billets Reports'!D894,SEARCH("-",'R.M Billets Reports'!D894)+1,200)),""))&lt;&gt;"",IF(ISNUMBER(SEARCH("Party Name:-",'R.M Billets Reports'!D894)),TRIM('R.M Billets Reports'!F894),IF(ISNUMBER(SEARCH("Party Name-",'R.M Billets Reports'!D894)),TRIM(MID('R.M Billets Reports'!D894,SEARCH("-",'R.M Billets Reports'!D894)+1,200)),"")),IF(ISNUMBER(SEARCH("Party Name:-",'R.M Billets Reports'!D895)),TRIM('R.M Billets Reports'!F895),IF(ISNUMBER(SEARCH("Party Name-",'R.M Billets Reports'!D895)),TRIM(MID('R.M Billets Reports'!D895,SEARCH("-",'R.M Billets Reports'!D895)+1,200)),"")))="SHRI RADHE","SHREE RADHE",IF(IF(IF(ISNUMBER(SEARCH("Party Name:-",'R.M Billets Reports'!D894)),TRIM('R.M Billets Reports'!F894),IF(ISNUMBER(SEARCH("Party Name-",'R.M Billets Reports'!D894)),TRIM(MID('R.M Billets Reports'!D894,SEARCH("-",'R.M Billets Reports'!D894)+1,200)),""))&lt;&gt;"",IF(ISNUMBER(SEARCH("Party Name:-",'R.M Billets Reports'!D894)),TRIM('R.M Billets Reports'!F894),IF(ISNUMBER(SEARCH("Party Name-",'R.M Billets Reports'!D894)),TRIM(MID('R.M Billets Reports'!D894,SEARCH("-",'R.M Billets Reports'!D894)+1,200)),"")),IF(ISNUMBER(SEARCH("Party Name:-",'R.M Billets Reports'!D895)),TRIM('R.M Billets Reports'!F895),IF(ISNUMBER(SEARCH("Party Name-",'R.M Billets Reports'!D895)),TRIM(MID('R.M Billets Reports'!D895,SEARCH("-",'R.M Billets Reports'!D895)+1,200)),"")))="SHREE RADHE SHAKTI SPONGE AND POWER PVT. LTD.","SHREE RADHE",IF(IF(ISNUMBER(SEARCH("Party Name:-",'R.M Billets Reports'!D894)),TRIM('R.M Billets Reports'!F894),IF(ISNUMBER(SEARCH("Party Name-",'R.M Billets Reports'!D894)),TRIM(MID('R.M Billets Reports'!D894,SEARCH("-",'R.M Billets Reports'!D894)+1,200)),""))&lt;&gt;"",IF(ISNUMBER(SEARCH("Party Name:-",'R.M Billets Reports'!D894)),TRIM('R.M Billets Reports'!F894),IF(ISNUMBER(SEARCH("Party Name-",'R.M Billets Reports'!D894)),TRIM(MID('R.M Billets Reports'!D894,SEARCH("-",'R.M Billets Reports'!D894)+1,200)),"")),IF(ISNUMBER(SEARCH("Party Name:-",'R.M Billets Reports'!D895)),TRIM('R.M Billets Reports'!F895),IF(ISNUMBER(SEARCH("Party Name-",'R.M Billets Reports'!D895)),TRIM(MID('R.M Billets Reports'!D895,SEARCH("-",'R.M Billets Reports'!D895)+1,200)),"")))))),IF(ROW()=2,"",A894))</f>
      </c>
      <c r="B895">
        <f>IF(OR('R.M Billets Reports'!A894="Date-",'R.M Billets Reports'!A894="Date:-"),'R.M Billets Reports'!B894,IF(ROW()=2,"",B894))</f>
      </c>
      <c r="C895">
        <f>IF('R.M Billets Reports'!A894="V.No.",'R.M Billets Reports'!B894,IF(ROW()=2,"",C894))</f>
      </c>
      <c r="D895">
        <f>IF('R.M Billets Reports'!A894&lt;&gt;"",'R.M Billets Reports'!A894,IF(ROW()=2,"",D894))</f>
      </c>
      <c r="E895">
        <f>IF('R.M Billets Reports'!B894="","",TRIM('R.M Billets Reports'!B894))</f>
      </c>
      <c r="F895">
        <f>'R.M Billets Reports'!C894</f>
      </c>
      <c r="G895">
        <f>'R.M Billets Reports'!D894</f>
      </c>
      <c r="H895">
        <f>'R.M Billets Reports'!E894</f>
      </c>
      <c r="I895">
        <f>'R.M Billets Reports'!F894</f>
      </c>
      <c r="J895">
        <f>'R.M Billets Reports'!G894</f>
      </c>
      <c r="K895">
        <f>'R.M Billets Reports'!H894</f>
      </c>
      <c r="L895">
        <f>IF('R.M Billets Reports'!I894="","",'R.M Billets Reports'!I894)</f>
      </c>
      <c r="M895">
        <f t="shared" si="26"/>
      </c>
      <c r="N895">
        <f>IF('R.M Billets Reports'!J894="","",'R.M Billets Reports'!J894)</f>
      </c>
      <c r="O895">
        <f t="shared" si="27"/>
      </c>
      <c r="P895">
        <f>IF('R.M Billets Reports'!A894="SIZE",'R.M Billets Reports'!B894,P894)</f>
      </c>
    </row>
    <row r="896" spans="1:16" x14ac:dyDescent="0.25">
      <c r="A896">
        <f>IF(OR('R.M Billets Reports'!A895="Date-",'R.M Billets Reports'!A895="Date:-"),IF(IF(IF(ISNUMBER(SEARCH("Party Name:-",'R.M Billets Reports'!D895)),TRIM('R.M Billets Reports'!F895),IF(ISNUMBER(SEARCH("Party Name-",'R.M Billets Reports'!D895)),TRIM(MID('R.M Billets Reports'!D895,SEARCH("-",'R.M Billets Reports'!D895)+1,200)),""))&lt;&gt;"",IF(ISNUMBER(SEARCH("Party Name:-",'R.M Billets Reports'!D895)),TRIM('R.M Billets Reports'!F895),IF(ISNUMBER(SEARCH("Party Name-",'R.M Billets Reports'!D895)),TRIM(MID('R.M Billets Reports'!D895,SEARCH("-",'R.M Billets Reports'!D895)+1,200)),"")),IF(ISNUMBER(SEARCH("Party Name:-",'R.M Billets Reports'!D896)),TRIM('R.M Billets Reports'!F896),IF(ISNUMBER(SEARCH("Party Name-",'R.M Billets Reports'!D896)),TRIM(MID('R.M Billets Reports'!D896,SEARCH("-",'R.M Billets Reports'!D896)+1,200)),"")))="VRKP ISPAT PVT LTD","VRKP",IF(IF(IF(ISNUMBER(SEARCH("Party Name:-",'R.M Billets Reports'!D895)),TRIM('R.M Billets Reports'!F895),IF(ISNUMBER(SEARCH("Party Name-",'R.M Billets Reports'!D895)),TRIM(MID('R.M Billets Reports'!D895,SEARCH("-",'R.M Billets Reports'!D895)+1,200)),""))&lt;&gt;"",IF(ISNUMBER(SEARCH("Party Name:-",'R.M Billets Reports'!D895)),TRIM('R.M Billets Reports'!F895),IF(ISNUMBER(SEARCH("Party Name-",'R.M Billets Reports'!D895)),TRIM(MID('R.M Billets Reports'!D895,SEARCH("-",'R.M Billets Reports'!D895)+1,200)),"")),IF(ISNUMBER(SEARCH("Party Name:-",'R.M Billets Reports'!D896)),TRIM('R.M Billets Reports'!F896),IF(ISNUMBER(SEARCH("Party Name-",'R.M Billets Reports'!D896)),TRIM(MID('R.M Billets Reports'!D896,SEARCH("-",'R.M Billets Reports'!D896)+1,200)),"")))="SHRI RADHE","SHREE RADHE",IF(IF(IF(ISNUMBER(SEARCH("Party Name:-",'R.M Billets Reports'!D895)),TRIM('R.M Billets Reports'!F895),IF(ISNUMBER(SEARCH("Party Name-",'R.M Billets Reports'!D895)),TRIM(MID('R.M Billets Reports'!D895,SEARCH("-",'R.M Billets Reports'!D895)+1,200)),""))&lt;&gt;"",IF(ISNUMBER(SEARCH("Party Name:-",'R.M Billets Reports'!D895)),TRIM('R.M Billets Reports'!F895),IF(ISNUMBER(SEARCH("Party Name-",'R.M Billets Reports'!D895)),TRIM(MID('R.M Billets Reports'!D895,SEARCH("-",'R.M Billets Reports'!D895)+1,200)),"")),IF(ISNUMBER(SEARCH("Party Name:-",'R.M Billets Reports'!D896)),TRIM('R.M Billets Reports'!F896),IF(ISNUMBER(SEARCH("Party Name-",'R.M Billets Reports'!D896)),TRIM(MID('R.M Billets Reports'!D896,SEARCH("-",'R.M Billets Reports'!D896)+1,200)),"")))="SHREE RADHE SHAKTI SPONGE AND POWER PVT. LTD.","SHREE RADHE",IF(IF(ISNUMBER(SEARCH("Party Name:-",'R.M Billets Reports'!D895)),TRIM('R.M Billets Reports'!F895),IF(ISNUMBER(SEARCH("Party Name-",'R.M Billets Reports'!D895)),TRIM(MID('R.M Billets Reports'!D895,SEARCH("-",'R.M Billets Reports'!D895)+1,200)),""))&lt;&gt;"",IF(ISNUMBER(SEARCH("Party Name:-",'R.M Billets Reports'!D895)),TRIM('R.M Billets Reports'!F895),IF(ISNUMBER(SEARCH("Party Name-",'R.M Billets Reports'!D895)),TRIM(MID('R.M Billets Reports'!D895,SEARCH("-",'R.M Billets Reports'!D895)+1,200)),"")),IF(ISNUMBER(SEARCH("Party Name:-",'R.M Billets Reports'!D896)),TRIM('R.M Billets Reports'!F896),IF(ISNUMBER(SEARCH("Party Name-",'R.M Billets Reports'!D896)),TRIM(MID('R.M Billets Reports'!D896,SEARCH("-",'R.M Billets Reports'!D896)+1,200)),"")))))),IF(ROW()=2,"",A895))</f>
      </c>
      <c r="B896">
        <f>IF(OR('R.M Billets Reports'!A895="Date-",'R.M Billets Reports'!A895="Date:-"),'R.M Billets Reports'!B895,IF(ROW()=2,"",B895))</f>
      </c>
      <c r="C896">
        <f>IF('R.M Billets Reports'!A895="V.No.",'R.M Billets Reports'!B895,IF(ROW()=2,"",C895))</f>
      </c>
      <c r="D896">
        <f>IF('R.M Billets Reports'!A895&lt;&gt;"",'R.M Billets Reports'!A895,IF(ROW()=2,"",D895))</f>
      </c>
      <c r="E896">
        <f>IF('R.M Billets Reports'!B895="","",TRIM('R.M Billets Reports'!B895))</f>
      </c>
      <c r="F896">
        <f>'R.M Billets Reports'!C895</f>
      </c>
      <c r="G896">
        <f>'R.M Billets Reports'!D895</f>
      </c>
      <c r="H896">
        <f>'R.M Billets Reports'!E895</f>
      </c>
      <c r="I896">
        <f>'R.M Billets Reports'!F895</f>
      </c>
      <c r="J896">
        <f>'R.M Billets Reports'!G895</f>
      </c>
      <c r="K896">
        <f>'R.M Billets Reports'!H895</f>
      </c>
      <c r="L896">
        <f>IF('R.M Billets Reports'!I895="","",'R.M Billets Reports'!I895)</f>
      </c>
      <c r="M896">
        <f t="shared" si="26"/>
      </c>
      <c r="N896">
        <f>IF('R.M Billets Reports'!J895="","",'R.M Billets Reports'!J895)</f>
      </c>
      <c r="O896">
        <f t="shared" si="27"/>
      </c>
      <c r="P896">
        <f>IF('R.M Billets Reports'!A895="SIZE",'R.M Billets Reports'!B895,P895)</f>
      </c>
    </row>
    <row r="897" spans="1:16" x14ac:dyDescent="0.25">
      <c r="A897">
        <f>IF(OR('R.M Billets Reports'!A896="Date-",'R.M Billets Reports'!A896="Date:-"),IF(IF(IF(ISNUMBER(SEARCH("Party Name:-",'R.M Billets Reports'!D896)),TRIM('R.M Billets Reports'!F896),IF(ISNUMBER(SEARCH("Party Name-",'R.M Billets Reports'!D896)),TRIM(MID('R.M Billets Reports'!D896,SEARCH("-",'R.M Billets Reports'!D896)+1,200)),""))&lt;&gt;"",IF(ISNUMBER(SEARCH("Party Name:-",'R.M Billets Reports'!D896)),TRIM('R.M Billets Reports'!F896),IF(ISNUMBER(SEARCH("Party Name-",'R.M Billets Reports'!D896)),TRIM(MID('R.M Billets Reports'!D896,SEARCH("-",'R.M Billets Reports'!D896)+1,200)),"")),IF(ISNUMBER(SEARCH("Party Name:-",'R.M Billets Reports'!D897)),TRIM('R.M Billets Reports'!F897),IF(ISNUMBER(SEARCH("Party Name-",'R.M Billets Reports'!D897)),TRIM(MID('R.M Billets Reports'!D897,SEARCH("-",'R.M Billets Reports'!D897)+1,200)),"")))="VRKP ISPAT PVT LTD","VRKP",IF(IF(IF(ISNUMBER(SEARCH("Party Name:-",'R.M Billets Reports'!D896)),TRIM('R.M Billets Reports'!F896),IF(ISNUMBER(SEARCH("Party Name-",'R.M Billets Reports'!D896)),TRIM(MID('R.M Billets Reports'!D896,SEARCH("-",'R.M Billets Reports'!D896)+1,200)),""))&lt;&gt;"",IF(ISNUMBER(SEARCH("Party Name:-",'R.M Billets Reports'!D896)),TRIM('R.M Billets Reports'!F896),IF(ISNUMBER(SEARCH("Party Name-",'R.M Billets Reports'!D896)),TRIM(MID('R.M Billets Reports'!D896,SEARCH("-",'R.M Billets Reports'!D896)+1,200)),"")),IF(ISNUMBER(SEARCH("Party Name:-",'R.M Billets Reports'!D897)),TRIM('R.M Billets Reports'!F897),IF(ISNUMBER(SEARCH("Party Name-",'R.M Billets Reports'!D897)),TRIM(MID('R.M Billets Reports'!D897,SEARCH("-",'R.M Billets Reports'!D897)+1,200)),"")))="SHRI RADHE","SHREE RADHE",IF(IF(IF(ISNUMBER(SEARCH("Party Name:-",'R.M Billets Reports'!D896)),TRIM('R.M Billets Reports'!F896),IF(ISNUMBER(SEARCH("Party Name-",'R.M Billets Reports'!D896)),TRIM(MID('R.M Billets Reports'!D896,SEARCH("-",'R.M Billets Reports'!D896)+1,200)),""))&lt;&gt;"",IF(ISNUMBER(SEARCH("Party Name:-",'R.M Billets Reports'!D896)),TRIM('R.M Billets Reports'!F896),IF(ISNUMBER(SEARCH("Party Name-",'R.M Billets Reports'!D896)),TRIM(MID('R.M Billets Reports'!D896,SEARCH("-",'R.M Billets Reports'!D896)+1,200)),"")),IF(ISNUMBER(SEARCH("Party Name:-",'R.M Billets Reports'!D897)),TRIM('R.M Billets Reports'!F897),IF(ISNUMBER(SEARCH("Party Name-",'R.M Billets Reports'!D897)),TRIM(MID('R.M Billets Reports'!D897,SEARCH("-",'R.M Billets Reports'!D897)+1,200)),"")))="SHREE RADHE SHAKTI SPONGE AND POWER PVT. LTD.","SHREE RADHE",IF(IF(ISNUMBER(SEARCH("Party Name:-",'R.M Billets Reports'!D896)),TRIM('R.M Billets Reports'!F896),IF(ISNUMBER(SEARCH("Party Name-",'R.M Billets Reports'!D896)),TRIM(MID('R.M Billets Reports'!D896,SEARCH("-",'R.M Billets Reports'!D896)+1,200)),""))&lt;&gt;"",IF(ISNUMBER(SEARCH("Party Name:-",'R.M Billets Reports'!D896)),TRIM('R.M Billets Reports'!F896),IF(ISNUMBER(SEARCH("Party Name-",'R.M Billets Reports'!D896)),TRIM(MID('R.M Billets Reports'!D896,SEARCH("-",'R.M Billets Reports'!D896)+1,200)),"")),IF(ISNUMBER(SEARCH("Party Name:-",'R.M Billets Reports'!D897)),TRIM('R.M Billets Reports'!F897),IF(ISNUMBER(SEARCH("Party Name-",'R.M Billets Reports'!D897)),TRIM(MID('R.M Billets Reports'!D897,SEARCH("-",'R.M Billets Reports'!D897)+1,200)),"")))))),IF(ROW()=2,"",A896))</f>
      </c>
      <c r="B897">
        <f>IF(OR('R.M Billets Reports'!A896="Date-",'R.M Billets Reports'!A896="Date:-"),'R.M Billets Reports'!B896,IF(ROW()=2,"",B896))</f>
      </c>
      <c r="C897">
        <f>IF('R.M Billets Reports'!A896="V.No.",'R.M Billets Reports'!B896,IF(ROW()=2,"",C896))</f>
      </c>
      <c r="D897">
        <f>IF('R.M Billets Reports'!A896&lt;&gt;"",'R.M Billets Reports'!A896,IF(ROW()=2,"",D896))</f>
      </c>
      <c r="E897">
        <f>IF('R.M Billets Reports'!B896="","",TRIM('R.M Billets Reports'!B896))</f>
      </c>
      <c r="F897">
        <f>'R.M Billets Reports'!C896</f>
      </c>
      <c r="G897">
        <f>'R.M Billets Reports'!D896</f>
      </c>
      <c r="H897">
        <f>'R.M Billets Reports'!E896</f>
      </c>
      <c r="I897">
        <f>'R.M Billets Reports'!F896</f>
      </c>
      <c r="J897">
        <f>'R.M Billets Reports'!G896</f>
      </c>
      <c r="K897">
        <f>'R.M Billets Reports'!H896</f>
      </c>
      <c r="L897">
        <f>IF('R.M Billets Reports'!I896="","",'R.M Billets Reports'!I896)</f>
      </c>
      <c r="M897">
        <f t="shared" si="26"/>
      </c>
      <c r="N897">
        <f>IF('R.M Billets Reports'!J896="","",'R.M Billets Reports'!J896)</f>
      </c>
      <c r="O897">
        <f t="shared" si="27"/>
      </c>
      <c r="P897">
        <f>IF('R.M Billets Reports'!A896="SIZE",'R.M Billets Reports'!B896,P896)</f>
      </c>
    </row>
    <row r="898" spans="1:16" x14ac:dyDescent="0.25">
      <c r="A898">
        <f>IF(OR('R.M Billets Reports'!A897="Date-",'R.M Billets Reports'!A897="Date:-"),IF(IF(IF(ISNUMBER(SEARCH("Party Name:-",'R.M Billets Reports'!D897)),TRIM('R.M Billets Reports'!F897),IF(ISNUMBER(SEARCH("Party Name-",'R.M Billets Reports'!D897)),TRIM(MID('R.M Billets Reports'!D897,SEARCH("-",'R.M Billets Reports'!D897)+1,200)),""))&lt;&gt;"",IF(ISNUMBER(SEARCH("Party Name:-",'R.M Billets Reports'!D897)),TRIM('R.M Billets Reports'!F897),IF(ISNUMBER(SEARCH("Party Name-",'R.M Billets Reports'!D897)),TRIM(MID('R.M Billets Reports'!D897,SEARCH("-",'R.M Billets Reports'!D897)+1,200)),"")),IF(ISNUMBER(SEARCH("Party Name:-",'R.M Billets Reports'!D898)),TRIM('R.M Billets Reports'!F898),IF(ISNUMBER(SEARCH("Party Name-",'R.M Billets Reports'!D898)),TRIM(MID('R.M Billets Reports'!D898,SEARCH("-",'R.M Billets Reports'!D898)+1,200)),"")))="VRKP ISPAT PVT LTD","VRKP",IF(IF(IF(ISNUMBER(SEARCH("Party Name:-",'R.M Billets Reports'!D897)),TRIM('R.M Billets Reports'!F897),IF(ISNUMBER(SEARCH("Party Name-",'R.M Billets Reports'!D897)),TRIM(MID('R.M Billets Reports'!D897,SEARCH("-",'R.M Billets Reports'!D897)+1,200)),""))&lt;&gt;"",IF(ISNUMBER(SEARCH("Party Name:-",'R.M Billets Reports'!D897)),TRIM('R.M Billets Reports'!F897),IF(ISNUMBER(SEARCH("Party Name-",'R.M Billets Reports'!D897)),TRIM(MID('R.M Billets Reports'!D897,SEARCH("-",'R.M Billets Reports'!D897)+1,200)),"")),IF(ISNUMBER(SEARCH("Party Name:-",'R.M Billets Reports'!D898)),TRIM('R.M Billets Reports'!F898),IF(ISNUMBER(SEARCH("Party Name-",'R.M Billets Reports'!D898)),TRIM(MID('R.M Billets Reports'!D898,SEARCH("-",'R.M Billets Reports'!D898)+1,200)),"")))="SHRI RADHE","SHREE RADHE",IF(IF(IF(ISNUMBER(SEARCH("Party Name:-",'R.M Billets Reports'!D897)),TRIM('R.M Billets Reports'!F897),IF(ISNUMBER(SEARCH("Party Name-",'R.M Billets Reports'!D897)),TRIM(MID('R.M Billets Reports'!D897,SEARCH("-",'R.M Billets Reports'!D897)+1,200)),""))&lt;&gt;"",IF(ISNUMBER(SEARCH("Party Name:-",'R.M Billets Reports'!D897)),TRIM('R.M Billets Reports'!F897),IF(ISNUMBER(SEARCH("Party Name-",'R.M Billets Reports'!D897)),TRIM(MID('R.M Billets Reports'!D897,SEARCH("-",'R.M Billets Reports'!D897)+1,200)),"")),IF(ISNUMBER(SEARCH("Party Name:-",'R.M Billets Reports'!D898)),TRIM('R.M Billets Reports'!F898),IF(ISNUMBER(SEARCH("Party Name-",'R.M Billets Reports'!D898)),TRIM(MID('R.M Billets Reports'!D898,SEARCH("-",'R.M Billets Reports'!D898)+1,200)),"")))="SHREE RADHE SHAKTI SPONGE AND POWER PVT. LTD.","SHREE RADHE",IF(IF(ISNUMBER(SEARCH("Party Name:-",'R.M Billets Reports'!D897)),TRIM('R.M Billets Reports'!F897),IF(ISNUMBER(SEARCH("Party Name-",'R.M Billets Reports'!D897)),TRIM(MID('R.M Billets Reports'!D897,SEARCH("-",'R.M Billets Reports'!D897)+1,200)),""))&lt;&gt;"",IF(ISNUMBER(SEARCH("Party Name:-",'R.M Billets Reports'!D897)),TRIM('R.M Billets Reports'!F897),IF(ISNUMBER(SEARCH("Party Name-",'R.M Billets Reports'!D897)),TRIM(MID('R.M Billets Reports'!D897,SEARCH("-",'R.M Billets Reports'!D897)+1,200)),"")),IF(ISNUMBER(SEARCH("Party Name:-",'R.M Billets Reports'!D898)),TRIM('R.M Billets Reports'!F898),IF(ISNUMBER(SEARCH("Party Name-",'R.M Billets Reports'!D898)),TRIM(MID('R.M Billets Reports'!D898,SEARCH("-",'R.M Billets Reports'!D898)+1,200)),"")))))),IF(ROW()=2,"",A897))</f>
      </c>
      <c r="B898">
        <f>IF(OR('R.M Billets Reports'!A897="Date-",'R.M Billets Reports'!A897="Date:-"),'R.M Billets Reports'!B897,IF(ROW()=2,"",B897))</f>
      </c>
      <c r="C898">
        <f>IF('R.M Billets Reports'!A897="V.No.",'R.M Billets Reports'!B897,IF(ROW()=2,"",C897))</f>
      </c>
      <c r="D898">
        <f>IF('R.M Billets Reports'!A897&lt;&gt;"",'R.M Billets Reports'!A897,IF(ROW()=2,"",D897))</f>
      </c>
      <c r="E898">
        <f>IF('R.M Billets Reports'!B897="","",TRIM('R.M Billets Reports'!B897))</f>
      </c>
      <c r="F898">
        <f>'R.M Billets Reports'!C897</f>
      </c>
      <c r="G898">
        <f>'R.M Billets Reports'!D897</f>
      </c>
      <c r="H898">
        <f>'R.M Billets Reports'!E897</f>
      </c>
      <c r="I898">
        <f>'R.M Billets Reports'!F897</f>
      </c>
      <c r="J898">
        <f>'R.M Billets Reports'!G897</f>
      </c>
      <c r="K898">
        <f>'R.M Billets Reports'!H897</f>
      </c>
      <c r="L898">
        <f>IF('R.M Billets Reports'!I897="","",'R.M Billets Reports'!I897)</f>
      </c>
      <c r="M898">
        <f t="shared" si="26"/>
      </c>
      <c r="N898">
        <f>IF('R.M Billets Reports'!J897="","",'R.M Billets Reports'!J897)</f>
      </c>
      <c r="O898">
        <f t="shared" si="27"/>
      </c>
      <c r="P898">
        <f>IF('R.M Billets Reports'!A897="SIZE",'R.M Billets Reports'!B897,P897)</f>
      </c>
    </row>
    <row r="899" spans="1:16" x14ac:dyDescent="0.25">
      <c r="A899">
        <f>IF(OR('R.M Billets Reports'!A898="Date-",'R.M Billets Reports'!A898="Date:-"),IF(IF(IF(ISNUMBER(SEARCH("Party Name:-",'R.M Billets Reports'!D898)),TRIM('R.M Billets Reports'!F898),IF(ISNUMBER(SEARCH("Party Name-",'R.M Billets Reports'!D898)),TRIM(MID('R.M Billets Reports'!D898,SEARCH("-",'R.M Billets Reports'!D898)+1,200)),""))&lt;&gt;"",IF(ISNUMBER(SEARCH("Party Name:-",'R.M Billets Reports'!D898)),TRIM('R.M Billets Reports'!F898),IF(ISNUMBER(SEARCH("Party Name-",'R.M Billets Reports'!D898)),TRIM(MID('R.M Billets Reports'!D898,SEARCH("-",'R.M Billets Reports'!D898)+1,200)),"")),IF(ISNUMBER(SEARCH("Party Name:-",'R.M Billets Reports'!D899)),TRIM('R.M Billets Reports'!F899),IF(ISNUMBER(SEARCH("Party Name-",'R.M Billets Reports'!D899)),TRIM(MID('R.M Billets Reports'!D899,SEARCH("-",'R.M Billets Reports'!D899)+1,200)),"")))="VRKP ISPAT PVT LTD","VRKP",IF(IF(IF(ISNUMBER(SEARCH("Party Name:-",'R.M Billets Reports'!D898)),TRIM('R.M Billets Reports'!F898),IF(ISNUMBER(SEARCH("Party Name-",'R.M Billets Reports'!D898)),TRIM(MID('R.M Billets Reports'!D898,SEARCH("-",'R.M Billets Reports'!D898)+1,200)),""))&lt;&gt;"",IF(ISNUMBER(SEARCH("Party Name:-",'R.M Billets Reports'!D898)),TRIM('R.M Billets Reports'!F898),IF(ISNUMBER(SEARCH("Party Name-",'R.M Billets Reports'!D898)),TRIM(MID('R.M Billets Reports'!D898,SEARCH("-",'R.M Billets Reports'!D898)+1,200)),"")),IF(ISNUMBER(SEARCH("Party Name:-",'R.M Billets Reports'!D899)),TRIM('R.M Billets Reports'!F899),IF(ISNUMBER(SEARCH("Party Name-",'R.M Billets Reports'!D899)),TRIM(MID('R.M Billets Reports'!D899,SEARCH("-",'R.M Billets Reports'!D899)+1,200)),"")))="SHRI RADHE","SHREE RADHE",IF(IF(IF(ISNUMBER(SEARCH("Party Name:-",'R.M Billets Reports'!D898)),TRIM('R.M Billets Reports'!F898),IF(ISNUMBER(SEARCH("Party Name-",'R.M Billets Reports'!D898)),TRIM(MID('R.M Billets Reports'!D898,SEARCH("-",'R.M Billets Reports'!D898)+1,200)),""))&lt;&gt;"",IF(ISNUMBER(SEARCH("Party Name:-",'R.M Billets Reports'!D898)),TRIM('R.M Billets Reports'!F898),IF(ISNUMBER(SEARCH("Party Name-",'R.M Billets Reports'!D898)),TRIM(MID('R.M Billets Reports'!D898,SEARCH("-",'R.M Billets Reports'!D898)+1,200)),"")),IF(ISNUMBER(SEARCH("Party Name:-",'R.M Billets Reports'!D899)),TRIM('R.M Billets Reports'!F899),IF(ISNUMBER(SEARCH("Party Name-",'R.M Billets Reports'!D899)),TRIM(MID('R.M Billets Reports'!D899,SEARCH("-",'R.M Billets Reports'!D899)+1,200)),"")))="SHREE RADHE SHAKTI SPONGE AND POWER PVT. LTD.","SHREE RADHE",IF(IF(ISNUMBER(SEARCH("Party Name:-",'R.M Billets Reports'!D898)),TRIM('R.M Billets Reports'!F898),IF(ISNUMBER(SEARCH("Party Name-",'R.M Billets Reports'!D898)),TRIM(MID('R.M Billets Reports'!D898,SEARCH("-",'R.M Billets Reports'!D898)+1,200)),""))&lt;&gt;"",IF(ISNUMBER(SEARCH("Party Name:-",'R.M Billets Reports'!D898)),TRIM('R.M Billets Reports'!F898),IF(ISNUMBER(SEARCH("Party Name-",'R.M Billets Reports'!D898)),TRIM(MID('R.M Billets Reports'!D898,SEARCH("-",'R.M Billets Reports'!D898)+1,200)),"")),IF(ISNUMBER(SEARCH("Party Name:-",'R.M Billets Reports'!D899)),TRIM('R.M Billets Reports'!F899),IF(ISNUMBER(SEARCH("Party Name-",'R.M Billets Reports'!D899)),TRIM(MID('R.M Billets Reports'!D899,SEARCH("-",'R.M Billets Reports'!D899)+1,200)),"")))))),IF(ROW()=2,"",A898))</f>
      </c>
      <c r="B899">
        <f>IF(OR('R.M Billets Reports'!A898="Date-",'R.M Billets Reports'!A898="Date:-"),'R.M Billets Reports'!B898,IF(ROW()=2,"",B898))</f>
      </c>
      <c r="C899">
        <f>IF('R.M Billets Reports'!A898="V.No.",'R.M Billets Reports'!B898,IF(ROW()=2,"",C898))</f>
      </c>
      <c r="D899">
        <f>IF('R.M Billets Reports'!A898&lt;&gt;"",'R.M Billets Reports'!A898,IF(ROW()=2,"",D898))</f>
      </c>
      <c r="E899">
        <f>IF('R.M Billets Reports'!B898="","",TRIM('R.M Billets Reports'!B898))</f>
      </c>
      <c r="F899">
        <f>'R.M Billets Reports'!C898</f>
      </c>
      <c r="G899">
        <f>'R.M Billets Reports'!D898</f>
      </c>
      <c r="H899">
        <f>'R.M Billets Reports'!E898</f>
      </c>
      <c r="I899">
        <f>'R.M Billets Reports'!F898</f>
      </c>
      <c r="J899">
        <f>'R.M Billets Reports'!G898</f>
      </c>
      <c r="K899">
        <f>'R.M Billets Reports'!H898</f>
      </c>
      <c r="L899">
        <f>IF('R.M Billets Reports'!I898="","",'R.M Billets Reports'!I898)</f>
      </c>
      <c r="M899">
        <f t="shared" ref="M899:M962" si="28">IF(L899&lt;&gt;"",L899,IF(D899=D898,M898,""))</f>
      </c>
      <c r="N899">
        <f>IF('R.M Billets Reports'!J898="","",'R.M Billets Reports'!J898)</f>
      </c>
      <c r="O899">
        <f t="shared" ref="O899:O962" si="29">IF(N899&lt;&gt;"",N899,IF(D899=D898,O898,""))</f>
      </c>
      <c r="P899">
        <f>IF('R.M Billets Reports'!A898="SIZE",'R.M Billets Reports'!B898,P898)</f>
      </c>
    </row>
    <row r="900" spans="1:16" x14ac:dyDescent="0.25">
      <c r="A900">
        <f>IF(OR('R.M Billets Reports'!A899="Date-",'R.M Billets Reports'!A899="Date:-"),IF(IF(IF(ISNUMBER(SEARCH("Party Name:-",'R.M Billets Reports'!D899)),TRIM('R.M Billets Reports'!F899),IF(ISNUMBER(SEARCH("Party Name-",'R.M Billets Reports'!D899)),TRIM(MID('R.M Billets Reports'!D899,SEARCH("-",'R.M Billets Reports'!D899)+1,200)),""))&lt;&gt;"",IF(ISNUMBER(SEARCH("Party Name:-",'R.M Billets Reports'!D899)),TRIM('R.M Billets Reports'!F899),IF(ISNUMBER(SEARCH("Party Name-",'R.M Billets Reports'!D899)),TRIM(MID('R.M Billets Reports'!D899,SEARCH("-",'R.M Billets Reports'!D899)+1,200)),"")),IF(ISNUMBER(SEARCH("Party Name:-",'R.M Billets Reports'!D900)),TRIM('R.M Billets Reports'!F900),IF(ISNUMBER(SEARCH("Party Name-",'R.M Billets Reports'!D900)),TRIM(MID('R.M Billets Reports'!D900,SEARCH("-",'R.M Billets Reports'!D900)+1,200)),"")))="VRKP ISPAT PVT LTD","VRKP",IF(IF(IF(ISNUMBER(SEARCH("Party Name:-",'R.M Billets Reports'!D899)),TRIM('R.M Billets Reports'!F899),IF(ISNUMBER(SEARCH("Party Name-",'R.M Billets Reports'!D899)),TRIM(MID('R.M Billets Reports'!D899,SEARCH("-",'R.M Billets Reports'!D899)+1,200)),""))&lt;&gt;"",IF(ISNUMBER(SEARCH("Party Name:-",'R.M Billets Reports'!D899)),TRIM('R.M Billets Reports'!F899),IF(ISNUMBER(SEARCH("Party Name-",'R.M Billets Reports'!D899)),TRIM(MID('R.M Billets Reports'!D899,SEARCH("-",'R.M Billets Reports'!D899)+1,200)),"")),IF(ISNUMBER(SEARCH("Party Name:-",'R.M Billets Reports'!D900)),TRIM('R.M Billets Reports'!F900),IF(ISNUMBER(SEARCH("Party Name-",'R.M Billets Reports'!D900)),TRIM(MID('R.M Billets Reports'!D900,SEARCH("-",'R.M Billets Reports'!D900)+1,200)),"")))="SHRI RADHE","SHREE RADHE",IF(IF(IF(ISNUMBER(SEARCH("Party Name:-",'R.M Billets Reports'!D899)),TRIM('R.M Billets Reports'!F899),IF(ISNUMBER(SEARCH("Party Name-",'R.M Billets Reports'!D899)),TRIM(MID('R.M Billets Reports'!D899,SEARCH("-",'R.M Billets Reports'!D899)+1,200)),""))&lt;&gt;"",IF(ISNUMBER(SEARCH("Party Name:-",'R.M Billets Reports'!D899)),TRIM('R.M Billets Reports'!F899),IF(ISNUMBER(SEARCH("Party Name-",'R.M Billets Reports'!D899)),TRIM(MID('R.M Billets Reports'!D899,SEARCH("-",'R.M Billets Reports'!D899)+1,200)),"")),IF(ISNUMBER(SEARCH("Party Name:-",'R.M Billets Reports'!D900)),TRIM('R.M Billets Reports'!F900),IF(ISNUMBER(SEARCH("Party Name-",'R.M Billets Reports'!D900)),TRIM(MID('R.M Billets Reports'!D900,SEARCH("-",'R.M Billets Reports'!D900)+1,200)),"")))="SHREE RADHE SHAKTI SPONGE AND POWER PVT. LTD.","SHREE RADHE",IF(IF(ISNUMBER(SEARCH("Party Name:-",'R.M Billets Reports'!D899)),TRIM('R.M Billets Reports'!F899),IF(ISNUMBER(SEARCH("Party Name-",'R.M Billets Reports'!D899)),TRIM(MID('R.M Billets Reports'!D899,SEARCH("-",'R.M Billets Reports'!D899)+1,200)),""))&lt;&gt;"",IF(ISNUMBER(SEARCH("Party Name:-",'R.M Billets Reports'!D899)),TRIM('R.M Billets Reports'!F899),IF(ISNUMBER(SEARCH("Party Name-",'R.M Billets Reports'!D899)),TRIM(MID('R.M Billets Reports'!D899,SEARCH("-",'R.M Billets Reports'!D899)+1,200)),"")),IF(ISNUMBER(SEARCH("Party Name:-",'R.M Billets Reports'!D900)),TRIM('R.M Billets Reports'!F900),IF(ISNUMBER(SEARCH("Party Name-",'R.M Billets Reports'!D900)),TRIM(MID('R.M Billets Reports'!D900,SEARCH("-",'R.M Billets Reports'!D900)+1,200)),"")))))),IF(ROW()=2,"",A899))</f>
      </c>
      <c r="B900">
        <f>IF(OR('R.M Billets Reports'!A899="Date-",'R.M Billets Reports'!A899="Date:-"),'R.M Billets Reports'!B899,IF(ROW()=2,"",B899))</f>
      </c>
      <c r="C900">
        <f>IF('R.M Billets Reports'!A899="V.No.",'R.M Billets Reports'!B899,IF(ROW()=2,"",C899))</f>
      </c>
      <c r="D900">
        <f>IF('R.M Billets Reports'!A899&lt;&gt;"",'R.M Billets Reports'!A899,IF(ROW()=2,"",D899))</f>
      </c>
      <c r="E900">
        <f>IF('R.M Billets Reports'!B899="","",TRIM('R.M Billets Reports'!B899))</f>
      </c>
      <c r="F900">
        <f>'R.M Billets Reports'!C899</f>
      </c>
      <c r="G900">
        <f>'R.M Billets Reports'!D899</f>
      </c>
      <c r="H900">
        <f>'R.M Billets Reports'!E899</f>
      </c>
      <c r="I900">
        <f>'R.M Billets Reports'!F899</f>
      </c>
      <c r="J900">
        <f>'R.M Billets Reports'!G899</f>
      </c>
      <c r="K900">
        <f>'R.M Billets Reports'!H899</f>
      </c>
      <c r="L900">
        <f>IF('R.M Billets Reports'!I899="","",'R.M Billets Reports'!I899)</f>
      </c>
      <c r="M900">
        <f t="shared" si="28"/>
      </c>
      <c r="N900">
        <f>IF('R.M Billets Reports'!J899="","",'R.M Billets Reports'!J899)</f>
      </c>
      <c r="O900">
        <f t="shared" si="29"/>
      </c>
      <c r="P900">
        <f>IF('R.M Billets Reports'!A899="SIZE",'R.M Billets Reports'!B899,P899)</f>
      </c>
    </row>
    <row r="901" spans="1:16" x14ac:dyDescent="0.25">
      <c r="A901">
        <f>IF(OR('R.M Billets Reports'!A900="Date-",'R.M Billets Reports'!A900="Date:-"),IF(IF(IF(ISNUMBER(SEARCH("Party Name:-",'R.M Billets Reports'!D900)),TRIM('R.M Billets Reports'!F900),IF(ISNUMBER(SEARCH("Party Name-",'R.M Billets Reports'!D900)),TRIM(MID('R.M Billets Reports'!D900,SEARCH("-",'R.M Billets Reports'!D900)+1,200)),""))&lt;&gt;"",IF(ISNUMBER(SEARCH("Party Name:-",'R.M Billets Reports'!D900)),TRIM('R.M Billets Reports'!F900),IF(ISNUMBER(SEARCH("Party Name-",'R.M Billets Reports'!D900)),TRIM(MID('R.M Billets Reports'!D900,SEARCH("-",'R.M Billets Reports'!D900)+1,200)),"")),IF(ISNUMBER(SEARCH("Party Name:-",'R.M Billets Reports'!D901)),TRIM('R.M Billets Reports'!F901),IF(ISNUMBER(SEARCH("Party Name-",'R.M Billets Reports'!D901)),TRIM(MID('R.M Billets Reports'!D901,SEARCH("-",'R.M Billets Reports'!D901)+1,200)),"")))="VRKP ISPAT PVT LTD","VRKP",IF(IF(IF(ISNUMBER(SEARCH("Party Name:-",'R.M Billets Reports'!D900)),TRIM('R.M Billets Reports'!F900),IF(ISNUMBER(SEARCH("Party Name-",'R.M Billets Reports'!D900)),TRIM(MID('R.M Billets Reports'!D900,SEARCH("-",'R.M Billets Reports'!D900)+1,200)),""))&lt;&gt;"",IF(ISNUMBER(SEARCH("Party Name:-",'R.M Billets Reports'!D900)),TRIM('R.M Billets Reports'!F900),IF(ISNUMBER(SEARCH("Party Name-",'R.M Billets Reports'!D900)),TRIM(MID('R.M Billets Reports'!D900,SEARCH("-",'R.M Billets Reports'!D900)+1,200)),"")),IF(ISNUMBER(SEARCH("Party Name:-",'R.M Billets Reports'!D901)),TRIM('R.M Billets Reports'!F901),IF(ISNUMBER(SEARCH("Party Name-",'R.M Billets Reports'!D901)),TRIM(MID('R.M Billets Reports'!D901,SEARCH("-",'R.M Billets Reports'!D901)+1,200)),"")))="SHRI RADHE","SHREE RADHE",IF(IF(IF(ISNUMBER(SEARCH("Party Name:-",'R.M Billets Reports'!D900)),TRIM('R.M Billets Reports'!F900),IF(ISNUMBER(SEARCH("Party Name-",'R.M Billets Reports'!D900)),TRIM(MID('R.M Billets Reports'!D900,SEARCH("-",'R.M Billets Reports'!D900)+1,200)),""))&lt;&gt;"",IF(ISNUMBER(SEARCH("Party Name:-",'R.M Billets Reports'!D900)),TRIM('R.M Billets Reports'!F900),IF(ISNUMBER(SEARCH("Party Name-",'R.M Billets Reports'!D900)),TRIM(MID('R.M Billets Reports'!D900,SEARCH("-",'R.M Billets Reports'!D900)+1,200)),"")),IF(ISNUMBER(SEARCH("Party Name:-",'R.M Billets Reports'!D901)),TRIM('R.M Billets Reports'!F901),IF(ISNUMBER(SEARCH("Party Name-",'R.M Billets Reports'!D901)),TRIM(MID('R.M Billets Reports'!D901,SEARCH("-",'R.M Billets Reports'!D901)+1,200)),"")))="SHREE RADHE SHAKTI SPONGE AND POWER PVT. LTD.","SHREE RADHE",IF(IF(ISNUMBER(SEARCH("Party Name:-",'R.M Billets Reports'!D900)),TRIM('R.M Billets Reports'!F900),IF(ISNUMBER(SEARCH("Party Name-",'R.M Billets Reports'!D900)),TRIM(MID('R.M Billets Reports'!D900,SEARCH("-",'R.M Billets Reports'!D900)+1,200)),""))&lt;&gt;"",IF(ISNUMBER(SEARCH("Party Name:-",'R.M Billets Reports'!D900)),TRIM('R.M Billets Reports'!F900),IF(ISNUMBER(SEARCH("Party Name-",'R.M Billets Reports'!D900)),TRIM(MID('R.M Billets Reports'!D900,SEARCH("-",'R.M Billets Reports'!D900)+1,200)),"")),IF(ISNUMBER(SEARCH("Party Name:-",'R.M Billets Reports'!D901)),TRIM('R.M Billets Reports'!F901),IF(ISNUMBER(SEARCH("Party Name-",'R.M Billets Reports'!D901)),TRIM(MID('R.M Billets Reports'!D901,SEARCH("-",'R.M Billets Reports'!D901)+1,200)),"")))))),IF(ROW()=2,"",A900))</f>
      </c>
      <c r="B901">
        <f>IF(OR('R.M Billets Reports'!A900="Date-",'R.M Billets Reports'!A900="Date:-"),'R.M Billets Reports'!B900,IF(ROW()=2,"",B900))</f>
      </c>
      <c r="C901">
        <f>IF('R.M Billets Reports'!A900="V.No.",'R.M Billets Reports'!B900,IF(ROW()=2,"",C900))</f>
      </c>
      <c r="D901">
        <f>IF('R.M Billets Reports'!A900&lt;&gt;"",'R.M Billets Reports'!A900,IF(ROW()=2,"",D900))</f>
      </c>
      <c r="E901">
        <f>IF('R.M Billets Reports'!B900="","",TRIM('R.M Billets Reports'!B900))</f>
      </c>
      <c r="F901">
        <f>'R.M Billets Reports'!C900</f>
      </c>
      <c r="G901">
        <f>'R.M Billets Reports'!D900</f>
      </c>
      <c r="H901">
        <f>'R.M Billets Reports'!E900</f>
      </c>
      <c r="I901">
        <f>'R.M Billets Reports'!F900</f>
      </c>
      <c r="J901">
        <f>'R.M Billets Reports'!G900</f>
      </c>
      <c r="K901">
        <f>'R.M Billets Reports'!H900</f>
      </c>
      <c r="L901">
        <f>IF('R.M Billets Reports'!I900="","",'R.M Billets Reports'!I900)</f>
      </c>
      <c r="M901">
        <f t="shared" si="28"/>
      </c>
      <c r="N901">
        <f>IF('R.M Billets Reports'!J900="","",'R.M Billets Reports'!J900)</f>
      </c>
      <c r="O901">
        <f t="shared" si="29"/>
      </c>
      <c r="P901">
        <f>IF('R.M Billets Reports'!A900="SIZE",'R.M Billets Reports'!B900,P900)</f>
      </c>
    </row>
    <row r="902" spans="1:16" x14ac:dyDescent="0.25">
      <c r="A902">
        <f>IF(OR('R.M Billets Reports'!A901="Date-",'R.M Billets Reports'!A901="Date:-"),IF(IF(IF(ISNUMBER(SEARCH("Party Name:-",'R.M Billets Reports'!D901)),TRIM('R.M Billets Reports'!F901),IF(ISNUMBER(SEARCH("Party Name-",'R.M Billets Reports'!D901)),TRIM(MID('R.M Billets Reports'!D901,SEARCH("-",'R.M Billets Reports'!D901)+1,200)),""))&lt;&gt;"",IF(ISNUMBER(SEARCH("Party Name:-",'R.M Billets Reports'!D901)),TRIM('R.M Billets Reports'!F901),IF(ISNUMBER(SEARCH("Party Name-",'R.M Billets Reports'!D901)),TRIM(MID('R.M Billets Reports'!D901,SEARCH("-",'R.M Billets Reports'!D901)+1,200)),"")),IF(ISNUMBER(SEARCH("Party Name:-",'R.M Billets Reports'!D902)),TRIM('R.M Billets Reports'!F902),IF(ISNUMBER(SEARCH("Party Name-",'R.M Billets Reports'!D902)),TRIM(MID('R.M Billets Reports'!D902,SEARCH("-",'R.M Billets Reports'!D902)+1,200)),"")))="VRKP ISPAT PVT LTD","VRKP",IF(IF(IF(ISNUMBER(SEARCH("Party Name:-",'R.M Billets Reports'!D901)),TRIM('R.M Billets Reports'!F901),IF(ISNUMBER(SEARCH("Party Name-",'R.M Billets Reports'!D901)),TRIM(MID('R.M Billets Reports'!D901,SEARCH("-",'R.M Billets Reports'!D901)+1,200)),""))&lt;&gt;"",IF(ISNUMBER(SEARCH("Party Name:-",'R.M Billets Reports'!D901)),TRIM('R.M Billets Reports'!F901),IF(ISNUMBER(SEARCH("Party Name-",'R.M Billets Reports'!D901)),TRIM(MID('R.M Billets Reports'!D901,SEARCH("-",'R.M Billets Reports'!D901)+1,200)),"")),IF(ISNUMBER(SEARCH("Party Name:-",'R.M Billets Reports'!D902)),TRIM('R.M Billets Reports'!F902),IF(ISNUMBER(SEARCH("Party Name-",'R.M Billets Reports'!D902)),TRIM(MID('R.M Billets Reports'!D902,SEARCH("-",'R.M Billets Reports'!D902)+1,200)),"")))="SHRI RADHE","SHREE RADHE",IF(IF(IF(ISNUMBER(SEARCH("Party Name:-",'R.M Billets Reports'!D901)),TRIM('R.M Billets Reports'!F901),IF(ISNUMBER(SEARCH("Party Name-",'R.M Billets Reports'!D901)),TRIM(MID('R.M Billets Reports'!D901,SEARCH("-",'R.M Billets Reports'!D901)+1,200)),""))&lt;&gt;"",IF(ISNUMBER(SEARCH("Party Name:-",'R.M Billets Reports'!D901)),TRIM('R.M Billets Reports'!F901),IF(ISNUMBER(SEARCH("Party Name-",'R.M Billets Reports'!D901)),TRIM(MID('R.M Billets Reports'!D901,SEARCH("-",'R.M Billets Reports'!D901)+1,200)),"")),IF(ISNUMBER(SEARCH("Party Name:-",'R.M Billets Reports'!D902)),TRIM('R.M Billets Reports'!F902),IF(ISNUMBER(SEARCH("Party Name-",'R.M Billets Reports'!D902)),TRIM(MID('R.M Billets Reports'!D902,SEARCH("-",'R.M Billets Reports'!D902)+1,200)),"")))="SHREE RADHE SHAKTI SPONGE AND POWER PVT. LTD.","SHREE RADHE",IF(IF(ISNUMBER(SEARCH("Party Name:-",'R.M Billets Reports'!D901)),TRIM('R.M Billets Reports'!F901),IF(ISNUMBER(SEARCH("Party Name-",'R.M Billets Reports'!D901)),TRIM(MID('R.M Billets Reports'!D901,SEARCH("-",'R.M Billets Reports'!D901)+1,200)),""))&lt;&gt;"",IF(ISNUMBER(SEARCH("Party Name:-",'R.M Billets Reports'!D901)),TRIM('R.M Billets Reports'!F901),IF(ISNUMBER(SEARCH("Party Name-",'R.M Billets Reports'!D901)),TRIM(MID('R.M Billets Reports'!D901,SEARCH("-",'R.M Billets Reports'!D901)+1,200)),"")),IF(ISNUMBER(SEARCH("Party Name:-",'R.M Billets Reports'!D902)),TRIM('R.M Billets Reports'!F902),IF(ISNUMBER(SEARCH("Party Name-",'R.M Billets Reports'!D902)),TRIM(MID('R.M Billets Reports'!D902,SEARCH("-",'R.M Billets Reports'!D902)+1,200)),"")))))),IF(ROW()=2,"",A901))</f>
      </c>
      <c r="B902">
        <f>IF(OR('R.M Billets Reports'!A901="Date-",'R.M Billets Reports'!A901="Date:-"),'R.M Billets Reports'!B901,IF(ROW()=2,"",B901))</f>
      </c>
      <c r="C902">
        <f>IF('R.M Billets Reports'!A901="V.No.",'R.M Billets Reports'!B901,IF(ROW()=2,"",C901))</f>
      </c>
      <c r="D902">
        <f>IF('R.M Billets Reports'!A901&lt;&gt;"",'R.M Billets Reports'!A901,IF(ROW()=2,"",D901))</f>
      </c>
      <c r="E902">
        <f>IF('R.M Billets Reports'!B901="","",TRIM('R.M Billets Reports'!B901))</f>
      </c>
      <c r="F902">
        <f>'R.M Billets Reports'!C901</f>
      </c>
      <c r="G902">
        <f>'R.M Billets Reports'!D901</f>
      </c>
      <c r="H902">
        <f>'R.M Billets Reports'!E901</f>
      </c>
      <c r="I902">
        <f>'R.M Billets Reports'!F901</f>
      </c>
      <c r="J902">
        <f>'R.M Billets Reports'!G901</f>
      </c>
      <c r="K902">
        <f>'R.M Billets Reports'!H901</f>
      </c>
      <c r="L902">
        <f>IF('R.M Billets Reports'!I901="","",'R.M Billets Reports'!I901)</f>
      </c>
      <c r="M902">
        <f t="shared" si="28"/>
      </c>
      <c r="N902">
        <f>IF('R.M Billets Reports'!J901="","",'R.M Billets Reports'!J901)</f>
      </c>
      <c r="O902">
        <f t="shared" si="29"/>
      </c>
      <c r="P902">
        <f>IF('R.M Billets Reports'!A901="SIZE",'R.M Billets Reports'!B901,P901)</f>
      </c>
    </row>
    <row r="903" spans="1:16" x14ac:dyDescent="0.25">
      <c r="A903">
        <f>IF(OR('R.M Billets Reports'!A902="Date-",'R.M Billets Reports'!A902="Date:-"),IF(IF(IF(ISNUMBER(SEARCH("Party Name:-",'R.M Billets Reports'!D902)),TRIM('R.M Billets Reports'!F902),IF(ISNUMBER(SEARCH("Party Name-",'R.M Billets Reports'!D902)),TRIM(MID('R.M Billets Reports'!D902,SEARCH("-",'R.M Billets Reports'!D902)+1,200)),""))&lt;&gt;"",IF(ISNUMBER(SEARCH("Party Name:-",'R.M Billets Reports'!D902)),TRIM('R.M Billets Reports'!F902),IF(ISNUMBER(SEARCH("Party Name-",'R.M Billets Reports'!D902)),TRIM(MID('R.M Billets Reports'!D902,SEARCH("-",'R.M Billets Reports'!D902)+1,200)),"")),IF(ISNUMBER(SEARCH("Party Name:-",'R.M Billets Reports'!D903)),TRIM('R.M Billets Reports'!F903),IF(ISNUMBER(SEARCH("Party Name-",'R.M Billets Reports'!D903)),TRIM(MID('R.M Billets Reports'!D903,SEARCH("-",'R.M Billets Reports'!D903)+1,200)),"")))="VRKP ISPAT PVT LTD","VRKP",IF(IF(IF(ISNUMBER(SEARCH("Party Name:-",'R.M Billets Reports'!D902)),TRIM('R.M Billets Reports'!F902),IF(ISNUMBER(SEARCH("Party Name-",'R.M Billets Reports'!D902)),TRIM(MID('R.M Billets Reports'!D902,SEARCH("-",'R.M Billets Reports'!D902)+1,200)),""))&lt;&gt;"",IF(ISNUMBER(SEARCH("Party Name:-",'R.M Billets Reports'!D902)),TRIM('R.M Billets Reports'!F902),IF(ISNUMBER(SEARCH("Party Name-",'R.M Billets Reports'!D902)),TRIM(MID('R.M Billets Reports'!D902,SEARCH("-",'R.M Billets Reports'!D902)+1,200)),"")),IF(ISNUMBER(SEARCH("Party Name:-",'R.M Billets Reports'!D903)),TRIM('R.M Billets Reports'!F903),IF(ISNUMBER(SEARCH("Party Name-",'R.M Billets Reports'!D903)),TRIM(MID('R.M Billets Reports'!D903,SEARCH("-",'R.M Billets Reports'!D903)+1,200)),"")))="SHRI RADHE","SHREE RADHE",IF(IF(IF(ISNUMBER(SEARCH("Party Name:-",'R.M Billets Reports'!D902)),TRIM('R.M Billets Reports'!F902),IF(ISNUMBER(SEARCH("Party Name-",'R.M Billets Reports'!D902)),TRIM(MID('R.M Billets Reports'!D902,SEARCH("-",'R.M Billets Reports'!D902)+1,200)),""))&lt;&gt;"",IF(ISNUMBER(SEARCH("Party Name:-",'R.M Billets Reports'!D902)),TRIM('R.M Billets Reports'!F902),IF(ISNUMBER(SEARCH("Party Name-",'R.M Billets Reports'!D902)),TRIM(MID('R.M Billets Reports'!D902,SEARCH("-",'R.M Billets Reports'!D902)+1,200)),"")),IF(ISNUMBER(SEARCH("Party Name:-",'R.M Billets Reports'!D903)),TRIM('R.M Billets Reports'!F903),IF(ISNUMBER(SEARCH("Party Name-",'R.M Billets Reports'!D903)),TRIM(MID('R.M Billets Reports'!D903,SEARCH("-",'R.M Billets Reports'!D903)+1,200)),"")))="SHREE RADHE SHAKTI SPONGE AND POWER PVT. LTD.","SHREE RADHE",IF(IF(ISNUMBER(SEARCH("Party Name:-",'R.M Billets Reports'!D902)),TRIM('R.M Billets Reports'!F902),IF(ISNUMBER(SEARCH("Party Name-",'R.M Billets Reports'!D902)),TRIM(MID('R.M Billets Reports'!D902,SEARCH("-",'R.M Billets Reports'!D902)+1,200)),""))&lt;&gt;"",IF(ISNUMBER(SEARCH("Party Name:-",'R.M Billets Reports'!D902)),TRIM('R.M Billets Reports'!F902),IF(ISNUMBER(SEARCH("Party Name-",'R.M Billets Reports'!D902)),TRIM(MID('R.M Billets Reports'!D902,SEARCH("-",'R.M Billets Reports'!D902)+1,200)),"")),IF(ISNUMBER(SEARCH("Party Name:-",'R.M Billets Reports'!D903)),TRIM('R.M Billets Reports'!F903),IF(ISNUMBER(SEARCH("Party Name-",'R.M Billets Reports'!D903)),TRIM(MID('R.M Billets Reports'!D903,SEARCH("-",'R.M Billets Reports'!D903)+1,200)),"")))))),IF(ROW()=2,"",A902))</f>
      </c>
      <c r="B903">
        <f>IF(OR('R.M Billets Reports'!A902="Date-",'R.M Billets Reports'!A902="Date:-"),'R.M Billets Reports'!B902,IF(ROW()=2,"",B902))</f>
      </c>
      <c r="C903">
        <f>IF('R.M Billets Reports'!A902="V.No.",'R.M Billets Reports'!B902,IF(ROW()=2,"",C902))</f>
      </c>
      <c r="D903">
        <f>IF('R.M Billets Reports'!A902&lt;&gt;"",'R.M Billets Reports'!A902,IF(ROW()=2,"",D902))</f>
      </c>
      <c r="E903">
        <f>IF('R.M Billets Reports'!B902="","",TRIM('R.M Billets Reports'!B902))</f>
      </c>
      <c r="F903">
        <f>'R.M Billets Reports'!C902</f>
      </c>
      <c r="G903">
        <f>'R.M Billets Reports'!D902</f>
      </c>
      <c r="H903">
        <f>'R.M Billets Reports'!E902</f>
      </c>
      <c r="I903">
        <f>'R.M Billets Reports'!F902</f>
      </c>
      <c r="J903">
        <f>'R.M Billets Reports'!G902</f>
      </c>
      <c r="K903">
        <f>'R.M Billets Reports'!H902</f>
      </c>
      <c r="L903">
        <f>IF('R.M Billets Reports'!I902="","",'R.M Billets Reports'!I902)</f>
      </c>
      <c r="M903">
        <f t="shared" si="28"/>
      </c>
      <c r="N903">
        <f>IF('R.M Billets Reports'!J902="","",'R.M Billets Reports'!J902)</f>
      </c>
      <c r="O903">
        <f t="shared" si="29"/>
      </c>
      <c r="P903">
        <f>IF('R.M Billets Reports'!A902="SIZE",'R.M Billets Reports'!B902,P902)</f>
      </c>
    </row>
    <row r="904" spans="1:16" x14ac:dyDescent="0.25">
      <c r="A904">
        <f>IF(OR('R.M Billets Reports'!A903="Date-",'R.M Billets Reports'!A903="Date:-"),IF(IF(IF(ISNUMBER(SEARCH("Party Name:-",'R.M Billets Reports'!D903)),TRIM('R.M Billets Reports'!F903),IF(ISNUMBER(SEARCH("Party Name-",'R.M Billets Reports'!D903)),TRIM(MID('R.M Billets Reports'!D903,SEARCH("-",'R.M Billets Reports'!D903)+1,200)),""))&lt;&gt;"",IF(ISNUMBER(SEARCH("Party Name:-",'R.M Billets Reports'!D903)),TRIM('R.M Billets Reports'!F903),IF(ISNUMBER(SEARCH("Party Name-",'R.M Billets Reports'!D903)),TRIM(MID('R.M Billets Reports'!D903,SEARCH("-",'R.M Billets Reports'!D903)+1,200)),"")),IF(ISNUMBER(SEARCH("Party Name:-",'R.M Billets Reports'!D904)),TRIM('R.M Billets Reports'!F904),IF(ISNUMBER(SEARCH("Party Name-",'R.M Billets Reports'!D904)),TRIM(MID('R.M Billets Reports'!D904,SEARCH("-",'R.M Billets Reports'!D904)+1,200)),"")))="VRKP ISPAT PVT LTD","VRKP",IF(IF(IF(ISNUMBER(SEARCH("Party Name:-",'R.M Billets Reports'!D903)),TRIM('R.M Billets Reports'!F903),IF(ISNUMBER(SEARCH("Party Name-",'R.M Billets Reports'!D903)),TRIM(MID('R.M Billets Reports'!D903,SEARCH("-",'R.M Billets Reports'!D903)+1,200)),""))&lt;&gt;"",IF(ISNUMBER(SEARCH("Party Name:-",'R.M Billets Reports'!D903)),TRIM('R.M Billets Reports'!F903),IF(ISNUMBER(SEARCH("Party Name-",'R.M Billets Reports'!D903)),TRIM(MID('R.M Billets Reports'!D903,SEARCH("-",'R.M Billets Reports'!D903)+1,200)),"")),IF(ISNUMBER(SEARCH("Party Name:-",'R.M Billets Reports'!D904)),TRIM('R.M Billets Reports'!F904),IF(ISNUMBER(SEARCH("Party Name-",'R.M Billets Reports'!D904)),TRIM(MID('R.M Billets Reports'!D904,SEARCH("-",'R.M Billets Reports'!D904)+1,200)),"")))="SHRI RADHE","SHREE RADHE",IF(IF(IF(ISNUMBER(SEARCH("Party Name:-",'R.M Billets Reports'!D903)),TRIM('R.M Billets Reports'!F903),IF(ISNUMBER(SEARCH("Party Name-",'R.M Billets Reports'!D903)),TRIM(MID('R.M Billets Reports'!D903,SEARCH("-",'R.M Billets Reports'!D903)+1,200)),""))&lt;&gt;"",IF(ISNUMBER(SEARCH("Party Name:-",'R.M Billets Reports'!D903)),TRIM('R.M Billets Reports'!F903),IF(ISNUMBER(SEARCH("Party Name-",'R.M Billets Reports'!D903)),TRIM(MID('R.M Billets Reports'!D903,SEARCH("-",'R.M Billets Reports'!D903)+1,200)),"")),IF(ISNUMBER(SEARCH("Party Name:-",'R.M Billets Reports'!D904)),TRIM('R.M Billets Reports'!F904),IF(ISNUMBER(SEARCH("Party Name-",'R.M Billets Reports'!D904)),TRIM(MID('R.M Billets Reports'!D904,SEARCH("-",'R.M Billets Reports'!D904)+1,200)),"")))="SHREE RADHE SHAKTI SPONGE AND POWER PVT. LTD.","SHREE RADHE",IF(IF(ISNUMBER(SEARCH("Party Name:-",'R.M Billets Reports'!D903)),TRIM('R.M Billets Reports'!F903),IF(ISNUMBER(SEARCH("Party Name-",'R.M Billets Reports'!D903)),TRIM(MID('R.M Billets Reports'!D903,SEARCH("-",'R.M Billets Reports'!D903)+1,200)),""))&lt;&gt;"",IF(ISNUMBER(SEARCH("Party Name:-",'R.M Billets Reports'!D903)),TRIM('R.M Billets Reports'!F903),IF(ISNUMBER(SEARCH("Party Name-",'R.M Billets Reports'!D903)),TRIM(MID('R.M Billets Reports'!D903,SEARCH("-",'R.M Billets Reports'!D903)+1,200)),"")),IF(ISNUMBER(SEARCH("Party Name:-",'R.M Billets Reports'!D904)),TRIM('R.M Billets Reports'!F904),IF(ISNUMBER(SEARCH("Party Name-",'R.M Billets Reports'!D904)),TRIM(MID('R.M Billets Reports'!D904,SEARCH("-",'R.M Billets Reports'!D904)+1,200)),"")))))),IF(ROW()=2,"",A903))</f>
      </c>
      <c r="B904">
        <f>IF(OR('R.M Billets Reports'!A903="Date-",'R.M Billets Reports'!A903="Date:-"),'R.M Billets Reports'!B903,IF(ROW()=2,"",B903))</f>
      </c>
      <c r="C904">
        <f>IF('R.M Billets Reports'!A903="V.No.",'R.M Billets Reports'!B903,IF(ROW()=2,"",C903))</f>
      </c>
      <c r="D904">
        <f>IF('R.M Billets Reports'!A903&lt;&gt;"",'R.M Billets Reports'!A903,IF(ROW()=2,"",D903))</f>
      </c>
      <c r="E904">
        <f>IF('R.M Billets Reports'!B903="","",TRIM('R.M Billets Reports'!B903))</f>
      </c>
      <c r="F904">
        <f>'R.M Billets Reports'!C903</f>
      </c>
      <c r="G904">
        <f>'R.M Billets Reports'!D903</f>
      </c>
      <c r="H904">
        <f>'R.M Billets Reports'!E903</f>
      </c>
      <c r="I904">
        <f>'R.M Billets Reports'!F903</f>
      </c>
      <c r="J904">
        <f>'R.M Billets Reports'!G903</f>
      </c>
      <c r="K904">
        <f>'R.M Billets Reports'!H903</f>
      </c>
      <c r="L904">
        <f>IF('R.M Billets Reports'!I903="","",'R.M Billets Reports'!I903)</f>
      </c>
      <c r="M904">
        <f t="shared" si="28"/>
      </c>
      <c r="N904">
        <f>IF('R.M Billets Reports'!J903="","",'R.M Billets Reports'!J903)</f>
      </c>
      <c r="O904">
        <f t="shared" si="29"/>
      </c>
      <c r="P904">
        <f>IF('R.M Billets Reports'!A903="SIZE",'R.M Billets Reports'!B903,P903)</f>
      </c>
    </row>
    <row r="905" spans="1:16" x14ac:dyDescent="0.25">
      <c r="A905">
        <f>IF(OR('R.M Billets Reports'!A904="Date-",'R.M Billets Reports'!A904="Date:-"),IF(IF(IF(ISNUMBER(SEARCH("Party Name:-",'R.M Billets Reports'!D904)),TRIM('R.M Billets Reports'!F904),IF(ISNUMBER(SEARCH("Party Name-",'R.M Billets Reports'!D904)),TRIM(MID('R.M Billets Reports'!D904,SEARCH("-",'R.M Billets Reports'!D904)+1,200)),""))&lt;&gt;"",IF(ISNUMBER(SEARCH("Party Name:-",'R.M Billets Reports'!D904)),TRIM('R.M Billets Reports'!F904),IF(ISNUMBER(SEARCH("Party Name-",'R.M Billets Reports'!D904)),TRIM(MID('R.M Billets Reports'!D904,SEARCH("-",'R.M Billets Reports'!D904)+1,200)),"")),IF(ISNUMBER(SEARCH("Party Name:-",'R.M Billets Reports'!D905)),TRIM('R.M Billets Reports'!F905),IF(ISNUMBER(SEARCH("Party Name-",'R.M Billets Reports'!D905)),TRIM(MID('R.M Billets Reports'!D905,SEARCH("-",'R.M Billets Reports'!D905)+1,200)),"")))="VRKP ISPAT PVT LTD","VRKP",IF(IF(IF(ISNUMBER(SEARCH("Party Name:-",'R.M Billets Reports'!D904)),TRIM('R.M Billets Reports'!F904),IF(ISNUMBER(SEARCH("Party Name-",'R.M Billets Reports'!D904)),TRIM(MID('R.M Billets Reports'!D904,SEARCH("-",'R.M Billets Reports'!D904)+1,200)),""))&lt;&gt;"",IF(ISNUMBER(SEARCH("Party Name:-",'R.M Billets Reports'!D904)),TRIM('R.M Billets Reports'!F904),IF(ISNUMBER(SEARCH("Party Name-",'R.M Billets Reports'!D904)),TRIM(MID('R.M Billets Reports'!D904,SEARCH("-",'R.M Billets Reports'!D904)+1,200)),"")),IF(ISNUMBER(SEARCH("Party Name:-",'R.M Billets Reports'!D905)),TRIM('R.M Billets Reports'!F905),IF(ISNUMBER(SEARCH("Party Name-",'R.M Billets Reports'!D905)),TRIM(MID('R.M Billets Reports'!D905,SEARCH("-",'R.M Billets Reports'!D905)+1,200)),"")))="SHRI RADHE","SHREE RADHE",IF(IF(IF(ISNUMBER(SEARCH("Party Name:-",'R.M Billets Reports'!D904)),TRIM('R.M Billets Reports'!F904),IF(ISNUMBER(SEARCH("Party Name-",'R.M Billets Reports'!D904)),TRIM(MID('R.M Billets Reports'!D904,SEARCH("-",'R.M Billets Reports'!D904)+1,200)),""))&lt;&gt;"",IF(ISNUMBER(SEARCH("Party Name:-",'R.M Billets Reports'!D904)),TRIM('R.M Billets Reports'!F904),IF(ISNUMBER(SEARCH("Party Name-",'R.M Billets Reports'!D904)),TRIM(MID('R.M Billets Reports'!D904,SEARCH("-",'R.M Billets Reports'!D904)+1,200)),"")),IF(ISNUMBER(SEARCH("Party Name:-",'R.M Billets Reports'!D905)),TRIM('R.M Billets Reports'!F905),IF(ISNUMBER(SEARCH("Party Name-",'R.M Billets Reports'!D905)),TRIM(MID('R.M Billets Reports'!D905,SEARCH("-",'R.M Billets Reports'!D905)+1,200)),"")))="SHREE RADHE SHAKTI SPONGE AND POWER PVT. LTD.","SHREE RADHE",IF(IF(ISNUMBER(SEARCH("Party Name:-",'R.M Billets Reports'!D904)),TRIM('R.M Billets Reports'!F904),IF(ISNUMBER(SEARCH("Party Name-",'R.M Billets Reports'!D904)),TRIM(MID('R.M Billets Reports'!D904,SEARCH("-",'R.M Billets Reports'!D904)+1,200)),""))&lt;&gt;"",IF(ISNUMBER(SEARCH("Party Name:-",'R.M Billets Reports'!D904)),TRIM('R.M Billets Reports'!F904),IF(ISNUMBER(SEARCH("Party Name-",'R.M Billets Reports'!D904)),TRIM(MID('R.M Billets Reports'!D904,SEARCH("-",'R.M Billets Reports'!D904)+1,200)),"")),IF(ISNUMBER(SEARCH("Party Name:-",'R.M Billets Reports'!D905)),TRIM('R.M Billets Reports'!F905),IF(ISNUMBER(SEARCH("Party Name-",'R.M Billets Reports'!D905)),TRIM(MID('R.M Billets Reports'!D905,SEARCH("-",'R.M Billets Reports'!D905)+1,200)),"")))))),IF(ROW()=2,"",A904))</f>
      </c>
      <c r="B905">
        <f>IF(OR('R.M Billets Reports'!A904="Date-",'R.M Billets Reports'!A904="Date:-"),'R.M Billets Reports'!B904,IF(ROW()=2,"",B904))</f>
      </c>
      <c r="C905">
        <f>IF('R.M Billets Reports'!A904="V.No.",'R.M Billets Reports'!B904,IF(ROW()=2,"",C904))</f>
      </c>
      <c r="D905">
        <f>IF('R.M Billets Reports'!A904&lt;&gt;"",'R.M Billets Reports'!A904,IF(ROW()=2,"",D904))</f>
      </c>
      <c r="E905">
        <f>IF('R.M Billets Reports'!B904="","",TRIM('R.M Billets Reports'!B904))</f>
      </c>
      <c r="F905">
        <f>'R.M Billets Reports'!C904</f>
      </c>
      <c r="G905">
        <f>'R.M Billets Reports'!D904</f>
      </c>
      <c r="H905">
        <f>'R.M Billets Reports'!E904</f>
      </c>
      <c r="I905">
        <f>'R.M Billets Reports'!F904</f>
      </c>
      <c r="J905">
        <f>'R.M Billets Reports'!G904</f>
      </c>
      <c r="K905">
        <f>'R.M Billets Reports'!H904</f>
      </c>
      <c r="L905">
        <f>IF('R.M Billets Reports'!I904="","",'R.M Billets Reports'!I904)</f>
      </c>
      <c r="M905">
        <f t="shared" si="28"/>
      </c>
      <c r="N905">
        <f>IF('R.M Billets Reports'!J904="","",'R.M Billets Reports'!J904)</f>
      </c>
      <c r="O905">
        <f t="shared" si="29"/>
      </c>
      <c r="P905">
        <f>IF('R.M Billets Reports'!A904="SIZE",'R.M Billets Reports'!B904,P904)</f>
      </c>
    </row>
    <row r="906" spans="1:16" x14ac:dyDescent="0.25">
      <c r="A906">
        <f>IF(OR('R.M Billets Reports'!A905="Date-",'R.M Billets Reports'!A905="Date:-"),IF(IF(IF(ISNUMBER(SEARCH("Party Name:-",'R.M Billets Reports'!D905)),TRIM('R.M Billets Reports'!F905),IF(ISNUMBER(SEARCH("Party Name-",'R.M Billets Reports'!D905)),TRIM(MID('R.M Billets Reports'!D905,SEARCH("-",'R.M Billets Reports'!D905)+1,200)),""))&lt;&gt;"",IF(ISNUMBER(SEARCH("Party Name:-",'R.M Billets Reports'!D905)),TRIM('R.M Billets Reports'!F905),IF(ISNUMBER(SEARCH("Party Name-",'R.M Billets Reports'!D905)),TRIM(MID('R.M Billets Reports'!D905,SEARCH("-",'R.M Billets Reports'!D905)+1,200)),"")),IF(ISNUMBER(SEARCH("Party Name:-",'R.M Billets Reports'!D906)),TRIM('R.M Billets Reports'!F906),IF(ISNUMBER(SEARCH("Party Name-",'R.M Billets Reports'!D906)),TRIM(MID('R.M Billets Reports'!D906,SEARCH("-",'R.M Billets Reports'!D906)+1,200)),"")))="VRKP ISPAT PVT LTD","VRKP",IF(IF(IF(ISNUMBER(SEARCH("Party Name:-",'R.M Billets Reports'!D905)),TRIM('R.M Billets Reports'!F905),IF(ISNUMBER(SEARCH("Party Name-",'R.M Billets Reports'!D905)),TRIM(MID('R.M Billets Reports'!D905,SEARCH("-",'R.M Billets Reports'!D905)+1,200)),""))&lt;&gt;"",IF(ISNUMBER(SEARCH("Party Name:-",'R.M Billets Reports'!D905)),TRIM('R.M Billets Reports'!F905),IF(ISNUMBER(SEARCH("Party Name-",'R.M Billets Reports'!D905)),TRIM(MID('R.M Billets Reports'!D905,SEARCH("-",'R.M Billets Reports'!D905)+1,200)),"")),IF(ISNUMBER(SEARCH("Party Name:-",'R.M Billets Reports'!D906)),TRIM('R.M Billets Reports'!F906),IF(ISNUMBER(SEARCH("Party Name-",'R.M Billets Reports'!D906)),TRIM(MID('R.M Billets Reports'!D906,SEARCH("-",'R.M Billets Reports'!D906)+1,200)),"")))="SHRI RADHE","SHREE RADHE",IF(IF(IF(ISNUMBER(SEARCH("Party Name:-",'R.M Billets Reports'!D905)),TRIM('R.M Billets Reports'!F905),IF(ISNUMBER(SEARCH("Party Name-",'R.M Billets Reports'!D905)),TRIM(MID('R.M Billets Reports'!D905,SEARCH("-",'R.M Billets Reports'!D905)+1,200)),""))&lt;&gt;"",IF(ISNUMBER(SEARCH("Party Name:-",'R.M Billets Reports'!D905)),TRIM('R.M Billets Reports'!F905),IF(ISNUMBER(SEARCH("Party Name-",'R.M Billets Reports'!D905)),TRIM(MID('R.M Billets Reports'!D905,SEARCH("-",'R.M Billets Reports'!D905)+1,200)),"")),IF(ISNUMBER(SEARCH("Party Name:-",'R.M Billets Reports'!D906)),TRIM('R.M Billets Reports'!F906),IF(ISNUMBER(SEARCH("Party Name-",'R.M Billets Reports'!D906)),TRIM(MID('R.M Billets Reports'!D906,SEARCH("-",'R.M Billets Reports'!D906)+1,200)),"")))="SHREE RADHE SHAKTI SPONGE AND POWER PVT. LTD.","SHREE RADHE",IF(IF(ISNUMBER(SEARCH("Party Name:-",'R.M Billets Reports'!D905)),TRIM('R.M Billets Reports'!F905),IF(ISNUMBER(SEARCH("Party Name-",'R.M Billets Reports'!D905)),TRIM(MID('R.M Billets Reports'!D905,SEARCH("-",'R.M Billets Reports'!D905)+1,200)),""))&lt;&gt;"",IF(ISNUMBER(SEARCH("Party Name:-",'R.M Billets Reports'!D905)),TRIM('R.M Billets Reports'!F905),IF(ISNUMBER(SEARCH("Party Name-",'R.M Billets Reports'!D905)),TRIM(MID('R.M Billets Reports'!D905,SEARCH("-",'R.M Billets Reports'!D905)+1,200)),"")),IF(ISNUMBER(SEARCH("Party Name:-",'R.M Billets Reports'!D906)),TRIM('R.M Billets Reports'!F906),IF(ISNUMBER(SEARCH("Party Name-",'R.M Billets Reports'!D906)),TRIM(MID('R.M Billets Reports'!D906,SEARCH("-",'R.M Billets Reports'!D906)+1,200)),"")))))),IF(ROW()=2,"",A905))</f>
      </c>
      <c r="B906">
        <f>IF(OR('R.M Billets Reports'!A905="Date-",'R.M Billets Reports'!A905="Date:-"),'R.M Billets Reports'!B905,IF(ROW()=2,"",B905))</f>
      </c>
      <c r="C906">
        <f>IF('R.M Billets Reports'!A905="V.No.",'R.M Billets Reports'!B905,IF(ROW()=2,"",C905))</f>
      </c>
      <c r="D906">
        <f>IF('R.M Billets Reports'!A905&lt;&gt;"",'R.M Billets Reports'!A905,IF(ROW()=2,"",D905))</f>
      </c>
      <c r="E906">
        <f>IF('R.M Billets Reports'!B905="","",TRIM('R.M Billets Reports'!B905))</f>
      </c>
      <c r="F906">
        <f>'R.M Billets Reports'!C905</f>
      </c>
      <c r="G906">
        <f>'R.M Billets Reports'!D905</f>
      </c>
      <c r="H906">
        <f>'R.M Billets Reports'!E905</f>
      </c>
      <c r="I906">
        <f>'R.M Billets Reports'!F905</f>
      </c>
      <c r="J906">
        <f>'R.M Billets Reports'!G905</f>
      </c>
      <c r="K906">
        <f>'R.M Billets Reports'!H905</f>
      </c>
      <c r="L906">
        <f>IF('R.M Billets Reports'!I905="","",'R.M Billets Reports'!I905)</f>
      </c>
      <c r="M906">
        <f t="shared" si="28"/>
      </c>
      <c r="N906">
        <f>IF('R.M Billets Reports'!J905="","",'R.M Billets Reports'!J905)</f>
      </c>
      <c r="O906">
        <f t="shared" si="29"/>
      </c>
      <c r="P906">
        <f>IF('R.M Billets Reports'!A905="SIZE",'R.M Billets Reports'!B905,P905)</f>
      </c>
    </row>
    <row r="907" spans="1:16" x14ac:dyDescent="0.25">
      <c r="A907">
        <f>IF(OR('R.M Billets Reports'!A906="Date-",'R.M Billets Reports'!A906="Date:-"),IF(IF(IF(ISNUMBER(SEARCH("Party Name:-",'R.M Billets Reports'!D906)),TRIM('R.M Billets Reports'!F906),IF(ISNUMBER(SEARCH("Party Name-",'R.M Billets Reports'!D906)),TRIM(MID('R.M Billets Reports'!D906,SEARCH("-",'R.M Billets Reports'!D906)+1,200)),""))&lt;&gt;"",IF(ISNUMBER(SEARCH("Party Name:-",'R.M Billets Reports'!D906)),TRIM('R.M Billets Reports'!F906),IF(ISNUMBER(SEARCH("Party Name-",'R.M Billets Reports'!D906)),TRIM(MID('R.M Billets Reports'!D906,SEARCH("-",'R.M Billets Reports'!D906)+1,200)),"")),IF(ISNUMBER(SEARCH("Party Name:-",'R.M Billets Reports'!D907)),TRIM('R.M Billets Reports'!F907),IF(ISNUMBER(SEARCH("Party Name-",'R.M Billets Reports'!D907)),TRIM(MID('R.M Billets Reports'!D907,SEARCH("-",'R.M Billets Reports'!D907)+1,200)),"")))="VRKP ISPAT PVT LTD","VRKP",IF(IF(IF(ISNUMBER(SEARCH("Party Name:-",'R.M Billets Reports'!D906)),TRIM('R.M Billets Reports'!F906),IF(ISNUMBER(SEARCH("Party Name-",'R.M Billets Reports'!D906)),TRIM(MID('R.M Billets Reports'!D906,SEARCH("-",'R.M Billets Reports'!D906)+1,200)),""))&lt;&gt;"",IF(ISNUMBER(SEARCH("Party Name:-",'R.M Billets Reports'!D906)),TRIM('R.M Billets Reports'!F906),IF(ISNUMBER(SEARCH("Party Name-",'R.M Billets Reports'!D906)),TRIM(MID('R.M Billets Reports'!D906,SEARCH("-",'R.M Billets Reports'!D906)+1,200)),"")),IF(ISNUMBER(SEARCH("Party Name:-",'R.M Billets Reports'!D907)),TRIM('R.M Billets Reports'!F907),IF(ISNUMBER(SEARCH("Party Name-",'R.M Billets Reports'!D907)),TRIM(MID('R.M Billets Reports'!D907,SEARCH("-",'R.M Billets Reports'!D907)+1,200)),"")))="SHRI RADHE","SHREE RADHE",IF(IF(IF(ISNUMBER(SEARCH("Party Name:-",'R.M Billets Reports'!D906)),TRIM('R.M Billets Reports'!F906),IF(ISNUMBER(SEARCH("Party Name-",'R.M Billets Reports'!D906)),TRIM(MID('R.M Billets Reports'!D906,SEARCH("-",'R.M Billets Reports'!D906)+1,200)),""))&lt;&gt;"",IF(ISNUMBER(SEARCH("Party Name:-",'R.M Billets Reports'!D906)),TRIM('R.M Billets Reports'!F906),IF(ISNUMBER(SEARCH("Party Name-",'R.M Billets Reports'!D906)),TRIM(MID('R.M Billets Reports'!D906,SEARCH("-",'R.M Billets Reports'!D906)+1,200)),"")),IF(ISNUMBER(SEARCH("Party Name:-",'R.M Billets Reports'!D907)),TRIM('R.M Billets Reports'!F907),IF(ISNUMBER(SEARCH("Party Name-",'R.M Billets Reports'!D907)),TRIM(MID('R.M Billets Reports'!D907,SEARCH("-",'R.M Billets Reports'!D907)+1,200)),"")))="SHREE RADHE SHAKTI SPONGE AND POWER PVT. LTD.","SHREE RADHE",IF(IF(ISNUMBER(SEARCH("Party Name:-",'R.M Billets Reports'!D906)),TRIM('R.M Billets Reports'!F906),IF(ISNUMBER(SEARCH("Party Name-",'R.M Billets Reports'!D906)),TRIM(MID('R.M Billets Reports'!D906,SEARCH("-",'R.M Billets Reports'!D906)+1,200)),""))&lt;&gt;"",IF(ISNUMBER(SEARCH("Party Name:-",'R.M Billets Reports'!D906)),TRIM('R.M Billets Reports'!F906),IF(ISNUMBER(SEARCH("Party Name-",'R.M Billets Reports'!D906)),TRIM(MID('R.M Billets Reports'!D906,SEARCH("-",'R.M Billets Reports'!D906)+1,200)),"")),IF(ISNUMBER(SEARCH("Party Name:-",'R.M Billets Reports'!D907)),TRIM('R.M Billets Reports'!F907),IF(ISNUMBER(SEARCH("Party Name-",'R.M Billets Reports'!D907)),TRIM(MID('R.M Billets Reports'!D907,SEARCH("-",'R.M Billets Reports'!D907)+1,200)),"")))))),IF(ROW()=2,"",A906))</f>
      </c>
      <c r="B907">
        <f>IF(OR('R.M Billets Reports'!A906="Date-",'R.M Billets Reports'!A906="Date:-"),'R.M Billets Reports'!B906,IF(ROW()=2,"",B906))</f>
      </c>
      <c r="C907">
        <f>IF('R.M Billets Reports'!A906="V.No.",'R.M Billets Reports'!B906,IF(ROW()=2,"",C906))</f>
      </c>
      <c r="D907">
        <f>IF('R.M Billets Reports'!A906&lt;&gt;"",'R.M Billets Reports'!A906,IF(ROW()=2,"",D906))</f>
      </c>
      <c r="E907">
        <f>IF('R.M Billets Reports'!B906="","",TRIM('R.M Billets Reports'!B906))</f>
      </c>
      <c r="F907">
        <f>'R.M Billets Reports'!C906</f>
      </c>
      <c r="G907">
        <f>'R.M Billets Reports'!D906</f>
      </c>
      <c r="H907">
        <f>'R.M Billets Reports'!E906</f>
      </c>
      <c r="I907">
        <f>'R.M Billets Reports'!F906</f>
      </c>
      <c r="J907">
        <f>'R.M Billets Reports'!G906</f>
      </c>
      <c r="K907">
        <f>'R.M Billets Reports'!H906</f>
      </c>
      <c r="L907">
        <f>IF('R.M Billets Reports'!I906="","",'R.M Billets Reports'!I906)</f>
      </c>
      <c r="M907">
        <f t="shared" si="28"/>
      </c>
      <c r="N907">
        <f>IF('R.M Billets Reports'!J906="","",'R.M Billets Reports'!J906)</f>
      </c>
      <c r="O907">
        <f t="shared" si="29"/>
      </c>
      <c r="P907">
        <f>IF('R.M Billets Reports'!A906="SIZE",'R.M Billets Reports'!B906,P906)</f>
      </c>
    </row>
    <row r="908" spans="1:16" x14ac:dyDescent="0.25">
      <c r="A908">
        <f>IF(OR('R.M Billets Reports'!A907="Date-",'R.M Billets Reports'!A907="Date:-"),IF(IF(IF(ISNUMBER(SEARCH("Party Name:-",'R.M Billets Reports'!D907)),TRIM('R.M Billets Reports'!F907),IF(ISNUMBER(SEARCH("Party Name-",'R.M Billets Reports'!D907)),TRIM(MID('R.M Billets Reports'!D907,SEARCH("-",'R.M Billets Reports'!D907)+1,200)),""))&lt;&gt;"",IF(ISNUMBER(SEARCH("Party Name:-",'R.M Billets Reports'!D907)),TRIM('R.M Billets Reports'!F907),IF(ISNUMBER(SEARCH("Party Name-",'R.M Billets Reports'!D907)),TRIM(MID('R.M Billets Reports'!D907,SEARCH("-",'R.M Billets Reports'!D907)+1,200)),"")),IF(ISNUMBER(SEARCH("Party Name:-",'R.M Billets Reports'!D908)),TRIM('R.M Billets Reports'!F908),IF(ISNUMBER(SEARCH("Party Name-",'R.M Billets Reports'!D908)),TRIM(MID('R.M Billets Reports'!D908,SEARCH("-",'R.M Billets Reports'!D908)+1,200)),"")))="VRKP ISPAT PVT LTD","VRKP",IF(IF(IF(ISNUMBER(SEARCH("Party Name:-",'R.M Billets Reports'!D907)),TRIM('R.M Billets Reports'!F907),IF(ISNUMBER(SEARCH("Party Name-",'R.M Billets Reports'!D907)),TRIM(MID('R.M Billets Reports'!D907,SEARCH("-",'R.M Billets Reports'!D907)+1,200)),""))&lt;&gt;"",IF(ISNUMBER(SEARCH("Party Name:-",'R.M Billets Reports'!D907)),TRIM('R.M Billets Reports'!F907),IF(ISNUMBER(SEARCH("Party Name-",'R.M Billets Reports'!D907)),TRIM(MID('R.M Billets Reports'!D907,SEARCH("-",'R.M Billets Reports'!D907)+1,200)),"")),IF(ISNUMBER(SEARCH("Party Name:-",'R.M Billets Reports'!D908)),TRIM('R.M Billets Reports'!F908),IF(ISNUMBER(SEARCH("Party Name-",'R.M Billets Reports'!D908)),TRIM(MID('R.M Billets Reports'!D908,SEARCH("-",'R.M Billets Reports'!D908)+1,200)),"")))="SHRI RADHE","SHREE RADHE",IF(IF(IF(ISNUMBER(SEARCH("Party Name:-",'R.M Billets Reports'!D907)),TRIM('R.M Billets Reports'!F907),IF(ISNUMBER(SEARCH("Party Name-",'R.M Billets Reports'!D907)),TRIM(MID('R.M Billets Reports'!D907,SEARCH("-",'R.M Billets Reports'!D907)+1,200)),""))&lt;&gt;"",IF(ISNUMBER(SEARCH("Party Name:-",'R.M Billets Reports'!D907)),TRIM('R.M Billets Reports'!F907),IF(ISNUMBER(SEARCH("Party Name-",'R.M Billets Reports'!D907)),TRIM(MID('R.M Billets Reports'!D907,SEARCH("-",'R.M Billets Reports'!D907)+1,200)),"")),IF(ISNUMBER(SEARCH("Party Name:-",'R.M Billets Reports'!D908)),TRIM('R.M Billets Reports'!F908),IF(ISNUMBER(SEARCH("Party Name-",'R.M Billets Reports'!D908)),TRIM(MID('R.M Billets Reports'!D908,SEARCH("-",'R.M Billets Reports'!D908)+1,200)),"")))="SHREE RADHE SHAKTI SPONGE AND POWER PVT. LTD.","SHREE RADHE",IF(IF(ISNUMBER(SEARCH("Party Name:-",'R.M Billets Reports'!D907)),TRIM('R.M Billets Reports'!F907),IF(ISNUMBER(SEARCH("Party Name-",'R.M Billets Reports'!D907)),TRIM(MID('R.M Billets Reports'!D907,SEARCH("-",'R.M Billets Reports'!D907)+1,200)),""))&lt;&gt;"",IF(ISNUMBER(SEARCH("Party Name:-",'R.M Billets Reports'!D907)),TRIM('R.M Billets Reports'!F907),IF(ISNUMBER(SEARCH("Party Name-",'R.M Billets Reports'!D907)),TRIM(MID('R.M Billets Reports'!D907,SEARCH("-",'R.M Billets Reports'!D907)+1,200)),"")),IF(ISNUMBER(SEARCH("Party Name:-",'R.M Billets Reports'!D908)),TRIM('R.M Billets Reports'!F908),IF(ISNUMBER(SEARCH("Party Name-",'R.M Billets Reports'!D908)),TRIM(MID('R.M Billets Reports'!D908,SEARCH("-",'R.M Billets Reports'!D908)+1,200)),"")))))),IF(ROW()=2,"",A907))</f>
      </c>
      <c r="B908">
        <f>IF(OR('R.M Billets Reports'!A907="Date-",'R.M Billets Reports'!A907="Date:-"),'R.M Billets Reports'!B907,IF(ROW()=2,"",B907))</f>
      </c>
      <c r="C908">
        <f>IF('R.M Billets Reports'!A907="V.No.",'R.M Billets Reports'!B907,IF(ROW()=2,"",C907))</f>
      </c>
      <c r="D908">
        <f>IF('R.M Billets Reports'!A907&lt;&gt;"",'R.M Billets Reports'!A907,IF(ROW()=2,"",D907))</f>
      </c>
      <c r="E908">
        <f>IF('R.M Billets Reports'!B907="","",TRIM('R.M Billets Reports'!B907))</f>
      </c>
      <c r="F908">
        <f>'R.M Billets Reports'!C907</f>
      </c>
      <c r="G908">
        <f>'R.M Billets Reports'!D907</f>
      </c>
      <c r="H908">
        <f>'R.M Billets Reports'!E907</f>
      </c>
      <c r="I908">
        <f>'R.M Billets Reports'!F907</f>
      </c>
      <c r="J908">
        <f>'R.M Billets Reports'!G907</f>
      </c>
      <c r="K908">
        <f>'R.M Billets Reports'!H907</f>
      </c>
      <c r="L908">
        <f>IF('R.M Billets Reports'!I907="","",'R.M Billets Reports'!I907)</f>
      </c>
      <c r="M908">
        <f t="shared" si="28"/>
      </c>
      <c r="N908">
        <f>IF('R.M Billets Reports'!J907="","",'R.M Billets Reports'!J907)</f>
      </c>
      <c r="O908">
        <f t="shared" si="29"/>
      </c>
      <c r="P908">
        <f>IF('R.M Billets Reports'!A907="SIZE",'R.M Billets Reports'!B907,P907)</f>
      </c>
    </row>
    <row r="909" spans="1:16" x14ac:dyDescent="0.25">
      <c r="A909">
        <f>IF(OR('R.M Billets Reports'!A908="Date-",'R.M Billets Reports'!A908="Date:-"),IF(IF(IF(ISNUMBER(SEARCH("Party Name:-",'R.M Billets Reports'!D908)),TRIM('R.M Billets Reports'!F908),IF(ISNUMBER(SEARCH("Party Name-",'R.M Billets Reports'!D908)),TRIM(MID('R.M Billets Reports'!D908,SEARCH("-",'R.M Billets Reports'!D908)+1,200)),""))&lt;&gt;"",IF(ISNUMBER(SEARCH("Party Name:-",'R.M Billets Reports'!D908)),TRIM('R.M Billets Reports'!F908),IF(ISNUMBER(SEARCH("Party Name-",'R.M Billets Reports'!D908)),TRIM(MID('R.M Billets Reports'!D908,SEARCH("-",'R.M Billets Reports'!D908)+1,200)),"")),IF(ISNUMBER(SEARCH("Party Name:-",'R.M Billets Reports'!D909)),TRIM('R.M Billets Reports'!F909),IF(ISNUMBER(SEARCH("Party Name-",'R.M Billets Reports'!D909)),TRIM(MID('R.M Billets Reports'!D909,SEARCH("-",'R.M Billets Reports'!D909)+1,200)),"")))="VRKP ISPAT PVT LTD","VRKP",IF(IF(IF(ISNUMBER(SEARCH("Party Name:-",'R.M Billets Reports'!D908)),TRIM('R.M Billets Reports'!F908),IF(ISNUMBER(SEARCH("Party Name-",'R.M Billets Reports'!D908)),TRIM(MID('R.M Billets Reports'!D908,SEARCH("-",'R.M Billets Reports'!D908)+1,200)),""))&lt;&gt;"",IF(ISNUMBER(SEARCH("Party Name:-",'R.M Billets Reports'!D908)),TRIM('R.M Billets Reports'!F908),IF(ISNUMBER(SEARCH("Party Name-",'R.M Billets Reports'!D908)),TRIM(MID('R.M Billets Reports'!D908,SEARCH("-",'R.M Billets Reports'!D908)+1,200)),"")),IF(ISNUMBER(SEARCH("Party Name:-",'R.M Billets Reports'!D909)),TRIM('R.M Billets Reports'!F909),IF(ISNUMBER(SEARCH("Party Name-",'R.M Billets Reports'!D909)),TRIM(MID('R.M Billets Reports'!D909,SEARCH("-",'R.M Billets Reports'!D909)+1,200)),"")))="SHRI RADHE","SHREE RADHE",IF(IF(IF(ISNUMBER(SEARCH("Party Name:-",'R.M Billets Reports'!D908)),TRIM('R.M Billets Reports'!F908),IF(ISNUMBER(SEARCH("Party Name-",'R.M Billets Reports'!D908)),TRIM(MID('R.M Billets Reports'!D908,SEARCH("-",'R.M Billets Reports'!D908)+1,200)),""))&lt;&gt;"",IF(ISNUMBER(SEARCH("Party Name:-",'R.M Billets Reports'!D908)),TRIM('R.M Billets Reports'!F908),IF(ISNUMBER(SEARCH("Party Name-",'R.M Billets Reports'!D908)),TRIM(MID('R.M Billets Reports'!D908,SEARCH("-",'R.M Billets Reports'!D908)+1,200)),"")),IF(ISNUMBER(SEARCH("Party Name:-",'R.M Billets Reports'!D909)),TRIM('R.M Billets Reports'!F909),IF(ISNUMBER(SEARCH("Party Name-",'R.M Billets Reports'!D909)),TRIM(MID('R.M Billets Reports'!D909,SEARCH("-",'R.M Billets Reports'!D909)+1,200)),"")))="SHREE RADHE SHAKTI SPONGE AND POWER PVT. LTD.","SHREE RADHE",IF(IF(ISNUMBER(SEARCH("Party Name:-",'R.M Billets Reports'!D908)),TRIM('R.M Billets Reports'!F908),IF(ISNUMBER(SEARCH("Party Name-",'R.M Billets Reports'!D908)),TRIM(MID('R.M Billets Reports'!D908,SEARCH("-",'R.M Billets Reports'!D908)+1,200)),""))&lt;&gt;"",IF(ISNUMBER(SEARCH("Party Name:-",'R.M Billets Reports'!D908)),TRIM('R.M Billets Reports'!F908),IF(ISNUMBER(SEARCH("Party Name-",'R.M Billets Reports'!D908)),TRIM(MID('R.M Billets Reports'!D908,SEARCH("-",'R.M Billets Reports'!D908)+1,200)),"")),IF(ISNUMBER(SEARCH("Party Name:-",'R.M Billets Reports'!D909)),TRIM('R.M Billets Reports'!F909),IF(ISNUMBER(SEARCH("Party Name-",'R.M Billets Reports'!D909)),TRIM(MID('R.M Billets Reports'!D909,SEARCH("-",'R.M Billets Reports'!D909)+1,200)),"")))))),IF(ROW()=2,"",A908))</f>
      </c>
      <c r="B909">
        <f>IF(OR('R.M Billets Reports'!A908="Date-",'R.M Billets Reports'!A908="Date:-"),'R.M Billets Reports'!B908,IF(ROW()=2,"",B908))</f>
      </c>
      <c r="C909">
        <f>IF('R.M Billets Reports'!A908="V.No.",'R.M Billets Reports'!B908,IF(ROW()=2,"",C908))</f>
      </c>
      <c r="D909">
        <f>IF('R.M Billets Reports'!A908&lt;&gt;"",'R.M Billets Reports'!A908,IF(ROW()=2,"",D908))</f>
      </c>
      <c r="E909">
        <f>IF('R.M Billets Reports'!B908="","",TRIM('R.M Billets Reports'!B908))</f>
      </c>
      <c r="F909">
        <f>'R.M Billets Reports'!C908</f>
      </c>
      <c r="G909">
        <f>'R.M Billets Reports'!D908</f>
      </c>
      <c r="H909">
        <f>'R.M Billets Reports'!E908</f>
      </c>
      <c r="I909">
        <f>'R.M Billets Reports'!F908</f>
      </c>
      <c r="J909">
        <f>'R.M Billets Reports'!G908</f>
      </c>
      <c r="K909">
        <f>'R.M Billets Reports'!H908</f>
      </c>
      <c r="L909">
        <f>IF('R.M Billets Reports'!I908="","",'R.M Billets Reports'!I908)</f>
      </c>
      <c r="M909">
        <f t="shared" si="28"/>
      </c>
      <c r="N909">
        <f>IF('R.M Billets Reports'!J908="","",'R.M Billets Reports'!J908)</f>
      </c>
      <c r="O909">
        <f t="shared" si="29"/>
      </c>
      <c r="P909">
        <f>IF('R.M Billets Reports'!A908="SIZE",'R.M Billets Reports'!B908,P908)</f>
      </c>
    </row>
    <row r="910" spans="1:16" x14ac:dyDescent="0.25">
      <c r="A910">
        <f>IF(OR('R.M Billets Reports'!A909="Date-",'R.M Billets Reports'!A909="Date:-"),IF(IF(IF(ISNUMBER(SEARCH("Party Name:-",'R.M Billets Reports'!D909)),TRIM('R.M Billets Reports'!F909),IF(ISNUMBER(SEARCH("Party Name-",'R.M Billets Reports'!D909)),TRIM(MID('R.M Billets Reports'!D909,SEARCH("-",'R.M Billets Reports'!D909)+1,200)),""))&lt;&gt;"",IF(ISNUMBER(SEARCH("Party Name:-",'R.M Billets Reports'!D909)),TRIM('R.M Billets Reports'!F909),IF(ISNUMBER(SEARCH("Party Name-",'R.M Billets Reports'!D909)),TRIM(MID('R.M Billets Reports'!D909,SEARCH("-",'R.M Billets Reports'!D909)+1,200)),"")),IF(ISNUMBER(SEARCH("Party Name:-",'R.M Billets Reports'!D910)),TRIM('R.M Billets Reports'!F910),IF(ISNUMBER(SEARCH("Party Name-",'R.M Billets Reports'!D910)),TRIM(MID('R.M Billets Reports'!D910,SEARCH("-",'R.M Billets Reports'!D910)+1,200)),"")))="VRKP ISPAT PVT LTD","VRKP",IF(IF(IF(ISNUMBER(SEARCH("Party Name:-",'R.M Billets Reports'!D909)),TRIM('R.M Billets Reports'!F909),IF(ISNUMBER(SEARCH("Party Name-",'R.M Billets Reports'!D909)),TRIM(MID('R.M Billets Reports'!D909,SEARCH("-",'R.M Billets Reports'!D909)+1,200)),""))&lt;&gt;"",IF(ISNUMBER(SEARCH("Party Name:-",'R.M Billets Reports'!D909)),TRIM('R.M Billets Reports'!F909),IF(ISNUMBER(SEARCH("Party Name-",'R.M Billets Reports'!D909)),TRIM(MID('R.M Billets Reports'!D909,SEARCH("-",'R.M Billets Reports'!D909)+1,200)),"")),IF(ISNUMBER(SEARCH("Party Name:-",'R.M Billets Reports'!D910)),TRIM('R.M Billets Reports'!F910),IF(ISNUMBER(SEARCH("Party Name-",'R.M Billets Reports'!D910)),TRIM(MID('R.M Billets Reports'!D910,SEARCH("-",'R.M Billets Reports'!D910)+1,200)),"")))="SHRI RADHE","SHREE RADHE",IF(IF(IF(ISNUMBER(SEARCH("Party Name:-",'R.M Billets Reports'!D909)),TRIM('R.M Billets Reports'!F909),IF(ISNUMBER(SEARCH("Party Name-",'R.M Billets Reports'!D909)),TRIM(MID('R.M Billets Reports'!D909,SEARCH("-",'R.M Billets Reports'!D909)+1,200)),""))&lt;&gt;"",IF(ISNUMBER(SEARCH("Party Name:-",'R.M Billets Reports'!D909)),TRIM('R.M Billets Reports'!F909),IF(ISNUMBER(SEARCH("Party Name-",'R.M Billets Reports'!D909)),TRIM(MID('R.M Billets Reports'!D909,SEARCH("-",'R.M Billets Reports'!D909)+1,200)),"")),IF(ISNUMBER(SEARCH("Party Name:-",'R.M Billets Reports'!D910)),TRIM('R.M Billets Reports'!F910),IF(ISNUMBER(SEARCH("Party Name-",'R.M Billets Reports'!D910)),TRIM(MID('R.M Billets Reports'!D910,SEARCH("-",'R.M Billets Reports'!D910)+1,200)),"")))="SHREE RADHE SHAKTI SPONGE AND POWER PVT. LTD.","SHREE RADHE",IF(IF(ISNUMBER(SEARCH("Party Name:-",'R.M Billets Reports'!D909)),TRIM('R.M Billets Reports'!F909),IF(ISNUMBER(SEARCH("Party Name-",'R.M Billets Reports'!D909)),TRIM(MID('R.M Billets Reports'!D909,SEARCH("-",'R.M Billets Reports'!D909)+1,200)),""))&lt;&gt;"",IF(ISNUMBER(SEARCH("Party Name:-",'R.M Billets Reports'!D909)),TRIM('R.M Billets Reports'!F909),IF(ISNUMBER(SEARCH("Party Name-",'R.M Billets Reports'!D909)),TRIM(MID('R.M Billets Reports'!D909,SEARCH("-",'R.M Billets Reports'!D909)+1,200)),"")),IF(ISNUMBER(SEARCH("Party Name:-",'R.M Billets Reports'!D910)),TRIM('R.M Billets Reports'!F910),IF(ISNUMBER(SEARCH("Party Name-",'R.M Billets Reports'!D910)),TRIM(MID('R.M Billets Reports'!D910,SEARCH("-",'R.M Billets Reports'!D910)+1,200)),"")))))),IF(ROW()=2,"",A909))</f>
      </c>
      <c r="B910">
        <f>IF(OR('R.M Billets Reports'!A909="Date-",'R.M Billets Reports'!A909="Date:-"),'R.M Billets Reports'!B909,IF(ROW()=2,"",B909))</f>
      </c>
      <c r="C910">
        <f>IF('R.M Billets Reports'!A909="V.No.",'R.M Billets Reports'!B909,IF(ROW()=2,"",C909))</f>
      </c>
      <c r="D910">
        <f>IF('R.M Billets Reports'!A909&lt;&gt;"",'R.M Billets Reports'!A909,IF(ROW()=2,"",D909))</f>
      </c>
      <c r="E910">
        <f>IF('R.M Billets Reports'!B909="","",TRIM('R.M Billets Reports'!B909))</f>
      </c>
      <c r="F910">
        <f>'R.M Billets Reports'!C909</f>
      </c>
      <c r="G910">
        <f>'R.M Billets Reports'!D909</f>
      </c>
      <c r="H910">
        <f>'R.M Billets Reports'!E909</f>
      </c>
      <c r="I910">
        <f>'R.M Billets Reports'!F909</f>
      </c>
      <c r="J910">
        <f>'R.M Billets Reports'!G909</f>
      </c>
      <c r="K910">
        <f>'R.M Billets Reports'!H909</f>
      </c>
      <c r="L910">
        <f>IF('R.M Billets Reports'!I909="","",'R.M Billets Reports'!I909)</f>
      </c>
      <c r="M910">
        <f t="shared" si="28"/>
      </c>
      <c r="N910">
        <f>IF('R.M Billets Reports'!J909="","",'R.M Billets Reports'!J909)</f>
      </c>
      <c r="O910">
        <f t="shared" si="29"/>
      </c>
      <c r="P910">
        <f>IF('R.M Billets Reports'!A909="SIZE",'R.M Billets Reports'!B909,P909)</f>
      </c>
    </row>
    <row r="911" spans="1:16" x14ac:dyDescent="0.25">
      <c r="A911">
        <f>IF(OR('R.M Billets Reports'!A910="Date-",'R.M Billets Reports'!A910="Date:-"),IF(IF(IF(ISNUMBER(SEARCH("Party Name:-",'R.M Billets Reports'!D910)),TRIM('R.M Billets Reports'!F910),IF(ISNUMBER(SEARCH("Party Name-",'R.M Billets Reports'!D910)),TRIM(MID('R.M Billets Reports'!D910,SEARCH("-",'R.M Billets Reports'!D910)+1,200)),""))&lt;&gt;"",IF(ISNUMBER(SEARCH("Party Name:-",'R.M Billets Reports'!D910)),TRIM('R.M Billets Reports'!F910),IF(ISNUMBER(SEARCH("Party Name-",'R.M Billets Reports'!D910)),TRIM(MID('R.M Billets Reports'!D910,SEARCH("-",'R.M Billets Reports'!D910)+1,200)),"")),IF(ISNUMBER(SEARCH("Party Name:-",'R.M Billets Reports'!D911)),TRIM('R.M Billets Reports'!F911),IF(ISNUMBER(SEARCH("Party Name-",'R.M Billets Reports'!D911)),TRIM(MID('R.M Billets Reports'!D911,SEARCH("-",'R.M Billets Reports'!D911)+1,200)),"")))="VRKP ISPAT PVT LTD","VRKP",IF(IF(IF(ISNUMBER(SEARCH("Party Name:-",'R.M Billets Reports'!D910)),TRIM('R.M Billets Reports'!F910),IF(ISNUMBER(SEARCH("Party Name-",'R.M Billets Reports'!D910)),TRIM(MID('R.M Billets Reports'!D910,SEARCH("-",'R.M Billets Reports'!D910)+1,200)),""))&lt;&gt;"",IF(ISNUMBER(SEARCH("Party Name:-",'R.M Billets Reports'!D910)),TRIM('R.M Billets Reports'!F910),IF(ISNUMBER(SEARCH("Party Name-",'R.M Billets Reports'!D910)),TRIM(MID('R.M Billets Reports'!D910,SEARCH("-",'R.M Billets Reports'!D910)+1,200)),"")),IF(ISNUMBER(SEARCH("Party Name:-",'R.M Billets Reports'!D911)),TRIM('R.M Billets Reports'!F911),IF(ISNUMBER(SEARCH("Party Name-",'R.M Billets Reports'!D911)),TRIM(MID('R.M Billets Reports'!D911,SEARCH("-",'R.M Billets Reports'!D911)+1,200)),"")))="SHRI RADHE","SHREE RADHE",IF(IF(IF(ISNUMBER(SEARCH("Party Name:-",'R.M Billets Reports'!D910)),TRIM('R.M Billets Reports'!F910),IF(ISNUMBER(SEARCH("Party Name-",'R.M Billets Reports'!D910)),TRIM(MID('R.M Billets Reports'!D910,SEARCH("-",'R.M Billets Reports'!D910)+1,200)),""))&lt;&gt;"",IF(ISNUMBER(SEARCH("Party Name:-",'R.M Billets Reports'!D910)),TRIM('R.M Billets Reports'!F910),IF(ISNUMBER(SEARCH("Party Name-",'R.M Billets Reports'!D910)),TRIM(MID('R.M Billets Reports'!D910,SEARCH("-",'R.M Billets Reports'!D910)+1,200)),"")),IF(ISNUMBER(SEARCH("Party Name:-",'R.M Billets Reports'!D911)),TRIM('R.M Billets Reports'!F911),IF(ISNUMBER(SEARCH("Party Name-",'R.M Billets Reports'!D911)),TRIM(MID('R.M Billets Reports'!D911,SEARCH("-",'R.M Billets Reports'!D911)+1,200)),"")))="SHREE RADHE SHAKTI SPONGE AND POWER PVT. LTD.","SHREE RADHE",IF(IF(ISNUMBER(SEARCH("Party Name:-",'R.M Billets Reports'!D910)),TRIM('R.M Billets Reports'!F910),IF(ISNUMBER(SEARCH("Party Name-",'R.M Billets Reports'!D910)),TRIM(MID('R.M Billets Reports'!D910,SEARCH("-",'R.M Billets Reports'!D910)+1,200)),""))&lt;&gt;"",IF(ISNUMBER(SEARCH("Party Name:-",'R.M Billets Reports'!D910)),TRIM('R.M Billets Reports'!F910),IF(ISNUMBER(SEARCH("Party Name-",'R.M Billets Reports'!D910)),TRIM(MID('R.M Billets Reports'!D910,SEARCH("-",'R.M Billets Reports'!D910)+1,200)),"")),IF(ISNUMBER(SEARCH("Party Name:-",'R.M Billets Reports'!D911)),TRIM('R.M Billets Reports'!F911),IF(ISNUMBER(SEARCH("Party Name-",'R.M Billets Reports'!D911)),TRIM(MID('R.M Billets Reports'!D911,SEARCH("-",'R.M Billets Reports'!D911)+1,200)),"")))))),IF(ROW()=2,"",A910))</f>
      </c>
      <c r="B911">
        <f>IF(OR('R.M Billets Reports'!A910="Date-",'R.M Billets Reports'!A910="Date:-"),'R.M Billets Reports'!B910,IF(ROW()=2,"",B910))</f>
      </c>
      <c r="C911">
        <f>IF('R.M Billets Reports'!A910="V.No.",'R.M Billets Reports'!B910,IF(ROW()=2,"",C910))</f>
      </c>
      <c r="D911">
        <f>IF('R.M Billets Reports'!A910&lt;&gt;"",'R.M Billets Reports'!A910,IF(ROW()=2,"",D910))</f>
      </c>
      <c r="E911">
        <f>IF('R.M Billets Reports'!B910="","",TRIM('R.M Billets Reports'!B910))</f>
      </c>
      <c r="F911">
        <f>'R.M Billets Reports'!C910</f>
      </c>
      <c r="G911">
        <f>'R.M Billets Reports'!D910</f>
      </c>
      <c r="H911">
        <f>'R.M Billets Reports'!E910</f>
      </c>
      <c r="I911">
        <f>'R.M Billets Reports'!F910</f>
      </c>
      <c r="J911">
        <f>'R.M Billets Reports'!G910</f>
      </c>
      <c r="K911">
        <f>'R.M Billets Reports'!H910</f>
      </c>
      <c r="L911">
        <f>IF('R.M Billets Reports'!I910="","",'R.M Billets Reports'!I910)</f>
      </c>
      <c r="M911">
        <f t="shared" si="28"/>
      </c>
      <c r="N911">
        <f>IF('R.M Billets Reports'!J910="","",'R.M Billets Reports'!J910)</f>
      </c>
      <c r="O911">
        <f t="shared" si="29"/>
      </c>
      <c r="P911">
        <f>IF('R.M Billets Reports'!A910="SIZE",'R.M Billets Reports'!B910,P910)</f>
      </c>
    </row>
    <row r="912" spans="1:16" x14ac:dyDescent="0.25">
      <c r="A912">
        <f>IF(OR('R.M Billets Reports'!A911="Date-",'R.M Billets Reports'!A911="Date:-"),IF(IF(IF(ISNUMBER(SEARCH("Party Name:-",'R.M Billets Reports'!D911)),TRIM('R.M Billets Reports'!F911),IF(ISNUMBER(SEARCH("Party Name-",'R.M Billets Reports'!D911)),TRIM(MID('R.M Billets Reports'!D911,SEARCH("-",'R.M Billets Reports'!D911)+1,200)),""))&lt;&gt;"",IF(ISNUMBER(SEARCH("Party Name:-",'R.M Billets Reports'!D911)),TRIM('R.M Billets Reports'!F911),IF(ISNUMBER(SEARCH("Party Name-",'R.M Billets Reports'!D911)),TRIM(MID('R.M Billets Reports'!D911,SEARCH("-",'R.M Billets Reports'!D911)+1,200)),"")),IF(ISNUMBER(SEARCH("Party Name:-",'R.M Billets Reports'!D912)),TRIM('R.M Billets Reports'!F912),IF(ISNUMBER(SEARCH("Party Name-",'R.M Billets Reports'!D912)),TRIM(MID('R.M Billets Reports'!D912,SEARCH("-",'R.M Billets Reports'!D912)+1,200)),"")))="VRKP ISPAT PVT LTD","VRKP",IF(IF(IF(ISNUMBER(SEARCH("Party Name:-",'R.M Billets Reports'!D911)),TRIM('R.M Billets Reports'!F911),IF(ISNUMBER(SEARCH("Party Name-",'R.M Billets Reports'!D911)),TRIM(MID('R.M Billets Reports'!D911,SEARCH("-",'R.M Billets Reports'!D911)+1,200)),""))&lt;&gt;"",IF(ISNUMBER(SEARCH("Party Name:-",'R.M Billets Reports'!D911)),TRIM('R.M Billets Reports'!F911),IF(ISNUMBER(SEARCH("Party Name-",'R.M Billets Reports'!D911)),TRIM(MID('R.M Billets Reports'!D911,SEARCH("-",'R.M Billets Reports'!D911)+1,200)),"")),IF(ISNUMBER(SEARCH("Party Name:-",'R.M Billets Reports'!D912)),TRIM('R.M Billets Reports'!F912),IF(ISNUMBER(SEARCH("Party Name-",'R.M Billets Reports'!D912)),TRIM(MID('R.M Billets Reports'!D912,SEARCH("-",'R.M Billets Reports'!D912)+1,200)),"")))="SHRI RADHE","SHREE RADHE",IF(IF(IF(ISNUMBER(SEARCH("Party Name:-",'R.M Billets Reports'!D911)),TRIM('R.M Billets Reports'!F911),IF(ISNUMBER(SEARCH("Party Name-",'R.M Billets Reports'!D911)),TRIM(MID('R.M Billets Reports'!D911,SEARCH("-",'R.M Billets Reports'!D911)+1,200)),""))&lt;&gt;"",IF(ISNUMBER(SEARCH("Party Name:-",'R.M Billets Reports'!D911)),TRIM('R.M Billets Reports'!F911),IF(ISNUMBER(SEARCH("Party Name-",'R.M Billets Reports'!D911)),TRIM(MID('R.M Billets Reports'!D911,SEARCH("-",'R.M Billets Reports'!D911)+1,200)),"")),IF(ISNUMBER(SEARCH("Party Name:-",'R.M Billets Reports'!D912)),TRIM('R.M Billets Reports'!F912),IF(ISNUMBER(SEARCH("Party Name-",'R.M Billets Reports'!D912)),TRIM(MID('R.M Billets Reports'!D912,SEARCH("-",'R.M Billets Reports'!D912)+1,200)),"")))="SHREE RADHE SHAKTI SPONGE AND POWER PVT. LTD.","SHREE RADHE",IF(IF(ISNUMBER(SEARCH("Party Name:-",'R.M Billets Reports'!D911)),TRIM('R.M Billets Reports'!F911),IF(ISNUMBER(SEARCH("Party Name-",'R.M Billets Reports'!D911)),TRIM(MID('R.M Billets Reports'!D911,SEARCH("-",'R.M Billets Reports'!D911)+1,200)),""))&lt;&gt;"",IF(ISNUMBER(SEARCH("Party Name:-",'R.M Billets Reports'!D911)),TRIM('R.M Billets Reports'!F911),IF(ISNUMBER(SEARCH("Party Name-",'R.M Billets Reports'!D911)),TRIM(MID('R.M Billets Reports'!D911,SEARCH("-",'R.M Billets Reports'!D911)+1,200)),"")),IF(ISNUMBER(SEARCH("Party Name:-",'R.M Billets Reports'!D912)),TRIM('R.M Billets Reports'!F912),IF(ISNUMBER(SEARCH("Party Name-",'R.M Billets Reports'!D912)),TRIM(MID('R.M Billets Reports'!D912,SEARCH("-",'R.M Billets Reports'!D912)+1,200)),"")))))),IF(ROW()=2,"",A911))</f>
      </c>
      <c r="B912">
        <f>IF(OR('R.M Billets Reports'!A911="Date-",'R.M Billets Reports'!A911="Date:-"),'R.M Billets Reports'!B911,IF(ROW()=2,"",B911))</f>
      </c>
      <c r="C912">
        <f>IF('R.M Billets Reports'!A911="V.No.",'R.M Billets Reports'!B911,IF(ROW()=2,"",C911))</f>
      </c>
      <c r="D912">
        <f>IF('R.M Billets Reports'!A911&lt;&gt;"",'R.M Billets Reports'!A911,IF(ROW()=2,"",D911))</f>
      </c>
      <c r="E912">
        <f>IF('R.M Billets Reports'!B911="","",TRIM('R.M Billets Reports'!B911))</f>
      </c>
      <c r="F912">
        <f>'R.M Billets Reports'!C911</f>
      </c>
      <c r="G912">
        <f>'R.M Billets Reports'!D911</f>
      </c>
      <c r="H912">
        <f>'R.M Billets Reports'!E911</f>
      </c>
      <c r="I912">
        <f>'R.M Billets Reports'!F911</f>
      </c>
      <c r="J912">
        <f>'R.M Billets Reports'!G911</f>
      </c>
      <c r="K912">
        <f>'R.M Billets Reports'!H911</f>
      </c>
      <c r="L912">
        <f>IF('R.M Billets Reports'!I911="","",'R.M Billets Reports'!I911)</f>
      </c>
      <c r="M912">
        <f t="shared" si="28"/>
      </c>
      <c r="N912">
        <f>IF('R.M Billets Reports'!J911="","",'R.M Billets Reports'!J911)</f>
      </c>
      <c r="O912">
        <f t="shared" si="29"/>
      </c>
      <c r="P912">
        <f>IF('R.M Billets Reports'!A911="SIZE",'R.M Billets Reports'!B911,P911)</f>
      </c>
    </row>
    <row r="913" spans="1:16" x14ac:dyDescent="0.25">
      <c r="A913">
        <f>IF(OR('R.M Billets Reports'!A912="Date-",'R.M Billets Reports'!A912="Date:-"),IF(IF(IF(ISNUMBER(SEARCH("Party Name:-",'R.M Billets Reports'!D912)),TRIM('R.M Billets Reports'!F912),IF(ISNUMBER(SEARCH("Party Name-",'R.M Billets Reports'!D912)),TRIM(MID('R.M Billets Reports'!D912,SEARCH("-",'R.M Billets Reports'!D912)+1,200)),""))&lt;&gt;"",IF(ISNUMBER(SEARCH("Party Name:-",'R.M Billets Reports'!D912)),TRIM('R.M Billets Reports'!F912),IF(ISNUMBER(SEARCH("Party Name-",'R.M Billets Reports'!D912)),TRIM(MID('R.M Billets Reports'!D912,SEARCH("-",'R.M Billets Reports'!D912)+1,200)),"")),IF(ISNUMBER(SEARCH("Party Name:-",'R.M Billets Reports'!D913)),TRIM('R.M Billets Reports'!F913),IF(ISNUMBER(SEARCH("Party Name-",'R.M Billets Reports'!D913)),TRIM(MID('R.M Billets Reports'!D913,SEARCH("-",'R.M Billets Reports'!D913)+1,200)),"")))="VRKP ISPAT PVT LTD","VRKP",IF(IF(IF(ISNUMBER(SEARCH("Party Name:-",'R.M Billets Reports'!D912)),TRIM('R.M Billets Reports'!F912),IF(ISNUMBER(SEARCH("Party Name-",'R.M Billets Reports'!D912)),TRIM(MID('R.M Billets Reports'!D912,SEARCH("-",'R.M Billets Reports'!D912)+1,200)),""))&lt;&gt;"",IF(ISNUMBER(SEARCH("Party Name:-",'R.M Billets Reports'!D912)),TRIM('R.M Billets Reports'!F912),IF(ISNUMBER(SEARCH("Party Name-",'R.M Billets Reports'!D912)),TRIM(MID('R.M Billets Reports'!D912,SEARCH("-",'R.M Billets Reports'!D912)+1,200)),"")),IF(ISNUMBER(SEARCH("Party Name:-",'R.M Billets Reports'!D913)),TRIM('R.M Billets Reports'!F913),IF(ISNUMBER(SEARCH("Party Name-",'R.M Billets Reports'!D913)),TRIM(MID('R.M Billets Reports'!D913,SEARCH("-",'R.M Billets Reports'!D913)+1,200)),"")))="SHRI RADHE","SHREE RADHE",IF(IF(IF(ISNUMBER(SEARCH("Party Name:-",'R.M Billets Reports'!D912)),TRIM('R.M Billets Reports'!F912),IF(ISNUMBER(SEARCH("Party Name-",'R.M Billets Reports'!D912)),TRIM(MID('R.M Billets Reports'!D912,SEARCH("-",'R.M Billets Reports'!D912)+1,200)),""))&lt;&gt;"",IF(ISNUMBER(SEARCH("Party Name:-",'R.M Billets Reports'!D912)),TRIM('R.M Billets Reports'!F912),IF(ISNUMBER(SEARCH("Party Name-",'R.M Billets Reports'!D912)),TRIM(MID('R.M Billets Reports'!D912,SEARCH("-",'R.M Billets Reports'!D912)+1,200)),"")),IF(ISNUMBER(SEARCH("Party Name:-",'R.M Billets Reports'!D913)),TRIM('R.M Billets Reports'!F913),IF(ISNUMBER(SEARCH("Party Name-",'R.M Billets Reports'!D913)),TRIM(MID('R.M Billets Reports'!D913,SEARCH("-",'R.M Billets Reports'!D913)+1,200)),"")))="SHREE RADHE SHAKTI SPONGE AND POWER PVT. LTD.","SHREE RADHE",IF(IF(ISNUMBER(SEARCH("Party Name:-",'R.M Billets Reports'!D912)),TRIM('R.M Billets Reports'!F912),IF(ISNUMBER(SEARCH("Party Name-",'R.M Billets Reports'!D912)),TRIM(MID('R.M Billets Reports'!D912,SEARCH("-",'R.M Billets Reports'!D912)+1,200)),""))&lt;&gt;"",IF(ISNUMBER(SEARCH("Party Name:-",'R.M Billets Reports'!D912)),TRIM('R.M Billets Reports'!F912),IF(ISNUMBER(SEARCH("Party Name-",'R.M Billets Reports'!D912)),TRIM(MID('R.M Billets Reports'!D912,SEARCH("-",'R.M Billets Reports'!D912)+1,200)),"")),IF(ISNUMBER(SEARCH("Party Name:-",'R.M Billets Reports'!D913)),TRIM('R.M Billets Reports'!F913),IF(ISNUMBER(SEARCH("Party Name-",'R.M Billets Reports'!D913)),TRIM(MID('R.M Billets Reports'!D913,SEARCH("-",'R.M Billets Reports'!D913)+1,200)),"")))))),IF(ROW()=2,"",A912))</f>
      </c>
      <c r="B913">
        <f>IF(OR('R.M Billets Reports'!A912="Date-",'R.M Billets Reports'!A912="Date:-"),'R.M Billets Reports'!B912,IF(ROW()=2,"",B912))</f>
      </c>
      <c r="C913">
        <f>IF('R.M Billets Reports'!A912="V.No.",'R.M Billets Reports'!B912,IF(ROW()=2,"",C912))</f>
      </c>
      <c r="D913">
        <f>IF('R.M Billets Reports'!A912&lt;&gt;"",'R.M Billets Reports'!A912,IF(ROW()=2,"",D912))</f>
      </c>
      <c r="E913">
        <f>IF('R.M Billets Reports'!B912="","",TRIM('R.M Billets Reports'!B912))</f>
      </c>
      <c r="F913">
        <f>'R.M Billets Reports'!C912</f>
      </c>
      <c r="G913">
        <f>'R.M Billets Reports'!D912</f>
      </c>
      <c r="H913">
        <f>'R.M Billets Reports'!E912</f>
      </c>
      <c r="I913">
        <f>'R.M Billets Reports'!F912</f>
      </c>
      <c r="J913">
        <f>'R.M Billets Reports'!G912</f>
      </c>
      <c r="K913">
        <f>'R.M Billets Reports'!H912</f>
      </c>
      <c r="L913">
        <f>IF('R.M Billets Reports'!I912="","",'R.M Billets Reports'!I912)</f>
      </c>
      <c r="M913">
        <f t="shared" si="28"/>
      </c>
      <c r="N913">
        <f>IF('R.M Billets Reports'!J912="","",'R.M Billets Reports'!J912)</f>
      </c>
      <c r="O913">
        <f t="shared" si="29"/>
      </c>
      <c r="P913">
        <f>IF('R.M Billets Reports'!A912="SIZE",'R.M Billets Reports'!B912,P912)</f>
      </c>
    </row>
    <row r="914" spans="1:16" x14ac:dyDescent="0.25">
      <c r="A914">
        <f>IF(OR('R.M Billets Reports'!A913="Date-",'R.M Billets Reports'!A913="Date:-"),IF(IF(IF(ISNUMBER(SEARCH("Party Name:-",'R.M Billets Reports'!D913)),TRIM('R.M Billets Reports'!F913),IF(ISNUMBER(SEARCH("Party Name-",'R.M Billets Reports'!D913)),TRIM(MID('R.M Billets Reports'!D913,SEARCH("-",'R.M Billets Reports'!D913)+1,200)),""))&lt;&gt;"",IF(ISNUMBER(SEARCH("Party Name:-",'R.M Billets Reports'!D913)),TRIM('R.M Billets Reports'!F913),IF(ISNUMBER(SEARCH("Party Name-",'R.M Billets Reports'!D913)),TRIM(MID('R.M Billets Reports'!D913,SEARCH("-",'R.M Billets Reports'!D913)+1,200)),"")),IF(ISNUMBER(SEARCH("Party Name:-",'R.M Billets Reports'!D914)),TRIM('R.M Billets Reports'!F914),IF(ISNUMBER(SEARCH("Party Name-",'R.M Billets Reports'!D914)),TRIM(MID('R.M Billets Reports'!D914,SEARCH("-",'R.M Billets Reports'!D914)+1,200)),"")))="VRKP ISPAT PVT LTD","VRKP",IF(IF(IF(ISNUMBER(SEARCH("Party Name:-",'R.M Billets Reports'!D913)),TRIM('R.M Billets Reports'!F913),IF(ISNUMBER(SEARCH("Party Name-",'R.M Billets Reports'!D913)),TRIM(MID('R.M Billets Reports'!D913,SEARCH("-",'R.M Billets Reports'!D913)+1,200)),""))&lt;&gt;"",IF(ISNUMBER(SEARCH("Party Name:-",'R.M Billets Reports'!D913)),TRIM('R.M Billets Reports'!F913),IF(ISNUMBER(SEARCH("Party Name-",'R.M Billets Reports'!D913)),TRIM(MID('R.M Billets Reports'!D913,SEARCH("-",'R.M Billets Reports'!D913)+1,200)),"")),IF(ISNUMBER(SEARCH("Party Name:-",'R.M Billets Reports'!D914)),TRIM('R.M Billets Reports'!F914),IF(ISNUMBER(SEARCH("Party Name-",'R.M Billets Reports'!D914)),TRIM(MID('R.M Billets Reports'!D914,SEARCH("-",'R.M Billets Reports'!D914)+1,200)),"")))="SHRI RADHE","SHREE RADHE",IF(IF(IF(ISNUMBER(SEARCH("Party Name:-",'R.M Billets Reports'!D913)),TRIM('R.M Billets Reports'!F913),IF(ISNUMBER(SEARCH("Party Name-",'R.M Billets Reports'!D913)),TRIM(MID('R.M Billets Reports'!D913,SEARCH("-",'R.M Billets Reports'!D913)+1,200)),""))&lt;&gt;"",IF(ISNUMBER(SEARCH("Party Name:-",'R.M Billets Reports'!D913)),TRIM('R.M Billets Reports'!F913),IF(ISNUMBER(SEARCH("Party Name-",'R.M Billets Reports'!D913)),TRIM(MID('R.M Billets Reports'!D913,SEARCH("-",'R.M Billets Reports'!D913)+1,200)),"")),IF(ISNUMBER(SEARCH("Party Name:-",'R.M Billets Reports'!D914)),TRIM('R.M Billets Reports'!F914),IF(ISNUMBER(SEARCH("Party Name-",'R.M Billets Reports'!D914)),TRIM(MID('R.M Billets Reports'!D914,SEARCH("-",'R.M Billets Reports'!D914)+1,200)),"")))="SHREE RADHE SHAKTI SPONGE AND POWER PVT. LTD.","SHREE RADHE",IF(IF(ISNUMBER(SEARCH("Party Name:-",'R.M Billets Reports'!D913)),TRIM('R.M Billets Reports'!F913),IF(ISNUMBER(SEARCH("Party Name-",'R.M Billets Reports'!D913)),TRIM(MID('R.M Billets Reports'!D913,SEARCH("-",'R.M Billets Reports'!D913)+1,200)),""))&lt;&gt;"",IF(ISNUMBER(SEARCH("Party Name:-",'R.M Billets Reports'!D913)),TRIM('R.M Billets Reports'!F913),IF(ISNUMBER(SEARCH("Party Name-",'R.M Billets Reports'!D913)),TRIM(MID('R.M Billets Reports'!D913,SEARCH("-",'R.M Billets Reports'!D913)+1,200)),"")),IF(ISNUMBER(SEARCH("Party Name:-",'R.M Billets Reports'!D914)),TRIM('R.M Billets Reports'!F914),IF(ISNUMBER(SEARCH("Party Name-",'R.M Billets Reports'!D914)),TRIM(MID('R.M Billets Reports'!D914,SEARCH("-",'R.M Billets Reports'!D914)+1,200)),"")))))),IF(ROW()=2,"",A913))</f>
      </c>
      <c r="B914">
        <f>IF(OR('R.M Billets Reports'!A913="Date-",'R.M Billets Reports'!A913="Date:-"),'R.M Billets Reports'!B913,IF(ROW()=2,"",B913))</f>
      </c>
      <c r="C914">
        <f>IF('R.M Billets Reports'!A913="V.No.",'R.M Billets Reports'!B913,IF(ROW()=2,"",C913))</f>
      </c>
      <c r="D914">
        <f>IF('R.M Billets Reports'!A913&lt;&gt;"",'R.M Billets Reports'!A913,IF(ROW()=2,"",D913))</f>
      </c>
      <c r="E914">
        <f>IF('R.M Billets Reports'!B913="","",TRIM('R.M Billets Reports'!B913))</f>
      </c>
      <c r="F914">
        <f>'R.M Billets Reports'!C913</f>
      </c>
      <c r="G914">
        <f>'R.M Billets Reports'!D913</f>
      </c>
      <c r="H914">
        <f>'R.M Billets Reports'!E913</f>
      </c>
      <c r="I914">
        <f>'R.M Billets Reports'!F913</f>
      </c>
      <c r="J914">
        <f>'R.M Billets Reports'!G913</f>
      </c>
      <c r="K914">
        <f>'R.M Billets Reports'!H913</f>
      </c>
      <c r="L914">
        <f>IF('R.M Billets Reports'!I913="","",'R.M Billets Reports'!I913)</f>
      </c>
      <c r="M914">
        <f t="shared" si="28"/>
      </c>
      <c r="N914">
        <f>IF('R.M Billets Reports'!J913="","",'R.M Billets Reports'!J913)</f>
      </c>
      <c r="O914">
        <f t="shared" si="29"/>
      </c>
      <c r="P914">
        <f>IF('R.M Billets Reports'!A913="SIZE",'R.M Billets Reports'!B913,P913)</f>
      </c>
    </row>
    <row r="915" spans="1:16" x14ac:dyDescent="0.25">
      <c r="A915">
        <f>IF(OR('R.M Billets Reports'!A914="Date-",'R.M Billets Reports'!A914="Date:-"),IF(IF(IF(ISNUMBER(SEARCH("Party Name:-",'R.M Billets Reports'!D914)),TRIM('R.M Billets Reports'!F914),IF(ISNUMBER(SEARCH("Party Name-",'R.M Billets Reports'!D914)),TRIM(MID('R.M Billets Reports'!D914,SEARCH("-",'R.M Billets Reports'!D914)+1,200)),""))&lt;&gt;"",IF(ISNUMBER(SEARCH("Party Name:-",'R.M Billets Reports'!D914)),TRIM('R.M Billets Reports'!F914),IF(ISNUMBER(SEARCH("Party Name-",'R.M Billets Reports'!D914)),TRIM(MID('R.M Billets Reports'!D914,SEARCH("-",'R.M Billets Reports'!D914)+1,200)),"")),IF(ISNUMBER(SEARCH("Party Name:-",'R.M Billets Reports'!D915)),TRIM('R.M Billets Reports'!F915),IF(ISNUMBER(SEARCH("Party Name-",'R.M Billets Reports'!D915)),TRIM(MID('R.M Billets Reports'!D915,SEARCH("-",'R.M Billets Reports'!D915)+1,200)),"")))="VRKP ISPAT PVT LTD","VRKP",IF(IF(IF(ISNUMBER(SEARCH("Party Name:-",'R.M Billets Reports'!D914)),TRIM('R.M Billets Reports'!F914),IF(ISNUMBER(SEARCH("Party Name-",'R.M Billets Reports'!D914)),TRIM(MID('R.M Billets Reports'!D914,SEARCH("-",'R.M Billets Reports'!D914)+1,200)),""))&lt;&gt;"",IF(ISNUMBER(SEARCH("Party Name:-",'R.M Billets Reports'!D914)),TRIM('R.M Billets Reports'!F914),IF(ISNUMBER(SEARCH("Party Name-",'R.M Billets Reports'!D914)),TRIM(MID('R.M Billets Reports'!D914,SEARCH("-",'R.M Billets Reports'!D914)+1,200)),"")),IF(ISNUMBER(SEARCH("Party Name:-",'R.M Billets Reports'!D915)),TRIM('R.M Billets Reports'!F915),IF(ISNUMBER(SEARCH("Party Name-",'R.M Billets Reports'!D915)),TRIM(MID('R.M Billets Reports'!D915,SEARCH("-",'R.M Billets Reports'!D915)+1,200)),"")))="SHRI RADHE","SHREE RADHE",IF(IF(IF(ISNUMBER(SEARCH("Party Name:-",'R.M Billets Reports'!D914)),TRIM('R.M Billets Reports'!F914),IF(ISNUMBER(SEARCH("Party Name-",'R.M Billets Reports'!D914)),TRIM(MID('R.M Billets Reports'!D914,SEARCH("-",'R.M Billets Reports'!D914)+1,200)),""))&lt;&gt;"",IF(ISNUMBER(SEARCH("Party Name:-",'R.M Billets Reports'!D914)),TRIM('R.M Billets Reports'!F914),IF(ISNUMBER(SEARCH("Party Name-",'R.M Billets Reports'!D914)),TRIM(MID('R.M Billets Reports'!D914,SEARCH("-",'R.M Billets Reports'!D914)+1,200)),"")),IF(ISNUMBER(SEARCH("Party Name:-",'R.M Billets Reports'!D915)),TRIM('R.M Billets Reports'!F915),IF(ISNUMBER(SEARCH("Party Name-",'R.M Billets Reports'!D915)),TRIM(MID('R.M Billets Reports'!D915,SEARCH("-",'R.M Billets Reports'!D915)+1,200)),"")))="SHREE RADHE SHAKTI SPONGE AND POWER PVT. LTD.","SHREE RADHE",IF(IF(ISNUMBER(SEARCH("Party Name:-",'R.M Billets Reports'!D914)),TRIM('R.M Billets Reports'!F914),IF(ISNUMBER(SEARCH("Party Name-",'R.M Billets Reports'!D914)),TRIM(MID('R.M Billets Reports'!D914,SEARCH("-",'R.M Billets Reports'!D914)+1,200)),""))&lt;&gt;"",IF(ISNUMBER(SEARCH("Party Name:-",'R.M Billets Reports'!D914)),TRIM('R.M Billets Reports'!F914),IF(ISNUMBER(SEARCH("Party Name-",'R.M Billets Reports'!D914)),TRIM(MID('R.M Billets Reports'!D914,SEARCH("-",'R.M Billets Reports'!D914)+1,200)),"")),IF(ISNUMBER(SEARCH("Party Name:-",'R.M Billets Reports'!D915)),TRIM('R.M Billets Reports'!F915),IF(ISNUMBER(SEARCH("Party Name-",'R.M Billets Reports'!D915)),TRIM(MID('R.M Billets Reports'!D915,SEARCH("-",'R.M Billets Reports'!D915)+1,200)),"")))))),IF(ROW()=2,"",A914))</f>
      </c>
      <c r="B915">
        <f>IF(OR('R.M Billets Reports'!A914="Date-",'R.M Billets Reports'!A914="Date:-"),'R.M Billets Reports'!B914,IF(ROW()=2,"",B914))</f>
      </c>
      <c r="C915">
        <f>IF('R.M Billets Reports'!A914="V.No.",'R.M Billets Reports'!B914,IF(ROW()=2,"",C914))</f>
      </c>
      <c r="D915">
        <f>IF('R.M Billets Reports'!A914&lt;&gt;"",'R.M Billets Reports'!A914,IF(ROW()=2,"",D914))</f>
      </c>
      <c r="E915">
        <f>IF('R.M Billets Reports'!B914="","",TRIM('R.M Billets Reports'!B914))</f>
      </c>
      <c r="F915">
        <f>'R.M Billets Reports'!C914</f>
      </c>
      <c r="G915">
        <f>'R.M Billets Reports'!D914</f>
      </c>
      <c r="H915">
        <f>'R.M Billets Reports'!E914</f>
      </c>
      <c r="I915">
        <f>'R.M Billets Reports'!F914</f>
      </c>
      <c r="J915">
        <f>'R.M Billets Reports'!G914</f>
      </c>
      <c r="K915">
        <f>'R.M Billets Reports'!H914</f>
      </c>
      <c r="L915">
        <f>IF('R.M Billets Reports'!I914="","",'R.M Billets Reports'!I914)</f>
      </c>
      <c r="M915">
        <f t="shared" si="28"/>
      </c>
      <c r="N915">
        <f>IF('R.M Billets Reports'!J914="","",'R.M Billets Reports'!J914)</f>
      </c>
      <c r="O915">
        <f t="shared" si="29"/>
      </c>
      <c r="P915">
        <f>IF('R.M Billets Reports'!A914="SIZE",'R.M Billets Reports'!B914,P914)</f>
      </c>
    </row>
    <row r="916" spans="1:16" x14ac:dyDescent="0.25">
      <c r="A916">
        <f>IF(OR('R.M Billets Reports'!A915="Date-",'R.M Billets Reports'!A915="Date:-"),IF(IF(IF(ISNUMBER(SEARCH("Party Name:-",'R.M Billets Reports'!D915)),TRIM('R.M Billets Reports'!F915),IF(ISNUMBER(SEARCH("Party Name-",'R.M Billets Reports'!D915)),TRIM(MID('R.M Billets Reports'!D915,SEARCH("-",'R.M Billets Reports'!D915)+1,200)),""))&lt;&gt;"",IF(ISNUMBER(SEARCH("Party Name:-",'R.M Billets Reports'!D915)),TRIM('R.M Billets Reports'!F915),IF(ISNUMBER(SEARCH("Party Name-",'R.M Billets Reports'!D915)),TRIM(MID('R.M Billets Reports'!D915,SEARCH("-",'R.M Billets Reports'!D915)+1,200)),"")),IF(ISNUMBER(SEARCH("Party Name:-",'R.M Billets Reports'!D916)),TRIM('R.M Billets Reports'!F916),IF(ISNUMBER(SEARCH("Party Name-",'R.M Billets Reports'!D916)),TRIM(MID('R.M Billets Reports'!D916,SEARCH("-",'R.M Billets Reports'!D916)+1,200)),"")))="VRKP ISPAT PVT LTD","VRKP",IF(IF(IF(ISNUMBER(SEARCH("Party Name:-",'R.M Billets Reports'!D915)),TRIM('R.M Billets Reports'!F915),IF(ISNUMBER(SEARCH("Party Name-",'R.M Billets Reports'!D915)),TRIM(MID('R.M Billets Reports'!D915,SEARCH("-",'R.M Billets Reports'!D915)+1,200)),""))&lt;&gt;"",IF(ISNUMBER(SEARCH("Party Name:-",'R.M Billets Reports'!D915)),TRIM('R.M Billets Reports'!F915),IF(ISNUMBER(SEARCH("Party Name-",'R.M Billets Reports'!D915)),TRIM(MID('R.M Billets Reports'!D915,SEARCH("-",'R.M Billets Reports'!D915)+1,200)),"")),IF(ISNUMBER(SEARCH("Party Name:-",'R.M Billets Reports'!D916)),TRIM('R.M Billets Reports'!F916),IF(ISNUMBER(SEARCH("Party Name-",'R.M Billets Reports'!D916)),TRIM(MID('R.M Billets Reports'!D916,SEARCH("-",'R.M Billets Reports'!D916)+1,200)),"")))="SHRI RADHE","SHREE RADHE",IF(IF(IF(ISNUMBER(SEARCH("Party Name:-",'R.M Billets Reports'!D915)),TRIM('R.M Billets Reports'!F915),IF(ISNUMBER(SEARCH("Party Name-",'R.M Billets Reports'!D915)),TRIM(MID('R.M Billets Reports'!D915,SEARCH("-",'R.M Billets Reports'!D915)+1,200)),""))&lt;&gt;"",IF(ISNUMBER(SEARCH("Party Name:-",'R.M Billets Reports'!D915)),TRIM('R.M Billets Reports'!F915),IF(ISNUMBER(SEARCH("Party Name-",'R.M Billets Reports'!D915)),TRIM(MID('R.M Billets Reports'!D915,SEARCH("-",'R.M Billets Reports'!D915)+1,200)),"")),IF(ISNUMBER(SEARCH("Party Name:-",'R.M Billets Reports'!D916)),TRIM('R.M Billets Reports'!F916),IF(ISNUMBER(SEARCH("Party Name-",'R.M Billets Reports'!D916)),TRIM(MID('R.M Billets Reports'!D916,SEARCH("-",'R.M Billets Reports'!D916)+1,200)),"")))="SHREE RADHE SHAKTI SPONGE AND POWER PVT. LTD.","SHREE RADHE",IF(IF(ISNUMBER(SEARCH("Party Name:-",'R.M Billets Reports'!D915)),TRIM('R.M Billets Reports'!F915),IF(ISNUMBER(SEARCH("Party Name-",'R.M Billets Reports'!D915)),TRIM(MID('R.M Billets Reports'!D915,SEARCH("-",'R.M Billets Reports'!D915)+1,200)),""))&lt;&gt;"",IF(ISNUMBER(SEARCH("Party Name:-",'R.M Billets Reports'!D915)),TRIM('R.M Billets Reports'!F915),IF(ISNUMBER(SEARCH("Party Name-",'R.M Billets Reports'!D915)),TRIM(MID('R.M Billets Reports'!D915,SEARCH("-",'R.M Billets Reports'!D915)+1,200)),"")),IF(ISNUMBER(SEARCH("Party Name:-",'R.M Billets Reports'!D916)),TRIM('R.M Billets Reports'!F916),IF(ISNUMBER(SEARCH("Party Name-",'R.M Billets Reports'!D916)),TRIM(MID('R.M Billets Reports'!D916,SEARCH("-",'R.M Billets Reports'!D916)+1,200)),"")))))),IF(ROW()=2,"",A915))</f>
      </c>
      <c r="B916">
        <f>IF(OR('R.M Billets Reports'!A915="Date-",'R.M Billets Reports'!A915="Date:-"),'R.M Billets Reports'!B915,IF(ROW()=2,"",B915))</f>
      </c>
      <c r="C916">
        <f>IF('R.M Billets Reports'!A915="V.No.",'R.M Billets Reports'!B915,IF(ROW()=2,"",C915))</f>
      </c>
      <c r="D916">
        <f>IF('R.M Billets Reports'!A915&lt;&gt;"",'R.M Billets Reports'!A915,IF(ROW()=2,"",D915))</f>
      </c>
      <c r="E916">
        <f>IF('R.M Billets Reports'!B915="","",TRIM('R.M Billets Reports'!B915))</f>
      </c>
      <c r="F916">
        <f>'R.M Billets Reports'!C915</f>
      </c>
      <c r="G916">
        <f>'R.M Billets Reports'!D915</f>
      </c>
      <c r="H916">
        <f>'R.M Billets Reports'!E915</f>
      </c>
      <c r="I916">
        <f>'R.M Billets Reports'!F915</f>
      </c>
      <c r="J916">
        <f>'R.M Billets Reports'!G915</f>
      </c>
      <c r="K916">
        <f>'R.M Billets Reports'!H915</f>
      </c>
      <c r="L916">
        <f>IF('R.M Billets Reports'!I915="","",'R.M Billets Reports'!I915)</f>
      </c>
      <c r="M916">
        <f t="shared" si="28"/>
      </c>
      <c r="N916">
        <f>IF('R.M Billets Reports'!J915="","",'R.M Billets Reports'!J915)</f>
      </c>
      <c r="O916">
        <f t="shared" si="29"/>
      </c>
      <c r="P916">
        <f>IF('R.M Billets Reports'!A915="SIZE",'R.M Billets Reports'!B915,P915)</f>
      </c>
    </row>
    <row r="917" spans="1:16" x14ac:dyDescent="0.25">
      <c r="A917">
        <f>IF(OR('R.M Billets Reports'!A916="Date-",'R.M Billets Reports'!A916="Date:-"),IF(IF(IF(ISNUMBER(SEARCH("Party Name:-",'R.M Billets Reports'!D916)),TRIM('R.M Billets Reports'!F916),IF(ISNUMBER(SEARCH("Party Name-",'R.M Billets Reports'!D916)),TRIM(MID('R.M Billets Reports'!D916,SEARCH("-",'R.M Billets Reports'!D916)+1,200)),""))&lt;&gt;"",IF(ISNUMBER(SEARCH("Party Name:-",'R.M Billets Reports'!D916)),TRIM('R.M Billets Reports'!F916),IF(ISNUMBER(SEARCH("Party Name-",'R.M Billets Reports'!D916)),TRIM(MID('R.M Billets Reports'!D916,SEARCH("-",'R.M Billets Reports'!D916)+1,200)),"")),IF(ISNUMBER(SEARCH("Party Name:-",'R.M Billets Reports'!D917)),TRIM('R.M Billets Reports'!F917),IF(ISNUMBER(SEARCH("Party Name-",'R.M Billets Reports'!D917)),TRIM(MID('R.M Billets Reports'!D917,SEARCH("-",'R.M Billets Reports'!D917)+1,200)),"")))="VRKP ISPAT PVT LTD","VRKP",IF(IF(IF(ISNUMBER(SEARCH("Party Name:-",'R.M Billets Reports'!D916)),TRIM('R.M Billets Reports'!F916),IF(ISNUMBER(SEARCH("Party Name-",'R.M Billets Reports'!D916)),TRIM(MID('R.M Billets Reports'!D916,SEARCH("-",'R.M Billets Reports'!D916)+1,200)),""))&lt;&gt;"",IF(ISNUMBER(SEARCH("Party Name:-",'R.M Billets Reports'!D916)),TRIM('R.M Billets Reports'!F916),IF(ISNUMBER(SEARCH("Party Name-",'R.M Billets Reports'!D916)),TRIM(MID('R.M Billets Reports'!D916,SEARCH("-",'R.M Billets Reports'!D916)+1,200)),"")),IF(ISNUMBER(SEARCH("Party Name:-",'R.M Billets Reports'!D917)),TRIM('R.M Billets Reports'!F917),IF(ISNUMBER(SEARCH("Party Name-",'R.M Billets Reports'!D917)),TRIM(MID('R.M Billets Reports'!D917,SEARCH("-",'R.M Billets Reports'!D917)+1,200)),"")))="SHRI RADHE","SHREE RADHE",IF(IF(IF(ISNUMBER(SEARCH("Party Name:-",'R.M Billets Reports'!D916)),TRIM('R.M Billets Reports'!F916),IF(ISNUMBER(SEARCH("Party Name-",'R.M Billets Reports'!D916)),TRIM(MID('R.M Billets Reports'!D916,SEARCH("-",'R.M Billets Reports'!D916)+1,200)),""))&lt;&gt;"",IF(ISNUMBER(SEARCH("Party Name:-",'R.M Billets Reports'!D916)),TRIM('R.M Billets Reports'!F916),IF(ISNUMBER(SEARCH("Party Name-",'R.M Billets Reports'!D916)),TRIM(MID('R.M Billets Reports'!D916,SEARCH("-",'R.M Billets Reports'!D916)+1,200)),"")),IF(ISNUMBER(SEARCH("Party Name:-",'R.M Billets Reports'!D917)),TRIM('R.M Billets Reports'!F917),IF(ISNUMBER(SEARCH("Party Name-",'R.M Billets Reports'!D917)),TRIM(MID('R.M Billets Reports'!D917,SEARCH("-",'R.M Billets Reports'!D917)+1,200)),"")))="SHREE RADHE SHAKTI SPONGE AND POWER PVT. LTD.","SHREE RADHE",IF(IF(ISNUMBER(SEARCH("Party Name:-",'R.M Billets Reports'!D916)),TRIM('R.M Billets Reports'!F916),IF(ISNUMBER(SEARCH("Party Name-",'R.M Billets Reports'!D916)),TRIM(MID('R.M Billets Reports'!D916,SEARCH("-",'R.M Billets Reports'!D916)+1,200)),""))&lt;&gt;"",IF(ISNUMBER(SEARCH("Party Name:-",'R.M Billets Reports'!D916)),TRIM('R.M Billets Reports'!F916),IF(ISNUMBER(SEARCH("Party Name-",'R.M Billets Reports'!D916)),TRIM(MID('R.M Billets Reports'!D916,SEARCH("-",'R.M Billets Reports'!D916)+1,200)),"")),IF(ISNUMBER(SEARCH("Party Name:-",'R.M Billets Reports'!D917)),TRIM('R.M Billets Reports'!F917),IF(ISNUMBER(SEARCH("Party Name-",'R.M Billets Reports'!D917)),TRIM(MID('R.M Billets Reports'!D917,SEARCH("-",'R.M Billets Reports'!D917)+1,200)),"")))))),IF(ROW()=2,"",A916))</f>
      </c>
      <c r="B917">
        <f>IF(OR('R.M Billets Reports'!A916="Date-",'R.M Billets Reports'!A916="Date:-"),'R.M Billets Reports'!B916,IF(ROW()=2,"",B916))</f>
      </c>
      <c r="C917">
        <f>IF('R.M Billets Reports'!A916="V.No.",'R.M Billets Reports'!B916,IF(ROW()=2,"",C916))</f>
      </c>
      <c r="D917">
        <f>IF('R.M Billets Reports'!A916&lt;&gt;"",'R.M Billets Reports'!A916,IF(ROW()=2,"",D916))</f>
      </c>
      <c r="E917">
        <f>IF('R.M Billets Reports'!B916="","",TRIM('R.M Billets Reports'!B916))</f>
      </c>
      <c r="F917">
        <f>'R.M Billets Reports'!C916</f>
      </c>
      <c r="G917">
        <f>'R.M Billets Reports'!D916</f>
      </c>
      <c r="H917">
        <f>'R.M Billets Reports'!E916</f>
      </c>
      <c r="I917">
        <f>'R.M Billets Reports'!F916</f>
      </c>
      <c r="J917">
        <f>'R.M Billets Reports'!G916</f>
      </c>
      <c r="K917">
        <f>'R.M Billets Reports'!H916</f>
      </c>
      <c r="L917">
        <f>IF('R.M Billets Reports'!I916="","",'R.M Billets Reports'!I916)</f>
      </c>
      <c r="M917">
        <f t="shared" si="28"/>
      </c>
      <c r="N917">
        <f>IF('R.M Billets Reports'!J916="","",'R.M Billets Reports'!J916)</f>
      </c>
      <c r="O917">
        <f t="shared" si="29"/>
      </c>
      <c r="P917">
        <f>IF('R.M Billets Reports'!A916="SIZE",'R.M Billets Reports'!B916,P916)</f>
      </c>
    </row>
    <row r="918" spans="1:16" x14ac:dyDescent="0.25">
      <c r="A918">
        <f>IF(OR('R.M Billets Reports'!A917="Date-",'R.M Billets Reports'!A917="Date:-"),IF(IF(IF(ISNUMBER(SEARCH("Party Name:-",'R.M Billets Reports'!D917)),TRIM('R.M Billets Reports'!F917),IF(ISNUMBER(SEARCH("Party Name-",'R.M Billets Reports'!D917)),TRIM(MID('R.M Billets Reports'!D917,SEARCH("-",'R.M Billets Reports'!D917)+1,200)),""))&lt;&gt;"",IF(ISNUMBER(SEARCH("Party Name:-",'R.M Billets Reports'!D917)),TRIM('R.M Billets Reports'!F917),IF(ISNUMBER(SEARCH("Party Name-",'R.M Billets Reports'!D917)),TRIM(MID('R.M Billets Reports'!D917,SEARCH("-",'R.M Billets Reports'!D917)+1,200)),"")),IF(ISNUMBER(SEARCH("Party Name:-",'R.M Billets Reports'!D918)),TRIM('R.M Billets Reports'!F918),IF(ISNUMBER(SEARCH("Party Name-",'R.M Billets Reports'!D918)),TRIM(MID('R.M Billets Reports'!D918,SEARCH("-",'R.M Billets Reports'!D918)+1,200)),"")))="VRKP ISPAT PVT LTD","VRKP",IF(IF(IF(ISNUMBER(SEARCH("Party Name:-",'R.M Billets Reports'!D917)),TRIM('R.M Billets Reports'!F917),IF(ISNUMBER(SEARCH("Party Name-",'R.M Billets Reports'!D917)),TRIM(MID('R.M Billets Reports'!D917,SEARCH("-",'R.M Billets Reports'!D917)+1,200)),""))&lt;&gt;"",IF(ISNUMBER(SEARCH("Party Name:-",'R.M Billets Reports'!D917)),TRIM('R.M Billets Reports'!F917),IF(ISNUMBER(SEARCH("Party Name-",'R.M Billets Reports'!D917)),TRIM(MID('R.M Billets Reports'!D917,SEARCH("-",'R.M Billets Reports'!D917)+1,200)),"")),IF(ISNUMBER(SEARCH("Party Name:-",'R.M Billets Reports'!D918)),TRIM('R.M Billets Reports'!F918),IF(ISNUMBER(SEARCH("Party Name-",'R.M Billets Reports'!D918)),TRIM(MID('R.M Billets Reports'!D918,SEARCH("-",'R.M Billets Reports'!D918)+1,200)),"")))="SHRI RADHE","SHREE RADHE",IF(IF(IF(ISNUMBER(SEARCH("Party Name:-",'R.M Billets Reports'!D917)),TRIM('R.M Billets Reports'!F917),IF(ISNUMBER(SEARCH("Party Name-",'R.M Billets Reports'!D917)),TRIM(MID('R.M Billets Reports'!D917,SEARCH("-",'R.M Billets Reports'!D917)+1,200)),""))&lt;&gt;"",IF(ISNUMBER(SEARCH("Party Name:-",'R.M Billets Reports'!D917)),TRIM('R.M Billets Reports'!F917),IF(ISNUMBER(SEARCH("Party Name-",'R.M Billets Reports'!D917)),TRIM(MID('R.M Billets Reports'!D917,SEARCH("-",'R.M Billets Reports'!D917)+1,200)),"")),IF(ISNUMBER(SEARCH("Party Name:-",'R.M Billets Reports'!D918)),TRIM('R.M Billets Reports'!F918),IF(ISNUMBER(SEARCH("Party Name-",'R.M Billets Reports'!D918)),TRIM(MID('R.M Billets Reports'!D918,SEARCH("-",'R.M Billets Reports'!D918)+1,200)),"")))="SHREE RADHE SHAKTI SPONGE AND POWER PVT. LTD.","SHREE RADHE",IF(IF(ISNUMBER(SEARCH("Party Name:-",'R.M Billets Reports'!D917)),TRIM('R.M Billets Reports'!F917),IF(ISNUMBER(SEARCH("Party Name-",'R.M Billets Reports'!D917)),TRIM(MID('R.M Billets Reports'!D917,SEARCH("-",'R.M Billets Reports'!D917)+1,200)),""))&lt;&gt;"",IF(ISNUMBER(SEARCH("Party Name:-",'R.M Billets Reports'!D917)),TRIM('R.M Billets Reports'!F917),IF(ISNUMBER(SEARCH("Party Name-",'R.M Billets Reports'!D917)),TRIM(MID('R.M Billets Reports'!D917,SEARCH("-",'R.M Billets Reports'!D917)+1,200)),"")),IF(ISNUMBER(SEARCH("Party Name:-",'R.M Billets Reports'!D918)),TRIM('R.M Billets Reports'!F918),IF(ISNUMBER(SEARCH("Party Name-",'R.M Billets Reports'!D918)),TRIM(MID('R.M Billets Reports'!D918,SEARCH("-",'R.M Billets Reports'!D918)+1,200)),"")))))),IF(ROW()=2,"",A917))</f>
      </c>
      <c r="B918">
        <f>IF(OR('R.M Billets Reports'!A917="Date-",'R.M Billets Reports'!A917="Date:-"),'R.M Billets Reports'!B917,IF(ROW()=2,"",B917))</f>
      </c>
      <c r="C918">
        <f>IF('R.M Billets Reports'!A917="V.No.",'R.M Billets Reports'!B917,IF(ROW()=2,"",C917))</f>
      </c>
      <c r="D918">
        <f>IF('R.M Billets Reports'!A917&lt;&gt;"",'R.M Billets Reports'!A917,IF(ROW()=2,"",D917))</f>
      </c>
      <c r="E918">
        <f>IF('R.M Billets Reports'!B917="","",TRIM('R.M Billets Reports'!B917))</f>
      </c>
      <c r="F918">
        <f>'R.M Billets Reports'!C917</f>
      </c>
      <c r="G918">
        <f>'R.M Billets Reports'!D917</f>
      </c>
      <c r="H918">
        <f>'R.M Billets Reports'!E917</f>
      </c>
      <c r="I918">
        <f>'R.M Billets Reports'!F917</f>
      </c>
      <c r="J918">
        <f>'R.M Billets Reports'!G917</f>
      </c>
      <c r="K918">
        <f>'R.M Billets Reports'!H917</f>
      </c>
      <c r="L918">
        <f>IF('R.M Billets Reports'!I917="","",'R.M Billets Reports'!I917)</f>
      </c>
      <c r="M918">
        <f t="shared" si="28"/>
      </c>
      <c r="N918">
        <f>IF('R.M Billets Reports'!J917="","",'R.M Billets Reports'!J917)</f>
      </c>
      <c r="O918">
        <f t="shared" si="29"/>
      </c>
      <c r="P918">
        <f>IF('R.M Billets Reports'!A917="SIZE",'R.M Billets Reports'!B917,P917)</f>
      </c>
    </row>
    <row r="919" spans="1:16" x14ac:dyDescent="0.25">
      <c r="A919">
        <f>IF(OR('R.M Billets Reports'!A918="Date-",'R.M Billets Reports'!A918="Date:-"),IF(IF(IF(ISNUMBER(SEARCH("Party Name:-",'R.M Billets Reports'!D918)),TRIM('R.M Billets Reports'!F918),IF(ISNUMBER(SEARCH("Party Name-",'R.M Billets Reports'!D918)),TRIM(MID('R.M Billets Reports'!D918,SEARCH("-",'R.M Billets Reports'!D918)+1,200)),""))&lt;&gt;"",IF(ISNUMBER(SEARCH("Party Name:-",'R.M Billets Reports'!D918)),TRIM('R.M Billets Reports'!F918),IF(ISNUMBER(SEARCH("Party Name-",'R.M Billets Reports'!D918)),TRIM(MID('R.M Billets Reports'!D918,SEARCH("-",'R.M Billets Reports'!D918)+1,200)),"")),IF(ISNUMBER(SEARCH("Party Name:-",'R.M Billets Reports'!D919)),TRIM('R.M Billets Reports'!F919),IF(ISNUMBER(SEARCH("Party Name-",'R.M Billets Reports'!D919)),TRIM(MID('R.M Billets Reports'!D919,SEARCH("-",'R.M Billets Reports'!D919)+1,200)),"")))="VRKP ISPAT PVT LTD","VRKP",IF(IF(IF(ISNUMBER(SEARCH("Party Name:-",'R.M Billets Reports'!D918)),TRIM('R.M Billets Reports'!F918),IF(ISNUMBER(SEARCH("Party Name-",'R.M Billets Reports'!D918)),TRIM(MID('R.M Billets Reports'!D918,SEARCH("-",'R.M Billets Reports'!D918)+1,200)),""))&lt;&gt;"",IF(ISNUMBER(SEARCH("Party Name:-",'R.M Billets Reports'!D918)),TRIM('R.M Billets Reports'!F918),IF(ISNUMBER(SEARCH("Party Name-",'R.M Billets Reports'!D918)),TRIM(MID('R.M Billets Reports'!D918,SEARCH("-",'R.M Billets Reports'!D918)+1,200)),"")),IF(ISNUMBER(SEARCH("Party Name:-",'R.M Billets Reports'!D919)),TRIM('R.M Billets Reports'!F919),IF(ISNUMBER(SEARCH("Party Name-",'R.M Billets Reports'!D919)),TRIM(MID('R.M Billets Reports'!D919,SEARCH("-",'R.M Billets Reports'!D919)+1,200)),"")))="SHRI RADHE","SHREE RADHE",IF(IF(IF(ISNUMBER(SEARCH("Party Name:-",'R.M Billets Reports'!D918)),TRIM('R.M Billets Reports'!F918),IF(ISNUMBER(SEARCH("Party Name-",'R.M Billets Reports'!D918)),TRIM(MID('R.M Billets Reports'!D918,SEARCH("-",'R.M Billets Reports'!D918)+1,200)),""))&lt;&gt;"",IF(ISNUMBER(SEARCH("Party Name:-",'R.M Billets Reports'!D918)),TRIM('R.M Billets Reports'!F918),IF(ISNUMBER(SEARCH("Party Name-",'R.M Billets Reports'!D918)),TRIM(MID('R.M Billets Reports'!D918,SEARCH("-",'R.M Billets Reports'!D918)+1,200)),"")),IF(ISNUMBER(SEARCH("Party Name:-",'R.M Billets Reports'!D919)),TRIM('R.M Billets Reports'!F919),IF(ISNUMBER(SEARCH("Party Name-",'R.M Billets Reports'!D919)),TRIM(MID('R.M Billets Reports'!D919,SEARCH("-",'R.M Billets Reports'!D919)+1,200)),"")))="SHREE RADHE SHAKTI SPONGE AND POWER PVT. LTD.","SHREE RADHE",IF(IF(ISNUMBER(SEARCH("Party Name:-",'R.M Billets Reports'!D918)),TRIM('R.M Billets Reports'!F918),IF(ISNUMBER(SEARCH("Party Name-",'R.M Billets Reports'!D918)),TRIM(MID('R.M Billets Reports'!D918,SEARCH("-",'R.M Billets Reports'!D918)+1,200)),""))&lt;&gt;"",IF(ISNUMBER(SEARCH("Party Name:-",'R.M Billets Reports'!D918)),TRIM('R.M Billets Reports'!F918),IF(ISNUMBER(SEARCH("Party Name-",'R.M Billets Reports'!D918)),TRIM(MID('R.M Billets Reports'!D918,SEARCH("-",'R.M Billets Reports'!D918)+1,200)),"")),IF(ISNUMBER(SEARCH("Party Name:-",'R.M Billets Reports'!D919)),TRIM('R.M Billets Reports'!F919),IF(ISNUMBER(SEARCH("Party Name-",'R.M Billets Reports'!D919)),TRIM(MID('R.M Billets Reports'!D919,SEARCH("-",'R.M Billets Reports'!D919)+1,200)),"")))))),IF(ROW()=2,"",A918))</f>
      </c>
      <c r="B919">
        <f>IF(OR('R.M Billets Reports'!A918="Date-",'R.M Billets Reports'!A918="Date:-"),'R.M Billets Reports'!B918,IF(ROW()=2,"",B918))</f>
      </c>
      <c r="C919">
        <f>IF('R.M Billets Reports'!A918="V.No.",'R.M Billets Reports'!B918,IF(ROW()=2,"",C918))</f>
      </c>
      <c r="D919">
        <f>IF('R.M Billets Reports'!A918&lt;&gt;"",'R.M Billets Reports'!A918,IF(ROW()=2,"",D918))</f>
      </c>
      <c r="E919">
        <f>IF('R.M Billets Reports'!B918="","",TRIM('R.M Billets Reports'!B918))</f>
      </c>
      <c r="F919">
        <f>'R.M Billets Reports'!C918</f>
      </c>
      <c r="G919">
        <f>'R.M Billets Reports'!D918</f>
      </c>
      <c r="H919">
        <f>'R.M Billets Reports'!E918</f>
      </c>
      <c r="I919">
        <f>'R.M Billets Reports'!F918</f>
      </c>
      <c r="J919">
        <f>'R.M Billets Reports'!G918</f>
      </c>
      <c r="K919">
        <f>'R.M Billets Reports'!H918</f>
      </c>
      <c r="L919">
        <f>IF('R.M Billets Reports'!I918="","",'R.M Billets Reports'!I918)</f>
      </c>
      <c r="M919">
        <f t="shared" si="28"/>
      </c>
      <c r="N919">
        <f>IF('R.M Billets Reports'!J918="","",'R.M Billets Reports'!J918)</f>
      </c>
      <c r="O919">
        <f t="shared" si="29"/>
      </c>
      <c r="P919">
        <f>IF('R.M Billets Reports'!A918="SIZE",'R.M Billets Reports'!B918,P918)</f>
      </c>
    </row>
    <row r="920" spans="1:16" x14ac:dyDescent="0.25">
      <c r="A920">
        <f>IF(OR('R.M Billets Reports'!A919="Date-",'R.M Billets Reports'!A919="Date:-"),IF(IF(IF(ISNUMBER(SEARCH("Party Name:-",'R.M Billets Reports'!D919)),TRIM('R.M Billets Reports'!F919),IF(ISNUMBER(SEARCH("Party Name-",'R.M Billets Reports'!D919)),TRIM(MID('R.M Billets Reports'!D919,SEARCH("-",'R.M Billets Reports'!D919)+1,200)),""))&lt;&gt;"",IF(ISNUMBER(SEARCH("Party Name:-",'R.M Billets Reports'!D919)),TRIM('R.M Billets Reports'!F919),IF(ISNUMBER(SEARCH("Party Name-",'R.M Billets Reports'!D919)),TRIM(MID('R.M Billets Reports'!D919,SEARCH("-",'R.M Billets Reports'!D919)+1,200)),"")),IF(ISNUMBER(SEARCH("Party Name:-",'R.M Billets Reports'!D920)),TRIM('R.M Billets Reports'!F920),IF(ISNUMBER(SEARCH("Party Name-",'R.M Billets Reports'!D920)),TRIM(MID('R.M Billets Reports'!D920,SEARCH("-",'R.M Billets Reports'!D920)+1,200)),"")))="VRKP ISPAT PVT LTD","VRKP",IF(IF(IF(ISNUMBER(SEARCH("Party Name:-",'R.M Billets Reports'!D919)),TRIM('R.M Billets Reports'!F919),IF(ISNUMBER(SEARCH("Party Name-",'R.M Billets Reports'!D919)),TRIM(MID('R.M Billets Reports'!D919,SEARCH("-",'R.M Billets Reports'!D919)+1,200)),""))&lt;&gt;"",IF(ISNUMBER(SEARCH("Party Name:-",'R.M Billets Reports'!D919)),TRIM('R.M Billets Reports'!F919),IF(ISNUMBER(SEARCH("Party Name-",'R.M Billets Reports'!D919)),TRIM(MID('R.M Billets Reports'!D919,SEARCH("-",'R.M Billets Reports'!D919)+1,200)),"")),IF(ISNUMBER(SEARCH("Party Name:-",'R.M Billets Reports'!D920)),TRIM('R.M Billets Reports'!F920),IF(ISNUMBER(SEARCH("Party Name-",'R.M Billets Reports'!D920)),TRIM(MID('R.M Billets Reports'!D920,SEARCH("-",'R.M Billets Reports'!D920)+1,200)),"")))="SHRI RADHE","SHREE RADHE",IF(IF(IF(ISNUMBER(SEARCH("Party Name:-",'R.M Billets Reports'!D919)),TRIM('R.M Billets Reports'!F919),IF(ISNUMBER(SEARCH("Party Name-",'R.M Billets Reports'!D919)),TRIM(MID('R.M Billets Reports'!D919,SEARCH("-",'R.M Billets Reports'!D919)+1,200)),""))&lt;&gt;"",IF(ISNUMBER(SEARCH("Party Name:-",'R.M Billets Reports'!D919)),TRIM('R.M Billets Reports'!F919),IF(ISNUMBER(SEARCH("Party Name-",'R.M Billets Reports'!D919)),TRIM(MID('R.M Billets Reports'!D919,SEARCH("-",'R.M Billets Reports'!D919)+1,200)),"")),IF(ISNUMBER(SEARCH("Party Name:-",'R.M Billets Reports'!D920)),TRIM('R.M Billets Reports'!F920),IF(ISNUMBER(SEARCH("Party Name-",'R.M Billets Reports'!D920)),TRIM(MID('R.M Billets Reports'!D920,SEARCH("-",'R.M Billets Reports'!D920)+1,200)),"")))="SHREE RADHE SHAKTI SPONGE AND POWER PVT. LTD.","SHREE RADHE",IF(IF(ISNUMBER(SEARCH("Party Name:-",'R.M Billets Reports'!D919)),TRIM('R.M Billets Reports'!F919),IF(ISNUMBER(SEARCH("Party Name-",'R.M Billets Reports'!D919)),TRIM(MID('R.M Billets Reports'!D919,SEARCH("-",'R.M Billets Reports'!D919)+1,200)),""))&lt;&gt;"",IF(ISNUMBER(SEARCH("Party Name:-",'R.M Billets Reports'!D919)),TRIM('R.M Billets Reports'!F919),IF(ISNUMBER(SEARCH("Party Name-",'R.M Billets Reports'!D919)),TRIM(MID('R.M Billets Reports'!D919,SEARCH("-",'R.M Billets Reports'!D919)+1,200)),"")),IF(ISNUMBER(SEARCH("Party Name:-",'R.M Billets Reports'!D920)),TRIM('R.M Billets Reports'!F920),IF(ISNUMBER(SEARCH("Party Name-",'R.M Billets Reports'!D920)),TRIM(MID('R.M Billets Reports'!D920,SEARCH("-",'R.M Billets Reports'!D920)+1,200)),"")))))),IF(ROW()=2,"",A919))</f>
      </c>
      <c r="B920">
        <f>IF(OR('R.M Billets Reports'!A919="Date-",'R.M Billets Reports'!A919="Date:-"),'R.M Billets Reports'!B919,IF(ROW()=2,"",B919))</f>
      </c>
      <c r="C920">
        <f>IF('R.M Billets Reports'!A919="V.No.",'R.M Billets Reports'!B919,IF(ROW()=2,"",C919))</f>
      </c>
      <c r="D920">
        <f>IF('R.M Billets Reports'!A919&lt;&gt;"",'R.M Billets Reports'!A919,IF(ROW()=2,"",D919))</f>
      </c>
      <c r="E920">
        <f>IF('R.M Billets Reports'!B919="","",TRIM('R.M Billets Reports'!B919))</f>
      </c>
      <c r="F920">
        <f>'R.M Billets Reports'!C919</f>
      </c>
      <c r="G920">
        <f>'R.M Billets Reports'!D919</f>
      </c>
      <c r="H920">
        <f>'R.M Billets Reports'!E919</f>
      </c>
      <c r="I920">
        <f>'R.M Billets Reports'!F919</f>
      </c>
      <c r="J920">
        <f>'R.M Billets Reports'!G919</f>
      </c>
      <c r="K920">
        <f>'R.M Billets Reports'!H919</f>
      </c>
      <c r="L920">
        <f>IF('R.M Billets Reports'!I919="","",'R.M Billets Reports'!I919)</f>
      </c>
      <c r="M920">
        <f t="shared" si="28"/>
      </c>
      <c r="N920">
        <f>IF('R.M Billets Reports'!J919="","",'R.M Billets Reports'!J919)</f>
      </c>
      <c r="O920">
        <f t="shared" si="29"/>
      </c>
      <c r="P920">
        <f>IF('R.M Billets Reports'!A919="SIZE",'R.M Billets Reports'!B919,P919)</f>
      </c>
    </row>
    <row r="921" spans="1:16" x14ac:dyDescent="0.25">
      <c r="A921">
        <f>IF(OR('R.M Billets Reports'!A920="Date-",'R.M Billets Reports'!A920="Date:-"),IF(IF(IF(ISNUMBER(SEARCH("Party Name:-",'R.M Billets Reports'!D920)),TRIM('R.M Billets Reports'!F920),IF(ISNUMBER(SEARCH("Party Name-",'R.M Billets Reports'!D920)),TRIM(MID('R.M Billets Reports'!D920,SEARCH("-",'R.M Billets Reports'!D920)+1,200)),""))&lt;&gt;"",IF(ISNUMBER(SEARCH("Party Name:-",'R.M Billets Reports'!D920)),TRIM('R.M Billets Reports'!F920),IF(ISNUMBER(SEARCH("Party Name-",'R.M Billets Reports'!D920)),TRIM(MID('R.M Billets Reports'!D920,SEARCH("-",'R.M Billets Reports'!D920)+1,200)),"")),IF(ISNUMBER(SEARCH("Party Name:-",'R.M Billets Reports'!D921)),TRIM('R.M Billets Reports'!F921),IF(ISNUMBER(SEARCH("Party Name-",'R.M Billets Reports'!D921)),TRIM(MID('R.M Billets Reports'!D921,SEARCH("-",'R.M Billets Reports'!D921)+1,200)),"")))="VRKP ISPAT PVT LTD","VRKP",IF(IF(IF(ISNUMBER(SEARCH("Party Name:-",'R.M Billets Reports'!D920)),TRIM('R.M Billets Reports'!F920),IF(ISNUMBER(SEARCH("Party Name-",'R.M Billets Reports'!D920)),TRIM(MID('R.M Billets Reports'!D920,SEARCH("-",'R.M Billets Reports'!D920)+1,200)),""))&lt;&gt;"",IF(ISNUMBER(SEARCH("Party Name:-",'R.M Billets Reports'!D920)),TRIM('R.M Billets Reports'!F920),IF(ISNUMBER(SEARCH("Party Name-",'R.M Billets Reports'!D920)),TRIM(MID('R.M Billets Reports'!D920,SEARCH("-",'R.M Billets Reports'!D920)+1,200)),"")),IF(ISNUMBER(SEARCH("Party Name:-",'R.M Billets Reports'!D921)),TRIM('R.M Billets Reports'!F921),IF(ISNUMBER(SEARCH("Party Name-",'R.M Billets Reports'!D921)),TRIM(MID('R.M Billets Reports'!D921,SEARCH("-",'R.M Billets Reports'!D921)+1,200)),"")))="SHRI RADHE","SHREE RADHE",IF(IF(IF(ISNUMBER(SEARCH("Party Name:-",'R.M Billets Reports'!D920)),TRIM('R.M Billets Reports'!F920),IF(ISNUMBER(SEARCH("Party Name-",'R.M Billets Reports'!D920)),TRIM(MID('R.M Billets Reports'!D920,SEARCH("-",'R.M Billets Reports'!D920)+1,200)),""))&lt;&gt;"",IF(ISNUMBER(SEARCH("Party Name:-",'R.M Billets Reports'!D920)),TRIM('R.M Billets Reports'!F920),IF(ISNUMBER(SEARCH("Party Name-",'R.M Billets Reports'!D920)),TRIM(MID('R.M Billets Reports'!D920,SEARCH("-",'R.M Billets Reports'!D920)+1,200)),"")),IF(ISNUMBER(SEARCH("Party Name:-",'R.M Billets Reports'!D921)),TRIM('R.M Billets Reports'!F921),IF(ISNUMBER(SEARCH("Party Name-",'R.M Billets Reports'!D921)),TRIM(MID('R.M Billets Reports'!D921,SEARCH("-",'R.M Billets Reports'!D921)+1,200)),"")))="SHREE RADHE SHAKTI SPONGE AND POWER PVT. LTD.","SHREE RADHE",IF(IF(ISNUMBER(SEARCH("Party Name:-",'R.M Billets Reports'!D920)),TRIM('R.M Billets Reports'!F920),IF(ISNUMBER(SEARCH("Party Name-",'R.M Billets Reports'!D920)),TRIM(MID('R.M Billets Reports'!D920,SEARCH("-",'R.M Billets Reports'!D920)+1,200)),""))&lt;&gt;"",IF(ISNUMBER(SEARCH("Party Name:-",'R.M Billets Reports'!D920)),TRIM('R.M Billets Reports'!F920),IF(ISNUMBER(SEARCH("Party Name-",'R.M Billets Reports'!D920)),TRIM(MID('R.M Billets Reports'!D920,SEARCH("-",'R.M Billets Reports'!D920)+1,200)),"")),IF(ISNUMBER(SEARCH("Party Name:-",'R.M Billets Reports'!D921)),TRIM('R.M Billets Reports'!F921),IF(ISNUMBER(SEARCH("Party Name-",'R.M Billets Reports'!D921)),TRIM(MID('R.M Billets Reports'!D921,SEARCH("-",'R.M Billets Reports'!D921)+1,200)),"")))))),IF(ROW()=2,"",A920))</f>
      </c>
      <c r="B921">
        <f>IF(OR('R.M Billets Reports'!A920="Date-",'R.M Billets Reports'!A920="Date:-"),'R.M Billets Reports'!B920,IF(ROW()=2,"",B920))</f>
      </c>
      <c r="C921">
        <f>IF('R.M Billets Reports'!A920="V.No.",'R.M Billets Reports'!B920,IF(ROW()=2,"",C920))</f>
      </c>
      <c r="D921">
        <f>IF('R.M Billets Reports'!A920&lt;&gt;"",'R.M Billets Reports'!A920,IF(ROW()=2,"",D920))</f>
      </c>
      <c r="E921">
        <f>IF('R.M Billets Reports'!B920="","",TRIM('R.M Billets Reports'!B920))</f>
      </c>
      <c r="F921">
        <f>'R.M Billets Reports'!C920</f>
      </c>
      <c r="G921">
        <f>'R.M Billets Reports'!D920</f>
      </c>
      <c r="H921">
        <f>'R.M Billets Reports'!E920</f>
      </c>
      <c r="I921">
        <f>'R.M Billets Reports'!F920</f>
      </c>
      <c r="J921">
        <f>'R.M Billets Reports'!G920</f>
      </c>
      <c r="K921">
        <f>'R.M Billets Reports'!H920</f>
      </c>
      <c r="L921">
        <f>IF('R.M Billets Reports'!I920="","",'R.M Billets Reports'!I920)</f>
      </c>
      <c r="M921">
        <f t="shared" si="28"/>
      </c>
      <c r="N921">
        <f>IF('R.M Billets Reports'!J920="","",'R.M Billets Reports'!J920)</f>
      </c>
      <c r="O921">
        <f t="shared" si="29"/>
      </c>
      <c r="P921">
        <f>IF('R.M Billets Reports'!A920="SIZE",'R.M Billets Reports'!B920,P920)</f>
      </c>
    </row>
    <row r="922" spans="1:16" x14ac:dyDescent="0.25">
      <c r="A922">
        <f>IF(OR('R.M Billets Reports'!A921="Date-",'R.M Billets Reports'!A921="Date:-"),IF(IF(IF(ISNUMBER(SEARCH("Party Name:-",'R.M Billets Reports'!D921)),TRIM('R.M Billets Reports'!F921),IF(ISNUMBER(SEARCH("Party Name-",'R.M Billets Reports'!D921)),TRIM(MID('R.M Billets Reports'!D921,SEARCH("-",'R.M Billets Reports'!D921)+1,200)),""))&lt;&gt;"",IF(ISNUMBER(SEARCH("Party Name:-",'R.M Billets Reports'!D921)),TRIM('R.M Billets Reports'!F921),IF(ISNUMBER(SEARCH("Party Name-",'R.M Billets Reports'!D921)),TRIM(MID('R.M Billets Reports'!D921,SEARCH("-",'R.M Billets Reports'!D921)+1,200)),"")),IF(ISNUMBER(SEARCH("Party Name:-",'R.M Billets Reports'!D922)),TRIM('R.M Billets Reports'!F922),IF(ISNUMBER(SEARCH("Party Name-",'R.M Billets Reports'!D922)),TRIM(MID('R.M Billets Reports'!D922,SEARCH("-",'R.M Billets Reports'!D922)+1,200)),"")))="VRKP ISPAT PVT LTD","VRKP",IF(IF(IF(ISNUMBER(SEARCH("Party Name:-",'R.M Billets Reports'!D921)),TRIM('R.M Billets Reports'!F921),IF(ISNUMBER(SEARCH("Party Name-",'R.M Billets Reports'!D921)),TRIM(MID('R.M Billets Reports'!D921,SEARCH("-",'R.M Billets Reports'!D921)+1,200)),""))&lt;&gt;"",IF(ISNUMBER(SEARCH("Party Name:-",'R.M Billets Reports'!D921)),TRIM('R.M Billets Reports'!F921),IF(ISNUMBER(SEARCH("Party Name-",'R.M Billets Reports'!D921)),TRIM(MID('R.M Billets Reports'!D921,SEARCH("-",'R.M Billets Reports'!D921)+1,200)),"")),IF(ISNUMBER(SEARCH("Party Name:-",'R.M Billets Reports'!D922)),TRIM('R.M Billets Reports'!F922),IF(ISNUMBER(SEARCH("Party Name-",'R.M Billets Reports'!D922)),TRIM(MID('R.M Billets Reports'!D922,SEARCH("-",'R.M Billets Reports'!D922)+1,200)),"")))="SHRI RADHE","SHREE RADHE",IF(IF(IF(ISNUMBER(SEARCH("Party Name:-",'R.M Billets Reports'!D921)),TRIM('R.M Billets Reports'!F921),IF(ISNUMBER(SEARCH("Party Name-",'R.M Billets Reports'!D921)),TRIM(MID('R.M Billets Reports'!D921,SEARCH("-",'R.M Billets Reports'!D921)+1,200)),""))&lt;&gt;"",IF(ISNUMBER(SEARCH("Party Name:-",'R.M Billets Reports'!D921)),TRIM('R.M Billets Reports'!F921),IF(ISNUMBER(SEARCH("Party Name-",'R.M Billets Reports'!D921)),TRIM(MID('R.M Billets Reports'!D921,SEARCH("-",'R.M Billets Reports'!D921)+1,200)),"")),IF(ISNUMBER(SEARCH("Party Name:-",'R.M Billets Reports'!D922)),TRIM('R.M Billets Reports'!F922),IF(ISNUMBER(SEARCH("Party Name-",'R.M Billets Reports'!D922)),TRIM(MID('R.M Billets Reports'!D922,SEARCH("-",'R.M Billets Reports'!D922)+1,200)),"")))="SHREE RADHE SHAKTI SPONGE AND POWER PVT. LTD.","SHREE RADHE",IF(IF(ISNUMBER(SEARCH("Party Name:-",'R.M Billets Reports'!D921)),TRIM('R.M Billets Reports'!F921),IF(ISNUMBER(SEARCH("Party Name-",'R.M Billets Reports'!D921)),TRIM(MID('R.M Billets Reports'!D921,SEARCH("-",'R.M Billets Reports'!D921)+1,200)),""))&lt;&gt;"",IF(ISNUMBER(SEARCH("Party Name:-",'R.M Billets Reports'!D921)),TRIM('R.M Billets Reports'!F921),IF(ISNUMBER(SEARCH("Party Name-",'R.M Billets Reports'!D921)),TRIM(MID('R.M Billets Reports'!D921,SEARCH("-",'R.M Billets Reports'!D921)+1,200)),"")),IF(ISNUMBER(SEARCH("Party Name:-",'R.M Billets Reports'!D922)),TRIM('R.M Billets Reports'!F922),IF(ISNUMBER(SEARCH("Party Name-",'R.M Billets Reports'!D922)),TRIM(MID('R.M Billets Reports'!D922,SEARCH("-",'R.M Billets Reports'!D922)+1,200)),"")))))),IF(ROW()=2,"",A921))</f>
      </c>
      <c r="B922">
        <f>IF(OR('R.M Billets Reports'!A921="Date-",'R.M Billets Reports'!A921="Date:-"),'R.M Billets Reports'!B921,IF(ROW()=2,"",B921))</f>
      </c>
      <c r="C922">
        <f>IF('R.M Billets Reports'!A921="V.No.",'R.M Billets Reports'!B921,IF(ROW()=2,"",C921))</f>
      </c>
      <c r="D922">
        <f>IF('R.M Billets Reports'!A921&lt;&gt;"",'R.M Billets Reports'!A921,IF(ROW()=2,"",D921))</f>
      </c>
      <c r="E922">
        <f>IF('R.M Billets Reports'!B921="","",TRIM('R.M Billets Reports'!B921))</f>
      </c>
      <c r="F922">
        <f>'R.M Billets Reports'!C921</f>
      </c>
      <c r="G922">
        <f>'R.M Billets Reports'!D921</f>
      </c>
      <c r="H922">
        <f>'R.M Billets Reports'!E921</f>
      </c>
      <c r="I922">
        <f>'R.M Billets Reports'!F921</f>
      </c>
      <c r="J922">
        <f>'R.M Billets Reports'!G921</f>
      </c>
      <c r="K922">
        <f>'R.M Billets Reports'!H921</f>
      </c>
      <c r="L922">
        <f>IF('R.M Billets Reports'!I921="","",'R.M Billets Reports'!I921)</f>
      </c>
      <c r="M922">
        <f t="shared" si="28"/>
      </c>
      <c r="N922">
        <f>IF('R.M Billets Reports'!J921="","",'R.M Billets Reports'!J921)</f>
      </c>
      <c r="O922">
        <f t="shared" si="29"/>
      </c>
      <c r="P922">
        <f>IF('R.M Billets Reports'!A921="SIZE",'R.M Billets Reports'!B921,P921)</f>
      </c>
    </row>
    <row r="923" spans="1:16" x14ac:dyDescent="0.25">
      <c r="A923">
        <f>IF(OR('R.M Billets Reports'!A922="Date-",'R.M Billets Reports'!A922="Date:-"),IF(IF(IF(ISNUMBER(SEARCH("Party Name:-",'R.M Billets Reports'!D922)),TRIM('R.M Billets Reports'!F922),IF(ISNUMBER(SEARCH("Party Name-",'R.M Billets Reports'!D922)),TRIM(MID('R.M Billets Reports'!D922,SEARCH("-",'R.M Billets Reports'!D922)+1,200)),""))&lt;&gt;"",IF(ISNUMBER(SEARCH("Party Name:-",'R.M Billets Reports'!D922)),TRIM('R.M Billets Reports'!F922),IF(ISNUMBER(SEARCH("Party Name-",'R.M Billets Reports'!D922)),TRIM(MID('R.M Billets Reports'!D922,SEARCH("-",'R.M Billets Reports'!D922)+1,200)),"")),IF(ISNUMBER(SEARCH("Party Name:-",'R.M Billets Reports'!D923)),TRIM('R.M Billets Reports'!F923),IF(ISNUMBER(SEARCH("Party Name-",'R.M Billets Reports'!D923)),TRIM(MID('R.M Billets Reports'!D923,SEARCH("-",'R.M Billets Reports'!D923)+1,200)),"")))="VRKP ISPAT PVT LTD","VRKP",IF(IF(IF(ISNUMBER(SEARCH("Party Name:-",'R.M Billets Reports'!D922)),TRIM('R.M Billets Reports'!F922),IF(ISNUMBER(SEARCH("Party Name-",'R.M Billets Reports'!D922)),TRIM(MID('R.M Billets Reports'!D922,SEARCH("-",'R.M Billets Reports'!D922)+1,200)),""))&lt;&gt;"",IF(ISNUMBER(SEARCH("Party Name:-",'R.M Billets Reports'!D922)),TRIM('R.M Billets Reports'!F922),IF(ISNUMBER(SEARCH("Party Name-",'R.M Billets Reports'!D922)),TRIM(MID('R.M Billets Reports'!D922,SEARCH("-",'R.M Billets Reports'!D922)+1,200)),"")),IF(ISNUMBER(SEARCH("Party Name:-",'R.M Billets Reports'!D923)),TRIM('R.M Billets Reports'!F923),IF(ISNUMBER(SEARCH("Party Name-",'R.M Billets Reports'!D923)),TRIM(MID('R.M Billets Reports'!D923,SEARCH("-",'R.M Billets Reports'!D923)+1,200)),"")))="SHRI RADHE","SHREE RADHE",IF(IF(IF(ISNUMBER(SEARCH("Party Name:-",'R.M Billets Reports'!D922)),TRIM('R.M Billets Reports'!F922),IF(ISNUMBER(SEARCH("Party Name-",'R.M Billets Reports'!D922)),TRIM(MID('R.M Billets Reports'!D922,SEARCH("-",'R.M Billets Reports'!D922)+1,200)),""))&lt;&gt;"",IF(ISNUMBER(SEARCH("Party Name:-",'R.M Billets Reports'!D922)),TRIM('R.M Billets Reports'!F922),IF(ISNUMBER(SEARCH("Party Name-",'R.M Billets Reports'!D922)),TRIM(MID('R.M Billets Reports'!D922,SEARCH("-",'R.M Billets Reports'!D922)+1,200)),"")),IF(ISNUMBER(SEARCH("Party Name:-",'R.M Billets Reports'!D923)),TRIM('R.M Billets Reports'!F923),IF(ISNUMBER(SEARCH("Party Name-",'R.M Billets Reports'!D923)),TRIM(MID('R.M Billets Reports'!D923,SEARCH("-",'R.M Billets Reports'!D923)+1,200)),"")))="SHREE RADHE SHAKTI SPONGE AND POWER PVT. LTD.","SHREE RADHE",IF(IF(ISNUMBER(SEARCH("Party Name:-",'R.M Billets Reports'!D922)),TRIM('R.M Billets Reports'!F922),IF(ISNUMBER(SEARCH("Party Name-",'R.M Billets Reports'!D922)),TRIM(MID('R.M Billets Reports'!D922,SEARCH("-",'R.M Billets Reports'!D922)+1,200)),""))&lt;&gt;"",IF(ISNUMBER(SEARCH("Party Name:-",'R.M Billets Reports'!D922)),TRIM('R.M Billets Reports'!F922),IF(ISNUMBER(SEARCH("Party Name-",'R.M Billets Reports'!D922)),TRIM(MID('R.M Billets Reports'!D922,SEARCH("-",'R.M Billets Reports'!D922)+1,200)),"")),IF(ISNUMBER(SEARCH("Party Name:-",'R.M Billets Reports'!D923)),TRIM('R.M Billets Reports'!F923),IF(ISNUMBER(SEARCH("Party Name-",'R.M Billets Reports'!D923)),TRIM(MID('R.M Billets Reports'!D923,SEARCH("-",'R.M Billets Reports'!D923)+1,200)),"")))))),IF(ROW()=2,"",A922))</f>
      </c>
      <c r="B923">
        <f>IF(OR('R.M Billets Reports'!A922="Date-",'R.M Billets Reports'!A922="Date:-"),'R.M Billets Reports'!B922,IF(ROW()=2,"",B922))</f>
      </c>
      <c r="C923">
        <f>IF('R.M Billets Reports'!A922="V.No.",'R.M Billets Reports'!B922,IF(ROW()=2,"",C922))</f>
      </c>
      <c r="D923">
        <f>IF('R.M Billets Reports'!A922&lt;&gt;"",'R.M Billets Reports'!A922,IF(ROW()=2,"",D922))</f>
      </c>
      <c r="E923">
        <f>IF('R.M Billets Reports'!B922="","",TRIM('R.M Billets Reports'!B922))</f>
      </c>
      <c r="F923">
        <f>'R.M Billets Reports'!C922</f>
      </c>
      <c r="G923">
        <f>'R.M Billets Reports'!D922</f>
      </c>
      <c r="H923">
        <f>'R.M Billets Reports'!E922</f>
      </c>
      <c r="I923">
        <f>'R.M Billets Reports'!F922</f>
      </c>
      <c r="J923">
        <f>'R.M Billets Reports'!G922</f>
      </c>
      <c r="K923">
        <f>'R.M Billets Reports'!H922</f>
      </c>
      <c r="L923">
        <f>IF('R.M Billets Reports'!I922="","",'R.M Billets Reports'!I922)</f>
      </c>
      <c r="M923">
        <f t="shared" si="28"/>
      </c>
      <c r="N923">
        <f>IF('R.M Billets Reports'!J922="","",'R.M Billets Reports'!J922)</f>
      </c>
      <c r="O923">
        <f t="shared" si="29"/>
      </c>
      <c r="P923">
        <f>IF('R.M Billets Reports'!A922="SIZE",'R.M Billets Reports'!B922,P922)</f>
      </c>
    </row>
    <row r="924" spans="1:16" x14ac:dyDescent="0.25">
      <c r="A924">
        <f>IF(OR('R.M Billets Reports'!A923="Date-",'R.M Billets Reports'!A923="Date:-"),IF(IF(IF(ISNUMBER(SEARCH("Party Name:-",'R.M Billets Reports'!D923)),TRIM('R.M Billets Reports'!F923),IF(ISNUMBER(SEARCH("Party Name-",'R.M Billets Reports'!D923)),TRIM(MID('R.M Billets Reports'!D923,SEARCH("-",'R.M Billets Reports'!D923)+1,200)),""))&lt;&gt;"",IF(ISNUMBER(SEARCH("Party Name:-",'R.M Billets Reports'!D923)),TRIM('R.M Billets Reports'!F923),IF(ISNUMBER(SEARCH("Party Name-",'R.M Billets Reports'!D923)),TRIM(MID('R.M Billets Reports'!D923,SEARCH("-",'R.M Billets Reports'!D923)+1,200)),"")),IF(ISNUMBER(SEARCH("Party Name:-",'R.M Billets Reports'!D924)),TRIM('R.M Billets Reports'!F924),IF(ISNUMBER(SEARCH("Party Name-",'R.M Billets Reports'!D924)),TRIM(MID('R.M Billets Reports'!D924,SEARCH("-",'R.M Billets Reports'!D924)+1,200)),"")))="VRKP ISPAT PVT LTD","VRKP",IF(IF(IF(ISNUMBER(SEARCH("Party Name:-",'R.M Billets Reports'!D923)),TRIM('R.M Billets Reports'!F923),IF(ISNUMBER(SEARCH("Party Name-",'R.M Billets Reports'!D923)),TRIM(MID('R.M Billets Reports'!D923,SEARCH("-",'R.M Billets Reports'!D923)+1,200)),""))&lt;&gt;"",IF(ISNUMBER(SEARCH("Party Name:-",'R.M Billets Reports'!D923)),TRIM('R.M Billets Reports'!F923),IF(ISNUMBER(SEARCH("Party Name-",'R.M Billets Reports'!D923)),TRIM(MID('R.M Billets Reports'!D923,SEARCH("-",'R.M Billets Reports'!D923)+1,200)),"")),IF(ISNUMBER(SEARCH("Party Name:-",'R.M Billets Reports'!D924)),TRIM('R.M Billets Reports'!F924),IF(ISNUMBER(SEARCH("Party Name-",'R.M Billets Reports'!D924)),TRIM(MID('R.M Billets Reports'!D924,SEARCH("-",'R.M Billets Reports'!D924)+1,200)),"")))="SHRI RADHE","SHREE RADHE",IF(IF(IF(ISNUMBER(SEARCH("Party Name:-",'R.M Billets Reports'!D923)),TRIM('R.M Billets Reports'!F923),IF(ISNUMBER(SEARCH("Party Name-",'R.M Billets Reports'!D923)),TRIM(MID('R.M Billets Reports'!D923,SEARCH("-",'R.M Billets Reports'!D923)+1,200)),""))&lt;&gt;"",IF(ISNUMBER(SEARCH("Party Name:-",'R.M Billets Reports'!D923)),TRIM('R.M Billets Reports'!F923),IF(ISNUMBER(SEARCH("Party Name-",'R.M Billets Reports'!D923)),TRIM(MID('R.M Billets Reports'!D923,SEARCH("-",'R.M Billets Reports'!D923)+1,200)),"")),IF(ISNUMBER(SEARCH("Party Name:-",'R.M Billets Reports'!D924)),TRIM('R.M Billets Reports'!F924),IF(ISNUMBER(SEARCH("Party Name-",'R.M Billets Reports'!D924)),TRIM(MID('R.M Billets Reports'!D924,SEARCH("-",'R.M Billets Reports'!D924)+1,200)),"")))="SHREE RADHE SHAKTI SPONGE AND POWER PVT. LTD.","SHREE RADHE",IF(IF(ISNUMBER(SEARCH("Party Name:-",'R.M Billets Reports'!D923)),TRIM('R.M Billets Reports'!F923),IF(ISNUMBER(SEARCH("Party Name-",'R.M Billets Reports'!D923)),TRIM(MID('R.M Billets Reports'!D923,SEARCH("-",'R.M Billets Reports'!D923)+1,200)),""))&lt;&gt;"",IF(ISNUMBER(SEARCH("Party Name:-",'R.M Billets Reports'!D923)),TRIM('R.M Billets Reports'!F923),IF(ISNUMBER(SEARCH("Party Name-",'R.M Billets Reports'!D923)),TRIM(MID('R.M Billets Reports'!D923,SEARCH("-",'R.M Billets Reports'!D923)+1,200)),"")),IF(ISNUMBER(SEARCH("Party Name:-",'R.M Billets Reports'!D924)),TRIM('R.M Billets Reports'!F924),IF(ISNUMBER(SEARCH("Party Name-",'R.M Billets Reports'!D924)),TRIM(MID('R.M Billets Reports'!D924,SEARCH("-",'R.M Billets Reports'!D924)+1,200)),"")))))),IF(ROW()=2,"",A923))</f>
      </c>
      <c r="B924">
        <f>IF(OR('R.M Billets Reports'!A923="Date-",'R.M Billets Reports'!A923="Date:-"),'R.M Billets Reports'!B923,IF(ROW()=2,"",B923))</f>
      </c>
      <c r="C924">
        <f>IF('R.M Billets Reports'!A923="V.No.",'R.M Billets Reports'!B923,IF(ROW()=2,"",C923))</f>
      </c>
      <c r="D924">
        <f>IF('R.M Billets Reports'!A923&lt;&gt;"",'R.M Billets Reports'!A923,IF(ROW()=2,"",D923))</f>
      </c>
      <c r="E924">
        <f>IF('R.M Billets Reports'!B923="","",TRIM('R.M Billets Reports'!B923))</f>
      </c>
      <c r="F924">
        <f>'R.M Billets Reports'!C923</f>
      </c>
      <c r="G924">
        <f>'R.M Billets Reports'!D923</f>
      </c>
      <c r="H924">
        <f>'R.M Billets Reports'!E923</f>
      </c>
      <c r="I924">
        <f>'R.M Billets Reports'!F923</f>
      </c>
      <c r="J924">
        <f>'R.M Billets Reports'!G923</f>
      </c>
      <c r="K924">
        <f>'R.M Billets Reports'!H923</f>
      </c>
      <c r="L924">
        <f>IF('R.M Billets Reports'!I923="","",'R.M Billets Reports'!I923)</f>
      </c>
      <c r="M924">
        <f t="shared" si="28"/>
      </c>
      <c r="N924">
        <f>IF('R.M Billets Reports'!J923="","",'R.M Billets Reports'!J923)</f>
      </c>
      <c r="O924">
        <f t="shared" si="29"/>
      </c>
      <c r="P924">
        <f>IF('R.M Billets Reports'!A923="SIZE",'R.M Billets Reports'!B923,P923)</f>
      </c>
    </row>
    <row r="925" spans="1:16" x14ac:dyDescent="0.25">
      <c r="A925">
        <f>IF(OR('R.M Billets Reports'!A924="Date-",'R.M Billets Reports'!A924="Date:-"),IF(IF(IF(ISNUMBER(SEARCH("Party Name:-",'R.M Billets Reports'!D924)),TRIM('R.M Billets Reports'!F924),IF(ISNUMBER(SEARCH("Party Name-",'R.M Billets Reports'!D924)),TRIM(MID('R.M Billets Reports'!D924,SEARCH("-",'R.M Billets Reports'!D924)+1,200)),""))&lt;&gt;"",IF(ISNUMBER(SEARCH("Party Name:-",'R.M Billets Reports'!D924)),TRIM('R.M Billets Reports'!F924),IF(ISNUMBER(SEARCH("Party Name-",'R.M Billets Reports'!D924)),TRIM(MID('R.M Billets Reports'!D924,SEARCH("-",'R.M Billets Reports'!D924)+1,200)),"")),IF(ISNUMBER(SEARCH("Party Name:-",'R.M Billets Reports'!D925)),TRIM('R.M Billets Reports'!F925),IF(ISNUMBER(SEARCH("Party Name-",'R.M Billets Reports'!D925)),TRIM(MID('R.M Billets Reports'!D925,SEARCH("-",'R.M Billets Reports'!D925)+1,200)),"")))="VRKP ISPAT PVT LTD","VRKP",IF(IF(IF(ISNUMBER(SEARCH("Party Name:-",'R.M Billets Reports'!D924)),TRIM('R.M Billets Reports'!F924),IF(ISNUMBER(SEARCH("Party Name-",'R.M Billets Reports'!D924)),TRIM(MID('R.M Billets Reports'!D924,SEARCH("-",'R.M Billets Reports'!D924)+1,200)),""))&lt;&gt;"",IF(ISNUMBER(SEARCH("Party Name:-",'R.M Billets Reports'!D924)),TRIM('R.M Billets Reports'!F924),IF(ISNUMBER(SEARCH("Party Name-",'R.M Billets Reports'!D924)),TRIM(MID('R.M Billets Reports'!D924,SEARCH("-",'R.M Billets Reports'!D924)+1,200)),"")),IF(ISNUMBER(SEARCH("Party Name:-",'R.M Billets Reports'!D925)),TRIM('R.M Billets Reports'!F925),IF(ISNUMBER(SEARCH("Party Name-",'R.M Billets Reports'!D925)),TRIM(MID('R.M Billets Reports'!D925,SEARCH("-",'R.M Billets Reports'!D925)+1,200)),"")))="SHRI RADHE","SHREE RADHE",IF(IF(IF(ISNUMBER(SEARCH("Party Name:-",'R.M Billets Reports'!D924)),TRIM('R.M Billets Reports'!F924),IF(ISNUMBER(SEARCH("Party Name-",'R.M Billets Reports'!D924)),TRIM(MID('R.M Billets Reports'!D924,SEARCH("-",'R.M Billets Reports'!D924)+1,200)),""))&lt;&gt;"",IF(ISNUMBER(SEARCH("Party Name:-",'R.M Billets Reports'!D924)),TRIM('R.M Billets Reports'!F924),IF(ISNUMBER(SEARCH("Party Name-",'R.M Billets Reports'!D924)),TRIM(MID('R.M Billets Reports'!D924,SEARCH("-",'R.M Billets Reports'!D924)+1,200)),"")),IF(ISNUMBER(SEARCH("Party Name:-",'R.M Billets Reports'!D925)),TRIM('R.M Billets Reports'!F925),IF(ISNUMBER(SEARCH("Party Name-",'R.M Billets Reports'!D925)),TRIM(MID('R.M Billets Reports'!D925,SEARCH("-",'R.M Billets Reports'!D925)+1,200)),"")))="SHREE RADHE SHAKTI SPONGE AND POWER PVT. LTD.","SHREE RADHE",IF(IF(ISNUMBER(SEARCH("Party Name:-",'R.M Billets Reports'!D924)),TRIM('R.M Billets Reports'!F924),IF(ISNUMBER(SEARCH("Party Name-",'R.M Billets Reports'!D924)),TRIM(MID('R.M Billets Reports'!D924,SEARCH("-",'R.M Billets Reports'!D924)+1,200)),""))&lt;&gt;"",IF(ISNUMBER(SEARCH("Party Name:-",'R.M Billets Reports'!D924)),TRIM('R.M Billets Reports'!F924),IF(ISNUMBER(SEARCH("Party Name-",'R.M Billets Reports'!D924)),TRIM(MID('R.M Billets Reports'!D924,SEARCH("-",'R.M Billets Reports'!D924)+1,200)),"")),IF(ISNUMBER(SEARCH("Party Name:-",'R.M Billets Reports'!D925)),TRIM('R.M Billets Reports'!F925),IF(ISNUMBER(SEARCH("Party Name-",'R.M Billets Reports'!D925)),TRIM(MID('R.M Billets Reports'!D925,SEARCH("-",'R.M Billets Reports'!D925)+1,200)),"")))))),IF(ROW()=2,"",A924))</f>
      </c>
      <c r="B925">
        <f>IF(OR('R.M Billets Reports'!A924="Date-",'R.M Billets Reports'!A924="Date:-"),'R.M Billets Reports'!B924,IF(ROW()=2,"",B924))</f>
      </c>
      <c r="C925">
        <f>IF('R.M Billets Reports'!A924="V.No.",'R.M Billets Reports'!B924,IF(ROW()=2,"",C924))</f>
      </c>
      <c r="D925">
        <f>IF('R.M Billets Reports'!A924&lt;&gt;"",'R.M Billets Reports'!A924,IF(ROW()=2,"",D924))</f>
      </c>
      <c r="E925">
        <f>IF('R.M Billets Reports'!B924="","",TRIM('R.M Billets Reports'!B924))</f>
      </c>
      <c r="F925">
        <f>'R.M Billets Reports'!C924</f>
      </c>
      <c r="G925">
        <f>'R.M Billets Reports'!D924</f>
      </c>
      <c r="H925">
        <f>'R.M Billets Reports'!E924</f>
      </c>
      <c r="I925">
        <f>'R.M Billets Reports'!F924</f>
      </c>
      <c r="J925">
        <f>'R.M Billets Reports'!G924</f>
      </c>
      <c r="K925">
        <f>'R.M Billets Reports'!H924</f>
      </c>
      <c r="L925">
        <f>IF('R.M Billets Reports'!I924="","",'R.M Billets Reports'!I924)</f>
      </c>
      <c r="M925">
        <f t="shared" si="28"/>
      </c>
      <c r="N925">
        <f>IF('R.M Billets Reports'!J924="","",'R.M Billets Reports'!J924)</f>
      </c>
      <c r="O925">
        <f t="shared" si="29"/>
      </c>
      <c r="P925">
        <f>IF('R.M Billets Reports'!A924="SIZE",'R.M Billets Reports'!B924,P924)</f>
      </c>
    </row>
    <row r="926" spans="1:16" x14ac:dyDescent="0.25">
      <c r="A926">
        <f>IF(OR('R.M Billets Reports'!A925="Date-",'R.M Billets Reports'!A925="Date:-"),IF(IF(IF(ISNUMBER(SEARCH("Party Name:-",'R.M Billets Reports'!D925)),TRIM('R.M Billets Reports'!F925),IF(ISNUMBER(SEARCH("Party Name-",'R.M Billets Reports'!D925)),TRIM(MID('R.M Billets Reports'!D925,SEARCH("-",'R.M Billets Reports'!D925)+1,200)),""))&lt;&gt;"",IF(ISNUMBER(SEARCH("Party Name:-",'R.M Billets Reports'!D925)),TRIM('R.M Billets Reports'!F925),IF(ISNUMBER(SEARCH("Party Name-",'R.M Billets Reports'!D925)),TRIM(MID('R.M Billets Reports'!D925,SEARCH("-",'R.M Billets Reports'!D925)+1,200)),"")),IF(ISNUMBER(SEARCH("Party Name:-",'R.M Billets Reports'!D926)),TRIM('R.M Billets Reports'!F926),IF(ISNUMBER(SEARCH("Party Name-",'R.M Billets Reports'!D926)),TRIM(MID('R.M Billets Reports'!D926,SEARCH("-",'R.M Billets Reports'!D926)+1,200)),"")))="VRKP ISPAT PVT LTD","VRKP",IF(IF(IF(ISNUMBER(SEARCH("Party Name:-",'R.M Billets Reports'!D925)),TRIM('R.M Billets Reports'!F925),IF(ISNUMBER(SEARCH("Party Name-",'R.M Billets Reports'!D925)),TRIM(MID('R.M Billets Reports'!D925,SEARCH("-",'R.M Billets Reports'!D925)+1,200)),""))&lt;&gt;"",IF(ISNUMBER(SEARCH("Party Name:-",'R.M Billets Reports'!D925)),TRIM('R.M Billets Reports'!F925),IF(ISNUMBER(SEARCH("Party Name-",'R.M Billets Reports'!D925)),TRIM(MID('R.M Billets Reports'!D925,SEARCH("-",'R.M Billets Reports'!D925)+1,200)),"")),IF(ISNUMBER(SEARCH("Party Name:-",'R.M Billets Reports'!D926)),TRIM('R.M Billets Reports'!F926),IF(ISNUMBER(SEARCH("Party Name-",'R.M Billets Reports'!D926)),TRIM(MID('R.M Billets Reports'!D926,SEARCH("-",'R.M Billets Reports'!D926)+1,200)),"")))="SHRI RADHE","SHREE RADHE",IF(IF(IF(ISNUMBER(SEARCH("Party Name:-",'R.M Billets Reports'!D925)),TRIM('R.M Billets Reports'!F925),IF(ISNUMBER(SEARCH("Party Name-",'R.M Billets Reports'!D925)),TRIM(MID('R.M Billets Reports'!D925,SEARCH("-",'R.M Billets Reports'!D925)+1,200)),""))&lt;&gt;"",IF(ISNUMBER(SEARCH("Party Name:-",'R.M Billets Reports'!D925)),TRIM('R.M Billets Reports'!F925),IF(ISNUMBER(SEARCH("Party Name-",'R.M Billets Reports'!D925)),TRIM(MID('R.M Billets Reports'!D925,SEARCH("-",'R.M Billets Reports'!D925)+1,200)),"")),IF(ISNUMBER(SEARCH("Party Name:-",'R.M Billets Reports'!D926)),TRIM('R.M Billets Reports'!F926),IF(ISNUMBER(SEARCH("Party Name-",'R.M Billets Reports'!D926)),TRIM(MID('R.M Billets Reports'!D926,SEARCH("-",'R.M Billets Reports'!D926)+1,200)),"")))="SHREE RADHE SHAKTI SPONGE AND POWER PVT. LTD.","SHREE RADHE",IF(IF(ISNUMBER(SEARCH("Party Name:-",'R.M Billets Reports'!D925)),TRIM('R.M Billets Reports'!F925),IF(ISNUMBER(SEARCH("Party Name-",'R.M Billets Reports'!D925)),TRIM(MID('R.M Billets Reports'!D925,SEARCH("-",'R.M Billets Reports'!D925)+1,200)),""))&lt;&gt;"",IF(ISNUMBER(SEARCH("Party Name:-",'R.M Billets Reports'!D925)),TRIM('R.M Billets Reports'!F925),IF(ISNUMBER(SEARCH("Party Name-",'R.M Billets Reports'!D925)),TRIM(MID('R.M Billets Reports'!D925,SEARCH("-",'R.M Billets Reports'!D925)+1,200)),"")),IF(ISNUMBER(SEARCH("Party Name:-",'R.M Billets Reports'!D926)),TRIM('R.M Billets Reports'!F926),IF(ISNUMBER(SEARCH("Party Name-",'R.M Billets Reports'!D926)),TRIM(MID('R.M Billets Reports'!D926,SEARCH("-",'R.M Billets Reports'!D926)+1,200)),"")))))),IF(ROW()=2,"",A925))</f>
      </c>
      <c r="B926">
        <f>IF(OR('R.M Billets Reports'!A925="Date-",'R.M Billets Reports'!A925="Date:-"),'R.M Billets Reports'!B925,IF(ROW()=2,"",B925))</f>
      </c>
      <c r="C926">
        <f>IF('R.M Billets Reports'!A925="V.No.",'R.M Billets Reports'!B925,IF(ROW()=2,"",C925))</f>
      </c>
      <c r="D926">
        <f>IF('R.M Billets Reports'!A925&lt;&gt;"",'R.M Billets Reports'!A925,IF(ROW()=2,"",D925))</f>
      </c>
      <c r="E926">
        <f>IF('R.M Billets Reports'!B925="","",TRIM('R.M Billets Reports'!B925))</f>
      </c>
      <c r="F926">
        <f>'R.M Billets Reports'!C925</f>
      </c>
      <c r="G926">
        <f>'R.M Billets Reports'!D925</f>
      </c>
      <c r="H926">
        <f>'R.M Billets Reports'!E925</f>
      </c>
      <c r="I926">
        <f>'R.M Billets Reports'!F925</f>
      </c>
      <c r="J926">
        <f>'R.M Billets Reports'!G925</f>
      </c>
      <c r="K926">
        <f>'R.M Billets Reports'!H925</f>
      </c>
      <c r="L926">
        <f>IF('R.M Billets Reports'!I925="","",'R.M Billets Reports'!I925)</f>
      </c>
      <c r="M926">
        <f t="shared" si="28"/>
      </c>
      <c r="N926">
        <f>IF('R.M Billets Reports'!J925="","",'R.M Billets Reports'!J925)</f>
      </c>
      <c r="O926">
        <f t="shared" si="29"/>
      </c>
      <c r="P926">
        <f>IF('R.M Billets Reports'!A925="SIZE",'R.M Billets Reports'!B925,P925)</f>
      </c>
    </row>
    <row r="927" spans="1:16" x14ac:dyDescent="0.25">
      <c r="A927">
        <f>IF(OR('R.M Billets Reports'!A926="Date-",'R.M Billets Reports'!A926="Date:-"),IF(IF(IF(ISNUMBER(SEARCH("Party Name:-",'R.M Billets Reports'!D926)),TRIM('R.M Billets Reports'!F926),IF(ISNUMBER(SEARCH("Party Name-",'R.M Billets Reports'!D926)),TRIM(MID('R.M Billets Reports'!D926,SEARCH("-",'R.M Billets Reports'!D926)+1,200)),""))&lt;&gt;"",IF(ISNUMBER(SEARCH("Party Name:-",'R.M Billets Reports'!D926)),TRIM('R.M Billets Reports'!F926),IF(ISNUMBER(SEARCH("Party Name-",'R.M Billets Reports'!D926)),TRIM(MID('R.M Billets Reports'!D926,SEARCH("-",'R.M Billets Reports'!D926)+1,200)),"")),IF(ISNUMBER(SEARCH("Party Name:-",'R.M Billets Reports'!D927)),TRIM('R.M Billets Reports'!F927),IF(ISNUMBER(SEARCH("Party Name-",'R.M Billets Reports'!D927)),TRIM(MID('R.M Billets Reports'!D927,SEARCH("-",'R.M Billets Reports'!D927)+1,200)),"")))="VRKP ISPAT PVT LTD","VRKP",IF(IF(IF(ISNUMBER(SEARCH("Party Name:-",'R.M Billets Reports'!D926)),TRIM('R.M Billets Reports'!F926),IF(ISNUMBER(SEARCH("Party Name-",'R.M Billets Reports'!D926)),TRIM(MID('R.M Billets Reports'!D926,SEARCH("-",'R.M Billets Reports'!D926)+1,200)),""))&lt;&gt;"",IF(ISNUMBER(SEARCH("Party Name:-",'R.M Billets Reports'!D926)),TRIM('R.M Billets Reports'!F926),IF(ISNUMBER(SEARCH("Party Name-",'R.M Billets Reports'!D926)),TRIM(MID('R.M Billets Reports'!D926,SEARCH("-",'R.M Billets Reports'!D926)+1,200)),"")),IF(ISNUMBER(SEARCH("Party Name:-",'R.M Billets Reports'!D927)),TRIM('R.M Billets Reports'!F927),IF(ISNUMBER(SEARCH("Party Name-",'R.M Billets Reports'!D927)),TRIM(MID('R.M Billets Reports'!D927,SEARCH("-",'R.M Billets Reports'!D927)+1,200)),"")))="SHRI RADHE","SHREE RADHE",IF(IF(IF(ISNUMBER(SEARCH("Party Name:-",'R.M Billets Reports'!D926)),TRIM('R.M Billets Reports'!F926),IF(ISNUMBER(SEARCH("Party Name-",'R.M Billets Reports'!D926)),TRIM(MID('R.M Billets Reports'!D926,SEARCH("-",'R.M Billets Reports'!D926)+1,200)),""))&lt;&gt;"",IF(ISNUMBER(SEARCH("Party Name:-",'R.M Billets Reports'!D926)),TRIM('R.M Billets Reports'!F926),IF(ISNUMBER(SEARCH("Party Name-",'R.M Billets Reports'!D926)),TRIM(MID('R.M Billets Reports'!D926,SEARCH("-",'R.M Billets Reports'!D926)+1,200)),"")),IF(ISNUMBER(SEARCH("Party Name:-",'R.M Billets Reports'!D927)),TRIM('R.M Billets Reports'!F927),IF(ISNUMBER(SEARCH("Party Name-",'R.M Billets Reports'!D927)),TRIM(MID('R.M Billets Reports'!D927,SEARCH("-",'R.M Billets Reports'!D927)+1,200)),"")))="SHREE RADHE SHAKTI SPONGE AND POWER PVT. LTD.","SHREE RADHE",IF(IF(ISNUMBER(SEARCH("Party Name:-",'R.M Billets Reports'!D926)),TRIM('R.M Billets Reports'!F926),IF(ISNUMBER(SEARCH("Party Name-",'R.M Billets Reports'!D926)),TRIM(MID('R.M Billets Reports'!D926,SEARCH("-",'R.M Billets Reports'!D926)+1,200)),""))&lt;&gt;"",IF(ISNUMBER(SEARCH("Party Name:-",'R.M Billets Reports'!D926)),TRIM('R.M Billets Reports'!F926),IF(ISNUMBER(SEARCH("Party Name-",'R.M Billets Reports'!D926)),TRIM(MID('R.M Billets Reports'!D926,SEARCH("-",'R.M Billets Reports'!D926)+1,200)),"")),IF(ISNUMBER(SEARCH("Party Name:-",'R.M Billets Reports'!D927)),TRIM('R.M Billets Reports'!F927),IF(ISNUMBER(SEARCH("Party Name-",'R.M Billets Reports'!D927)),TRIM(MID('R.M Billets Reports'!D927,SEARCH("-",'R.M Billets Reports'!D927)+1,200)),"")))))),IF(ROW()=2,"",A926))</f>
      </c>
      <c r="B927">
        <f>IF(OR('R.M Billets Reports'!A926="Date-",'R.M Billets Reports'!A926="Date:-"),'R.M Billets Reports'!B926,IF(ROW()=2,"",B926))</f>
      </c>
      <c r="C927">
        <f>IF('R.M Billets Reports'!A926="V.No.",'R.M Billets Reports'!B926,IF(ROW()=2,"",C926))</f>
      </c>
      <c r="D927">
        <f>IF('R.M Billets Reports'!A926&lt;&gt;"",'R.M Billets Reports'!A926,IF(ROW()=2,"",D926))</f>
      </c>
      <c r="E927">
        <f>IF('R.M Billets Reports'!B926="","",TRIM('R.M Billets Reports'!B926))</f>
      </c>
      <c r="F927">
        <f>'R.M Billets Reports'!C926</f>
      </c>
      <c r="G927">
        <f>'R.M Billets Reports'!D926</f>
      </c>
      <c r="H927">
        <f>'R.M Billets Reports'!E926</f>
      </c>
      <c r="I927">
        <f>'R.M Billets Reports'!F926</f>
      </c>
      <c r="J927">
        <f>'R.M Billets Reports'!G926</f>
      </c>
      <c r="K927">
        <f>'R.M Billets Reports'!H926</f>
      </c>
      <c r="L927">
        <f>IF('R.M Billets Reports'!I926="","",'R.M Billets Reports'!I926)</f>
      </c>
      <c r="M927">
        <f t="shared" si="28"/>
      </c>
      <c r="N927">
        <f>IF('R.M Billets Reports'!J926="","",'R.M Billets Reports'!J926)</f>
      </c>
      <c r="O927">
        <f t="shared" si="29"/>
      </c>
      <c r="P927">
        <f>IF('R.M Billets Reports'!A926="SIZE",'R.M Billets Reports'!B926,P926)</f>
      </c>
    </row>
    <row r="928" spans="1:16" x14ac:dyDescent="0.25">
      <c r="A928">
        <f>IF(OR('R.M Billets Reports'!A927="Date-",'R.M Billets Reports'!A927="Date:-"),IF(IF(IF(ISNUMBER(SEARCH("Party Name:-",'R.M Billets Reports'!D927)),TRIM('R.M Billets Reports'!F927),IF(ISNUMBER(SEARCH("Party Name-",'R.M Billets Reports'!D927)),TRIM(MID('R.M Billets Reports'!D927,SEARCH("-",'R.M Billets Reports'!D927)+1,200)),""))&lt;&gt;"",IF(ISNUMBER(SEARCH("Party Name:-",'R.M Billets Reports'!D927)),TRIM('R.M Billets Reports'!F927),IF(ISNUMBER(SEARCH("Party Name-",'R.M Billets Reports'!D927)),TRIM(MID('R.M Billets Reports'!D927,SEARCH("-",'R.M Billets Reports'!D927)+1,200)),"")),IF(ISNUMBER(SEARCH("Party Name:-",'R.M Billets Reports'!D928)),TRIM('R.M Billets Reports'!F928),IF(ISNUMBER(SEARCH("Party Name-",'R.M Billets Reports'!D928)),TRIM(MID('R.M Billets Reports'!D928,SEARCH("-",'R.M Billets Reports'!D928)+1,200)),"")))="VRKP ISPAT PVT LTD","VRKP",IF(IF(IF(ISNUMBER(SEARCH("Party Name:-",'R.M Billets Reports'!D927)),TRIM('R.M Billets Reports'!F927),IF(ISNUMBER(SEARCH("Party Name-",'R.M Billets Reports'!D927)),TRIM(MID('R.M Billets Reports'!D927,SEARCH("-",'R.M Billets Reports'!D927)+1,200)),""))&lt;&gt;"",IF(ISNUMBER(SEARCH("Party Name:-",'R.M Billets Reports'!D927)),TRIM('R.M Billets Reports'!F927),IF(ISNUMBER(SEARCH("Party Name-",'R.M Billets Reports'!D927)),TRIM(MID('R.M Billets Reports'!D927,SEARCH("-",'R.M Billets Reports'!D927)+1,200)),"")),IF(ISNUMBER(SEARCH("Party Name:-",'R.M Billets Reports'!D928)),TRIM('R.M Billets Reports'!F928),IF(ISNUMBER(SEARCH("Party Name-",'R.M Billets Reports'!D928)),TRIM(MID('R.M Billets Reports'!D928,SEARCH("-",'R.M Billets Reports'!D928)+1,200)),"")))="SHRI RADHE","SHREE RADHE",IF(IF(IF(ISNUMBER(SEARCH("Party Name:-",'R.M Billets Reports'!D927)),TRIM('R.M Billets Reports'!F927),IF(ISNUMBER(SEARCH("Party Name-",'R.M Billets Reports'!D927)),TRIM(MID('R.M Billets Reports'!D927,SEARCH("-",'R.M Billets Reports'!D927)+1,200)),""))&lt;&gt;"",IF(ISNUMBER(SEARCH("Party Name:-",'R.M Billets Reports'!D927)),TRIM('R.M Billets Reports'!F927),IF(ISNUMBER(SEARCH("Party Name-",'R.M Billets Reports'!D927)),TRIM(MID('R.M Billets Reports'!D927,SEARCH("-",'R.M Billets Reports'!D927)+1,200)),"")),IF(ISNUMBER(SEARCH("Party Name:-",'R.M Billets Reports'!D928)),TRIM('R.M Billets Reports'!F928),IF(ISNUMBER(SEARCH("Party Name-",'R.M Billets Reports'!D928)),TRIM(MID('R.M Billets Reports'!D928,SEARCH("-",'R.M Billets Reports'!D928)+1,200)),"")))="SHREE RADHE SHAKTI SPONGE AND POWER PVT. LTD.","SHREE RADHE",IF(IF(ISNUMBER(SEARCH("Party Name:-",'R.M Billets Reports'!D927)),TRIM('R.M Billets Reports'!F927),IF(ISNUMBER(SEARCH("Party Name-",'R.M Billets Reports'!D927)),TRIM(MID('R.M Billets Reports'!D927,SEARCH("-",'R.M Billets Reports'!D927)+1,200)),""))&lt;&gt;"",IF(ISNUMBER(SEARCH("Party Name:-",'R.M Billets Reports'!D927)),TRIM('R.M Billets Reports'!F927),IF(ISNUMBER(SEARCH("Party Name-",'R.M Billets Reports'!D927)),TRIM(MID('R.M Billets Reports'!D927,SEARCH("-",'R.M Billets Reports'!D927)+1,200)),"")),IF(ISNUMBER(SEARCH("Party Name:-",'R.M Billets Reports'!D928)),TRIM('R.M Billets Reports'!F928),IF(ISNUMBER(SEARCH("Party Name-",'R.M Billets Reports'!D928)),TRIM(MID('R.M Billets Reports'!D928,SEARCH("-",'R.M Billets Reports'!D928)+1,200)),"")))))),IF(ROW()=2,"",A927))</f>
      </c>
      <c r="B928">
        <f>IF(OR('R.M Billets Reports'!A927="Date-",'R.M Billets Reports'!A927="Date:-"),'R.M Billets Reports'!B927,IF(ROW()=2,"",B927))</f>
      </c>
      <c r="C928">
        <f>IF('R.M Billets Reports'!A927="V.No.",'R.M Billets Reports'!B927,IF(ROW()=2,"",C927))</f>
      </c>
      <c r="D928">
        <f>IF('R.M Billets Reports'!A927&lt;&gt;"",'R.M Billets Reports'!A927,IF(ROW()=2,"",D927))</f>
      </c>
      <c r="E928">
        <f>IF('R.M Billets Reports'!B927="","",TRIM('R.M Billets Reports'!B927))</f>
      </c>
      <c r="F928">
        <f>'R.M Billets Reports'!C927</f>
      </c>
      <c r="G928">
        <f>'R.M Billets Reports'!D927</f>
      </c>
      <c r="H928">
        <f>'R.M Billets Reports'!E927</f>
      </c>
      <c r="I928">
        <f>'R.M Billets Reports'!F927</f>
      </c>
      <c r="J928">
        <f>'R.M Billets Reports'!G927</f>
      </c>
      <c r="K928">
        <f>'R.M Billets Reports'!H927</f>
      </c>
      <c r="L928">
        <f>IF('R.M Billets Reports'!I927="","",'R.M Billets Reports'!I927)</f>
      </c>
      <c r="M928">
        <f t="shared" si="28"/>
      </c>
      <c r="N928">
        <f>IF('R.M Billets Reports'!J927="","",'R.M Billets Reports'!J927)</f>
      </c>
      <c r="O928">
        <f t="shared" si="29"/>
      </c>
      <c r="P928">
        <f>IF('R.M Billets Reports'!A927="SIZE",'R.M Billets Reports'!B927,P927)</f>
      </c>
    </row>
    <row r="929" spans="1:16" x14ac:dyDescent="0.25">
      <c r="A929">
        <f>IF(OR('R.M Billets Reports'!A928="Date-",'R.M Billets Reports'!A928="Date:-"),IF(IF(IF(ISNUMBER(SEARCH("Party Name:-",'R.M Billets Reports'!D928)),TRIM('R.M Billets Reports'!F928),IF(ISNUMBER(SEARCH("Party Name-",'R.M Billets Reports'!D928)),TRIM(MID('R.M Billets Reports'!D928,SEARCH("-",'R.M Billets Reports'!D928)+1,200)),""))&lt;&gt;"",IF(ISNUMBER(SEARCH("Party Name:-",'R.M Billets Reports'!D928)),TRIM('R.M Billets Reports'!F928),IF(ISNUMBER(SEARCH("Party Name-",'R.M Billets Reports'!D928)),TRIM(MID('R.M Billets Reports'!D928,SEARCH("-",'R.M Billets Reports'!D928)+1,200)),"")),IF(ISNUMBER(SEARCH("Party Name:-",'R.M Billets Reports'!D929)),TRIM('R.M Billets Reports'!F929),IF(ISNUMBER(SEARCH("Party Name-",'R.M Billets Reports'!D929)),TRIM(MID('R.M Billets Reports'!D929,SEARCH("-",'R.M Billets Reports'!D929)+1,200)),"")))="VRKP ISPAT PVT LTD","VRKP",IF(IF(IF(ISNUMBER(SEARCH("Party Name:-",'R.M Billets Reports'!D928)),TRIM('R.M Billets Reports'!F928),IF(ISNUMBER(SEARCH("Party Name-",'R.M Billets Reports'!D928)),TRIM(MID('R.M Billets Reports'!D928,SEARCH("-",'R.M Billets Reports'!D928)+1,200)),""))&lt;&gt;"",IF(ISNUMBER(SEARCH("Party Name:-",'R.M Billets Reports'!D928)),TRIM('R.M Billets Reports'!F928),IF(ISNUMBER(SEARCH("Party Name-",'R.M Billets Reports'!D928)),TRIM(MID('R.M Billets Reports'!D928,SEARCH("-",'R.M Billets Reports'!D928)+1,200)),"")),IF(ISNUMBER(SEARCH("Party Name:-",'R.M Billets Reports'!D929)),TRIM('R.M Billets Reports'!F929),IF(ISNUMBER(SEARCH("Party Name-",'R.M Billets Reports'!D929)),TRIM(MID('R.M Billets Reports'!D929,SEARCH("-",'R.M Billets Reports'!D929)+1,200)),"")))="SHRI RADHE","SHREE RADHE",IF(IF(IF(ISNUMBER(SEARCH("Party Name:-",'R.M Billets Reports'!D928)),TRIM('R.M Billets Reports'!F928),IF(ISNUMBER(SEARCH("Party Name-",'R.M Billets Reports'!D928)),TRIM(MID('R.M Billets Reports'!D928,SEARCH("-",'R.M Billets Reports'!D928)+1,200)),""))&lt;&gt;"",IF(ISNUMBER(SEARCH("Party Name:-",'R.M Billets Reports'!D928)),TRIM('R.M Billets Reports'!F928),IF(ISNUMBER(SEARCH("Party Name-",'R.M Billets Reports'!D928)),TRIM(MID('R.M Billets Reports'!D928,SEARCH("-",'R.M Billets Reports'!D928)+1,200)),"")),IF(ISNUMBER(SEARCH("Party Name:-",'R.M Billets Reports'!D929)),TRIM('R.M Billets Reports'!F929),IF(ISNUMBER(SEARCH("Party Name-",'R.M Billets Reports'!D929)),TRIM(MID('R.M Billets Reports'!D929,SEARCH("-",'R.M Billets Reports'!D929)+1,200)),"")))="SHREE RADHE SHAKTI SPONGE AND POWER PVT. LTD.","SHREE RADHE",IF(IF(ISNUMBER(SEARCH("Party Name:-",'R.M Billets Reports'!D928)),TRIM('R.M Billets Reports'!F928),IF(ISNUMBER(SEARCH("Party Name-",'R.M Billets Reports'!D928)),TRIM(MID('R.M Billets Reports'!D928,SEARCH("-",'R.M Billets Reports'!D928)+1,200)),""))&lt;&gt;"",IF(ISNUMBER(SEARCH("Party Name:-",'R.M Billets Reports'!D928)),TRIM('R.M Billets Reports'!F928),IF(ISNUMBER(SEARCH("Party Name-",'R.M Billets Reports'!D928)),TRIM(MID('R.M Billets Reports'!D928,SEARCH("-",'R.M Billets Reports'!D928)+1,200)),"")),IF(ISNUMBER(SEARCH("Party Name:-",'R.M Billets Reports'!D929)),TRIM('R.M Billets Reports'!F929),IF(ISNUMBER(SEARCH("Party Name-",'R.M Billets Reports'!D929)),TRIM(MID('R.M Billets Reports'!D929,SEARCH("-",'R.M Billets Reports'!D929)+1,200)),"")))))),IF(ROW()=2,"",A928))</f>
      </c>
      <c r="B929">
        <f>IF(OR('R.M Billets Reports'!A928="Date-",'R.M Billets Reports'!A928="Date:-"),'R.M Billets Reports'!B928,IF(ROW()=2,"",B928))</f>
      </c>
      <c r="C929">
        <f>IF('R.M Billets Reports'!A928="V.No.",'R.M Billets Reports'!B928,IF(ROW()=2,"",C928))</f>
      </c>
      <c r="D929">
        <f>IF('R.M Billets Reports'!A928&lt;&gt;"",'R.M Billets Reports'!A928,IF(ROW()=2,"",D928))</f>
      </c>
      <c r="E929">
        <f>IF('R.M Billets Reports'!B928="","",TRIM('R.M Billets Reports'!B928))</f>
      </c>
      <c r="F929">
        <f>'R.M Billets Reports'!C928</f>
      </c>
      <c r="G929">
        <f>'R.M Billets Reports'!D928</f>
      </c>
      <c r="H929">
        <f>'R.M Billets Reports'!E928</f>
      </c>
      <c r="I929">
        <f>'R.M Billets Reports'!F928</f>
      </c>
      <c r="J929">
        <f>'R.M Billets Reports'!G928</f>
      </c>
      <c r="K929">
        <f>'R.M Billets Reports'!H928</f>
      </c>
      <c r="L929">
        <f>IF('R.M Billets Reports'!I928="","",'R.M Billets Reports'!I928)</f>
      </c>
      <c r="M929">
        <f t="shared" si="28"/>
      </c>
      <c r="N929">
        <f>IF('R.M Billets Reports'!J928="","",'R.M Billets Reports'!J928)</f>
      </c>
      <c r="O929">
        <f t="shared" si="29"/>
      </c>
      <c r="P929">
        <f>IF('R.M Billets Reports'!A928="SIZE",'R.M Billets Reports'!B928,P928)</f>
      </c>
    </row>
    <row r="930" spans="1:16" x14ac:dyDescent="0.25">
      <c r="A930">
        <f>IF(OR('R.M Billets Reports'!A929="Date-",'R.M Billets Reports'!A929="Date:-"),IF(IF(IF(ISNUMBER(SEARCH("Party Name:-",'R.M Billets Reports'!D929)),TRIM('R.M Billets Reports'!F929),IF(ISNUMBER(SEARCH("Party Name-",'R.M Billets Reports'!D929)),TRIM(MID('R.M Billets Reports'!D929,SEARCH("-",'R.M Billets Reports'!D929)+1,200)),""))&lt;&gt;"",IF(ISNUMBER(SEARCH("Party Name:-",'R.M Billets Reports'!D929)),TRIM('R.M Billets Reports'!F929),IF(ISNUMBER(SEARCH("Party Name-",'R.M Billets Reports'!D929)),TRIM(MID('R.M Billets Reports'!D929,SEARCH("-",'R.M Billets Reports'!D929)+1,200)),"")),IF(ISNUMBER(SEARCH("Party Name:-",'R.M Billets Reports'!D930)),TRIM('R.M Billets Reports'!F930),IF(ISNUMBER(SEARCH("Party Name-",'R.M Billets Reports'!D930)),TRIM(MID('R.M Billets Reports'!D930,SEARCH("-",'R.M Billets Reports'!D930)+1,200)),"")))="VRKP ISPAT PVT LTD","VRKP",IF(IF(IF(ISNUMBER(SEARCH("Party Name:-",'R.M Billets Reports'!D929)),TRIM('R.M Billets Reports'!F929),IF(ISNUMBER(SEARCH("Party Name-",'R.M Billets Reports'!D929)),TRIM(MID('R.M Billets Reports'!D929,SEARCH("-",'R.M Billets Reports'!D929)+1,200)),""))&lt;&gt;"",IF(ISNUMBER(SEARCH("Party Name:-",'R.M Billets Reports'!D929)),TRIM('R.M Billets Reports'!F929),IF(ISNUMBER(SEARCH("Party Name-",'R.M Billets Reports'!D929)),TRIM(MID('R.M Billets Reports'!D929,SEARCH("-",'R.M Billets Reports'!D929)+1,200)),"")),IF(ISNUMBER(SEARCH("Party Name:-",'R.M Billets Reports'!D930)),TRIM('R.M Billets Reports'!F930),IF(ISNUMBER(SEARCH("Party Name-",'R.M Billets Reports'!D930)),TRIM(MID('R.M Billets Reports'!D930,SEARCH("-",'R.M Billets Reports'!D930)+1,200)),"")))="SHRI RADHE","SHREE RADHE",IF(IF(IF(ISNUMBER(SEARCH("Party Name:-",'R.M Billets Reports'!D929)),TRIM('R.M Billets Reports'!F929),IF(ISNUMBER(SEARCH("Party Name-",'R.M Billets Reports'!D929)),TRIM(MID('R.M Billets Reports'!D929,SEARCH("-",'R.M Billets Reports'!D929)+1,200)),""))&lt;&gt;"",IF(ISNUMBER(SEARCH("Party Name:-",'R.M Billets Reports'!D929)),TRIM('R.M Billets Reports'!F929),IF(ISNUMBER(SEARCH("Party Name-",'R.M Billets Reports'!D929)),TRIM(MID('R.M Billets Reports'!D929,SEARCH("-",'R.M Billets Reports'!D929)+1,200)),"")),IF(ISNUMBER(SEARCH("Party Name:-",'R.M Billets Reports'!D930)),TRIM('R.M Billets Reports'!F930),IF(ISNUMBER(SEARCH("Party Name-",'R.M Billets Reports'!D930)),TRIM(MID('R.M Billets Reports'!D930,SEARCH("-",'R.M Billets Reports'!D930)+1,200)),"")))="SHREE RADHE SHAKTI SPONGE AND POWER PVT. LTD.","SHREE RADHE",IF(IF(ISNUMBER(SEARCH("Party Name:-",'R.M Billets Reports'!D929)),TRIM('R.M Billets Reports'!F929),IF(ISNUMBER(SEARCH("Party Name-",'R.M Billets Reports'!D929)),TRIM(MID('R.M Billets Reports'!D929,SEARCH("-",'R.M Billets Reports'!D929)+1,200)),""))&lt;&gt;"",IF(ISNUMBER(SEARCH("Party Name:-",'R.M Billets Reports'!D929)),TRIM('R.M Billets Reports'!F929),IF(ISNUMBER(SEARCH("Party Name-",'R.M Billets Reports'!D929)),TRIM(MID('R.M Billets Reports'!D929,SEARCH("-",'R.M Billets Reports'!D929)+1,200)),"")),IF(ISNUMBER(SEARCH("Party Name:-",'R.M Billets Reports'!D930)),TRIM('R.M Billets Reports'!F930),IF(ISNUMBER(SEARCH("Party Name-",'R.M Billets Reports'!D930)),TRIM(MID('R.M Billets Reports'!D930,SEARCH("-",'R.M Billets Reports'!D930)+1,200)),"")))))),IF(ROW()=2,"",A929))</f>
      </c>
      <c r="B930">
        <f>IF(OR('R.M Billets Reports'!A929="Date-",'R.M Billets Reports'!A929="Date:-"),'R.M Billets Reports'!B929,IF(ROW()=2,"",B929))</f>
      </c>
      <c r="C930">
        <f>IF('R.M Billets Reports'!A929="V.No.",'R.M Billets Reports'!B929,IF(ROW()=2,"",C929))</f>
      </c>
      <c r="D930">
        <f>IF('R.M Billets Reports'!A929&lt;&gt;"",'R.M Billets Reports'!A929,IF(ROW()=2,"",D929))</f>
      </c>
      <c r="E930">
        <f>IF('R.M Billets Reports'!B929="","",TRIM('R.M Billets Reports'!B929))</f>
      </c>
      <c r="F930">
        <f>'R.M Billets Reports'!C929</f>
      </c>
      <c r="G930">
        <f>'R.M Billets Reports'!D929</f>
      </c>
      <c r="H930">
        <f>'R.M Billets Reports'!E929</f>
      </c>
      <c r="I930">
        <f>'R.M Billets Reports'!F929</f>
      </c>
      <c r="J930">
        <f>'R.M Billets Reports'!G929</f>
      </c>
      <c r="K930">
        <f>'R.M Billets Reports'!H929</f>
      </c>
      <c r="L930">
        <f>IF('R.M Billets Reports'!I929="","",'R.M Billets Reports'!I929)</f>
      </c>
      <c r="M930">
        <f t="shared" si="28"/>
      </c>
      <c r="N930">
        <f>IF('R.M Billets Reports'!J929="","",'R.M Billets Reports'!J929)</f>
      </c>
      <c r="O930">
        <f t="shared" si="29"/>
      </c>
      <c r="P930">
        <f>IF('R.M Billets Reports'!A929="SIZE",'R.M Billets Reports'!B929,P929)</f>
      </c>
    </row>
    <row r="931" spans="1:16" x14ac:dyDescent="0.25">
      <c r="A931">
        <f>IF(OR('R.M Billets Reports'!A930="Date-",'R.M Billets Reports'!A930="Date:-"),IF(IF(IF(ISNUMBER(SEARCH("Party Name:-",'R.M Billets Reports'!D930)),TRIM('R.M Billets Reports'!F930),IF(ISNUMBER(SEARCH("Party Name-",'R.M Billets Reports'!D930)),TRIM(MID('R.M Billets Reports'!D930,SEARCH("-",'R.M Billets Reports'!D930)+1,200)),""))&lt;&gt;"",IF(ISNUMBER(SEARCH("Party Name:-",'R.M Billets Reports'!D930)),TRIM('R.M Billets Reports'!F930),IF(ISNUMBER(SEARCH("Party Name-",'R.M Billets Reports'!D930)),TRIM(MID('R.M Billets Reports'!D930,SEARCH("-",'R.M Billets Reports'!D930)+1,200)),"")),IF(ISNUMBER(SEARCH("Party Name:-",'R.M Billets Reports'!D931)),TRIM('R.M Billets Reports'!F931),IF(ISNUMBER(SEARCH("Party Name-",'R.M Billets Reports'!D931)),TRIM(MID('R.M Billets Reports'!D931,SEARCH("-",'R.M Billets Reports'!D931)+1,200)),"")))="VRKP ISPAT PVT LTD","VRKP",IF(IF(IF(ISNUMBER(SEARCH("Party Name:-",'R.M Billets Reports'!D930)),TRIM('R.M Billets Reports'!F930),IF(ISNUMBER(SEARCH("Party Name-",'R.M Billets Reports'!D930)),TRIM(MID('R.M Billets Reports'!D930,SEARCH("-",'R.M Billets Reports'!D930)+1,200)),""))&lt;&gt;"",IF(ISNUMBER(SEARCH("Party Name:-",'R.M Billets Reports'!D930)),TRIM('R.M Billets Reports'!F930),IF(ISNUMBER(SEARCH("Party Name-",'R.M Billets Reports'!D930)),TRIM(MID('R.M Billets Reports'!D930,SEARCH("-",'R.M Billets Reports'!D930)+1,200)),"")),IF(ISNUMBER(SEARCH("Party Name:-",'R.M Billets Reports'!D931)),TRIM('R.M Billets Reports'!F931),IF(ISNUMBER(SEARCH("Party Name-",'R.M Billets Reports'!D931)),TRIM(MID('R.M Billets Reports'!D931,SEARCH("-",'R.M Billets Reports'!D931)+1,200)),"")))="SHRI RADHE","SHREE RADHE",IF(IF(IF(ISNUMBER(SEARCH("Party Name:-",'R.M Billets Reports'!D930)),TRIM('R.M Billets Reports'!F930),IF(ISNUMBER(SEARCH("Party Name-",'R.M Billets Reports'!D930)),TRIM(MID('R.M Billets Reports'!D930,SEARCH("-",'R.M Billets Reports'!D930)+1,200)),""))&lt;&gt;"",IF(ISNUMBER(SEARCH("Party Name:-",'R.M Billets Reports'!D930)),TRIM('R.M Billets Reports'!F930),IF(ISNUMBER(SEARCH("Party Name-",'R.M Billets Reports'!D930)),TRIM(MID('R.M Billets Reports'!D930,SEARCH("-",'R.M Billets Reports'!D930)+1,200)),"")),IF(ISNUMBER(SEARCH("Party Name:-",'R.M Billets Reports'!D931)),TRIM('R.M Billets Reports'!F931),IF(ISNUMBER(SEARCH("Party Name-",'R.M Billets Reports'!D931)),TRIM(MID('R.M Billets Reports'!D931,SEARCH("-",'R.M Billets Reports'!D931)+1,200)),"")))="SHREE RADHE SHAKTI SPONGE AND POWER PVT. LTD.","SHREE RADHE",IF(IF(ISNUMBER(SEARCH("Party Name:-",'R.M Billets Reports'!D930)),TRIM('R.M Billets Reports'!F930),IF(ISNUMBER(SEARCH("Party Name-",'R.M Billets Reports'!D930)),TRIM(MID('R.M Billets Reports'!D930,SEARCH("-",'R.M Billets Reports'!D930)+1,200)),""))&lt;&gt;"",IF(ISNUMBER(SEARCH("Party Name:-",'R.M Billets Reports'!D930)),TRIM('R.M Billets Reports'!F930),IF(ISNUMBER(SEARCH("Party Name-",'R.M Billets Reports'!D930)),TRIM(MID('R.M Billets Reports'!D930,SEARCH("-",'R.M Billets Reports'!D930)+1,200)),"")),IF(ISNUMBER(SEARCH("Party Name:-",'R.M Billets Reports'!D931)),TRIM('R.M Billets Reports'!F931),IF(ISNUMBER(SEARCH("Party Name-",'R.M Billets Reports'!D931)),TRIM(MID('R.M Billets Reports'!D931,SEARCH("-",'R.M Billets Reports'!D931)+1,200)),"")))))),IF(ROW()=2,"",A930))</f>
      </c>
      <c r="B931">
        <f>IF(OR('R.M Billets Reports'!A930="Date-",'R.M Billets Reports'!A930="Date:-"),'R.M Billets Reports'!B930,IF(ROW()=2,"",B930))</f>
      </c>
      <c r="C931">
        <f>IF('R.M Billets Reports'!A930="V.No.",'R.M Billets Reports'!B930,IF(ROW()=2,"",C930))</f>
      </c>
      <c r="D931">
        <f>IF('R.M Billets Reports'!A930&lt;&gt;"",'R.M Billets Reports'!A930,IF(ROW()=2,"",D930))</f>
      </c>
      <c r="E931">
        <f>IF('R.M Billets Reports'!B930="","",TRIM('R.M Billets Reports'!B930))</f>
      </c>
      <c r="F931">
        <f>'R.M Billets Reports'!C930</f>
      </c>
      <c r="G931">
        <f>'R.M Billets Reports'!D930</f>
      </c>
      <c r="H931">
        <f>'R.M Billets Reports'!E930</f>
      </c>
      <c r="I931">
        <f>'R.M Billets Reports'!F930</f>
      </c>
      <c r="J931">
        <f>'R.M Billets Reports'!G930</f>
      </c>
      <c r="K931">
        <f>'R.M Billets Reports'!H930</f>
      </c>
      <c r="L931">
        <f>IF('R.M Billets Reports'!I930="","",'R.M Billets Reports'!I930)</f>
      </c>
      <c r="M931">
        <f t="shared" si="28"/>
      </c>
      <c r="N931">
        <f>IF('R.M Billets Reports'!J930="","",'R.M Billets Reports'!J930)</f>
      </c>
      <c r="O931">
        <f t="shared" si="29"/>
      </c>
      <c r="P931">
        <f>IF('R.M Billets Reports'!A930="SIZE",'R.M Billets Reports'!B930,P930)</f>
      </c>
    </row>
    <row r="932" spans="1:16" x14ac:dyDescent="0.25">
      <c r="A932">
        <f>IF(OR('R.M Billets Reports'!A931="Date-",'R.M Billets Reports'!A931="Date:-"),IF(IF(IF(ISNUMBER(SEARCH("Party Name:-",'R.M Billets Reports'!D931)),TRIM('R.M Billets Reports'!F931),IF(ISNUMBER(SEARCH("Party Name-",'R.M Billets Reports'!D931)),TRIM(MID('R.M Billets Reports'!D931,SEARCH("-",'R.M Billets Reports'!D931)+1,200)),""))&lt;&gt;"",IF(ISNUMBER(SEARCH("Party Name:-",'R.M Billets Reports'!D931)),TRIM('R.M Billets Reports'!F931),IF(ISNUMBER(SEARCH("Party Name-",'R.M Billets Reports'!D931)),TRIM(MID('R.M Billets Reports'!D931,SEARCH("-",'R.M Billets Reports'!D931)+1,200)),"")),IF(ISNUMBER(SEARCH("Party Name:-",'R.M Billets Reports'!D932)),TRIM('R.M Billets Reports'!F932),IF(ISNUMBER(SEARCH("Party Name-",'R.M Billets Reports'!D932)),TRIM(MID('R.M Billets Reports'!D932,SEARCH("-",'R.M Billets Reports'!D932)+1,200)),"")))="VRKP ISPAT PVT LTD","VRKP",IF(IF(IF(ISNUMBER(SEARCH("Party Name:-",'R.M Billets Reports'!D931)),TRIM('R.M Billets Reports'!F931),IF(ISNUMBER(SEARCH("Party Name-",'R.M Billets Reports'!D931)),TRIM(MID('R.M Billets Reports'!D931,SEARCH("-",'R.M Billets Reports'!D931)+1,200)),""))&lt;&gt;"",IF(ISNUMBER(SEARCH("Party Name:-",'R.M Billets Reports'!D931)),TRIM('R.M Billets Reports'!F931),IF(ISNUMBER(SEARCH("Party Name-",'R.M Billets Reports'!D931)),TRIM(MID('R.M Billets Reports'!D931,SEARCH("-",'R.M Billets Reports'!D931)+1,200)),"")),IF(ISNUMBER(SEARCH("Party Name:-",'R.M Billets Reports'!D932)),TRIM('R.M Billets Reports'!F932),IF(ISNUMBER(SEARCH("Party Name-",'R.M Billets Reports'!D932)),TRIM(MID('R.M Billets Reports'!D932,SEARCH("-",'R.M Billets Reports'!D932)+1,200)),"")))="SHRI RADHE","SHREE RADHE",IF(IF(IF(ISNUMBER(SEARCH("Party Name:-",'R.M Billets Reports'!D931)),TRIM('R.M Billets Reports'!F931),IF(ISNUMBER(SEARCH("Party Name-",'R.M Billets Reports'!D931)),TRIM(MID('R.M Billets Reports'!D931,SEARCH("-",'R.M Billets Reports'!D931)+1,200)),""))&lt;&gt;"",IF(ISNUMBER(SEARCH("Party Name:-",'R.M Billets Reports'!D931)),TRIM('R.M Billets Reports'!F931),IF(ISNUMBER(SEARCH("Party Name-",'R.M Billets Reports'!D931)),TRIM(MID('R.M Billets Reports'!D931,SEARCH("-",'R.M Billets Reports'!D931)+1,200)),"")),IF(ISNUMBER(SEARCH("Party Name:-",'R.M Billets Reports'!D932)),TRIM('R.M Billets Reports'!F932),IF(ISNUMBER(SEARCH("Party Name-",'R.M Billets Reports'!D932)),TRIM(MID('R.M Billets Reports'!D932,SEARCH("-",'R.M Billets Reports'!D932)+1,200)),"")))="SHREE RADHE SHAKTI SPONGE AND POWER PVT. LTD.","SHREE RADHE",IF(IF(ISNUMBER(SEARCH("Party Name:-",'R.M Billets Reports'!D931)),TRIM('R.M Billets Reports'!F931),IF(ISNUMBER(SEARCH("Party Name-",'R.M Billets Reports'!D931)),TRIM(MID('R.M Billets Reports'!D931,SEARCH("-",'R.M Billets Reports'!D931)+1,200)),""))&lt;&gt;"",IF(ISNUMBER(SEARCH("Party Name:-",'R.M Billets Reports'!D931)),TRIM('R.M Billets Reports'!F931),IF(ISNUMBER(SEARCH("Party Name-",'R.M Billets Reports'!D931)),TRIM(MID('R.M Billets Reports'!D931,SEARCH("-",'R.M Billets Reports'!D931)+1,200)),"")),IF(ISNUMBER(SEARCH("Party Name:-",'R.M Billets Reports'!D932)),TRIM('R.M Billets Reports'!F932),IF(ISNUMBER(SEARCH("Party Name-",'R.M Billets Reports'!D932)),TRIM(MID('R.M Billets Reports'!D932,SEARCH("-",'R.M Billets Reports'!D932)+1,200)),"")))))),IF(ROW()=2,"",A931))</f>
      </c>
      <c r="B932">
        <f>IF(OR('R.M Billets Reports'!A931="Date-",'R.M Billets Reports'!A931="Date:-"),'R.M Billets Reports'!B931,IF(ROW()=2,"",B931))</f>
      </c>
      <c r="C932">
        <f>IF('R.M Billets Reports'!A931="V.No.",'R.M Billets Reports'!B931,IF(ROW()=2,"",C931))</f>
      </c>
      <c r="D932">
        <f>IF('R.M Billets Reports'!A931&lt;&gt;"",'R.M Billets Reports'!A931,IF(ROW()=2,"",D931))</f>
      </c>
      <c r="E932">
        <f>IF('R.M Billets Reports'!B931="","",TRIM('R.M Billets Reports'!B931))</f>
      </c>
      <c r="F932">
        <f>'R.M Billets Reports'!C931</f>
      </c>
      <c r="G932">
        <f>'R.M Billets Reports'!D931</f>
      </c>
      <c r="H932">
        <f>'R.M Billets Reports'!E931</f>
      </c>
      <c r="I932">
        <f>'R.M Billets Reports'!F931</f>
      </c>
      <c r="J932">
        <f>'R.M Billets Reports'!G931</f>
      </c>
      <c r="K932">
        <f>'R.M Billets Reports'!H931</f>
      </c>
      <c r="L932">
        <f>IF('R.M Billets Reports'!I931="","",'R.M Billets Reports'!I931)</f>
      </c>
      <c r="M932">
        <f t="shared" si="28"/>
      </c>
      <c r="N932">
        <f>IF('R.M Billets Reports'!J931="","",'R.M Billets Reports'!J931)</f>
      </c>
      <c r="O932">
        <f t="shared" si="29"/>
      </c>
      <c r="P932">
        <f>IF('R.M Billets Reports'!A931="SIZE",'R.M Billets Reports'!B931,P931)</f>
      </c>
    </row>
    <row r="933" spans="1:16" x14ac:dyDescent="0.25">
      <c r="A933">
        <f>IF(OR('R.M Billets Reports'!A932="Date-",'R.M Billets Reports'!A932="Date:-"),IF(IF(IF(ISNUMBER(SEARCH("Party Name:-",'R.M Billets Reports'!D932)),TRIM('R.M Billets Reports'!F932),IF(ISNUMBER(SEARCH("Party Name-",'R.M Billets Reports'!D932)),TRIM(MID('R.M Billets Reports'!D932,SEARCH("-",'R.M Billets Reports'!D932)+1,200)),""))&lt;&gt;"",IF(ISNUMBER(SEARCH("Party Name:-",'R.M Billets Reports'!D932)),TRIM('R.M Billets Reports'!F932),IF(ISNUMBER(SEARCH("Party Name-",'R.M Billets Reports'!D932)),TRIM(MID('R.M Billets Reports'!D932,SEARCH("-",'R.M Billets Reports'!D932)+1,200)),"")),IF(ISNUMBER(SEARCH("Party Name:-",'R.M Billets Reports'!D933)),TRIM('R.M Billets Reports'!F933),IF(ISNUMBER(SEARCH("Party Name-",'R.M Billets Reports'!D933)),TRIM(MID('R.M Billets Reports'!D933,SEARCH("-",'R.M Billets Reports'!D933)+1,200)),"")))="VRKP ISPAT PVT LTD","VRKP",IF(IF(IF(ISNUMBER(SEARCH("Party Name:-",'R.M Billets Reports'!D932)),TRIM('R.M Billets Reports'!F932),IF(ISNUMBER(SEARCH("Party Name-",'R.M Billets Reports'!D932)),TRIM(MID('R.M Billets Reports'!D932,SEARCH("-",'R.M Billets Reports'!D932)+1,200)),""))&lt;&gt;"",IF(ISNUMBER(SEARCH("Party Name:-",'R.M Billets Reports'!D932)),TRIM('R.M Billets Reports'!F932),IF(ISNUMBER(SEARCH("Party Name-",'R.M Billets Reports'!D932)),TRIM(MID('R.M Billets Reports'!D932,SEARCH("-",'R.M Billets Reports'!D932)+1,200)),"")),IF(ISNUMBER(SEARCH("Party Name:-",'R.M Billets Reports'!D933)),TRIM('R.M Billets Reports'!F933),IF(ISNUMBER(SEARCH("Party Name-",'R.M Billets Reports'!D933)),TRIM(MID('R.M Billets Reports'!D933,SEARCH("-",'R.M Billets Reports'!D933)+1,200)),"")))="SHRI RADHE","SHREE RADHE",IF(IF(IF(ISNUMBER(SEARCH("Party Name:-",'R.M Billets Reports'!D932)),TRIM('R.M Billets Reports'!F932),IF(ISNUMBER(SEARCH("Party Name-",'R.M Billets Reports'!D932)),TRIM(MID('R.M Billets Reports'!D932,SEARCH("-",'R.M Billets Reports'!D932)+1,200)),""))&lt;&gt;"",IF(ISNUMBER(SEARCH("Party Name:-",'R.M Billets Reports'!D932)),TRIM('R.M Billets Reports'!F932),IF(ISNUMBER(SEARCH("Party Name-",'R.M Billets Reports'!D932)),TRIM(MID('R.M Billets Reports'!D932,SEARCH("-",'R.M Billets Reports'!D932)+1,200)),"")),IF(ISNUMBER(SEARCH("Party Name:-",'R.M Billets Reports'!D933)),TRIM('R.M Billets Reports'!F933),IF(ISNUMBER(SEARCH("Party Name-",'R.M Billets Reports'!D933)),TRIM(MID('R.M Billets Reports'!D933,SEARCH("-",'R.M Billets Reports'!D933)+1,200)),"")))="SHREE RADHE SHAKTI SPONGE AND POWER PVT. LTD.","SHREE RADHE",IF(IF(ISNUMBER(SEARCH("Party Name:-",'R.M Billets Reports'!D932)),TRIM('R.M Billets Reports'!F932),IF(ISNUMBER(SEARCH("Party Name-",'R.M Billets Reports'!D932)),TRIM(MID('R.M Billets Reports'!D932,SEARCH("-",'R.M Billets Reports'!D932)+1,200)),""))&lt;&gt;"",IF(ISNUMBER(SEARCH("Party Name:-",'R.M Billets Reports'!D932)),TRIM('R.M Billets Reports'!F932),IF(ISNUMBER(SEARCH("Party Name-",'R.M Billets Reports'!D932)),TRIM(MID('R.M Billets Reports'!D932,SEARCH("-",'R.M Billets Reports'!D932)+1,200)),"")),IF(ISNUMBER(SEARCH("Party Name:-",'R.M Billets Reports'!D933)),TRIM('R.M Billets Reports'!F933),IF(ISNUMBER(SEARCH("Party Name-",'R.M Billets Reports'!D933)),TRIM(MID('R.M Billets Reports'!D933,SEARCH("-",'R.M Billets Reports'!D933)+1,200)),"")))))),IF(ROW()=2,"",A932))</f>
      </c>
      <c r="B933">
        <f>IF(OR('R.M Billets Reports'!A932="Date-",'R.M Billets Reports'!A932="Date:-"),'R.M Billets Reports'!B932,IF(ROW()=2,"",B932))</f>
      </c>
      <c r="C933">
        <f>IF('R.M Billets Reports'!A932="V.No.",'R.M Billets Reports'!B932,IF(ROW()=2,"",C932))</f>
      </c>
      <c r="D933">
        <f>IF('R.M Billets Reports'!A932&lt;&gt;"",'R.M Billets Reports'!A932,IF(ROW()=2,"",D932))</f>
      </c>
      <c r="E933">
        <f>IF('R.M Billets Reports'!B932="","",TRIM('R.M Billets Reports'!B932))</f>
      </c>
      <c r="F933">
        <f>'R.M Billets Reports'!C932</f>
      </c>
      <c r="G933">
        <f>'R.M Billets Reports'!D932</f>
      </c>
      <c r="H933">
        <f>'R.M Billets Reports'!E932</f>
      </c>
      <c r="I933">
        <f>'R.M Billets Reports'!F932</f>
      </c>
      <c r="J933">
        <f>'R.M Billets Reports'!G932</f>
      </c>
      <c r="K933">
        <f>'R.M Billets Reports'!H932</f>
      </c>
      <c r="L933">
        <f>IF('R.M Billets Reports'!I932="","",'R.M Billets Reports'!I932)</f>
      </c>
      <c r="M933">
        <f t="shared" si="28"/>
      </c>
      <c r="N933">
        <f>IF('R.M Billets Reports'!J932="","",'R.M Billets Reports'!J932)</f>
      </c>
      <c r="O933">
        <f t="shared" si="29"/>
      </c>
      <c r="P933">
        <f>IF('R.M Billets Reports'!A932="SIZE",'R.M Billets Reports'!B932,P932)</f>
      </c>
    </row>
    <row r="934" spans="1:16" x14ac:dyDescent="0.25">
      <c r="A934">
        <f>IF(OR('R.M Billets Reports'!A933="Date-",'R.M Billets Reports'!A933="Date:-"),IF(IF(IF(ISNUMBER(SEARCH("Party Name:-",'R.M Billets Reports'!D933)),TRIM('R.M Billets Reports'!F933),IF(ISNUMBER(SEARCH("Party Name-",'R.M Billets Reports'!D933)),TRIM(MID('R.M Billets Reports'!D933,SEARCH("-",'R.M Billets Reports'!D933)+1,200)),""))&lt;&gt;"",IF(ISNUMBER(SEARCH("Party Name:-",'R.M Billets Reports'!D933)),TRIM('R.M Billets Reports'!F933),IF(ISNUMBER(SEARCH("Party Name-",'R.M Billets Reports'!D933)),TRIM(MID('R.M Billets Reports'!D933,SEARCH("-",'R.M Billets Reports'!D933)+1,200)),"")),IF(ISNUMBER(SEARCH("Party Name:-",'R.M Billets Reports'!D934)),TRIM('R.M Billets Reports'!F934),IF(ISNUMBER(SEARCH("Party Name-",'R.M Billets Reports'!D934)),TRIM(MID('R.M Billets Reports'!D934,SEARCH("-",'R.M Billets Reports'!D934)+1,200)),"")))="VRKP ISPAT PVT LTD","VRKP",IF(IF(IF(ISNUMBER(SEARCH("Party Name:-",'R.M Billets Reports'!D933)),TRIM('R.M Billets Reports'!F933),IF(ISNUMBER(SEARCH("Party Name-",'R.M Billets Reports'!D933)),TRIM(MID('R.M Billets Reports'!D933,SEARCH("-",'R.M Billets Reports'!D933)+1,200)),""))&lt;&gt;"",IF(ISNUMBER(SEARCH("Party Name:-",'R.M Billets Reports'!D933)),TRIM('R.M Billets Reports'!F933),IF(ISNUMBER(SEARCH("Party Name-",'R.M Billets Reports'!D933)),TRIM(MID('R.M Billets Reports'!D933,SEARCH("-",'R.M Billets Reports'!D933)+1,200)),"")),IF(ISNUMBER(SEARCH("Party Name:-",'R.M Billets Reports'!D934)),TRIM('R.M Billets Reports'!F934),IF(ISNUMBER(SEARCH("Party Name-",'R.M Billets Reports'!D934)),TRIM(MID('R.M Billets Reports'!D934,SEARCH("-",'R.M Billets Reports'!D934)+1,200)),"")))="SHRI RADHE","SHREE RADHE",IF(IF(IF(ISNUMBER(SEARCH("Party Name:-",'R.M Billets Reports'!D933)),TRIM('R.M Billets Reports'!F933),IF(ISNUMBER(SEARCH("Party Name-",'R.M Billets Reports'!D933)),TRIM(MID('R.M Billets Reports'!D933,SEARCH("-",'R.M Billets Reports'!D933)+1,200)),""))&lt;&gt;"",IF(ISNUMBER(SEARCH("Party Name:-",'R.M Billets Reports'!D933)),TRIM('R.M Billets Reports'!F933),IF(ISNUMBER(SEARCH("Party Name-",'R.M Billets Reports'!D933)),TRIM(MID('R.M Billets Reports'!D933,SEARCH("-",'R.M Billets Reports'!D933)+1,200)),"")),IF(ISNUMBER(SEARCH("Party Name:-",'R.M Billets Reports'!D934)),TRIM('R.M Billets Reports'!F934),IF(ISNUMBER(SEARCH("Party Name-",'R.M Billets Reports'!D934)),TRIM(MID('R.M Billets Reports'!D934,SEARCH("-",'R.M Billets Reports'!D934)+1,200)),"")))="SHREE RADHE SHAKTI SPONGE AND POWER PVT. LTD.","SHREE RADHE",IF(IF(ISNUMBER(SEARCH("Party Name:-",'R.M Billets Reports'!D933)),TRIM('R.M Billets Reports'!F933),IF(ISNUMBER(SEARCH("Party Name-",'R.M Billets Reports'!D933)),TRIM(MID('R.M Billets Reports'!D933,SEARCH("-",'R.M Billets Reports'!D933)+1,200)),""))&lt;&gt;"",IF(ISNUMBER(SEARCH("Party Name:-",'R.M Billets Reports'!D933)),TRIM('R.M Billets Reports'!F933),IF(ISNUMBER(SEARCH("Party Name-",'R.M Billets Reports'!D933)),TRIM(MID('R.M Billets Reports'!D933,SEARCH("-",'R.M Billets Reports'!D933)+1,200)),"")),IF(ISNUMBER(SEARCH("Party Name:-",'R.M Billets Reports'!D934)),TRIM('R.M Billets Reports'!F934),IF(ISNUMBER(SEARCH("Party Name-",'R.M Billets Reports'!D934)),TRIM(MID('R.M Billets Reports'!D934,SEARCH("-",'R.M Billets Reports'!D934)+1,200)),"")))))),IF(ROW()=2,"",A933))</f>
      </c>
      <c r="B934">
        <f>IF(OR('R.M Billets Reports'!A933="Date-",'R.M Billets Reports'!A933="Date:-"),'R.M Billets Reports'!B933,IF(ROW()=2,"",B933))</f>
      </c>
      <c r="C934">
        <f>IF('R.M Billets Reports'!A933="V.No.",'R.M Billets Reports'!B933,IF(ROW()=2,"",C933))</f>
      </c>
      <c r="D934">
        <f>IF('R.M Billets Reports'!A933&lt;&gt;"",'R.M Billets Reports'!A933,IF(ROW()=2,"",D933))</f>
      </c>
      <c r="E934">
        <f>IF('R.M Billets Reports'!B933="","",TRIM('R.M Billets Reports'!B933))</f>
      </c>
      <c r="F934">
        <f>'R.M Billets Reports'!C933</f>
      </c>
      <c r="G934">
        <f>'R.M Billets Reports'!D933</f>
      </c>
      <c r="H934">
        <f>'R.M Billets Reports'!E933</f>
      </c>
      <c r="I934">
        <f>'R.M Billets Reports'!F933</f>
      </c>
      <c r="J934">
        <f>'R.M Billets Reports'!G933</f>
      </c>
      <c r="K934">
        <f>'R.M Billets Reports'!H933</f>
      </c>
      <c r="L934">
        <f>IF('R.M Billets Reports'!I933="","",'R.M Billets Reports'!I933)</f>
      </c>
      <c r="M934">
        <f t="shared" si="28"/>
      </c>
      <c r="N934">
        <f>IF('R.M Billets Reports'!J933="","",'R.M Billets Reports'!J933)</f>
      </c>
      <c r="O934">
        <f t="shared" si="29"/>
      </c>
      <c r="P934">
        <f>IF('R.M Billets Reports'!A933="SIZE",'R.M Billets Reports'!B933,P933)</f>
      </c>
    </row>
    <row r="935" spans="1:16" x14ac:dyDescent="0.25">
      <c r="A935">
        <f>IF(OR('R.M Billets Reports'!A934="Date-",'R.M Billets Reports'!A934="Date:-"),IF(IF(IF(ISNUMBER(SEARCH("Party Name:-",'R.M Billets Reports'!D934)),TRIM('R.M Billets Reports'!F934),IF(ISNUMBER(SEARCH("Party Name-",'R.M Billets Reports'!D934)),TRIM(MID('R.M Billets Reports'!D934,SEARCH("-",'R.M Billets Reports'!D934)+1,200)),""))&lt;&gt;"",IF(ISNUMBER(SEARCH("Party Name:-",'R.M Billets Reports'!D934)),TRIM('R.M Billets Reports'!F934),IF(ISNUMBER(SEARCH("Party Name-",'R.M Billets Reports'!D934)),TRIM(MID('R.M Billets Reports'!D934,SEARCH("-",'R.M Billets Reports'!D934)+1,200)),"")),IF(ISNUMBER(SEARCH("Party Name:-",'R.M Billets Reports'!D935)),TRIM('R.M Billets Reports'!F935),IF(ISNUMBER(SEARCH("Party Name-",'R.M Billets Reports'!D935)),TRIM(MID('R.M Billets Reports'!D935,SEARCH("-",'R.M Billets Reports'!D935)+1,200)),"")))="VRKP ISPAT PVT LTD","VRKP",IF(IF(IF(ISNUMBER(SEARCH("Party Name:-",'R.M Billets Reports'!D934)),TRIM('R.M Billets Reports'!F934),IF(ISNUMBER(SEARCH("Party Name-",'R.M Billets Reports'!D934)),TRIM(MID('R.M Billets Reports'!D934,SEARCH("-",'R.M Billets Reports'!D934)+1,200)),""))&lt;&gt;"",IF(ISNUMBER(SEARCH("Party Name:-",'R.M Billets Reports'!D934)),TRIM('R.M Billets Reports'!F934),IF(ISNUMBER(SEARCH("Party Name-",'R.M Billets Reports'!D934)),TRIM(MID('R.M Billets Reports'!D934,SEARCH("-",'R.M Billets Reports'!D934)+1,200)),"")),IF(ISNUMBER(SEARCH("Party Name:-",'R.M Billets Reports'!D935)),TRIM('R.M Billets Reports'!F935),IF(ISNUMBER(SEARCH("Party Name-",'R.M Billets Reports'!D935)),TRIM(MID('R.M Billets Reports'!D935,SEARCH("-",'R.M Billets Reports'!D935)+1,200)),"")))="SHRI RADHE","SHREE RADHE",IF(IF(IF(ISNUMBER(SEARCH("Party Name:-",'R.M Billets Reports'!D934)),TRIM('R.M Billets Reports'!F934),IF(ISNUMBER(SEARCH("Party Name-",'R.M Billets Reports'!D934)),TRIM(MID('R.M Billets Reports'!D934,SEARCH("-",'R.M Billets Reports'!D934)+1,200)),""))&lt;&gt;"",IF(ISNUMBER(SEARCH("Party Name:-",'R.M Billets Reports'!D934)),TRIM('R.M Billets Reports'!F934),IF(ISNUMBER(SEARCH("Party Name-",'R.M Billets Reports'!D934)),TRIM(MID('R.M Billets Reports'!D934,SEARCH("-",'R.M Billets Reports'!D934)+1,200)),"")),IF(ISNUMBER(SEARCH("Party Name:-",'R.M Billets Reports'!D935)),TRIM('R.M Billets Reports'!F935),IF(ISNUMBER(SEARCH("Party Name-",'R.M Billets Reports'!D935)),TRIM(MID('R.M Billets Reports'!D935,SEARCH("-",'R.M Billets Reports'!D935)+1,200)),"")))="SHREE RADHE SHAKTI SPONGE AND POWER PVT. LTD.","SHREE RADHE",IF(IF(ISNUMBER(SEARCH("Party Name:-",'R.M Billets Reports'!D934)),TRIM('R.M Billets Reports'!F934),IF(ISNUMBER(SEARCH("Party Name-",'R.M Billets Reports'!D934)),TRIM(MID('R.M Billets Reports'!D934,SEARCH("-",'R.M Billets Reports'!D934)+1,200)),""))&lt;&gt;"",IF(ISNUMBER(SEARCH("Party Name:-",'R.M Billets Reports'!D934)),TRIM('R.M Billets Reports'!F934),IF(ISNUMBER(SEARCH("Party Name-",'R.M Billets Reports'!D934)),TRIM(MID('R.M Billets Reports'!D934,SEARCH("-",'R.M Billets Reports'!D934)+1,200)),"")),IF(ISNUMBER(SEARCH("Party Name:-",'R.M Billets Reports'!D935)),TRIM('R.M Billets Reports'!F935),IF(ISNUMBER(SEARCH("Party Name-",'R.M Billets Reports'!D935)),TRIM(MID('R.M Billets Reports'!D935,SEARCH("-",'R.M Billets Reports'!D935)+1,200)),"")))))),IF(ROW()=2,"",A934))</f>
      </c>
      <c r="B935">
        <f>IF(OR('R.M Billets Reports'!A934="Date-",'R.M Billets Reports'!A934="Date:-"),'R.M Billets Reports'!B934,IF(ROW()=2,"",B934))</f>
      </c>
      <c r="C935">
        <f>IF('R.M Billets Reports'!A934="V.No.",'R.M Billets Reports'!B934,IF(ROW()=2,"",C934))</f>
      </c>
      <c r="D935">
        <f>IF('R.M Billets Reports'!A934&lt;&gt;"",'R.M Billets Reports'!A934,IF(ROW()=2,"",D934))</f>
      </c>
      <c r="E935">
        <f>IF('R.M Billets Reports'!B934="","",TRIM('R.M Billets Reports'!B934))</f>
      </c>
      <c r="F935">
        <f>'R.M Billets Reports'!C934</f>
      </c>
      <c r="G935">
        <f>'R.M Billets Reports'!D934</f>
      </c>
      <c r="H935">
        <f>'R.M Billets Reports'!E934</f>
      </c>
      <c r="I935">
        <f>'R.M Billets Reports'!F934</f>
      </c>
      <c r="J935">
        <f>'R.M Billets Reports'!G934</f>
      </c>
      <c r="K935">
        <f>'R.M Billets Reports'!H934</f>
      </c>
      <c r="L935">
        <f>IF('R.M Billets Reports'!I934="","",'R.M Billets Reports'!I934)</f>
      </c>
      <c r="M935">
        <f t="shared" si="28"/>
      </c>
      <c r="N935">
        <f>IF('R.M Billets Reports'!J934="","",'R.M Billets Reports'!J934)</f>
      </c>
      <c r="O935">
        <f t="shared" si="29"/>
      </c>
      <c r="P935">
        <f>IF('R.M Billets Reports'!A934="SIZE",'R.M Billets Reports'!B934,P934)</f>
      </c>
    </row>
    <row r="936" spans="1:16" x14ac:dyDescent="0.25">
      <c r="A936">
        <f>IF(OR('R.M Billets Reports'!A935="Date-",'R.M Billets Reports'!A935="Date:-"),IF(IF(IF(ISNUMBER(SEARCH("Party Name:-",'R.M Billets Reports'!D935)),TRIM('R.M Billets Reports'!F935),IF(ISNUMBER(SEARCH("Party Name-",'R.M Billets Reports'!D935)),TRIM(MID('R.M Billets Reports'!D935,SEARCH("-",'R.M Billets Reports'!D935)+1,200)),""))&lt;&gt;"",IF(ISNUMBER(SEARCH("Party Name:-",'R.M Billets Reports'!D935)),TRIM('R.M Billets Reports'!F935),IF(ISNUMBER(SEARCH("Party Name-",'R.M Billets Reports'!D935)),TRIM(MID('R.M Billets Reports'!D935,SEARCH("-",'R.M Billets Reports'!D935)+1,200)),"")),IF(ISNUMBER(SEARCH("Party Name:-",'R.M Billets Reports'!D936)),TRIM('R.M Billets Reports'!F936),IF(ISNUMBER(SEARCH("Party Name-",'R.M Billets Reports'!D936)),TRIM(MID('R.M Billets Reports'!D936,SEARCH("-",'R.M Billets Reports'!D936)+1,200)),"")))="VRKP ISPAT PVT LTD","VRKP",IF(IF(IF(ISNUMBER(SEARCH("Party Name:-",'R.M Billets Reports'!D935)),TRIM('R.M Billets Reports'!F935),IF(ISNUMBER(SEARCH("Party Name-",'R.M Billets Reports'!D935)),TRIM(MID('R.M Billets Reports'!D935,SEARCH("-",'R.M Billets Reports'!D935)+1,200)),""))&lt;&gt;"",IF(ISNUMBER(SEARCH("Party Name:-",'R.M Billets Reports'!D935)),TRIM('R.M Billets Reports'!F935),IF(ISNUMBER(SEARCH("Party Name-",'R.M Billets Reports'!D935)),TRIM(MID('R.M Billets Reports'!D935,SEARCH("-",'R.M Billets Reports'!D935)+1,200)),"")),IF(ISNUMBER(SEARCH("Party Name:-",'R.M Billets Reports'!D936)),TRIM('R.M Billets Reports'!F936),IF(ISNUMBER(SEARCH("Party Name-",'R.M Billets Reports'!D936)),TRIM(MID('R.M Billets Reports'!D936,SEARCH("-",'R.M Billets Reports'!D936)+1,200)),"")))="SHRI RADHE","SHREE RADHE",IF(IF(IF(ISNUMBER(SEARCH("Party Name:-",'R.M Billets Reports'!D935)),TRIM('R.M Billets Reports'!F935),IF(ISNUMBER(SEARCH("Party Name-",'R.M Billets Reports'!D935)),TRIM(MID('R.M Billets Reports'!D935,SEARCH("-",'R.M Billets Reports'!D935)+1,200)),""))&lt;&gt;"",IF(ISNUMBER(SEARCH("Party Name:-",'R.M Billets Reports'!D935)),TRIM('R.M Billets Reports'!F935),IF(ISNUMBER(SEARCH("Party Name-",'R.M Billets Reports'!D935)),TRIM(MID('R.M Billets Reports'!D935,SEARCH("-",'R.M Billets Reports'!D935)+1,200)),"")),IF(ISNUMBER(SEARCH("Party Name:-",'R.M Billets Reports'!D936)),TRIM('R.M Billets Reports'!F936),IF(ISNUMBER(SEARCH("Party Name-",'R.M Billets Reports'!D936)),TRIM(MID('R.M Billets Reports'!D936,SEARCH("-",'R.M Billets Reports'!D936)+1,200)),"")))="SHREE RADHE SHAKTI SPONGE AND POWER PVT. LTD.","SHREE RADHE",IF(IF(ISNUMBER(SEARCH("Party Name:-",'R.M Billets Reports'!D935)),TRIM('R.M Billets Reports'!F935),IF(ISNUMBER(SEARCH("Party Name-",'R.M Billets Reports'!D935)),TRIM(MID('R.M Billets Reports'!D935,SEARCH("-",'R.M Billets Reports'!D935)+1,200)),""))&lt;&gt;"",IF(ISNUMBER(SEARCH("Party Name:-",'R.M Billets Reports'!D935)),TRIM('R.M Billets Reports'!F935),IF(ISNUMBER(SEARCH("Party Name-",'R.M Billets Reports'!D935)),TRIM(MID('R.M Billets Reports'!D935,SEARCH("-",'R.M Billets Reports'!D935)+1,200)),"")),IF(ISNUMBER(SEARCH("Party Name:-",'R.M Billets Reports'!D936)),TRIM('R.M Billets Reports'!F936),IF(ISNUMBER(SEARCH("Party Name-",'R.M Billets Reports'!D936)),TRIM(MID('R.M Billets Reports'!D936,SEARCH("-",'R.M Billets Reports'!D936)+1,200)),"")))))),IF(ROW()=2,"",A935))</f>
      </c>
      <c r="B936">
        <f>IF(OR('R.M Billets Reports'!A935="Date-",'R.M Billets Reports'!A935="Date:-"),'R.M Billets Reports'!B935,IF(ROW()=2,"",B935))</f>
      </c>
      <c r="C936">
        <f>IF('R.M Billets Reports'!A935="V.No.",'R.M Billets Reports'!B935,IF(ROW()=2,"",C935))</f>
      </c>
      <c r="D936">
        <f>IF('R.M Billets Reports'!A935&lt;&gt;"",'R.M Billets Reports'!A935,IF(ROW()=2,"",D935))</f>
      </c>
      <c r="E936">
        <f>IF('R.M Billets Reports'!B935="","",TRIM('R.M Billets Reports'!B935))</f>
      </c>
      <c r="F936">
        <f>'R.M Billets Reports'!C935</f>
      </c>
      <c r="G936">
        <f>'R.M Billets Reports'!D935</f>
      </c>
      <c r="H936">
        <f>'R.M Billets Reports'!E935</f>
      </c>
      <c r="I936">
        <f>'R.M Billets Reports'!F935</f>
      </c>
      <c r="J936">
        <f>'R.M Billets Reports'!G935</f>
      </c>
      <c r="K936">
        <f>'R.M Billets Reports'!H935</f>
      </c>
      <c r="L936">
        <f>IF('R.M Billets Reports'!I935="","",'R.M Billets Reports'!I935)</f>
      </c>
      <c r="M936">
        <f t="shared" si="28"/>
      </c>
      <c r="N936">
        <f>IF('R.M Billets Reports'!J935="","",'R.M Billets Reports'!J935)</f>
      </c>
      <c r="O936">
        <f t="shared" si="29"/>
      </c>
      <c r="P936">
        <f>IF('R.M Billets Reports'!A935="SIZE",'R.M Billets Reports'!B935,P935)</f>
      </c>
    </row>
    <row r="937" spans="1:16" x14ac:dyDescent="0.25">
      <c r="A937">
        <f>IF(OR('R.M Billets Reports'!A936="Date-",'R.M Billets Reports'!A936="Date:-"),IF(IF(IF(ISNUMBER(SEARCH("Party Name:-",'R.M Billets Reports'!D936)),TRIM('R.M Billets Reports'!F936),IF(ISNUMBER(SEARCH("Party Name-",'R.M Billets Reports'!D936)),TRIM(MID('R.M Billets Reports'!D936,SEARCH("-",'R.M Billets Reports'!D936)+1,200)),""))&lt;&gt;"",IF(ISNUMBER(SEARCH("Party Name:-",'R.M Billets Reports'!D936)),TRIM('R.M Billets Reports'!F936),IF(ISNUMBER(SEARCH("Party Name-",'R.M Billets Reports'!D936)),TRIM(MID('R.M Billets Reports'!D936,SEARCH("-",'R.M Billets Reports'!D936)+1,200)),"")),IF(ISNUMBER(SEARCH("Party Name:-",'R.M Billets Reports'!D937)),TRIM('R.M Billets Reports'!F937),IF(ISNUMBER(SEARCH("Party Name-",'R.M Billets Reports'!D937)),TRIM(MID('R.M Billets Reports'!D937,SEARCH("-",'R.M Billets Reports'!D937)+1,200)),"")))="VRKP ISPAT PVT LTD","VRKP",IF(IF(IF(ISNUMBER(SEARCH("Party Name:-",'R.M Billets Reports'!D936)),TRIM('R.M Billets Reports'!F936),IF(ISNUMBER(SEARCH("Party Name-",'R.M Billets Reports'!D936)),TRIM(MID('R.M Billets Reports'!D936,SEARCH("-",'R.M Billets Reports'!D936)+1,200)),""))&lt;&gt;"",IF(ISNUMBER(SEARCH("Party Name:-",'R.M Billets Reports'!D936)),TRIM('R.M Billets Reports'!F936),IF(ISNUMBER(SEARCH("Party Name-",'R.M Billets Reports'!D936)),TRIM(MID('R.M Billets Reports'!D936,SEARCH("-",'R.M Billets Reports'!D936)+1,200)),"")),IF(ISNUMBER(SEARCH("Party Name:-",'R.M Billets Reports'!D937)),TRIM('R.M Billets Reports'!F937),IF(ISNUMBER(SEARCH("Party Name-",'R.M Billets Reports'!D937)),TRIM(MID('R.M Billets Reports'!D937,SEARCH("-",'R.M Billets Reports'!D937)+1,200)),"")))="SHRI RADHE","SHREE RADHE",IF(IF(IF(ISNUMBER(SEARCH("Party Name:-",'R.M Billets Reports'!D936)),TRIM('R.M Billets Reports'!F936),IF(ISNUMBER(SEARCH("Party Name-",'R.M Billets Reports'!D936)),TRIM(MID('R.M Billets Reports'!D936,SEARCH("-",'R.M Billets Reports'!D936)+1,200)),""))&lt;&gt;"",IF(ISNUMBER(SEARCH("Party Name:-",'R.M Billets Reports'!D936)),TRIM('R.M Billets Reports'!F936),IF(ISNUMBER(SEARCH("Party Name-",'R.M Billets Reports'!D936)),TRIM(MID('R.M Billets Reports'!D936,SEARCH("-",'R.M Billets Reports'!D936)+1,200)),"")),IF(ISNUMBER(SEARCH("Party Name:-",'R.M Billets Reports'!D937)),TRIM('R.M Billets Reports'!F937),IF(ISNUMBER(SEARCH("Party Name-",'R.M Billets Reports'!D937)),TRIM(MID('R.M Billets Reports'!D937,SEARCH("-",'R.M Billets Reports'!D937)+1,200)),"")))="SHREE RADHE SHAKTI SPONGE AND POWER PVT. LTD.","SHREE RADHE",IF(IF(ISNUMBER(SEARCH("Party Name:-",'R.M Billets Reports'!D936)),TRIM('R.M Billets Reports'!F936),IF(ISNUMBER(SEARCH("Party Name-",'R.M Billets Reports'!D936)),TRIM(MID('R.M Billets Reports'!D936,SEARCH("-",'R.M Billets Reports'!D936)+1,200)),""))&lt;&gt;"",IF(ISNUMBER(SEARCH("Party Name:-",'R.M Billets Reports'!D936)),TRIM('R.M Billets Reports'!F936),IF(ISNUMBER(SEARCH("Party Name-",'R.M Billets Reports'!D936)),TRIM(MID('R.M Billets Reports'!D936,SEARCH("-",'R.M Billets Reports'!D936)+1,200)),"")),IF(ISNUMBER(SEARCH("Party Name:-",'R.M Billets Reports'!D937)),TRIM('R.M Billets Reports'!F937),IF(ISNUMBER(SEARCH("Party Name-",'R.M Billets Reports'!D937)),TRIM(MID('R.M Billets Reports'!D937,SEARCH("-",'R.M Billets Reports'!D937)+1,200)),"")))))),IF(ROW()=2,"",A936))</f>
      </c>
      <c r="B937">
        <f>IF(OR('R.M Billets Reports'!A936="Date-",'R.M Billets Reports'!A936="Date:-"),'R.M Billets Reports'!B936,IF(ROW()=2,"",B936))</f>
      </c>
      <c r="C937">
        <f>IF('R.M Billets Reports'!A936="V.No.",'R.M Billets Reports'!B936,IF(ROW()=2,"",C936))</f>
      </c>
      <c r="D937">
        <f>IF('R.M Billets Reports'!A936&lt;&gt;"",'R.M Billets Reports'!A936,IF(ROW()=2,"",D936))</f>
      </c>
      <c r="E937">
        <f>IF('R.M Billets Reports'!B936="","",TRIM('R.M Billets Reports'!B936))</f>
      </c>
      <c r="F937">
        <f>'R.M Billets Reports'!C936</f>
      </c>
      <c r="G937">
        <f>'R.M Billets Reports'!D936</f>
      </c>
      <c r="H937">
        <f>'R.M Billets Reports'!E936</f>
      </c>
      <c r="I937">
        <f>'R.M Billets Reports'!F936</f>
      </c>
      <c r="J937">
        <f>'R.M Billets Reports'!G936</f>
      </c>
      <c r="K937">
        <f>'R.M Billets Reports'!H936</f>
      </c>
      <c r="L937">
        <f>IF('R.M Billets Reports'!I936="","",'R.M Billets Reports'!I936)</f>
      </c>
      <c r="M937">
        <f t="shared" si="28"/>
      </c>
      <c r="N937">
        <f>IF('R.M Billets Reports'!J936="","",'R.M Billets Reports'!J936)</f>
      </c>
      <c r="O937">
        <f t="shared" si="29"/>
      </c>
      <c r="P937">
        <f>IF('R.M Billets Reports'!A936="SIZE",'R.M Billets Reports'!B936,P936)</f>
      </c>
    </row>
    <row r="938" spans="1:16" x14ac:dyDescent="0.25">
      <c r="A938">
        <f>IF(OR('R.M Billets Reports'!A937="Date-",'R.M Billets Reports'!A937="Date:-"),IF(IF(IF(ISNUMBER(SEARCH("Party Name:-",'R.M Billets Reports'!D937)),TRIM('R.M Billets Reports'!F937),IF(ISNUMBER(SEARCH("Party Name-",'R.M Billets Reports'!D937)),TRIM(MID('R.M Billets Reports'!D937,SEARCH("-",'R.M Billets Reports'!D937)+1,200)),""))&lt;&gt;"",IF(ISNUMBER(SEARCH("Party Name:-",'R.M Billets Reports'!D937)),TRIM('R.M Billets Reports'!F937),IF(ISNUMBER(SEARCH("Party Name-",'R.M Billets Reports'!D937)),TRIM(MID('R.M Billets Reports'!D937,SEARCH("-",'R.M Billets Reports'!D937)+1,200)),"")),IF(ISNUMBER(SEARCH("Party Name:-",'R.M Billets Reports'!D938)),TRIM('R.M Billets Reports'!F938),IF(ISNUMBER(SEARCH("Party Name-",'R.M Billets Reports'!D938)),TRIM(MID('R.M Billets Reports'!D938,SEARCH("-",'R.M Billets Reports'!D938)+1,200)),"")))="VRKP ISPAT PVT LTD","VRKP",IF(IF(IF(ISNUMBER(SEARCH("Party Name:-",'R.M Billets Reports'!D937)),TRIM('R.M Billets Reports'!F937),IF(ISNUMBER(SEARCH("Party Name-",'R.M Billets Reports'!D937)),TRIM(MID('R.M Billets Reports'!D937,SEARCH("-",'R.M Billets Reports'!D937)+1,200)),""))&lt;&gt;"",IF(ISNUMBER(SEARCH("Party Name:-",'R.M Billets Reports'!D937)),TRIM('R.M Billets Reports'!F937),IF(ISNUMBER(SEARCH("Party Name-",'R.M Billets Reports'!D937)),TRIM(MID('R.M Billets Reports'!D937,SEARCH("-",'R.M Billets Reports'!D937)+1,200)),"")),IF(ISNUMBER(SEARCH("Party Name:-",'R.M Billets Reports'!D938)),TRIM('R.M Billets Reports'!F938),IF(ISNUMBER(SEARCH("Party Name-",'R.M Billets Reports'!D938)),TRIM(MID('R.M Billets Reports'!D938,SEARCH("-",'R.M Billets Reports'!D938)+1,200)),"")))="SHRI RADHE","SHREE RADHE",IF(IF(IF(ISNUMBER(SEARCH("Party Name:-",'R.M Billets Reports'!D937)),TRIM('R.M Billets Reports'!F937),IF(ISNUMBER(SEARCH("Party Name-",'R.M Billets Reports'!D937)),TRIM(MID('R.M Billets Reports'!D937,SEARCH("-",'R.M Billets Reports'!D937)+1,200)),""))&lt;&gt;"",IF(ISNUMBER(SEARCH("Party Name:-",'R.M Billets Reports'!D937)),TRIM('R.M Billets Reports'!F937),IF(ISNUMBER(SEARCH("Party Name-",'R.M Billets Reports'!D937)),TRIM(MID('R.M Billets Reports'!D937,SEARCH("-",'R.M Billets Reports'!D937)+1,200)),"")),IF(ISNUMBER(SEARCH("Party Name:-",'R.M Billets Reports'!D938)),TRIM('R.M Billets Reports'!F938),IF(ISNUMBER(SEARCH("Party Name-",'R.M Billets Reports'!D938)),TRIM(MID('R.M Billets Reports'!D938,SEARCH("-",'R.M Billets Reports'!D938)+1,200)),"")))="SHREE RADHE SHAKTI SPONGE AND POWER PVT. LTD.","SHREE RADHE",IF(IF(ISNUMBER(SEARCH("Party Name:-",'R.M Billets Reports'!D937)),TRIM('R.M Billets Reports'!F937),IF(ISNUMBER(SEARCH("Party Name-",'R.M Billets Reports'!D937)),TRIM(MID('R.M Billets Reports'!D937,SEARCH("-",'R.M Billets Reports'!D937)+1,200)),""))&lt;&gt;"",IF(ISNUMBER(SEARCH("Party Name:-",'R.M Billets Reports'!D937)),TRIM('R.M Billets Reports'!F937),IF(ISNUMBER(SEARCH("Party Name-",'R.M Billets Reports'!D937)),TRIM(MID('R.M Billets Reports'!D937,SEARCH("-",'R.M Billets Reports'!D937)+1,200)),"")),IF(ISNUMBER(SEARCH("Party Name:-",'R.M Billets Reports'!D938)),TRIM('R.M Billets Reports'!F938),IF(ISNUMBER(SEARCH("Party Name-",'R.M Billets Reports'!D938)),TRIM(MID('R.M Billets Reports'!D938,SEARCH("-",'R.M Billets Reports'!D938)+1,200)),"")))))),IF(ROW()=2,"",A937))</f>
      </c>
      <c r="B938">
        <f>IF(OR('R.M Billets Reports'!A937="Date-",'R.M Billets Reports'!A937="Date:-"),'R.M Billets Reports'!B937,IF(ROW()=2,"",B937))</f>
      </c>
      <c r="C938">
        <f>IF('R.M Billets Reports'!A937="V.No.",'R.M Billets Reports'!B937,IF(ROW()=2,"",C937))</f>
      </c>
      <c r="D938">
        <f>IF('R.M Billets Reports'!A937&lt;&gt;"",'R.M Billets Reports'!A937,IF(ROW()=2,"",D937))</f>
      </c>
      <c r="E938">
        <f>IF('R.M Billets Reports'!B937="","",TRIM('R.M Billets Reports'!B937))</f>
      </c>
      <c r="F938">
        <f>'R.M Billets Reports'!C937</f>
      </c>
      <c r="G938">
        <f>'R.M Billets Reports'!D937</f>
      </c>
      <c r="H938">
        <f>'R.M Billets Reports'!E937</f>
      </c>
      <c r="I938">
        <f>'R.M Billets Reports'!F937</f>
      </c>
      <c r="J938">
        <f>'R.M Billets Reports'!G937</f>
      </c>
      <c r="K938">
        <f>'R.M Billets Reports'!H937</f>
      </c>
      <c r="L938">
        <f>IF('R.M Billets Reports'!I937="","",'R.M Billets Reports'!I937)</f>
      </c>
      <c r="M938">
        <f t="shared" si="28"/>
      </c>
      <c r="N938">
        <f>IF('R.M Billets Reports'!J937="","",'R.M Billets Reports'!J937)</f>
      </c>
      <c r="O938">
        <f t="shared" si="29"/>
      </c>
      <c r="P938">
        <f>IF('R.M Billets Reports'!A937="SIZE",'R.M Billets Reports'!B937,P937)</f>
      </c>
    </row>
    <row r="939" spans="1:16" x14ac:dyDescent="0.25">
      <c r="A939">
        <f>IF(OR('R.M Billets Reports'!A938="Date-",'R.M Billets Reports'!A938="Date:-"),IF(IF(IF(ISNUMBER(SEARCH("Party Name:-",'R.M Billets Reports'!D938)),TRIM('R.M Billets Reports'!F938),IF(ISNUMBER(SEARCH("Party Name-",'R.M Billets Reports'!D938)),TRIM(MID('R.M Billets Reports'!D938,SEARCH("-",'R.M Billets Reports'!D938)+1,200)),""))&lt;&gt;"",IF(ISNUMBER(SEARCH("Party Name:-",'R.M Billets Reports'!D938)),TRIM('R.M Billets Reports'!F938),IF(ISNUMBER(SEARCH("Party Name-",'R.M Billets Reports'!D938)),TRIM(MID('R.M Billets Reports'!D938,SEARCH("-",'R.M Billets Reports'!D938)+1,200)),"")),IF(ISNUMBER(SEARCH("Party Name:-",'R.M Billets Reports'!D939)),TRIM('R.M Billets Reports'!F939),IF(ISNUMBER(SEARCH("Party Name-",'R.M Billets Reports'!D939)),TRIM(MID('R.M Billets Reports'!D939,SEARCH("-",'R.M Billets Reports'!D939)+1,200)),"")))="VRKP ISPAT PVT LTD","VRKP",IF(IF(IF(ISNUMBER(SEARCH("Party Name:-",'R.M Billets Reports'!D938)),TRIM('R.M Billets Reports'!F938),IF(ISNUMBER(SEARCH("Party Name-",'R.M Billets Reports'!D938)),TRIM(MID('R.M Billets Reports'!D938,SEARCH("-",'R.M Billets Reports'!D938)+1,200)),""))&lt;&gt;"",IF(ISNUMBER(SEARCH("Party Name:-",'R.M Billets Reports'!D938)),TRIM('R.M Billets Reports'!F938),IF(ISNUMBER(SEARCH("Party Name-",'R.M Billets Reports'!D938)),TRIM(MID('R.M Billets Reports'!D938,SEARCH("-",'R.M Billets Reports'!D938)+1,200)),"")),IF(ISNUMBER(SEARCH("Party Name:-",'R.M Billets Reports'!D939)),TRIM('R.M Billets Reports'!F939),IF(ISNUMBER(SEARCH("Party Name-",'R.M Billets Reports'!D939)),TRIM(MID('R.M Billets Reports'!D939,SEARCH("-",'R.M Billets Reports'!D939)+1,200)),"")))="SHRI RADHE","SHREE RADHE",IF(IF(IF(ISNUMBER(SEARCH("Party Name:-",'R.M Billets Reports'!D938)),TRIM('R.M Billets Reports'!F938),IF(ISNUMBER(SEARCH("Party Name-",'R.M Billets Reports'!D938)),TRIM(MID('R.M Billets Reports'!D938,SEARCH("-",'R.M Billets Reports'!D938)+1,200)),""))&lt;&gt;"",IF(ISNUMBER(SEARCH("Party Name:-",'R.M Billets Reports'!D938)),TRIM('R.M Billets Reports'!F938),IF(ISNUMBER(SEARCH("Party Name-",'R.M Billets Reports'!D938)),TRIM(MID('R.M Billets Reports'!D938,SEARCH("-",'R.M Billets Reports'!D938)+1,200)),"")),IF(ISNUMBER(SEARCH("Party Name:-",'R.M Billets Reports'!D939)),TRIM('R.M Billets Reports'!F939),IF(ISNUMBER(SEARCH("Party Name-",'R.M Billets Reports'!D939)),TRIM(MID('R.M Billets Reports'!D939,SEARCH("-",'R.M Billets Reports'!D939)+1,200)),"")))="SHREE RADHE SHAKTI SPONGE AND POWER PVT. LTD.","SHREE RADHE",IF(IF(ISNUMBER(SEARCH("Party Name:-",'R.M Billets Reports'!D938)),TRIM('R.M Billets Reports'!F938),IF(ISNUMBER(SEARCH("Party Name-",'R.M Billets Reports'!D938)),TRIM(MID('R.M Billets Reports'!D938,SEARCH("-",'R.M Billets Reports'!D938)+1,200)),""))&lt;&gt;"",IF(ISNUMBER(SEARCH("Party Name:-",'R.M Billets Reports'!D938)),TRIM('R.M Billets Reports'!F938),IF(ISNUMBER(SEARCH("Party Name-",'R.M Billets Reports'!D938)),TRIM(MID('R.M Billets Reports'!D938,SEARCH("-",'R.M Billets Reports'!D938)+1,200)),"")),IF(ISNUMBER(SEARCH("Party Name:-",'R.M Billets Reports'!D939)),TRIM('R.M Billets Reports'!F939),IF(ISNUMBER(SEARCH("Party Name-",'R.M Billets Reports'!D939)),TRIM(MID('R.M Billets Reports'!D939,SEARCH("-",'R.M Billets Reports'!D939)+1,200)),"")))))),IF(ROW()=2,"",A938))</f>
      </c>
      <c r="B939">
        <f>IF(OR('R.M Billets Reports'!A938="Date-",'R.M Billets Reports'!A938="Date:-"),'R.M Billets Reports'!B938,IF(ROW()=2,"",B938))</f>
      </c>
      <c r="C939">
        <f>IF('R.M Billets Reports'!A938="V.No.",'R.M Billets Reports'!B938,IF(ROW()=2,"",C938))</f>
      </c>
      <c r="D939">
        <f>IF('R.M Billets Reports'!A938&lt;&gt;"",'R.M Billets Reports'!A938,IF(ROW()=2,"",D938))</f>
      </c>
      <c r="E939">
        <f>IF('R.M Billets Reports'!B938="","",TRIM('R.M Billets Reports'!B938))</f>
      </c>
      <c r="F939">
        <f>'R.M Billets Reports'!C938</f>
      </c>
      <c r="G939">
        <f>'R.M Billets Reports'!D938</f>
      </c>
      <c r="H939">
        <f>'R.M Billets Reports'!E938</f>
      </c>
      <c r="I939">
        <f>'R.M Billets Reports'!F938</f>
      </c>
      <c r="J939">
        <f>'R.M Billets Reports'!G938</f>
      </c>
      <c r="K939">
        <f>'R.M Billets Reports'!H938</f>
      </c>
      <c r="L939">
        <f>IF('R.M Billets Reports'!I938="","",'R.M Billets Reports'!I938)</f>
      </c>
      <c r="M939">
        <f t="shared" si="28"/>
      </c>
      <c r="N939">
        <f>IF('R.M Billets Reports'!J938="","",'R.M Billets Reports'!J938)</f>
      </c>
      <c r="O939">
        <f t="shared" si="29"/>
      </c>
      <c r="P939">
        <f>IF('R.M Billets Reports'!A938="SIZE",'R.M Billets Reports'!B938,P938)</f>
      </c>
    </row>
    <row r="940" spans="1:16" x14ac:dyDescent="0.25">
      <c r="A940">
        <f>IF(OR('R.M Billets Reports'!A939="Date-",'R.M Billets Reports'!A939="Date:-"),IF(IF(IF(ISNUMBER(SEARCH("Party Name:-",'R.M Billets Reports'!D939)),TRIM('R.M Billets Reports'!F939),IF(ISNUMBER(SEARCH("Party Name-",'R.M Billets Reports'!D939)),TRIM(MID('R.M Billets Reports'!D939,SEARCH("-",'R.M Billets Reports'!D939)+1,200)),""))&lt;&gt;"",IF(ISNUMBER(SEARCH("Party Name:-",'R.M Billets Reports'!D939)),TRIM('R.M Billets Reports'!F939),IF(ISNUMBER(SEARCH("Party Name-",'R.M Billets Reports'!D939)),TRIM(MID('R.M Billets Reports'!D939,SEARCH("-",'R.M Billets Reports'!D939)+1,200)),"")),IF(ISNUMBER(SEARCH("Party Name:-",'R.M Billets Reports'!D940)),TRIM('R.M Billets Reports'!F940),IF(ISNUMBER(SEARCH("Party Name-",'R.M Billets Reports'!D940)),TRIM(MID('R.M Billets Reports'!D940,SEARCH("-",'R.M Billets Reports'!D940)+1,200)),"")))="VRKP ISPAT PVT LTD","VRKP",IF(IF(IF(ISNUMBER(SEARCH("Party Name:-",'R.M Billets Reports'!D939)),TRIM('R.M Billets Reports'!F939),IF(ISNUMBER(SEARCH("Party Name-",'R.M Billets Reports'!D939)),TRIM(MID('R.M Billets Reports'!D939,SEARCH("-",'R.M Billets Reports'!D939)+1,200)),""))&lt;&gt;"",IF(ISNUMBER(SEARCH("Party Name:-",'R.M Billets Reports'!D939)),TRIM('R.M Billets Reports'!F939),IF(ISNUMBER(SEARCH("Party Name-",'R.M Billets Reports'!D939)),TRIM(MID('R.M Billets Reports'!D939,SEARCH("-",'R.M Billets Reports'!D939)+1,200)),"")),IF(ISNUMBER(SEARCH("Party Name:-",'R.M Billets Reports'!D940)),TRIM('R.M Billets Reports'!F940),IF(ISNUMBER(SEARCH("Party Name-",'R.M Billets Reports'!D940)),TRIM(MID('R.M Billets Reports'!D940,SEARCH("-",'R.M Billets Reports'!D940)+1,200)),"")))="SHRI RADHE","SHREE RADHE",IF(IF(IF(ISNUMBER(SEARCH("Party Name:-",'R.M Billets Reports'!D939)),TRIM('R.M Billets Reports'!F939),IF(ISNUMBER(SEARCH("Party Name-",'R.M Billets Reports'!D939)),TRIM(MID('R.M Billets Reports'!D939,SEARCH("-",'R.M Billets Reports'!D939)+1,200)),""))&lt;&gt;"",IF(ISNUMBER(SEARCH("Party Name:-",'R.M Billets Reports'!D939)),TRIM('R.M Billets Reports'!F939),IF(ISNUMBER(SEARCH("Party Name-",'R.M Billets Reports'!D939)),TRIM(MID('R.M Billets Reports'!D939,SEARCH("-",'R.M Billets Reports'!D939)+1,200)),"")),IF(ISNUMBER(SEARCH("Party Name:-",'R.M Billets Reports'!D940)),TRIM('R.M Billets Reports'!F940),IF(ISNUMBER(SEARCH("Party Name-",'R.M Billets Reports'!D940)),TRIM(MID('R.M Billets Reports'!D940,SEARCH("-",'R.M Billets Reports'!D940)+1,200)),"")))="SHREE RADHE SHAKTI SPONGE AND POWER PVT. LTD.","SHREE RADHE",IF(IF(ISNUMBER(SEARCH("Party Name:-",'R.M Billets Reports'!D939)),TRIM('R.M Billets Reports'!F939),IF(ISNUMBER(SEARCH("Party Name-",'R.M Billets Reports'!D939)),TRIM(MID('R.M Billets Reports'!D939,SEARCH("-",'R.M Billets Reports'!D939)+1,200)),""))&lt;&gt;"",IF(ISNUMBER(SEARCH("Party Name:-",'R.M Billets Reports'!D939)),TRIM('R.M Billets Reports'!F939),IF(ISNUMBER(SEARCH("Party Name-",'R.M Billets Reports'!D939)),TRIM(MID('R.M Billets Reports'!D939,SEARCH("-",'R.M Billets Reports'!D939)+1,200)),"")),IF(ISNUMBER(SEARCH("Party Name:-",'R.M Billets Reports'!D940)),TRIM('R.M Billets Reports'!F940),IF(ISNUMBER(SEARCH("Party Name-",'R.M Billets Reports'!D940)),TRIM(MID('R.M Billets Reports'!D940,SEARCH("-",'R.M Billets Reports'!D940)+1,200)),"")))))),IF(ROW()=2,"",A939))</f>
      </c>
      <c r="B940">
        <f>IF(OR('R.M Billets Reports'!A939="Date-",'R.M Billets Reports'!A939="Date:-"),'R.M Billets Reports'!B939,IF(ROW()=2,"",B939))</f>
      </c>
      <c r="C940">
        <f>IF('R.M Billets Reports'!A939="V.No.",'R.M Billets Reports'!B939,IF(ROW()=2,"",C939))</f>
      </c>
      <c r="D940">
        <f>IF('R.M Billets Reports'!A939&lt;&gt;"",'R.M Billets Reports'!A939,IF(ROW()=2,"",D939))</f>
      </c>
      <c r="E940">
        <f>IF('R.M Billets Reports'!B939="","",TRIM('R.M Billets Reports'!B939))</f>
      </c>
      <c r="F940">
        <f>'R.M Billets Reports'!C939</f>
      </c>
      <c r="G940">
        <f>'R.M Billets Reports'!D939</f>
      </c>
      <c r="H940">
        <f>'R.M Billets Reports'!E939</f>
      </c>
      <c r="I940">
        <f>'R.M Billets Reports'!F939</f>
      </c>
      <c r="J940">
        <f>'R.M Billets Reports'!G939</f>
      </c>
      <c r="K940">
        <f>'R.M Billets Reports'!H939</f>
      </c>
      <c r="L940">
        <f>IF('R.M Billets Reports'!I939="","",'R.M Billets Reports'!I939)</f>
      </c>
      <c r="M940">
        <f t="shared" si="28"/>
      </c>
      <c r="N940">
        <f>IF('R.M Billets Reports'!J939="","",'R.M Billets Reports'!J939)</f>
      </c>
      <c r="O940">
        <f t="shared" si="29"/>
      </c>
      <c r="P940">
        <f>IF('R.M Billets Reports'!A939="SIZE",'R.M Billets Reports'!B939,P939)</f>
      </c>
    </row>
    <row r="941" spans="1:16" x14ac:dyDescent="0.25">
      <c r="A941">
        <f>IF(OR('R.M Billets Reports'!A940="Date-",'R.M Billets Reports'!A940="Date:-"),IF(IF(IF(ISNUMBER(SEARCH("Party Name:-",'R.M Billets Reports'!D940)),TRIM('R.M Billets Reports'!F940),IF(ISNUMBER(SEARCH("Party Name-",'R.M Billets Reports'!D940)),TRIM(MID('R.M Billets Reports'!D940,SEARCH("-",'R.M Billets Reports'!D940)+1,200)),""))&lt;&gt;"",IF(ISNUMBER(SEARCH("Party Name:-",'R.M Billets Reports'!D940)),TRIM('R.M Billets Reports'!F940),IF(ISNUMBER(SEARCH("Party Name-",'R.M Billets Reports'!D940)),TRIM(MID('R.M Billets Reports'!D940,SEARCH("-",'R.M Billets Reports'!D940)+1,200)),"")),IF(ISNUMBER(SEARCH("Party Name:-",'R.M Billets Reports'!D941)),TRIM('R.M Billets Reports'!F941),IF(ISNUMBER(SEARCH("Party Name-",'R.M Billets Reports'!D941)),TRIM(MID('R.M Billets Reports'!D941,SEARCH("-",'R.M Billets Reports'!D941)+1,200)),"")))="VRKP ISPAT PVT LTD","VRKP",IF(IF(IF(ISNUMBER(SEARCH("Party Name:-",'R.M Billets Reports'!D940)),TRIM('R.M Billets Reports'!F940),IF(ISNUMBER(SEARCH("Party Name-",'R.M Billets Reports'!D940)),TRIM(MID('R.M Billets Reports'!D940,SEARCH("-",'R.M Billets Reports'!D940)+1,200)),""))&lt;&gt;"",IF(ISNUMBER(SEARCH("Party Name:-",'R.M Billets Reports'!D940)),TRIM('R.M Billets Reports'!F940),IF(ISNUMBER(SEARCH("Party Name-",'R.M Billets Reports'!D940)),TRIM(MID('R.M Billets Reports'!D940,SEARCH("-",'R.M Billets Reports'!D940)+1,200)),"")),IF(ISNUMBER(SEARCH("Party Name:-",'R.M Billets Reports'!D941)),TRIM('R.M Billets Reports'!F941),IF(ISNUMBER(SEARCH("Party Name-",'R.M Billets Reports'!D941)),TRIM(MID('R.M Billets Reports'!D941,SEARCH("-",'R.M Billets Reports'!D941)+1,200)),"")))="SHRI RADHE","SHREE RADHE",IF(IF(IF(ISNUMBER(SEARCH("Party Name:-",'R.M Billets Reports'!D940)),TRIM('R.M Billets Reports'!F940),IF(ISNUMBER(SEARCH("Party Name-",'R.M Billets Reports'!D940)),TRIM(MID('R.M Billets Reports'!D940,SEARCH("-",'R.M Billets Reports'!D940)+1,200)),""))&lt;&gt;"",IF(ISNUMBER(SEARCH("Party Name:-",'R.M Billets Reports'!D940)),TRIM('R.M Billets Reports'!F940),IF(ISNUMBER(SEARCH("Party Name-",'R.M Billets Reports'!D940)),TRIM(MID('R.M Billets Reports'!D940,SEARCH("-",'R.M Billets Reports'!D940)+1,200)),"")),IF(ISNUMBER(SEARCH("Party Name:-",'R.M Billets Reports'!D941)),TRIM('R.M Billets Reports'!F941),IF(ISNUMBER(SEARCH("Party Name-",'R.M Billets Reports'!D941)),TRIM(MID('R.M Billets Reports'!D941,SEARCH("-",'R.M Billets Reports'!D941)+1,200)),"")))="SHREE RADHE SHAKTI SPONGE AND POWER PVT. LTD.","SHREE RADHE",IF(IF(ISNUMBER(SEARCH("Party Name:-",'R.M Billets Reports'!D940)),TRIM('R.M Billets Reports'!F940),IF(ISNUMBER(SEARCH("Party Name-",'R.M Billets Reports'!D940)),TRIM(MID('R.M Billets Reports'!D940,SEARCH("-",'R.M Billets Reports'!D940)+1,200)),""))&lt;&gt;"",IF(ISNUMBER(SEARCH("Party Name:-",'R.M Billets Reports'!D940)),TRIM('R.M Billets Reports'!F940),IF(ISNUMBER(SEARCH("Party Name-",'R.M Billets Reports'!D940)),TRIM(MID('R.M Billets Reports'!D940,SEARCH("-",'R.M Billets Reports'!D940)+1,200)),"")),IF(ISNUMBER(SEARCH("Party Name:-",'R.M Billets Reports'!D941)),TRIM('R.M Billets Reports'!F941),IF(ISNUMBER(SEARCH("Party Name-",'R.M Billets Reports'!D941)),TRIM(MID('R.M Billets Reports'!D941,SEARCH("-",'R.M Billets Reports'!D941)+1,200)),"")))))),IF(ROW()=2,"",A940))</f>
      </c>
      <c r="B941">
        <f>IF(OR('R.M Billets Reports'!A940="Date-",'R.M Billets Reports'!A940="Date:-"),'R.M Billets Reports'!B940,IF(ROW()=2,"",B940))</f>
      </c>
      <c r="C941">
        <f>IF('R.M Billets Reports'!A940="V.No.",'R.M Billets Reports'!B940,IF(ROW()=2,"",C940))</f>
      </c>
      <c r="D941">
        <f>IF('R.M Billets Reports'!A940&lt;&gt;"",'R.M Billets Reports'!A940,IF(ROW()=2,"",D940))</f>
      </c>
      <c r="E941">
        <f>IF('R.M Billets Reports'!B940="","",TRIM('R.M Billets Reports'!B940))</f>
      </c>
      <c r="F941">
        <f>'R.M Billets Reports'!C940</f>
      </c>
      <c r="G941">
        <f>'R.M Billets Reports'!D940</f>
      </c>
      <c r="H941">
        <f>'R.M Billets Reports'!E940</f>
      </c>
      <c r="I941">
        <f>'R.M Billets Reports'!F940</f>
      </c>
      <c r="J941">
        <f>'R.M Billets Reports'!G940</f>
      </c>
      <c r="K941">
        <f>'R.M Billets Reports'!H940</f>
      </c>
      <c r="L941">
        <f>IF('R.M Billets Reports'!I940="","",'R.M Billets Reports'!I940)</f>
      </c>
      <c r="M941">
        <f t="shared" si="28"/>
      </c>
      <c r="N941">
        <f>IF('R.M Billets Reports'!J940="","",'R.M Billets Reports'!J940)</f>
      </c>
      <c r="O941">
        <f t="shared" si="29"/>
      </c>
      <c r="P941">
        <f>IF('R.M Billets Reports'!A940="SIZE",'R.M Billets Reports'!B940,P940)</f>
      </c>
    </row>
    <row r="942" spans="1:16" x14ac:dyDescent="0.25">
      <c r="A942">
        <f>IF(OR('R.M Billets Reports'!A941="Date-",'R.M Billets Reports'!A941="Date:-"),IF(IF(IF(ISNUMBER(SEARCH("Party Name:-",'R.M Billets Reports'!D941)),TRIM('R.M Billets Reports'!F941),IF(ISNUMBER(SEARCH("Party Name-",'R.M Billets Reports'!D941)),TRIM(MID('R.M Billets Reports'!D941,SEARCH("-",'R.M Billets Reports'!D941)+1,200)),""))&lt;&gt;"",IF(ISNUMBER(SEARCH("Party Name:-",'R.M Billets Reports'!D941)),TRIM('R.M Billets Reports'!F941),IF(ISNUMBER(SEARCH("Party Name-",'R.M Billets Reports'!D941)),TRIM(MID('R.M Billets Reports'!D941,SEARCH("-",'R.M Billets Reports'!D941)+1,200)),"")),IF(ISNUMBER(SEARCH("Party Name:-",'R.M Billets Reports'!D942)),TRIM('R.M Billets Reports'!F942),IF(ISNUMBER(SEARCH("Party Name-",'R.M Billets Reports'!D942)),TRIM(MID('R.M Billets Reports'!D942,SEARCH("-",'R.M Billets Reports'!D942)+1,200)),"")))="VRKP ISPAT PVT LTD","VRKP",IF(IF(IF(ISNUMBER(SEARCH("Party Name:-",'R.M Billets Reports'!D941)),TRIM('R.M Billets Reports'!F941),IF(ISNUMBER(SEARCH("Party Name-",'R.M Billets Reports'!D941)),TRIM(MID('R.M Billets Reports'!D941,SEARCH("-",'R.M Billets Reports'!D941)+1,200)),""))&lt;&gt;"",IF(ISNUMBER(SEARCH("Party Name:-",'R.M Billets Reports'!D941)),TRIM('R.M Billets Reports'!F941),IF(ISNUMBER(SEARCH("Party Name-",'R.M Billets Reports'!D941)),TRIM(MID('R.M Billets Reports'!D941,SEARCH("-",'R.M Billets Reports'!D941)+1,200)),"")),IF(ISNUMBER(SEARCH("Party Name:-",'R.M Billets Reports'!D942)),TRIM('R.M Billets Reports'!F942),IF(ISNUMBER(SEARCH("Party Name-",'R.M Billets Reports'!D942)),TRIM(MID('R.M Billets Reports'!D942,SEARCH("-",'R.M Billets Reports'!D942)+1,200)),"")))="SHRI RADHE","SHREE RADHE",IF(IF(IF(ISNUMBER(SEARCH("Party Name:-",'R.M Billets Reports'!D941)),TRIM('R.M Billets Reports'!F941),IF(ISNUMBER(SEARCH("Party Name-",'R.M Billets Reports'!D941)),TRIM(MID('R.M Billets Reports'!D941,SEARCH("-",'R.M Billets Reports'!D941)+1,200)),""))&lt;&gt;"",IF(ISNUMBER(SEARCH("Party Name:-",'R.M Billets Reports'!D941)),TRIM('R.M Billets Reports'!F941),IF(ISNUMBER(SEARCH("Party Name-",'R.M Billets Reports'!D941)),TRIM(MID('R.M Billets Reports'!D941,SEARCH("-",'R.M Billets Reports'!D941)+1,200)),"")),IF(ISNUMBER(SEARCH("Party Name:-",'R.M Billets Reports'!D942)),TRIM('R.M Billets Reports'!F942),IF(ISNUMBER(SEARCH("Party Name-",'R.M Billets Reports'!D942)),TRIM(MID('R.M Billets Reports'!D942,SEARCH("-",'R.M Billets Reports'!D942)+1,200)),"")))="SHREE RADHE SHAKTI SPONGE AND POWER PVT. LTD.","SHREE RADHE",IF(IF(ISNUMBER(SEARCH("Party Name:-",'R.M Billets Reports'!D941)),TRIM('R.M Billets Reports'!F941),IF(ISNUMBER(SEARCH("Party Name-",'R.M Billets Reports'!D941)),TRIM(MID('R.M Billets Reports'!D941,SEARCH("-",'R.M Billets Reports'!D941)+1,200)),""))&lt;&gt;"",IF(ISNUMBER(SEARCH("Party Name:-",'R.M Billets Reports'!D941)),TRIM('R.M Billets Reports'!F941),IF(ISNUMBER(SEARCH("Party Name-",'R.M Billets Reports'!D941)),TRIM(MID('R.M Billets Reports'!D941,SEARCH("-",'R.M Billets Reports'!D941)+1,200)),"")),IF(ISNUMBER(SEARCH("Party Name:-",'R.M Billets Reports'!D942)),TRIM('R.M Billets Reports'!F942),IF(ISNUMBER(SEARCH("Party Name-",'R.M Billets Reports'!D942)),TRIM(MID('R.M Billets Reports'!D942,SEARCH("-",'R.M Billets Reports'!D942)+1,200)),"")))))),IF(ROW()=2,"",A941))</f>
      </c>
      <c r="B942">
        <f>IF(OR('R.M Billets Reports'!A941="Date-",'R.M Billets Reports'!A941="Date:-"),'R.M Billets Reports'!B941,IF(ROW()=2,"",B941))</f>
      </c>
      <c r="C942">
        <f>IF('R.M Billets Reports'!A941="V.No.",'R.M Billets Reports'!B941,IF(ROW()=2,"",C941))</f>
      </c>
      <c r="D942">
        <f>IF('R.M Billets Reports'!A941&lt;&gt;"",'R.M Billets Reports'!A941,IF(ROW()=2,"",D941))</f>
      </c>
      <c r="E942">
        <f>IF('R.M Billets Reports'!B941="","",TRIM('R.M Billets Reports'!B941))</f>
      </c>
      <c r="F942">
        <f>'R.M Billets Reports'!C941</f>
      </c>
      <c r="G942">
        <f>'R.M Billets Reports'!D941</f>
      </c>
      <c r="H942">
        <f>'R.M Billets Reports'!E941</f>
      </c>
      <c r="I942">
        <f>'R.M Billets Reports'!F941</f>
      </c>
      <c r="J942">
        <f>'R.M Billets Reports'!G941</f>
      </c>
      <c r="K942">
        <f>'R.M Billets Reports'!H941</f>
      </c>
      <c r="L942">
        <f>IF('R.M Billets Reports'!I941="","",'R.M Billets Reports'!I941)</f>
      </c>
      <c r="M942">
        <f t="shared" si="28"/>
      </c>
      <c r="N942">
        <f>IF('R.M Billets Reports'!J941="","",'R.M Billets Reports'!J941)</f>
      </c>
      <c r="O942">
        <f t="shared" si="29"/>
      </c>
      <c r="P942">
        <f>IF('R.M Billets Reports'!A941="SIZE",'R.M Billets Reports'!B941,P941)</f>
      </c>
    </row>
    <row r="943" spans="1:16" x14ac:dyDescent="0.25">
      <c r="A943">
        <f>IF(OR('R.M Billets Reports'!A942="Date-",'R.M Billets Reports'!A942="Date:-"),IF(IF(IF(ISNUMBER(SEARCH("Party Name:-",'R.M Billets Reports'!D942)),TRIM('R.M Billets Reports'!F942),IF(ISNUMBER(SEARCH("Party Name-",'R.M Billets Reports'!D942)),TRIM(MID('R.M Billets Reports'!D942,SEARCH("-",'R.M Billets Reports'!D942)+1,200)),""))&lt;&gt;"",IF(ISNUMBER(SEARCH("Party Name:-",'R.M Billets Reports'!D942)),TRIM('R.M Billets Reports'!F942),IF(ISNUMBER(SEARCH("Party Name-",'R.M Billets Reports'!D942)),TRIM(MID('R.M Billets Reports'!D942,SEARCH("-",'R.M Billets Reports'!D942)+1,200)),"")),IF(ISNUMBER(SEARCH("Party Name:-",'R.M Billets Reports'!D943)),TRIM('R.M Billets Reports'!F943),IF(ISNUMBER(SEARCH("Party Name-",'R.M Billets Reports'!D943)),TRIM(MID('R.M Billets Reports'!D943,SEARCH("-",'R.M Billets Reports'!D943)+1,200)),"")))="VRKP ISPAT PVT LTD","VRKP",IF(IF(IF(ISNUMBER(SEARCH("Party Name:-",'R.M Billets Reports'!D942)),TRIM('R.M Billets Reports'!F942),IF(ISNUMBER(SEARCH("Party Name-",'R.M Billets Reports'!D942)),TRIM(MID('R.M Billets Reports'!D942,SEARCH("-",'R.M Billets Reports'!D942)+1,200)),""))&lt;&gt;"",IF(ISNUMBER(SEARCH("Party Name:-",'R.M Billets Reports'!D942)),TRIM('R.M Billets Reports'!F942),IF(ISNUMBER(SEARCH("Party Name-",'R.M Billets Reports'!D942)),TRIM(MID('R.M Billets Reports'!D942,SEARCH("-",'R.M Billets Reports'!D942)+1,200)),"")),IF(ISNUMBER(SEARCH("Party Name:-",'R.M Billets Reports'!D943)),TRIM('R.M Billets Reports'!F943),IF(ISNUMBER(SEARCH("Party Name-",'R.M Billets Reports'!D943)),TRIM(MID('R.M Billets Reports'!D943,SEARCH("-",'R.M Billets Reports'!D943)+1,200)),"")))="SHRI RADHE","SHREE RADHE",IF(IF(IF(ISNUMBER(SEARCH("Party Name:-",'R.M Billets Reports'!D942)),TRIM('R.M Billets Reports'!F942),IF(ISNUMBER(SEARCH("Party Name-",'R.M Billets Reports'!D942)),TRIM(MID('R.M Billets Reports'!D942,SEARCH("-",'R.M Billets Reports'!D942)+1,200)),""))&lt;&gt;"",IF(ISNUMBER(SEARCH("Party Name:-",'R.M Billets Reports'!D942)),TRIM('R.M Billets Reports'!F942),IF(ISNUMBER(SEARCH("Party Name-",'R.M Billets Reports'!D942)),TRIM(MID('R.M Billets Reports'!D942,SEARCH("-",'R.M Billets Reports'!D942)+1,200)),"")),IF(ISNUMBER(SEARCH("Party Name:-",'R.M Billets Reports'!D943)),TRIM('R.M Billets Reports'!F943),IF(ISNUMBER(SEARCH("Party Name-",'R.M Billets Reports'!D943)),TRIM(MID('R.M Billets Reports'!D943,SEARCH("-",'R.M Billets Reports'!D943)+1,200)),"")))="SHREE RADHE SHAKTI SPONGE AND POWER PVT. LTD.","SHREE RADHE",IF(IF(ISNUMBER(SEARCH("Party Name:-",'R.M Billets Reports'!D942)),TRIM('R.M Billets Reports'!F942),IF(ISNUMBER(SEARCH("Party Name-",'R.M Billets Reports'!D942)),TRIM(MID('R.M Billets Reports'!D942,SEARCH("-",'R.M Billets Reports'!D942)+1,200)),""))&lt;&gt;"",IF(ISNUMBER(SEARCH("Party Name:-",'R.M Billets Reports'!D942)),TRIM('R.M Billets Reports'!F942),IF(ISNUMBER(SEARCH("Party Name-",'R.M Billets Reports'!D942)),TRIM(MID('R.M Billets Reports'!D942,SEARCH("-",'R.M Billets Reports'!D942)+1,200)),"")),IF(ISNUMBER(SEARCH("Party Name:-",'R.M Billets Reports'!D943)),TRIM('R.M Billets Reports'!F943),IF(ISNUMBER(SEARCH("Party Name-",'R.M Billets Reports'!D943)),TRIM(MID('R.M Billets Reports'!D943,SEARCH("-",'R.M Billets Reports'!D943)+1,200)),"")))))),IF(ROW()=2,"",A942))</f>
      </c>
      <c r="B943">
        <f>IF(OR('R.M Billets Reports'!A942="Date-",'R.M Billets Reports'!A942="Date:-"),'R.M Billets Reports'!B942,IF(ROW()=2,"",B942))</f>
      </c>
      <c r="C943">
        <f>IF('R.M Billets Reports'!A942="V.No.",'R.M Billets Reports'!B942,IF(ROW()=2,"",C942))</f>
      </c>
      <c r="D943">
        <f>IF('R.M Billets Reports'!A942&lt;&gt;"",'R.M Billets Reports'!A942,IF(ROW()=2,"",D942))</f>
      </c>
      <c r="E943">
        <f>IF('R.M Billets Reports'!B942="","",TRIM('R.M Billets Reports'!B942))</f>
      </c>
      <c r="F943">
        <f>'R.M Billets Reports'!C942</f>
      </c>
      <c r="G943">
        <f>'R.M Billets Reports'!D942</f>
      </c>
      <c r="H943">
        <f>'R.M Billets Reports'!E942</f>
      </c>
      <c r="I943">
        <f>'R.M Billets Reports'!F942</f>
      </c>
      <c r="J943">
        <f>'R.M Billets Reports'!G942</f>
      </c>
      <c r="K943">
        <f>'R.M Billets Reports'!H942</f>
      </c>
      <c r="L943">
        <f>IF('R.M Billets Reports'!I942="","",'R.M Billets Reports'!I942)</f>
      </c>
      <c r="M943">
        <f t="shared" si="28"/>
      </c>
      <c r="N943">
        <f>IF('R.M Billets Reports'!J942="","",'R.M Billets Reports'!J942)</f>
      </c>
      <c r="O943">
        <f t="shared" si="29"/>
      </c>
      <c r="P943">
        <f>IF('R.M Billets Reports'!A942="SIZE",'R.M Billets Reports'!B942,P942)</f>
      </c>
    </row>
    <row r="944" spans="1:16" x14ac:dyDescent="0.25">
      <c r="A944">
        <f>IF(OR('R.M Billets Reports'!A943="Date-",'R.M Billets Reports'!A943="Date:-"),IF(IF(IF(ISNUMBER(SEARCH("Party Name:-",'R.M Billets Reports'!D943)),TRIM('R.M Billets Reports'!F943),IF(ISNUMBER(SEARCH("Party Name-",'R.M Billets Reports'!D943)),TRIM(MID('R.M Billets Reports'!D943,SEARCH("-",'R.M Billets Reports'!D943)+1,200)),""))&lt;&gt;"",IF(ISNUMBER(SEARCH("Party Name:-",'R.M Billets Reports'!D943)),TRIM('R.M Billets Reports'!F943),IF(ISNUMBER(SEARCH("Party Name-",'R.M Billets Reports'!D943)),TRIM(MID('R.M Billets Reports'!D943,SEARCH("-",'R.M Billets Reports'!D943)+1,200)),"")),IF(ISNUMBER(SEARCH("Party Name:-",'R.M Billets Reports'!D944)),TRIM('R.M Billets Reports'!F944),IF(ISNUMBER(SEARCH("Party Name-",'R.M Billets Reports'!D944)),TRIM(MID('R.M Billets Reports'!D944,SEARCH("-",'R.M Billets Reports'!D944)+1,200)),"")))="VRKP ISPAT PVT LTD","VRKP",IF(IF(IF(ISNUMBER(SEARCH("Party Name:-",'R.M Billets Reports'!D943)),TRIM('R.M Billets Reports'!F943),IF(ISNUMBER(SEARCH("Party Name-",'R.M Billets Reports'!D943)),TRIM(MID('R.M Billets Reports'!D943,SEARCH("-",'R.M Billets Reports'!D943)+1,200)),""))&lt;&gt;"",IF(ISNUMBER(SEARCH("Party Name:-",'R.M Billets Reports'!D943)),TRIM('R.M Billets Reports'!F943),IF(ISNUMBER(SEARCH("Party Name-",'R.M Billets Reports'!D943)),TRIM(MID('R.M Billets Reports'!D943,SEARCH("-",'R.M Billets Reports'!D943)+1,200)),"")),IF(ISNUMBER(SEARCH("Party Name:-",'R.M Billets Reports'!D944)),TRIM('R.M Billets Reports'!F944),IF(ISNUMBER(SEARCH("Party Name-",'R.M Billets Reports'!D944)),TRIM(MID('R.M Billets Reports'!D944,SEARCH("-",'R.M Billets Reports'!D944)+1,200)),"")))="SHRI RADHE","SHREE RADHE",IF(IF(IF(ISNUMBER(SEARCH("Party Name:-",'R.M Billets Reports'!D943)),TRIM('R.M Billets Reports'!F943),IF(ISNUMBER(SEARCH("Party Name-",'R.M Billets Reports'!D943)),TRIM(MID('R.M Billets Reports'!D943,SEARCH("-",'R.M Billets Reports'!D943)+1,200)),""))&lt;&gt;"",IF(ISNUMBER(SEARCH("Party Name:-",'R.M Billets Reports'!D943)),TRIM('R.M Billets Reports'!F943),IF(ISNUMBER(SEARCH("Party Name-",'R.M Billets Reports'!D943)),TRIM(MID('R.M Billets Reports'!D943,SEARCH("-",'R.M Billets Reports'!D943)+1,200)),"")),IF(ISNUMBER(SEARCH("Party Name:-",'R.M Billets Reports'!D944)),TRIM('R.M Billets Reports'!F944),IF(ISNUMBER(SEARCH("Party Name-",'R.M Billets Reports'!D944)),TRIM(MID('R.M Billets Reports'!D944,SEARCH("-",'R.M Billets Reports'!D944)+1,200)),"")))="SHREE RADHE SHAKTI SPONGE AND POWER PVT. LTD.","SHREE RADHE",IF(IF(ISNUMBER(SEARCH("Party Name:-",'R.M Billets Reports'!D943)),TRIM('R.M Billets Reports'!F943),IF(ISNUMBER(SEARCH("Party Name-",'R.M Billets Reports'!D943)),TRIM(MID('R.M Billets Reports'!D943,SEARCH("-",'R.M Billets Reports'!D943)+1,200)),""))&lt;&gt;"",IF(ISNUMBER(SEARCH("Party Name:-",'R.M Billets Reports'!D943)),TRIM('R.M Billets Reports'!F943),IF(ISNUMBER(SEARCH("Party Name-",'R.M Billets Reports'!D943)),TRIM(MID('R.M Billets Reports'!D943,SEARCH("-",'R.M Billets Reports'!D943)+1,200)),"")),IF(ISNUMBER(SEARCH("Party Name:-",'R.M Billets Reports'!D944)),TRIM('R.M Billets Reports'!F944),IF(ISNUMBER(SEARCH("Party Name-",'R.M Billets Reports'!D944)),TRIM(MID('R.M Billets Reports'!D944,SEARCH("-",'R.M Billets Reports'!D944)+1,200)),"")))))),IF(ROW()=2,"",A943))</f>
      </c>
      <c r="B944">
        <f>IF(OR('R.M Billets Reports'!A943="Date-",'R.M Billets Reports'!A943="Date:-"),'R.M Billets Reports'!B943,IF(ROW()=2,"",B943))</f>
      </c>
      <c r="C944">
        <f>IF('R.M Billets Reports'!A943="V.No.",'R.M Billets Reports'!B943,IF(ROW()=2,"",C943))</f>
      </c>
      <c r="D944">
        <f>IF('R.M Billets Reports'!A943&lt;&gt;"",'R.M Billets Reports'!A943,IF(ROW()=2,"",D943))</f>
      </c>
      <c r="E944">
        <f>IF('R.M Billets Reports'!B943="","",TRIM('R.M Billets Reports'!B943))</f>
      </c>
      <c r="F944">
        <f>'R.M Billets Reports'!C943</f>
      </c>
      <c r="G944">
        <f>'R.M Billets Reports'!D943</f>
      </c>
      <c r="H944">
        <f>'R.M Billets Reports'!E943</f>
      </c>
      <c r="I944">
        <f>'R.M Billets Reports'!F943</f>
      </c>
      <c r="J944">
        <f>'R.M Billets Reports'!G943</f>
      </c>
      <c r="K944">
        <f>'R.M Billets Reports'!H943</f>
      </c>
      <c r="L944">
        <f>IF('R.M Billets Reports'!I943="","",'R.M Billets Reports'!I943)</f>
      </c>
      <c r="M944">
        <f t="shared" si="28"/>
      </c>
      <c r="N944">
        <f>IF('R.M Billets Reports'!J943="","",'R.M Billets Reports'!J943)</f>
      </c>
      <c r="O944">
        <f t="shared" si="29"/>
      </c>
      <c r="P944">
        <f>IF('R.M Billets Reports'!A943="SIZE",'R.M Billets Reports'!B943,P943)</f>
      </c>
    </row>
    <row r="945" spans="1:16" x14ac:dyDescent="0.25">
      <c r="A945">
        <f>IF(OR('R.M Billets Reports'!A944="Date-",'R.M Billets Reports'!A944="Date:-"),IF(IF(IF(ISNUMBER(SEARCH("Party Name:-",'R.M Billets Reports'!D944)),TRIM('R.M Billets Reports'!F944),IF(ISNUMBER(SEARCH("Party Name-",'R.M Billets Reports'!D944)),TRIM(MID('R.M Billets Reports'!D944,SEARCH("-",'R.M Billets Reports'!D944)+1,200)),""))&lt;&gt;"",IF(ISNUMBER(SEARCH("Party Name:-",'R.M Billets Reports'!D944)),TRIM('R.M Billets Reports'!F944),IF(ISNUMBER(SEARCH("Party Name-",'R.M Billets Reports'!D944)),TRIM(MID('R.M Billets Reports'!D944,SEARCH("-",'R.M Billets Reports'!D944)+1,200)),"")),IF(ISNUMBER(SEARCH("Party Name:-",'R.M Billets Reports'!D945)),TRIM('R.M Billets Reports'!F945),IF(ISNUMBER(SEARCH("Party Name-",'R.M Billets Reports'!D945)),TRIM(MID('R.M Billets Reports'!D945,SEARCH("-",'R.M Billets Reports'!D945)+1,200)),"")))="VRKP ISPAT PVT LTD","VRKP",IF(IF(IF(ISNUMBER(SEARCH("Party Name:-",'R.M Billets Reports'!D944)),TRIM('R.M Billets Reports'!F944),IF(ISNUMBER(SEARCH("Party Name-",'R.M Billets Reports'!D944)),TRIM(MID('R.M Billets Reports'!D944,SEARCH("-",'R.M Billets Reports'!D944)+1,200)),""))&lt;&gt;"",IF(ISNUMBER(SEARCH("Party Name:-",'R.M Billets Reports'!D944)),TRIM('R.M Billets Reports'!F944),IF(ISNUMBER(SEARCH("Party Name-",'R.M Billets Reports'!D944)),TRIM(MID('R.M Billets Reports'!D944,SEARCH("-",'R.M Billets Reports'!D944)+1,200)),"")),IF(ISNUMBER(SEARCH("Party Name:-",'R.M Billets Reports'!D945)),TRIM('R.M Billets Reports'!F945),IF(ISNUMBER(SEARCH("Party Name-",'R.M Billets Reports'!D945)),TRIM(MID('R.M Billets Reports'!D945,SEARCH("-",'R.M Billets Reports'!D945)+1,200)),"")))="SHRI RADHE","SHREE RADHE",IF(IF(IF(ISNUMBER(SEARCH("Party Name:-",'R.M Billets Reports'!D944)),TRIM('R.M Billets Reports'!F944),IF(ISNUMBER(SEARCH("Party Name-",'R.M Billets Reports'!D944)),TRIM(MID('R.M Billets Reports'!D944,SEARCH("-",'R.M Billets Reports'!D944)+1,200)),""))&lt;&gt;"",IF(ISNUMBER(SEARCH("Party Name:-",'R.M Billets Reports'!D944)),TRIM('R.M Billets Reports'!F944),IF(ISNUMBER(SEARCH("Party Name-",'R.M Billets Reports'!D944)),TRIM(MID('R.M Billets Reports'!D944,SEARCH("-",'R.M Billets Reports'!D944)+1,200)),"")),IF(ISNUMBER(SEARCH("Party Name:-",'R.M Billets Reports'!D945)),TRIM('R.M Billets Reports'!F945),IF(ISNUMBER(SEARCH("Party Name-",'R.M Billets Reports'!D945)),TRIM(MID('R.M Billets Reports'!D945,SEARCH("-",'R.M Billets Reports'!D945)+1,200)),"")))="SHREE RADHE SHAKTI SPONGE AND POWER PVT. LTD.","SHREE RADHE",IF(IF(ISNUMBER(SEARCH("Party Name:-",'R.M Billets Reports'!D944)),TRIM('R.M Billets Reports'!F944),IF(ISNUMBER(SEARCH("Party Name-",'R.M Billets Reports'!D944)),TRIM(MID('R.M Billets Reports'!D944,SEARCH("-",'R.M Billets Reports'!D944)+1,200)),""))&lt;&gt;"",IF(ISNUMBER(SEARCH("Party Name:-",'R.M Billets Reports'!D944)),TRIM('R.M Billets Reports'!F944),IF(ISNUMBER(SEARCH("Party Name-",'R.M Billets Reports'!D944)),TRIM(MID('R.M Billets Reports'!D944,SEARCH("-",'R.M Billets Reports'!D944)+1,200)),"")),IF(ISNUMBER(SEARCH("Party Name:-",'R.M Billets Reports'!D945)),TRIM('R.M Billets Reports'!F945),IF(ISNUMBER(SEARCH("Party Name-",'R.M Billets Reports'!D945)),TRIM(MID('R.M Billets Reports'!D945,SEARCH("-",'R.M Billets Reports'!D945)+1,200)),"")))))),IF(ROW()=2,"",A944))</f>
      </c>
      <c r="B945">
        <f>IF(OR('R.M Billets Reports'!A944="Date-",'R.M Billets Reports'!A944="Date:-"),'R.M Billets Reports'!B944,IF(ROW()=2,"",B944))</f>
      </c>
      <c r="C945">
        <f>IF('R.M Billets Reports'!A944="V.No.",'R.M Billets Reports'!B944,IF(ROW()=2,"",C944))</f>
      </c>
      <c r="D945">
        <f>IF('R.M Billets Reports'!A944&lt;&gt;"",'R.M Billets Reports'!A944,IF(ROW()=2,"",D944))</f>
      </c>
      <c r="E945">
        <f>IF('R.M Billets Reports'!B944="","",TRIM('R.M Billets Reports'!B944))</f>
      </c>
      <c r="F945">
        <f>'R.M Billets Reports'!C944</f>
      </c>
      <c r="G945">
        <f>'R.M Billets Reports'!D944</f>
      </c>
      <c r="H945">
        <f>'R.M Billets Reports'!E944</f>
      </c>
      <c r="I945">
        <f>'R.M Billets Reports'!F944</f>
      </c>
      <c r="J945">
        <f>'R.M Billets Reports'!G944</f>
      </c>
      <c r="K945">
        <f>'R.M Billets Reports'!H944</f>
      </c>
      <c r="L945">
        <f>IF('R.M Billets Reports'!I944="","",'R.M Billets Reports'!I944)</f>
      </c>
      <c r="M945">
        <f t="shared" si="28"/>
      </c>
      <c r="N945">
        <f>IF('R.M Billets Reports'!J944="","",'R.M Billets Reports'!J944)</f>
      </c>
      <c r="O945">
        <f t="shared" si="29"/>
      </c>
      <c r="P945">
        <f>IF('R.M Billets Reports'!A944="SIZE",'R.M Billets Reports'!B944,P944)</f>
      </c>
    </row>
    <row r="946" spans="1:16" x14ac:dyDescent="0.25">
      <c r="A946">
        <f>IF(OR('R.M Billets Reports'!A945="Date-",'R.M Billets Reports'!A945="Date:-"),IF(IF(IF(ISNUMBER(SEARCH("Party Name:-",'R.M Billets Reports'!D945)),TRIM('R.M Billets Reports'!F945),IF(ISNUMBER(SEARCH("Party Name-",'R.M Billets Reports'!D945)),TRIM(MID('R.M Billets Reports'!D945,SEARCH("-",'R.M Billets Reports'!D945)+1,200)),""))&lt;&gt;"",IF(ISNUMBER(SEARCH("Party Name:-",'R.M Billets Reports'!D945)),TRIM('R.M Billets Reports'!F945),IF(ISNUMBER(SEARCH("Party Name-",'R.M Billets Reports'!D945)),TRIM(MID('R.M Billets Reports'!D945,SEARCH("-",'R.M Billets Reports'!D945)+1,200)),"")),IF(ISNUMBER(SEARCH("Party Name:-",'R.M Billets Reports'!D946)),TRIM('R.M Billets Reports'!F946),IF(ISNUMBER(SEARCH("Party Name-",'R.M Billets Reports'!D946)),TRIM(MID('R.M Billets Reports'!D946,SEARCH("-",'R.M Billets Reports'!D946)+1,200)),"")))="VRKP ISPAT PVT LTD","VRKP",IF(IF(IF(ISNUMBER(SEARCH("Party Name:-",'R.M Billets Reports'!D945)),TRIM('R.M Billets Reports'!F945),IF(ISNUMBER(SEARCH("Party Name-",'R.M Billets Reports'!D945)),TRIM(MID('R.M Billets Reports'!D945,SEARCH("-",'R.M Billets Reports'!D945)+1,200)),""))&lt;&gt;"",IF(ISNUMBER(SEARCH("Party Name:-",'R.M Billets Reports'!D945)),TRIM('R.M Billets Reports'!F945),IF(ISNUMBER(SEARCH("Party Name-",'R.M Billets Reports'!D945)),TRIM(MID('R.M Billets Reports'!D945,SEARCH("-",'R.M Billets Reports'!D945)+1,200)),"")),IF(ISNUMBER(SEARCH("Party Name:-",'R.M Billets Reports'!D946)),TRIM('R.M Billets Reports'!F946),IF(ISNUMBER(SEARCH("Party Name-",'R.M Billets Reports'!D946)),TRIM(MID('R.M Billets Reports'!D946,SEARCH("-",'R.M Billets Reports'!D946)+1,200)),"")))="SHRI RADHE","SHREE RADHE",IF(IF(IF(ISNUMBER(SEARCH("Party Name:-",'R.M Billets Reports'!D945)),TRIM('R.M Billets Reports'!F945),IF(ISNUMBER(SEARCH("Party Name-",'R.M Billets Reports'!D945)),TRIM(MID('R.M Billets Reports'!D945,SEARCH("-",'R.M Billets Reports'!D945)+1,200)),""))&lt;&gt;"",IF(ISNUMBER(SEARCH("Party Name:-",'R.M Billets Reports'!D945)),TRIM('R.M Billets Reports'!F945),IF(ISNUMBER(SEARCH("Party Name-",'R.M Billets Reports'!D945)),TRIM(MID('R.M Billets Reports'!D945,SEARCH("-",'R.M Billets Reports'!D945)+1,200)),"")),IF(ISNUMBER(SEARCH("Party Name:-",'R.M Billets Reports'!D946)),TRIM('R.M Billets Reports'!F946),IF(ISNUMBER(SEARCH("Party Name-",'R.M Billets Reports'!D946)),TRIM(MID('R.M Billets Reports'!D946,SEARCH("-",'R.M Billets Reports'!D946)+1,200)),"")))="SHREE RADHE SHAKTI SPONGE AND POWER PVT. LTD.","SHREE RADHE",IF(IF(ISNUMBER(SEARCH("Party Name:-",'R.M Billets Reports'!D945)),TRIM('R.M Billets Reports'!F945),IF(ISNUMBER(SEARCH("Party Name-",'R.M Billets Reports'!D945)),TRIM(MID('R.M Billets Reports'!D945,SEARCH("-",'R.M Billets Reports'!D945)+1,200)),""))&lt;&gt;"",IF(ISNUMBER(SEARCH("Party Name:-",'R.M Billets Reports'!D945)),TRIM('R.M Billets Reports'!F945),IF(ISNUMBER(SEARCH("Party Name-",'R.M Billets Reports'!D945)),TRIM(MID('R.M Billets Reports'!D945,SEARCH("-",'R.M Billets Reports'!D945)+1,200)),"")),IF(ISNUMBER(SEARCH("Party Name:-",'R.M Billets Reports'!D946)),TRIM('R.M Billets Reports'!F946),IF(ISNUMBER(SEARCH("Party Name-",'R.M Billets Reports'!D946)),TRIM(MID('R.M Billets Reports'!D946,SEARCH("-",'R.M Billets Reports'!D946)+1,200)),"")))))),IF(ROW()=2,"",A945))</f>
      </c>
      <c r="B946">
        <f>IF(OR('R.M Billets Reports'!A945="Date-",'R.M Billets Reports'!A945="Date:-"),'R.M Billets Reports'!B945,IF(ROW()=2,"",B945))</f>
      </c>
      <c r="C946">
        <f>IF('R.M Billets Reports'!A945="V.No.",'R.M Billets Reports'!B945,IF(ROW()=2,"",C945))</f>
      </c>
      <c r="D946">
        <f>IF('R.M Billets Reports'!A945&lt;&gt;"",'R.M Billets Reports'!A945,IF(ROW()=2,"",D945))</f>
      </c>
      <c r="E946">
        <f>IF('R.M Billets Reports'!B945="","",TRIM('R.M Billets Reports'!B945))</f>
      </c>
      <c r="F946">
        <f>'R.M Billets Reports'!C945</f>
      </c>
      <c r="G946">
        <f>'R.M Billets Reports'!D945</f>
      </c>
      <c r="H946">
        <f>'R.M Billets Reports'!E945</f>
      </c>
      <c r="I946">
        <f>'R.M Billets Reports'!F945</f>
      </c>
      <c r="J946">
        <f>'R.M Billets Reports'!G945</f>
      </c>
      <c r="K946">
        <f>'R.M Billets Reports'!H945</f>
      </c>
      <c r="L946">
        <f>IF('R.M Billets Reports'!I945="","",'R.M Billets Reports'!I945)</f>
      </c>
      <c r="M946">
        <f t="shared" si="28"/>
      </c>
      <c r="N946">
        <f>IF('R.M Billets Reports'!J945="","",'R.M Billets Reports'!J945)</f>
      </c>
      <c r="O946">
        <f t="shared" si="29"/>
      </c>
      <c r="P946">
        <f>IF('R.M Billets Reports'!A945="SIZE",'R.M Billets Reports'!B945,P945)</f>
      </c>
    </row>
    <row r="947" spans="1:16" x14ac:dyDescent="0.25">
      <c r="A947">
        <f>IF(OR('R.M Billets Reports'!A946="Date-",'R.M Billets Reports'!A946="Date:-"),IF(IF(IF(ISNUMBER(SEARCH("Party Name:-",'R.M Billets Reports'!D946)),TRIM('R.M Billets Reports'!F946),IF(ISNUMBER(SEARCH("Party Name-",'R.M Billets Reports'!D946)),TRIM(MID('R.M Billets Reports'!D946,SEARCH("-",'R.M Billets Reports'!D946)+1,200)),""))&lt;&gt;"",IF(ISNUMBER(SEARCH("Party Name:-",'R.M Billets Reports'!D946)),TRIM('R.M Billets Reports'!F946),IF(ISNUMBER(SEARCH("Party Name-",'R.M Billets Reports'!D946)),TRIM(MID('R.M Billets Reports'!D946,SEARCH("-",'R.M Billets Reports'!D946)+1,200)),"")),IF(ISNUMBER(SEARCH("Party Name:-",'R.M Billets Reports'!D947)),TRIM('R.M Billets Reports'!F947),IF(ISNUMBER(SEARCH("Party Name-",'R.M Billets Reports'!D947)),TRIM(MID('R.M Billets Reports'!D947,SEARCH("-",'R.M Billets Reports'!D947)+1,200)),"")))="VRKP ISPAT PVT LTD","VRKP",IF(IF(IF(ISNUMBER(SEARCH("Party Name:-",'R.M Billets Reports'!D946)),TRIM('R.M Billets Reports'!F946),IF(ISNUMBER(SEARCH("Party Name-",'R.M Billets Reports'!D946)),TRIM(MID('R.M Billets Reports'!D946,SEARCH("-",'R.M Billets Reports'!D946)+1,200)),""))&lt;&gt;"",IF(ISNUMBER(SEARCH("Party Name:-",'R.M Billets Reports'!D946)),TRIM('R.M Billets Reports'!F946),IF(ISNUMBER(SEARCH("Party Name-",'R.M Billets Reports'!D946)),TRIM(MID('R.M Billets Reports'!D946,SEARCH("-",'R.M Billets Reports'!D946)+1,200)),"")),IF(ISNUMBER(SEARCH("Party Name:-",'R.M Billets Reports'!D947)),TRIM('R.M Billets Reports'!F947),IF(ISNUMBER(SEARCH("Party Name-",'R.M Billets Reports'!D947)),TRIM(MID('R.M Billets Reports'!D947,SEARCH("-",'R.M Billets Reports'!D947)+1,200)),"")))="SHRI RADHE","SHREE RADHE",IF(IF(IF(ISNUMBER(SEARCH("Party Name:-",'R.M Billets Reports'!D946)),TRIM('R.M Billets Reports'!F946),IF(ISNUMBER(SEARCH("Party Name-",'R.M Billets Reports'!D946)),TRIM(MID('R.M Billets Reports'!D946,SEARCH("-",'R.M Billets Reports'!D946)+1,200)),""))&lt;&gt;"",IF(ISNUMBER(SEARCH("Party Name:-",'R.M Billets Reports'!D946)),TRIM('R.M Billets Reports'!F946),IF(ISNUMBER(SEARCH("Party Name-",'R.M Billets Reports'!D946)),TRIM(MID('R.M Billets Reports'!D946,SEARCH("-",'R.M Billets Reports'!D946)+1,200)),"")),IF(ISNUMBER(SEARCH("Party Name:-",'R.M Billets Reports'!D947)),TRIM('R.M Billets Reports'!F947),IF(ISNUMBER(SEARCH("Party Name-",'R.M Billets Reports'!D947)),TRIM(MID('R.M Billets Reports'!D947,SEARCH("-",'R.M Billets Reports'!D947)+1,200)),"")))="SHREE RADHE SHAKTI SPONGE AND POWER PVT. LTD.","SHREE RADHE",IF(IF(ISNUMBER(SEARCH("Party Name:-",'R.M Billets Reports'!D946)),TRIM('R.M Billets Reports'!F946),IF(ISNUMBER(SEARCH("Party Name-",'R.M Billets Reports'!D946)),TRIM(MID('R.M Billets Reports'!D946,SEARCH("-",'R.M Billets Reports'!D946)+1,200)),""))&lt;&gt;"",IF(ISNUMBER(SEARCH("Party Name:-",'R.M Billets Reports'!D946)),TRIM('R.M Billets Reports'!F946),IF(ISNUMBER(SEARCH("Party Name-",'R.M Billets Reports'!D946)),TRIM(MID('R.M Billets Reports'!D946,SEARCH("-",'R.M Billets Reports'!D946)+1,200)),"")),IF(ISNUMBER(SEARCH("Party Name:-",'R.M Billets Reports'!D947)),TRIM('R.M Billets Reports'!F947),IF(ISNUMBER(SEARCH("Party Name-",'R.M Billets Reports'!D947)),TRIM(MID('R.M Billets Reports'!D947,SEARCH("-",'R.M Billets Reports'!D947)+1,200)),"")))))),IF(ROW()=2,"",A946))</f>
      </c>
      <c r="B947">
        <f>IF(OR('R.M Billets Reports'!A946="Date-",'R.M Billets Reports'!A946="Date:-"),'R.M Billets Reports'!B946,IF(ROW()=2,"",B946))</f>
      </c>
      <c r="C947">
        <f>IF('R.M Billets Reports'!A946="V.No.",'R.M Billets Reports'!B946,IF(ROW()=2,"",C946))</f>
      </c>
      <c r="D947">
        <f>IF('R.M Billets Reports'!A946&lt;&gt;"",'R.M Billets Reports'!A946,IF(ROW()=2,"",D946))</f>
      </c>
      <c r="E947">
        <f>IF('R.M Billets Reports'!B946="","",TRIM('R.M Billets Reports'!B946))</f>
      </c>
      <c r="F947">
        <f>'R.M Billets Reports'!C946</f>
      </c>
      <c r="G947">
        <f>'R.M Billets Reports'!D946</f>
      </c>
      <c r="H947">
        <f>'R.M Billets Reports'!E946</f>
      </c>
      <c r="I947">
        <f>'R.M Billets Reports'!F946</f>
      </c>
      <c r="J947">
        <f>'R.M Billets Reports'!G946</f>
      </c>
      <c r="K947">
        <f>'R.M Billets Reports'!H946</f>
      </c>
      <c r="L947">
        <f>IF('R.M Billets Reports'!I946="","",'R.M Billets Reports'!I946)</f>
      </c>
      <c r="M947">
        <f t="shared" si="28"/>
      </c>
      <c r="N947">
        <f>IF('R.M Billets Reports'!J946="","",'R.M Billets Reports'!J946)</f>
      </c>
      <c r="O947">
        <f t="shared" si="29"/>
      </c>
      <c r="P947">
        <f>IF('R.M Billets Reports'!A946="SIZE",'R.M Billets Reports'!B946,P946)</f>
      </c>
    </row>
    <row r="948" spans="1:16" x14ac:dyDescent="0.25">
      <c r="A948">
        <f>IF(OR('R.M Billets Reports'!A947="Date-",'R.M Billets Reports'!A947="Date:-"),IF(IF(IF(ISNUMBER(SEARCH("Party Name:-",'R.M Billets Reports'!D947)),TRIM('R.M Billets Reports'!F947),IF(ISNUMBER(SEARCH("Party Name-",'R.M Billets Reports'!D947)),TRIM(MID('R.M Billets Reports'!D947,SEARCH("-",'R.M Billets Reports'!D947)+1,200)),""))&lt;&gt;"",IF(ISNUMBER(SEARCH("Party Name:-",'R.M Billets Reports'!D947)),TRIM('R.M Billets Reports'!F947),IF(ISNUMBER(SEARCH("Party Name-",'R.M Billets Reports'!D947)),TRIM(MID('R.M Billets Reports'!D947,SEARCH("-",'R.M Billets Reports'!D947)+1,200)),"")),IF(ISNUMBER(SEARCH("Party Name:-",'R.M Billets Reports'!D948)),TRIM('R.M Billets Reports'!F948),IF(ISNUMBER(SEARCH("Party Name-",'R.M Billets Reports'!D948)),TRIM(MID('R.M Billets Reports'!D948,SEARCH("-",'R.M Billets Reports'!D948)+1,200)),"")))="VRKP ISPAT PVT LTD","VRKP",IF(IF(IF(ISNUMBER(SEARCH("Party Name:-",'R.M Billets Reports'!D947)),TRIM('R.M Billets Reports'!F947),IF(ISNUMBER(SEARCH("Party Name-",'R.M Billets Reports'!D947)),TRIM(MID('R.M Billets Reports'!D947,SEARCH("-",'R.M Billets Reports'!D947)+1,200)),""))&lt;&gt;"",IF(ISNUMBER(SEARCH("Party Name:-",'R.M Billets Reports'!D947)),TRIM('R.M Billets Reports'!F947),IF(ISNUMBER(SEARCH("Party Name-",'R.M Billets Reports'!D947)),TRIM(MID('R.M Billets Reports'!D947,SEARCH("-",'R.M Billets Reports'!D947)+1,200)),"")),IF(ISNUMBER(SEARCH("Party Name:-",'R.M Billets Reports'!D948)),TRIM('R.M Billets Reports'!F948),IF(ISNUMBER(SEARCH("Party Name-",'R.M Billets Reports'!D948)),TRIM(MID('R.M Billets Reports'!D948,SEARCH("-",'R.M Billets Reports'!D948)+1,200)),"")))="SHRI RADHE","SHREE RADHE",IF(IF(IF(ISNUMBER(SEARCH("Party Name:-",'R.M Billets Reports'!D947)),TRIM('R.M Billets Reports'!F947),IF(ISNUMBER(SEARCH("Party Name-",'R.M Billets Reports'!D947)),TRIM(MID('R.M Billets Reports'!D947,SEARCH("-",'R.M Billets Reports'!D947)+1,200)),""))&lt;&gt;"",IF(ISNUMBER(SEARCH("Party Name:-",'R.M Billets Reports'!D947)),TRIM('R.M Billets Reports'!F947),IF(ISNUMBER(SEARCH("Party Name-",'R.M Billets Reports'!D947)),TRIM(MID('R.M Billets Reports'!D947,SEARCH("-",'R.M Billets Reports'!D947)+1,200)),"")),IF(ISNUMBER(SEARCH("Party Name:-",'R.M Billets Reports'!D948)),TRIM('R.M Billets Reports'!F948),IF(ISNUMBER(SEARCH("Party Name-",'R.M Billets Reports'!D948)),TRIM(MID('R.M Billets Reports'!D948,SEARCH("-",'R.M Billets Reports'!D948)+1,200)),"")))="SHREE RADHE SHAKTI SPONGE AND POWER PVT. LTD.","SHREE RADHE",IF(IF(ISNUMBER(SEARCH("Party Name:-",'R.M Billets Reports'!D947)),TRIM('R.M Billets Reports'!F947),IF(ISNUMBER(SEARCH("Party Name-",'R.M Billets Reports'!D947)),TRIM(MID('R.M Billets Reports'!D947,SEARCH("-",'R.M Billets Reports'!D947)+1,200)),""))&lt;&gt;"",IF(ISNUMBER(SEARCH("Party Name:-",'R.M Billets Reports'!D947)),TRIM('R.M Billets Reports'!F947),IF(ISNUMBER(SEARCH("Party Name-",'R.M Billets Reports'!D947)),TRIM(MID('R.M Billets Reports'!D947,SEARCH("-",'R.M Billets Reports'!D947)+1,200)),"")),IF(ISNUMBER(SEARCH("Party Name:-",'R.M Billets Reports'!D948)),TRIM('R.M Billets Reports'!F948),IF(ISNUMBER(SEARCH("Party Name-",'R.M Billets Reports'!D948)),TRIM(MID('R.M Billets Reports'!D948,SEARCH("-",'R.M Billets Reports'!D948)+1,200)),"")))))),IF(ROW()=2,"",A947))</f>
      </c>
      <c r="B948">
        <f>IF(OR('R.M Billets Reports'!A947="Date-",'R.M Billets Reports'!A947="Date:-"),'R.M Billets Reports'!B947,IF(ROW()=2,"",B947))</f>
      </c>
      <c r="C948">
        <f>IF('R.M Billets Reports'!A947="V.No.",'R.M Billets Reports'!B947,IF(ROW()=2,"",C947))</f>
      </c>
      <c r="D948">
        <f>IF('R.M Billets Reports'!A947&lt;&gt;"",'R.M Billets Reports'!A947,IF(ROW()=2,"",D947))</f>
      </c>
      <c r="E948">
        <f>IF('R.M Billets Reports'!B947="","",TRIM('R.M Billets Reports'!B947))</f>
      </c>
      <c r="F948">
        <f>'R.M Billets Reports'!C947</f>
      </c>
      <c r="G948">
        <f>'R.M Billets Reports'!D947</f>
      </c>
      <c r="H948">
        <f>'R.M Billets Reports'!E947</f>
      </c>
      <c r="I948">
        <f>'R.M Billets Reports'!F947</f>
      </c>
      <c r="J948">
        <f>'R.M Billets Reports'!G947</f>
      </c>
      <c r="K948">
        <f>'R.M Billets Reports'!H947</f>
      </c>
      <c r="L948">
        <f>IF('R.M Billets Reports'!I947="","",'R.M Billets Reports'!I947)</f>
      </c>
      <c r="M948">
        <f t="shared" si="28"/>
      </c>
      <c r="N948">
        <f>IF('R.M Billets Reports'!J947="","",'R.M Billets Reports'!J947)</f>
      </c>
      <c r="O948">
        <f t="shared" si="29"/>
      </c>
      <c r="P948">
        <f>IF('R.M Billets Reports'!A947="SIZE",'R.M Billets Reports'!B947,P947)</f>
      </c>
    </row>
    <row r="949" spans="1:16" x14ac:dyDescent="0.25">
      <c r="A949">
        <f>IF(OR('R.M Billets Reports'!A948="Date-",'R.M Billets Reports'!A948="Date:-"),IF(IF(IF(ISNUMBER(SEARCH("Party Name:-",'R.M Billets Reports'!D948)),TRIM('R.M Billets Reports'!F948),IF(ISNUMBER(SEARCH("Party Name-",'R.M Billets Reports'!D948)),TRIM(MID('R.M Billets Reports'!D948,SEARCH("-",'R.M Billets Reports'!D948)+1,200)),""))&lt;&gt;"",IF(ISNUMBER(SEARCH("Party Name:-",'R.M Billets Reports'!D948)),TRIM('R.M Billets Reports'!F948),IF(ISNUMBER(SEARCH("Party Name-",'R.M Billets Reports'!D948)),TRIM(MID('R.M Billets Reports'!D948,SEARCH("-",'R.M Billets Reports'!D948)+1,200)),"")),IF(ISNUMBER(SEARCH("Party Name:-",'R.M Billets Reports'!D949)),TRIM('R.M Billets Reports'!F949),IF(ISNUMBER(SEARCH("Party Name-",'R.M Billets Reports'!D949)),TRIM(MID('R.M Billets Reports'!D949,SEARCH("-",'R.M Billets Reports'!D949)+1,200)),"")))="VRKP ISPAT PVT LTD","VRKP",IF(IF(IF(ISNUMBER(SEARCH("Party Name:-",'R.M Billets Reports'!D948)),TRIM('R.M Billets Reports'!F948),IF(ISNUMBER(SEARCH("Party Name-",'R.M Billets Reports'!D948)),TRIM(MID('R.M Billets Reports'!D948,SEARCH("-",'R.M Billets Reports'!D948)+1,200)),""))&lt;&gt;"",IF(ISNUMBER(SEARCH("Party Name:-",'R.M Billets Reports'!D948)),TRIM('R.M Billets Reports'!F948),IF(ISNUMBER(SEARCH("Party Name-",'R.M Billets Reports'!D948)),TRIM(MID('R.M Billets Reports'!D948,SEARCH("-",'R.M Billets Reports'!D948)+1,200)),"")),IF(ISNUMBER(SEARCH("Party Name:-",'R.M Billets Reports'!D949)),TRIM('R.M Billets Reports'!F949),IF(ISNUMBER(SEARCH("Party Name-",'R.M Billets Reports'!D949)),TRIM(MID('R.M Billets Reports'!D949,SEARCH("-",'R.M Billets Reports'!D949)+1,200)),"")))="SHRI RADHE","SHREE RADHE",IF(IF(IF(ISNUMBER(SEARCH("Party Name:-",'R.M Billets Reports'!D948)),TRIM('R.M Billets Reports'!F948),IF(ISNUMBER(SEARCH("Party Name-",'R.M Billets Reports'!D948)),TRIM(MID('R.M Billets Reports'!D948,SEARCH("-",'R.M Billets Reports'!D948)+1,200)),""))&lt;&gt;"",IF(ISNUMBER(SEARCH("Party Name:-",'R.M Billets Reports'!D948)),TRIM('R.M Billets Reports'!F948),IF(ISNUMBER(SEARCH("Party Name-",'R.M Billets Reports'!D948)),TRIM(MID('R.M Billets Reports'!D948,SEARCH("-",'R.M Billets Reports'!D948)+1,200)),"")),IF(ISNUMBER(SEARCH("Party Name:-",'R.M Billets Reports'!D949)),TRIM('R.M Billets Reports'!F949),IF(ISNUMBER(SEARCH("Party Name-",'R.M Billets Reports'!D949)),TRIM(MID('R.M Billets Reports'!D949,SEARCH("-",'R.M Billets Reports'!D949)+1,200)),"")))="SHREE RADHE SHAKTI SPONGE AND POWER PVT. LTD.","SHREE RADHE",IF(IF(ISNUMBER(SEARCH("Party Name:-",'R.M Billets Reports'!D948)),TRIM('R.M Billets Reports'!F948),IF(ISNUMBER(SEARCH("Party Name-",'R.M Billets Reports'!D948)),TRIM(MID('R.M Billets Reports'!D948,SEARCH("-",'R.M Billets Reports'!D948)+1,200)),""))&lt;&gt;"",IF(ISNUMBER(SEARCH("Party Name:-",'R.M Billets Reports'!D948)),TRIM('R.M Billets Reports'!F948),IF(ISNUMBER(SEARCH("Party Name-",'R.M Billets Reports'!D948)),TRIM(MID('R.M Billets Reports'!D948,SEARCH("-",'R.M Billets Reports'!D948)+1,200)),"")),IF(ISNUMBER(SEARCH("Party Name:-",'R.M Billets Reports'!D949)),TRIM('R.M Billets Reports'!F949),IF(ISNUMBER(SEARCH("Party Name-",'R.M Billets Reports'!D949)),TRIM(MID('R.M Billets Reports'!D949,SEARCH("-",'R.M Billets Reports'!D949)+1,200)),"")))))),IF(ROW()=2,"",A948))</f>
      </c>
      <c r="B949">
        <f>IF(OR('R.M Billets Reports'!A948="Date-",'R.M Billets Reports'!A948="Date:-"),'R.M Billets Reports'!B948,IF(ROW()=2,"",B948))</f>
      </c>
      <c r="C949">
        <f>IF('R.M Billets Reports'!A948="V.No.",'R.M Billets Reports'!B948,IF(ROW()=2,"",C948))</f>
      </c>
      <c r="D949">
        <f>IF('R.M Billets Reports'!A948&lt;&gt;"",'R.M Billets Reports'!A948,IF(ROW()=2,"",D948))</f>
      </c>
      <c r="E949">
        <f>IF('R.M Billets Reports'!B948="","",TRIM('R.M Billets Reports'!B948))</f>
      </c>
      <c r="F949">
        <f>'R.M Billets Reports'!C948</f>
      </c>
      <c r="G949">
        <f>'R.M Billets Reports'!D948</f>
      </c>
      <c r="H949">
        <f>'R.M Billets Reports'!E948</f>
      </c>
      <c r="I949">
        <f>'R.M Billets Reports'!F948</f>
      </c>
      <c r="J949">
        <f>'R.M Billets Reports'!G948</f>
      </c>
      <c r="K949">
        <f>'R.M Billets Reports'!H948</f>
      </c>
      <c r="L949">
        <f>IF('R.M Billets Reports'!I948="","",'R.M Billets Reports'!I948)</f>
      </c>
      <c r="M949">
        <f t="shared" si="28"/>
      </c>
      <c r="N949">
        <f>IF('R.M Billets Reports'!J948="","",'R.M Billets Reports'!J948)</f>
      </c>
      <c r="O949">
        <f t="shared" si="29"/>
      </c>
      <c r="P949">
        <f>IF('R.M Billets Reports'!A948="SIZE",'R.M Billets Reports'!B948,P948)</f>
      </c>
    </row>
    <row r="950" spans="1:16" x14ac:dyDescent="0.25">
      <c r="A950">
        <f>IF(OR('R.M Billets Reports'!A949="Date-",'R.M Billets Reports'!A949="Date:-"),IF(IF(IF(ISNUMBER(SEARCH("Party Name:-",'R.M Billets Reports'!D949)),TRIM('R.M Billets Reports'!F949),IF(ISNUMBER(SEARCH("Party Name-",'R.M Billets Reports'!D949)),TRIM(MID('R.M Billets Reports'!D949,SEARCH("-",'R.M Billets Reports'!D949)+1,200)),""))&lt;&gt;"",IF(ISNUMBER(SEARCH("Party Name:-",'R.M Billets Reports'!D949)),TRIM('R.M Billets Reports'!F949),IF(ISNUMBER(SEARCH("Party Name-",'R.M Billets Reports'!D949)),TRIM(MID('R.M Billets Reports'!D949,SEARCH("-",'R.M Billets Reports'!D949)+1,200)),"")),IF(ISNUMBER(SEARCH("Party Name:-",'R.M Billets Reports'!D950)),TRIM('R.M Billets Reports'!F950),IF(ISNUMBER(SEARCH("Party Name-",'R.M Billets Reports'!D950)),TRIM(MID('R.M Billets Reports'!D950,SEARCH("-",'R.M Billets Reports'!D950)+1,200)),"")))="VRKP ISPAT PVT LTD","VRKP",IF(IF(IF(ISNUMBER(SEARCH("Party Name:-",'R.M Billets Reports'!D949)),TRIM('R.M Billets Reports'!F949),IF(ISNUMBER(SEARCH("Party Name-",'R.M Billets Reports'!D949)),TRIM(MID('R.M Billets Reports'!D949,SEARCH("-",'R.M Billets Reports'!D949)+1,200)),""))&lt;&gt;"",IF(ISNUMBER(SEARCH("Party Name:-",'R.M Billets Reports'!D949)),TRIM('R.M Billets Reports'!F949),IF(ISNUMBER(SEARCH("Party Name-",'R.M Billets Reports'!D949)),TRIM(MID('R.M Billets Reports'!D949,SEARCH("-",'R.M Billets Reports'!D949)+1,200)),"")),IF(ISNUMBER(SEARCH("Party Name:-",'R.M Billets Reports'!D950)),TRIM('R.M Billets Reports'!F950),IF(ISNUMBER(SEARCH("Party Name-",'R.M Billets Reports'!D950)),TRIM(MID('R.M Billets Reports'!D950,SEARCH("-",'R.M Billets Reports'!D950)+1,200)),"")))="SHRI RADHE","SHREE RADHE",IF(IF(IF(ISNUMBER(SEARCH("Party Name:-",'R.M Billets Reports'!D949)),TRIM('R.M Billets Reports'!F949),IF(ISNUMBER(SEARCH("Party Name-",'R.M Billets Reports'!D949)),TRIM(MID('R.M Billets Reports'!D949,SEARCH("-",'R.M Billets Reports'!D949)+1,200)),""))&lt;&gt;"",IF(ISNUMBER(SEARCH("Party Name:-",'R.M Billets Reports'!D949)),TRIM('R.M Billets Reports'!F949),IF(ISNUMBER(SEARCH("Party Name-",'R.M Billets Reports'!D949)),TRIM(MID('R.M Billets Reports'!D949,SEARCH("-",'R.M Billets Reports'!D949)+1,200)),"")),IF(ISNUMBER(SEARCH("Party Name:-",'R.M Billets Reports'!D950)),TRIM('R.M Billets Reports'!F950),IF(ISNUMBER(SEARCH("Party Name-",'R.M Billets Reports'!D950)),TRIM(MID('R.M Billets Reports'!D950,SEARCH("-",'R.M Billets Reports'!D950)+1,200)),"")))="SHREE RADHE SHAKTI SPONGE AND POWER PVT. LTD.","SHREE RADHE",IF(IF(ISNUMBER(SEARCH("Party Name:-",'R.M Billets Reports'!D949)),TRIM('R.M Billets Reports'!F949),IF(ISNUMBER(SEARCH("Party Name-",'R.M Billets Reports'!D949)),TRIM(MID('R.M Billets Reports'!D949,SEARCH("-",'R.M Billets Reports'!D949)+1,200)),""))&lt;&gt;"",IF(ISNUMBER(SEARCH("Party Name:-",'R.M Billets Reports'!D949)),TRIM('R.M Billets Reports'!F949),IF(ISNUMBER(SEARCH("Party Name-",'R.M Billets Reports'!D949)),TRIM(MID('R.M Billets Reports'!D949,SEARCH("-",'R.M Billets Reports'!D949)+1,200)),"")),IF(ISNUMBER(SEARCH("Party Name:-",'R.M Billets Reports'!D950)),TRIM('R.M Billets Reports'!F950),IF(ISNUMBER(SEARCH("Party Name-",'R.M Billets Reports'!D950)),TRIM(MID('R.M Billets Reports'!D950,SEARCH("-",'R.M Billets Reports'!D950)+1,200)),"")))))),IF(ROW()=2,"",A949))</f>
      </c>
      <c r="B950">
        <f>IF(OR('R.M Billets Reports'!A949="Date-",'R.M Billets Reports'!A949="Date:-"),'R.M Billets Reports'!B949,IF(ROW()=2,"",B949))</f>
      </c>
      <c r="C950">
        <f>IF('R.M Billets Reports'!A949="V.No.",'R.M Billets Reports'!B949,IF(ROW()=2,"",C949))</f>
      </c>
      <c r="D950">
        <f>IF('R.M Billets Reports'!A949&lt;&gt;"",'R.M Billets Reports'!A949,IF(ROW()=2,"",D949))</f>
      </c>
      <c r="E950">
        <f>IF('R.M Billets Reports'!B949="","",TRIM('R.M Billets Reports'!B949))</f>
      </c>
      <c r="F950">
        <f>'R.M Billets Reports'!C949</f>
      </c>
      <c r="G950">
        <f>'R.M Billets Reports'!D949</f>
      </c>
      <c r="H950">
        <f>'R.M Billets Reports'!E949</f>
      </c>
      <c r="I950">
        <f>'R.M Billets Reports'!F949</f>
      </c>
      <c r="J950">
        <f>'R.M Billets Reports'!G949</f>
      </c>
      <c r="K950">
        <f>'R.M Billets Reports'!H949</f>
      </c>
      <c r="L950">
        <f>IF('R.M Billets Reports'!I949="","",'R.M Billets Reports'!I949)</f>
      </c>
      <c r="M950">
        <f t="shared" si="28"/>
      </c>
      <c r="N950">
        <f>IF('R.M Billets Reports'!J949="","",'R.M Billets Reports'!J949)</f>
      </c>
      <c r="O950">
        <f t="shared" si="29"/>
      </c>
      <c r="P950">
        <f>IF('R.M Billets Reports'!A949="SIZE",'R.M Billets Reports'!B949,P949)</f>
      </c>
    </row>
    <row r="951" spans="1:16" x14ac:dyDescent="0.25">
      <c r="A951">
        <f>IF(OR('R.M Billets Reports'!A950="Date-",'R.M Billets Reports'!A950="Date:-"),IF(IF(IF(ISNUMBER(SEARCH("Party Name:-",'R.M Billets Reports'!D950)),TRIM('R.M Billets Reports'!F950),IF(ISNUMBER(SEARCH("Party Name-",'R.M Billets Reports'!D950)),TRIM(MID('R.M Billets Reports'!D950,SEARCH("-",'R.M Billets Reports'!D950)+1,200)),""))&lt;&gt;"",IF(ISNUMBER(SEARCH("Party Name:-",'R.M Billets Reports'!D950)),TRIM('R.M Billets Reports'!F950),IF(ISNUMBER(SEARCH("Party Name-",'R.M Billets Reports'!D950)),TRIM(MID('R.M Billets Reports'!D950,SEARCH("-",'R.M Billets Reports'!D950)+1,200)),"")),IF(ISNUMBER(SEARCH("Party Name:-",'R.M Billets Reports'!D951)),TRIM('R.M Billets Reports'!F951),IF(ISNUMBER(SEARCH("Party Name-",'R.M Billets Reports'!D951)),TRIM(MID('R.M Billets Reports'!D951,SEARCH("-",'R.M Billets Reports'!D951)+1,200)),"")))="VRKP ISPAT PVT LTD","VRKP",IF(IF(IF(ISNUMBER(SEARCH("Party Name:-",'R.M Billets Reports'!D950)),TRIM('R.M Billets Reports'!F950),IF(ISNUMBER(SEARCH("Party Name-",'R.M Billets Reports'!D950)),TRIM(MID('R.M Billets Reports'!D950,SEARCH("-",'R.M Billets Reports'!D950)+1,200)),""))&lt;&gt;"",IF(ISNUMBER(SEARCH("Party Name:-",'R.M Billets Reports'!D950)),TRIM('R.M Billets Reports'!F950),IF(ISNUMBER(SEARCH("Party Name-",'R.M Billets Reports'!D950)),TRIM(MID('R.M Billets Reports'!D950,SEARCH("-",'R.M Billets Reports'!D950)+1,200)),"")),IF(ISNUMBER(SEARCH("Party Name:-",'R.M Billets Reports'!D951)),TRIM('R.M Billets Reports'!F951),IF(ISNUMBER(SEARCH("Party Name-",'R.M Billets Reports'!D951)),TRIM(MID('R.M Billets Reports'!D951,SEARCH("-",'R.M Billets Reports'!D951)+1,200)),"")))="SHRI RADHE","SHREE RADHE",IF(IF(IF(ISNUMBER(SEARCH("Party Name:-",'R.M Billets Reports'!D950)),TRIM('R.M Billets Reports'!F950),IF(ISNUMBER(SEARCH("Party Name-",'R.M Billets Reports'!D950)),TRIM(MID('R.M Billets Reports'!D950,SEARCH("-",'R.M Billets Reports'!D950)+1,200)),""))&lt;&gt;"",IF(ISNUMBER(SEARCH("Party Name:-",'R.M Billets Reports'!D950)),TRIM('R.M Billets Reports'!F950),IF(ISNUMBER(SEARCH("Party Name-",'R.M Billets Reports'!D950)),TRIM(MID('R.M Billets Reports'!D950,SEARCH("-",'R.M Billets Reports'!D950)+1,200)),"")),IF(ISNUMBER(SEARCH("Party Name:-",'R.M Billets Reports'!D951)),TRIM('R.M Billets Reports'!F951),IF(ISNUMBER(SEARCH("Party Name-",'R.M Billets Reports'!D951)),TRIM(MID('R.M Billets Reports'!D951,SEARCH("-",'R.M Billets Reports'!D951)+1,200)),"")))="SHREE RADHE SHAKTI SPONGE AND POWER PVT. LTD.","SHREE RADHE",IF(IF(ISNUMBER(SEARCH("Party Name:-",'R.M Billets Reports'!D950)),TRIM('R.M Billets Reports'!F950),IF(ISNUMBER(SEARCH("Party Name-",'R.M Billets Reports'!D950)),TRIM(MID('R.M Billets Reports'!D950,SEARCH("-",'R.M Billets Reports'!D950)+1,200)),""))&lt;&gt;"",IF(ISNUMBER(SEARCH("Party Name:-",'R.M Billets Reports'!D950)),TRIM('R.M Billets Reports'!F950),IF(ISNUMBER(SEARCH("Party Name-",'R.M Billets Reports'!D950)),TRIM(MID('R.M Billets Reports'!D950,SEARCH("-",'R.M Billets Reports'!D950)+1,200)),"")),IF(ISNUMBER(SEARCH("Party Name:-",'R.M Billets Reports'!D951)),TRIM('R.M Billets Reports'!F951),IF(ISNUMBER(SEARCH("Party Name-",'R.M Billets Reports'!D951)),TRIM(MID('R.M Billets Reports'!D951,SEARCH("-",'R.M Billets Reports'!D951)+1,200)),"")))))),IF(ROW()=2,"",A950))</f>
      </c>
      <c r="B951">
        <f>IF(OR('R.M Billets Reports'!A950="Date-",'R.M Billets Reports'!A950="Date:-"),'R.M Billets Reports'!B950,IF(ROW()=2,"",B950))</f>
      </c>
      <c r="C951">
        <f>IF('R.M Billets Reports'!A950="V.No.",'R.M Billets Reports'!B950,IF(ROW()=2,"",C950))</f>
      </c>
      <c r="D951">
        <f>IF('R.M Billets Reports'!A950&lt;&gt;"",'R.M Billets Reports'!A950,IF(ROW()=2,"",D950))</f>
      </c>
      <c r="E951">
        <f>IF('R.M Billets Reports'!B950="","",TRIM('R.M Billets Reports'!B950))</f>
      </c>
      <c r="F951">
        <f>'R.M Billets Reports'!C950</f>
      </c>
      <c r="G951">
        <f>'R.M Billets Reports'!D950</f>
      </c>
      <c r="H951">
        <f>'R.M Billets Reports'!E950</f>
      </c>
      <c r="I951">
        <f>'R.M Billets Reports'!F950</f>
      </c>
      <c r="J951">
        <f>'R.M Billets Reports'!G950</f>
      </c>
      <c r="K951">
        <f>'R.M Billets Reports'!H950</f>
      </c>
      <c r="L951">
        <f>IF('R.M Billets Reports'!I950="","",'R.M Billets Reports'!I950)</f>
      </c>
      <c r="M951">
        <f t="shared" si="28"/>
      </c>
      <c r="N951">
        <f>IF('R.M Billets Reports'!J950="","",'R.M Billets Reports'!J950)</f>
      </c>
      <c r="O951">
        <f t="shared" si="29"/>
      </c>
      <c r="P951">
        <f>IF('R.M Billets Reports'!A950="SIZE",'R.M Billets Reports'!B950,P950)</f>
      </c>
    </row>
    <row r="952" spans="1:16" x14ac:dyDescent="0.25">
      <c r="A952">
        <f>IF(OR('R.M Billets Reports'!A951="Date-",'R.M Billets Reports'!A951="Date:-"),IF(IF(IF(ISNUMBER(SEARCH("Party Name:-",'R.M Billets Reports'!D951)),TRIM('R.M Billets Reports'!F951),IF(ISNUMBER(SEARCH("Party Name-",'R.M Billets Reports'!D951)),TRIM(MID('R.M Billets Reports'!D951,SEARCH("-",'R.M Billets Reports'!D951)+1,200)),""))&lt;&gt;"",IF(ISNUMBER(SEARCH("Party Name:-",'R.M Billets Reports'!D951)),TRIM('R.M Billets Reports'!F951),IF(ISNUMBER(SEARCH("Party Name-",'R.M Billets Reports'!D951)),TRIM(MID('R.M Billets Reports'!D951,SEARCH("-",'R.M Billets Reports'!D951)+1,200)),"")),IF(ISNUMBER(SEARCH("Party Name:-",'R.M Billets Reports'!D952)),TRIM('R.M Billets Reports'!F952),IF(ISNUMBER(SEARCH("Party Name-",'R.M Billets Reports'!D952)),TRIM(MID('R.M Billets Reports'!D952,SEARCH("-",'R.M Billets Reports'!D952)+1,200)),"")))="VRKP ISPAT PVT LTD","VRKP",IF(IF(IF(ISNUMBER(SEARCH("Party Name:-",'R.M Billets Reports'!D951)),TRIM('R.M Billets Reports'!F951),IF(ISNUMBER(SEARCH("Party Name-",'R.M Billets Reports'!D951)),TRIM(MID('R.M Billets Reports'!D951,SEARCH("-",'R.M Billets Reports'!D951)+1,200)),""))&lt;&gt;"",IF(ISNUMBER(SEARCH("Party Name:-",'R.M Billets Reports'!D951)),TRIM('R.M Billets Reports'!F951),IF(ISNUMBER(SEARCH("Party Name-",'R.M Billets Reports'!D951)),TRIM(MID('R.M Billets Reports'!D951,SEARCH("-",'R.M Billets Reports'!D951)+1,200)),"")),IF(ISNUMBER(SEARCH("Party Name:-",'R.M Billets Reports'!D952)),TRIM('R.M Billets Reports'!F952),IF(ISNUMBER(SEARCH("Party Name-",'R.M Billets Reports'!D952)),TRIM(MID('R.M Billets Reports'!D952,SEARCH("-",'R.M Billets Reports'!D952)+1,200)),"")))="SHRI RADHE","SHREE RADHE",IF(IF(IF(ISNUMBER(SEARCH("Party Name:-",'R.M Billets Reports'!D951)),TRIM('R.M Billets Reports'!F951),IF(ISNUMBER(SEARCH("Party Name-",'R.M Billets Reports'!D951)),TRIM(MID('R.M Billets Reports'!D951,SEARCH("-",'R.M Billets Reports'!D951)+1,200)),""))&lt;&gt;"",IF(ISNUMBER(SEARCH("Party Name:-",'R.M Billets Reports'!D951)),TRIM('R.M Billets Reports'!F951),IF(ISNUMBER(SEARCH("Party Name-",'R.M Billets Reports'!D951)),TRIM(MID('R.M Billets Reports'!D951,SEARCH("-",'R.M Billets Reports'!D951)+1,200)),"")),IF(ISNUMBER(SEARCH("Party Name:-",'R.M Billets Reports'!D952)),TRIM('R.M Billets Reports'!F952),IF(ISNUMBER(SEARCH("Party Name-",'R.M Billets Reports'!D952)),TRIM(MID('R.M Billets Reports'!D952,SEARCH("-",'R.M Billets Reports'!D952)+1,200)),"")))="SHREE RADHE SHAKTI SPONGE AND POWER PVT. LTD.","SHREE RADHE",IF(IF(ISNUMBER(SEARCH("Party Name:-",'R.M Billets Reports'!D951)),TRIM('R.M Billets Reports'!F951),IF(ISNUMBER(SEARCH("Party Name-",'R.M Billets Reports'!D951)),TRIM(MID('R.M Billets Reports'!D951,SEARCH("-",'R.M Billets Reports'!D951)+1,200)),""))&lt;&gt;"",IF(ISNUMBER(SEARCH("Party Name:-",'R.M Billets Reports'!D951)),TRIM('R.M Billets Reports'!F951),IF(ISNUMBER(SEARCH("Party Name-",'R.M Billets Reports'!D951)),TRIM(MID('R.M Billets Reports'!D951,SEARCH("-",'R.M Billets Reports'!D951)+1,200)),"")),IF(ISNUMBER(SEARCH("Party Name:-",'R.M Billets Reports'!D952)),TRIM('R.M Billets Reports'!F952),IF(ISNUMBER(SEARCH("Party Name-",'R.M Billets Reports'!D952)),TRIM(MID('R.M Billets Reports'!D952,SEARCH("-",'R.M Billets Reports'!D952)+1,200)),"")))))),IF(ROW()=2,"",A951))</f>
      </c>
      <c r="B952">
        <f>IF(OR('R.M Billets Reports'!A951="Date-",'R.M Billets Reports'!A951="Date:-"),'R.M Billets Reports'!B951,IF(ROW()=2,"",B951))</f>
      </c>
      <c r="C952">
        <f>IF('R.M Billets Reports'!A951="V.No.",'R.M Billets Reports'!B951,IF(ROW()=2,"",C951))</f>
      </c>
      <c r="D952">
        <f>IF('R.M Billets Reports'!A951&lt;&gt;"",'R.M Billets Reports'!A951,IF(ROW()=2,"",D951))</f>
      </c>
      <c r="E952">
        <f>IF('R.M Billets Reports'!B951="","",TRIM('R.M Billets Reports'!B951))</f>
      </c>
      <c r="F952">
        <f>'R.M Billets Reports'!C951</f>
      </c>
      <c r="G952">
        <f>'R.M Billets Reports'!D951</f>
      </c>
      <c r="H952">
        <f>'R.M Billets Reports'!E951</f>
      </c>
      <c r="I952">
        <f>'R.M Billets Reports'!F951</f>
      </c>
      <c r="J952">
        <f>'R.M Billets Reports'!G951</f>
      </c>
      <c r="K952">
        <f>'R.M Billets Reports'!H951</f>
      </c>
      <c r="L952">
        <f>IF('R.M Billets Reports'!I951="","",'R.M Billets Reports'!I951)</f>
      </c>
      <c r="M952">
        <f t="shared" si="28"/>
      </c>
      <c r="N952">
        <f>IF('R.M Billets Reports'!J951="","",'R.M Billets Reports'!J951)</f>
      </c>
      <c r="O952">
        <f t="shared" si="29"/>
      </c>
      <c r="P952">
        <f>IF('R.M Billets Reports'!A951="SIZE",'R.M Billets Reports'!B951,P951)</f>
      </c>
    </row>
    <row r="953" spans="1:16" x14ac:dyDescent="0.25">
      <c r="A953">
        <f>IF(OR('R.M Billets Reports'!A952="Date-",'R.M Billets Reports'!A952="Date:-"),IF(IF(IF(ISNUMBER(SEARCH("Party Name:-",'R.M Billets Reports'!D952)),TRIM('R.M Billets Reports'!F952),IF(ISNUMBER(SEARCH("Party Name-",'R.M Billets Reports'!D952)),TRIM(MID('R.M Billets Reports'!D952,SEARCH("-",'R.M Billets Reports'!D952)+1,200)),""))&lt;&gt;"",IF(ISNUMBER(SEARCH("Party Name:-",'R.M Billets Reports'!D952)),TRIM('R.M Billets Reports'!F952),IF(ISNUMBER(SEARCH("Party Name-",'R.M Billets Reports'!D952)),TRIM(MID('R.M Billets Reports'!D952,SEARCH("-",'R.M Billets Reports'!D952)+1,200)),"")),IF(ISNUMBER(SEARCH("Party Name:-",'R.M Billets Reports'!D953)),TRIM('R.M Billets Reports'!F953),IF(ISNUMBER(SEARCH("Party Name-",'R.M Billets Reports'!D953)),TRIM(MID('R.M Billets Reports'!D953,SEARCH("-",'R.M Billets Reports'!D953)+1,200)),"")))="VRKP ISPAT PVT LTD","VRKP",IF(IF(IF(ISNUMBER(SEARCH("Party Name:-",'R.M Billets Reports'!D952)),TRIM('R.M Billets Reports'!F952),IF(ISNUMBER(SEARCH("Party Name-",'R.M Billets Reports'!D952)),TRIM(MID('R.M Billets Reports'!D952,SEARCH("-",'R.M Billets Reports'!D952)+1,200)),""))&lt;&gt;"",IF(ISNUMBER(SEARCH("Party Name:-",'R.M Billets Reports'!D952)),TRIM('R.M Billets Reports'!F952),IF(ISNUMBER(SEARCH("Party Name-",'R.M Billets Reports'!D952)),TRIM(MID('R.M Billets Reports'!D952,SEARCH("-",'R.M Billets Reports'!D952)+1,200)),"")),IF(ISNUMBER(SEARCH("Party Name:-",'R.M Billets Reports'!D953)),TRIM('R.M Billets Reports'!F953),IF(ISNUMBER(SEARCH("Party Name-",'R.M Billets Reports'!D953)),TRIM(MID('R.M Billets Reports'!D953,SEARCH("-",'R.M Billets Reports'!D953)+1,200)),"")))="SHRI RADHE","SHREE RADHE",IF(IF(IF(ISNUMBER(SEARCH("Party Name:-",'R.M Billets Reports'!D952)),TRIM('R.M Billets Reports'!F952),IF(ISNUMBER(SEARCH("Party Name-",'R.M Billets Reports'!D952)),TRIM(MID('R.M Billets Reports'!D952,SEARCH("-",'R.M Billets Reports'!D952)+1,200)),""))&lt;&gt;"",IF(ISNUMBER(SEARCH("Party Name:-",'R.M Billets Reports'!D952)),TRIM('R.M Billets Reports'!F952),IF(ISNUMBER(SEARCH("Party Name-",'R.M Billets Reports'!D952)),TRIM(MID('R.M Billets Reports'!D952,SEARCH("-",'R.M Billets Reports'!D952)+1,200)),"")),IF(ISNUMBER(SEARCH("Party Name:-",'R.M Billets Reports'!D953)),TRIM('R.M Billets Reports'!F953),IF(ISNUMBER(SEARCH("Party Name-",'R.M Billets Reports'!D953)),TRIM(MID('R.M Billets Reports'!D953,SEARCH("-",'R.M Billets Reports'!D953)+1,200)),"")))="SHREE RADHE SHAKTI SPONGE AND POWER PVT. LTD.","SHREE RADHE",IF(IF(ISNUMBER(SEARCH("Party Name:-",'R.M Billets Reports'!D952)),TRIM('R.M Billets Reports'!F952),IF(ISNUMBER(SEARCH("Party Name-",'R.M Billets Reports'!D952)),TRIM(MID('R.M Billets Reports'!D952,SEARCH("-",'R.M Billets Reports'!D952)+1,200)),""))&lt;&gt;"",IF(ISNUMBER(SEARCH("Party Name:-",'R.M Billets Reports'!D952)),TRIM('R.M Billets Reports'!F952),IF(ISNUMBER(SEARCH("Party Name-",'R.M Billets Reports'!D952)),TRIM(MID('R.M Billets Reports'!D952,SEARCH("-",'R.M Billets Reports'!D952)+1,200)),"")),IF(ISNUMBER(SEARCH("Party Name:-",'R.M Billets Reports'!D953)),TRIM('R.M Billets Reports'!F953),IF(ISNUMBER(SEARCH("Party Name-",'R.M Billets Reports'!D953)),TRIM(MID('R.M Billets Reports'!D953,SEARCH("-",'R.M Billets Reports'!D953)+1,200)),"")))))),IF(ROW()=2,"",A952))</f>
      </c>
      <c r="B953">
        <f>IF(OR('R.M Billets Reports'!A952="Date-",'R.M Billets Reports'!A952="Date:-"),'R.M Billets Reports'!B952,IF(ROW()=2,"",B952))</f>
      </c>
      <c r="C953">
        <f>IF('R.M Billets Reports'!A952="V.No.",'R.M Billets Reports'!B952,IF(ROW()=2,"",C952))</f>
      </c>
      <c r="D953">
        <f>IF('R.M Billets Reports'!A952&lt;&gt;"",'R.M Billets Reports'!A952,IF(ROW()=2,"",D952))</f>
      </c>
      <c r="E953">
        <f>IF('R.M Billets Reports'!B952="","",TRIM('R.M Billets Reports'!B952))</f>
      </c>
      <c r="F953">
        <f>'R.M Billets Reports'!C952</f>
      </c>
      <c r="G953">
        <f>'R.M Billets Reports'!D952</f>
      </c>
      <c r="H953">
        <f>'R.M Billets Reports'!E952</f>
      </c>
      <c r="I953">
        <f>'R.M Billets Reports'!F952</f>
      </c>
      <c r="J953">
        <f>'R.M Billets Reports'!G952</f>
      </c>
      <c r="K953">
        <f>'R.M Billets Reports'!H952</f>
      </c>
      <c r="L953">
        <f>IF('R.M Billets Reports'!I952="","",'R.M Billets Reports'!I952)</f>
      </c>
      <c r="M953">
        <f t="shared" si="28"/>
      </c>
      <c r="N953">
        <f>IF('R.M Billets Reports'!J952="","",'R.M Billets Reports'!J952)</f>
      </c>
      <c r="O953">
        <f t="shared" si="29"/>
      </c>
      <c r="P953">
        <f>IF('R.M Billets Reports'!A952="SIZE",'R.M Billets Reports'!B952,P952)</f>
      </c>
    </row>
    <row r="954" spans="1:16" x14ac:dyDescent="0.25">
      <c r="A954">
        <f>IF(OR('R.M Billets Reports'!A953="Date-",'R.M Billets Reports'!A953="Date:-"),IF(IF(IF(ISNUMBER(SEARCH("Party Name:-",'R.M Billets Reports'!D953)),TRIM('R.M Billets Reports'!F953),IF(ISNUMBER(SEARCH("Party Name-",'R.M Billets Reports'!D953)),TRIM(MID('R.M Billets Reports'!D953,SEARCH("-",'R.M Billets Reports'!D953)+1,200)),""))&lt;&gt;"",IF(ISNUMBER(SEARCH("Party Name:-",'R.M Billets Reports'!D953)),TRIM('R.M Billets Reports'!F953),IF(ISNUMBER(SEARCH("Party Name-",'R.M Billets Reports'!D953)),TRIM(MID('R.M Billets Reports'!D953,SEARCH("-",'R.M Billets Reports'!D953)+1,200)),"")),IF(ISNUMBER(SEARCH("Party Name:-",'R.M Billets Reports'!D954)),TRIM('R.M Billets Reports'!F954),IF(ISNUMBER(SEARCH("Party Name-",'R.M Billets Reports'!D954)),TRIM(MID('R.M Billets Reports'!D954,SEARCH("-",'R.M Billets Reports'!D954)+1,200)),"")))="VRKP ISPAT PVT LTD","VRKP",IF(IF(IF(ISNUMBER(SEARCH("Party Name:-",'R.M Billets Reports'!D953)),TRIM('R.M Billets Reports'!F953),IF(ISNUMBER(SEARCH("Party Name-",'R.M Billets Reports'!D953)),TRIM(MID('R.M Billets Reports'!D953,SEARCH("-",'R.M Billets Reports'!D953)+1,200)),""))&lt;&gt;"",IF(ISNUMBER(SEARCH("Party Name:-",'R.M Billets Reports'!D953)),TRIM('R.M Billets Reports'!F953),IF(ISNUMBER(SEARCH("Party Name-",'R.M Billets Reports'!D953)),TRIM(MID('R.M Billets Reports'!D953,SEARCH("-",'R.M Billets Reports'!D953)+1,200)),"")),IF(ISNUMBER(SEARCH("Party Name:-",'R.M Billets Reports'!D954)),TRIM('R.M Billets Reports'!F954),IF(ISNUMBER(SEARCH("Party Name-",'R.M Billets Reports'!D954)),TRIM(MID('R.M Billets Reports'!D954,SEARCH("-",'R.M Billets Reports'!D954)+1,200)),"")))="SHRI RADHE","SHREE RADHE",IF(IF(IF(ISNUMBER(SEARCH("Party Name:-",'R.M Billets Reports'!D953)),TRIM('R.M Billets Reports'!F953),IF(ISNUMBER(SEARCH("Party Name-",'R.M Billets Reports'!D953)),TRIM(MID('R.M Billets Reports'!D953,SEARCH("-",'R.M Billets Reports'!D953)+1,200)),""))&lt;&gt;"",IF(ISNUMBER(SEARCH("Party Name:-",'R.M Billets Reports'!D953)),TRIM('R.M Billets Reports'!F953),IF(ISNUMBER(SEARCH("Party Name-",'R.M Billets Reports'!D953)),TRIM(MID('R.M Billets Reports'!D953,SEARCH("-",'R.M Billets Reports'!D953)+1,200)),"")),IF(ISNUMBER(SEARCH("Party Name:-",'R.M Billets Reports'!D954)),TRIM('R.M Billets Reports'!F954),IF(ISNUMBER(SEARCH("Party Name-",'R.M Billets Reports'!D954)),TRIM(MID('R.M Billets Reports'!D954,SEARCH("-",'R.M Billets Reports'!D954)+1,200)),"")))="SHREE RADHE SHAKTI SPONGE AND POWER PVT. LTD.","SHREE RADHE",IF(IF(ISNUMBER(SEARCH("Party Name:-",'R.M Billets Reports'!D953)),TRIM('R.M Billets Reports'!F953),IF(ISNUMBER(SEARCH("Party Name-",'R.M Billets Reports'!D953)),TRIM(MID('R.M Billets Reports'!D953,SEARCH("-",'R.M Billets Reports'!D953)+1,200)),""))&lt;&gt;"",IF(ISNUMBER(SEARCH("Party Name:-",'R.M Billets Reports'!D953)),TRIM('R.M Billets Reports'!F953),IF(ISNUMBER(SEARCH("Party Name-",'R.M Billets Reports'!D953)),TRIM(MID('R.M Billets Reports'!D953,SEARCH("-",'R.M Billets Reports'!D953)+1,200)),"")),IF(ISNUMBER(SEARCH("Party Name:-",'R.M Billets Reports'!D954)),TRIM('R.M Billets Reports'!F954),IF(ISNUMBER(SEARCH("Party Name-",'R.M Billets Reports'!D954)),TRIM(MID('R.M Billets Reports'!D954,SEARCH("-",'R.M Billets Reports'!D954)+1,200)),"")))))),IF(ROW()=2,"",A953))</f>
      </c>
      <c r="B954">
        <f>IF(OR('R.M Billets Reports'!A953="Date-",'R.M Billets Reports'!A953="Date:-"),'R.M Billets Reports'!B953,IF(ROW()=2,"",B953))</f>
      </c>
      <c r="C954">
        <f>IF('R.M Billets Reports'!A953="V.No.",'R.M Billets Reports'!B953,IF(ROW()=2,"",C953))</f>
      </c>
      <c r="D954">
        <f>IF('R.M Billets Reports'!A953&lt;&gt;"",'R.M Billets Reports'!A953,IF(ROW()=2,"",D953))</f>
      </c>
      <c r="E954">
        <f>IF('R.M Billets Reports'!B953="","",TRIM('R.M Billets Reports'!B953))</f>
      </c>
      <c r="F954">
        <f>'R.M Billets Reports'!C953</f>
      </c>
      <c r="G954">
        <f>'R.M Billets Reports'!D953</f>
      </c>
      <c r="H954">
        <f>'R.M Billets Reports'!E953</f>
      </c>
      <c r="I954">
        <f>'R.M Billets Reports'!F953</f>
      </c>
      <c r="J954">
        <f>'R.M Billets Reports'!G953</f>
      </c>
      <c r="K954">
        <f>'R.M Billets Reports'!H953</f>
      </c>
      <c r="L954">
        <f>IF('R.M Billets Reports'!I953="","",'R.M Billets Reports'!I953)</f>
      </c>
      <c r="M954">
        <f t="shared" si="28"/>
      </c>
      <c r="N954">
        <f>IF('R.M Billets Reports'!J953="","",'R.M Billets Reports'!J953)</f>
      </c>
      <c r="O954">
        <f t="shared" si="29"/>
      </c>
      <c r="P954">
        <f>IF('R.M Billets Reports'!A953="SIZE",'R.M Billets Reports'!B953,P953)</f>
      </c>
    </row>
    <row r="955" spans="1:16" x14ac:dyDescent="0.25">
      <c r="A955">
        <f>IF(OR('R.M Billets Reports'!A954="Date-",'R.M Billets Reports'!A954="Date:-"),IF(IF(IF(ISNUMBER(SEARCH("Party Name:-",'R.M Billets Reports'!D954)),TRIM('R.M Billets Reports'!F954),IF(ISNUMBER(SEARCH("Party Name-",'R.M Billets Reports'!D954)),TRIM(MID('R.M Billets Reports'!D954,SEARCH("-",'R.M Billets Reports'!D954)+1,200)),""))&lt;&gt;"",IF(ISNUMBER(SEARCH("Party Name:-",'R.M Billets Reports'!D954)),TRIM('R.M Billets Reports'!F954),IF(ISNUMBER(SEARCH("Party Name-",'R.M Billets Reports'!D954)),TRIM(MID('R.M Billets Reports'!D954,SEARCH("-",'R.M Billets Reports'!D954)+1,200)),"")),IF(ISNUMBER(SEARCH("Party Name:-",'R.M Billets Reports'!D955)),TRIM('R.M Billets Reports'!F955),IF(ISNUMBER(SEARCH("Party Name-",'R.M Billets Reports'!D955)),TRIM(MID('R.M Billets Reports'!D955,SEARCH("-",'R.M Billets Reports'!D955)+1,200)),"")))="VRKP ISPAT PVT LTD","VRKP",IF(IF(IF(ISNUMBER(SEARCH("Party Name:-",'R.M Billets Reports'!D954)),TRIM('R.M Billets Reports'!F954),IF(ISNUMBER(SEARCH("Party Name-",'R.M Billets Reports'!D954)),TRIM(MID('R.M Billets Reports'!D954,SEARCH("-",'R.M Billets Reports'!D954)+1,200)),""))&lt;&gt;"",IF(ISNUMBER(SEARCH("Party Name:-",'R.M Billets Reports'!D954)),TRIM('R.M Billets Reports'!F954),IF(ISNUMBER(SEARCH("Party Name-",'R.M Billets Reports'!D954)),TRIM(MID('R.M Billets Reports'!D954,SEARCH("-",'R.M Billets Reports'!D954)+1,200)),"")),IF(ISNUMBER(SEARCH("Party Name:-",'R.M Billets Reports'!D955)),TRIM('R.M Billets Reports'!F955),IF(ISNUMBER(SEARCH("Party Name-",'R.M Billets Reports'!D955)),TRIM(MID('R.M Billets Reports'!D955,SEARCH("-",'R.M Billets Reports'!D955)+1,200)),"")))="SHRI RADHE","SHREE RADHE",IF(IF(IF(ISNUMBER(SEARCH("Party Name:-",'R.M Billets Reports'!D954)),TRIM('R.M Billets Reports'!F954),IF(ISNUMBER(SEARCH("Party Name-",'R.M Billets Reports'!D954)),TRIM(MID('R.M Billets Reports'!D954,SEARCH("-",'R.M Billets Reports'!D954)+1,200)),""))&lt;&gt;"",IF(ISNUMBER(SEARCH("Party Name:-",'R.M Billets Reports'!D954)),TRIM('R.M Billets Reports'!F954),IF(ISNUMBER(SEARCH("Party Name-",'R.M Billets Reports'!D954)),TRIM(MID('R.M Billets Reports'!D954,SEARCH("-",'R.M Billets Reports'!D954)+1,200)),"")),IF(ISNUMBER(SEARCH("Party Name:-",'R.M Billets Reports'!D955)),TRIM('R.M Billets Reports'!F955),IF(ISNUMBER(SEARCH("Party Name-",'R.M Billets Reports'!D955)),TRIM(MID('R.M Billets Reports'!D955,SEARCH("-",'R.M Billets Reports'!D955)+1,200)),"")))="SHREE RADHE SHAKTI SPONGE AND POWER PVT. LTD.","SHREE RADHE",IF(IF(ISNUMBER(SEARCH("Party Name:-",'R.M Billets Reports'!D954)),TRIM('R.M Billets Reports'!F954),IF(ISNUMBER(SEARCH("Party Name-",'R.M Billets Reports'!D954)),TRIM(MID('R.M Billets Reports'!D954,SEARCH("-",'R.M Billets Reports'!D954)+1,200)),""))&lt;&gt;"",IF(ISNUMBER(SEARCH("Party Name:-",'R.M Billets Reports'!D954)),TRIM('R.M Billets Reports'!F954),IF(ISNUMBER(SEARCH("Party Name-",'R.M Billets Reports'!D954)),TRIM(MID('R.M Billets Reports'!D954,SEARCH("-",'R.M Billets Reports'!D954)+1,200)),"")),IF(ISNUMBER(SEARCH("Party Name:-",'R.M Billets Reports'!D955)),TRIM('R.M Billets Reports'!F955),IF(ISNUMBER(SEARCH("Party Name-",'R.M Billets Reports'!D955)),TRIM(MID('R.M Billets Reports'!D955,SEARCH("-",'R.M Billets Reports'!D955)+1,200)),"")))))),IF(ROW()=2,"",A954))</f>
      </c>
      <c r="B955">
        <f>IF(OR('R.M Billets Reports'!A954="Date-",'R.M Billets Reports'!A954="Date:-"),'R.M Billets Reports'!B954,IF(ROW()=2,"",B954))</f>
      </c>
      <c r="C955">
        <f>IF('R.M Billets Reports'!A954="V.No.",'R.M Billets Reports'!B954,IF(ROW()=2,"",C954))</f>
      </c>
      <c r="D955">
        <f>IF('R.M Billets Reports'!A954&lt;&gt;"",'R.M Billets Reports'!A954,IF(ROW()=2,"",D954))</f>
      </c>
      <c r="E955">
        <f>IF('R.M Billets Reports'!B954="","",TRIM('R.M Billets Reports'!B954))</f>
      </c>
      <c r="F955">
        <f>'R.M Billets Reports'!C954</f>
      </c>
      <c r="G955">
        <f>'R.M Billets Reports'!D954</f>
      </c>
      <c r="H955">
        <f>'R.M Billets Reports'!E954</f>
      </c>
      <c r="I955">
        <f>'R.M Billets Reports'!F954</f>
      </c>
      <c r="J955">
        <f>'R.M Billets Reports'!G954</f>
      </c>
      <c r="K955">
        <f>'R.M Billets Reports'!H954</f>
      </c>
      <c r="L955">
        <f>IF('R.M Billets Reports'!I954="","",'R.M Billets Reports'!I954)</f>
      </c>
      <c r="M955">
        <f t="shared" si="28"/>
      </c>
      <c r="N955">
        <f>IF('R.M Billets Reports'!J954="","",'R.M Billets Reports'!J954)</f>
      </c>
      <c r="O955">
        <f t="shared" si="29"/>
      </c>
      <c r="P955">
        <f>IF('R.M Billets Reports'!A954="SIZE",'R.M Billets Reports'!B954,P954)</f>
      </c>
    </row>
    <row r="956" spans="1:16" x14ac:dyDescent="0.25">
      <c r="A956">
        <f>IF(OR('R.M Billets Reports'!A955="Date-",'R.M Billets Reports'!A955="Date:-"),IF(IF(IF(ISNUMBER(SEARCH("Party Name:-",'R.M Billets Reports'!D955)),TRIM('R.M Billets Reports'!F955),IF(ISNUMBER(SEARCH("Party Name-",'R.M Billets Reports'!D955)),TRIM(MID('R.M Billets Reports'!D955,SEARCH("-",'R.M Billets Reports'!D955)+1,200)),""))&lt;&gt;"",IF(ISNUMBER(SEARCH("Party Name:-",'R.M Billets Reports'!D955)),TRIM('R.M Billets Reports'!F955),IF(ISNUMBER(SEARCH("Party Name-",'R.M Billets Reports'!D955)),TRIM(MID('R.M Billets Reports'!D955,SEARCH("-",'R.M Billets Reports'!D955)+1,200)),"")),IF(ISNUMBER(SEARCH("Party Name:-",'R.M Billets Reports'!D956)),TRIM('R.M Billets Reports'!F956),IF(ISNUMBER(SEARCH("Party Name-",'R.M Billets Reports'!D956)),TRIM(MID('R.M Billets Reports'!D956,SEARCH("-",'R.M Billets Reports'!D956)+1,200)),"")))="VRKP ISPAT PVT LTD","VRKP",IF(IF(IF(ISNUMBER(SEARCH("Party Name:-",'R.M Billets Reports'!D955)),TRIM('R.M Billets Reports'!F955),IF(ISNUMBER(SEARCH("Party Name-",'R.M Billets Reports'!D955)),TRIM(MID('R.M Billets Reports'!D955,SEARCH("-",'R.M Billets Reports'!D955)+1,200)),""))&lt;&gt;"",IF(ISNUMBER(SEARCH("Party Name:-",'R.M Billets Reports'!D955)),TRIM('R.M Billets Reports'!F955),IF(ISNUMBER(SEARCH("Party Name-",'R.M Billets Reports'!D955)),TRIM(MID('R.M Billets Reports'!D955,SEARCH("-",'R.M Billets Reports'!D955)+1,200)),"")),IF(ISNUMBER(SEARCH("Party Name:-",'R.M Billets Reports'!D956)),TRIM('R.M Billets Reports'!F956),IF(ISNUMBER(SEARCH("Party Name-",'R.M Billets Reports'!D956)),TRIM(MID('R.M Billets Reports'!D956,SEARCH("-",'R.M Billets Reports'!D956)+1,200)),"")))="SHRI RADHE","SHREE RADHE",IF(IF(IF(ISNUMBER(SEARCH("Party Name:-",'R.M Billets Reports'!D955)),TRIM('R.M Billets Reports'!F955),IF(ISNUMBER(SEARCH("Party Name-",'R.M Billets Reports'!D955)),TRIM(MID('R.M Billets Reports'!D955,SEARCH("-",'R.M Billets Reports'!D955)+1,200)),""))&lt;&gt;"",IF(ISNUMBER(SEARCH("Party Name:-",'R.M Billets Reports'!D955)),TRIM('R.M Billets Reports'!F955),IF(ISNUMBER(SEARCH("Party Name-",'R.M Billets Reports'!D955)),TRIM(MID('R.M Billets Reports'!D955,SEARCH("-",'R.M Billets Reports'!D955)+1,200)),"")),IF(ISNUMBER(SEARCH("Party Name:-",'R.M Billets Reports'!D956)),TRIM('R.M Billets Reports'!F956),IF(ISNUMBER(SEARCH("Party Name-",'R.M Billets Reports'!D956)),TRIM(MID('R.M Billets Reports'!D956,SEARCH("-",'R.M Billets Reports'!D956)+1,200)),"")))="SHREE RADHE SHAKTI SPONGE AND POWER PVT. LTD.","SHREE RADHE",IF(IF(ISNUMBER(SEARCH("Party Name:-",'R.M Billets Reports'!D955)),TRIM('R.M Billets Reports'!F955),IF(ISNUMBER(SEARCH("Party Name-",'R.M Billets Reports'!D955)),TRIM(MID('R.M Billets Reports'!D955,SEARCH("-",'R.M Billets Reports'!D955)+1,200)),""))&lt;&gt;"",IF(ISNUMBER(SEARCH("Party Name:-",'R.M Billets Reports'!D955)),TRIM('R.M Billets Reports'!F955),IF(ISNUMBER(SEARCH("Party Name-",'R.M Billets Reports'!D955)),TRIM(MID('R.M Billets Reports'!D955,SEARCH("-",'R.M Billets Reports'!D955)+1,200)),"")),IF(ISNUMBER(SEARCH("Party Name:-",'R.M Billets Reports'!D956)),TRIM('R.M Billets Reports'!F956),IF(ISNUMBER(SEARCH("Party Name-",'R.M Billets Reports'!D956)),TRIM(MID('R.M Billets Reports'!D956,SEARCH("-",'R.M Billets Reports'!D956)+1,200)),"")))))),IF(ROW()=2,"",A955))</f>
      </c>
      <c r="B956">
        <f>IF(OR('R.M Billets Reports'!A955="Date-",'R.M Billets Reports'!A955="Date:-"),'R.M Billets Reports'!B955,IF(ROW()=2,"",B955))</f>
      </c>
      <c r="C956">
        <f>IF('R.M Billets Reports'!A955="V.No.",'R.M Billets Reports'!B955,IF(ROW()=2,"",C955))</f>
      </c>
      <c r="D956">
        <f>IF('R.M Billets Reports'!A955&lt;&gt;"",'R.M Billets Reports'!A955,IF(ROW()=2,"",D955))</f>
      </c>
      <c r="E956">
        <f>IF('R.M Billets Reports'!B955="","",TRIM('R.M Billets Reports'!B955))</f>
      </c>
      <c r="F956">
        <f>'R.M Billets Reports'!C955</f>
      </c>
      <c r="G956">
        <f>'R.M Billets Reports'!D955</f>
      </c>
      <c r="H956">
        <f>'R.M Billets Reports'!E955</f>
      </c>
      <c r="I956">
        <f>'R.M Billets Reports'!F955</f>
      </c>
      <c r="J956">
        <f>'R.M Billets Reports'!G955</f>
      </c>
      <c r="K956">
        <f>'R.M Billets Reports'!H955</f>
      </c>
      <c r="L956">
        <f>IF('R.M Billets Reports'!I955="","",'R.M Billets Reports'!I955)</f>
      </c>
      <c r="M956">
        <f t="shared" si="28"/>
      </c>
      <c r="N956">
        <f>IF('R.M Billets Reports'!J955="","",'R.M Billets Reports'!J955)</f>
      </c>
      <c r="O956">
        <f t="shared" si="29"/>
      </c>
      <c r="P956">
        <f>IF('R.M Billets Reports'!A955="SIZE",'R.M Billets Reports'!B955,P955)</f>
      </c>
    </row>
    <row r="957" spans="1:16" x14ac:dyDescent="0.25">
      <c r="A957">
        <f>IF(OR('R.M Billets Reports'!A956="Date-",'R.M Billets Reports'!A956="Date:-"),IF(IF(IF(ISNUMBER(SEARCH("Party Name:-",'R.M Billets Reports'!D956)),TRIM('R.M Billets Reports'!F956),IF(ISNUMBER(SEARCH("Party Name-",'R.M Billets Reports'!D956)),TRIM(MID('R.M Billets Reports'!D956,SEARCH("-",'R.M Billets Reports'!D956)+1,200)),""))&lt;&gt;"",IF(ISNUMBER(SEARCH("Party Name:-",'R.M Billets Reports'!D956)),TRIM('R.M Billets Reports'!F956),IF(ISNUMBER(SEARCH("Party Name-",'R.M Billets Reports'!D956)),TRIM(MID('R.M Billets Reports'!D956,SEARCH("-",'R.M Billets Reports'!D956)+1,200)),"")),IF(ISNUMBER(SEARCH("Party Name:-",'R.M Billets Reports'!D957)),TRIM('R.M Billets Reports'!F957),IF(ISNUMBER(SEARCH("Party Name-",'R.M Billets Reports'!D957)),TRIM(MID('R.M Billets Reports'!D957,SEARCH("-",'R.M Billets Reports'!D957)+1,200)),"")))="VRKP ISPAT PVT LTD","VRKP",IF(IF(IF(ISNUMBER(SEARCH("Party Name:-",'R.M Billets Reports'!D956)),TRIM('R.M Billets Reports'!F956),IF(ISNUMBER(SEARCH("Party Name-",'R.M Billets Reports'!D956)),TRIM(MID('R.M Billets Reports'!D956,SEARCH("-",'R.M Billets Reports'!D956)+1,200)),""))&lt;&gt;"",IF(ISNUMBER(SEARCH("Party Name:-",'R.M Billets Reports'!D956)),TRIM('R.M Billets Reports'!F956),IF(ISNUMBER(SEARCH("Party Name-",'R.M Billets Reports'!D956)),TRIM(MID('R.M Billets Reports'!D956,SEARCH("-",'R.M Billets Reports'!D956)+1,200)),"")),IF(ISNUMBER(SEARCH("Party Name:-",'R.M Billets Reports'!D957)),TRIM('R.M Billets Reports'!F957),IF(ISNUMBER(SEARCH("Party Name-",'R.M Billets Reports'!D957)),TRIM(MID('R.M Billets Reports'!D957,SEARCH("-",'R.M Billets Reports'!D957)+1,200)),"")))="SHRI RADHE","SHREE RADHE",IF(IF(IF(ISNUMBER(SEARCH("Party Name:-",'R.M Billets Reports'!D956)),TRIM('R.M Billets Reports'!F956),IF(ISNUMBER(SEARCH("Party Name-",'R.M Billets Reports'!D956)),TRIM(MID('R.M Billets Reports'!D956,SEARCH("-",'R.M Billets Reports'!D956)+1,200)),""))&lt;&gt;"",IF(ISNUMBER(SEARCH("Party Name:-",'R.M Billets Reports'!D956)),TRIM('R.M Billets Reports'!F956),IF(ISNUMBER(SEARCH("Party Name-",'R.M Billets Reports'!D956)),TRIM(MID('R.M Billets Reports'!D956,SEARCH("-",'R.M Billets Reports'!D956)+1,200)),"")),IF(ISNUMBER(SEARCH("Party Name:-",'R.M Billets Reports'!D957)),TRIM('R.M Billets Reports'!F957),IF(ISNUMBER(SEARCH("Party Name-",'R.M Billets Reports'!D957)),TRIM(MID('R.M Billets Reports'!D957,SEARCH("-",'R.M Billets Reports'!D957)+1,200)),"")))="SHREE RADHE SHAKTI SPONGE AND POWER PVT. LTD.","SHREE RADHE",IF(IF(ISNUMBER(SEARCH("Party Name:-",'R.M Billets Reports'!D956)),TRIM('R.M Billets Reports'!F956),IF(ISNUMBER(SEARCH("Party Name-",'R.M Billets Reports'!D956)),TRIM(MID('R.M Billets Reports'!D956,SEARCH("-",'R.M Billets Reports'!D956)+1,200)),""))&lt;&gt;"",IF(ISNUMBER(SEARCH("Party Name:-",'R.M Billets Reports'!D956)),TRIM('R.M Billets Reports'!F956),IF(ISNUMBER(SEARCH("Party Name-",'R.M Billets Reports'!D956)),TRIM(MID('R.M Billets Reports'!D956,SEARCH("-",'R.M Billets Reports'!D956)+1,200)),"")),IF(ISNUMBER(SEARCH("Party Name:-",'R.M Billets Reports'!D957)),TRIM('R.M Billets Reports'!F957),IF(ISNUMBER(SEARCH("Party Name-",'R.M Billets Reports'!D957)),TRIM(MID('R.M Billets Reports'!D957,SEARCH("-",'R.M Billets Reports'!D957)+1,200)),"")))))),IF(ROW()=2,"",A956))</f>
      </c>
      <c r="B957">
        <f>IF(OR('R.M Billets Reports'!A956="Date-",'R.M Billets Reports'!A956="Date:-"),'R.M Billets Reports'!B956,IF(ROW()=2,"",B956))</f>
      </c>
      <c r="C957">
        <f>IF('R.M Billets Reports'!A956="V.No.",'R.M Billets Reports'!B956,IF(ROW()=2,"",C956))</f>
      </c>
      <c r="D957">
        <f>IF('R.M Billets Reports'!A956&lt;&gt;"",'R.M Billets Reports'!A956,IF(ROW()=2,"",D956))</f>
      </c>
      <c r="E957">
        <f>IF('R.M Billets Reports'!B956="","",TRIM('R.M Billets Reports'!B956))</f>
      </c>
      <c r="F957">
        <f>'R.M Billets Reports'!C956</f>
      </c>
      <c r="G957">
        <f>'R.M Billets Reports'!D956</f>
      </c>
      <c r="H957">
        <f>'R.M Billets Reports'!E956</f>
      </c>
      <c r="I957">
        <f>'R.M Billets Reports'!F956</f>
      </c>
      <c r="J957">
        <f>'R.M Billets Reports'!G956</f>
      </c>
      <c r="K957">
        <f>'R.M Billets Reports'!H956</f>
      </c>
      <c r="L957">
        <f>IF('R.M Billets Reports'!I956="","",'R.M Billets Reports'!I956)</f>
      </c>
      <c r="M957">
        <f t="shared" si="28"/>
      </c>
      <c r="N957">
        <f>IF('R.M Billets Reports'!J956="","",'R.M Billets Reports'!J956)</f>
      </c>
      <c r="O957">
        <f t="shared" si="29"/>
      </c>
      <c r="P957">
        <f>IF('R.M Billets Reports'!A956="SIZE",'R.M Billets Reports'!B956,P956)</f>
      </c>
    </row>
    <row r="958" spans="1:16" x14ac:dyDescent="0.25">
      <c r="A958">
        <f>IF(OR('R.M Billets Reports'!A957="Date-",'R.M Billets Reports'!A957="Date:-"),IF(IF(IF(ISNUMBER(SEARCH("Party Name:-",'R.M Billets Reports'!D957)),TRIM('R.M Billets Reports'!F957),IF(ISNUMBER(SEARCH("Party Name-",'R.M Billets Reports'!D957)),TRIM(MID('R.M Billets Reports'!D957,SEARCH("-",'R.M Billets Reports'!D957)+1,200)),""))&lt;&gt;"",IF(ISNUMBER(SEARCH("Party Name:-",'R.M Billets Reports'!D957)),TRIM('R.M Billets Reports'!F957),IF(ISNUMBER(SEARCH("Party Name-",'R.M Billets Reports'!D957)),TRIM(MID('R.M Billets Reports'!D957,SEARCH("-",'R.M Billets Reports'!D957)+1,200)),"")),IF(ISNUMBER(SEARCH("Party Name:-",'R.M Billets Reports'!D958)),TRIM('R.M Billets Reports'!F958),IF(ISNUMBER(SEARCH("Party Name-",'R.M Billets Reports'!D958)),TRIM(MID('R.M Billets Reports'!D958,SEARCH("-",'R.M Billets Reports'!D958)+1,200)),"")))="VRKP ISPAT PVT LTD","VRKP",IF(IF(IF(ISNUMBER(SEARCH("Party Name:-",'R.M Billets Reports'!D957)),TRIM('R.M Billets Reports'!F957),IF(ISNUMBER(SEARCH("Party Name-",'R.M Billets Reports'!D957)),TRIM(MID('R.M Billets Reports'!D957,SEARCH("-",'R.M Billets Reports'!D957)+1,200)),""))&lt;&gt;"",IF(ISNUMBER(SEARCH("Party Name:-",'R.M Billets Reports'!D957)),TRIM('R.M Billets Reports'!F957),IF(ISNUMBER(SEARCH("Party Name-",'R.M Billets Reports'!D957)),TRIM(MID('R.M Billets Reports'!D957,SEARCH("-",'R.M Billets Reports'!D957)+1,200)),"")),IF(ISNUMBER(SEARCH("Party Name:-",'R.M Billets Reports'!D958)),TRIM('R.M Billets Reports'!F958),IF(ISNUMBER(SEARCH("Party Name-",'R.M Billets Reports'!D958)),TRIM(MID('R.M Billets Reports'!D958,SEARCH("-",'R.M Billets Reports'!D958)+1,200)),"")))="SHRI RADHE","SHREE RADHE",IF(IF(IF(ISNUMBER(SEARCH("Party Name:-",'R.M Billets Reports'!D957)),TRIM('R.M Billets Reports'!F957),IF(ISNUMBER(SEARCH("Party Name-",'R.M Billets Reports'!D957)),TRIM(MID('R.M Billets Reports'!D957,SEARCH("-",'R.M Billets Reports'!D957)+1,200)),""))&lt;&gt;"",IF(ISNUMBER(SEARCH("Party Name:-",'R.M Billets Reports'!D957)),TRIM('R.M Billets Reports'!F957),IF(ISNUMBER(SEARCH("Party Name-",'R.M Billets Reports'!D957)),TRIM(MID('R.M Billets Reports'!D957,SEARCH("-",'R.M Billets Reports'!D957)+1,200)),"")),IF(ISNUMBER(SEARCH("Party Name:-",'R.M Billets Reports'!D958)),TRIM('R.M Billets Reports'!F958),IF(ISNUMBER(SEARCH("Party Name-",'R.M Billets Reports'!D958)),TRIM(MID('R.M Billets Reports'!D958,SEARCH("-",'R.M Billets Reports'!D958)+1,200)),"")))="SHREE RADHE SHAKTI SPONGE AND POWER PVT. LTD.","SHREE RADHE",IF(IF(ISNUMBER(SEARCH("Party Name:-",'R.M Billets Reports'!D957)),TRIM('R.M Billets Reports'!F957),IF(ISNUMBER(SEARCH("Party Name-",'R.M Billets Reports'!D957)),TRIM(MID('R.M Billets Reports'!D957,SEARCH("-",'R.M Billets Reports'!D957)+1,200)),""))&lt;&gt;"",IF(ISNUMBER(SEARCH("Party Name:-",'R.M Billets Reports'!D957)),TRIM('R.M Billets Reports'!F957),IF(ISNUMBER(SEARCH("Party Name-",'R.M Billets Reports'!D957)),TRIM(MID('R.M Billets Reports'!D957,SEARCH("-",'R.M Billets Reports'!D957)+1,200)),"")),IF(ISNUMBER(SEARCH("Party Name:-",'R.M Billets Reports'!D958)),TRIM('R.M Billets Reports'!F958),IF(ISNUMBER(SEARCH("Party Name-",'R.M Billets Reports'!D958)),TRIM(MID('R.M Billets Reports'!D958,SEARCH("-",'R.M Billets Reports'!D958)+1,200)),"")))))),IF(ROW()=2,"",A957))</f>
      </c>
      <c r="B958">
        <f>IF(OR('R.M Billets Reports'!A957="Date-",'R.M Billets Reports'!A957="Date:-"),'R.M Billets Reports'!B957,IF(ROW()=2,"",B957))</f>
      </c>
      <c r="C958">
        <f>IF('R.M Billets Reports'!A957="V.No.",'R.M Billets Reports'!B957,IF(ROW()=2,"",C957))</f>
      </c>
      <c r="D958">
        <f>IF('R.M Billets Reports'!A957&lt;&gt;"",'R.M Billets Reports'!A957,IF(ROW()=2,"",D957))</f>
      </c>
      <c r="E958">
        <f>IF('R.M Billets Reports'!B957="","",TRIM('R.M Billets Reports'!B957))</f>
      </c>
      <c r="F958">
        <f>'R.M Billets Reports'!C957</f>
      </c>
      <c r="G958">
        <f>'R.M Billets Reports'!D957</f>
      </c>
      <c r="H958">
        <f>'R.M Billets Reports'!E957</f>
      </c>
      <c r="I958">
        <f>'R.M Billets Reports'!F957</f>
      </c>
      <c r="J958">
        <f>'R.M Billets Reports'!G957</f>
      </c>
      <c r="K958">
        <f>'R.M Billets Reports'!H957</f>
      </c>
      <c r="L958">
        <f>IF('R.M Billets Reports'!I957="","",'R.M Billets Reports'!I957)</f>
      </c>
      <c r="M958">
        <f t="shared" si="28"/>
      </c>
      <c r="N958">
        <f>IF('R.M Billets Reports'!J957="","",'R.M Billets Reports'!J957)</f>
      </c>
      <c r="O958">
        <f t="shared" si="29"/>
      </c>
      <c r="P958">
        <f>IF('R.M Billets Reports'!A957="SIZE",'R.M Billets Reports'!B957,P957)</f>
      </c>
    </row>
    <row r="959" spans="1:16" x14ac:dyDescent="0.25">
      <c r="A959">
        <f>IF(OR('R.M Billets Reports'!A958="Date-",'R.M Billets Reports'!A958="Date:-"),IF(IF(IF(ISNUMBER(SEARCH("Party Name:-",'R.M Billets Reports'!D958)),TRIM('R.M Billets Reports'!F958),IF(ISNUMBER(SEARCH("Party Name-",'R.M Billets Reports'!D958)),TRIM(MID('R.M Billets Reports'!D958,SEARCH("-",'R.M Billets Reports'!D958)+1,200)),""))&lt;&gt;"",IF(ISNUMBER(SEARCH("Party Name:-",'R.M Billets Reports'!D958)),TRIM('R.M Billets Reports'!F958),IF(ISNUMBER(SEARCH("Party Name-",'R.M Billets Reports'!D958)),TRIM(MID('R.M Billets Reports'!D958,SEARCH("-",'R.M Billets Reports'!D958)+1,200)),"")),IF(ISNUMBER(SEARCH("Party Name:-",'R.M Billets Reports'!D959)),TRIM('R.M Billets Reports'!F959),IF(ISNUMBER(SEARCH("Party Name-",'R.M Billets Reports'!D959)),TRIM(MID('R.M Billets Reports'!D959,SEARCH("-",'R.M Billets Reports'!D959)+1,200)),"")))="VRKP ISPAT PVT LTD","VRKP",IF(IF(IF(ISNUMBER(SEARCH("Party Name:-",'R.M Billets Reports'!D958)),TRIM('R.M Billets Reports'!F958),IF(ISNUMBER(SEARCH("Party Name-",'R.M Billets Reports'!D958)),TRIM(MID('R.M Billets Reports'!D958,SEARCH("-",'R.M Billets Reports'!D958)+1,200)),""))&lt;&gt;"",IF(ISNUMBER(SEARCH("Party Name:-",'R.M Billets Reports'!D958)),TRIM('R.M Billets Reports'!F958),IF(ISNUMBER(SEARCH("Party Name-",'R.M Billets Reports'!D958)),TRIM(MID('R.M Billets Reports'!D958,SEARCH("-",'R.M Billets Reports'!D958)+1,200)),"")),IF(ISNUMBER(SEARCH("Party Name:-",'R.M Billets Reports'!D959)),TRIM('R.M Billets Reports'!F959),IF(ISNUMBER(SEARCH("Party Name-",'R.M Billets Reports'!D959)),TRIM(MID('R.M Billets Reports'!D959,SEARCH("-",'R.M Billets Reports'!D959)+1,200)),"")))="SHRI RADHE","SHREE RADHE",IF(IF(IF(ISNUMBER(SEARCH("Party Name:-",'R.M Billets Reports'!D958)),TRIM('R.M Billets Reports'!F958),IF(ISNUMBER(SEARCH("Party Name-",'R.M Billets Reports'!D958)),TRIM(MID('R.M Billets Reports'!D958,SEARCH("-",'R.M Billets Reports'!D958)+1,200)),""))&lt;&gt;"",IF(ISNUMBER(SEARCH("Party Name:-",'R.M Billets Reports'!D958)),TRIM('R.M Billets Reports'!F958),IF(ISNUMBER(SEARCH("Party Name-",'R.M Billets Reports'!D958)),TRIM(MID('R.M Billets Reports'!D958,SEARCH("-",'R.M Billets Reports'!D958)+1,200)),"")),IF(ISNUMBER(SEARCH("Party Name:-",'R.M Billets Reports'!D959)),TRIM('R.M Billets Reports'!F959),IF(ISNUMBER(SEARCH("Party Name-",'R.M Billets Reports'!D959)),TRIM(MID('R.M Billets Reports'!D959,SEARCH("-",'R.M Billets Reports'!D959)+1,200)),"")))="SHREE RADHE SHAKTI SPONGE AND POWER PVT. LTD.","SHREE RADHE",IF(IF(ISNUMBER(SEARCH("Party Name:-",'R.M Billets Reports'!D958)),TRIM('R.M Billets Reports'!F958),IF(ISNUMBER(SEARCH("Party Name-",'R.M Billets Reports'!D958)),TRIM(MID('R.M Billets Reports'!D958,SEARCH("-",'R.M Billets Reports'!D958)+1,200)),""))&lt;&gt;"",IF(ISNUMBER(SEARCH("Party Name:-",'R.M Billets Reports'!D958)),TRIM('R.M Billets Reports'!F958),IF(ISNUMBER(SEARCH("Party Name-",'R.M Billets Reports'!D958)),TRIM(MID('R.M Billets Reports'!D958,SEARCH("-",'R.M Billets Reports'!D958)+1,200)),"")),IF(ISNUMBER(SEARCH("Party Name:-",'R.M Billets Reports'!D959)),TRIM('R.M Billets Reports'!F959),IF(ISNUMBER(SEARCH("Party Name-",'R.M Billets Reports'!D959)),TRIM(MID('R.M Billets Reports'!D959,SEARCH("-",'R.M Billets Reports'!D959)+1,200)),"")))))),IF(ROW()=2,"",A958))</f>
      </c>
      <c r="B959">
        <f>IF(OR('R.M Billets Reports'!A958="Date-",'R.M Billets Reports'!A958="Date:-"),'R.M Billets Reports'!B958,IF(ROW()=2,"",B958))</f>
      </c>
      <c r="C959">
        <f>IF('R.M Billets Reports'!A958="V.No.",'R.M Billets Reports'!B958,IF(ROW()=2,"",C958))</f>
      </c>
      <c r="D959">
        <f>IF('R.M Billets Reports'!A958&lt;&gt;"",'R.M Billets Reports'!A958,IF(ROW()=2,"",D958))</f>
      </c>
      <c r="E959">
        <f>IF('R.M Billets Reports'!B958="","",TRIM('R.M Billets Reports'!B958))</f>
      </c>
      <c r="F959">
        <f>'R.M Billets Reports'!C958</f>
      </c>
      <c r="G959">
        <f>'R.M Billets Reports'!D958</f>
      </c>
      <c r="H959">
        <f>'R.M Billets Reports'!E958</f>
      </c>
      <c r="I959">
        <f>'R.M Billets Reports'!F958</f>
      </c>
      <c r="J959">
        <f>'R.M Billets Reports'!G958</f>
      </c>
      <c r="K959">
        <f>'R.M Billets Reports'!H958</f>
      </c>
      <c r="L959">
        <f>IF('R.M Billets Reports'!I958="","",'R.M Billets Reports'!I958)</f>
      </c>
      <c r="M959">
        <f t="shared" si="28"/>
      </c>
      <c r="N959">
        <f>IF('R.M Billets Reports'!J958="","",'R.M Billets Reports'!J958)</f>
      </c>
      <c r="O959">
        <f t="shared" si="29"/>
      </c>
      <c r="P959">
        <f>IF('R.M Billets Reports'!A958="SIZE",'R.M Billets Reports'!B958,P958)</f>
      </c>
    </row>
    <row r="960" spans="1:16" x14ac:dyDescent="0.25">
      <c r="A960">
        <f>IF(OR('R.M Billets Reports'!A959="Date-",'R.M Billets Reports'!A959="Date:-"),IF(IF(IF(ISNUMBER(SEARCH("Party Name:-",'R.M Billets Reports'!D959)),TRIM('R.M Billets Reports'!F959),IF(ISNUMBER(SEARCH("Party Name-",'R.M Billets Reports'!D959)),TRIM(MID('R.M Billets Reports'!D959,SEARCH("-",'R.M Billets Reports'!D959)+1,200)),""))&lt;&gt;"",IF(ISNUMBER(SEARCH("Party Name:-",'R.M Billets Reports'!D959)),TRIM('R.M Billets Reports'!F959),IF(ISNUMBER(SEARCH("Party Name-",'R.M Billets Reports'!D959)),TRIM(MID('R.M Billets Reports'!D959,SEARCH("-",'R.M Billets Reports'!D959)+1,200)),"")),IF(ISNUMBER(SEARCH("Party Name:-",'R.M Billets Reports'!D960)),TRIM('R.M Billets Reports'!F960),IF(ISNUMBER(SEARCH("Party Name-",'R.M Billets Reports'!D960)),TRIM(MID('R.M Billets Reports'!D960,SEARCH("-",'R.M Billets Reports'!D960)+1,200)),"")))="VRKP ISPAT PVT LTD","VRKP",IF(IF(IF(ISNUMBER(SEARCH("Party Name:-",'R.M Billets Reports'!D959)),TRIM('R.M Billets Reports'!F959),IF(ISNUMBER(SEARCH("Party Name-",'R.M Billets Reports'!D959)),TRIM(MID('R.M Billets Reports'!D959,SEARCH("-",'R.M Billets Reports'!D959)+1,200)),""))&lt;&gt;"",IF(ISNUMBER(SEARCH("Party Name:-",'R.M Billets Reports'!D959)),TRIM('R.M Billets Reports'!F959),IF(ISNUMBER(SEARCH("Party Name-",'R.M Billets Reports'!D959)),TRIM(MID('R.M Billets Reports'!D959,SEARCH("-",'R.M Billets Reports'!D959)+1,200)),"")),IF(ISNUMBER(SEARCH("Party Name:-",'R.M Billets Reports'!D960)),TRIM('R.M Billets Reports'!F960),IF(ISNUMBER(SEARCH("Party Name-",'R.M Billets Reports'!D960)),TRIM(MID('R.M Billets Reports'!D960,SEARCH("-",'R.M Billets Reports'!D960)+1,200)),"")))="SHRI RADHE","SHREE RADHE",IF(IF(IF(ISNUMBER(SEARCH("Party Name:-",'R.M Billets Reports'!D959)),TRIM('R.M Billets Reports'!F959),IF(ISNUMBER(SEARCH("Party Name-",'R.M Billets Reports'!D959)),TRIM(MID('R.M Billets Reports'!D959,SEARCH("-",'R.M Billets Reports'!D959)+1,200)),""))&lt;&gt;"",IF(ISNUMBER(SEARCH("Party Name:-",'R.M Billets Reports'!D959)),TRIM('R.M Billets Reports'!F959),IF(ISNUMBER(SEARCH("Party Name-",'R.M Billets Reports'!D959)),TRIM(MID('R.M Billets Reports'!D959,SEARCH("-",'R.M Billets Reports'!D959)+1,200)),"")),IF(ISNUMBER(SEARCH("Party Name:-",'R.M Billets Reports'!D960)),TRIM('R.M Billets Reports'!F960),IF(ISNUMBER(SEARCH("Party Name-",'R.M Billets Reports'!D960)),TRIM(MID('R.M Billets Reports'!D960,SEARCH("-",'R.M Billets Reports'!D960)+1,200)),"")))="SHREE RADHE SHAKTI SPONGE AND POWER PVT. LTD.","SHREE RADHE",IF(IF(ISNUMBER(SEARCH("Party Name:-",'R.M Billets Reports'!D959)),TRIM('R.M Billets Reports'!F959),IF(ISNUMBER(SEARCH("Party Name-",'R.M Billets Reports'!D959)),TRIM(MID('R.M Billets Reports'!D959,SEARCH("-",'R.M Billets Reports'!D959)+1,200)),""))&lt;&gt;"",IF(ISNUMBER(SEARCH("Party Name:-",'R.M Billets Reports'!D959)),TRIM('R.M Billets Reports'!F959),IF(ISNUMBER(SEARCH("Party Name-",'R.M Billets Reports'!D959)),TRIM(MID('R.M Billets Reports'!D959,SEARCH("-",'R.M Billets Reports'!D959)+1,200)),"")),IF(ISNUMBER(SEARCH("Party Name:-",'R.M Billets Reports'!D960)),TRIM('R.M Billets Reports'!F960),IF(ISNUMBER(SEARCH("Party Name-",'R.M Billets Reports'!D960)),TRIM(MID('R.M Billets Reports'!D960,SEARCH("-",'R.M Billets Reports'!D960)+1,200)),"")))))),IF(ROW()=2,"",A959))</f>
      </c>
      <c r="B960">
        <f>IF(OR('R.M Billets Reports'!A959="Date-",'R.M Billets Reports'!A959="Date:-"),'R.M Billets Reports'!B959,IF(ROW()=2,"",B959))</f>
      </c>
      <c r="C960">
        <f>IF('R.M Billets Reports'!A959="V.No.",'R.M Billets Reports'!B959,IF(ROW()=2,"",C959))</f>
      </c>
      <c r="D960">
        <f>IF('R.M Billets Reports'!A959&lt;&gt;"",'R.M Billets Reports'!A959,IF(ROW()=2,"",D959))</f>
      </c>
      <c r="E960">
        <f>IF('R.M Billets Reports'!B959="","",TRIM('R.M Billets Reports'!B959))</f>
      </c>
      <c r="F960">
        <f>'R.M Billets Reports'!C959</f>
      </c>
      <c r="G960">
        <f>'R.M Billets Reports'!D959</f>
      </c>
      <c r="H960">
        <f>'R.M Billets Reports'!E959</f>
      </c>
      <c r="I960">
        <f>'R.M Billets Reports'!F959</f>
      </c>
      <c r="J960">
        <f>'R.M Billets Reports'!G959</f>
      </c>
      <c r="K960">
        <f>'R.M Billets Reports'!H959</f>
      </c>
      <c r="L960">
        <f>IF('R.M Billets Reports'!I959="","",'R.M Billets Reports'!I959)</f>
      </c>
      <c r="M960">
        <f t="shared" si="28"/>
      </c>
      <c r="N960">
        <f>IF('R.M Billets Reports'!J959="","",'R.M Billets Reports'!J959)</f>
      </c>
      <c r="O960">
        <f t="shared" si="29"/>
      </c>
      <c r="P960">
        <f>IF('R.M Billets Reports'!A959="SIZE",'R.M Billets Reports'!B959,P959)</f>
      </c>
    </row>
    <row r="961" spans="1:16" x14ac:dyDescent="0.25">
      <c r="A961">
        <f>IF(OR('R.M Billets Reports'!A960="Date-",'R.M Billets Reports'!A960="Date:-"),IF(IF(IF(ISNUMBER(SEARCH("Party Name:-",'R.M Billets Reports'!D960)),TRIM('R.M Billets Reports'!F960),IF(ISNUMBER(SEARCH("Party Name-",'R.M Billets Reports'!D960)),TRIM(MID('R.M Billets Reports'!D960,SEARCH("-",'R.M Billets Reports'!D960)+1,200)),""))&lt;&gt;"",IF(ISNUMBER(SEARCH("Party Name:-",'R.M Billets Reports'!D960)),TRIM('R.M Billets Reports'!F960),IF(ISNUMBER(SEARCH("Party Name-",'R.M Billets Reports'!D960)),TRIM(MID('R.M Billets Reports'!D960,SEARCH("-",'R.M Billets Reports'!D960)+1,200)),"")),IF(ISNUMBER(SEARCH("Party Name:-",'R.M Billets Reports'!D961)),TRIM('R.M Billets Reports'!F961),IF(ISNUMBER(SEARCH("Party Name-",'R.M Billets Reports'!D961)),TRIM(MID('R.M Billets Reports'!D961,SEARCH("-",'R.M Billets Reports'!D961)+1,200)),"")))="VRKP ISPAT PVT LTD","VRKP",IF(IF(IF(ISNUMBER(SEARCH("Party Name:-",'R.M Billets Reports'!D960)),TRIM('R.M Billets Reports'!F960),IF(ISNUMBER(SEARCH("Party Name-",'R.M Billets Reports'!D960)),TRIM(MID('R.M Billets Reports'!D960,SEARCH("-",'R.M Billets Reports'!D960)+1,200)),""))&lt;&gt;"",IF(ISNUMBER(SEARCH("Party Name:-",'R.M Billets Reports'!D960)),TRIM('R.M Billets Reports'!F960),IF(ISNUMBER(SEARCH("Party Name-",'R.M Billets Reports'!D960)),TRIM(MID('R.M Billets Reports'!D960,SEARCH("-",'R.M Billets Reports'!D960)+1,200)),"")),IF(ISNUMBER(SEARCH("Party Name:-",'R.M Billets Reports'!D961)),TRIM('R.M Billets Reports'!F961),IF(ISNUMBER(SEARCH("Party Name-",'R.M Billets Reports'!D961)),TRIM(MID('R.M Billets Reports'!D961,SEARCH("-",'R.M Billets Reports'!D961)+1,200)),"")))="SHRI RADHE","SHREE RADHE",IF(IF(IF(ISNUMBER(SEARCH("Party Name:-",'R.M Billets Reports'!D960)),TRIM('R.M Billets Reports'!F960),IF(ISNUMBER(SEARCH("Party Name-",'R.M Billets Reports'!D960)),TRIM(MID('R.M Billets Reports'!D960,SEARCH("-",'R.M Billets Reports'!D960)+1,200)),""))&lt;&gt;"",IF(ISNUMBER(SEARCH("Party Name:-",'R.M Billets Reports'!D960)),TRIM('R.M Billets Reports'!F960),IF(ISNUMBER(SEARCH("Party Name-",'R.M Billets Reports'!D960)),TRIM(MID('R.M Billets Reports'!D960,SEARCH("-",'R.M Billets Reports'!D960)+1,200)),"")),IF(ISNUMBER(SEARCH("Party Name:-",'R.M Billets Reports'!D961)),TRIM('R.M Billets Reports'!F961),IF(ISNUMBER(SEARCH("Party Name-",'R.M Billets Reports'!D961)),TRIM(MID('R.M Billets Reports'!D961,SEARCH("-",'R.M Billets Reports'!D961)+1,200)),"")))="SHREE RADHE SHAKTI SPONGE AND POWER PVT. LTD.","SHREE RADHE",IF(IF(ISNUMBER(SEARCH("Party Name:-",'R.M Billets Reports'!D960)),TRIM('R.M Billets Reports'!F960),IF(ISNUMBER(SEARCH("Party Name-",'R.M Billets Reports'!D960)),TRIM(MID('R.M Billets Reports'!D960,SEARCH("-",'R.M Billets Reports'!D960)+1,200)),""))&lt;&gt;"",IF(ISNUMBER(SEARCH("Party Name:-",'R.M Billets Reports'!D960)),TRIM('R.M Billets Reports'!F960),IF(ISNUMBER(SEARCH("Party Name-",'R.M Billets Reports'!D960)),TRIM(MID('R.M Billets Reports'!D960,SEARCH("-",'R.M Billets Reports'!D960)+1,200)),"")),IF(ISNUMBER(SEARCH("Party Name:-",'R.M Billets Reports'!D961)),TRIM('R.M Billets Reports'!F961),IF(ISNUMBER(SEARCH("Party Name-",'R.M Billets Reports'!D961)),TRIM(MID('R.M Billets Reports'!D961,SEARCH("-",'R.M Billets Reports'!D961)+1,200)),"")))))),IF(ROW()=2,"",A960))</f>
      </c>
      <c r="B961">
        <f>IF(OR('R.M Billets Reports'!A960="Date-",'R.M Billets Reports'!A960="Date:-"),'R.M Billets Reports'!B960,IF(ROW()=2,"",B960))</f>
      </c>
      <c r="C961">
        <f>IF('R.M Billets Reports'!A960="V.No.",'R.M Billets Reports'!B960,IF(ROW()=2,"",C960))</f>
      </c>
      <c r="D961">
        <f>IF('R.M Billets Reports'!A960&lt;&gt;"",'R.M Billets Reports'!A960,IF(ROW()=2,"",D960))</f>
      </c>
      <c r="E961">
        <f>IF('R.M Billets Reports'!B960="","",TRIM('R.M Billets Reports'!B960))</f>
      </c>
      <c r="F961">
        <f>'R.M Billets Reports'!C960</f>
      </c>
      <c r="G961">
        <f>'R.M Billets Reports'!D960</f>
      </c>
      <c r="H961">
        <f>'R.M Billets Reports'!E960</f>
      </c>
      <c r="I961">
        <f>'R.M Billets Reports'!F960</f>
      </c>
      <c r="J961">
        <f>'R.M Billets Reports'!G960</f>
      </c>
      <c r="K961">
        <f>'R.M Billets Reports'!H960</f>
      </c>
      <c r="L961">
        <f>IF('R.M Billets Reports'!I960="","",'R.M Billets Reports'!I960)</f>
      </c>
      <c r="M961">
        <f t="shared" si="28"/>
      </c>
      <c r="N961">
        <f>IF('R.M Billets Reports'!J960="","",'R.M Billets Reports'!J960)</f>
      </c>
      <c r="O961">
        <f t="shared" si="29"/>
      </c>
      <c r="P961">
        <f>IF('R.M Billets Reports'!A960="SIZE",'R.M Billets Reports'!B960,P960)</f>
      </c>
    </row>
    <row r="962" spans="1:16" x14ac:dyDescent="0.25">
      <c r="A962">
        <f>IF(OR('R.M Billets Reports'!A961="Date-",'R.M Billets Reports'!A961="Date:-"),IF(IF(IF(ISNUMBER(SEARCH("Party Name:-",'R.M Billets Reports'!D961)),TRIM('R.M Billets Reports'!F961),IF(ISNUMBER(SEARCH("Party Name-",'R.M Billets Reports'!D961)),TRIM(MID('R.M Billets Reports'!D961,SEARCH("-",'R.M Billets Reports'!D961)+1,200)),""))&lt;&gt;"",IF(ISNUMBER(SEARCH("Party Name:-",'R.M Billets Reports'!D961)),TRIM('R.M Billets Reports'!F961),IF(ISNUMBER(SEARCH("Party Name-",'R.M Billets Reports'!D961)),TRIM(MID('R.M Billets Reports'!D961,SEARCH("-",'R.M Billets Reports'!D961)+1,200)),"")),IF(ISNUMBER(SEARCH("Party Name:-",'R.M Billets Reports'!D962)),TRIM('R.M Billets Reports'!F962),IF(ISNUMBER(SEARCH("Party Name-",'R.M Billets Reports'!D962)),TRIM(MID('R.M Billets Reports'!D962,SEARCH("-",'R.M Billets Reports'!D962)+1,200)),"")))="VRKP ISPAT PVT LTD","VRKP",IF(IF(IF(ISNUMBER(SEARCH("Party Name:-",'R.M Billets Reports'!D961)),TRIM('R.M Billets Reports'!F961),IF(ISNUMBER(SEARCH("Party Name-",'R.M Billets Reports'!D961)),TRIM(MID('R.M Billets Reports'!D961,SEARCH("-",'R.M Billets Reports'!D961)+1,200)),""))&lt;&gt;"",IF(ISNUMBER(SEARCH("Party Name:-",'R.M Billets Reports'!D961)),TRIM('R.M Billets Reports'!F961),IF(ISNUMBER(SEARCH("Party Name-",'R.M Billets Reports'!D961)),TRIM(MID('R.M Billets Reports'!D961,SEARCH("-",'R.M Billets Reports'!D961)+1,200)),"")),IF(ISNUMBER(SEARCH("Party Name:-",'R.M Billets Reports'!D962)),TRIM('R.M Billets Reports'!F962),IF(ISNUMBER(SEARCH("Party Name-",'R.M Billets Reports'!D962)),TRIM(MID('R.M Billets Reports'!D962,SEARCH("-",'R.M Billets Reports'!D962)+1,200)),"")))="SHRI RADHE","SHREE RADHE",IF(IF(IF(ISNUMBER(SEARCH("Party Name:-",'R.M Billets Reports'!D961)),TRIM('R.M Billets Reports'!F961),IF(ISNUMBER(SEARCH("Party Name-",'R.M Billets Reports'!D961)),TRIM(MID('R.M Billets Reports'!D961,SEARCH("-",'R.M Billets Reports'!D961)+1,200)),""))&lt;&gt;"",IF(ISNUMBER(SEARCH("Party Name:-",'R.M Billets Reports'!D961)),TRIM('R.M Billets Reports'!F961),IF(ISNUMBER(SEARCH("Party Name-",'R.M Billets Reports'!D961)),TRIM(MID('R.M Billets Reports'!D961,SEARCH("-",'R.M Billets Reports'!D961)+1,200)),"")),IF(ISNUMBER(SEARCH("Party Name:-",'R.M Billets Reports'!D962)),TRIM('R.M Billets Reports'!F962),IF(ISNUMBER(SEARCH("Party Name-",'R.M Billets Reports'!D962)),TRIM(MID('R.M Billets Reports'!D962,SEARCH("-",'R.M Billets Reports'!D962)+1,200)),"")))="SHREE RADHE SHAKTI SPONGE AND POWER PVT. LTD.","SHREE RADHE",IF(IF(ISNUMBER(SEARCH("Party Name:-",'R.M Billets Reports'!D961)),TRIM('R.M Billets Reports'!F961),IF(ISNUMBER(SEARCH("Party Name-",'R.M Billets Reports'!D961)),TRIM(MID('R.M Billets Reports'!D961,SEARCH("-",'R.M Billets Reports'!D961)+1,200)),""))&lt;&gt;"",IF(ISNUMBER(SEARCH("Party Name:-",'R.M Billets Reports'!D961)),TRIM('R.M Billets Reports'!F961),IF(ISNUMBER(SEARCH("Party Name-",'R.M Billets Reports'!D961)),TRIM(MID('R.M Billets Reports'!D961,SEARCH("-",'R.M Billets Reports'!D961)+1,200)),"")),IF(ISNUMBER(SEARCH("Party Name:-",'R.M Billets Reports'!D962)),TRIM('R.M Billets Reports'!F962),IF(ISNUMBER(SEARCH("Party Name-",'R.M Billets Reports'!D962)),TRIM(MID('R.M Billets Reports'!D962,SEARCH("-",'R.M Billets Reports'!D962)+1,200)),"")))))),IF(ROW()=2,"",A961))</f>
      </c>
      <c r="B962">
        <f>IF(OR('R.M Billets Reports'!A961="Date-",'R.M Billets Reports'!A961="Date:-"),'R.M Billets Reports'!B961,IF(ROW()=2,"",B961))</f>
      </c>
      <c r="C962">
        <f>IF('R.M Billets Reports'!A961="V.No.",'R.M Billets Reports'!B961,IF(ROW()=2,"",C961))</f>
      </c>
      <c r="D962">
        <f>IF('R.M Billets Reports'!A961&lt;&gt;"",'R.M Billets Reports'!A961,IF(ROW()=2,"",D961))</f>
      </c>
      <c r="E962">
        <f>IF('R.M Billets Reports'!B961="","",TRIM('R.M Billets Reports'!B961))</f>
      </c>
      <c r="F962">
        <f>'R.M Billets Reports'!C961</f>
      </c>
      <c r="G962">
        <f>'R.M Billets Reports'!D961</f>
      </c>
      <c r="H962">
        <f>'R.M Billets Reports'!E961</f>
      </c>
      <c r="I962">
        <f>'R.M Billets Reports'!F961</f>
      </c>
      <c r="J962">
        <f>'R.M Billets Reports'!G961</f>
      </c>
      <c r="K962">
        <f>'R.M Billets Reports'!H961</f>
      </c>
      <c r="L962">
        <f>IF('R.M Billets Reports'!I961="","",'R.M Billets Reports'!I961)</f>
      </c>
      <c r="M962">
        <f t="shared" si="28"/>
      </c>
      <c r="N962">
        <f>IF('R.M Billets Reports'!J961="","",'R.M Billets Reports'!J961)</f>
      </c>
      <c r="O962">
        <f t="shared" si="29"/>
      </c>
      <c r="P962">
        <f>IF('R.M Billets Reports'!A961="SIZE",'R.M Billets Reports'!B961,P961)</f>
      </c>
    </row>
    <row r="963" spans="1:16" x14ac:dyDescent="0.25">
      <c r="A963">
        <f>IF(OR('R.M Billets Reports'!A962="Date-",'R.M Billets Reports'!A962="Date:-"),IF(IF(IF(ISNUMBER(SEARCH("Party Name:-",'R.M Billets Reports'!D962)),TRIM('R.M Billets Reports'!F962),IF(ISNUMBER(SEARCH("Party Name-",'R.M Billets Reports'!D962)),TRIM(MID('R.M Billets Reports'!D962,SEARCH("-",'R.M Billets Reports'!D962)+1,200)),""))&lt;&gt;"",IF(ISNUMBER(SEARCH("Party Name:-",'R.M Billets Reports'!D962)),TRIM('R.M Billets Reports'!F962),IF(ISNUMBER(SEARCH("Party Name-",'R.M Billets Reports'!D962)),TRIM(MID('R.M Billets Reports'!D962,SEARCH("-",'R.M Billets Reports'!D962)+1,200)),"")),IF(ISNUMBER(SEARCH("Party Name:-",'R.M Billets Reports'!D963)),TRIM('R.M Billets Reports'!F963),IF(ISNUMBER(SEARCH("Party Name-",'R.M Billets Reports'!D963)),TRIM(MID('R.M Billets Reports'!D963,SEARCH("-",'R.M Billets Reports'!D963)+1,200)),"")))="VRKP ISPAT PVT LTD","VRKP",IF(IF(IF(ISNUMBER(SEARCH("Party Name:-",'R.M Billets Reports'!D962)),TRIM('R.M Billets Reports'!F962),IF(ISNUMBER(SEARCH("Party Name-",'R.M Billets Reports'!D962)),TRIM(MID('R.M Billets Reports'!D962,SEARCH("-",'R.M Billets Reports'!D962)+1,200)),""))&lt;&gt;"",IF(ISNUMBER(SEARCH("Party Name:-",'R.M Billets Reports'!D962)),TRIM('R.M Billets Reports'!F962),IF(ISNUMBER(SEARCH("Party Name-",'R.M Billets Reports'!D962)),TRIM(MID('R.M Billets Reports'!D962,SEARCH("-",'R.M Billets Reports'!D962)+1,200)),"")),IF(ISNUMBER(SEARCH("Party Name:-",'R.M Billets Reports'!D963)),TRIM('R.M Billets Reports'!F963),IF(ISNUMBER(SEARCH("Party Name-",'R.M Billets Reports'!D963)),TRIM(MID('R.M Billets Reports'!D963,SEARCH("-",'R.M Billets Reports'!D963)+1,200)),"")))="SHRI RADHE","SHREE RADHE",IF(IF(IF(ISNUMBER(SEARCH("Party Name:-",'R.M Billets Reports'!D962)),TRIM('R.M Billets Reports'!F962),IF(ISNUMBER(SEARCH("Party Name-",'R.M Billets Reports'!D962)),TRIM(MID('R.M Billets Reports'!D962,SEARCH("-",'R.M Billets Reports'!D962)+1,200)),""))&lt;&gt;"",IF(ISNUMBER(SEARCH("Party Name:-",'R.M Billets Reports'!D962)),TRIM('R.M Billets Reports'!F962),IF(ISNUMBER(SEARCH("Party Name-",'R.M Billets Reports'!D962)),TRIM(MID('R.M Billets Reports'!D962,SEARCH("-",'R.M Billets Reports'!D962)+1,200)),"")),IF(ISNUMBER(SEARCH("Party Name:-",'R.M Billets Reports'!D963)),TRIM('R.M Billets Reports'!F963),IF(ISNUMBER(SEARCH("Party Name-",'R.M Billets Reports'!D963)),TRIM(MID('R.M Billets Reports'!D963,SEARCH("-",'R.M Billets Reports'!D963)+1,200)),"")))="SHREE RADHE SHAKTI SPONGE AND POWER PVT. LTD.","SHREE RADHE",IF(IF(ISNUMBER(SEARCH("Party Name:-",'R.M Billets Reports'!D962)),TRIM('R.M Billets Reports'!F962),IF(ISNUMBER(SEARCH("Party Name-",'R.M Billets Reports'!D962)),TRIM(MID('R.M Billets Reports'!D962,SEARCH("-",'R.M Billets Reports'!D962)+1,200)),""))&lt;&gt;"",IF(ISNUMBER(SEARCH("Party Name:-",'R.M Billets Reports'!D962)),TRIM('R.M Billets Reports'!F962),IF(ISNUMBER(SEARCH("Party Name-",'R.M Billets Reports'!D962)),TRIM(MID('R.M Billets Reports'!D962,SEARCH("-",'R.M Billets Reports'!D962)+1,200)),"")),IF(ISNUMBER(SEARCH("Party Name:-",'R.M Billets Reports'!D963)),TRIM('R.M Billets Reports'!F963),IF(ISNUMBER(SEARCH("Party Name-",'R.M Billets Reports'!D963)),TRIM(MID('R.M Billets Reports'!D963,SEARCH("-",'R.M Billets Reports'!D963)+1,200)),"")))))),IF(ROW()=2,"",A962))</f>
      </c>
      <c r="B963">
        <f>IF(OR('R.M Billets Reports'!A962="Date-",'R.M Billets Reports'!A962="Date:-"),'R.M Billets Reports'!B962,IF(ROW()=2,"",B962))</f>
      </c>
      <c r="C963">
        <f>IF('R.M Billets Reports'!A962="V.No.",'R.M Billets Reports'!B962,IF(ROW()=2,"",C962))</f>
      </c>
      <c r="D963">
        <f>IF('R.M Billets Reports'!A962&lt;&gt;"",'R.M Billets Reports'!A962,IF(ROW()=2,"",D962))</f>
      </c>
      <c r="E963">
        <f>IF('R.M Billets Reports'!B962="","",TRIM('R.M Billets Reports'!B962))</f>
      </c>
      <c r="F963">
        <f>'R.M Billets Reports'!C962</f>
      </c>
      <c r="G963">
        <f>'R.M Billets Reports'!D962</f>
      </c>
      <c r="H963">
        <f>'R.M Billets Reports'!E962</f>
      </c>
      <c r="I963">
        <f>'R.M Billets Reports'!F962</f>
      </c>
      <c r="J963">
        <f>'R.M Billets Reports'!G962</f>
      </c>
      <c r="K963">
        <f>'R.M Billets Reports'!H962</f>
      </c>
      <c r="L963">
        <f>IF('R.M Billets Reports'!I962="","",'R.M Billets Reports'!I962)</f>
      </c>
      <c r="M963">
        <f t="shared" ref="M963:M1026" si="30">IF(L963&lt;&gt;"",L963,IF(D963=D962,M962,""))</f>
      </c>
      <c r="N963">
        <f>IF('R.M Billets Reports'!J962="","",'R.M Billets Reports'!J962)</f>
      </c>
      <c r="O963">
        <f t="shared" ref="O963:O1026" si="31">IF(N963&lt;&gt;"",N963,IF(D963=D962,O962,""))</f>
      </c>
      <c r="P963">
        <f>IF('R.M Billets Reports'!A962="SIZE",'R.M Billets Reports'!B962,P962)</f>
      </c>
    </row>
    <row r="964" spans="1:16" x14ac:dyDescent="0.25">
      <c r="A964">
        <f>IF(OR('R.M Billets Reports'!A963="Date-",'R.M Billets Reports'!A963="Date:-"),IF(IF(IF(ISNUMBER(SEARCH("Party Name:-",'R.M Billets Reports'!D963)),TRIM('R.M Billets Reports'!F963),IF(ISNUMBER(SEARCH("Party Name-",'R.M Billets Reports'!D963)),TRIM(MID('R.M Billets Reports'!D963,SEARCH("-",'R.M Billets Reports'!D963)+1,200)),""))&lt;&gt;"",IF(ISNUMBER(SEARCH("Party Name:-",'R.M Billets Reports'!D963)),TRIM('R.M Billets Reports'!F963),IF(ISNUMBER(SEARCH("Party Name-",'R.M Billets Reports'!D963)),TRIM(MID('R.M Billets Reports'!D963,SEARCH("-",'R.M Billets Reports'!D963)+1,200)),"")),IF(ISNUMBER(SEARCH("Party Name:-",'R.M Billets Reports'!D964)),TRIM('R.M Billets Reports'!F964),IF(ISNUMBER(SEARCH("Party Name-",'R.M Billets Reports'!D964)),TRIM(MID('R.M Billets Reports'!D964,SEARCH("-",'R.M Billets Reports'!D964)+1,200)),"")))="VRKP ISPAT PVT LTD","VRKP",IF(IF(IF(ISNUMBER(SEARCH("Party Name:-",'R.M Billets Reports'!D963)),TRIM('R.M Billets Reports'!F963),IF(ISNUMBER(SEARCH("Party Name-",'R.M Billets Reports'!D963)),TRIM(MID('R.M Billets Reports'!D963,SEARCH("-",'R.M Billets Reports'!D963)+1,200)),""))&lt;&gt;"",IF(ISNUMBER(SEARCH("Party Name:-",'R.M Billets Reports'!D963)),TRIM('R.M Billets Reports'!F963),IF(ISNUMBER(SEARCH("Party Name-",'R.M Billets Reports'!D963)),TRIM(MID('R.M Billets Reports'!D963,SEARCH("-",'R.M Billets Reports'!D963)+1,200)),"")),IF(ISNUMBER(SEARCH("Party Name:-",'R.M Billets Reports'!D964)),TRIM('R.M Billets Reports'!F964),IF(ISNUMBER(SEARCH("Party Name-",'R.M Billets Reports'!D964)),TRIM(MID('R.M Billets Reports'!D964,SEARCH("-",'R.M Billets Reports'!D964)+1,200)),"")))="SHRI RADHE","SHREE RADHE",IF(IF(IF(ISNUMBER(SEARCH("Party Name:-",'R.M Billets Reports'!D963)),TRIM('R.M Billets Reports'!F963),IF(ISNUMBER(SEARCH("Party Name-",'R.M Billets Reports'!D963)),TRIM(MID('R.M Billets Reports'!D963,SEARCH("-",'R.M Billets Reports'!D963)+1,200)),""))&lt;&gt;"",IF(ISNUMBER(SEARCH("Party Name:-",'R.M Billets Reports'!D963)),TRIM('R.M Billets Reports'!F963),IF(ISNUMBER(SEARCH("Party Name-",'R.M Billets Reports'!D963)),TRIM(MID('R.M Billets Reports'!D963,SEARCH("-",'R.M Billets Reports'!D963)+1,200)),"")),IF(ISNUMBER(SEARCH("Party Name:-",'R.M Billets Reports'!D964)),TRIM('R.M Billets Reports'!F964),IF(ISNUMBER(SEARCH("Party Name-",'R.M Billets Reports'!D964)),TRIM(MID('R.M Billets Reports'!D964,SEARCH("-",'R.M Billets Reports'!D964)+1,200)),"")))="SHREE RADHE SHAKTI SPONGE AND POWER PVT. LTD.","SHREE RADHE",IF(IF(ISNUMBER(SEARCH("Party Name:-",'R.M Billets Reports'!D963)),TRIM('R.M Billets Reports'!F963),IF(ISNUMBER(SEARCH("Party Name-",'R.M Billets Reports'!D963)),TRIM(MID('R.M Billets Reports'!D963,SEARCH("-",'R.M Billets Reports'!D963)+1,200)),""))&lt;&gt;"",IF(ISNUMBER(SEARCH("Party Name:-",'R.M Billets Reports'!D963)),TRIM('R.M Billets Reports'!F963),IF(ISNUMBER(SEARCH("Party Name-",'R.M Billets Reports'!D963)),TRIM(MID('R.M Billets Reports'!D963,SEARCH("-",'R.M Billets Reports'!D963)+1,200)),"")),IF(ISNUMBER(SEARCH("Party Name:-",'R.M Billets Reports'!D964)),TRIM('R.M Billets Reports'!F964),IF(ISNUMBER(SEARCH("Party Name-",'R.M Billets Reports'!D964)),TRIM(MID('R.M Billets Reports'!D964,SEARCH("-",'R.M Billets Reports'!D964)+1,200)),"")))))),IF(ROW()=2,"",A963))</f>
      </c>
      <c r="B964">
        <f>IF(OR('R.M Billets Reports'!A963="Date-",'R.M Billets Reports'!A963="Date:-"),'R.M Billets Reports'!B963,IF(ROW()=2,"",B963))</f>
      </c>
      <c r="C964">
        <f>IF('R.M Billets Reports'!A963="V.No.",'R.M Billets Reports'!B963,IF(ROW()=2,"",C963))</f>
      </c>
      <c r="D964">
        <f>IF('R.M Billets Reports'!A963&lt;&gt;"",'R.M Billets Reports'!A963,IF(ROW()=2,"",D963))</f>
      </c>
      <c r="E964">
        <f>IF('R.M Billets Reports'!B963="","",TRIM('R.M Billets Reports'!B963))</f>
      </c>
      <c r="F964">
        <f>'R.M Billets Reports'!C963</f>
      </c>
      <c r="G964">
        <f>'R.M Billets Reports'!D963</f>
      </c>
      <c r="H964">
        <f>'R.M Billets Reports'!E963</f>
      </c>
      <c r="I964">
        <f>'R.M Billets Reports'!F963</f>
      </c>
      <c r="J964">
        <f>'R.M Billets Reports'!G963</f>
      </c>
      <c r="K964">
        <f>'R.M Billets Reports'!H963</f>
      </c>
      <c r="L964">
        <f>IF('R.M Billets Reports'!I963="","",'R.M Billets Reports'!I963)</f>
      </c>
      <c r="M964">
        <f t="shared" si="30"/>
      </c>
      <c r="N964">
        <f>IF('R.M Billets Reports'!J963="","",'R.M Billets Reports'!J963)</f>
      </c>
      <c r="O964">
        <f t="shared" si="31"/>
      </c>
      <c r="P964">
        <f>IF('R.M Billets Reports'!A963="SIZE",'R.M Billets Reports'!B963,P963)</f>
      </c>
    </row>
    <row r="965" spans="1:16" x14ac:dyDescent="0.25">
      <c r="A965">
        <f>IF(OR('R.M Billets Reports'!A964="Date-",'R.M Billets Reports'!A964="Date:-"),IF(IF(IF(ISNUMBER(SEARCH("Party Name:-",'R.M Billets Reports'!D964)),TRIM('R.M Billets Reports'!F964),IF(ISNUMBER(SEARCH("Party Name-",'R.M Billets Reports'!D964)),TRIM(MID('R.M Billets Reports'!D964,SEARCH("-",'R.M Billets Reports'!D964)+1,200)),""))&lt;&gt;"",IF(ISNUMBER(SEARCH("Party Name:-",'R.M Billets Reports'!D964)),TRIM('R.M Billets Reports'!F964),IF(ISNUMBER(SEARCH("Party Name-",'R.M Billets Reports'!D964)),TRIM(MID('R.M Billets Reports'!D964,SEARCH("-",'R.M Billets Reports'!D964)+1,200)),"")),IF(ISNUMBER(SEARCH("Party Name:-",'R.M Billets Reports'!D965)),TRIM('R.M Billets Reports'!F965),IF(ISNUMBER(SEARCH("Party Name-",'R.M Billets Reports'!D965)),TRIM(MID('R.M Billets Reports'!D965,SEARCH("-",'R.M Billets Reports'!D965)+1,200)),"")))="VRKP ISPAT PVT LTD","VRKP",IF(IF(IF(ISNUMBER(SEARCH("Party Name:-",'R.M Billets Reports'!D964)),TRIM('R.M Billets Reports'!F964),IF(ISNUMBER(SEARCH("Party Name-",'R.M Billets Reports'!D964)),TRIM(MID('R.M Billets Reports'!D964,SEARCH("-",'R.M Billets Reports'!D964)+1,200)),""))&lt;&gt;"",IF(ISNUMBER(SEARCH("Party Name:-",'R.M Billets Reports'!D964)),TRIM('R.M Billets Reports'!F964),IF(ISNUMBER(SEARCH("Party Name-",'R.M Billets Reports'!D964)),TRIM(MID('R.M Billets Reports'!D964,SEARCH("-",'R.M Billets Reports'!D964)+1,200)),"")),IF(ISNUMBER(SEARCH("Party Name:-",'R.M Billets Reports'!D965)),TRIM('R.M Billets Reports'!F965),IF(ISNUMBER(SEARCH("Party Name-",'R.M Billets Reports'!D965)),TRIM(MID('R.M Billets Reports'!D965,SEARCH("-",'R.M Billets Reports'!D965)+1,200)),"")))="SHRI RADHE","SHREE RADHE",IF(IF(IF(ISNUMBER(SEARCH("Party Name:-",'R.M Billets Reports'!D964)),TRIM('R.M Billets Reports'!F964),IF(ISNUMBER(SEARCH("Party Name-",'R.M Billets Reports'!D964)),TRIM(MID('R.M Billets Reports'!D964,SEARCH("-",'R.M Billets Reports'!D964)+1,200)),""))&lt;&gt;"",IF(ISNUMBER(SEARCH("Party Name:-",'R.M Billets Reports'!D964)),TRIM('R.M Billets Reports'!F964),IF(ISNUMBER(SEARCH("Party Name-",'R.M Billets Reports'!D964)),TRIM(MID('R.M Billets Reports'!D964,SEARCH("-",'R.M Billets Reports'!D964)+1,200)),"")),IF(ISNUMBER(SEARCH("Party Name:-",'R.M Billets Reports'!D965)),TRIM('R.M Billets Reports'!F965),IF(ISNUMBER(SEARCH("Party Name-",'R.M Billets Reports'!D965)),TRIM(MID('R.M Billets Reports'!D965,SEARCH("-",'R.M Billets Reports'!D965)+1,200)),"")))="SHREE RADHE SHAKTI SPONGE AND POWER PVT. LTD.","SHREE RADHE",IF(IF(ISNUMBER(SEARCH("Party Name:-",'R.M Billets Reports'!D964)),TRIM('R.M Billets Reports'!F964),IF(ISNUMBER(SEARCH("Party Name-",'R.M Billets Reports'!D964)),TRIM(MID('R.M Billets Reports'!D964,SEARCH("-",'R.M Billets Reports'!D964)+1,200)),""))&lt;&gt;"",IF(ISNUMBER(SEARCH("Party Name:-",'R.M Billets Reports'!D964)),TRIM('R.M Billets Reports'!F964),IF(ISNUMBER(SEARCH("Party Name-",'R.M Billets Reports'!D964)),TRIM(MID('R.M Billets Reports'!D964,SEARCH("-",'R.M Billets Reports'!D964)+1,200)),"")),IF(ISNUMBER(SEARCH("Party Name:-",'R.M Billets Reports'!D965)),TRIM('R.M Billets Reports'!F965),IF(ISNUMBER(SEARCH("Party Name-",'R.M Billets Reports'!D965)),TRIM(MID('R.M Billets Reports'!D965,SEARCH("-",'R.M Billets Reports'!D965)+1,200)),"")))))),IF(ROW()=2,"",A964))</f>
      </c>
      <c r="B965">
        <f>IF(OR('R.M Billets Reports'!A964="Date-",'R.M Billets Reports'!A964="Date:-"),'R.M Billets Reports'!B964,IF(ROW()=2,"",B964))</f>
      </c>
      <c r="C965">
        <f>IF('R.M Billets Reports'!A964="V.No.",'R.M Billets Reports'!B964,IF(ROW()=2,"",C964))</f>
      </c>
      <c r="D965">
        <f>IF('R.M Billets Reports'!A964&lt;&gt;"",'R.M Billets Reports'!A964,IF(ROW()=2,"",D964))</f>
      </c>
      <c r="E965">
        <f>IF('R.M Billets Reports'!B964="","",TRIM('R.M Billets Reports'!B964))</f>
      </c>
      <c r="F965">
        <f>'R.M Billets Reports'!C964</f>
      </c>
      <c r="G965">
        <f>'R.M Billets Reports'!D964</f>
      </c>
      <c r="H965">
        <f>'R.M Billets Reports'!E964</f>
      </c>
      <c r="I965">
        <f>'R.M Billets Reports'!F964</f>
      </c>
      <c r="J965">
        <f>'R.M Billets Reports'!G964</f>
      </c>
      <c r="K965">
        <f>'R.M Billets Reports'!H964</f>
      </c>
      <c r="L965">
        <f>IF('R.M Billets Reports'!I964="","",'R.M Billets Reports'!I964)</f>
      </c>
      <c r="M965">
        <f t="shared" si="30"/>
      </c>
      <c r="N965">
        <f>IF('R.M Billets Reports'!J964="","",'R.M Billets Reports'!J964)</f>
      </c>
      <c r="O965">
        <f t="shared" si="31"/>
      </c>
      <c r="P965">
        <f>IF('R.M Billets Reports'!A964="SIZE",'R.M Billets Reports'!B964,P964)</f>
      </c>
    </row>
    <row r="966" spans="1:16" x14ac:dyDescent="0.25">
      <c r="A966">
        <f>IF(OR('R.M Billets Reports'!A965="Date-",'R.M Billets Reports'!A965="Date:-"),IF(IF(IF(ISNUMBER(SEARCH("Party Name:-",'R.M Billets Reports'!D965)),TRIM('R.M Billets Reports'!F965),IF(ISNUMBER(SEARCH("Party Name-",'R.M Billets Reports'!D965)),TRIM(MID('R.M Billets Reports'!D965,SEARCH("-",'R.M Billets Reports'!D965)+1,200)),""))&lt;&gt;"",IF(ISNUMBER(SEARCH("Party Name:-",'R.M Billets Reports'!D965)),TRIM('R.M Billets Reports'!F965),IF(ISNUMBER(SEARCH("Party Name-",'R.M Billets Reports'!D965)),TRIM(MID('R.M Billets Reports'!D965,SEARCH("-",'R.M Billets Reports'!D965)+1,200)),"")),IF(ISNUMBER(SEARCH("Party Name:-",'R.M Billets Reports'!D966)),TRIM('R.M Billets Reports'!F966),IF(ISNUMBER(SEARCH("Party Name-",'R.M Billets Reports'!D966)),TRIM(MID('R.M Billets Reports'!D966,SEARCH("-",'R.M Billets Reports'!D966)+1,200)),"")))="VRKP ISPAT PVT LTD","VRKP",IF(IF(IF(ISNUMBER(SEARCH("Party Name:-",'R.M Billets Reports'!D965)),TRIM('R.M Billets Reports'!F965),IF(ISNUMBER(SEARCH("Party Name-",'R.M Billets Reports'!D965)),TRIM(MID('R.M Billets Reports'!D965,SEARCH("-",'R.M Billets Reports'!D965)+1,200)),""))&lt;&gt;"",IF(ISNUMBER(SEARCH("Party Name:-",'R.M Billets Reports'!D965)),TRIM('R.M Billets Reports'!F965),IF(ISNUMBER(SEARCH("Party Name-",'R.M Billets Reports'!D965)),TRIM(MID('R.M Billets Reports'!D965,SEARCH("-",'R.M Billets Reports'!D965)+1,200)),"")),IF(ISNUMBER(SEARCH("Party Name:-",'R.M Billets Reports'!D966)),TRIM('R.M Billets Reports'!F966),IF(ISNUMBER(SEARCH("Party Name-",'R.M Billets Reports'!D966)),TRIM(MID('R.M Billets Reports'!D966,SEARCH("-",'R.M Billets Reports'!D966)+1,200)),"")))="SHRI RADHE","SHREE RADHE",IF(IF(IF(ISNUMBER(SEARCH("Party Name:-",'R.M Billets Reports'!D965)),TRIM('R.M Billets Reports'!F965),IF(ISNUMBER(SEARCH("Party Name-",'R.M Billets Reports'!D965)),TRIM(MID('R.M Billets Reports'!D965,SEARCH("-",'R.M Billets Reports'!D965)+1,200)),""))&lt;&gt;"",IF(ISNUMBER(SEARCH("Party Name:-",'R.M Billets Reports'!D965)),TRIM('R.M Billets Reports'!F965),IF(ISNUMBER(SEARCH("Party Name-",'R.M Billets Reports'!D965)),TRIM(MID('R.M Billets Reports'!D965,SEARCH("-",'R.M Billets Reports'!D965)+1,200)),"")),IF(ISNUMBER(SEARCH("Party Name:-",'R.M Billets Reports'!D966)),TRIM('R.M Billets Reports'!F966),IF(ISNUMBER(SEARCH("Party Name-",'R.M Billets Reports'!D966)),TRIM(MID('R.M Billets Reports'!D966,SEARCH("-",'R.M Billets Reports'!D966)+1,200)),"")))="SHREE RADHE SHAKTI SPONGE AND POWER PVT. LTD.","SHREE RADHE",IF(IF(ISNUMBER(SEARCH("Party Name:-",'R.M Billets Reports'!D965)),TRIM('R.M Billets Reports'!F965),IF(ISNUMBER(SEARCH("Party Name-",'R.M Billets Reports'!D965)),TRIM(MID('R.M Billets Reports'!D965,SEARCH("-",'R.M Billets Reports'!D965)+1,200)),""))&lt;&gt;"",IF(ISNUMBER(SEARCH("Party Name:-",'R.M Billets Reports'!D965)),TRIM('R.M Billets Reports'!F965),IF(ISNUMBER(SEARCH("Party Name-",'R.M Billets Reports'!D965)),TRIM(MID('R.M Billets Reports'!D965,SEARCH("-",'R.M Billets Reports'!D965)+1,200)),"")),IF(ISNUMBER(SEARCH("Party Name:-",'R.M Billets Reports'!D966)),TRIM('R.M Billets Reports'!F966),IF(ISNUMBER(SEARCH("Party Name-",'R.M Billets Reports'!D966)),TRIM(MID('R.M Billets Reports'!D966,SEARCH("-",'R.M Billets Reports'!D966)+1,200)),"")))))),IF(ROW()=2,"",A965))</f>
      </c>
      <c r="B966">
        <f>IF(OR('R.M Billets Reports'!A965="Date-",'R.M Billets Reports'!A965="Date:-"),'R.M Billets Reports'!B965,IF(ROW()=2,"",B965))</f>
      </c>
      <c r="C966">
        <f>IF('R.M Billets Reports'!A965="V.No.",'R.M Billets Reports'!B965,IF(ROW()=2,"",C965))</f>
      </c>
      <c r="D966">
        <f>IF('R.M Billets Reports'!A965&lt;&gt;"",'R.M Billets Reports'!A965,IF(ROW()=2,"",D965))</f>
      </c>
      <c r="E966">
        <f>IF('R.M Billets Reports'!B965="","",TRIM('R.M Billets Reports'!B965))</f>
      </c>
      <c r="F966">
        <f>'R.M Billets Reports'!C965</f>
      </c>
      <c r="G966">
        <f>'R.M Billets Reports'!D965</f>
      </c>
      <c r="H966">
        <f>'R.M Billets Reports'!E965</f>
      </c>
      <c r="I966">
        <f>'R.M Billets Reports'!F965</f>
      </c>
      <c r="J966">
        <f>'R.M Billets Reports'!G965</f>
      </c>
      <c r="K966">
        <f>'R.M Billets Reports'!H965</f>
      </c>
      <c r="L966">
        <f>IF('R.M Billets Reports'!I965="","",'R.M Billets Reports'!I965)</f>
      </c>
      <c r="M966">
        <f t="shared" si="30"/>
      </c>
      <c r="N966">
        <f>IF('R.M Billets Reports'!J965="","",'R.M Billets Reports'!J965)</f>
      </c>
      <c r="O966">
        <f t="shared" si="31"/>
      </c>
      <c r="P966">
        <f>IF('R.M Billets Reports'!A965="SIZE",'R.M Billets Reports'!B965,P965)</f>
      </c>
    </row>
    <row r="967" spans="1:16" x14ac:dyDescent="0.25">
      <c r="A967">
        <f>IF(OR('R.M Billets Reports'!A966="Date-",'R.M Billets Reports'!A966="Date:-"),IF(IF(IF(ISNUMBER(SEARCH("Party Name:-",'R.M Billets Reports'!D966)),TRIM('R.M Billets Reports'!F966),IF(ISNUMBER(SEARCH("Party Name-",'R.M Billets Reports'!D966)),TRIM(MID('R.M Billets Reports'!D966,SEARCH("-",'R.M Billets Reports'!D966)+1,200)),""))&lt;&gt;"",IF(ISNUMBER(SEARCH("Party Name:-",'R.M Billets Reports'!D966)),TRIM('R.M Billets Reports'!F966),IF(ISNUMBER(SEARCH("Party Name-",'R.M Billets Reports'!D966)),TRIM(MID('R.M Billets Reports'!D966,SEARCH("-",'R.M Billets Reports'!D966)+1,200)),"")),IF(ISNUMBER(SEARCH("Party Name:-",'R.M Billets Reports'!D967)),TRIM('R.M Billets Reports'!F967),IF(ISNUMBER(SEARCH("Party Name-",'R.M Billets Reports'!D967)),TRIM(MID('R.M Billets Reports'!D967,SEARCH("-",'R.M Billets Reports'!D967)+1,200)),"")))="VRKP ISPAT PVT LTD","VRKP",IF(IF(IF(ISNUMBER(SEARCH("Party Name:-",'R.M Billets Reports'!D966)),TRIM('R.M Billets Reports'!F966),IF(ISNUMBER(SEARCH("Party Name-",'R.M Billets Reports'!D966)),TRIM(MID('R.M Billets Reports'!D966,SEARCH("-",'R.M Billets Reports'!D966)+1,200)),""))&lt;&gt;"",IF(ISNUMBER(SEARCH("Party Name:-",'R.M Billets Reports'!D966)),TRIM('R.M Billets Reports'!F966),IF(ISNUMBER(SEARCH("Party Name-",'R.M Billets Reports'!D966)),TRIM(MID('R.M Billets Reports'!D966,SEARCH("-",'R.M Billets Reports'!D966)+1,200)),"")),IF(ISNUMBER(SEARCH("Party Name:-",'R.M Billets Reports'!D967)),TRIM('R.M Billets Reports'!F967),IF(ISNUMBER(SEARCH("Party Name-",'R.M Billets Reports'!D967)),TRIM(MID('R.M Billets Reports'!D967,SEARCH("-",'R.M Billets Reports'!D967)+1,200)),"")))="SHRI RADHE","SHREE RADHE",IF(IF(IF(ISNUMBER(SEARCH("Party Name:-",'R.M Billets Reports'!D966)),TRIM('R.M Billets Reports'!F966),IF(ISNUMBER(SEARCH("Party Name-",'R.M Billets Reports'!D966)),TRIM(MID('R.M Billets Reports'!D966,SEARCH("-",'R.M Billets Reports'!D966)+1,200)),""))&lt;&gt;"",IF(ISNUMBER(SEARCH("Party Name:-",'R.M Billets Reports'!D966)),TRIM('R.M Billets Reports'!F966),IF(ISNUMBER(SEARCH("Party Name-",'R.M Billets Reports'!D966)),TRIM(MID('R.M Billets Reports'!D966,SEARCH("-",'R.M Billets Reports'!D966)+1,200)),"")),IF(ISNUMBER(SEARCH("Party Name:-",'R.M Billets Reports'!D967)),TRIM('R.M Billets Reports'!F967),IF(ISNUMBER(SEARCH("Party Name-",'R.M Billets Reports'!D967)),TRIM(MID('R.M Billets Reports'!D967,SEARCH("-",'R.M Billets Reports'!D967)+1,200)),"")))="SHREE RADHE SHAKTI SPONGE AND POWER PVT. LTD.","SHREE RADHE",IF(IF(ISNUMBER(SEARCH("Party Name:-",'R.M Billets Reports'!D966)),TRIM('R.M Billets Reports'!F966),IF(ISNUMBER(SEARCH("Party Name-",'R.M Billets Reports'!D966)),TRIM(MID('R.M Billets Reports'!D966,SEARCH("-",'R.M Billets Reports'!D966)+1,200)),""))&lt;&gt;"",IF(ISNUMBER(SEARCH("Party Name:-",'R.M Billets Reports'!D966)),TRIM('R.M Billets Reports'!F966),IF(ISNUMBER(SEARCH("Party Name-",'R.M Billets Reports'!D966)),TRIM(MID('R.M Billets Reports'!D966,SEARCH("-",'R.M Billets Reports'!D966)+1,200)),"")),IF(ISNUMBER(SEARCH("Party Name:-",'R.M Billets Reports'!D967)),TRIM('R.M Billets Reports'!F967),IF(ISNUMBER(SEARCH("Party Name-",'R.M Billets Reports'!D967)),TRIM(MID('R.M Billets Reports'!D967,SEARCH("-",'R.M Billets Reports'!D967)+1,200)),"")))))),IF(ROW()=2,"",A966))</f>
      </c>
      <c r="B967">
        <f>IF(OR('R.M Billets Reports'!A966="Date-",'R.M Billets Reports'!A966="Date:-"),'R.M Billets Reports'!B966,IF(ROW()=2,"",B966))</f>
      </c>
      <c r="C967">
        <f>IF('R.M Billets Reports'!A966="V.No.",'R.M Billets Reports'!B966,IF(ROW()=2,"",C966))</f>
      </c>
      <c r="D967">
        <f>IF('R.M Billets Reports'!A966&lt;&gt;"",'R.M Billets Reports'!A966,IF(ROW()=2,"",D966))</f>
      </c>
      <c r="E967">
        <f>IF('R.M Billets Reports'!B966="","",TRIM('R.M Billets Reports'!B966))</f>
      </c>
      <c r="F967">
        <f>'R.M Billets Reports'!C966</f>
      </c>
      <c r="G967">
        <f>'R.M Billets Reports'!D966</f>
      </c>
      <c r="H967">
        <f>'R.M Billets Reports'!E966</f>
      </c>
      <c r="I967">
        <f>'R.M Billets Reports'!F966</f>
      </c>
      <c r="J967">
        <f>'R.M Billets Reports'!G966</f>
      </c>
      <c r="K967">
        <f>'R.M Billets Reports'!H966</f>
      </c>
      <c r="L967">
        <f>IF('R.M Billets Reports'!I966="","",'R.M Billets Reports'!I966)</f>
      </c>
      <c r="M967">
        <f t="shared" si="30"/>
      </c>
      <c r="N967">
        <f>IF('R.M Billets Reports'!J966="","",'R.M Billets Reports'!J966)</f>
      </c>
      <c r="O967">
        <f t="shared" si="31"/>
      </c>
      <c r="P967">
        <f>IF('R.M Billets Reports'!A966="SIZE",'R.M Billets Reports'!B966,P966)</f>
      </c>
    </row>
    <row r="968" spans="1:16" x14ac:dyDescent="0.25">
      <c r="A968">
        <f>IF(OR('R.M Billets Reports'!A967="Date-",'R.M Billets Reports'!A967="Date:-"),IF(IF(IF(ISNUMBER(SEARCH("Party Name:-",'R.M Billets Reports'!D967)),TRIM('R.M Billets Reports'!F967),IF(ISNUMBER(SEARCH("Party Name-",'R.M Billets Reports'!D967)),TRIM(MID('R.M Billets Reports'!D967,SEARCH("-",'R.M Billets Reports'!D967)+1,200)),""))&lt;&gt;"",IF(ISNUMBER(SEARCH("Party Name:-",'R.M Billets Reports'!D967)),TRIM('R.M Billets Reports'!F967),IF(ISNUMBER(SEARCH("Party Name-",'R.M Billets Reports'!D967)),TRIM(MID('R.M Billets Reports'!D967,SEARCH("-",'R.M Billets Reports'!D967)+1,200)),"")),IF(ISNUMBER(SEARCH("Party Name:-",'R.M Billets Reports'!D968)),TRIM('R.M Billets Reports'!F968),IF(ISNUMBER(SEARCH("Party Name-",'R.M Billets Reports'!D968)),TRIM(MID('R.M Billets Reports'!D968,SEARCH("-",'R.M Billets Reports'!D968)+1,200)),"")))="VRKP ISPAT PVT LTD","VRKP",IF(IF(IF(ISNUMBER(SEARCH("Party Name:-",'R.M Billets Reports'!D967)),TRIM('R.M Billets Reports'!F967),IF(ISNUMBER(SEARCH("Party Name-",'R.M Billets Reports'!D967)),TRIM(MID('R.M Billets Reports'!D967,SEARCH("-",'R.M Billets Reports'!D967)+1,200)),""))&lt;&gt;"",IF(ISNUMBER(SEARCH("Party Name:-",'R.M Billets Reports'!D967)),TRIM('R.M Billets Reports'!F967),IF(ISNUMBER(SEARCH("Party Name-",'R.M Billets Reports'!D967)),TRIM(MID('R.M Billets Reports'!D967,SEARCH("-",'R.M Billets Reports'!D967)+1,200)),"")),IF(ISNUMBER(SEARCH("Party Name:-",'R.M Billets Reports'!D968)),TRIM('R.M Billets Reports'!F968),IF(ISNUMBER(SEARCH("Party Name-",'R.M Billets Reports'!D968)),TRIM(MID('R.M Billets Reports'!D968,SEARCH("-",'R.M Billets Reports'!D968)+1,200)),"")))="SHRI RADHE","SHREE RADHE",IF(IF(IF(ISNUMBER(SEARCH("Party Name:-",'R.M Billets Reports'!D967)),TRIM('R.M Billets Reports'!F967),IF(ISNUMBER(SEARCH("Party Name-",'R.M Billets Reports'!D967)),TRIM(MID('R.M Billets Reports'!D967,SEARCH("-",'R.M Billets Reports'!D967)+1,200)),""))&lt;&gt;"",IF(ISNUMBER(SEARCH("Party Name:-",'R.M Billets Reports'!D967)),TRIM('R.M Billets Reports'!F967),IF(ISNUMBER(SEARCH("Party Name-",'R.M Billets Reports'!D967)),TRIM(MID('R.M Billets Reports'!D967,SEARCH("-",'R.M Billets Reports'!D967)+1,200)),"")),IF(ISNUMBER(SEARCH("Party Name:-",'R.M Billets Reports'!D968)),TRIM('R.M Billets Reports'!F968),IF(ISNUMBER(SEARCH("Party Name-",'R.M Billets Reports'!D968)),TRIM(MID('R.M Billets Reports'!D968,SEARCH("-",'R.M Billets Reports'!D968)+1,200)),"")))="SHREE RADHE SHAKTI SPONGE AND POWER PVT. LTD.","SHREE RADHE",IF(IF(ISNUMBER(SEARCH("Party Name:-",'R.M Billets Reports'!D967)),TRIM('R.M Billets Reports'!F967),IF(ISNUMBER(SEARCH("Party Name-",'R.M Billets Reports'!D967)),TRIM(MID('R.M Billets Reports'!D967,SEARCH("-",'R.M Billets Reports'!D967)+1,200)),""))&lt;&gt;"",IF(ISNUMBER(SEARCH("Party Name:-",'R.M Billets Reports'!D967)),TRIM('R.M Billets Reports'!F967),IF(ISNUMBER(SEARCH("Party Name-",'R.M Billets Reports'!D967)),TRIM(MID('R.M Billets Reports'!D967,SEARCH("-",'R.M Billets Reports'!D967)+1,200)),"")),IF(ISNUMBER(SEARCH("Party Name:-",'R.M Billets Reports'!D968)),TRIM('R.M Billets Reports'!F968),IF(ISNUMBER(SEARCH("Party Name-",'R.M Billets Reports'!D968)),TRIM(MID('R.M Billets Reports'!D968,SEARCH("-",'R.M Billets Reports'!D968)+1,200)),"")))))),IF(ROW()=2,"",A967))</f>
      </c>
      <c r="B968">
        <f>IF(OR('R.M Billets Reports'!A967="Date-",'R.M Billets Reports'!A967="Date:-"),'R.M Billets Reports'!B967,IF(ROW()=2,"",B967))</f>
      </c>
      <c r="C968">
        <f>IF('R.M Billets Reports'!A967="V.No.",'R.M Billets Reports'!B967,IF(ROW()=2,"",C967))</f>
      </c>
      <c r="D968">
        <f>IF('R.M Billets Reports'!A967&lt;&gt;"",'R.M Billets Reports'!A967,IF(ROW()=2,"",D967))</f>
      </c>
      <c r="E968">
        <f>IF('R.M Billets Reports'!B967="","",TRIM('R.M Billets Reports'!B967))</f>
      </c>
      <c r="F968">
        <f>'R.M Billets Reports'!C967</f>
      </c>
      <c r="G968">
        <f>'R.M Billets Reports'!D967</f>
      </c>
      <c r="H968">
        <f>'R.M Billets Reports'!E967</f>
      </c>
      <c r="I968">
        <f>'R.M Billets Reports'!F967</f>
      </c>
      <c r="J968">
        <f>'R.M Billets Reports'!G967</f>
      </c>
      <c r="K968">
        <f>'R.M Billets Reports'!H967</f>
      </c>
      <c r="L968">
        <f>IF('R.M Billets Reports'!I967="","",'R.M Billets Reports'!I967)</f>
      </c>
      <c r="M968">
        <f t="shared" si="30"/>
      </c>
      <c r="N968">
        <f>IF('R.M Billets Reports'!J967="","",'R.M Billets Reports'!J967)</f>
      </c>
      <c r="O968">
        <f t="shared" si="31"/>
      </c>
      <c r="P968">
        <f>IF('R.M Billets Reports'!A967="SIZE",'R.M Billets Reports'!B967,P967)</f>
      </c>
    </row>
    <row r="969" spans="1:16" x14ac:dyDescent="0.25">
      <c r="A969">
        <f>IF(OR('R.M Billets Reports'!A968="Date-",'R.M Billets Reports'!A968="Date:-"),IF(IF(IF(ISNUMBER(SEARCH("Party Name:-",'R.M Billets Reports'!D968)),TRIM('R.M Billets Reports'!F968),IF(ISNUMBER(SEARCH("Party Name-",'R.M Billets Reports'!D968)),TRIM(MID('R.M Billets Reports'!D968,SEARCH("-",'R.M Billets Reports'!D968)+1,200)),""))&lt;&gt;"",IF(ISNUMBER(SEARCH("Party Name:-",'R.M Billets Reports'!D968)),TRIM('R.M Billets Reports'!F968),IF(ISNUMBER(SEARCH("Party Name-",'R.M Billets Reports'!D968)),TRIM(MID('R.M Billets Reports'!D968,SEARCH("-",'R.M Billets Reports'!D968)+1,200)),"")),IF(ISNUMBER(SEARCH("Party Name:-",'R.M Billets Reports'!D969)),TRIM('R.M Billets Reports'!F969),IF(ISNUMBER(SEARCH("Party Name-",'R.M Billets Reports'!D969)),TRIM(MID('R.M Billets Reports'!D969,SEARCH("-",'R.M Billets Reports'!D969)+1,200)),"")))="VRKP ISPAT PVT LTD","VRKP",IF(IF(IF(ISNUMBER(SEARCH("Party Name:-",'R.M Billets Reports'!D968)),TRIM('R.M Billets Reports'!F968),IF(ISNUMBER(SEARCH("Party Name-",'R.M Billets Reports'!D968)),TRIM(MID('R.M Billets Reports'!D968,SEARCH("-",'R.M Billets Reports'!D968)+1,200)),""))&lt;&gt;"",IF(ISNUMBER(SEARCH("Party Name:-",'R.M Billets Reports'!D968)),TRIM('R.M Billets Reports'!F968),IF(ISNUMBER(SEARCH("Party Name-",'R.M Billets Reports'!D968)),TRIM(MID('R.M Billets Reports'!D968,SEARCH("-",'R.M Billets Reports'!D968)+1,200)),"")),IF(ISNUMBER(SEARCH("Party Name:-",'R.M Billets Reports'!D969)),TRIM('R.M Billets Reports'!F969),IF(ISNUMBER(SEARCH("Party Name-",'R.M Billets Reports'!D969)),TRIM(MID('R.M Billets Reports'!D969,SEARCH("-",'R.M Billets Reports'!D969)+1,200)),"")))="SHRI RADHE","SHREE RADHE",IF(IF(IF(ISNUMBER(SEARCH("Party Name:-",'R.M Billets Reports'!D968)),TRIM('R.M Billets Reports'!F968),IF(ISNUMBER(SEARCH("Party Name-",'R.M Billets Reports'!D968)),TRIM(MID('R.M Billets Reports'!D968,SEARCH("-",'R.M Billets Reports'!D968)+1,200)),""))&lt;&gt;"",IF(ISNUMBER(SEARCH("Party Name:-",'R.M Billets Reports'!D968)),TRIM('R.M Billets Reports'!F968),IF(ISNUMBER(SEARCH("Party Name-",'R.M Billets Reports'!D968)),TRIM(MID('R.M Billets Reports'!D968,SEARCH("-",'R.M Billets Reports'!D968)+1,200)),"")),IF(ISNUMBER(SEARCH("Party Name:-",'R.M Billets Reports'!D969)),TRIM('R.M Billets Reports'!F969),IF(ISNUMBER(SEARCH("Party Name-",'R.M Billets Reports'!D969)),TRIM(MID('R.M Billets Reports'!D969,SEARCH("-",'R.M Billets Reports'!D969)+1,200)),"")))="SHREE RADHE SHAKTI SPONGE AND POWER PVT. LTD.","SHREE RADHE",IF(IF(ISNUMBER(SEARCH("Party Name:-",'R.M Billets Reports'!D968)),TRIM('R.M Billets Reports'!F968),IF(ISNUMBER(SEARCH("Party Name-",'R.M Billets Reports'!D968)),TRIM(MID('R.M Billets Reports'!D968,SEARCH("-",'R.M Billets Reports'!D968)+1,200)),""))&lt;&gt;"",IF(ISNUMBER(SEARCH("Party Name:-",'R.M Billets Reports'!D968)),TRIM('R.M Billets Reports'!F968),IF(ISNUMBER(SEARCH("Party Name-",'R.M Billets Reports'!D968)),TRIM(MID('R.M Billets Reports'!D968,SEARCH("-",'R.M Billets Reports'!D968)+1,200)),"")),IF(ISNUMBER(SEARCH("Party Name:-",'R.M Billets Reports'!D969)),TRIM('R.M Billets Reports'!F969),IF(ISNUMBER(SEARCH("Party Name-",'R.M Billets Reports'!D969)),TRIM(MID('R.M Billets Reports'!D969,SEARCH("-",'R.M Billets Reports'!D969)+1,200)),"")))))),IF(ROW()=2,"",A968))</f>
      </c>
      <c r="B969">
        <f>IF(OR('R.M Billets Reports'!A968="Date-",'R.M Billets Reports'!A968="Date:-"),'R.M Billets Reports'!B968,IF(ROW()=2,"",B968))</f>
      </c>
      <c r="C969">
        <f>IF('R.M Billets Reports'!A968="V.No.",'R.M Billets Reports'!B968,IF(ROW()=2,"",C968))</f>
      </c>
      <c r="D969">
        <f>IF('R.M Billets Reports'!A968&lt;&gt;"",'R.M Billets Reports'!A968,IF(ROW()=2,"",D968))</f>
      </c>
      <c r="E969">
        <f>IF('R.M Billets Reports'!B968="","",TRIM('R.M Billets Reports'!B968))</f>
      </c>
      <c r="F969">
        <f>'R.M Billets Reports'!C968</f>
      </c>
      <c r="G969">
        <f>'R.M Billets Reports'!D968</f>
      </c>
      <c r="H969">
        <f>'R.M Billets Reports'!E968</f>
      </c>
      <c r="I969">
        <f>'R.M Billets Reports'!F968</f>
      </c>
      <c r="J969">
        <f>'R.M Billets Reports'!G968</f>
      </c>
      <c r="K969">
        <f>'R.M Billets Reports'!H968</f>
      </c>
      <c r="L969">
        <f>IF('R.M Billets Reports'!I968="","",'R.M Billets Reports'!I968)</f>
      </c>
      <c r="M969">
        <f t="shared" si="30"/>
      </c>
      <c r="N969">
        <f>IF('R.M Billets Reports'!J968="","",'R.M Billets Reports'!J968)</f>
      </c>
      <c r="O969">
        <f t="shared" si="31"/>
      </c>
      <c r="P969">
        <f>IF('R.M Billets Reports'!A968="SIZE",'R.M Billets Reports'!B968,P968)</f>
      </c>
    </row>
    <row r="970" spans="1:16" x14ac:dyDescent="0.25">
      <c r="A970">
        <f>IF(OR('R.M Billets Reports'!A969="Date-",'R.M Billets Reports'!A969="Date:-"),IF(IF(IF(ISNUMBER(SEARCH("Party Name:-",'R.M Billets Reports'!D969)),TRIM('R.M Billets Reports'!F969),IF(ISNUMBER(SEARCH("Party Name-",'R.M Billets Reports'!D969)),TRIM(MID('R.M Billets Reports'!D969,SEARCH("-",'R.M Billets Reports'!D969)+1,200)),""))&lt;&gt;"",IF(ISNUMBER(SEARCH("Party Name:-",'R.M Billets Reports'!D969)),TRIM('R.M Billets Reports'!F969),IF(ISNUMBER(SEARCH("Party Name-",'R.M Billets Reports'!D969)),TRIM(MID('R.M Billets Reports'!D969,SEARCH("-",'R.M Billets Reports'!D969)+1,200)),"")),IF(ISNUMBER(SEARCH("Party Name:-",'R.M Billets Reports'!D970)),TRIM('R.M Billets Reports'!F970),IF(ISNUMBER(SEARCH("Party Name-",'R.M Billets Reports'!D970)),TRIM(MID('R.M Billets Reports'!D970,SEARCH("-",'R.M Billets Reports'!D970)+1,200)),"")))="VRKP ISPAT PVT LTD","VRKP",IF(IF(IF(ISNUMBER(SEARCH("Party Name:-",'R.M Billets Reports'!D969)),TRIM('R.M Billets Reports'!F969),IF(ISNUMBER(SEARCH("Party Name-",'R.M Billets Reports'!D969)),TRIM(MID('R.M Billets Reports'!D969,SEARCH("-",'R.M Billets Reports'!D969)+1,200)),""))&lt;&gt;"",IF(ISNUMBER(SEARCH("Party Name:-",'R.M Billets Reports'!D969)),TRIM('R.M Billets Reports'!F969),IF(ISNUMBER(SEARCH("Party Name-",'R.M Billets Reports'!D969)),TRIM(MID('R.M Billets Reports'!D969,SEARCH("-",'R.M Billets Reports'!D969)+1,200)),"")),IF(ISNUMBER(SEARCH("Party Name:-",'R.M Billets Reports'!D970)),TRIM('R.M Billets Reports'!F970),IF(ISNUMBER(SEARCH("Party Name-",'R.M Billets Reports'!D970)),TRIM(MID('R.M Billets Reports'!D970,SEARCH("-",'R.M Billets Reports'!D970)+1,200)),"")))="SHRI RADHE","SHREE RADHE",IF(IF(IF(ISNUMBER(SEARCH("Party Name:-",'R.M Billets Reports'!D969)),TRIM('R.M Billets Reports'!F969),IF(ISNUMBER(SEARCH("Party Name-",'R.M Billets Reports'!D969)),TRIM(MID('R.M Billets Reports'!D969,SEARCH("-",'R.M Billets Reports'!D969)+1,200)),""))&lt;&gt;"",IF(ISNUMBER(SEARCH("Party Name:-",'R.M Billets Reports'!D969)),TRIM('R.M Billets Reports'!F969),IF(ISNUMBER(SEARCH("Party Name-",'R.M Billets Reports'!D969)),TRIM(MID('R.M Billets Reports'!D969,SEARCH("-",'R.M Billets Reports'!D969)+1,200)),"")),IF(ISNUMBER(SEARCH("Party Name:-",'R.M Billets Reports'!D970)),TRIM('R.M Billets Reports'!F970),IF(ISNUMBER(SEARCH("Party Name-",'R.M Billets Reports'!D970)),TRIM(MID('R.M Billets Reports'!D970,SEARCH("-",'R.M Billets Reports'!D970)+1,200)),"")))="SHREE RADHE SHAKTI SPONGE AND POWER PVT. LTD.","SHREE RADHE",IF(IF(ISNUMBER(SEARCH("Party Name:-",'R.M Billets Reports'!D969)),TRIM('R.M Billets Reports'!F969),IF(ISNUMBER(SEARCH("Party Name-",'R.M Billets Reports'!D969)),TRIM(MID('R.M Billets Reports'!D969,SEARCH("-",'R.M Billets Reports'!D969)+1,200)),""))&lt;&gt;"",IF(ISNUMBER(SEARCH("Party Name:-",'R.M Billets Reports'!D969)),TRIM('R.M Billets Reports'!F969),IF(ISNUMBER(SEARCH("Party Name-",'R.M Billets Reports'!D969)),TRIM(MID('R.M Billets Reports'!D969,SEARCH("-",'R.M Billets Reports'!D969)+1,200)),"")),IF(ISNUMBER(SEARCH("Party Name:-",'R.M Billets Reports'!D970)),TRIM('R.M Billets Reports'!F970),IF(ISNUMBER(SEARCH("Party Name-",'R.M Billets Reports'!D970)),TRIM(MID('R.M Billets Reports'!D970,SEARCH("-",'R.M Billets Reports'!D970)+1,200)),"")))))),IF(ROW()=2,"",A969))</f>
      </c>
      <c r="B970">
        <f>IF(OR('R.M Billets Reports'!A969="Date-",'R.M Billets Reports'!A969="Date:-"),'R.M Billets Reports'!B969,IF(ROW()=2,"",B969))</f>
      </c>
      <c r="C970">
        <f>IF('R.M Billets Reports'!A969="V.No.",'R.M Billets Reports'!B969,IF(ROW()=2,"",C969))</f>
      </c>
      <c r="D970">
        <f>IF('R.M Billets Reports'!A969&lt;&gt;"",'R.M Billets Reports'!A969,IF(ROW()=2,"",D969))</f>
      </c>
      <c r="E970">
        <f>IF('R.M Billets Reports'!B969="","",TRIM('R.M Billets Reports'!B969))</f>
      </c>
      <c r="F970">
        <f>'R.M Billets Reports'!C969</f>
      </c>
      <c r="G970">
        <f>'R.M Billets Reports'!D969</f>
      </c>
      <c r="H970">
        <f>'R.M Billets Reports'!E969</f>
      </c>
      <c r="I970">
        <f>'R.M Billets Reports'!F969</f>
      </c>
      <c r="J970">
        <f>'R.M Billets Reports'!G969</f>
      </c>
      <c r="K970">
        <f>'R.M Billets Reports'!H969</f>
      </c>
      <c r="L970">
        <f>IF('R.M Billets Reports'!I969="","",'R.M Billets Reports'!I969)</f>
      </c>
      <c r="M970">
        <f t="shared" si="30"/>
      </c>
      <c r="N970">
        <f>IF('R.M Billets Reports'!J969="","",'R.M Billets Reports'!J969)</f>
      </c>
      <c r="O970">
        <f t="shared" si="31"/>
      </c>
      <c r="P970">
        <f>IF('R.M Billets Reports'!A969="SIZE",'R.M Billets Reports'!B969,P969)</f>
      </c>
    </row>
    <row r="971" spans="1:16" x14ac:dyDescent="0.25">
      <c r="A971">
        <f>IF(OR('R.M Billets Reports'!A970="Date-",'R.M Billets Reports'!A970="Date:-"),IF(IF(IF(ISNUMBER(SEARCH("Party Name:-",'R.M Billets Reports'!D970)),TRIM('R.M Billets Reports'!F970),IF(ISNUMBER(SEARCH("Party Name-",'R.M Billets Reports'!D970)),TRIM(MID('R.M Billets Reports'!D970,SEARCH("-",'R.M Billets Reports'!D970)+1,200)),""))&lt;&gt;"",IF(ISNUMBER(SEARCH("Party Name:-",'R.M Billets Reports'!D970)),TRIM('R.M Billets Reports'!F970),IF(ISNUMBER(SEARCH("Party Name-",'R.M Billets Reports'!D970)),TRIM(MID('R.M Billets Reports'!D970,SEARCH("-",'R.M Billets Reports'!D970)+1,200)),"")),IF(ISNUMBER(SEARCH("Party Name:-",'R.M Billets Reports'!D971)),TRIM('R.M Billets Reports'!F971),IF(ISNUMBER(SEARCH("Party Name-",'R.M Billets Reports'!D971)),TRIM(MID('R.M Billets Reports'!D971,SEARCH("-",'R.M Billets Reports'!D971)+1,200)),"")))="VRKP ISPAT PVT LTD","VRKP",IF(IF(IF(ISNUMBER(SEARCH("Party Name:-",'R.M Billets Reports'!D970)),TRIM('R.M Billets Reports'!F970),IF(ISNUMBER(SEARCH("Party Name-",'R.M Billets Reports'!D970)),TRIM(MID('R.M Billets Reports'!D970,SEARCH("-",'R.M Billets Reports'!D970)+1,200)),""))&lt;&gt;"",IF(ISNUMBER(SEARCH("Party Name:-",'R.M Billets Reports'!D970)),TRIM('R.M Billets Reports'!F970),IF(ISNUMBER(SEARCH("Party Name-",'R.M Billets Reports'!D970)),TRIM(MID('R.M Billets Reports'!D970,SEARCH("-",'R.M Billets Reports'!D970)+1,200)),"")),IF(ISNUMBER(SEARCH("Party Name:-",'R.M Billets Reports'!D971)),TRIM('R.M Billets Reports'!F971),IF(ISNUMBER(SEARCH("Party Name-",'R.M Billets Reports'!D971)),TRIM(MID('R.M Billets Reports'!D971,SEARCH("-",'R.M Billets Reports'!D971)+1,200)),"")))="SHRI RADHE","SHREE RADHE",IF(IF(IF(ISNUMBER(SEARCH("Party Name:-",'R.M Billets Reports'!D970)),TRIM('R.M Billets Reports'!F970),IF(ISNUMBER(SEARCH("Party Name-",'R.M Billets Reports'!D970)),TRIM(MID('R.M Billets Reports'!D970,SEARCH("-",'R.M Billets Reports'!D970)+1,200)),""))&lt;&gt;"",IF(ISNUMBER(SEARCH("Party Name:-",'R.M Billets Reports'!D970)),TRIM('R.M Billets Reports'!F970),IF(ISNUMBER(SEARCH("Party Name-",'R.M Billets Reports'!D970)),TRIM(MID('R.M Billets Reports'!D970,SEARCH("-",'R.M Billets Reports'!D970)+1,200)),"")),IF(ISNUMBER(SEARCH("Party Name:-",'R.M Billets Reports'!D971)),TRIM('R.M Billets Reports'!F971),IF(ISNUMBER(SEARCH("Party Name-",'R.M Billets Reports'!D971)),TRIM(MID('R.M Billets Reports'!D971,SEARCH("-",'R.M Billets Reports'!D971)+1,200)),"")))="SHREE RADHE SHAKTI SPONGE AND POWER PVT. LTD.","SHREE RADHE",IF(IF(ISNUMBER(SEARCH("Party Name:-",'R.M Billets Reports'!D970)),TRIM('R.M Billets Reports'!F970),IF(ISNUMBER(SEARCH("Party Name-",'R.M Billets Reports'!D970)),TRIM(MID('R.M Billets Reports'!D970,SEARCH("-",'R.M Billets Reports'!D970)+1,200)),""))&lt;&gt;"",IF(ISNUMBER(SEARCH("Party Name:-",'R.M Billets Reports'!D970)),TRIM('R.M Billets Reports'!F970),IF(ISNUMBER(SEARCH("Party Name-",'R.M Billets Reports'!D970)),TRIM(MID('R.M Billets Reports'!D970,SEARCH("-",'R.M Billets Reports'!D970)+1,200)),"")),IF(ISNUMBER(SEARCH("Party Name:-",'R.M Billets Reports'!D971)),TRIM('R.M Billets Reports'!F971),IF(ISNUMBER(SEARCH("Party Name-",'R.M Billets Reports'!D971)),TRIM(MID('R.M Billets Reports'!D971,SEARCH("-",'R.M Billets Reports'!D971)+1,200)),"")))))),IF(ROW()=2,"",A970))</f>
      </c>
      <c r="B971">
        <f>IF(OR('R.M Billets Reports'!A970="Date-",'R.M Billets Reports'!A970="Date:-"),'R.M Billets Reports'!B970,IF(ROW()=2,"",B970))</f>
      </c>
      <c r="C971">
        <f>IF('R.M Billets Reports'!A970="V.No.",'R.M Billets Reports'!B970,IF(ROW()=2,"",C970))</f>
      </c>
      <c r="D971">
        <f>IF('R.M Billets Reports'!A970&lt;&gt;"",'R.M Billets Reports'!A970,IF(ROW()=2,"",D970))</f>
      </c>
      <c r="E971">
        <f>IF('R.M Billets Reports'!B970="","",TRIM('R.M Billets Reports'!B970))</f>
      </c>
      <c r="F971">
        <f>'R.M Billets Reports'!C970</f>
      </c>
      <c r="G971">
        <f>'R.M Billets Reports'!D970</f>
      </c>
      <c r="H971">
        <f>'R.M Billets Reports'!E970</f>
      </c>
      <c r="I971">
        <f>'R.M Billets Reports'!F970</f>
      </c>
      <c r="J971">
        <f>'R.M Billets Reports'!G970</f>
      </c>
      <c r="K971">
        <f>'R.M Billets Reports'!H970</f>
      </c>
      <c r="L971">
        <f>IF('R.M Billets Reports'!I970="","",'R.M Billets Reports'!I970)</f>
      </c>
      <c r="M971">
        <f t="shared" si="30"/>
      </c>
      <c r="N971">
        <f>IF('R.M Billets Reports'!J970="","",'R.M Billets Reports'!J970)</f>
      </c>
      <c r="O971">
        <f t="shared" si="31"/>
      </c>
      <c r="P971">
        <f>IF('R.M Billets Reports'!A970="SIZE",'R.M Billets Reports'!B970,P970)</f>
      </c>
    </row>
    <row r="972" spans="1:16" x14ac:dyDescent="0.25">
      <c r="A972">
        <f>IF(OR('R.M Billets Reports'!A971="Date-",'R.M Billets Reports'!A971="Date:-"),IF(IF(IF(ISNUMBER(SEARCH("Party Name:-",'R.M Billets Reports'!D971)),TRIM('R.M Billets Reports'!F971),IF(ISNUMBER(SEARCH("Party Name-",'R.M Billets Reports'!D971)),TRIM(MID('R.M Billets Reports'!D971,SEARCH("-",'R.M Billets Reports'!D971)+1,200)),""))&lt;&gt;"",IF(ISNUMBER(SEARCH("Party Name:-",'R.M Billets Reports'!D971)),TRIM('R.M Billets Reports'!F971),IF(ISNUMBER(SEARCH("Party Name-",'R.M Billets Reports'!D971)),TRIM(MID('R.M Billets Reports'!D971,SEARCH("-",'R.M Billets Reports'!D971)+1,200)),"")),IF(ISNUMBER(SEARCH("Party Name:-",'R.M Billets Reports'!D972)),TRIM('R.M Billets Reports'!F972),IF(ISNUMBER(SEARCH("Party Name-",'R.M Billets Reports'!D972)),TRIM(MID('R.M Billets Reports'!D972,SEARCH("-",'R.M Billets Reports'!D972)+1,200)),"")))="VRKP ISPAT PVT LTD","VRKP",IF(IF(IF(ISNUMBER(SEARCH("Party Name:-",'R.M Billets Reports'!D971)),TRIM('R.M Billets Reports'!F971),IF(ISNUMBER(SEARCH("Party Name-",'R.M Billets Reports'!D971)),TRIM(MID('R.M Billets Reports'!D971,SEARCH("-",'R.M Billets Reports'!D971)+1,200)),""))&lt;&gt;"",IF(ISNUMBER(SEARCH("Party Name:-",'R.M Billets Reports'!D971)),TRIM('R.M Billets Reports'!F971),IF(ISNUMBER(SEARCH("Party Name-",'R.M Billets Reports'!D971)),TRIM(MID('R.M Billets Reports'!D971,SEARCH("-",'R.M Billets Reports'!D971)+1,200)),"")),IF(ISNUMBER(SEARCH("Party Name:-",'R.M Billets Reports'!D972)),TRIM('R.M Billets Reports'!F972),IF(ISNUMBER(SEARCH("Party Name-",'R.M Billets Reports'!D972)),TRIM(MID('R.M Billets Reports'!D972,SEARCH("-",'R.M Billets Reports'!D972)+1,200)),"")))="SHRI RADHE","SHREE RADHE",IF(IF(IF(ISNUMBER(SEARCH("Party Name:-",'R.M Billets Reports'!D971)),TRIM('R.M Billets Reports'!F971),IF(ISNUMBER(SEARCH("Party Name-",'R.M Billets Reports'!D971)),TRIM(MID('R.M Billets Reports'!D971,SEARCH("-",'R.M Billets Reports'!D971)+1,200)),""))&lt;&gt;"",IF(ISNUMBER(SEARCH("Party Name:-",'R.M Billets Reports'!D971)),TRIM('R.M Billets Reports'!F971),IF(ISNUMBER(SEARCH("Party Name-",'R.M Billets Reports'!D971)),TRIM(MID('R.M Billets Reports'!D971,SEARCH("-",'R.M Billets Reports'!D971)+1,200)),"")),IF(ISNUMBER(SEARCH("Party Name:-",'R.M Billets Reports'!D972)),TRIM('R.M Billets Reports'!F972),IF(ISNUMBER(SEARCH("Party Name-",'R.M Billets Reports'!D972)),TRIM(MID('R.M Billets Reports'!D972,SEARCH("-",'R.M Billets Reports'!D972)+1,200)),"")))="SHREE RADHE SHAKTI SPONGE AND POWER PVT. LTD.","SHREE RADHE",IF(IF(ISNUMBER(SEARCH("Party Name:-",'R.M Billets Reports'!D971)),TRIM('R.M Billets Reports'!F971),IF(ISNUMBER(SEARCH("Party Name-",'R.M Billets Reports'!D971)),TRIM(MID('R.M Billets Reports'!D971,SEARCH("-",'R.M Billets Reports'!D971)+1,200)),""))&lt;&gt;"",IF(ISNUMBER(SEARCH("Party Name:-",'R.M Billets Reports'!D971)),TRIM('R.M Billets Reports'!F971),IF(ISNUMBER(SEARCH("Party Name-",'R.M Billets Reports'!D971)),TRIM(MID('R.M Billets Reports'!D971,SEARCH("-",'R.M Billets Reports'!D971)+1,200)),"")),IF(ISNUMBER(SEARCH("Party Name:-",'R.M Billets Reports'!D972)),TRIM('R.M Billets Reports'!F972),IF(ISNUMBER(SEARCH("Party Name-",'R.M Billets Reports'!D972)),TRIM(MID('R.M Billets Reports'!D972,SEARCH("-",'R.M Billets Reports'!D972)+1,200)),"")))))),IF(ROW()=2,"",A971))</f>
      </c>
      <c r="B972">
        <f>IF(OR('R.M Billets Reports'!A971="Date-",'R.M Billets Reports'!A971="Date:-"),'R.M Billets Reports'!B971,IF(ROW()=2,"",B971))</f>
      </c>
      <c r="C972">
        <f>IF('R.M Billets Reports'!A971="V.No.",'R.M Billets Reports'!B971,IF(ROW()=2,"",C971))</f>
      </c>
      <c r="D972">
        <f>IF('R.M Billets Reports'!A971&lt;&gt;"",'R.M Billets Reports'!A971,IF(ROW()=2,"",D971))</f>
      </c>
      <c r="E972">
        <f>IF('R.M Billets Reports'!B971="","",TRIM('R.M Billets Reports'!B971))</f>
      </c>
      <c r="F972">
        <f>'R.M Billets Reports'!C971</f>
      </c>
      <c r="G972">
        <f>'R.M Billets Reports'!D971</f>
      </c>
      <c r="H972">
        <f>'R.M Billets Reports'!E971</f>
      </c>
      <c r="I972">
        <f>'R.M Billets Reports'!F971</f>
      </c>
      <c r="J972">
        <f>'R.M Billets Reports'!G971</f>
      </c>
      <c r="K972">
        <f>'R.M Billets Reports'!H971</f>
      </c>
      <c r="L972">
        <f>IF('R.M Billets Reports'!I971="","",'R.M Billets Reports'!I971)</f>
      </c>
      <c r="M972">
        <f t="shared" si="30"/>
      </c>
      <c r="N972">
        <f>IF('R.M Billets Reports'!J971="","",'R.M Billets Reports'!J971)</f>
      </c>
      <c r="O972">
        <f t="shared" si="31"/>
      </c>
      <c r="P972">
        <f>IF('R.M Billets Reports'!A971="SIZE",'R.M Billets Reports'!B971,P971)</f>
      </c>
    </row>
    <row r="973" spans="1:16" x14ac:dyDescent="0.25">
      <c r="A973">
        <f>IF(OR('R.M Billets Reports'!A972="Date-",'R.M Billets Reports'!A972="Date:-"),IF(IF(IF(ISNUMBER(SEARCH("Party Name:-",'R.M Billets Reports'!D972)),TRIM('R.M Billets Reports'!F972),IF(ISNUMBER(SEARCH("Party Name-",'R.M Billets Reports'!D972)),TRIM(MID('R.M Billets Reports'!D972,SEARCH("-",'R.M Billets Reports'!D972)+1,200)),""))&lt;&gt;"",IF(ISNUMBER(SEARCH("Party Name:-",'R.M Billets Reports'!D972)),TRIM('R.M Billets Reports'!F972),IF(ISNUMBER(SEARCH("Party Name-",'R.M Billets Reports'!D972)),TRIM(MID('R.M Billets Reports'!D972,SEARCH("-",'R.M Billets Reports'!D972)+1,200)),"")),IF(ISNUMBER(SEARCH("Party Name:-",'R.M Billets Reports'!D973)),TRIM('R.M Billets Reports'!F973),IF(ISNUMBER(SEARCH("Party Name-",'R.M Billets Reports'!D973)),TRIM(MID('R.M Billets Reports'!D973,SEARCH("-",'R.M Billets Reports'!D973)+1,200)),"")))="VRKP ISPAT PVT LTD","VRKP",IF(IF(IF(ISNUMBER(SEARCH("Party Name:-",'R.M Billets Reports'!D972)),TRIM('R.M Billets Reports'!F972),IF(ISNUMBER(SEARCH("Party Name-",'R.M Billets Reports'!D972)),TRIM(MID('R.M Billets Reports'!D972,SEARCH("-",'R.M Billets Reports'!D972)+1,200)),""))&lt;&gt;"",IF(ISNUMBER(SEARCH("Party Name:-",'R.M Billets Reports'!D972)),TRIM('R.M Billets Reports'!F972),IF(ISNUMBER(SEARCH("Party Name-",'R.M Billets Reports'!D972)),TRIM(MID('R.M Billets Reports'!D972,SEARCH("-",'R.M Billets Reports'!D972)+1,200)),"")),IF(ISNUMBER(SEARCH("Party Name:-",'R.M Billets Reports'!D973)),TRIM('R.M Billets Reports'!F973),IF(ISNUMBER(SEARCH("Party Name-",'R.M Billets Reports'!D973)),TRIM(MID('R.M Billets Reports'!D973,SEARCH("-",'R.M Billets Reports'!D973)+1,200)),"")))="SHRI RADHE","SHREE RADHE",IF(IF(IF(ISNUMBER(SEARCH("Party Name:-",'R.M Billets Reports'!D972)),TRIM('R.M Billets Reports'!F972),IF(ISNUMBER(SEARCH("Party Name-",'R.M Billets Reports'!D972)),TRIM(MID('R.M Billets Reports'!D972,SEARCH("-",'R.M Billets Reports'!D972)+1,200)),""))&lt;&gt;"",IF(ISNUMBER(SEARCH("Party Name:-",'R.M Billets Reports'!D972)),TRIM('R.M Billets Reports'!F972),IF(ISNUMBER(SEARCH("Party Name-",'R.M Billets Reports'!D972)),TRIM(MID('R.M Billets Reports'!D972,SEARCH("-",'R.M Billets Reports'!D972)+1,200)),"")),IF(ISNUMBER(SEARCH("Party Name:-",'R.M Billets Reports'!D973)),TRIM('R.M Billets Reports'!F973),IF(ISNUMBER(SEARCH("Party Name-",'R.M Billets Reports'!D973)),TRIM(MID('R.M Billets Reports'!D973,SEARCH("-",'R.M Billets Reports'!D973)+1,200)),"")))="SHREE RADHE SHAKTI SPONGE AND POWER PVT. LTD.","SHREE RADHE",IF(IF(ISNUMBER(SEARCH("Party Name:-",'R.M Billets Reports'!D972)),TRIM('R.M Billets Reports'!F972),IF(ISNUMBER(SEARCH("Party Name-",'R.M Billets Reports'!D972)),TRIM(MID('R.M Billets Reports'!D972,SEARCH("-",'R.M Billets Reports'!D972)+1,200)),""))&lt;&gt;"",IF(ISNUMBER(SEARCH("Party Name:-",'R.M Billets Reports'!D972)),TRIM('R.M Billets Reports'!F972),IF(ISNUMBER(SEARCH("Party Name-",'R.M Billets Reports'!D972)),TRIM(MID('R.M Billets Reports'!D972,SEARCH("-",'R.M Billets Reports'!D972)+1,200)),"")),IF(ISNUMBER(SEARCH("Party Name:-",'R.M Billets Reports'!D973)),TRIM('R.M Billets Reports'!F973),IF(ISNUMBER(SEARCH("Party Name-",'R.M Billets Reports'!D973)),TRIM(MID('R.M Billets Reports'!D973,SEARCH("-",'R.M Billets Reports'!D973)+1,200)),"")))))),IF(ROW()=2,"",A972))</f>
      </c>
      <c r="B973">
        <f>IF(OR('R.M Billets Reports'!A972="Date-",'R.M Billets Reports'!A972="Date:-"),'R.M Billets Reports'!B972,IF(ROW()=2,"",B972))</f>
      </c>
      <c r="C973">
        <f>IF('R.M Billets Reports'!A972="V.No.",'R.M Billets Reports'!B972,IF(ROW()=2,"",C972))</f>
      </c>
      <c r="D973">
        <f>IF('R.M Billets Reports'!A972&lt;&gt;"",'R.M Billets Reports'!A972,IF(ROW()=2,"",D972))</f>
      </c>
      <c r="E973">
        <f>IF('R.M Billets Reports'!B972="","",TRIM('R.M Billets Reports'!B972))</f>
      </c>
      <c r="F973">
        <f>'R.M Billets Reports'!C972</f>
      </c>
      <c r="G973">
        <f>'R.M Billets Reports'!D972</f>
      </c>
      <c r="H973">
        <f>'R.M Billets Reports'!E972</f>
      </c>
      <c r="I973">
        <f>'R.M Billets Reports'!F972</f>
      </c>
      <c r="J973">
        <f>'R.M Billets Reports'!G972</f>
      </c>
      <c r="K973">
        <f>'R.M Billets Reports'!H972</f>
      </c>
      <c r="L973">
        <f>IF('R.M Billets Reports'!I972="","",'R.M Billets Reports'!I972)</f>
      </c>
      <c r="M973">
        <f t="shared" si="30"/>
      </c>
      <c r="N973">
        <f>IF('R.M Billets Reports'!J972="","",'R.M Billets Reports'!J972)</f>
      </c>
      <c r="O973">
        <f t="shared" si="31"/>
      </c>
      <c r="P973">
        <f>IF('R.M Billets Reports'!A972="SIZE",'R.M Billets Reports'!B972,P972)</f>
      </c>
    </row>
    <row r="974" spans="1:16" x14ac:dyDescent="0.25">
      <c r="A974">
        <f>IF(OR('R.M Billets Reports'!A973="Date-",'R.M Billets Reports'!A973="Date:-"),IF(IF(IF(ISNUMBER(SEARCH("Party Name:-",'R.M Billets Reports'!D973)),TRIM('R.M Billets Reports'!F973),IF(ISNUMBER(SEARCH("Party Name-",'R.M Billets Reports'!D973)),TRIM(MID('R.M Billets Reports'!D973,SEARCH("-",'R.M Billets Reports'!D973)+1,200)),""))&lt;&gt;"",IF(ISNUMBER(SEARCH("Party Name:-",'R.M Billets Reports'!D973)),TRIM('R.M Billets Reports'!F973),IF(ISNUMBER(SEARCH("Party Name-",'R.M Billets Reports'!D973)),TRIM(MID('R.M Billets Reports'!D973,SEARCH("-",'R.M Billets Reports'!D973)+1,200)),"")),IF(ISNUMBER(SEARCH("Party Name:-",'R.M Billets Reports'!D974)),TRIM('R.M Billets Reports'!F974),IF(ISNUMBER(SEARCH("Party Name-",'R.M Billets Reports'!D974)),TRIM(MID('R.M Billets Reports'!D974,SEARCH("-",'R.M Billets Reports'!D974)+1,200)),"")))="VRKP ISPAT PVT LTD","VRKP",IF(IF(IF(ISNUMBER(SEARCH("Party Name:-",'R.M Billets Reports'!D973)),TRIM('R.M Billets Reports'!F973),IF(ISNUMBER(SEARCH("Party Name-",'R.M Billets Reports'!D973)),TRIM(MID('R.M Billets Reports'!D973,SEARCH("-",'R.M Billets Reports'!D973)+1,200)),""))&lt;&gt;"",IF(ISNUMBER(SEARCH("Party Name:-",'R.M Billets Reports'!D973)),TRIM('R.M Billets Reports'!F973),IF(ISNUMBER(SEARCH("Party Name-",'R.M Billets Reports'!D973)),TRIM(MID('R.M Billets Reports'!D973,SEARCH("-",'R.M Billets Reports'!D973)+1,200)),"")),IF(ISNUMBER(SEARCH("Party Name:-",'R.M Billets Reports'!D974)),TRIM('R.M Billets Reports'!F974),IF(ISNUMBER(SEARCH("Party Name-",'R.M Billets Reports'!D974)),TRIM(MID('R.M Billets Reports'!D974,SEARCH("-",'R.M Billets Reports'!D974)+1,200)),"")))="SHRI RADHE","SHREE RADHE",IF(IF(IF(ISNUMBER(SEARCH("Party Name:-",'R.M Billets Reports'!D973)),TRIM('R.M Billets Reports'!F973),IF(ISNUMBER(SEARCH("Party Name-",'R.M Billets Reports'!D973)),TRIM(MID('R.M Billets Reports'!D973,SEARCH("-",'R.M Billets Reports'!D973)+1,200)),""))&lt;&gt;"",IF(ISNUMBER(SEARCH("Party Name:-",'R.M Billets Reports'!D973)),TRIM('R.M Billets Reports'!F973),IF(ISNUMBER(SEARCH("Party Name-",'R.M Billets Reports'!D973)),TRIM(MID('R.M Billets Reports'!D973,SEARCH("-",'R.M Billets Reports'!D973)+1,200)),"")),IF(ISNUMBER(SEARCH("Party Name:-",'R.M Billets Reports'!D974)),TRIM('R.M Billets Reports'!F974),IF(ISNUMBER(SEARCH("Party Name-",'R.M Billets Reports'!D974)),TRIM(MID('R.M Billets Reports'!D974,SEARCH("-",'R.M Billets Reports'!D974)+1,200)),"")))="SHREE RADHE SHAKTI SPONGE AND POWER PVT. LTD.","SHREE RADHE",IF(IF(ISNUMBER(SEARCH("Party Name:-",'R.M Billets Reports'!D973)),TRIM('R.M Billets Reports'!F973),IF(ISNUMBER(SEARCH("Party Name-",'R.M Billets Reports'!D973)),TRIM(MID('R.M Billets Reports'!D973,SEARCH("-",'R.M Billets Reports'!D973)+1,200)),""))&lt;&gt;"",IF(ISNUMBER(SEARCH("Party Name:-",'R.M Billets Reports'!D973)),TRIM('R.M Billets Reports'!F973),IF(ISNUMBER(SEARCH("Party Name-",'R.M Billets Reports'!D973)),TRIM(MID('R.M Billets Reports'!D973,SEARCH("-",'R.M Billets Reports'!D973)+1,200)),"")),IF(ISNUMBER(SEARCH("Party Name:-",'R.M Billets Reports'!D974)),TRIM('R.M Billets Reports'!F974),IF(ISNUMBER(SEARCH("Party Name-",'R.M Billets Reports'!D974)),TRIM(MID('R.M Billets Reports'!D974,SEARCH("-",'R.M Billets Reports'!D974)+1,200)),"")))))),IF(ROW()=2,"",A973))</f>
      </c>
      <c r="B974">
        <f>IF(OR('R.M Billets Reports'!A973="Date-",'R.M Billets Reports'!A973="Date:-"),'R.M Billets Reports'!B973,IF(ROW()=2,"",B973))</f>
      </c>
      <c r="C974">
        <f>IF('R.M Billets Reports'!A973="V.No.",'R.M Billets Reports'!B973,IF(ROW()=2,"",C973))</f>
      </c>
      <c r="D974">
        <f>IF('R.M Billets Reports'!A973&lt;&gt;"",'R.M Billets Reports'!A973,IF(ROW()=2,"",D973))</f>
      </c>
      <c r="E974">
        <f>IF('R.M Billets Reports'!B973="","",TRIM('R.M Billets Reports'!B973))</f>
      </c>
      <c r="F974">
        <f>'R.M Billets Reports'!C973</f>
      </c>
      <c r="G974">
        <f>'R.M Billets Reports'!D973</f>
      </c>
      <c r="H974">
        <f>'R.M Billets Reports'!E973</f>
      </c>
      <c r="I974">
        <f>'R.M Billets Reports'!F973</f>
      </c>
      <c r="J974">
        <f>'R.M Billets Reports'!G973</f>
      </c>
      <c r="K974">
        <f>'R.M Billets Reports'!H973</f>
      </c>
      <c r="L974">
        <f>IF('R.M Billets Reports'!I973="","",'R.M Billets Reports'!I973)</f>
      </c>
      <c r="M974">
        <f t="shared" si="30"/>
      </c>
      <c r="N974">
        <f>IF('R.M Billets Reports'!J973="","",'R.M Billets Reports'!J973)</f>
      </c>
      <c r="O974">
        <f t="shared" si="31"/>
      </c>
      <c r="P974">
        <f>IF('R.M Billets Reports'!A973="SIZE",'R.M Billets Reports'!B973,P973)</f>
      </c>
    </row>
    <row r="975" spans="1:16" x14ac:dyDescent="0.25">
      <c r="A975">
        <f>IF(OR('R.M Billets Reports'!A974="Date-",'R.M Billets Reports'!A974="Date:-"),IF(IF(IF(ISNUMBER(SEARCH("Party Name:-",'R.M Billets Reports'!D974)),TRIM('R.M Billets Reports'!F974),IF(ISNUMBER(SEARCH("Party Name-",'R.M Billets Reports'!D974)),TRIM(MID('R.M Billets Reports'!D974,SEARCH("-",'R.M Billets Reports'!D974)+1,200)),""))&lt;&gt;"",IF(ISNUMBER(SEARCH("Party Name:-",'R.M Billets Reports'!D974)),TRIM('R.M Billets Reports'!F974),IF(ISNUMBER(SEARCH("Party Name-",'R.M Billets Reports'!D974)),TRIM(MID('R.M Billets Reports'!D974,SEARCH("-",'R.M Billets Reports'!D974)+1,200)),"")),IF(ISNUMBER(SEARCH("Party Name:-",'R.M Billets Reports'!D975)),TRIM('R.M Billets Reports'!F975),IF(ISNUMBER(SEARCH("Party Name-",'R.M Billets Reports'!D975)),TRIM(MID('R.M Billets Reports'!D975,SEARCH("-",'R.M Billets Reports'!D975)+1,200)),"")))="VRKP ISPAT PVT LTD","VRKP",IF(IF(IF(ISNUMBER(SEARCH("Party Name:-",'R.M Billets Reports'!D974)),TRIM('R.M Billets Reports'!F974),IF(ISNUMBER(SEARCH("Party Name-",'R.M Billets Reports'!D974)),TRIM(MID('R.M Billets Reports'!D974,SEARCH("-",'R.M Billets Reports'!D974)+1,200)),""))&lt;&gt;"",IF(ISNUMBER(SEARCH("Party Name:-",'R.M Billets Reports'!D974)),TRIM('R.M Billets Reports'!F974),IF(ISNUMBER(SEARCH("Party Name-",'R.M Billets Reports'!D974)),TRIM(MID('R.M Billets Reports'!D974,SEARCH("-",'R.M Billets Reports'!D974)+1,200)),"")),IF(ISNUMBER(SEARCH("Party Name:-",'R.M Billets Reports'!D975)),TRIM('R.M Billets Reports'!F975),IF(ISNUMBER(SEARCH("Party Name-",'R.M Billets Reports'!D975)),TRIM(MID('R.M Billets Reports'!D975,SEARCH("-",'R.M Billets Reports'!D975)+1,200)),"")))="SHRI RADHE","SHREE RADHE",IF(IF(IF(ISNUMBER(SEARCH("Party Name:-",'R.M Billets Reports'!D974)),TRIM('R.M Billets Reports'!F974),IF(ISNUMBER(SEARCH("Party Name-",'R.M Billets Reports'!D974)),TRIM(MID('R.M Billets Reports'!D974,SEARCH("-",'R.M Billets Reports'!D974)+1,200)),""))&lt;&gt;"",IF(ISNUMBER(SEARCH("Party Name:-",'R.M Billets Reports'!D974)),TRIM('R.M Billets Reports'!F974),IF(ISNUMBER(SEARCH("Party Name-",'R.M Billets Reports'!D974)),TRIM(MID('R.M Billets Reports'!D974,SEARCH("-",'R.M Billets Reports'!D974)+1,200)),"")),IF(ISNUMBER(SEARCH("Party Name:-",'R.M Billets Reports'!D975)),TRIM('R.M Billets Reports'!F975),IF(ISNUMBER(SEARCH("Party Name-",'R.M Billets Reports'!D975)),TRIM(MID('R.M Billets Reports'!D975,SEARCH("-",'R.M Billets Reports'!D975)+1,200)),"")))="SHREE RADHE SHAKTI SPONGE AND POWER PVT. LTD.","SHREE RADHE",IF(IF(ISNUMBER(SEARCH("Party Name:-",'R.M Billets Reports'!D974)),TRIM('R.M Billets Reports'!F974),IF(ISNUMBER(SEARCH("Party Name-",'R.M Billets Reports'!D974)),TRIM(MID('R.M Billets Reports'!D974,SEARCH("-",'R.M Billets Reports'!D974)+1,200)),""))&lt;&gt;"",IF(ISNUMBER(SEARCH("Party Name:-",'R.M Billets Reports'!D974)),TRIM('R.M Billets Reports'!F974),IF(ISNUMBER(SEARCH("Party Name-",'R.M Billets Reports'!D974)),TRIM(MID('R.M Billets Reports'!D974,SEARCH("-",'R.M Billets Reports'!D974)+1,200)),"")),IF(ISNUMBER(SEARCH("Party Name:-",'R.M Billets Reports'!D975)),TRIM('R.M Billets Reports'!F975),IF(ISNUMBER(SEARCH("Party Name-",'R.M Billets Reports'!D975)),TRIM(MID('R.M Billets Reports'!D975,SEARCH("-",'R.M Billets Reports'!D975)+1,200)),"")))))),IF(ROW()=2,"",A974))</f>
      </c>
      <c r="B975">
        <f>IF(OR('R.M Billets Reports'!A974="Date-",'R.M Billets Reports'!A974="Date:-"),'R.M Billets Reports'!B974,IF(ROW()=2,"",B974))</f>
      </c>
      <c r="C975">
        <f>IF('R.M Billets Reports'!A974="V.No.",'R.M Billets Reports'!B974,IF(ROW()=2,"",C974))</f>
      </c>
      <c r="D975">
        <f>IF('R.M Billets Reports'!A974&lt;&gt;"",'R.M Billets Reports'!A974,IF(ROW()=2,"",D974))</f>
      </c>
      <c r="E975">
        <f>IF('R.M Billets Reports'!B974="","",TRIM('R.M Billets Reports'!B974))</f>
      </c>
      <c r="F975">
        <f>'R.M Billets Reports'!C974</f>
      </c>
      <c r="G975">
        <f>'R.M Billets Reports'!D974</f>
      </c>
      <c r="H975">
        <f>'R.M Billets Reports'!E974</f>
      </c>
      <c r="I975">
        <f>'R.M Billets Reports'!F974</f>
      </c>
      <c r="J975">
        <f>'R.M Billets Reports'!G974</f>
      </c>
      <c r="K975">
        <f>'R.M Billets Reports'!H974</f>
      </c>
      <c r="L975">
        <f>IF('R.M Billets Reports'!I974="","",'R.M Billets Reports'!I974)</f>
      </c>
      <c r="M975">
        <f t="shared" si="30"/>
      </c>
      <c r="N975">
        <f>IF('R.M Billets Reports'!J974="","",'R.M Billets Reports'!J974)</f>
      </c>
      <c r="O975">
        <f t="shared" si="31"/>
      </c>
      <c r="P975">
        <f>IF('R.M Billets Reports'!A974="SIZE",'R.M Billets Reports'!B974,P974)</f>
      </c>
    </row>
    <row r="976" spans="1:16" x14ac:dyDescent="0.25">
      <c r="A976">
        <f>IF(OR('R.M Billets Reports'!A975="Date-",'R.M Billets Reports'!A975="Date:-"),IF(IF(IF(ISNUMBER(SEARCH("Party Name:-",'R.M Billets Reports'!D975)),TRIM('R.M Billets Reports'!F975),IF(ISNUMBER(SEARCH("Party Name-",'R.M Billets Reports'!D975)),TRIM(MID('R.M Billets Reports'!D975,SEARCH("-",'R.M Billets Reports'!D975)+1,200)),""))&lt;&gt;"",IF(ISNUMBER(SEARCH("Party Name:-",'R.M Billets Reports'!D975)),TRIM('R.M Billets Reports'!F975),IF(ISNUMBER(SEARCH("Party Name-",'R.M Billets Reports'!D975)),TRIM(MID('R.M Billets Reports'!D975,SEARCH("-",'R.M Billets Reports'!D975)+1,200)),"")),IF(ISNUMBER(SEARCH("Party Name:-",'R.M Billets Reports'!D976)),TRIM('R.M Billets Reports'!F976),IF(ISNUMBER(SEARCH("Party Name-",'R.M Billets Reports'!D976)),TRIM(MID('R.M Billets Reports'!D976,SEARCH("-",'R.M Billets Reports'!D976)+1,200)),"")))="VRKP ISPAT PVT LTD","VRKP",IF(IF(IF(ISNUMBER(SEARCH("Party Name:-",'R.M Billets Reports'!D975)),TRIM('R.M Billets Reports'!F975),IF(ISNUMBER(SEARCH("Party Name-",'R.M Billets Reports'!D975)),TRIM(MID('R.M Billets Reports'!D975,SEARCH("-",'R.M Billets Reports'!D975)+1,200)),""))&lt;&gt;"",IF(ISNUMBER(SEARCH("Party Name:-",'R.M Billets Reports'!D975)),TRIM('R.M Billets Reports'!F975),IF(ISNUMBER(SEARCH("Party Name-",'R.M Billets Reports'!D975)),TRIM(MID('R.M Billets Reports'!D975,SEARCH("-",'R.M Billets Reports'!D975)+1,200)),"")),IF(ISNUMBER(SEARCH("Party Name:-",'R.M Billets Reports'!D976)),TRIM('R.M Billets Reports'!F976),IF(ISNUMBER(SEARCH("Party Name-",'R.M Billets Reports'!D976)),TRIM(MID('R.M Billets Reports'!D976,SEARCH("-",'R.M Billets Reports'!D976)+1,200)),"")))="SHRI RADHE","SHREE RADHE",IF(IF(IF(ISNUMBER(SEARCH("Party Name:-",'R.M Billets Reports'!D975)),TRIM('R.M Billets Reports'!F975),IF(ISNUMBER(SEARCH("Party Name-",'R.M Billets Reports'!D975)),TRIM(MID('R.M Billets Reports'!D975,SEARCH("-",'R.M Billets Reports'!D975)+1,200)),""))&lt;&gt;"",IF(ISNUMBER(SEARCH("Party Name:-",'R.M Billets Reports'!D975)),TRIM('R.M Billets Reports'!F975),IF(ISNUMBER(SEARCH("Party Name-",'R.M Billets Reports'!D975)),TRIM(MID('R.M Billets Reports'!D975,SEARCH("-",'R.M Billets Reports'!D975)+1,200)),"")),IF(ISNUMBER(SEARCH("Party Name:-",'R.M Billets Reports'!D976)),TRIM('R.M Billets Reports'!F976),IF(ISNUMBER(SEARCH("Party Name-",'R.M Billets Reports'!D976)),TRIM(MID('R.M Billets Reports'!D976,SEARCH("-",'R.M Billets Reports'!D976)+1,200)),"")))="SHREE RADHE SHAKTI SPONGE AND POWER PVT. LTD.","SHREE RADHE",IF(IF(ISNUMBER(SEARCH("Party Name:-",'R.M Billets Reports'!D975)),TRIM('R.M Billets Reports'!F975),IF(ISNUMBER(SEARCH("Party Name-",'R.M Billets Reports'!D975)),TRIM(MID('R.M Billets Reports'!D975,SEARCH("-",'R.M Billets Reports'!D975)+1,200)),""))&lt;&gt;"",IF(ISNUMBER(SEARCH("Party Name:-",'R.M Billets Reports'!D975)),TRIM('R.M Billets Reports'!F975),IF(ISNUMBER(SEARCH("Party Name-",'R.M Billets Reports'!D975)),TRIM(MID('R.M Billets Reports'!D975,SEARCH("-",'R.M Billets Reports'!D975)+1,200)),"")),IF(ISNUMBER(SEARCH("Party Name:-",'R.M Billets Reports'!D976)),TRIM('R.M Billets Reports'!F976),IF(ISNUMBER(SEARCH("Party Name-",'R.M Billets Reports'!D976)),TRIM(MID('R.M Billets Reports'!D976,SEARCH("-",'R.M Billets Reports'!D976)+1,200)),"")))))),IF(ROW()=2,"",A975))</f>
      </c>
      <c r="B976">
        <f>IF(OR('R.M Billets Reports'!A975="Date-",'R.M Billets Reports'!A975="Date:-"),'R.M Billets Reports'!B975,IF(ROW()=2,"",B975))</f>
      </c>
      <c r="C976">
        <f>IF('R.M Billets Reports'!A975="V.No.",'R.M Billets Reports'!B975,IF(ROW()=2,"",C975))</f>
      </c>
      <c r="D976">
        <f>IF('R.M Billets Reports'!A975&lt;&gt;"",'R.M Billets Reports'!A975,IF(ROW()=2,"",D975))</f>
      </c>
      <c r="E976">
        <f>IF('R.M Billets Reports'!B975="","",TRIM('R.M Billets Reports'!B975))</f>
      </c>
      <c r="F976">
        <f>'R.M Billets Reports'!C975</f>
      </c>
      <c r="G976">
        <f>'R.M Billets Reports'!D975</f>
      </c>
      <c r="H976">
        <f>'R.M Billets Reports'!E975</f>
      </c>
      <c r="I976">
        <f>'R.M Billets Reports'!F975</f>
      </c>
      <c r="J976">
        <f>'R.M Billets Reports'!G975</f>
      </c>
      <c r="K976">
        <f>'R.M Billets Reports'!H975</f>
      </c>
      <c r="L976">
        <f>IF('R.M Billets Reports'!I975="","",'R.M Billets Reports'!I975)</f>
      </c>
      <c r="M976">
        <f t="shared" si="30"/>
      </c>
      <c r="N976">
        <f>IF('R.M Billets Reports'!J975="","",'R.M Billets Reports'!J975)</f>
      </c>
      <c r="O976">
        <f t="shared" si="31"/>
      </c>
      <c r="P976">
        <f>IF('R.M Billets Reports'!A975="SIZE",'R.M Billets Reports'!B975,P975)</f>
      </c>
    </row>
    <row r="977" spans="1:16" x14ac:dyDescent="0.25">
      <c r="A977">
        <f>IF(OR('R.M Billets Reports'!A976="Date-",'R.M Billets Reports'!A976="Date:-"),IF(IF(IF(ISNUMBER(SEARCH("Party Name:-",'R.M Billets Reports'!D976)),TRIM('R.M Billets Reports'!F976),IF(ISNUMBER(SEARCH("Party Name-",'R.M Billets Reports'!D976)),TRIM(MID('R.M Billets Reports'!D976,SEARCH("-",'R.M Billets Reports'!D976)+1,200)),""))&lt;&gt;"",IF(ISNUMBER(SEARCH("Party Name:-",'R.M Billets Reports'!D976)),TRIM('R.M Billets Reports'!F976),IF(ISNUMBER(SEARCH("Party Name-",'R.M Billets Reports'!D976)),TRIM(MID('R.M Billets Reports'!D976,SEARCH("-",'R.M Billets Reports'!D976)+1,200)),"")),IF(ISNUMBER(SEARCH("Party Name:-",'R.M Billets Reports'!D977)),TRIM('R.M Billets Reports'!F977),IF(ISNUMBER(SEARCH("Party Name-",'R.M Billets Reports'!D977)),TRIM(MID('R.M Billets Reports'!D977,SEARCH("-",'R.M Billets Reports'!D977)+1,200)),"")))="VRKP ISPAT PVT LTD","VRKP",IF(IF(IF(ISNUMBER(SEARCH("Party Name:-",'R.M Billets Reports'!D976)),TRIM('R.M Billets Reports'!F976),IF(ISNUMBER(SEARCH("Party Name-",'R.M Billets Reports'!D976)),TRIM(MID('R.M Billets Reports'!D976,SEARCH("-",'R.M Billets Reports'!D976)+1,200)),""))&lt;&gt;"",IF(ISNUMBER(SEARCH("Party Name:-",'R.M Billets Reports'!D976)),TRIM('R.M Billets Reports'!F976),IF(ISNUMBER(SEARCH("Party Name-",'R.M Billets Reports'!D976)),TRIM(MID('R.M Billets Reports'!D976,SEARCH("-",'R.M Billets Reports'!D976)+1,200)),"")),IF(ISNUMBER(SEARCH("Party Name:-",'R.M Billets Reports'!D977)),TRIM('R.M Billets Reports'!F977),IF(ISNUMBER(SEARCH("Party Name-",'R.M Billets Reports'!D977)),TRIM(MID('R.M Billets Reports'!D977,SEARCH("-",'R.M Billets Reports'!D977)+1,200)),"")))="SHRI RADHE","SHREE RADHE",IF(IF(IF(ISNUMBER(SEARCH("Party Name:-",'R.M Billets Reports'!D976)),TRIM('R.M Billets Reports'!F976),IF(ISNUMBER(SEARCH("Party Name-",'R.M Billets Reports'!D976)),TRIM(MID('R.M Billets Reports'!D976,SEARCH("-",'R.M Billets Reports'!D976)+1,200)),""))&lt;&gt;"",IF(ISNUMBER(SEARCH("Party Name:-",'R.M Billets Reports'!D976)),TRIM('R.M Billets Reports'!F976),IF(ISNUMBER(SEARCH("Party Name-",'R.M Billets Reports'!D976)),TRIM(MID('R.M Billets Reports'!D976,SEARCH("-",'R.M Billets Reports'!D976)+1,200)),"")),IF(ISNUMBER(SEARCH("Party Name:-",'R.M Billets Reports'!D977)),TRIM('R.M Billets Reports'!F977),IF(ISNUMBER(SEARCH("Party Name-",'R.M Billets Reports'!D977)),TRIM(MID('R.M Billets Reports'!D977,SEARCH("-",'R.M Billets Reports'!D977)+1,200)),"")))="SHREE RADHE SHAKTI SPONGE AND POWER PVT. LTD.","SHREE RADHE",IF(IF(ISNUMBER(SEARCH("Party Name:-",'R.M Billets Reports'!D976)),TRIM('R.M Billets Reports'!F976),IF(ISNUMBER(SEARCH("Party Name-",'R.M Billets Reports'!D976)),TRIM(MID('R.M Billets Reports'!D976,SEARCH("-",'R.M Billets Reports'!D976)+1,200)),""))&lt;&gt;"",IF(ISNUMBER(SEARCH("Party Name:-",'R.M Billets Reports'!D976)),TRIM('R.M Billets Reports'!F976),IF(ISNUMBER(SEARCH("Party Name-",'R.M Billets Reports'!D976)),TRIM(MID('R.M Billets Reports'!D976,SEARCH("-",'R.M Billets Reports'!D976)+1,200)),"")),IF(ISNUMBER(SEARCH("Party Name:-",'R.M Billets Reports'!D977)),TRIM('R.M Billets Reports'!F977),IF(ISNUMBER(SEARCH("Party Name-",'R.M Billets Reports'!D977)),TRIM(MID('R.M Billets Reports'!D977,SEARCH("-",'R.M Billets Reports'!D977)+1,200)),"")))))),IF(ROW()=2,"",A976))</f>
      </c>
      <c r="B977">
        <f>IF(OR('R.M Billets Reports'!A976="Date-",'R.M Billets Reports'!A976="Date:-"),'R.M Billets Reports'!B976,IF(ROW()=2,"",B976))</f>
      </c>
      <c r="C977">
        <f>IF('R.M Billets Reports'!A976="V.No.",'R.M Billets Reports'!B976,IF(ROW()=2,"",C976))</f>
      </c>
      <c r="D977">
        <f>IF('R.M Billets Reports'!A976&lt;&gt;"",'R.M Billets Reports'!A976,IF(ROW()=2,"",D976))</f>
      </c>
      <c r="E977">
        <f>IF('R.M Billets Reports'!B976="","",TRIM('R.M Billets Reports'!B976))</f>
      </c>
      <c r="F977">
        <f>'R.M Billets Reports'!C976</f>
      </c>
      <c r="G977">
        <f>'R.M Billets Reports'!D976</f>
      </c>
      <c r="H977">
        <f>'R.M Billets Reports'!E976</f>
      </c>
      <c r="I977">
        <f>'R.M Billets Reports'!F976</f>
      </c>
      <c r="J977">
        <f>'R.M Billets Reports'!G976</f>
      </c>
      <c r="K977">
        <f>'R.M Billets Reports'!H976</f>
      </c>
      <c r="L977">
        <f>IF('R.M Billets Reports'!I976="","",'R.M Billets Reports'!I976)</f>
      </c>
      <c r="M977">
        <f t="shared" si="30"/>
      </c>
      <c r="N977">
        <f>IF('R.M Billets Reports'!J976="","",'R.M Billets Reports'!J976)</f>
      </c>
      <c r="O977">
        <f t="shared" si="31"/>
      </c>
      <c r="P977">
        <f>IF('R.M Billets Reports'!A976="SIZE",'R.M Billets Reports'!B976,P976)</f>
      </c>
    </row>
    <row r="978" spans="1:16" x14ac:dyDescent="0.25">
      <c r="A978">
        <f>IF(OR('R.M Billets Reports'!A977="Date-",'R.M Billets Reports'!A977="Date:-"),IF(IF(IF(ISNUMBER(SEARCH("Party Name:-",'R.M Billets Reports'!D977)),TRIM('R.M Billets Reports'!F977),IF(ISNUMBER(SEARCH("Party Name-",'R.M Billets Reports'!D977)),TRIM(MID('R.M Billets Reports'!D977,SEARCH("-",'R.M Billets Reports'!D977)+1,200)),""))&lt;&gt;"",IF(ISNUMBER(SEARCH("Party Name:-",'R.M Billets Reports'!D977)),TRIM('R.M Billets Reports'!F977),IF(ISNUMBER(SEARCH("Party Name-",'R.M Billets Reports'!D977)),TRIM(MID('R.M Billets Reports'!D977,SEARCH("-",'R.M Billets Reports'!D977)+1,200)),"")),IF(ISNUMBER(SEARCH("Party Name:-",'R.M Billets Reports'!D978)),TRIM('R.M Billets Reports'!F978),IF(ISNUMBER(SEARCH("Party Name-",'R.M Billets Reports'!D978)),TRIM(MID('R.M Billets Reports'!D978,SEARCH("-",'R.M Billets Reports'!D978)+1,200)),"")))="VRKP ISPAT PVT LTD","VRKP",IF(IF(IF(ISNUMBER(SEARCH("Party Name:-",'R.M Billets Reports'!D977)),TRIM('R.M Billets Reports'!F977),IF(ISNUMBER(SEARCH("Party Name-",'R.M Billets Reports'!D977)),TRIM(MID('R.M Billets Reports'!D977,SEARCH("-",'R.M Billets Reports'!D977)+1,200)),""))&lt;&gt;"",IF(ISNUMBER(SEARCH("Party Name:-",'R.M Billets Reports'!D977)),TRIM('R.M Billets Reports'!F977),IF(ISNUMBER(SEARCH("Party Name-",'R.M Billets Reports'!D977)),TRIM(MID('R.M Billets Reports'!D977,SEARCH("-",'R.M Billets Reports'!D977)+1,200)),"")),IF(ISNUMBER(SEARCH("Party Name:-",'R.M Billets Reports'!D978)),TRIM('R.M Billets Reports'!F978),IF(ISNUMBER(SEARCH("Party Name-",'R.M Billets Reports'!D978)),TRIM(MID('R.M Billets Reports'!D978,SEARCH("-",'R.M Billets Reports'!D978)+1,200)),"")))="SHRI RADHE","SHREE RADHE",IF(IF(IF(ISNUMBER(SEARCH("Party Name:-",'R.M Billets Reports'!D977)),TRIM('R.M Billets Reports'!F977),IF(ISNUMBER(SEARCH("Party Name-",'R.M Billets Reports'!D977)),TRIM(MID('R.M Billets Reports'!D977,SEARCH("-",'R.M Billets Reports'!D977)+1,200)),""))&lt;&gt;"",IF(ISNUMBER(SEARCH("Party Name:-",'R.M Billets Reports'!D977)),TRIM('R.M Billets Reports'!F977),IF(ISNUMBER(SEARCH("Party Name-",'R.M Billets Reports'!D977)),TRIM(MID('R.M Billets Reports'!D977,SEARCH("-",'R.M Billets Reports'!D977)+1,200)),"")),IF(ISNUMBER(SEARCH("Party Name:-",'R.M Billets Reports'!D978)),TRIM('R.M Billets Reports'!F978),IF(ISNUMBER(SEARCH("Party Name-",'R.M Billets Reports'!D978)),TRIM(MID('R.M Billets Reports'!D978,SEARCH("-",'R.M Billets Reports'!D978)+1,200)),"")))="SHREE RADHE SHAKTI SPONGE AND POWER PVT. LTD.","SHREE RADHE",IF(IF(ISNUMBER(SEARCH("Party Name:-",'R.M Billets Reports'!D977)),TRIM('R.M Billets Reports'!F977),IF(ISNUMBER(SEARCH("Party Name-",'R.M Billets Reports'!D977)),TRIM(MID('R.M Billets Reports'!D977,SEARCH("-",'R.M Billets Reports'!D977)+1,200)),""))&lt;&gt;"",IF(ISNUMBER(SEARCH("Party Name:-",'R.M Billets Reports'!D977)),TRIM('R.M Billets Reports'!F977),IF(ISNUMBER(SEARCH("Party Name-",'R.M Billets Reports'!D977)),TRIM(MID('R.M Billets Reports'!D977,SEARCH("-",'R.M Billets Reports'!D977)+1,200)),"")),IF(ISNUMBER(SEARCH("Party Name:-",'R.M Billets Reports'!D978)),TRIM('R.M Billets Reports'!F978),IF(ISNUMBER(SEARCH("Party Name-",'R.M Billets Reports'!D978)),TRIM(MID('R.M Billets Reports'!D978,SEARCH("-",'R.M Billets Reports'!D978)+1,200)),"")))))),IF(ROW()=2,"",A977))</f>
      </c>
      <c r="B978">
        <f>IF(OR('R.M Billets Reports'!A977="Date-",'R.M Billets Reports'!A977="Date:-"),'R.M Billets Reports'!B977,IF(ROW()=2,"",B977))</f>
      </c>
      <c r="C978">
        <f>IF('R.M Billets Reports'!A977="V.No.",'R.M Billets Reports'!B977,IF(ROW()=2,"",C977))</f>
      </c>
      <c r="D978">
        <f>IF('R.M Billets Reports'!A977&lt;&gt;"",'R.M Billets Reports'!A977,IF(ROW()=2,"",D977))</f>
      </c>
      <c r="E978">
        <f>IF('R.M Billets Reports'!B977="","",TRIM('R.M Billets Reports'!B977))</f>
      </c>
      <c r="F978">
        <f>'R.M Billets Reports'!C977</f>
      </c>
      <c r="G978">
        <f>'R.M Billets Reports'!D977</f>
      </c>
      <c r="H978">
        <f>'R.M Billets Reports'!E977</f>
      </c>
      <c r="I978">
        <f>'R.M Billets Reports'!F977</f>
      </c>
      <c r="J978">
        <f>'R.M Billets Reports'!G977</f>
      </c>
      <c r="K978">
        <f>'R.M Billets Reports'!H977</f>
      </c>
      <c r="L978">
        <f>IF('R.M Billets Reports'!I977="","",'R.M Billets Reports'!I977)</f>
      </c>
      <c r="M978">
        <f t="shared" si="30"/>
      </c>
      <c r="N978">
        <f>IF('R.M Billets Reports'!J977="","",'R.M Billets Reports'!J977)</f>
      </c>
      <c r="O978">
        <f t="shared" si="31"/>
      </c>
      <c r="P978">
        <f>IF('R.M Billets Reports'!A977="SIZE",'R.M Billets Reports'!B977,P977)</f>
      </c>
    </row>
    <row r="979" spans="1:16" x14ac:dyDescent="0.25">
      <c r="A979">
        <f>IF(OR('R.M Billets Reports'!A978="Date-",'R.M Billets Reports'!A978="Date:-"),IF(IF(IF(ISNUMBER(SEARCH("Party Name:-",'R.M Billets Reports'!D978)),TRIM('R.M Billets Reports'!F978),IF(ISNUMBER(SEARCH("Party Name-",'R.M Billets Reports'!D978)),TRIM(MID('R.M Billets Reports'!D978,SEARCH("-",'R.M Billets Reports'!D978)+1,200)),""))&lt;&gt;"",IF(ISNUMBER(SEARCH("Party Name:-",'R.M Billets Reports'!D978)),TRIM('R.M Billets Reports'!F978),IF(ISNUMBER(SEARCH("Party Name-",'R.M Billets Reports'!D978)),TRIM(MID('R.M Billets Reports'!D978,SEARCH("-",'R.M Billets Reports'!D978)+1,200)),"")),IF(ISNUMBER(SEARCH("Party Name:-",'R.M Billets Reports'!D979)),TRIM('R.M Billets Reports'!F979),IF(ISNUMBER(SEARCH("Party Name-",'R.M Billets Reports'!D979)),TRIM(MID('R.M Billets Reports'!D979,SEARCH("-",'R.M Billets Reports'!D979)+1,200)),"")))="VRKP ISPAT PVT LTD","VRKP",IF(IF(IF(ISNUMBER(SEARCH("Party Name:-",'R.M Billets Reports'!D978)),TRIM('R.M Billets Reports'!F978),IF(ISNUMBER(SEARCH("Party Name-",'R.M Billets Reports'!D978)),TRIM(MID('R.M Billets Reports'!D978,SEARCH("-",'R.M Billets Reports'!D978)+1,200)),""))&lt;&gt;"",IF(ISNUMBER(SEARCH("Party Name:-",'R.M Billets Reports'!D978)),TRIM('R.M Billets Reports'!F978),IF(ISNUMBER(SEARCH("Party Name-",'R.M Billets Reports'!D978)),TRIM(MID('R.M Billets Reports'!D978,SEARCH("-",'R.M Billets Reports'!D978)+1,200)),"")),IF(ISNUMBER(SEARCH("Party Name:-",'R.M Billets Reports'!D979)),TRIM('R.M Billets Reports'!F979),IF(ISNUMBER(SEARCH("Party Name-",'R.M Billets Reports'!D979)),TRIM(MID('R.M Billets Reports'!D979,SEARCH("-",'R.M Billets Reports'!D979)+1,200)),"")))="SHRI RADHE","SHREE RADHE",IF(IF(IF(ISNUMBER(SEARCH("Party Name:-",'R.M Billets Reports'!D978)),TRIM('R.M Billets Reports'!F978),IF(ISNUMBER(SEARCH("Party Name-",'R.M Billets Reports'!D978)),TRIM(MID('R.M Billets Reports'!D978,SEARCH("-",'R.M Billets Reports'!D978)+1,200)),""))&lt;&gt;"",IF(ISNUMBER(SEARCH("Party Name:-",'R.M Billets Reports'!D978)),TRIM('R.M Billets Reports'!F978),IF(ISNUMBER(SEARCH("Party Name-",'R.M Billets Reports'!D978)),TRIM(MID('R.M Billets Reports'!D978,SEARCH("-",'R.M Billets Reports'!D978)+1,200)),"")),IF(ISNUMBER(SEARCH("Party Name:-",'R.M Billets Reports'!D979)),TRIM('R.M Billets Reports'!F979),IF(ISNUMBER(SEARCH("Party Name-",'R.M Billets Reports'!D979)),TRIM(MID('R.M Billets Reports'!D979,SEARCH("-",'R.M Billets Reports'!D979)+1,200)),"")))="SHREE RADHE SHAKTI SPONGE AND POWER PVT. LTD.","SHREE RADHE",IF(IF(ISNUMBER(SEARCH("Party Name:-",'R.M Billets Reports'!D978)),TRIM('R.M Billets Reports'!F978),IF(ISNUMBER(SEARCH("Party Name-",'R.M Billets Reports'!D978)),TRIM(MID('R.M Billets Reports'!D978,SEARCH("-",'R.M Billets Reports'!D978)+1,200)),""))&lt;&gt;"",IF(ISNUMBER(SEARCH("Party Name:-",'R.M Billets Reports'!D978)),TRIM('R.M Billets Reports'!F978),IF(ISNUMBER(SEARCH("Party Name-",'R.M Billets Reports'!D978)),TRIM(MID('R.M Billets Reports'!D978,SEARCH("-",'R.M Billets Reports'!D978)+1,200)),"")),IF(ISNUMBER(SEARCH("Party Name:-",'R.M Billets Reports'!D979)),TRIM('R.M Billets Reports'!F979),IF(ISNUMBER(SEARCH("Party Name-",'R.M Billets Reports'!D979)),TRIM(MID('R.M Billets Reports'!D979,SEARCH("-",'R.M Billets Reports'!D979)+1,200)),"")))))),IF(ROW()=2,"",A978))</f>
      </c>
      <c r="B979">
        <f>IF(OR('R.M Billets Reports'!A978="Date-",'R.M Billets Reports'!A978="Date:-"),'R.M Billets Reports'!B978,IF(ROW()=2,"",B978))</f>
      </c>
      <c r="C979">
        <f>IF('R.M Billets Reports'!A978="V.No.",'R.M Billets Reports'!B978,IF(ROW()=2,"",C978))</f>
      </c>
      <c r="D979">
        <f>IF('R.M Billets Reports'!A978&lt;&gt;"",'R.M Billets Reports'!A978,IF(ROW()=2,"",D978))</f>
      </c>
      <c r="E979">
        <f>IF('R.M Billets Reports'!B978="","",TRIM('R.M Billets Reports'!B978))</f>
      </c>
      <c r="F979">
        <f>'R.M Billets Reports'!C978</f>
      </c>
      <c r="G979">
        <f>'R.M Billets Reports'!D978</f>
      </c>
      <c r="H979">
        <f>'R.M Billets Reports'!E978</f>
      </c>
      <c r="I979">
        <f>'R.M Billets Reports'!F978</f>
      </c>
      <c r="J979">
        <f>'R.M Billets Reports'!G978</f>
      </c>
      <c r="K979">
        <f>'R.M Billets Reports'!H978</f>
      </c>
      <c r="L979">
        <f>IF('R.M Billets Reports'!I978="","",'R.M Billets Reports'!I978)</f>
      </c>
      <c r="M979">
        <f t="shared" si="30"/>
      </c>
      <c r="N979">
        <f>IF('R.M Billets Reports'!J978="","",'R.M Billets Reports'!J978)</f>
      </c>
      <c r="O979">
        <f t="shared" si="31"/>
      </c>
      <c r="P979">
        <f>IF('R.M Billets Reports'!A978="SIZE",'R.M Billets Reports'!B978,P978)</f>
      </c>
    </row>
    <row r="980" spans="1:16" x14ac:dyDescent="0.25">
      <c r="A980">
        <f>IF(OR('R.M Billets Reports'!A979="Date-",'R.M Billets Reports'!A979="Date:-"),IF(IF(IF(ISNUMBER(SEARCH("Party Name:-",'R.M Billets Reports'!D979)),TRIM('R.M Billets Reports'!F979),IF(ISNUMBER(SEARCH("Party Name-",'R.M Billets Reports'!D979)),TRIM(MID('R.M Billets Reports'!D979,SEARCH("-",'R.M Billets Reports'!D979)+1,200)),""))&lt;&gt;"",IF(ISNUMBER(SEARCH("Party Name:-",'R.M Billets Reports'!D979)),TRIM('R.M Billets Reports'!F979),IF(ISNUMBER(SEARCH("Party Name-",'R.M Billets Reports'!D979)),TRIM(MID('R.M Billets Reports'!D979,SEARCH("-",'R.M Billets Reports'!D979)+1,200)),"")),IF(ISNUMBER(SEARCH("Party Name:-",'R.M Billets Reports'!D980)),TRIM('R.M Billets Reports'!F980),IF(ISNUMBER(SEARCH("Party Name-",'R.M Billets Reports'!D980)),TRIM(MID('R.M Billets Reports'!D980,SEARCH("-",'R.M Billets Reports'!D980)+1,200)),"")))="VRKP ISPAT PVT LTD","VRKP",IF(IF(IF(ISNUMBER(SEARCH("Party Name:-",'R.M Billets Reports'!D979)),TRIM('R.M Billets Reports'!F979),IF(ISNUMBER(SEARCH("Party Name-",'R.M Billets Reports'!D979)),TRIM(MID('R.M Billets Reports'!D979,SEARCH("-",'R.M Billets Reports'!D979)+1,200)),""))&lt;&gt;"",IF(ISNUMBER(SEARCH("Party Name:-",'R.M Billets Reports'!D979)),TRIM('R.M Billets Reports'!F979),IF(ISNUMBER(SEARCH("Party Name-",'R.M Billets Reports'!D979)),TRIM(MID('R.M Billets Reports'!D979,SEARCH("-",'R.M Billets Reports'!D979)+1,200)),"")),IF(ISNUMBER(SEARCH("Party Name:-",'R.M Billets Reports'!D980)),TRIM('R.M Billets Reports'!F980),IF(ISNUMBER(SEARCH("Party Name-",'R.M Billets Reports'!D980)),TRIM(MID('R.M Billets Reports'!D980,SEARCH("-",'R.M Billets Reports'!D980)+1,200)),"")))="SHRI RADHE","SHREE RADHE",IF(IF(IF(ISNUMBER(SEARCH("Party Name:-",'R.M Billets Reports'!D979)),TRIM('R.M Billets Reports'!F979),IF(ISNUMBER(SEARCH("Party Name-",'R.M Billets Reports'!D979)),TRIM(MID('R.M Billets Reports'!D979,SEARCH("-",'R.M Billets Reports'!D979)+1,200)),""))&lt;&gt;"",IF(ISNUMBER(SEARCH("Party Name:-",'R.M Billets Reports'!D979)),TRIM('R.M Billets Reports'!F979),IF(ISNUMBER(SEARCH("Party Name-",'R.M Billets Reports'!D979)),TRIM(MID('R.M Billets Reports'!D979,SEARCH("-",'R.M Billets Reports'!D979)+1,200)),"")),IF(ISNUMBER(SEARCH("Party Name:-",'R.M Billets Reports'!D980)),TRIM('R.M Billets Reports'!F980),IF(ISNUMBER(SEARCH("Party Name-",'R.M Billets Reports'!D980)),TRIM(MID('R.M Billets Reports'!D980,SEARCH("-",'R.M Billets Reports'!D980)+1,200)),"")))="SHREE RADHE SHAKTI SPONGE AND POWER PVT. LTD.","SHREE RADHE",IF(IF(ISNUMBER(SEARCH("Party Name:-",'R.M Billets Reports'!D979)),TRIM('R.M Billets Reports'!F979),IF(ISNUMBER(SEARCH("Party Name-",'R.M Billets Reports'!D979)),TRIM(MID('R.M Billets Reports'!D979,SEARCH("-",'R.M Billets Reports'!D979)+1,200)),""))&lt;&gt;"",IF(ISNUMBER(SEARCH("Party Name:-",'R.M Billets Reports'!D979)),TRIM('R.M Billets Reports'!F979),IF(ISNUMBER(SEARCH("Party Name-",'R.M Billets Reports'!D979)),TRIM(MID('R.M Billets Reports'!D979,SEARCH("-",'R.M Billets Reports'!D979)+1,200)),"")),IF(ISNUMBER(SEARCH("Party Name:-",'R.M Billets Reports'!D980)),TRIM('R.M Billets Reports'!F980),IF(ISNUMBER(SEARCH("Party Name-",'R.M Billets Reports'!D980)),TRIM(MID('R.M Billets Reports'!D980,SEARCH("-",'R.M Billets Reports'!D980)+1,200)),"")))))),IF(ROW()=2,"",A979))</f>
      </c>
      <c r="B980">
        <f>IF(OR('R.M Billets Reports'!A979="Date-",'R.M Billets Reports'!A979="Date:-"),'R.M Billets Reports'!B979,IF(ROW()=2,"",B979))</f>
      </c>
      <c r="C980">
        <f>IF('R.M Billets Reports'!A979="V.No.",'R.M Billets Reports'!B979,IF(ROW()=2,"",C979))</f>
      </c>
      <c r="D980">
        <f>IF('R.M Billets Reports'!A979&lt;&gt;"",'R.M Billets Reports'!A979,IF(ROW()=2,"",D979))</f>
      </c>
      <c r="E980">
        <f>IF('R.M Billets Reports'!B979="","",TRIM('R.M Billets Reports'!B979))</f>
      </c>
      <c r="F980">
        <f>'R.M Billets Reports'!C979</f>
      </c>
      <c r="G980">
        <f>'R.M Billets Reports'!D979</f>
      </c>
      <c r="H980">
        <f>'R.M Billets Reports'!E979</f>
      </c>
      <c r="I980">
        <f>'R.M Billets Reports'!F979</f>
      </c>
      <c r="J980">
        <f>'R.M Billets Reports'!G979</f>
      </c>
      <c r="K980">
        <f>'R.M Billets Reports'!H979</f>
      </c>
      <c r="L980">
        <f>IF('R.M Billets Reports'!I979="","",'R.M Billets Reports'!I979)</f>
      </c>
      <c r="M980">
        <f t="shared" si="30"/>
      </c>
      <c r="N980">
        <f>IF('R.M Billets Reports'!J979="","",'R.M Billets Reports'!J979)</f>
      </c>
      <c r="O980">
        <f t="shared" si="31"/>
      </c>
      <c r="P980">
        <f>IF('R.M Billets Reports'!A979="SIZE",'R.M Billets Reports'!B979,P979)</f>
      </c>
    </row>
    <row r="981" spans="1:16" x14ac:dyDescent="0.25">
      <c r="A981">
        <f>IF(OR('R.M Billets Reports'!A980="Date-",'R.M Billets Reports'!A980="Date:-"),IF(IF(IF(ISNUMBER(SEARCH("Party Name:-",'R.M Billets Reports'!D980)),TRIM('R.M Billets Reports'!F980),IF(ISNUMBER(SEARCH("Party Name-",'R.M Billets Reports'!D980)),TRIM(MID('R.M Billets Reports'!D980,SEARCH("-",'R.M Billets Reports'!D980)+1,200)),""))&lt;&gt;"",IF(ISNUMBER(SEARCH("Party Name:-",'R.M Billets Reports'!D980)),TRIM('R.M Billets Reports'!F980),IF(ISNUMBER(SEARCH("Party Name-",'R.M Billets Reports'!D980)),TRIM(MID('R.M Billets Reports'!D980,SEARCH("-",'R.M Billets Reports'!D980)+1,200)),"")),IF(ISNUMBER(SEARCH("Party Name:-",'R.M Billets Reports'!D981)),TRIM('R.M Billets Reports'!F981),IF(ISNUMBER(SEARCH("Party Name-",'R.M Billets Reports'!D981)),TRIM(MID('R.M Billets Reports'!D981,SEARCH("-",'R.M Billets Reports'!D981)+1,200)),"")))="VRKP ISPAT PVT LTD","VRKP",IF(IF(IF(ISNUMBER(SEARCH("Party Name:-",'R.M Billets Reports'!D980)),TRIM('R.M Billets Reports'!F980),IF(ISNUMBER(SEARCH("Party Name-",'R.M Billets Reports'!D980)),TRIM(MID('R.M Billets Reports'!D980,SEARCH("-",'R.M Billets Reports'!D980)+1,200)),""))&lt;&gt;"",IF(ISNUMBER(SEARCH("Party Name:-",'R.M Billets Reports'!D980)),TRIM('R.M Billets Reports'!F980),IF(ISNUMBER(SEARCH("Party Name-",'R.M Billets Reports'!D980)),TRIM(MID('R.M Billets Reports'!D980,SEARCH("-",'R.M Billets Reports'!D980)+1,200)),"")),IF(ISNUMBER(SEARCH("Party Name:-",'R.M Billets Reports'!D981)),TRIM('R.M Billets Reports'!F981),IF(ISNUMBER(SEARCH("Party Name-",'R.M Billets Reports'!D981)),TRIM(MID('R.M Billets Reports'!D981,SEARCH("-",'R.M Billets Reports'!D981)+1,200)),"")))="SHRI RADHE","SHREE RADHE",IF(IF(IF(ISNUMBER(SEARCH("Party Name:-",'R.M Billets Reports'!D980)),TRIM('R.M Billets Reports'!F980),IF(ISNUMBER(SEARCH("Party Name-",'R.M Billets Reports'!D980)),TRIM(MID('R.M Billets Reports'!D980,SEARCH("-",'R.M Billets Reports'!D980)+1,200)),""))&lt;&gt;"",IF(ISNUMBER(SEARCH("Party Name:-",'R.M Billets Reports'!D980)),TRIM('R.M Billets Reports'!F980),IF(ISNUMBER(SEARCH("Party Name-",'R.M Billets Reports'!D980)),TRIM(MID('R.M Billets Reports'!D980,SEARCH("-",'R.M Billets Reports'!D980)+1,200)),"")),IF(ISNUMBER(SEARCH("Party Name:-",'R.M Billets Reports'!D981)),TRIM('R.M Billets Reports'!F981),IF(ISNUMBER(SEARCH("Party Name-",'R.M Billets Reports'!D981)),TRIM(MID('R.M Billets Reports'!D981,SEARCH("-",'R.M Billets Reports'!D981)+1,200)),"")))="SHREE RADHE SHAKTI SPONGE AND POWER PVT. LTD.","SHREE RADHE",IF(IF(ISNUMBER(SEARCH("Party Name:-",'R.M Billets Reports'!D980)),TRIM('R.M Billets Reports'!F980),IF(ISNUMBER(SEARCH("Party Name-",'R.M Billets Reports'!D980)),TRIM(MID('R.M Billets Reports'!D980,SEARCH("-",'R.M Billets Reports'!D980)+1,200)),""))&lt;&gt;"",IF(ISNUMBER(SEARCH("Party Name:-",'R.M Billets Reports'!D980)),TRIM('R.M Billets Reports'!F980),IF(ISNUMBER(SEARCH("Party Name-",'R.M Billets Reports'!D980)),TRIM(MID('R.M Billets Reports'!D980,SEARCH("-",'R.M Billets Reports'!D980)+1,200)),"")),IF(ISNUMBER(SEARCH("Party Name:-",'R.M Billets Reports'!D981)),TRIM('R.M Billets Reports'!F981),IF(ISNUMBER(SEARCH("Party Name-",'R.M Billets Reports'!D981)),TRIM(MID('R.M Billets Reports'!D981,SEARCH("-",'R.M Billets Reports'!D981)+1,200)),"")))))),IF(ROW()=2,"",A980))</f>
      </c>
      <c r="B981">
        <f>IF(OR('R.M Billets Reports'!A980="Date-",'R.M Billets Reports'!A980="Date:-"),'R.M Billets Reports'!B980,IF(ROW()=2,"",B980))</f>
      </c>
      <c r="C981">
        <f>IF('R.M Billets Reports'!A980="V.No.",'R.M Billets Reports'!B980,IF(ROW()=2,"",C980))</f>
      </c>
      <c r="D981">
        <f>IF('R.M Billets Reports'!A980&lt;&gt;"",'R.M Billets Reports'!A980,IF(ROW()=2,"",D980))</f>
      </c>
      <c r="E981">
        <f>IF('R.M Billets Reports'!B980="","",TRIM('R.M Billets Reports'!B980))</f>
      </c>
      <c r="F981">
        <f>'R.M Billets Reports'!C980</f>
      </c>
      <c r="G981">
        <f>'R.M Billets Reports'!D980</f>
      </c>
      <c r="H981">
        <f>'R.M Billets Reports'!E980</f>
      </c>
      <c r="I981">
        <f>'R.M Billets Reports'!F980</f>
      </c>
      <c r="J981">
        <f>'R.M Billets Reports'!G980</f>
      </c>
      <c r="K981">
        <f>'R.M Billets Reports'!H980</f>
      </c>
      <c r="L981">
        <f>IF('R.M Billets Reports'!I980="","",'R.M Billets Reports'!I980)</f>
      </c>
      <c r="M981">
        <f t="shared" si="30"/>
      </c>
      <c r="N981">
        <f>IF('R.M Billets Reports'!J980="","",'R.M Billets Reports'!J980)</f>
      </c>
      <c r="O981">
        <f t="shared" si="31"/>
      </c>
      <c r="P981">
        <f>IF('R.M Billets Reports'!A980="SIZE",'R.M Billets Reports'!B980,P980)</f>
      </c>
    </row>
    <row r="982" spans="1:16" x14ac:dyDescent="0.25">
      <c r="A982">
        <f>IF(OR('R.M Billets Reports'!A981="Date-",'R.M Billets Reports'!A981="Date:-"),IF(IF(IF(ISNUMBER(SEARCH("Party Name:-",'R.M Billets Reports'!D981)),TRIM('R.M Billets Reports'!F981),IF(ISNUMBER(SEARCH("Party Name-",'R.M Billets Reports'!D981)),TRIM(MID('R.M Billets Reports'!D981,SEARCH("-",'R.M Billets Reports'!D981)+1,200)),""))&lt;&gt;"",IF(ISNUMBER(SEARCH("Party Name:-",'R.M Billets Reports'!D981)),TRIM('R.M Billets Reports'!F981),IF(ISNUMBER(SEARCH("Party Name-",'R.M Billets Reports'!D981)),TRIM(MID('R.M Billets Reports'!D981,SEARCH("-",'R.M Billets Reports'!D981)+1,200)),"")),IF(ISNUMBER(SEARCH("Party Name:-",'R.M Billets Reports'!D982)),TRIM('R.M Billets Reports'!F982),IF(ISNUMBER(SEARCH("Party Name-",'R.M Billets Reports'!D982)),TRIM(MID('R.M Billets Reports'!D982,SEARCH("-",'R.M Billets Reports'!D982)+1,200)),"")))="VRKP ISPAT PVT LTD","VRKP",IF(IF(IF(ISNUMBER(SEARCH("Party Name:-",'R.M Billets Reports'!D981)),TRIM('R.M Billets Reports'!F981),IF(ISNUMBER(SEARCH("Party Name-",'R.M Billets Reports'!D981)),TRIM(MID('R.M Billets Reports'!D981,SEARCH("-",'R.M Billets Reports'!D981)+1,200)),""))&lt;&gt;"",IF(ISNUMBER(SEARCH("Party Name:-",'R.M Billets Reports'!D981)),TRIM('R.M Billets Reports'!F981),IF(ISNUMBER(SEARCH("Party Name-",'R.M Billets Reports'!D981)),TRIM(MID('R.M Billets Reports'!D981,SEARCH("-",'R.M Billets Reports'!D981)+1,200)),"")),IF(ISNUMBER(SEARCH("Party Name:-",'R.M Billets Reports'!D982)),TRIM('R.M Billets Reports'!F982),IF(ISNUMBER(SEARCH("Party Name-",'R.M Billets Reports'!D982)),TRIM(MID('R.M Billets Reports'!D982,SEARCH("-",'R.M Billets Reports'!D982)+1,200)),"")))="SHRI RADHE","SHREE RADHE",IF(IF(IF(ISNUMBER(SEARCH("Party Name:-",'R.M Billets Reports'!D981)),TRIM('R.M Billets Reports'!F981),IF(ISNUMBER(SEARCH("Party Name-",'R.M Billets Reports'!D981)),TRIM(MID('R.M Billets Reports'!D981,SEARCH("-",'R.M Billets Reports'!D981)+1,200)),""))&lt;&gt;"",IF(ISNUMBER(SEARCH("Party Name:-",'R.M Billets Reports'!D981)),TRIM('R.M Billets Reports'!F981),IF(ISNUMBER(SEARCH("Party Name-",'R.M Billets Reports'!D981)),TRIM(MID('R.M Billets Reports'!D981,SEARCH("-",'R.M Billets Reports'!D981)+1,200)),"")),IF(ISNUMBER(SEARCH("Party Name:-",'R.M Billets Reports'!D982)),TRIM('R.M Billets Reports'!F982),IF(ISNUMBER(SEARCH("Party Name-",'R.M Billets Reports'!D982)),TRIM(MID('R.M Billets Reports'!D982,SEARCH("-",'R.M Billets Reports'!D982)+1,200)),"")))="SHREE RADHE SHAKTI SPONGE AND POWER PVT. LTD.","SHREE RADHE",IF(IF(ISNUMBER(SEARCH("Party Name:-",'R.M Billets Reports'!D981)),TRIM('R.M Billets Reports'!F981),IF(ISNUMBER(SEARCH("Party Name-",'R.M Billets Reports'!D981)),TRIM(MID('R.M Billets Reports'!D981,SEARCH("-",'R.M Billets Reports'!D981)+1,200)),""))&lt;&gt;"",IF(ISNUMBER(SEARCH("Party Name:-",'R.M Billets Reports'!D981)),TRIM('R.M Billets Reports'!F981),IF(ISNUMBER(SEARCH("Party Name-",'R.M Billets Reports'!D981)),TRIM(MID('R.M Billets Reports'!D981,SEARCH("-",'R.M Billets Reports'!D981)+1,200)),"")),IF(ISNUMBER(SEARCH("Party Name:-",'R.M Billets Reports'!D982)),TRIM('R.M Billets Reports'!F982),IF(ISNUMBER(SEARCH("Party Name-",'R.M Billets Reports'!D982)),TRIM(MID('R.M Billets Reports'!D982,SEARCH("-",'R.M Billets Reports'!D982)+1,200)),"")))))),IF(ROW()=2,"",A981))</f>
      </c>
      <c r="B982">
        <f>IF(OR('R.M Billets Reports'!A981="Date-",'R.M Billets Reports'!A981="Date:-"),'R.M Billets Reports'!B981,IF(ROW()=2,"",B981))</f>
      </c>
      <c r="C982">
        <f>IF('R.M Billets Reports'!A981="V.No.",'R.M Billets Reports'!B981,IF(ROW()=2,"",C981))</f>
      </c>
      <c r="D982">
        <f>IF('R.M Billets Reports'!A981&lt;&gt;"",'R.M Billets Reports'!A981,IF(ROW()=2,"",D981))</f>
      </c>
      <c r="E982">
        <f>IF('R.M Billets Reports'!B981="","",TRIM('R.M Billets Reports'!B981))</f>
      </c>
      <c r="F982">
        <f>'R.M Billets Reports'!C981</f>
      </c>
      <c r="G982">
        <f>'R.M Billets Reports'!D981</f>
      </c>
      <c r="H982">
        <f>'R.M Billets Reports'!E981</f>
      </c>
      <c r="I982">
        <f>'R.M Billets Reports'!F981</f>
      </c>
      <c r="J982">
        <f>'R.M Billets Reports'!G981</f>
      </c>
      <c r="K982">
        <f>'R.M Billets Reports'!H981</f>
      </c>
      <c r="L982">
        <f>IF('R.M Billets Reports'!I981="","",'R.M Billets Reports'!I981)</f>
      </c>
      <c r="M982">
        <f t="shared" si="30"/>
      </c>
      <c r="N982">
        <f>IF('R.M Billets Reports'!J981="","",'R.M Billets Reports'!J981)</f>
      </c>
      <c r="O982">
        <f t="shared" si="31"/>
      </c>
      <c r="P982">
        <f>IF('R.M Billets Reports'!A981="SIZE",'R.M Billets Reports'!B981,P981)</f>
      </c>
    </row>
    <row r="983" spans="1:16" x14ac:dyDescent="0.25">
      <c r="A983">
        <f>IF(OR('R.M Billets Reports'!A982="Date-",'R.M Billets Reports'!A982="Date:-"),IF(IF(IF(ISNUMBER(SEARCH("Party Name:-",'R.M Billets Reports'!D982)),TRIM('R.M Billets Reports'!F982),IF(ISNUMBER(SEARCH("Party Name-",'R.M Billets Reports'!D982)),TRIM(MID('R.M Billets Reports'!D982,SEARCH("-",'R.M Billets Reports'!D982)+1,200)),""))&lt;&gt;"",IF(ISNUMBER(SEARCH("Party Name:-",'R.M Billets Reports'!D982)),TRIM('R.M Billets Reports'!F982),IF(ISNUMBER(SEARCH("Party Name-",'R.M Billets Reports'!D982)),TRIM(MID('R.M Billets Reports'!D982,SEARCH("-",'R.M Billets Reports'!D982)+1,200)),"")),IF(ISNUMBER(SEARCH("Party Name:-",'R.M Billets Reports'!D983)),TRIM('R.M Billets Reports'!F983),IF(ISNUMBER(SEARCH("Party Name-",'R.M Billets Reports'!D983)),TRIM(MID('R.M Billets Reports'!D983,SEARCH("-",'R.M Billets Reports'!D983)+1,200)),"")))="VRKP ISPAT PVT LTD","VRKP",IF(IF(IF(ISNUMBER(SEARCH("Party Name:-",'R.M Billets Reports'!D982)),TRIM('R.M Billets Reports'!F982),IF(ISNUMBER(SEARCH("Party Name-",'R.M Billets Reports'!D982)),TRIM(MID('R.M Billets Reports'!D982,SEARCH("-",'R.M Billets Reports'!D982)+1,200)),""))&lt;&gt;"",IF(ISNUMBER(SEARCH("Party Name:-",'R.M Billets Reports'!D982)),TRIM('R.M Billets Reports'!F982),IF(ISNUMBER(SEARCH("Party Name-",'R.M Billets Reports'!D982)),TRIM(MID('R.M Billets Reports'!D982,SEARCH("-",'R.M Billets Reports'!D982)+1,200)),"")),IF(ISNUMBER(SEARCH("Party Name:-",'R.M Billets Reports'!D983)),TRIM('R.M Billets Reports'!F983),IF(ISNUMBER(SEARCH("Party Name-",'R.M Billets Reports'!D983)),TRIM(MID('R.M Billets Reports'!D983,SEARCH("-",'R.M Billets Reports'!D983)+1,200)),"")))="SHRI RADHE","SHREE RADHE",IF(IF(IF(ISNUMBER(SEARCH("Party Name:-",'R.M Billets Reports'!D982)),TRIM('R.M Billets Reports'!F982),IF(ISNUMBER(SEARCH("Party Name-",'R.M Billets Reports'!D982)),TRIM(MID('R.M Billets Reports'!D982,SEARCH("-",'R.M Billets Reports'!D982)+1,200)),""))&lt;&gt;"",IF(ISNUMBER(SEARCH("Party Name:-",'R.M Billets Reports'!D982)),TRIM('R.M Billets Reports'!F982),IF(ISNUMBER(SEARCH("Party Name-",'R.M Billets Reports'!D982)),TRIM(MID('R.M Billets Reports'!D982,SEARCH("-",'R.M Billets Reports'!D982)+1,200)),"")),IF(ISNUMBER(SEARCH("Party Name:-",'R.M Billets Reports'!D983)),TRIM('R.M Billets Reports'!F983),IF(ISNUMBER(SEARCH("Party Name-",'R.M Billets Reports'!D983)),TRIM(MID('R.M Billets Reports'!D983,SEARCH("-",'R.M Billets Reports'!D983)+1,200)),"")))="SHREE RADHE SHAKTI SPONGE AND POWER PVT. LTD.","SHREE RADHE",IF(IF(ISNUMBER(SEARCH("Party Name:-",'R.M Billets Reports'!D982)),TRIM('R.M Billets Reports'!F982),IF(ISNUMBER(SEARCH("Party Name-",'R.M Billets Reports'!D982)),TRIM(MID('R.M Billets Reports'!D982,SEARCH("-",'R.M Billets Reports'!D982)+1,200)),""))&lt;&gt;"",IF(ISNUMBER(SEARCH("Party Name:-",'R.M Billets Reports'!D982)),TRIM('R.M Billets Reports'!F982),IF(ISNUMBER(SEARCH("Party Name-",'R.M Billets Reports'!D982)),TRIM(MID('R.M Billets Reports'!D982,SEARCH("-",'R.M Billets Reports'!D982)+1,200)),"")),IF(ISNUMBER(SEARCH("Party Name:-",'R.M Billets Reports'!D983)),TRIM('R.M Billets Reports'!F983),IF(ISNUMBER(SEARCH("Party Name-",'R.M Billets Reports'!D983)),TRIM(MID('R.M Billets Reports'!D983,SEARCH("-",'R.M Billets Reports'!D983)+1,200)),"")))))),IF(ROW()=2,"",A982))</f>
      </c>
      <c r="B983">
        <f>IF(OR('R.M Billets Reports'!A982="Date-",'R.M Billets Reports'!A982="Date:-"),'R.M Billets Reports'!B982,IF(ROW()=2,"",B982))</f>
      </c>
      <c r="C983">
        <f>IF('R.M Billets Reports'!A982="V.No.",'R.M Billets Reports'!B982,IF(ROW()=2,"",C982))</f>
      </c>
      <c r="D983">
        <f>IF('R.M Billets Reports'!A982&lt;&gt;"",'R.M Billets Reports'!A982,IF(ROW()=2,"",D982))</f>
      </c>
      <c r="E983">
        <f>IF('R.M Billets Reports'!B982="","",TRIM('R.M Billets Reports'!B982))</f>
      </c>
      <c r="F983">
        <f>'R.M Billets Reports'!C982</f>
      </c>
      <c r="G983">
        <f>'R.M Billets Reports'!D982</f>
      </c>
      <c r="H983">
        <f>'R.M Billets Reports'!E982</f>
      </c>
      <c r="I983">
        <f>'R.M Billets Reports'!F982</f>
      </c>
      <c r="J983">
        <f>'R.M Billets Reports'!G982</f>
      </c>
      <c r="K983">
        <f>'R.M Billets Reports'!H982</f>
      </c>
      <c r="L983">
        <f>IF('R.M Billets Reports'!I982="","",'R.M Billets Reports'!I982)</f>
      </c>
      <c r="M983">
        <f t="shared" si="30"/>
      </c>
      <c r="N983">
        <f>IF('R.M Billets Reports'!J982="","",'R.M Billets Reports'!J982)</f>
      </c>
      <c r="O983">
        <f t="shared" si="31"/>
      </c>
      <c r="P983">
        <f>IF('R.M Billets Reports'!A982="SIZE",'R.M Billets Reports'!B982,P982)</f>
      </c>
    </row>
    <row r="984" spans="1:16" x14ac:dyDescent="0.25">
      <c r="A984">
        <f>IF(OR('R.M Billets Reports'!A983="Date-",'R.M Billets Reports'!A983="Date:-"),IF(IF(IF(ISNUMBER(SEARCH("Party Name:-",'R.M Billets Reports'!D983)),TRIM('R.M Billets Reports'!F983),IF(ISNUMBER(SEARCH("Party Name-",'R.M Billets Reports'!D983)),TRIM(MID('R.M Billets Reports'!D983,SEARCH("-",'R.M Billets Reports'!D983)+1,200)),""))&lt;&gt;"",IF(ISNUMBER(SEARCH("Party Name:-",'R.M Billets Reports'!D983)),TRIM('R.M Billets Reports'!F983),IF(ISNUMBER(SEARCH("Party Name-",'R.M Billets Reports'!D983)),TRIM(MID('R.M Billets Reports'!D983,SEARCH("-",'R.M Billets Reports'!D983)+1,200)),"")),IF(ISNUMBER(SEARCH("Party Name:-",'R.M Billets Reports'!D984)),TRIM('R.M Billets Reports'!F984),IF(ISNUMBER(SEARCH("Party Name-",'R.M Billets Reports'!D984)),TRIM(MID('R.M Billets Reports'!D984,SEARCH("-",'R.M Billets Reports'!D984)+1,200)),"")))="VRKP ISPAT PVT LTD","VRKP",IF(IF(IF(ISNUMBER(SEARCH("Party Name:-",'R.M Billets Reports'!D983)),TRIM('R.M Billets Reports'!F983),IF(ISNUMBER(SEARCH("Party Name-",'R.M Billets Reports'!D983)),TRIM(MID('R.M Billets Reports'!D983,SEARCH("-",'R.M Billets Reports'!D983)+1,200)),""))&lt;&gt;"",IF(ISNUMBER(SEARCH("Party Name:-",'R.M Billets Reports'!D983)),TRIM('R.M Billets Reports'!F983),IF(ISNUMBER(SEARCH("Party Name-",'R.M Billets Reports'!D983)),TRIM(MID('R.M Billets Reports'!D983,SEARCH("-",'R.M Billets Reports'!D983)+1,200)),"")),IF(ISNUMBER(SEARCH("Party Name:-",'R.M Billets Reports'!D984)),TRIM('R.M Billets Reports'!F984),IF(ISNUMBER(SEARCH("Party Name-",'R.M Billets Reports'!D984)),TRIM(MID('R.M Billets Reports'!D984,SEARCH("-",'R.M Billets Reports'!D984)+1,200)),"")))="SHRI RADHE","SHREE RADHE",IF(IF(IF(ISNUMBER(SEARCH("Party Name:-",'R.M Billets Reports'!D983)),TRIM('R.M Billets Reports'!F983),IF(ISNUMBER(SEARCH("Party Name-",'R.M Billets Reports'!D983)),TRIM(MID('R.M Billets Reports'!D983,SEARCH("-",'R.M Billets Reports'!D983)+1,200)),""))&lt;&gt;"",IF(ISNUMBER(SEARCH("Party Name:-",'R.M Billets Reports'!D983)),TRIM('R.M Billets Reports'!F983),IF(ISNUMBER(SEARCH("Party Name-",'R.M Billets Reports'!D983)),TRIM(MID('R.M Billets Reports'!D983,SEARCH("-",'R.M Billets Reports'!D983)+1,200)),"")),IF(ISNUMBER(SEARCH("Party Name:-",'R.M Billets Reports'!D984)),TRIM('R.M Billets Reports'!F984),IF(ISNUMBER(SEARCH("Party Name-",'R.M Billets Reports'!D984)),TRIM(MID('R.M Billets Reports'!D984,SEARCH("-",'R.M Billets Reports'!D984)+1,200)),"")))="SHREE RADHE SHAKTI SPONGE AND POWER PVT. LTD.","SHREE RADHE",IF(IF(ISNUMBER(SEARCH("Party Name:-",'R.M Billets Reports'!D983)),TRIM('R.M Billets Reports'!F983),IF(ISNUMBER(SEARCH("Party Name-",'R.M Billets Reports'!D983)),TRIM(MID('R.M Billets Reports'!D983,SEARCH("-",'R.M Billets Reports'!D983)+1,200)),""))&lt;&gt;"",IF(ISNUMBER(SEARCH("Party Name:-",'R.M Billets Reports'!D983)),TRIM('R.M Billets Reports'!F983),IF(ISNUMBER(SEARCH("Party Name-",'R.M Billets Reports'!D983)),TRIM(MID('R.M Billets Reports'!D983,SEARCH("-",'R.M Billets Reports'!D983)+1,200)),"")),IF(ISNUMBER(SEARCH("Party Name:-",'R.M Billets Reports'!D984)),TRIM('R.M Billets Reports'!F984),IF(ISNUMBER(SEARCH("Party Name-",'R.M Billets Reports'!D984)),TRIM(MID('R.M Billets Reports'!D984,SEARCH("-",'R.M Billets Reports'!D984)+1,200)),"")))))),IF(ROW()=2,"",A983))</f>
      </c>
      <c r="B984">
        <f>IF(OR('R.M Billets Reports'!A983="Date-",'R.M Billets Reports'!A983="Date:-"),'R.M Billets Reports'!B983,IF(ROW()=2,"",B983))</f>
      </c>
      <c r="C984">
        <f>IF('R.M Billets Reports'!A983="V.No.",'R.M Billets Reports'!B983,IF(ROW()=2,"",C983))</f>
      </c>
      <c r="D984">
        <f>IF('R.M Billets Reports'!A983&lt;&gt;"",'R.M Billets Reports'!A983,IF(ROW()=2,"",D983))</f>
      </c>
      <c r="E984">
        <f>IF('R.M Billets Reports'!B983="","",TRIM('R.M Billets Reports'!B983))</f>
      </c>
      <c r="F984">
        <f>'R.M Billets Reports'!C983</f>
      </c>
      <c r="G984">
        <f>'R.M Billets Reports'!D983</f>
      </c>
      <c r="H984">
        <f>'R.M Billets Reports'!E983</f>
      </c>
      <c r="I984">
        <f>'R.M Billets Reports'!F983</f>
      </c>
      <c r="J984">
        <f>'R.M Billets Reports'!G983</f>
      </c>
      <c r="K984">
        <f>'R.M Billets Reports'!H983</f>
      </c>
      <c r="L984">
        <f>IF('R.M Billets Reports'!I983="","",'R.M Billets Reports'!I983)</f>
      </c>
      <c r="M984">
        <f t="shared" si="30"/>
      </c>
      <c r="N984">
        <f>IF('R.M Billets Reports'!J983="","",'R.M Billets Reports'!J983)</f>
      </c>
      <c r="O984">
        <f t="shared" si="31"/>
      </c>
      <c r="P984">
        <f>IF('R.M Billets Reports'!A983="SIZE",'R.M Billets Reports'!B983,P983)</f>
      </c>
    </row>
    <row r="985" spans="1:16" x14ac:dyDescent="0.25">
      <c r="A985">
        <f>IF(OR('R.M Billets Reports'!A984="Date-",'R.M Billets Reports'!A984="Date:-"),IF(IF(IF(ISNUMBER(SEARCH("Party Name:-",'R.M Billets Reports'!D984)),TRIM('R.M Billets Reports'!F984),IF(ISNUMBER(SEARCH("Party Name-",'R.M Billets Reports'!D984)),TRIM(MID('R.M Billets Reports'!D984,SEARCH("-",'R.M Billets Reports'!D984)+1,200)),""))&lt;&gt;"",IF(ISNUMBER(SEARCH("Party Name:-",'R.M Billets Reports'!D984)),TRIM('R.M Billets Reports'!F984),IF(ISNUMBER(SEARCH("Party Name-",'R.M Billets Reports'!D984)),TRIM(MID('R.M Billets Reports'!D984,SEARCH("-",'R.M Billets Reports'!D984)+1,200)),"")),IF(ISNUMBER(SEARCH("Party Name:-",'R.M Billets Reports'!D985)),TRIM('R.M Billets Reports'!F985),IF(ISNUMBER(SEARCH("Party Name-",'R.M Billets Reports'!D985)),TRIM(MID('R.M Billets Reports'!D985,SEARCH("-",'R.M Billets Reports'!D985)+1,200)),"")))="VRKP ISPAT PVT LTD","VRKP",IF(IF(IF(ISNUMBER(SEARCH("Party Name:-",'R.M Billets Reports'!D984)),TRIM('R.M Billets Reports'!F984),IF(ISNUMBER(SEARCH("Party Name-",'R.M Billets Reports'!D984)),TRIM(MID('R.M Billets Reports'!D984,SEARCH("-",'R.M Billets Reports'!D984)+1,200)),""))&lt;&gt;"",IF(ISNUMBER(SEARCH("Party Name:-",'R.M Billets Reports'!D984)),TRIM('R.M Billets Reports'!F984),IF(ISNUMBER(SEARCH("Party Name-",'R.M Billets Reports'!D984)),TRIM(MID('R.M Billets Reports'!D984,SEARCH("-",'R.M Billets Reports'!D984)+1,200)),"")),IF(ISNUMBER(SEARCH("Party Name:-",'R.M Billets Reports'!D985)),TRIM('R.M Billets Reports'!F985),IF(ISNUMBER(SEARCH("Party Name-",'R.M Billets Reports'!D985)),TRIM(MID('R.M Billets Reports'!D985,SEARCH("-",'R.M Billets Reports'!D985)+1,200)),"")))="SHRI RADHE","SHREE RADHE",IF(IF(IF(ISNUMBER(SEARCH("Party Name:-",'R.M Billets Reports'!D984)),TRIM('R.M Billets Reports'!F984),IF(ISNUMBER(SEARCH("Party Name-",'R.M Billets Reports'!D984)),TRIM(MID('R.M Billets Reports'!D984,SEARCH("-",'R.M Billets Reports'!D984)+1,200)),""))&lt;&gt;"",IF(ISNUMBER(SEARCH("Party Name:-",'R.M Billets Reports'!D984)),TRIM('R.M Billets Reports'!F984),IF(ISNUMBER(SEARCH("Party Name-",'R.M Billets Reports'!D984)),TRIM(MID('R.M Billets Reports'!D984,SEARCH("-",'R.M Billets Reports'!D984)+1,200)),"")),IF(ISNUMBER(SEARCH("Party Name:-",'R.M Billets Reports'!D985)),TRIM('R.M Billets Reports'!F985),IF(ISNUMBER(SEARCH("Party Name-",'R.M Billets Reports'!D985)),TRIM(MID('R.M Billets Reports'!D985,SEARCH("-",'R.M Billets Reports'!D985)+1,200)),"")))="SHREE RADHE SHAKTI SPONGE AND POWER PVT. LTD.","SHREE RADHE",IF(IF(ISNUMBER(SEARCH("Party Name:-",'R.M Billets Reports'!D984)),TRIM('R.M Billets Reports'!F984),IF(ISNUMBER(SEARCH("Party Name-",'R.M Billets Reports'!D984)),TRIM(MID('R.M Billets Reports'!D984,SEARCH("-",'R.M Billets Reports'!D984)+1,200)),""))&lt;&gt;"",IF(ISNUMBER(SEARCH("Party Name:-",'R.M Billets Reports'!D984)),TRIM('R.M Billets Reports'!F984),IF(ISNUMBER(SEARCH("Party Name-",'R.M Billets Reports'!D984)),TRIM(MID('R.M Billets Reports'!D984,SEARCH("-",'R.M Billets Reports'!D984)+1,200)),"")),IF(ISNUMBER(SEARCH("Party Name:-",'R.M Billets Reports'!D985)),TRIM('R.M Billets Reports'!F985),IF(ISNUMBER(SEARCH("Party Name-",'R.M Billets Reports'!D985)),TRIM(MID('R.M Billets Reports'!D985,SEARCH("-",'R.M Billets Reports'!D985)+1,200)),"")))))),IF(ROW()=2,"",A984))</f>
      </c>
      <c r="B985">
        <f>IF(OR('R.M Billets Reports'!A984="Date-",'R.M Billets Reports'!A984="Date:-"),'R.M Billets Reports'!B984,IF(ROW()=2,"",B984))</f>
      </c>
      <c r="C985">
        <f>IF('R.M Billets Reports'!A984="V.No.",'R.M Billets Reports'!B984,IF(ROW()=2,"",C984))</f>
      </c>
      <c r="D985">
        <f>IF('R.M Billets Reports'!A984&lt;&gt;"",'R.M Billets Reports'!A984,IF(ROW()=2,"",D984))</f>
      </c>
      <c r="E985">
        <f>IF('R.M Billets Reports'!B984="","",TRIM('R.M Billets Reports'!B984))</f>
      </c>
      <c r="F985">
        <f>'R.M Billets Reports'!C984</f>
      </c>
      <c r="G985">
        <f>'R.M Billets Reports'!D984</f>
      </c>
      <c r="H985">
        <f>'R.M Billets Reports'!E984</f>
      </c>
      <c r="I985">
        <f>'R.M Billets Reports'!F984</f>
      </c>
      <c r="J985">
        <f>'R.M Billets Reports'!G984</f>
      </c>
      <c r="K985">
        <f>'R.M Billets Reports'!H984</f>
      </c>
      <c r="L985">
        <f>IF('R.M Billets Reports'!I984="","",'R.M Billets Reports'!I984)</f>
      </c>
      <c r="M985">
        <f t="shared" si="30"/>
      </c>
      <c r="N985">
        <f>IF('R.M Billets Reports'!J984="","",'R.M Billets Reports'!J984)</f>
      </c>
      <c r="O985">
        <f t="shared" si="31"/>
      </c>
      <c r="P985">
        <f>IF('R.M Billets Reports'!A984="SIZE",'R.M Billets Reports'!B984,P984)</f>
      </c>
    </row>
    <row r="986" spans="1:16" x14ac:dyDescent="0.25">
      <c r="A986">
        <f>IF(OR('R.M Billets Reports'!A985="Date-",'R.M Billets Reports'!A985="Date:-"),IF(IF(IF(ISNUMBER(SEARCH("Party Name:-",'R.M Billets Reports'!D985)),TRIM('R.M Billets Reports'!F985),IF(ISNUMBER(SEARCH("Party Name-",'R.M Billets Reports'!D985)),TRIM(MID('R.M Billets Reports'!D985,SEARCH("-",'R.M Billets Reports'!D985)+1,200)),""))&lt;&gt;"",IF(ISNUMBER(SEARCH("Party Name:-",'R.M Billets Reports'!D985)),TRIM('R.M Billets Reports'!F985),IF(ISNUMBER(SEARCH("Party Name-",'R.M Billets Reports'!D985)),TRIM(MID('R.M Billets Reports'!D985,SEARCH("-",'R.M Billets Reports'!D985)+1,200)),"")),IF(ISNUMBER(SEARCH("Party Name:-",'R.M Billets Reports'!D986)),TRIM('R.M Billets Reports'!F986),IF(ISNUMBER(SEARCH("Party Name-",'R.M Billets Reports'!D986)),TRIM(MID('R.M Billets Reports'!D986,SEARCH("-",'R.M Billets Reports'!D986)+1,200)),"")))="VRKP ISPAT PVT LTD","VRKP",IF(IF(IF(ISNUMBER(SEARCH("Party Name:-",'R.M Billets Reports'!D985)),TRIM('R.M Billets Reports'!F985),IF(ISNUMBER(SEARCH("Party Name-",'R.M Billets Reports'!D985)),TRIM(MID('R.M Billets Reports'!D985,SEARCH("-",'R.M Billets Reports'!D985)+1,200)),""))&lt;&gt;"",IF(ISNUMBER(SEARCH("Party Name:-",'R.M Billets Reports'!D985)),TRIM('R.M Billets Reports'!F985),IF(ISNUMBER(SEARCH("Party Name-",'R.M Billets Reports'!D985)),TRIM(MID('R.M Billets Reports'!D985,SEARCH("-",'R.M Billets Reports'!D985)+1,200)),"")),IF(ISNUMBER(SEARCH("Party Name:-",'R.M Billets Reports'!D986)),TRIM('R.M Billets Reports'!F986),IF(ISNUMBER(SEARCH("Party Name-",'R.M Billets Reports'!D986)),TRIM(MID('R.M Billets Reports'!D986,SEARCH("-",'R.M Billets Reports'!D986)+1,200)),"")))="SHRI RADHE","SHREE RADHE",IF(IF(IF(ISNUMBER(SEARCH("Party Name:-",'R.M Billets Reports'!D985)),TRIM('R.M Billets Reports'!F985),IF(ISNUMBER(SEARCH("Party Name-",'R.M Billets Reports'!D985)),TRIM(MID('R.M Billets Reports'!D985,SEARCH("-",'R.M Billets Reports'!D985)+1,200)),""))&lt;&gt;"",IF(ISNUMBER(SEARCH("Party Name:-",'R.M Billets Reports'!D985)),TRIM('R.M Billets Reports'!F985),IF(ISNUMBER(SEARCH("Party Name-",'R.M Billets Reports'!D985)),TRIM(MID('R.M Billets Reports'!D985,SEARCH("-",'R.M Billets Reports'!D985)+1,200)),"")),IF(ISNUMBER(SEARCH("Party Name:-",'R.M Billets Reports'!D986)),TRIM('R.M Billets Reports'!F986),IF(ISNUMBER(SEARCH("Party Name-",'R.M Billets Reports'!D986)),TRIM(MID('R.M Billets Reports'!D986,SEARCH("-",'R.M Billets Reports'!D986)+1,200)),"")))="SHREE RADHE SHAKTI SPONGE AND POWER PVT. LTD.","SHREE RADHE",IF(IF(ISNUMBER(SEARCH("Party Name:-",'R.M Billets Reports'!D985)),TRIM('R.M Billets Reports'!F985),IF(ISNUMBER(SEARCH("Party Name-",'R.M Billets Reports'!D985)),TRIM(MID('R.M Billets Reports'!D985,SEARCH("-",'R.M Billets Reports'!D985)+1,200)),""))&lt;&gt;"",IF(ISNUMBER(SEARCH("Party Name:-",'R.M Billets Reports'!D985)),TRIM('R.M Billets Reports'!F985),IF(ISNUMBER(SEARCH("Party Name-",'R.M Billets Reports'!D985)),TRIM(MID('R.M Billets Reports'!D985,SEARCH("-",'R.M Billets Reports'!D985)+1,200)),"")),IF(ISNUMBER(SEARCH("Party Name:-",'R.M Billets Reports'!D986)),TRIM('R.M Billets Reports'!F986),IF(ISNUMBER(SEARCH("Party Name-",'R.M Billets Reports'!D986)),TRIM(MID('R.M Billets Reports'!D986,SEARCH("-",'R.M Billets Reports'!D986)+1,200)),"")))))),IF(ROW()=2,"",A985))</f>
      </c>
      <c r="B986">
        <f>IF(OR('R.M Billets Reports'!A985="Date-",'R.M Billets Reports'!A985="Date:-"),'R.M Billets Reports'!B985,IF(ROW()=2,"",B985))</f>
      </c>
      <c r="C986">
        <f>IF('R.M Billets Reports'!A985="V.No.",'R.M Billets Reports'!B985,IF(ROW()=2,"",C985))</f>
      </c>
      <c r="D986">
        <f>IF('R.M Billets Reports'!A985&lt;&gt;"",'R.M Billets Reports'!A985,IF(ROW()=2,"",D985))</f>
      </c>
      <c r="E986">
        <f>IF('R.M Billets Reports'!B985="","",TRIM('R.M Billets Reports'!B985))</f>
      </c>
      <c r="F986">
        <f>'R.M Billets Reports'!C985</f>
      </c>
      <c r="G986">
        <f>'R.M Billets Reports'!D985</f>
      </c>
      <c r="H986">
        <f>'R.M Billets Reports'!E985</f>
      </c>
      <c r="I986">
        <f>'R.M Billets Reports'!F985</f>
      </c>
      <c r="J986">
        <f>'R.M Billets Reports'!G985</f>
      </c>
      <c r="K986">
        <f>'R.M Billets Reports'!H985</f>
      </c>
      <c r="L986">
        <f>IF('R.M Billets Reports'!I985="","",'R.M Billets Reports'!I985)</f>
      </c>
      <c r="M986">
        <f t="shared" si="30"/>
      </c>
      <c r="N986">
        <f>IF('R.M Billets Reports'!J985="","",'R.M Billets Reports'!J985)</f>
      </c>
      <c r="O986">
        <f t="shared" si="31"/>
      </c>
      <c r="P986">
        <f>IF('R.M Billets Reports'!A985="SIZE",'R.M Billets Reports'!B985,P985)</f>
      </c>
    </row>
    <row r="987" spans="1:16" x14ac:dyDescent="0.25">
      <c r="A987">
        <f>IF(OR('R.M Billets Reports'!A986="Date-",'R.M Billets Reports'!A986="Date:-"),IF(IF(IF(ISNUMBER(SEARCH("Party Name:-",'R.M Billets Reports'!D986)),TRIM('R.M Billets Reports'!F986),IF(ISNUMBER(SEARCH("Party Name-",'R.M Billets Reports'!D986)),TRIM(MID('R.M Billets Reports'!D986,SEARCH("-",'R.M Billets Reports'!D986)+1,200)),""))&lt;&gt;"",IF(ISNUMBER(SEARCH("Party Name:-",'R.M Billets Reports'!D986)),TRIM('R.M Billets Reports'!F986),IF(ISNUMBER(SEARCH("Party Name-",'R.M Billets Reports'!D986)),TRIM(MID('R.M Billets Reports'!D986,SEARCH("-",'R.M Billets Reports'!D986)+1,200)),"")),IF(ISNUMBER(SEARCH("Party Name:-",'R.M Billets Reports'!D987)),TRIM('R.M Billets Reports'!F987),IF(ISNUMBER(SEARCH("Party Name-",'R.M Billets Reports'!D987)),TRIM(MID('R.M Billets Reports'!D987,SEARCH("-",'R.M Billets Reports'!D987)+1,200)),"")))="VRKP ISPAT PVT LTD","VRKP",IF(IF(IF(ISNUMBER(SEARCH("Party Name:-",'R.M Billets Reports'!D986)),TRIM('R.M Billets Reports'!F986),IF(ISNUMBER(SEARCH("Party Name-",'R.M Billets Reports'!D986)),TRIM(MID('R.M Billets Reports'!D986,SEARCH("-",'R.M Billets Reports'!D986)+1,200)),""))&lt;&gt;"",IF(ISNUMBER(SEARCH("Party Name:-",'R.M Billets Reports'!D986)),TRIM('R.M Billets Reports'!F986),IF(ISNUMBER(SEARCH("Party Name-",'R.M Billets Reports'!D986)),TRIM(MID('R.M Billets Reports'!D986,SEARCH("-",'R.M Billets Reports'!D986)+1,200)),"")),IF(ISNUMBER(SEARCH("Party Name:-",'R.M Billets Reports'!D987)),TRIM('R.M Billets Reports'!F987),IF(ISNUMBER(SEARCH("Party Name-",'R.M Billets Reports'!D987)),TRIM(MID('R.M Billets Reports'!D987,SEARCH("-",'R.M Billets Reports'!D987)+1,200)),"")))="SHRI RADHE","SHREE RADHE",IF(IF(IF(ISNUMBER(SEARCH("Party Name:-",'R.M Billets Reports'!D986)),TRIM('R.M Billets Reports'!F986),IF(ISNUMBER(SEARCH("Party Name-",'R.M Billets Reports'!D986)),TRIM(MID('R.M Billets Reports'!D986,SEARCH("-",'R.M Billets Reports'!D986)+1,200)),""))&lt;&gt;"",IF(ISNUMBER(SEARCH("Party Name:-",'R.M Billets Reports'!D986)),TRIM('R.M Billets Reports'!F986),IF(ISNUMBER(SEARCH("Party Name-",'R.M Billets Reports'!D986)),TRIM(MID('R.M Billets Reports'!D986,SEARCH("-",'R.M Billets Reports'!D986)+1,200)),"")),IF(ISNUMBER(SEARCH("Party Name:-",'R.M Billets Reports'!D987)),TRIM('R.M Billets Reports'!F987),IF(ISNUMBER(SEARCH("Party Name-",'R.M Billets Reports'!D987)),TRIM(MID('R.M Billets Reports'!D987,SEARCH("-",'R.M Billets Reports'!D987)+1,200)),"")))="SHREE RADHE SHAKTI SPONGE AND POWER PVT. LTD.","SHREE RADHE",IF(IF(ISNUMBER(SEARCH("Party Name:-",'R.M Billets Reports'!D986)),TRIM('R.M Billets Reports'!F986),IF(ISNUMBER(SEARCH("Party Name-",'R.M Billets Reports'!D986)),TRIM(MID('R.M Billets Reports'!D986,SEARCH("-",'R.M Billets Reports'!D986)+1,200)),""))&lt;&gt;"",IF(ISNUMBER(SEARCH("Party Name:-",'R.M Billets Reports'!D986)),TRIM('R.M Billets Reports'!F986),IF(ISNUMBER(SEARCH("Party Name-",'R.M Billets Reports'!D986)),TRIM(MID('R.M Billets Reports'!D986,SEARCH("-",'R.M Billets Reports'!D986)+1,200)),"")),IF(ISNUMBER(SEARCH("Party Name:-",'R.M Billets Reports'!D987)),TRIM('R.M Billets Reports'!F987),IF(ISNUMBER(SEARCH("Party Name-",'R.M Billets Reports'!D987)),TRIM(MID('R.M Billets Reports'!D987,SEARCH("-",'R.M Billets Reports'!D987)+1,200)),"")))))),IF(ROW()=2,"",A986))</f>
      </c>
      <c r="B987">
        <f>IF(OR('R.M Billets Reports'!A986="Date-",'R.M Billets Reports'!A986="Date:-"),'R.M Billets Reports'!B986,IF(ROW()=2,"",B986))</f>
      </c>
      <c r="C987">
        <f>IF('R.M Billets Reports'!A986="V.No.",'R.M Billets Reports'!B986,IF(ROW()=2,"",C986))</f>
      </c>
      <c r="D987">
        <f>IF('R.M Billets Reports'!A986&lt;&gt;"",'R.M Billets Reports'!A986,IF(ROW()=2,"",D986))</f>
      </c>
      <c r="E987">
        <f>IF('R.M Billets Reports'!B986="","",TRIM('R.M Billets Reports'!B986))</f>
      </c>
      <c r="F987">
        <f>'R.M Billets Reports'!C986</f>
      </c>
      <c r="G987">
        <f>'R.M Billets Reports'!D986</f>
      </c>
      <c r="H987">
        <f>'R.M Billets Reports'!E986</f>
      </c>
      <c r="I987">
        <f>'R.M Billets Reports'!F986</f>
      </c>
      <c r="J987">
        <f>'R.M Billets Reports'!G986</f>
      </c>
      <c r="K987">
        <f>'R.M Billets Reports'!H986</f>
      </c>
      <c r="L987">
        <f>IF('R.M Billets Reports'!I986="","",'R.M Billets Reports'!I986)</f>
      </c>
      <c r="M987">
        <f t="shared" si="30"/>
      </c>
      <c r="N987">
        <f>IF('R.M Billets Reports'!J986="","",'R.M Billets Reports'!J986)</f>
      </c>
      <c r="O987">
        <f t="shared" si="31"/>
      </c>
      <c r="P987">
        <f>IF('R.M Billets Reports'!A986="SIZE",'R.M Billets Reports'!B986,P986)</f>
      </c>
    </row>
    <row r="988" spans="1:16" x14ac:dyDescent="0.25">
      <c r="A988">
        <f>IF(OR('R.M Billets Reports'!A987="Date-",'R.M Billets Reports'!A987="Date:-"),IF(IF(IF(ISNUMBER(SEARCH("Party Name:-",'R.M Billets Reports'!D987)),TRIM('R.M Billets Reports'!F987),IF(ISNUMBER(SEARCH("Party Name-",'R.M Billets Reports'!D987)),TRIM(MID('R.M Billets Reports'!D987,SEARCH("-",'R.M Billets Reports'!D987)+1,200)),""))&lt;&gt;"",IF(ISNUMBER(SEARCH("Party Name:-",'R.M Billets Reports'!D987)),TRIM('R.M Billets Reports'!F987),IF(ISNUMBER(SEARCH("Party Name-",'R.M Billets Reports'!D987)),TRIM(MID('R.M Billets Reports'!D987,SEARCH("-",'R.M Billets Reports'!D987)+1,200)),"")),IF(ISNUMBER(SEARCH("Party Name:-",'R.M Billets Reports'!D988)),TRIM('R.M Billets Reports'!F988),IF(ISNUMBER(SEARCH("Party Name-",'R.M Billets Reports'!D988)),TRIM(MID('R.M Billets Reports'!D988,SEARCH("-",'R.M Billets Reports'!D988)+1,200)),"")))="VRKP ISPAT PVT LTD","VRKP",IF(IF(IF(ISNUMBER(SEARCH("Party Name:-",'R.M Billets Reports'!D987)),TRIM('R.M Billets Reports'!F987),IF(ISNUMBER(SEARCH("Party Name-",'R.M Billets Reports'!D987)),TRIM(MID('R.M Billets Reports'!D987,SEARCH("-",'R.M Billets Reports'!D987)+1,200)),""))&lt;&gt;"",IF(ISNUMBER(SEARCH("Party Name:-",'R.M Billets Reports'!D987)),TRIM('R.M Billets Reports'!F987),IF(ISNUMBER(SEARCH("Party Name-",'R.M Billets Reports'!D987)),TRIM(MID('R.M Billets Reports'!D987,SEARCH("-",'R.M Billets Reports'!D987)+1,200)),"")),IF(ISNUMBER(SEARCH("Party Name:-",'R.M Billets Reports'!D988)),TRIM('R.M Billets Reports'!F988),IF(ISNUMBER(SEARCH("Party Name-",'R.M Billets Reports'!D988)),TRIM(MID('R.M Billets Reports'!D988,SEARCH("-",'R.M Billets Reports'!D988)+1,200)),"")))="SHRI RADHE","SHREE RADHE",IF(IF(IF(ISNUMBER(SEARCH("Party Name:-",'R.M Billets Reports'!D987)),TRIM('R.M Billets Reports'!F987),IF(ISNUMBER(SEARCH("Party Name-",'R.M Billets Reports'!D987)),TRIM(MID('R.M Billets Reports'!D987,SEARCH("-",'R.M Billets Reports'!D987)+1,200)),""))&lt;&gt;"",IF(ISNUMBER(SEARCH("Party Name:-",'R.M Billets Reports'!D987)),TRIM('R.M Billets Reports'!F987),IF(ISNUMBER(SEARCH("Party Name-",'R.M Billets Reports'!D987)),TRIM(MID('R.M Billets Reports'!D987,SEARCH("-",'R.M Billets Reports'!D987)+1,200)),"")),IF(ISNUMBER(SEARCH("Party Name:-",'R.M Billets Reports'!D988)),TRIM('R.M Billets Reports'!F988),IF(ISNUMBER(SEARCH("Party Name-",'R.M Billets Reports'!D988)),TRIM(MID('R.M Billets Reports'!D988,SEARCH("-",'R.M Billets Reports'!D988)+1,200)),"")))="SHREE RADHE SHAKTI SPONGE AND POWER PVT. LTD.","SHREE RADHE",IF(IF(ISNUMBER(SEARCH("Party Name:-",'R.M Billets Reports'!D987)),TRIM('R.M Billets Reports'!F987),IF(ISNUMBER(SEARCH("Party Name-",'R.M Billets Reports'!D987)),TRIM(MID('R.M Billets Reports'!D987,SEARCH("-",'R.M Billets Reports'!D987)+1,200)),""))&lt;&gt;"",IF(ISNUMBER(SEARCH("Party Name:-",'R.M Billets Reports'!D987)),TRIM('R.M Billets Reports'!F987),IF(ISNUMBER(SEARCH("Party Name-",'R.M Billets Reports'!D987)),TRIM(MID('R.M Billets Reports'!D987,SEARCH("-",'R.M Billets Reports'!D987)+1,200)),"")),IF(ISNUMBER(SEARCH("Party Name:-",'R.M Billets Reports'!D988)),TRIM('R.M Billets Reports'!F988),IF(ISNUMBER(SEARCH("Party Name-",'R.M Billets Reports'!D988)),TRIM(MID('R.M Billets Reports'!D988,SEARCH("-",'R.M Billets Reports'!D988)+1,200)),"")))))),IF(ROW()=2,"",A987))</f>
      </c>
      <c r="B988">
        <f>IF(OR('R.M Billets Reports'!A987="Date-",'R.M Billets Reports'!A987="Date:-"),'R.M Billets Reports'!B987,IF(ROW()=2,"",B987))</f>
      </c>
      <c r="C988">
        <f>IF('R.M Billets Reports'!A987="V.No.",'R.M Billets Reports'!B987,IF(ROW()=2,"",C987))</f>
      </c>
      <c r="D988">
        <f>IF('R.M Billets Reports'!A987&lt;&gt;"",'R.M Billets Reports'!A987,IF(ROW()=2,"",D987))</f>
      </c>
      <c r="E988">
        <f>IF('R.M Billets Reports'!B987="","",TRIM('R.M Billets Reports'!B987))</f>
      </c>
      <c r="F988">
        <f>'R.M Billets Reports'!C987</f>
      </c>
      <c r="G988">
        <f>'R.M Billets Reports'!D987</f>
      </c>
      <c r="H988">
        <f>'R.M Billets Reports'!E987</f>
      </c>
      <c r="I988">
        <f>'R.M Billets Reports'!F987</f>
      </c>
      <c r="J988">
        <f>'R.M Billets Reports'!G987</f>
      </c>
      <c r="K988">
        <f>'R.M Billets Reports'!H987</f>
      </c>
      <c r="L988">
        <f>IF('R.M Billets Reports'!I987="","",'R.M Billets Reports'!I987)</f>
      </c>
      <c r="M988">
        <f t="shared" si="30"/>
      </c>
      <c r="N988">
        <f>IF('R.M Billets Reports'!J987="","",'R.M Billets Reports'!J987)</f>
      </c>
      <c r="O988">
        <f t="shared" si="31"/>
      </c>
      <c r="P988">
        <f>IF('R.M Billets Reports'!A987="SIZE",'R.M Billets Reports'!B987,P987)</f>
      </c>
    </row>
    <row r="989" spans="1:16" x14ac:dyDescent="0.25">
      <c r="A989">
        <f>IF(OR('R.M Billets Reports'!A988="Date-",'R.M Billets Reports'!A988="Date:-"),IF(IF(IF(ISNUMBER(SEARCH("Party Name:-",'R.M Billets Reports'!D988)),TRIM('R.M Billets Reports'!F988),IF(ISNUMBER(SEARCH("Party Name-",'R.M Billets Reports'!D988)),TRIM(MID('R.M Billets Reports'!D988,SEARCH("-",'R.M Billets Reports'!D988)+1,200)),""))&lt;&gt;"",IF(ISNUMBER(SEARCH("Party Name:-",'R.M Billets Reports'!D988)),TRIM('R.M Billets Reports'!F988),IF(ISNUMBER(SEARCH("Party Name-",'R.M Billets Reports'!D988)),TRIM(MID('R.M Billets Reports'!D988,SEARCH("-",'R.M Billets Reports'!D988)+1,200)),"")),IF(ISNUMBER(SEARCH("Party Name:-",'R.M Billets Reports'!D989)),TRIM('R.M Billets Reports'!F989),IF(ISNUMBER(SEARCH("Party Name-",'R.M Billets Reports'!D989)),TRIM(MID('R.M Billets Reports'!D989,SEARCH("-",'R.M Billets Reports'!D989)+1,200)),"")))="VRKP ISPAT PVT LTD","VRKP",IF(IF(IF(ISNUMBER(SEARCH("Party Name:-",'R.M Billets Reports'!D988)),TRIM('R.M Billets Reports'!F988),IF(ISNUMBER(SEARCH("Party Name-",'R.M Billets Reports'!D988)),TRIM(MID('R.M Billets Reports'!D988,SEARCH("-",'R.M Billets Reports'!D988)+1,200)),""))&lt;&gt;"",IF(ISNUMBER(SEARCH("Party Name:-",'R.M Billets Reports'!D988)),TRIM('R.M Billets Reports'!F988),IF(ISNUMBER(SEARCH("Party Name-",'R.M Billets Reports'!D988)),TRIM(MID('R.M Billets Reports'!D988,SEARCH("-",'R.M Billets Reports'!D988)+1,200)),"")),IF(ISNUMBER(SEARCH("Party Name:-",'R.M Billets Reports'!D989)),TRIM('R.M Billets Reports'!F989),IF(ISNUMBER(SEARCH("Party Name-",'R.M Billets Reports'!D989)),TRIM(MID('R.M Billets Reports'!D989,SEARCH("-",'R.M Billets Reports'!D989)+1,200)),"")))="SHRI RADHE","SHREE RADHE",IF(IF(IF(ISNUMBER(SEARCH("Party Name:-",'R.M Billets Reports'!D988)),TRIM('R.M Billets Reports'!F988),IF(ISNUMBER(SEARCH("Party Name-",'R.M Billets Reports'!D988)),TRIM(MID('R.M Billets Reports'!D988,SEARCH("-",'R.M Billets Reports'!D988)+1,200)),""))&lt;&gt;"",IF(ISNUMBER(SEARCH("Party Name:-",'R.M Billets Reports'!D988)),TRIM('R.M Billets Reports'!F988),IF(ISNUMBER(SEARCH("Party Name-",'R.M Billets Reports'!D988)),TRIM(MID('R.M Billets Reports'!D988,SEARCH("-",'R.M Billets Reports'!D988)+1,200)),"")),IF(ISNUMBER(SEARCH("Party Name:-",'R.M Billets Reports'!D989)),TRIM('R.M Billets Reports'!F989),IF(ISNUMBER(SEARCH("Party Name-",'R.M Billets Reports'!D989)),TRIM(MID('R.M Billets Reports'!D989,SEARCH("-",'R.M Billets Reports'!D989)+1,200)),"")))="SHREE RADHE SHAKTI SPONGE AND POWER PVT. LTD.","SHREE RADHE",IF(IF(ISNUMBER(SEARCH("Party Name:-",'R.M Billets Reports'!D988)),TRIM('R.M Billets Reports'!F988),IF(ISNUMBER(SEARCH("Party Name-",'R.M Billets Reports'!D988)),TRIM(MID('R.M Billets Reports'!D988,SEARCH("-",'R.M Billets Reports'!D988)+1,200)),""))&lt;&gt;"",IF(ISNUMBER(SEARCH("Party Name:-",'R.M Billets Reports'!D988)),TRIM('R.M Billets Reports'!F988),IF(ISNUMBER(SEARCH("Party Name-",'R.M Billets Reports'!D988)),TRIM(MID('R.M Billets Reports'!D988,SEARCH("-",'R.M Billets Reports'!D988)+1,200)),"")),IF(ISNUMBER(SEARCH("Party Name:-",'R.M Billets Reports'!D989)),TRIM('R.M Billets Reports'!F989),IF(ISNUMBER(SEARCH("Party Name-",'R.M Billets Reports'!D989)),TRIM(MID('R.M Billets Reports'!D989,SEARCH("-",'R.M Billets Reports'!D989)+1,200)),"")))))),IF(ROW()=2,"",A988))</f>
      </c>
      <c r="B989">
        <f>IF(OR('R.M Billets Reports'!A988="Date-",'R.M Billets Reports'!A988="Date:-"),'R.M Billets Reports'!B988,IF(ROW()=2,"",B988))</f>
      </c>
      <c r="C989">
        <f>IF('R.M Billets Reports'!A988="V.No.",'R.M Billets Reports'!B988,IF(ROW()=2,"",C988))</f>
      </c>
      <c r="D989">
        <f>IF('R.M Billets Reports'!A988&lt;&gt;"",'R.M Billets Reports'!A988,IF(ROW()=2,"",D988))</f>
      </c>
      <c r="E989">
        <f>IF('R.M Billets Reports'!B988="","",TRIM('R.M Billets Reports'!B988))</f>
      </c>
      <c r="F989">
        <f>'R.M Billets Reports'!C988</f>
      </c>
      <c r="G989">
        <f>'R.M Billets Reports'!D988</f>
      </c>
      <c r="H989">
        <f>'R.M Billets Reports'!E988</f>
      </c>
      <c r="I989">
        <f>'R.M Billets Reports'!F988</f>
      </c>
      <c r="J989">
        <f>'R.M Billets Reports'!G988</f>
      </c>
      <c r="K989">
        <f>'R.M Billets Reports'!H988</f>
      </c>
      <c r="L989">
        <f>IF('R.M Billets Reports'!I988="","",'R.M Billets Reports'!I988)</f>
      </c>
      <c r="M989">
        <f t="shared" si="30"/>
      </c>
      <c r="N989">
        <f>IF('R.M Billets Reports'!J988="","",'R.M Billets Reports'!J988)</f>
      </c>
      <c r="O989">
        <f t="shared" si="31"/>
      </c>
      <c r="P989">
        <f>IF('R.M Billets Reports'!A988="SIZE",'R.M Billets Reports'!B988,P988)</f>
      </c>
    </row>
    <row r="990" spans="1:16" x14ac:dyDescent="0.25">
      <c r="A990">
        <f>IF(OR('R.M Billets Reports'!A989="Date-",'R.M Billets Reports'!A989="Date:-"),IF(IF(IF(ISNUMBER(SEARCH("Party Name:-",'R.M Billets Reports'!D989)),TRIM('R.M Billets Reports'!F989),IF(ISNUMBER(SEARCH("Party Name-",'R.M Billets Reports'!D989)),TRIM(MID('R.M Billets Reports'!D989,SEARCH("-",'R.M Billets Reports'!D989)+1,200)),""))&lt;&gt;"",IF(ISNUMBER(SEARCH("Party Name:-",'R.M Billets Reports'!D989)),TRIM('R.M Billets Reports'!F989),IF(ISNUMBER(SEARCH("Party Name-",'R.M Billets Reports'!D989)),TRIM(MID('R.M Billets Reports'!D989,SEARCH("-",'R.M Billets Reports'!D989)+1,200)),"")),IF(ISNUMBER(SEARCH("Party Name:-",'R.M Billets Reports'!D990)),TRIM('R.M Billets Reports'!F990),IF(ISNUMBER(SEARCH("Party Name-",'R.M Billets Reports'!D990)),TRIM(MID('R.M Billets Reports'!D990,SEARCH("-",'R.M Billets Reports'!D990)+1,200)),"")))="VRKP ISPAT PVT LTD","VRKP",IF(IF(IF(ISNUMBER(SEARCH("Party Name:-",'R.M Billets Reports'!D989)),TRIM('R.M Billets Reports'!F989),IF(ISNUMBER(SEARCH("Party Name-",'R.M Billets Reports'!D989)),TRIM(MID('R.M Billets Reports'!D989,SEARCH("-",'R.M Billets Reports'!D989)+1,200)),""))&lt;&gt;"",IF(ISNUMBER(SEARCH("Party Name:-",'R.M Billets Reports'!D989)),TRIM('R.M Billets Reports'!F989),IF(ISNUMBER(SEARCH("Party Name-",'R.M Billets Reports'!D989)),TRIM(MID('R.M Billets Reports'!D989,SEARCH("-",'R.M Billets Reports'!D989)+1,200)),"")),IF(ISNUMBER(SEARCH("Party Name:-",'R.M Billets Reports'!D990)),TRIM('R.M Billets Reports'!F990),IF(ISNUMBER(SEARCH("Party Name-",'R.M Billets Reports'!D990)),TRIM(MID('R.M Billets Reports'!D990,SEARCH("-",'R.M Billets Reports'!D990)+1,200)),"")))="SHRI RADHE","SHREE RADHE",IF(IF(IF(ISNUMBER(SEARCH("Party Name:-",'R.M Billets Reports'!D989)),TRIM('R.M Billets Reports'!F989),IF(ISNUMBER(SEARCH("Party Name-",'R.M Billets Reports'!D989)),TRIM(MID('R.M Billets Reports'!D989,SEARCH("-",'R.M Billets Reports'!D989)+1,200)),""))&lt;&gt;"",IF(ISNUMBER(SEARCH("Party Name:-",'R.M Billets Reports'!D989)),TRIM('R.M Billets Reports'!F989),IF(ISNUMBER(SEARCH("Party Name-",'R.M Billets Reports'!D989)),TRIM(MID('R.M Billets Reports'!D989,SEARCH("-",'R.M Billets Reports'!D989)+1,200)),"")),IF(ISNUMBER(SEARCH("Party Name:-",'R.M Billets Reports'!D990)),TRIM('R.M Billets Reports'!F990),IF(ISNUMBER(SEARCH("Party Name-",'R.M Billets Reports'!D990)),TRIM(MID('R.M Billets Reports'!D990,SEARCH("-",'R.M Billets Reports'!D990)+1,200)),"")))="SHREE RADHE SHAKTI SPONGE AND POWER PVT. LTD.","SHREE RADHE",IF(IF(ISNUMBER(SEARCH("Party Name:-",'R.M Billets Reports'!D989)),TRIM('R.M Billets Reports'!F989),IF(ISNUMBER(SEARCH("Party Name-",'R.M Billets Reports'!D989)),TRIM(MID('R.M Billets Reports'!D989,SEARCH("-",'R.M Billets Reports'!D989)+1,200)),""))&lt;&gt;"",IF(ISNUMBER(SEARCH("Party Name:-",'R.M Billets Reports'!D989)),TRIM('R.M Billets Reports'!F989),IF(ISNUMBER(SEARCH("Party Name-",'R.M Billets Reports'!D989)),TRIM(MID('R.M Billets Reports'!D989,SEARCH("-",'R.M Billets Reports'!D989)+1,200)),"")),IF(ISNUMBER(SEARCH("Party Name:-",'R.M Billets Reports'!D990)),TRIM('R.M Billets Reports'!F990),IF(ISNUMBER(SEARCH("Party Name-",'R.M Billets Reports'!D990)),TRIM(MID('R.M Billets Reports'!D990,SEARCH("-",'R.M Billets Reports'!D990)+1,200)),"")))))),IF(ROW()=2,"",A989))</f>
      </c>
      <c r="B990">
        <f>IF(OR('R.M Billets Reports'!A989="Date-",'R.M Billets Reports'!A989="Date:-"),'R.M Billets Reports'!B989,IF(ROW()=2,"",B989))</f>
      </c>
      <c r="C990">
        <f>IF('R.M Billets Reports'!A989="V.No.",'R.M Billets Reports'!B989,IF(ROW()=2,"",C989))</f>
      </c>
      <c r="D990">
        <f>IF('R.M Billets Reports'!A989&lt;&gt;"",'R.M Billets Reports'!A989,IF(ROW()=2,"",D989))</f>
      </c>
      <c r="E990">
        <f>IF('R.M Billets Reports'!B989="","",TRIM('R.M Billets Reports'!B989))</f>
      </c>
      <c r="F990">
        <f>'R.M Billets Reports'!C989</f>
      </c>
      <c r="G990">
        <f>'R.M Billets Reports'!D989</f>
      </c>
      <c r="H990">
        <f>'R.M Billets Reports'!E989</f>
      </c>
      <c r="I990">
        <f>'R.M Billets Reports'!F989</f>
      </c>
      <c r="J990">
        <f>'R.M Billets Reports'!G989</f>
      </c>
      <c r="K990">
        <f>'R.M Billets Reports'!H989</f>
      </c>
      <c r="L990">
        <f>IF('R.M Billets Reports'!I989="","",'R.M Billets Reports'!I989)</f>
      </c>
      <c r="M990">
        <f t="shared" si="30"/>
      </c>
      <c r="N990">
        <f>IF('R.M Billets Reports'!J989="","",'R.M Billets Reports'!J989)</f>
      </c>
      <c r="O990">
        <f t="shared" si="31"/>
      </c>
      <c r="P990">
        <f>IF('R.M Billets Reports'!A989="SIZE",'R.M Billets Reports'!B989,P989)</f>
      </c>
    </row>
    <row r="991" spans="1:16" x14ac:dyDescent="0.25">
      <c r="A991">
        <f>IF(OR('R.M Billets Reports'!A990="Date-",'R.M Billets Reports'!A990="Date:-"),IF(IF(IF(ISNUMBER(SEARCH("Party Name:-",'R.M Billets Reports'!D990)),TRIM('R.M Billets Reports'!F990),IF(ISNUMBER(SEARCH("Party Name-",'R.M Billets Reports'!D990)),TRIM(MID('R.M Billets Reports'!D990,SEARCH("-",'R.M Billets Reports'!D990)+1,200)),""))&lt;&gt;"",IF(ISNUMBER(SEARCH("Party Name:-",'R.M Billets Reports'!D990)),TRIM('R.M Billets Reports'!F990),IF(ISNUMBER(SEARCH("Party Name-",'R.M Billets Reports'!D990)),TRIM(MID('R.M Billets Reports'!D990,SEARCH("-",'R.M Billets Reports'!D990)+1,200)),"")),IF(ISNUMBER(SEARCH("Party Name:-",'R.M Billets Reports'!D991)),TRIM('R.M Billets Reports'!F991),IF(ISNUMBER(SEARCH("Party Name-",'R.M Billets Reports'!D991)),TRIM(MID('R.M Billets Reports'!D991,SEARCH("-",'R.M Billets Reports'!D991)+1,200)),"")))="VRKP ISPAT PVT LTD","VRKP",IF(IF(IF(ISNUMBER(SEARCH("Party Name:-",'R.M Billets Reports'!D990)),TRIM('R.M Billets Reports'!F990),IF(ISNUMBER(SEARCH("Party Name-",'R.M Billets Reports'!D990)),TRIM(MID('R.M Billets Reports'!D990,SEARCH("-",'R.M Billets Reports'!D990)+1,200)),""))&lt;&gt;"",IF(ISNUMBER(SEARCH("Party Name:-",'R.M Billets Reports'!D990)),TRIM('R.M Billets Reports'!F990),IF(ISNUMBER(SEARCH("Party Name-",'R.M Billets Reports'!D990)),TRIM(MID('R.M Billets Reports'!D990,SEARCH("-",'R.M Billets Reports'!D990)+1,200)),"")),IF(ISNUMBER(SEARCH("Party Name:-",'R.M Billets Reports'!D991)),TRIM('R.M Billets Reports'!F991),IF(ISNUMBER(SEARCH("Party Name-",'R.M Billets Reports'!D991)),TRIM(MID('R.M Billets Reports'!D991,SEARCH("-",'R.M Billets Reports'!D991)+1,200)),"")))="SHRI RADHE","SHREE RADHE",IF(IF(IF(ISNUMBER(SEARCH("Party Name:-",'R.M Billets Reports'!D990)),TRIM('R.M Billets Reports'!F990),IF(ISNUMBER(SEARCH("Party Name-",'R.M Billets Reports'!D990)),TRIM(MID('R.M Billets Reports'!D990,SEARCH("-",'R.M Billets Reports'!D990)+1,200)),""))&lt;&gt;"",IF(ISNUMBER(SEARCH("Party Name:-",'R.M Billets Reports'!D990)),TRIM('R.M Billets Reports'!F990),IF(ISNUMBER(SEARCH("Party Name-",'R.M Billets Reports'!D990)),TRIM(MID('R.M Billets Reports'!D990,SEARCH("-",'R.M Billets Reports'!D990)+1,200)),"")),IF(ISNUMBER(SEARCH("Party Name:-",'R.M Billets Reports'!D991)),TRIM('R.M Billets Reports'!F991),IF(ISNUMBER(SEARCH("Party Name-",'R.M Billets Reports'!D991)),TRIM(MID('R.M Billets Reports'!D991,SEARCH("-",'R.M Billets Reports'!D991)+1,200)),"")))="SHREE RADHE SHAKTI SPONGE AND POWER PVT. LTD.","SHREE RADHE",IF(IF(ISNUMBER(SEARCH("Party Name:-",'R.M Billets Reports'!D990)),TRIM('R.M Billets Reports'!F990),IF(ISNUMBER(SEARCH("Party Name-",'R.M Billets Reports'!D990)),TRIM(MID('R.M Billets Reports'!D990,SEARCH("-",'R.M Billets Reports'!D990)+1,200)),""))&lt;&gt;"",IF(ISNUMBER(SEARCH("Party Name:-",'R.M Billets Reports'!D990)),TRIM('R.M Billets Reports'!F990),IF(ISNUMBER(SEARCH("Party Name-",'R.M Billets Reports'!D990)),TRIM(MID('R.M Billets Reports'!D990,SEARCH("-",'R.M Billets Reports'!D990)+1,200)),"")),IF(ISNUMBER(SEARCH("Party Name:-",'R.M Billets Reports'!D991)),TRIM('R.M Billets Reports'!F991),IF(ISNUMBER(SEARCH("Party Name-",'R.M Billets Reports'!D991)),TRIM(MID('R.M Billets Reports'!D991,SEARCH("-",'R.M Billets Reports'!D991)+1,200)),"")))))),IF(ROW()=2,"",A990))</f>
      </c>
      <c r="B991">
        <f>IF(OR('R.M Billets Reports'!A990="Date-",'R.M Billets Reports'!A990="Date:-"),'R.M Billets Reports'!B990,IF(ROW()=2,"",B990))</f>
      </c>
      <c r="C991">
        <f>IF('R.M Billets Reports'!A990="V.No.",'R.M Billets Reports'!B990,IF(ROW()=2,"",C990))</f>
      </c>
      <c r="D991">
        <f>IF('R.M Billets Reports'!A990&lt;&gt;"",'R.M Billets Reports'!A990,IF(ROW()=2,"",D990))</f>
      </c>
      <c r="E991">
        <f>IF('R.M Billets Reports'!B990="","",TRIM('R.M Billets Reports'!B990))</f>
      </c>
      <c r="F991">
        <f>'R.M Billets Reports'!C990</f>
      </c>
      <c r="G991">
        <f>'R.M Billets Reports'!D990</f>
      </c>
      <c r="H991">
        <f>'R.M Billets Reports'!E990</f>
      </c>
      <c r="I991">
        <f>'R.M Billets Reports'!F990</f>
      </c>
      <c r="J991">
        <f>'R.M Billets Reports'!G990</f>
      </c>
      <c r="K991">
        <f>'R.M Billets Reports'!H990</f>
      </c>
      <c r="L991">
        <f>IF('R.M Billets Reports'!I990="","",'R.M Billets Reports'!I990)</f>
      </c>
      <c r="M991">
        <f t="shared" si="30"/>
      </c>
      <c r="N991">
        <f>IF('R.M Billets Reports'!J990="","",'R.M Billets Reports'!J990)</f>
      </c>
      <c r="O991">
        <f t="shared" si="31"/>
      </c>
      <c r="P991">
        <f>IF('R.M Billets Reports'!A990="SIZE",'R.M Billets Reports'!B990,P990)</f>
      </c>
    </row>
    <row r="992" spans="1:16" x14ac:dyDescent="0.25">
      <c r="A992">
        <f>IF(OR('R.M Billets Reports'!A991="Date-",'R.M Billets Reports'!A991="Date:-"),IF(IF(IF(ISNUMBER(SEARCH("Party Name:-",'R.M Billets Reports'!D991)),TRIM('R.M Billets Reports'!F991),IF(ISNUMBER(SEARCH("Party Name-",'R.M Billets Reports'!D991)),TRIM(MID('R.M Billets Reports'!D991,SEARCH("-",'R.M Billets Reports'!D991)+1,200)),""))&lt;&gt;"",IF(ISNUMBER(SEARCH("Party Name:-",'R.M Billets Reports'!D991)),TRIM('R.M Billets Reports'!F991),IF(ISNUMBER(SEARCH("Party Name-",'R.M Billets Reports'!D991)),TRIM(MID('R.M Billets Reports'!D991,SEARCH("-",'R.M Billets Reports'!D991)+1,200)),"")),IF(ISNUMBER(SEARCH("Party Name:-",'R.M Billets Reports'!D992)),TRIM('R.M Billets Reports'!F992),IF(ISNUMBER(SEARCH("Party Name-",'R.M Billets Reports'!D992)),TRIM(MID('R.M Billets Reports'!D992,SEARCH("-",'R.M Billets Reports'!D992)+1,200)),"")))="VRKP ISPAT PVT LTD","VRKP",IF(IF(IF(ISNUMBER(SEARCH("Party Name:-",'R.M Billets Reports'!D991)),TRIM('R.M Billets Reports'!F991),IF(ISNUMBER(SEARCH("Party Name-",'R.M Billets Reports'!D991)),TRIM(MID('R.M Billets Reports'!D991,SEARCH("-",'R.M Billets Reports'!D991)+1,200)),""))&lt;&gt;"",IF(ISNUMBER(SEARCH("Party Name:-",'R.M Billets Reports'!D991)),TRIM('R.M Billets Reports'!F991),IF(ISNUMBER(SEARCH("Party Name-",'R.M Billets Reports'!D991)),TRIM(MID('R.M Billets Reports'!D991,SEARCH("-",'R.M Billets Reports'!D991)+1,200)),"")),IF(ISNUMBER(SEARCH("Party Name:-",'R.M Billets Reports'!D992)),TRIM('R.M Billets Reports'!F992),IF(ISNUMBER(SEARCH("Party Name-",'R.M Billets Reports'!D992)),TRIM(MID('R.M Billets Reports'!D992,SEARCH("-",'R.M Billets Reports'!D992)+1,200)),"")))="SHRI RADHE","SHREE RADHE",IF(IF(IF(ISNUMBER(SEARCH("Party Name:-",'R.M Billets Reports'!D991)),TRIM('R.M Billets Reports'!F991),IF(ISNUMBER(SEARCH("Party Name-",'R.M Billets Reports'!D991)),TRIM(MID('R.M Billets Reports'!D991,SEARCH("-",'R.M Billets Reports'!D991)+1,200)),""))&lt;&gt;"",IF(ISNUMBER(SEARCH("Party Name:-",'R.M Billets Reports'!D991)),TRIM('R.M Billets Reports'!F991),IF(ISNUMBER(SEARCH("Party Name-",'R.M Billets Reports'!D991)),TRIM(MID('R.M Billets Reports'!D991,SEARCH("-",'R.M Billets Reports'!D991)+1,200)),"")),IF(ISNUMBER(SEARCH("Party Name:-",'R.M Billets Reports'!D992)),TRIM('R.M Billets Reports'!F992),IF(ISNUMBER(SEARCH("Party Name-",'R.M Billets Reports'!D992)),TRIM(MID('R.M Billets Reports'!D992,SEARCH("-",'R.M Billets Reports'!D992)+1,200)),"")))="SHREE RADHE SHAKTI SPONGE AND POWER PVT. LTD.","SHREE RADHE",IF(IF(ISNUMBER(SEARCH("Party Name:-",'R.M Billets Reports'!D991)),TRIM('R.M Billets Reports'!F991),IF(ISNUMBER(SEARCH("Party Name-",'R.M Billets Reports'!D991)),TRIM(MID('R.M Billets Reports'!D991,SEARCH("-",'R.M Billets Reports'!D991)+1,200)),""))&lt;&gt;"",IF(ISNUMBER(SEARCH("Party Name:-",'R.M Billets Reports'!D991)),TRIM('R.M Billets Reports'!F991),IF(ISNUMBER(SEARCH("Party Name-",'R.M Billets Reports'!D991)),TRIM(MID('R.M Billets Reports'!D991,SEARCH("-",'R.M Billets Reports'!D991)+1,200)),"")),IF(ISNUMBER(SEARCH("Party Name:-",'R.M Billets Reports'!D992)),TRIM('R.M Billets Reports'!F992),IF(ISNUMBER(SEARCH("Party Name-",'R.M Billets Reports'!D992)),TRIM(MID('R.M Billets Reports'!D992,SEARCH("-",'R.M Billets Reports'!D992)+1,200)),"")))))),IF(ROW()=2,"",A991))</f>
      </c>
      <c r="B992">
        <f>IF(OR('R.M Billets Reports'!A991="Date-",'R.M Billets Reports'!A991="Date:-"),'R.M Billets Reports'!B991,IF(ROW()=2,"",B991))</f>
      </c>
      <c r="C992">
        <f>IF('R.M Billets Reports'!A991="V.No.",'R.M Billets Reports'!B991,IF(ROW()=2,"",C991))</f>
      </c>
      <c r="D992">
        <f>IF('R.M Billets Reports'!A991&lt;&gt;"",'R.M Billets Reports'!A991,IF(ROW()=2,"",D991))</f>
      </c>
      <c r="E992">
        <f>IF('R.M Billets Reports'!B991="","",TRIM('R.M Billets Reports'!B991))</f>
      </c>
      <c r="F992">
        <f>'R.M Billets Reports'!C991</f>
      </c>
      <c r="G992">
        <f>'R.M Billets Reports'!D991</f>
      </c>
      <c r="H992">
        <f>'R.M Billets Reports'!E991</f>
      </c>
      <c r="I992">
        <f>'R.M Billets Reports'!F991</f>
      </c>
      <c r="J992">
        <f>'R.M Billets Reports'!G991</f>
      </c>
      <c r="K992">
        <f>'R.M Billets Reports'!H991</f>
      </c>
      <c r="L992">
        <f>IF('R.M Billets Reports'!I991="","",'R.M Billets Reports'!I991)</f>
      </c>
      <c r="M992">
        <f t="shared" si="30"/>
      </c>
      <c r="N992">
        <f>IF('R.M Billets Reports'!J991="","",'R.M Billets Reports'!J991)</f>
      </c>
      <c r="O992">
        <f t="shared" si="31"/>
      </c>
      <c r="P992">
        <f>IF('R.M Billets Reports'!A991="SIZE",'R.M Billets Reports'!B991,P991)</f>
      </c>
    </row>
    <row r="993" spans="1:16" x14ac:dyDescent="0.25">
      <c r="A993">
        <f>IF(OR('R.M Billets Reports'!A992="Date-",'R.M Billets Reports'!A992="Date:-"),IF(IF(IF(ISNUMBER(SEARCH("Party Name:-",'R.M Billets Reports'!D992)),TRIM('R.M Billets Reports'!F992),IF(ISNUMBER(SEARCH("Party Name-",'R.M Billets Reports'!D992)),TRIM(MID('R.M Billets Reports'!D992,SEARCH("-",'R.M Billets Reports'!D992)+1,200)),""))&lt;&gt;"",IF(ISNUMBER(SEARCH("Party Name:-",'R.M Billets Reports'!D992)),TRIM('R.M Billets Reports'!F992),IF(ISNUMBER(SEARCH("Party Name-",'R.M Billets Reports'!D992)),TRIM(MID('R.M Billets Reports'!D992,SEARCH("-",'R.M Billets Reports'!D992)+1,200)),"")),IF(ISNUMBER(SEARCH("Party Name:-",'R.M Billets Reports'!D993)),TRIM('R.M Billets Reports'!F993),IF(ISNUMBER(SEARCH("Party Name-",'R.M Billets Reports'!D993)),TRIM(MID('R.M Billets Reports'!D993,SEARCH("-",'R.M Billets Reports'!D993)+1,200)),"")))="VRKP ISPAT PVT LTD","VRKP",IF(IF(IF(ISNUMBER(SEARCH("Party Name:-",'R.M Billets Reports'!D992)),TRIM('R.M Billets Reports'!F992),IF(ISNUMBER(SEARCH("Party Name-",'R.M Billets Reports'!D992)),TRIM(MID('R.M Billets Reports'!D992,SEARCH("-",'R.M Billets Reports'!D992)+1,200)),""))&lt;&gt;"",IF(ISNUMBER(SEARCH("Party Name:-",'R.M Billets Reports'!D992)),TRIM('R.M Billets Reports'!F992),IF(ISNUMBER(SEARCH("Party Name-",'R.M Billets Reports'!D992)),TRIM(MID('R.M Billets Reports'!D992,SEARCH("-",'R.M Billets Reports'!D992)+1,200)),"")),IF(ISNUMBER(SEARCH("Party Name:-",'R.M Billets Reports'!D993)),TRIM('R.M Billets Reports'!F993),IF(ISNUMBER(SEARCH("Party Name-",'R.M Billets Reports'!D993)),TRIM(MID('R.M Billets Reports'!D993,SEARCH("-",'R.M Billets Reports'!D993)+1,200)),"")))="SHRI RADHE","SHREE RADHE",IF(IF(IF(ISNUMBER(SEARCH("Party Name:-",'R.M Billets Reports'!D992)),TRIM('R.M Billets Reports'!F992),IF(ISNUMBER(SEARCH("Party Name-",'R.M Billets Reports'!D992)),TRIM(MID('R.M Billets Reports'!D992,SEARCH("-",'R.M Billets Reports'!D992)+1,200)),""))&lt;&gt;"",IF(ISNUMBER(SEARCH("Party Name:-",'R.M Billets Reports'!D992)),TRIM('R.M Billets Reports'!F992),IF(ISNUMBER(SEARCH("Party Name-",'R.M Billets Reports'!D992)),TRIM(MID('R.M Billets Reports'!D992,SEARCH("-",'R.M Billets Reports'!D992)+1,200)),"")),IF(ISNUMBER(SEARCH("Party Name:-",'R.M Billets Reports'!D993)),TRIM('R.M Billets Reports'!F993),IF(ISNUMBER(SEARCH("Party Name-",'R.M Billets Reports'!D993)),TRIM(MID('R.M Billets Reports'!D993,SEARCH("-",'R.M Billets Reports'!D993)+1,200)),"")))="SHREE RADHE SHAKTI SPONGE AND POWER PVT. LTD.","SHREE RADHE",IF(IF(ISNUMBER(SEARCH("Party Name:-",'R.M Billets Reports'!D992)),TRIM('R.M Billets Reports'!F992),IF(ISNUMBER(SEARCH("Party Name-",'R.M Billets Reports'!D992)),TRIM(MID('R.M Billets Reports'!D992,SEARCH("-",'R.M Billets Reports'!D992)+1,200)),""))&lt;&gt;"",IF(ISNUMBER(SEARCH("Party Name:-",'R.M Billets Reports'!D992)),TRIM('R.M Billets Reports'!F992),IF(ISNUMBER(SEARCH("Party Name-",'R.M Billets Reports'!D992)),TRIM(MID('R.M Billets Reports'!D992,SEARCH("-",'R.M Billets Reports'!D992)+1,200)),"")),IF(ISNUMBER(SEARCH("Party Name:-",'R.M Billets Reports'!D993)),TRIM('R.M Billets Reports'!F993),IF(ISNUMBER(SEARCH("Party Name-",'R.M Billets Reports'!D993)),TRIM(MID('R.M Billets Reports'!D993,SEARCH("-",'R.M Billets Reports'!D993)+1,200)),"")))))),IF(ROW()=2,"",A992))</f>
      </c>
      <c r="B993">
        <f>IF(OR('R.M Billets Reports'!A992="Date-",'R.M Billets Reports'!A992="Date:-"),'R.M Billets Reports'!B992,IF(ROW()=2,"",B992))</f>
      </c>
      <c r="C993">
        <f>IF('R.M Billets Reports'!A992="V.No.",'R.M Billets Reports'!B992,IF(ROW()=2,"",C992))</f>
      </c>
      <c r="D993">
        <f>IF('R.M Billets Reports'!A992&lt;&gt;"",'R.M Billets Reports'!A992,IF(ROW()=2,"",D992))</f>
      </c>
      <c r="E993">
        <f>IF('R.M Billets Reports'!B992="","",TRIM('R.M Billets Reports'!B992))</f>
      </c>
      <c r="F993">
        <f>'R.M Billets Reports'!C992</f>
      </c>
      <c r="G993">
        <f>'R.M Billets Reports'!D992</f>
      </c>
      <c r="H993">
        <f>'R.M Billets Reports'!E992</f>
      </c>
      <c r="I993">
        <f>'R.M Billets Reports'!F992</f>
      </c>
      <c r="J993">
        <f>'R.M Billets Reports'!G992</f>
      </c>
      <c r="K993">
        <f>'R.M Billets Reports'!H992</f>
      </c>
      <c r="L993">
        <f>IF('R.M Billets Reports'!I992="","",'R.M Billets Reports'!I992)</f>
      </c>
      <c r="M993">
        <f t="shared" si="30"/>
      </c>
      <c r="N993">
        <f>IF('R.M Billets Reports'!J992="","",'R.M Billets Reports'!J992)</f>
      </c>
      <c r="O993">
        <f t="shared" si="31"/>
      </c>
      <c r="P993">
        <f>IF('R.M Billets Reports'!A992="SIZE",'R.M Billets Reports'!B992,P992)</f>
      </c>
    </row>
    <row r="994" spans="1:16" x14ac:dyDescent="0.25">
      <c r="A994">
        <f>IF(OR('R.M Billets Reports'!A993="Date-",'R.M Billets Reports'!A993="Date:-"),IF(IF(IF(ISNUMBER(SEARCH("Party Name:-",'R.M Billets Reports'!D993)),TRIM('R.M Billets Reports'!F993),IF(ISNUMBER(SEARCH("Party Name-",'R.M Billets Reports'!D993)),TRIM(MID('R.M Billets Reports'!D993,SEARCH("-",'R.M Billets Reports'!D993)+1,200)),""))&lt;&gt;"",IF(ISNUMBER(SEARCH("Party Name:-",'R.M Billets Reports'!D993)),TRIM('R.M Billets Reports'!F993),IF(ISNUMBER(SEARCH("Party Name-",'R.M Billets Reports'!D993)),TRIM(MID('R.M Billets Reports'!D993,SEARCH("-",'R.M Billets Reports'!D993)+1,200)),"")),IF(ISNUMBER(SEARCH("Party Name:-",'R.M Billets Reports'!D994)),TRIM('R.M Billets Reports'!F994),IF(ISNUMBER(SEARCH("Party Name-",'R.M Billets Reports'!D994)),TRIM(MID('R.M Billets Reports'!D994,SEARCH("-",'R.M Billets Reports'!D994)+1,200)),"")))="VRKP ISPAT PVT LTD","VRKP",IF(IF(IF(ISNUMBER(SEARCH("Party Name:-",'R.M Billets Reports'!D993)),TRIM('R.M Billets Reports'!F993),IF(ISNUMBER(SEARCH("Party Name-",'R.M Billets Reports'!D993)),TRIM(MID('R.M Billets Reports'!D993,SEARCH("-",'R.M Billets Reports'!D993)+1,200)),""))&lt;&gt;"",IF(ISNUMBER(SEARCH("Party Name:-",'R.M Billets Reports'!D993)),TRIM('R.M Billets Reports'!F993),IF(ISNUMBER(SEARCH("Party Name-",'R.M Billets Reports'!D993)),TRIM(MID('R.M Billets Reports'!D993,SEARCH("-",'R.M Billets Reports'!D993)+1,200)),"")),IF(ISNUMBER(SEARCH("Party Name:-",'R.M Billets Reports'!D994)),TRIM('R.M Billets Reports'!F994),IF(ISNUMBER(SEARCH("Party Name-",'R.M Billets Reports'!D994)),TRIM(MID('R.M Billets Reports'!D994,SEARCH("-",'R.M Billets Reports'!D994)+1,200)),"")))="SHRI RADHE","SHREE RADHE",IF(IF(IF(ISNUMBER(SEARCH("Party Name:-",'R.M Billets Reports'!D993)),TRIM('R.M Billets Reports'!F993),IF(ISNUMBER(SEARCH("Party Name-",'R.M Billets Reports'!D993)),TRIM(MID('R.M Billets Reports'!D993,SEARCH("-",'R.M Billets Reports'!D993)+1,200)),""))&lt;&gt;"",IF(ISNUMBER(SEARCH("Party Name:-",'R.M Billets Reports'!D993)),TRIM('R.M Billets Reports'!F993),IF(ISNUMBER(SEARCH("Party Name-",'R.M Billets Reports'!D993)),TRIM(MID('R.M Billets Reports'!D993,SEARCH("-",'R.M Billets Reports'!D993)+1,200)),"")),IF(ISNUMBER(SEARCH("Party Name:-",'R.M Billets Reports'!D994)),TRIM('R.M Billets Reports'!F994),IF(ISNUMBER(SEARCH("Party Name-",'R.M Billets Reports'!D994)),TRIM(MID('R.M Billets Reports'!D994,SEARCH("-",'R.M Billets Reports'!D994)+1,200)),"")))="SHREE RADHE SHAKTI SPONGE AND POWER PVT. LTD.","SHREE RADHE",IF(IF(ISNUMBER(SEARCH("Party Name:-",'R.M Billets Reports'!D993)),TRIM('R.M Billets Reports'!F993),IF(ISNUMBER(SEARCH("Party Name-",'R.M Billets Reports'!D993)),TRIM(MID('R.M Billets Reports'!D993,SEARCH("-",'R.M Billets Reports'!D993)+1,200)),""))&lt;&gt;"",IF(ISNUMBER(SEARCH("Party Name:-",'R.M Billets Reports'!D993)),TRIM('R.M Billets Reports'!F993),IF(ISNUMBER(SEARCH("Party Name-",'R.M Billets Reports'!D993)),TRIM(MID('R.M Billets Reports'!D993,SEARCH("-",'R.M Billets Reports'!D993)+1,200)),"")),IF(ISNUMBER(SEARCH("Party Name:-",'R.M Billets Reports'!D994)),TRIM('R.M Billets Reports'!F994),IF(ISNUMBER(SEARCH("Party Name-",'R.M Billets Reports'!D994)),TRIM(MID('R.M Billets Reports'!D994,SEARCH("-",'R.M Billets Reports'!D994)+1,200)),"")))))),IF(ROW()=2,"",A993))</f>
      </c>
      <c r="B994">
        <f>IF(OR('R.M Billets Reports'!A993="Date-",'R.M Billets Reports'!A993="Date:-"),'R.M Billets Reports'!B993,IF(ROW()=2,"",B993))</f>
      </c>
      <c r="C994">
        <f>IF('R.M Billets Reports'!A993="V.No.",'R.M Billets Reports'!B993,IF(ROW()=2,"",C993))</f>
      </c>
      <c r="D994">
        <f>IF('R.M Billets Reports'!A993&lt;&gt;"",'R.M Billets Reports'!A993,IF(ROW()=2,"",D993))</f>
      </c>
      <c r="E994">
        <f>IF('R.M Billets Reports'!B993="","",TRIM('R.M Billets Reports'!B993))</f>
      </c>
      <c r="F994">
        <f>'R.M Billets Reports'!C993</f>
      </c>
      <c r="G994">
        <f>'R.M Billets Reports'!D993</f>
      </c>
      <c r="H994">
        <f>'R.M Billets Reports'!E993</f>
      </c>
      <c r="I994">
        <f>'R.M Billets Reports'!F993</f>
      </c>
      <c r="J994">
        <f>'R.M Billets Reports'!G993</f>
      </c>
      <c r="K994">
        <f>'R.M Billets Reports'!H993</f>
      </c>
      <c r="L994">
        <f>IF('R.M Billets Reports'!I993="","",'R.M Billets Reports'!I993)</f>
      </c>
      <c r="M994">
        <f t="shared" si="30"/>
      </c>
      <c r="N994">
        <f>IF('R.M Billets Reports'!J993="","",'R.M Billets Reports'!J993)</f>
      </c>
      <c r="O994">
        <f t="shared" si="31"/>
      </c>
      <c r="P994">
        <f>IF('R.M Billets Reports'!A993="SIZE",'R.M Billets Reports'!B993,P993)</f>
      </c>
    </row>
    <row r="995" spans="1:16" x14ac:dyDescent="0.25">
      <c r="A995">
        <f>IF(OR('R.M Billets Reports'!A994="Date-",'R.M Billets Reports'!A994="Date:-"),IF(IF(IF(ISNUMBER(SEARCH("Party Name:-",'R.M Billets Reports'!D994)),TRIM('R.M Billets Reports'!F994),IF(ISNUMBER(SEARCH("Party Name-",'R.M Billets Reports'!D994)),TRIM(MID('R.M Billets Reports'!D994,SEARCH("-",'R.M Billets Reports'!D994)+1,200)),""))&lt;&gt;"",IF(ISNUMBER(SEARCH("Party Name:-",'R.M Billets Reports'!D994)),TRIM('R.M Billets Reports'!F994),IF(ISNUMBER(SEARCH("Party Name-",'R.M Billets Reports'!D994)),TRIM(MID('R.M Billets Reports'!D994,SEARCH("-",'R.M Billets Reports'!D994)+1,200)),"")),IF(ISNUMBER(SEARCH("Party Name:-",'R.M Billets Reports'!D995)),TRIM('R.M Billets Reports'!F995),IF(ISNUMBER(SEARCH("Party Name-",'R.M Billets Reports'!D995)),TRIM(MID('R.M Billets Reports'!D995,SEARCH("-",'R.M Billets Reports'!D995)+1,200)),"")))="VRKP ISPAT PVT LTD","VRKP",IF(IF(IF(ISNUMBER(SEARCH("Party Name:-",'R.M Billets Reports'!D994)),TRIM('R.M Billets Reports'!F994),IF(ISNUMBER(SEARCH("Party Name-",'R.M Billets Reports'!D994)),TRIM(MID('R.M Billets Reports'!D994,SEARCH("-",'R.M Billets Reports'!D994)+1,200)),""))&lt;&gt;"",IF(ISNUMBER(SEARCH("Party Name:-",'R.M Billets Reports'!D994)),TRIM('R.M Billets Reports'!F994),IF(ISNUMBER(SEARCH("Party Name-",'R.M Billets Reports'!D994)),TRIM(MID('R.M Billets Reports'!D994,SEARCH("-",'R.M Billets Reports'!D994)+1,200)),"")),IF(ISNUMBER(SEARCH("Party Name:-",'R.M Billets Reports'!D995)),TRIM('R.M Billets Reports'!F995),IF(ISNUMBER(SEARCH("Party Name-",'R.M Billets Reports'!D995)),TRIM(MID('R.M Billets Reports'!D995,SEARCH("-",'R.M Billets Reports'!D995)+1,200)),"")))="SHRI RADHE","SHREE RADHE",IF(IF(IF(ISNUMBER(SEARCH("Party Name:-",'R.M Billets Reports'!D994)),TRIM('R.M Billets Reports'!F994),IF(ISNUMBER(SEARCH("Party Name-",'R.M Billets Reports'!D994)),TRIM(MID('R.M Billets Reports'!D994,SEARCH("-",'R.M Billets Reports'!D994)+1,200)),""))&lt;&gt;"",IF(ISNUMBER(SEARCH("Party Name:-",'R.M Billets Reports'!D994)),TRIM('R.M Billets Reports'!F994),IF(ISNUMBER(SEARCH("Party Name-",'R.M Billets Reports'!D994)),TRIM(MID('R.M Billets Reports'!D994,SEARCH("-",'R.M Billets Reports'!D994)+1,200)),"")),IF(ISNUMBER(SEARCH("Party Name:-",'R.M Billets Reports'!D995)),TRIM('R.M Billets Reports'!F995),IF(ISNUMBER(SEARCH("Party Name-",'R.M Billets Reports'!D995)),TRIM(MID('R.M Billets Reports'!D995,SEARCH("-",'R.M Billets Reports'!D995)+1,200)),"")))="SHREE RADHE SHAKTI SPONGE AND POWER PVT. LTD.","SHREE RADHE",IF(IF(ISNUMBER(SEARCH("Party Name:-",'R.M Billets Reports'!D994)),TRIM('R.M Billets Reports'!F994),IF(ISNUMBER(SEARCH("Party Name-",'R.M Billets Reports'!D994)),TRIM(MID('R.M Billets Reports'!D994,SEARCH("-",'R.M Billets Reports'!D994)+1,200)),""))&lt;&gt;"",IF(ISNUMBER(SEARCH("Party Name:-",'R.M Billets Reports'!D994)),TRIM('R.M Billets Reports'!F994),IF(ISNUMBER(SEARCH("Party Name-",'R.M Billets Reports'!D994)),TRIM(MID('R.M Billets Reports'!D994,SEARCH("-",'R.M Billets Reports'!D994)+1,200)),"")),IF(ISNUMBER(SEARCH("Party Name:-",'R.M Billets Reports'!D995)),TRIM('R.M Billets Reports'!F995),IF(ISNUMBER(SEARCH("Party Name-",'R.M Billets Reports'!D995)),TRIM(MID('R.M Billets Reports'!D995,SEARCH("-",'R.M Billets Reports'!D995)+1,200)),"")))))),IF(ROW()=2,"",A994))</f>
      </c>
      <c r="B995">
        <f>IF(OR('R.M Billets Reports'!A994="Date-",'R.M Billets Reports'!A994="Date:-"),'R.M Billets Reports'!B994,IF(ROW()=2,"",B994))</f>
      </c>
      <c r="C995">
        <f>IF('R.M Billets Reports'!A994="V.No.",'R.M Billets Reports'!B994,IF(ROW()=2,"",C994))</f>
      </c>
      <c r="D995">
        <f>IF('R.M Billets Reports'!A994&lt;&gt;"",'R.M Billets Reports'!A994,IF(ROW()=2,"",D994))</f>
      </c>
      <c r="E995">
        <f>IF('R.M Billets Reports'!B994="","",TRIM('R.M Billets Reports'!B994))</f>
      </c>
      <c r="F995">
        <f>'R.M Billets Reports'!C994</f>
      </c>
      <c r="G995">
        <f>'R.M Billets Reports'!D994</f>
      </c>
      <c r="H995">
        <f>'R.M Billets Reports'!E994</f>
      </c>
      <c r="I995">
        <f>'R.M Billets Reports'!F994</f>
      </c>
      <c r="J995">
        <f>'R.M Billets Reports'!G994</f>
      </c>
      <c r="K995">
        <f>'R.M Billets Reports'!H994</f>
      </c>
      <c r="L995">
        <f>IF('R.M Billets Reports'!I994="","",'R.M Billets Reports'!I994)</f>
      </c>
      <c r="M995">
        <f t="shared" si="30"/>
      </c>
      <c r="N995">
        <f>IF('R.M Billets Reports'!J994="","",'R.M Billets Reports'!J994)</f>
      </c>
      <c r="O995">
        <f t="shared" si="31"/>
      </c>
      <c r="P995">
        <f>IF('R.M Billets Reports'!A994="SIZE",'R.M Billets Reports'!B994,P994)</f>
      </c>
    </row>
    <row r="996" spans="1:16" x14ac:dyDescent="0.25">
      <c r="A996">
        <f>IF(OR('R.M Billets Reports'!A995="Date-",'R.M Billets Reports'!A995="Date:-"),IF(IF(IF(ISNUMBER(SEARCH("Party Name:-",'R.M Billets Reports'!D995)),TRIM('R.M Billets Reports'!F995),IF(ISNUMBER(SEARCH("Party Name-",'R.M Billets Reports'!D995)),TRIM(MID('R.M Billets Reports'!D995,SEARCH("-",'R.M Billets Reports'!D995)+1,200)),""))&lt;&gt;"",IF(ISNUMBER(SEARCH("Party Name:-",'R.M Billets Reports'!D995)),TRIM('R.M Billets Reports'!F995),IF(ISNUMBER(SEARCH("Party Name-",'R.M Billets Reports'!D995)),TRIM(MID('R.M Billets Reports'!D995,SEARCH("-",'R.M Billets Reports'!D995)+1,200)),"")),IF(ISNUMBER(SEARCH("Party Name:-",'R.M Billets Reports'!D996)),TRIM('R.M Billets Reports'!F996),IF(ISNUMBER(SEARCH("Party Name-",'R.M Billets Reports'!D996)),TRIM(MID('R.M Billets Reports'!D996,SEARCH("-",'R.M Billets Reports'!D996)+1,200)),"")))="VRKP ISPAT PVT LTD","VRKP",IF(IF(IF(ISNUMBER(SEARCH("Party Name:-",'R.M Billets Reports'!D995)),TRIM('R.M Billets Reports'!F995),IF(ISNUMBER(SEARCH("Party Name-",'R.M Billets Reports'!D995)),TRIM(MID('R.M Billets Reports'!D995,SEARCH("-",'R.M Billets Reports'!D995)+1,200)),""))&lt;&gt;"",IF(ISNUMBER(SEARCH("Party Name:-",'R.M Billets Reports'!D995)),TRIM('R.M Billets Reports'!F995),IF(ISNUMBER(SEARCH("Party Name-",'R.M Billets Reports'!D995)),TRIM(MID('R.M Billets Reports'!D995,SEARCH("-",'R.M Billets Reports'!D995)+1,200)),"")),IF(ISNUMBER(SEARCH("Party Name:-",'R.M Billets Reports'!D996)),TRIM('R.M Billets Reports'!F996),IF(ISNUMBER(SEARCH("Party Name-",'R.M Billets Reports'!D996)),TRIM(MID('R.M Billets Reports'!D996,SEARCH("-",'R.M Billets Reports'!D996)+1,200)),"")))="SHRI RADHE","SHREE RADHE",IF(IF(IF(ISNUMBER(SEARCH("Party Name:-",'R.M Billets Reports'!D995)),TRIM('R.M Billets Reports'!F995),IF(ISNUMBER(SEARCH("Party Name-",'R.M Billets Reports'!D995)),TRIM(MID('R.M Billets Reports'!D995,SEARCH("-",'R.M Billets Reports'!D995)+1,200)),""))&lt;&gt;"",IF(ISNUMBER(SEARCH("Party Name:-",'R.M Billets Reports'!D995)),TRIM('R.M Billets Reports'!F995),IF(ISNUMBER(SEARCH("Party Name-",'R.M Billets Reports'!D995)),TRIM(MID('R.M Billets Reports'!D995,SEARCH("-",'R.M Billets Reports'!D995)+1,200)),"")),IF(ISNUMBER(SEARCH("Party Name:-",'R.M Billets Reports'!D996)),TRIM('R.M Billets Reports'!F996),IF(ISNUMBER(SEARCH("Party Name-",'R.M Billets Reports'!D996)),TRIM(MID('R.M Billets Reports'!D996,SEARCH("-",'R.M Billets Reports'!D996)+1,200)),"")))="SHREE RADHE SHAKTI SPONGE AND POWER PVT. LTD.","SHREE RADHE",IF(IF(ISNUMBER(SEARCH("Party Name:-",'R.M Billets Reports'!D995)),TRIM('R.M Billets Reports'!F995),IF(ISNUMBER(SEARCH("Party Name-",'R.M Billets Reports'!D995)),TRIM(MID('R.M Billets Reports'!D995,SEARCH("-",'R.M Billets Reports'!D995)+1,200)),""))&lt;&gt;"",IF(ISNUMBER(SEARCH("Party Name:-",'R.M Billets Reports'!D995)),TRIM('R.M Billets Reports'!F995),IF(ISNUMBER(SEARCH("Party Name-",'R.M Billets Reports'!D995)),TRIM(MID('R.M Billets Reports'!D995,SEARCH("-",'R.M Billets Reports'!D995)+1,200)),"")),IF(ISNUMBER(SEARCH("Party Name:-",'R.M Billets Reports'!D996)),TRIM('R.M Billets Reports'!F996),IF(ISNUMBER(SEARCH("Party Name-",'R.M Billets Reports'!D996)),TRIM(MID('R.M Billets Reports'!D996,SEARCH("-",'R.M Billets Reports'!D996)+1,200)),"")))))),IF(ROW()=2,"",A995))</f>
      </c>
      <c r="B996">
        <f>IF(OR('R.M Billets Reports'!A995="Date-",'R.M Billets Reports'!A995="Date:-"),'R.M Billets Reports'!B995,IF(ROW()=2,"",B995))</f>
      </c>
      <c r="C996">
        <f>IF('R.M Billets Reports'!A995="V.No.",'R.M Billets Reports'!B995,IF(ROW()=2,"",C995))</f>
      </c>
      <c r="D996">
        <f>IF('R.M Billets Reports'!A995&lt;&gt;"",'R.M Billets Reports'!A995,IF(ROW()=2,"",D995))</f>
      </c>
      <c r="E996">
        <f>IF('R.M Billets Reports'!B995="","",TRIM('R.M Billets Reports'!B995))</f>
      </c>
      <c r="F996">
        <f>'R.M Billets Reports'!C995</f>
      </c>
      <c r="G996">
        <f>'R.M Billets Reports'!D995</f>
      </c>
      <c r="H996">
        <f>'R.M Billets Reports'!E995</f>
      </c>
      <c r="I996">
        <f>'R.M Billets Reports'!F995</f>
      </c>
      <c r="J996">
        <f>'R.M Billets Reports'!G995</f>
      </c>
      <c r="K996">
        <f>'R.M Billets Reports'!H995</f>
      </c>
      <c r="L996">
        <f>IF('R.M Billets Reports'!I995="","",'R.M Billets Reports'!I995)</f>
      </c>
      <c r="M996">
        <f t="shared" si="30"/>
      </c>
      <c r="N996">
        <f>IF('R.M Billets Reports'!J995="","",'R.M Billets Reports'!J995)</f>
      </c>
      <c r="O996">
        <f t="shared" si="31"/>
      </c>
      <c r="P996">
        <f>IF('R.M Billets Reports'!A995="SIZE",'R.M Billets Reports'!B995,P995)</f>
      </c>
    </row>
    <row r="997" spans="1:16" x14ac:dyDescent="0.25">
      <c r="A997">
        <f>IF(OR('R.M Billets Reports'!A996="Date-",'R.M Billets Reports'!A996="Date:-"),IF(IF(IF(ISNUMBER(SEARCH("Party Name:-",'R.M Billets Reports'!D996)),TRIM('R.M Billets Reports'!F996),IF(ISNUMBER(SEARCH("Party Name-",'R.M Billets Reports'!D996)),TRIM(MID('R.M Billets Reports'!D996,SEARCH("-",'R.M Billets Reports'!D996)+1,200)),""))&lt;&gt;"",IF(ISNUMBER(SEARCH("Party Name:-",'R.M Billets Reports'!D996)),TRIM('R.M Billets Reports'!F996),IF(ISNUMBER(SEARCH("Party Name-",'R.M Billets Reports'!D996)),TRIM(MID('R.M Billets Reports'!D996,SEARCH("-",'R.M Billets Reports'!D996)+1,200)),"")),IF(ISNUMBER(SEARCH("Party Name:-",'R.M Billets Reports'!D997)),TRIM('R.M Billets Reports'!F997),IF(ISNUMBER(SEARCH("Party Name-",'R.M Billets Reports'!D997)),TRIM(MID('R.M Billets Reports'!D997,SEARCH("-",'R.M Billets Reports'!D997)+1,200)),"")))="VRKP ISPAT PVT LTD","VRKP",IF(IF(IF(ISNUMBER(SEARCH("Party Name:-",'R.M Billets Reports'!D996)),TRIM('R.M Billets Reports'!F996),IF(ISNUMBER(SEARCH("Party Name-",'R.M Billets Reports'!D996)),TRIM(MID('R.M Billets Reports'!D996,SEARCH("-",'R.M Billets Reports'!D996)+1,200)),""))&lt;&gt;"",IF(ISNUMBER(SEARCH("Party Name:-",'R.M Billets Reports'!D996)),TRIM('R.M Billets Reports'!F996),IF(ISNUMBER(SEARCH("Party Name-",'R.M Billets Reports'!D996)),TRIM(MID('R.M Billets Reports'!D996,SEARCH("-",'R.M Billets Reports'!D996)+1,200)),"")),IF(ISNUMBER(SEARCH("Party Name:-",'R.M Billets Reports'!D997)),TRIM('R.M Billets Reports'!F997),IF(ISNUMBER(SEARCH("Party Name-",'R.M Billets Reports'!D997)),TRIM(MID('R.M Billets Reports'!D997,SEARCH("-",'R.M Billets Reports'!D997)+1,200)),"")))="SHRI RADHE","SHREE RADHE",IF(IF(IF(ISNUMBER(SEARCH("Party Name:-",'R.M Billets Reports'!D996)),TRIM('R.M Billets Reports'!F996),IF(ISNUMBER(SEARCH("Party Name-",'R.M Billets Reports'!D996)),TRIM(MID('R.M Billets Reports'!D996,SEARCH("-",'R.M Billets Reports'!D996)+1,200)),""))&lt;&gt;"",IF(ISNUMBER(SEARCH("Party Name:-",'R.M Billets Reports'!D996)),TRIM('R.M Billets Reports'!F996),IF(ISNUMBER(SEARCH("Party Name-",'R.M Billets Reports'!D996)),TRIM(MID('R.M Billets Reports'!D996,SEARCH("-",'R.M Billets Reports'!D996)+1,200)),"")),IF(ISNUMBER(SEARCH("Party Name:-",'R.M Billets Reports'!D997)),TRIM('R.M Billets Reports'!F997),IF(ISNUMBER(SEARCH("Party Name-",'R.M Billets Reports'!D997)),TRIM(MID('R.M Billets Reports'!D997,SEARCH("-",'R.M Billets Reports'!D997)+1,200)),"")))="SHREE RADHE SHAKTI SPONGE AND POWER PVT. LTD.","SHREE RADHE",IF(IF(ISNUMBER(SEARCH("Party Name:-",'R.M Billets Reports'!D996)),TRIM('R.M Billets Reports'!F996),IF(ISNUMBER(SEARCH("Party Name-",'R.M Billets Reports'!D996)),TRIM(MID('R.M Billets Reports'!D996,SEARCH("-",'R.M Billets Reports'!D996)+1,200)),""))&lt;&gt;"",IF(ISNUMBER(SEARCH("Party Name:-",'R.M Billets Reports'!D996)),TRIM('R.M Billets Reports'!F996),IF(ISNUMBER(SEARCH("Party Name-",'R.M Billets Reports'!D996)),TRIM(MID('R.M Billets Reports'!D996,SEARCH("-",'R.M Billets Reports'!D996)+1,200)),"")),IF(ISNUMBER(SEARCH("Party Name:-",'R.M Billets Reports'!D997)),TRIM('R.M Billets Reports'!F997),IF(ISNUMBER(SEARCH("Party Name-",'R.M Billets Reports'!D997)),TRIM(MID('R.M Billets Reports'!D997,SEARCH("-",'R.M Billets Reports'!D997)+1,200)),"")))))),IF(ROW()=2,"",A996))</f>
      </c>
      <c r="B997">
        <f>IF(OR('R.M Billets Reports'!A996="Date-",'R.M Billets Reports'!A996="Date:-"),'R.M Billets Reports'!B996,IF(ROW()=2,"",B996))</f>
      </c>
      <c r="C997">
        <f>IF('R.M Billets Reports'!A996="V.No.",'R.M Billets Reports'!B996,IF(ROW()=2,"",C996))</f>
      </c>
      <c r="D997">
        <f>IF('R.M Billets Reports'!A996&lt;&gt;"",'R.M Billets Reports'!A996,IF(ROW()=2,"",D996))</f>
      </c>
      <c r="E997">
        <f>IF('R.M Billets Reports'!B996="","",TRIM('R.M Billets Reports'!B996))</f>
      </c>
      <c r="F997">
        <f>'R.M Billets Reports'!C996</f>
      </c>
      <c r="G997">
        <f>'R.M Billets Reports'!D996</f>
      </c>
      <c r="H997">
        <f>'R.M Billets Reports'!E996</f>
      </c>
      <c r="I997">
        <f>'R.M Billets Reports'!F996</f>
      </c>
      <c r="J997">
        <f>'R.M Billets Reports'!G996</f>
      </c>
      <c r="K997">
        <f>'R.M Billets Reports'!H996</f>
      </c>
      <c r="L997">
        <f>IF('R.M Billets Reports'!I996="","",'R.M Billets Reports'!I996)</f>
      </c>
      <c r="M997">
        <f t="shared" si="30"/>
      </c>
      <c r="N997">
        <f>IF('R.M Billets Reports'!J996="","",'R.M Billets Reports'!J996)</f>
      </c>
      <c r="O997">
        <f t="shared" si="31"/>
      </c>
      <c r="P997">
        <f>IF('R.M Billets Reports'!A996="SIZE",'R.M Billets Reports'!B996,P996)</f>
      </c>
    </row>
    <row r="998" spans="1:16" x14ac:dyDescent="0.25">
      <c r="A998">
        <f>IF(OR('R.M Billets Reports'!A997="Date-",'R.M Billets Reports'!A997="Date:-"),IF(IF(IF(ISNUMBER(SEARCH("Party Name:-",'R.M Billets Reports'!D997)),TRIM('R.M Billets Reports'!F997),IF(ISNUMBER(SEARCH("Party Name-",'R.M Billets Reports'!D997)),TRIM(MID('R.M Billets Reports'!D997,SEARCH("-",'R.M Billets Reports'!D997)+1,200)),""))&lt;&gt;"",IF(ISNUMBER(SEARCH("Party Name:-",'R.M Billets Reports'!D997)),TRIM('R.M Billets Reports'!F997),IF(ISNUMBER(SEARCH("Party Name-",'R.M Billets Reports'!D997)),TRIM(MID('R.M Billets Reports'!D997,SEARCH("-",'R.M Billets Reports'!D997)+1,200)),"")),IF(ISNUMBER(SEARCH("Party Name:-",'R.M Billets Reports'!D998)),TRIM('R.M Billets Reports'!F998),IF(ISNUMBER(SEARCH("Party Name-",'R.M Billets Reports'!D998)),TRIM(MID('R.M Billets Reports'!D998,SEARCH("-",'R.M Billets Reports'!D998)+1,200)),"")))="VRKP ISPAT PVT LTD","VRKP",IF(IF(IF(ISNUMBER(SEARCH("Party Name:-",'R.M Billets Reports'!D997)),TRIM('R.M Billets Reports'!F997),IF(ISNUMBER(SEARCH("Party Name-",'R.M Billets Reports'!D997)),TRIM(MID('R.M Billets Reports'!D997,SEARCH("-",'R.M Billets Reports'!D997)+1,200)),""))&lt;&gt;"",IF(ISNUMBER(SEARCH("Party Name:-",'R.M Billets Reports'!D997)),TRIM('R.M Billets Reports'!F997),IF(ISNUMBER(SEARCH("Party Name-",'R.M Billets Reports'!D997)),TRIM(MID('R.M Billets Reports'!D997,SEARCH("-",'R.M Billets Reports'!D997)+1,200)),"")),IF(ISNUMBER(SEARCH("Party Name:-",'R.M Billets Reports'!D998)),TRIM('R.M Billets Reports'!F998),IF(ISNUMBER(SEARCH("Party Name-",'R.M Billets Reports'!D998)),TRIM(MID('R.M Billets Reports'!D998,SEARCH("-",'R.M Billets Reports'!D998)+1,200)),"")))="SHRI RADHE","SHREE RADHE",IF(IF(IF(ISNUMBER(SEARCH("Party Name:-",'R.M Billets Reports'!D997)),TRIM('R.M Billets Reports'!F997),IF(ISNUMBER(SEARCH("Party Name-",'R.M Billets Reports'!D997)),TRIM(MID('R.M Billets Reports'!D997,SEARCH("-",'R.M Billets Reports'!D997)+1,200)),""))&lt;&gt;"",IF(ISNUMBER(SEARCH("Party Name:-",'R.M Billets Reports'!D997)),TRIM('R.M Billets Reports'!F997),IF(ISNUMBER(SEARCH("Party Name-",'R.M Billets Reports'!D997)),TRIM(MID('R.M Billets Reports'!D997,SEARCH("-",'R.M Billets Reports'!D997)+1,200)),"")),IF(ISNUMBER(SEARCH("Party Name:-",'R.M Billets Reports'!D998)),TRIM('R.M Billets Reports'!F998),IF(ISNUMBER(SEARCH("Party Name-",'R.M Billets Reports'!D998)),TRIM(MID('R.M Billets Reports'!D998,SEARCH("-",'R.M Billets Reports'!D998)+1,200)),"")))="SHREE RADHE SHAKTI SPONGE AND POWER PVT. LTD.","SHREE RADHE",IF(IF(ISNUMBER(SEARCH("Party Name:-",'R.M Billets Reports'!D997)),TRIM('R.M Billets Reports'!F997),IF(ISNUMBER(SEARCH("Party Name-",'R.M Billets Reports'!D997)),TRIM(MID('R.M Billets Reports'!D997,SEARCH("-",'R.M Billets Reports'!D997)+1,200)),""))&lt;&gt;"",IF(ISNUMBER(SEARCH("Party Name:-",'R.M Billets Reports'!D997)),TRIM('R.M Billets Reports'!F997),IF(ISNUMBER(SEARCH("Party Name-",'R.M Billets Reports'!D997)),TRIM(MID('R.M Billets Reports'!D997,SEARCH("-",'R.M Billets Reports'!D997)+1,200)),"")),IF(ISNUMBER(SEARCH("Party Name:-",'R.M Billets Reports'!D998)),TRIM('R.M Billets Reports'!F998),IF(ISNUMBER(SEARCH("Party Name-",'R.M Billets Reports'!D998)),TRIM(MID('R.M Billets Reports'!D998,SEARCH("-",'R.M Billets Reports'!D998)+1,200)),"")))))),IF(ROW()=2,"",A997))</f>
      </c>
      <c r="B998">
        <f>IF(OR('R.M Billets Reports'!A997="Date-",'R.M Billets Reports'!A997="Date:-"),'R.M Billets Reports'!B997,IF(ROW()=2,"",B997))</f>
      </c>
      <c r="C998">
        <f>IF('R.M Billets Reports'!A997="V.No.",'R.M Billets Reports'!B997,IF(ROW()=2,"",C997))</f>
      </c>
      <c r="D998">
        <f>IF('R.M Billets Reports'!A997&lt;&gt;"",'R.M Billets Reports'!A997,IF(ROW()=2,"",D997))</f>
      </c>
      <c r="E998">
        <f>IF('R.M Billets Reports'!B997="","",TRIM('R.M Billets Reports'!B997))</f>
      </c>
      <c r="F998">
        <f>'R.M Billets Reports'!C997</f>
      </c>
      <c r="G998">
        <f>'R.M Billets Reports'!D997</f>
      </c>
      <c r="H998">
        <f>'R.M Billets Reports'!E997</f>
      </c>
      <c r="I998">
        <f>'R.M Billets Reports'!F997</f>
      </c>
      <c r="J998">
        <f>'R.M Billets Reports'!G997</f>
      </c>
      <c r="K998">
        <f>'R.M Billets Reports'!H997</f>
      </c>
      <c r="L998">
        <f>IF('R.M Billets Reports'!I997="","",'R.M Billets Reports'!I997)</f>
      </c>
      <c r="M998">
        <f t="shared" si="30"/>
      </c>
      <c r="N998">
        <f>IF('R.M Billets Reports'!J997="","",'R.M Billets Reports'!J997)</f>
      </c>
      <c r="O998">
        <f t="shared" si="31"/>
      </c>
      <c r="P998">
        <f>IF('R.M Billets Reports'!A997="SIZE",'R.M Billets Reports'!B997,P997)</f>
      </c>
    </row>
    <row r="999" spans="1:16" x14ac:dyDescent="0.25">
      <c r="A999">
        <f>IF(OR('R.M Billets Reports'!A998="Date-",'R.M Billets Reports'!A998="Date:-"),IF(IF(IF(ISNUMBER(SEARCH("Party Name:-",'R.M Billets Reports'!D998)),TRIM('R.M Billets Reports'!F998),IF(ISNUMBER(SEARCH("Party Name-",'R.M Billets Reports'!D998)),TRIM(MID('R.M Billets Reports'!D998,SEARCH("-",'R.M Billets Reports'!D998)+1,200)),""))&lt;&gt;"",IF(ISNUMBER(SEARCH("Party Name:-",'R.M Billets Reports'!D998)),TRIM('R.M Billets Reports'!F998),IF(ISNUMBER(SEARCH("Party Name-",'R.M Billets Reports'!D998)),TRIM(MID('R.M Billets Reports'!D998,SEARCH("-",'R.M Billets Reports'!D998)+1,200)),"")),IF(ISNUMBER(SEARCH("Party Name:-",'R.M Billets Reports'!D999)),TRIM('R.M Billets Reports'!F999),IF(ISNUMBER(SEARCH("Party Name-",'R.M Billets Reports'!D999)),TRIM(MID('R.M Billets Reports'!D999,SEARCH("-",'R.M Billets Reports'!D999)+1,200)),"")))="VRKP ISPAT PVT LTD","VRKP",IF(IF(IF(ISNUMBER(SEARCH("Party Name:-",'R.M Billets Reports'!D998)),TRIM('R.M Billets Reports'!F998),IF(ISNUMBER(SEARCH("Party Name-",'R.M Billets Reports'!D998)),TRIM(MID('R.M Billets Reports'!D998,SEARCH("-",'R.M Billets Reports'!D998)+1,200)),""))&lt;&gt;"",IF(ISNUMBER(SEARCH("Party Name:-",'R.M Billets Reports'!D998)),TRIM('R.M Billets Reports'!F998),IF(ISNUMBER(SEARCH("Party Name-",'R.M Billets Reports'!D998)),TRIM(MID('R.M Billets Reports'!D998,SEARCH("-",'R.M Billets Reports'!D998)+1,200)),"")),IF(ISNUMBER(SEARCH("Party Name:-",'R.M Billets Reports'!D999)),TRIM('R.M Billets Reports'!F999),IF(ISNUMBER(SEARCH("Party Name-",'R.M Billets Reports'!D999)),TRIM(MID('R.M Billets Reports'!D999,SEARCH("-",'R.M Billets Reports'!D999)+1,200)),"")))="SHRI RADHE","SHREE RADHE",IF(IF(IF(ISNUMBER(SEARCH("Party Name:-",'R.M Billets Reports'!D998)),TRIM('R.M Billets Reports'!F998),IF(ISNUMBER(SEARCH("Party Name-",'R.M Billets Reports'!D998)),TRIM(MID('R.M Billets Reports'!D998,SEARCH("-",'R.M Billets Reports'!D998)+1,200)),""))&lt;&gt;"",IF(ISNUMBER(SEARCH("Party Name:-",'R.M Billets Reports'!D998)),TRIM('R.M Billets Reports'!F998),IF(ISNUMBER(SEARCH("Party Name-",'R.M Billets Reports'!D998)),TRIM(MID('R.M Billets Reports'!D998,SEARCH("-",'R.M Billets Reports'!D998)+1,200)),"")),IF(ISNUMBER(SEARCH("Party Name:-",'R.M Billets Reports'!D999)),TRIM('R.M Billets Reports'!F999),IF(ISNUMBER(SEARCH("Party Name-",'R.M Billets Reports'!D999)),TRIM(MID('R.M Billets Reports'!D999,SEARCH("-",'R.M Billets Reports'!D999)+1,200)),"")))="SHREE RADHE SHAKTI SPONGE AND POWER PVT. LTD.","SHREE RADHE",IF(IF(ISNUMBER(SEARCH("Party Name:-",'R.M Billets Reports'!D998)),TRIM('R.M Billets Reports'!F998),IF(ISNUMBER(SEARCH("Party Name-",'R.M Billets Reports'!D998)),TRIM(MID('R.M Billets Reports'!D998,SEARCH("-",'R.M Billets Reports'!D998)+1,200)),""))&lt;&gt;"",IF(ISNUMBER(SEARCH("Party Name:-",'R.M Billets Reports'!D998)),TRIM('R.M Billets Reports'!F998),IF(ISNUMBER(SEARCH("Party Name-",'R.M Billets Reports'!D998)),TRIM(MID('R.M Billets Reports'!D998,SEARCH("-",'R.M Billets Reports'!D998)+1,200)),"")),IF(ISNUMBER(SEARCH("Party Name:-",'R.M Billets Reports'!D999)),TRIM('R.M Billets Reports'!F999),IF(ISNUMBER(SEARCH("Party Name-",'R.M Billets Reports'!D999)),TRIM(MID('R.M Billets Reports'!D999,SEARCH("-",'R.M Billets Reports'!D999)+1,200)),"")))))),IF(ROW()=2,"",A998))</f>
      </c>
      <c r="B999">
        <f>IF(OR('R.M Billets Reports'!A998="Date-",'R.M Billets Reports'!A998="Date:-"),'R.M Billets Reports'!B998,IF(ROW()=2,"",B998))</f>
      </c>
      <c r="C999">
        <f>IF('R.M Billets Reports'!A998="V.No.",'R.M Billets Reports'!B998,IF(ROW()=2,"",C998))</f>
      </c>
      <c r="D999">
        <f>IF('R.M Billets Reports'!A998&lt;&gt;"",'R.M Billets Reports'!A998,IF(ROW()=2,"",D998))</f>
      </c>
      <c r="E999">
        <f>IF('R.M Billets Reports'!B998="","",TRIM('R.M Billets Reports'!B998))</f>
      </c>
      <c r="F999">
        <f>'R.M Billets Reports'!C998</f>
      </c>
      <c r="G999">
        <f>'R.M Billets Reports'!D998</f>
      </c>
      <c r="H999">
        <f>'R.M Billets Reports'!E998</f>
      </c>
      <c r="I999">
        <f>'R.M Billets Reports'!F998</f>
      </c>
      <c r="J999">
        <f>'R.M Billets Reports'!G998</f>
      </c>
      <c r="K999">
        <f>'R.M Billets Reports'!H998</f>
      </c>
      <c r="L999">
        <f>IF('R.M Billets Reports'!I998="","",'R.M Billets Reports'!I998)</f>
      </c>
      <c r="M999">
        <f t="shared" si="30"/>
      </c>
      <c r="N999">
        <f>IF('R.M Billets Reports'!J998="","",'R.M Billets Reports'!J998)</f>
      </c>
      <c r="O999">
        <f t="shared" si="31"/>
      </c>
      <c r="P999">
        <f>IF('R.M Billets Reports'!A998="SIZE",'R.M Billets Reports'!B998,P998)</f>
      </c>
    </row>
    <row r="1000" spans="1:16" x14ac:dyDescent="0.25">
      <c r="A1000">
        <f>IF(OR('R.M Billets Reports'!A999="Date-",'R.M Billets Reports'!A999="Date:-"),IF(IF(IF(ISNUMBER(SEARCH("Party Name:-",'R.M Billets Reports'!D999)),TRIM('R.M Billets Reports'!F999),IF(ISNUMBER(SEARCH("Party Name-",'R.M Billets Reports'!D999)),TRIM(MID('R.M Billets Reports'!D999,SEARCH("-",'R.M Billets Reports'!D999)+1,200)),""))&lt;&gt;"",IF(ISNUMBER(SEARCH("Party Name:-",'R.M Billets Reports'!D999)),TRIM('R.M Billets Reports'!F999),IF(ISNUMBER(SEARCH("Party Name-",'R.M Billets Reports'!D999)),TRIM(MID('R.M Billets Reports'!D999,SEARCH("-",'R.M Billets Reports'!D999)+1,200)),"")),IF(ISNUMBER(SEARCH("Party Name:-",'R.M Billets Reports'!D1000)),TRIM('R.M Billets Reports'!F1000),IF(ISNUMBER(SEARCH("Party Name-",'R.M Billets Reports'!D1000)),TRIM(MID('R.M Billets Reports'!D1000,SEARCH("-",'R.M Billets Reports'!D1000)+1,200)),"")))="VRKP ISPAT PVT LTD","VRKP",IF(IF(IF(ISNUMBER(SEARCH("Party Name:-",'R.M Billets Reports'!D999)),TRIM('R.M Billets Reports'!F999),IF(ISNUMBER(SEARCH("Party Name-",'R.M Billets Reports'!D999)),TRIM(MID('R.M Billets Reports'!D999,SEARCH("-",'R.M Billets Reports'!D999)+1,200)),""))&lt;&gt;"",IF(ISNUMBER(SEARCH("Party Name:-",'R.M Billets Reports'!D999)),TRIM('R.M Billets Reports'!F999),IF(ISNUMBER(SEARCH("Party Name-",'R.M Billets Reports'!D999)),TRIM(MID('R.M Billets Reports'!D999,SEARCH("-",'R.M Billets Reports'!D999)+1,200)),"")),IF(ISNUMBER(SEARCH("Party Name:-",'R.M Billets Reports'!D1000)),TRIM('R.M Billets Reports'!F1000),IF(ISNUMBER(SEARCH("Party Name-",'R.M Billets Reports'!D1000)),TRIM(MID('R.M Billets Reports'!D1000,SEARCH("-",'R.M Billets Reports'!D1000)+1,200)),"")))="SHRI RADHE","SHREE RADHE",IF(IF(IF(ISNUMBER(SEARCH("Party Name:-",'R.M Billets Reports'!D999)),TRIM('R.M Billets Reports'!F999),IF(ISNUMBER(SEARCH("Party Name-",'R.M Billets Reports'!D999)),TRIM(MID('R.M Billets Reports'!D999,SEARCH("-",'R.M Billets Reports'!D999)+1,200)),""))&lt;&gt;"",IF(ISNUMBER(SEARCH("Party Name:-",'R.M Billets Reports'!D999)),TRIM('R.M Billets Reports'!F999),IF(ISNUMBER(SEARCH("Party Name-",'R.M Billets Reports'!D999)),TRIM(MID('R.M Billets Reports'!D999,SEARCH("-",'R.M Billets Reports'!D999)+1,200)),"")),IF(ISNUMBER(SEARCH("Party Name:-",'R.M Billets Reports'!D1000)),TRIM('R.M Billets Reports'!F1000),IF(ISNUMBER(SEARCH("Party Name-",'R.M Billets Reports'!D1000)),TRIM(MID('R.M Billets Reports'!D1000,SEARCH("-",'R.M Billets Reports'!D1000)+1,200)),"")))="SHREE RADHE SHAKTI SPONGE AND POWER PVT. LTD.","SHREE RADHE",IF(IF(ISNUMBER(SEARCH("Party Name:-",'R.M Billets Reports'!D999)),TRIM('R.M Billets Reports'!F999),IF(ISNUMBER(SEARCH("Party Name-",'R.M Billets Reports'!D999)),TRIM(MID('R.M Billets Reports'!D999,SEARCH("-",'R.M Billets Reports'!D999)+1,200)),""))&lt;&gt;"",IF(ISNUMBER(SEARCH("Party Name:-",'R.M Billets Reports'!D999)),TRIM('R.M Billets Reports'!F999),IF(ISNUMBER(SEARCH("Party Name-",'R.M Billets Reports'!D999)),TRIM(MID('R.M Billets Reports'!D999,SEARCH("-",'R.M Billets Reports'!D999)+1,200)),"")),IF(ISNUMBER(SEARCH("Party Name:-",'R.M Billets Reports'!D1000)),TRIM('R.M Billets Reports'!F1000),IF(ISNUMBER(SEARCH("Party Name-",'R.M Billets Reports'!D1000)),TRIM(MID('R.M Billets Reports'!D1000,SEARCH("-",'R.M Billets Reports'!D1000)+1,200)),"")))))),IF(ROW()=2,"",A999))</f>
      </c>
      <c r="B1000">
        <f>IF(OR('R.M Billets Reports'!A999="Date-",'R.M Billets Reports'!A999="Date:-"),'R.M Billets Reports'!B999,IF(ROW()=2,"",B999))</f>
      </c>
      <c r="C1000">
        <f>IF('R.M Billets Reports'!A999="V.No.",'R.M Billets Reports'!B999,IF(ROW()=2,"",C999))</f>
      </c>
      <c r="D1000">
        <f>IF('R.M Billets Reports'!A999&lt;&gt;"",'R.M Billets Reports'!A999,IF(ROW()=2,"",D999))</f>
      </c>
      <c r="E1000">
        <f>IF('R.M Billets Reports'!B999="","",TRIM('R.M Billets Reports'!B999))</f>
      </c>
      <c r="F1000">
        <f>'R.M Billets Reports'!C999</f>
      </c>
      <c r="G1000">
        <f>'R.M Billets Reports'!D999</f>
      </c>
      <c r="H1000">
        <f>'R.M Billets Reports'!E999</f>
      </c>
      <c r="I1000">
        <f>'R.M Billets Reports'!F999</f>
      </c>
      <c r="J1000">
        <f>'R.M Billets Reports'!G999</f>
      </c>
      <c r="K1000">
        <f>'R.M Billets Reports'!H999</f>
      </c>
      <c r="L1000">
        <f>IF('R.M Billets Reports'!I999="","",'R.M Billets Reports'!I999)</f>
      </c>
      <c r="M1000">
        <f t="shared" si="30"/>
      </c>
      <c r="N1000">
        <f>IF('R.M Billets Reports'!J999="","",'R.M Billets Reports'!J999)</f>
      </c>
      <c r="O1000">
        <f t="shared" si="31"/>
      </c>
      <c r="P1000">
        <f>IF('R.M Billets Reports'!A999="SIZE",'R.M Billets Reports'!B999,P999)</f>
      </c>
    </row>
    <row r="1001" spans="1:16" x14ac:dyDescent="0.25">
      <c r="A1001">
        <f>IF(OR('R.M Billets Reports'!A1000="Date-",'R.M Billets Reports'!A1000="Date:-"),IF(IF(IF(ISNUMBER(SEARCH("Party Name:-",'R.M Billets Reports'!D1000)),TRIM('R.M Billets Reports'!F1000),IF(ISNUMBER(SEARCH("Party Name-",'R.M Billets Reports'!D1000)),TRIM(MID('R.M Billets Reports'!D1000,SEARCH("-",'R.M Billets Reports'!D1000)+1,200)),""))&lt;&gt;"",IF(ISNUMBER(SEARCH("Party Name:-",'R.M Billets Reports'!D1000)),TRIM('R.M Billets Reports'!F1000),IF(ISNUMBER(SEARCH("Party Name-",'R.M Billets Reports'!D1000)),TRIM(MID('R.M Billets Reports'!D1000,SEARCH("-",'R.M Billets Reports'!D1000)+1,200)),"")),IF(ISNUMBER(SEARCH("Party Name:-",'R.M Billets Reports'!D1001)),TRIM('R.M Billets Reports'!F1001),IF(ISNUMBER(SEARCH("Party Name-",'R.M Billets Reports'!D1001)),TRIM(MID('R.M Billets Reports'!D1001,SEARCH("-",'R.M Billets Reports'!D1001)+1,200)),"")))="VRKP ISPAT PVT LTD","VRKP",IF(IF(IF(ISNUMBER(SEARCH("Party Name:-",'R.M Billets Reports'!D1000)),TRIM('R.M Billets Reports'!F1000),IF(ISNUMBER(SEARCH("Party Name-",'R.M Billets Reports'!D1000)),TRIM(MID('R.M Billets Reports'!D1000,SEARCH("-",'R.M Billets Reports'!D1000)+1,200)),""))&lt;&gt;"",IF(ISNUMBER(SEARCH("Party Name:-",'R.M Billets Reports'!D1000)),TRIM('R.M Billets Reports'!F1000),IF(ISNUMBER(SEARCH("Party Name-",'R.M Billets Reports'!D1000)),TRIM(MID('R.M Billets Reports'!D1000,SEARCH("-",'R.M Billets Reports'!D1000)+1,200)),"")),IF(ISNUMBER(SEARCH("Party Name:-",'R.M Billets Reports'!D1001)),TRIM('R.M Billets Reports'!F1001),IF(ISNUMBER(SEARCH("Party Name-",'R.M Billets Reports'!D1001)),TRIM(MID('R.M Billets Reports'!D1001,SEARCH("-",'R.M Billets Reports'!D1001)+1,200)),"")))="SHRI RADHE","SHREE RADHE",IF(IF(IF(ISNUMBER(SEARCH("Party Name:-",'R.M Billets Reports'!D1000)),TRIM('R.M Billets Reports'!F1000),IF(ISNUMBER(SEARCH("Party Name-",'R.M Billets Reports'!D1000)),TRIM(MID('R.M Billets Reports'!D1000,SEARCH("-",'R.M Billets Reports'!D1000)+1,200)),""))&lt;&gt;"",IF(ISNUMBER(SEARCH("Party Name:-",'R.M Billets Reports'!D1000)),TRIM('R.M Billets Reports'!F1000),IF(ISNUMBER(SEARCH("Party Name-",'R.M Billets Reports'!D1000)),TRIM(MID('R.M Billets Reports'!D1000,SEARCH("-",'R.M Billets Reports'!D1000)+1,200)),"")),IF(ISNUMBER(SEARCH("Party Name:-",'R.M Billets Reports'!D1001)),TRIM('R.M Billets Reports'!F1001),IF(ISNUMBER(SEARCH("Party Name-",'R.M Billets Reports'!D1001)),TRIM(MID('R.M Billets Reports'!D1001,SEARCH("-",'R.M Billets Reports'!D1001)+1,200)),"")))="SHREE RADHE SHAKTI SPONGE AND POWER PVT. LTD.","SHREE RADHE",IF(IF(ISNUMBER(SEARCH("Party Name:-",'R.M Billets Reports'!D1000)),TRIM('R.M Billets Reports'!F1000),IF(ISNUMBER(SEARCH("Party Name-",'R.M Billets Reports'!D1000)),TRIM(MID('R.M Billets Reports'!D1000,SEARCH("-",'R.M Billets Reports'!D1000)+1,200)),""))&lt;&gt;"",IF(ISNUMBER(SEARCH("Party Name:-",'R.M Billets Reports'!D1000)),TRIM('R.M Billets Reports'!F1000),IF(ISNUMBER(SEARCH("Party Name-",'R.M Billets Reports'!D1000)),TRIM(MID('R.M Billets Reports'!D1000,SEARCH("-",'R.M Billets Reports'!D1000)+1,200)),"")),IF(ISNUMBER(SEARCH("Party Name:-",'R.M Billets Reports'!D1001)),TRIM('R.M Billets Reports'!F1001),IF(ISNUMBER(SEARCH("Party Name-",'R.M Billets Reports'!D1001)),TRIM(MID('R.M Billets Reports'!D1001,SEARCH("-",'R.M Billets Reports'!D1001)+1,200)),"")))))),IF(ROW()=2,"",A1000))</f>
      </c>
      <c r="B1001">
        <f>IF(OR('R.M Billets Reports'!A1000="Date-",'R.M Billets Reports'!A1000="Date:-"),'R.M Billets Reports'!B1000,IF(ROW()=2,"",B1000))</f>
      </c>
      <c r="C1001">
        <f>IF('R.M Billets Reports'!A1000="V.No.",'R.M Billets Reports'!B1000,IF(ROW()=2,"",C1000))</f>
      </c>
      <c r="D1001">
        <f>IF('R.M Billets Reports'!A1000&lt;&gt;"",'R.M Billets Reports'!A1000,IF(ROW()=2,"",D1000))</f>
      </c>
      <c r="E1001">
        <f>IF('R.M Billets Reports'!B1000="","",TRIM('R.M Billets Reports'!B1000))</f>
      </c>
      <c r="F1001">
        <f>'R.M Billets Reports'!C1000</f>
      </c>
      <c r="G1001">
        <f>'R.M Billets Reports'!D1000</f>
      </c>
      <c r="H1001">
        <f>'R.M Billets Reports'!E1000</f>
      </c>
      <c r="I1001">
        <f>'R.M Billets Reports'!F1000</f>
      </c>
      <c r="J1001">
        <f>'R.M Billets Reports'!G1000</f>
      </c>
      <c r="K1001">
        <f>'R.M Billets Reports'!H1000</f>
      </c>
      <c r="L1001">
        <f>IF('R.M Billets Reports'!I1000="","",'R.M Billets Reports'!I1000)</f>
      </c>
      <c r="M1001">
        <f t="shared" si="30"/>
      </c>
      <c r="N1001">
        <f>IF('R.M Billets Reports'!J1000="","",'R.M Billets Reports'!J1000)</f>
      </c>
      <c r="O1001">
        <f t="shared" si="31"/>
      </c>
      <c r="P1001">
        <f>IF('R.M Billets Reports'!A1000="SIZE",'R.M Billets Reports'!B1000,P1000)</f>
      </c>
    </row>
    <row r="1002" spans="1:16" x14ac:dyDescent="0.25">
      <c r="A1002">
        <f>IF(OR('R.M Billets Reports'!A1001="Date-",'R.M Billets Reports'!A1001="Date:-"),IF(IF(IF(ISNUMBER(SEARCH("Party Name:-",'R.M Billets Reports'!D1001)),TRIM('R.M Billets Reports'!F1001),IF(ISNUMBER(SEARCH("Party Name-",'R.M Billets Reports'!D1001)),TRIM(MID('R.M Billets Reports'!D1001,SEARCH("-",'R.M Billets Reports'!D1001)+1,200)),""))&lt;&gt;"",IF(ISNUMBER(SEARCH("Party Name:-",'R.M Billets Reports'!D1001)),TRIM('R.M Billets Reports'!F1001),IF(ISNUMBER(SEARCH("Party Name-",'R.M Billets Reports'!D1001)),TRIM(MID('R.M Billets Reports'!D1001,SEARCH("-",'R.M Billets Reports'!D1001)+1,200)),"")),IF(ISNUMBER(SEARCH("Party Name:-",'R.M Billets Reports'!D1002)),TRIM('R.M Billets Reports'!F1002),IF(ISNUMBER(SEARCH("Party Name-",'R.M Billets Reports'!D1002)),TRIM(MID('R.M Billets Reports'!D1002,SEARCH("-",'R.M Billets Reports'!D1002)+1,200)),"")))="VRKP ISPAT PVT LTD","VRKP",IF(IF(IF(ISNUMBER(SEARCH("Party Name:-",'R.M Billets Reports'!D1001)),TRIM('R.M Billets Reports'!F1001),IF(ISNUMBER(SEARCH("Party Name-",'R.M Billets Reports'!D1001)),TRIM(MID('R.M Billets Reports'!D1001,SEARCH("-",'R.M Billets Reports'!D1001)+1,200)),""))&lt;&gt;"",IF(ISNUMBER(SEARCH("Party Name:-",'R.M Billets Reports'!D1001)),TRIM('R.M Billets Reports'!F1001),IF(ISNUMBER(SEARCH("Party Name-",'R.M Billets Reports'!D1001)),TRIM(MID('R.M Billets Reports'!D1001,SEARCH("-",'R.M Billets Reports'!D1001)+1,200)),"")),IF(ISNUMBER(SEARCH("Party Name:-",'R.M Billets Reports'!D1002)),TRIM('R.M Billets Reports'!F1002),IF(ISNUMBER(SEARCH("Party Name-",'R.M Billets Reports'!D1002)),TRIM(MID('R.M Billets Reports'!D1002,SEARCH("-",'R.M Billets Reports'!D1002)+1,200)),"")))="SHRI RADHE","SHREE RADHE",IF(IF(IF(ISNUMBER(SEARCH("Party Name:-",'R.M Billets Reports'!D1001)),TRIM('R.M Billets Reports'!F1001),IF(ISNUMBER(SEARCH("Party Name-",'R.M Billets Reports'!D1001)),TRIM(MID('R.M Billets Reports'!D1001,SEARCH("-",'R.M Billets Reports'!D1001)+1,200)),""))&lt;&gt;"",IF(ISNUMBER(SEARCH("Party Name:-",'R.M Billets Reports'!D1001)),TRIM('R.M Billets Reports'!F1001),IF(ISNUMBER(SEARCH("Party Name-",'R.M Billets Reports'!D1001)),TRIM(MID('R.M Billets Reports'!D1001,SEARCH("-",'R.M Billets Reports'!D1001)+1,200)),"")),IF(ISNUMBER(SEARCH("Party Name:-",'R.M Billets Reports'!D1002)),TRIM('R.M Billets Reports'!F1002),IF(ISNUMBER(SEARCH("Party Name-",'R.M Billets Reports'!D1002)),TRIM(MID('R.M Billets Reports'!D1002,SEARCH("-",'R.M Billets Reports'!D1002)+1,200)),"")))="SHREE RADHE SHAKTI SPONGE AND POWER PVT. LTD.","SHREE RADHE",IF(IF(ISNUMBER(SEARCH("Party Name:-",'R.M Billets Reports'!D1001)),TRIM('R.M Billets Reports'!F1001),IF(ISNUMBER(SEARCH("Party Name-",'R.M Billets Reports'!D1001)),TRIM(MID('R.M Billets Reports'!D1001,SEARCH("-",'R.M Billets Reports'!D1001)+1,200)),""))&lt;&gt;"",IF(ISNUMBER(SEARCH("Party Name:-",'R.M Billets Reports'!D1001)),TRIM('R.M Billets Reports'!F1001),IF(ISNUMBER(SEARCH("Party Name-",'R.M Billets Reports'!D1001)),TRIM(MID('R.M Billets Reports'!D1001,SEARCH("-",'R.M Billets Reports'!D1001)+1,200)),"")),IF(ISNUMBER(SEARCH("Party Name:-",'R.M Billets Reports'!D1002)),TRIM('R.M Billets Reports'!F1002),IF(ISNUMBER(SEARCH("Party Name-",'R.M Billets Reports'!D1002)),TRIM(MID('R.M Billets Reports'!D1002,SEARCH("-",'R.M Billets Reports'!D1002)+1,200)),"")))))),IF(ROW()=2,"",A1001))</f>
      </c>
      <c r="B1002">
        <f>IF(OR('R.M Billets Reports'!A1001="Date-",'R.M Billets Reports'!A1001="Date:-"),'R.M Billets Reports'!B1001,IF(ROW()=2,"",B1001))</f>
      </c>
      <c r="C1002">
        <f>IF('R.M Billets Reports'!A1001="V.No.",'R.M Billets Reports'!B1001,IF(ROW()=2,"",C1001))</f>
      </c>
      <c r="D1002">
        <f>IF('R.M Billets Reports'!A1001&lt;&gt;"",'R.M Billets Reports'!A1001,IF(ROW()=2,"",D1001))</f>
      </c>
      <c r="E1002">
        <f>IF('R.M Billets Reports'!B1001="","",TRIM('R.M Billets Reports'!B1001))</f>
      </c>
      <c r="F1002">
        <f>'R.M Billets Reports'!C1001</f>
      </c>
      <c r="G1002">
        <f>'R.M Billets Reports'!D1001</f>
      </c>
      <c r="H1002">
        <f>'R.M Billets Reports'!E1001</f>
      </c>
      <c r="I1002">
        <f>'R.M Billets Reports'!F1001</f>
      </c>
      <c r="J1002">
        <f>'R.M Billets Reports'!G1001</f>
      </c>
      <c r="K1002">
        <f>'R.M Billets Reports'!H1001</f>
      </c>
      <c r="L1002">
        <f>IF('R.M Billets Reports'!I1001="","",'R.M Billets Reports'!I1001)</f>
      </c>
      <c r="M1002">
        <f t="shared" si="30"/>
      </c>
      <c r="N1002">
        <f>IF('R.M Billets Reports'!J1001="","",'R.M Billets Reports'!J1001)</f>
      </c>
      <c r="O1002">
        <f t="shared" si="31"/>
      </c>
      <c r="P1002">
        <f>IF('R.M Billets Reports'!A1001="SIZE",'R.M Billets Reports'!B1001,P1001)</f>
      </c>
    </row>
    <row r="1003" spans="1:16" x14ac:dyDescent="0.25">
      <c r="A1003">
        <f>IF(OR('R.M Billets Reports'!A1002="Date-",'R.M Billets Reports'!A1002="Date:-"),IF(IF(IF(ISNUMBER(SEARCH("Party Name:-",'R.M Billets Reports'!D1002)),TRIM('R.M Billets Reports'!F1002),IF(ISNUMBER(SEARCH("Party Name-",'R.M Billets Reports'!D1002)),TRIM(MID('R.M Billets Reports'!D1002,SEARCH("-",'R.M Billets Reports'!D1002)+1,200)),""))&lt;&gt;"",IF(ISNUMBER(SEARCH("Party Name:-",'R.M Billets Reports'!D1002)),TRIM('R.M Billets Reports'!F1002),IF(ISNUMBER(SEARCH("Party Name-",'R.M Billets Reports'!D1002)),TRIM(MID('R.M Billets Reports'!D1002,SEARCH("-",'R.M Billets Reports'!D1002)+1,200)),"")),IF(ISNUMBER(SEARCH("Party Name:-",'R.M Billets Reports'!D1003)),TRIM('R.M Billets Reports'!F1003),IF(ISNUMBER(SEARCH("Party Name-",'R.M Billets Reports'!D1003)),TRIM(MID('R.M Billets Reports'!D1003,SEARCH("-",'R.M Billets Reports'!D1003)+1,200)),"")))="VRKP ISPAT PVT LTD","VRKP",IF(IF(IF(ISNUMBER(SEARCH("Party Name:-",'R.M Billets Reports'!D1002)),TRIM('R.M Billets Reports'!F1002),IF(ISNUMBER(SEARCH("Party Name-",'R.M Billets Reports'!D1002)),TRIM(MID('R.M Billets Reports'!D1002,SEARCH("-",'R.M Billets Reports'!D1002)+1,200)),""))&lt;&gt;"",IF(ISNUMBER(SEARCH("Party Name:-",'R.M Billets Reports'!D1002)),TRIM('R.M Billets Reports'!F1002),IF(ISNUMBER(SEARCH("Party Name-",'R.M Billets Reports'!D1002)),TRIM(MID('R.M Billets Reports'!D1002,SEARCH("-",'R.M Billets Reports'!D1002)+1,200)),"")),IF(ISNUMBER(SEARCH("Party Name:-",'R.M Billets Reports'!D1003)),TRIM('R.M Billets Reports'!F1003),IF(ISNUMBER(SEARCH("Party Name-",'R.M Billets Reports'!D1003)),TRIM(MID('R.M Billets Reports'!D1003,SEARCH("-",'R.M Billets Reports'!D1003)+1,200)),"")))="SHRI RADHE","SHREE RADHE",IF(IF(IF(ISNUMBER(SEARCH("Party Name:-",'R.M Billets Reports'!D1002)),TRIM('R.M Billets Reports'!F1002),IF(ISNUMBER(SEARCH("Party Name-",'R.M Billets Reports'!D1002)),TRIM(MID('R.M Billets Reports'!D1002,SEARCH("-",'R.M Billets Reports'!D1002)+1,200)),""))&lt;&gt;"",IF(ISNUMBER(SEARCH("Party Name:-",'R.M Billets Reports'!D1002)),TRIM('R.M Billets Reports'!F1002),IF(ISNUMBER(SEARCH("Party Name-",'R.M Billets Reports'!D1002)),TRIM(MID('R.M Billets Reports'!D1002,SEARCH("-",'R.M Billets Reports'!D1002)+1,200)),"")),IF(ISNUMBER(SEARCH("Party Name:-",'R.M Billets Reports'!D1003)),TRIM('R.M Billets Reports'!F1003),IF(ISNUMBER(SEARCH("Party Name-",'R.M Billets Reports'!D1003)),TRIM(MID('R.M Billets Reports'!D1003,SEARCH("-",'R.M Billets Reports'!D1003)+1,200)),"")))="SHREE RADHE SHAKTI SPONGE AND POWER PVT. LTD.","SHREE RADHE",IF(IF(ISNUMBER(SEARCH("Party Name:-",'R.M Billets Reports'!D1002)),TRIM('R.M Billets Reports'!F1002),IF(ISNUMBER(SEARCH("Party Name-",'R.M Billets Reports'!D1002)),TRIM(MID('R.M Billets Reports'!D1002,SEARCH("-",'R.M Billets Reports'!D1002)+1,200)),""))&lt;&gt;"",IF(ISNUMBER(SEARCH("Party Name:-",'R.M Billets Reports'!D1002)),TRIM('R.M Billets Reports'!F1002),IF(ISNUMBER(SEARCH("Party Name-",'R.M Billets Reports'!D1002)),TRIM(MID('R.M Billets Reports'!D1002,SEARCH("-",'R.M Billets Reports'!D1002)+1,200)),"")),IF(ISNUMBER(SEARCH("Party Name:-",'R.M Billets Reports'!D1003)),TRIM('R.M Billets Reports'!F1003),IF(ISNUMBER(SEARCH("Party Name-",'R.M Billets Reports'!D1003)),TRIM(MID('R.M Billets Reports'!D1003,SEARCH("-",'R.M Billets Reports'!D1003)+1,200)),"")))))),IF(ROW()=2,"",A1002))</f>
      </c>
      <c r="B1003">
        <f>IF(OR('R.M Billets Reports'!A1002="Date-",'R.M Billets Reports'!A1002="Date:-"),'R.M Billets Reports'!B1002,IF(ROW()=2,"",B1002))</f>
      </c>
      <c r="C1003">
        <f>IF('R.M Billets Reports'!A1002="V.No.",'R.M Billets Reports'!B1002,IF(ROW()=2,"",C1002))</f>
      </c>
      <c r="D1003">
        <f>IF('R.M Billets Reports'!A1002&lt;&gt;"",'R.M Billets Reports'!A1002,IF(ROW()=2,"",D1002))</f>
      </c>
      <c r="E1003">
        <f>IF('R.M Billets Reports'!B1002="","",TRIM('R.M Billets Reports'!B1002))</f>
      </c>
      <c r="F1003">
        <f>'R.M Billets Reports'!C1002</f>
      </c>
      <c r="G1003">
        <f>'R.M Billets Reports'!D1002</f>
      </c>
      <c r="H1003">
        <f>'R.M Billets Reports'!E1002</f>
      </c>
      <c r="I1003">
        <f>'R.M Billets Reports'!F1002</f>
      </c>
      <c r="J1003">
        <f>'R.M Billets Reports'!G1002</f>
      </c>
      <c r="K1003">
        <f>'R.M Billets Reports'!H1002</f>
      </c>
      <c r="L1003">
        <f>IF('R.M Billets Reports'!I1002="","",'R.M Billets Reports'!I1002)</f>
      </c>
      <c r="M1003">
        <f t="shared" si="30"/>
      </c>
      <c r="N1003">
        <f>IF('R.M Billets Reports'!J1002="","",'R.M Billets Reports'!J1002)</f>
      </c>
      <c r="O1003">
        <f t="shared" si="31"/>
      </c>
      <c r="P1003">
        <f>IF('R.M Billets Reports'!A1002="SIZE",'R.M Billets Reports'!B1002,P1002)</f>
      </c>
    </row>
    <row r="1004" spans="1:16" x14ac:dyDescent="0.25">
      <c r="A1004">
        <f>IF(OR('R.M Billets Reports'!A1003="Date-",'R.M Billets Reports'!A1003="Date:-"),IF(IF(IF(ISNUMBER(SEARCH("Party Name:-",'R.M Billets Reports'!D1003)),TRIM('R.M Billets Reports'!F1003),IF(ISNUMBER(SEARCH("Party Name-",'R.M Billets Reports'!D1003)),TRIM(MID('R.M Billets Reports'!D1003,SEARCH("-",'R.M Billets Reports'!D1003)+1,200)),""))&lt;&gt;"",IF(ISNUMBER(SEARCH("Party Name:-",'R.M Billets Reports'!D1003)),TRIM('R.M Billets Reports'!F1003),IF(ISNUMBER(SEARCH("Party Name-",'R.M Billets Reports'!D1003)),TRIM(MID('R.M Billets Reports'!D1003,SEARCH("-",'R.M Billets Reports'!D1003)+1,200)),"")),IF(ISNUMBER(SEARCH("Party Name:-",'R.M Billets Reports'!D1004)),TRIM('R.M Billets Reports'!F1004),IF(ISNUMBER(SEARCH("Party Name-",'R.M Billets Reports'!D1004)),TRIM(MID('R.M Billets Reports'!D1004,SEARCH("-",'R.M Billets Reports'!D1004)+1,200)),"")))="VRKP ISPAT PVT LTD","VRKP",IF(IF(IF(ISNUMBER(SEARCH("Party Name:-",'R.M Billets Reports'!D1003)),TRIM('R.M Billets Reports'!F1003),IF(ISNUMBER(SEARCH("Party Name-",'R.M Billets Reports'!D1003)),TRIM(MID('R.M Billets Reports'!D1003,SEARCH("-",'R.M Billets Reports'!D1003)+1,200)),""))&lt;&gt;"",IF(ISNUMBER(SEARCH("Party Name:-",'R.M Billets Reports'!D1003)),TRIM('R.M Billets Reports'!F1003),IF(ISNUMBER(SEARCH("Party Name-",'R.M Billets Reports'!D1003)),TRIM(MID('R.M Billets Reports'!D1003,SEARCH("-",'R.M Billets Reports'!D1003)+1,200)),"")),IF(ISNUMBER(SEARCH("Party Name:-",'R.M Billets Reports'!D1004)),TRIM('R.M Billets Reports'!F1004),IF(ISNUMBER(SEARCH("Party Name-",'R.M Billets Reports'!D1004)),TRIM(MID('R.M Billets Reports'!D1004,SEARCH("-",'R.M Billets Reports'!D1004)+1,200)),"")))="SHRI RADHE","SHREE RADHE",IF(IF(IF(ISNUMBER(SEARCH("Party Name:-",'R.M Billets Reports'!D1003)),TRIM('R.M Billets Reports'!F1003),IF(ISNUMBER(SEARCH("Party Name-",'R.M Billets Reports'!D1003)),TRIM(MID('R.M Billets Reports'!D1003,SEARCH("-",'R.M Billets Reports'!D1003)+1,200)),""))&lt;&gt;"",IF(ISNUMBER(SEARCH("Party Name:-",'R.M Billets Reports'!D1003)),TRIM('R.M Billets Reports'!F1003),IF(ISNUMBER(SEARCH("Party Name-",'R.M Billets Reports'!D1003)),TRIM(MID('R.M Billets Reports'!D1003,SEARCH("-",'R.M Billets Reports'!D1003)+1,200)),"")),IF(ISNUMBER(SEARCH("Party Name:-",'R.M Billets Reports'!D1004)),TRIM('R.M Billets Reports'!F1004),IF(ISNUMBER(SEARCH("Party Name-",'R.M Billets Reports'!D1004)),TRIM(MID('R.M Billets Reports'!D1004,SEARCH("-",'R.M Billets Reports'!D1004)+1,200)),"")))="SHREE RADHE SHAKTI SPONGE AND POWER PVT. LTD.","SHREE RADHE",IF(IF(ISNUMBER(SEARCH("Party Name:-",'R.M Billets Reports'!D1003)),TRIM('R.M Billets Reports'!F1003),IF(ISNUMBER(SEARCH("Party Name-",'R.M Billets Reports'!D1003)),TRIM(MID('R.M Billets Reports'!D1003,SEARCH("-",'R.M Billets Reports'!D1003)+1,200)),""))&lt;&gt;"",IF(ISNUMBER(SEARCH("Party Name:-",'R.M Billets Reports'!D1003)),TRIM('R.M Billets Reports'!F1003),IF(ISNUMBER(SEARCH("Party Name-",'R.M Billets Reports'!D1003)),TRIM(MID('R.M Billets Reports'!D1003,SEARCH("-",'R.M Billets Reports'!D1003)+1,200)),"")),IF(ISNUMBER(SEARCH("Party Name:-",'R.M Billets Reports'!D1004)),TRIM('R.M Billets Reports'!F1004),IF(ISNUMBER(SEARCH("Party Name-",'R.M Billets Reports'!D1004)),TRIM(MID('R.M Billets Reports'!D1004,SEARCH("-",'R.M Billets Reports'!D1004)+1,200)),"")))))),IF(ROW()=2,"",A1003))</f>
      </c>
      <c r="B1004">
        <f>IF(OR('R.M Billets Reports'!A1003="Date-",'R.M Billets Reports'!A1003="Date:-"),'R.M Billets Reports'!B1003,IF(ROW()=2,"",B1003))</f>
      </c>
      <c r="C1004">
        <f>IF('R.M Billets Reports'!A1003="V.No.",'R.M Billets Reports'!B1003,IF(ROW()=2,"",C1003))</f>
      </c>
      <c r="D1004">
        <f>IF('R.M Billets Reports'!A1003&lt;&gt;"",'R.M Billets Reports'!A1003,IF(ROW()=2,"",D1003))</f>
      </c>
      <c r="E1004">
        <f>IF('R.M Billets Reports'!B1003="","",TRIM('R.M Billets Reports'!B1003))</f>
      </c>
      <c r="F1004">
        <f>'R.M Billets Reports'!C1003</f>
      </c>
      <c r="G1004">
        <f>'R.M Billets Reports'!D1003</f>
      </c>
      <c r="H1004">
        <f>'R.M Billets Reports'!E1003</f>
      </c>
      <c r="I1004">
        <f>'R.M Billets Reports'!F1003</f>
      </c>
      <c r="J1004">
        <f>'R.M Billets Reports'!G1003</f>
      </c>
      <c r="K1004">
        <f>'R.M Billets Reports'!H1003</f>
      </c>
      <c r="L1004">
        <f>IF('R.M Billets Reports'!I1003="","",'R.M Billets Reports'!I1003)</f>
      </c>
      <c r="M1004">
        <f t="shared" si="30"/>
      </c>
      <c r="N1004">
        <f>IF('R.M Billets Reports'!J1003="","",'R.M Billets Reports'!J1003)</f>
      </c>
      <c r="O1004">
        <f t="shared" si="31"/>
      </c>
      <c r="P1004">
        <f>IF('R.M Billets Reports'!A1003="SIZE",'R.M Billets Reports'!B1003,P1003)</f>
      </c>
    </row>
    <row r="1005" spans="1:16" x14ac:dyDescent="0.25">
      <c r="A1005">
        <f>IF(OR('R.M Billets Reports'!A1004="Date-",'R.M Billets Reports'!A1004="Date:-"),IF(IF(IF(ISNUMBER(SEARCH("Party Name:-",'R.M Billets Reports'!D1004)),TRIM('R.M Billets Reports'!F1004),IF(ISNUMBER(SEARCH("Party Name-",'R.M Billets Reports'!D1004)),TRIM(MID('R.M Billets Reports'!D1004,SEARCH("-",'R.M Billets Reports'!D1004)+1,200)),""))&lt;&gt;"",IF(ISNUMBER(SEARCH("Party Name:-",'R.M Billets Reports'!D1004)),TRIM('R.M Billets Reports'!F1004),IF(ISNUMBER(SEARCH("Party Name-",'R.M Billets Reports'!D1004)),TRIM(MID('R.M Billets Reports'!D1004,SEARCH("-",'R.M Billets Reports'!D1004)+1,200)),"")),IF(ISNUMBER(SEARCH("Party Name:-",'R.M Billets Reports'!D1005)),TRIM('R.M Billets Reports'!F1005),IF(ISNUMBER(SEARCH("Party Name-",'R.M Billets Reports'!D1005)),TRIM(MID('R.M Billets Reports'!D1005,SEARCH("-",'R.M Billets Reports'!D1005)+1,200)),"")))="VRKP ISPAT PVT LTD","VRKP",IF(IF(IF(ISNUMBER(SEARCH("Party Name:-",'R.M Billets Reports'!D1004)),TRIM('R.M Billets Reports'!F1004),IF(ISNUMBER(SEARCH("Party Name-",'R.M Billets Reports'!D1004)),TRIM(MID('R.M Billets Reports'!D1004,SEARCH("-",'R.M Billets Reports'!D1004)+1,200)),""))&lt;&gt;"",IF(ISNUMBER(SEARCH("Party Name:-",'R.M Billets Reports'!D1004)),TRIM('R.M Billets Reports'!F1004),IF(ISNUMBER(SEARCH("Party Name-",'R.M Billets Reports'!D1004)),TRIM(MID('R.M Billets Reports'!D1004,SEARCH("-",'R.M Billets Reports'!D1004)+1,200)),"")),IF(ISNUMBER(SEARCH("Party Name:-",'R.M Billets Reports'!D1005)),TRIM('R.M Billets Reports'!F1005),IF(ISNUMBER(SEARCH("Party Name-",'R.M Billets Reports'!D1005)),TRIM(MID('R.M Billets Reports'!D1005,SEARCH("-",'R.M Billets Reports'!D1005)+1,200)),"")))="SHRI RADHE","SHREE RADHE",IF(IF(IF(ISNUMBER(SEARCH("Party Name:-",'R.M Billets Reports'!D1004)),TRIM('R.M Billets Reports'!F1004),IF(ISNUMBER(SEARCH("Party Name-",'R.M Billets Reports'!D1004)),TRIM(MID('R.M Billets Reports'!D1004,SEARCH("-",'R.M Billets Reports'!D1004)+1,200)),""))&lt;&gt;"",IF(ISNUMBER(SEARCH("Party Name:-",'R.M Billets Reports'!D1004)),TRIM('R.M Billets Reports'!F1004),IF(ISNUMBER(SEARCH("Party Name-",'R.M Billets Reports'!D1004)),TRIM(MID('R.M Billets Reports'!D1004,SEARCH("-",'R.M Billets Reports'!D1004)+1,200)),"")),IF(ISNUMBER(SEARCH("Party Name:-",'R.M Billets Reports'!D1005)),TRIM('R.M Billets Reports'!F1005),IF(ISNUMBER(SEARCH("Party Name-",'R.M Billets Reports'!D1005)),TRIM(MID('R.M Billets Reports'!D1005,SEARCH("-",'R.M Billets Reports'!D1005)+1,200)),"")))="SHREE RADHE SHAKTI SPONGE AND POWER PVT. LTD.","SHREE RADHE",IF(IF(ISNUMBER(SEARCH("Party Name:-",'R.M Billets Reports'!D1004)),TRIM('R.M Billets Reports'!F1004),IF(ISNUMBER(SEARCH("Party Name-",'R.M Billets Reports'!D1004)),TRIM(MID('R.M Billets Reports'!D1004,SEARCH("-",'R.M Billets Reports'!D1004)+1,200)),""))&lt;&gt;"",IF(ISNUMBER(SEARCH("Party Name:-",'R.M Billets Reports'!D1004)),TRIM('R.M Billets Reports'!F1004),IF(ISNUMBER(SEARCH("Party Name-",'R.M Billets Reports'!D1004)),TRIM(MID('R.M Billets Reports'!D1004,SEARCH("-",'R.M Billets Reports'!D1004)+1,200)),"")),IF(ISNUMBER(SEARCH("Party Name:-",'R.M Billets Reports'!D1005)),TRIM('R.M Billets Reports'!F1005),IF(ISNUMBER(SEARCH("Party Name-",'R.M Billets Reports'!D1005)),TRIM(MID('R.M Billets Reports'!D1005,SEARCH("-",'R.M Billets Reports'!D1005)+1,200)),"")))))),IF(ROW()=2,"",A1004))</f>
      </c>
      <c r="B1005">
        <f>IF(OR('R.M Billets Reports'!A1004="Date-",'R.M Billets Reports'!A1004="Date:-"),'R.M Billets Reports'!B1004,IF(ROW()=2,"",B1004))</f>
      </c>
      <c r="C1005">
        <f>IF('R.M Billets Reports'!A1004="V.No.",'R.M Billets Reports'!B1004,IF(ROW()=2,"",C1004))</f>
      </c>
      <c r="D1005">
        <f>IF('R.M Billets Reports'!A1004&lt;&gt;"",'R.M Billets Reports'!A1004,IF(ROW()=2,"",D1004))</f>
      </c>
      <c r="E1005">
        <f>IF('R.M Billets Reports'!B1004="","",TRIM('R.M Billets Reports'!B1004))</f>
      </c>
      <c r="F1005">
        <f>'R.M Billets Reports'!C1004</f>
      </c>
      <c r="G1005">
        <f>'R.M Billets Reports'!D1004</f>
      </c>
      <c r="H1005">
        <f>'R.M Billets Reports'!E1004</f>
      </c>
      <c r="I1005">
        <f>'R.M Billets Reports'!F1004</f>
      </c>
      <c r="J1005">
        <f>'R.M Billets Reports'!G1004</f>
      </c>
      <c r="K1005">
        <f>'R.M Billets Reports'!H1004</f>
      </c>
      <c r="L1005">
        <f>IF('R.M Billets Reports'!I1004="","",'R.M Billets Reports'!I1004)</f>
      </c>
      <c r="M1005">
        <f t="shared" si="30"/>
      </c>
      <c r="N1005">
        <f>IF('R.M Billets Reports'!J1004="","",'R.M Billets Reports'!J1004)</f>
      </c>
      <c r="O1005">
        <f t="shared" si="31"/>
      </c>
      <c r="P1005">
        <f>IF('R.M Billets Reports'!A1004="SIZE",'R.M Billets Reports'!B1004,P1004)</f>
      </c>
    </row>
    <row r="1006" spans="1:16" x14ac:dyDescent="0.25">
      <c r="A1006">
        <f>IF(OR('R.M Billets Reports'!A1005="Date-",'R.M Billets Reports'!A1005="Date:-"),IF(IF(IF(ISNUMBER(SEARCH("Party Name:-",'R.M Billets Reports'!D1005)),TRIM('R.M Billets Reports'!F1005),IF(ISNUMBER(SEARCH("Party Name-",'R.M Billets Reports'!D1005)),TRIM(MID('R.M Billets Reports'!D1005,SEARCH("-",'R.M Billets Reports'!D1005)+1,200)),""))&lt;&gt;"",IF(ISNUMBER(SEARCH("Party Name:-",'R.M Billets Reports'!D1005)),TRIM('R.M Billets Reports'!F1005),IF(ISNUMBER(SEARCH("Party Name-",'R.M Billets Reports'!D1005)),TRIM(MID('R.M Billets Reports'!D1005,SEARCH("-",'R.M Billets Reports'!D1005)+1,200)),"")),IF(ISNUMBER(SEARCH("Party Name:-",'R.M Billets Reports'!D1006)),TRIM('R.M Billets Reports'!F1006),IF(ISNUMBER(SEARCH("Party Name-",'R.M Billets Reports'!D1006)),TRIM(MID('R.M Billets Reports'!D1006,SEARCH("-",'R.M Billets Reports'!D1006)+1,200)),"")))="VRKP ISPAT PVT LTD","VRKP",IF(IF(IF(ISNUMBER(SEARCH("Party Name:-",'R.M Billets Reports'!D1005)),TRIM('R.M Billets Reports'!F1005),IF(ISNUMBER(SEARCH("Party Name-",'R.M Billets Reports'!D1005)),TRIM(MID('R.M Billets Reports'!D1005,SEARCH("-",'R.M Billets Reports'!D1005)+1,200)),""))&lt;&gt;"",IF(ISNUMBER(SEARCH("Party Name:-",'R.M Billets Reports'!D1005)),TRIM('R.M Billets Reports'!F1005),IF(ISNUMBER(SEARCH("Party Name-",'R.M Billets Reports'!D1005)),TRIM(MID('R.M Billets Reports'!D1005,SEARCH("-",'R.M Billets Reports'!D1005)+1,200)),"")),IF(ISNUMBER(SEARCH("Party Name:-",'R.M Billets Reports'!D1006)),TRIM('R.M Billets Reports'!F1006),IF(ISNUMBER(SEARCH("Party Name-",'R.M Billets Reports'!D1006)),TRIM(MID('R.M Billets Reports'!D1006,SEARCH("-",'R.M Billets Reports'!D1006)+1,200)),"")))="SHRI RADHE","SHREE RADHE",IF(IF(IF(ISNUMBER(SEARCH("Party Name:-",'R.M Billets Reports'!D1005)),TRIM('R.M Billets Reports'!F1005),IF(ISNUMBER(SEARCH("Party Name-",'R.M Billets Reports'!D1005)),TRIM(MID('R.M Billets Reports'!D1005,SEARCH("-",'R.M Billets Reports'!D1005)+1,200)),""))&lt;&gt;"",IF(ISNUMBER(SEARCH("Party Name:-",'R.M Billets Reports'!D1005)),TRIM('R.M Billets Reports'!F1005),IF(ISNUMBER(SEARCH("Party Name-",'R.M Billets Reports'!D1005)),TRIM(MID('R.M Billets Reports'!D1005,SEARCH("-",'R.M Billets Reports'!D1005)+1,200)),"")),IF(ISNUMBER(SEARCH("Party Name:-",'R.M Billets Reports'!D1006)),TRIM('R.M Billets Reports'!F1006),IF(ISNUMBER(SEARCH("Party Name-",'R.M Billets Reports'!D1006)),TRIM(MID('R.M Billets Reports'!D1006,SEARCH("-",'R.M Billets Reports'!D1006)+1,200)),"")))="SHREE RADHE SHAKTI SPONGE AND POWER PVT. LTD.","SHREE RADHE",IF(IF(ISNUMBER(SEARCH("Party Name:-",'R.M Billets Reports'!D1005)),TRIM('R.M Billets Reports'!F1005),IF(ISNUMBER(SEARCH("Party Name-",'R.M Billets Reports'!D1005)),TRIM(MID('R.M Billets Reports'!D1005,SEARCH("-",'R.M Billets Reports'!D1005)+1,200)),""))&lt;&gt;"",IF(ISNUMBER(SEARCH("Party Name:-",'R.M Billets Reports'!D1005)),TRIM('R.M Billets Reports'!F1005),IF(ISNUMBER(SEARCH("Party Name-",'R.M Billets Reports'!D1005)),TRIM(MID('R.M Billets Reports'!D1005,SEARCH("-",'R.M Billets Reports'!D1005)+1,200)),"")),IF(ISNUMBER(SEARCH("Party Name:-",'R.M Billets Reports'!D1006)),TRIM('R.M Billets Reports'!F1006),IF(ISNUMBER(SEARCH("Party Name-",'R.M Billets Reports'!D1006)),TRIM(MID('R.M Billets Reports'!D1006,SEARCH("-",'R.M Billets Reports'!D1006)+1,200)),"")))))),IF(ROW()=2,"",A1005))</f>
      </c>
      <c r="B1006">
        <f>IF(OR('R.M Billets Reports'!A1005="Date-",'R.M Billets Reports'!A1005="Date:-"),'R.M Billets Reports'!B1005,IF(ROW()=2,"",B1005))</f>
      </c>
      <c r="C1006">
        <f>IF('R.M Billets Reports'!A1005="V.No.",'R.M Billets Reports'!B1005,IF(ROW()=2,"",C1005))</f>
      </c>
      <c r="D1006">
        <f>IF('R.M Billets Reports'!A1005&lt;&gt;"",'R.M Billets Reports'!A1005,IF(ROW()=2,"",D1005))</f>
      </c>
      <c r="E1006">
        <f>IF('R.M Billets Reports'!B1005="","",TRIM('R.M Billets Reports'!B1005))</f>
      </c>
      <c r="F1006">
        <f>'R.M Billets Reports'!C1005</f>
      </c>
      <c r="G1006">
        <f>'R.M Billets Reports'!D1005</f>
      </c>
      <c r="H1006">
        <f>'R.M Billets Reports'!E1005</f>
      </c>
      <c r="I1006">
        <f>'R.M Billets Reports'!F1005</f>
      </c>
      <c r="J1006">
        <f>'R.M Billets Reports'!G1005</f>
      </c>
      <c r="K1006">
        <f>'R.M Billets Reports'!H1005</f>
      </c>
      <c r="L1006">
        <f>IF('R.M Billets Reports'!I1005="","",'R.M Billets Reports'!I1005)</f>
      </c>
      <c r="M1006">
        <f t="shared" si="30"/>
      </c>
      <c r="N1006">
        <f>IF('R.M Billets Reports'!J1005="","",'R.M Billets Reports'!J1005)</f>
      </c>
      <c r="O1006">
        <f t="shared" si="31"/>
      </c>
      <c r="P1006">
        <f>IF('R.M Billets Reports'!A1005="SIZE",'R.M Billets Reports'!B1005,P1005)</f>
      </c>
    </row>
    <row r="1007" spans="1:16" x14ac:dyDescent="0.25">
      <c r="A1007">
        <f>IF(OR('R.M Billets Reports'!A1006="Date-",'R.M Billets Reports'!A1006="Date:-"),IF(IF(IF(ISNUMBER(SEARCH("Party Name:-",'R.M Billets Reports'!D1006)),TRIM('R.M Billets Reports'!F1006),IF(ISNUMBER(SEARCH("Party Name-",'R.M Billets Reports'!D1006)),TRIM(MID('R.M Billets Reports'!D1006,SEARCH("-",'R.M Billets Reports'!D1006)+1,200)),""))&lt;&gt;"",IF(ISNUMBER(SEARCH("Party Name:-",'R.M Billets Reports'!D1006)),TRIM('R.M Billets Reports'!F1006),IF(ISNUMBER(SEARCH("Party Name-",'R.M Billets Reports'!D1006)),TRIM(MID('R.M Billets Reports'!D1006,SEARCH("-",'R.M Billets Reports'!D1006)+1,200)),"")),IF(ISNUMBER(SEARCH("Party Name:-",'R.M Billets Reports'!D1007)),TRIM('R.M Billets Reports'!F1007),IF(ISNUMBER(SEARCH("Party Name-",'R.M Billets Reports'!D1007)),TRIM(MID('R.M Billets Reports'!D1007,SEARCH("-",'R.M Billets Reports'!D1007)+1,200)),"")))="VRKP ISPAT PVT LTD","VRKP",IF(IF(IF(ISNUMBER(SEARCH("Party Name:-",'R.M Billets Reports'!D1006)),TRIM('R.M Billets Reports'!F1006),IF(ISNUMBER(SEARCH("Party Name-",'R.M Billets Reports'!D1006)),TRIM(MID('R.M Billets Reports'!D1006,SEARCH("-",'R.M Billets Reports'!D1006)+1,200)),""))&lt;&gt;"",IF(ISNUMBER(SEARCH("Party Name:-",'R.M Billets Reports'!D1006)),TRIM('R.M Billets Reports'!F1006),IF(ISNUMBER(SEARCH("Party Name-",'R.M Billets Reports'!D1006)),TRIM(MID('R.M Billets Reports'!D1006,SEARCH("-",'R.M Billets Reports'!D1006)+1,200)),"")),IF(ISNUMBER(SEARCH("Party Name:-",'R.M Billets Reports'!D1007)),TRIM('R.M Billets Reports'!F1007),IF(ISNUMBER(SEARCH("Party Name-",'R.M Billets Reports'!D1007)),TRIM(MID('R.M Billets Reports'!D1007,SEARCH("-",'R.M Billets Reports'!D1007)+1,200)),"")))="SHRI RADHE","SHREE RADHE",IF(IF(IF(ISNUMBER(SEARCH("Party Name:-",'R.M Billets Reports'!D1006)),TRIM('R.M Billets Reports'!F1006),IF(ISNUMBER(SEARCH("Party Name-",'R.M Billets Reports'!D1006)),TRIM(MID('R.M Billets Reports'!D1006,SEARCH("-",'R.M Billets Reports'!D1006)+1,200)),""))&lt;&gt;"",IF(ISNUMBER(SEARCH("Party Name:-",'R.M Billets Reports'!D1006)),TRIM('R.M Billets Reports'!F1006),IF(ISNUMBER(SEARCH("Party Name-",'R.M Billets Reports'!D1006)),TRIM(MID('R.M Billets Reports'!D1006,SEARCH("-",'R.M Billets Reports'!D1006)+1,200)),"")),IF(ISNUMBER(SEARCH("Party Name:-",'R.M Billets Reports'!D1007)),TRIM('R.M Billets Reports'!F1007),IF(ISNUMBER(SEARCH("Party Name-",'R.M Billets Reports'!D1007)),TRIM(MID('R.M Billets Reports'!D1007,SEARCH("-",'R.M Billets Reports'!D1007)+1,200)),"")))="SHREE RADHE SHAKTI SPONGE AND POWER PVT. LTD.","SHREE RADHE",IF(IF(ISNUMBER(SEARCH("Party Name:-",'R.M Billets Reports'!D1006)),TRIM('R.M Billets Reports'!F1006),IF(ISNUMBER(SEARCH("Party Name-",'R.M Billets Reports'!D1006)),TRIM(MID('R.M Billets Reports'!D1006,SEARCH("-",'R.M Billets Reports'!D1006)+1,200)),""))&lt;&gt;"",IF(ISNUMBER(SEARCH("Party Name:-",'R.M Billets Reports'!D1006)),TRIM('R.M Billets Reports'!F1006),IF(ISNUMBER(SEARCH("Party Name-",'R.M Billets Reports'!D1006)),TRIM(MID('R.M Billets Reports'!D1006,SEARCH("-",'R.M Billets Reports'!D1006)+1,200)),"")),IF(ISNUMBER(SEARCH("Party Name:-",'R.M Billets Reports'!D1007)),TRIM('R.M Billets Reports'!F1007),IF(ISNUMBER(SEARCH("Party Name-",'R.M Billets Reports'!D1007)),TRIM(MID('R.M Billets Reports'!D1007,SEARCH("-",'R.M Billets Reports'!D1007)+1,200)),"")))))),IF(ROW()=2,"",A1006))</f>
      </c>
      <c r="B1007">
        <f>IF(OR('R.M Billets Reports'!A1006="Date-",'R.M Billets Reports'!A1006="Date:-"),'R.M Billets Reports'!B1006,IF(ROW()=2,"",B1006))</f>
      </c>
      <c r="C1007">
        <f>IF('R.M Billets Reports'!A1006="V.No.",'R.M Billets Reports'!B1006,IF(ROW()=2,"",C1006))</f>
      </c>
      <c r="D1007">
        <f>IF('R.M Billets Reports'!A1006&lt;&gt;"",'R.M Billets Reports'!A1006,IF(ROW()=2,"",D1006))</f>
      </c>
      <c r="E1007">
        <f>IF('R.M Billets Reports'!B1006="","",TRIM('R.M Billets Reports'!B1006))</f>
      </c>
      <c r="F1007">
        <f>'R.M Billets Reports'!C1006</f>
      </c>
      <c r="G1007">
        <f>'R.M Billets Reports'!D1006</f>
      </c>
      <c r="H1007">
        <f>'R.M Billets Reports'!E1006</f>
      </c>
      <c r="I1007">
        <f>'R.M Billets Reports'!F1006</f>
      </c>
      <c r="J1007">
        <f>'R.M Billets Reports'!G1006</f>
      </c>
      <c r="K1007">
        <f>'R.M Billets Reports'!H1006</f>
      </c>
      <c r="L1007">
        <f>IF('R.M Billets Reports'!I1006="","",'R.M Billets Reports'!I1006)</f>
      </c>
      <c r="M1007">
        <f t="shared" si="30"/>
      </c>
      <c r="N1007">
        <f>IF('R.M Billets Reports'!J1006="","",'R.M Billets Reports'!J1006)</f>
      </c>
      <c r="O1007">
        <f t="shared" si="31"/>
      </c>
      <c r="P1007">
        <f>IF('R.M Billets Reports'!A1006="SIZE",'R.M Billets Reports'!B1006,P1006)</f>
      </c>
    </row>
    <row r="1008" spans="1:16" x14ac:dyDescent="0.25">
      <c r="A1008">
        <f>IF(OR('R.M Billets Reports'!A1007="Date-",'R.M Billets Reports'!A1007="Date:-"),IF(IF(IF(ISNUMBER(SEARCH("Party Name:-",'R.M Billets Reports'!D1007)),TRIM('R.M Billets Reports'!F1007),IF(ISNUMBER(SEARCH("Party Name-",'R.M Billets Reports'!D1007)),TRIM(MID('R.M Billets Reports'!D1007,SEARCH("-",'R.M Billets Reports'!D1007)+1,200)),""))&lt;&gt;"",IF(ISNUMBER(SEARCH("Party Name:-",'R.M Billets Reports'!D1007)),TRIM('R.M Billets Reports'!F1007),IF(ISNUMBER(SEARCH("Party Name-",'R.M Billets Reports'!D1007)),TRIM(MID('R.M Billets Reports'!D1007,SEARCH("-",'R.M Billets Reports'!D1007)+1,200)),"")),IF(ISNUMBER(SEARCH("Party Name:-",'R.M Billets Reports'!D1008)),TRIM('R.M Billets Reports'!F1008),IF(ISNUMBER(SEARCH("Party Name-",'R.M Billets Reports'!D1008)),TRIM(MID('R.M Billets Reports'!D1008,SEARCH("-",'R.M Billets Reports'!D1008)+1,200)),"")))="VRKP ISPAT PVT LTD","VRKP",IF(IF(IF(ISNUMBER(SEARCH("Party Name:-",'R.M Billets Reports'!D1007)),TRIM('R.M Billets Reports'!F1007),IF(ISNUMBER(SEARCH("Party Name-",'R.M Billets Reports'!D1007)),TRIM(MID('R.M Billets Reports'!D1007,SEARCH("-",'R.M Billets Reports'!D1007)+1,200)),""))&lt;&gt;"",IF(ISNUMBER(SEARCH("Party Name:-",'R.M Billets Reports'!D1007)),TRIM('R.M Billets Reports'!F1007),IF(ISNUMBER(SEARCH("Party Name-",'R.M Billets Reports'!D1007)),TRIM(MID('R.M Billets Reports'!D1007,SEARCH("-",'R.M Billets Reports'!D1007)+1,200)),"")),IF(ISNUMBER(SEARCH("Party Name:-",'R.M Billets Reports'!D1008)),TRIM('R.M Billets Reports'!F1008),IF(ISNUMBER(SEARCH("Party Name-",'R.M Billets Reports'!D1008)),TRIM(MID('R.M Billets Reports'!D1008,SEARCH("-",'R.M Billets Reports'!D1008)+1,200)),"")))="SHRI RADHE","SHREE RADHE",IF(IF(IF(ISNUMBER(SEARCH("Party Name:-",'R.M Billets Reports'!D1007)),TRIM('R.M Billets Reports'!F1007),IF(ISNUMBER(SEARCH("Party Name-",'R.M Billets Reports'!D1007)),TRIM(MID('R.M Billets Reports'!D1007,SEARCH("-",'R.M Billets Reports'!D1007)+1,200)),""))&lt;&gt;"",IF(ISNUMBER(SEARCH("Party Name:-",'R.M Billets Reports'!D1007)),TRIM('R.M Billets Reports'!F1007),IF(ISNUMBER(SEARCH("Party Name-",'R.M Billets Reports'!D1007)),TRIM(MID('R.M Billets Reports'!D1007,SEARCH("-",'R.M Billets Reports'!D1007)+1,200)),"")),IF(ISNUMBER(SEARCH("Party Name:-",'R.M Billets Reports'!D1008)),TRIM('R.M Billets Reports'!F1008),IF(ISNUMBER(SEARCH("Party Name-",'R.M Billets Reports'!D1008)),TRIM(MID('R.M Billets Reports'!D1008,SEARCH("-",'R.M Billets Reports'!D1008)+1,200)),"")))="SHREE RADHE SHAKTI SPONGE AND POWER PVT. LTD.","SHREE RADHE",IF(IF(ISNUMBER(SEARCH("Party Name:-",'R.M Billets Reports'!D1007)),TRIM('R.M Billets Reports'!F1007),IF(ISNUMBER(SEARCH("Party Name-",'R.M Billets Reports'!D1007)),TRIM(MID('R.M Billets Reports'!D1007,SEARCH("-",'R.M Billets Reports'!D1007)+1,200)),""))&lt;&gt;"",IF(ISNUMBER(SEARCH("Party Name:-",'R.M Billets Reports'!D1007)),TRIM('R.M Billets Reports'!F1007),IF(ISNUMBER(SEARCH("Party Name-",'R.M Billets Reports'!D1007)),TRIM(MID('R.M Billets Reports'!D1007,SEARCH("-",'R.M Billets Reports'!D1007)+1,200)),"")),IF(ISNUMBER(SEARCH("Party Name:-",'R.M Billets Reports'!D1008)),TRIM('R.M Billets Reports'!F1008),IF(ISNUMBER(SEARCH("Party Name-",'R.M Billets Reports'!D1008)),TRIM(MID('R.M Billets Reports'!D1008,SEARCH("-",'R.M Billets Reports'!D1008)+1,200)),"")))))),IF(ROW()=2,"",A1007))</f>
      </c>
      <c r="B1008">
        <f>IF(OR('R.M Billets Reports'!A1007="Date-",'R.M Billets Reports'!A1007="Date:-"),'R.M Billets Reports'!B1007,IF(ROW()=2,"",B1007))</f>
      </c>
      <c r="C1008">
        <f>IF('R.M Billets Reports'!A1007="V.No.",'R.M Billets Reports'!B1007,IF(ROW()=2,"",C1007))</f>
      </c>
      <c r="D1008">
        <f>IF('R.M Billets Reports'!A1007&lt;&gt;"",'R.M Billets Reports'!A1007,IF(ROW()=2,"",D1007))</f>
      </c>
      <c r="E1008">
        <f>IF('R.M Billets Reports'!B1007="","",TRIM('R.M Billets Reports'!B1007))</f>
      </c>
      <c r="F1008">
        <f>'R.M Billets Reports'!C1007</f>
      </c>
      <c r="G1008">
        <f>'R.M Billets Reports'!D1007</f>
      </c>
      <c r="H1008">
        <f>'R.M Billets Reports'!E1007</f>
      </c>
      <c r="I1008">
        <f>'R.M Billets Reports'!F1007</f>
      </c>
      <c r="J1008">
        <f>'R.M Billets Reports'!G1007</f>
      </c>
      <c r="K1008">
        <f>'R.M Billets Reports'!H1007</f>
      </c>
      <c r="L1008">
        <f>IF('R.M Billets Reports'!I1007="","",'R.M Billets Reports'!I1007)</f>
      </c>
      <c r="M1008">
        <f t="shared" si="30"/>
      </c>
      <c r="N1008">
        <f>IF('R.M Billets Reports'!J1007="","",'R.M Billets Reports'!J1007)</f>
      </c>
      <c r="O1008">
        <f t="shared" si="31"/>
      </c>
      <c r="P1008">
        <f>IF('R.M Billets Reports'!A1007="SIZE",'R.M Billets Reports'!B1007,P1007)</f>
      </c>
    </row>
    <row r="1009" spans="1:16" x14ac:dyDescent="0.25">
      <c r="A1009">
        <f>IF(OR('R.M Billets Reports'!A1008="Date-",'R.M Billets Reports'!A1008="Date:-"),IF(IF(IF(ISNUMBER(SEARCH("Party Name:-",'R.M Billets Reports'!D1008)),TRIM('R.M Billets Reports'!F1008),IF(ISNUMBER(SEARCH("Party Name-",'R.M Billets Reports'!D1008)),TRIM(MID('R.M Billets Reports'!D1008,SEARCH("-",'R.M Billets Reports'!D1008)+1,200)),""))&lt;&gt;"",IF(ISNUMBER(SEARCH("Party Name:-",'R.M Billets Reports'!D1008)),TRIM('R.M Billets Reports'!F1008),IF(ISNUMBER(SEARCH("Party Name-",'R.M Billets Reports'!D1008)),TRIM(MID('R.M Billets Reports'!D1008,SEARCH("-",'R.M Billets Reports'!D1008)+1,200)),"")),IF(ISNUMBER(SEARCH("Party Name:-",'R.M Billets Reports'!D1009)),TRIM('R.M Billets Reports'!F1009),IF(ISNUMBER(SEARCH("Party Name-",'R.M Billets Reports'!D1009)),TRIM(MID('R.M Billets Reports'!D1009,SEARCH("-",'R.M Billets Reports'!D1009)+1,200)),"")))="VRKP ISPAT PVT LTD","VRKP",IF(IF(IF(ISNUMBER(SEARCH("Party Name:-",'R.M Billets Reports'!D1008)),TRIM('R.M Billets Reports'!F1008),IF(ISNUMBER(SEARCH("Party Name-",'R.M Billets Reports'!D1008)),TRIM(MID('R.M Billets Reports'!D1008,SEARCH("-",'R.M Billets Reports'!D1008)+1,200)),""))&lt;&gt;"",IF(ISNUMBER(SEARCH("Party Name:-",'R.M Billets Reports'!D1008)),TRIM('R.M Billets Reports'!F1008),IF(ISNUMBER(SEARCH("Party Name-",'R.M Billets Reports'!D1008)),TRIM(MID('R.M Billets Reports'!D1008,SEARCH("-",'R.M Billets Reports'!D1008)+1,200)),"")),IF(ISNUMBER(SEARCH("Party Name:-",'R.M Billets Reports'!D1009)),TRIM('R.M Billets Reports'!F1009),IF(ISNUMBER(SEARCH("Party Name-",'R.M Billets Reports'!D1009)),TRIM(MID('R.M Billets Reports'!D1009,SEARCH("-",'R.M Billets Reports'!D1009)+1,200)),"")))="SHRI RADHE","SHREE RADHE",IF(IF(IF(ISNUMBER(SEARCH("Party Name:-",'R.M Billets Reports'!D1008)),TRIM('R.M Billets Reports'!F1008),IF(ISNUMBER(SEARCH("Party Name-",'R.M Billets Reports'!D1008)),TRIM(MID('R.M Billets Reports'!D1008,SEARCH("-",'R.M Billets Reports'!D1008)+1,200)),""))&lt;&gt;"",IF(ISNUMBER(SEARCH("Party Name:-",'R.M Billets Reports'!D1008)),TRIM('R.M Billets Reports'!F1008),IF(ISNUMBER(SEARCH("Party Name-",'R.M Billets Reports'!D1008)),TRIM(MID('R.M Billets Reports'!D1008,SEARCH("-",'R.M Billets Reports'!D1008)+1,200)),"")),IF(ISNUMBER(SEARCH("Party Name:-",'R.M Billets Reports'!D1009)),TRIM('R.M Billets Reports'!F1009),IF(ISNUMBER(SEARCH("Party Name-",'R.M Billets Reports'!D1009)),TRIM(MID('R.M Billets Reports'!D1009,SEARCH("-",'R.M Billets Reports'!D1009)+1,200)),"")))="SHREE RADHE SHAKTI SPONGE AND POWER PVT. LTD.","SHREE RADHE",IF(IF(ISNUMBER(SEARCH("Party Name:-",'R.M Billets Reports'!D1008)),TRIM('R.M Billets Reports'!F1008),IF(ISNUMBER(SEARCH("Party Name-",'R.M Billets Reports'!D1008)),TRIM(MID('R.M Billets Reports'!D1008,SEARCH("-",'R.M Billets Reports'!D1008)+1,200)),""))&lt;&gt;"",IF(ISNUMBER(SEARCH("Party Name:-",'R.M Billets Reports'!D1008)),TRIM('R.M Billets Reports'!F1008),IF(ISNUMBER(SEARCH("Party Name-",'R.M Billets Reports'!D1008)),TRIM(MID('R.M Billets Reports'!D1008,SEARCH("-",'R.M Billets Reports'!D1008)+1,200)),"")),IF(ISNUMBER(SEARCH("Party Name:-",'R.M Billets Reports'!D1009)),TRIM('R.M Billets Reports'!F1009),IF(ISNUMBER(SEARCH("Party Name-",'R.M Billets Reports'!D1009)),TRIM(MID('R.M Billets Reports'!D1009,SEARCH("-",'R.M Billets Reports'!D1009)+1,200)),"")))))),IF(ROW()=2,"",A1008))</f>
      </c>
      <c r="B1009">
        <f>IF(OR('R.M Billets Reports'!A1008="Date-",'R.M Billets Reports'!A1008="Date:-"),'R.M Billets Reports'!B1008,IF(ROW()=2,"",B1008))</f>
      </c>
      <c r="C1009">
        <f>IF('R.M Billets Reports'!A1008="V.No.",'R.M Billets Reports'!B1008,IF(ROW()=2,"",C1008))</f>
      </c>
      <c r="D1009">
        <f>IF('R.M Billets Reports'!A1008&lt;&gt;"",'R.M Billets Reports'!A1008,IF(ROW()=2,"",D1008))</f>
      </c>
      <c r="E1009">
        <f>IF('R.M Billets Reports'!B1008="","",TRIM('R.M Billets Reports'!B1008))</f>
      </c>
      <c r="F1009">
        <f>'R.M Billets Reports'!C1008</f>
      </c>
      <c r="G1009">
        <f>'R.M Billets Reports'!D1008</f>
      </c>
      <c r="H1009">
        <f>'R.M Billets Reports'!E1008</f>
      </c>
      <c r="I1009">
        <f>'R.M Billets Reports'!F1008</f>
      </c>
      <c r="J1009">
        <f>'R.M Billets Reports'!G1008</f>
      </c>
      <c r="K1009">
        <f>'R.M Billets Reports'!H1008</f>
      </c>
      <c r="L1009">
        <f>IF('R.M Billets Reports'!I1008="","",'R.M Billets Reports'!I1008)</f>
      </c>
      <c r="M1009">
        <f t="shared" si="30"/>
      </c>
      <c r="N1009">
        <f>IF('R.M Billets Reports'!J1008="","",'R.M Billets Reports'!J1008)</f>
      </c>
      <c r="O1009">
        <f t="shared" si="31"/>
      </c>
      <c r="P1009">
        <f>IF('R.M Billets Reports'!A1008="SIZE",'R.M Billets Reports'!B1008,P1008)</f>
      </c>
    </row>
    <row r="1010" spans="1:16" x14ac:dyDescent="0.25">
      <c r="A1010">
        <f>IF(OR('R.M Billets Reports'!A1009="Date-",'R.M Billets Reports'!A1009="Date:-"),IF(IF(IF(ISNUMBER(SEARCH("Party Name:-",'R.M Billets Reports'!D1009)),TRIM('R.M Billets Reports'!F1009),IF(ISNUMBER(SEARCH("Party Name-",'R.M Billets Reports'!D1009)),TRIM(MID('R.M Billets Reports'!D1009,SEARCH("-",'R.M Billets Reports'!D1009)+1,200)),""))&lt;&gt;"",IF(ISNUMBER(SEARCH("Party Name:-",'R.M Billets Reports'!D1009)),TRIM('R.M Billets Reports'!F1009),IF(ISNUMBER(SEARCH("Party Name-",'R.M Billets Reports'!D1009)),TRIM(MID('R.M Billets Reports'!D1009,SEARCH("-",'R.M Billets Reports'!D1009)+1,200)),"")),IF(ISNUMBER(SEARCH("Party Name:-",'R.M Billets Reports'!D1010)),TRIM('R.M Billets Reports'!F1010),IF(ISNUMBER(SEARCH("Party Name-",'R.M Billets Reports'!D1010)),TRIM(MID('R.M Billets Reports'!D1010,SEARCH("-",'R.M Billets Reports'!D1010)+1,200)),"")))="VRKP ISPAT PVT LTD","VRKP",IF(IF(IF(ISNUMBER(SEARCH("Party Name:-",'R.M Billets Reports'!D1009)),TRIM('R.M Billets Reports'!F1009),IF(ISNUMBER(SEARCH("Party Name-",'R.M Billets Reports'!D1009)),TRIM(MID('R.M Billets Reports'!D1009,SEARCH("-",'R.M Billets Reports'!D1009)+1,200)),""))&lt;&gt;"",IF(ISNUMBER(SEARCH("Party Name:-",'R.M Billets Reports'!D1009)),TRIM('R.M Billets Reports'!F1009),IF(ISNUMBER(SEARCH("Party Name-",'R.M Billets Reports'!D1009)),TRIM(MID('R.M Billets Reports'!D1009,SEARCH("-",'R.M Billets Reports'!D1009)+1,200)),"")),IF(ISNUMBER(SEARCH("Party Name:-",'R.M Billets Reports'!D1010)),TRIM('R.M Billets Reports'!F1010),IF(ISNUMBER(SEARCH("Party Name-",'R.M Billets Reports'!D1010)),TRIM(MID('R.M Billets Reports'!D1010,SEARCH("-",'R.M Billets Reports'!D1010)+1,200)),"")))="SHRI RADHE","SHREE RADHE",IF(IF(IF(ISNUMBER(SEARCH("Party Name:-",'R.M Billets Reports'!D1009)),TRIM('R.M Billets Reports'!F1009),IF(ISNUMBER(SEARCH("Party Name-",'R.M Billets Reports'!D1009)),TRIM(MID('R.M Billets Reports'!D1009,SEARCH("-",'R.M Billets Reports'!D1009)+1,200)),""))&lt;&gt;"",IF(ISNUMBER(SEARCH("Party Name:-",'R.M Billets Reports'!D1009)),TRIM('R.M Billets Reports'!F1009),IF(ISNUMBER(SEARCH("Party Name-",'R.M Billets Reports'!D1009)),TRIM(MID('R.M Billets Reports'!D1009,SEARCH("-",'R.M Billets Reports'!D1009)+1,200)),"")),IF(ISNUMBER(SEARCH("Party Name:-",'R.M Billets Reports'!D1010)),TRIM('R.M Billets Reports'!F1010),IF(ISNUMBER(SEARCH("Party Name-",'R.M Billets Reports'!D1010)),TRIM(MID('R.M Billets Reports'!D1010,SEARCH("-",'R.M Billets Reports'!D1010)+1,200)),"")))="SHREE RADHE SHAKTI SPONGE AND POWER PVT. LTD.","SHREE RADHE",IF(IF(ISNUMBER(SEARCH("Party Name:-",'R.M Billets Reports'!D1009)),TRIM('R.M Billets Reports'!F1009),IF(ISNUMBER(SEARCH("Party Name-",'R.M Billets Reports'!D1009)),TRIM(MID('R.M Billets Reports'!D1009,SEARCH("-",'R.M Billets Reports'!D1009)+1,200)),""))&lt;&gt;"",IF(ISNUMBER(SEARCH("Party Name:-",'R.M Billets Reports'!D1009)),TRIM('R.M Billets Reports'!F1009),IF(ISNUMBER(SEARCH("Party Name-",'R.M Billets Reports'!D1009)),TRIM(MID('R.M Billets Reports'!D1009,SEARCH("-",'R.M Billets Reports'!D1009)+1,200)),"")),IF(ISNUMBER(SEARCH("Party Name:-",'R.M Billets Reports'!D1010)),TRIM('R.M Billets Reports'!F1010),IF(ISNUMBER(SEARCH("Party Name-",'R.M Billets Reports'!D1010)),TRIM(MID('R.M Billets Reports'!D1010,SEARCH("-",'R.M Billets Reports'!D1010)+1,200)),"")))))),IF(ROW()=2,"",A1009))</f>
      </c>
      <c r="B1010">
        <f>IF(OR('R.M Billets Reports'!A1009="Date-",'R.M Billets Reports'!A1009="Date:-"),'R.M Billets Reports'!B1009,IF(ROW()=2,"",B1009))</f>
      </c>
      <c r="C1010">
        <f>IF('R.M Billets Reports'!A1009="V.No.",'R.M Billets Reports'!B1009,IF(ROW()=2,"",C1009))</f>
      </c>
      <c r="D1010">
        <f>IF('R.M Billets Reports'!A1009&lt;&gt;"",'R.M Billets Reports'!A1009,IF(ROW()=2,"",D1009))</f>
      </c>
      <c r="E1010">
        <f>IF('R.M Billets Reports'!B1009="","",TRIM('R.M Billets Reports'!B1009))</f>
      </c>
      <c r="F1010">
        <f>'R.M Billets Reports'!C1009</f>
      </c>
      <c r="G1010">
        <f>'R.M Billets Reports'!D1009</f>
      </c>
      <c r="H1010">
        <f>'R.M Billets Reports'!E1009</f>
      </c>
      <c r="I1010">
        <f>'R.M Billets Reports'!F1009</f>
      </c>
      <c r="J1010">
        <f>'R.M Billets Reports'!G1009</f>
      </c>
      <c r="K1010">
        <f>'R.M Billets Reports'!H1009</f>
      </c>
      <c r="L1010">
        <f>IF('R.M Billets Reports'!I1009="","",'R.M Billets Reports'!I1009)</f>
      </c>
      <c r="M1010">
        <f t="shared" si="30"/>
      </c>
      <c r="N1010">
        <f>IF('R.M Billets Reports'!J1009="","",'R.M Billets Reports'!J1009)</f>
      </c>
      <c r="O1010">
        <f t="shared" si="31"/>
      </c>
      <c r="P1010">
        <f>IF('R.M Billets Reports'!A1009="SIZE",'R.M Billets Reports'!B1009,P1009)</f>
      </c>
    </row>
    <row r="1011" spans="1:16" x14ac:dyDescent="0.25">
      <c r="A1011">
        <f>IF(OR('R.M Billets Reports'!A1010="Date-",'R.M Billets Reports'!A1010="Date:-"),IF(IF(IF(ISNUMBER(SEARCH("Party Name:-",'R.M Billets Reports'!D1010)),TRIM('R.M Billets Reports'!F1010),IF(ISNUMBER(SEARCH("Party Name-",'R.M Billets Reports'!D1010)),TRIM(MID('R.M Billets Reports'!D1010,SEARCH("-",'R.M Billets Reports'!D1010)+1,200)),""))&lt;&gt;"",IF(ISNUMBER(SEARCH("Party Name:-",'R.M Billets Reports'!D1010)),TRIM('R.M Billets Reports'!F1010),IF(ISNUMBER(SEARCH("Party Name-",'R.M Billets Reports'!D1010)),TRIM(MID('R.M Billets Reports'!D1010,SEARCH("-",'R.M Billets Reports'!D1010)+1,200)),"")),IF(ISNUMBER(SEARCH("Party Name:-",'R.M Billets Reports'!D1011)),TRIM('R.M Billets Reports'!F1011),IF(ISNUMBER(SEARCH("Party Name-",'R.M Billets Reports'!D1011)),TRIM(MID('R.M Billets Reports'!D1011,SEARCH("-",'R.M Billets Reports'!D1011)+1,200)),"")))="VRKP ISPAT PVT LTD","VRKP",IF(IF(IF(ISNUMBER(SEARCH("Party Name:-",'R.M Billets Reports'!D1010)),TRIM('R.M Billets Reports'!F1010),IF(ISNUMBER(SEARCH("Party Name-",'R.M Billets Reports'!D1010)),TRIM(MID('R.M Billets Reports'!D1010,SEARCH("-",'R.M Billets Reports'!D1010)+1,200)),""))&lt;&gt;"",IF(ISNUMBER(SEARCH("Party Name:-",'R.M Billets Reports'!D1010)),TRIM('R.M Billets Reports'!F1010),IF(ISNUMBER(SEARCH("Party Name-",'R.M Billets Reports'!D1010)),TRIM(MID('R.M Billets Reports'!D1010,SEARCH("-",'R.M Billets Reports'!D1010)+1,200)),"")),IF(ISNUMBER(SEARCH("Party Name:-",'R.M Billets Reports'!D1011)),TRIM('R.M Billets Reports'!F1011),IF(ISNUMBER(SEARCH("Party Name-",'R.M Billets Reports'!D1011)),TRIM(MID('R.M Billets Reports'!D1011,SEARCH("-",'R.M Billets Reports'!D1011)+1,200)),"")))="SHRI RADHE","SHREE RADHE",IF(IF(IF(ISNUMBER(SEARCH("Party Name:-",'R.M Billets Reports'!D1010)),TRIM('R.M Billets Reports'!F1010),IF(ISNUMBER(SEARCH("Party Name-",'R.M Billets Reports'!D1010)),TRIM(MID('R.M Billets Reports'!D1010,SEARCH("-",'R.M Billets Reports'!D1010)+1,200)),""))&lt;&gt;"",IF(ISNUMBER(SEARCH("Party Name:-",'R.M Billets Reports'!D1010)),TRIM('R.M Billets Reports'!F1010),IF(ISNUMBER(SEARCH("Party Name-",'R.M Billets Reports'!D1010)),TRIM(MID('R.M Billets Reports'!D1010,SEARCH("-",'R.M Billets Reports'!D1010)+1,200)),"")),IF(ISNUMBER(SEARCH("Party Name:-",'R.M Billets Reports'!D1011)),TRIM('R.M Billets Reports'!F1011),IF(ISNUMBER(SEARCH("Party Name-",'R.M Billets Reports'!D1011)),TRIM(MID('R.M Billets Reports'!D1011,SEARCH("-",'R.M Billets Reports'!D1011)+1,200)),"")))="SHREE RADHE SHAKTI SPONGE AND POWER PVT. LTD.","SHREE RADHE",IF(IF(ISNUMBER(SEARCH("Party Name:-",'R.M Billets Reports'!D1010)),TRIM('R.M Billets Reports'!F1010),IF(ISNUMBER(SEARCH("Party Name-",'R.M Billets Reports'!D1010)),TRIM(MID('R.M Billets Reports'!D1010,SEARCH("-",'R.M Billets Reports'!D1010)+1,200)),""))&lt;&gt;"",IF(ISNUMBER(SEARCH("Party Name:-",'R.M Billets Reports'!D1010)),TRIM('R.M Billets Reports'!F1010),IF(ISNUMBER(SEARCH("Party Name-",'R.M Billets Reports'!D1010)),TRIM(MID('R.M Billets Reports'!D1010,SEARCH("-",'R.M Billets Reports'!D1010)+1,200)),"")),IF(ISNUMBER(SEARCH("Party Name:-",'R.M Billets Reports'!D1011)),TRIM('R.M Billets Reports'!F1011),IF(ISNUMBER(SEARCH("Party Name-",'R.M Billets Reports'!D1011)),TRIM(MID('R.M Billets Reports'!D1011,SEARCH("-",'R.M Billets Reports'!D1011)+1,200)),"")))))),IF(ROW()=2,"",A1010))</f>
      </c>
      <c r="B1011">
        <f>IF(OR('R.M Billets Reports'!A1010="Date-",'R.M Billets Reports'!A1010="Date:-"),'R.M Billets Reports'!B1010,IF(ROW()=2,"",B1010))</f>
      </c>
      <c r="C1011">
        <f>IF('R.M Billets Reports'!A1010="V.No.",'R.M Billets Reports'!B1010,IF(ROW()=2,"",C1010))</f>
      </c>
      <c r="D1011">
        <f>IF('R.M Billets Reports'!A1010&lt;&gt;"",'R.M Billets Reports'!A1010,IF(ROW()=2,"",D1010))</f>
      </c>
      <c r="E1011">
        <f>IF('R.M Billets Reports'!B1010="","",TRIM('R.M Billets Reports'!B1010))</f>
      </c>
      <c r="F1011">
        <f>'R.M Billets Reports'!C1010</f>
      </c>
      <c r="G1011">
        <f>'R.M Billets Reports'!D1010</f>
      </c>
      <c r="H1011">
        <f>'R.M Billets Reports'!E1010</f>
      </c>
      <c r="I1011">
        <f>'R.M Billets Reports'!F1010</f>
      </c>
      <c r="J1011">
        <f>'R.M Billets Reports'!G1010</f>
      </c>
      <c r="K1011">
        <f>'R.M Billets Reports'!H1010</f>
      </c>
      <c r="L1011">
        <f>IF('R.M Billets Reports'!I1010="","",'R.M Billets Reports'!I1010)</f>
      </c>
      <c r="M1011">
        <f t="shared" si="30"/>
      </c>
      <c r="N1011">
        <f>IF('R.M Billets Reports'!J1010="","",'R.M Billets Reports'!J1010)</f>
      </c>
      <c r="O1011">
        <f t="shared" si="31"/>
      </c>
      <c r="P1011">
        <f>IF('R.M Billets Reports'!A1010="SIZE",'R.M Billets Reports'!B1010,P1010)</f>
      </c>
    </row>
    <row r="1012" spans="1:16" x14ac:dyDescent="0.25">
      <c r="A1012">
        <f>IF(OR('R.M Billets Reports'!A1011="Date-",'R.M Billets Reports'!A1011="Date:-"),IF(IF(IF(ISNUMBER(SEARCH("Party Name:-",'R.M Billets Reports'!D1011)),TRIM('R.M Billets Reports'!F1011),IF(ISNUMBER(SEARCH("Party Name-",'R.M Billets Reports'!D1011)),TRIM(MID('R.M Billets Reports'!D1011,SEARCH("-",'R.M Billets Reports'!D1011)+1,200)),""))&lt;&gt;"",IF(ISNUMBER(SEARCH("Party Name:-",'R.M Billets Reports'!D1011)),TRIM('R.M Billets Reports'!F1011),IF(ISNUMBER(SEARCH("Party Name-",'R.M Billets Reports'!D1011)),TRIM(MID('R.M Billets Reports'!D1011,SEARCH("-",'R.M Billets Reports'!D1011)+1,200)),"")),IF(ISNUMBER(SEARCH("Party Name:-",'R.M Billets Reports'!D1012)),TRIM('R.M Billets Reports'!F1012),IF(ISNUMBER(SEARCH("Party Name-",'R.M Billets Reports'!D1012)),TRIM(MID('R.M Billets Reports'!D1012,SEARCH("-",'R.M Billets Reports'!D1012)+1,200)),"")))="VRKP ISPAT PVT LTD","VRKP",IF(IF(IF(ISNUMBER(SEARCH("Party Name:-",'R.M Billets Reports'!D1011)),TRIM('R.M Billets Reports'!F1011),IF(ISNUMBER(SEARCH("Party Name-",'R.M Billets Reports'!D1011)),TRIM(MID('R.M Billets Reports'!D1011,SEARCH("-",'R.M Billets Reports'!D1011)+1,200)),""))&lt;&gt;"",IF(ISNUMBER(SEARCH("Party Name:-",'R.M Billets Reports'!D1011)),TRIM('R.M Billets Reports'!F1011),IF(ISNUMBER(SEARCH("Party Name-",'R.M Billets Reports'!D1011)),TRIM(MID('R.M Billets Reports'!D1011,SEARCH("-",'R.M Billets Reports'!D1011)+1,200)),"")),IF(ISNUMBER(SEARCH("Party Name:-",'R.M Billets Reports'!D1012)),TRIM('R.M Billets Reports'!F1012),IF(ISNUMBER(SEARCH("Party Name-",'R.M Billets Reports'!D1012)),TRIM(MID('R.M Billets Reports'!D1012,SEARCH("-",'R.M Billets Reports'!D1012)+1,200)),"")))="SHRI RADHE","SHREE RADHE",IF(IF(IF(ISNUMBER(SEARCH("Party Name:-",'R.M Billets Reports'!D1011)),TRIM('R.M Billets Reports'!F1011),IF(ISNUMBER(SEARCH("Party Name-",'R.M Billets Reports'!D1011)),TRIM(MID('R.M Billets Reports'!D1011,SEARCH("-",'R.M Billets Reports'!D1011)+1,200)),""))&lt;&gt;"",IF(ISNUMBER(SEARCH("Party Name:-",'R.M Billets Reports'!D1011)),TRIM('R.M Billets Reports'!F1011),IF(ISNUMBER(SEARCH("Party Name-",'R.M Billets Reports'!D1011)),TRIM(MID('R.M Billets Reports'!D1011,SEARCH("-",'R.M Billets Reports'!D1011)+1,200)),"")),IF(ISNUMBER(SEARCH("Party Name:-",'R.M Billets Reports'!D1012)),TRIM('R.M Billets Reports'!F1012),IF(ISNUMBER(SEARCH("Party Name-",'R.M Billets Reports'!D1012)),TRIM(MID('R.M Billets Reports'!D1012,SEARCH("-",'R.M Billets Reports'!D1012)+1,200)),"")))="SHREE RADHE SHAKTI SPONGE AND POWER PVT. LTD.","SHREE RADHE",IF(IF(ISNUMBER(SEARCH("Party Name:-",'R.M Billets Reports'!D1011)),TRIM('R.M Billets Reports'!F1011),IF(ISNUMBER(SEARCH("Party Name-",'R.M Billets Reports'!D1011)),TRIM(MID('R.M Billets Reports'!D1011,SEARCH("-",'R.M Billets Reports'!D1011)+1,200)),""))&lt;&gt;"",IF(ISNUMBER(SEARCH("Party Name:-",'R.M Billets Reports'!D1011)),TRIM('R.M Billets Reports'!F1011),IF(ISNUMBER(SEARCH("Party Name-",'R.M Billets Reports'!D1011)),TRIM(MID('R.M Billets Reports'!D1011,SEARCH("-",'R.M Billets Reports'!D1011)+1,200)),"")),IF(ISNUMBER(SEARCH("Party Name:-",'R.M Billets Reports'!D1012)),TRIM('R.M Billets Reports'!F1012),IF(ISNUMBER(SEARCH("Party Name-",'R.M Billets Reports'!D1012)),TRIM(MID('R.M Billets Reports'!D1012,SEARCH("-",'R.M Billets Reports'!D1012)+1,200)),"")))))),IF(ROW()=2,"",A1011))</f>
      </c>
      <c r="B1012">
        <f>IF(OR('R.M Billets Reports'!A1011="Date-",'R.M Billets Reports'!A1011="Date:-"),'R.M Billets Reports'!B1011,IF(ROW()=2,"",B1011))</f>
      </c>
      <c r="C1012">
        <f>IF('R.M Billets Reports'!A1011="V.No.",'R.M Billets Reports'!B1011,IF(ROW()=2,"",C1011))</f>
      </c>
      <c r="D1012">
        <f>IF('R.M Billets Reports'!A1011&lt;&gt;"",'R.M Billets Reports'!A1011,IF(ROW()=2,"",D1011))</f>
      </c>
      <c r="E1012">
        <f>IF('R.M Billets Reports'!B1011="","",TRIM('R.M Billets Reports'!B1011))</f>
      </c>
      <c r="F1012">
        <f>'R.M Billets Reports'!C1011</f>
      </c>
      <c r="G1012">
        <f>'R.M Billets Reports'!D1011</f>
      </c>
      <c r="H1012">
        <f>'R.M Billets Reports'!E1011</f>
      </c>
      <c r="I1012">
        <f>'R.M Billets Reports'!F1011</f>
      </c>
      <c r="J1012">
        <f>'R.M Billets Reports'!G1011</f>
      </c>
      <c r="K1012">
        <f>'R.M Billets Reports'!H1011</f>
      </c>
      <c r="L1012">
        <f>IF('R.M Billets Reports'!I1011="","",'R.M Billets Reports'!I1011)</f>
      </c>
      <c r="M1012">
        <f t="shared" si="30"/>
      </c>
      <c r="N1012">
        <f>IF('R.M Billets Reports'!J1011="","",'R.M Billets Reports'!J1011)</f>
      </c>
      <c r="O1012">
        <f t="shared" si="31"/>
      </c>
      <c r="P1012">
        <f>IF('R.M Billets Reports'!A1011="SIZE",'R.M Billets Reports'!B1011,P1011)</f>
      </c>
    </row>
    <row r="1013" spans="1:16" x14ac:dyDescent="0.25">
      <c r="A1013">
        <f>IF(OR('R.M Billets Reports'!A1012="Date-",'R.M Billets Reports'!A1012="Date:-"),IF(IF(IF(ISNUMBER(SEARCH("Party Name:-",'R.M Billets Reports'!D1012)),TRIM('R.M Billets Reports'!F1012),IF(ISNUMBER(SEARCH("Party Name-",'R.M Billets Reports'!D1012)),TRIM(MID('R.M Billets Reports'!D1012,SEARCH("-",'R.M Billets Reports'!D1012)+1,200)),""))&lt;&gt;"",IF(ISNUMBER(SEARCH("Party Name:-",'R.M Billets Reports'!D1012)),TRIM('R.M Billets Reports'!F1012),IF(ISNUMBER(SEARCH("Party Name-",'R.M Billets Reports'!D1012)),TRIM(MID('R.M Billets Reports'!D1012,SEARCH("-",'R.M Billets Reports'!D1012)+1,200)),"")),IF(ISNUMBER(SEARCH("Party Name:-",'R.M Billets Reports'!D1013)),TRIM('R.M Billets Reports'!F1013),IF(ISNUMBER(SEARCH("Party Name-",'R.M Billets Reports'!D1013)),TRIM(MID('R.M Billets Reports'!D1013,SEARCH("-",'R.M Billets Reports'!D1013)+1,200)),"")))="VRKP ISPAT PVT LTD","VRKP",IF(IF(IF(ISNUMBER(SEARCH("Party Name:-",'R.M Billets Reports'!D1012)),TRIM('R.M Billets Reports'!F1012),IF(ISNUMBER(SEARCH("Party Name-",'R.M Billets Reports'!D1012)),TRIM(MID('R.M Billets Reports'!D1012,SEARCH("-",'R.M Billets Reports'!D1012)+1,200)),""))&lt;&gt;"",IF(ISNUMBER(SEARCH("Party Name:-",'R.M Billets Reports'!D1012)),TRIM('R.M Billets Reports'!F1012),IF(ISNUMBER(SEARCH("Party Name-",'R.M Billets Reports'!D1012)),TRIM(MID('R.M Billets Reports'!D1012,SEARCH("-",'R.M Billets Reports'!D1012)+1,200)),"")),IF(ISNUMBER(SEARCH("Party Name:-",'R.M Billets Reports'!D1013)),TRIM('R.M Billets Reports'!F1013),IF(ISNUMBER(SEARCH("Party Name-",'R.M Billets Reports'!D1013)),TRIM(MID('R.M Billets Reports'!D1013,SEARCH("-",'R.M Billets Reports'!D1013)+1,200)),"")))="SHRI RADHE","SHREE RADHE",IF(IF(IF(ISNUMBER(SEARCH("Party Name:-",'R.M Billets Reports'!D1012)),TRIM('R.M Billets Reports'!F1012),IF(ISNUMBER(SEARCH("Party Name-",'R.M Billets Reports'!D1012)),TRIM(MID('R.M Billets Reports'!D1012,SEARCH("-",'R.M Billets Reports'!D1012)+1,200)),""))&lt;&gt;"",IF(ISNUMBER(SEARCH("Party Name:-",'R.M Billets Reports'!D1012)),TRIM('R.M Billets Reports'!F1012),IF(ISNUMBER(SEARCH("Party Name-",'R.M Billets Reports'!D1012)),TRIM(MID('R.M Billets Reports'!D1012,SEARCH("-",'R.M Billets Reports'!D1012)+1,200)),"")),IF(ISNUMBER(SEARCH("Party Name:-",'R.M Billets Reports'!D1013)),TRIM('R.M Billets Reports'!F1013),IF(ISNUMBER(SEARCH("Party Name-",'R.M Billets Reports'!D1013)),TRIM(MID('R.M Billets Reports'!D1013,SEARCH("-",'R.M Billets Reports'!D1013)+1,200)),"")))="SHREE RADHE SHAKTI SPONGE AND POWER PVT. LTD.","SHREE RADHE",IF(IF(ISNUMBER(SEARCH("Party Name:-",'R.M Billets Reports'!D1012)),TRIM('R.M Billets Reports'!F1012),IF(ISNUMBER(SEARCH("Party Name-",'R.M Billets Reports'!D1012)),TRIM(MID('R.M Billets Reports'!D1012,SEARCH("-",'R.M Billets Reports'!D1012)+1,200)),""))&lt;&gt;"",IF(ISNUMBER(SEARCH("Party Name:-",'R.M Billets Reports'!D1012)),TRIM('R.M Billets Reports'!F1012),IF(ISNUMBER(SEARCH("Party Name-",'R.M Billets Reports'!D1012)),TRIM(MID('R.M Billets Reports'!D1012,SEARCH("-",'R.M Billets Reports'!D1012)+1,200)),"")),IF(ISNUMBER(SEARCH("Party Name:-",'R.M Billets Reports'!D1013)),TRIM('R.M Billets Reports'!F1013),IF(ISNUMBER(SEARCH("Party Name-",'R.M Billets Reports'!D1013)),TRIM(MID('R.M Billets Reports'!D1013,SEARCH("-",'R.M Billets Reports'!D1013)+1,200)),"")))))),IF(ROW()=2,"",A1012))</f>
      </c>
      <c r="B1013">
        <f>IF(OR('R.M Billets Reports'!A1012="Date-",'R.M Billets Reports'!A1012="Date:-"),'R.M Billets Reports'!B1012,IF(ROW()=2,"",B1012))</f>
      </c>
      <c r="C1013">
        <f>IF('R.M Billets Reports'!A1012="V.No.",'R.M Billets Reports'!B1012,IF(ROW()=2,"",C1012))</f>
      </c>
      <c r="D1013">
        <f>IF('R.M Billets Reports'!A1012&lt;&gt;"",'R.M Billets Reports'!A1012,IF(ROW()=2,"",D1012))</f>
      </c>
      <c r="E1013">
        <f>IF('R.M Billets Reports'!B1012="","",TRIM('R.M Billets Reports'!B1012))</f>
      </c>
      <c r="F1013">
        <f>'R.M Billets Reports'!C1012</f>
      </c>
      <c r="G1013">
        <f>'R.M Billets Reports'!D1012</f>
      </c>
      <c r="H1013">
        <f>'R.M Billets Reports'!E1012</f>
      </c>
      <c r="I1013">
        <f>'R.M Billets Reports'!F1012</f>
      </c>
      <c r="J1013">
        <f>'R.M Billets Reports'!G1012</f>
      </c>
      <c r="K1013">
        <f>'R.M Billets Reports'!H1012</f>
      </c>
      <c r="L1013">
        <f>IF('R.M Billets Reports'!I1012="","",'R.M Billets Reports'!I1012)</f>
      </c>
      <c r="M1013">
        <f t="shared" si="30"/>
      </c>
      <c r="N1013">
        <f>IF('R.M Billets Reports'!J1012="","",'R.M Billets Reports'!J1012)</f>
      </c>
      <c r="O1013">
        <f t="shared" si="31"/>
      </c>
      <c r="P1013">
        <f>IF('R.M Billets Reports'!A1012="SIZE",'R.M Billets Reports'!B1012,P1012)</f>
      </c>
    </row>
    <row r="1014" spans="1:16" x14ac:dyDescent="0.25">
      <c r="A1014">
        <f>IF(OR('R.M Billets Reports'!A1013="Date-",'R.M Billets Reports'!A1013="Date:-"),IF(IF(IF(ISNUMBER(SEARCH("Party Name:-",'R.M Billets Reports'!D1013)),TRIM('R.M Billets Reports'!F1013),IF(ISNUMBER(SEARCH("Party Name-",'R.M Billets Reports'!D1013)),TRIM(MID('R.M Billets Reports'!D1013,SEARCH("-",'R.M Billets Reports'!D1013)+1,200)),""))&lt;&gt;"",IF(ISNUMBER(SEARCH("Party Name:-",'R.M Billets Reports'!D1013)),TRIM('R.M Billets Reports'!F1013),IF(ISNUMBER(SEARCH("Party Name-",'R.M Billets Reports'!D1013)),TRIM(MID('R.M Billets Reports'!D1013,SEARCH("-",'R.M Billets Reports'!D1013)+1,200)),"")),IF(ISNUMBER(SEARCH("Party Name:-",'R.M Billets Reports'!D1014)),TRIM('R.M Billets Reports'!F1014),IF(ISNUMBER(SEARCH("Party Name-",'R.M Billets Reports'!D1014)),TRIM(MID('R.M Billets Reports'!D1014,SEARCH("-",'R.M Billets Reports'!D1014)+1,200)),"")))="VRKP ISPAT PVT LTD","VRKP",IF(IF(IF(ISNUMBER(SEARCH("Party Name:-",'R.M Billets Reports'!D1013)),TRIM('R.M Billets Reports'!F1013),IF(ISNUMBER(SEARCH("Party Name-",'R.M Billets Reports'!D1013)),TRIM(MID('R.M Billets Reports'!D1013,SEARCH("-",'R.M Billets Reports'!D1013)+1,200)),""))&lt;&gt;"",IF(ISNUMBER(SEARCH("Party Name:-",'R.M Billets Reports'!D1013)),TRIM('R.M Billets Reports'!F1013),IF(ISNUMBER(SEARCH("Party Name-",'R.M Billets Reports'!D1013)),TRIM(MID('R.M Billets Reports'!D1013,SEARCH("-",'R.M Billets Reports'!D1013)+1,200)),"")),IF(ISNUMBER(SEARCH("Party Name:-",'R.M Billets Reports'!D1014)),TRIM('R.M Billets Reports'!F1014),IF(ISNUMBER(SEARCH("Party Name-",'R.M Billets Reports'!D1014)),TRIM(MID('R.M Billets Reports'!D1014,SEARCH("-",'R.M Billets Reports'!D1014)+1,200)),"")))="SHRI RADHE","SHREE RADHE",IF(IF(IF(ISNUMBER(SEARCH("Party Name:-",'R.M Billets Reports'!D1013)),TRIM('R.M Billets Reports'!F1013),IF(ISNUMBER(SEARCH("Party Name-",'R.M Billets Reports'!D1013)),TRIM(MID('R.M Billets Reports'!D1013,SEARCH("-",'R.M Billets Reports'!D1013)+1,200)),""))&lt;&gt;"",IF(ISNUMBER(SEARCH("Party Name:-",'R.M Billets Reports'!D1013)),TRIM('R.M Billets Reports'!F1013),IF(ISNUMBER(SEARCH("Party Name-",'R.M Billets Reports'!D1013)),TRIM(MID('R.M Billets Reports'!D1013,SEARCH("-",'R.M Billets Reports'!D1013)+1,200)),"")),IF(ISNUMBER(SEARCH("Party Name:-",'R.M Billets Reports'!D1014)),TRIM('R.M Billets Reports'!F1014),IF(ISNUMBER(SEARCH("Party Name-",'R.M Billets Reports'!D1014)),TRIM(MID('R.M Billets Reports'!D1014,SEARCH("-",'R.M Billets Reports'!D1014)+1,200)),"")))="SHREE RADHE SHAKTI SPONGE AND POWER PVT. LTD.","SHREE RADHE",IF(IF(ISNUMBER(SEARCH("Party Name:-",'R.M Billets Reports'!D1013)),TRIM('R.M Billets Reports'!F1013),IF(ISNUMBER(SEARCH("Party Name-",'R.M Billets Reports'!D1013)),TRIM(MID('R.M Billets Reports'!D1013,SEARCH("-",'R.M Billets Reports'!D1013)+1,200)),""))&lt;&gt;"",IF(ISNUMBER(SEARCH("Party Name:-",'R.M Billets Reports'!D1013)),TRIM('R.M Billets Reports'!F1013),IF(ISNUMBER(SEARCH("Party Name-",'R.M Billets Reports'!D1013)),TRIM(MID('R.M Billets Reports'!D1013,SEARCH("-",'R.M Billets Reports'!D1013)+1,200)),"")),IF(ISNUMBER(SEARCH("Party Name:-",'R.M Billets Reports'!D1014)),TRIM('R.M Billets Reports'!F1014),IF(ISNUMBER(SEARCH("Party Name-",'R.M Billets Reports'!D1014)),TRIM(MID('R.M Billets Reports'!D1014,SEARCH("-",'R.M Billets Reports'!D1014)+1,200)),"")))))),IF(ROW()=2,"",A1013))</f>
      </c>
      <c r="B1014">
        <f>IF(OR('R.M Billets Reports'!A1013="Date-",'R.M Billets Reports'!A1013="Date:-"),'R.M Billets Reports'!B1013,IF(ROW()=2,"",B1013))</f>
      </c>
      <c r="C1014">
        <f>IF('R.M Billets Reports'!A1013="V.No.",'R.M Billets Reports'!B1013,IF(ROW()=2,"",C1013))</f>
      </c>
      <c r="D1014">
        <f>IF('R.M Billets Reports'!A1013&lt;&gt;"",'R.M Billets Reports'!A1013,IF(ROW()=2,"",D1013))</f>
      </c>
      <c r="E1014">
        <f>IF('R.M Billets Reports'!B1013="","",TRIM('R.M Billets Reports'!B1013))</f>
      </c>
      <c r="F1014">
        <f>'R.M Billets Reports'!C1013</f>
      </c>
      <c r="G1014">
        <f>'R.M Billets Reports'!D1013</f>
      </c>
      <c r="H1014">
        <f>'R.M Billets Reports'!E1013</f>
      </c>
      <c r="I1014">
        <f>'R.M Billets Reports'!F1013</f>
      </c>
      <c r="J1014">
        <f>'R.M Billets Reports'!G1013</f>
      </c>
      <c r="K1014">
        <f>'R.M Billets Reports'!H1013</f>
      </c>
      <c r="L1014">
        <f>IF('R.M Billets Reports'!I1013="","",'R.M Billets Reports'!I1013)</f>
      </c>
      <c r="M1014">
        <f t="shared" si="30"/>
      </c>
      <c r="N1014">
        <f>IF('R.M Billets Reports'!J1013="","",'R.M Billets Reports'!J1013)</f>
      </c>
      <c r="O1014">
        <f t="shared" si="31"/>
      </c>
      <c r="P1014">
        <f>IF('R.M Billets Reports'!A1013="SIZE",'R.M Billets Reports'!B1013,P1013)</f>
      </c>
    </row>
    <row r="1015" spans="1:16" x14ac:dyDescent="0.25">
      <c r="A1015">
        <f>IF(OR('R.M Billets Reports'!A1014="Date-",'R.M Billets Reports'!A1014="Date:-"),IF(IF(IF(ISNUMBER(SEARCH("Party Name:-",'R.M Billets Reports'!D1014)),TRIM('R.M Billets Reports'!F1014),IF(ISNUMBER(SEARCH("Party Name-",'R.M Billets Reports'!D1014)),TRIM(MID('R.M Billets Reports'!D1014,SEARCH("-",'R.M Billets Reports'!D1014)+1,200)),""))&lt;&gt;"",IF(ISNUMBER(SEARCH("Party Name:-",'R.M Billets Reports'!D1014)),TRIM('R.M Billets Reports'!F1014),IF(ISNUMBER(SEARCH("Party Name-",'R.M Billets Reports'!D1014)),TRIM(MID('R.M Billets Reports'!D1014,SEARCH("-",'R.M Billets Reports'!D1014)+1,200)),"")),IF(ISNUMBER(SEARCH("Party Name:-",'R.M Billets Reports'!D1015)),TRIM('R.M Billets Reports'!F1015),IF(ISNUMBER(SEARCH("Party Name-",'R.M Billets Reports'!D1015)),TRIM(MID('R.M Billets Reports'!D1015,SEARCH("-",'R.M Billets Reports'!D1015)+1,200)),"")))="VRKP ISPAT PVT LTD","VRKP",IF(IF(IF(ISNUMBER(SEARCH("Party Name:-",'R.M Billets Reports'!D1014)),TRIM('R.M Billets Reports'!F1014),IF(ISNUMBER(SEARCH("Party Name-",'R.M Billets Reports'!D1014)),TRIM(MID('R.M Billets Reports'!D1014,SEARCH("-",'R.M Billets Reports'!D1014)+1,200)),""))&lt;&gt;"",IF(ISNUMBER(SEARCH("Party Name:-",'R.M Billets Reports'!D1014)),TRIM('R.M Billets Reports'!F1014),IF(ISNUMBER(SEARCH("Party Name-",'R.M Billets Reports'!D1014)),TRIM(MID('R.M Billets Reports'!D1014,SEARCH("-",'R.M Billets Reports'!D1014)+1,200)),"")),IF(ISNUMBER(SEARCH("Party Name:-",'R.M Billets Reports'!D1015)),TRIM('R.M Billets Reports'!F1015),IF(ISNUMBER(SEARCH("Party Name-",'R.M Billets Reports'!D1015)),TRIM(MID('R.M Billets Reports'!D1015,SEARCH("-",'R.M Billets Reports'!D1015)+1,200)),"")))="SHRI RADHE","SHREE RADHE",IF(IF(IF(ISNUMBER(SEARCH("Party Name:-",'R.M Billets Reports'!D1014)),TRIM('R.M Billets Reports'!F1014),IF(ISNUMBER(SEARCH("Party Name-",'R.M Billets Reports'!D1014)),TRIM(MID('R.M Billets Reports'!D1014,SEARCH("-",'R.M Billets Reports'!D1014)+1,200)),""))&lt;&gt;"",IF(ISNUMBER(SEARCH("Party Name:-",'R.M Billets Reports'!D1014)),TRIM('R.M Billets Reports'!F1014),IF(ISNUMBER(SEARCH("Party Name-",'R.M Billets Reports'!D1014)),TRIM(MID('R.M Billets Reports'!D1014,SEARCH("-",'R.M Billets Reports'!D1014)+1,200)),"")),IF(ISNUMBER(SEARCH("Party Name:-",'R.M Billets Reports'!D1015)),TRIM('R.M Billets Reports'!F1015),IF(ISNUMBER(SEARCH("Party Name-",'R.M Billets Reports'!D1015)),TRIM(MID('R.M Billets Reports'!D1015,SEARCH("-",'R.M Billets Reports'!D1015)+1,200)),"")))="SHREE RADHE SHAKTI SPONGE AND POWER PVT. LTD.","SHREE RADHE",IF(IF(ISNUMBER(SEARCH("Party Name:-",'R.M Billets Reports'!D1014)),TRIM('R.M Billets Reports'!F1014),IF(ISNUMBER(SEARCH("Party Name-",'R.M Billets Reports'!D1014)),TRIM(MID('R.M Billets Reports'!D1014,SEARCH("-",'R.M Billets Reports'!D1014)+1,200)),""))&lt;&gt;"",IF(ISNUMBER(SEARCH("Party Name:-",'R.M Billets Reports'!D1014)),TRIM('R.M Billets Reports'!F1014),IF(ISNUMBER(SEARCH("Party Name-",'R.M Billets Reports'!D1014)),TRIM(MID('R.M Billets Reports'!D1014,SEARCH("-",'R.M Billets Reports'!D1014)+1,200)),"")),IF(ISNUMBER(SEARCH("Party Name:-",'R.M Billets Reports'!D1015)),TRIM('R.M Billets Reports'!F1015),IF(ISNUMBER(SEARCH("Party Name-",'R.M Billets Reports'!D1015)),TRIM(MID('R.M Billets Reports'!D1015,SEARCH("-",'R.M Billets Reports'!D1015)+1,200)),"")))))),IF(ROW()=2,"",A1014))</f>
      </c>
      <c r="B1015">
        <f>IF(OR('R.M Billets Reports'!A1014="Date-",'R.M Billets Reports'!A1014="Date:-"),'R.M Billets Reports'!B1014,IF(ROW()=2,"",B1014))</f>
      </c>
      <c r="C1015">
        <f>IF('R.M Billets Reports'!A1014="V.No.",'R.M Billets Reports'!B1014,IF(ROW()=2,"",C1014))</f>
      </c>
      <c r="D1015">
        <f>IF('R.M Billets Reports'!A1014&lt;&gt;"",'R.M Billets Reports'!A1014,IF(ROW()=2,"",D1014))</f>
      </c>
      <c r="E1015">
        <f>IF('R.M Billets Reports'!B1014="","",TRIM('R.M Billets Reports'!B1014))</f>
      </c>
      <c r="F1015">
        <f>'R.M Billets Reports'!C1014</f>
      </c>
      <c r="G1015">
        <f>'R.M Billets Reports'!D1014</f>
      </c>
      <c r="H1015">
        <f>'R.M Billets Reports'!E1014</f>
      </c>
      <c r="I1015">
        <f>'R.M Billets Reports'!F1014</f>
      </c>
      <c r="J1015">
        <f>'R.M Billets Reports'!G1014</f>
      </c>
      <c r="K1015">
        <f>'R.M Billets Reports'!H1014</f>
      </c>
      <c r="L1015">
        <f>IF('R.M Billets Reports'!I1014="","",'R.M Billets Reports'!I1014)</f>
      </c>
      <c r="M1015">
        <f t="shared" si="30"/>
      </c>
      <c r="N1015">
        <f>IF('R.M Billets Reports'!J1014="","",'R.M Billets Reports'!J1014)</f>
      </c>
      <c r="O1015">
        <f t="shared" si="31"/>
      </c>
      <c r="P1015">
        <f>IF('R.M Billets Reports'!A1014="SIZE",'R.M Billets Reports'!B1014,P1014)</f>
      </c>
    </row>
    <row r="1016" spans="1:16" x14ac:dyDescent="0.25">
      <c r="A1016">
        <f>IF(OR('R.M Billets Reports'!A1015="Date-",'R.M Billets Reports'!A1015="Date:-"),IF(IF(IF(ISNUMBER(SEARCH("Party Name:-",'R.M Billets Reports'!D1015)),TRIM('R.M Billets Reports'!F1015),IF(ISNUMBER(SEARCH("Party Name-",'R.M Billets Reports'!D1015)),TRIM(MID('R.M Billets Reports'!D1015,SEARCH("-",'R.M Billets Reports'!D1015)+1,200)),""))&lt;&gt;"",IF(ISNUMBER(SEARCH("Party Name:-",'R.M Billets Reports'!D1015)),TRIM('R.M Billets Reports'!F1015),IF(ISNUMBER(SEARCH("Party Name-",'R.M Billets Reports'!D1015)),TRIM(MID('R.M Billets Reports'!D1015,SEARCH("-",'R.M Billets Reports'!D1015)+1,200)),"")),IF(ISNUMBER(SEARCH("Party Name:-",'R.M Billets Reports'!D1016)),TRIM('R.M Billets Reports'!F1016),IF(ISNUMBER(SEARCH("Party Name-",'R.M Billets Reports'!D1016)),TRIM(MID('R.M Billets Reports'!D1016,SEARCH("-",'R.M Billets Reports'!D1016)+1,200)),"")))="VRKP ISPAT PVT LTD","VRKP",IF(IF(IF(ISNUMBER(SEARCH("Party Name:-",'R.M Billets Reports'!D1015)),TRIM('R.M Billets Reports'!F1015),IF(ISNUMBER(SEARCH("Party Name-",'R.M Billets Reports'!D1015)),TRIM(MID('R.M Billets Reports'!D1015,SEARCH("-",'R.M Billets Reports'!D1015)+1,200)),""))&lt;&gt;"",IF(ISNUMBER(SEARCH("Party Name:-",'R.M Billets Reports'!D1015)),TRIM('R.M Billets Reports'!F1015),IF(ISNUMBER(SEARCH("Party Name-",'R.M Billets Reports'!D1015)),TRIM(MID('R.M Billets Reports'!D1015,SEARCH("-",'R.M Billets Reports'!D1015)+1,200)),"")),IF(ISNUMBER(SEARCH("Party Name:-",'R.M Billets Reports'!D1016)),TRIM('R.M Billets Reports'!F1016),IF(ISNUMBER(SEARCH("Party Name-",'R.M Billets Reports'!D1016)),TRIM(MID('R.M Billets Reports'!D1016,SEARCH("-",'R.M Billets Reports'!D1016)+1,200)),"")))="SHRI RADHE","SHREE RADHE",IF(IF(IF(ISNUMBER(SEARCH("Party Name:-",'R.M Billets Reports'!D1015)),TRIM('R.M Billets Reports'!F1015),IF(ISNUMBER(SEARCH("Party Name-",'R.M Billets Reports'!D1015)),TRIM(MID('R.M Billets Reports'!D1015,SEARCH("-",'R.M Billets Reports'!D1015)+1,200)),""))&lt;&gt;"",IF(ISNUMBER(SEARCH("Party Name:-",'R.M Billets Reports'!D1015)),TRIM('R.M Billets Reports'!F1015),IF(ISNUMBER(SEARCH("Party Name-",'R.M Billets Reports'!D1015)),TRIM(MID('R.M Billets Reports'!D1015,SEARCH("-",'R.M Billets Reports'!D1015)+1,200)),"")),IF(ISNUMBER(SEARCH("Party Name:-",'R.M Billets Reports'!D1016)),TRIM('R.M Billets Reports'!F1016),IF(ISNUMBER(SEARCH("Party Name-",'R.M Billets Reports'!D1016)),TRIM(MID('R.M Billets Reports'!D1016,SEARCH("-",'R.M Billets Reports'!D1016)+1,200)),"")))="SHREE RADHE SHAKTI SPONGE AND POWER PVT. LTD.","SHREE RADHE",IF(IF(ISNUMBER(SEARCH("Party Name:-",'R.M Billets Reports'!D1015)),TRIM('R.M Billets Reports'!F1015),IF(ISNUMBER(SEARCH("Party Name-",'R.M Billets Reports'!D1015)),TRIM(MID('R.M Billets Reports'!D1015,SEARCH("-",'R.M Billets Reports'!D1015)+1,200)),""))&lt;&gt;"",IF(ISNUMBER(SEARCH("Party Name:-",'R.M Billets Reports'!D1015)),TRIM('R.M Billets Reports'!F1015),IF(ISNUMBER(SEARCH("Party Name-",'R.M Billets Reports'!D1015)),TRIM(MID('R.M Billets Reports'!D1015,SEARCH("-",'R.M Billets Reports'!D1015)+1,200)),"")),IF(ISNUMBER(SEARCH("Party Name:-",'R.M Billets Reports'!D1016)),TRIM('R.M Billets Reports'!F1016),IF(ISNUMBER(SEARCH("Party Name-",'R.M Billets Reports'!D1016)),TRIM(MID('R.M Billets Reports'!D1016,SEARCH("-",'R.M Billets Reports'!D1016)+1,200)),"")))))),IF(ROW()=2,"",A1015))</f>
      </c>
      <c r="B1016">
        <f>IF(OR('R.M Billets Reports'!A1015="Date-",'R.M Billets Reports'!A1015="Date:-"),'R.M Billets Reports'!B1015,IF(ROW()=2,"",B1015))</f>
      </c>
      <c r="C1016">
        <f>IF('R.M Billets Reports'!A1015="V.No.",'R.M Billets Reports'!B1015,IF(ROW()=2,"",C1015))</f>
      </c>
      <c r="D1016">
        <f>IF('R.M Billets Reports'!A1015&lt;&gt;"",'R.M Billets Reports'!A1015,IF(ROW()=2,"",D1015))</f>
      </c>
      <c r="E1016">
        <f>IF('R.M Billets Reports'!B1015="","",TRIM('R.M Billets Reports'!B1015))</f>
      </c>
      <c r="F1016">
        <f>'R.M Billets Reports'!C1015</f>
      </c>
      <c r="G1016">
        <f>'R.M Billets Reports'!D1015</f>
      </c>
      <c r="H1016">
        <f>'R.M Billets Reports'!E1015</f>
      </c>
      <c r="I1016">
        <f>'R.M Billets Reports'!F1015</f>
      </c>
      <c r="J1016">
        <f>'R.M Billets Reports'!G1015</f>
      </c>
      <c r="K1016">
        <f>'R.M Billets Reports'!H1015</f>
      </c>
      <c r="L1016">
        <f>IF('R.M Billets Reports'!I1015="","",'R.M Billets Reports'!I1015)</f>
      </c>
      <c r="M1016">
        <f t="shared" si="30"/>
      </c>
      <c r="N1016">
        <f>IF('R.M Billets Reports'!J1015="","",'R.M Billets Reports'!J1015)</f>
      </c>
      <c r="O1016">
        <f t="shared" si="31"/>
      </c>
      <c r="P1016">
        <f>IF('R.M Billets Reports'!A1015="SIZE",'R.M Billets Reports'!B1015,P1015)</f>
      </c>
    </row>
    <row r="1017" spans="1:16" x14ac:dyDescent="0.25">
      <c r="A1017">
        <f>IF(OR('R.M Billets Reports'!A1016="Date-",'R.M Billets Reports'!A1016="Date:-"),IF(IF(IF(ISNUMBER(SEARCH("Party Name:-",'R.M Billets Reports'!D1016)),TRIM('R.M Billets Reports'!F1016),IF(ISNUMBER(SEARCH("Party Name-",'R.M Billets Reports'!D1016)),TRIM(MID('R.M Billets Reports'!D1016,SEARCH("-",'R.M Billets Reports'!D1016)+1,200)),""))&lt;&gt;"",IF(ISNUMBER(SEARCH("Party Name:-",'R.M Billets Reports'!D1016)),TRIM('R.M Billets Reports'!F1016),IF(ISNUMBER(SEARCH("Party Name-",'R.M Billets Reports'!D1016)),TRIM(MID('R.M Billets Reports'!D1016,SEARCH("-",'R.M Billets Reports'!D1016)+1,200)),"")),IF(ISNUMBER(SEARCH("Party Name:-",'R.M Billets Reports'!D1017)),TRIM('R.M Billets Reports'!F1017),IF(ISNUMBER(SEARCH("Party Name-",'R.M Billets Reports'!D1017)),TRIM(MID('R.M Billets Reports'!D1017,SEARCH("-",'R.M Billets Reports'!D1017)+1,200)),"")))="VRKP ISPAT PVT LTD","VRKP",IF(IF(IF(ISNUMBER(SEARCH("Party Name:-",'R.M Billets Reports'!D1016)),TRIM('R.M Billets Reports'!F1016),IF(ISNUMBER(SEARCH("Party Name-",'R.M Billets Reports'!D1016)),TRIM(MID('R.M Billets Reports'!D1016,SEARCH("-",'R.M Billets Reports'!D1016)+1,200)),""))&lt;&gt;"",IF(ISNUMBER(SEARCH("Party Name:-",'R.M Billets Reports'!D1016)),TRIM('R.M Billets Reports'!F1016),IF(ISNUMBER(SEARCH("Party Name-",'R.M Billets Reports'!D1016)),TRIM(MID('R.M Billets Reports'!D1016,SEARCH("-",'R.M Billets Reports'!D1016)+1,200)),"")),IF(ISNUMBER(SEARCH("Party Name:-",'R.M Billets Reports'!D1017)),TRIM('R.M Billets Reports'!F1017),IF(ISNUMBER(SEARCH("Party Name-",'R.M Billets Reports'!D1017)),TRIM(MID('R.M Billets Reports'!D1017,SEARCH("-",'R.M Billets Reports'!D1017)+1,200)),"")))="SHRI RADHE","SHREE RADHE",IF(IF(IF(ISNUMBER(SEARCH("Party Name:-",'R.M Billets Reports'!D1016)),TRIM('R.M Billets Reports'!F1016),IF(ISNUMBER(SEARCH("Party Name-",'R.M Billets Reports'!D1016)),TRIM(MID('R.M Billets Reports'!D1016,SEARCH("-",'R.M Billets Reports'!D1016)+1,200)),""))&lt;&gt;"",IF(ISNUMBER(SEARCH("Party Name:-",'R.M Billets Reports'!D1016)),TRIM('R.M Billets Reports'!F1016),IF(ISNUMBER(SEARCH("Party Name-",'R.M Billets Reports'!D1016)),TRIM(MID('R.M Billets Reports'!D1016,SEARCH("-",'R.M Billets Reports'!D1016)+1,200)),"")),IF(ISNUMBER(SEARCH("Party Name:-",'R.M Billets Reports'!D1017)),TRIM('R.M Billets Reports'!F1017),IF(ISNUMBER(SEARCH("Party Name-",'R.M Billets Reports'!D1017)),TRIM(MID('R.M Billets Reports'!D1017,SEARCH("-",'R.M Billets Reports'!D1017)+1,200)),"")))="SHREE RADHE SHAKTI SPONGE AND POWER PVT. LTD.","SHREE RADHE",IF(IF(ISNUMBER(SEARCH("Party Name:-",'R.M Billets Reports'!D1016)),TRIM('R.M Billets Reports'!F1016),IF(ISNUMBER(SEARCH("Party Name-",'R.M Billets Reports'!D1016)),TRIM(MID('R.M Billets Reports'!D1016,SEARCH("-",'R.M Billets Reports'!D1016)+1,200)),""))&lt;&gt;"",IF(ISNUMBER(SEARCH("Party Name:-",'R.M Billets Reports'!D1016)),TRIM('R.M Billets Reports'!F1016),IF(ISNUMBER(SEARCH("Party Name-",'R.M Billets Reports'!D1016)),TRIM(MID('R.M Billets Reports'!D1016,SEARCH("-",'R.M Billets Reports'!D1016)+1,200)),"")),IF(ISNUMBER(SEARCH("Party Name:-",'R.M Billets Reports'!D1017)),TRIM('R.M Billets Reports'!F1017),IF(ISNUMBER(SEARCH("Party Name-",'R.M Billets Reports'!D1017)),TRIM(MID('R.M Billets Reports'!D1017,SEARCH("-",'R.M Billets Reports'!D1017)+1,200)),"")))))),IF(ROW()=2,"",A1016))</f>
      </c>
      <c r="B1017">
        <f>IF(OR('R.M Billets Reports'!A1016="Date-",'R.M Billets Reports'!A1016="Date:-"),'R.M Billets Reports'!B1016,IF(ROW()=2,"",B1016))</f>
      </c>
      <c r="C1017">
        <f>IF('R.M Billets Reports'!A1016="V.No.",'R.M Billets Reports'!B1016,IF(ROW()=2,"",C1016))</f>
      </c>
      <c r="D1017">
        <f>IF('R.M Billets Reports'!A1016&lt;&gt;"",'R.M Billets Reports'!A1016,IF(ROW()=2,"",D1016))</f>
      </c>
      <c r="E1017">
        <f>IF('R.M Billets Reports'!B1016="","",TRIM('R.M Billets Reports'!B1016))</f>
      </c>
      <c r="F1017">
        <f>'R.M Billets Reports'!C1016</f>
      </c>
      <c r="G1017">
        <f>'R.M Billets Reports'!D1016</f>
      </c>
      <c r="H1017">
        <f>'R.M Billets Reports'!E1016</f>
      </c>
      <c r="I1017">
        <f>'R.M Billets Reports'!F1016</f>
      </c>
      <c r="J1017">
        <f>'R.M Billets Reports'!G1016</f>
      </c>
      <c r="K1017">
        <f>'R.M Billets Reports'!H1016</f>
      </c>
      <c r="L1017">
        <f>IF('R.M Billets Reports'!I1016="","",'R.M Billets Reports'!I1016)</f>
      </c>
      <c r="M1017">
        <f t="shared" si="30"/>
      </c>
      <c r="N1017">
        <f>IF('R.M Billets Reports'!J1016="","",'R.M Billets Reports'!J1016)</f>
      </c>
      <c r="O1017">
        <f t="shared" si="31"/>
      </c>
      <c r="P1017">
        <f>IF('R.M Billets Reports'!A1016="SIZE",'R.M Billets Reports'!B1016,P1016)</f>
      </c>
    </row>
    <row r="1018" spans="1:16" x14ac:dyDescent="0.25">
      <c r="A1018">
        <f>IF(OR('R.M Billets Reports'!A1017="Date-",'R.M Billets Reports'!A1017="Date:-"),IF(IF(IF(ISNUMBER(SEARCH("Party Name:-",'R.M Billets Reports'!D1017)),TRIM('R.M Billets Reports'!F1017),IF(ISNUMBER(SEARCH("Party Name-",'R.M Billets Reports'!D1017)),TRIM(MID('R.M Billets Reports'!D1017,SEARCH("-",'R.M Billets Reports'!D1017)+1,200)),""))&lt;&gt;"",IF(ISNUMBER(SEARCH("Party Name:-",'R.M Billets Reports'!D1017)),TRIM('R.M Billets Reports'!F1017),IF(ISNUMBER(SEARCH("Party Name-",'R.M Billets Reports'!D1017)),TRIM(MID('R.M Billets Reports'!D1017,SEARCH("-",'R.M Billets Reports'!D1017)+1,200)),"")),IF(ISNUMBER(SEARCH("Party Name:-",'R.M Billets Reports'!D1018)),TRIM('R.M Billets Reports'!F1018),IF(ISNUMBER(SEARCH("Party Name-",'R.M Billets Reports'!D1018)),TRIM(MID('R.M Billets Reports'!D1018,SEARCH("-",'R.M Billets Reports'!D1018)+1,200)),"")))="VRKP ISPAT PVT LTD","VRKP",IF(IF(IF(ISNUMBER(SEARCH("Party Name:-",'R.M Billets Reports'!D1017)),TRIM('R.M Billets Reports'!F1017),IF(ISNUMBER(SEARCH("Party Name-",'R.M Billets Reports'!D1017)),TRIM(MID('R.M Billets Reports'!D1017,SEARCH("-",'R.M Billets Reports'!D1017)+1,200)),""))&lt;&gt;"",IF(ISNUMBER(SEARCH("Party Name:-",'R.M Billets Reports'!D1017)),TRIM('R.M Billets Reports'!F1017),IF(ISNUMBER(SEARCH("Party Name-",'R.M Billets Reports'!D1017)),TRIM(MID('R.M Billets Reports'!D1017,SEARCH("-",'R.M Billets Reports'!D1017)+1,200)),"")),IF(ISNUMBER(SEARCH("Party Name:-",'R.M Billets Reports'!D1018)),TRIM('R.M Billets Reports'!F1018),IF(ISNUMBER(SEARCH("Party Name-",'R.M Billets Reports'!D1018)),TRIM(MID('R.M Billets Reports'!D1018,SEARCH("-",'R.M Billets Reports'!D1018)+1,200)),"")))="SHRI RADHE","SHREE RADHE",IF(IF(IF(ISNUMBER(SEARCH("Party Name:-",'R.M Billets Reports'!D1017)),TRIM('R.M Billets Reports'!F1017),IF(ISNUMBER(SEARCH("Party Name-",'R.M Billets Reports'!D1017)),TRIM(MID('R.M Billets Reports'!D1017,SEARCH("-",'R.M Billets Reports'!D1017)+1,200)),""))&lt;&gt;"",IF(ISNUMBER(SEARCH("Party Name:-",'R.M Billets Reports'!D1017)),TRIM('R.M Billets Reports'!F1017),IF(ISNUMBER(SEARCH("Party Name-",'R.M Billets Reports'!D1017)),TRIM(MID('R.M Billets Reports'!D1017,SEARCH("-",'R.M Billets Reports'!D1017)+1,200)),"")),IF(ISNUMBER(SEARCH("Party Name:-",'R.M Billets Reports'!D1018)),TRIM('R.M Billets Reports'!F1018),IF(ISNUMBER(SEARCH("Party Name-",'R.M Billets Reports'!D1018)),TRIM(MID('R.M Billets Reports'!D1018,SEARCH("-",'R.M Billets Reports'!D1018)+1,200)),"")))="SHREE RADHE SHAKTI SPONGE AND POWER PVT. LTD.","SHREE RADHE",IF(IF(ISNUMBER(SEARCH("Party Name:-",'R.M Billets Reports'!D1017)),TRIM('R.M Billets Reports'!F1017),IF(ISNUMBER(SEARCH("Party Name-",'R.M Billets Reports'!D1017)),TRIM(MID('R.M Billets Reports'!D1017,SEARCH("-",'R.M Billets Reports'!D1017)+1,200)),""))&lt;&gt;"",IF(ISNUMBER(SEARCH("Party Name:-",'R.M Billets Reports'!D1017)),TRIM('R.M Billets Reports'!F1017),IF(ISNUMBER(SEARCH("Party Name-",'R.M Billets Reports'!D1017)),TRIM(MID('R.M Billets Reports'!D1017,SEARCH("-",'R.M Billets Reports'!D1017)+1,200)),"")),IF(ISNUMBER(SEARCH("Party Name:-",'R.M Billets Reports'!D1018)),TRIM('R.M Billets Reports'!F1018),IF(ISNUMBER(SEARCH("Party Name-",'R.M Billets Reports'!D1018)),TRIM(MID('R.M Billets Reports'!D1018,SEARCH("-",'R.M Billets Reports'!D1018)+1,200)),"")))))),IF(ROW()=2,"",A1017))</f>
      </c>
      <c r="B1018">
        <f>IF(OR('R.M Billets Reports'!A1017="Date-",'R.M Billets Reports'!A1017="Date:-"),'R.M Billets Reports'!B1017,IF(ROW()=2,"",B1017))</f>
      </c>
      <c r="C1018">
        <f>IF('R.M Billets Reports'!A1017="V.No.",'R.M Billets Reports'!B1017,IF(ROW()=2,"",C1017))</f>
      </c>
      <c r="D1018">
        <f>IF('R.M Billets Reports'!A1017&lt;&gt;"",'R.M Billets Reports'!A1017,IF(ROW()=2,"",D1017))</f>
      </c>
      <c r="E1018">
        <f>IF('R.M Billets Reports'!B1017="","",TRIM('R.M Billets Reports'!B1017))</f>
      </c>
      <c r="F1018">
        <f>'R.M Billets Reports'!C1017</f>
      </c>
      <c r="G1018">
        <f>'R.M Billets Reports'!D1017</f>
      </c>
      <c r="H1018">
        <f>'R.M Billets Reports'!E1017</f>
      </c>
      <c r="I1018">
        <f>'R.M Billets Reports'!F1017</f>
      </c>
      <c r="J1018">
        <f>'R.M Billets Reports'!G1017</f>
      </c>
      <c r="K1018">
        <f>'R.M Billets Reports'!H1017</f>
      </c>
      <c r="L1018">
        <f>IF('R.M Billets Reports'!I1017="","",'R.M Billets Reports'!I1017)</f>
      </c>
      <c r="M1018">
        <f t="shared" si="30"/>
      </c>
      <c r="N1018">
        <f>IF('R.M Billets Reports'!J1017="","",'R.M Billets Reports'!J1017)</f>
      </c>
      <c r="O1018">
        <f t="shared" si="31"/>
      </c>
      <c r="P1018">
        <f>IF('R.M Billets Reports'!A1017="SIZE",'R.M Billets Reports'!B1017,P1017)</f>
      </c>
    </row>
    <row r="1019" spans="1:16" x14ac:dyDescent="0.25">
      <c r="A1019">
        <f>IF(OR('R.M Billets Reports'!A1018="Date-",'R.M Billets Reports'!A1018="Date:-"),IF(IF(IF(ISNUMBER(SEARCH("Party Name:-",'R.M Billets Reports'!D1018)),TRIM('R.M Billets Reports'!F1018),IF(ISNUMBER(SEARCH("Party Name-",'R.M Billets Reports'!D1018)),TRIM(MID('R.M Billets Reports'!D1018,SEARCH("-",'R.M Billets Reports'!D1018)+1,200)),""))&lt;&gt;"",IF(ISNUMBER(SEARCH("Party Name:-",'R.M Billets Reports'!D1018)),TRIM('R.M Billets Reports'!F1018),IF(ISNUMBER(SEARCH("Party Name-",'R.M Billets Reports'!D1018)),TRIM(MID('R.M Billets Reports'!D1018,SEARCH("-",'R.M Billets Reports'!D1018)+1,200)),"")),IF(ISNUMBER(SEARCH("Party Name:-",'R.M Billets Reports'!D1019)),TRIM('R.M Billets Reports'!F1019),IF(ISNUMBER(SEARCH("Party Name-",'R.M Billets Reports'!D1019)),TRIM(MID('R.M Billets Reports'!D1019,SEARCH("-",'R.M Billets Reports'!D1019)+1,200)),"")))="VRKP ISPAT PVT LTD","VRKP",IF(IF(IF(ISNUMBER(SEARCH("Party Name:-",'R.M Billets Reports'!D1018)),TRIM('R.M Billets Reports'!F1018),IF(ISNUMBER(SEARCH("Party Name-",'R.M Billets Reports'!D1018)),TRIM(MID('R.M Billets Reports'!D1018,SEARCH("-",'R.M Billets Reports'!D1018)+1,200)),""))&lt;&gt;"",IF(ISNUMBER(SEARCH("Party Name:-",'R.M Billets Reports'!D1018)),TRIM('R.M Billets Reports'!F1018),IF(ISNUMBER(SEARCH("Party Name-",'R.M Billets Reports'!D1018)),TRIM(MID('R.M Billets Reports'!D1018,SEARCH("-",'R.M Billets Reports'!D1018)+1,200)),"")),IF(ISNUMBER(SEARCH("Party Name:-",'R.M Billets Reports'!D1019)),TRIM('R.M Billets Reports'!F1019),IF(ISNUMBER(SEARCH("Party Name-",'R.M Billets Reports'!D1019)),TRIM(MID('R.M Billets Reports'!D1019,SEARCH("-",'R.M Billets Reports'!D1019)+1,200)),"")))="SHRI RADHE","SHREE RADHE",IF(IF(IF(ISNUMBER(SEARCH("Party Name:-",'R.M Billets Reports'!D1018)),TRIM('R.M Billets Reports'!F1018),IF(ISNUMBER(SEARCH("Party Name-",'R.M Billets Reports'!D1018)),TRIM(MID('R.M Billets Reports'!D1018,SEARCH("-",'R.M Billets Reports'!D1018)+1,200)),""))&lt;&gt;"",IF(ISNUMBER(SEARCH("Party Name:-",'R.M Billets Reports'!D1018)),TRIM('R.M Billets Reports'!F1018),IF(ISNUMBER(SEARCH("Party Name-",'R.M Billets Reports'!D1018)),TRIM(MID('R.M Billets Reports'!D1018,SEARCH("-",'R.M Billets Reports'!D1018)+1,200)),"")),IF(ISNUMBER(SEARCH("Party Name:-",'R.M Billets Reports'!D1019)),TRIM('R.M Billets Reports'!F1019),IF(ISNUMBER(SEARCH("Party Name-",'R.M Billets Reports'!D1019)),TRIM(MID('R.M Billets Reports'!D1019,SEARCH("-",'R.M Billets Reports'!D1019)+1,200)),"")))="SHREE RADHE SHAKTI SPONGE AND POWER PVT. LTD.","SHREE RADHE",IF(IF(ISNUMBER(SEARCH("Party Name:-",'R.M Billets Reports'!D1018)),TRIM('R.M Billets Reports'!F1018),IF(ISNUMBER(SEARCH("Party Name-",'R.M Billets Reports'!D1018)),TRIM(MID('R.M Billets Reports'!D1018,SEARCH("-",'R.M Billets Reports'!D1018)+1,200)),""))&lt;&gt;"",IF(ISNUMBER(SEARCH("Party Name:-",'R.M Billets Reports'!D1018)),TRIM('R.M Billets Reports'!F1018),IF(ISNUMBER(SEARCH("Party Name-",'R.M Billets Reports'!D1018)),TRIM(MID('R.M Billets Reports'!D1018,SEARCH("-",'R.M Billets Reports'!D1018)+1,200)),"")),IF(ISNUMBER(SEARCH("Party Name:-",'R.M Billets Reports'!D1019)),TRIM('R.M Billets Reports'!F1019),IF(ISNUMBER(SEARCH("Party Name-",'R.M Billets Reports'!D1019)),TRIM(MID('R.M Billets Reports'!D1019,SEARCH("-",'R.M Billets Reports'!D1019)+1,200)),"")))))),IF(ROW()=2,"",A1018))</f>
      </c>
      <c r="B1019">
        <f>IF(OR('R.M Billets Reports'!A1018="Date-",'R.M Billets Reports'!A1018="Date:-"),'R.M Billets Reports'!B1018,IF(ROW()=2,"",B1018))</f>
      </c>
      <c r="C1019">
        <f>IF('R.M Billets Reports'!A1018="V.No.",'R.M Billets Reports'!B1018,IF(ROW()=2,"",C1018))</f>
      </c>
      <c r="D1019">
        <f>IF('R.M Billets Reports'!A1018&lt;&gt;"",'R.M Billets Reports'!A1018,IF(ROW()=2,"",D1018))</f>
      </c>
      <c r="E1019">
        <f>IF('R.M Billets Reports'!B1018="","",TRIM('R.M Billets Reports'!B1018))</f>
      </c>
      <c r="F1019">
        <f>'R.M Billets Reports'!C1018</f>
      </c>
      <c r="G1019">
        <f>'R.M Billets Reports'!D1018</f>
      </c>
      <c r="H1019">
        <f>'R.M Billets Reports'!E1018</f>
      </c>
      <c r="I1019">
        <f>'R.M Billets Reports'!F1018</f>
      </c>
      <c r="J1019">
        <f>'R.M Billets Reports'!G1018</f>
      </c>
      <c r="K1019">
        <f>'R.M Billets Reports'!H1018</f>
      </c>
      <c r="L1019">
        <f>IF('R.M Billets Reports'!I1018="","",'R.M Billets Reports'!I1018)</f>
      </c>
      <c r="M1019">
        <f t="shared" si="30"/>
      </c>
      <c r="N1019">
        <f>IF('R.M Billets Reports'!J1018="","",'R.M Billets Reports'!J1018)</f>
      </c>
      <c r="O1019">
        <f t="shared" si="31"/>
      </c>
      <c r="P1019">
        <f>IF('R.M Billets Reports'!A1018="SIZE",'R.M Billets Reports'!B1018,P1018)</f>
      </c>
    </row>
    <row r="1020" spans="1:16" x14ac:dyDescent="0.25">
      <c r="A1020">
        <f>IF(OR('R.M Billets Reports'!A1019="Date-",'R.M Billets Reports'!A1019="Date:-"),IF(IF(IF(ISNUMBER(SEARCH("Party Name:-",'R.M Billets Reports'!D1019)),TRIM('R.M Billets Reports'!F1019),IF(ISNUMBER(SEARCH("Party Name-",'R.M Billets Reports'!D1019)),TRIM(MID('R.M Billets Reports'!D1019,SEARCH("-",'R.M Billets Reports'!D1019)+1,200)),""))&lt;&gt;"",IF(ISNUMBER(SEARCH("Party Name:-",'R.M Billets Reports'!D1019)),TRIM('R.M Billets Reports'!F1019),IF(ISNUMBER(SEARCH("Party Name-",'R.M Billets Reports'!D1019)),TRIM(MID('R.M Billets Reports'!D1019,SEARCH("-",'R.M Billets Reports'!D1019)+1,200)),"")),IF(ISNUMBER(SEARCH("Party Name:-",'R.M Billets Reports'!D1020)),TRIM('R.M Billets Reports'!F1020),IF(ISNUMBER(SEARCH("Party Name-",'R.M Billets Reports'!D1020)),TRIM(MID('R.M Billets Reports'!D1020,SEARCH("-",'R.M Billets Reports'!D1020)+1,200)),"")))="VRKP ISPAT PVT LTD","VRKP",IF(IF(IF(ISNUMBER(SEARCH("Party Name:-",'R.M Billets Reports'!D1019)),TRIM('R.M Billets Reports'!F1019),IF(ISNUMBER(SEARCH("Party Name-",'R.M Billets Reports'!D1019)),TRIM(MID('R.M Billets Reports'!D1019,SEARCH("-",'R.M Billets Reports'!D1019)+1,200)),""))&lt;&gt;"",IF(ISNUMBER(SEARCH("Party Name:-",'R.M Billets Reports'!D1019)),TRIM('R.M Billets Reports'!F1019),IF(ISNUMBER(SEARCH("Party Name-",'R.M Billets Reports'!D1019)),TRIM(MID('R.M Billets Reports'!D1019,SEARCH("-",'R.M Billets Reports'!D1019)+1,200)),"")),IF(ISNUMBER(SEARCH("Party Name:-",'R.M Billets Reports'!D1020)),TRIM('R.M Billets Reports'!F1020),IF(ISNUMBER(SEARCH("Party Name-",'R.M Billets Reports'!D1020)),TRIM(MID('R.M Billets Reports'!D1020,SEARCH("-",'R.M Billets Reports'!D1020)+1,200)),"")))="SHRI RADHE","SHREE RADHE",IF(IF(IF(ISNUMBER(SEARCH("Party Name:-",'R.M Billets Reports'!D1019)),TRIM('R.M Billets Reports'!F1019),IF(ISNUMBER(SEARCH("Party Name-",'R.M Billets Reports'!D1019)),TRIM(MID('R.M Billets Reports'!D1019,SEARCH("-",'R.M Billets Reports'!D1019)+1,200)),""))&lt;&gt;"",IF(ISNUMBER(SEARCH("Party Name:-",'R.M Billets Reports'!D1019)),TRIM('R.M Billets Reports'!F1019),IF(ISNUMBER(SEARCH("Party Name-",'R.M Billets Reports'!D1019)),TRIM(MID('R.M Billets Reports'!D1019,SEARCH("-",'R.M Billets Reports'!D1019)+1,200)),"")),IF(ISNUMBER(SEARCH("Party Name:-",'R.M Billets Reports'!D1020)),TRIM('R.M Billets Reports'!F1020),IF(ISNUMBER(SEARCH("Party Name-",'R.M Billets Reports'!D1020)),TRIM(MID('R.M Billets Reports'!D1020,SEARCH("-",'R.M Billets Reports'!D1020)+1,200)),"")))="SHREE RADHE SHAKTI SPONGE AND POWER PVT. LTD.","SHREE RADHE",IF(IF(ISNUMBER(SEARCH("Party Name:-",'R.M Billets Reports'!D1019)),TRIM('R.M Billets Reports'!F1019),IF(ISNUMBER(SEARCH("Party Name-",'R.M Billets Reports'!D1019)),TRIM(MID('R.M Billets Reports'!D1019,SEARCH("-",'R.M Billets Reports'!D1019)+1,200)),""))&lt;&gt;"",IF(ISNUMBER(SEARCH("Party Name:-",'R.M Billets Reports'!D1019)),TRIM('R.M Billets Reports'!F1019),IF(ISNUMBER(SEARCH("Party Name-",'R.M Billets Reports'!D1019)),TRIM(MID('R.M Billets Reports'!D1019,SEARCH("-",'R.M Billets Reports'!D1019)+1,200)),"")),IF(ISNUMBER(SEARCH("Party Name:-",'R.M Billets Reports'!D1020)),TRIM('R.M Billets Reports'!F1020),IF(ISNUMBER(SEARCH("Party Name-",'R.M Billets Reports'!D1020)),TRIM(MID('R.M Billets Reports'!D1020,SEARCH("-",'R.M Billets Reports'!D1020)+1,200)),"")))))),IF(ROW()=2,"",A1019))</f>
      </c>
      <c r="B1020">
        <f>IF(OR('R.M Billets Reports'!A1019="Date-",'R.M Billets Reports'!A1019="Date:-"),'R.M Billets Reports'!B1019,IF(ROW()=2,"",B1019))</f>
      </c>
      <c r="C1020">
        <f>IF('R.M Billets Reports'!A1019="V.No.",'R.M Billets Reports'!B1019,IF(ROW()=2,"",C1019))</f>
      </c>
      <c r="D1020">
        <f>IF('R.M Billets Reports'!A1019&lt;&gt;"",'R.M Billets Reports'!A1019,IF(ROW()=2,"",D1019))</f>
      </c>
      <c r="E1020">
        <f>IF('R.M Billets Reports'!B1019="","",TRIM('R.M Billets Reports'!B1019))</f>
      </c>
      <c r="F1020">
        <f>'R.M Billets Reports'!C1019</f>
      </c>
      <c r="G1020">
        <f>'R.M Billets Reports'!D1019</f>
      </c>
      <c r="H1020">
        <f>'R.M Billets Reports'!E1019</f>
      </c>
      <c r="I1020">
        <f>'R.M Billets Reports'!F1019</f>
      </c>
      <c r="J1020">
        <f>'R.M Billets Reports'!G1019</f>
      </c>
      <c r="K1020">
        <f>'R.M Billets Reports'!H1019</f>
      </c>
      <c r="L1020">
        <f>IF('R.M Billets Reports'!I1019="","",'R.M Billets Reports'!I1019)</f>
      </c>
      <c r="M1020">
        <f t="shared" si="30"/>
      </c>
      <c r="N1020">
        <f>IF('R.M Billets Reports'!J1019="","",'R.M Billets Reports'!J1019)</f>
      </c>
      <c r="O1020">
        <f t="shared" si="31"/>
      </c>
      <c r="P1020">
        <f>IF('R.M Billets Reports'!A1019="SIZE",'R.M Billets Reports'!B1019,P1019)</f>
      </c>
    </row>
    <row r="1021" spans="1:16" x14ac:dyDescent="0.25">
      <c r="A1021">
        <f>IF(OR('R.M Billets Reports'!A1020="Date-",'R.M Billets Reports'!A1020="Date:-"),IF(IF(IF(ISNUMBER(SEARCH("Party Name:-",'R.M Billets Reports'!D1020)),TRIM('R.M Billets Reports'!F1020),IF(ISNUMBER(SEARCH("Party Name-",'R.M Billets Reports'!D1020)),TRIM(MID('R.M Billets Reports'!D1020,SEARCH("-",'R.M Billets Reports'!D1020)+1,200)),""))&lt;&gt;"",IF(ISNUMBER(SEARCH("Party Name:-",'R.M Billets Reports'!D1020)),TRIM('R.M Billets Reports'!F1020),IF(ISNUMBER(SEARCH("Party Name-",'R.M Billets Reports'!D1020)),TRIM(MID('R.M Billets Reports'!D1020,SEARCH("-",'R.M Billets Reports'!D1020)+1,200)),"")),IF(ISNUMBER(SEARCH("Party Name:-",'R.M Billets Reports'!D1021)),TRIM('R.M Billets Reports'!F1021),IF(ISNUMBER(SEARCH("Party Name-",'R.M Billets Reports'!D1021)),TRIM(MID('R.M Billets Reports'!D1021,SEARCH("-",'R.M Billets Reports'!D1021)+1,200)),"")))="VRKP ISPAT PVT LTD","VRKP",IF(IF(IF(ISNUMBER(SEARCH("Party Name:-",'R.M Billets Reports'!D1020)),TRIM('R.M Billets Reports'!F1020),IF(ISNUMBER(SEARCH("Party Name-",'R.M Billets Reports'!D1020)),TRIM(MID('R.M Billets Reports'!D1020,SEARCH("-",'R.M Billets Reports'!D1020)+1,200)),""))&lt;&gt;"",IF(ISNUMBER(SEARCH("Party Name:-",'R.M Billets Reports'!D1020)),TRIM('R.M Billets Reports'!F1020),IF(ISNUMBER(SEARCH("Party Name-",'R.M Billets Reports'!D1020)),TRIM(MID('R.M Billets Reports'!D1020,SEARCH("-",'R.M Billets Reports'!D1020)+1,200)),"")),IF(ISNUMBER(SEARCH("Party Name:-",'R.M Billets Reports'!D1021)),TRIM('R.M Billets Reports'!F1021),IF(ISNUMBER(SEARCH("Party Name-",'R.M Billets Reports'!D1021)),TRIM(MID('R.M Billets Reports'!D1021,SEARCH("-",'R.M Billets Reports'!D1021)+1,200)),"")))="SHRI RADHE","SHREE RADHE",IF(IF(IF(ISNUMBER(SEARCH("Party Name:-",'R.M Billets Reports'!D1020)),TRIM('R.M Billets Reports'!F1020),IF(ISNUMBER(SEARCH("Party Name-",'R.M Billets Reports'!D1020)),TRIM(MID('R.M Billets Reports'!D1020,SEARCH("-",'R.M Billets Reports'!D1020)+1,200)),""))&lt;&gt;"",IF(ISNUMBER(SEARCH("Party Name:-",'R.M Billets Reports'!D1020)),TRIM('R.M Billets Reports'!F1020),IF(ISNUMBER(SEARCH("Party Name-",'R.M Billets Reports'!D1020)),TRIM(MID('R.M Billets Reports'!D1020,SEARCH("-",'R.M Billets Reports'!D1020)+1,200)),"")),IF(ISNUMBER(SEARCH("Party Name:-",'R.M Billets Reports'!D1021)),TRIM('R.M Billets Reports'!F1021),IF(ISNUMBER(SEARCH("Party Name-",'R.M Billets Reports'!D1021)),TRIM(MID('R.M Billets Reports'!D1021,SEARCH("-",'R.M Billets Reports'!D1021)+1,200)),"")))="SHREE RADHE SHAKTI SPONGE AND POWER PVT. LTD.","SHREE RADHE",IF(IF(ISNUMBER(SEARCH("Party Name:-",'R.M Billets Reports'!D1020)),TRIM('R.M Billets Reports'!F1020),IF(ISNUMBER(SEARCH("Party Name-",'R.M Billets Reports'!D1020)),TRIM(MID('R.M Billets Reports'!D1020,SEARCH("-",'R.M Billets Reports'!D1020)+1,200)),""))&lt;&gt;"",IF(ISNUMBER(SEARCH("Party Name:-",'R.M Billets Reports'!D1020)),TRIM('R.M Billets Reports'!F1020),IF(ISNUMBER(SEARCH("Party Name-",'R.M Billets Reports'!D1020)),TRIM(MID('R.M Billets Reports'!D1020,SEARCH("-",'R.M Billets Reports'!D1020)+1,200)),"")),IF(ISNUMBER(SEARCH("Party Name:-",'R.M Billets Reports'!D1021)),TRIM('R.M Billets Reports'!F1021),IF(ISNUMBER(SEARCH("Party Name-",'R.M Billets Reports'!D1021)),TRIM(MID('R.M Billets Reports'!D1021,SEARCH("-",'R.M Billets Reports'!D1021)+1,200)),"")))))),IF(ROW()=2,"",A1020))</f>
      </c>
      <c r="B1021">
        <f>IF(OR('R.M Billets Reports'!A1020="Date-",'R.M Billets Reports'!A1020="Date:-"),'R.M Billets Reports'!B1020,IF(ROW()=2,"",B1020))</f>
      </c>
      <c r="C1021">
        <f>IF('R.M Billets Reports'!A1020="V.No.",'R.M Billets Reports'!B1020,IF(ROW()=2,"",C1020))</f>
      </c>
      <c r="D1021">
        <f>IF('R.M Billets Reports'!A1020&lt;&gt;"",'R.M Billets Reports'!A1020,IF(ROW()=2,"",D1020))</f>
      </c>
      <c r="E1021">
        <f>IF('R.M Billets Reports'!B1020="","",TRIM('R.M Billets Reports'!B1020))</f>
      </c>
      <c r="F1021">
        <f>'R.M Billets Reports'!C1020</f>
      </c>
      <c r="G1021">
        <f>'R.M Billets Reports'!D1020</f>
      </c>
      <c r="H1021">
        <f>'R.M Billets Reports'!E1020</f>
      </c>
      <c r="I1021">
        <f>'R.M Billets Reports'!F1020</f>
      </c>
      <c r="J1021">
        <f>'R.M Billets Reports'!G1020</f>
      </c>
      <c r="K1021">
        <f>'R.M Billets Reports'!H1020</f>
      </c>
      <c r="L1021">
        <f>IF('R.M Billets Reports'!I1020="","",'R.M Billets Reports'!I1020)</f>
      </c>
      <c r="M1021">
        <f t="shared" si="30"/>
      </c>
      <c r="N1021">
        <f>IF('R.M Billets Reports'!J1020="","",'R.M Billets Reports'!J1020)</f>
      </c>
      <c r="O1021">
        <f t="shared" si="31"/>
      </c>
      <c r="P1021">
        <f>IF('R.M Billets Reports'!A1020="SIZE",'R.M Billets Reports'!B1020,P1020)</f>
      </c>
    </row>
    <row r="1022" spans="1:16" x14ac:dyDescent="0.25">
      <c r="A1022">
        <f>IF(OR('R.M Billets Reports'!A1021="Date-",'R.M Billets Reports'!A1021="Date:-"),IF(IF(IF(ISNUMBER(SEARCH("Party Name:-",'R.M Billets Reports'!D1021)),TRIM('R.M Billets Reports'!F1021),IF(ISNUMBER(SEARCH("Party Name-",'R.M Billets Reports'!D1021)),TRIM(MID('R.M Billets Reports'!D1021,SEARCH("-",'R.M Billets Reports'!D1021)+1,200)),""))&lt;&gt;"",IF(ISNUMBER(SEARCH("Party Name:-",'R.M Billets Reports'!D1021)),TRIM('R.M Billets Reports'!F1021),IF(ISNUMBER(SEARCH("Party Name-",'R.M Billets Reports'!D1021)),TRIM(MID('R.M Billets Reports'!D1021,SEARCH("-",'R.M Billets Reports'!D1021)+1,200)),"")),IF(ISNUMBER(SEARCH("Party Name:-",'R.M Billets Reports'!D1022)),TRIM('R.M Billets Reports'!F1022),IF(ISNUMBER(SEARCH("Party Name-",'R.M Billets Reports'!D1022)),TRIM(MID('R.M Billets Reports'!D1022,SEARCH("-",'R.M Billets Reports'!D1022)+1,200)),"")))="VRKP ISPAT PVT LTD","VRKP",IF(IF(IF(ISNUMBER(SEARCH("Party Name:-",'R.M Billets Reports'!D1021)),TRIM('R.M Billets Reports'!F1021),IF(ISNUMBER(SEARCH("Party Name-",'R.M Billets Reports'!D1021)),TRIM(MID('R.M Billets Reports'!D1021,SEARCH("-",'R.M Billets Reports'!D1021)+1,200)),""))&lt;&gt;"",IF(ISNUMBER(SEARCH("Party Name:-",'R.M Billets Reports'!D1021)),TRIM('R.M Billets Reports'!F1021),IF(ISNUMBER(SEARCH("Party Name-",'R.M Billets Reports'!D1021)),TRIM(MID('R.M Billets Reports'!D1021,SEARCH("-",'R.M Billets Reports'!D1021)+1,200)),"")),IF(ISNUMBER(SEARCH("Party Name:-",'R.M Billets Reports'!D1022)),TRIM('R.M Billets Reports'!F1022),IF(ISNUMBER(SEARCH("Party Name-",'R.M Billets Reports'!D1022)),TRIM(MID('R.M Billets Reports'!D1022,SEARCH("-",'R.M Billets Reports'!D1022)+1,200)),"")))="SHRI RADHE","SHREE RADHE",IF(IF(IF(ISNUMBER(SEARCH("Party Name:-",'R.M Billets Reports'!D1021)),TRIM('R.M Billets Reports'!F1021),IF(ISNUMBER(SEARCH("Party Name-",'R.M Billets Reports'!D1021)),TRIM(MID('R.M Billets Reports'!D1021,SEARCH("-",'R.M Billets Reports'!D1021)+1,200)),""))&lt;&gt;"",IF(ISNUMBER(SEARCH("Party Name:-",'R.M Billets Reports'!D1021)),TRIM('R.M Billets Reports'!F1021),IF(ISNUMBER(SEARCH("Party Name-",'R.M Billets Reports'!D1021)),TRIM(MID('R.M Billets Reports'!D1021,SEARCH("-",'R.M Billets Reports'!D1021)+1,200)),"")),IF(ISNUMBER(SEARCH("Party Name:-",'R.M Billets Reports'!D1022)),TRIM('R.M Billets Reports'!F1022),IF(ISNUMBER(SEARCH("Party Name-",'R.M Billets Reports'!D1022)),TRIM(MID('R.M Billets Reports'!D1022,SEARCH("-",'R.M Billets Reports'!D1022)+1,200)),"")))="SHREE RADHE SHAKTI SPONGE AND POWER PVT. LTD.","SHREE RADHE",IF(IF(ISNUMBER(SEARCH("Party Name:-",'R.M Billets Reports'!D1021)),TRIM('R.M Billets Reports'!F1021),IF(ISNUMBER(SEARCH("Party Name-",'R.M Billets Reports'!D1021)),TRIM(MID('R.M Billets Reports'!D1021,SEARCH("-",'R.M Billets Reports'!D1021)+1,200)),""))&lt;&gt;"",IF(ISNUMBER(SEARCH("Party Name:-",'R.M Billets Reports'!D1021)),TRIM('R.M Billets Reports'!F1021),IF(ISNUMBER(SEARCH("Party Name-",'R.M Billets Reports'!D1021)),TRIM(MID('R.M Billets Reports'!D1021,SEARCH("-",'R.M Billets Reports'!D1021)+1,200)),"")),IF(ISNUMBER(SEARCH("Party Name:-",'R.M Billets Reports'!D1022)),TRIM('R.M Billets Reports'!F1022),IF(ISNUMBER(SEARCH("Party Name-",'R.M Billets Reports'!D1022)),TRIM(MID('R.M Billets Reports'!D1022,SEARCH("-",'R.M Billets Reports'!D1022)+1,200)),"")))))),IF(ROW()=2,"",A1021))</f>
      </c>
      <c r="B1022">
        <f>IF(OR('R.M Billets Reports'!A1021="Date-",'R.M Billets Reports'!A1021="Date:-"),'R.M Billets Reports'!B1021,IF(ROW()=2,"",B1021))</f>
      </c>
      <c r="C1022">
        <f>IF('R.M Billets Reports'!A1021="V.No.",'R.M Billets Reports'!B1021,IF(ROW()=2,"",C1021))</f>
      </c>
      <c r="D1022">
        <f>IF('R.M Billets Reports'!A1021&lt;&gt;"",'R.M Billets Reports'!A1021,IF(ROW()=2,"",D1021))</f>
      </c>
      <c r="E1022">
        <f>IF('R.M Billets Reports'!B1021="","",TRIM('R.M Billets Reports'!B1021))</f>
      </c>
      <c r="F1022">
        <f>'R.M Billets Reports'!C1021</f>
      </c>
      <c r="G1022">
        <f>'R.M Billets Reports'!D1021</f>
      </c>
      <c r="H1022">
        <f>'R.M Billets Reports'!E1021</f>
      </c>
      <c r="I1022">
        <f>'R.M Billets Reports'!F1021</f>
      </c>
      <c r="J1022">
        <f>'R.M Billets Reports'!G1021</f>
      </c>
      <c r="K1022">
        <f>'R.M Billets Reports'!H1021</f>
      </c>
      <c r="L1022">
        <f>IF('R.M Billets Reports'!I1021="","",'R.M Billets Reports'!I1021)</f>
      </c>
      <c r="M1022">
        <f t="shared" si="30"/>
      </c>
      <c r="N1022">
        <f>IF('R.M Billets Reports'!J1021="","",'R.M Billets Reports'!J1021)</f>
      </c>
      <c r="O1022">
        <f t="shared" si="31"/>
      </c>
      <c r="P1022">
        <f>IF('R.M Billets Reports'!A1021="SIZE",'R.M Billets Reports'!B1021,P1021)</f>
      </c>
    </row>
    <row r="1023" spans="1:16" x14ac:dyDescent="0.25">
      <c r="A1023">
        <f>IF(OR('R.M Billets Reports'!A1022="Date-",'R.M Billets Reports'!A1022="Date:-"),IF(IF(IF(ISNUMBER(SEARCH("Party Name:-",'R.M Billets Reports'!D1022)),TRIM('R.M Billets Reports'!F1022),IF(ISNUMBER(SEARCH("Party Name-",'R.M Billets Reports'!D1022)),TRIM(MID('R.M Billets Reports'!D1022,SEARCH("-",'R.M Billets Reports'!D1022)+1,200)),""))&lt;&gt;"",IF(ISNUMBER(SEARCH("Party Name:-",'R.M Billets Reports'!D1022)),TRIM('R.M Billets Reports'!F1022),IF(ISNUMBER(SEARCH("Party Name-",'R.M Billets Reports'!D1022)),TRIM(MID('R.M Billets Reports'!D1022,SEARCH("-",'R.M Billets Reports'!D1022)+1,200)),"")),IF(ISNUMBER(SEARCH("Party Name:-",'R.M Billets Reports'!D1023)),TRIM('R.M Billets Reports'!F1023),IF(ISNUMBER(SEARCH("Party Name-",'R.M Billets Reports'!D1023)),TRIM(MID('R.M Billets Reports'!D1023,SEARCH("-",'R.M Billets Reports'!D1023)+1,200)),"")))="VRKP ISPAT PVT LTD","VRKP",IF(IF(IF(ISNUMBER(SEARCH("Party Name:-",'R.M Billets Reports'!D1022)),TRIM('R.M Billets Reports'!F1022),IF(ISNUMBER(SEARCH("Party Name-",'R.M Billets Reports'!D1022)),TRIM(MID('R.M Billets Reports'!D1022,SEARCH("-",'R.M Billets Reports'!D1022)+1,200)),""))&lt;&gt;"",IF(ISNUMBER(SEARCH("Party Name:-",'R.M Billets Reports'!D1022)),TRIM('R.M Billets Reports'!F1022),IF(ISNUMBER(SEARCH("Party Name-",'R.M Billets Reports'!D1022)),TRIM(MID('R.M Billets Reports'!D1022,SEARCH("-",'R.M Billets Reports'!D1022)+1,200)),"")),IF(ISNUMBER(SEARCH("Party Name:-",'R.M Billets Reports'!D1023)),TRIM('R.M Billets Reports'!F1023),IF(ISNUMBER(SEARCH("Party Name-",'R.M Billets Reports'!D1023)),TRIM(MID('R.M Billets Reports'!D1023,SEARCH("-",'R.M Billets Reports'!D1023)+1,200)),"")))="SHRI RADHE","SHREE RADHE",IF(IF(IF(ISNUMBER(SEARCH("Party Name:-",'R.M Billets Reports'!D1022)),TRIM('R.M Billets Reports'!F1022),IF(ISNUMBER(SEARCH("Party Name-",'R.M Billets Reports'!D1022)),TRIM(MID('R.M Billets Reports'!D1022,SEARCH("-",'R.M Billets Reports'!D1022)+1,200)),""))&lt;&gt;"",IF(ISNUMBER(SEARCH("Party Name:-",'R.M Billets Reports'!D1022)),TRIM('R.M Billets Reports'!F1022),IF(ISNUMBER(SEARCH("Party Name-",'R.M Billets Reports'!D1022)),TRIM(MID('R.M Billets Reports'!D1022,SEARCH("-",'R.M Billets Reports'!D1022)+1,200)),"")),IF(ISNUMBER(SEARCH("Party Name:-",'R.M Billets Reports'!D1023)),TRIM('R.M Billets Reports'!F1023),IF(ISNUMBER(SEARCH("Party Name-",'R.M Billets Reports'!D1023)),TRIM(MID('R.M Billets Reports'!D1023,SEARCH("-",'R.M Billets Reports'!D1023)+1,200)),"")))="SHREE RADHE SHAKTI SPONGE AND POWER PVT. LTD.","SHREE RADHE",IF(IF(ISNUMBER(SEARCH("Party Name:-",'R.M Billets Reports'!D1022)),TRIM('R.M Billets Reports'!F1022),IF(ISNUMBER(SEARCH("Party Name-",'R.M Billets Reports'!D1022)),TRIM(MID('R.M Billets Reports'!D1022,SEARCH("-",'R.M Billets Reports'!D1022)+1,200)),""))&lt;&gt;"",IF(ISNUMBER(SEARCH("Party Name:-",'R.M Billets Reports'!D1022)),TRIM('R.M Billets Reports'!F1022),IF(ISNUMBER(SEARCH("Party Name-",'R.M Billets Reports'!D1022)),TRIM(MID('R.M Billets Reports'!D1022,SEARCH("-",'R.M Billets Reports'!D1022)+1,200)),"")),IF(ISNUMBER(SEARCH("Party Name:-",'R.M Billets Reports'!D1023)),TRIM('R.M Billets Reports'!F1023),IF(ISNUMBER(SEARCH("Party Name-",'R.M Billets Reports'!D1023)),TRIM(MID('R.M Billets Reports'!D1023,SEARCH("-",'R.M Billets Reports'!D1023)+1,200)),"")))))),IF(ROW()=2,"",A1022))</f>
      </c>
      <c r="B1023">
        <f>IF(OR('R.M Billets Reports'!A1022="Date-",'R.M Billets Reports'!A1022="Date:-"),'R.M Billets Reports'!B1022,IF(ROW()=2,"",B1022))</f>
      </c>
      <c r="C1023">
        <f>IF('R.M Billets Reports'!A1022="V.No.",'R.M Billets Reports'!B1022,IF(ROW()=2,"",C1022))</f>
      </c>
      <c r="D1023">
        <f>IF('R.M Billets Reports'!A1022&lt;&gt;"",'R.M Billets Reports'!A1022,IF(ROW()=2,"",D1022))</f>
      </c>
      <c r="E1023">
        <f>IF('R.M Billets Reports'!B1022="","",TRIM('R.M Billets Reports'!B1022))</f>
      </c>
      <c r="F1023">
        <f>'R.M Billets Reports'!C1022</f>
      </c>
      <c r="G1023">
        <f>'R.M Billets Reports'!D1022</f>
      </c>
      <c r="H1023">
        <f>'R.M Billets Reports'!E1022</f>
      </c>
      <c r="I1023">
        <f>'R.M Billets Reports'!F1022</f>
      </c>
      <c r="J1023">
        <f>'R.M Billets Reports'!G1022</f>
      </c>
      <c r="K1023">
        <f>'R.M Billets Reports'!H1022</f>
      </c>
      <c r="L1023">
        <f>IF('R.M Billets Reports'!I1022="","",'R.M Billets Reports'!I1022)</f>
      </c>
      <c r="M1023">
        <f t="shared" si="30"/>
      </c>
      <c r="N1023">
        <f>IF('R.M Billets Reports'!J1022="","",'R.M Billets Reports'!J1022)</f>
      </c>
      <c r="O1023">
        <f t="shared" si="31"/>
      </c>
      <c r="P1023">
        <f>IF('R.M Billets Reports'!A1022="SIZE",'R.M Billets Reports'!B1022,P1022)</f>
      </c>
    </row>
    <row r="1024" spans="1:16" x14ac:dyDescent="0.25">
      <c r="A1024">
        <f>IF(OR('R.M Billets Reports'!A1023="Date-",'R.M Billets Reports'!A1023="Date:-"),IF(IF(IF(ISNUMBER(SEARCH("Party Name:-",'R.M Billets Reports'!D1023)),TRIM('R.M Billets Reports'!F1023),IF(ISNUMBER(SEARCH("Party Name-",'R.M Billets Reports'!D1023)),TRIM(MID('R.M Billets Reports'!D1023,SEARCH("-",'R.M Billets Reports'!D1023)+1,200)),""))&lt;&gt;"",IF(ISNUMBER(SEARCH("Party Name:-",'R.M Billets Reports'!D1023)),TRIM('R.M Billets Reports'!F1023),IF(ISNUMBER(SEARCH("Party Name-",'R.M Billets Reports'!D1023)),TRIM(MID('R.M Billets Reports'!D1023,SEARCH("-",'R.M Billets Reports'!D1023)+1,200)),"")),IF(ISNUMBER(SEARCH("Party Name:-",'R.M Billets Reports'!D1024)),TRIM('R.M Billets Reports'!F1024),IF(ISNUMBER(SEARCH("Party Name-",'R.M Billets Reports'!D1024)),TRIM(MID('R.M Billets Reports'!D1024,SEARCH("-",'R.M Billets Reports'!D1024)+1,200)),"")))="VRKP ISPAT PVT LTD","VRKP",IF(IF(IF(ISNUMBER(SEARCH("Party Name:-",'R.M Billets Reports'!D1023)),TRIM('R.M Billets Reports'!F1023),IF(ISNUMBER(SEARCH("Party Name-",'R.M Billets Reports'!D1023)),TRIM(MID('R.M Billets Reports'!D1023,SEARCH("-",'R.M Billets Reports'!D1023)+1,200)),""))&lt;&gt;"",IF(ISNUMBER(SEARCH("Party Name:-",'R.M Billets Reports'!D1023)),TRIM('R.M Billets Reports'!F1023),IF(ISNUMBER(SEARCH("Party Name-",'R.M Billets Reports'!D1023)),TRIM(MID('R.M Billets Reports'!D1023,SEARCH("-",'R.M Billets Reports'!D1023)+1,200)),"")),IF(ISNUMBER(SEARCH("Party Name:-",'R.M Billets Reports'!D1024)),TRIM('R.M Billets Reports'!F1024),IF(ISNUMBER(SEARCH("Party Name-",'R.M Billets Reports'!D1024)),TRIM(MID('R.M Billets Reports'!D1024,SEARCH("-",'R.M Billets Reports'!D1024)+1,200)),"")))="SHRI RADHE","SHREE RADHE",IF(IF(IF(ISNUMBER(SEARCH("Party Name:-",'R.M Billets Reports'!D1023)),TRIM('R.M Billets Reports'!F1023),IF(ISNUMBER(SEARCH("Party Name-",'R.M Billets Reports'!D1023)),TRIM(MID('R.M Billets Reports'!D1023,SEARCH("-",'R.M Billets Reports'!D1023)+1,200)),""))&lt;&gt;"",IF(ISNUMBER(SEARCH("Party Name:-",'R.M Billets Reports'!D1023)),TRIM('R.M Billets Reports'!F1023),IF(ISNUMBER(SEARCH("Party Name-",'R.M Billets Reports'!D1023)),TRIM(MID('R.M Billets Reports'!D1023,SEARCH("-",'R.M Billets Reports'!D1023)+1,200)),"")),IF(ISNUMBER(SEARCH("Party Name:-",'R.M Billets Reports'!D1024)),TRIM('R.M Billets Reports'!F1024),IF(ISNUMBER(SEARCH("Party Name-",'R.M Billets Reports'!D1024)),TRIM(MID('R.M Billets Reports'!D1024,SEARCH("-",'R.M Billets Reports'!D1024)+1,200)),"")))="SHREE RADHE SHAKTI SPONGE AND POWER PVT. LTD.","SHREE RADHE",IF(IF(ISNUMBER(SEARCH("Party Name:-",'R.M Billets Reports'!D1023)),TRIM('R.M Billets Reports'!F1023),IF(ISNUMBER(SEARCH("Party Name-",'R.M Billets Reports'!D1023)),TRIM(MID('R.M Billets Reports'!D1023,SEARCH("-",'R.M Billets Reports'!D1023)+1,200)),""))&lt;&gt;"",IF(ISNUMBER(SEARCH("Party Name:-",'R.M Billets Reports'!D1023)),TRIM('R.M Billets Reports'!F1023),IF(ISNUMBER(SEARCH("Party Name-",'R.M Billets Reports'!D1023)),TRIM(MID('R.M Billets Reports'!D1023,SEARCH("-",'R.M Billets Reports'!D1023)+1,200)),"")),IF(ISNUMBER(SEARCH("Party Name:-",'R.M Billets Reports'!D1024)),TRIM('R.M Billets Reports'!F1024),IF(ISNUMBER(SEARCH("Party Name-",'R.M Billets Reports'!D1024)),TRIM(MID('R.M Billets Reports'!D1024,SEARCH("-",'R.M Billets Reports'!D1024)+1,200)),"")))))),IF(ROW()=2,"",A1023))</f>
      </c>
      <c r="B1024">
        <f>IF(OR('R.M Billets Reports'!A1023="Date-",'R.M Billets Reports'!A1023="Date:-"),'R.M Billets Reports'!B1023,IF(ROW()=2,"",B1023))</f>
      </c>
      <c r="C1024">
        <f>IF('R.M Billets Reports'!A1023="V.No.",'R.M Billets Reports'!B1023,IF(ROW()=2,"",C1023))</f>
      </c>
      <c r="D1024">
        <f>IF('R.M Billets Reports'!A1023&lt;&gt;"",'R.M Billets Reports'!A1023,IF(ROW()=2,"",D1023))</f>
      </c>
      <c r="E1024">
        <f>IF('R.M Billets Reports'!B1023="","",TRIM('R.M Billets Reports'!B1023))</f>
      </c>
      <c r="F1024">
        <f>'R.M Billets Reports'!C1023</f>
      </c>
      <c r="G1024">
        <f>'R.M Billets Reports'!D1023</f>
      </c>
      <c r="H1024">
        <f>'R.M Billets Reports'!E1023</f>
      </c>
      <c r="I1024">
        <f>'R.M Billets Reports'!F1023</f>
      </c>
      <c r="J1024">
        <f>'R.M Billets Reports'!G1023</f>
      </c>
      <c r="K1024">
        <f>'R.M Billets Reports'!H1023</f>
      </c>
      <c r="L1024">
        <f>IF('R.M Billets Reports'!I1023="","",'R.M Billets Reports'!I1023)</f>
      </c>
      <c r="M1024">
        <f t="shared" si="30"/>
      </c>
      <c r="N1024">
        <f>IF('R.M Billets Reports'!J1023="","",'R.M Billets Reports'!J1023)</f>
      </c>
      <c r="O1024">
        <f t="shared" si="31"/>
      </c>
      <c r="P1024">
        <f>IF('R.M Billets Reports'!A1023="SIZE",'R.M Billets Reports'!B1023,P1023)</f>
      </c>
    </row>
    <row r="1025" spans="1:16" x14ac:dyDescent="0.25">
      <c r="A1025">
        <f>IF(OR('R.M Billets Reports'!A1024="Date-",'R.M Billets Reports'!A1024="Date:-"),IF(IF(IF(ISNUMBER(SEARCH("Party Name:-",'R.M Billets Reports'!D1024)),TRIM('R.M Billets Reports'!F1024),IF(ISNUMBER(SEARCH("Party Name-",'R.M Billets Reports'!D1024)),TRIM(MID('R.M Billets Reports'!D1024,SEARCH("-",'R.M Billets Reports'!D1024)+1,200)),""))&lt;&gt;"",IF(ISNUMBER(SEARCH("Party Name:-",'R.M Billets Reports'!D1024)),TRIM('R.M Billets Reports'!F1024),IF(ISNUMBER(SEARCH("Party Name-",'R.M Billets Reports'!D1024)),TRIM(MID('R.M Billets Reports'!D1024,SEARCH("-",'R.M Billets Reports'!D1024)+1,200)),"")),IF(ISNUMBER(SEARCH("Party Name:-",'R.M Billets Reports'!D1025)),TRIM('R.M Billets Reports'!F1025),IF(ISNUMBER(SEARCH("Party Name-",'R.M Billets Reports'!D1025)),TRIM(MID('R.M Billets Reports'!D1025,SEARCH("-",'R.M Billets Reports'!D1025)+1,200)),"")))="VRKP ISPAT PVT LTD","VRKP",IF(IF(IF(ISNUMBER(SEARCH("Party Name:-",'R.M Billets Reports'!D1024)),TRIM('R.M Billets Reports'!F1024),IF(ISNUMBER(SEARCH("Party Name-",'R.M Billets Reports'!D1024)),TRIM(MID('R.M Billets Reports'!D1024,SEARCH("-",'R.M Billets Reports'!D1024)+1,200)),""))&lt;&gt;"",IF(ISNUMBER(SEARCH("Party Name:-",'R.M Billets Reports'!D1024)),TRIM('R.M Billets Reports'!F1024),IF(ISNUMBER(SEARCH("Party Name-",'R.M Billets Reports'!D1024)),TRIM(MID('R.M Billets Reports'!D1024,SEARCH("-",'R.M Billets Reports'!D1024)+1,200)),"")),IF(ISNUMBER(SEARCH("Party Name:-",'R.M Billets Reports'!D1025)),TRIM('R.M Billets Reports'!F1025),IF(ISNUMBER(SEARCH("Party Name-",'R.M Billets Reports'!D1025)),TRIM(MID('R.M Billets Reports'!D1025,SEARCH("-",'R.M Billets Reports'!D1025)+1,200)),"")))="SHRI RADHE","SHREE RADHE",IF(IF(IF(ISNUMBER(SEARCH("Party Name:-",'R.M Billets Reports'!D1024)),TRIM('R.M Billets Reports'!F1024),IF(ISNUMBER(SEARCH("Party Name-",'R.M Billets Reports'!D1024)),TRIM(MID('R.M Billets Reports'!D1024,SEARCH("-",'R.M Billets Reports'!D1024)+1,200)),""))&lt;&gt;"",IF(ISNUMBER(SEARCH("Party Name:-",'R.M Billets Reports'!D1024)),TRIM('R.M Billets Reports'!F1024),IF(ISNUMBER(SEARCH("Party Name-",'R.M Billets Reports'!D1024)),TRIM(MID('R.M Billets Reports'!D1024,SEARCH("-",'R.M Billets Reports'!D1024)+1,200)),"")),IF(ISNUMBER(SEARCH("Party Name:-",'R.M Billets Reports'!D1025)),TRIM('R.M Billets Reports'!F1025),IF(ISNUMBER(SEARCH("Party Name-",'R.M Billets Reports'!D1025)),TRIM(MID('R.M Billets Reports'!D1025,SEARCH("-",'R.M Billets Reports'!D1025)+1,200)),"")))="SHREE RADHE SHAKTI SPONGE AND POWER PVT. LTD.","SHREE RADHE",IF(IF(ISNUMBER(SEARCH("Party Name:-",'R.M Billets Reports'!D1024)),TRIM('R.M Billets Reports'!F1024),IF(ISNUMBER(SEARCH("Party Name-",'R.M Billets Reports'!D1024)),TRIM(MID('R.M Billets Reports'!D1024,SEARCH("-",'R.M Billets Reports'!D1024)+1,200)),""))&lt;&gt;"",IF(ISNUMBER(SEARCH("Party Name:-",'R.M Billets Reports'!D1024)),TRIM('R.M Billets Reports'!F1024),IF(ISNUMBER(SEARCH("Party Name-",'R.M Billets Reports'!D1024)),TRIM(MID('R.M Billets Reports'!D1024,SEARCH("-",'R.M Billets Reports'!D1024)+1,200)),"")),IF(ISNUMBER(SEARCH("Party Name:-",'R.M Billets Reports'!D1025)),TRIM('R.M Billets Reports'!F1025),IF(ISNUMBER(SEARCH("Party Name-",'R.M Billets Reports'!D1025)),TRIM(MID('R.M Billets Reports'!D1025,SEARCH("-",'R.M Billets Reports'!D1025)+1,200)),"")))))),IF(ROW()=2,"",A1024))</f>
      </c>
      <c r="B1025">
        <f>IF(OR('R.M Billets Reports'!A1024="Date-",'R.M Billets Reports'!A1024="Date:-"),'R.M Billets Reports'!B1024,IF(ROW()=2,"",B1024))</f>
      </c>
      <c r="C1025">
        <f>IF('R.M Billets Reports'!A1024="V.No.",'R.M Billets Reports'!B1024,IF(ROW()=2,"",C1024))</f>
      </c>
      <c r="D1025">
        <f>IF('R.M Billets Reports'!A1024&lt;&gt;"",'R.M Billets Reports'!A1024,IF(ROW()=2,"",D1024))</f>
      </c>
      <c r="E1025">
        <f>IF('R.M Billets Reports'!B1024="","",TRIM('R.M Billets Reports'!B1024))</f>
      </c>
      <c r="F1025">
        <f>'R.M Billets Reports'!C1024</f>
      </c>
      <c r="G1025">
        <f>'R.M Billets Reports'!D1024</f>
      </c>
      <c r="H1025">
        <f>'R.M Billets Reports'!E1024</f>
      </c>
      <c r="I1025">
        <f>'R.M Billets Reports'!F1024</f>
      </c>
      <c r="J1025">
        <f>'R.M Billets Reports'!G1024</f>
      </c>
      <c r="K1025">
        <f>'R.M Billets Reports'!H1024</f>
      </c>
      <c r="L1025">
        <f>IF('R.M Billets Reports'!I1024="","",'R.M Billets Reports'!I1024)</f>
      </c>
      <c r="M1025">
        <f t="shared" si="30"/>
      </c>
      <c r="N1025">
        <f>IF('R.M Billets Reports'!J1024="","",'R.M Billets Reports'!J1024)</f>
      </c>
      <c r="O1025">
        <f t="shared" si="31"/>
      </c>
      <c r="P1025">
        <f>IF('R.M Billets Reports'!A1024="SIZE",'R.M Billets Reports'!B1024,P1024)</f>
      </c>
    </row>
    <row r="1026" spans="1:16" x14ac:dyDescent="0.25">
      <c r="A1026">
        <f>IF(OR('R.M Billets Reports'!A1025="Date-",'R.M Billets Reports'!A1025="Date:-"),IF(IF(IF(ISNUMBER(SEARCH("Party Name:-",'R.M Billets Reports'!D1025)),TRIM('R.M Billets Reports'!F1025),IF(ISNUMBER(SEARCH("Party Name-",'R.M Billets Reports'!D1025)),TRIM(MID('R.M Billets Reports'!D1025,SEARCH("-",'R.M Billets Reports'!D1025)+1,200)),""))&lt;&gt;"",IF(ISNUMBER(SEARCH("Party Name:-",'R.M Billets Reports'!D1025)),TRIM('R.M Billets Reports'!F1025),IF(ISNUMBER(SEARCH("Party Name-",'R.M Billets Reports'!D1025)),TRIM(MID('R.M Billets Reports'!D1025,SEARCH("-",'R.M Billets Reports'!D1025)+1,200)),"")),IF(ISNUMBER(SEARCH("Party Name:-",'R.M Billets Reports'!D1026)),TRIM('R.M Billets Reports'!F1026),IF(ISNUMBER(SEARCH("Party Name-",'R.M Billets Reports'!D1026)),TRIM(MID('R.M Billets Reports'!D1026,SEARCH("-",'R.M Billets Reports'!D1026)+1,200)),"")))="VRKP ISPAT PVT LTD","VRKP",IF(IF(IF(ISNUMBER(SEARCH("Party Name:-",'R.M Billets Reports'!D1025)),TRIM('R.M Billets Reports'!F1025),IF(ISNUMBER(SEARCH("Party Name-",'R.M Billets Reports'!D1025)),TRIM(MID('R.M Billets Reports'!D1025,SEARCH("-",'R.M Billets Reports'!D1025)+1,200)),""))&lt;&gt;"",IF(ISNUMBER(SEARCH("Party Name:-",'R.M Billets Reports'!D1025)),TRIM('R.M Billets Reports'!F1025),IF(ISNUMBER(SEARCH("Party Name-",'R.M Billets Reports'!D1025)),TRIM(MID('R.M Billets Reports'!D1025,SEARCH("-",'R.M Billets Reports'!D1025)+1,200)),"")),IF(ISNUMBER(SEARCH("Party Name:-",'R.M Billets Reports'!D1026)),TRIM('R.M Billets Reports'!F1026),IF(ISNUMBER(SEARCH("Party Name-",'R.M Billets Reports'!D1026)),TRIM(MID('R.M Billets Reports'!D1026,SEARCH("-",'R.M Billets Reports'!D1026)+1,200)),"")))="SHRI RADHE","SHREE RADHE",IF(IF(IF(ISNUMBER(SEARCH("Party Name:-",'R.M Billets Reports'!D1025)),TRIM('R.M Billets Reports'!F1025),IF(ISNUMBER(SEARCH("Party Name-",'R.M Billets Reports'!D1025)),TRIM(MID('R.M Billets Reports'!D1025,SEARCH("-",'R.M Billets Reports'!D1025)+1,200)),""))&lt;&gt;"",IF(ISNUMBER(SEARCH("Party Name:-",'R.M Billets Reports'!D1025)),TRIM('R.M Billets Reports'!F1025),IF(ISNUMBER(SEARCH("Party Name-",'R.M Billets Reports'!D1025)),TRIM(MID('R.M Billets Reports'!D1025,SEARCH("-",'R.M Billets Reports'!D1025)+1,200)),"")),IF(ISNUMBER(SEARCH("Party Name:-",'R.M Billets Reports'!D1026)),TRIM('R.M Billets Reports'!F1026),IF(ISNUMBER(SEARCH("Party Name-",'R.M Billets Reports'!D1026)),TRIM(MID('R.M Billets Reports'!D1026,SEARCH("-",'R.M Billets Reports'!D1026)+1,200)),"")))="SHREE RADHE SHAKTI SPONGE AND POWER PVT. LTD.","SHREE RADHE",IF(IF(ISNUMBER(SEARCH("Party Name:-",'R.M Billets Reports'!D1025)),TRIM('R.M Billets Reports'!F1025),IF(ISNUMBER(SEARCH("Party Name-",'R.M Billets Reports'!D1025)),TRIM(MID('R.M Billets Reports'!D1025,SEARCH("-",'R.M Billets Reports'!D1025)+1,200)),""))&lt;&gt;"",IF(ISNUMBER(SEARCH("Party Name:-",'R.M Billets Reports'!D1025)),TRIM('R.M Billets Reports'!F1025),IF(ISNUMBER(SEARCH("Party Name-",'R.M Billets Reports'!D1025)),TRIM(MID('R.M Billets Reports'!D1025,SEARCH("-",'R.M Billets Reports'!D1025)+1,200)),"")),IF(ISNUMBER(SEARCH("Party Name:-",'R.M Billets Reports'!D1026)),TRIM('R.M Billets Reports'!F1026),IF(ISNUMBER(SEARCH("Party Name-",'R.M Billets Reports'!D1026)),TRIM(MID('R.M Billets Reports'!D1026,SEARCH("-",'R.M Billets Reports'!D1026)+1,200)),"")))))),IF(ROW()=2,"",A1025))</f>
      </c>
      <c r="B1026">
        <f>IF(OR('R.M Billets Reports'!A1025="Date-",'R.M Billets Reports'!A1025="Date:-"),'R.M Billets Reports'!B1025,IF(ROW()=2,"",B1025))</f>
      </c>
      <c r="C1026">
        <f>IF('R.M Billets Reports'!A1025="V.No.",'R.M Billets Reports'!B1025,IF(ROW()=2,"",C1025))</f>
      </c>
      <c r="D1026">
        <f>IF('R.M Billets Reports'!A1025&lt;&gt;"",'R.M Billets Reports'!A1025,IF(ROW()=2,"",D1025))</f>
      </c>
      <c r="E1026">
        <f>IF('R.M Billets Reports'!B1025="","",TRIM('R.M Billets Reports'!B1025))</f>
      </c>
      <c r="F1026">
        <f>'R.M Billets Reports'!C1025</f>
      </c>
      <c r="G1026">
        <f>'R.M Billets Reports'!D1025</f>
      </c>
      <c r="H1026">
        <f>'R.M Billets Reports'!E1025</f>
      </c>
      <c r="I1026">
        <f>'R.M Billets Reports'!F1025</f>
      </c>
      <c r="J1026">
        <f>'R.M Billets Reports'!G1025</f>
      </c>
      <c r="K1026">
        <f>'R.M Billets Reports'!H1025</f>
      </c>
      <c r="L1026">
        <f>IF('R.M Billets Reports'!I1025="","",'R.M Billets Reports'!I1025)</f>
      </c>
      <c r="M1026">
        <f t="shared" si="30"/>
      </c>
      <c r="N1026">
        <f>IF('R.M Billets Reports'!J1025="","",'R.M Billets Reports'!J1025)</f>
      </c>
      <c r="O1026">
        <f t="shared" si="31"/>
      </c>
      <c r="P1026">
        <f>IF('R.M Billets Reports'!A1025="SIZE",'R.M Billets Reports'!B1025,P1025)</f>
      </c>
    </row>
    <row r="1027" spans="1:16" x14ac:dyDescent="0.25">
      <c r="A1027">
        <f>IF(OR('R.M Billets Reports'!A1026="Date-",'R.M Billets Reports'!A1026="Date:-"),IF(IF(IF(ISNUMBER(SEARCH("Party Name:-",'R.M Billets Reports'!D1026)),TRIM('R.M Billets Reports'!F1026),IF(ISNUMBER(SEARCH("Party Name-",'R.M Billets Reports'!D1026)),TRIM(MID('R.M Billets Reports'!D1026,SEARCH("-",'R.M Billets Reports'!D1026)+1,200)),""))&lt;&gt;"",IF(ISNUMBER(SEARCH("Party Name:-",'R.M Billets Reports'!D1026)),TRIM('R.M Billets Reports'!F1026),IF(ISNUMBER(SEARCH("Party Name-",'R.M Billets Reports'!D1026)),TRIM(MID('R.M Billets Reports'!D1026,SEARCH("-",'R.M Billets Reports'!D1026)+1,200)),"")),IF(ISNUMBER(SEARCH("Party Name:-",'R.M Billets Reports'!D1027)),TRIM('R.M Billets Reports'!F1027),IF(ISNUMBER(SEARCH("Party Name-",'R.M Billets Reports'!D1027)),TRIM(MID('R.M Billets Reports'!D1027,SEARCH("-",'R.M Billets Reports'!D1027)+1,200)),"")))="VRKP ISPAT PVT LTD","VRKP",IF(IF(IF(ISNUMBER(SEARCH("Party Name:-",'R.M Billets Reports'!D1026)),TRIM('R.M Billets Reports'!F1026),IF(ISNUMBER(SEARCH("Party Name-",'R.M Billets Reports'!D1026)),TRIM(MID('R.M Billets Reports'!D1026,SEARCH("-",'R.M Billets Reports'!D1026)+1,200)),""))&lt;&gt;"",IF(ISNUMBER(SEARCH("Party Name:-",'R.M Billets Reports'!D1026)),TRIM('R.M Billets Reports'!F1026),IF(ISNUMBER(SEARCH("Party Name-",'R.M Billets Reports'!D1026)),TRIM(MID('R.M Billets Reports'!D1026,SEARCH("-",'R.M Billets Reports'!D1026)+1,200)),"")),IF(ISNUMBER(SEARCH("Party Name:-",'R.M Billets Reports'!D1027)),TRIM('R.M Billets Reports'!F1027),IF(ISNUMBER(SEARCH("Party Name-",'R.M Billets Reports'!D1027)),TRIM(MID('R.M Billets Reports'!D1027,SEARCH("-",'R.M Billets Reports'!D1027)+1,200)),"")))="SHRI RADHE","SHREE RADHE",IF(IF(IF(ISNUMBER(SEARCH("Party Name:-",'R.M Billets Reports'!D1026)),TRIM('R.M Billets Reports'!F1026),IF(ISNUMBER(SEARCH("Party Name-",'R.M Billets Reports'!D1026)),TRIM(MID('R.M Billets Reports'!D1026,SEARCH("-",'R.M Billets Reports'!D1026)+1,200)),""))&lt;&gt;"",IF(ISNUMBER(SEARCH("Party Name:-",'R.M Billets Reports'!D1026)),TRIM('R.M Billets Reports'!F1026),IF(ISNUMBER(SEARCH("Party Name-",'R.M Billets Reports'!D1026)),TRIM(MID('R.M Billets Reports'!D1026,SEARCH("-",'R.M Billets Reports'!D1026)+1,200)),"")),IF(ISNUMBER(SEARCH("Party Name:-",'R.M Billets Reports'!D1027)),TRIM('R.M Billets Reports'!F1027),IF(ISNUMBER(SEARCH("Party Name-",'R.M Billets Reports'!D1027)),TRIM(MID('R.M Billets Reports'!D1027,SEARCH("-",'R.M Billets Reports'!D1027)+1,200)),"")))="SHREE RADHE SHAKTI SPONGE AND POWER PVT. LTD.","SHREE RADHE",IF(IF(ISNUMBER(SEARCH("Party Name:-",'R.M Billets Reports'!D1026)),TRIM('R.M Billets Reports'!F1026),IF(ISNUMBER(SEARCH("Party Name-",'R.M Billets Reports'!D1026)),TRIM(MID('R.M Billets Reports'!D1026,SEARCH("-",'R.M Billets Reports'!D1026)+1,200)),""))&lt;&gt;"",IF(ISNUMBER(SEARCH("Party Name:-",'R.M Billets Reports'!D1026)),TRIM('R.M Billets Reports'!F1026),IF(ISNUMBER(SEARCH("Party Name-",'R.M Billets Reports'!D1026)),TRIM(MID('R.M Billets Reports'!D1026,SEARCH("-",'R.M Billets Reports'!D1026)+1,200)),"")),IF(ISNUMBER(SEARCH("Party Name:-",'R.M Billets Reports'!D1027)),TRIM('R.M Billets Reports'!F1027),IF(ISNUMBER(SEARCH("Party Name-",'R.M Billets Reports'!D1027)),TRIM(MID('R.M Billets Reports'!D1027,SEARCH("-",'R.M Billets Reports'!D1027)+1,200)),"")))))),IF(ROW()=2,"",A1026))</f>
      </c>
      <c r="B1027">
        <f>IF(OR('R.M Billets Reports'!A1026="Date-",'R.M Billets Reports'!A1026="Date:-"),'R.M Billets Reports'!B1026,IF(ROW()=2,"",B1026))</f>
      </c>
      <c r="C1027">
        <f>IF('R.M Billets Reports'!A1026="V.No.",'R.M Billets Reports'!B1026,IF(ROW()=2,"",C1026))</f>
      </c>
      <c r="D1027">
        <f>IF('R.M Billets Reports'!A1026&lt;&gt;"",'R.M Billets Reports'!A1026,IF(ROW()=2,"",D1026))</f>
      </c>
      <c r="E1027">
        <f>IF('R.M Billets Reports'!B1026="","",TRIM('R.M Billets Reports'!B1026))</f>
      </c>
      <c r="F1027">
        <f>'R.M Billets Reports'!C1026</f>
      </c>
      <c r="G1027">
        <f>'R.M Billets Reports'!D1026</f>
      </c>
      <c r="H1027">
        <f>'R.M Billets Reports'!E1026</f>
      </c>
      <c r="I1027">
        <f>'R.M Billets Reports'!F1026</f>
      </c>
      <c r="J1027">
        <f>'R.M Billets Reports'!G1026</f>
      </c>
      <c r="K1027">
        <f>'R.M Billets Reports'!H1026</f>
      </c>
      <c r="L1027">
        <f>IF('R.M Billets Reports'!I1026="","",'R.M Billets Reports'!I1026)</f>
      </c>
      <c r="M1027">
        <f t="shared" ref="M1027:M1090" si="32">IF(L1027&lt;&gt;"",L1027,IF(D1027=D1026,M1026,""))</f>
      </c>
      <c r="N1027">
        <f>IF('R.M Billets Reports'!J1026="","",'R.M Billets Reports'!J1026)</f>
      </c>
      <c r="O1027">
        <f t="shared" ref="O1027:O1090" si="33">IF(N1027&lt;&gt;"",N1027,IF(D1027=D1026,O1026,""))</f>
      </c>
      <c r="P1027">
        <f>IF('R.M Billets Reports'!A1026="SIZE",'R.M Billets Reports'!B1026,P1026)</f>
      </c>
    </row>
    <row r="1028" spans="1:16" x14ac:dyDescent="0.25">
      <c r="A1028">
        <f>IF(OR('R.M Billets Reports'!A1027="Date-",'R.M Billets Reports'!A1027="Date:-"),IF(IF(IF(ISNUMBER(SEARCH("Party Name:-",'R.M Billets Reports'!D1027)),TRIM('R.M Billets Reports'!F1027),IF(ISNUMBER(SEARCH("Party Name-",'R.M Billets Reports'!D1027)),TRIM(MID('R.M Billets Reports'!D1027,SEARCH("-",'R.M Billets Reports'!D1027)+1,200)),""))&lt;&gt;"",IF(ISNUMBER(SEARCH("Party Name:-",'R.M Billets Reports'!D1027)),TRIM('R.M Billets Reports'!F1027),IF(ISNUMBER(SEARCH("Party Name-",'R.M Billets Reports'!D1027)),TRIM(MID('R.M Billets Reports'!D1027,SEARCH("-",'R.M Billets Reports'!D1027)+1,200)),"")),IF(ISNUMBER(SEARCH("Party Name:-",'R.M Billets Reports'!D1028)),TRIM('R.M Billets Reports'!F1028),IF(ISNUMBER(SEARCH("Party Name-",'R.M Billets Reports'!D1028)),TRIM(MID('R.M Billets Reports'!D1028,SEARCH("-",'R.M Billets Reports'!D1028)+1,200)),"")))="VRKP ISPAT PVT LTD","VRKP",IF(IF(IF(ISNUMBER(SEARCH("Party Name:-",'R.M Billets Reports'!D1027)),TRIM('R.M Billets Reports'!F1027),IF(ISNUMBER(SEARCH("Party Name-",'R.M Billets Reports'!D1027)),TRIM(MID('R.M Billets Reports'!D1027,SEARCH("-",'R.M Billets Reports'!D1027)+1,200)),""))&lt;&gt;"",IF(ISNUMBER(SEARCH("Party Name:-",'R.M Billets Reports'!D1027)),TRIM('R.M Billets Reports'!F1027),IF(ISNUMBER(SEARCH("Party Name-",'R.M Billets Reports'!D1027)),TRIM(MID('R.M Billets Reports'!D1027,SEARCH("-",'R.M Billets Reports'!D1027)+1,200)),"")),IF(ISNUMBER(SEARCH("Party Name:-",'R.M Billets Reports'!D1028)),TRIM('R.M Billets Reports'!F1028),IF(ISNUMBER(SEARCH("Party Name-",'R.M Billets Reports'!D1028)),TRIM(MID('R.M Billets Reports'!D1028,SEARCH("-",'R.M Billets Reports'!D1028)+1,200)),"")))="SHRI RADHE","SHREE RADHE",IF(IF(IF(ISNUMBER(SEARCH("Party Name:-",'R.M Billets Reports'!D1027)),TRIM('R.M Billets Reports'!F1027),IF(ISNUMBER(SEARCH("Party Name-",'R.M Billets Reports'!D1027)),TRIM(MID('R.M Billets Reports'!D1027,SEARCH("-",'R.M Billets Reports'!D1027)+1,200)),""))&lt;&gt;"",IF(ISNUMBER(SEARCH("Party Name:-",'R.M Billets Reports'!D1027)),TRIM('R.M Billets Reports'!F1027),IF(ISNUMBER(SEARCH("Party Name-",'R.M Billets Reports'!D1027)),TRIM(MID('R.M Billets Reports'!D1027,SEARCH("-",'R.M Billets Reports'!D1027)+1,200)),"")),IF(ISNUMBER(SEARCH("Party Name:-",'R.M Billets Reports'!D1028)),TRIM('R.M Billets Reports'!F1028),IF(ISNUMBER(SEARCH("Party Name-",'R.M Billets Reports'!D1028)),TRIM(MID('R.M Billets Reports'!D1028,SEARCH("-",'R.M Billets Reports'!D1028)+1,200)),"")))="SHREE RADHE SHAKTI SPONGE AND POWER PVT. LTD.","SHREE RADHE",IF(IF(ISNUMBER(SEARCH("Party Name:-",'R.M Billets Reports'!D1027)),TRIM('R.M Billets Reports'!F1027),IF(ISNUMBER(SEARCH("Party Name-",'R.M Billets Reports'!D1027)),TRIM(MID('R.M Billets Reports'!D1027,SEARCH("-",'R.M Billets Reports'!D1027)+1,200)),""))&lt;&gt;"",IF(ISNUMBER(SEARCH("Party Name:-",'R.M Billets Reports'!D1027)),TRIM('R.M Billets Reports'!F1027),IF(ISNUMBER(SEARCH("Party Name-",'R.M Billets Reports'!D1027)),TRIM(MID('R.M Billets Reports'!D1027,SEARCH("-",'R.M Billets Reports'!D1027)+1,200)),"")),IF(ISNUMBER(SEARCH("Party Name:-",'R.M Billets Reports'!D1028)),TRIM('R.M Billets Reports'!F1028),IF(ISNUMBER(SEARCH("Party Name-",'R.M Billets Reports'!D1028)),TRIM(MID('R.M Billets Reports'!D1028,SEARCH("-",'R.M Billets Reports'!D1028)+1,200)),"")))))),IF(ROW()=2,"",A1027))</f>
      </c>
      <c r="B1028">
        <f>IF(OR('R.M Billets Reports'!A1027="Date-",'R.M Billets Reports'!A1027="Date:-"),'R.M Billets Reports'!B1027,IF(ROW()=2,"",B1027))</f>
      </c>
      <c r="C1028">
        <f>IF('R.M Billets Reports'!A1027="V.No.",'R.M Billets Reports'!B1027,IF(ROW()=2,"",C1027))</f>
      </c>
      <c r="D1028">
        <f>IF('R.M Billets Reports'!A1027&lt;&gt;"",'R.M Billets Reports'!A1027,IF(ROW()=2,"",D1027))</f>
      </c>
      <c r="E1028">
        <f>IF('R.M Billets Reports'!B1027="","",TRIM('R.M Billets Reports'!B1027))</f>
      </c>
      <c r="F1028">
        <f>'R.M Billets Reports'!C1027</f>
      </c>
      <c r="G1028">
        <f>'R.M Billets Reports'!D1027</f>
      </c>
      <c r="H1028">
        <f>'R.M Billets Reports'!E1027</f>
      </c>
      <c r="I1028">
        <f>'R.M Billets Reports'!F1027</f>
      </c>
      <c r="J1028">
        <f>'R.M Billets Reports'!G1027</f>
      </c>
      <c r="K1028">
        <f>'R.M Billets Reports'!H1027</f>
      </c>
      <c r="L1028">
        <f>IF('R.M Billets Reports'!I1027="","",'R.M Billets Reports'!I1027)</f>
      </c>
      <c r="M1028">
        <f t="shared" si="32"/>
      </c>
      <c r="N1028">
        <f>IF('R.M Billets Reports'!J1027="","",'R.M Billets Reports'!J1027)</f>
      </c>
      <c r="O1028">
        <f t="shared" si="33"/>
      </c>
      <c r="P1028">
        <f>IF('R.M Billets Reports'!A1027="SIZE",'R.M Billets Reports'!B1027,P1027)</f>
      </c>
    </row>
    <row r="1029" spans="1:16" x14ac:dyDescent="0.25">
      <c r="A1029">
        <f>IF(OR('R.M Billets Reports'!A1028="Date-",'R.M Billets Reports'!A1028="Date:-"),IF(IF(IF(ISNUMBER(SEARCH("Party Name:-",'R.M Billets Reports'!D1028)),TRIM('R.M Billets Reports'!F1028),IF(ISNUMBER(SEARCH("Party Name-",'R.M Billets Reports'!D1028)),TRIM(MID('R.M Billets Reports'!D1028,SEARCH("-",'R.M Billets Reports'!D1028)+1,200)),""))&lt;&gt;"",IF(ISNUMBER(SEARCH("Party Name:-",'R.M Billets Reports'!D1028)),TRIM('R.M Billets Reports'!F1028),IF(ISNUMBER(SEARCH("Party Name-",'R.M Billets Reports'!D1028)),TRIM(MID('R.M Billets Reports'!D1028,SEARCH("-",'R.M Billets Reports'!D1028)+1,200)),"")),IF(ISNUMBER(SEARCH("Party Name:-",'R.M Billets Reports'!D1029)),TRIM('R.M Billets Reports'!F1029),IF(ISNUMBER(SEARCH("Party Name-",'R.M Billets Reports'!D1029)),TRIM(MID('R.M Billets Reports'!D1029,SEARCH("-",'R.M Billets Reports'!D1029)+1,200)),"")))="VRKP ISPAT PVT LTD","VRKP",IF(IF(IF(ISNUMBER(SEARCH("Party Name:-",'R.M Billets Reports'!D1028)),TRIM('R.M Billets Reports'!F1028),IF(ISNUMBER(SEARCH("Party Name-",'R.M Billets Reports'!D1028)),TRIM(MID('R.M Billets Reports'!D1028,SEARCH("-",'R.M Billets Reports'!D1028)+1,200)),""))&lt;&gt;"",IF(ISNUMBER(SEARCH("Party Name:-",'R.M Billets Reports'!D1028)),TRIM('R.M Billets Reports'!F1028),IF(ISNUMBER(SEARCH("Party Name-",'R.M Billets Reports'!D1028)),TRIM(MID('R.M Billets Reports'!D1028,SEARCH("-",'R.M Billets Reports'!D1028)+1,200)),"")),IF(ISNUMBER(SEARCH("Party Name:-",'R.M Billets Reports'!D1029)),TRIM('R.M Billets Reports'!F1029),IF(ISNUMBER(SEARCH("Party Name-",'R.M Billets Reports'!D1029)),TRIM(MID('R.M Billets Reports'!D1029,SEARCH("-",'R.M Billets Reports'!D1029)+1,200)),"")))="SHRI RADHE","SHREE RADHE",IF(IF(IF(ISNUMBER(SEARCH("Party Name:-",'R.M Billets Reports'!D1028)),TRIM('R.M Billets Reports'!F1028),IF(ISNUMBER(SEARCH("Party Name-",'R.M Billets Reports'!D1028)),TRIM(MID('R.M Billets Reports'!D1028,SEARCH("-",'R.M Billets Reports'!D1028)+1,200)),""))&lt;&gt;"",IF(ISNUMBER(SEARCH("Party Name:-",'R.M Billets Reports'!D1028)),TRIM('R.M Billets Reports'!F1028),IF(ISNUMBER(SEARCH("Party Name-",'R.M Billets Reports'!D1028)),TRIM(MID('R.M Billets Reports'!D1028,SEARCH("-",'R.M Billets Reports'!D1028)+1,200)),"")),IF(ISNUMBER(SEARCH("Party Name:-",'R.M Billets Reports'!D1029)),TRIM('R.M Billets Reports'!F1029),IF(ISNUMBER(SEARCH("Party Name-",'R.M Billets Reports'!D1029)),TRIM(MID('R.M Billets Reports'!D1029,SEARCH("-",'R.M Billets Reports'!D1029)+1,200)),"")))="SHREE RADHE SHAKTI SPONGE AND POWER PVT. LTD.","SHREE RADHE",IF(IF(ISNUMBER(SEARCH("Party Name:-",'R.M Billets Reports'!D1028)),TRIM('R.M Billets Reports'!F1028),IF(ISNUMBER(SEARCH("Party Name-",'R.M Billets Reports'!D1028)),TRIM(MID('R.M Billets Reports'!D1028,SEARCH("-",'R.M Billets Reports'!D1028)+1,200)),""))&lt;&gt;"",IF(ISNUMBER(SEARCH("Party Name:-",'R.M Billets Reports'!D1028)),TRIM('R.M Billets Reports'!F1028),IF(ISNUMBER(SEARCH("Party Name-",'R.M Billets Reports'!D1028)),TRIM(MID('R.M Billets Reports'!D1028,SEARCH("-",'R.M Billets Reports'!D1028)+1,200)),"")),IF(ISNUMBER(SEARCH("Party Name:-",'R.M Billets Reports'!D1029)),TRIM('R.M Billets Reports'!F1029),IF(ISNUMBER(SEARCH("Party Name-",'R.M Billets Reports'!D1029)),TRIM(MID('R.M Billets Reports'!D1029,SEARCH("-",'R.M Billets Reports'!D1029)+1,200)),"")))))),IF(ROW()=2,"",A1028))</f>
      </c>
      <c r="B1029">
        <f>IF(OR('R.M Billets Reports'!A1028="Date-",'R.M Billets Reports'!A1028="Date:-"),'R.M Billets Reports'!B1028,IF(ROW()=2,"",B1028))</f>
      </c>
      <c r="C1029">
        <f>IF('R.M Billets Reports'!A1028="V.No.",'R.M Billets Reports'!B1028,IF(ROW()=2,"",C1028))</f>
      </c>
      <c r="D1029">
        <f>IF('R.M Billets Reports'!A1028&lt;&gt;"",'R.M Billets Reports'!A1028,IF(ROW()=2,"",D1028))</f>
      </c>
      <c r="E1029">
        <f>IF('R.M Billets Reports'!B1028="","",TRIM('R.M Billets Reports'!B1028))</f>
      </c>
      <c r="F1029">
        <f>'R.M Billets Reports'!C1028</f>
      </c>
      <c r="G1029">
        <f>'R.M Billets Reports'!D1028</f>
      </c>
      <c r="H1029">
        <f>'R.M Billets Reports'!E1028</f>
      </c>
      <c r="I1029">
        <f>'R.M Billets Reports'!F1028</f>
      </c>
      <c r="J1029">
        <f>'R.M Billets Reports'!G1028</f>
      </c>
      <c r="K1029">
        <f>'R.M Billets Reports'!H1028</f>
      </c>
      <c r="L1029">
        <f>IF('R.M Billets Reports'!I1028="","",'R.M Billets Reports'!I1028)</f>
      </c>
      <c r="M1029">
        <f t="shared" si="32"/>
      </c>
      <c r="N1029">
        <f>IF('R.M Billets Reports'!J1028="","",'R.M Billets Reports'!J1028)</f>
      </c>
      <c r="O1029">
        <f t="shared" si="33"/>
      </c>
      <c r="P1029">
        <f>IF('R.M Billets Reports'!A1028="SIZE",'R.M Billets Reports'!B1028,P1028)</f>
      </c>
    </row>
    <row r="1030" spans="1:16" x14ac:dyDescent="0.25">
      <c r="A1030">
        <f>IF(OR('R.M Billets Reports'!A1029="Date-",'R.M Billets Reports'!A1029="Date:-"),IF(IF(IF(ISNUMBER(SEARCH("Party Name:-",'R.M Billets Reports'!D1029)),TRIM('R.M Billets Reports'!F1029),IF(ISNUMBER(SEARCH("Party Name-",'R.M Billets Reports'!D1029)),TRIM(MID('R.M Billets Reports'!D1029,SEARCH("-",'R.M Billets Reports'!D1029)+1,200)),""))&lt;&gt;"",IF(ISNUMBER(SEARCH("Party Name:-",'R.M Billets Reports'!D1029)),TRIM('R.M Billets Reports'!F1029),IF(ISNUMBER(SEARCH("Party Name-",'R.M Billets Reports'!D1029)),TRIM(MID('R.M Billets Reports'!D1029,SEARCH("-",'R.M Billets Reports'!D1029)+1,200)),"")),IF(ISNUMBER(SEARCH("Party Name:-",'R.M Billets Reports'!D1030)),TRIM('R.M Billets Reports'!F1030),IF(ISNUMBER(SEARCH("Party Name-",'R.M Billets Reports'!D1030)),TRIM(MID('R.M Billets Reports'!D1030,SEARCH("-",'R.M Billets Reports'!D1030)+1,200)),"")))="VRKP ISPAT PVT LTD","VRKP",IF(IF(IF(ISNUMBER(SEARCH("Party Name:-",'R.M Billets Reports'!D1029)),TRIM('R.M Billets Reports'!F1029),IF(ISNUMBER(SEARCH("Party Name-",'R.M Billets Reports'!D1029)),TRIM(MID('R.M Billets Reports'!D1029,SEARCH("-",'R.M Billets Reports'!D1029)+1,200)),""))&lt;&gt;"",IF(ISNUMBER(SEARCH("Party Name:-",'R.M Billets Reports'!D1029)),TRIM('R.M Billets Reports'!F1029),IF(ISNUMBER(SEARCH("Party Name-",'R.M Billets Reports'!D1029)),TRIM(MID('R.M Billets Reports'!D1029,SEARCH("-",'R.M Billets Reports'!D1029)+1,200)),"")),IF(ISNUMBER(SEARCH("Party Name:-",'R.M Billets Reports'!D1030)),TRIM('R.M Billets Reports'!F1030),IF(ISNUMBER(SEARCH("Party Name-",'R.M Billets Reports'!D1030)),TRIM(MID('R.M Billets Reports'!D1030,SEARCH("-",'R.M Billets Reports'!D1030)+1,200)),"")))="SHRI RADHE","SHREE RADHE",IF(IF(IF(ISNUMBER(SEARCH("Party Name:-",'R.M Billets Reports'!D1029)),TRIM('R.M Billets Reports'!F1029),IF(ISNUMBER(SEARCH("Party Name-",'R.M Billets Reports'!D1029)),TRIM(MID('R.M Billets Reports'!D1029,SEARCH("-",'R.M Billets Reports'!D1029)+1,200)),""))&lt;&gt;"",IF(ISNUMBER(SEARCH("Party Name:-",'R.M Billets Reports'!D1029)),TRIM('R.M Billets Reports'!F1029),IF(ISNUMBER(SEARCH("Party Name-",'R.M Billets Reports'!D1029)),TRIM(MID('R.M Billets Reports'!D1029,SEARCH("-",'R.M Billets Reports'!D1029)+1,200)),"")),IF(ISNUMBER(SEARCH("Party Name:-",'R.M Billets Reports'!D1030)),TRIM('R.M Billets Reports'!F1030),IF(ISNUMBER(SEARCH("Party Name-",'R.M Billets Reports'!D1030)),TRIM(MID('R.M Billets Reports'!D1030,SEARCH("-",'R.M Billets Reports'!D1030)+1,200)),"")))="SHREE RADHE SHAKTI SPONGE AND POWER PVT. LTD.","SHREE RADHE",IF(IF(ISNUMBER(SEARCH("Party Name:-",'R.M Billets Reports'!D1029)),TRIM('R.M Billets Reports'!F1029),IF(ISNUMBER(SEARCH("Party Name-",'R.M Billets Reports'!D1029)),TRIM(MID('R.M Billets Reports'!D1029,SEARCH("-",'R.M Billets Reports'!D1029)+1,200)),""))&lt;&gt;"",IF(ISNUMBER(SEARCH("Party Name:-",'R.M Billets Reports'!D1029)),TRIM('R.M Billets Reports'!F1029),IF(ISNUMBER(SEARCH("Party Name-",'R.M Billets Reports'!D1029)),TRIM(MID('R.M Billets Reports'!D1029,SEARCH("-",'R.M Billets Reports'!D1029)+1,200)),"")),IF(ISNUMBER(SEARCH("Party Name:-",'R.M Billets Reports'!D1030)),TRIM('R.M Billets Reports'!F1030),IF(ISNUMBER(SEARCH("Party Name-",'R.M Billets Reports'!D1030)),TRIM(MID('R.M Billets Reports'!D1030,SEARCH("-",'R.M Billets Reports'!D1030)+1,200)),"")))))),IF(ROW()=2,"",A1029))</f>
      </c>
      <c r="B1030">
        <f>IF(OR('R.M Billets Reports'!A1029="Date-",'R.M Billets Reports'!A1029="Date:-"),'R.M Billets Reports'!B1029,IF(ROW()=2,"",B1029))</f>
      </c>
      <c r="C1030">
        <f>IF('R.M Billets Reports'!A1029="V.No.",'R.M Billets Reports'!B1029,IF(ROW()=2,"",C1029))</f>
      </c>
      <c r="D1030">
        <f>IF('R.M Billets Reports'!A1029&lt;&gt;"",'R.M Billets Reports'!A1029,IF(ROW()=2,"",D1029))</f>
      </c>
      <c r="E1030">
        <f>IF('R.M Billets Reports'!B1029="","",TRIM('R.M Billets Reports'!B1029))</f>
      </c>
      <c r="F1030">
        <f>'R.M Billets Reports'!C1029</f>
      </c>
      <c r="G1030">
        <f>'R.M Billets Reports'!D1029</f>
      </c>
      <c r="H1030">
        <f>'R.M Billets Reports'!E1029</f>
      </c>
      <c r="I1030">
        <f>'R.M Billets Reports'!F1029</f>
      </c>
      <c r="J1030">
        <f>'R.M Billets Reports'!G1029</f>
      </c>
      <c r="K1030">
        <f>'R.M Billets Reports'!H1029</f>
      </c>
      <c r="L1030">
        <f>IF('R.M Billets Reports'!I1029="","",'R.M Billets Reports'!I1029)</f>
      </c>
      <c r="M1030">
        <f t="shared" si="32"/>
      </c>
      <c r="N1030">
        <f>IF('R.M Billets Reports'!J1029="","",'R.M Billets Reports'!J1029)</f>
      </c>
      <c r="O1030">
        <f t="shared" si="33"/>
      </c>
      <c r="P1030">
        <f>IF('R.M Billets Reports'!A1029="SIZE",'R.M Billets Reports'!B1029,P1029)</f>
      </c>
    </row>
    <row r="1031" spans="1:16" x14ac:dyDescent="0.25">
      <c r="A1031">
        <f>IF(OR('R.M Billets Reports'!A1030="Date-",'R.M Billets Reports'!A1030="Date:-"),IF(IF(IF(ISNUMBER(SEARCH("Party Name:-",'R.M Billets Reports'!D1030)),TRIM('R.M Billets Reports'!F1030),IF(ISNUMBER(SEARCH("Party Name-",'R.M Billets Reports'!D1030)),TRIM(MID('R.M Billets Reports'!D1030,SEARCH("-",'R.M Billets Reports'!D1030)+1,200)),""))&lt;&gt;"",IF(ISNUMBER(SEARCH("Party Name:-",'R.M Billets Reports'!D1030)),TRIM('R.M Billets Reports'!F1030),IF(ISNUMBER(SEARCH("Party Name-",'R.M Billets Reports'!D1030)),TRIM(MID('R.M Billets Reports'!D1030,SEARCH("-",'R.M Billets Reports'!D1030)+1,200)),"")),IF(ISNUMBER(SEARCH("Party Name:-",'R.M Billets Reports'!D1031)),TRIM('R.M Billets Reports'!F1031),IF(ISNUMBER(SEARCH("Party Name-",'R.M Billets Reports'!D1031)),TRIM(MID('R.M Billets Reports'!D1031,SEARCH("-",'R.M Billets Reports'!D1031)+1,200)),"")))="VRKP ISPAT PVT LTD","VRKP",IF(IF(IF(ISNUMBER(SEARCH("Party Name:-",'R.M Billets Reports'!D1030)),TRIM('R.M Billets Reports'!F1030),IF(ISNUMBER(SEARCH("Party Name-",'R.M Billets Reports'!D1030)),TRIM(MID('R.M Billets Reports'!D1030,SEARCH("-",'R.M Billets Reports'!D1030)+1,200)),""))&lt;&gt;"",IF(ISNUMBER(SEARCH("Party Name:-",'R.M Billets Reports'!D1030)),TRIM('R.M Billets Reports'!F1030),IF(ISNUMBER(SEARCH("Party Name-",'R.M Billets Reports'!D1030)),TRIM(MID('R.M Billets Reports'!D1030,SEARCH("-",'R.M Billets Reports'!D1030)+1,200)),"")),IF(ISNUMBER(SEARCH("Party Name:-",'R.M Billets Reports'!D1031)),TRIM('R.M Billets Reports'!F1031),IF(ISNUMBER(SEARCH("Party Name-",'R.M Billets Reports'!D1031)),TRIM(MID('R.M Billets Reports'!D1031,SEARCH("-",'R.M Billets Reports'!D1031)+1,200)),"")))="SHRI RADHE","SHREE RADHE",IF(IF(IF(ISNUMBER(SEARCH("Party Name:-",'R.M Billets Reports'!D1030)),TRIM('R.M Billets Reports'!F1030),IF(ISNUMBER(SEARCH("Party Name-",'R.M Billets Reports'!D1030)),TRIM(MID('R.M Billets Reports'!D1030,SEARCH("-",'R.M Billets Reports'!D1030)+1,200)),""))&lt;&gt;"",IF(ISNUMBER(SEARCH("Party Name:-",'R.M Billets Reports'!D1030)),TRIM('R.M Billets Reports'!F1030),IF(ISNUMBER(SEARCH("Party Name-",'R.M Billets Reports'!D1030)),TRIM(MID('R.M Billets Reports'!D1030,SEARCH("-",'R.M Billets Reports'!D1030)+1,200)),"")),IF(ISNUMBER(SEARCH("Party Name:-",'R.M Billets Reports'!D1031)),TRIM('R.M Billets Reports'!F1031),IF(ISNUMBER(SEARCH("Party Name-",'R.M Billets Reports'!D1031)),TRIM(MID('R.M Billets Reports'!D1031,SEARCH("-",'R.M Billets Reports'!D1031)+1,200)),"")))="SHREE RADHE SHAKTI SPONGE AND POWER PVT. LTD.","SHREE RADHE",IF(IF(ISNUMBER(SEARCH("Party Name:-",'R.M Billets Reports'!D1030)),TRIM('R.M Billets Reports'!F1030),IF(ISNUMBER(SEARCH("Party Name-",'R.M Billets Reports'!D1030)),TRIM(MID('R.M Billets Reports'!D1030,SEARCH("-",'R.M Billets Reports'!D1030)+1,200)),""))&lt;&gt;"",IF(ISNUMBER(SEARCH("Party Name:-",'R.M Billets Reports'!D1030)),TRIM('R.M Billets Reports'!F1030),IF(ISNUMBER(SEARCH("Party Name-",'R.M Billets Reports'!D1030)),TRIM(MID('R.M Billets Reports'!D1030,SEARCH("-",'R.M Billets Reports'!D1030)+1,200)),"")),IF(ISNUMBER(SEARCH("Party Name:-",'R.M Billets Reports'!D1031)),TRIM('R.M Billets Reports'!F1031),IF(ISNUMBER(SEARCH("Party Name-",'R.M Billets Reports'!D1031)),TRIM(MID('R.M Billets Reports'!D1031,SEARCH("-",'R.M Billets Reports'!D1031)+1,200)),"")))))),IF(ROW()=2,"",A1030))</f>
      </c>
      <c r="B1031">
        <f>IF(OR('R.M Billets Reports'!A1030="Date-",'R.M Billets Reports'!A1030="Date:-"),'R.M Billets Reports'!B1030,IF(ROW()=2,"",B1030))</f>
      </c>
      <c r="C1031">
        <f>IF('R.M Billets Reports'!A1030="V.No.",'R.M Billets Reports'!B1030,IF(ROW()=2,"",C1030))</f>
      </c>
      <c r="D1031">
        <f>IF('R.M Billets Reports'!A1030&lt;&gt;"",'R.M Billets Reports'!A1030,IF(ROW()=2,"",D1030))</f>
      </c>
      <c r="E1031">
        <f>IF('R.M Billets Reports'!B1030="","",TRIM('R.M Billets Reports'!B1030))</f>
      </c>
      <c r="F1031">
        <f>'R.M Billets Reports'!C1030</f>
      </c>
      <c r="G1031">
        <f>'R.M Billets Reports'!D1030</f>
      </c>
      <c r="H1031">
        <f>'R.M Billets Reports'!E1030</f>
      </c>
      <c r="I1031">
        <f>'R.M Billets Reports'!F1030</f>
      </c>
      <c r="J1031">
        <f>'R.M Billets Reports'!G1030</f>
      </c>
      <c r="K1031">
        <f>'R.M Billets Reports'!H1030</f>
      </c>
      <c r="L1031">
        <f>IF('R.M Billets Reports'!I1030="","",'R.M Billets Reports'!I1030)</f>
      </c>
      <c r="M1031">
        <f t="shared" si="32"/>
      </c>
      <c r="N1031">
        <f>IF('R.M Billets Reports'!J1030="","",'R.M Billets Reports'!J1030)</f>
      </c>
      <c r="O1031">
        <f t="shared" si="33"/>
      </c>
      <c r="P1031">
        <f>IF('R.M Billets Reports'!A1030="SIZE",'R.M Billets Reports'!B1030,P1030)</f>
      </c>
    </row>
    <row r="1032" spans="1:16" x14ac:dyDescent="0.25">
      <c r="A1032">
        <f>IF(OR('R.M Billets Reports'!A1031="Date-",'R.M Billets Reports'!A1031="Date:-"),IF(IF(IF(ISNUMBER(SEARCH("Party Name:-",'R.M Billets Reports'!D1031)),TRIM('R.M Billets Reports'!F1031),IF(ISNUMBER(SEARCH("Party Name-",'R.M Billets Reports'!D1031)),TRIM(MID('R.M Billets Reports'!D1031,SEARCH("-",'R.M Billets Reports'!D1031)+1,200)),""))&lt;&gt;"",IF(ISNUMBER(SEARCH("Party Name:-",'R.M Billets Reports'!D1031)),TRIM('R.M Billets Reports'!F1031),IF(ISNUMBER(SEARCH("Party Name-",'R.M Billets Reports'!D1031)),TRIM(MID('R.M Billets Reports'!D1031,SEARCH("-",'R.M Billets Reports'!D1031)+1,200)),"")),IF(ISNUMBER(SEARCH("Party Name:-",'R.M Billets Reports'!D1032)),TRIM('R.M Billets Reports'!F1032),IF(ISNUMBER(SEARCH("Party Name-",'R.M Billets Reports'!D1032)),TRIM(MID('R.M Billets Reports'!D1032,SEARCH("-",'R.M Billets Reports'!D1032)+1,200)),"")))="VRKP ISPAT PVT LTD","VRKP",IF(IF(IF(ISNUMBER(SEARCH("Party Name:-",'R.M Billets Reports'!D1031)),TRIM('R.M Billets Reports'!F1031),IF(ISNUMBER(SEARCH("Party Name-",'R.M Billets Reports'!D1031)),TRIM(MID('R.M Billets Reports'!D1031,SEARCH("-",'R.M Billets Reports'!D1031)+1,200)),""))&lt;&gt;"",IF(ISNUMBER(SEARCH("Party Name:-",'R.M Billets Reports'!D1031)),TRIM('R.M Billets Reports'!F1031),IF(ISNUMBER(SEARCH("Party Name-",'R.M Billets Reports'!D1031)),TRIM(MID('R.M Billets Reports'!D1031,SEARCH("-",'R.M Billets Reports'!D1031)+1,200)),"")),IF(ISNUMBER(SEARCH("Party Name:-",'R.M Billets Reports'!D1032)),TRIM('R.M Billets Reports'!F1032),IF(ISNUMBER(SEARCH("Party Name-",'R.M Billets Reports'!D1032)),TRIM(MID('R.M Billets Reports'!D1032,SEARCH("-",'R.M Billets Reports'!D1032)+1,200)),"")))="SHRI RADHE","SHREE RADHE",IF(IF(IF(ISNUMBER(SEARCH("Party Name:-",'R.M Billets Reports'!D1031)),TRIM('R.M Billets Reports'!F1031),IF(ISNUMBER(SEARCH("Party Name-",'R.M Billets Reports'!D1031)),TRIM(MID('R.M Billets Reports'!D1031,SEARCH("-",'R.M Billets Reports'!D1031)+1,200)),""))&lt;&gt;"",IF(ISNUMBER(SEARCH("Party Name:-",'R.M Billets Reports'!D1031)),TRIM('R.M Billets Reports'!F1031),IF(ISNUMBER(SEARCH("Party Name-",'R.M Billets Reports'!D1031)),TRIM(MID('R.M Billets Reports'!D1031,SEARCH("-",'R.M Billets Reports'!D1031)+1,200)),"")),IF(ISNUMBER(SEARCH("Party Name:-",'R.M Billets Reports'!D1032)),TRIM('R.M Billets Reports'!F1032),IF(ISNUMBER(SEARCH("Party Name-",'R.M Billets Reports'!D1032)),TRIM(MID('R.M Billets Reports'!D1032,SEARCH("-",'R.M Billets Reports'!D1032)+1,200)),"")))="SHREE RADHE SHAKTI SPONGE AND POWER PVT. LTD.","SHREE RADHE",IF(IF(ISNUMBER(SEARCH("Party Name:-",'R.M Billets Reports'!D1031)),TRIM('R.M Billets Reports'!F1031),IF(ISNUMBER(SEARCH("Party Name-",'R.M Billets Reports'!D1031)),TRIM(MID('R.M Billets Reports'!D1031,SEARCH("-",'R.M Billets Reports'!D1031)+1,200)),""))&lt;&gt;"",IF(ISNUMBER(SEARCH("Party Name:-",'R.M Billets Reports'!D1031)),TRIM('R.M Billets Reports'!F1031),IF(ISNUMBER(SEARCH("Party Name-",'R.M Billets Reports'!D1031)),TRIM(MID('R.M Billets Reports'!D1031,SEARCH("-",'R.M Billets Reports'!D1031)+1,200)),"")),IF(ISNUMBER(SEARCH("Party Name:-",'R.M Billets Reports'!D1032)),TRIM('R.M Billets Reports'!F1032),IF(ISNUMBER(SEARCH("Party Name-",'R.M Billets Reports'!D1032)),TRIM(MID('R.M Billets Reports'!D1032,SEARCH("-",'R.M Billets Reports'!D1032)+1,200)),"")))))),IF(ROW()=2,"",A1031))</f>
      </c>
      <c r="B1032">
        <f>IF(OR('R.M Billets Reports'!A1031="Date-",'R.M Billets Reports'!A1031="Date:-"),'R.M Billets Reports'!B1031,IF(ROW()=2,"",B1031))</f>
      </c>
      <c r="C1032">
        <f>IF('R.M Billets Reports'!A1031="V.No.",'R.M Billets Reports'!B1031,IF(ROW()=2,"",C1031))</f>
      </c>
      <c r="D1032">
        <f>IF('R.M Billets Reports'!A1031&lt;&gt;"",'R.M Billets Reports'!A1031,IF(ROW()=2,"",D1031))</f>
      </c>
      <c r="E1032">
        <f>IF('R.M Billets Reports'!B1031="","",TRIM('R.M Billets Reports'!B1031))</f>
      </c>
      <c r="F1032">
        <f>'R.M Billets Reports'!C1031</f>
      </c>
      <c r="G1032">
        <f>'R.M Billets Reports'!D1031</f>
      </c>
      <c r="H1032">
        <f>'R.M Billets Reports'!E1031</f>
      </c>
      <c r="I1032">
        <f>'R.M Billets Reports'!F1031</f>
      </c>
      <c r="J1032">
        <f>'R.M Billets Reports'!G1031</f>
      </c>
      <c r="K1032">
        <f>'R.M Billets Reports'!H1031</f>
      </c>
      <c r="L1032">
        <f>IF('R.M Billets Reports'!I1031="","",'R.M Billets Reports'!I1031)</f>
      </c>
      <c r="M1032">
        <f t="shared" si="32"/>
      </c>
      <c r="N1032">
        <f>IF('R.M Billets Reports'!J1031="","",'R.M Billets Reports'!J1031)</f>
      </c>
      <c r="O1032">
        <f t="shared" si="33"/>
      </c>
      <c r="P1032">
        <f>IF('R.M Billets Reports'!A1031="SIZE",'R.M Billets Reports'!B1031,P1031)</f>
      </c>
    </row>
    <row r="1033" spans="1:16" x14ac:dyDescent="0.25">
      <c r="A1033">
        <f>IF(OR('R.M Billets Reports'!A1032="Date-",'R.M Billets Reports'!A1032="Date:-"),IF(IF(IF(ISNUMBER(SEARCH("Party Name:-",'R.M Billets Reports'!D1032)),TRIM('R.M Billets Reports'!F1032),IF(ISNUMBER(SEARCH("Party Name-",'R.M Billets Reports'!D1032)),TRIM(MID('R.M Billets Reports'!D1032,SEARCH("-",'R.M Billets Reports'!D1032)+1,200)),""))&lt;&gt;"",IF(ISNUMBER(SEARCH("Party Name:-",'R.M Billets Reports'!D1032)),TRIM('R.M Billets Reports'!F1032),IF(ISNUMBER(SEARCH("Party Name-",'R.M Billets Reports'!D1032)),TRIM(MID('R.M Billets Reports'!D1032,SEARCH("-",'R.M Billets Reports'!D1032)+1,200)),"")),IF(ISNUMBER(SEARCH("Party Name:-",'R.M Billets Reports'!D1033)),TRIM('R.M Billets Reports'!F1033),IF(ISNUMBER(SEARCH("Party Name-",'R.M Billets Reports'!D1033)),TRIM(MID('R.M Billets Reports'!D1033,SEARCH("-",'R.M Billets Reports'!D1033)+1,200)),"")))="VRKP ISPAT PVT LTD","VRKP",IF(IF(IF(ISNUMBER(SEARCH("Party Name:-",'R.M Billets Reports'!D1032)),TRIM('R.M Billets Reports'!F1032),IF(ISNUMBER(SEARCH("Party Name-",'R.M Billets Reports'!D1032)),TRIM(MID('R.M Billets Reports'!D1032,SEARCH("-",'R.M Billets Reports'!D1032)+1,200)),""))&lt;&gt;"",IF(ISNUMBER(SEARCH("Party Name:-",'R.M Billets Reports'!D1032)),TRIM('R.M Billets Reports'!F1032),IF(ISNUMBER(SEARCH("Party Name-",'R.M Billets Reports'!D1032)),TRIM(MID('R.M Billets Reports'!D1032,SEARCH("-",'R.M Billets Reports'!D1032)+1,200)),"")),IF(ISNUMBER(SEARCH("Party Name:-",'R.M Billets Reports'!D1033)),TRIM('R.M Billets Reports'!F1033),IF(ISNUMBER(SEARCH("Party Name-",'R.M Billets Reports'!D1033)),TRIM(MID('R.M Billets Reports'!D1033,SEARCH("-",'R.M Billets Reports'!D1033)+1,200)),"")))="SHRI RADHE","SHREE RADHE",IF(IF(IF(ISNUMBER(SEARCH("Party Name:-",'R.M Billets Reports'!D1032)),TRIM('R.M Billets Reports'!F1032),IF(ISNUMBER(SEARCH("Party Name-",'R.M Billets Reports'!D1032)),TRIM(MID('R.M Billets Reports'!D1032,SEARCH("-",'R.M Billets Reports'!D1032)+1,200)),""))&lt;&gt;"",IF(ISNUMBER(SEARCH("Party Name:-",'R.M Billets Reports'!D1032)),TRIM('R.M Billets Reports'!F1032),IF(ISNUMBER(SEARCH("Party Name-",'R.M Billets Reports'!D1032)),TRIM(MID('R.M Billets Reports'!D1032,SEARCH("-",'R.M Billets Reports'!D1032)+1,200)),"")),IF(ISNUMBER(SEARCH("Party Name:-",'R.M Billets Reports'!D1033)),TRIM('R.M Billets Reports'!F1033),IF(ISNUMBER(SEARCH("Party Name-",'R.M Billets Reports'!D1033)),TRIM(MID('R.M Billets Reports'!D1033,SEARCH("-",'R.M Billets Reports'!D1033)+1,200)),"")))="SHREE RADHE SHAKTI SPONGE AND POWER PVT. LTD.","SHREE RADHE",IF(IF(ISNUMBER(SEARCH("Party Name:-",'R.M Billets Reports'!D1032)),TRIM('R.M Billets Reports'!F1032),IF(ISNUMBER(SEARCH("Party Name-",'R.M Billets Reports'!D1032)),TRIM(MID('R.M Billets Reports'!D1032,SEARCH("-",'R.M Billets Reports'!D1032)+1,200)),""))&lt;&gt;"",IF(ISNUMBER(SEARCH("Party Name:-",'R.M Billets Reports'!D1032)),TRIM('R.M Billets Reports'!F1032),IF(ISNUMBER(SEARCH("Party Name-",'R.M Billets Reports'!D1032)),TRIM(MID('R.M Billets Reports'!D1032,SEARCH("-",'R.M Billets Reports'!D1032)+1,200)),"")),IF(ISNUMBER(SEARCH("Party Name:-",'R.M Billets Reports'!D1033)),TRIM('R.M Billets Reports'!F1033),IF(ISNUMBER(SEARCH("Party Name-",'R.M Billets Reports'!D1033)),TRIM(MID('R.M Billets Reports'!D1033,SEARCH("-",'R.M Billets Reports'!D1033)+1,200)),"")))))),IF(ROW()=2,"",A1032))</f>
      </c>
      <c r="B1033">
        <f>IF(OR('R.M Billets Reports'!A1032="Date-",'R.M Billets Reports'!A1032="Date:-"),'R.M Billets Reports'!B1032,IF(ROW()=2,"",B1032))</f>
      </c>
      <c r="C1033">
        <f>IF('R.M Billets Reports'!A1032="V.No.",'R.M Billets Reports'!B1032,IF(ROW()=2,"",C1032))</f>
      </c>
      <c r="D1033">
        <f>IF('R.M Billets Reports'!A1032&lt;&gt;"",'R.M Billets Reports'!A1032,IF(ROW()=2,"",D1032))</f>
      </c>
      <c r="E1033">
        <f>IF('R.M Billets Reports'!B1032="","",TRIM('R.M Billets Reports'!B1032))</f>
      </c>
      <c r="F1033">
        <f>'R.M Billets Reports'!C1032</f>
      </c>
      <c r="G1033">
        <f>'R.M Billets Reports'!D1032</f>
      </c>
      <c r="H1033">
        <f>'R.M Billets Reports'!E1032</f>
      </c>
      <c r="I1033">
        <f>'R.M Billets Reports'!F1032</f>
      </c>
      <c r="J1033">
        <f>'R.M Billets Reports'!G1032</f>
      </c>
      <c r="K1033">
        <f>'R.M Billets Reports'!H1032</f>
      </c>
      <c r="L1033">
        <f>IF('R.M Billets Reports'!I1032="","",'R.M Billets Reports'!I1032)</f>
      </c>
      <c r="M1033">
        <f t="shared" si="32"/>
      </c>
      <c r="N1033">
        <f>IF('R.M Billets Reports'!J1032="","",'R.M Billets Reports'!J1032)</f>
      </c>
      <c r="O1033">
        <f t="shared" si="33"/>
      </c>
      <c r="P1033">
        <f>IF('R.M Billets Reports'!A1032="SIZE",'R.M Billets Reports'!B1032,P1032)</f>
      </c>
    </row>
    <row r="1034" spans="1:16" x14ac:dyDescent="0.25">
      <c r="A1034">
        <f>IF(OR('R.M Billets Reports'!A1033="Date-",'R.M Billets Reports'!A1033="Date:-"),IF(IF(IF(ISNUMBER(SEARCH("Party Name:-",'R.M Billets Reports'!D1033)),TRIM('R.M Billets Reports'!F1033),IF(ISNUMBER(SEARCH("Party Name-",'R.M Billets Reports'!D1033)),TRIM(MID('R.M Billets Reports'!D1033,SEARCH("-",'R.M Billets Reports'!D1033)+1,200)),""))&lt;&gt;"",IF(ISNUMBER(SEARCH("Party Name:-",'R.M Billets Reports'!D1033)),TRIM('R.M Billets Reports'!F1033),IF(ISNUMBER(SEARCH("Party Name-",'R.M Billets Reports'!D1033)),TRIM(MID('R.M Billets Reports'!D1033,SEARCH("-",'R.M Billets Reports'!D1033)+1,200)),"")),IF(ISNUMBER(SEARCH("Party Name:-",'R.M Billets Reports'!D1034)),TRIM('R.M Billets Reports'!F1034),IF(ISNUMBER(SEARCH("Party Name-",'R.M Billets Reports'!D1034)),TRIM(MID('R.M Billets Reports'!D1034,SEARCH("-",'R.M Billets Reports'!D1034)+1,200)),"")))="VRKP ISPAT PVT LTD","VRKP",IF(IF(IF(ISNUMBER(SEARCH("Party Name:-",'R.M Billets Reports'!D1033)),TRIM('R.M Billets Reports'!F1033),IF(ISNUMBER(SEARCH("Party Name-",'R.M Billets Reports'!D1033)),TRIM(MID('R.M Billets Reports'!D1033,SEARCH("-",'R.M Billets Reports'!D1033)+1,200)),""))&lt;&gt;"",IF(ISNUMBER(SEARCH("Party Name:-",'R.M Billets Reports'!D1033)),TRIM('R.M Billets Reports'!F1033),IF(ISNUMBER(SEARCH("Party Name-",'R.M Billets Reports'!D1033)),TRIM(MID('R.M Billets Reports'!D1033,SEARCH("-",'R.M Billets Reports'!D1033)+1,200)),"")),IF(ISNUMBER(SEARCH("Party Name:-",'R.M Billets Reports'!D1034)),TRIM('R.M Billets Reports'!F1034),IF(ISNUMBER(SEARCH("Party Name-",'R.M Billets Reports'!D1034)),TRIM(MID('R.M Billets Reports'!D1034,SEARCH("-",'R.M Billets Reports'!D1034)+1,200)),"")))="SHRI RADHE","SHREE RADHE",IF(IF(IF(ISNUMBER(SEARCH("Party Name:-",'R.M Billets Reports'!D1033)),TRIM('R.M Billets Reports'!F1033),IF(ISNUMBER(SEARCH("Party Name-",'R.M Billets Reports'!D1033)),TRIM(MID('R.M Billets Reports'!D1033,SEARCH("-",'R.M Billets Reports'!D1033)+1,200)),""))&lt;&gt;"",IF(ISNUMBER(SEARCH("Party Name:-",'R.M Billets Reports'!D1033)),TRIM('R.M Billets Reports'!F1033),IF(ISNUMBER(SEARCH("Party Name-",'R.M Billets Reports'!D1033)),TRIM(MID('R.M Billets Reports'!D1033,SEARCH("-",'R.M Billets Reports'!D1033)+1,200)),"")),IF(ISNUMBER(SEARCH("Party Name:-",'R.M Billets Reports'!D1034)),TRIM('R.M Billets Reports'!F1034),IF(ISNUMBER(SEARCH("Party Name-",'R.M Billets Reports'!D1034)),TRIM(MID('R.M Billets Reports'!D1034,SEARCH("-",'R.M Billets Reports'!D1034)+1,200)),"")))="SHREE RADHE SHAKTI SPONGE AND POWER PVT. LTD.","SHREE RADHE",IF(IF(ISNUMBER(SEARCH("Party Name:-",'R.M Billets Reports'!D1033)),TRIM('R.M Billets Reports'!F1033),IF(ISNUMBER(SEARCH("Party Name-",'R.M Billets Reports'!D1033)),TRIM(MID('R.M Billets Reports'!D1033,SEARCH("-",'R.M Billets Reports'!D1033)+1,200)),""))&lt;&gt;"",IF(ISNUMBER(SEARCH("Party Name:-",'R.M Billets Reports'!D1033)),TRIM('R.M Billets Reports'!F1033),IF(ISNUMBER(SEARCH("Party Name-",'R.M Billets Reports'!D1033)),TRIM(MID('R.M Billets Reports'!D1033,SEARCH("-",'R.M Billets Reports'!D1033)+1,200)),"")),IF(ISNUMBER(SEARCH("Party Name:-",'R.M Billets Reports'!D1034)),TRIM('R.M Billets Reports'!F1034),IF(ISNUMBER(SEARCH("Party Name-",'R.M Billets Reports'!D1034)),TRIM(MID('R.M Billets Reports'!D1034,SEARCH("-",'R.M Billets Reports'!D1034)+1,200)),"")))))),IF(ROW()=2,"",A1033))</f>
      </c>
      <c r="B1034">
        <f>IF(OR('R.M Billets Reports'!A1033="Date-",'R.M Billets Reports'!A1033="Date:-"),'R.M Billets Reports'!B1033,IF(ROW()=2,"",B1033))</f>
      </c>
      <c r="C1034">
        <f>IF('R.M Billets Reports'!A1033="V.No.",'R.M Billets Reports'!B1033,IF(ROW()=2,"",C1033))</f>
      </c>
      <c r="D1034">
        <f>IF('R.M Billets Reports'!A1033&lt;&gt;"",'R.M Billets Reports'!A1033,IF(ROW()=2,"",D1033))</f>
      </c>
      <c r="E1034">
        <f>IF('R.M Billets Reports'!B1033="","",TRIM('R.M Billets Reports'!B1033))</f>
      </c>
      <c r="F1034">
        <f>'R.M Billets Reports'!C1033</f>
      </c>
      <c r="G1034">
        <f>'R.M Billets Reports'!D1033</f>
      </c>
      <c r="H1034">
        <f>'R.M Billets Reports'!E1033</f>
      </c>
      <c r="I1034">
        <f>'R.M Billets Reports'!F1033</f>
      </c>
      <c r="J1034">
        <f>'R.M Billets Reports'!G1033</f>
      </c>
      <c r="K1034">
        <f>'R.M Billets Reports'!H1033</f>
      </c>
      <c r="L1034">
        <f>IF('R.M Billets Reports'!I1033="","",'R.M Billets Reports'!I1033)</f>
      </c>
      <c r="M1034">
        <f t="shared" si="32"/>
      </c>
      <c r="N1034">
        <f>IF('R.M Billets Reports'!J1033="","",'R.M Billets Reports'!J1033)</f>
      </c>
      <c r="O1034">
        <f t="shared" si="33"/>
      </c>
      <c r="P1034">
        <f>IF('R.M Billets Reports'!A1033="SIZE",'R.M Billets Reports'!B1033,P1033)</f>
      </c>
    </row>
    <row r="1035" spans="1:16" x14ac:dyDescent="0.25">
      <c r="A1035">
        <f>IF(OR('R.M Billets Reports'!A1034="Date-",'R.M Billets Reports'!A1034="Date:-"),IF(IF(IF(ISNUMBER(SEARCH("Party Name:-",'R.M Billets Reports'!D1034)),TRIM('R.M Billets Reports'!F1034),IF(ISNUMBER(SEARCH("Party Name-",'R.M Billets Reports'!D1034)),TRIM(MID('R.M Billets Reports'!D1034,SEARCH("-",'R.M Billets Reports'!D1034)+1,200)),""))&lt;&gt;"",IF(ISNUMBER(SEARCH("Party Name:-",'R.M Billets Reports'!D1034)),TRIM('R.M Billets Reports'!F1034),IF(ISNUMBER(SEARCH("Party Name-",'R.M Billets Reports'!D1034)),TRIM(MID('R.M Billets Reports'!D1034,SEARCH("-",'R.M Billets Reports'!D1034)+1,200)),"")),IF(ISNUMBER(SEARCH("Party Name:-",'R.M Billets Reports'!D1035)),TRIM('R.M Billets Reports'!F1035),IF(ISNUMBER(SEARCH("Party Name-",'R.M Billets Reports'!D1035)),TRIM(MID('R.M Billets Reports'!D1035,SEARCH("-",'R.M Billets Reports'!D1035)+1,200)),"")))="VRKP ISPAT PVT LTD","VRKP",IF(IF(IF(ISNUMBER(SEARCH("Party Name:-",'R.M Billets Reports'!D1034)),TRIM('R.M Billets Reports'!F1034),IF(ISNUMBER(SEARCH("Party Name-",'R.M Billets Reports'!D1034)),TRIM(MID('R.M Billets Reports'!D1034,SEARCH("-",'R.M Billets Reports'!D1034)+1,200)),""))&lt;&gt;"",IF(ISNUMBER(SEARCH("Party Name:-",'R.M Billets Reports'!D1034)),TRIM('R.M Billets Reports'!F1034),IF(ISNUMBER(SEARCH("Party Name-",'R.M Billets Reports'!D1034)),TRIM(MID('R.M Billets Reports'!D1034,SEARCH("-",'R.M Billets Reports'!D1034)+1,200)),"")),IF(ISNUMBER(SEARCH("Party Name:-",'R.M Billets Reports'!D1035)),TRIM('R.M Billets Reports'!F1035),IF(ISNUMBER(SEARCH("Party Name-",'R.M Billets Reports'!D1035)),TRIM(MID('R.M Billets Reports'!D1035,SEARCH("-",'R.M Billets Reports'!D1035)+1,200)),"")))="SHRI RADHE","SHREE RADHE",IF(IF(IF(ISNUMBER(SEARCH("Party Name:-",'R.M Billets Reports'!D1034)),TRIM('R.M Billets Reports'!F1034),IF(ISNUMBER(SEARCH("Party Name-",'R.M Billets Reports'!D1034)),TRIM(MID('R.M Billets Reports'!D1034,SEARCH("-",'R.M Billets Reports'!D1034)+1,200)),""))&lt;&gt;"",IF(ISNUMBER(SEARCH("Party Name:-",'R.M Billets Reports'!D1034)),TRIM('R.M Billets Reports'!F1034),IF(ISNUMBER(SEARCH("Party Name-",'R.M Billets Reports'!D1034)),TRIM(MID('R.M Billets Reports'!D1034,SEARCH("-",'R.M Billets Reports'!D1034)+1,200)),"")),IF(ISNUMBER(SEARCH("Party Name:-",'R.M Billets Reports'!D1035)),TRIM('R.M Billets Reports'!F1035),IF(ISNUMBER(SEARCH("Party Name-",'R.M Billets Reports'!D1035)),TRIM(MID('R.M Billets Reports'!D1035,SEARCH("-",'R.M Billets Reports'!D1035)+1,200)),"")))="SHREE RADHE SHAKTI SPONGE AND POWER PVT. LTD.","SHREE RADHE",IF(IF(ISNUMBER(SEARCH("Party Name:-",'R.M Billets Reports'!D1034)),TRIM('R.M Billets Reports'!F1034),IF(ISNUMBER(SEARCH("Party Name-",'R.M Billets Reports'!D1034)),TRIM(MID('R.M Billets Reports'!D1034,SEARCH("-",'R.M Billets Reports'!D1034)+1,200)),""))&lt;&gt;"",IF(ISNUMBER(SEARCH("Party Name:-",'R.M Billets Reports'!D1034)),TRIM('R.M Billets Reports'!F1034),IF(ISNUMBER(SEARCH("Party Name-",'R.M Billets Reports'!D1034)),TRIM(MID('R.M Billets Reports'!D1034,SEARCH("-",'R.M Billets Reports'!D1034)+1,200)),"")),IF(ISNUMBER(SEARCH("Party Name:-",'R.M Billets Reports'!D1035)),TRIM('R.M Billets Reports'!F1035),IF(ISNUMBER(SEARCH("Party Name-",'R.M Billets Reports'!D1035)),TRIM(MID('R.M Billets Reports'!D1035,SEARCH("-",'R.M Billets Reports'!D1035)+1,200)),"")))))),IF(ROW()=2,"",A1034))</f>
      </c>
      <c r="B1035">
        <f>IF(OR('R.M Billets Reports'!A1034="Date-",'R.M Billets Reports'!A1034="Date:-"),'R.M Billets Reports'!B1034,IF(ROW()=2,"",B1034))</f>
      </c>
      <c r="C1035">
        <f>IF('R.M Billets Reports'!A1034="V.No.",'R.M Billets Reports'!B1034,IF(ROW()=2,"",C1034))</f>
      </c>
      <c r="D1035">
        <f>IF('R.M Billets Reports'!A1034&lt;&gt;"",'R.M Billets Reports'!A1034,IF(ROW()=2,"",D1034))</f>
      </c>
      <c r="E1035">
        <f>IF('R.M Billets Reports'!B1034="","",TRIM('R.M Billets Reports'!B1034))</f>
      </c>
      <c r="F1035">
        <f>'R.M Billets Reports'!C1034</f>
      </c>
      <c r="G1035">
        <f>'R.M Billets Reports'!D1034</f>
      </c>
      <c r="H1035">
        <f>'R.M Billets Reports'!E1034</f>
      </c>
      <c r="I1035">
        <f>'R.M Billets Reports'!F1034</f>
      </c>
      <c r="J1035">
        <f>'R.M Billets Reports'!G1034</f>
      </c>
      <c r="K1035">
        <f>'R.M Billets Reports'!H1034</f>
      </c>
      <c r="L1035">
        <f>IF('R.M Billets Reports'!I1034="","",'R.M Billets Reports'!I1034)</f>
      </c>
      <c r="M1035">
        <f t="shared" si="32"/>
      </c>
      <c r="N1035">
        <f>IF('R.M Billets Reports'!J1034="","",'R.M Billets Reports'!J1034)</f>
      </c>
      <c r="O1035">
        <f t="shared" si="33"/>
      </c>
      <c r="P1035">
        <f>IF('R.M Billets Reports'!A1034="SIZE",'R.M Billets Reports'!B1034,P1034)</f>
      </c>
    </row>
    <row r="1036" spans="1:16" x14ac:dyDescent="0.25">
      <c r="A1036">
        <f>IF(OR('R.M Billets Reports'!A1035="Date-",'R.M Billets Reports'!A1035="Date:-"),IF(IF(IF(ISNUMBER(SEARCH("Party Name:-",'R.M Billets Reports'!D1035)),TRIM('R.M Billets Reports'!F1035),IF(ISNUMBER(SEARCH("Party Name-",'R.M Billets Reports'!D1035)),TRIM(MID('R.M Billets Reports'!D1035,SEARCH("-",'R.M Billets Reports'!D1035)+1,200)),""))&lt;&gt;"",IF(ISNUMBER(SEARCH("Party Name:-",'R.M Billets Reports'!D1035)),TRIM('R.M Billets Reports'!F1035),IF(ISNUMBER(SEARCH("Party Name-",'R.M Billets Reports'!D1035)),TRIM(MID('R.M Billets Reports'!D1035,SEARCH("-",'R.M Billets Reports'!D1035)+1,200)),"")),IF(ISNUMBER(SEARCH("Party Name:-",'R.M Billets Reports'!D1036)),TRIM('R.M Billets Reports'!F1036),IF(ISNUMBER(SEARCH("Party Name-",'R.M Billets Reports'!D1036)),TRIM(MID('R.M Billets Reports'!D1036,SEARCH("-",'R.M Billets Reports'!D1036)+1,200)),"")))="VRKP ISPAT PVT LTD","VRKP",IF(IF(IF(ISNUMBER(SEARCH("Party Name:-",'R.M Billets Reports'!D1035)),TRIM('R.M Billets Reports'!F1035),IF(ISNUMBER(SEARCH("Party Name-",'R.M Billets Reports'!D1035)),TRIM(MID('R.M Billets Reports'!D1035,SEARCH("-",'R.M Billets Reports'!D1035)+1,200)),""))&lt;&gt;"",IF(ISNUMBER(SEARCH("Party Name:-",'R.M Billets Reports'!D1035)),TRIM('R.M Billets Reports'!F1035),IF(ISNUMBER(SEARCH("Party Name-",'R.M Billets Reports'!D1035)),TRIM(MID('R.M Billets Reports'!D1035,SEARCH("-",'R.M Billets Reports'!D1035)+1,200)),"")),IF(ISNUMBER(SEARCH("Party Name:-",'R.M Billets Reports'!D1036)),TRIM('R.M Billets Reports'!F1036),IF(ISNUMBER(SEARCH("Party Name-",'R.M Billets Reports'!D1036)),TRIM(MID('R.M Billets Reports'!D1036,SEARCH("-",'R.M Billets Reports'!D1036)+1,200)),"")))="SHRI RADHE","SHREE RADHE",IF(IF(IF(ISNUMBER(SEARCH("Party Name:-",'R.M Billets Reports'!D1035)),TRIM('R.M Billets Reports'!F1035),IF(ISNUMBER(SEARCH("Party Name-",'R.M Billets Reports'!D1035)),TRIM(MID('R.M Billets Reports'!D1035,SEARCH("-",'R.M Billets Reports'!D1035)+1,200)),""))&lt;&gt;"",IF(ISNUMBER(SEARCH("Party Name:-",'R.M Billets Reports'!D1035)),TRIM('R.M Billets Reports'!F1035),IF(ISNUMBER(SEARCH("Party Name-",'R.M Billets Reports'!D1035)),TRIM(MID('R.M Billets Reports'!D1035,SEARCH("-",'R.M Billets Reports'!D1035)+1,200)),"")),IF(ISNUMBER(SEARCH("Party Name:-",'R.M Billets Reports'!D1036)),TRIM('R.M Billets Reports'!F1036),IF(ISNUMBER(SEARCH("Party Name-",'R.M Billets Reports'!D1036)),TRIM(MID('R.M Billets Reports'!D1036,SEARCH("-",'R.M Billets Reports'!D1036)+1,200)),"")))="SHREE RADHE SHAKTI SPONGE AND POWER PVT. LTD.","SHREE RADHE",IF(IF(ISNUMBER(SEARCH("Party Name:-",'R.M Billets Reports'!D1035)),TRIM('R.M Billets Reports'!F1035),IF(ISNUMBER(SEARCH("Party Name-",'R.M Billets Reports'!D1035)),TRIM(MID('R.M Billets Reports'!D1035,SEARCH("-",'R.M Billets Reports'!D1035)+1,200)),""))&lt;&gt;"",IF(ISNUMBER(SEARCH("Party Name:-",'R.M Billets Reports'!D1035)),TRIM('R.M Billets Reports'!F1035),IF(ISNUMBER(SEARCH("Party Name-",'R.M Billets Reports'!D1035)),TRIM(MID('R.M Billets Reports'!D1035,SEARCH("-",'R.M Billets Reports'!D1035)+1,200)),"")),IF(ISNUMBER(SEARCH("Party Name:-",'R.M Billets Reports'!D1036)),TRIM('R.M Billets Reports'!F1036),IF(ISNUMBER(SEARCH("Party Name-",'R.M Billets Reports'!D1036)),TRIM(MID('R.M Billets Reports'!D1036,SEARCH("-",'R.M Billets Reports'!D1036)+1,200)),"")))))),IF(ROW()=2,"",A1035))</f>
      </c>
      <c r="B1036">
        <f>IF(OR('R.M Billets Reports'!A1035="Date-",'R.M Billets Reports'!A1035="Date:-"),'R.M Billets Reports'!B1035,IF(ROW()=2,"",B1035))</f>
      </c>
      <c r="C1036">
        <f>IF('R.M Billets Reports'!A1035="V.No.",'R.M Billets Reports'!B1035,IF(ROW()=2,"",C1035))</f>
      </c>
      <c r="D1036">
        <f>IF('R.M Billets Reports'!A1035&lt;&gt;"",'R.M Billets Reports'!A1035,IF(ROW()=2,"",D1035))</f>
      </c>
      <c r="E1036">
        <f>IF('R.M Billets Reports'!B1035="","",TRIM('R.M Billets Reports'!B1035))</f>
      </c>
      <c r="F1036">
        <f>'R.M Billets Reports'!C1035</f>
      </c>
      <c r="G1036">
        <f>'R.M Billets Reports'!D1035</f>
      </c>
      <c r="H1036">
        <f>'R.M Billets Reports'!E1035</f>
      </c>
      <c r="I1036">
        <f>'R.M Billets Reports'!F1035</f>
      </c>
      <c r="J1036">
        <f>'R.M Billets Reports'!G1035</f>
      </c>
      <c r="K1036">
        <f>'R.M Billets Reports'!H1035</f>
      </c>
      <c r="L1036">
        <f>IF('R.M Billets Reports'!I1035="","",'R.M Billets Reports'!I1035)</f>
      </c>
      <c r="M1036">
        <f t="shared" si="32"/>
      </c>
      <c r="N1036">
        <f>IF('R.M Billets Reports'!J1035="","",'R.M Billets Reports'!J1035)</f>
      </c>
      <c r="O1036">
        <f t="shared" si="33"/>
      </c>
      <c r="P1036">
        <f>IF('R.M Billets Reports'!A1035="SIZE",'R.M Billets Reports'!B1035,P1035)</f>
      </c>
    </row>
    <row r="1037" spans="1:16" x14ac:dyDescent="0.25">
      <c r="A1037">
        <f>IF(OR('R.M Billets Reports'!A1036="Date-",'R.M Billets Reports'!A1036="Date:-"),IF(IF(IF(ISNUMBER(SEARCH("Party Name:-",'R.M Billets Reports'!D1036)),TRIM('R.M Billets Reports'!F1036),IF(ISNUMBER(SEARCH("Party Name-",'R.M Billets Reports'!D1036)),TRIM(MID('R.M Billets Reports'!D1036,SEARCH("-",'R.M Billets Reports'!D1036)+1,200)),""))&lt;&gt;"",IF(ISNUMBER(SEARCH("Party Name:-",'R.M Billets Reports'!D1036)),TRIM('R.M Billets Reports'!F1036),IF(ISNUMBER(SEARCH("Party Name-",'R.M Billets Reports'!D1036)),TRIM(MID('R.M Billets Reports'!D1036,SEARCH("-",'R.M Billets Reports'!D1036)+1,200)),"")),IF(ISNUMBER(SEARCH("Party Name:-",'R.M Billets Reports'!D1037)),TRIM('R.M Billets Reports'!F1037),IF(ISNUMBER(SEARCH("Party Name-",'R.M Billets Reports'!D1037)),TRIM(MID('R.M Billets Reports'!D1037,SEARCH("-",'R.M Billets Reports'!D1037)+1,200)),"")))="VRKP ISPAT PVT LTD","VRKP",IF(IF(IF(ISNUMBER(SEARCH("Party Name:-",'R.M Billets Reports'!D1036)),TRIM('R.M Billets Reports'!F1036),IF(ISNUMBER(SEARCH("Party Name-",'R.M Billets Reports'!D1036)),TRIM(MID('R.M Billets Reports'!D1036,SEARCH("-",'R.M Billets Reports'!D1036)+1,200)),""))&lt;&gt;"",IF(ISNUMBER(SEARCH("Party Name:-",'R.M Billets Reports'!D1036)),TRIM('R.M Billets Reports'!F1036),IF(ISNUMBER(SEARCH("Party Name-",'R.M Billets Reports'!D1036)),TRIM(MID('R.M Billets Reports'!D1036,SEARCH("-",'R.M Billets Reports'!D1036)+1,200)),"")),IF(ISNUMBER(SEARCH("Party Name:-",'R.M Billets Reports'!D1037)),TRIM('R.M Billets Reports'!F1037),IF(ISNUMBER(SEARCH("Party Name-",'R.M Billets Reports'!D1037)),TRIM(MID('R.M Billets Reports'!D1037,SEARCH("-",'R.M Billets Reports'!D1037)+1,200)),"")))="SHRI RADHE","SHREE RADHE",IF(IF(IF(ISNUMBER(SEARCH("Party Name:-",'R.M Billets Reports'!D1036)),TRIM('R.M Billets Reports'!F1036),IF(ISNUMBER(SEARCH("Party Name-",'R.M Billets Reports'!D1036)),TRIM(MID('R.M Billets Reports'!D1036,SEARCH("-",'R.M Billets Reports'!D1036)+1,200)),""))&lt;&gt;"",IF(ISNUMBER(SEARCH("Party Name:-",'R.M Billets Reports'!D1036)),TRIM('R.M Billets Reports'!F1036),IF(ISNUMBER(SEARCH("Party Name-",'R.M Billets Reports'!D1036)),TRIM(MID('R.M Billets Reports'!D1036,SEARCH("-",'R.M Billets Reports'!D1036)+1,200)),"")),IF(ISNUMBER(SEARCH("Party Name:-",'R.M Billets Reports'!D1037)),TRIM('R.M Billets Reports'!F1037),IF(ISNUMBER(SEARCH("Party Name-",'R.M Billets Reports'!D1037)),TRIM(MID('R.M Billets Reports'!D1037,SEARCH("-",'R.M Billets Reports'!D1037)+1,200)),"")))="SHREE RADHE SHAKTI SPONGE AND POWER PVT. LTD.","SHREE RADHE",IF(IF(ISNUMBER(SEARCH("Party Name:-",'R.M Billets Reports'!D1036)),TRIM('R.M Billets Reports'!F1036),IF(ISNUMBER(SEARCH("Party Name-",'R.M Billets Reports'!D1036)),TRIM(MID('R.M Billets Reports'!D1036,SEARCH("-",'R.M Billets Reports'!D1036)+1,200)),""))&lt;&gt;"",IF(ISNUMBER(SEARCH("Party Name:-",'R.M Billets Reports'!D1036)),TRIM('R.M Billets Reports'!F1036),IF(ISNUMBER(SEARCH("Party Name-",'R.M Billets Reports'!D1036)),TRIM(MID('R.M Billets Reports'!D1036,SEARCH("-",'R.M Billets Reports'!D1036)+1,200)),"")),IF(ISNUMBER(SEARCH("Party Name:-",'R.M Billets Reports'!D1037)),TRIM('R.M Billets Reports'!F1037),IF(ISNUMBER(SEARCH("Party Name-",'R.M Billets Reports'!D1037)),TRIM(MID('R.M Billets Reports'!D1037,SEARCH("-",'R.M Billets Reports'!D1037)+1,200)),"")))))),IF(ROW()=2,"",A1036))</f>
      </c>
      <c r="B1037">
        <f>IF(OR('R.M Billets Reports'!A1036="Date-",'R.M Billets Reports'!A1036="Date:-"),'R.M Billets Reports'!B1036,IF(ROW()=2,"",B1036))</f>
      </c>
      <c r="C1037">
        <f>IF('R.M Billets Reports'!A1036="V.No.",'R.M Billets Reports'!B1036,IF(ROW()=2,"",C1036))</f>
      </c>
      <c r="D1037">
        <f>IF('R.M Billets Reports'!A1036&lt;&gt;"",'R.M Billets Reports'!A1036,IF(ROW()=2,"",D1036))</f>
      </c>
      <c r="E1037">
        <f>IF('R.M Billets Reports'!B1036="","",TRIM('R.M Billets Reports'!B1036))</f>
      </c>
      <c r="F1037">
        <f>'R.M Billets Reports'!C1036</f>
      </c>
      <c r="G1037">
        <f>'R.M Billets Reports'!D1036</f>
      </c>
      <c r="H1037">
        <f>'R.M Billets Reports'!E1036</f>
      </c>
      <c r="I1037">
        <f>'R.M Billets Reports'!F1036</f>
      </c>
      <c r="J1037">
        <f>'R.M Billets Reports'!G1036</f>
      </c>
      <c r="K1037">
        <f>'R.M Billets Reports'!H1036</f>
      </c>
      <c r="L1037">
        <f>IF('R.M Billets Reports'!I1036="","",'R.M Billets Reports'!I1036)</f>
      </c>
      <c r="M1037">
        <f t="shared" si="32"/>
      </c>
      <c r="N1037">
        <f>IF('R.M Billets Reports'!J1036="","",'R.M Billets Reports'!J1036)</f>
      </c>
      <c r="O1037">
        <f t="shared" si="33"/>
      </c>
      <c r="P1037">
        <f>IF('R.M Billets Reports'!A1036="SIZE",'R.M Billets Reports'!B1036,P1036)</f>
      </c>
    </row>
    <row r="1038" spans="1:16" x14ac:dyDescent="0.25">
      <c r="A1038">
        <f>IF(OR('R.M Billets Reports'!A1037="Date-",'R.M Billets Reports'!A1037="Date:-"),IF(IF(IF(ISNUMBER(SEARCH("Party Name:-",'R.M Billets Reports'!D1037)),TRIM('R.M Billets Reports'!F1037),IF(ISNUMBER(SEARCH("Party Name-",'R.M Billets Reports'!D1037)),TRIM(MID('R.M Billets Reports'!D1037,SEARCH("-",'R.M Billets Reports'!D1037)+1,200)),""))&lt;&gt;"",IF(ISNUMBER(SEARCH("Party Name:-",'R.M Billets Reports'!D1037)),TRIM('R.M Billets Reports'!F1037),IF(ISNUMBER(SEARCH("Party Name-",'R.M Billets Reports'!D1037)),TRIM(MID('R.M Billets Reports'!D1037,SEARCH("-",'R.M Billets Reports'!D1037)+1,200)),"")),IF(ISNUMBER(SEARCH("Party Name:-",'R.M Billets Reports'!D1038)),TRIM('R.M Billets Reports'!F1038),IF(ISNUMBER(SEARCH("Party Name-",'R.M Billets Reports'!D1038)),TRIM(MID('R.M Billets Reports'!D1038,SEARCH("-",'R.M Billets Reports'!D1038)+1,200)),"")))="VRKP ISPAT PVT LTD","VRKP",IF(IF(IF(ISNUMBER(SEARCH("Party Name:-",'R.M Billets Reports'!D1037)),TRIM('R.M Billets Reports'!F1037),IF(ISNUMBER(SEARCH("Party Name-",'R.M Billets Reports'!D1037)),TRIM(MID('R.M Billets Reports'!D1037,SEARCH("-",'R.M Billets Reports'!D1037)+1,200)),""))&lt;&gt;"",IF(ISNUMBER(SEARCH("Party Name:-",'R.M Billets Reports'!D1037)),TRIM('R.M Billets Reports'!F1037),IF(ISNUMBER(SEARCH("Party Name-",'R.M Billets Reports'!D1037)),TRIM(MID('R.M Billets Reports'!D1037,SEARCH("-",'R.M Billets Reports'!D1037)+1,200)),"")),IF(ISNUMBER(SEARCH("Party Name:-",'R.M Billets Reports'!D1038)),TRIM('R.M Billets Reports'!F1038),IF(ISNUMBER(SEARCH("Party Name-",'R.M Billets Reports'!D1038)),TRIM(MID('R.M Billets Reports'!D1038,SEARCH("-",'R.M Billets Reports'!D1038)+1,200)),"")))="SHRI RADHE","SHREE RADHE",IF(IF(IF(ISNUMBER(SEARCH("Party Name:-",'R.M Billets Reports'!D1037)),TRIM('R.M Billets Reports'!F1037),IF(ISNUMBER(SEARCH("Party Name-",'R.M Billets Reports'!D1037)),TRIM(MID('R.M Billets Reports'!D1037,SEARCH("-",'R.M Billets Reports'!D1037)+1,200)),""))&lt;&gt;"",IF(ISNUMBER(SEARCH("Party Name:-",'R.M Billets Reports'!D1037)),TRIM('R.M Billets Reports'!F1037),IF(ISNUMBER(SEARCH("Party Name-",'R.M Billets Reports'!D1037)),TRIM(MID('R.M Billets Reports'!D1037,SEARCH("-",'R.M Billets Reports'!D1037)+1,200)),"")),IF(ISNUMBER(SEARCH("Party Name:-",'R.M Billets Reports'!D1038)),TRIM('R.M Billets Reports'!F1038),IF(ISNUMBER(SEARCH("Party Name-",'R.M Billets Reports'!D1038)),TRIM(MID('R.M Billets Reports'!D1038,SEARCH("-",'R.M Billets Reports'!D1038)+1,200)),"")))="SHREE RADHE SHAKTI SPONGE AND POWER PVT. LTD.","SHREE RADHE",IF(IF(ISNUMBER(SEARCH("Party Name:-",'R.M Billets Reports'!D1037)),TRIM('R.M Billets Reports'!F1037),IF(ISNUMBER(SEARCH("Party Name-",'R.M Billets Reports'!D1037)),TRIM(MID('R.M Billets Reports'!D1037,SEARCH("-",'R.M Billets Reports'!D1037)+1,200)),""))&lt;&gt;"",IF(ISNUMBER(SEARCH("Party Name:-",'R.M Billets Reports'!D1037)),TRIM('R.M Billets Reports'!F1037),IF(ISNUMBER(SEARCH("Party Name-",'R.M Billets Reports'!D1037)),TRIM(MID('R.M Billets Reports'!D1037,SEARCH("-",'R.M Billets Reports'!D1037)+1,200)),"")),IF(ISNUMBER(SEARCH("Party Name:-",'R.M Billets Reports'!D1038)),TRIM('R.M Billets Reports'!F1038),IF(ISNUMBER(SEARCH("Party Name-",'R.M Billets Reports'!D1038)),TRIM(MID('R.M Billets Reports'!D1038,SEARCH("-",'R.M Billets Reports'!D1038)+1,200)),"")))))),IF(ROW()=2,"",A1037))</f>
      </c>
      <c r="B1038">
        <f>IF(OR('R.M Billets Reports'!A1037="Date-",'R.M Billets Reports'!A1037="Date:-"),'R.M Billets Reports'!B1037,IF(ROW()=2,"",B1037))</f>
      </c>
      <c r="C1038">
        <f>IF('R.M Billets Reports'!A1037="V.No.",'R.M Billets Reports'!B1037,IF(ROW()=2,"",C1037))</f>
      </c>
      <c r="D1038">
        <f>IF('R.M Billets Reports'!A1037&lt;&gt;"",'R.M Billets Reports'!A1037,IF(ROW()=2,"",D1037))</f>
      </c>
      <c r="E1038">
        <f>IF('R.M Billets Reports'!B1037="","",TRIM('R.M Billets Reports'!B1037))</f>
      </c>
      <c r="F1038">
        <f>'R.M Billets Reports'!C1037</f>
      </c>
      <c r="G1038">
        <f>'R.M Billets Reports'!D1037</f>
      </c>
      <c r="H1038">
        <f>'R.M Billets Reports'!E1037</f>
      </c>
      <c r="I1038">
        <f>'R.M Billets Reports'!F1037</f>
      </c>
      <c r="J1038">
        <f>'R.M Billets Reports'!G1037</f>
      </c>
      <c r="K1038">
        <f>'R.M Billets Reports'!H1037</f>
      </c>
      <c r="L1038">
        <f>IF('R.M Billets Reports'!I1037="","",'R.M Billets Reports'!I1037)</f>
      </c>
      <c r="M1038">
        <f t="shared" si="32"/>
      </c>
      <c r="N1038">
        <f>IF('R.M Billets Reports'!J1037="","",'R.M Billets Reports'!J1037)</f>
      </c>
      <c r="O1038">
        <f t="shared" si="33"/>
      </c>
      <c r="P1038">
        <f>IF('R.M Billets Reports'!A1037="SIZE",'R.M Billets Reports'!B1037,P1037)</f>
      </c>
    </row>
    <row r="1039" spans="1:16" x14ac:dyDescent="0.25">
      <c r="A1039">
        <f>IF(OR('R.M Billets Reports'!A1038="Date-",'R.M Billets Reports'!A1038="Date:-"),IF(IF(IF(ISNUMBER(SEARCH("Party Name:-",'R.M Billets Reports'!D1038)),TRIM('R.M Billets Reports'!F1038),IF(ISNUMBER(SEARCH("Party Name-",'R.M Billets Reports'!D1038)),TRIM(MID('R.M Billets Reports'!D1038,SEARCH("-",'R.M Billets Reports'!D1038)+1,200)),""))&lt;&gt;"",IF(ISNUMBER(SEARCH("Party Name:-",'R.M Billets Reports'!D1038)),TRIM('R.M Billets Reports'!F1038),IF(ISNUMBER(SEARCH("Party Name-",'R.M Billets Reports'!D1038)),TRIM(MID('R.M Billets Reports'!D1038,SEARCH("-",'R.M Billets Reports'!D1038)+1,200)),"")),IF(ISNUMBER(SEARCH("Party Name:-",'R.M Billets Reports'!D1039)),TRIM('R.M Billets Reports'!F1039),IF(ISNUMBER(SEARCH("Party Name-",'R.M Billets Reports'!D1039)),TRIM(MID('R.M Billets Reports'!D1039,SEARCH("-",'R.M Billets Reports'!D1039)+1,200)),"")))="VRKP ISPAT PVT LTD","VRKP",IF(IF(IF(ISNUMBER(SEARCH("Party Name:-",'R.M Billets Reports'!D1038)),TRIM('R.M Billets Reports'!F1038),IF(ISNUMBER(SEARCH("Party Name-",'R.M Billets Reports'!D1038)),TRIM(MID('R.M Billets Reports'!D1038,SEARCH("-",'R.M Billets Reports'!D1038)+1,200)),""))&lt;&gt;"",IF(ISNUMBER(SEARCH("Party Name:-",'R.M Billets Reports'!D1038)),TRIM('R.M Billets Reports'!F1038),IF(ISNUMBER(SEARCH("Party Name-",'R.M Billets Reports'!D1038)),TRIM(MID('R.M Billets Reports'!D1038,SEARCH("-",'R.M Billets Reports'!D1038)+1,200)),"")),IF(ISNUMBER(SEARCH("Party Name:-",'R.M Billets Reports'!D1039)),TRIM('R.M Billets Reports'!F1039),IF(ISNUMBER(SEARCH("Party Name-",'R.M Billets Reports'!D1039)),TRIM(MID('R.M Billets Reports'!D1039,SEARCH("-",'R.M Billets Reports'!D1039)+1,200)),"")))="SHRI RADHE","SHREE RADHE",IF(IF(IF(ISNUMBER(SEARCH("Party Name:-",'R.M Billets Reports'!D1038)),TRIM('R.M Billets Reports'!F1038),IF(ISNUMBER(SEARCH("Party Name-",'R.M Billets Reports'!D1038)),TRIM(MID('R.M Billets Reports'!D1038,SEARCH("-",'R.M Billets Reports'!D1038)+1,200)),""))&lt;&gt;"",IF(ISNUMBER(SEARCH("Party Name:-",'R.M Billets Reports'!D1038)),TRIM('R.M Billets Reports'!F1038),IF(ISNUMBER(SEARCH("Party Name-",'R.M Billets Reports'!D1038)),TRIM(MID('R.M Billets Reports'!D1038,SEARCH("-",'R.M Billets Reports'!D1038)+1,200)),"")),IF(ISNUMBER(SEARCH("Party Name:-",'R.M Billets Reports'!D1039)),TRIM('R.M Billets Reports'!F1039),IF(ISNUMBER(SEARCH("Party Name-",'R.M Billets Reports'!D1039)),TRIM(MID('R.M Billets Reports'!D1039,SEARCH("-",'R.M Billets Reports'!D1039)+1,200)),"")))="SHREE RADHE SHAKTI SPONGE AND POWER PVT. LTD.","SHREE RADHE",IF(IF(ISNUMBER(SEARCH("Party Name:-",'R.M Billets Reports'!D1038)),TRIM('R.M Billets Reports'!F1038),IF(ISNUMBER(SEARCH("Party Name-",'R.M Billets Reports'!D1038)),TRIM(MID('R.M Billets Reports'!D1038,SEARCH("-",'R.M Billets Reports'!D1038)+1,200)),""))&lt;&gt;"",IF(ISNUMBER(SEARCH("Party Name:-",'R.M Billets Reports'!D1038)),TRIM('R.M Billets Reports'!F1038),IF(ISNUMBER(SEARCH("Party Name-",'R.M Billets Reports'!D1038)),TRIM(MID('R.M Billets Reports'!D1038,SEARCH("-",'R.M Billets Reports'!D1038)+1,200)),"")),IF(ISNUMBER(SEARCH("Party Name:-",'R.M Billets Reports'!D1039)),TRIM('R.M Billets Reports'!F1039),IF(ISNUMBER(SEARCH("Party Name-",'R.M Billets Reports'!D1039)),TRIM(MID('R.M Billets Reports'!D1039,SEARCH("-",'R.M Billets Reports'!D1039)+1,200)),"")))))),IF(ROW()=2,"",A1038))</f>
      </c>
      <c r="B1039">
        <f>IF(OR('R.M Billets Reports'!A1038="Date-",'R.M Billets Reports'!A1038="Date:-"),'R.M Billets Reports'!B1038,IF(ROW()=2,"",B1038))</f>
      </c>
      <c r="C1039">
        <f>IF('R.M Billets Reports'!A1038="V.No.",'R.M Billets Reports'!B1038,IF(ROW()=2,"",C1038))</f>
      </c>
      <c r="D1039">
        <f>IF('R.M Billets Reports'!A1038&lt;&gt;"",'R.M Billets Reports'!A1038,IF(ROW()=2,"",D1038))</f>
      </c>
      <c r="E1039">
        <f>IF('R.M Billets Reports'!B1038="","",TRIM('R.M Billets Reports'!B1038))</f>
      </c>
      <c r="F1039">
        <f>'R.M Billets Reports'!C1038</f>
      </c>
      <c r="G1039">
        <f>'R.M Billets Reports'!D1038</f>
      </c>
      <c r="H1039">
        <f>'R.M Billets Reports'!E1038</f>
      </c>
      <c r="I1039">
        <f>'R.M Billets Reports'!F1038</f>
      </c>
      <c r="J1039">
        <f>'R.M Billets Reports'!G1038</f>
      </c>
      <c r="K1039">
        <f>'R.M Billets Reports'!H1038</f>
      </c>
      <c r="L1039">
        <f>IF('R.M Billets Reports'!I1038="","",'R.M Billets Reports'!I1038)</f>
      </c>
      <c r="M1039">
        <f t="shared" si="32"/>
      </c>
      <c r="N1039">
        <f>IF('R.M Billets Reports'!J1038="","",'R.M Billets Reports'!J1038)</f>
      </c>
      <c r="O1039">
        <f t="shared" si="33"/>
      </c>
      <c r="P1039">
        <f>IF('R.M Billets Reports'!A1038="SIZE",'R.M Billets Reports'!B1038,P1038)</f>
      </c>
    </row>
    <row r="1040" spans="1:16" x14ac:dyDescent="0.25">
      <c r="A1040">
        <f>IF(OR('R.M Billets Reports'!A1039="Date-",'R.M Billets Reports'!A1039="Date:-"),IF(IF(IF(ISNUMBER(SEARCH("Party Name:-",'R.M Billets Reports'!D1039)),TRIM('R.M Billets Reports'!F1039),IF(ISNUMBER(SEARCH("Party Name-",'R.M Billets Reports'!D1039)),TRIM(MID('R.M Billets Reports'!D1039,SEARCH("-",'R.M Billets Reports'!D1039)+1,200)),""))&lt;&gt;"",IF(ISNUMBER(SEARCH("Party Name:-",'R.M Billets Reports'!D1039)),TRIM('R.M Billets Reports'!F1039),IF(ISNUMBER(SEARCH("Party Name-",'R.M Billets Reports'!D1039)),TRIM(MID('R.M Billets Reports'!D1039,SEARCH("-",'R.M Billets Reports'!D1039)+1,200)),"")),IF(ISNUMBER(SEARCH("Party Name:-",'R.M Billets Reports'!D1040)),TRIM('R.M Billets Reports'!F1040),IF(ISNUMBER(SEARCH("Party Name-",'R.M Billets Reports'!D1040)),TRIM(MID('R.M Billets Reports'!D1040,SEARCH("-",'R.M Billets Reports'!D1040)+1,200)),"")))="VRKP ISPAT PVT LTD","VRKP",IF(IF(IF(ISNUMBER(SEARCH("Party Name:-",'R.M Billets Reports'!D1039)),TRIM('R.M Billets Reports'!F1039),IF(ISNUMBER(SEARCH("Party Name-",'R.M Billets Reports'!D1039)),TRIM(MID('R.M Billets Reports'!D1039,SEARCH("-",'R.M Billets Reports'!D1039)+1,200)),""))&lt;&gt;"",IF(ISNUMBER(SEARCH("Party Name:-",'R.M Billets Reports'!D1039)),TRIM('R.M Billets Reports'!F1039),IF(ISNUMBER(SEARCH("Party Name-",'R.M Billets Reports'!D1039)),TRIM(MID('R.M Billets Reports'!D1039,SEARCH("-",'R.M Billets Reports'!D1039)+1,200)),"")),IF(ISNUMBER(SEARCH("Party Name:-",'R.M Billets Reports'!D1040)),TRIM('R.M Billets Reports'!F1040),IF(ISNUMBER(SEARCH("Party Name-",'R.M Billets Reports'!D1040)),TRIM(MID('R.M Billets Reports'!D1040,SEARCH("-",'R.M Billets Reports'!D1040)+1,200)),"")))="SHRI RADHE","SHREE RADHE",IF(IF(IF(ISNUMBER(SEARCH("Party Name:-",'R.M Billets Reports'!D1039)),TRIM('R.M Billets Reports'!F1039),IF(ISNUMBER(SEARCH("Party Name-",'R.M Billets Reports'!D1039)),TRIM(MID('R.M Billets Reports'!D1039,SEARCH("-",'R.M Billets Reports'!D1039)+1,200)),""))&lt;&gt;"",IF(ISNUMBER(SEARCH("Party Name:-",'R.M Billets Reports'!D1039)),TRIM('R.M Billets Reports'!F1039),IF(ISNUMBER(SEARCH("Party Name-",'R.M Billets Reports'!D1039)),TRIM(MID('R.M Billets Reports'!D1039,SEARCH("-",'R.M Billets Reports'!D1039)+1,200)),"")),IF(ISNUMBER(SEARCH("Party Name:-",'R.M Billets Reports'!D1040)),TRIM('R.M Billets Reports'!F1040),IF(ISNUMBER(SEARCH("Party Name-",'R.M Billets Reports'!D1040)),TRIM(MID('R.M Billets Reports'!D1040,SEARCH("-",'R.M Billets Reports'!D1040)+1,200)),"")))="SHREE RADHE SHAKTI SPONGE AND POWER PVT. LTD.","SHREE RADHE",IF(IF(ISNUMBER(SEARCH("Party Name:-",'R.M Billets Reports'!D1039)),TRIM('R.M Billets Reports'!F1039),IF(ISNUMBER(SEARCH("Party Name-",'R.M Billets Reports'!D1039)),TRIM(MID('R.M Billets Reports'!D1039,SEARCH("-",'R.M Billets Reports'!D1039)+1,200)),""))&lt;&gt;"",IF(ISNUMBER(SEARCH("Party Name:-",'R.M Billets Reports'!D1039)),TRIM('R.M Billets Reports'!F1039),IF(ISNUMBER(SEARCH("Party Name-",'R.M Billets Reports'!D1039)),TRIM(MID('R.M Billets Reports'!D1039,SEARCH("-",'R.M Billets Reports'!D1039)+1,200)),"")),IF(ISNUMBER(SEARCH("Party Name:-",'R.M Billets Reports'!D1040)),TRIM('R.M Billets Reports'!F1040),IF(ISNUMBER(SEARCH("Party Name-",'R.M Billets Reports'!D1040)),TRIM(MID('R.M Billets Reports'!D1040,SEARCH("-",'R.M Billets Reports'!D1040)+1,200)),"")))))),IF(ROW()=2,"",A1039))</f>
      </c>
      <c r="B1040">
        <f>IF(OR('R.M Billets Reports'!A1039="Date-",'R.M Billets Reports'!A1039="Date:-"),'R.M Billets Reports'!B1039,IF(ROW()=2,"",B1039))</f>
      </c>
      <c r="C1040">
        <f>IF('R.M Billets Reports'!A1039="V.No.",'R.M Billets Reports'!B1039,IF(ROW()=2,"",C1039))</f>
      </c>
      <c r="D1040">
        <f>IF('R.M Billets Reports'!A1039&lt;&gt;"",'R.M Billets Reports'!A1039,IF(ROW()=2,"",D1039))</f>
      </c>
      <c r="E1040">
        <f>IF('R.M Billets Reports'!B1039="","",TRIM('R.M Billets Reports'!B1039))</f>
      </c>
      <c r="F1040">
        <f>'R.M Billets Reports'!C1039</f>
      </c>
      <c r="G1040">
        <f>'R.M Billets Reports'!D1039</f>
      </c>
      <c r="H1040">
        <f>'R.M Billets Reports'!E1039</f>
      </c>
      <c r="I1040">
        <f>'R.M Billets Reports'!F1039</f>
      </c>
      <c r="J1040">
        <f>'R.M Billets Reports'!G1039</f>
      </c>
      <c r="K1040">
        <f>'R.M Billets Reports'!H1039</f>
      </c>
      <c r="L1040">
        <f>IF('R.M Billets Reports'!I1039="","",'R.M Billets Reports'!I1039)</f>
      </c>
      <c r="M1040">
        <f t="shared" si="32"/>
      </c>
      <c r="N1040">
        <f>IF('R.M Billets Reports'!J1039="","",'R.M Billets Reports'!J1039)</f>
      </c>
      <c r="O1040">
        <f t="shared" si="33"/>
      </c>
      <c r="P1040">
        <f>IF('R.M Billets Reports'!A1039="SIZE",'R.M Billets Reports'!B1039,P1039)</f>
      </c>
    </row>
    <row r="1041" spans="1:16" x14ac:dyDescent="0.25">
      <c r="A1041">
        <f>IF(OR('R.M Billets Reports'!A1040="Date-",'R.M Billets Reports'!A1040="Date:-"),IF(IF(IF(ISNUMBER(SEARCH("Party Name:-",'R.M Billets Reports'!D1040)),TRIM('R.M Billets Reports'!F1040),IF(ISNUMBER(SEARCH("Party Name-",'R.M Billets Reports'!D1040)),TRIM(MID('R.M Billets Reports'!D1040,SEARCH("-",'R.M Billets Reports'!D1040)+1,200)),""))&lt;&gt;"",IF(ISNUMBER(SEARCH("Party Name:-",'R.M Billets Reports'!D1040)),TRIM('R.M Billets Reports'!F1040),IF(ISNUMBER(SEARCH("Party Name-",'R.M Billets Reports'!D1040)),TRIM(MID('R.M Billets Reports'!D1040,SEARCH("-",'R.M Billets Reports'!D1040)+1,200)),"")),IF(ISNUMBER(SEARCH("Party Name:-",'R.M Billets Reports'!D1041)),TRIM('R.M Billets Reports'!F1041),IF(ISNUMBER(SEARCH("Party Name-",'R.M Billets Reports'!D1041)),TRIM(MID('R.M Billets Reports'!D1041,SEARCH("-",'R.M Billets Reports'!D1041)+1,200)),"")))="VRKP ISPAT PVT LTD","VRKP",IF(IF(IF(ISNUMBER(SEARCH("Party Name:-",'R.M Billets Reports'!D1040)),TRIM('R.M Billets Reports'!F1040),IF(ISNUMBER(SEARCH("Party Name-",'R.M Billets Reports'!D1040)),TRIM(MID('R.M Billets Reports'!D1040,SEARCH("-",'R.M Billets Reports'!D1040)+1,200)),""))&lt;&gt;"",IF(ISNUMBER(SEARCH("Party Name:-",'R.M Billets Reports'!D1040)),TRIM('R.M Billets Reports'!F1040),IF(ISNUMBER(SEARCH("Party Name-",'R.M Billets Reports'!D1040)),TRIM(MID('R.M Billets Reports'!D1040,SEARCH("-",'R.M Billets Reports'!D1040)+1,200)),"")),IF(ISNUMBER(SEARCH("Party Name:-",'R.M Billets Reports'!D1041)),TRIM('R.M Billets Reports'!F1041),IF(ISNUMBER(SEARCH("Party Name-",'R.M Billets Reports'!D1041)),TRIM(MID('R.M Billets Reports'!D1041,SEARCH("-",'R.M Billets Reports'!D1041)+1,200)),"")))="SHRI RADHE","SHREE RADHE",IF(IF(IF(ISNUMBER(SEARCH("Party Name:-",'R.M Billets Reports'!D1040)),TRIM('R.M Billets Reports'!F1040),IF(ISNUMBER(SEARCH("Party Name-",'R.M Billets Reports'!D1040)),TRIM(MID('R.M Billets Reports'!D1040,SEARCH("-",'R.M Billets Reports'!D1040)+1,200)),""))&lt;&gt;"",IF(ISNUMBER(SEARCH("Party Name:-",'R.M Billets Reports'!D1040)),TRIM('R.M Billets Reports'!F1040),IF(ISNUMBER(SEARCH("Party Name-",'R.M Billets Reports'!D1040)),TRIM(MID('R.M Billets Reports'!D1040,SEARCH("-",'R.M Billets Reports'!D1040)+1,200)),"")),IF(ISNUMBER(SEARCH("Party Name:-",'R.M Billets Reports'!D1041)),TRIM('R.M Billets Reports'!F1041),IF(ISNUMBER(SEARCH("Party Name-",'R.M Billets Reports'!D1041)),TRIM(MID('R.M Billets Reports'!D1041,SEARCH("-",'R.M Billets Reports'!D1041)+1,200)),"")))="SHREE RADHE SHAKTI SPONGE AND POWER PVT. LTD.","SHREE RADHE",IF(IF(ISNUMBER(SEARCH("Party Name:-",'R.M Billets Reports'!D1040)),TRIM('R.M Billets Reports'!F1040),IF(ISNUMBER(SEARCH("Party Name-",'R.M Billets Reports'!D1040)),TRIM(MID('R.M Billets Reports'!D1040,SEARCH("-",'R.M Billets Reports'!D1040)+1,200)),""))&lt;&gt;"",IF(ISNUMBER(SEARCH("Party Name:-",'R.M Billets Reports'!D1040)),TRIM('R.M Billets Reports'!F1040),IF(ISNUMBER(SEARCH("Party Name-",'R.M Billets Reports'!D1040)),TRIM(MID('R.M Billets Reports'!D1040,SEARCH("-",'R.M Billets Reports'!D1040)+1,200)),"")),IF(ISNUMBER(SEARCH("Party Name:-",'R.M Billets Reports'!D1041)),TRIM('R.M Billets Reports'!F1041),IF(ISNUMBER(SEARCH("Party Name-",'R.M Billets Reports'!D1041)),TRIM(MID('R.M Billets Reports'!D1041,SEARCH("-",'R.M Billets Reports'!D1041)+1,200)),"")))))),IF(ROW()=2,"",A1040))</f>
      </c>
      <c r="B1041">
        <f>IF(OR('R.M Billets Reports'!A1040="Date-",'R.M Billets Reports'!A1040="Date:-"),'R.M Billets Reports'!B1040,IF(ROW()=2,"",B1040))</f>
      </c>
      <c r="C1041">
        <f>IF('R.M Billets Reports'!A1040="V.No.",'R.M Billets Reports'!B1040,IF(ROW()=2,"",C1040))</f>
      </c>
      <c r="D1041">
        <f>IF('R.M Billets Reports'!A1040&lt;&gt;"",'R.M Billets Reports'!A1040,IF(ROW()=2,"",D1040))</f>
      </c>
      <c r="E1041">
        <f>IF('R.M Billets Reports'!B1040="","",TRIM('R.M Billets Reports'!B1040))</f>
      </c>
      <c r="F1041">
        <f>'R.M Billets Reports'!C1040</f>
      </c>
      <c r="G1041">
        <f>'R.M Billets Reports'!D1040</f>
      </c>
      <c r="H1041">
        <f>'R.M Billets Reports'!E1040</f>
      </c>
      <c r="I1041">
        <f>'R.M Billets Reports'!F1040</f>
      </c>
      <c r="J1041">
        <f>'R.M Billets Reports'!G1040</f>
      </c>
      <c r="K1041">
        <f>'R.M Billets Reports'!H1040</f>
      </c>
      <c r="L1041">
        <f>IF('R.M Billets Reports'!I1040="","",'R.M Billets Reports'!I1040)</f>
      </c>
      <c r="M1041">
        <f t="shared" si="32"/>
      </c>
      <c r="N1041">
        <f>IF('R.M Billets Reports'!J1040="","",'R.M Billets Reports'!J1040)</f>
      </c>
      <c r="O1041">
        <f t="shared" si="33"/>
      </c>
      <c r="P1041">
        <f>IF('R.M Billets Reports'!A1040="SIZE",'R.M Billets Reports'!B1040,P1040)</f>
      </c>
    </row>
    <row r="1042" spans="1:16" x14ac:dyDescent="0.25">
      <c r="A1042">
        <f>IF(OR('R.M Billets Reports'!A1041="Date-",'R.M Billets Reports'!A1041="Date:-"),IF(IF(IF(ISNUMBER(SEARCH("Party Name:-",'R.M Billets Reports'!D1041)),TRIM('R.M Billets Reports'!F1041),IF(ISNUMBER(SEARCH("Party Name-",'R.M Billets Reports'!D1041)),TRIM(MID('R.M Billets Reports'!D1041,SEARCH("-",'R.M Billets Reports'!D1041)+1,200)),""))&lt;&gt;"",IF(ISNUMBER(SEARCH("Party Name:-",'R.M Billets Reports'!D1041)),TRIM('R.M Billets Reports'!F1041),IF(ISNUMBER(SEARCH("Party Name-",'R.M Billets Reports'!D1041)),TRIM(MID('R.M Billets Reports'!D1041,SEARCH("-",'R.M Billets Reports'!D1041)+1,200)),"")),IF(ISNUMBER(SEARCH("Party Name:-",'R.M Billets Reports'!D1042)),TRIM('R.M Billets Reports'!F1042),IF(ISNUMBER(SEARCH("Party Name-",'R.M Billets Reports'!D1042)),TRIM(MID('R.M Billets Reports'!D1042,SEARCH("-",'R.M Billets Reports'!D1042)+1,200)),"")))="VRKP ISPAT PVT LTD","VRKP",IF(IF(IF(ISNUMBER(SEARCH("Party Name:-",'R.M Billets Reports'!D1041)),TRIM('R.M Billets Reports'!F1041),IF(ISNUMBER(SEARCH("Party Name-",'R.M Billets Reports'!D1041)),TRIM(MID('R.M Billets Reports'!D1041,SEARCH("-",'R.M Billets Reports'!D1041)+1,200)),""))&lt;&gt;"",IF(ISNUMBER(SEARCH("Party Name:-",'R.M Billets Reports'!D1041)),TRIM('R.M Billets Reports'!F1041),IF(ISNUMBER(SEARCH("Party Name-",'R.M Billets Reports'!D1041)),TRIM(MID('R.M Billets Reports'!D1041,SEARCH("-",'R.M Billets Reports'!D1041)+1,200)),"")),IF(ISNUMBER(SEARCH("Party Name:-",'R.M Billets Reports'!D1042)),TRIM('R.M Billets Reports'!F1042),IF(ISNUMBER(SEARCH("Party Name-",'R.M Billets Reports'!D1042)),TRIM(MID('R.M Billets Reports'!D1042,SEARCH("-",'R.M Billets Reports'!D1042)+1,200)),"")))="SHRI RADHE","SHREE RADHE",IF(IF(IF(ISNUMBER(SEARCH("Party Name:-",'R.M Billets Reports'!D1041)),TRIM('R.M Billets Reports'!F1041),IF(ISNUMBER(SEARCH("Party Name-",'R.M Billets Reports'!D1041)),TRIM(MID('R.M Billets Reports'!D1041,SEARCH("-",'R.M Billets Reports'!D1041)+1,200)),""))&lt;&gt;"",IF(ISNUMBER(SEARCH("Party Name:-",'R.M Billets Reports'!D1041)),TRIM('R.M Billets Reports'!F1041),IF(ISNUMBER(SEARCH("Party Name-",'R.M Billets Reports'!D1041)),TRIM(MID('R.M Billets Reports'!D1041,SEARCH("-",'R.M Billets Reports'!D1041)+1,200)),"")),IF(ISNUMBER(SEARCH("Party Name:-",'R.M Billets Reports'!D1042)),TRIM('R.M Billets Reports'!F1042),IF(ISNUMBER(SEARCH("Party Name-",'R.M Billets Reports'!D1042)),TRIM(MID('R.M Billets Reports'!D1042,SEARCH("-",'R.M Billets Reports'!D1042)+1,200)),"")))="SHREE RADHE SHAKTI SPONGE AND POWER PVT. LTD.","SHREE RADHE",IF(IF(ISNUMBER(SEARCH("Party Name:-",'R.M Billets Reports'!D1041)),TRIM('R.M Billets Reports'!F1041),IF(ISNUMBER(SEARCH("Party Name-",'R.M Billets Reports'!D1041)),TRIM(MID('R.M Billets Reports'!D1041,SEARCH("-",'R.M Billets Reports'!D1041)+1,200)),""))&lt;&gt;"",IF(ISNUMBER(SEARCH("Party Name:-",'R.M Billets Reports'!D1041)),TRIM('R.M Billets Reports'!F1041),IF(ISNUMBER(SEARCH("Party Name-",'R.M Billets Reports'!D1041)),TRIM(MID('R.M Billets Reports'!D1041,SEARCH("-",'R.M Billets Reports'!D1041)+1,200)),"")),IF(ISNUMBER(SEARCH("Party Name:-",'R.M Billets Reports'!D1042)),TRIM('R.M Billets Reports'!F1042),IF(ISNUMBER(SEARCH("Party Name-",'R.M Billets Reports'!D1042)),TRIM(MID('R.M Billets Reports'!D1042,SEARCH("-",'R.M Billets Reports'!D1042)+1,200)),"")))))),IF(ROW()=2,"",A1041))</f>
      </c>
      <c r="B1042">
        <f>IF(OR('R.M Billets Reports'!A1041="Date-",'R.M Billets Reports'!A1041="Date:-"),'R.M Billets Reports'!B1041,IF(ROW()=2,"",B1041))</f>
      </c>
      <c r="C1042">
        <f>IF('R.M Billets Reports'!A1041="V.No.",'R.M Billets Reports'!B1041,IF(ROW()=2,"",C1041))</f>
      </c>
      <c r="D1042">
        <f>IF('R.M Billets Reports'!A1041&lt;&gt;"",'R.M Billets Reports'!A1041,IF(ROW()=2,"",D1041))</f>
      </c>
      <c r="E1042">
        <f>IF('R.M Billets Reports'!B1041="","",TRIM('R.M Billets Reports'!B1041))</f>
      </c>
      <c r="F1042">
        <f>'R.M Billets Reports'!C1041</f>
      </c>
      <c r="G1042">
        <f>'R.M Billets Reports'!D1041</f>
      </c>
      <c r="H1042">
        <f>'R.M Billets Reports'!E1041</f>
      </c>
      <c r="I1042">
        <f>'R.M Billets Reports'!F1041</f>
      </c>
      <c r="J1042">
        <f>'R.M Billets Reports'!G1041</f>
      </c>
      <c r="K1042">
        <f>'R.M Billets Reports'!H1041</f>
      </c>
      <c r="L1042">
        <f>IF('R.M Billets Reports'!I1041="","",'R.M Billets Reports'!I1041)</f>
      </c>
      <c r="M1042">
        <f t="shared" si="32"/>
      </c>
      <c r="N1042">
        <f>IF('R.M Billets Reports'!J1041="","",'R.M Billets Reports'!J1041)</f>
      </c>
      <c r="O1042">
        <f t="shared" si="33"/>
      </c>
      <c r="P1042">
        <f>IF('R.M Billets Reports'!A1041="SIZE",'R.M Billets Reports'!B1041,P1041)</f>
      </c>
    </row>
    <row r="1043" spans="1:16" x14ac:dyDescent="0.25">
      <c r="A1043">
        <f>IF(OR('R.M Billets Reports'!A1042="Date-",'R.M Billets Reports'!A1042="Date:-"),IF(IF(IF(ISNUMBER(SEARCH("Party Name:-",'R.M Billets Reports'!D1042)),TRIM('R.M Billets Reports'!F1042),IF(ISNUMBER(SEARCH("Party Name-",'R.M Billets Reports'!D1042)),TRIM(MID('R.M Billets Reports'!D1042,SEARCH("-",'R.M Billets Reports'!D1042)+1,200)),""))&lt;&gt;"",IF(ISNUMBER(SEARCH("Party Name:-",'R.M Billets Reports'!D1042)),TRIM('R.M Billets Reports'!F1042),IF(ISNUMBER(SEARCH("Party Name-",'R.M Billets Reports'!D1042)),TRIM(MID('R.M Billets Reports'!D1042,SEARCH("-",'R.M Billets Reports'!D1042)+1,200)),"")),IF(ISNUMBER(SEARCH("Party Name:-",'R.M Billets Reports'!D1043)),TRIM('R.M Billets Reports'!F1043),IF(ISNUMBER(SEARCH("Party Name-",'R.M Billets Reports'!D1043)),TRIM(MID('R.M Billets Reports'!D1043,SEARCH("-",'R.M Billets Reports'!D1043)+1,200)),"")))="VRKP ISPAT PVT LTD","VRKP",IF(IF(IF(ISNUMBER(SEARCH("Party Name:-",'R.M Billets Reports'!D1042)),TRIM('R.M Billets Reports'!F1042),IF(ISNUMBER(SEARCH("Party Name-",'R.M Billets Reports'!D1042)),TRIM(MID('R.M Billets Reports'!D1042,SEARCH("-",'R.M Billets Reports'!D1042)+1,200)),""))&lt;&gt;"",IF(ISNUMBER(SEARCH("Party Name:-",'R.M Billets Reports'!D1042)),TRIM('R.M Billets Reports'!F1042),IF(ISNUMBER(SEARCH("Party Name-",'R.M Billets Reports'!D1042)),TRIM(MID('R.M Billets Reports'!D1042,SEARCH("-",'R.M Billets Reports'!D1042)+1,200)),"")),IF(ISNUMBER(SEARCH("Party Name:-",'R.M Billets Reports'!D1043)),TRIM('R.M Billets Reports'!F1043),IF(ISNUMBER(SEARCH("Party Name-",'R.M Billets Reports'!D1043)),TRIM(MID('R.M Billets Reports'!D1043,SEARCH("-",'R.M Billets Reports'!D1043)+1,200)),"")))="SHRI RADHE","SHREE RADHE",IF(IF(IF(ISNUMBER(SEARCH("Party Name:-",'R.M Billets Reports'!D1042)),TRIM('R.M Billets Reports'!F1042),IF(ISNUMBER(SEARCH("Party Name-",'R.M Billets Reports'!D1042)),TRIM(MID('R.M Billets Reports'!D1042,SEARCH("-",'R.M Billets Reports'!D1042)+1,200)),""))&lt;&gt;"",IF(ISNUMBER(SEARCH("Party Name:-",'R.M Billets Reports'!D1042)),TRIM('R.M Billets Reports'!F1042),IF(ISNUMBER(SEARCH("Party Name-",'R.M Billets Reports'!D1042)),TRIM(MID('R.M Billets Reports'!D1042,SEARCH("-",'R.M Billets Reports'!D1042)+1,200)),"")),IF(ISNUMBER(SEARCH("Party Name:-",'R.M Billets Reports'!D1043)),TRIM('R.M Billets Reports'!F1043),IF(ISNUMBER(SEARCH("Party Name-",'R.M Billets Reports'!D1043)),TRIM(MID('R.M Billets Reports'!D1043,SEARCH("-",'R.M Billets Reports'!D1043)+1,200)),"")))="SHREE RADHE SHAKTI SPONGE AND POWER PVT. LTD.","SHREE RADHE",IF(IF(ISNUMBER(SEARCH("Party Name:-",'R.M Billets Reports'!D1042)),TRIM('R.M Billets Reports'!F1042),IF(ISNUMBER(SEARCH("Party Name-",'R.M Billets Reports'!D1042)),TRIM(MID('R.M Billets Reports'!D1042,SEARCH("-",'R.M Billets Reports'!D1042)+1,200)),""))&lt;&gt;"",IF(ISNUMBER(SEARCH("Party Name:-",'R.M Billets Reports'!D1042)),TRIM('R.M Billets Reports'!F1042),IF(ISNUMBER(SEARCH("Party Name-",'R.M Billets Reports'!D1042)),TRIM(MID('R.M Billets Reports'!D1042,SEARCH("-",'R.M Billets Reports'!D1042)+1,200)),"")),IF(ISNUMBER(SEARCH("Party Name:-",'R.M Billets Reports'!D1043)),TRIM('R.M Billets Reports'!F1043),IF(ISNUMBER(SEARCH("Party Name-",'R.M Billets Reports'!D1043)),TRIM(MID('R.M Billets Reports'!D1043,SEARCH("-",'R.M Billets Reports'!D1043)+1,200)),"")))))),IF(ROW()=2,"",A1042))</f>
      </c>
      <c r="B1043">
        <f>IF(OR('R.M Billets Reports'!A1042="Date-",'R.M Billets Reports'!A1042="Date:-"),'R.M Billets Reports'!B1042,IF(ROW()=2,"",B1042))</f>
      </c>
      <c r="C1043">
        <f>IF('R.M Billets Reports'!A1042="V.No.",'R.M Billets Reports'!B1042,IF(ROW()=2,"",C1042))</f>
      </c>
      <c r="D1043">
        <f>IF('R.M Billets Reports'!A1042&lt;&gt;"",'R.M Billets Reports'!A1042,IF(ROW()=2,"",D1042))</f>
      </c>
      <c r="E1043">
        <f>IF('R.M Billets Reports'!B1042="","",TRIM('R.M Billets Reports'!B1042))</f>
      </c>
      <c r="F1043">
        <f>'R.M Billets Reports'!C1042</f>
      </c>
      <c r="G1043">
        <f>'R.M Billets Reports'!D1042</f>
      </c>
      <c r="H1043">
        <f>'R.M Billets Reports'!E1042</f>
      </c>
      <c r="I1043">
        <f>'R.M Billets Reports'!F1042</f>
      </c>
      <c r="J1043">
        <f>'R.M Billets Reports'!G1042</f>
      </c>
      <c r="K1043">
        <f>'R.M Billets Reports'!H1042</f>
      </c>
      <c r="L1043">
        <f>IF('R.M Billets Reports'!I1042="","",'R.M Billets Reports'!I1042)</f>
      </c>
      <c r="M1043">
        <f t="shared" si="32"/>
      </c>
      <c r="N1043">
        <f>IF('R.M Billets Reports'!J1042="","",'R.M Billets Reports'!J1042)</f>
      </c>
      <c r="O1043">
        <f t="shared" si="33"/>
      </c>
      <c r="P1043">
        <f>IF('R.M Billets Reports'!A1042="SIZE",'R.M Billets Reports'!B1042,P1042)</f>
      </c>
    </row>
    <row r="1044" spans="1:16" x14ac:dyDescent="0.25">
      <c r="A1044">
        <f>IF(OR('R.M Billets Reports'!A1043="Date-",'R.M Billets Reports'!A1043="Date:-"),IF(IF(IF(ISNUMBER(SEARCH("Party Name:-",'R.M Billets Reports'!D1043)),TRIM('R.M Billets Reports'!F1043),IF(ISNUMBER(SEARCH("Party Name-",'R.M Billets Reports'!D1043)),TRIM(MID('R.M Billets Reports'!D1043,SEARCH("-",'R.M Billets Reports'!D1043)+1,200)),""))&lt;&gt;"",IF(ISNUMBER(SEARCH("Party Name:-",'R.M Billets Reports'!D1043)),TRIM('R.M Billets Reports'!F1043),IF(ISNUMBER(SEARCH("Party Name-",'R.M Billets Reports'!D1043)),TRIM(MID('R.M Billets Reports'!D1043,SEARCH("-",'R.M Billets Reports'!D1043)+1,200)),"")),IF(ISNUMBER(SEARCH("Party Name:-",'R.M Billets Reports'!D1044)),TRIM('R.M Billets Reports'!F1044),IF(ISNUMBER(SEARCH("Party Name-",'R.M Billets Reports'!D1044)),TRIM(MID('R.M Billets Reports'!D1044,SEARCH("-",'R.M Billets Reports'!D1044)+1,200)),"")))="VRKP ISPAT PVT LTD","VRKP",IF(IF(IF(ISNUMBER(SEARCH("Party Name:-",'R.M Billets Reports'!D1043)),TRIM('R.M Billets Reports'!F1043),IF(ISNUMBER(SEARCH("Party Name-",'R.M Billets Reports'!D1043)),TRIM(MID('R.M Billets Reports'!D1043,SEARCH("-",'R.M Billets Reports'!D1043)+1,200)),""))&lt;&gt;"",IF(ISNUMBER(SEARCH("Party Name:-",'R.M Billets Reports'!D1043)),TRIM('R.M Billets Reports'!F1043),IF(ISNUMBER(SEARCH("Party Name-",'R.M Billets Reports'!D1043)),TRIM(MID('R.M Billets Reports'!D1043,SEARCH("-",'R.M Billets Reports'!D1043)+1,200)),"")),IF(ISNUMBER(SEARCH("Party Name:-",'R.M Billets Reports'!D1044)),TRIM('R.M Billets Reports'!F1044),IF(ISNUMBER(SEARCH("Party Name-",'R.M Billets Reports'!D1044)),TRIM(MID('R.M Billets Reports'!D1044,SEARCH("-",'R.M Billets Reports'!D1044)+1,200)),"")))="SHRI RADHE","SHREE RADHE",IF(IF(IF(ISNUMBER(SEARCH("Party Name:-",'R.M Billets Reports'!D1043)),TRIM('R.M Billets Reports'!F1043),IF(ISNUMBER(SEARCH("Party Name-",'R.M Billets Reports'!D1043)),TRIM(MID('R.M Billets Reports'!D1043,SEARCH("-",'R.M Billets Reports'!D1043)+1,200)),""))&lt;&gt;"",IF(ISNUMBER(SEARCH("Party Name:-",'R.M Billets Reports'!D1043)),TRIM('R.M Billets Reports'!F1043),IF(ISNUMBER(SEARCH("Party Name-",'R.M Billets Reports'!D1043)),TRIM(MID('R.M Billets Reports'!D1043,SEARCH("-",'R.M Billets Reports'!D1043)+1,200)),"")),IF(ISNUMBER(SEARCH("Party Name:-",'R.M Billets Reports'!D1044)),TRIM('R.M Billets Reports'!F1044),IF(ISNUMBER(SEARCH("Party Name-",'R.M Billets Reports'!D1044)),TRIM(MID('R.M Billets Reports'!D1044,SEARCH("-",'R.M Billets Reports'!D1044)+1,200)),"")))="SHREE RADHE SHAKTI SPONGE AND POWER PVT. LTD.","SHREE RADHE",IF(IF(ISNUMBER(SEARCH("Party Name:-",'R.M Billets Reports'!D1043)),TRIM('R.M Billets Reports'!F1043),IF(ISNUMBER(SEARCH("Party Name-",'R.M Billets Reports'!D1043)),TRIM(MID('R.M Billets Reports'!D1043,SEARCH("-",'R.M Billets Reports'!D1043)+1,200)),""))&lt;&gt;"",IF(ISNUMBER(SEARCH("Party Name:-",'R.M Billets Reports'!D1043)),TRIM('R.M Billets Reports'!F1043),IF(ISNUMBER(SEARCH("Party Name-",'R.M Billets Reports'!D1043)),TRIM(MID('R.M Billets Reports'!D1043,SEARCH("-",'R.M Billets Reports'!D1043)+1,200)),"")),IF(ISNUMBER(SEARCH("Party Name:-",'R.M Billets Reports'!D1044)),TRIM('R.M Billets Reports'!F1044),IF(ISNUMBER(SEARCH("Party Name-",'R.M Billets Reports'!D1044)),TRIM(MID('R.M Billets Reports'!D1044,SEARCH("-",'R.M Billets Reports'!D1044)+1,200)),"")))))),IF(ROW()=2,"",A1043))</f>
      </c>
      <c r="B1044">
        <f>IF(OR('R.M Billets Reports'!A1043="Date-",'R.M Billets Reports'!A1043="Date:-"),'R.M Billets Reports'!B1043,IF(ROW()=2,"",B1043))</f>
      </c>
      <c r="C1044">
        <f>IF('R.M Billets Reports'!A1043="V.No.",'R.M Billets Reports'!B1043,IF(ROW()=2,"",C1043))</f>
      </c>
      <c r="D1044">
        <f>IF('R.M Billets Reports'!A1043&lt;&gt;"",'R.M Billets Reports'!A1043,IF(ROW()=2,"",D1043))</f>
      </c>
      <c r="E1044">
        <f>IF('R.M Billets Reports'!B1043="","",TRIM('R.M Billets Reports'!B1043))</f>
      </c>
      <c r="F1044">
        <f>'R.M Billets Reports'!C1043</f>
      </c>
      <c r="G1044">
        <f>'R.M Billets Reports'!D1043</f>
      </c>
      <c r="H1044">
        <f>'R.M Billets Reports'!E1043</f>
      </c>
      <c r="I1044">
        <f>'R.M Billets Reports'!F1043</f>
      </c>
      <c r="J1044">
        <f>'R.M Billets Reports'!G1043</f>
      </c>
      <c r="K1044">
        <f>'R.M Billets Reports'!H1043</f>
      </c>
      <c r="L1044">
        <f>IF('R.M Billets Reports'!I1043="","",'R.M Billets Reports'!I1043)</f>
      </c>
      <c r="M1044">
        <f t="shared" si="32"/>
      </c>
      <c r="N1044">
        <f>IF('R.M Billets Reports'!J1043="","",'R.M Billets Reports'!J1043)</f>
      </c>
      <c r="O1044">
        <f t="shared" si="33"/>
      </c>
      <c r="P1044">
        <f>IF('R.M Billets Reports'!A1043="SIZE",'R.M Billets Reports'!B1043,P1043)</f>
      </c>
    </row>
    <row r="1045" spans="1:16" x14ac:dyDescent="0.25">
      <c r="A1045">
        <f>IF(OR('R.M Billets Reports'!A1044="Date-",'R.M Billets Reports'!A1044="Date:-"),IF(IF(IF(ISNUMBER(SEARCH("Party Name:-",'R.M Billets Reports'!D1044)),TRIM('R.M Billets Reports'!F1044),IF(ISNUMBER(SEARCH("Party Name-",'R.M Billets Reports'!D1044)),TRIM(MID('R.M Billets Reports'!D1044,SEARCH("-",'R.M Billets Reports'!D1044)+1,200)),""))&lt;&gt;"",IF(ISNUMBER(SEARCH("Party Name:-",'R.M Billets Reports'!D1044)),TRIM('R.M Billets Reports'!F1044),IF(ISNUMBER(SEARCH("Party Name-",'R.M Billets Reports'!D1044)),TRIM(MID('R.M Billets Reports'!D1044,SEARCH("-",'R.M Billets Reports'!D1044)+1,200)),"")),IF(ISNUMBER(SEARCH("Party Name:-",'R.M Billets Reports'!D1045)),TRIM('R.M Billets Reports'!F1045),IF(ISNUMBER(SEARCH("Party Name-",'R.M Billets Reports'!D1045)),TRIM(MID('R.M Billets Reports'!D1045,SEARCH("-",'R.M Billets Reports'!D1045)+1,200)),"")))="VRKP ISPAT PVT LTD","VRKP",IF(IF(IF(ISNUMBER(SEARCH("Party Name:-",'R.M Billets Reports'!D1044)),TRIM('R.M Billets Reports'!F1044),IF(ISNUMBER(SEARCH("Party Name-",'R.M Billets Reports'!D1044)),TRIM(MID('R.M Billets Reports'!D1044,SEARCH("-",'R.M Billets Reports'!D1044)+1,200)),""))&lt;&gt;"",IF(ISNUMBER(SEARCH("Party Name:-",'R.M Billets Reports'!D1044)),TRIM('R.M Billets Reports'!F1044),IF(ISNUMBER(SEARCH("Party Name-",'R.M Billets Reports'!D1044)),TRIM(MID('R.M Billets Reports'!D1044,SEARCH("-",'R.M Billets Reports'!D1044)+1,200)),"")),IF(ISNUMBER(SEARCH("Party Name:-",'R.M Billets Reports'!D1045)),TRIM('R.M Billets Reports'!F1045),IF(ISNUMBER(SEARCH("Party Name-",'R.M Billets Reports'!D1045)),TRIM(MID('R.M Billets Reports'!D1045,SEARCH("-",'R.M Billets Reports'!D1045)+1,200)),"")))="SHRI RADHE","SHREE RADHE",IF(IF(IF(ISNUMBER(SEARCH("Party Name:-",'R.M Billets Reports'!D1044)),TRIM('R.M Billets Reports'!F1044),IF(ISNUMBER(SEARCH("Party Name-",'R.M Billets Reports'!D1044)),TRIM(MID('R.M Billets Reports'!D1044,SEARCH("-",'R.M Billets Reports'!D1044)+1,200)),""))&lt;&gt;"",IF(ISNUMBER(SEARCH("Party Name:-",'R.M Billets Reports'!D1044)),TRIM('R.M Billets Reports'!F1044),IF(ISNUMBER(SEARCH("Party Name-",'R.M Billets Reports'!D1044)),TRIM(MID('R.M Billets Reports'!D1044,SEARCH("-",'R.M Billets Reports'!D1044)+1,200)),"")),IF(ISNUMBER(SEARCH("Party Name:-",'R.M Billets Reports'!D1045)),TRIM('R.M Billets Reports'!F1045),IF(ISNUMBER(SEARCH("Party Name-",'R.M Billets Reports'!D1045)),TRIM(MID('R.M Billets Reports'!D1045,SEARCH("-",'R.M Billets Reports'!D1045)+1,200)),"")))="SHREE RADHE SHAKTI SPONGE AND POWER PVT. LTD.","SHREE RADHE",IF(IF(ISNUMBER(SEARCH("Party Name:-",'R.M Billets Reports'!D1044)),TRIM('R.M Billets Reports'!F1044),IF(ISNUMBER(SEARCH("Party Name-",'R.M Billets Reports'!D1044)),TRIM(MID('R.M Billets Reports'!D1044,SEARCH("-",'R.M Billets Reports'!D1044)+1,200)),""))&lt;&gt;"",IF(ISNUMBER(SEARCH("Party Name:-",'R.M Billets Reports'!D1044)),TRIM('R.M Billets Reports'!F1044),IF(ISNUMBER(SEARCH("Party Name-",'R.M Billets Reports'!D1044)),TRIM(MID('R.M Billets Reports'!D1044,SEARCH("-",'R.M Billets Reports'!D1044)+1,200)),"")),IF(ISNUMBER(SEARCH("Party Name:-",'R.M Billets Reports'!D1045)),TRIM('R.M Billets Reports'!F1045),IF(ISNUMBER(SEARCH("Party Name-",'R.M Billets Reports'!D1045)),TRIM(MID('R.M Billets Reports'!D1045,SEARCH("-",'R.M Billets Reports'!D1045)+1,200)),"")))))),IF(ROW()=2,"",A1044))</f>
      </c>
      <c r="B1045">
        <f>IF(OR('R.M Billets Reports'!A1044="Date-",'R.M Billets Reports'!A1044="Date:-"),'R.M Billets Reports'!B1044,IF(ROW()=2,"",B1044))</f>
      </c>
      <c r="C1045">
        <f>IF('R.M Billets Reports'!A1044="V.No.",'R.M Billets Reports'!B1044,IF(ROW()=2,"",C1044))</f>
      </c>
      <c r="D1045">
        <f>IF('R.M Billets Reports'!A1044&lt;&gt;"",'R.M Billets Reports'!A1044,IF(ROW()=2,"",D1044))</f>
      </c>
      <c r="E1045">
        <f>IF('R.M Billets Reports'!B1044="","",TRIM('R.M Billets Reports'!B1044))</f>
      </c>
      <c r="F1045">
        <f>'R.M Billets Reports'!C1044</f>
      </c>
      <c r="G1045">
        <f>'R.M Billets Reports'!D1044</f>
      </c>
      <c r="H1045">
        <f>'R.M Billets Reports'!E1044</f>
      </c>
      <c r="I1045">
        <f>'R.M Billets Reports'!F1044</f>
      </c>
      <c r="J1045">
        <f>'R.M Billets Reports'!G1044</f>
      </c>
      <c r="K1045">
        <f>'R.M Billets Reports'!H1044</f>
      </c>
      <c r="L1045">
        <f>IF('R.M Billets Reports'!I1044="","",'R.M Billets Reports'!I1044)</f>
      </c>
      <c r="M1045">
        <f t="shared" si="32"/>
      </c>
      <c r="N1045">
        <f>IF('R.M Billets Reports'!J1044="","",'R.M Billets Reports'!J1044)</f>
      </c>
      <c r="O1045">
        <f t="shared" si="33"/>
      </c>
      <c r="P1045">
        <f>IF('R.M Billets Reports'!A1044="SIZE",'R.M Billets Reports'!B1044,P1044)</f>
      </c>
    </row>
    <row r="1046" spans="1:16" x14ac:dyDescent="0.25">
      <c r="A1046">
        <f>IF(OR('R.M Billets Reports'!A1045="Date-",'R.M Billets Reports'!A1045="Date:-"),IF(IF(IF(ISNUMBER(SEARCH("Party Name:-",'R.M Billets Reports'!D1045)),TRIM('R.M Billets Reports'!F1045),IF(ISNUMBER(SEARCH("Party Name-",'R.M Billets Reports'!D1045)),TRIM(MID('R.M Billets Reports'!D1045,SEARCH("-",'R.M Billets Reports'!D1045)+1,200)),""))&lt;&gt;"",IF(ISNUMBER(SEARCH("Party Name:-",'R.M Billets Reports'!D1045)),TRIM('R.M Billets Reports'!F1045),IF(ISNUMBER(SEARCH("Party Name-",'R.M Billets Reports'!D1045)),TRIM(MID('R.M Billets Reports'!D1045,SEARCH("-",'R.M Billets Reports'!D1045)+1,200)),"")),IF(ISNUMBER(SEARCH("Party Name:-",'R.M Billets Reports'!D1046)),TRIM('R.M Billets Reports'!F1046),IF(ISNUMBER(SEARCH("Party Name-",'R.M Billets Reports'!D1046)),TRIM(MID('R.M Billets Reports'!D1046,SEARCH("-",'R.M Billets Reports'!D1046)+1,200)),"")))="VRKP ISPAT PVT LTD","VRKP",IF(IF(IF(ISNUMBER(SEARCH("Party Name:-",'R.M Billets Reports'!D1045)),TRIM('R.M Billets Reports'!F1045),IF(ISNUMBER(SEARCH("Party Name-",'R.M Billets Reports'!D1045)),TRIM(MID('R.M Billets Reports'!D1045,SEARCH("-",'R.M Billets Reports'!D1045)+1,200)),""))&lt;&gt;"",IF(ISNUMBER(SEARCH("Party Name:-",'R.M Billets Reports'!D1045)),TRIM('R.M Billets Reports'!F1045),IF(ISNUMBER(SEARCH("Party Name-",'R.M Billets Reports'!D1045)),TRIM(MID('R.M Billets Reports'!D1045,SEARCH("-",'R.M Billets Reports'!D1045)+1,200)),"")),IF(ISNUMBER(SEARCH("Party Name:-",'R.M Billets Reports'!D1046)),TRIM('R.M Billets Reports'!F1046),IF(ISNUMBER(SEARCH("Party Name-",'R.M Billets Reports'!D1046)),TRIM(MID('R.M Billets Reports'!D1046,SEARCH("-",'R.M Billets Reports'!D1046)+1,200)),"")))="SHRI RADHE","SHREE RADHE",IF(IF(IF(ISNUMBER(SEARCH("Party Name:-",'R.M Billets Reports'!D1045)),TRIM('R.M Billets Reports'!F1045),IF(ISNUMBER(SEARCH("Party Name-",'R.M Billets Reports'!D1045)),TRIM(MID('R.M Billets Reports'!D1045,SEARCH("-",'R.M Billets Reports'!D1045)+1,200)),""))&lt;&gt;"",IF(ISNUMBER(SEARCH("Party Name:-",'R.M Billets Reports'!D1045)),TRIM('R.M Billets Reports'!F1045),IF(ISNUMBER(SEARCH("Party Name-",'R.M Billets Reports'!D1045)),TRIM(MID('R.M Billets Reports'!D1045,SEARCH("-",'R.M Billets Reports'!D1045)+1,200)),"")),IF(ISNUMBER(SEARCH("Party Name:-",'R.M Billets Reports'!D1046)),TRIM('R.M Billets Reports'!F1046),IF(ISNUMBER(SEARCH("Party Name-",'R.M Billets Reports'!D1046)),TRIM(MID('R.M Billets Reports'!D1046,SEARCH("-",'R.M Billets Reports'!D1046)+1,200)),"")))="SHREE RADHE SHAKTI SPONGE AND POWER PVT. LTD.","SHREE RADHE",IF(IF(ISNUMBER(SEARCH("Party Name:-",'R.M Billets Reports'!D1045)),TRIM('R.M Billets Reports'!F1045),IF(ISNUMBER(SEARCH("Party Name-",'R.M Billets Reports'!D1045)),TRIM(MID('R.M Billets Reports'!D1045,SEARCH("-",'R.M Billets Reports'!D1045)+1,200)),""))&lt;&gt;"",IF(ISNUMBER(SEARCH("Party Name:-",'R.M Billets Reports'!D1045)),TRIM('R.M Billets Reports'!F1045),IF(ISNUMBER(SEARCH("Party Name-",'R.M Billets Reports'!D1045)),TRIM(MID('R.M Billets Reports'!D1045,SEARCH("-",'R.M Billets Reports'!D1045)+1,200)),"")),IF(ISNUMBER(SEARCH("Party Name:-",'R.M Billets Reports'!D1046)),TRIM('R.M Billets Reports'!F1046),IF(ISNUMBER(SEARCH("Party Name-",'R.M Billets Reports'!D1046)),TRIM(MID('R.M Billets Reports'!D1046,SEARCH("-",'R.M Billets Reports'!D1046)+1,200)),"")))))),IF(ROW()=2,"",A1045))</f>
      </c>
      <c r="B1046">
        <f>IF(OR('R.M Billets Reports'!A1045="Date-",'R.M Billets Reports'!A1045="Date:-"),'R.M Billets Reports'!B1045,IF(ROW()=2,"",B1045))</f>
      </c>
      <c r="C1046">
        <f>IF('R.M Billets Reports'!A1045="V.No.",'R.M Billets Reports'!B1045,IF(ROW()=2,"",C1045))</f>
      </c>
      <c r="D1046">
        <f>IF('R.M Billets Reports'!A1045&lt;&gt;"",'R.M Billets Reports'!A1045,IF(ROW()=2,"",D1045))</f>
      </c>
      <c r="E1046">
        <f>IF('R.M Billets Reports'!B1045="","",TRIM('R.M Billets Reports'!B1045))</f>
      </c>
      <c r="F1046">
        <f>'R.M Billets Reports'!C1045</f>
      </c>
      <c r="G1046">
        <f>'R.M Billets Reports'!D1045</f>
      </c>
      <c r="H1046">
        <f>'R.M Billets Reports'!E1045</f>
      </c>
      <c r="I1046">
        <f>'R.M Billets Reports'!F1045</f>
      </c>
      <c r="J1046">
        <f>'R.M Billets Reports'!G1045</f>
      </c>
      <c r="K1046">
        <f>'R.M Billets Reports'!H1045</f>
      </c>
      <c r="L1046">
        <f>IF('R.M Billets Reports'!I1045="","",'R.M Billets Reports'!I1045)</f>
      </c>
      <c r="M1046">
        <f t="shared" si="32"/>
      </c>
      <c r="N1046">
        <f>IF('R.M Billets Reports'!J1045="","",'R.M Billets Reports'!J1045)</f>
      </c>
      <c r="O1046">
        <f t="shared" si="33"/>
      </c>
      <c r="P1046">
        <f>IF('R.M Billets Reports'!A1045="SIZE",'R.M Billets Reports'!B1045,P1045)</f>
      </c>
    </row>
    <row r="1047" spans="1:16" x14ac:dyDescent="0.25">
      <c r="A1047">
        <f>IF(OR('R.M Billets Reports'!A1046="Date-",'R.M Billets Reports'!A1046="Date:-"),IF(IF(IF(ISNUMBER(SEARCH("Party Name:-",'R.M Billets Reports'!D1046)),TRIM('R.M Billets Reports'!F1046),IF(ISNUMBER(SEARCH("Party Name-",'R.M Billets Reports'!D1046)),TRIM(MID('R.M Billets Reports'!D1046,SEARCH("-",'R.M Billets Reports'!D1046)+1,200)),""))&lt;&gt;"",IF(ISNUMBER(SEARCH("Party Name:-",'R.M Billets Reports'!D1046)),TRIM('R.M Billets Reports'!F1046),IF(ISNUMBER(SEARCH("Party Name-",'R.M Billets Reports'!D1046)),TRIM(MID('R.M Billets Reports'!D1046,SEARCH("-",'R.M Billets Reports'!D1046)+1,200)),"")),IF(ISNUMBER(SEARCH("Party Name:-",'R.M Billets Reports'!D1047)),TRIM('R.M Billets Reports'!F1047),IF(ISNUMBER(SEARCH("Party Name-",'R.M Billets Reports'!D1047)),TRIM(MID('R.M Billets Reports'!D1047,SEARCH("-",'R.M Billets Reports'!D1047)+1,200)),"")))="VRKP ISPAT PVT LTD","VRKP",IF(IF(IF(ISNUMBER(SEARCH("Party Name:-",'R.M Billets Reports'!D1046)),TRIM('R.M Billets Reports'!F1046),IF(ISNUMBER(SEARCH("Party Name-",'R.M Billets Reports'!D1046)),TRIM(MID('R.M Billets Reports'!D1046,SEARCH("-",'R.M Billets Reports'!D1046)+1,200)),""))&lt;&gt;"",IF(ISNUMBER(SEARCH("Party Name:-",'R.M Billets Reports'!D1046)),TRIM('R.M Billets Reports'!F1046),IF(ISNUMBER(SEARCH("Party Name-",'R.M Billets Reports'!D1046)),TRIM(MID('R.M Billets Reports'!D1046,SEARCH("-",'R.M Billets Reports'!D1046)+1,200)),"")),IF(ISNUMBER(SEARCH("Party Name:-",'R.M Billets Reports'!D1047)),TRIM('R.M Billets Reports'!F1047),IF(ISNUMBER(SEARCH("Party Name-",'R.M Billets Reports'!D1047)),TRIM(MID('R.M Billets Reports'!D1047,SEARCH("-",'R.M Billets Reports'!D1047)+1,200)),"")))="SHRI RADHE","SHREE RADHE",IF(IF(IF(ISNUMBER(SEARCH("Party Name:-",'R.M Billets Reports'!D1046)),TRIM('R.M Billets Reports'!F1046),IF(ISNUMBER(SEARCH("Party Name-",'R.M Billets Reports'!D1046)),TRIM(MID('R.M Billets Reports'!D1046,SEARCH("-",'R.M Billets Reports'!D1046)+1,200)),""))&lt;&gt;"",IF(ISNUMBER(SEARCH("Party Name:-",'R.M Billets Reports'!D1046)),TRIM('R.M Billets Reports'!F1046),IF(ISNUMBER(SEARCH("Party Name-",'R.M Billets Reports'!D1046)),TRIM(MID('R.M Billets Reports'!D1046,SEARCH("-",'R.M Billets Reports'!D1046)+1,200)),"")),IF(ISNUMBER(SEARCH("Party Name:-",'R.M Billets Reports'!D1047)),TRIM('R.M Billets Reports'!F1047),IF(ISNUMBER(SEARCH("Party Name-",'R.M Billets Reports'!D1047)),TRIM(MID('R.M Billets Reports'!D1047,SEARCH("-",'R.M Billets Reports'!D1047)+1,200)),"")))="SHREE RADHE SHAKTI SPONGE AND POWER PVT. LTD.","SHREE RADHE",IF(IF(ISNUMBER(SEARCH("Party Name:-",'R.M Billets Reports'!D1046)),TRIM('R.M Billets Reports'!F1046),IF(ISNUMBER(SEARCH("Party Name-",'R.M Billets Reports'!D1046)),TRIM(MID('R.M Billets Reports'!D1046,SEARCH("-",'R.M Billets Reports'!D1046)+1,200)),""))&lt;&gt;"",IF(ISNUMBER(SEARCH("Party Name:-",'R.M Billets Reports'!D1046)),TRIM('R.M Billets Reports'!F1046),IF(ISNUMBER(SEARCH("Party Name-",'R.M Billets Reports'!D1046)),TRIM(MID('R.M Billets Reports'!D1046,SEARCH("-",'R.M Billets Reports'!D1046)+1,200)),"")),IF(ISNUMBER(SEARCH("Party Name:-",'R.M Billets Reports'!D1047)),TRIM('R.M Billets Reports'!F1047),IF(ISNUMBER(SEARCH("Party Name-",'R.M Billets Reports'!D1047)),TRIM(MID('R.M Billets Reports'!D1047,SEARCH("-",'R.M Billets Reports'!D1047)+1,200)),"")))))),IF(ROW()=2,"",A1046))</f>
      </c>
      <c r="B1047">
        <f>IF(OR('R.M Billets Reports'!A1046="Date-",'R.M Billets Reports'!A1046="Date:-"),'R.M Billets Reports'!B1046,IF(ROW()=2,"",B1046))</f>
      </c>
      <c r="C1047">
        <f>IF('R.M Billets Reports'!A1046="V.No.",'R.M Billets Reports'!B1046,IF(ROW()=2,"",C1046))</f>
      </c>
      <c r="D1047">
        <f>IF('R.M Billets Reports'!A1046&lt;&gt;"",'R.M Billets Reports'!A1046,IF(ROW()=2,"",D1046))</f>
      </c>
      <c r="E1047">
        <f>IF('R.M Billets Reports'!B1046="","",TRIM('R.M Billets Reports'!B1046))</f>
      </c>
      <c r="F1047">
        <f>'R.M Billets Reports'!C1046</f>
      </c>
      <c r="G1047">
        <f>'R.M Billets Reports'!D1046</f>
      </c>
      <c r="H1047">
        <f>'R.M Billets Reports'!E1046</f>
      </c>
      <c r="I1047">
        <f>'R.M Billets Reports'!F1046</f>
      </c>
      <c r="J1047">
        <f>'R.M Billets Reports'!G1046</f>
      </c>
      <c r="K1047">
        <f>'R.M Billets Reports'!H1046</f>
      </c>
      <c r="L1047">
        <f>IF('R.M Billets Reports'!I1046="","",'R.M Billets Reports'!I1046)</f>
      </c>
      <c r="M1047">
        <f t="shared" si="32"/>
      </c>
      <c r="N1047">
        <f>IF('R.M Billets Reports'!J1046="","",'R.M Billets Reports'!J1046)</f>
      </c>
      <c r="O1047">
        <f t="shared" si="33"/>
      </c>
      <c r="P1047">
        <f>IF('R.M Billets Reports'!A1046="SIZE",'R.M Billets Reports'!B1046,P1046)</f>
      </c>
    </row>
    <row r="1048" spans="1:16" x14ac:dyDescent="0.25">
      <c r="A1048">
        <f>IF(OR('R.M Billets Reports'!A1047="Date-",'R.M Billets Reports'!A1047="Date:-"),IF(IF(IF(ISNUMBER(SEARCH("Party Name:-",'R.M Billets Reports'!D1047)),TRIM('R.M Billets Reports'!F1047),IF(ISNUMBER(SEARCH("Party Name-",'R.M Billets Reports'!D1047)),TRIM(MID('R.M Billets Reports'!D1047,SEARCH("-",'R.M Billets Reports'!D1047)+1,200)),""))&lt;&gt;"",IF(ISNUMBER(SEARCH("Party Name:-",'R.M Billets Reports'!D1047)),TRIM('R.M Billets Reports'!F1047),IF(ISNUMBER(SEARCH("Party Name-",'R.M Billets Reports'!D1047)),TRIM(MID('R.M Billets Reports'!D1047,SEARCH("-",'R.M Billets Reports'!D1047)+1,200)),"")),IF(ISNUMBER(SEARCH("Party Name:-",'R.M Billets Reports'!D1048)),TRIM('R.M Billets Reports'!F1048),IF(ISNUMBER(SEARCH("Party Name-",'R.M Billets Reports'!D1048)),TRIM(MID('R.M Billets Reports'!D1048,SEARCH("-",'R.M Billets Reports'!D1048)+1,200)),"")))="VRKP ISPAT PVT LTD","VRKP",IF(IF(IF(ISNUMBER(SEARCH("Party Name:-",'R.M Billets Reports'!D1047)),TRIM('R.M Billets Reports'!F1047),IF(ISNUMBER(SEARCH("Party Name-",'R.M Billets Reports'!D1047)),TRIM(MID('R.M Billets Reports'!D1047,SEARCH("-",'R.M Billets Reports'!D1047)+1,200)),""))&lt;&gt;"",IF(ISNUMBER(SEARCH("Party Name:-",'R.M Billets Reports'!D1047)),TRIM('R.M Billets Reports'!F1047),IF(ISNUMBER(SEARCH("Party Name-",'R.M Billets Reports'!D1047)),TRIM(MID('R.M Billets Reports'!D1047,SEARCH("-",'R.M Billets Reports'!D1047)+1,200)),"")),IF(ISNUMBER(SEARCH("Party Name:-",'R.M Billets Reports'!D1048)),TRIM('R.M Billets Reports'!F1048),IF(ISNUMBER(SEARCH("Party Name-",'R.M Billets Reports'!D1048)),TRIM(MID('R.M Billets Reports'!D1048,SEARCH("-",'R.M Billets Reports'!D1048)+1,200)),"")))="SHRI RADHE","SHREE RADHE",IF(IF(IF(ISNUMBER(SEARCH("Party Name:-",'R.M Billets Reports'!D1047)),TRIM('R.M Billets Reports'!F1047),IF(ISNUMBER(SEARCH("Party Name-",'R.M Billets Reports'!D1047)),TRIM(MID('R.M Billets Reports'!D1047,SEARCH("-",'R.M Billets Reports'!D1047)+1,200)),""))&lt;&gt;"",IF(ISNUMBER(SEARCH("Party Name:-",'R.M Billets Reports'!D1047)),TRIM('R.M Billets Reports'!F1047),IF(ISNUMBER(SEARCH("Party Name-",'R.M Billets Reports'!D1047)),TRIM(MID('R.M Billets Reports'!D1047,SEARCH("-",'R.M Billets Reports'!D1047)+1,200)),"")),IF(ISNUMBER(SEARCH("Party Name:-",'R.M Billets Reports'!D1048)),TRIM('R.M Billets Reports'!F1048),IF(ISNUMBER(SEARCH("Party Name-",'R.M Billets Reports'!D1048)),TRIM(MID('R.M Billets Reports'!D1048,SEARCH("-",'R.M Billets Reports'!D1048)+1,200)),"")))="SHREE RADHE SHAKTI SPONGE AND POWER PVT. LTD.","SHREE RADHE",IF(IF(ISNUMBER(SEARCH("Party Name:-",'R.M Billets Reports'!D1047)),TRIM('R.M Billets Reports'!F1047),IF(ISNUMBER(SEARCH("Party Name-",'R.M Billets Reports'!D1047)),TRIM(MID('R.M Billets Reports'!D1047,SEARCH("-",'R.M Billets Reports'!D1047)+1,200)),""))&lt;&gt;"",IF(ISNUMBER(SEARCH("Party Name:-",'R.M Billets Reports'!D1047)),TRIM('R.M Billets Reports'!F1047),IF(ISNUMBER(SEARCH("Party Name-",'R.M Billets Reports'!D1047)),TRIM(MID('R.M Billets Reports'!D1047,SEARCH("-",'R.M Billets Reports'!D1047)+1,200)),"")),IF(ISNUMBER(SEARCH("Party Name:-",'R.M Billets Reports'!D1048)),TRIM('R.M Billets Reports'!F1048),IF(ISNUMBER(SEARCH("Party Name-",'R.M Billets Reports'!D1048)),TRIM(MID('R.M Billets Reports'!D1048,SEARCH("-",'R.M Billets Reports'!D1048)+1,200)),"")))))),IF(ROW()=2,"",A1047))</f>
      </c>
      <c r="B1048">
        <f>IF(OR('R.M Billets Reports'!A1047="Date-",'R.M Billets Reports'!A1047="Date:-"),'R.M Billets Reports'!B1047,IF(ROW()=2,"",B1047))</f>
      </c>
      <c r="C1048">
        <f>IF('R.M Billets Reports'!A1047="V.No.",'R.M Billets Reports'!B1047,IF(ROW()=2,"",C1047))</f>
      </c>
      <c r="D1048">
        <f>IF('R.M Billets Reports'!A1047&lt;&gt;"",'R.M Billets Reports'!A1047,IF(ROW()=2,"",D1047))</f>
      </c>
      <c r="E1048">
        <f>IF('R.M Billets Reports'!B1047="","",TRIM('R.M Billets Reports'!B1047))</f>
      </c>
      <c r="F1048">
        <f>'R.M Billets Reports'!C1047</f>
      </c>
      <c r="G1048">
        <f>'R.M Billets Reports'!D1047</f>
      </c>
      <c r="H1048">
        <f>'R.M Billets Reports'!E1047</f>
      </c>
      <c r="I1048">
        <f>'R.M Billets Reports'!F1047</f>
      </c>
      <c r="J1048">
        <f>'R.M Billets Reports'!G1047</f>
      </c>
      <c r="K1048">
        <f>'R.M Billets Reports'!H1047</f>
      </c>
      <c r="L1048">
        <f>IF('R.M Billets Reports'!I1047="","",'R.M Billets Reports'!I1047)</f>
      </c>
      <c r="M1048">
        <f t="shared" si="32"/>
      </c>
      <c r="N1048">
        <f>IF('R.M Billets Reports'!J1047="","",'R.M Billets Reports'!J1047)</f>
      </c>
      <c r="O1048">
        <f t="shared" si="33"/>
      </c>
      <c r="P1048">
        <f>IF('R.M Billets Reports'!A1047="SIZE",'R.M Billets Reports'!B1047,P1047)</f>
      </c>
    </row>
    <row r="1049" spans="1:16" x14ac:dyDescent="0.25">
      <c r="A1049">
        <f>IF(OR('R.M Billets Reports'!A1048="Date-",'R.M Billets Reports'!A1048="Date:-"),IF(IF(IF(ISNUMBER(SEARCH("Party Name:-",'R.M Billets Reports'!D1048)),TRIM('R.M Billets Reports'!F1048),IF(ISNUMBER(SEARCH("Party Name-",'R.M Billets Reports'!D1048)),TRIM(MID('R.M Billets Reports'!D1048,SEARCH("-",'R.M Billets Reports'!D1048)+1,200)),""))&lt;&gt;"",IF(ISNUMBER(SEARCH("Party Name:-",'R.M Billets Reports'!D1048)),TRIM('R.M Billets Reports'!F1048),IF(ISNUMBER(SEARCH("Party Name-",'R.M Billets Reports'!D1048)),TRIM(MID('R.M Billets Reports'!D1048,SEARCH("-",'R.M Billets Reports'!D1048)+1,200)),"")),IF(ISNUMBER(SEARCH("Party Name:-",'R.M Billets Reports'!D1049)),TRIM('R.M Billets Reports'!F1049),IF(ISNUMBER(SEARCH("Party Name-",'R.M Billets Reports'!D1049)),TRIM(MID('R.M Billets Reports'!D1049,SEARCH("-",'R.M Billets Reports'!D1049)+1,200)),"")))="VRKP ISPAT PVT LTD","VRKP",IF(IF(IF(ISNUMBER(SEARCH("Party Name:-",'R.M Billets Reports'!D1048)),TRIM('R.M Billets Reports'!F1048),IF(ISNUMBER(SEARCH("Party Name-",'R.M Billets Reports'!D1048)),TRIM(MID('R.M Billets Reports'!D1048,SEARCH("-",'R.M Billets Reports'!D1048)+1,200)),""))&lt;&gt;"",IF(ISNUMBER(SEARCH("Party Name:-",'R.M Billets Reports'!D1048)),TRIM('R.M Billets Reports'!F1048),IF(ISNUMBER(SEARCH("Party Name-",'R.M Billets Reports'!D1048)),TRIM(MID('R.M Billets Reports'!D1048,SEARCH("-",'R.M Billets Reports'!D1048)+1,200)),"")),IF(ISNUMBER(SEARCH("Party Name:-",'R.M Billets Reports'!D1049)),TRIM('R.M Billets Reports'!F1049),IF(ISNUMBER(SEARCH("Party Name-",'R.M Billets Reports'!D1049)),TRIM(MID('R.M Billets Reports'!D1049,SEARCH("-",'R.M Billets Reports'!D1049)+1,200)),"")))="SHRI RADHE","SHREE RADHE",IF(IF(IF(ISNUMBER(SEARCH("Party Name:-",'R.M Billets Reports'!D1048)),TRIM('R.M Billets Reports'!F1048),IF(ISNUMBER(SEARCH("Party Name-",'R.M Billets Reports'!D1048)),TRIM(MID('R.M Billets Reports'!D1048,SEARCH("-",'R.M Billets Reports'!D1048)+1,200)),""))&lt;&gt;"",IF(ISNUMBER(SEARCH("Party Name:-",'R.M Billets Reports'!D1048)),TRIM('R.M Billets Reports'!F1048),IF(ISNUMBER(SEARCH("Party Name-",'R.M Billets Reports'!D1048)),TRIM(MID('R.M Billets Reports'!D1048,SEARCH("-",'R.M Billets Reports'!D1048)+1,200)),"")),IF(ISNUMBER(SEARCH("Party Name:-",'R.M Billets Reports'!D1049)),TRIM('R.M Billets Reports'!F1049),IF(ISNUMBER(SEARCH("Party Name-",'R.M Billets Reports'!D1049)),TRIM(MID('R.M Billets Reports'!D1049,SEARCH("-",'R.M Billets Reports'!D1049)+1,200)),"")))="SHREE RADHE SHAKTI SPONGE AND POWER PVT. LTD.","SHREE RADHE",IF(IF(ISNUMBER(SEARCH("Party Name:-",'R.M Billets Reports'!D1048)),TRIM('R.M Billets Reports'!F1048),IF(ISNUMBER(SEARCH("Party Name-",'R.M Billets Reports'!D1048)),TRIM(MID('R.M Billets Reports'!D1048,SEARCH("-",'R.M Billets Reports'!D1048)+1,200)),""))&lt;&gt;"",IF(ISNUMBER(SEARCH("Party Name:-",'R.M Billets Reports'!D1048)),TRIM('R.M Billets Reports'!F1048),IF(ISNUMBER(SEARCH("Party Name-",'R.M Billets Reports'!D1048)),TRIM(MID('R.M Billets Reports'!D1048,SEARCH("-",'R.M Billets Reports'!D1048)+1,200)),"")),IF(ISNUMBER(SEARCH("Party Name:-",'R.M Billets Reports'!D1049)),TRIM('R.M Billets Reports'!F1049),IF(ISNUMBER(SEARCH("Party Name-",'R.M Billets Reports'!D1049)),TRIM(MID('R.M Billets Reports'!D1049,SEARCH("-",'R.M Billets Reports'!D1049)+1,200)),"")))))),IF(ROW()=2,"",A1048))</f>
      </c>
      <c r="B1049">
        <f>IF(OR('R.M Billets Reports'!A1048="Date-",'R.M Billets Reports'!A1048="Date:-"),'R.M Billets Reports'!B1048,IF(ROW()=2,"",B1048))</f>
      </c>
      <c r="C1049">
        <f>IF('R.M Billets Reports'!A1048="V.No.",'R.M Billets Reports'!B1048,IF(ROW()=2,"",C1048))</f>
      </c>
      <c r="D1049">
        <f>IF('R.M Billets Reports'!A1048&lt;&gt;"",'R.M Billets Reports'!A1048,IF(ROW()=2,"",D1048))</f>
      </c>
      <c r="E1049">
        <f>IF('R.M Billets Reports'!B1048="","",TRIM('R.M Billets Reports'!B1048))</f>
      </c>
      <c r="F1049">
        <f>'R.M Billets Reports'!C1048</f>
      </c>
      <c r="G1049">
        <f>'R.M Billets Reports'!D1048</f>
      </c>
      <c r="H1049">
        <f>'R.M Billets Reports'!E1048</f>
      </c>
      <c r="I1049">
        <f>'R.M Billets Reports'!F1048</f>
      </c>
      <c r="J1049">
        <f>'R.M Billets Reports'!G1048</f>
      </c>
      <c r="K1049">
        <f>'R.M Billets Reports'!H1048</f>
      </c>
      <c r="L1049">
        <f>IF('R.M Billets Reports'!I1048="","",'R.M Billets Reports'!I1048)</f>
      </c>
      <c r="M1049">
        <f t="shared" si="32"/>
      </c>
      <c r="N1049">
        <f>IF('R.M Billets Reports'!J1048="","",'R.M Billets Reports'!J1048)</f>
      </c>
      <c r="O1049">
        <f t="shared" si="33"/>
      </c>
      <c r="P1049">
        <f>IF('R.M Billets Reports'!A1048="SIZE",'R.M Billets Reports'!B1048,P1048)</f>
      </c>
    </row>
    <row r="1050" spans="1:16" x14ac:dyDescent="0.25">
      <c r="A1050">
        <f>IF(OR('R.M Billets Reports'!A1049="Date-",'R.M Billets Reports'!A1049="Date:-"),IF(IF(IF(ISNUMBER(SEARCH("Party Name:-",'R.M Billets Reports'!D1049)),TRIM('R.M Billets Reports'!F1049),IF(ISNUMBER(SEARCH("Party Name-",'R.M Billets Reports'!D1049)),TRIM(MID('R.M Billets Reports'!D1049,SEARCH("-",'R.M Billets Reports'!D1049)+1,200)),""))&lt;&gt;"",IF(ISNUMBER(SEARCH("Party Name:-",'R.M Billets Reports'!D1049)),TRIM('R.M Billets Reports'!F1049),IF(ISNUMBER(SEARCH("Party Name-",'R.M Billets Reports'!D1049)),TRIM(MID('R.M Billets Reports'!D1049,SEARCH("-",'R.M Billets Reports'!D1049)+1,200)),"")),IF(ISNUMBER(SEARCH("Party Name:-",'R.M Billets Reports'!D1050)),TRIM('R.M Billets Reports'!F1050),IF(ISNUMBER(SEARCH("Party Name-",'R.M Billets Reports'!D1050)),TRIM(MID('R.M Billets Reports'!D1050,SEARCH("-",'R.M Billets Reports'!D1050)+1,200)),"")))="VRKP ISPAT PVT LTD","VRKP",IF(IF(IF(ISNUMBER(SEARCH("Party Name:-",'R.M Billets Reports'!D1049)),TRIM('R.M Billets Reports'!F1049),IF(ISNUMBER(SEARCH("Party Name-",'R.M Billets Reports'!D1049)),TRIM(MID('R.M Billets Reports'!D1049,SEARCH("-",'R.M Billets Reports'!D1049)+1,200)),""))&lt;&gt;"",IF(ISNUMBER(SEARCH("Party Name:-",'R.M Billets Reports'!D1049)),TRIM('R.M Billets Reports'!F1049),IF(ISNUMBER(SEARCH("Party Name-",'R.M Billets Reports'!D1049)),TRIM(MID('R.M Billets Reports'!D1049,SEARCH("-",'R.M Billets Reports'!D1049)+1,200)),"")),IF(ISNUMBER(SEARCH("Party Name:-",'R.M Billets Reports'!D1050)),TRIM('R.M Billets Reports'!F1050),IF(ISNUMBER(SEARCH("Party Name-",'R.M Billets Reports'!D1050)),TRIM(MID('R.M Billets Reports'!D1050,SEARCH("-",'R.M Billets Reports'!D1050)+1,200)),"")))="SHRI RADHE","SHREE RADHE",IF(IF(IF(ISNUMBER(SEARCH("Party Name:-",'R.M Billets Reports'!D1049)),TRIM('R.M Billets Reports'!F1049),IF(ISNUMBER(SEARCH("Party Name-",'R.M Billets Reports'!D1049)),TRIM(MID('R.M Billets Reports'!D1049,SEARCH("-",'R.M Billets Reports'!D1049)+1,200)),""))&lt;&gt;"",IF(ISNUMBER(SEARCH("Party Name:-",'R.M Billets Reports'!D1049)),TRIM('R.M Billets Reports'!F1049),IF(ISNUMBER(SEARCH("Party Name-",'R.M Billets Reports'!D1049)),TRIM(MID('R.M Billets Reports'!D1049,SEARCH("-",'R.M Billets Reports'!D1049)+1,200)),"")),IF(ISNUMBER(SEARCH("Party Name:-",'R.M Billets Reports'!D1050)),TRIM('R.M Billets Reports'!F1050),IF(ISNUMBER(SEARCH("Party Name-",'R.M Billets Reports'!D1050)),TRIM(MID('R.M Billets Reports'!D1050,SEARCH("-",'R.M Billets Reports'!D1050)+1,200)),"")))="SHREE RADHE SHAKTI SPONGE AND POWER PVT. LTD.","SHREE RADHE",IF(IF(ISNUMBER(SEARCH("Party Name:-",'R.M Billets Reports'!D1049)),TRIM('R.M Billets Reports'!F1049),IF(ISNUMBER(SEARCH("Party Name-",'R.M Billets Reports'!D1049)),TRIM(MID('R.M Billets Reports'!D1049,SEARCH("-",'R.M Billets Reports'!D1049)+1,200)),""))&lt;&gt;"",IF(ISNUMBER(SEARCH("Party Name:-",'R.M Billets Reports'!D1049)),TRIM('R.M Billets Reports'!F1049),IF(ISNUMBER(SEARCH("Party Name-",'R.M Billets Reports'!D1049)),TRIM(MID('R.M Billets Reports'!D1049,SEARCH("-",'R.M Billets Reports'!D1049)+1,200)),"")),IF(ISNUMBER(SEARCH("Party Name:-",'R.M Billets Reports'!D1050)),TRIM('R.M Billets Reports'!F1050),IF(ISNUMBER(SEARCH("Party Name-",'R.M Billets Reports'!D1050)),TRIM(MID('R.M Billets Reports'!D1050,SEARCH("-",'R.M Billets Reports'!D1050)+1,200)),"")))))),IF(ROW()=2,"",A1049))</f>
      </c>
      <c r="B1050">
        <f>IF(OR('R.M Billets Reports'!A1049="Date-",'R.M Billets Reports'!A1049="Date:-"),'R.M Billets Reports'!B1049,IF(ROW()=2,"",B1049))</f>
      </c>
      <c r="C1050">
        <f>IF('R.M Billets Reports'!A1049="V.No.",'R.M Billets Reports'!B1049,IF(ROW()=2,"",C1049))</f>
      </c>
      <c r="D1050">
        <f>IF('R.M Billets Reports'!A1049&lt;&gt;"",'R.M Billets Reports'!A1049,IF(ROW()=2,"",D1049))</f>
      </c>
      <c r="E1050">
        <f>IF('R.M Billets Reports'!B1049="","",TRIM('R.M Billets Reports'!B1049))</f>
      </c>
      <c r="F1050">
        <f>'R.M Billets Reports'!C1049</f>
      </c>
      <c r="G1050">
        <f>'R.M Billets Reports'!D1049</f>
      </c>
      <c r="H1050">
        <f>'R.M Billets Reports'!E1049</f>
      </c>
      <c r="I1050">
        <f>'R.M Billets Reports'!F1049</f>
      </c>
      <c r="J1050">
        <f>'R.M Billets Reports'!G1049</f>
      </c>
      <c r="K1050">
        <f>'R.M Billets Reports'!H1049</f>
      </c>
      <c r="L1050">
        <f>IF('R.M Billets Reports'!I1049="","",'R.M Billets Reports'!I1049)</f>
      </c>
      <c r="M1050">
        <f t="shared" si="32"/>
      </c>
      <c r="N1050">
        <f>IF('R.M Billets Reports'!J1049="","",'R.M Billets Reports'!J1049)</f>
      </c>
      <c r="O1050">
        <f t="shared" si="33"/>
      </c>
      <c r="P1050">
        <f>IF('R.M Billets Reports'!A1049="SIZE",'R.M Billets Reports'!B1049,P1049)</f>
      </c>
    </row>
    <row r="1051" spans="1:16" x14ac:dyDescent="0.25">
      <c r="A1051">
        <f>IF(OR('R.M Billets Reports'!A1050="Date-",'R.M Billets Reports'!A1050="Date:-"),IF(IF(IF(ISNUMBER(SEARCH("Party Name:-",'R.M Billets Reports'!D1050)),TRIM('R.M Billets Reports'!F1050),IF(ISNUMBER(SEARCH("Party Name-",'R.M Billets Reports'!D1050)),TRIM(MID('R.M Billets Reports'!D1050,SEARCH("-",'R.M Billets Reports'!D1050)+1,200)),""))&lt;&gt;"",IF(ISNUMBER(SEARCH("Party Name:-",'R.M Billets Reports'!D1050)),TRIM('R.M Billets Reports'!F1050),IF(ISNUMBER(SEARCH("Party Name-",'R.M Billets Reports'!D1050)),TRIM(MID('R.M Billets Reports'!D1050,SEARCH("-",'R.M Billets Reports'!D1050)+1,200)),"")),IF(ISNUMBER(SEARCH("Party Name:-",'R.M Billets Reports'!D1051)),TRIM('R.M Billets Reports'!F1051),IF(ISNUMBER(SEARCH("Party Name-",'R.M Billets Reports'!D1051)),TRIM(MID('R.M Billets Reports'!D1051,SEARCH("-",'R.M Billets Reports'!D1051)+1,200)),"")))="VRKP ISPAT PVT LTD","VRKP",IF(IF(IF(ISNUMBER(SEARCH("Party Name:-",'R.M Billets Reports'!D1050)),TRIM('R.M Billets Reports'!F1050),IF(ISNUMBER(SEARCH("Party Name-",'R.M Billets Reports'!D1050)),TRIM(MID('R.M Billets Reports'!D1050,SEARCH("-",'R.M Billets Reports'!D1050)+1,200)),""))&lt;&gt;"",IF(ISNUMBER(SEARCH("Party Name:-",'R.M Billets Reports'!D1050)),TRIM('R.M Billets Reports'!F1050),IF(ISNUMBER(SEARCH("Party Name-",'R.M Billets Reports'!D1050)),TRIM(MID('R.M Billets Reports'!D1050,SEARCH("-",'R.M Billets Reports'!D1050)+1,200)),"")),IF(ISNUMBER(SEARCH("Party Name:-",'R.M Billets Reports'!D1051)),TRIM('R.M Billets Reports'!F1051),IF(ISNUMBER(SEARCH("Party Name-",'R.M Billets Reports'!D1051)),TRIM(MID('R.M Billets Reports'!D1051,SEARCH("-",'R.M Billets Reports'!D1051)+1,200)),"")))="SHRI RADHE","SHREE RADHE",IF(IF(IF(ISNUMBER(SEARCH("Party Name:-",'R.M Billets Reports'!D1050)),TRIM('R.M Billets Reports'!F1050),IF(ISNUMBER(SEARCH("Party Name-",'R.M Billets Reports'!D1050)),TRIM(MID('R.M Billets Reports'!D1050,SEARCH("-",'R.M Billets Reports'!D1050)+1,200)),""))&lt;&gt;"",IF(ISNUMBER(SEARCH("Party Name:-",'R.M Billets Reports'!D1050)),TRIM('R.M Billets Reports'!F1050),IF(ISNUMBER(SEARCH("Party Name-",'R.M Billets Reports'!D1050)),TRIM(MID('R.M Billets Reports'!D1050,SEARCH("-",'R.M Billets Reports'!D1050)+1,200)),"")),IF(ISNUMBER(SEARCH("Party Name:-",'R.M Billets Reports'!D1051)),TRIM('R.M Billets Reports'!F1051),IF(ISNUMBER(SEARCH("Party Name-",'R.M Billets Reports'!D1051)),TRIM(MID('R.M Billets Reports'!D1051,SEARCH("-",'R.M Billets Reports'!D1051)+1,200)),"")))="SHREE RADHE SHAKTI SPONGE AND POWER PVT. LTD.","SHREE RADHE",IF(IF(ISNUMBER(SEARCH("Party Name:-",'R.M Billets Reports'!D1050)),TRIM('R.M Billets Reports'!F1050),IF(ISNUMBER(SEARCH("Party Name-",'R.M Billets Reports'!D1050)),TRIM(MID('R.M Billets Reports'!D1050,SEARCH("-",'R.M Billets Reports'!D1050)+1,200)),""))&lt;&gt;"",IF(ISNUMBER(SEARCH("Party Name:-",'R.M Billets Reports'!D1050)),TRIM('R.M Billets Reports'!F1050),IF(ISNUMBER(SEARCH("Party Name-",'R.M Billets Reports'!D1050)),TRIM(MID('R.M Billets Reports'!D1050,SEARCH("-",'R.M Billets Reports'!D1050)+1,200)),"")),IF(ISNUMBER(SEARCH("Party Name:-",'R.M Billets Reports'!D1051)),TRIM('R.M Billets Reports'!F1051),IF(ISNUMBER(SEARCH("Party Name-",'R.M Billets Reports'!D1051)),TRIM(MID('R.M Billets Reports'!D1051,SEARCH("-",'R.M Billets Reports'!D1051)+1,200)),"")))))),IF(ROW()=2,"",A1050))</f>
      </c>
      <c r="B1051">
        <f>IF(OR('R.M Billets Reports'!A1050="Date-",'R.M Billets Reports'!A1050="Date:-"),'R.M Billets Reports'!B1050,IF(ROW()=2,"",B1050))</f>
      </c>
      <c r="C1051">
        <f>IF('R.M Billets Reports'!A1050="V.No.",'R.M Billets Reports'!B1050,IF(ROW()=2,"",C1050))</f>
      </c>
      <c r="D1051">
        <f>IF('R.M Billets Reports'!A1050&lt;&gt;"",'R.M Billets Reports'!A1050,IF(ROW()=2,"",D1050))</f>
      </c>
      <c r="E1051">
        <f>IF('R.M Billets Reports'!B1050="","",TRIM('R.M Billets Reports'!B1050))</f>
      </c>
      <c r="F1051">
        <f>'R.M Billets Reports'!C1050</f>
      </c>
      <c r="G1051">
        <f>'R.M Billets Reports'!D1050</f>
      </c>
      <c r="H1051">
        <f>'R.M Billets Reports'!E1050</f>
      </c>
      <c r="I1051">
        <f>'R.M Billets Reports'!F1050</f>
      </c>
      <c r="J1051">
        <f>'R.M Billets Reports'!G1050</f>
      </c>
      <c r="K1051">
        <f>'R.M Billets Reports'!H1050</f>
      </c>
      <c r="L1051">
        <f>IF('R.M Billets Reports'!I1050="","",'R.M Billets Reports'!I1050)</f>
      </c>
      <c r="M1051">
        <f t="shared" si="32"/>
      </c>
      <c r="N1051">
        <f>IF('R.M Billets Reports'!J1050="","",'R.M Billets Reports'!J1050)</f>
      </c>
      <c r="O1051">
        <f t="shared" si="33"/>
      </c>
      <c r="P1051">
        <f>IF('R.M Billets Reports'!A1050="SIZE",'R.M Billets Reports'!B1050,P1050)</f>
      </c>
    </row>
    <row r="1052" spans="1:16" x14ac:dyDescent="0.25">
      <c r="A1052">
        <f>IF(OR('R.M Billets Reports'!A1051="Date-",'R.M Billets Reports'!A1051="Date:-"),IF(IF(IF(ISNUMBER(SEARCH("Party Name:-",'R.M Billets Reports'!D1051)),TRIM('R.M Billets Reports'!F1051),IF(ISNUMBER(SEARCH("Party Name-",'R.M Billets Reports'!D1051)),TRIM(MID('R.M Billets Reports'!D1051,SEARCH("-",'R.M Billets Reports'!D1051)+1,200)),""))&lt;&gt;"",IF(ISNUMBER(SEARCH("Party Name:-",'R.M Billets Reports'!D1051)),TRIM('R.M Billets Reports'!F1051),IF(ISNUMBER(SEARCH("Party Name-",'R.M Billets Reports'!D1051)),TRIM(MID('R.M Billets Reports'!D1051,SEARCH("-",'R.M Billets Reports'!D1051)+1,200)),"")),IF(ISNUMBER(SEARCH("Party Name:-",'R.M Billets Reports'!D1052)),TRIM('R.M Billets Reports'!F1052),IF(ISNUMBER(SEARCH("Party Name-",'R.M Billets Reports'!D1052)),TRIM(MID('R.M Billets Reports'!D1052,SEARCH("-",'R.M Billets Reports'!D1052)+1,200)),"")))="VRKP ISPAT PVT LTD","VRKP",IF(IF(IF(ISNUMBER(SEARCH("Party Name:-",'R.M Billets Reports'!D1051)),TRIM('R.M Billets Reports'!F1051),IF(ISNUMBER(SEARCH("Party Name-",'R.M Billets Reports'!D1051)),TRIM(MID('R.M Billets Reports'!D1051,SEARCH("-",'R.M Billets Reports'!D1051)+1,200)),""))&lt;&gt;"",IF(ISNUMBER(SEARCH("Party Name:-",'R.M Billets Reports'!D1051)),TRIM('R.M Billets Reports'!F1051),IF(ISNUMBER(SEARCH("Party Name-",'R.M Billets Reports'!D1051)),TRIM(MID('R.M Billets Reports'!D1051,SEARCH("-",'R.M Billets Reports'!D1051)+1,200)),"")),IF(ISNUMBER(SEARCH("Party Name:-",'R.M Billets Reports'!D1052)),TRIM('R.M Billets Reports'!F1052),IF(ISNUMBER(SEARCH("Party Name-",'R.M Billets Reports'!D1052)),TRIM(MID('R.M Billets Reports'!D1052,SEARCH("-",'R.M Billets Reports'!D1052)+1,200)),"")))="SHRI RADHE","SHREE RADHE",IF(IF(IF(ISNUMBER(SEARCH("Party Name:-",'R.M Billets Reports'!D1051)),TRIM('R.M Billets Reports'!F1051),IF(ISNUMBER(SEARCH("Party Name-",'R.M Billets Reports'!D1051)),TRIM(MID('R.M Billets Reports'!D1051,SEARCH("-",'R.M Billets Reports'!D1051)+1,200)),""))&lt;&gt;"",IF(ISNUMBER(SEARCH("Party Name:-",'R.M Billets Reports'!D1051)),TRIM('R.M Billets Reports'!F1051),IF(ISNUMBER(SEARCH("Party Name-",'R.M Billets Reports'!D1051)),TRIM(MID('R.M Billets Reports'!D1051,SEARCH("-",'R.M Billets Reports'!D1051)+1,200)),"")),IF(ISNUMBER(SEARCH("Party Name:-",'R.M Billets Reports'!D1052)),TRIM('R.M Billets Reports'!F1052),IF(ISNUMBER(SEARCH("Party Name-",'R.M Billets Reports'!D1052)),TRIM(MID('R.M Billets Reports'!D1052,SEARCH("-",'R.M Billets Reports'!D1052)+1,200)),"")))="SHREE RADHE SHAKTI SPONGE AND POWER PVT. LTD.","SHREE RADHE",IF(IF(ISNUMBER(SEARCH("Party Name:-",'R.M Billets Reports'!D1051)),TRIM('R.M Billets Reports'!F1051),IF(ISNUMBER(SEARCH("Party Name-",'R.M Billets Reports'!D1051)),TRIM(MID('R.M Billets Reports'!D1051,SEARCH("-",'R.M Billets Reports'!D1051)+1,200)),""))&lt;&gt;"",IF(ISNUMBER(SEARCH("Party Name:-",'R.M Billets Reports'!D1051)),TRIM('R.M Billets Reports'!F1051),IF(ISNUMBER(SEARCH("Party Name-",'R.M Billets Reports'!D1051)),TRIM(MID('R.M Billets Reports'!D1051,SEARCH("-",'R.M Billets Reports'!D1051)+1,200)),"")),IF(ISNUMBER(SEARCH("Party Name:-",'R.M Billets Reports'!D1052)),TRIM('R.M Billets Reports'!F1052),IF(ISNUMBER(SEARCH("Party Name-",'R.M Billets Reports'!D1052)),TRIM(MID('R.M Billets Reports'!D1052,SEARCH("-",'R.M Billets Reports'!D1052)+1,200)),"")))))),IF(ROW()=2,"",A1051))</f>
      </c>
      <c r="B1052">
        <f>IF(OR('R.M Billets Reports'!A1051="Date-",'R.M Billets Reports'!A1051="Date:-"),'R.M Billets Reports'!B1051,IF(ROW()=2,"",B1051))</f>
      </c>
      <c r="C1052">
        <f>IF('R.M Billets Reports'!A1051="V.No.",'R.M Billets Reports'!B1051,IF(ROW()=2,"",C1051))</f>
      </c>
      <c r="D1052">
        <f>IF('R.M Billets Reports'!A1051&lt;&gt;"",'R.M Billets Reports'!A1051,IF(ROW()=2,"",D1051))</f>
      </c>
      <c r="E1052">
        <f>IF('R.M Billets Reports'!B1051="","",TRIM('R.M Billets Reports'!B1051))</f>
      </c>
      <c r="F1052">
        <f>'R.M Billets Reports'!C1051</f>
      </c>
      <c r="G1052">
        <f>'R.M Billets Reports'!D1051</f>
      </c>
      <c r="H1052">
        <f>'R.M Billets Reports'!E1051</f>
      </c>
      <c r="I1052">
        <f>'R.M Billets Reports'!F1051</f>
      </c>
      <c r="J1052">
        <f>'R.M Billets Reports'!G1051</f>
      </c>
      <c r="K1052">
        <f>'R.M Billets Reports'!H1051</f>
      </c>
      <c r="L1052">
        <f>IF('R.M Billets Reports'!I1051="","",'R.M Billets Reports'!I1051)</f>
      </c>
      <c r="M1052">
        <f t="shared" si="32"/>
      </c>
      <c r="N1052">
        <f>IF('R.M Billets Reports'!J1051="","",'R.M Billets Reports'!J1051)</f>
      </c>
      <c r="O1052">
        <f t="shared" si="33"/>
      </c>
      <c r="P1052">
        <f>IF('R.M Billets Reports'!A1051="SIZE",'R.M Billets Reports'!B1051,P1051)</f>
      </c>
    </row>
    <row r="1053" spans="1:16" x14ac:dyDescent="0.25">
      <c r="A1053">
        <f>IF(OR('R.M Billets Reports'!A1052="Date-",'R.M Billets Reports'!A1052="Date:-"),IF(IF(IF(ISNUMBER(SEARCH("Party Name:-",'R.M Billets Reports'!D1052)),TRIM('R.M Billets Reports'!F1052),IF(ISNUMBER(SEARCH("Party Name-",'R.M Billets Reports'!D1052)),TRIM(MID('R.M Billets Reports'!D1052,SEARCH("-",'R.M Billets Reports'!D1052)+1,200)),""))&lt;&gt;"",IF(ISNUMBER(SEARCH("Party Name:-",'R.M Billets Reports'!D1052)),TRIM('R.M Billets Reports'!F1052),IF(ISNUMBER(SEARCH("Party Name-",'R.M Billets Reports'!D1052)),TRIM(MID('R.M Billets Reports'!D1052,SEARCH("-",'R.M Billets Reports'!D1052)+1,200)),"")),IF(ISNUMBER(SEARCH("Party Name:-",'R.M Billets Reports'!D1053)),TRIM('R.M Billets Reports'!F1053),IF(ISNUMBER(SEARCH("Party Name-",'R.M Billets Reports'!D1053)),TRIM(MID('R.M Billets Reports'!D1053,SEARCH("-",'R.M Billets Reports'!D1053)+1,200)),"")))="VRKP ISPAT PVT LTD","VRKP",IF(IF(IF(ISNUMBER(SEARCH("Party Name:-",'R.M Billets Reports'!D1052)),TRIM('R.M Billets Reports'!F1052),IF(ISNUMBER(SEARCH("Party Name-",'R.M Billets Reports'!D1052)),TRIM(MID('R.M Billets Reports'!D1052,SEARCH("-",'R.M Billets Reports'!D1052)+1,200)),""))&lt;&gt;"",IF(ISNUMBER(SEARCH("Party Name:-",'R.M Billets Reports'!D1052)),TRIM('R.M Billets Reports'!F1052),IF(ISNUMBER(SEARCH("Party Name-",'R.M Billets Reports'!D1052)),TRIM(MID('R.M Billets Reports'!D1052,SEARCH("-",'R.M Billets Reports'!D1052)+1,200)),"")),IF(ISNUMBER(SEARCH("Party Name:-",'R.M Billets Reports'!D1053)),TRIM('R.M Billets Reports'!F1053),IF(ISNUMBER(SEARCH("Party Name-",'R.M Billets Reports'!D1053)),TRIM(MID('R.M Billets Reports'!D1053,SEARCH("-",'R.M Billets Reports'!D1053)+1,200)),"")))="SHRI RADHE","SHREE RADHE",IF(IF(IF(ISNUMBER(SEARCH("Party Name:-",'R.M Billets Reports'!D1052)),TRIM('R.M Billets Reports'!F1052),IF(ISNUMBER(SEARCH("Party Name-",'R.M Billets Reports'!D1052)),TRIM(MID('R.M Billets Reports'!D1052,SEARCH("-",'R.M Billets Reports'!D1052)+1,200)),""))&lt;&gt;"",IF(ISNUMBER(SEARCH("Party Name:-",'R.M Billets Reports'!D1052)),TRIM('R.M Billets Reports'!F1052),IF(ISNUMBER(SEARCH("Party Name-",'R.M Billets Reports'!D1052)),TRIM(MID('R.M Billets Reports'!D1052,SEARCH("-",'R.M Billets Reports'!D1052)+1,200)),"")),IF(ISNUMBER(SEARCH("Party Name:-",'R.M Billets Reports'!D1053)),TRIM('R.M Billets Reports'!F1053),IF(ISNUMBER(SEARCH("Party Name-",'R.M Billets Reports'!D1053)),TRIM(MID('R.M Billets Reports'!D1053,SEARCH("-",'R.M Billets Reports'!D1053)+1,200)),"")))="SHREE RADHE SHAKTI SPONGE AND POWER PVT. LTD.","SHREE RADHE",IF(IF(ISNUMBER(SEARCH("Party Name:-",'R.M Billets Reports'!D1052)),TRIM('R.M Billets Reports'!F1052),IF(ISNUMBER(SEARCH("Party Name-",'R.M Billets Reports'!D1052)),TRIM(MID('R.M Billets Reports'!D1052,SEARCH("-",'R.M Billets Reports'!D1052)+1,200)),""))&lt;&gt;"",IF(ISNUMBER(SEARCH("Party Name:-",'R.M Billets Reports'!D1052)),TRIM('R.M Billets Reports'!F1052),IF(ISNUMBER(SEARCH("Party Name-",'R.M Billets Reports'!D1052)),TRIM(MID('R.M Billets Reports'!D1052,SEARCH("-",'R.M Billets Reports'!D1052)+1,200)),"")),IF(ISNUMBER(SEARCH("Party Name:-",'R.M Billets Reports'!D1053)),TRIM('R.M Billets Reports'!F1053),IF(ISNUMBER(SEARCH("Party Name-",'R.M Billets Reports'!D1053)),TRIM(MID('R.M Billets Reports'!D1053,SEARCH("-",'R.M Billets Reports'!D1053)+1,200)),"")))))),IF(ROW()=2,"",A1052))</f>
      </c>
      <c r="B1053">
        <f>IF(OR('R.M Billets Reports'!A1052="Date-",'R.M Billets Reports'!A1052="Date:-"),'R.M Billets Reports'!B1052,IF(ROW()=2,"",B1052))</f>
      </c>
      <c r="C1053">
        <f>IF('R.M Billets Reports'!A1052="V.No.",'R.M Billets Reports'!B1052,IF(ROW()=2,"",C1052))</f>
      </c>
      <c r="D1053">
        <f>IF('R.M Billets Reports'!A1052&lt;&gt;"",'R.M Billets Reports'!A1052,IF(ROW()=2,"",D1052))</f>
      </c>
      <c r="E1053">
        <f>IF('R.M Billets Reports'!B1052="","",TRIM('R.M Billets Reports'!B1052))</f>
      </c>
      <c r="F1053">
        <f>'R.M Billets Reports'!C1052</f>
      </c>
      <c r="G1053">
        <f>'R.M Billets Reports'!D1052</f>
      </c>
      <c r="H1053">
        <f>'R.M Billets Reports'!E1052</f>
      </c>
      <c r="I1053">
        <f>'R.M Billets Reports'!F1052</f>
      </c>
      <c r="J1053">
        <f>'R.M Billets Reports'!G1052</f>
      </c>
      <c r="K1053">
        <f>'R.M Billets Reports'!H1052</f>
      </c>
      <c r="L1053">
        <f>IF('R.M Billets Reports'!I1052="","",'R.M Billets Reports'!I1052)</f>
      </c>
      <c r="M1053">
        <f t="shared" si="32"/>
      </c>
      <c r="N1053">
        <f>IF('R.M Billets Reports'!J1052="","",'R.M Billets Reports'!J1052)</f>
      </c>
      <c r="O1053">
        <f t="shared" si="33"/>
      </c>
      <c r="P1053">
        <f>IF('R.M Billets Reports'!A1052="SIZE",'R.M Billets Reports'!B1052,P1052)</f>
      </c>
    </row>
    <row r="1054" spans="1:16" x14ac:dyDescent="0.25">
      <c r="A1054">
        <f>IF(OR('R.M Billets Reports'!A1053="Date-",'R.M Billets Reports'!A1053="Date:-"),IF(IF(IF(ISNUMBER(SEARCH("Party Name:-",'R.M Billets Reports'!D1053)),TRIM('R.M Billets Reports'!F1053),IF(ISNUMBER(SEARCH("Party Name-",'R.M Billets Reports'!D1053)),TRIM(MID('R.M Billets Reports'!D1053,SEARCH("-",'R.M Billets Reports'!D1053)+1,200)),""))&lt;&gt;"",IF(ISNUMBER(SEARCH("Party Name:-",'R.M Billets Reports'!D1053)),TRIM('R.M Billets Reports'!F1053),IF(ISNUMBER(SEARCH("Party Name-",'R.M Billets Reports'!D1053)),TRIM(MID('R.M Billets Reports'!D1053,SEARCH("-",'R.M Billets Reports'!D1053)+1,200)),"")),IF(ISNUMBER(SEARCH("Party Name:-",'R.M Billets Reports'!D1054)),TRIM('R.M Billets Reports'!F1054),IF(ISNUMBER(SEARCH("Party Name-",'R.M Billets Reports'!D1054)),TRIM(MID('R.M Billets Reports'!D1054,SEARCH("-",'R.M Billets Reports'!D1054)+1,200)),"")))="VRKP ISPAT PVT LTD","VRKP",IF(IF(IF(ISNUMBER(SEARCH("Party Name:-",'R.M Billets Reports'!D1053)),TRIM('R.M Billets Reports'!F1053),IF(ISNUMBER(SEARCH("Party Name-",'R.M Billets Reports'!D1053)),TRIM(MID('R.M Billets Reports'!D1053,SEARCH("-",'R.M Billets Reports'!D1053)+1,200)),""))&lt;&gt;"",IF(ISNUMBER(SEARCH("Party Name:-",'R.M Billets Reports'!D1053)),TRIM('R.M Billets Reports'!F1053),IF(ISNUMBER(SEARCH("Party Name-",'R.M Billets Reports'!D1053)),TRIM(MID('R.M Billets Reports'!D1053,SEARCH("-",'R.M Billets Reports'!D1053)+1,200)),"")),IF(ISNUMBER(SEARCH("Party Name:-",'R.M Billets Reports'!D1054)),TRIM('R.M Billets Reports'!F1054),IF(ISNUMBER(SEARCH("Party Name-",'R.M Billets Reports'!D1054)),TRIM(MID('R.M Billets Reports'!D1054,SEARCH("-",'R.M Billets Reports'!D1054)+1,200)),"")))="SHRI RADHE","SHREE RADHE",IF(IF(IF(ISNUMBER(SEARCH("Party Name:-",'R.M Billets Reports'!D1053)),TRIM('R.M Billets Reports'!F1053),IF(ISNUMBER(SEARCH("Party Name-",'R.M Billets Reports'!D1053)),TRIM(MID('R.M Billets Reports'!D1053,SEARCH("-",'R.M Billets Reports'!D1053)+1,200)),""))&lt;&gt;"",IF(ISNUMBER(SEARCH("Party Name:-",'R.M Billets Reports'!D1053)),TRIM('R.M Billets Reports'!F1053),IF(ISNUMBER(SEARCH("Party Name-",'R.M Billets Reports'!D1053)),TRIM(MID('R.M Billets Reports'!D1053,SEARCH("-",'R.M Billets Reports'!D1053)+1,200)),"")),IF(ISNUMBER(SEARCH("Party Name:-",'R.M Billets Reports'!D1054)),TRIM('R.M Billets Reports'!F1054),IF(ISNUMBER(SEARCH("Party Name-",'R.M Billets Reports'!D1054)),TRIM(MID('R.M Billets Reports'!D1054,SEARCH("-",'R.M Billets Reports'!D1054)+1,200)),"")))="SHREE RADHE SHAKTI SPONGE AND POWER PVT. LTD.","SHREE RADHE",IF(IF(ISNUMBER(SEARCH("Party Name:-",'R.M Billets Reports'!D1053)),TRIM('R.M Billets Reports'!F1053),IF(ISNUMBER(SEARCH("Party Name-",'R.M Billets Reports'!D1053)),TRIM(MID('R.M Billets Reports'!D1053,SEARCH("-",'R.M Billets Reports'!D1053)+1,200)),""))&lt;&gt;"",IF(ISNUMBER(SEARCH("Party Name:-",'R.M Billets Reports'!D1053)),TRIM('R.M Billets Reports'!F1053),IF(ISNUMBER(SEARCH("Party Name-",'R.M Billets Reports'!D1053)),TRIM(MID('R.M Billets Reports'!D1053,SEARCH("-",'R.M Billets Reports'!D1053)+1,200)),"")),IF(ISNUMBER(SEARCH("Party Name:-",'R.M Billets Reports'!D1054)),TRIM('R.M Billets Reports'!F1054),IF(ISNUMBER(SEARCH("Party Name-",'R.M Billets Reports'!D1054)),TRIM(MID('R.M Billets Reports'!D1054,SEARCH("-",'R.M Billets Reports'!D1054)+1,200)),"")))))),IF(ROW()=2,"",A1053))</f>
      </c>
      <c r="B1054">
        <f>IF(OR('R.M Billets Reports'!A1053="Date-",'R.M Billets Reports'!A1053="Date:-"),'R.M Billets Reports'!B1053,IF(ROW()=2,"",B1053))</f>
      </c>
      <c r="C1054">
        <f>IF('R.M Billets Reports'!A1053="V.No.",'R.M Billets Reports'!B1053,IF(ROW()=2,"",C1053))</f>
      </c>
      <c r="D1054">
        <f>IF('R.M Billets Reports'!A1053&lt;&gt;"",'R.M Billets Reports'!A1053,IF(ROW()=2,"",D1053))</f>
      </c>
      <c r="E1054">
        <f>IF('R.M Billets Reports'!B1053="","",TRIM('R.M Billets Reports'!B1053))</f>
      </c>
      <c r="F1054">
        <f>'R.M Billets Reports'!C1053</f>
      </c>
      <c r="G1054">
        <f>'R.M Billets Reports'!D1053</f>
      </c>
      <c r="H1054">
        <f>'R.M Billets Reports'!E1053</f>
      </c>
      <c r="I1054">
        <f>'R.M Billets Reports'!F1053</f>
      </c>
      <c r="J1054">
        <f>'R.M Billets Reports'!G1053</f>
      </c>
      <c r="K1054">
        <f>'R.M Billets Reports'!H1053</f>
      </c>
      <c r="L1054">
        <f>IF('R.M Billets Reports'!I1053="","",'R.M Billets Reports'!I1053)</f>
      </c>
      <c r="M1054">
        <f t="shared" si="32"/>
      </c>
      <c r="N1054">
        <f>IF('R.M Billets Reports'!J1053="","",'R.M Billets Reports'!J1053)</f>
      </c>
      <c r="O1054">
        <f t="shared" si="33"/>
      </c>
      <c r="P1054">
        <f>IF('R.M Billets Reports'!A1053="SIZE",'R.M Billets Reports'!B1053,P1053)</f>
      </c>
    </row>
    <row r="1055" spans="1:16" x14ac:dyDescent="0.25">
      <c r="A1055">
        <f>IF(OR('R.M Billets Reports'!A1054="Date-",'R.M Billets Reports'!A1054="Date:-"),IF(IF(IF(ISNUMBER(SEARCH("Party Name:-",'R.M Billets Reports'!D1054)),TRIM('R.M Billets Reports'!F1054),IF(ISNUMBER(SEARCH("Party Name-",'R.M Billets Reports'!D1054)),TRIM(MID('R.M Billets Reports'!D1054,SEARCH("-",'R.M Billets Reports'!D1054)+1,200)),""))&lt;&gt;"",IF(ISNUMBER(SEARCH("Party Name:-",'R.M Billets Reports'!D1054)),TRIM('R.M Billets Reports'!F1054),IF(ISNUMBER(SEARCH("Party Name-",'R.M Billets Reports'!D1054)),TRIM(MID('R.M Billets Reports'!D1054,SEARCH("-",'R.M Billets Reports'!D1054)+1,200)),"")),IF(ISNUMBER(SEARCH("Party Name:-",'R.M Billets Reports'!D1055)),TRIM('R.M Billets Reports'!F1055),IF(ISNUMBER(SEARCH("Party Name-",'R.M Billets Reports'!D1055)),TRIM(MID('R.M Billets Reports'!D1055,SEARCH("-",'R.M Billets Reports'!D1055)+1,200)),"")))="VRKP ISPAT PVT LTD","VRKP",IF(IF(IF(ISNUMBER(SEARCH("Party Name:-",'R.M Billets Reports'!D1054)),TRIM('R.M Billets Reports'!F1054),IF(ISNUMBER(SEARCH("Party Name-",'R.M Billets Reports'!D1054)),TRIM(MID('R.M Billets Reports'!D1054,SEARCH("-",'R.M Billets Reports'!D1054)+1,200)),""))&lt;&gt;"",IF(ISNUMBER(SEARCH("Party Name:-",'R.M Billets Reports'!D1054)),TRIM('R.M Billets Reports'!F1054),IF(ISNUMBER(SEARCH("Party Name-",'R.M Billets Reports'!D1054)),TRIM(MID('R.M Billets Reports'!D1054,SEARCH("-",'R.M Billets Reports'!D1054)+1,200)),"")),IF(ISNUMBER(SEARCH("Party Name:-",'R.M Billets Reports'!D1055)),TRIM('R.M Billets Reports'!F1055),IF(ISNUMBER(SEARCH("Party Name-",'R.M Billets Reports'!D1055)),TRIM(MID('R.M Billets Reports'!D1055,SEARCH("-",'R.M Billets Reports'!D1055)+1,200)),"")))="SHRI RADHE","SHREE RADHE",IF(IF(IF(ISNUMBER(SEARCH("Party Name:-",'R.M Billets Reports'!D1054)),TRIM('R.M Billets Reports'!F1054),IF(ISNUMBER(SEARCH("Party Name-",'R.M Billets Reports'!D1054)),TRIM(MID('R.M Billets Reports'!D1054,SEARCH("-",'R.M Billets Reports'!D1054)+1,200)),""))&lt;&gt;"",IF(ISNUMBER(SEARCH("Party Name:-",'R.M Billets Reports'!D1054)),TRIM('R.M Billets Reports'!F1054),IF(ISNUMBER(SEARCH("Party Name-",'R.M Billets Reports'!D1054)),TRIM(MID('R.M Billets Reports'!D1054,SEARCH("-",'R.M Billets Reports'!D1054)+1,200)),"")),IF(ISNUMBER(SEARCH("Party Name:-",'R.M Billets Reports'!D1055)),TRIM('R.M Billets Reports'!F1055),IF(ISNUMBER(SEARCH("Party Name-",'R.M Billets Reports'!D1055)),TRIM(MID('R.M Billets Reports'!D1055,SEARCH("-",'R.M Billets Reports'!D1055)+1,200)),"")))="SHREE RADHE SHAKTI SPONGE AND POWER PVT. LTD.","SHREE RADHE",IF(IF(ISNUMBER(SEARCH("Party Name:-",'R.M Billets Reports'!D1054)),TRIM('R.M Billets Reports'!F1054),IF(ISNUMBER(SEARCH("Party Name-",'R.M Billets Reports'!D1054)),TRIM(MID('R.M Billets Reports'!D1054,SEARCH("-",'R.M Billets Reports'!D1054)+1,200)),""))&lt;&gt;"",IF(ISNUMBER(SEARCH("Party Name:-",'R.M Billets Reports'!D1054)),TRIM('R.M Billets Reports'!F1054),IF(ISNUMBER(SEARCH("Party Name-",'R.M Billets Reports'!D1054)),TRIM(MID('R.M Billets Reports'!D1054,SEARCH("-",'R.M Billets Reports'!D1054)+1,200)),"")),IF(ISNUMBER(SEARCH("Party Name:-",'R.M Billets Reports'!D1055)),TRIM('R.M Billets Reports'!F1055),IF(ISNUMBER(SEARCH("Party Name-",'R.M Billets Reports'!D1055)),TRIM(MID('R.M Billets Reports'!D1055,SEARCH("-",'R.M Billets Reports'!D1055)+1,200)),"")))))),IF(ROW()=2,"",A1054))</f>
      </c>
      <c r="B1055">
        <f>IF(OR('R.M Billets Reports'!A1054="Date-",'R.M Billets Reports'!A1054="Date:-"),'R.M Billets Reports'!B1054,IF(ROW()=2,"",B1054))</f>
      </c>
      <c r="C1055">
        <f>IF('R.M Billets Reports'!A1054="V.No.",'R.M Billets Reports'!B1054,IF(ROW()=2,"",C1054))</f>
      </c>
      <c r="D1055">
        <f>IF('R.M Billets Reports'!A1054&lt;&gt;"",'R.M Billets Reports'!A1054,IF(ROW()=2,"",D1054))</f>
      </c>
      <c r="E1055">
        <f>IF('R.M Billets Reports'!B1054="","",TRIM('R.M Billets Reports'!B1054))</f>
      </c>
      <c r="F1055">
        <f>'R.M Billets Reports'!C1054</f>
      </c>
      <c r="G1055">
        <f>'R.M Billets Reports'!D1054</f>
      </c>
      <c r="H1055">
        <f>'R.M Billets Reports'!E1054</f>
      </c>
      <c r="I1055">
        <f>'R.M Billets Reports'!F1054</f>
      </c>
      <c r="J1055">
        <f>'R.M Billets Reports'!G1054</f>
      </c>
      <c r="K1055">
        <f>'R.M Billets Reports'!H1054</f>
      </c>
      <c r="L1055">
        <f>IF('R.M Billets Reports'!I1054="","",'R.M Billets Reports'!I1054)</f>
      </c>
      <c r="M1055">
        <f t="shared" si="32"/>
      </c>
      <c r="N1055">
        <f>IF('R.M Billets Reports'!J1054="","",'R.M Billets Reports'!J1054)</f>
      </c>
      <c r="O1055">
        <f t="shared" si="33"/>
      </c>
      <c r="P1055">
        <f>IF('R.M Billets Reports'!A1054="SIZE",'R.M Billets Reports'!B1054,P1054)</f>
      </c>
    </row>
    <row r="1056" spans="1:16" x14ac:dyDescent="0.25">
      <c r="A1056">
        <f>IF(OR('R.M Billets Reports'!A1055="Date-",'R.M Billets Reports'!A1055="Date:-"),IF(IF(IF(ISNUMBER(SEARCH("Party Name:-",'R.M Billets Reports'!D1055)),TRIM('R.M Billets Reports'!F1055),IF(ISNUMBER(SEARCH("Party Name-",'R.M Billets Reports'!D1055)),TRIM(MID('R.M Billets Reports'!D1055,SEARCH("-",'R.M Billets Reports'!D1055)+1,200)),""))&lt;&gt;"",IF(ISNUMBER(SEARCH("Party Name:-",'R.M Billets Reports'!D1055)),TRIM('R.M Billets Reports'!F1055),IF(ISNUMBER(SEARCH("Party Name-",'R.M Billets Reports'!D1055)),TRIM(MID('R.M Billets Reports'!D1055,SEARCH("-",'R.M Billets Reports'!D1055)+1,200)),"")),IF(ISNUMBER(SEARCH("Party Name:-",'R.M Billets Reports'!D1056)),TRIM('R.M Billets Reports'!F1056),IF(ISNUMBER(SEARCH("Party Name-",'R.M Billets Reports'!D1056)),TRIM(MID('R.M Billets Reports'!D1056,SEARCH("-",'R.M Billets Reports'!D1056)+1,200)),"")))="VRKP ISPAT PVT LTD","VRKP",IF(IF(IF(ISNUMBER(SEARCH("Party Name:-",'R.M Billets Reports'!D1055)),TRIM('R.M Billets Reports'!F1055),IF(ISNUMBER(SEARCH("Party Name-",'R.M Billets Reports'!D1055)),TRIM(MID('R.M Billets Reports'!D1055,SEARCH("-",'R.M Billets Reports'!D1055)+1,200)),""))&lt;&gt;"",IF(ISNUMBER(SEARCH("Party Name:-",'R.M Billets Reports'!D1055)),TRIM('R.M Billets Reports'!F1055),IF(ISNUMBER(SEARCH("Party Name-",'R.M Billets Reports'!D1055)),TRIM(MID('R.M Billets Reports'!D1055,SEARCH("-",'R.M Billets Reports'!D1055)+1,200)),"")),IF(ISNUMBER(SEARCH("Party Name:-",'R.M Billets Reports'!D1056)),TRIM('R.M Billets Reports'!F1056),IF(ISNUMBER(SEARCH("Party Name-",'R.M Billets Reports'!D1056)),TRIM(MID('R.M Billets Reports'!D1056,SEARCH("-",'R.M Billets Reports'!D1056)+1,200)),"")))="SHRI RADHE","SHREE RADHE",IF(IF(IF(ISNUMBER(SEARCH("Party Name:-",'R.M Billets Reports'!D1055)),TRIM('R.M Billets Reports'!F1055),IF(ISNUMBER(SEARCH("Party Name-",'R.M Billets Reports'!D1055)),TRIM(MID('R.M Billets Reports'!D1055,SEARCH("-",'R.M Billets Reports'!D1055)+1,200)),""))&lt;&gt;"",IF(ISNUMBER(SEARCH("Party Name:-",'R.M Billets Reports'!D1055)),TRIM('R.M Billets Reports'!F1055),IF(ISNUMBER(SEARCH("Party Name-",'R.M Billets Reports'!D1055)),TRIM(MID('R.M Billets Reports'!D1055,SEARCH("-",'R.M Billets Reports'!D1055)+1,200)),"")),IF(ISNUMBER(SEARCH("Party Name:-",'R.M Billets Reports'!D1056)),TRIM('R.M Billets Reports'!F1056),IF(ISNUMBER(SEARCH("Party Name-",'R.M Billets Reports'!D1056)),TRIM(MID('R.M Billets Reports'!D1056,SEARCH("-",'R.M Billets Reports'!D1056)+1,200)),"")))="SHREE RADHE SHAKTI SPONGE AND POWER PVT. LTD.","SHREE RADHE",IF(IF(ISNUMBER(SEARCH("Party Name:-",'R.M Billets Reports'!D1055)),TRIM('R.M Billets Reports'!F1055),IF(ISNUMBER(SEARCH("Party Name-",'R.M Billets Reports'!D1055)),TRIM(MID('R.M Billets Reports'!D1055,SEARCH("-",'R.M Billets Reports'!D1055)+1,200)),""))&lt;&gt;"",IF(ISNUMBER(SEARCH("Party Name:-",'R.M Billets Reports'!D1055)),TRIM('R.M Billets Reports'!F1055),IF(ISNUMBER(SEARCH("Party Name-",'R.M Billets Reports'!D1055)),TRIM(MID('R.M Billets Reports'!D1055,SEARCH("-",'R.M Billets Reports'!D1055)+1,200)),"")),IF(ISNUMBER(SEARCH("Party Name:-",'R.M Billets Reports'!D1056)),TRIM('R.M Billets Reports'!F1056),IF(ISNUMBER(SEARCH("Party Name-",'R.M Billets Reports'!D1056)),TRIM(MID('R.M Billets Reports'!D1056,SEARCH("-",'R.M Billets Reports'!D1056)+1,200)),"")))))),IF(ROW()=2,"",A1055))</f>
      </c>
      <c r="B1056">
        <f>IF(OR('R.M Billets Reports'!A1055="Date-",'R.M Billets Reports'!A1055="Date:-"),'R.M Billets Reports'!B1055,IF(ROW()=2,"",B1055))</f>
      </c>
      <c r="C1056">
        <f>IF('R.M Billets Reports'!A1055="V.No.",'R.M Billets Reports'!B1055,IF(ROW()=2,"",C1055))</f>
      </c>
      <c r="D1056">
        <f>IF('R.M Billets Reports'!A1055&lt;&gt;"",'R.M Billets Reports'!A1055,IF(ROW()=2,"",D1055))</f>
      </c>
      <c r="E1056">
        <f>IF('R.M Billets Reports'!B1055="","",TRIM('R.M Billets Reports'!B1055))</f>
      </c>
      <c r="F1056">
        <f>'R.M Billets Reports'!C1055</f>
      </c>
      <c r="G1056">
        <f>'R.M Billets Reports'!D1055</f>
      </c>
      <c r="H1056">
        <f>'R.M Billets Reports'!E1055</f>
      </c>
      <c r="I1056">
        <f>'R.M Billets Reports'!F1055</f>
      </c>
      <c r="J1056">
        <f>'R.M Billets Reports'!G1055</f>
      </c>
      <c r="K1056">
        <f>'R.M Billets Reports'!H1055</f>
      </c>
      <c r="L1056">
        <f>IF('R.M Billets Reports'!I1055="","",'R.M Billets Reports'!I1055)</f>
      </c>
      <c r="M1056">
        <f t="shared" si="32"/>
      </c>
      <c r="N1056">
        <f>IF('R.M Billets Reports'!J1055="","",'R.M Billets Reports'!J1055)</f>
      </c>
      <c r="O1056">
        <f t="shared" si="33"/>
      </c>
      <c r="P1056">
        <f>IF('R.M Billets Reports'!A1055="SIZE",'R.M Billets Reports'!B1055,P1055)</f>
      </c>
    </row>
    <row r="1057" spans="1:16" x14ac:dyDescent="0.25">
      <c r="A1057">
        <f>IF(OR('R.M Billets Reports'!A1056="Date-",'R.M Billets Reports'!A1056="Date:-"),IF(IF(IF(ISNUMBER(SEARCH("Party Name:-",'R.M Billets Reports'!D1056)),TRIM('R.M Billets Reports'!F1056),IF(ISNUMBER(SEARCH("Party Name-",'R.M Billets Reports'!D1056)),TRIM(MID('R.M Billets Reports'!D1056,SEARCH("-",'R.M Billets Reports'!D1056)+1,200)),""))&lt;&gt;"",IF(ISNUMBER(SEARCH("Party Name:-",'R.M Billets Reports'!D1056)),TRIM('R.M Billets Reports'!F1056),IF(ISNUMBER(SEARCH("Party Name-",'R.M Billets Reports'!D1056)),TRIM(MID('R.M Billets Reports'!D1056,SEARCH("-",'R.M Billets Reports'!D1056)+1,200)),"")),IF(ISNUMBER(SEARCH("Party Name:-",'R.M Billets Reports'!D1057)),TRIM('R.M Billets Reports'!F1057),IF(ISNUMBER(SEARCH("Party Name-",'R.M Billets Reports'!D1057)),TRIM(MID('R.M Billets Reports'!D1057,SEARCH("-",'R.M Billets Reports'!D1057)+1,200)),"")))="VRKP ISPAT PVT LTD","VRKP",IF(IF(IF(ISNUMBER(SEARCH("Party Name:-",'R.M Billets Reports'!D1056)),TRIM('R.M Billets Reports'!F1056),IF(ISNUMBER(SEARCH("Party Name-",'R.M Billets Reports'!D1056)),TRIM(MID('R.M Billets Reports'!D1056,SEARCH("-",'R.M Billets Reports'!D1056)+1,200)),""))&lt;&gt;"",IF(ISNUMBER(SEARCH("Party Name:-",'R.M Billets Reports'!D1056)),TRIM('R.M Billets Reports'!F1056),IF(ISNUMBER(SEARCH("Party Name-",'R.M Billets Reports'!D1056)),TRIM(MID('R.M Billets Reports'!D1056,SEARCH("-",'R.M Billets Reports'!D1056)+1,200)),"")),IF(ISNUMBER(SEARCH("Party Name:-",'R.M Billets Reports'!D1057)),TRIM('R.M Billets Reports'!F1057),IF(ISNUMBER(SEARCH("Party Name-",'R.M Billets Reports'!D1057)),TRIM(MID('R.M Billets Reports'!D1057,SEARCH("-",'R.M Billets Reports'!D1057)+1,200)),"")))="SHRI RADHE","SHREE RADHE",IF(IF(IF(ISNUMBER(SEARCH("Party Name:-",'R.M Billets Reports'!D1056)),TRIM('R.M Billets Reports'!F1056),IF(ISNUMBER(SEARCH("Party Name-",'R.M Billets Reports'!D1056)),TRIM(MID('R.M Billets Reports'!D1056,SEARCH("-",'R.M Billets Reports'!D1056)+1,200)),""))&lt;&gt;"",IF(ISNUMBER(SEARCH("Party Name:-",'R.M Billets Reports'!D1056)),TRIM('R.M Billets Reports'!F1056),IF(ISNUMBER(SEARCH("Party Name-",'R.M Billets Reports'!D1056)),TRIM(MID('R.M Billets Reports'!D1056,SEARCH("-",'R.M Billets Reports'!D1056)+1,200)),"")),IF(ISNUMBER(SEARCH("Party Name:-",'R.M Billets Reports'!D1057)),TRIM('R.M Billets Reports'!F1057),IF(ISNUMBER(SEARCH("Party Name-",'R.M Billets Reports'!D1057)),TRIM(MID('R.M Billets Reports'!D1057,SEARCH("-",'R.M Billets Reports'!D1057)+1,200)),"")))="SHREE RADHE SHAKTI SPONGE AND POWER PVT. LTD.","SHREE RADHE",IF(IF(ISNUMBER(SEARCH("Party Name:-",'R.M Billets Reports'!D1056)),TRIM('R.M Billets Reports'!F1056),IF(ISNUMBER(SEARCH("Party Name-",'R.M Billets Reports'!D1056)),TRIM(MID('R.M Billets Reports'!D1056,SEARCH("-",'R.M Billets Reports'!D1056)+1,200)),""))&lt;&gt;"",IF(ISNUMBER(SEARCH("Party Name:-",'R.M Billets Reports'!D1056)),TRIM('R.M Billets Reports'!F1056),IF(ISNUMBER(SEARCH("Party Name-",'R.M Billets Reports'!D1056)),TRIM(MID('R.M Billets Reports'!D1056,SEARCH("-",'R.M Billets Reports'!D1056)+1,200)),"")),IF(ISNUMBER(SEARCH("Party Name:-",'R.M Billets Reports'!D1057)),TRIM('R.M Billets Reports'!F1057),IF(ISNUMBER(SEARCH("Party Name-",'R.M Billets Reports'!D1057)),TRIM(MID('R.M Billets Reports'!D1057,SEARCH("-",'R.M Billets Reports'!D1057)+1,200)),"")))))),IF(ROW()=2,"",A1056))</f>
      </c>
      <c r="B1057">
        <f>IF(OR('R.M Billets Reports'!A1056="Date-",'R.M Billets Reports'!A1056="Date:-"),'R.M Billets Reports'!B1056,IF(ROW()=2,"",B1056))</f>
      </c>
      <c r="C1057">
        <f>IF('R.M Billets Reports'!A1056="V.No.",'R.M Billets Reports'!B1056,IF(ROW()=2,"",C1056))</f>
      </c>
      <c r="D1057">
        <f>IF('R.M Billets Reports'!A1056&lt;&gt;"",'R.M Billets Reports'!A1056,IF(ROW()=2,"",D1056))</f>
      </c>
      <c r="E1057">
        <f>IF('R.M Billets Reports'!B1056="","",TRIM('R.M Billets Reports'!B1056))</f>
      </c>
      <c r="F1057">
        <f>'R.M Billets Reports'!C1056</f>
      </c>
      <c r="G1057">
        <f>'R.M Billets Reports'!D1056</f>
      </c>
      <c r="H1057">
        <f>'R.M Billets Reports'!E1056</f>
      </c>
      <c r="I1057">
        <f>'R.M Billets Reports'!F1056</f>
      </c>
      <c r="J1057">
        <f>'R.M Billets Reports'!G1056</f>
      </c>
      <c r="K1057">
        <f>'R.M Billets Reports'!H1056</f>
      </c>
      <c r="L1057">
        <f>IF('R.M Billets Reports'!I1056="","",'R.M Billets Reports'!I1056)</f>
      </c>
      <c r="M1057">
        <f t="shared" si="32"/>
      </c>
      <c r="N1057">
        <f>IF('R.M Billets Reports'!J1056="","",'R.M Billets Reports'!J1056)</f>
      </c>
      <c r="O1057">
        <f t="shared" si="33"/>
      </c>
      <c r="P1057">
        <f>IF('R.M Billets Reports'!A1056="SIZE",'R.M Billets Reports'!B1056,P1056)</f>
      </c>
    </row>
    <row r="1058" spans="1:16" x14ac:dyDescent="0.25">
      <c r="A1058">
        <f>IF(OR('R.M Billets Reports'!A1057="Date-",'R.M Billets Reports'!A1057="Date:-"),IF(IF(IF(ISNUMBER(SEARCH("Party Name:-",'R.M Billets Reports'!D1057)),TRIM('R.M Billets Reports'!F1057),IF(ISNUMBER(SEARCH("Party Name-",'R.M Billets Reports'!D1057)),TRIM(MID('R.M Billets Reports'!D1057,SEARCH("-",'R.M Billets Reports'!D1057)+1,200)),""))&lt;&gt;"",IF(ISNUMBER(SEARCH("Party Name:-",'R.M Billets Reports'!D1057)),TRIM('R.M Billets Reports'!F1057),IF(ISNUMBER(SEARCH("Party Name-",'R.M Billets Reports'!D1057)),TRIM(MID('R.M Billets Reports'!D1057,SEARCH("-",'R.M Billets Reports'!D1057)+1,200)),"")),IF(ISNUMBER(SEARCH("Party Name:-",'R.M Billets Reports'!D1058)),TRIM('R.M Billets Reports'!F1058),IF(ISNUMBER(SEARCH("Party Name-",'R.M Billets Reports'!D1058)),TRIM(MID('R.M Billets Reports'!D1058,SEARCH("-",'R.M Billets Reports'!D1058)+1,200)),"")))="VRKP ISPAT PVT LTD","VRKP",IF(IF(IF(ISNUMBER(SEARCH("Party Name:-",'R.M Billets Reports'!D1057)),TRIM('R.M Billets Reports'!F1057),IF(ISNUMBER(SEARCH("Party Name-",'R.M Billets Reports'!D1057)),TRIM(MID('R.M Billets Reports'!D1057,SEARCH("-",'R.M Billets Reports'!D1057)+1,200)),""))&lt;&gt;"",IF(ISNUMBER(SEARCH("Party Name:-",'R.M Billets Reports'!D1057)),TRIM('R.M Billets Reports'!F1057),IF(ISNUMBER(SEARCH("Party Name-",'R.M Billets Reports'!D1057)),TRIM(MID('R.M Billets Reports'!D1057,SEARCH("-",'R.M Billets Reports'!D1057)+1,200)),"")),IF(ISNUMBER(SEARCH("Party Name:-",'R.M Billets Reports'!D1058)),TRIM('R.M Billets Reports'!F1058),IF(ISNUMBER(SEARCH("Party Name-",'R.M Billets Reports'!D1058)),TRIM(MID('R.M Billets Reports'!D1058,SEARCH("-",'R.M Billets Reports'!D1058)+1,200)),"")))="SHRI RADHE","SHREE RADHE",IF(IF(IF(ISNUMBER(SEARCH("Party Name:-",'R.M Billets Reports'!D1057)),TRIM('R.M Billets Reports'!F1057),IF(ISNUMBER(SEARCH("Party Name-",'R.M Billets Reports'!D1057)),TRIM(MID('R.M Billets Reports'!D1057,SEARCH("-",'R.M Billets Reports'!D1057)+1,200)),""))&lt;&gt;"",IF(ISNUMBER(SEARCH("Party Name:-",'R.M Billets Reports'!D1057)),TRIM('R.M Billets Reports'!F1057),IF(ISNUMBER(SEARCH("Party Name-",'R.M Billets Reports'!D1057)),TRIM(MID('R.M Billets Reports'!D1057,SEARCH("-",'R.M Billets Reports'!D1057)+1,200)),"")),IF(ISNUMBER(SEARCH("Party Name:-",'R.M Billets Reports'!D1058)),TRIM('R.M Billets Reports'!F1058),IF(ISNUMBER(SEARCH("Party Name-",'R.M Billets Reports'!D1058)),TRIM(MID('R.M Billets Reports'!D1058,SEARCH("-",'R.M Billets Reports'!D1058)+1,200)),"")))="SHREE RADHE SHAKTI SPONGE AND POWER PVT. LTD.","SHREE RADHE",IF(IF(ISNUMBER(SEARCH("Party Name:-",'R.M Billets Reports'!D1057)),TRIM('R.M Billets Reports'!F1057),IF(ISNUMBER(SEARCH("Party Name-",'R.M Billets Reports'!D1057)),TRIM(MID('R.M Billets Reports'!D1057,SEARCH("-",'R.M Billets Reports'!D1057)+1,200)),""))&lt;&gt;"",IF(ISNUMBER(SEARCH("Party Name:-",'R.M Billets Reports'!D1057)),TRIM('R.M Billets Reports'!F1057),IF(ISNUMBER(SEARCH("Party Name-",'R.M Billets Reports'!D1057)),TRIM(MID('R.M Billets Reports'!D1057,SEARCH("-",'R.M Billets Reports'!D1057)+1,200)),"")),IF(ISNUMBER(SEARCH("Party Name:-",'R.M Billets Reports'!D1058)),TRIM('R.M Billets Reports'!F1058),IF(ISNUMBER(SEARCH("Party Name-",'R.M Billets Reports'!D1058)),TRIM(MID('R.M Billets Reports'!D1058,SEARCH("-",'R.M Billets Reports'!D1058)+1,200)),"")))))),IF(ROW()=2,"",A1057))</f>
      </c>
      <c r="B1058">
        <f>IF(OR('R.M Billets Reports'!A1057="Date-",'R.M Billets Reports'!A1057="Date:-"),'R.M Billets Reports'!B1057,IF(ROW()=2,"",B1057))</f>
      </c>
      <c r="C1058">
        <f>IF('R.M Billets Reports'!A1057="V.No.",'R.M Billets Reports'!B1057,IF(ROW()=2,"",C1057))</f>
      </c>
      <c r="D1058">
        <f>IF('R.M Billets Reports'!A1057&lt;&gt;"",'R.M Billets Reports'!A1057,IF(ROW()=2,"",D1057))</f>
      </c>
      <c r="E1058">
        <f>IF('R.M Billets Reports'!B1057="","",TRIM('R.M Billets Reports'!B1057))</f>
      </c>
      <c r="F1058">
        <f>'R.M Billets Reports'!C1057</f>
      </c>
      <c r="G1058">
        <f>'R.M Billets Reports'!D1057</f>
      </c>
      <c r="H1058">
        <f>'R.M Billets Reports'!E1057</f>
      </c>
      <c r="I1058">
        <f>'R.M Billets Reports'!F1057</f>
      </c>
      <c r="J1058">
        <f>'R.M Billets Reports'!G1057</f>
      </c>
      <c r="K1058">
        <f>'R.M Billets Reports'!H1057</f>
      </c>
      <c r="L1058">
        <f>IF('R.M Billets Reports'!I1057="","",'R.M Billets Reports'!I1057)</f>
      </c>
      <c r="M1058">
        <f t="shared" si="32"/>
      </c>
      <c r="N1058">
        <f>IF('R.M Billets Reports'!J1057="","",'R.M Billets Reports'!J1057)</f>
      </c>
      <c r="O1058">
        <f t="shared" si="33"/>
      </c>
      <c r="P1058">
        <f>IF('R.M Billets Reports'!A1057="SIZE",'R.M Billets Reports'!B1057,P1057)</f>
      </c>
    </row>
    <row r="1059" spans="1:16" x14ac:dyDescent="0.25">
      <c r="A1059">
        <f>IF(OR('R.M Billets Reports'!A1058="Date-",'R.M Billets Reports'!A1058="Date:-"),IF(IF(IF(ISNUMBER(SEARCH("Party Name:-",'R.M Billets Reports'!D1058)),TRIM('R.M Billets Reports'!F1058),IF(ISNUMBER(SEARCH("Party Name-",'R.M Billets Reports'!D1058)),TRIM(MID('R.M Billets Reports'!D1058,SEARCH("-",'R.M Billets Reports'!D1058)+1,200)),""))&lt;&gt;"",IF(ISNUMBER(SEARCH("Party Name:-",'R.M Billets Reports'!D1058)),TRIM('R.M Billets Reports'!F1058),IF(ISNUMBER(SEARCH("Party Name-",'R.M Billets Reports'!D1058)),TRIM(MID('R.M Billets Reports'!D1058,SEARCH("-",'R.M Billets Reports'!D1058)+1,200)),"")),IF(ISNUMBER(SEARCH("Party Name:-",'R.M Billets Reports'!D1059)),TRIM('R.M Billets Reports'!F1059),IF(ISNUMBER(SEARCH("Party Name-",'R.M Billets Reports'!D1059)),TRIM(MID('R.M Billets Reports'!D1059,SEARCH("-",'R.M Billets Reports'!D1059)+1,200)),"")))="VRKP ISPAT PVT LTD","VRKP",IF(IF(IF(ISNUMBER(SEARCH("Party Name:-",'R.M Billets Reports'!D1058)),TRIM('R.M Billets Reports'!F1058),IF(ISNUMBER(SEARCH("Party Name-",'R.M Billets Reports'!D1058)),TRIM(MID('R.M Billets Reports'!D1058,SEARCH("-",'R.M Billets Reports'!D1058)+1,200)),""))&lt;&gt;"",IF(ISNUMBER(SEARCH("Party Name:-",'R.M Billets Reports'!D1058)),TRIM('R.M Billets Reports'!F1058),IF(ISNUMBER(SEARCH("Party Name-",'R.M Billets Reports'!D1058)),TRIM(MID('R.M Billets Reports'!D1058,SEARCH("-",'R.M Billets Reports'!D1058)+1,200)),"")),IF(ISNUMBER(SEARCH("Party Name:-",'R.M Billets Reports'!D1059)),TRIM('R.M Billets Reports'!F1059),IF(ISNUMBER(SEARCH("Party Name-",'R.M Billets Reports'!D1059)),TRIM(MID('R.M Billets Reports'!D1059,SEARCH("-",'R.M Billets Reports'!D1059)+1,200)),"")))="SHRI RADHE","SHREE RADHE",IF(IF(IF(ISNUMBER(SEARCH("Party Name:-",'R.M Billets Reports'!D1058)),TRIM('R.M Billets Reports'!F1058),IF(ISNUMBER(SEARCH("Party Name-",'R.M Billets Reports'!D1058)),TRIM(MID('R.M Billets Reports'!D1058,SEARCH("-",'R.M Billets Reports'!D1058)+1,200)),""))&lt;&gt;"",IF(ISNUMBER(SEARCH("Party Name:-",'R.M Billets Reports'!D1058)),TRIM('R.M Billets Reports'!F1058),IF(ISNUMBER(SEARCH("Party Name-",'R.M Billets Reports'!D1058)),TRIM(MID('R.M Billets Reports'!D1058,SEARCH("-",'R.M Billets Reports'!D1058)+1,200)),"")),IF(ISNUMBER(SEARCH("Party Name:-",'R.M Billets Reports'!D1059)),TRIM('R.M Billets Reports'!F1059),IF(ISNUMBER(SEARCH("Party Name-",'R.M Billets Reports'!D1059)),TRIM(MID('R.M Billets Reports'!D1059,SEARCH("-",'R.M Billets Reports'!D1059)+1,200)),"")))="SHREE RADHE SHAKTI SPONGE AND POWER PVT. LTD.","SHREE RADHE",IF(IF(ISNUMBER(SEARCH("Party Name:-",'R.M Billets Reports'!D1058)),TRIM('R.M Billets Reports'!F1058),IF(ISNUMBER(SEARCH("Party Name-",'R.M Billets Reports'!D1058)),TRIM(MID('R.M Billets Reports'!D1058,SEARCH("-",'R.M Billets Reports'!D1058)+1,200)),""))&lt;&gt;"",IF(ISNUMBER(SEARCH("Party Name:-",'R.M Billets Reports'!D1058)),TRIM('R.M Billets Reports'!F1058),IF(ISNUMBER(SEARCH("Party Name-",'R.M Billets Reports'!D1058)),TRIM(MID('R.M Billets Reports'!D1058,SEARCH("-",'R.M Billets Reports'!D1058)+1,200)),"")),IF(ISNUMBER(SEARCH("Party Name:-",'R.M Billets Reports'!D1059)),TRIM('R.M Billets Reports'!F1059),IF(ISNUMBER(SEARCH("Party Name-",'R.M Billets Reports'!D1059)),TRIM(MID('R.M Billets Reports'!D1059,SEARCH("-",'R.M Billets Reports'!D1059)+1,200)),"")))))),IF(ROW()=2,"",A1058))</f>
      </c>
      <c r="B1059">
        <f>IF(OR('R.M Billets Reports'!A1058="Date-",'R.M Billets Reports'!A1058="Date:-"),'R.M Billets Reports'!B1058,IF(ROW()=2,"",B1058))</f>
      </c>
      <c r="C1059">
        <f>IF('R.M Billets Reports'!A1058="V.No.",'R.M Billets Reports'!B1058,IF(ROW()=2,"",C1058))</f>
      </c>
      <c r="D1059">
        <f>IF('R.M Billets Reports'!A1058&lt;&gt;"",'R.M Billets Reports'!A1058,IF(ROW()=2,"",D1058))</f>
      </c>
      <c r="E1059">
        <f>IF('R.M Billets Reports'!B1058="","",TRIM('R.M Billets Reports'!B1058))</f>
      </c>
      <c r="F1059">
        <f>'R.M Billets Reports'!C1058</f>
      </c>
      <c r="G1059">
        <f>'R.M Billets Reports'!D1058</f>
      </c>
      <c r="H1059">
        <f>'R.M Billets Reports'!E1058</f>
      </c>
      <c r="I1059">
        <f>'R.M Billets Reports'!F1058</f>
      </c>
      <c r="J1059">
        <f>'R.M Billets Reports'!G1058</f>
      </c>
      <c r="K1059">
        <f>'R.M Billets Reports'!H1058</f>
      </c>
      <c r="L1059">
        <f>IF('R.M Billets Reports'!I1058="","",'R.M Billets Reports'!I1058)</f>
      </c>
      <c r="M1059">
        <f t="shared" si="32"/>
      </c>
      <c r="N1059">
        <f>IF('R.M Billets Reports'!J1058="","",'R.M Billets Reports'!J1058)</f>
      </c>
      <c r="O1059">
        <f t="shared" si="33"/>
      </c>
      <c r="P1059">
        <f>IF('R.M Billets Reports'!A1058="SIZE",'R.M Billets Reports'!B1058,P1058)</f>
      </c>
    </row>
    <row r="1060" spans="1:16" x14ac:dyDescent="0.25">
      <c r="A1060">
        <f>IF(OR('R.M Billets Reports'!A1059="Date-",'R.M Billets Reports'!A1059="Date:-"),IF(IF(IF(ISNUMBER(SEARCH("Party Name:-",'R.M Billets Reports'!D1059)),TRIM('R.M Billets Reports'!F1059),IF(ISNUMBER(SEARCH("Party Name-",'R.M Billets Reports'!D1059)),TRIM(MID('R.M Billets Reports'!D1059,SEARCH("-",'R.M Billets Reports'!D1059)+1,200)),""))&lt;&gt;"",IF(ISNUMBER(SEARCH("Party Name:-",'R.M Billets Reports'!D1059)),TRIM('R.M Billets Reports'!F1059),IF(ISNUMBER(SEARCH("Party Name-",'R.M Billets Reports'!D1059)),TRIM(MID('R.M Billets Reports'!D1059,SEARCH("-",'R.M Billets Reports'!D1059)+1,200)),"")),IF(ISNUMBER(SEARCH("Party Name:-",'R.M Billets Reports'!D1060)),TRIM('R.M Billets Reports'!F1060),IF(ISNUMBER(SEARCH("Party Name-",'R.M Billets Reports'!D1060)),TRIM(MID('R.M Billets Reports'!D1060,SEARCH("-",'R.M Billets Reports'!D1060)+1,200)),"")))="VRKP ISPAT PVT LTD","VRKP",IF(IF(IF(ISNUMBER(SEARCH("Party Name:-",'R.M Billets Reports'!D1059)),TRIM('R.M Billets Reports'!F1059),IF(ISNUMBER(SEARCH("Party Name-",'R.M Billets Reports'!D1059)),TRIM(MID('R.M Billets Reports'!D1059,SEARCH("-",'R.M Billets Reports'!D1059)+1,200)),""))&lt;&gt;"",IF(ISNUMBER(SEARCH("Party Name:-",'R.M Billets Reports'!D1059)),TRIM('R.M Billets Reports'!F1059),IF(ISNUMBER(SEARCH("Party Name-",'R.M Billets Reports'!D1059)),TRIM(MID('R.M Billets Reports'!D1059,SEARCH("-",'R.M Billets Reports'!D1059)+1,200)),"")),IF(ISNUMBER(SEARCH("Party Name:-",'R.M Billets Reports'!D1060)),TRIM('R.M Billets Reports'!F1060),IF(ISNUMBER(SEARCH("Party Name-",'R.M Billets Reports'!D1060)),TRIM(MID('R.M Billets Reports'!D1060,SEARCH("-",'R.M Billets Reports'!D1060)+1,200)),"")))="SHRI RADHE","SHREE RADHE",IF(IF(IF(ISNUMBER(SEARCH("Party Name:-",'R.M Billets Reports'!D1059)),TRIM('R.M Billets Reports'!F1059),IF(ISNUMBER(SEARCH("Party Name-",'R.M Billets Reports'!D1059)),TRIM(MID('R.M Billets Reports'!D1059,SEARCH("-",'R.M Billets Reports'!D1059)+1,200)),""))&lt;&gt;"",IF(ISNUMBER(SEARCH("Party Name:-",'R.M Billets Reports'!D1059)),TRIM('R.M Billets Reports'!F1059),IF(ISNUMBER(SEARCH("Party Name-",'R.M Billets Reports'!D1059)),TRIM(MID('R.M Billets Reports'!D1059,SEARCH("-",'R.M Billets Reports'!D1059)+1,200)),"")),IF(ISNUMBER(SEARCH("Party Name:-",'R.M Billets Reports'!D1060)),TRIM('R.M Billets Reports'!F1060),IF(ISNUMBER(SEARCH("Party Name-",'R.M Billets Reports'!D1060)),TRIM(MID('R.M Billets Reports'!D1060,SEARCH("-",'R.M Billets Reports'!D1060)+1,200)),"")))="SHREE RADHE SHAKTI SPONGE AND POWER PVT. LTD.","SHREE RADHE",IF(IF(ISNUMBER(SEARCH("Party Name:-",'R.M Billets Reports'!D1059)),TRIM('R.M Billets Reports'!F1059),IF(ISNUMBER(SEARCH("Party Name-",'R.M Billets Reports'!D1059)),TRIM(MID('R.M Billets Reports'!D1059,SEARCH("-",'R.M Billets Reports'!D1059)+1,200)),""))&lt;&gt;"",IF(ISNUMBER(SEARCH("Party Name:-",'R.M Billets Reports'!D1059)),TRIM('R.M Billets Reports'!F1059),IF(ISNUMBER(SEARCH("Party Name-",'R.M Billets Reports'!D1059)),TRIM(MID('R.M Billets Reports'!D1059,SEARCH("-",'R.M Billets Reports'!D1059)+1,200)),"")),IF(ISNUMBER(SEARCH("Party Name:-",'R.M Billets Reports'!D1060)),TRIM('R.M Billets Reports'!F1060),IF(ISNUMBER(SEARCH("Party Name-",'R.M Billets Reports'!D1060)),TRIM(MID('R.M Billets Reports'!D1060,SEARCH("-",'R.M Billets Reports'!D1060)+1,200)),"")))))),IF(ROW()=2,"",A1059))</f>
      </c>
      <c r="B1060">
        <f>IF(OR('R.M Billets Reports'!A1059="Date-",'R.M Billets Reports'!A1059="Date:-"),'R.M Billets Reports'!B1059,IF(ROW()=2,"",B1059))</f>
      </c>
      <c r="C1060">
        <f>IF('R.M Billets Reports'!A1059="V.No.",'R.M Billets Reports'!B1059,IF(ROW()=2,"",C1059))</f>
      </c>
      <c r="D1060">
        <f>IF('R.M Billets Reports'!A1059&lt;&gt;"",'R.M Billets Reports'!A1059,IF(ROW()=2,"",D1059))</f>
      </c>
      <c r="E1060">
        <f>IF('R.M Billets Reports'!B1059="","",TRIM('R.M Billets Reports'!B1059))</f>
      </c>
      <c r="F1060">
        <f>'R.M Billets Reports'!C1059</f>
      </c>
      <c r="G1060">
        <f>'R.M Billets Reports'!D1059</f>
      </c>
      <c r="H1060">
        <f>'R.M Billets Reports'!E1059</f>
      </c>
      <c r="I1060">
        <f>'R.M Billets Reports'!F1059</f>
      </c>
      <c r="J1060">
        <f>'R.M Billets Reports'!G1059</f>
      </c>
      <c r="K1060">
        <f>'R.M Billets Reports'!H1059</f>
      </c>
      <c r="L1060">
        <f>IF('R.M Billets Reports'!I1059="","",'R.M Billets Reports'!I1059)</f>
      </c>
      <c r="M1060">
        <f t="shared" si="32"/>
      </c>
      <c r="N1060">
        <f>IF('R.M Billets Reports'!J1059="","",'R.M Billets Reports'!J1059)</f>
      </c>
      <c r="O1060">
        <f t="shared" si="33"/>
      </c>
      <c r="P1060">
        <f>IF('R.M Billets Reports'!A1059="SIZE",'R.M Billets Reports'!B1059,P1059)</f>
      </c>
    </row>
    <row r="1061" spans="1:16" x14ac:dyDescent="0.25">
      <c r="A1061">
        <f>IF(OR('R.M Billets Reports'!A1060="Date-",'R.M Billets Reports'!A1060="Date:-"),IF(IF(IF(ISNUMBER(SEARCH("Party Name:-",'R.M Billets Reports'!D1060)),TRIM('R.M Billets Reports'!F1060),IF(ISNUMBER(SEARCH("Party Name-",'R.M Billets Reports'!D1060)),TRIM(MID('R.M Billets Reports'!D1060,SEARCH("-",'R.M Billets Reports'!D1060)+1,200)),""))&lt;&gt;"",IF(ISNUMBER(SEARCH("Party Name:-",'R.M Billets Reports'!D1060)),TRIM('R.M Billets Reports'!F1060),IF(ISNUMBER(SEARCH("Party Name-",'R.M Billets Reports'!D1060)),TRIM(MID('R.M Billets Reports'!D1060,SEARCH("-",'R.M Billets Reports'!D1060)+1,200)),"")),IF(ISNUMBER(SEARCH("Party Name:-",'R.M Billets Reports'!D1061)),TRIM('R.M Billets Reports'!F1061),IF(ISNUMBER(SEARCH("Party Name-",'R.M Billets Reports'!D1061)),TRIM(MID('R.M Billets Reports'!D1061,SEARCH("-",'R.M Billets Reports'!D1061)+1,200)),"")))="VRKP ISPAT PVT LTD","VRKP",IF(IF(IF(ISNUMBER(SEARCH("Party Name:-",'R.M Billets Reports'!D1060)),TRIM('R.M Billets Reports'!F1060),IF(ISNUMBER(SEARCH("Party Name-",'R.M Billets Reports'!D1060)),TRIM(MID('R.M Billets Reports'!D1060,SEARCH("-",'R.M Billets Reports'!D1060)+1,200)),""))&lt;&gt;"",IF(ISNUMBER(SEARCH("Party Name:-",'R.M Billets Reports'!D1060)),TRIM('R.M Billets Reports'!F1060),IF(ISNUMBER(SEARCH("Party Name-",'R.M Billets Reports'!D1060)),TRIM(MID('R.M Billets Reports'!D1060,SEARCH("-",'R.M Billets Reports'!D1060)+1,200)),"")),IF(ISNUMBER(SEARCH("Party Name:-",'R.M Billets Reports'!D1061)),TRIM('R.M Billets Reports'!F1061),IF(ISNUMBER(SEARCH("Party Name-",'R.M Billets Reports'!D1061)),TRIM(MID('R.M Billets Reports'!D1061,SEARCH("-",'R.M Billets Reports'!D1061)+1,200)),"")))="SHRI RADHE","SHREE RADHE",IF(IF(IF(ISNUMBER(SEARCH("Party Name:-",'R.M Billets Reports'!D1060)),TRIM('R.M Billets Reports'!F1060),IF(ISNUMBER(SEARCH("Party Name-",'R.M Billets Reports'!D1060)),TRIM(MID('R.M Billets Reports'!D1060,SEARCH("-",'R.M Billets Reports'!D1060)+1,200)),""))&lt;&gt;"",IF(ISNUMBER(SEARCH("Party Name:-",'R.M Billets Reports'!D1060)),TRIM('R.M Billets Reports'!F1060),IF(ISNUMBER(SEARCH("Party Name-",'R.M Billets Reports'!D1060)),TRIM(MID('R.M Billets Reports'!D1060,SEARCH("-",'R.M Billets Reports'!D1060)+1,200)),"")),IF(ISNUMBER(SEARCH("Party Name:-",'R.M Billets Reports'!D1061)),TRIM('R.M Billets Reports'!F1061),IF(ISNUMBER(SEARCH("Party Name-",'R.M Billets Reports'!D1061)),TRIM(MID('R.M Billets Reports'!D1061,SEARCH("-",'R.M Billets Reports'!D1061)+1,200)),"")))="SHREE RADHE SHAKTI SPONGE AND POWER PVT. LTD.","SHREE RADHE",IF(IF(ISNUMBER(SEARCH("Party Name:-",'R.M Billets Reports'!D1060)),TRIM('R.M Billets Reports'!F1060),IF(ISNUMBER(SEARCH("Party Name-",'R.M Billets Reports'!D1060)),TRIM(MID('R.M Billets Reports'!D1060,SEARCH("-",'R.M Billets Reports'!D1060)+1,200)),""))&lt;&gt;"",IF(ISNUMBER(SEARCH("Party Name:-",'R.M Billets Reports'!D1060)),TRIM('R.M Billets Reports'!F1060),IF(ISNUMBER(SEARCH("Party Name-",'R.M Billets Reports'!D1060)),TRIM(MID('R.M Billets Reports'!D1060,SEARCH("-",'R.M Billets Reports'!D1060)+1,200)),"")),IF(ISNUMBER(SEARCH("Party Name:-",'R.M Billets Reports'!D1061)),TRIM('R.M Billets Reports'!F1061),IF(ISNUMBER(SEARCH("Party Name-",'R.M Billets Reports'!D1061)),TRIM(MID('R.M Billets Reports'!D1061,SEARCH("-",'R.M Billets Reports'!D1061)+1,200)),"")))))),IF(ROW()=2,"",A1060))</f>
      </c>
      <c r="B1061">
        <f>IF(OR('R.M Billets Reports'!A1060="Date-",'R.M Billets Reports'!A1060="Date:-"),'R.M Billets Reports'!B1060,IF(ROW()=2,"",B1060))</f>
      </c>
      <c r="C1061">
        <f>IF('R.M Billets Reports'!A1060="V.No.",'R.M Billets Reports'!B1060,IF(ROW()=2,"",C1060))</f>
      </c>
      <c r="D1061">
        <f>IF('R.M Billets Reports'!A1060&lt;&gt;"",'R.M Billets Reports'!A1060,IF(ROW()=2,"",D1060))</f>
      </c>
      <c r="E1061">
        <f>IF('R.M Billets Reports'!B1060="","",TRIM('R.M Billets Reports'!B1060))</f>
      </c>
      <c r="F1061">
        <f>'R.M Billets Reports'!C1060</f>
      </c>
      <c r="G1061">
        <f>'R.M Billets Reports'!D1060</f>
      </c>
      <c r="H1061">
        <f>'R.M Billets Reports'!E1060</f>
      </c>
      <c r="I1061">
        <f>'R.M Billets Reports'!F1060</f>
      </c>
      <c r="J1061">
        <f>'R.M Billets Reports'!G1060</f>
      </c>
      <c r="K1061">
        <f>'R.M Billets Reports'!H1060</f>
      </c>
      <c r="L1061">
        <f>IF('R.M Billets Reports'!I1060="","",'R.M Billets Reports'!I1060)</f>
      </c>
      <c r="M1061">
        <f t="shared" si="32"/>
      </c>
      <c r="N1061">
        <f>IF('R.M Billets Reports'!J1060="","",'R.M Billets Reports'!J1060)</f>
      </c>
      <c r="O1061">
        <f t="shared" si="33"/>
      </c>
      <c r="P1061">
        <f>IF('R.M Billets Reports'!A1060="SIZE",'R.M Billets Reports'!B1060,P1060)</f>
      </c>
    </row>
    <row r="1062" spans="1:16" x14ac:dyDescent="0.25">
      <c r="A1062">
        <f>IF(OR('R.M Billets Reports'!A1061="Date-",'R.M Billets Reports'!A1061="Date:-"),IF(IF(IF(ISNUMBER(SEARCH("Party Name:-",'R.M Billets Reports'!D1061)),TRIM('R.M Billets Reports'!F1061),IF(ISNUMBER(SEARCH("Party Name-",'R.M Billets Reports'!D1061)),TRIM(MID('R.M Billets Reports'!D1061,SEARCH("-",'R.M Billets Reports'!D1061)+1,200)),""))&lt;&gt;"",IF(ISNUMBER(SEARCH("Party Name:-",'R.M Billets Reports'!D1061)),TRIM('R.M Billets Reports'!F1061),IF(ISNUMBER(SEARCH("Party Name-",'R.M Billets Reports'!D1061)),TRIM(MID('R.M Billets Reports'!D1061,SEARCH("-",'R.M Billets Reports'!D1061)+1,200)),"")),IF(ISNUMBER(SEARCH("Party Name:-",'R.M Billets Reports'!D1062)),TRIM('R.M Billets Reports'!F1062),IF(ISNUMBER(SEARCH("Party Name-",'R.M Billets Reports'!D1062)),TRIM(MID('R.M Billets Reports'!D1062,SEARCH("-",'R.M Billets Reports'!D1062)+1,200)),"")))="VRKP ISPAT PVT LTD","VRKP",IF(IF(IF(ISNUMBER(SEARCH("Party Name:-",'R.M Billets Reports'!D1061)),TRIM('R.M Billets Reports'!F1061),IF(ISNUMBER(SEARCH("Party Name-",'R.M Billets Reports'!D1061)),TRIM(MID('R.M Billets Reports'!D1061,SEARCH("-",'R.M Billets Reports'!D1061)+1,200)),""))&lt;&gt;"",IF(ISNUMBER(SEARCH("Party Name:-",'R.M Billets Reports'!D1061)),TRIM('R.M Billets Reports'!F1061),IF(ISNUMBER(SEARCH("Party Name-",'R.M Billets Reports'!D1061)),TRIM(MID('R.M Billets Reports'!D1061,SEARCH("-",'R.M Billets Reports'!D1061)+1,200)),"")),IF(ISNUMBER(SEARCH("Party Name:-",'R.M Billets Reports'!D1062)),TRIM('R.M Billets Reports'!F1062),IF(ISNUMBER(SEARCH("Party Name-",'R.M Billets Reports'!D1062)),TRIM(MID('R.M Billets Reports'!D1062,SEARCH("-",'R.M Billets Reports'!D1062)+1,200)),"")))="SHRI RADHE","SHREE RADHE",IF(IF(IF(ISNUMBER(SEARCH("Party Name:-",'R.M Billets Reports'!D1061)),TRIM('R.M Billets Reports'!F1061),IF(ISNUMBER(SEARCH("Party Name-",'R.M Billets Reports'!D1061)),TRIM(MID('R.M Billets Reports'!D1061,SEARCH("-",'R.M Billets Reports'!D1061)+1,200)),""))&lt;&gt;"",IF(ISNUMBER(SEARCH("Party Name:-",'R.M Billets Reports'!D1061)),TRIM('R.M Billets Reports'!F1061),IF(ISNUMBER(SEARCH("Party Name-",'R.M Billets Reports'!D1061)),TRIM(MID('R.M Billets Reports'!D1061,SEARCH("-",'R.M Billets Reports'!D1061)+1,200)),"")),IF(ISNUMBER(SEARCH("Party Name:-",'R.M Billets Reports'!D1062)),TRIM('R.M Billets Reports'!F1062),IF(ISNUMBER(SEARCH("Party Name-",'R.M Billets Reports'!D1062)),TRIM(MID('R.M Billets Reports'!D1062,SEARCH("-",'R.M Billets Reports'!D1062)+1,200)),"")))="SHREE RADHE SHAKTI SPONGE AND POWER PVT. LTD.","SHREE RADHE",IF(IF(ISNUMBER(SEARCH("Party Name:-",'R.M Billets Reports'!D1061)),TRIM('R.M Billets Reports'!F1061),IF(ISNUMBER(SEARCH("Party Name-",'R.M Billets Reports'!D1061)),TRIM(MID('R.M Billets Reports'!D1061,SEARCH("-",'R.M Billets Reports'!D1061)+1,200)),""))&lt;&gt;"",IF(ISNUMBER(SEARCH("Party Name:-",'R.M Billets Reports'!D1061)),TRIM('R.M Billets Reports'!F1061),IF(ISNUMBER(SEARCH("Party Name-",'R.M Billets Reports'!D1061)),TRIM(MID('R.M Billets Reports'!D1061,SEARCH("-",'R.M Billets Reports'!D1061)+1,200)),"")),IF(ISNUMBER(SEARCH("Party Name:-",'R.M Billets Reports'!D1062)),TRIM('R.M Billets Reports'!F1062),IF(ISNUMBER(SEARCH("Party Name-",'R.M Billets Reports'!D1062)),TRIM(MID('R.M Billets Reports'!D1062,SEARCH("-",'R.M Billets Reports'!D1062)+1,200)),"")))))),IF(ROW()=2,"",A1061))</f>
      </c>
      <c r="B1062">
        <f>IF(OR('R.M Billets Reports'!A1061="Date-",'R.M Billets Reports'!A1061="Date:-"),'R.M Billets Reports'!B1061,IF(ROW()=2,"",B1061))</f>
      </c>
      <c r="C1062">
        <f>IF('R.M Billets Reports'!A1061="V.No.",'R.M Billets Reports'!B1061,IF(ROW()=2,"",C1061))</f>
      </c>
      <c r="D1062">
        <f>IF('R.M Billets Reports'!A1061&lt;&gt;"",'R.M Billets Reports'!A1061,IF(ROW()=2,"",D1061))</f>
      </c>
      <c r="E1062">
        <f>IF('R.M Billets Reports'!B1061="","",TRIM('R.M Billets Reports'!B1061))</f>
      </c>
      <c r="F1062">
        <f>'R.M Billets Reports'!C1061</f>
      </c>
      <c r="G1062">
        <f>'R.M Billets Reports'!D1061</f>
      </c>
      <c r="H1062">
        <f>'R.M Billets Reports'!E1061</f>
      </c>
      <c r="I1062">
        <f>'R.M Billets Reports'!F1061</f>
      </c>
      <c r="J1062">
        <f>'R.M Billets Reports'!G1061</f>
      </c>
      <c r="K1062">
        <f>'R.M Billets Reports'!H1061</f>
      </c>
      <c r="L1062">
        <f>IF('R.M Billets Reports'!I1061="","",'R.M Billets Reports'!I1061)</f>
      </c>
      <c r="M1062">
        <f t="shared" si="32"/>
      </c>
      <c r="N1062">
        <f>IF('R.M Billets Reports'!J1061="","",'R.M Billets Reports'!J1061)</f>
      </c>
      <c r="O1062">
        <f t="shared" si="33"/>
      </c>
      <c r="P1062">
        <f>IF('R.M Billets Reports'!A1061="SIZE",'R.M Billets Reports'!B1061,P1061)</f>
      </c>
    </row>
    <row r="1063" spans="1:16" x14ac:dyDescent="0.25">
      <c r="A1063">
        <f>IF(OR('R.M Billets Reports'!A1062="Date-",'R.M Billets Reports'!A1062="Date:-"),IF(IF(IF(ISNUMBER(SEARCH("Party Name:-",'R.M Billets Reports'!D1062)),TRIM('R.M Billets Reports'!F1062),IF(ISNUMBER(SEARCH("Party Name-",'R.M Billets Reports'!D1062)),TRIM(MID('R.M Billets Reports'!D1062,SEARCH("-",'R.M Billets Reports'!D1062)+1,200)),""))&lt;&gt;"",IF(ISNUMBER(SEARCH("Party Name:-",'R.M Billets Reports'!D1062)),TRIM('R.M Billets Reports'!F1062),IF(ISNUMBER(SEARCH("Party Name-",'R.M Billets Reports'!D1062)),TRIM(MID('R.M Billets Reports'!D1062,SEARCH("-",'R.M Billets Reports'!D1062)+1,200)),"")),IF(ISNUMBER(SEARCH("Party Name:-",'R.M Billets Reports'!D1063)),TRIM('R.M Billets Reports'!F1063),IF(ISNUMBER(SEARCH("Party Name-",'R.M Billets Reports'!D1063)),TRIM(MID('R.M Billets Reports'!D1063,SEARCH("-",'R.M Billets Reports'!D1063)+1,200)),"")))="VRKP ISPAT PVT LTD","VRKP",IF(IF(IF(ISNUMBER(SEARCH("Party Name:-",'R.M Billets Reports'!D1062)),TRIM('R.M Billets Reports'!F1062),IF(ISNUMBER(SEARCH("Party Name-",'R.M Billets Reports'!D1062)),TRIM(MID('R.M Billets Reports'!D1062,SEARCH("-",'R.M Billets Reports'!D1062)+1,200)),""))&lt;&gt;"",IF(ISNUMBER(SEARCH("Party Name:-",'R.M Billets Reports'!D1062)),TRIM('R.M Billets Reports'!F1062),IF(ISNUMBER(SEARCH("Party Name-",'R.M Billets Reports'!D1062)),TRIM(MID('R.M Billets Reports'!D1062,SEARCH("-",'R.M Billets Reports'!D1062)+1,200)),"")),IF(ISNUMBER(SEARCH("Party Name:-",'R.M Billets Reports'!D1063)),TRIM('R.M Billets Reports'!F1063),IF(ISNUMBER(SEARCH("Party Name-",'R.M Billets Reports'!D1063)),TRIM(MID('R.M Billets Reports'!D1063,SEARCH("-",'R.M Billets Reports'!D1063)+1,200)),"")))="SHRI RADHE","SHREE RADHE",IF(IF(IF(ISNUMBER(SEARCH("Party Name:-",'R.M Billets Reports'!D1062)),TRIM('R.M Billets Reports'!F1062),IF(ISNUMBER(SEARCH("Party Name-",'R.M Billets Reports'!D1062)),TRIM(MID('R.M Billets Reports'!D1062,SEARCH("-",'R.M Billets Reports'!D1062)+1,200)),""))&lt;&gt;"",IF(ISNUMBER(SEARCH("Party Name:-",'R.M Billets Reports'!D1062)),TRIM('R.M Billets Reports'!F1062),IF(ISNUMBER(SEARCH("Party Name-",'R.M Billets Reports'!D1062)),TRIM(MID('R.M Billets Reports'!D1062,SEARCH("-",'R.M Billets Reports'!D1062)+1,200)),"")),IF(ISNUMBER(SEARCH("Party Name:-",'R.M Billets Reports'!D1063)),TRIM('R.M Billets Reports'!F1063),IF(ISNUMBER(SEARCH("Party Name-",'R.M Billets Reports'!D1063)),TRIM(MID('R.M Billets Reports'!D1063,SEARCH("-",'R.M Billets Reports'!D1063)+1,200)),"")))="SHREE RADHE SHAKTI SPONGE AND POWER PVT. LTD.","SHREE RADHE",IF(IF(ISNUMBER(SEARCH("Party Name:-",'R.M Billets Reports'!D1062)),TRIM('R.M Billets Reports'!F1062),IF(ISNUMBER(SEARCH("Party Name-",'R.M Billets Reports'!D1062)),TRIM(MID('R.M Billets Reports'!D1062,SEARCH("-",'R.M Billets Reports'!D1062)+1,200)),""))&lt;&gt;"",IF(ISNUMBER(SEARCH("Party Name:-",'R.M Billets Reports'!D1062)),TRIM('R.M Billets Reports'!F1062),IF(ISNUMBER(SEARCH("Party Name-",'R.M Billets Reports'!D1062)),TRIM(MID('R.M Billets Reports'!D1062,SEARCH("-",'R.M Billets Reports'!D1062)+1,200)),"")),IF(ISNUMBER(SEARCH("Party Name:-",'R.M Billets Reports'!D1063)),TRIM('R.M Billets Reports'!F1063),IF(ISNUMBER(SEARCH("Party Name-",'R.M Billets Reports'!D1063)),TRIM(MID('R.M Billets Reports'!D1063,SEARCH("-",'R.M Billets Reports'!D1063)+1,200)),"")))))),IF(ROW()=2,"",A1062))</f>
      </c>
      <c r="B1063">
        <f>IF(OR('R.M Billets Reports'!A1062="Date-",'R.M Billets Reports'!A1062="Date:-"),'R.M Billets Reports'!B1062,IF(ROW()=2,"",B1062))</f>
      </c>
      <c r="C1063">
        <f>IF('R.M Billets Reports'!A1062="V.No.",'R.M Billets Reports'!B1062,IF(ROW()=2,"",C1062))</f>
      </c>
      <c r="D1063">
        <f>IF('R.M Billets Reports'!A1062&lt;&gt;"",'R.M Billets Reports'!A1062,IF(ROW()=2,"",D1062))</f>
      </c>
      <c r="E1063">
        <f>IF('R.M Billets Reports'!B1062="","",TRIM('R.M Billets Reports'!B1062))</f>
      </c>
      <c r="F1063">
        <f>'R.M Billets Reports'!C1062</f>
      </c>
      <c r="G1063">
        <f>'R.M Billets Reports'!D1062</f>
      </c>
      <c r="H1063">
        <f>'R.M Billets Reports'!E1062</f>
      </c>
      <c r="I1063">
        <f>'R.M Billets Reports'!F1062</f>
      </c>
      <c r="J1063">
        <f>'R.M Billets Reports'!G1062</f>
      </c>
      <c r="K1063">
        <f>'R.M Billets Reports'!H1062</f>
      </c>
      <c r="L1063">
        <f>IF('R.M Billets Reports'!I1062="","",'R.M Billets Reports'!I1062)</f>
      </c>
      <c r="M1063">
        <f t="shared" si="32"/>
      </c>
      <c r="N1063">
        <f>IF('R.M Billets Reports'!J1062="","",'R.M Billets Reports'!J1062)</f>
      </c>
      <c r="O1063">
        <f t="shared" si="33"/>
      </c>
      <c r="P1063">
        <f>IF('R.M Billets Reports'!A1062="SIZE",'R.M Billets Reports'!B1062,P1062)</f>
      </c>
    </row>
    <row r="1064" spans="1:16" x14ac:dyDescent="0.25">
      <c r="A1064">
        <f>IF(OR('R.M Billets Reports'!A1063="Date-",'R.M Billets Reports'!A1063="Date:-"),IF(IF(IF(ISNUMBER(SEARCH("Party Name:-",'R.M Billets Reports'!D1063)),TRIM('R.M Billets Reports'!F1063),IF(ISNUMBER(SEARCH("Party Name-",'R.M Billets Reports'!D1063)),TRIM(MID('R.M Billets Reports'!D1063,SEARCH("-",'R.M Billets Reports'!D1063)+1,200)),""))&lt;&gt;"",IF(ISNUMBER(SEARCH("Party Name:-",'R.M Billets Reports'!D1063)),TRIM('R.M Billets Reports'!F1063),IF(ISNUMBER(SEARCH("Party Name-",'R.M Billets Reports'!D1063)),TRIM(MID('R.M Billets Reports'!D1063,SEARCH("-",'R.M Billets Reports'!D1063)+1,200)),"")),IF(ISNUMBER(SEARCH("Party Name:-",'R.M Billets Reports'!D1064)),TRIM('R.M Billets Reports'!F1064),IF(ISNUMBER(SEARCH("Party Name-",'R.M Billets Reports'!D1064)),TRIM(MID('R.M Billets Reports'!D1064,SEARCH("-",'R.M Billets Reports'!D1064)+1,200)),"")))="VRKP ISPAT PVT LTD","VRKP",IF(IF(IF(ISNUMBER(SEARCH("Party Name:-",'R.M Billets Reports'!D1063)),TRIM('R.M Billets Reports'!F1063),IF(ISNUMBER(SEARCH("Party Name-",'R.M Billets Reports'!D1063)),TRIM(MID('R.M Billets Reports'!D1063,SEARCH("-",'R.M Billets Reports'!D1063)+1,200)),""))&lt;&gt;"",IF(ISNUMBER(SEARCH("Party Name:-",'R.M Billets Reports'!D1063)),TRIM('R.M Billets Reports'!F1063),IF(ISNUMBER(SEARCH("Party Name-",'R.M Billets Reports'!D1063)),TRIM(MID('R.M Billets Reports'!D1063,SEARCH("-",'R.M Billets Reports'!D1063)+1,200)),"")),IF(ISNUMBER(SEARCH("Party Name:-",'R.M Billets Reports'!D1064)),TRIM('R.M Billets Reports'!F1064),IF(ISNUMBER(SEARCH("Party Name-",'R.M Billets Reports'!D1064)),TRIM(MID('R.M Billets Reports'!D1064,SEARCH("-",'R.M Billets Reports'!D1064)+1,200)),"")))="SHRI RADHE","SHREE RADHE",IF(IF(IF(ISNUMBER(SEARCH("Party Name:-",'R.M Billets Reports'!D1063)),TRIM('R.M Billets Reports'!F1063),IF(ISNUMBER(SEARCH("Party Name-",'R.M Billets Reports'!D1063)),TRIM(MID('R.M Billets Reports'!D1063,SEARCH("-",'R.M Billets Reports'!D1063)+1,200)),""))&lt;&gt;"",IF(ISNUMBER(SEARCH("Party Name:-",'R.M Billets Reports'!D1063)),TRIM('R.M Billets Reports'!F1063),IF(ISNUMBER(SEARCH("Party Name-",'R.M Billets Reports'!D1063)),TRIM(MID('R.M Billets Reports'!D1063,SEARCH("-",'R.M Billets Reports'!D1063)+1,200)),"")),IF(ISNUMBER(SEARCH("Party Name:-",'R.M Billets Reports'!D1064)),TRIM('R.M Billets Reports'!F1064),IF(ISNUMBER(SEARCH("Party Name-",'R.M Billets Reports'!D1064)),TRIM(MID('R.M Billets Reports'!D1064,SEARCH("-",'R.M Billets Reports'!D1064)+1,200)),"")))="SHREE RADHE SHAKTI SPONGE AND POWER PVT. LTD.","SHREE RADHE",IF(IF(ISNUMBER(SEARCH("Party Name:-",'R.M Billets Reports'!D1063)),TRIM('R.M Billets Reports'!F1063),IF(ISNUMBER(SEARCH("Party Name-",'R.M Billets Reports'!D1063)),TRIM(MID('R.M Billets Reports'!D1063,SEARCH("-",'R.M Billets Reports'!D1063)+1,200)),""))&lt;&gt;"",IF(ISNUMBER(SEARCH("Party Name:-",'R.M Billets Reports'!D1063)),TRIM('R.M Billets Reports'!F1063),IF(ISNUMBER(SEARCH("Party Name-",'R.M Billets Reports'!D1063)),TRIM(MID('R.M Billets Reports'!D1063,SEARCH("-",'R.M Billets Reports'!D1063)+1,200)),"")),IF(ISNUMBER(SEARCH("Party Name:-",'R.M Billets Reports'!D1064)),TRIM('R.M Billets Reports'!F1064),IF(ISNUMBER(SEARCH("Party Name-",'R.M Billets Reports'!D1064)),TRIM(MID('R.M Billets Reports'!D1064,SEARCH("-",'R.M Billets Reports'!D1064)+1,200)),"")))))),IF(ROW()=2,"",A1063))</f>
      </c>
      <c r="B1064">
        <f>IF(OR('R.M Billets Reports'!A1063="Date-",'R.M Billets Reports'!A1063="Date:-"),'R.M Billets Reports'!B1063,IF(ROW()=2,"",B1063))</f>
      </c>
      <c r="C1064">
        <f>IF('R.M Billets Reports'!A1063="V.No.",'R.M Billets Reports'!B1063,IF(ROW()=2,"",C1063))</f>
      </c>
      <c r="D1064">
        <f>IF('R.M Billets Reports'!A1063&lt;&gt;"",'R.M Billets Reports'!A1063,IF(ROW()=2,"",D1063))</f>
      </c>
      <c r="E1064">
        <f>IF('R.M Billets Reports'!B1063="","",TRIM('R.M Billets Reports'!B1063))</f>
      </c>
      <c r="F1064">
        <f>'R.M Billets Reports'!C1063</f>
      </c>
      <c r="G1064">
        <f>'R.M Billets Reports'!D1063</f>
      </c>
      <c r="H1064">
        <f>'R.M Billets Reports'!E1063</f>
      </c>
      <c r="I1064">
        <f>'R.M Billets Reports'!F1063</f>
      </c>
      <c r="J1064">
        <f>'R.M Billets Reports'!G1063</f>
      </c>
      <c r="K1064">
        <f>'R.M Billets Reports'!H1063</f>
      </c>
      <c r="L1064">
        <f>IF('R.M Billets Reports'!I1063="","",'R.M Billets Reports'!I1063)</f>
      </c>
      <c r="M1064">
        <f t="shared" si="32"/>
      </c>
      <c r="N1064">
        <f>IF('R.M Billets Reports'!J1063="","",'R.M Billets Reports'!J1063)</f>
      </c>
      <c r="O1064">
        <f t="shared" si="33"/>
      </c>
      <c r="P1064">
        <f>IF('R.M Billets Reports'!A1063="SIZE",'R.M Billets Reports'!B1063,P1063)</f>
      </c>
    </row>
    <row r="1065" spans="1:16" x14ac:dyDescent="0.25">
      <c r="A1065">
        <f>IF(OR('R.M Billets Reports'!A1064="Date-",'R.M Billets Reports'!A1064="Date:-"),IF(IF(IF(ISNUMBER(SEARCH("Party Name:-",'R.M Billets Reports'!D1064)),TRIM('R.M Billets Reports'!F1064),IF(ISNUMBER(SEARCH("Party Name-",'R.M Billets Reports'!D1064)),TRIM(MID('R.M Billets Reports'!D1064,SEARCH("-",'R.M Billets Reports'!D1064)+1,200)),""))&lt;&gt;"",IF(ISNUMBER(SEARCH("Party Name:-",'R.M Billets Reports'!D1064)),TRIM('R.M Billets Reports'!F1064),IF(ISNUMBER(SEARCH("Party Name-",'R.M Billets Reports'!D1064)),TRIM(MID('R.M Billets Reports'!D1064,SEARCH("-",'R.M Billets Reports'!D1064)+1,200)),"")),IF(ISNUMBER(SEARCH("Party Name:-",'R.M Billets Reports'!D1065)),TRIM('R.M Billets Reports'!F1065),IF(ISNUMBER(SEARCH("Party Name-",'R.M Billets Reports'!D1065)),TRIM(MID('R.M Billets Reports'!D1065,SEARCH("-",'R.M Billets Reports'!D1065)+1,200)),"")))="VRKP ISPAT PVT LTD","VRKP",IF(IF(IF(ISNUMBER(SEARCH("Party Name:-",'R.M Billets Reports'!D1064)),TRIM('R.M Billets Reports'!F1064),IF(ISNUMBER(SEARCH("Party Name-",'R.M Billets Reports'!D1064)),TRIM(MID('R.M Billets Reports'!D1064,SEARCH("-",'R.M Billets Reports'!D1064)+1,200)),""))&lt;&gt;"",IF(ISNUMBER(SEARCH("Party Name:-",'R.M Billets Reports'!D1064)),TRIM('R.M Billets Reports'!F1064),IF(ISNUMBER(SEARCH("Party Name-",'R.M Billets Reports'!D1064)),TRIM(MID('R.M Billets Reports'!D1064,SEARCH("-",'R.M Billets Reports'!D1064)+1,200)),"")),IF(ISNUMBER(SEARCH("Party Name:-",'R.M Billets Reports'!D1065)),TRIM('R.M Billets Reports'!F1065),IF(ISNUMBER(SEARCH("Party Name-",'R.M Billets Reports'!D1065)),TRIM(MID('R.M Billets Reports'!D1065,SEARCH("-",'R.M Billets Reports'!D1065)+1,200)),"")))="SHRI RADHE","SHREE RADHE",IF(IF(IF(ISNUMBER(SEARCH("Party Name:-",'R.M Billets Reports'!D1064)),TRIM('R.M Billets Reports'!F1064),IF(ISNUMBER(SEARCH("Party Name-",'R.M Billets Reports'!D1064)),TRIM(MID('R.M Billets Reports'!D1064,SEARCH("-",'R.M Billets Reports'!D1064)+1,200)),""))&lt;&gt;"",IF(ISNUMBER(SEARCH("Party Name:-",'R.M Billets Reports'!D1064)),TRIM('R.M Billets Reports'!F1064),IF(ISNUMBER(SEARCH("Party Name-",'R.M Billets Reports'!D1064)),TRIM(MID('R.M Billets Reports'!D1064,SEARCH("-",'R.M Billets Reports'!D1064)+1,200)),"")),IF(ISNUMBER(SEARCH("Party Name:-",'R.M Billets Reports'!D1065)),TRIM('R.M Billets Reports'!F1065),IF(ISNUMBER(SEARCH("Party Name-",'R.M Billets Reports'!D1065)),TRIM(MID('R.M Billets Reports'!D1065,SEARCH("-",'R.M Billets Reports'!D1065)+1,200)),"")))="SHREE RADHE SHAKTI SPONGE AND POWER PVT. LTD.","SHREE RADHE",IF(IF(ISNUMBER(SEARCH("Party Name:-",'R.M Billets Reports'!D1064)),TRIM('R.M Billets Reports'!F1064),IF(ISNUMBER(SEARCH("Party Name-",'R.M Billets Reports'!D1064)),TRIM(MID('R.M Billets Reports'!D1064,SEARCH("-",'R.M Billets Reports'!D1064)+1,200)),""))&lt;&gt;"",IF(ISNUMBER(SEARCH("Party Name:-",'R.M Billets Reports'!D1064)),TRIM('R.M Billets Reports'!F1064),IF(ISNUMBER(SEARCH("Party Name-",'R.M Billets Reports'!D1064)),TRIM(MID('R.M Billets Reports'!D1064,SEARCH("-",'R.M Billets Reports'!D1064)+1,200)),"")),IF(ISNUMBER(SEARCH("Party Name:-",'R.M Billets Reports'!D1065)),TRIM('R.M Billets Reports'!F1065),IF(ISNUMBER(SEARCH("Party Name-",'R.M Billets Reports'!D1065)),TRIM(MID('R.M Billets Reports'!D1065,SEARCH("-",'R.M Billets Reports'!D1065)+1,200)),"")))))),IF(ROW()=2,"",A1064))</f>
      </c>
      <c r="B1065">
        <f>IF(OR('R.M Billets Reports'!A1064="Date-",'R.M Billets Reports'!A1064="Date:-"),'R.M Billets Reports'!B1064,IF(ROW()=2,"",B1064))</f>
      </c>
      <c r="C1065">
        <f>IF('R.M Billets Reports'!A1064="V.No.",'R.M Billets Reports'!B1064,IF(ROW()=2,"",C1064))</f>
      </c>
      <c r="D1065">
        <f>IF('R.M Billets Reports'!A1064&lt;&gt;"",'R.M Billets Reports'!A1064,IF(ROW()=2,"",D1064))</f>
      </c>
      <c r="E1065">
        <f>IF('R.M Billets Reports'!B1064="","",TRIM('R.M Billets Reports'!B1064))</f>
      </c>
      <c r="F1065">
        <f>'R.M Billets Reports'!C1064</f>
      </c>
      <c r="G1065">
        <f>'R.M Billets Reports'!D1064</f>
      </c>
      <c r="H1065">
        <f>'R.M Billets Reports'!E1064</f>
      </c>
      <c r="I1065">
        <f>'R.M Billets Reports'!F1064</f>
      </c>
      <c r="J1065">
        <f>'R.M Billets Reports'!G1064</f>
      </c>
      <c r="K1065">
        <f>'R.M Billets Reports'!H1064</f>
      </c>
      <c r="L1065">
        <f>IF('R.M Billets Reports'!I1064="","",'R.M Billets Reports'!I1064)</f>
      </c>
      <c r="M1065">
        <f t="shared" si="32"/>
      </c>
      <c r="N1065">
        <f>IF('R.M Billets Reports'!J1064="","",'R.M Billets Reports'!J1064)</f>
      </c>
      <c r="O1065">
        <f t="shared" si="33"/>
      </c>
      <c r="P1065">
        <f>IF('R.M Billets Reports'!A1064="SIZE",'R.M Billets Reports'!B1064,P1064)</f>
      </c>
    </row>
    <row r="1066" spans="1:16" x14ac:dyDescent="0.25">
      <c r="A1066">
        <f>IF(OR('R.M Billets Reports'!A1065="Date-",'R.M Billets Reports'!A1065="Date:-"),IF(IF(IF(ISNUMBER(SEARCH("Party Name:-",'R.M Billets Reports'!D1065)),TRIM('R.M Billets Reports'!F1065),IF(ISNUMBER(SEARCH("Party Name-",'R.M Billets Reports'!D1065)),TRIM(MID('R.M Billets Reports'!D1065,SEARCH("-",'R.M Billets Reports'!D1065)+1,200)),""))&lt;&gt;"",IF(ISNUMBER(SEARCH("Party Name:-",'R.M Billets Reports'!D1065)),TRIM('R.M Billets Reports'!F1065),IF(ISNUMBER(SEARCH("Party Name-",'R.M Billets Reports'!D1065)),TRIM(MID('R.M Billets Reports'!D1065,SEARCH("-",'R.M Billets Reports'!D1065)+1,200)),"")),IF(ISNUMBER(SEARCH("Party Name:-",'R.M Billets Reports'!D1066)),TRIM('R.M Billets Reports'!F1066),IF(ISNUMBER(SEARCH("Party Name-",'R.M Billets Reports'!D1066)),TRIM(MID('R.M Billets Reports'!D1066,SEARCH("-",'R.M Billets Reports'!D1066)+1,200)),"")))="VRKP ISPAT PVT LTD","VRKP",IF(IF(IF(ISNUMBER(SEARCH("Party Name:-",'R.M Billets Reports'!D1065)),TRIM('R.M Billets Reports'!F1065),IF(ISNUMBER(SEARCH("Party Name-",'R.M Billets Reports'!D1065)),TRIM(MID('R.M Billets Reports'!D1065,SEARCH("-",'R.M Billets Reports'!D1065)+1,200)),""))&lt;&gt;"",IF(ISNUMBER(SEARCH("Party Name:-",'R.M Billets Reports'!D1065)),TRIM('R.M Billets Reports'!F1065),IF(ISNUMBER(SEARCH("Party Name-",'R.M Billets Reports'!D1065)),TRIM(MID('R.M Billets Reports'!D1065,SEARCH("-",'R.M Billets Reports'!D1065)+1,200)),"")),IF(ISNUMBER(SEARCH("Party Name:-",'R.M Billets Reports'!D1066)),TRIM('R.M Billets Reports'!F1066),IF(ISNUMBER(SEARCH("Party Name-",'R.M Billets Reports'!D1066)),TRIM(MID('R.M Billets Reports'!D1066,SEARCH("-",'R.M Billets Reports'!D1066)+1,200)),"")))="SHRI RADHE","SHREE RADHE",IF(IF(IF(ISNUMBER(SEARCH("Party Name:-",'R.M Billets Reports'!D1065)),TRIM('R.M Billets Reports'!F1065),IF(ISNUMBER(SEARCH("Party Name-",'R.M Billets Reports'!D1065)),TRIM(MID('R.M Billets Reports'!D1065,SEARCH("-",'R.M Billets Reports'!D1065)+1,200)),""))&lt;&gt;"",IF(ISNUMBER(SEARCH("Party Name:-",'R.M Billets Reports'!D1065)),TRIM('R.M Billets Reports'!F1065),IF(ISNUMBER(SEARCH("Party Name-",'R.M Billets Reports'!D1065)),TRIM(MID('R.M Billets Reports'!D1065,SEARCH("-",'R.M Billets Reports'!D1065)+1,200)),"")),IF(ISNUMBER(SEARCH("Party Name:-",'R.M Billets Reports'!D1066)),TRIM('R.M Billets Reports'!F1066),IF(ISNUMBER(SEARCH("Party Name-",'R.M Billets Reports'!D1066)),TRIM(MID('R.M Billets Reports'!D1066,SEARCH("-",'R.M Billets Reports'!D1066)+1,200)),"")))="SHREE RADHE SHAKTI SPONGE AND POWER PVT. LTD.","SHREE RADHE",IF(IF(ISNUMBER(SEARCH("Party Name:-",'R.M Billets Reports'!D1065)),TRIM('R.M Billets Reports'!F1065),IF(ISNUMBER(SEARCH("Party Name-",'R.M Billets Reports'!D1065)),TRIM(MID('R.M Billets Reports'!D1065,SEARCH("-",'R.M Billets Reports'!D1065)+1,200)),""))&lt;&gt;"",IF(ISNUMBER(SEARCH("Party Name:-",'R.M Billets Reports'!D1065)),TRIM('R.M Billets Reports'!F1065),IF(ISNUMBER(SEARCH("Party Name-",'R.M Billets Reports'!D1065)),TRIM(MID('R.M Billets Reports'!D1065,SEARCH("-",'R.M Billets Reports'!D1065)+1,200)),"")),IF(ISNUMBER(SEARCH("Party Name:-",'R.M Billets Reports'!D1066)),TRIM('R.M Billets Reports'!F1066),IF(ISNUMBER(SEARCH("Party Name-",'R.M Billets Reports'!D1066)),TRIM(MID('R.M Billets Reports'!D1066,SEARCH("-",'R.M Billets Reports'!D1066)+1,200)),"")))))),IF(ROW()=2,"",A1065))</f>
      </c>
      <c r="B1066">
        <f>IF(OR('R.M Billets Reports'!A1065="Date-",'R.M Billets Reports'!A1065="Date:-"),'R.M Billets Reports'!B1065,IF(ROW()=2,"",B1065))</f>
      </c>
      <c r="C1066">
        <f>IF('R.M Billets Reports'!A1065="V.No.",'R.M Billets Reports'!B1065,IF(ROW()=2,"",C1065))</f>
      </c>
      <c r="D1066">
        <f>IF('R.M Billets Reports'!A1065&lt;&gt;"",'R.M Billets Reports'!A1065,IF(ROW()=2,"",D1065))</f>
      </c>
      <c r="E1066">
        <f>IF('R.M Billets Reports'!B1065="","",TRIM('R.M Billets Reports'!B1065))</f>
      </c>
      <c r="F1066">
        <f>'R.M Billets Reports'!C1065</f>
      </c>
      <c r="G1066">
        <f>'R.M Billets Reports'!D1065</f>
      </c>
      <c r="H1066">
        <f>'R.M Billets Reports'!E1065</f>
      </c>
      <c r="I1066">
        <f>'R.M Billets Reports'!F1065</f>
      </c>
      <c r="J1066">
        <f>'R.M Billets Reports'!G1065</f>
      </c>
      <c r="K1066">
        <f>'R.M Billets Reports'!H1065</f>
      </c>
      <c r="L1066">
        <f>IF('R.M Billets Reports'!I1065="","",'R.M Billets Reports'!I1065)</f>
      </c>
      <c r="M1066">
        <f t="shared" si="32"/>
      </c>
      <c r="N1066">
        <f>IF('R.M Billets Reports'!J1065="","",'R.M Billets Reports'!J1065)</f>
      </c>
      <c r="O1066">
        <f t="shared" si="33"/>
      </c>
      <c r="P1066">
        <f>IF('R.M Billets Reports'!A1065="SIZE",'R.M Billets Reports'!B1065,P1065)</f>
      </c>
    </row>
    <row r="1067" spans="1:16" x14ac:dyDescent="0.25">
      <c r="A1067">
        <f>IF(OR('R.M Billets Reports'!A1066="Date-",'R.M Billets Reports'!A1066="Date:-"),IF(IF(IF(ISNUMBER(SEARCH("Party Name:-",'R.M Billets Reports'!D1066)),TRIM('R.M Billets Reports'!F1066),IF(ISNUMBER(SEARCH("Party Name-",'R.M Billets Reports'!D1066)),TRIM(MID('R.M Billets Reports'!D1066,SEARCH("-",'R.M Billets Reports'!D1066)+1,200)),""))&lt;&gt;"",IF(ISNUMBER(SEARCH("Party Name:-",'R.M Billets Reports'!D1066)),TRIM('R.M Billets Reports'!F1066),IF(ISNUMBER(SEARCH("Party Name-",'R.M Billets Reports'!D1066)),TRIM(MID('R.M Billets Reports'!D1066,SEARCH("-",'R.M Billets Reports'!D1066)+1,200)),"")),IF(ISNUMBER(SEARCH("Party Name:-",'R.M Billets Reports'!D1067)),TRIM('R.M Billets Reports'!F1067),IF(ISNUMBER(SEARCH("Party Name-",'R.M Billets Reports'!D1067)),TRIM(MID('R.M Billets Reports'!D1067,SEARCH("-",'R.M Billets Reports'!D1067)+1,200)),"")))="VRKP ISPAT PVT LTD","VRKP",IF(IF(IF(ISNUMBER(SEARCH("Party Name:-",'R.M Billets Reports'!D1066)),TRIM('R.M Billets Reports'!F1066),IF(ISNUMBER(SEARCH("Party Name-",'R.M Billets Reports'!D1066)),TRIM(MID('R.M Billets Reports'!D1066,SEARCH("-",'R.M Billets Reports'!D1066)+1,200)),""))&lt;&gt;"",IF(ISNUMBER(SEARCH("Party Name:-",'R.M Billets Reports'!D1066)),TRIM('R.M Billets Reports'!F1066),IF(ISNUMBER(SEARCH("Party Name-",'R.M Billets Reports'!D1066)),TRIM(MID('R.M Billets Reports'!D1066,SEARCH("-",'R.M Billets Reports'!D1066)+1,200)),"")),IF(ISNUMBER(SEARCH("Party Name:-",'R.M Billets Reports'!D1067)),TRIM('R.M Billets Reports'!F1067),IF(ISNUMBER(SEARCH("Party Name-",'R.M Billets Reports'!D1067)),TRIM(MID('R.M Billets Reports'!D1067,SEARCH("-",'R.M Billets Reports'!D1067)+1,200)),"")))="SHRI RADHE","SHREE RADHE",IF(IF(IF(ISNUMBER(SEARCH("Party Name:-",'R.M Billets Reports'!D1066)),TRIM('R.M Billets Reports'!F1066),IF(ISNUMBER(SEARCH("Party Name-",'R.M Billets Reports'!D1066)),TRIM(MID('R.M Billets Reports'!D1066,SEARCH("-",'R.M Billets Reports'!D1066)+1,200)),""))&lt;&gt;"",IF(ISNUMBER(SEARCH("Party Name:-",'R.M Billets Reports'!D1066)),TRIM('R.M Billets Reports'!F1066),IF(ISNUMBER(SEARCH("Party Name-",'R.M Billets Reports'!D1066)),TRIM(MID('R.M Billets Reports'!D1066,SEARCH("-",'R.M Billets Reports'!D1066)+1,200)),"")),IF(ISNUMBER(SEARCH("Party Name:-",'R.M Billets Reports'!D1067)),TRIM('R.M Billets Reports'!F1067),IF(ISNUMBER(SEARCH("Party Name-",'R.M Billets Reports'!D1067)),TRIM(MID('R.M Billets Reports'!D1067,SEARCH("-",'R.M Billets Reports'!D1067)+1,200)),"")))="SHREE RADHE SHAKTI SPONGE AND POWER PVT. LTD.","SHREE RADHE",IF(IF(ISNUMBER(SEARCH("Party Name:-",'R.M Billets Reports'!D1066)),TRIM('R.M Billets Reports'!F1066),IF(ISNUMBER(SEARCH("Party Name-",'R.M Billets Reports'!D1066)),TRIM(MID('R.M Billets Reports'!D1066,SEARCH("-",'R.M Billets Reports'!D1066)+1,200)),""))&lt;&gt;"",IF(ISNUMBER(SEARCH("Party Name:-",'R.M Billets Reports'!D1066)),TRIM('R.M Billets Reports'!F1066),IF(ISNUMBER(SEARCH("Party Name-",'R.M Billets Reports'!D1066)),TRIM(MID('R.M Billets Reports'!D1066,SEARCH("-",'R.M Billets Reports'!D1066)+1,200)),"")),IF(ISNUMBER(SEARCH("Party Name:-",'R.M Billets Reports'!D1067)),TRIM('R.M Billets Reports'!F1067),IF(ISNUMBER(SEARCH("Party Name-",'R.M Billets Reports'!D1067)),TRIM(MID('R.M Billets Reports'!D1067,SEARCH("-",'R.M Billets Reports'!D1067)+1,200)),"")))))),IF(ROW()=2,"",A1066))</f>
      </c>
      <c r="B1067">
        <f>IF(OR('R.M Billets Reports'!A1066="Date-",'R.M Billets Reports'!A1066="Date:-"),'R.M Billets Reports'!B1066,IF(ROW()=2,"",B1066))</f>
      </c>
      <c r="C1067">
        <f>IF('R.M Billets Reports'!A1066="V.No.",'R.M Billets Reports'!B1066,IF(ROW()=2,"",C1066))</f>
      </c>
      <c r="D1067">
        <f>IF('R.M Billets Reports'!A1066&lt;&gt;"",'R.M Billets Reports'!A1066,IF(ROW()=2,"",D1066))</f>
      </c>
      <c r="E1067">
        <f>IF('R.M Billets Reports'!B1066="","",TRIM('R.M Billets Reports'!B1066))</f>
      </c>
      <c r="F1067">
        <f>'R.M Billets Reports'!C1066</f>
      </c>
      <c r="G1067">
        <f>'R.M Billets Reports'!D1066</f>
      </c>
      <c r="H1067">
        <f>'R.M Billets Reports'!E1066</f>
      </c>
      <c r="I1067">
        <f>'R.M Billets Reports'!F1066</f>
      </c>
      <c r="J1067">
        <f>'R.M Billets Reports'!G1066</f>
      </c>
      <c r="K1067">
        <f>'R.M Billets Reports'!H1066</f>
      </c>
      <c r="L1067">
        <f>IF('R.M Billets Reports'!I1066="","",'R.M Billets Reports'!I1066)</f>
      </c>
      <c r="M1067">
        <f t="shared" si="32"/>
      </c>
      <c r="N1067">
        <f>IF('R.M Billets Reports'!J1066="","",'R.M Billets Reports'!J1066)</f>
      </c>
      <c r="O1067">
        <f t="shared" si="33"/>
      </c>
      <c r="P1067">
        <f>IF('R.M Billets Reports'!A1066="SIZE",'R.M Billets Reports'!B1066,P1066)</f>
      </c>
    </row>
    <row r="1068" spans="1:16" x14ac:dyDescent="0.25">
      <c r="A1068">
        <f>IF(OR('R.M Billets Reports'!A1067="Date-",'R.M Billets Reports'!A1067="Date:-"),IF(IF(IF(ISNUMBER(SEARCH("Party Name:-",'R.M Billets Reports'!D1067)),TRIM('R.M Billets Reports'!F1067),IF(ISNUMBER(SEARCH("Party Name-",'R.M Billets Reports'!D1067)),TRIM(MID('R.M Billets Reports'!D1067,SEARCH("-",'R.M Billets Reports'!D1067)+1,200)),""))&lt;&gt;"",IF(ISNUMBER(SEARCH("Party Name:-",'R.M Billets Reports'!D1067)),TRIM('R.M Billets Reports'!F1067),IF(ISNUMBER(SEARCH("Party Name-",'R.M Billets Reports'!D1067)),TRIM(MID('R.M Billets Reports'!D1067,SEARCH("-",'R.M Billets Reports'!D1067)+1,200)),"")),IF(ISNUMBER(SEARCH("Party Name:-",'R.M Billets Reports'!D1068)),TRIM('R.M Billets Reports'!F1068),IF(ISNUMBER(SEARCH("Party Name-",'R.M Billets Reports'!D1068)),TRIM(MID('R.M Billets Reports'!D1068,SEARCH("-",'R.M Billets Reports'!D1068)+1,200)),"")))="VRKP ISPAT PVT LTD","VRKP",IF(IF(IF(ISNUMBER(SEARCH("Party Name:-",'R.M Billets Reports'!D1067)),TRIM('R.M Billets Reports'!F1067),IF(ISNUMBER(SEARCH("Party Name-",'R.M Billets Reports'!D1067)),TRIM(MID('R.M Billets Reports'!D1067,SEARCH("-",'R.M Billets Reports'!D1067)+1,200)),""))&lt;&gt;"",IF(ISNUMBER(SEARCH("Party Name:-",'R.M Billets Reports'!D1067)),TRIM('R.M Billets Reports'!F1067),IF(ISNUMBER(SEARCH("Party Name-",'R.M Billets Reports'!D1067)),TRIM(MID('R.M Billets Reports'!D1067,SEARCH("-",'R.M Billets Reports'!D1067)+1,200)),"")),IF(ISNUMBER(SEARCH("Party Name:-",'R.M Billets Reports'!D1068)),TRIM('R.M Billets Reports'!F1068),IF(ISNUMBER(SEARCH("Party Name-",'R.M Billets Reports'!D1068)),TRIM(MID('R.M Billets Reports'!D1068,SEARCH("-",'R.M Billets Reports'!D1068)+1,200)),"")))="SHRI RADHE","SHREE RADHE",IF(IF(IF(ISNUMBER(SEARCH("Party Name:-",'R.M Billets Reports'!D1067)),TRIM('R.M Billets Reports'!F1067),IF(ISNUMBER(SEARCH("Party Name-",'R.M Billets Reports'!D1067)),TRIM(MID('R.M Billets Reports'!D1067,SEARCH("-",'R.M Billets Reports'!D1067)+1,200)),""))&lt;&gt;"",IF(ISNUMBER(SEARCH("Party Name:-",'R.M Billets Reports'!D1067)),TRIM('R.M Billets Reports'!F1067),IF(ISNUMBER(SEARCH("Party Name-",'R.M Billets Reports'!D1067)),TRIM(MID('R.M Billets Reports'!D1067,SEARCH("-",'R.M Billets Reports'!D1067)+1,200)),"")),IF(ISNUMBER(SEARCH("Party Name:-",'R.M Billets Reports'!D1068)),TRIM('R.M Billets Reports'!F1068),IF(ISNUMBER(SEARCH("Party Name-",'R.M Billets Reports'!D1068)),TRIM(MID('R.M Billets Reports'!D1068,SEARCH("-",'R.M Billets Reports'!D1068)+1,200)),"")))="SHREE RADHE SHAKTI SPONGE AND POWER PVT. LTD.","SHREE RADHE",IF(IF(ISNUMBER(SEARCH("Party Name:-",'R.M Billets Reports'!D1067)),TRIM('R.M Billets Reports'!F1067),IF(ISNUMBER(SEARCH("Party Name-",'R.M Billets Reports'!D1067)),TRIM(MID('R.M Billets Reports'!D1067,SEARCH("-",'R.M Billets Reports'!D1067)+1,200)),""))&lt;&gt;"",IF(ISNUMBER(SEARCH("Party Name:-",'R.M Billets Reports'!D1067)),TRIM('R.M Billets Reports'!F1067),IF(ISNUMBER(SEARCH("Party Name-",'R.M Billets Reports'!D1067)),TRIM(MID('R.M Billets Reports'!D1067,SEARCH("-",'R.M Billets Reports'!D1067)+1,200)),"")),IF(ISNUMBER(SEARCH("Party Name:-",'R.M Billets Reports'!D1068)),TRIM('R.M Billets Reports'!F1068),IF(ISNUMBER(SEARCH("Party Name-",'R.M Billets Reports'!D1068)),TRIM(MID('R.M Billets Reports'!D1068,SEARCH("-",'R.M Billets Reports'!D1068)+1,200)),"")))))),IF(ROW()=2,"",A1067))</f>
      </c>
      <c r="B1068">
        <f>IF(OR('R.M Billets Reports'!A1067="Date-",'R.M Billets Reports'!A1067="Date:-"),'R.M Billets Reports'!B1067,IF(ROW()=2,"",B1067))</f>
      </c>
      <c r="C1068">
        <f>IF('R.M Billets Reports'!A1067="V.No.",'R.M Billets Reports'!B1067,IF(ROW()=2,"",C1067))</f>
      </c>
      <c r="D1068">
        <f>IF('R.M Billets Reports'!A1067&lt;&gt;"",'R.M Billets Reports'!A1067,IF(ROW()=2,"",D1067))</f>
      </c>
      <c r="E1068">
        <f>IF('R.M Billets Reports'!B1067="","",TRIM('R.M Billets Reports'!B1067))</f>
      </c>
      <c r="F1068">
        <f>'R.M Billets Reports'!C1067</f>
      </c>
      <c r="G1068">
        <f>'R.M Billets Reports'!D1067</f>
      </c>
      <c r="H1068">
        <f>'R.M Billets Reports'!E1067</f>
      </c>
      <c r="I1068">
        <f>'R.M Billets Reports'!F1067</f>
      </c>
      <c r="J1068">
        <f>'R.M Billets Reports'!G1067</f>
      </c>
      <c r="K1068">
        <f>'R.M Billets Reports'!H1067</f>
      </c>
      <c r="L1068">
        <f>IF('R.M Billets Reports'!I1067="","",'R.M Billets Reports'!I1067)</f>
      </c>
      <c r="M1068">
        <f t="shared" si="32"/>
      </c>
      <c r="N1068">
        <f>IF('R.M Billets Reports'!J1067="","",'R.M Billets Reports'!J1067)</f>
      </c>
      <c r="O1068">
        <f t="shared" si="33"/>
      </c>
      <c r="P1068">
        <f>IF('R.M Billets Reports'!A1067="SIZE",'R.M Billets Reports'!B1067,P1067)</f>
      </c>
    </row>
    <row r="1069" spans="1:16" x14ac:dyDescent="0.25">
      <c r="A1069">
        <f>IF(OR('R.M Billets Reports'!A1068="Date-",'R.M Billets Reports'!A1068="Date:-"),IF(IF(IF(ISNUMBER(SEARCH("Party Name:-",'R.M Billets Reports'!D1068)),TRIM('R.M Billets Reports'!F1068),IF(ISNUMBER(SEARCH("Party Name-",'R.M Billets Reports'!D1068)),TRIM(MID('R.M Billets Reports'!D1068,SEARCH("-",'R.M Billets Reports'!D1068)+1,200)),""))&lt;&gt;"",IF(ISNUMBER(SEARCH("Party Name:-",'R.M Billets Reports'!D1068)),TRIM('R.M Billets Reports'!F1068),IF(ISNUMBER(SEARCH("Party Name-",'R.M Billets Reports'!D1068)),TRIM(MID('R.M Billets Reports'!D1068,SEARCH("-",'R.M Billets Reports'!D1068)+1,200)),"")),IF(ISNUMBER(SEARCH("Party Name:-",'R.M Billets Reports'!D1069)),TRIM('R.M Billets Reports'!F1069),IF(ISNUMBER(SEARCH("Party Name-",'R.M Billets Reports'!D1069)),TRIM(MID('R.M Billets Reports'!D1069,SEARCH("-",'R.M Billets Reports'!D1069)+1,200)),"")))="VRKP ISPAT PVT LTD","VRKP",IF(IF(IF(ISNUMBER(SEARCH("Party Name:-",'R.M Billets Reports'!D1068)),TRIM('R.M Billets Reports'!F1068),IF(ISNUMBER(SEARCH("Party Name-",'R.M Billets Reports'!D1068)),TRIM(MID('R.M Billets Reports'!D1068,SEARCH("-",'R.M Billets Reports'!D1068)+1,200)),""))&lt;&gt;"",IF(ISNUMBER(SEARCH("Party Name:-",'R.M Billets Reports'!D1068)),TRIM('R.M Billets Reports'!F1068),IF(ISNUMBER(SEARCH("Party Name-",'R.M Billets Reports'!D1068)),TRIM(MID('R.M Billets Reports'!D1068,SEARCH("-",'R.M Billets Reports'!D1068)+1,200)),"")),IF(ISNUMBER(SEARCH("Party Name:-",'R.M Billets Reports'!D1069)),TRIM('R.M Billets Reports'!F1069),IF(ISNUMBER(SEARCH("Party Name-",'R.M Billets Reports'!D1069)),TRIM(MID('R.M Billets Reports'!D1069,SEARCH("-",'R.M Billets Reports'!D1069)+1,200)),"")))="SHRI RADHE","SHREE RADHE",IF(IF(IF(ISNUMBER(SEARCH("Party Name:-",'R.M Billets Reports'!D1068)),TRIM('R.M Billets Reports'!F1068),IF(ISNUMBER(SEARCH("Party Name-",'R.M Billets Reports'!D1068)),TRIM(MID('R.M Billets Reports'!D1068,SEARCH("-",'R.M Billets Reports'!D1068)+1,200)),""))&lt;&gt;"",IF(ISNUMBER(SEARCH("Party Name:-",'R.M Billets Reports'!D1068)),TRIM('R.M Billets Reports'!F1068),IF(ISNUMBER(SEARCH("Party Name-",'R.M Billets Reports'!D1068)),TRIM(MID('R.M Billets Reports'!D1068,SEARCH("-",'R.M Billets Reports'!D1068)+1,200)),"")),IF(ISNUMBER(SEARCH("Party Name:-",'R.M Billets Reports'!D1069)),TRIM('R.M Billets Reports'!F1069),IF(ISNUMBER(SEARCH("Party Name-",'R.M Billets Reports'!D1069)),TRIM(MID('R.M Billets Reports'!D1069,SEARCH("-",'R.M Billets Reports'!D1069)+1,200)),"")))="SHREE RADHE SHAKTI SPONGE AND POWER PVT. LTD.","SHREE RADHE",IF(IF(ISNUMBER(SEARCH("Party Name:-",'R.M Billets Reports'!D1068)),TRIM('R.M Billets Reports'!F1068),IF(ISNUMBER(SEARCH("Party Name-",'R.M Billets Reports'!D1068)),TRIM(MID('R.M Billets Reports'!D1068,SEARCH("-",'R.M Billets Reports'!D1068)+1,200)),""))&lt;&gt;"",IF(ISNUMBER(SEARCH("Party Name:-",'R.M Billets Reports'!D1068)),TRIM('R.M Billets Reports'!F1068),IF(ISNUMBER(SEARCH("Party Name-",'R.M Billets Reports'!D1068)),TRIM(MID('R.M Billets Reports'!D1068,SEARCH("-",'R.M Billets Reports'!D1068)+1,200)),"")),IF(ISNUMBER(SEARCH("Party Name:-",'R.M Billets Reports'!D1069)),TRIM('R.M Billets Reports'!F1069),IF(ISNUMBER(SEARCH("Party Name-",'R.M Billets Reports'!D1069)),TRIM(MID('R.M Billets Reports'!D1069,SEARCH("-",'R.M Billets Reports'!D1069)+1,200)),"")))))),IF(ROW()=2,"",A1068))</f>
      </c>
      <c r="B1069">
        <f>IF(OR('R.M Billets Reports'!A1068="Date-",'R.M Billets Reports'!A1068="Date:-"),'R.M Billets Reports'!B1068,IF(ROW()=2,"",B1068))</f>
      </c>
      <c r="C1069">
        <f>IF('R.M Billets Reports'!A1068="V.No.",'R.M Billets Reports'!B1068,IF(ROW()=2,"",C1068))</f>
      </c>
      <c r="D1069">
        <f>IF('R.M Billets Reports'!A1068&lt;&gt;"",'R.M Billets Reports'!A1068,IF(ROW()=2,"",D1068))</f>
      </c>
      <c r="E1069">
        <f>IF('R.M Billets Reports'!B1068="","",TRIM('R.M Billets Reports'!B1068))</f>
      </c>
      <c r="F1069">
        <f>'R.M Billets Reports'!C1068</f>
      </c>
      <c r="G1069">
        <f>'R.M Billets Reports'!D1068</f>
      </c>
      <c r="H1069">
        <f>'R.M Billets Reports'!E1068</f>
      </c>
      <c r="I1069">
        <f>'R.M Billets Reports'!F1068</f>
      </c>
      <c r="J1069">
        <f>'R.M Billets Reports'!G1068</f>
      </c>
      <c r="K1069">
        <f>'R.M Billets Reports'!H1068</f>
      </c>
      <c r="L1069">
        <f>IF('R.M Billets Reports'!I1068="","",'R.M Billets Reports'!I1068)</f>
      </c>
      <c r="M1069">
        <f t="shared" si="32"/>
      </c>
      <c r="N1069">
        <f>IF('R.M Billets Reports'!J1068="","",'R.M Billets Reports'!J1068)</f>
      </c>
      <c r="O1069">
        <f t="shared" si="33"/>
      </c>
      <c r="P1069">
        <f>IF('R.M Billets Reports'!A1068="SIZE",'R.M Billets Reports'!B1068,P1068)</f>
      </c>
    </row>
    <row r="1070" spans="1:16" x14ac:dyDescent="0.25">
      <c r="A1070">
        <f>IF(OR('R.M Billets Reports'!A1069="Date-",'R.M Billets Reports'!A1069="Date:-"),IF(IF(IF(ISNUMBER(SEARCH("Party Name:-",'R.M Billets Reports'!D1069)),TRIM('R.M Billets Reports'!F1069),IF(ISNUMBER(SEARCH("Party Name-",'R.M Billets Reports'!D1069)),TRIM(MID('R.M Billets Reports'!D1069,SEARCH("-",'R.M Billets Reports'!D1069)+1,200)),""))&lt;&gt;"",IF(ISNUMBER(SEARCH("Party Name:-",'R.M Billets Reports'!D1069)),TRIM('R.M Billets Reports'!F1069),IF(ISNUMBER(SEARCH("Party Name-",'R.M Billets Reports'!D1069)),TRIM(MID('R.M Billets Reports'!D1069,SEARCH("-",'R.M Billets Reports'!D1069)+1,200)),"")),IF(ISNUMBER(SEARCH("Party Name:-",'R.M Billets Reports'!D1070)),TRIM('R.M Billets Reports'!F1070),IF(ISNUMBER(SEARCH("Party Name-",'R.M Billets Reports'!D1070)),TRIM(MID('R.M Billets Reports'!D1070,SEARCH("-",'R.M Billets Reports'!D1070)+1,200)),"")))="VRKP ISPAT PVT LTD","VRKP",IF(IF(IF(ISNUMBER(SEARCH("Party Name:-",'R.M Billets Reports'!D1069)),TRIM('R.M Billets Reports'!F1069),IF(ISNUMBER(SEARCH("Party Name-",'R.M Billets Reports'!D1069)),TRIM(MID('R.M Billets Reports'!D1069,SEARCH("-",'R.M Billets Reports'!D1069)+1,200)),""))&lt;&gt;"",IF(ISNUMBER(SEARCH("Party Name:-",'R.M Billets Reports'!D1069)),TRIM('R.M Billets Reports'!F1069),IF(ISNUMBER(SEARCH("Party Name-",'R.M Billets Reports'!D1069)),TRIM(MID('R.M Billets Reports'!D1069,SEARCH("-",'R.M Billets Reports'!D1069)+1,200)),"")),IF(ISNUMBER(SEARCH("Party Name:-",'R.M Billets Reports'!D1070)),TRIM('R.M Billets Reports'!F1070),IF(ISNUMBER(SEARCH("Party Name-",'R.M Billets Reports'!D1070)),TRIM(MID('R.M Billets Reports'!D1070,SEARCH("-",'R.M Billets Reports'!D1070)+1,200)),"")))="SHRI RADHE","SHREE RADHE",IF(IF(IF(ISNUMBER(SEARCH("Party Name:-",'R.M Billets Reports'!D1069)),TRIM('R.M Billets Reports'!F1069),IF(ISNUMBER(SEARCH("Party Name-",'R.M Billets Reports'!D1069)),TRIM(MID('R.M Billets Reports'!D1069,SEARCH("-",'R.M Billets Reports'!D1069)+1,200)),""))&lt;&gt;"",IF(ISNUMBER(SEARCH("Party Name:-",'R.M Billets Reports'!D1069)),TRIM('R.M Billets Reports'!F1069),IF(ISNUMBER(SEARCH("Party Name-",'R.M Billets Reports'!D1069)),TRIM(MID('R.M Billets Reports'!D1069,SEARCH("-",'R.M Billets Reports'!D1069)+1,200)),"")),IF(ISNUMBER(SEARCH("Party Name:-",'R.M Billets Reports'!D1070)),TRIM('R.M Billets Reports'!F1070),IF(ISNUMBER(SEARCH("Party Name-",'R.M Billets Reports'!D1070)),TRIM(MID('R.M Billets Reports'!D1070,SEARCH("-",'R.M Billets Reports'!D1070)+1,200)),"")))="SHREE RADHE SHAKTI SPONGE AND POWER PVT. LTD.","SHREE RADHE",IF(IF(ISNUMBER(SEARCH("Party Name:-",'R.M Billets Reports'!D1069)),TRIM('R.M Billets Reports'!F1069),IF(ISNUMBER(SEARCH("Party Name-",'R.M Billets Reports'!D1069)),TRIM(MID('R.M Billets Reports'!D1069,SEARCH("-",'R.M Billets Reports'!D1069)+1,200)),""))&lt;&gt;"",IF(ISNUMBER(SEARCH("Party Name:-",'R.M Billets Reports'!D1069)),TRIM('R.M Billets Reports'!F1069),IF(ISNUMBER(SEARCH("Party Name-",'R.M Billets Reports'!D1069)),TRIM(MID('R.M Billets Reports'!D1069,SEARCH("-",'R.M Billets Reports'!D1069)+1,200)),"")),IF(ISNUMBER(SEARCH("Party Name:-",'R.M Billets Reports'!D1070)),TRIM('R.M Billets Reports'!F1070),IF(ISNUMBER(SEARCH("Party Name-",'R.M Billets Reports'!D1070)),TRIM(MID('R.M Billets Reports'!D1070,SEARCH("-",'R.M Billets Reports'!D1070)+1,200)),"")))))),IF(ROW()=2,"",A1069))</f>
      </c>
      <c r="B1070">
        <f>IF(OR('R.M Billets Reports'!A1069="Date-",'R.M Billets Reports'!A1069="Date:-"),'R.M Billets Reports'!B1069,IF(ROW()=2,"",B1069))</f>
      </c>
      <c r="C1070">
        <f>IF('R.M Billets Reports'!A1069="V.No.",'R.M Billets Reports'!B1069,IF(ROW()=2,"",C1069))</f>
      </c>
      <c r="D1070">
        <f>IF('R.M Billets Reports'!A1069&lt;&gt;"",'R.M Billets Reports'!A1069,IF(ROW()=2,"",D1069))</f>
      </c>
      <c r="E1070">
        <f>IF('R.M Billets Reports'!B1069="","",TRIM('R.M Billets Reports'!B1069))</f>
      </c>
      <c r="F1070">
        <f>'R.M Billets Reports'!C1069</f>
      </c>
      <c r="G1070">
        <f>'R.M Billets Reports'!D1069</f>
      </c>
      <c r="H1070">
        <f>'R.M Billets Reports'!E1069</f>
      </c>
      <c r="I1070">
        <f>'R.M Billets Reports'!F1069</f>
      </c>
      <c r="J1070">
        <f>'R.M Billets Reports'!G1069</f>
      </c>
      <c r="K1070">
        <f>'R.M Billets Reports'!H1069</f>
      </c>
      <c r="L1070">
        <f>IF('R.M Billets Reports'!I1069="","",'R.M Billets Reports'!I1069)</f>
      </c>
      <c r="M1070">
        <f t="shared" si="32"/>
      </c>
      <c r="N1070">
        <f>IF('R.M Billets Reports'!J1069="","",'R.M Billets Reports'!J1069)</f>
      </c>
      <c r="O1070">
        <f t="shared" si="33"/>
      </c>
      <c r="P1070">
        <f>IF('R.M Billets Reports'!A1069="SIZE",'R.M Billets Reports'!B1069,P1069)</f>
      </c>
    </row>
    <row r="1071" spans="1:16" x14ac:dyDescent="0.25">
      <c r="A1071">
        <f>IF(OR('R.M Billets Reports'!A1070="Date-",'R.M Billets Reports'!A1070="Date:-"),IF(IF(IF(ISNUMBER(SEARCH("Party Name:-",'R.M Billets Reports'!D1070)),TRIM('R.M Billets Reports'!F1070),IF(ISNUMBER(SEARCH("Party Name-",'R.M Billets Reports'!D1070)),TRIM(MID('R.M Billets Reports'!D1070,SEARCH("-",'R.M Billets Reports'!D1070)+1,200)),""))&lt;&gt;"",IF(ISNUMBER(SEARCH("Party Name:-",'R.M Billets Reports'!D1070)),TRIM('R.M Billets Reports'!F1070),IF(ISNUMBER(SEARCH("Party Name-",'R.M Billets Reports'!D1070)),TRIM(MID('R.M Billets Reports'!D1070,SEARCH("-",'R.M Billets Reports'!D1070)+1,200)),"")),IF(ISNUMBER(SEARCH("Party Name:-",'R.M Billets Reports'!D1071)),TRIM('R.M Billets Reports'!F1071),IF(ISNUMBER(SEARCH("Party Name-",'R.M Billets Reports'!D1071)),TRIM(MID('R.M Billets Reports'!D1071,SEARCH("-",'R.M Billets Reports'!D1071)+1,200)),"")))="VRKP ISPAT PVT LTD","VRKP",IF(IF(IF(ISNUMBER(SEARCH("Party Name:-",'R.M Billets Reports'!D1070)),TRIM('R.M Billets Reports'!F1070),IF(ISNUMBER(SEARCH("Party Name-",'R.M Billets Reports'!D1070)),TRIM(MID('R.M Billets Reports'!D1070,SEARCH("-",'R.M Billets Reports'!D1070)+1,200)),""))&lt;&gt;"",IF(ISNUMBER(SEARCH("Party Name:-",'R.M Billets Reports'!D1070)),TRIM('R.M Billets Reports'!F1070),IF(ISNUMBER(SEARCH("Party Name-",'R.M Billets Reports'!D1070)),TRIM(MID('R.M Billets Reports'!D1070,SEARCH("-",'R.M Billets Reports'!D1070)+1,200)),"")),IF(ISNUMBER(SEARCH("Party Name:-",'R.M Billets Reports'!D1071)),TRIM('R.M Billets Reports'!F1071),IF(ISNUMBER(SEARCH("Party Name-",'R.M Billets Reports'!D1071)),TRIM(MID('R.M Billets Reports'!D1071,SEARCH("-",'R.M Billets Reports'!D1071)+1,200)),"")))="SHRI RADHE","SHREE RADHE",IF(IF(IF(ISNUMBER(SEARCH("Party Name:-",'R.M Billets Reports'!D1070)),TRIM('R.M Billets Reports'!F1070),IF(ISNUMBER(SEARCH("Party Name-",'R.M Billets Reports'!D1070)),TRIM(MID('R.M Billets Reports'!D1070,SEARCH("-",'R.M Billets Reports'!D1070)+1,200)),""))&lt;&gt;"",IF(ISNUMBER(SEARCH("Party Name:-",'R.M Billets Reports'!D1070)),TRIM('R.M Billets Reports'!F1070),IF(ISNUMBER(SEARCH("Party Name-",'R.M Billets Reports'!D1070)),TRIM(MID('R.M Billets Reports'!D1070,SEARCH("-",'R.M Billets Reports'!D1070)+1,200)),"")),IF(ISNUMBER(SEARCH("Party Name:-",'R.M Billets Reports'!D1071)),TRIM('R.M Billets Reports'!F1071),IF(ISNUMBER(SEARCH("Party Name-",'R.M Billets Reports'!D1071)),TRIM(MID('R.M Billets Reports'!D1071,SEARCH("-",'R.M Billets Reports'!D1071)+1,200)),"")))="SHREE RADHE SHAKTI SPONGE AND POWER PVT. LTD.","SHREE RADHE",IF(IF(ISNUMBER(SEARCH("Party Name:-",'R.M Billets Reports'!D1070)),TRIM('R.M Billets Reports'!F1070),IF(ISNUMBER(SEARCH("Party Name-",'R.M Billets Reports'!D1070)),TRIM(MID('R.M Billets Reports'!D1070,SEARCH("-",'R.M Billets Reports'!D1070)+1,200)),""))&lt;&gt;"",IF(ISNUMBER(SEARCH("Party Name:-",'R.M Billets Reports'!D1070)),TRIM('R.M Billets Reports'!F1070),IF(ISNUMBER(SEARCH("Party Name-",'R.M Billets Reports'!D1070)),TRIM(MID('R.M Billets Reports'!D1070,SEARCH("-",'R.M Billets Reports'!D1070)+1,200)),"")),IF(ISNUMBER(SEARCH("Party Name:-",'R.M Billets Reports'!D1071)),TRIM('R.M Billets Reports'!F1071),IF(ISNUMBER(SEARCH("Party Name-",'R.M Billets Reports'!D1071)),TRIM(MID('R.M Billets Reports'!D1071,SEARCH("-",'R.M Billets Reports'!D1071)+1,200)),"")))))),IF(ROW()=2,"",A1070))</f>
      </c>
      <c r="B1071">
        <f>IF(OR('R.M Billets Reports'!A1070="Date-",'R.M Billets Reports'!A1070="Date:-"),'R.M Billets Reports'!B1070,IF(ROW()=2,"",B1070))</f>
      </c>
      <c r="C1071">
        <f>IF('R.M Billets Reports'!A1070="V.No.",'R.M Billets Reports'!B1070,IF(ROW()=2,"",C1070))</f>
      </c>
      <c r="D1071">
        <f>IF('R.M Billets Reports'!A1070&lt;&gt;"",'R.M Billets Reports'!A1070,IF(ROW()=2,"",D1070))</f>
      </c>
      <c r="E1071">
        <f>IF('R.M Billets Reports'!B1070="","",TRIM('R.M Billets Reports'!B1070))</f>
      </c>
      <c r="F1071">
        <f>'R.M Billets Reports'!C1070</f>
      </c>
      <c r="G1071">
        <f>'R.M Billets Reports'!D1070</f>
      </c>
      <c r="H1071">
        <f>'R.M Billets Reports'!E1070</f>
      </c>
      <c r="I1071">
        <f>'R.M Billets Reports'!F1070</f>
      </c>
      <c r="J1071">
        <f>'R.M Billets Reports'!G1070</f>
      </c>
      <c r="K1071">
        <f>'R.M Billets Reports'!H1070</f>
      </c>
      <c r="L1071">
        <f>IF('R.M Billets Reports'!I1070="","",'R.M Billets Reports'!I1070)</f>
      </c>
      <c r="M1071">
        <f t="shared" si="32"/>
      </c>
      <c r="N1071">
        <f>IF('R.M Billets Reports'!J1070="","",'R.M Billets Reports'!J1070)</f>
      </c>
      <c r="O1071">
        <f t="shared" si="33"/>
      </c>
      <c r="P1071">
        <f>IF('R.M Billets Reports'!A1070="SIZE",'R.M Billets Reports'!B1070,P1070)</f>
      </c>
    </row>
    <row r="1072" spans="1:16" x14ac:dyDescent="0.25">
      <c r="A1072">
        <f>IF(OR('R.M Billets Reports'!A1071="Date-",'R.M Billets Reports'!A1071="Date:-"),IF(IF(IF(ISNUMBER(SEARCH("Party Name:-",'R.M Billets Reports'!D1071)),TRIM('R.M Billets Reports'!F1071),IF(ISNUMBER(SEARCH("Party Name-",'R.M Billets Reports'!D1071)),TRIM(MID('R.M Billets Reports'!D1071,SEARCH("-",'R.M Billets Reports'!D1071)+1,200)),""))&lt;&gt;"",IF(ISNUMBER(SEARCH("Party Name:-",'R.M Billets Reports'!D1071)),TRIM('R.M Billets Reports'!F1071),IF(ISNUMBER(SEARCH("Party Name-",'R.M Billets Reports'!D1071)),TRIM(MID('R.M Billets Reports'!D1071,SEARCH("-",'R.M Billets Reports'!D1071)+1,200)),"")),IF(ISNUMBER(SEARCH("Party Name:-",'R.M Billets Reports'!D1072)),TRIM('R.M Billets Reports'!F1072),IF(ISNUMBER(SEARCH("Party Name-",'R.M Billets Reports'!D1072)),TRIM(MID('R.M Billets Reports'!D1072,SEARCH("-",'R.M Billets Reports'!D1072)+1,200)),"")))="VRKP ISPAT PVT LTD","VRKP",IF(IF(IF(ISNUMBER(SEARCH("Party Name:-",'R.M Billets Reports'!D1071)),TRIM('R.M Billets Reports'!F1071),IF(ISNUMBER(SEARCH("Party Name-",'R.M Billets Reports'!D1071)),TRIM(MID('R.M Billets Reports'!D1071,SEARCH("-",'R.M Billets Reports'!D1071)+1,200)),""))&lt;&gt;"",IF(ISNUMBER(SEARCH("Party Name:-",'R.M Billets Reports'!D1071)),TRIM('R.M Billets Reports'!F1071),IF(ISNUMBER(SEARCH("Party Name-",'R.M Billets Reports'!D1071)),TRIM(MID('R.M Billets Reports'!D1071,SEARCH("-",'R.M Billets Reports'!D1071)+1,200)),"")),IF(ISNUMBER(SEARCH("Party Name:-",'R.M Billets Reports'!D1072)),TRIM('R.M Billets Reports'!F1072),IF(ISNUMBER(SEARCH("Party Name-",'R.M Billets Reports'!D1072)),TRIM(MID('R.M Billets Reports'!D1072,SEARCH("-",'R.M Billets Reports'!D1072)+1,200)),"")))="SHRI RADHE","SHREE RADHE",IF(IF(IF(ISNUMBER(SEARCH("Party Name:-",'R.M Billets Reports'!D1071)),TRIM('R.M Billets Reports'!F1071),IF(ISNUMBER(SEARCH("Party Name-",'R.M Billets Reports'!D1071)),TRIM(MID('R.M Billets Reports'!D1071,SEARCH("-",'R.M Billets Reports'!D1071)+1,200)),""))&lt;&gt;"",IF(ISNUMBER(SEARCH("Party Name:-",'R.M Billets Reports'!D1071)),TRIM('R.M Billets Reports'!F1071),IF(ISNUMBER(SEARCH("Party Name-",'R.M Billets Reports'!D1071)),TRIM(MID('R.M Billets Reports'!D1071,SEARCH("-",'R.M Billets Reports'!D1071)+1,200)),"")),IF(ISNUMBER(SEARCH("Party Name:-",'R.M Billets Reports'!D1072)),TRIM('R.M Billets Reports'!F1072),IF(ISNUMBER(SEARCH("Party Name-",'R.M Billets Reports'!D1072)),TRIM(MID('R.M Billets Reports'!D1072,SEARCH("-",'R.M Billets Reports'!D1072)+1,200)),"")))="SHREE RADHE SHAKTI SPONGE AND POWER PVT. LTD.","SHREE RADHE",IF(IF(ISNUMBER(SEARCH("Party Name:-",'R.M Billets Reports'!D1071)),TRIM('R.M Billets Reports'!F1071),IF(ISNUMBER(SEARCH("Party Name-",'R.M Billets Reports'!D1071)),TRIM(MID('R.M Billets Reports'!D1071,SEARCH("-",'R.M Billets Reports'!D1071)+1,200)),""))&lt;&gt;"",IF(ISNUMBER(SEARCH("Party Name:-",'R.M Billets Reports'!D1071)),TRIM('R.M Billets Reports'!F1071),IF(ISNUMBER(SEARCH("Party Name-",'R.M Billets Reports'!D1071)),TRIM(MID('R.M Billets Reports'!D1071,SEARCH("-",'R.M Billets Reports'!D1071)+1,200)),"")),IF(ISNUMBER(SEARCH("Party Name:-",'R.M Billets Reports'!D1072)),TRIM('R.M Billets Reports'!F1072),IF(ISNUMBER(SEARCH("Party Name-",'R.M Billets Reports'!D1072)),TRIM(MID('R.M Billets Reports'!D1072,SEARCH("-",'R.M Billets Reports'!D1072)+1,200)),"")))))),IF(ROW()=2,"",A1071))</f>
      </c>
      <c r="B1072">
        <f>IF(OR('R.M Billets Reports'!A1071="Date-",'R.M Billets Reports'!A1071="Date:-"),'R.M Billets Reports'!B1071,IF(ROW()=2,"",B1071))</f>
      </c>
      <c r="C1072">
        <f>IF('R.M Billets Reports'!A1071="V.No.",'R.M Billets Reports'!B1071,IF(ROW()=2,"",C1071))</f>
      </c>
      <c r="D1072">
        <f>IF('R.M Billets Reports'!A1071&lt;&gt;"",'R.M Billets Reports'!A1071,IF(ROW()=2,"",D1071))</f>
      </c>
      <c r="E1072">
        <f>IF('R.M Billets Reports'!B1071="","",TRIM('R.M Billets Reports'!B1071))</f>
      </c>
      <c r="F1072">
        <f>'R.M Billets Reports'!C1071</f>
      </c>
      <c r="G1072">
        <f>'R.M Billets Reports'!D1071</f>
      </c>
      <c r="H1072">
        <f>'R.M Billets Reports'!E1071</f>
      </c>
      <c r="I1072">
        <f>'R.M Billets Reports'!F1071</f>
      </c>
      <c r="J1072">
        <f>'R.M Billets Reports'!G1071</f>
      </c>
      <c r="K1072">
        <f>'R.M Billets Reports'!H1071</f>
      </c>
      <c r="L1072">
        <f>IF('R.M Billets Reports'!I1071="","",'R.M Billets Reports'!I1071)</f>
      </c>
      <c r="M1072">
        <f t="shared" si="32"/>
      </c>
      <c r="N1072">
        <f>IF('R.M Billets Reports'!J1071="","",'R.M Billets Reports'!J1071)</f>
      </c>
      <c r="O1072">
        <f t="shared" si="33"/>
      </c>
      <c r="P1072">
        <f>IF('R.M Billets Reports'!A1071="SIZE",'R.M Billets Reports'!B1071,P1071)</f>
      </c>
    </row>
    <row r="1073" spans="1:16" x14ac:dyDescent="0.25">
      <c r="A1073">
        <f>IF(OR('R.M Billets Reports'!A1072="Date-",'R.M Billets Reports'!A1072="Date:-"),IF(IF(IF(ISNUMBER(SEARCH("Party Name:-",'R.M Billets Reports'!D1072)),TRIM('R.M Billets Reports'!F1072),IF(ISNUMBER(SEARCH("Party Name-",'R.M Billets Reports'!D1072)),TRIM(MID('R.M Billets Reports'!D1072,SEARCH("-",'R.M Billets Reports'!D1072)+1,200)),""))&lt;&gt;"",IF(ISNUMBER(SEARCH("Party Name:-",'R.M Billets Reports'!D1072)),TRIM('R.M Billets Reports'!F1072),IF(ISNUMBER(SEARCH("Party Name-",'R.M Billets Reports'!D1072)),TRIM(MID('R.M Billets Reports'!D1072,SEARCH("-",'R.M Billets Reports'!D1072)+1,200)),"")),IF(ISNUMBER(SEARCH("Party Name:-",'R.M Billets Reports'!D1073)),TRIM('R.M Billets Reports'!F1073),IF(ISNUMBER(SEARCH("Party Name-",'R.M Billets Reports'!D1073)),TRIM(MID('R.M Billets Reports'!D1073,SEARCH("-",'R.M Billets Reports'!D1073)+1,200)),"")))="VRKP ISPAT PVT LTD","VRKP",IF(IF(IF(ISNUMBER(SEARCH("Party Name:-",'R.M Billets Reports'!D1072)),TRIM('R.M Billets Reports'!F1072),IF(ISNUMBER(SEARCH("Party Name-",'R.M Billets Reports'!D1072)),TRIM(MID('R.M Billets Reports'!D1072,SEARCH("-",'R.M Billets Reports'!D1072)+1,200)),""))&lt;&gt;"",IF(ISNUMBER(SEARCH("Party Name:-",'R.M Billets Reports'!D1072)),TRIM('R.M Billets Reports'!F1072),IF(ISNUMBER(SEARCH("Party Name-",'R.M Billets Reports'!D1072)),TRIM(MID('R.M Billets Reports'!D1072,SEARCH("-",'R.M Billets Reports'!D1072)+1,200)),"")),IF(ISNUMBER(SEARCH("Party Name:-",'R.M Billets Reports'!D1073)),TRIM('R.M Billets Reports'!F1073),IF(ISNUMBER(SEARCH("Party Name-",'R.M Billets Reports'!D1073)),TRIM(MID('R.M Billets Reports'!D1073,SEARCH("-",'R.M Billets Reports'!D1073)+1,200)),"")))="SHRI RADHE","SHREE RADHE",IF(IF(IF(ISNUMBER(SEARCH("Party Name:-",'R.M Billets Reports'!D1072)),TRIM('R.M Billets Reports'!F1072),IF(ISNUMBER(SEARCH("Party Name-",'R.M Billets Reports'!D1072)),TRIM(MID('R.M Billets Reports'!D1072,SEARCH("-",'R.M Billets Reports'!D1072)+1,200)),""))&lt;&gt;"",IF(ISNUMBER(SEARCH("Party Name:-",'R.M Billets Reports'!D1072)),TRIM('R.M Billets Reports'!F1072),IF(ISNUMBER(SEARCH("Party Name-",'R.M Billets Reports'!D1072)),TRIM(MID('R.M Billets Reports'!D1072,SEARCH("-",'R.M Billets Reports'!D1072)+1,200)),"")),IF(ISNUMBER(SEARCH("Party Name:-",'R.M Billets Reports'!D1073)),TRIM('R.M Billets Reports'!F1073),IF(ISNUMBER(SEARCH("Party Name-",'R.M Billets Reports'!D1073)),TRIM(MID('R.M Billets Reports'!D1073,SEARCH("-",'R.M Billets Reports'!D1073)+1,200)),"")))="SHREE RADHE SHAKTI SPONGE AND POWER PVT. LTD.","SHREE RADHE",IF(IF(ISNUMBER(SEARCH("Party Name:-",'R.M Billets Reports'!D1072)),TRIM('R.M Billets Reports'!F1072),IF(ISNUMBER(SEARCH("Party Name-",'R.M Billets Reports'!D1072)),TRIM(MID('R.M Billets Reports'!D1072,SEARCH("-",'R.M Billets Reports'!D1072)+1,200)),""))&lt;&gt;"",IF(ISNUMBER(SEARCH("Party Name:-",'R.M Billets Reports'!D1072)),TRIM('R.M Billets Reports'!F1072),IF(ISNUMBER(SEARCH("Party Name-",'R.M Billets Reports'!D1072)),TRIM(MID('R.M Billets Reports'!D1072,SEARCH("-",'R.M Billets Reports'!D1072)+1,200)),"")),IF(ISNUMBER(SEARCH("Party Name:-",'R.M Billets Reports'!D1073)),TRIM('R.M Billets Reports'!F1073),IF(ISNUMBER(SEARCH("Party Name-",'R.M Billets Reports'!D1073)),TRIM(MID('R.M Billets Reports'!D1073,SEARCH("-",'R.M Billets Reports'!D1073)+1,200)),"")))))),IF(ROW()=2,"",A1072))</f>
      </c>
      <c r="B1073">
        <f>IF(OR('R.M Billets Reports'!A1072="Date-",'R.M Billets Reports'!A1072="Date:-"),'R.M Billets Reports'!B1072,IF(ROW()=2,"",B1072))</f>
      </c>
      <c r="C1073">
        <f>IF('R.M Billets Reports'!A1072="V.No.",'R.M Billets Reports'!B1072,IF(ROW()=2,"",C1072))</f>
      </c>
      <c r="D1073">
        <f>IF('R.M Billets Reports'!A1072&lt;&gt;"",'R.M Billets Reports'!A1072,IF(ROW()=2,"",D1072))</f>
      </c>
      <c r="E1073">
        <f>IF('R.M Billets Reports'!B1072="","",TRIM('R.M Billets Reports'!B1072))</f>
      </c>
      <c r="F1073">
        <f>'R.M Billets Reports'!C1072</f>
      </c>
      <c r="G1073">
        <f>'R.M Billets Reports'!D1072</f>
      </c>
      <c r="H1073">
        <f>'R.M Billets Reports'!E1072</f>
      </c>
      <c r="I1073">
        <f>'R.M Billets Reports'!F1072</f>
      </c>
      <c r="J1073">
        <f>'R.M Billets Reports'!G1072</f>
      </c>
      <c r="K1073">
        <f>'R.M Billets Reports'!H1072</f>
      </c>
      <c r="L1073">
        <f>IF('R.M Billets Reports'!I1072="","",'R.M Billets Reports'!I1072)</f>
      </c>
      <c r="M1073">
        <f t="shared" si="32"/>
      </c>
      <c r="N1073">
        <f>IF('R.M Billets Reports'!J1072="","",'R.M Billets Reports'!J1072)</f>
      </c>
      <c r="O1073">
        <f t="shared" si="33"/>
      </c>
      <c r="P1073">
        <f>IF('R.M Billets Reports'!A1072="SIZE",'R.M Billets Reports'!B1072,P1072)</f>
      </c>
    </row>
    <row r="1074" spans="1:16" x14ac:dyDescent="0.25">
      <c r="A1074">
        <f>IF(OR('R.M Billets Reports'!A1073="Date-",'R.M Billets Reports'!A1073="Date:-"),IF(IF(IF(ISNUMBER(SEARCH("Party Name:-",'R.M Billets Reports'!D1073)),TRIM('R.M Billets Reports'!F1073),IF(ISNUMBER(SEARCH("Party Name-",'R.M Billets Reports'!D1073)),TRIM(MID('R.M Billets Reports'!D1073,SEARCH("-",'R.M Billets Reports'!D1073)+1,200)),""))&lt;&gt;"",IF(ISNUMBER(SEARCH("Party Name:-",'R.M Billets Reports'!D1073)),TRIM('R.M Billets Reports'!F1073),IF(ISNUMBER(SEARCH("Party Name-",'R.M Billets Reports'!D1073)),TRIM(MID('R.M Billets Reports'!D1073,SEARCH("-",'R.M Billets Reports'!D1073)+1,200)),"")),IF(ISNUMBER(SEARCH("Party Name:-",'R.M Billets Reports'!D1074)),TRIM('R.M Billets Reports'!F1074),IF(ISNUMBER(SEARCH("Party Name-",'R.M Billets Reports'!D1074)),TRIM(MID('R.M Billets Reports'!D1074,SEARCH("-",'R.M Billets Reports'!D1074)+1,200)),"")))="VRKP ISPAT PVT LTD","VRKP",IF(IF(IF(ISNUMBER(SEARCH("Party Name:-",'R.M Billets Reports'!D1073)),TRIM('R.M Billets Reports'!F1073),IF(ISNUMBER(SEARCH("Party Name-",'R.M Billets Reports'!D1073)),TRIM(MID('R.M Billets Reports'!D1073,SEARCH("-",'R.M Billets Reports'!D1073)+1,200)),""))&lt;&gt;"",IF(ISNUMBER(SEARCH("Party Name:-",'R.M Billets Reports'!D1073)),TRIM('R.M Billets Reports'!F1073),IF(ISNUMBER(SEARCH("Party Name-",'R.M Billets Reports'!D1073)),TRIM(MID('R.M Billets Reports'!D1073,SEARCH("-",'R.M Billets Reports'!D1073)+1,200)),"")),IF(ISNUMBER(SEARCH("Party Name:-",'R.M Billets Reports'!D1074)),TRIM('R.M Billets Reports'!F1074),IF(ISNUMBER(SEARCH("Party Name-",'R.M Billets Reports'!D1074)),TRIM(MID('R.M Billets Reports'!D1074,SEARCH("-",'R.M Billets Reports'!D1074)+1,200)),"")))="SHRI RADHE","SHREE RADHE",IF(IF(IF(ISNUMBER(SEARCH("Party Name:-",'R.M Billets Reports'!D1073)),TRIM('R.M Billets Reports'!F1073),IF(ISNUMBER(SEARCH("Party Name-",'R.M Billets Reports'!D1073)),TRIM(MID('R.M Billets Reports'!D1073,SEARCH("-",'R.M Billets Reports'!D1073)+1,200)),""))&lt;&gt;"",IF(ISNUMBER(SEARCH("Party Name:-",'R.M Billets Reports'!D1073)),TRIM('R.M Billets Reports'!F1073),IF(ISNUMBER(SEARCH("Party Name-",'R.M Billets Reports'!D1073)),TRIM(MID('R.M Billets Reports'!D1073,SEARCH("-",'R.M Billets Reports'!D1073)+1,200)),"")),IF(ISNUMBER(SEARCH("Party Name:-",'R.M Billets Reports'!D1074)),TRIM('R.M Billets Reports'!F1074),IF(ISNUMBER(SEARCH("Party Name-",'R.M Billets Reports'!D1074)),TRIM(MID('R.M Billets Reports'!D1074,SEARCH("-",'R.M Billets Reports'!D1074)+1,200)),"")))="SHREE RADHE SHAKTI SPONGE AND POWER PVT. LTD.","SHREE RADHE",IF(IF(ISNUMBER(SEARCH("Party Name:-",'R.M Billets Reports'!D1073)),TRIM('R.M Billets Reports'!F1073),IF(ISNUMBER(SEARCH("Party Name-",'R.M Billets Reports'!D1073)),TRIM(MID('R.M Billets Reports'!D1073,SEARCH("-",'R.M Billets Reports'!D1073)+1,200)),""))&lt;&gt;"",IF(ISNUMBER(SEARCH("Party Name:-",'R.M Billets Reports'!D1073)),TRIM('R.M Billets Reports'!F1073),IF(ISNUMBER(SEARCH("Party Name-",'R.M Billets Reports'!D1073)),TRIM(MID('R.M Billets Reports'!D1073,SEARCH("-",'R.M Billets Reports'!D1073)+1,200)),"")),IF(ISNUMBER(SEARCH("Party Name:-",'R.M Billets Reports'!D1074)),TRIM('R.M Billets Reports'!F1074),IF(ISNUMBER(SEARCH("Party Name-",'R.M Billets Reports'!D1074)),TRIM(MID('R.M Billets Reports'!D1074,SEARCH("-",'R.M Billets Reports'!D1074)+1,200)),"")))))),IF(ROW()=2,"",A1073))</f>
      </c>
      <c r="B1074">
        <f>IF(OR('R.M Billets Reports'!A1073="Date-",'R.M Billets Reports'!A1073="Date:-"),'R.M Billets Reports'!B1073,IF(ROW()=2,"",B1073))</f>
      </c>
      <c r="C1074">
        <f>IF('R.M Billets Reports'!A1073="V.No.",'R.M Billets Reports'!B1073,IF(ROW()=2,"",C1073))</f>
      </c>
      <c r="D1074">
        <f>IF('R.M Billets Reports'!A1073&lt;&gt;"",'R.M Billets Reports'!A1073,IF(ROW()=2,"",D1073))</f>
      </c>
      <c r="E1074">
        <f>IF('R.M Billets Reports'!B1073="","",TRIM('R.M Billets Reports'!B1073))</f>
      </c>
      <c r="F1074">
        <f>'R.M Billets Reports'!C1073</f>
      </c>
      <c r="G1074">
        <f>'R.M Billets Reports'!D1073</f>
      </c>
      <c r="H1074">
        <f>'R.M Billets Reports'!E1073</f>
      </c>
      <c r="I1074">
        <f>'R.M Billets Reports'!F1073</f>
      </c>
      <c r="J1074">
        <f>'R.M Billets Reports'!G1073</f>
      </c>
      <c r="K1074">
        <f>'R.M Billets Reports'!H1073</f>
      </c>
      <c r="L1074">
        <f>IF('R.M Billets Reports'!I1073="","",'R.M Billets Reports'!I1073)</f>
      </c>
      <c r="M1074">
        <f t="shared" si="32"/>
      </c>
      <c r="N1074">
        <f>IF('R.M Billets Reports'!J1073="","",'R.M Billets Reports'!J1073)</f>
      </c>
      <c r="O1074">
        <f t="shared" si="33"/>
      </c>
      <c r="P1074">
        <f>IF('R.M Billets Reports'!A1073="SIZE",'R.M Billets Reports'!B1073,P1073)</f>
      </c>
    </row>
    <row r="1075" spans="1:16" x14ac:dyDescent="0.25">
      <c r="A1075">
        <f>IF(OR('R.M Billets Reports'!A1074="Date-",'R.M Billets Reports'!A1074="Date:-"),IF(IF(IF(ISNUMBER(SEARCH("Party Name:-",'R.M Billets Reports'!D1074)),TRIM('R.M Billets Reports'!F1074),IF(ISNUMBER(SEARCH("Party Name-",'R.M Billets Reports'!D1074)),TRIM(MID('R.M Billets Reports'!D1074,SEARCH("-",'R.M Billets Reports'!D1074)+1,200)),""))&lt;&gt;"",IF(ISNUMBER(SEARCH("Party Name:-",'R.M Billets Reports'!D1074)),TRIM('R.M Billets Reports'!F1074),IF(ISNUMBER(SEARCH("Party Name-",'R.M Billets Reports'!D1074)),TRIM(MID('R.M Billets Reports'!D1074,SEARCH("-",'R.M Billets Reports'!D1074)+1,200)),"")),IF(ISNUMBER(SEARCH("Party Name:-",'R.M Billets Reports'!D1075)),TRIM('R.M Billets Reports'!F1075),IF(ISNUMBER(SEARCH("Party Name-",'R.M Billets Reports'!D1075)),TRIM(MID('R.M Billets Reports'!D1075,SEARCH("-",'R.M Billets Reports'!D1075)+1,200)),"")))="VRKP ISPAT PVT LTD","VRKP",IF(IF(IF(ISNUMBER(SEARCH("Party Name:-",'R.M Billets Reports'!D1074)),TRIM('R.M Billets Reports'!F1074),IF(ISNUMBER(SEARCH("Party Name-",'R.M Billets Reports'!D1074)),TRIM(MID('R.M Billets Reports'!D1074,SEARCH("-",'R.M Billets Reports'!D1074)+1,200)),""))&lt;&gt;"",IF(ISNUMBER(SEARCH("Party Name:-",'R.M Billets Reports'!D1074)),TRIM('R.M Billets Reports'!F1074),IF(ISNUMBER(SEARCH("Party Name-",'R.M Billets Reports'!D1074)),TRIM(MID('R.M Billets Reports'!D1074,SEARCH("-",'R.M Billets Reports'!D1074)+1,200)),"")),IF(ISNUMBER(SEARCH("Party Name:-",'R.M Billets Reports'!D1075)),TRIM('R.M Billets Reports'!F1075),IF(ISNUMBER(SEARCH("Party Name-",'R.M Billets Reports'!D1075)),TRIM(MID('R.M Billets Reports'!D1075,SEARCH("-",'R.M Billets Reports'!D1075)+1,200)),"")))="SHRI RADHE","SHREE RADHE",IF(IF(IF(ISNUMBER(SEARCH("Party Name:-",'R.M Billets Reports'!D1074)),TRIM('R.M Billets Reports'!F1074),IF(ISNUMBER(SEARCH("Party Name-",'R.M Billets Reports'!D1074)),TRIM(MID('R.M Billets Reports'!D1074,SEARCH("-",'R.M Billets Reports'!D1074)+1,200)),""))&lt;&gt;"",IF(ISNUMBER(SEARCH("Party Name:-",'R.M Billets Reports'!D1074)),TRIM('R.M Billets Reports'!F1074),IF(ISNUMBER(SEARCH("Party Name-",'R.M Billets Reports'!D1074)),TRIM(MID('R.M Billets Reports'!D1074,SEARCH("-",'R.M Billets Reports'!D1074)+1,200)),"")),IF(ISNUMBER(SEARCH("Party Name:-",'R.M Billets Reports'!D1075)),TRIM('R.M Billets Reports'!F1075),IF(ISNUMBER(SEARCH("Party Name-",'R.M Billets Reports'!D1075)),TRIM(MID('R.M Billets Reports'!D1075,SEARCH("-",'R.M Billets Reports'!D1075)+1,200)),"")))="SHREE RADHE SHAKTI SPONGE AND POWER PVT. LTD.","SHREE RADHE",IF(IF(ISNUMBER(SEARCH("Party Name:-",'R.M Billets Reports'!D1074)),TRIM('R.M Billets Reports'!F1074),IF(ISNUMBER(SEARCH("Party Name-",'R.M Billets Reports'!D1074)),TRIM(MID('R.M Billets Reports'!D1074,SEARCH("-",'R.M Billets Reports'!D1074)+1,200)),""))&lt;&gt;"",IF(ISNUMBER(SEARCH("Party Name:-",'R.M Billets Reports'!D1074)),TRIM('R.M Billets Reports'!F1074),IF(ISNUMBER(SEARCH("Party Name-",'R.M Billets Reports'!D1074)),TRIM(MID('R.M Billets Reports'!D1074,SEARCH("-",'R.M Billets Reports'!D1074)+1,200)),"")),IF(ISNUMBER(SEARCH("Party Name:-",'R.M Billets Reports'!D1075)),TRIM('R.M Billets Reports'!F1075),IF(ISNUMBER(SEARCH("Party Name-",'R.M Billets Reports'!D1075)),TRIM(MID('R.M Billets Reports'!D1075,SEARCH("-",'R.M Billets Reports'!D1075)+1,200)),"")))))),IF(ROW()=2,"",A1074))</f>
      </c>
      <c r="B1075">
        <f>IF(OR('R.M Billets Reports'!A1074="Date-",'R.M Billets Reports'!A1074="Date:-"),'R.M Billets Reports'!B1074,IF(ROW()=2,"",B1074))</f>
      </c>
      <c r="C1075">
        <f>IF('R.M Billets Reports'!A1074="V.No.",'R.M Billets Reports'!B1074,IF(ROW()=2,"",C1074))</f>
      </c>
      <c r="D1075">
        <f>IF('R.M Billets Reports'!A1074&lt;&gt;"",'R.M Billets Reports'!A1074,IF(ROW()=2,"",D1074))</f>
      </c>
      <c r="E1075">
        <f>IF('R.M Billets Reports'!B1074="","",TRIM('R.M Billets Reports'!B1074))</f>
      </c>
      <c r="F1075">
        <f>'R.M Billets Reports'!C1074</f>
      </c>
      <c r="G1075">
        <f>'R.M Billets Reports'!D1074</f>
      </c>
      <c r="H1075">
        <f>'R.M Billets Reports'!E1074</f>
      </c>
      <c r="I1075">
        <f>'R.M Billets Reports'!F1074</f>
      </c>
      <c r="J1075">
        <f>'R.M Billets Reports'!G1074</f>
      </c>
      <c r="K1075">
        <f>'R.M Billets Reports'!H1074</f>
      </c>
      <c r="L1075">
        <f>IF('R.M Billets Reports'!I1074="","",'R.M Billets Reports'!I1074)</f>
      </c>
      <c r="M1075">
        <f t="shared" si="32"/>
      </c>
      <c r="N1075">
        <f>IF('R.M Billets Reports'!J1074="","",'R.M Billets Reports'!J1074)</f>
      </c>
      <c r="O1075">
        <f t="shared" si="33"/>
      </c>
      <c r="P1075">
        <f>IF('R.M Billets Reports'!A1074="SIZE",'R.M Billets Reports'!B1074,P1074)</f>
      </c>
    </row>
    <row r="1076" spans="1:16" x14ac:dyDescent="0.25">
      <c r="A1076">
        <f>IF(OR('R.M Billets Reports'!A1075="Date-",'R.M Billets Reports'!A1075="Date:-"),IF(IF(IF(ISNUMBER(SEARCH("Party Name:-",'R.M Billets Reports'!D1075)),TRIM('R.M Billets Reports'!F1075),IF(ISNUMBER(SEARCH("Party Name-",'R.M Billets Reports'!D1075)),TRIM(MID('R.M Billets Reports'!D1075,SEARCH("-",'R.M Billets Reports'!D1075)+1,200)),""))&lt;&gt;"",IF(ISNUMBER(SEARCH("Party Name:-",'R.M Billets Reports'!D1075)),TRIM('R.M Billets Reports'!F1075),IF(ISNUMBER(SEARCH("Party Name-",'R.M Billets Reports'!D1075)),TRIM(MID('R.M Billets Reports'!D1075,SEARCH("-",'R.M Billets Reports'!D1075)+1,200)),"")),IF(ISNUMBER(SEARCH("Party Name:-",'R.M Billets Reports'!D1076)),TRIM('R.M Billets Reports'!F1076),IF(ISNUMBER(SEARCH("Party Name-",'R.M Billets Reports'!D1076)),TRIM(MID('R.M Billets Reports'!D1076,SEARCH("-",'R.M Billets Reports'!D1076)+1,200)),"")))="VRKP ISPAT PVT LTD","VRKP",IF(IF(IF(ISNUMBER(SEARCH("Party Name:-",'R.M Billets Reports'!D1075)),TRIM('R.M Billets Reports'!F1075),IF(ISNUMBER(SEARCH("Party Name-",'R.M Billets Reports'!D1075)),TRIM(MID('R.M Billets Reports'!D1075,SEARCH("-",'R.M Billets Reports'!D1075)+1,200)),""))&lt;&gt;"",IF(ISNUMBER(SEARCH("Party Name:-",'R.M Billets Reports'!D1075)),TRIM('R.M Billets Reports'!F1075),IF(ISNUMBER(SEARCH("Party Name-",'R.M Billets Reports'!D1075)),TRIM(MID('R.M Billets Reports'!D1075,SEARCH("-",'R.M Billets Reports'!D1075)+1,200)),"")),IF(ISNUMBER(SEARCH("Party Name:-",'R.M Billets Reports'!D1076)),TRIM('R.M Billets Reports'!F1076),IF(ISNUMBER(SEARCH("Party Name-",'R.M Billets Reports'!D1076)),TRIM(MID('R.M Billets Reports'!D1076,SEARCH("-",'R.M Billets Reports'!D1076)+1,200)),"")))="SHRI RADHE","SHREE RADHE",IF(IF(IF(ISNUMBER(SEARCH("Party Name:-",'R.M Billets Reports'!D1075)),TRIM('R.M Billets Reports'!F1075),IF(ISNUMBER(SEARCH("Party Name-",'R.M Billets Reports'!D1075)),TRIM(MID('R.M Billets Reports'!D1075,SEARCH("-",'R.M Billets Reports'!D1075)+1,200)),""))&lt;&gt;"",IF(ISNUMBER(SEARCH("Party Name:-",'R.M Billets Reports'!D1075)),TRIM('R.M Billets Reports'!F1075),IF(ISNUMBER(SEARCH("Party Name-",'R.M Billets Reports'!D1075)),TRIM(MID('R.M Billets Reports'!D1075,SEARCH("-",'R.M Billets Reports'!D1075)+1,200)),"")),IF(ISNUMBER(SEARCH("Party Name:-",'R.M Billets Reports'!D1076)),TRIM('R.M Billets Reports'!F1076),IF(ISNUMBER(SEARCH("Party Name-",'R.M Billets Reports'!D1076)),TRIM(MID('R.M Billets Reports'!D1076,SEARCH("-",'R.M Billets Reports'!D1076)+1,200)),"")))="SHREE RADHE SHAKTI SPONGE AND POWER PVT. LTD.","SHREE RADHE",IF(IF(ISNUMBER(SEARCH("Party Name:-",'R.M Billets Reports'!D1075)),TRIM('R.M Billets Reports'!F1075),IF(ISNUMBER(SEARCH("Party Name-",'R.M Billets Reports'!D1075)),TRIM(MID('R.M Billets Reports'!D1075,SEARCH("-",'R.M Billets Reports'!D1075)+1,200)),""))&lt;&gt;"",IF(ISNUMBER(SEARCH("Party Name:-",'R.M Billets Reports'!D1075)),TRIM('R.M Billets Reports'!F1075),IF(ISNUMBER(SEARCH("Party Name-",'R.M Billets Reports'!D1075)),TRIM(MID('R.M Billets Reports'!D1075,SEARCH("-",'R.M Billets Reports'!D1075)+1,200)),"")),IF(ISNUMBER(SEARCH("Party Name:-",'R.M Billets Reports'!D1076)),TRIM('R.M Billets Reports'!F1076),IF(ISNUMBER(SEARCH("Party Name-",'R.M Billets Reports'!D1076)),TRIM(MID('R.M Billets Reports'!D1076,SEARCH("-",'R.M Billets Reports'!D1076)+1,200)),"")))))),IF(ROW()=2,"",A1075))</f>
      </c>
      <c r="B1076">
        <f>IF(OR('R.M Billets Reports'!A1075="Date-",'R.M Billets Reports'!A1075="Date:-"),'R.M Billets Reports'!B1075,IF(ROW()=2,"",B1075))</f>
      </c>
      <c r="C1076">
        <f>IF('R.M Billets Reports'!A1075="V.No.",'R.M Billets Reports'!B1075,IF(ROW()=2,"",C1075))</f>
      </c>
      <c r="D1076">
        <f>IF('R.M Billets Reports'!A1075&lt;&gt;"",'R.M Billets Reports'!A1075,IF(ROW()=2,"",D1075))</f>
      </c>
      <c r="E1076">
        <f>IF('R.M Billets Reports'!B1075="","",TRIM('R.M Billets Reports'!B1075))</f>
      </c>
      <c r="F1076">
        <f>'R.M Billets Reports'!C1075</f>
      </c>
      <c r="G1076">
        <f>'R.M Billets Reports'!D1075</f>
      </c>
      <c r="H1076">
        <f>'R.M Billets Reports'!E1075</f>
      </c>
      <c r="I1076">
        <f>'R.M Billets Reports'!F1075</f>
      </c>
      <c r="J1076">
        <f>'R.M Billets Reports'!G1075</f>
      </c>
      <c r="K1076">
        <f>'R.M Billets Reports'!H1075</f>
      </c>
      <c r="L1076">
        <f>IF('R.M Billets Reports'!I1075="","",'R.M Billets Reports'!I1075)</f>
      </c>
      <c r="M1076">
        <f t="shared" si="32"/>
      </c>
      <c r="N1076">
        <f>IF('R.M Billets Reports'!J1075="","",'R.M Billets Reports'!J1075)</f>
      </c>
      <c r="O1076">
        <f t="shared" si="33"/>
      </c>
      <c r="P1076">
        <f>IF('R.M Billets Reports'!A1075="SIZE",'R.M Billets Reports'!B1075,P1075)</f>
      </c>
    </row>
    <row r="1077" spans="1:16" x14ac:dyDescent="0.25">
      <c r="A1077">
        <f>IF(OR('R.M Billets Reports'!A1076="Date-",'R.M Billets Reports'!A1076="Date:-"),IF(IF(IF(ISNUMBER(SEARCH("Party Name:-",'R.M Billets Reports'!D1076)),TRIM('R.M Billets Reports'!F1076),IF(ISNUMBER(SEARCH("Party Name-",'R.M Billets Reports'!D1076)),TRIM(MID('R.M Billets Reports'!D1076,SEARCH("-",'R.M Billets Reports'!D1076)+1,200)),""))&lt;&gt;"",IF(ISNUMBER(SEARCH("Party Name:-",'R.M Billets Reports'!D1076)),TRIM('R.M Billets Reports'!F1076),IF(ISNUMBER(SEARCH("Party Name-",'R.M Billets Reports'!D1076)),TRIM(MID('R.M Billets Reports'!D1076,SEARCH("-",'R.M Billets Reports'!D1076)+1,200)),"")),IF(ISNUMBER(SEARCH("Party Name:-",'R.M Billets Reports'!D1077)),TRIM('R.M Billets Reports'!F1077),IF(ISNUMBER(SEARCH("Party Name-",'R.M Billets Reports'!D1077)),TRIM(MID('R.M Billets Reports'!D1077,SEARCH("-",'R.M Billets Reports'!D1077)+1,200)),"")))="VRKP ISPAT PVT LTD","VRKP",IF(IF(IF(ISNUMBER(SEARCH("Party Name:-",'R.M Billets Reports'!D1076)),TRIM('R.M Billets Reports'!F1076),IF(ISNUMBER(SEARCH("Party Name-",'R.M Billets Reports'!D1076)),TRIM(MID('R.M Billets Reports'!D1076,SEARCH("-",'R.M Billets Reports'!D1076)+1,200)),""))&lt;&gt;"",IF(ISNUMBER(SEARCH("Party Name:-",'R.M Billets Reports'!D1076)),TRIM('R.M Billets Reports'!F1076),IF(ISNUMBER(SEARCH("Party Name-",'R.M Billets Reports'!D1076)),TRIM(MID('R.M Billets Reports'!D1076,SEARCH("-",'R.M Billets Reports'!D1076)+1,200)),"")),IF(ISNUMBER(SEARCH("Party Name:-",'R.M Billets Reports'!D1077)),TRIM('R.M Billets Reports'!F1077),IF(ISNUMBER(SEARCH("Party Name-",'R.M Billets Reports'!D1077)),TRIM(MID('R.M Billets Reports'!D1077,SEARCH("-",'R.M Billets Reports'!D1077)+1,200)),"")))="SHRI RADHE","SHREE RADHE",IF(IF(IF(ISNUMBER(SEARCH("Party Name:-",'R.M Billets Reports'!D1076)),TRIM('R.M Billets Reports'!F1076),IF(ISNUMBER(SEARCH("Party Name-",'R.M Billets Reports'!D1076)),TRIM(MID('R.M Billets Reports'!D1076,SEARCH("-",'R.M Billets Reports'!D1076)+1,200)),""))&lt;&gt;"",IF(ISNUMBER(SEARCH("Party Name:-",'R.M Billets Reports'!D1076)),TRIM('R.M Billets Reports'!F1076),IF(ISNUMBER(SEARCH("Party Name-",'R.M Billets Reports'!D1076)),TRIM(MID('R.M Billets Reports'!D1076,SEARCH("-",'R.M Billets Reports'!D1076)+1,200)),"")),IF(ISNUMBER(SEARCH("Party Name:-",'R.M Billets Reports'!D1077)),TRIM('R.M Billets Reports'!F1077),IF(ISNUMBER(SEARCH("Party Name-",'R.M Billets Reports'!D1077)),TRIM(MID('R.M Billets Reports'!D1077,SEARCH("-",'R.M Billets Reports'!D1077)+1,200)),"")))="SHREE RADHE SHAKTI SPONGE AND POWER PVT. LTD.","SHREE RADHE",IF(IF(ISNUMBER(SEARCH("Party Name:-",'R.M Billets Reports'!D1076)),TRIM('R.M Billets Reports'!F1076),IF(ISNUMBER(SEARCH("Party Name-",'R.M Billets Reports'!D1076)),TRIM(MID('R.M Billets Reports'!D1076,SEARCH("-",'R.M Billets Reports'!D1076)+1,200)),""))&lt;&gt;"",IF(ISNUMBER(SEARCH("Party Name:-",'R.M Billets Reports'!D1076)),TRIM('R.M Billets Reports'!F1076),IF(ISNUMBER(SEARCH("Party Name-",'R.M Billets Reports'!D1076)),TRIM(MID('R.M Billets Reports'!D1076,SEARCH("-",'R.M Billets Reports'!D1076)+1,200)),"")),IF(ISNUMBER(SEARCH("Party Name:-",'R.M Billets Reports'!D1077)),TRIM('R.M Billets Reports'!F1077),IF(ISNUMBER(SEARCH("Party Name-",'R.M Billets Reports'!D1077)),TRIM(MID('R.M Billets Reports'!D1077,SEARCH("-",'R.M Billets Reports'!D1077)+1,200)),"")))))),IF(ROW()=2,"",A1076))</f>
      </c>
      <c r="B1077">
        <f>IF(OR('R.M Billets Reports'!A1076="Date-",'R.M Billets Reports'!A1076="Date:-"),'R.M Billets Reports'!B1076,IF(ROW()=2,"",B1076))</f>
      </c>
      <c r="C1077">
        <f>IF('R.M Billets Reports'!A1076="V.No.",'R.M Billets Reports'!B1076,IF(ROW()=2,"",C1076))</f>
      </c>
      <c r="D1077">
        <f>IF('R.M Billets Reports'!A1076&lt;&gt;"",'R.M Billets Reports'!A1076,IF(ROW()=2,"",D1076))</f>
      </c>
      <c r="E1077">
        <f>IF('R.M Billets Reports'!B1076="","",TRIM('R.M Billets Reports'!B1076))</f>
      </c>
      <c r="F1077">
        <f>'R.M Billets Reports'!C1076</f>
      </c>
      <c r="G1077">
        <f>'R.M Billets Reports'!D1076</f>
      </c>
      <c r="H1077">
        <f>'R.M Billets Reports'!E1076</f>
      </c>
      <c r="I1077">
        <f>'R.M Billets Reports'!F1076</f>
      </c>
      <c r="J1077">
        <f>'R.M Billets Reports'!G1076</f>
      </c>
      <c r="K1077">
        <f>'R.M Billets Reports'!H1076</f>
      </c>
      <c r="L1077">
        <f>IF('R.M Billets Reports'!I1076="","",'R.M Billets Reports'!I1076)</f>
      </c>
      <c r="M1077">
        <f t="shared" si="32"/>
      </c>
      <c r="N1077">
        <f>IF('R.M Billets Reports'!J1076="","",'R.M Billets Reports'!J1076)</f>
      </c>
      <c r="O1077">
        <f t="shared" si="33"/>
      </c>
      <c r="P1077">
        <f>IF('R.M Billets Reports'!A1076="SIZE",'R.M Billets Reports'!B1076,P1076)</f>
      </c>
    </row>
    <row r="1078" spans="1:16" x14ac:dyDescent="0.25">
      <c r="A1078">
        <f>IF(OR('R.M Billets Reports'!A1077="Date-",'R.M Billets Reports'!A1077="Date:-"),IF(IF(IF(ISNUMBER(SEARCH("Party Name:-",'R.M Billets Reports'!D1077)),TRIM('R.M Billets Reports'!F1077),IF(ISNUMBER(SEARCH("Party Name-",'R.M Billets Reports'!D1077)),TRIM(MID('R.M Billets Reports'!D1077,SEARCH("-",'R.M Billets Reports'!D1077)+1,200)),""))&lt;&gt;"",IF(ISNUMBER(SEARCH("Party Name:-",'R.M Billets Reports'!D1077)),TRIM('R.M Billets Reports'!F1077),IF(ISNUMBER(SEARCH("Party Name-",'R.M Billets Reports'!D1077)),TRIM(MID('R.M Billets Reports'!D1077,SEARCH("-",'R.M Billets Reports'!D1077)+1,200)),"")),IF(ISNUMBER(SEARCH("Party Name:-",'R.M Billets Reports'!D1078)),TRIM('R.M Billets Reports'!F1078),IF(ISNUMBER(SEARCH("Party Name-",'R.M Billets Reports'!D1078)),TRIM(MID('R.M Billets Reports'!D1078,SEARCH("-",'R.M Billets Reports'!D1078)+1,200)),"")))="VRKP ISPAT PVT LTD","VRKP",IF(IF(IF(ISNUMBER(SEARCH("Party Name:-",'R.M Billets Reports'!D1077)),TRIM('R.M Billets Reports'!F1077),IF(ISNUMBER(SEARCH("Party Name-",'R.M Billets Reports'!D1077)),TRIM(MID('R.M Billets Reports'!D1077,SEARCH("-",'R.M Billets Reports'!D1077)+1,200)),""))&lt;&gt;"",IF(ISNUMBER(SEARCH("Party Name:-",'R.M Billets Reports'!D1077)),TRIM('R.M Billets Reports'!F1077),IF(ISNUMBER(SEARCH("Party Name-",'R.M Billets Reports'!D1077)),TRIM(MID('R.M Billets Reports'!D1077,SEARCH("-",'R.M Billets Reports'!D1077)+1,200)),"")),IF(ISNUMBER(SEARCH("Party Name:-",'R.M Billets Reports'!D1078)),TRIM('R.M Billets Reports'!F1078),IF(ISNUMBER(SEARCH("Party Name-",'R.M Billets Reports'!D1078)),TRIM(MID('R.M Billets Reports'!D1078,SEARCH("-",'R.M Billets Reports'!D1078)+1,200)),"")))="SHRI RADHE","SHREE RADHE",IF(IF(IF(ISNUMBER(SEARCH("Party Name:-",'R.M Billets Reports'!D1077)),TRIM('R.M Billets Reports'!F1077),IF(ISNUMBER(SEARCH("Party Name-",'R.M Billets Reports'!D1077)),TRIM(MID('R.M Billets Reports'!D1077,SEARCH("-",'R.M Billets Reports'!D1077)+1,200)),""))&lt;&gt;"",IF(ISNUMBER(SEARCH("Party Name:-",'R.M Billets Reports'!D1077)),TRIM('R.M Billets Reports'!F1077),IF(ISNUMBER(SEARCH("Party Name-",'R.M Billets Reports'!D1077)),TRIM(MID('R.M Billets Reports'!D1077,SEARCH("-",'R.M Billets Reports'!D1077)+1,200)),"")),IF(ISNUMBER(SEARCH("Party Name:-",'R.M Billets Reports'!D1078)),TRIM('R.M Billets Reports'!F1078),IF(ISNUMBER(SEARCH("Party Name-",'R.M Billets Reports'!D1078)),TRIM(MID('R.M Billets Reports'!D1078,SEARCH("-",'R.M Billets Reports'!D1078)+1,200)),"")))="SHREE RADHE SHAKTI SPONGE AND POWER PVT. LTD.","SHREE RADHE",IF(IF(ISNUMBER(SEARCH("Party Name:-",'R.M Billets Reports'!D1077)),TRIM('R.M Billets Reports'!F1077),IF(ISNUMBER(SEARCH("Party Name-",'R.M Billets Reports'!D1077)),TRIM(MID('R.M Billets Reports'!D1077,SEARCH("-",'R.M Billets Reports'!D1077)+1,200)),""))&lt;&gt;"",IF(ISNUMBER(SEARCH("Party Name:-",'R.M Billets Reports'!D1077)),TRIM('R.M Billets Reports'!F1077),IF(ISNUMBER(SEARCH("Party Name-",'R.M Billets Reports'!D1077)),TRIM(MID('R.M Billets Reports'!D1077,SEARCH("-",'R.M Billets Reports'!D1077)+1,200)),"")),IF(ISNUMBER(SEARCH("Party Name:-",'R.M Billets Reports'!D1078)),TRIM('R.M Billets Reports'!F1078),IF(ISNUMBER(SEARCH("Party Name-",'R.M Billets Reports'!D1078)),TRIM(MID('R.M Billets Reports'!D1078,SEARCH("-",'R.M Billets Reports'!D1078)+1,200)),"")))))),IF(ROW()=2,"",A1077))</f>
      </c>
      <c r="B1078">
        <f>IF(OR('R.M Billets Reports'!A1077="Date-",'R.M Billets Reports'!A1077="Date:-"),'R.M Billets Reports'!B1077,IF(ROW()=2,"",B1077))</f>
      </c>
      <c r="C1078">
        <f>IF('R.M Billets Reports'!A1077="V.No.",'R.M Billets Reports'!B1077,IF(ROW()=2,"",C1077))</f>
      </c>
      <c r="D1078">
        <f>IF('R.M Billets Reports'!A1077&lt;&gt;"",'R.M Billets Reports'!A1077,IF(ROW()=2,"",D1077))</f>
      </c>
      <c r="E1078">
        <f>IF('R.M Billets Reports'!B1077="","",TRIM('R.M Billets Reports'!B1077))</f>
      </c>
      <c r="F1078">
        <f>'R.M Billets Reports'!C1077</f>
      </c>
      <c r="G1078">
        <f>'R.M Billets Reports'!D1077</f>
      </c>
      <c r="H1078">
        <f>'R.M Billets Reports'!E1077</f>
      </c>
      <c r="I1078">
        <f>'R.M Billets Reports'!F1077</f>
      </c>
      <c r="J1078">
        <f>'R.M Billets Reports'!G1077</f>
      </c>
      <c r="K1078">
        <f>'R.M Billets Reports'!H1077</f>
      </c>
      <c r="L1078">
        <f>IF('R.M Billets Reports'!I1077="","",'R.M Billets Reports'!I1077)</f>
      </c>
      <c r="M1078">
        <f t="shared" si="32"/>
      </c>
      <c r="N1078">
        <f>IF('R.M Billets Reports'!J1077="","",'R.M Billets Reports'!J1077)</f>
      </c>
      <c r="O1078">
        <f t="shared" si="33"/>
      </c>
      <c r="P1078">
        <f>IF('R.M Billets Reports'!A1077="SIZE",'R.M Billets Reports'!B1077,P1077)</f>
      </c>
    </row>
    <row r="1079" spans="1:16" x14ac:dyDescent="0.25">
      <c r="A1079">
        <f>IF(OR('R.M Billets Reports'!A1078="Date-",'R.M Billets Reports'!A1078="Date:-"),IF(IF(IF(ISNUMBER(SEARCH("Party Name:-",'R.M Billets Reports'!D1078)),TRIM('R.M Billets Reports'!F1078),IF(ISNUMBER(SEARCH("Party Name-",'R.M Billets Reports'!D1078)),TRIM(MID('R.M Billets Reports'!D1078,SEARCH("-",'R.M Billets Reports'!D1078)+1,200)),""))&lt;&gt;"",IF(ISNUMBER(SEARCH("Party Name:-",'R.M Billets Reports'!D1078)),TRIM('R.M Billets Reports'!F1078),IF(ISNUMBER(SEARCH("Party Name-",'R.M Billets Reports'!D1078)),TRIM(MID('R.M Billets Reports'!D1078,SEARCH("-",'R.M Billets Reports'!D1078)+1,200)),"")),IF(ISNUMBER(SEARCH("Party Name:-",'R.M Billets Reports'!D1079)),TRIM('R.M Billets Reports'!F1079),IF(ISNUMBER(SEARCH("Party Name-",'R.M Billets Reports'!D1079)),TRIM(MID('R.M Billets Reports'!D1079,SEARCH("-",'R.M Billets Reports'!D1079)+1,200)),"")))="VRKP ISPAT PVT LTD","VRKP",IF(IF(IF(ISNUMBER(SEARCH("Party Name:-",'R.M Billets Reports'!D1078)),TRIM('R.M Billets Reports'!F1078),IF(ISNUMBER(SEARCH("Party Name-",'R.M Billets Reports'!D1078)),TRIM(MID('R.M Billets Reports'!D1078,SEARCH("-",'R.M Billets Reports'!D1078)+1,200)),""))&lt;&gt;"",IF(ISNUMBER(SEARCH("Party Name:-",'R.M Billets Reports'!D1078)),TRIM('R.M Billets Reports'!F1078),IF(ISNUMBER(SEARCH("Party Name-",'R.M Billets Reports'!D1078)),TRIM(MID('R.M Billets Reports'!D1078,SEARCH("-",'R.M Billets Reports'!D1078)+1,200)),"")),IF(ISNUMBER(SEARCH("Party Name:-",'R.M Billets Reports'!D1079)),TRIM('R.M Billets Reports'!F1079),IF(ISNUMBER(SEARCH("Party Name-",'R.M Billets Reports'!D1079)),TRIM(MID('R.M Billets Reports'!D1079,SEARCH("-",'R.M Billets Reports'!D1079)+1,200)),"")))="SHRI RADHE","SHREE RADHE",IF(IF(IF(ISNUMBER(SEARCH("Party Name:-",'R.M Billets Reports'!D1078)),TRIM('R.M Billets Reports'!F1078),IF(ISNUMBER(SEARCH("Party Name-",'R.M Billets Reports'!D1078)),TRIM(MID('R.M Billets Reports'!D1078,SEARCH("-",'R.M Billets Reports'!D1078)+1,200)),""))&lt;&gt;"",IF(ISNUMBER(SEARCH("Party Name:-",'R.M Billets Reports'!D1078)),TRIM('R.M Billets Reports'!F1078),IF(ISNUMBER(SEARCH("Party Name-",'R.M Billets Reports'!D1078)),TRIM(MID('R.M Billets Reports'!D1078,SEARCH("-",'R.M Billets Reports'!D1078)+1,200)),"")),IF(ISNUMBER(SEARCH("Party Name:-",'R.M Billets Reports'!D1079)),TRIM('R.M Billets Reports'!F1079),IF(ISNUMBER(SEARCH("Party Name-",'R.M Billets Reports'!D1079)),TRIM(MID('R.M Billets Reports'!D1079,SEARCH("-",'R.M Billets Reports'!D1079)+1,200)),"")))="SHREE RADHE SHAKTI SPONGE AND POWER PVT. LTD.","SHREE RADHE",IF(IF(ISNUMBER(SEARCH("Party Name:-",'R.M Billets Reports'!D1078)),TRIM('R.M Billets Reports'!F1078),IF(ISNUMBER(SEARCH("Party Name-",'R.M Billets Reports'!D1078)),TRIM(MID('R.M Billets Reports'!D1078,SEARCH("-",'R.M Billets Reports'!D1078)+1,200)),""))&lt;&gt;"",IF(ISNUMBER(SEARCH("Party Name:-",'R.M Billets Reports'!D1078)),TRIM('R.M Billets Reports'!F1078),IF(ISNUMBER(SEARCH("Party Name-",'R.M Billets Reports'!D1078)),TRIM(MID('R.M Billets Reports'!D1078,SEARCH("-",'R.M Billets Reports'!D1078)+1,200)),"")),IF(ISNUMBER(SEARCH("Party Name:-",'R.M Billets Reports'!D1079)),TRIM('R.M Billets Reports'!F1079),IF(ISNUMBER(SEARCH("Party Name-",'R.M Billets Reports'!D1079)),TRIM(MID('R.M Billets Reports'!D1079,SEARCH("-",'R.M Billets Reports'!D1079)+1,200)),"")))))),IF(ROW()=2,"",A1078))</f>
      </c>
      <c r="B1079">
        <f>IF(OR('R.M Billets Reports'!A1078="Date-",'R.M Billets Reports'!A1078="Date:-"),'R.M Billets Reports'!B1078,IF(ROW()=2,"",B1078))</f>
      </c>
      <c r="C1079">
        <f>IF('R.M Billets Reports'!A1078="V.No.",'R.M Billets Reports'!B1078,IF(ROW()=2,"",C1078))</f>
      </c>
      <c r="D1079">
        <f>IF('R.M Billets Reports'!A1078&lt;&gt;"",'R.M Billets Reports'!A1078,IF(ROW()=2,"",D1078))</f>
      </c>
      <c r="E1079">
        <f>IF('R.M Billets Reports'!B1078="","",TRIM('R.M Billets Reports'!B1078))</f>
      </c>
      <c r="F1079">
        <f>'R.M Billets Reports'!C1078</f>
      </c>
      <c r="G1079">
        <f>'R.M Billets Reports'!D1078</f>
      </c>
      <c r="H1079">
        <f>'R.M Billets Reports'!E1078</f>
      </c>
      <c r="I1079">
        <f>'R.M Billets Reports'!F1078</f>
      </c>
      <c r="J1079">
        <f>'R.M Billets Reports'!G1078</f>
      </c>
      <c r="K1079">
        <f>'R.M Billets Reports'!H1078</f>
      </c>
      <c r="L1079">
        <f>IF('R.M Billets Reports'!I1078="","",'R.M Billets Reports'!I1078)</f>
      </c>
      <c r="M1079">
        <f t="shared" si="32"/>
      </c>
      <c r="N1079">
        <f>IF('R.M Billets Reports'!J1078="","",'R.M Billets Reports'!J1078)</f>
      </c>
      <c r="O1079">
        <f t="shared" si="33"/>
      </c>
      <c r="P1079">
        <f>IF('R.M Billets Reports'!A1078="SIZE",'R.M Billets Reports'!B1078,P1078)</f>
      </c>
    </row>
    <row r="1080" spans="1:16" x14ac:dyDescent="0.25">
      <c r="A1080">
        <f>IF(OR('R.M Billets Reports'!A1079="Date-",'R.M Billets Reports'!A1079="Date:-"),IF(IF(IF(ISNUMBER(SEARCH("Party Name:-",'R.M Billets Reports'!D1079)),TRIM('R.M Billets Reports'!F1079),IF(ISNUMBER(SEARCH("Party Name-",'R.M Billets Reports'!D1079)),TRIM(MID('R.M Billets Reports'!D1079,SEARCH("-",'R.M Billets Reports'!D1079)+1,200)),""))&lt;&gt;"",IF(ISNUMBER(SEARCH("Party Name:-",'R.M Billets Reports'!D1079)),TRIM('R.M Billets Reports'!F1079),IF(ISNUMBER(SEARCH("Party Name-",'R.M Billets Reports'!D1079)),TRIM(MID('R.M Billets Reports'!D1079,SEARCH("-",'R.M Billets Reports'!D1079)+1,200)),"")),IF(ISNUMBER(SEARCH("Party Name:-",'R.M Billets Reports'!D1080)),TRIM('R.M Billets Reports'!F1080),IF(ISNUMBER(SEARCH("Party Name-",'R.M Billets Reports'!D1080)),TRIM(MID('R.M Billets Reports'!D1080,SEARCH("-",'R.M Billets Reports'!D1080)+1,200)),"")))="VRKP ISPAT PVT LTD","VRKP",IF(IF(IF(ISNUMBER(SEARCH("Party Name:-",'R.M Billets Reports'!D1079)),TRIM('R.M Billets Reports'!F1079),IF(ISNUMBER(SEARCH("Party Name-",'R.M Billets Reports'!D1079)),TRIM(MID('R.M Billets Reports'!D1079,SEARCH("-",'R.M Billets Reports'!D1079)+1,200)),""))&lt;&gt;"",IF(ISNUMBER(SEARCH("Party Name:-",'R.M Billets Reports'!D1079)),TRIM('R.M Billets Reports'!F1079),IF(ISNUMBER(SEARCH("Party Name-",'R.M Billets Reports'!D1079)),TRIM(MID('R.M Billets Reports'!D1079,SEARCH("-",'R.M Billets Reports'!D1079)+1,200)),"")),IF(ISNUMBER(SEARCH("Party Name:-",'R.M Billets Reports'!D1080)),TRIM('R.M Billets Reports'!F1080),IF(ISNUMBER(SEARCH("Party Name-",'R.M Billets Reports'!D1080)),TRIM(MID('R.M Billets Reports'!D1080,SEARCH("-",'R.M Billets Reports'!D1080)+1,200)),"")))="SHRI RADHE","SHREE RADHE",IF(IF(IF(ISNUMBER(SEARCH("Party Name:-",'R.M Billets Reports'!D1079)),TRIM('R.M Billets Reports'!F1079),IF(ISNUMBER(SEARCH("Party Name-",'R.M Billets Reports'!D1079)),TRIM(MID('R.M Billets Reports'!D1079,SEARCH("-",'R.M Billets Reports'!D1079)+1,200)),""))&lt;&gt;"",IF(ISNUMBER(SEARCH("Party Name:-",'R.M Billets Reports'!D1079)),TRIM('R.M Billets Reports'!F1079),IF(ISNUMBER(SEARCH("Party Name-",'R.M Billets Reports'!D1079)),TRIM(MID('R.M Billets Reports'!D1079,SEARCH("-",'R.M Billets Reports'!D1079)+1,200)),"")),IF(ISNUMBER(SEARCH("Party Name:-",'R.M Billets Reports'!D1080)),TRIM('R.M Billets Reports'!F1080),IF(ISNUMBER(SEARCH("Party Name-",'R.M Billets Reports'!D1080)),TRIM(MID('R.M Billets Reports'!D1080,SEARCH("-",'R.M Billets Reports'!D1080)+1,200)),"")))="SHREE RADHE SHAKTI SPONGE AND POWER PVT. LTD.","SHREE RADHE",IF(IF(ISNUMBER(SEARCH("Party Name:-",'R.M Billets Reports'!D1079)),TRIM('R.M Billets Reports'!F1079),IF(ISNUMBER(SEARCH("Party Name-",'R.M Billets Reports'!D1079)),TRIM(MID('R.M Billets Reports'!D1079,SEARCH("-",'R.M Billets Reports'!D1079)+1,200)),""))&lt;&gt;"",IF(ISNUMBER(SEARCH("Party Name:-",'R.M Billets Reports'!D1079)),TRIM('R.M Billets Reports'!F1079),IF(ISNUMBER(SEARCH("Party Name-",'R.M Billets Reports'!D1079)),TRIM(MID('R.M Billets Reports'!D1079,SEARCH("-",'R.M Billets Reports'!D1079)+1,200)),"")),IF(ISNUMBER(SEARCH("Party Name:-",'R.M Billets Reports'!D1080)),TRIM('R.M Billets Reports'!F1080),IF(ISNUMBER(SEARCH("Party Name-",'R.M Billets Reports'!D1080)),TRIM(MID('R.M Billets Reports'!D1080,SEARCH("-",'R.M Billets Reports'!D1080)+1,200)),"")))))),IF(ROW()=2,"",A1079))</f>
      </c>
      <c r="B1080">
        <f>IF(OR('R.M Billets Reports'!A1079="Date-",'R.M Billets Reports'!A1079="Date:-"),'R.M Billets Reports'!B1079,IF(ROW()=2,"",B1079))</f>
      </c>
      <c r="C1080">
        <f>IF('R.M Billets Reports'!A1079="V.No.",'R.M Billets Reports'!B1079,IF(ROW()=2,"",C1079))</f>
      </c>
      <c r="D1080">
        <f>IF('R.M Billets Reports'!A1079&lt;&gt;"",'R.M Billets Reports'!A1079,IF(ROW()=2,"",D1079))</f>
      </c>
      <c r="E1080">
        <f>IF('R.M Billets Reports'!B1079="","",TRIM('R.M Billets Reports'!B1079))</f>
      </c>
      <c r="F1080">
        <f>'R.M Billets Reports'!C1079</f>
      </c>
      <c r="G1080">
        <f>'R.M Billets Reports'!D1079</f>
      </c>
      <c r="H1080">
        <f>'R.M Billets Reports'!E1079</f>
      </c>
      <c r="I1080">
        <f>'R.M Billets Reports'!F1079</f>
      </c>
      <c r="J1080">
        <f>'R.M Billets Reports'!G1079</f>
      </c>
      <c r="K1080">
        <f>'R.M Billets Reports'!H1079</f>
      </c>
      <c r="L1080">
        <f>IF('R.M Billets Reports'!I1079="","",'R.M Billets Reports'!I1079)</f>
      </c>
      <c r="M1080">
        <f t="shared" si="32"/>
      </c>
      <c r="N1080">
        <f>IF('R.M Billets Reports'!J1079="","",'R.M Billets Reports'!J1079)</f>
      </c>
      <c r="O1080">
        <f t="shared" si="33"/>
      </c>
      <c r="P1080">
        <f>IF('R.M Billets Reports'!A1079="SIZE",'R.M Billets Reports'!B1079,P1079)</f>
      </c>
    </row>
    <row r="1081" spans="1:16" x14ac:dyDescent="0.25">
      <c r="A1081">
        <f>IF(OR('R.M Billets Reports'!A1080="Date-",'R.M Billets Reports'!A1080="Date:-"),IF(IF(IF(ISNUMBER(SEARCH("Party Name:-",'R.M Billets Reports'!D1080)),TRIM('R.M Billets Reports'!F1080),IF(ISNUMBER(SEARCH("Party Name-",'R.M Billets Reports'!D1080)),TRIM(MID('R.M Billets Reports'!D1080,SEARCH("-",'R.M Billets Reports'!D1080)+1,200)),""))&lt;&gt;"",IF(ISNUMBER(SEARCH("Party Name:-",'R.M Billets Reports'!D1080)),TRIM('R.M Billets Reports'!F1080),IF(ISNUMBER(SEARCH("Party Name-",'R.M Billets Reports'!D1080)),TRIM(MID('R.M Billets Reports'!D1080,SEARCH("-",'R.M Billets Reports'!D1080)+1,200)),"")),IF(ISNUMBER(SEARCH("Party Name:-",'R.M Billets Reports'!D1081)),TRIM('R.M Billets Reports'!F1081),IF(ISNUMBER(SEARCH("Party Name-",'R.M Billets Reports'!D1081)),TRIM(MID('R.M Billets Reports'!D1081,SEARCH("-",'R.M Billets Reports'!D1081)+1,200)),"")))="VRKP ISPAT PVT LTD","VRKP",IF(IF(IF(ISNUMBER(SEARCH("Party Name:-",'R.M Billets Reports'!D1080)),TRIM('R.M Billets Reports'!F1080),IF(ISNUMBER(SEARCH("Party Name-",'R.M Billets Reports'!D1080)),TRIM(MID('R.M Billets Reports'!D1080,SEARCH("-",'R.M Billets Reports'!D1080)+1,200)),""))&lt;&gt;"",IF(ISNUMBER(SEARCH("Party Name:-",'R.M Billets Reports'!D1080)),TRIM('R.M Billets Reports'!F1080),IF(ISNUMBER(SEARCH("Party Name-",'R.M Billets Reports'!D1080)),TRIM(MID('R.M Billets Reports'!D1080,SEARCH("-",'R.M Billets Reports'!D1080)+1,200)),"")),IF(ISNUMBER(SEARCH("Party Name:-",'R.M Billets Reports'!D1081)),TRIM('R.M Billets Reports'!F1081),IF(ISNUMBER(SEARCH("Party Name-",'R.M Billets Reports'!D1081)),TRIM(MID('R.M Billets Reports'!D1081,SEARCH("-",'R.M Billets Reports'!D1081)+1,200)),"")))="SHRI RADHE","SHREE RADHE",IF(IF(IF(ISNUMBER(SEARCH("Party Name:-",'R.M Billets Reports'!D1080)),TRIM('R.M Billets Reports'!F1080),IF(ISNUMBER(SEARCH("Party Name-",'R.M Billets Reports'!D1080)),TRIM(MID('R.M Billets Reports'!D1080,SEARCH("-",'R.M Billets Reports'!D1080)+1,200)),""))&lt;&gt;"",IF(ISNUMBER(SEARCH("Party Name:-",'R.M Billets Reports'!D1080)),TRIM('R.M Billets Reports'!F1080),IF(ISNUMBER(SEARCH("Party Name-",'R.M Billets Reports'!D1080)),TRIM(MID('R.M Billets Reports'!D1080,SEARCH("-",'R.M Billets Reports'!D1080)+1,200)),"")),IF(ISNUMBER(SEARCH("Party Name:-",'R.M Billets Reports'!D1081)),TRIM('R.M Billets Reports'!F1081),IF(ISNUMBER(SEARCH("Party Name-",'R.M Billets Reports'!D1081)),TRIM(MID('R.M Billets Reports'!D1081,SEARCH("-",'R.M Billets Reports'!D1081)+1,200)),"")))="SHREE RADHE SHAKTI SPONGE AND POWER PVT. LTD.","SHREE RADHE",IF(IF(ISNUMBER(SEARCH("Party Name:-",'R.M Billets Reports'!D1080)),TRIM('R.M Billets Reports'!F1080),IF(ISNUMBER(SEARCH("Party Name-",'R.M Billets Reports'!D1080)),TRIM(MID('R.M Billets Reports'!D1080,SEARCH("-",'R.M Billets Reports'!D1080)+1,200)),""))&lt;&gt;"",IF(ISNUMBER(SEARCH("Party Name:-",'R.M Billets Reports'!D1080)),TRIM('R.M Billets Reports'!F1080),IF(ISNUMBER(SEARCH("Party Name-",'R.M Billets Reports'!D1080)),TRIM(MID('R.M Billets Reports'!D1080,SEARCH("-",'R.M Billets Reports'!D1080)+1,200)),"")),IF(ISNUMBER(SEARCH("Party Name:-",'R.M Billets Reports'!D1081)),TRIM('R.M Billets Reports'!F1081),IF(ISNUMBER(SEARCH("Party Name-",'R.M Billets Reports'!D1081)),TRIM(MID('R.M Billets Reports'!D1081,SEARCH("-",'R.M Billets Reports'!D1081)+1,200)),"")))))),IF(ROW()=2,"",A1080))</f>
      </c>
      <c r="B1081">
        <f>IF(OR('R.M Billets Reports'!A1080="Date-",'R.M Billets Reports'!A1080="Date:-"),'R.M Billets Reports'!B1080,IF(ROW()=2,"",B1080))</f>
      </c>
      <c r="C1081">
        <f>IF('R.M Billets Reports'!A1080="V.No.",'R.M Billets Reports'!B1080,IF(ROW()=2,"",C1080))</f>
      </c>
      <c r="D1081">
        <f>IF('R.M Billets Reports'!A1080&lt;&gt;"",'R.M Billets Reports'!A1080,IF(ROW()=2,"",D1080))</f>
      </c>
      <c r="E1081">
        <f>IF('R.M Billets Reports'!B1080="","",TRIM('R.M Billets Reports'!B1080))</f>
      </c>
      <c r="F1081">
        <f>'R.M Billets Reports'!C1080</f>
      </c>
      <c r="G1081">
        <f>'R.M Billets Reports'!D1080</f>
      </c>
      <c r="H1081">
        <f>'R.M Billets Reports'!E1080</f>
      </c>
      <c r="I1081">
        <f>'R.M Billets Reports'!F1080</f>
      </c>
      <c r="J1081">
        <f>'R.M Billets Reports'!G1080</f>
      </c>
      <c r="K1081">
        <f>'R.M Billets Reports'!H1080</f>
      </c>
      <c r="L1081">
        <f>IF('R.M Billets Reports'!I1080="","",'R.M Billets Reports'!I1080)</f>
      </c>
      <c r="M1081">
        <f t="shared" si="32"/>
      </c>
      <c r="N1081">
        <f>IF('R.M Billets Reports'!J1080="","",'R.M Billets Reports'!J1080)</f>
      </c>
      <c r="O1081">
        <f t="shared" si="33"/>
      </c>
      <c r="P1081">
        <f>IF('R.M Billets Reports'!A1080="SIZE",'R.M Billets Reports'!B1080,P1080)</f>
      </c>
    </row>
    <row r="1082" spans="1:16" x14ac:dyDescent="0.25">
      <c r="A1082">
        <f>IF(OR('R.M Billets Reports'!A1081="Date-",'R.M Billets Reports'!A1081="Date:-"),IF(IF(IF(ISNUMBER(SEARCH("Party Name:-",'R.M Billets Reports'!D1081)),TRIM('R.M Billets Reports'!F1081),IF(ISNUMBER(SEARCH("Party Name-",'R.M Billets Reports'!D1081)),TRIM(MID('R.M Billets Reports'!D1081,SEARCH("-",'R.M Billets Reports'!D1081)+1,200)),""))&lt;&gt;"",IF(ISNUMBER(SEARCH("Party Name:-",'R.M Billets Reports'!D1081)),TRIM('R.M Billets Reports'!F1081),IF(ISNUMBER(SEARCH("Party Name-",'R.M Billets Reports'!D1081)),TRIM(MID('R.M Billets Reports'!D1081,SEARCH("-",'R.M Billets Reports'!D1081)+1,200)),"")),IF(ISNUMBER(SEARCH("Party Name:-",'R.M Billets Reports'!D1082)),TRIM('R.M Billets Reports'!F1082),IF(ISNUMBER(SEARCH("Party Name-",'R.M Billets Reports'!D1082)),TRIM(MID('R.M Billets Reports'!D1082,SEARCH("-",'R.M Billets Reports'!D1082)+1,200)),"")))="VRKP ISPAT PVT LTD","VRKP",IF(IF(IF(ISNUMBER(SEARCH("Party Name:-",'R.M Billets Reports'!D1081)),TRIM('R.M Billets Reports'!F1081),IF(ISNUMBER(SEARCH("Party Name-",'R.M Billets Reports'!D1081)),TRIM(MID('R.M Billets Reports'!D1081,SEARCH("-",'R.M Billets Reports'!D1081)+1,200)),""))&lt;&gt;"",IF(ISNUMBER(SEARCH("Party Name:-",'R.M Billets Reports'!D1081)),TRIM('R.M Billets Reports'!F1081),IF(ISNUMBER(SEARCH("Party Name-",'R.M Billets Reports'!D1081)),TRIM(MID('R.M Billets Reports'!D1081,SEARCH("-",'R.M Billets Reports'!D1081)+1,200)),"")),IF(ISNUMBER(SEARCH("Party Name:-",'R.M Billets Reports'!D1082)),TRIM('R.M Billets Reports'!F1082),IF(ISNUMBER(SEARCH("Party Name-",'R.M Billets Reports'!D1082)),TRIM(MID('R.M Billets Reports'!D1082,SEARCH("-",'R.M Billets Reports'!D1082)+1,200)),"")))="SHRI RADHE","SHREE RADHE",IF(IF(IF(ISNUMBER(SEARCH("Party Name:-",'R.M Billets Reports'!D1081)),TRIM('R.M Billets Reports'!F1081),IF(ISNUMBER(SEARCH("Party Name-",'R.M Billets Reports'!D1081)),TRIM(MID('R.M Billets Reports'!D1081,SEARCH("-",'R.M Billets Reports'!D1081)+1,200)),""))&lt;&gt;"",IF(ISNUMBER(SEARCH("Party Name:-",'R.M Billets Reports'!D1081)),TRIM('R.M Billets Reports'!F1081),IF(ISNUMBER(SEARCH("Party Name-",'R.M Billets Reports'!D1081)),TRIM(MID('R.M Billets Reports'!D1081,SEARCH("-",'R.M Billets Reports'!D1081)+1,200)),"")),IF(ISNUMBER(SEARCH("Party Name:-",'R.M Billets Reports'!D1082)),TRIM('R.M Billets Reports'!F1082),IF(ISNUMBER(SEARCH("Party Name-",'R.M Billets Reports'!D1082)),TRIM(MID('R.M Billets Reports'!D1082,SEARCH("-",'R.M Billets Reports'!D1082)+1,200)),"")))="SHREE RADHE SHAKTI SPONGE AND POWER PVT. LTD.","SHREE RADHE",IF(IF(ISNUMBER(SEARCH("Party Name:-",'R.M Billets Reports'!D1081)),TRIM('R.M Billets Reports'!F1081),IF(ISNUMBER(SEARCH("Party Name-",'R.M Billets Reports'!D1081)),TRIM(MID('R.M Billets Reports'!D1081,SEARCH("-",'R.M Billets Reports'!D1081)+1,200)),""))&lt;&gt;"",IF(ISNUMBER(SEARCH("Party Name:-",'R.M Billets Reports'!D1081)),TRIM('R.M Billets Reports'!F1081),IF(ISNUMBER(SEARCH("Party Name-",'R.M Billets Reports'!D1081)),TRIM(MID('R.M Billets Reports'!D1081,SEARCH("-",'R.M Billets Reports'!D1081)+1,200)),"")),IF(ISNUMBER(SEARCH("Party Name:-",'R.M Billets Reports'!D1082)),TRIM('R.M Billets Reports'!F1082),IF(ISNUMBER(SEARCH("Party Name-",'R.M Billets Reports'!D1082)),TRIM(MID('R.M Billets Reports'!D1082,SEARCH("-",'R.M Billets Reports'!D1082)+1,200)),"")))))),IF(ROW()=2,"",A1081))</f>
      </c>
      <c r="B1082">
        <f>IF(OR('R.M Billets Reports'!A1081="Date-",'R.M Billets Reports'!A1081="Date:-"),'R.M Billets Reports'!B1081,IF(ROW()=2,"",B1081))</f>
      </c>
      <c r="C1082">
        <f>IF('R.M Billets Reports'!A1081="V.No.",'R.M Billets Reports'!B1081,IF(ROW()=2,"",C1081))</f>
      </c>
      <c r="D1082">
        <f>IF('R.M Billets Reports'!A1081&lt;&gt;"",'R.M Billets Reports'!A1081,IF(ROW()=2,"",D1081))</f>
      </c>
      <c r="E1082">
        <f>IF('R.M Billets Reports'!B1081="","",TRIM('R.M Billets Reports'!B1081))</f>
      </c>
      <c r="F1082">
        <f>'R.M Billets Reports'!C1081</f>
      </c>
      <c r="G1082">
        <f>'R.M Billets Reports'!D1081</f>
      </c>
      <c r="H1082">
        <f>'R.M Billets Reports'!E1081</f>
      </c>
      <c r="I1082">
        <f>'R.M Billets Reports'!F1081</f>
      </c>
      <c r="J1082">
        <f>'R.M Billets Reports'!G1081</f>
      </c>
      <c r="K1082">
        <f>'R.M Billets Reports'!H1081</f>
      </c>
      <c r="L1082">
        <f>IF('R.M Billets Reports'!I1081="","",'R.M Billets Reports'!I1081)</f>
      </c>
      <c r="M1082">
        <f t="shared" si="32"/>
      </c>
      <c r="N1082">
        <f>IF('R.M Billets Reports'!J1081="","",'R.M Billets Reports'!J1081)</f>
      </c>
      <c r="O1082">
        <f t="shared" si="33"/>
      </c>
      <c r="P1082">
        <f>IF('R.M Billets Reports'!A1081="SIZE",'R.M Billets Reports'!B1081,P1081)</f>
      </c>
    </row>
    <row r="1083" spans="1:16" x14ac:dyDescent="0.25">
      <c r="A1083">
        <f>IF(OR('R.M Billets Reports'!A1082="Date-",'R.M Billets Reports'!A1082="Date:-"),IF(IF(IF(ISNUMBER(SEARCH("Party Name:-",'R.M Billets Reports'!D1082)),TRIM('R.M Billets Reports'!F1082),IF(ISNUMBER(SEARCH("Party Name-",'R.M Billets Reports'!D1082)),TRIM(MID('R.M Billets Reports'!D1082,SEARCH("-",'R.M Billets Reports'!D1082)+1,200)),""))&lt;&gt;"",IF(ISNUMBER(SEARCH("Party Name:-",'R.M Billets Reports'!D1082)),TRIM('R.M Billets Reports'!F1082),IF(ISNUMBER(SEARCH("Party Name-",'R.M Billets Reports'!D1082)),TRIM(MID('R.M Billets Reports'!D1082,SEARCH("-",'R.M Billets Reports'!D1082)+1,200)),"")),IF(ISNUMBER(SEARCH("Party Name:-",'R.M Billets Reports'!D1083)),TRIM('R.M Billets Reports'!F1083),IF(ISNUMBER(SEARCH("Party Name-",'R.M Billets Reports'!D1083)),TRIM(MID('R.M Billets Reports'!D1083,SEARCH("-",'R.M Billets Reports'!D1083)+1,200)),"")))="VRKP ISPAT PVT LTD","VRKP",IF(IF(IF(ISNUMBER(SEARCH("Party Name:-",'R.M Billets Reports'!D1082)),TRIM('R.M Billets Reports'!F1082),IF(ISNUMBER(SEARCH("Party Name-",'R.M Billets Reports'!D1082)),TRIM(MID('R.M Billets Reports'!D1082,SEARCH("-",'R.M Billets Reports'!D1082)+1,200)),""))&lt;&gt;"",IF(ISNUMBER(SEARCH("Party Name:-",'R.M Billets Reports'!D1082)),TRIM('R.M Billets Reports'!F1082),IF(ISNUMBER(SEARCH("Party Name-",'R.M Billets Reports'!D1082)),TRIM(MID('R.M Billets Reports'!D1082,SEARCH("-",'R.M Billets Reports'!D1082)+1,200)),"")),IF(ISNUMBER(SEARCH("Party Name:-",'R.M Billets Reports'!D1083)),TRIM('R.M Billets Reports'!F1083),IF(ISNUMBER(SEARCH("Party Name-",'R.M Billets Reports'!D1083)),TRIM(MID('R.M Billets Reports'!D1083,SEARCH("-",'R.M Billets Reports'!D1083)+1,200)),"")))="SHRI RADHE","SHREE RADHE",IF(IF(IF(ISNUMBER(SEARCH("Party Name:-",'R.M Billets Reports'!D1082)),TRIM('R.M Billets Reports'!F1082),IF(ISNUMBER(SEARCH("Party Name-",'R.M Billets Reports'!D1082)),TRIM(MID('R.M Billets Reports'!D1082,SEARCH("-",'R.M Billets Reports'!D1082)+1,200)),""))&lt;&gt;"",IF(ISNUMBER(SEARCH("Party Name:-",'R.M Billets Reports'!D1082)),TRIM('R.M Billets Reports'!F1082),IF(ISNUMBER(SEARCH("Party Name-",'R.M Billets Reports'!D1082)),TRIM(MID('R.M Billets Reports'!D1082,SEARCH("-",'R.M Billets Reports'!D1082)+1,200)),"")),IF(ISNUMBER(SEARCH("Party Name:-",'R.M Billets Reports'!D1083)),TRIM('R.M Billets Reports'!F1083),IF(ISNUMBER(SEARCH("Party Name-",'R.M Billets Reports'!D1083)),TRIM(MID('R.M Billets Reports'!D1083,SEARCH("-",'R.M Billets Reports'!D1083)+1,200)),"")))="SHREE RADHE SHAKTI SPONGE AND POWER PVT. LTD.","SHREE RADHE",IF(IF(ISNUMBER(SEARCH("Party Name:-",'R.M Billets Reports'!D1082)),TRIM('R.M Billets Reports'!F1082),IF(ISNUMBER(SEARCH("Party Name-",'R.M Billets Reports'!D1082)),TRIM(MID('R.M Billets Reports'!D1082,SEARCH("-",'R.M Billets Reports'!D1082)+1,200)),""))&lt;&gt;"",IF(ISNUMBER(SEARCH("Party Name:-",'R.M Billets Reports'!D1082)),TRIM('R.M Billets Reports'!F1082),IF(ISNUMBER(SEARCH("Party Name-",'R.M Billets Reports'!D1082)),TRIM(MID('R.M Billets Reports'!D1082,SEARCH("-",'R.M Billets Reports'!D1082)+1,200)),"")),IF(ISNUMBER(SEARCH("Party Name:-",'R.M Billets Reports'!D1083)),TRIM('R.M Billets Reports'!F1083),IF(ISNUMBER(SEARCH("Party Name-",'R.M Billets Reports'!D1083)),TRIM(MID('R.M Billets Reports'!D1083,SEARCH("-",'R.M Billets Reports'!D1083)+1,200)),"")))))),IF(ROW()=2,"",A1082))</f>
      </c>
      <c r="B1083">
        <f>IF(OR('R.M Billets Reports'!A1082="Date-",'R.M Billets Reports'!A1082="Date:-"),'R.M Billets Reports'!B1082,IF(ROW()=2,"",B1082))</f>
      </c>
      <c r="C1083">
        <f>IF('R.M Billets Reports'!A1082="V.No.",'R.M Billets Reports'!B1082,IF(ROW()=2,"",C1082))</f>
      </c>
      <c r="D1083">
        <f>IF('R.M Billets Reports'!A1082&lt;&gt;"",'R.M Billets Reports'!A1082,IF(ROW()=2,"",D1082))</f>
      </c>
      <c r="E1083">
        <f>IF('R.M Billets Reports'!B1082="","",TRIM('R.M Billets Reports'!B1082))</f>
      </c>
      <c r="F1083">
        <f>'R.M Billets Reports'!C1082</f>
      </c>
      <c r="G1083">
        <f>'R.M Billets Reports'!D1082</f>
      </c>
      <c r="H1083">
        <f>'R.M Billets Reports'!E1082</f>
      </c>
      <c r="I1083">
        <f>'R.M Billets Reports'!F1082</f>
      </c>
      <c r="J1083">
        <f>'R.M Billets Reports'!G1082</f>
      </c>
      <c r="K1083">
        <f>'R.M Billets Reports'!H1082</f>
      </c>
      <c r="L1083">
        <f>IF('R.M Billets Reports'!I1082="","",'R.M Billets Reports'!I1082)</f>
      </c>
      <c r="M1083">
        <f t="shared" si="32"/>
      </c>
      <c r="N1083">
        <f>IF('R.M Billets Reports'!J1082="","",'R.M Billets Reports'!J1082)</f>
      </c>
      <c r="O1083">
        <f t="shared" si="33"/>
      </c>
      <c r="P1083">
        <f>IF('R.M Billets Reports'!A1082="SIZE",'R.M Billets Reports'!B1082,P1082)</f>
      </c>
    </row>
    <row r="1084" spans="1:16" x14ac:dyDescent="0.25">
      <c r="A1084">
        <f>IF(OR('R.M Billets Reports'!A1083="Date-",'R.M Billets Reports'!A1083="Date:-"),IF(IF(IF(ISNUMBER(SEARCH("Party Name:-",'R.M Billets Reports'!D1083)),TRIM('R.M Billets Reports'!F1083),IF(ISNUMBER(SEARCH("Party Name-",'R.M Billets Reports'!D1083)),TRIM(MID('R.M Billets Reports'!D1083,SEARCH("-",'R.M Billets Reports'!D1083)+1,200)),""))&lt;&gt;"",IF(ISNUMBER(SEARCH("Party Name:-",'R.M Billets Reports'!D1083)),TRIM('R.M Billets Reports'!F1083),IF(ISNUMBER(SEARCH("Party Name-",'R.M Billets Reports'!D1083)),TRIM(MID('R.M Billets Reports'!D1083,SEARCH("-",'R.M Billets Reports'!D1083)+1,200)),"")),IF(ISNUMBER(SEARCH("Party Name:-",'R.M Billets Reports'!D1084)),TRIM('R.M Billets Reports'!F1084),IF(ISNUMBER(SEARCH("Party Name-",'R.M Billets Reports'!D1084)),TRIM(MID('R.M Billets Reports'!D1084,SEARCH("-",'R.M Billets Reports'!D1084)+1,200)),"")))="VRKP ISPAT PVT LTD","VRKP",IF(IF(IF(ISNUMBER(SEARCH("Party Name:-",'R.M Billets Reports'!D1083)),TRIM('R.M Billets Reports'!F1083),IF(ISNUMBER(SEARCH("Party Name-",'R.M Billets Reports'!D1083)),TRIM(MID('R.M Billets Reports'!D1083,SEARCH("-",'R.M Billets Reports'!D1083)+1,200)),""))&lt;&gt;"",IF(ISNUMBER(SEARCH("Party Name:-",'R.M Billets Reports'!D1083)),TRIM('R.M Billets Reports'!F1083),IF(ISNUMBER(SEARCH("Party Name-",'R.M Billets Reports'!D1083)),TRIM(MID('R.M Billets Reports'!D1083,SEARCH("-",'R.M Billets Reports'!D1083)+1,200)),"")),IF(ISNUMBER(SEARCH("Party Name:-",'R.M Billets Reports'!D1084)),TRIM('R.M Billets Reports'!F1084),IF(ISNUMBER(SEARCH("Party Name-",'R.M Billets Reports'!D1084)),TRIM(MID('R.M Billets Reports'!D1084,SEARCH("-",'R.M Billets Reports'!D1084)+1,200)),"")))="SHRI RADHE","SHREE RADHE",IF(IF(IF(ISNUMBER(SEARCH("Party Name:-",'R.M Billets Reports'!D1083)),TRIM('R.M Billets Reports'!F1083),IF(ISNUMBER(SEARCH("Party Name-",'R.M Billets Reports'!D1083)),TRIM(MID('R.M Billets Reports'!D1083,SEARCH("-",'R.M Billets Reports'!D1083)+1,200)),""))&lt;&gt;"",IF(ISNUMBER(SEARCH("Party Name:-",'R.M Billets Reports'!D1083)),TRIM('R.M Billets Reports'!F1083),IF(ISNUMBER(SEARCH("Party Name-",'R.M Billets Reports'!D1083)),TRIM(MID('R.M Billets Reports'!D1083,SEARCH("-",'R.M Billets Reports'!D1083)+1,200)),"")),IF(ISNUMBER(SEARCH("Party Name:-",'R.M Billets Reports'!D1084)),TRIM('R.M Billets Reports'!F1084),IF(ISNUMBER(SEARCH("Party Name-",'R.M Billets Reports'!D1084)),TRIM(MID('R.M Billets Reports'!D1084,SEARCH("-",'R.M Billets Reports'!D1084)+1,200)),"")))="SHREE RADHE SHAKTI SPONGE AND POWER PVT. LTD.","SHREE RADHE",IF(IF(ISNUMBER(SEARCH("Party Name:-",'R.M Billets Reports'!D1083)),TRIM('R.M Billets Reports'!F1083),IF(ISNUMBER(SEARCH("Party Name-",'R.M Billets Reports'!D1083)),TRIM(MID('R.M Billets Reports'!D1083,SEARCH("-",'R.M Billets Reports'!D1083)+1,200)),""))&lt;&gt;"",IF(ISNUMBER(SEARCH("Party Name:-",'R.M Billets Reports'!D1083)),TRIM('R.M Billets Reports'!F1083),IF(ISNUMBER(SEARCH("Party Name-",'R.M Billets Reports'!D1083)),TRIM(MID('R.M Billets Reports'!D1083,SEARCH("-",'R.M Billets Reports'!D1083)+1,200)),"")),IF(ISNUMBER(SEARCH("Party Name:-",'R.M Billets Reports'!D1084)),TRIM('R.M Billets Reports'!F1084),IF(ISNUMBER(SEARCH("Party Name-",'R.M Billets Reports'!D1084)),TRIM(MID('R.M Billets Reports'!D1084,SEARCH("-",'R.M Billets Reports'!D1084)+1,200)),"")))))),IF(ROW()=2,"",A1083))</f>
      </c>
      <c r="B1084">
        <f>IF(OR('R.M Billets Reports'!A1083="Date-",'R.M Billets Reports'!A1083="Date:-"),'R.M Billets Reports'!B1083,IF(ROW()=2,"",B1083))</f>
      </c>
      <c r="C1084">
        <f>IF('R.M Billets Reports'!A1083="V.No.",'R.M Billets Reports'!B1083,IF(ROW()=2,"",C1083))</f>
      </c>
      <c r="D1084">
        <f>IF('R.M Billets Reports'!A1083&lt;&gt;"",'R.M Billets Reports'!A1083,IF(ROW()=2,"",D1083))</f>
      </c>
      <c r="E1084">
        <f>IF('R.M Billets Reports'!B1083="","",TRIM('R.M Billets Reports'!B1083))</f>
      </c>
      <c r="F1084">
        <f>'R.M Billets Reports'!C1083</f>
      </c>
      <c r="G1084">
        <f>'R.M Billets Reports'!D1083</f>
      </c>
      <c r="H1084">
        <f>'R.M Billets Reports'!E1083</f>
      </c>
      <c r="I1084">
        <f>'R.M Billets Reports'!F1083</f>
      </c>
      <c r="J1084">
        <f>'R.M Billets Reports'!G1083</f>
      </c>
      <c r="K1084">
        <f>'R.M Billets Reports'!H1083</f>
      </c>
      <c r="L1084">
        <f>IF('R.M Billets Reports'!I1083="","",'R.M Billets Reports'!I1083)</f>
      </c>
      <c r="M1084">
        <f t="shared" si="32"/>
      </c>
      <c r="N1084">
        <f>IF('R.M Billets Reports'!J1083="","",'R.M Billets Reports'!J1083)</f>
      </c>
      <c r="O1084">
        <f t="shared" si="33"/>
      </c>
      <c r="P1084">
        <f>IF('R.M Billets Reports'!A1083="SIZE",'R.M Billets Reports'!B1083,P1083)</f>
      </c>
    </row>
    <row r="1085" spans="1:16" x14ac:dyDescent="0.25">
      <c r="A1085">
        <f>IF(OR('R.M Billets Reports'!A1084="Date-",'R.M Billets Reports'!A1084="Date:-"),IF(IF(IF(ISNUMBER(SEARCH("Party Name:-",'R.M Billets Reports'!D1084)),TRIM('R.M Billets Reports'!F1084),IF(ISNUMBER(SEARCH("Party Name-",'R.M Billets Reports'!D1084)),TRIM(MID('R.M Billets Reports'!D1084,SEARCH("-",'R.M Billets Reports'!D1084)+1,200)),""))&lt;&gt;"",IF(ISNUMBER(SEARCH("Party Name:-",'R.M Billets Reports'!D1084)),TRIM('R.M Billets Reports'!F1084),IF(ISNUMBER(SEARCH("Party Name-",'R.M Billets Reports'!D1084)),TRIM(MID('R.M Billets Reports'!D1084,SEARCH("-",'R.M Billets Reports'!D1084)+1,200)),"")),IF(ISNUMBER(SEARCH("Party Name:-",'R.M Billets Reports'!D1085)),TRIM('R.M Billets Reports'!F1085),IF(ISNUMBER(SEARCH("Party Name-",'R.M Billets Reports'!D1085)),TRIM(MID('R.M Billets Reports'!D1085,SEARCH("-",'R.M Billets Reports'!D1085)+1,200)),"")))="VRKP ISPAT PVT LTD","VRKP",IF(IF(IF(ISNUMBER(SEARCH("Party Name:-",'R.M Billets Reports'!D1084)),TRIM('R.M Billets Reports'!F1084),IF(ISNUMBER(SEARCH("Party Name-",'R.M Billets Reports'!D1084)),TRIM(MID('R.M Billets Reports'!D1084,SEARCH("-",'R.M Billets Reports'!D1084)+1,200)),""))&lt;&gt;"",IF(ISNUMBER(SEARCH("Party Name:-",'R.M Billets Reports'!D1084)),TRIM('R.M Billets Reports'!F1084),IF(ISNUMBER(SEARCH("Party Name-",'R.M Billets Reports'!D1084)),TRIM(MID('R.M Billets Reports'!D1084,SEARCH("-",'R.M Billets Reports'!D1084)+1,200)),"")),IF(ISNUMBER(SEARCH("Party Name:-",'R.M Billets Reports'!D1085)),TRIM('R.M Billets Reports'!F1085),IF(ISNUMBER(SEARCH("Party Name-",'R.M Billets Reports'!D1085)),TRIM(MID('R.M Billets Reports'!D1085,SEARCH("-",'R.M Billets Reports'!D1085)+1,200)),"")))="SHRI RADHE","SHREE RADHE",IF(IF(IF(ISNUMBER(SEARCH("Party Name:-",'R.M Billets Reports'!D1084)),TRIM('R.M Billets Reports'!F1084),IF(ISNUMBER(SEARCH("Party Name-",'R.M Billets Reports'!D1084)),TRIM(MID('R.M Billets Reports'!D1084,SEARCH("-",'R.M Billets Reports'!D1084)+1,200)),""))&lt;&gt;"",IF(ISNUMBER(SEARCH("Party Name:-",'R.M Billets Reports'!D1084)),TRIM('R.M Billets Reports'!F1084),IF(ISNUMBER(SEARCH("Party Name-",'R.M Billets Reports'!D1084)),TRIM(MID('R.M Billets Reports'!D1084,SEARCH("-",'R.M Billets Reports'!D1084)+1,200)),"")),IF(ISNUMBER(SEARCH("Party Name:-",'R.M Billets Reports'!D1085)),TRIM('R.M Billets Reports'!F1085),IF(ISNUMBER(SEARCH("Party Name-",'R.M Billets Reports'!D1085)),TRIM(MID('R.M Billets Reports'!D1085,SEARCH("-",'R.M Billets Reports'!D1085)+1,200)),"")))="SHREE RADHE SHAKTI SPONGE AND POWER PVT. LTD.","SHREE RADHE",IF(IF(ISNUMBER(SEARCH("Party Name:-",'R.M Billets Reports'!D1084)),TRIM('R.M Billets Reports'!F1084),IF(ISNUMBER(SEARCH("Party Name-",'R.M Billets Reports'!D1084)),TRIM(MID('R.M Billets Reports'!D1084,SEARCH("-",'R.M Billets Reports'!D1084)+1,200)),""))&lt;&gt;"",IF(ISNUMBER(SEARCH("Party Name:-",'R.M Billets Reports'!D1084)),TRIM('R.M Billets Reports'!F1084),IF(ISNUMBER(SEARCH("Party Name-",'R.M Billets Reports'!D1084)),TRIM(MID('R.M Billets Reports'!D1084,SEARCH("-",'R.M Billets Reports'!D1084)+1,200)),"")),IF(ISNUMBER(SEARCH("Party Name:-",'R.M Billets Reports'!D1085)),TRIM('R.M Billets Reports'!F1085),IF(ISNUMBER(SEARCH("Party Name-",'R.M Billets Reports'!D1085)),TRIM(MID('R.M Billets Reports'!D1085,SEARCH("-",'R.M Billets Reports'!D1085)+1,200)),"")))))),IF(ROW()=2,"",A1084))</f>
      </c>
      <c r="B1085">
        <f>IF(OR('R.M Billets Reports'!A1084="Date-",'R.M Billets Reports'!A1084="Date:-"),'R.M Billets Reports'!B1084,IF(ROW()=2,"",B1084))</f>
      </c>
      <c r="C1085">
        <f>IF('R.M Billets Reports'!A1084="V.No.",'R.M Billets Reports'!B1084,IF(ROW()=2,"",C1084))</f>
      </c>
      <c r="D1085">
        <f>IF('R.M Billets Reports'!A1084&lt;&gt;"",'R.M Billets Reports'!A1084,IF(ROW()=2,"",D1084))</f>
      </c>
      <c r="E1085">
        <f>IF('R.M Billets Reports'!B1084="","",TRIM('R.M Billets Reports'!B1084))</f>
      </c>
      <c r="F1085">
        <f>'R.M Billets Reports'!C1084</f>
      </c>
      <c r="G1085">
        <f>'R.M Billets Reports'!D1084</f>
      </c>
      <c r="H1085">
        <f>'R.M Billets Reports'!E1084</f>
      </c>
      <c r="I1085">
        <f>'R.M Billets Reports'!F1084</f>
      </c>
      <c r="J1085">
        <f>'R.M Billets Reports'!G1084</f>
      </c>
      <c r="K1085">
        <f>'R.M Billets Reports'!H1084</f>
      </c>
      <c r="L1085">
        <f>IF('R.M Billets Reports'!I1084="","",'R.M Billets Reports'!I1084)</f>
      </c>
      <c r="M1085">
        <f t="shared" si="32"/>
      </c>
      <c r="N1085">
        <f>IF('R.M Billets Reports'!J1084="","",'R.M Billets Reports'!J1084)</f>
      </c>
      <c r="O1085">
        <f t="shared" si="33"/>
      </c>
      <c r="P1085">
        <f>IF('R.M Billets Reports'!A1084="SIZE",'R.M Billets Reports'!B1084,P1084)</f>
      </c>
    </row>
    <row r="1086" spans="1:16" x14ac:dyDescent="0.25">
      <c r="A1086">
        <f>IF(OR('R.M Billets Reports'!A1085="Date-",'R.M Billets Reports'!A1085="Date:-"),IF(IF(IF(ISNUMBER(SEARCH("Party Name:-",'R.M Billets Reports'!D1085)),TRIM('R.M Billets Reports'!F1085),IF(ISNUMBER(SEARCH("Party Name-",'R.M Billets Reports'!D1085)),TRIM(MID('R.M Billets Reports'!D1085,SEARCH("-",'R.M Billets Reports'!D1085)+1,200)),""))&lt;&gt;"",IF(ISNUMBER(SEARCH("Party Name:-",'R.M Billets Reports'!D1085)),TRIM('R.M Billets Reports'!F1085),IF(ISNUMBER(SEARCH("Party Name-",'R.M Billets Reports'!D1085)),TRIM(MID('R.M Billets Reports'!D1085,SEARCH("-",'R.M Billets Reports'!D1085)+1,200)),"")),IF(ISNUMBER(SEARCH("Party Name:-",'R.M Billets Reports'!D1086)),TRIM('R.M Billets Reports'!F1086),IF(ISNUMBER(SEARCH("Party Name-",'R.M Billets Reports'!D1086)),TRIM(MID('R.M Billets Reports'!D1086,SEARCH("-",'R.M Billets Reports'!D1086)+1,200)),"")))="VRKP ISPAT PVT LTD","VRKP",IF(IF(IF(ISNUMBER(SEARCH("Party Name:-",'R.M Billets Reports'!D1085)),TRIM('R.M Billets Reports'!F1085),IF(ISNUMBER(SEARCH("Party Name-",'R.M Billets Reports'!D1085)),TRIM(MID('R.M Billets Reports'!D1085,SEARCH("-",'R.M Billets Reports'!D1085)+1,200)),""))&lt;&gt;"",IF(ISNUMBER(SEARCH("Party Name:-",'R.M Billets Reports'!D1085)),TRIM('R.M Billets Reports'!F1085),IF(ISNUMBER(SEARCH("Party Name-",'R.M Billets Reports'!D1085)),TRIM(MID('R.M Billets Reports'!D1085,SEARCH("-",'R.M Billets Reports'!D1085)+1,200)),"")),IF(ISNUMBER(SEARCH("Party Name:-",'R.M Billets Reports'!D1086)),TRIM('R.M Billets Reports'!F1086),IF(ISNUMBER(SEARCH("Party Name-",'R.M Billets Reports'!D1086)),TRIM(MID('R.M Billets Reports'!D1086,SEARCH("-",'R.M Billets Reports'!D1086)+1,200)),"")))="SHRI RADHE","SHREE RADHE",IF(IF(IF(ISNUMBER(SEARCH("Party Name:-",'R.M Billets Reports'!D1085)),TRIM('R.M Billets Reports'!F1085),IF(ISNUMBER(SEARCH("Party Name-",'R.M Billets Reports'!D1085)),TRIM(MID('R.M Billets Reports'!D1085,SEARCH("-",'R.M Billets Reports'!D1085)+1,200)),""))&lt;&gt;"",IF(ISNUMBER(SEARCH("Party Name:-",'R.M Billets Reports'!D1085)),TRIM('R.M Billets Reports'!F1085),IF(ISNUMBER(SEARCH("Party Name-",'R.M Billets Reports'!D1085)),TRIM(MID('R.M Billets Reports'!D1085,SEARCH("-",'R.M Billets Reports'!D1085)+1,200)),"")),IF(ISNUMBER(SEARCH("Party Name:-",'R.M Billets Reports'!D1086)),TRIM('R.M Billets Reports'!F1086),IF(ISNUMBER(SEARCH("Party Name-",'R.M Billets Reports'!D1086)),TRIM(MID('R.M Billets Reports'!D1086,SEARCH("-",'R.M Billets Reports'!D1086)+1,200)),"")))="SHREE RADHE SHAKTI SPONGE AND POWER PVT. LTD.","SHREE RADHE",IF(IF(ISNUMBER(SEARCH("Party Name:-",'R.M Billets Reports'!D1085)),TRIM('R.M Billets Reports'!F1085),IF(ISNUMBER(SEARCH("Party Name-",'R.M Billets Reports'!D1085)),TRIM(MID('R.M Billets Reports'!D1085,SEARCH("-",'R.M Billets Reports'!D1085)+1,200)),""))&lt;&gt;"",IF(ISNUMBER(SEARCH("Party Name:-",'R.M Billets Reports'!D1085)),TRIM('R.M Billets Reports'!F1085),IF(ISNUMBER(SEARCH("Party Name-",'R.M Billets Reports'!D1085)),TRIM(MID('R.M Billets Reports'!D1085,SEARCH("-",'R.M Billets Reports'!D1085)+1,200)),"")),IF(ISNUMBER(SEARCH("Party Name:-",'R.M Billets Reports'!D1086)),TRIM('R.M Billets Reports'!F1086),IF(ISNUMBER(SEARCH("Party Name-",'R.M Billets Reports'!D1086)),TRIM(MID('R.M Billets Reports'!D1086,SEARCH("-",'R.M Billets Reports'!D1086)+1,200)),"")))))),IF(ROW()=2,"",A1085))</f>
      </c>
      <c r="B1086">
        <f>IF(OR('R.M Billets Reports'!A1085="Date-",'R.M Billets Reports'!A1085="Date:-"),'R.M Billets Reports'!B1085,IF(ROW()=2,"",B1085))</f>
      </c>
      <c r="C1086">
        <f>IF('R.M Billets Reports'!A1085="V.No.",'R.M Billets Reports'!B1085,IF(ROW()=2,"",C1085))</f>
      </c>
      <c r="D1086">
        <f>IF('R.M Billets Reports'!A1085&lt;&gt;"",'R.M Billets Reports'!A1085,IF(ROW()=2,"",D1085))</f>
      </c>
      <c r="E1086">
        <f>IF('R.M Billets Reports'!B1085="","",TRIM('R.M Billets Reports'!B1085))</f>
      </c>
      <c r="F1086">
        <f>'R.M Billets Reports'!C1085</f>
      </c>
      <c r="G1086">
        <f>'R.M Billets Reports'!D1085</f>
      </c>
      <c r="H1086">
        <f>'R.M Billets Reports'!E1085</f>
      </c>
      <c r="I1086">
        <f>'R.M Billets Reports'!F1085</f>
      </c>
      <c r="J1086">
        <f>'R.M Billets Reports'!G1085</f>
      </c>
      <c r="K1086">
        <f>'R.M Billets Reports'!H1085</f>
      </c>
      <c r="L1086">
        <f>IF('R.M Billets Reports'!I1085="","",'R.M Billets Reports'!I1085)</f>
      </c>
      <c r="M1086">
        <f t="shared" si="32"/>
      </c>
      <c r="N1086">
        <f>IF('R.M Billets Reports'!J1085="","",'R.M Billets Reports'!J1085)</f>
      </c>
      <c r="O1086">
        <f t="shared" si="33"/>
      </c>
      <c r="P1086">
        <f>IF('R.M Billets Reports'!A1085="SIZE",'R.M Billets Reports'!B1085,P1085)</f>
      </c>
    </row>
    <row r="1087" spans="1:16" x14ac:dyDescent="0.25">
      <c r="A1087">
        <f>IF(OR('R.M Billets Reports'!A1086="Date-",'R.M Billets Reports'!A1086="Date:-"),IF(IF(IF(ISNUMBER(SEARCH("Party Name:-",'R.M Billets Reports'!D1086)),TRIM('R.M Billets Reports'!F1086),IF(ISNUMBER(SEARCH("Party Name-",'R.M Billets Reports'!D1086)),TRIM(MID('R.M Billets Reports'!D1086,SEARCH("-",'R.M Billets Reports'!D1086)+1,200)),""))&lt;&gt;"",IF(ISNUMBER(SEARCH("Party Name:-",'R.M Billets Reports'!D1086)),TRIM('R.M Billets Reports'!F1086),IF(ISNUMBER(SEARCH("Party Name-",'R.M Billets Reports'!D1086)),TRIM(MID('R.M Billets Reports'!D1086,SEARCH("-",'R.M Billets Reports'!D1086)+1,200)),"")),IF(ISNUMBER(SEARCH("Party Name:-",'R.M Billets Reports'!D1087)),TRIM('R.M Billets Reports'!F1087),IF(ISNUMBER(SEARCH("Party Name-",'R.M Billets Reports'!D1087)),TRIM(MID('R.M Billets Reports'!D1087,SEARCH("-",'R.M Billets Reports'!D1087)+1,200)),"")))="VRKP ISPAT PVT LTD","VRKP",IF(IF(IF(ISNUMBER(SEARCH("Party Name:-",'R.M Billets Reports'!D1086)),TRIM('R.M Billets Reports'!F1086),IF(ISNUMBER(SEARCH("Party Name-",'R.M Billets Reports'!D1086)),TRIM(MID('R.M Billets Reports'!D1086,SEARCH("-",'R.M Billets Reports'!D1086)+1,200)),""))&lt;&gt;"",IF(ISNUMBER(SEARCH("Party Name:-",'R.M Billets Reports'!D1086)),TRIM('R.M Billets Reports'!F1086),IF(ISNUMBER(SEARCH("Party Name-",'R.M Billets Reports'!D1086)),TRIM(MID('R.M Billets Reports'!D1086,SEARCH("-",'R.M Billets Reports'!D1086)+1,200)),"")),IF(ISNUMBER(SEARCH("Party Name:-",'R.M Billets Reports'!D1087)),TRIM('R.M Billets Reports'!F1087),IF(ISNUMBER(SEARCH("Party Name-",'R.M Billets Reports'!D1087)),TRIM(MID('R.M Billets Reports'!D1087,SEARCH("-",'R.M Billets Reports'!D1087)+1,200)),"")))="SHRI RADHE","SHREE RADHE",IF(IF(IF(ISNUMBER(SEARCH("Party Name:-",'R.M Billets Reports'!D1086)),TRIM('R.M Billets Reports'!F1086),IF(ISNUMBER(SEARCH("Party Name-",'R.M Billets Reports'!D1086)),TRIM(MID('R.M Billets Reports'!D1086,SEARCH("-",'R.M Billets Reports'!D1086)+1,200)),""))&lt;&gt;"",IF(ISNUMBER(SEARCH("Party Name:-",'R.M Billets Reports'!D1086)),TRIM('R.M Billets Reports'!F1086),IF(ISNUMBER(SEARCH("Party Name-",'R.M Billets Reports'!D1086)),TRIM(MID('R.M Billets Reports'!D1086,SEARCH("-",'R.M Billets Reports'!D1086)+1,200)),"")),IF(ISNUMBER(SEARCH("Party Name:-",'R.M Billets Reports'!D1087)),TRIM('R.M Billets Reports'!F1087),IF(ISNUMBER(SEARCH("Party Name-",'R.M Billets Reports'!D1087)),TRIM(MID('R.M Billets Reports'!D1087,SEARCH("-",'R.M Billets Reports'!D1087)+1,200)),"")))="SHREE RADHE SHAKTI SPONGE AND POWER PVT. LTD.","SHREE RADHE",IF(IF(ISNUMBER(SEARCH("Party Name:-",'R.M Billets Reports'!D1086)),TRIM('R.M Billets Reports'!F1086),IF(ISNUMBER(SEARCH("Party Name-",'R.M Billets Reports'!D1086)),TRIM(MID('R.M Billets Reports'!D1086,SEARCH("-",'R.M Billets Reports'!D1086)+1,200)),""))&lt;&gt;"",IF(ISNUMBER(SEARCH("Party Name:-",'R.M Billets Reports'!D1086)),TRIM('R.M Billets Reports'!F1086),IF(ISNUMBER(SEARCH("Party Name-",'R.M Billets Reports'!D1086)),TRIM(MID('R.M Billets Reports'!D1086,SEARCH("-",'R.M Billets Reports'!D1086)+1,200)),"")),IF(ISNUMBER(SEARCH("Party Name:-",'R.M Billets Reports'!D1087)),TRIM('R.M Billets Reports'!F1087),IF(ISNUMBER(SEARCH("Party Name-",'R.M Billets Reports'!D1087)),TRIM(MID('R.M Billets Reports'!D1087,SEARCH("-",'R.M Billets Reports'!D1087)+1,200)),"")))))),IF(ROW()=2,"",A1086))</f>
      </c>
      <c r="B1087">
        <f>IF(OR('R.M Billets Reports'!A1086="Date-",'R.M Billets Reports'!A1086="Date:-"),'R.M Billets Reports'!B1086,IF(ROW()=2,"",B1086))</f>
      </c>
      <c r="C1087">
        <f>IF('R.M Billets Reports'!A1086="V.No.",'R.M Billets Reports'!B1086,IF(ROW()=2,"",C1086))</f>
      </c>
      <c r="D1087">
        <f>IF('R.M Billets Reports'!A1086&lt;&gt;"",'R.M Billets Reports'!A1086,IF(ROW()=2,"",D1086))</f>
      </c>
      <c r="E1087">
        <f>IF('R.M Billets Reports'!B1086="","",TRIM('R.M Billets Reports'!B1086))</f>
      </c>
      <c r="F1087">
        <f>'R.M Billets Reports'!C1086</f>
      </c>
      <c r="G1087">
        <f>'R.M Billets Reports'!D1086</f>
      </c>
      <c r="H1087">
        <f>'R.M Billets Reports'!E1086</f>
      </c>
      <c r="I1087">
        <f>'R.M Billets Reports'!F1086</f>
      </c>
      <c r="J1087">
        <f>'R.M Billets Reports'!G1086</f>
      </c>
      <c r="K1087">
        <f>'R.M Billets Reports'!H1086</f>
      </c>
      <c r="L1087">
        <f>IF('R.M Billets Reports'!I1086="","",'R.M Billets Reports'!I1086)</f>
      </c>
      <c r="M1087">
        <f t="shared" si="32"/>
      </c>
      <c r="N1087">
        <f>IF('R.M Billets Reports'!J1086="","",'R.M Billets Reports'!J1086)</f>
      </c>
      <c r="O1087">
        <f t="shared" si="33"/>
      </c>
      <c r="P1087">
        <f>IF('R.M Billets Reports'!A1086="SIZE",'R.M Billets Reports'!B1086,P1086)</f>
      </c>
    </row>
    <row r="1088" spans="1:16" x14ac:dyDescent="0.25">
      <c r="A1088">
        <f>IF(OR('R.M Billets Reports'!A1087="Date-",'R.M Billets Reports'!A1087="Date:-"),IF(IF(IF(ISNUMBER(SEARCH("Party Name:-",'R.M Billets Reports'!D1087)),TRIM('R.M Billets Reports'!F1087),IF(ISNUMBER(SEARCH("Party Name-",'R.M Billets Reports'!D1087)),TRIM(MID('R.M Billets Reports'!D1087,SEARCH("-",'R.M Billets Reports'!D1087)+1,200)),""))&lt;&gt;"",IF(ISNUMBER(SEARCH("Party Name:-",'R.M Billets Reports'!D1087)),TRIM('R.M Billets Reports'!F1087),IF(ISNUMBER(SEARCH("Party Name-",'R.M Billets Reports'!D1087)),TRIM(MID('R.M Billets Reports'!D1087,SEARCH("-",'R.M Billets Reports'!D1087)+1,200)),"")),IF(ISNUMBER(SEARCH("Party Name:-",'R.M Billets Reports'!D1088)),TRIM('R.M Billets Reports'!F1088),IF(ISNUMBER(SEARCH("Party Name-",'R.M Billets Reports'!D1088)),TRIM(MID('R.M Billets Reports'!D1088,SEARCH("-",'R.M Billets Reports'!D1088)+1,200)),"")))="VRKP ISPAT PVT LTD","VRKP",IF(IF(IF(ISNUMBER(SEARCH("Party Name:-",'R.M Billets Reports'!D1087)),TRIM('R.M Billets Reports'!F1087),IF(ISNUMBER(SEARCH("Party Name-",'R.M Billets Reports'!D1087)),TRIM(MID('R.M Billets Reports'!D1087,SEARCH("-",'R.M Billets Reports'!D1087)+1,200)),""))&lt;&gt;"",IF(ISNUMBER(SEARCH("Party Name:-",'R.M Billets Reports'!D1087)),TRIM('R.M Billets Reports'!F1087),IF(ISNUMBER(SEARCH("Party Name-",'R.M Billets Reports'!D1087)),TRIM(MID('R.M Billets Reports'!D1087,SEARCH("-",'R.M Billets Reports'!D1087)+1,200)),"")),IF(ISNUMBER(SEARCH("Party Name:-",'R.M Billets Reports'!D1088)),TRIM('R.M Billets Reports'!F1088),IF(ISNUMBER(SEARCH("Party Name-",'R.M Billets Reports'!D1088)),TRIM(MID('R.M Billets Reports'!D1088,SEARCH("-",'R.M Billets Reports'!D1088)+1,200)),"")))="SHRI RADHE","SHREE RADHE",IF(IF(IF(ISNUMBER(SEARCH("Party Name:-",'R.M Billets Reports'!D1087)),TRIM('R.M Billets Reports'!F1087),IF(ISNUMBER(SEARCH("Party Name-",'R.M Billets Reports'!D1087)),TRIM(MID('R.M Billets Reports'!D1087,SEARCH("-",'R.M Billets Reports'!D1087)+1,200)),""))&lt;&gt;"",IF(ISNUMBER(SEARCH("Party Name:-",'R.M Billets Reports'!D1087)),TRIM('R.M Billets Reports'!F1087),IF(ISNUMBER(SEARCH("Party Name-",'R.M Billets Reports'!D1087)),TRIM(MID('R.M Billets Reports'!D1087,SEARCH("-",'R.M Billets Reports'!D1087)+1,200)),"")),IF(ISNUMBER(SEARCH("Party Name:-",'R.M Billets Reports'!D1088)),TRIM('R.M Billets Reports'!F1088),IF(ISNUMBER(SEARCH("Party Name-",'R.M Billets Reports'!D1088)),TRIM(MID('R.M Billets Reports'!D1088,SEARCH("-",'R.M Billets Reports'!D1088)+1,200)),"")))="SHREE RADHE SHAKTI SPONGE AND POWER PVT. LTD.","SHREE RADHE",IF(IF(ISNUMBER(SEARCH("Party Name:-",'R.M Billets Reports'!D1087)),TRIM('R.M Billets Reports'!F1087),IF(ISNUMBER(SEARCH("Party Name-",'R.M Billets Reports'!D1087)),TRIM(MID('R.M Billets Reports'!D1087,SEARCH("-",'R.M Billets Reports'!D1087)+1,200)),""))&lt;&gt;"",IF(ISNUMBER(SEARCH("Party Name:-",'R.M Billets Reports'!D1087)),TRIM('R.M Billets Reports'!F1087),IF(ISNUMBER(SEARCH("Party Name-",'R.M Billets Reports'!D1087)),TRIM(MID('R.M Billets Reports'!D1087,SEARCH("-",'R.M Billets Reports'!D1087)+1,200)),"")),IF(ISNUMBER(SEARCH("Party Name:-",'R.M Billets Reports'!D1088)),TRIM('R.M Billets Reports'!F1088),IF(ISNUMBER(SEARCH("Party Name-",'R.M Billets Reports'!D1088)),TRIM(MID('R.M Billets Reports'!D1088,SEARCH("-",'R.M Billets Reports'!D1088)+1,200)),"")))))),IF(ROW()=2,"",A1087))</f>
      </c>
      <c r="B1088">
        <f>IF(OR('R.M Billets Reports'!A1087="Date-",'R.M Billets Reports'!A1087="Date:-"),'R.M Billets Reports'!B1087,IF(ROW()=2,"",B1087))</f>
      </c>
      <c r="C1088">
        <f>IF('R.M Billets Reports'!A1087="V.No.",'R.M Billets Reports'!B1087,IF(ROW()=2,"",C1087))</f>
      </c>
      <c r="D1088">
        <f>IF('R.M Billets Reports'!A1087&lt;&gt;"",'R.M Billets Reports'!A1087,IF(ROW()=2,"",D1087))</f>
      </c>
      <c r="E1088">
        <f>IF('R.M Billets Reports'!B1087="","",TRIM('R.M Billets Reports'!B1087))</f>
      </c>
      <c r="F1088">
        <f>'R.M Billets Reports'!C1087</f>
      </c>
      <c r="G1088">
        <f>'R.M Billets Reports'!D1087</f>
      </c>
      <c r="H1088">
        <f>'R.M Billets Reports'!E1087</f>
      </c>
      <c r="I1088">
        <f>'R.M Billets Reports'!F1087</f>
      </c>
      <c r="J1088">
        <f>'R.M Billets Reports'!G1087</f>
      </c>
      <c r="K1088">
        <f>'R.M Billets Reports'!H1087</f>
      </c>
      <c r="L1088">
        <f>IF('R.M Billets Reports'!I1087="","",'R.M Billets Reports'!I1087)</f>
      </c>
      <c r="M1088">
        <f t="shared" si="32"/>
      </c>
      <c r="N1088">
        <f>IF('R.M Billets Reports'!J1087="","",'R.M Billets Reports'!J1087)</f>
      </c>
      <c r="O1088">
        <f t="shared" si="33"/>
      </c>
      <c r="P1088">
        <f>IF('R.M Billets Reports'!A1087="SIZE",'R.M Billets Reports'!B1087,P1087)</f>
      </c>
    </row>
    <row r="1089" spans="1:16" x14ac:dyDescent="0.25">
      <c r="A1089">
        <f>IF(OR('R.M Billets Reports'!A1088="Date-",'R.M Billets Reports'!A1088="Date:-"),IF(IF(IF(ISNUMBER(SEARCH("Party Name:-",'R.M Billets Reports'!D1088)),TRIM('R.M Billets Reports'!F1088),IF(ISNUMBER(SEARCH("Party Name-",'R.M Billets Reports'!D1088)),TRIM(MID('R.M Billets Reports'!D1088,SEARCH("-",'R.M Billets Reports'!D1088)+1,200)),""))&lt;&gt;"",IF(ISNUMBER(SEARCH("Party Name:-",'R.M Billets Reports'!D1088)),TRIM('R.M Billets Reports'!F1088),IF(ISNUMBER(SEARCH("Party Name-",'R.M Billets Reports'!D1088)),TRIM(MID('R.M Billets Reports'!D1088,SEARCH("-",'R.M Billets Reports'!D1088)+1,200)),"")),IF(ISNUMBER(SEARCH("Party Name:-",'R.M Billets Reports'!D1089)),TRIM('R.M Billets Reports'!F1089),IF(ISNUMBER(SEARCH("Party Name-",'R.M Billets Reports'!D1089)),TRIM(MID('R.M Billets Reports'!D1089,SEARCH("-",'R.M Billets Reports'!D1089)+1,200)),"")))="VRKP ISPAT PVT LTD","VRKP",IF(IF(IF(ISNUMBER(SEARCH("Party Name:-",'R.M Billets Reports'!D1088)),TRIM('R.M Billets Reports'!F1088),IF(ISNUMBER(SEARCH("Party Name-",'R.M Billets Reports'!D1088)),TRIM(MID('R.M Billets Reports'!D1088,SEARCH("-",'R.M Billets Reports'!D1088)+1,200)),""))&lt;&gt;"",IF(ISNUMBER(SEARCH("Party Name:-",'R.M Billets Reports'!D1088)),TRIM('R.M Billets Reports'!F1088),IF(ISNUMBER(SEARCH("Party Name-",'R.M Billets Reports'!D1088)),TRIM(MID('R.M Billets Reports'!D1088,SEARCH("-",'R.M Billets Reports'!D1088)+1,200)),"")),IF(ISNUMBER(SEARCH("Party Name:-",'R.M Billets Reports'!D1089)),TRIM('R.M Billets Reports'!F1089),IF(ISNUMBER(SEARCH("Party Name-",'R.M Billets Reports'!D1089)),TRIM(MID('R.M Billets Reports'!D1089,SEARCH("-",'R.M Billets Reports'!D1089)+1,200)),"")))="SHRI RADHE","SHREE RADHE",IF(IF(IF(ISNUMBER(SEARCH("Party Name:-",'R.M Billets Reports'!D1088)),TRIM('R.M Billets Reports'!F1088),IF(ISNUMBER(SEARCH("Party Name-",'R.M Billets Reports'!D1088)),TRIM(MID('R.M Billets Reports'!D1088,SEARCH("-",'R.M Billets Reports'!D1088)+1,200)),""))&lt;&gt;"",IF(ISNUMBER(SEARCH("Party Name:-",'R.M Billets Reports'!D1088)),TRIM('R.M Billets Reports'!F1088),IF(ISNUMBER(SEARCH("Party Name-",'R.M Billets Reports'!D1088)),TRIM(MID('R.M Billets Reports'!D1088,SEARCH("-",'R.M Billets Reports'!D1088)+1,200)),"")),IF(ISNUMBER(SEARCH("Party Name:-",'R.M Billets Reports'!D1089)),TRIM('R.M Billets Reports'!F1089),IF(ISNUMBER(SEARCH("Party Name-",'R.M Billets Reports'!D1089)),TRIM(MID('R.M Billets Reports'!D1089,SEARCH("-",'R.M Billets Reports'!D1089)+1,200)),"")))="SHREE RADHE SHAKTI SPONGE AND POWER PVT. LTD.","SHREE RADHE",IF(IF(ISNUMBER(SEARCH("Party Name:-",'R.M Billets Reports'!D1088)),TRIM('R.M Billets Reports'!F1088),IF(ISNUMBER(SEARCH("Party Name-",'R.M Billets Reports'!D1088)),TRIM(MID('R.M Billets Reports'!D1088,SEARCH("-",'R.M Billets Reports'!D1088)+1,200)),""))&lt;&gt;"",IF(ISNUMBER(SEARCH("Party Name:-",'R.M Billets Reports'!D1088)),TRIM('R.M Billets Reports'!F1088),IF(ISNUMBER(SEARCH("Party Name-",'R.M Billets Reports'!D1088)),TRIM(MID('R.M Billets Reports'!D1088,SEARCH("-",'R.M Billets Reports'!D1088)+1,200)),"")),IF(ISNUMBER(SEARCH("Party Name:-",'R.M Billets Reports'!D1089)),TRIM('R.M Billets Reports'!F1089),IF(ISNUMBER(SEARCH("Party Name-",'R.M Billets Reports'!D1089)),TRIM(MID('R.M Billets Reports'!D1089,SEARCH("-",'R.M Billets Reports'!D1089)+1,200)),"")))))),IF(ROW()=2,"",A1088))</f>
      </c>
      <c r="B1089">
        <f>IF(OR('R.M Billets Reports'!A1088="Date-",'R.M Billets Reports'!A1088="Date:-"),'R.M Billets Reports'!B1088,IF(ROW()=2,"",B1088))</f>
      </c>
      <c r="C1089">
        <f>IF('R.M Billets Reports'!A1088="V.No.",'R.M Billets Reports'!B1088,IF(ROW()=2,"",C1088))</f>
      </c>
      <c r="D1089">
        <f>IF('R.M Billets Reports'!A1088&lt;&gt;"",'R.M Billets Reports'!A1088,IF(ROW()=2,"",D1088))</f>
      </c>
      <c r="E1089">
        <f>IF('R.M Billets Reports'!B1088="","",TRIM('R.M Billets Reports'!B1088))</f>
      </c>
      <c r="F1089">
        <f>'R.M Billets Reports'!C1088</f>
      </c>
      <c r="G1089">
        <f>'R.M Billets Reports'!D1088</f>
      </c>
      <c r="H1089">
        <f>'R.M Billets Reports'!E1088</f>
      </c>
      <c r="I1089">
        <f>'R.M Billets Reports'!F1088</f>
      </c>
      <c r="J1089">
        <f>'R.M Billets Reports'!G1088</f>
      </c>
      <c r="K1089">
        <f>'R.M Billets Reports'!H1088</f>
      </c>
      <c r="L1089">
        <f>IF('R.M Billets Reports'!I1088="","",'R.M Billets Reports'!I1088)</f>
      </c>
      <c r="M1089">
        <f t="shared" si="32"/>
      </c>
      <c r="N1089">
        <f>IF('R.M Billets Reports'!J1088="","",'R.M Billets Reports'!J1088)</f>
      </c>
      <c r="O1089">
        <f t="shared" si="33"/>
      </c>
      <c r="P1089">
        <f>IF('R.M Billets Reports'!A1088="SIZE",'R.M Billets Reports'!B1088,P1088)</f>
      </c>
    </row>
    <row r="1090" spans="1:16" x14ac:dyDescent="0.25">
      <c r="A1090">
        <f>IF(OR('R.M Billets Reports'!A1089="Date-",'R.M Billets Reports'!A1089="Date:-"),IF(IF(IF(ISNUMBER(SEARCH("Party Name:-",'R.M Billets Reports'!D1089)),TRIM('R.M Billets Reports'!F1089),IF(ISNUMBER(SEARCH("Party Name-",'R.M Billets Reports'!D1089)),TRIM(MID('R.M Billets Reports'!D1089,SEARCH("-",'R.M Billets Reports'!D1089)+1,200)),""))&lt;&gt;"",IF(ISNUMBER(SEARCH("Party Name:-",'R.M Billets Reports'!D1089)),TRIM('R.M Billets Reports'!F1089),IF(ISNUMBER(SEARCH("Party Name-",'R.M Billets Reports'!D1089)),TRIM(MID('R.M Billets Reports'!D1089,SEARCH("-",'R.M Billets Reports'!D1089)+1,200)),"")),IF(ISNUMBER(SEARCH("Party Name:-",'R.M Billets Reports'!D1090)),TRIM('R.M Billets Reports'!F1090),IF(ISNUMBER(SEARCH("Party Name-",'R.M Billets Reports'!D1090)),TRIM(MID('R.M Billets Reports'!D1090,SEARCH("-",'R.M Billets Reports'!D1090)+1,200)),"")))="VRKP ISPAT PVT LTD","VRKP",IF(IF(IF(ISNUMBER(SEARCH("Party Name:-",'R.M Billets Reports'!D1089)),TRIM('R.M Billets Reports'!F1089),IF(ISNUMBER(SEARCH("Party Name-",'R.M Billets Reports'!D1089)),TRIM(MID('R.M Billets Reports'!D1089,SEARCH("-",'R.M Billets Reports'!D1089)+1,200)),""))&lt;&gt;"",IF(ISNUMBER(SEARCH("Party Name:-",'R.M Billets Reports'!D1089)),TRIM('R.M Billets Reports'!F1089),IF(ISNUMBER(SEARCH("Party Name-",'R.M Billets Reports'!D1089)),TRIM(MID('R.M Billets Reports'!D1089,SEARCH("-",'R.M Billets Reports'!D1089)+1,200)),"")),IF(ISNUMBER(SEARCH("Party Name:-",'R.M Billets Reports'!D1090)),TRIM('R.M Billets Reports'!F1090),IF(ISNUMBER(SEARCH("Party Name-",'R.M Billets Reports'!D1090)),TRIM(MID('R.M Billets Reports'!D1090,SEARCH("-",'R.M Billets Reports'!D1090)+1,200)),"")))="SHRI RADHE","SHREE RADHE",IF(IF(IF(ISNUMBER(SEARCH("Party Name:-",'R.M Billets Reports'!D1089)),TRIM('R.M Billets Reports'!F1089),IF(ISNUMBER(SEARCH("Party Name-",'R.M Billets Reports'!D1089)),TRIM(MID('R.M Billets Reports'!D1089,SEARCH("-",'R.M Billets Reports'!D1089)+1,200)),""))&lt;&gt;"",IF(ISNUMBER(SEARCH("Party Name:-",'R.M Billets Reports'!D1089)),TRIM('R.M Billets Reports'!F1089),IF(ISNUMBER(SEARCH("Party Name-",'R.M Billets Reports'!D1089)),TRIM(MID('R.M Billets Reports'!D1089,SEARCH("-",'R.M Billets Reports'!D1089)+1,200)),"")),IF(ISNUMBER(SEARCH("Party Name:-",'R.M Billets Reports'!D1090)),TRIM('R.M Billets Reports'!F1090),IF(ISNUMBER(SEARCH("Party Name-",'R.M Billets Reports'!D1090)),TRIM(MID('R.M Billets Reports'!D1090,SEARCH("-",'R.M Billets Reports'!D1090)+1,200)),"")))="SHREE RADHE SHAKTI SPONGE AND POWER PVT. LTD.","SHREE RADHE",IF(IF(ISNUMBER(SEARCH("Party Name:-",'R.M Billets Reports'!D1089)),TRIM('R.M Billets Reports'!F1089),IF(ISNUMBER(SEARCH("Party Name-",'R.M Billets Reports'!D1089)),TRIM(MID('R.M Billets Reports'!D1089,SEARCH("-",'R.M Billets Reports'!D1089)+1,200)),""))&lt;&gt;"",IF(ISNUMBER(SEARCH("Party Name:-",'R.M Billets Reports'!D1089)),TRIM('R.M Billets Reports'!F1089),IF(ISNUMBER(SEARCH("Party Name-",'R.M Billets Reports'!D1089)),TRIM(MID('R.M Billets Reports'!D1089,SEARCH("-",'R.M Billets Reports'!D1089)+1,200)),"")),IF(ISNUMBER(SEARCH("Party Name:-",'R.M Billets Reports'!D1090)),TRIM('R.M Billets Reports'!F1090),IF(ISNUMBER(SEARCH("Party Name-",'R.M Billets Reports'!D1090)),TRIM(MID('R.M Billets Reports'!D1090,SEARCH("-",'R.M Billets Reports'!D1090)+1,200)),"")))))),IF(ROW()=2,"",A1089))</f>
      </c>
      <c r="B1090">
        <f>IF(OR('R.M Billets Reports'!A1089="Date-",'R.M Billets Reports'!A1089="Date:-"),'R.M Billets Reports'!B1089,IF(ROW()=2,"",B1089))</f>
      </c>
      <c r="C1090">
        <f>IF('R.M Billets Reports'!A1089="V.No.",'R.M Billets Reports'!B1089,IF(ROW()=2,"",C1089))</f>
      </c>
      <c r="D1090">
        <f>IF('R.M Billets Reports'!A1089&lt;&gt;"",'R.M Billets Reports'!A1089,IF(ROW()=2,"",D1089))</f>
      </c>
      <c r="E1090">
        <f>IF('R.M Billets Reports'!B1089="","",TRIM('R.M Billets Reports'!B1089))</f>
      </c>
      <c r="F1090">
        <f>'R.M Billets Reports'!C1089</f>
      </c>
      <c r="G1090">
        <f>'R.M Billets Reports'!D1089</f>
      </c>
      <c r="H1090">
        <f>'R.M Billets Reports'!E1089</f>
      </c>
      <c r="I1090">
        <f>'R.M Billets Reports'!F1089</f>
      </c>
      <c r="J1090">
        <f>'R.M Billets Reports'!G1089</f>
      </c>
      <c r="K1090">
        <f>'R.M Billets Reports'!H1089</f>
      </c>
      <c r="L1090">
        <f>IF('R.M Billets Reports'!I1089="","",'R.M Billets Reports'!I1089)</f>
      </c>
      <c r="M1090">
        <f t="shared" si="32"/>
      </c>
      <c r="N1090">
        <f>IF('R.M Billets Reports'!J1089="","",'R.M Billets Reports'!J1089)</f>
      </c>
      <c r="O1090">
        <f t="shared" si="33"/>
      </c>
      <c r="P1090">
        <f>IF('R.M Billets Reports'!A1089="SIZE",'R.M Billets Reports'!B1089,P1089)</f>
      </c>
    </row>
    <row r="1091" spans="1:16" x14ac:dyDescent="0.25">
      <c r="A1091">
        <f>IF(OR('R.M Billets Reports'!A1090="Date-",'R.M Billets Reports'!A1090="Date:-"),IF(IF(IF(ISNUMBER(SEARCH("Party Name:-",'R.M Billets Reports'!D1090)),TRIM('R.M Billets Reports'!F1090),IF(ISNUMBER(SEARCH("Party Name-",'R.M Billets Reports'!D1090)),TRIM(MID('R.M Billets Reports'!D1090,SEARCH("-",'R.M Billets Reports'!D1090)+1,200)),""))&lt;&gt;"",IF(ISNUMBER(SEARCH("Party Name:-",'R.M Billets Reports'!D1090)),TRIM('R.M Billets Reports'!F1090),IF(ISNUMBER(SEARCH("Party Name-",'R.M Billets Reports'!D1090)),TRIM(MID('R.M Billets Reports'!D1090,SEARCH("-",'R.M Billets Reports'!D1090)+1,200)),"")),IF(ISNUMBER(SEARCH("Party Name:-",'R.M Billets Reports'!D1091)),TRIM('R.M Billets Reports'!F1091),IF(ISNUMBER(SEARCH("Party Name-",'R.M Billets Reports'!D1091)),TRIM(MID('R.M Billets Reports'!D1091,SEARCH("-",'R.M Billets Reports'!D1091)+1,200)),"")))="VRKP ISPAT PVT LTD","VRKP",IF(IF(IF(ISNUMBER(SEARCH("Party Name:-",'R.M Billets Reports'!D1090)),TRIM('R.M Billets Reports'!F1090),IF(ISNUMBER(SEARCH("Party Name-",'R.M Billets Reports'!D1090)),TRIM(MID('R.M Billets Reports'!D1090,SEARCH("-",'R.M Billets Reports'!D1090)+1,200)),""))&lt;&gt;"",IF(ISNUMBER(SEARCH("Party Name:-",'R.M Billets Reports'!D1090)),TRIM('R.M Billets Reports'!F1090),IF(ISNUMBER(SEARCH("Party Name-",'R.M Billets Reports'!D1090)),TRIM(MID('R.M Billets Reports'!D1090,SEARCH("-",'R.M Billets Reports'!D1090)+1,200)),"")),IF(ISNUMBER(SEARCH("Party Name:-",'R.M Billets Reports'!D1091)),TRIM('R.M Billets Reports'!F1091),IF(ISNUMBER(SEARCH("Party Name-",'R.M Billets Reports'!D1091)),TRIM(MID('R.M Billets Reports'!D1091,SEARCH("-",'R.M Billets Reports'!D1091)+1,200)),"")))="SHRI RADHE","SHREE RADHE",IF(IF(IF(ISNUMBER(SEARCH("Party Name:-",'R.M Billets Reports'!D1090)),TRIM('R.M Billets Reports'!F1090),IF(ISNUMBER(SEARCH("Party Name-",'R.M Billets Reports'!D1090)),TRIM(MID('R.M Billets Reports'!D1090,SEARCH("-",'R.M Billets Reports'!D1090)+1,200)),""))&lt;&gt;"",IF(ISNUMBER(SEARCH("Party Name:-",'R.M Billets Reports'!D1090)),TRIM('R.M Billets Reports'!F1090),IF(ISNUMBER(SEARCH("Party Name-",'R.M Billets Reports'!D1090)),TRIM(MID('R.M Billets Reports'!D1090,SEARCH("-",'R.M Billets Reports'!D1090)+1,200)),"")),IF(ISNUMBER(SEARCH("Party Name:-",'R.M Billets Reports'!D1091)),TRIM('R.M Billets Reports'!F1091),IF(ISNUMBER(SEARCH("Party Name-",'R.M Billets Reports'!D1091)),TRIM(MID('R.M Billets Reports'!D1091,SEARCH("-",'R.M Billets Reports'!D1091)+1,200)),"")))="SHREE RADHE SHAKTI SPONGE AND POWER PVT. LTD.","SHREE RADHE",IF(IF(ISNUMBER(SEARCH("Party Name:-",'R.M Billets Reports'!D1090)),TRIM('R.M Billets Reports'!F1090),IF(ISNUMBER(SEARCH("Party Name-",'R.M Billets Reports'!D1090)),TRIM(MID('R.M Billets Reports'!D1090,SEARCH("-",'R.M Billets Reports'!D1090)+1,200)),""))&lt;&gt;"",IF(ISNUMBER(SEARCH("Party Name:-",'R.M Billets Reports'!D1090)),TRIM('R.M Billets Reports'!F1090),IF(ISNUMBER(SEARCH("Party Name-",'R.M Billets Reports'!D1090)),TRIM(MID('R.M Billets Reports'!D1090,SEARCH("-",'R.M Billets Reports'!D1090)+1,200)),"")),IF(ISNUMBER(SEARCH("Party Name:-",'R.M Billets Reports'!D1091)),TRIM('R.M Billets Reports'!F1091),IF(ISNUMBER(SEARCH("Party Name-",'R.M Billets Reports'!D1091)),TRIM(MID('R.M Billets Reports'!D1091,SEARCH("-",'R.M Billets Reports'!D1091)+1,200)),"")))))),IF(ROW()=2,"",A1090))</f>
      </c>
      <c r="B1091">
        <f>IF(OR('R.M Billets Reports'!A1090="Date-",'R.M Billets Reports'!A1090="Date:-"),'R.M Billets Reports'!B1090,IF(ROW()=2,"",B1090))</f>
      </c>
      <c r="C1091">
        <f>IF('R.M Billets Reports'!A1090="V.No.",'R.M Billets Reports'!B1090,IF(ROW()=2,"",C1090))</f>
      </c>
      <c r="D1091">
        <f>IF('R.M Billets Reports'!A1090&lt;&gt;"",'R.M Billets Reports'!A1090,IF(ROW()=2,"",D1090))</f>
      </c>
      <c r="E1091">
        <f>IF('R.M Billets Reports'!B1090="","",TRIM('R.M Billets Reports'!B1090))</f>
      </c>
      <c r="F1091">
        <f>'R.M Billets Reports'!C1090</f>
      </c>
      <c r="G1091">
        <f>'R.M Billets Reports'!D1090</f>
      </c>
      <c r="H1091">
        <f>'R.M Billets Reports'!E1090</f>
      </c>
      <c r="I1091">
        <f>'R.M Billets Reports'!F1090</f>
      </c>
      <c r="J1091">
        <f>'R.M Billets Reports'!G1090</f>
      </c>
      <c r="K1091">
        <f>'R.M Billets Reports'!H1090</f>
      </c>
      <c r="L1091">
        <f>IF('R.M Billets Reports'!I1090="","",'R.M Billets Reports'!I1090)</f>
      </c>
      <c r="M1091">
        <f t="shared" ref="M1091:M1154" si="34">IF(L1091&lt;&gt;"",L1091,IF(D1091=D1090,M1090,""))</f>
      </c>
      <c r="N1091">
        <f>IF('R.M Billets Reports'!J1090="","",'R.M Billets Reports'!J1090)</f>
      </c>
      <c r="O1091">
        <f t="shared" ref="O1091:O1154" si="35">IF(N1091&lt;&gt;"",N1091,IF(D1091=D1090,O1090,""))</f>
      </c>
      <c r="P1091">
        <f>IF('R.M Billets Reports'!A1090="SIZE",'R.M Billets Reports'!B1090,P1090)</f>
      </c>
    </row>
    <row r="1092" spans="1:16" x14ac:dyDescent="0.25">
      <c r="A1092">
        <f>IF(OR('R.M Billets Reports'!A1091="Date-",'R.M Billets Reports'!A1091="Date:-"),IF(IF(IF(ISNUMBER(SEARCH("Party Name:-",'R.M Billets Reports'!D1091)),TRIM('R.M Billets Reports'!F1091),IF(ISNUMBER(SEARCH("Party Name-",'R.M Billets Reports'!D1091)),TRIM(MID('R.M Billets Reports'!D1091,SEARCH("-",'R.M Billets Reports'!D1091)+1,200)),""))&lt;&gt;"",IF(ISNUMBER(SEARCH("Party Name:-",'R.M Billets Reports'!D1091)),TRIM('R.M Billets Reports'!F1091),IF(ISNUMBER(SEARCH("Party Name-",'R.M Billets Reports'!D1091)),TRIM(MID('R.M Billets Reports'!D1091,SEARCH("-",'R.M Billets Reports'!D1091)+1,200)),"")),IF(ISNUMBER(SEARCH("Party Name:-",'R.M Billets Reports'!D1092)),TRIM('R.M Billets Reports'!F1092),IF(ISNUMBER(SEARCH("Party Name-",'R.M Billets Reports'!D1092)),TRIM(MID('R.M Billets Reports'!D1092,SEARCH("-",'R.M Billets Reports'!D1092)+1,200)),"")))="VRKP ISPAT PVT LTD","VRKP",IF(IF(IF(ISNUMBER(SEARCH("Party Name:-",'R.M Billets Reports'!D1091)),TRIM('R.M Billets Reports'!F1091),IF(ISNUMBER(SEARCH("Party Name-",'R.M Billets Reports'!D1091)),TRIM(MID('R.M Billets Reports'!D1091,SEARCH("-",'R.M Billets Reports'!D1091)+1,200)),""))&lt;&gt;"",IF(ISNUMBER(SEARCH("Party Name:-",'R.M Billets Reports'!D1091)),TRIM('R.M Billets Reports'!F1091),IF(ISNUMBER(SEARCH("Party Name-",'R.M Billets Reports'!D1091)),TRIM(MID('R.M Billets Reports'!D1091,SEARCH("-",'R.M Billets Reports'!D1091)+1,200)),"")),IF(ISNUMBER(SEARCH("Party Name:-",'R.M Billets Reports'!D1092)),TRIM('R.M Billets Reports'!F1092),IF(ISNUMBER(SEARCH("Party Name-",'R.M Billets Reports'!D1092)),TRIM(MID('R.M Billets Reports'!D1092,SEARCH("-",'R.M Billets Reports'!D1092)+1,200)),"")))="SHRI RADHE","SHREE RADHE",IF(IF(IF(ISNUMBER(SEARCH("Party Name:-",'R.M Billets Reports'!D1091)),TRIM('R.M Billets Reports'!F1091),IF(ISNUMBER(SEARCH("Party Name-",'R.M Billets Reports'!D1091)),TRIM(MID('R.M Billets Reports'!D1091,SEARCH("-",'R.M Billets Reports'!D1091)+1,200)),""))&lt;&gt;"",IF(ISNUMBER(SEARCH("Party Name:-",'R.M Billets Reports'!D1091)),TRIM('R.M Billets Reports'!F1091),IF(ISNUMBER(SEARCH("Party Name-",'R.M Billets Reports'!D1091)),TRIM(MID('R.M Billets Reports'!D1091,SEARCH("-",'R.M Billets Reports'!D1091)+1,200)),"")),IF(ISNUMBER(SEARCH("Party Name:-",'R.M Billets Reports'!D1092)),TRIM('R.M Billets Reports'!F1092),IF(ISNUMBER(SEARCH("Party Name-",'R.M Billets Reports'!D1092)),TRIM(MID('R.M Billets Reports'!D1092,SEARCH("-",'R.M Billets Reports'!D1092)+1,200)),"")))="SHREE RADHE SHAKTI SPONGE AND POWER PVT. LTD.","SHREE RADHE",IF(IF(ISNUMBER(SEARCH("Party Name:-",'R.M Billets Reports'!D1091)),TRIM('R.M Billets Reports'!F1091),IF(ISNUMBER(SEARCH("Party Name-",'R.M Billets Reports'!D1091)),TRIM(MID('R.M Billets Reports'!D1091,SEARCH("-",'R.M Billets Reports'!D1091)+1,200)),""))&lt;&gt;"",IF(ISNUMBER(SEARCH("Party Name:-",'R.M Billets Reports'!D1091)),TRIM('R.M Billets Reports'!F1091),IF(ISNUMBER(SEARCH("Party Name-",'R.M Billets Reports'!D1091)),TRIM(MID('R.M Billets Reports'!D1091,SEARCH("-",'R.M Billets Reports'!D1091)+1,200)),"")),IF(ISNUMBER(SEARCH("Party Name:-",'R.M Billets Reports'!D1092)),TRIM('R.M Billets Reports'!F1092),IF(ISNUMBER(SEARCH("Party Name-",'R.M Billets Reports'!D1092)),TRIM(MID('R.M Billets Reports'!D1092,SEARCH("-",'R.M Billets Reports'!D1092)+1,200)),"")))))),IF(ROW()=2,"",A1091))</f>
      </c>
      <c r="B1092">
        <f>IF(OR('R.M Billets Reports'!A1091="Date-",'R.M Billets Reports'!A1091="Date:-"),'R.M Billets Reports'!B1091,IF(ROW()=2,"",B1091))</f>
      </c>
      <c r="C1092">
        <f>IF('R.M Billets Reports'!A1091="V.No.",'R.M Billets Reports'!B1091,IF(ROW()=2,"",C1091))</f>
      </c>
      <c r="D1092">
        <f>IF('R.M Billets Reports'!A1091&lt;&gt;"",'R.M Billets Reports'!A1091,IF(ROW()=2,"",D1091))</f>
      </c>
      <c r="E1092">
        <f>IF('R.M Billets Reports'!B1091="","",TRIM('R.M Billets Reports'!B1091))</f>
      </c>
      <c r="F1092">
        <f>'R.M Billets Reports'!C1091</f>
      </c>
      <c r="G1092">
        <f>'R.M Billets Reports'!D1091</f>
      </c>
      <c r="H1092">
        <f>'R.M Billets Reports'!E1091</f>
      </c>
      <c r="I1092">
        <f>'R.M Billets Reports'!F1091</f>
      </c>
      <c r="J1092">
        <f>'R.M Billets Reports'!G1091</f>
      </c>
      <c r="K1092">
        <f>'R.M Billets Reports'!H1091</f>
      </c>
      <c r="L1092">
        <f>IF('R.M Billets Reports'!I1091="","",'R.M Billets Reports'!I1091)</f>
      </c>
      <c r="M1092">
        <f t="shared" si="34"/>
      </c>
      <c r="N1092">
        <f>IF('R.M Billets Reports'!J1091="","",'R.M Billets Reports'!J1091)</f>
      </c>
      <c r="O1092">
        <f t="shared" si="35"/>
      </c>
      <c r="P1092">
        <f>IF('R.M Billets Reports'!A1091="SIZE",'R.M Billets Reports'!B1091,P1091)</f>
      </c>
    </row>
    <row r="1093" spans="1:16" x14ac:dyDescent="0.25">
      <c r="A1093">
        <f>IF(OR('R.M Billets Reports'!A1092="Date-",'R.M Billets Reports'!A1092="Date:-"),IF(IF(IF(ISNUMBER(SEARCH("Party Name:-",'R.M Billets Reports'!D1092)),TRIM('R.M Billets Reports'!F1092),IF(ISNUMBER(SEARCH("Party Name-",'R.M Billets Reports'!D1092)),TRIM(MID('R.M Billets Reports'!D1092,SEARCH("-",'R.M Billets Reports'!D1092)+1,200)),""))&lt;&gt;"",IF(ISNUMBER(SEARCH("Party Name:-",'R.M Billets Reports'!D1092)),TRIM('R.M Billets Reports'!F1092),IF(ISNUMBER(SEARCH("Party Name-",'R.M Billets Reports'!D1092)),TRIM(MID('R.M Billets Reports'!D1092,SEARCH("-",'R.M Billets Reports'!D1092)+1,200)),"")),IF(ISNUMBER(SEARCH("Party Name:-",'R.M Billets Reports'!D1093)),TRIM('R.M Billets Reports'!F1093),IF(ISNUMBER(SEARCH("Party Name-",'R.M Billets Reports'!D1093)),TRIM(MID('R.M Billets Reports'!D1093,SEARCH("-",'R.M Billets Reports'!D1093)+1,200)),"")))="VRKP ISPAT PVT LTD","VRKP",IF(IF(IF(ISNUMBER(SEARCH("Party Name:-",'R.M Billets Reports'!D1092)),TRIM('R.M Billets Reports'!F1092),IF(ISNUMBER(SEARCH("Party Name-",'R.M Billets Reports'!D1092)),TRIM(MID('R.M Billets Reports'!D1092,SEARCH("-",'R.M Billets Reports'!D1092)+1,200)),""))&lt;&gt;"",IF(ISNUMBER(SEARCH("Party Name:-",'R.M Billets Reports'!D1092)),TRIM('R.M Billets Reports'!F1092),IF(ISNUMBER(SEARCH("Party Name-",'R.M Billets Reports'!D1092)),TRIM(MID('R.M Billets Reports'!D1092,SEARCH("-",'R.M Billets Reports'!D1092)+1,200)),"")),IF(ISNUMBER(SEARCH("Party Name:-",'R.M Billets Reports'!D1093)),TRIM('R.M Billets Reports'!F1093),IF(ISNUMBER(SEARCH("Party Name-",'R.M Billets Reports'!D1093)),TRIM(MID('R.M Billets Reports'!D1093,SEARCH("-",'R.M Billets Reports'!D1093)+1,200)),"")))="SHRI RADHE","SHREE RADHE",IF(IF(IF(ISNUMBER(SEARCH("Party Name:-",'R.M Billets Reports'!D1092)),TRIM('R.M Billets Reports'!F1092),IF(ISNUMBER(SEARCH("Party Name-",'R.M Billets Reports'!D1092)),TRIM(MID('R.M Billets Reports'!D1092,SEARCH("-",'R.M Billets Reports'!D1092)+1,200)),""))&lt;&gt;"",IF(ISNUMBER(SEARCH("Party Name:-",'R.M Billets Reports'!D1092)),TRIM('R.M Billets Reports'!F1092),IF(ISNUMBER(SEARCH("Party Name-",'R.M Billets Reports'!D1092)),TRIM(MID('R.M Billets Reports'!D1092,SEARCH("-",'R.M Billets Reports'!D1092)+1,200)),"")),IF(ISNUMBER(SEARCH("Party Name:-",'R.M Billets Reports'!D1093)),TRIM('R.M Billets Reports'!F1093),IF(ISNUMBER(SEARCH("Party Name-",'R.M Billets Reports'!D1093)),TRIM(MID('R.M Billets Reports'!D1093,SEARCH("-",'R.M Billets Reports'!D1093)+1,200)),"")))="SHREE RADHE SHAKTI SPONGE AND POWER PVT. LTD.","SHREE RADHE",IF(IF(ISNUMBER(SEARCH("Party Name:-",'R.M Billets Reports'!D1092)),TRIM('R.M Billets Reports'!F1092),IF(ISNUMBER(SEARCH("Party Name-",'R.M Billets Reports'!D1092)),TRIM(MID('R.M Billets Reports'!D1092,SEARCH("-",'R.M Billets Reports'!D1092)+1,200)),""))&lt;&gt;"",IF(ISNUMBER(SEARCH("Party Name:-",'R.M Billets Reports'!D1092)),TRIM('R.M Billets Reports'!F1092),IF(ISNUMBER(SEARCH("Party Name-",'R.M Billets Reports'!D1092)),TRIM(MID('R.M Billets Reports'!D1092,SEARCH("-",'R.M Billets Reports'!D1092)+1,200)),"")),IF(ISNUMBER(SEARCH("Party Name:-",'R.M Billets Reports'!D1093)),TRIM('R.M Billets Reports'!F1093),IF(ISNUMBER(SEARCH("Party Name-",'R.M Billets Reports'!D1093)),TRIM(MID('R.M Billets Reports'!D1093,SEARCH("-",'R.M Billets Reports'!D1093)+1,200)),"")))))),IF(ROW()=2,"",A1092))</f>
      </c>
      <c r="B1093">
        <f>IF(OR('R.M Billets Reports'!A1092="Date-",'R.M Billets Reports'!A1092="Date:-"),'R.M Billets Reports'!B1092,IF(ROW()=2,"",B1092))</f>
      </c>
      <c r="C1093">
        <f>IF('R.M Billets Reports'!A1092="V.No.",'R.M Billets Reports'!B1092,IF(ROW()=2,"",C1092))</f>
      </c>
      <c r="D1093">
        <f>IF('R.M Billets Reports'!A1092&lt;&gt;"",'R.M Billets Reports'!A1092,IF(ROW()=2,"",D1092))</f>
      </c>
      <c r="E1093">
        <f>IF('R.M Billets Reports'!B1092="","",TRIM('R.M Billets Reports'!B1092))</f>
      </c>
      <c r="F1093">
        <f>'R.M Billets Reports'!C1092</f>
      </c>
      <c r="G1093">
        <f>'R.M Billets Reports'!D1092</f>
      </c>
      <c r="H1093">
        <f>'R.M Billets Reports'!E1092</f>
      </c>
      <c r="I1093">
        <f>'R.M Billets Reports'!F1092</f>
      </c>
      <c r="J1093">
        <f>'R.M Billets Reports'!G1092</f>
      </c>
      <c r="K1093">
        <f>'R.M Billets Reports'!H1092</f>
      </c>
      <c r="L1093">
        <f>IF('R.M Billets Reports'!I1092="","",'R.M Billets Reports'!I1092)</f>
      </c>
      <c r="M1093">
        <f t="shared" si="34"/>
      </c>
      <c r="N1093">
        <f>IF('R.M Billets Reports'!J1092="","",'R.M Billets Reports'!J1092)</f>
      </c>
      <c r="O1093">
        <f t="shared" si="35"/>
      </c>
      <c r="P1093">
        <f>IF('R.M Billets Reports'!A1092="SIZE",'R.M Billets Reports'!B1092,P1092)</f>
      </c>
    </row>
    <row r="1094" spans="1:16" x14ac:dyDescent="0.25">
      <c r="A1094">
        <f>IF(OR('R.M Billets Reports'!A1093="Date-",'R.M Billets Reports'!A1093="Date:-"),IF(IF(IF(ISNUMBER(SEARCH("Party Name:-",'R.M Billets Reports'!D1093)),TRIM('R.M Billets Reports'!F1093),IF(ISNUMBER(SEARCH("Party Name-",'R.M Billets Reports'!D1093)),TRIM(MID('R.M Billets Reports'!D1093,SEARCH("-",'R.M Billets Reports'!D1093)+1,200)),""))&lt;&gt;"",IF(ISNUMBER(SEARCH("Party Name:-",'R.M Billets Reports'!D1093)),TRIM('R.M Billets Reports'!F1093),IF(ISNUMBER(SEARCH("Party Name-",'R.M Billets Reports'!D1093)),TRIM(MID('R.M Billets Reports'!D1093,SEARCH("-",'R.M Billets Reports'!D1093)+1,200)),"")),IF(ISNUMBER(SEARCH("Party Name:-",'R.M Billets Reports'!D1094)),TRIM('R.M Billets Reports'!F1094),IF(ISNUMBER(SEARCH("Party Name-",'R.M Billets Reports'!D1094)),TRIM(MID('R.M Billets Reports'!D1094,SEARCH("-",'R.M Billets Reports'!D1094)+1,200)),"")))="VRKP ISPAT PVT LTD","VRKP",IF(IF(IF(ISNUMBER(SEARCH("Party Name:-",'R.M Billets Reports'!D1093)),TRIM('R.M Billets Reports'!F1093),IF(ISNUMBER(SEARCH("Party Name-",'R.M Billets Reports'!D1093)),TRIM(MID('R.M Billets Reports'!D1093,SEARCH("-",'R.M Billets Reports'!D1093)+1,200)),""))&lt;&gt;"",IF(ISNUMBER(SEARCH("Party Name:-",'R.M Billets Reports'!D1093)),TRIM('R.M Billets Reports'!F1093),IF(ISNUMBER(SEARCH("Party Name-",'R.M Billets Reports'!D1093)),TRIM(MID('R.M Billets Reports'!D1093,SEARCH("-",'R.M Billets Reports'!D1093)+1,200)),"")),IF(ISNUMBER(SEARCH("Party Name:-",'R.M Billets Reports'!D1094)),TRIM('R.M Billets Reports'!F1094),IF(ISNUMBER(SEARCH("Party Name-",'R.M Billets Reports'!D1094)),TRIM(MID('R.M Billets Reports'!D1094,SEARCH("-",'R.M Billets Reports'!D1094)+1,200)),"")))="SHRI RADHE","SHREE RADHE",IF(IF(IF(ISNUMBER(SEARCH("Party Name:-",'R.M Billets Reports'!D1093)),TRIM('R.M Billets Reports'!F1093),IF(ISNUMBER(SEARCH("Party Name-",'R.M Billets Reports'!D1093)),TRIM(MID('R.M Billets Reports'!D1093,SEARCH("-",'R.M Billets Reports'!D1093)+1,200)),""))&lt;&gt;"",IF(ISNUMBER(SEARCH("Party Name:-",'R.M Billets Reports'!D1093)),TRIM('R.M Billets Reports'!F1093),IF(ISNUMBER(SEARCH("Party Name-",'R.M Billets Reports'!D1093)),TRIM(MID('R.M Billets Reports'!D1093,SEARCH("-",'R.M Billets Reports'!D1093)+1,200)),"")),IF(ISNUMBER(SEARCH("Party Name:-",'R.M Billets Reports'!D1094)),TRIM('R.M Billets Reports'!F1094),IF(ISNUMBER(SEARCH("Party Name-",'R.M Billets Reports'!D1094)),TRIM(MID('R.M Billets Reports'!D1094,SEARCH("-",'R.M Billets Reports'!D1094)+1,200)),"")))="SHREE RADHE SHAKTI SPONGE AND POWER PVT. LTD.","SHREE RADHE",IF(IF(ISNUMBER(SEARCH("Party Name:-",'R.M Billets Reports'!D1093)),TRIM('R.M Billets Reports'!F1093),IF(ISNUMBER(SEARCH("Party Name-",'R.M Billets Reports'!D1093)),TRIM(MID('R.M Billets Reports'!D1093,SEARCH("-",'R.M Billets Reports'!D1093)+1,200)),""))&lt;&gt;"",IF(ISNUMBER(SEARCH("Party Name:-",'R.M Billets Reports'!D1093)),TRIM('R.M Billets Reports'!F1093),IF(ISNUMBER(SEARCH("Party Name-",'R.M Billets Reports'!D1093)),TRIM(MID('R.M Billets Reports'!D1093,SEARCH("-",'R.M Billets Reports'!D1093)+1,200)),"")),IF(ISNUMBER(SEARCH("Party Name:-",'R.M Billets Reports'!D1094)),TRIM('R.M Billets Reports'!F1094),IF(ISNUMBER(SEARCH("Party Name-",'R.M Billets Reports'!D1094)),TRIM(MID('R.M Billets Reports'!D1094,SEARCH("-",'R.M Billets Reports'!D1094)+1,200)),"")))))),IF(ROW()=2,"",A1093))</f>
      </c>
      <c r="B1094">
        <f>IF(OR('R.M Billets Reports'!A1093="Date-",'R.M Billets Reports'!A1093="Date:-"),'R.M Billets Reports'!B1093,IF(ROW()=2,"",B1093))</f>
      </c>
      <c r="C1094">
        <f>IF('R.M Billets Reports'!A1093="V.No.",'R.M Billets Reports'!B1093,IF(ROW()=2,"",C1093))</f>
      </c>
      <c r="D1094">
        <f>IF('R.M Billets Reports'!A1093&lt;&gt;"",'R.M Billets Reports'!A1093,IF(ROW()=2,"",D1093))</f>
      </c>
      <c r="E1094">
        <f>IF('R.M Billets Reports'!B1093="","",TRIM('R.M Billets Reports'!B1093))</f>
      </c>
      <c r="F1094">
        <f>'R.M Billets Reports'!C1093</f>
      </c>
      <c r="G1094">
        <f>'R.M Billets Reports'!D1093</f>
      </c>
      <c r="H1094">
        <f>'R.M Billets Reports'!E1093</f>
      </c>
      <c r="I1094">
        <f>'R.M Billets Reports'!F1093</f>
      </c>
      <c r="J1094">
        <f>'R.M Billets Reports'!G1093</f>
      </c>
      <c r="K1094">
        <f>'R.M Billets Reports'!H1093</f>
      </c>
      <c r="L1094">
        <f>IF('R.M Billets Reports'!I1093="","",'R.M Billets Reports'!I1093)</f>
      </c>
      <c r="M1094">
        <f t="shared" si="34"/>
      </c>
      <c r="N1094">
        <f>IF('R.M Billets Reports'!J1093="","",'R.M Billets Reports'!J1093)</f>
      </c>
      <c r="O1094">
        <f t="shared" si="35"/>
      </c>
      <c r="P1094">
        <f>IF('R.M Billets Reports'!A1093="SIZE",'R.M Billets Reports'!B1093,P1093)</f>
      </c>
    </row>
    <row r="1095" spans="1:16" x14ac:dyDescent="0.25">
      <c r="A1095">
        <f>IF(OR('R.M Billets Reports'!A1094="Date-",'R.M Billets Reports'!A1094="Date:-"),IF(IF(IF(ISNUMBER(SEARCH("Party Name:-",'R.M Billets Reports'!D1094)),TRIM('R.M Billets Reports'!F1094),IF(ISNUMBER(SEARCH("Party Name-",'R.M Billets Reports'!D1094)),TRIM(MID('R.M Billets Reports'!D1094,SEARCH("-",'R.M Billets Reports'!D1094)+1,200)),""))&lt;&gt;"",IF(ISNUMBER(SEARCH("Party Name:-",'R.M Billets Reports'!D1094)),TRIM('R.M Billets Reports'!F1094),IF(ISNUMBER(SEARCH("Party Name-",'R.M Billets Reports'!D1094)),TRIM(MID('R.M Billets Reports'!D1094,SEARCH("-",'R.M Billets Reports'!D1094)+1,200)),"")),IF(ISNUMBER(SEARCH("Party Name:-",'R.M Billets Reports'!D1095)),TRIM('R.M Billets Reports'!F1095),IF(ISNUMBER(SEARCH("Party Name-",'R.M Billets Reports'!D1095)),TRIM(MID('R.M Billets Reports'!D1095,SEARCH("-",'R.M Billets Reports'!D1095)+1,200)),"")))="VRKP ISPAT PVT LTD","VRKP",IF(IF(IF(ISNUMBER(SEARCH("Party Name:-",'R.M Billets Reports'!D1094)),TRIM('R.M Billets Reports'!F1094),IF(ISNUMBER(SEARCH("Party Name-",'R.M Billets Reports'!D1094)),TRIM(MID('R.M Billets Reports'!D1094,SEARCH("-",'R.M Billets Reports'!D1094)+1,200)),""))&lt;&gt;"",IF(ISNUMBER(SEARCH("Party Name:-",'R.M Billets Reports'!D1094)),TRIM('R.M Billets Reports'!F1094),IF(ISNUMBER(SEARCH("Party Name-",'R.M Billets Reports'!D1094)),TRIM(MID('R.M Billets Reports'!D1094,SEARCH("-",'R.M Billets Reports'!D1094)+1,200)),"")),IF(ISNUMBER(SEARCH("Party Name:-",'R.M Billets Reports'!D1095)),TRIM('R.M Billets Reports'!F1095),IF(ISNUMBER(SEARCH("Party Name-",'R.M Billets Reports'!D1095)),TRIM(MID('R.M Billets Reports'!D1095,SEARCH("-",'R.M Billets Reports'!D1095)+1,200)),"")))="SHRI RADHE","SHREE RADHE",IF(IF(IF(ISNUMBER(SEARCH("Party Name:-",'R.M Billets Reports'!D1094)),TRIM('R.M Billets Reports'!F1094),IF(ISNUMBER(SEARCH("Party Name-",'R.M Billets Reports'!D1094)),TRIM(MID('R.M Billets Reports'!D1094,SEARCH("-",'R.M Billets Reports'!D1094)+1,200)),""))&lt;&gt;"",IF(ISNUMBER(SEARCH("Party Name:-",'R.M Billets Reports'!D1094)),TRIM('R.M Billets Reports'!F1094),IF(ISNUMBER(SEARCH("Party Name-",'R.M Billets Reports'!D1094)),TRIM(MID('R.M Billets Reports'!D1094,SEARCH("-",'R.M Billets Reports'!D1094)+1,200)),"")),IF(ISNUMBER(SEARCH("Party Name:-",'R.M Billets Reports'!D1095)),TRIM('R.M Billets Reports'!F1095),IF(ISNUMBER(SEARCH("Party Name-",'R.M Billets Reports'!D1095)),TRIM(MID('R.M Billets Reports'!D1095,SEARCH("-",'R.M Billets Reports'!D1095)+1,200)),"")))="SHREE RADHE SHAKTI SPONGE AND POWER PVT. LTD.","SHREE RADHE",IF(IF(ISNUMBER(SEARCH("Party Name:-",'R.M Billets Reports'!D1094)),TRIM('R.M Billets Reports'!F1094),IF(ISNUMBER(SEARCH("Party Name-",'R.M Billets Reports'!D1094)),TRIM(MID('R.M Billets Reports'!D1094,SEARCH("-",'R.M Billets Reports'!D1094)+1,200)),""))&lt;&gt;"",IF(ISNUMBER(SEARCH("Party Name:-",'R.M Billets Reports'!D1094)),TRIM('R.M Billets Reports'!F1094),IF(ISNUMBER(SEARCH("Party Name-",'R.M Billets Reports'!D1094)),TRIM(MID('R.M Billets Reports'!D1094,SEARCH("-",'R.M Billets Reports'!D1094)+1,200)),"")),IF(ISNUMBER(SEARCH("Party Name:-",'R.M Billets Reports'!D1095)),TRIM('R.M Billets Reports'!F1095),IF(ISNUMBER(SEARCH("Party Name-",'R.M Billets Reports'!D1095)),TRIM(MID('R.M Billets Reports'!D1095,SEARCH("-",'R.M Billets Reports'!D1095)+1,200)),"")))))),IF(ROW()=2,"",A1094))</f>
      </c>
      <c r="B1095">
        <f>IF(OR('R.M Billets Reports'!A1094="Date-",'R.M Billets Reports'!A1094="Date:-"),'R.M Billets Reports'!B1094,IF(ROW()=2,"",B1094))</f>
      </c>
      <c r="C1095">
        <f>IF('R.M Billets Reports'!A1094="V.No.",'R.M Billets Reports'!B1094,IF(ROW()=2,"",C1094))</f>
      </c>
      <c r="D1095">
        <f>IF('R.M Billets Reports'!A1094&lt;&gt;"",'R.M Billets Reports'!A1094,IF(ROW()=2,"",D1094))</f>
      </c>
      <c r="E1095">
        <f>IF('R.M Billets Reports'!B1094="","",TRIM('R.M Billets Reports'!B1094))</f>
      </c>
      <c r="F1095">
        <f>'R.M Billets Reports'!C1094</f>
      </c>
      <c r="G1095">
        <f>'R.M Billets Reports'!D1094</f>
      </c>
      <c r="H1095">
        <f>'R.M Billets Reports'!E1094</f>
      </c>
      <c r="I1095">
        <f>'R.M Billets Reports'!F1094</f>
      </c>
      <c r="J1095">
        <f>'R.M Billets Reports'!G1094</f>
      </c>
      <c r="K1095">
        <f>'R.M Billets Reports'!H1094</f>
      </c>
      <c r="L1095">
        <f>IF('R.M Billets Reports'!I1094="","",'R.M Billets Reports'!I1094)</f>
      </c>
      <c r="M1095">
        <f t="shared" si="34"/>
      </c>
      <c r="N1095">
        <f>IF('R.M Billets Reports'!J1094="","",'R.M Billets Reports'!J1094)</f>
      </c>
      <c r="O1095">
        <f t="shared" si="35"/>
      </c>
      <c r="P1095">
        <f>IF('R.M Billets Reports'!A1094="SIZE",'R.M Billets Reports'!B1094,P1094)</f>
      </c>
    </row>
    <row r="1096" spans="1:16" x14ac:dyDescent="0.25">
      <c r="A1096">
        <f>IF(OR('R.M Billets Reports'!A1095="Date-",'R.M Billets Reports'!A1095="Date:-"),IF(IF(IF(ISNUMBER(SEARCH("Party Name:-",'R.M Billets Reports'!D1095)),TRIM('R.M Billets Reports'!F1095),IF(ISNUMBER(SEARCH("Party Name-",'R.M Billets Reports'!D1095)),TRIM(MID('R.M Billets Reports'!D1095,SEARCH("-",'R.M Billets Reports'!D1095)+1,200)),""))&lt;&gt;"",IF(ISNUMBER(SEARCH("Party Name:-",'R.M Billets Reports'!D1095)),TRIM('R.M Billets Reports'!F1095),IF(ISNUMBER(SEARCH("Party Name-",'R.M Billets Reports'!D1095)),TRIM(MID('R.M Billets Reports'!D1095,SEARCH("-",'R.M Billets Reports'!D1095)+1,200)),"")),IF(ISNUMBER(SEARCH("Party Name:-",'R.M Billets Reports'!D1096)),TRIM('R.M Billets Reports'!F1096),IF(ISNUMBER(SEARCH("Party Name-",'R.M Billets Reports'!D1096)),TRIM(MID('R.M Billets Reports'!D1096,SEARCH("-",'R.M Billets Reports'!D1096)+1,200)),"")))="VRKP ISPAT PVT LTD","VRKP",IF(IF(IF(ISNUMBER(SEARCH("Party Name:-",'R.M Billets Reports'!D1095)),TRIM('R.M Billets Reports'!F1095),IF(ISNUMBER(SEARCH("Party Name-",'R.M Billets Reports'!D1095)),TRIM(MID('R.M Billets Reports'!D1095,SEARCH("-",'R.M Billets Reports'!D1095)+1,200)),""))&lt;&gt;"",IF(ISNUMBER(SEARCH("Party Name:-",'R.M Billets Reports'!D1095)),TRIM('R.M Billets Reports'!F1095),IF(ISNUMBER(SEARCH("Party Name-",'R.M Billets Reports'!D1095)),TRIM(MID('R.M Billets Reports'!D1095,SEARCH("-",'R.M Billets Reports'!D1095)+1,200)),"")),IF(ISNUMBER(SEARCH("Party Name:-",'R.M Billets Reports'!D1096)),TRIM('R.M Billets Reports'!F1096),IF(ISNUMBER(SEARCH("Party Name-",'R.M Billets Reports'!D1096)),TRIM(MID('R.M Billets Reports'!D1096,SEARCH("-",'R.M Billets Reports'!D1096)+1,200)),"")))="SHRI RADHE","SHREE RADHE",IF(IF(IF(ISNUMBER(SEARCH("Party Name:-",'R.M Billets Reports'!D1095)),TRIM('R.M Billets Reports'!F1095),IF(ISNUMBER(SEARCH("Party Name-",'R.M Billets Reports'!D1095)),TRIM(MID('R.M Billets Reports'!D1095,SEARCH("-",'R.M Billets Reports'!D1095)+1,200)),""))&lt;&gt;"",IF(ISNUMBER(SEARCH("Party Name:-",'R.M Billets Reports'!D1095)),TRIM('R.M Billets Reports'!F1095),IF(ISNUMBER(SEARCH("Party Name-",'R.M Billets Reports'!D1095)),TRIM(MID('R.M Billets Reports'!D1095,SEARCH("-",'R.M Billets Reports'!D1095)+1,200)),"")),IF(ISNUMBER(SEARCH("Party Name:-",'R.M Billets Reports'!D1096)),TRIM('R.M Billets Reports'!F1096),IF(ISNUMBER(SEARCH("Party Name-",'R.M Billets Reports'!D1096)),TRIM(MID('R.M Billets Reports'!D1096,SEARCH("-",'R.M Billets Reports'!D1096)+1,200)),"")))="SHREE RADHE SHAKTI SPONGE AND POWER PVT. LTD.","SHREE RADHE",IF(IF(ISNUMBER(SEARCH("Party Name:-",'R.M Billets Reports'!D1095)),TRIM('R.M Billets Reports'!F1095),IF(ISNUMBER(SEARCH("Party Name-",'R.M Billets Reports'!D1095)),TRIM(MID('R.M Billets Reports'!D1095,SEARCH("-",'R.M Billets Reports'!D1095)+1,200)),""))&lt;&gt;"",IF(ISNUMBER(SEARCH("Party Name:-",'R.M Billets Reports'!D1095)),TRIM('R.M Billets Reports'!F1095),IF(ISNUMBER(SEARCH("Party Name-",'R.M Billets Reports'!D1095)),TRIM(MID('R.M Billets Reports'!D1095,SEARCH("-",'R.M Billets Reports'!D1095)+1,200)),"")),IF(ISNUMBER(SEARCH("Party Name:-",'R.M Billets Reports'!D1096)),TRIM('R.M Billets Reports'!F1096),IF(ISNUMBER(SEARCH("Party Name-",'R.M Billets Reports'!D1096)),TRIM(MID('R.M Billets Reports'!D1096,SEARCH("-",'R.M Billets Reports'!D1096)+1,200)),"")))))),IF(ROW()=2,"",A1095))</f>
      </c>
      <c r="B1096">
        <f>IF(OR('R.M Billets Reports'!A1095="Date-",'R.M Billets Reports'!A1095="Date:-"),'R.M Billets Reports'!B1095,IF(ROW()=2,"",B1095))</f>
      </c>
      <c r="C1096">
        <f>IF('R.M Billets Reports'!A1095="V.No.",'R.M Billets Reports'!B1095,IF(ROW()=2,"",C1095))</f>
      </c>
      <c r="D1096">
        <f>IF('R.M Billets Reports'!A1095&lt;&gt;"",'R.M Billets Reports'!A1095,IF(ROW()=2,"",D1095))</f>
      </c>
      <c r="E1096">
        <f>IF('R.M Billets Reports'!B1095="","",TRIM('R.M Billets Reports'!B1095))</f>
      </c>
      <c r="F1096">
        <f>'R.M Billets Reports'!C1095</f>
      </c>
      <c r="G1096">
        <f>'R.M Billets Reports'!D1095</f>
      </c>
      <c r="H1096">
        <f>'R.M Billets Reports'!E1095</f>
      </c>
      <c r="I1096">
        <f>'R.M Billets Reports'!F1095</f>
      </c>
      <c r="J1096">
        <f>'R.M Billets Reports'!G1095</f>
      </c>
      <c r="K1096">
        <f>'R.M Billets Reports'!H1095</f>
      </c>
      <c r="L1096">
        <f>IF('R.M Billets Reports'!I1095="","",'R.M Billets Reports'!I1095)</f>
      </c>
      <c r="M1096">
        <f t="shared" si="34"/>
      </c>
      <c r="N1096">
        <f>IF('R.M Billets Reports'!J1095="","",'R.M Billets Reports'!J1095)</f>
      </c>
      <c r="O1096">
        <f t="shared" si="35"/>
      </c>
      <c r="P1096">
        <f>IF('R.M Billets Reports'!A1095="SIZE",'R.M Billets Reports'!B1095,P1095)</f>
      </c>
    </row>
    <row r="1097" spans="1:16" x14ac:dyDescent="0.25">
      <c r="A1097">
        <f>IF(OR('R.M Billets Reports'!A1096="Date-",'R.M Billets Reports'!A1096="Date:-"),IF(IF(IF(ISNUMBER(SEARCH("Party Name:-",'R.M Billets Reports'!D1096)),TRIM('R.M Billets Reports'!F1096),IF(ISNUMBER(SEARCH("Party Name-",'R.M Billets Reports'!D1096)),TRIM(MID('R.M Billets Reports'!D1096,SEARCH("-",'R.M Billets Reports'!D1096)+1,200)),""))&lt;&gt;"",IF(ISNUMBER(SEARCH("Party Name:-",'R.M Billets Reports'!D1096)),TRIM('R.M Billets Reports'!F1096),IF(ISNUMBER(SEARCH("Party Name-",'R.M Billets Reports'!D1096)),TRIM(MID('R.M Billets Reports'!D1096,SEARCH("-",'R.M Billets Reports'!D1096)+1,200)),"")),IF(ISNUMBER(SEARCH("Party Name:-",'R.M Billets Reports'!D1097)),TRIM('R.M Billets Reports'!F1097),IF(ISNUMBER(SEARCH("Party Name-",'R.M Billets Reports'!D1097)),TRIM(MID('R.M Billets Reports'!D1097,SEARCH("-",'R.M Billets Reports'!D1097)+1,200)),"")))="VRKP ISPAT PVT LTD","VRKP",IF(IF(IF(ISNUMBER(SEARCH("Party Name:-",'R.M Billets Reports'!D1096)),TRIM('R.M Billets Reports'!F1096),IF(ISNUMBER(SEARCH("Party Name-",'R.M Billets Reports'!D1096)),TRIM(MID('R.M Billets Reports'!D1096,SEARCH("-",'R.M Billets Reports'!D1096)+1,200)),""))&lt;&gt;"",IF(ISNUMBER(SEARCH("Party Name:-",'R.M Billets Reports'!D1096)),TRIM('R.M Billets Reports'!F1096),IF(ISNUMBER(SEARCH("Party Name-",'R.M Billets Reports'!D1096)),TRIM(MID('R.M Billets Reports'!D1096,SEARCH("-",'R.M Billets Reports'!D1096)+1,200)),"")),IF(ISNUMBER(SEARCH("Party Name:-",'R.M Billets Reports'!D1097)),TRIM('R.M Billets Reports'!F1097),IF(ISNUMBER(SEARCH("Party Name-",'R.M Billets Reports'!D1097)),TRIM(MID('R.M Billets Reports'!D1097,SEARCH("-",'R.M Billets Reports'!D1097)+1,200)),"")))="SHRI RADHE","SHREE RADHE",IF(IF(IF(ISNUMBER(SEARCH("Party Name:-",'R.M Billets Reports'!D1096)),TRIM('R.M Billets Reports'!F1096),IF(ISNUMBER(SEARCH("Party Name-",'R.M Billets Reports'!D1096)),TRIM(MID('R.M Billets Reports'!D1096,SEARCH("-",'R.M Billets Reports'!D1096)+1,200)),""))&lt;&gt;"",IF(ISNUMBER(SEARCH("Party Name:-",'R.M Billets Reports'!D1096)),TRIM('R.M Billets Reports'!F1096),IF(ISNUMBER(SEARCH("Party Name-",'R.M Billets Reports'!D1096)),TRIM(MID('R.M Billets Reports'!D1096,SEARCH("-",'R.M Billets Reports'!D1096)+1,200)),"")),IF(ISNUMBER(SEARCH("Party Name:-",'R.M Billets Reports'!D1097)),TRIM('R.M Billets Reports'!F1097),IF(ISNUMBER(SEARCH("Party Name-",'R.M Billets Reports'!D1097)),TRIM(MID('R.M Billets Reports'!D1097,SEARCH("-",'R.M Billets Reports'!D1097)+1,200)),"")))="SHREE RADHE SHAKTI SPONGE AND POWER PVT. LTD.","SHREE RADHE",IF(IF(ISNUMBER(SEARCH("Party Name:-",'R.M Billets Reports'!D1096)),TRIM('R.M Billets Reports'!F1096),IF(ISNUMBER(SEARCH("Party Name-",'R.M Billets Reports'!D1096)),TRIM(MID('R.M Billets Reports'!D1096,SEARCH("-",'R.M Billets Reports'!D1096)+1,200)),""))&lt;&gt;"",IF(ISNUMBER(SEARCH("Party Name:-",'R.M Billets Reports'!D1096)),TRIM('R.M Billets Reports'!F1096),IF(ISNUMBER(SEARCH("Party Name-",'R.M Billets Reports'!D1096)),TRIM(MID('R.M Billets Reports'!D1096,SEARCH("-",'R.M Billets Reports'!D1096)+1,200)),"")),IF(ISNUMBER(SEARCH("Party Name:-",'R.M Billets Reports'!D1097)),TRIM('R.M Billets Reports'!F1097),IF(ISNUMBER(SEARCH("Party Name-",'R.M Billets Reports'!D1097)),TRIM(MID('R.M Billets Reports'!D1097,SEARCH("-",'R.M Billets Reports'!D1097)+1,200)),"")))))),IF(ROW()=2,"",A1096))</f>
      </c>
      <c r="B1097">
        <f>IF(OR('R.M Billets Reports'!A1096="Date-",'R.M Billets Reports'!A1096="Date:-"),'R.M Billets Reports'!B1096,IF(ROW()=2,"",B1096))</f>
      </c>
      <c r="C1097">
        <f>IF('R.M Billets Reports'!A1096="V.No.",'R.M Billets Reports'!B1096,IF(ROW()=2,"",C1096))</f>
      </c>
      <c r="D1097">
        <f>IF('R.M Billets Reports'!A1096&lt;&gt;"",'R.M Billets Reports'!A1096,IF(ROW()=2,"",D1096))</f>
      </c>
      <c r="E1097">
        <f>IF('R.M Billets Reports'!B1096="","",TRIM('R.M Billets Reports'!B1096))</f>
      </c>
      <c r="F1097">
        <f>'R.M Billets Reports'!C1096</f>
      </c>
      <c r="G1097">
        <f>'R.M Billets Reports'!D1096</f>
      </c>
      <c r="H1097">
        <f>'R.M Billets Reports'!E1096</f>
      </c>
      <c r="I1097">
        <f>'R.M Billets Reports'!F1096</f>
      </c>
      <c r="J1097">
        <f>'R.M Billets Reports'!G1096</f>
      </c>
      <c r="K1097">
        <f>'R.M Billets Reports'!H1096</f>
      </c>
      <c r="L1097">
        <f>IF('R.M Billets Reports'!I1096="","",'R.M Billets Reports'!I1096)</f>
      </c>
      <c r="M1097">
        <f t="shared" si="34"/>
      </c>
      <c r="N1097">
        <f>IF('R.M Billets Reports'!J1096="","",'R.M Billets Reports'!J1096)</f>
      </c>
      <c r="O1097">
        <f t="shared" si="35"/>
      </c>
      <c r="P1097">
        <f>IF('R.M Billets Reports'!A1096="SIZE",'R.M Billets Reports'!B1096,P1096)</f>
      </c>
    </row>
    <row r="1098" spans="1:16" x14ac:dyDescent="0.25">
      <c r="A1098">
        <f>IF(OR('R.M Billets Reports'!A1097="Date-",'R.M Billets Reports'!A1097="Date:-"),IF(IF(IF(ISNUMBER(SEARCH("Party Name:-",'R.M Billets Reports'!D1097)),TRIM('R.M Billets Reports'!F1097),IF(ISNUMBER(SEARCH("Party Name-",'R.M Billets Reports'!D1097)),TRIM(MID('R.M Billets Reports'!D1097,SEARCH("-",'R.M Billets Reports'!D1097)+1,200)),""))&lt;&gt;"",IF(ISNUMBER(SEARCH("Party Name:-",'R.M Billets Reports'!D1097)),TRIM('R.M Billets Reports'!F1097),IF(ISNUMBER(SEARCH("Party Name-",'R.M Billets Reports'!D1097)),TRIM(MID('R.M Billets Reports'!D1097,SEARCH("-",'R.M Billets Reports'!D1097)+1,200)),"")),IF(ISNUMBER(SEARCH("Party Name:-",'R.M Billets Reports'!D1098)),TRIM('R.M Billets Reports'!F1098),IF(ISNUMBER(SEARCH("Party Name-",'R.M Billets Reports'!D1098)),TRIM(MID('R.M Billets Reports'!D1098,SEARCH("-",'R.M Billets Reports'!D1098)+1,200)),"")))="VRKP ISPAT PVT LTD","VRKP",IF(IF(IF(ISNUMBER(SEARCH("Party Name:-",'R.M Billets Reports'!D1097)),TRIM('R.M Billets Reports'!F1097),IF(ISNUMBER(SEARCH("Party Name-",'R.M Billets Reports'!D1097)),TRIM(MID('R.M Billets Reports'!D1097,SEARCH("-",'R.M Billets Reports'!D1097)+1,200)),""))&lt;&gt;"",IF(ISNUMBER(SEARCH("Party Name:-",'R.M Billets Reports'!D1097)),TRIM('R.M Billets Reports'!F1097),IF(ISNUMBER(SEARCH("Party Name-",'R.M Billets Reports'!D1097)),TRIM(MID('R.M Billets Reports'!D1097,SEARCH("-",'R.M Billets Reports'!D1097)+1,200)),"")),IF(ISNUMBER(SEARCH("Party Name:-",'R.M Billets Reports'!D1098)),TRIM('R.M Billets Reports'!F1098),IF(ISNUMBER(SEARCH("Party Name-",'R.M Billets Reports'!D1098)),TRIM(MID('R.M Billets Reports'!D1098,SEARCH("-",'R.M Billets Reports'!D1098)+1,200)),"")))="SHRI RADHE","SHREE RADHE",IF(IF(IF(ISNUMBER(SEARCH("Party Name:-",'R.M Billets Reports'!D1097)),TRIM('R.M Billets Reports'!F1097),IF(ISNUMBER(SEARCH("Party Name-",'R.M Billets Reports'!D1097)),TRIM(MID('R.M Billets Reports'!D1097,SEARCH("-",'R.M Billets Reports'!D1097)+1,200)),""))&lt;&gt;"",IF(ISNUMBER(SEARCH("Party Name:-",'R.M Billets Reports'!D1097)),TRIM('R.M Billets Reports'!F1097),IF(ISNUMBER(SEARCH("Party Name-",'R.M Billets Reports'!D1097)),TRIM(MID('R.M Billets Reports'!D1097,SEARCH("-",'R.M Billets Reports'!D1097)+1,200)),"")),IF(ISNUMBER(SEARCH("Party Name:-",'R.M Billets Reports'!D1098)),TRIM('R.M Billets Reports'!F1098),IF(ISNUMBER(SEARCH("Party Name-",'R.M Billets Reports'!D1098)),TRIM(MID('R.M Billets Reports'!D1098,SEARCH("-",'R.M Billets Reports'!D1098)+1,200)),"")))="SHREE RADHE SHAKTI SPONGE AND POWER PVT. LTD.","SHREE RADHE",IF(IF(ISNUMBER(SEARCH("Party Name:-",'R.M Billets Reports'!D1097)),TRIM('R.M Billets Reports'!F1097),IF(ISNUMBER(SEARCH("Party Name-",'R.M Billets Reports'!D1097)),TRIM(MID('R.M Billets Reports'!D1097,SEARCH("-",'R.M Billets Reports'!D1097)+1,200)),""))&lt;&gt;"",IF(ISNUMBER(SEARCH("Party Name:-",'R.M Billets Reports'!D1097)),TRIM('R.M Billets Reports'!F1097),IF(ISNUMBER(SEARCH("Party Name-",'R.M Billets Reports'!D1097)),TRIM(MID('R.M Billets Reports'!D1097,SEARCH("-",'R.M Billets Reports'!D1097)+1,200)),"")),IF(ISNUMBER(SEARCH("Party Name:-",'R.M Billets Reports'!D1098)),TRIM('R.M Billets Reports'!F1098),IF(ISNUMBER(SEARCH("Party Name-",'R.M Billets Reports'!D1098)),TRIM(MID('R.M Billets Reports'!D1098,SEARCH("-",'R.M Billets Reports'!D1098)+1,200)),"")))))),IF(ROW()=2,"",A1097))</f>
      </c>
      <c r="B1098">
        <f>IF(OR('R.M Billets Reports'!A1097="Date-",'R.M Billets Reports'!A1097="Date:-"),'R.M Billets Reports'!B1097,IF(ROW()=2,"",B1097))</f>
      </c>
      <c r="C1098">
        <f>IF('R.M Billets Reports'!A1097="V.No.",'R.M Billets Reports'!B1097,IF(ROW()=2,"",C1097))</f>
      </c>
      <c r="D1098">
        <f>IF('R.M Billets Reports'!A1097&lt;&gt;"",'R.M Billets Reports'!A1097,IF(ROW()=2,"",D1097))</f>
      </c>
      <c r="E1098">
        <f>IF('R.M Billets Reports'!B1097="","",TRIM('R.M Billets Reports'!B1097))</f>
      </c>
      <c r="F1098">
        <f>'R.M Billets Reports'!C1097</f>
      </c>
      <c r="G1098">
        <f>'R.M Billets Reports'!D1097</f>
      </c>
      <c r="H1098">
        <f>'R.M Billets Reports'!E1097</f>
      </c>
      <c r="I1098">
        <f>'R.M Billets Reports'!F1097</f>
      </c>
      <c r="J1098">
        <f>'R.M Billets Reports'!G1097</f>
      </c>
      <c r="K1098">
        <f>'R.M Billets Reports'!H1097</f>
      </c>
      <c r="L1098">
        <f>IF('R.M Billets Reports'!I1097="","",'R.M Billets Reports'!I1097)</f>
      </c>
      <c r="M1098">
        <f t="shared" si="34"/>
      </c>
      <c r="N1098">
        <f>IF('R.M Billets Reports'!J1097="","",'R.M Billets Reports'!J1097)</f>
      </c>
      <c r="O1098">
        <f t="shared" si="35"/>
      </c>
      <c r="P1098">
        <f>IF('R.M Billets Reports'!A1097="SIZE",'R.M Billets Reports'!B1097,P1097)</f>
      </c>
    </row>
    <row r="1099" spans="1:16" x14ac:dyDescent="0.25">
      <c r="A1099">
        <f>IF(OR('R.M Billets Reports'!A1098="Date-",'R.M Billets Reports'!A1098="Date:-"),IF(IF(IF(ISNUMBER(SEARCH("Party Name:-",'R.M Billets Reports'!D1098)),TRIM('R.M Billets Reports'!F1098),IF(ISNUMBER(SEARCH("Party Name-",'R.M Billets Reports'!D1098)),TRIM(MID('R.M Billets Reports'!D1098,SEARCH("-",'R.M Billets Reports'!D1098)+1,200)),""))&lt;&gt;"",IF(ISNUMBER(SEARCH("Party Name:-",'R.M Billets Reports'!D1098)),TRIM('R.M Billets Reports'!F1098),IF(ISNUMBER(SEARCH("Party Name-",'R.M Billets Reports'!D1098)),TRIM(MID('R.M Billets Reports'!D1098,SEARCH("-",'R.M Billets Reports'!D1098)+1,200)),"")),IF(ISNUMBER(SEARCH("Party Name:-",'R.M Billets Reports'!D1099)),TRIM('R.M Billets Reports'!F1099),IF(ISNUMBER(SEARCH("Party Name-",'R.M Billets Reports'!D1099)),TRIM(MID('R.M Billets Reports'!D1099,SEARCH("-",'R.M Billets Reports'!D1099)+1,200)),"")))="VRKP ISPAT PVT LTD","VRKP",IF(IF(IF(ISNUMBER(SEARCH("Party Name:-",'R.M Billets Reports'!D1098)),TRIM('R.M Billets Reports'!F1098),IF(ISNUMBER(SEARCH("Party Name-",'R.M Billets Reports'!D1098)),TRIM(MID('R.M Billets Reports'!D1098,SEARCH("-",'R.M Billets Reports'!D1098)+1,200)),""))&lt;&gt;"",IF(ISNUMBER(SEARCH("Party Name:-",'R.M Billets Reports'!D1098)),TRIM('R.M Billets Reports'!F1098),IF(ISNUMBER(SEARCH("Party Name-",'R.M Billets Reports'!D1098)),TRIM(MID('R.M Billets Reports'!D1098,SEARCH("-",'R.M Billets Reports'!D1098)+1,200)),"")),IF(ISNUMBER(SEARCH("Party Name:-",'R.M Billets Reports'!D1099)),TRIM('R.M Billets Reports'!F1099),IF(ISNUMBER(SEARCH("Party Name-",'R.M Billets Reports'!D1099)),TRIM(MID('R.M Billets Reports'!D1099,SEARCH("-",'R.M Billets Reports'!D1099)+1,200)),"")))="SHRI RADHE","SHREE RADHE",IF(IF(IF(ISNUMBER(SEARCH("Party Name:-",'R.M Billets Reports'!D1098)),TRIM('R.M Billets Reports'!F1098),IF(ISNUMBER(SEARCH("Party Name-",'R.M Billets Reports'!D1098)),TRIM(MID('R.M Billets Reports'!D1098,SEARCH("-",'R.M Billets Reports'!D1098)+1,200)),""))&lt;&gt;"",IF(ISNUMBER(SEARCH("Party Name:-",'R.M Billets Reports'!D1098)),TRIM('R.M Billets Reports'!F1098),IF(ISNUMBER(SEARCH("Party Name-",'R.M Billets Reports'!D1098)),TRIM(MID('R.M Billets Reports'!D1098,SEARCH("-",'R.M Billets Reports'!D1098)+1,200)),"")),IF(ISNUMBER(SEARCH("Party Name:-",'R.M Billets Reports'!D1099)),TRIM('R.M Billets Reports'!F1099),IF(ISNUMBER(SEARCH("Party Name-",'R.M Billets Reports'!D1099)),TRIM(MID('R.M Billets Reports'!D1099,SEARCH("-",'R.M Billets Reports'!D1099)+1,200)),"")))="SHREE RADHE SHAKTI SPONGE AND POWER PVT. LTD.","SHREE RADHE",IF(IF(ISNUMBER(SEARCH("Party Name:-",'R.M Billets Reports'!D1098)),TRIM('R.M Billets Reports'!F1098),IF(ISNUMBER(SEARCH("Party Name-",'R.M Billets Reports'!D1098)),TRIM(MID('R.M Billets Reports'!D1098,SEARCH("-",'R.M Billets Reports'!D1098)+1,200)),""))&lt;&gt;"",IF(ISNUMBER(SEARCH("Party Name:-",'R.M Billets Reports'!D1098)),TRIM('R.M Billets Reports'!F1098),IF(ISNUMBER(SEARCH("Party Name-",'R.M Billets Reports'!D1098)),TRIM(MID('R.M Billets Reports'!D1098,SEARCH("-",'R.M Billets Reports'!D1098)+1,200)),"")),IF(ISNUMBER(SEARCH("Party Name:-",'R.M Billets Reports'!D1099)),TRIM('R.M Billets Reports'!F1099),IF(ISNUMBER(SEARCH("Party Name-",'R.M Billets Reports'!D1099)),TRIM(MID('R.M Billets Reports'!D1099,SEARCH("-",'R.M Billets Reports'!D1099)+1,200)),"")))))),IF(ROW()=2,"",A1098))</f>
      </c>
      <c r="B1099">
        <f>IF(OR('R.M Billets Reports'!A1098="Date-",'R.M Billets Reports'!A1098="Date:-"),'R.M Billets Reports'!B1098,IF(ROW()=2,"",B1098))</f>
      </c>
      <c r="C1099">
        <f>IF('R.M Billets Reports'!A1098="V.No.",'R.M Billets Reports'!B1098,IF(ROW()=2,"",C1098))</f>
      </c>
      <c r="D1099">
        <f>IF('R.M Billets Reports'!A1098&lt;&gt;"",'R.M Billets Reports'!A1098,IF(ROW()=2,"",D1098))</f>
      </c>
      <c r="E1099">
        <f>IF('R.M Billets Reports'!B1098="","",TRIM('R.M Billets Reports'!B1098))</f>
      </c>
      <c r="F1099">
        <f>'R.M Billets Reports'!C1098</f>
      </c>
      <c r="G1099">
        <f>'R.M Billets Reports'!D1098</f>
      </c>
      <c r="H1099">
        <f>'R.M Billets Reports'!E1098</f>
      </c>
      <c r="I1099">
        <f>'R.M Billets Reports'!F1098</f>
      </c>
      <c r="J1099">
        <f>'R.M Billets Reports'!G1098</f>
      </c>
      <c r="K1099">
        <f>'R.M Billets Reports'!H1098</f>
      </c>
      <c r="L1099">
        <f>IF('R.M Billets Reports'!I1098="","",'R.M Billets Reports'!I1098)</f>
      </c>
      <c r="M1099">
        <f t="shared" si="34"/>
      </c>
      <c r="N1099">
        <f>IF('R.M Billets Reports'!J1098="","",'R.M Billets Reports'!J1098)</f>
      </c>
      <c r="O1099">
        <f t="shared" si="35"/>
      </c>
      <c r="P1099">
        <f>IF('R.M Billets Reports'!A1098="SIZE",'R.M Billets Reports'!B1098,P1098)</f>
      </c>
    </row>
    <row r="1100" spans="1:16" x14ac:dyDescent="0.25">
      <c r="A1100">
        <f>IF(OR('R.M Billets Reports'!A1099="Date-",'R.M Billets Reports'!A1099="Date:-"),IF(IF(IF(ISNUMBER(SEARCH("Party Name:-",'R.M Billets Reports'!D1099)),TRIM('R.M Billets Reports'!F1099),IF(ISNUMBER(SEARCH("Party Name-",'R.M Billets Reports'!D1099)),TRIM(MID('R.M Billets Reports'!D1099,SEARCH("-",'R.M Billets Reports'!D1099)+1,200)),""))&lt;&gt;"",IF(ISNUMBER(SEARCH("Party Name:-",'R.M Billets Reports'!D1099)),TRIM('R.M Billets Reports'!F1099),IF(ISNUMBER(SEARCH("Party Name-",'R.M Billets Reports'!D1099)),TRIM(MID('R.M Billets Reports'!D1099,SEARCH("-",'R.M Billets Reports'!D1099)+1,200)),"")),IF(ISNUMBER(SEARCH("Party Name:-",'R.M Billets Reports'!D1100)),TRIM('R.M Billets Reports'!F1100),IF(ISNUMBER(SEARCH("Party Name-",'R.M Billets Reports'!D1100)),TRIM(MID('R.M Billets Reports'!D1100,SEARCH("-",'R.M Billets Reports'!D1100)+1,200)),"")))="VRKP ISPAT PVT LTD","VRKP",IF(IF(IF(ISNUMBER(SEARCH("Party Name:-",'R.M Billets Reports'!D1099)),TRIM('R.M Billets Reports'!F1099),IF(ISNUMBER(SEARCH("Party Name-",'R.M Billets Reports'!D1099)),TRIM(MID('R.M Billets Reports'!D1099,SEARCH("-",'R.M Billets Reports'!D1099)+1,200)),""))&lt;&gt;"",IF(ISNUMBER(SEARCH("Party Name:-",'R.M Billets Reports'!D1099)),TRIM('R.M Billets Reports'!F1099),IF(ISNUMBER(SEARCH("Party Name-",'R.M Billets Reports'!D1099)),TRIM(MID('R.M Billets Reports'!D1099,SEARCH("-",'R.M Billets Reports'!D1099)+1,200)),"")),IF(ISNUMBER(SEARCH("Party Name:-",'R.M Billets Reports'!D1100)),TRIM('R.M Billets Reports'!F1100),IF(ISNUMBER(SEARCH("Party Name-",'R.M Billets Reports'!D1100)),TRIM(MID('R.M Billets Reports'!D1100,SEARCH("-",'R.M Billets Reports'!D1100)+1,200)),"")))="SHRI RADHE","SHREE RADHE",IF(IF(IF(ISNUMBER(SEARCH("Party Name:-",'R.M Billets Reports'!D1099)),TRIM('R.M Billets Reports'!F1099),IF(ISNUMBER(SEARCH("Party Name-",'R.M Billets Reports'!D1099)),TRIM(MID('R.M Billets Reports'!D1099,SEARCH("-",'R.M Billets Reports'!D1099)+1,200)),""))&lt;&gt;"",IF(ISNUMBER(SEARCH("Party Name:-",'R.M Billets Reports'!D1099)),TRIM('R.M Billets Reports'!F1099),IF(ISNUMBER(SEARCH("Party Name-",'R.M Billets Reports'!D1099)),TRIM(MID('R.M Billets Reports'!D1099,SEARCH("-",'R.M Billets Reports'!D1099)+1,200)),"")),IF(ISNUMBER(SEARCH("Party Name:-",'R.M Billets Reports'!D1100)),TRIM('R.M Billets Reports'!F1100),IF(ISNUMBER(SEARCH("Party Name-",'R.M Billets Reports'!D1100)),TRIM(MID('R.M Billets Reports'!D1100,SEARCH("-",'R.M Billets Reports'!D1100)+1,200)),"")))="SHREE RADHE SHAKTI SPONGE AND POWER PVT. LTD.","SHREE RADHE",IF(IF(ISNUMBER(SEARCH("Party Name:-",'R.M Billets Reports'!D1099)),TRIM('R.M Billets Reports'!F1099),IF(ISNUMBER(SEARCH("Party Name-",'R.M Billets Reports'!D1099)),TRIM(MID('R.M Billets Reports'!D1099,SEARCH("-",'R.M Billets Reports'!D1099)+1,200)),""))&lt;&gt;"",IF(ISNUMBER(SEARCH("Party Name:-",'R.M Billets Reports'!D1099)),TRIM('R.M Billets Reports'!F1099),IF(ISNUMBER(SEARCH("Party Name-",'R.M Billets Reports'!D1099)),TRIM(MID('R.M Billets Reports'!D1099,SEARCH("-",'R.M Billets Reports'!D1099)+1,200)),"")),IF(ISNUMBER(SEARCH("Party Name:-",'R.M Billets Reports'!D1100)),TRIM('R.M Billets Reports'!F1100),IF(ISNUMBER(SEARCH("Party Name-",'R.M Billets Reports'!D1100)),TRIM(MID('R.M Billets Reports'!D1100,SEARCH("-",'R.M Billets Reports'!D1100)+1,200)),"")))))),IF(ROW()=2,"",A1099))</f>
      </c>
      <c r="B1100">
        <f>IF(OR('R.M Billets Reports'!A1099="Date-",'R.M Billets Reports'!A1099="Date:-"),'R.M Billets Reports'!B1099,IF(ROW()=2,"",B1099))</f>
      </c>
      <c r="C1100">
        <f>IF('R.M Billets Reports'!A1099="V.No.",'R.M Billets Reports'!B1099,IF(ROW()=2,"",C1099))</f>
      </c>
      <c r="D1100">
        <f>IF('R.M Billets Reports'!A1099&lt;&gt;"",'R.M Billets Reports'!A1099,IF(ROW()=2,"",D1099))</f>
      </c>
      <c r="E1100">
        <f>IF('R.M Billets Reports'!B1099="","",TRIM('R.M Billets Reports'!B1099))</f>
      </c>
      <c r="F1100">
        <f>'R.M Billets Reports'!C1099</f>
      </c>
      <c r="G1100">
        <f>'R.M Billets Reports'!D1099</f>
      </c>
      <c r="H1100">
        <f>'R.M Billets Reports'!E1099</f>
      </c>
      <c r="I1100">
        <f>'R.M Billets Reports'!F1099</f>
      </c>
      <c r="J1100">
        <f>'R.M Billets Reports'!G1099</f>
      </c>
      <c r="K1100">
        <f>'R.M Billets Reports'!H1099</f>
      </c>
      <c r="L1100">
        <f>IF('R.M Billets Reports'!I1099="","",'R.M Billets Reports'!I1099)</f>
      </c>
      <c r="M1100">
        <f t="shared" si="34"/>
      </c>
      <c r="N1100">
        <f>IF('R.M Billets Reports'!J1099="","",'R.M Billets Reports'!J1099)</f>
      </c>
      <c r="O1100">
        <f t="shared" si="35"/>
      </c>
      <c r="P1100">
        <f>IF('R.M Billets Reports'!A1099="SIZE",'R.M Billets Reports'!B1099,P1099)</f>
      </c>
    </row>
    <row r="1101" spans="1:16" x14ac:dyDescent="0.25">
      <c r="A1101">
        <f>IF(OR('R.M Billets Reports'!A1100="Date-",'R.M Billets Reports'!A1100="Date:-"),IF(IF(IF(ISNUMBER(SEARCH("Party Name:-",'R.M Billets Reports'!D1100)),TRIM('R.M Billets Reports'!F1100),IF(ISNUMBER(SEARCH("Party Name-",'R.M Billets Reports'!D1100)),TRIM(MID('R.M Billets Reports'!D1100,SEARCH("-",'R.M Billets Reports'!D1100)+1,200)),""))&lt;&gt;"",IF(ISNUMBER(SEARCH("Party Name:-",'R.M Billets Reports'!D1100)),TRIM('R.M Billets Reports'!F1100),IF(ISNUMBER(SEARCH("Party Name-",'R.M Billets Reports'!D1100)),TRIM(MID('R.M Billets Reports'!D1100,SEARCH("-",'R.M Billets Reports'!D1100)+1,200)),"")),IF(ISNUMBER(SEARCH("Party Name:-",'R.M Billets Reports'!D1101)),TRIM('R.M Billets Reports'!F1101),IF(ISNUMBER(SEARCH("Party Name-",'R.M Billets Reports'!D1101)),TRIM(MID('R.M Billets Reports'!D1101,SEARCH("-",'R.M Billets Reports'!D1101)+1,200)),"")))="VRKP ISPAT PVT LTD","VRKP",IF(IF(IF(ISNUMBER(SEARCH("Party Name:-",'R.M Billets Reports'!D1100)),TRIM('R.M Billets Reports'!F1100),IF(ISNUMBER(SEARCH("Party Name-",'R.M Billets Reports'!D1100)),TRIM(MID('R.M Billets Reports'!D1100,SEARCH("-",'R.M Billets Reports'!D1100)+1,200)),""))&lt;&gt;"",IF(ISNUMBER(SEARCH("Party Name:-",'R.M Billets Reports'!D1100)),TRIM('R.M Billets Reports'!F1100),IF(ISNUMBER(SEARCH("Party Name-",'R.M Billets Reports'!D1100)),TRIM(MID('R.M Billets Reports'!D1100,SEARCH("-",'R.M Billets Reports'!D1100)+1,200)),"")),IF(ISNUMBER(SEARCH("Party Name:-",'R.M Billets Reports'!D1101)),TRIM('R.M Billets Reports'!F1101),IF(ISNUMBER(SEARCH("Party Name-",'R.M Billets Reports'!D1101)),TRIM(MID('R.M Billets Reports'!D1101,SEARCH("-",'R.M Billets Reports'!D1101)+1,200)),"")))="SHRI RADHE","SHREE RADHE",IF(IF(IF(ISNUMBER(SEARCH("Party Name:-",'R.M Billets Reports'!D1100)),TRIM('R.M Billets Reports'!F1100),IF(ISNUMBER(SEARCH("Party Name-",'R.M Billets Reports'!D1100)),TRIM(MID('R.M Billets Reports'!D1100,SEARCH("-",'R.M Billets Reports'!D1100)+1,200)),""))&lt;&gt;"",IF(ISNUMBER(SEARCH("Party Name:-",'R.M Billets Reports'!D1100)),TRIM('R.M Billets Reports'!F1100),IF(ISNUMBER(SEARCH("Party Name-",'R.M Billets Reports'!D1100)),TRIM(MID('R.M Billets Reports'!D1100,SEARCH("-",'R.M Billets Reports'!D1100)+1,200)),"")),IF(ISNUMBER(SEARCH("Party Name:-",'R.M Billets Reports'!D1101)),TRIM('R.M Billets Reports'!F1101),IF(ISNUMBER(SEARCH("Party Name-",'R.M Billets Reports'!D1101)),TRIM(MID('R.M Billets Reports'!D1101,SEARCH("-",'R.M Billets Reports'!D1101)+1,200)),"")))="SHREE RADHE SHAKTI SPONGE AND POWER PVT. LTD.","SHREE RADHE",IF(IF(ISNUMBER(SEARCH("Party Name:-",'R.M Billets Reports'!D1100)),TRIM('R.M Billets Reports'!F1100),IF(ISNUMBER(SEARCH("Party Name-",'R.M Billets Reports'!D1100)),TRIM(MID('R.M Billets Reports'!D1100,SEARCH("-",'R.M Billets Reports'!D1100)+1,200)),""))&lt;&gt;"",IF(ISNUMBER(SEARCH("Party Name:-",'R.M Billets Reports'!D1100)),TRIM('R.M Billets Reports'!F1100),IF(ISNUMBER(SEARCH("Party Name-",'R.M Billets Reports'!D1100)),TRIM(MID('R.M Billets Reports'!D1100,SEARCH("-",'R.M Billets Reports'!D1100)+1,200)),"")),IF(ISNUMBER(SEARCH("Party Name:-",'R.M Billets Reports'!D1101)),TRIM('R.M Billets Reports'!F1101),IF(ISNUMBER(SEARCH("Party Name-",'R.M Billets Reports'!D1101)),TRIM(MID('R.M Billets Reports'!D1101,SEARCH("-",'R.M Billets Reports'!D1101)+1,200)),"")))))),IF(ROW()=2,"",A1100))</f>
      </c>
      <c r="B1101">
        <f>IF(OR('R.M Billets Reports'!A1100="Date-",'R.M Billets Reports'!A1100="Date:-"),'R.M Billets Reports'!B1100,IF(ROW()=2,"",B1100))</f>
      </c>
      <c r="C1101">
        <f>IF('R.M Billets Reports'!A1100="V.No.",'R.M Billets Reports'!B1100,IF(ROW()=2,"",C1100))</f>
      </c>
      <c r="D1101">
        <f>IF('R.M Billets Reports'!A1100&lt;&gt;"",'R.M Billets Reports'!A1100,IF(ROW()=2,"",D1100))</f>
      </c>
      <c r="E1101">
        <f>IF('R.M Billets Reports'!B1100="","",TRIM('R.M Billets Reports'!B1100))</f>
      </c>
      <c r="F1101">
        <f>'R.M Billets Reports'!C1100</f>
      </c>
      <c r="G1101">
        <f>'R.M Billets Reports'!D1100</f>
      </c>
      <c r="H1101">
        <f>'R.M Billets Reports'!E1100</f>
      </c>
      <c r="I1101">
        <f>'R.M Billets Reports'!F1100</f>
      </c>
      <c r="J1101">
        <f>'R.M Billets Reports'!G1100</f>
      </c>
      <c r="K1101">
        <f>'R.M Billets Reports'!H1100</f>
      </c>
      <c r="L1101">
        <f>IF('R.M Billets Reports'!I1100="","",'R.M Billets Reports'!I1100)</f>
      </c>
      <c r="M1101">
        <f t="shared" si="34"/>
      </c>
      <c r="N1101">
        <f>IF('R.M Billets Reports'!J1100="","",'R.M Billets Reports'!J1100)</f>
      </c>
      <c r="O1101">
        <f t="shared" si="35"/>
      </c>
      <c r="P1101">
        <f>IF('R.M Billets Reports'!A1100="SIZE",'R.M Billets Reports'!B1100,P1100)</f>
      </c>
    </row>
    <row r="1102" spans="1:16" x14ac:dyDescent="0.25">
      <c r="A1102">
        <f>IF(OR('R.M Billets Reports'!A1101="Date-",'R.M Billets Reports'!A1101="Date:-"),IF(IF(IF(ISNUMBER(SEARCH("Party Name:-",'R.M Billets Reports'!D1101)),TRIM('R.M Billets Reports'!F1101),IF(ISNUMBER(SEARCH("Party Name-",'R.M Billets Reports'!D1101)),TRIM(MID('R.M Billets Reports'!D1101,SEARCH("-",'R.M Billets Reports'!D1101)+1,200)),""))&lt;&gt;"",IF(ISNUMBER(SEARCH("Party Name:-",'R.M Billets Reports'!D1101)),TRIM('R.M Billets Reports'!F1101),IF(ISNUMBER(SEARCH("Party Name-",'R.M Billets Reports'!D1101)),TRIM(MID('R.M Billets Reports'!D1101,SEARCH("-",'R.M Billets Reports'!D1101)+1,200)),"")),IF(ISNUMBER(SEARCH("Party Name:-",'R.M Billets Reports'!D1102)),TRIM('R.M Billets Reports'!F1102),IF(ISNUMBER(SEARCH("Party Name-",'R.M Billets Reports'!D1102)),TRIM(MID('R.M Billets Reports'!D1102,SEARCH("-",'R.M Billets Reports'!D1102)+1,200)),"")))="VRKP ISPAT PVT LTD","VRKP",IF(IF(IF(ISNUMBER(SEARCH("Party Name:-",'R.M Billets Reports'!D1101)),TRIM('R.M Billets Reports'!F1101),IF(ISNUMBER(SEARCH("Party Name-",'R.M Billets Reports'!D1101)),TRIM(MID('R.M Billets Reports'!D1101,SEARCH("-",'R.M Billets Reports'!D1101)+1,200)),""))&lt;&gt;"",IF(ISNUMBER(SEARCH("Party Name:-",'R.M Billets Reports'!D1101)),TRIM('R.M Billets Reports'!F1101),IF(ISNUMBER(SEARCH("Party Name-",'R.M Billets Reports'!D1101)),TRIM(MID('R.M Billets Reports'!D1101,SEARCH("-",'R.M Billets Reports'!D1101)+1,200)),"")),IF(ISNUMBER(SEARCH("Party Name:-",'R.M Billets Reports'!D1102)),TRIM('R.M Billets Reports'!F1102),IF(ISNUMBER(SEARCH("Party Name-",'R.M Billets Reports'!D1102)),TRIM(MID('R.M Billets Reports'!D1102,SEARCH("-",'R.M Billets Reports'!D1102)+1,200)),"")))="SHRI RADHE","SHREE RADHE",IF(IF(IF(ISNUMBER(SEARCH("Party Name:-",'R.M Billets Reports'!D1101)),TRIM('R.M Billets Reports'!F1101),IF(ISNUMBER(SEARCH("Party Name-",'R.M Billets Reports'!D1101)),TRIM(MID('R.M Billets Reports'!D1101,SEARCH("-",'R.M Billets Reports'!D1101)+1,200)),""))&lt;&gt;"",IF(ISNUMBER(SEARCH("Party Name:-",'R.M Billets Reports'!D1101)),TRIM('R.M Billets Reports'!F1101),IF(ISNUMBER(SEARCH("Party Name-",'R.M Billets Reports'!D1101)),TRIM(MID('R.M Billets Reports'!D1101,SEARCH("-",'R.M Billets Reports'!D1101)+1,200)),"")),IF(ISNUMBER(SEARCH("Party Name:-",'R.M Billets Reports'!D1102)),TRIM('R.M Billets Reports'!F1102),IF(ISNUMBER(SEARCH("Party Name-",'R.M Billets Reports'!D1102)),TRIM(MID('R.M Billets Reports'!D1102,SEARCH("-",'R.M Billets Reports'!D1102)+1,200)),"")))="SHREE RADHE SHAKTI SPONGE AND POWER PVT. LTD.","SHREE RADHE",IF(IF(ISNUMBER(SEARCH("Party Name:-",'R.M Billets Reports'!D1101)),TRIM('R.M Billets Reports'!F1101),IF(ISNUMBER(SEARCH("Party Name-",'R.M Billets Reports'!D1101)),TRIM(MID('R.M Billets Reports'!D1101,SEARCH("-",'R.M Billets Reports'!D1101)+1,200)),""))&lt;&gt;"",IF(ISNUMBER(SEARCH("Party Name:-",'R.M Billets Reports'!D1101)),TRIM('R.M Billets Reports'!F1101),IF(ISNUMBER(SEARCH("Party Name-",'R.M Billets Reports'!D1101)),TRIM(MID('R.M Billets Reports'!D1101,SEARCH("-",'R.M Billets Reports'!D1101)+1,200)),"")),IF(ISNUMBER(SEARCH("Party Name:-",'R.M Billets Reports'!D1102)),TRIM('R.M Billets Reports'!F1102),IF(ISNUMBER(SEARCH("Party Name-",'R.M Billets Reports'!D1102)),TRIM(MID('R.M Billets Reports'!D1102,SEARCH("-",'R.M Billets Reports'!D1102)+1,200)),"")))))),IF(ROW()=2,"",A1101))</f>
      </c>
      <c r="B1102">
        <f>IF(OR('R.M Billets Reports'!A1101="Date-",'R.M Billets Reports'!A1101="Date:-"),'R.M Billets Reports'!B1101,IF(ROW()=2,"",B1101))</f>
      </c>
      <c r="C1102">
        <f>IF('R.M Billets Reports'!A1101="V.No.",'R.M Billets Reports'!B1101,IF(ROW()=2,"",C1101))</f>
      </c>
      <c r="D1102">
        <f>IF('R.M Billets Reports'!A1101&lt;&gt;"",'R.M Billets Reports'!A1101,IF(ROW()=2,"",D1101))</f>
      </c>
      <c r="E1102">
        <f>IF('R.M Billets Reports'!B1101="","",TRIM('R.M Billets Reports'!B1101))</f>
      </c>
      <c r="F1102">
        <f>'R.M Billets Reports'!C1101</f>
      </c>
      <c r="G1102">
        <f>'R.M Billets Reports'!D1101</f>
      </c>
      <c r="H1102">
        <f>'R.M Billets Reports'!E1101</f>
      </c>
      <c r="I1102">
        <f>'R.M Billets Reports'!F1101</f>
      </c>
      <c r="J1102">
        <f>'R.M Billets Reports'!G1101</f>
      </c>
      <c r="K1102">
        <f>'R.M Billets Reports'!H1101</f>
      </c>
      <c r="L1102">
        <f>IF('R.M Billets Reports'!I1101="","",'R.M Billets Reports'!I1101)</f>
      </c>
      <c r="M1102">
        <f t="shared" si="34"/>
      </c>
      <c r="N1102">
        <f>IF('R.M Billets Reports'!J1101="","",'R.M Billets Reports'!J1101)</f>
      </c>
      <c r="O1102">
        <f t="shared" si="35"/>
      </c>
      <c r="P1102">
        <f>IF('R.M Billets Reports'!A1101="SIZE",'R.M Billets Reports'!B1101,P1101)</f>
      </c>
    </row>
    <row r="1103" spans="1:16" x14ac:dyDescent="0.25">
      <c r="A1103">
        <f>IF(OR('R.M Billets Reports'!A1102="Date-",'R.M Billets Reports'!A1102="Date:-"),IF(IF(IF(ISNUMBER(SEARCH("Party Name:-",'R.M Billets Reports'!D1102)),TRIM('R.M Billets Reports'!F1102),IF(ISNUMBER(SEARCH("Party Name-",'R.M Billets Reports'!D1102)),TRIM(MID('R.M Billets Reports'!D1102,SEARCH("-",'R.M Billets Reports'!D1102)+1,200)),""))&lt;&gt;"",IF(ISNUMBER(SEARCH("Party Name:-",'R.M Billets Reports'!D1102)),TRIM('R.M Billets Reports'!F1102),IF(ISNUMBER(SEARCH("Party Name-",'R.M Billets Reports'!D1102)),TRIM(MID('R.M Billets Reports'!D1102,SEARCH("-",'R.M Billets Reports'!D1102)+1,200)),"")),IF(ISNUMBER(SEARCH("Party Name:-",'R.M Billets Reports'!D1103)),TRIM('R.M Billets Reports'!F1103),IF(ISNUMBER(SEARCH("Party Name-",'R.M Billets Reports'!D1103)),TRIM(MID('R.M Billets Reports'!D1103,SEARCH("-",'R.M Billets Reports'!D1103)+1,200)),"")))="VRKP ISPAT PVT LTD","VRKP",IF(IF(IF(ISNUMBER(SEARCH("Party Name:-",'R.M Billets Reports'!D1102)),TRIM('R.M Billets Reports'!F1102),IF(ISNUMBER(SEARCH("Party Name-",'R.M Billets Reports'!D1102)),TRIM(MID('R.M Billets Reports'!D1102,SEARCH("-",'R.M Billets Reports'!D1102)+1,200)),""))&lt;&gt;"",IF(ISNUMBER(SEARCH("Party Name:-",'R.M Billets Reports'!D1102)),TRIM('R.M Billets Reports'!F1102),IF(ISNUMBER(SEARCH("Party Name-",'R.M Billets Reports'!D1102)),TRIM(MID('R.M Billets Reports'!D1102,SEARCH("-",'R.M Billets Reports'!D1102)+1,200)),"")),IF(ISNUMBER(SEARCH("Party Name:-",'R.M Billets Reports'!D1103)),TRIM('R.M Billets Reports'!F1103),IF(ISNUMBER(SEARCH("Party Name-",'R.M Billets Reports'!D1103)),TRIM(MID('R.M Billets Reports'!D1103,SEARCH("-",'R.M Billets Reports'!D1103)+1,200)),"")))="SHRI RADHE","SHREE RADHE",IF(IF(IF(ISNUMBER(SEARCH("Party Name:-",'R.M Billets Reports'!D1102)),TRIM('R.M Billets Reports'!F1102),IF(ISNUMBER(SEARCH("Party Name-",'R.M Billets Reports'!D1102)),TRIM(MID('R.M Billets Reports'!D1102,SEARCH("-",'R.M Billets Reports'!D1102)+1,200)),""))&lt;&gt;"",IF(ISNUMBER(SEARCH("Party Name:-",'R.M Billets Reports'!D1102)),TRIM('R.M Billets Reports'!F1102),IF(ISNUMBER(SEARCH("Party Name-",'R.M Billets Reports'!D1102)),TRIM(MID('R.M Billets Reports'!D1102,SEARCH("-",'R.M Billets Reports'!D1102)+1,200)),"")),IF(ISNUMBER(SEARCH("Party Name:-",'R.M Billets Reports'!D1103)),TRIM('R.M Billets Reports'!F1103),IF(ISNUMBER(SEARCH("Party Name-",'R.M Billets Reports'!D1103)),TRIM(MID('R.M Billets Reports'!D1103,SEARCH("-",'R.M Billets Reports'!D1103)+1,200)),"")))="SHREE RADHE SHAKTI SPONGE AND POWER PVT. LTD.","SHREE RADHE",IF(IF(ISNUMBER(SEARCH("Party Name:-",'R.M Billets Reports'!D1102)),TRIM('R.M Billets Reports'!F1102),IF(ISNUMBER(SEARCH("Party Name-",'R.M Billets Reports'!D1102)),TRIM(MID('R.M Billets Reports'!D1102,SEARCH("-",'R.M Billets Reports'!D1102)+1,200)),""))&lt;&gt;"",IF(ISNUMBER(SEARCH("Party Name:-",'R.M Billets Reports'!D1102)),TRIM('R.M Billets Reports'!F1102),IF(ISNUMBER(SEARCH("Party Name-",'R.M Billets Reports'!D1102)),TRIM(MID('R.M Billets Reports'!D1102,SEARCH("-",'R.M Billets Reports'!D1102)+1,200)),"")),IF(ISNUMBER(SEARCH("Party Name:-",'R.M Billets Reports'!D1103)),TRIM('R.M Billets Reports'!F1103),IF(ISNUMBER(SEARCH("Party Name-",'R.M Billets Reports'!D1103)),TRIM(MID('R.M Billets Reports'!D1103,SEARCH("-",'R.M Billets Reports'!D1103)+1,200)),"")))))),IF(ROW()=2,"",A1102))</f>
      </c>
      <c r="B1103">
        <f>IF(OR('R.M Billets Reports'!A1102="Date-",'R.M Billets Reports'!A1102="Date:-"),'R.M Billets Reports'!B1102,IF(ROW()=2,"",B1102))</f>
      </c>
      <c r="C1103">
        <f>IF('R.M Billets Reports'!A1102="V.No.",'R.M Billets Reports'!B1102,IF(ROW()=2,"",C1102))</f>
      </c>
      <c r="D1103">
        <f>IF('R.M Billets Reports'!A1102&lt;&gt;"",'R.M Billets Reports'!A1102,IF(ROW()=2,"",D1102))</f>
      </c>
      <c r="E1103">
        <f>IF('R.M Billets Reports'!B1102="","",TRIM('R.M Billets Reports'!B1102))</f>
      </c>
      <c r="F1103">
        <f>'R.M Billets Reports'!C1102</f>
      </c>
      <c r="G1103">
        <f>'R.M Billets Reports'!D1102</f>
      </c>
      <c r="H1103">
        <f>'R.M Billets Reports'!E1102</f>
      </c>
      <c r="I1103">
        <f>'R.M Billets Reports'!F1102</f>
      </c>
      <c r="J1103">
        <f>'R.M Billets Reports'!G1102</f>
      </c>
      <c r="K1103">
        <f>'R.M Billets Reports'!H1102</f>
      </c>
      <c r="L1103">
        <f>IF('R.M Billets Reports'!I1102="","",'R.M Billets Reports'!I1102)</f>
      </c>
      <c r="M1103">
        <f t="shared" si="34"/>
      </c>
      <c r="N1103">
        <f>IF('R.M Billets Reports'!J1102="","",'R.M Billets Reports'!J1102)</f>
      </c>
      <c r="O1103">
        <f t="shared" si="35"/>
      </c>
      <c r="P1103">
        <f>IF('R.M Billets Reports'!A1102="SIZE",'R.M Billets Reports'!B1102,P1102)</f>
      </c>
    </row>
    <row r="1104" spans="1:16" x14ac:dyDescent="0.25">
      <c r="A1104">
        <f>IF(OR('R.M Billets Reports'!A1103="Date-",'R.M Billets Reports'!A1103="Date:-"),IF(IF(IF(ISNUMBER(SEARCH("Party Name:-",'R.M Billets Reports'!D1103)),TRIM('R.M Billets Reports'!F1103),IF(ISNUMBER(SEARCH("Party Name-",'R.M Billets Reports'!D1103)),TRIM(MID('R.M Billets Reports'!D1103,SEARCH("-",'R.M Billets Reports'!D1103)+1,200)),""))&lt;&gt;"",IF(ISNUMBER(SEARCH("Party Name:-",'R.M Billets Reports'!D1103)),TRIM('R.M Billets Reports'!F1103),IF(ISNUMBER(SEARCH("Party Name-",'R.M Billets Reports'!D1103)),TRIM(MID('R.M Billets Reports'!D1103,SEARCH("-",'R.M Billets Reports'!D1103)+1,200)),"")),IF(ISNUMBER(SEARCH("Party Name:-",'R.M Billets Reports'!D1104)),TRIM('R.M Billets Reports'!F1104),IF(ISNUMBER(SEARCH("Party Name-",'R.M Billets Reports'!D1104)),TRIM(MID('R.M Billets Reports'!D1104,SEARCH("-",'R.M Billets Reports'!D1104)+1,200)),"")))="VRKP ISPAT PVT LTD","VRKP",IF(IF(IF(ISNUMBER(SEARCH("Party Name:-",'R.M Billets Reports'!D1103)),TRIM('R.M Billets Reports'!F1103),IF(ISNUMBER(SEARCH("Party Name-",'R.M Billets Reports'!D1103)),TRIM(MID('R.M Billets Reports'!D1103,SEARCH("-",'R.M Billets Reports'!D1103)+1,200)),""))&lt;&gt;"",IF(ISNUMBER(SEARCH("Party Name:-",'R.M Billets Reports'!D1103)),TRIM('R.M Billets Reports'!F1103),IF(ISNUMBER(SEARCH("Party Name-",'R.M Billets Reports'!D1103)),TRIM(MID('R.M Billets Reports'!D1103,SEARCH("-",'R.M Billets Reports'!D1103)+1,200)),"")),IF(ISNUMBER(SEARCH("Party Name:-",'R.M Billets Reports'!D1104)),TRIM('R.M Billets Reports'!F1104),IF(ISNUMBER(SEARCH("Party Name-",'R.M Billets Reports'!D1104)),TRIM(MID('R.M Billets Reports'!D1104,SEARCH("-",'R.M Billets Reports'!D1104)+1,200)),"")))="SHRI RADHE","SHREE RADHE",IF(IF(IF(ISNUMBER(SEARCH("Party Name:-",'R.M Billets Reports'!D1103)),TRIM('R.M Billets Reports'!F1103),IF(ISNUMBER(SEARCH("Party Name-",'R.M Billets Reports'!D1103)),TRIM(MID('R.M Billets Reports'!D1103,SEARCH("-",'R.M Billets Reports'!D1103)+1,200)),""))&lt;&gt;"",IF(ISNUMBER(SEARCH("Party Name:-",'R.M Billets Reports'!D1103)),TRIM('R.M Billets Reports'!F1103),IF(ISNUMBER(SEARCH("Party Name-",'R.M Billets Reports'!D1103)),TRIM(MID('R.M Billets Reports'!D1103,SEARCH("-",'R.M Billets Reports'!D1103)+1,200)),"")),IF(ISNUMBER(SEARCH("Party Name:-",'R.M Billets Reports'!D1104)),TRIM('R.M Billets Reports'!F1104),IF(ISNUMBER(SEARCH("Party Name-",'R.M Billets Reports'!D1104)),TRIM(MID('R.M Billets Reports'!D1104,SEARCH("-",'R.M Billets Reports'!D1104)+1,200)),"")))="SHREE RADHE SHAKTI SPONGE AND POWER PVT. LTD.","SHREE RADHE",IF(IF(ISNUMBER(SEARCH("Party Name:-",'R.M Billets Reports'!D1103)),TRIM('R.M Billets Reports'!F1103),IF(ISNUMBER(SEARCH("Party Name-",'R.M Billets Reports'!D1103)),TRIM(MID('R.M Billets Reports'!D1103,SEARCH("-",'R.M Billets Reports'!D1103)+1,200)),""))&lt;&gt;"",IF(ISNUMBER(SEARCH("Party Name:-",'R.M Billets Reports'!D1103)),TRIM('R.M Billets Reports'!F1103),IF(ISNUMBER(SEARCH("Party Name-",'R.M Billets Reports'!D1103)),TRIM(MID('R.M Billets Reports'!D1103,SEARCH("-",'R.M Billets Reports'!D1103)+1,200)),"")),IF(ISNUMBER(SEARCH("Party Name:-",'R.M Billets Reports'!D1104)),TRIM('R.M Billets Reports'!F1104),IF(ISNUMBER(SEARCH("Party Name-",'R.M Billets Reports'!D1104)),TRIM(MID('R.M Billets Reports'!D1104,SEARCH("-",'R.M Billets Reports'!D1104)+1,200)),"")))))),IF(ROW()=2,"",A1103))</f>
      </c>
      <c r="B1104">
        <f>IF(OR('R.M Billets Reports'!A1103="Date-",'R.M Billets Reports'!A1103="Date:-"),'R.M Billets Reports'!B1103,IF(ROW()=2,"",B1103))</f>
      </c>
      <c r="C1104">
        <f>IF('R.M Billets Reports'!A1103="V.No.",'R.M Billets Reports'!B1103,IF(ROW()=2,"",C1103))</f>
      </c>
      <c r="D1104">
        <f>IF('R.M Billets Reports'!A1103&lt;&gt;"",'R.M Billets Reports'!A1103,IF(ROW()=2,"",D1103))</f>
      </c>
      <c r="E1104">
        <f>IF('R.M Billets Reports'!B1103="","",TRIM('R.M Billets Reports'!B1103))</f>
      </c>
      <c r="F1104">
        <f>'R.M Billets Reports'!C1103</f>
      </c>
      <c r="G1104">
        <f>'R.M Billets Reports'!D1103</f>
      </c>
      <c r="H1104">
        <f>'R.M Billets Reports'!E1103</f>
      </c>
      <c r="I1104">
        <f>'R.M Billets Reports'!F1103</f>
      </c>
      <c r="J1104">
        <f>'R.M Billets Reports'!G1103</f>
      </c>
      <c r="K1104">
        <f>'R.M Billets Reports'!H1103</f>
      </c>
      <c r="L1104">
        <f>IF('R.M Billets Reports'!I1103="","",'R.M Billets Reports'!I1103)</f>
      </c>
      <c r="M1104">
        <f t="shared" si="34"/>
      </c>
      <c r="N1104">
        <f>IF('R.M Billets Reports'!J1103="","",'R.M Billets Reports'!J1103)</f>
      </c>
      <c r="O1104">
        <f t="shared" si="35"/>
      </c>
      <c r="P1104">
        <f>IF('R.M Billets Reports'!A1103="SIZE",'R.M Billets Reports'!B1103,P1103)</f>
      </c>
    </row>
    <row r="1105" spans="1:16" x14ac:dyDescent="0.25">
      <c r="A1105">
        <f>IF(OR('R.M Billets Reports'!A1104="Date-",'R.M Billets Reports'!A1104="Date:-"),IF(IF(IF(ISNUMBER(SEARCH("Party Name:-",'R.M Billets Reports'!D1104)),TRIM('R.M Billets Reports'!F1104),IF(ISNUMBER(SEARCH("Party Name-",'R.M Billets Reports'!D1104)),TRIM(MID('R.M Billets Reports'!D1104,SEARCH("-",'R.M Billets Reports'!D1104)+1,200)),""))&lt;&gt;"",IF(ISNUMBER(SEARCH("Party Name:-",'R.M Billets Reports'!D1104)),TRIM('R.M Billets Reports'!F1104),IF(ISNUMBER(SEARCH("Party Name-",'R.M Billets Reports'!D1104)),TRIM(MID('R.M Billets Reports'!D1104,SEARCH("-",'R.M Billets Reports'!D1104)+1,200)),"")),IF(ISNUMBER(SEARCH("Party Name:-",'R.M Billets Reports'!D1105)),TRIM('R.M Billets Reports'!F1105),IF(ISNUMBER(SEARCH("Party Name-",'R.M Billets Reports'!D1105)),TRIM(MID('R.M Billets Reports'!D1105,SEARCH("-",'R.M Billets Reports'!D1105)+1,200)),"")))="VRKP ISPAT PVT LTD","VRKP",IF(IF(IF(ISNUMBER(SEARCH("Party Name:-",'R.M Billets Reports'!D1104)),TRIM('R.M Billets Reports'!F1104),IF(ISNUMBER(SEARCH("Party Name-",'R.M Billets Reports'!D1104)),TRIM(MID('R.M Billets Reports'!D1104,SEARCH("-",'R.M Billets Reports'!D1104)+1,200)),""))&lt;&gt;"",IF(ISNUMBER(SEARCH("Party Name:-",'R.M Billets Reports'!D1104)),TRIM('R.M Billets Reports'!F1104),IF(ISNUMBER(SEARCH("Party Name-",'R.M Billets Reports'!D1104)),TRIM(MID('R.M Billets Reports'!D1104,SEARCH("-",'R.M Billets Reports'!D1104)+1,200)),"")),IF(ISNUMBER(SEARCH("Party Name:-",'R.M Billets Reports'!D1105)),TRIM('R.M Billets Reports'!F1105),IF(ISNUMBER(SEARCH("Party Name-",'R.M Billets Reports'!D1105)),TRIM(MID('R.M Billets Reports'!D1105,SEARCH("-",'R.M Billets Reports'!D1105)+1,200)),"")))="SHRI RADHE","SHREE RADHE",IF(IF(IF(ISNUMBER(SEARCH("Party Name:-",'R.M Billets Reports'!D1104)),TRIM('R.M Billets Reports'!F1104),IF(ISNUMBER(SEARCH("Party Name-",'R.M Billets Reports'!D1104)),TRIM(MID('R.M Billets Reports'!D1104,SEARCH("-",'R.M Billets Reports'!D1104)+1,200)),""))&lt;&gt;"",IF(ISNUMBER(SEARCH("Party Name:-",'R.M Billets Reports'!D1104)),TRIM('R.M Billets Reports'!F1104),IF(ISNUMBER(SEARCH("Party Name-",'R.M Billets Reports'!D1104)),TRIM(MID('R.M Billets Reports'!D1104,SEARCH("-",'R.M Billets Reports'!D1104)+1,200)),"")),IF(ISNUMBER(SEARCH("Party Name:-",'R.M Billets Reports'!D1105)),TRIM('R.M Billets Reports'!F1105),IF(ISNUMBER(SEARCH("Party Name-",'R.M Billets Reports'!D1105)),TRIM(MID('R.M Billets Reports'!D1105,SEARCH("-",'R.M Billets Reports'!D1105)+1,200)),"")))="SHREE RADHE SHAKTI SPONGE AND POWER PVT. LTD.","SHREE RADHE",IF(IF(ISNUMBER(SEARCH("Party Name:-",'R.M Billets Reports'!D1104)),TRIM('R.M Billets Reports'!F1104),IF(ISNUMBER(SEARCH("Party Name-",'R.M Billets Reports'!D1104)),TRIM(MID('R.M Billets Reports'!D1104,SEARCH("-",'R.M Billets Reports'!D1104)+1,200)),""))&lt;&gt;"",IF(ISNUMBER(SEARCH("Party Name:-",'R.M Billets Reports'!D1104)),TRIM('R.M Billets Reports'!F1104),IF(ISNUMBER(SEARCH("Party Name-",'R.M Billets Reports'!D1104)),TRIM(MID('R.M Billets Reports'!D1104,SEARCH("-",'R.M Billets Reports'!D1104)+1,200)),"")),IF(ISNUMBER(SEARCH("Party Name:-",'R.M Billets Reports'!D1105)),TRIM('R.M Billets Reports'!F1105),IF(ISNUMBER(SEARCH("Party Name-",'R.M Billets Reports'!D1105)),TRIM(MID('R.M Billets Reports'!D1105,SEARCH("-",'R.M Billets Reports'!D1105)+1,200)),"")))))),IF(ROW()=2,"",A1104))</f>
      </c>
      <c r="B1105">
        <f>IF(OR('R.M Billets Reports'!A1104="Date-",'R.M Billets Reports'!A1104="Date:-"),'R.M Billets Reports'!B1104,IF(ROW()=2,"",B1104))</f>
      </c>
      <c r="C1105">
        <f>IF('R.M Billets Reports'!A1104="V.No.",'R.M Billets Reports'!B1104,IF(ROW()=2,"",C1104))</f>
      </c>
      <c r="D1105">
        <f>IF('R.M Billets Reports'!A1104&lt;&gt;"",'R.M Billets Reports'!A1104,IF(ROW()=2,"",D1104))</f>
      </c>
      <c r="E1105">
        <f>IF('R.M Billets Reports'!B1104="","",TRIM('R.M Billets Reports'!B1104))</f>
      </c>
      <c r="F1105">
        <f>'R.M Billets Reports'!C1104</f>
      </c>
      <c r="G1105">
        <f>'R.M Billets Reports'!D1104</f>
      </c>
      <c r="H1105">
        <f>'R.M Billets Reports'!E1104</f>
      </c>
      <c r="I1105">
        <f>'R.M Billets Reports'!F1104</f>
      </c>
      <c r="J1105">
        <f>'R.M Billets Reports'!G1104</f>
      </c>
      <c r="K1105">
        <f>'R.M Billets Reports'!H1104</f>
      </c>
      <c r="L1105">
        <f>IF('R.M Billets Reports'!I1104="","",'R.M Billets Reports'!I1104)</f>
      </c>
      <c r="M1105">
        <f t="shared" si="34"/>
      </c>
      <c r="N1105">
        <f>IF('R.M Billets Reports'!J1104="","",'R.M Billets Reports'!J1104)</f>
      </c>
      <c r="O1105">
        <f t="shared" si="35"/>
      </c>
      <c r="P1105">
        <f>IF('R.M Billets Reports'!A1104="SIZE",'R.M Billets Reports'!B1104,P1104)</f>
      </c>
    </row>
    <row r="1106" spans="1:16" x14ac:dyDescent="0.25">
      <c r="A1106">
        <f>IF(OR('R.M Billets Reports'!A1105="Date-",'R.M Billets Reports'!A1105="Date:-"),IF(IF(IF(ISNUMBER(SEARCH("Party Name:-",'R.M Billets Reports'!D1105)),TRIM('R.M Billets Reports'!F1105),IF(ISNUMBER(SEARCH("Party Name-",'R.M Billets Reports'!D1105)),TRIM(MID('R.M Billets Reports'!D1105,SEARCH("-",'R.M Billets Reports'!D1105)+1,200)),""))&lt;&gt;"",IF(ISNUMBER(SEARCH("Party Name:-",'R.M Billets Reports'!D1105)),TRIM('R.M Billets Reports'!F1105),IF(ISNUMBER(SEARCH("Party Name-",'R.M Billets Reports'!D1105)),TRIM(MID('R.M Billets Reports'!D1105,SEARCH("-",'R.M Billets Reports'!D1105)+1,200)),"")),IF(ISNUMBER(SEARCH("Party Name:-",'R.M Billets Reports'!D1106)),TRIM('R.M Billets Reports'!F1106),IF(ISNUMBER(SEARCH("Party Name-",'R.M Billets Reports'!D1106)),TRIM(MID('R.M Billets Reports'!D1106,SEARCH("-",'R.M Billets Reports'!D1106)+1,200)),"")))="VRKP ISPAT PVT LTD","VRKP",IF(IF(IF(ISNUMBER(SEARCH("Party Name:-",'R.M Billets Reports'!D1105)),TRIM('R.M Billets Reports'!F1105),IF(ISNUMBER(SEARCH("Party Name-",'R.M Billets Reports'!D1105)),TRIM(MID('R.M Billets Reports'!D1105,SEARCH("-",'R.M Billets Reports'!D1105)+1,200)),""))&lt;&gt;"",IF(ISNUMBER(SEARCH("Party Name:-",'R.M Billets Reports'!D1105)),TRIM('R.M Billets Reports'!F1105),IF(ISNUMBER(SEARCH("Party Name-",'R.M Billets Reports'!D1105)),TRIM(MID('R.M Billets Reports'!D1105,SEARCH("-",'R.M Billets Reports'!D1105)+1,200)),"")),IF(ISNUMBER(SEARCH("Party Name:-",'R.M Billets Reports'!D1106)),TRIM('R.M Billets Reports'!F1106),IF(ISNUMBER(SEARCH("Party Name-",'R.M Billets Reports'!D1106)),TRIM(MID('R.M Billets Reports'!D1106,SEARCH("-",'R.M Billets Reports'!D1106)+1,200)),"")))="SHRI RADHE","SHREE RADHE",IF(IF(IF(ISNUMBER(SEARCH("Party Name:-",'R.M Billets Reports'!D1105)),TRIM('R.M Billets Reports'!F1105),IF(ISNUMBER(SEARCH("Party Name-",'R.M Billets Reports'!D1105)),TRIM(MID('R.M Billets Reports'!D1105,SEARCH("-",'R.M Billets Reports'!D1105)+1,200)),""))&lt;&gt;"",IF(ISNUMBER(SEARCH("Party Name:-",'R.M Billets Reports'!D1105)),TRIM('R.M Billets Reports'!F1105),IF(ISNUMBER(SEARCH("Party Name-",'R.M Billets Reports'!D1105)),TRIM(MID('R.M Billets Reports'!D1105,SEARCH("-",'R.M Billets Reports'!D1105)+1,200)),"")),IF(ISNUMBER(SEARCH("Party Name:-",'R.M Billets Reports'!D1106)),TRIM('R.M Billets Reports'!F1106),IF(ISNUMBER(SEARCH("Party Name-",'R.M Billets Reports'!D1106)),TRIM(MID('R.M Billets Reports'!D1106,SEARCH("-",'R.M Billets Reports'!D1106)+1,200)),"")))="SHREE RADHE SHAKTI SPONGE AND POWER PVT. LTD.","SHREE RADHE",IF(IF(ISNUMBER(SEARCH("Party Name:-",'R.M Billets Reports'!D1105)),TRIM('R.M Billets Reports'!F1105),IF(ISNUMBER(SEARCH("Party Name-",'R.M Billets Reports'!D1105)),TRIM(MID('R.M Billets Reports'!D1105,SEARCH("-",'R.M Billets Reports'!D1105)+1,200)),""))&lt;&gt;"",IF(ISNUMBER(SEARCH("Party Name:-",'R.M Billets Reports'!D1105)),TRIM('R.M Billets Reports'!F1105),IF(ISNUMBER(SEARCH("Party Name-",'R.M Billets Reports'!D1105)),TRIM(MID('R.M Billets Reports'!D1105,SEARCH("-",'R.M Billets Reports'!D1105)+1,200)),"")),IF(ISNUMBER(SEARCH("Party Name:-",'R.M Billets Reports'!D1106)),TRIM('R.M Billets Reports'!F1106),IF(ISNUMBER(SEARCH("Party Name-",'R.M Billets Reports'!D1106)),TRIM(MID('R.M Billets Reports'!D1106,SEARCH("-",'R.M Billets Reports'!D1106)+1,200)),"")))))),IF(ROW()=2,"",A1105))</f>
      </c>
      <c r="B1106">
        <f>IF(OR('R.M Billets Reports'!A1105="Date-",'R.M Billets Reports'!A1105="Date:-"),'R.M Billets Reports'!B1105,IF(ROW()=2,"",B1105))</f>
      </c>
      <c r="C1106">
        <f>IF('R.M Billets Reports'!A1105="V.No.",'R.M Billets Reports'!B1105,IF(ROW()=2,"",C1105))</f>
      </c>
      <c r="D1106">
        <f>IF('R.M Billets Reports'!A1105&lt;&gt;"",'R.M Billets Reports'!A1105,IF(ROW()=2,"",D1105))</f>
      </c>
      <c r="E1106">
        <f>IF('R.M Billets Reports'!B1105="","",TRIM('R.M Billets Reports'!B1105))</f>
      </c>
      <c r="F1106">
        <f>'R.M Billets Reports'!C1105</f>
      </c>
      <c r="G1106">
        <f>'R.M Billets Reports'!D1105</f>
      </c>
      <c r="H1106">
        <f>'R.M Billets Reports'!E1105</f>
      </c>
      <c r="I1106">
        <f>'R.M Billets Reports'!F1105</f>
      </c>
      <c r="J1106">
        <f>'R.M Billets Reports'!G1105</f>
      </c>
      <c r="K1106">
        <f>'R.M Billets Reports'!H1105</f>
      </c>
      <c r="L1106">
        <f>IF('R.M Billets Reports'!I1105="","",'R.M Billets Reports'!I1105)</f>
      </c>
      <c r="M1106">
        <f t="shared" si="34"/>
      </c>
      <c r="N1106">
        <f>IF('R.M Billets Reports'!J1105="","",'R.M Billets Reports'!J1105)</f>
      </c>
      <c r="O1106">
        <f t="shared" si="35"/>
      </c>
      <c r="P1106">
        <f>IF('R.M Billets Reports'!A1105="SIZE",'R.M Billets Reports'!B1105,P1105)</f>
      </c>
    </row>
    <row r="1107" spans="1:16" x14ac:dyDescent="0.25">
      <c r="A1107">
        <f>IF(OR('R.M Billets Reports'!A1106="Date-",'R.M Billets Reports'!A1106="Date:-"),IF(IF(IF(ISNUMBER(SEARCH("Party Name:-",'R.M Billets Reports'!D1106)),TRIM('R.M Billets Reports'!F1106),IF(ISNUMBER(SEARCH("Party Name-",'R.M Billets Reports'!D1106)),TRIM(MID('R.M Billets Reports'!D1106,SEARCH("-",'R.M Billets Reports'!D1106)+1,200)),""))&lt;&gt;"",IF(ISNUMBER(SEARCH("Party Name:-",'R.M Billets Reports'!D1106)),TRIM('R.M Billets Reports'!F1106),IF(ISNUMBER(SEARCH("Party Name-",'R.M Billets Reports'!D1106)),TRIM(MID('R.M Billets Reports'!D1106,SEARCH("-",'R.M Billets Reports'!D1106)+1,200)),"")),IF(ISNUMBER(SEARCH("Party Name:-",'R.M Billets Reports'!D1107)),TRIM('R.M Billets Reports'!F1107),IF(ISNUMBER(SEARCH("Party Name-",'R.M Billets Reports'!D1107)),TRIM(MID('R.M Billets Reports'!D1107,SEARCH("-",'R.M Billets Reports'!D1107)+1,200)),"")))="VRKP ISPAT PVT LTD","VRKP",IF(IF(IF(ISNUMBER(SEARCH("Party Name:-",'R.M Billets Reports'!D1106)),TRIM('R.M Billets Reports'!F1106),IF(ISNUMBER(SEARCH("Party Name-",'R.M Billets Reports'!D1106)),TRIM(MID('R.M Billets Reports'!D1106,SEARCH("-",'R.M Billets Reports'!D1106)+1,200)),""))&lt;&gt;"",IF(ISNUMBER(SEARCH("Party Name:-",'R.M Billets Reports'!D1106)),TRIM('R.M Billets Reports'!F1106),IF(ISNUMBER(SEARCH("Party Name-",'R.M Billets Reports'!D1106)),TRIM(MID('R.M Billets Reports'!D1106,SEARCH("-",'R.M Billets Reports'!D1106)+1,200)),"")),IF(ISNUMBER(SEARCH("Party Name:-",'R.M Billets Reports'!D1107)),TRIM('R.M Billets Reports'!F1107),IF(ISNUMBER(SEARCH("Party Name-",'R.M Billets Reports'!D1107)),TRIM(MID('R.M Billets Reports'!D1107,SEARCH("-",'R.M Billets Reports'!D1107)+1,200)),"")))="SHRI RADHE","SHREE RADHE",IF(IF(IF(ISNUMBER(SEARCH("Party Name:-",'R.M Billets Reports'!D1106)),TRIM('R.M Billets Reports'!F1106),IF(ISNUMBER(SEARCH("Party Name-",'R.M Billets Reports'!D1106)),TRIM(MID('R.M Billets Reports'!D1106,SEARCH("-",'R.M Billets Reports'!D1106)+1,200)),""))&lt;&gt;"",IF(ISNUMBER(SEARCH("Party Name:-",'R.M Billets Reports'!D1106)),TRIM('R.M Billets Reports'!F1106),IF(ISNUMBER(SEARCH("Party Name-",'R.M Billets Reports'!D1106)),TRIM(MID('R.M Billets Reports'!D1106,SEARCH("-",'R.M Billets Reports'!D1106)+1,200)),"")),IF(ISNUMBER(SEARCH("Party Name:-",'R.M Billets Reports'!D1107)),TRIM('R.M Billets Reports'!F1107),IF(ISNUMBER(SEARCH("Party Name-",'R.M Billets Reports'!D1107)),TRIM(MID('R.M Billets Reports'!D1107,SEARCH("-",'R.M Billets Reports'!D1107)+1,200)),"")))="SHREE RADHE SHAKTI SPONGE AND POWER PVT. LTD.","SHREE RADHE",IF(IF(ISNUMBER(SEARCH("Party Name:-",'R.M Billets Reports'!D1106)),TRIM('R.M Billets Reports'!F1106),IF(ISNUMBER(SEARCH("Party Name-",'R.M Billets Reports'!D1106)),TRIM(MID('R.M Billets Reports'!D1106,SEARCH("-",'R.M Billets Reports'!D1106)+1,200)),""))&lt;&gt;"",IF(ISNUMBER(SEARCH("Party Name:-",'R.M Billets Reports'!D1106)),TRIM('R.M Billets Reports'!F1106),IF(ISNUMBER(SEARCH("Party Name-",'R.M Billets Reports'!D1106)),TRIM(MID('R.M Billets Reports'!D1106,SEARCH("-",'R.M Billets Reports'!D1106)+1,200)),"")),IF(ISNUMBER(SEARCH("Party Name:-",'R.M Billets Reports'!D1107)),TRIM('R.M Billets Reports'!F1107),IF(ISNUMBER(SEARCH("Party Name-",'R.M Billets Reports'!D1107)),TRIM(MID('R.M Billets Reports'!D1107,SEARCH("-",'R.M Billets Reports'!D1107)+1,200)),"")))))),IF(ROW()=2,"",A1106))</f>
      </c>
      <c r="B1107">
        <f>IF(OR('R.M Billets Reports'!A1106="Date-",'R.M Billets Reports'!A1106="Date:-"),'R.M Billets Reports'!B1106,IF(ROW()=2,"",B1106))</f>
      </c>
      <c r="C1107">
        <f>IF('R.M Billets Reports'!A1106="V.No.",'R.M Billets Reports'!B1106,IF(ROW()=2,"",C1106))</f>
      </c>
      <c r="D1107">
        <f>IF('R.M Billets Reports'!A1106&lt;&gt;"",'R.M Billets Reports'!A1106,IF(ROW()=2,"",D1106))</f>
      </c>
      <c r="E1107">
        <f>IF('R.M Billets Reports'!B1106="","",TRIM('R.M Billets Reports'!B1106))</f>
      </c>
      <c r="F1107">
        <f>'R.M Billets Reports'!C1106</f>
      </c>
      <c r="G1107">
        <f>'R.M Billets Reports'!D1106</f>
      </c>
      <c r="H1107">
        <f>'R.M Billets Reports'!E1106</f>
      </c>
      <c r="I1107">
        <f>'R.M Billets Reports'!F1106</f>
      </c>
      <c r="J1107">
        <f>'R.M Billets Reports'!G1106</f>
      </c>
      <c r="K1107">
        <f>'R.M Billets Reports'!H1106</f>
      </c>
      <c r="L1107">
        <f>IF('R.M Billets Reports'!I1106="","",'R.M Billets Reports'!I1106)</f>
      </c>
      <c r="M1107">
        <f t="shared" si="34"/>
      </c>
      <c r="N1107">
        <f>IF('R.M Billets Reports'!J1106="","",'R.M Billets Reports'!J1106)</f>
      </c>
      <c r="O1107">
        <f t="shared" si="35"/>
      </c>
      <c r="P1107">
        <f>IF('R.M Billets Reports'!A1106="SIZE",'R.M Billets Reports'!B1106,P1106)</f>
      </c>
    </row>
    <row r="1108" spans="1:16" x14ac:dyDescent="0.25">
      <c r="A1108">
        <f>IF(OR('R.M Billets Reports'!A1107="Date-",'R.M Billets Reports'!A1107="Date:-"),IF(IF(IF(ISNUMBER(SEARCH("Party Name:-",'R.M Billets Reports'!D1107)),TRIM('R.M Billets Reports'!F1107),IF(ISNUMBER(SEARCH("Party Name-",'R.M Billets Reports'!D1107)),TRIM(MID('R.M Billets Reports'!D1107,SEARCH("-",'R.M Billets Reports'!D1107)+1,200)),""))&lt;&gt;"",IF(ISNUMBER(SEARCH("Party Name:-",'R.M Billets Reports'!D1107)),TRIM('R.M Billets Reports'!F1107),IF(ISNUMBER(SEARCH("Party Name-",'R.M Billets Reports'!D1107)),TRIM(MID('R.M Billets Reports'!D1107,SEARCH("-",'R.M Billets Reports'!D1107)+1,200)),"")),IF(ISNUMBER(SEARCH("Party Name:-",'R.M Billets Reports'!D1108)),TRIM('R.M Billets Reports'!F1108),IF(ISNUMBER(SEARCH("Party Name-",'R.M Billets Reports'!D1108)),TRIM(MID('R.M Billets Reports'!D1108,SEARCH("-",'R.M Billets Reports'!D1108)+1,200)),"")))="VRKP ISPAT PVT LTD","VRKP",IF(IF(IF(ISNUMBER(SEARCH("Party Name:-",'R.M Billets Reports'!D1107)),TRIM('R.M Billets Reports'!F1107),IF(ISNUMBER(SEARCH("Party Name-",'R.M Billets Reports'!D1107)),TRIM(MID('R.M Billets Reports'!D1107,SEARCH("-",'R.M Billets Reports'!D1107)+1,200)),""))&lt;&gt;"",IF(ISNUMBER(SEARCH("Party Name:-",'R.M Billets Reports'!D1107)),TRIM('R.M Billets Reports'!F1107),IF(ISNUMBER(SEARCH("Party Name-",'R.M Billets Reports'!D1107)),TRIM(MID('R.M Billets Reports'!D1107,SEARCH("-",'R.M Billets Reports'!D1107)+1,200)),"")),IF(ISNUMBER(SEARCH("Party Name:-",'R.M Billets Reports'!D1108)),TRIM('R.M Billets Reports'!F1108),IF(ISNUMBER(SEARCH("Party Name-",'R.M Billets Reports'!D1108)),TRIM(MID('R.M Billets Reports'!D1108,SEARCH("-",'R.M Billets Reports'!D1108)+1,200)),"")))="SHRI RADHE","SHREE RADHE",IF(IF(IF(ISNUMBER(SEARCH("Party Name:-",'R.M Billets Reports'!D1107)),TRIM('R.M Billets Reports'!F1107),IF(ISNUMBER(SEARCH("Party Name-",'R.M Billets Reports'!D1107)),TRIM(MID('R.M Billets Reports'!D1107,SEARCH("-",'R.M Billets Reports'!D1107)+1,200)),""))&lt;&gt;"",IF(ISNUMBER(SEARCH("Party Name:-",'R.M Billets Reports'!D1107)),TRIM('R.M Billets Reports'!F1107),IF(ISNUMBER(SEARCH("Party Name-",'R.M Billets Reports'!D1107)),TRIM(MID('R.M Billets Reports'!D1107,SEARCH("-",'R.M Billets Reports'!D1107)+1,200)),"")),IF(ISNUMBER(SEARCH("Party Name:-",'R.M Billets Reports'!D1108)),TRIM('R.M Billets Reports'!F1108),IF(ISNUMBER(SEARCH("Party Name-",'R.M Billets Reports'!D1108)),TRIM(MID('R.M Billets Reports'!D1108,SEARCH("-",'R.M Billets Reports'!D1108)+1,200)),"")))="SHREE RADHE SHAKTI SPONGE AND POWER PVT. LTD.","SHREE RADHE",IF(IF(ISNUMBER(SEARCH("Party Name:-",'R.M Billets Reports'!D1107)),TRIM('R.M Billets Reports'!F1107),IF(ISNUMBER(SEARCH("Party Name-",'R.M Billets Reports'!D1107)),TRIM(MID('R.M Billets Reports'!D1107,SEARCH("-",'R.M Billets Reports'!D1107)+1,200)),""))&lt;&gt;"",IF(ISNUMBER(SEARCH("Party Name:-",'R.M Billets Reports'!D1107)),TRIM('R.M Billets Reports'!F1107),IF(ISNUMBER(SEARCH("Party Name-",'R.M Billets Reports'!D1107)),TRIM(MID('R.M Billets Reports'!D1107,SEARCH("-",'R.M Billets Reports'!D1107)+1,200)),"")),IF(ISNUMBER(SEARCH("Party Name:-",'R.M Billets Reports'!D1108)),TRIM('R.M Billets Reports'!F1108),IF(ISNUMBER(SEARCH("Party Name-",'R.M Billets Reports'!D1108)),TRIM(MID('R.M Billets Reports'!D1108,SEARCH("-",'R.M Billets Reports'!D1108)+1,200)),"")))))),IF(ROW()=2,"",A1107))</f>
      </c>
      <c r="B1108">
        <f>IF(OR('R.M Billets Reports'!A1107="Date-",'R.M Billets Reports'!A1107="Date:-"),'R.M Billets Reports'!B1107,IF(ROW()=2,"",B1107))</f>
      </c>
      <c r="C1108">
        <f>IF('R.M Billets Reports'!A1107="V.No.",'R.M Billets Reports'!B1107,IF(ROW()=2,"",C1107))</f>
      </c>
      <c r="D1108">
        <f>IF('R.M Billets Reports'!A1107&lt;&gt;"",'R.M Billets Reports'!A1107,IF(ROW()=2,"",D1107))</f>
      </c>
      <c r="E1108">
        <f>IF('R.M Billets Reports'!B1107="","",TRIM('R.M Billets Reports'!B1107))</f>
      </c>
      <c r="F1108">
        <f>'R.M Billets Reports'!C1107</f>
      </c>
      <c r="G1108">
        <f>'R.M Billets Reports'!D1107</f>
      </c>
      <c r="H1108">
        <f>'R.M Billets Reports'!E1107</f>
      </c>
      <c r="I1108">
        <f>'R.M Billets Reports'!F1107</f>
      </c>
      <c r="J1108">
        <f>'R.M Billets Reports'!G1107</f>
      </c>
      <c r="K1108">
        <f>'R.M Billets Reports'!H1107</f>
      </c>
      <c r="L1108">
        <f>IF('R.M Billets Reports'!I1107="","",'R.M Billets Reports'!I1107)</f>
      </c>
      <c r="M1108">
        <f t="shared" si="34"/>
      </c>
      <c r="N1108">
        <f>IF('R.M Billets Reports'!J1107="","",'R.M Billets Reports'!J1107)</f>
      </c>
      <c r="O1108">
        <f t="shared" si="35"/>
      </c>
      <c r="P1108">
        <f>IF('R.M Billets Reports'!A1107="SIZE",'R.M Billets Reports'!B1107,P1107)</f>
      </c>
    </row>
    <row r="1109" spans="1:16" x14ac:dyDescent="0.25">
      <c r="A1109">
        <f>IF(OR('R.M Billets Reports'!A1108="Date-",'R.M Billets Reports'!A1108="Date:-"),IF(IF(IF(ISNUMBER(SEARCH("Party Name:-",'R.M Billets Reports'!D1108)),TRIM('R.M Billets Reports'!F1108),IF(ISNUMBER(SEARCH("Party Name-",'R.M Billets Reports'!D1108)),TRIM(MID('R.M Billets Reports'!D1108,SEARCH("-",'R.M Billets Reports'!D1108)+1,200)),""))&lt;&gt;"",IF(ISNUMBER(SEARCH("Party Name:-",'R.M Billets Reports'!D1108)),TRIM('R.M Billets Reports'!F1108),IF(ISNUMBER(SEARCH("Party Name-",'R.M Billets Reports'!D1108)),TRIM(MID('R.M Billets Reports'!D1108,SEARCH("-",'R.M Billets Reports'!D1108)+1,200)),"")),IF(ISNUMBER(SEARCH("Party Name:-",'R.M Billets Reports'!D1109)),TRIM('R.M Billets Reports'!F1109),IF(ISNUMBER(SEARCH("Party Name-",'R.M Billets Reports'!D1109)),TRIM(MID('R.M Billets Reports'!D1109,SEARCH("-",'R.M Billets Reports'!D1109)+1,200)),"")))="VRKP ISPAT PVT LTD","VRKP",IF(IF(IF(ISNUMBER(SEARCH("Party Name:-",'R.M Billets Reports'!D1108)),TRIM('R.M Billets Reports'!F1108),IF(ISNUMBER(SEARCH("Party Name-",'R.M Billets Reports'!D1108)),TRIM(MID('R.M Billets Reports'!D1108,SEARCH("-",'R.M Billets Reports'!D1108)+1,200)),""))&lt;&gt;"",IF(ISNUMBER(SEARCH("Party Name:-",'R.M Billets Reports'!D1108)),TRIM('R.M Billets Reports'!F1108),IF(ISNUMBER(SEARCH("Party Name-",'R.M Billets Reports'!D1108)),TRIM(MID('R.M Billets Reports'!D1108,SEARCH("-",'R.M Billets Reports'!D1108)+1,200)),"")),IF(ISNUMBER(SEARCH("Party Name:-",'R.M Billets Reports'!D1109)),TRIM('R.M Billets Reports'!F1109),IF(ISNUMBER(SEARCH("Party Name-",'R.M Billets Reports'!D1109)),TRIM(MID('R.M Billets Reports'!D1109,SEARCH("-",'R.M Billets Reports'!D1109)+1,200)),"")))="SHRI RADHE","SHREE RADHE",IF(IF(IF(ISNUMBER(SEARCH("Party Name:-",'R.M Billets Reports'!D1108)),TRIM('R.M Billets Reports'!F1108),IF(ISNUMBER(SEARCH("Party Name-",'R.M Billets Reports'!D1108)),TRIM(MID('R.M Billets Reports'!D1108,SEARCH("-",'R.M Billets Reports'!D1108)+1,200)),""))&lt;&gt;"",IF(ISNUMBER(SEARCH("Party Name:-",'R.M Billets Reports'!D1108)),TRIM('R.M Billets Reports'!F1108),IF(ISNUMBER(SEARCH("Party Name-",'R.M Billets Reports'!D1108)),TRIM(MID('R.M Billets Reports'!D1108,SEARCH("-",'R.M Billets Reports'!D1108)+1,200)),"")),IF(ISNUMBER(SEARCH("Party Name:-",'R.M Billets Reports'!D1109)),TRIM('R.M Billets Reports'!F1109),IF(ISNUMBER(SEARCH("Party Name-",'R.M Billets Reports'!D1109)),TRIM(MID('R.M Billets Reports'!D1109,SEARCH("-",'R.M Billets Reports'!D1109)+1,200)),"")))="SHREE RADHE SHAKTI SPONGE AND POWER PVT. LTD.","SHREE RADHE",IF(IF(ISNUMBER(SEARCH("Party Name:-",'R.M Billets Reports'!D1108)),TRIM('R.M Billets Reports'!F1108),IF(ISNUMBER(SEARCH("Party Name-",'R.M Billets Reports'!D1108)),TRIM(MID('R.M Billets Reports'!D1108,SEARCH("-",'R.M Billets Reports'!D1108)+1,200)),""))&lt;&gt;"",IF(ISNUMBER(SEARCH("Party Name:-",'R.M Billets Reports'!D1108)),TRIM('R.M Billets Reports'!F1108),IF(ISNUMBER(SEARCH("Party Name-",'R.M Billets Reports'!D1108)),TRIM(MID('R.M Billets Reports'!D1108,SEARCH("-",'R.M Billets Reports'!D1108)+1,200)),"")),IF(ISNUMBER(SEARCH("Party Name:-",'R.M Billets Reports'!D1109)),TRIM('R.M Billets Reports'!F1109),IF(ISNUMBER(SEARCH("Party Name-",'R.M Billets Reports'!D1109)),TRIM(MID('R.M Billets Reports'!D1109,SEARCH("-",'R.M Billets Reports'!D1109)+1,200)),"")))))),IF(ROW()=2,"",A1108))</f>
      </c>
      <c r="B1109">
        <f>IF(OR('R.M Billets Reports'!A1108="Date-",'R.M Billets Reports'!A1108="Date:-"),'R.M Billets Reports'!B1108,IF(ROW()=2,"",B1108))</f>
      </c>
      <c r="C1109">
        <f>IF('R.M Billets Reports'!A1108="V.No.",'R.M Billets Reports'!B1108,IF(ROW()=2,"",C1108))</f>
      </c>
      <c r="D1109">
        <f>IF('R.M Billets Reports'!A1108&lt;&gt;"",'R.M Billets Reports'!A1108,IF(ROW()=2,"",D1108))</f>
      </c>
      <c r="E1109">
        <f>IF('R.M Billets Reports'!B1108="","",TRIM('R.M Billets Reports'!B1108))</f>
      </c>
      <c r="F1109">
        <f>'R.M Billets Reports'!C1108</f>
      </c>
      <c r="G1109">
        <f>'R.M Billets Reports'!D1108</f>
      </c>
      <c r="H1109">
        <f>'R.M Billets Reports'!E1108</f>
      </c>
      <c r="I1109">
        <f>'R.M Billets Reports'!F1108</f>
      </c>
      <c r="J1109">
        <f>'R.M Billets Reports'!G1108</f>
      </c>
      <c r="K1109">
        <f>'R.M Billets Reports'!H1108</f>
      </c>
      <c r="L1109">
        <f>IF('R.M Billets Reports'!I1108="","",'R.M Billets Reports'!I1108)</f>
      </c>
      <c r="M1109">
        <f t="shared" si="34"/>
      </c>
      <c r="N1109">
        <f>IF('R.M Billets Reports'!J1108="","",'R.M Billets Reports'!J1108)</f>
      </c>
      <c r="O1109">
        <f t="shared" si="35"/>
      </c>
      <c r="P1109">
        <f>IF('R.M Billets Reports'!A1108="SIZE",'R.M Billets Reports'!B1108,P1108)</f>
      </c>
    </row>
    <row r="1110" spans="1:16" x14ac:dyDescent="0.25">
      <c r="A1110">
        <f>IF(OR('R.M Billets Reports'!A1109="Date-",'R.M Billets Reports'!A1109="Date:-"),IF(IF(IF(ISNUMBER(SEARCH("Party Name:-",'R.M Billets Reports'!D1109)),TRIM('R.M Billets Reports'!F1109),IF(ISNUMBER(SEARCH("Party Name-",'R.M Billets Reports'!D1109)),TRIM(MID('R.M Billets Reports'!D1109,SEARCH("-",'R.M Billets Reports'!D1109)+1,200)),""))&lt;&gt;"",IF(ISNUMBER(SEARCH("Party Name:-",'R.M Billets Reports'!D1109)),TRIM('R.M Billets Reports'!F1109),IF(ISNUMBER(SEARCH("Party Name-",'R.M Billets Reports'!D1109)),TRIM(MID('R.M Billets Reports'!D1109,SEARCH("-",'R.M Billets Reports'!D1109)+1,200)),"")),IF(ISNUMBER(SEARCH("Party Name:-",'R.M Billets Reports'!D1110)),TRIM('R.M Billets Reports'!F1110),IF(ISNUMBER(SEARCH("Party Name-",'R.M Billets Reports'!D1110)),TRIM(MID('R.M Billets Reports'!D1110,SEARCH("-",'R.M Billets Reports'!D1110)+1,200)),"")))="VRKP ISPAT PVT LTD","VRKP",IF(IF(IF(ISNUMBER(SEARCH("Party Name:-",'R.M Billets Reports'!D1109)),TRIM('R.M Billets Reports'!F1109),IF(ISNUMBER(SEARCH("Party Name-",'R.M Billets Reports'!D1109)),TRIM(MID('R.M Billets Reports'!D1109,SEARCH("-",'R.M Billets Reports'!D1109)+1,200)),""))&lt;&gt;"",IF(ISNUMBER(SEARCH("Party Name:-",'R.M Billets Reports'!D1109)),TRIM('R.M Billets Reports'!F1109),IF(ISNUMBER(SEARCH("Party Name-",'R.M Billets Reports'!D1109)),TRIM(MID('R.M Billets Reports'!D1109,SEARCH("-",'R.M Billets Reports'!D1109)+1,200)),"")),IF(ISNUMBER(SEARCH("Party Name:-",'R.M Billets Reports'!D1110)),TRIM('R.M Billets Reports'!F1110),IF(ISNUMBER(SEARCH("Party Name-",'R.M Billets Reports'!D1110)),TRIM(MID('R.M Billets Reports'!D1110,SEARCH("-",'R.M Billets Reports'!D1110)+1,200)),"")))="SHRI RADHE","SHREE RADHE",IF(IF(IF(ISNUMBER(SEARCH("Party Name:-",'R.M Billets Reports'!D1109)),TRIM('R.M Billets Reports'!F1109),IF(ISNUMBER(SEARCH("Party Name-",'R.M Billets Reports'!D1109)),TRIM(MID('R.M Billets Reports'!D1109,SEARCH("-",'R.M Billets Reports'!D1109)+1,200)),""))&lt;&gt;"",IF(ISNUMBER(SEARCH("Party Name:-",'R.M Billets Reports'!D1109)),TRIM('R.M Billets Reports'!F1109),IF(ISNUMBER(SEARCH("Party Name-",'R.M Billets Reports'!D1109)),TRIM(MID('R.M Billets Reports'!D1109,SEARCH("-",'R.M Billets Reports'!D1109)+1,200)),"")),IF(ISNUMBER(SEARCH("Party Name:-",'R.M Billets Reports'!D1110)),TRIM('R.M Billets Reports'!F1110),IF(ISNUMBER(SEARCH("Party Name-",'R.M Billets Reports'!D1110)),TRIM(MID('R.M Billets Reports'!D1110,SEARCH("-",'R.M Billets Reports'!D1110)+1,200)),"")))="SHREE RADHE SHAKTI SPONGE AND POWER PVT. LTD.","SHREE RADHE",IF(IF(ISNUMBER(SEARCH("Party Name:-",'R.M Billets Reports'!D1109)),TRIM('R.M Billets Reports'!F1109),IF(ISNUMBER(SEARCH("Party Name-",'R.M Billets Reports'!D1109)),TRIM(MID('R.M Billets Reports'!D1109,SEARCH("-",'R.M Billets Reports'!D1109)+1,200)),""))&lt;&gt;"",IF(ISNUMBER(SEARCH("Party Name:-",'R.M Billets Reports'!D1109)),TRIM('R.M Billets Reports'!F1109),IF(ISNUMBER(SEARCH("Party Name-",'R.M Billets Reports'!D1109)),TRIM(MID('R.M Billets Reports'!D1109,SEARCH("-",'R.M Billets Reports'!D1109)+1,200)),"")),IF(ISNUMBER(SEARCH("Party Name:-",'R.M Billets Reports'!D1110)),TRIM('R.M Billets Reports'!F1110),IF(ISNUMBER(SEARCH("Party Name-",'R.M Billets Reports'!D1110)),TRIM(MID('R.M Billets Reports'!D1110,SEARCH("-",'R.M Billets Reports'!D1110)+1,200)),"")))))),IF(ROW()=2,"",A1109))</f>
      </c>
      <c r="B1110">
        <f>IF(OR('R.M Billets Reports'!A1109="Date-",'R.M Billets Reports'!A1109="Date:-"),'R.M Billets Reports'!B1109,IF(ROW()=2,"",B1109))</f>
      </c>
      <c r="C1110">
        <f>IF('R.M Billets Reports'!A1109="V.No.",'R.M Billets Reports'!B1109,IF(ROW()=2,"",C1109))</f>
      </c>
      <c r="D1110">
        <f>IF('R.M Billets Reports'!A1109&lt;&gt;"",'R.M Billets Reports'!A1109,IF(ROW()=2,"",D1109))</f>
      </c>
      <c r="E1110">
        <f>IF('R.M Billets Reports'!B1109="","",TRIM('R.M Billets Reports'!B1109))</f>
      </c>
      <c r="F1110">
        <f>'R.M Billets Reports'!C1109</f>
      </c>
      <c r="G1110">
        <f>'R.M Billets Reports'!D1109</f>
      </c>
      <c r="H1110">
        <f>'R.M Billets Reports'!E1109</f>
      </c>
      <c r="I1110">
        <f>'R.M Billets Reports'!F1109</f>
      </c>
      <c r="J1110">
        <f>'R.M Billets Reports'!G1109</f>
      </c>
      <c r="K1110">
        <f>'R.M Billets Reports'!H1109</f>
      </c>
      <c r="L1110">
        <f>IF('R.M Billets Reports'!I1109="","",'R.M Billets Reports'!I1109)</f>
      </c>
      <c r="M1110">
        <f t="shared" si="34"/>
      </c>
      <c r="N1110">
        <f>IF('R.M Billets Reports'!J1109="","",'R.M Billets Reports'!J1109)</f>
      </c>
      <c r="O1110">
        <f t="shared" si="35"/>
      </c>
      <c r="P1110">
        <f>IF('R.M Billets Reports'!A1109="SIZE",'R.M Billets Reports'!B1109,P1109)</f>
      </c>
    </row>
    <row r="1111" spans="1:16" x14ac:dyDescent="0.25">
      <c r="A1111">
        <f>IF(OR('R.M Billets Reports'!A1110="Date-",'R.M Billets Reports'!A1110="Date:-"),IF(IF(IF(ISNUMBER(SEARCH("Party Name:-",'R.M Billets Reports'!D1110)),TRIM('R.M Billets Reports'!F1110),IF(ISNUMBER(SEARCH("Party Name-",'R.M Billets Reports'!D1110)),TRIM(MID('R.M Billets Reports'!D1110,SEARCH("-",'R.M Billets Reports'!D1110)+1,200)),""))&lt;&gt;"",IF(ISNUMBER(SEARCH("Party Name:-",'R.M Billets Reports'!D1110)),TRIM('R.M Billets Reports'!F1110),IF(ISNUMBER(SEARCH("Party Name-",'R.M Billets Reports'!D1110)),TRIM(MID('R.M Billets Reports'!D1110,SEARCH("-",'R.M Billets Reports'!D1110)+1,200)),"")),IF(ISNUMBER(SEARCH("Party Name:-",'R.M Billets Reports'!D1111)),TRIM('R.M Billets Reports'!F1111),IF(ISNUMBER(SEARCH("Party Name-",'R.M Billets Reports'!D1111)),TRIM(MID('R.M Billets Reports'!D1111,SEARCH("-",'R.M Billets Reports'!D1111)+1,200)),"")))="VRKP ISPAT PVT LTD","VRKP",IF(IF(IF(ISNUMBER(SEARCH("Party Name:-",'R.M Billets Reports'!D1110)),TRIM('R.M Billets Reports'!F1110),IF(ISNUMBER(SEARCH("Party Name-",'R.M Billets Reports'!D1110)),TRIM(MID('R.M Billets Reports'!D1110,SEARCH("-",'R.M Billets Reports'!D1110)+1,200)),""))&lt;&gt;"",IF(ISNUMBER(SEARCH("Party Name:-",'R.M Billets Reports'!D1110)),TRIM('R.M Billets Reports'!F1110),IF(ISNUMBER(SEARCH("Party Name-",'R.M Billets Reports'!D1110)),TRIM(MID('R.M Billets Reports'!D1110,SEARCH("-",'R.M Billets Reports'!D1110)+1,200)),"")),IF(ISNUMBER(SEARCH("Party Name:-",'R.M Billets Reports'!D1111)),TRIM('R.M Billets Reports'!F1111),IF(ISNUMBER(SEARCH("Party Name-",'R.M Billets Reports'!D1111)),TRIM(MID('R.M Billets Reports'!D1111,SEARCH("-",'R.M Billets Reports'!D1111)+1,200)),"")))="SHRI RADHE","SHREE RADHE",IF(IF(IF(ISNUMBER(SEARCH("Party Name:-",'R.M Billets Reports'!D1110)),TRIM('R.M Billets Reports'!F1110),IF(ISNUMBER(SEARCH("Party Name-",'R.M Billets Reports'!D1110)),TRIM(MID('R.M Billets Reports'!D1110,SEARCH("-",'R.M Billets Reports'!D1110)+1,200)),""))&lt;&gt;"",IF(ISNUMBER(SEARCH("Party Name:-",'R.M Billets Reports'!D1110)),TRIM('R.M Billets Reports'!F1110),IF(ISNUMBER(SEARCH("Party Name-",'R.M Billets Reports'!D1110)),TRIM(MID('R.M Billets Reports'!D1110,SEARCH("-",'R.M Billets Reports'!D1110)+1,200)),"")),IF(ISNUMBER(SEARCH("Party Name:-",'R.M Billets Reports'!D1111)),TRIM('R.M Billets Reports'!F1111),IF(ISNUMBER(SEARCH("Party Name-",'R.M Billets Reports'!D1111)),TRIM(MID('R.M Billets Reports'!D1111,SEARCH("-",'R.M Billets Reports'!D1111)+1,200)),"")))="SHREE RADHE SHAKTI SPONGE AND POWER PVT. LTD.","SHREE RADHE",IF(IF(ISNUMBER(SEARCH("Party Name:-",'R.M Billets Reports'!D1110)),TRIM('R.M Billets Reports'!F1110),IF(ISNUMBER(SEARCH("Party Name-",'R.M Billets Reports'!D1110)),TRIM(MID('R.M Billets Reports'!D1110,SEARCH("-",'R.M Billets Reports'!D1110)+1,200)),""))&lt;&gt;"",IF(ISNUMBER(SEARCH("Party Name:-",'R.M Billets Reports'!D1110)),TRIM('R.M Billets Reports'!F1110),IF(ISNUMBER(SEARCH("Party Name-",'R.M Billets Reports'!D1110)),TRIM(MID('R.M Billets Reports'!D1110,SEARCH("-",'R.M Billets Reports'!D1110)+1,200)),"")),IF(ISNUMBER(SEARCH("Party Name:-",'R.M Billets Reports'!D1111)),TRIM('R.M Billets Reports'!F1111),IF(ISNUMBER(SEARCH("Party Name-",'R.M Billets Reports'!D1111)),TRIM(MID('R.M Billets Reports'!D1111,SEARCH("-",'R.M Billets Reports'!D1111)+1,200)),"")))))),IF(ROW()=2,"",A1110))</f>
      </c>
      <c r="B1111">
        <f>IF(OR('R.M Billets Reports'!A1110="Date-",'R.M Billets Reports'!A1110="Date:-"),'R.M Billets Reports'!B1110,IF(ROW()=2,"",B1110))</f>
      </c>
      <c r="C1111">
        <f>IF('R.M Billets Reports'!A1110="V.No.",'R.M Billets Reports'!B1110,IF(ROW()=2,"",C1110))</f>
      </c>
      <c r="D1111">
        <f>IF('R.M Billets Reports'!A1110&lt;&gt;"",'R.M Billets Reports'!A1110,IF(ROW()=2,"",D1110))</f>
      </c>
      <c r="E1111">
        <f>IF('R.M Billets Reports'!B1110="","",TRIM('R.M Billets Reports'!B1110))</f>
      </c>
      <c r="F1111">
        <f>'R.M Billets Reports'!C1110</f>
      </c>
      <c r="G1111">
        <f>'R.M Billets Reports'!D1110</f>
      </c>
      <c r="H1111">
        <f>'R.M Billets Reports'!E1110</f>
      </c>
      <c r="I1111">
        <f>'R.M Billets Reports'!F1110</f>
      </c>
      <c r="J1111">
        <f>'R.M Billets Reports'!G1110</f>
      </c>
      <c r="K1111">
        <f>'R.M Billets Reports'!H1110</f>
      </c>
      <c r="L1111">
        <f>IF('R.M Billets Reports'!I1110="","",'R.M Billets Reports'!I1110)</f>
      </c>
      <c r="M1111">
        <f t="shared" si="34"/>
      </c>
      <c r="N1111">
        <f>IF('R.M Billets Reports'!J1110="","",'R.M Billets Reports'!J1110)</f>
      </c>
      <c r="O1111">
        <f t="shared" si="35"/>
      </c>
      <c r="P1111">
        <f>IF('R.M Billets Reports'!A1110="SIZE",'R.M Billets Reports'!B1110,P1110)</f>
      </c>
    </row>
    <row r="1112" spans="1:16" x14ac:dyDescent="0.25">
      <c r="A1112">
        <f>IF(OR('R.M Billets Reports'!A1111="Date-",'R.M Billets Reports'!A1111="Date:-"),IF(IF(IF(ISNUMBER(SEARCH("Party Name:-",'R.M Billets Reports'!D1111)),TRIM('R.M Billets Reports'!F1111),IF(ISNUMBER(SEARCH("Party Name-",'R.M Billets Reports'!D1111)),TRIM(MID('R.M Billets Reports'!D1111,SEARCH("-",'R.M Billets Reports'!D1111)+1,200)),""))&lt;&gt;"",IF(ISNUMBER(SEARCH("Party Name:-",'R.M Billets Reports'!D1111)),TRIM('R.M Billets Reports'!F1111),IF(ISNUMBER(SEARCH("Party Name-",'R.M Billets Reports'!D1111)),TRIM(MID('R.M Billets Reports'!D1111,SEARCH("-",'R.M Billets Reports'!D1111)+1,200)),"")),IF(ISNUMBER(SEARCH("Party Name:-",'R.M Billets Reports'!D1112)),TRIM('R.M Billets Reports'!F1112),IF(ISNUMBER(SEARCH("Party Name-",'R.M Billets Reports'!D1112)),TRIM(MID('R.M Billets Reports'!D1112,SEARCH("-",'R.M Billets Reports'!D1112)+1,200)),"")))="VRKP ISPAT PVT LTD","VRKP",IF(IF(IF(ISNUMBER(SEARCH("Party Name:-",'R.M Billets Reports'!D1111)),TRIM('R.M Billets Reports'!F1111),IF(ISNUMBER(SEARCH("Party Name-",'R.M Billets Reports'!D1111)),TRIM(MID('R.M Billets Reports'!D1111,SEARCH("-",'R.M Billets Reports'!D1111)+1,200)),""))&lt;&gt;"",IF(ISNUMBER(SEARCH("Party Name:-",'R.M Billets Reports'!D1111)),TRIM('R.M Billets Reports'!F1111),IF(ISNUMBER(SEARCH("Party Name-",'R.M Billets Reports'!D1111)),TRIM(MID('R.M Billets Reports'!D1111,SEARCH("-",'R.M Billets Reports'!D1111)+1,200)),"")),IF(ISNUMBER(SEARCH("Party Name:-",'R.M Billets Reports'!D1112)),TRIM('R.M Billets Reports'!F1112),IF(ISNUMBER(SEARCH("Party Name-",'R.M Billets Reports'!D1112)),TRIM(MID('R.M Billets Reports'!D1112,SEARCH("-",'R.M Billets Reports'!D1112)+1,200)),"")))="SHRI RADHE","SHREE RADHE",IF(IF(IF(ISNUMBER(SEARCH("Party Name:-",'R.M Billets Reports'!D1111)),TRIM('R.M Billets Reports'!F1111),IF(ISNUMBER(SEARCH("Party Name-",'R.M Billets Reports'!D1111)),TRIM(MID('R.M Billets Reports'!D1111,SEARCH("-",'R.M Billets Reports'!D1111)+1,200)),""))&lt;&gt;"",IF(ISNUMBER(SEARCH("Party Name:-",'R.M Billets Reports'!D1111)),TRIM('R.M Billets Reports'!F1111),IF(ISNUMBER(SEARCH("Party Name-",'R.M Billets Reports'!D1111)),TRIM(MID('R.M Billets Reports'!D1111,SEARCH("-",'R.M Billets Reports'!D1111)+1,200)),"")),IF(ISNUMBER(SEARCH("Party Name:-",'R.M Billets Reports'!D1112)),TRIM('R.M Billets Reports'!F1112),IF(ISNUMBER(SEARCH("Party Name-",'R.M Billets Reports'!D1112)),TRIM(MID('R.M Billets Reports'!D1112,SEARCH("-",'R.M Billets Reports'!D1112)+1,200)),"")))="SHREE RADHE SHAKTI SPONGE AND POWER PVT. LTD.","SHREE RADHE",IF(IF(ISNUMBER(SEARCH("Party Name:-",'R.M Billets Reports'!D1111)),TRIM('R.M Billets Reports'!F1111),IF(ISNUMBER(SEARCH("Party Name-",'R.M Billets Reports'!D1111)),TRIM(MID('R.M Billets Reports'!D1111,SEARCH("-",'R.M Billets Reports'!D1111)+1,200)),""))&lt;&gt;"",IF(ISNUMBER(SEARCH("Party Name:-",'R.M Billets Reports'!D1111)),TRIM('R.M Billets Reports'!F1111),IF(ISNUMBER(SEARCH("Party Name-",'R.M Billets Reports'!D1111)),TRIM(MID('R.M Billets Reports'!D1111,SEARCH("-",'R.M Billets Reports'!D1111)+1,200)),"")),IF(ISNUMBER(SEARCH("Party Name:-",'R.M Billets Reports'!D1112)),TRIM('R.M Billets Reports'!F1112),IF(ISNUMBER(SEARCH("Party Name-",'R.M Billets Reports'!D1112)),TRIM(MID('R.M Billets Reports'!D1112,SEARCH("-",'R.M Billets Reports'!D1112)+1,200)),"")))))),IF(ROW()=2,"",A1111))</f>
      </c>
      <c r="B1112">
        <f>IF(OR('R.M Billets Reports'!A1111="Date-",'R.M Billets Reports'!A1111="Date:-"),'R.M Billets Reports'!B1111,IF(ROW()=2,"",B1111))</f>
      </c>
      <c r="C1112">
        <f>IF('R.M Billets Reports'!A1111="V.No.",'R.M Billets Reports'!B1111,IF(ROW()=2,"",C1111))</f>
      </c>
      <c r="D1112">
        <f>IF('R.M Billets Reports'!A1111&lt;&gt;"",'R.M Billets Reports'!A1111,IF(ROW()=2,"",D1111))</f>
      </c>
      <c r="E1112">
        <f>IF('R.M Billets Reports'!B1111="","",TRIM('R.M Billets Reports'!B1111))</f>
      </c>
      <c r="F1112">
        <f>'R.M Billets Reports'!C1111</f>
      </c>
      <c r="G1112">
        <f>'R.M Billets Reports'!D1111</f>
      </c>
      <c r="H1112">
        <f>'R.M Billets Reports'!E1111</f>
      </c>
      <c r="I1112">
        <f>'R.M Billets Reports'!F1111</f>
      </c>
      <c r="J1112">
        <f>'R.M Billets Reports'!G1111</f>
      </c>
      <c r="K1112">
        <f>'R.M Billets Reports'!H1111</f>
      </c>
      <c r="L1112">
        <f>IF('R.M Billets Reports'!I1111="","",'R.M Billets Reports'!I1111)</f>
      </c>
      <c r="M1112">
        <f t="shared" si="34"/>
      </c>
      <c r="N1112">
        <f>IF('R.M Billets Reports'!J1111="","",'R.M Billets Reports'!J1111)</f>
      </c>
      <c r="O1112">
        <f t="shared" si="35"/>
      </c>
      <c r="P1112">
        <f>IF('R.M Billets Reports'!A1111="SIZE",'R.M Billets Reports'!B1111,P1111)</f>
      </c>
    </row>
    <row r="1113" spans="1:16" x14ac:dyDescent="0.25">
      <c r="A1113">
        <f>IF(OR('R.M Billets Reports'!A1112="Date-",'R.M Billets Reports'!A1112="Date:-"),IF(IF(IF(ISNUMBER(SEARCH("Party Name:-",'R.M Billets Reports'!D1112)),TRIM('R.M Billets Reports'!F1112),IF(ISNUMBER(SEARCH("Party Name-",'R.M Billets Reports'!D1112)),TRIM(MID('R.M Billets Reports'!D1112,SEARCH("-",'R.M Billets Reports'!D1112)+1,200)),""))&lt;&gt;"",IF(ISNUMBER(SEARCH("Party Name:-",'R.M Billets Reports'!D1112)),TRIM('R.M Billets Reports'!F1112),IF(ISNUMBER(SEARCH("Party Name-",'R.M Billets Reports'!D1112)),TRIM(MID('R.M Billets Reports'!D1112,SEARCH("-",'R.M Billets Reports'!D1112)+1,200)),"")),IF(ISNUMBER(SEARCH("Party Name:-",'R.M Billets Reports'!D1113)),TRIM('R.M Billets Reports'!F1113),IF(ISNUMBER(SEARCH("Party Name-",'R.M Billets Reports'!D1113)),TRIM(MID('R.M Billets Reports'!D1113,SEARCH("-",'R.M Billets Reports'!D1113)+1,200)),"")))="VRKP ISPAT PVT LTD","VRKP",IF(IF(IF(ISNUMBER(SEARCH("Party Name:-",'R.M Billets Reports'!D1112)),TRIM('R.M Billets Reports'!F1112),IF(ISNUMBER(SEARCH("Party Name-",'R.M Billets Reports'!D1112)),TRIM(MID('R.M Billets Reports'!D1112,SEARCH("-",'R.M Billets Reports'!D1112)+1,200)),""))&lt;&gt;"",IF(ISNUMBER(SEARCH("Party Name:-",'R.M Billets Reports'!D1112)),TRIM('R.M Billets Reports'!F1112),IF(ISNUMBER(SEARCH("Party Name-",'R.M Billets Reports'!D1112)),TRIM(MID('R.M Billets Reports'!D1112,SEARCH("-",'R.M Billets Reports'!D1112)+1,200)),"")),IF(ISNUMBER(SEARCH("Party Name:-",'R.M Billets Reports'!D1113)),TRIM('R.M Billets Reports'!F1113),IF(ISNUMBER(SEARCH("Party Name-",'R.M Billets Reports'!D1113)),TRIM(MID('R.M Billets Reports'!D1113,SEARCH("-",'R.M Billets Reports'!D1113)+1,200)),"")))="SHRI RADHE","SHREE RADHE",IF(IF(IF(ISNUMBER(SEARCH("Party Name:-",'R.M Billets Reports'!D1112)),TRIM('R.M Billets Reports'!F1112),IF(ISNUMBER(SEARCH("Party Name-",'R.M Billets Reports'!D1112)),TRIM(MID('R.M Billets Reports'!D1112,SEARCH("-",'R.M Billets Reports'!D1112)+1,200)),""))&lt;&gt;"",IF(ISNUMBER(SEARCH("Party Name:-",'R.M Billets Reports'!D1112)),TRIM('R.M Billets Reports'!F1112),IF(ISNUMBER(SEARCH("Party Name-",'R.M Billets Reports'!D1112)),TRIM(MID('R.M Billets Reports'!D1112,SEARCH("-",'R.M Billets Reports'!D1112)+1,200)),"")),IF(ISNUMBER(SEARCH("Party Name:-",'R.M Billets Reports'!D1113)),TRIM('R.M Billets Reports'!F1113),IF(ISNUMBER(SEARCH("Party Name-",'R.M Billets Reports'!D1113)),TRIM(MID('R.M Billets Reports'!D1113,SEARCH("-",'R.M Billets Reports'!D1113)+1,200)),"")))="SHREE RADHE SHAKTI SPONGE AND POWER PVT. LTD.","SHREE RADHE",IF(IF(ISNUMBER(SEARCH("Party Name:-",'R.M Billets Reports'!D1112)),TRIM('R.M Billets Reports'!F1112),IF(ISNUMBER(SEARCH("Party Name-",'R.M Billets Reports'!D1112)),TRIM(MID('R.M Billets Reports'!D1112,SEARCH("-",'R.M Billets Reports'!D1112)+1,200)),""))&lt;&gt;"",IF(ISNUMBER(SEARCH("Party Name:-",'R.M Billets Reports'!D1112)),TRIM('R.M Billets Reports'!F1112),IF(ISNUMBER(SEARCH("Party Name-",'R.M Billets Reports'!D1112)),TRIM(MID('R.M Billets Reports'!D1112,SEARCH("-",'R.M Billets Reports'!D1112)+1,200)),"")),IF(ISNUMBER(SEARCH("Party Name:-",'R.M Billets Reports'!D1113)),TRIM('R.M Billets Reports'!F1113),IF(ISNUMBER(SEARCH("Party Name-",'R.M Billets Reports'!D1113)),TRIM(MID('R.M Billets Reports'!D1113,SEARCH("-",'R.M Billets Reports'!D1113)+1,200)),"")))))),IF(ROW()=2,"",A1112))</f>
      </c>
      <c r="B1113">
        <f>IF(OR('R.M Billets Reports'!A1112="Date-",'R.M Billets Reports'!A1112="Date:-"),'R.M Billets Reports'!B1112,IF(ROW()=2,"",B1112))</f>
      </c>
      <c r="C1113">
        <f>IF('R.M Billets Reports'!A1112="V.No.",'R.M Billets Reports'!B1112,IF(ROW()=2,"",C1112))</f>
      </c>
      <c r="D1113">
        <f>IF('R.M Billets Reports'!A1112&lt;&gt;"",'R.M Billets Reports'!A1112,IF(ROW()=2,"",D1112))</f>
      </c>
      <c r="E1113">
        <f>IF('R.M Billets Reports'!B1112="","",TRIM('R.M Billets Reports'!B1112))</f>
      </c>
      <c r="F1113">
        <f>'R.M Billets Reports'!C1112</f>
      </c>
      <c r="G1113">
        <f>'R.M Billets Reports'!D1112</f>
      </c>
      <c r="H1113">
        <f>'R.M Billets Reports'!E1112</f>
      </c>
      <c r="I1113">
        <f>'R.M Billets Reports'!F1112</f>
      </c>
      <c r="J1113">
        <f>'R.M Billets Reports'!G1112</f>
      </c>
      <c r="K1113">
        <f>'R.M Billets Reports'!H1112</f>
      </c>
      <c r="L1113">
        <f>IF('R.M Billets Reports'!I1112="","",'R.M Billets Reports'!I1112)</f>
      </c>
      <c r="M1113">
        <f t="shared" si="34"/>
      </c>
      <c r="N1113">
        <f>IF('R.M Billets Reports'!J1112="","",'R.M Billets Reports'!J1112)</f>
      </c>
      <c r="O1113">
        <f t="shared" si="35"/>
      </c>
      <c r="P1113">
        <f>IF('R.M Billets Reports'!A1112="SIZE",'R.M Billets Reports'!B1112,P1112)</f>
      </c>
    </row>
    <row r="1114" spans="1:16" x14ac:dyDescent="0.25">
      <c r="A1114">
        <f>IF(OR('R.M Billets Reports'!A1113="Date-",'R.M Billets Reports'!A1113="Date:-"),IF(IF(IF(ISNUMBER(SEARCH("Party Name:-",'R.M Billets Reports'!D1113)),TRIM('R.M Billets Reports'!F1113),IF(ISNUMBER(SEARCH("Party Name-",'R.M Billets Reports'!D1113)),TRIM(MID('R.M Billets Reports'!D1113,SEARCH("-",'R.M Billets Reports'!D1113)+1,200)),""))&lt;&gt;"",IF(ISNUMBER(SEARCH("Party Name:-",'R.M Billets Reports'!D1113)),TRIM('R.M Billets Reports'!F1113),IF(ISNUMBER(SEARCH("Party Name-",'R.M Billets Reports'!D1113)),TRIM(MID('R.M Billets Reports'!D1113,SEARCH("-",'R.M Billets Reports'!D1113)+1,200)),"")),IF(ISNUMBER(SEARCH("Party Name:-",'R.M Billets Reports'!D1114)),TRIM('R.M Billets Reports'!F1114),IF(ISNUMBER(SEARCH("Party Name-",'R.M Billets Reports'!D1114)),TRIM(MID('R.M Billets Reports'!D1114,SEARCH("-",'R.M Billets Reports'!D1114)+1,200)),"")))="VRKP ISPAT PVT LTD","VRKP",IF(IF(IF(ISNUMBER(SEARCH("Party Name:-",'R.M Billets Reports'!D1113)),TRIM('R.M Billets Reports'!F1113),IF(ISNUMBER(SEARCH("Party Name-",'R.M Billets Reports'!D1113)),TRIM(MID('R.M Billets Reports'!D1113,SEARCH("-",'R.M Billets Reports'!D1113)+1,200)),""))&lt;&gt;"",IF(ISNUMBER(SEARCH("Party Name:-",'R.M Billets Reports'!D1113)),TRIM('R.M Billets Reports'!F1113),IF(ISNUMBER(SEARCH("Party Name-",'R.M Billets Reports'!D1113)),TRIM(MID('R.M Billets Reports'!D1113,SEARCH("-",'R.M Billets Reports'!D1113)+1,200)),"")),IF(ISNUMBER(SEARCH("Party Name:-",'R.M Billets Reports'!D1114)),TRIM('R.M Billets Reports'!F1114),IF(ISNUMBER(SEARCH("Party Name-",'R.M Billets Reports'!D1114)),TRIM(MID('R.M Billets Reports'!D1114,SEARCH("-",'R.M Billets Reports'!D1114)+1,200)),"")))="SHRI RADHE","SHREE RADHE",IF(IF(IF(ISNUMBER(SEARCH("Party Name:-",'R.M Billets Reports'!D1113)),TRIM('R.M Billets Reports'!F1113),IF(ISNUMBER(SEARCH("Party Name-",'R.M Billets Reports'!D1113)),TRIM(MID('R.M Billets Reports'!D1113,SEARCH("-",'R.M Billets Reports'!D1113)+1,200)),""))&lt;&gt;"",IF(ISNUMBER(SEARCH("Party Name:-",'R.M Billets Reports'!D1113)),TRIM('R.M Billets Reports'!F1113),IF(ISNUMBER(SEARCH("Party Name-",'R.M Billets Reports'!D1113)),TRIM(MID('R.M Billets Reports'!D1113,SEARCH("-",'R.M Billets Reports'!D1113)+1,200)),"")),IF(ISNUMBER(SEARCH("Party Name:-",'R.M Billets Reports'!D1114)),TRIM('R.M Billets Reports'!F1114),IF(ISNUMBER(SEARCH("Party Name-",'R.M Billets Reports'!D1114)),TRIM(MID('R.M Billets Reports'!D1114,SEARCH("-",'R.M Billets Reports'!D1114)+1,200)),"")))="SHREE RADHE SHAKTI SPONGE AND POWER PVT. LTD.","SHREE RADHE",IF(IF(ISNUMBER(SEARCH("Party Name:-",'R.M Billets Reports'!D1113)),TRIM('R.M Billets Reports'!F1113),IF(ISNUMBER(SEARCH("Party Name-",'R.M Billets Reports'!D1113)),TRIM(MID('R.M Billets Reports'!D1113,SEARCH("-",'R.M Billets Reports'!D1113)+1,200)),""))&lt;&gt;"",IF(ISNUMBER(SEARCH("Party Name:-",'R.M Billets Reports'!D1113)),TRIM('R.M Billets Reports'!F1113),IF(ISNUMBER(SEARCH("Party Name-",'R.M Billets Reports'!D1113)),TRIM(MID('R.M Billets Reports'!D1113,SEARCH("-",'R.M Billets Reports'!D1113)+1,200)),"")),IF(ISNUMBER(SEARCH("Party Name:-",'R.M Billets Reports'!D1114)),TRIM('R.M Billets Reports'!F1114),IF(ISNUMBER(SEARCH("Party Name-",'R.M Billets Reports'!D1114)),TRIM(MID('R.M Billets Reports'!D1114,SEARCH("-",'R.M Billets Reports'!D1114)+1,200)),"")))))),IF(ROW()=2,"",A1113))</f>
      </c>
      <c r="B1114">
        <f>IF(OR('R.M Billets Reports'!A1113="Date-",'R.M Billets Reports'!A1113="Date:-"),'R.M Billets Reports'!B1113,IF(ROW()=2,"",B1113))</f>
      </c>
      <c r="C1114">
        <f>IF('R.M Billets Reports'!A1113="V.No.",'R.M Billets Reports'!B1113,IF(ROW()=2,"",C1113))</f>
      </c>
      <c r="D1114">
        <f>IF('R.M Billets Reports'!A1113&lt;&gt;"",'R.M Billets Reports'!A1113,IF(ROW()=2,"",D1113))</f>
      </c>
      <c r="E1114">
        <f>IF('R.M Billets Reports'!B1113="","",TRIM('R.M Billets Reports'!B1113))</f>
      </c>
      <c r="F1114">
        <f>'R.M Billets Reports'!C1113</f>
      </c>
      <c r="G1114">
        <f>'R.M Billets Reports'!D1113</f>
      </c>
      <c r="H1114">
        <f>'R.M Billets Reports'!E1113</f>
      </c>
      <c r="I1114">
        <f>'R.M Billets Reports'!F1113</f>
      </c>
      <c r="J1114">
        <f>'R.M Billets Reports'!G1113</f>
      </c>
      <c r="K1114">
        <f>'R.M Billets Reports'!H1113</f>
      </c>
      <c r="L1114">
        <f>IF('R.M Billets Reports'!I1113="","",'R.M Billets Reports'!I1113)</f>
      </c>
      <c r="M1114">
        <f t="shared" si="34"/>
      </c>
      <c r="N1114">
        <f>IF('R.M Billets Reports'!J1113="","",'R.M Billets Reports'!J1113)</f>
      </c>
      <c r="O1114">
        <f t="shared" si="35"/>
      </c>
      <c r="P1114">
        <f>IF('R.M Billets Reports'!A1113="SIZE",'R.M Billets Reports'!B1113,P1113)</f>
      </c>
    </row>
    <row r="1115" spans="1:16" x14ac:dyDescent="0.25">
      <c r="A1115">
        <f>IF(OR('R.M Billets Reports'!A1114="Date-",'R.M Billets Reports'!A1114="Date:-"),IF(IF(IF(ISNUMBER(SEARCH("Party Name:-",'R.M Billets Reports'!D1114)),TRIM('R.M Billets Reports'!F1114),IF(ISNUMBER(SEARCH("Party Name-",'R.M Billets Reports'!D1114)),TRIM(MID('R.M Billets Reports'!D1114,SEARCH("-",'R.M Billets Reports'!D1114)+1,200)),""))&lt;&gt;"",IF(ISNUMBER(SEARCH("Party Name:-",'R.M Billets Reports'!D1114)),TRIM('R.M Billets Reports'!F1114),IF(ISNUMBER(SEARCH("Party Name-",'R.M Billets Reports'!D1114)),TRIM(MID('R.M Billets Reports'!D1114,SEARCH("-",'R.M Billets Reports'!D1114)+1,200)),"")),IF(ISNUMBER(SEARCH("Party Name:-",'R.M Billets Reports'!D1115)),TRIM('R.M Billets Reports'!F1115),IF(ISNUMBER(SEARCH("Party Name-",'R.M Billets Reports'!D1115)),TRIM(MID('R.M Billets Reports'!D1115,SEARCH("-",'R.M Billets Reports'!D1115)+1,200)),"")))="VRKP ISPAT PVT LTD","VRKP",IF(IF(IF(ISNUMBER(SEARCH("Party Name:-",'R.M Billets Reports'!D1114)),TRIM('R.M Billets Reports'!F1114),IF(ISNUMBER(SEARCH("Party Name-",'R.M Billets Reports'!D1114)),TRIM(MID('R.M Billets Reports'!D1114,SEARCH("-",'R.M Billets Reports'!D1114)+1,200)),""))&lt;&gt;"",IF(ISNUMBER(SEARCH("Party Name:-",'R.M Billets Reports'!D1114)),TRIM('R.M Billets Reports'!F1114),IF(ISNUMBER(SEARCH("Party Name-",'R.M Billets Reports'!D1114)),TRIM(MID('R.M Billets Reports'!D1114,SEARCH("-",'R.M Billets Reports'!D1114)+1,200)),"")),IF(ISNUMBER(SEARCH("Party Name:-",'R.M Billets Reports'!D1115)),TRIM('R.M Billets Reports'!F1115),IF(ISNUMBER(SEARCH("Party Name-",'R.M Billets Reports'!D1115)),TRIM(MID('R.M Billets Reports'!D1115,SEARCH("-",'R.M Billets Reports'!D1115)+1,200)),"")))="SHRI RADHE","SHREE RADHE",IF(IF(IF(ISNUMBER(SEARCH("Party Name:-",'R.M Billets Reports'!D1114)),TRIM('R.M Billets Reports'!F1114),IF(ISNUMBER(SEARCH("Party Name-",'R.M Billets Reports'!D1114)),TRIM(MID('R.M Billets Reports'!D1114,SEARCH("-",'R.M Billets Reports'!D1114)+1,200)),""))&lt;&gt;"",IF(ISNUMBER(SEARCH("Party Name:-",'R.M Billets Reports'!D1114)),TRIM('R.M Billets Reports'!F1114),IF(ISNUMBER(SEARCH("Party Name-",'R.M Billets Reports'!D1114)),TRIM(MID('R.M Billets Reports'!D1114,SEARCH("-",'R.M Billets Reports'!D1114)+1,200)),"")),IF(ISNUMBER(SEARCH("Party Name:-",'R.M Billets Reports'!D1115)),TRIM('R.M Billets Reports'!F1115),IF(ISNUMBER(SEARCH("Party Name-",'R.M Billets Reports'!D1115)),TRIM(MID('R.M Billets Reports'!D1115,SEARCH("-",'R.M Billets Reports'!D1115)+1,200)),"")))="SHREE RADHE SHAKTI SPONGE AND POWER PVT. LTD.","SHREE RADHE",IF(IF(ISNUMBER(SEARCH("Party Name:-",'R.M Billets Reports'!D1114)),TRIM('R.M Billets Reports'!F1114),IF(ISNUMBER(SEARCH("Party Name-",'R.M Billets Reports'!D1114)),TRIM(MID('R.M Billets Reports'!D1114,SEARCH("-",'R.M Billets Reports'!D1114)+1,200)),""))&lt;&gt;"",IF(ISNUMBER(SEARCH("Party Name:-",'R.M Billets Reports'!D1114)),TRIM('R.M Billets Reports'!F1114),IF(ISNUMBER(SEARCH("Party Name-",'R.M Billets Reports'!D1114)),TRIM(MID('R.M Billets Reports'!D1114,SEARCH("-",'R.M Billets Reports'!D1114)+1,200)),"")),IF(ISNUMBER(SEARCH("Party Name:-",'R.M Billets Reports'!D1115)),TRIM('R.M Billets Reports'!F1115),IF(ISNUMBER(SEARCH("Party Name-",'R.M Billets Reports'!D1115)),TRIM(MID('R.M Billets Reports'!D1115,SEARCH("-",'R.M Billets Reports'!D1115)+1,200)),"")))))),IF(ROW()=2,"",A1114))</f>
      </c>
      <c r="B1115">
        <f>IF(OR('R.M Billets Reports'!A1114="Date-",'R.M Billets Reports'!A1114="Date:-"),'R.M Billets Reports'!B1114,IF(ROW()=2,"",B1114))</f>
      </c>
      <c r="C1115">
        <f>IF('R.M Billets Reports'!A1114="V.No.",'R.M Billets Reports'!B1114,IF(ROW()=2,"",C1114))</f>
      </c>
      <c r="D1115">
        <f>IF('R.M Billets Reports'!A1114&lt;&gt;"",'R.M Billets Reports'!A1114,IF(ROW()=2,"",D1114))</f>
      </c>
      <c r="E1115">
        <f>IF('R.M Billets Reports'!B1114="","",TRIM('R.M Billets Reports'!B1114))</f>
      </c>
      <c r="F1115">
        <f>'R.M Billets Reports'!C1114</f>
      </c>
      <c r="G1115">
        <f>'R.M Billets Reports'!D1114</f>
      </c>
      <c r="H1115">
        <f>'R.M Billets Reports'!E1114</f>
      </c>
      <c r="I1115">
        <f>'R.M Billets Reports'!F1114</f>
      </c>
      <c r="J1115">
        <f>'R.M Billets Reports'!G1114</f>
      </c>
      <c r="K1115">
        <f>'R.M Billets Reports'!H1114</f>
      </c>
      <c r="L1115">
        <f>IF('R.M Billets Reports'!I1114="","",'R.M Billets Reports'!I1114)</f>
      </c>
      <c r="M1115">
        <f t="shared" si="34"/>
      </c>
      <c r="N1115">
        <f>IF('R.M Billets Reports'!J1114="","",'R.M Billets Reports'!J1114)</f>
      </c>
      <c r="O1115">
        <f t="shared" si="35"/>
      </c>
      <c r="P1115">
        <f>IF('R.M Billets Reports'!A1114="SIZE",'R.M Billets Reports'!B1114,P1114)</f>
      </c>
    </row>
    <row r="1116" spans="1:16" x14ac:dyDescent="0.25">
      <c r="A1116">
        <f>IF(OR('R.M Billets Reports'!A1115="Date-",'R.M Billets Reports'!A1115="Date:-"),IF(IF(IF(ISNUMBER(SEARCH("Party Name:-",'R.M Billets Reports'!D1115)),TRIM('R.M Billets Reports'!F1115),IF(ISNUMBER(SEARCH("Party Name-",'R.M Billets Reports'!D1115)),TRIM(MID('R.M Billets Reports'!D1115,SEARCH("-",'R.M Billets Reports'!D1115)+1,200)),""))&lt;&gt;"",IF(ISNUMBER(SEARCH("Party Name:-",'R.M Billets Reports'!D1115)),TRIM('R.M Billets Reports'!F1115),IF(ISNUMBER(SEARCH("Party Name-",'R.M Billets Reports'!D1115)),TRIM(MID('R.M Billets Reports'!D1115,SEARCH("-",'R.M Billets Reports'!D1115)+1,200)),"")),IF(ISNUMBER(SEARCH("Party Name:-",'R.M Billets Reports'!D1116)),TRIM('R.M Billets Reports'!F1116),IF(ISNUMBER(SEARCH("Party Name-",'R.M Billets Reports'!D1116)),TRIM(MID('R.M Billets Reports'!D1116,SEARCH("-",'R.M Billets Reports'!D1116)+1,200)),"")))="VRKP ISPAT PVT LTD","VRKP",IF(IF(IF(ISNUMBER(SEARCH("Party Name:-",'R.M Billets Reports'!D1115)),TRIM('R.M Billets Reports'!F1115),IF(ISNUMBER(SEARCH("Party Name-",'R.M Billets Reports'!D1115)),TRIM(MID('R.M Billets Reports'!D1115,SEARCH("-",'R.M Billets Reports'!D1115)+1,200)),""))&lt;&gt;"",IF(ISNUMBER(SEARCH("Party Name:-",'R.M Billets Reports'!D1115)),TRIM('R.M Billets Reports'!F1115),IF(ISNUMBER(SEARCH("Party Name-",'R.M Billets Reports'!D1115)),TRIM(MID('R.M Billets Reports'!D1115,SEARCH("-",'R.M Billets Reports'!D1115)+1,200)),"")),IF(ISNUMBER(SEARCH("Party Name:-",'R.M Billets Reports'!D1116)),TRIM('R.M Billets Reports'!F1116),IF(ISNUMBER(SEARCH("Party Name-",'R.M Billets Reports'!D1116)),TRIM(MID('R.M Billets Reports'!D1116,SEARCH("-",'R.M Billets Reports'!D1116)+1,200)),"")))="SHRI RADHE","SHREE RADHE",IF(IF(IF(ISNUMBER(SEARCH("Party Name:-",'R.M Billets Reports'!D1115)),TRIM('R.M Billets Reports'!F1115),IF(ISNUMBER(SEARCH("Party Name-",'R.M Billets Reports'!D1115)),TRIM(MID('R.M Billets Reports'!D1115,SEARCH("-",'R.M Billets Reports'!D1115)+1,200)),""))&lt;&gt;"",IF(ISNUMBER(SEARCH("Party Name:-",'R.M Billets Reports'!D1115)),TRIM('R.M Billets Reports'!F1115),IF(ISNUMBER(SEARCH("Party Name-",'R.M Billets Reports'!D1115)),TRIM(MID('R.M Billets Reports'!D1115,SEARCH("-",'R.M Billets Reports'!D1115)+1,200)),"")),IF(ISNUMBER(SEARCH("Party Name:-",'R.M Billets Reports'!D1116)),TRIM('R.M Billets Reports'!F1116),IF(ISNUMBER(SEARCH("Party Name-",'R.M Billets Reports'!D1116)),TRIM(MID('R.M Billets Reports'!D1116,SEARCH("-",'R.M Billets Reports'!D1116)+1,200)),"")))="SHREE RADHE SHAKTI SPONGE AND POWER PVT. LTD.","SHREE RADHE",IF(IF(ISNUMBER(SEARCH("Party Name:-",'R.M Billets Reports'!D1115)),TRIM('R.M Billets Reports'!F1115),IF(ISNUMBER(SEARCH("Party Name-",'R.M Billets Reports'!D1115)),TRIM(MID('R.M Billets Reports'!D1115,SEARCH("-",'R.M Billets Reports'!D1115)+1,200)),""))&lt;&gt;"",IF(ISNUMBER(SEARCH("Party Name:-",'R.M Billets Reports'!D1115)),TRIM('R.M Billets Reports'!F1115),IF(ISNUMBER(SEARCH("Party Name-",'R.M Billets Reports'!D1115)),TRIM(MID('R.M Billets Reports'!D1115,SEARCH("-",'R.M Billets Reports'!D1115)+1,200)),"")),IF(ISNUMBER(SEARCH("Party Name:-",'R.M Billets Reports'!D1116)),TRIM('R.M Billets Reports'!F1116),IF(ISNUMBER(SEARCH("Party Name-",'R.M Billets Reports'!D1116)),TRIM(MID('R.M Billets Reports'!D1116,SEARCH("-",'R.M Billets Reports'!D1116)+1,200)),"")))))),IF(ROW()=2,"",A1115))</f>
      </c>
      <c r="B1116">
        <f>IF(OR('R.M Billets Reports'!A1115="Date-",'R.M Billets Reports'!A1115="Date:-"),'R.M Billets Reports'!B1115,IF(ROW()=2,"",B1115))</f>
      </c>
      <c r="C1116">
        <f>IF('R.M Billets Reports'!A1115="V.No.",'R.M Billets Reports'!B1115,IF(ROW()=2,"",C1115))</f>
      </c>
      <c r="D1116">
        <f>IF('R.M Billets Reports'!A1115&lt;&gt;"",'R.M Billets Reports'!A1115,IF(ROW()=2,"",D1115))</f>
      </c>
      <c r="E1116">
        <f>IF('R.M Billets Reports'!B1115="","",TRIM('R.M Billets Reports'!B1115))</f>
      </c>
      <c r="F1116">
        <f>'R.M Billets Reports'!C1115</f>
      </c>
      <c r="G1116">
        <f>'R.M Billets Reports'!D1115</f>
      </c>
      <c r="H1116">
        <f>'R.M Billets Reports'!E1115</f>
      </c>
      <c r="I1116">
        <f>'R.M Billets Reports'!F1115</f>
      </c>
      <c r="J1116">
        <f>'R.M Billets Reports'!G1115</f>
      </c>
      <c r="K1116">
        <f>'R.M Billets Reports'!H1115</f>
      </c>
      <c r="L1116">
        <f>IF('R.M Billets Reports'!I1115="","",'R.M Billets Reports'!I1115)</f>
      </c>
      <c r="M1116">
        <f t="shared" si="34"/>
      </c>
      <c r="N1116">
        <f>IF('R.M Billets Reports'!J1115="","",'R.M Billets Reports'!J1115)</f>
      </c>
      <c r="O1116">
        <f t="shared" si="35"/>
      </c>
      <c r="P1116">
        <f>IF('R.M Billets Reports'!A1115="SIZE",'R.M Billets Reports'!B1115,P1115)</f>
      </c>
    </row>
    <row r="1117" spans="1:16" x14ac:dyDescent="0.25">
      <c r="A1117">
        <f>IF(OR('R.M Billets Reports'!A1116="Date-",'R.M Billets Reports'!A1116="Date:-"),IF(IF(IF(ISNUMBER(SEARCH("Party Name:-",'R.M Billets Reports'!D1116)),TRIM('R.M Billets Reports'!F1116),IF(ISNUMBER(SEARCH("Party Name-",'R.M Billets Reports'!D1116)),TRIM(MID('R.M Billets Reports'!D1116,SEARCH("-",'R.M Billets Reports'!D1116)+1,200)),""))&lt;&gt;"",IF(ISNUMBER(SEARCH("Party Name:-",'R.M Billets Reports'!D1116)),TRIM('R.M Billets Reports'!F1116),IF(ISNUMBER(SEARCH("Party Name-",'R.M Billets Reports'!D1116)),TRIM(MID('R.M Billets Reports'!D1116,SEARCH("-",'R.M Billets Reports'!D1116)+1,200)),"")),IF(ISNUMBER(SEARCH("Party Name:-",'R.M Billets Reports'!D1117)),TRIM('R.M Billets Reports'!F1117),IF(ISNUMBER(SEARCH("Party Name-",'R.M Billets Reports'!D1117)),TRIM(MID('R.M Billets Reports'!D1117,SEARCH("-",'R.M Billets Reports'!D1117)+1,200)),"")))="VRKP ISPAT PVT LTD","VRKP",IF(IF(IF(ISNUMBER(SEARCH("Party Name:-",'R.M Billets Reports'!D1116)),TRIM('R.M Billets Reports'!F1116),IF(ISNUMBER(SEARCH("Party Name-",'R.M Billets Reports'!D1116)),TRIM(MID('R.M Billets Reports'!D1116,SEARCH("-",'R.M Billets Reports'!D1116)+1,200)),""))&lt;&gt;"",IF(ISNUMBER(SEARCH("Party Name:-",'R.M Billets Reports'!D1116)),TRIM('R.M Billets Reports'!F1116),IF(ISNUMBER(SEARCH("Party Name-",'R.M Billets Reports'!D1116)),TRIM(MID('R.M Billets Reports'!D1116,SEARCH("-",'R.M Billets Reports'!D1116)+1,200)),"")),IF(ISNUMBER(SEARCH("Party Name:-",'R.M Billets Reports'!D1117)),TRIM('R.M Billets Reports'!F1117),IF(ISNUMBER(SEARCH("Party Name-",'R.M Billets Reports'!D1117)),TRIM(MID('R.M Billets Reports'!D1117,SEARCH("-",'R.M Billets Reports'!D1117)+1,200)),"")))="SHRI RADHE","SHREE RADHE",IF(IF(IF(ISNUMBER(SEARCH("Party Name:-",'R.M Billets Reports'!D1116)),TRIM('R.M Billets Reports'!F1116),IF(ISNUMBER(SEARCH("Party Name-",'R.M Billets Reports'!D1116)),TRIM(MID('R.M Billets Reports'!D1116,SEARCH("-",'R.M Billets Reports'!D1116)+1,200)),""))&lt;&gt;"",IF(ISNUMBER(SEARCH("Party Name:-",'R.M Billets Reports'!D1116)),TRIM('R.M Billets Reports'!F1116),IF(ISNUMBER(SEARCH("Party Name-",'R.M Billets Reports'!D1116)),TRIM(MID('R.M Billets Reports'!D1116,SEARCH("-",'R.M Billets Reports'!D1116)+1,200)),"")),IF(ISNUMBER(SEARCH("Party Name:-",'R.M Billets Reports'!D1117)),TRIM('R.M Billets Reports'!F1117),IF(ISNUMBER(SEARCH("Party Name-",'R.M Billets Reports'!D1117)),TRIM(MID('R.M Billets Reports'!D1117,SEARCH("-",'R.M Billets Reports'!D1117)+1,200)),"")))="SHREE RADHE SHAKTI SPONGE AND POWER PVT. LTD.","SHREE RADHE",IF(IF(ISNUMBER(SEARCH("Party Name:-",'R.M Billets Reports'!D1116)),TRIM('R.M Billets Reports'!F1116),IF(ISNUMBER(SEARCH("Party Name-",'R.M Billets Reports'!D1116)),TRIM(MID('R.M Billets Reports'!D1116,SEARCH("-",'R.M Billets Reports'!D1116)+1,200)),""))&lt;&gt;"",IF(ISNUMBER(SEARCH("Party Name:-",'R.M Billets Reports'!D1116)),TRIM('R.M Billets Reports'!F1116),IF(ISNUMBER(SEARCH("Party Name-",'R.M Billets Reports'!D1116)),TRIM(MID('R.M Billets Reports'!D1116,SEARCH("-",'R.M Billets Reports'!D1116)+1,200)),"")),IF(ISNUMBER(SEARCH("Party Name:-",'R.M Billets Reports'!D1117)),TRIM('R.M Billets Reports'!F1117),IF(ISNUMBER(SEARCH("Party Name-",'R.M Billets Reports'!D1117)),TRIM(MID('R.M Billets Reports'!D1117,SEARCH("-",'R.M Billets Reports'!D1117)+1,200)),"")))))),IF(ROW()=2,"",A1116))</f>
      </c>
      <c r="B1117">
        <f>IF(OR('R.M Billets Reports'!A1116="Date-",'R.M Billets Reports'!A1116="Date:-"),'R.M Billets Reports'!B1116,IF(ROW()=2,"",B1116))</f>
      </c>
      <c r="C1117">
        <f>IF('R.M Billets Reports'!A1116="V.No.",'R.M Billets Reports'!B1116,IF(ROW()=2,"",C1116))</f>
      </c>
      <c r="D1117">
        <f>IF('R.M Billets Reports'!A1116&lt;&gt;"",'R.M Billets Reports'!A1116,IF(ROW()=2,"",D1116))</f>
      </c>
      <c r="E1117">
        <f>IF('R.M Billets Reports'!B1116="","",TRIM('R.M Billets Reports'!B1116))</f>
      </c>
      <c r="F1117">
        <f>'R.M Billets Reports'!C1116</f>
      </c>
      <c r="G1117">
        <f>'R.M Billets Reports'!D1116</f>
      </c>
      <c r="H1117">
        <f>'R.M Billets Reports'!E1116</f>
      </c>
      <c r="I1117">
        <f>'R.M Billets Reports'!F1116</f>
      </c>
      <c r="J1117">
        <f>'R.M Billets Reports'!G1116</f>
      </c>
      <c r="K1117">
        <f>'R.M Billets Reports'!H1116</f>
      </c>
      <c r="L1117">
        <f>IF('R.M Billets Reports'!I1116="","",'R.M Billets Reports'!I1116)</f>
      </c>
      <c r="M1117">
        <f t="shared" si="34"/>
      </c>
      <c r="N1117">
        <f>IF('R.M Billets Reports'!J1116="","",'R.M Billets Reports'!J1116)</f>
      </c>
      <c r="O1117">
        <f t="shared" si="35"/>
      </c>
      <c r="P1117">
        <f>IF('R.M Billets Reports'!A1116="SIZE",'R.M Billets Reports'!B1116,P1116)</f>
      </c>
    </row>
    <row r="1118" spans="1:16" x14ac:dyDescent="0.25">
      <c r="A1118">
        <f>IF(OR('R.M Billets Reports'!A1117="Date-",'R.M Billets Reports'!A1117="Date:-"),IF(IF(IF(ISNUMBER(SEARCH("Party Name:-",'R.M Billets Reports'!D1117)),TRIM('R.M Billets Reports'!F1117),IF(ISNUMBER(SEARCH("Party Name-",'R.M Billets Reports'!D1117)),TRIM(MID('R.M Billets Reports'!D1117,SEARCH("-",'R.M Billets Reports'!D1117)+1,200)),""))&lt;&gt;"",IF(ISNUMBER(SEARCH("Party Name:-",'R.M Billets Reports'!D1117)),TRIM('R.M Billets Reports'!F1117),IF(ISNUMBER(SEARCH("Party Name-",'R.M Billets Reports'!D1117)),TRIM(MID('R.M Billets Reports'!D1117,SEARCH("-",'R.M Billets Reports'!D1117)+1,200)),"")),IF(ISNUMBER(SEARCH("Party Name:-",'R.M Billets Reports'!D1118)),TRIM('R.M Billets Reports'!F1118),IF(ISNUMBER(SEARCH("Party Name-",'R.M Billets Reports'!D1118)),TRIM(MID('R.M Billets Reports'!D1118,SEARCH("-",'R.M Billets Reports'!D1118)+1,200)),"")))="VRKP ISPAT PVT LTD","VRKP",IF(IF(IF(ISNUMBER(SEARCH("Party Name:-",'R.M Billets Reports'!D1117)),TRIM('R.M Billets Reports'!F1117),IF(ISNUMBER(SEARCH("Party Name-",'R.M Billets Reports'!D1117)),TRIM(MID('R.M Billets Reports'!D1117,SEARCH("-",'R.M Billets Reports'!D1117)+1,200)),""))&lt;&gt;"",IF(ISNUMBER(SEARCH("Party Name:-",'R.M Billets Reports'!D1117)),TRIM('R.M Billets Reports'!F1117),IF(ISNUMBER(SEARCH("Party Name-",'R.M Billets Reports'!D1117)),TRIM(MID('R.M Billets Reports'!D1117,SEARCH("-",'R.M Billets Reports'!D1117)+1,200)),"")),IF(ISNUMBER(SEARCH("Party Name:-",'R.M Billets Reports'!D1118)),TRIM('R.M Billets Reports'!F1118),IF(ISNUMBER(SEARCH("Party Name-",'R.M Billets Reports'!D1118)),TRIM(MID('R.M Billets Reports'!D1118,SEARCH("-",'R.M Billets Reports'!D1118)+1,200)),"")))="SHRI RADHE","SHREE RADHE",IF(IF(IF(ISNUMBER(SEARCH("Party Name:-",'R.M Billets Reports'!D1117)),TRIM('R.M Billets Reports'!F1117),IF(ISNUMBER(SEARCH("Party Name-",'R.M Billets Reports'!D1117)),TRIM(MID('R.M Billets Reports'!D1117,SEARCH("-",'R.M Billets Reports'!D1117)+1,200)),""))&lt;&gt;"",IF(ISNUMBER(SEARCH("Party Name:-",'R.M Billets Reports'!D1117)),TRIM('R.M Billets Reports'!F1117),IF(ISNUMBER(SEARCH("Party Name-",'R.M Billets Reports'!D1117)),TRIM(MID('R.M Billets Reports'!D1117,SEARCH("-",'R.M Billets Reports'!D1117)+1,200)),"")),IF(ISNUMBER(SEARCH("Party Name:-",'R.M Billets Reports'!D1118)),TRIM('R.M Billets Reports'!F1118),IF(ISNUMBER(SEARCH("Party Name-",'R.M Billets Reports'!D1118)),TRIM(MID('R.M Billets Reports'!D1118,SEARCH("-",'R.M Billets Reports'!D1118)+1,200)),"")))="SHREE RADHE SHAKTI SPONGE AND POWER PVT. LTD.","SHREE RADHE",IF(IF(ISNUMBER(SEARCH("Party Name:-",'R.M Billets Reports'!D1117)),TRIM('R.M Billets Reports'!F1117),IF(ISNUMBER(SEARCH("Party Name-",'R.M Billets Reports'!D1117)),TRIM(MID('R.M Billets Reports'!D1117,SEARCH("-",'R.M Billets Reports'!D1117)+1,200)),""))&lt;&gt;"",IF(ISNUMBER(SEARCH("Party Name:-",'R.M Billets Reports'!D1117)),TRIM('R.M Billets Reports'!F1117),IF(ISNUMBER(SEARCH("Party Name-",'R.M Billets Reports'!D1117)),TRIM(MID('R.M Billets Reports'!D1117,SEARCH("-",'R.M Billets Reports'!D1117)+1,200)),"")),IF(ISNUMBER(SEARCH("Party Name:-",'R.M Billets Reports'!D1118)),TRIM('R.M Billets Reports'!F1118),IF(ISNUMBER(SEARCH("Party Name-",'R.M Billets Reports'!D1118)),TRIM(MID('R.M Billets Reports'!D1118,SEARCH("-",'R.M Billets Reports'!D1118)+1,200)),"")))))),IF(ROW()=2,"",A1117))</f>
      </c>
      <c r="B1118">
        <f>IF(OR('R.M Billets Reports'!A1117="Date-",'R.M Billets Reports'!A1117="Date:-"),'R.M Billets Reports'!B1117,IF(ROW()=2,"",B1117))</f>
      </c>
      <c r="C1118">
        <f>IF('R.M Billets Reports'!A1117="V.No.",'R.M Billets Reports'!B1117,IF(ROW()=2,"",C1117))</f>
      </c>
      <c r="D1118">
        <f>IF('R.M Billets Reports'!A1117&lt;&gt;"",'R.M Billets Reports'!A1117,IF(ROW()=2,"",D1117))</f>
      </c>
      <c r="E1118">
        <f>IF('R.M Billets Reports'!B1117="","",TRIM('R.M Billets Reports'!B1117))</f>
      </c>
      <c r="F1118">
        <f>'R.M Billets Reports'!C1117</f>
      </c>
      <c r="G1118">
        <f>'R.M Billets Reports'!D1117</f>
      </c>
      <c r="H1118">
        <f>'R.M Billets Reports'!E1117</f>
      </c>
      <c r="I1118">
        <f>'R.M Billets Reports'!F1117</f>
      </c>
      <c r="J1118">
        <f>'R.M Billets Reports'!G1117</f>
      </c>
      <c r="K1118">
        <f>'R.M Billets Reports'!H1117</f>
      </c>
      <c r="L1118">
        <f>IF('R.M Billets Reports'!I1117="","",'R.M Billets Reports'!I1117)</f>
      </c>
      <c r="M1118">
        <f t="shared" si="34"/>
      </c>
      <c r="N1118">
        <f>IF('R.M Billets Reports'!J1117="","",'R.M Billets Reports'!J1117)</f>
      </c>
      <c r="O1118">
        <f t="shared" si="35"/>
      </c>
      <c r="P1118">
        <f>IF('R.M Billets Reports'!A1117="SIZE",'R.M Billets Reports'!B1117,P1117)</f>
      </c>
    </row>
    <row r="1119" spans="1:16" x14ac:dyDescent="0.25">
      <c r="A1119">
        <f>IF(OR('R.M Billets Reports'!A1118="Date-",'R.M Billets Reports'!A1118="Date:-"),IF(IF(IF(ISNUMBER(SEARCH("Party Name:-",'R.M Billets Reports'!D1118)),TRIM('R.M Billets Reports'!F1118),IF(ISNUMBER(SEARCH("Party Name-",'R.M Billets Reports'!D1118)),TRIM(MID('R.M Billets Reports'!D1118,SEARCH("-",'R.M Billets Reports'!D1118)+1,200)),""))&lt;&gt;"",IF(ISNUMBER(SEARCH("Party Name:-",'R.M Billets Reports'!D1118)),TRIM('R.M Billets Reports'!F1118),IF(ISNUMBER(SEARCH("Party Name-",'R.M Billets Reports'!D1118)),TRIM(MID('R.M Billets Reports'!D1118,SEARCH("-",'R.M Billets Reports'!D1118)+1,200)),"")),IF(ISNUMBER(SEARCH("Party Name:-",'R.M Billets Reports'!D1119)),TRIM('R.M Billets Reports'!F1119),IF(ISNUMBER(SEARCH("Party Name-",'R.M Billets Reports'!D1119)),TRIM(MID('R.M Billets Reports'!D1119,SEARCH("-",'R.M Billets Reports'!D1119)+1,200)),"")))="VRKP ISPAT PVT LTD","VRKP",IF(IF(IF(ISNUMBER(SEARCH("Party Name:-",'R.M Billets Reports'!D1118)),TRIM('R.M Billets Reports'!F1118),IF(ISNUMBER(SEARCH("Party Name-",'R.M Billets Reports'!D1118)),TRIM(MID('R.M Billets Reports'!D1118,SEARCH("-",'R.M Billets Reports'!D1118)+1,200)),""))&lt;&gt;"",IF(ISNUMBER(SEARCH("Party Name:-",'R.M Billets Reports'!D1118)),TRIM('R.M Billets Reports'!F1118),IF(ISNUMBER(SEARCH("Party Name-",'R.M Billets Reports'!D1118)),TRIM(MID('R.M Billets Reports'!D1118,SEARCH("-",'R.M Billets Reports'!D1118)+1,200)),"")),IF(ISNUMBER(SEARCH("Party Name:-",'R.M Billets Reports'!D1119)),TRIM('R.M Billets Reports'!F1119),IF(ISNUMBER(SEARCH("Party Name-",'R.M Billets Reports'!D1119)),TRIM(MID('R.M Billets Reports'!D1119,SEARCH("-",'R.M Billets Reports'!D1119)+1,200)),"")))="SHRI RADHE","SHREE RADHE",IF(IF(IF(ISNUMBER(SEARCH("Party Name:-",'R.M Billets Reports'!D1118)),TRIM('R.M Billets Reports'!F1118),IF(ISNUMBER(SEARCH("Party Name-",'R.M Billets Reports'!D1118)),TRIM(MID('R.M Billets Reports'!D1118,SEARCH("-",'R.M Billets Reports'!D1118)+1,200)),""))&lt;&gt;"",IF(ISNUMBER(SEARCH("Party Name:-",'R.M Billets Reports'!D1118)),TRIM('R.M Billets Reports'!F1118),IF(ISNUMBER(SEARCH("Party Name-",'R.M Billets Reports'!D1118)),TRIM(MID('R.M Billets Reports'!D1118,SEARCH("-",'R.M Billets Reports'!D1118)+1,200)),"")),IF(ISNUMBER(SEARCH("Party Name:-",'R.M Billets Reports'!D1119)),TRIM('R.M Billets Reports'!F1119),IF(ISNUMBER(SEARCH("Party Name-",'R.M Billets Reports'!D1119)),TRIM(MID('R.M Billets Reports'!D1119,SEARCH("-",'R.M Billets Reports'!D1119)+1,200)),"")))="SHREE RADHE SHAKTI SPONGE AND POWER PVT. LTD.","SHREE RADHE",IF(IF(ISNUMBER(SEARCH("Party Name:-",'R.M Billets Reports'!D1118)),TRIM('R.M Billets Reports'!F1118),IF(ISNUMBER(SEARCH("Party Name-",'R.M Billets Reports'!D1118)),TRIM(MID('R.M Billets Reports'!D1118,SEARCH("-",'R.M Billets Reports'!D1118)+1,200)),""))&lt;&gt;"",IF(ISNUMBER(SEARCH("Party Name:-",'R.M Billets Reports'!D1118)),TRIM('R.M Billets Reports'!F1118),IF(ISNUMBER(SEARCH("Party Name-",'R.M Billets Reports'!D1118)),TRIM(MID('R.M Billets Reports'!D1118,SEARCH("-",'R.M Billets Reports'!D1118)+1,200)),"")),IF(ISNUMBER(SEARCH("Party Name:-",'R.M Billets Reports'!D1119)),TRIM('R.M Billets Reports'!F1119),IF(ISNUMBER(SEARCH("Party Name-",'R.M Billets Reports'!D1119)),TRIM(MID('R.M Billets Reports'!D1119,SEARCH("-",'R.M Billets Reports'!D1119)+1,200)),"")))))),IF(ROW()=2,"",A1118))</f>
      </c>
      <c r="B1119">
        <f>IF(OR('R.M Billets Reports'!A1118="Date-",'R.M Billets Reports'!A1118="Date:-"),'R.M Billets Reports'!B1118,IF(ROW()=2,"",B1118))</f>
      </c>
      <c r="C1119">
        <f>IF('R.M Billets Reports'!A1118="V.No.",'R.M Billets Reports'!B1118,IF(ROW()=2,"",C1118))</f>
      </c>
      <c r="D1119">
        <f>IF('R.M Billets Reports'!A1118&lt;&gt;"",'R.M Billets Reports'!A1118,IF(ROW()=2,"",D1118))</f>
      </c>
      <c r="E1119">
        <f>IF('R.M Billets Reports'!B1118="","",TRIM('R.M Billets Reports'!B1118))</f>
      </c>
      <c r="F1119">
        <f>'R.M Billets Reports'!C1118</f>
      </c>
      <c r="G1119">
        <f>'R.M Billets Reports'!D1118</f>
      </c>
      <c r="H1119">
        <f>'R.M Billets Reports'!E1118</f>
      </c>
      <c r="I1119">
        <f>'R.M Billets Reports'!F1118</f>
      </c>
      <c r="J1119">
        <f>'R.M Billets Reports'!G1118</f>
      </c>
      <c r="K1119">
        <f>'R.M Billets Reports'!H1118</f>
      </c>
      <c r="L1119">
        <f>IF('R.M Billets Reports'!I1118="","",'R.M Billets Reports'!I1118)</f>
      </c>
      <c r="M1119">
        <f t="shared" si="34"/>
      </c>
      <c r="N1119">
        <f>IF('R.M Billets Reports'!J1118="","",'R.M Billets Reports'!J1118)</f>
      </c>
      <c r="O1119">
        <f t="shared" si="35"/>
      </c>
      <c r="P1119">
        <f>IF('R.M Billets Reports'!A1118="SIZE",'R.M Billets Reports'!B1118,P1118)</f>
      </c>
    </row>
    <row r="1120" spans="1:16" x14ac:dyDescent="0.25">
      <c r="A1120">
        <f>IF(OR('R.M Billets Reports'!A1119="Date-",'R.M Billets Reports'!A1119="Date:-"),IF(IF(IF(ISNUMBER(SEARCH("Party Name:-",'R.M Billets Reports'!D1119)),TRIM('R.M Billets Reports'!F1119),IF(ISNUMBER(SEARCH("Party Name-",'R.M Billets Reports'!D1119)),TRIM(MID('R.M Billets Reports'!D1119,SEARCH("-",'R.M Billets Reports'!D1119)+1,200)),""))&lt;&gt;"",IF(ISNUMBER(SEARCH("Party Name:-",'R.M Billets Reports'!D1119)),TRIM('R.M Billets Reports'!F1119),IF(ISNUMBER(SEARCH("Party Name-",'R.M Billets Reports'!D1119)),TRIM(MID('R.M Billets Reports'!D1119,SEARCH("-",'R.M Billets Reports'!D1119)+1,200)),"")),IF(ISNUMBER(SEARCH("Party Name:-",'R.M Billets Reports'!D1120)),TRIM('R.M Billets Reports'!F1120),IF(ISNUMBER(SEARCH("Party Name-",'R.M Billets Reports'!D1120)),TRIM(MID('R.M Billets Reports'!D1120,SEARCH("-",'R.M Billets Reports'!D1120)+1,200)),"")))="VRKP ISPAT PVT LTD","VRKP",IF(IF(IF(ISNUMBER(SEARCH("Party Name:-",'R.M Billets Reports'!D1119)),TRIM('R.M Billets Reports'!F1119),IF(ISNUMBER(SEARCH("Party Name-",'R.M Billets Reports'!D1119)),TRIM(MID('R.M Billets Reports'!D1119,SEARCH("-",'R.M Billets Reports'!D1119)+1,200)),""))&lt;&gt;"",IF(ISNUMBER(SEARCH("Party Name:-",'R.M Billets Reports'!D1119)),TRIM('R.M Billets Reports'!F1119),IF(ISNUMBER(SEARCH("Party Name-",'R.M Billets Reports'!D1119)),TRIM(MID('R.M Billets Reports'!D1119,SEARCH("-",'R.M Billets Reports'!D1119)+1,200)),"")),IF(ISNUMBER(SEARCH("Party Name:-",'R.M Billets Reports'!D1120)),TRIM('R.M Billets Reports'!F1120),IF(ISNUMBER(SEARCH("Party Name-",'R.M Billets Reports'!D1120)),TRIM(MID('R.M Billets Reports'!D1120,SEARCH("-",'R.M Billets Reports'!D1120)+1,200)),"")))="SHRI RADHE","SHREE RADHE",IF(IF(IF(ISNUMBER(SEARCH("Party Name:-",'R.M Billets Reports'!D1119)),TRIM('R.M Billets Reports'!F1119),IF(ISNUMBER(SEARCH("Party Name-",'R.M Billets Reports'!D1119)),TRIM(MID('R.M Billets Reports'!D1119,SEARCH("-",'R.M Billets Reports'!D1119)+1,200)),""))&lt;&gt;"",IF(ISNUMBER(SEARCH("Party Name:-",'R.M Billets Reports'!D1119)),TRIM('R.M Billets Reports'!F1119),IF(ISNUMBER(SEARCH("Party Name-",'R.M Billets Reports'!D1119)),TRIM(MID('R.M Billets Reports'!D1119,SEARCH("-",'R.M Billets Reports'!D1119)+1,200)),"")),IF(ISNUMBER(SEARCH("Party Name:-",'R.M Billets Reports'!D1120)),TRIM('R.M Billets Reports'!F1120),IF(ISNUMBER(SEARCH("Party Name-",'R.M Billets Reports'!D1120)),TRIM(MID('R.M Billets Reports'!D1120,SEARCH("-",'R.M Billets Reports'!D1120)+1,200)),"")))="SHREE RADHE SHAKTI SPONGE AND POWER PVT. LTD.","SHREE RADHE",IF(IF(ISNUMBER(SEARCH("Party Name:-",'R.M Billets Reports'!D1119)),TRIM('R.M Billets Reports'!F1119),IF(ISNUMBER(SEARCH("Party Name-",'R.M Billets Reports'!D1119)),TRIM(MID('R.M Billets Reports'!D1119,SEARCH("-",'R.M Billets Reports'!D1119)+1,200)),""))&lt;&gt;"",IF(ISNUMBER(SEARCH("Party Name:-",'R.M Billets Reports'!D1119)),TRIM('R.M Billets Reports'!F1119),IF(ISNUMBER(SEARCH("Party Name-",'R.M Billets Reports'!D1119)),TRIM(MID('R.M Billets Reports'!D1119,SEARCH("-",'R.M Billets Reports'!D1119)+1,200)),"")),IF(ISNUMBER(SEARCH("Party Name:-",'R.M Billets Reports'!D1120)),TRIM('R.M Billets Reports'!F1120),IF(ISNUMBER(SEARCH("Party Name-",'R.M Billets Reports'!D1120)),TRIM(MID('R.M Billets Reports'!D1120,SEARCH("-",'R.M Billets Reports'!D1120)+1,200)),"")))))),IF(ROW()=2,"",A1119))</f>
      </c>
      <c r="B1120">
        <f>IF(OR('R.M Billets Reports'!A1119="Date-",'R.M Billets Reports'!A1119="Date:-"),'R.M Billets Reports'!B1119,IF(ROW()=2,"",B1119))</f>
      </c>
      <c r="C1120">
        <f>IF('R.M Billets Reports'!A1119="V.No.",'R.M Billets Reports'!B1119,IF(ROW()=2,"",C1119))</f>
      </c>
      <c r="D1120">
        <f>IF('R.M Billets Reports'!A1119&lt;&gt;"",'R.M Billets Reports'!A1119,IF(ROW()=2,"",D1119))</f>
      </c>
      <c r="E1120">
        <f>IF('R.M Billets Reports'!B1119="","",TRIM('R.M Billets Reports'!B1119))</f>
      </c>
      <c r="F1120">
        <f>'R.M Billets Reports'!C1119</f>
      </c>
      <c r="G1120">
        <f>'R.M Billets Reports'!D1119</f>
      </c>
      <c r="H1120">
        <f>'R.M Billets Reports'!E1119</f>
      </c>
      <c r="I1120">
        <f>'R.M Billets Reports'!F1119</f>
      </c>
      <c r="J1120">
        <f>'R.M Billets Reports'!G1119</f>
      </c>
      <c r="K1120">
        <f>'R.M Billets Reports'!H1119</f>
      </c>
      <c r="L1120">
        <f>IF('R.M Billets Reports'!I1119="","",'R.M Billets Reports'!I1119)</f>
      </c>
      <c r="M1120">
        <f t="shared" si="34"/>
      </c>
      <c r="N1120">
        <f>IF('R.M Billets Reports'!J1119="","",'R.M Billets Reports'!J1119)</f>
      </c>
      <c r="O1120">
        <f t="shared" si="35"/>
      </c>
      <c r="P1120">
        <f>IF('R.M Billets Reports'!A1119="SIZE",'R.M Billets Reports'!B1119,P1119)</f>
      </c>
    </row>
    <row r="1121" spans="1:16" x14ac:dyDescent="0.25">
      <c r="A1121">
        <f>IF(OR('R.M Billets Reports'!A1120="Date-",'R.M Billets Reports'!A1120="Date:-"),IF(IF(IF(ISNUMBER(SEARCH("Party Name:-",'R.M Billets Reports'!D1120)),TRIM('R.M Billets Reports'!F1120),IF(ISNUMBER(SEARCH("Party Name-",'R.M Billets Reports'!D1120)),TRIM(MID('R.M Billets Reports'!D1120,SEARCH("-",'R.M Billets Reports'!D1120)+1,200)),""))&lt;&gt;"",IF(ISNUMBER(SEARCH("Party Name:-",'R.M Billets Reports'!D1120)),TRIM('R.M Billets Reports'!F1120),IF(ISNUMBER(SEARCH("Party Name-",'R.M Billets Reports'!D1120)),TRIM(MID('R.M Billets Reports'!D1120,SEARCH("-",'R.M Billets Reports'!D1120)+1,200)),"")),IF(ISNUMBER(SEARCH("Party Name:-",'R.M Billets Reports'!D1121)),TRIM('R.M Billets Reports'!F1121),IF(ISNUMBER(SEARCH("Party Name-",'R.M Billets Reports'!D1121)),TRIM(MID('R.M Billets Reports'!D1121,SEARCH("-",'R.M Billets Reports'!D1121)+1,200)),"")))="VRKP ISPAT PVT LTD","VRKP",IF(IF(IF(ISNUMBER(SEARCH("Party Name:-",'R.M Billets Reports'!D1120)),TRIM('R.M Billets Reports'!F1120),IF(ISNUMBER(SEARCH("Party Name-",'R.M Billets Reports'!D1120)),TRIM(MID('R.M Billets Reports'!D1120,SEARCH("-",'R.M Billets Reports'!D1120)+1,200)),""))&lt;&gt;"",IF(ISNUMBER(SEARCH("Party Name:-",'R.M Billets Reports'!D1120)),TRIM('R.M Billets Reports'!F1120),IF(ISNUMBER(SEARCH("Party Name-",'R.M Billets Reports'!D1120)),TRIM(MID('R.M Billets Reports'!D1120,SEARCH("-",'R.M Billets Reports'!D1120)+1,200)),"")),IF(ISNUMBER(SEARCH("Party Name:-",'R.M Billets Reports'!D1121)),TRIM('R.M Billets Reports'!F1121),IF(ISNUMBER(SEARCH("Party Name-",'R.M Billets Reports'!D1121)),TRIM(MID('R.M Billets Reports'!D1121,SEARCH("-",'R.M Billets Reports'!D1121)+1,200)),"")))="SHRI RADHE","SHREE RADHE",IF(IF(IF(ISNUMBER(SEARCH("Party Name:-",'R.M Billets Reports'!D1120)),TRIM('R.M Billets Reports'!F1120),IF(ISNUMBER(SEARCH("Party Name-",'R.M Billets Reports'!D1120)),TRIM(MID('R.M Billets Reports'!D1120,SEARCH("-",'R.M Billets Reports'!D1120)+1,200)),""))&lt;&gt;"",IF(ISNUMBER(SEARCH("Party Name:-",'R.M Billets Reports'!D1120)),TRIM('R.M Billets Reports'!F1120),IF(ISNUMBER(SEARCH("Party Name-",'R.M Billets Reports'!D1120)),TRIM(MID('R.M Billets Reports'!D1120,SEARCH("-",'R.M Billets Reports'!D1120)+1,200)),"")),IF(ISNUMBER(SEARCH("Party Name:-",'R.M Billets Reports'!D1121)),TRIM('R.M Billets Reports'!F1121),IF(ISNUMBER(SEARCH("Party Name-",'R.M Billets Reports'!D1121)),TRIM(MID('R.M Billets Reports'!D1121,SEARCH("-",'R.M Billets Reports'!D1121)+1,200)),"")))="SHREE RADHE SHAKTI SPONGE AND POWER PVT. LTD.","SHREE RADHE",IF(IF(ISNUMBER(SEARCH("Party Name:-",'R.M Billets Reports'!D1120)),TRIM('R.M Billets Reports'!F1120),IF(ISNUMBER(SEARCH("Party Name-",'R.M Billets Reports'!D1120)),TRIM(MID('R.M Billets Reports'!D1120,SEARCH("-",'R.M Billets Reports'!D1120)+1,200)),""))&lt;&gt;"",IF(ISNUMBER(SEARCH("Party Name:-",'R.M Billets Reports'!D1120)),TRIM('R.M Billets Reports'!F1120),IF(ISNUMBER(SEARCH("Party Name-",'R.M Billets Reports'!D1120)),TRIM(MID('R.M Billets Reports'!D1120,SEARCH("-",'R.M Billets Reports'!D1120)+1,200)),"")),IF(ISNUMBER(SEARCH("Party Name:-",'R.M Billets Reports'!D1121)),TRIM('R.M Billets Reports'!F1121),IF(ISNUMBER(SEARCH("Party Name-",'R.M Billets Reports'!D1121)),TRIM(MID('R.M Billets Reports'!D1121,SEARCH("-",'R.M Billets Reports'!D1121)+1,200)),"")))))),IF(ROW()=2,"",A1120))</f>
      </c>
      <c r="B1121">
        <f>IF(OR('R.M Billets Reports'!A1120="Date-",'R.M Billets Reports'!A1120="Date:-"),'R.M Billets Reports'!B1120,IF(ROW()=2,"",B1120))</f>
      </c>
      <c r="C1121">
        <f>IF('R.M Billets Reports'!A1120="V.No.",'R.M Billets Reports'!B1120,IF(ROW()=2,"",C1120))</f>
      </c>
      <c r="D1121">
        <f>IF('R.M Billets Reports'!A1120&lt;&gt;"",'R.M Billets Reports'!A1120,IF(ROW()=2,"",D1120))</f>
      </c>
      <c r="E1121">
        <f>IF('R.M Billets Reports'!B1120="","",TRIM('R.M Billets Reports'!B1120))</f>
      </c>
      <c r="F1121">
        <f>'R.M Billets Reports'!C1120</f>
      </c>
      <c r="G1121">
        <f>'R.M Billets Reports'!D1120</f>
      </c>
      <c r="H1121">
        <f>'R.M Billets Reports'!E1120</f>
      </c>
      <c r="I1121">
        <f>'R.M Billets Reports'!F1120</f>
      </c>
      <c r="J1121">
        <f>'R.M Billets Reports'!G1120</f>
      </c>
      <c r="K1121">
        <f>'R.M Billets Reports'!H1120</f>
      </c>
      <c r="L1121">
        <f>IF('R.M Billets Reports'!I1120="","",'R.M Billets Reports'!I1120)</f>
      </c>
      <c r="M1121">
        <f t="shared" si="34"/>
      </c>
      <c r="N1121">
        <f>IF('R.M Billets Reports'!J1120="","",'R.M Billets Reports'!J1120)</f>
      </c>
      <c r="O1121">
        <f t="shared" si="35"/>
      </c>
      <c r="P1121">
        <f>IF('R.M Billets Reports'!A1120="SIZE",'R.M Billets Reports'!B1120,P1120)</f>
      </c>
    </row>
    <row r="1122" spans="1:16" x14ac:dyDescent="0.25">
      <c r="A1122">
        <f>IF(OR('R.M Billets Reports'!A1121="Date-",'R.M Billets Reports'!A1121="Date:-"),IF(IF(IF(ISNUMBER(SEARCH("Party Name:-",'R.M Billets Reports'!D1121)),TRIM('R.M Billets Reports'!F1121),IF(ISNUMBER(SEARCH("Party Name-",'R.M Billets Reports'!D1121)),TRIM(MID('R.M Billets Reports'!D1121,SEARCH("-",'R.M Billets Reports'!D1121)+1,200)),""))&lt;&gt;"",IF(ISNUMBER(SEARCH("Party Name:-",'R.M Billets Reports'!D1121)),TRIM('R.M Billets Reports'!F1121),IF(ISNUMBER(SEARCH("Party Name-",'R.M Billets Reports'!D1121)),TRIM(MID('R.M Billets Reports'!D1121,SEARCH("-",'R.M Billets Reports'!D1121)+1,200)),"")),IF(ISNUMBER(SEARCH("Party Name:-",'R.M Billets Reports'!D1122)),TRIM('R.M Billets Reports'!F1122),IF(ISNUMBER(SEARCH("Party Name-",'R.M Billets Reports'!D1122)),TRIM(MID('R.M Billets Reports'!D1122,SEARCH("-",'R.M Billets Reports'!D1122)+1,200)),"")))="VRKP ISPAT PVT LTD","VRKP",IF(IF(IF(ISNUMBER(SEARCH("Party Name:-",'R.M Billets Reports'!D1121)),TRIM('R.M Billets Reports'!F1121),IF(ISNUMBER(SEARCH("Party Name-",'R.M Billets Reports'!D1121)),TRIM(MID('R.M Billets Reports'!D1121,SEARCH("-",'R.M Billets Reports'!D1121)+1,200)),""))&lt;&gt;"",IF(ISNUMBER(SEARCH("Party Name:-",'R.M Billets Reports'!D1121)),TRIM('R.M Billets Reports'!F1121),IF(ISNUMBER(SEARCH("Party Name-",'R.M Billets Reports'!D1121)),TRIM(MID('R.M Billets Reports'!D1121,SEARCH("-",'R.M Billets Reports'!D1121)+1,200)),"")),IF(ISNUMBER(SEARCH("Party Name:-",'R.M Billets Reports'!D1122)),TRIM('R.M Billets Reports'!F1122),IF(ISNUMBER(SEARCH("Party Name-",'R.M Billets Reports'!D1122)),TRIM(MID('R.M Billets Reports'!D1122,SEARCH("-",'R.M Billets Reports'!D1122)+1,200)),"")))="SHRI RADHE","SHREE RADHE",IF(IF(IF(ISNUMBER(SEARCH("Party Name:-",'R.M Billets Reports'!D1121)),TRIM('R.M Billets Reports'!F1121),IF(ISNUMBER(SEARCH("Party Name-",'R.M Billets Reports'!D1121)),TRIM(MID('R.M Billets Reports'!D1121,SEARCH("-",'R.M Billets Reports'!D1121)+1,200)),""))&lt;&gt;"",IF(ISNUMBER(SEARCH("Party Name:-",'R.M Billets Reports'!D1121)),TRIM('R.M Billets Reports'!F1121),IF(ISNUMBER(SEARCH("Party Name-",'R.M Billets Reports'!D1121)),TRIM(MID('R.M Billets Reports'!D1121,SEARCH("-",'R.M Billets Reports'!D1121)+1,200)),"")),IF(ISNUMBER(SEARCH("Party Name:-",'R.M Billets Reports'!D1122)),TRIM('R.M Billets Reports'!F1122),IF(ISNUMBER(SEARCH("Party Name-",'R.M Billets Reports'!D1122)),TRIM(MID('R.M Billets Reports'!D1122,SEARCH("-",'R.M Billets Reports'!D1122)+1,200)),"")))="SHREE RADHE SHAKTI SPONGE AND POWER PVT. LTD.","SHREE RADHE",IF(IF(ISNUMBER(SEARCH("Party Name:-",'R.M Billets Reports'!D1121)),TRIM('R.M Billets Reports'!F1121),IF(ISNUMBER(SEARCH("Party Name-",'R.M Billets Reports'!D1121)),TRIM(MID('R.M Billets Reports'!D1121,SEARCH("-",'R.M Billets Reports'!D1121)+1,200)),""))&lt;&gt;"",IF(ISNUMBER(SEARCH("Party Name:-",'R.M Billets Reports'!D1121)),TRIM('R.M Billets Reports'!F1121),IF(ISNUMBER(SEARCH("Party Name-",'R.M Billets Reports'!D1121)),TRIM(MID('R.M Billets Reports'!D1121,SEARCH("-",'R.M Billets Reports'!D1121)+1,200)),"")),IF(ISNUMBER(SEARCH("Party Name:-",'R.M Billets Reports'!D1122)),TRIM('R.M Billets Reports'!F1122),IF(ISNUMBER(SEARCH("Party Name-",'R.M Billets Reports'!D1122)),TRIM(MID('R.M Billets Reports'!D1122,SEARCH("-",'R.M Billets Reports'!D1122)+1,200)),"")))))),IF(ROW()=2,"",A1121))</f>
      </c>
      <c r="B1122">
        <f>IF(OR('R.M Billets Reports'!A1121="Date-",'R.M Billets Reports'!A1121="Date:-"),'R.M Billets Reports'!B1121,IF(ROW()=2,"",B1121))</f>
      </c>
      <c r="C1122">
        <f>IF('R.M Billets Reports'!A1121="V.No.",'R.M Billets Reports'!B1121,IF(ROW()=2,"",C1121))</f>
      </c>
      <c r="D1122">
        <f>IF('R.M Billets Reports'!A1121&lt;&gt;"",'R.M Billets Reports'!A1121,IF(ROW()=2,"",D1121))</f>
      </c>
      <c r="E1122">
        <f>IF('R.M Billets Reports'!B1121="","",TRIM('R.M Billets Reports'!B1121))</f>
      </c>
      <c r="F1122">
        <f>'R.M Billets Reports'!C1121</f>
      </c>
      <c r="G1122">
        <f>'R.M Billets Reports'!D1121</f>
      </c>
      <c r="H1122">
        <f>'R.M Billets Reports'!E1121</f>
      </c>
      <c r="I1122">
        <f>'R.M Billets Reports'!F1121</f>
      </c>
      <c r="J1122">
        <f>'R.M Billets Reports'!G1121</f>
      </c>
      <c r="K1122">
        <f>'R.M Billets Reports'!H1121</f>
      </c>
      <c r="L1122">
        <f>IF('R.M Billets Reports'!I1121="","",'R.M Billets Reports'!I1121)</f>
      </c>
      <c r="M1122">
        <f t="shared" si="34"/>
      </c>
      <c r="N1122">
        <f>IF('R.M Billets Reports'!J1121="","",'R.M Billets Reports'!J1121)</f>
      </c>
      <c r="O1122">
        <f t="shared" si="35"/>
      </c>
      <c r="P1122">
        <f>IF('R.M Billets Reports'!A1121="SIZE",'R.M Billets Reports'!B1121,P1121)</f>
      </c>
    </row>
    <row r="1123" spans="1:16" x14ac:dyDescent="0.25">
      <c r="A1123">
        <f>IF(OR('R.M Billets Reports'!A1122="Date-",'R.M Billets Reports'!A1122="Date:-"),IF(IF(IF(ISNUMBER(SEARCH("Party Name:-",'R.M Billets Reports'!D1122)),TRIM('R.M Billets Reports'!F1122),IF(ISNUMBER(SEARCH("Party Name-",'R.M Billets Reports'!D1122)),TRIM(MID('R.M Billets Reports'!D1122,SEARCH("-",'R.M Billets Reports'!D1122)+1,200)),""))&lt;&gt;"",IF(ISNUMBER(SEARCH("Party Name:-",'R.M Billets Reports'!D1122)),TRIM('R.M Billets Reports'!F1122),IF(ISNUMBER(SEARCH("Party Name-",'R.M Billets Reports'!D1122)),TRIM(MID('R.M Billets Reports'!D1122,SEARCH("-",'R.M Billets Reports'!D1122)+1,200)),"")),IF(ISNUMBER(SEARCH("Party Name:-",'R.M Billets Reports'!D1123)),TRIM('R.M Billets Reports'!F1123),IF(ISNUMBER(SEARCH("Party Name-",'R.M Billets Reports'!D1123)),TRIM(MID('R.M Billets Reports'!D1123,SEARCH("-",'R.M Billets Reports'!D1123)+1,200)),"")))="VRKP ISPAT PVT LTD","VRKP",IF(IF(IF(ISNUMBER(SEARCH("Party Name:-",'R.M Billets Reports'!D1122)),TRIM('R.M Billets Reports'!F1122),IF(ISNUMBER(SEARCH("Party Name-",'R.M Billets Reports'!D1122)),TRIM(MID('R.M Billets Reports'!D1122,SEARCH("-",'R.M Billets Reports'!D1122)+1,200)),""))&lt;&gt;"",IF(ISNUMBER(SEARCH("Party Name:-",'R.M Billets Reports'!D1122)),TRIM('R.M Billets Reports'!F1122),IF(ISNUMBER(SEARCH("Party Name-",'R.M Billets Reports'!D1122)),TRIM(MID('R.M Billets Reports'!D1122,SEARCH("-",'R.M Billets Reports'!D1122)+1,200)),"")),IF(ISNUMBER(SEARCH("Party Name:-",'R.M Billets Reports'!D1123)),TRIM('R.M Billets Reports'!F1123),IF(ISNUMBER(SEARCH("Party Name-",'R.M Billets Reports'!D1123)),TRIM(MID('R.M Billets Reports'!D1123,SEARCH("-",'R.M Billets Reports'!D1123)+1,200)),"")))="SHRI RADHE","SHREE RADHE",IF(IF(IF(ISNUMBER(SEARCH("Party Name:-",'R.M Billets Reports'!D1122)),TRIM('R.M Billets Reports'!F1122),IF(ISNUMBER(SEARCH("Party Name-",'R.M Billets Reports'!D1122)),TRIM(MID('R.M Billets Reports'!D1122,SEARCH("-",'R.M Billets Reports'!D1122)+1,200)),""))&lt;&gt;"",IF(ISNUMBER(SEARCH("Party Name:-",'R.M Billets Reports'!D1122)),TRIM('R.M Billets Reports'!F1122),IF(ISNUMBER(SEARCH("Party Name-",'R.M Billets Reports'!D1122)),TRIM(MID('R.M Billets Reports'!D1122,SEARCH("-",'R.M Billets Reports'!D1122)+1,200)),"")),IF(ISNUMBER(SEARCH("Party Name:-",'R.M Billets Reports'!D1123)),TRIM('R.M Billets Reports'!F1123),IF(ISNUMBER(SEARCH("Party Name-",'R.M Billets Reports'!D1123)),TRIM(MID('R.M Billets Reports'!D1123,SEARCH("-",'R.M Billets Reports'!D1123)+1,200)),"")))="SHREE RADHE SHAKTI SPONGE AND POWER PVT. LTD.","SHREE RADHE",IF(IF(ISNUMBER(SEARCH("Party Name:-",'R.M Billets Reports'!D1122)),TRIM('R.M Billets Reports'!F1122),IF(ISNUMBER(SEARCH("Party Name-",'R.M Billets Reports'!D1122)),TRIM(MID('R.M Billets Reports'!D1122,SEARCH("-",'R.M Billets Reports'!D1122)+1,200)),""))&lt;&gt;"",IF(ISNUMBER(SEARCH("Party Name:-",'R.M Billets Reports'!D1122)),TRIM('R.M Billets Reports'!F1122),IF(ISNUMBER(SEARCH("Party Name-",'R.M Billets Reports'!D1122)),TRIM(MID('R.M Billets Reports'!D1122,SEARCH("-",'R.M Billets Reports'!D1122)+1,200)),"")),IF(ISNUMBER(SEARCH("Party Name:-",'R.M Billets Reports'!D1123)),TRIM('R.M Billets Reports'!F1123),IF(ISNUMBER(SEARCH("Party Name-",'R.M Billets Reports'!D1123)),TRIM(MID('R.M Billets Reports'!D1123,SEARCH("-",'R.M Billets Reports'!D1123)+1,200)),"")))))),IF(ROW()=2,"",A1122))</f>
      </c>
      <c r="B1123">
        <f>IF(OR('R.M Billets Reports'!A1122="Date-",'R.M Billets Reports'!A1122="Date:-"),'R.M Billets Reports'!B1122,IF(ROW()=2,"",B1122))</f>
      </c>
      <c r="C1123">
        <f>IF('R.M Billets Reports'!A1122="V.No.",'R.M Billets Reports'!B1122,IF(ROW()=2,"",C1122))</f>
      </c>
      <c r="D1123">
        <f>IF('R.M Billets Reports'!A1122&lt;&gt;"",'R.M Billets Reports'!A1122,IF(ROW()=2,"",D1122))</f>
      </c>
      <c r="E1123">
        <f>IF('R.M Billets Reports'!B1122="","",TRIM('R.M Billets Reports'!B1122))</f>
      </c>
      <c r="F1123">
        <f>'R.M Billets Reports'!C1122</f>
      </c>
      <c r="G1123">
        <f>'R.M Billets Reports'!D1122</f>
      </c>
      <c r="H1123">
        <f>'R.M Billets Reports'!E1122</f>
      </c>
      <c r="I1123">
        <f>'R.M Billets Reports'!F1122</f>
      </c>
      <c r="J1123">
        <f>'R.M Billets Reports'!G1122</f>
      </c>
      <c r="K1123">
        <f>'R.M Billets Reports'!H1122</f>
      </c>
      <c r="L1123">
        <f>IF('R.M Billets Reports'!I1122="","",'R.M Billets Reports'!I1122)</f>
      </c>
      <c r="M1123">
        <f t="shared" si="34"/>
      </c>
      <c r="N1123">
        <f>IF('R.M Billets Reports'!J1122="","",'R.M Billets Reports'!J1122)</f>
      </c>
      <c r="O1123">
        <f t="shared" si="35"/>
      </c>
      <c r="P1123">
        <f>IF('R.M Billets Reports'!A1122="SIZE",'R.M Billets Reports'!B1122,P1122)</f>
      </c>
    </row>
    <row r="1124" spans="1:16" x14ac:dyDescent="0.25">
      <c r="A1124">
        <f>IF(OR('R.M Billets Reports'!A1123="Date-",'R.M Billets Reports'!A1123="Date:-"),IF(IF(IF(ISNUMBER(SEARCH("Party Name:-",'R.M Billets Reports'!D1123)),TRIM('R.M Billets Reports'!F1123),IF(ISNUMBER(SEARCH("Party Name-",'R.M Billets Reports'!D1123)),TRIM(MID('R.M Billets Reports'!D1123,SEARCH("-",'R.M Billets Reports'!D1123)+1,200)),""))&lt;&gt;"",IF(ISNUMBER(SEARCH("Party Name:-",'R.M Billets Reports'!D1123)),TRIM('R.M Billets Reports'!F1123),IF(ISNUMBER(SEARCH("Party Name-",'R.M Billets Reports'!D1123)),TRIM(MID('R.M Billets Reports'!D1123,SEARCH("-",'R.M Billets Reports'!D1123)+1,200)),"")),IF(ISNUMBER(SEARCH("Party Name:-",'R.M Billets Reports'!D1124)),TRIM('R.M Billets Reports'!F1124),IF(ISNUMBER(SEARCH("Party Name-",'R.M Billets Reports'!D1124)),TRIM(MID('R.M Billets Reports'!D1124,SEARCH("-",'R.M Billets Reports'!D1124)+1,200)),"")))="VRKP ISPAT PVT LTD","VRKP",IF(IF(IF(ISNUMBER(SEARCH("Party Name:-",'R.M Billets Reports'!D1123)),TRIM('R.M Billets Reports'!F1123),IF(ISNUMBER(SEARCH("Party Name-",'R.M Billets Reports'!D1123)),TRIM(MID('R.M Billets Reports'!D1123,SEARCH("-",'R.M Billets Reports'!D1123)+1,200)),""))&lt;&gt;"",IF(ISNUMBER(SEARCH("Party Name:-",'R.M Billets Reports'!D1123)),TRIM('R.M Billets Reports'!F1123),IF(ISNUMBER(SEARCH("Party Name-",'R.M Billets Reports'!D1123)),TRIM(MID('R.M Billets Reports'!D1123,SEARCH("-",'R.M Billets Reports'!D1123)+1,200)),"")),IF(ISNUMBER(SEARCH("Party Name:-",'R.M Billets Reports'!D1124)),TRIM('R.M Billets Reports'!F1124),IF(ISNUMBER(SEARCH("Party Name-",'R.M Billets Reports'!D1124)),TRIM(MID('R.M Billets Reports'!D1124,SEARCH("-",'R.M Billets Reports'!D1124)+1,200)),"")))="SHRI RADHE","SHREE RADHE",IF(IF(IF(ISNUMBER(SEARCH("Party Name:-",'R.M Billets Reports'!D1123)),TRIM('R.M Billets Reports'!F1123),IF(ISNUMBER(SEARCH("Party Name-",'R.M Billets Reports'!D1123)),TRIM(MID('R.M Billets Reports'!D1123,SEARCH("-",'R.M Billets Reports'!D1123)+1,200)),""))&lt;&gt;"",IF(ISNUMBER(SEARCH("Party Name:-",'R.M Billets Reports'!D1123)),TRIM('R.M Billets Reports'!F1123),IF(ISNUMBER(SEARCH("Party Name-",'R.M Billets Reports'!D1123)),TRIM(MID('R.M Billets Reports'!D1123,SEARCH("-",'R.M Billets Reports'!D1123)+1,200)),"")),IF(ISNUMBER(SEARCH("Party Name:-",'R.M Billets Reports'!D1124)),TRIM('R.M Billets Reports'!F1124),IF(ISNUMBER(SEARCH("Party Name-",'R.M Billets Reports'!D1124)),TRIM(MID('R.M Billets Reports'!D1124,SEARCH("-",'R.M Billets Reports'!D1124)+1,200)),"")))="SHREE RADHE SHAKTI SPONGE AND POWER PVT. LTD.","SHREE RADHE",IF(IF(ISNUMBER(SEARCH("Party Name:-",'R.M Billets Reports'!D1123)),TRIM('R.M Billets Reports'!F1123),IF(ISNUMBER(SEARCH("Party Name-",'R.M Billets Reports'!D1123)),TRIM(MID('R.M Billets Reports'!D1123,SEARCH("-",'R.M Billets Reports'!D1123)+1,200)),""))&lt;&gt;"",IF(ISNUMBER(SEARCH("Party Name:-",'R.M Billets Reports'!D1123)),TRIM('R.M Billets Reports'!F1123),IF(ISNUMBER(SEARCH("Party Name-",'R.M Billets Reports'!D1123)),TRIM(MID('R.M Billets Reports'!D1123,SEARCH("-",'R.M Billets Reports'!D1123)+1,200)),"")),IF(ISNUMBER(SEARCH("Party Name:-",'R.M Billets Reports'!D1124)),TRIM('R.M Billets Reports'!F1124),IF(ISNUMBER(SEARCH("Party Name-",'R.M Billets Reports'!D1124)),TRIM(MID('R.M Billets Reports'!D1124,SEARCH("-",'R.M Billets Reports'!D1124)+1,200)),"")))))),IF(ROW()=2,"",A1123))</f>
      </c>
      <c r="B1124">
        <f>IF(OR('R.M Billets Reports'!A1123="Date-",'R.M Billets Reports'!A1123="Date:-"),'R.M Billets Reports'!B1123,IF(ROW()=2,"",B1123))</f>
      </c>
      <c r="C1124">
        <f>IF('R.M Billets Reports'!A1123="V.No.",'R.M Billets Reports'!B1123,IF(ROW()=2,"",C1123))</f>
      </c>
      <c r="D1124">
        <f>IF('R.M Billets Reports'!A1123&lt;&gt;"",'R.M Billets Reports'!A1123,IF(ROW()=2,"",D1123))</f>
      </c>
      <c r="E1124">
        <f>IF('R.M Billets Reports'!B1123="","",TRIM('R.M Billets Reports'!B1123))</f>
      </c>
      <c r="F1124">
        <f>'R.M Billets Reports'!C1123</f>
      </c>
      <c r="G1124">
        <f>'R.M Billets Reports'!D1123</f>
      </c>
      <c r="H1124">
        <f>'R.M Billets Reports'!E1123</f>
      </c>
      <c r="I1124">
        <f>'R.M Billets Reports'!F1123</f>
      </c>
      <c r="J1124">
        <f>'R.M Billets Reports'!G1123</f>
      </c>
      <c r="K1124">
        <f>'R.M Billets Reports'!H1123</f>
      </c>
      <c r="L1124">
        <f>IF('R.M Billets Reports'!I1123="","",'R.M Billets Reports'!I1123)</f>
      </c>
      <c r="M1124">
        <f t="shared" si="34"/>
      </c>
      <c r="N1124">
        <f>IF('R.M Billets Reports'!J1123="","",'R.M Billets Reports'!J1123)</f>
      </c>
      <c r="O1124">
        <f t="shared" si="35"/>
      </c>
      <c r="P1124">
        <f>IF('R.M Billets Reports'!A1123="SIZE",'R.M Billets Reports'!B1123,P1123)</f>
      </c>
    </row>
    <row r="1125" spans="1:16" x14ac:dyDescent="0.25">
      <c r="A1125">
        <f>IF(OR('R.M Billets Reports'!A1124="Date-",'R.M Billets Reports'!A1124="Date:-"),IF(IF(IF(ISNUMBER(SEARCH("Party Name:-",'R.M Billets Reports'!D1124)),TRIM('R.M Billets Reports'!F1124),IF(ISNUMBER(SEARCH("Party Name-",'R.M Billets Reports'!D1124)),TRIM(MID('R.M Billets Reports'!D1124,SEARCH("-",'R.M Billets Reports'!D1124)+1,200)),""))&lt;&gt;"",IF(ISNUMBER(SEARCH("Party Name:-",'R.M Billets Reports'!D1124)),TRIM('R.M Billets Reports'!F1124),IF(ISNUMBER(SEARCH("Party Name-",'R.M Billets Reports'!D1124)),TRIM(MID('R.M Billets Reports'!D1124,SEARCH("-",'R.M Billets Reports'!D1124)+1,200)),"")),IF(ISNUMBER(SEARCH("Party Name:-",'R.M Billets Reports'!D1125)),TRIM('R.M Billets Reports'!F1125),IF(ISNUMBER(SEARCH("Party Name-",'R.M Billets Reports'!D1125)),TRIM(MID('R.M Billets Reports'!D1125,SEARCH("-",'R.M Billets Reports'!D1125)+1,200)),"")))="VRKP ISPAT PVT LTD","VRKP",IF(IF(IF(ISNUMBER(SEARCH("Party Name:-",'R.M Billets Reports'!D1124)),TRIM('R.M Billets Reports'!F1124),IF(ISNUMBER(SEARCH("Party Name-",'R.M Billets Reports'!D1124)),TRIM(MID('R.M Billets Reports'!D1124,SEARCH("-",'R.M Billets Reports'!D1124)+1,200)),""))&lt;&gt;"",IF(ISNUMBER(SEARCH("Party Name:-",'R.M Billets Reports'!D1124)),TRIM('R.M Billets Reports'!F1124),IF(ISNUMBER(SEARCH("Party Name-",'R.M Billets Reports'!D1124)),TRIM(MID('R.M Billets Reports'!D1124,SEARCH("-",'R.M Billets Reports'!D1124)+1,200)),"")),IF(ISNUMBER(SEARCH("Party Name:-",'R.M Billets Reports'!D1125)),TRIM('R.M Billets Reports'!F1125),IF(ISNUMBER(SEARCH("Party Name-",'R.M Billets Reports'!D1125)),TRIM(MID('R.M Billets Reports'!D1125,SEARCH("-",'R.M Billets Reports'!D1125)+1,200)),"")))="SHRI RADHE","SHREE RADHE",IF(IF(IF(ISNUMBER(SEARCH("Party Name:-",'R.M Billets Reports'!D1124)),TRIM('R.M Billets Reports'!F1124),IF(ISNUMBER(SEARCH("Party Name-",'R.M Billets Reports'!D1124)),TRIM(MID('R.M Billets Reports'!D1124,SEARCH("-",'R.M Billets Reports'!D1124)+1,200)),""))&lt;&gt;"",IF(ISNUMBER(SEARCH("Party Name:-",'R.M Billets Reports'!D1124)),TRIM('R.M Billets Reports'!F1124),IF(ISNUMBER(SEARCH("Party Name-",'R.M Billets Reports'!D1124)),TRIM(MID('R.M Billets Reports'!D1124,SEARCH("-",'R.M Billets Reports'!D1124)+1,200)),"")),IF(ISNUMBER(SEARCH("Party Name:-",'R.M Billets Reports'!D1125)),TRIM('R.M Billets Reports'!F1125),IF(ISNUMBER(SEARCH("Party Name-",'R.M Billets Reports'!D1125)),TRIM(MID('R.M Billets Reports'!D1125,SEARCH("-",'R.M Billets Reports'!D1125)+1,200)),"")))="SHREE RADHE SHAKTI SPONGE AND POWER PVT. LTD.","SHREE RADHE",IF(IF(ISNUMBER(SEARCH("Party Name:-",'R.M Billets Reports'!D1124)),TRIM('R.M Billets Reports'!F1124),IF(ISNUMBER(SEARCH("Party Name-",'R.M Billets Reports'!D1124)),TRIM(MID('R.M Billets Reports'!D1124,SEARCH("-",'R.M Billets Reports'!D1124)+1,200)),""))&lt;&gt;"",IF(ISNUMBER(SEARCH("Party Name:-",'R.M Billets Reports'!D1124)),TRIM('R.M Billets Reports'!F1124),IF(ISNUMBER(SEARCH("Party Name-",'R.M Billets Reports'!D1124)),TRIM(MID('R.M Billets Reports'!D1124,SEARCH("-",'R.M Billets Reports'!D1124)+1,200)),"")),IF(ISNUMBER(SEARCH("Party Name:-",'R.M Billets Reports'!D1125)),TRIM('R.M Billets Reports'!F1125),IF(ISNUMBER(SEARCH("Party Name-",'R.M Billets Reports'!D1125)),TRIM(MID('R.M Billets Reports'!D1125,SEARCH("-",'R.M Billets Reports'!D1125)+1,200)),"")))))),IF(ROW()=2,"",A1124))</f>
      </c>
      <c r="B1125">
        <f>IF(OR('R.M Billets Reports'!A1124="Date-",'R.M Billets Reports'!A1124="Date:-"),'R.M Billets Reports'!B1124,IF(ROW()=2,"",B1124))</f>
      </c>
      <c r="C1125">
        <f>IF('R.M Billets Reports'!A1124="V.No.",'R.M Billets Reports'!B1124,IF(ROW()=2,"",C1124))</f>
      </c>
      <c r="D1125">
        <f>IF('R.M Billets Reports'!A1124&lt;&gt;"",'R.M Billets Reports'!A1124,IF(ROW()=2,"",D1124))</f>
      </c>
      <c r="E1125">
        <f>IF('R.M Billets Reports'!B1124="","",TRIM('R.M Billets Reports'!B1124))</f>
      </c>
      <c r="F1125">
        <f>'R.M Billets Reports'!C1124</f>
      </c>
      <c r="G1125">
        <f>'R.M Billets Reports'!D1124</f>
      </c>
      <c r="H1125">
        <f>'R.M Billets Reports'!E1124</f>
      </c>
      <c r="I1125">
        <f>'R.M Billets Reports'!F1124</f>
      </c>
      <c r="J1125">
        <f>'R.M Billets Reports'!G1124</f>
      </c>
      <c r="K1125">
        <f>'R.M Billets Reports'!H1124</f>
      </c>
      <c r="L1125">
        <f>IF('R.M Billets Reports'!I1124="","",'R.M Billets Reports'!I1124)</f>
      </c>
      <c r="M1125">
        <f t="shared" si="34"/>
      </c>
      <c r="N1125">
        <f>IF('R.M Billets Reports'!J1124="","",'R.M Billets Reports'!J1124)</f>
      </c>
      <c r="O1125">
        <f t="shared" si="35"/>
      </c>
      <c r="P1125">
        <f>IF('R.M Billets Reports'!A1124="SIZE",'R.M Billets Reports'!B1124,P1124)</f>
      </c>
    </row>
    <row r="1126" spans="1:16" x14ac:dyDescent="0.25">
      <c r="A1126">
        <f>IF(OR('R.M Billets Reports'!A1125="Date-",'R.M Billets Reports'!A1125="Date:-"),IF(IF(IF(ISNUMBER(SEARCH("Party Name:-",'R.M Billets Reports'!D1125)),TRIM('R.M Billets Reports'!F1125),IF(ISNUMBER(SEARCH("Party Name-",'R.M Billets Reports'!D1125)),TRIM(MID('R.M Billets Reports'!D1125,SEARCH("-",'R.M Billets Reports'!D1125)+1,200)),""))&lt;&gt;"",IF(ISNUMBER(SEARCH("Party Name:-",'R.M Billets Reports'!D1125)),TRIM('R.M Billets Reports'!F1125),IF(ISNUMBER(SEARCH("Party Name-",'R.M Billets Reports'!D1125)),TRIM(MID('R.M Billets Reports'!D1125,SEARCH("-",'R.M Billets Reports'!D1125)+1,200)),"")),IF(ISNUMBER(SEARCH("Party Name:-",'R.M Billets Reports'!D1126)),TRIM('R.M Billets Reports'!F1126),IF(ISNUMBER(SEARCH("Party Name-",'R.M Billets Reports'!D1126)),TRIM(MID('R.M Billets Reports'!D1126,SEARCH("-",'R.M Billets Reports'!D1126)+1,200)),"")))="VRKP ISPAT PVT LTD","VRKP",IF(IF(IF(ISNUMBER(SEARCH("Party Name:-",'R.M Billets Reports'!D1125)),TRIM('R.M Billets Reports'!F1125),IF(ISNUMBER(SEARCH("Party Name-",'R.M Billets Reports'!D1125)),TRIM(MID('R.M Billets Reports'!D1125,SEARCH("-",'R.M Billets Reports'!D1125)+1,200)),""))&lt;&gt;"",IF(ISNUMBER(SEARCH("Party Name:-",'R.M Billets Reports'!D1125)),TRIM('R.M Billets Reports'!F1125),IF(ISNUMBER(SEARCH("Party Name-",'R.M Billets Reports'!D1125)),TRIM(MID('R.M Billets Reports'!D1125,SEARCH("-",'R.M Billets Reports'!D1125)+1,200)),"")),IF(ISNUMBER(SEARCH("Party Name:-",'R.M Billets Reports'!D1126)),TRIM('R.M Billets Reports'!F1126),IF(ISNUMBER(SEARCH("Party Name-",'R.M Billets Reports'!D1126)),TRIM(MID('R.M Billets Reports'!D1126,SEARCH("-",'R.M Billets Reports'!D1126)+1,200)),"")))="SHRI RADHE","SHREE RADHE",IF(IF(IF(ISNUMBER(SEARCH("Party Name:-",'R.M Billets Reports'!D1125)),TRIM('R.M Billets Reports'!F1125),IF(ISNUMBER(SEARCH("Party Name-",'R.M Billets Reports'!D1125)),TRIM(MID('R.M Billets Reports'!D1125,SEARCH("-",'R.M Billets Reports'!D1125)+1,200)),""))&lt;&gt;"",IF(ISNUMBER(SEARCH("Party Name:-",'R.M Billets Reports'!D1125)),TRIM('R.M Billets Reports'!F1125),IF(ISNUMBER(SEARCH("Party Name-",'R.M Billets Reports'!D1125)),TRIM(MID('R.M Billets Reports'!D1125,SEARCH("-",'R.M Billets Reports'!D1125)+1,200)),"")),IF(ISNUMBER(SEARCH("Party Name:-",'R.M Billets Reports'!D1126)),TRIM('R.M Billets Reports'!F1126),IF(ISNUMBER(SEARCH("Party Name-",'R.M Billets Reports'!D1126)),TRIM(MID('R.M Billets Reports'!D1126,SEARCH("-",'R.M Billets Reports'!D1126)+1,200)),"")))="SHREE RADHE SHAKTI SPONGE AND POWER PVT. LTD.","SHREE RADHE",IF(IF(ISNUMBER(SEARCH("Party Name:-",'R.M Billets Reports'!D1125)),TRIM('R.M Billets Reports'!F1125),IF(ISNUMBER(SEARCH("Party Name-",'R.M Billets Reports'!D1125)),TRIM(MID('R.M Billets Reports'!D1125,SEARCH("-",'R.M Billets Reports'!D1125)+1,200)),""))&lt;&gt;"",IF(ISNUMBER(SEARCH("Party Name:-",'R.M Billets Reports'!D1125)),TRIM('R.M Billets Reports'!F1125),IF(ISNUMBER(SEARCH("Party Name-",'R.M Billets Reports'!D1125)),TRIM(MID('R.M Billets Reports'!D1125,SEARCH("-",'R.M Billets Reports'!D1125)+1,200)),"")),IF(ISNUMBER(SEARCH("Party Name:-",'R.M Billets Reports'!D1126)),TRIM('R.M Billets Reports'!F1126),IF(ISNUMBER(SEARCH("Party Name-",'R.M Billets Reports'!D1126)),TRIM(MID('R.M Billets Reports'!D1126,SEARCH("-",'R.M Billets Reports'!D1126)+1,200)),"")))))),IF(ROW()=2,"",A1125))</f>
      </c>
      <c r="B1126">
        <f>IF(OR('R.M Billets Reports'!A1125="Date-",'R.M Billets Reports'!A1125="Date:-"),'R.M Billets Reports'!B1125,IF(ROW()=2,"",B1125))</f>
      </c>
      <c r="C1126">
        <f>IF('R.M Billets Reports'!A1125="V.No.",'R.M Billets Reports'!B1125,IF(ROW()=2,"",C1125))</f>
      </c>
      <c r="D1126">
        <f>IF('R.M Billets Reports'!A1125&lt;&gt;"",'R.M Billets Reports'!A1125,IF(ROW()=2,"",D1125))</f>
      </c>
      <c r="E1126">
        <f>IF('R.M Billets Reports'!B1125="","",TRIM('R.M Billets Reports'!B1125))</f>
      </c>
      <c r="F1126">
        <f>'R.M Billets Reports'!C1125</f>
      </c>
      <c r="G1126">
        <f>'R.M Billets Reports'!D1125</f>
      </c>
      <c r="H1126">
        <f>'R.M Billets Reports'!E1125</f>
      </c>
      <c r="I1126">
        <f>'R.M Billets Reports'!F1125</f>
      </c>
      <c r="J1126">
        <f>'R.M Billets Reports'!G1125</f>
      </c>
      <c r="K1126">
        <f>'R.M Billets Reports'!H1125</f>
      </c>
      <c r="L1126">
        <f>IF('R.M Billets Reports'!I1125="","",'R.M Billets Reports'!I1125)</f>
      </c>
      <c r="M1126">
        <f t="shared" si="34"/>
      </c>
      <c r="N1126">
        <f>IF('R.M Billets Reports'!J1125="","",'R.M Billets Reports'!J1125)</f>
      </c>
      <c r="O1126">
        <f t="shared" si="35"/>
      </c>
      <c r="P1126">
        <f>IF('R.M Billets Reports'!A1125="SIZE",'R.M Billets Reports'!B1125,P1125)</f>
      </c>
    </row>
    <row r="1127" spans="1:16" x14ac:dyDescent="0.25">
      <c r="A1127">
        <f>IF(OR('R.M Billets Reports'!A1126="Date-",'R.M Billets Reports'!A1126="Date:-"),IF(IF(IF(ISNUMBER(SEARCH("Party Name:-",'R.M Billets Reports'!D1126)),TRIM('R.M Billets Reports'!F1126),IF(ISNUMBER(SEARCH("Party Name-",'R.M Billets Reports'!D1126)),TRIM(MID('R.M Billets Reports'!D1126,SEARCH("-",'R.M Billets Reports'!D1126)+1,200)),""))&lt;&gt;"",IF(ISNUMBER(SEARCH("Party Name:-",'R.M Billets Reports'!D1126)),TRIM('R.M Billets Reports'!F1126),IF(ISNUMBER(SEARCH("Party Name-",'R.M Billets Reports'!D1126)),TRIM(MID('R.M Billets Reports'!D1126,SEARCH("-",'R.M Billets Reports'!D1126)+1,200)),"")),IF(ISNUMBER(SEARCH("Party Name:-",'R.M Billets Reports'!D1127)),TRIM('R.M Billets Reports'!F1127),IF(ISNUMBER(SEARCH("Party Name-",'R.M Billets Reports'!D1127)),TRIM(MID('R.M Billets Reports'!D1127,SEARCH("-",'R.M Billets Reports'!D1127)+1,200)),"")))="VRKP ISPAT PVT LTD","VRKP",IF(IF(IF(ISNUMBER(SEARCH("Party Name:-",'R.M Billets Reports'!D1126)),TRIM('R.M Billets Reports'!F1126),IF(ISNUMBER(SEARCH("Party Name-",'R.M Billets Reports'!D1126)),TRIM(MID('R.M Billets Reports'!D1126,SEARCH("-",'R.M Billets Reports'!D1126)+1,200)),""))&lt;&gt;"",IF(ISNUMBER(SEARCH("Party Name:-",'R.M Billets Reports'!D1126)),TRIM('R.M Billets Reports'!F1126),IF(ISNUMBER(SEARCH("Party Name-",'R.M Billets Reports'!D1126)),TRIM(MID('R.M Billets Reports'!D1126,SEARCH("-",'R.M Billets Reports'!D1126)+1,200)),"")),IF(ISNUMBER(SEARCH("Party Name:-",'R.M Billets Reports'!D1127)),TRIM('R.M Billets Reports'!F1127),IF(ISNUMBER(SEARCH("Party Name-",'R.M Billets Reports'!D1127)),TRIM(MID('R.M Billets Reports'!D1127,SEARCH("-",'R.M Billets Reports'!D1127)+1,200)),"")))="SHRI RADHE","SHREE RADHE",IF(IF(IF(ISNUMBER(SEARCH("Party Name:-",'R.M Billets Reports'!D1126)),TRIM('R.M Billets Reports'!F1126),IF(ISNUMBER(SEARCH("Party Name-",'R.M Billets Reports'!D1126)),TRIM(MID('R.M Billets Reports'!D1126,SEARCH("-",'R.M Billets Reports'!D1126)+1,200)),""))&lt;&gt;"",IF(ISNUMBER(SEARCH("Party Name:-",'R.M Billets Reports'!D1126)),TRIM('R.M Billets Reports'!F1126),IF(ISNUMBER(SEARCH("Party Name-",'R.M Billets Reports'!D1126)),TRIM(MID('R.M Billets Reports'!D1126,SEARCH("-",'R.M Billets Reports'!D1126)+1,200)),"")),IF(ISNUMBER(SEARCH("Party Name:-",'R.M Billets Reports'!D1127)),TRIM('R.M Billets Reports'!F1127),IF(ISNUMBER(SEARCH("Party Name-",'R.M Billets Reports'!D1127)),TRIM(MID('R.M Billets Reports'!D1127,SEARCH("-",'R.M Billets Reports'!D1127)+1,200)),"")))="SHREE RADHE SHAKTI SPONGE AND POWER PVT. LTD.","SHREE RADHE",IF(IF(ISNUMBER(SEARCH("Party Name:-",'R.M Billets Reports'!D1126)),TRIM('R.M Billets Reports'!F1126),IF(ISNUMBER(SEARCH("Party Name-",'R.M Billets Reports'!D1126)),TRIM(MID('R.M Billets Reports'!D1126,SEARCH("-",'R.M Billets Reports'!D1126)+1,200)),""))&lt;&gt;"",IF(ISNUMBER(SEARCH("Party Name:-",'R.M Billets Reports'!D1126)),TRIM('R.M Billets Reports'!F1126),IF(ISNUMBER(SEARCH("Party Name-",'R.M Billets Reports'!D1126)),TRIM(MID('R.M Billets Reports'!D1126,SEARCH("-",'R.M Billets Reports'!D1126)+1,200)),"")),IF(ISNUMBER(SEARCH("Party Name:-",'R.M Billets Reports'!D1127)),TRIM('R.M Billets Reports'!F1127),IF(ISNUMBER(SEARCH("Party Name-",'R.M Billets Reports'!D1127)),TRIM(MID('R.M Billets Reports'!D1127,SEARCH("-",'R.M Billets Reports'!D1127)+1,200)),"")))))),IF(ROW()=2,"",A1126))</f>
      </c>
      <c r="B1127">
        <f>IF(OR('R.M Billets Reports'!A1126="Date-",'R.M Billets Reports'!A1126="Date:-"),'R.M Billets Reports'!B1126,IF(ROW()=2,"",B1126))</f>
      </c>
      <c r="C1127">
        <f>IF('R.M Billets Reports'!A1126="V.No.",'R.M Billets Reports'!B1126,IF(ROW()=2,"",C1126))</f>
      </c>
      <c r="D1127">
        <f>IF('R.M Billets Reports'!A1126&lt;&gt;"",'R.M Billets Reports'!A1126,IF(ROW()=2,"",D1126))</f>
      </c>
      <c r="E1127">
        <f>IF('R.M Billets Reports'!B1126="","",TRIM('R.M Billets Reports'!B1126))</f>
      </c>
      <c r="F1127">
        <f>'R.M Billets Reports'!C1126</f>
      </c>
      <c r="G1127">
        <f>'R.M Billets Reports'!D1126</f>
      </c>
      <c r="H1127">
        <f>'R.M Billets Reports'!E1126</f>
      </c>
      <c r="I1127">
        <f>'R.M Billets Reports'!F1126</f>
      </c>
      <c r="J1127">
        <f>'R.M Billets Reports'!G1126</f>
      </c>
      <c r="K1127">
        <f>'R.M Billets Reports'!H1126</f>
      </c>
      <c r="L1127">
        <f>IF('R.M Billets Reports'!I1126="","",'R.M Billets Reports'!I1126)</f>
      </c>
      <c r="M1127">
        <f t="shared" si="34"/>
      </c>
      <c r="N1127">
        <f>IF('R.M Billets Reports'!J1126="","",'R.M Billets Reports'!J1126)</f>
      </c>
      <c r="O1127">
        <f t="shared" si="35"/>
      </c>
      <c r="P1127">
        <f>IF('R.M Billets Reports'!A1126="SIZE",'R.M Billets Reports'!B1126,P1126)</f>
      </c>
    </row>
    <row r="1128" spans="1:16" x14ac:dyDescent="0.25">
      <c r="A1128">
        <f>IF(OR('R.M Billets Reports'!A1127="Date-",'R.M Billets Reports'!A1127="Date:-"),IF(IF(IF(ISNUMBER(SEARCH("Party Name:-",'R.M Billets Reports'!D1127)),TRIM('R.M Billets Reports'!F1127),IF(ISNUMBER(SEARCH("Party Name-",'R.M Billets Reports'!D1127)),TRIM(MID('R.M Billets Reports'!D1127,SEARCH("-",'R.M Billets Reports'!D1127)+1,200)),""))&lt;&gt;"",IF(ISNUMBER(SEARCH("Party Name:-",'R.M Billets Reports'!D1127)),TRIM('R.M Billets Reports'!F1127),IF(ISNUMBER(SEARCH("Party Name-",'R.M Billets Reports'!D1127)),TRIM(MID('R.M Billets Reports'!D1127,SEARCH("-",'R.M Billets Reports'!D1127)+1,200)),"")),IF(ISNUMBER(SEARCH("Party Name:-",'R.M Billets Reports'!D1128)),TRIM('R.M Billets Reports'!F1128),IF(ISNUMBER(SEARCH("Party Name-",'R.M Billets Reports'!D1128)),TRIM(MID('R.M Billets Reports'!D1128,SEARCH("-",'R.M Billets Reports'!D1128)+1,200)),"")))="VRKP ISPAT PVT LTD","VRKP",IF(IF(IF(ISNUMBER(SEARCH("Party Name:-",'R.M Billets Reports'!D1127)),TRIM('R.M Billets Reports'!F1127),IF(ISNUMBER(SEARCH("Party Name-",'R.M Billets Reports'!D1127)),TRIM(MID('R.M Billets Reports'!D1127,SEARCH("-",'R.M Billets Reports'!D1127)+1,200)),""))&lt;&gt;"",IF(ISNUMBER(SEARCH("Party Name:-",'R.M Billets Reports'!D1127)),TRIM('R.M Billets Reports'!F1127),IF(ISNUMBER(SEARCH("Party Name-",'R.M Billets Reports'!D1127)),TRIM(MID('R.M Billets Reports'!D1127,SEARCH("-",'R.M Billets Reports'!D1127)+1,200)),"")),IF(ISNUMBER(SEARCH("Party Name:-",'R.M Billets Reports'!D1128)),TRIM('R.M Billets Reports'!F1128),IF(ISNUMBER(SEARCH("Party Name-",'R.M Billets Reports'!D1128)),TRIM(MID('R.M Billets Reports'!D1128,SEARCH("-",'R.M Billets Reports'!D1128)+1,200)),"")))="SHRI RADHE","SHREE RADHE",IF(IF(IF(ISNUMBER(SEARCH("Party Name:-",'R.M Billets Reports'!D1127)),TRIM('R.M Billets Reports'!F1127),IF(ISNUMBER(SEARCH("Party Name-",'R.M Billets Reports'!D1127)),TRIM(MID('R.M Billets Reports'!D1127,SEARCH("-",'R.M Billets Reports'!D1127)+1,200)),""))&lt;&gt;"",IF(ISNUMBER(SEARCH("Party Name:-",'R.M Billets Reports'!D1127)),TRIM('R.M Billets Reports'!F1127),IF(ISNUMBER(SEARCH("Party Name-",'R.M Billets Reports'!D1127)),TRIM(MID('R.M Billets Reports'!D1127,SEARCH("-",'R.M Billets Reports'!D1127)+1,200)),"")),IF(ISNUMBER(SEARCH("Party Name:-",'R.M Billets Reports'!D1128)),TRIM('R.M Billets Reports'!F1128),IF(ISNUMBER(SEARCH("Party Name-",'R.M Billets Reports'!D1128)),TRIM(MID('R.M Billets Reports'!D1128,SEARCH("-",'R.M Billets Reports'!D1128)+1,200)),"")))="SHREE RADHE SHAKTI SPONGE AND POWER PVT. LTD.","SHREE RADHE",IF(IF(ISNUMBER(SEARCH("Party Name:-",'R.M Billets Reports'!D1127)),TRIM('R.M Billets Reports'!F1127),IF(ISNUMBER(SEARCH("Party Name-",'R.M Billets Reports'!D1127)),TRIM(MID('R.M Billets Reports'!D1127,SEARCH("-",'R.M Billets Reports'!D1127)+1,200)),""))&lt;&gt;"",IF(ISNUMBER(SEARCH("Party Name:-",'R.M Billets Reports'!D1127)),TRIM('R.M Billets Reports'!F1127),IF(ISNUMBER(SEARCH("Party Name-",'R.M Billets Reports'!D1127)),TRIM(MID('R.M Billets Reports'!D1127,SEARCH("-",'R.M Billets Reports'!D1127)+1,200)),"")),IF(ISNUMBER(SEARCH("Party Name:-",'R.M Billets Reports'!D1128)),TRIM('R.M Billets Reports'!F1128),IF(ISNUMBER(SEARCH("Party Name-",'R.M Billets Reports'!D1128)),TRIM(MID('R.M Billets Reports'!D1128,SEARCH("-",'R.M Billets Reports'!D1128)+1,200)),"")))))),IF(ROW()=2,"",A1127))</f>
      </c>
      <c r="B1128">
        <f>IF(OR('R.M Billets Reports'!A1127="Date-",'R.M Billets Reports'!A1127="Date:-"),'R.M Billets Reports'!B1127,IF(ROW()=2,"",B1127))</f>
      </c>
      <c r="C1128">
        <f>IF('R.M Billets Reports'!A1127="V.No.",'R.M Billets Reports'!B1127,IF(ROW()=2,"",C1127))</f>
      </c>
      <c r="D1128">
        <f>IF('R.M Billets Reports'!A1127&lt;&gt;"",'R.M Billets Reports'!A1127,IF(ROW()=2,"",D1127))</f>
      </c>
      <c r="E1128">
        <f>IF('R.M Billets Reports'!B1127="","",TRIM('R.M Billets Reports'!B1127))</f>
      </c>
      <c r="F1128">
        <f>'R.M Billets Reports'!C1127</f>
      </c>
      <c r="G1128">
        <f>'R.M Billets Reports'!D1127</f>
      </c>
      <c r="H1128">
        <f>'R.M Billets Reports'!E1127</f>
      </c>
      <c r="I1128">
        <f>'R.M Billets Reports'!F1127</f>
      </c>
      <c r="J1128">
        <f>'R.M Billets Reports'!G1127</f>
      </c>
      <c r="K1128">
        <f>'R.M Billets Reports'!H1127</f>
      </c>
      <c r="L1128">
        <f>IF('R.M Billets Reports'!I1127="","",'R.M Billets Reports'!I1127)</f>
      </c>
      <c r="M1128">
        <f t="shared" si="34"/>
      </c>
      <c r="N1128">
        <f>IF('R.M Billets Reports'!J1127="","",'R.M Billets Reports'!J1127)</f>
      </c>
      <c r="O1128">
        <f t="shared" si="35"/>
      </c>
      <c r="P1128">
        <f>IF('R.M Billets Reports'!A1127="SIZE",'R.M Billets Reports'!B1127,P1127)</f>
      </c>
    </row>
    <row r="1129" spans="1:16" x14ac:dyDescent="0.25">
      <c r="A1129">
        <f>IF(OR('R.M Billets Reports'!A1128="Date-",'R.M Billets Reports'!A1128="Date:-"),IF(IF(IF(ISNUMBER(SEARCH("Party Name:-",'R.M Billets Reports'!D1128)),TRIM('R.M Billets Reports'!F1128),IF(ISNUMBER(SEARCH("Party Name-",'R.M Billets Reports'!D1128)),TRIM(MID('R.M Billets Reports'!D1128,SEARCH("-",'R.M Billets Reports'!D1128)+1,200)),""))&lt;&gt;"",IF(ISNUMBER(SEARCH("Party Name:-",'R.M Billets Reports'!D1128)),TRIM('R.M Billets Reports'!F1128),IF(ISNUMBER(SEARCH("Party Name-",'R.M Billets Reports'!D1128)),TRIM(MID('R.M Billets Reports'!D1128,SEARCH("-",'R.M Billets Reports'!D1128)+1,200)),"")),IF(ISNUMBER(SEARCH("Party Name:-",'R.M Billets Reports'!D1129)),TRIM('R.M Billets Reports'!F1129),IF(ISNUMBER(SEARCH("Party Name-",'R.M Billets Reports'!D1129)),TRIM(MID('R.M Billets Reports'!D1129,SEARCH("-",'R.M Billets Reports'!D1129)+1,200)),"")))="VRKP ISPAT PVT LTD","VRKP",IF(IF(IF(ISNUMBER(SEARCH("Party Name:-",'R.M Billets Reports'!D1128)),TRIM('R.M Billets Reports'!F1128),IF(ISNUMBER(SEARCH("Party Name-",'R.M Billets Reports'!D1128)),TRIM(MID('R.M Billets Reports'!D1128,SEARCH("-",'R.M Billets Reports'!D1128)+1,200)),""))&lt;&gt;"",IF(ISNUMBER(SEARCH("Party Name:-",'R.M Billets Reports'!D1128)),TRIM('R.M Billets Reports'!F1128),IF(ISNUMBER(SEARCH("Party Name-",'R.M Billets Reports'!D1128)),TRIM(MID('R.M Billets Reports'!D1128,SEARCH("-",'R.M Billets Reports'!D1128)+1,200)),"")),IF(ISNUMBER(SEARCH("Party Name:-",'R.M Billets Reports'!D1129)),TRIM('R.M Billets Reports'!F1129),IF(ISNUMBER(SEARCH("Party Name-",'R.M Billets Reports'!D1129)),TRIM(MID('R.M Billets Reports'!D1129,SEARCH("-",'R.M Billets Reports'!D1129)+1,200)),"")))="SHRI RADHE","SHREE RADHE",IF(IF(IF(ISNUMBER(SEARCH("Party Name:-",'R.M Billets Reports'!D1128)),TRIM('R.M Billets Reports'!F1128),IF(ISNUMBER(SEARCH("Party Name-",'R.M Billets Reports'!D1128)),TRIM(MID('R.M Billets Reports'!D1128,SEARCH("-",'R.M Billets Reports'!D1128)+1,200)),""))&lt;&gt;"",IF(ISNUMBER(SEARCH("Party Name:-",'R.M Billets Reports'!D1128)),TRIM('R.M Billets Reports'!F1128),IF(ISNUMBER(SEARCH("Party Name-",'R.M Billets Reports'!D1128)),TRIM(MID('R.M Billets Reports'!D1128,SEARCH("-",'R.M Billets Reports'!D1128)+1,200)),"")),IF(ISNUMBER(SEARCH("Party Name:-",'R.M Billets Reports'!D1129)),TRIM('R.M Billets Reports'!F1129),IF(ISNUMBER(SEARCH("Party Name-",'R.M Billets Reports'!D1129)),TRIM(MID('R.M Billets Reports'!D1129,SEARCH("-",'R.M Billets Reports'!D1129)+1,200)),"")))="SHREE RADHE SHAKTI SPONGE AND POWER PVT. LTD.","SHREE RADHE",IF(IF(ISNUMBER(SEARCH("Party Name:-",'R.M Billets Reports'!D1128)),TRIM('R.M Billets Reports'!F1128),IF(ISNUMBER(SEARCH("Party Name-",'R.M Billets Reports'!D1128)),TRIM(MID('R.M Billets Reports'!D1128,SEARCH("-",'R.M Billets Reports'!D1128)+1,200)),""))&lt;&gt;"",IF(ISNUMBER(SEARCH("Party Name:-",'R.M Billets Reports'!D1128)),TRIM('R.M Billets Reports'!F1128),IF(ISNUMBER(SEARCH("Party Name-",'R.M Billets Reports'!D1128)),TRIM(MID('R.M Billets Reports'!D1128,SEARCH("-",'R.M Billets Reports'!D1128)+1,200)),"")),IF(ISNUMBER(SEARCH("Party Name:-",'R.M Billets Reports'!D1129)),TRIM('R.M Billets Reports'!F1129),IF(ISNUMBER(SEARCH("Party Name-",'R.M Billets Reports'!D1129)),TRIM(MID('R.M Billets Reports'!D1129,SEARCH("-",'R.M Billets Reports'!D1129)+1,200)),"")))))),IF(ROW()=2,"",A1128))</f>
      </c>
      <c r="B1129">
        <f>IF(OR('R.M Billets Reports'!A1128="Date-",'R.M Billets Reports'!A1128="Date:-"),'R.M Billets Reports'!B1128,IF(ROW()=2,"",B1128))</f>
      </c>
      <c r="C1129">
        <f>IF('R.M Billets Reports'!A1128="V.No.",'R.M Billets Reports'!B1128,IF(ROW()=2,"",C1128))</f>
      </c>
      <c r="D1129">
        <f>IF('R.M Billets Reports'!A1128&lt;&gt;"",'R.M Billets Reports'!A1128,IF(ROW()=2,"",D1128))</f>
      </c>
      <c r="E1129">
        <f>IF('R.M Billets Reports'!B1128="","",TRIM('R.M Billets Reports'!B1128))</f>
      </c>
      <c r="F1129">
        <f>'R.M Billets Reports'!C1128</f>
      </c>
      <c r="G1129">
        <f>'R.M Billets Reports'!D1128</f>
      </c>
      <c r="H1129">
        <f>'R.M Billets Reports'!E1128</f>
      </c>
      <c r="I1129">
        <f>'R.M Billets Reports'!F1128</f>
      </c>
      <c r="J1129">
        <f>'R.M Billets Reports'!G1128</f>
      </c>
      <c r="K1129">
        <f>'R.M Billets Reports'!H1128</f>
      </c>
      <c r="L1129">
        <f>IF('R.M Billets Reports'!I1128="","",'R.M Billets Reports'!I1128)</f>
      </c>
      <c r="M1129">
        <f t="shared" si="34"/>
      </c>
      <c r="N1129">
        <f>IF('R.M Billets Reports'!J1128="","",'R.M Billets Reports'!J1128)</f>
      </c>
      <c r="O1129">
        <f t="shared" si="35"/>
      </c>
      <c r="P1129">
        <f>IF('R.M Billets Reports'!A1128="SIZE",'R.M Billets Reports'!B1128,P1128)</f>
      </c>
    </row>
    <row r="1130" spans="1:16" x14ac:dyDescent="0.25">
      <c r="A1130">
        <f>IF(OR('R.M Billets Reports'!A1129="Date-",'R.M Billets Reports'!A1129="Date:-"),IF(IF(IF(ISNUMBER(SEARCH("Party Name:-",'R.M Billets Reports'!D1129)),TRIM('R.M Billets Reports'!F1129),IF(ISNUMBER(SEARCH("Party Name-",'R.M Billets Reports'!D1129)),TRIM(MID('R.M Billets Reports'!D1129,SEARCH("-",'R.M Billets Reports'!D1129)+1,200)),""))&lt;&gt;"",IF(ISNUMBER(SEARCH("Party Name:-",'R.M Billets Reports'!D1129)),TRIM('R.M Billets Reports'!F1129),IF(ISNUMBER(SEARCH("Party Name-",'R.M Billets Reports'!D1129)),TRIM(MID('R.M Billets Reports'!D1129,SEARCH("-",'R.M Billets Reports'!D1129)+1,200)),"")),IF(ISNUMBER(SEARCH("Party Name:-",'R.M Billets Reports'!D1130)),TRIM('R.M Billets Reports'!F1130),IF(ISNUMBER(SEARCH("Party Name-",'R.M Billets Reports'!D1130)),TRIM(MID('R.M Billets Reports'!D1130,SEARCH("-",'R.M Billets Reports'!D1130)+1,200)),"")))="VRKP ISPAT PVT LTD","VRKP",IF(IF(IF(ISNUMBER(SEARCH("Party Name:-",'R.M Billets Reports'!D1129)),TRIM('R.M Billets Reports'!F1129),IF(ISNUMBER(SEARCH("Party Name-",'R.M Billets Reports'!D1129)),TRIM(MID('R.M Billets Reports'!D1129,SEARCH("-",'R.M Billets Reports'!D1129)+1,200)),""))&lt;&gt;"",IF(ISNUMBER(SEARCH("Party Name:-",'R.M Billets Reports'!D1129)),TRIM('R.M Billets Reports'!F1129),IF(ISNUMBER(SEARCH("Party Name-",'R.M Billets Reports'!D1129)),TRIM(MID('R.M Billets Reports'!D1129,SEARCH("-",'R.M Billets Reports'!D1129)+1,200)),"")),IF(ISNUMBER(SEARCH("Party Name:-",'R.M Billets Reports'!D1130)),TRIM('R.M Billets Reports'!F1130),IF(ISNUMBER(SEARCH("Party Name-",'R.M Billets Reports'!D1130)),TRIM(MID('R.M Billets Reports'!D1130,SEARCH("-",'R.M Billets Reports'!D1130)+1,200)),"")))="SHRI RADHE","SHREE RADHE",IF(IF(IF(ISNUMBER(SEARCH("Party Name:-",'R.M Billets Reports'!D1129)),TRIM('R.M Billets Reports'!F1129),IF(ISNUMBER(SEARCH("Party Name-",'R.M Billets Reports'!D1129)),TRIM(MID('R.M Billets Reports'!D1129,SEARCH("-",'R.M Billets Reports'!D1129)+1,200)),""))&lt;&gt;"",IF(ISNUMBER(SEARCH("Party Name:-",'R.M Billets Reports'!D1129)),TRIM('R.M Billets Reports'!F1129),IF(ISNUMBER(SEARCH("Party Name-",'R.M Billets Reports'!D1129)),TRIM(MID('R.M Billets Reports'!D1129,SEARCH("-",'R.M Billets Reports'!D1129)+1,200)),"")),IF(ISNUMBER(SEARCH("Party Name:-",'R.M Billets Reports'!D1130)),TRIM('R.M Billets Reports'!F1130),IF(ISNUMBER(SEARCH("Party Name-",'R.M Billets Reports'!D1130)),TRIM(MID('R.M Billets Reports'!D1130,SEARCH("-",'R.M Billets Reports'!D1130)+1,200)),"")))="SHREE RADHE SHAKTI SPONGE AND POWER PVT. LTD.","SHREE RADHE",IF(IF(ISNUMBER(SEARCH("Party Name:-",'R.M Billets Reports'!D1129)),TRIM('R.M Billets Reports'!F1129),IF(ISNUMBER(SEARCH("Party Name-",'R.M Billets Reports'!D1129)),TRIM(MID('R.M Billets Reports'!D1129,SEARCH("-",'R.M Billets Reports'!D1129)+1,200)),""))&lt;&gt;"",IF(ISNUMBER(SEARCH("Party Name:-",'R.M Billets Reports'!D1129)),TRIM('R.M Billets Reports'!F1129),IF(ISNUMBER(SEARCH("Party Name-",'R.M Billets Reports'!D1129)),TRIM(MID('R.M Billets Reports'!D1129,SEARCH("-",'R.M Billets Reports'!D1129)+1,200)),"")),IF(ISNUMBER(SEARCH("Party Name:-",'R.M Billets Reports'!D1130)),TRIM('R.M Billets Reports'!F1130),IF(ISNUMBER(SEARCH("Party Name-",'R.M Billets Reports'!D1130)),TRIM(MID('R.M Billets Reports'!D1130,SEARCH("-",'R.M Billets Reports'!D1130)+1,200)),"")))))),IF(ROW()=2,"",A1129))</f>
      </c>
      <c r="B1130">
        <f>IF(OR('R.M Billets Reports'!A1129="Date-",'R.M Billets Reports'!A1129="Date:-"),'R.M Billets Reports'!B1129,IF(ROW()=2,"",B1129))</f>
      </c>
      <c r="C1130">
        <f>IF('R.M Billets Reports'!A1129="V.No.",'R.M Billets Reports'!B1129,IF(ROW()=2,"",C1129))</f>
      </c>
      <c r="D1130">
        <f>IF('R.M Billets Reports'!A1129&lt;&gt;"",'R.M Billets Reports'!A1129,IF(ROW()=2,"",D1129))</f>
      </c>
      <c r="E1130">
        <f>IF('R.M Billets Reports'!B1129="","",TRIM('R.M Billets Reports'!B1129))</f>
      </c>
      <c r="F1130">
        <f>'R.M Billets Reports'!C1129</f>
      </c>
      <c r="G1130">
        <f>'R.M Billets Reports'!D1129</f>
      </c>
      <c r="H1130">
        <f>'R.M Billets Reports'!E1129</f>
      </c>
      <c r="I1130">
        <f>'R.M Billets Reports'!F1129</f>
      </c>
      <c r="J1130">
        <f>'R.M Billets Reports'!G1129</f>
      </c>
      <c r="K1130">
        <f>'R.M Billets Reports'!H1129</f>
      </c>
      <c r="L1130">
        <f>IF('R.M Billets Reports'!I1129="","",'R.M Billets Reports'!I1129)</f>
      </c>
      <c r="M1130">
        <f t="shared" si="34"/>
      </c>
      <c r="N1130">
        <f>IF('R.M Billets Reports'!J1129="","",'R.M Billets Reports'!J1129)</f>
      </c>
      <c r="O1130">
        <f t="shared" si="35"/>
      </c>
      <c r="P1130">
        <f>IF('R.M Billets Reports'!A1129="SIZE",'R.M Billets Reports'!B1129,P1129)</f>
      </c>
    </row>
    <row r="1131" spans="1:16" x14ac:dyDescent="0.25">
      <c r="A1131">
        <f>IF(OR('R.M Billets Reports'!A1130="Date-",'R.M Billets Reports'!A1130="Date:-"),IF(IF(IF(ISNUMBER(SEARCH("Party Name:-",'R.M Billets Reports'!D1130)),TRIM('R.M Billets Reports'!F1130),IF(ISNUMBER(SEARCH("Party Name-",'R.M Billets Reports'!D1130)),TRIM(MID('R.M Billets Reports'!D1130,SEARCH("-",'R.M Billets Reports'!D1130)+1,200)),""))&lt;&gt;"",IF(ISNUMBER(SEARCH("Party Name:-",'R.M Billets Reports'!D1130)),TRIM('R.M Billets Reports'!F1130),IF(ISNUMBER(SEARCH("Party Name-",'R.M Billets Reports'!D1130)),TRIM(MID('R.M Billets Reports'!D1130,SEARCH("-",'R.M Billets Reports'!D1130)+1,200)),"")),IF(ISNUMBER(SEARCH("Party Name:-",'R.M Billets Reports'!D1131)),TRIM('R.M Billets Reports'!F1131),IF(ISNUMBER(SEARCH("Party Name-",'R.M Billets Reports'!D1131)),TRIM(MID('R.M Billets Reports'!D1131,SEARCH("-",'R.M Billets Reports'!D1131)+1,200)),"")))="VRKP ISPAT PVT LTD","VRKP",IF(IF(IF(ISNUMBER(SEARCH("Party Name:-",'R.M Billets Reports'!D1130)),TRIM('R.M Billets Reports'!F1130),IF(ISNUMBER(SEARCH("Party Name-",'R.M Billets Reports'!D1130)),TRIM(MID('R.M Billets Reports'!D1130,SEARCH("-",'R.M Billets Reports'!D1130)+1,200)),""))&lt;&gt;"",IF(ISNUMBER(SEARCH("Party Name:-",'R.M Billets Reports'!D1130)),TRIM('R.M Billets Reports'!F1130),IF(ISNUMBER(SEARCH("Party Name-",'R.M Billets Reports'!D1130)),TRIM(MID('R.M Billets Reports'!D1130,SEARCH("-",'R.M Billets Reports'!D1130)+1,200)),"")),IF(ISNUMBER(SEARCH("Party Name:-",'R.M Billets Reports'!D1131)),TRIM('R.M Billets Reports'!F1131),IF(ISNUMBER(SEARCH("Party Name-",'R.M Billets Reports'!D1131)),TRIM(MID('R.M Billets Reports'!D1131,SEARCH("-",'R.M Billets Reports'!D1131)+1,200)),"")))="SHRI RADHE","SHREE RADHE",IF(IF(IF(ISNUMBER(SEARCH("Party Name:-",'R.M Billets Reports'!D1130)),TRIM('R.M Billets Reports'!F1130),IF(ISNUMBER(SEARCH("Party Name-",'R.M Billets Reports'!D1130)),TRIM(MID('R.M Billets Reports'!D1130,SEARCH("-",'R.M Billets Reports'!D1130)+1,200)),""))&lt;&gt;"",IF(ISNUMBER(SEARCH("Party Name:-",'R.M Billets Reports'!D1130)),TRIM('R.M Billets Reports'!F1130),IF(ISNUMBER(SEARCH("Party Name-",'R.M Billets Reports'!D1130)),TRIM(MID('R.M Billets Reports'!D1130,SEARCH("-",'R.M Billets Reports'!D1130)+1,200)),"")),IF(ISNUMBER(SEARCH("Party Name:-",'R.M Billets Reports'!D1131)),TRIM('R.M Billets Reports'!F1131),IF(ISNUMBER(SEARCH("Party Name-",'R.M Billets Reports'!D1131)),TRIM(MID('R.M Billets Reports'!D1131,SEARCH("-",'R.M Billets Reports'!D1131)+1,200)),"")))="SHREE RADHE SHAKTI SPONGE AND POWER PVT. LTD.","SHREE RADHE",IF(IF(ISNUMBER(SEARCH("Party Name:-",'R.M Billets Reports'!D1130)),TRIM('R.M Billets Reports'!F1130),IF(ISNUMBER(SEARCH("Party Name-",'R.M Billets Reports'!D1130)),TRIM(MID('R.M Billets Reports'!D1130,SEARCH("-",'R.M Billets Reports'!D1130)+1,200)),""))&lt;&gt;"",IF(ISNUMBER(SEARCH("Party Name:-",'R.M Billets Reports'!D1130)),TRIM('R.M Billets Reports'!F1130),IF(ISNUMBER(SEARCH("Party Name-",'R.M Billets Reports'!D1130)),TRIM(MID('R.M Billets Reports'!D1130,SEARCH("-",'R.M Billets Reports'!D1130)+1,200)),"")),IF(ISNUMBER(SEARCH("Party Name:-",'R.M Billets Reports'!D1131)),TRIM('R.M Billets Reports'!F1131),IF(ISNUMBER(SEARCH("Party Name-",'R.M Billets Reports'!D1131)),TRIM(MID('R.M Billets Reports'!D1131,SEARCH("-",'R.M Billets Reports'!D1131)+1,200)),"")))))),IF(ROW()=2,"",A1130))</f>
      </c>
      <c r="B1131">
        <f>IF(OR('R.M Billets Reports'!A1130="Date-",'R.M Billets Reports'!A1130="Date:-"),'R.M Billets Reports'!B1130,IF(ROW()=2,"",B1130))</f>
      </c>
      <c r="C1131">
        <f>IF('R.M Billets Reports'!A1130="V.No.",'R.M Billets Reports'!B1130,IF(ROW()=2,"",C1130))</f>
      </c>
      <c r="D1131">
        <f>IF('R.M Billets Reports'!A1130&lt;&gt;"",'R.M Billets Reports'!A1130,IF(ROW()=2,"",D1130))</f>
      </c>
      <c r="E1131">
        <f>IF('R.M Billets Reports'!B1130="","",TRIM('R.M Billets Reports'!B1130))</f>
      </c>
      <c r="F1131">
        <f>'R.M Billets Reports'!C1130</f>
      </c>
      <c r="G1131">
        <f>'R.M Billets Reports'!D1130</f>
      </c>
      <c r="H1131">
        <f>'R.M Billets Reports'!E1130</f>
      </c>
      <c r="I1131">
        <f>'R.M Billets Reports'!F1130</f>
      </c>
      <c r="J1131">
        <f>'R.M Billets Reports'!G1130</f>
      </c>
      <c r="K1131">
        <f>'R.M Billets Reports'!H1130</f>
      </c>
      <c r="L1131">
        <f>IF('R.M Billets Reports'!I1130="","",'R.M Billets Reports'!I1130)</f>
      </c>
      <c r="M1131">
        <f t="shared" si="34"/>
      </c>
      <c r="N1131">
        <f>IF('R.M Billets Reports'!J1130="","",'R.M Billets Reports'!J1130)</f>
      </c>
      <c r="O1131">
        <f t="shared" si="35"/>
      </c>
      <c r="P1131">
        <f>IF('R.M Billets Reports'!A1130="SIZE",'R.M Billets Reports'!B1130,P1130)</f>
      </c>
    </row>
    <row r="1132" spans="1:16" x14ac:dyDescent="0.25">
      <c r="A1132">
        <f>IF(OR('R.M Billets Reports'!A1131="Date-",'R.M Billets Reports'!A1131="Date:-"),IF(IF(IF(ISNUMBER(SEARCH("Party Name:-",'R.M Billets Reports'!D1131)),TRIM('R.M Billets Reports'!F1131),IF(ISNUMBER(SEARCH("Party Name-",'R.M Billets Reports'!D1131)),TRIM(MID('R.M Billets Reports'!D1131,SEARCH("-",'R.M Billets Reports'!D1131)+1,200)),""))&lt;&gt;"",IF(ISNUMBER(SEARCH("Party Name:-",'R.M Billets Reports'!D1131)),TRIM('R.M Billets Reports'!F1131),IF(ISNUMBER(SEARCH("Party Name-",'R.M Billets Reports'!D1131)),TRIM(MID('R.M Billets Reports'!D1131,SEARCH("-",'R.M Billets Reports'!D1131)+1,200)),"")),IF(ISNUMBER(SEARCH("Party Name:-",'R.M Billets Reports'!D1132)),TRIM('R.M Billets Reports'!F1132),IF(ISNUMBER(SEARCH("Party Name-",'R.M Billets Reports'!D1132)),TRIM(MID('R.M Billets Reports'!D1132,SEARCH("-",'R.M Billets Reports'!D1132)+1,200)),"")))="VRKP ISPAT PVT LTD","VRKP",IF(IF(IF(ISNUMBER(SEARCH("Party Name:-",'R.M Billets Reports'!D1131)),TRIM('R.M Billets Reports'!F1131),IF(ISNUMBER(SEARCH("Party Name-",'R.M Billets Reports'!D1131)),TRIM(MID('R.M Billets Reports'!D1131,SEARCH("-",'R.M Billets Reports'!D1131)+1,200)),""))&lt;&gt;"",IF(ISNUMBER(SEARCH("Party Name:-",'R.M Billets Reports'!D1131)),TRIM('R.M Billets Reports'!F1131),IF(ISNUMBER(SEARCH("Party Name-",'R.M Billets Reports'!D1131)),TRIM(MID('R.M Billets Reports'!D1131,SEARCH("-",'R.M Billets Reports'!D1131)+1,200)),"")),IF(ISNUMBER(SEARCH("Party Name:-",'R.M Billets Reports'!D1132)),TRIM('R.M Billets Reports'!F1132),IF(ISNUMBER(SEARCH("Party Name-",'R.M Billets Reports'!D1132)),TRIM(MID('R.M Billets Reports'!D1132,SEARCH("-",'R.M Billets Reports'!D1132)+1,200)),"")))="SHRI RADHE","SHREE RADHE",IF(IF(IF(ISNUMBER(SEARCH("Party Name:-",'R.M Billets Reports'!D1131)),TRIM('R.M Billets Reports'!F1131),IF(ISNUMBER(SEARCH("Party Name-",'R.M Billets Reports'!D1131)),TRIM(MID('R.M Billets Reports'!D1131,SEARCH("-",'R.M Billets Reports'!D1131)+1,200)),""))&lt;&gt;"",IF(ISNUMBER(SEARCH("Party Name:-",'R.M Billets Reports'!D1131)),TRIM('R.M Billets Reports'!F1131),IF(ISNUMBER(SEARCH("Party Name-",'R.M Billets Reports'!D1131)),TRIM(MID('R.M Billets Reports'!D1131,SEARCH("-",'R.M Billets Reports'!D1131)+1,200)),"")),IF(ISNUMBER(SEARCH("Party Name:-",'R.M Billets Reports'!D1132)),TRIM('R.M Billets Reports'!F1132),IF(ISNUMBER(SEARCH("Party Name-",'R.M Billets Reports'!D1132)),TRIM(MID('R.M Billets Reports'!D1132,SEARCH("-",'R.M Billets Reports'!D1132)+1,200)),"")))="SHREE RADHE SHAKTI SPONGE AND POWER PVT. LTD.","SHREE RADHE",IF(IF(ISNUMBER(SEARCH("Party Name:-",'R.M Billets Reports'!D1131)),TRIM('R.M Billets Reports'!F1131),IF(ISNUMBER(SEARCH("Party Name-",'R.M Billets Reports'!D1131)),TRIM(MID('R.M Billets Reports'!D1131,SEARCH("-",'R.M Billets Reports'!D1131)+1,200)),""))&lt;&gt;"",IF(ISNUMBER(SEARCH("Party Name:-",'R.M Billets Reports'!D1131)),TRIM('R.M Billets Reports'!F1131),IF(ISNUMBER(SEARCH("Party Name-",'R.M Billets Reports'!D1131)),TRIM(MID('R.M Billets Reports'!D1131,SEARCH("-",'R.M Billets Reports'!D1131)+1,200)),"")),IF(ISNUMBER(SEARCH("Party Name:-",'R.M Billets Reports'!D1132)),TRIM('R.M Billets Reports'!F1132),IF(ISNUMBER(SEARCH("Party Name-",'R.M Billets Reports'!D1132)),TRIM(MID('R.M Billets Reports'!D1132,SEARCH("-",'R.M Billets Reports'!D1132)+1,200)),"")))))),IF(ROW()=2,"",A1131))</f>
      </c>
      <c r="B1132">
        <f>IF(OR('R.M Billets Reports'!A1131="Date-",'R.M Billets Reports'!A1131="Date:-"),'R.M Billets Reports'!B1131,IF(ROW()=2,"",B1131))</f>
      </c>
      <c r="C1132">
        <f>IF('R.M Billets Reports'!A1131="V.No.",'R.M Billets Reports'!B1131,IF(ROW()=2,"",C1131))</f>
      </c>
      <c r="D1132">
        <f>IF('R.M Billets Reports'!A1131&lt;&gt;"",'R.M Billets Reports'!A1131,IF(ROW()=2,"",D1131))</f>
      </c>
      <c r="E1132">
        <f>IF('R.M Billets Reports'!B1131="","",TRIM('R.M Billets Reports'!B1131))</f>
      </c>
      <c r="F1132">
        <f>'R.M Billets Reports'!C1131</f>
      </c>
      <c r="G1132">
        <f>'R.M Billets Reports'!D1131</f>
      </c>
      <c r="H1132">
        <f>'R.M Billets Reports'!E1131</f>
      </c>
      <c r="I1132">
        <f>'R.M Billets Reports'!F1131</f>
      </c>
      <c r="J1132">
        <f>'R.M Billets Reports'!G1131</f>
      </c>
      <c r="K1132">
        <f>'R.M Billets Reports'!H1131</f>
      </c>
      <c r="L1132">
        <f>IF('R.M Billets Reports'!I1131="","",'R.M Billets Reports'!I1131)</f>
      </c>
      <c r="M1132">
        <f t="shared" si="34"/>
      </c>
      <c r="N1132">
        <f>IF('R.M Billets Reports'!J1131="","",'R.M Billets Reports'!J1131)</f>
      </c>
      <c r="O1132">
        <f t="shared" si="35"/>
      </c>
      <c r="P1132">
        <f>IF('R.M Billets Reports'!A1131="SIZE",'R.M Billets Reports'!B1131,P1131)</f>
      </c>
    </row>
    <row r="1133" spans="1:16" x14ac:dyDescent="0.25">
      <c r="A1133">
        <f>IF(OR('R.M Billets Reports'!A1132="Date-",'R.M Billets Reports'!A1132="Date:-"),IF(IF(IF(ISNUMBER(SEARCH("Party Name:-",'R.M Billets Reports'!D1132)),TRIM('R.M Billets Reports'!F1132),IF(ISNUMBER(SEARCH("Party Name-",'R.M Billets Reports'!D1132)),TRIM(MID('R.M Billets Reports'!D1132,SEARCH("-",'R.M Billets Reports'!D1132)+1,200)),""))&lt;&gt;"",IF(ISNUMBER(SEARCH("Party Name:-",'R.M Billets Reports'!D1132)),TRIM('R.M Billets Reports'!F1132),IF(ISNUMBER(SEARCH("Party Name-",'R.M Billets Reports'!D1132)),TRIM(MID('R.M Billets Reports'!D1132,SEARCH("-",'R.M Billets Reports'!D1132)+1,200)),"")),IF(ISNUMBER(SEARCH("Party Name:-",'R.M Billets Reports'!D1133)),TRIM('R.M Billets Reports'!F1133),IF(ISNUMBER(SEARCH("Party Name-",'R.M Billets Reports'!D1133)),TRIM(MID('R.M Billets Reports'!D1133,SEARCH("-",'R.M Billets Reports'!D1133)+1,200)),"")))="VRKP ISPAT PVT LTD","VRKP",IF(IF(IF(ISNUMBER(SEARCH("Party Name:-",'R.M Billets Reports'!D1132)),TRIM('R.M Billets Reports'!F1132),IF(ISNUMBER(SEARCH("Party Name-",'R.M Billets Reports'!D1132)),TRIM(MID('R.M Billets Reports'!D1132,SEARCH("-",'R.M Billets Reports'!D1132)+1,200)),""))&lt;&gt;"",IF(ISNUMBER(SEARCH("Party Name:-",'R.M Billets Reports'!D1132)),TRIM('R.M Billets Reports'!F1132),IF(ISNUMBER(SEARCH("Party Name-",'R.M Billets Reports'!D1132)),TRIM(MID('R.M Billets Reports'!D1132,SEARCH("-",'R.M Billets Reports'!D1132)+1,200)),"")),IF(ISNUMBER(SEARCH("Party Name:-",'R.M Billets Reports'!D1133)),TRIM('R.M Billets Reports'!F1133),IF(ISNUMBER(SEARCH("Party Name-",'R.M Billets Reports'!D1133)),TRIM(MID('R.M Billets Reports'!D1133,SEARCH("-",'R.M Billets Reports'!D1133)+1,200)),"")))="SHRI RADHE","SHREE RADHE",IF(IF(IF(ISNUMBER(SEARCH("Party Name:-",'R.M Billets Reports'!D1132)),TRIM('R.M Billets Reports'!F1132),IF(ISNUMBER(SEARCH("Party Name-",'R.M Billets Reports'!D1132)),TRIM(MID('R.M Billets Reports'!D1132,SEARCH("-",'R.M Billets Reports'!D1132)+1,200)),""))&lt;&gt;"",IF(ISNUMBER(SEARCH("Party Name:-",'R.M Billets Reports'!D1132)),TRIM('R.M Billets Reports'!F1132),IF(ISNUMBER(SEARCH("Party Name-",'R.M Billets Reports'!D1132)),TRIM(MID('R.M Billets Reports'!D1132,SEARCH("-",'R.M Billets Reports'!D1132)+1,200)),"")),IF(ISNUMBER(SEARCH("Party Name:-",'R.M Billets Reports'!D1133)),TRIM('R.M Billets Reports'!F1133),IF(ISNUMBER(SEARCH("Party Name-",'R.M Billets Reports'!D1133)),TRIM(MID('R.M Billets Reports'!D1133,SEARCH("-",'R.M Billets Reports'!D1133)+1,200)),"")))="SHREE RADHE SHAKTI SPONGE AND POWER PVT. LTD.","SHREE RADHE",IF(IF(ISNUMBER(SEARCH("Party Name:-",'R.M Billets Reports'!D1132)),TRIM('R.M Billets Reports'!F1132),IF(ISNUMBER(SEARCH("Party Name-",'R.M Billets Reports'!D1132)),TRIM(MID('R.M Billets Reports'!D1132,SEARCH("-",'R.M Billets Reports'!D1132)+1,200)),""))&lt;&gt;"",IF(ISNUMBER(SEARCH("Party Name:-",'R.M Billets Reports'!D1132)),TRIM('R.M Billets Reports'!F1132),IF(ISNUMBER(SEARCH("Party Name-",'R.M Billets Reports'!D1132)),TRIM(MID('R.M Billets Reports'!D1132,SEARCH("-",'R.M Billets Reports'!D1132)+1,200)),"")),IF(ISNUMBER(SEARCH("Party Name:-",'R.M Billets Reports'!D1133)),TRIM('R.M Billets Reports'!F1133),IF(ISNUMBER(SEARCH("Party Name-",'R.M Billets Reports'!D1133)),TRIM(MID('R.M Billets Reports'!D1133,SEARCH("-",'R.M Billets Reports'!D1133)+1,200)),"")))))),IF(ROW()=2,"",A1132))</f>
      </c>
      <c r="B1133">
        <f>IF(OR('R.M Billets Reports'!A1132="Date-",'R.M Billets Reports'!A1132="Date:-"),'R.M Billets Reports'!B1132,IF(ROW()=2,"",B1132))</f>
      </c>
      <c r="C1133">
        <f>IF('R.M Billets Reports'!A1132="V.No.",'R.M Billets Reports'!B1132,IF(ROW()=2,"",C1132))</f>
      </c>
      <c r="D1133">
        <f>IF('R.M Billets Reports'!A1132&lt;&gt;"",'R.M Billets Reports'!A1132,IF(ROW()=2,"",D1132))</f>
      </c>
      <c r="E1133">
        <f>IF('R.M Billets Reports'!B1132="","",TRIM('R.M Billets Reports'!B1132))</f>
      </c>
      <c r="F1133">
        <f>'R.M Billets Reports'!C1132</f>
      </c>
      <c r="G1133">
        <f>'R.M Billets Reports'!D1132</f>
      </c>
      <c r="H1133">
        <f>'R.M Billets Reports'!E1132</f>
      </c>
      <c r="I1133">
        <f>'R.M Billets Reports'!F1132</f>
      </c>
      <c r="J1133">
        <f>'R.M Billets Reports'!G1132</f>
      </c>
      <c r="K1133">
        <f>'R.M Billets Reports'!H1132</f>
      </c>
      <c r="L1133">
        <f>IF('R.M Billets Reports'!I1132="","",'R.M Billets Reports'!I1132)</f>
      </c>
      <c r="M1133">
        <f t="shared" si="34"/>
      </c>
      <c r="N1133">
        <f>IF('R.M Billets Reports'!J1132="","",'R.M Billets Reports'!J1132)</f>
      </c>
      <c r="O1133">
        <f t="shared" si="35"/>
      </c>
      <c r="P1133">
        <f>IF('R.M Billets Reports'!A1132="SIZE",'R.M Billets Reports'!B1132,P1132)</f>
      </c>
    </row>
    <row r="1134" spans="1:16" x14ac:dyDescent="0.25">
      <c r="A1134">
        <f>IF(OR('R.M Billets Reports'!A1133="Date-",'R.M Billets Reports'!A1133="Date:-"),IF(IF(IF(ISNUMBER(SEARCH("Party Name:-",'R.M Billets Reports'!D1133)),TRIM('R.M Billets Reports'!F1133),IF(ISNUMBER(SEARCH("Party Name-",'R.M Billets Reports'!D1133)),TRIM(MID('R.M Billets Reports'!D1133,SEARCH("-",'R.M Billets Reports'!D1133)+1,200)),""))&lt;&gt;"",IF(ISNUMBER(SEARCH("Party Name:-",'R.M Billets Reports'!D1133)),TRIM('R.M Billets Reports'!F1133),IF(ISNUMBER(SEARCH("Party Name-",'R.M Billets Reports'!D1133)),TRIM(MID('R.M Billets Reports'!D1133,SEARCH("-",'R.M Billets Reports'!D1133)+1,200)),"")),IF(ISNUMBER(SEARCH("Party Name:-",'R.M Billets Reports'!D1134)),TRIM('R.M Billets Reports'!F1134),IF(ISNUMBER(SEARCH("Party Name-",'R.M Billets Reports'!D1134)),TRIM(MID('R.M Billets Reports'!D1134,SEARCH("-",'R.M Billets Reports'!D1134)+1,200)),"")))="VRKP ISPAT PVT LTD","VRKP",IF(IF(IF(ISNUMBER(SEARCH("Party Name:-",'R.M Billets Reports'!D1133)),TRIM('R.M Billets Reports'!F1133),IF(ISNUMBER(SEARCH("Party Name-",'R.M Billets Reports'!D1133)),TRIM(MID('R.M Billets Reports'!D1133,SEARCH("-",'R.M Billets Reports'!D1133)+1,200)),""))&lt;&gt;"",IF(ISNUMBER(SEARCH("Party Name:-",'R.M Billets Reports'!D1133)),TRIM('R.M Billets Reports'!F1133),IF(ISNUMBER(SEARCH("Party Name-",'R.M Billets Reports'!D1133)),TRIM(MID('R.M Billets Reports'!D1133,SEARCH("-",'R.M Billets Reports'!D1133)+1,200)),"")),IF(ISNUMBER(SEARCH("Party Name:-",'R.M Billets Reports'!D1134)),TRIM('R.M Billets Reports'!F1134),IF(ISNUMBER(SEARCH("Party Name-",'R.M Billets Reports'!D1134)),TRIM(MID('R.M Billets Reports'!D1134,SEARCH("-",'R.M Billets Reports'!D1134)+1,200)),"")))="SHRI RADHE","SHREE RADHE",IF(IF(IF(ISNUMBER(SEARCH("Party Name:-",'R.M Billets Reports'!D1133)),TRIM('R.M Billets Reports'!F1133),IF(ISNUMBER(SEARCH("Party Name-",'R.M Billets Reports'!D1133)),TRIM(MID('R.M Billets Reports'!D1133,SEARCH("-",'R.M Billets Reports'!D1133)+1,200)),""))&lt;&gt;"",IF(ISNUMBER(SEARCH("Party Name:-",'R.M Billets Reports'!D1133)),TRIM('R.M Billets Reports'!F1133),IF(ISNUMBER(SEARCH("Party Name-",'R.M Billets Reports'!D1133)),TRIM(MID('R.M Billets Reports'!D1133,SEARCH("-",'R.M Billets Reports'!D1133)+1,200)),"")),IF(ISNUMBER(SEARCH("Party Name:-",'R.M Billets Reports'!D1134)),TRIM('R.M Billets Reports'!F1134),IF(ISNUMBER(SEARCH("Party Name-",'R.M Billets Reports'!D1134)),TRIM(MID('R.M Billets Reports'!D1134,SEARCH("-",'R.M Billets Reports'!D1134)+1,200)),"")))="SHREE RADHE SHAKTI SPONGE AND POWER PVT. LTD.","SHREE RADHE",IF(IF(ISNUMBER(SEARCH("Party Name:-",'R.M Billets Reports'!D1133)),TRIM('R.M Billets Reports'!F1133),IF(ISNUMBER(SEARCH("Party Name-",'R.M Billets Reports'!D1133)),TRIM(MID('R.M Billets Reports'!D1133,SEARCH("-",'R.M Billets Reports'!D1133)+1,200)),""))&lt;&gt;"",IF(ISNUMBER(SEARCH("Party Name:-",'R.M Billets Reports'!D1133)),TRIM('R.M Billets Reports'!F1133),IF(ISNUMBER(SEARCH("Party Name-",'R.M Billets Reports'!D1133)),TRIM(MID('R.M Billets Reports'!D1133,SEARCH("-",'R.M Billets Reports'!D1133)+1,200)),"")),IF(ISNUMBER(SEARCH("Party Name:-",'R.M Billets Reports'!D1134)),TRIM('R.M Billets Reports'!F1134),IF(ISNUMBER(SEARCH("Party Name-",'R.M Billets Reports'!D1134)),TRIM(MID('R.M Billets Reports'!D1134,SEARCH("-",'R.M Billets Reports'!D1134)+1,200)),"")))))),IF(ROW()=2,"",A1133))</f>
      </c>
      <c r="B1134">
        <f>IF(OR('R.M Billets Reports'!A1133="Date-",'R.M Billets Reports'!A1133="Date:-"),'R.M Billets Reports'!B1133,IF(ROW()=2,"",B1133))</f>
      </c>
      <c r="C1134">
        <f>IF('R.M Billets Reports'!A1133="V.No.",'R.M Billets Reports'!B1133,IF(ROW()=2,"",C1133))</f>
      </c>
      <c r="D1134">
        <f>IF('R.M Billets Reports'!A1133&lt;&gt;"",'R.M Billets Reports'!A1133,IF(ROW()=2,"",D1133))</f>
      </c>
      <c r="E1134">
        <f>IF('R.M Billets Reports'!B1133="","",TRIM('R.M Billets Reports'!B1133))</f>
      </c>
      <c r="F1134">
        <f>'R.M Billets Reports'!C1133</f>
      </c>
      <c r="G1134">
        <f>'R.M Billets Reports'!D1133</f>
      </c>
      <c r="H1134">
        <f>'R.M Billets Reports'!E1133</f>
      </c>
      <c r="I1134">
        <f>'R.M Billets Reports'!F1133</f>
      </c>
      <c r="J1134">
        <f>'R.M Billets Reports'!G1133</f>
      </c>
      <c r="K1134">
        <f>'R.M Billets Reports'!H1133</f>
      </c>
      <c r="L1134">
        <f>IF('R.M Billets Reports'!I1133="","",'R.M Billets Reports'!I1133)</f>
      </c>
      <c r="M1134">
        <f t="shared" si="34"/>
      </c>
      <c r="N1134">
        <f>IF('R.M Billets Reports'!J1133="","",'R.M Billets Reports'!J1133)</f>
      </c>
      <c r="O1134">
        <f t="shared" si="35"/>
      </c>
      <c r="P1134">
        <f>IF('R.M Billets Reports'!A1133="SIZE",'R.M Billets Reports'!B1133,P1133)</f>
      </c>
    </row>
    <row r="1135" spans="1:16" x14ac:dyDescent="0.25">
      <c r="A1135">
        <f>IF(OR('R.M Billets Reports'!A1134="Date-",'R.M Billets Reports'!A1134="Date:-"),IF(IF(IF(ISNUMBER(SEARCH("Party Name:-",'R.M Billets Reports'!D1134)),TRIM('R.M Billets Reports'!F1134),IF(ISNUMBER(SEARCH("Party Name-",'R.M Billets Reports'!D1134)),TRIM(MID('R.M Billets Reports'!D1134,SEARCH("-",'R.M Billets Reports'!D1134)+1,200)),""))&lt;&gt;"",IF(ISNUMBER(SEARCH("Party Name:-",'R.M Billets Reports'!D1134)),TRIM('R.M Billets Reports'!F1134),IF(ISNUMBER(SEARCH("Party Name-",'R.M Billets Reports'!D1134)),TRIM(MID('R.M Billets Reports'!D1134,SEARCH("-",'R.M Billets Reports'!D1134)+1,200)),"")),IF(ISNUMBER(SEARCH("Party Name:-",'R.M Billets Reports'!D1135)),TRIM('R.M Billets Reports'!F1135),IF(ISNUMBER(SEARCH("Party Name-",'R.M Billets Reports'!D1135)),TRIM(MID('R.M Billets Reports'!D1135,SEARCH("-",'R.M Billets Reports'!D1135)+1,200)),"")))="VRKP ISPAT PVT LTD","VRKP",IF(IF(IF(ISNUMBER(SEARCH("Party Name:-",'R.M Billets Reports'!D1134)),TRIM('R.M Billets Reports'!F1134),IF(ISNUMBER(SEARCH("Party Name-",'R.M Billets Reports'!D1134)),TRIM(MID('R.M Billets Reports'!D1134,SEARCH("-",'R.M Billets Reports'!D1134)+1,200)),""))&lt;&gt;"",IF(ISNUMBER(SEARCH("Party Name:-",'R.M Billets Reports'!D1134)),TRIM('R.M Billets Reports'!F1134),IF(ISNUMBER(SEARCH("Party Name-",'R.M Billets Reports'!D1134)),TRIM(MID('R.M Billets Reports'!D1134,SEARCH("-",'R.M Billets Reports'!D1134)+1,200)),"")),IF(ISNUMBER(SEARCH("Party Name:-",'R.M Billets Reports'!D1135)),TRIM('R.M Billets Reports'!F1135),IF(ISNUMBER(SEARCH("Party Name-",'R.M Billets Reports'!D1135)),TRIM(MID('R.M Billets Reports'!D1135,SEARCH("-",'R.M Billets Reports'!D1135)+1,200)),"")))="SHRI RADHE","SHREE RADHE",IF(IF(IF(ISNUMBER(SEARCH("Party Name:-",'R.M Billets Reports'!D1134)),TRIM('R.M Billets Reports'!F1134),IF(ISNUMBER(SEARCH("Party Name-",'R.M Billets Reports'!D1134)),TRIM(MID('R.M Billets Reports'!D1134,SEARCH("-",'R.M Billets Reports'!D1134)+1,200)),""))&lt;&gt;"",IF(ISNUMBER(SEARCH("Party Name:-",'R.M Billets Reports'!D1134)),TRIM('R.M Billets Reports'!F1134),IF(ISNUMBER(SEARCH("Party Name-",'R.M Billets Reports'!D1134)),TRIM(MID('R.M Billets Reports'!D1134,SEARCH("-",'R.M Billets Reports'!D1134)+1,200)),"")),IF(ISNUMBER(SEARCH("Party Name:-",'R.M Billets Reports'!D1135)),TRIM('R.M Billets Reports'!F1135),IF(ISNUMBER(SEARCH("Party Name-",'R.M Billets Reports'!D1135)),TRIM(MID('R.M Billets Reports'!D1135,SEARCH("-",'R.M Billets Reports'!D1135)+1,200)),"")))="SHREE RADHE SHAKTI SPONGE AND POWER PVT. LTD.","SHREE RADHE",IF(IF(ISNUMBER(SEARCH("Party Name:-",'R.M Billets Reports'!D1134)),TRIM('R.M Billets Reports'!F1134),IF(ISNUMBER(SEARCH("Party Name-",'R.M Billets Reports'!D1134)),TRIM(MID('R.M Billets Reports'!D1134,SEARCH("-",'R.M Billets Reports'!D1134)+1,200)),""))&lt;&gt;"",IF(ISNUMBER(SEARCH("Party Name:-",'R.M Billets Reports'!D1134)),TRIM('R.M Billets Reports'!F1134),IF(ISNUMBER(SEARCH("Party Name-",'R.M Billets Reports'!D1134)),TRIM(MID('R.M Billets Reports'!D1134,SEARCH("-",'R.M Billets Reports'!D1134)+1,200)),"")),IF(ISNUMBER(SEARCH("Party Name:-",'R.M Billets Reports'!D1135)),TRIM('R.M Billets Reports'!F1135),IF(ISNUMBER(SEARCH("Party Name-",'R.M Billets Reports'!D1135)),TRIM(MID('R.M Billets Reports'!D1135,SEARCH("-",'R.M Billets Reports'!D1135)+1,200)),"")))))),IF(ROW()=2,"",A1134))</f>
      </c>
      <c r="B1135">
        <f>IF(OR('R.M Billets Reports'!A1134="Date-",'R.M Billets Reports'!A1134="Date:-"),'R.M Billets Reports'!B1134,IF(ROW()=2,"",B1134))</f>
      </c>
      <c r="C1135">
        <f>IF('R.M Billets Reports'!A1134="V.No.",'R.M Billets Reports'!B1134,IF(ROW()=2,"",C1134))</f>
      </c>
      <c r="D1135">
        <f>IF('R.M Billets Reports'!A1134&lt;&gt;"",'R.M Billets Reports'!A1134,IF(ROW()=2,"",D1134))</f>
      </c>
      <c r="E1135">
        <f>IF('R.M Billets Reports'!B1134="","",TRIM('R.M Billets Reports'!B1134))</f>
      </c>
      <c r="F1135">
        <f>'R.M Billets Reports'!C1134</f>
      </c>
      <c r="G1135">
        <f>'R.M Billets Reports'!D1134</f>
      </c>
      <c r="H1135">
        <f>'R.M Billets Reports'!E1134</f>
      </c>
      <c r="I1135">
        <f>'R.M Billets Reports'!F1134</f>
      </c>
      <c r="J1135">
        <f>'R.M Billets Reports'!G1134</f>
      </c>
      <c r="K1135">
        <f>'R.M Billets Reports'!H1134</f>
      </c>
      <c r="L1135">
        <f>IF('R.M Billets Reports'!I1134="","",'R.M Billets Reports'!I1134)</f>
      </c>
      <c r="M1135">
        <f t="shared" si="34"/>
      </c>
      <c r="N1135">
        <f>IF('R.M Billets Reports'!J1134="","",'R.M Billets Reports'!J1134)</f>
      </c>
      <c r="O1135">
        <f t="shared" si="35"/>
      </c>
      <c r="P1135">
        <f>IF('R.M Billets Reports'!A1134="SIZE",'R.M Billets Reports'!B1134,P1134)</f>
      </c>
    </row>
    <row r="1136" spans="1:16" x14ac:dyDescent="0.25">
      <c r="A1136">
        <f>IF(OR('R.M Billets Reports'!A1135="Date-",'R.M Billets Reports'!A1135="Date:-"),IF(IF(IF(ISNUMBER(SEARCH("Party Name:-",'R.M Billets Reports'!D1135)),TRIM('R.M Billets Reports'!F1135),IF(ISNUMBER(SEARCH("Party Name-",'R.M Billets Reports'!D1135)),TRIM(MID('R.M Billets Reports'!D1135,SEARCH("-",'R.M Billets Reports'!D1135)+1,200)),""))&lt;&gt;"",IF(ISNUMBER(SEARCH("Party Name:-",'R.M Billets Reports'!D1135)),TRIM('R.M Billets Reports'!F1135),IF(ISNUMBER(SEARCH("Party Name-",'R.M Billets Reports'!D1135)),TRIM(MID('R.M Billets Reports'!D1135,SEARCH("-",'R.M Billets Reports'!D1135)+1,200)),"")),IF(ISNUMBER(SEARCH("Party Name:-",'R.M Billets Reports'!D1136)),TRIM('R.M Billets Reports'!F1136),IF(ISNUMBER(SEARCH("Party Name-",'R.M Billets Reports'!D1136)),TRIM(MID('R.M Billets Reports'!D1136,SEARCH("-",'R.M Billets Reports'!D1136)+1,200)),"")))="VRKP ISPAT PVT LTD","VRKP",IF(IF(IF(ISNUMBER(SEARCH("Party Name:-",'R.M Billets Reports'!D1135)),TRIM('R.M Billets Reports'!F1135),IF(ISNUMBER(SEARCH("Party Name-",'R.M Billets Reports'!D1135)),TRIM(MID('R.M Billets Reports'!D1135,SEARCH("-",'R.M Billets Reports'!D1135)+1,200)),""))&lt;&gt;"",IF(ISNUMBER(SEARCH("Party Name:-",'R.M Billets Reports'!D1135)),TRIM('R.M Billets Reports'!F1135),IF(ISNUMBER(SEARCH("Party Name-",'R.M Billets Reports'!D1135)),TRIM(MID('R.M Billets Reports'!D1135,SEARCH("-",'R.M Billets Reports'!D1135)+1,200)),"")),IF(ISNUMBER(SEARCH("Party Name:-",'R.M Billets Reports'!D1136)),TRIM('R.M Billets Reports'!F1136),IF(ISNUMBER(SEARCH("Party Name-",'R.M Billets Reports'!D1136)),TRIM(MID('R.M Billets Reports'!D1136,SEARCH("-",'R.M Billets Reports'!D1136)+1,200)),"")))="SHRI RADHE","SHREE RADHE",IF(IF(IF(ISNUMBER(SEARCH("Party Name:-",'R.M Billets Reports'!D1135)),TRIM('R.M Billets Reports'!F1135),IF(ISNUMBER(SEARCH("Party Name-",'R.M Billets Reports'!D1135)),TRIM(MID('R.M Billets Reports'!D1135,SEARCH("-",'R.M Billets Reports'!D1135)+1,200)),""))&lt;&gt;"",IF(ISNUMBER(SEARCH("Party Name:-",'R.M Billets Reports'!D1135)),TRIM('R.M Billets Reports'!F1135),IF(ISNUMBER(SEARCH("Party Name-",'R.M Billets Reports'!D1135)),TRIM(MID('R.M Billets Reports'!D1135,SEARCH("-",'R.M Billets Reports'!D1135)+1,200)),"")),IF(ISNUMBER(SEARCH("Party Name:-",'R.M Billets Reports'!D1136)),TRIM('R.M Billets Reports'!F1136),IF(ISNUMBER(SEARCH("Party Name-",'R.M Billets Reports'!D1136)),TRIM(MID('R.M Billets Reports'!D1136,SEARCH("-",'R.M Billets Reports'!D1136)+1,200)),"")))="SHREE RADHE SHAKTI SPONGE AND POWER PVT. LTD.","SHREE RADHE",IF(IF(ISNUMBER(SEARCH("Party Name:-",'R.M Billets Reports'!D1135)),TRIM('R.M Billets Reports'!F1135),IF(ISNUMBER(SEARCH("Party Name-",'R.M Billets Reports'!D1135)),TRIM(MID('R.M Billets Reports'!D1135,SEARCH("-",'R.M Billets Reports'!D1135)+1,200)),""))&lt;&gt;"",IF(ISNUMBER(SEARCH("Party Name:-",'R.M Billets Reports'!D1135)),TRIM('R.M Billets Reports'!F1135),IF(ISNUMBER(SEARCH("Party Name-",'R.M Billets Reports'!D1135)),TRIM(MID('R.M Billets Reports'!D1135,SEARCH("-",'R.M Billets Reports'!D1135)+1,200)),"")),IF(ISNUMBER(SEARCH("Party Name:-",'R.M Billets Reports'!D1136)),TRIM('R.M Billets Reports'!F1136),IF(ISNUMBER(SEARCH("Party Name-",'R.M Billets Reports'!D1136)),TRIM(MID('R.M Billets Reports'!D1136,SEARCH("-",'R.M Billets Reports'!D1136)+1,200)),"")))))),IF(ROW()=2,"",A1135))</f>
      </c>
      <c r="B1136">
        <f>IF(OR('R.M Billets Reports'!A1135="Date-",'R.M Billets Reports'!A1135="Date:-"),'R.M Billets Reports'!B1135,IF(ROW()=2,"",B1135))</f>
      </c>
      <c r="C1136">
        <f>IF('R.M Billets Reports'!A1135="V.No.",'R.M Billets Reports'!B1135,IF(ROW()=2,"",C1135))</f>
      </c>
      <c r="D1136">
        <f>IF('R.M Billets Reports'!A1135&lt;&gt;"",'R.M Billets Reports'!A1135,IF(ROW()=2,"",D1135))</f>
      </c>
      <c r="E1136">
        <f>IF('R.M Billets Reports'!B1135="","",TRIM('R.M Billets Reports'!B1135))</f>
      </c>
      <c r="F1136">
        <f>'R.M Billets Reports'!C1135</f>
      </c>
      <c r="G1136">
        <f>'R.M Billets Reports'!D1135</f>
      </c>
      <c r="H1136">
        <f>'R.M Billets Reports'!E1135</f>
      </c>
      <c r="I1136">
        <f>'R.M Billets Reports'!F1135</f>
      </c>
      <c r="J1136">
        <f>'R.M Billets Reports'!G1135</f>
      </c>
      <c r="K1136">
        <f>'R.M Billets Reports'!H1135</f>
      </c>
      <c r="L1136">
        <f>IF('R.M Billets Reports'!I1135="","",'R.M Billets Reports'!I1135)</f>
      </c>
      <c r="M1136">
        <f t="shared" si="34"/>
      </c>
      <c r="N1136">
        <f>IF('R.M Billets Reports'!J1135="","",'R.M Billets Reports'!J1135)</f>
      </c>
      <c r="O1136">
        <f t="shared" si="35"/>
      </c>
      <c r="P1136">
        <f>IF('R.M Billets Reports'!A1135="SIZE",'R.M Billets Reports'!B1135,P1135)</f>
      </c>
    </row>
    <row r="1137" spans="1:16" x14ac:dyDescent="0.25">
      <c r="A1137">
        <f>IF(OR('R.M Billets Reports'!A1136="Date-",'R.M Billets Reports'!A1136="Date:-"),IF(IF(IF(ISNUMBER(SEARCH("Party Name:-",'R.M Billets Reports'!D1136)),TRIM('R.M Billets Reports'!F1136),IF(ISNUMBER(SEARCH("Party Name-",'R.M Billets Reports'!D1136)),TRIM(MID('R.M Billets Reports'!D1136,SEARCH("-",'R.M Billets Reports'!D1136)+1,200)),""))&lt;&gt;"",IF(ISNUMBER(SEARCH("Party Name:-",'R.M Billets Reports'!D1136)),TRIM('R.M Billets Reports'!F1136),IF(ISNUMBER(SEARCH("Party Name-",'R.M Billets Reports'!D1136)),TRIM(MID('R.M Billets Reports'!D1136,SEARCH("-",'R.M Billets Reports'!D1136)+1,200)),"")),IF(ISNUMBER(SEARCH("Party Name:-",'R.M Billets Reports'!D1137)),TRIM('R.M Billets Reports'!F1137),IF(ISNUMBER(SEARCH("Party Name-",'R.M Billets Reports'!D1137)),TRIM(MID('R.M Billets Reports'!D1137,SEARCH("-",'R.M Billets Reports'!D1137)+1,200)),"")))="VRKP ISPAT PVT LTD","VRKP",IF(IF(IF(ISNUMBER(SEARCH("Party Name:-",'R.M Billets Reports'!D1136)),TRIM('R.M Billets Reports'!F1136),IF(ISNUMBER(SEARCH("Party Name-",'R.M Billets Reports'!D1136)),TRIM(MID('R.M Billets Reports'!D1136,SEARCH("-",'R.M Billets Reports'!D1136)+1,200)),""))&lt;&gt;"",IF(ISNUMBER(SEARCH("Party Name:-",'R.M Billets Reports'!D1136)),TRIM('R.M Billets Reports'!F1136),IF(ISNUMBER(SEARCH("Party Name-",'R.M Billets Reports'!D1136)),TRIM(MID('R.M Billets Reports'!D1136,SEARCH("-",'R.M Billets Reports'!D1136)+1,200)),"")),IF(ISNUMBER(SEARCH("Party Name:-",'R.M Billets Reports'!D1137)),TRIM('R.M Billets Reports'!F1137),IF(ISNUMBER(SEARCH("Party Name-",'R.M Billets Reports'!D1137)),TRIM(MID('R.M Billets Reports'!D1137,SEARCH("-",'R.M Billets Reports'!D1137)+1,200)),"")))="SHRI RADHE","SHREE RADHE",IF(IF(IF(ISNUMBER(SEARCH("Party Name:-",'R.M Billets Reports'!D1136)),TRIM('R.M Billets Reports'!F1136),IF(ISNUMBER(SEARCH("Party Name-",'R.M Billets Reports'!D1136)),TRIM(MID('R.M Billets Reports'!D1136,SEARCH("-",'R.M Billets Reports'!D1136)+1,200)),""))&lt;&gt;"",IF(ISNUMBER(SEARCH("Party Name:-",'R.M Billets Reports'!D1136)),TRIM('R.M Billets Reports'!F1136),IF(ISNUMBER(SEARCH("Party Name-",'R.M Billets Reports'!D1136)),TRIM(MID('R.M Billets Reports'!D1136,SEARCH("-",'R.M Billets Reports'!D1136)+1,200)),"")),IF(ISNUMBER(SEARCH("Party Name:-",'R.M Billets Reports'!D1137)),TRIM('R.M Billets Reports'!F1137),IF(ISNUMBER(SEARCH("Party Name-",'R.M Billets Reports'!D1137)),TRIM(MID('R.M Billets Reports'!D1137,SEARCH("-",'R.M Billets Reports'!D1137)+1,200)),"")))="SHREE RADHE SHAKTI SPONGE AND POWER PVT. LTD.","SHREE RADHE",IF(IF(ISNUMBER(SEARCH("Party Name:-",'R.M Billets Reports'!D1136)),TRIM('R.M Billets Reports'!F1136),IF(ISNUMBER(SEARCH("Party Name-",'R.M Billets Reports'!D1136)),TRIM(MID('R.M Billets Reports'!D1136,SEARCH("-",'R.M Billets Reports'!D1136)+1,200)),""))&lt;&gt;"",IF(ISNUMBER(SEARCH("Party Name:-",'R.M Billets Reports'!D1136)),TRIM('R.M Billets Reports'!F1136),IF(ISNUMBER(SEARCH("Party Name-",'R.M Billets Reports'!D1136)),TRIM(MID('R.M Billets Reports'!D1136,SEARCH("-",'R.M Billets Reports'!D1136)+1,200)),"")),IF(ISNUMBER(SEARCH("Party Name:-",'R.M Billets Reports'!D1137)),TRIM('R.M Billets Reports'!F1137),IF(ISNUMBER(SEARCH("Party Name-",'R.M Billets Reports'!D1137)),TRIM(MID('R.M Billets Reports'!D1137,SEARCH("-",'R.M Billets Reports'!D1137)+1,200)),"")))))),IF(ROW()=2,"",A1136))</f>
      </c>
      <c r="B1137">
        <f>IF(OR('R.M Billets Reports'!A1136="Date-",'R.M Billets Reports'!A1136="Date:-"),'R.M Billets Reports'!B1136,IF(ROW()=2,"",B1136))</f>
      </c>
      <c r="C1137">
        <f>IF('R.M Billets Reports'!A1136="V.No.",'R.M Billets Reports'!B1136,IF(ROW()=2,"",C1136))</f>
      </c>
      <c r="D1137">
        <f>IF('R.M Billets Reports'!A1136&lt;&gt;"",'R.M Billets Reports'!A1136,IF(ROW()=2,"",D1136))</f>
      </c>
      <c r="E1137">
        <f>IF('R.M Billets Reports'!B1136="","",TRIM('R.M Billets Reports'!B1136))</f>
      </c>
      <c r="F1137">
        <f>'R.M Billets Reports'!C1136</f>
      </c>
      <c r="G1137">
        <f>'R.M Billets Reports'!D1136</f>
      </c>
      <c r="H1137">
        <f>'R.M Billets Reports'!E1136</f>
      </c>
      <c r="I1137">
        <f>'R.M Billets Reports'!F1136</f>
      </c>
      <c r="J1137">
        <f>'R.M Billets Reports'!G1136</f>
      </c>
      <c r="K1137">
        <f>'R.M Billets Reports'!H1136</f>
      </c>
      <c r="L1137">
        <f>IF('R.M Billets Reports'!I1136="","",'R.M Billets Reports'!I1136)</f>
      </c>
      <c r="M1137">
        <f t="shared" si="34"/>
      </c>
      <c r="N1137">
        <f>IF('R.M Billets Reports'!J1136="","",'R.M Billets Reports'!J1136)</f>
      </c>
      <c r="O1137">
        <f t="shared" si="35"/>
      </c>
      <c r="P1137">
        <f>IF('R.M Billets Reports'!A1136="SIZE",'R.M Billets Reports'!B1136,P1136)</f>
      </c>
    </row>
    <row r="1138" spans="1:16" x14ac:dyDescent="0.25">
      <c r="A1138">
        <f>IF(OR('R.M Billets Reports'!A1137="Date-",'R.M Billets Reports'!A1137="Date:-"),IF(IF(IF(ISNUMBER(SEARCH("Party Name:-",'R.M Billets Reports'!D1137)),TRIM('R.M Billets Reports'!F1137),IF(ISNUMBER(SEARCH("Party Name-",'R.M Billets Reports'!D1137)),TRIM(MID('R.M Billets Reports'!D1137,SEARCH("-",'R.M Billets Reports'!D1137)+1,200)),""))&lt;&gt;"",IF(ISNUMBER(SEARCH("Party Name:-",'R.M Billets Reports'!D1137)),TRIM('R.M Billets Reports'!F1137),IF(ISNUMBER(SEARCH("Party Name-",'R.M Billets Reports'!D1137)),TRIM(MID('R.M Billets Reports'!D1137,SEARCH("-",'R.M Billets Reports'!D1137)+1,200)),"")),IF(ISNUMBER(SEARCH("Party Name:-",'R.M Billets Reports'!D1138)),TRIM('R.M Billets Reports'!F1138),IF(ISNUMBER(SEARCH("Party Name-",'R.M Billets Reports'!D1138)),TRIM(MID('R.M Billets Reports'!D1138,SEARCH("-",'R.M Billets Reports'!D1138)+1,200)),"")))="VRKP ISPAT PVT LTD","VRKP",IF(IF(IF(ISNUMBER(SEARCH("Party Name:-",'R.M Billets Reports'!D1137)),TRIM('R.M Billets Reports'!F1137),IF(ISNUMBER(SEARCH("Party Name-",'R.M Billets Reports'!D1137)),TRIM(MID('R.M Billets Reports'!D1137,SEARCH("-",'R.M Billets Reports'!D1137)+1,200)),""))&lt;&gt;"",IF(ISNUMBER(SEARCH("Party Name:-",'R.M Billets Reports'!D1137)),TRIM('R.M Billets Reports'!F1137),IF(ISNUMBER(SEARCH("Party Name-",'R.M Billets Reports'!D1137)),TRIM(MID('R.M Billets Reports'!D1137,SEARCH("-",'R.M Billets Reports'!D1137)+1,200)),"")),IF(ISNUMBER(SEARCH("Party Name:-",'R.M Billets Reports'!D1138)),TRIM('R.M Billets Reports'!F1138),IF(ISNUMBER(SEARCH("Party Name-",'R.M Billets Reports'!D1138)),TRIM(MID('R.M Billets Reports'!D1138,SEARCH("-",'R.M Billets Reports'!D1138)+1,200)),"")))="SHRI RADHE","SHREE RADHE",IF(IF(IF(ISNUMBER(SEARCH("Party Name:-",'R.M Billets Reports'!D1137)),TRIM('R.M Billets Reports'!F1137),IF(ISNUMBER(SEARCH("Party Name-",'R.M Billets Reports'!D1137)),TRIM(MID('R.M Billets Reports'!D1137,SEARCH("-",'R.M Billets Reports'!D1137)+1,200)),""))&lt;&gt;"",IF(ISNUMBER(SEARCH("Party Name:-",'R.M Billets Reports'!D1137)),TRIM('R.M Billets Reports'!F1137),IF(ISNUMBER(SEARCH("Party Name-",'R.M Billets Reports'!D1137)),TRIM(MID('R.M Billets Reports'!D1137,SEARCH("-",'R.M Billets Reports'!D1137)+1,200)),"")),IF(ISNUMBER(SEARCH("Party Name:-",'R.M Billets Reports'!D1138)),TRIM('R.M Billets Reports'!F1138),IF(ISNUMBER(SEARCH("Party Name-",'R.M Billets Reports'!D1138)),TRIM(MID('R.M Billets Reports'!D1138,SEARCH("-",'R.M Billets Reports'!D1138)+1,200)),"")))="SHREE RADHE SHAKTI SPONGE AND POWER PVT. LTD.","SHREE RADHE",IF(IF(ISNUMBER(SEARCH("Party Name:-",'R.M Billets Reports'!D1137)),TRIM('R.M Billets Reports'!F1137),IF(ISNUMBER(SEARCH("Party Name-",'R.M Billets Reports'!D1137)),TRIM(MID('R.M Billets Reports'!D1137,SEARCH("-",'R.M Billets Reports'!D1137)+1,200)),""))&lt;&gt;"",IF(ISNUMBER(SEARCH("Party Name:-",'R.M Billets Reports'!D1137)),TRIM('R.M Billets Reports'!F1137),IF(ISNUMBER(SEARCH("Party Name-",'R.M Billets Reports'!D1137)),TRIM(MID('R.M Billets Reports'!D1137,SEARCH("-",'R.M Billets Reports'!D1137)+1,200)),"")),IF(ISNUMBER(SEARCH("Party Name:-",'R.M Billets Reports'!D1138)),TRIM('R.M Billets Reports'!F1138),IF(ISNUMBER(SEARCH("Party Name-",'R.M Billets Reports'!D1138)),TRIM(MID('R.M Billets Reports'!D1138,SEARCH("-",'R.M Billets Reports'!D1138)+1,200)),"")))))),IF(ROW()=2,"",A1137))</f>
      </c>
      <c r="B1138">
        <f>IF(OR('R.M Billets Reports'!A1137="Date-",'R.M Billets Reports'!A1137="Date:-"),'R.M Billets Reports'!B1137,IF(ROW()=2,"",B1137))</f>
      </c>
      <c r="C1138">
        <f>IF('R.M Billets Reports'!A1137="V.No.",'R.M Billets Reports'!B1137,IF(ROW()=2,"",C1137))</f>
      </c>
      <c r="D1138">
        <f>IF('R.M Billets Reports'!A1137&lt;&gt;"",'R.M Billets Reports'!A1137,IF(ROW()=2,"",D1137))</f>
      </c>
      <c r="E1138">
        <f>IF('R.M Billets Reports'!B1137="","",TRIM('R.M Billets Reports'!B1137))</f>
      </c>
      <c r="F1138">
        <f>'R.M Billets Reports'!C1137</f>
      </c>
      <c r="G1138">
        <f>'R.M Billets Reports'!D1137</f>
      </c>
      <c r="H1138">
        <f>'R.M Billets Reports'!E1137</f>
      </c>
      <c r="I1138">
        <f>'R.M Billets Reports'!F1137</f>
      </c>
      <c r="J1138">
        <f>'R.M Billets Reports'!G1137</f>
      </c>
      <c r="K1138">
        <f>'R.M Billets Reports'!H1137</f>
      </c>
      <c r="L1138">
        <f>IF('R.M Billets Reports'!I1137="","",'R.M Billets Reports'!I1137)</f>
      </c>
      <c r="M1138">
        <f t="shared" si="34"/>
      </c>
      <c r="N1138">
        <f>IF('R.M Billets Reports'!J1137="","",'R.M Billets Reports'!J1137)</f>
      </c>
      <c r="O1138">
        <f t="shared" si="35"/>
      </c>
      <c r="P1138">
        <f>IF('R.M Billets Reports'!A1137="SIZE",'R.M Billets Reports'!B1137,P1137)</f>
      </c>
    </row>
    <row r="1139" spans="1:16" x14ac:dyDescent="0.25">
      <c r="A1139">
        <f>IF(OR('R.M Billets Reports'!A1138="Date-",'R.M Billets Reports'!A1138="Date:-"),IF(IF(IF(ISNUMBER(SEARCH("Party Name:-",'R.M Billets Reports'!D1138)),TRIM('R.M Billets Reports'!F1138),IF(ISNUMBER(SEARCH("Party Name-",'R.M Billets Reports'!D1138)),TRIM(MID('R.M Billets Reports'!D1138,SEARCH("-",'R.M Billets Reports'!D1138)+1,200)),""))&lt;&gt;"",IF(ISNUMBER(SEARCH("Party Name:-",'R.M Billets Reports'!D1138)),TRIM('R.M Billets Reports'!F1138),IF(ISNUMBER(SEARCH("Party Name-",'R.M Billets Reports'!D1138)),TRIM(MID('R.M Billets Reports'!D1138,SEARCH("-",'R.M Billets Reports'!D1138)+1,200)),"")),IF(ISNUMBER(SEARCH("Party Name:-",'R.M Billets Reports'!D1139)),TRIM('R.M Billets Reports'!F1139),IF(ISNUMBER(SEARCH("Party Name-",'R.M Billets Reports'!D1139)),TRIM(MID('R.M Billets Reports'!D1139,SEARCH("-",'R.M Billets Reports'!D1139)+1,200)),"")))="VRKP ISPAT PVT LTD","VRKP",IF(IF(IF(ISNUMBER(SEARCH("Party Name:-",'R.M Billets Reports'!D1138)),TRIM('R.M Billets Reports'!F1138),IF(ISNUMBER(SEARCH("Party Name-",'R.M Billets Reports'!D1138)),TRIM(MID('R.M Billets Reports'!D1138,SEARCH("-",'R.M Billets Reports'!D1138)+1,200)),""))&lt;&gt;"",IF(ISNUMBER(SEARCH("Party Name:-",'R.M Billets Reports'!D1138)),TRIM('R.M Billets Reports'!F1138),IF(ISNUMBER(SEARCH("Party Name-",'R.M Billets Reports'!D1138)),TRIM(MID('R.M Billets Reports'!D1138,SEARCH("-",'R.M Billets Reports'!D1138)+1,200)),"")),IF(ISNUMBER(SEARCH("Party Name:-",'R.M Billets Reports'!D1139)),TRIM('R.M Billets Reports'!F1139),IF(ISNUMBER(SEARCH("Party Name-",'R.M Billets Reports'!D1139)),TRIM(MID('R.M Billets Reports'!D1139,SEARCH("-",'R.M Billets Reports'!D1139)+1,200)),"")))="SHRI RADHE","SHREE RADHE",IF(IF(IF(ISNUMBER(SEARCH("Party Name:-",'R.M Billets Reports'!D1138)),TRIM('R.M Billets Reports'!F1138),IF(ISNUMBER(SEARCH("Party Name-",'R.M Billets Reports'!D1138)),TRIM(MID('R.M Billets Reports'!D1138,SEARCH("-",'R.M Billets Reports'!D1138)+1,200)),""))&lt;&gt;"",IF(ISNUMBER(SEARCH("Party Name:-",'R.M Billets Reports'!D1138)),TRIM('R.M Billets Reports'!F1138),IF(ISNUMBER(SEARCH("Party Name-",'R.M Billets Reports'!D1138)),TRIM(MID('R.M Billets Reports'!D1138,SEARCH("-",'R.M Billets Reports'!D1138)+1,200)),"")),IF(ISNUMBER(SEARCH("Party Name:-",'R.M Billets Reports'!D1139)),TRIM('R.M Billets Reports'!F1139),IF(ISNUMBER(SEARCH("Party Name-",'R.M Billets Reports'!D1139)),TRIM(MID('R.M Billets Reports'!D1139,SEARCH("-",'R.M Billets Reports'!D1139)+1,200)),"")))="SHREE RADHE SHAKTI SPONGE AND POWER PVT. LTD.","SHREE RADHE",IF(IF(ISNUMBER(SEARCH("Party Name:-",'R.M Billets Reports'!D1138)),TRIM('R.M Billets Reports'!F1138),IF(ISNUMBER(SEARCH("Party Name-",'R.M Billets Reports'!D1138)),TRIM(MID('R.M Billets Reports'!D1138,SEARCH("-",'R.M Billets Reports'!D1138)+1,200)),""))&lt;&gt;"",IF(ISNUMBER(SEARCH("Party Name:-",'R.M Billets Reports'!D1138)),TRIM('R.M Billets Reports'!F1138),IF(ISNUMBER(SEARCH("Party Name-",'R.M Billets Reports'!D1138)),TRIM(MID('R.M Billets Reports'!D1138,SEARCH("-",'R.M Billets Reports'!D1138)+1,200)),"")),IF(ISNUMBER(SEARCH("Party Name:-",'R.M Billets Reports'!D1139)),TRIM('R.M Billets Reports'!F1139),IF(ISNUMBER(SEARCH("Party Name-",'R.M Billets Reports'!D1139)),TRIM(MID('R.M Billets Reports'!D1139,SEARCH("-",'R.M Billets Reports'!D1139)+1,200)),"")))))),IF(ROW()=2,"",A1138))</f>
      </c>
      <c r="B1139">
        <f>IF(OR('R.M Billets Reports'!A1138="Date-",'R.M Billets Reports'!A1138="Date:-"),'R.M Billets Reports'!B1138,IF(ROW()=2,"",B1138))</f>
      </c>
      <c r="C1139">
        <f>IF('R.M Billets Reports'!A1138="V.No.",'R.M Billets Reports'!B1138,IF(ROW()=2,"",C1138))</f>
      </c>
      <c r="D1139">
        <f>IF('R.M Billets Reports'!A1138&lt;&gt;"",'R.M Billets Reports'!A1138,IF(ROW()=2,"",D1138))</f>
      </c>
      <c r="E1139">
        <f>IF('R.M Billets Reports'!B1138="","",TRIM('R.M Billets Reports'!B1138))</f>
      </c>
      <c r="F1139">
        <f>'R.M Billets Reports'!C1138</f>
      </c>
      <c r="G1139">
        <f>'R.M Billets Reports'!D1138</f>
      </c>
      <c r="H1139">
        <f>'R.M Billets Reports'!E1138</f>
      </c>
      <c r="I1139">
        <f>'R.M Billets Reports'!F1138</f>
      </c>
      <c r="J1139">
        <f>'R.M Billets Reports'!G1138</f>
      </c>
      <c r="K1139">
        <f>'R.M Billets Reports'!H1138</f>
      </c>
      <c r="L1139">
        <f>IF('R.M Billets Reports'!I1138="","",'R.M Billets Reports'!I1138)</f>
      </c>
      <c r="M1139">
        <f t="shared" si="34"/>
      </c>
      <c r="N1139">
        <f>IF('R.M Billets Reports'!J1138="","",'R.M Billets Reports'!J1138)</f>
      </c>
      <c r="O1139">
        <f t="shared" si="35"/>
      </c>
      <c r="P1139">
        <f>IF('R.M Billets Reports'!A1138="SIZE",'R.M Billets Reports'!B1138,P1138)</f>
      </c>
    </row>
    <row r="1140" spans="1:16" x14ac:dyDescent="0.25">
      <c r="A1140">
        <f>IF(OR('R.M Billets Reports'!A1139="Date-",'R.M Billets Reports'!A1139="Date:-"),IF(IF(IF(ISNUMBER(SEARCH("Party Name:-",'R.M Billets Reports'!D1139)),TRIM('R.M Billets Reports'!F1139),IF(ISNUMBER(SEARCH("Party Name-",'R.M Billets Reports'!D1139)),TRIM(MID('R.M Billets Reports'!D1139,SEARCH("-",'R.M Billets Reports'!D1139)+1,200)),""))&lt;&gt;"",IF(ISNUMBER(SEARCH("Party Name:-",'R.M Billets Reports'!D1139)),TRIM('R.M Billets Reports'!F1139),IF(ISNUMBER(SEARCH("Party Name-",'R.M Billets Reports'!D1139)),TRIM(MID('R.M Billets Reports'!D1139,SEARCH("-",'R.M Billets Reports'!D1139)+1,200)),"")),IF(ISNUMBER(SEARCH("Party Name:-",'R.M Billets Reports'!D1140)),TRIM('R.M Billets Reports'!F1140),IF(ISNUMBER(SEARCH("Party Name-",'R.M Billets Reports'!D1140)),TRIM(MID('R.M Billets Reports'!D1140,SEARCH("-",'R.M Billets Reports'!D1140)+1,200)),"")))="VRKP ISPAT PVT LTD","VRKP",IF(IF(IF(ISNUMBER(SEARCH("Party Name:-",'R.M Billets Reports'!D1139)),TRIM('R.M Billets Reports'!F1139),IF(ISNUMBER(SEARCH("Party Name-",'R.M Billets Reports'!D1139)),TRIM(MID('R.M Billets Reports'!D1139,SEARCH("-",'R.M Billets Reports'!D1139)+1,200)),""))&lt;&gt;"",IF(ISNUMBER(SEARCH("Party Name:-",'R.M Billets Reports'!D1139)),TRIM('R.M Billets Reports'!F1139),IF(ISNUMBER(SEARCH("Party Name-",'R.M Billets Reports'!D1139)),TRIM(MID('R.M Billets Reports'!D1139,SEARCH("-",'R.M Billets Reports'!D1139)+1,200)),"")),IF(ISNUMBER(SEARCH("Party Name:-",'R.M Billets Reports'!D1140)),TRIM('R.M Billets Reports'!F1140),IF(ISNUMBER(SEARCH("Party Name-",'R.M Billets Reports'!D1140)),TRIM(MID('R.M Billets Reports'!D1140,SEARCH("-",'R.M Billets Reports'!D1140)+1,200)),"")))="SHRI RADHE","SHREE RADHE",IF(IF(IF(ISNUMBER(SEARCH("Party Name:-",'R.M Billets Reports'!D1139)),TRIM('R.M Billets Reports'!F1139),IF(ISNUMBER(SEARCH("Party Name-",'R.M Billets Reports'!D1139)),TRIM(MID('R.M Billets Reports'!D1139,SEARCH("-",'R.M Billets Reports'!D1139)+1,200)),""))&lt;&gt;"",IF(ISNUMBER(SEARCH("Party Name:-",'R.M Billets Reports'!D1139)),TRIM('R.M Billets Reports'!F1139),IF(ISNUMBER(SEARCH("Party Name-",'R.M Billets Reports'!D1139)),TRIM(MID('R.M Billets Reports'!D1139,SEARCH("-",'R.M Billets Reports'!D1139)+1,200)),"")),IF(ISNUMBER(SEARCH("Party Name:-",'R.M Billets Reports'!D1140)),TRIM('R.M Billets Reports'!F1140),IF(ISNUMBER(SEARCH("Party Name-",'R.M Billets Reports'!D1140)),TRIM(MID('R.M Billets Reports'!D1140,SEARCH("-",'R.M Billets Reports'!D1140)+1,200)),"")))="SHREE RADHE SHAKTI SPONGE AND POWER PVT. LTD.","SHREE RADHE",IF(IF(ISNUMBER(SEARCH("Party Name:-",'R.M Billets Reports'!D1139)),TRIM('R.M Billets Reports'!F1139),IF(ISNUMBER(SEARCH("Party Name-",'R.M Billets Reports'!D1139)),TRIM(MID('R.M Billets Reports'!D1139,SEARCH("-",'R.M Billets Reports'!D1139)+1,200)),""))&lt;&gt;"",IF(ISNUMBER(SEARCH("Party Name:-",'R.M Billets Reports'!D1139)),TRIM('R.M Billets Reports'!F1139),IF(ISNUMBER(SEARCH("Party Name-",'R.M Billets Reports'!D1139)),TRIM(MID('R.M Billets Reports'!D1139,SEARCH("-",'R.M Billets Reports'!D1139)+1,200)),"")),IF(ISNUMBER(SEARCH("Party Name:-",'R.M Billets Reports'!D1140)),TRIM('R.M Billets Reports'!F1140),IF(ISNUMBER(SEARCH("Party Name-",'R.M Billets Reports'!D1140)),TRIM(MID('R.M Billets Reports'!D1140,SEARCH("-",'R.M Billets Reports'!D1140)+1,200)),"")))))),IF(ROW()=2,"",A1139))</f>
      </c>
      <c r="B1140">
        <f>IF(OR('R.M Billets Reports'!A1139="Date-",'R.M Billets Reports'!A1139="Date:-"),'R.M Billets Reports'!B1139,IF(ROW()=2,"",B1139))</f>
      </c>
      <c r="C1140">
        <f>IF('R.M Billets Reports'!A1139="V.No.",'R.M Billets Reports'!B1139,IF(ROW()=2,"",C1139))</f>
      </c>
      <c r="D1140">
        <f>IF('R.M Billets Reports'!A1139&lt;&gt;"",'R.M Billets Reports'!A1139,IF(ROW()=2,"",D1139))</f>
      </c>
      <c r="E1140">
        <f>IF('R.M Billets Reports'!B1139="","",TRIM('R.M Billets Reports'!B1139))</f>
      </c>
      <c r="F1140">
        <f>'R.M Billets Reports'!C1139</f>
      </c>
      <c r="G1140">
        <f>'R.M Billets Reports'!D1139</f>
      </c>
      <c r="H1140">
        <f>'R.M Billets Reports'!E1139</f>
      </c>
      <c r="I1140">
        <f>'R.M Billets Reports'!F1139</f>
      </c>
      <c r="J1140">
        <f>'R.M Billets Reports'!G1139</f>
      </c>
      <c r="K1140">
        <f>'R.M Billets Reports'!H1139</f>
      </c>
      <c r="L1140">
        <f>IF('R.M Billets Reports'!I1139="","",'R.M Billets Reports'!I1139)</f>
      </c>
      <c r="M1140">
        <f t="shared" si="34"/>
      </c>
      <c r="N1140">
        <f>IF('R.M Billets Reports'!J1139="","",'R.M Billets Reports'!J1139)</f>
      </c>
      <c r="O1140">
        <f t="shared" si="35"/>
      </c>
      <c r="P1140">
        <f>IF('R.M Billets Reports'!A1139="SIZE",'R.M Billets Reports'!B1139,P1139)</f>
      </c>
    </row>
    <row r="1141" spans="1:16" x14ac:dyDescent="0.25">
      <c r="A1141">
        <f>IF(OR('R.M Billets Reports'!A1140="Date-",'R.M Billets Reports'!A1140="Date:-"),IF(IF(IF(ISNUMBER(SEARCH("Party Name:-",'R.M Billets Reports'!D1140)),TRIM('R.M Billets Reports'!F1140),IF(ISNUMBER(SEARCH("Party Name-",'R.M Billets Reports'!D1140)),TRIM(MID('R.M Billets Reports'!D1140,SEARCH("-",'R.M Billets Reports'!D1140)+1,200)),""))&lt;&gt;"",IF(ISNUMBER(SEARCH("Party Name:-",'R.M Billets Reports'!D1140)),TRIM('R.M Billets Reports'!F1140),IF(ISNUMBER(SEARCH("Party Name-",'R.M Billets Reports'!D1140)),TRIM(MID('R.M Billets Reports'!D1140,SEARCH("-",'R.M Billets Reports'!D1140)+1,200)),"")),IF(ISNUMBER(SEARCH("Party Name:-",'R.M Billets Reports'!D1141)),TRIM('R.M Billets Reports'!F1141),IF(ISNUMBER(SEARCH("Party Name-",'R.M Billets Reports'!D1141)),TRIM(MID('R.M Billets Reports'!D1141,SEARCH("-",'R.M Billets Reports'!D1141)+1,200)),"")))="VRKP ISPAT PVT LTD","VRKP",IF(IF(IF(ISNUMBER(SEARCH("Party Name:-",'R.M Billets Reports'!D1140)),TRIM('R.M Billets Reports'!F1140),IF(ISNUMBER(SEARCH("Party Name-",'R.M Billets Reports'!D1140)),TRIM(MID('R.M Billets Reports'!D1140,SEARCH("-",'R.M Billets Reports'!D1140)+1,200)),""))&lt;&gt;"",IF(ISNUMBER(SEARCH("Party Name:-",'R.M Billets Reports'!D1140)),TRIM('R.M Billets Reports'!F1140),IF(ISNUMBER(SEARCH("Party Name-",'R.M Billets Reports'!D1140)),TRIM(MID('R.M Billets Reports'!D1140,SEARCH("-",'R.M Billets Reports'!D1140)+1,200)),"")),IF(ISNUMBER(SEARCH("Party Name:-",'R.M Billets Reports'!D1141)),TRIM('R.M Billets Reports'!F1141),IF(ISNUMBER(SEARCH("Party Name-",'R.M Billets Reports'!D1141)),TRIM(MID('R.M Billets Reports'!D1141,SEARCH("-",'R.M Billets Reports'!D1141)+1,200)),"")))="SHRI RADHE","SHREE RADHE",IF(IF(IF(ISNUMBER(SEARCH("Party Name:-",'R.M Billets Reports'!D1140)),TRIM('R.M Billets Reports'!F1140),IF(ISNUMBER(SEARCH("Party Name-",'R.M Billets Reports'!D1140)),TRIM(MID('R.M Billets Reports'!D1140,SEARCH("-",'R.M Billets Reports'!D1140)+1,200)),""))&lt;&gt;"",IF(ISNUMBER(SEARCH("Party Name:-",'R.M Billets Reports'!D1140)),TRIM('R.M Billets Reports'!F1140),IF(ISNUMBER(SEARCH("Party Name-",'R.M Billets Reports'!D1140)),TRIM(MID('R.M Billets Reports'!D1140,SEARCH("-",'R.M Billets Reports'!D1140)+1,200)),"")),IF(ISNUMBER(SEARCH("Party Name:-",'R.M Billets Reports'!D1141)),TRIM('R.M Billets Reports'!F1141),IF(ISNUMBER(SEARCH("Party Name-",'R.M Billets Reports'!D1141)),TRIM(MID('R.M Billets Reports'!D1141,SEARCH("-",'R.M Billets Reports'!D1141)+1,200)),"")))="SHREE RADHE SHAKTI SPONGE AND POWER PVT. LTD.","SHREE RADHE",IF(IF(ISNUMBER(SEARCH("Party Name:-",'R.M Billets Reports'!D1140)),TRIM('R.M Billets Reports'!F1140),IF(ISNUMBER(SEARCH("Party Name-",'R.M Billets Reports'!D1140)),TRIM(MID('R.M Billets Reports'!D1140,SEARCH("-",'R.M Billets Reports'!D1140)+1,200)),""))&lt;&gt;"",IF(ISNUMBER(SEARCH("Party Name:-",'R.M Billets Reports'!D1140)),TRIM('R.M Billets Reports'!F1140),IF(ISNUMBER(SEARCH("Party Name-",'R.M Billets Reports'!D1140)),TRIM(MID('R.M Billets Reports'!D1140,SEARCH("-",'R.M Billets Reports'!D1140)+1,200)),"")),IF(ISNUMBER(SEARCH("Party Name:-",'R.M Billets Reports'!D1141)),TRIM('R.M Billets Reports'!F1141),IF(ISNUMBER(SEARCH("Party Name-",'R.M Billets Reports'!D1141)),TRIM(MID('R.M Billets Reports'!D1141,SEARCH("-",'R.M Billets Reports'!D1141)+1,200)),"")))))),IF(ROW()=2,"",A1140))</f>
      </c>
      <c r="B1141">
        <f>IF(OR('R.M Billets Reports'!A1140="Date-",'R.M Billets Reports'!A1140="Date:-"),'R.M Billets Reports'!B1140,IF(ROW()=2,"",B1140))</f>
      </c>
      <c r="C1141">
        <f>IF('R.M Billets Reports'!A1140="V.No.",'R.M Billets Reports'!B1140,IF(ROW()=2,"",C1140))</f>
      </c>
      <c r="D1141">
        <f>IF('R.M Billets Reports'!A1140&lt;&gt;"",'R.M Billets Reports'!A1140,IF(ROW()=2,"",D1140))</f>
      </c>
      <c r="E1141">
        <f>IF('R.M Billets Reports'!B1140="","",TRIM('R.M Billets Reports'!B1140))</f>
      </c>
      <c r="F1141">
        <f>'R.M Billets Reports'!C1140</f>
      </c>
      <c r="G1141">
        <f>'R.M Billets Reports'!D1140</f>
      </c>
      <c r="H1141">
        <f>'R.M Billets Reports'!E1140</f>
      </c>
      <c r="I1141">
        <f>'R.M Billets Reports'!F1140</f>
      </c>
      <c r="J1141">
        <f>'R.M Billets Reports'!G1140</f>
      </c>
      <c r="K1141">
        <f>'R.M Billets Reports'!H1140</f>
      </c>
      <c r="L1141">
        <f>IF('R.M Billets Reports'!I1140="","",'R.M Billets Reports'!I1140)</f>
      </c>
      <c r="M1141">
        <f t="shared" si="34"/>
      </c>
      <c r="N1141">
        <f>IF('R.M Billets Reports'!J1140="","",'R.M Billets Reports'!J1140)</f>
      </c>
      <c r="O1141">
        <f t="shared" si="35"/>
      </c>
      <c r="P1141">
        <f>IF('R.M Billets Reports'!A1140="SIZE",'R.M Billets Reports'!B1140,P1140)</f>
      </c>
    </row>
    <row r="1142" spans="1:16" x14ac:dyDescent="0.25">
      <c r="A1142">
        <f>IF(OR('R.M Billets Reports'!A1141="Date-",'R.M Billets Reports'!A1141="Date:-"),IF(IF(IF(ISNUMBER(SEARCH("Party Name:-",'R.M Billets Reports'!D1141)),TRIM('R.M Billets Reports'!F1141),IF(ISNUMBER(SEARCH("Party Name-",'R.M Billets Reports'!D1141)),TRIM(MID('R.M Billets Reports'!D1141,SEARCH("-",'R.M Billets Reports'!D1141)+1,200)),""))&lt;&gt;"",IF(ISNUMBER(SEARCH("Party Name:-",'R.M Billets Reports'!D1141)),TRIM('R.M Billets Reports'!F1141),IF(ISNUMBER(SEARCH("Party Name-",'R.M Billets Reports'!D1141)),TRIM(MID('R.M Billets Reports'!D1141,SEARCH("-",'R.M Billets Reports'!D1141)+1,200)),"")),IF(ISNUMBER(SEARCH("Party Name:-",'R.M Billets Reports'!D1142)),TRIM('R.M Billets Reports'!F1142),IF(ISNUMBER(SEARCH("Party Name-",'R.M Billets Reports'!D1142)),TRIM(MID('R.M Billets Reports'!D1142,SEARCH("-",'R.M Billets Reports'!D1142)+1,200)),"")))="VRKP ISPAT PVT LTD","VRKP",IF(IF(IF(ISNUMBER(SEARCH("Party Name:-",'R.M Billets Reports'!D1141)),TRIM('R.M Billets Reports'!F1141),IF(ISNUMBER(SEARCH("Party Name-",'R.M Billets Reports'!D1141)),TRIM(MID('R.M Billets Reports'!D1141,SEARCH("-",'R.M Billets Reports'!D1141)+1,200)),""))&lt;&gt;"",IF(ISNUMBER(SEARCH("Party Name:-",'R.M Billets Reports'!D1141)),TRIM('R.M Billets Reports'!F1141),IF(ISNUMBER(SEARCH("Party Name-",'R.M Billets Reports'!D1141)),TRIM(MID('R.M Billets Reports'!D1141,SEARCH("-",'R.M Billets Reports'!D1141)+1,200)),"")),IF(ISNUMBER(SEARCH("Party Name:-",'R.M Billets Reports'!D1142)),TRIM('R.M Billets Reports'!F1142),IF(ISNUMBER(SEARCH("Party Name-",'R.M Billets Reports'!D1142)),TRIM(MID('R.M Billets Reports'!D1142,SEARCH("-",'R.M Billets Reports'!D1142)+1,200)),"")))="SHRI RADHE","SHREE RADHE",IF(IF(IF(ISNUMBER(SEARCH("Party Name:-",'R.M Billets Reports'!D1141)),TRIM('R.M Billets Reports'!F1141),IF(ISNUMBER(SEARCH("Party Name-",'R.M Billets Reports'!D1141)),TRIM(MID('R.M Billets Reports'!D1141,SEARCH("-",'R.M Billets Reports'!D1141)+1,200)),""))&lt;&gt;"",IF(ISNUMBER(SEARCH("Party Name:-",'R.M Billets Reports'!D1141)),TRIM('R.M Billets Reports'!F1141),IF(ISNUMBER(SEARCH("Party Name-",'R.M Billets Reports'!D1141)),TRIM(MID('R.M Billets Reports'!D1141,SEARCH("-",'R.M Billets Reports'!D1141)+1,200)),"")),IF(ISNUMBER(SEARCH("Party Name:-",'R.M Billets Reports'!D1142)),TRIM('R.M Billets Reports'!F1142),IF(ISNUMBER(SEARCH("Party Name-",'R.M Billets Reports'!D1142)),TRIM(MID('R.M Billets Reports'!D1142,SEARCH("-",'R.M Billets Reports'!D1142)+1,200)),"")))="SHREE RADHE SHAKTI SPONGE AND POWER PVT. LTD.","SHREE RADHE",IF(IF(ISNUMBER(SEARCH("Party Name:-",'R.M Billets Reports'!D1141)),TRIM('R.M Billets Reports'!F1141),IF(ISNUMBER(SEARCH("Party Name-",'R.M Billets Reports'!D1141)),TRIM(MID('R.M Billets Reports'!D1141,SEARCH("-",'R.M Billets Reports'!D1141)+1,200)),""))&lt;&gt;"",IF(ISNUMBER(SEARCH("Party Name:-",'R.M Billets Reports'!D1141)),TRIM('R.M Billets Reports'!F1141),IF(ISNUMBER(SEARCH("Party Name-",'R.M Billets Reports'!D1141)),TRIM(MID('R.M Billets Reports'!D1141,SEARCH("-",'R.M Billets Reports'!D1141)+1,200)),"")),IF(ISNUMBER(SEARCH("Party Name:-",'R.M Billets Reports'!D1142)),TRIM('R.M Billets Reports'!F1142),IF(ISNUMBER(SEARCH("Party Name-",'R.M Billets Reports'!D1142)),TRIM(MID('R.M Billets Reports'!D1142,SEARCH("-",'R.M Billets Reports'!D1142)+1,200)),"")))))),IF(ROW()=2,"",A1141))</f>
      </c>
      <c r="B1142">
        <f>IF(OR('R.M Billets Reports'!A1141="Date-",'R.M Billets Reports'!A1141="Date:-"),'R.M Billets Reports'!B1141,IF(ROW()=2,"",B1141))</f>
      </c>
      <c r="C1142">
        <f>IF('R.M Billets Reports'!A1141="V.No.",'R.M Billets Reports'!B1141,IF(ROW()=2,"",C1141))</f>
      </c>
      <c r="D1142">
        <f>IF('R.M Billets Reports'!A1141&lt;&gt;"",'R.M Billets Reports'!A1141,IF(ROW()=2,"",D1141))</f>
      </c>
      <c r="E1142">
        <f>IF('R.M Billets Reports'!B1141="","",TRIM('R.M Billets Reports'!B1141))</f>
      </c>
      <c r="F1142">
        <f>'R.M Billets Reports'!C1141</f>
      </c>
      <c r="G1142">
        <f>'R.M Billets Reports'!D1141</f>
      </c>
      <c r="H1142">
        <f>'R.M Billets Reports'!E1141</f>
      </c>
      <c r="I1142">
        <f>'R.M Billets Reports'!F1141</f>
      </c>
      <c r="J1142">
        <f>'R.M Billets Reports'!G1141</f>
      </c>
      <c r="K1142">
        <f>'R.M Billets Reports'!H1141</f>
      </c>
      <c r="L1142">
        <f>IF('R.M Billets Reports'!I1141="","",'R.M Billets Reports'!I1141)</f>
      </c>
      <c r="M1142">
        <f t="shared" si="34"/>
      </c>
      <c r="N1142">
        <f>IF('R.M Billets Reports'!J1141="","",'R.M Billets Reports'!J1141)</f>
      </c>
      <c r="O1142">
        <f t="shared" si="35"/>
      </c>
      <c r="P1142">
        <f>IF('R.M Billets Reports'!A1141="SIZE",'R.M Billets Reports'!B1141,P1141)</f>
      </c>
    </row>
    <row r="1143" spans="1:16" x14ac:dyDescent="0.25">
      <c r="A1143">
        <f>IF(OR('R.M Billets Reports'!A1142="Date-",'R.M Billets Reports'!A1142="Date:-"),IF(IF(IF(ISNUMBER(SEARCH("Party Name:-",'R.M Billets Reports'!D1142)),TRIM('R.M Billets Reports'!F1142),IF(ISNUMBER(SEARCH("Party Name-",'R.M Billets Reports'!D1142)),TRIM(MID('R.M Billets Reports'!D1142,SEARCH("-",'R.M Billets Reports'!D1142)+1,200)),""))&lt;&gt;"",IF(ISNUMBER(SEARCH("Party Name:-",'R.M Billets Reports'!D1142)),TRIM('R.M Billets Reports'!F1142),IF(ISNUMBER(SEARCH("Party Name-",'R.M Billets Reports'!D1142)),TRIM(MID('R.M Billets Reports'!D1142,SEARCH("-",'R.M Billets Reports'!D1142)+1,200)),"")),IF(ISNUMBER(SEARCH("Party Name:-",'R.M Billets Reports'!D1143)),TRIM('R.M Billets Reports'!F1143),IF(ISNUMBER(SEARCH("Party Name-",'R.M Billets Reports'!D1143)),TRIM(MID('R.M Billets Reports'!D1143,SEARCH("-",'R.M Billets Reports'!D1143)+1,200)),"")))="VRKP ISPAT PVT LTD","VRKP",IF(IF(IF(ISNUMBER(SEARCH("Party Name:-",'R.M Billets Reports'!D1142)),TRIM('R.M Billets Reports'!F1142),IF(ISNUMBER(SEARCH("Party Name-",'R.M Billets Reports'!D1142)),TRIM(MID('R.M Billets Reports'!D1142,SEARCH("-",'R.M Billets Reports'!D1142)+1,200)),""))&lt;&gt;"",IF(ISNUMBER(SEARCH("Party Name:-",'R.M Billets Reports'!D1142)),TRIM('R.M Billets Reports'!F1142),IF(ISNUMBER(SEARCH("Party Name-",'R.M Billets Reports'!D1142)),TRIM(MID('R.M Billets Reports'!D1142,SEARCH("-",'R.M Billets Reports'!D1142)+1,200)),"")),IF(ISNUMBER(SEARCH("Party Name:-",'R.M Billets Reports'!D1143)),TRIM('R.M Billets Reports'!F1143),IF(ISNUMBER(SEARCH("Party Name-",'R.M Billets Reports'!D1143)),TRIM(MID('R.M Billets Reports'!D1143,SEARCH("-",'R.M Billets Reports'!D1143)+1,200)),"")))="SHRI RADHE","SHREE RADHE",IF(IF(IF(ISNUMBER(SEARCH("Party Name:-",'R.M Billets Reports'!D1142)),TRIM('R.M Billets Reports'!F1142),IF(ISNUMBER(SEARCH("Party Name-",'R.M Billets Reports'!D1142)),TRIM(MID('R.M Billets Reports'!D1142,SEARCH("-",'R.M Billets Reports'!D1142)+1,200)),""))&lt;&gt;"",IF(ISNUMBER(SEARCH("Party Name:-",'R.M Billets Reports'!D1142)),TRIM('R.M Billets Reports'!F1142),IF(ISNUMBER(SEARCH("Party Name-",'R.M Billets Reports'!D1142)),TRIM(MID('R.M Billets Reports'!D1142,SEARCH("-",'R.M Billets Reports'!D1142)+1,200)),"")),IF(ISNUMBER(SEARCH("Party Name:-",'R.M Billets Reports'!D1143)),TRIM('R.M Billets Reports'!F1143),IF(ISNUMBER(SEARCH("Party Name-",'R.M Billets Reports'!D1143)),TRIM(MID('R.M Billets Reports'!D1143,SEARCH("-",'R.M Billets Reports'!D1143)+1,200)),"")))="SHREE RADHE SHAKTI SPONGE AND POWER PVT. LTD.","SHREE RADHE",IF(IF(ISNUMBER(SEARCH("Party Name:-",'R.M Billets Reports'!D1142)),TRIM('R.M Billets Reports'!F1142),IF(ISNUMBER(SEARCH("Party Name-",'R.M Billets Reports'!D1142)),TRIM(MID('R.M Billets Reports'!D1142,SEARCH("-",'R.M Billets Reports'!D1142)+1,200)),""))&lt;&gt;"",IF(ISNUMBER(SEARCH("Party Name:-",'R.M Billets Reports'!D1142)),TRIM('R.M Billets Reports'!F1142),IF(ISNUMBER(SEARCH("Party Name-",'R.M Billets Reports'!D1142)),TRIM(MID('R.M Billets Reports'!D1142,SEARCH("-",'R.M Billets Reports'!D1142)+1,200)),"")),IF(ISNUMBER(SEARCH("Party Name:-",'R.M Billets Reports'!D1143)),TRIM('R.M Billets Reports'!F1143),IF(ISNUMBER(SEARCH("Party Name-",'R.M Billets Reports'!D1143)),TRIM(MID('R.M Billets Reports'!D1143,SEARCH("-",'R.M Billets Reports'!D1143)+1,200)),"")))))),IF(ROW()=2,"",A1142))</f>
      </c>
      <c r="B1143">
        <f>IF(OR('R.M Billets Reports'!A1142="Date-",'R.M Billets Reports'!A1142="Date:-"),'R.M Billets Reports'!B1142,IF(ROW()=2,"",B1142))</f>
      </c>
      <c r="C1143">
        <f>IF('R.M Billets Reports'!A1142="V.No.",'R.M Billets Reports'!B1142,IF(ROW()=2,"",C1142))</f>
      </c>
      <c r="D1143">
        <f>IF('R.M Billets Reports'!A1142&lt;&gt;"",'R.M Billets Reports'!A1142,IF(ROW()=2,"",D1142))</f>
      </c>
      <c r="E1143">
        <f>IF('R.M Billets Reports'!B1142="","",TRIM('R.M Billets Reports'!B1142))</f>
      </c>
      <c r="F1143">
        <f>'R.M Billets Reports'!C1142</f>
      </c>
      <c r="G1143">
        <f>'R.M Billets Reports'!D1142</f>
      </c>
      <c r="H1143">
        <f>'R.M Billets Reports'!E1142</f>
      </c>
      <c r="I1143">
        <f>'R.M Billets Reports'!F1142</f>
      </c>
      <c r="J1143">
        <f>'R.M Billets Reports'!G1142</f>
      </c>
      <c r="K1143">
        <f>'R.M Billets Reports'!H1142</f>
      </c>
      <c r="L1143">
        <f>IF('R.M Billets Reports'!I1142="","",'R.M Billets Reports'!I1142)</f>
      </c>
      <c r="M1143">
        <f t="shared" si="34"/>
      </c>
      <c r="N1143">
        <f>IF('R.M Billets Reports'!J1142="","",'R.M Billets Reports'!J1142)</f>
      </c>
      <c r="O1143">
        <f t="shared" si="35"/>
      </c>
      <c r="P1143">
        <f>IF('R.M Billets Reports'!A1142="SIZE",'R.M Billets Reports'!B1142,P1142)</f>
      </c>
    </row>
    <row r="1144" spans="1:16" x14ac:dyDescent="0.25">
      <c r="A1144">
        <f>IF(OR('R.M Billets Reports'!A1143="Date-",'R.M Billets Reports'!A1143="Date:-"),IF(IF(IF(ISNUMBER(SEARCH("Party Name:-",'R.M Billets Reports'!D1143)),TRIM('R.M Billets Reports'!F1143),IF(ISNUMBER(SEARCH("Party Name-",'R.M Billets Reports'!D1143)),TRIM(MID('R.M Billets Reports'!D1143,SEARCH("-",'R.M Billets Reports'!D1143)+1,200)),""))&lt;&gt;"",IF(ISNUMBER(SEARCH("Party Name:-",'R.M Billets Reports'!D1143)),TRIM('R.M Billets Reports'!F1143),IF(ISNUMBER(SEARCH("Party Name-",'R.M Billets Reports'!D1143)),TRIM(MID('R.M Billets Reports'!D1143,SEARCH("-",'R.M Billets Reports'!D1143)+1,200)),"")),IF(ISNUMBER(SEARCH("Party Name:-",'R.M Billets Reports'!D1144)),TRIM('R.M Billets Reports'!F1144),IF(ISNUMBER(SEARCH("Party Name-",'R.M Billets Reports'!D1144)),TRIM(MID('R.M Billets Reports'!D1144,SEARCH("-",'R.M Billets Reports'!D1144)+1,200)),"")))="VRKP ISPAT PVT LTD","VRKP",IF(IF(IF(ISNUMBER(SEARCH("Party Name:-",'R.M Billets Reports'!D1143)),TRIM('R.M Billets Reports'!F1143),IF(ISNUMBER(SEARCH("Party Name-",'R.M Billets Reports'!D1143)),TRIM(MID('R.M Billets Reports'!D1143,SEARCH("-",'R.M Billets Reports'!D1143)+1,200)),""))&lt;&gt;"",IF(ISNUMBER(SEARCH("Party Name:-",'R.M Billets Reports'!D1143)),TRIM('R.M Billets Reports'!F1143),IF(ISNUMBER(SEARCH("Party Name-",'R.M Billets Reports'!D1143)),TRIM(MID('R.M Billets Reports'!D1143,SEARCH("-",'R.M Billets Reports'!D1143)+1,200)),"")),IF(ISNUMBER(SEARCH("Party Name:-",'R.M Billets Reports'!D1144)),TRIM('R.M Billets Reports'!F1144),IF(ISNUMBER(SEARCH("Party Name-",'R.M Billets Reports'!D1144)),TRIM(MID('R.M Billets Reports'!D1144,SEARCH("-",'R.M Billets Reports'!D1144)+1,200)),"")))="SHRI RADHE","SHREE RADHE",IF(IF(IF(ISNUMBER(SEARCH("Party Name:-",'R.M Billets Reports'!D1143)),TRIM('R.M Billets Reports'!F1143),IF(ISNUMBER(SEARCH("Party Name-",'R.M Billets Reports'!D1143)),TRIM(MID('R.M Billets Reports'!D1143,SEARCH("-",'R.M Billets Reports'!D1143)+1,200)),""))&lt;&gt;"",IF(ISNUMBER(SEARCH("Party Name:-",'R.M Billets Reports'!D1143)),TRIM('R.M Billets Reports'!F1143),IF(ISNUMBER(SEARCH("Party Name-",'R.M Billets Reports'!D1143)),TRIM(MID('R.M Billets Reports'!D1143,SEARCH("-",'R.M Billets Reports'!D1143)+1,200)),"")),IF(ISNUMBER(SEARCH("Party Name:-",'R.M Billets Reports'!D1144)),TRIM('R.M Billets Reports'!F1144),IF(ISNUMBER(SEARCH("Party Name-",'R.M Billets Reports'!D1144)),TRIM(MID('R.M Billets Reports'!D1144,SEARCH("-",'R.M Billets Reports'!D1144)+1,200)),"")))="SHREE RADHE SHAKTI SPONGE AND POWER PVT. LTD.","SHREE RADHE",IF(IF(ISNUMBER(SEARCH("Party Name:-",'R.M Billets Reports'!D1143)),TRIM('R.M Billets Reports'!F1143),IF(ISNUMBER(SEARCH("Party Name-",'R.M Billets Reports'!D1143)),TRIM(MID('R.M Billets Reports'!D1143,SEARCH("-",'R.M Billets Reports'!D1143)+1,200)),""))&lt;&gt;"",IF(ISNUMBER(SEARCH("Party Name:-",'R.M Billets Reports'!D1143)),TRIM('R.M Billets Reports'!F1143),IF(ISNUMBER(SEARCH("Party Name-",'R.M Billets Reports'!D1143)),TRIM(MID('R.M Billets Reports'!D1143,SEARCH("-",'R.M Billets Reports'!D1143)+1,200)),"")),IF(ISNUMBER(SEARCH("Party Name:-",'R.M Billets Reports'!D1144)),TRIM('R.M Billets Reports'!F1144),IF(ISNUMBER(SEARCH("Party Name-",'R.M Billets Reports'!D1144)),TRIM(MID('R.M Billets Reports'!D1144,SEARCH("-",'R.M Billets Reports'!D1144)+1,200)),"")))))),IF(ROW()=2,"",A1143))</f>
      </c>
      <c r="B1144">
        <f>IF(OR('R.M Billets Reports'!A1143="Date-",'R.M Billets Reports'!A1143="Date:-"),'R.M Billets Reports'!B1143,IF(ROW()=2,"",B1143))</f>
      </c>
      <c r="C1144">
        <f>IF('R.M Billets Reports'!A1143="V.No.",'R.M Billets Reports'!B1143,IF(ROW()=2,"",C1143))</f>
      </c>
      <c r="D1144">
        <f>IF('R.M Billets Reports'!A1143&lt;&gt;"",'R.M Billets Reports'!A1143,IF(ROW()=2,"",D1143))</f>
      </c>
      <c r="E1144">
        <f>IF('R.M Billets Reports'!B1143="","",TRIM('R.M Billets Reports'!B1143))</f>
      </c>
      <c r="F1144">
        <f>'R.M Billets Reports'!C1143</f>
      </c>
      <c r="G1144">
        <f>'R.M Billets Reports'!D1143</f>
      </c>
      <c r="H1144">
        <f>'R.M Billets Reports'!E1143</f>
      </c>
      <c r="I1144">
        <f>'R.M Billets Reports'!F1143</f>
      </c>
      <c r="J1144">
        <f>'R.M Billets Reports'!G1143</f>
      </c>
      <c r="K1144">
        <f>'R.M Billets Reports'!H1143</f>
      </c>
      <c r="L1144">
        <f>IF('R.M Billets Reports'!I1143="","",'R.M Billets Reports'!I1143)</f>
      </c>
      <c r="M1144">
        <f t="shared" si="34"/>
      </c>
      <c r="N1144">
        <f>IF('R.M Billets Reports'!J1143="","",'R.M Billets Reports'!J1143)</f>
      </c>
      <c r="O1144">
        <f t="shared" si="35"/>
      </c>
      <c r="P1144">
        <f>IF('R.M Billets Reports'!A1143="SIZE",'R.M Billets Reports'!B1143,P1143)</f>
      </c>
    </row>
    <row r="1145" spans="1:16" x14ac:dyDescent="0.25">
      <c r="A1145">
        <f>IF(OR('R.M Billets Reports'!A1144="Date-",'R.M Billets Reports'!A1144="Date:-"),IF(IF(IF(ISNUMBER(SEARCH("Party Name:-",'R.M Billets Reports'!D1144)),TRIM('R.M Billets Reports'!F1144),IF(ISNUMBER(SEARCH("Party Name-",'R.M Billets Reports'!D1144)),TRIM(MID('R.M Billets Reports'!D1144,SEARCH("-",'R.M Billets Reports'!D1144)+1,200)),""))&lt;&gt;"",IF(ISNUMBER(SEARCH("Party Name:-",'R.M Billets Reports'!D1144)),TRIM('R.M Billets Reports'!F1144),IF(ISNUMBER(SEARCH("Party Name-",'R.M Billets Reports'!D1144)),TRIM(MID('R.M Billets Reports'!D1144,SEARCH("-",'R.M Billets Reports'!D1144)+1,200)),"")),IF(ISNUMBER(SEARCH("Party Name:-",'R.M Billets Reports'!D1145)),TRIM('R.M Billets Reports'!F1145),IF(ISNUMBER(SEARCH("Party Name-",'R.M Billets Reports'!D1145)),TRIM(MID('R.M Billets Reports'!D1145,SEARCH("-",'R.M Billets Reports'!D1145)+1,200)),"")))="VRKP ISPAT PVT LTD","VRKP",IF(IF(IF(ISNUMBER(SEARCH("Party Name:-",'R.M Billets Reports'!D1144)),TRIM('R.M Billets Reports'!F1144),IF(ISNUMBER(SEARCH("Party Name-",'R.M Billets Reports'!D1144)),TRIM(MID('R.M Billets Reports'!D1144,SEARCH("-",'R.M Billets Reports'!D1144)+1,200)),""))&lt;&gt;"",IF(ISNUMBER(SEARCH("Party Name:-",'R.M Billets Reports'!D1144)),TRIM('R.M Billets Reports'!F1144),IF(ISNUMBER(SEARCH("Party Name-",'R.M Billets Reports'!D1144)),TRIM(MID('R.M Billets Reports'!D1144,SEARCH("-",'R.M Billets Reports'!D1144)+1,200)),"")),IF(ISNUMBER(SEARCH("Party Name:-",'R.M Billets Reports'!D1145)),TRIM('R.M Billets Reports'!F1145),IF(ISNUMBER(SEARCH("Party Name-",'R.M Billets Reports'!D1145)),TRIM(MID('R.M Billets Reports'!D1145,SEARCH("-",'R.M Billets Reports'!D1145)+1,200)),"")))="SHRI RADHE","SHREE RADHE",IF(IF(IF(ISNUMBER(SEARCH("Party Name:-",'R.M Billets Reports'!D1144)),TRIM('R.M Billets Reports'!F1144),IF(ISNUMBER(SEARCH("Party Name-",'R.M Billets Reports'!D1144)),TRIM(MID('R.M Billets Reports'!D1144,SEARCH("-",'R.M Billets Reports'!D1144)+1,200)),""))&lt;&gt;"",IF(ISNUMBER(SEARCH("Party Name:-",'R.M Billets Reports'!D1144)),TRIM('R.M Billets Reports'!F1144),IF(ISNUMBER(SEARCH("Party Name-",'R.M Billets Reports'!D1144)),TRIM(MID('R.M Billets Reports'!D1144,SEARCH("-",'R.M Billets Reports'!D1144)+1,200)),"")),IF(ISNUMBER(SEARCH("Party Name:-",'R.M Billets Reports'!D1145)),TRIM('R.M Billets Reports'!F1145),IF(ISNUMBER(SEARCH("Party Name-",'R.M Billets Reports'!D1145)),TRIM(MID('R.M Billets Reports'!D1145,SEARCH("-",'R.M Billets Reports'!D1145)+1,200)),"")))="SHREE RADHE SHAKTI SPONGE AND POWER PVT. LTD.","SHREE RADHE",IF(IF(ISNUMBER(SEARCH("Party Name:-",'R.M Billets Reports'!D1144)),TRIM('R.M Billets Reports'!F1144),IF(ISNUMBER(SEARCH("Party Name-",'R.M Billets Reports'!D1144)),TRIM(MID('R.M Billets Reports'!D1144,SEARCH("-",'R.M Billets Reports'!D1144)+1,200)),""))&lt;&gt;"",IF(ISNUMBER(SEARCH("Party Name:-",'R.M Billets Reports'!D1144)),TRIM('R.M Billets Reports'!F1144),IF(ISNUMBER(SEARCH("Party Name-",'R.M Billets Reports'!D1144)),TRIM(MID('R.M Billets Reports'!D1144,SEARCH("-",'R.M Billets Reports'!D1144)+1,200)),"")),IF(ISNUMBER(SEARCH("Party Name:-",'R.M Billets Reports'!D1145)),TRIM('R.M Billets Reports'!F1145),IF(ISNUMBER(SEARCH("Party Name-",'R.M Billets Reports'!D1145)),TRIM(MID('R.M Billets Reports'!D1145,SEARCH("-",'R.M Billets Reports'!D1145)+1,200)),"")))))),IF(ROW()=2,"",A1144))</f>
      </c>
      <c r="B1145">
        <f>IF(OR('R.M Billets Reports'!A1144="Date-",'R.M Billets Reports'!A1144="Date:-"),'R.M Billets Reports'!B1144,IF(ROW()=2,"",B1144))</f>
      </c>
      <c r="C1145">
        <f>IF('R.M Billets Reports'!A1144="V.No.",'R.M Billets Reports'!B1144,IF(ROW()=2,"",C1144))</f>
      </c>
      <c r="D1145">
        <f>IF('R.M Billets Reports'!A1144&lt;&gt;"",'R.M Billets Reports'!A1144,IF(ROW()=2,"",D1144))</f>
      </c>
      <c r="E1145">
        <f>IF('R.M Billets Reports'!B1144="","",TRIM('R.M Billets Reports'!B1144))</f>
      </c>
      <c r="F1145">
        <f>'R.M Billets Reports'!C1144</f>
      </c>
      <c r="G1145">
        <f>'R.M Billets Reports'!D1144</f>
      </c>
      <c r="H1145">
        <f>'R.M Billets Reports'!E1144</f>
      </c>
      <c r="I1145">
        <f>'R.M Billets Reports'!F1144</f>
      </c>
      <c r="J1145">
        <f>'R.M Billets Reports'!G1144</f>
      </c>
      <c r="K1145">
        <f>'R.M Billets Reports'!H1144</f>
      </c>
      <c r="L1145">
        <f>IF('R.M Billets Reports'!I1144="","",'R.M Billets Reports'!I1144)</f>
      </c>
      <c r="M1145">
        <f t="shared" si="34"/>
      </c>
      <c r="N1145">
        <f>IF('R.M Billets Reports'!J1144="","",'R.M Billets Reports'!J1144)</f>
      </c>
      <c r="O1145">
        <f t="shared" si="35"/>
      </c>
      <c r="P1145">
        <f>IF('R.M Billets Reports'!A1144="SIZE",'R.M Billets Reports'!B1144,P1144)</f>
      </c>
    </row>
    <row r="1146" spans="1:16" x14ac:dyDescent="0.25">
      <c r="A1146">
        <f>IF(OR('R.M Billets Reports'!A1145="Date-",'R.M Billets Reports'!A1145="Date:-"),IF(IF(IF(ISNUMBER(SEARCH("Party Name:-",'R.M Billets Reports'!D1145)),TRIM('R.M Billets Reports'!F1145),IF(ISNUMBER(SEARCH("Party Name-",'R.M Billets Reports'!D1145)),TRIM(MID('R.M Billets Reports'!D1145,SEARCH("-",'R.M Billets Reports'!D1145)+1,200)),""))&lt;&gt;"",IF(ISNUMBER(SEARCH("Party Name:-",'R.M Billets Reports'!D1145)),TRIM('R.M Billets Reports'!F1145),IF(ISNUMBER(SEARCH("Party Name-",'R.M Billets Reports'!D1145)),TRIM(MID('R.M Billets Reports'!D1145,SEARCH("-",'R.M Billets Reports'!D1145)+1,200)),"")),IF(ISNUMBER(SEARCH("Party Name:-",'R.M Billets Reports'!D1146)),TRIM('R.M Billets Reports'!F1146),IF(ISNUMBER(SEARCH("Party Name-",'R.M Billets Reports'!D1146)),TRIM(MID('R.M Billets Reports'!D1146,SEARCH("-",'R.M Billets Reports'!D1146)+1,200)),"")))="VRKP ISPAT PVT LTD","VRKP",IF(IF(IF(ISNUMBER(SEARCH("Party Name:-",'R.M Billets Reports'!D1145)),TRIM('R.M Billets Reports'!F1145),IF(ISNUMBER(SEARCH("Party Name-",'R.M Billets Reports'!D1145)),TRIM(MID('R.M Billets Reports'!D1145,SEARCH("-",'R.M Billets Reports'!D1145)+1,200)),""))&lt;&gt;"",IF(ISNUMBER(SEARCH("Party Name:-",'R.M Billets Reports'!D1145)),TRIM('R.M Billets Reports'!F1145),IF(ISNUMBER(SEARCH("Party Name-",'R.M Billets Reports'!D1145)),TRIM(MID('R.M Billets Reports'!D1145,SEARCH("-",'R.M Billets Reports'!D1145)+1,200)),"")),IF(ISNUMBER(SEARCH("Party Name:-",'R.M Billets Reports'!D1146)),TRIM('R.M Billets Reports'!F1146),IF(ISNUMBER(SEARCH("Party Name-",'R.M Billets Reports'!D1146)),TRIM(MID('R.M Billets Reports'!D1146,SEARCH("-",'R.M Billets Reports'!D1146)+1,200)),"")))="SHRI RADHE","SHREE RADHE",IF(IF(IF(ISNUMBER(SEARCH("Party Name:-",'R.M Billets Reports'!D1145)),TRIM('R.M Billets Reports'!F1145),IF(ISNUMBER(SEARCH("Party Name-",'R.M Billets Reports'!D1145)),TRIM(MID('R.M Billets Reports'!D1145,SEARCH("-",'R.M Billets Reports'!D1145)+1,200)),""))&lt;&gt;"",IF(ISNUMBER(SEARCH("Party Name:-",'R.M Billets Reports'!D1145)),TRIM('R.M Billets Reports'!F1145),IF(ISNUMBER(SEARCH("Party Name-",'R.M Billets Reports'!D1145)),TRIM(MID('R.M Billets Reports'!D1145,SEARCH("-",'R.M Billets Reports'!D1145)+1,200)),"")),IF(ISNUMBER(SEARCH("Party Name:-",'R.M Billets Reports'!D1146)),TRIM('R.M Billets Reports'!F1146),IF(ISNUMBER(SEARCH("Party Name-",'R.M Billets Reports'!D1146)),TRIM(MID('R.M Billets Reports'!D1146,SEARCH("-",'R.M Billets Reports'!D1146)+1,200)),"")))="SHREE RADHE SHAKTI SPONGE AND POWER PVT. LTD.","SHREE RADHE",IF(IF(ISNUMBER(SEARCH("Party Name:-",'R.M Billets Reports'!D1145)),TRIM('R.M Billets Reports'!F1145),IF(ISNUMBER(SEARCH("Party Name-",'R.M Billets Reports'!D1145)),TRIM(MID('R.M Billets Reports'!D1145,SEARCH("-",'R.M Billets Reports'!D1145)+1,200)),""))&lt;&gt;"",IF(ISNUMBER(SEARCH("Party Name:-",'R.M Billets Reports'!D1145)),TRIM('R.M Billets Reports'!F1145),IF(ISNUMBER(SEARCH("Party Name-",'R.M Billets Reports'!D1145)),TRIM(MID('R.M Billets Reports'!D1145,SEARCH("-",'R.M Billets Reports'!D1145)+1,200)),"")),IF(ISNUMBER(SEARCH("Party Name:-",'R.M Billets Reports'!D1146)),TRIM('R.M Billets Reports'!F1146),IF(ISNUMBER(SEARCH("Party Name-",'R.M Billets Reports'!D1146)),TRIM(MID('R.M Billets Reports'!D1146,SEARCH("-",'R.M Billets Reports'!D1146)+1,200)),"")))))),IF(ROW()=2,"",A1145))</f>
      </c>
      <c r="B1146">
        <f>IF(OR('R.M Billets Reports'!A1145="Date-",'R.M Billets Reports'!A1145="Date:-"),'R.M Billets Reports'!B1145,IF(ROW()=2,"",B1145))</f>
      </c>
      <c r="C1146">
        <f>IF('R.M Billets Reports'!A1145="V.No.",'R.M Billets Reports'!B1145,IF(ROW()=2,"",C1145))</f>
      </c>
      <c r="D1146">
        <f>IF('R.M Billets Reports'!A1145&lt;&gt;"",'R.M Billets Reports'!A1145,IF(ROW()=2,"",D1145))</f>
      </c>
      <c r="E1146">
        <f>IF('R.M Billets Reports'!B1145="","",TRIM('R.M Billets Reports'!B1145))</f>
      </c>
      <c r="F1146">
        <f>'R.M Billets Reports'!C1145</f>
      </c>
      <c r="G1146">
        <f>'R.M Billets Reports'!D1145</f>
      </c>
      <c r="H1146">
        <f>'R.M Billets Reports'!E1145</f>
      </c>
      <c r="I1146">
        <f>'R.M Billets Reports'!F1145</f>
      </c>
      <c r="J1146">
        <f>'R.M Billets Reports'!G1145</f>
      </c>
      <c r="K1146">
        <f>'R.M Billets Reports'!H1145</f>
      </c>
      <c r="L1146">
        <f>IF('R.M Billets Reports'!I1145="","",'R.M Billets Reports'!I1145)</f>
      </c>
      <c r="M1146">
        <f t="shared" si="34"/>
      </c>
      <c r="N1146">
        <f>IF('R.M Billets Reports'!J1145="","",'R.M Billets Reports'!J1145)</f>
      </c>
      <c r="O1146">
        <f t="shared" si="35"/>
      </c>
      <c r="P1146">
        <f>IF('R.M Billets Reports'!A1145="SIZE",'R.M Billets Reports'!B1145,P1145)</f>
      </c>
    </row>
    <row r="1147" spans="1:16" x14ac:dyDescent="0.25">
      <c r="A1147">
        <f>IF(OR('R.M Billets Reports'!A1146="Date-",'R.M Billets Reports'!A1146="Date:-"),IF(IF(IF(ISNUMBER(SEARCH("Party Name:-",'R.M Billets Reports'!D1146)),TRIM('R.M Billets Reports'!F1146),IF(ISNUMBER(SEARCH("Party Name-",'R.M Billets Reports'!D1146)),TRIM(MID('R.M Billets Reports'!D1146,SEARCH("-",'R.M Billets Reports'!D1146)+1,200)),""))&lt;&gt;"",IF(ISNUMBER(SEARCH("Party Name:-",'R.M Billets Reports'!D1146)),TRIM('R.M Billets Reports'!F1146),IF(ISNUMBER(SEARCH("Party Name-",'R.M Billets Reports'!D1146)),TRIM(MID('R.M Billets Reports'!D1146,SEARCH("-",'R.M Billets Reports'!D1146)+1,200)),"")),IF(ISNUMBER(SEARCH("Party Name:-",'R.M Billets Reports'!D1147)),TRIM('R.M Billets Reports'!F1147),IF(ISNUMBER(SEARCH("Party Name-",'R.M Billets Reports'!D1147)),TRIM(MID('R.M Billets Reports'!D1147,SEARCH("-",'R.M Billets Reports'!D1147)+1,200)),"")))="VRKP ISPAT PVT LTD","VRKP",IF(IF(IF(ISNUMBER(SEARCH("Party Name:-",'R.M Billets Reports'!D1146)),TRIM('R.M Billets Reports'!F1146),IF(ISNUMBER(SEARCH("Party Name-",'R.M Billets Reports'!D1146)),TRIM(MID('R.M Billets Reports'!D1146,SEARCH("-",'R.M Billets Reports'!D1146)+1,200)),""))&lt;&gt;"",IF(ISNUMBER(SEARCH("Party Name:-",'R.M Billets Reports'!D1146)),TRIM('R.M Billets Reports'!F1146),IF(ISNUMBER(SEARCH("Party Name-",'R.M Billets Reports'!D1146)),TRIM(MID('R.M Billets Reports'!D1146,SEARCH("-",'R.M Billets Reports'!D1146)+1,200)),"")),IF(ISNUMBER(SEARCH("Party Name:-",'R.M Billets Reports'!D1147)),TRIM('R.M Billets Reports'!F1147),IF(ISNUMBER(SEARCH("Party Name-",'R.M Billets Reports'!D1147)),TRIM(MID('R.M Billets Reports'!D1147,SEARCH("-",'R.M Billets Reports'!D1147)+1,200)),"")))="SHRI RADHE","SHREE RADHE",IF(IF(IF(ISNUMBER(SEARCH("Party Name:-",'R.M Billets Reports'!D1146)),TRIM('R.M Billets Reports'!F1146),IF(ISNUMBER(SEARCH("Party Name-",'R.M Billets Reports'!D1146)),TRIM(MID('R.M Billets Reports'!D1146,SEARCH("-",'R.M Billets Reports'!D1146)+1,200)),""))&lt;&gt;"",IF(ISNUMBER(SEARCH("Party Name:-",'R.M Billets Reports'!D1146)),TRIM('R.M Billets Reports'!F1146),IF(ISNUMBER(SEARCH("Party Name-",'R.M Billets Reports'!D1146)),TRIM(MID('R.M Billets Reports'!D1146,SEARCH("-",'R.M Billets Reports'!D1146)+1,200)),"")),IF(ISNUMBER(SEARCH("Party Name:-",'R.M Billets Reports'!D1147)),TRIM('R.M Billets Reports'!F1147),IF(ISNUMBER(SEARCH("Party Name-",'R.M Billets Reports'!D1147)),TRIM(MID('R.M Billets Reports'!D1147,SEARCH("-",'R.M Billets Reports'!D1147)+1,200)),"")))="SHREE RADHE SHAKTI SPONGE AND POWER PVT. LTD.","SHREE RADHE",IF(IF(ISNUMBER(SEARCH("Party Name:-",'R.M Billets Reports'!D1146)),TRIM('R.M Billets Reports'!F1146),IF(ISNUMBER(SEARCH("Party Name-",'R.M Billets Reports'!D1146)),TRIM(MID('R.M Billets Reports'!D1146,SEARCH("-",'R.M Billets Reports'!D1146)+1,200)),""))&lt;&gt;"",IF(ISNUMBER(SEARCH("Party Name:-",'R.M Billets Reports'!D1146)),TRIM('R.M Billets Reports'!F1146),IF(ISNUMBER(SEARCH("Party Name-",'R.M Billets Reports'!D1146)),TRIM(MID('R.M Billets Reports'!D1146,SEARCH("-",'R.M Billets Reports'!D1146)+1,200)),"")),IF(ISNUMBER(SEARCH("Party Name:-",'R.M Billets Reports'!D1147)),TRIM('R.M Billets Reports'!F1147),IF(ISNUMBER(SEARCH("Party Name-",'R.M Billets Reports'!D1147)),TRIM(MID('R.M Billets Reports'!D1147,SEARCH("-",'R.M Billets Reports'!D1147)+1,200)),"")))))),IF(ROW()=2,"",A1146))</f>
      </c>
      <c r="B1147">
        <f>IF(OR('R.M Billets Reports'!A1146="Date-",'R.M Billets Reports'!A1146="Date:-"),'R.M Billets Reports'!B1146,IF(ROW()=2,"",B1146))</f>
      </c>
      <c r="C1147">
        <f>IF('R.M Billets Reports'!A1146="V.No.",'R.M Billets Reports'!B1146,IF(ROW()=2,"",C1146))</f>
      </c>
      <c r="D1147">
        <f>IF('R.M Billets Reports'!A1146&lt;&gt;"",'R.M Billets Reports'!A1146,IF(ROW()=2,"",D1146))</f>
      </c>
      <c r="E1147">
        <f>IF('R.M Billets Reports'!B1146="","",TRIM('R.M Billets Reports'!B1146))</f>
      </c>
      <c r="F1147">
        <f>'R.M Billets Reports'!C1146</f>
      </c>
      <c r="G1147">
        <f>'R.M Billets Reports'!D1146</f>
      </c>
      <c r="H1147">
        <f>'R.M Billets Reports'!E1146</f>
      </c>
      <c r="I1147">
        <f>'R.M Billets Reports'!F1146</f>
      </c>
      <c r="J1147">
        <f>'R.M Billets Reports'!G1146</f>
      </c>
      <c r="K1147">
        <f>'R.M Billets Reports'!H1146</f>
      </c>
      <c r="L1147">
        <f>IF('R.M Billets Reports'!I1146="","",'R.M Billets Reports'!I1146)</f>
      </c>
      <c r="M1147">
        <f t="shared" si="34"/>
      </c>
      <c r="N1147">
        <f>IF('R.M Billets Reports'!J1146="","",'R.M Billets Reports'!J1146)</f>
      </c>
      <c r="O1147">
        <f t="shared" si="35"/>
      </c>
      <c r="P1147">
        <f>IF('R.M Billets Reports'!A1146="SIZE",'R.M Billets Reports'!B1146,P1146)</f>
      </c>
    </row>
    <row r="1148" spans="1:16" x14ac:dyDescent="0.25">
      <c r="A1148">
        <f>IF(OR('R.M Billets Reports'!A1147="Date-",'R.M Billets Reports'!A1147="Date:-"),IF(IF(IF(ISNUMBER(SEARCH("Party Name:-",'R.M Billets Reports'!D1147)),TRIM('R.M Billets Reports'!F1147),IF(ISNUMBER(SEARCH("Party Name-",'R.M Billets Reports'!D1147)),TRIM(MID('R.M Billets Reports'!D1147,SEARCH("-",'R.M Billets Reports'!D1147)+1,200)),""))&lt;&gt;"",IF(ISNUMBER(SEARCH("Party Name:-",'R.M Billets Reports'!D1147)),TRIM('R.M Billets Reports'!F1147),IF(ISNUMBER(SEARCH("Party Name-",'R.M Billets Reports'!D1147)),TRIM(MID('R.M Billets Reports'!D1147,SEARCH("-",'R.M Billets Reports'!D1147)+1,200)),"")),IF(ISNUMBER(SEARCH("Party Name:-",'R.M Billets Reports'!D1148)),TRIM('R.M Billets Reports'!F1148),IF(ISNUMBER(SEARCH("Party Name-",'R.M Billets Reports'!D1148)),TRIM(MID('R.M Billets Reports'!D1148,SEARCH("-",'R.M Billets Reports'!D1148)+1,200)),"")))="VRKP ISPAT PVT LTD","VRKP",IF(IF(IF(ISNUMBER(SEARCH("Party Name:-",'R.M Billets Reports'!D1147)),TRIM('R.M Billets Reports'!F1147),IF(ISNUMBER(SEARCH("Party Name-",'R.M Billets Reports'!D1147)),TRIM(MID('R.M Billets Reports'!D1147,SEARCH("-",'R.M Billets Reports'!D1147)+1,200)),""))&lt;&gt;"",IF(ISNUMBER(SEARCH("Party Name:-",'R.M Billets Reports'!D1147)),TRIM('R.M Billets Reports'!F1147),IF(ISNUMBER(SEARCH("Party Name-",'R.M Billets Reports'!D1147)),TRIM(MID('R.M Billets Reports'!D1147,SEARCH("-",'R.M Billets Reports'!D1147)+1,200)),"")),IF(ISNUMBER(SEARCH("Party Name:-",'R.M Billets Reports'!D1148)),TRIM('R.M Billets Reports'!F1148),IF(ISNUMBER(SEARCH("Party Name-",'R.M Billets Reports'!D1148)),TRIM(MID('R.M Billets Reports'!D1148,SEARCH("-",'R.M Billets Reports'!D1148)+1,200)),"")))="SHRI RADHE","SHREE RADHE",IF(IF(IF(ISNUMBER(SEARCH("Party Name:-",'R.M Billets Reports'!D1147)),TRIM('R.M Billets Reports'!F1147),IF(ISNUMBER(SEARCH("Party Name-",'R.M Billets Reports'!D1147)),TRIM(MID('R.M Billets Reports'!D1147,SEARCH("-",'R.M Billets Reports'!D1147)+1,200)),""))&lt;&gt;"",IF(ISNUMBER(SEARCH("Party Name:-",'R.M Billets Reports'!D1147)),TRIM('R.M Billets Reports'!F1147),IF(ISNUMBER(SEARCH("Party Name-",'R.M Billets Reports'!D1147)),TRIM(MID('R.M Billets Reports'!D1147,SEARCH("-",'R.M Billets Reports'!D1147)+1,200)),"")),IF(ISNUMBER(SEARCH("Party Name:-",'R.M Billets Reports'!D1148)),TRIM('R.M Billets Reports'!F1148),IF(ISNUMBER(SEARCH("Party Name-",'R.M Billets Reports'!D1148)),TRIM(MID('R.M Billets Reports'!D1148,SEARCH("-",'R.M Billets Reports'!D1148)+1,200)),"")))="SHREE RADHE SHAKTI SPONGE AND POWER PVT. LTD.","SHREE RADHE",IF(IF(ISNUMBER(SEARCH("Party Name:-",'R.M Billets Reports'!D1147)),TRIM('R.M Billets Reports'!F1147),IF(ISNUMBER(SEARCH("Party Name-",'R.M Billets Reports'!D1147)),TRIM(MID('R.M Billets Reports'!D1147,SEARCH("-",'R.M Billets Reports'!D1147)+1,200)),""))&lt;&gt;"",IF(ISNUMBER(SEARCH("Party Name:-",'R.M Billets Reports'!D1147)),TRIM('R.M Billets Reports'!F1147),IF(ISNUMBER(SEARCH("Party Name-",'R.M Billets Reports'!D1147)),TRIM(MID('R.M Billets Reports'!D1147,SEARCH("-",'R.M Billets Reports'!D1147)+1,200)),"")),IF(ISNUMBER(SEARCH("Party Name:-",'R.M Billets Reports'!D1148)),TRIM('R.M Billets Reports'!F1148),IF(ISNUMBER(SEARCH("Party Name-",'R.M Billets Reports'!D1148)),TRIM(MID('R.M Billets Reports'!D1148,SEARCH("-",'R.M Billets Reports'!D1148)+1,200)),"")))))),IF(ROW()=2,"",A1147))</f>
      </c>
      <c r="B1148">
        <f>IF(OR('R.M Billets Reports'!A1147="Date-",'R.M Billets Reports'!A1147="Date:-"),'R.M Billets Reports'!B1147,IF(ROW()=2,"",B1147))</f>
      </c>
      <c r="C1148">
        <f>IF('R.M Billets Reports'!A1147="V.No.",'R.M Billets Reports'!B1147,IF(ROW()=2,"",C1147))</f>
      </c>
      <c r="D1148">
        <f>IF('R.M Billets Reports'!A1147&lt;&gt;"",'R.M Billets Reports'!A1147,IF(ROW()=2,"",D1147))</f>
      </c>
      <c r="E1148">
        <f>IF('R.M Billets Reports'!B1147="","",TRIM('R.M Billets Reports'!B1147))</f>
      </c>
      <c r="F1148">
        <f>'R.M Billets Reports'!C1147</f>
      </c>
      <c r="G1148">
        <f>'R.M Billets Reports'!D1147</f>
      </c>
      <c r="H1148">
        <f>'R.M Billets Reports'!E1147</f>
      </c>
      <c r="I1148">
        <f>'R.M Billets Reports'!F1147</f>
      </c>
      <c r="J1148">
        <f>'R.M Billets Reports'!G1147</f>
      </c>
      <c r="K1148">
        <f>'R.M Billets Reports'!H1147</f>
      </c>
      <c r="L1148">
        <f>IF('R.M Billets Reports'!I1147="","",'R.M Billets Reports'!I1147)</f>
      </c>
      <c r="M1148">
        <f t="shared" si="34"/>
      </c>
      <c r="N1148">
        <f>IF('R.M Billets Reports'!J1147="","",'R.M Billets Reports'!J1147)</f>
      </c>
      <c r="O1148">
        <f t="shared" si="35"/>
      </c>
      <c r="P1148">
        <f>IF('R.M Billets Reports'!A1147="SIZE",'R.M Billets Reports'!B1147,P1147)</f>
      </c>
    </row>
    <row r="1149" spans="1:16" x14ac:dyDescent="0.25">
      <c r="A1149">
        <f>IF(OR('R.M Billets Reports'!A1148="Date-",'R.M Billets Reports'!A1148="Date:-"),IF(IF(IF(ISNUMBER(SEARCH("Party Name:-",'R.M Billets Reports'!D1148)),TRIM('R.M Billets Reports'!F1148),IF(ISNUMBER(SEARCH("Party Name-",'R.M Billets Reports'!D1148)),TRIM(MID('R.M Billets Reports'!D1148,SEARCH("-",'R.M Billets Reports'!D1148)+1,200)),""))&lt;&gt;"",IF(ISNUMBER(SEARCH("Party Name:-",'R.M Billets Reports'!D1148)),TRIM('R.M Billets Reports'!F1148),IF(ISNUMBER(SEARCH("Party Name-",'R.M Billets Reports'!D1148)),TRIM(MID('R.M Billets Reports'!D1148,SEARCH("-",'R.M Billets Reports'!D1148)+1,200)),"")),IF(ISNUMBER(SEARCH("Party Name:-",'R.M Billets Reports'!D1149)),TRIM('R.M Billets Reports'!F1149),IF(ISNUMBER(SEARCH("Party Name-",'R.M Billets Reports'!D1149)),TRIM(MID('R.M Billets Reports'!D1149,SEARCH("-",'R.M Billets Reports'!D1149)+1,200)),"")))="VRKP ISPAT PVT LTD","VRKP",IF(IF(IF(ISNUMBER(SEARCH("Party Name:-",'R.M Billets Reports'!D1148)),TRIM('R.M Billets Reports'!F1148),IF(ISNUMBER(SEARCH("Party Name-",'R.M Billets Reports'!D1148)),TRIM(MID('R.M Billets Reports'!D1148,SEARCH("-",'R.M Billets Reports'!D1148)+1,200)),""))&lt;&gt;"",IF(ISNUMBER(SEARCH("Party Name:-",'R.M Billets Reports'!D1148)),TRIM('R.M Billets Reports'!F1148),IF(ISNUMBER(SEARCH("Party Name-",'R.M Billets Reports'!D1148)),TRIM(MID('R.M Billets Reports'!D1148,SEARCH("-",'R.M Billets Reports'!D1148)+1,200)),"")),IF(ISNUMBER(SEARCH("Party Name:-",'R.M Billets Reports'!D1149)),TRIM('R.M Billets Reports'!F1149),IF(ISNUMBER(SEARCH("Party Name-",'R.M Billets Reports'!D1149)),TRIM(MID('R.M Billets Reports'!D1149,SEARCH("-",'R.M Billets Reports'!D1149)+1,200)),"")))="SHRI RADHE","SHREE RADHE",IF(IF(IF(ISNUMBER(SEARCH("Party Name:-",'R.M Billets Reports'!D1148)),TRIM('R.M Billets Reports'!F1148),IF(ISNUMBER(SEARCH("Party Name-",'R.M Billets Reports'!D1148)),TRIM(MID('R.M Billets Reports'!D1148,SEARCH("-",'R.M Billets Reports'!D1148)+1,200)),""))&lt;&gt;"",IF(ISNUMBER(SEARCH("Party Name:-",'R.M Billets Reports'!D1148)),TRIM('R.M Billets Reports'!F1148),IF(ISNUMBER(SEARCH("Party Name-",'R.M Billets Reports'!D1148)),TRIM(MID('R.M Billets Reports'!D1148,SEARCH("-",'R.M Billets Reports'!D1148)+1,200)),"")),IF(ISNUMBER(SEARCH("Party Name:-",'R.M Billets Reports'!D1149)),TRIM('R.M Billets Reports'!F1149),IF(ISNUMBER(SEARCH("Party Name-",'R.M Billets Reports'!D1149)),TRIM(MID('R.M Billets Reports'!D1149,SEARCH("-",'R.M Billets Reports'!D1149)+1,200)),"")))="SHREE RADHE SHAKTI SPONGE AND POWER PVT. LTD.","SHREE RADHE",IF(IF(ISNUMBER(SEARCH("Party Name:-",'R.M Billets Reports'!D1148)),TRIM('R.M Billets Reports'!F1148),IF(ISNUMBER(SEARCH("Party Name-",'R.M Billets Reports'!D1148)),TRIM(MID('R.M Billets Reports'!D1148,SEARCH("-",'R.M Billets Reports'!D1148)+1,200)),""))&lt;&gt;"",IF(ISNUMBER(SEARCH("Party Name:-",'R.M Billets Reports'!D1148)),TRIM('R.M Billets Reports'!F1148),IF(ISNUMBER(SEARCH("Party Name-",'R.M Billets Reports'!D1148)),TRIM(MID('R.M Billets Reports'!D1148,SEARCH("-",'R.M Billets Reports'!D1148)+1,200)),"")),IF(ISNUMBER(SEARCH("Party Name:-",'R.M Billets Reports'!D1149)),TRIM('R.M Billets Reports'!F1149),IF(ISNUMBER(SEARCH("Party Name-",'R.M Billets Reports'!D1149)),TRIM(MID('R.M Billets Reports'!D1149,SEARCH("-",'R.M Billets Reports'!D1149)+1,200)),"")))))),IF(ROW()=2,"",A1148))</f>
      </c>
      <c r="B1149">
        <f>IF(OR('R.M Billets Reports'!A1148="Date-",'R.M Billets Reports'!A1148="Date:-"),'R.M Billets Reports'!B1148,IF(ROW()=2,"",B1148))</f>
      </c>
      <c r="C1149">
        <f>IF('R.M Billets Reports'!A1148="V.No.",'R.M Billets Reports'!B1148,IF(ROW()=2,"",C1148))</f>
      </c>
      <c r="D1149">
        <f>IF('R.M Billets Reports'!A1148&lt;&gt;"",'R.M Billets Reports'!A1148,IF(ROW()=2,"",D1148))</f>
      </c>
      <c r="E1149">
        <f>IF('R.M Billets Reports'!B1148="","",TRIM('R.M Billets Reports'!B1148))</f>
      </c>
      <c r="F1149">
        <f>'R.M Billets Reports'!C1148</f>
      </c>
      <c r="G1149">
        <f>'R.M Billets Reports'!D1148</f>
      </c>
      <c r="H1149">
        <f>'R.M Billets Reports'!E1148</f>
      </c>
      <c r="I1149">
        <f>'R.M Billets Reports'!F1148</f>
      </c>
      <c r="J1149">
        <f>'R.M Billets Reports'!G1148</f>
      </c>
      <c r="K1149">
        <f>'R.M Billets Reports'!H1148</f>
      </c>
      <c r="L1149">
        <f>IF('R.M Billets Reports'!I1148="","",'R.M Billets Reports'!I1148)</f>
      </c>
      <c r="M1149">
        <f t="shared" si="34"/>
      </c>
      <c r="N1149">
        <f>IF('R.M Billets Reports'!J1148="","",'R.M Billets Reports'!J1148)</f>
      </c>
      <c r="O1149">
        <f t="shared" si="35"/>
      </c>
      <c r="P1149">
        <f>IF('R.M Billets Reports'!A1148="SIZE",'R.M Billets Reports'!B1148,P1148)</f>
      </c>
    </row>
    <row r="1150" spans="1:16" x14ac:dyDescent="0.25">
      <c r="A1150">
        <f>IF(OR('R.M Billets Reports'!A1149="Date-",'R.M Billets Reports'!A1149="Date:-"),IF(IF(IF(ISNUMBER(SEARCH("Party Name:-",'R.M Billets Reports'!D1149)),TRIM('R.M Billets Reports'!F1149),IF(ISNUMBER(SEARCH("Party Name-",'R.M Billets Reports'!D1149)),TRIM(MID('R.M Billets Reports'!D1149,SEARCH("-",'R.M Billets Reports'!D1149)+1,200)),""))&lt;&gt;"",IF(ISNUMBER(SEARCH("Party Name:-",'R.M Billets Reports'!D1149)),TRIM('R.M Billets Reports'!F1149),IF(ISNUMBER(SEARCH("Party Name-",'R.M Billets Reports'!D1149)),TRIM(MID('R.M Billets Reports'!D1149,SEARCH("-",'R.M Billets Reports'!D1149)+1,200)),"")),IF(ISNUMBER(SEARCH("Party Name:-",'R.M Billets Reports'!D1150)),TRIM('R.M Billets Reports'!F1150),IF(ISNUMBER(SEARCH("Party Name-",'R.M Billets Reports'!D1150)),TRIM(MID('R.M Billets Reports'!D1150,SEARCH("-",'R.M Billets Reports'!D1150)+1,200)),"")))="VRKP ISPAT PVT LTD","VRKP",IF(IF(IF(ISNUMBER(SEARCH("Party Name:-",'R.M Billets Reports'!D1149)),TRIM('R.M Billets Reports'!F1149),IF(ISNUMBER(SEARCH("Party Name-",'R.M Billets Reports'!D1149)),TRIM(MID('R.M Billets Reports'!D1149,SEARCH("-",'R.M Billets Reports'!D1149)+1,200)),""))&lt;&gt;"",IF(ISNUMBER(SEARCH("Party Name:-",'R.M Billets Reports'!D1149)),TRIM('R.M Billets Reports'!F1149),IF(ISNUMBER(SEARCH("Party Name-",'R.M Billets Reports'!D1149)),TRIM(MID('R.M Billets Reports'!D1149,SEARCH("-",'R.M Billets Reports'!D1149)+1,200)),"")),IF(ISNUMBER(SEARCH("Party Name:-",'R.M Billets Reports'!D1150)),TRIM('R.M Billets Reports'!F1150),IF(ISNUMBER(SEARCH("Party Name-",'R.M Billets Reports'!D1150)),TRIM(MID('R.M Billets Reports'!D1150,SEARCH("-",'R.M Billets Reports'!D1150)+1,200)),"")))="SHRI RADHE","SHREE RADHE",IF(IF(IF(ISNUMBER(SEARCH("Party Name:-",'R.M Billets Reports'!D1149)),TRIM('R.M Billets Reports'!F1149),IF(ISNUMBER(SEARCH("Party Name-",'R.M Billets Reports'!D1149)),TRIM(MID('R.M Billets Reports'!D1149,SEARCH("-",'R.M Billets Reports'!D1149)+1,200)),""))&lt;&gt;"",IF(ISNUMBER(SEARCH("Party Name:-",'R.M Billets Reports'!D1149)),TRIM('R.M Billets Reports'!F1149),IF(ISNUMBER(SEARCH("Party Name-",'R.M Billets Reports'!D1149)),TRIM(MID('R.M Billets Reports'!D1149,SEARCH("-",'R.M Billets Reports'!D1149)+1,200)),"")),IF(ISNUMBER(SEARCH("Party Name:-",'R.M Billets Reports'!D1150)),TRIM('R.M Billets Reports'!F1150),IF(ISNUMBER(SEARCH("Party Name-",'R.M Billets Reports'!D1150)),TRIM(MID('R.M Billets Reports'!D1150,SEARCH("-",'R.M Billets Reports'!D1150)+1,200)),"")))="SHREE RADHE SHAKTI SPONGE AND POWER PVT. LTD.","SHREE RADHE",IF(IF(ISNUMBER(SEARCH("Party Name:-",'R.M Billets Reports'!D1149)),TRIM('R.M Billets Reports'!F1149),IF(ISNUMBER(SEARCH("Party Name-",'R.M Billets Reports'!D1149)),TRIM(MID('R.M Billets Reports'!D1149,SEARCH("-",'R.M Billets Reports'!D1149)+1,200)),""))&lt;&gt;"",IF(ISNUMBER(SEARCH("Party Name:-",'R.M Billets Reports'!D1149)),TRIM('R.M Billets Reports'!F1149),IF(ISNUMBER(SEARCH("Party Name-",'R.M Billets Reports'!D1149)),TRIM(MID('R.M Billets Reports'!D1149,SEARCH("-",'R.M Billets Reports'!D1149)+1,200)),"")),IF(ISNUMBER(SEARCH("Party Name:-",'R.M Billets Reports'!D1150)),TRIM('R.M Billets Reports'!F1150),IF(ISNUMBER(SEARCH("Party Name-",'R.M Billets Reports'!D1150)),TRIM(MID('R.M Billets Reports'!D1150,SEARCH("-",'R.M Billets Reports'!D1150)+1,200)),"")))))),IF(ROW()=2,"",A1149))</f>
      </c>
      <c r="B1150">
        <f>IF(OR('R.M Billets Reports'!A1149="Date-",'R.M Billets Reports'!A1149="Date:-"),'R.M Billets Reports'!B1149,IF(ROW()=2,"",B1149))</f>
      </c>
      <c r="C1150">
        <f>IF('R.M Billets Reports'!A1149="V.No.",'R.M Billets Reports'!B1149,IF(ROW()=2,"",C1149))</f>
      </c>
      <c r="D1150">
        <f>IF('R.M Billets Reports'!A1149&lt;&gt;"",'R.M Billets Reports'!A1149,IF(ROW()=2,"",D1149))</f>
      </c>
      <c r="E1150">
        <f>IF('R.M Billets Reports'!B1149="","",TRIM('R.M Billets Reports'!B1149))</f>
      </c>
      <c r="F1150">
        <f>'R.M Billets Reports'!C1149</f>
      </c>
      <c r="G1150">
        <f>'R.M Billets Reports'!D1149</f>
      </c>
      <c r="H1150">
        <f>'R.M Billets Reports'!E1149</f>
      </c>
      <c r="I1150">
        <f>'R.M Billets Reports'!F1149</f>
      </c>
      <c r="J1150">
        <f>'R.M Billets Reports'!G1149</f>
      </c>
      <c r="K1150">
        <f>'R.M Billets Reports'!H1149</f>
      </c>
      <c r="L1150">
        <f>IF('R.M Billets Reports'!I1149="","",'R.M Billets Reports'!I1149)</f>
      </c>
      <c r="M1150">
        <f t="shared" si="34"/>
      </c>
      <c r="N1150">
        <f>IF('R.M Billets Reports'!J1149="","",'R.M Billets Reports'!J1149)</f>
      </c>
      <c r="O1150">
        <f t="shared" si="35"/>
      </c>
      <c r="P1150">
        <f>IF('R.M Billets Reports'!A1149="SIZE",'R.M Billets Reports'!B1149,P1149)</f>
      </c>
    </row>
    <row r="1151" spans="1:16" x14ac:dyDescent="0.25">
      <c r="A1151">
        <f>IF(OR('R.M Billets Reports'!A1150="Date-",'R.M Billets Reports'!A1150="Date:-"),IF(IF(IF(ISNUMBER(SEARCH("Party Name:-",'R.M Billets Reports'!D1150)),TRIM('R.M Billets Reports'!F1150),IF(ISNUMBER(SEARCH("Party Name-",'R.M Billets Reports'!D1150)),TRIM(MID('R.M Billets Reports'!D1150,SEARCH("-",'R.M Billets Reports'!D1150)+1,200)),""))&lt;&gt;"",IF(ISNUMBER(SEARCH("Party Name:-",'R.M Billets Reports'!D1150)),TRIM('R.M Billets Reports'!F1150),IF(ISNUMBER(SEARCH("Party Name-",'R.M Billets Reports'!D1150)),TRIM(MID('R.M Billets Reports'!D1150,SEARCH("-",'R.M Billets Reports'!D1150)+1,200)),"")),IF(ISNUMBER(SEARCH("Party Name:-",'R.M Billets Reports'!D1151)),TRIM('R.M Billets Reports'!F1151),IF(ISNUMBER(SEARCH("Party Name-",'R.M Billets Reports'!D1151)),TRIM(MID('R.M Billets Reports'!D1151,SEARCH("-",'R.M Billets Reports'!D1151)+1,200)),"")))="VRKP ISPAT PVT LTD","VRKP",IF(IF(IF(ISNUMBER(SEARCH("Party Name:-",'R.M Billets Reports'!D1150)),TRIM('R.M Billets Reports'!F1150),IF(ISNUMBER(SEARCH("Party Name-",'R.M Billets Reports'!D1150)),TRIM(MID('R.M Billets Reports'!D1150,SEARCH("-",'R.M Billets Reports'!D1150)+1,200)),""))&lt;&gt;"",IF(ISNUMBER(SEARCH("Party Name:-",'R.M Billets Reports'!D1150)),TRIM('R.M Billets Reports'!F1150),IF(ISNUMBER(SEARCH("Party Name-",'R.M Billets Reports'!D1150)),TRIM(MID('R.M Billets Reports'!D1150,SEARCH("-",'R.M Billets Reports'!D1150)+1,200)),"")),IF(ISNUMBER(SEARCH("Party Name:-",'R.M Billets Reports'!D1151)),TRIM('R.M Billets Reports'!F1151),IF(ISNUMBER(SEARCH("Party Name-",'R.M Billets Reports'!D1151)),TRIM(MID('R.M Billets Reports'!D1151,SEARCH("-",'R.M Billets Reports'!D1151)+1,200)),"")))="SHRI RADHE","SHREE RADHE",IF(IF(IF(ISNUMBER(SEARCH("Party Name:-",'R.M Billets Reports'!D1150)),TRIM('R.M Billets Reports'!F1150),IF(ISNUMBER(SEARCH("Party Name-",'R.M Billets Reports'!D1150)),TRIM(MID('R.M Billets Reports'!D1150,SEARCH("-",'R.M Billets Reports'!D1150)+1,200)),""))&lt;&gt;"",IF(ISNUMBER(SEARCH("Party Name:-",'R.M Billets Reports'!D1150)),TRIM('R.M Billets Reports'!F1150),IF(ISNUMBER(SEARCH("Party Name-",'R.M Billets Reports'!D1150)),TRIM(MID('R.M Billets Reports'!D1150,SEARCH("-",'R.M Billets Reports'!D1150)+1,200)),"")),IF(ISNUMBER(SEARCH("Party Name:-",'R.M Billets Reports'!D1151)),TRIM('R.M Billets Reports'!F1151),IF(ISNUMBER(SEARCH("Party Name-",'R.M Billets Reports'!D1151)),TRIM(MID('R.M Billets Reports'!D1151,SEARCH("-",'R.M Billets Reports'!D1151)+1,200)),"")))="SHREE RADHE SHAKTI SPONGE AND POWER PVT. LTD.","SHREE RADHE",IF(IF(ISNUMBER(SEARCH("Party Name:-",'R.M Billets Reports'!D1150)),TRIM('R.M Billets Reports'!F1150),IF(ISNUMBER(SEARCH("Party Name-",'R.M Billets Reports'!D1150)),TRIM(MID('R.M Billets Reports'!D1150,SEARCH("-",'R.M Billets Reports'!D1150)+1,200)),""))&lt;&gt;"",IF(ISNUMBER(SEARCH("Party Name:-",'R.M Billets Reports'!D1150)),TRIM('R.M Billets Reports'!F1150),IF(ISNUMBER(SEARCH("Party Name-",'R.M Billets Reports'!D1150)),TRIM(MID('R.M Billets Reports'!D1150,SEARCH("-",'R.M Billets Reports'!D1150)+1,200)),"")),IF(ISNUMBER(SEARCH("Party Name:-",'R.M Billets Reports'!D1151)),TRIM('R.M Billets Reports'!F1151),IF(ISNUMBER(SEARCH("Party Name-",'R.M Billets Reports'!D1151)),TRIM(MID('R.M Billets Reports'!D1151,SEARCH("-",'R.M Billets Reports'!D1151)+1,200)),"")))))),IF(ROW()=2,"",A1150))</f>
      </c>
      <c r="B1151">
        <f>IF(OR('R.M Billets Reports'!A1150="Date-",'R.M Billets Reports'!A1150="Date:-"),'R.M Billets Reports'!B1150,IF(ROW()=2,"",B1150))</f>
      </c>
      <c r="C1151">
        <f>IF('R.M Billets Reports'!A1150="V.No.",'R.M Billets Reports'!B1150,IF(ROW()=2,"",C1150))</f>
      </c>
      <c r="D1151">
        <f>IF('R.M Billets Reports'!A1150&lt;&gt;"",'R.M Billets Reports'!A1150,IF(ROW()=2,"",D1150))</f>
      </c>
      <c r="E1151">
        <f>IF('R.M Billets Reports'!B1150="","",TRIM('R.M Billets Reports'!B1150))</f>
      </c>
      <c r="F1151">
        <f>'R.M Billets Reports'!C1150</f>
      </c>
      <c r="G1151">
        <f>'R.M Billets Reports'!D1150</f>
      </c>
      <c r="H1151">
        <f>'R.M Billets Reports'!E1150</f>
      </c>
      <c r="I1151">
        <f>'R.M Billets Reports'!F1150</f>
      </c>
      <c r="J1151">
        <f>'R.M Billets Reports'!G1150</f>
      </c>
      <c r="K1151">
        <f>'R.M Billets Reports'!H1150</f>
      </c>
      <c r="L1151">
        <f>IF('R.M Billets Reports'!I1150="","",'R.M Billets Reports'!I1150)</f>
      </c>
      <c r="M1151">
        <f t="shared" si="34"/>
      </c>
      <c r="N1151">
        <f>IF('R.M Billets Reports'!J1150="","",'R.M Billets Reports'!J1150)</f>
      </c>
      <c r="O1151">
        <f t="shared" si="35"/>
      </c>
      <c r="P1151">
        <f>IF('R.M Billets Reports'!A1150="SIZE",'R.M Billets Reports'!B1150,P1150)</f>
      </c>
    </row>
    <row r="1152" spans="1:16" x14ac:dyDescent="0.25">
      <c r="A1152">
        <f>IF(OR('R.M Billets Reports'!A1151="Date-",'R.M Billets Reports'!A1151="Date:-"),IF(IF(IF(ISNUMBER(SEARCH("Party Name:-",'R.M Billets Reports'!D1151)),TRIM('R.M Billets Reports'!F1151),IF(ISNUMBER(SEARCH("Party Name-",'R.M Billets Reports'!D1151)),TRIM(MID('R.M Billets Reports'!D1151,SEARCH("-",'R.M Billets Reports'!D1151)+1,200)),""))&lt;&gt;"",IF(ISNUMBER(SEARCH("Party Name:-",'R.M Billets Reports'!D1151)),TRIM('R.M Billets Reports'!F1151),IF(ISNUMBER(SEARCH("Party Name-",'R.M Billets Reports'!D1151)),TRIM(MID('R.M Billets Reports'!D1151,SEARCH("-",'R.M Billets Reports'!D1151)+1,200)),"")),IF(ISNUMBER(SEARCH("Party Name:-",'R.M Billets Reports'!D1152)),TRIM('R.M Billets Reports'!F1152),IF(ISNUMBER(SEARCH("Party Name-",'R.M Billets Reports'!D1152)),TRIM(MID('R.M Billets Reports'!D1152,SEARCH("-",'R.M Billets Reports'!D1152)+1,200)),"")))="VRKP ISPAT PVT LTD","VRKP",IF(IF(IF(ISNUMBER(SEARCH("Party Name:-",'R.M Billets Reports'!D1151)),TRIM('R.M Billets Reports'!F1151),IF(ISNUMBER(SEARCH("Party Name-",'R.M Billets Reports'!D1151)),TRIM(MID('R.M Billets Reports'!D1151,SEARCH("-",'R.M Billets Reports'!D1151)+1,200)),""))&lt;&gt;"",IF(ISNUMBER(SEARCH("Party Name:-",'R.M Billets Reports'!D1151)),TRIM('R.M Billets Reports'!F1151),IF(ISNUMBER(SEARCH("Party Name-",'R.M Billets Reports'!D1151)),TRIM(MID('R.M Billets Reports'!D1151,SEARCH("-",'R.M Billets Reports'!D1151)+1,200)),"")),IF(ISNUMBER(SEARCH("Party Name:-",'R.M Billets Reports'!D1152)),TRIM('R.M Billets Reports'!F1152),IF(ISNUMBER(SEARCH("Party Name-",'R.M Billets Reports'!D1152)),TRIM(MID('R.M Billets Reports'!D1152,SEARCH("-",'R.M Billets Reports'!D1152)+1,200)),"")))="SHRI RADHE","SHREE RADHE",IF(IF(IF(ISNUMBER(SEARCH("Party Name:-",'R.M Billets Reports'!D1151)),TRIM('R.M Billets Reports'!F1151),IF(ISNUMBER(SEARCH("Party Name-",'R.M Billets Reports'!D1151)),TRIM(MID('R.M Billets Reports'!D1151,SEARCH("-",'R.M Billets Reports'!D1151)+1,200)),""))&lt;&gt;"",IF(ISNUMBER(SEARCH("Party Name:-",'R.M Billets Reports'!D1151)),TRIM('R.M Billets Reports'!F1151),IF(ISNUMBER(SEARCH("Party Name-",'R.M Billets Reports'!D1151)),TRIM(MID('R.M Billets Reports'!D1151,SEARCH("-",'R.M Billets Reports'!D1151)+1,200)),"")),IF(ISNUMBER(SEARCH("Party Name:-",'R.M Billets Reports'!D1152)),TRIM('R.M Billets Reports'!F1152),IF(ISNUMBER(SEARCH("Party Name-",'R.M Billets Reports'!D1152)),TRIM(MID('R.M Billets Reports'!D1152,SEARCH("-",'R.M Billets Reports'!D1152)+1,200)),"")))="SHREE RADHE SHAKTI SPONGE AND POWER PVT. LTD.","SHREE RADHE",IF(IF(ISNUMBER(SEARCH("Party Name:-",'R.M Billets Reports'!D1151)),TRIM('R.M Billets Reports'!F1151),IF(ISNUMBER(SEARCH("Party Name-",'R.M Billets Reports'!D1151)),TRIM(MID('R.M Billets Reports'!D1151,SEARCH("-",'R.M Billets Reports'!D1151)+1,200)),""))&lt;&gt;"",IF(ISNUMBER(SEARCH("Party Name:-",'R.M Billets Reports'!D1151)),TRIM('R.M Billets Reports'!F1151),IF(ISNUMBER(SEARCH("Party Name-",'R.M Billets Reports'!D1151)),TRIM(MID('R.M Billets Reports'!D1151,SEARCH("-",'R.M Billets Reports'!D1151)+1,200)),"")),IF(ISNUMBER(SEARCH("Party Name:-",'R.M Billets Reports'!D1152)),TRIM('R.M Billets Reports'!F1152),IF(ISNUMBER(SEARCH("Party Name-",'R.M Billets Reports'!D1152)),TRIM(MID('R.M Billets Reports'!D1152,SEARCH("-",'R.M Billets Reports'!D1152)+1,200)),"")))))),IF(ROW()=2,"",A1151))</f>
      </c>
      <c r="B1152">
        <f>IF(OR('R.M Billets Reports'!A1151="Date-",'R.M Billets Reports'!A1151="Date:-"),'R.M Billets Reports'!B1151,IF(ROW()=2,"",B1151))</f>
      </c>
      <c r="C1152">
        <f>IF('R.M Billets Reports'!A1151="V.No.",'R.M Billets Reports'!B1151,IF(ROW()=2,"",C1151))</f>
      </c>
      <c r="D1152">
        <f>IF('R.M Billets Reports'!A1151&lt;&gt;"",'R.M Billets Reports'!A1151,IF(ROW()=2,"",D1151))</f>
      </c>
      <c r="E1152">
        <f>IF('R.M Billets Reports'!B1151="","",TRIM('R.M Billets Reports'!B1151))</f>
      </c>
      <c r="F1152">
        <f>'R.M Billets Reports'!C1151</f>
      </c>
      <c r="G1152">
        <f>'R.M Billets Reports'!D1151</f>
      </c>
      <c r="H1152">
        <f>'R.M Billets Reports'!E1151</f>
      </c>
      <c r="I1152">
        <f>'R.M Billets Reports'!F1151</f>
      </c>
      <c r="J1152">
        <f>'R.M Billets Reports'!G1151</f>
      </c>
      <c r="K1152">
        <f>'R.M Billets Reports'!H1151</f>
      </c>
      <c r="L1152">
        <f>IF('R.M Billets Reports'!I1151="","",'R.M Billets Reports'!I1151)</f>
      </c>
      <c r="M1152">
        <f t="shared" si="34"/>
      </c>
      <c r="N1152">
        <f>IF('R.M Billets Reports'!J1151="","",'R.M Billets Reports'!J1151)</f>
      </c>
      <c r="O1152">
        <f t="shared" si="35"/>
      </c>
      <c r="P1152">
        <f>IF('R.M Billets Reports'!A1151="SIZE",'R.M Billets Reports'!B1151,P1151)</f>
      </c>
    </row>
    <row r="1153" spans="1:16" x14ac:dyDescent="0.25">
      <c r="A1153">
        <f>IF(OR('R.M Billets Reports'!A1152="Date-",'R.M Billets Reports'!A1152="Date:-"),IF(IF(IF(ISNUMBER(SEARCH("Party Name:-",'R.M Billets Reports'!D1152)),TRIM('R.M Billets Reports'!F1152),IF(ISNUMBER(SEARCH("Party Name-",'R.M Billets Reports'!D1152)),TRIM(MID('R.M Billets Reports'!D1152,SEARCH("-",'R.M Billets Reports'!D1152)+1,200)),""))&lt;&gt;"",IF(ISNUMBER(SEARCH("Party Name:-",'R.M Billets Reports'!D1152)),TRIM('R.M Billets Reports'!F1152),IF(ISNUMBER(SEARCH("Party Name-",'R.M Billets Reports'!D1152)),TRIM(MID('R.M Billets Reports'!D1152,SEARCH("-",'R.M Billets Reports'!D1152)+1,200)),"")),IF(ISNUMBER(SEARCH("Party Name:-",'R.M Billets Reports'!D1153)),TRIM('R.M Billets Reports'!F1153),IF(ISNUMBER(SEARCH("Party Name-",'R.M Billets Reports'!D1153)),TRIM(MID('R.M Billets Reports'!D1153,SEARCH("-",'R.M Billets Reports'!D1153)+1,200)),"")))="VRKP ISPAT PVT LTD","VRKP",IF(IF(IF(ISNUMBER(SEARCH("Party Name:-",'R.M Billets Reports'!D1152)),TRIM('R.M Billets Reports'!F1152),IF(ISNUMBER(SEARCH("Party Name-",'R.M Billets Reports'!D1152)),TRIM(MID('R.M Billets Reports'!D1152,SEARCH("-",'R.M Billets Reports'!D1152)+1,200)),""))&lt;&gt;"",IF(ISNUMBER(SEARCH("Party Name:-",'R.M Billets Reports'!D1152)),TRIM('R.M Billets Reports'!F1152),IF(ISNUMBER(SEARCH("Party Name-",'R.M Billets Reports'!D1152)),TRIM(MID('R.M Billets Reports'!D1152,SEARCH("-",'R.M Billets Reports'!D1152)+1,200)),"")),IF(ISNUMBER(SEARCH("Party Name:-",'R.M Billets Reports'!D1153)),TRIM('R.M Billets Reports'!F1153),IF(ISNUMBER(SEARCH("Party Name-",'R.M Billets Reports'!D1153)),TRIM(MID('R.M Billets Reports'!D1153,SEARCH("-",'R.M Billets Reports'!D1153)+1,200)),"")))="SHRI RADHE","SHREE RADHE",IF(IF(IF(ISNUMBER(SEARCH("Party Name:-",'R.M Billets Reports'!D1152)),TRIM('R.M Billets Reports'!F1152),IF(ISNUMBER(SEARCH("Party Name-",'R.M Billets Reports'!D1152)),TRIM(MID('R.M Billets Reports'!D1152,SEARCH("-",'R.M Billets Reports'!D1152)+1,200)),""))&lt;&gt;"",IF(ISNUMBER(SEARCH("Party Name:-",'R.M Billets Reports'!D1152)),TRIM('R.M Billets Reports'!F1152),IF(ISNUMBER(SEARCH("Party Name-",'R.M Billets Reports'!D1152)),TRIM(MID('R.M Billets Reports'!D1152,SEARCH("-",'R.M Billets Reports'!D1152)+1,200)),"")),IF(ISNUMBER(SEARCH("Party Name:-",'R.M Billets Reports'!D1153)),TRIM('R.M Billets Reports'!F1153),IF(ISNUMBER(SEARCH("Party Name-",'R.M Billets Reports'!D1153)),TRIM(MID('R.M Billets Reports'!D1153,SEARCH("-",'R.M Billets Reports'!D1153)+1,200)),"")))="SHREE RADHE SHAKTI SPONGE AND POWER PVT. LTD.","SHREE RADHE",IF(IF(ISNUMBER(SEARCH("Party Name:-",'R.M Billets Reports'!D1152)),TRIM('R.M Billets Reports'!F1152),IF(ISNUMBER(SEARCH("Party Name-",'R.M Billets Reports'!D1152)),TRIM(MID('R.M Billets Reports'!D1152,SEARCH("-",'R.M Billets Reports'!D1152)+1,200)),""))&lt;&gt;"",IF(ISNUMBER(SEARCH("Party Name:-",'R.M Billets Reports'!D1152)),TRIM('R.M Billets Reports'!F1152),IF(ISNUMBER(SEARCH("Party Name-",'R.M Billets Reports'!D1152)),TRIM(MID('R.M Billets Reports'!D1152,SEARCH("-",'R.M Billets Reports'!D1152)+1,200)),"")),IF(ISNUMBER(SEARCH("Party Name:-",'R.M Billets Reports'!D1153)),TRIM('R.M Billets Reports'!F1153),IF(ISNUMBER(SEARCH("Party Name-",'R.M Billets Reports'!D1153)),TRIM(MID('R.M Billets Reports'!D1153,SEARCH("-",'R.M Billets Reports'!D1153)+1,200)),"")))))),IF(ROW()=2,"",A1152))</f>
      </c>
      <c r="B1153">
        <f>IF(OR('R.M Billets Reports'!A1152="Date-",'R.M Billets Reports'!A1152="Date:-"),'R.M Billets Reports'!B1152,IF(ROW()=2,"",B1152))</f>
      </c>
      <c r="C1153">
        <f>IF('R.M Billets Reports'!A1152="V.No.",'R.M Billets Reports'!B1152,IF(ROW()=2,"",C1152))</f>
      </c>
      <c r="D1153">
        <f>IF('R.M Billets Reports'!A1152&lt;&gt;"",'R.M Billets Reports'!A1152,IF(ROW()=2,"",D1152))</f>
      </c>
      <c r="E1153">
        <f>IF('R.M Billets Reports'!B1152="","",TRIM('R.M Billets Reports'!B1152))</f>
      </c>
      <c r="F1153">
        <f>'R.M Billets Reports'!C1152</f>
      </c>
      <c r="G1153">
        <f>'R.M Billets Reports'!D1152</f>
      </c>
      <c r="H1153">
        <f>'R.M Billets Reports'!E1152</f>
      </c>
      <c r="I1153">
        <f>'R.M Billets Reports'!F1152</f>
      </c>
      <c r="J1153">
        <f>'R.M Billets Reports'!G1152</f>
      </c>
      <c r="K1153">
        <f>'R.M Billets Reports'!H1152</f>
      </c>
      <c r="L1153">
        <f>IF('R.M Billets Reports'!I1152="","",'R.M Billets Reports'!I1152)</f>
      </c>
      <c r="M1153">
        <f t="shared" si="34"/>
      </c>
      <c r="N1153">
        <f>IF('R.M Billets Reports'!J1152="","",'R.M Billets Reports'!J1152)</f>
      </c>
      <c r="O1153">
        <f t="shared" si="35"/>
      </c>
      <c r="P1153">
        <f>IF('R.M Billets Reports'!A1152="SIZE",'R.M Billets Reports'!B1152,P1152)</f>
      </c>
    </row>
    <row r="1154" spans="1:16" x14ac:dyDescent="0.25">
      <c r="A1154">
        <f>IF(OR('R.M Billets Reports'!A1153="Date-",'R.M Billets Reports'!A1153="Date:-"),IF(IF(IF(ISNUMBER(SEARCH("Party Name:-",'R.M Billets Reports'!D1153)),TRIM('R.M Billets Reports'!F1153),IF(ISNUMBER(SEARCH("Party Name-",'R.M Billets Reports'!D1153)),TRIM(MID('R.M Billets Reports'!D1153,SEARCH("-",'R.M Billets Reports'!D1153)+1,200)),""))&lt;&gt;"",IF(ISNUMBER(SEARCH("Party Name:-",'R.M Billets Reports'!D1153)),TRIM('R.M Billets Reports'!F1153),IF(ISNUMBER(SEARCH("Party Name-",'R.M Billets Reports'!D1153)),TRIM(MID('R.M Billets Reports'!D1153,SEARCH("-",'R.M Billets Reports'!D1153)+1,200)),"")),IF(ISNUMBER(SEARCH("Party Name:-",'R.M Billets Reports'!D1154)),TRIM('R.M Billets Reports'!F1154),IF(ISNUMBER(SEARCH("Party Name-",'R.M Billets Reports'!D1154)),TRIM(MID('R.M Billets Reports'!D1154,SEARCH("-",'R.M Billets Reports'!D1154)+1,200)),"")))="VRKP ISPAT PVT LTD","VRKP",IF(IF(IF(ISNUMBER(SEARCH("Party Name:-",'R.M Billets Reports'!D1153)),TRIM('R.M Billets Reports'!F1153),IF(ISNUMBER(SEARCH("Party Name-",'R.M Billets Reports'!D1153)),TRIM(MID('R.M Billets Reports'!D1153,SEARCH("-",'R.M Billets Reports'!D1153)+1,200)),""))&lt;&gt;"",IF(ISNUMBER(SEARCH("Party Name:-",'R.M Billets Reports'!D1153)),TRIM('R.M Billets Reports'!F1153),IF(ISNUMBER(SEARCH("Party Name-",'R.M Billets Reports'!D1153)),TRIM(MID('R.M Billets Reports'!D1153,SEARCH("-",'R.M Billets Reports'!D1153)+1,200)),"")),IF(ISNUMBER(SEARCH("Party Name:-",'R.M Billets Reports'!D1154)),TRIM('R.M Billets Reports'!F1154),IF(ISNUMBER(SEARCH("Party Name-",'R.M Billets Reports'!D1154)),TRIM(MID('R.M Billets Reports'!D1154,SEARCH("-",'R.M Billets Reports'!D1154)+1,200)),"")))="SHRI RADHE","SHREE RADHE",IF(IF(IF(ISNUMBER(SEARCH("Party Name:-",'R.M Billets Reports'!D1153)),TRIM('R.M Billets Reports'!F1153),IF(ISNUMBER(SEARCH("Party Name-",'R.M Billets Reports'!D1153)),TRIM(MID('R.M Billets Reports'!D1153,SEARCH("-",'R.M Billets Reports'!D1153)+1,200)),""))&lt;&gt;"",IF(ISNUMBER(SEARCH("Party Name:-",'R.M Billets Reports'!D1153)),TRIM('R.M Billets Reports'!F1153),IF(ISNUMBER(SEARCH("Party Name-",'R.M Billets Reports'!D1153)),TRIM(MID('R.M Billets Reports'!D1153,SEARCH("-",'R.M Billets Reports'!D1153)+1,200)),"")),IF(ISNUMBER(SEARCH("Party Name:-",'R.M Billets Reports'!D1154)),TRIM('R.M Billets Reports'!F1154),IF(ISNUMBER(SEARCH("Party Name-",'R.M Billets Reports'!D1154)),TRIM(MID('R.M Billets Reports'!D1154,SEARCH("-",'R.M Billets Reports'!D1154)+1,200)),"")))="SHREE RADHE SHAKTI SPONGE AND POWER PVT. LTD.","SHREE RADHE",IF(IF(ISNUMBER(SEARCH("Party Name:-",'R.M Billets Reports'!D1153)),TRIM('R.M Billets Reports'!F1153),IF(ISNUMBER(SEARCH("Party Name-",'R.M Billets Reports'!D1153)),TRIM(MID('R.M Billets Reports'!D1153,SEARCH("-",'R.M Billets Reports'!D1153)+1,200)),""))&lt;&gt;"",IF(ISNUMBER(SEARCH("Party Name:-",'R.M Billets Reports'!D1153)),TRIM('R.M Billets Reports'!F1153),IF(ISNUMBER(SEARCH("Party Name-",'R.M Billets Reports'!D1153)),TRIM(MID('R.M Billets Reports'!D1153,SEARCH("-",'R.M Billets Reports'!D1153)+1,200)),"")),IF(ISNUMBER(SEARCH("Party Name:-",'R.M Billets Reports'!D1154)),TRIM('R.M Billets Reports'!F1154),IF(ISNUMBER(SEARCH("Party Name-",'R.M Billets Reports'!D1154)),TRIM(MID('R.M Billets Reports'!D1154,SEARCH("-",'R.M Billets Reports'!D1154)+1,200)),"")))))),IF(ROW()=2,"",A1153))</f>
      </c>
      <c r="B1154">
        <f>IF(OR('R.M Billets Reports'!A1153="Date-",'R.M Billets Reports'!A1153="Date:-"),'R.M Billets Reports'!B1153,IF(ROW()=2,"",B1153))</f>
      </c>
      <c r="C1154">
        <f>IF('R.M Billets Reports'!A1153="V.No.",'R.M Billets Reports'!B1153,IF(ROW()=2,"",C1153))</f>
      </c>
      <c r="D1154">
        <f>IF('R.M Billets Reports'!A1153&lt;&gt;"",'R.M Billets Reports'!A1153,IF(ROW()=2,"",D1153))</f>
      </c>
      <c r="E1154">
        <f>IF('R.M Billets Reports'!B1153="","",TRIM('R.M Billets Reports'!B1153))</f>
      </c>
      <c r="F1154">
        <f>'R.M Billets Reports'!C1153</f>
      </c>
      <c r="G1154">
        <f>'R.M Billets Reports'!D1153</f>
      </c>
      <c r="H1154">
        <f>'R.M Billets Reports'!E1153</f>
      </c>
      <c r="I1154">
        <f>'R.M Billets Reports'!F1153</f>
      </c>
      <c r="J1154">
        <f>'R.M Billets Reports'!G1153</f>
      </c>
      <c r="K1154">
        <f>'R.M Billets Reports'!H1153</f>
      </c>
      <c r="L1154">
        <f>IF('R.M Billets Reports'!I1153="","",'R.M Billets Reports'!I1153)</f>
      </c>
      <c r="M1154">
        <f t="shared" si="34"/>
      </c>
      <c r="N1154">
        <f>IF('R.M Billets Reports'!J1153="","",'R.M Billets Reports'!J1153)</f>
      </c>
      <c r="O1154">
        <f t="shared" si="35"/>
      </c>
      <c r="P1154">
        <f>IF('R.M Billets Reports'!A1153="SIZE",'R.M Billets Reports'!B1153,P1153)</f>
      </c>
    </row>
    <row r="1155" spans="1:16" x14ac:dyDescent="0.25">
      <c r="A1155">
        <f>IF(OR('R.M Billets Reports'!A1154="Date-",'R.M Billets Reports'!A1154="Date:-"),IF(IF(IF(ISNUMBER(SEARCH("Party Name:-",'R.M Billets Reports'!D1154)),TRIM('R.M Billets Reports'!F1154),IF(ISNUMBER(SEARCH("Party Name-",'R.M Billets Reports'!D1154)),TRIM(MID('R.M Billets Reports'!D1154,SEARCH("-",'R.M Billets Reports'!D1154)+1,200)),""))&lt;&gt;"",IF(ISNUMBER(SEARCH("Party Name:-",'R.M Billets Reports'!D1154)),TRIM('R.M Billets Reports'!F1154),IF(ISNUMBER(SEARCH("Party Name-",'R.M Billets Reports'!D1154)),TRIM(MID('R.M Billets Reports'!D1154,SEARCH("-",'R.M Billets Reports'!D1154)+1,200)),"")),IF(ISNUMBER(SEARCH("Party Name:-",'R.M Billets Reports'!D1155)),TRIM('R.M Billets Reports'!F1155),IF(ISNUMBER(SEARCH("Party Name-",'R.M Billets Reports'!D1155)),TRIM(MID('R.M Billets Reports'!D1155,SEARCH("-",'R.M Billets Reports'!D1155)+1,200)),"")))="VRKP ISPAT PVT LTD","VRKP",IF(IF(IF(ISNUMBER(SEARCH("Party Name:-",'R.M Billets Reports'!D1154)),TRIM('R.M Billets Reports'!F1154),IF(ISNUMBER(SEARCH("Party Name-",'R.M Billets Reports'!D1154)),TRIM(MID('R.M Billets Reports'!D1154,SEARCH("-",'R.M Billets Reports'!D1154)+1,200)),""))&lt;&gt;"",IF(ISNUMBER(SEARCH("Party Name:-",'R.M Billets Reports'!D1154)),TRIM('R.M Billets Reports'!F1154),IF(ISNUMBER(SEARCH("Party Name-",'R.M Billets Reports'!D1154)),TRIM(MID('R.M Billets Reports'!D1154,SEARCH("-",'R.M Billets Reports'!D1154)+1,200)),"")),IF(ISNUMBER(SEARCH("Party Name:-",'R.M Billets Reports'!D1155)),TRIM('R.M Billets Reports'!F1155),IF(ISNUMBER(SEARCH("Party Name-",'R.M Billets Reports'!D1155)),TRIM(MID('R.M Billets Reports'!D1155,SEARCH("-",'R.M Billets Reports'!D1155)+1,200)),"")))="SHRI RADHE","SHREE RADHE",IF(IF(IF(ISNUMBER(SEARCH("Party Name:-",'R.M Billets Reports'!D1154)),TRIM('R.M Billets Reports'!F1154),IF(ISNUMBER(SEARCH("Party Name-",'R.M Billets Reports'!D1154)),TRIM(MID('R.M Billets Reports'!D1154,SEARCH("-",'R.M Billets Reports'!D1154)+1,200)),""))&lt;&gt;"",IF(ISNUMBER(SEARCH("Party Name:-",'R.M Billets Reports'!D1154)),TRIM('R.M Billets Reports'!F1154),IF(ISNUMBER(SEARCH("Party Name-",'R.M Billets Reports'!D1154)),TRIM(MID('R.M Billets Reports'!D1154,SEARCH("-",'R.M Billets Reports'!D1154)+1,200)),"")),IF(ISNUMBER(SEARCH("Party Name:-",'R.M Billets Reports'!D1155)),TRIM('R.M Billets Reports'!F1155),IF(ISNUMBER(SEARCH("Party Name-",'R.M Billets Reports'!D1155)),TRIM(MID('R.M Billets Reports'!D1155,SEARCH("-",'R.M Billets Reports'!D1155)+1,200)),"")))="SHREE RADHE SHAKTI SPONGE AND POWER PVT. LTD.","SHREE RADHE",IF(IF(ISNUMBER(SEARCH("Party Name:-",'R.M Billets Reports'!D1154)),TRIM('R.M Billets Reports'!F1154),IF(ISNUMBER(SEARCH("Party Name-",'R.M Billets Reports'!D1154)),TRIM(MID('R.M Billets Reports'!D1154,SEARCH("-",'R.M Billets Reports'!D1154)+1,200)),""))&lt;&gt;"",IF(ISNUMBER(SEARCH("Party Name:-",'R.M Billets Reports'!D1154)),TRIM('R.M Billets Reports'!F1154),IF(ISNUMBER(SEARCH("Party Name-",'R.M Billets Reports'!D1154)),TRIM(MID('R.M Billets Reports'!D1154,SEARCH("-",'R.M Billets Reports'!D1154)+1,200)),"")),IF(ISNUMBER(SEARCH("Party Name:-",'R.M Billets Reports'!D1155)),TRIM('R.M Billets Reports'!F1155),IF(ISNUMBER(SEARCH("Party Name-",'R.M Billets Reports'!D1155)),TRIM(MID('R.M Billets Reports'!D1155,SEARCH("-",'R.M Billets Reports'!D1155)+1,200)),"")))))),IF(ROW()=2,"",A1154))</f>
      </c>
      <c r="B1155">
        <f>IF(OR('R.M Billets Reports'!A1154="Date-",'R.M Billets Reports'!A1154="Date:-"),'R.M Billets Reports'!B1154,IF(ROW()=2,"",B1154))</f>
      </c>
      <c r="C1155">
        <f>IF('R.M Billets Reports'!A1154="V.No.",'R.M Billets Reports'!B1154,IF(ROW()=2,"",C1154))</f>
      </c>
      <c r="D1155">
        <f>IF('R.M Billets Reports'!A1154&lt;&gt;"",'R.M Billets Reports'!A1154,IF(ROW()=2,"",D1154))</f>
      </c>
      <c r="E1155">
        <f>IF('R.M Billets Reports'!B1154="","",TRIM('R.M Billets Reports'!B1154))</f>
      </c>
      <c r="F1155">
        <f>'R.M Billets Reports'!C1154</f>
      </c>
      <c r="G1155">
        <f>'R.M Billets Reports'!D1154</f>
      </c>
      <c r="H1155">
        <f>'R.M Billets Reports'!E1154</f>
      </c>
      <c r="I1155">
        <f>'R.M Billets Reports'!F1154</f>
      </c>
      <c r="J1155">
        <f>'R.M Billets Reports'!G1154</f>
      </c>
      <c r="K1155">
        <f>'R.M Billets Reports'!H1154</f>
      </c>
      <c r="L1155">
        <f>IF('R.M Billets Reports'!I1154="","",'R.M Billets Reports'!I1154)</f>
      </c>
      <c r="M1155">
        <f t="shared" ref="M1155:M1218" si="36">IF(L1155&lt;&gt;"",L1155,IF(D1155=D1154,M1154,""))</f>
      </c>
      <c r="N1155">
        <f>IF('R.M Billets Reports'!J1154="","",'R.M Billets Reports'!J1154)</f>
      </c>
      <c r="O1155">
        <f t="shared" ref="O1155:O1218" si="37">IF(N1155&lt;&gt;"",N1155,IF(D1155=D1154,O1154,""))</f>
      </c>
      <c r="P1155">
        <f>IF('R.M Billets Reports'!A1154="SIZE",'R.M Billets Reports'!B1154,P1154)</f>
      </c>
    </row>
    <row r="1156" spans="1:16" x14ac:dyDescent="0.25">
      <c r="A1156">
        <f>IF(OR('R.M Billets Reports'!A1155="Date-",'R.M Billets Reports'!A1155="Date:-"),IF(IF(IF(ISNUMBER(SEARCH("Party Name:-",'R.M Billets Reports'!D1155)),TRIM('R.M Billets Reports'!F1155),IF(ISNUMBER(SEARCH("Party Name-",'R.M Billets Reports'!D1155)),TRIM(MID('R.M Billets Reports'!D1155,SEARCH("-",'R.M Billets Reports'!D1155)+1,200)),""))&lt;&gt;"",IF(ISNUMBER(SEARCH("Party Name:-",'R.M Billets Reports'!D1155)),TRIM('R.M Billets Reports'!F1155),IF(ISNUMBER(SEARCH("Party Name-",'R.M Billets Reports'!D1155)),TRIM(MID('R.M Billets Reports'!D1155,SEARCH("-",'R.M Billets Reports'!D1155)+1,200)),"")),IF(ISNUMBER(SEARCH("Party Name:-",'R.M Billets Reports'!D1156)),TRIM('R.M Billets Reports'!F1156),IF(ISNUMBER(SEARCH("Party Name-",'R.M Billets Reports'!D1156)),TRIM(MID('R.M Billets Reports'!D1156,SEARCH("-",'R.M Billets Reports'!D1156)+1,200)),"")))="VRKP ISPAT PVT LTD","VRKP",IF(IF(IF(ISNUMBER(SEARCH("Party Name:-",'R.M Billets Reports'!D1155)),TRIM('R.M Billets Reports'!F1155),IF(ISNUMBER(SEARCH("Party Name-",'R.M Billets Reports'!D1155)),TRIM(MID('R.M Billets Reports'!D1155,SEARCH("-",'R.M Billets Reports'!D1155)+1,200)),""))&lt;&gt;"",IF(ISNUMBER(SEARCH("Party Name:-",'R.M Billets Reports'!D1155)),TRIM('R.M Billets Reports'!F1155),IF(ISNUMBER(SEARCH("Party Name-",'R.M Billets Reports'!D1155)),TRIM(MID('R.M Billets Reports'!D1155,SEARCH("-",'R.M Billets Reports'!D1155)+1,200)),"")),IF(ISNUMBER(SEARCH("Party Name:-",'R.M Billets Reports'!D1156)),TRIM('R.M Billets Reports'!F1156),IF(ISNUMBER(SEARCH("Party Name-",'R.M Billets Reports'!D1156)),TRIM(MID('R.M Billets Reports'!D1156,SEARCH("-",'R.M Billets Reports'!D1156)+1,200)),"")))="SHRI RADHE","SHREE RADHE",IF(IF(IF(ISNUMBER(SEARCH("Party Name:-",'R.M Billets Reports'!D1155)),TRIM('R.M Billets Reports'!F1155),IF(ISNUMBER(SEARCH("Party Name-",'R.M Billets Reports'!D1155)),TRIM(MID('R.M Billets Reports'!D1155,SEARCH("-",'R.M Billets Reports'!D1155)+1,200)),""))&lt;&gt;"",IF(ISNUMBER(SEARCH("Party Name:-",'R.M Billets Reports'!D1155)),TRIM('R.M Billets Reports'!F1155),IF(ISNUMBER(SEARCH("Party Name-",'R.M Billets Reports'!D1155)),TRIM(MID('R.M Billets Reports'!D1155,SEARCH("-",'R.M Billets Reports'!D1155)+1,200)),"")),IF(ISNUMBER(SEARCH("Party Name:-",'R.M Billets Reports'!D1156)),TRIM('R.M Billets Reports'!F1156),IF(ISNUMBER(SEARCH("Party Name-",'R.M Billets Reports'!D1156)),TRIM(MID('R.M Billets Reports'!D1156,SEARCH("-",'R.M Billets Reports'!D1156)+1,200)),"")))="SHREE RADHE SHAKTI SPONGE AND POWER PVT. LTD.","SHREE RADHE",IF(IF(ISNUMBER(SEARCH("Party Name:-",'R.M Billets Reports'!D1155)),TRIM('R.M Billets Reports'!F1155),IF(ISNUMBER(SEARCH("Party Name-",'R.M Billets Reports'!D1155)),TRIM(MID('R.M Billets Reports'!D1155,SEARCH("-",'R.M Billets Reports'!D1155)+1,200)),""))&lt;&gt;"",IF(ISNUMBER(SEARCH("Party Name:-",'R.M Billets Reports'!D1155)),TRIM('R.M Billets Reports'!F1155),IF(ISNUMBER(SEARCH("Party Name-",'R.M Billets Reports'!D1155)),TRIM(MID('R.M Billets Reports'!D1155,SEARCH("-",'R.M Billets Reports'!D1155)+1,200)),"")),IF(ISNUMBER(SEARCH("Party Name:-",'R.M Billets Reports'!D1156)),TRIM('R.M Billets Reports'!F1156),IF(ISNUMBER(SEARCH("Party Name-",'R.M Billets Reports'!D1156)),TRIM(MID('R.M Billets Reports'!D1156,SEARCH("-",'R.M Billets Reports'!D1156)+1,200)),"")))))),IF(ROW()=2,"",A1155))</f>
      </c>
      <c r="B1156">
        <f>IF(OR('R.M Billets Reports'!A1155="Date-",'R.M Billets Reports'!A1155="Date:-"),'R.M Billets Reports'!B1155,IF(ROW()=2,"",B1155))</f>
      </c>
      <c r="C1156">
        <f>IF('R.M Billets Reports'!A1155="V.No.",'R.M Billets Reports'!B1155,IF(ROW()=2,"",C1155))</f>
      </c>
      <c r="D1156">
        <f>IF('R.M Billets Reports'!A1155&lt;&gt;"",'R.M Billets Reports'!A1155,IF(ROW()=2,"",D1155))</f>
      </c>
      <c r="E1156">
        <f>IF('R.M Billets Reports'!B1155="","",TRIM('R.M Billets Reports'!B1155))</f>
      </c>
      <c r="F1156">
        <f>'R.M Billets Reports'!C1155</f>
      </c>
      <c r="G1156">
        <f>'R.M Billets Reports'!D1155</f>
      </c>
      <c r="H1156">
        <f>'R.M Billets Reports'!E1155</f>
      </c>
      <c r="I1156">
        <f>'R.M Billets Reports'!F1155</f>
      </c>
      <c r="J1156">
        <f>'R.M Billets Reports'!G1155</f>
      </c>
      <c r="K1156">
        <f>'R.M Billets Reports'!H1155</f>
      </c>
      <c r="L1156">
        <f>IF('R.M Billets Reports'!I1155="","",'R.M Billets Reports'!I1155)</f>
      </c>
      <c r="M1156">
        <f t="shared" si="36"/>
      </c>
      <c r="N1156">
        <f>IF('R.M Billets Reports'!J1155="","",'R.M Billets Reports'!J1155)</f>
      </c>
      <c r="O1156">
        <f t="shared" si="37"/>
      </c>
      <c r="P1156">
        <f>IF('R.M Billets Reports'!A1155="SIZE",'R.M Billets Reports'!B1155,P1155)</f>
      </c>
    </row>
    <row r="1157" spans="1:16" x14ac:dyDescent="0.25">
      <c r="A1157">
        <f>IF(OR('R.M Billets Reports'!A1156="Date-",'R.M Billets Reports'!A1156="Date:-"),IF(IF(IF(ISNUMBER(SEARCH("Party Name:-",'R.M Billets Reports'!D1156)),TRIM('R.M Billets Reports'!F1156),IF(ISNUMBER(SEARCH("Party Name-",'R.M Billets Reports'!D1156)),TRIM(MID('R.M Billets Reports'!D1156,SEARCH("-",'R.M Billets Reports'!D1156)+1,200)),""))&lt;&gt;"",IF(ISNUMBER(SEARCH("Party Name:-",'R.M Billets Reports'!D1156)),TRIM('R.M Billets Reports'!F1156),IF(ISNUMBER(SEARCH("Party Name-",'R.M Billets Reports'!D1156)),TRIM(MID('R.M Billets Reports'!D1156,SEARCH("-",'R.M Billets Reports'!D1156)+1,200)),"")),IF(ISNUMBER(SEARCH("Party Name:-",'R.M Billets Reports'!D1157)),TRIM('R.M Billets Reports'!F1157),IF(ISNUMBER(SEARCH("Party Name-",'R.M Billets Reports'!D1157)),TRIM(MID('R.M Billets Reports'!D1157,SEARCH("-",'R.M Billets Reports'!D1157)+1,200)),"")))="VRKP ISPAT PVT LTD","VRKP",IF(IF(IF(ISNUMBER(SEARCH("Party Name:-",'R.M Billets Reports'!D1156)),TRIM('R.M Billets Reports'!F1156),IF(ISNUMBER(SEARCH("Party Name-",'R.M Billets Reports'!D1156)),TRIM(MID('R.M Billets Reports'!D1156,SEARCH("-",'R.M Billets Reports'!D1156)+1,200)),""))&lt;&gt;"",IF(ISNUMBER(SEARCH("Party Name:-",'R.M Billets Reports'!D1156)),TRIM('R.M Billets Reports'!F1156),IF(ISNUMBER(SEARCH("Party Name-",'R.M Billets Reports'!D1156)),TRIM(MID('R.M Billets Reports'!D1156,SEARCH("-",'R.M Billets Reports'!D1156)+1,200)),"")),IF(ISNUMBER(SEARCH("Party Name:-",'R.M Billets Reports'!D1157)),TRIM('R.M Billets Reports'!F1157),IF(ISNUMBER(SEARCH("Party Name-",'R.M Billets Reports'!D1157)),TRIM(MID('R.M Billets Reports'!D1157,SEARCH("-",'R.M Billets Reports'!D1157)+1,200)),"")))="SHRI RADHE","SHREE RADHE",IF(IF(IF(ISNUMBER(SEARCH("Party Name:-",'R.M Billets Reports'!D1156)),TRIM('R.M Billets Reports'!F1156),IF(ISNUMBER(SEARCH("Party Name-",'R.M Billets Reports'!D1156)),TRIM(MID('R.M Billets Reports'!D1156,SEARCH("-",'R.M Billets Reports'!D1156)+1,200)),""))&lt;&gt;"",IF(ISNUMBER(SEARCH("Party Name:-",'R.M Billets Reports'!D1156)),TRIM('R.M Billets Reports'!F1156),IF(ISNUMBER(SEARCH("Party Name-",'R.M Billets Reports'!D1156)),TRIM(MID('R.M Billets Reports'!D1156,SEARCH("-",'R.M Billets Reports'!D1156)+1,200)),"")),IF(ISNUMBER(SEARCH("Party Name:-",'R.M Billets Reports'!D1157)),TRIM('R.M Billets Reports'!F1157),IF(ISNUMBER(SEARCH("Party Name-",'R.M Billets Reports'!D1157)),TRIM(MID('R.M Billets Reports'!D1157,SEARCH("-",'R.M Billets Reports'!D1157)+1,200)),"")))="SHREE RADHE SHAKTI SPONGE AND POWER PVT. LTD.","SHREE RADHE",IF(IF(ISNUMBER(SEARCH("Party Name:-",'R.M Billets Reports'!D1156)),TRIM('R.M Billets Reports'!F1156),IF(ISNUMBER(SEARCH("Party Name-",'R.M Billets Reports'!D1156)),TRIM(MID('R.M Billets Reports'!D1156,SEARCH("-",'R.M Billets Reports'!D1156)+1,200)),""))&lt;&gt;"",IF(ISNUMBER(SEARCH("Party Name:-",'R.M Billets Reports'!D1156)),TRIM('R.M Billets Reports'!F1156),IF(ISNUMBER(SEARCH("Party Name-",'R.M Billets Reports'!D1156)),TRIM(MID('R.M Billets Reports'!D1156,SEARCH("-",'R.M Billets Reports'!D1156)+1,200)),"")),IF(ISNUMBER(SEARCH("Party Name:-",'R.M Billets Reports'!D1157)),TRIM('R.M Billets Reports'!F1157),IF(ISNUMBER(SEARCH("Party Name-",'R.M Billets Reports'!D1157)),TRIM(MID('R.M Billets Reports'!D1157,SEARCH("-",'R.M Billets Reports'!D1157)+1,200)),"")))))),IF(ROW()=2,"",A1156))</f>
      </c>
      <c r="B1157">
        <f>IF(OR('R.M Billets Reports'!A1156="Date-",'R.M Billets Reports'!A1156="Date:-"),'R.M Billets Reports'!B1156,IF(ROW()=2,"",B1156))</f>
      </c>
      <c r="C1157">
        <f>IF('R.M Billets Reports'!A1156="V.No.",'R.M Billets Reports'!B1156,IF(ROW()=2,"",C1156))</f>
      </c>
      <c r="D1157">
        <f>IF('R.M Billets Reports'!A1156&lt;&gt;"",'R.M Billets Reports'!A1156,IF(ROW()=2,"",D1156))</f>
      </c>
      <c r="E1157">
        <f>IF('R.M Billets Reports'!B1156="","",TRIM('R.M Billets Reports'!B1156))</f>
      </c>
      <c r="F1157">
        <f>'R.M Billets Reports'!C1156</f>
      </c>
      <c r="G1157">
        <f>'R.M Billets Reports'!D1156</f>
      </c>
      <c r="H1157">
        <f>'R.M Billets Reports'!E1156</f>
      </c>
      <c r="I1157">
        <f>'R.M Billets Reports'!F1156</f>
      </c>
      <c r="J1157">
        <f>'R.M Billets Reports'!G1156</f>
      </c>
      <c r="K1157">
        <f>'R.M Billets Reports'!H1156</f>
      </c>
      <c r="L1157">
        <f>IF('R.M Billets Reports'!I1156="","",'R.M Billets Reports'!I1156)</f>
      </c>
      <c r="M1157">
        <f t="shared" si="36"/>
      </c>
      <c r="N1157">
        <f>IF('R.M Billets Reports'!J1156="","",'R.M Billets Reports'!J1156)</f>
      </c>
      <c r="O1157">
        <f t="shared" si="37"/>
      </c>
      <c r="P1157">
        <f>IF('R.M Billets Reports'!A1156="SIZE",'R.M Billets Reports'!B1156,P1156)</f>
      </c>
    </row>
    <row r="1158" spans="1:16" x14ac:dyDescent="0.25">
      <c r="A1158">
        <f>IF(OR('R.M Billets Reports'!A1157="Date-",'R.M Billets Reports'!A1157="Date:-"),IF(IF(IF(ISNUMBER(SEARCH("Party Name:-",'R.M Billets Reports'!D1157)),TRIM('R.M Billets Reports'!F1157),IF(ISNUMBER(SEARCH("Party Name-",'R.M Billets Reports'!D1157)),TRIM(MID('R.M Billets Reports'!D1157,SEARCH("-",'R.M Billets Reports'!D1157)+1,200)),""))&lt;&gt;"",IF(ISNUMBER(SEARCH("Party Name:-",'R.M Billets Reports'!D1157)),TRIM('R.M Billets Reports'!F1157),IF(ISNUMBER(SEARCH("Party Name-",'R.M Billets Reports'!D1157)),TRIM(MID('R.M Billets Reports'!D1157,SEARCH("-",'R.M Billets Reports'!D1157)+1,200)),"")),IF(ISNUMBER(SEARCH("Party Name:-",'R.M Billets Reports'!D1158)),TRIM('R.M Billets Reports'!F1158),IF(ISNUMBER(SEARCH("Party Name-",'R.M Billets Reports'!D1158)),TRIM(MID('R.M Billets Reports'!D1158,SEARCH("-",'R.M Billets Reports'!D1158)+1,200)),"")))="VRKP ISPAT PVT LTD","VRKP",IF(IF(IF(ISNUMBER(SEARCH("Party Name:-",'R.M Billets Reports'!D1157)),TRIM('R.M Billets Reports'!F1157),IF(ISNUMBER(SEARCH("Party Name-",'R.M Billets Reports'!D1157)),TRIM(MID('R.M Billets Reports'!D1157,SEARCH("-",'R.M Billets Reports'!D1157)+1,200)),""))&lt;&gt;"",IF(ISNUMBER(SEARCH("Party Name:-",'R.M Billets Reports'!D1157)),TRIM('R.M Billets Reports'!F1157),IF(ISNUMBER(SEARCH("Party Name-",'R.M Billets Reports'!D1157)),TRIM(MID('R.M Billets Reports'!D1157,SEARCH("-",'R.M Billets Reports'!D1157)+1,200)),"")),IF(ISNUMBER(SEARCH("Party Name:-",'R.M Billets Reports'!D1158)),TRIM('R.M Billets Reports'!F1158),IF(ISNUMBER(SEARCH("Party Name-",'R.M Billets Reports'!D1158)),TRIM(MID('R.M Billets Reports'!D1158,SEARCH("-",'R.M Billets Reports'!D1158)+1,200)),"")))="SHRI RADHE","SHREE RADHE",IF(IF(IF(ISNUMBER(SEARCH("Party Name:-",'R.M Billets Reports'!D1157)),TRIM('R.M Billets Reports'!F1157),IF(ISNUMBER(SEARCH("Party Name-",'R.M Billets Reports'!D1157)),TRIM(MID('R.M Billets Reports'!D1157,SEARCH("-",'R.M Billets Reports'!D1157)+1,200)),""))&lt;&gt;"",IF(ISNUMBER(SEARCH("Party Name:-",'R.M Billets Reports'!D1157)),TRIM('R.M Billets Reports'!F1157),IF(ISNUMBER(SEARCH("Party Name-",'R.M Billets Reports'!D1157)),TRIM(MID('R.M Billets Reports'!D1157,SEARCH("-",'R.M Billets Reports'!D1157)+1,200)),"")),IF(ISNUMBER(SEARCH("Party Name:-",'R.M Billets Reports'!D1158)),TRIM('R.M Billets Reports'!F1158),IF(ISNUMBER(SEARCH("Party Name-",'R.M Billets Reports'!D1158)),TRIM(MID('R.M Billets Reports'!D1158,SEARCH("-",'R.M Billets Reports'!D1158)+1,200)),"")))="SHREE RADHE SHAKTI SPONGE AND POWER PVT. LTD.","SHREE RADHE",IF(IF(ISNUMBER(SEARCH("Party Name:-",'R.M Billets Reports'!D1157)),TRIM('R.M Billets Reports'!F1157),IF(ISNUMBER(SEARCH("Party Name-",'R.M Billets Reports'!D1157)),TRIM(MID('R.M Billets Reports'!D1157,SEARCH("-",'R.M Billets Reports'!D1157)+1,200)),""))&lt;&gt;"",IF(ISNUMBER(SEARCH("Party Name:-",'R.M Billets Reports'!D1157)),TRIM('R.M Billets Reports'!F1157),IF(ISNUMBER(SEARCH("Party Name-",'R.M Billets Reports'!D1157)),TRIM(MID('R.M Billets Reports'!D1157,SEARCH("-",'R.M Billets Reports'!D1157)+1,200)),"")),IF(ISNUMBER(SEARCH("Party Name:-",'R.M Billets Reports'!D1158)),TRIM('R.M Billets Reports'!F1158),IF(ISNUMBER(SEARCH("Party Name-",'R.M Billets Reports'!D1158)),TRIM(MID('R.M Billets Reports'!D1158,SEARCH("-",'R.M Billets Reports'!D1158)+1,200)),"")))))),IF(ROW()=2,"",A1157))</f>
      </c>
      <c r="B1158">
        <f>IF(OR('R.M Billets Reports'!A1157="Date-",'R.M Billets Reports'!A1157="Date:-"),'R.M Billets Reports'!B1157,IF(ROW()=2,"",B1157))</f>
      </c>
      <c r="C1158">
        <f>IF('R.M Billets Reports'!A1157="V.No.",'R.M Billets Reports'!B1157,IF(ROW()=2,"",C1157))</f>
      </c>
      <c r="D1158">
        <f>IF('R.M Billets Reports'!A1157&lt;&gt;"",'R.M Billets Reports'!A1157,IF(ROW()=2,"",D1157))</f>
      </c>
      <c r="E1158">
        <f>IF('R.M Billets Reports'!B1157="","",TRIM('R.M Billets Reports'!B1157))</f>
      </c>
      <c r="F1158">
        <f>'R.M Billets Reports'!C1157</f>
      </c>
      <c r="G1158">
        <f>'R.M Billets Reports'!D1157</f>
      </c>
      <c r="H1158">
        <f>'R.M Billets Reports'!E1157</f>
      </c>
      <c r="I1158">
        <f>'R.M Billets Reports'!F1157</f>
      </c>
      <c r="J1158">
        <f>'R.M Billets Reports'!G1157</f>
      </c>
      <c r="K1158">
        <f>'R.M Billets Reports'!H1157</f>
      </c>
      <c r="L1158">
        <f>IF('R.M Billets Reports'!I1157="","",'R.M Billets Reports'!I1157)</f>
      </c>
      <c r="M1158">
        <f t="shared" si="36"/>
      </c>
      <c r="N1158">
        <f>IF('R.M Billets Reports'!J1157="","",'R.M Billets Reports'!J1157)</f>
      </c>
      <c r="O1158">
        <f t="shared" si="37"/>
      </c>
      <c r="P1158">
        <f>IF('R.M Billets Reports'!A1157="SIZE",'R.M Billets Reports'!B1157,P1157)</f>
      </c>
    </row>
    <row r="1159" spans="1:16" x14ac:dyDescent="0.25">
      <c r="A1159">
        <f>IF(OR('R.M Billets Reports'!A1158="Date-",'R.M Billets Reports'!A1158="Date:-"),IF(IF(IF(ISNUMBER(SEARCH("Party Name:-",'R.M Billets Reports'!D1158)),TRIM('R.M Billets Reports'!F1158),IF(ISNUMBER(SEARCH("Party Name-",'R.M Billets Reports'!D1158)),TRIM(MID('R.M Billets Reports'!D1158,SEARCH("-",'R.M Billets Reports'!D1158)+1,200)),""))&lt;&gt;"",IF(ISNUMBER(SEARCH("Party Name:-",'R.M Billets Reports'!D1158)),TRIM('R.M Billets Reports'!F1158),IF(ISNUMBER(SEARCH("Party Name-",'R.M Billets Reports'!D1158)),TRIM(MID('R.M Billets Reports'!D1158,SEARCH("-",'R.M Billets Reports'!D1158)+1,200)),"")),IF(ISNUMBER(SEARCH("Party Name:-",'R.M Billets Reports'!D1159)),TRIM('R.M Billets Reports'!F1159),IF(ISNUMBER(SEARCH("Party Name-",'R.M Billets Reports'!D1159)),TRIM(MID('R.M Billets Reports'!D1159,SEARCH("-",'R.M Billets Reports'!D1159)+1,200)),"")))="VRKP ISPAT PVT LTD","VRKP",IF(IF(IF(ISNUMBER(SEARCH("Party Name:-",'R.M Billets Reports'!D1158)),TRIM('R.M Billets Reports'!F1158),IF(ISNUMBER(SEARCH("Party Name-",'R.M Billets Reports'!D1158)),TRIM(MID('R.M Billets Reports'!D1158,SEARCH("-",'R.M Billets Reports'!D1158)+1,200)),""))&lt;&gt;"",IF(ISNUMBER(SEARCH("Party Name:-",'R.M Billets Reports'!D1158)),TRIM('R.M Billets Reports'!F1158),IF(ISNUMBER(SEARCH("Party Name-",'R.M Billets Reports'!D1158)),TRIM(MID('R.M Billets Reports'!D1158,SEARCH("-",'R.M Billets Reports'!D1158)+1,200)),"")),IF(ISNUMBER(SEARCH("Party Name:-",'R.M Billets Reports'!D1159)),TRIM('R.M Billets Reports'!F1159),IF(ISNUMBER(SEARCH("Party Name-",'R.M Billets Reports'!D1159)),TRIM(MID('R.M Billets Reports'!D1159,SEARCH("-",'R.M Billets Reports'!D1159)+1,200)),"")))="SHRI RADHE","SHREE RADHE",IF(IF(IF(ISNUMBER(SEARCH("Party Name:-",'R.M Billets Reports'!D1158)),TRIM('R.M Billets Reports'!F1158),IF(ISNUMBER(SEARCH("Party Name-",'R.M Billets Reports'!D1158)),TRIM(MID('R.M Billets Reports'!D1158,SEARCH("-",'R.M Billets Reports'!D1158)+1,200)),""))&lt;&gt;"",IF(ISNUMBER(SEARCH("Party Name:-",'R.M Billets Reports'!D1158)),TRIM('R.M Billets Reports'!F1158),IF(ISNUMBER(SEARCH("Party Name-",'R.M Billets Reports'!D1158)),TRIM(MID('R.M Billets Reports'!D1158,SEARCH("-",'R.M Billets Reports'!D1158)+1,200)),"")),IF(ISNUMBER(SEARCH("Party Name:-",'R.M Billets Reports'!D1159)),TRIM('R.M Billets Reports'!F1159),IF(ISNUMBER(SEARCH("Party Name-",'R.M Billets Reports'!D1159)),TRIM(MID('R.M Billets Reports'!D1159,SEARCH("-",'R.M Billets Reports'!D1159)+1,200)),"")))="SHREE RADHE SHAKTI SPONGE AND POWER PVT. LTD.","SHREE RADHE",IF(IF(ISNUMBER(SEARCH("Party Name:-",'R.M Billets Reports'!D1158)),TRIM('R.M Billets Reports'!F1158),IF(ISNUMBER(SEARCH("Party Name-",'R.M Billets Reports'!D1158)),TRIM(MID('R.M Billets Reports'!D1158,SEARCH("-",'R.M Billets Reports'!D1158)+1,200)),""))&lt;&gt;"",IF(ISNUMBER(SEARCH("Party Name:-",'R.M Billets Reports'!D1158)),TRIM('R.M Billets Reports'!F1158),IF(ISNUMBER(SEARCH("Party Name-",'R.M Billets Reports'!D1158)),TRIM(MID('R.M Billets Reports'!D1158,SEARCH("-",'R.M Billets Reports'!D1158)+1,200)),"")),IF(ISNUMBER(SEARCH("Party Name:-",'R.M Billets Reports'!D1159)),TRIM('R.M Billets Reports'!F1159),IF(ISNUMBER(SEARCH("Party Name-",'R.M Billets Reports'!D1159)),TRIM(MID('R.M Billets Reports'!D1159,SEARCH("-",'R.M Billets Reports'!D1159)+1,200)),"")))))),IF(ROW()=2,"",A1158))</f>
      </c>
      <c r="B1159">
        <f>IF(OR('R.M Billets Reports'!A1158="Date-",'R.M Billets Reports'!A1158="Date:-"),'R.M Billets Reports'!B1158,IF(ROW()=2,"",B1158))</f>
      </c>
      <c r="C1159">
        <f>IF('R.M Billets Reports'!A1158="V.No.",'R.M Billets Reports'!B1158,IF(ROW()=2,"",C1158))</f>
      </c>
      <c r="D1159">
        <f>IF('R.M Billets Reports'!A1158&lt;&gt;"",'R.M Billets Reports'!A1158,IF(ROW()=2,"",D1158))</f>
      </c>
      <c r="E1159">
        <f>IF('R.M Billets Reports'!B1158="","",TRIM('R.M Billets Reports'!B1158))</f>
      </c>
      <c r="F1159">
        <f>'R.M Billets Reports'!C1158</f>
      </c>
      <c r="G1159">
        <f>'R.M Billets Reports'!D1158</f>
      </c>
      <c r="H1159">
        <f>'R.M Billets Reports'!E1158</f>
      </c>
      <c r="I1159">
        <f>'R.M Billets Reports'!F1158</f>
      </c>
      <c r="J1159">
        <f>'R.M Billets Reports'!G1158</f>
      </c>
      <c r="K1159">
        <f>'R.M Billets Reports'!H1158</f>
      </c>
      <c r="L1159">
        <f>IF('R.M Billets Reports'!I1158="","",'R.M Billets Reports'!I1158)</f>
      </c>
      <c r="M1159">
        <f t="shared" si="36"/>
      </c>
      <c r="N1159">
        <f>IF('R.M Billets Reports'!J1158="","",'R.M Billets Reports'!J1158)</f>
      </c>
      <c r="O1159">
        <f t="shared" si="37"/>
      </c>
      <c r="P1159">
        <f>IF('R.M Billets Reports'!A1158="SIZE",'R.M Billets Reports'!B1158,P1158)</f>
      </c>
    </row>
    <row r="1160" spans="1:16" x14ac:dyDescent="0.25">
      <c r="A1160">
        <f>IF(OR('R.M Billets Reports'!A1159="Date-",'R.M Billets Reports'!A1159="Date:-"),IF(IF(IF(ISNUMBER(SEARCH("Party Name:-",'R.M Billets Reports'!D1159)),TRIM('R.M Billets Reports'!F1159),IF(ISNUMBER(SEARCH("Party Name-",'R.M Billets Reports'!D1159)),TRIM(MID('R.M Billets Reports'!D1159,SEARCH("-",'R.M Billets Reports'!D1159)+1,200)),""))&lt;&gt;"",IF(ISNUMBER(SEARCH("Party Name:-",'R.M Billets Reports'!D1159)),TRIM('R.M Billets Reports'!F1159),IF(ISNUMBER(SEARCH("Party Name-",'R.M Billets Reports'!D1159)),TRIM(MID('R.M Billets Reports'!D1159,SEARCH("-",'R.M Billets Reports'!D1159)+1,200)),"")),IF(ISNUMBER(SEARCH("Party Name:-",'R.M Billets Reports'!D1160)),TRIM('R.M Billets Reports'!F1160),IF(ISNUMBER(SEARCH("Party Name-",'R.M Billets Reports'!D1160)),TRIM(MID('R.M Billets Reports'!D1160,SEARCH("-",'R.M Billets Reports'!D1160)+1,200)),"")))="VRKP ISPAT PVT LTD","VRKP",IF(IF(IF(ISNUMBER(SEARCH("Party Name:-",'R.M Billets Reports'!D1159)),TRIM('R.M Billets Reports'!F1159),IF(ISNUMBER(SEARCH("Party Name-",'R.M Billets Reports'!D1159)),TRIM(MID('R.M Billets Reports'!D1159,SEARCH("-",'R.M Billets Reports'!D1159)+1,200)),""))&lt;&gt;"",IF(ISNUMBER(SEARCH("Party Name:-",'R.M Billets Reports'!D1159)),TRIM('R.M Billets Reports'!F1159),IF(ISNUMBER(SEARCH("Party Name-",'R.M Billets Reports'!D1159)),TRIM(MID('R.M Billets Reports'!D1159,SEARCH("-",'R.M Billets Reports'!D1159)+1,200)),"")),IF(ISNUMBER(SEARCH("Party Name:-",'R.M Billets Reports'!D1160)),TRIM('R.M Billets Reports'!F1160),IF(ISNUMBER(SEARCH("Party Name-",'R.M Billets Reports'!D1160)),TRIM(MID('R.M Billets Reports'!D1160,SEARCH("-",'R.M Billets Reports'!D1160)+1,200)),"")))="SHRI RADHE","SHREE RADHE",IF(IF(IF(ISNUMBER(SEARCH("Party Name:-",'R.M Billets Reports'!D1159)),TRIM('R.M Billets Reports'!F1159),IF(ISNUMBER(SEARCH("Party Name-",'R.M Billets Reports'!D1159)),TRIM(MID('R.M Billets Reports'!D1159,SEARCH("-",'R.M Billets Reports'!D1159)+1,200)),""))&lt;&gt;"",IF(ISNUMBER(SEARCH("Party Name:-",'R.M Billets Reports'!D1159)),TRIM('R.M Billets Reports'!F1159),IF(ISNUMBER(SEARCH("Party Name-",'R.M Billets Reports'!D1159)),TRIM(MID('R.M Billets Reports'!D1159,SEARCH("-",'R.M Billets Reports'!D1159)+1,200)),"")),IF(ISNUMBER(SEARCH("Party Name:-",'R.M Billets Reports'!D1160)),TRIM('R.M Billets Reports'!F1160),IF(ISNUMBER(SEARCH("Party Name-",'R.M Billets Reports'!D1160)),TRIM(MID('R.M Billets Reports'!D1160,SEARCH("-",'R.M Billets Reports'!D1160)+1,200)),"")))="SHREE RADHE SHAKTI SPONGE AND POWER PVT. LTD.","SHREE RADHE",IF(IF(ISNUMBER(SEARCH("Party Name:-",'R.M Billets Reports'!D1159)),TRIM('R.M Billets Reports'!F1159),IF(ISNUMBER(SEARCH("Party Name-",'R.M Billets Reports'!D1159)),TRIM(MID('R.M Billets Reports'!D1159,SEARCH("-",'R.M Billets Reports'!D1159)+1,200)),""))&lt;&gt;"",IF(ISNUMBER(SEARCH("Party Name:-",'R.M Billets Reports'!D1159)),TRIM('R.M Billets Reports'!F1159),IF(ISNUMBER(SEARCH("Party Name-",'R.M Billets Reports'!D1159)),TRIM(MID('R.M Billets Reports'!D1159,SEARCH("-",'R.M Billets Reports'!D1159)+1,200)),"")),IF(ISNUMBER(SEARCH("Party Name:-",'R.M Billets Reports'!D1160)),TRIM('R.M Billets Reports'!F1160),IF(ISNUMBER(SEARCH("Party Name-",'R.M Billets Reports'!D1160)),TRIM(MID('R.M Billets Reports'!D1160,SEARCH("-",'R.M Billets Reports'!D1160)+1,200)),"")))))),IF(ROW()=2,"",A1159))</f>
      </c>
      <c r="B1160">
        <f>IF(OR('R.M Billets Reports'!A1159="Date-",'R.M Billets Reports'!A1159="Date:-"),'R.M Billets Reports'!B1159,IF(ROW()=2,"",B1159))</f>
      </c>
      <c r="C1160">
        <f>IF('R.M Billets Reports'!A1159="V.No.",'R.M Billets Reports'!B1159,IF(ROW()=2,"",C1159))</f>
      </c>
      <c r="D1160">
        <f>IF('R.M Billets Reports'!A1159&lt;&gt;"",'R.M Billets Reports'!A1159,IF(ROW()=2,"",D1159))</f>
      </c>
      <c r="E1160">
        <f>IF('R.M Billets Reports'!B1159="","",TRIM('R.M Billets Reports'!B1159))</f>
      </c>
      <c r="F1160">
        <f>'R.M Billets Reports'!C1159</f>
      </c>
      <c r="G1160">
        <f>'R.M Billets Reports'!D1159</f>
      </c>
      <c r="H1160">
        <f>'R.M Billets Reports'!E1159</f>
      </c>
      <c r="I1160">
        <f>'R.M Billets Reports'!F1159</f>
      </c>
      <c r="J1160">
        <f>'R.M Billets Reports'!G1159</f>
      </c>
      <c r="K1160">
        <f>'R.M Billets Reports'!H1159</f>
      </c>
      <c r="L1160">
        <f>IF('R.M Billets Reports'!I1159="","",'R.M Billets Reports'!I1159)</f>
      </c>
      <c r="M1160">
        <f t="shared" si="36"/>
      </c>
      <c r="N1160">
        <f>IF('R.M Billets Reports'!J1159="","",'R.M Billets Reports'!J1159)</f>
      </c>
      <c r="O1160">
        <f t="shared" si="37"/>
      </c>
      <c r="P1160">
        <f>IF('R.M Billets Reports'!A1159="SIZE",'R.M Billets Reports'!B1159,P1159)</f>
      </c>
    </row>
    <row r="1161" spans="1:16" x14ac:dyDescent="0.25">
      <c r="A1161">
        <f>IF(OR('R.M Billets Reports'!A1160="Date-",'R.M Billets Reports'!A1160="Date:-"),IF(IF(IF(ISNUMBER(SEARCH("Party Name:-",'R.M Billets Reports'!D1160)),TRIM('R.M Billets Reports'!F1160),IF(ISNUMBER(SEARCH("Party Name-",'R.M Billets Reports'!D1160)),TRIM(MID('R.M Billets Reports'!D1160,SEARCH("-",'R.M Billets Reports'!D1160)+1,200)),""))&lt;&gt;"",IF(ISNUMBER(SEARCH("Party Name:-",'R.M Billets Reports'!D1160)),TRIM('R.M Billets Reports'!F1160),IF(ISNUMBER(SEARCH("Party Name-",'R.M Billets Reports'!D1160)),TRIM(MID('R.M Billets Reports'!D1160,SEARCH("-",'R.M Billets Reports'!D1160)+1,200)),"")),IF(ISNUMBER(SEARCH("Party Name:-",'R.M Billets Reports'!D1161)),TRIM('R.M Billets Reports'!F1161),IF(ISNUMBER(SEARCH("Party Name-",'R.M Billets Reports'!D1161)),TRIM(MID('R.M Billets Reports'!D1161,SEARCH("-",'R.M Billets Reports'!D1161)+1,200)),"")))="VRKP ISPAT PVT LTD","VRKP",IF(IF(IF(ISNUMBER(SEARCH("Party Name:-",'R.M Billets Reports'!D1160)),TRIM('R.M Billets Reports'!F1160),IF(ISNUMBER(SEARCH("Party Name-",'R.M Billets Reports'!D1160)),TRIM(MID('R.M Billets Reports'!D1160,SEARCH("-",'R.M Billets Reports'!D1160)+1,200)),""))&lt;&gt;"",IF(ISNUMBER(SEARCH("Party Name:-",'R.M Billets Reports'!D1160)),TRIM('R.M Billets Reports'!F1160),IF(ISNUMBER(SEARCH("Party Name-",'R.M Billets Reports'!D1160)),TRIM(MID('R.M Billets Reports'!D1160,SEARCH("-",'R.M Billets Reports'!D1160)+1,200)),"")),IF(ISNUMBER(SEARCH("Party Name:-",'R.M Billets Reports'!D1161)),TRIM('R.M Billets Reports'!F1161),IF(ISNUMBER(SEARCH("Party Name-",'R.M Billets Reports'!D1161)),TRIM(MID('R.M Billets Reports'!D1161,SEARCH("-",'R.M Billets Reports'!D1161)+1,200)),"")))="SHRI RADHE","SHREE RADHE",IF(IF(IF(ISNUMBER(SEARCH("Party Name:-",'R.M Billets Reports'!D1160)),TRIM('R.M Billets Reports'!F1160),IF(ISNUMBER(SEARCH("Party Name-",'R.M Billets Reports'!D1160)),TRIM(MID('R.M Billets Reports'!D1160,SEARCH("-",'R.M Billets Reports'!D1160)+1,200)),""))&lt;&gt;"",IF(ISNUMBER(SEARCH("Party Name:-",'R.M Billets Reports'!D1160)),TRIM('R.M Billets Reports'!F1160),IF(ISNUMBER(SEARCH("Party Name-",'R.M Billets Reports'!D1160)),TRIM(MID('R.M Billets Reports'!D1160,SEARCH("-",'R.M Billets Reports'!D1160)+1,200)),"")),IF(ISNUMBER(SEARCH("Party Name:-",'R.M Billets Reports'!D1161)),TRIM('R.M Billets Reports'!F1161),IF(ISNUMBER(SEARCH("Party Name-",'R.M Billets Reports'!D1161)),TRIM(MID('R.M Billets Reports'!D1161,SEARCH("-",'R.M Billets Reports'!D1161)+1,200)),"")))="SHREE RADHE SHAKTI SPONGE AND POWER PVT. LTD.","SHREE RADHE",IF(IF(ISNUMBER(SEARCH("Party Name:-",'R.M Billets Reports'!D1160)),TRIM('R.M Billets Reports'!F1160),IF(ISNUMBER(SEARCH("Party Name-",'R.M Billets Reports'!D1160)),TRIM(MID('R.M Billets Reports'!D1160,SEARCH("-",'R.M Billets Reports'!D1160)+1,200)),""))&lt;&gt;"",IF(ISNUMBER(SEARCH("Party Name:-",'R.M Billets Reports'!D1160)),TRIM('R.M Billets Reports'!F1160),IF(ISNUMBER(SEARCH("Party Name-",'R.M Billets Reports'!D1160)),TRIM(MID('R.M Billets Reports'!D1160,SEARCH("-",'R.M Billets Reports'!D1160)+1,200)),"")),IF(ISNUMBER(SEARCH("Party Name:-",'R.M Billets Reports'!D1161)),TRIM('R.M Billets Reports'!F1161),IF(ISNUMBER(SEARCH("Party Name-",'R.M Billets Reports'!D1161)),TRIM(MID('R.M Billets Reports'!D1161,SEARCH("-",'R.M Billets Reports'!D1161)+1,200)),"")))))),IF(ROW()=2,"",A1160))</f>
      </c>
      <c r="B1161">
        <f>IF(OR('R.M Billets Reports'!A1160="Date-",'R.M Billets Reports'!A1160="Date:-"),'R.M Billets Reports'!B1160,IF(ROW()=2,"",B1160))</f>
      </c>
      <c r="C1161">
        <f>IF('R.M Billets Reports'!A1160="V.No.",'R.M Billets Reports'!B1160,IF(ROW()=2,"",C1160))</f>
      </c>
      <c r="D1161">
        <f>IF('R.M Billets Reports'!A1160&lt;&gt;"",'R.M Billets Reports'!A1160,IF(ROW()=2,"",D1160))</f>
      </c>
      <c r="E1161">
        <f>IF('R.M Billets Reports'!B1160="","",TRIM('R.M Billets Reports'!B1160))</f>
      </c>
      <c r="F1161">
        <f>'R.M Billets Reports'!C1160</f>
      </c>
      <c r="G1161">
        <f>'R.M Billets Reports'!D1160</f>
      </c>
      <c r="H1161">
        <f>'R.M Billets Reports'!E1160</f>
      </c>
      <c r="I1161">
        <f>'R.M Billets Reports'!F1160</f>
      </c>
      <c r="J1161">
        <f>'R.M Billets Reports'!G1160</f>
      </c>
      <c r="K1161">
        <f>'R.M Billets Reports'!H1160</f>
      </c>
      <c r="L1161">
        <f>IF('R.M Billets Reports'!I1160="","",'R.M Billets Reports'!I1160)</f>
      </c>
      <c r="M1161">
        <f t="shared" si="36"/>
      </c>
      <c r="N1161">
        <f>IF('R.M Billets Reports'!J1160="","",'R.M Billets Reports'!J1160)</f>
      </c>
      <c r="O1161">
        <f t="shared" si="37"/>
      </c>
      <c r="P1161">
        <f>IF('R.M Billets Reports'!A1160="SIZE",'R.M Billets Reports'!B1160,P1160)</f>
      </c>
    </row>
    <row r="1162" spans="1:16" x14ac:dyDescent="0.25">
      <c r="A1162">
        <f>IF(OR('R.M Billets Reports'!A1161="Date-",'R.M Billets Reports'!A1161="Date:-"),IF(IF(IF(ISNUMBER(SEARCH("Party Name:-",'R.M Billets Reports'!D1161)),TRIM('R.M Billets Reports'!F1161),IF(ISNUMBER(SEARCH("Party Name-",'R.M Billets Reports'!D1161)),TRIM(MID('R.M Billets Reports'!D1161,SEARCH("-",'R.M Billets Reports'!D1161)+1,200)),""))&lt;&gt;"",IF(ISNUMBER(SEARCH("Party Name:-",'R.M Billets Reports'!D1161)),TRIM('R.M Billets Reports'!F1161),IF(ISNUMBER(SEARCH("Party Name-",'R.M Billets Reports'!D1161)),TRIM(MID('R.M Billets Reports'!D1161,SEARCH("-",'R.M Billets Reports'!D1161)+1,200)),"")),IF(ISNUMBER(SEARCH("Party Name:-",'R.M Billets Reports'!D1162)),TRIM('R.M Billets Reports'!F1162),IF(ISNUMBER(SEARCH("Party Name-",'R.M Billets Reports'!D1162)),TRIM(MID('R.M Billets Reports'!D1162,SEARCH("-",'R.M Billets Reports'!D1162)+1,200)),"")))="VRKP ISPAT PVT LTD","VRKP",IF(IF(IF(ISNUMBER(SEARCH("Party Name:-",'R.M Billets Reports'!D1161)),TRIM('R.M Billets Reports'!F1161),IF(ISNUMBER(SEARCH("Party Name-",'R.M Billets Reports'!D1161)),TRIM(MID('R.M Billets Reports'!D1161,SEARCH("-",'R.M Billets Reports'!D1161)+1,200)),""))&lt;&gt;"",IF(ISNUMBER(SEARCH("Party Name:-",'R.M Billets Reports'!D1161)),TRIM('R.M Billets Reports'!F1161),IF(ISNUMBER(SEARCH("Party Name-",'R.M Billets Reports'!D1161)),TRIM(MID('R.M Billets Reports'!D1161,SEARCH("-",'R.M Billets Reports'!D1161)+1,200)),"")),IF(ISNUMBER(SEARCH("Party Name:-",'R.M Billets Reports'!D1162)),TRIM('R.M Billets Reports'!F1162),IF(ISNUMBER(SEARCH("Party Name-",'R.M Billets Reports'!D1162)),TRIM(MID('R.M Billets Reports'!D1162,SEARCH("-",'R.M Billets Reports'!D1162)+1,200)),"")))="SHRI RADHE","SHREE RADHE",IF(IF(IF(ISNUMBER(SEARCH("Party Name:-",'R.M Billets Reports'!D1161)),TRIM('R.M Billets Reports'!F1161),IF(ISNUMBER(SEARCH("Party Name-",'R.M Billets Reports'!D1161)),TRIM(MID('R.M Billets Reports'!D1161,SEARCH("-",'R.M Billets Reports'!D1161)+1,200)),""))&lt;&gt;"",IF(ISNUMBER(SEARCH("Party Name:-",'R.M Billets Reports'!D1161)),TRIM('R.M Billets Reports'!F1161),IF(ISNUMBER(SEARCH("Party Name-",'R.M Billets Reports'!D1161)),TRIM(MID('R.M Billets Reports'!D1161,SEARCH("-",'R.M Billets Reports'!D1161)+1,200)),"")),IF(ISNUMBER(SEARCH("Party Name:-",'R.M Billets Reports'!D1162)),TRIM('R.M Billets Reports'!F1162),IF(ISNUMBER(SEARCH("Party Name-",'R.M Billets Reports'!D1162)),TRIM(MID('R.M Billets Reports'!D1162,SEARCH("-",'R.M Billets Reports'!D1162)+1,200)),"")))="SHREE RADHE SHAKTI SPONGE AND POWER PVT. LTD.","SHREE RADHE",IF(IF(ISNUMBER(SEARCH("Party Name:-",'R.M Billets Reports'!D1161)),TRIM('R.M Billets Reports'!F1161),IF(ISNUMBER(SEARCH("Party Name-",'R.M Billets Reports'!D1161)),TRIM(MID('R.M Billets Reports'!D1161,SEARCH("-",'R.M Billets Reports'!D1161)+1,200)),""))&lt;&gt;"",IF(ISNUMBER(SEARCH("Party Name:-",'R.M Billets Reports'!D1161)),TRIM('R.M Billets Reports'!F1161),IF(ISNUMBER(SEARCH("Party Name-",'R.M Billets Reports'!D1161)),TRIM(MID('R.M Billets Reports'!D1161,SEARCH("-",'R.M Billets Reports'!D1161)+1,200)),"")),IF(ISNUMBER(SEARCH("Party Name:-",'R.M Billets Reports'!D1162)),TRIM('R.M Billets Reports'!F1162),IF(ISNUMBER(SEARCH("Party Name-",'R.M Billets Reports'!D1162)),TRIM(MID('R.M Billets Reports'!D1162,SEARCH("-",'R.M Billets Reports'!D1162)+1,200)),"")))))),IF(ROW()=2,"",A1161))</f>
      </c>
      <c r="B1162">
        <f>IF(OR('R.M Billets Reports'!A1161="Date-",'R.M Billets Reports'!A1161="Date:-"),'R.M Billets Reports'!B1161,IF(ROW()=2,"",B1161))</f>
      </c>
      <c r="C1162">
        <f>IF('R.M Billets Reports'!A1161="V.No.",'R.M Billets Reports'!B1161,IF(ROW()=2,"",C1161))</f>
      </c>
      <c r="D1162">
        <f>IF('R.M Billets Reports'!A1161&lt;&gt;"",'R.M Billets Reports'!A1161,IF(ROW()=2,"",D1161))</f>
      </c>
      <c r="E1162">
        <f>IF('R.M Billets Reports'!B1161="","",TRIM('R.M Billets Reports'!B1161))</f>
      </c>
      <c r="F1162">
        <f>'R.M Billets Reports'!C1161</f>
      </c>
      <c r="G1162">
        <f>'R.M Billets Reports'!D1161</f>
      </c>
      <c r="H1162">
        <f>'R.M Billets Reports'!E1161</f>
      </c>
      <c r="I1162">
        <f>'R.M Billets Reports'!F1161</f>
      </c>
      <c r="J1162">
        <f>'R.M Billets Reports'!G1161</f>
      </c>
      <c r="K1162">
        <f>'R.M Billets Reports'!H1161</f>
      </c>
      <c r="L1162">
        <f>IF('R.M Billets Reports'!I1161="","",'R.M Billets Reports'!I1161)</f>
      </c>
      <c r="M1162">
        <f t="shared" si="36"/>
      </c>
      <c r="N1162">
        <f>IF('R.M Billets Reports'!J1161="","",'R.M Billets Reports'!J1161)</f>
      </c>
      <c r="O1162">
        <f t="shared" si="37"/>
      </c>
      <c r="P1162">
        <f>IF('R.M Billets Reports'!A1161="SIZE",'R.M Billets Reports'!B1161,P1161)</f>
      </c>
    </row>
    <row r="1163" spans="1:16" x14ac:dyDescent="0.25">
      <c r="A1163">
        <f>IF(OR('R.M Billets Reports'!A1162="Date-",'R.M Billets Reports'!A1162="Date:-"),IF(IF(IF(ISNUMBER(SEARCH("Party Name:-",'R.M Billets Reports'!D1162)),TRIM('R.M Billets Reports'!F1162),IF(ISNUMBER(SEARCH("Party Name-",'R.M Billets Reports'!D1162)),TRIM(MID('R.M Billets Reports'!D1162,SEARCH("-",'R.M Billets Reports'!D1162)+1,200)),""))&lt;&gt;"",IF(ISNUMBER(SEARCH("Party Name:-",'R.M Billets Reports'!D1162)),TRIM('R.M Billets Reports'!F1162),IF(ISNUMBER(SEARCH("Party Name-",'R.M Billets Reports'!D1162)),TRIM(MID('R.M Billets Reports'!D1162,SEARCH("-",'R.M Billets Reports'!D1162)+1,200)),"")),IF(ISNUMBER(SEARCH("Party Name:-",'R.M Billets Reports'!D1163)),TRIM('R.M Billets Reports'!F1163),IF(ISNUMBER(SEARCH("Party Name-",'R.M Billets Reports'!D1163)),TRIM(MID('R.M Billets Reports'!D1163,SEARCH("-",'R.M Billets Reports'!D1163)+1,200)),"")))="VRKP ISPAT PVT LTD","VRKP",IF(IF(IF(ISNUMBER(SEARCH("Party Name:-",'R.M Billets Reports'!D1162)),TRIM('R.M Billets Reports'!F1162),IF(ISNUMBER(SEARCH("Party Name-",'R.M Billets Reports'!D1162)),TRIM(MID('R.M Billets Reports'!D1162,SEARCH("-",'R.M Billets Reports'!D1162)+1,200)),""))&lt;&gt;"",IF(ISNUMBER(SEARCH("Party Name:-",'R.M Billets Reports'!D1162)),TRIM('R.M Billets Reports'!F1162),IF(ISNUMBER(SEARCH("Party Name-",'R.M Billets Reports'!D1162)),TRIM(MID('R.M Billets Reports'!D1162,SEARCH("-",'R.M Billets Reports'!D1162)+1,200)),"")),IF(ISNUMBER(SEARCH("Party Name:-",'R.M Billets Reports'!D1163)),TRIM('R.M Billets Reports'!F1163),IF(ISNUMBER(SEARCH("Party Name-",'R.M Billets Reports'!D1163)),TRIM(MID('R.M Billets Reports'!D1163,SEARCH("-",'R.M Billets Reports'!D1163)+1,200)),"")))="SHRI RADHE","SHREE RADHE",IF(IF(IF(ISNUMBER(SEARCH("Party Name:-",'R.M Billets Reports'!D1162)),TRIM('R.M Billets Reports'!F1162),IF(ISNUMBER(SEARCH("Party Name-",'R.M Billets Reports'!D1162)),TRIM(MID('R.M Billets Reports'!D1162,SEARCH("-",'R.M Billets Reports'!D1162)+1,200)),""))&lt;&gt;"",IF(ISNUMBER(SEARCH("Party Name:-",'R.M Billets Reports'!D1162)),TRIM('R.M Billets Reports'!F1162),IF(ISNUMBER(SEARCH("Party Name-",'R.M Billets Reports'!D1162)),TRIM(MID('R.M Billets Reports'!D1162,SEARCH("-",'R.M Billets Reports'!D1162)+1,200)),"")),IF(ISNUMBER(SEARCH("Party Name:-",'R.M Billets Reports'!D1163)),TRIM('R.M Billets Reports'!F1163),IF(ISNUMBER(SEARCH("Party Name-",'R.M Billets Reports'!D1163)),TRIM(MID('R.M Billets Reports'!D1163,SEARCH("-",'R.M Billets Reports'!D1163)+1,200)),"")))="SHREE RADHE SHAKTI SPONGE AND POWER PVT. LTD.","SHREE RADHE",IF(IF(ISNUMBER(SEARCH("Party Name:-",'R.M Billets Reports'!D1162)),TRIM('R.M Billets Reports'!F1162),IF(ISNUMBER(SEARCH("Party Name-",'R.M Billets Reports'!D1162)),TRIM(MID('R.M Billets Reports'!D1162,SEARCH("-",'R.M Billets Reports'!D1162)+1,200)),""))&lt;&gt;"",IF(ISNUMBER(SEARCH("Party Name:-",'R.M Billets Reports'!D1162)),TRIM('R.M Billets Reports'!F1162),IF(ISNUMBER(SEARCH("Party Name-",'R.M Billets Reports'!D1162)),TRIM(MID('R.M Billets Reports'!D1162,SEARCH("-",'R.M Billets Reports'!D1162)+1,200)),"")),IF(ISNUMBER(SEARCH("Party Name:-",'R.M Billets Reports'!D1163)),TRIM('R.M Billets Reports'!F1163),IF(ISNUMBER(SEARCH("Party Name-",'R.M Billets Reports'!D1163)),TRIM(MID('R.M Billets Reports'!D1163,SEARCH("-",'R.M Billets Reports'!D1163)+1,200)),"")))))),IF(ROW()=2,"",A1162))</f>
      </c>
      <c r="B1163">
        <f>IF(OR('R.M Billets Reports'!A1162="Date-",'R.M Billets Reports'!A1162="Date:-"),'R.M Billets Reports'!B1162,IF(ROW()=2,"",B1162))</f>
      </c>
      <c r="C1163">
        <f>IF('R.M Billets Reports'!A1162="V.No.",'R.M Billets Reports'!B1162,IF(ROW()=2,"",C1162))</f>
      </c>
      <c r="D1163">
        <f>IF('R.M Billets Reports'!A1162&lt;&gt;"",'R.M Billets Reports'!A1162,IF(ROW()=2,"",D1162))</f>
      </c>
      <c r="E1163">
        <f>IF('R.M Billets Reports'!B1162="","",TRIM('R.M Billets Reports'!B1162))</f>
      </c>
      <c r="F1163">
        <f>'R.M Billets Reports'!C1162</f>
      </c>
      <c r="G1163">
        <f>'R.M Billets Reports'!D1162</f>
      </c>
      <c r="H1163">
        <f>'R.M Billets Reports'!E1162</f>
      </c>
      <c r="I1163">
        <f>'R.M Billets Reports'!F1162</f>
      </c>
      <c r="J1163">
        <f>'R.M Billets Reports'!G1162</f>
      </c>
      <c r="K1163">
        <f>'R.M Billets Reports'!H1162</f>
      </c>
      <c r="L1163">
        <f>IF('R.M Billets Reports'!I1162="","",'R.M Billets Reports'!I1162)</f>
      </c>
      <c r="M1163">
        <f t="shared" si="36"/>
      </c>
      <c r="N1163">
        <f>IF('R.M Billets Reports'!J1162="","",'R.M Billets Reports'!J1162)</f>
      </c>
      <c r="O1163">
        <f t="shared" si="37"/>
      </c>
      <c r="P1163">
        <f>IF('R.M Billets Reports'!A1162="SIZE",'R.M Billets Reports'!B1162,P1162)</f>
      </c>
    </row>
    <row r="1164" spans="1:16" x14ac:dyDescent="0.25">
      <c r="A1164">
        <f>IF(OR('R.M Billets Reports'!A1163="Date-",'R.M Billets Reports'!A1163="Date:-"),IF(IF(IF(ISNUMBER(SEARCH("Party Name:-",'R.M Billets Reports'!D1163)),TRIM('R.M Billets Reports'!F1163),IF(ISNUMBER(SEARCH("Party Name-",'R.M Billets Reports'!D1163)),TRIM(MID('R.M Billets Reports'!D1163,SEARCH("-",'R.M Billets Reports'!D1163)+1,200)),""))&lt;&gt;"",IF(ISNUMBER(SEARCH("Party Name:-",'R.M Billets Reports'!D1163)),TRIM('R.M Billets Reports'!F1163),IF(ISNUMBER(SEARCH("Party Name-",'R.M Billets Reports'!D1163)),TRIM(MID('R.M Billets Reports'!D1163,SEARCH("-",'R.M Billets Reports'!D1163)+1,200)),"")),IF(ISNUMBER(SEARCH("Party Name:-",'R.M Billets Reports'!D1164)),TRIM('R.M Billets Reports'!F1164),IF(ISNUMBER(SEARCH("Party Name-",'R.M Billets Reports'!D1164)),TRIM(MID('R.M Billets Reports'!D1164,SEARCH("-",'R.M Billets Reports'!D1164)+1,200)),"")))="VRKP ISPAT PVT LTD","VRKP",IF(IF(IF(ISNUMBER(SEARCH("Party Name:-",'R.M Billets Reports'!D1163)),TRIM('R.M Billets Reports'!F1163),IF(ISNUMBER(SEARCH("Party Name-",'R.M Billets Reports'!D1163)),TRIM(MID('R.M Billets Reports'!D1163,SEARCH("-",'R.M Billets Reports'!D1163)+1,200)),""))&lt;&gt;"",IF(ISNUMBER(SEARCH("Party Name:-",'R.M Billets Reports'!D1163)),TRIM('R.M Billets Reports'!F1163),IF(ISNUMBER(SEARCH("Party Name-",'R.M Billets Reports'!D1163)),TRIM(MID('R.M Billets Reports'!D1163,SEARCH("-",'R.M Billets Reports'!D1163)+1,200)),"")),IF(ISNUMBER(SEARCH("Party Name:-",'R.M Billets Reports'!D1164)),TRIM('R.M Billets Reports'!F1164),IF(ISNUMBER(SEARCH("Party Name-",'R.M Billets Reports'!D1164)),TRIM(MID('R.M Billets Reports'!D1164,SEARCH("-",'R.M Billets Reports'!D1164)+1,200)),"")))="SHRI RADHE","SHREE RADHE",IF(IF(IF(ISNUMBER(SEARCH("Party Name:-",'R.M Billets Reports'!D1163)),TRIM('R.M Billets Reports'!F1163),IF(ISNUMBER(SEARCH("Party Name-",'R.M Billets Reports'!D1163)),TRIM(MID('R.M Billets Reports'!D1163,SEARCH("-",'R.M Billets Reports'!D1163)+1,200)),""))&lt;&gt;"",IF(ISNUMBER(SEARCH("Party Name:-",'R.M Billets Reports'!D1163)),TRIM('R.M Billets Reports'!F1163),IF(ISNUMBER(SEARCH("Party Name-",'R.M Billets Reports'!D1163)),TRIM(MID('R.M Billets Reports'!D1163,SEARCH("-",'R.M Billets Reports'!D1163)+1,200)),"")),IF(ISNUMBER(SEARCH("Party Name:-",'R.M Billets Reports'!D1164)),TRIM('R.M Billets Reports'!F1164),IF(ISNUMBER(SEARCH("Party Name-",'R.M Billets Reports'!D1164)),TRIM(MID('R.M Billets Reports'!D1164,SEARCH("-",'R.M Billets Reports'!D1164)+1,200)),"")))="SHREE RADHE SHAKTI SPONGE AND POWER PVT. LTD.","SHREE RADHE",IF(IF(ISNUMBER(SEARCH("Party Name:-",'R.M Billets Reports'!D1163)),TRIM('R.M Billets Reports'!F1163),IF(ISNUMBER(SEARCH("Party Name-",'R.M Billets Reports'!D1163)),TRIM(MID('R.M Billets Reports'!D1163,SEARCH("-",'R.M Billets Reports'!D1163)+1,200)),""))&lt;&gt;"",IF(ISNUMBER(SEARCH("Party Name:-",'R.M Billets Reports'!D1163)),TRIM('R.M Billets Reports'!F1163),IF(ISNUMBER(SEARCH("Party Name-",'R.M Billets Reports'!D1163)),TRIM(MID('R.M Billets Reports'!D1163,SEARCH("-",'R.M Billets Reports'!D1163)+1,200)),"")),IF(ISNUMBER(SEARCH("Party Name:-",'R.M Billets Reports'!D1164)),TRIM('R.M Billets Reports'!F1164),IF(ISNUMBER(SEARCH("Party Name-",'R.M Billets Reports'!D1164)),TRIM(MID('R.M Billets Reports'!D1164,SEARCH("-",'R.M Billets Reports'!D1164)+1,200)),"")))))),IF(ROW()=2,"",A1163))</f>
      </c>
      <c r="B1164">
        <f>IF(OR('R.M Billets Reports'!A1163="Date-",'R.M Billets Reports'!A1163="Date:-"),'R.M Billets Reports'!B1163,IF(ROW()=2,"",B1163))</f>
      </c>
      <c r="C1164">
        <f>IF('R.M Billets Reports'!A1163="V.No.",'R.M Billets Reports'!B1163,IF(ROW()=2,"",C1163))</f>
      </c>
      <c r="D1164">
        <f>IF('R.M Billets Reports'!A1163&lt;&gt;"",'R.M Billets Reports'!A1163,IF(ROW()=2,"",D1163))</f>
      </c>
      <c r="E1164">
        <f>IF('R.M Billets Reports'!B1163="","",TRIM('R.M Billets Reports'!B1163))</f>
      </c>
      <c r="F1164">
        <f>'R.M Billets Reports'!C1163</f>
      </c>
      <c r="G1164">
        <f>'R.M Billets Reports'!D1163</f>
      </c>
      <c r="H1164">
        <f>'R.M Billets Reports'!E1163</f>
      </c>
      <c r="I1164">
        <f>'R.M Billets Reports'!F1163</f>
      </c>
      <c r="J1164">
        <f>'R.M Billets Reports'!G1163</f>
      </c>
      <c r="K1164">
        <f>'R.M Billets Reports'!H1163</f>
      </c>
      <c r="L1164">
        <f>IF('R.M Billets Reports'!I1163="","",'R.M Billets Reports'!I1163)</f>
      </c>
      <c r="M1164">
        <f t="shared" si="36"/>
      </c>
      <c r="N1164">
        <f>IF('R.M Billets Reports'!J1163="","",'R.M Billets Reports'!J1163)</f>
      </c>
      <c r="O1164">
        <f t="shared" si="37"/>
      </c>
      <c r="P1164">
        <f>IF('R.M Billets Reports'!A1163="SIZE",'R.M Billets Reports'!B1163,P1163)</f>
      </c>
    </row>
    <row r="1165" spans="1:16" x14ac:dyDescent="0.25">
      <c r="A1165">
        <f>IF(OR('R.M Billets Reports'!A1164="Date-",'R.M Billets Reports'!A1164="Date:-"),IF(IF(IF(ISNUMBER(SEARCH("Party Name:-",'R.M Billets Reports'!D1164)),TRIM('R.M Billets Reports'!F1164),IF(ISNUMBER(SEARCH("Party Name-",'R.M Billets Reports'!D1164)),TRIM(MID('R.M Billets Reports'!D1164,SEARCH("-",'R.M Billets Reports'!D1164)+1,200)),""))&lt;&gt;"",IF(ISNUMBER(SEARCH("Party Name:-",'R.M Billets Reports'!D1164)),TRIM('R.M Billets Reports'!F1164),IF(ISNUMBER(SEARCH("Party Name-",'R.M Billets Reports'!D1164)),TRIM(MID('R.M Billets Reports'!D1164,SEARCH("-",'R.M Billets Reports'!D1164)+1,200)),"")),IF(ISNUMBER(SEARCH("Party Name:-",'R.M Billets Reports'!D1165)),TRIM('R.M Billets Reports'!F1165),IF(ISNUMBER(SEARCH("Party Name-",'R.M Billets Reports'!D1165)),TRIM(MID('R.M Billets Reports'!D1165,SEARCH("-",'R.M Billets Reports'!D1165)+1,200)),"")))="VRKP ISPAT PVT LTD","VRKP",IF(IF(IF(ISNUMBER(SEARCH("Party Name:-",'R.M Billets Reports'!D1164)),TRIM('R.M Billets Reports'!F1164),IF(ISNUMBER(SEARCH("Party Name-",'R.M Billets Reports'!D1164)),TRIM(MID('R.M Billets Reports'!D1164,SEARCH("-",'R.M Billets Reports'!D1164)+1,200)),""))&lt;&gt;"",IF(ISNUMBER(SEARCH("Party Name:-",'R.M Billets Reports'!D1164)),TRIM('R.M Billets Reports'!F1164),IF(ISNUMBER(SEARCH("Party Name-",'R.M Billets Reports'!D1164)),TRIM(MID('R.M Billets Reports'!D1164,SEARCH("-",'R.M Billets Reports'!D1164)+1,200)),"")),IF(ISNUMBER(SEARCH("Party Name:-",'R.M Billets Reports'!D1165)),TRIM('R.M Billets Reports'!F1165),IF(ISNUMBER(SEARCH("Party Name-",'R.M Billets Reports'!D1165)),TRIM(MID('R.M Billets Reports'!D1165,SEARCH("-",'R.M Billets Reports'!D1165)+1,200)),"")))="SHRI RADHE","SHREE RADHE",IF(IF(IF(ISNUMBER(SEARCH("Party Name:-",'R.M Billets Reports'!D1164)),TRIM('R.M Billets Reports'!F1164),IF(ISNUMBER(SEARCH("Party Name-",'R.M Billets Reports'!D1164)),TRIM(MID('R.M Billets Reports'!D1164,SEARCH("-",'R.M Billets Reports'!D1164)+1,200)),""))&lt;&gt;"",IF(ISNUMBER(SEARCH("Party Name:-",'R.M Billets Reports'!D1164)),TRIM('R.M Billets Reports'!F1164),IF(ISNUMBER(SEARCH("Party Name-",'R.M Billets Reports'!D1164)),TRIM(MID('R.M Billets Reports'!D1164,SEARCH("-",'R.M Billets Reports'!D1164)+1,200)),"")),IF(ISNUMBER(SEARCH("Party Name:-",'R.M Billets Reports'!D1165)),TRIM('R.M Billets Reports'!F1165),IF(ISNUMBER(SEARCH("Party Name-",'R.M Billets Reports'!D1165)),TRIM(MID('R.M Billets Reports'!D1165,SEARCH("-",'R.M Billets Reports'!D1165)+1,200)),"")))="SHREE RADHE SHAKTI SPONGE AND POWER PVT. LTD.","SHREE RADHE",IF(IF(ISNUMBER(SEARCH("Party Name:-",'R.M Billets Reports'!D1164)),TRIM('R.M Billets Reports'!F1164),IF(ISNUMBER(SEARCH("Party Name-",'R.M Billets Reports'!D1164)),TRIM(MID('R.M Billets Reports'!D1164,SEARCH("-",'R.M Billets Reports'!D1164)+1,200)),""))&lt;&gt;"",IF(ISNUMBER(SEARCH("Party Name:-",'R.M Billets Reports'!D1164)),TRIM('R.M Billets Reports'!F1164),IF(ISNUMBER(SEARCH("Party Name-",'R.M Billets Reports'!D1164)),TRIM(MID('R.M Billets Reports'!D1164,SEARCH("-",'R.M Billets Reports'!D1164)+1,200)),"")),IF(ISNUMBER(SEARCH("Party Name:-",'R.M Billets Reports'!D1165)),TRIM('R.M Billets Reports'!F1165),IF(ISNUMBER(SEARCH("Party Name-",'R.M Billets Reports'!D1165)),TRIM(MID('R.M Billets Reports'!D1165,SEARCH("-",'R.M Billets Reports'!D1165)+1,200)),"")))))),IF(ROW()=2,"",A1164))</f>
      </c>
      <c r="B1165">
        <f>IF(OR('R.M Billets Reports'!A1164="Date-",'R.M Billets Reports'!A1164="Date:-"),'R.M Billets Reports'!B1164,IF(ROW()=2,"",B1164))</f>
      </c>
      <c r="C1165">
        <f>IF('R.M Billets Reports'!A1164="V.No.",'R.M Billets Reports'!B1164,IF(ROW()=2,"",C1164))</f>
      </c>
      <c r="D1165">
        <f>IF('R.M Billets Reports'!A1164&lt;&gt;"",'R.M Billets Reports'!A1164,IF(ROW()=2,"",D1164))</f>
      </c>
      <c r="E1165">
        <f>IF('R.M Billets Reports'!B1164="","",TRIM('R.M Billets Reports'!B1164))</f>
      </c>
      <c r="F1165">
        <f>'R.M Billets Reports'!C1164</f>
      </c>
      <c r="G1165">
        <f>'R.M Billets Reports'!D1164</f>
      </c>
      <c r="H1165">
        <f>'R.M Billets Reports'!E1164</f>
      </c>
      <c r="I1165">
        <f>'R.M Billets Reports'!F1164</f>
      </c>
      <c r="J1165">
        <f>'R.M Billets Reports'!G1164</f>
      </c>
      <c r="K1165">
        <f>'R.M Billets Reports'!H1164</f>
      </c>
      <c r="L1165">
        <f>IF('R.M Billets Reports'!I1164="","",'R.M Billets Reports'!I1164)</f>
      </c>
      <c r="M1165">
        <f t="shared" si="36"/>
      </c>
      <c r="N1165">
        <f>IF('R.M Billets Reports'!J1164="","",'R.M Billets Reports'!J1164)</f>
      </c>
      <c r="O1165">
        <f t="shared" si="37"/>
      </c>
      <c r="P1165">
        <f>IF('R.M Billets Reports'!A1164="SIZE",'R.M Billets Reports'!B1164,P1164)</f>
      </c>
    </row>
    <row r="1166" spans="1:16" x14ac:dyDescent="0.25">
      <c r="A1166">
        <f>IF(OR('R.M Billets Reports'!A1165="Date-",'R.M Billets Reports'!A1165="Date:-"),IF(IF(IF(ISNUMBER(SEARCH("Party Name:-",'R.M Billets Reports'!D1165)),TRIM('R.M Billets Reports'!F1165),IF(ISNUMBER(SEARCH("Party Name-",'R.M Billets Reports'!D1165)),TRIM(MID('R.M Billets Reports'!D1165,SEARCH("-",'R.M Billets Reports'!D1165)+1,200)),""))&lt;&gt;"",IF(ISNUMBER(SEARCH("Party Name:-",'R.M Billets Reports'!D1165)),TRIM('R.M Billets Reports'!F1165),IF(ISNUMBER(SEARCH("Party Name-",'R.M Billets Reports'!D1165)),TRIM(MID('R.M Billets Reports'!D1165,SEARCH("-",'R.M Billets Reports'!D1165)+1,200)),"")),IF(ISNUMBER(SEARCH("Party Name:-",'R.M Billets Reports'!D1166)),TRIM('R.M Billets Reports'!F1166),IF(ISNUMBER(SEARCH("Party Name-",'R.M Billets Reports'!D1166)),TRIM(MID('R.M Billets Reports'!D1166,SEARCH("-",'R.M Billets Reports'!D1166)+1,200)),"")))="VRKP ISPAT PVT LTD","VRKP",IF(IF(IF(ISNUMBER(SEARCH("Party Name:-",'R.M Billets Reports'!D1165)),TRIM('R.M Billets Reports'!F1165),IF(ISNUMBER(SEARCH("Party Name-",'R.M Billets Reports'!D1165)),TRIM(MID('R.M Billets Reports'!D1165,SEARCH("-",'R.M Billets Reports'!D1165)+1,200)),""))&lt;&gt;"",IF(ISNUMBER(SEARCH("Party Name:-",'R.M Billets Reports'!D1165)),TRIM('R.M Billets Reports'!F1165),IF(ISNUMBER(SEARCH("Party Name-",'R.M Billets Reports'!D1165)),TRIM(MID('R.M Billets Reports'!D1165,SEARCH("-",'R.M Billets Reports'!D1165)+1,200)),"")),IF(ISNUMBER(SEARCH("Party Name:-",'R.M Billets Reports'!D1166)),TRIM('R.M Billets Reports'!F1166),IF(ISNUMBER(SEARCH("Party Name-",'R.M Billets Reports'!D1166)),TRIM(MID('R.M Billets Reports'!D1166,SEARCH("-",'R.M Billets Reports'!D1166)+1,200)),"")))="SHRI RADHE","SHREE RADHE",IF(IF(IF(ISNUMBER(SEARCH("Party Name:-",'R.M Billets Reports'!D1165)),TRIM('R.M Billets Reports'!F1165),IF(ISNUMBER(SEARCH("Party Name-",'R.M Billets Reports'!D1165)),TRIM(MID('R.M Billets Reports'!D1165,SEARCH("-",'R.M Billets Reports'!D1165)+1,200)),""))&lt;&gt;"",IF(ISNUMBER(SEARCH("Party Name:-",'R.M Billets Reports'!D1165)),TRIM('R.M Billets Reports'!F1165),IF(ISNUMBER(SEARCH("Party Name-",'R.M Billets Reports'!D1165)),TRIM(MID('R.M Billets Reports'!D1165,SEARCH("-",'R.M Billets Reports'!D1165)+1,200)),"")),IF(ISNUMBER(SEARCH("Party Name:-",'R.M Billets Reports'!D1166)),TRIM('R.M Billets Reports'!F1166),IF(ISNUMBER(SEARCH("Party Name-",'R.M Billets Reports'!D1166)),TRIM(MID('R.M Billets Reports'!D1166,SEARCH("-",'R.M Billets Reports'!D1166)+1,200)),"")))="SHREE RADHE SHAKTI SPONGE AND POWER PVT. LTD.","SHREE RADHE",IF(IF(ISNUMBER(SEARCH("Party Name:-",'R.M Billets Reports'!D1165)),TRIM('R.M Billets Reports'!F1165),IF(ISNUMBER(SEARCH("Party Name-",'R.M Billets Reports'!D1165)),TRIM(MID('R.M Billets Reports'!D1165,SEARCH("-",'R.M Billets Reports'!D1165)+1,200)),""))&lt;&gt;"",IF(ISNUMBER(SEARCH("Party Name:-",'R.M Billets Reports'!D1165)),TRIM('R.M Billets Reports'!F1165),IF(ISNUMBER(SEARCH("Party Name-",'R.M Billets Reports'!D1165)),TRIM(MID('R.M Billets Reports'!D1165,SEARCH("-",'R.M Billets Reports'!D1165)+1,200)),"")),IF(ISNUMBER(SEARCH("Party Name:-",'R.M Billets Reports'!D1166)),TRIM('R.M Billets Reports'!F1166),IF(ISNUMBER(SEARCH("Party Name-",'R.M Billets Reports'!D1166)),TRIM(MID('R.M Billets Reports'!D1166,SEARCH("-",'R.M Billets Reports'!D1166)+1,200)),"")))))),IF(ROW()=2,"",A1165))</f>
      </c>
      <c r="B1166">
        <f>IF(OR('R.M Billets Reports'!A1165="Date-",'R.M Billets Reports'!A1165="Date:-"),'R.M Billets Reports'!B1165,IF(ROW()=2,"",B1165))</f>
      </c>
      <c r="C1166">
        <f>IF('R.M Billets Reports'!A1165="V.No.",'R.M Billets Reports'!B1165,IF(ROW()=2,"",C1165))</f>
      </c>
      <c r="D1166">
        <f>IF('R.M Billets Reports'!A1165&lt;&gt;"",'R.M Billets Reports'!A1165,IF(ROW()=2,"",D1165))</f>
      </c>
      <c r="E1166">
        <f>IF('R.M Billets Reports'!B1165="","",TRIM('R.M Billets Reports'!B1165))</f>
      </c>
      <c r="F1166">
        <f>'R.M Billets Reports'!C1165</f>
      </c>
      <c r="G1166">
        <f>'R.M Billets Reports'!D1165</f>
      </c>
      <c r="H1166">
        <f>'R.M Billets Reports'!E1165</f>
      </c>
      <c r="I1166">
        <f>'R.M Billets Reports'!F1165</f>
      </c>
      <c r="J1166">
        <f>'R.M Billets Reports'!G1165</f>
      </c>
      <c r="K1166">
        <f>'R.M Billets Reports'!H1165</f>
      </c>
      <c r="L1166">
        <f>IF('R.M Billets Reports'!I1165="","",'R.M Billets Reports'!I1165)</f>
      </c>
      <c r="M1166">
        <f t="shared" si="36"/>
      </c>
      <c r="N1166">
        <f>IF('R.M Billets Reports'!J1165="","",'R.M Billets Reports'!J1165)</f>
      </c>
      <c r="O1166">
        <f t="shared" si="37"/>
      </c>
      <c r="P1166">
        <f>IF('R.M Billets Reports'!A1165="SIZE",'R.M Billets Reports'!B1165,P1165)</f>
      </c>
    </row>
    <row r="1167" spans="1:16" x14ac:dyDescent="0.25">
      <c r="A1167">
        <f>IF(OR('R.M Billets Reports'!A1166="Date-",'R.M Billets Reports'!A1166="Date:-"),IF(IF(IF(ISNUMBER(SEARCH("Party Name:-",'R.M Billets Reports'!D1166)),TRIM('R.M Billets Reports'!F1166),IF(ISNUMBER(SEARCH("Party Name-",'R.M Billets Reports'!D1166)),TRIM(MID('R.M Billets Reports'!D1166,SEARCH("-",'R.M Billets Reports'!D1166)+1,200)),""))&lt;&gt;"",IF(ISNUMBER(SEARCH("Party Name:-",'R.M Billets Reports'!D1166)),TRIM('R.M Billets Reports'!F1166),IF(ISNUMBER(SEARCH("Party Name-",'R.M Billets Reports'!D1166)),TRIM(MID('R.M Billets Reports'!D1166,SEARCH("-",'R.M Billets Reports'!D1166)+1,200)),"")),IF(ISNUMBER(SEARCH("Party Name:-",'R.M Billets Reports'!D1167)),TRIM('R.M Billets Reports'!F1167),IF(ISNUMBER(SEARCH("Party Name-",'R.M Billets Reports'!D1167)),TRIM(MID('R.M Billets Reports'!D1167,SEARCH("-",'R.M Billets Reports'!D1167)+1,200)),"")))="VRKP ISPAT PVT LTD","VRKP",IF(IF(IF(ISNUMBER(SEARCH("Party Name:-",'R.M Billets Reports'!D1166)),TRIM('R.M Billets Reports'!F1166),IF(ISNUMBER(SEARCH("Party Name-",'R.M Billets Reports'!D1166)),TRIM(MID('R.M Billets Reports'!D1166,SEARCH("-",'R.M Billets Reports'!D1166)+1,200)),""))&lt;&gt;"",IF(ISNUMBER(SEARCH("Party Name:-",'R.M Billets Reports'!D1166)),TRIM('R.M Billets Reports'!F1166),IF(ISNUMBER(SEARCH("Party Name-",'R.M Billets Reports'!D1166)),TRIM(MID('R.M Billets Reports'!D1166,SEARCH("-",'R.M Billets Reports'!D1166)+1,200)),"")),IF(ISNUMBER(SEARCH("Party Name:-",'R.M Billets Reports'!D1167)),TRIM('R.M Billets Reports'!F1167),IF(ISNUMBER(SEARCH("Party Name-",'R.M Billets Reports'!D1167)),TRIM(MID('R.M Billets Reports'!D1167,SEARCH("-",'R.M Billets Reports'!D1167)+1,200)),"")))="SHRI RADHE","SHREE RADHE",IF(IF(IF(ISNUMBER(SEARCH("Party Name:-",'R.M Billets Reports'!D1166)),TRIM('R.M Billets Reports'!F1166),IF(ISNUMBER(SEARCH("Party Name-",'R.M Billets Reports'!D1166)),TRIM(MID('R.M Billets Reports'!D1166,SEARCH("-",'R.M Billets Reports'!D1166)+1,200)),""))&lt;&gt;"",IF(ISNUMBER(SEARCH("Party Name:-",'R.M Billets Reports'!D1166)),TRIM('R.M Billets Reports'!F1166),IF(ISNUMBER(SEARCH("Party Name-",'R.M Billets Reports'!D1166)),TRIM(MID('R.M Billets Reports'!D1166,SEARCH("-",'R.M Billets Reports'!D1166)+1,200)),"")),IF(ISNUMBER(SEARCH("Party Name:-",'R.M Billets Reports'!D1167)),TRIM('R.M Billets Reports'!F1167),IF(ISNUMBER(SEARCH("Party Name-",'R.M Billets Reports'!D1167)),TRIM(MID('R.M Billets Reports'!D1167,SEARCH("-",'R.M Billets Reports'!D1167)+1,200)),"")))="SHREE RADHE SHAKTI SPONGE AND POWER PVT. LTD.","SHREE RADHE",IF(IF(ISNUMBER(SEARCH("Party Name:-",'R.M Billets Reports'!D1166)),TRIM('R.M Billets Reports'!F1166),IF(ISNUMBER(SEARCH("Party Name-",'R.M Billets Reports'!D1166)),TRIM(MID('R.M Billets Reports'!D1166,SEARCH("-",'R.M Billets Reports'!D1166)+1,200)),""))&lt;&gt;"",IF(ISNUMBER(SEARCH("Party Name:-",'R.M Billets Reports'!D1166)),TRIM('R.M Billets Reports'!F1166),IF(ISNUMBER(SEARCH("Party Name-",'R.M Billets Reports'!D1166)),TRIM(MID('R.M Billets Reports'!D1166,SEARCH("-",'R.M Billets Reports'!D1166)+1,200)),"")),IF(ISNUMBER(SEARCH("Party Name:-",'R.M Billets Reports'!D1167)),TRIM('R.M Billets Reports'!F1167),IF(ISNUMBER(SEARCH("Party Name-",'R.M Billets Reports'!D1167)),TRIM(MID('R.M Billets Reports'!D1167,SEARCH("-",'R.M Billets Reports'!D1167)+1,200)),"")))))),IF(ROW()=2,"",A1166))</f>
      </c>
      <c r="B1167">
        <f>IF(OR('R.M Billets Reports'!A1166="Date-",'R.M Billets Reports'!A1166="Date:-"),'R.M Billets Reports'!B1166,IF(ROW()=2,"",B1166))</f>
      </c>
      <c r="C1167">
        <f>IF('R.M Billets Reports'!A1166="V.No.",'R.M Billets Reports'!B1166,IF(ROW()=2,"",C1166))</f>
      </c>
      <c r="D1167">
        <f>IF('R.M Billets Reports'!A1166&lt;&gt;"",'R.M Billets Reports'!A1166,IF(ROW()=2,"",D1166))</f>
      </c>
      <c r="E1167">
        <f>IF('R.M Billets Reports'!B1166="","",TRIM('R.M Billets Reports'!B1166))</f>
      </c>
      <c r="F1167">
        <f>'R.M Billets Reports'!C1166</f>
      </c>
      <c r="G1167">
        <f>'R.M Billets Reports'!D1166</f>
      </c>
      <c r="H1167">
        <f>'R.M Billets Reports'!E1166</f>
      </c>
      <c r="I1167">
        <f>'R.M Billets Reports'!F1166</f>
      </c>
      <c r="J1167">
        <f>'R.M Billets Reports'!G1166</f>
      </c>
      <c r="K1167">
        <f>'R.M Billets Reports'!H1166</f>
      </c>
      <c r="L1167">
        <f>IF('R.M Billets Reports'!I1166="","",'R.M Billets Reports'!I1166)</f>
      </c>
      <c r="M1167">
        <f t="shared" si="36"/>
      </c>
      <c r="N1167">
        <f>IF('R.M Billets Reports'!J1166="","",'R.M Billets Reports'!J1166)</f>
      </c>
      <c r="O1167">
        <f t="shared" si="37"/>
      </c>
      <c r="P1167">
        <f>IF('R.M Billets Reports'!A1166="SIZE",'R.M Billets Reports'!B1166,P1166)</f>
      </c>
    </row>
    <row r="1168" spans="1:16" x14ac:dyDescent="0.25">
      <c r="A1168">
        <f>IF(OR('R.M Billets Reports'!A1167="Date-",'R.M Billets Reports'!A1167="Date:-"),IF(IF(IF(ISNUMBER(SEARCH("Party Name:-",'R.M Billets Reports'!D1167)),TRIM('R.M Billets Reports'!F1167),IF(ISNUMBER(SEARCH("Party Name-",'R.M Billets Reports'!D1167)),TRIM(MID('R.M Billets Reports'!D1167,SEARCH("-",'R.M Billets Reports'!D1167)+1,200)),""))&lt;&gt;"",IF(ISNUMBER(SEARCH("Party Name:-",'R.M Billets Reports'!D1167)),TRIM('R.M Billets Reports'!F1167),IF(ISNUMBER(SEARCH("Party Name-",'R.M Billets Reports'!D1167)),TRIM(MID('R.M Billets Reports'!D1167,SEARCH("-",'R.M Billets Reports'!D1167)+1,200)),"")),IF(ISNUMBER(SEARCH("Party Name:-",'R.M Billets Reports'!D1168)),TRIM('R.M Billets Reports'!F1168),IF(ISNUMBER(SEARCH("Party Name-",'R.M Billets Reports'!D1168)),TRIM(MID('R.M Billets Reports'!D1168,SEARCH("-",'R.M Billets Reports'!D1168)+1,200)),"")))="VRKP ISPAT PVT LTD","VRKP",IF(IF(IF(ISNUMBER(SEARCH("Party Name:-",'R.M Billets Reports'!D1167)),TRIM('R.M Billets Reports'!F1167),IF(ISNUMBER(SEARCH("Party Name-",'R.M Billets Reports'!D1167)),TRIM(MID('R.M Billets Reports'!D1167,SEARCH("-",'R.M Billets Reports'!D1167)+1,200)),""))&lt;&gt;"",IF(ISNUMBER(SEARCH("Party Name:-",'R.M Billets Reports'!D1167)),TRIM('R.M Billets Reports'!F1167),IF(ISNUMBER(SEARCH("Party Name-",'R.M Billets Reports'!D1167)),TRIM(MID('R.M Billets Reports'!D1167,SEARCH("-",'R.M Billets Reports'!D1167)+1,200)),"")),IF(ISNUMBER(SEARCH("Party Name:-",'R.M Billets Reports'!D1168)),TRIM('R.M Billets Reports'!F1168),IF(ISNUMBER(SEARCH("Party Name-",'R.M Billets Reports'!D1168)),TRIM(MID('R.M Billets Reports'!D1168,SEARCH("-",'R.M Billets Reports'!D1168)+1,200)),"")))="SHRI RADHE","SHREE RADHE",IF(IF(IF(ISNUMBER(SEARCH("Party Name:-",'R.M Billets Reports'!D1167)),TRIM('R.M Billets Reports'!F1167),IF(ISNUMBER(SEARCH("Party Name-",'R.M Billets Reports'!D1167)),TRIM(MID('R.M Billets Reports'!D1167,SEARCH("-",'R.M Billets Reports'!D1167)+1,200)),""))&lt;&gt;"",IF(ISNUMBER(SEARCH("Party Name:-",'R.M Billets Reports'!D1167)),TRIM('R.M Billets Reports'!F1167),IF(ISNUMBER(SEARCH("Party Name-",'R.M Billets Reports'!D1167)),TRIM(MID('R.M Billets Reports'!D1167,SEARCH("-",'R.M Billets Reports'!D1167)+1,200)),"")),IF(ISNUMBER(SEARCH("Party Name:-",'R.M Billets Reports'!D1168)),TRIM('R.M Billets Reports'!F1168),IF(ISNUMBER(SEARCH("Party Name-",'R.M Billets Reports'!D1168)),TRIM(MID('R.M Billets Reports'!D1168,SEARCH("-",'R.M Billets Reports'!D1168)+1,200)),"")))="SHREE RADHE SHAKTI SPONGE AND POWER PVT. LTD.","SHREE RADHE",IF(IF(ISNUMBER(SEARCH("Party Name:-",'R.M Billets Reports'!D1167)),TRIM('R.M Billets Reports'!F1167),IF(ISNUMBER(SEARCH("Party Name-",'R.M Billets Reports'!D1167)),TRIM(MID('R.M Billets Reports'!D1167,SEARCH("-",'R.M Billets Reports'!D1167)+1,200)),""))&lt;&gt;"",IF(ISNUMBER(SEARCH("Party Name:-",'R.M Billets Reports'!D1167)),TRIM('R.M Billets Reports'!F1167),IF(ISNUMBER(SEARCH("Party Name-",'R.M Billets Reports'!D1167)),TRIM(MID('R.M Billets Reports'!D1167,SEARCH("-",'R.M Billets Reports'!D1167)+1,200)),"")),IF(ISNUMBER(SEARCH("Party Name:-",'R.M Billets Reports'!D1168)),TRIM('R.M Billets Reports'!F1168),IF(ISNUMBER(SEARCH("Party Name-",'R.M Billets Reports'!D1168)),TRIM(MID('R.M Billets Reports'!D1168,SEARCH("-",'R.M Billets Reports'!D1168)+1,200)),"")))))),IF(ROW()=2,"",A1167))</f>
      </c>
      <c r="B1168">
        <f>IF(OR('R.M Billets Reports'!A1167="Date-",'R.M Billets Reports'!A1167="Date:-"),'R.M Billets Reports'!B1167,IF(ROW()=2,"",B1167))</f>
      </c>
      <c r="C1168">
        <f>IF('R.M Billets Reports'!A1167="V.No.",'R.M Billets Reports'!B1167,IF(ROW()=2,"",C1167))</f>
      </c>
      <c r="D1168">
        <f>IF('R.M Billets Reports'!A1167&lt;&gt;"",'R.M Billets Reports'!A1167,IF(ROW()=2,"",D1167))</f>
      </c>
      <c r="E1168">
        <f>IF('R.M Billets Reports'!B1167="","",TRIM('R.M Billets Reports'!B1167))</f>
      </c>
      <c r="F1168">
        <f>'R.M Billets Reports'!C1167</f>
      </c>
      <c r="G1168">
        <f>'R.M Billets Reports'!D1167</f>
      </c>
      <c r="H1168">
        <f>'R.M Billets Reports'!E1167</f>
      </c>
      <c r="I1168">
        <f>'R.M Billets Reports'!F1167</f>
      </c>
      <c r="J1168">
        <f>'R.M Billets Reports'!G1167</f>
      </c>
      <c r="K1168">
        <f>'R.M Billets Reports'!H1167</f>
      </c>
      <c r="L1168">
        <f>IF('R.M Billets Reports'!I1167="","",'R.M Billets Reports'!I1167)</f>
      </c>
      <c r="M1168">
        <f t="shared" si="36"/>
      </c>
      <c r="N1168">
        <f>IF('R.M Billets Reports'!J1167="","",'R.M Billets Reports'!J1167)</f>
      </c>
      <c r="O1168">
        <f t="shared" si="37"/>
      </c>
      <c r="P1168">
        <f>IF('R.M Billets Reports'!A1167="SIZE",'R.M Billets Reports'!B1167,P1167)</f>
      </c>
    </row>
    <row r="1169" spans="1:16" x14ac:dyDescent="0.25">
      <c r="A1169">
        <f>IF(OR('R.M Billets Reports'!A1168="Date-",'R.M Billets Reports'!A1168="Date:-"),IF(IF(IF(ISNUMBER(SEARCH("Party Name:-",'R.M Billets Reports'!D1168)),TRIM('R.M Billets Reports'!F1168),IF(ISNUMBER(SEARCH("Party Name-",'R.M Billets Reports'!D1168)),TRIM(MID('R.M Billets Reports'!D1168,SEARCH("-",'R.M Billets Reports'!D1168)+1,200)),""))&lt;&gt;"",IF(ISNUMBER(SEARCH("Party Name:-",'R.M Billets Reports'!D1168)),TRIM('R.M Billets Reports'!F1168),IF(ISNUMBER(SEARCH("Party Name-",'R.M Billets Reports'!D1168)),TRIM(MID('R.M Billets Reports'!D1168,SEARCH("-",'R.M Billets Reports'!D1168)+1,200)),"")),IF(ISNUMBER(SEARCH("Party Name:-",'R.M Billets Reports'!D1169)),TRIM('R.M Billets Reports'!F1169),IF(ISNUMBER(SEARCH("Party Name-",'R.M Billets Reports'!D1169)),TRIM(MID('R.M Billets Reports'!D1169,SEARCH("-",'R.M Billets Reports'!D1169)+1,200)),"")))="VRKP ISPAT PVT LTD","VRKP",IF(IF(IF(ISNUMBER(SEARCH("Party Name:-",'R.M Billets Reports'!D1168)),TRIM('R.M Billets Reports'!F1168),IF(ISNUMBER(SEARCH("Party Name-",'R.M Billets Reports'!D1168)),TRIM(MID('R.M Billets Reports'!D1168,SEARCH("-",'R.M Billets Reports'!D1168)+1,200)),""))&lt;&gt;"",IF(ISNUMBER(SEARCH("Party Name:-",'R.M Billets Reports'!D1168)),TRIM('R.M Billets Reports'!F1168),IF(ISNUMBER(SEARCH("Party Name-",'R.M Billets Reports'!D1168)),TRIM(MID('R.M Billets Reports'!D1168,SEARCH("-",'R.M Billets Reports'!D1168)+1,200)),"")),IF(ISNUMBER(SEARCH("Party Name:-",'R.M Billets Reports'!D1169)),TRIM('R.M Billets Reports'!F1169),IF(ISNUMBER(SEARCH("Party Name-",'R.M Billets Reports'!D1169)),TRIM(MID('R.M Billets Reports'!D1169,SEARCH("-",'R.M Billets Reports'!D1169)+1,200)),"")))="SHRI RADHE","SHREE RADHE",IF(IF(IF(ISNUMBER(SEARCH("Party Name:-",'R.M Billets Reports'!D1168)),TRIM('R.M Billets Reports'!F1168),IF(ISNUMBER(SEARCH("Party Name-",'R.M Billets Reports'!D1168)),TRIM(MID('R.M Billets Reports'!D1168,SEARCH("-",'R.M Billets Reports'!D1168)+1,200)),""))&lt;&gt;"",IF(ISNUMBER(SEARCH("Party Name:-",'R.M Billets Reports'!D1168)),TRIM('R.M Billets Reports'!F1168),IF(ISNUMBER(SEARCH("Party Name-",'R.M Billets Reports'!D1168)),TRIM(MID('R.M Billets Reports'!D1168,SEARCH("-",'R.M Billets Reports'!D1168)+1,200)),"")),IF(ISNUMBER(SEARCH("Party Name:-",'R.M Billets Reports'!D1169)),TRIM('R.M Billets Reports'!F1169),IF(ISNUMBER(SEARCH("Party Name-",'R.M Billets Reports'!D1169)),TRIM(MID('R.M Billets Reports'!D1169,SEARCH("-",'R.M Billets Reports'!D1169)+1,200)),"")))="SHREE RADHE SHAKTI SPONGE AND POWER PVT. LTD.","SHREE RADHE",IF(IF(ISNUMBER(SEARCH("Party Name:-",'R.M Billets Reports'!D1168)),TRIM('R.M Billets Reports'!F1168),IF(ISNUMBER(SEARCH("Party Name-",'R.M Billets Reports'!D1168)),TRIM(MID('R.M Billets Reports'!D1168,SEARCH("-",'R.M Billets Reports'!D1168)+1,200)),""))&lt;&gt;"",IF(ISNUMBER(SEARCH("Party Name:-",'R.M Billets Reports'!D1168)),TRIM('R.M Billets Reports'!F1168),IF(ISNUMBER(SEARCH("Party Name-",'R.M Billets Reports'!D1168)),TRIM(MID('R.M Billets Reports'!D1168,SEARCH("-",'R.M Billets Reports'!D1168)+1,200)),"")),IF(ISNUMBER(SEARCH("Party Name:-",'R.M Billets Reports'!D1169)),TRIM('R.M Billets Reports'!F1169),IF(ISNUMBER(SEARCH("Party Name-",'R.M Billets Reports'!D1169)),TRIM(MID('R.M Billets Reports'!D1169,SEARCH("-",'R.M Billets Reports'!D1169)+1,200)),"")))))),IF(ROW()=2,"",A1168))</f>
      </c>
      <c r="B1169">
        <f>IF(OR('R.M Billets Reports'!A1168="Date-",'R.M Billets Reports'!A1168="Date:-"),'R.M Billets Reports'!B1168,IF(ROW()=2,"",B1168))</f>
      </c>
      <c r="C1169">
        <f>IF('R.M Billets Reports'!A1168="V.No.",'R.M Billets Reports'!B1168,IF(ROW()=2,"",C1168))</f>
      </c>
      <c r="D1169">
        <f>IF('R.M Billets Reports'!A1168&lt;&gt;"",'R.M Billets Reports'!A1168,IF(ROW()=2,"",D1168))</f>
      </c>
      <c r="E1169">
        <f>IF('R.M Billets Reports'!B1168="","",TRIM('R.M Billets Reports'!B1168))</f>
      </c>
      <c r="F1169">
        <f>'R.M Billets Reports'!C1168</f>
      </c>
      <c r="G1169">
        <f>'R.M Billets Reports'!D1168</f>
      </c>
      <c r="H1169">
        <f>'R.M Billets Reports'!E1168</f>
      </c>
      <c r="I1169">
        <f>'R.M Billets Reports'!F1168</f>
      </c>
      <c r="J1169">
        <f>'R.M Billets Reports'!G1168</f>
      </c>
      <c r="K1169">
        <f>'R.M Billets Reports'!H1168</f>
      </c>
      <c r="L1169">
        <f>IF('R.M Billets Reports'!I1168="","",'R.M Billets Reports'!I1168)</f>
      </c>
      <c r="M1169">
        <f t="shared" si="36"/>
      </c>
      <c r="N1169">
        <f>IF('R.M Billets Reports'!J1168="","",'R.M Billets Reports'!J1168)</f>
      </c>
      <c r="O1169">
        <f t="shared" si="37"/>
      </c>
      <c r="P1169">
        <f>IF('R.M Billets Reports'!A1168="SIZE",'R.M Billets Reports'!B1168,P1168)</f>
      </c>
    </row>
    <row r="1170" spans="1:16" x14ac:dyDescent="0.25">
      <c r="A1170">
        <f>IF(OR('R.M Billets Reports'!A1169="Date-",'R.M Billets Reports'!A1169="Date:-"),IF(IF(IF(ISNUMBER(SEARCH("Party Name:-",'R.M Billets Reports'!D1169)),TRIM('R.M Billets Reports'!F1169),IF(ISNUMBER(SEARCH("Party Name-",'R.M Billets Reports'!D1169)),TRIM(MID('R.M Billets Reports'!D1169,SEARCH("-",'R.M Billets Reports'!D1169)+1,200)),""))&lt;&gt;"",IF(ISNUMBER(SEARCH("Party Name:-",'R.M Billets Reports'!D1169)),TRIM('R.M Billets Reports'!F1169),IF(ISNUMBER(SEARCH("Party Name-",'R.M Billets Reports'!D1169)),TRIM(MID('R.M Billets Reports'!D1169,SEARCH("-",'R.M Billets Reports'!D1169)+1,200)),"")),IF(ISNUMBER(SEARCH("Party Name:-",'R.M Billets Reports'!D1170)),TRIM('R.M Billets Reports'!F1170),IF(ISNUMBER(SEARCH("Party Name-",'R.M Billets Reports'!D1170)),TRIM(MID('R.M Billets Reports'!D1170,SEARCH("-",'R.M Billets Reports'!D1170)+1,200)),"")))="VRKP ISPAT PVT LTD","VRKP",IF(IF(IF(ISNUMBER(SEARCH("Party Name:-",'R.M Billets Reports'!D1169)),TRIM('R.M Billets Reports'!F1169),IF(ISNUMBER(SEARCH("Party Name-",'R.M Billets Reports'!D1169)),TRIM(MID('R.M Billets Reports'!D1169,SEARCH("-",'R.M Billets Reports'!D1169)+1,200)),""))&lt;&gt;"",IF(ISNUMBER(SEARCH("Party Name:-",'R.M Billets Reports'!D1169)),TRIM('R.M Billets Reports'!F1169),IF(ISNUMBER(SEARCH("Party Name-",'R.M Billets Reports'!D1169)),TRIM(MID('R.M Billets Reports'!D1169,SEARCH("-",'R.M Billets Reports'!D1169)+1,200)),"")),IF(ISNUMBER(SEARCH("Party Name:-",'R.M Billets Reports'!D1170)),TRIM('R.M Billets Reports'!F1170),IF(ISNUMBER(SEARCH("Party Name-",'R.M Billets Reports'!D1170)),TRIM(MID('R.M Billets Reports'!D1170,SEARCH("-",'R.M Billets Reports'!D1170)+1,200)),"")))="SHRI RADHE","SHREE RADHE",IF(IF(IF(ISNUMBER(SEARCH("Party Name:-",'R.M Billets Reports'!D1169)),TRIM('R.M Billets Reports'!F1169),IF(ISNUMBER(SEARCH("Party Name-",'R.M Billets Reports'!D1169)),TRIM(MID('R.M Billets Reports'!D1169,SEARCH("-",'R.M Billets Reports'!D1169)+1,200)),""))&lt;&gt;"",IF(ISNUMBER(SEARCH("Party Name:-",'R.M Billets Reports'!D1169)),TRIM('R.M Billets Reports'!F1169),IF(ISNUMBER(SEARCH("Party Name-",'R.M Billets Reports'!D1169)),TRIM(MID('R.M Billets Reports'!D1169,SEARCH("-",'R.M Billets Reports'!D1169)+1,200)),"")),IF(ISNUMBER(SEARCH("Party Name:-",'R.M Billets Reports'!D1170)),TRIM('R.M Billets Reports'!F1170),IF(ISNUMBER(SEARCH("Party Name-",'R.M Billets Reports'!D1170)),TRIM(MID('R.M Billets Reports'!D1170,SEARCH("-",'R.M Billets Reports'!D1170)+1,200)),"")))="SHREE RADHE SHAKTI SPONGE AND POWER PVT. LTD.","SHREE RADHE",IF(IF(ISNUMBER(SEARCH("Party Name:-",'R.M Billets Reports'!D1169)),TRIM('R.M Billets Reports'!F1169),IF(ISNUMBER(SEARCH("Party Name-",'R.M Billets Reports'!D1169)),TRIM(MID('R.M Billets Reports'!D1169,SEARCH("-",'R.M Billets Reports'!D1169)+1,200)),""))&lt;&gt;"",IF(ISNUMBER(SEARCH("Party Name:-",'R.M Billets Reports'!D1169)),TRIM('R.M Billets Reports'!F1169),IF(ISNUMBER(SEARCH("Party Name-",'R.M Billets Reports'!D1169)),TRIM(MID('R.M Billets Reports'!D1169,SEARCH("-",'R.M Billets Reports'!D1169)+1,200)),"")),IF(ISNUMBER(SEARCH("Party Name:-",'R.M Billets Reports'!D1170)),TRIM('R.M Billets Reports'!F1170),IF(ISNUMBER(SEARCH("Party Name-",'R.M Billets Reports'!D1170)),TRIM(MID('R.M Billets Reports'!D1170,SEARCH("-",'R.M Billets Reports'!D1170)+1,200)),"")))))),IF(ROW()=2,"",A1169))</f>
      </c>
      <c r="B1170">
        <f>IF(OR('R.M Billets Reports'!A1169="Date-",'R.M Billets Reports'!A1169="Date:-"),'R.M Billets Reports'!B1169,IF(ROW()=2,"",B1169))</f>
      </c>
      <c r="C1170">
        <f>IF('R.M Billets Reports'!A1169="V.No.",'R.M Billets Reports'!B1169,IF(ROW()=2,"",C1169))</f>
      </c>
      <c r="D1170">
        <f>IF('R.M Billets Reports'!A1169&lt;&gt;"",'R.M Billets Reports'!A1169,IF(ROW()=2,"",D1169))</f>
      </c>
      <c r="E1170">
        <f>IF('R.M Billets Reports'!B1169="","",TRIM('R.M Billets Reports'!B1169))</f>
      </c>
      <c r="F1170">
        <f>'R.M Billets Reports'!C1169</f>
      </c>
      <c r="G1170">
        <f>'R.M Billets Reports'!D1169</f>
      </c>
      <c r="H1170">
        <f>'R.M Billets Reports'!E1169</f>
      </c>
      <c r="I1170">
        <f>'R.M Billets Reports'!F1169</f>
      </c>
      <c r="J1170">
        <f>'R.M Billets Reports'!G1169</f>
      </c>
      <c r="K1170">
        <f>'R.M Billets Reports'!H1169</f>
      </c>
      <c r="L1170">
        <f>IF('R.M Billets Reports'!I1169="","",'R.M Billets Reports'!I1169)</f>
      </c>
      <c r="M1170">
        <f t="shared" si="36"/>
      </c>
      <c r="N1170">
        <f>IF('R.M Billets Reports'!J1169="","",'R.M Billets Reports'!J1169)</f>
      </c>
      <c r="O1170">
        <f t="shared" si="37"/>
      </c>
      <c r="P1170">
        <f>IF('R.M Billets Reports'!A1169="SIZE",'R.M Billets Reports'!B1169,P1169)</f>
      </c>
    </row>
    <row r="1171" spans="1:16" x14ac:dyDescent="0.25">
      <c r="A1171">
        <f>IF(OR('R.M Billets Reports'!A1170="Date-",'R.M Billets Reports'!A1170="Date:-"),IF(IF(IF(ISNUMBER(SEARCH("Party Name:-",'R.M Billets Reports'!D1170)),TRIM('R.M Billets Reports'!F1170),IF(ISNUMBER(SEARCH("Party Name-",'R.M Billets Reports'!D1170)),TRIM(MID('R.M Billets Reports'!D1170,SEARCH("-",'R.M Billets Reports'!D1170)+1,200)),""))&lt;&gt;"",IF(ISNUMBER(SEARCH("Party Name:-",'R.M Billets Reports'!D1170)),TRIM('R.M Billets Reports'!F1170),IF(ISNUMBER(SEARCH("Party Name-",'R.M Billets Reports'!D1170)),TRIM(MID('R.M Billets Reports'!D1170,SEARCH("-",'R.M Billets Reports'!D1170)+1,200)),"")),IF(ISNUMBER(SEARCH("Party Name:-",'R.M Billets Reports'!D1171)),TRIM('R.M Billets Reports'!F1171),IF(ISNUMBER(SEARCH("Party Name-",'R.M Billets Reports'!D1171)),TRIM(MID('R.M Billets Reports'!D1171,SEARCH("-",'R.M Billets Reports'!D1171)+1,200)),"")))="VRKP ISPAT PVT LTD","VRKP",IF(IF(IF(ISNUMBER(SEARCH("Party Name:-",'R.M Billets Reports'!D1170)),TRIM('R.M Billets Reports'!F1170),IF(ISNUMBER(SEARCH("Party Name-",'R.M Billets Reports'!D1170)),TRIM(MID('R.M Billets Reports'!D1170,SEARCH("-",'R.M Billets Reports'!D1170)+1,200)),""))&lt;&gt;"",IF(ISNUMBER(SEARCH("Party Name:-",'R.M Billets Reports'!D1170)),TRIM('R.M Billets Reports'!F1170),IF(ISNUMBER(SEARCH("Party Name-",'R.M Billets Reports'!D1170)),TRIM(MID('R.M Billets Reports'!D1170,SEARCH("-",'R.M Billets Reports'!D1170)+1,200)),"")),IF(ISNUMBER(SEARCH("Party Name:-",'R.M Billets Reports'!D1171)),TRIM('R.M Billets Reports'!F1171),IF(ISNUMBER(SEARCH("Party Name-",'R.M Billets Reports'!D1171)),TRIM(MID('R.M Billets Reports'!D1171,SEARCH("-",'R.M Billets Reports'!D1171)+1,200)),"")))="SHRI RADHE","SHREE RADHE",IF(IF(IF(ISNUMBER(SEARCH("Party Name:-",'R.M Billets Reports'!D1170)),TRIM('R.M Billets Reports'!F1170),IF(ISNUMBER(SEARCH("Party Name-",'R.M Billets Reports'!D1170)),TRIM(MID('R.M Billets Reports'!D1170,SEARCH("-",'R.M Billets Reports'!D1170)+1,200)),""))&lt;&gt;"",IF(ISNUMBER(SEARCH("Party Name:-",'R.M Billets Reports'!D1170)),TRIM('R.M Billets Reports'!F1170),IF(ISNUMBER(SEARCH("Party Name-",'R.M Billets Reports'!D1170)),TRIM(MID('R.M Billets Reports'!D1170,SEARCH("-",'R.M Billets Reports'!D1170)+1,200)),"")),IF(ISNUMBER(SEARCH("Party Name:-",'R.M Billets Reports'!D1171)),TRIM('R.M Billets Reports'!F1171),IF(ISNUMBER(SEARCH("Party Name-",'R.M Billets Reports'!D1171)),TRIM(MID('R.M Billets Reports'!D1171,SEARCH("-",'R.M Billets Reports'!D1171)+1,200)),"")))="SHREE RADHE SHAKTI SPONGE AND POWER PVT. LTD.","SHREE RADHE",IF(IF(ISNUMBER(SEARCH("Party Name:-",'R.M Billets Reports'!D1170)),TRIM('R.M Billets Reports'!F1170),IF(ISNUMBER(SEARCH("Party Name-",'R.M Billets Reports'!D1170)),TRIM(MID('R.M Billets Reports'!D1170,SEARCH("-",'R.M Billets Reports'!D1170)+1,200)),""))&lt;&gt;"",IF(ISNUMBER(SEARCH("Party Name:-",'R.M Billets Reports'!D1170)),TRIM('R.M Billets Reports'!F1170),IF(ISNUMBER(SEARCH("Party Name-",'R.M Billets Reports'!D1170)),TRIM(MID('R.M Billets Reports'!D1170,SEARCH("-",'R.M Billets Reports'!D1170)+1,200)),"")),IF(ISNUMBER(SEARCH("Party Name:-",'R.M Billets Reports'!D1171)),TRIM('R.M Billets Reports'!F1171),IF(ISNUMBER(SEARCH("Party Name-",'R.M Billets Reports'!D1171)),TRIM(MID('R.M Billets Reports'!D1171,SEARCH("-",'R.M Billets Reports'!D1171)+1,200)),"")))))),IF(ROW()=2,"",A1170))</f>
      </c>
      <c r="B1171">
        <f>IF(OR('R.M Billets Reports'!A1170="Date-",'R.M Billets Reports'!A1170="Date:-"),'R.M Billets Reports'!B1170,IF(ROW()=2,"",B1170))</f>
      </c>
      <c r="C1171">
        <f>IF('R.M Billets Reports'!A1170="V.No.",'R.M Billets Reports'!B1170,IF(ROW()=2,"",C1170))</f>
      </c>
      <c r="D1171">
        <f>IF('R.M Billets Reports'!A1170&lt;&gt;"",'R.M Billets Reports'!A1170,IF(ROW()=2,"",D1170))</f>
      </c>
      <c r="E1171">
        <f>IF('R.M Billets Reports'!B1170="","",TRIM('R.M Billets Reports'!B1170))</f>
      </c>
      <c r="F1171">
        <f>'R.M Billets Reports'!C1170</f>
      </c>
      <c r="G1171">
        <f>'R.M Billets Reports'!D1170</f>
      </c>
      <c r="H1171">
        <f>'R.M Billets Reports'!E1170</f>
      </c>
      <c r="I1171">
        <f>'R.M Billets Reports'!F1170</f>
      </c>
      <c r="J1171">
        <f>'R.M Billets Reports'!G1170</f>
      </c>
      <c r="K1171">
        <f>'R.M Billets Reports'!H1170</f>
      </c>
      <c r="L1171">
        <f>IF('R.M Billets Reports'!I1170="","",'R.M Billets Reports'!I1170)</f>
      </c>
      <c r="M1171">
        <f t="shared" si="36"/>
      </c>
      <c r="N1171">
        <f>IF('R.M Billets Reports'!J1170="","",'R.M Billets Reports'!J1170)</f>
      </c>
      <c r="O1171">
        <f t="shared" si="37"/>
      </c>
      <c r="P1171">
        <f>IF('R.M Billets Reports'!A1170="SIZE",'R.M Billets Reports'!B1170,P1170)</f>
      </c>
    </row>
    <row r="1172" spans="1:16" x14ac:dyDescent="0.25">
      <c r="A1172">
        <f>IF(OR('R.M Billets Reports'!A1171="Date-",'R.M Billets Reports'!A1171="Date:-"),IF(IF(IF(ISNUMBER(SEARCH("Party Name:-",'R.M Billets Reports'!D1171)),TRIM('R.M Billets Reports'!F1171),IF(ISNUMBER(SEARCH("Party Name-",'R.M Billets Reports'!D1171)),TRIM(MID('R.M Billets Reports'!D1171,SEARCH("-",'R.M Billets Reports'!D1171)+1,200)),""))&lt;&gt;"",IF(ISNUMBER(SEARCH("Party Name:-",'R.M Billets Reports'!D1171)),TRIM('R.M Billets Reports'!F1171),IF(ISNUMBER(SEARCH("Party Name-",'R.M Billets Reports'!D1171)),TRIM(MID('R.M Billets Reports'!D1171,SEARCH("-",'R.M Billets Reports'!D1171)+1,200)),"")),IF(ISNUMBER(SEARCH("Party Name:-",'R.M Billets Reports'!D1172)),TRIM('R.M Billets Reports'!F1172),IF(ISNUMBER(SEARCH("Party Name-",'R.M Billets Reports'!D1172)),TRIM(MID('R.M Billets Reports'!D1172,SEARCH("-",'R.M Billets Reports'!D1172)+1,200)),"")))="VRKP ISPAT PVT LTD","VRKP",IF(IF(IF(ISNUMBER(SEARCH("Party Name:-",'R.M Billets Reports'!D1171)),TRIM('R.M Billets Reports'!F1171),IF(ISNUMBER(SEARCH("Party Name-",'R.M Billets Reports'!D1171)),TRIM(MID('R.M Billets Reports'!D1171,SEARCH("-",'R.M Billets Reports'!D1171)+1,200)),""))&lt;&gt;"",IF(ISNUMBER(SEARCH("Party Name:-",'R.M Billets Reports'!D1171)),TRIM('R.M Billets Reports'!F1171),IF(ISNUMBER(SEARCH("Party Name-",'R.M Billets Reports'!D1171)),TRIM(MID('R.M Billets Reports'!D1171,SEARCH("-",'R.M Billets Reports'!D1171)+1,200)),"")),IF(ISNUMBER(SEARCH("Party Name:-",'R.M Billets Reports'!D1172)),TRIM('R.M Billets Reports'!F1172),IF(ISNUMBER(SEARCH("Party Name-",'R.M Billets Reports'!D1172)),TRIM(MID('R.M Billets Reports'!D1172,SEARCH("-",'R.M Billets Reports'!D1172)+1,200)),"")))="SHRI RADHE","SHREE RADHE",IF(IF(IF(ISNUMBER(SEARCH("Party Name:-",'R.M Billets Reports'!D1171)),TRIM('R.M Billets Reports'!F1171),IF(ISNUMBER(SEARCH("Party Name-",'R.M Billets Reports'!D1171)),TRIM(MID('R.M Billets Reports'!D1171,SEARCH("-",'R.M Billets Reports'!D1171)+1,200)),""))&lt;&gt;"",IF(ISNUMBER(SEARCH("Party Name:-",'R.M Billets Reports'!D1171)),TRIM('R.M Billets Reports'!F1171),IF(ISNUMBER(SEARCH("Party Name-",'R.M Billets Reports'!D1171)),TRIM(MID('R.M Billets Reports'!D1171,SEARCH("-",'R.M Billets Reports'!D1171)+1,200)),"")),IF(ISNUMBER(SEARCH("Party Name:-",'R.M Billets Reports'!D1172)),TRIM('R.M Billets Reports'!F1172),IF(ISNUMBER(SEARCH("Party Name-",'R.M Billets Reports'!D1172)),TRIM(MID('R.M Billets Reports'!D1172,SEARCH("-",'R.M Billets Reports'!D1172)+1,200)),"")))="SHREE RADHE SHAKTI SPONGE AND POWER PVT. LTD.","SHREE RADHE",IF(IF(ISNUMBER(SEARCH("Party Name:-",'R.M Billets Reports'!D1171)),TRIM('R.M Billets Reports'!F1171),IF(ISNUMBER(SEARCH("Party Name-",'R.M Billets Reports'!D1171)),TRIM(MID('R.M Billets Reports'!D1171,SEARCH("-",'R.M Billets Reports'!D1171)+1,200)),""))&lt;&gt;"",IF(ISNUMBER(SEARCH("Party Name:-",'R.M Billets Reports'!D1171)),TRIM('R.M Billets Reports'!F1171),IF(ISNUMBER(SEARCH("Party Name-",'R.M Billets Reports'!D1171)),TRIM(MID('R.M Billets Reports'!D1171,SEARCH("-",'R.M Billets Reports'!D1171)+1,200)),"")),IF(ISNUMBER(SEARCH("Party Name:-",'R.M Billets Reports'!D1172)),TRIM('R.M Billets Reports'!F1172),IF(ISNUMBER(SEARCH("Party Name-",'R.M Billets Reports'!D1172)),TRIM(MID('R.M Billets Reports'!D1172,SEARCH("-",'R.M Billets Reports'!D1172)+1,200)),"")))))),IF(ROW()=2,"",A1171))</f>
      </c>
      <c r="B1172">
        <f>IF(OR('R.M Billets Reports'!A1171="Date-",'R.M Billets Reports'!A1171="Date:-"),'R.M Billets Reports'!B1171,IF(ROW()=2,"",B1171))</f>
      </c>
      <c r="C1172">
        <f>IF('R.M Billets Reports'!A1171="V.No.",'R.M Billets Reports'!B1171,IF(ROW()=2,"",C1171))</f>
      </c>
      <c r="D1172">
        <f>IF('R.M Billets Reports'!A1171&lt;&gt;"",'R.M Billets Reports'!A1171,IF(ROW()=2,"",D1171))</f>
      </c>
      <c r="E1172">
        <f>IF('R.M Billets Reports'!B1171="","",TRIM('R.M Billets Reports'!B1171))</f>
      </c>
      <c r="F1172">
        <f>'R.M Billets Reports'!C1171</f>
      </c>
      <c r="G1172">
        <f>'R.M Billets Reports'!D1171</f>
      </c>
      <c r="H1172">
        <f>'R.M Billets Reports'!E1171</f>
      </c>
      <c r="I1172">
        <f>'R.M Billets Reports'!F1171</f>
      </c>
      <c r="J1172">
        <f>'R.M Billets Reports'!G1171</f>
      </c>
      <c r="K1172">
        <f>'R.M Billets Reports'!H1171</f>
      </c>
      <c r="L1172">
        <f>IF('R.M Billets Reports'!I1171="","",'R.M Billets Reports'!I1171)</f>
      </c>
      <c r="M1172">
        <f t="shared" si="36"/>
      </c>
      <c r="N1172">
        <f>IF('R.M Billets Reports'!J1171="","",'R.M Billets Reports'!J1171)</f>
      </c>
      <c r="O1172">
        <f t="shared" si="37"/>
      </c>
      <c r="P1172">
        <f>IF('R.M Billets Reports'!A1171="SIZE",'R.M Billets Reports'!B1171,P1171)</f>
      </c>
    </row>
    <row r="1173" spans="1:16" x14ac:dyDescent="0.25">
      <c r="A1173">
        <f>IF(OR('R.M Billets Reports'!A1172="Date-",'R.M Billets Reports'!A1172="Date:-"),IF(IF(IF(ISNUMBER(SEARCH("Party Name:-",'R.M Billets Reports'!D1172)),TRIM('R.M Billets Reports'!F1172),IF(ISNUMBER(SEARCH("Party Name-",'R.M Billets Reports'!D1172)),TRIM(MID('R.M Billets Reports'!D1172,SEARCH("-",'R.M Billets Reports'!D1172)+1,200)),""))&lt;&gt;"",IF(ISNUMBER(SEARCH("Party Name:-",'R.M Billets Reports'!D1172)),TRIM('R.M Billets Reports'!F1172),IF(ISNUMBER(SEARCH("Party Name-",'R.M Billets Reports'!D1172)),TRIM(MID('R.M Billets Reports'!D1172,SEARCH("-",'R.M Billets Reports'!D1172)+1,200)),"")),IF(ISNUMBER(SEARCH("Party Name:-",'R.M Billets Reports'!D1173)),TRIM('R.M Billets Reports'!F1173),IF(ISNUMBER(SEARCH("Party Name-",'R.M Billets Reports'!D1173)),TRIM(MID('R.M Billets Reports'!D1173,SEARCH("-",'R.M Billets Reports'!D1173)+1,200)),"")))="VRKP ISPAT PVT LTD","VRKP",IF(IF(IF(ISNUMBER(SEARCH("Party Name:-",'R.M Billets Reports'!D1172)),TRIM('R.M Billets Reports'!F1172),IF(ISNUMBER(SEARCH("Party Name-",'R.M Billets Reports'!D1172)),TRIM(MID('R.M Billets Reports'!D1172,SEARCH("-",'R.M Billets Reports'!D1172)+1,200)),""))&lt;&gt;"",IF(ISNUMBER(SEARCH("Party Name:-",'R.M Billets Reports'!D1172)),TRIM('R.M Billets Reports'!F1172),IF(ISNUMBER(SEARCH("Party Name-",'R.M Billets Reports'!D1172)),TRIM(MID('R.M Billets Reports'!D1172,SEARCH("-",'R.M Billets Reports'!D1172)+1,200)),"")),IF(ISNUMBER(SEARCH("Party Name:-",'R.M Billets Reports'!D1173)),TRIM('R.M Billets Reports'!F1173),IF(ISNUMBER(SEARCH("Party Name-",'R.M Billets Reports'!D1173)),TRIM(MID('R.M Billets Reports'!D1173,SEARCH("-",'R.M Billets Reports'!D1173)+1,200)),"")))="SHRI RADHE","SHREE RADHE",IF(IF(IF(ISNUMBER(SEARCH("Party Name:-",'R.M Billets Reports'!D1172)),TRIM('R.M Billets Reports'!F1172),IF(ISNUMBER(SEARCH("Party Name-",'R.M Billets Reports'!D1172)),TRIM(MID('R.M Billets Reports'!D1172,SEARCH("-",'R.M Billets Reports'!D1172)+1,200)),""))&lt;&gt;"",IF(ISNUMBER(SEARCH("Party Name:-",'R.M Billets Reports'!D1172)),TRIM('R.M Billets Reports'!F1172),IF(ISNUMBER(SEARCH("Party Name-",'R.M Billets Reports'!D1172)),TRIM(MID('R.M Billets Reports'!D1172,SEARCH("-",'R.M Billets Reports'!D1172)+1,200)),"")),IF(ISNUMBER(SEARCH("Party Name:-",'R.M Billets Reports'!D1173)),TRIM('R.M Billets Reports'!F1173),IF(ISNUMBER(SEARCH("Party Name-",'R.M Billets Reports'!D1173)),TRIM(MID('R.M Billets Reports'!D1173,SEARCH("-",'R.M Billets Reports'!D1173)+1,200)),"")))="SHREE RADHE SHAKTI SPONGE AND POWER PVT. LTD.","SHREE RADHE",IF(IF(ISNUMBER(SEARCH("Party Name:-",'R.M Billets Reports'!D1172)),TRIM('R.M Billets Reports'!F1172),IF(ISNUMBER(SEARCH("Party Name-",'R.M Billets Reports'!D1172)),TRIM(MID('R.M Billets Reports'!D1172,SEARCH("-",'R.M Billets Reports'!D1172)+1,200)),""))&lt;&gt;"",IF(ISNUMBER(SEARCH("Party Name:-",'R.M Billets Reports'!D1172)),TRIM('R.M Billets Reports'!F1172),IF(ISNUMBER(SEARCH("Party Name-",'R.M Billets Reports'!D1172)),TRIM(MID('R.M Billets Reports'!D1172,SEARCH("-",'R.M Billets Reports'!D1172)+1,200)),"")),IF(ISNUMBER(SEARCH("Party Name:-",'R.M Billets Reports'!D1173)),TRIM('R.M Billets Reports'!F1173),IF(ISNUMBER(SEARCH("Party Name-",'R.M Billets Reports'!D1173)),TRIM(MID('R.M Billets Reports'!D1173,SEARCH("-",'R.M Billets Reports'!D1173)+1,200)),"")))))),IF(ROW()=2,"",A1172))</f>
      </c>
      <c r="B1173">
        <f>IF(OR('R.M Billets Reports'!A1172="Date-",'R.M Billets Reports'!A1172="Date:-"),'R.M Billets Reports'!B1172,IF(ROW()=2,"",B1172))</f>
      </c>
      <c r="C1173">
        <f>IF('R.M Billets Reports'!A1172="V.No.",'R.M Billets Reports'!B1172,IF(ROW()=2,"",C1172))</f>
      </c>
      <c r="D1173">
        <f>IF('R.M Billets Reports'!A1172&lt;&gt;"",'R.M Billets Reports'!A1172,IF(ROW()=2,"",D1172))</f>
      </c>
      <c r="E1173">
        <f>IF('R.M Billets Reports'!B1172="","",TRIM('R.M Billets Reports'!B1172))</f>
      </c>
      <c r="F1173">
        <f>'R.M Billets Reports'!C1172</f>
      </c>
      <c r="G1173">
        <f>'R.M Billets Reports'!D1172</f>
      </c>
      <c r="H1173">
        <f>'R.M Billets Reports'!E1172</f>
      </c>
      <c r="I1173">
        <f>'R.M Billets Reports'!F1172</f>
      </c>
      <c r="J1173">
        <f>'R.M Billets Reports'!G1172</f>
      </c>
      <c r="K1173">
        <f>'R.M Billets Reports'!H1172</f>
      </c>
      <c r="L1173">
        <f>IF('R.M Billets Reports'!I1172="","",'R.M Billets Reports'!I1172)</f>
      </c>
      <c r="M1173">
        <f t="shared" si="36"/>
      </c>
      <c r="N1173">
        <f>IF('R.M Billets Reports'!J1172="","",'R.M Billets Reports'!J1172)</f>
      </c>
      <c r="O1173">
        <f t="shared" si="37"/>
      </c>
      <c r="P1173">
        <f>IF('R.M Billets Reports'!A1172="SIZE",'R.M Billets Reports'!B1172,P1172)</f>
      </c>
    </row>
    <row r="1174" spans="1:16" x14ac:dyDescent="0.25">
      <c r="A1174">
        <f>IF(OR('R.M Billets Reports'!A1173="Date-",'R.M Billets Reports'!A1173="Date:-"),IF(IF(IF(ISNUMBER(SEARCH("Party Name:-",'R.M Billets Reports'!D1173)),TRIM('R.M Billets Reports'!F1173),IF(ISNUMBER(SEARCH("Party Name-",'R.M Billets Reports'!D1173)),TRIM(MID('R.M Billets Reports'!D1173,SEARCH("-",'R.M Billets Reports'!D1173)+1,200)),""))&lt;&gt;"",IF(ISNUMBER(SEARCH("Party Name:-",'R.M Billets Reports'!D1173)),TRIM('R.M Billets Reports'!F1173),IF(ISNUMBER(SEARCH("Party Name-",'R.M Billets Reports'!D1173)),TRIM(MID('R.M Billets Reports'!D1173,SEARCH("-",'R.M Billets Reports'!D1173)+1,200)),"")),IF(ISNUMBER(SEARCH("Party Name:-",'R.M Billets Reports'!D1174)),TRIM('R.M Billets Reports'!F1174),IF(ISNUMBER(SEARCH("Party Name-",'R.M Billets Reports'!D1174)),TRIM(MID('R.M Billets Reports'!D1174,SEARCH("-",'R.M Billets Reports'!D1174)+1,200)),"")))="VRKP ISPAT PVT LTD","VRKP",IF(IF(IF(ISNUMBER(SEARCH("Party Name:-",'R.M Billets Reports'!D1173)),TRIM('R.M Billets Reports'!F1173),IF(ISNUMBER(SEARCH("Party Name-",'R.M Billets Reports'!D1173)),TRIM(MID('R.M Billets Reports'!D1173,SEARCH("-",'R.M Billets Reports'!D1173)+1,200)),""))&lt;&gt;"",IF(ISNUMBER(SEARCH("Party Name:-",'R.M Billets Reports'!D1173)),TRIM('R.M Billets Reports'!F1173),IF(ISNUMBER(SEARCH("Party Name-",'R.M Billets Reports'!D1173)),TRIM(MID('R.M Billets Reports'!D1173,SEARCH("-",'R.M Billets Reports'!D1173)+1,200)),"")),IF(ISNUMBER(SEARCH("Party Name:-",'R.M Billets Reports'!D1174)),TRIM('R.M Billets Reports'!F1174),IF(ISNUMBER(SEARCH("Party Name-",'R.M Billets Reports'!D1174)),TRIM(MID('R.M Billets Reports'!D1174,SEARCH("-",'R.M Billets Reports'!D1174)+1,200)),"")))="SHRI RADHE","SHREE RADHE",IF(IF(IF(ISNUMBER(SEARCH("Party Name:-",'R.M Billets Reports'!D1173)),TRIM('R.M Billets Reports'!F1173),IF(ISNUMBER(SEARCH("Party Name-",'R.M Billets Reports'!D1173)),TRIM(MID('R.M Billets Reports'!D1173,SEARCH("-",'R.M Billets Reports'!D1173)+1,200)),""))&lt;&gt;"",IF(ISNUMBER(SEARCH("Party Name:-",'R.M Billets Reports'!D1173)),TRIM('R.M Billets Reports'!F1173),IF(ISNUMBER(SEARCH("Party Name-",'R.M Billets Reports'!D1173)),TRIM(MID('R.M Billets Reports'!D1173,SEARCH("-",'R.M Billets Reports'!D1173)+1,200)),"")),IF(ISNUMBER(SEARCH("Party Name:-",'R.M Billets Reports'!D1174)),TRIM('R.M Billets Reports'!F1174),IF(ISNUMBER(SEARCH("Party Name-",'R.M Billets Reports'!D1174)),TRIM(MID('R.M Billets Reports'!D1174,SEARCH("-",'R.M Billets Reports'!D1174)+1,200)),"")))="SHREE RADHE SHAKTI SPONGE AND POWER PVT. LTD.","SHREE RADHE",IF(IF(ISNUMBER(SEARCH("Party Name:-",'R.M Billets Reports'!D1173)),TRIM('R.M Billets Reports'!F1173),IF(ISNUMBER(SEARCH("Party Name-",'R.M Billets Reports'!D1173)),TRIM(MID('R.M Billets Reports'!D1173,SEARCH("-",'R.M Billets Reports'!D1173)+1,200)),""))&lt;&gt;"",IF(ISNUMBER(SEARCH("Party Name:-",'R.M Billets Reports'!D1173)),TRIM('R.M Billets Reports'!F1173),IF(ISNUMBER(SEARCH("Party Name-",'R.M Billets Reports'!D1173)),TRIM(MID('R.M Billets Reports'!D1173,SEARCH("-",'R.M Billets Reports'!D1173)+1,200)),"")),IF(ISNUMBER(SEARCH("Party Name:-",'R.M Billets Reports'!D1174)),TRIM('R.M Billets Reports'!F1174),IF(ISNUMBER(SEARCH("Party Name-",'R.M Billets Reports'!D1174)),TRIM(MID('R.M Billets Reports'!D1174,SEARCH("-",'R.M Billets Reports'!D1174)+1,200)),"")))))),IF(ROW()=2,"",A1173))</f>
      </c>
      <c r="B1174">
        <f>IF(OR('R.M Billets Reports'!A1173="Date-",'R.M Billets Reports'!A1173="Date:-"),'R.M Billets Reports'!B1173,IF(ROW()=2,"",B1173))</f>
      </c>
      <c r="C1174">
        <f>IF('R.M Billets Reports'!A1173="V.No.",'R.M Billets Reports'!B1173,IF(ROW()=2,"",C1173))</f>
      </c>
      <c r="D1174">
        <f>IF('R.M Billets Reports'!A1173&lt;&gt;"",'R.M Billets Reports'!A1173,IF(ROW()=2,"",D1173))</f>
      </c>
      <c r="E1174">
        <f>IF('R.M Billets Reports'!B1173="","",TRIM('R.M Billets Reports'!B1173))</f>
      </c>
      <c r="F1174">
        <f>'R.M Billets Reports'!C1173</f>
      </c>
      <c r="G1174">
        <f>'R.M Billets Reports'!D1173</f>
      </c>
      <c r="H1174">
        <f>'R.M Billets Reports'!E1173</f>
      </c>
      <c r="I1174">
        <f>'R.M Billets Reports'!F1173</f>
      </c>
      <c r="J1174">
        <f>'R.M Billets Reports'!G1173</f>
      </c>
      <c r="K1174">
        <f>'R.M Billets Reports'!H1173</f>
      </c>
      <c r="L1174">
        <f>IF('R.M Billets Reports'!I1173="","",'R.M Billets Reports'!I1173)</f>
      </c>
      <c r="M1174">
        <f t="shared" si="36"/>
      </c>
      <c r="N1174">
        <f>IF('R.M Billets Reports'!J1173="","",'R.M Billets Reports'!J1173)</f>
      </c>
      <c r="O1174">
        <f t="shared" si="37"/>
      </c>
      <c r="P1174">
        <f>IF('R.M Billets Reports'!A1173="SIZE",'R.M Billets Reports'!B1173,P1173)</f>
      </c>
    </row>
    <row r="1175" spans="1:16" x14ac:dyDescent="0.25">
      <c r="A1175">
        <f>IF(OR('R.M Billets Reports'!A1174="Date-",'R.M Billets Reports'!A1174="Date:-"),IF(IF(IF(ISNUMBER(SEARCH("Party Name:-",'R.M Billets Reports'!D1174)),TRIM('R.M Billets Reports'!F1174),IF(ISNUMBER(SEARCH("Party Name-",'R.M Billets Reports'!D1174)),TRIM(MID('R.M Billets Reports'!D1174,SEARCH("-",'R.M Billets Reports'!D1174)+1,200)),""))&lt;&gt;"",IF(ISNUMBER(SEARCH("Party Name:-",'R.M Billets Reports'!D1174)),TRIM('R.M Billets Reports'!F1174),IF(ISNUMBER(SEARCH("Party Name-",'R.M Billets Reports'!D1174)),TRIM(MID('R.M Billets Reports'!D1174,SEARCH("-",'R.M Billets Reports'!D1174)+1,200)),"")),IF(ISNUMBER(SEARCH("Party Name:-",'R.M Billets Reports'!D1175)),TRIM('R.M Billets Reports'!F1175),IF(ISNUMBER(SEARCH("Party Name-",'R.M Billets Reports'!D1175)),TRIM(MID('R.M Billets Reports'!D1175,SEARCH("-",'R.M Billets Reports'!D1175)+1,200)),"")))="VRKP ISPAT PVT LTD","VRKP",IF(IF(IF(ISNUMBER(SEARCH("Party Name:-",'R.M Billets Reports'!D1174)),TRIM('R.M Billets Reports'!F1174),IF(ISNUMBER(SEARCH("Party Name-",'R.M Billets Reports'!D1174)),TRIM(MID('R.M Billets Reports'!D1174,SEARCH("-",'R.M Billets Reports'!D1174)+1,200)),""))&lt;&gt;"",IF(ISNUMBER(SEARCH("Party Name:-",'R.M Billets Reports'!D1174)),TRIM('R.M Billets Reports'!F1174),IF(ISNUMBER(SEARCH("Party Name-",'R.M Billets Reports'!D1174)),TRIM(MID('R.M Billets Reports'!D1174,SEARCH("-",'R.M Billets Reports'!D1174)+1,200)),"")),IF(ISNUMBER(SEARCH("Party Name:-",'R.M Billets Reports'!D1175)),TRIM('R.M Billets Reports'!F1175),IF(ISNUMBER(SEARCH("Party Name-",'R.M Billets Reports'!D1175)),TRIM(MID('R.M Billets Reports'!D1175,SEARCH("-",'R.M Billets Reports'!D1175)+1,200)),"")))="SHRI RADHE","SHREE RADHE",IF(IF(IF(ISNUMBER(SEARCH("Party Name:-",'R.M Billets Reports'!D1174)),TRIM('R.M Billets Reports'!F1174),IF(ISNUMBER(SEARCH("Party Name-",'R.M Billets Reports'!D1174)),TRIM(MID('R.M Billets Reports'!D1174,SEARCH("-",'R.M Billets Reports'!D1174)+1,200)),""))&lt;&gt;"",IF(ISNUMBER(SEARCH("Party Name:-",'R.M Billets Reports'!D1174)),TRIM('R.M Billets Reports'!F1174),IF(ISNUMBER(SEARCH("Party Name-",'R.M Billets Reports'!D1174)),TRIM(MID('R.M Billets Reports'!D1174,SEARCH("-",'R.M Billets Reports'!D1174)+1,200)),"")),IF(ISNUMBER(SEARCH("Party Name:-",'R.M Billets Reports'!D1175)),TRIM('R.M Billets Reports'!F1175),IF(ISNUMBER(SEARCH("Party Name-",'R.M Billets Reports'!D1175)),TRIM(MID('R.M Billets Reports'!D1175,SEARCH("-",'R.M Billets Reports'!D1175)+1,200)),"")))="SHREE RADHE SHAKTI SPONGE AND POWER PVT. LTD.","SHREE RADHE",IF(IF(ISNUMBER(SEARCH("Party Name:-",'R.M Billets Reports'!D1174)),TRIM('R.M Billets Reports'!F1174),IF(ISNUMBER(SEARCH("Party Name-",'R.M Billets Reports'!D1174)),TRIM(MID('R.M Billets Reports'!D1174,SEARCH("-",'R.M Billets Reports'!D1174)+1,200)),""))&lt;&gt;"",IF(ISNUMBER(SEARCH("Party Name:-",'R.M Billets Reports'!D1174)),TRIM('R.M Billets Reports'!F1174),IF(ISNUMBER(SEARCH("Party Name-",'R.M Billets Reports'!D1174)),TRIM(MID('R.M Billets Reports'!D1174,SEARCH("-",'R.M Billets Reports'!D1174)+1,200)),"")),IF(ISNUMBER(SEARCH("Party Name:-",'R.M Billets Reports'!D1175)),TRIM('R.M Billets Reports'!F1175),IF(ISNUMBER(SEARCH("Party Name-",'R.M Billets Reports'!D1175)),TRIM(MID('R.M Billets Reports'!D1175,SEARCH("-",'R.M Billets Reports'!D1175)+1,200)),"")))))),IF(ROW()=2,"",A1174))</f>
      </c>
      <c r="B1175">
        <f>IF(OR('R.M Billets Reports'!A1174="Date-",'R.M Billets Reports'!A1174="Date:-"),'R.M Billets Reports'!B1174,IF(ROW()=2,"",B1174))</f>
      </c>
      <c r="C1175">
        <f>IF('R.M Billets Reports'!A1174="V.No.",'R.M Billets Reports'!B1174,IF(ROW()=2,"",C1174))</f>
      </c>
      <c r="D1175">
        <f>IF('R.M Billets Reports'!A1174&lt;&gt;"",'R.M Billets Reports'!A1174,IF(ROW()=2,"",D1174))</f>
      </c>
      <c r="E1175">
        <f>IF('R.M Billets Reports'!B1174="","",TRIM('R.M Billets Reports'!B1174))</f>
      </c>
      <c r="F1175">
        <f>'R.M Billets Reports'!C1174</f>
      </c>
      <c r="G1175">
        <f>'R.M Billets Reports'!D1174</f>
      </c>
      <c r="H1175">
        <f>'R.M Billets Reports'!E1174</f>
      </c>
      <c r="I1175">
        <f>'R.M Billets Reports'!F1174</f>
      </c>
      <c r="J1175">
        <f>'R.M Billets Reports'!G1174</f>
      </c>
      <c r="K1175">
        <f>'R.M Billets Reports'!H1174</f>
      </c>
      <c r="L1175">
        <f>IF('R.M Billets Reports'!I1174="","",'R.M Billets Reports'!I1174)</f>
      </c>
      <c r="M1175">
        <f t="shared" si="36"/>
      </c>
      <c r="N1175">
        <f>IF('R.M Billets Reports'!J1174="","",'R.M Billets Reports'!J1174)</f>
      </c>
      <c r="O1175">
        <f t="shared" si="37"/>
      </c>
      <c r="P1175">
        <f>IF('R.M Billets Reports'!A1174="SIZE",'R.M Billets Reports'!B1174,P1174)</f>
      </c>
    </row>
    <row r="1176" spans="1:16" x14ac:dyDescent="0.25">
      <c r="A1176">
        <f>IF(OR('R.M Billets Reports'!A1175="Date-",'R.M Billets Reports'!A1175="Date:-"),IF(IF(IF(ISNUMBER(SEARCH("Party Name:-",'R.M Billets Reports'!D1175)),TRIM('R.M Billets Reports'!F1175),IF(ISNUMBER(SEARCH("Party Name-",'R.M Billets Reports'!D1175)),TRIM(MID('R.M Billets Reports'!D1175,SEARCH("-",'R.M Billets Reports'!D1175)+1,200)),""))&lt;&gt;"",IF(ISNUMBER(SEARCH("Party Name:-",'R.M Billets Reports'!D1175)),TRIM('R.M Billets Reports'!F1175),IF(ISNUMBER(SEARCH("Party Name-",'R.M Billets Reports'!D1175)),TRIM(MID('R.M Billets Reports'!D1175,SEARCH("-",'R.M Billets Reports'!D1175)+1,200)),"")),IF(ISNUMBER(SEARCH("Party Name:-",'R.M Billets Reports'!D1176)),TRIM('R.M Billets Reports'!F1176),IF(ISNUMBER(SEARCH("Party Name-",'R.M Billets Reports'!D1176)),TRIM(MID('R.M Billets Reports'!D1176,SEARCH("-",'R.M Billets Reports'!D1176)+1,200)),"")))="VRKP ISPAT PVT LTD","VRKP",IF(IF(IF(ISNUMBER(SEARCH("Party Name:-",'R.M Billets Reports'!D1175)),TRIM('R.M Billets Reports'!F1175),IF(ISNUMBER(SEARCH("Party Name-",'R.M Billets Reports'!D1175)),TRIM(MID('R.M Billets Reports'!D1175,SEARCH("-",'R.M Billets Reports'!D1175)+1,200)),""))&lt;&gt;"",IF(ISNUMBER(SEARCH("Party Name:-",'R.M Billets Reports'!D1175)),TRIM('R.M Billets Reports'!F1175),IF(ISNUMBER(SEARCH("Party Name-",'R.M Billets Reports'!D1175)),TRIM(MID('R.M Billets Reports'!D1175,SEARCH("-",'R.M Billets Reports'!D1175)+1,200)),"")),IF(ISNUMBER(SEARCH("Party Name:-",'R.M Billets Reports'!D1176)),TRIM('R.M Billets Reports'!F1176),IF(ISNUMBER(SEARCH("Party Name-",'R.M Billets Reports'!D1176)),TRIM(MID('R.M Billets Reports'!D1176,SEARCH("-",'R.M Billets Reports'!D1176)+1,200)),"")))="SHRI RADHE","SHREE RADHE",IF(IF(IF(ISNUMBER(SEARCH("Party Name:-",'R.M Billets Reports'!D1175)),TRIM('R.M Billets Reports'!F1175),IF(ISNUMBER(SEARCH("Party Name-",'R.M Billets Reports'!D1175)),TRIM(MID('R.M Billets Reports'!D1175,SEARCH("-",'R.M Billets Reports'!D1175)+1,200)),""))&lt;&gt;"",IF(ISNUMBER(SEARCH("Party Name:-",'R.M Billets Reports'!D1175)),TRIM('R.M Billets Reports'!F1175),IF(ISNUMBER(SEARCH("Party Name-",'R.M Billets Reports'!D1175)),TRIM(MID('R.M Billets Reports'!D1175,SEARCH("-",'R.M Billets Reports'!D1175)+1,200)),"")),IF(ISNUMBER(SEARCH("Party Name:-",'R.M Billets Reports'!D1176)),TRIM('R.M Billets Reports'!F1176),IF(ISNUMBER(SEARCH("Party Name-",'R.M Billets Reports'!D1176)),TRIM(MID('R.M Billets Reports'!D1176,SEARCH("-",'R.M Billets Reports'!D1176)+1,200)),"")))="SHREE RADHE SHAKTI SPONGE AND POWER PVT. LTD.","SHREE RADHE",IF(IF(ISNUMBER(SEARCH("Party Name:-",'R.M Billets Reports'!D1175)),TRIM('R.M Billets Reports'!F1175),IF(ISNUMBER(SEARCH("Party Name-",'R.M Billets Reports'!D1175)),TRIM(MID('R.M Billets Reports'!D1175,SEARCH("-",'R.M Billets Reports'!D1175)+1,200)),""))&lt;&gt;"",IF(ISNUMBER(SEARCH("Party Name:-",'R.M Billets Reports'!D1175)),TRIM('R.M Billets Reports'!F1175),IF(ISNUMBER(SEARCH("Party Name-",'R.M Billets Reports'!D1175)),TRIM(MID('R.M Billets Reports'!D1175,SEARCH("-",'R.M Billets Reports'!D1175)+1,200)),"")),IF(ISNUMBER(SEARCH("Party Name:-",'R.M Billets Reports'!D1176)),TRIM('R.M Billets Reports'!F1176),IF(ISNUMBER(SEARCH("Party Name-",'R.M Billets Reports'!D1176)),TRIM(MID('R.M Billets Reports'!D1176,SEARCH("-",'R.M Billets Reports'!D1176)+1,200)),"")))))),IF(ROW()=2,"",A1175))</f>
      </c>
      <c r="B1176">
        <f>IF(OR('R.M Billets Reports'!A1175="Date-",'R.M Billets Reports'!A1175="Date:-"),'R.M Billets Reports'!B1175,IF(ROW()=2,"",B1175))</f>
      </c>
      <c r="C1176">
        <f>IF('R.M Billets Reports'!A1175="V.No.",'R.M Billets Reports'!B1175,IF(ROW()=2,"",C1175))</f>
      </c>
      <c r="D1176">
        <f>IF('R.M Billets Reports'!A1175&lt;&gt;"",'R.M Billets Reports'!A1175,IF(ROW()=2,"",D1175))</f>
      </c>
      <c r="E1176">
        <f>IF('R.M Billets Reports'!B1175="","",TRIM('R.M Billets Reports'!B1175))</f>
      </c>
      <c r="F1176">
        <f>'R.M Billets Reports'!C1175</f>
      </c>
      <c r="G1176">
        <f>'R.M Billets Reports'!D1175</f>
      </c>
      <c r="H1176">
        <f>'R.M Billets Reports'!E1175</f>
      </c>
      <c r="I1176">
        <f>'R.M Billets Reports'!F1175</f>
      </c>
      <c r="J1176">
        <f>'R.M Billets Reports'!G1175</f>
      </c>
      <c r="K1176">
        <f>'R.M Billets Reports'!H1175</f>
      </c>
      <c r="L1176">
        <f>IF('R.M Billets Reports'!I1175="","",'R.M Billets Reports'!I1175)</f>
      </c>
      <c r="M1176">
        <f t="shared" si="36"/>
      </c>
      <c r="N1176">
        <f>IF('R.M Billets Reports'!J1175="","",'R.M Billets Reports'!J1175)</f>
      </c>
      <c r="O1176">
        <f t="shared" si="37"/>
      </c>
      <c r="P1176">
        <f>IF('R.M Billets Reports'!A1175="SIZE",'R.M Billets Reports'!B1175,P1175)</f>
      </c>
    </row>
    <row r="1177" spans="1:16" x14ac:dyDescent="0.25">
      <c r="A1177">
        <f>IF(OR('R.M Billets Reports'!A1176="Date-",'R.M Billets Reports'!A1176="Date:-"),IF(IF(IF(ISNUMBER(SEARCH("Party Name:-",'R.M Billets Reports'!D1176)),TRIM('R.M Billets Reports'!F1176),IF(ISNUMBER(SEARCH("Party Name-",'R.M Billets Reports'!D1176)),TRIM(MID('R.M Billets Reports'!D1176,SEARCH("-",'R.M Billets Reports'!D1176)+1,200)),""))&lt;&gt;"",IF(ISNUMBER(SEARCH("Party Name:-",'R.M Billets Reports'!D1176)),TRIM('R.M Billets Reports'!F1176),IF(ISNUMBER(SEARCH("Party Name-",'R.M Billets Reports'!D1176)),TRIM(MID('R.M Billets Reports'!D1176,SEARCH("-",'R.M Billets Reports'!D1176)+1,200)),"")),IF(ISNUMBER(SEARCH("Party Name:-",'R.M Billets Reports'!D1177)),TRIM('R.M Billets Reports'!F1177),IF(ISNUMBER(SEARCH("Party Name-",'R.M Billets Reports'!D1177)),TRIM(MID('R.M Billets Reports'!D1177,SEARCH("-",'R.M Billets Reports'!D1177)+1,200)),"")))="VRKP ISPAT PVT LTD","VRKP",IF(IF(IF(ISNUMBER(SEARCH("Party Name:-",'R.M Billets Reports'!D1176)),TRIM('R.M Billets Reports'!F1176),IF(ISNUMBER(SEARCH("Party Name-",'R.M Billets Reports'!D1176)),TRIM(MID('R.M Billets Reports'!D1176,SEARCH("-",'R.M Billets Reports'!D1176)+1,200)),""))&lt;&gt;"",IF(ISNUMBER(SEARCH("Party Name:-",'R.M Billets Reports'!D1176)),TRIM('R.M Billets Reports'!F1176),IF(ISNUMBER(SEARCH("Party Name-",'R.M Billets Reports'!D1176)),TRIM(MID('R.M Billets Reports'!D1176,SEARCH("-",'R.M Billets Reports'!D1176)+1,200)),"")),IF(ISNUMBER(SEARCH("Party Name:-",'R.M Billets Reports'!D1177)),TRIM('R.M Billets Reports'!F1177),IF(ISNUMBER(SEARCH("Party Name-",'R.M Billets Reports'!D1177)),TRIM(MID('R.M Billets Reports'!D1177,SEARCH("-",'R.M Billets Reports'!D1177)+1,200)),"")))="SHRI RADHE","SHREE RADHE",IF(IF(IF(ISNUMBER(SEARCH("Party Name:-",'R.M Billets Reports'!D1176)),TRIM('R.M Billets Reports'!F1176),IF(ISNUMBER(SEARCH("Party Name-",'R.M Billets Reports'!D1176)),TRIM(MID('R.M Billets Reports'!D1176,SEARCH("-",'R.M Billets Reports'!D1176)+1,200)),""))&lt;&gt;"",IF(ISNUMBER(SEARCH("Party Name:-",'R.M Billets Reports'!D1176)),TRIM('R.M Billets Reports'!F1176),IF(ISNUMBER(SEARCH("Party Name-",'R.M Billets Reports'!D1176)),TRIM(MID('R.M Billets Reports'!D1176,SEARCH("-",'R.M Billets Reports'!D1176)+1,200)),"")),IF(ISNUMBER(SEARCH("Party Name:-",'R.M Billets Reports'!D1177)),TRIM('R.M Billets Reports'!F1177),IF(ISNUMBER(SEARCH("Party Name-",'R.M Billets Reports'!D1177)),TRIM(MID('R.M Billets Reports'!D1177,SEARCH("-",'R.M Billets Reports'!D1177)+1,200)),"")))="SHREE RADHE SHAKTI SPONGE AND POWER PVT. LTD.","SHREE RADHE",IF(IF(ISNUMBER(SEARCH("Party Name:-",'R.M Billets Reports'!D1176)),TRIM('R.M Billets Reports'!F1176),IF(ISNUMBER(SEARCH("Party Name-",'R.M Billets Reports'!D1176)),TRIM(MID('R.M Billets Reports'!D1176,SEARCH("-",'R.M Billets Reports'!D1176)+1,200)),""))&lt;&gt;"",IF(ISNUMBER(SEARCH("Party Name:-",'R.M Billets Reports'!D1176)),TRIM('R.M Billets Reports'!F1176),IF(ISNUMBER(SEARCH("Party Name-",'R.M Billets Reports'!D1176)),TRIM(MID('R.M Billets Reports'!D1176,SEARCH("-",'R.M Billets Reports'!D1176)+1,200)),"")),IF(ISNUMBER(SEARCH("Party Name:-",'R.M Billets Reports'!D1177)),TRIM('R.M Billets Reports'!F1177),IF(ISNUMBER(SEARCH("Party Name-",'R.M Billets Reports'!D1177)),TRIM(MID('R.M Billets Reports'!D1177,SEARCH("-",'R.M Billets Reports'!D1177)+1,200)),"")))))),IF(ROW()=2,"",A1176))</f>
      </c>
      <c r="B1177">
        <f>IF(OR('R.M Billets Reports'!A1176="Date-",'R.M Billets Reports'!A1176="Date:-"),'R.M Billets Reports'!B1176,IF(ROW()=2,"",B1176))</f>
      </c>
      <c r="C1177">
        <f>IF('R.M Billets Reports'!A1176="V.No.",'R.M Billets Reports'!B1176,IF(ROW()=2,"",C1176))</f>
      </c>
      <c r="D1177">
        <f>IF('R.M Billets Reports'!A1176&lt;&gt;"",'R.M Billets Reports'!A1176,IF(ROW()=2,"",D1176))</f>
      </c>
      <c r="E1177">
        <f>IF('R.M Billets Reports'!B1176="","",TRIM('R.M Billets Reports'!B1176))</f>
      </c>
      <c r="F1177">
        <f>'R.M Billets Reports'!C1176</f>
      </c>
      <c r="G1177">
        <f>'R.M Billets Reports'!D1176</f>
      </c>
      <c r="H1177">
        <f>'R.M Billets Reports'!E1176</f>
      </c>
      <c r="I1177">
        <f>'R.M Billets Reports'!F1176</f>
      </c>
      <c r="J1177">
        <f>'R.M Billets Reports'!G1176</f>
      </c>
      <c r="K1177">
        <f>'R.M Billets Reports'!H1176</f>
      </c>
      <c r="L1177">
        <f>IF('R.M Billets Reports'!I1176="","",'R.M Billets Reports'!I1176)</f>
      </c>
      <c r="M1177">
        <f t="shared" si="36"/>
      </c>
      <c r="N1177">
        <f>IF('R.M Billets Reports'!J1176="","",'R.M Billets Reports'!J1176)</f>
      </c>
      <c r="O1177">
        <f t="shared" si="37"/>
      </c>
      <c r="P1177">
        <f>IF('R.M Billets Reports'!A1176="SIZE",'R.M Billets Reports'!B1176,P1176)</f>
      </c>
    </row>
    <row r="1178" spans="1:16" x14ac:dyDescent="0.25">
      <c r="A1178">
        <f>IF(OR('R.M Billets Reports'!A1177="Date-",'R.M Billets Reports'!A1177="Date:-"),IF(IF(IF(ISNUMBER(SEARCH("Party Name:-",'R.M Billets Reports'!D1177)),TRIM('R.M Billets Reports'!F1177),IF(ISNUMBER(SEARCH("Party Name-",'R.M Billets Reports'!D1177)),TRIM(MID('R.M Billets Reports'!D1177,SEARCH("-",'R.M Billets Reports'!D1177)+1,200)),""))&lt;&gt;"",IF(ISNUMBER(SEARCH("Party Name:-",'R.M Billets Reports'!D1177)),TRIM('R.M Billets Reports'!F1177),IF(ISNUMBER(SEARCH("Party Name-",'R.M Billets Reports'!D1177)),TRIM(MID('R.M Billets Reports'!D1177,SEARCH("-",'R.M Billets Reports'!D1177)+1,200)),"")),IF(ISNUMBER(SEARCH("Party Name:-",'R.M Billets Reports'!D1178)),TRIM('R.M Billets Reports'!F1178),IF(ISNUMBER(SEARCH("Party Name-",'R.M Billets Reports'!D1178)),TRIM(MID('R.M Billets Reports'!D1178,SEARCH("-",'R.M Billets Reports'!D1178)+1,200)),"")))="VRKP ISPAT PVT LTD","VRKP",IF(IF(IF(ISNUMBER(SEARCH("Party Name:-",'R.M Billets Reports'!D1177)),TRIM('R.M Billets Reports'!F1177),IF(ISNUMBER(SEARCH("Party Name-",'R.M Billets Reports'!D1177)),TRIM(MID('R.M Billets Reports'!D1177,SEARCH("-",'R.M Billets Reports'!D1177)+1,200)),""))&lt;&gt;"",IF(ISNUMBER(SEARCH("Party Name:-",'R.M Billets Reports'!D1177)),TRIM('R.M Billets Reports'!F1177),IF(ISNUMBER(SEARCH("Party Name-",'R.M Billets Reports'!D1177)),TRIM(MID('R.M Billets Reports'!D1177,SEARCH("-",'R.M Billets Reports'!D1177)+1,200)),"")),IF(ISNUMBER(SEARCH("Party Name:-",'R.M Billets Reports'!D1178)),TRIM('R.M Billets Reports'!F1178),IF(ISNUMBER(SEARCH("Party Name-",'R.M Billets Reports'!D1178)),TRIM(MID('R.M Billets Reports'!D1178,SEARCH("-",'R.M Billets Reports'!D1178)+1,200)),"")))="SHRI RADHE","SHREE RADHE",IF(IF(IF(ISNUMBER(SEARCH("Party Name:-",'R.M Billets Reports'!D1177)),TRIM('R.M Billets Reports'!F1177),IF(ISNUMBER(SEARCH("Party Name-",'R.M Billets Reports'!D1177)),TRIM(MID('R.M Billets Reports'!D1177,SEARCH("-",'R.M Billets Reports'!D1177)+1,200)),""))&lt;&gt;"",IF(ISNUMBER(SEARCH("Party Name:-",'R.M Billets Reports'!D1177)),TRIM('R.M Billets Reports'!F1177),IF(ISNUMBER(SEARCH("Party Name-",'R.M Billets Reports'!D1177)),TRIM(MID('R.M Billets Reports'!D1177,SEARCH("-",'R.M Billets Reports'!D1177)+1,200)),"")),IF(ISNUMBER(SEARCH("Party Name:-",'R.M Billets Reports'!D1178)),TRIM('R.M Billets Reports'!F1178),IF(ISNUMBER(SEARCH("Party Name-",'R.M Billets Reports'!D1178)),TRIM(MID('R.M Billets Reports'!D1178,SEARCH("-",'R.M Billets Reports'!D1178)+1,200)),"")))="SHREE RADHE SHAKTI SPONGE AND POWER PVT. LTD.","SHREE RADHE",IF(IF(ISNUMBER(SEARCH("Party Name:-",'R.M Billets Reports'!D1177)),TRIM('R.M Billets Reports'!F1177),IF(ISNUMBER(SEARCH("Party Name-",'R.M Billets Reports'!D1177)),TRIM(MID('R.M Billets Reports'!D1177,SEARCH("-",'R.M Billets Reports'!D1177)+1,200)),""))&lt;&gt;"",IF(ISNUMBER(SEARCH("Party Name:-",'R.M Billets Reports'!D1177)),TRIM('R.M Billets Reports'!F1177),IF(ISNUMBER(SEARCH("Party Name-",'R.M Billets Reports'!D1177)),TRIM(MID('R.M Billets Reports'!D1177,SEARCH("-",'R.M Billets Reports'!D1177)+1,200)),"")),IF(ISNUMBER(SEARCH("Party Name:-",'R.M Billets Reports'!D1178)),TRIM('R.M Billets Reports'!F1178),IF(ISNUMBER(SEARCH("Party Name-",'R.M Billets Reports'!D1178)),TRIM(MID('R.M Billets Reports'!D1178,SEARCH("-",'R.M Billets Reports'!D1178)+1,200)),"")))))),IF(ROW()=2,"",A1177))</f>
      </c>
      <c r="B1178">
        <f>IF(OR('R.M Billets Reports'!A1177="Date-",'R.M Billets Reports'!A1177="Date:-"),'R.M Billets Reports'!B1177,IF(ROW()=2,"",B1177))</f>
      </c>
      <c r="C1178">
        <f>IF('R.M Billets Reports'!A1177="V.No.",'R.M Billets Reports'!B1177,IF(ROW()=2,"",C1177))</f>
      </c>
      <c r="D1178">
        <f>IF('R.M Billets Reports'!A1177&lt;&gt;"",'R.M Billets Reports'!A1177,IF(ROW()=2,"",D1177))</f>
      </c>
      <c r="E1178">
        <f>IF('R.M Billets Reports'!B1177="","",TRIM('R.M Billets Reports'!B1177))</f>
      </c>
      <c r="F1178">
        <f>'R.M Billets Reports'!C1177</f>
      </c>
      <c r="G1178">
        <f>'R.M Billets Reports'!D1177</f>
      </c>
      <c r="H1178">
        <f>'R.M Billets Reports'!E1177</f>
      </c>
      <c r="I1178">
        <f>'R.M Billets Reports'!F1177</f>
      </c>
      <c r="J1178">
        <f>'R.M Billets Reports'!G1177</f>
      </c>
      <c r="K1178">
        <f>'R.M Billets Reports'!H1177</f>
      </c>
      <c r="L1178">
        <f>IF('R.M Billets Reports'!I1177="","",'R.M Billets Reports'!I1177)</f>
      </c>
      <c r="M1178">
        <f t="shared" si="36"/>
      </c>
      <c r="N1178">
        <f>IF('R.M Billets Reports'!J1177="","",'R.M Billets Reports'!J1177)</f>
      </c>
      <c r="O1178">
        <f t="shared" si="37"/>
      </c>
      <c r="P1178">
        <f>IF('R.M Billets Reports'!A1177="SIZE",'R.M Billets Reports'!B1177,P1177)</f>
      </c>
    </row>
    <row r="1179" spans="1:16" x14ac:dyDescent="0.25">
      <c r="A1179">
        <f>IF(OR('R.M Billets Reports'!A1178="Date-",'R.M Billets Reports'!A1178="Date:-"),IF(IF(IF(ISNUMBER(SEARCH("Party Name:-",'R.M Billets Reports'!D1178)),TRIM('R.M Billets Reports'!F1178),IF(ISNUMBER(SEARCH("Party Name-",'R.M Billets Reports'!D1178)),TRIM(MID('R.M Billets Reports'!D1178,SEARCH("-",'R.M Billets Reports'!D1178)+1,200)),""))&lt;&gt;"",IF(ISNUMBER(SEARCH("Party Name:-",'R.M Billets Reports'!D1178)),TRIM('R.M Billets Reports'!F1178),IF(ISNUMBER(SEARCH("Party Name-",'R.M Billets Reports'!D1178)),TRIM(MID('R.M Billets Reports'!D1178,SEARCH("-",'R.M Billets Reports'!D1178)+1,200)),"")),IF(ISNUMBER(SEARCH("Party Name:-",'R.M Billets Reports'!D1179)),TRIM('R.M Billets Reports'!F1179),IF(ISNUMBER(SEARCH("Party Name-",'R.M Billets Reports'!D1179)),TRIM(MID('R.M Billets Reports'!D1179,SEARCH("-",'R.M Billets Reports'!D1179)+1,200)),"")))="VRKP ISPAT PVT LTD","VRKP",IF(IF(IF(ISNUMBER(SEARCH("Party Name:-",'R.M Billets Reports'!D1178)),TRIM('R.M Billets Reports'!F1178),IF(ISNUMBER(SEARCH("Party Name-",'R.M Billets Reports'!D1178)),TRIM(MID('R.M Billets Reports'!D1178,SEARCH("-",'R.M Billets Reports'!D1178)+1,200)),""))&lt;&gt;"",IF(ISNUMBER(SEARCH("Party Name:-",'R.M Billets Reports'!D1178)),TRIM('R.M Billets Reports'!F1178),IF(ISNUMBER(SEARCH("Party Name-",'R.M Billets Reports'!D1178)),TRIM(MID('R.M Billets Reports'!D1178,SEARCH("-",'R.M Billets Reports'!D1178)+1,200)),"")),IF(ISNUMBER(SEARCH("Party Name:-",'R.M Billets Reports'!D1179)),TRIM('R.M Billets Reports'!F1179),IF(ISNUMBER(SEARCH("Party Name-",'R.M Billets Reports'!D1179)),TRIM(MID('R.M Billets Reports'!D1179,SEARCH("-",'R.M Billets Reports'!D1179)+1,200)),"")))="SHRI RADHE","SHREE RADHE",IF(IF(IF(ISNUMBER(SEARCH("Party Name:-",'R.M Billets Reports'!D1178)),TRIM('R.M Billets Reports'!F1178),IF(ISNUMBER(SEARCH("Party Name-",'R.M Billets Reports'!D1178)),TRIM(MID('R.M Billets Reports'!D1178,SEARCH("-",'R.M Billets Reports'!D1178)+1,200)),""))&lt;&gt;"",IF(ISNUMBER(SEARCH("Party Name:-",'R.M Billets Reports'!D1178)),TRIM('R.M Billets Reports'!F1178),IF(ISNUMBER(SEARCH("Party Name-",'R.M Billets Reports'!D1178)),TRIM(MID('R.M Billets Reports'!D1178,SEARCH("-",'R.M Billets Reports'!D1178)+1,200)),"")),IF(ISNUMBER(SEARCH("Party Name:-",'R.M Billets Reports'!D1179)),TRIM('R.M Billets Reports'!F1179),IF(ISNUMBER(SEARCH("Party Name-",'R.M Billets Reports'!D1179)),TRIM(MID('R.M Billets Reports'!D1179,SEARCH("-",'R.M Billets Reports'!D1179)+1,200)),"")))="SHREE RADHE SHAKTI SPONGE AND POWER PVT. LTD.","SHREE RADHE",IF(IF(ISNUMBER(SEARCH("Party Name:-",'R.M Billets Reports'!D1178)),TRIM('R.M Billets Reports'!F1178),IF(ISNUMBER(SEARCH("Party Name-",'R.M Billets Reports'!D1178)),TRIM(MID('R.M Billets Reports'!D1178,SEARCH("-",'R.M Billets Reports'!D1178)+1,200)),""))&lt;&gt;"",IF(ISNUMBER(SEARCH("Party Name:-",'R.M Billets Reports'!D1178)),TRIM('R.M Billets Reports'!F1178),IF(ISNUMBER(SEARCH("Party Name-",'R.M Billets Reports'!D1178)),TRIM(MID('R.M Billets Reports'!D1178,SEARCH("-",'R.M Billets Reports'!D1178)+1,200)),"")),IF(ISNUMBER(SEARCH("Party Name:-",'R.M Billets Reports'!D1179)),TRIM('R.M Billets Reports'!F1179),IF(ISNUMBER(SEARCH("Party Name-",'R.M Billets Reports'!D1179)),TRIM(MID('R.M Billets Reports'!D1179,SEARCH("-",'R.M Billets Reports'!D1179)+1,200)),"")))))),IF(ROW()=2,"",A1178))</f>
      </c>
      <c r="B1179">
        <f>IF(OR('R.M Billets Reports'!A1178="Date-",'R.M Billets Reports'!A1178="Date:-"),'R.M Billets Reports'!B1178,IF(ROW()=2,"",B1178))</f>
      </c>
      <c r="C1179">
        <f>IF('R.M Billets Reports'!A1178="V.No.",'R.M Billets Reports'!B1178,IF(ROW()=2,"",C1178))</f>
      </c>
      <c r="D1179">
        <f>IF('R.M Billets Reports'!A1178&lt;&gt;"",'R.M Billets Reports'!A1178,IF(ROW()=2,"",D1178))</f>
      </c>
      <c r="E1179">
        <f>IF('R.M Billets Reports'!B1178="","",TRIM('R.M Billets Reports'!B1178))</f>
      </c>
      <c r="F1179">
        <f>'R.M Billets Reports'!C1178</f>
      </c>
      <c r="G1179">
        <f>'R.M Billets Reports'!D1178</f>
      </c>
      <c r="H1179">
        <f>'R.M Billets Reports'!E1178</f>
      </c>
      <c r="I1179">
        <f>'R.M Billets Reports'!F1178</f>
      </c>
      <c r="J1179">
        <f>'R.M Billets Reports'!G1178</f>
      </c>
      <c r="K1179">
        <f>'R.M Billets Reports'!H1178</f>
      </c>
      <c r="L1179">
        <f>IF('R.M Billets Reports'!I1178="","",'R.M Billets Reports'!I1178)</f>
      </c>
      <c r="M1179">
        <f t="shared" si="36"/>
      </c>
      <c r="N1179">
        <f>IF('R.M Billets Reports'!J1178="","",'R.M Billets Reports'!J1178)</f>
      </c>
      <c r="O1179">
        <f t="shared" si="37"/>
      </c>
      <c r="P1179">
        <f>IF('R.M Billets Reports'!A1178="SIZE",'R.M Billets Reports'!B1178,P1178)</f>
      </c>
    </row>
    <row r="1180" spans="1:16" x14ac:dyDescent="0.25">
      <c r="A1180">
        <f>IF(OR('R.M Billets Reports'!A1179="Date-",'R.M Billets Reports'!A1179="Date:-"),IF(IF(IF(ISNUMBER(SEARCH("Party Name:-",'R.M Billets Reports'!D1179)),TRIM('R.M Billets Reports'!F1179),IF(ISNUMBER(SEARCH("Party Name-",'R.M Billets Reports'!D1179)),TRIM(MID('R.M Billets Reports'!D1179,SEARCH("-",'R.M Billets Reports'!D1179)+1,200)),""))&lt;&gt;"",IF(ISNUMBER(SEARCH("Party Name:-",'R.M Billets Reports'!D1179)),TRIM('R.M Billets Reports'!F1179),IF(ISNUMBER(SEARCH("Party Name-",'R.M Billets Reports'!D1179)),TRIM(MID('R.M Billets Reports'!D1179,SEARCH("-",'R.M Billets Reports'!D1179)+1,200)),"")),IF(ISNUMBER(SEARCH("Party Name:-",'R.M Billets Reports'!D1180)),TRIM('R.M Billets Reports'!F1180),IF(ISNUMBER(SEARCH("Party Name-",'R.M Billets Reports'!D1180)),TRIM(MID('R.M Billets Reports'!D1180,SEARCH("-",'R.M Billets Reports'!D1180)+1,200)),"")))="VRKP ISPAT PVT LTD","VRKP",IF(IF(IF(ISNUMBER(SEARCH("Party Name:-",'R.M Billets Reports'!D1179)),TRIM('R.M Billets Reports'!F1179),IF(ISNUMBER(SEARCH("Party Name-",'R.M Billets Reports'!D1179)),TRIM(MID('R.M Billets Reports'!D1179,SEARCH("-",'R.M Billets Reports'!D1179)+1,200)),""))&lt;&gt;"",IF(ISNUMBER(SEARCH("Party Name:-",'R.M Billets Reports'!D1179)),TRIM('R.M Billets Reports'!F1179),IF(ISNUMBER(SEARCH("Party Name-",'R.M Billets Reports'!D1179)),TRIM(MID('R.M Billets Reports'!D1179,SEARCH("-",'R.M Billets Reports'!D1179)+1,200)),"")),IF(ISNUMBER(SEARCH("Party Name:-",'R.M Billets Reports'!D1180)),TRIM('R.M Billets Reports'!F1180),IF(ISNUMBER(SEARCH("Party Name-",'R.M Billets Reports'!D1180)),TRIM(MID('R.M Billets Reports'!D1180,SEARCH("-",'R.M Billets Reports'!D1180)+1,200)),"")))="SHRI RADHE","SHREE RADHE",IF(IF(IF(ISNUMBER(SEARCH("Party Name:-",'R.M Billets Reports'!D1179)),TRIM('R.M Billets Reports'!F1179),IF(ISNUMBER(SEARCH("Party Name-",'R.M Billets Reports'!D1179)),TRIM(MID('R.M Billets Reports'!D1179,SEARCH("-",'R.M Billets Reports'!D1179)+1,200)),""))&lt;&gt;"",IF(ISNUMBER(SEARCH("Party Name:-",'R.M Billets Reports'!D1179)),TRIM('R.M Billets Reports'!F1179),IF(ISNUMBER(SEARCH("Party Name-",'R.M Billets Reports'!D1179)),TRIM(MID('R.M Billets Reports'!D1179,SEARCH("-",'R.M Billets Reports'!D1179)+1,200)),"")),IF(ISNUMBER(SEARCH("Party Name:-",'R.M Billets Reports'!D1180)),TRIM('R.M Billets Reports'!F1180),IF(ISNUMBER(SEARCH("Party Name-",'R.M Billets Reports'!D1180)),TRIM(MID('R.M Billets Reports'!D1180,SEARCH("-",'R.M Billets Reports'!D1180)+1,200)),"")))="SHREE RADHE SHAKTI SPONGE AND POWER PVT. LTD.","SHREE RADHE",IF(IF(ISNUMBER(SEARCH("Party Name:-",'R.M Billets Reports'!D1179)),TRIM('R.M Billets Reports'!F1179),IF(ISNUMBER(SEARCH("Party Name-",'R.M Billets Reports'!D1179)),TRIM(MID('R.M Billets Reports'!D1179,SEARCH("-",'R.M Billets Reports'!D1179)+1,200)),""))&lt;&gt;"",IF(ISNUMBER(SEARCH("Party Name:-",'R.M Billets Reports'!D1179)),TRIM('R.M Billets Reports'!F1179),IF(ISNUMBER(SEARCH("Party Name-",'R.M Billets Reports'!D1179)),TRIM(MID('R.M Billets Reports'!D1179,SEARCH("-",'R.M Billets Reports'!D1179)+1,200)),"")),IF(ISNUMBER(SEARCH("Party Name:-",'R.M Billets Reports'!D1180)),TRIM('R.M Billets Reports'!F1180),IF(ISNUMBER(SEARCH("Party Name-",'R.M Billets Reports'!D1180)),TRIM(MID('R.M Billets Reports'!D1180,SEARCH("-",'R.M Billets Reports'!D1180)+1,200)),"")))))),IF(ROW()=2,"",A1179))</f>
      </c>
      <c r="B1180">
        <f>IF(OR('R.M Billets Reports'!A1179="Date-",'R.M Billets Reports'!A1179="Date:-"),'R.M Billets Reports'!B1179,IF(ROW()=2,"",B1179))</f>
      </c>
      <c r="C1180">
        <f>IF('R.M Billets Reports'!A1179="V.No.",'R.M Billets Reports'!B1179,IF(ROW()=2,"",C1179))</f>
      </c>
      <c r="D1180">
        <f>IF('R.M Billets Reports'!A1179&lt;&gt;"",'R.M Billets Reports'!A1179,IF(ROW()=2,"",D1179))</f>
      </c>
      <c r="E1180">
        <f>IF('R.M Billets Reports'!B1179="","",TRIM('R.M Billets Reports'!B1179))</f>
      </c>
      <c r="F1180">
        <f>'R.M Billets Reports'!C1179</f>
      </c>
      <c r="G1180">
        <f>'R.M Billets Reports'!D1179</f>
      </c>
      <c r="H1180">
        <f>'R.M Billets Reports'!E1179</f>
      </c>
      <c r="I1180">
        <f>'R.M Billets Reports'!F1179</f>
      </c>
      <c r="J1180">
        <f>'R.M Billets Reports'!G1179</f>
      </c>
      <c r="K1180">
        <f>'R.M Billets Reports'!H1179</f>
      </c>
      <c r="L1180">
        <f>IF('R.M Billets Reports'!I1179="","",'R.M Billets Reports'!I1179)</f>
      </c>
      <c r="M1180">
        <f t="shared" si="36"/>
      </c>
      <c r="N1180">
        <f>IF('R.M Billets Reports'!J1179="","",'R.M Billets Reports'!J1179)</f>
      </c>
      <c r="O1180">
        <f t="shared" si="37"/>
      </c>
      <c r="P1180">
        <f>IF('R.M Billets Reports'!A1179="SIZE",'R.M Billets Reports'!B1179,P1179)</f>
      </c>
    </row>
    <row r="1181" spans="1:16" x14ac:dyDescent="0.25">
      <c r="A1181">
        <f>IF(OR('R.M Billets Reports'!A1180="Date-",'R.M Billets Reports'!A1180="Date:-"),IF(IF(IF(ISNUMBER(SEARCH("Party Name:-",'R.M Billets Reports'!D1180)),TRIM('R.M Billets Reports'!F1180),IF(ISNUMBER(SEARCH("Party Name-",'R.M Billets Reports'!D1180)),TRIM(MID('R.M Billets Reports'!D1180,SEARCH("-",'R.M Billets Reports'!D1180)+1,200)),""))&lt;&gt;"",IF(ISNUMBER(SEARCH("Party Name:-",'R.M Billets Reports'!D1180)),TRIM('R.M Billets Reports'!F1180),IF(ISNUMBER(SEARCH("Party Name-",'R.M Billets Reports'!D1180)),TRIM(MID('R.M Billets Reports'!D1180,SEARCH("-",'R.M Billets Reports'!D1180)+1,200)),"")),IF(ISNUMBER(SEARCH("Party Name:-",'R.M Billets Reports'!D1181)),TRIM('R.M Billets Reports'!F1181),IF(ISNUMBER(SEARCH("Party Name-",'R.M Billets Reports'!D1181)),TRIM(MID('R.M Billets Reports'!D1181,SEARCH("-",'R.M Billets Reports'!D1181)+1,200)),"")))="VRKP ISPAT PVT LTD","VRKP",IF(IF(IF(ISNUMBER(SEARCH("Party Name:-",'R.M Billets Reports'!D1180)),TRIM('R.M Billets Reports'!F1180),IF(ISNUMBER(SEARCH("Party Name-",'R.M Billets Reports'!D1180)),TRIM(MID('R.M Billets Reports'!D1180,SEARCH("-",'R.M Billets Reports'!D1180)+1,200)),""))&lt;&gt;"",IF(ISNUMBER(SEARCH("Party Name:-",'R.M Billets Reports'!D1180)),TRIM('R.M Billets Reports'!F1180),IF(ISNUMBER(SEARCH("Party Name-",'R.M Billets Reports'!D1180)),TRIM(MID('R.M Billets Reports'!D1180,SEARCH("-",'R.M Billets Reports'!D1180)+1,200)),"")),IF(ISNUMBER(SEARCH("Party Name:-",'R.M Billets Reports'!D1181)),TRIM('R.M Billets Reports'!F1181),IF(ISNUMBER(SEARCH("Party Name-",'R.M Billets Reports'!D1181)),TRIM(MID('R.M Billets Reports'!D1181,SEARCH("-",'R.M Billets Reports'!D1181)+1,200)),"")))="SHRI RADHE","SHREE RADHE",IF(IF(IF(ISNUMBER(SEARCH("Party Name:-",'R.M Billets Reports'!D1180)),TRIM('R.M Billets Reports'!F1180),IF(ISNUMBER(SEARCH("Party Name-",'R.M Billets Reports'!D1180)),TRIM(MID('R.M Billets Reports'!D1180,SEARCH("-",'R.M Billets Reports'!D1180)+1,200)),""))&lt;&gt;"",IF(ISNUMBER(SEARCH("Party Name:-",'R.M Billets Reports'!D1180)),TRIM('R.M Billets Reports'!F1180),IF(ISNUMBER(SEARCH("Party Name-",'R.M Billets Reports'!D1180)),TRIM(MID('R.M Billets Reports'!D1180,SEARCH("-",'R.M Billets Reports'!D1180)+1,200)),"")),IF(ISNUMBER(SEARCH("Party Name:-",'R.M Billets Reports'!D1181)),TRIM('R.M Billets Reports'!F1181),IF(ISNUMBER(SEARCH("Party Name-",'R.M Billets Reports'!D1181)),TRIM(MID('R.M Billets Reports'!D1181,SEARCH("-",'R.M Billets Reports'!D1181)+1,200)),"")))="SHREE RADHE SHAKTI SPONGE AND POWER PVT. LTD.","SHREE RADHE",IF(IF(ISNUMBER(SEARCH("Party Name:-",'R.M Billets Reports'!D1180)),TRIM('R.M Billets Reports'!F1180),IF(ISNUMBER(SEARCH("Party Name-",'R.M Billets Reports'!D1180)),TRIM(MID('R.M Billets Reports'!D1180,SEARCH("-",'R.M Billets Reports'!D1180)+1,200)),""))&lt;&gt;"",IF(ISNUMBER(SEARCH("Party Name:-",'R.M Billets Reports'!D1180)),TRIM('R.M Billets Reports'!F1180),IF(ISNUMBER(SEARCH("Party Name-",'R.M Billets Reports'!D1180)),TRIM(MID('R.M Billets Reports'!D1180,SEARCH("-",'R.M Billets Reports'!D1180)+1,200)),"")),IF(ISNUMBER(SEARCH("Party Name:-",'R.M Billets Reports'!D1181)),TRIM('R.M Billets Reports'!F1181),IF(ISNUMBER(SEARCH("Party Name-",'R.M Billets Reports'!D1181)),TRIM(MID('R.M Billets Reports'!D1181,SEARCH("-",'R.M Billets Reports'!D1181)+1,200)),"")))))),IF(ROW()=2,"",A1180))</f>
      </c>
      <c r="B1181">
        <f>IF(OR('R.M Billets Reports'!A1180="Date-",'R.M Billets Reports'!A1180="Date:-"),'R.M Billets Reports'!B1180,IF(ROW()=2,"",B1180))</f>
      </c>
      <c r="C1181">
        <f>IF('R.M Billets Reports'!A1180="V.No.",'R.M Billets Reports'!B1180,IF(ROW()=2,"",C1180))</f>
      </c>
      <c r="D1181">
        <f>IF('R.M Billets Reports'!A1180&lt;&gt;"",'R.M Billets Reports'!A1180,IF(ROW()=2,"",D1180))</f>
      </c>
      <c r="E1181">
        <f>IF('R.M Billets Reports'!B1180="","",TRIM('R.M Billets Reports'!B1180))</f>
      </c>
      <c r="F1181">
        <f>'R.M Billets Reports'!C1180</f>
      </c>
      <c r="G1181">
        <f>'R.M Billets Reports'!D1180</f>
      </c>
      <c r="H1181">
        <f>'R.M Billets Reports'!E1180</f>
      </c>
      <c r="I1181">
        <f>'R.M Billets Reports'!F1180</f>
      </c>
      <c r="J1181">
        <f>'R.M Billets Reports'!G1180</f>
      </c>
      <c r="K1181">
        <f>'R.M Billets Reports'!H1180</f>
      </c>
      <c r="L1181">
        <f>IF('R.M Billets Reports'!I1180="","",'R.M Billets Reports'!I1180)</f>
      </c>
      <c r="M1181">
        <f t="shared" si="36"/>
      </c>
      <c r="N1181">
        <f>IF('R.M Billets Reports'!J1180="","",'R.M Billets Reports'!J1180)</f>
      </c>
      <c r="O1181">
        <f t="shared" si="37"/>
      </c>
      <c r="P1181">
        <f>IF('R.M Billets Reports'!A1180="SIZE",'R.M Billets Reports'!B1180,P1180)</f>
      </c>
    </row>
    <row r="1182" spans="1:16" x14ac:dyDescent="0.25">
      <c r="A1182">
        <f>IF(OR('R.M Billets Reports'!A1181="Date-",'R.M Billets Reports'!A1181="Date:-"),IF(IF(IF(ISNUMBER(SEARCH("Party Name:-",'R.M Billets Reports'!D1181)),TRIM('R.M Billets Reports'!F1181),IF(ISNUMBER(SEARCH("Party Name-",'R.M Billets Reports'!D1181)),TRIM(MID('R.M Billets Reports'!D1181,SEARCH("-",'R.M Billets Reports'!D1181)+1,200)),""))&lt;&gt;"",IF(ISNUMBER(SEARCH("Party Name:-",'R.M Billets Reports'!D1181)),TRIM('R.M Billets Reports'!F1181),IF(ISNUMBER(SEARCH("Party Name-",'R.M Billets Reports'!D1181)),TRIM(MID('R.M Billets Reports'!D1181,SEARCH("-",'R.M Billets Reports'!D1181)+1,200)),"")),IF(ISNUMBER(SEARCH("Party Name:-",'R.M Billets Reports'!D1182)),TRIM('R.M Billets Reports'!F1182),IF(ISNUMBER(SEARCH("Party Name-",'R.M Billets Reports'!D1182)),TRIM(MID('R.M Billets Reports'!D1182,SEARCH("-",'R.M Billets Reports'!D1182)+1,200)),"")))="VRKP ISPAT PVT LTD","VRKP",IF(IF(IF(ISNUMBER(SEARCH("Party Name:-",'R.M Billets Reports'!D1181)),TRIM('R.M Billets Reports'!F1181),IF(ISNUMBER(SEARCH("Party Name-",'R.M Billets Reports'!D1181)),TRIM(MID('R.M Billets Reports'!D1181,SEARCH("-",'R.M Billets Reports'!D1181)+1,200)),""))&lt;&gt;"",IF(ISNUMBER(SEARCH("Party Name:-",'R.M Billets Reports'!D1181)),TRIM('R.M Billets Reports'!F1181),IF(ISNUMBER(SEARCH("Party Name-",'R.M Billets Reports'!D1181)),TRIM(MID('R.M Billets Reports'!D1181,SEARCH("-",'R.M Billets Reports'!D1181)+1,200)),"")),IF(ISNUMBER(SEARCH("Party Name:-",'R.M Billets Reports'!D1182)),TRIM('R.M Billets Reports'!F1182),IF(ISNUMBER(SEARCH("Party Name-",'R.M Billets Reports'!D1182)),TRIM(MID('R.M Billets Reports'!D1182,SEARCH("-",'R.M Billets Reports'!D1182)+1,200)),"")))="SHRI RADHE","SHREE RADHE",IF(IF(IF(ISNUMBER(SEARCH("Party Name:-",'R.M Billets Reports'!D1181)),TRIM('R.M Billets Reports'!F1181),IF(ISNUMBER(SEARCH("Party Name-",'R.M Billets Reports'!D1181)),TRIM(MID('R.M Billets Reports'!D1181,SEARCH("-",'R.M Billets Reports'!D1181)+1,200)),""))&lt;&gt;"",IF(ISNUMBER(SEARCH("Party Name:-",'R.M Billets Reports'!D1181)),TRIM('R.M Billets Reports'!F1181),IF(ISNUMBER(SEARCH("Party Name-",'R.M Billets Reports'!D1181)),TRIM(MID('R.M Billets Reports'!D1181,SEARCH("-",'R.M Billets Reports'!D1181)+1,200)),"")),IF(ISNUMBER(SEARCH("Party Name:-",'R.M Billets Reports'!D1182)),TRIM('R.M Billets Reports'!F1182),IF(ISNUMBER(SEARCH("Party Name-",'R.M Billets Reports'!D1182)),TRIM(MID('R.M Billets Reports'!D1182,SEARCH("-",'R.M Billets Reports'!D1182)+1,200)),"")))="SHREE RADHE SHAKTI SPONGE AND POWER PVT. LTD.","SHREE RADHE",IF(IF(ISNUMBER(SEARCH("Party Name:-",'R.M Billets Reports'!D1181)),TRIM('R.M Billets Reports'!F1181),IF(ISNUMBER(SEARCH("Party Name-",'R.M Billets Reports'!D1181)),TRIM(MID('R.M Billets Reports'!D1181,SEARCH("-",'R.M Billets Reports'!D1181)+1,200)),""))&lt;&gt;"",IF(ISNUMBER(SEARCH("Party Name:-",'R.M Billets Reports'!D1181)),TRIM('R.M Billets Reports'!F1181),IF(ISNUMBER(SEARCH("Party Name-",'R.M Billets Reports'!D1181)),TRIM(MID('R.M Billets Reports'!D1181,SEARCH("-",'R.M Billets Reports'!D1181)+1,200)),"")),IF(ISNUMBER(SEARCH("Party Name:-",'R.M Billets Reports'!D1182)),TRIM('R.M Billets Reports'!F1182),IF(ISNUMBER(SEARCH("Party Name-",'R.M Billets Reports'!D1182)),TRIM(MID('R.M Billets Reports'!D1182,SEARCH("-",'R.M Billets Reports'!D1182)+1,200)),"")))))),IF(ROW()=2,"",A1181))</f>
      </c>
      <c r="B1182">
        <f>IF(OR('R.M Billets Reports'!A1181="Date-",'R.M Billets Reports'!A1181="Date:-"),'R.M Billets Reports'!B1181,IF(ROW()=2,"",B1181))</f>
      </c>
      <c r="C1182">
        <f>IF('R.M Billets Reports'!A1181="V.No.",'R.M Billets Reports'!B1181,IF(ROW()=2,"",C1181))</f>
      </c>
      <c r="D1182">
        <f>IF('R.M Billets Reports'!A1181&lt;&gt;"",'R.M Billets Reports'!A1181,IF(ROW()=2,"",D1181))</f>
      </c>
      <c r="E1182">
        <f>IF('R.M Billets Reports'!B1181="","",TRIM('R.M Billets Reports'!B1181))</f>
      </c>
      <c r="F1182">
        <f>'R.M Billets Reports'!C1181</f>
      </c>
      <c r="G1182">
        <f>'R.M Billets Reports'!D1181</f>
      </c>
      <c r="H1182">
        <f>'R.M Billets Reports'!E1181</f>
      </c>
      <c r="I1182">
        <f>'R.M Billets Reports'!F1181</f>
      </c>
      <c r="J1182">
        <f>'R.M Billets Reports'!G1181</f>
      </c>
      <c r="K1182">
        <f>'R.M Billets Reports'!H1181</f>
      </c>
      <c r="L1182">
        <f>IF('R.M Billets Reports'!I1181="","",'R.M Billets Reports'!I1181)</f>
      </c>
      <c r="M1182">
        <f t="shared" si="36"/>
      </c>
      <c r="N1182">
        <f>IF('R.M Billets Reports'!J1181="","",'R.M Billets Reports'!J1181)</f>
      </c>
      <c r="O1182">
        <f t="shared" si="37"/>
      </c>
      <c r="P1182">
        <f>IF('R.M Billets Reports'!A1181="SIZE",'R.M Billets Reports'!B1181,P1181)</f>
      </c>
    </row>
    <row r="1183" spans="1:16" x14ac:dyDescent="0.25">
      <c r="A1183">
        <f>IF(OR('R.M Billets Reports'!A1182="Date-",'R.M Billets Reports'!A1182="Date:-"),IF(IF(IF(ISNUMBER(SEARCH("Party Name:-",'R.M Billets Reports'!D1182)),TRIM('R.M Billets Reports'!F1182),IF(ISNUMBER(SEARCH("Party Name-",'R.M Billets Reports'!D1182)),TRIM(MID('R.M Billets Reports'!D1182,SEARCH("-",'R.M Billets Reports'!D1182)+1,200)),""))&lt;&gt;"",IF(ISNUMBER(SEARCH("Party Name:-",'R.M Billets Reports'!D1182)),TRIM('R.M Billets Reports'!F1182),IF(ISNUMBER(SEARCH("Party Name-",'R.M Billets Reports'!D1182)),TRIM(MID('R.M Billets Reports'!D1182,SEARCH("-",'R.M Billets Reports'!D1182)+1,200)),"")),IF(ISNUMBER(SEARCH("Party Name:-",'R.M Billets Reports'!D1183)),TRIM('R.M Billets Reports'!F1183),IF(ISNUMBER(SEARCH("Party Name-",'R.M Billets Reports'!D1183)),TRIM(MID('R.M Billets Reports'!D1183,SEARCH("-",'R.M Billets Reports'!D1183)+1,200)),"")))="VRKP ISPAT PVT LTD","VRKP",IF(IF(IF(ISNUMBER(SEARCH("Party Name:-",'R.M Billets Reports'!D1182)),TRIM('R.M Billets Reports'!F1182),IF(ISNUMBER(SEARCH("Party Name-",'R.M Billets Reports'!D1182)),TRIM(MID('R.M Billets Reports'!D1182,SEARCH("-",'R.M Billets Reports'!D1182)+1,200)),""))&lt;&gt;"",IF(ISNUMBER(SEARCH("Party Name:-",'R.M Billets Reports'!D1182)),TRIM('R.M Billets Reports'!F1182),IF(ISNUMBER(SEARCH("Party Name-",'R.M Billets Reports'!D1182)),TRIM(MID('R.M Billets Reports'!D1182,SEARCH("-",'R.M Billets Reports'!D1182)+1,200)),"")),IF(ISNUMBER(SEARCH("Party Name:-",'R.M Billets Reports'!D1183)),TRIM('R.M Billets Reports'!F1183),IF(ISNUMBER(SEARCH("Party Name-",'R.M Billets Reports'!D1183)),TRIM(MID('R.M Billets Reports'!D1183,SEARCH("-",'R.M Billets Reports'!D1183)+1,200)),"")))="SHRI RADHE","SHREE RADHE",IF(IF(IF(ISNUMBER(SEARCH("Party Name:-",'R.M Billets Reports'!D1182)),TRIM('R.M Billets Reports'!F1182),IF(ISNUMBER(SEARCH("Party Name-",'R.M Billets Reports'!D1182)),TRIM(MID('R.M Billets Reports'!D1182,SEARCH("-",'R.M Billets Reports'!D1182)+1,200)),""))&lt;&gt;"",IF(ISNUMBER(SEARCH("Party Name:-",'R.M Billets Reports'!D1182)),TRIM('R.M Billets Reports'!F1182),IF(ISNUMBER(SEARCH("Party Name-",'R.M Billets Reports'!D1182)),TRIM(MID('R.M Billets Reports'!D1182,SEARCH("-",'R.M Billets Reports'!D1182)+1,200)),"")),IF(ISNUMBER(SEARCH("Party Name:-",'R.M Billets Reports'!D1183)),TRIM('R.M Billets Reports'!F1183),IF(ISNUMBER(SEARCH("Party Name-",'R.M Billets Reports'!D1183)),TRIM(MID('R.M Billets Reports'!D1183,SEARCH("-",'R.M Billets Reports'!D1183)+1,200)),"")))="SHREE RADHE SHAKTI SPONGE AND POWER PVT. LTD.","SHREE RADHE",IF(IF(ISNUMBER(SEARCH("Party Name:-",'R.M Billets Reports'!D1182)),TRIM('R.M Billets Reports'!F1182),IF(ISNUMBER(SEARCH("Party Name-",'R.M Billets Reports'!D1182)),TRIM(MID('R.M Billets Reports'!D1182,SEARCH("-",'R.M Billets Reports'!D1182)+1,200)),""))&lt;&gt;"",IF(ISNUMBER(SEARCH("Party Name:-",'R.M Billets Reports'!D1182)),TRIM('R.M Billets Reports'!F1182),IF(ISNUMBER(SEARCH("Party Name-",'R.M Billets Reports'!D1182)),TRIM(MID('R.M Billets Reports'!D1182,SEARCH("-",'R.M Billets Reports'!D1182)+1,200)),"")),IF(ISNUMBER(SEARCH("Party Name:-",'R.M Billets Reports'!D1183)),TRIM('R.M Billets Reports'!F1183),IF(ISNUMBER(SEARCH("Party Name-",'R.M Billets Reports'!D1183)),TRIM(MID('R.M Billets Reports'!D1183,SEARCH("-",'R.M Billets Reports'!D1183)+1,200)),"")))))),IF(ROW()=2,"",A1182))</f>
      </c>
      <c r="B1183">
        <f>IF(OR('R.M Billets Reports'!A1182="Date-",'R.M Billets Reports'!A1182="Date:-"),'R.M Billets Reports'!B1182,IF(ROW()=2,"",B1182))</f>
      </c>
      <c r="C1183">
        <f>IF('R.M Billets Reports'!A1182="V.No.",'R.M Billets Reports'!B1182,IF(ROW()=2,"",C1182))</f>
      </c>
      <c r="D1183">
        <f>IF('R.M Billets Reports'!A1182&lt;&gt;"",'R.M Billets Reports'!A1182,IF(ROW()=2,"",D1182))</f>
      </c>
      <c r="E1183">
        <f>IF('R.M Billets Reports'!B1182="","",TRIM('R.M Billets Reports'!B1182))</f>
      </c>
      <c r="F1183">
        <f>'R.M Billets Reports'!C1182</f>
      </c>
      <c r="G1183">
        <f>'R.M Billets Reports'!D1182</f>
      </c>
      <c r="H1183">
        <f>'R.M Billets Reports'!E1182</f>
      </c>
      <c r="I1183">
        <f>'R.M Billets Reports'!F1182</f>
      </c>
      <c r="J1183">
        <f>'R.M Billets Reports'!G1182</f>
      </c>
      <c r="K1183">
        <f>'R.M Billets Reports'!H1182</f>
      </c>
      <c r="L1183">
        <f>IF('R.M Billets Reports'!I1182="","",'R.M Billets Reports'!I1182)</f>
      </c>
      <c r="M1183">
        <f t="shared" si="36"/>
      </c>
      <c r="N1183">
        <f>IF('R.M Billets Reports'!J1182="","",'R.M Billets Reports'!J1182)</f>
      </c>
      <c r="O1183">
        <f t="shared" si="37"/>
      </c>
      <c r="P1183">
        <f>IF('R.M Billets Reports'!A1182="SIZE",'R.M Billets Reports'!B1182,P1182)</f>
      </c>
    </row>
    <row r="1184" spans="1:16" x14ac:dyDescent="0.25">
      <c r="A1184">
        <f>IF(OR('R.M Billets Reports'!A1183="Date-",'R.M Billets Reports'!A1183="Date:-"),IF(IF(IF(ISNUMBER(SEARCH("Party Name:-",'R.M Billets Reports'!D1183)),TRIM('R.M Billets Reports'!F1183),IF(ISNUMBER(SEARCH("Party Name-",'R.M Billets Reports'!D1183)),TRIM(MID('R.M Billets Reports'!D1183,SEARCH("-",'R.M Billets Reports'!D1183)+1,200)),""))&lt;&gt;"",IF(ISNUMBER(SEARCH("Party Name:-",'R.M Billets Reports'!D1183)),TRIM('R.M Billets Reports'!F1183),IF(ISNUMBER(SEARCH("Party Name-",'R.M Billets Reports'!D1183)),TRIM(MID('R.M Billets Reports'!D1183,SEARCH("-",'R.M Billets Reports'!D1183)+1,200)),"")),IF(ISNUMBER(SEARCH("Party Name:-",'R.M Billets Reports'!D1184)),TRIM('R.M Billets Reports'!F1184),IF(ISNUMBER(SEARCH("Party Name-",'R.M Billets Reports'!D1184)),TRIM(MID('R.M Billets Reports'!D1184,SEARCH("-",'R.M Billets Reports'!D1184)+1,200)),"")))="VRKP ISPAT PVT LTD","VRKP",IF(IF(IF(ISNUMBER(SEARCH("Party Name:-",'R.M Billets Reports'!D1183)),TRIM('R.M Billets Reports'!F1183),IF(ISNUMBER(SEARCH("Party Name-",'R.M Billets Reports'!D1183)),TRIM(MID('R.M Billets Reports'!D1183,SEARCH("-",'R.M Billets Reports'!D1183)+1,200)),""))&lt;&gt;"",IF(ISNUMBER(SEARCH("Party Name:-",'R.M Billets Reports'!D1183)),TRIM('R.M Billets Reports'!F1183),IF(ISNUMBER(SEARCH("Party Name-",'R.M Billets Reports'!D1183)),TRIM(MID('R.M Billets Reports'!D1183,SEARCH("-",'R.M Billets Reports'!D1183)+1,200)),"")),IF(ISNUMBER(SEARCH("Party Name:-",'R.M Billets Reports'!D1184)),TRIM('R.M Billets Reports'!F1184),IF(ISNUMBER(SEARCH("Party Name-",'R.M Billets Reports'!D1184)),TRIM(MID('R.M Billets Reports'!D1184,SEARCH("-",'R.M Billets Reports'!D1184)+1,200)),"")))="SHRI RADHE","SHREE RADHE",IF(IF(IF(ISNUMBER(SEARCH("Party Name:-",'R.M Billets Reports'!D1183)),TRIM('R.M Billets Reports'!F1183),IF(ISNUMBER(SEARCH("Party Name-",'R.M Billets Reports'!D1183)),TRIM(MID('R.M Billets Reports'!D1183,SEARCH("-",'R.M Billets Reports'!D1183)+1,200)),""))&lt;&gt;"",IF(ISNUMBER(SEARCH("Party Name:-",'R.M Billets Reports'!D1183)),TRIM('R.M Billets Reports'!F1183),IF(ISNUMBER(SEARCH("Party Name-",'R.M Billets Reports'!D1183)),TRIM(MID('R.M Billets Reports'!D1183,SEARCH("-",'R.M Billets Reports'!D1183)+1,200)),"")),IF(ISNUMBER(SEARCH("Party Name:-",'R.M Billets Reports'!D1184)),TRIM('R.M Billets Reports'!F1184),IF(ISNUMBER(SEARCH("Party Name-",'R.M Billets Reports'!D1184)),TRIM(MID('R.M Billets Reports'!D1184,SEARCH("-",'R.M Billets Reports'!D1184)+1,200)),"")))="SHREE RADHE SHAKTI SPONGE AND POWER PVT. LTD.","SHREE RADHE",IF(IF(ISNUMBER(SEARCH("Party Name:-",'R.M Billets Reports'!D1183)),TRIM('R.M Billets Reports'!F1183),IF(ISNUMBER(SEARCH("Party Name-",'R.M Billets Reports'!D1183)),TRIM(MID('R.M Billets Reports'!D1183,SEARCH("-",'R.M Billets Reports'!D1183)+1,200)),""))&lt;&gt;"",IF(ISNUMBER(SEARCH("Party Name:-",'R.M Billets Reports'!D1183)),TRIM('R.M Billets Reports'!F1183),IF(ISNUMBER(SEARCH("Party Name-",'R.M Billets Reports'!D1183)),TRIM(MID('R.M Billets Reports'!D1183,SEARCH("-",'R.M Billets Reports'!D1183)+1,200)),"")),IF(ISNUMBER(SEARCH("Party Name:-",'R.M Billets Reports'!D1184)),TRIM('R.M Billets Reports'!F1184),IF(ISNUMBER(SEARCH("Party Name-",'R.M Billets Reports'!D1184)),TRIM(MID('R.M Billets Reports'!D1184,SEARCH("-",'R.M Billets Reports'!D1184)+1,200)),"")))))),IF(ROW()=2,"",A1183))</f>
      </c>
      <c r="B1184">
        <f>IF(OR('R.M Billets Reports'!A1183="Date-",'R.M Billets Reports'!A1183="Date:-"),'R.M Billets Reports'!B1183,IF(ROW()=2,"",B1183))</f>
      </c>
      <c r="C1184">
        <f>IF('R.M Billets Reports'!A1183="V.No.",'R.M Billets Reports'!B1183,IF(ROW()=2,"",C1183))</f>
      </c>
      <c r="D1184">
        <f>IF('R.M Billets Reports'!A1183&lt;&gt;"",'R.M Billets Reports'!A1183,IF(ROW()=2,"",D1183))</f>
      </c>
      <c r="E1184">
        <f>IF('R.M Billets Reports'!B1183="","",TRIM('R.M Billets Reports'!B1183))</f>
      </c>
      <c r="F1184">
        <f>'R.M Billets Reports'!C1183</f>
      </c>
      <c r="G1184">
        <f>'R.M Billets Reports'!D1183</f>
      </c>
      <c r="H1184">
        <f>'R.M Billets Reports'!E1183</f>
      </c>
      <c r="I1184">
        <f>'R.M Billets Reports'!F1183</f>
      </c>
      <c r="J1184">
        <f>'R.M Billets Reports'!G1183</f>
      </c>
      <c r="K1184">
        <f>'R.M Billets Reports'!H1183</f>
      </c>
      <c r="L1184">
        <f>IF('R.M Billets Reports'!I1183="","",'R.M Billets Reports'!I1183)</f>
      </c>
      <c r="M1184">
        <f t="shared" si="36"/>
      </c>
      <c r="N1184">
        <f>IF('R.M Billets Reports'!J1183="","",'R.M Billets Reports'!J1183)</f>
      </c>
      <c r="O1184">
        <f t="shared" si="37"/>
      </c>
      <c r="P1184">
        <f>IF('R.M Billets Reports'!A1183="SIZE",'R.M Billets Reports'!B1183,P1183)</f>
      </c>
    </row>
    <row r="1185" spans="1:16" x14ac:dyDescent="0.25">
      <c r="A1185">
        <f>IF(OR('R.M Billets Reports'!A1184="Date-",'R.M Billets Reports'!A1184="Date:-"),IF(IF(IF(ISNUMBER(SEARCH("Party Name:-",'R.M Billets Reports'!D1184)),TRIM('R.M Billets Reports'!F1184),IF(ISNUMBER(SEARCH("Party Name-",'R.M Billets Reports'!D1184)),TRIM(MID('R.M Billets Reports'!D1184,SEARCH("-",'R.M Billets Reports'!D1184)+1,200)),""))&lt;&gt;"",IF(ISNUMBER(SEARCH("Party Name:-",'R.M Billets Reports'!D1184)),TRIM('R.M Billets Reports'!F1184),IF(ISNUMBER(SEARCH("Party Name-",'R.M Billets Reports'!D1184)),TRIM(MID('R.M Billets Reports'!D1184,SEARCH("-",'R.M Billets Reports'!D1184)+1,200)),"")),IF(ISNUMBER(SEARCH("Party Name:-",'R.M Billets Reports'!D1185)),TRIM('R.M Billets Reports'!F1185),IF(ISNUMBER(SEARCH("Party Name-",'R.M Billets Reports'!D1185)),TRIM(MID('R.M Billets Reports'!D1185,SEARCH("-",'R.M Billets Reports'!D1185)+1,200)),"")))="VRKP ISPAT PVT LTD","VRKP",IF(IF(IF(ISNUMBER(SEARCH("Party Name:-",'R.M Billets Reports'!D1184)),TRIM('R.M Billets Reports'!F1184),IF(ISNUMBER(SEARCH("Party Name-",'R.M Billets Reports'!D1184)),TRIM(MID('R.M Billets Reports'!D1184,SEARCH("-",'R.M Billets Reports'!D1184)+1,200)),""))&lt;&gt;"",IF(ISNUMBER(SEARCH("Party Name:-",'R.M Billets Reports'!D1184)),TRIM('R.M Billets Reports'!F1184),IF(ISNUMBER(SEARCH("Party Name-",'R.M Billets Reports'!D1184)),TRIM(MID('R.M Billets Reports'!D1184,SEARCH("-",'R.M Billets Reports'!D1184)+1,200)),"")),IF(ISNUMBER(SEARCH("Party Name:-",'R.M Billets Reports'!D1185)),TRIM('R.M Billets Reports'!F1185),IF(ISNUMBER(SEARCH("Party Name-",'R.M Billets Reports'!D1185)),TRIM(MID('R.M Billets Reports'!D1185,SEARCH("-",'R.M Billets Reports'!D1185)+1,200)),"")))="SHRI RADHE","SHREE RADHE",IF(IF(IF(ISNUMBER(SEARCH("Party Name:-",'R.M Billets Reports'!D1184)),TRIM('R.M Billets Reports'!F1184),IF(ISNUMBER(SEARCH("Party Name-",'R.M Billets Reports'!D1184)),TRIM(MID('R.M Billets Reports'!D1184,SEARCH("-",'R.M Billets Reports'!D1184)+1,200)),""))&lt;&gt;"",IF(ISNUMBER(SEARCH("Party Name:-",'R.M Billets Reports'!D1184)),TRIM('R.M Billets Reports'!F1184),IF(ISNUMBER(SEARCH("Party Name-",'R.M Billets Reports'!D1184)),TRIM(MID('R.M Billets Reports'!D1184,SEARCH("-",'R.M Billets Reports'!D1184)+1,200)),"")),IF(ISNUMBER(SEARCH("Party Name:-",'R.M Billets Reports'!D1185)),TRIM('R.M Billets Reports'!F1185),IF(ISNUMBER(SEARCH("Party Name-",'R.M Billets Reports'!D1185)),TRIM(MID('R.M Billets Reports'!D1185,SEARCH("-",'R.M Billets Reports'!D1185)+1,200)),"")))="SHREE RADHE SHAKTI SPONGE AND POWER PVT. LTD.","SHREE RADHE",IF(IF(ISNUMBER(SEARCH("Party Name:-",'R.M Billets Reports'!D1184)),TRIM('R.M Billets Reports'!F1184),IF(ISNUMBER(SEARCH("Party Name-",'R.M Billets Reports'!D1184)),TRIM(MID('R.M Billets Reports'!D1184,SEARCH("-",'R.M Billets Reports'!D1184)+1,200)),""))&lt;&gt;"",IF(ISNUMBER(SEARCH("Party Name:-",'R.M Billets Reports'!D1184)),TRIM('R.M Billets Reports'!F1184),IF(ISNUMBER(SEARCH("Party Name-",'R.M Billets Reports'!D1184)),TRIM(MID('R.M Billets Reports'!D1184,SEARCH("-",'R.M Billets Reports'!D1184)+1,200)),"")),IF(ISNUMBER(SEARCH("Party Name:-",'R.M Billets Reports'!D1185)),TRIM('R.M Billets Reports'!F1185),IF(ISNUMBER(SEARCH("Party Name-",'R.M Billets Reports'!D1185)),TRIM(MID('R.M Billets Reports'!D1185,SEARCH("-",'R.M Billets Reports'!D1185)+1,200)),"")))))),IF(ROW()=2,"",A1184))</f>
      </c>
      <c r="B1185">
        <f>IF(OR('R.M Billets Reports'!A1184="Date-",'R.M Billets Reports'!A1184="Date:-"),'R.M Billets Reports'!B1184,IF(ROW()=2,"",B1184))</f>
      </c>
      <c r="C1185">
        <f>IF('R.M Billets Reports'!A1184="V.No.",'R.M Billets Reports'!B1184,IF(ROW()=2,"",C1184))</f>
      </c>
      <c r="D1185">
        <f>IF('R.M Billets Reports'!A1184&lt;&gt;"",'R.M Billets Reports'!A1184,IF(ROW()=2,"",D1184))</f>
      </c>
      <c r="E1185">
        <f>IF('R.M Billets Reports'!B1184="","",TRIM('R.M Billets Reports'!B1184))</f>
      </c>
      <c r="F1185">
        <f>'R.M Billets Reports'!C1184</f>
      </c>
      <c r="G1185">
        <f>'R.M Billets Reports'!D1184</f>
      </c>
      <c r="H1185">
        <f>'R.M Billets Reports'!E1184</f>
      </c>
      <c r="I1185">
        <f>'R.M Billets Reports'!F1184</f>
      </c>
      <c r="J1185">
        <f>'R.M Billets Reports'!G1184</f>
      </c>
      <c r="K1185">
        <f>'R.M Billets Reports'!H1184</f>
      </c>
      <c r="L1185">
        <f>IF('R.M Billets Reports'!I1184="","",'R.M Billets Reports'!I1184)</f>
      </c>
      <c r="M1185">
        <f t="shared" si="36"/>
      </c>
      <c r="N1185">
        <f>IF('R.M Billets Reports'!J1184="","",'R.M Billets Reports'!J1184)</f>
      </c>
      <c r="O1185">
        <f t="shared" si="37"/>
      </c>
      <c r="P1185">
        <f>IF('R.M Billets Reports'!A1184="SIZE",'R.M Billets Reports'!B1184,P1184)</f>
      </c>
    </row>
    <row r="1186" spans="1:16" x14ac:dyDescent="0.25">
      <c r="A1186">
        <f>IF(OR('R.M Billets Reports'!A1185="Date-",'R.M Billets Reports'!A1185="Date:-"),IF(IF(IF(ISNUMBER(SEARCH("Party Name:-",'R.M Billets Reports'!D1185)),TRIM('R.M Billets Reports'!F1185),IF(ISNUMBER(SEARCH("Party Name-",'R.M Billets Reports'!D1185)),TRIM(MID('R.M Billets Reports'!D1185,SEARCH("-",'R.M Billets Reports'!D1185)+1,200)),""))&lt;&gt;"",IF(ISNUMBER(SEARCH("Party Name:-",'R.M Billets Reports'!D1185)),TRIM('R.M Billets Reports'!F1185),IF(ISNUMBER(SEARCH("Party Name-",'R.M Billets Reports'!D1185)),TRIM(MID('R.M Billets Reports'!D1185,SEARCH("-",'R.M Billets Reports'!D1185)+1,200)),"")),IF(ISNUMBER(SEARCH("Party Name:-",'R.M Billets Reports'!D1186)),TRIM('R.M Billets Reports'!F1186),IF(ISNUMBER(SEARCH("Party Name-",'R.M Billets Reports'!D1186)),TRIM(MID('R.M Billets Reports'!D1186,SEARCH("-",'R.M Billets Reports'!D1186)+1,200)),"")))="VRKP ISPAT PVT LTD","VRKP",IF(IF(IF(ISNUMBER(SEARCH("Party Name:-",'R.M Billets Reports'!D1185)),TRIM('R.M Billets Reports'!F1185),IF(ISNUMBER(SEARCH("Party Name-",'R.M Billets Reports'!D1185)),TRIM(MID('R.M Billets Reports'!D1185,SEARCH("-",'R.M Billets Reports'!D1185)+1,200)),""))&lt;&gt;"",IF(ISNUMBER(SEARCH("Party Name:-",'R.M Billets Reports'!D1185)),TRIM('R.M Billets Reports'!F1185),IF(ISNUMBER(SEARCH("Party Name-",'R.M Billets Reports'!D1185)),TRIM(MID('R.M Billets Reports'!D1185,SEARCH("-",'R.M Billets Reports'!D1185)+1,200)),"")),IF(ISNUMBER(SEARCH("Party Name:-",'R.M Billets Reports'!D1186)),TRIM('R.M Billets Reports'!F1186),IF(ISNUMBER(SEARCH("Party Name-",'R.M Billets Reports'!D1186)),TRIM(MID('R.M Billets Reports'!D1186,SEARCH("-",'R.M Billets Reports'!D1186)+1,200)),"")))="SHRI RADHE","SHREE RADHE",IF(IF(IF(ISNUMBER(SEARCH("Party Name:-",'R.M Billets Reports'!D1185)),TRIM('R.M Billets Reports'!F1185),IF(ISNUMBER(SEARCH("Party Name-",'R.M Billets Reports'!D1185)),TRIM(MID('R.M Billets Reports'!D1185,SEARCH("-",'R.M Billets Reports'!D1185)+1,200)),""))&lt;&gt;"",IF(ISNUMBER(SEARCH("Party Name:-",'R.M Billets Reports'!D1185)),TRIM('R.M Billets Reports'!F1185),IF(ISNUMBER(SEARCH("Party Name-",'R.M Billets Reports'!D1185)),TRIM(MID('R.M Billets Reports'!D1185,SEARCH("-",'R.M Billets Reports'!D1185)+1,200)),"")),IF(ISNUMBER(SEARCH("Party Name:-",'R.M Billets Reports'!D1186)),TRIM('R.M Billets Reports'!F1186),IF(ISNUMBER(SEARCH("Party Name-",'R.M Billets Reports'!D1186)),TRIM(MID('R.M Billets Reports'!D1186,SEARCH("-",'R.M Billets Reports'!D1186)+1,200)),"")))="SHREE RADHE SHAKTI SPONGE AND POWER PVT. LTD.","SHREE RADHE",IF(IF(ISNUMBER(SEARCH("Party Name:-",'R.M Billets Reports'!D1185)),TRIM('R.M Billets Reports'!F1185),IF(ISNUMBER(SEARCH("Party Name-",'R.M Billets Reports'!D1185)),TRIM(MID('R.M Billets Reports'!D1185,SEARCH("-",'R.M Billets Reports'!D1185)+1,200)),""))&lt;&gt;"",IF(ISNUMBER(SEARCH("Party Name:-",'R.M Billets Reports'!D1185)),TRIM('R.M Billets Reports'!F1185),IF(ISNUMBER(SEARCH("Party Name-",'R.M Billets Reports'!D1185)),TRIM(MID('R.M Billets Reports'!D1185,SEARCH("-",'R.M Billets Reports'!D1185)+1,200)),"")),IF(ISNUMBER(SEARCH("Party Name:-",'R.M Billets Reports'!D1186)),TRIM('R.M Billets Reports'!F1186),IF(ISNUMBER(SEARCH("Party Name-",'R.M Billets Reports'!D1186)),TRIM(MID('R.M Billets Reports'!D1186,SEARCH("-",'R.M Billets Reports'!D1186)+1,200)),"")))))),IF(ROW()=2,"",A1185))</f>
      </c>
      <c r="B1186">
        <f>IF(OR('R.M Billets Reports'!A1185="Date-",'R.M Billets Reports'!A1185="Date:-"),'R.M Billets Reports'!B1185,IF(ROW()=2,"",B1185))</f>
      </c>
      <c r="C1186">
        <f>IF('R.M Billets Reports'!A1185="V.No.",'R.M Billets Reports'!B1185,IF(ROW()=2,"",C1185))</f>
      </c>
      <c r="D1186">
        <f>IF('R.M Billets Reports'!A1185&lt;&gt;"",'R.M Billets Reports'!A1185,IF(ROW()=2,"",D1185))</f>
      </c>
      <c r="E1186">
        <f>IF('R.M Billets Reports'!B1185="","",TRIM('R.M Billets Reports'!B1185))</f>
      </c>
      <c r="F1186">
        <f>'R.M Billets Reports'!C1185</f>
      </c>
      <c r="G1186">
        <f>'R.M Billets Reports'!D1185</f>
      </c>
      <c r="H1186">
        <f>'R.M Billets Reports'!E1185</f>
      </c>
      <c r="I1186">
        <f>'R.M Billets Reports'!F1185</f>
      </c>
      <c r="J1186">
        <f>'R.M Billets Reports'!G1185</f>
      </c>
      <c r="K1186">
        <f>'R.M Billets Reports'!H1185</f>
      </c>
      <c r="L1186">
        <f>IF('R.M Billets Reports'!I1185="","",'R.M Billets Reports'!I1185)</f>
      </c>
      <c r="M1186">
        <f t="shared" si="36"/>
      </c>
      <c r="N1186">
        <f>IF('R.M Billets Reports'!J1185="","",'R.M Billets Reports'!J1185)</f>
      </c>
      <c r="O1186">
        <f t="shared" si="37"/>
      </c>
      <c r="P1186">
        <f>IF('R.M Billets Reports'!A1185="SIZE",'R.M Billets Reports'!B1185,P1185)</f>
      </c>
    </row>
    <row r="1187" spans="1:16" x14ac:dyDescent="0.25">
      <c r="A1187">
        <f>IF(OR('R.M Billets Reports'!A1186="Date-",'R.M Billets Reports'!A1186="Date:-"),IF(IF(IF(ISNUMBER(SEARCH("Party Name:-",'R.M Billets Reports'!D1186)),TRIM('R.M Billets Reports'!F1186),IF(ISNUMBER(SEARCH("Party Name-",'R.M Billets Reports'!D1186)),TRIM(MID('R.M Billets Reports'!D1186,SEARCH("-",'R.M Billets Reports'!D1186)+1,200)),""))&lt;&gt;"",IF(ISNUMBER(SEARCH("Party Name:-",'R.M Billets Reports'!D1186)),TRIM('R.M Billets Reports'!F1186),IF(ISNUMBER(SEARCH("Party Name-",'R.M Billets Reports'!D1186)),TRIM(MID('R.M Billets Reports'!D1186,SEARCH("-",'R.M Billets Reports'!D1186)+1,200)),"")),IF(ISNUMBER(SEARCH("Party Name:-",'R.M Billets Reports'!D1187)),TRIM('R.M Billets Reports'!F1187),IF(ISNUMBER(SEARCH("Party Name-",'R.M Billets Reports'!D1187)),TRIM(MID('R.M Billets Reports'!D1187,SEARCH("-",'R.M Billets Reports'!D1187)+1,200)),"")))="VRKP ISPAT PVT LTD","VRKP",IF(IF(IF(ISNUMBER(SEARCH("Party Name:-",'R.M Billets Reports'!D1186)),TRIM('R.M Billets Reports'!F1186),IF(ISNUMBER(SEARCH("Party Name-",'R.M Billets Reports'!D1186)),TRIM(MID('R.M Billets Reports'!D1186,SEARCH("-",'R.M Billets Reports'!D1186)+1,200)),""))&lt;&gt;"",IF(ISNUMBER(SEARCH("Party Name:-",'R.M Billets Reports'!D1186)),TRIM('R.M Billets Reports'!F1186),IF(ISNUMBER(SEARCH("Party Name-",'R.M Billets Reports'!D1186)),TRIM(MID('R.M Billets Reports'!D1186,SEARCH("-",'R.M Billets Reports'!D1186)+1,200)),"")),IF(ISNUMBER(SEARCH("Party Name:-",'R.M Billets Reports'!D1187)),TRIM('R.M Billets Reports'!F1187),IF(ISNUMBER(SEARCH("Party Name-",'R.M Billets Reports'!D1187)),TRIM(MID('R.M Billets Reports'!D1187,SEARCH("-",'R.M Billets Reports'!D1187)+1,200)),"")))="SHRI RADHE","SHREE RADHE",IF(IF(IF(ISNUMBER(SEARCH("Party Name:-",'R.M Billets Reports'!D1186)),TRIM('R.M Billets Reports'!F1186),IF(ISNUMBER(SEARCH("Party Name-",'R.M Billets Reports'!D1186)),TRIM(MID('R.M Billets Reports'!D1186,SEARCH("-",'R.M Billets Reports'!D1186)+1,200)),""))&lt;&gt;"",IF(ISNUMBER(SEARCH("Party Name:-",'R.M Billets Reports'!D1186)),TRIM('R.M Billets Reports'!F1186),IF(ISNUMBER(SEARCH("Party Name-",'R.M Billets Reports'!D1186)),TRIM(MID('R.M Billets Reports'!D1186,SEARCH("-",'R.M Billets Reports'!D1186)+1,200)),"")),IF(ISNUMBER(SEARCH("Party Name:-",'R.M Billets Reports'!D1187)),TRIM('R.M Billets Reports'!F1187),IF(ISNUMBER(SEARCH("Party Name-",'R.M Billets Reports'!D1187)),TRIM(MID('R.M Billets Reports'!D1187,SEARCH("-",'R.M Billets Reports'!D1187)+1,200)),"")))="SHREE RADHE SHAKTI SPONGE AND POWER PVT. LTD.","SHREE RADHE",IF(IF(ISNUMBER(SEARCH("Party Name:-",'R.M Billets Reports'!D1186)),TRIM('R.M Billets Reports'!F1186),IF(ISNUMBER(SEARCH("Party Name-",'R.M Billets Reports'!D1186)),TRIM(MID('R.M Billets Reports'!D1186,SEARCH("-",'R.M Billets Reports'!D1186)+1,200)),""))&lt;&gt;"",IF(ISNUMBER(SEARCH("Party Name:-",'R.M Billets Reports'!D1186)),TRIM('R.M Billets Reports'!F1186),IF(ISNUMBER(SEARCH("Party Name-",'R.M Billets Reports'!D1186)),TRIM(MID('R.M Billets Reports'!D1186,SEARCH("-",'R.M Billets Reports'!D1186)+1,200)),"")),IF(ISNUMBER(SEARCH("Party Name:-",'R.M Billets Reports'!D1187)),TRIM('R.M Billets Reports'!F1187),IF(ISNUMBER(SEARCH("Party Name-",'R.M Billets Reports'!D1187)),TRIM(MID('R.M Billets Reports'!D1187,SEARCH("-",'R.M Billets Reports'!D1187)+1,200)),"")))))),IF(ROW()=2,"",A1186))</f>
      </c>
      <c r="B1187">
        <f>IF(OR('R.M Billets Reports'!A1186="Date-",'R.M Billets Reports'!A1186="Date:-"),'R.M Billets Reports'!B1186,IF(ROW()=2,"",B1186))</f>
      </c>
      <c r="C1187">
        <f>IF('R.M Billets Reports'!A1186="V.No.",'R.M Billets Reports'!B1186,IF(ROW()=2,"",C1186))</f>
      </c>
      <c r="D1187">
        <f>IF('R.M Billets Reports'!A1186&lt;&gt;"",'R.M Billets Reports'!A1186,IF(ROW()=2,"",D1186))</f>
      </c>
      <c r="E1187">
        <f>IF('R.M Billets Reports'!B1186="","",TRIM('R.M Billets Reports'!B1186))</f>
      </c>
      <c r="F1187">
        <f>'R.M Billets Reports'!C1186</f>
      </c>
      <c r="G1187">
        <f>'R.M Billets Reports'!D1186</f>
      </c>
      <c r="H1187">
        <f>'R.M Billets Reports'!E1186</f>
      </c>
      <c r="I1187">
        <f>'R.M Billets Reports'!F1186</f>
      </c>
      <c r="J1187">
        <f>'R.M Billets Reports'!G1186</f>
      </c>
      <c r="K1187">
        <f>'R.M Billets Reports'!H1186</f>
      </c>
      <c r="L1187">
        <f>IF('R.M Billets Reports'!I1186="","",'R.M Billets Reports'!I1186)</f>
      </c>
      <c r="M1187">
        <f t="shared" si="36"/>
      </c>
      <c r="N1187">
        <f>IF('R.M Billets Reports'!J1186="","",'R.M Billets Reports'!J1186)</f>
      </c>
      <c r="O1187">
        <f t="shared" si="37"/>
      </c>
      <c r="P1187">
        <f>IF('R.M Billets Reports'!A1186="SIZE",'R.M Billets Reports'!B1186,P1186)</f>
      </c>
    </row>
    <row r="1188" spans="1:16" x14ac:dyDescent="0.25">
      <c r="A1188">
        <f>IF(OR('R.M Billets Reports'!A1187="Date-",'R.M Billets Reports'!A1187="Date:-"),IF(IF(IF(ISNUMBER(SEARCH("Party Name:-",'R.M Billets Reports'!D1187)),TRIM('R.M Billets Reports'!F1187),IF(ISNUMBER(SEARCH("Party Name-",'R.M Billets Reports'!D1187)),TRIM(MID('R.M Billets Reports'!D1187,SEARCH("-",'R.M Billets Reports'!D1187)+1,200)),""))&lt;&gt;"",IF(ISNUMBER(SEARCH("Party Name:-",'R.M Billets Reports'!D1187)),TRIM('R.M Billets Reports'!F1187),IF(ISNUMBER(SEARCH("Party Name-",'R.M Billets Reports'!D1187)),TRIM(MID('R.M Billets Reports'!D1187,SEARCH("-",'R.M Billets Reports'!D1187)+1,200)),"")),IF(ISNUMBER(SEARCH("Party Name:-",'R.M Billets Reports'!D1188)),TRIM('R.M Billets Reports'!F1188),IF(ISNUMBER(SEARCH("Party Name-",'R.M Billets Reports'!D1188)),TRIM(MID('R.M Billets Reports'!D1188,SEARCH("-",'R.M Billets Reports'!D1188)+1,200)),"")))="VRKP ISPAT PVT LTD","VRKP",IF(IF(IF(ISNUMBER(SEARCH("Party Name:-",'R.M Billets Reports'!D1187)),TRIM('R.M Billets Reports'!F1187),IF(ISNUMBER(SEARCH("Party Name-",'R.M Billets Reports'!D1187)),TRIM(MID('R.M Billets Reports'!D1187,SEARCH("-",'R.M Billets Reports'!D1187)+1,200)),""))&lt;&gt;"",IF(ISNUMBER(SEARCH("Party Name:-",'R.M Billets Reports'!D1187)),TRIM('R.M Billets Reports'!F1187),IF(ISNUMBER(SEARCH("Party Name-",'R.M Billets Reports'!D1187)),TRIM(MID('R.M Billets Reports'!D1187,SEARCH("-",'R.M Billets Reports'!D1187)+1,200)),"")),IF(ISNUMBER(SEARCH("Party Name:-",'R.M Billets Reports'!D1188)),TRIM('R.M Billets Reports'!F1188),IF(ISNUMBER(SEARCH("Party Name-",'R.M Billets Reports'!D1188)),TRIM(MID('R.M Billets Reports'!D1188,SEARCH("-",'R.M Billets Reports'!D1188)+1,200)),"")))="SHRI RADHE","SHREE RADHE",IF(IF(IF(ISNUMBER(SEARCH("Party Name:-",'R.M Billets Reports'!D1187)),TRIM('R.M Billets Reports'!F1187),IF(ISNUMBER(SEARCH("Party Name-",'R.M Billets Reports'!D1187)),TRIM(MID('R.M Billets Reports'!D1187,SEARCH("-",'R.M Billets Reports'!D1187)+1,200)),""))&lt;&gt;"",IF(ISNUMBER(SEARCH("Party Name:-",'R.M Billets Reports'!D1187)),TRIM('R.M Billets Reports'!F1187),IF(ISNUMBER(SEARCH("Party Name-",'R.M Billets Reports'!D1187)),TRIM(MID('R.M Billets Reports'!D1187,SEARCH("-",'R.M Billets Reports'!D1187)+1,200)),"")),IF(ISNUMBER(SEARCH("Party Name:-",'R.M Billets Reports'!D1188)),TRIM('R.M Billets Reports'!F1188),IF(ISNUMBER(SEARCH("Party Name-",'R.M Billets Reports'!D1188)),TRIM(MID('R.M Billets Reports'!D1188,SEARCH("-",'R.M Billets Reports'!D1188)+1,200)),"")))="SHREE RADHE SHAKTI SPONGE AND POWER PVT. LTD.","SHREE RADHE",IF(IF(ISNUMBER(SEARCH("Party Name:-",'R.M Billets Reports'!D1187)),TRIM('R.M Billets Reports'!F1187),IF(ISNUMBER(SEARCH("Party Name-",'R.M Billets Reports'!D1187)),TRIM(MID('R.M Billets Reports'!D1187,SEARCH("-",'R.M Billets Reports'!D1187)+1,200)),""))&lt;&gt;"",IF(ISNUMBER(SEARCH("Party Name:-",'R.M Billets Reports'!D1187)),TRIM('R.M Billets Reports'!F1187),IF(ISNUMBER(SEARCH("Party Name-",'R.M Billets Reports'!D1187)),TRIM(MID('R.M Billets Reports'!D1187,SEARCH("-",'R.M Billets Reports'!D1187)+1,200)),"")),IF(ISNUMBER(SEARCH("Party Name:-",'R.M Billets Reports'!D1188)),TRIM('R.M Billets Reports'!F1188),IF(ISNUMBER(SEARCH("Party Name-",'R.M Billets Reports'!D1188)),TRIM(MID('R.M Billets Reports'!D1188,SEARCH("-",'R.M Billets Reports'!D1188)+1,200)),"")))))),IF(ROW()=2,"",A1187))</f>
      </c>
      <c r="B1188">
        <f>IF(OR('R.M Billets Reports'!A1187="Date-",'R.M Billets Reports'!A1187="Date:-"),'R.M Billets Reports'!B1187,IF(ROW()=2,"",B1187))</f>
      </c>
      <c r="C1188">
        <f>IF('R.M Billets Reports'!A1187="V.No.",'R.M Billets Reports'!B1187,IF(ROW()=2,"",C1187))</f>
      </c>
      <c r="D1188">
        <f>IF('R.M Billets Reports'!A1187&lt;&gt;"",'R.M Billets Reports'!A1187,IF(ROW()=2,"",D1187))</f>
      </c>
      <c r="E1188">
        <f>IF('R.M Billets Reports'!B1187="","",TRIM('R.M Billets Reports'!B1187))</f>
      </c>
      <c r="F1188">
        <f>'R.M Billets Reports'!C1187</f>
      </c>
      <c r="G1188">
        <f>'R.M Billets Reports'!D1187</f>
      </c>
      <c r="H1188">
        <f>'R.M Billets Reports'!E1187</f>
      </c>
      <c r="I1188">
        <f>'R.M Billets Reports'!F1187</f>
      </c>
      <c r="J1188">
        <f>'R.M Billets Reports'!G1187</f>
      </c>
      <c r="K1188">
        <f>'R.M Billets Reports'!H1187</f>
      </c>
      <c r="L1188">
        <f>IF('R.M Billets Reports'!I1187="","",'R.M Billets Reports'!I1187)</f>
      </c>
      <c r="M1188">
        <f t="shared" si="36"/>
      </c>
      <c r="N1188">
        <f>IF('R.M Billets Reports'!J1187="","",'R.M Billets Reports'!J1187)</f>
      </c>
      <c r="O1188">
        <f t="shared" si="37"/>
      </c>
      <c r="P1188">
        <f>IF('R.M Billets Reports'!A1187="SIZE",'R.M Billets Reports'!B1187,P1187)</f>
      </c>
    </row>
    <row r="1189" spans="1:16" x14ac:dyDescent="0.25">
      <c r="A1189">
        <f>IF(OR('R.M Billets Reports'!A1188="Date-",'R.M Billets Reports'!A1188="Date:-"),IF(IF(IF(ISNUMBER(SEARCH("Party Name:-",'R.M Billets Reports'!D1188)),TRIM('R.M Billets Reports'!F1188),IF(ISNUMBER(SEARCH("Party Name-",'R.M Billets Reports'!D1188)),TRIM(MID('R.M Billets Reports'!D1188,SEARCH("-",'R.M Billets Reports'!D1188)+1,200)),""))&lt;&gt;"",IF(ISNUMBER(SEARCH("Party Name:-",'R.M Billets Reports'!D1188)),TRIM('R.M Billets Reports'!F1188),IF(ISNUMBER(SEARCH("Party Name-",'R.M Billets Reports'!D1188)),TRIM(MID('R.M Billets Reports'!D1188,SEARCH("-",'R.M Billets Reports'!D1188)+1,200)),"")),IF(ISNUMBER(SEARCH("Party Name:-",'R.M Billets Reports'!D1189)),TRIM('R.M Billets Reports'!F1189),IF(ISNUMBER(SEARCH("Party Name-",'R.M Billets Reports'!D1189)),TRIM(MID('R.M Billets Reports'!D1189,SEARCH("-",'R.M Billets Reports'!D1189)+1,200)),"")))="VRKP ISPAT PVT LTD","VRKP",IF(IF(IF(ISNUMBER(SEARCH("Party Name:-",'R.M Billets Reports'!D1188)),TRIM('R.M Billets Reports'!F1188),IF(ISNUMBER(SEARCH("Party Name-",'R.M Billets Reports'!D1188)),TRIM(MID('R.M Billets Reports'!D1188,SEARCH("-",'R.M Billets Reports'!D1188)+1,200)),""))&lt;&gt;"",IF(ISNUMBER(SEARCH("Party Name:-",'R.M Billets Reports'!D1188)),TRIM('R.M Billets Reports'!F1188),IF(ISNUMBER(SEARCH("Party Name-",'R.M Billets Reports'!D1188)),TRIM(MID('R.M Billets Reports'!D1188,SEARCH("-",'R.M Billets Reports'!D1188)+1,200)),"")),IF(ISNUMBER(SEARCH("Party Name:-",'R.M Billets Reports'!D1189)),TRIM('R.M Billets Reports'!F1189),IF(ISNUMBER(SEARCH("Party Name-",'R.M Billets Reports'!D1189)),TRIM(MID('R.M Billets Reports'!D1189,SEARCH("-",'R.M Billets Reports'!D1189)+1,200)),"")))="SHRI RADHE","SHREE RADHE",IF(IF(IF(ISNUMBER(SEARCH("Party Name:-",'R.M Billets Reports'!D1188)),TRIM('R.M Billets Reports'!F1188),IF(ISNUMBER(SEARCH("Party Name-",'R.M Billets Reports'!D1188)),TRIM(MID('R.M Billets Reports'!D1188,SEARCH("-",'R.M Billets Reports'!D1188)+1,200)),""))&lt;&gt;"",IF(ISNUMBER(SEARCH("Party Name:-",'R.M Billets Reports'!D1188)),TRIM('R.M Billets Reports'!F1188),IF(ISNUMBER(SEARCH("Party Name-",'R.M Billets Reports'!D1188)),TRIM(MID('R.M Billets Reports'!D1188,SEARCH("-",'R.M Billets Reports'!D1188)+1,200)),"")),IF(ISNUMBER(SEARCH("Party Name:-",'R.M Billets Reports'!D1189)),TRIM('R.M Billets Reports'!F1189),IF(ISNUMBER(SEARCH("Party Name-",'R.M Billets Reports'!D1189)),TRIM(MID('R.M Billets Reports'!D1189,SEARCH("-",'R.M Billets Reports'!D1189)+1,200)),"")))="SHREE RADHE SHAKTI SPONGE AND POWER PVT. LTD.","SHREE RADHE",IF(IF(ISNUMBER(SEARCH("Party Name:-",'R.M Billets Reports'!D1188)),TRIM('R.M Billets Reports'!F1188),IF(ISNUMBER(SEARCH("Party Name-",'R.M Billets Reports'!D1188)),TRIM(MID('R.M Billets Reports'!D1188,SEARCH("-",'R.M Billets Reports'!D1188)+1,200)),""))&lt;&gt;"",IF(ISNUMBER(SEARCH("Party Name:-",'R.M Billets Reports'!D1188)),TRIM('R.M Billets Reports'!F1188),IF(ISNUMBER(SEARCH("Party Name-",'R.M Billets Reports'!D1188)),TRIM(MID('R.M Billets Reports'!D1188,SEARCH("-",'R.M Billets Reports'!D1188)+1,200)),"")),IF(ISNUMBER(SEARCH("Party Name:-",'R.M Billets Reports'!D1189)),TRIM('R.M Billets Reports'!F1189),IF(ISNUMBER(SEARCH("Party Name-",'R.M Billets Reports'!D1189)),TRIM(MID('R.M Billets Reports'!D1189,SEARCH("-",'R.M Billets Reports'!D1189)+1,200)),"")))))),IF(ROW()=2,"",A1188))</f>
      </c>
      <c r="B1189">
        <f>IF(OR('R.M Billets Reports'!A1188="Date-",'R.M Billets Reports'!A1188="Date:-"),'R.M Billets Reports'!B1188,IF(ROW()=2,"",B1188))</f>
      </c>
      <c r="C1189">
        <f>IF('R.M Billets Reports'!A1188="V.No.",'R.M Billets Reports'!B1188,IF(ROW()=2,"",C1188))</f>
      </c>
      <c r="D1189">
        <f>IF('R.M Billets Reports'!A1188&lt;&gt;"",'R.M Billets Reports'!A1188,IF(ROW()=2,"",D1188))</f>
      </c>
      <c r="E1189">
        <f>IF('R.M Billets Reports'!B1188="","",TRIM('R.M Billets Reports'!B1188))</f>
      </c>
      <c r="F1189">
        <f>'R.M Billets Reports'!C1188</f>
      </c>
      <c r="G1189">
        <f>'R.M Billets Reports'!D1188</f>
      </c>
      <c r="H1189">
        <f>'R.M Billets Reports'!E1188</f>
      </c>
      <c r="I1189">
        <f>'R.M Billets Reports'!F1188</f>
      </c>
      <c r="J1189">
        <f>'R.M Billets Reports'!G1188</f>
      </c>
      <c r="K1189">
        <f>'R.M Billets Reports'!H1188</f>
      </c>
      <c r="L1189">
        <f>IF('R.M Billets Reports'!I1188="","",'R.M Billets Reports'!I1188)</f>
      </c>
      <c r="M1189">
        <f t="shared" si="36"/>
      </c>
      <c r="N1189">
        <f>IF('R.M Billets Reports'!J1188="","",'R.M Billets Reports'!J1188)</f>
      </c>
      <c r="O1189">
        <f t="shared" si="37"/>
      </c>
      <c r="P1189">
        <f>IF('R.M Billets Reports'!A1188="SIZE",'R.M Billets Reports'!B1188,P1188)</f>
      </c>
    </row>
    <row r="1190" spans="1:16" x14ac:dyDescent="0.25">
      <c r="A1190">
        <f>IF(OR('R.M Billets Reports'!A1189="Date-",'R.M Billets Reports'!A1189="Date:-"),IF(IF(IF(ISNUMBER(SEARCH("Party Name:-",'R.M Billets Reports'!D1189)),TRIM('R.M Billets Reports'!F1189),IF(ISNUMBER(SEARCH("Party Name-",'R.M Billets Reports'!D1189)),TRIM(MID('R.M Billets Reports'!D1189,SEARCH("-",'R.M Billets Reports'!D1189)+1,200)),""))&lt;&gt;"",IF(ISNUMBER(SEARCH("Party Name:-",'R.M Billets Reports'!D1189)),TRIM('R.M Billets Reports'!F1189),IF(ISNUMBER(SEARCH("Party Name-",'R.M Billets Reports'!D1189)),TRIM(MID('R.M Billets Reports'!D1189,SEARCH("-",'R.M Billets Reports'!D1189)+1,200)),"")),IF(ISNUMBER(SEARCH("Party Name:-",'R.M Billets Reports'!D1190)),TRIM('R.M Billets Reports'!F1190),IF(ISNUMBER(SEARCH("Party Name-",'R.M Billets Reports'!D1190)),TRIM(MID('R.M Billets Reports'!D1190,SEARCH("-",'R.M Billets Reports'!D1190)+1,200)),"")))="VRKP ISPAT PVT LTD","VRKP",IF(IF(IF(ISNUMBER(SEARCH("Party Name:-",'R.M Billets Reports'!D1189)),TRIM('R.M Billets Reports'!F1189),IF(ISNUMBER(SEARCH("Party Name-",'R.M Billets Reports'!D1189)),TRIM(MID('R.M Billets Reports'!D1189,SEARCH("-",'R.M Billets Reports'!D1189)+1,200)),""))&lt;&gt;"",IF(ISNUMBER(SEARCH("Party Name:-",'R.M Billets Reports'!D1189)),TRIM('R.M Billets Reports'!F1189),IF(ISNUMBER(SEARCH("Party Name-",'R.M Billets Reports'!D1189)),TRIM(MID('R.M Billets Reports'!D1189,SEARCH("-",'R.M Billets Reports'!D1189)+1,200)),"")),IF(ISNUMBER(SEARCH("Party Name:-",'R.M Billets Reports'!D1190)),TRIM('R.M Billets Reports'!F1190),IF(ISNUMBER(SEARCH("Party Name-",'R.M Billets Reports'!D1190)),TRIM(MID('R.M Billets Reports'!D1190,SEARCH("-",'R.M Billets Reports'!D1190)+1,200)),"")))="SHRI RADHE","SHREE RADHE",IF(IF(IF(ISNUMBER(SEARCH("Party Name:-",'R.M Billets Reports'!D1189)),TRIM('R.M Billets Reports'!F1189),IF(ISNUMBER(SEARCH("Party Name-",'R.M Billets Reports'!D1189)),TRIM(MID('R.M Billets Reports'!D1189,SEARCH("-",'R.M Billets Reports'!D1189)+1,200)),""))&lt;&gt;"",IF(ISNUMBER(SEARCH("Party Name:-",'R.M Billets Reports'!D1189)),TRIM('R.M Billets Reports'!F1189),IF(ISNUMBER(SEARCH("Party Name-",'R.M Billets Reports'!D1189)),TRIM(MID('R.M Billets Reports'!D1189,SEARCH("-",'R.M Billets Reports'!D1189)+1,200)),"")),IF(ISNUMBER(SEARCH("Party Name:-",'R.M Billets Reports'!D1190)),TRIM('R.M Billets Reports'!F1190),IF(ISNUMBER(SEARCH("Party Name-",'R.M Billets Reports'!D1190)),TRIM(MID('R.M Billets Reports'!D1190,SEARCH("-",'R.M Billets Reports'!D1190)+1,200)),"")))="SHREE RADHE SHAKTI SPONGE AND POWER PVT. LTD.","SHREE RADHE",IF(IF(ISNUMBER(SEARCH("Party Name:-",'R.M Billets Reports'!D1189)),TRIM('R.M Billets Reports'!F1189),IF(ISNUMBER(SEARCH("Party Name-",'R.M Billets Reports'!D1189)),TRIM(MID('R.M Billets Reports'!D1189,SEARCH("-",'R.M Billets Reports'!D1189)+1,200)),""))&lt;&gt;"",IF(ISNUMBER(SEARCH("Party Name:-",'R.M Billets Reports'!D1189)),TRIM('R.M Billets Reports'!F1189),IF(ISNUMBER(SEARCH("Party Name-",'R.M Billets Reports'!D1189)),TRIM(MID('R.M Billets Reports'!D1189,SEARCH("-",'R.M Billets Reports'!D1189)+1,200)),"")),IF(ISNUMBER(SEARCH("Party Name:-",'R.M Billets Reports'!D1190)),TRIM('R.M Billets Reports'!F1190),IF(ISNUMBER(SEARCH("Party Name-",'R.M Billets Reports'!D1190)),TRIM(MID('R.M Billets Reports'!D1190,SEARCH("-",'R.M Billets Reports'!D1190)+1,200)),"")))))),IF(ROW()=2,"",A1189))</f>
      </c>
      <c r="B1190">
        <f>IF(OR('R.M Billets Reports'!A1189="Date-",'R.M Billets Reports'!A1189="Date:-"),'R.M Billets Reports'!B1189,IF(ROW()=2,"",B1189))</f>
      </c>
      <c r="C1190">
        <f>IF('R.M Billets Reports'!A1189="V.No.",'R.M Billets Reports'!B1189,IF(ROW()=2,"",C1189))</f>
      </c>
      <c r="D1190">
        <f>IF('R.M Billets Reports'!A1189&lt;&gt;"",'R.M Billets Reports'!A1189,IF(ROW()=2,"",D1189))</f>
      </c>
      <c r="E1190">
        <f>IF('R.M Billets Reports'!B1189="","",TRIM('R.M Billets Reports'!B1189))</f>
      </c>
      <c r="F1190">
        <f>'R.M Billets Reports'!C1189</f>
      </c>
      <c r="G1190">
        <f>'R.M Billets Reports'!D1189</f>
      </c>
      <c r="H1190">
        <f>'R.M Billets Reports'!E1189</f>
      </c>
      <c r="I1190">
        <f>'R.M Billets Reports'!F1189</f>
      </c>
      <c r="J1190">
        <f>'R.M Billets Reports'!G1189</f>
      </c>
      <c r="K1190">
        <f>'R.M Billets Reports'!H1189</f>
      </c>
      <c r="L1190">
        <f>IF('R.M Billets Reports'!I1189="","",'R.M Billets Reports'!I1189)</f>
      </c>
      <c r="M1190">
        <f t="shared" si="36"/>
      </c>
      <c r="N1190">
        <f>IF('R.M Billets Reports'!J1189="","",'R.M Billets Reports'!J1189)</f>
      </c>
      <c r="O1190">
        <f t="shared" si="37"/>
      </c>
      <c r="P1190">
        <f>IF('R.M Billets Reports'!A1189="SIZE",'R.M Billets Reports'!B1189,P1189)</f>
      </c>
    </row>
    <row r="1191" spans="1:16" x14ac:dyDescent="0.25">
      <c r="A1191">
        <f>IF(OR('R.M Billets Reports'!A1190="Date-",'R.M Billets Reports'!A1190="Date:-"),IF(IF(IF(ISNUMBER(SEARCH("Party Name:-",'R.M Billets Reports'!D1190)),TRIM('R.M Billets Reports'!F1190),IF(ISNUMBER(SEARCH("Party Name-",'R.M Billets Reports'!D1190)),TRIM(MID('R.M Billets Reports'!D1190,SEARCH("-",'R.M Billets Reports'!D1190)+1,200)),""))&lt;&gt;"",IF(ISNUMBER(SEARCH("Party Name:-",'R.M Billets Reports'!D1190)),TRIM('R.M Billets Reports'!F1190),IF(ISNUMBER(SEARCH("Party Name-",'R.M Billets Reports'!D1190)),TRIM(MID('R.M Billets Reports'!D1190,SEARCH("-",'R.M Billets Reports'!D1190)+1,200)),"")),IF(ISNUMBER(SEARCH("Party Name:-",'R.M Billets Reports'!D1191)),TRIM('R.M Billets Reports'!F1191),IF(ISNUMBER(SEARCH("Party Name-",'R.M Billets Reports'!D1191)),TRIM(MID('R.M Billets Reports'!D1191,SEARCH("-",'R.M Billets Reports'!D1191)+1,200)),"")))="VRKP ISPAT PVT LTD","VRKP",IF(IF(IF(ISNUMBER(SEARCH("Party Name:-",'R.M Billets Reports'!D1190)),TRIM('R.M Billets Reports'!F1190),IF(ISNUMBER(SEARCH("Party Name-",'R.M Billets Reports'!D1190)),TRIM(MID('R.M Billets Reports'!D1190,SEARCH("-",'R.M Billets Reports'!D1190)+1,200)),""))&lt;&gt;"",IF(ISNUMBER(SEARCH("Party Name:-",'R.M Billets Reports'!D1190)),TRIM('R.M Billets Reports'!F1190),IF(ISNUMBER(SEARCH("Party Name-",'R.M Billets Reports'!D1190)),TRIM(MID('R.M Billets Reports'!D1190,SEARCH("-",'R.M Billets Reports'!D1190)+1,200)),"")),IF(ISNUMBER(SEARCH("Party Name:-",'R.M Billets Reports'!D1191)),TRIM('R.M Billets Reports'!F1191),IF(ISNUMBER(SEARCH("Party Name-",'R.M Billets Reports'!D1191)),TRIM(MID('R.M Billets Reports'!D1191,SEARCH("-",'R.M Billets Reports'!D1191)+1,200)),"")))="SHRI RADHE","SHREE RADHE",IF(IF(IF(ISNUMBER(SEARCH("Party Name:-",'R.M Billets Reports'!D1190)),TRIM('R.M Billets Reports'!F1190),IF(ISNUMBER(SEARCH("Party Name-",'R.M Billets Reports'!D1190)),TRIM(MID('R.M Billets Reports'!D1190,SEARCH("-",'R.M Billets Reports'!D1190)+1,200)),""))&lt;&gt;"",IF(ISNUMBER(SEARCH("Party Name:-",'R.M Billets Reports'!D1190)),TRIM('R.M Billets Reports'!F1190),IF(ISNUMBER(SEARCH("Party Name-",'R.M Billets Reports'!D1190)),TRIM(MID('R.M Billets Reports'!D1190,SEARCH("-",'R.M Billets Reports'!D1190)+1,200)),"")),IF(ISNUMBER(SEARCH("Party Name:-",'R.M Billets Reports'!D1191)),TRIM('R.M Billets Reports'!F1191),IF(ISNUMBER(SEARCH("Party Name-",'R.M Billets Reports'!D1191)),TRIM(MID('R.M Billets Reports'!D1191,SEARCH("-",'R.M Billets Reports'!D1191)+1,200)),"")))="SHREE RADHE SHAKTI SPONGE AND POWER PVT. LTD.","SHREE RADHE",IF(IF(ISNUMBER(SEARCH("Party Name:-",'R.M Billets Reports'!D1190)),TRIM('R.M Billets Reports'!F1190),IF(ISNUMBER(SEARCH("Party Name-",'R.M Billets Reports'!D1190)),TRIM(MID('R.M Billets Reports'!D1190,SEARCH("-",'R.M Billets Reports'!D1190)+1,200)),""))&lt;&gt;"",IF(ISNUMBER(SEARCH("Party Name:-",'R.M Billets Reports'!D1190)),TRIM('R.M Billets Reports'!F1190),IF(ISNUMBER(SEARCH("Party Name-",'R.M Billets Reports'!D1190)),TRIM(MID('R.M Billets Reports'!D1190,SEARCH("-",'R.M Billets Reports'!D1190)+1,200)),"")),IF(ISNUMBER(SEARCH("Party Name:-",'R.M Billets Reports'!D1191)),TRIM('R.M Billets Reports'!F1191),IF(ISNUMBER(SEARCH("Party Name-",'R.M Billets Reports'!D1191)),TRIM(MID('R.M Billets Reports'!D1191,SEARCH("-",'R.M Billets Reports'!D1191)+1,200)),"")))))),IF(ROW()=2,"",A1190))</f>
      </c>
      <c r="B1191">
        <f>IF(OR('R.M Billets Reports'!A1190="Date-",'R.M Billets Reports'!A1190="Date:-"),'R.M Billets Reports'!B1190,IF(ROW()=2,"",B1190))</f>
      </c>
      <c r="C1191">
        <f>IF('R.M Billets Reports'!A1190="V.No.",'R.M Billets Reports'!B1190,IF(ROW()=2,"",C1190))</f>
      </c>
      <c r="D1191">
        <f>IF('R.M Billets Reports'!A1190&lt;&gt;"",'R.M Billets Reports'!A1190,IF(ROW()=2,"",D1190))</f>
      </c>
      <c r="E1191">
        <f>IF('R.M Billets Reports'!B1190="","",TRIM('R.M Billets Reports'!B1190))</f>
      </c>
      <c r="F1191">
        <f>'R.M Billets Reports'!C1190</f>
      </c>
      <c r="G1191">
        <f>'R.M Billets Reports'!D1190</f>
      </c>
      <c r="H1191">
        <f>'R.M Billets Reports'!E1190</f>
      </c>
      <c r="I1191">
        <f>'R.M Billets Reports'!F1190</f>
      </c>
      <c r="J1191">
        <f>'R.M Billets Reports'!G1190</f>
      </c>
      <c r="K1191">
        <f>'R.M Billets Reports'!H1190</f>
      </c>
      <c r="L1191">
        <f>IF('R.M Billets Reports'!I1190="","",'R.M Billets Reports'!I1190)</f>
      </c>
      <c r="M1191">
        <f t="shared" si="36"/>
      </c>
      <c r="N1191">
        <f>IF('R.M Billets Reports'!J1190="","",'R.M Billets Reports'!J1190)</f>
      </c>
      <c r="O1191">
        <f t="shared" si="37"/>
      </c>
      <c r="P1191">
        <f>IF('R.M Billets Reports'!A1190="SIZE",'R.M Billets Reports'!B1190,P1190)</f>
      </c>
    </row>
    <row r="1192" spans="1:16" x14ac:dyDescent="0.25">
      <c r="A1192">
        <f>IF(OR('R.M Billets Reports'!A1191="Date-",'R.M Billets Reports'!A1191="Date:-"),IF(IF(IF(ISNUMBER(SEARCH("Party Name:-",'R.M Billets Reports'!D1191)),TRIM('R.M Billets Reports'!F1191),IF(ISNUMBER(SEARCH("Party Name-",'R.M Billets Reports'!D1191)),TRIM(MID('R.M Billets Reports'!D1191,SEARCH("-",'R.M Billets Reports'!D1191)+1,200)),""))&lt;&gt;"",IF(ISNUMBER(SEARCH("Party Name:-",'R.M Billets Reports'!D1191)),TRIM('R.M Billets Reports'!F1191),IF(ISNUMBER(SEARCH("Party Name-",'R.M Billets Reports'!D1191)),TRIM(MID('R.M Billets Reports'!D1191,SEARCH("-",'R.M Billets Reports'!D1191)+1,200)),"")),IF(ISNUMBER(SEARCH("Party Name:-",'R.M Billets Reports'!D1192)),TRIM('R.M Billets Reports'!F1192),IF(ISNUMBER(SEARCH("Party Name-",'R.M Billets Reports'!D1192)),TRIM(MID('R.M Billets Reports'!D1192,SEARCH("-",'R.M Billets Reports'!D1192)+1,200)),"")))="VRKP ISPAT PVT LTD","VRKP",IF(IF(IF(ISNUMBER(SEARCH("Party Name:-",'R.M Billets Reports'!D1191)),TRIM('R.M Billets Reports'!F1191),IF(ISNUMBER(SEARCH("Party Name-",'R.M Billets Reports'!D1191)),TRIM(MID('R.M Billets Reports'!D1191,SEARCH("-",'R.M Billets Reports'!D1191)+1,200)),""))&lt;&gt;"",IF(ISNUMBER(SEARCH("Party Name:-",'R.M Billets Reports'!D1191)),TRIM('R.M Billets Reports'!F1191),IF(ISNUMBER(SEARCH("Party Name-",'R.M Billets Reports'!D1191)),TRIM(MID('R.M Billets Reports'!D1191,SEARCH("-",'R.M Billets Reports'!D1191)+1,200)),"")),IF(ISNUMBER(SEARCH("Party Name:-",'R.M Billets Reports'!D1192)),TRIM('R.M Billets Reports'!F1192),IF(ISNUMBER(SEARCH("Party Name-",'R.M Billets Reports'!D1192)),TRIM(MID('R.M Billets Reports'!D1192,SEARCH("-",'R.M Billets Reports'!D1192)+1,200)),"")))="SHRI RADHE","SHREE RADHE",IF(IF(IF(ISNUMBER(SEARCH("Party Name:-",'R.M Billets Reports'!D1191)),TRIM('R.M Billets Reports'!F1191),IF(ISNUMBER(SEARCH("Party Name-",'R.M Billets Reports'!D1191)),TRIM(MID('R.M Billets Reports'!D1191,SEARCH("-",'R.M Billets Reports'!D1191)+1,200)),""))&lt;&gt;"",IF(ISNUMBER(SEARCH("Party Name:-",'R.M Billets Reports'!D1191)),TRIM('R.M Billets Reports'!F1191),IF(ISNUMBER(SEARCH("Party Name-",'R.M Billets Reports'!D1191)),TRIM(MID('R.M Billets Reports'!D1191,SEARCH("-",'R.M Billets Reports'!D1191)+1,200)),"")),IF(ISNUMBER(SEARCH("Party Name:-",'R.M Billets Reports'!D1192)),TRIM('R.M Billets Reports'!F1192),IF(ISNUMBER(SEARCH("Party Name-",'R.M Billets Reports'!D1192)),TRIM(MID('R.M Billets Reports'!D1192,SEARCH("-",'R.M Billets Reports'!D1192)+1,200)),"")))="SHREE RADHE SHAKTI SPONGE AND POWER PVT. LTD.","SHREE RADHE",IF(IF(ISNUMBER(SEARCH("Party Name:-",'R.M Billets Reports'!D1191)),TRIM('R.M Billets Reports'!F1191),IF(ISNUMBER(SEARCH("Party Name-",'R.M Billets Reports'!D1191)),TRIM(MID('R.M Billets Reports'!D1191,SEARCH("-",'R.M Billets Reports'!D1191)+1,200)),""))&lt;&gt;"",IF(ISNUMBER(SEARCH("Party Name:-",'R.M Billets Reports'!D1191)),TRIM('R.M Billets Reports'!F1191),IF(ISNUMBER(SEARCH("Party Name-",'R.M Billets Reports'!D1191)),TRIM(MID('R.M Billets Reports'!D1191,SEARCH("-",'R.M Billets Reports'!D1191)+1,200)),"")),IF(ISNUMBER(SEARCH("Party Name:-",'R.M Billets Reports'!D1192)),TRIM('R.M Billets Reports'!F1192),IF(ISNUMBER(SEARCH("Party Name-",'R.M Billets Reports'!D1192)),TRIM(MID('R.M Billets Reports'!D1192,SEARCH("-",'R.M Billets Reports'!D1192)+1,200)),"")))))),IF(ROW()=2,"",A1191))</f>
      </c>
      <c r="B1192">
        <f>IF(OR('R.M Billets Reports'!A1191="Date-",'R.M Billets Reports'!A1191="Date:-"),'R.M Billets Reports'!B1191,IF(ROW()=2,"",B1191))</f>
      </c>
      <c r="C1192">
        <f>IF('R.M Billets Reports'!A1191="V.No.",'R.M Billets Reports'!B1191,IF(ROW()=2,"",C1191))</f>
      </c>
      <c r="D1192">
        <f>IF('R.M Billets Reports'!A1191&lt;&gt;"",'R.M Billets Reports'!A1191,IF(ROW()=2,"",D1191))</f>
      </c>
      <c r="E1192">
        <f>IF('R.M Billets Reports'!B1191="","",TRIM('R.M Billets Reports'!B1191))</f>
      </c>
      <c r="F1192">
        <f>'R.M Billets Reports'!C1191</f>
      </c>
      <c r="G1192">
        <f>'R.M Billets Reports'!D1191</f>
      </c>
      <c r="H1192">
        <f>'R.M Billets Reports'!E1191</f>
      </c>
      <c r="I1192">
        <f>'R.M Billets Reports'!F1191</f>
      </c>
      <c r="J1192">
        <f>'R.M Billets Reports'!G1191</f>
      </c>
      <c r="K1192">
        <f>'R.M Billets Reports'!H1191</f>
      </c>
      <c r="L1192">
        <f>IF('R.M Billets Reports'!I1191="","",'R.M Billets Reports'!I1191)</f>
      </c>
      <c r="M1192">
        <f t="shared" si="36"/>
      </c>
      <c r="N1192">
        <f>IF('R.M Billets Reports'!J1191="","",'R.M Billets Reports'!J1191)</f>
      </c>
      <c r="O1192">
        <f t="shared" si="37"/>
      </c>
      <c r="P1192">
        <f>IF('R.M Billets Reports'!A1191="SIZE",'R.M Billets Reports'!B1191,P1191)</f>
      </c>
    </row>
    <row r="1193" spans="1:16" x14ac:dyDescent="0.25">
      <c r="A1193">
        <f>IF(OR('R.M Billets Reports'!A1192="Date-",'R.M Billets Reports'!A1192="Date:-"),IF(IF(IF(ISNUMBER(SEARCH("Party Name:-",'R.M Billets Reports'!D1192)),TRIM('R.M Billets Reports'!F1192),IF(ISNUMBER(SEARCH("Party Name-",'R.M Billets Reports'!D1192)),TRIM(MID('R.M Billets Reports'!D1192,SEARCH("-",'R.M Billets Reports'!D1192)+1,200)),""))&lt;&gt;"",IF(ISNUMBER(SEARCH("Party Name:-",'R.M Billets Reports'!D1192)),TRIM('R.M Billets Reports'!F1192),IF(ISNUMBER(SEARCH("Party Name-",'R.M Billets Reports'!D1192)),TRIM(MID('R.M Billets Reports'!D1192,SEARCH("-",'R.M Billets Reports'!D1192)+1,200)),"")),IF(ISNUMBER(SEARCH("Party Name:-",'R.M Billets Reports'!D1193)),TRIM('R.M Billets Reports'!F1193),IF(ISNUMBER(SEARCH("Party Name-",'R.M Billets Reports'!D1193)),TRIM(MID('R.M Billets Reports'!D1193,SEARCH("-",'R.M Billets Reports'!D1193)+1,200)),"")))="VRKP ISPAT PVT LTD","VRKP",IF(IF(IF(ISNUMBER(SEARCH("Party Name:-",'R.M Billets Reports'!D1192)),TRIM('R.M Billets Reports'!F1192),IF(ISNUMBER(SEARCH("Party Name-",'R.M Billets Reports'!D1192)),TRIM(MID('R.M Billets Reports'!D1192,SEARCH("-",'R.M Billets Reports'!D1192)+1,200)),""))&lt;&gt;"",IF(ISNUMBER(SEARCH("Party Name:-",'R.M Billets Reports'!D1192)),TRIM('R.M Billets Reports'!F1192),IF(ISNUMBER(SEARCH("Party Name-",'R.M Billets Reports'!D1192)),TRIM(MID('R.M Billets Reports'!D1192,SEARCH("-",'R.M Billets Reports'!D1192)+1,200)),"")),IF(ISNUMBER(SEARCH("Party Name:-",'R.M Billets Reports'!D1193)),TRIM('R.M Billets Reports'!F1193),IF(ISNUMBER(SEARCH("Party Name-",'R.M Billets Reports'!D1193)),TRIM(MID('R.M Billets Reports'!D1193,SEARCH("-",'R.M Billets Reports'!D1193)+1,200)),"")))="SHRI RADHE","SHREE RADHE",IF(IF(IF(ISNUMBER(SEARCH("Party Name:-",'R.M Billets Reports'!D1192)),TRIM('R.M Billets Reports'!F1192),IF(ISNUMBER(SEARCH("Party Name-",'R.M Billets Reports'!D1192)),TRIM(MID('R.M Billets Reports'!D1192,SEARCH("-",'R.M Billets Reports'!D1192)+1,200)),""))&lt;&gt;"",IF(ISNUMBER(SEARCH("Party Name:-",'R.M Billets Reports'!D1192)),TRIM('R.M Billets Reports'!F1192),IF(ISNUMBER(SEARCH("Party Name-",'R.M Billets Reports'!D1192)),TRIM(MID('R.M Billets Reports'!D1192,SEARCH("-",'R.M Billets Reports'!D1192)+1,200)),"")),IF(ISNUMBER(SEARCH("Party Name:-",'R.M Billets Reports'!D1193)),TRIM('R.M Billets Reports'!F1193),IF(ISNUMBER(SEARCH("Party Name-",'R.M Billets Reports'!D1193)),TRIM(MID('R.M Billets Reports'!D1193,SEARCH("-",'R.M Billets Reports'!D1193)+1,200)),"")))="SHREE RADHE SHAKTI SPONGE AND POWER PVT. LTD.","SHREE RADHE",IF(IF(ISNUMBER(SEARCH("Party Name:-",'R.M Billets Reports'!D1192)),TRIM('R.M Billets Reports'!F1192),IF(ISNUMBER(SEARCH("Party Name-",'R.M Billets Reports'!D1192)),TRIM(MID('R.M Billets Reports'!D1192,SEARCH("-",'R.M Billets Reports'!D1192)+1,200)),""))&lt;&gt;"",IF(ISNUMBER(SEARCH("Party Name:-",'R.M Billets Reports'!D1192)),TRIM('R.M Billets Reports'!F1192),IF(ISNUMBER(SEARCH("Party Name-",'R.M Billets Reports'!D1192)),TRIM(MID('R.M Billets Reports'!D1192,SEARCH("-",'R.M Billets Reports'!D1192)+1,200)),"")),IF(ISNUMBER(SEARCH("Party Name:-",'R.M Billets Reports'!D1193)),TRIM('R.M Billets Reports'!F1193),IF(ISNUMBER(SEARCH("Party Name-",'R.M Billets Reports'!D1193)),TRIM(MID('R.M Billets Reports'!D1193,SEARCH("-",'R.M Billets Reports'!D1193)+1,200)),"")))))),IF(ROW()=2,"",A1192))</f>
      </c>
      <c r="B1193">
        <f>IF(OR('R.M Billets Reports'!A1192="Date-",'R.M Billets Reports'!A1192="Date:-"),'R.M Billets Reports'!B1192,IF(ROW()=2,"",B1192))</f>
      </c>
      <c r="C1193">
        <f>IF('R.M Billets Reports'!A1192="V.No.",'R.M Billets Reports'!B1192,IF(ROW()=2,"",C1192))</f>
      </c>
      <c r="D1193">
        <f>IF('R.M Billets Reports'!A1192&lt;&gt;"",'R.M Billets Reports'!A1192,IF(ROW()=2,"",D1192))</f>
      </c>
      <c r="E1193">
        <f>IF('R.M Billets Reports'!B1192="","",TRIM('R.M Billets Reports'!B1192))</f>
      </c>
      <c r="F1193">
        <f>'R.M Billets Reports'!C1192</f>
      </c>
      <c r="G1193">
        <f>'R.M Billets Reports'!D1192</f>
      </c>
      <c r="H1193">
        <f>'R.M Billets Reports'!E1192</f>
      </c>
      <c r="I1193">
        <f>'R.M Billets Reports'!F1192</f>
      </c>
      <c r="J1193">
        <f>'R.M Billets Reports'!G1192</f>
      </c>
      <c r="K1193">
        <f>'R.M Billets Reports'!H1192</f>
      </c>
      <c r="L1193">
        <f>IF('R.M Billets Reports'!I1192="","",'R.M Billets Reports'!I1192)</f>
      </c>
      <c r="M1193">
        <f t="shared" si="36"/>
      </c>
      <c r="N1193">
        <f>IF('R.M Billets Reports'!J1192="","",'R.M Billets Reports'!J1192)</f>
      </c>
      <c r="O1193">
        <f t="shared" si="37"/>
      </c>
      <c r="P1193">
        <f>IF('R.M Billets Reports'!A1192="SIZE",'R.M Billets Reports'!B1192,P1192)</f>
      </c>
    </row>
    <row r="1194" spans="1:16" x14ac:dyDescent="0.25">
      <c r="A1194">
        <f>IF(OR('R.M Billets Reports'!A1193="Date-",'R.M Billets Reports'!A1193="Date:-"),IF(IF(IF(ISNUMBER(SEARCH("Party Name:-",'R.M Billets Reports'!D1193)),TRIM('R.M Billets Reports'!F1193),IF(ISNUMBER(SEARCH("Party Name-",'R.M Billets Reports'!D1193)),TRIM(MID('R.M Billets Reports'!D1193,SEARCH("-",'R.M Billets Reports'!D1193)+1,200)),""))&lt;&gt;"",IF(ISNUMBER(SEARCH("Party Name:-",'R.M Billets Reports'!D1193)),TRIM('R.M Billets Reports'!F1193),IF(ISNUMBER(SEARCH("Party Name-",'R.M Billets Reports'!D1193)),TRIM(MID('R.M Billets Reports'!D1193,SEARCH("-",'R.M Billets Reports'!D1193)+1,200)),"")),IF(ISNUMBER(SEARCH("Party Name:-",'R.M Billets Reports'!D1194)),TRIM('R.M Billets Reports'!F1194),IF(ISNUMBER(SEARCH("Party Name-",'R.M Billets Reports'!D1194)),TRIM(MID('R.M Billets Reports'!D1194,SEARCH("-",'R.M Billets Reports'!D1194)+1,200)),"")))="VRKP ISPAT PVT LTD","VRKP",IF(IF(IF(ISNUMBER(SEARCH("Party Name:-",'R.M Billets Reports'!D1193)),TRIM('R.M Billets Reports'!F1193),IF(ISNUMBER(SEARCH("Party Name-",'R.M Billets Reports'!D1193)),TRIM(MID('R.M Billets Reports'!D1193,SEARCH("-",'R.M Billets Reports'!D1193)+1,200)),""))&lt;&gt;"",IF(ISNUMBER(SEARCH("Party Name:-",'R.M Billets Reports'!D1193)),TRIM('R.M Billets Reports'!F1193),IF(ISNUMBER(SEARCH("Party Name-",'R.M Billets Reports'!D1193)),TRIM(MID('R.M Billets Reports'!D1193,SEARCH("-",'R.M Billets Reports'!D1193)+1,200)),"")),IF(ISNUMBER(SEARCH("Party Name:-",'R.M Billets Reports'!D1194)),TRIM('R.M Billets Reports'!F1194),IF(ISNUMBER(SEARCH("Party Name-",'R.M Billets Reports'!D1194)),TRIM(MID('R.M Billets Reports'!D1194,SEARCH("-",'R.M Billets Reports'!D1194)+1,200)),"")))="SHRI RADHE","SHREE RADHE",IF(IF(IF(ISNUMBER(SEARCH("Party Name:-",'R.M Billets Reports'!D1193)),TRIM('R.M Billets Reports'!F1193),IF(ISNUMBER(SEARCH("Party Name-",'R.M Billets Reports'!D1193)),TRIM(MID('R.M Billets Reports'!D1193,SEARCH("-",'R.M Billets Reports'!D1193)+1,200)),""))&lt;&gt;"",IF(ISNUMBER(SEARCH("Party Name:-",'R.M Billets Reports'!D1193)),TRIM('R.M Billets Reports'!F1193),IF(ISNUMBER(SEARCH("Party Name-",'R.M Billets Reports'!D1193)),TRIM(MID('R.M Billets Reports'!D1193,SEARCH("-",'R.M Billets Reports'!D1193)+1,200)),"")),IF(ISNUMBER(SEARCH("Party Name:-",'R.M Billets Reports'!D1194)),TRIM('R.M Billets Reports'!F1194),IF(ISNUMBER(SEARCH("Party Name-",'R.M Billets Reports'!D1194)),TRIM(MID('R.M Billets Reports'!D1194,SEARCH("-",'R.M Billets Reports'!D1194)+1,200)),"")))="SHREE RADHE SHAKTI SPONGE AND POWER PVT. LTD.","SHREE RADHE",IF(IF(ISNUMBER(SEARCH("Party Name:-",'R.M Billets Reports'!D1193)),TRIM('R.M Billets Reports'!F1193),IF(ISNUMBER(SEARCH("Party Name-",'R.M Billets Reports'!D1193)),TRIM(MID('R.M Billets Reports'!D1193,SEARCH("-",'R.M Billets Reports'!D1193)+1,200)),""))&lt;&gt;"",IF(ISNUMBER(SEARCH("Party Name:-",'R.M Billets Reports'!D1193)),TRIM('R.M Billets Reports'!F1193),IF(ISNUMBER(SEARCH("Party Name-",'R.M Billets Reports'!D1193)),TRIM(MID('R.M Billets Reports'!D1193,SEARCH("-",'R.M Billets Reports'!D1193)+1,200)),"")),IF(ISNUMBER(SEARCH("Party Name:-",'R.M Billets Reports'!D1194)),TRIM('R.M Billets Reports'!F1194),IF(ISNUMBER(SEARCH("Party Name-",'R.M Billets Reports'!D1194)),TRIM(MID('R.M Billets Reports'!D1194,SEARCH("-",'R.M Billets Reports'!D1194)+1,200)),"")))))),IF(ROW()=2,"",A1193))</f>
      </c>
      <c r="B1194">
        <f>IF(OR('R.M Billets Reports'!A1193="Date-",'R.M Billets Reports'!A1193="Date:-"),'R.M Billets Reports'!B1193,IF(ROW()=2,"",B1193))</f>
      </c>
      <c r="C1194">
        <f>IF('R.M Billets Reports'!A1193="V.No.",'R.M Billets Reports'!B1193,IF(ROW()=2,"",C1193))</f>
      </c>
      <c r="D1194">
        <f>IF('R.M Billets Reports'!A1193&lt;&gt;"",'R.M Billets Reports'!A1193,IF(ROW()=2,"",D1193))</f>
      </c>
      <c r="E1194">
        <f>IF('R.M Billets Reports'!B1193="","",TRIM('R.M Billets Reports'!B1193))</f>
      </c>
      <c r="F1194">
        <f>'R.M Billets Reports'!C1193</f>
      </c>
      <c r="G1194">
        <f>'R.M Billets Reports'!D1193</f>
      </c>
      <c r="H1194">
        <f>'R.M Billets Reports'!E1193</f>
      </c>
      <c r="I1194">
        <f>'R.M Billets Reports'!F1193</f>
      </c>
      <c r="J1194">
        <f>'R.M Billets Reports'!G1193</f>
      </c>
      <c r="K1194">
        <f>'R.M Billets Reports'!H1193</f>
      </c>
      <c r="L1194">
        <f>IF('R.M Billets Reports'!I1193="","",'R.M Billets Reports'!I1193)</f>
      </c>
      <c r="M1194">
        <f t="shared" si="36"/>
      </c>
      <c r="N1194">
        <f>IF('R.M Billets Reports'!J1193="","",'R.M Billets Reports'!J1193)</f>
      </c>
      <c r="O1194">
        <f t="shared" si="37"/>
      </c>
      <c r="P1194">
        <f>IF('R.M Billets Reports'!A1193="SIZE",'R.M Billets Reports'!B1193,P1193)</f>
      </c>
    </row>
    <row r="1195" spans="1:16" x14ac:dyDescent="0.25">
      <c r="A1195">
        <f>IF(OR('R.M Billets Reports'!A1194="Date-",'R.M Billets Reports'!A1194="Date:-"),IF(IF(IF(ISNUMBER(SEARCH("Party Name:-",'R.M Billets Reports'!D1194)),TRIM('R.M Billets Reports'!F1194),IF(ISNUMBER(SEARCH("Party Name-",'R.M Billets Reports'!D1194)),TRIM(MID('R.M Billets Reports'!D1194,SEARCH("-",'R.M Billets Reports'!D1194)+1,200)),""))&lt;&gt;"",IF(ISNUMBER(SEARCH("Party Name:-",'R.M Billets Reports'!D1194)),TRIM('R.M Billets Reports'!F1194),IF(ISNUMBER(SEARCH("Party Name-",'R.M Billets Reports'!D1194)),TRIM(MID('R.M Billets Reports'!D1194,SEARCH("-",'R.M Billets Reports'!D1194)+1,200)),"")),IF(ISNUMBER(SEARCH("Party Name:-",'R.M Billets Reports'!D1195)),TRIM('R.M Billets Reports'!F1195),IF(ISNUMBER(SEARCH("Party Name-",'R.M Billets Reports'!D1195)),TRIM(MID('R.M Billets Reports'!D1195,SEARCH("-",'R.M Billets Reports'!D1195)+1,200)),"")))="VRKP ISPAT PVT LTD","VRKP",IF(IF(IF(ISNUMBER(SEARCH("Party Name:-",'R.M Billets Reports'!D1194)),TRIM('R.M Billets Reports'!F1194),IF(ISNUMBER(SEARCH("Party Name-",'R.M Billets Reports'!D1194)),TRIM(MID('R.M Billets Reports'!D1194,SEARCH("-",'R.M Billets Reports'!D1194)+1,200)),""))&lt;&gt;"",IF(ISNUMBER(SEARCH("Party Name:-",'R.M Billets Reports'!D1194)),TRIM('R.M Billets Reports'!F1194),IF(ISNUMBER(SEARCH("Party Name-",'R.M Billets Reports'!D1194)),TRIM(MID('R.M Billets Reports'!D1194,SEARCH("-",'R.M Billets Reports'!D1194)+1,200)),"")),IF(ISNUMBER(SEARCH("Party Name:-",'R.M Billets Reports'!D1195)),TRIM('R.M Billets Reports'!F1195),IF(ISNUMBER(SEARCH("Party Name-",'R.M Billets Reports'!D1195)),TRIM(MID('R.M Billets Reports'!D1195,SEARCH("-",'R.M Billets Reports'!D1195)+1,200)),"")))="SHRI RADHE","SHREE RADHE",IF(IF(IF(ISNUMBER(SEARCH("Party Name:-",'R.M Billets Reports'!D1194)),TRIM('R.M Billets Reports'!F1194),IF(ISNUMBER(SEARCH("Party Name-",'R.M Billets Reports'!D1194)),TRIM(MID('R.M Billets Reports'!D1194,SEARCH("-",'R.M Billets Reports'!D1194)+1,200)),""))&lt;&gt;"",IF(ISNUMBER(SEARCH("Party Name:-",'R.M Billets Reports'!D1194)),TRIM('R.M Billets Reports'!F1194),IF(ISNUMBER(SEARCH("Party Name-",'R.M Billets Reports'!D1194)),TRIM(MID('R.M Billets Reports'!D1194,SEARCH("-",'R.M Billets Reports'!D1194)+1,200)),"")),IF(ISNUMBER(SEARCH("Party Name:-",'R.M Billets Reports'!D1195)),TRIM('R.M Billets Reports'!F1195),IF(ISNUMBER(SEARCH("Party Name-",'R.M Billets Reports'!D1195)),TRIM(MID('R.M Billets Reports'!D1195,SEARCH("-",'R.M Billets Reports'!D1195)+1,200)),"")))="SHREE RADHE SHAKTI SPONGE AND POWER PVT. LTD.","SHREE RADHE",IF(IF(ISNUMBER(SEARCH("Party Name:-",'R.M Billets Reports'!D1194)),TRIM('R.M Billets Reports'!F1194),IF(ISNUMBER(SEARCH("Party Name-",'R.M Billets Reports'!D1194)),TRIM(MID('R.M Billets Reports'!D1194,SEARCH("-",'R.M Billets Reports'!D1194)+1,200)),""))&lt;&gt;"",IF(ISNUMBER(SEARCH("Party Name:-",'R.M Billets Reports'!D1194)),TRIM('R.M Billets Reports'!F1194),IF(ISNUMBER(SEARCH("Party Name-",'R.M Billets Reports'!D1194)),TRIM(MID('R.M Billets Reports'!D1194,SEARCH("-",'R.M Billets Reports'!D1194)+1,200)),"")),IF(ISNUMBER(SEARCH("Party Name:-",'R.M Billets Reports'!D1195)),TRIM('R.M Billets Reports'!F1195),IF(ISNUMBER(SEARCH("Party Name-",'R.M Billets Reports'!D1195)),TRIM(MID('R.M Billets Reports'!D1195,SEARCH("-",'R.M Billets Reports'!D1195)+1,200)),"")))))),IF(ROW()=2,"",A1194))</f>
      </c>
      <c r="B1195">
        <f>IF(OR('R.M Billets Reports'!A1194="Date-",'R.M Billets Reports'!A1194="Date:-"),'R.M Billets Reports'!B1194,IF(ROW()=2,"",B1194))</f>
      </c>
      <c r="C1195">
        <f>IF('R.M Billets Reports'!A1194="V.No.",'R.M Billets Reports'!B1194,IF(ROW()=2,"",C1194))</f>
      </c>
      <c r="D1195">
        <f>IF('R.M Billets Reports'!A1194&lt;&gt;"",'R.M Billets Reports'!A1194,IF(ROW()=2,"",D1194))</f>
      </c>
      <c r="E1195">
        <f>IF('R.M Billets Reports'!B1194="","",TRIM('R.M Billets Reports'!B1194))</f>
      </c>
      <c r="F1195">
        <f>'R.M Billets Reports'!C1194</f>
      </c>
      <c r="G1195">
        <f>'R.M Billets Reports'!D1194</f>
      </c>
      <c r="H1195">
        <f>'R.M Billets Reports'!E1194</f>
      </c>
      <c r="I1195">
        <f>'R.M Billets Reports'!F1194</f>
      </c>
      <c r="J1195">
        <f>'R.M Billets Reports'!G1194</f>
      </c>
      <c r="K1195">
        <f>'R.M Billets Reports'!H1194</f>
      </c>
      <c r="L1195">
        <f>IF('R.M Billets Reports'!I1194="","",'R.M Billets Reports'!I1194)</f>
      </c>
      <c r="M1195">
        <f t="shared" si="36"/>
      </c>
      <c r="N1195">
        <f>IF('R.M Billets Reports'!J1194="","",'R.M Billets Reports'!J1194)</f>
      </c>
      <c r="O1195">
        <f t="shared" si="37"/>
      </c>
      <c r="P1195">
        <f>IF('R.M Billets Reports'!A1194="SIZE",'R.M Billets Reports'!B1194,P1194)</f>
      </c>
    </row>
    <row r="1196" spans="1:16" x14ac:dyDescent="0.25">
      <c r="A1196">
        <f>IF(OR('R.M Billets Reports'!A1195="Date-",'R.M Billets Reports'!A1195="Date:-"),IF(IF(IF(ISNUMBER(SEARCH("Party Name:-",'R.M Billets Reports'!D1195)),TRIM('R.M Billets Reports'!F1195),IF(ISNUMBER(SEARCH("Party Name-",'R.M Billets Reports'!D1195)),TRIM(MID('R.M Billets Reports'!D1195,SEARCH("-",'R.M Billets Reports'!D1195)+1,200)),""))&lt;&gt;"",IF(ISNUMBER(SEARCH("Party Name:-",'R.M Billets Reports'!D1195)),TRIM('R.M Billets Reports'!F1195),IF(ISNUMBER(SEARCH("Party Name-",'R.M Billets Reports'!D1195)),TRIM(MID('R.M Billets Reports'!D1195,SEARCH("-",'R.M Billets Reports'!D1195)+1,200)),"")),IF(ISNUMBER(SEARCH("Party Name:-",'R.M Billets Reports'!D1196)),TRIM('R.M Billets Reports'!F1196),IF(ISNUMBER(SEARCH("Party Name-",'R.M Billets Reports'!D1196)),TRIM(MID('R.M Billets Reports'!D1196,SEARCH("-",'R.M Billets Reports'!D1196)+1,200)),"")))="VRKP ISPAT PVT LTD","VRKP",IF(IF(IF(ISNUMBER(SEARCH("Party Name:-",'R.M Billets Reports'!D1195)),TRIM('R.M Billets Reports'!F1195),IF(ISNUMBER(SEARCH("Party Name-",'R.M Billets Reports'!D1195)),TRIM(MID('R.M Billets Reports'!D1195,SEARCH("-",'R.M Billets Reports'!D1195)+1,200)),""))&lt;&gt;"",IF(ISNUMBER(SEARCH("Party Name:-",'R.M Billets Reports'!D1195)),TRIM('R.M Billets Reports'!F1195),IF(ISNUMBER(SEARCH("Party Name-",'R.M Billets Reports'!D1195)),TRIM(MID('R.M Billets Reports'!D1195,SEARCH("-",'R.M Billets Reports'!D1195)+1,200)),"")),IF(ISNUMBER(SEARCH("Party Name:-",'R.M Billets Reports'!D1196)),TRIM('R.M Billets Reports'!F1196),IF(ISNUMBER(SEARCH("Party Name-",'R.M Billets Reports'!D1196)),TRIM(MID('R.M Billets Reports'!D1196,SEARCH("-",'R.M Billets Reports'!D1196)+1,200)),"")))="SHRI RADHE","SHREE RADHE",IF(IF(IF(ISNUMBER(SEARCH("Party Name:-",'R.M Billets Reports'!D1195)),TRIM('R.M Billets Reports'!F1195),IF(ISNUMBER(SEARCH("Party Name-",'R.M Billets Reports'!D1195)),TRIM(MID('R.M Billets Reports'!D1195,SEARCH("-",'R.M Billets Reports'!D1195)+1,200)),""))&lt;&gt;"",IF(ISNUMBER(SEARCH("Party Name:-",'R.M Billets Reports'!D1195)),TRIM('R.M Billets Reports'!F1195),IF(ISNUMBER(SEARCH("Party Name-",'R.M Billets Reports'!D1195)),TRIM(MID('R.M Billets Reports'!D1195,SEARCH("-",'R.M Billets Reports'!D1195)+1,200)),"")),IF(ISNUMBER(SEARCH("Party Name:-",'R.M Billets Reports'!D1196)),TRIM('R.M Billets Reports'!F1196),IF(ISNUMBER(SEARCH("Party Name-",'R.M Billets Reports'!D1196)),TRIM(MID('R.M Billets Reports'!D1196,SEARCH("-",'R.M Billets Reports'!D1196)+1,200)),"")))="SHREE RADHE SHAKTI SPONGE AND POWER PVT. LTD.","SHREE RADHE",IF(IF(ISNUMBER(SEARCH("Party Name:-",'R.M Billets Reports'!D1195)),TRIM('R.M Billets Reports'!F1195),IF(ISNUMBER(SEARCH("Party Name-",'R.M Billets Reports'!D1195)),TRIM(MID('R.M Billets Reports'!D1195,SEARCH("-",'R.M Billets Reports'!D1195)+1,200)),""))&lt;&gt;"",IF(ISNUMBER(SEARCH("Party Name:-",'R.M Billets Reports'!D1195)),TRIM('R.M Billets Reports'!F1195),IF(ISNUMBER(SEARCH("Party Name-",'R.M Billets Reports'!D1195)),TRIM(MID('R.M Billets Reports'!D1195,SEARCH("-",'R.M Billets Reports'!D1195)+1,200)),"")),IF(ISNUMBER(SEARCH("Party Name:-",'R.M Billets Reports'!D1196)),TRIM('R.M Billets Reports'!F1196),IF(ISNUMBER(SEARCH("Party Name-",'R.M Billets Reports'!D1196)),TRIM(MID('R.M Billets Reports'!D1196,SEARCH("-",'R.M Billets Reports'!D1196)+1,200)),"")))))),IF(ROW()=2,"",A1195))</f>
      </c>
      <c r="B1196">
        <f>IF(OR('R.M Billets Reports'!A1195="Date-",'R.M Billets Reports'!A1195="Date:-"),'R.M Billets Reports'!B1195,IF(ROW()=2,"",B1195))</f>
      </c>
      <c r="C1196">
        <f>IF('R.M Billets Reports'!A1195="V.No.",'R.M Billets Reports'!B1195,IF(ROW()=2,"",C1195))</f>
      </c>
      <c r="D1196">
        <f>IF('R.M Billets Reports'!A1195&lt;&gt;"",'R.M Billets Reports'!A1195,IF(ROW()=2,"",D1195))</f>
      </c>
      <c r="E1196">
        <f>IF('R.M Billets Reports'!B1195="","",TRIM('R.M Billets Reports'!B1195))</f>
      </c>
      <c r="F1196">
        <f>'R.M Billets Reports'!C1195</f>
      </c>
      <c r="G1196">
        <f>'R.M Billets Reports'!D1195</f>
      </c>
      <c r="H1196">
        <f>'R.M Billets Reports'!E1195</f>
      </c>
      <c r="I1196">
        <f>'R.M Billets Reports'!F1195</f>
      </c>
      <c r="J1196">
        <f>'R.M Billets Reports'!G1195</f>
      </c>
      <c r="K1196">
        <f>'R.M Billets Reports'!H1195</f>
      </c>
      <c r="L1196">
        <f>IF('R.M Billets Reports'!I1195="","",'R.M Billets Reports'!I1195)</f>
      </c>
      <c r="M1196">
        <f t="shared" si="36"/>
      </c>
      <c r="N1196">
        <f>IF('R.M Billets Reports'!J1195="","",'R.M Billets Reports'!J1195)</f>
      </c>
      <c r="O1196">
        <f t="shared" si="37"/>
      </c>
      <c r="P1196">
        <f>IF('R.M Billets Reports'!A1195="SIZE",'R.M Billets Reports'!B1195,P1195)</f>
      </c>
    </row>
    <row r="1197" spans="1:16" x14ac:dyDescent="0.25">
      <c r="A1197">
        <f>IF(OR('R.M Billets Reports'!A1196="Date-",'R.M Billets Reports'!A1196="Date:-"),IF(IF(IF(ISNUMBER(SEARCH("Party Name:-",'R.M Billets Reports'!D1196)),TRIM('R.M Billets Reports'!F1196),IF(ISNUMBER(SEARCH("Party Name-",'R.M Billets Reports'!D1196)),TRIM(MID('R.M Billets Reports'!D1196,SEARCH("-",'R.M Billets Reports'!D1196)+1,200)),""))&lt;&gt;"",IF(ISNUMBER(SEARCH("Party Name:-",'R.M Billets Reports'!D1196)),TRIM('R.M Billets Reports'!F1196),IF(ISNUMBER(SEARCH("Party Name-",'R.M Billets Reports'!D1196)),TRIM(MID('R.M Billets Reports'!D1196,SEARCH("-",'R.M Billets Reports'!D1196)+1,200)),"")),IF(ISNUMBER(SEARCH("Party Name:-",'R.M Billets Reports'!D1197)),TRIM('R.M Billets Reports'!F1197),IF(ISNUMBER(SEARCH("Party Name-",'R.M Billets Reports'!D1197)),TRIM(MID('R.M Billets Reports'!D1197,SEARCH("-",'R.M Billets Reports'!D1197)+1,200)),"")))="VRKP ISPAT PVT LTD","VRKP",IF(IF(IF(ISNUMBER(SEARCH("Party Name:-",'R.M Billets Reports'!D1196)),TRIM('R.M Billets Reports'!F1196),IF(ISNUMBER(SEARCH("Party Name-",'R.M Billets Reports'!D1196)),TRIM(MID('R.M Billets Reports'!D1196,SEARCH("-",'R.M Billets Reports'!D1196)+1,200)),""))&lt;&gt;"",IF(ISNUMBER(SEARCH("Party Name:-",'R.M Billets Reports'!D1196)),TRIM('R.M Billets Reports'!F1196),IF(ISNUMBER(SEARCH("Party Name-",'R.M Billets Reports'!D1196)),TRIM(MID('R.M Billets Reports'!D1196,SEARCH("-",'R.M Billets Reports'!D1196)+1,200)),"")),IF(ISNUMBER(SEARCH("Party Name:-",'R.M Billets Reports'!D1197)),TRIM('R.M Billets Reports'!F1197),IF(ISNUMBER(SEARCH("Party Name-",'R.M Billets Reports'!D1197)),TRIM(MID('R.M Billets Reports'!D1197,SEARCH("-",'R.M Billets Reports'!D1197)+1,200)),"")))="SHRI RADHE","SHREE RADHE",IF(IF(IF(ISNUMBER(SEARCH("Party Name:-",'R.M Billets Reports'!D1196)),TRIM('R.M Billets Reports'!F1196),IF(ISNUMBER(SEARCH("Party Name-",'R.M Billets Reports'!D1196)),TRIM(MID('R.M Billets Reports'!D1196,SEARCH("-",'R.M Billets Reports'!D1196)+1,200)),""))&lt;&gt;"",IF(ISNUMBER(SEARCH("Party Name:-",'R.M Billets Reports'!D1196)),TRIM('R.M Billets Reports'!F1196),IF(ISNUMBER(SEARCH("Party Name-",'R.M Billets Reports'!D1196)),TRIM(MID('R.M Billets Reports'!D1196,SEARCH("-",'R.M Billets Reports'!D1196)+1,200)),"")),IF(ISNUMBER(SEARCH("Party Name:-",'R.M Billets Reports'!D1197)),TRIM('R.M Billets Reports'!F1197),IF(ISNUMBER(SEARCH("Party Name-",'R.M Billets Reports'!D1197)),TRIM(MID('R.M Billets Reports'!D1197,SEARCH("-",'R.M Billets Reports'!D1197)+1,200)),"")))="SHREE RADHE SHAKTI SPONGE AND POWER PVT. LTD.","SHREE RADHE",IF(IF(ISNUMBER(SEARCH("Party Name:-",'R.M Billets Reports'!D1196)),TRIM('R.M Billets Reports'!F1196),IF(ISNUMBER(SEARCH("Party Name-",'R.M Billets Reports'!D1196)),TRIM(MID('R.M Billets Reports'!D1196,SEARCH("-",'R.M Billets Reports'!D1196)+1,200)),""))&lt;&gt;"",IF(ISNUMBER(SEARCH("Party Name:-",'R.M Billets Reports'!D1196)),TRIM('R.M Billets Reports'!F1196),IF(ISNUMBER(SEARCH("Party Name-",'R.M Billets Reports'!D1196)),TRIM(MID('R.M Billets Reports'!D1196,SEARCH("-",'R.M Billets Reports'!D1196)+1,200)),"")),IF(ISNUMBER(SEARCH("Party Name:-",'R.M Billets Reports'!D1197)),TRIM('R.M Billets Reports'!F1197),IF(ISNUMBER(SEARCH("Party Name-",'R.M Billets Reports'!D1197)),TRIM(MID('R.M Billets Reports'!D1197,SEARCH("-",'R.M Billets Reports'!D1197)+1,200)),"")))))),IF(ROW()=2,"",A1196))</f>
      </c>
      <c r="B1197">
        <f>IF(OR('R.M Billets Reports'!A1196="Date-",'R.M Billets Reports'!A1196="Date:-"),'R.M Billets Reports'!B1196,IF(ROW()=2,"",B1196))</f>
      </c>
      <c r="C1197">
        <f>IF('R.M Billets Reports'!A1196="V.No.",'R.M Billets Reports'!B1196,IF(ROW()=2,"",C1196))</f>
      </c>
      <c r="D1197">
        <f>IF('R.M Billets Reports'!A1196&lt;&gt;"",'R.M Billets Reports'!A1196,IF(ROW()=2,"",D1196))</f>
      </c>
      <c r="E1197">
        <f>IF('R.M Billets Reports'!B1196="","",TRIM('R.M Billets Reports'!B1196))</f>
      </c>
      <c r="F1197">
        <f>'R.M Billets Reports'!C1196</f>
      </c>
      <c r="G1197">
        <f>'R.M Billets Reports'!D1196</f>
      </c>
      <c r="H1197">
        <f>'R.M Billets Reports'!E1196</f>
      </c>
      <c r="I1197">
        <f>'R.M Billets Reports'!F1196</f>
      </c>
      <c r="J1197">
        <f>'R.M Billets Reports'!G1196</f>
      </c>
      <c r="K1197">
        <f>'R.M Billets Reports'!H1196</f>
      </c>
      <c r="L1197">
        <f>IF('R.M Billets Reports'!I1196="","",'R.M Billets Reports'!I1196)</f>
      </c>
      <c r="M1197">
        <f t="shared" si="36"/>
      </c>
      <c r="N1197">
        <f>IF('R.M Billets Reports'!J1196="","",'R.M Billets Reports'!J1196)</f>
      </c>
      <c r="O1197">
        <f t="shared" si="37"/>
      </c>
      <c r="P1197">
        <f>IF('R.M Billets Reports'!A1196="SIZE",'R.M Billets Reports'!B1196,P1196)</f>
      </c>
    </row>
    <row r="1198" spans="1:16" x14ac:dyDescent="0.25">
      <c r="A1198">
        <f>IF(OR('R.M Billets Reports'!A1197="Date-",'R.M Billets Reports'!A1197="Date:-"),IF(IF(IF(ISNUMBER(SEARCH("Party Name:-",'R.M Billets Reports'!D1197)),TRIM('R.M Billets Reports'!F1197),IF(ISNUMBER(SEARCH("Party Name-",'R.M Billets Reports'!D1197)),TRIM(MID('R.M Billets Reports'!D1197,SEARCH("-",'R.M Billets Reports'!D1197)+1,200)),""))&lt;&gt;"",IF(ISNUMBER(SEARCH("Party Name:-",'R.M Billets Reports'!D1197)),TRIM('R.M Billets Reports'!F1197),IF(ISNUMBER(SEARCH("Party Name-",'R.M Billets Reports'!D1197)),TRIM(MID('R.M Billets Reports'!D1197,SEARCH("-",'R.M Billets Reports'!D1197)+1,200)),"")),IF(ISNUMBER(SEARCH("Party Name:-",'R.M Billets Reports'!D1198)),TRIM('R.M Billets Reports'!F1198),IF(ISNUMBER(SEARCH("Party Name-",'R.M Billets Reports'!D1198)),TRIM(MID('R.M Billets Reports'!D1198,SEARCH("-",'R.M Billets Reports'!D1198)+1,200)),"")))="VRKP ISPAT PVT LTD","VRKP",IF(IF(IF(ISNUMBER(SEARCH("Party Name:-",'R.M Billets Reports'!D1197)),TRIM('R.M Billets Reports'!F1197),IF(ISNUMBER(SEARCH("Party Name-",'R.M Billets Reports'!D1197)),TRIM(MID('R.M Billets Reports'!D1197,SEARCH("-",'R.M Billets Reports'!D1197)+1,200)),""))&lt;&gt;"",IF(ISNUMBER(SEARCH("Party Name:-",'R.M Billets Reports'!D1197)),TRIM('R.M Billets Reports'!F1197),IF(ISNUMBER(SEARCH("Party Name-",'R.M Billets Reports'!D1197)),TRIM(MID('R.M Billets Reports'!D1197,SEARCH("-",'R.M Billets Reports'!D1197)+1,200)),"")),IF(ISNUMBER(SEARCH("Party Name:-",'R.M Billets Reports'!D1198)),TRIM('R.M Billets Reports'!F1198),IF(ISNUMBER(SEARCH("Party Name-",'R.M Billets Reports'!D1198)),TRIM(MID('R.M Billets Reports'!D1198,SEARCH("-",'R.M Billets Reports'!D1198)+1,200)),"")))="SHRI RADHE","SHREE RADHE",IF(IF(IF(ISNUMBER(SEARCH("Party Name:-",'R.M Billets Reports'!D1197)),TRIM('R.M Billets Reports'!F1197),IF(ISNUMBER(SEARCH("Party Name-",'R.M Billets Reports'!D1197)),TRIM(MID('R.M Billets Reports'!D1197,SEARCH("-",'R.M Billets Reports'!D1197)+1,200)),""))&lt;&gt;"",IF(ISNUMBER(SEARCH("Party Name:-",'R.M Billets Reports'!D1197)),TRIM('R.M Billets Reports'!F1197),IF(ISNUMBER(SEARCH("Party Name-",'R.M Billets Reports'!D1197)),TRIM(MID('R.M Billets Reports'!D1197,SEARCH("-",'R.M Billets Reports'!D1197)+1,200)),"")),IF(ISNUMBER(SEARCH("Party Name:-",'R.M Billets Reports'!D1198)),TRIM('R.M Billets Reports'!F1198),IF(ISNUMBER(SEARCH("Party Name-",'R.M Billets Reports'!D1198)),TRIM(MID('R.M Billets Reports'!D1198,SEARCH("-",'R.M Billets Reports'!D1198)+1,200)),"")))="SHREE RADHE SHAKTI SPONGE AND POWER PVT. LTD.","SHREE RADHE",IF(IF(ISNUMBER(SEARCH("Party Name:-",'R.M Billets Reports'!D1197)),TRIM('R.M Billets Reports'!F1197),IF(ISNUMBER(SEARCH("Party Name-",'R.M Billets Reports'!D1197)),TRIM(MID('R.M Billets Reports'!D1197,SEARCH("-",'R.M Billets Reports'!D1197)+1,200)),""))&lt;&gt;"",IF(ISNUMBER(SEARCH("Party Name:-",'R.M Billets Reports'!D1197)),TRIM('R.M Billets Reports'!F1197),IF(ISNUMBER(SEARCH("Party Name-",'R.M Billets Reports'!D1197)),TRIM(MID('R.M Billets Reports'!D1197,SEARCH("-",'R.M Billets Reports'!D1197)+1,200)),"")),IF(ISNUMBER(SEARCH("Party Name:-",'R.M Billets Reports'!D1198)),TRIM('R.M Billets Reports'!F1198),IF(ISNUMBER(SEARCH("Party Name-",'R.M Billets Reports'!D1198)),TRIM(MID('R.M Billets Reports'!D1198,SEARCH("-",'R.M Billets Reports'!D1198)+1,200)),"")))))),IF(ROW()=2,"",A1197))</f>
      </c>
      <c r="B1198">
        <f>IF(OR('R.M Billets Reports'!A1197="Date-",'R.M Billets Reports'!A1197="Date:-"),'R.M Billets Reports'!B1197,IF(ROW()=2,"",B1197))</f>
      </c>
      <c r="C1198">
        <f>IF('R.M Billets Reports'!A1197="V.No.",'R.M Billets Reports'!B1197,IF(ROW()=2,"",C1197))</f>
      </c>
      <c r="D1198">
        <f>IF('R.M Billets Reports'!A1197&lt;&gt;"",'R.M Billets Reports'!A1197,IF(ROW()=2,"",D1197))</f>
      </c>
      <c r="E1198">
        <f>IF('R.M Billets Reports'!B1197="","",TRIM('R.M Billets Reports'!B1197))</f>
      </c>
      <c r="F1198">
        <f>'R.M Billets Reports'!C1197</f>
      </c>
      <c r="G1198">
        <f>'R.M Billets Reports'!D1197</f>
      </c>
      <c r="H1198">
        <f>'R.M Billets Reports'!E1197</f>
      </c>
      <c r="I1198">
        <f>'R.M Billets Reports'!F1197</f>
      </c>
      <c r="J1198">
        <f>'R.M Billets Reports'!G1197</f>
      </c>
      <c r="K1198">
        <f>'R.M Billets Reports'!H1197</f>
      </c>
      <c r="L1198">
        <f>IF('R.M Billets Reports'!I1197="","",'R.M Billets Reports'!I1197)</f>
      </c>
      <c r="M1198">
        <f t="shared" si="36"/>
      </c>
      <c r="N1198">
        <f>IF('R.M Billets Reports'!J1197="","",'R.M Billets Reports'!J1197)</f>
      </c>
      <c r="O1198">
        <f t="shared" si="37"/>
      </c>
      <c r="P1198">
        <f>IF('R.M Billets Reports'!A1197="SIZE",'R.M Billets Reports'!B1197,P1197)</f>
      </c>
    </row>
    <row r="1199" spans="1:16" x14ac:dyDescent="0.25">
      <c r="A1199">
        <f>IF(OR('R.M Billets Reports'!A1198="Date-",'R.M Billets Reports'!A1198="Date:-"),IF(IF(IF(ISNUMBER(SEARCH("Party Name:-",'R.M Billets Reports'!D1198)),TRIM('R.M Billets Reports'!F1198),IF(ISNUMBER(SEARCH("Party Name-",'R.M Billets Reports'!D1198)),TRIM(MID('R.M Billets Reports'!D1198,SEARCH("-",'R.M Billets Reports'!D1198)+1,200)),""))&lt;&gt;"",IF(ISNUMBER(SEARCH("Party Name:-",'R.M Billets Reports'!D1198)),TRIM('R.M Billets Reports'!F1198),IF(ISNUMBER(SEARCH("Party Name-",'R.M Billets Reports'!D1198)),TRIM(MID('R.M Billets Reports'!D1198,SEARCH("-",'R.M Billets Reports'!D1198)+1,200)),"")),IF(ISNUMBER(SEARCH("Party Name:-",'R.M Billets Reports'!D1199)),TRIM('R.M Billets Reports'!F1199),IF(ISNUMBER(SEARCH("Party Name-",'R.M Billets Reports'!D1199)),TRIM(MID('R.M Billets Reports'!D1199,SEARCH("-",'R.M Billets Reports'!D1199)+1,200)),"")))="VRKP ISPAT PVT LTD","VRKP",IF(IF(IF(ISNUMBER(SEARCH("Party Name:-",'R.M Billets Reports'!D1198)),TRIM('R.M Billets Reports'!F1198),IF(ISNUMBER(SEARCH("Party Name-",'R.M Billets Reports'!D1198)),TRIM(MID('R.M Billets Reports'!D1198,SEARCH("-",'R.M Billets Reports'!D1198)+1,200)),""))&lt;&gt;"",IF(ISNUMBER(SEARCH("Party Name:-",'R.M Billets Reports'!D1198)),TRIM('R.M Billets Reports'!F1198),IF(ISNUMBER(SEARCH("Party Name-",'R.M Billets Reports'!D1198)),TRIM(MID('R.M Billets Reports'!D1198,SEARCH("-",'R.M Billets Reports'!D1198)+1,200)),"")),IF(ISNUMBER(SEARCH("Party Name:-",'R.M Billets Reports'!D1199)),TRIM('R.M Billets Reports'!F1199),IF(ISNUMBER(SEARCH("Party Name-",'R.M Billets Reports'!D1199)),TRIM(MID('R.M Billets Reports'!D1199,SEARCH("-",'R.M Billets Reports'!D1199)+1,200)),"")))="SHRI RADHE","SHREE RADHE",IF(IF(IF(ISNUMBER(SEARCH("Party Name:-",'R.M Billets Reports'!D1198)),TRIM('R.M Billets Reports'!F1198),IF(ISNUMBER(SEARCH("Party Name-",'R.M Billets Reports'!D1198)),TRIM(MID('R.M Billets Reports'!D1198,SEARCH("-",'R.M Billets Reports'!D1198)+1,200)),""))&lt;&gt;"",IF(ISNUMBER(SEARCH("Party Name:-",'R.M Billets Reports'!D1198)),TRIM('R.M Billets Reports'!F1198),IF(ISNUMBER(SEARCH("Party Name-",'R.M Billets Reports'!D1198)),TRIM(MID('R.M Billets Reports'!D1198,SEARCH("-",'R.M Billets Reports'!D1198)+1,200)),"")),IF(ISNUMBER(SEARCH("Party Name:-",'R.M Billets Reports'!D1199)),TRIM('R.M Billets Reports'!F1199),IF(ISNUMBER(SEARCH("Party Name-",'R.M Billets Reports'!D1199)),TRIM(MID('R.M Billets Reports'!D1199,SEARCH("-",'R.M Billets Reports'!D1199)+1,200)),"")))="SHREE RADHE SHAKTI SPONGE AND POWER PVT. LTD.","SHREE RADHE",IF(IF(ISNUMBER(SEARCH("Party Name:-",'R.M Billets Reports'!D1198)),TRIM('R.M Billets Reports'!F1198),IF(ISNUMBER(SEARCH("Party Name-",'R.M Billets Reports'!D1198)),TRIM(MID('R.M Billets Reports'!D1198,SEARCH("-",'R.M Billets Reports'!D1198)+1,200)),""))&lt;&gt;"",IF(ISNUMBER(SEARCH("Party Name:-",'R.M Billets Reports'!D1198)),TRIM('R.M Billets Reports'!F1198),IF(ISNUMBER(SEARCH("Party Name-",'R.M Billets Reports'!D1198)),TRIM(MID('R.M Billets Reports'!D1198,SEARCH("-",'R.M Billets Reports'!D1198)+1,200)),"")),IF(ISNUMBER(SEARCH("Party Name:-",'R.M Billets Reports'!D1199)),TRIM('R.M Billets Reports'!F1199),IF(ISNUMBER(SEARCH("Party Name-",'R.M Billets Reports'!D1199)),TRIM(MID('R.M Billets Reports'!D1199,SEARCH("-",'R.M Billets Reports'!D1199)+1,200)),"")))))),IF(ROW()=2,"",A1198))</f>
      </c>
      <c r="B1199">
        <f>IF(OR('R.M Billets Reports'!A1198="Date-",'R.M Billets Reports'!A1198="Date:-"),'R.M Billets Reports'!B1198,IF(ROW()=2,"",B1198))</f>
      </c>
      <c r="C1199">
        <f>IF('R.M Billets Reports'!A1198="V.No.",'R.M Billets Reports'!B1198,IF(ROW()=2,"",C1198))</f>
      </c>
      <c r="D1199">
        <f>IF('R.M Billets Reports'!A1198&lt;&gt;"",'R.M Billets Reports'!A1198,IF(ROW()=2,"",D1198))</f>
      </c>
      <c r="E1199">
        <f>IF('R.M Billets Reports'!B1198="","",TRIM('R.M Billets Reports'!B1198))</f>
      </c>
      <c r="F1199">
        <f>'R.M Billets Reports'!C1198</f>
      </c>
      <c r="G1199">
        <f>'R.M Billets Reports'!D1198</f>
      </c>
      <c r="H1199">
        <f>'R.M Billets Reports'!E1198</f>
      </c>
      <c r="I1199">
        <f>'R.M Billets Reports'!F1198</f>
      </c>
      <c r="J1199">
        <f>'R.M Billets Reports'!G1198</f>
      </c>
      <c r="K1199">
        <f>'R.M Billets Reports'!H1198</f>
      </c>
      <c r="L1199">
        <f>IF('R.M Billets Reports'!I1198="","",'R.M Billets Reports'!I1198)</f>
      </c>
      <c r="M1199">
        <f t="shared" si="36"/>
      </c>
      <c r="N1199">
        <f>IF('R.M Billets Reports'!J1198="","",'R.M Billets Reports'!J1198)</f>
      </c>
      <c r="O1199">
        <f t="shared" si="37"/>
      </c>
      <c r="P1199">
        <f>IF('R.M Billets Reports'!A1198="SIZE",'R.M Billets Reports'!B1198,P1198)</f>
      </c>
    </row>
    <row r="1200" spans="1:16" x14ac:dyDescent="0.25">
      <c r="A1200">
        <f>IF(OR('R.M Billets Reports'!A1199="Date-",'R.M Billets Reports'!A1199="Date:-"),IF(IF(IF(ISNUMBER(SEARCH("Party Name:-",'R.M Billets Reports'!D1199)),TRIM('R.M Billets Reports'!F1199),IF(ISNUMBER(SEARCH("Party Name-",'R.M Billets Reports'!D1199)),TRIM(MID('R.M Billets Reports'!D1199,SEARCH("-",'R.M Billets Reports'!D1199)+1,200)),""))&lt;&gt;"",IF(ISNUMBER(SEARCH("Party Name:-",'R.M Billets Reports'!D1199)),TRIM('R.M Billets Reports'!F1199),IF(ISNUMBER(SEARCH("Party Name-",'R.M Billets Reports'!D1199)),TRIM(MID('R.M Billets Reports'!D1199,SEARCH("-",'R.M Billets Reports'!D1199)+1,200)),"")),IF(ISNUMBER(SEARCH("Party Name:-",'R.M Billets Reports'!D1200)),TRIM('R.M Billets Reports'!F1200),IF(ISNUMBER(SEARCH("Party Name-",'R.M Billets Reports'!D1200)),TRIM(MID('R.M Billets Reports'!D1200,SEARCH("-",'R.M Billets Reports'!D1200)+1,200)),"")))="VRKP ISPAT PVT LTD","VRKP",IF(IF(IF(ISNUMBER(SEARCH("Party Name:-",'R.M Billets Reports'!D1199)),TRIM('R.M Billets Reports'!F1199),IF(ISNUMBER(SEARCH("Party Name-",'R.M Billets Reports'!D1199)),TRIM(MID('R.M Billets Reports'!D1199,SEARCH("-",'R.M Billets Reports'!D1199)+1,200)),""))&lt;&gt;"",IF(ISNUMBER(SEARCH("Party Name:-",'R.M Billets Reports'!D1199)),TRIM('R.M Billets Reports'!F1199),IF(ISNUMBER(SEARCH("Party Name-",'R.M Billets Reports'!D1199)),TRIM(MID('R.M Billets Reports'!D1199,SEARCH("-",'R.M Billets Reports'!D1199)+1,200)),"")),IF(ISNUMBER(SEARCH("Party Name:-",'R.M Billets Reports'!D1200)),TRIM('R.M Billets Reports'!F1200),IF(ISNUMBER(SEARCH("Party Name-",'R.M Billets Reports'!D1200)),TRIM(MID('R.M Billets Reports'!D1200,SEARCH("-",'R.M Billets Reports'!D1200)+1,200)),"")))="SHRI RADHE","SHREE RADHE",IF(IF(IF(ISNUMBER(SEARCH("Party Name:-",'R.M Billets Reports'!D1199)),TRIM('R.M Billets Reports'!F1199),IF(ISNUMBER(SEARCH("Party Name-",'R.M Billets Reports'!D1199)),TRIM(MID('R.M Billets Reports'!D1199,SEARCH("-",'R.M Billets Reports'!D1199)+1,200)),""))&lt;&gt;"",IF(ISNUMBER(SEARCH("Party Name:-",'R.M Billets Reports'!D1199)),TRIM('R.M Billets Reports'!F1199),IF(ISNUMBER(SEARCH("Party Name-",'R.M Billets Reports'!D1199)),TRIM(MID('R.M Billets Reports'!D1199,SEARCH("-",'R.M Billets Reports'!D1199)+1,200)),"")),IF(ISNUMBER(SEARCH("Party Name:-",'R.M Billets Reports'!D1200)),TRIM('R.M Billets Reports'!F1200),IF(ISNUMBER(SEARCH("Party Name-",'R.M Billets Reports'!D1200)),TRIM(MID('R.M Billets Reports'!D1200,SEARCH("-",'R.M Billets Reports'!D1200)+1,200)),"")))="SHREE RADHE SHAKTI SPONGE AND POWER PVT. LTD.","SHREE RADHE",IF(IF(ISNUMBER(SEARCH("Party Name:-",'R.M Billets Reports'!D1199)),TRIM('R.M Billets Reports'!F1199),IF(ISNUMBER(SEARCH("Party Name-",'R.M Billets Reports'!D1199)),TRIM(MID('R.M Billets Reports'!D1199,SEARCH("-",'R.M Billets Reports'!D1199)+1,200)),""))&lt;&gt;"",IF(ISNUMBER(SEARCH("Party Name:-",'R.M Billets Reports'!D1199)),TRIM('R.M Billets Reports'!F1199),IF(ISNUMBER(SEARCH("Party Name-",'R.M Billets Reports'!D1199)),TRIM(MID('R.M Billets Reports'!D1199,SEARCH("-",'R.M Billets Reports'!D1199)+1,200)),"")),IF(ISNUMBER(SEARCH("Party Name:-",'R.M Billets Reports'!D1200)),TRIM('R.M Billets Reports'!F1200),IF(ISNUMBER(SEARCH("Party Name-",'R.M Billets Reports'!D1200)),TRIM(MID('R.M Billets Reports'!D1200,SEARCH("-",'R.M Billets Reports'!D1200)+1,200)),"")))))),IF(ROW()=2,"",A1199))</f>
      </c>
      <c r="B1200">
        <f>IF(OR('R.M Billets Reports'!A1199="Date-",'R.M Billets Reports'!A1199="Date:-"),'R.M Billets Reports'!B1199,IF(ROW()=2,"",B1199))</f>
      </c>
      <c r="C1200">
        <f>IF('R.M Billets Reports'!A1199="V.No.",'R.M Billets Reports'!B1199,IF(ROW()=2,"",C1199))</f>
      </c>
      <c r="D1200">
        <f>IF('R.M Billets Reports'!A1199&lt;&gt;"",'R.M Billets Reports'!A1199,IF(ROW()=2,"",D1199))</f>
      </c>
      <c r="E1200">
        <f>IF('R.M Billets Reports'!B1199="","",TRIM('R.M Billets Reports'!B1199))</f>
      </c>
      <c r="F1200">
        <f>'R.M Billets Reports'!C1199</f>
      </c>
      <c r="G1200">
        <f>'R.M Billets Reports'!D1199</f>
      </c>
      <c r="H1200">
        <f>'R.M Billets Reports'!E1199</f>
      </c>
      <c r="I1200">
        <f>'R.M Billets Reports'!F1199</f>
      </c>
      <c r="J1200">
        <f>'R.M Billets Reports'!G1199</f>
      </c>
      <c r="K1200">
        <f>'R.M Billets Reports'!H1199</f>
      </c>
      <c r="L1200">
        <f>IF('R.M Billets Reports'!I1199="","",'R.M Billets Reports'!I1199)</f>
      </c>
      <c r="M1200">
        <f t="shared" si="36"/>
      </c>
      <c r="N1200">
        <f>IF('R.M Billets Reports'!J1199="","",'R.M Billets Reports'!J1199)</f>
      </c>
      <c r="O1200">
        <f t="shared" si="37"/>
      </c>
      <c r="P1200">
        <f>IF('R.M Billets Reports'!A1199="SIZE",'R.M Billets Reports'!B1199,P1199)</f>
      </c>
    </row>
    <row r="1201" spans="1:16" x14ac:dyDescent="0.25">
      <c r="A1201">
        <f>IF(OR('R.M Billets Reports'!A1200="Date-",'R.M Billets Reports'!A1200="Date:-"),IF(IF(IF(ISNUMBER(SEARCH("Party Name:-",'R.M Billets Reports'!D1200)),TRIM('R.M Billets Reports'!F1200),IF(ISNUMBER(SEARCH("Party Name-",'R.M Billets Reports'!D1200)),TRIM(MID('R.M Billets Reports'!D1200,SEARCH("-",'R.M Billets Reports'!D1200)+1,200)),""))&lt;&gt;"",IF(ISNUMBER(SEARCH("Party Name:-",'R.M Billets Reports'!D1200)),TRIM('R.M Billets Reports'!F1200),IF(ISNUMBER(SEARCH("Party Name-",'R.M Billets Reports'!D1200)),TRIM(MID('R.M Billets Reports'!D1200,SEARCH("-",'R.M Billets Reports'!D1200)+1,200)),"")),IF(ISNUMBER(SEARCH("Party Name:-",'R.M Billets Reports'!D1201)),TRIM('R.M Billets Reports'!F1201),IF(ISNUMBER(SEARCH("Party Name-",'R.M Billets Reports'!D1201)),TRIM(MID('R.M Billets Reports'!D1201,SEARCH("-",'R.M Billets Reports'!D1201)+1,200)),"")))="VRKP ISPAT PVT LTD","VRKP",IF(IF(IF(ISNUMBER(SEARCH("Party Name:-",'R.M Billets Reports'!D1200)),TRIM('R.M Billets Reports'!F1200),IF(ISNUMBER(SEARCH("Party Name-",'R.M Billets Reports'!D1200)),TRIM(MID('R.M Billets Reports'!D1200,SEARCH("-",'R.M Billets Reports'!D1200)+1,200)),""))&lt;&gt;"",IF(ISNUMBER(SEARCH("Party Name:-",'R.M Billets Reports'!D1200)),TRIM('R.M Billets Reports'!F1200),IF(ISNUMBER(SEARCH("Party Name-",'R.M Billets Reports'!D1200)),TRIM(MID('R.M Billets Reports'!D1200,SEARCH("-",'R.M Billets Reports'!D1200)+1,200)),"")),IF(ISNUMBER(SEARCH("Party Name:-",'R.M Billets Reports'!D1201)),TRIM('R.M Billets Reports'!F1201),IF(ISNUMBER(SEARCH("Party Name-",'R.M Billets Reports'!D1201)),TRIM(MID('R.M Billets Reports'!D1201,SEARCH("-",'R.M Billets Reports'!D1201)+1,200)),"")))="SHRI RADHE","SHREE RADHE",IF(IF(IF(ISNUMBER(SEARCH("Party Name:-",'R.M Billets Reports'!D1200)),TRIM('R.M Billets Reports'!F1200),IF(ISNUMBER(SEARCH("Party Name-",'R.M Billets Reports'!D1200)),TRIM(MID('R.M Billets Reports'!D1200,SEARCH("-",'R.M Billets Reports'!D1200)+1,200)),""))&lt;&gt;"",IF(ISNUMBER(SEARCH("Party Name:-",'R.M Billets Reports'!D1200)),TRIM('R.M Billets Reports'!F1200),IF(ISNUMBER(SEARCH("Party Name-",'R.M Billets Reports'!D1200)),TRIM(MID('R.M Billets Reports'!D1200,SEARCH("-",'R.M Billets Reports'!D1200)+1,200)),"")),IF(ISNUMBER(SEARCH("Party Name:-",'R.M Billets Reports'!D1201)),TRIM('R.M Billets Reports'!F1201),IF(ISNUMBER(SEARCH("Party Name-",'R.M Billets Reports'!D1201)),TRIM(MID('R.M Billets Reports'!D1201,SEARCH("-",'R.M Billets Reports'!D1201)+1,200)),"")))="SHREE RADHE SHAKTI SPONGE AND POWER PVT. LTD.","SHREE RADHE",IF(IF(ISNUMBER(SEARCH("Party Name:-",'R.M Billets Reports'!D1200)),TRIM('R.M Billets Reports'!F1200),IF(ISNUMBER(SEARCH("Party Name-",'R.M Billets Reports'!D1200)),TRIM(MID('R.M Billets Reports'!D1200,SEARCH("-",'R.M Billets Reports'!D1200)+1,200)),""))&lt;&gt;"",IF(ISNUMBER(SEARCH("Party Name:-",'R.M Billets Reports'!D1200)),TRIM('R.M Billets Reports'!F1200),IF(ISNUMBER(SEARCH("Party Name-",'R.M Billets Reports'!D1200)),TRIM(MID('R.M Billets Reports'!D1200,SEARCH("-",'R.M Billets Reports'!D1200)+1,200)),"")),IF(ISNUMBER(SEARCH("Party Name:-",'R.M Billets Reports'!D1201)),TRIM('R.M Billets Reports'!F1201),IF(ISNUMBER(SEARCH("Party Name-",'R.M Billets Reports'!D1201)),TRIM(MID('R.M Billets Reports'!D1201,SEARCH("-",'R.M Billets Reports'!D1201)+1,200)),"")))))),IF(ROW()=2,"",A1200))</f>
      </c>
      <c r="B1201">
        <f>IF(OR('R.M Billets Reports'!A1200="Date-",'R.M Billets Reports'!A1200="Date:-"),'R.M Billets Reports'!B1200,IF(ROW()=2,"",B1200))</f>
      </c>
      <c r="C1201">
        <f>IF('R.M Billets Reports'!A1200="V.No.",'R.M Billets Reports'!B1200,IF(ROW()=2,"",C1200))</f>
      </c>
      <c r="D1201">
        <f>IF('R.M Billets Reports'!A1200&lt;&gt;"",'R.M Billets Reports'!A1200,IF(ROW()=2,"",D1200))</f>
      </c>
      <c r="E1201">
        <f>IF('R.M Billets Reports'!B1200="","",TRIM('R.M Billets Reports'!B1200))</f>
      </c>
      <c r="F1201">
        <f>'R.M Billets Reports'!C1200</f>
      </c>
      <c r="G1201">
        <f>'R.M Billets Reports'!D1200</f>
      </c>
      <c r="H1201">
        <f>'R.M Billets Reports'!E1200</f>
      </c>
      <c r="I1201">
        <f>'R.M Billets Reports'!F1200</f>
      </c>
      <c r="J1201">
        <f>'R.M Billets Reports'!G1200</f>
      </c>
      <c r="K1201">
        <f>'R.M Billets Reports'!H1200</f>
      </c>
      <c r="L1201">
        <f>IF('R.M Billets Reports'!I1200="","",'R.M Billets Reports'!I1200)</f>
      </c>
      <c r="M1201">
        <f t="shared" si="36"/>
      </c>
      <c r="N1201">
        <f>IF('R.M Billets Reports'!J1200="","",'R.M Billets Reports'!J1200)</f>
      </c>
      <c r="O1201">
        <f t="shared" si="37"/>
      </c>
      <c r="P1201">
        <f>IF('R.M Billets Reports'!A1200="SIZE",'R.M Billets Reports'!B1200,P1200)</f>
      </c>
    </row>
    <row r="1202" spans="1:16" x14ac:dyDescent="0.25">
      <c r="A1202">
        <f>IF(OR('R.M Billets Reports'!A1201="Date-",'R.M Billets Reports'!A1201="Date:-"),IF(IF(IF(ISNUMBER(SEARCH("Party Name:-",'R.M Billets Reports'!D1201)),TRIM('R.M Billets Reports'!F1201),IF(ISNUMBER(SEARCH("Party Name-",'R.M Billets Reports'!D1201)),TRIM(MID('R.M Billets Reports'!D1201,SEARCH("-",'R.M Billets Reports'!D1201)+1,200)),""))&lt;&gt;"",IF(ISNUMBER(SEARCH("Party Name:-",'R.M Billets Reports'!D1201)),TRIM('R.M Billets Reports'!F1201),IF(ISNUMBER(SEARCH("Party Name-",'R.M Billets Reports'!D1201)),TRIM(MID('R.M Billets Reports'!D1201,SEARCH("-",'R.M Billets Reports'!D1201)+1,200)),"")),IF(ISNUMBER(SEARCH("Party Name:-",'R.M Billets Reports'!D1202)),TRIM('R.M Billets Reports'!F1202),IF(ISNUMBER(SEARCH("Party Name-",'R.M Billets Reports'!D1202)),TRIM(MID('R.M Billets Reports'!D1202,SEARCH("-",'R.M Billets Reports'!D1202)+1,200)),"")))="VRKP ISPAT PVT LTD","VRKP",IF(IF(IF(ISNUMBER(SEARCH("Party Name:-",'R.M Billets Reports'!D1201)),TRIM('R.M Billets Reports'!F1201),IF(ISNUMBER(SEARCH("Party Name-",'R.M Billets Reports'!D1201)),TRIM(MID('R.M Billets Reports'!D1201,SEARCH("-",'R.M Billets Reports'!D1201)+1,200)),""))&lt;&gt;"",IF(ISNUMBER(SEARCH("Party Name:-",'R.M Billets Reports'!D1201)),TRIM('R.M Billets Reports'!F1201),IF(ISNUMBER(SEARCH("Party Name-",'R.M Billets Reports'!D1201)),TRIM(MID('R.M Billets Reports'!D1201,SEARCH("-",'R.M Billets Reports'!D1201)+1,200)),"")),IF(ISNUMBER(SEARCH("Party Name:-",'R.M Billets Reports'!D1202)),TRIM('R.M Billets Reports'!F1202),IF(ISNUMBER(SEARCH("Party Name-",'R.M Billets Reports'!D1202)),TRIM(MID('R.M Billets Reports'!D1202,SEARCH("-",'R.M Billets Reports'!D1202)+1,200)),"")))="SHRI RADHE","SHREE RADHE",IF(IF(IF(ISNUMBER(SEARCH("Party Name:-",'R.M Billets Reports'!D1201)),TRIM('R.M Billets Reports'!F1201),IF(ISNUMBER(SEARCH("Party Name-",'R.M Billets Reports'!D1201)),TRIM(MID('R.M Billets Reports'!D1201,SEARCH("-",'R.M Billets Reports'!D1201)+1,200)),""))&lt;&gt;"",IF(ISNUMBER(SEARCH("Party Name:-",'R.M Billets Reports'!D1201)),TRIM('R.M Billets Reports'!F1201),IF(ISNUMBER(SEARCH("Party Name-",'R.M Billets Reports'!D1201)),TRIM(MID('R.M Billets Reports'!D1201,SEARCH("-",'R.M Billets Reports'!D1201)+1,200)),"")),IF(ISNUMBER(SEARCH("Party Name:-",'R.M Billets Reports'!D1202)),TRIM('R.M Billets Reports'!F1202),IF(ISNUMBER(SEARCH("Party Name-",'R.M Billets Reports'!D1202)),TRIM(MID('R.M Billets Reports'!D1202,SEARCH("-",'R.M Billets Reports'!D1202)+1,200)),"")))="SHREE RADHE SHAKTI SPONGE AND POWER PVT. LTD.","SHREE RADHE",IF(IF(ISNUMBER(SEARCH("Party Name:-",'R.M Billets Reports'!D1201)),TRIM('R.M Billets Reports'!F1201),IF(ISNUMBER(SEARCH("Party Name-",'R.M Billets Reports'!D1201)),TRIM(MID('R.M Billets Reports'!D1201,SEARCH("-",'R.M Billets Reports'!D1201)+1,200)),""))&lt;&gt;"",IF(ISNUMBER(SEARCH("Party Name:-",'R.M Billets Reports'!D1201)),TRIM('R.M Billets Reports'!F1201),IF(ISNUMBER(SEARCH("Party Name-",'R.M Billets Reports'!D1201)),TRIM(MID('R.M Billets Reports'!D1201,SEARCH("-",'R.M Billets Reports'!D1201)+1,200)),"")),IF(ISNUMBER(SEARCH("Party Name:-",'R.M Billets Reports'!D1202)),TRIM('R.M Billets Reports'!F1202),IF(ISNUMBER(SEARCH("Party Name-",'R.M Billets Reports'!D1202)),TRIM(MID('R.M Billets Reports'!D1202,SEARCH("-",'R.M Billets Reports'!D1202)+1,200)),"")))))),IF(ROW()=2,"",A1201))</f>
      </c>
      <c r="B1202">
        <f>IF(OR('R.M Billets Reports'!A1201="Date-",'R.M Billets Reports'!A1201="Date:-"),'R.M Billets Reports'!B1201,IF(ROW()=2,"",B1201))</f>
      </c>
      <c r="C1202">
        <f>IF('R.M Billets Reports'!A1201="V.No.",'R.M Billets Reports'!B1201,IF(ROW()=2,"",C1201))</f>
      </c>
      <c r="D1202">
        <f>IF('R.M Billets Reports'!A1201&lt;&gt;"",'R.M Billets Reports'!A1201,IF(ROW()=2,"",D1201))</f>
      </c>
      <c r="E1202">
        <f>IF('R.M Billets Reports'!B1201="","",TRIM('R.M Billets Reports'!B1201))</f>
      </c>
      <c r="F1202">
        <f>'R.M Billets Reports'!C1201</f>
      </c>
      <c r="G1202">
        <f>'R.M Billets Reports'!D1201</f>
      </c>
      <c r="H1202">
        <f>'R.M Billets Reports'!E1201</f>
      </c>
      <c r="I1202">
        <f>'R.M Billets Reports'!F1201</f>
      </c>
      <c r="J1202">
        <f>'R.M Billets Reports'!G1201</f>
      </c>
      <c r="K1202">
        <f>'R.M Billets Reports'!H1201</f>
      </c>
      <c r="L1202">
        <f>IF('R.M Billets Reports'!I1201="","",'R.M Billets Reports'!I1201)</f>
      </c>
      <c r="M1202">
        <f t="shared" si="36"/>
      </c>
      <c r="N1202">
        <f>IF('R.M Billets Reports'!J1201="","",'R.M Billets Reports'!J1201)</f>
      </c>
      <c r="O1202">
        <f t="shared" si="37"/>
      </c>
      <c r="P1202">
        <f>IF('R.M Billets Reports'!A1201="SIZE",'R.M Billets Reports'!B1201,P1201)</f>
      </c>
    </row>
    <row r="1203" spans="1:16" x14ac:dyDescent="0.25">
      <c r="A1203">
        <f>IF(OR('R.M Billets Reports'!A1202="Date-",'R.M Billets Reports'!A1202="Date:-"),IF(IF(IF(ISNUMBER(SEARCH("Party Name:-",'R.M Billets Reports'!D1202)),TRIM('R.M Billets Reports'!F1202),IF(ISNUMBER(SEARCH("Party Name-",'R.M Billets Reports'!D1202)),TRIM(MID('R.M Billets Reports'!D1202,SEARCH("-",'R.M Billets Reports'!D1202)+1,200)),""))&lt;&gt;"",IF(ISNUMBER(SEARCH("Party Name:-",'R.M Billets Reports'!D1202)),TRIM('R.M Billets Reports'!F1202),IF(ISNUMBER(SEARCH("Party Name-",'R.M Billets Reports'!D1202)),TRIM(MID('R.M Billets Reports'!D1202,SEARCH("-",'R.M Billets Reports'!D1202)+1,200)),"")),IF(ISNUMBER(SEARCH("Party Name:-",'R.M Billets Reports'!D1203)),TRIM('R.M Billets Reports'!F1203),IF(ISNUMBER(SEARCH("Party Name-",'R.M Billets Reports'!D1203)),TRIM(MID('R.M Billets Reports'!D1203,SEARCH("-",'R.M Billets Reports'!D1203)+1,200)),"")))="VRKP ISPAT PVT LTD","VRKP",IF(IF(IF(ISNUMBER(SEARCH("Party Name:-",'R.M Billets Reports'!D1202)),TRIM('R.M Billets Reports'!F1202),IF(ISNUMBER(SEARCH("Party Name-",'R.M Billets Reports'!D1202)),TRIM(MID('R.M Billets Reports'!D1202,SEARCH("-",'R.M Billets Reports'!D1202)+1,200)),""))&lt;&gt;"",IF(ISNUMBER(SEARCH("Party Name:-",'R.M Billets Reports'!D1202)),TRIM('R.M Billets Reports'!F1202),IF(ISNUMBER(SEARCH("Party Name-",'R.M Billets Reports'!D1202)),TRIM(MID('R.M Billets Reports'!D1202,SEARCH("-",'R.M Billets Reports'!D1202)+1,200)),"")),IF(ISNUMBER(SEARCH("Party Name:-",'R.M Billets Reports'!D1203)),TRIM('R.M Billets Reports'!F1203),IF(ISNUMBER(SEARCH("Party Name-",'R.M Billets Reports'!D1203)),TRIM(MID('R.M Billets Reports'!D1203,SEARCH("-",'R.M Billets Reports'!D1203)+1,200)),"")))="SHRI RADHE","SHREE RADHE",IF(IF(IF(ISNUMBER(SEARCH("Party Name:-",'R.M Billets Reports'!D1202)),TRIM('R.M Billets Reports'!F1202),IF(ISNUMBER(SEARCH("Party Name-",'R.M Billets Reports'!D1202)),TRIM(MID('R.M Billets Reports'!D1202,SEARCH("-",'R.M Billets Reports'!D1202)+1,200)),""))&lt;&gt;"",IF(ISNUMBER(SEARCH("Party Name:-",'R.M Billets Reports'!D1202)),TRIM('R.M Billets Reports'!F1202),IF(ISNUMBER(SEARCH("Party Name-",'R.M Billets Reports'!D1202)),TRIM(MID('R.M Billets Reports'!D1202,SEARCH("-",'R.M Billets Reports'!D1202)+1,200)),"")),IF(ISNUMBER(SEARCH("Party Name:-",'R.M Billets Reports'!D1203)),TRIM('R.M Billets Reports'!F1203),IF(ISNUMBER(SEARCH("Party Name-",'R.M Billets Reports'!D1203)),TRIM(MID('R.M Billets Reports'!D1203,SEARCH("-",'R.M Billets Reports'!D1203)+1,200)),"")))="SHREE RADHE SHAKTI SPONGE AND POWER PVT. LTD.","SHREE RADHE",IF(IF(ISNUMBER(SEARCH("Party Name:-",'R.M Billets Reports'!D1202)),TRIM('R.M Billets Reports'!F1202),IF(ISNUMBER(SEARCH("Party Name-",'R.M Billets Reports'!D1202)),TRIM(MID('R.M Billets Reports'!D1202,SEARCH("-",'R.M Billets Reports'!D1202)+1,200)),""))&lt;&gt;"",IF(ISNUMBER(SEARCH("Party Name:-",'R.M Billets Reports'!D1202)),TRIM('R.M Billets Reports'!F1202),IF(ISNUMBER(SEARCH("Party Name-",'R.M Billets Reports'!D1202)),TRIM(MID('R.M Billets Reports'!D1202,SEARCH("-",'R.M Billets Reports'!D1202)+1,200)),"")),IF(ISNUMBER(SEARCH("Party Name:-",'R.M Billets Reports'!D1203)),TRIM('R.M Billets Reports'!F1203),IF(ISNUMBER(SEARCH("Party Name-",'R.M Billets Reports'!D1203)),TRIM(MID('R.M Billets Reports'!D1203,SEARCH("-",'R.M Billets Reports'!D1203)+1,200)),"")))))),IF(ROW()=2,"",A1202))</f>
      </c>
      <c r="B1203">
        <f>IF(OR('R.M Billets Reports'!A1202="Date-",'R.M Billets Reports'!A1202="Date:-"),'R.M Billets Reports'!B1202,IF(ROW()=2,"",B1202))</f>
      </c>
      <c r="C1203">
        <f>IF('R.M Billets Reports'!A1202="V.No.",'R.M Billets Reports'!B1202,IF(ROW()=2,"",C1202))</f>
      </c>
      <c r="D1203">
        <f>IF('R.M Billets Reports'!A1202&lt;&gt;"",'R.M Billets Reports'!A1202,IF(ROW()=2,"",D1202))</f>
      </c>
      <c r="E1203">
        <f>IF('R.M Billets Reports'!B1202="","",TRIM('R.M Billets Reports'!B1202))</f>
      </c>
      <c r="F1203">
        <f>'R.M Billets Reports'!C1202</f>
      </c>
      <c r="G1203">
        <f>'R.M Billets Reports'!D1202</f>
      </c>
      <c r="H1203">
        <f>'R.M Billets Reports'!E1202</f>
      </c>
      <c r="I1203">
        <f>'R.M Billets Reports'!F1202</f>
      </c>
      <c r="J1203">
        <f>'R.M Billets Reports'!G1202</f>
      </c>
      <c r="K1203">
        <f>'R.M Billets Reports'!H1202</f>
      </c>
      <c r="L1203">
        <f>IF('R.M Billets Reports'!I1202="","",'R.M Billets Reports'!I1202)</f>
      </c>
      <c r="M1203">
        <f t="shared" si="36"/>
      </c>
      <c r="N1203">
        <f>IF('R.M Billets Reports'!J1202="","",'R.M Billets Reports'!J1202)</f>
      </c>
      <c r="O1203">
        <f t="shared" si="37"/>
      </c>
      <c r="P1203">
        <f>IF('R.M Billets Reports'!A1202="SIZE",'R.M Billets Reports'!B1202,P1202)</f>
      </c>
    </row>
    <row r="1204" spans="1:16" x14ac:dyDescent="0.25">
      <c r="A1204">
        <f>IF(OR('R.M Billets Reports'!A1203="Date-",'R.M Billets Reports'!A1203="Date:-"),IF(IF(IF(ISNUMBER(SEARCH("Party Name:-",'R.M Billets Reports'!D1203)),TRIM('R.M Billets Reports'!F1203),IF(ISNUMBER(SEARCH("Party Name-",'R.M Billets Reports'!D1203)),TRIM(MID('R.M Billets Reports'!D1203,SEARCH("-",'R.M Billets Reports'!D1203)+1,200)),""))&lt;&gt;"",IF(ISNUMBER(SEARCH("Party Name:-",'R.M Billets Reports'!D1203)),TRIM('R.M Billets Reports'!F1203),IF(ISNUMBER(SEARCH("Party Name-",'R.M Billets Reports'!D1203)),TRIM(MID('R.M Billets Reports'!D1203,SEARCH("-",'R.M Billets Reports'!D1203)+1,200)),"")),IF(ISNUMBER(SEARCH("Party Name:-",'R.M Billets Reports'!D1204)),TRIM('R.M Billets Reports'!F1204),IF(ISNUMBER(SEARCH("Party Name-",'R.M Billets Reports'!D1204)),TRIM(MID('R.M Billets Reports'!D1204,SEARCH("-",'R.M Billets Reports'!D1204)+1,200)),"")))="VRKP ISPAT PVT LTD","VRKP",IF(IF(IF(ISNUMBER(SEARCH("Party Name:-",'R.M Billets Reports'!D1203)),TRIM('R.M Billets Reports'!F1203),IF(ISNUMBER(SEARCH("Party Name-",'R.M Billets Reports'!D1203)),TRIM(MID('R.M Billets Reports'!D1203,SEARCH("-",'R.M Billets Reports'!D1203)+1,200)),""))&lt;&gt;"",IF(ISNUMBER(SEARCH("Party Name:-",'R.M Billets Reports'!D1203)),TRIM('R.M Billets Reports'!F1203),IF(ISNUMBER(SEARCH("Party Name-",'R.M Billets Reports'!D1203)),TRIM(MID('R.M Billets Reports'!D1203,SEARCH("-",'R.M Billets Reports'!D1203)+1,200)),"")),IF(ISNUMBER(SEARCH("Party Name:-",'R.M Billets Reports'!D1204)),TRIM('R.M Billets Reports'!F1204),IF(ISNUMBER(SEARCH("Party Name-",'R.M Billets Reports'!D1204)),TRIM(MID('R.M Billets Reports'!D1204,SEARCH("-",'R.M Billets Reports'!D1204)+1,200)),"")))="SHRI RADHE","SHREE RADHE",IF(IF(IF(ISNUMBER(SEARCH("Party Name:-",'R.M Billets Reports'!D1203)),TRIM('R.M Billets Reports'!F1203),IF(ISNUMBER(SEARCH("Party Name-",'R.M Billets Reports'!D1203)),TRIM(MID('R.M Billets Reports'!D1203,SEARCH("-",'R.M Billets Reports'!D1203)+1,200)),""))&lt;&gt;"",IF(ISNUMBER(SEARCH("Party Name:-",'R.M Billets Reports'!D1203)),TRIM('R.M Billets Reports'!F1203),IF(ISNUMBER(SEARCH("Party Name-",'R.M Billets Reports'!D1203)),TRIM(MID('R.M Billets Reports'!D1203,SEARCH("-",'R.M Billets Reports'!D1203)+1,200)),"")),IF(ISNUMBER(SEARCH("Party Name:-",'R.M Billets Reports'!D1204)),TRIM('R.M Billets Reports'!F1204),IF(ISNUMBER(SEARCH("Party Name-",'R.M Billets Reports'!D1204)),TRIM(MID('R.M Billets Reports'!D1204,SEARCH("-",'R.M Billets Reports'!D1204)+1,200)),"")))="SHREE RADHE SHAKTI SPONGE AND POWER PVT. LTD.","SHREE RADHE",IF(IF(ISNUMBER(SEARCH("Party Name:-",'R.M Billets Reports'!D1203)),TRIM('R.M Billets Reports'!F1203),IF(ISNUMBER(SEARCH("Party Name-",'R.M Billets Reports'!D1203)),TRIM(MID('R.M Billets Reports'!D1203,SEARCH("-",'R.M Billets Reports'!D1203)+1,200)),""))&lt;&gt;"",IF(ISNUMBER(SEARCH("Party Name:-",'R.M Billets Reports'!D1203)),TRIM('R.M Billets Reports'!F1203),IF(ISNUMBER(SEARCH("Party Name-",'R.M Billets Reports'!D1203)),TRIM(MID('R.M Billets Reports'!D1203,SEARCH("-",'R.M Billets Reports'!D1203)+1,200)),"")),IF(ISNUMBER(SEARCH("Party Name:-",'R.M Billets Reports'!D1204)),TRIM('R.M Billets Reports'!F1204),IF(ISNUMBER(SEARCH("Party Name-",'R.M Billets Reports'!D1204)),TRIM(MID('R.M Billets Reports'!D1204,SEARCH("-",'R.M Billets Reports'!D1204)+1,200)),"")))))),IF(ROW()=2,"",A1203))</f>
      </c>
      <c r="B1204">
        <f>IF(OR('R.M Billets Reports'!A1203="Date-",'R.M Billets Reports'!A1203="Date:-"),'R.M Billets Reports'!B1203,IF(ROW()=2,"",B1203))</f>
      </c>
      <c r="C1204">
        <f>IF('R.M Billets Reports'!A1203="V.No.",'R.M Billets Reports'!B1203,IF(ROW()=2,"",C1203))</f>
      </c>
      <c r="D1204">
        <f>IF('R.M Billets Reports'!A1203&lt;&gt;"",'R.M Billets Reports'!A1203,IF(ROW()=2,"",D1203))</f>
      </c>
      <c r="E1204">
        <f>IF('R.M Billets Reports'!B1203="","",TRIM('R.M Billets Reports'!B1203))</f>
      </c>
      <c r="F1204">
        <f>'R.M Billets Reports'!C1203</f>
      </c>
      <c r="G1204">
        <f>'R.M Billets Reports'!D1203</f>
      </c>
      <c r="H1204">
        <f>'R.M Billets Reports'!E1203</f>
      </c>
      <c r="I1204">
        <f>'R.M Billets Reports'!F1203</f>
      </c>
      <c r="J1204">
        <f>'R.M Billets Reports'!G1203</f>
      </c>
      <c r="K1204">
        <f>'R.M Billets Reports'!H1203</f>
      </c>
      <c r="L1204">
        <f>IF('R.M Billets Reports'!I1203="","",'R.M Billets Reports'!I1203)</f>
      </c>
      <c r="M1204">
        <f t="shared" si="36"/>
      </c>
      <c r="N1204">
        <f>IF('R.M Billets Reports'!J1203="","",'R.M Billets Reports'!J1203)</f>
      </c>
      <c r="O1204">
        <f t="shared" si="37"/>
      </c>
      <c r="P1204">
        <f>IF('R.M Billets Reports'!A1203="SIZE",'R.M Billets Reports'!B1203,P1203)</f>
      </c>
    </row>
    <row r="1205" spans="1:16" x14ac:dyDescent="0.25">
      <c r="A1205">
        <f>IF(OR('R.M Billets Reports'!A1204="Date-",'R.M Billets Reports'!A1204="Date:-"),IF(IF(IF(ISNUMBER(SEARCH("Party Name:-",'R.M Billets Reports'!D1204)),TRIM('R.M Billets Reports'!F1204),IF(ISNUMBER(SEARCH("Party Name-",'R.M Billets Reports'!D1204)),TRIM(MID('R.M Billets Reports'!D1204,SEARCH("-",'R.M Billets Reports'!D1204)+1,200)),""))&lt;&gt;"",IF(ISNUMBER(SEARCH("Party Name:-",'R.M Billets Reports'!D1204)),TRIM('R.M Billets Reports'!F1204),IF(ISNUMBER(SEARCH("Party Name-",'R.M Billets Reports'!D1204)),TRIM(MID('R.M Billets Reports'!D1204,SEARCH("-",'R.M Billets Reports'!D1204)+1,200)),"")),IF(ISNUMBER(SEARCH("Party Name:-",'R.M Billets Reports'!D1205)),TRIM('R.M Billets Reports'!F1205),IF(ISNUMBER(SEARCH("Party Name-",'R.M Billets Reports'!D1205)),TRIM(MID('R.M Billets Reports'!D1205,SEARCH("-",'R.M Billets Reports'!D1205)+1,200)),"")))="VRKP ISPAT PVT LTD","VRKP",IF(IF(IF(ISNUMBER(SEARCH("Party Name:-",'R.M Billets Reports'!D1204)),TRIM('R.M Billets Reports'!F1204),IF(ISNUMBER(SEARCH("Party Name-",'R.M Billets Reports'!D1204)),TRIM(MID('R.M Billets Reports'!D1204,SEARCH("-",'R.M Billets Reports'!D1204)+1,200)),""))&lt;&gt;"",IF(ISNUMBER(SEARCH("Party Name:-",'R.M Billets Reports'!D1204)),TRIM('R.M Billets Reports'!F1204),IF(ISNUMBER(SEARCH("Party Name-",'R.M Billets Reports'!D1204)),TRIM(MID('R.M Billets Reports'!D1204,SEARCH("-",'R.M Billets Reports'!D1204)+1,200)),"")),IF(ISNUMBER(SEARCH("Party Name:-",'R.M Billets Reports'!D1205)),TRIM('R.M Billets Reports'!F1205),IF(ISNUMBER(SEARCH("Party Name-",'R.M Billets Reports'!D1205)),TRIM(MID('R.M Billets Reports'!D1205,SEARCH("-",'R.M Billets Reports'!D1205)+1,200)),"")))="SHRI RADHE","SHREE RADHE",IF(IF(IF(ISNUMBER(SEARCH("Party Name:-",'R.M Billets Reports'!D1204)),TRIM('R.M Billets Reports'!F1204),IF(ISNUMBER(SEARCH("Party Name-",'R.M Billets Reports'!D1204)),TRIM(MID('R.M Billets Reports'!D1204,SEARCH("-",'R.M Billets Reports'!D1204)+1,200)),""))&lt;&gt;"",IF(ISNUMBER(SEARCH("Party Name:-",'R.M Billets Reports'!D1204)),TRIM('R.M Billets Reports'!F1204),IF(ISNUMBER(SEARCH("Party Name-",'R.M Billets Reports'!D1204)),TRIM(MID('R.M Billets Reports'!D1204,SEARCH("-",'R.M Billets Reports'!D1204)+1,200)),"")),IF(ISNUMBER(SEARCH("Party Name:-",'R.M Billets Reports'!D1205)),TRIM('R.M Billets Reports'!F1205),IF(ISNUMBER(SEARCH("Party Name-",'R.M Billets Reports'!D1205)),TRIM(MID('R.M Billets Reports'!D1205,SEARCH("-",'R.M Billets Reports'!D1205)+1,200)),"")))="SHREE RADHE SHAKTI SPONGE AND POWER PVT. LTD.","SHREE RADHE",IF(IF(ISNUMBER(SEARCH("Party Name:-",'R.M Billets Reports'!D1204)),TRIM('R.M Billets Reports'!F1204),IF(ISNUMBER(SEARCH("Party Name-",'R.M Billets Reports'!D1204)),TRIM(MID('R.M Billets Reports'!D1204,SEARCH("-",'R.M Billets Reports'!D1204)+1,200)),""))&lt;&gt;"",IF(ISNUMBER(SEARCH("Party Name:-",'R.M Billets Reports'!D1204)),TRIM('R.M Billets Reports'!F1204),IF(ISNUMBER(SEARCH("Party Name-",'R.M Billets Reports'!D1204)),TRIM(MID('R.M Billets Reports'!D1204,SEARCH("-",'R.M Billets Reports'!D1204)+1,200)),"")),IF(ISNUMBER(SEARCH("Party Name:-",'R.M Billets Reports'!D1205)),TRIM('R.M Billets Reports'!F1205),IF(ISNUMBER(SEARCH("Party Name-",'R.M Billets Reports'!D1205)),TRIM(MID('R.M Billets Reports'!D1205,SEARCH("-",'R.M Billets Reports'!D1205)+1,200)),"")))))),IF(ROW()=2,"",A1204))</f>
      </c>
      <c r="B1205">
        <f>IF(OR('R.M Billets Reports'!A1204="Date-",'R.M Billets Reports'!A1204="Date:-"),'R.M Billets Reports'!B1204,IF(ROW()=2,"",B1204))</f>
      </c>
      <c r="C1205">
        <f>IF('R.M Billets Reports'!A1204="V.No.",'R.M Billets Reports'!B1204,IF(ROW()=2,"",C1204))</f>
      </c>
      <c r="D1205">
        <f>IF('R.M Billets Reports'!A1204&lt;&gt;"",'R.M Billets Reports'!A1204,IF(ROW()=2,"",D1204))</f>
      </c>
      <c r="E1205">
        <f>IF('R.M Billets Reports'!B1204="","",TRIM('R.M Billets Reports'!B1204))</f>
      </c>
      <c r="F1205">
        <f>'R.M Billets Reports'!C1204</f>
      </c>
      <c r="G1205">
        <f>'R.M Billets Reports'!D1204</f>
      </c>
      <c r="H1205">
        <f>'R.M Billets Reports'!E1204</f>
      </c>
      <c r="I1205">
        <f>'R.M Billets Reports'!F1204</f>
      </c>
      <c r="J1205">
        <f>'R.M Billets Reports'!G1204</f>
      </c>
      <c r="K1205">
        <f>'R.M Billets Reports'!H1204</f>
      </c>
      <c r="L1205">
        <f>IF('R.M Billets Reports'!I1204="","",'R.M Billets Reports'!I1204)</f>
      </c>
      <c r="M1205">
        <f t="shared" si="36"/>
      </c>
      <c r="N1205">
        <f>IF('R.M Billets Reports'!J1204="","",'R.M Billets Reports'!J1204)</f>
      </c>
      <c r="O1205">
        <f t="shared" si="37"/>
      </c>
      <c r="P1205">
        <f>IF('R.M Billets Reports'!A1204="SIZE",'R.M Billets Reports'!B1204,P1204)</f>
      </c>
    </row>
    <row r="1206" spans="1:16" x14ac:dyDescent="0.25">
      <c r="A1206">
        <f>IF(OR('R.M Billets Reports'!A1205="Date-",'R.M Billets Reports'!A1205="Date:-"),IF(IF(IF(ISNUMBER(SEARCH("Party Name:-",'R.M Billets Reports'!D1205)),TRIM('R.M Billets Reports'!F1205),IF(ISNUMBER(SEARCH("Party Name-",'R.M Billets Reports'!D1205)),TRIM(MID('R.M Billets Reports'!D1205,SEARCH("-",'R.M Billets Reports'!D1205)+1,200)),""))&lt;&gt;"",IF(ISNUMBER(SEARCH("Party Name:-",'R.M Billets Reports'!D1205)),TRIM('R.M Billets Reports'!F1205),IF(ISNUMBER(SEARCH("Party Name-",'R.M Billets Reports'!D1205)),TRIM(MID('R.M Billets Reports'!D1205,SEARCH("-",'R.M Billets Reports'!D1205)+1,200)),"")),IF(ISNUMBER(SEARCH("Party Name:-",'R.M Billets Reports'!D1206)),TRIM('R.M Billets Reports'!F1206),IF(ISNUMBER(SEARCH("Party Name-",'R.M Billets Reports'!D1206)),TRIM(MID('R.M Billets Reports'!D1206,SEARCH("-",'R.M Billets Reports'!D1206)+1,200)),"")))="VRKP ISPAT PVT LTD","VRKP",IF(IF(IF(ISNUMBER(SEARCH("Party Name:-",'R.M Billets Reports'!D1205)),TRIM('R.M Billets Reports'!F1205),IF(ISNUMBER(SEARCH("Party Name-",'R.M Billets Reports'!D1205)),TRIM(MID('R.M Billets Reports'!D1205,SEARCH("-",'R.M Billets Reports'!D1205)+1,200)),""))&lt;&gt;"",IF(ISNUMBER(SEARCH("Party Name:-",'R.M Billets Reports'!D1205)),TRIM('R.M Billets Reports'!F1205),IF(ISNUMBER(SEARCH("Party Name-",'R.M Billets Reports'!D1205)),TRIM(MID('R.M Billets Reports'!D1205,SEARCH("-",'R.M Billets Reports'!D1205)+1,200)),"")),IF(ISNUMBER(SEARCH("Party Name:-",'R.M Billets Reports'!D1206)),TRIM('R.M Billets Reports'!F1206),IF(ISNUMBER(SEARCH("Party Name-",'R.M Billets Reports'!D1206)),TRIM(MID('R.M Billets Reports'!D1206,SEARCH("-",'R.M Billets Reports'!D1206)+1,200)),"")))="SHRI RADHE","SHREE RADHE",IF(IF(IF(ISNUMBER(SEARCH("Party Name:-",'R.M Billets Reports'!D1205)),TRIM('R.M Billets Reports'!F1205),IF(ISNUMBER(SEARCH("Party Name-",'R.M Billets Reports'!D1205)),TRIM(MID('R.M Billets Reports'!D1205,SEARCH("-",'R.M Billets Reports'!D1205)+1,200)),""))&lt;&gt;"",IF(ISNUMBER(SEARCH("Party Name:-",'R.M Billets Reports'!D1205)),TRIM('R.M Billets Reports'!F1205),IF(ISNUMBER(SEARCH("Party Name-",'R.M Billets Reports'!D1205)),TRIM(MID('R.M Billets Reports'!D1205,SEARCH("-",'R.M Billets Reports'!D1205)+1,200)),"")),IF(ISNUMBER(SEARCH("Party Name:-",'R.M Billets Reports'!D1206)),TRIM('R.M Billets Reports'!F1206),IF(ISNUMBER(SEARCH("Party Name-",'R.M Billets Reports'!D1206)),TRIM(MID('R.M Billets Reports'!D1206,SEARCH("-",'R.M Billets Reports'!D1206)+1,200)),"")))="SHREE RADHE SHAKTI SPONGE AND POWER PVT. LTD.","SHREE RADHE",IF(IF(ISNUMBER(SEARCH("Party Name:-",'R.M Billets Reports'!D1205)),TRIM('R.M Billets Reports'!F1205),IF(ISNUMBER(SEARCH("Party Name-",'R.M Billets Reports'!D1205)),TRIM(MID('R.M Billets Reports'!D1205,SEARCH("-",'R.M Billets Reports'!D1205)+1,200)),""))&lt;&gt;"",IF(ISNUMBER(SEARCH("Party Name:-",'R.M Billets Reports'!D1205)),TRIM('R.M Billets Reports'!F1205),IF(ISNUMBER(SEARCH("Party Name-",'R.M Billets Reports'!D1205)),TRIM(MID('R.M Billets Reports'!D1205,SEARCH("-",'R.M Billets Reports'!D1205)+1,200)),"")),IF(ISNUMBER(SEARCH("Party Name:-",'R.M Billets Reports'!D1206)),TRIM('R.M Billets Reports'!F1206),IF(ISNUMBER(SEARCH("Party Name-",'R.M Billets Reports'!D1206)),TRIM(MID('R.M Billets Reports'!D1206,SEARCH("-",'R.M Billets Reports'!D1206)+1,200)),"")))))),IF(ROW()=2,"",A1205))</f>
      </c>
      <c r="B1206">
        <f>IF(OR('R.M Billets Reports'!A1205="Date-",'R.M Billets Reports'!A1205="Date:-"),'R.M Billets Reports'!B1205,IF(ROW()=2,"",B1205))</f>
      </c>
      <c r="C1206">
        <f>IF('R.M Billets Reports'!A1205="V.No.",'R.M Billets Reports'!B1205,IF(ROW()=2,"",C1205))</f>
      </c>
      <c r="D1206">
        <f>IF('R.M Billets Reports'!A1205&lt;&gt;"",'R.M Billets Reports'!A1205,IF(ROW()=2,"",D1205))</f>
      </c>
      <c r="E1206">
        <f>IF('R.M Billets Reports'!B1205="","",TRIM('R.M Billets Reports'!B1205))</f>
      </c>
      <c r="F1206">
        <f>'R.M Billets Reports'!C1205</f>
      </c>
      <c r="G1206">
        <f>'R.M Billets Reports'!D1205</f>
      </c>
      <c r="H1206">
        <f>'R.M Billets Reports'!E1205</f>
      </c>
      <c r="I1206">
        <f>'R.M Billets Reports'!F1205</f>
      </c>
      <c r="J1206">
        <f>'R.M Billets Reports'!G1205</f>
      </c>
      <c r="K1206">
        <f>'R.M Billets Reports'!H1205</f>
      </c>
      <c r="L1206">
        <f>IF('R.M Billets Reports'!I1205="","",'R.M Billets Reports'!I1205)</f>
      </c>
      <c r="M1206">
        <f t="shared" si="36"/>
      </c>
      <c r="N1206">
        <f>IF('R.M Billets Reports'!J1205="","",'R.M Billets Reports'!J1205)</f>
      </c>
      <c r="O1206">
        <f t="shared" si="37"/>
      </c>
      <c r="P1206">
        <f>IF('R.M Billets Reports'!A1205="SIZE",'R.M Billets Reports'!B1205,P1205)</f>
      </c>
    </row>
    <row r="1207" spans="1:16" x14ac:dyDescent="0.25">
      <c r="A1207">
        <f>IF(OR('R.M Billets Reports'!A1206="Date-",'R.M Billets Reports'!A1206="Date:-"),IF(IF(IF(ISNUMBER(SEARCH("Party Name:-",'R.M Billets Reports'!D1206)),TRIM('R.M Billets Reports'!F1206),IF(ISNUMBER(SEARCH("Party Name-",'R.M Billets Reports'!D1206)),TRIM(MID('R.M Billets Reports'!D1206,SEARCH("-",'R.M Billets Reports'!D1206)+1,200)),""))&lt;&gt;"",IF(ISNUMBER(SEARCH("Party Name:-",'R.M Billets Reports'!D1206)),TRIM('R.M Billets Reports'!F1206),IF(ISNUMBER(SEARCH("Party Name-",'R.M Billets Reports'!D1206)),TRIM(MID('R.M Billets Reports'!D1206,SEARCH("-",'R.M Billets Reports'!D1206)+1,200)),"")),IF(ISNUMBER(SEARCH("Party Name:-",'R.M Billets Reports'!D1207)),TRIM('R.M Billets Reports'!F1207),IF(ISNUMBER(SEARCH("Party Name-",'R.M Billets Reports'!D1207)),TRIM(MID('R.M Billets Reports'!D1207,SEARCH("-",'R.M Billets Reports'!D1207)+1,200)),"")))="VRKP ISPAT PVT LTD","VRKP",IF(IF(IF(ISNUMBER(SEARCH("Party Name:-",'R.M Billets Reports'!D1206)),TRIM('R.M Billets Reports'!F1206),IF(ISNUMBER(SEARCH("Party Name-",'R.M Billets Reports'!D1206)),TRIM(MID('R.M Billets Reports'!D1206,SEARCH("-",'R.M Billets Reports'!D1206)+1,200)),""))&lt;&gt;"",IF(ISNUMBER(SEARCH("Party Name:-",'R.M Billets Reports'!D1206)),TRIM('R.M Billets Reports'!F1206),IF(ISNUMBER(SEARCH("Party Name-",'R.M Billets Reports'!D1206)),TRIM(MID('R.M Billets Reports'!D1206,SEARCH("-",'R.M Billets Reports'!D1206)+1,200)),"")),IF(ISNUMBER(SEARCH("Party Name:-",'R.M Billets Reports'!D1207)),TRIM('R.M Billets Reports'!F1207),IF(ISNUMBER(SEARCH("Party Name-",'R.M Billets Reports'!D1207)),TRIM(MID('R.M Billets Reports'!D1207,SEARCH("-",'R.M Billets Reports'!D1207)+1,200)),"")))="SHRI RADHE","SHREE RADHE",IF(IF(IF(ISNUMBER(SEARCH("Party Name:-",'R.M Billets Reports'!D1206)),TRIM('R.M Billets Reports'!F1206),IF(ISNUMBER(SEARCH("Party Name-",'R.M Billets Reports'!D1206)),TRIM(MID('R.M Billets Reports'!D1206,SEARCH("-",'R.M Billets Reports'!D1206)+1,200)),""))&lt;&gt;"",IF(ISNUMBER(SEARCH("Party Name:-",'R.M Billets Reports'!D1206)),TRIM('R.M Billets Reports'!F1206),IF(ISNUMBER(SEARCH("Party Name-",'R.M Billets Reports'!D1206)),TRIM(MID('R.M Billets Reports'!D1206,SEARCH("-",'R.M Billets Reports'!D1206)+1,200)),"")),IF(ISNUMBER(SEARCH("Party Name:-",'R.M Billets Reports'!D1207)),TRIM('R.M Billets Reports'!F1207),IF(ISNUMBER(SEARCH("Party Name-",'R.M Billets Reports'!D1207)),TRIM(MID('R.M Billets Reports'!D1207,SEARCH("-",'R.M Billets Reports'!D1207)+1,200)),"")))="SHREE RADHE SHAKTI SPONGE AND POWER PVT. LTD.","SHREE RADHE",IF(IF(ISNUMBER(SEARCH("Party Name:-",'R.M Billets Reports'!D1206)),TRIM('R.M Billets Reports'!F1206),IF(ISNUMBER(SEARCH("Party Name-",'R.M Billets Reports'!D1206)),TRIM(MID('R.M Billets Reports'!D1206,SEARCH("-",'R.M Billets Reports'!D1206)+1,200)),""))&lt;&gt;"",IF(ISNUMBER(SEARCH("Party Name:-",'R.M Billets Reports'!D1206)),TRIM('R.M Billets Reports'!F1206),IF(ISNUMBER(SEARCH("Party Name-",'R.M Billets Reports'!D1206)),TRIM(MID('R.M Billets Reports'!D1206,SEARCH("-",'R.M Billets Reports'!D1206)+1,200)),"")),IF(ISNUMBER(SEARCH("Party Name:-",'R.M Billets Reports'!D1207)),TRIM('R.M Billets Reports'!F1207),IF(ISNUMBER(SEARCH("Party Name-",'R.M Billets Reports'!D1207)),TRIM(MID('R.M Billets Reports'!D1207,SEARCH("-",'R.M Billets Reports'!D1207)+1,200)),"")))))),IF(ROW()=2,"",A1206))</f>
      </c>
      <c r="B1207">
        <f>IF(OR('R.M Billets Reports'!A1206="Date-",'R.M Billets Reports'!A1206="Date:-"),'R.M Billets Reports'!B1206,IF(ROW()=2,"",B1206))</f>
      </c>
      <c r="C1207">
        <f>IF('R.M Billets Reports'!A1206="V.No.",'R.M Billets Reports'!B1206,IF(ROW()=2,"",C1206))</f>
      </c>
      <c r="D1207">
        <f>IF('R.M Billets Reports'!A1206&lt;&gt;"",'R.M Billets Reports'!A1206,IF(ROW()=2,"",D1206))</f>
      </c>
      <c r="E1207">
        <f>IF('R.M Billets Reports'!B1206="","",TRIM('R.M Billets Reports'!B1206))</f>
      </c>
      <c r="F1207">
        <f>'R.M Billets Reports'!C1206</f>
      </c>
      <c r="G1207">
        <f>'R.M Billets Reports'!D1206</f>
      </c>
      <c r="H1207">
        <f>'R.M Billets Reports'!E1206</f>
      </c>
      <c r="I1207">
        <f>'R.M Billets Reports'!F1206</f>
      </c>
      <c r="J1207">
        <f>'R.M Billets Reports'!G1206</f>
      </c>
      <c r="K1207">
        <f>'R.M Billets Reports'!H1206</f>
      </c>
      <c r="L1207">
        <f>IF('R.M Billets Reports'!I1206="","",'R.M Billets Reports'!I1206)</f>
      </c>
      <c r="M1207">
        <f t="shared" si="36"/>
      </c>
      <c r="N1207">
        <f>IF('R.M Billets Reports'!J1206="","",'R.M Billets Reports'!J1206)</f>
      </c>
      <c r="O1207">
        <f t="shared" si="37"/>
      </c>
      <c r="P1207">
        <f>IF('R.M Billets Reports'!A1206="SIZE",'R.M Billets Reports'!B1206,P1206)</f>
      </c>
    </row>
    <row r="1208" spans="1:16" x14ac:dyDescent="0.25">
      <c r="A1208">
        <f>IF(OR('R.M Billets Reports'!A1207="Date-",'R.M Billets Reports'!A1207="Date:-"),IF(IF(IF(ISNUMBER(SEARCH("Party Name:-",'R.M Billets Reports'!D1207)),TRIM('R.M Billets Reports'!F1207),IF(ISNUMBER(SEARCH("Party Name-",'R.M Billets Reports'!D1207)),TRIM(MID('R.M Billets Reports'!D1207,SEARCH("-",'R.M Billets Reports'!D1207)+1,200)),""))&lt;&gt;"",IF(ISNUMBER(SEARCH("Party Name:-",'R.M Billets Reports'!D1207)),TRIM('R.M Billets Reports'!F1207),IF(ISNUMBER(SEARCH("Party Name-",'R.M Billets Reports'!D1207)),TRIM(MID('R.M Billets Reports'!D1207,SEARCH("-",'R.M Billets Reports'!D1207)+1,200)),"")),IF(ISNUMBER(SEARCH("Party Name:-",'R.M Billets Reports'!D1208)),TRIM('R.M Billets Reports'!F1208),IF(ISNUMBER(SEARCH("Party Name-",'R.M Billets Reports'!D1208)),TRIM(MID('R.M Billets Reports'!D1208,SEARCH("-",'R.M Billets Reports'!D1208)+1,200)),"")))="VRKP ISPAT PVT LTD","VRKP",IF(IF(IF(ISNUMBER(SEARCH("Party Name:-",'R.M Billets Reports'!D1207)),TRIM('R.M Billets Reports'!F1207),IF(ISNUMBER(SEARCH("Party Name-",'R.M Billets Reports'!D1207)),TRIM(MID('R.M Billets Reports'!D1207,SEARCH("-",'R.M Billets Reports'!D1207)+1,200)),""))&lt;&gt;"",IF(ISNUMBER(SEARCH("Party Name:-",'R.M Billets Reports'!D1207)),TRIM('R.M Billets Reports'!F1207),IF(ISNUMBER(SEARCH("Party Name-",'R.M Billets Reports'!D1207)),TRIM(MID('R.M Billets Reports'!D1207,SEARCH("-",'R.M Billets Reports'!D1207)+1,200)),"")),IF(ISNUMBER(SEARCH("Party Name:-",'R.M Billets Reports'!D1208)),TRIM('R.M Billets Reports'!F1208),IF(ISNUMBER(SEARCH("Party Name-",'R.M Billets Reports'!D1208)),TRIM(MID('R.M Billets Reports'!D1208,SEARCH("-",'R.M Billets Reports'!D1208)+1,200)),"")))="SHRI RADHE","SHREE RADHE",IF(IF(IF(ISNUMBER(SEARCH("Party Name:-",'R.M Billets Reports'!D1207)),TRIM('R.M Billets Reports'!F1207),IF(ISNUMBER(SEARCH("Party Name-",'R.M Billets Reports'!D1207)),TRIM(MID('R.M Billets Reports'!D1207,SEARCH("-",'R.M Billets Reports'!D1207)+1,200)),""))&lt;&gt;"",IF(ISNUMBER(SEARCH("Party Name:-",'R.M Billets Reports'!D1207)),TRIM('R.M Billets Reports'!F1207),IF(ISNUMBER(SEARCH("Party Name-",'R.M Billets Reports'!D1207)),TRIM(MID('R.M Billets Reports'!D1207,SEARCH("-",'R.M Billets Reports'!D1207)+1,200)),"")),IF(ISNUMBER(SEARCH("Party Name:-",'R.M Billets Reports'!D1208)),TRIM('R.M Billets Reports'!F1208),IF(ISNUMBER(SEARCH("Party Name-",'R.M Billets Reports'!D1208)),TRIM(MID('R.M Billets Reports'!D1208,SEARCH("-",'R.M Billets Reports'!D1208)+1,200)),"")))="SHREE RADHE SHAKTI SPONGE AND POWER PVT. LTD.","SHREE RADHE",IF(IF(ISNUMBER(SEARCH("Party Name:-",'R.M Billets Reports'!D1207)),TRIM('R.M Billets Reports'!F1207),IF(ISNUMBER(SEARCH("Party Name-",'R.M Billets Reports'!D1207)),TRIM(MID('R.M Billets Reports'!D1207,SEARCH("-",'R.M Billets Reports'!D1207)+1,200)),""))&lt;&gt;"",IF(ISNUMBER(SEARCH("Party Name:-",'R.M Billets Reports'!D1207)),TRIM('R.M Billets Reports'!F1207),IF(ISNUMBER(SEARCH("Party Name-",'R.M Billets Reports'!D1207)),TRIM(MID('R.M Billets Reports'!D1207,SEARCH("-",'R.M Billets Reports'!D1207)+1,200)),"")),IF(ISNUMBER(SEARCH("Party Name:-",'R.M Billets Reports'!D1208)),TRIM('R.M Billets Reports'!F1208),IF(ISNUMBER(SEARCH("Party Name-",'R.M Billets Reports'!D1208)),TRIM(MID('R.M Billets Reports'!D1208,SEARCH("-",'R.M Billets Reports'!D1208)+1,200)),"")))))),IF(ROW()=2,"",A1207))</f>
      </c>
      <c r="B1208">
        <f>IF(OR('R.M Billets Reports'!A1207="Date-",'R.M Billets Reports'!A1207="Date:-"),'R.M Billets Reports'!B1207,IF(ROW()=2,"",B1207))</f>
      </c>
      <c r="C1208">
        <f>IF('R.M Billets Reports'!A1207="V.No.",'R.M Billets Reports'!B1207,IF(ROW()=2,"",C1207))</f>
      </c>
      <c r="D1208">
        <f>IF('R.M Billets Reports'!A1207&lt;&gt;"",'R.M Billets Reports'!A1207,IF(ROW()=2,"",D1207))</f>
      </c>
      <c r="E1208">
        <f>IF('R.M Billets Reports'!B1207="","",TRIM('R.M Billets Reports'!B1207))</f>
      </c>
      <c r="F1208">
        <f>'R.M Billets Reports'!C1207</f>
      </c>
      <c r="G1208">
        <f>'R.M Billets Reports'!D1207</f>
      </c>
      <c r="H1208">
        <f>'R.M Billets Reports'!E1207</f>
      </c>
      <c r="I1208">
        <f>'R.M Billets Reports'!F1207</f>
      </c>
      <c r="J1208">
        <f>'R.M Billets Reports'!G1207</f>
      </c>
      <c r="K1208">
        <f>'R.M Billets Reports'!H1207</f>
      </c>
      <c r="L1208">
        <f>IF('R.M Billets Reports'!I1207="","",'R.M Billets Reports'!I1207)</f>
      </c>
      <c r="M1208">
        <f t="shared" si="36"/>
      </c>
      <c r="N1208">
        <f>IF('R.M Billets Reports'!J1207="","",'R.M Billets Reports'!J1207)</f>
      </c>
      <c r="O1208">
        <f t="shared" si="37"/>
      </c>
      <c r="P1208">
        <f>IF('R.M Billets Reports'!A1207="SIZE",'R.M Billets Reports'!B1207,P1207)</f>
      </c>
    </row>
    <row r="1209" spans="1:16" x14ac:dyDescent="0.25">
      <c r="A1209">
        <f>IF(OR('R.M Billets Reports'!A1208="Date-",'R.M Billets Reports'!A1208="Date:-"),IF(IF(IF(ISNUMBER(SEARCH("Party Name:-",'R.M Billets Reports'!D1208)),TRIM('R.M Billets Reports'!F1208),IF(ISNUMBER(SEARCH("Party Name-",'R.M Billets Reports'!D1208)),TRIM(MID('R.M Billets Reports'!D1208,SEARCH("-",'R.M Billets Reports'!D1208)+1,200)),""))&lt;&gt;"",IF(ISNUMBER(SEARCH("Party Name:-",'R.M Billets Reports'!D1208)),TRIM('R.M Billets Reports'!F1208),IF(ISNUMBER(SEARCH("Party Name-",'R.M Billets Reports'!D1208)),TRIM(MID('R.M Billets Reports'!D1208,SEARCH("-",'R.M Billets Reports'!D1208)+1,200)),"")),IF(ISNUMBER(SEARCH("Party Name:-",'R.M Billets Reports'!D1209)),TRIM('R.M Billets Reports'!F1209),IF(ISNUMBER(SEARCH("Party Name-",'R.M Billets Reports'!D1209)),TRIM(MID('R.M Billets Reports'!D1209,SEARCH("-",'R.M Billets Reports'!D1209)+1,200)),"")))="VRKP ISPAT PVT LTD","VRKP",IF(IF(IF(ISNUMBER(SEARCH("Party Name:-",'R.M Billets Reports'!D1208)),TRIM('R.M Billets Reports'!F1208),IF(ISNUMBER(SEARCH("Party Name-",'R.M Billets Reports'!D1208)),TRIM(MID('R.M Billets Reports'!D1208,SEARCH("-",'R.M Billets Reports'!D1208)+1,200)),""))&lt;&gt;"",IF(ISNUMBER(SEARCH("Party Name:-",'R.M Billets Reports'!D1208)),TRIM('R.M Billets Reports'!F1208),IF(ISNUMBER(SEARCH("Party Name-",'R.M Billets Reports'!D1208)),TRIM(MID('R.M Billets Reports'!D1208,SEARCH("-",'R.M Billets Reports'!D1208)+1,200)),"")),IF(ISNUMBER(SEARCH("Party Name:-",'R.M Billets Reports'!D1209)),TRIM('R.M Billets Reports'!F1209),IF(ISNUMBER(SEARCH("Party Name-",'R.M Billets Reports'!D1209)),TRIM(MID('R.M Billets Reports'!D1209,SEARCH("-",'R.M Billets Reports'!D1209)+1,200)),"")))="SHRI RADHE","SHREE RADHE",IF(IF(IF(ISNUMBER(SEARCH("Party Name:-",'R.M Billets Reports'!D1208)),TRIM('R.M Billets Reports'!F1208),IF(ISNUMBER(SEARCH("Party Name-",'R.M Billets Reports'!D1208)),TRIM(MID('R.M Billets Reports'!D1208,SEARCH("-",'R.M Billets Reports'!D1208)+1,200)),""))&lt;&gt;"",IF(ISNUMBER(SEARCH("Party Name:-",'R.M Billets Reports'!D1208)),TRIM('R.M Billets Reports'!F1208),IF(ISNUMBER(SEARCH("Party Name-",'R.M Billets Reports'!D1208)),TRIM(MID('R.M Billets Reports'!D1208,SEARCH("-",'R.M Billets Reports'!D1208)+1,200)),"")),IF(ISNUMBER(SEARCH("Party Name:-",'R.M Billets Reports'!D1209)),TRIM('R.M Billets Reports'!F1209),IF(ISNUMBER(SEARCH("Party Name-",'R.M Billets Reports'!D1209)),TRIM(MID('R.M Billets Reports'!D1209,SEARCH("-",'R.M Billets Reports'!D1209)+1,200)),"")))="SHREE RADHE SHAKTI SPONGE AND POWER PVT. LTD.","SHREE RADHE",IF(IF(ISNUMBER(SEARCH("Party Name:-",'R.M Billets Reports'!D1208)),TRIM('R.M Billets Reports'!F1208),IF(ISNUMBER(SEARCH("Party Name-",'R.M Billets Reports'!D1208)),TRIM(MID('R.M Billets Reports'!D1208,SEARCH("-",'R.M Billets Reports'!D1208)+1,200)),""))&lt;&gt;"",IF(ISNUMBER(SEARCH("Party Name:-",'R.M Billets Reports'!D1208)),TRIM('R.M Billets Reports'!F1208),IF(ISNUMBER(SEARCH("Party Name-",'R.M Billets Reports'!D1208)),TRIM(MID('R.M Billets Reports'!D1208,SEARCH("-",'R.M Billets Reports'!D1208)+1,200)),"")),IF(ISNUMBER(SEARCH("Party Name:-",'R.M Billets Reports'!D1209)),TRIM('R.M Billets Reports'!F1209),IF(ISNUMBER(SEARCH("Party Name-",'R.M Billets Reports'!D1209)),TRIM(MID('R.M Billets Reports'!D1209,SEARCH("-",'R.M Billets Reports'!D1209)+1,200)),"")))))),IF(ROW()=2,"",A1208))</f>
      </c>
      <c r="B1209">
        <f>IF(OR('R.M Billets Reports'!A1208="Date-",'R.M Billets Reports'!A1208="Date:-"),'R.M Billets Reports'!B1208,IF(ROW()=2,"",B1208))</f>
      </c>
      <c r="C1209">
        <f>IF('R.M Billets Reports'!A1208="V.No.",'R.M Billets Reports'!B1208,IF(ROW()=2,"",C1208))</f>
      </c>
      <c r="D1209">
        <f>IF('R.M Billets Reports'!A1208&lt;&gt;"",'R.M Billets Reports'!A1208,IF(ROW()=2,"",D1208))</f>
      </c>
      <c r="E1209">
        <f>IF('R.M Billets Reports'!B1208="","",TRIM('R.M Billets Reports'!B1208))</f>
      </c>
      <c r="F1209">
        <f>'R.M Billets Reports'!C1208</f>
      </c>
      <c r="G1209">
        <f>'R.M Billets Reports'!D1208</f>
      </c>
      <c r="H1209">
        <f>'R.M Billets Reports'!E1208</f>
      </c>
      <c r="I1209">
        <f>'R.M Billets Reports'!F1208</f>
      </c>
      <c r="J1209">
        <f>'R.M Billets Reports'!G1208</f>
      </c>
      <c r="K1209">
        <f>'R.M Billets Reports'!H1208</f>
      </c>
      <c r="L1209">
        <f>IF('R.M Billets Reports'!I1208="","",'R.M Billets Reports'!I1208)</f>
      </c>
      <c r="M1209">
        <f t="shared" si="36"/>
      </c>
      <c r="N1209">
        <f>IF('R.M Billets Reports'!J1208="","",'R.M Billets Reports'!J1208)</f>
      </c>
      <c r="O1209">
        <f t="shared" si="37"/>
      </c>
      <c r="P1209">
        <f>IF('R.M Billets Reports'!A1208="SIZE",'R.M Billets Reports'!B1208,P1208)</f>
      </c>
    </row>
    <row r="1210" spans="1:16" x14ac:dyDescent="0.25">
      <c r="A1210">
        <f>IF(OR('R.M Billets Reports'!A1209="Date-",'R.M Billets Reports'!A1209="Date:-"),IF(IF(IF(ISNUMBER(SEARCH("Party Name:-",'R.M Billets Reports'!D1209)),TRIM('R.M Billets Reports'!F1209),IF(ISNUMBER(SEARCH("Party Name-",'R.M Billets Reports'!D1209)),TRIM(MID('R.M Billets Reports'!D1209,SEARCH("-",'R.M Billets Reports'!D1209)+1,200)),""))&lt;&gt;"",IF(ISNUMBER(SEARCH("Party Name:-",'R.M Billets Reports'!D1209)),TRIM('R.M Billets Reports'!F1209),IF(ISNUMBER(SEARCH("Party Name-",'R.M Billets Reports'!D1209)),TRIM(MID('R.M Billets Reports'!D1209,SEARCH("-",'R.M Billets Reports'!D1209)+1,200)),"")),IF(ISNUMBER(SEARCH("Party Name:-",'R.M Billets Reports'!D1210)),TRIM('R.M Billets Reports'!F1210),IF(ISNUMBER(SEARCH("Party Name-",'R.M Billets Reports'!D1210)),TRIM(MID('R.M Billets Reports'!D1210,SEARCH("-",'R.M Billets Reports'!D1210)+1,200)),"")))="VRKP ISPAT PVT LTD","VRKP",IF(IF(IF(ISNUMBER(SEARCH("Party Name:-",'R.M Billets Reports'!D1209)),TRIM('R.M Billets Reports'!F1209),IF(ISNUMBER(SEARCH("Party Name-",'R.M Billets Reports'!D1209)),TRIM(MID('R.M Billets Reports'!D1209,SEARCH("-",'R.M Billets Reports'!D1209)+1,200)),""))&lt;&gt;"",IF(ISNUMBER(SEARCH("Party Name:-",'R.M Billets Reports'!D1209)),TRIM('R.M Billets Reports'!F1209),IF(ISNUMBER(SEARCH("Party Name-",'R.M Billets Reports'!D1209)),TRIM(MID('R.M Billets Reports'!D1209,SEARCH("-",'R.M Billets Reports'!D1209)+1,200)),"")),IF(ISNUMBER(SEARCH("Party Name:-",'R.M Billets Reports'!D1210)),TRIM('R.M Billets Reports'!F1210),IF(ISNUMBER(SEARCH("Party Name-",'R.M Billets Reports'!D1210)),TRIM(MID('R.M Billets Reports'!D1210,SEARCH("-",'R.M Billets Reports'!D1210)+1,200)),"")))="SHRI RADHE","SHREE RADHE",IF(IF(IF(ISNUMBER(SEARCH("Party Name:-",'R.M Billets Reports'!D1209)),TRIM('R.M Billets Reports'!F1209),IF(ISNUMBER(SEARCH("Party Name-",'R.M Billets Reports'!D1209)),TRIM(MID('R.M Billets Reports'!D1209,SEARCH("-",'R.M Billets Reports'!D1209)+1,200)),""))&lt;&gt;"",IF(ISNUMBER(SEARCH("Party Name:-",'R.M Billets Reports'!D1209)),TRIM('R.M Billets Reports'!F1209),IF(ISNUMBER(SEARCH("Party Name-",'R.M Billets Reports'!D1209)),TRIM(MID('R.M Billets Reports'!D1209,SEARCH("-",'R.M Billets Reports'!D1209)+1,200)),"")),IF(ISNUMBER(SEARCH("Party Name:-",'R.M Billets Reports'!D1210)),TRIM('R.M Billets Reports'!F1210),IF(ISNUMBER(SEARCH("Party Name-",'R.M Billets Reports'!D1210)),TRIM(MID('R.M Billets Reports'!D1210,SEARCH("-",'R.M Billets Reports'!D1210)+1,200)),"")))="SHREE RADHE SHAKTI SPONGE AND POWER PVT. LTD.","SHREE RADHE",IF(IF(ISNUMBER(SEARCH("Party Name:-",'R.M Billets Reports'!D1209)),TRIM('R.M Billets Reports'!F1209),IF(ISNUMBER(SEARCH("Party Name-",'R.M Billets Reports'!D1209)),TRIM(MID('R.M Billets Reports'!D1209,SEARCH("-",'R.M Billets Reports'!D1209)+1,200)),""))&lt;&gt;"",IF(ISNUMBER(SEARCH("Party Name:-",'R.M Billets Reports'!D1209)),TRIM('R.M Billets Reports'!F1209),IF(ISNUMBER(SEARCH("Party Name-",'R.M Billets Reports'!D1209)),TRIM(MID('R.M Billets Reports'!D1209,SEARCH("-",'R.M Billets Reports'!D1209)+1,200)),"")),IF(ISNUMBER(SEARCH("Party Name:-",'R.M Billets Reports'!D1210)),TRIM('R.M Billets Reports'!F1210),IF(ISNUMBER(SEARCH("Party Name-",'R.M Billets Reports'!D1210)),TRIM(MID('R.M Billets Reports'!D1210,SEARCH("-",'R.M Billets Reports'!D1210)+1,200)),"")))))),IF(ROW()=2,"",A1209))</f>
      </c>
      <c r="B1210">
        <f>IF(OR('R.M Billets Reports'!A1209="Date-",'R.M Billets Reports'!A1209="Date:-"),'R.M Billets Reports'!B1209,IF(ROW()=2,"",B1209))</f>
      </c>
      <c r="C1210">
        <f>IF('R.M Billets Reports'!A1209="V.No.",'R.M Billets Reports'!B1209,IF(ROW()=2,"",C1209))</f>
      </c>
      <c r="D1210">
        <f>IF('R.M Billets Reports'!A1209&lt;&gt;"",'R.M Billets Reports'!A1209,IF(ROW()=2,"",D1209))</f>
      </c>
      <c r="E1210">
        <f>IF('R.M Billets Reports'!B1209="","",TRIM('R.M Billets Reports'!B1209))</f>
      </c>
      <c r="F1210">
        <f>'R.M Billets Reports'!C1209</f>
      </c>
      <c r="G1210">
        <f>'R.M Billets Reports'!D1209</f>
      </c>
      <c r="H1210">
        <f>'R.M Billets Reports'!E1209</f>
      </c>
      <c r="I1210">
        <f>'R.M Billets Reports'!F1209</f>
      </c>
      <c r="J1210">
        <f>'R.M Billets Reports'!G1209</f>
      </c>
      <c r="K1210">
        <f>'R.M Billets Reports'!H1209</f>
      </c>
      <c r="L1210">
        <f>IF('R.M Billets Reports'!I1209="","",'R.M Billets Reports'!I1209)</f>
      </c>
      <c r="M1210">
        <f t="shared" si="36"/>
      </c>
      <c r="N1210">
        <f>IF('R.M Billets Reports'!J1209="","",'R.M Billets Reports'!J1209)</f>
      </c>
      <c r="O1210">
        <f t="shared" si="37"/>
      </c>
      <c r="P1210">
        <f>IF('R.M Billets Reports'!A1209="SIZE",'R.M Billets Reports'!B1209,P1209)</f>
      </c>
    </row>
    <row r="1211" spans="1:16" x14ac:dyDescent="0.25">
      <c r="A1211">
        <f>IF(OR('R.M Billets Reports'!A1210="Date-",'R.M Billets Reports'!A1210="Date:-"),IF(IF(IF(ISNUMBER(SEARCH("Party Name:-",'R.M Billets Reports'!D1210)),TRIM('R.M Billets Reports'!F1210),IF(ISNUMBER(SEARCH("Party Name-",'R.M Billets Reports'!D1210)),TRIM(MID('R.M Billets Reports'!D1210,SEARCH("-",'R.M Billets Reports'!D1210)+1,200)),""))&lt;&gt;"",IF(ISNUMBER(SEARCH("Party Name:-",'R.M Billets Reports'!D1210)),TRIM('R.M Billets Reports'!F1210),IF(ISNUMBER(SEARCH("Party Name-",'R.M Billets Reports'!D1210)),TRIM(MID('R.M Billets Reports'!D1210,SEARCH("-",'R.M Billets Reports'!D1210)+1,200)),"")),IF(ISNUMBER(SEARCH("Party Name:-",'R.M Billets Reports'!D1211)),TRIM('R.M Billets Reports'!F1211),IF(ISNUMBER(SEARCH("Party Name-",'R.M Billets Reports'!D1211)),TRIM(MID('R.M Billets Reports'!D1211,SEARCH("-",'R.M Billets Reports'!D1211)+1,200)),"")))="VRKP ISPAT PVT LTD","VRKP",IF(IF(IF(ISNUMBER(SEARCH("Party Name:-",'R.M Billets Reports'!D1210)),TRIM('R.M Billets Reports'!F1210),IF(ISNUMBER(SEARCH("Party Name-",'R.M Billets Reports'!D1210)),TRIM(MID('R.M Billets Reports'!D1210,SEARCH("-",'R.M Billets Reports'!D1210)+1,200)),""))&lt;&gt;"",IF(ISNUMBER(SEARCH("Party Name:-",'R.M Billets Reports'!D1210)),TRIM('R.M Billets Reports'!F1210),IF(ISNUMBER(SEARCH("Party Name-",'R.M Billets Reports'!D1210)),TRIM(MID('R.M Billets Reports'!D1210,SEARCH("-",'R.M Billets Reports'!D1210)+1,200)),"")),IF(ISNUMBER(SEARCH("Party Name:-",'R.M Billets Reports'!D1211)),TRIM('R.M Billets Reports'!F1211),IF(ISNUMBER(SEARCH("Party Name-",'R.M Billets Reports'!D1211)),TRIM(MID('R.M Billets Reports'!D1211,SEARCH("-",'R.M Billets Reports'!D1211)+1,200)),"")))="SHRI RADHE","SHREE RADHE",IF(IF(IF(ISNUMBER(SEARCH("Party Name:-",'R.M Billets Reports'!D1210)),TRIM('R.M Billets Reports'!F1210),IF(ISNUMBER(SEARCH("Party Name-",'R.M Billets Reports'!D1210)),TRIM(MID('R.M Billets Reports'!D1210,SEARCH("-",'R.M Billets Reports'!D1210)+1,200)),""))&lt;&gt;"",IF(ISNUMBER(SEARCH("Party Name:-",'R.M Billets Reports'!D1210)),TRIM('R.M Billets Reports'!F1210),IF(ISNUMBER(SEARCH("Party Name-",'R.M Billets Reports'!D1210)),TRIM(MID('R.M Billets Reports'!D1210,SEARCH("-",'R.M Billets Reports'!D1210)+1,200)),"")),IF(ISNUMBER(SEARCH("Party Name:-",'R.M Billets Reports'!D1211)),TRIM('R.M Billets Reports'!F1211),IF(ISNUMBER(SEARCH("Party Name-",'R.M Billets Reports'!D1211)),TRIM(MID('R.M Billets Reports'!D1211,SEARCH("-",'R.M Billets Reports'!D1211)+1,200)),"")))="SHREE RADHE SHAKTI SPONGE AND POWER PVT. LTD.","SHREE RADHE",IF(IF(ISNUMBER(SEARCH("Party Name:-",'R.M Billets Reports'!D1210)),TRIM('R.M Billets Reports'!F1210),IF(ISNUMBER(SEARCH("Party Name-",'R.M Billets Reports'!D1210)),TRIM(MID('R.M Billets Reports'!D1210,SEARCH("-",'R.M Billets Reports'!D1210)+1,200)),""))&lt;&gt;"",IF(ISNUMBER(SEARCH("Party Name:-",'R.M Billets Reports'!D1210)),TRIM('R.M Billets Reports'!F1210),IF(ISNUMBER(SEARCH("Party Name-",'R.M Billets Reports'!D1210)),TRIM(MID('R.M Billets Reports'!D1210,SEARCH("-",'R.M Billets Reports'!D1210)+1,200)),"")),IF(ISNUMBER(SEARCH("Party Name:-",'R.M Billets Reports'!D1211)),TRIM('R.M Billets Reports'!F1211),IF(ISNUMBER(SEARCH("Party Name-",'R.M Billets Reports'!D1211)),TRIM(MID('R.M Billets Reports'!D1211,SEARCH("-",'R.M Billets Reports'!D1211)+1,200)),"")))))),IF(ROW()=2,"",A1210))</f>
      </c>
      <c r="B1211">
        <f>IF(OR('R.M Billets Reports'!A1210="Date-",'R.M Billets Reports'!A1210="Date:-"),'R.M Billets Reports'!B1210,IF(ROW()=2,"",B1210))</f>
      </c>
      <c r="C1211">
        <f>IF('R.M Billets Reports'!A1210="V.No.",'R.M Billets Reports'!B1210,IF(ROW()=2,"",C1210))</f>
      </c>
      <c r="D1211">
        <f>IF('R.M Billets Reports'!A1210&lt;&gt;"",'R.M Billets Reports'!A1210,IF(ROW()=2,"",D1210))</f>
      </c>
      <c r="E1211">
        <f>IF('R.M Billets Reports'!B1210="","",TRIM('R.M Billets Reports'!B1210))</f>
      </c>
      <c r="F1211">
        <f>'R.M Billets Reports'!C1210</f>
      </c>
      <c r="G1211">
        <f>'R.M Billets Reports'!D1210</f>
      </c>
      <c r="H1211">
        <f>'R.M Billets Reports'!E1210</f>
      </c>
      <c r="I1211">
        <f>'R.M Billets Reports'!F1210</f>
      </c>
      <c r="J1211">
        <f>'R.M Billets Reports'!G1210</f>
      </c>
      <c r="K1211">
        <f>'R.M Billets Reports'!H1210</f>
      </c>
      <c r="L1211">
        <f>IF('R.M Billets Reports'!I1210="","",'R.M Billets Reports'!I1210)</f>
      </c>
      <c r="M1211">
        <f t="shared" si="36"/>
      </c>
      <c r="N1211">
        <f>IF('R.M Billets Reports'!J1210="","",'R.M Billets Reports'!J1210)</f>
      </c>
      <c r="O1211">
        <f t="shared" si="37"/>
      </c>
      <c r="P1211">
        <f>IF('R.M Billets Reports'!A1210="SIZE",'R.M Billets Reports'!B1210,P1210)</f>
      </c>
    </row>
    <row r="1212" spans="1:16" x14ac:dyDescent="0.25">
      <c r="A1212">
        <f>IF(OR('R.M Billets Reports'!A1211="Date-",'R.M Billets Reports'!A1211="Date:-"),IF(IF(IF(ISNUMBER(SEARCH("Party Name:-",'R.M Billets Reports'!D1211)),TRIM('R.M Billets Reports'!F1211),IF(ISNUMBER(SEARCH("Party Name-",'R.M Billets Reports'!D1211)),TRIM(MID('R.M Billets Reports'!D1211,SEARCH("-",'R.M Billets Reports'!D1211)+1,200)),""))&lt;&gt;"",IF(ISNUMBER(SEARCH("Party Name:-",'R.M Billets Reports'!D1211)),TRIM('R.M Billets Reports'!F1211),IF(ISNUMBER(SEARCH("Party Name-",'R.M Billets Reports'!D1211)),TRIM(MID('R.M Billets Reports'!D1211,SEARCH("-",'R.M Billets Reports'!D1211)+1,200)),"")),IF(ISNUMBER(SEARCH("Party Name:-",'R.M Billets Reports'!D1212)),TRIM('R.M Billets Reports'!F1212),IF(ISNUMBER(SEARCH("Party Name-",'R.M Billets Reports'!D1212)),TRIM(MID('R.M Billets Reports'!D1212,SEARCH("-",'R.M Billets Reports'!D1212)+1,200)),"")))="VRKP ISPAT PVT LTD","VRKP",IF(IF(IF(ISNUMBER(SEARCH("Party Name:-",'R.M Billets Reports'!D1211)),TRIM('R.M Billets Reports'!F1211),IF(ISNUMBER(SEARCH("Party Name-",'R.M Billets Reports'!D1211)),TRIM(MID('R.M Billets Reports'!D1211,SEARCH("-",'R.M Billets Reports'!D1211)+1,200)),""))&lt;&gt;"",IF(ISNUMBER(SEARCH("Party Name:-",'R.M Billets Reports'!D1211)),TRIM('R.M Billets Reports'!F1211),IF(ISNUMBER(SEARCH("Party Name-",'R.M Billets Reports'!D1211)),TRIM(MID('R.M Billets Reports'!D1211,SEARCH("-",'R.M Billets Reports'!D1211)+1,200)),"")),IF(ISNUMBER(SEARCH("Party Name:-",'R.M Billets Reports'!D1212)),TRIM('R.M Billets Reports'!F1212),IF(ISNUMBER(SEARCH("Party Name-",'R.M Billets Reports'!D1212)),TRIM(MID('R.M Billets Reports'!D1212,SEARCH("-",'R.M Billets Reports'!D1212)+1,200)),"")))="SHRI RADHE","SHREE RADHE",IF(IF(IF(ISNUMBER(SEARCH("Party Name:-",'R.M Billets Reports'!D1211)),TRIM('R.M Billets Reports'!F1211),IF(ISNUMBER(SEARCH("Party Name-",'R.M Billets Reports'!D1211)),TRIM(MID('R.M Billets Reports'!D1211,SEARCH("-",'R.M Billets Reports'!D1211)+1,200)),""))&lt;&gt;"",IF(ISNUMBER(SEARCH("Party Name:-",'R.M Billets Reports'!D1211)),TRIM('R.M Billets Reports'!F1211),IF(ISNUMBER(SEARCH("Party Name-",'R.M Billets Reports'!D1211)),TRIM(MID('R.M Billets Reports'!D1211,SEARCH("-",'R.M Billets Reports'!D1211)+1,200)),"")),IF(ISNUMBER(SEARCH("Party Name:-",'R.M Billets Reports'!D1212)),TRIM('R.M Billets Reports'!F1212),IF(ISNUMBER(SEARCH("Party Name-",'R.M Billets Reports'!D1212)),TRIM(MID('R.M Billets Reports'!D1212,SEARCH("-",'R.M Billets Reports'!D1212)+1,200)),"")))="SHREE RADHE SHAKTI SPONGE AND POWER PVT. LTD.","SHREE RADHE",IF(IF(ISNUMBER(SEARCH("Party Name:-",'R.M Billets Reports'!D1211)),TRIM('R.M Billets Reports'!F1211),IF(ISNUMBER(SEARCH("Party Name-",'R.M Billets Reports'!D1211)),TRIM(MID('R.M Billets Reports'!D1211,SEARCH("-",'R.M Billets Reports'!D1211)+1,200)),""))&lt;&gt;"",IF(ISNUMBER(SEARCH("Party Name:-",'R.M Billets Reports'!D1211)),TRIM('R.M Billets Reports'!F1211),IF(ISNUMBER(SEARCH("Party Name-",'R.M Billets Reports'!D1211)),TRIM(MID('R.M Billets Reports'!D1211,SEARCH("-",'R.M Billets Reports'!D1211)+1,200)),"")),IF(ISNUMBER(SEARCH("Party Name:-",'R.M Billets Reports'!D1212)),TRIM('R.M Billets Reports'!F1212),IF(ISNUMBER(SEARCH("Party Name-",'R.M Billets Reports'!D1212)),TRIM(MID('R.M Billets Reports'!D1212,SEARCH("-",'R.M Billets Reports'!D1212)+1,200)),"")))))),IF(ROW()=2,"",A1211))</f>
      </c>
      <c r="B1212">
        <f>IF(OR('R.M Billets Reports'!A1211="Date-",'R.M Billets Reports'!A1211="Date:-"),'R.M Billets Reports'!B1211,IF(ROW()=2,"",B1211))</f>
      </c>
      <c r="C1212">
        <f>IF('R.M Billets Reports'!A1211="V.No.",'R.M Billets Reports'!B1211,IF(ROW()=2,"",C1211))</f>
      </c>
      <c r="D1212">
        <f>IF('R.M Billets Reports'!A1211&lt;&gt;"",'R.M Billets Reports'!A1211,IF(ROW()=2,"",D1211))</f>
      </c>
      <c r="E1212">
        <f>IF('R.M Billets Reports'!B1211="","",TRIM('R.M Billets Reports'!B1211))</f>
      </c>
      <c r="F1212">
        <f>'R.M Billets Reports'!C1211</f>
      </c>
      <c r="G1212">
        <f>'R.M Billets Reports'!D1211</f>
      </c>
      <c r="H1212">
        <f>'R.M Billets Reports'!E1211</f>
      </c>
      <c r="I1212">
        <f>'R.M Billets Reports'!F1211</f>
      </c>
      <c r="J1212">
        <f>'R.M Billets Reports'!G1211</f>
      </c>
      <c r="K1212">
        <f>'R.M Billets Reports'!H1211</f>
      </c>
      <c r="L1212">
        <f>IF('R.M Billets Reports'!I1211="","",'R.M Billets Reports'!I1211)</f>
      </c>
      <c r="M1212">
        <f t="shared" si="36"/>
      </c>
      <c r="N1212">
        <f>IF('R.M Billets Reports'!J1211="","",'R.M Billets Reports'!J1211)</f>
      </c>
      <c r="O1212">
        <f t="shared" si="37"/>
      </c>
      <c r="P1212">
        <f>IF('R.M Billets Reports'!A1211="SIZE",'R.M Billets Reports'!B1211,P1211)</f>
      </c>
    </row>
    <row r="1213" spans="1:16" x14ac:dyDescent="0.25">
      <c r="A1213">
        <f>IF(OR('R.M Billets Reports'!A1212="Date-",'R.M Billets Reports'!A1212="Date:-"),IF(IF(IF(ISNUMBER(SEARCH("Party Name:-",'R.M Billets Reports'!D1212)),TRIM('R.M Billets Reports'!F1212),IF(ISNUMBER(SEARCH("Party Name-",'R.M Billets Reports'!D1212)),TRIM(MID('R.M Billets Reports'!D1212,SEARCH("-",'R.M Billets Reports'!D1212)+1,200)),""))&lt;&gt;"",IF(ISNUMBER(SEARCH("Party Name:-",'R.M Billets Reports'!D1212)),TRIM('R.M Billets Reports'!F1212),IF(ISNUMBER(SEARCH("Party Name-",'R.M Billets Reports'!D1212)),TRIM(MID('R.M Billets Reports'!D1212,SEARCH("-",'R.M Billets Reports'!D1212)+1,200)),"")),IF(ISNUMBER(SEARCH("Party Name:-",'R.M Billets Reports'!D1213)),TRIM('R.M Billets Reports'!F1213),IF(ISNUMBER(SEARCH("Party Name-",'R.M Billets Reports'!D1213)),TRIM(MID('R.M Billets Reports'!D1213,SEARCH("-",'R.M Billets Reports'!D1213)+1,200)),"")))="VRKP ISPAT PVT LTD","VRKP",IF(IF(IF(ISNUMBER(SEARCH("Party Name:-",'R.M Billets Reports'!D1212)),TRIM('R.M Billets Reports'!F1212),IF(ISNUMBER(SEARCH("Party Name-",'R.M Billets Reports'!D1212)),TRIM(MID('R.M Billets Reports'!D1212,SEARCH("-",'R.M Billets Reports'!D1212)+1,200)),""))&lt;&gt;"",IF(ISNUMBER(SEARCH("Party Name:-",'R.M Billets Reports'!D1212)),TRIM('R.M Billets Reports'!F1212),IF(ISNUMBER(SEARCH("Party Name-",'R.M Billets Reports'!D1212)),TRIM(MID('R.M Billets Reports'!D1212,SEARCH("-",'R.M Billets Reports'!D1212)+1,200)),"")),IF(ISNUMBER(SEARCH("Party Name:-",'R.M Billets Reports'!D1213)),TRIM('R.M Billets Reports'!F1213),IF(ISNUMBER(SEARCH("Party Name-",'R.M Billets Reports'!D1213)),TRIM(MID('R.M Billets Reports'!D1213,SEARCH("-",'R.M Billets Reports'!D1213)+1,200)),"")))="SHRI RADHE","SHREE RADHE",IF(IF(IF(ISNUMBER(SEARCH("Party Name:-",'R.M Billets Reports'!D1212)),TRIM('R.M Billets Reports'!F1212),IF(ISNUMBER(SEARCH("Party Name-",'R.M Billets Reports'!D1212)),TRIM(MID('R.M Billets Reports'!D1212,SEARCH("-",'R.M Billets Reports'!D1212)+1,200)),""))&lt;&gt;"",IF(ISNUMBER(SEARCH("Party Name:-",'R.M Billets Reports'!D1212)),TRIM('R.M Billets Reports'!F1212),IF(ISNUMBER(SEARCH("Party Name-",'R.M Billets Reports'!D1212)),TRIM(MID('R.M Billets Reports'!D1212,SEARCH("-",'R.M Billets Reports'!D1212)+1,200)),"")),IF(ISNUMBER(SEARCH("Party Name:-",'R.M Billets Reports'!D1213)),TRIM('R.M Billets Reports'!F1213),IF(ISNUMBER(SEARCH("Party Name-",'R.M Billets Reports'!D1213)),TRIM(MID('R.M Billets Reports'!D1213,SEARCH("-",'R.M Billets Reports'!D1213)+1,200)),"")))="SHREE RADHE SHAKTI SPONGE AND POWER PVT. LTD.","SHREE RADHE",IF(IF(ISNUMBER(SEARCH("Party Name:-",'R.M Billets Reports'!D1212)),TRIM('R.M Billets Reports'!F1212),IF(ISNUMBER(SEARCH("Party Name-",'R.M Billets Reports'!D1212)),TRIM(MID('R.M Billets Reports'!D1212,SEARCH("-",'R.M Billets Reports'!D1212)+1,200)),""))&lt;&gt;"",IF(ISNUMBER(SEARCH("Party Name:-",'R.M Billets Reports'!D1212)),TRIM('R.M Billets Reports'!F1212),IF(ISNUMBER(SEARCH("Party Name-",'R.M Billets Reports'!D1212)),TRIM(MID('R.M Billets Reports'!D1212,SEARCH("-",'R.M Billets Reports'!D1212)+1,200)),"")),IF(ISNUMBER(SEARCH("Party Name:-",'R.M Billets Reports'!D1213)),TRIM('R.M Billets Reports'!F1213),IF(ISNUMBER(SEARCH("Party Name-",'R.M Billets Reports'!D1213)),TRIM(MID('R.M Billets Reports'!D1213,SEARCH("-",'R.M Billets Reports'!D1213)+1,200)),"")))))),IF(ROW()=2,"",A1212))</f>
      </c>
      <c r="B1213">
        <f>IF(OR('R.M Billets Reports'!A1212="Date-",'R.M Billets Reports'!A1212="Date:-"),'R.M Billets Reports'!B1212,IF(ROW()=2,"",B1212))</f>
      </c>
      <c r="C1213">
        <f>IF('R.M Billets Reports'!A1212="V.No.",'R.M Billets Reports'!B1212,IF(ROW()=2,"",C1212))</f>
      </c>
      <c r="D1213">
        <f>IF('R.M Billets Reports'!A1212&lt;&gt;"",'R.M Billets Reports'!A1212,IF(ROW()=2,"",D1212))</f>
      </c>
      <c r="E1213">
        <f>IF('R.M Billets Reports'!B1212="","",TRIM('R.M Billets Reports'!B1212))</f>
      </c>
      <c r="F1213">
        <f>'R.M Billets Reports'!C1212</f>
      </c>
      <c r="G1213">
        <f>'R.M Billets Reports'!D1212</f>
      </c>
      <c r="H1213">
        <f>'R.M Billets Reports'!E1212</f>
      </c>
      <c r="I1213">
        <f>'R.M Billets Reports'!F1212</f>
      </c>
      <c r="J1213">
        <f>'R.M Billets Reports'!G1212</f>
      </c>
      <c r="K1213">
        <f>'R.M Billets Reports'!H1212</f>
      </c>
      <c r="L1213">
        <f>IF('R.M Billets Reports'!I1212="","",'R.M Billets Reports'!I1212)</f>
      </c>
      <c r="M1213">
        <f t="shared" si="36"/>
      </c>
      <c r="N1213">
        <f>IF('R.M Billets Reports'!J1212="","",'R.M Billets Reports'!J1212)</f>
      </c>
      <c r="O1213">
        <f t="shared" si="37"/>
      </c>
      <c r="P1213">
        <f>IF('R.M Billets Reports'!A1212="SIZE",'R.M Billets Reports'!B1212,P1212)</f>
      </c>
    </row>
    <row r="1214" spans="1:16" x14ac:dyDescent="0.25">
      <c r="A1214">
        <f>IF(OR('R.M Billets Reports'!A1213="Date-",'R.M Billets Reports'!A1213="Date:-"),IF(IF(IF(ISNUMBER(SEARCH("Party Name:-",'R.M Billets Reports'!D1213)),TRIM('R.M Billets Reports'!F1213),IF(ISNUMBER(SEARCH("Party Name-",'R.M Billets Reports'!D1213)),TRIM(MID('R.M Billets Reports'!D1213,SEARCH("-",'R.M Billets Reports'!D1213)+1,200)),""))&lt;&gt;"",IF(ISNUMBER(SEARCH("Party Name:-",'R.M Billets Reports'!D1213)),TRIM('R.M Billets Reports'!F1213),IF(ISNUMBER(SEARCH("Party Name-",'R.M Billets Reports'!D1213)),TRIM(MID('R.M Billets Reports'!D1213,SEARCH("-",'R.M Billets Reports'!D1213)+1,200)),"")),IF(ISNUMBER(SEARCH("Party Name:-",'R.M Billets Reports'!D1214)),TRIM('R.M Billets Reports'!F1214),IF(ISNUMBER(SEARCH("Party Name-",'R.M Billets Reports'!D1214)),TRIM(MID('R.M Billets Reports'!D1214,SEARCH("-",'R.M Billets Reports'!D1214)+1,200)),"")))="VRKP ISPAT PVT LTD","VRKP",IF(IF(IF(ISNUMBER(SEARCH("Party Name:-",'R.M Billets Reports'!D1213)),TRIM('R.M Billets Reports'!F1213),IF(ISNUMBER(SEARCH("Party Name-",'R.M Billets Reports'!D1213)),TRIM(MID('R.M Billets Reports'!D1213,SEARCH("-",'R.M Billets Reports'!D1213)+1,200)),""))&lt;&gt;"",IF(ISNUMBER(SEARCH("Party Name:-",'R.M Billets Reports'!D1213)),TRIM('R.M Billets Reports'!F1213),IF(ISNUMBER(SEARCH("Party Name-",'R.M Billets Reports'!D1213)),TRIM(MID('R.M Billets Reports'!D1213,SEARCH("-",'R.M Billets Reports'!D1213)+1,200)),"")),IF(ISNUMBER(SEARCH("Party Name:-",'R.M Billets Reports'!D1214)),TRIM('R.M Billets Reports'!F1214),IF(ISNUMBER(SEARCH("Party Name-",'R.M Billets Reports'!D1214)),TRIM(MID('R.M Billets Reports'!D1214,SEARCH("-",'R.M Billets Reports'!D1214)+1,200)),"")))="SHRI RADHE","SHREE RADHE",IF(IF(IF(ISNUMBER(SEARCH("Party Name:-",'R.M Billets Reports'!D1213)),TRIM('R.M Billets Reports'!F1213),IF(ISNUMBER(SEARCH("Party Name-",'R.M Billets Reports'!D1213)),TRIM(MID('R.M Billets Reports'!D1213,SEARCH("-",'R.M Billets Reports'!D1213)+1,200)),""))&lt;&gt;"",IF(ISNUMBER(SEARCH("Party Name:-",'R.M Billets Reports'!D1213)),TRIM('R.M Billets Reports'!F1213),IF(ISNUMBER(SEARCH("Party Name-",'R.M Billets Reports'!D1213)),TRIM(MID('R.M Billets Reports'!D1213,SEARCH("-",'R.M Billets Reports'!D1213)+1,200)),"")),IF(ISNUMBER(SEARCH("Party Name:-",'R.M Billets Reports'!D1214)),TRIM('R.M Billets Reports'!F1214),IF(ISNUMBER(SEARCH("Party Name-",'R.M Billets Reports'!D1214)),TRIM(MID('R.M Billets Reports'!D1214,SEARCH("-",'R.M Billets Reports'!D1214)+1,200)),"")))="SHREE RADHE SHAKTI SPONGE AND POWER PVT. LTD.","SHREE RADHE",IF(IF(ISNUMBER(SEARCH("Party Name:-",'R.M Billets Reports'!D1213)),TRIM('R.M Billets Reports'!F1213),IF(ISNUMBER(SEARCH("Party Name-",'R.M Billets Reports'!D1213)),TRIM(MID('R.M Billets Reports'!D1213,SEARCH("-",'R.M Billets Reports'!D1213)+1,200)),""))&lt;&gt;"",IF(ISNUMBER(SEARCH("Party Name:-",'R.M Billets Reports'!D1213)),TRIM('R.M Billets Reports'!F1213),IF(ISNUMBER(SEARCH("Party Name-",'R.M Billets Reports'!D1213)),TRIM(MID('R.M Billets Reports'!D1213,SEARCH("-",'R.M Billets Reports'!D1213)+1,200)),"")),IF(ISNUMBER(SEARCH("Party Name:-",'R.M Billets Reports'!D1214)),TRIM('R.M Billets Reports'!F1214),IF(ISNUMBER(SEARCH("Party Name-",'R.M Billets Reports'!D1214)),TRIM(MID('R.M Billets Reports'!D1214,SEARCH("-",'R.M Billets Reports'!D1214)+1,200)),"")))))),IF(ROW()=2,"",A1213))</f>
      </c>
      <c r="B1214">
        <f>IF(OR('R.M Billets Reports'!A1213="Date-",'R.M Billets Reports'!A1213="Date:-"),'R.M Billets Reports'!B1213,IF(ROW()=2,"",B1213))</f>
      </c>
      <c r="C1214">
        <f>IF('R.M Billets Reports'!A1213="V.No.",'R.M Billets Reports'!B1213,IF(ROW()=2,"",C1213))</f>
      </c>
      <c r="D1214">
        <f>IF('R.M Billets Reports'!A1213&lt;&gt;"",'R.M Billets Reports'!A1213,IF(ROW()=2,"",D1213))</f>
      </c>
      <c r="E1214">
        <f>IF('R.M Billets Reports'!B1213="","",TRIM('R.M Billets Reports'!B1213))</f>
      </c>
      <c r="F1214">
        <f>'R.M Billets Reports'!C1213</f>
      </c>
      <c r="G1214">
        <f>'R.M Billets Reports'!D1213</f>
      </c>
      <c r="H1214">
        <f>'R.M Billets Reports'!E1213</f>
      </c>
      <c r="I1214">
        <f>'R.M Billets Reports'!F1213</f>
      </c>
      <c r="J1214">
        <f>'R.M Billets Reports'!G1213</f>
      </c>
      <c r="K1214">
        <f>'R.M Billets Reports'!H1213</f>
      </c>
      <c r="L1214">
        <f>IF('R.M Billets Reports'!I1213="","",'R.M Billets Reports'!I1213)</f>
      </c>
      <c r="M1214">
        <f t="shared" si="36"/>
      </c>
      <c r="N1214">
        <f>IF('R.M Billets Reports'!J1213="","",'R.M Billets Reports'!J1213)</f>
      </c>
      <c r="O1214">
        <f t="shared" si="37"/>
      </c>
      <c r="P1214">
        <f>IF('R.M Billets Reports'!A1213="SIZE",'R.M Billets Reports'!B1213,P1213)</f>
      </c>
    </row>
    <row r="1215" spans="1:16" x14ac:dyDescent="0.25">
      <c r="A1215">
        <f>IF(OR('R.M Billets Reports'!A1214="Date-",'R.M Billets Reports'!A1214="Date:-"),IF(IF(IF(ISNUMBER(SEARCH("Party Name:-",'R.M Billets Reports'!D1214)),TRIM('R.M Billets Reports'!F1214),IF(ISNUMBER(SEARCH("Party Name-",'R.M Billets Reports'!D1214)),TRIM(MID('R.M Billets Reports'!D1214,SEARCH("-",'R.M Billets Reports'!D1214)+1,200)),""))&lt;&gt;"",IF(ISNUMBER(SEARCH("Party Name:-",'R.M Billets Reports'!D1214)),TRIM('R.M Billets Reports'!F1214),IF(ISNUMBER(SEARCH("Party Name-",'R.M Billets Reports'!D1214)),TRIM(MID('R.M Billets Reports'!D1214,SEARCH("-",'R.M Billets Reports'!D1214)+1,200)),"")),IF(ISNUMBER(SEARCH("Party Name:-",'R.M Billets Reports'!D1215)),TRIM('R.M Billets Reports'!F1215),IF(ISNUMBER(SEARCH("Party Name-",'R.M Billets Reports'!D1215)),TRIM(MID('R.M Billets Reports'!D1215,SEARCH("-",'R.M Billets Reports'!D1215)+1,200)),"")))="VRKP ISPAT PVT LTD","VRKP",IF(IF(IF(ISNUMBER(SEARCH("Party Name:-",'R.M Billets Reports'!D1214)),TRIM('R.M Billets Reports'!F1214),IF(ISNUMBER(SEARCH("Party Name-",'R.M Billets Reports'!D1214)),TRIM(MID('R.M Billets Reports'!D1214,SEARCH("-",'R.M Billets Reports'!D1214)+1,200)),""))&lt;&gt;"",IF(ISNUMBER(SEARCH("Party Name:-",'R.M Billets Reports'!D1214)),TRIM('R.M Billets Reports'!F1214),IF(ISNUMBER(SEARCH("Party Name-",'R.M Billets Reports'!D1214)),TRIM(MID('R.M Billets Reports'!D1214,SEARCH("-",'R.M Billets Reports'!D1214)+1,200)),"")),IF(ISNUMBER(SEARCH("Party Name:-",'R.M Billets Reports'!D1215)),TRIM('R.M Billets Reports'!F1215),IF(ISNUMBER(SEARCH("Party Name-",'R.M Billets Reports'!D1215)),TRIM(MID('R.M Billets Reports'!D1215,SEARCH("-",'R.M Billets Reports'!D1215)+1,200)),"")))="SHRI RADHE","SHREE RADHE",IF(IF(IF(ISNUMBER(SEARCH("Party Name:-",'R.M Billets Reports'!D1214)),TRIM('R.M Billets Reports'!F1214),IF(ISNUMBER(SEARCH("Party Name-",'R.M Billets Reports'!D1214)),TRIM(MID('R.M Billets Reports'!D1214,SEARCH("-",'R.M Billets Reports'!D1214)+1,200)),""))&lt;&gt;"",IF(ISNUMBER(SEARCH("Party Name:-",'R.M Billets Reports'!D1214)),TRIM('R.M Billets Reports'!F1214),IF(ISNUMBER(SEARCH("Party Name-",'R.M Billets Reports'!D1214)),TRIM(MID('R.M Billets Reports'!D1214,SEARCH("-",'R.M Billets Reports'!D1214)+1,200)),"")),IF(ISNUMBER(SEARCH("Party Name:-",'R.M Billets Reports'!D1215)),TRIM('R.M Billets Reports'!F1215),IF(ISNUMBER(SEARCH("Party Name-",'R.M Billets Reports'!D1215)),TRIM(MID('R.M Billets Reports'!D1215,SEARCH("-",'R.M Billets Reports'!D1215)+1,200)),"")))="SHREE RADHE SHAKTI SPONGE AND POWER PVT. LTD.","SHREE RADHE",IF(IF(ISNUMBER(SEARCH("Party Name:-",'R.M Billets Reports'!D1214)),TRIM('R.M Billets Reports'!F1214),IF(ISNUMBER(SEARCH("Party Name-",'R.M Billets Reports'!D1214)),TRIM(MID('R.M Billets Reports'!D1214,SEARCH("-",'R.M Billets Reports'!D1214)+1,200)),""))&lt;&gt;"",IF(ISNUMBER(SEARCH("Party Name:-",'R.M Billets Reports'!D1214)),TRIM('R.M Billets Reports'!F1214),IF(ISNUMBER(SEARCH("Party Name-",'R.M Billets Reports'!D1214)),TRIM(MID('R.M Billets Reports'!D1214,SEARCH("-",'R.M Billets Reports'!D1214)+1,200)),"")),IF(ISNUMBER(SEARCH("Party Name:-",'R.M Billets Reports'!D1215)),TRIM('R.M Billets Reports'!F1215),IF(ISNUMBER(SEARCH("Party Name-",'R.M Billets Reports'!D1215)),TRIM(MID('R.M Billets Reports'!D1215,SEARCH("-",'R.M Billets Reports'!D1215)+1,200)),"")))))),IF(ROW()=2,"",A1214))</f>
      </c>
      <c r="B1215">
        <f>IF(OR('R.M Billets Reports'!A1214="Date-",'R.M Billets Reports'!A1214="Date:-"),'R.M Billets Reports'!B1214,IF(ROW()=2,"",B1214))</f>
      </c>
      <c r="C1215">
        <f>IF('R.M Billets Reports'!A1214="V.No.",'R.M Billets Reports'!B1214,IF(ROW()=2,"",C1214))</f>
      </c>
      <c r="D1215">
        <f>IF('R.M Billets Reports'!A1214&lt;&gt;"",'R.M Billets Reports'!A1214,IF(ROW()=2,"",D1214))</f>
      </c>
      <c r="E1215">
        <f>IF('R.M Billets Reports'!B1214="","",TRIM('R.M Billets Reports'!B1214))</f>
      </c>
      <c r="F1215">
        <f>'R.M Billets Reports'!C1214</f>
      </c>
      <c r="G1215">
        <f>'R.M Billets Reports'!D1214</f>
      </c>
      <c r="H1215">
        <f>'R.M Billets Reports'!E1214</f>
      </c>
      <c r="I1215">
        <f>'R.M Billets Reports'!F1214</f>
      </c>
      <c r="J1215">
        <f>'R.M Billets Reports'!G1214</f>
      </c>
      <c r="K1215">
        <f>'R.M Billets Reports'!H1214</f>
      </c>
      <c r="L1215">
        <f>IF('R.M Billets Reports'!I1214="","",'R.M Billets Reports'!I1214)</f>
      </c>
      <c r="M1215">
        <f t="shared" si="36"/>
      </c>
      <c r="N1215">
        <f>IF('R.M Billets Reports'!J1214="","",'R.M Billets Reports'!J1214)</f>
      </c>
      <c r="O1215">
        <f t="shared" si="37"/>
      </c>
      <c r="P1215">
        <f>IF('R.M Billets Reports'!A1214="SIZE",'R.M Billets Reports'!B1214,P1214)</f>
      </c>
    </row>
    <row r="1216" spans="1:16" x14ac:dyDescent="0.25">
      <c r="A1216">
        <f>IF(OR('R.M Billets Reports'!A1215="Date-",'R.M Billets Reports'!A1215="Date:-"),IF(IF(IF(ISNUMBER(SEARCH("Party Name:-",'R.M Billets Reports'!D1215)),TRIM('R.M Billets Reports'!F1215),IF(ISNUMBER(SEARCH("Party Name-",'R.M Billets Reports'!D1215)),TRIM(MID('R.M Billets Reports'!D1215,SEARCH("-",'R.M Billets Reports'!D1215)+1,200)),""))&lt;&gt;"",IF(ISNUMBER(SEARCH("Party Name:-",'R.M Billets Reports'!D1215)),TRIM('R.M Billets Reports'!F1215),IF(ISNUMBER(SEARCH("Party Name-",'R.M Billets Reports'!D1215)),TRIM(MID('R.M Billets Reports'!D1215,SEARCH("-",'R.M Billets Reports'!D1215)+1,200)),"")),IF(ISNUMBER(SEARCH("Party Name:-",'R.M Billets Reports'!D1216)),TRIM('R.M Billets Reports'!F1216),IF(ISNUMBER(SEARCH("Party Name-",'R.M Billets Reports'!D1216)),TRIM(MID('R.M Billets Reports'!D1216,SEARCH("-",'R.M Billets Reports'!D1216)+1,200)),"")))="VRKP ISPAT PVT LTD","VRKP",IF(IF(IF(ISNUMBER(SEARCH("Party Name:-",'R.M Billets Reports'!D1215)),TRIM('R.M Billets Reports'!F1215),IF(ISNUMBER(SEARCH("Party Name-",'R.M Billets Reports'!D1215)),TRIM(MID('R.M Billets Reports'!D1215,SEARCH("-",'R.M Billets Reports'!D1215)+1,200)),""))&lt;&gt;"",IF(ISNUMBER(SEARCH("Party Name:-",'R.M Billets Reports'!D1215)),TRIM('R.M Billets Reports'!F1215),IF(ISNUMBER(SEARCH("Party Name-",'R.M Billets Reports'!D1215)),TRIM(MID('R.M Billets Reports'!D1215,SEARCH("-",'R.M Billets Reports'!D1215)+1,200)),"")),IF(ISNUMBER(SEARCH("Party Name:-",'R.M Billets Reports'!D1216)),TRIM('R.M Billets Reports'!F1216),IF(ISNUMBER(SEARCH("Party Name-",'R.M Billets Reports'!D1216)),TRIM(MID('R.M Billets Reports'!D1216,SEARCH("-",'R.M Billets Reports'!D1216)+1,200)),"")))="SHRI RADHE","SHREE RADHE",IF(IF(IF(ISNUMBER(SEARCH("Party Name:-",'R.M Billets Reports'!D1215)),TRIM('R.M Billets Reports'!F1215),IF(ISNUMBER(SEARCH("Party Name-",'R.M Billets Reports'!D1215)),TRIM(MID('R.M Billets Reports'!D1215,SEARCH("-",'R.M Billets Reports'!D1215)+1,200)),""))&lt;&gt;"",IF(ISNUMBER(SEARCH("Party Name:-",'R.M Billets Reports'!D1215)),TRIM('R.M Billets Reports'!F1215),IF(ISNUMBER(SEARCH("Party Name-",'R.M Billets Reports'!D1215)),TRIM(MID('R.M Billets Reports'!D1215,SEARCH("-",'R.M Billets Reports'!D1215)+1,200)),"")),IF(ISNUMBER(SEARCH("Party Name:-",'R.M Billets Reports'!D1216)),TRIM('R.M Billets Reports'!F1216),IF(ISNUMBER(SEARCH("Party Name-",'R.M Billets Reports'!D1216)),TRIM(MID('R.M Billets Reports'!D1216,SEARCH("-",'R.M Billets Reports'!D1216)+1,200)),"")))="SHREE RADHE SHAKTI SPONGE AND POWER PVT. LTD.","SHREE RADHE",IF(IF(ISNUMBER(SEARCH("Party Name:-",'R.M Billets Reports'!D1215)),TRIM('R.M Billets Reports'!F1215),IF(ISNUMBER(SEARCH("Party Name-",'R.M Billets Reports'!D1215)),TRIM(MID('R.M Billets Reports'!D1215,SEARCH("-",'R.M Billets Reports'!D1215)+1,200)),""))&lt;&gt;"",IF(ISNUMBER(SEARCH("Party Name:-",'R.M Billets Reports'!D1215)),TRIM('R.M Billets Reports'!F1215),IF(ISNUMBER(SEARCH("Party Name-",'R.M Billets Reports'!D1215)),TRIM(MID('R.M Billets Reports'!D1215,SEARCH("-",'R.M Billets Reports'!D1215)+1,200)),"")),IF(ISNUMBER(SEARCH("Party Name:-",'R.M Billets Reports'!D1216)),TRIM('R.M Billets Reports'!F1216),IF(ISNUMBER(SEARCH("Party Name-",'R.M Billets Reports'!D1216)),TRIM(MID('R.M Billets Reports'!D1216,SEARCH("-",'R.M Billets Reports'!D1216)+1,200)),"")))))),IF(ROW()=2,"",A1215))</f>
      </c>
      <c r="B1216">
        <f>IF(OR('R.M Billets Reports'!A1215="Date-",'R.M Billets Reports'!A1215="Date:-"),'R.M Billets Reports'!B1215,IF(ROW()=2,"",B1215))</f>
      </c>
      <c r="C1216">
        <f>IF('R.M Billets Reports'!A1215="V.No.",'R.M Billets Reports'!B1215,IF(ROW()=2,"",C1215))</f>
      </c>
      <c r="D1216">
        <f>IF('R.M Billets Reports'!A1215&lt;&gt;"",'R.M Billets Reports'!A1215,IF(ROW()=2,"",D1215))</f>
      </c>
      <c r="E1216">
        <f>IF('R.M Billets Reports'!B1215="","",TRIM('R.M Billets Reports'!B1215))</f>
      </c>
      <c r="F1216">
        <f>'R.M Billets Reports'!C1215</f>
      </c>
      <c r="G1216">
        <f>'R.M Billets Reports'!D1215</f>
      </c>
      <c r="H1216">
        <f>'R.M Billets Reports'!E1215</f>
      </c>
      <c r="I1216">
        <f>'R.M Billets Reports'!F1215</f>
      </c>
      <c r="J1216">
        <f>'R.M Billets Reports'!G1215</f>
      </c>
      <c r="K1216">
        <f>'R.M Billets Reports'!H1215</f>
      </c>
      <c r="L1216">
        <f>IF('R.M Billets Reports'!I1215="","",'R.M Billets Reports'!I1215)</f>
      </c>
      <c r="M1216">
        <f t="shared" si="36"/>
      </c>
      <c r="N1216">
        <f>IF('R.M Billets Reports'!J1215="","",'R.M Billets Reports'!J1215)</f>
      </c>
      <c r="O1216">
        <f t="shared" si="37"/>
      </c>
      <c r="P1216">
        <f>IF('R.M Billets Reports'!A1215="SIZE",'R.M Billets Reports'!B1215,P1215)</f>
      </c>
    </row>
    <row r="1217" spans="1:16" x14ac:dyDescent="0.25">
      <c r="A1217">
        <f>IF(OR('R.M Billets Reports'!A1216="Date-",'R.M Billets Reports'!A1216="Date:-"),IF(IF(IF(ISNUMBER(SEARCH("Party Name:-",'R.M Billets Reports'!D1216)),TRIM('R.M Billets Reports'!F1216),IF(ISNUMBER(SEARCH("Party Name-",'R.M Billets Reports'!D1216)),TRIM(MID('R.M Billets Reports'!D1216,SEARCH("-",'R.M Billets Reports'!D1216)+1,200)),""))&lt;&gt;"",IF(ISNUMBER(SEARCH("Party Name:-",'R.M Billets Reports'!D1216)),TRIM('R.M Billets Reports'!F1216),IF(ISNUMBER(SEARCH("Party Name-",'R.M Billets Reports'!D1216)),TRIM(MID('R.M Billets Reports'!D1216,SEARCH("-",'R.M Billets Reports'!D1216)+1,200)),"")),IF(ISNUMBER(SEARCH("Party Name:-",'R.M Billets Reports'!D1217)),TRIM('R.M Billets Reports'!F1217),IF(ISNUMBER(SEARCH("Party Name-",'R.M Billets Reports'!D1217)),TRIM(MID('R.M Billets Reports'!D1217,SEARCH("-",'R.M Billets Reports'!D1217)+1,200)),"")))="VRKP ISPAT PVT LTD","VRKP",IF(IF(IF(ISNUMBER(SEARCH("Party Name:-",'R.M Billets Reports'!D1216)),TRIM('R.M Billets Reports'!F1216),IF(ISNUMBER(SEARCH("Party Name-",'R.M Billets Reports'!D1216)),TRIM(MID('R.M Billets Reports'!D1216,SEARCH("-",'R.M Billets Reports'!D1216)+1,200)),""))&lt;&gt;"",IF(ISNUMBER(SEARCH("Party Name:-",'R.M Billets Reports'!D1216)),TRIM('R.M Billets Reports'!F1216),IF(ISNUMBER(SEARCH("Party Name-",'R.M Billets Reports'!D1216)),TRIM(MID('R.M Billets Reports'!D1216,SEARCH("-",'R.M Billets Reports'!D1216)+1,200)),"")),IF(ISNUMBER(SEARCH("Party Name:-",'R.M Billets Reports'!D1217)),TRIM('R.M Billets Reports'!F1217),IF(ISNUMBER(SEARCH("Party Name-",'R.M Billets Reports'!D1217)),TRIM(MID('R.M Billets Reports'!D1217,SEARCH("-",'R.M Billets Reports'!D1217)+1,200)),"")))="SHRI RADHE","SHREE RADHE",IF(IF(IF(ISNUMBER(SEARCH("Party Name:-",'R.M Billets Reports'!D1216)),TRIM('R.M Billets Reports'!F1216),IF(ISNUMBER(SEARCH("Party Name-",'R.M Billets Reports'!D1216)),TRIM(MID('R.M Billets Reports'!D1216,SEARCH("-",'R.M Billets Reports'!D1216)+1,200)),""))&lt;&gt;"",IF(ISNUMBER(SEARCH("Party Name:-",'R.M Billets Reports'!D1216)),TRIM('R.M Billets Reports'!F1216),IF(ISNUMBER(SEARCH("Party Name-",'R.M Billets Reports'!D1216)),TRIM(MID('R.M Billets Reports'!D1216,SEARCH("-",'R.M Billets Reports'!D1216)+1,200)),"")),IF(ISNUMBER(SEARCH("Party Name:-",'R.M Billets Reports'!D1217)),TRIM('R.M Billets Reports'!F1217),IF(ISNUMBER(SEARCH("Party Name-",'R.M Billets Reports'!D1217)),TRIM(MID('R.M Billets Reports'!D1217,SEARCH("-",'R.M Billets Reports'!D1217)+1,200)),"")))="SHREE RADHE SHAKTI SPONGE AND POWER PVT. LTD.","SHREE RADHE",IF(IF(ISNUMBER(SEARCH("Party Name:-",'R.M Billets Reports'!D1216)),TRIM('R.M Billets Reports'!F1216),IF(ISNUMBER(SEARCH("Party Name-",'R.M Billets Reports'!D1216)),TRIM(MID('R.M Billets Reports'!D1216,SEARCH("-",'R.M Billets Reports'!D1216)+1,200)),""))&lt;&gt;"",IF(ISNUMBER(SEARCH("Party Name:-",'R.M Billets Reports'!D1216)),TRIM('R.M Billets Reports'!F1216),IF(ISNUMBER(SEARCH("Party Name-",'R.M Billets Reports'!D1216)),TRIM(MID('R.M Billets Reports'!D1216,SEARCH("-",'R.M Billets Reports'!D1216)+1,200)),"")),IF(ISNUMBER(SEARCH("Party Name:-",'R.M Billets Reports'!D1217)),TRIM('R.M Billets Reports'!F1217),IF(ISNUMBER(SEARCH("Party Name-",'R.M Billets Reports'!D1217)),TRIM(MID('R.M Billets Reports'!D1217,SEARCH("-",'R.M Billets Reports'!D1217)+1,200)),"")))))),IF(ROW()=2,"",A1216))</f>
      </c>
      <c r="B1217">
        <f>IF(OR('R.M Billets Reports'!A1216="Date-",'R.M Billets Reports'!A1216="Date:-"),'R.M Billets Reports'!B1216,IF(ROW()=2,"",B1216))</f>
      </c>
      <c r="C1217">
        <f>IF('R.M Billets Reports'!A1216="V.No.",'R.M Billets Reports'!B1216,IF(ROW()=2,"",C1216))</f>
      </c>
      <c r="D1217">
        <f>IF('R.M Billets Reports'!A1216&lt;&gt;"",'R.M Billets Reports'!A1216,IF(ROW()=2,"",D1216))</f>
      </c>
      <c r="E1217">
        <f>IF('R.M Billets Reports'!B1216="","",TRIM('R.M Billets Reports'!B1216))</f>
      </c>
      <c r="F1217">
        <f>'R.M Billets Reports'!C1216</f>
      </c>
      <c r="G1217">
        <f>'R.M Billets Reports'!D1216</f>
      </c>
      <c r="H1217">
        <f>'R.M Billets Reports'!E1216</f>
      </c>
      <c r="I1217">
        <f>'R.M Billets Reports'!F1216</f>
      </c>
      <c r="J1217">
        <f>'R.M Billets Reports'!G1216</f>
      </c>
      <c r="K1217">
        <f>'R.M Billets Reports'!H1216</f>
      </c>
      <c r="L1217">
        <f>IF('R.M Billets Reports'!I1216="","",'R.M Billets Reports'!I1216)</f>
      </c>
      <c r="M1217">
        <f t="shared" si="36"/>
      </c>
      <c r="N1217">
        <f>IF('R.M Billets Reports'!J1216="","",'R.M Billets Reports'!J1216)</f>
      </c>
      <c r="O1217">
        <f t="shared" si="37"/>
      </c>
      <c r="P1217">
        <f>IF('R.M Billets Reports'!A1216="SIZE",'R.M Billets Reports'!B1216,P1216)</f>
      </c>
    </row>
    <row r="1218" spans="1:16" x14ac:dyDescent="0.25">
      <c r="A1218">
        <f>IF(OR('R.M Billets Reports'!A1217="Date-",'R.M Billets Reports'!A1217="Date:-"),IF(IF(IF(ISNUMBER(SEARCH("Party Name:-",'R.M Billets Reports'!D1217)),TRIM('R.M Billets Reports'!F1217),IF(ISNUMBER(SEARCH("Party Name-",'R.M Billets Reports'!D1217)),TRIM(MID('R.M Billets Reports'!D1217,SEARCH("-",'R.M Billets Reports'!D1217)+1,200)),""))&lt;&gt;"",IF(ISNUMBER(SEARCH("Party Name:-",'R.M Billets Reports'!D1217)),TRIM('R.M Billets Reports'!F1217),IF(ISNUMBER(SEARCH("Party Name-",'R.M Billets Reports'!D1217)),TRIM(MID('R.M Billets Reports'!D1217,SEARCH("-",'R.M Billets Reports'!D1217)+1,200)),"")),IF(ISNUMBER(SEARCH("Party Name:-",'R.M Billets Reports'!D1218)),TRIM('R.M Billets Reports'!F1218),IF(ISNUMBER(SEARCH("Party Name-",'R.M Billets Reports'!D1218)),TRIM(MID('R.M Billets Reports'!D1218,SEARCH("-",'R.M Billets Reports'!D1218)+1,200)),"")))="VRKP ISPAT PVT LTD","VRKP",IF(IF(IF(ISNUMBER(SEARCH("Party Name:-",'R.M Billets Reports'!D1217)),TRIM('R.M Billets Reports'!F1217),IF(ISNUMBER(SEARCH("Party Name-",'R.M Billets Reports'!D1217)),TRIM(MID('R.M Billets Reports'!D1217,SEARCH("-",'R.M Billets Reports'!D1217)+1,200)),""))&lt;&gt;"",IF(ISNUMBER(SEARCH("Party Name:-",'R.M Billets Reports'!D1217)),TRIM('R.M Billets Reports'!F1217),IF(ISNUMBER(SEARCH("Party Name-",'R.M Billets Reports'!D1217)),TRIM(MID('R.M Billets Reports'!D1217,SEARCH("-",'R.M Billets Reports'!D1217)+1,200)),"")),IF(ISNUMBER(SEARCH("Party Name:-",'R.M Billets Reports'!D1218)),TRIM('R.M Billets Reports'!F1218),IF(ISNUMBER(SEARCH("Party Name-",'R.M Billets Reports'!D1218)),TRIM(MID('R.M Billets Reports'!D1218,SEARCH("-",'R.M Billets Reports'!D1218)+1,200)),"")))="SHRI RADHE","SHREE RADHE",IF(IF(IF(ISNUMBER(SEARCH("Party Name:-",'R.M Billets Reports'!D1217)),TRIM('R.M Billets Reports'!F1217),IF(ISNUMBER(SEARCH("Party Name-",'R.M Billets Reports'!D1217)),TRIM(MID('R.M Billets Reports'!D1217,SEARCH("-",'R.M Billets Reports'!D1217)+1,200)),""))&lt;&gt;"",IF(ISNUMBER(SEARCH("Party Name:-",'R.M Billets Reports'!D1217)),TRIM('R.M Billets Reports'!F1217),IF(ISNUMBER(SEARCH("Party Name-",'R.M Billets Reports'!D1217)),TRIM(MID('R.M Billets Reports'!D1217,SEARCH("-",'R.M Billets Reports'!D1217)+1,200)),"")),IF(ISNUMBER(SEARCH("Party Name:-",'R.M Billets Reports'!D1218)),TRIM('R.M Billets Reports'!F1218),IF(ISNUMBER(SEARCH("Party Name-",'R.M Billets Reports'!D1218)),TRIM(MID('R.M Billets Reports'!D1218,SEARCH("-",'R.M Billets Reports'!D1218)+1,200)),"")))="SHREE RADHE SHAKTI SPONGE AND POWER PVT. LTD.","SHREE RADHE",IF(IF(ISNUMBER(SEARCH("Party Name:-",'R.M Billets Reports'!D1217)),TRIM('R.M Billets Reports'!F1217),IF(ISNUMBER(SEARCH("Party Name-",'R.M Billets Reports'!D1217)),TRIM(MID('R.M Billets Reports'!D1217,SEARCH("-",'R.M Billets Reports'!D1217)+1,200)),""))&lt;&gt;"",IF(ISNUMBER(SEARCH("Party Name:-",'R.M Billets Reports'!D1217)),TRIM('R.M Billets Reports'!F1217),IF(ISNUMBER(SEARCH("Party Name-",'R.M Billets Reports'!D1217)),TRIM(MID('R.M Billets Reports'!D1217,SEARCH("-",'R.M Billets Reports'!D1217)+1,200)),"")),IF(ISNUMBER(SEARCH("Party Name:-",'R.M Billets Reports'!D1218)),TRIM('R.M Billets Reports'!F1218),IF(ISNUMBER(SEARCH("Party Name-",'R.M Billets Reports'!D1218)),TRIM(MID('R.M Billets Reports'!D1218,SEARCH("-",'R.M Billets Reports'!D1218)+1,200)),"")))))),IF(ROW()=2,"",A1217))</f>
      </c>
      <c r="B1218">
        <f>IF(OR('R.M Billets Reports'!A1217="Date-",'R.M Billets Reports'!A1217="Date:-"),'R.M Billets Reports'!B1217,IF(ROW()=2,"",B1217))</f>
      </c>
      <c r="C1218">
        <f>IF('R.M Billets Reports'!A1217="V.No.",'R.M Billets Reports'!B1217,IF(ROW()=2,"",C1217))</f>
      </c>
      <c r="D1218">
        <f>IF('R.M Billets Reports'!A1217&lt;&gt;"",'R.M Billets Reports'!A1217,IF(ROW()=2,"",D1217))</f>
      </c>
      <c r="E1218">
        <f>IF('R.M Billets Reports'!B1217="","",TRIM('R.M Billets Reports'!B1217))</f>
      </c>
      <c r="F1218">
        <f>'R.M Billets Reports'!C1217</f>
      </c>
      <c r="G1218">
        <f>'R.M Billets Reports'!D1217</f>
      </c>
      <c r="H1218">
        <f>'R.M Billets Reports'!E1217</f>
      </c>
      <c r="I1218">
        <f>'R.M Billets Reports'!F1217</f>
      </c>
      <c r="J1218">
        <f>'R.M Billets Reports'!G1217</f>
      </c>
      <c r="K1218">
        <f>'R.M Billets Reports'!H1217</f>
      </c>
      <c r="L1218">
        <f>IF('R.M Billets Reports'!I1217="","",'R.M Billets Reports'!I1217)</f>
      </c>
      <c r="M1218">
        <f t="shared" si="36"/>
      </c>
      <c r="N1218">
        <f>IF('R.M Billets Reports'!J1217="","",'R.M Billets Reports'!J1217)</f>
      </c>
      <c r="O1218">
        <f t="shared" si="37"/>
      </c>
      <c r="P1218">
        <f>IF('R.M Billets Reports'!A1217="SIZE",'R.M Billets Reports'!B1217,P1217)</f>
      </c>
    </row>
    <row r="1219" spans="1:16" x14ac:dyDescent="0.25">
      <c r="A1219">
        <f>IF(OR('R.M Billets Reports'!A1218="Date-",'R.M Billets Reports'!A1218="Date:-"),IF(IF(IF(ISNUMBER(SEARCH("Party Name:-",'R.M Billets Reports'!D1218)),TRIM('R.M Billets Reports'!F1218),IF(ISNUMBER(SEARCH("Party Name-",'R.M Billets Reports'!D1218)),TRIM(MID('R.M Billets Reports'!D1218,SEARCH("-",'R.M Billets Reports'!D1218)+1,200)),""))&lt;&gt;"",IF(ISNUMBER(SEARCH("Party Name:-",'R.M Billets Reports'!D1218)),TRIM('R.M Billets Reports'!F1218),IF(ISNUMBER(SEARCH("Party Name-",'R.M Billets Reports'!D1218)),TRIM(MID('R.M Billets Reports'!D1218,SEARCH("-",'R.M Billets Reports'!D1218)+1,200)),"")),IF(ISNUMBER(SEARCH("Party Name:-",'R.M Billets Reports'!D1219)),TRIM('R.M Billets Reports'!F1219),IF(ISNUMBER(SEARCH("Party Name-",'R.M Billets Reports'!D1219)),TRIM(MID('R.M Billets Reports'!D1219,SEARCH("-",'R.M Billets Reports'!D1219)+1,200)),"")))="VRKP ISPAT PVT LTD","VRKP",IF(IF(IF(ISNUMBER(SEARCH("Party Name:-",'R.M Billets Reports'!D1218)),TRIM('R.M Billets Reports'!F1218),IF(ISNUMBER(SEARCH("Party Name-",'R.M Billets Reports'!D1218)),TRIM(MID('R.M Billets Reports'!D1218,SEARCH("-",'R.M Billets Reports'!D1218)+1,200)),""))&lt;&gt;"",IF(ISNUMBER(SEARCH("Party Name:-",'R.M Billets Reports'!D1218)),TRIM('R.M Billets Reports'!F1218),IF(ISNUMBER(SEARCH("Party Name-",'R.M Billets Reports'!D1218)),TRIM(MID('R.M Billets Reports'!D1218,SEARCH("-",'R.M Billets Reports'!D1218)+1,200)),"")),IF(ISNUMBER(SEARCH("Party Name:-",'R.M Billets Reports'!D1219)),TRIM('R.M Billets Reports'!F1219),IF(ISNUMBER(SEARCH("Party Name-",'R.M Billets Reports'!D1219)),TRIM(MID('R.M Billets Reports'!D1219,SEARCH("-",'R.M Billets Reports'!D1219)+1,200)),"")))="SHRI RADHE","SHREE RADHE",IF(IF(IF(ISNUMBER(SEARCH("Party Name:-",'R.M Billets Reports'!D1218)),TRIM('R.M Billets Reports'!F1218),IF(ISNUMBER(SEARCH("Party Name-",'R.M Billets Reports'!D1218)),TRIM(MID('R.M Billets Reports'!D1218,SEARCH("-",'R.M Billets Reports'!D1218)+1,200)),""))&lt;&gt;"",IF(ISNUMBER(SEARCH("Party Name:-",'R.M Billets Reports'!D1218)),TRIM('R.M Billets Reports'!F1218),IF(ISNUMBER(SEARCH("Party Name-",'R.M Billets Reports'!D1218)),TRIM(MID('R.M Billets Reports'!D1218,SEARCH("-",'R.M Billets Reports'!D1218)+1,200)),"")),IF(ISNUMBER(SEARCH("Party Name:-",'R.M Billets Reports'!D1219)),TRIM('R.M Billets Reports'!F1219),IF(ISNUMBER(SEARCH("Party Name-",'R.M Billets Reports'!D1219)),TRIM(MID('R.M Billets Reports'!D1219,SEARCH("-",'R.M Billets Reports'!D1219)+1,200)),"")))="SHREE RADHE SHAKTI SPONGE AND POWER PVT. LTD.","SHREE RADHE",IF(IF(ISNUMBER(SEARCH("Party Name:-",'R.M Billets Reports'!D1218)),TRIM('R.M Billets Reports'!F1218),IF(ISNUMBER(SEARCH("Party Name-",'R.M Billets Reports'!D1218)),TRIM(MID('R.M Billets Reports'!D1218,SEARCH("-",'R.M Billets Reports'!D1218)+1,200)),""))&lt;&gt;"",IF(ISNUMBER(SEARCH("Party Name:-",'R.M Billets Reports'!D1218)),TRIM('R.M Billets Reports'!F1218),IF(ISNUMBER(SEARCH("Party Name-",'R.M Billets Reports'!D1218)),TRIM(MID('R.M Billets Reports'!D1218,SEARCH("-",'R.M Billets Reports'!D1218)+1,200)),"")),IF(ISNUMBER(SEARCH("Party Name:-",'R.M Billets Reports'!D1219)),TRIM('R.M Billets Reports'!F1219),IF(ISNUMBER(SEARCH("Party Name-",'R.M Billets Reports'!D1219)),TRIM(MID('R.M Billets Reports'!D1219,SEARCH("-",'R.M Billets Reports'!D1219)+1,200)),"")))))),IF(ROW()=2,"",A1218))</f>
      </c>
      <c r="B1219">
        <f>IF(OR('R.M Billets Reports'!A1218="Date-",'R.M Billets Reports'!A1218="Date:-"),'R.M Billets Reports'!B1218,IF(ROW()=2,"",B1218))</f>
      </c>
      <c r="C1219">
        <f>IF('R.M Billets Reports'!A1218="V.No.",'R.M Billets Reports'!B1218,IF(ROW()=2,"",C1218))</f>
      </c>
      <c r="D1219">
        <f>IF('R.M Billets Reports'!A1218&lt;&gt;"",'R.M Billets Reports'!A1218,IF(ROW()=2,"",D1218))</f>
      </c>
      <c r="E1219">
        <f>IF('R.M Billets Reports'!B1218="","",TRIM('R.M Billets Reports'!B1218))</f>
      </c>
      <c r="F1219">
        <f>'R.M Billets Reports'!C1218</f>
      </c>
      <c r="G1219">
        <f>'R.M Billets Reports'!D1218</f>
      </c>
      <c r="H1219">
        <f>'R.M Billets Reports'!E1218</f>
      </c>
      <c r="I1219">
        <f>'R.M Billets Reports'!F1218</f>
      </c>
      <c r="J1219">
        <f>'R.M Billets Reports'!G1218</f>
      </c>
      <c r="K1219">
        <f>'R.M Billets Reports'!H1218</f>
      </c>
      <c r="L1219">
        <f>IF('R.M Billets Reports'!I1218="","",'R.M Billets Reports'!I1218)</f>
      </c>
      <c r="M1219">
        <f t="shared" ref="M1219:M1282" si="38">IF(L1219&lt;&gt;"",L1219,IF(D1219=D1218,M1218,""))</f>
      </c>
      <c r="N1219">
        <f>IF('R.M Billets Reports'!J1218="","",'R.M Billets Reports'!J1218)</f>
      </c>
      <c r="O1219">
        <f t="shared" ref="O1219:O1282" si="39">IF(N1219&lt;&gt;"",N1219,IF(D1219=D1218,O1218,""))</f>
      </c>
      <c r="P1219">
        <f>IF('R.M Billets Reports'!A1218="SIZE",'R.M Billets Reports'!B1218,P1218)</f>
      </c>
    </row>
    <row r="1220" spans="1:16" x14ac:dyDescent="0.25">
      <c r="A1220">
        <f>IF(OR('R.M Billets Reports'!A1219="Date-",'R.M Billets Reports'!A1219="Date:-"),IF(IF(IF(ISNUMBER(SEARCH("Party Name:-",'R.M Billets Reports'!D1219)),TRIM('R.M Billets Reports'!F1219),IF(ISNUMBER(SEARCH("Party Name-",'R.M Billets Reports'!D1219)),TRIM(MID('R.M Billets Reports'!D1219,SEARCH("-",'R.M Billets Reports'!D1219)+1,200)),""))&lt;&gt;"",IF(ISNUMBER(SEARCH("Party Name:-",'R.M Billets Reports'!D1219)),TRIM('R.M Billets Reports'!F1219),IF(ISNUMBER(SEARCH("Party Name-",'R.M Billets Reports'!D1219)),TRIM(MID('R.M Billets Reports'!D1219,SEARCH("-",'R.M Billets Reports'!D1219)+1,200)),"")),IF(ISNUMBER(SEARCH("Party Name:-",'R.M Billets Reports'!D1220)),TRIM('R.M Billets Reports'!F1220),IF(ISNUMBER(SEARCH("Party Name-",'R.M Billets Reports'!D1220)),TRIM(MID('R.M Billets Reports'!D1220,SEARCH("-",'R.M Billets Reports'!D1220)+1,200)),"")))="VRKP ISPAT PVT LTD","VRKP",IF(IF(IF(ISNUMBER(SEARCH("Party Name:-",'R.M Billets Reports'!D1219)),TRIM('R.M Billets Reports'!F1219),IF(ISNUMBER(SEARCH("Party Name-",'R.M Billets Reports'!D1219)),TRIM(MID('R.M Billets Reports'!D1219,SEARCH("-",'R.M Billets Reports'!D1219)+1,200)),""))&lt;&gt;"",IF(ISNUMBER(SEARCH("Party Name:-",'R.M Billets Reports'!D1219)),TRIM('R.M Billets Reports'!F1219),IF(ISNUMBER(SEARCH("Party Name-",'R.M Billets Reports'!D1219)),TRIM(MID('R.M Billets Reports'!D1219,SEARCH("-",'R.M Billets Reports'!D1219)+1,200)),"")),IF(ISNUMBER(SEARCH("Party Name:-",'R.M Billets Reports'!D1220)),TRIM('R.M Billets Reports'!F1220),IF(ISNUMBER(SEARCH("Party Name-",'R.M Billets Reports'!D1220)),TRIM(MID('R.M Billets Reports'!D1220,SEARCH("-",'R.M Billets Reports'!D1220)+1,200)),"")))="SHRI RADHE","SHREE RADHE",IF(IF(IF(ISNUMBER(SEARCH("Party Name:-",'R.M Billets Reports'!D1219)),TRIM('R.M Billets Reports'!F1219),IF(ISNUMBER(SEARCH("Party Name-",'R.M Billets Reports'!D1219)),TRIM(MID('R.M Billets Reports'!D1219,SEARCH("-",'R.M Billets Reports'!D1219)+1,200)),""))&lt;&gt;"",IF(ISNUMBER(SEARCH("Party Name:-",'R.M Billets Reports'!D1219)),TRIM('R.M Billets Reports'!F1219),IF(ISNUMBER(SEARCH("Party Name-",'R.M Billets Reports'!D1219)),TRIM(MID('R.M Billets Reports'!D1219,SEARCH("-",'R.M Billets Reports'!D1219)+1,200)),"")),IF(ISNUMBER(SEARCH("Party Name:-",'R.M Billets Reports'!D1220)),TRIM('R.M Billets Reports'!F1220),IF(ISNUMBER(SEARCH("Party Name-",'R.M Billets Reports'!D1220)),TRIM(MID('R.M Billets Reports'!D1220,SEARCH("-",'R.M Billets Reports'!D1220)+1,200)),"")))="SHREE RADHE SHAKTI SPONGE AND POWER PVT. LTD.","SHREE RADHE",IF(IF(ISNUMBER(SEARCH("Party Name:-",'R.M Billets Reports'!D1219)),TRIM('R.M Billets Reports'!F1219),IF(ISNUMBER(SEARCH("Party Name-",'R.M Billets Reports'!D1219)),TRIM(MID('R.M Billets Reports'!D1219,SEARCH("-",'R.M Billets Reports'!D1219)+1,200)),""))&lt;&gt;"",IF(ISNUMBER(SEARCH("Party Name:-",'R.M Billets Reports'!D1219)),TRIM('R.M Billets Reports'!F1219),IF(ISNUMBER(SEARCH("Party Name-",'R.M Billets Reports'!D1219)),TRIM(MID('R.M Billets Reports'!D1219,SEARCH("-",'R.M Billets Reports'!D1219)+1,200)),"")),IF(ISNUMBER(SEARCH("Party Name:-",'R.M Billets Reports'!D1220)),TRIM('R.M Billets Reports'!F1220),IF(ISNUMBER(SEARCH("Party Name-",'R.M Billets Reports'!D1220)),TRIM(MID('R.M Billets Reports'!D1220,SEARCH("-",'R.M Billets Reports'!D1220)+1,200)),"")))))),IF(ROW()=2,"",A1219))</f>
      </c>
      <c r="B1220">
        <f>IF(OR('R.M Billets Reports'!A1219="Date-",'R.M Billets Reports'!A1219="Date:-"),'R.M Billets Reports'!B1219,IF(ROW()=2,"",B1219))</f>
      </c>
      <c r="C1220">
        <f>IF('R.M Billets Reports'!A1219="V.No.",'R.M Billets Reports'!B1219,IF(ROW()=2,"",C1219))</f>
      </c>
      <c r="D1220">
        <f>IF('R.M Billets Reports'!A1219&lt;&gt;"",'R.M Billets Reports'!A1219,IF(ROW()=2,"",D1219))</f>
      </c>
      <c r="E1220">
        <f>IF('R.M Billets Reports'!B1219="","",TRIM('R.M Billets Reports'!B1219))</f>
      </c>
      <c r="F1220">
        <f>'R.M Billets Reports'!C1219</f>
      </c>
      <c r="G1220">
        <f>'R.M Billets Reports'!D1219</f>
      </c>
      <c r="H1220">
        <f>'R.M Billets Reports'!E1219</f>
      </c>
      <c r="I1220">
        <f>'R.M Billets Reports'!F1219</f>
      </c>
      <c r="J1220">
        <f>'R.M Billets Reports'!G1219</f>
      </c>
      <c r="K1220">
        <f>'R.M Billets Reports'!H1219</f>
      </c>
      <c r="L1220">
        <f>IF('R.M Billets Reports'!I1219="","",'R.M Billets Reports'!I1219)</f>
      </c>
      <c r="M1220">
        <f t="shared" si="38"/>
      </c>
      <c r="N1220">
        <f>IF('R.M Billets Reports'!J1219="","",'R.M Billets Reports'!J1219)</f>
      </c>
      <c r="O1220">
        <f t="shared" si="39"/>
      </c>
      <c r="P1220">
        <f>IF('R.M Billets Reports'!A1219="SIZE",'R.M Billets Reports'!B1219,P1219)</f>
      </c>
    </row>
    <row r="1221" spans="1:16" x14ac:dyDescent="0.25">
      <c r="A1221">
        <f>IF(OR('R.M Billets Reports'!A1220="Date-",'R.M Billets Reports'!A1220="Date:-"),IF(IF(IF(ISNUMBER(SEARCH("Party Name:-",'R.M Billets Reports'!D1220)),TRIM('R.M Billets Reports'!F1220),IF(ISNUMBER(SEARCH("Party Name-",'R.M Billets Reports'!D1220)),TRIM(MID('R.M Billets Reports'!D1220,SEARCH("-",'R.M Billets Reports'!D1220)+1,200)),""))&lt;&gt;"",IF(ISNUMBER(SEARCH("Party Name:-",'R.M Billets Reports'!D1220)),TRIM('R.M Billets Reports'!F1220),IF(ISNUMBER(SEARCH("Party Name-",'R.M Billets Reports'!D1220)),TRIM(MID('R.M Billets Reports'!D1220,SEARCH("-",'R.M Billets Reports'!D1220)+1,200)),"")),IF(ISNUMBER(SEARCH("Party Name:-",'R.M Billets Reports'!D1221)),TRIM('R.M Billets Reports'!F1221),IF(ISNUMBER(SEARCH("Party Name-",'R.M Billets Reports'!D1221)),TRIM(MID('R.M Billets Reports'!D1221,SEARCH("-",'R.M Billets Reports'!D1221)+1,200)),"")))="VRKP ISPAT PVT LTD","VRKP",IF(IF(IF(ISNUMBER(SEARCH("Party Name:-",'R.M Billets Reports'!D1220)),TRIM('R.M Billets Reports'!F1220),IF(ISNUMBER(SEARCH("Party Name-",'R.M Billets Reports'!D1220)),TRIM(MID('R.M Billets Reports'!D1220,SEARCH("-",'R.M Billets Reports'!D1220)+1,200)),""))&lt;&gt;"",IF(ISNUMBER(SEARCH("Party Name:-",'R.M Billets Reports'!D1220)),TRIM('R.M Billets Reports'!F1220),IF(ISNUMBER(SEARCH("Party Name-",'R.M Billets Reports'!D1220)),TRIM(MID('R.M Billets Reports'!D1220,SEARCH("-",'R.M Billets Reports'!D1220)+1,200)),"")),IF(ISNUMBER(SEARCH("Party Name:-",'R.M Billets Reports'!D1221)),TRIM('R.M Billets Reports'!F1221),IF(ISNUMBER(SEARCH("Party Name-",'R.M Billets Reports'!D1221)),TRIM(MID('R.M Billets Reports'!D1221,SEARCH("-",'R.M Billets Reports'!D1221)+1,200)),"")))="SHRI RADHE","SHREE RADHE",IF(IF(IF(ISNUMBER(SEARCH("Party Name:-",'R.M Billets Reports'!D1220)),TRIM('R.M Billets Reports'!F1220),IF(ISNUMBER(SEARCH("Party Name-",'R.M Billets Reports'!D1220)),TRIM(MID('R.M Billets Reports'!D1220,SEARCH("-",'R.M Billets Reports'!D1220)+1,200)),""))&lt;&gt;"",IF(ISNUMBER(SEARCH("Party Name:-",'R.M Billets Reports'!D1220)),TRIM('R.M Billets Reports'!F1220),IF(ISNUMBER(SEARCH("Party Name-",'R.M Billets Reports'!D1220)),TRIM(MID('R.M Billets Reports'!D1220,SEARCH("-",'R.M Billets Reports'!D1220)+1,200)),"")),IF(ISNUMBER(SEARCH("Party Name:-",'R.M Billets Reports'!D1221)),TRIM('R.M Billets Reports'!F1221),IF(ISNUMBER(SEARCH("Party Name-",'R.M Billets Reports'!D1221)),TRIM(MID('R.M Billets Reports'!D1221,SEARCH("-",'R.M Billets Reports'!D1221)+1,200)),"")))="SHREE RADHE SHAKTI SPONGE AND POWER PVT. LTD.","SHREE RADHE",IF(IF(ISNUMBER(SEARCH("Party Name:-",'R.M Billets Reports'!D1220)),TRIM('R.M Billets Reports'!F1220),IF(ISNUMBER(SEARCH("Party Name-",'R.M Billets Reports'!D1220)),TRIM(MID('R.M Billets Reports'!D1220,SEARCH("-",'R.M Billets Reports'!D1220)+1,200)),""))&lt;&gt;"",IF(ISNUMBER(SEARCH("Party Name:-",'R.M Billets Reports'!D1220)),TRIM('R.M Billets Reports'!F1220),IF(ISNUMBER(SEARCH("Party Name-",'R.M Billets Reports'!D1220)),TRIM(MID('R.M Billets Reports'!D1220,SEARCH("-",'R.M Billets Reports'!D1220)+1,200)),"")),IF(ISNUMBER(SEARCH("Party Name:-",'R.M Billets Reports'!D1221)),TRIM('R.M Billets Reports'!F1221),IF(ISNUMBER(SEARCH("Party Name-",'R.M Billets Reports'!D1221)),TRIM(MID('R.M Billets Reports'!D1221,SEARCH("-",'R.M Billets Reports'!D1221)+1,200)),"")))))),IF(ROW()=2,"",A1220))</f>
      </c>
      <c r="B1221">
        <f>IF(OR('R.M Billets Reports'!A1220="Date-",'R.M Billets Reports'!A1220="Date:-"),'R.M Billets Reports'!B1220,IF(ROW()=2,"",B1220))</f>
      </c>
      <c r="C1221">
        <f>IF('R.M Billets Reports'!A1220="V.No.",'R.M Billets Reports'!B1220,IF(ROW()=2,"",C1220))</f>
      </c>
      <c r="D1221">
        <f>IF('R.M Billets Reports'!A1220&lt;&gt;"",'R.M Billets Reports'!A1220,IF(ROW()=2,"",D1220))</f>
      </c>
      <c r="E1221">
        <f>IF('R.M Billets Reports'!B1220="","",TRIM('R.M Billets Reports'!B1220))</f>
      </c>
      <c r="F1221">
        <f>'R.M Billets Reports'!C1220</f>
      </c>
      <c r="G1221">
        <f>'R.M Billets Reports'!D1220</f>
      </c>
      <c r="H1221">
        <f>'R.M Billets Reports'!E1220</f>
      </c>
      <c r="I1221">
        <f>'R.M Billets Reports'!F1220</f>
      </c>
      <c r="J1221">
        <f>'R.M Billets Reports'!G1220</f>
      </c>
      <c r="K1221">
        <f>'R.M Billets Reports'!H1220</f>
      </c>
      <c r="L1221">
        <f>IF('R.M Billets Reports'!I1220="","",'R.M Billets Reports'!I1220)</f>
      </c>
      <c r="M1221">
        <f t="shared" si="38"/>
      </c>
      <c r="N1221">
        <f>IF('R.M Billets Reports'!J1220="","",'R.M Billets Reports'!J1220)</f>
      </c>
      <c r="O1221">
        <f t="shared" si="39"/>
      </c>
      <c r="P1221">
        <f>IF('R.M Billets Reports'!A1220="SIZE",'R.M Billets Reports'!B1220,P1220)</f>
      </c>
    </row>
    <row r="1222" spans="1:16" x14ac:dyDescent="0.25">
      <c r="A1222">
        <f>IF(OR('R.M Billets Reports'!A1221="Date-",'R.M Billets Reports'!A1221="Date:-"),IF(IF(IF(ISNUMBER(SEARCH("Party Name:-",'R.M Billets Reports'!D1221)),TRIM('R.M Billets Reports'!F1221),IF(ISNUMBER(SEARCH("Party Name-",'R.M Billets Reports'!D1221)),TRIM(MID('R.M Billets Reports'!D1221,SEARCH("-",'R.M Billets Reports'!D1221)+1,200)),""))&lt;&gt;"",IF(ISNUMBER(SEARCH("Party Name:-",'R.M Billets Reports'!D1221)),TRIM('R.M Billets Reports'!F1221),IF(ISNUMBER(SEARCH("Party Name-",'R.M Billets Reports'!D1221)),TRIM(MID('R.M Billets Reports'!D1221,SEARCH("-",'R.M Billets Reports'!D1221)+1,200)),"")),IF(ISNUMBER(SEARCH("Party Name:-",'R.M Billets Reports'!D1222)),TRIM('R.M Billets Reports'!F1222),IF(ISNUMBER(SEARCH("Party Name-",'R.M Billets Reports'!D1222)),TRIM(MID('R.M Billets Reports'!D1222,SEARCH("-",'R.M Billets Reports'!D1222)+1,200)),"")))="VRKP ISPAT PVT LTD","VRKP",IF(IF(IF(ISNUMBER(SEARCH("Party Name:-",'R.M Billets Reports'!D1221)),TRIM('R.M Billets Reports'!F1221),IF(ISNUMBER(SEARCH("Party Name-",'R.M Billets Reports'!D1221)),TRIM(MID('R.M Billets Reports'!D1221,SEARCH("-",'R.M Billets Reports'!D1221)+1,200)),""))&lt;&gt;"",IF(ISNUMBER(SEARCH("Party Name:-",'R.M Billets Reports'!D1221)),TRIM('R.M Billets Reports'!F1221),IF(ISNUMBER(SEARCH("Party Name-",'R.M Billets Reports'!D1221)),TRIM(MID('R.M Billets Reports'!D1221,SEARCH("-",'R.M Billets Reports'!D1221)+1,200)),"")),IF(ISNUMBER(SEARCH("Party Name:-",'R.M Billets Reports'!D1222)),TRIM('R.M Billets Reports'!F1222),IF(ISNUMBER(SEARCH("Party Name-",'R.M Billets Reports'!D1222)),TRIM(MID('R.M Billets Reports'!D1222,SEARCH("-",'R.M Billets Reports'!D1222)+1,200)),"")))="SHRI RADHE","SHREE RADHE",IF(IF(IF(ISNUMBER(SEARCH("Party Name:-",'R.M Billets Reports'!D1221)),TRIM('R.M Billets Reports'!F1221),IF(ISNUMBER(SEARCH("Party Name-",'R.M Billets Reports'!D1221)),TRIM(MID('R.M Billets Reports'!D1221,SEARCH("-",'R.M Billets Reports'!D1221)+1,200)),""))&lt;&gt;"",IF(ISNUMBER(SEARCH("Party Name:-",'R.M Billets Reports'!D1221)),TRIM('R.M Billets Reports'!F1221),IF(ISNUMBER(SEARCH("Party Name-",'R.M Billets Reports'!D1221)),TRIM(MID('R.M Billets Reports'!D1221,SEARCH("-",'R.M Billets Reports'!D1221)+1,200)),"")),IF(ISNUMBER(SEARCH("Party Name:-",'R.M Billets Reports'!D1222)),TRIM('R.M Billets Reports'!F1222),IF(ISNUMBER(SEARCH("Party Name-",'R.M Billets Reports'!D1222)),TRIM(MID('R.M Billets Reports'!D1222,SEARCH("-",'R.M Billets Reports'!D1222)+1,200)),"")))="SHREE RADHE SHAKTI SPONGE AND POWER PVT. LTD.","SHREE RADHE",IF(IF(ISNUMBER(SEARCH("Party Name:-",'R.M Billets Reports'!D1221)),TRIM('R.M Billets Reports'!F1221),IF(ISNUMBER(SEARCH("Party Name-",'R.M Billets Reports'!D1221)),TRIM(MID('R.M Billets Reports'!D1221,SEARCH("-",'R.M Billets Reports'!D1221)+1,200)),""))&lt;&gt;"",IF(ISNUMBER(SEARCH("Party Name:-",'R.M Billets Reports'!D1221)),TRIM('R.M Billets Reports'!F1221),IF(ISNUMBER(SEARCH("Party Name-",'R.M Billets Reports'!D1221)),TRIM(MID('R.M Billets Reports'!D1221,SEARCH("-",'R.M Billets Reports'!D1221)+1,200)),"")),IF(ISNUMBER(SEARCH("Party Name:-",'R.M Billets Reports'!D1222)),TRIM('R.M Billets Reports'!F1222),IF(ISNUMBER(SEARCH("Party Name-",'R.M Billets Reports'!D1222)),TRIM(MID('R.M Billets Reports'!D1222,SEARCH("-",'R.M Billets Reports'!D1222)+1,200)),"")))))),IF(ROW()=2,"",A1221))</f>
      </c>
      <c r="B1222">
        <f>IF(OR('R.M Billets Reports'!A1221="Date-",'R.M Billets Reports'!A1221="Date:-"),'R.M Billets Reports'!B1221,IF(ROW()=2,"",B1221))</f>
      </c>
      <c r="C1222">
        <f>IF('R.M Billets Reports'!A1221="V.No.",'R.M Billets Reports'!B1221,IF(ROW()=2,"",C1221))</f>
      </c>
      <c r="D1222">
        <f>IF('R.M Billets Reports'!A1221&lt;&gt;"",'R.M Billets Reports'!A1221,IF(ROW()=2,"",D1221))</f>
      </c>
      <c r="E1222">
        <f>IF('R.M Billets Reports'!B1221="","",TRIM('R.M Billets Reports'!B1221))</f>
      </c>
      <c r="F1222">
        <f>'R.M Billets Reports'!C1221</f>
      </c>
      <c r="G1222">
        <f>'R.M Billets Reports'!D1221</f>
      </c>
      <c r="H1222">
        <f>'R.M Billets Reports'!E1221</f>
      </c>
      <c r="I1222">
        <f>'R.M Billets Reports'!F1221</f>
      </c>
      <c r="J1222">
        <f>'R.M Billets Reports'!G1221</f>
      </c>
      <c r="K1222">
        <f>'R.M Billets Reports'!H1221</f>
      </c>
      <c r="L1222">
        <f>IF('R.M Billets Reports'!I1221="","",'R.M Billets Reports'!I1221)</f>
      </c>
      <c r="M1222">
        <f t="shared" si="38"/>
      </c>
      <c r="N1222">
        <f>IF('R.M Billets Reports'!J1221="","",'R.M Billets Reports'!J1221)</f>
      </c>
      <c r="O1222">
        <f t="shared" si="39"/>
      </c>
      <c r="P1222">
        <f>IF('R.M Billets Reports'!A1221="SIZE",'R.M Billets Reports'!B1221,P1221)</f>
      </c>
    </row>
    <row r="1223" spans="1:16" x14ac:dyDescent="0.25">
      <c r="A1223">
        <f>IF(OR('R.M Billets Reports'!A1222="Date-",'R.M Billets Reports'!A1222="Date:-"),IF(IF(IF(ISNUMBER(SEARCH("Party Name:-",'R.M Billets Reports'!D1222)),TRIM('R.M Billets Reports'!F1222),IF(ISNUMBER(SEARCH("Party Name-",'R.M Billets Reports'!D1222)),TRIM(MID('R.M Billets Reports'!D1222,SEARCH("-",'R.M Billets Reports'!D1222)+1,200)),""))&lt;&gt;"",IF(ISNUMBER(SEARCH("Party Name:-",'R.M Billets Reports'!D1222)),TRIM('R.M Billets Reports'!F1222),IF(ISNUMBER(SEARCH("Party Name-",'R.M Billets Reports'!D1222)),TRIM(MID('R.M Billets Reports'!D1222,SEARCH("-",'R.M Billets Reports'!D1222)+1,200)),"")),IF(ISNUMBER(SEARCH("Party Name:-",'R.M Billets Reports'!D1223)),TRIM('R.M Billets Reports'!F1223),IF(ISNUMBER(SEARCH("Party Name-",'R.M Billets Reports'!D1223)),TRIM(MID('R.M Billets Reports'!D1223,SEARCH("-",'R.M Billets Reports'!D1223)+1,200)),"")))="VRKP ISPAT PVT LTD","VRKP",IF(IF(IF(ISNUMBER(SEARCH("Party Name:-",'R.M Billets Reports'!D1222)),TRIM('R.M Billets Reports'!F1222),IF(ISNUMBER(SEARCH("Party Name-",'R.M Billets Reports'!D1222)),TRIM(MID('R.M Billets Reports'!D1222,SEARCH("-",'R.M Billets Reports'!D1222)+1,200)),""))&lt;&gt;"",IF(ISNUMBER(SEARCH("Party Name:-",'R.M Billets Reports'!D1222)),TRIM('R.M Billets Reports'!F1222),IF(ISNUMBER(SEARCH("Party Name-",'R.M Billets Reports'!D1222)),TRIM(MID('R.M Billets Reports'!D1222,SEARCH("-",'R.M Billets Reports'!D1222)+1,200)),"")),IF(ISNUMBER(SEARCH("Party Name:-",'R.M Billets Reports'!D1223)),TRIM('R.M Billets Reports'!F1223),IF(ISNUMBER(SEARCH("Party Name-",'R.M Billets Reports'!D1223)),TRIM(MID('R.M Billets Reports'!D1223,SEARCH("-",'R.M Billets Reports'!D1223)+1,200)),"")))="SHRI RADHE","SHREE RADHE",IF(IF(IF(ISNUMBER(SEARCH("Party Name:-",'R.M Billets Reports'!D1222)),TRIM('R.M Billets Reports'!F1222),IF(ISNUMBER(SEARCH("Party Name-",'R.M Billets Reports'!D1222)),TRIM(MID('R.M Billets Reports'!D1222,SEARCH("-",'R.M Billets Reports'!D1222)+1,200)),""))&lt;&gt;"",IF(ISNUMBER(SEARCH("Party Name:-",'R.M Billets Reports'!D1222)),TRIM('R.M Billets Reports'!F1222),IF(ISNUMBER(SEARCH("Party Name-",'R.M Billets Reports'!D1222)),TRIM(MID('R.M Billets Reports'!D1222,SEARCH("-",'R.M Billets Reports'!D1222)+1,200)),"")),IF(ISNUMBER(SEARCH("Party Name:-",'R.M Billets Reports'!D1223)),TRIM('R.M Billets Reports'!F1223),IF(ISNUMBER(SEARCH("Party Name-",'R.M Billets Reports'!D1223)),TRIM(MID('R.M Billets Reports'!D1223,SEARCH("-",'R.M Billets Reports'!D1223)+1,200)),"")))="SHREE RADHE SHAKTI SPONGE AND POWER PVT. LTD.","SHREE RADHE",IF(IF(ISNUMBER(SEARCH("Party Name:-",'R.M Billets Reports'!D1222)),TRIM('R.M Billets Reports'!F1222),IF(ISNUMBER(SEARCH("Party Name-",'R.M Billets Reports'!D1222)),TRIM(MID('R.M Billets Reports'!D1222,SEARCH("-",'R.M Billets Reports'!D1222)+1,200)),""))&lt;&gt;"",IF(ISNUMBER(SEARCH("Party Name:-",'R.M Billets Reports'!D1222)),TRIM('R.M Billets Reports'!F1222),IF(ISNUMBER(SEARCH("Party Name-",'R.M Billets Reports'!D1222)),TRIM(MID('R.M Billets Reports'!D1222,SEARCH("-",'R.M Billets Reports'!D1222)+1,200)),"")),IF(ISNUMBER(SEARCH("Party Name:-",'R.M Billets Reports'!D1223)),TRIM('R.M Billets Reports'!F1223),IF(ISNUMBER(SEARCH("Party Name-",'R.M Billets Reports'!D1223)),TRIM(MID('R.M Billets Reports'!D1223,SEARCH("-",'R.M Billets Reports'!D1223)+1,200)),"")))))),IF(ROW()=2,"",A1222))</f>
      </c>
      <c r="B1223">
        <f>IF(OR('R.M Billets Reports'!A1222="Date-",'R.M Billets Reports'!A1222="Date:-"),'R.M Billets Reports'!B1222,IF(ROW()=2,"",B1222))</f>
      </c>
      <c r="C1223">
        <f>IF('R.M Billets Reports'!A1222="V.No.",'R.M Billets Reports'!B1222,IF(ROW()=2,"",C1222))</f>
      </c>
      <c r="D1223">
        <f>IF('R.M Billets Reports'!A1222&lt;&gt;"",'R.M Billets Reports'!A1222,IF(ROW()=2,"",D1222))</f>
      </c>
      <c r="E1223">
        <f>IF('R.M Billets Reports'!B1222="","",TRIM('R.M Billets Reports'!B1222))</f>
      </c>
      <c r="F1223">
        <f>'R.M Billets Reports'!C1222</f>
      </c>
      <c r="G1223">
        <f>'R.M Billets Reports'!D1222</f>
      </c>
      <c r="H1223">
        <f>'R.M Billets Reports'!E1222</f>
      </c>
      <c r="I1223">
        <f>'R.M Billets Reports'!F1222</f>
      </c>
      <c r="J1223">
        <f>'R.M Billets Reports'!G1222</f>
      </c>
      <c r="K1223">
        <f>'R.M Billets Reports'!H1222</f>
      </c>
      <c r="L1223">
        <f>IF('R.M Billets Reports'!I1222="","",'R.M Billets Reports'!I1222)</f>
      </c>
      <c r="M1223">
        <f t="shared" si="38"/>
      </c>
      <c r="N1223">
        <f>IF('R.M Billets Reports'!J1222="","",'R.M Billets Reports'!J1222)</f>
      </c>
      <c r="O1223">
        <f t="shared" si="39"/>
      </c>
      <c r="P1223">
        <f>IF('R.M Billets Reports'!A1222="SIZE",'R.M Billets Reports'!B1222,P1222)</f>
      </c>
    </row>
    <row r="1224" spans="1:16" x14ac:dyDescent="0.25">
      <c r="A1224">
        <f>IF(OR('R.M Billets Reports'!A1223="Date-",'R.M Billets Reports'!A1223="Date:-"),IF(IF(IF(ISNUMBER(SEARCH("Party Name:-",'R.M Billets Reports'!D1223)),TRIM('R.M Billets Reports'!F1223),IF(ISNUMBER(SEARCH("Party Name-",'R.M Billets Reports'!D1223)),TRIM(MID('R.M Billets Reports'!D1223,SEARCH("-",'R.M Billets Reports'!D1223)+1,200)),""))&lt;&gt;"",IF(ISNUMBER(SEARCH("Party Name:-",'R.M Billets Reports'!D1223)),TRIM('R.M Billets Reports'!F1223),IF(ISNUMBER(SEARCH("Party Name-",'R.M Billets Reports'!D1223)),TRIM(MID('R.M Billets Reports'!D1223,SEARCH("-",'R.M Billets Reports'!D1223)+1,200)),"")),IF(ISNUMBER(SEARCH("Party Name:-",'R.M Billets Reports'!D1224)),TRIM('R.M Billets Reports'!F1224),IF(ISNUMBER(SEARCH("Party Name-",'R.M Billets Reports'!D1224)),TRIM(MID('R.M Billets Reports'!D1224,SEARCH("-",'R.M Billets Reports'!D1224)+1,200)),"")))="VRKP ISPAT PVT LTD","VRKP",IF(IF(IF(ISNUMBER(SEARCH("Party Name:-",'R.M Billets Reports'!D1223)),TRIM('R.M Billets Reports'!F1223),IF(ISNUMBER(SEARCH("Party Name-",'R.M Billets Reports'!D1223)),TRIM(MID('R.M Billets Reports'!D1223,SEARCH("-",'R.M Billets Reports'!D1223)+1,200)),""))&lt;&gt;"",IF(ISNUMBER(SEARCH("Party Name:-",'R.M Billets Reports'!D1223)),TRIM('R.M Billets Reports'!F1223),IF(ISNUMBER(SEARCH("Party Name-",'R.M Billets Reports'!D1223)),TRIM(MID('R.M Billets Reports'!D1223,SEARCH("-",'R.M Billets Reports'!D1223)+1,200)),"")),IF(ISNUMBER(SEARCH("Party Name:-",'R.M Billets Reports'!D1224)),TRIM('R.M Billets Reports'!F1224),IF(ISNUMBER(SEARCH("Party Name-",'R.M Billets Reports'!D1224)),TRIM(MID('R.M Billets Reports'!D1224,SEARCH("-",'R.M Billets Reports'!D1224)+1,200)),"")))="SHRI RADHE","SHREE RADHE",IF(IF(IF(ISNUMBER(SEARCH("Party Name:-",'R.M Billets Reports'!D1223)),TRIM('R.M Billets Reports'!F1223),IF(ISNUMBER(SEARCH("Party Name-",'R.M Billets Reports'!D1223)),TRIM(MID('R.M Billets Reports'!D1223,SEARCH("-",'R.M Billets Reports'!D1223)+1,200)),""))&lt;&gt;"",IF(ISNUMBER(SEARCH("Party Name:-",'R.M Billets Reports'!D1223)),TRIM('R.M Billets Reports'!F1223),IF(ISNUMBER(SEARCH("Party Name-",'R.M Billets Reports'!D1223)),TRIM(MID('R.M Billets Reports'!D1223,SEARCH("-",'R.M Billets Reports'!D1223)+1,200)),"")),IF(ISNUMBER(SEARCH("Party Name:-",'R.M Billets Reports'!D1224)),TRIM('R.M Billets Reports'!F1224),IF(ISNUMBER(SEARCH("Party Name-",'R.M Billets Reports'!D1224)),TRIM(MID('R.M Billets Reports'!D1224,SEARCH("-",'R.M Billets Reports'!D1224)+1,200)),"")))="SHREE RADHE SHAKTI SPONGE AND POWER PVT. LTD.","SHREE RADHE",IF(IF(ISNUMBER(SEARCH("Party Name:-",'R.M Billets Reports'!D1223)),TRIM('R.M Billets Reports'!F1223),IF(ISNUMBER(SEARCH("Party Name-",'R.M Billets Reports'!D1223)),TRIM(MID('R.M Billets Reports'!D1223,SEARCH("-",'R.M Billets Reports'!D1223)+1,200)),""))&lt;&gt;"",IF(ISNUMBER(SEARCH("Party Name:-",'R.M Billets Reports'!D1223)),TRIM('R.M Billets Reports'!F1223),IF(ISNUMBER(SEARCH("Party Name-",'R.M Billets Reports'!D1223)),TRIM(MID('R.M Billets Reports'!D1223,SEARCH("-",'R.M Billets Reports'!D1223)+1,200)),"")),IF(ISNUMBER(SEARCH("Party Name:-",'R.M Billets Reports'!D1224)),TRIM('R.M Billets Reports'!F1224),IF(ISNUMBER(SEARCH("Party Name-",'R.M Billets Reports'!D1224)),TRIM(MID('R.M Billets Reports'!D1224,SEARCH("-",'R.M Billets Reports'!D1224)+1,200)),"")))))),IF(ROW()=2,"",A1223))</f>
      </c>
      <c r="B1224">
        <f>IF(OR('R.M Billets Reports'!A1223="Date-",'R.M Billets Reports'!A1223="Date:-"),'R.M Billets Reports'!B1223,IF(ROW()=2,"",B1223))</f>
      </c>
      <c r="C1224">
        <f>IF('R.M Billets Reports'!A1223="V.No.",'R.M Billets Reports'!B1223,IF(ROW()=2,"",C1223))</f>
      </c>
      <c r="D1224">
        <f>IF('R.M Billets Reports'!A1223&lt;&gt;"",'R.M Billets Reports'!A1223,IF(ROW()=2,"",D1223))</f>
      </c>
      <c r="E1224">
        <f>IF('R.M Billets Reports'!B1223="","",TRIM('R.M Billets Reports'!B1223))</f>
      </c>
      <c r="F1224">
        <f>'R.M Billets Reports'!C1223</f>
      </c>
      <c r="G1224">
        <f>'R.M Billets Reports'!D1223</f>
      </c>
      <c r="H1224">
        <f>'R.M Billets Reports'!E1223</f>
      </c>
      <c r="I1224">
        <f>'R.M Billets Reports'!F1223</f>
      </c>
      <c r="J1224">
        <f>'R.M Billets Reports'!G1223</f>
      </c>
      <c r="K1224">
        <f>'R.M Billets Reports'!H1223</f>
      </c>
      <c r="L1224">
        <f>IF('R.M Billets Reports'!I1223="","",'R.M Billets Reports'!I1223)</f>
      </c>
      <c r="M1224">
        <f t="shared" si="38"/>
      </c>
      <c r="N1224">
        <f>IF('R.M Billets Reports'!J1223="","",'R.M Billets Reports'!J1223)</f>
      </c>
      <c r="O1224">
        <f t="shared" si="39"/>
      </c>
      <c r="P1224">
        <f>IF('R.M Billets Reports'!A1223="SIZE",'R.M Billets Reports'!B1223,P1223)</f>
      </c>
    </row>
    <row r="1225" spans="1:16" x14ac:dyDescent="0.25">
      <c r="A1225">
        <f>IF(OR('R.M Billets Reports'!A1224="Date-",'R.M Billets Reports'!A1224="Date:-"),IF(IF(IF(ISNUMBER(SEARCH("Party Name:-",'R.M Billets Reports'!D1224)),TRIM('R.M Billets Reports'!F1224),IF(ISNUMBER(SEARCH("Party Name-",'R.M Billets Reports'!D1224)),TRIM(MID('R.M Billets Reports'!D1224,SEARCH("-",'R.M Billets Reports'!D1224)+1,200)),""))&lt;&gt;"",IF(ISNUMBER(SEARCH("Party Name:-",'R.M Billets Reports'!D1224)),TRIM('R.M Billets Reports'!F1224),IF(ISNUMBER(SEARCH("Party Name-",'R.M Billets Reports'!D1224)),TRIM(MID('R.M Billets Reports'!D1224,SEARCH("-",'R.M Billets Reports'!D1224)+1,200)),"")),IF(ISNUMBER(SEARCH("Party Name:-",'R.M Billets Reports'!D1225)),TRIM('R.M Billets Reports'!F1225),IF(ISNUMBER(SEARCH("Party Name-",'R.M Billets Reports'!D1225)),TRIM(MID('R.M Billets Reports'!D1225,SEARCH("-",'R.M Billets Reports'!D1225)+1,200)),"")))="VRKP ISPAT PVT LTD","VRKP",IF(IF(IF(ISNUMBER(SEARCH("Party Name:-",'R.M Billets Reports'!D1224)),TRIM('R.M Billets Reports'!F1224),IF(ISNUMBER(SEARCH("Party Name-",'R.M Billets Reports'!D1224)),TRIM(MID('R.M Billets Reports'!D1224,SEARCH("-",'R.M Billets Reports'!D1224)+1,200)),""))&lt;&gt;"",IF(ISNUMBER(SEARCH("Party Name:-",'R.M Billets Reports'!D1224)),TRIM('R.M Billets Reports'!F1224),IF(ISNUMBER(SEARCH("Party Name-",'R.M Billets Reports'!D1224)),TRIM(MID('R.M Billets Reports'!D1224,SEARCH("-",'R.M Billets Reports'!D1224)+1,200)),"")),IF(ISNUMBER(SEARCH("Party Name:-",'R.M Billets Reports'!D1225)),TRIM('R.M Billets Reports'!F1225),IF(ISNUMBER(SEARCH("Party Name-",'R.M Billets Reports'!D1225)),TRIM(MID('R.M Billets Reports'!D1225,SEARCH("-",'R.M Billets Reports'!D1225)+1,200)),"")))="SHRI RADHE","SHREE RADHE",IF(IF(IF(ISNUMBER(SEARCH("Party Name:-",'R.M Billets Reports'!D1224)),TRIM('R.M Billets Reports'!F1224),IF(ISNUMBER(SEARCH("Party Name-",'R.M Billets Reports'!D1224)),TRIM(MID('R.M Billets Reports'!D1224,SEARCH("-",'R.M Billets Reports'!D1224)+1,200)),""))&lt;&gt;"",IF(ISNUMBER(SEARCH("Party Name:-",'R.M Billets Reports'!D1224)),TRIM('R.M Billets Reports'!F1224),IF(ISNUMBER(SEARCH("Party Name-",'R.M Billets Reports'!D1224)),TRIM(MID('R.M Billets Reports'!D1224,SEARCH("-",'R.M Billets Reports'!D1224)+1,200)),"")),IF(ISNUMBER(SEARCH("Party Name:-",'R.M Billets Reports'!D1225)),TRIM('R.M Billets Reports'!F1225),IF(ISNUMBER(SEARCH("Party Name-",'R.M Billets Reports'!D1225)),TRIM(MID('R.M Billets Reports'!D1225,SEARCH("-",'R.M Billets Reports'!D1225)+1,200)),"")))="SHREE RADHE SHAKTI SPONGE AND POWER PVT. LTD.","SHREE RADHE",IF(IF(ISNUMBER(SEARCH("Party Name:-",'R.M Billets Reports'!D1224)),TRIM('R.M Billets Reports'!F1224),IF(ISNUMBER(SEARCH("Party Name-",'R.M Billets Reports'!D1224)),TRIM(MID('R.M Billets Reports'!D1224,SEARCH("-",'R.M Billets Reports'!D1224)+1,200)),""))&lt;&gt;"",IF(ISNUMBER(SEARCH("Party Name:-",'R.M Billets Reports'!D1224)),TRIM('R.M Billets Reports'!F1224),IF(ISNUMBER(SEARCH("Party Name-",'R.M Billets Reports'!D1224)),TRIM(MID('R.M Billets Reports'!D1224,SEARCH("-",'R.M Billets Reports'!D1224)+1,200)),"")),IF(ISNUMBER(SEARCH("Party Name:-",'R.M Billets Reports'!D1225)),TRIM('R.M Billets Reports'!F1225),IF(ISNUMBER(SEARCH("Party Name-",'R.M Billets Reports'!D1225)),TRIM(MID('R.M Billets Reports'!D1225,SEARCH("-",'R.M Billets Reports'!D1225)+1,200)),"")))))),IF(ROW()=2,"",A1224))</f>
      </c>
      <c r="B1225">
        <f>IF(OR('R.M Billets Reports'!A1224="Date-",'R.M Billets Reports'!A1224="Date:-"),'R.M Billets Reports'!B1224,IF(ROW()=2,"",B1224))</f>
      </c>
      <c r="C1225">
        <f>IF('R.M Billets Reports'!A1224="V.No.",'R.M Billets Reports'!B1224,IF(ROW()=2,"",C1224))</f>
      </c>
      <c r="D1225">
        <f>IF('R.M Billets Reports'!A1224&lt;&gt;"",'R.M Billets Reports'!A1224,IF(ROW()=2,"",D1224))</f>
      </c>
      <c r="E1225">
        <f>IF('R.M Billets Reports'!B1224="","",TRIM('R.M Billets Reports'!B1224))</f>
      </c>
      <c r="F1225">
        <f>'R.M Billets Reports'!C1224</f>
      </c>
      <c r="G1225">
        <f>'R.M Billets Reports'!D1224</f>
      </c>
      <c r="H1225">
        <f>'R.M Billets Reports'!E1224</f>
      </c>
      <c r="I1225">
        <f>'R.M Billets Reports'!F1224</f>
      </c>
      <c r="J1225">
        <f>'R.M Billets Reports'!G1224</f>
      </c>
      <c r="K1225">
        <f>'R.M Billets Reports'!H1224</f>
      </c>
      <c r="L1225">
        <f>IF('R.M Billets Reports'!I1224="","",'R.M Billets Reports'!I1224)</f>
      </c>
      <c r="M1225">
        <f t="shared" si="38"/>
      </c>
      <c r="N1225">
        <f>IF('R.M Billets Reports'!J1224="","",'R.M Billets Reports'!J1224)</f>
      </c>
      <c r="O1225">
        <f t="shared" si="39"/>
      </c>
      <c r="P1225">
        <f>IF('R.M Billets Reports'!A1224="SIZE",'R.M Billets Reports'!B1224,P1224)</f>
      </c>
    </row>
    <row r="1226" spans="1:16" x14ac:dyDescent="0.25">
      <c r="A1226">
        <f>IF(OR('R.M Billets Reports'!A1225="Date-",'R.M Billets Reports'!A1225="Date:-"),IF(IF(IF(ISNUMBER(SEARCH("Party Name:-",'R.M Billets Reports'!D1225)),TRIM('R.M Billets Reports'!F1225),IF(ISNUMBER(SEARCH("Party Name-",'R.M Billets Reports'!D1225)),TRIM(MID('R.M Billets Reports'!D1225,SEARCH("-",'R.M Billets Reports'!D1225)+1,200)),""))&lt;&gt;"",IF(ISNUMBER(SEARCH("Party Name:-",'R.M Billets Reports'!D1225)),TRIM('R.M Billets Reports'!F1225),IF(ISNUMBER(SEARCH("Party Name-",'R.M Billets Reports'!D1225)),TRIM(MID('R.M Billets Reports'!D1225,SEARCH("-",'R.M Billets Reports'!D1225)+1,200)),"")),IF(ISNUMBER(SEARCH("Party Name:-",'R.M Billets Reports'!D1226)),TRIM('R.M Billets Reports'!F1226),IF(ISNUMBER(SEARCH("Party Name-",'R.M Billets Reports'!D1226)),TRIM(MID('R.M Billets Reports'!D1226,SEARCH("-",'R.M Billets Reports'!D1226)+1,200)),"")))="VRKP ISPAT PVT LTD","VRKP",IF(IF(IF(ISNUMBER(SEARCH("Party Name:-",'R.M Billets Reports'!D1225)),TRIM('R.M Billets Reports'!F1225),IF(ISNUMBER(SEARCH("Party Name-",'R.M Billets Reports'!D1225)),TRIM(MID('R.M Billets Reports'!D1225,SEARCH("-",'R.M Billets Reports'!D1225)+1,200)),""))&lt;&gt;"",IF(ISNUMBER(SEARCH("Party Name:-",'R.M Billets Reports'!D1225)),TRIM('R.M Billets Reports'!F1225),IF(ISNUMBER(SEARCH("Party Name-",'R.M Billets Reports'!D1225)),TRIM(MID('R.M Billets Reports'!D1225,SEARCH("-",'R.M Billets Reports'!D1225)+1,200)),"")),IF(ISNUMBER(SEARCH("Party Name:-",'R.M Billets Reports'!D1226)),TRIM('R.M Billets Reports'!F1226),IF(ISNUMBER(SEARCH("Party Name-",'R.M Billets Reports'!D1226)),TRIM(MID('R.M Billets Reports'!D1226,SEARCH("-",'R.M Billets Reports'!D1226)+1,200)),"")))="SHRI RADHE","SHREE RADHE",IF(IF(IF(ISNUMBER(SEARCH("Party Name:-",'R.M Billets Reports'!D1225)),TRIM('R.M Billets Reports'!F1225),IF(ISNUMBER(SEARCH("Party Name-",'R.M Billets Reports'!D1225)),TRIM(MID('R.M Billets Reports'!D1225,SEARCH("-",'R.M Billets Reports'!D1225)+1,200)),""))&lt;&gt;"",IF(ISNUMBER(SEARCH("Party Name:-",'R.M Billets Reports'!D1225)),TRIM('R.M Billets Reports'!F1225),IF(ISNUMBER(SEARCH("Party Name-",'R.M Billets Reports'!D1225)),TRIM(MID('R.M Billets Reports'!D1225,SEARCH("-",'R.M Billets Reports'!D1225)+1,200)),"")),IF(ISNUMBER(SEARCH("Party Name:-",'R.M Billets Reports'!D1226)),TRIM('R.M Billets Reports'!F1226),IF(ISNUMBER(SEARCH("Party Name-",'R.M Billets Reports'!D1226)),TRIM(MID('R.M Billets Reports'!D1226,SEARCH("-",'R.M Billets Reports'!D1226)+1,200)),"")))="SHREE RADHE SHAKTI SPONGE AND POWER PVT. LTD.","SHREE RADHE",IF(IF(ISNUMBER(SEARCH("Party Name:-",'R.M Billets Reports'!D1225)),TRIM('R.M Billets Reports'!F1225),IF(ISNUMBER(SEARCH("Party Name-",'R.M Billets Reports'!D1225)),TRIM(MID('R.M Billets Reports'!D1225,SEARCH("-",'R.M Billets Reports'!D1225)+1,200)),""))&lt;&gt;"",IF(ISNUMBER(SEARCH("Party Name:-",'R.M Billets Reports'!D1225)),TRIM('R.M Billets Reports'!F1225),IF(ISNUMBER(SEARCH("Party Name-",'R.M Billets Reports'!D1225)),TRIM(MID('R.M Billets Reports'!D1225,SEARCH("-",'R.M Billets Reports'!D1225)+1,200)),"")),IF(ISNUMBER(SEARCH("Party Name:-",'R.M Billets Reports'!D1226)),TRIM('R.M Billets Reports'!F1226),IF(ISNUMBER(SEARCH("Party Name-",'R.M Billets Reports'!D1226)),TRIM(MID('R.M Billets Reports'!D1226,SEARCH("-",'R.M Billets Reports'!D1226)+1,200)),"")))))),IF(ROW()=2,"",A1225))</f>
      </c>
      <c r="B1226">
        <f>IF(OR('R.M Billets Reports'!A1225="Date-",'R.M Billets Reports'!A1225="Date:-"),'R.M Billets Reports'!B1225,IF(ROW()=2,"",B1225))</f>
      </c>
      <c r="C1226">
        <f>IF('R.M Billets Reports'!A1225="V.No.",'R.M Billets Reports'!B1225,IF(ROW()=2,"",C1225))</f>
      </c>
      <c r="D1226">
        <f>IF('R.M Billets Reports'!A1225&lt;&gt;"",'R.M Billets Reports'!A1225,IF(ROW()=2,"",D1225))</f>
      </c>
      <c r="E1226">
        <f>IF('R.M Billets Reports'!B1225="","",TRIM('R.M Billets Reports'!B1225))</f>
      </c>
      <c r="F1226">
        <f>'R.M Billets Reports'!C1225</f>
      </c>
      <c r="G1226">
        <f>'R.M Billets Reports'!D1225</f>
      </c>
      <c r="H1226">
        <f>'R.M Billets Reports'!E1225</f>
      </c>
      <c r="I1226">
        <f>'R.M Billets Reports'!F1225</f>
      </c>
      <c r="J1226">
        <f>'R.M Billets Reports'!G1225</f>
      </c>
      <c r="K1226">
        <f>'R.M Billets Reports'!H1225</f>
      </c>
      <c r="L1226">
        <f>IF('R.M Billets Reports'!I1225="","",'R.M Billets Reports'!I1225)</f>
      </c>
      <c r="M1226">
        <f t="shared" si="38"/>
      </c>
      <c r="N1226">
        <f>IF('R.M Billets Reports'!J1225="","",'R.M Billets Reports'!J1225)</f>
      </c>
      <c r="O1226">
        <f t="shared" si="39"/>
      </c>
      <c r="P1226">
        <f>IF('R.M Billets Reports'!A1225="SIZE",'R.M Billets Reports'!B1225,P1225)</f>
      </c>
    </row>
    <row r="1227" spans="1:16" x14ac:dyDescent="0.25">
      <c r="A1227">
        <f>IF(OR('R.M Billets Reports'!A1226="Date-",'R.M Billets Reports'!A1226="Date:-"),IF(IF(IF(ISNUMBER(SEARCH("Party Name:-",'R.M Billets Reports'!D1226)),TRIM('R.M Billets Reports'!F1226),IF(ISNUMBER(SEARCH("Party Name-",'R.M Billets Reports'!D1226)),TRIM(MID('R.M Billets Reports'!D1226,SEARCH("-",'R.M Billets Reports'!D1226)+1,200)),""))&lt;&gt;"",IF(ISNUMBER(SEARCH("Party Name:-",'R.M Billets Reports'!D1226)),TRIM('R.M Billets Reports'!F1226),IF(ISNUMBER(SEARCH("Party Name-",'R.M Billets Reports'!D1226)),TRIM(MID('R.M Billets Reports'!D1226,SEARCH("-",'R.M Billets Reports'!D1226)+1,200)),"")),IF(ISNUMBER(SEARCH("Party Name:-",'R.M Billets Reports'!D1227)),TRIM('R.M Billets Reports'!F1227),IF(ISNUMBER(SEARCH("Party Name-",'R.M Billets Reports'!D1227)),TRIM(MID('R.M Billets Reports'!D1227,SEARCH("-",'R.M Billets Reports'!D1227)+1,200)),"")))="VRKP ISPAT PVT LTD","VRKP",IF(IF(IF(ISNUMBER(SEARCH("Party Name:-",'R.M Billets Reports'!D1226)),TRIM('R.M Billets Reports'!F1226),IF(ISNUMBER(SEARCH("Party Name-",'R.M Billets Reports'!D1226)),TRIM(MID('R.M Billets Reports'!D1226,SEARCH("-",'R.M Billets Reports'!D1226)+1,200)),""))&lt;&gt;"",IF(ISNUMBER(SEARCH("Party Name:-",'R.M Billets Reports'!D1226)),TRIM('R.M Billets Reports'!F1226),IF(ISNUMBER(SEARCH("Party Name-",'R.M Billets Reports'!D1226)),TRIM(MID('R.M Billets Reports'!D1226,SEARCH("-",'R.M Billets Reports'!D1226)+1,200)),"")),IF(ISNUMBER(SEARCH("Party Name:-",'R.M Billets Reports'!D1227)),TRIM('R.M Billets Reports'!F1227),IF(ISNUMBER(SEARCH("Party Name-",'R.M Billets Reports'!D1227)),TRIM(MID('R.M Billets Reports'!D1227,SEARCH("-",'R.M Billets Reports'!D1227)+1,200)),"")))="SHRI RADHE","SHREE RADHE",IF(IF(IF(ISNUMBER(SEARCH("Party Name:-",'R.M Billets Reports'!D1226)),TRIM('R.M Billets Reports'!F1226),IF(ISNUMBER(SEARCH("Party Name-",'R.M Billets Reports'!D1226)),TRIM(MID('R.M Billets Reports'!D1226,SEARCH("-",'R.M Billets Reports'!D1226)+1,200)),""))&lt;&gt;"",IF(ISNUMBER(SEARCH("Party Name:-",'R.M Billets Reports'!D1226)),TRIM('R.M Billets Reports'!F1226),IF(ISNUMBER(SEARCH("Party Name-",'R.M Billets Reports'!D1226)),TRIM(MID('R.M Billets Reports'!D1226,SEARCH("-",'R.M Billets Reports'!D1226)+1,200)),"")),IF(ISNUMBER(SEARCH("Party Name:-",'R.M Billets Reports'!D1227)),TRIM('R.M Billets Reports'!F1227),IF(ISNUMBER(SEARCH("Party Name-",'R.M Billets Reports'!D1227)),TRIM(MID('R.M Billets Reports'!D1227,SEARCH("-",'R.M Billets Reports'!D1227)+1,200)),"")))="SHREE RADHE SHAKTI SPONGE AND POWER PVT. LTD.","SHREE RADHE",IF(IF(ISNUMBER(SEARCH("Party Name:-",'R.M Billets Reports'!D1226)),TRIM('R.M Billets Reports'!F1226),IF(ISNUMBER(SEARCH("Party Name-",'R.M Billets Reports'!D1226)),TRIM(MID('R.M Billets Reports'!D1226,SEARCH("-",'R.M Billets Reports'!D1226)+1,200)),""))&lt;&gt;"",IF(ISNUMBER(SEARCH("Party Name:-",'R.M Billets Reports'!D1226)),TRIM('R.M Billets Reports'!F1226),IF(ISNUMBER(SEARCH("Party Name-",'R.M Billets Reports'!D1226)),TRIM(MID('R.M Billets Reports'!D1226,SEARCH("-",'R.M Billets Reports'!D1226)+1,200)),"")),IF(ISNUMBER(SEARCH("Party Name:-",'R.M Billets Reports'!D1227)),TRIM('R.M Billets Reports'!F1227),IF(ISNUMBER(SEARCH("Party Name-",'R.M Billets Reports'!D1227)),TRIM(MID('R.M Billets Reports'!D1227,SEARCH("-",'R.M Billets Reports'!D1227)+1,200)),"")))))),IF(ROW()=2,"",A1226))</f>
      </c>
      <c r="B1227">
        <f>IF(OR('R.M Billets Reports'!A1226="Date-",'R.M Billets Reports'!A1226="Date:-"),'R.M Billets Reports'!B1226,IF(ROW()=2,"",B1226))</f>
      </c>
      <c r="C1227">
        <f>IF('R.M Billets Reports'!A1226="V.No.",'R.M Billets Reports'!B1226,IF(ROW()=2,"",C1226))</f>
      </c>
      <c r="D1227">
        <f>IF('R.M Billets Reports'!A1226&lt;&gt;"",'R.M Billets Reports'!A1226,IF(ROW()=2,"",D1226))</f>
      </c>
      <c r="E1227">
        <f>IF('R.M Billets Reports'!B1226="","",TRIM('R.M Billets Reports'!B1226))</f>
      </c>
      <c r="F1227">
        <f>'R.M Billets Reports'!C1226</f>
      </c>
      <c r="G1227">
        <f>'R.M Billets Reports'!D1226</f>
      </c>
      <c r="H1227">
        <f>'R.M Billets Reports'!E1226</f>
      </c>
      <c r="I1227">
        <f>'R.M Billets Reports'!F1226</f>
      </c>
      <c r="J1227">
        <f>'R.M Billets Reports'!G1226</f>
      </c>
      <c r="K1227">
        <f>'R.M Billets Reports'!H1226</f>
      </c>
      <c r="L1227">
        <f>IF('R.M Billets Reports'!I1226="","",'R.M Billets Reports'!I1226)</f>
      </c>
      <c r="M1227">
        <f t="shared" si="38"/>
      </c>
      <c r="N1227">
        <f>IF('R.M Billets Reports'!J1226="","",'R.M Billets Reports'!J1226)</f>
      </c>
      <c r="O1227">
        <f t="shared" si="39"/>
      </c>
      <c r="P1227">
        <f>IF('R.M Billets Reports'!A1226="SIZE",'R.M Billets Reports'!B1226,P1226)</f>
      </c>
    </row>
    <row r="1228" spans="1:16" x14ac:dyDescent="0.25">
      <c r="A1228">
        <f>IF(OR('R.M Billets Reports'!A1227="Date-",'R.M Billets Reports'!A1227="Date:-"),IF(IF(IF(ISNUMBER(SEARCH("Party Name:-",'R.M Billets Reports'!D1227)),TRIM('R.M Billets Reports'!F1227),IF(ISNUMBER(SEARCH("Party Name-",'R.M Billets Reports'!D1227)),TRIM(MID('R.M Billets Reports'!D1227,SEARCH("-",'R.M Billets Reports'!D1227)+1,200)),""))&lt;&gt;"",IF(ISNUMBER(SEARCH("Party Name:-",'R.M Billets Reports'!D1227)),TRIM('R.M Billets Reports'!F1227),IF(ISNUMBER(SEARCH("Party Name-",'R.M Billets Reports'!D1227)),TRIM(MID('R.M Billets Reports'!D1227,SEARCH("-",'R.M Billets Reports'!D1227)+1,200)),"")),IF(ISNUMBER(SEARCH("Party Name:-",'R.M Billets Reports'!D1228)),TRIM('R.M Billets Reports'!F1228),IF(ISNUMBER(SEARCH("Party Name-",'R.M Billets Reports'!D1228)),TRIM(MID('R.M Billets Reports'!D1228,SEARCH("-",'R.M Billets Reports'!D1228)+1,200)),"")))="VRKP ISPAT PVT LTD","VRKP",IF(IF(IF(ISNUMBER(SEARCH("Party Name:-",'R.M Billets Reports'!D1227)),TRIM('R.M Billets Reports'!F1227),IF(ISNUMBER(SEARCH("Party Name-",'R.M Billets Reports'!D1227)),TRIM(MID('R.M Billets Reports'!D1227,SEARCH("-",'R.M Billets Reports'!D1227)+1,200)),""))&lt;&gt;"",IF(ISNUMBER(SEARCH("Party Name:-",'R.M Billets Reports'!D1227)),TRIM('R.M Billets Reports'!F1227),IF(ISNUMBER(SEARCH("Party Name-",'R.M Billets Reports'!D1227)),TRIM(MID('R.M Billets Reports'!D1227,SEARCH("-",'R.M Billets Reports'!D1227)+1,200)),"")),IF(ISNUMBER(SEARCH("Party Name:-",'R.M Billets Reports'!D1228)),TRIM('R.M Billets Reports'!F1228),IF(ISNUMBER(SEARCH("Party Name-",'R.M Billets Reports'!D1228)),TRIM(MID('R.M Billets Reports'!D1228,SEARCH("-",'R.M Billets Reports'!D1228)+1,200)),"")))="SHRI RADHE","SHREE RADHE",IF(IF(IF(ISNUMBER(SEARCH("Party Name:-",'R.M Billets Reports'!D1227)),TRIM('R.M Billets Reports'!F1227),IF(ISNUMBER(SEARCH("Party Name-",'R.M Billets Reports'!D1227)),TRIM(MID('R.M Billets Reports'!D1227,SEARCH("-",'R.M Billets Reports'!D1227)+1,200)),""))&lt;&gt;"",IF(ISNUMBER(SEARCH("Party Name:-",'R.M Billets Reports'!D1227)),TRIM('R.M Billets Reports'!F1227),IF(ISNUMBER(SEARCH("Party Name-",'R.M Billets Reports'!D1227)),TRIM(MID('R.M Billets Reports'!D1227,SEARCH("-",'R.M Billets Reports'!D1227)+1,200)),"")),IF(ISNUMBER(SEARCH("Party Name:-",'R.M Billets Reports'!D1228)),TRIM('R.M Billets Reports'!F1228),IF(ISNUMBER(SEARCH("Party Name-",'R.M Billets Reports'!D1228)),TRIM(MID('R.M Billets Reports'!D1228,SEARCH("-",'R.M Billets Reports'!D1228)+1,200)),"")))="SHREE RADHE SHAKTI SPONGE AND POWER PVT. LTD.","SHREE RADHE",IF(IF(ISNUMBER(SEARCH("Party Name:-",'R.M Billets Reports'!D1227)),TRIM('R.M Billets Reports'!F1227),IF(ISNUMBER(SEARCH("Party Name-",'R.M Billets Reports'!D1227)),TRIM(MID('R.M Billets Reports'!D1227,SEARCH("-",'R.M Billets Reports'!D1227)+1,200)),""))&lt;&gt;"",IF(ISNUMBER(SEARCH("Party Name:-",'R.M Billets Reports'!D1227)),TRIM('R.M Billets Reports'!F1227),IF(ISNUMBER(SEARCH("Party Name-",'R.M Billets Reports'!D1227)),TRIM(MID('R.M Billets Reports'!D1227,SEARCH("-",'R.M Billets Reports'!D1227)+1,200)),"")),IF(ISNUMBER(SEARCH("Party Name:-",'R.M Billets Reports'!D1228)),TRIM('R.M Billets Reports'!F1228),IF(ISNUMBER(SEARCH("Party Name-",'R.M Billets Reports'!D1228)),TRIM(MID('R.M Billets Reports'!D1228,SEARCH("-",'R.M Billets Reports'!D1228)+1,200)),"")))))),IF(ROW()=2,"",A1227))</f>
      </c>
      <c r="B1228">
        <f>IF(OR('R.M Billets Reports'!A1227="Date-",'R.M Billets Reports'!A1227="Date:-"),'R.M Billets Reports'!B1227,IF(ROW()=2,"",B1227))</f>
      </c>
      <c r="C1228">
        <f>IF('R.M Billets Reports'!A1227="V.No.",'R.M Billets Reports'!B1227,IF(ROW()=2,"",C1227))</f>
      </c>
      <c r="D1228">
        <f>IF('R.M Billets Reports'!A1227&lt;&gt;"",'R.M Billets Reports'!A1227,IF(ROW()=2,"",D1227))</f>
      </c>
      <c r="E1228">
        <f>IF('R.M Billets Reports'!B1227="","",TRIM('R.M Billets Reports'!B1227))</f>
      </c>
      <c r="F1228">
        <f>'R.M Billets Reports'!C1227</f>
      </c>
      <c r="G1228">
        <f>'R.M Billets Reports'!D1227</f>
      </c>
      <c r="H1228">
        <f>'R.M Billets Reports'!E1227</f>
      </c>
      <c r="I1228">
        <f>'R.M Billets Reports'!F1227</f>
      </c>
      <c r="J1228">
        <f>'R.M Billets Reports'!G1227</f>
      </c>
      <c r="K1228">
        <f>'R.M Billets Reports'!H1227</f>
      </c>
      <c r="L1228">
        <f>IF('R.M Billets Reports'!I1227="","",'R.M Billets Reports'!I1227)</f>
      </c>
      <c r="M1228">
        <f t="shared" si="38"/>
      </c>
      <c r="N1228">
        <f>IF('R.M Billets Reports'!J1227="","",'R.M Billets Reports'!J1227)</f>
      </c>
      <c r="O1228">
        <f t="shared" si="39"/>
      </c>
      <c r="P1228">
        <f>IF('R.M Billets Reports'!A1227="SIZE",'R.M Billets Reports'!B1227,P1227)</f>
      </c>
    </row>
    <row r="1229" spans="1:16" x14ac:dyDescent="0.25">
      <c r="A1229">
        <f>IF(OR('R.M Billets Reports'!A1228="Date-",'R.M Billets Reports'!A1228="Date:-"),IF(IF(IF(ISNUMBER(SEARCH("Party Name:-",'R.M Billets Reports'!D1228)),TRIM('R.M Billets Reports'!F1228),IF(ISNUMBER(SEARCH("Party Name-",'R.M Billets Reports'!D1228)),TRIM(MID('R.M Billets Reports'!D1228,SEARCH("-",'R.M Billets Reports'!D1228)+1,200)),""))&lt;&gt;"",IF(ISNUMBER(SEARCH("Party Name:-",'R.M Billets Reports'!D1228)),TRIM('R.M Billets Reports'!F1228),IF(ISNUMBER(SEARCH("Party Name-",'R.M Billets Reports'!D1228)),TRIM(MID('R.M Billets Reports'!D1228,SEARCH("-",'R.M Billets Reports'!D1228)+1,200)),"")),IF(ISNUMBER(SEARCH("Party Name:-",'R.M Billets Reports'!D1229)),TRIM('R.M Billets Reports'!F1229),IF(ISNUMBER(SEARCH("Party Name-",'R.M Billets Reports'!D1229)),TRIM(MID('R.M Billets Reports'!D1229,SEARCH("-",'R.M Billets Reports'!D1229)+1,200)),"")))="VRKP ISPAT PVT LTD","VRKP",IF(IF(IF(ISNUMBER(SEARCH("Party Name:-",'R.M Billets Reports'!D1228)),TRIM('R.M Billets Reports'!F1228),IF(ISNUMBER(SEARCH("Party Name-",'R.M Billets Reports'!D1228)),TRIM(MID('R.M Billets Reports'!D1228,SEARCH("-",'R.M Billets Reports'!D1228)+1,200)),""))&lt;&gt;"",IF(ISNUMBER(SEARCH("Party Name:-",'R.M Billets Reports'!D1228)),TRIM('R.M Billets Reports'!F1228),IF(ISNUMBER(SEARCH("Party Name-",'R.M Billets Reports'!D1228)),TRIM(MID('R.M Billets Reports'!D1228,SEARCH("-",'R.M Billets Reports'!D1228)+1,200)),"")),IF(ISNUMBER(SEARCH("Party Name:-",'R.M Billets Reports'!D1229)),TRIM('R.M Billets Reports'!F1229),IF(ISNUMBER(SEARCH("Party Name-",'R.M Billets Reports'!D1229)),TRIM(MID('R.M Billets Reports'!D1229,SEARCH("-",'R.M Billets Reports'!D1229)+1,200)),"")))="SHRI RADHE","SHREE RADHE",IF(IF(IF(ISNUMBER(SEARCH("Party Name:-",'R.M Billets Reports'!D1228)),TRIM('R.M Billets Reports'!F1228),IF(ISNUMBER(SEARCH("Party Name-",'R.M Billets Reports'!D1228)),TRIM(MID('R.M Billets Reports'!D1228,SEARCH("-",'R.M Billets Reports'!D1228)+1,200)),""))&lt;&gt;"",IF(ISNUMBER(SEARCH("Party Name:-",'R.M Billets Reports'!D1228)),TRIM('R.M Billets Reports'!F1228),IF(ISNUMBER(SEARCH("Party Name-",'R.M Billets Reports'!D1228)),TRIM(MID('R.M Billets Reports'!D1228,SEARCH("-",'R.M Billets Reports'!D1228)+1,200)),"")),IF(ISNUMBER(SEARCH("Party Name:-",'R.M Billets Reports'!D1229)),TRIM('R.M Billets Reports'!F1229),IF(ISNUMBER(SEARCH("Party Name-",'R.M Billets Reports'!D1229)),TRIM(MID('R.M Billets Reports'!D1229,SEARCH("-",'R.M Billets Reports'!D1229)+1,200)),"")))="SHREE RADHE SHAKTI SPONGE AND POWER PVT. LTD.","SHREE RADHE",IF(IF(ISNUMBER(SEARCH("Party Name:-",'R.M Billets Reports'!D1228)),TRIM('R.M Billets Reports'!F1228),IF(ISNUMBER(SEARCH("Party Name-",'R.M Billets Reports'!D1228)),TRIM(MID('R.M Billets Reports'!D1228,SEARCH("-",'R.M Billets Reports'!D1228)+1,200)),""))&lt;&gt;"",IF(ISNUMBER(SEARCH("Party Name:-",'R.M Billets Reports'!D1228)),TRIM('R.M Billets Reports'!F1228),IF(ISNUMBER(SEARCH("Party Name-",'R.M Billets Reports'!D1228)),TRIM(MID('R.M Billets Reports'!D1228,SEARCH("-",'R.M Billets Reports'!D1228)+1,200)),"")),IF(ISNUMBER(SEARCH("Party Name:-",'R.M Billets Reports'!D1229)),TRIM('R.M Billets Reports'!F1229),IF(ISNUMBER(SEARCH("Party Name-",'R.M Billets Reports'!D1229)),TRIM(MID('R.M Billets Reports'!D1229,SEARCH("-",'R.M Billets Reports'!D1229)+1,200)),"")))))),IF(ROW()=2,"",A1228))</f>
      </c>
      <c r="B1229">
        <f>IF(OR('R.M Billets Reports'!A1228="Date-",'R.M Billets Reports'!A1228="Date:-"),'R.M Billets Reports'!B1228,IF(ROW()=2,"",B1228))</f>
      </c>
      <c r="C1229">
        <f>IF('R.M Billets Reports'!A1228="V.No.",'R.M Billets Reports'!B1228,IF(ROW()=2,"",C1228))</f>
      </c>
      <c r="D1229">
        <f>IF('R.M Billets Reports'!A1228&lt;&gt;"",'R.M Billets Reports'!A1228,IF(ROW()=2,"",D1228))</f>
      </c>
      <c r="E1229">
        <f>IF('R.M Billets Reports'!B1228="","",TRIM('R.M Billets Reports'!B1228))</f>
      </c>
      <c r="F1229">
        <f>'R.M Billets Reports'!C1228</f>
      </c>
      <c r="G1229">
        <f>'R.M Billets Reports'!D1228</f>
      </c>
      <c r="H1229">
        <f>'R.M Billets Reports'!E1228</f>
      </c>
      <c r="I1229">
        <f>'R.M Billets Reports'!F1228</f>
      </c>
      <c r="J1229">
        <f>'R.M Billets Reports'!G1228</f>
      </c>
      <c r="K1229">
        <f>'R.M Billets Reports'!H1228</f>
      </c>
      <c r="L1229">
        <f>IF('R.M Billets Reports'!I1228="","",'R.M Billets Reports'!I1228)</f>
      </c>
      <c r="M1229">
        <f t="shared" si="38"/>
      </c>
      <c r="N1229">
        <f>IF('R.M Billets Reports'!J1228="","",'R.M Billets Reports'!J1228)</f>
      </c>
      <c r="O1229">
        <f t="shared" si="39"/>
      </c>
      <c r="P1229">
        <f>IF('R.M Billets Reports'!A1228="SIZE",'R.M Billets Reports'!B1228,P1228)</f>
      </c>
    </row>
    <row r="1230" spans="1:16" x14ac:dyDescent="0.25">
      <c r="A1230">
        <f>IF(OR('R.M Billets Reports'!A1229="Date-",'R.M Billets Reports'!A1229="Date:-"),IF(IF(IF(ISNUMBER(SEARCH("Party Name:-",'R.M Billets Reports'!D1229)),TRIM('R.M Billets Reports'!F1229),IF(ISNUMBER(SEARCH("Party Name-",'R.M Billets Reports'!D1229)),TRIM(MID('R.M Billets Reports'!D1229,SEARCH("-",'R.M Billets Reports'!D1229)+1,200)),""))&lt;&gt;"",IF(ISNUMBER(SEARCH("Party Name:-",'R.M Billets Reports'!D1229)),TRIM('R.M Billets Reports'!F1229),IF(ISNUMBER(SEARCH("Party Name-",'R.M Billets Reports'!D1229)),TRIM(MID('R.M Billets Reports'!D1229,SEARCH("-",'R.M Billets Reports'!D1229)+1,200)),"")),IF(ISNUMBER(SEARCH("Party Name:-",'R.M Billets Reports'!D1230)),TRIM('R.M Billets Reports'!F1230),IF(ISNUMBER(SEARCH("Party Name-",'R.M Billets Reports'!D1230)),TRIM(MID('R.M Billets Reports'!D1230,SEARCH("-",'R.M Billets Reports'!D1230)+1,200)),"")))="VRKP ISPAT PVT LTD","VRKP",IF(IF(IF(ISNUMBER(SEARCH("Party Name:-",'R.M Billets Reports'!D1229)),TRIM('R.M Billets Reports'!F1229),IF(ISNUMBER(SEARCH("Party Name-",'R.M Billets Reports'!D1229)),TRIM(MID('R.M Billets Reports'!D1229,SEARCH("-",'R.M Billets Reports'!D1229)+1,200)),""))&lt;&gt;"",IF(ISNUMBER(SEARCH("Party Name:-",'R.M Billets Reports'!D1229)),TRIM('R.M Billets Reports'!F1229),IF(ISNUMBER(SEARCH("Party Name-",'R.M Billets Reports'!D1229)),TRIM(MID('R.M Billets Reports'!D1229,SEARCH("-",'R.M Billets Reports'!D1229)+1,200)),"")),IF(ISNUMBER(SEARCH("Party Name:-",'R.M Billets Reports'!D1230)),TRIM('R.M Billets Reports'!F1230),IF(ISNUMBER(SEARCH("Party Name-",'R.M Billets Reports'!D1230)),TRIM(MID('R.M Billets Reports'!D1230,SEARCH("-",'R.M Billets Reports'!D1230)+1,200)),"")))="SHRI RADHE","SHREE RADHE",IF(IF(IF(ISNUMBER(SEARCH("Party Name:-",'R.M Billets Reports'!D1229)),TRIM('R.M Billets Reports'!F1229),IF(ISNUMBER(SEARCH("Party Name-",'R.M Billets Reports'!D1229)),TRIM(MID('R.M Billets Reports'!D1229,SEARCH("-",'R.M Billets Reports'!D1229)+1,200)),""))&lt;&gt;"",IF(ISNUMBER(SEARCH("Party Name:-",'R.M Billets Reports'!D1229)),TRIM('R.M Billets Reports'!F1229),IF(ISNUMBER(SEARCH("Party Name-",'R.M Billets Reports'!D1229)),TRIM(MID('R.M Billets Reports'!D1229,SEARCH("-",'R.M Billets Reports'!D1229)+1,200)),"")),IF(ISNUMBER(SEARCH("Party Name:-",'R.M Billets Reports'!D1230)),TRIM('R.M Billets Reports'!F1230),IF(ISNUMBER(SEARCH("Party Name-",'R.M Billets Reports'!D1230)),TRIM(MID('R.M Billets Reports'!D1230,SEARCH("-",'R.M Billets Reports'!D1230)+1,200)),"")))="SHREE RADHE SHAKTI SPONGE AND POWER PVT. LTD.","SHREE RADHE",IF(IF(ISNUMBER(SEARCH("Party Name:-",'R.M Billets Reports'!D1229)),TRIM('R.M Billets Reports'!F1229),IF(ISNUMBER(SEARCH("Party Name-",'R.M Billets Reports'!D1229)),TRIM(MID('R.M Billets Reports'!D1229,SEARCH("-",'R.M Billets Reports'!D1229)+1,200)),""))&lt;&gt;"",IF(ISNUMBER(SEARCH("Party Name:-",'R.M Billets Reports'!D1229)),TRIM('R.M Billets Reports'!F1229),IF(ISNUMBER(SEARCH("Party Name-",'R.M Billets Reports'!D1229)),TRIM(MID('R.M Billets Reports'!D1229,SEARCH("-",'R.M Billets Reports'!D1229)+1,200)),"")),IF(ISNUMBER(SEARCH("Party Name:-",'R.M Billets Reports'!D1230)),TRIM('R.M Billets Reports'!F1230),IF(ISNUMBER(SEARCH("Party Name-",'R.M Billets Reports'!D1230)),TRIM(MID('R.M Billets Reports'!D1230,SEARCH("-",'R.M Billets Reports'!D1230)+1,200)),"")))))),IF(ROW()=2,"",A1229))</f>
      </c>
      <c r="B1230">
        <f>IF(OR('R.M Billets Reports'!A1229="Date-",'R.M Billets Reports'!A1229="Date:-"),'R.M Billets Reports'!B1229,IF(ROW()=2,"",B1229))</f>
      </c>
      <c r="C1230">
        <f>IF('R.M Billets Reports'!A1229="V.No.",'R.M Billets Reports'!B1229,IF(ROW()=2,"",C1229))</f>
      </c>
      <c r="D1230">
        <f>IF('R.M Billets Reports'!A1229&lt;&gt;"",'R.M Billets Reports'!A1229,IF(ROW()=2,"",D1229))</f>
      </c>
      <c r="E1230">
        <f>IF('R.M Billets Reports'!B1229="","",TRIM('R.M Billets Reports'!B1229))</f>
      </c>
      <c r="F1230">
        <f>'R.M Billets Reports'!C1229</f>
      </c>
      <c r="G1230">
        <f>'R.M Billets Reports'!D1229</f>
      </c>
      <c r="H1230">
        <f>'R.M Billets Reports'!E1229</f>
      </c>
      <c r="I1230">
        <f>'R.M Billets Reports'!F1229</f>
      </c>
      <c r="J1230">
        <f>'R.M Billets Reports'!G1229</f>
      </c>
      <c r="K1230">
        <f>'R.M Billets Reports'!H1229</f>
      </c>
      <c r="L1230">
        <f>IF('R.M Billets Reports'!I1229="","",'R.M Billets Reports'!I1229)</f>
      </c>
      <c r="M1230">
        <f t="shared" si="38"/>
      </c>
      <c r="N1230">
        <f>IF('R.M Billets Reports'!J1229="","",'R.M Billets Reports'!J1229)</f>
      </c>
      <c r="O1230">
        <f t="shared" si="39"/>
      </c>
      <c r="P1230">
        <f>IF('R.M Billets Reports'!A1229="SIZE",'R.M Billets Reports'!B1229,P1229)</f>
      </c>
    </row>
    <row r="1231" spans="1:16" x14ac:dyDescent="0.25">
      <c r="A1231">
        <f>IF(OR('R.M Billets Reports'!A1230="Date-",'R.M Billets Reports'!A1230="Date:-"),IF(IF(IF(ISNUMBER(SEARCH("Party Name:-",'R.M Billets Reports'!D1230)),TRIM('R.M Billets Reports'!F1230),IF(ISNUMBER(SEARCH("Party Name-",'R.M Billets Reports'!D1230)),TRIM(MID('R.M Billets Reports'!D1230,SEARCH("-",'R.M Billets Reports'!D1230)+1,200)),""))&lt;&gt;"",IF(ISNUMBER(SEARCH("Party Name:-",'R.M Billets Reports'!D1230)),TRIM('R.M Billets Reports'!F1230),IF(ISNUMBER(SEARCH("Party Name-",'R.M Billets Reports'!D1230)),TRIM(MID('R.M Billets Reports'!D1230,SEARCH("-",'R.M Billets Reports'!D1230)+1,200)),"")),IF(ISNUMBER(SEARCH("Party Name:-",'R.M Billets Reports'!D1231)),TRIM('R.M Billets Reports'!F1231),IF(ISNUMBER(SEARCH("Party Name-",'R.M Billets Reports'!D1231)),TRIM(MID('R.M Billets Reports'!D1231,SEARCH("-",'R.M Billets Reports'!D1231)+1,200)),"")))="VRKP ISPAT PVT LTD","VRKP",IF(IF(IF(ISNUMBER(SEARCH("Party Name:-",'R.M Billets Reports'!D1230)),TRIM('R.M Billets Reports'!F1230),IF(ISNUMBER(SEARCH("Party Name-",'R.M Billets Reports'!D1230)),TRIM(MID('R.M Billets Reports'!D1230,SEARCH("-",'R.M Billets Reports'!D1230)+1,200)),""))&lt;&gt;"",IF(ISNUMBER(SEARCH("Party Name:-",'R.M Billets Reports'!D1230)),TRIM('R.M Billets Reports'!F1230),IF(ISNUMBER(SEARCH("Party Name-",'R.M Billets Reports'!D1230)),TRIM(MID('R.M Billets Reports'!D1230,SEARCH("-",'R.M Billets Reports'!D1230)+1,200)),"")),IF(ISNUMBER(SEARCH("Party Name:-",'R.M Billets Reports'!D1231)),TRIM('R.M Billets Reports'!F1231),IF(ISNUMBER(SEARCH("Party Name-",'R.M Billets Reports'!D1231)),TRIM(MID('R.M Billets Reports'!D1231,SEARCH("-",'R.M Billets Reports'!D1231)+1,200)),"")))="SHRI RADHE","SHREE RADHE",IF(IF(IF(ISNUMBER(SEARCH("Party Name:-",'R.M Billets Reports'!D1230)),TRIM('R.M Billets Reports'!F1230),IF(ISNUMBER(SEARCH("Party Name-",'R.M Billets Reports'!D1230)),TRIM(MID('R.M Billets Reports'!D1230,SEARCH("-",'R.M Billets Reports'!D1230)+1,200)),""))&lt;&gt;"",IF(ISNUMBER(SEARCH("Party Name:-",'R.M Billets Reports'!D1230)),TRIM('R.M Billets Reports'!F1230),IF(ISNUMBER(SEARCH("Party Name-",'R.M Billets Reports'!D1230)),TRIM(MID('R.M Billets Reports'!D1230,SEARCH("-",'R.M Billets Reports'!D1230)+1,200)),"")),IF(ISNUMBER(SEARCH("Party Name:-",'R.M Billets Reports'!D1231)),TRIM('R.M Billets Reports'!F1231),IF(ISNUMBER(SEARCH("Party Name-",'R.M Billets Reports'!D1231)),TRIM(MID('R.M Billets Reports'!D1231,SEARCH("-",'R.M Billets Reports'!D1231)+1,200)),"")))="SHREE RADHE SHAKTI SPONGE AND POWER PVT. LTD.","SHREE RADHE",IF(IF(ISNUMBER(SEARCH("Party Name:-",'R.M Billets Reports'!D1230)),TRIM('R.M Billets Reports'!F1230),IF(ISNUMBER(SEARCH("Party Name-",'R.M Billets Reports'!D1230)),TRIM(MID('R.M Billets Reports'!D1230,SEARCH("-",'R.M Billets Reports'!D1230)+1,200)),""))&lt;&gt;"",IF(ISNUMBER(SEARCH("Party Name:-",'R.M Billets Reports'!D1230)),TRIM('R.M Billets Reports'!F1230),IF(ISNUMBER(SEARCH("Party Name-",'R.M Billets Reports'!D1230)),TRIM(MID('R.M Billets Reports'!D1230,SEARCH("-",'R.M Billets Reports'!D1230)+1,200)),"")),IF(ISNUMBER(SEARCH("Party Name:-",'R.M Billets Reports'!D1231)),TRIM('R.M Billets Reports'!F1231),IF(ISNUMBER(SEARCH("Party Name-",'R.M Billets Reports'!D1231)),TRIM(MID('R.M Billets Reports'!D1231,SEARCH("-",'R.M Billets Reports'!D1231)+1,200)),"")))))),IF(ROW()=2,"",A1230))</f>
      </c>
      <c r="B1231">
        <f>IF(OR('R.M Billets Reports'!A1230="Date-",'R.M Billets Reports'!A1230="Date:-"),'R.M Billets Reports'!B1230,IF(ROW()=2,"",B1230))</f>
      </c>
      <c r="C1231">
        <f>IF('R.M Billets Reports'!A1230="V.No.",'R.M Billets Reports'!B1230,IF(ROW()=2,"",C1230))</f>
      </c>
      <c r="D1231">
        <f>IF('R.M Billets Reports'!A1230&lt;&gt;"",'R.M Billets Reports'!A1230,IF(ROW()=2,"",D1230))</f>
      </c>
      <c r="E1231">
        <f>IF('R.M Billets Reports'!B1230="","",TRIM('R.M Billets Reports'!B1230))</f>
      </c>
      <c r="F1231">
        <f>'R.M Billets Reports'!C1230</f>
      </c>
      <c r="G1231">
        <f>'R.M Billets Reports'!D1230</f>
      </c>
      <c r="H1231">
        <f>'R.M Billets Reports'!E1230</f>
      </c>
      <c r="I1231">
        <f>'R.M Billets Reports'!F1230</f>
      </c>
      <c r="J1231">
        <f>'R.M Billets Reports'!G1230</f>
      </c>
      <c r="K1231">
        <f>'R.M Billets Reports'!H1230</f>
      </c>
      <c r="L1231">
        <f>IF('R.M Billets Reports'!I1230="","",'R.M Billets Reports'!I1230)</f>
      </c>
      <c r="M1231">
        <f t="shared" si="38"/>
      </c>
      <c r="N1231">
        <f>IF('R.M Billets Reports'!J1230="","",'R.M Billets Reports'!J1230)</f>
      </c>
      <c r="O1231">
        <f t="shared" si="39"/>
      </c>
      <c r="P1231">
        <f>IF('R.M Billets Reports'!A1230="SIZE",'R.M Billets Reports'!B1230,P1230)</f>
      </c>
    </row>
    <row r="1232" spans="1:16" x14ac:dyDescent="0.25">
      <c r="A1232">
        <f>IF(OR('R.M Billets Reports'!A1231="Date-",'R.M Billets Reports'!A1231="Date:-"),IF(IF(IF(ISNUMBER(SEARCH("Party Name:-",'R.M Billets Reports'!D1231)),TRIM('R.M Billets Reports'!F1231),IF(ISNUMBER(SEARCH("Party Name-",'R.M Billets Reports'!D1231)),TRIM(MID('R.M Billets Reports'!D1231,SEARCH("-",'R.M Billets Reports'!D1231)+1,200)),""))&lt;&gt;"",IF(ISNUMBER(SEARCH("Party Name:-",'R.M Billets Reports'!D1231)),TRIM('R.M Billets Reports'!F1231),IF(ISNUMBER(SEARCH("Party Name-",'R.M Billets Reports'!D1231)),TRIM(MID('R.M Billets Reports'!D1231,SEARCH("-",'R.M Billets Reports'!D1231)+1,200)),"")),IF(ISNUMBER(SEARCH("Party Name:-",'R.M Billets Reports'!D1232)),TRIM('R.M Billets Reports'!F1232),IF(ISNUMBER(SEARCH("Party Name-",'R.M Billets Reports'!D1232)),TRIM(MID('R.M Billets Reports'!D1232,SEARCH("-",'R.M Billets Reports'!D1232)+1,200)),"")))="VRKP ISPAT PVT LTD","VRKP",IF(IF(IF(ISNUMBER(SEARCH("Party Name:-",'R.M Billets Reports'!D1231)),TRIM('R.M Billets Reports'!F1231),IF(ISNUMBER(SEARCH("Party Name-",'R.M Billets Reports'!D1231)),TRIM(MID('R.M Billets Reports'!D1231,SEARCH("-",'R.M Billets Reports'!D1231)+1,200)),""))&lt;&gt;"",IF(ISNUMBER(SEARCH("Party Name:-",'R.M Billets Reports'!D1231)),TRIM('R.M Billets Reports'!F1231),IF(ISNUMBER(SEARCH("Party Name-",'R.M Billets Reports'!D1231)),TRIM(MID('R.M Billets Reports'!D1231,SEARCH("-",'R.M Billets Reports'!D1231)+1,200)),"")),IF(ISNUMBER(SEARCH("Party Name:-",'R.M Billets Reports'!D1232)),TRIM('R.M Billets Reports'!F1232),IF(ISNUMBER(SEARCH("Party Name-",'R.M Billets Reports'!D1232)),TRIM(MID('R.M Billets Reports'!D1232,SEARCH("-",'R.M Billets Reports'!D1232)+1,200)),"")))="SHRI RADHE","SHREE RADHE",IF(IF(IF(ISNUMBER(SEARCH("Party Name:-",'R.M Billets Reports'!D1231)),TRIM('R.M Billets Reports'!F1231),IF(ISNUMBER(SEARCH("Party Name-",'R.M Billets Reports'!D1231)),TRIM(MID('R.M Billets Reports'!D1231,SEARCH("-",'R.M Billets Reports'!D1231)+1,200)),""))&lt;&gt;"",IF(ISNUMBER(SEARCH("Party Name:-",'R.M Billets Reports'!D1231)),TRIM('R.M Billets Reports'!F1231),IF(ISNUMBER(SEARCH("Party Name-",'R.M Billets Reports'!D1231)),TRIM(MID('R.M Billets Reports'!D1231,SEARCH("-",'R.M Billets Reports'!D1231)+1,200)),"")),IF(ISNUMBER(SEARCH("Party Name:-",'R.M Billets Reports'!D1232)),TRIM('R.M Billets Reports'!F1232),IF(ISNUMBER(SEARCH("Party Name-",'R.M Billets Reports'!D1232)),TRIM(MID('R.M Billets Reports'!D1232,SEARCH("-",'R.M Billets Reports'!D1232)+1,200)),"")))="SHREE RADHE SHAKTI SPONGE AND POWER PVT. LTD.","SHREE RADHE",IF(IF(ISNUMBER(SEARCH("Party Name:-",'R.M Billets Reports'!D1231)),TRIM('R.M Billets Reports'!F1231),IF(ISNUMBER(SEARCH("Party Name-",'R.M Billets Reports'!D1231)),TRIM(MID('R.M Billets Reports'!D1231,SEARCH("-",'R.M Billets Reports'!D1231)+1,200)),""))&lt;&gt;"",IF(ISNUMBER(SEARCH("Party Name:-",'R.M Billets Reports'!D1231)),TRIM('R.M Billets Reports'!F1231),IF(ISNUMBER(SEARCH("Party Name-",'R.M Billets Reports'!D1231)),TRIM(MID('R.M Billets Reports'!D1231,SEARCH("-",'R.M Billets Reports'!D1231)+1,200)),"")),IF(ISNUMBER(SEARCH("Party Name:-",'R.M Billets Reports'!D1232)),TRIM('R.M Billets Reports'!F1232),IF(ISNUMBER(SEARCH("Party Name-",'R.M Billets Reports'!D1232)),TRIM(MID('R.M Billets Reports'!D1232,SEARCH("-",'R.M Billets Reports'!D1232)+1,200)),"")))))),IF(ROW()=2,"",A1231))</f>
      </c>
      <c r="B1232">
        <f>IF(OR('R.M Billets Reports'!A1231="Date-",'R.M Billets Reports'!A1231="Date:-"),'R.M Billets Reports'!B1231,IF(ROW()=2,"",B1231))</f>
      </c>
      <c r="C1232">
        <f>IF('R.M Billets Reports'!A1231="V.No.",'R.M Billets Reports'!B1231,IF(ROW()=2,"",C1231))</f>
      </c>
      <c r="D1232">
        <f>IF('R.M Billets Reports'!A1231&lt;&gt;"",'R.M Billets Reports'!A1231,IF(ROW()=2,"",D1231))</f>
      </c>
      <c r="E1232">
        <f>IF('R.M Billets Reports'!B1231="","",TRIM('R.M Billets Reports'!B1231))</f>
      </c>
      <c r="F1232">
        <f>'R.M Billets Reports'!C1231</f>
      </c>
      <c r="G1232">
        <f>'R.M Billets Reports'!D1231</f>
      </c>
      <c r="H1232">
        <f>'R.M Billets Reports'!E1231</f>
      </c>
      <c r="I1232">
        <f>'R.M Billets Reports'!F1231</f>
      </c>
      <c r="J1232">
        <f>'R.M Billets Reports'!G1231</f>
      </c>
      <c r="K1232">
        <f>'R.M Billets Reports'!H1231</f>
      </c>
      <c r="L1232">
        <f>IF('R.M Billets Reports'!I1231="","",'R.M Billets Reports'!I1231)</f>
      </c>
      <c r="M1232">
        <f t="shared" si="38"/>
      </c>
      <c r="N1232">
        <f>IF('R.M Billets Reports'!J1231="","",'R.M Billets Reports'!J1231)</f>
      </c>
      <c r="O1232">
        <f t="shared" si="39"/>
      </c>
      <c r="P1232">
        <f>IF('R.M Billets Reports'!A1231="SIZE",'R.M Billets Reports'!B1231,P1231)</f>
      </c>
    </row>
    <row r="1233" spans="1:16" x14ac:dyDescent="0.25">
      <c r="A1233">
        <f>IF(OR('R.M Billets Reports'!A1232="Date-",'R.M Billets Reports'!A1232="Date:-"),IF(IF(IF(ISNUMBER(SEARCH("Party Name:-",'R.M Billets Reports'!D1232)),TRIM('R.M Billets Reports'!F1232),IF(ISNUMBER(SEARCH("Party Name-",'R.M Billets Reports'!D1232)),TRIM(MID('R.M Billets Reports'!D1232,SEARCH("-",'R.M Billets Reports'!D1232)+1,200)),""))&lt;&gt;"",IF(ISNUMBER(SEARCH("Party Name:-",'R.M Billets Reports'!D1232)),TRIM('R.M Billets Reports'!F1232),IF(ISNUMBER(SEARCH("Party Name-",'R.M Billets Reports'!D1232)),TRIM(MID('R.M Billets Reports'!D1232,SEARCH("-",'R.M Billets Reports'!D1232)+1,200)),"")),IF(ISNUMBER(SEARCH("Party Name:-",'R.M Billets Reports'!D1233)),TRIM('R.M Billets Reports'!F1233),IF(ISNUMBER(SEARCH("Party Name-",'R.M Billets Reports'!D1233)),TRIM(MID('R.M Billets Reports'!D1233,SEARCH("-",'R.M Billets Reports'!D1233)+1,200)),"")))="VRKP ISPAT PVT LTD","VRKP",IF(IF(IF(ISNUMBER(SEARCH("Party Name:-",'R.M Billets Reports'!D1232)),TRIM('R.M Billets Reports'!F1232),IF(ISNUMBER(SEARCH("Party Name-",'R.M Billets Reports'!D1232)),TRIM(MID('R.M Billets Reports'!D1232,SEARCH("-",'R.M Billets Reports'!D1232)+1,200)),""))&lt;&gt;"",IF(ISNUMBER(SEARCH("Party Name:-",'R.M Billets Reports'!D1232)),TRIM('R.M Billets Reports'!F1232),IF(ISNUMBER(SEARCH("Party Name-",'R.M Billets Reports'!D1232)),TRIM(MID('R.M Billets Reports'!D1232,SEARCH("-",'R.M Billets Reports'!D1232)+1,200)),"")),IF(ISNUMBER(SEARCH("Party Name:-",'R.M Billets Reports'!D1233)),TRIM('R.M Billets Reports'!F1233),IF(ISNUMBER(SEARCH("Party Name-",'R.M Billets Reports'!D1233)),TRIM(MID('R.M Billets Reports'!D1233,SEARCH("-",'R.M Billets Reports'!D1233)+1,200)),"")))="SHRI RADHE","SHREE RADHE",IF(IF(IF(ISNUMBER(SEARCH("Party Name:-",'R.M Billets Reports'!D1232)),TRIM('R.M Billets Reports'!F1232),IF(ISNUMBER(SEARCH("Party Name-",'R.M Billets Reports'!D1232)),TRIM(MID('R.M Billets Reports'!D1232,SEARCH("-",'R.M Billets Reports'!D1232)+1,200)),""))&lt;&gt;"",IF(ISNUMBER(SEARCH("Party Name:-",'R.M Billets Reports'!D1232)),TRIM('R.M Billets Reports'!F1232),IF(ISNUMBER(SEARCH("Party Name-",'R.M Billets Reports'!D1232)),TRIM(MID('R.M Billets Reports'!D1232,SEARCH("-",'R.M Billets Reports'!D1232)+1,200)),"")),IF(ISNUMBER(SEARCH("Party Name:-",'R.M Billets Reports'!D1233)),TRIM('R.M Billets Reports'!F1233),IF(ISNUMBER(SEARCH("Party Name-",'R.M Billets Reports'!D1233)),TRIM(MID('R.M Billets Reports'!D1233,SEARCH("-",'R.M Billets Reports'!D1233)+1,200)),"")))="SHREE RADHE SHAKTI SPONGE AND POWER PVT. LTD.","SHREE RADHE",IF(IF(ISNUMBER(SEARCH("Party Name:-",'R.M Billets Reports'!D1232)),TRIM('R.M Billets Reports'!F1232),IF(ISNUMBER(SEARCH("Party Name-",'R.M Billets Reports'!D1232)),TRIM(MID('R.M Billets Reports'!D1232,SEARCH("-",'R.M Billets Reports'!D1232)+1,200)),""))&lt;&gt;"",IF(ISNUMBER(SEARCH("Party Name:-",'R.M Billets Reports'!D1232)),TRIM('R.M Billets Reports'!F1232),IF(ISNUMBER(SEARCH("Party Name-",'R.M Billets Reports'!D1232)),TRIM(MID('R.M Billets Reports'!D1232,SEARCH("-",'R.M Billets Reports'!D1232)+1,200)),"")),IF(ISNUMBER(SEARCH("Party Name:-",'R.M Billets Reports'!D1233)),TRIM('R.M Billets Reports'!F1233),IF(ISNUMBER(SEARCH("Party Name-",'R.M Billets Reports'!D1233)),TRIM(MID('R.M Billets Reports'!D1233,SEARCH("-",'R.M Billets Reports'!D1233)+1,200)),"")))))),IF(ROW()=2,"",A1232))</f>
      </c>
      <c r="B1233">
        <f>IF(OR('R.M Billets Reports'!A1232="Date-",'R.M Billets Reports'!A1232="Date:-"),'R.M Billets Reports'!B1232,IF(ROW()=2,"",B1232))</f>
      </c>
      <c r="C1233">
        <f>IF('R.M Billets Reports'!A1232="V.No.",'R.M Billets Reports'!B1232,IF(ROW()=2,"",C1232))</f>
      </c>
      <c r="D1233">
        <f>IF('R.M Billets Reports'!A1232&lt;&gt;"",'R.M Billets Reports'!A1232,IF(ROW()=2,"",D1232))</f>
      </c>
      <c r="E1233">
        <f>IF('R.M Billets Reports'!B1232="","",TRIM('R.M Billets Reports'!B1232))</f>
      </c>
      <c r="F1233">
        <f>'R.M Billets Reports'!C1232</f>
      </c>
      <c r="G1233">
        <f>'R.M Billets Reports'!D1232</f>
      </c>
      <c r="H1233">
        <f>'R.M Billets Reports'!E1232</f>
      </c>
      <c r="I1233">
        <f>'R.M Billets Reports'!F1232</f>
      </c>
      <c r="J1233">
        <f>'R.M Billets Reports'!G1232</f>
      </c>
      <c r="K1233">
        <f>'R.M Billets Reports'!H1232</f>
      </c>
      <c r="L1233">
        <f>IF('R.M Billets Reports'!I1232="","",'R.M Billets Reports'!I1232)</f>
      </c>
      <c r="M1233">
        <f t="shared" si="38"/>
      </c>
      <c r="N1233">
        <f>IF('R.M Billets Reports'!J1232="","",'R.M Billets Reports'!J1232)</f>
      </c>
      <c r="O1233">
        <f t="shared" si="39"/>
      </c>
      <c r="P1233">
        <f>IF('R.M Billets Reports'!A1232="SIZE",'R.M Billets Reports'!B1232,P1232)</f>
      </c>
    </row>
    <row r="1234" spans="1:16" x14ac:dyDescent="0.25">
      <c r="A1234">
        <f>IF(OR('R.M Billets Reports'!A1233="Date-",'R.M Billets Reports'!A1233="Date:-"),IF(IF(IF(ISNUMBER(SEARCH("Party Name:-",'R.M Billets Reports'!D1233)),TRIM('R.M Billets Reports'!F1233),IF(ISNUMBER(SEARCH("Party Name-",'R.M Billets Reports'!D1233)),TRIM(MID('R.M Billets Reports'!D1233,SEARCH("-",'R.M Billets Reports'!D1233)+1,200)),""))&lt;&gt;"",IF(ISNUMBER(SEARCH("Party Name:-",'R.M Billets Reports'!D1233)),TRIM('R.M Billets Reports'!F1233),IF(ISNUMBER(SEARCH("Party Name-",'R.M Billets Reports'!D1233)),TRIM(MID('R.M Billets Reports'!D1233,SEARCH("-",'R.M Billets Reports'!D1233)+1,200)),"")),IF(ISNUMBER(SEARCH("Party Name:-",'R.M Billets Reports'!D1234)),TRIM('R.M Billets Reports'!F1234),IF(ISNUMBER(SEARCH("Party Name-",'R.M Billets Reports'!D1234)),TRIM(MID('R.M Billets Reports'!D1234,SEARCH("-",'R.M Billets Reports'!D1234)+1,200)),"")))="VRKP ISPAT PVT LTD","VRKP",IF(IF(IF(ISNUMBER(SEARCH("Party Name:-",'R.M Billets Reports'!D1233)),TRIM('R.M Billets Reports'!F1233),IF(ISNUMBER(SEARCH("Party Name-",'R.M Billets Reports'!D1233)),TRIM(MID('R.M Billets Reports'!D1233,SEARCH("-",'R.M Billets Reports'!D1233)+1,200)),""))&lt;&gt;"",IF(ISNUMBER(SEARCH("Party Name:-",'R.M Billets Reports'!D1233)),TRIM('R.M Billets Reports'!F1233),IF(ISNUMBER(SEARCH("Party Name-",'R.M Billets Reports'!D1233)),TRIM(MID('R.M Billets Reports'!D1233,SEARCH("-",'R.M Billets Reports'!D1233)+1,200)),"")),IF(ISNUMBER(SEARCH("Party Name:-",'R.M Billets Reports'!D1234)),TRIM('R.M Billets Reports'!F1234),IF(ISNUMBER(SEARCH("Party Name-",'R.M Billets Reports'!D1234)),TRIM(MID('R.M Billets Reports'!D1234,SEARCH("-",'R.M Billets Reports'!D1234)+1,200)),"")))="SHRI RADHE","SHREE RADHE",IF(IF(IF(ISNUMBER(SEARCH("Party Name:-",'R.M Billets Reports'!D1233)),TRIM('R.M Billets Reports'!F1233),IF(ISNUMBER(SEARCH("Party Name-",'R.M Billets Reports'!D1233)),TRIM(MID('R.M Billets Reports'!D1233,SEARCH("-",'R.M Billets Reports'!D1233)+1,200)),""))&lt;&gt;"",IF(ISNUMBER(SEARCH("Party Name:-",'R.M Billets Reports'!D1233)),TRIM('R.M Billets Reports'!F1233),IF(ISNUMBER(SEARCH("Party Name-",'R.M Billets Reports'!D1233)),TRIM(MID('R.M Billets Reports'!D1233,SEARCH("-",'R.M Billets Reports'!D1233)+1,200)),"")),IF(ISNUMBER(SEARCH("Party Name:-",'R.M Billets Reports'!D1234)),TRIM('R.M Billets Reports'!F1234),IF(ISNUMBER(SEARCH("Party Name-",'R.M Billets Reports'!D1234)),TRIM(MID('R.M Billets Reports'!D1234,SEARCH("-",'R.M Billets Reports'!D1234)+1,200)),"")))="SHREE RADHE SHAKTI SPONGE AND POWER PVT. LTD.","SHREE RADHE",IF(IF(ISNUMBER(SEARCH("Party Name:-",'R.M Billets Reports'!D1233)),TRIM('R.M Billets Reports'!F1233),IF(ISNUMBER(SEARCH("Party Name-",'R.M Billets Reports'!D1233)),TRIM(MID('R.M Billets Reports'!D1233,SEARCH("-",'R.M Billets Reports'!D1233)+1,200)),""))&lt;&gt;"",IF(ISNUMBER(SEARCH("Party Name:-",'R.M Billets Reports'!D1233)),TRIM('R.M Billets Reports'!F1233),IF(ISNUMBER(SEARCH("Party Name-",'R.M Billets Reports'!D1233)),TRIM(MID('R.M Billets Reports'!D1233,SEARCH("-",'R.M Billets Reports'!D1233)+1,200)),"")),IF(ISNUMBER(SEARCH("Party Name:-",'R.M Billets Reports'!D1234)),TRIM('R.M Billets Reports'!F1234),IF(ISNUMBER(SEARCH("Party Name-",'R.M Billets Reports'!D1234)),TRIM(MID('R.M Billets Reports'!D1234,SEARCH("-",'R.M Billets Reports'!D1234)+1,200)),"")))))),IF(ROW()=2,"",A1233))</f>
      </c>
      <c r="B1234">
        <f>IF(OR('R.M Billets Reports'!A1233="Date-",'R.M Billets Reports'!A1233="Date:-"),'R.M Billets Reports'!B1233,IF(ROW()=2,"",B1233))</f>
      </c>
      <c r="C1234">
        <f>IF('R.M Billets Reports'!A1233="V.No.",'R.M Billets Reports'!B1233,IF(ROW()=2,"",C1233))</f>
      </c>
      <c r="D1234">
        <f>IF('R.M Billets Reports'!A1233&lt;&gt;"",'R.M Billets Reports'!A1233,IF(ROW()=2,"",D1233))</f>
      </c>
      <c r="E1234">
        <f>IF('R.M Billets Reports'!B1233="","",TRIM('R.M Billets Reports'!B1233))</f>
      </c>
      <c r="F1234">
        <f>'R.M Billets Reports'!C1233</f>
      </c>
      <c r="G1234">
        <f>'R.M Billets Reports'!D1233</f>
      </c>
      <c r="H1234">
        <f>'R.M Billets Reports'!E1233</f>
      </c>
      <c r="I1234">
        <f>'R.M Billets Reports'!F1233</f>
      </c>
      <c r="J1234">
        <f>'R.M Billets Reports'!G1233</f>
      </c>
      <c r="K1234">
        <f>'R.M Billets Reports'!H1233</f>
      </c>
      <c r="L1234">
        <f>IF('R.M Billets Reports'!I1233="","",'R.M Billets Reports'!I1233)</f>
      </c>
      <c r="M1234">
        <f t="shared" si="38"/>
      </c>
      <c r="N1234">
        <f>IF('R.M Billets Reports'!J1233="","",'R.M Billets Reports'!J1233)</f>
      </c>
      <c r="O1234">
        <f t="shared" si="39"/>
      </c>
      <c r="P1234">
        <f>IF('R.M Billets Reports'!A1233="SIZE",'R.M Billets Reports'!B1233,P1233)</f>
      </c>
    </row>
    <row r="1235" spans="1:16" x14ac:dyDescent="0.25">
      <c r="A1235">
        <f>IF(OR('R.M Billets Reports'!A1234="Date-",'R.M Billets Reports'!A1234="Date:-"),IF(IF(IF(ISNUMBER(SEARCH("Party Name:-",'R.M Billets Reports'!D1234)),TRIM('R.M Billets Reports'!F1234),IF(ISNUMBER(SEARCH("Party Name-",'R.M Billets Reports'!D1234)),TRIM(MID('R.M Billets Reports'!D1234,SEARCH("-",'R.M Billets Reports'!D1234)+1,200)),""))&lt;&gt;"",IF(ISNUMBER(SEARCH("Party Name:-",'R.M Billets Reports'!D1234)),TRIM('R.M Billets Reports'!F1234),IF(ISNUMBER(SEARCH("Party Name-",'R.M Billets Reports'!D1234)),TRIM(MID('R.M Billets Reports'!D1234,SEARCH("-",'R.M Billets Reports'!D1234)+1,200)),"")),IF(ISNUMBER(SEARCH("Party Name:-",'R.M Billets Reports'!D1235)),TRIM('R.M Billets Reports'!F1235),IF(ISNUMBER(SEARCH("Party Name-",'R.M Billets Reports'!D1235)),TRIM(MID('R.M Billets Reports'!D1235,SEARCH("-",'R.M Billets Reports'!D1235)+1,200)),"")))="VRKP ISPAT PVT LTD","VRKP",IF(IF(IF(ISNUMBER(SEARCH("Party Name:-",'R.M Billets Reports'!D1234)),TRIM('R.M Billets Reports'!F1234),IF(ISNUMBER(SEARCH("Party Name-",'R.M Billets Reports'!D1234)),TRIM(MID('R.M Billets Reports'!D1234,SEARCH("-",'R.M Billets Reports'!D1234)+1,200)),""))&lt;&gt;"",IF(ISNUMBER(SEARCH("Party Name:-",'R.M Billets Reports'!D1234)),TRIM('R.M Billets Reports'!F1234),IF(ISNUMBER(SEARCH("Party Name-",'R.M Billets Reports'!D1234)),TRIM(MID('R.M Billets Reports'!D1234,SEARCH("-",'R.M Billets Reports'!D1234)+1,200)),"")),IF(ISNUMBER(SEARCH("Party Name:-",'R.M Billets Reports'!D1235)),TRIM('R.M Billets Reports'!F1235),IF(ISNUMBER(SEARCH("Party Name-",'R.M Billets Reports'!D1235)),TRIM(MID('R.M Billets Reports'!D1235,SEARCH("-",'R.M Billets Reports'!D1235)+1,200)),"")))="SHRI RADHE","SHREE RADHE",IF(IF(IF(ISNUMBER(SEARCH("Party Name:-",'R.M Billets Reports'!D1234)),TRIM('R.M Billets Reports'!F1234),IF(ISNUMBER(SEARCH("Party Name-",'R.M Billets Reports'!D1234)),TRIM(MID('R.M Billets Reports'!D1234,SEARCH("-",'R.M Billets Reports'!D1234)+1,200)),""))&lt;&gt;"",IF(ISNUMBER(SEARCH("Party Name:-",'R.M Billets Reports'!D1234)),TRIM('R.M Billets Reports'!F1234),IF(ISNUMBER(SEARCH("Party Name-",'R.M Billets Reports'!D1234)),TRIM(MID('R.M Billets Reports'!D1234,SEARCH("-",'R.M Billets Reports'!D1234)+1,200)),"")),IF(ISNUMBER(SEARCH("Party Name:-",'R.M Billets Reports'!D1235)),TRIM('R.M Billets Reports'!F1235),IF(ISNUMBER(SEARCH("Party Name-",'R.M Billets Reports'!D1235)),TRIM(MID('R.M Billets Reports'!D1235,SEARCH("-",'R.M Billets Reports'!D1235)+1,200)),"")))="SHREE RADHE SHAKTI SPONGE AND POWER PVT. LTD.","SHREE RADHE",IF(IF(ISNUMBER(SEARCH("Party Name:-",'R.M Billets Reports'!D1234)),TRIM('R.M Billets Reports'!F1234),IF(ISNUMBER(SEARCH("Party Name-",'R.M Billets Reports'!D1234)),TRIM(MID('R.M Billets Reports'!D1234,SEARCH("-",'R.M Billets Reports'!D1234)+1,200)),""))&lt;&gt;"",IF(ISNUMBER(SEARCH("Party Name:-",'R.M Billets Reports'!D1234)),TRIM('R.M Billets Reports'!F1234),IF(ISNUMBER(SEARCH("Party Name-",'R.M Billets Reports'!D1234)),TRIM(MID('R.M Billets Reports'!D1234,SEARCH("-",'R.M Billets Reports'!D1234)+1,200)),"")),IF(ISNUMBER(SEARCH("Party Name:-",'R.M Billets Reports'!D1235)),TRIM('R.M Billets Reports'!F1235),IF(ISNUMBER(SEARCH("Party Name-",'R.M Billets Reports'!D1235)),TRIM(MID('R.M Billets Reports'!D1235,SEARCH("-",'R.M Billets Reports'!D1235)+1,200)),"")))))),IF(ROW()=2,"",A1234))</f>
      </c>
      <c r="B1235">
        <f>IF(OR('R.M Billets Reports'!A1234="Date-",'R.M Billets Reports'!A1234="Date:-"),'R.M Billets Reports'!B1234,IF(ROW()=2,"",B1234))</f>
      </c>
      <c r="C1235">
        <f>IF('R.M Billets Reports'!A1234="V.No.",'R.M Billets Reports'!B1234,IF(ROW()=2,"",C1234))</f>
      </c>
      <c r="D1235">
        <f>IF('R.M Billets Reports'!A1234&lt;&gt;"",'R.M Billets Reports'!A1234,IF(ROW()=2,"",D1234))</f>
      </c>
      <c r="E1235">
        <f>IF('R.M Billets Reports'!B1234="","",TRIM('R.M Billets Reports'!B1234))</f>
      </c>
      <c r="F1235">
        <f>'R.M Billets Reports'!C1234</f>
      </c>
      <c r="G1235">
        <f>'R.M Billets Reports'!D1234</f>
      </c>
      <c r="H1235">
        <f>'R.M Billets Reports'!E1234</f>
      </c>
      <c r="I1235">
        <f>'R.M Billets Reports'!F1234</f>
      </c>
      <c r="J1235">
        <f>'R.M Billets Reports'!G1234</f>
      </c>
      <c r="K1235">
        <f>'R.M Billets Reports'!H1234</f>
      </c>
      <c r="L1235">
        <f>IF('R.M Billets Reports'!I1234="","",'R.M Billets Reports'!I1234)</f>
      </c>
      <c r="M1235">
        <f t="shared" si="38"/>
      </c>
      <c r="N1235">
        <f>IF('R.M Billets Reports'!J1234="","",'R.M Billets Reports'!J1234)</f>
      </c>
      <c r="O1235">
        <f t="shared" si="39"/>
      </c>
      <c r="P1235">
        <f>IF('R.M Billets Reports'!A1234="SIZE",'R.M Billets Reports'!B1234,P1234)</f>
      </c>
    </row>
    <row r="1236" spans="1:16" x14ac:dyDescent="0.25">
      <c r="A1236">
        <f>IF(OR('R.M Billets Reports'!A1235="Date-",'R.M Billets Reports'!A1235="Date:-"),IF(IF(IF(ISNUMBER(SEARCH("Party Name:-",'R.M Billets Reports'!D1235)),TRIM('R.M Billets Reports'!F1235),IF(ISNUMBER(SEARCH("Party Name-",'R.M Billets Reports'!D1235)),TRIM(MID('R.M Billets Reports'!D1235,SEARCH("-",'R.M Billets Reports'!D1235)+1,200)),""))&lt;&gt;"",IF(ISNUMBER(SEARCH("Party Name:-",'R.M Billets Reports'!D1235)),TRIM('R.M Billets Reports'!F1235),IF(ISNUMBER(SEARCH("Party Name-",'R.M Billets Reports'!D1235)),TRIM(MID('R.M Billets Reports'!D1235,SEARCH("-",'R.M Billets Reports'!D1235)+1,200)),"")),IF(ISNUMBER(SEARCH("Party Name:-",'R.M Billets Reports'!D1236)),TRIM('R.M Billets Reports'!F1236),IF(ISNUMBER(SEARCH("Party Name-",'R.M Billets Reports'!D1236)),TRIM(MID('R.M Billets Reports'!D1236,SEARCH("-",'R.M Billets Reports'!D1236)+1,200)),"")))="VRKP ISPAT PVT LTD","VRKP",IF(IF(IF(ISNUMBER(SEARCH("Party Name:-",'R.M Billets Reports'!D1235)),TRIM('R.M Billets Reports'!F1235),IF(ISNUMBER(SEARCH("Party Name-",'R.M Billets Reports'!D1235)),TRIM(MID('R.M Billets Reports'!D1235,SEARCH("-",'R.M Billets Reports'!D1235)+1,200)),""))&lt;&gt;"",IF(ISNUMBER(SEARCH("Party Name:-",'R.M Billets Reports'!D1235)),TRIM('R.M Billets Reports'!F1235),IF(ISNUMBER(SEARCH("Party Name-",'R.M Billets Reports'!D1235)),TRIM(MID('R.M Billets Reports'!D1235,SEARCH("-",'R.M Billets Reports'!D1235)+1,200)),"")),IF(ISNUMBER(SEARCH("Party Name:-",'R.M Billets Reports'!D1236)),TRIM('R.M Billets Reports'!F1236),IF(ISNUMBER(SEARCH("Party Name-",'R.M Billets Reports'!D1236)),TRIM(MID('R.M Billets Reports'!D1236,SEARCH("-",'R.M Billets Reports'!D1236)+1,200)),"")))="SHRI RADHE","SHREE RADHE",IF(IF(IF(ISNUMBER(SEARCH("Party Name:-",'R.M Billets Reports'!D1235)),TRIM('R.M Billets Reports'!F1235),IF(ISNUMBER(SEARCH("Party Name-",'R.M Billets Reports'!D1235)),TRIM(MID('R.M Billets Reports'!D1235,SEARCH("-",'R.M Billets Reports'!D1235)+1,200)),""))&lt;&gt;"",IF(ISNUMBER(SEARCH("Party Name:-",'R.M Billets Reports'!D1235)),TRIM('R.M Billets Reports'!F1235),IF(ISNUMBER(SEARCH("Party Name-",'R.M Billets Reports'!D1235)),TRIM(MID('R.M Billets Reports'!D1235,SEARCH("-",'R.M Billets Reports'!D1235)+1,200)),"")),IF(ISNUMBER(SEARCH("Party Name:-",'R.M Billets Reports'!D1236)),TRIM('R.M Billets Reports'!F1236),IF(ISNUMBER(SEARCH("Party Name-",'R.M Billets Reports'!D1236)),TRIM(MID('R.M Billets Reports'!D1236,SEARCH("-",'R.M Billets Reports'!D1236)+1,200)),"")))="SHREE RADHE SHAKTI SPONGE AND POWER PVT. LTD.","SHREE RADHE",IF(IF(ISNUMBER(SEARCH("Party Name:-",'R.M Billets Reports'!D1235)),TRIM('R.M Billets Reports'!F1235),IF(ISNUMBER(SEARCH("Party Name-",'R.M Billets Reports'!D1235)),TRIM(MID('R.M Billets Reports'!D1235,SEARCH("-",'R.M Billets Reports'!D1235)+1,200)),""))&lt;&gt;"",IF(ISNUMBER(SEARCH("Party Name:-",'R.M Billets Reports'!D1235)),TRIM('R.M Billets Reports'!F1235),IF(ISNUMBER(SEARCH("Party Name-",'R.M Billets Reports'!D1235)),TRIM(MID('R.M Billets Reports'!D1235,SEARCH("-",'R.M Billets Reports'!D1235)+1,200)),"")),IF(ISNUMBER(SEARCH("Party Name:-",'R.M Billets Reports'!D1236)),TRIM('R.M Billets Reports'!F1236),IF(ISNUMBER(SEARCH("Party Name-",'R.M Billets Reports'!D1236)),TRIM(MID('R.M Billets Reports'!D1236,SEARCH("-",'R.M Billets Reports'!D1236)+1,200)),"")))))),IF(ROW()=2,"",A1235))</f>
      </c>
      <c r="B1236">
        <f>IF(OR('R.M Billets Reports'!A1235="Date-",'R.M Billets Reports'!A1235="Date:-"),'R.M Billets Reports'!B1235,IF(ROW()=2,"",B1235))</f>
      </c>
      <c r="C1236">
        <f>IF('R.M Billets Reports'!A1235="V.No.",'R.M Billets Reports'!B1235,IF(ROW()=2,"",C1235))</f>
      </c>
      <c r="D1236">
        <f>IF('R.M Billets Reports'!A1235&lt;&gt;"",'R.M Billets Reports'!A1235,IF(ROW()=2,"",D1235))</f>
      </c>
      <c r="E1236">
        <f>IF('R.M Billets Reports'!B1235="","",TRIM('R.M Billets Reports'!B1235))</f>
      </c>
      <c r="F1236">
        <f>'R.M Billets Reports'!C1235</f>
      </c>
      <c r="G1236">
        <f>'R.M Billets Reports'!D1235</f>
      </c>
      <c r="H1236">
        <f>'R.M Billets Reports'!E1235</f>
      </c>
      <c r="I1236">
        <f>'R.M Billets Reports'!F1235</f>
      </c>
      <c r="J1236">
        <f>'R.M Billets Reports'!G1235</f>
      </c>
      <c r="K1236">
        <f>'R.M Billets Reports'!H1235</f>
      </c>
      <c r="L1236">
        <f>IF('R.M Billets Reports'!I1235="","",'R.M Billets Reports'!I1235)</f>
      </c>
      <c r="M1236">
        <f t="shared" si="38"/>
      </c>
      <c r="N1236">
        <f>IF('R.M Billets Reports'!J1235="","",'R.M Billets Reports'!J1235)</f>
      </c>
      <c r="O1236">
        <f t="shared" si="39"/>
      </c>
      <c r="P1236">
        <f>IF('R.M Billets Reports'!A1235="SIZE",'R.M Billets Reports'!B1235,P1235)</f>
      </c>
    </row>
    <row r="1237" spans="1:16" x14ac:dyDescent="0.25">
      <c r="A1237">
        <f>IF(OR('R.M Billets Reports'!A1236="Date-",'R.M Billets Reports'!A1236="Date:-"),IF(IF(IF(ISNUMBER(SEARCH("Party Name:-",'R.M Billets Reports'!D1236)),TRIM('R.M Billets Reports'!F1236),IF(ISNUMBER(SEARCH("Party Name-",'R.M Billets Reports'!D1236)),TRIM(MID('R.M Billets Reports'!D1236,SEARCH("-",'R.M Billets Reports'!D1236)+1,200)),""))&lt;&gt;"",IF(ISNUMBER(SEARCH("Party Name:-",'R.M Billets Reports'!D1236)),TRIM('R.M Billets Reports'!F1236),IF(ISNUMBER(SEARCH("Party Name-",'R.M Billets Reports'!D1236)),TRIM(MID('R.M Billets Reports'!D1236,SEARCH("-",'R.M Billets Reports'!D1236)+1,200)),"")),IF(ISNUMBER(SEARCH("Party Name:-",'R.M Billets Reports'!D1237)),TRIM('R.M Billets Reports'!F1237),IF(ISNUMBER(SEARCH("Party Name-",'R.M Billets Reports'!D1237)),TRIM(MID('R.M Billets Reports'!D1237,SEARCH("-",'R.M Billets Reports'!D1237)+1,200)),"")))="VRKP ISPAT PVT LTD","VRKP",IF(IF(IF(ISNUMBER(SEARCH("Party Name:-",'R.M Billets Reports'!D1236)),TRIM('R.M Billets Reports'!F1236),IF(ISNUMBER(SEARCH("Party Name-",'R.M Billets Reports'!D1236)),TRIM(MID('R.M Billets Reports'!D1236,SEARCH("-",'R.M Billets Reports'!D1236)+1,200)),""))&lt;&gt;"",IF(ISNUMBER(SEARCH("Party Name:-",'R.M Billets Reports'!D1236)),TRIM('R.M Billets Reports'!F1236),IF(ISNUMBER(SEARCH("Party Name-",'R.M Billets Reports'!D1236)),TRIM(MID('R.M Billets Reports'!D1236,SEARCH("-",'R.M Billets Reports'!D1236)+1,200)),"")),IF(ISNUMBER(SEARCH("Party Name:-",'R.M Billets Reports'!D1237)),TRIM('R.M Billets Reports'!F1237),IF(ISNUMBER(SEARCH("Party Name-",'R.M Billets Reports'!D1237)),TRIM(MID('R.M Billets Reports'!D1237,SEARCH("-",'R.M Billets Reports'!D1237)+1,200)),"")))="SHRI RADHE","SHREE RADHE",IF(IF(IF(ISNUMBER(SEARCH("Party Name:-",'R.M Billets Reports'!D1236)),TRIM('R.M Billets Reports'!F1236),IF(ISNUMBER(SEARCH("Party Name-",'R.M Billets Reports'!D1236)),TRIM(MID('R.M Billets Reports'!D1236,SEARCH("-",'R.M Billets Reports'!D1236)+1,200)),""))&lt;&gt;"",IF(ISNUMBER(SEARCH("Party Name:-",'R.M Billets Reports'!D1236)),TRIM('R.M Billets Reports'!F1236),IF(ISNUMBER(SEARCH("Party Name-",'R.M Billets Reports'!D1236)),TRIM(MID('R.M Billets Reports'!D1236,SEARCH("-",'R.M Billets Reports'!D1236)+1,200)),"")),IF(ISNUMBER(SEARCH("Party Name:-",'R.M Billets Reports'!D1237)),TRIM('R.M Billets Reports'!F1237),IF(ISNUMBER(SEARCH("Party Name-",'R.M Billets Reports'!D1237)),TRIM(MID('R.M Billets Reports'!D1237,SEARCH("-",'R.M Billets Reports'!D1237)+1,200)),"")))="SHREE RADHE SHAKTI SPONGE AND POWER PVT. LTD.","SHREE RADHE",IF(IF(ISNUMBER(SEARCH("Party Name:-",'R.M Billets Reports'!D1236)),TRIM('R.M Billets Reports'!F1236),IF(ISNUMBER(SEARCH("Party Name-",'R.M Billets Reports'!D1236)),TRIM(MID('R.M Billets Reports'!D1236,SEARCH("-",'R.M Billets Reports'!D1236)+1,200)),""))&lt;&gt;"",IF(ISNUMBER(SEARCH("Party Name:-",'R.M Billets Reports'!D1236)),TRIM('R.M Billets Reports'!F1236),IF(ISNUMBER(SEARCH("Party Name-",'R.M Billets Reports'!D1236)),TRIM(MID('R.M Billets Reports'!D1236,SEARCH("-",'R.M Billets Reports'!D1236)+1,200)),"")),IF(ISNUMBER(SEARCH("Party Name:-",'R.M Billets Reports'!D1237)),TRIM('R.M Billets Reports'!F1237),IF(ISNUMBER(SEARCH("Party Name-",'R.M Billets Reports'!D1237)),TRIM(MID('R.M Billets Reports'!D1237,SEARCH("-",'R.M Billets Reports'!D1237)+1,200)),"")))))),IF(ROW()=2,"",A1236))</f>
      </c>
      <c r="B1237">
        <f>IF(OR('R.M Billets Reports'!A1236="Date-",'R.M Billets Reports'!A1236="Date:-"),'R.M Billets Reports'!B1236,IF(ROW()=2,"",B1236))</f>
      </c>
      <c r="C1237">
        <f>IF('R.M Billets Reports'!A1236="V.No.",'R.M Billets Reports'!B1236,IF(ROW()=2,"",C1236))</f>
      </c>
      <c r="D1237">
        <f>IF('R.M Billets Reports'!A1236&lt;&gt;"",'R.M Billets Reports'!A1236,IF(ROW()=2,"",D1236))</f>
      </c>
      <c r="E1237">
        <f>IF('R.M Billets Reports'!B1236="","",TRIM('R.M Billets Reports'!B1236))</f>
      </c>
      <c r="F1237">
        <f>'R.M Billets Reports'!C1236</f>
      </c>
      <c r="G1237">
        <f>'R.M Billets Reports'!D1236</f>
      </c>
      <c r="H1237">
        <f>'R.M Billets Reports'!E1236</f>
      </c>
      <c r="I1237">
        <f>'R.M Billets Reports'!F1236</f>
      </c>
      <c r="J1237">
        <f>'R.M Billets Reports'!G1236</f>
      </c>
      <c r="K1237">
        <f>'R.M Billets Reports'!H1236</f>
      </c>
      <c r="L1237">
        <f>IF('R.M Billets Reports'!I1236="","",'R.M Billets Reports'!I1236)</f>
      </c>
      <c r="M1237">
        <f t="shared" si="38"/>
      </c>
      <c r="N1237">
        <f>IF('R.M Billets Reports'!J1236="","",'R.M Billets Reports'!J1236)</f>
      </c>
      <c r="O1237">
        <f t="shared" si="39"/>
      </c>
      <c r="P1237">
        <f>IF('R.M Billets Reports'!A1236="SIZE",'R.M Billets Reports'!B1236,P1236)</f>
      </c>
    </row>
    <row r="1238" spans="1:16" x14ac:dyDescent="0.25">
      <c r="A1238">
        <f>IF(OR('R.M Billets Reports'!A1237="Date-",'R.M Billets Reports'!A1237="Date:-"),IF(IF(IF(ISNUMBER(SEARCH("Party Name:-",'R.M Billets Reports'!D1237)),TRIM('R.M Billets Reports'!F1237),IF(ISNUMBER(SEARCH("Party Name-",'R.M Billets Reports'!D1237)),TRIM(MID('R.M Billets Reports'!D1237,SEARCH("-",'R.M Billets Reports'!D1237)+1,200)),""))&lt;&gt;"",IF(ISNUMBER(SEARCH("Party Name:-",'R.M Billets Reports'!D1237)),TRIM('R.M Billets Reports'!F1237),IF(ISNUMBER(SEARCH("Party Name-",'R.M Billets Reports'!D1237)),TRIM(MID('R.M Billets Reports'!D1237,SEARCH("-",'R.M Billets Reports'!D1237)+1,200)),"")),IF(ISNUMBER(SEARCH("Party Name:-",'R.M Billets Reports'!D1238)),TRIM('R.M Billets Reports'!F1238),IF(ISNUMBER(SEARCH("Party Name-",'R.M Billets Reports'!D1238)),TRIM(MID('R.M Billets Reports'!D1238,SEARCH("-",'R.M Billets Reports'!D1238)+1,200)),"")))="VRKP ISPAT PVT LTD","VRKP",IF(IF(IF(ISNUMBER(SEARCH("Party Name:-",'R.M Billets Reports'!D1237)),TRIM('R.M Billets Reports'!F1237),IF(ISNUMBER(SEARCH("Party Name-",'R.M Billets Reports'!D1237)),TRIM(MID('R.M Billets Reports'!D1237,SEARCH("-",'R.M Billets Reports'!D1237)+1,200)),""))&lt;&gt;"",IF(ISNUMBER(SEARCH("Party Name:-",'R.M Billets Reports'!D1237)),TRIM('R.M Billets Reports'!F1237),IF(ISNUMBER(SEARCH("Party Name-",'R.M Billets Reports'!D1237)),TRIM(MID('R.M Billets Reports'!D1237,SEARCH("-",'R.M Billets Reports'!D1237)+1,200)),"")),IF(ISNUMBER(SEARCH("Party Name:-",'R.M Billets Reports'!D1238)),TRIM('R.M Billets Reports'!F1238),IF(ISNUMBER(SEARCH("Party Name-",'R.M Billets Reports'!D1238)),TRIM(MID('R.M Billets Reports'!D1238,SEARCH("-",'R.M Billets Reports'!D1238)+1,200)),"")))="SHRI RADHE","SHREE RADHE",IF(IF(IF(ISNUMBER(SEARCH("Party Name:-",'R.M Billets Reports'!D1237)),TRIM('R.M Billets Reports'!F1237),IF(ISNUMBER(SEARCH("Party Name-",'R.M Billets Reports'!D1237)),TRIM(MID('R.M Billets Reports'!D1237,SEARCH("-",'R.M Billets Reports'!D1237)+1,200)),""))&lt;&gt;"",IF(ISNUMBER(SEARCH("Party Name:-",'R.M Billets Reports'!D1237)),TRIM('R.M Billets Reports'!F1237),IF(ISNUMBER(SEARCH("Party Name-",'R.M Billets Reports'!D1237)),TRIM(MID('R.M Billets Reports'!D1237,SEARCH("-",'R.M Billets Reports'!D1237)+1,200)),"")),IF(ISNUMBER(SEARCH("Party Name:-",'R.M Billets Reports'!D1238)),TRIM('R.M Billets Reports'!F1238),IF(ISNUMBER(SEARCH("Party Name-",'R.M Billets Reports'!D1238)),TRIM(MID('R.M Billets Reports'!D1238,SEARCH("-",'R.M Billets Reports'!D1238)+1,200)),"")))="SHREE RADHE SHAKTI SPONGE AND POWER PVT. LTD.","SHREE RADHE",IF(IF(ISNUMBER(SEARCH("Party Name:-",'R.M Billets Reports'!D1237)),TRIM('R.M Billets Reports'!F1237),IF(ISNUMBER(SEARCH("Party Name-",'R.M Billets Reports'!D1237)),TRIM(MID('R.M Billets Reports'!D1237,SEARCH("-",'R.M Billets Reports'!D1237)+1,200)),""))&lt;&gt;"",IF(ISNUMBER(SEARCH("Party Name:-",'R.M Billets Reports'!D1237)),TRIM('R.M Billets Reports'!F1237),IF(ISNUMBER(SEARCH("Party Name-",'R.M Billets Reports'!D1237)),TRIM(MID('R.M Billets Reports'!D1237,SEARCH("-",'R.M Billets Reports'!D1237)+1,200)),"")),IF(ISNUMBER(SEARCH("Party Name:-",'R.M Billets Reports'!D1238)),TRIM('R.M Billets Reports'!F1238),IF(ISNUMBER(SEARCH("Party Name-",'R.M Billets Reports'!D1238)),TRIM(MID('R.M Billets Reports'!D1238,SEARCH("-",'R.M Billets Reports'!D1238)+1,200)),"")))))),IF(ROW()=2,"",A1237))</f>
      </c>
      <c r="B1238">
        <f>IF(OR('R.M Billets Reports'!A1237="Date-",'R.M Billets Reports'!A1237="Date:-"),'R.M Billets Reports'!B1237,IF(ROW()=2,"",B1237))</f>
      </c>
      <c r="C1238">
        <f>IF('R.M Billets Reports'!A1237="V.No.",'R.M Billets Reports'!B1237,IF(ROW()=2,"",C1237))</f>
      </c>
      <c r="D1238">
        <f>IF('R.M Billets Reports'!A1237&lt;&gt;"",'R.M Billets Reports'!A1237,IF(ROW()=2,"",D1237))</f>
      </c>
      <c r="E1238">
        <f>IF('R.M Billets Reports'!B1237="","",TRIM('R.M Billets Reports'!B1237))</f>
      </c>
      <c r="F1238">
        <f>'R.M Billets Reports'!C1237</f>
      </c>
      <c r="G1238">
        <f>'R.M Billets Reports'!D1237</f>
      </c>
      <c r="H1238">
        <f>'R.M Billets Reports'!E1237</f>
      </c>
      <c r="I1238">
        <f>'R.M Billets Reports'!F1237</f>
      </c>
      <c r="J1238">
        <f>'R.M Billets Reports'!G1237</f>
      </c>
      <c r="K1238">
        <f>'R.M Billets Reports'!H1237</f>
      </c>
      <c r="L1238">
        <f>IF('R.M Billets Reports'!I1237="","",'R.M Billets Reports'!I1237)</f>
      </c>
      <c r="M1238">
        <f t="shared" si="38"/>
      </c>
      <c r="N1238">
        <f>IF('R.M Billets Reports'!J1237="","",'R.M Billets Reports'!J1237)</f>
      </c>
      <c r="O1238">
        <f t="shared" si="39"/>
      </c>
      <c r="P1238">
        <f>IF('R.M Billets Reports'!A1237="SIZE",'R.M Billets Reports'!B1237,P1237)</f>
      </c>
    </row>
    <row r="1239" spans="1:16" x14ac:dyDescent="0.25">
      <c r="A1239">
        <f>IF(OR('R.M Billets Reports'!A1238="Date-",'R.M Billets Reports'!A1238="Date:-"),IF(IF(IF(ISNUMBER(SEARCH("Party Name:-",'R.M Billets Reports'!D1238)),TRIM('R.M Billets Reports'!F1238),IF(ISNUMBER(SEARCH("Party Name-",'R.M Billets Reports'!D1238)),TRIM(MID('R.M Billets Reports'!D1238,SEARCH("-",'R.M Billets Reports'!D1238)+1,200)),""))&lt;&gt;"",IF(ISNUMBER(SEARCH("Party Name:-",'R.M Billets Reports'!D1238)),TRIM('R.M Billets Reports'!F1238),IF(ISNUMBER(SEARCH("Party Name-",'R.M Billets Reports'!D1238)),TRIM(MID('R.M Billets Reports'!D1238,SEARCH("-",'R.M Billets Reports'!D1238)+1,200)),"")),IF(ISNUMBER(SEARCH("Party Name:-",'R.M Billets Reports'!D1239)),TRIM('R.M Billets Reports'!F1239),IF(ISNUMBER(SEARCH("Party Name-",'R.M Billets Reports'!D1239)),TRIM(MID('R.M Billets Reports'!D1239,SEARCH("-",'R.M Billets Reports'!D1239)+1,200)),"")))="VRKP ISPAT PVT LTD","VRKP",IF(IF(IF(ISNUMBER(SEARCH("Party Name:-",'R.M Billets Reports'!D1238)),TRIM('R.M Billets Reports'!F1238),IF(ISNUMBER(SEARCH("Party Name-",'R.M Billets Reports'!D1238)),TRIM(MID('R.M Billets Reports'!D1238,SEARCH("-",'R.M Billets Reports'!D1238)+1,200)),""))&lt;&gt;"",IF(ISNUMBER(SEARCH("Party Name:-",'R.M Billets Reports'!D1238)),TRIM('R.M Billets Reports'!F1238),IF(ISNUMBER(SEARCH("Party Name-",'R.M Billets Reports'!D1238)),TRIM(MID('R.M Billets Reports'!D1238,SEARCH("-",'R.M Billets Reports'!D1238)+1,200)),"")),IF(ISNUMBER(SEARCH("Party Name:-",'R.M Billets Reports'!D1239)),TRIM('R.M Billets Reports'!F1239),IF(ISNUMBER(SEARCH("Party Name-",'R.M Billets Reports'!D1239)),TRIM(MID('R.M Billets Reports'!D1239,SEARCH("-",'R.M Billets Reports'!D1239)+1,200)),"")))="SHRI RADHE","SHREE RADHE",IF(IF(IF(ISNUMBER(SEARCH("Party Name:-",'R.M Billets Reports'!D1238)),TRIM('R.M Billets Reports'!F1238),IF(ISNUMBER(SEARCH("Party Name-",'R.M Billets Reports'!D1238)),TRIM(MID('R.M Billets Reports'!D1238,SEARCH("-",'R.M Billets Reports'!D1238)+1,200)),""))&lt;&gt;"",IF(ISNUMBER(SEARCH("Party Name:-",'R.M Billets Reports'!D1238)),TRIM('R.M Billets Reports'!F1238),IF(ISNUMBER(SEARCH("Party Name-",'R.M Billets Reports'!D1238)),TRIM(MID('R.M Billets Reports'!D1238,SEARCH("-",'R.M Billets Reports'!D1238)+1,200)),"")),IF(ISNUMBER(SEARCH("Party Name:-",'R.M Billets Reports'!D1239)),TRIM('R.M Billets Reports'!F1239),IF(ISNUMBER(SEARCH("Party Name-",'R.M Billets Reports'!D1239)),TRIM(MID('R.M Billets Reports'!D1239,SEARCH("-",'R.M Billets Reports'!D1239)+1,200)),"")))="SHREE RADHE SHAKTI SPONGE AND POWER PVT. LTD.","SHREE RADHE",IF(IF(ISNUMBER(SEARCH("Party Name:-",'R.M Billets Reports'!D1238)),TRIM('R.M Billets Reports'!F1238),IF(ISNUMBER(SEARCH("Party Name-",'R.M Billets Reports'!D1238)),TRIM(MID('R.M Billets Reports'!D1238,SEARCH("-",'R.M Billets Reports'!D1238)+1,200)),""))&lt;&gt;"",IF(ISNUMBER(SEARCH("Party Name:-",'R.M Billets Reports'!D1238)),TRIM('R.M Billets Reports'!F1238),IF(ISNUMBER(SEARCH("Party Name-",'R.M Billets Reports'!D1238)),TRIM(MID('R.M Billets Reports'!D1238,SEARCH("-",'R.M Billets Reports'!D1238)+1,200)),"")),IF(ISNUMBER(SEARCH("Party Name:-",'R.M Billets Reports'!D1239)),TRIM('R.M Billets Reports'!F1239),IF(ISNUMBER(SEARCH("Party Name-",'R.M Billets Reports'!D1239)),TRIM(MID('R.M Billets Reports'!D1239,SEARCH("-",'R.M Billets Reports'!D1239)+1,200)),"")))))),IF(ROW()=2,"",A1238))</f>
      </c>
      <c r="B1239">
        <f>IF(OR('R.M Billets Reports'!A1238="Date-",'R.M Billets Reports'!A1238="Date:-"),'R.M Billets Reports'!B1238,IF(ROW()=2,"",B1238))</f>
      </c>
      <c r="C1239">
        <f>IF('R.M Billets Reports'!A1238="V.No.",'R.M Billets Reports'!B1238,IF(ROW()=2,"",C1238))</f>
      </c>
      <c r="D1239">
        <f>IF('R.M Billets Reports'!A1238&lt;&gt;"",'R.M Billets Reports'!A1238,IF(ROW()=2,"",D1238))</f>
      </c>
      <c r="E1239">
        <f>IF('R.M Billets Reports'!B1238="","",TRIM('R.M Billets Reports'!B1238))</f>
      </c>
      <c r="F1239">
        <f>'R.M Billets Reports'!C1238</f>
      </c>
      <c r="G1239">
        <f>'R.M Billets Reports'!D1238</f>
      </c>
      <c r="H1239">
        <f>'R.M Billets Reports'!E1238</f>
      </c>
      <c r="I1239">
        <f>'R.M Billets Reports'!F1238</f>
      </c>
      <c r="J1239">
        <f>'R.M Billets Reports'!G1238</f>
      </c>
      <c r="K1239">
        <f>'R.M Billets Reports'!H1238</f>
      </c>
      <c r="L1239">
        <f>IF('R.M Billets Reports'!I1238="","",'R.M Billets Reports'!I1238)</f>
      </c>
      <c r="M1239">
        <f t="shared" si="38"/>
      </c>
      <c r="N1239">
        <f>IF('R.M Billets Reports'!J1238="","",'R.M Billets Reports'!J1238)</f>
      </c>
      <c r="O1239">
        <f t="shared" si="39"/>
      </c>
      <c r="P1239">
        <f>IF('R.M Billets Reports'!A1238="SIZE",'R.M Billets Reports'!B1238,P1238)</f>
      </c>
    </row>
    <row r="1240" spans="1:16" x14ac:dyDescent="0.25">
      <c r="A1240">
        <f>IF(OR('R.M Billets Reports'!A1239="Date-",'R.M Billets Reports'!A1239="Date:-"),IF(IF(IF(ISNUMBER(SEARCH("Party Name:-",'R.M Billets Reports'!D1239)),TRIM('R.M Billets Reports'!F1239),IF(ISNUMBER(SEARCH("Party Name-",'R.M Billets Reports'!D1239)),TRIM(MID('R.M Billets Reports'!D1239,SEARCH("-",'R.M Billets Reports'!D1239)+1,200)),""))&lt;&gt;"",IF(ISNUMBER(SEARCH("Party Name:-",'R.M Billets Reports'!D1239)),TRIM('R.M Billets Reports'!F1239),IF(ISNUMBER(SEARCH("Party Name-",'R.M Billets Reports'!D1239)),TRIM(MID('R.M Billets Reports'!D1239,SEARCH("-",'R.M Billets Reports'!D1239)+1,200)),"")),IF(ISNUMBER(SEARCH("Party Name:-",'R.M Billets Reports'!D1240)),TRIM('R.M Billets Reports'!F1240),IF(ISNUMBER(SEARCH("Party Name-",'R.M Billets Reports'!D1240)),TRIM(MID('R.M Billets Reports'!D1240,SEARCH("-",'R.M Billets Reports'!D1240)+1,200)),"")))="VRKP ISPAT PVT LTD","VRKP",IF(IF(IF(ISNUMBER(SEARCH("Party Name:-",'R.M Billets Reports'!D1239)),TRIM('R.M Billets Reports'!F1239),IF(ISNUMBER(SEARCH("Party Name-",'R.M Billets Reports'!D1239)),TRIM(MID('R.M Billets Reports'!D1239,SEARCH("-",'R.M Billets Reports'!D1239)+1,200)),""))&lt;&gt;"",IF(ISNUMBER(SEARCH("Party Name:-",'R.M Billets Reports'!D1239)),TRIM('R.M Billets Reports'!F1239),IF(ISNUMBER(SEARCH("Party Name-",'R.M Billets Reports'!D1239)),TRIM(MID('R.M Billets Reports'!D1239,SEARCH("-",'R.M Billets Reports'!D1239)+1,200)),"")),IF(ISNUMBER(SEARCH("Party Name:-",'R.M Billets Reports'!D1240)),TRIM('R.M Billets Reports'!F1240),IF(ISNUMBER(SEARCH("Party Name-",'R.M Billets Reports'!D1240)),TRIM(MID('R.M Billets Reports'!D1240,SEARCH("-",'R.M Billets Reports'!D1240)+1,200)),"")))="SHRI RADHE","SHREE RADHE",IF(IF(IF(ISNUMBER(SEARCH("Party Name:-",'R.M Billets Reports'!D1239)),TRIM('R.M Billets Reports'!F1239),IF(ISNUMBER(SEARCH("Party Name-",'R.M Billets Reports'!D1239)),TRIM(MID('R.M Billets Reports'!D1239,SEARCH("-",'R.M Billets Reports'!D1239)+1,200)),""))&lt;&gt;"",IF(ISNUMBER(SEARCH("Party Name:-",'R.M Billets Reports'!D1239)),TRIM('R.M Billets Reports'!F1239),IF(ISNUMBER(SEARCH("Party Name-",'R.M Billets Reports'!D1239)),TRIM(MID('R.M Billets Reports'!D1239,SEARCH("-",'R.M Billets Reports'!D1239)+1,200)),"")),IF(ISNUMBER(SEARCH("Party Name:-",'R.M Billets Reports'!D1240)),TRIM('R.M Billets Reports'!F1240),IF(ISNUMBER(SEARCH("Party Name-",'R.M Billets Reports'!D1240)),TRIM(MID('R.M Billets Reports'!D1240,SEARCH("-",'R.M Billets Reports'!D1240)+1,200)),"")))="SHREE RADHE SHAKTI SPONGE AND POWER PVT. LTD.","SHREE RADHE",IF(IF(ISNUMBER(SEARCH("Party Name:-",'R.M Billets Reports'!D1239)),TRIM('R.M Billets Reports'!F1239),IF(ISNUMBER(SEARCH("Party Name-",'R.M Billets Reports'!D1239)),TRIM(MID('R.M Billets Reports'!D1239,SEARCH("-",'R.M Billets Reports'!D1239)+1,200)),""))&lt;&gt;"",IF(ISNUMBER(SEARCH("Party Name:-",'R.M Billets Reports'!D1239)),TRIM('R.M Billets Reports'!F1239),IF(ISNUMBER(SEARCH("Party Name-",'R.M Billets Reports'!D1239)),TRIM(MID('R.M Billets Reports'!D1239,SEARCH("-",'R.M Billets Reports'!D1239)+1,200)),"")),IF(ISNUMBER(SEARCH("Party Name:-",'R.M Billets Reports'!D1240)),TRIM('R.M Billets Reports'!F1240),IF(ISNUMBER(SEARCH("Party Name-",'R.M Billets Reports'!D1240)),TRIM(MID('R.M Billets Reports'!D1240,SEARCH("-",'R.M Billets Reports'!D1240)+1,200)),"")))))),IF(ROW()=2,"",A1239))</f>
      </c>
      <c r="B1240">
        <f>IF(OR('R.M Billets Reports'!A1239="Date-",'R.M Billets Reports'!A1239="Date:-"),'R.M Billets Reports'!B1239,IF(ROW()=2,"",B1239))</f>
      </c>
      <c r="C1240">
        <f>IF('R.M Billets Reports'!A1239="V.No.",'R.M Billets Reports'!B1239,IF(ROW()=2,"",C1239))</f>
      </c>
      <c r="D1240">
        <f>IF('R.M Billets Reports'!A1239&lt;&gt;"",'R.M Billets Reports'!A1239,IF(ROW()=2,"",D1239))</f>
      </c>
      <c r="E1240">
        <f>IF('R.M Billets Reports'!B1239="","",TRIM('R.M Billets Reports'!B1239))</f>
      </c>
      <c r="F1240">
        <f>'R.M Billets Reports'!C1239</f>
      </c>
      <c r="G1240">
        <f>'R.M Billets Reports'!D1239</f>
      </c>
      <c r="H1240">
        <f>'R.M Billets Reports'!E1239</f>
      </c>
      <c r="I1240">
        <f>'R.M Billets Reports'!F1239</f>
      </c>
      <c r="J1240">
        <f>'R.M Billets Reports'!G1239</f>
      </c>
      <c r="K1240">
        <f>'R.M Billets Reports'!H1239</f>
      </c>
      <c r="L1240">
        <f>IF('R.M Billets Reports'!I1239="","",'R.M Billets Reports'!I1239)</f>
      </c>
      <c r="M1240">
        <f t="shared" si="38"/>
      </c>
      <c r="N1240">
        <f>IF('R.M Billets Reports'!J1239="","",'R.M Billets Reports'!J1239)</f>
      </c>
      <c r="O1240">
        <f t="shared" si="39"/>
      </c>
      <c r="P1240">
        <f>IF('R.M Billets Reports'!A1239="SIZE",'R.M Billets Reports'!B1239,P1239)</f>
      </c>
    </row>
    <row r="1241" spans="1:16" x14ac:dyDescent="0.25">
      <c r="A1241">
        <f>IF(OR('R.M Billets Reports'!A1240="Date-",'R.M Billets Reports'!A1240="Date:-"),IF(IF(IF(ISNUMBER(SEARCH("Party Name:-",'R.M Billets Reports'!D1240)),TRIM('R.M Billets Reports'!F1240),IF(ISNUMBER(SEARCH("Party Name-",'R.M Billets Reports'!D1240)),TRIM(MID('R.M Billets Reports'!D1240,SEARCH("-",'R.M Billets Reports'!D1240)+1,200)),""))&lt;&gt;"",IF(ISNUMBER(SEARCH("Party Name:-",'R.M Billets Reports'!D1240)),TRIM('R.M Billets Reports'!F1240),IF(ISNUMBER(SEARCH("Party Name-",'R.M Billets Reports'!D1240)),TRIM(MID('R.M Billets Reports'!D1240,SEARCH("-",'R.M Billets Reports'!D1240)+1,200)),"")),IF(ISNUMBER(SEARCH("Party Name:-",'R.M Billets Reports'!D1241)),TRIM('R.M Billets Reports'!F1241),IF(ISNUMBER(SEARCH("Party Name-",'R.M Billets Reports'!D1241)),TRIM(MID('R.M Billets Reports'!D1241,SEARCH("-",'R.M Billets Reports'!D1241)+1,200)),"")))="VRKP ISPAT PVT LTD","VRKP",IF(IF(IF(ISNUMBER(SEARCH("Party Name:-",'R.M Billets Reports'!D1240)),TRIM('R.M Billets Reports'!F1240),IF(ISNUMBER(SEARCH("Party Name-",'R.M Billets Reports'!D1240)),TRIM(MID('R.M Billets Reports'!D1240,SEARCH("-",'R.M Billets Reports'!D1240)+1,200)),""))&lt;&gt;"",IF(ISNUMBER(SEARCH("Party Name:-",'R.M Billets Reports'!D1240)),TRIM('R.M Billets Reports'!F1240),IF(ISNUMBER(SEARCH("Party Name-",'R.M Billets Reports'!D1240)),TRIM(MID('R.M Billets Reports'!D1240,SEARCH("-",'R.M Billets Reports'!D1240)+1,200)),"")),IF(ISNUMBER(SEARCH("Party Name:-",'R.M Billets Reports'!D1241)),TRIM('R.M Billets Reports'!F1241),IF(ISNUMBER(SEARCH("Party Name-",'R.M Billets Reports'!D1241)),TRIM(MID('R.M Billets Reports'!D1241,SEARCH("-",'R.M Billets Reports'!D1241)+1,200)),"")))="SHRI RADHE","SHREE RADHE",IF(IF(IF(ISNUMBER(SEARCH("Party Name:-",'R.M Billets Reports'!D1240)),TRIM('R.M Billets Reports'!F1240),IF(ISNUMBER(SEARCH("Party Name-",'R.M Billets Reports'!D1240)),TRIM(MID('R.M Billets Reports'!D1240,SEARCH("-",'R.M Billets Reports'!D1240)+1,200)),""))&lt;&gt;"",IF(ISNUMBER(SEARCH("Party Name:-",'R.M Billets Reports'!D1240)),TRIM('R.M Billets Reports'!F1240),IF(ISNUMBER(SEARCH("Party Name-",'R.M Billets Reports'!D1240)),TRIM(MID('R.M Billets Reports'!D1240,SEARCH("-",'R.M Billets Reports'!D1240)+1,200)),"")),IF(ISNUMBER(SEARCH("Party Name:-",'R.M Billets Reports'!D1241)),TRIM('R.M Billets Reports'!F1241),IF(ISNUMBER(SEARCH("Party Name-",'R.M Billets Reports'!D1241)),TRIM(MID('R.M Billets Reports'!D1241,SEARCH("-",'R.M Billets Reports'!D1241)+1,200)),"")))="SHREE RADHE SHAKTI SPONGE AND POWER PVT. LTD.","SHREE RADHE",IF(IF(ISNUMBER(SEARCH("Party Name:-",'R.M Billets Reports'!D1240)),TRIM('R.M Billets Reports'!F1240),IF(ISNUMBER(SEARCH("Party Name-",'R.M Billets Reports'!D1240)),TRIM(MID('R.M Billets Reports'!D1240,SEARCH("-",'R.M Billets Reports'!D1240)+1,200)),""))&lt;&gt;"",IF(ISNUMBER(SEARCH("Party Name:-",'R.M Billets Reports'!D1240)),TRIM('R.M Billets Reports'!F1240),IF(ISNUMBER(SEARCH("Party Name-",'R.M Billets Reports'!D1240)),TRIM(MID('R.M Billets Reports'!D1240,SEARCH("-",'R.M Billets Reports'!D1240)+1,200)),"")),IF(ISNUMBER(SEARCH("Party Name:-",'R.M Billets Reports'!D1241)),TRIM('R.M Billets Reports'!F1241),IF(ISNUMBER(SEARCH("Party Name-",'R.M Billets Reports'!D1241)),TRIM(MID('R.M Billets Reports'!D1241,SEARCH("-",'R.M Billets Reports'!D1241)+1,200)),"")))))),IF(ROW()=2,"",A1240))</f>
      </c>
      <c r="B1241">
        <f>IF(OR('R.M Billets Reports'!A1240="Date-",'R.M Billets Reports'!A1240="Date:-"),'R.M Billets Reports'!B1240,IF(ROW()=2,"",B1240))</f>
      </c>
      <c r="C1241">
        <f>IF('R.M Billets Reports'!A1240="V.No.",'R.M Billets Reports'!B1240,IF(ROW()=2,"",C1240))</f>
      </c>
      <c r="D1241">
        <f>IF('R.M Billets Reports'!A1240&lt;&gt;"",'R.M Billets Reports'!A1240,IF(ROW()=2,"",D1240))</f>
      </c>
      <c r="E1241">
        <f>IF('R.M Billets Reports'!B1240="","",TRIM('R.M Billets Reports'!B1240))</f>
      </c>
      <c r="F1241">
        <f>'R.M Billets Reports'!C1240</f>
      </c>
      <c r="G1241">
        <f>'R.M Billets Reports'!D1240</f>
      </c>
      <c r="H1241">
        <f>'R.M Billets Reports'!E1240</f>
      </c>
      <c r="I1241">
        <f>'R.M Billets Reports'!F1240</f>
      </c>
      <c r="J1241">
        <f>'R.M Billets Reports'!G1240</f>
      </c>
      <c r="K1241">
        <f>'R.M Billets Reports'!H1240</f>
      </c>
      <c r="L1241">
        <f>IF('R.M Billets Reports'!I1240="","",'R.M Billets Reports'!I1240)</f>
      </c>
      <c r="M1241">
        <f t="shared" si="38"/>
      </c>
      <c r="N1241">
        <f>IF('R.M Billets Reports'!J1240="","",'R.M Billets Reports'!J1240)</f>
      </c>
      <c r="O1241">
        <f t="shared" si="39"/>
      </c>
      <c r="P1241">
        <f>IF('R.M Billets Reports'!A1240="SIZE",'R.M Billets Reports'!B1240,P1240)</f>
      </c>
    </row>
    <row r="1242" spans="1:16" x14ac:dyDescent="0.25">
      <c r="A1242">
        <f>IF(OR('R.M Billets Reports'!A1241="Date-",'R.M Billets Reports'!A1241="Date:-"),IF(IF(IF(ISNUMBER(SEARCH("Party Name:-",'R.M Billets Reports'!D1241)),TRIM('R.M Billets Reports'!F1241),IF(ISNUMBER(SEARCH("Party Name-",'R.M Billets Reports'!D1241)),TRIM(MID('R.M Billets Reports'!D1241,SEARCH("-",'R.M Billets Reports'!D1241)+1,200)),""))&lt;&gt;"",IF(ISNUMBER(SEARCH("Party Name:-",'R.M Billets Reports'!D1241)),TRIM('R.M Billets Reports'!F1241),IF(ISNUMBER(SEARCH("Party Name-",'R.M Billets Reports'!D1241)),TRIM(MID('R.M Billets Reports'!D1241,SEARCH("-",'R.M Billets Reports'!D1241)+1,200)),"")),IF(ISNUMBER(SEARCH("Party Name:-",'R.M Billets Reports'!D1242)),TRIM('R.M Billets Reports'!F1242),IF(ISNUMBER(SEARCH("Party Name-",'R.M Billets Reports'!D1242)),TRIM(MID('R.M Billets Reports'!D1242,SEARCH("-",'R.M Billets Reports'!D1242)+1,200)),"")))="VRKP ISPAT PVT LTD","VRKP",IF(IF(IF(ISNUMBER(SEARCH("Party Name:-",'R.M Billets Reports'!D1241)),TRIM('R.M Billets Reports'!F1241),IF(ISNUMBER(SEARCH("Party Name-",'R.M Billets Reports'!D1241)),TRIM(MID('R.M Billets Reports'!D1241,SEARCH("-",'R.M Billets Reports'!D1241)+1,200)),""))&lt;&gt;"",IF(ISNUMBER(SEARCH("Party Name:-",'R.M Billets Reports'!D1241)),TRIM('R.M Billets Reports'!F1241),IF(ISNUMBER(SEARCH("Party Name-",'R.M Billets Reports'!D1241)),TRIM(MID('R.M Billets Reports'!D1241,SEARCH("-",'R.M Billets Reports'!D1241)+1,200)),"")),IF(ISNUMBER(SEARCH("Party Name:-",'R.M Billets Reports'!D1242)),TRIM('R.M Billets Reports'!F1242),IF(ISNUMBER(SEARCH("Party Name-",'R.M Billets Reports'!D1242)),TRIM(MID('R.M Billets Reports'!D1242,SEARCH("-",'R.M Billets Reports'!D1242)+1,200)),"")))="SHRI RADHE","SHREE RADHE",IF(IF(IF(ISNUMBER(SEARCH("Party Name:-",'R.M Billets Reports'!D1241)),TRIM('R.M Billets Reports'!F1241),IF(ISNUMBER(SEARCH("Party Name-",'R.M Billets Reports'!D1241)),TRIM(MID('R.M Billets Reports'!D1241,SEARCH("-",'R.M Billets Reports'!D1241)+1,200)),""))&lt;&gt;"",IF(ISNUMBER(SEARCH("Party Name:-",'R.M Billets Reports'!D1241)),TRIM('R.M Billets Reports'!F1241),IF(ISNUMBER(SEARCH("Party Name-",'R.M Billets Reports'!D1241)),TRIM(MID('R.M Billets Reports'!D1241,SEARCH("-",'R.M Billets Reports'!D1241)+1,200)),"")),IF(ISNUMBER(SEARCH("Party Name:-",'R.M Billets Reports'!D1242)),TRIM('R.M Billets Reports'!F1242),IF(ISNUMBER(SEARCH("Party Name-",'R.M Billets Reports'!D1242)),TRIM(MID('R.M Billets Reports'!D1242,SEARCH("-",'R.M Billets Reports'!D1242)+1,200)),"")))="SHREE RADHE SHAKTI SPONGE AND POWER PVT. LTD.","SHREE RADHE",IF(IF(ISNUMBER(SEARCH("Party Name:-",'R.M Billets Reports'!D1241)),TRIM('R.M Billets Reports'!F1241),IF(ISNUMBER(SEARCH("Party Name-",'R.M Billets Reports'!D1241)),TRIM(MID('R.M Billets Reports'!D1241,SEARCH("-",'R.M Billets Reports'!D1241)+1,200)),""))&lt;&gt;"",IF(ISNUMBER(SEARCH("Party Name:-",'R.M Billets Reports'!D1241)),TRIM('R.M Billets Reports'!F1241),IF(ISNUMBER(SEARCH("Party Name-",'R.M Billets Reports'!D1241)),TRIM(MID('R.M Billets Reports'!D1241,SEARCH("-",'R.M Billets Reports'!D1241)+1,200)),"")),IF(ISNUMBER(SEARCH("Party Name:-",'R.M Billets Reports'!D1242)),TRIM('R.M Billets Reports'!F1242),IF(ISNUMBER(SEARCH("Party Name-",'R.M Billets Reports'!D1242)),TRIM(MID('R.M Billets Reports'!D1242,SEARCH("-",'R.M Billets Reports'!D1242)+1,200)),"")))))),IF(ROW()=2,"",A1241))</f>
      </c>
      <c r="B1242">
        <f>IF(OR('R.M Billets Reports'!A1241="Date-",'R.M Billets Reports'!A1241="Date:-"),'R.M Billets Reports'!B1241,IF(ROW()=2,"",B1241))</f>
      </c>
      <c r="C1242">
        <f>IF('R.M Billets Reports'!A1241="V.No.",'R.M Billets Reports'!B1241,IF(ROW()=2,"",C1241))</f>
      </c>
      <c r="D1242">
        <f>IF('R.M Billets Reports'!A1241&lt;&gt;"",'R.M Billets Reports'!A1241,IF(ROW()=2,"",D1241))</f>
      </c>
      <c r="E1242">
        <f>IF('R.M Billets Reports'!B1241="","",TRIM('R.M Billets Reports'!B1241))</f>
      </c>
      <c r="F1242">
        <f>'R.M Billets Reports'!C1241</f>
      </c>
      <c r="G1242">
        <f>'R.M Billets Reports'!D1241</f>
      </c>
      <c r="H1242">
        <f>'R.M Billets Reports'!E1241</f>
      </c>
      <c r="I1242">
        <f>'R.M Billets Reports'!F1241</f>
      </c>
      <c r="J1242">
        <f>'R.M Billets Reports'!G1241</f>
      </c>
      <c r="K1242">
        <f>'R.M Billets Reports'!H1241</f>
      </c>
      <c r="L1242">
        <f>IF('R.M Billets Reports'!I1241="","",'R.M Billets Reports'!I1241)</f>
      </c>
      <c r="M1242">
        <f t="shared" si="38"/>
      </c>
      <c r="N1242">
        <f>IF('R.M Billets Reports'!J1241="","",'R.M Billets Reports'!J1241)</f>
      </c>
      <c r="O1242">
        <f t="shared" si="39"/>
      </c>
      <c r="P1242">
        <f>IF('R.M Billets Reports'!A1241="SIZE",'R.M Billets Reports'!B1241,P1241)</f>
      </c>
    </row>
    <row r="1243" spans="1:16" x14ac:dyDescent="0.25">
      <c r="A1243">
        <f>IF(OR('R.M Billets Reports'!A1242="Date-",'R.M Billets Reports'!A1242="Date:-"),IF(IF(IF(ISNUMBER(SEARCH("Party Name:-",'R.M Billets Reports'!D1242)),TRIM('R.M Billets Reports'!F1242),IF(ISNUMBER(SEARCH("Party Name-",'R.M Billets Reports'!D1242)),TRIM(MID('R.M Billets Reports'!D1242,SEARCH("-",'R.M Billets Reports'!D1242)+1,200)),""))&lt;&gt;"",IF(ISNUMBER(SEARCH("Party Name:-",'R.M Billets Reports'!D1242)),TRIM('R.M Billets Reports'!F1242),IF(ISNUMBER(SEARCH("Party Name-",'R.M Billets Reports'!D1242)),TRIM(MID('R.M Billets Reports'!D1242,SEARCH("-",'R.M Billets Reports'!D1242)+1,200)),"")),IF(ISNUMBER(SEARCH("Party Name:-",'R.M Billets Reports'!D1243)),TRIM('R.M Billets Reports'!F1243),IF(ISNUMBER(SEARCH("Party Name-",'R.M Billets Reports'!D1243)),TRIM(MID('R.M Billets Reports'!D1243,SEARCH("-",'R.M Billets Reports'!D1243)+1,200)),"")))="VRKP ISPAT PVT LTD","VRKP",IF(IF(IF(ISNUMBER(SEARCH("Party Name:-",'R.M Billets Reports'!D1242)),TRIM('R.M Billets Reports'!F1242),IF(ISNUMBER(SEARCH("Party Name-",'R.M Billets Reports'!D1242)),TRIM(MID('R.M Billets Reports'!D1242,SEARCH("-",'R.M Billets Reports'!D1242)+1,200)),""))&lt;&gt;"",IF(ISNUMBER(SEARCH("Party Name:-",'R.M Billets Reports'!D1242)),TRIM('R.M Billets Reports'!F1242),IF(ISNUMBER(SEARCH("Party Name-",'R.M Billets Reports'!D1242)),TRIM(MID('R.M Billets Reports'!D1242,SEARCH("-",'R.M Billets Reports'!D1242)+1,200)),"")),IF(ISNUMBER(SEARCH("Party Name:-",'R.M Billets Reports'!D1243)),TRIM('R.M Billets Reports'!F1243),IF(ISNUMBER(SEARCH("Party Name-",'R.M Billets Reports'!D1243)),TRIM(MID('R.M Billets Reports'!D1243,SEARCH("-",'R.M Billets Reports'!D1243)+1,200)),"")))="SHRI RADHE","SHREE RADHE",IF(IF(IF(ISNUMBER(SEARCH("Party Name:-",'R.M Billets Reports'!D1242)),TRIM('R.M Billets Reports'!F1242),IF(ISNUMBER(SEARCH("Party Name-",'R.M Billets Reports'!D1242)),TRIM(MID('R.M Billets Reports'!D1242,SEARCH("-",'R.M Billets Reports'!D1242)+1,200)),""))&lt;&gt;"",IF(ISNUMBER(SEARCH("Party Name:-",'R.M Billets Reports'!D1242)),TRIM('R.M Billets Reports'!F1242),IF(ISNUMBER(SEARCH("Party Name-",'R.M Billets Reports'!D1242)),TRIM(MID('R.M Billets Reports'!D1242,SEARCH("-",'R.M Billets Reports'!D1242)+1,200)),"")),IF(ISNUMBER(SEARCH("Party Name:-",'R.M Billets Reports'!D1243)),TRIM('R.M Billets Reports'!F1243),IF(ISNUMBER(SEARCH("Party Name-",'R.M Billets Reports'!D1243)),TRIM(MID('R.M Billets Reports'!D1243,SEARCH("-",'R.M Billets Reports'!D1243)+1,200)),"")))="SHREE RADHE SHAKTI SPONGE AND POWER PVT. LTD.","SHREE RADHE",IF(IF(ISNUMBER(SEARCH("Party Name:-",'R.M Billets Reports'!D1242)),TRIM('R.M Billets Reports'!F1242),IF(ISNUMBER(SEARCH("Party Name-",'R.M Billets Reports'!D1242)),TRIM(MID('R.M Billets Reports'!D1242,SEARCH("-",'R.M Billets Reports'!D1242)+1,200)),""))&lt;&gt;"",IF(ISNUMBER(SEARCH("Party Name:-",'R.M Billets Reports'!D1242)),TRIM('R.M Billets Reports'!F1242),IF(ISNUMBER(SEARCH("Party Name-",'R.M Billets Reports'!D1242)),TRIM(MID('R.M Billets Reports'!D1242,SEARCH("-",'R.M Billets Reports'!D1242)+1,200)),"")),IF(ISNUMBER(SEARCH("Party Name:-",'R.M Billets Reports'!D1243)),TRIM('R.M Billets Reports'!F1243),IF(ISNUMBER(SEARCH("Party Name-",'R.M Billets Reports'!D1243)),TRIM(MID('R.M Billets Reports'!D1243,SEARCH("-",'R.M Billets Reports'!D1243)+1,200)),"")))))),IF(ROW()=2,"",A1242))</f>
      </c>
      <c r="B1243">
        <f>IF(OR('R.M Billets Reports'!A1242="Date-",'R.M Billets Reports'!A1242="Date:-"),'R.M Billets Reports'!B1242,IF(ROW()=2,"",B1242))</f>
      </c>
      <c r="C1243">
        <f>IF('R.M Billets Reports'!A1242="V.No.",'R.M Billets Reports'!B1242,IF(ROW()=2,"",C1242))</f>
      </c>
      <c r="D1243">
        <f>IF('R.M Billets Reports'!A1242&lt;&gt;"",'R.M Billets Reports'!A1242,IF(ROW()=2,"",D1242))</f>
      </c>
      <c r="E1243">
        <f>IF('R.M Billets Reports'!B1242="","",TRIM('R.M Billets Reports'!B1242))</f>
      </c>
      <c r="F1243">
        <f>'R.M Billets Reports'!C1242</f>
      </c>
      <c r="G1243">
        <f>'R.M Billets Reports'!D1242</f>
      </c>
      <c r="H1243">
        <f>'R.M Billets Reports'!E1242</f>
      </c>
      <c r="I1243">
        <f>'R.M Billets Reports'!F1242</f>
      </c>
      <c r="J1243">
        <f>'R.M Billets Reports'!G1242</f>
      </c>
      <c r="K1243">
        <f>'R.M Billets Reports'!H1242</f>
      </c>
      <c r="L1243">
        <f>IF('R.M Billets Reports'!I1242="","",'R.M Billets Reports'!I1242)</f>
      </c>
      <c r="M1243">
        <f t="shared" si="38"/>
      </c>
      <c r="N1243">
        <f>IF('R.M Billets Reports'!J1242="","",'R.M Billets Reports'!J1242)</f>
      </c>
      <c r="O1243">
        <f t="shared" si="39"/>
      </c>
      <c r="P1243">
        <f>IF('R.M Billets Reports'!A1242="SIZE",'R.M Billets Reports'!B1242,P1242)</f>
      </c>
    </row>
    <row r="1244" spans="1:16" x14ac:dyDescent="0.25">
      <c r="A1244">
        <f>IF(OR('R.M Billets Reports'!A1243="Date-",'R.M Billets Reports'!A1243="Date:-"),IF(IF(IF(ISNUMBER(SEARCH("Party Name:-",'R.M Billets Reports'!D1243)),TRIM('R.M Billets Reports'!F1243),IF(ISNUMBER(SEARCH("Party Name-",'R.M Billets Reports'!D1243)),TRIM(MID('R.M Billets Reports'!D1243,SEARCH("-",'R.M Billets Reports'!D1243)+1,200)),""))&lt;&gt;"",IF(ISNUMBER(SEARCH("Party Name:-",'R.M Billets Reports'!D1243)),TRIM('R.M Billets Reports'!F1243),IF(ISNUMBER(SEARCH("Party Name-",'R.M Billets Reports'!D1243)),TRIM(MID('R.M Billets Reports'!D1243,SEARCH("-",'R.M Billets Reports'!D1243)+1,200)),"")),IF(ISNUMBER(SEARCH("Party Name:-",'R.M Billets Reports'!D1244)),TRIM('R.M Billets Reports'!F1244),IF(ISNUMBER(SEARCH("Party Name-",'R.M Billets Reports'!D1244)),TRIM(MID('R.M Billets Reports'!D1244,SEARCH("-",'R.M Billets Reports'!D1244)+1,200)),"")))="VRKP ISPAT PVT LTD","VRKP",IF(IF(IF(ISNUMBER(SEARCH("Party Name:-",'R.M Billets Reports'!D1243)),TRIM('R.M Billets Reports'!F1243),IF(ISNUMBER(SEARCH("Party Name-",'R.M Billets Reports'!D1243)),TRIM(MID('R.M Billets Reports'!D1243,SEARCH("-",'R.M Billets Reports'!D1243)+1,200)),""))&lt;&gt;"",IF(ISNUMBER(SEARCH("Party Name:-",'R.M Billets Reports'!D1243)),TRIM('R.M Billets Reports'!F1243),IF(ISNUMBER(SEARCH("Party Name-",'R.M Billets Reports'!D1243)),TRIM(MID('R.M Billets Reports'!D1243,SEARCH("-",'R.M Billets Reports'!D1243)+1,200)),"")),IF(ISNUMBER(SEARCH("Party Name:-",'R.M Billets Reports'!D1244)),TRIM('R.M Billets Reports'!F1244),IF(ISNUMBER(SEARCH("Party Name-",'R.M Billets Reports'!D1244)),TRIM(MID('R.M Billets Reports'!D1244,SEARCH("-",'R.M Billets Reports'!D1244)+1,200)),"")))="SHRI RADHE","SHREE RADHE",IF(IF(IF(ISNUMBER(SEARCH("Party Name:-",'R.M Billets Reports'!D1243)),TRIM('R.M Billets Reports'!F1243),IF(ISNUMBER(SEARCH("Party Name-",'R.M Billets Reports'!D1243)),TRIM(MID('R.M Billets Reports'!D1243,SEARCH("-",'R.M Billets Reports'!D1243)+1,200)),""))&lt;&gt;"",IF(ISNUMBER(SEARCH("Party Name:-",'R.M Billets Reports'!D1243)),TRIM('R.M Billets Reports'!F1243),IF(ISNUMBER(SEARCH("Party Name-",'R.M Billets Reports'!D1243)),TRIM(MID('R.M Billets Reports'!D1243,SEARCH("-",'R.M Billets Reports'!D1243)+1,200)),"")),IF(ISNUMBER(SEARCH("Party Name:-",'R.M Billets Reports'!D1244)),TRIM('R.M Billets Reports'!F1244),IF(ISNUMBER(SEARCH("Party Name-",'R.M Billets Reports'!D1244)),TRIM(MID('R.M Billets Reports'!D1244,SEARCH("-",'R.M Billets Reports'!D1244)+1,200)),"")))="SHREE RADHE SHAKTI SPONGE AND POWER PVT. LTD.","SHREE RADHE",IF(IF(ISNUMBER(SEARCH("Party Name:-",'R.M Billets Reports'!D1243)),TRIM('R.M Billets Reports'!F1243),IF(ISNUMBER(SEARCH("Party Name-",'R.M Billets Reports'!D1243)),TRIM(MID('R.M Billets Reports'!D1243,SEARCH("-",'R.M Billets Reports'!D1243)+1,200)),""))&lt;&gt;"",IF(ISNUMBER(SEARCH("Party Name:-",'R.M Billets Reports'!D1243)),TRIM('R.M Billets Reports'!F1243),IF(ISNUMBER(SEARCH("Party Name-",'R.M Billets Reports'!D1243)),TRIM(MID('R.M Billets Reports'!D1243,SEARCH("-",'R.M Billets Reports'!D1243)+1,200)),"")),IF(ISNUMBER(SEARCH("Party Name:-",'R.M Billets Reports'!D1244)),TRIM('R.M Billets Reports'!F1244),IF(ISNUMBER(SEARCH("Party Name-",'R.M Billets Reports'!D1244)),TRIM(MID('R.M Billets Reports'!D1244,SEARCH("-",'R.M Billets Reports'!D1244)+1,200)),"")))))),IF(ROW()=2,"",A1243))</f>
      </c>
      <c r="B1244">
        <f>IF(OR('R.M Billets Reports'!A1243="Date-",'R.M Billets Reports'!A1243="Date:-"),'R.M Billets Reports'!B1243,IF(ROW()=2,"",B1243))</f>
      </c>
      <c r="C1244">
        <f>IF('R.M Billets Reports'!A1243="V.No.",'R.M Billets Reports'!B1243,IF(ROW()=2,"",C1243))</f>
      </c>
      <c r="D1244">
        <f>IF('R.M Billets Reports'!A1243&lt;&gt;"",'R.M Billets Reports'!A1243,IF(ROW()=2,"",D1243))</f>
      </c>
      <c r="E1244">
        <f>IF('R.M Billets Reports'!B1243="","",TRIM('R.M Billets Reports'!B1243))</f>
      </c>
      <c r="F1244">
        <f>'R.M Billets Reports'!C1243</f>
      </c>
      <c r="G1244">
        <f>'R.M Billets Reports'!D1243</f>
      </c>
      <c r="H1244">
        <f>'R.M Billets Reports'!E1243</f>
      </c>
      <c r="I1244">
        <f>'R.M Billets Reports'!F1243</f>
      </c>
      <c r="J1244">
        <f>'R.M Billets Reports'!G1243</f>
      </c>
      <c r="K1244">
        <f>'R.M Billets Reports'!H1243</f>
      </c>
      <c r="L1244">
        <f>IF('R.M Billets Reports'!I1243="","",'R.M Billets Reports'!I1243)</f>
      </c>
      <c r="M1244">
        <f t="shared" si="38"/>
      </c>
      <c r="N1244">
        <f>IF('R.M Billets Reports'!J1243="","",'R.M Billets Reports'!J1243)</f>
      </c>
      <c r="O1244">
        <f t="shared" si="39"/>
      </c>
      <c r="P1244">
        <f>IF('R.M Billets Reports'!A1243="SIZE",'R.M Billets Reports'!B1243,P1243)</f>
      </c>
    </row>
    <row r="1245" spans="1:16" x14ac:dyDescent="0.25">
      <c r="A1245">
        <f>IF(OR('R.M Billets Reports'!A1244="Date-",'R.M Billets Reports'!A1244="Date:-"),IF(IF(IF(ISNUMBER(SEARCH("Party Name:-",'R.M Billets Reports'!D1244)),TRIM('R.M Billets Reports'!F1244),IF(ISNUMBER(SEARCH("Party Name-",'R.M Billets Reports'!D1244)),TRIM(MID('R.M Billets Reports'!D1244,SEARCH("-",'R.M Billets Reports'!D1244)+1,200)),""))&lt;&gt;"",IF(ISNUMBER(SEARCH("Party Name:-",'R.M Billets Reports'!D1244)),TRIM('R.M Billets Reports'!F1244),IF(ISNUMBER(SEARCH("Party Name-",'R.M Billets Reports'!D1244)),TRIM(MID('R.M Billets Reports'!D1244,SEARCH("-",'R.M Billets Reports'!D1244)+1,200)),"")),IF(ISNUMBER(SEARCH("Party Name:-",'R.M Billets Reports'!D1245)),TRIM('R.M Billets Reports'!F1245),IF(ISNUMBER(SEARCH("Party Name-",'R.M Billets Reports'!D1245)),TRIM(MID('R.M Billets Reports'!D1245,SEARCH("-",'R.M Billets Reports'!D1245)+1,200)),"")))="VRKP ISPAT PVT LTD","VRKP",IF(IF(IF(ISNUMBER(SEARCH("Party Name:-",'R.M Billets Reports'!D1244)),TRIM('R.M Billets Reports'!F1244),IF(ISNUMBER(SEARCH("Party Name-",'R.M Billets Reports'!D1244)),TRIM(MID('R.M Billets Reports'!D1244,SEARCH("-",'R.M Billets Reports'!D1244)+1,200)),""))&lt;&gt;"",IF(ISNUMBER(SEARCH("Party Name:-",'R.M Billets Reports'!D1244)),TRIM('R.M Billets Reports'!F1244),IF(ISNUMBER(SEARCH("Party Name-",'R.M Billets Reports'!D1244)),TRIM(MID('R.M Billets Reports'!D1244,SEARCH("-",'R.M Billets Reports'!D1244)+1,200)),"")),IF(ISNUMBER(SEARCH("Party Name:-",'R.M Billets Reports'!D1245)),TRIM('R.M Billets Reports'!F1245),IF(ISNUMBER(SEARCH("Party Name-",'R.M Billets Reports'!D1245)),TRIM(MID('R.M Billets Reports'!D1245,SEARCH("-",'R.M Billets Reports'!D1245)+1,200)),"")))="SHRI RADHE","SHREE RADHE",IF(IF(IF(ISNUMBER(SEARCH("Party Name:-",'R.M Billets Reports'!D1244)),TRIM('R.M Billets Reports'!F1244),IF(ISNUMBER(SEARCH("Party Name-",'R.M Billets Reports'!D1244)),TRIM(MID('R.M Billets Reports'!D1244,SEARCH("-",'R.M Billets Reports'!D1244)+1,200)),""))&lt;&gt;"",IF(ISNUMBER(SEARCH("Party Name:-",'R.M Billets Reports'!D1244)),TRIM('R.M Billets Reports'!F1244),IF(ISNUMBER(SEARCH("Party Name-",'R.M Billets Reports'!D1244)),TRIM(MID('R.M Billets Reports'!D1244,SEARCH("-",'R.M Billets Reports'!D1244)+1,200)),"")),IF(ISNUMBER(SEARCH("Party Name:-",'R.M Billets Reports'!D1245)),TRIM('R.M Billets Reports'!F1245),IF(ISNUMBER(SEARCH("Party Name-",'R.M Billets Reports'!D1245)),TRIM(MID('R.M Billets Reports'!D1245,SEARCH("-",'R.M Billets Reports'!D1245)+1,200)),"")))="SHREE RADHE SHAKTI SPONGE AND POWER PVT. LTD.","SHREE RADHE",IF(IF(ISNUMBER(SEARCH("Party Name:-",'R.M Billets Reports'!D1244)),TRIM('R.M Billets Reports'!F1244),IF(ISNUMBER(SEARCH("Party Name-",'R.M Billets Reports'!D1244)),TRIM(MID('R.M Billets Reports'!D1244,SEARCH("-",'R.M Billets Reports'!D1244)+1,200)),""))&lt;&gt;"",IF(ISNUMBER(SEARCH("Party Name:-",'R.M Billets Reports'!D1244)),TRIM('R.M Billets Reports'!F1244),IF(ISNUMBER(SEARCH("Party Name-",'R.M Billets Reports'!D1244)),TRIM(MID('R.M Billets Reports'!D1244,SEARCH("-",'R.M Billets Reports'!D1244)+1,200)),"")),IF(ISNUMBER(SEARCH("Party Name:-",'R.M Billets Reports'!D1245)),TRIM('R.M Billets Reports'!F1245),IF(ISNUMBER(SEARCH("Party Name-",'R.M Billets Reports'!D1245)),TRIM(MID('R.M Billets Reports'!D1245,SEARCH("-",'R.M Billets Reports'!D1245)+1,200)),"")))))),IF(ROW()=2,"",A1244))</f>
      </c>
      <c r="B1245">
        <f>IF(OR('R.M Billets Reports'!A1244="Date-",'R.M Billets Reports'!A1244="Date:-"),'R.M Billets Reports'!B1244,IF(ROW()=2,"",B1244))</f>
      </c>
      <c r="C1245">
        <f>IF('R.M Billets Reports'!A1244="V.No.",'R.M Billets Reports'!B1244,IF(ROW()=2,"",C1244))</f>
      </c>
      <c r="D1245">
        <f>IF('R.M Billets Reports'!A1244&lt;&gt;"",'R.M Billets Reports'!A1244,IF(ROW()=2,"",D1244))</f>
      </c>
      <c r="E1245">
        <f>IF('R.M Billets Reports'!B1244="","",TRIM('R.M Billets Reports'!B1244))</f>
      </c>
      <c r="F1245">
        <f>'R.M Billets Reports'!C1244</f>
      </c>
      <c r="G1245">
        <f>'R.M Billets Reports'!D1244</f>
      </c>
      <c r="H1245">
        <f>'R.M Billets Reports'!E1244</f>
      </c>
      <c r="I1245">
        <f>'R.M Billets Reports'!F1244</f>
      </c>
      <c r="J1245">
        <f>'R.M Billets Reports'!G1244</f>
      </c>
      <c r="K1245">
        <f>'R.M Billets Reports'!H1244</f>
      </c>
      <c r="L1245">
        <f>IF('R.M Billets Reports'!I1244="","",'R.M Billets Reports'!I1244)</f>
      </c>
      <c r="M1245">
        <f t="shared" si="38"/>
      </c>
      <c r="N1245">
        <f>IF('R.M Billets Reports'!J1244="","",'R.M Billets Reports'!J1244)</f>
      </c>
      <c r="O1245">
        <f t="shared" si="39"/>
      </c>
      <c r="P1245">
        <f>IF('R.M Billets Reports'!A1244="SIZE",'R.M Billets Reports'!B1244,P1244)</f>
      </c>
    </row>
    <row r="1246" spans="1:16" x14ac:dyDescent="0.25">
      <c r="A1246">
        <f>IF(OR('R.M Billets Reports'!A1245="Date-",'R.M Billets Reports'!A1245="Date:-"),IF(IF(IF(ISNUMBER(SEARCH("Party Name:-",'R.M Billets Reports'!D1245)),TRIM('R.M Billets Reports'!F1245),IF(ISNUMBER(SEARCH("Party Name-",'R.M Billets Reports'!D1245)),TRIM(MID('R.M Billets Reports'!D1245,SEARCH("-",'R.M Billets Reports'!D1245)+1,200)),""))&lt;&gt;"",IF(ISNUMBER(SEARCH("Party Name:-",'R.M Billets Reports'!D1245)),TRIM('R.M Billets Reports'!F1245),IF(ISNUMBER(SEARCH("Party Name-",'R.M Billets Reports'!D1245)),TRIM(MID('R.M Billets Reports'!D1245,SEARCH("-",'R.M Billets Reports'!D1245)+1,200)),"")),IF(ISNUMBER(SEARCH("Party Name:-",'R.M Billets Reports'!D1246)),TRIM('R.M Billets Reports'!F1246),IF(ISNUMBER(SEARCH("Party Name-",'R.M Billets Reports'!D1246)),TRIM(MID('R.M Billets Reports'!D1246,SEARCH("-",'R.M Billets Reports'!D1246)+1,200)),"")))="VRKP ISPAT PVT LTD","VRKP",IF(IF(IF(ISNUMBER(SEARCH("Party Name:-",'R.M Billets Reports'!D1245)),TRIM('R.M Billets Reports'!F1245),IF(ISNUMBER(SEARCH("Party Name-",'R.M Billets Reports'!D1245)),TRIM(MID('R.M Billets Reports'!D1245,SEARCH("-",'R.M Billets Reports'!D1245)+1,200)),""))&lt;&gt;"",IF(ISNUMBER(SEARCH("Party Name:-",'R.M Billets Reports'!D1245)),TRIM('R.M Billets Reports'!F1245),IF(ISNUMBER(SEARCH("Party Name-",'R.M Billets Reports'!D1245)),TRIM(MID('R.M Billets Reports'!D1245,SEARCH("-",'R.M Billets Reports'!D1245)+1,200)),"")),IF(ISNUMBER(SEARCH("Party Name:-",'R.M Billets Reports'!D1246)),TRIM('R.M Billets Reports'!F1246),IF(ISNUMBER(SEARCH("Party Name-",'R.M Billets Reports'!D1246)),TRIM(MID('R.M Billets Reports'!D1246,SEARCH("-",'R.M Billets Reports'!D1246)+1,200)),"")))="SHRI RADHE","SHREE RADHE",IF(IF(IF(ISNUMBER(SEARCH("Party Name:-",'R.M Billets Reports'!D1245)),TRIM('R.M Billets Reports'!F1245),IF(ISNUMBER(SEARCH("Party Name-",'R.M Billets Reports'!D1245)),TRIM(MID('R.M Billets Reports'!D1245,SEARCH("-",'R.M Billets Reports'!D1245)+1,200)),""))&lt;&gt;"",IF(ISNUMBER(SEARCH("Party Name:-",'R.M Billets Reports'!D1245)),TRIM('R.M Billets Reports'!F1245),IF(ISNUMBER(SEARCH("Party Name-",'R.M Billets Reports'!D1245)),TRIM(MID('R.M Billets Reports'!D1245,SEARCH("-",'R.M Billets Reports'!D1245)+1,200)),"")),IF(ISNUMBER(SEARCH("Party Name:-",'R.M Billets Reports'!D1246)),TRIM('R.M Billets Reports'!F1246),IF(ISNUMBER(SEARCH("Party Name-",'R.M Billets Reports'!D1246)),TRIM(MID('R.M Billets Reports'!D1246,SEARCH("-",'R.M Billets Reports'!D1246)+1,200)),"")))="SHREE RADHE SHAKTI SPONGE AND POWER PVT. LTD.","SHREE RADHE",IF(IF(ISNUMBER(SEARCH("Party Name:-",'R.M Billets Reports'!D1245)),TRIM('R.M Billets Reports'!F1245),IF(ISNUMBER(SEARCH("Party Name-",'R.M Billets Reports'!D1245)),TRIM(MID('R.M Billets Reports'!D1245,SEARCH("-",'R.M Billets Reports'!D1245)+1,200)),""))&lt;&gt;"",IF(ISNUMBER(SEARCH("Party Name:-",'R.M Billets Reports'!D1245)),TRIM('R.M Billets Reports'!F1245),IF(ISNUMBER(SEARCH("Party Name-",'R.M Billets Reports'!D1245)),TRIM(MID('R.M Billets Reports'!D1245,SEARCH("-",'R.M Billets Reports'!D1245)+1,200)),"")),IF(ISNUMBER(SEARCH("Party Name:-",'R.M Billets Reports'!D1246)),TRIM('R.M Billets Reports'!F1246),IF(ISNUMBER(SEARCH("Party Name-",'R.M Billets Reports'!D1246)),TRIM(MID('R.M Billets Reports'!D1246,SEARCH("-",'R.M Billets Reports'!D1246)+1,200)),"")))))),IF(ROW()=2,"",A1245))</f>
      </c>
      <c r="B1246">
        <f>IF(OR('R.M Billets Reports'!A1245="Date-",'R.M Billets Reports'!A1245="Date:-"),'R.M Billets Reports'!B1245,IF(ROW()=2,"",B1245))</f>
      </c>
      <c r="C1246">
        <f>IF('R.M Billets Reports'!A1245="V.No.",'R.M Billets Reports'!B1245,IF(ROW()=2,"",C1245))</f>
      </c>
      <c r="D1246">
        <f>IF('R.M Billets Reports'!A1245&lt;&gt;"",'R.M Billets Reports'!A1245,IF(ROW()=2,"",D1245))</f>
      </c>
      <c r="E1246">
        <f>IF('R.M Billets Reports'!B1245="","",TRIM('R.M Billets Reports'!B1245))</f>
      </c>
      <c r="F1246">
        <f>'R.M Billets Reports'!C1245</f>
      </c>
      <c r="G1246">
        <f>'R.M Billets Reports'!D1245</f>
      </c>
      <c r="H1246">
        <f>'R.M Billets Reports'!E1245</f>
      </c>
      <c r="I1246">
        <f>'R.M Billets Reports'!F1245</f>
      </c>
      <c r="J1246">
        <f>'R.M Billets Reports'!G1245</f>
      </c>
      <c r="K1246">
        <f>'R.M Billets Reports'!H1245</f>
      </c>
      <c r="L1246">
        <f>IF('R.M Billets Reports'!I1245="","",'R.M Billets Reports'!I1245)</f>
      </c>
      <c r="M1246">
        <f t="shared" si="38"/>
      </c>
      <c r="N1246">
        <f>IF('R.M Billets Reports'!J1245="","",'R.M Billets Reports'!J1245)</f>
      </c>
      <c r="O1246">
        <f t="shared" si="39"/>
      </c>
      <c r="P1246">
        <f>IF('R.M Billets Reports'!A1245="SIZE",'R.M Billets Reports'!B1245,P1245)</f>
      </c>
    </row>
    <row r="1247" spans="1:16" x14ac:dyDescent="0.25">
      <c r="A1247">
        <f>IF(OR('R.M Billets Reports'!A1246="Date-",'R.M Billets Reports'!A1246="Date:-"),IF(IF(IF(ISNUMBER(SEARCH("Party Name:-",'R.M Billets Reports'!D1246)),TRIM('R.M Billets Reports'!F1246),IF(ISNUMBER(SEARCH("Party Name-",'R.M Billets Reports'!D1246)),TRIM(MID('R.M Billets Reports'!D1246,SEARCH("-",'R.M Billets Reports'!D1246)+1,200)),""))&lt;&gt;"",IF(ISNUMBER(SEARCH("Party Name:-",'R.M Billets Reports'!D1246)),TRIM('R.M Billets Reports'!F1246),IF(ISNUMBER(SEARCH("Party Name-",'R.M Billets Reports'!D1246)),TRIM(MID('R.M Billets Reports'!D1246,SEARCH("-",'R.M Billets Reports'!D1246)+1,200)),"")),IF(ISNUMBER(SEARCH("Party Name:-",'R.M Billets Reports'!D1247)),TRIM('R.M Billets Reports'!F1247),IF(ISNUMBER(SEARCH("Party Name-",'R.M Billets Reports'!D1247)),TRIM(MID('R.M Billets Reports'!D1247,SEARCH("-",'R.M Billets Reports'!D1247)+1,200)),"")))="VRKP ISPAT PVT LTD","VRKP",IF(IF(IF(ISNUMBER(SEARCH("Party Name:-",'R.M Billets Reports'!D1246)),TRIM('R.M Billets Reports'!F1246),IF(ISNUMBER(SEARCH("Party Name-",'R.M Billets Reports'!D1246)),TRIM(MID('R.M Billets Reports'!D1246,SEARCH("-",'R.M Billets Reports'!D1246)+1,200)),""))&lt;&gt;"",IF(ISNUMBER(SEARCH("Party Name:-",'R.M Billets Reports'!D1246)),TRIM('R.M Billets Reports'!F1246),IF(ISNUMBER(SEARCH("Party Name-",'R.M Billets Reports'!D1246)),TRIM(MID('R.M Billets Reports'!D1246,SEARCH("-",'R.M Billets Reports'!D1246)+1,200)),"")),IF(ISNUMBER(SEARCH("Party Name:-",'R.M Billets Reports'!D1247)),TRIM('R.M Billets Reports'!F1247),IF(ISNUMBER(SEARCH("Party Name-",'R.M Billets Reports'!D1247)),TRIM(MID('R.M Billets Reports'!D1247,SEARCH("-",'R.M Billets Reports'!D1247)+1,200)),"")))="SHRI RADHE","SHREE RADHE",IF(IF(IF(ISNUMBER(SEARCH("Party Name:-",'R.M Billets Reports'!D1246)),TRIM('R.M Billets Reports'!F1246),IF(ISNUMBER(SEARCH("Party Name-",'R.M Billets Reports'!D1246)),TRIM(MID('R.M Billets Reports'!D1246,SEARCH("-",'R.M Billets Reports'!D1246)+1,200)),""))&lt;&gt;"",IF(ISNUMBER(SEARCH("Party Name:-",'R.M Billets Reports'!D1246)),TRIM('R.M Billets Reports'!F1246),IF(ISNUMBER(SEARCH("Party Name-",'R.M Billets Reports'!D1246)),TRIM(MID('R.M Billets Reports'!D1246,SEARCH("-",'R.M Billets Reports'!D1246)+1,200)),"")),IF(ISNUMBER(SEARCH("Party Name:-",'R.M Billets Reports'!D1247)),TRIM('R.M Billets Reports'!F1247),IF(ISNUMBER(SEARCH("Party Name-",'R.M Billets Reports'!D1247)),TRIM(MID('R.M Billets Reports'!D1247,SEARCH("-",'R.M Billets Reports'!D1247)+1,200)),"")))="SHREE RADHE SHAKTI SPONGE AND POWER PVT. LTD.","SHREE RADHE",IF(IF(ISNUMBER(SEARCH("Party Name:-",'R.M Billets Reports'!D1246)),TRIM('R.M Billets Reports'!F1246),IF(ISNUMBER(SEARCH("Party Name-",'R.M Billets Reports'!D1246)),TRIM(MID('R.M Billets Reports'!D1246,SEARCH("-",'R.M Billets Reports'!D1246)+1,200)),""))&lt;&gt;"",IF(ISNUMBER(SEARCH("Party Name:-",'R.M Billets Reports'!D1246)),TRIM('R.M Billets Reports'!F1246),IF(ISNUMBER(SEARCH("Party Name-",'R.M Billets Reports'!D1246)),TRIM(MID('R.M Billets Reports'!D1246,SEARCH("-",'R.M Billets Reports'!D1246)+1,200)),"")),IF(ISNUMBER(SEARCH("Party Name:-",'R.M Billets Reports'!D1247)),TRIM('R.M Billets Reports'!F1247),IF(ISNUMBER(SEARCH("Party Name-",'R.M Billets Reports'!D1247)),TRIM(MID('R.M Billets Reports'!D1247,SEARCH("-",'R.M Billets Reports'!D1247)+1,200)),"")))))),IF(ROW()=2,"",A1246))</f>
      </c>
      <c r="B1247">
        <f>IF(OR('R.M Billets Reports'!A1246="Date-",'R.M Billets Reports'!A1246="Date:-"),'R.M Billets Reports'!B1246,IF(ROW()=2,"",B1246))</f>
      </c>
      <c r="C1247">
        <f>IF('R.M Billets Reports'!A1246="V.No.",'R.M Billets Reports'!B1246,IF(ROW()=2,"",C1246))</f>
      </c>
      <c r="D1247">
        <f>IF('R.M Billets Reports'!A1246&lt;&gt;"",'R.M Billets Reports'!A1246,IF(ROW()=2,"",D1246))</f>
      </c>
      <c r="E1247">
        <f>IF('R.M Billets Reports'!B1246="","",TRIM('R.M Billets Reports'!B1246))</f>
      </c>
      <c r="F1247">
        <f>'R.M Billets Reports'!C1246</f>
      </c>
      <c r="G1247">
        <f>'R.M Billets Reports'!D1246</f>
      </c>
      <c r="H1247">
        <f>'R.M Billets Reports'!E1246</f>
      </c>
      <c r="I1247">
        <f>'R.M Billets Reports'!F1246</f>
      </c>
      <c r="J1247">
        <f>'R.M Billets Reports'!G1246</f>
      </c>
      <c r="K1247">
        <f>'R.M Billets Reports'!H1246</f>
      </c>
      <c r="L1247">
        <f>IF('R.M Billets Reports'!I1246="","",'R.M Billets Reports'!I1246)</f>
      </c>
      <c r="M1247">
        <f t="shared" si="38"/>
      </c>
      <c r="N1247">
        <f>IF('R.M Billets Reports'!J1246="","",'R.M Billets Reports'!J1246)</f>
      </c>
      <c r="O1247">
        <f t="shared" si="39"/>
      </c>
      <c r="P1247">
        <f>IF('R.M Billets Reports'!A1246="SIZE",'R.M Billets Reports'!B1246,P1246)</f>
      </c>
    </row>
    <row r="1248" spans="1:16" x14ac:dyDescent="0.25">
      <c r="A1248">
        <f>IF(OR('R.M Billets Reports'!A1247="Date-",'R.M Billets Reports'!A1247="Date:-"),IF(IF(IF(ISNUMBER(SEARCH("Party Name:-",'R.M Billets Reports'!D1247)),TRIM('R.M Billets Reports'!F1247),IF(ISNUMBER(SEARCH("Party Name-",'R.M Billets Reports'!D1247)),TRIM(MID('R.M Billets Reports'!D1247,SEARCH("-",'R.M Billets Reports'!D1247)+1,200)),""))&lt;&gt;"",IF(ISNUMBER(SEARCH("Party Name:-",'R.M Billets Reports'!D1247)),TRIM('R.M Billets Reports'!F1247),IF(ISNUMBER(SEARCH("Party Name-",'R.M Billets Reports'!D1247)),TRIM(MID('R.M Billets Reports'!D1247,SEARCH("-",'R.M Billets Reports'!D1247)+1,200)),"")),IF(ISNUMBER(SEARCH("Party Name:-",'R.M Billets Reports'!D1248)),TRIM('R.M Billets Reports'!F1248),IF(ISNUMBER(SEARCH("Party Name-",'R.M Billets Reports'!D1248)),TRIM(MID('R.M Billets Reports'!D1248,SEARCH("-",'R.M Billets Reports'!D1248)+1,200)),"")))="VRKP ISPAT PVT LTD","VRKP",IF(IF(IF(ISNUMBER(SEARCH("Party Name:-",'R.M Billets Reports'!D1247)),TRIM('R.M Billets Reports'!F1247),IF(ISNUMBER(SEARCH("Party Name-",'R.M Billets Reports'!D1247)),TRIM(MID('R.M Billets Reports'!D1247,SEARCH("-",'R.M Billets Reports'!D1247)+1,200)),""))&lt;&gt;"",IF(ISNUMBER(SEARCH("Party Name:-",'R.M Billets Reports'!D1247)),TRIM('R.M Billets Reports'!F1247),IF(ISNUMBER(SEARCH("Party Name-",'R.M Billets Reports'!D1247)),TRIM(MID('R.M Billets Reports'!D1247,SEARCH("-",'R.M Billets Reports'!D1247)+1,200)),"")),IF(ISNUMBER(SEARCH("Party Name:-",'R.M Billets Reports'!D1248)),TRIM('R.M Billets Reports'!F1248),IF(ISNUMBER(SEARCH("Party Name-",'R.M Billets Reports'!D1248)),TRIM(MID('R.M Billets Reports'!D1248,SEARCH("-",'R.M Billets Reports'!D1248)+1,200)),"")))="SHRI RADHE","SHREE RADHE",IF(IF(IF(ISNUMBER(SEARCH("Party Name:-",'R.M Billets Reports'!D1247)),TRIM('R.M Billets Reports'!F1247),IF(ISNUMBER(SEARCH("Party Name-",'R.M Billets Reports'!D1247)),TRIM(MID('R.M Billets Reports'!D1247,SEARCH("-",'R.M Billets Reports'!D1247)+1,200)),""))&lt;&gt;"",IF(ISNUMBER(SEARCH("Party Name:-",'R.M Billets Reports'!D1247)),TRIM('R.M Billets Reports'!F1247),IF(ISNUMBER(SEARCH("Party Name-",'R.M Billets Reports'!D1247)),TRIM(MID('R.M Billets Reports'!D1247,SEARCH("-",'R.M Billets Reports'!D1247)+1,200)),"")),IF(ISNUMBER(SEARCH("Party Name:-",'R.M Billets Reports'!D1248)),TRIM('R.M Billets Reports'!F1248),IF(ISNUMBER(SEARCH("Party Name-",'R.M Billets Reports'!D1248)),TRIM(MID('R.M Billets Reports'!D1248,SEARCH("-",'R.M Billets Reports'!D1248)+1,200)),"")))="SHREE RADHE SHAKTI SPONGE AND POWER PVT. LTD.","SHREE RADHE",IF(IF(ISNUMBER(SEARCH("Party Name:-",'R.M Billets Reports'!D1247)),TRIM('R.M Billets Reports'!F1247),IF(ISNUMBER(SEARCH("Party Name-",'R.M Billets Reports'!D1247)),TRIM(MID('R.M Billets Reports'!D1247,SEARCH("-",'R.M Billets Reports'!D1247)+1,200)),""))&lt;&gt;"",IF(ISNUMBER(SEARCH("Party Name:-",'R.M Billets Reports'!D1247)),TRIM('R.M Billets Reports'!F1247),IF(ISNUMBER(SEARCH("Party Name-",'R.M Billets Reports'!D1247)),TRIM(MID('R.M Billets Reports'!D1247,SEARCH("-",'R.M Billets Reports'!D1247)+1,200)),"")),IF(ISNUMBER(SEARCH("Party Name:-",'R.M Billets Reports'!D1248)),TRIM('R.M Billets Reports'!F1248),IF(ISNUMBER(SEARCH("Party Name-",'R.M Billets Reports'!D1248)),TRIM(MID('R.M Billets Reports'!D1248,SEARCH("-",'R.M Billets Reports'!D1248)+1,200)),"")))))),IF(ROW()=2,"",A1247))</f>
      </c>
      <c r="B1248">
        <f>IF(OR('R.M Billets Reports'!A1247="Date-",'R.M Billets Reports'!A1247="Date:-"),'R.M Billets Reports'!B1247,IF(ROW()=2,"",B1247))</f>
      </c>
      <c r="C1248">
        <f>IF('R.M Billets Reports'!A1247="V.No.",'R.M Billets Reports'!B1247,IF(ROW()=2,"",C1247))</f>
      </c>
      <c r="D1248">
        <f>IF('R.M Billets Reports'!A1247&lt;&gt;"",'R.M Billets Reports'!A1247,IF(ROW()=2,"",D1247))</f>
      </c>
      <c r="E1248">
        <f>IF('R.M Billets Reports'!B1247="","",TRIM('R.M Billets Reports'!B1247))</f>
      </c>
      <c r="F1248">
        <f>'R.M Billets Reports'!C1247</f>
      </c>
      <c r="G1248">
        <f>'R.M Billets Reports'!D1247</f>
      </c>
      <c r="H1248">
        <f>'R.M Billets Reports'!E1247</f>
      </c>
      <c r="I1248">
        <f>'R.M Billets Reports'!F1247</f>
      </c>
      <c r="J1248">
        <f>'R.M Billets Reports'!G1247</f>
      </c>
      <c r="K1248">
        <f>'R.M Billets Reports'!H1247</f>
      </c>
      <c r="L1248">
        <f>IF('R.M Billets Reports'!I1247="","",'R.M Billets Reports'!I1247)</f>
      </c>
      <c r="M1248">
        <f t="shared" si="38"/>
      </c>
      <c r="N1248">
        <f>IF('R.M Billets Reports'!J1247="","",'R.M Billets Reports'!J1247)</f>
      </c>
      <c r="O1248">
        <f t="shared" si="39"/>
      </c>
      <c r="P1248">
        <f>IF('R.M Billets Reports'!A1247="SIZE",'R.M Billets Reports'!B1247,P1247)</f>
      </c>
    </row>
    <row r="1249" spans="1:16" x14ac:dyDescent="0.25">
      <c r="A1249">
        <f>IF(OR('R.M Billets Reports'!A1248="Date-",'R.M Billets Reports'!A1248="Date:-"),IF(IF(IF(ISNUMBER(SEARCH("Party Name:-",'R.M Billets Reports'!D1248)),TRIM('R.M Billets Reports'!F1248),IF(ISNUMBER(SEARCH("Party Name-",'R.M Billets Reports'!D1248)),TRIM(MID('R.M Billets Reports'!D1248,SEARCH("-",'R.M Billets Reports'!D1248)+1,200)),""))&lt;&gt;"",IF(ISNUMBER(SEARCH("Party Name:-",'R.M Billets Reports'!D1248)),TRIM('R.M Billets Reports'!F1248),IF(ISNUMBER(SEARCH("Party Name-",'R.M Billets Reports'!D1248)),TRIM(MID('R.M Billets Reports'!D1248,SEARCH("-",'R.M Billets Reports'!D1248)+1,200)),"")),IF(ISNUMBER(SEARCH("Party Name:-",'R.M Billets Reports'!D1249)),TRIM('R.M Billets Reports'!F1249),IF(ISNUMBER(SEARCH("Party Name-",'R.M Billets Reports'!D1249)),TRIM(MID('R.M Billets Reports'!D1249,SEARCH("-",'R.M Billets Reports'!D1249)+1,200)),"")))="VRKP ISPAT PVT LTD","VRKP",IF(IF(IF(ISNUMBER(SEARCH("Party Name:-",'R.M Billets Reports'!D1248)),TRIM('R.M Billets Reports'!F1248),IF(ISNUMBER(SEARCH("Party Name-",'R.M Billets Reports'!D1248)),TRIM(MID('R.M Billets Reports'!D1248,SEARCH("-",'R.M Billets Reports'!D1248)+1,200)),""))&lt;&gt;"",IF(ISNUMBER(SEARCH("Party Name:-",'R.M Billets Reports'!D1248)),TRIM('R.M Billets Reports'!F1248),IF(ISNUMBER(SEARCH("Party Name-",'R.M Billets Reports'!D1248)),TRIM(MID('R.M Billets Reports'!D1248,SEARCH("-",'R.M Billets Reports'!D1248)+1,200)),"")),IF(ISNUMBER(SEARCH("Party Name:-",'R.M Billets Reports'!D1249)),TRIM('R.M Billets Reports'!F1249),IF(ISNUMBER(SEARCH("Party Name-",'R.M Billets Reports'!D1249)),TRIM(MID('R.M Billets Reports'!D1249,SEARCH("-",'R.M Billets Reports'!D1249)+1,200)),"")))="SHRI RADHE","SHREE RADHE",IF(IF(IF(ISNUMBER(SEARCH("Party Name:-",'R.M Billets Reports'!D1248)),TRIM('R.M Billets Reports'!F1248),IF(ISNUMBER(SEARCH("Party Name-",'R.M Billets Reports'!D1248)),TRIM(MID('R.M Billets Reports'!D1248,SEARCH("-",'R.M Billets Reports'!D1248)+1,200)),""))&lt;&gt;"",IF(ISNUMBER(SEARCH("Party Name:-",'R.M Billets Reports'!D1248)),TRIM('R.M Billets Reports'!F1248),IF(ISNUMBER(SEARCH("Party Name-",'R.M Billets Reports'!D1248)),TRIM(MID('R.M Billets Reports'!D1248,SEARCH("-",'R.M Billets Reports'!D1248)+1,200)),"")),IF(ISNUMBER(SEARCH("Party Name:-",'R.M Billets Reports'!D1249)),TRIM('R.M Billets Reports'!F1249),IF(ISNUMBER(SEARCH("Party Name-",'R.M Billets Reports'!D1249)),TRIM(MID('R.M Billets Reports'!D1249,SEARCH("-",'R.M Billets Reports'!D1249)+1,200)),"")))="SHREE RADHE SHAKTI SPONGE AND POWER PVT. LTD.","SHREE RADHE",IF(IF(ISNUMBER(SEARCH("Party Name:-",'R.M Billets Reports'!D1248)),TRIM('R.M Billets Reports'!F1248),IF(ISNUMBER(SEARCH("Party Name-",'R.M Billets Reports'!D1248)),TRIM(MID('R.M Billets Reports'!D1248,SEARCH("-",'R.M Billets Reports'!D1248)+1,200)),""))&lt;&gt;"",IF(ISNUMBER(SEARCH("Party Name:-",'R.M Billets Reports'!D1248)),TRIM('R.M Billets Reports'!F1248),IF(ISNUMBER(SEARCH("Party Name-",'R.M Billets Reports'!D1248)),TRIM(MID('R.M Billets Reports'!D1248,SEARCH("-",'R.M Billets Reports'!D1248)+1,200)),"")),IF(ISNUMBER(SEARCH("Party Name:-",'R.M Billets Reports'!D1249)),TRIM('R.M Billets Reports'!F1249),IF(ISNUMBER(SEARCH("Party Name-",'R.M Billets Reports'!D1249)),TRIM(MID('R.M Billets Reports'!D1249,SEARCH("-",'R.M Billets Reports'!D1249)+1,200)),"")))))),IF(ROW()=2,"",A1248))</f>
      </c>
      <c r="B1249">
        <f>IF(OR('R.M Billets Reports'!A1248="Date-",'R.M Billets Reports'!A1248="Date:-"),'R.M Billets Reports'!B1248,IF(ROW()=2,"",B1248))</f>
      </c>
      <c r="C1249">
        <f>IF('R.M Billets Reports'!A1248="V.No.",'R.M Billets Reports'!B1248,IF(ROW()=2,"",C1248))</f>
      </c>
      <c r="D1249">
        <f>IF('R.M Billets Reports'!A1248&lt;&gt;"",'R.M Billets Reports'!A1248,IF(ROW()=2,"",D1248))</f>
      </c>
      <c r="E1249">
        <f>IF('R.M Billets Reports'!B1248="","",TRIM('R.M Billets Reports'!B1248))</f>
      </c>
      <c r="F1249">
        <f>'R.M Billets Reports'!C1248</f>
      </c>
      <c r="G1249">
        <f>'R.M Billets Reports'!D1248</f>
      </c>
      <c r="H1249">
        <f>'R.M Billets Reports'!E1248</f>
      </c>
      <c r="I1249">
        <f>'R.M Billets Reports'!F1248</f>
      </c>
      <c r="J1249">
        <f>'R.M Billets Reports'!G1248</f>
      </c>
      <c r="K1249">
        <f>'R.M Billets Reports'!H1248</f>
      </c>
      <c r="L1249">
        <f>IF('R.M Billets Reports'!I1248="","",'R.M Billets Reports'!I1248)</f>
      </c>
      <c r="M1249">
        <f t="shared" si="38"/>
      </c>
      <c r="N1249">
        <f>IF('R.M Billets Reports'!J1248="","",'R.M Billets Reports'!J1248)</f>
      </c>
      <c r="O1249">
        <f t="shared" si="39"/>
      </c>
      <c r="P1249">
        <f>IF('R.M Billets Reports'!A1248="SIZE",'R.M Billets Reports'!B1248,P1248)</f>
      </c>
    </row>
    <row r="1250" spans="1:16" x14ac:dyDescent="0.25">
      <c r="A1250">
        <f>IF(OR('R.M Billets Reports'!A1249="Date-",'R.M Billets Reports'!A1249="Date:-"),IF(IF(IF(ISNUMBER(SEARCH("Party Name:-",'R.M Billets Reports'!D1249)),TRIM('R.M Billets Reports'!F1249),IF(ISNUMBER(SEARCH("Party Name-",'R.M Billets Reports'!D1249)),TRIM(MID('R.M Billets Reports'!D1249,SEARCH("-",'R.M Billets Reports'!D1249)+1,200)),""))&lt;&gt;"",IF(ISNUMBER(SEARCH("Party Name:-",'R.M Billets Reports'!D1249)),TRIM('R.M Billets Reports'!F1249),IF(ISNUMBER(SEARCH("Party Name-",'R.M Billets Reports'!D1249)),TRIM(MID('R.M Billets Reports'!D1249,SEARCH("-",'R.M Billets Reports'!D1249)+1,200)),"")),IF(ISNUMBER(SEARCH("Party Name:-",'R.M Billets Reports'!D1250)),TRIM('R.M Billets Reports'!F1250),IF(ISNUMBER(SEARCH("Party Name-",'R.M Billets Reports'!D1250)),TRIM(MID('R.M Billets Reports'!D1250,SEARCH("-",'R.M Billets Reports'!D1250)+1,200)),"")))="VRKP ISPAT PVT LTD","VRKP",IF(IF(IF(ISNUMBER(SEARCH("Party Name:-",'R.M Billets Reports'!D1249)),TRIM('R.M Billets Reports'!F1249),IF(ISNUMBER(SEARCH("Party Name-",'R.M Billets Reports'!D1249)),TRIM(MID('R.M Billets Reports'!D1249,SEARCH("-",'R.M Billets Reports'!D1249)+1,200)),""))&lt;&gt;"",IF(ISNUMBER(SEARCH("Party Name:-",'R.M Billets Reports'!D1249)),TRIM('R.M Billets Reports'!F1249),IF(ISNUMBER(SEARCH("Party Name-",'R.M Billets Reports'!D1249)),TRIM(MID('R.M Billets Reports'!D1249,SEARCH("-",'R.M Billets Reports'!D1249)+1,200)),"")),IF(ISNUMBER(SEARCH("Party Name:-",'R.M Billets Reports'!D1250)),TRIM('R.M Billets Reports'!F1250),IF(ISNUMBER(SEARCH("Party Name-",'R.M Billets Reports'!D1250)),TRIM(MID('R.M Billets Reports'!D1250,SEARCH("-",'R.M Billets Reports'!D1250)+1,200)),"")))="SHRI RADHE","SHREE RADHE",IF(IF(IF(ISNUMBER(SEARCH("Party Name:-",'R.M Billets Reports'!D1249)),TRIM('R.M Billets Reports'!F1249),IF(ISNUMBER(SEARCH("Party Name-",'R.M Billets Reports'!D1249)),TRIM(MID('R.M Billets Reports'!D1249,SEARCH("-",'R.M Billets Reports'!D1249)+1,200)),""))&lt;&gt;"",IF(ISNUMBER(SEARCH("Party Name:-",'R.M Billets Reports'!D1249)),TRIM('R.M Billets Reports'!F1249),IF(ISNUMBER(SEARCH("Party Name-",'R.M Billets Reports'!D1249)),TRIM(MID('R.M Billets Reports'!D1249,SEARCH("-",'R.M Billets Reports'!D1249)+1,200)),"")),IF(ISNUMBER(SEARCH("Party Name:-",'R.M Billets Reports'!D1250)),TRIM('R.M Billets Reports'!F1250),IF(ISNUMBER(SEARCH("Party Name-",'R.M Billets Reports'!D1250)),TRIM(MID('R.M Billets Reports'!D1250,SEARCH("-",'R.M Billets Reports'!D1250)+1,200)),"")))="SHREE RADHE SHAKTI SPONGE AND POWER PVT. LTD.","SHREE RADHE",IF(IF(ISNUMBER(SEARCH("Party Name:-",'R.M Billets Reports'!D1249)),TRIM('R.M Billets Reports'!F1249),IF(ISNUMBER(SEARCH("Party Name-",'R.M Billets Reports'!D1249)),TRIM(MID('R.M Billets Reports'!D1249,SEARCH("-",'R.M Billets Reports'!D1249)+1,200)),""))&lt;&gt;"",IF(ISNUMBER(SEARCH("Party Name:-",'R.M Billets Reports'!D1249)),TRIM('R.M Billets Reports'!F1249),IF(ISNUMBER(SEARCH("Party Name-",'R.M Billets Reports'!D1249)),TRIM(MID('R.M Billets Reports'!D1249,SEARCH("-",'R.M Billets Reports'!D1249)+1,200)),"")),IF(ISNUMBER(SEARCH("Party Name:-",'R.M Billets Reports'!D1250)),TRIM('R.M Billets Reports'!F1250),IF(ISNUMBER(SEARCH("Party Name-",'R.M Billets Reports'!D1250)),TRIM(MID('R.M Billets Reports'!D1250,SEARCH("-",'R.M Billets Reports'!D1250)+1,200)),"")))))),IF(ROW()=2,"",A1249))</f>
      </c>
      <c r="B1250">
        <f>IF(OR('R.M Billets Reports'!A1249="Date-",'R.M Billets Reports'!A1249="Date:-"),'R.M Billets Reports'!B1249,IF(ROW()=2,"",B1249))</f>
      </c>
      <c r="C1250">
        <f>IF('R.M Billets Reports'!A1249="V.No.",'R.M Billets Reports'!B1249,IF(ROW()=2,"",C1249))</f>
      </c>
      <c r="D1250">
        <f>IF('R.M Billets Reports'!A1249&lt;&gt;"",'R.M Billets Reports'!A1249,IF(ROW()=2,"",D1249))</f>
      </c>
      <c r="E1250">
        <f>IF('R.M Billets Reports'!B1249="","",TRIM('R.M Billets Reports'!B1249))</f>
      </c>
      <c r="F1250">
        <f>'R.M Billets Reports'!C1249</f>
      </c>
      <c r="G1250">
        <f>'R.M Billets Reports'!D1249</f>
      </c>
      <c r="H1250">
        <f>'R.M Billets Reports'!E1249</f>
      </c>
      <c r="I1250">
        <f>'R.M Billets Reports'!F1249</f>
      </c>
      <c r="J1250">
        <f>'R.M Billets Reports'!G1249</f>
      </c>
      <c r="K1250">
        <f>'R.M Billets Reports'!H1249</f>
      </c>
      <c r="L1250">
        <f>IF('R.M Billets Reports'!I1249="","",'R.M Billets Reports'!I1249)</f>
      </c>
      <c r="M1250">
        <f t="shared" si="38"/>
      </c>
      <c r="N1250">
        <f>IF('R.M Billets Reports'!J1249="","",'R.M Billets Reports'!J1249)</f>
      </c>
      <c r="O1250">
        <f t="shared" si="39"/>
      </c>
      <c r="P1250">
        <f>IF('R.M Billets Reports'!A1249="SIZE",'R.M Billets Reports'!B1249,P1249)</f>
      </c>
    </row>
    <row r="1251" spans="1:16" x14ac:dyDescent="0.25">
      <c r="A1251">
        <f>IF(OR('R.M Billets Reports'!A1250="Date-",'R.M Billets Reports'!A1250="Date:-"),IF(IF(IF(ISNUMBER(SEARCH("Party Name:-",'R.M Billets Reports'!D1250)),TRIM('R.M Billets Reports'!F1250),IF(ISNUMBER(SEARCH("Party Name-",'R.M Billets Reports'!D1250)),TRIM(MID('R.M Billets Reports'!D1250,SEARCH("-",'R.M Billets Reports'!D1250)+1,200)),""))&lt;&gt;"",IF(ISNUMBER(SEARCH("Party Name:-",'R.M Billets Reports'!D1250)),TRIM('R.M Billets Reports'!F1250),IF(ISNUMBER(SEARCH("Party Name-",'R.M Billets Reports'!D1250)),TRIM(MID('R.M Billets Reports'!D1250,SEARCH("-",'R.M Billets Reports'!D1250)+1,200)),"")),IF(ISNUMBER(SEARCH("Party Name:-",'R.M Billets Reports'!D1251)),TRIM('R.M Billets Reports'!F1251),IF(ISNUMBER(SEARCH("Party Name-",'R.M Billets Reports'!D1251)),TRIM(MID('R.M Billets Reports'!D1251,SEARCH("-",'R.M Billets Reports'!D1251)+1,200)),"")))="VRKP ISPAT PVT LTD","VRKP",IF(IF(IF(ISNUMBER(SEARCH("Party Name:-",'R.M Billets Reports'!D1250)),TRIM('R.M Billets Reports'!F1250),IF(ISNUMBER(SEARCH("Party Name-",'R.M Billets Reports'!D1250)),TRIM(MID('R.M Billets Reports'!D1250,SEARCH("-",'R.M Billets Reports'!D1250)+1,200)),""))&lt;&gt;"",IF(ISNUMBER(SEARCH("Party Name:-",'R.M Billets Reports'!D1250)),TRIM('R.M Billets Reports'!F1250),IF(ISNUMBER(SEARCH("Party Name-",'R.M Billets Reports'!D1250)),TRIM(MID('R.M Billets Reports'!D1250,SEARCH("-",'R.M Billets Reports'!D1250)+1,200)),"")),IF(ISNUMBER(SEARCH("Party Name:-",'R.M Billets Reports'!D1251)),TRIM('R.M Billets Reports'!F1251),IF(ISNUMBER(SEARCH("Party Name-",'R.M Billets Reports'!D1251)),TRIM(MID('R.M Billets Reports'!D1251,SEARCH("-",'R.M Billets Reports'!D1251)+1,200)),"")))="SHRI RADHE","SHREE RADHE",IF(IF(IF(ISNUMBER(SEARCH("Party Name:-",'R.M Billets Reports'!D1250)),TRIM('R.M Billets Reports'!F1250),IF(ISNUMBER(SEARCH("Party Name-",'R.M Billets Reports'!D1250)),TRIM(MID('R.M Billets Reports'!D1250,SEARCH("-",'R.M Billets Reports'!D1250)+1,200)),""))&lt;&gt;"",IF(ISNUMBER(SEARCH("Party Name:-",'R.M Billets Reports'!D1250)),TRIM('R.M Billets Reports'!F1250),IF(ISNUMBER(SEARCH("Party Name-",'R.M Billets Reports'!D1250)),TRIM(MID('R.M Billets Reports'!D1250,SEARCH("-",'R.M Billets Reports'!D1250)+1,200)),"")),IF(ISNUMBER(SEARCH("Party Name:-",'R.M Billets Reports'!D1251)),TRIM('R.M Billets Reports'!F1251),IF(ISNUMBER(SEARCH("Party Name-",'R.M Billets Reports'!D1251)),TRIM(MID('R.M Billets Reports'!D1251,SEARCH("-",'R.M Billets Reports'!D1251)+1,200)),"")))="SHREE RADHE SHAKTI SPONGE AND POWER PVT. LTD.","SHREE RADHE",IF(IF(ISNUMBER(SEARCH("Party Name:-",'R.M Billets Reports'!D1250)),TRIM('R.M Billets Reports'!F1250),IF(ISNUMBER(SEARCH("Party Name-",'R.M Billets Reports'!D1250)),TRIM(MID('R.M Billets Reports'!D1250,SEARCH("-",'R.M Billets Reports'!D1250)+1,200)),""))&lt;&gt;"",IF(ISNUMBER(SEARCH("Party Name:-",'R.M Billets Reports'!D1250)),TRIM('R.M Billets Reports'!F1250),IF(ISNUMBER(SEARCH("Party Name-",'R.M Billets Reports'!D1250)),TRIM(MID('R.M Billets Reports'!D1250,SEARCH("-",'R.M Billets Reports'!D1250)+1,200)),"")),IF(ISNUMBER(SEARCH("Party Name:-",'R.M Billets Reports'!D1251)),TRIM('R.M Billets Reports'!F1251),IF(ISNUMBER(SEARCH("Party Name-",'R.M Billets Reports'!D1251)),TRIM(MID('R.M Billets Reports'!D1251,SEARCH("-",'R.M Billets Reports'!D1251)+1,200)),"")))))),IF(ROW()=2,"",A1250))</f>
      </c>
      <c r="B1251">
        <f>IF(OR('R.M Billets Reports'!A1250="Date-",'R.M Billets Reports'!A1250="Date:-"),'R.M Billets Reports'!B1250,IF(ROW()=2,"",B1250))</f>
      </c>
      <c r="C1251">
        <f>IF('R.M Billets Reports'!A1250="V.No.",'R.M Billets Reports'!B1250,IF(ROW()=2,"",C1250))</f>
      </c>
      <c r="D1251">
        <f>IF('R.M Billets Reports'!A1250&lt;&gt;"",'R.M Billets Reports'!A1250,IF(ROW()=2,"",D1250))</f>
      </c>
      <c r="E1251">
        <f>IF('R.M Billets Reports'!B1250="","",TRIM('R.M Billets Reports'!B1250))</f>
      </c>
      <c r="F1251">
        <f>'R.M Billets Reports'!C1250</f>
      </c>
      <c r="G1251">
        <f>'R.M Billets Reports'!D1250</f>
      </c>
      <c r="H1251">
        <f>'R.M Billets Reports'!E1250</f>
      </c>
      <c r="I1251">
        <f>'R.M Billets Reports'!F1250</f>
      </c>
      <c r="J1251">
        <f>'R.M Billets Reports'!G1250</f>
      </c>
      <c r="K1251">
        <f>'R.M Billets Reports'!H1250</f>
      </c>
      <c r="L1251">
        <f>IF('R.M Billets Reports'!I1250="","",'R.M Billets Reports'!I1250)</f>
      </c>
      <c r="M1251">
        <f t="shared" si="38"/>
      </c>
      <c r="N1251">
        <f>IF('R.M Billets Reports'!J1250="","",'R.M Billets Reports'!J1250)</f>
      </c>
      <c r="O1251">
        <f t="shared" si="39"/>
      </c>
      <c r="P1251">
        <f>IF('R.M Billets Reports'!A1250="SIZE",'R.M Billets Reports'!B1250,P1250)</f>
      </c>
    </row>
    <row r="1252" spans="1:16" x14ac:dyDescent="0.25">
      <c r="A1252">
        <f>IF(OR('R.M Billets Reports'!A1251="Date-",'R.M Billets Reports'!A1251="Date:-"),IF(IF(IF(ISNUMBER(SEARCH("Party Name:-",'R.M Billets Reports'!D1251)),TRIM('R.M Billets Reports'!F1251),IF(ISNUMBER(SEARCH("Party Name-",'R.M Billets Reports'!D1251)),TRIM(MID('R.M Billets Reports'!D1251,SEARCH("-",'R.M Billets Reports'!D1251)+1,200)),""))&lt;&gt;"",IF(ISNUMBER(SEARCH("Party Name:-",'R.M Billets Reports'!D1251)),TRIM('R.M Billets Reports'!F1251),IF(ISNUMBER(SEARCH("Party Name-",'R.M Billets Reports'!D1251)),TRIM(MID('R.M Billets Reports'!D1251,SEARCH("-",'R.M Billets Reports'!D1251)+1,200)),"")),IF(ISNUMBER(SEARCH("Party Name:-",'R.M Billets Reports'!D1252)),TRIM('R.M Billets Reports'!F1252),IF(ISNUMBER(SEARCH("Party Name-",'R.M Billets Reports'!D1252)),TRIM(MID('R.M Billets Reports'!D1252,SEARCH("-",'R.M Billets Reports'!D1252)+1,200)),"")))="VRKP ISPAT PVT LTD","VRKP",IF(IF(IF(ISNUMBER(SEARCH("Party Name:-",'R.M Billets Reports'!D1251)),TRIM('R.M Billets Reports'!F1251),IF(ISNUMBER(SEARCH("Party Name-",'R.M Billets Reports'!D1251)),TRIM(MID('R.M Billets Reports'!D1251,SEARCH("-",'R.M Billets Reports'!D1251)+1,200)),""))&lt;&gt;"",IF(ISNUMBER(SEARCH("Party Name:-",'R.M Billets Reports'!D1251)),TRIM('R.M Billets Reports'!F1251),IF(ISNUMBER(SEARCH("Party Name-",'R.M Billets Reports'!D1251)),TRIM(MID('R.M Billets Reports'!D1251,SEARCH("-",'R.M Billets Reports'!D1251)+1,200)),"")),IF(ISNUMBER(SEARCH("Party Name:-",'R.M Billets Reports'!D1252)),TRIM('R.M Billets Reports'!F1252),IF(ISNUMBER(SEARCH("Party Name-",'R.M Billets Reports'!D1252)),TRIM(MID('R.M Billets Reports'!D1252,SEARCH("-",'R.M Billets Reports'!D1252)+1,200)),"")))="SHRI RADHE","SHREE RADHE",IF(IF(IF(ISNUMBER(SEARCH("Party Name:-",'R.M Billets Reports'!D1251)),TRIM('R.M Billets Reports'!F1251),IF(ISNUMBER(SEARCH("Party Name-",'R.M Billets Reports'!D1251)),TRIM(MID('R.M Billets Reports'!D1251,SEARCH("-",'R.M Billets Reports'!D1251)+1,200)),""))&lt;&gt;"",IF(ISNUMBER(SEARCH("Party Name:-",'R.M Billets Reports'!D1251)),TRIM('R.M Billets Reports'!F1251),IF(ISNUMBER(SEARCH("Party Name-",'R.M Billets Reports'!D1251)),TRIM(MID('R.M Billets Reports'!D1251,SEARCH("-",'R.M Billets Reports'!D1251)+1,200)),"")),IF(ISNUMBER(SEARCH("Party Name:-",'R.M Billets Reports'!D1252)),TRIM('R.M Billets Reports'!F1252),IF(ISNUMBER(SEARCH("Party Name-",'R.M Billets Reports'!D1252)),TRIM(MID('R.M Billets Reports'!D1252,SEARCH("-",'R.M Billets Reports'!D1252)+1,200)),"")))="SHREE RADHE SHAKTI SPONGE AND POWER PVT. LTD.","SHREE RADHE",IF(IF(ISNUMBER(SEARCH("Party Name:-",'R.M Billets Reports'!D1251)),TRIM('R.M Billets Reports'!F1251),IF(ISNUMBER(SEARCH("Party Name-",'R.M Billets Reports'!D1251)),TRIM(MID('R.M Billets Reports'!D1251,SEARCH("-",'R.M Billets Reports'!D1251)+1,200)),""))&lt;&gt;"",IF(ISNUMBER(SEARCH("Party Name:-",'R.M Billets Reports'!D1251)),TRIM('R.M Billets Reports'!F1251),IF(ISNUMBER(SEARCH("Party Name-",'R.M Billets Reports'!D1251)),TRIM(MID('R.M Billets Reports'!D1251,SEARCH("-",'R.M Billets Reports'!D1251)+1,200)),"")),IF(ISNUMBER(SEARCH("Party Name:-",'R.M Billets Reports'!D1252)),TRIM('R.M Billets Reports'!F1252),IF(ISNUMBER(SEARCH("Party Name-",'R.M Billets Reports'!D1252)),TRIM(MID('R.M Billets Reports'!D1252,SEARCH("-",'R.M Billets Reports'!D1252)+1,200)),"")))))),IF(ROW()=2,"",A1251))</f>
      </c>
      <c r="B1252">
        <f>IF(OR('R.M Billets Reports'!A1251="Date-",'R.M Billets Reports'!A1251="Date:-"),'R.M Billets Reports'!B1251,IF(ROW()=2,"",B1251))</f>
      </c>
      <c r="C1252">
        <f>IF('R.M Billets Reports'!A1251="V.No.",'R.M Billets Reports'!B1251,IF(ROW()=2,"",C1251))</f>
      </c>
      <c r="D1252">
        <f>IF('R.M Billets Reports'!A1251&lt;&gt;"",'R.M Billets Reports'!A1251,IF(ROW()=2,"",D1251))</f>
      </c>
      <c r="E1252">
        <f>IF('R.M Billets Reports'!B1251="","",TRIM('R.M Billets Reports'!B1251))</f>
      </c>
      <c r="F1252">
        <f>'R.M Billets Reports'!C1251</f>
      </c>
      <c r="G1252">
        <f>'R.M Billets Reports'!D1251</f>
      </c>
      <c r="H1252">
        <f>'R.M Billets Reports'!E1251</f>
      </c>
      <c r="I1252">
        <f>'R.M Billets Reports'!F1251</f>
      </c>
      <c r="J1252">
        <f>'R.M Billets Reports'!G1251</f>
      </c>
      <c r="K1252">
        <f>'R.M Billets Reports'!H1251</f>
      </c>
      <c r="L1252">
        <f>IF('R.M Billets Reports'!I1251="","",'R.M Billets Reports'!I1251)</f>
      </c>
      <c r="M1252">
        <f t="shared" si="38"/>
      </c>
      <c r="N1252">
        <f>IF('R.M Billets Reports'!J1251="","",'R.M Billets Reports'!J1251)</f>
      </c>
      <c r="O1252">
        <f t="shared" si="39"/>
      </c>
      <c r="P1252">
        <f>IF('R.M Billets Reports'!A1251="SIZE",'R.M Billets Reports'!B1251,P1251)</f>
      </c>
    </row>
    <row r="1253" spans="1:16" x14ac:dyDescent="0.25">
      <c r="A1253">
        <f>IF(OR('R.M Billets Reports'!A1252="Date-",'R.M Billets Reports'!A1252="Date:-"),IF(IF(IF(ISNUMBER(SEARCH("Party Name:-",'R.M Billets Reports'!D1252)),TRIM('R.M Billets Reports'!F1252),IF(ISNUMBER(SEARCH("Party Name-",'R.M Billets Reports'!D1252)),TRIM(MID('R.M Billets Reports'!D1252,SEARCH("-",'R.M Billets Reports'!D1252)+1,200)),""))&lt;&gt;"",IF(ISNUMBER(SEARCH("Party Name:-",'R.M Billets Reports'!D1252)),TRIM('R.M Billets Reports'!F1252),IF(ISNUMBER(SEARCH("Party Name-",'R.M Billets Reports'!D1252)),TRIM(MID('R.M Billets Reports'!D1252,SEARCH("-",'R.M Billets Reports'!D1252)+1,200)),"")),IF(ISNUMBER(SEARCH("Party Name:-",'R.M Billets Reports'!D1253)),TRIM('R.M Billets Reports'!F1253),IF(ISNUMBER(SEARCH("Party Name-",'R.M Billets Reports'!D1253)),TRIM(MID('R.M Billets Reports'!D1253,SEARCH("-",'R.M Billets Reports'!D1253)+1,200)),"")))="VRKP ISPAT PVT LTD","VRKP",IF(IF(IF(ISNUMBER(SEARCH("Party Name:-",'R.M Billets Reports'!D1252)),TRIM('R.M Billets Reports'!F1252),IF(ISNUMBER(SEARCH("Party Name-",'R.M Billets Reports'!D1252)),TRIM(MID('R.M Billets Reports'!D1252,SEARCH("-",'R.M Billets Reports'!D1252)+1,200)),""))&lt;&gt;"",IF(ISNUMBER(SEARCH("Party Name:-",'R.M Billets Reports'!D1252)),TRIM('R.M Billets Reports'!F1252),IF(ISNUMBER(SEARCH("Party Name-",'R.M Billets Reports'!D1252)),TRIM(MID('R.M Billets Reports'!D1252,SEARCH("-",'R.M Billets Reports'!D1252)+1,200)),"")),IF(ISNUMBER(SEARCH("Party Name:-",'R.M Billets Reports'!D1253)),TRIM('R.M Billets Reports'!F1253),IF(ISNUMBER(SEARCH("Party Name-",'R.M Billets Reports'!D1253)),TRIM(MID('R.M Billets Reports'!D1253,SEARCH("-",'R.M Billets Reports'!D1253)+1,200)),"")))="SHRI RADHE","SHREE RADHE",IF(IF(IF(ISNUMBER(SEARCH("Party Name:-",'R.M Billets Reports'!D1252)),TRIM('R.M Billets Reports'!F1252),IF(ISNUMBER(SEARCH("Party Name-",'R.M Billets Reports'!D1252)),TRIM(MID('R.M Billets Reports'!D1252,SEARCH("-",'R.M Billets Reports'!D1252)+1,200)),""))&lt;&gt;"",IF(ISNUMBER(SEARCH("Party Name:-",'R.M Billets Reports'!D1252)),TRIM('R.M Billets Reports'!F1252),IF(ISNUMBER(SEARCH("Party Name-",'R.M Billets Reports'!D1252)),TRIM(MID('R.M Billets Reports'!D1252,SEARCH("-",'R.M Billets Reports'!D1252)+1,200)),"")),IF(ISNUMBER(SEARCH("Party Name:-",'R.M Billets Reports'!D1253)),TRIM('R.M Billets Reports'!F1253),IF(ISNUMBER(SEARCH("Party Name-",'R.M Billets Reports'!D1253)),TRIM(MID('R.M Billets Reports'!D1253,SEARCH("-",'R.M Billets Reports'!D1253)+1,200)),"")))="SHREE RADHE SHAKTI SPONGE AND POWER PVT. LTD.","SHREE RADHE",IF(IF(ISNUMBER(SEARCH("Party Name:-",'R.M Billets Reports'!D1252)),TRIM('R.M Billets Reports'!F1252),IF(ISNUMBER(SEARCH("Party Name-",'R.M Billets Reports'!D1252)),TRIM(MID('R.M Billets Reports'!D1252,SEARCH("-",'R.M Billets Reports'!D1252)+1,200)),""))&lt;&gt;"",IF(ISNUMBER(SEARCH("Party Name:-",'R.M Billets Reports'!D1252)),TRIM('R.M Billets Reports'!F1252),IF(ISNUMBER(SEARCH("Party Name-",'R.M Billets Reports'!D1252)),TRIM(MID('R.M Billets Reports'!D1252,SEARCH("-",'R.M Billets Reports'!D1252)+1,200)),"")),IF(ISNUMBER(SEARCH("Party Name:-",'R.M Billets Reports'!D1253)),TRIM('R.M Billets Reports'!F1253),IF(ISNUMBER(SEARCH("Party Name-",'R.M Billets Reports'!D1253)),TRIM(MID('R.M Billets Reports'!D1253,SEARCH("-",'R.M Billets Reports'!D1253)+1,200)),"")))))),IF(ROW()=2,"",A1252))</f>
      </c>
      <c r="B1253">
        <f>IF(OR('R.M Billets Reports'!A1252="Date-",'R.M Billets Reports'!A1252="Date:-"),'R.M Billets Reports'!B1252,IF(ROW()=2,"",B1252))</f>
      </c>
      <c r="C1253">
        <f>IF('R.M Billets Reports'!A1252="V.No.",'R.M Billets Reports'!B1252,IF(ROW()=2,"",C1252))</f>
      </c>
      <c r="D1253">
        <f>IF('R.M Billets Reports'!A1252&lt;&gt;"",'R.M Billets Reports'!A1252,IF(ROW()=2,"",D1252))</f>
      </c>
      <c r="E1253">
        <f>IF('R.M Billets Reports'!B1252="","",TRIM('R.M Billets Reports'!B1252))</f>
      </c>
      <c r="F1253">
        <f>'R.M Billets Reports'!C1252</f>
      </c>
      <c r="G1253">
        <f>'R.M Billets Reports'!D1252</f>
      </c>
      <c r="H1253">
        <f>'R.M Billets Reports'!E1252</f>
      </c>
      <c r="I1253">
        <f>'R.M Billets Reports'!F1252</f>
      </c>
      <c r="J1253">
        <f>'R.M Billets Reports'!G1252</f>
      </c>
      <c r="K1253">
        <f>'R.M Billets Reports'!H1252</f>
      </c>
      <c r="L1253">
        <f>IF('R.M Billets Reports'!I1252="","",'R.M Billets Reports'!I1252)</f>
      </c>
      <c r="M1253">
        <f t="shared" si="38"/>
      </c>
      <c r="N1253">
        <f>IF('R.M Billets Reports'!J1252="","",'R.M Billets Reports'!J1252)</f>
      </c>
      <c r="O1253">
        <f t="shared" si="39"/>
      </c>
      <c r="P1253">
        <f>IF('R.M Billets Reports'!A1252="SIZE",'R.M Billets Reports'!B1252,P1252)</f>
      </c>
    </row>
    <row r="1254" spans="1:16" x14ac:dyDescent="0.25">
      <c r="A1254">
        <f>IF(OR('R.M Billets Reports'!A1253="Date-",'R.M Billets Reports'!A1253="Date:-"),IF(IF(IF(ISNUMBER(SEARCH("Party Name:-",'R.M Billets Reports'!D1253)),TRIM('R.M Billets Reports'!F1253),IF(ISNUMBER(SEARCH("Party Name-",'R.M Billets Reports'!D1253)),TRIM(MID('R.M Billets Reports'!D1253,SEARCH("-",'R.M Billets Reports'!D1253)+1,200)),""))&lt;&gt;"",IF(ISNUMBER(SEARCH("Party Name:-",'R.M Billets Reports'!D1253)),TRIM('R.M Billets Reports'!F1253),IF(ISNUMBER(SEARCH("Party Name-",'R.M Billets Reports'!D1253)),TRIM(MID('R.M Billets Reports'!D1253,SEARCH("-",'R.M Billets Reports'!D1253)+1,200)),"")),IF(ISNUMBER(SEARCH("Party Name:-",'R.M Billets Reports'!D1254)),TRIM('R.M Billets Reports'!F1254),IF(ISNUMBER(SEARCH("Party Name-",'R.M Billets Reports'!D1254)),TRIM(MID('R.M Billets Reports'!D1254,SEARCH("-",'R.M Billets Reports'!D1254)+1,200)),"")))="VRKP ISPAT PVT LTD","VRKP",IF(IF(IF(ISNUMBER(SEARCH("Party Name:-",'R.M Billets Reports'!D1253)),TRIM('R.M Billets Reports'!F1253),IF(ISNUMBER(SEARCH("Party Name-",'R.M Billets Reports'!D1253)),TRIM(MID('R.M Billets Reports'!D1253,SEARCH("-",'R.M Billets Reports'!D1253)+1,200)),""))&lt;&gt;"",IF(ISNUMBER(SEARCH("Party Name:-",'R.M Billets Reports'!D1253)),TRIM('R.M Billets Reports'!F1253),IF(ISNUMBER(SEARCH("Party Name-",'R.M Billets Reports'!D1253)),TRIM(MID('R.M Billets Reports'!D1253,SEARCH("-",'R.M Billets Reports'!D1253)+1,200)),"")),IF(ISNUMBER(SEARCH("Party Name:-",'R.M Billets Reports'!D1254)),TRIM('R.M Billets Reports'!F1254),IF(ISNUMBER(SEARCH("Party Name-",'R.M Billets Reports'!D1254)),TRIM(MID('R.M Billets Reports'!D1254,SEARCH("-",'R.M Billets Reports'!D1254)+1,200)),"")))="SHRI RADHE","SHREE RADHE",IF(IF(IF(ISNUMBER(SEARCH("Party Name:-",'R.M Billets Reports'!D1253)),TRIM('R.M Billets Reports'!F1253),IF(ISNUMBER(SEARCH("Party Name-",'R.M Billets Reports'!D1253)),TRIM(MID('R.M Billets Reports'!D1253,SEARCH("-",'R.M Billets Reports'!D1253)+1,200)),""))&lt;&gt;"",IF(ISNUMBER(SEARCH("Party Name:-",'R.M Billets Reports'!D1253)),TRIM('R.M Billets Reports'!F1253),IF(ISNUMBER(SEARCH("Party Name-",'R.M Billets Reports'!D1253)),TRIM(MID('R.M Billets Reports'!D1253,SEARCH("-",'R.M Billets Reports'!D1253)+1,200)),"")),IF(ISNUMBER(SEARCH("Party Name:-",'R.M Billets Reports'!D1254)),TRIM('R.M Billets Reports'!F1254),IF(ISNUMBER(SEARCH("Party Name-",'R.M Billets Reports'!D1254)),TRIM(MID('R.M Billets Reports'!D1254,SEARCH("-",'R.M Billets Reports'!D1254)+1,200)),"")))="SHREE RADHE SHAKTI SPONGE AND POWER PVT. LTD.","SHREE RADHE",IF(IF(ISNUMBER(SEARCH("Party Name:-",'R.M Billets Reports'!D1253)),TRIM('R.M Billets Reports'!F1253),IF(ISNUMBER(SEARCH("Party Name-",'R.M Billets Reports'!D1253)),TRIM(MID('R.M Billets Reports'!D1253,SEARCH("-",'R.M Billets Reports'!D1253)+1,200)),""))&lt;&gt;"",IF(ISNUMBER(SEARCH("Party Name:-",'R.M Billets Reports'!D1253)),TRIM('R.M Billets Reports'!F1253),IF(ISNUMBER(SEARCH("Party Name-",'R.M Billets Reports'!D1253)),TRIM(MID('R.M Billets Reports'!D1253,SEARCH("-",'R.M Billets Reports'!D1253)+1,200)),"")),IF(ISNUMBER(SEARCH("Party Name:-",'R.M Billets Reports'!D1254)),TRIM('R.M Billets Reports'!F1254),IF(ISNUMBER(SEARCH("Party Name-",'R.M Billets Reports'!D1254)),TRIM(MID('R.M Billets Reports'!D1254,SEARCH("-",'R.M Billets Reports'!D1254)+1,200)),"")))))),IF(ROW()=2,"",A1253))</f>
      </c>
      <c r="B1254">
        <f>IF(OR('R.M Billets Reports'!A1253="Date-",'R.M Billets Reports'!A1253="Date:-"),'R.M Billets Reports'!B1253,IF(ROW()=2,"",B1253))</f>
      </c>
      <c r="C1254">
        <f>IF('R.M Billets Reports'!A1253="V.No.",'R.M Billets Reports'!B1253,IF(ROW()=2,"",C1253))</f>
      </c>
      <c r="D1254">
        <f>IF('R.M Billets Reports'!A1253&lt;&gt;"",'R.M Billets Reports'!A1253,IF(ROW()=2,"",D1253))</f>
      </c>
      <c r="E1254">
        <f>IF('R.M Billets Reports'!B1253="","",TRIM('R.M Billets Reports'!B1253))</f>
      </c>
      <c r="F1254">
        <f>'R.M Billets Reports'!C1253</f>
      </c>
      <c r="G1254">
        <f>'R.M Billets Reports'!D1253</f>
      </c>
      <c r="H1254">
        <f>'R.M Billets Reports'!E1253</f>
      </c>
      <c r="I1254">
        <f>'R.M Billets Reports'!F1253</f>
      </c>
      <c r="J1254">
        <f>'R.M Billets Reports'!G1253</f>
      </c>
      <c r="K1254">
        <f>'R.M Billets Reports'!H1253</f>
      </c>
      <c r="L1254">
        <f>IF('R.M Billets Reports'!I1253="","",'R.M Billets Reports'!I1253)</f>
      </c>
      <c r="M1254">
        <f t="shared" si="38"/>
      </c>
      <c r="N1254">
        <f>IF('R.M Billets Reports'!J1253="","",'R.M Billets Reports'!J1253)</f>
      </c>
      <c r="O1254">
        <f t="shared" si="39"/>
      </c>
      <c r="P1254">
        <f>IF('R.M Billets Reports'!A1253="SIZE",'R.M Billets Reports'!B1253,P1253)</f>
      </c>
    </row>
    <row r="1255" spans="1:16" x14ac:dyDescent="0.25">
      <c r="A1255">
        <f>IF(OR('R.M Billets Reports'!A1254="Date-",'R.M Billets Reports'!A1254="Date:-"),IF(IF(IF(ISNUMBER(SEARCH("Party Name:-",'R.M Billets Reports'!D1254)),TRIM('R.M Billets Reports'!F1254),IF(ISNUMBER(SEARCH("Party Name-",'R.M Billets Reports'!D1254)),TRIM(MID('R.M Billets Reports'!D1254,SEARCH("-",'R.M Billets Reports'!D1254)+1,200)),""))&lt;&gt;"",IF(ISNUMBER(SEARCH("Party Name:-",'R.M Billets Reports'!D1254)),TRIM('R.M Billets Reports'!F1254),IF(ISNUMBER(SEARCH("Party Name-",'R.M Billets Reports'!D1254)),TRIM(MID('R.M Billets Reports'!D1254,SEARCH("-",'R.M Billets Reports'!D1254)+1,200)),"")),IF(ISNUMBER(SEARCH("Party Name:-",'R.M Billets Reports'!D1255)),TRIM('R.M Billets Reports'!F1255),IF(ISNUMBER(SEARCH("Party Name-",'R.M Billets Reports'!D1255)),TRIM(MID('R.M Billets Reports'!D1255,SEARCH("-",'R.M Billets Reports'!D1255)+1,200)),"")))="VRKP ISPAT PVT LTD","VRKP",IF(IF(IF(ISNUMBER(SEARCH("Party Name:-",'R.M Billets Reports'!D1254)),TRIM('R.M Billets Reports'!F1254),IF(ISNUMBER(SEARCH("Party Name-",'R.M Billets Reports'!D1254)),TRIM(MID('R.M Billets Reports'!D1254,SEARCH("-",'R.M Billets Reports'!D1254)+1,200)),""))&lt;&gt;"",IF(ISNUMBER(SEARCH("Party Name:-",'R.M Billets Reports'!D1254)),TRIM('R.M Billets Reports'!F1254),IF(ISNUMBER(SEARCH("Party Name-",'R.M Billets Reports'!D1254)),TRIM(MID('R.M Billets Reports'!D1254,SEARCH("-",'R.M Billets Reports'!D1254)+1,200)),"")),IF(ISNUMBER(SEARCH("Party Name:-",'R.M Billets Reports'!D1255)),TRIM('R.M Billets Reports'!F1255),IF(ISNUMBER(SEARCH("Party Name-",'R.M Billets Reports'!D1255)),TRIM(MID('R.M Billets Reports'!D1255,SEARCH("-",'R.M Billets Reports'!D1255)+1,200)),"")))="SHRI RADHE","SHREE RADHE",IF(IF(IF(ISNUMBER(SEARCH("Party Name:-",'R.M Billets Reports'!D1254)),TRIM('R.M Billets Reports'!F1254),IF(ISNUMBER(SEARCH("Party Name-",'R.M Billets Reports'!D1254)),TRIM(MID('R.M Billets Reports'!D1254,SEARCH("-",'R.M Billets Reports'!D1254)+1,200)),""))&lt;&gt;"",IF(ISNUMBER(SEARCH("Party Name:-",'R.M Billets Reports'!D1254)),TRIM('R.M Billets Reports'!F1254),IF(ISNUMBER(SEARCH("Party Name-",'R.M Billets Reports'!D1254)),TRIM(MID('R.M Billets Reports'!D1254,SEARCH("-",'R.M Billets Reports'!D1254)+1,200)),"")),IF(ISNUMBER(SEARCH("Party Name:-",'R.M Billets Reports'!D1255)),TRIM('R.M Billets Reports'!F1255),IF(ISNUMBER(SEARCH("Party Name-",'R.M Billets Reports'!D1255)),TRIM(MID('R.M Billets Reports'!D1255,SEARCH("-",'R.M Billets Reports'!D1255)+1,200)),"")))="SHREE RADHE SHAKTI SPONGE AND POWER PVT. LTD.","SHREE RADHE",IF(IF(ISNUMBER(SEARCH("Party Name:-",'R.M Billets Reports'!D1254)),TRIM('R.M Billets Reports'!F1254),IF(ISNUMBER(SEARCH("Party Name-",'R.M Billets Reports'!D1254)),TRIM(MID('R.M Billets Reports'!D1254,SEARCH("-",'R.M Billets Reports'!D1254)+1,200)),""))&lt;&gt;"",IF(ISNUMBER(SEARCH("Party Name:-",'R.M Billets Reports'!D1254)),TRIM('R.M Billets Reports'!F1254),IF(ISNUMBER(SEARCH("Party Name-",'R.M Billets Reports'!D1254)),TRIM(MID('R.M Billets Reports'!D1254,SEARCH("-",'R.M Billets Reports'!D1254)+1,200)),"")),IF(ISNUMBER(SEARCH("Party Name:-",'R.M Billets Reports'!D1255)),TRIM('R.M Billets Reports'!F1255),IF(ISNUMBER(SEARCH("Party Name-",'R.M Billets Reports'!D1255)),TRIM(MID('R.M Billets Reports'!D1255,SEARCH("-",'R.M Billets Reports'!D1255)+1,200)),"")))))),IF(ROW()=2,"",A1254))</f>
      </c>
      <c r="B1255">
        <f>IF(OR('R.M Billets Reports'!A1254="Date-",'R.M Billets Reports'!A1254="Date:-"),'R.M Billets Reports'!B1254,IF(ROW()=2,"",B1254))</f>
      </c>
      <c r="C1255">
        <f>IF('R.M Billets Reports'!A1254="V.No.",'R.M Billets Reports'!B1254,IF(ROW()=2,"",C1254))</f>
      </c>
      <c r="D1255">
        <f>IF('R.M Billets Reports'!A1254&lt;&gt;"",'R.M Billets Reports'!A1254,IF(ROW()=2,"",D1254))</f>
      </c>
      <c r="E1255">
        <f>IF('R.M Billets Reports'!B1254="","",TRIM('R.M Billets Reports'!B1254))</f>
      </c>
      <c r="F1255">
        <f>'R.M Billets Reports'!C1254</f>
      </c>
      <c r="G1255">
        <f>'R.M Billets Reports'!D1254</f>
      </c>
      <c r="H1255">
        <f>'R.M Billets Reports'!E1254</f>
      </c>
      <c r="I1255">
        <f>'R.M Billets Reports'!F1254</f>
      </c>
      <c r="J1255">
        <f>'R.M Billets Reports'!G1254</f>
      </c>
      <c r="K1255">
        <f>'R.M Billets Reports'!H1254</f>
      </c>
      <c r="L1255">
        <f>IF('R.M Billets Reports'!I1254="","",'R.M Billets Reports'!I1254)</f>
      </c>
      <c r="M1255">
        <f t="shared" si="38"/>
      </c>
      <c r="N1255">
        <f>IF('R.M Billets Reports'!J1254="","",'R.M Billets Reports'!J1254)</f>
      </c>
      <c r="O1255">
        <f t="shared" si="39"/>
      </c>
      <c r="P1255">
        <f>IF('R.M Billets Reports'!A1254="SIZE",'R.M Billets Reports'!B1254,P1254)</f>
      </c>
    </row>
    <row r="1256" spans="1:16" x14ac:dyDescent="0.25">
      <c r="A1256">
        <f>IF(OR('R.M Billets Reports'!A1255="Date-",'R.M Billets Reports'!A1255="Date:-"),IF(IF(IF(ISNUMBER(SEARCH("Party Name:-",'R.M Billets Reports'!D1255)),TRIM('R.M Billets Reports'!F1255),IF(ISNUMBER(SEARCH("Party Name-",'R.M Billets Reports'!D1255)),TRIM(MID('R.M Billets Reports'!D1255,SEARCH("-",'R.M Billets Reports'!D1255)+1,200)),""))&lt;&gt;"",IF(ISNUMBER(SEARCH("Party Name:-",'R.M Billets Reports'!D1255)),TRIM('R.M Billets Reports'!F1255),IF(ISNUMBER(SEARCH("Party Name-",'R.M Billets Reports'!D1255)),TRIM(MID('R.M Billets Reports'!D1255,SEARCH("-",'R.M Billets Reports'!D1255)+1,200)),"")),IF(ISNUMBER(SEARCH("Party Name:-",'R.M Billets Reports'!D1256)),TRIM('R.M Billets Reports'!F1256),IF(ISNUMBER(SEARCH("Party Name-",'R.M Billets Reports'!D1256)),TRIM(MID('R.M Billets Reports'!D1256,SEARCH("-",'R.M Billets Reports'!D1256)+1,200)),"")))="VRKP ISPAT PVT LTD","VRKP",IF(IF(IF(ISNUMBER(SEARCH("Party Name:-",'R.M Billets Reports'!D1255)),TRIM('R.M Billets Reports'!F1255),IF(ISNUMBER(SEARCH("Party Name-",'R.M Billets Reports'!D1255)),TRIM(MID('R.M Billets Reports'!D1255,SEARCH("-",'R.M Billets Reports'!D1255)+1,200)),""))&lt;&gt;"",IF(ISNUMBER(SEARCH("Party Name:-",'R.M Billets Reports'!D1255)),TRIM('R.M Billets Reports'!F1255),IF(ISNUMBER(SEARCH("Party Name-",'R.M Billets Reports'!D1255)),TRIM(MID('R.M Billets Reports'!D1255,SEARCH("-",'R.M Billets Reports'!D1255)+1,200)),"")),IF(ISNUMBER(SEARCH("Party Name:-",'R.M Billets Reports'!D1256)),TRIM('R.M Billets Reports'!F1256),IF(ISNUMBER(SEARCH("Party Name-",'R.M Billets Reports'!D1256)),TRIM(MID('R.M Billets Reports'!D1256,SEARCH("-",'R.M Billets Reports'!D1256)+1,200)),"")))="SHRI RADHE","SHREE RADHE",IF(IF(IF(ISNUMBER(SEARCH("Party Name:-",'R.M Billets Reports'!D1255)),TRIM('R.M Billets Reports'!F1255),IF(ISNUMBER(SEARCH("Party Name-",'R.M Billets Reports'!D1255)),TRIM(MID('R.M Billets Reports'!D1255,SEARCH("-",'R.M Billets Reports'!D1255)+1,200)),""))&lt;&gt;"",IF(ISNUMBER(SEARCH("Party Name:-",'R.M Billets Reports'!D1255)),TRIM('R.M Billets Reports'!F1255),IF(ISNUMBER(SEARCH("Party Name-",'R.M Billets Reports'!D1255)),TRIM(MID('R.M Billets Reports'!D1255,SEARCH("-",'R.M Billets Reports'!D1255)+1,200)),"")),IF(ISNUMBER(SEARCH("Party Name:-",'R.M Billets Reports'!D1256)),TRIM('R.M Billets Reports'!F1256),IF(ISNUMBER(SEARCH("Party Name-",'R.M Billets Reports'!D1256)),TRIM(MID('R.M Billets Reports'!D1256,SEARCH("-",'R.M Billets Reports'!D1256)+1,200)),"")))="SHREE RADHE SHAKTI SPONGE AND POWER PVT. LTD.","SHREE RADHE",IF(IF(ISNUMBER(SEARCH("Party Name:-",'R.M Billets Reports'!D1255)),TRIM('R.M Billets Reports'!F1255),IF(ISNUMBER(SEARCH("Party Name-",'R.M Billets Reports'!D1255)),TRIM(MID('R.M Billets Reports'!D1255,SEARCH("-",'R.M Billets Reports'!D1255)+1,200)),""))&lt;&gt;"",IF(ISNUMBER(SEARCH("Party Name:-",'R.M Billets Reports'!D1255)),TRIM('R.M Billets Reports'!F1255),IF(ISNUMBER(SEARCH("Party Name-",'R.M Billets Reports'!D1255)),TRIM(MID('R.M Billets Reports'!D1255,SEARCH("-",'R.M Billets Reports'!D1255)+1,200)),"")),IF(ISNUMBER(SEARCH("Party Name:-",'R.M Billets Reports'!D1256)),TRIM('R.M Billets Reports'!F1256),IF(ISNUMBER(SEARCH("Party Name-",'R.M Billets Reports'!D1256)),TRIM(MID('R.M Billets Reports'!D1256,SEARCH("-",'R.M Billets Reports'!D1256)+1,200)),"")))))),IF(ROW()=2,"",A1255))</f>
      </c>
      <c r="B1256">
        <f>IF(OR('R.M Billets Reports'!A1255="Date-",'R.M Billets Reports'!A1255="Date:-"),'R.M Billets Reports'!B1255,IF(ROW()=2,"",B1255))</f>
      </c>
      <c r="C1256">
        <f>IF('R.M Billets Reports'!A1255="V.No.",'R.M Billets Reports'!B1255,IF(ROW()=2,"",C1255))</f>
      </c>
      <c r="D1256">
        <f>IF('R.M Billets Reports'!A1255&lt;&gt;"",'R.M Billets Reports'!A1255,IF(ROW()=2,"",D1255))</f>
      </c>
      <c r="E1256">
        <f>IF('R.M Billets Reports'!B1255="","",TRIM('R.M Billets Reports'!B1255))</f>
      </c>
      <c r="F1256">
        <f>'R.M Billets Reports'!C1255</f>
      </c>
      <c r="G1256">
        <f>'R.M Billets Reports'!D1255</f>
      </c>
      <c r="H1256">
        <f>'R.M Billets Reports'!E1255</f>
      </c>
      <c r="I1256">
        <f>'R.M Billets Reports'!F1255</f>
      </c>
      <c r="J1256">
        <f>'R.M Billets Reports'!G1255</f>
      </c>
      <c r="K1256">
        <f>'R.M Billets Reports'!H1255</f>
      </c>
      <c r="L1256">
        <f>IF('R.M Billets Reports'!I1255="","",'R.M Billets Reports'!I1255)</f>
      </c>
      <c r="M1256">
        <f t="shared" si="38"/>
      </c>
      <c r="N1256">
        <f>IF('R.M Billets Reports'!J1255="","",'R.M Billets Reports'!J1255)</f>
      </c>
      <c r="O1256">
        <f t="shared" si="39"/>
      </c>
      <c r="P1256">
        <f>IF('R.M Billets Reports'!A1255="SIZE",'R.M Billets Reports'!B1255,P1255)</f>
      </c>
    </row>
    <row r="1257" spans="1:16" x14ac:dyDescent="0.25">
      <c r="A1257">
        <f>IF(OR('R.M Billets Reports'!A1256="Date-",'R.M Billets Reports'!A1256="Date:-"),IF(IF(IF(ISNUMBER(SEARCH("Party Name:-",'R.M Billets Reports'!D1256)),TRIM('R.M Billets Reports'!F1256),IF(ISNUMBER(SEARCH("Party Name-",'R.M Billets Reports'!D1256)),TRIM(MID('R.M Billets Reports'!D1256,SEARCH("-",'R.M Billets Reports'!D1256)+1,200)),""))&lt;&gt;"",IF(ISNUMBER(SEARCH("Party Name:-",'R.M Billets Reports'!D1256)),TRIM('R.M Billets Reports'!F1256),IF(ISNUMBER(SEARCH("Party Name-",'R.M Billets Reports'!D1256)),TRIM(MID('R.M Billets Reports'!D1256,SEARCH("-",'R.M Billets Reports'!D1256)+1,200)),"")),IF(ISNUMBER(SEARCH("Party Name:-",'R.M Billets Reports'!D1257)),TRIM('R.M Billets Reports'!F1257),IF(ISNUMBER(SEARCH("Party Name-",'R.M Billets Reports'!D1257)),TRIM(MID('R.M Billets Reports'!D1257,SEARCH("-",'R.M Billets Reports'!D1257)+1,200)),"")))="VRKP ISPAT PVT LTD","VRKP",IF(IF(IF(ISNUMBER(SEARCH("Party Name:-",'R.M Billets Reports'!D1256)),TRIM('R.M Billets Reports'!F1256),IF(ISNUMBER(SEARCH("Party Name-",'R.M Billets Reports'!D1256)),TRIM(MID('R.M Billets Reports'!D1256,SEARCH("-",'R.M Billets Reports'!D1256)+1,200)),""))&lt;&gt;"",IF(ISNUMBER(SEARCH("Party Name:-",'R.M Billets Reports'!D1256)),TRIM('R.M Billets Reports'!F1256),IF(ISNUMBER(SEARCH("Party Name-",'R.M Billets Reports'!D1256)),TRIM(MID('R.M Billets Reports'!D1256,SEARCH("-",'R.M Billets Reports'!D1256)+1,200)),"")),IF(ISNUMBER(SEARCH("Party Name:-",'R.M Billets Reports'!D1257)),TRIM('R.M Billets Reports'!F1257),IF(ISNUMBER(SEARCH("Party Name-",'R.M Billets Reports'!D1257)),TRIM(MID('R.M Billets Reports'!D1257,SEARCH("-",'R.M Billets Reports'!D1257)+1,200)),"")))="SHRI RADHE","SHREE RADHE",IF(IF(IF(ISNUMBER(SEARCH("Party Name:-",'R.M Billets Reports'!D1256)),TRIM('R.M Billets Reports'!F1256),IF(ISNUMBER(SEARCH("Party Name-",'R.M Billets Reports'!D1256)),TRIM(MID('R.M Billets Reports'!D1256,SEARCH("-",'R.M Billets Reports'!D1256)+1,200)),""))&lt;&gt;"",IF(ISNUMBER(SEARCH("Party Name:-",'R.M Billets Reports'!D1256)),TRIM('R.M Billets Reports'!F1256),IF(ISNUMBER(SEARCH("Party Name-",'R.M Billets Reports'!D1256)),TRIM(MID('R.M Billets Reports'!D1256,SEARCH("-",'R.M Billets Reports'!D1256)+1,200)),"")),IF(ISNUMBER(SEARCH("Party Name:-",'R.M Billets Reports'!D1257)),TRIM('R.M Billets Reports'!F1257),IF(ISNUMBER(SEARCH("Party Name-",'R.M Billets Reports'!D1257)),TRIM(MID('R.M Billets Reports'!D1257,SEARCH("-",'R.M Billets Reports'!D1257)+1,200)),"")))="SHREE RADHE SHAKTI SPONGE AND POWER PVT. LTD.","SHREE RADHE",IF(IF(ISNUMBER(SEARCH("Party Name:-",'R.M Billets Reports'!D1256)),TRIM('R.M Billets Reports'!F1256),IF(ISNUMBER(SEARCH("Party Name-",'R.M Billets Reports'!D1256)),TRIM(MID('R.M Billets Reports'!D1256,SEARCH("-",'R.M Billets Reports'!D1256)+1,200)),""))&lt;&gt;"",IF(ISNUMBER(SEARCH("Party Name:-",'R.M Billets Reports'!D1256)),TRIM('R.M Billets Reports'!F1256),IF(ISNUMBER(SEARCH("Party Name-",'R.M Billets Reports'!D1256)),TRIM(MID('R.M Billets Reports'!D1256,SEARCH("-",'R.M Billets Reports'!D1256)+1,200)),"")),IF(ISNUMBER(SEARCH("Party Name:-",'R.M Billets Reports'!D1257)),TRIM('R.M Billets Reports'!F1257),IF(ISNUMBER(SEARCH("Party Name-",'R.M Billets Reports'!D1257)),TRIM(MID('R.M Billets Reports'!D1257,SEARCH("-",'R.M Billets Reports'!D1257)+1,200)),"")))))),IF(ROW()=2,"",A1256))</f>
      </c>
      <c r="B1257">
        <f>IF(OR('R.M Billets Reports'!A1256="Date-",'R.M Billets Reports'!A1256="Date:-"),'R.M Billets Reports'!B1256,IF(ROW()=2,"",B1256))</f>
      </c>
      <c r="C1257">
        <f>IF('R.M Billets Reports'!A1256="V.No.",'R.M Billets Reports'!B1256,IF(ROW()=2,"",C1256))</f>
      </c>
      <c r="D1257">
        <f>IF('R.M Billets Reports'!A1256&lt;&gt;"",'R.M Billets Reports'!A1256,IF(ROW()=2,"",D1256))</f>
      </c>
      <c r="E1257">
        <f>IF('R.M Billets Reports'!B1256="","",TRIM('R.M Billets Reports'!B1256))</f>
      </c>
      <c r="F1257">
        <f>'R.M Billets Reports'!C1256</f>
      </c>
      <c r="G1257">
        <f>'R.M Billets Reports'!D1256</f>
      </c>
      <c r="H1257">
        <f>'R.M Billets Reports'!E1256</f>
      </c>
      <c r="I1257">
        <f>'R.M Billets Reports'!F1256</f>
      </c>
      <c r="J1257">
        <f>'R.M Billets Reports'!G1256</f>
      </c>
      <c r="K1257">
        <f>'R.M Billets Reports'!H1256</f>
      </c>
      <c r="L1257">
        <f>IF('R.M Billets Reports'!I1256="","",'R.M Billets Reports'!I1256)</f>
      </c>
      <c r="M1257">
        <f t="shared" si="38"/>
      </c>
      <c r="N1257">
        <f>IF('R.M Billets Reports'!J1256="","",'R.M Billets Reports'!J1256)</f>
      </c>
      <c r="O1257">
        <f t="shared" si="39"/>
      </c>
      <c r="P1257">
        <f>IF('R.M Billets Reports'!A1256="SIZE",'R.M Billets Reports'!B1256,P1256)</f>
      </c>
    </row>
    <row r="1258" spans="1:16" x14ac:dyDescent="0.25">
      <c r="A1258">
        <f>IF(OR('R.M Billets Reports'!A1257="Date-",'R.M Billets Reports'!A1257="Date:-"),IF(IF(IF(ISNUMBER(SEARCH("Party Name:-",'R.M Billets Reports'!D1257)),TRIM('R.M Billets Reports'!F1257),IF(ISNUMBER(SEARCH("Party Name-",'R.M Billets Reports'!D1257)),TRIM(MID('R.M Billets Reports'!D1257,SEARCH("-",'R.M Billets Reports'!D1257)+1,200)),""))&lt;&gt;"",IF(ISNUMBER(SEARCH("Party Name:-",'R.M Billets Reports'!D1257)),TRIM('R.M Billets Reports'!F1257),IF(ISNUMBER(SEARCH("Party Name-",'R.M Billets Reports'!D1257)),TRIM(MID('R.M Billets Reports'!D1257,SEARCH("-",'R.M Billets Reports'!D1257)+1,200)),"")),IF(ISNUMBER(SEARCH("Party Name:-",'R.M Billets Reports'!D1258)),TRIM('R.M Billets Reports'!F1258),IF(ISNUMBER(SEARCH("Party Name-",'R.M Billets Reports'!D1258)),TRIM(MID('R.M Billets Reports'!D1258,SEARCH("-",'R.M Billets Reports'!D1258)+1,200)),"")))="VRKP ISPAT PVT LTD","VRKP",IF(IF(IF(ISNUMBER(SEARCH("Party Name:-",'R.M Billets Reports'!D1257)),TRIM('R.M Billets Reports'!F1257),IF(ISNUMBER(SEARCH("Party Name-",'R.M Billets Reports'!D1257)),TRIM(MID('R.M Billets Reports'!D1257,SEARCH("-",'R.M Billets Reports'!D1257)+1,200)),""))&lt;&gt;"",IF(ISNUMBER(SEARCH("Party Name:-",'R.M Billets Reports'!D1257)),TRIM('R.M Billets Reports'!F1257),IF(ISNUMBER(SEARCH("Party Name-",'R.M Billets Reports'!D1257)),TRIM(MID('R.M Billets Reports'!D1257,SEARCH("-",'R.M Billets Reports'!D1257)+1,200)),"")),IF(ISNUMBER(SEARCH("Party Name:-",'R.M Billets Reports'!D1258)),TRIM('R.M Billets Reports'!F1258),IF(ISNUMBER(SEARCH("Party Name-",'R.M Billets Reports'!D1258)),TRIM(MID('R.M Billets Reports'!D1258,SEARCH("-",'R.M Billets Reports'!D1258)+1,200)),"")))="SHRI RADHE","SHREE RADHE",IF(IF(IF(ISNUMBER(SEARCH("Party Name:-",'R.M Billets Reports'!D1257)),TRIM('R.M Billets Reports'!F1257),IF(ISNUMBER(SEARCH("Party Name-",'R.M Billets Reports'!D1257)),TRIM(MID('R.M Billets Reports'!D1257,SEARCH("-",'R.M Billets Reports'!D1257)+1,200)),""))&lt;&gt;"",IF(ISNUMBER(SEARCH("Party Name:-",'R.M Billets Reports'!D1257)),TRIM('R.M Billets Reports'!F1257),IF(ISNUMBER(SEARCH("Party Name-",'R.M Billets Reports'!D1257)),TRIM(MID('R.M Billets Reports'!D1257,SEARCH("-",'R.M Billets Reports'!D1257)+1,200)),"")),IF(ISNUMBER(SEARCH("Party Name:-",'R.M Billets Reports'!D1258)),TRIM('R.M Billets Reports'!F1258),IF(ISNUMBER(SEARCH("Party Name-",'R.M Billets Reports'!D1258)),TRIM(MID('R.M Billets Reports'!D1258,SEARCH("-",'R.M Billets Reports'!D1258)+1,200)),"")))="SHREE RADHE SHAKTI SPONGE AND POWER PVT. LTD.","SHREE RADHE",IF(IF(ISNUMBER(SEARCH("Party Name:-",'R.M Billets Reports'!D1257)),TRIM('R.M Billets Reports'!F1257),IF(ISNUMBER(SEARCH("Party Name-",'R.M Billets Reports'!D1257)),TRIM(MID('R.M Billets Reports'!D1257,SEARCH("-",'R.M Billets Reports'!D1257)+1,200)),""))&lt;&gt;"",IF(ISNUMBER(SEARCH("Party Name:-",'R.M Billets Reports'!D1257)),TRIM('R.M Billets Reports'!F1257),IF(ISNUMBER(SEARCH("Party Name-",'R.M Billets Reports'!D1257)),TRIM(MID('R.M Billets Reports'!D1257,SEARCH("-",'R.M Billets Reports'!D1257)+1,200)),"")),IF(ISNUMBER(SEARCH("Party Name:-",'R.M Billets Reports'!D1258)),TRIM('R.M Billets Reports'!F1258),IF(ISNUMBER(SEARCH("Party Name-",'R.M Billets Reports'!D1258)),TRIM(MID('R.M Billets Reports'!D1258,SEARCH("-",'R.M Billets Reports'!D1258)+1,200)),"")))))),IF(ROW()=2,"",A1257))</f>
      </c>
      <c r="B1258">
        <f>IF(OR('R.M Billets Reports'!A1257="Date-",'R.M Billets Reports'!A1257="Date:-"),'R.M Billets Reports'!B1257,IF(ROW()=2,"",B1257))</f>
      </c>
      <c r="C1258">
        <f>IF('R.M Billets Reports'!A1257="V.No.",'R.M Billets Reports'!B1257,IF(ROW()=2,"",C1257))</f>
      </c>
      <c r="D1258">
        <f>IF('R.M Billets Reports'!A1257&lt;&gt;"",'R.M Billets Reports'!A1257,IF(ROW()=2,"",D1257))</f>
      </c>
      <c r="E1258">
        <f>IF('R.M Billets Reports'!B1257="","",TRIM('R.M Billets Reports'!B1257))</f>
      </c>
      <c r="F1258">
        <f>'R.M Billets Reports'!C1257</f>
      </c>
      <c r="G1258">
        <f>'R.M Billets Reports'!D1257</f>
      </c>
      <c r="H1258">
        <f>'R.M Billets Reports'!E1257</f>
      </c>
      <c r="I1258">
        <f>'R.M Billets Reports'!F1257</f>
      </c>
      <c r="J1258">
        <f>'R.M Billets Reports'!G1257</f>
      </c>
      <c r="K1258">
        <f>'R.M Billets Reports'!H1257</f>
      </c>
      <c r="L1258">
        <f>IF('R.M Billets Reports'!I1257="","",'R.M Billets Reports'!I1257)</f>
      </c>
      <c r="M1258">
        <f t="shared" si="38"/>
      </c>
      <c r="N1258">
        <f>IF('R.M Billets Reports'!J1257="","",'R.M Billets Reports'!J1257)</f>
      </c>
      <c r="O1258">
        <f t="shared" si="39"/>
      </c>
      <c r="P1258">
        <f>IF('R.M Billets Reports'!A1257="SIZE",'R.M Billets Reports'!B1257,P1257)</f>
      </c>
    </row>
    <row r="1259" spans="1:16" x14ac:dyDescent="0.25">
      <c r="A1259">
        <f>IF(OR('R.M Billets Reports'!A1258="Date-",'R.M Billets Reports'!A1258="Date:-"),IF(IF(IF(ISNUMBER(SEARCH("Party Name:-",'R.M Billets Reports'!D1258)),TRIM('R.M Billets Reports'!F1258),IF(ISNUMBER(SEARCH("Party Name-",'R.M Billets Reports'!D1258)),TRIM(MID('R.M Billets Reports'!D1258,SEARCH("-",'R.M Billets Reports'!D1258)+1,200)),""))&lt;&gt;"",IF(ISNUMBER(SEARCH("Party Name:-",'R.M Billets Reports'!D1258)),TRIM('R.M Billets Reports'!F1258),IF(ISNUMBER(SEARCH("Party Name-",'R.M Billets Reports'!D1258)),TRIM(MID('R.M Billets Reports'!D1258,SEARCH("-",'R.M Billets Reports'!D1258)+1,200)),"")),IF(ISNUMBER(SEARCH("Party Name:-",'R.M Billets Reports'!D1259)),TRIM('R.M Billets Reports'!F1259),IF(ISNUMBER(SEARCH("Party Name-",'R.M Billets Reports'!D1259)),TRIM(MID('R.M Billets Reports'!D1259,SEARCH("-",'R.M Billets Reports'!D1259)+1,200)),"")))="VRKP ISPAT PVT LTD","VRKP",IF(IF(IF(ISNUMBER(SEARCH("Party Name:-",'R.M Billets Reports'!D1258)),TRIM('R.M Billets Reports'!F1258),IF(ISNUMBER(SEARCH("Party Name-",'R.M Billets Reports'!D1258)),TRIM(MID('R.M Billets Reports'!D1258,SEARCH("-",'R.M Billets Reports'!D1258)+1,200)),""))&lt;&gt;"",IF(ISNUMBER(SEARCH("Party Name:-",'R.M Billets Reports'!D1258)),TRIM('R.M Billets Reports'!F1258),IF(ISNUMBER(SEARCH("Party Name-",'R.M Billets Reports'!D1258)),TRIM(MID('R.M Billets Reports'!D1258,SEARCH("-",'R.M Billets Reports'!D1258)+1,200)),"")),IF(ISNUMBER(SEARCH("Party Name:-",'R.M Billets Reports'!D1259)),TRIM('R.M Billets Reports'!F1259),IF(ISNUMBER(SEARCH("Party Name-",'R.M Billets Reports'!D1259)),TRIM(MID('R.M Billets Reports'!D1259,SEARCH("-",'R.M Billets Reports'!D1259)+1,200)),"")))="SHRI RADHE","SHREE RADHE",IF(IF(IF(ISNUMBER(SEARCH("Party Name:-",'R.M Billets Reports'!D1258)),TRIM('R.M Billets Reports'!F1258),IF(ISNUMBER(SEARCH("Party Name-",'R.M Billets Reports'!D1258)),TRIM(MID('R.M Billets Reports'!D1258,SEARCH("-",'R.M Billets Reports'!D1258)+1,200)),""))&lt;&gt;"",IF(ISNUMBER(SEARCH("Party Name:-",'R.M Billets Reports'!D1258)),TRIM('R.M Billets Reports'!F1258),IF(ISNUMBER(SEARCH("Party Name-",'R.M Billets Reports'!D1258)),TRIM(MID('R.M Billets Reports'!D1258,SEARCH("-",'R.M Billets Reports'!D1258)+1,200)),"")),IF(ISNUMBER(SEARCH("Party Name:-",'R.M Billets Reports'!D1259)),TRIM('R.M Billets Reports'!F1259),IF(ISNUMBER(SEARCH("Party Name-",'R.M Billets Reports'!D1259)),TRIM(MID('R.M Billets Reports'!D1259,SEARCH("-",'R.M Billets Reports'!D1259)+1,200)),"")))="SHREE RADHE SHAKTI SPONGE AND POWER PVT. LTD.","SHREE RADHE",IF(IF(ISNUMBER(SEARCH("Party Name:-",'R.M Billets Reports'!D1258)),TRIM('R.M Billets Reports'!F1258),IF(ISNUMBER(SEARCH("Party Name-",'R.M Billets Reports'!D1258)),TRIM(MID('R.M Billets Reports'!D1258,SEARCH("-",'R.M Billets Reports'!D1258)+1,200)),""))&lt;&gt;"",IF(ISNUMBER(SEARCH("Party Name:-",'R.M Billets Reports'!D1258)),TRIM('R.M Billets Reports'!F1258),IF(ISNUMBER(SEARCH("Party Name-",'R.M Billets Reports'!D1258)),TRIM(MID('R.M Billets Reports'!D1258,SEARCH("-",'R.M Billets Reports'!D1258)+1,200)),"")),IF(ISNUMBER(SEARCH("Party Name:-",'R.M Billets Reports'!D1259)),TRIM('R.M Billets Reports'!F1259),IF(ISNUMBER(SEARCH("Party Name-",'R.M Billets Reports'!D1259)),TRIM(MID('R.M Billets Reports'!D1259,SEARCH("-",'R.M Billets Reports'!D1259)+1,200)),"")))))),IF(ROW()=2,"",A1258))</f>
      </c>
      <c r="B1259">
        <f>IF(OR('R.M Billets Reports'!A1258="Date-",'R.M Billets Reports'!A1258="Date:-"),'R.M Billets Reports'!B1258,IF(ROW()=2,"",B1258))</f>
      </c>
      <c r="C1259">
        <f>IF('R.M Billets Reports'!A1258="V.No.",'R.M Billets Reports'!B1258,IF(ROW()=2,"",C1258))</f>
      </c>
      <c r="D1259">
        <f>IF('R.M Billets Reports'!A1258&lt;&gt;"",'R.M Billets Reports'!A1258,IF(ROW()=2,"",D1258))</f>
      </c>
      <c r="E1259">
        <f>IF('R.M Billets Reports'!B1258="","",TRIM('R.M Billets Reports'!B1258))</f>
      </c>
      <c r="F1259">
        <f>'R.M Billets Reports'!C1258</f>
      </c>
      <c r="G1259">
        <f>'R.M Billets Reports'!D1258</f>
      </c>
      <c r="H1259">
        <f>'R.M Billets Reports'!E1258</f>
      </c>
      <c r="I1259">
        <f>'R.M Billets Reports'!F1258</f>
      </c>
      <c r="J1259">
        <f>'R.M Billets Reports'!G1258</f>
      </c>
      <c r="K1259">
        <f>'R.M Billets Reports'!H1258</f>
      </c>
      <c r="L1259">
        <f>IF('R.M Billets Reports'!I1258="","",'R.M Billets Reports'!I1258)</f>
      </c>
      <c r="M1259">
        <f t="shared" si="38"/>
      </c>
      <c r="N1259">
        <f>IF('R.M Billets Reports'!J1258="","",'R.M Billets Reports'!J1258)</f>
      </c>
      <c r="O1259">
        <f t="shared" si="39"/>
      </c>
      <c r="P1259">
        <f>IF('R.M Billets Reports'!A1258="SIZE",'R.M Billets Reports'!B1258,P1258)</f>
      </c>
    </row>
    <row r="1260" spans="1:16" x14ac:dyDescent="0.25">
      <c r="A1260">
        <f>IF(OR('R.M Billets Reports'!A1259="Date-",'R.M Billets Reports'!A1259="Date:-"),IF(IF(IF(ISNUMBER(SEARCH("Party Name:-",'R.M Billets Reports'!D1259)),TRIM('R.M Billets Reports'!F1259),IF(ISNUMBER(SEARCH("Party Name-",'R.M Billets Reports'!D1259)),TRIM(MID('R.M Billets Reports'!D1259,SEARCH("-",'R.M Billets Reports'!D1259)+1,200)),""))&lt;&gt;"",IF(ISNUMBER(SEARCH("Party Name:-",'R.M Billets Reports'!D1259)),TRIM('R.M Billets Reports'!F1259),IF(ISNUMBER(SEARCH("Party Name-",'R.M Billets Reports'!D1259)),TRIM(MID('R.M Billets Reports'!D1259,SEARCH("-",'R.M Billets Reports'!D1259)+1,200)),"")),IF(ISNUMBER(SEARCH("Party Name:-",'R.M Billets Reports'!D1260)),TRIM('R.M Billets Reports'!F1260),IF(ISNUMBER(SEARCH("Party Name-",'R.M Billets Reports'!D1260)),TRIM(MID('R.M Billets Reports'!D1260,SEARCH("-",'R.M Billets Reports'!D1260)+1,200)),"")))="VRKP ISPAT PVT LTD","VRKP",IF(IF(IF(ISNUMBER(SEARCH("Party Name:-",'R.M Billets Reports'!D1259)),TRIM('R.M Billets Reports'!F1259),IF(ISNUMBER(SEARCH("Party Name-",'R.M Billets Reports'!D1259)),TRIM(MID('R.M Billets Reports'!D1259,SEARCH("-",'R.M Billets Reports'!D1259)+1,200)),""))&lt;&gt;"",IF(ISNUMBER(SEARCH("Party Name:-",'R.M Billets Reports'!D1259)),TRIM('R.M Billets Reports'!F1259),IF(ISNUMBER(SEARCH("Party Name-",'R.M Billets Reports'!D1259)),TRIM(MID('R.M Billets Reports'!D1259,SEARCH("-",'R.M Billets Reports'!D1259)+1,200)),"")),IF(ISNUMBER(SEARCH("Party Name:-",'R.M Billets Reports'!D1260)),TRIM('R.M Billets Reports'!F1260),IF(ISNUMBER(SEARCH("Party Name-",'R.M Billets Reports'!D1260)),TRIM(MID('R.M Billets Reports'!D1260,SEARCH("-",'R.M Billets Reports'!D1260)+1,200)),"")))="SHRI RADHE","SHREE RADHE",IF(IF(IF(ISNUMBER(SEARCH("Party Name:-",'R.M Billets Reports'!D1259)),TRIM('R.M Billets Reports'!F1259),IF(ISNUMBER(SEARCH("Party Name-",'R.M Billets Reports'!D1259)),TRIM(MID('R.M Billets Reports'!D1259,SEARCH("-",'R.M Billets Reports'!D1259)+1,200)),""))&lt;&gt;"",IF(ISNUMBER(SEARCH("Party Name:-",'R.M Billets Reports'!D1259)),TRIM('R.M Billets Reports'!F1259),IF(ISNUMBER(SEARCH("Party Name-",'R.M Billets Reports'!D1259)),TRIM(MID('R.M Billets Reports'!D1259,SEARCH("-",'R.M Billets Reports'!D1259)+1,200)),"")),IF(ISNUMBER(SEARCH("Party Name:-",'R.M Billets Reports'!D1260)),TRIM('R.M Billets Reports'!F1260),IF(ISNUMBER(SEARCH("Party Name-",'R.M Billets Reports'!D1260)),TRIM(MID('R.M Billets Reports'!D1260,SEARCH("-",'R.M Billets Reports'!D1260)+1,200)),"")))="SHREE RADHE SHAKTI SPONGE AND POWER PVT. LTD.","SHREE RADHE",IF(IF(ISNUMBER(SEARCH("Party Name:-",'R.M Billets Reports'!D1259)),TRIM('R.M Billets Reports'!F1259),IF(ISNUMBER(SEARCH("Party Name-",'R.M Billets Reports'!D1259)),TRIM(MID('R.M Billets Reports'!D1259,SEARCH("-",'R.M Billets Reports'!D1259)+1,200)),""))&lt;&gt;"",IF(ISNUMBER(SEARCH("Party Name:-",'R.M Billets Reports'!D1259)),TRIM('R.M Billets Reports'!F1259),IF(ISNUMBER(SEARCH("Party Name-",'R.M Billets Reports'!D1259)),TRIM(MID('R.M Billets Reports'!D1259,SEARCH("-",'R.M Billets Reports'!D1259)+1,200)),"")),IF(ISNUMBER(SEARCH("Party Name:-",'R.M Billets Reports'!D1260)),TRIM('R.M Billets Reports'!F1260),IF(ISNUMBER(SEARCH("Party Name-",'R.M Billets Reports'!D1260)),TRIM(MID('R.M Billets Reports'!D1260,SEARCH("-",'R.M Billets Reports'!D1260)+1,200)),"")))))),IF(ROW()=2,"",A1259))</f>
      </c>
      <c r="B1260">
        <f>IF(OR('R.M Billets Reports'!A1259="Date-",'R.M Billets Reports'!A1259="Date:-"),'R.M Billets Reports'!B1259,IF(ROW()=2,"",B1259))</f>
      </c>
      <c r="C1260">
        <f>IF('R.M Billets Reports'!A1259="V.No.",'R.M Billets Reports'!B1259,IF(ROW()=2,"",C1259))</f>
      </c>
      <c r="D1260">
        <f>IF('R.M Billets Reports'!A1259&lt;&gt;"",'R.M Billets Reports'!A1259,IF(ROW()=2,"",D1259))</f>
      </c>
      <c r="E1260">
        <f>IF('R.M Billets Reports'!B1259="","",TRIM('R.M Billets Reports'!B1259))</f>
      </c>
      <c r="F1260">
        <f>'R.M Billets Reports'!C1259</f>
      </c>
      <c r="G1260">
        <f>'R.M Billets Reports'!D1259</f>
      </c>
      <c r="H1260">
        <f>'R.M Billets Reports'!E1259</f>
      </c>
      <c r="I1260">
        <f>'R.M Billets Reports'!F1259</f>
      </c>
      <c r="J1260">
        <f>'R.M Billets Reports'!G1259</f>
      </c>
      <c r="K1260">
        <f>'R.M Billets Reports'!H1259</f>
      </c>
      <c r="L1260">
        <f>IF('R.M Billets Reports'!I1259="","",'R.M Billets Reports'!I1259)</f>
      </c>
      <c r="M1260">
        <f t="shared" si="38"/>
      </c>
      <c r="N1260">
        <f>IF('R.M Billets Reports'!J1259="","",'R.M Billets Reports'!J1259)</f>
      </c>
      <c r="O1260">
        <f t="shared" si="39"/>
      </c>
      <c r="P1260">
        <f>IF('R.M Billets Reports'!A1259="SIZE",'R.M Billets Reports'!B1259,P1259)</f>
      </c>
    </row>
    <row r="1261" spans="1:16" x14ac:dyDescent="0.25">
      <c r="A1261">
        <f>IF(OR('R.M Billets Reports'!A1260="Date-",'R.M Billets Reports'!A1260="Date:-"),IF(IF(IF(ISNUMBER(SEARCH("Party Name:-",'R.M Billets Reports'!D1260)),TRIM('R.M Billets Reports'!F1260),IF(ISNUMBER(SEARCH("Party Name-",'R.M Billets Reports'!D1260)),TRIM(MID('R.M Billets Reports'!D1260,SEARCH("-",'R.M Billets Reports'!D1260)+1,200)),""))&lt;&gt;"",IF(ISNUMBER(SEARCH("Party Name:-",'R.M Billets Reports'!D1260)),TRIM('R.M Billets Reports'!F1260),IF(ISNUMBER(SEARCH("Party Name-",'R.M Billets Reports'!D1260)),TRIM(MID('R.M Billets Reports'!D1260,SEARCH("-",'R.M Billets Reports'!D1260)+1,200)),"")),IF(ISNUMBER(SEARCH("Party Name:-",'R.M Billets Reports'!D1261)),TRIM('R.M Billets Reports'!F1261),IF(ISNUMBER(SEARCH("Party Name-",'R.M Billets Reports'!D1261)),TRIM(MID('R.M Billets Reports'!D1261,SEARCH("-",'R.M Billets Reports'!D1261)+1,200)),"")))="VRKP ISPAT PVT LTD","VRKP",IF(IF(IF(ISNUMBER(SEARCH("Party Name:-",'R.M Billets Reports'!D1260)),TRIM('R.M Billets Reports'!F1260),IF(ISNUMBER(SEARCH("Party Name-",'R.M Billets Reports'!D1260)),TRIM(MID('R.M Billets Reports'!D1260,SEARCH("-",'R.M Billets Reports'!D1260)+1,200)),""))&lt;&gt;"",IF(ISNUMBER(SEARCH("Party Name:-",'R.M Billets Reports'!D1260)),TRIM('R.M Billets Reports'!F1260),IF(ISNUMBER(SEARCH("Party Name-",'R.M Billets Reports'!D1260)),TRIM(MID('R.M Billets Reports'!D1260,SEARCH("-",'R.M Billets Reports'!D1260)+1,200)),"")),IF(ISNUMBER(SEARCH("Party Name:-",'R.M Billets Reports'!D1261)),TRIM('R.M Billets Reports'!F1261),IF(ISNUMBER(SEARCH("Party Name-",'R.M Billets Reports'!D1261)),TRIM(MID('R.M Billets Reports'!D1261,SEARCH("-",'R.M Billets Reports'!D1261)+1,200)),"")))="SHRI RADHE","SHREE RADHE",IF(IF(IF(ISNUMBER(SEARCH("Party Name:-",'R.M Billets Reports'!D1260)),TRIM('R.M Billets Reports'!F1260),IF(ISNUMBER(SEARCH("Party Name-",'R.M Billets Reports'!D1260)),TRIM(MID('R.M Billets Reports'!D1260,SEARCH("-",'R.M Billets Reports'!D1260)+1,200)),""))&lt;&gt;"",IF(ISNUMBER(SEARCH("Party Name:-",'R.M Billets Reports'!D1260)),TRIM('R.M Billets Reports'!F1260),IF(ISNUMBER(SEARCH("Party Name-",'R.M Billets Reports'!D1260)),TRIM(MID('R.M Billets Reports'!D1260,SEARCH("-",'R.M Billets Reports'!D1260)+1,200)),"")),IF(ISNUMBER(SEARCH("Party Name:-",'R.M Billets Reports'!D1261)),TRIM('R.M Billets Reports'!F1261),IF(ISNUMBER(SEARCH("Party Name-",'R.M Billets Reports'!D1261)),TRIM(MID('R.M Billets Reports'!D1261,SEARCH("-",'R.M Billets Reports'!D1261)+1,200)),"")))="SHREE RADHE SHAKTI SPONGE AND POWER PVT. LTD.","SHREE RADHE",IF(IF(ISNUMBER(SEARCH("Party Name:-",'R.M Billets Reports'!D1260)),TRIM('R.M Billets Reports'!F1260),IF(ISNUMBER(SEARCH("Party Name-",'R.M Billets Reports'!D1260)),TRIM(MID('R.M Billets Reports'!D1260,SEARCH("-",'R.M Billets Reports'!D1260)+1,200)),""))&lt;&gt;"",IF(ISNUMBER(SEARCH("Party Name:-",'R.M Billets Reports'!D1260)),TRIM('R.M Billets Reports'!F1260),IF(ISNUMBER(SEARCH("Party Name-",'R.M Billets Reports'!D1260)),TRIM(MID('R.M Billets Reports'!D1260,SEARCH("-",'R.M Billets Reports'!D1260)+1,200)),"")),IF(ISNUMBER(SEARCH("Party Name:-",'R.M Billets Reports'!D1261)),TRIM('R.M Billets Reports'!F1261),IF(ISNUMBER(SEARCH("Party Name-",'R.M Billets Reports'!D1261)),TRIM(MID('R.M Billets Reports'!D1261,SEARCH("-",'R.M Billets Reports'!D1261)+1,200)),"")))))),IF(ROW()=2,"",A1260))</f>
      </c>
      <c r="B1261">
        <f>IF(OR('R.M Billets Reports'!A1260="Date-",'R.M Billets Reports'!A1260="Date:-"),'R.M Billets Reports'!B1260,IF(ROW()=2,"",B1260))</f>
      </c>
      <c r="C1261">
        <f>IF('R.M Billets Reports'!A1260="V.No.",'R.M Billets Reports'!B1260,IF(ROW()=2,"",C1260))</f>
      </c>
      <c r="D1261">
        <f>IF('R.M Billets Reports'!A1260&lt;&gt;"",'R.M Billets Reports'!A1260,IF(ROW()=2,"",D1260))</f>
      </c>
      <c r="E1261">
        <f>IF('R.M Billets Reports'!B1260="","",TRIM('R.M Billets Reports'!B1260))</f>
      </c>
      <c r="F1261">
        <f>'R.M Billets Reports'!C1260</f>
      </c>
      <c r="G1261">
        <f>'R.M Billets Reports'!D1260</f>
      </c>
      <c r="H1261">
        <f>'R.M Billets Reports'!E1260</f>
      </c>
      <c r="I1261">
        <f>'R.M Billets Reports'!F1260</f>
      </c>
      <c r="J1261">
        <f>'R.M Billets Reports'!G1260</f>
      </c>
      <c r="K1261">
        <f>'R.M Billets Reports'!H1260</f>
      </c>
      <c r="L1261">
        <f>IF('R.M Billets Reports'!I1260="","",'R.M Billets Reports'!I1260)</f>
      </c>
      <c r="M1261">
        <f t="shared" si="38"/>
      </c>
      <c r="N1261">
        <f>IF('R.M Billets Reports'!J1260="","",'R.M Billets Reports'!J1260)</f>
      </c>
      <c r="O1261">
        <f t="shared" si="39"/>
      </c>
      <c r="P1261">
        <f>IF('R.M Billets Reports'!A1260="SIZE",'R.M Billets Reports'!B1260,P1260)</f>
      </c>
    </row>
    <row r="1262" spans="1:16" x14ac:dyDescent="0.25">
      <c r="A1262">
        <f>IF(OR('R.M Billets Reports'!A1261="Date-",'R.M Billets Reports'!A1261="Date:-"),IF(IF(IF(ISNUMBER(SEARCH("Party Name:-",'R.M Billets Reports'!D1261)),TRIM('R.M Billets Reports'!F1261),IF(ISNUMBER(SEARCH("Party Name-",'R.M Billets Reports'!D1261)),TRIM(MID('R.M Billets Reports'!D1261,SEARCH("-",'R.M Billets Reports'!D1261)+1,200)),""))&lt;&gt;"",IF(ISNUMBER(SEARCH("Party Name:-",'R.M Billets Reports'!D1261)),TRIM('R.M Billets Reports'!F1261),IF(ISNUMBER(SEARCH("Party Name-",'R.M Billets Reports'!D1261)),TRIM(MID('R.M Billets Reports'!D1261,SEARCH("-",'R.M Billets Reports'!D1261)+1,200)),"")),IF(ISNUMBER(SEARCH("Party Name:-",'R.M Billets Reports'!D1262)),TRIM('R.M Billets Reports'!F1262),IF(ISNUMBER(SEARCH("Party Name-",'R.M Billets Reports'!D1262)),TRIM(MID('R.M Billets Reports'!D1262,SEARCH("-",'R.M Billets Reports'!D1262)+1,200)),"")))="VRKP ISPAT PVT LTD","VRKP",IF(IF(IF(ISNUMBER(SEARCH("Party Name:-",'R.M Billets Reports'!D1261)),TRIM('R.M Billets Reports'!F1261),IF(ISNUMBER(SEARCH("Party Name-",'R.M Billets Reports'!D1261)),TRIM(MID('R.M Billets Reports'!D1261,SEARCH("-",'R.M Billets Reports'!D1261)+1,200)),""))&lt;&gt;"",IF(ISNUMBER(SEARCH("Party Name:-",'R.M Billets Reports'!D1261)),TRIM('R.M Billets Reports'!F1261),IF(ISNUMBER(SEARCH("Party Name-",'R.M Billets Reports'!D1261)),TRIM(MID('R.M Billets Reports'!D1261,SEARCH("-",'R.M Billets Reports'!D1261)+1,200)),"")),IF(ISNUMBER(SEARCH("Party Name:-",'R.M Billets Reports'!D1262)),TRIM('R.M Billets Reports'!F1262),IF(ISNUMBER(SEARCH("Party Name-",'R.M Billets Reports'!D1262)),TRIM(MID('R.M Billets Reports'!D1262,SEARCH("-",'R.M Billets Reports'!D1262)+1,200)),"")))="SHRI RADHE","SHREE RADHE",IF(IF(IF(ISNUMBER(SEARCH("Party Name:-",'R.M Billets Reports'!D1261)),TRIM('R.M Billets Reports'!F1261),IF(ISNUMBER(SEARCH("Party Name-",'R.M Billets Reports'!D1261)),TRIM(MID('R.M Billets Reports'!D1261,SEARCH("-",'R.M Billets Reports'!D1261)+1,200)),""))&lt;&gt;"",IF(ISNUMBER(SEARCH("Party Name:-",'R.M Billets Reports'!D1261)),TRIM('R.M Billets Reports'!F1261),IF(ISNUMBER(SEARCH("Party Name-",'R.M Billets Reports'!D1261)),TRIM(MID('R.M Billets Reports'!D1261,SEARCH("-",'R.M Billets Reports'!D1261)+1,200)),"")),IF(ISNUMBER(SEARCH("Party Name:-",'R.M Billets Reports'!D1262)),TRIM('R.M Billets Reports'!F1262),IF(ISNUMBER(SEARCH("Party Name-",'R.M Billets Reports'!D1262)),TRIM(MID('R.M Billets Reports'!D1262,SEARCH("-",'R.M Billets Reports'!D1262)+1,200)),"")))="SHREE RADHE SHAKTI SPONGE AND POWER PVT. LTD.","SHREE RADHE",IF(IF(ISNUMBER(SEARCH("Party Name:-",'R.M Billets Reports'!D1261)),TRIM('R.M Billets Reports'!F1261),IF(ISNUMBER(SEARCH("Party Name-",'R.M Billets Reports'!D1261)),TRIM(MID('R.M Billets Reports'!D1261,SEARCH("-",'R.M Billets Reports'!D1261)+1,200)),""))&lt;&gt;"",IF(ISNUMBER(SEARCH("Party Name:-",'R.M Billets Reports'!D1261)),TRIM('R.M Billets Reports'!F1261),IF(ISNUMBER(SEARCH("Party Name-",'R.M Billets Reports'!D1261)),TRIM(MID('R.M Billets Reports'!D1261,SEARCH("-",'R.M Billets Reports'!D1261)+1,200)),"")),IF(ISNUMBER(SEARCH("Party Name:-",'R.M Billets Reports'!D1262)),TRIM('R.M Billets Reports'!F1262),IF(ISNUMBER(SEARCH("Party Name-",'R.M Billets Reports'!D1262)),TRIM(MID('R.M Billets Reports'!D1262,SEARCH("-",'R.M Billets Reports'!D1262)+1,200)),"")))))),IF(ROW()=2,"",A1261))</f>
      </c>
      <c r="B1262">
        <f>IF(OR('R.M Billets Reports'!A1261="Date-",'R.M Billets Reports'!A1261="Date:-"),'R.M Billets Reports'!B1261,IF(ROW()=2,"",B1261))</f>
      </c>
      <c r="C1262">
        <f>IF('R.M Billets Reports'!A1261="V.No.",'R.M Billets Reports'!B1261,IF(ROW()=2,"",C1261))</f>
      </c>
      <c r="D1262">
        <f>IF('R.M Billets Reports'!A1261&lt;&gt;"",'R.M Billets Reports'!A1261,IF(ROW()=2,"",D1261))</f>
      </c>
      <c r="E1262">
        <f>IF('R.M Billets Reports'!B1261="","",TRIM('R.M Billets Reports'!B1261))</f>
      </c>
      <c r="F1262">
        <f>'R.M Billets Reports'!C1261</f>
      </c>
      <c r="G1262">
        <f>'R.M Billets Reports'!D1261</f>
      </c>
      <c r="H1262">
        <f>'R.M Billets Reports'!E1261</f>
      </c>
      <c r="I1262">
        <f>'R.M Billets Reports'!F1261</f>
      </c>
      <c r="J1262">
        <f>'R.M Billets Reports'!G1261</f>
      </c>
      <c r="K1262">
        <f>'R.M Billets Reports'!H1261</f>
      </c>
      <c r="L1262">
        <f>IF('R.M Billets Reports'!I1261="","",'R.M Billets Reports'!I1261)</f>
      </c>
      <c r="M1262">
        <f t="shared" si="38"/>
      </c>
      <c r="N1262">
        <f>IF('R.M Billets Reports'!J1261="","",'R.M Billets Reports'!J1261)</f>
      </c>
      <c r="O1262">
        <f t="shared" si="39"/>
      </c>
      <c r="P1262">
        <f>IF('R.M Billets Reports'!A1261="SIZE",'R.M Billets Reports'!B1261,P1261)</f>
      </c>
    </row>
    <row r="1263" spans="1:16" x14ac:dyDescent="0.25">
      <c r="A1263">
        <f>IF(OR('R.M Billets Reports'!A1262="Date-",'R.M Billets Reports'!A1262="Date:-"),IF(IF(IF(ISNUMBER(SEARCH("Party Name:-",'R.M Billets Reports'!D1262)),TRIM('R.M Billets Reports'!F1262),IF(ISNUMBER(SEARCH("Party Name-",'R.M Billets Reports'!D1262)),TRIM(MID('R.M Billets Reports'!D1262,SEARCH("-",'R.M Billets Reports'!D1262)+1,200)),""))&lt;&gt;"",IF(ISNUMBER(SEARCH("Party Name:-",'R.M Billets Reports'!D1262)),TRIM('R.M Billets Reports'!F1262),IF(ISNUMBER(SEARCH("Party Name-",'R.M Billets Reports'!D1262)),TRIM(MID('R.M Billets Reports'!D1262,SEARCH("-",'R.M Billets Reports'!D1262)+1,200)),"")),IF(ISNUMBER(SEARCH("Party Name:-",'R.M Billets Reports'!D1263)),TRIM('R.M Billets Reports'!F1263),IF(ISNUMBER(SEARCH("Party Name-",'R.M Billets Reports'!D1263)),TRIM(MID('R.M Billets Reports'!D1263,SEARCH("-",'R.M Billets Reports'!D1263)+1,200)),"")))="VRKP ISPAT PVT LTD","VRKP",IF(IF(IF(ISNUMBER(SEARCH("Party Name:-",'R.M Billets Reports'!D1262)),TRIM('R.M Billets Reports'!F1262),IF(ISNUMBER(SEARCH("Party Name-",'R.M Billets Reports'!D1262)),TRIM(MID('R.M Billets Reports'!D1262,SEARCH("-",'R.M Billets Reports'!D1262)+1,200)),""))&lt;&gt;"",IF(ISNUMBER(SEARCH("Party Name:-",'R.M Billets Reports'!D1262)),TRIM('R.M Billets Reports'!F1262),IF(ISNUMBER(SEARCH("Party Name-",'R.M Billets Reports'!D1262)),TRIM(MID('R.M Billets Reports'!D1262,SEARCH("-",'R.M Billets Reports'!D1262)+1,200)),"")),IF(ISNUMBER(SEARCH("Party Name:-",'R.M Billets Reports'!D1263)),TRIM('R.M Billets Reports'!F1263),IF(ISNUMBER(SEARCH("Party Name-",'R.M Billets Reports'!D1263)),TRIM(MID('R.M Billets Reports'!D1263,SEARCH("-",'R.M Billets Reports'!D1263)+1,200)),"")))="SHRI RADHE","SHREE RADHE",IF(IF(IF(ISNUMBER(SEARCH("Party Name:-",'R.M Billets Reports'!D1262)),TRIM('R.M Billets Reports'!F1262),IF(ISNUMBER(SEARCH("Party Name-",'R.M Billets Reports'!D1262)),TRIM(MID('R.M Billets Reports'!D1262,SEARCH("-",'R.M Billets Reports'!D1262)+1,200)),""))&lt;&gt;"",IF(ISNUMBER(SEARCH("Party Name:-",'R.M Billets Reports'!D1262)),TRIM('R.M Billets Reports'!F1262),IF(ISNUMBER(SEARCH("Party Name-",'R.M Billets Reports'!D1262)),TRIM(MID('R.M Billets Reports'!D1262,SEARCH("-",'R.M Billets Reports'!D1262)+1,200)),"")),IF(ISNUMBER(SEARCH("Party Name:-",'R.M Billets Reports'!D1263)),TRIM('R.M Billets Reports'!F1263),IF(ISNUMBER(SEARCH("Party Name-",'R.M Billets Reports'!D1263)),TRIM(MID('R.M Billets Reports'!D1263,SEARCH("-",'R.M Billets Reports'!D1263)+1,200)),"")))="SHREE RADHE SHAKTI SPONGE AND POWER PVT. LTD.","SHREE RADHE",IF(IF(ISNUMBER(SEARCH("Party Name:-",'R.M Billets Reports'!D1262)),TRIM('R.M Billets Reports'!F1262),IF(ISNUMBER(SEARCH("Party Name-",'R.M Billets Reports'!D1262)),TRIM(MID('R.M Billets Reports'!D1262,SEARCH("-",'R.M Billets Reports'!D1262)+1,200)),""))&lt;&gt;"",IF(ISNUMBER(SEARCH("Party Name:-",'R.M Billets Reports'!D1262)),TRIM('R.M Billets Reports'!F1262),IF(ISNUMBER(SEARCH("Party Name-",'R.M Billets Reports'!D1262)),TRIM(MID('R.M Billets Reports'!D1262,SEARCH("-",'R.M Billets Reports'!D1262)+1,200)),"")),IF(ISNUMBER(SEARCH("Party Name:-",'R.M Billets Reports'!D1263)),TRIM('R.M Billets Reports'!F1263),IF(ISNUMBER(SEARCH("Party Name-",'R.M Billets Reports'!D1263)),TRIM(MID('R.M Billets Reports'!D1263,SEARCH("-",'R.M Billets Reports'!D1263)+1,200)),"")))))),IF(ROW()=2,"",A1262))</f>
      </c>
      <c r="B1263">
        <f>IF(OR('R.M Billets Reports'!A1262="Date-",'R.M Billets Reports'!A1262="Date:-"),'R.M Billets Reports'!B1262,IF(ROW()=2,"",B1262))</f>
      </c>
      <c r="C1263">
        <f>IF('R.M Billets Reports'!A1262="V.No.",'R.M Billets Reports'!B1262,IF(ROW()=2,"",C1262))</f>
      </c>
      <c r="D1263">
        <f>IF('R.M Billets Reports'!A1262&lt;&gt;"",'R.M Billets Reports'!A1262,IF(ROW()=2,"",D1262))</f>
      </c>
      <c r="E1263">
        <f>IF('R.M Billets Reports'!B1262="","",TRIM('R.M Billets Reports'!B1262))</f>
      </c>
      <c r="F1263">
        <f>'R.M Billets Reports'!C1262</f>
      </c>
      <c r="G1263">
        <f>'R.M Billets Reports'!D1262</f>
      </c>
      <c r="H1263">
        <f>'R.M Billets Reports'!E1262</f>
      </c>
      <c r="I1263">
        <f>'R.M Billets Reports'!F1262</f>
      </c>
      <c r="J1263">
        <f>'R.M Billets Reports'!G1262</f>
      </c>
      <c r="K1263">
        <f>'R.M Billets Reports'!H1262</f>
      </c>
      <c r="L1263">
        <f>IF('R.M Billets Reports'!I1262="","",'R.M Billets Reports'!I1262)</f>
      </c>
      <c r="M1263">
        <f t="shared" si="38"/>
      </c>
      <c r="N1263">
        <f>IF('R.M Billets Reports'!J1262="","",'R.M Billets Reports'!J1262)</f>
      </c>
      <c r="O1263">
        <f t="shared" si="39"/>
      </c>
      <c r="P1263">
        <f>IF('R.M Billets Reports'!A1262="SIZE",'R.M Billets Reports'!B1262,P1262)</f>
      </c>
    </row>
    <row r="1264" spans="1:16" x14ac:dyDescent="0.25">
      <c r="A1264">
        <f>IF(OR('R.M Billets Reports'!A1263="Date-",'R.M Billets Reports'!A1263="Date:-"),IF(IF(IF(ISNUMBER(SEARCH("Party Name:-",'R.M Billets Reports'!D1263)),TRIM('R.M Billets Reports'!F1263),IF(ISNUMBER(SEARCH("Party Name-",'R.M Billets Reports'!D1263)),TRIM(MID('R.M Billets Reports'!D1263,SEARCH("-",'R.M Billets Reports'!D1263)+1,200)),""))&lt;&gt;"",IF(ISNUMBER(SEARCH("Party Name:-",'R.M Billets Reports'!D1263)),TRIM('R.M Billets Reports'!F1263),IF(ISNUMBER(SEARCH("Party Name-",'R.M Billets Reports'!D1263)),TRIM(MID('R.M Billets Reports'!D1263,SEARCH("-",'R.M Billets Reports'!D1263)+1,200)),"")),IF(ISNUMBER(SEARCH("Party Name:-",'R.M Billets Reports'!D1264)),TRIM('R.M Billets Reports'!F1264),IF(ISNUMBER(SEARCH("Party Name-",'R.M Billets Reports'!D1264)),TRIM(MID('R.M Billets Reports'!D1264,SEARCH("-",'R.M Billets Reports'!D1264)+1,200)),"")))="VRKP ISPAT PVT LTD","VRKP",IF(IF(IF(ISNUMBER(SEARCH("Party Name:-",'R.M Billets Reports'!D1263)),TRIM('R.M Billets Reports'!F1263),IF(ISNUMBER(SEARCH("Party Name-",'R.M Billets Reports'!D1263)),TRIM(MID('R.M Billets Reports'!D1263,SEARCH("-",'R.M Billets Reports'!D1263)+1,200)),""))&lt;&gt;"",IF(ISNUMBER(SEARCH("Party Name:-",'R.M Billets Reports'!D1263)),TRIM('R.M Billets Reports'!F1263),IF(ISNUMBER(SEARCH("Party Name-",'R.M Billets Reports'!D1263)),TRIM(MID('R.M Billets Reports'!D1263,SEARCH("-",'R.M Billets Reports'!D1263)+1,200)),"")),IF(ISNUMBER(SEARCH("Party Name:-",'R.M Billets Reports'!D1264)),TRIM('R.M Billets Reports'!F1264),IF(ISNUMBER(SEARCH("Party Name-",'R.M Billets Reports'!D1264)),TRIM(MID('R.M Billets Reports'!D1264,SEARCH("-",'R.M Billets Reports'!D1264)+1,200)),"")))="SHRI RADHE","SHREE RADHE",IF(IF(IF(ISNUMBER(SEARCH("Party Name:-",'R.M Billets Reports'!D1263)),TRIM('R.M Billets Reports'!F1263),IF(ISNUMBER(SEARCH("Party Name-",'R.M Billets Reports'!D1263)),TRIM(MID('R.M Billets Reports'!D1263,SEARCH("-",'R.M Billets Reports'!D1263)+1,200)),""))&lt;&gt;"",IF(ISNUMBER(SEARCH("Party Name:-",'R.M Billets Reports'!D1263)),TRIM('R.M Billets Reports'!F1263),IF(ISNUMBER(SEARCH("Party Name-",'R.M Billets Reports'!D1263)),TRIM(MID('R.M Billets Reports'!D1263,SEARCH("-",'R.M Billets Reports'!D1263)+1,200)),"")),IF(ISNUMBER(SEARCH("Party Name:-",'R.M Billets Reports'!D1264)),TRIM('R.M Billets Reports'!F1264),IF(ISNUMBER(SEARCH("Party Name-",'R.M Billets Reports'!D1264)),TRIM(MID('R.M Billets Reports'!D1264,SEARCH("-",'R.M Billets Reports'!D1264)+1,200)),"")))="SHREE RADHE SHAKTI SPONGE AND POWER PVT. LTD.","SHREE RADHE",IF(IF(ISNUMBER(SEARCH("Party Name:-",'R.M Billets Reports'!D1263)),TRIM('R.M Billets Reports'!F1263),IF(ISNUMBER(SEARCH("Party Name-",'R.M Billets Reports'!D1263)),TRIM(MID('R.M Billets Reports'!D1263,SEARCH("-",'R.M Billets Reports'!D1263)+1,200)),""))&lt;&gt;"",IF(ISNUMBER(SEARCH("Party Name:-",'R.M Billets Reports'!D1263)),TRIM('R.M Billets Reports'!F1263),IF(ISNUMBER(SEARCH("Party Name-",'R.M Billets Reports'!D1263)),TRIM(MID('R.M Billets Reports'!D1263,SEARCH("-",'R.M Billets Reports'!D1263)+1,200)),"")),IF(ISNUMBER(SEARCH("Party Name:-",'R.M Billets Reports'!D1264)),TRIM('R.M Billets Reports'!F1264),IF(ISNUMBER(SEARCH("Party Name-",'R.M Billets Reports'!D1264)),TRIM(MID('R.M Billets Reports'!D1264,SEARCH("-",'R.M Billets Reports'!D1264)+1,200)),"")))))),IF(ROW()=2,"",A1263))</f>
      </c>
      <c r="B1264">
        <f>IF(OR('R.M Billets Reports'!A1263="Date-",'R.M Billets Reports'!A1263="Date:-"),'R.M Billets Reports'!B1263,IF(ROW()=2,"",B1263))</f>
      </c>
      <c r="C1264">
        <f>IF('R.M Billets Reports'!A1263="V.No.",'R.M Billets Reports'!B1263,IF(ROW()=2,"",C1263))</f>
      </c>
      <c r="D1264">
        <f>IF('R.M Billets Reports'!A1263&lt;&gt;"",'R.M Billets Reports'!A1263,IF(ROW()=2,"",D1263))</f>
      </c>
      <c r="E1264">
        <f>IF('R.M Billets Reports'!B1263="","",TRIM('R.M Billets Reports'!B1263))</f>
      </c>
      <c r="F1264">
        <f>'R.M Billets Reports'!C1263</f>
      </c>
      <c r="G1264">
        <f>'R.M Billets Reports'!D1263</f>
      </c>
      <c r="H1264">
        <f>'R.M Billets Reports'!E1263</f>
      </c>
      <c r="I1264">
        <f>'R.M Billets Reports'!F1263</f>
      </c>
      <c r="J1264">
        <f>'R.M Billets Reports'!G1263</f>
      </c>
      <c r="K1264">
        <f>'R.M Billets Reports'!H1263</f>
      </c>
      <c r="L1264">
        <f>IF('R.M Billets Reports'!I1263="","",'R.M Billets Reports'!I1263)</f>
      </c>
      <c r="M1264">
        <f t="shared" si="38"/>
      </c>
      <c r="N1264">
        <f>IF('R.M Billets Reports'!J1263="","",'R.M Billets Reports'!J1263)</f>
      </c>
      <c r="O1264">
        <f t="shared" si="39"/>
      </c>
      <c r="P1264">
        <f>IF('R.M Billets Reports'!A1263="SIZE",'R.M Billets Reports'!B1263,P1263)</f>
      </c>
    </row>
    <row r="1265" spans="1:16" x14ac:dyDescent="0.25">
      <c r="A1265">
        <f>IF(OR('R.M Billets Reports'!A1264="Date-",'R.M Billets Reports'!A1264="Date:-"),IF(IF(IF(ISNUMBER(SEARCH("Party Name:-",'R.M Billets Reports'!D1264)),TRIM('R.M Billets Reports'!F1264),IF(ISNUMBER(SEARCH("Party Name-",'R.M Billets Reports'!D1264)),TRIM(MID('R.M Billets Reports'!D1264,SEARCH("-",'R.M Billets Reports'!D1264)+1,200)),""))&lt;&gt;"",IF(ISNUMBER(SEARCH("Party Name:-",'R.M Billets Reports'!D1264)),TRIM('R.M Billets Reports'!F1264),IF(ISNUMBER(SEARCH("Party Name-",'R.M Billets Reports'!D1264)),TRIM(MID('R.M Billets Reports'!D1264,SEARCH("-",'R.M Billets Reports'!D1264)+1,200)),"")),IF(ISNUMBER(SEARCH("Party Name:-",'R.M Billets Reports'!D1265)),TRIM('R.M Billets Reports'!F1265),IF(ISNUMBER(SEARCH("Party Name-",'R.M Billets Reports'!D1265)),TRIM(MID('R.M Billets Reports'!D1265,SEARCH("-",'R.M Billets Reports'!D1265)+1,200)),"")))="VRKP ISPAT PVT LTD","VRKP",IF(IF(IF(ISNUMBER(SEARCH("Party Name:-",'R.M Billets Reports'!D1264)),TRIM('R.M Billets Reports'!F1264),IF(ISNUMBER(SEARCH("Party Name-",'R.M Billets Reports'!D1264)),TRIM(MID('R.M Billets Reports'!D1264,SEARCH("-",'R.M Billets Reports'!D1264)+1,200)),""))&lt;&gt;"",IF(ISNUMBER(SEARCH("Party Name:-",'R.M Billets Reports'!D1264)),TRIM('R.M Billets Reports'!F1264),IF(ISNUMBER(SEARCH("Party Name-",'R.M Billets Reports'!D1264)),TRIM(MID('R.M Billets Reports'!D1264,SEARCH("-",'R.M Billets Reports'!D1264)+1,200)),"")),IF(ISNUMBER(SEARCH("Party Name:-",'R.M Billets Reports'!D1265)),TRIM('R.M Billets Reports'!F1265),IF(ISNUMBER(SEARCH("Party Name-",'R.M Billets Reports'!D1265)),TRIM(MID('R.M Billets Reports'!D1265,SEARCH("-",'R.M Billets Reports'!D1265)+1,200)),"")))="SHRI RADHE","SHREE RADHE",IF(IF(IF(ISNUMBER(SEARCH("Party Name:-",'R.M Billets Reports'!D1264)),TRIM('R.M Billets Reports'!F1264),IF(ISNUMBER(SEARCH("Party Name-",'R.M Billets Reports'!D1264)),TRIM(MID('R.M Billets Reports'!D1264,SEARCH("-",'R.M Billets Reports'!D1264)+1,200)),""))&lt;&gt;"",IF(ISNUMBER(SEARCH("Party Name:-",'R.M Billets Reports'!D1264)),TRIM('R.M Billets Reports'!F1264),IF(ISNUMBER(SEARCH("Party Name-",'R.M Billets Reports'!D1264)),TRIM(MID('R.M Billets Reports'!D1264,SEARCH("-",'R.M Billets Reports'!D1264)+1,200)),"")),IF(ISNUMBER(SEARCH("Party Name:-",'R.M Billets Reports'!D1265)),TRIM('R.M Billets Reports'!F1265),IF(ISNUMBER(SEARCH("Party Name-",'R.M Billets Reports'!D1265)),TRIM(MID('R.M Billets Reports'!D1265,SEARCH("-",'R.M Billets Reports'!D1265)+1,200)),"")))="SHREE RADHE SHAKTI SPONGE AND POWER PVT. LTD.","SHREE RADHE",IF(IF(ISNUMBER(SEARCH("Party Name:-",'R.M Billets Reports'!D1264)),TRIM('R.M Billets Reports'!F1264),IF(ISNUMBER(SEARCH("Party Name-",'R.M Billets Reports'!D1264)),TRIM(MID('R.M Billets Reports'!D1264,SEARCH("-",'R.M Billets Reports'!D1264)+1,200)),""))&lt;&gt;"",IF(ISNUMBER(SEARCH("Party Name:-",'R.M Billets Reports'!D1264)),TRIM('R.M Billets Reports'!F1264),IF(ISNUMBER(SEARCH("Party Name-",'R.M Billets Reports'!D1264)),TRIM(MID('R.M Billets Reports'!D1264,SEARCH("-",'R.M Billets Reports'!D1264)+1,200)),"")),IF(ISNUMBER(SEARCH("Party Name:-",'R.M Billets Reports'!D1265)),TRIM('R.M Billets Reports'!F1265),IF(ISNUMBER(SEARCH("Party Name-",'R.M Billets Reports'!D1265)),TRIM(MID('R.M Billets Reports'!D1265,SEARCH("-",'R.M Billets Reports'!D1265)+1,200)),"")))))),IF(ROW()=2,"",A1264))</f>
      </c>
      <c r="B1265">
        <f>IF(OR('R.M Billets Reports'!A1264="Date-",'R.M Billets Reports'!A1264="Date:-"),'R.M Billets Reports'!B1264,IF(ROW()=2,"",B1264))</f>
      </c>
      <c r="C1265">
        <f>IF('R.M Billets Reports'!A1264="V.No.",'R.M Billets Reports'!B1264,IF(ROW()=2,"",C1264))</f>
      </c>
      <c r="D1265">
        <f>IF('R.M Billets Reports'!A1264&lt;&gt;"",'R.M Billets Reports'!A1264,IF(ROW()=2,"",D1264))</f>
      </c>
      <c r="E1265">
        <f>IF('R.M Billets Reports'!B1264="","",TRIM('R.M Billets Reports'!B1264))</f>
      </c>
      <c r="F1265">
        <f>'R.M Billets Reports'!C1264</f>
      </c>
      <c r="G1265">
        <f>'R.M Billets Reports'!D1264</f>
      </c>
      <c r="H1265">
        <f>'R.M Billets Reports'!E1264</f>
      </c>
      <c r="I1265">
        <f>'R.M Billets Reports'!F1264</f>
      </c>
      <c r="J1265">
        <f>'R.M Billets Reports'!G1264</f>
      </c>
      <c r="K1265">
        <f>'R.M Billets Reports'!H1264</f>
      </c>
      <c r="L1265">
        <f>IF('R.M Billets Reports'!I1264="","",'R.M Billets Reports'!I1264)</f>
      </c>
      <c r="M1265">
        <f t="shared" si="38"/>
      </c>
      <c r="N1265">
        <f>IF('R.M Billets Reports'!J1264="","",'R.M Billets Reports'!J1264)</f>
      </c>
      <c r="O1265">
        <f t="shared" si="39"/>
      </c>
      <c r="P1265">
        <f>IF('R.M Billets Reports'!A1264="SIZE",'R.M Billets Reports'!B1264,P1264)</f>
      </c>
    </row>
    <row r="1266" spans="1:16" x14ac:dyDescent="0.25">
      <c r="A1266">
        <f>IF(OR('R.M Billets Reports'!A1265="Date-",'R.M Billets Reports'!A1265="Date:-"),IF(IF(IF(ISNUMBER(SEARCH("Party Name:-",'R.M Billets Reports'!D1265)),TRIM('R.M Billets Reports'!F1265),IF(ISNUMBER(SEARCH("Party Name-",'R.M Billets Reports'!D1265)),TRIM(MID('R.M Billets Reports'!D1265,SEARCH("-",'R.M Billets Reports'!D1265)+1,200)),""))&lt;&gt;"",IF(ISNUMBER(SEARCH("Party Name:-",'R.M Billets Reports'!D1265)),TRIM('R.M Billets Reports'!F1265),IF(ISNUMBER(SEARCH("Party Name-",'R.M Billets Reports'!D1265)),TRIM(MID('R.M Billets Reports'!D1265,SEARCH("-",'R.M Billets Reports'!D1265)+1,200)),"")),IF(ISNUMBER(SEARCH("Party Name:-",'R.M Billets Reports'!D1266)),TRIM('R.M Billets Reports'!F1266),IF(ISNUMBER(SEARCH("Party Name-",'R.M Billets Reports'!D1266)),TRIM(MID('R.M Billets Reports'!D1266,SEARCH("-",'R.M Billets Reports'!D1266)+1,200)),"")))="VRKP ISPAT PVT LTD","VRKP",IF(IF(IF(ISNUMBER(SEARCH("Party Name:-",'R.M Billets Reports'!D1265)),TRIM('R.M Billets Reports'!F1265),IF(ISNUMBER(SEARCH("Party Name-",'R.M Billets Reports'!D1265)),TRIM(MID('R.M Billets Reports'!D1265,SEARCH("-",'R.M Billets Reports'!D1265)+1,200)),""))&lt;&gt;"",IF(ISNUMBER(SEARCH("Party Name:-",'R.M Billets Reports'!D1265)),TRIM('R.M Billets Reports'!F1265),IF(ISNUMBER(SEARCH("Party Name-",'R.M Billets Reports'!D1265)),TRIM(MID('R.M Billets Reports'!D1265,SEARCH("-",'R.M Billets Reports'!D1265)+1,200)),"")),IF(ISNUMBER(SEARCH("Party Name:-",'R.M Billets Reports'!D1266)),TRIM('R.M Billets Reports'!F1266),IF(ISNUMBER(SEARCH("Party Name-",'R.M Billets Reports'!D1266)),TRIM(MID('R.M Billets Reports'!D1266,SEARCH("-",'R.M Billets Reports'!D1266)+1,200)),"")))="SHRI RADHE","SHREE RADHE",IF(IF(IF(ISNUMBER(SEARCH("Party Name:-",'R.M Billets Reports'!D1265)),TRIM('R.M Billets Reports'!F1265),IF(ISNUMBER(SEARCH("Party Name-",'R.M Billets Reports'!D1265)),TRIM(MID('R.M Billets Reports'!D1265,SEARCH("-",'R.M Billets Reports'!D1265)+1,200)),""))&lt;&gt;"",IF(ISNUMBER(SEARCH("Party Name:-",'R.M Billets Reports'!D1265)),TRIM('R.M Billets Reports'!F1265),IF(ISNUMBER(SEARCH("Party Name-",'R.M Billets Reports'!D1265)),TRIM(MID('R.M Billets Reports'!D1265,SEARCH("-",'R.M Billets Reports'!D1265)+1,200)),"")),IF(ISNUMBER(SEARCH("Party Name:-",'R.M Billets Reports'!D1266)),TRIM('R.M Billets Reports'!F1266),IF(ISNUMBER(SEARCH("Party Name-",'R.M Billets Reports'!D1266)),TRIM(MID('R.M Billets Reports'!D1266,SEARCH("-",'R.M Billets Reports'!D1266)+1,200)),"")))="SHREE RADHE SHAKTI SPONGE AND POWER PVT. LTD.","SHREE RADHE",IF(IF(ISNUMBER(SEARCH("Party Name:-",'R.M Billets Reports'!D1265)),TRIM('R.M Billets Reports'!F1265),IF(ISNUMBER(SEARCH("Party Name-",'R.M Billets Reports'!D1265)),TRIM(MID('R.M Billets Reports'!D1265,SEARCH("-",'R.M Billets Reports'!D1265)+1,200)),""))&lt;&gt;"",IF(ISNUMBER(SEARCH("Party Name:-",'R.M Billets Reports'!D1265)),TRIM('R.M Billets Reports'!F1265),IF(ISNUMBER(SEARCH("Party Name-",'R.M Billets Reports'!D1265)),TRIM(MID('R.M Billets Reports'!D1265,SEARCH("-",'R.M Billets Reports'!D1265)+1,200)),"")),IF(ISNUMBER(SEARCH("Party Name:-",'R.M Billets Reports'!D1266)),TRIM('R.M Billets Reports'!F1266),IF(ISNUMBER(SEARCH("Party Name-",'R.M Billets Reports'!D1266)),TRIM(MID('R.M Billets Reports'!D1266,SEARCH("-",'R.M Billets Reports'!D1266)+1,200)),"")))))),IF(ROW()=2,"",A1265))</f>
      </c>
      <c r="B1266">
        <f>IF(OR('R.M Billets Reports'!A1265="Date-",'R.M Billets Reports'!A1265="Date:-"),'R.M Billets Reports'!B1265,IF(ROW()=2,"",B1265))</f>
      </c>
      <c r="C1266">
        <f>IF('R.M Billets Reports'!A1265="V.No.",'R.M Billets Reports'!B1265,IF(ROW()=2,"",C1265))</f>
      </c>
      <c r="D1266">
        <f>IF('R.M Billets Reports'!A1265&lt;&gt;"",'R.M Billets Reports'!A1265,IF(ROW()=2,"",D1265))</f>
      </c>
      <c r="E1266">
        <f>IF('R.M Billets Reports'!B1265="","",TRIM('R.M Billets Reports'!B1265))</f>
      </c>
      <c r="F1266">
        <f>'R.M Billets Reports'!C1265</f>
      </c>
      <c r="G1266">
        <f>'R.M Billets Reports'!D1265</f>
      </c>
      <c r="H1266">
        <f>'R.M Billets Reports'!E1265</f>
      </c>
      <c r="I1266">
        <f>'R.M Billets Reports'!F1265</f>
      </c>
      <c r="J1266">
        <f>'R.M Billets Reports'!G1265</f>
      </c>
      <c r="K1266">
        <f>'R.M Billets Reports'!H1265</f>
      </c>
      <c r="L1266">
        <f>IF('R.M Billets Reports'!I1265="","",'R.M Billets Reports'!I1265)</f>
      </c>
      <c r="M1266">
        <f t="shared" si="38"/>
      </c>
      <c r="N1266">
        <f>IF('R.M Billets Reports'!J1265="","",'R.M Billets Reports'!J1265)</f>
      </c>
      <c r="O1266">
        <f t="shared" si="39"/>
      </c>
      <c r="P1266">
        <f>IF('R.M Billets Reports'!A1265="SIZE",'R.M Billets Reports'!B1265,P1265)</f>
      </c>
    </row>
    <row r="1267" spans="1:16" x14ac:dyDescent="0.25">
      <c r="A1267">
        <f>IF(OR('R.M Billets Reports'!A1266="Date-",'R.M Billets Reports'!A1266="Date:-"),IF(IF(IF(ISNUMBER(SEARCH("Party Name:-",'R.M Billets Reports'!D1266)),TRIM('R.M Billets Reports'!F1266),IF(ISNUMBER(SEARCH("Party Name-",'R.M Billets Reports'!D1266)),TRIM(MID('R.M Billets Reports'!D1266,SEARCH("-",'R.M Billets Reports'!D1266)+1,200)),""))&lt;&gt;"",IF(ISNUMBER(SEARCH("Party Name:-",'R.M Billets Reports'!D1266)),TRIM('R.M Billets Reports'!F1266),IF(ISNUMBER(SEARCH("Party Name-",'R.M Billets Reports'!D1266)),TRIM(MID('R.M Billets Reports'!D1266,SEARCH("-",'R.M Billets Reports'!D1266)+1,200)),"")),IF(ISNUMBER(SEARCH("Party Name:-",'R.M Billets Reports'!D1267)),TRIM('R.M Billets Reports'!F1267),IF(ISNUMBER(SEARCH("Party Name-",'R.M Billets Reports'!D1267)),TRIM(MID('R.M Billets Reports'!D1267,SEARCH("-",'R.M Billets Reports'!D1267)+1,200)),"")))="VRKP ISPAT PVT LTD","VRKP",IF(IF(IF(ISNUMBER(SEARCH("Party Name:-",'R.M Billets Reports'!D1266)),TRIM('R.M Billets Reports'!F1266),IF(ISNUMBER(SEARCH("Party Name-",'R.M Billets Reports'!D1266)),TRIM(MID('R.M Billets Reports'!D1266,SEARCH("-",'R.M Billets Reports'!D1266)+1,200)),""))&lt;&gt;"",IF(ISNUMBER(SEARCH("Party Name:-",'R.M Billets Reports'!D1266)),TRIM('R.M Billets Reports'!F1266),IF(ISNUMBER(SEARCH("Party Name-",'R.M Billets Reports'!D1266)),TRIM(MID('R.M Billets Reports'!D1266,SEARCH("-",'R.M Billets Reports'!D1266)+1,200)),"")),IF(ISNUMBER(SEARCH("Party Name:-",'R.M Billets Reports'!D1267)),TRIM('R.M Billets Reports'!F1267),IF(ISNUMBER(SEARCH("Party Name-",'R.M Billets Reports'!D1267)),TRIM(MID('R.M Billets Reports'!D1267,SEARCH("-",'R.M Billets Reports'!D1267)+1,200)),"")))="SHRI RADHE","SHREE RADHE",IF(IF(IF(ISNUMBER(SEARCH("Party Name:-",'R.M Billets Reports'!D1266)),TRIM('R.M Billets Reports'!F1266),IF(ISNUMBER(SEARCH("Party Name-",'R.M Billets Reports'!D1266)),TRIM(MID('R.M Billets Reports'!D1266,SEARCH("-",'R.M Billets Reports'!D1266)+1,200)),""))&lt;&gt;"",IF(ISNUMBER(SEARCH("Party Name:-",'R.M Billets Reports'!D1266)),TRIM('R.M Billets Reports'!F1266),IF(ISNUMBER(SEARCH("Party Name-",'R.M Billets Reports'!D1266)),TRIM(MID('R.M Billets Reports'!D1266,SEARCH("-",'R.M Billets Reports'!D1266)+1,200)),"")),IF(ISNUMBER(SEARCH("Party Name:-",'R.M Billets Reports'!D1267)),TRIM('R.M Billets Reports'!F1267),IF(ISNUMBER(SEARCH("Party Name-",'R.M Billets Reports'!D1267)),TRIM(MID('R.M Billets Reports'!D1267,SEARCH("-",'R.M Billets Reports'!D1267)+1,200)),"")))="SHREE RADHE SHAKTI SPONGE AND POWER PVT. LTD.","SHREE RADHE",IF(IF(ISNUMBER(SEARCH("Party Name:-",'R.M Billets Reports'!D1266)),TRIM('R.M Billets Reports'!F1266),IF(ISNUMBER(SEARCH("Party Name-",'R.M Billets Reports'!D1266)),TRIM(MID('R.M Billets Reports'!D1266,SEARCH("-",'R.M Billets Reports'!D1266)+1,200)),""))&lt;&gt;"",IF(ISNUMBER(SEARCH("Party Name:-",'R.M Billets Reports'!D1266)),TRIM('R.M Billets Reports'!F1266),IF(ISNUMBER(SEARCH("Party Name-",'R.M Billets Reports'!D1266)),TRIM(MID('R.M Billets Reports'!D1266,SEARCH("-",'R.M Billets Reports'!D1266)+1,200)),"")),IF(ISNUMBER(SEARCH("Party Name:-",'R.M Billets Reports'!D1267)),TRIM('R.M Billets Reports'!F1267),IF(ISNUMBER(SEARCH("Party Name-",'R.M Billets Reports'!D1267)),TRIM(MID('R.M Billets Reports'!D1267,SEARCH("-",'R.M Billets Reports'!D1267)+1,200)),"")))))),IF(ROW()=2,"",A1266))</f>
      </c>
      <c r="B1267">
        <f>IF(OR('R.M Billets Reports'!A1266="Date-",'R.M Billets Reports'!A1266="Date:-"),'R.M Billets Reports'!B1266,IF(ROW()=2,"",B1266))</f>
      </c>
      <c r="C1267">
        <f>IF('R.M Billets Reports'!A1266="V.No.",'R.M Billets Reports'!B1266,IF(ROW()=2,"",C1266))</f>
      </c>
      <c r="D1267">
        <f>IF('R.M Billets Reports'!A1266&lt;&gt;"",'R.M Billets Reports'!A1266,IF(ROW()=2,"",D1266))</f>
      </c>
      <c r="E1267">
        <f>IF('R.M Billets Reports'!B1266="","",TRIM('R.M Billets Reports'!B1266))</f>
      </c>
      <c r="F1267">
        <f>'R.M Billets Reports'!C1266</f>
      </c>
      <c r="G1267">
        <f>'R.M Billets Reports'!D1266</f>
      </c>
      <c r="H1267">
        <f>'R.M Billets Reports'!E1266</f>
      </c>
      <c r="I1267">
        <f>'R.M Billets Reports'!F1266</f>
      </c>
      <c r="J1267">
        <f>'R.M Billets Reports'!G1266</f>
      </c>
      <c r="K1267">
        <f>'R.M Billets Reports'!H1266</f>
      </c>
      <c r="L1267">
        <f>IF('R.M Billets Reports'!I1266="","",'R.M Billets Reports'!I1266)</f>
      </c>
      <c r="M1267">
        <f t="shared" si="38"/>
      </c>
      <c r="N1267">
        <f>IF('R.M Billets Reports'!J1266="","",'R.M Billets Reports'!J1266)</f>
      </c>
      <c r="O1267">
        <f t="shared" si="39"/>
      </c>
      <c r="P1267">
        <f>IF('R.M Billets Reports'!A1266="SIZE",'R.M Billets Reports'!B1266,P1266)</f>
      </c>
    </row>
    <row r="1268" spans="1:16" x14ac:dyDescent="0.25">
      <c r="A1268">
        <f>IF(OR('R.M Billets Reports'!A1267="Date-",'R.M Billets Reports'!A1267="Date:-"),IF(IF(IF(ISNUMBER(SEARCH("Party Name:-",'R.M Billets Reports'!D1267)),TRIM('R.M Billets Reports'!F1267),IF(ISNUMBER(SEARCH("Party Name-",'R.M Billets Reports'!D1267)),TRIM(MID('R.M Billets Reports'!D1267,SEARCH("-",'R.M Billets Reports'!D1267)+1,200)),""))&lt;&gt;"",IF(ISNUMBER(SEARCH("Party Name:-",'R.M Billets Reports'!D1267)),TRIM('R.M Billets Reports'!F1267),IF(ISNUMBER(SEARCH("Party Name-",'R.M Billets Reports'!D1267)),TRIM(MID('R.M Billets Reports'!D1267,SEARCH("-",'R.M Billets Reports'!D1267)+1,200)),"")),IF(ISNUMBER(SEARCH("Party Name:-",'R.M Billets Reports'!D1268)),TRIM('R.M Billets Reports'!F1268),IF(ISNUMBER(SEARCH("Party Name-",'R.M Billets Reports'!D1268)),TRIM(MID('R.M Billets Reports'!D1268,SEARCH("-",'R.M Billets Reports'!D1268)+1,200)),"")))="VRKP ISPAT PVT LTD","VRKP",IF(IF(IF(ISNUMBER(SEARCH("Party Name:-",'R.M Billets Reports'!D1267)),TRIM('R.M Billets Reports'!F1267),IF(ISNUMBER(SEARCH("Party Name-",'R.M Billets Reports'!D1267)),TRIM(MID('R.M Billets Reports'!D1267,SEARCH("-",'R.M Billets Reports'!D1267)+1,200)),""))&lt;&gt;"",IF(ISNUMBER(SEARCH("Party Name:-",'R.M Billets Reports'!D1267)),TRIM('R.M Billets Reports'!F1267),IF(ISNUMBER(SEARCH("Party Name-",'R.M Billets Reports'!D1267)),TRIM(MID('R.M Billets Reports'!D1267,SEARCH("-",'R.M Billets Reports'!D1267)+1,200)),"")),IF(ISNUMBER(SEARCH("Party Name:-",'R.M Billets Reports'!D1268)),TRIM('R.M Billets Reports'!F1268),IF(ISNUMBER(SEARCH("Party Name-",'R.M Billets Reports'!D1268)),TRIM(MID('R.M Billets Reports'!D1268,SEARCH("-",'R.M Billets Reports'!D1268)+1,200)),"")))="SHRI RADHE","SHREE RADHE",IF(IF(IF(ISNUMBER(SEARCH("Party Name:-",'R.M Billets Reports'!D1267)),TRIM('R.M Billets Reports'!F1267),IF(ISNUMBER(SEARCH("Party Name-",'R.M Billets Reports'!D1267)),TRIM(MID('R.M Billets Reports'!D1267,SEARCH("-",'R.M Billets Reports'!D1267)+1,200)),""))&lt;&gt;"",IF(ISNUMBER(SEARCH("Party Name:-",'R.M Billets Reports'!D1267)),TRIM('R.M Billets Reports'!F1267),IF(ISNUMBER(SEARCH("Party Name-",'R.M Billets Reports'!D1267)),TRIM(MID('R.M Billets Reports'!D1267,SEARCH("-",'R.M Billets Reports'!D1267)+1,200)),"")),IF(ISNUMBER(SEARCH("Party Name:-",'R.M Billets Reports'!D1268)),TRIM('R.M Billets Reports'!F1268),IF(ISNUMBER(SEARCH("Party Name-",'R.M Billets Reports'!D1268)),TRIM(MID('R.M Billets Reports'!D1268,SEARCH("-",'R.M Billets Reports'!D1268)+1,200)),"")))="SHREE RADHE SHAKTI SPONGE AND POWER PVT. LTD.","SHREE RADHE",IF(IF(ISNUMBER(SEARCH("Party Name:-",'R.M Billets Reports'!D1267)),TRIM('R.M Billets Reports'!F1267),IF(ISNUMBER(SEARCH("Party Name-",'R.M Billets Reports'!D1267)),TRIM(MID('R.M Billets Reports'!D1267,SEARCH("-",'R.M Billets Reports'!D1267)+1,200)),""))&lt;&gt;"",IF(ISNUMBER(SEARCH("Party Name:-",'R.M Billets Reports'!D1267)),TRIM('R.M Billets Reports'!F1267),IF(ISNUMBER(SEARCH("Party Name-",'R.M Billets Reports'!D1267)),TRIM(MID('R.M Billets Reports'!D1267,SEARCH("-",'R.M Billets Reports'!D1267)+1,200)),"")),IF(ISNUMBER(SEARCH("Party Name:-",'R.M Billets Reports'!D1268)),TRIM('R.M Billets Reports'!F1268),IF(ISNUMBER(SEARCH("Party Name-",'R.M Billets Reports'!D1268)),TRIM(MID('R.M Billets Reports'!D1268,SEARCH("-",'R.M Billets Reports'!D1268)+1,200)),"")))))),IF(ROW()=2,"",A1267))</f>
      </c>
      <c r="B1268">
        <f>IF(OR('R.M Billets Reports'!A1267="Date-",'R.M Billets Reports'!A1267="Date:-"),'R.M Billets Reports'!B1267,IF(ROW()=2,"",B1267))</f>
      </c>
      <c r="C1268">
        <f>IF('R.M Billets Reports'!A1267="V.No.",'R.M Billets Reports'!B1267,IF(ROW()=2,"",C1267))</f>
      </c>
      <c r="D1268">
        <f>IF('R.M Billets Reports'!A1267&lt;&gt;"",'R.M Billets Reports'!A1267,IF(ROW()=2,"",D1267))</f>
      </c>
      <c r="E1268">
        <f>IF('R.M Billets Reports'!B1267="","",TRIM('R.M Billets Reports'!B1267))</f>
      </c>
      <c r="F1268">
        <f>'R.M Billets Reports'!C1267</f>
      </c>
      <c r="G1268">
        <f>'R.M Billets Reports'!D1267</f>
      </c>
      <c r="H1268">
        <f>'R.M Billets Reports'!E1267</f>
      </c>
      <c r="I1268">
        <f>'R.M Billets Reports'!F1267</f>
      </c>
      <c r="J1268">
        <f>'R.M Billets Reports'!G1267</f>
      </c>
      <c r="K1268">
        <f>'R.M Billets Reports'!H1267</f>
      </c>
      <c r="L1268">
        <f>IF('R.M Billets Reports'!I1267="","",'R.M Billets Reports'!I1267)</f>
      </c>
      <c r="M1268">
        <f t="shared" si="38"/>
      </c>
      <c r="N1268">
        <f>IF('R.M Billets Reports'!J1267="","",'R.M Billets Reports'!J1267)</f>
      </c>
      <c r="O1268">
        <f t="shared" si="39"/>
      </c>
      <c r="P1268">
        <f>IF('R.M Billets Reports'!A1267="SIZE",'R.M Billets Reports'!B1267,P1267)</f>
      </c>
    </row>
    <row r="1269" spans="1:16" x14ac:dyDescent="0.25">
      <c r="A1269">
        <f>IF(OR('R.M Billets Reports'!A1268="Date-",'R.M Billets Reports'!A1268="Date:-"),IF(IF(IF(ISNUMBER(SEARCH("Party Name:-",'R.M Billets Reports'!D1268)),TRIM('R.M Billets Reports'!F1268),IF(ISNUMBER(SEARCH("Party Name-",'R.M Billets Reports'!D1268)),TRIM(MID('R.M Billets Reports'!D1268,SEARCH("-",'R.M Billets Reports'!D1268)+1,200)),""))&lt;&gt;"",IF(ISNUMBER(SEARCH("Party Name:-",'R.M Billets Reports'!D1268)),TRIM('R.M Billets Reports'!F1268),IF(ISNUMBER(SEARCH("Party Name-",'R.M Billets Reports'!D1268)),TRIM(MID('R.M Billets Reports'!D1268,SEARCH("-",'R.M Billets Reports'!D1268)+1,200)),"")),IF(ISNUMBER(SEARCH("Party Name:-",'R.M Billets Reports'!D1269)),TRIM('R.M Billets Reports'!F1269),IF(ISNUMBER(SEARCH("Party Name-",'R.M Billets Reports'!D1269)),TRIM(MID('R.M Billets Reports'!D1269,SEARCH("-",'R.M Billets Reports'!D1269)+1,200)),"")))="VRKP ISPAT PVT LTD","VRKP",IF(IF(IF(ISNUMBER(SEARCH("Party Name:-",'R.M Billets Reports'!D1268)),TRIM('R.M Billets Reports'!F1268),IF(ISNUMBER(SEARCH("Party Name-",'R.M Billets Reports'!D1268)),TRIM(MID('R.M Billets Reports'!D1268,SEARCH("-",'R.M Billets Reports'!D1268)+1,200)),""))&lt;&gt;"",IF(ISNUMBER(SEARCH("Party Name:-",'R.M Billets Reports'!D1268)),TRIM('R.M Billets Reports'!F1268),IF(ISNUMBER(SEARCH("Party Name-",'R.M Billets Reports'!D1268)),TRIM(MID('R.M Billets Reports'!D1268,SEARCH("-",'R.M Billets Reports'!D1268)+1,200)),"")),IF(ISNUMBER(SEARCH("Party Name:-",'R.M Billets Reports'!D1269)),TRIM('R.M Billets Reports'!F1269),IF(ISNUMBER(SEARCH("Party Name-",'R.M Billets Reports'!D1269)),TRIM(MID('R.M Billets Reports'!D1269,SEARCH("-",'R.M Billets Reports'!D1269)+1,200)),"")))="SHRI RADHE","SHREE RADHE",IF(IF(IF(ISNUMBER(SEARCH("Party Name:-",'R.M Billets Reports'!D1268)),TRIM('R.M Billets Reports'!F1268),IF(ISNUMBER(SEARCH("Party Name-",'R.M Billets Reports'!D1268)),TRIM(MID('R.M Billets Reports'!D1268,SEARCH("-",'R.M Billets Reports'!D1268)+1,200)),""))&lt;&gt;"",IF(ISNUMBER(SEARCH("Party Name:-",'R.M Billets Reports'!D1268)),TRIM('R.M Billets Reports'!F1268),IF(ISNUMBER(SEARCH("Party Name-",'R.M Billets Reports'!D1268)),TRIM(MID('R.M Billets Reports'!D1268,SEARCH("-",'R.M Billets Reports'!D1268)+1,200)),"")),IF(ISNUMBER(SEARCH("Party Name:-",'R.M Billets Reports'!D1269)),TRIM('R.M Billets Reports'!F1269),IF(ISNUMBER(SEARCH("Party Name-",'R.M Billets Reports'!D1269)),TRIM(MID('R.M Billets Reports'!D1269,SEARCH("-",'R.M Billets Reports'!D1269)+1,200)),"")))="SHREE RADHE SHAKTI SPONGE AND POWER PVT. LTD.","SHREE RADHE",IF(IF(ISNUMBER(SEARCH("Party Name:-",'R.M Billets Reports'!D1268)),TRIM('R.M Billets Reports'!F1268),IF(ISNUMBER(SEARCH("Party Name-",'R.M Billets Reports'!D1268)),TRIM(MID('R.M Billets Reports'!D1268,SEARCH("-",'R.M Billets Reports'!D1268)+1,200)),""))&lt;&gt;"",IF(ISNUMBER(SEARCH("Party Name:-",'R.M Billets Reports'!D1268)),TRIM('R.M Billets Reports'!F1268),IF(ISNUMBER(SEARCH("Party Name-",'R.M Billets Reports'!D1268)),TRIM(MID('R.M Billets Reports'!D1268,SEARCH("-",'R.M Billets Reports'!D1268)+1,200)),"")),IF(ISNUMBER(SEARCH("Party Name:-",'R.M Billets Reports'!D1269)),TRIM('R.M Billets Reports'!F1269),IF(ISNUMBER(SEARCH("Party Name-",'R.M Billets Reports'!D1269)),TRIM(MID('R.M Billets Reports'!D1269,SEARCH("-",'R.M Billets Reports'!D1269)+1,200)),"")))))),IF(ROW()=2,"",A1268))</f>
      </c>
      <c r="B1269">
        <f>IF(OR('R.M Billets Reports'!A1268="Date-",'R.M Billets Reports'!A1268="Date:-"),'R.M Billets Reports'!B1268,IF(ROW()=2,"",B1268))</f>
      </c>
      <c r="C1269">
        <f>IF('R.M Billets Reports'!A1268="V.No.",'R.M Billets Reports'!B1268,IF(ROW()=2,"",C1268))</f>
      </c>
      <c r="D1269">
        <f>IF('R.M Billets Reports'!A1268&lt;&gt;"",'R.M Billets Reports'!A1268,IF(ROW()=2,"",D1268))</f>
      </c>
      <c r="E1269">
        <f>IF('R.M Billets Reports'!B1268="","",TRIM('R.M Billets Reports'!B1268))</f>
      </c>
      <c r="F1269">
        <f>'R.M Billets Reports'!C1268</f>
      </c>
      <c r="G1269">
        <f>'R.M Billets Reports'!D1268</f>
      </c>
      <c r="H1269">
        <f>'R.M Billets Reports'!E1268</f>
      </c>
      <c r="I1269">
        <f>'R.M Billets Reports'!F1268</f>
      </c>
      <c r="J1269">
        <f>'R.M Billets Reports'!G1268</f>
      </c>
      <c r="K1269">
        <f>'R.M Billets Reports'!H1268</f>
      </c>
      <c r="L1269">
        <f>IF('R.M Billets Reports'!I1268="","",'R.M Billets Reports'!I1268)</f>
      </c>
      <c r="M1269">
        <f t="shared" si="38"/>
      </c>
      <c r="N1269">
        <f>IF('R.M Billets Reports'!J1268="","",'R.M Billets Reports'!J1268)</f>
      </c>
      <c r="O1269">
        <f t="shared" si="39"/>
      </c>
      <c r="P1269">
        <f>IF('R.M Billets Reports'!A1268="SIZE",'R.M Billets Reports'!B1268,P1268)</f>
      </c>
    </row>
    <row r="1270" spans="1:16" x14ac:dyDescent="0.25">
      <c r="A1270">
        <f>IF(OR('R.M Billets Reports'!A1269="Date-",'R.M Billets Reports'!A1269="Date:-"),IF(IF(IF(ISNUMBER(SEARCH("Party Name:-",'R.M Billets Reports'!D1269)),TRIM('R.M Billets Reports'!F1269),IF(ISNUMBER(SEARCH("Party Name-",'R.M Billets Reports'!D1269)),TRIM(MID('R.M Billets Reports'!D1269,SEARCH("-",'R.M Billets Reports'!D1269)+1,200)),""))&lt;&gt;"",IF(ISNUMBER(SEARCH("Party Name:-",'R.M Billets Reports'!D1269)),TRIM('R.M Billets Reports'!F1269),IF(ISNUMBER(SEARCH("Party Name-",'R.M Billets Reports'!D1269)),TRIM(MID('R.M Billets Reports'!D1269,SEARCH("-",'R.M Billets Reports'!D1269)+1,200)),"")),IF(ISNUMBER(SEARCH("Party Name:-",'R.M Billets Reports'!D1270)),TRIM('R.M Billets Reports'!F1270),IF(ISNUMBER(SEARCH("Party Name-",'R.M Billets Reports'!D1270)),TRIM(MID('R.M Billets Reports'!D1270,SEARCH("-",'R.M Billets Reports'!D1270)+1,200)),"")))="VRKP ISPAT PVT LTD","VRKP",IF(IF(IF(ISNUMBER(SEARCH("Party Name:-",'R.M Billets Reports'!D1269)),TRIM('R.M Billets Reports'!F1269),IF(ISNUMBER(SEARCH("Party Name-",'R.M Billets Reports'!D1269)),TRIM(MID('R.M Billets Reports'!D1269,SEARCH("-",'R.M Billets Reports'!D1269)+1,200)),""))&lt;&gt;"",IF(ISNUMBER(SEARCH("Party Name:-",'R.M Billets Reports'!D1269)),TRIM('R.M Billets Reports'!F1269),IF(ISNUMBER(SEARCH("Party Name-",'R.M Billets Reports'!D1269)),TRIM(MID('R.M Billets Reports'!D1269,SEARCH("-",'R.M Billets Reports'!D1269)+1,200)),"")),IF(ISNUMBER(SEARCH("Party Name:-",'R.M Billets Reports'!D1270)),TRIM('R.M Billets Reports'!F1270),IF(ISNUMBER(SEARCH("Party Name-",'R.M Billets Reports'!D1270)),TRIM(MID('R.M Billets Reports'!D1270,SEARCH("-",'R.M Billets Reports'!D1270)+1,200)),"")))="SHRI RADHE","SHREE RADHE",IF(IF(IF(ISNUMBER(SEARCH("Party Name:-",'R.M Billets Reports'!D1269)),TRIM('R.M Billets Reports'!F1269),IF(ISNUMBER(SEARCH("Party Name-",'R.M Billets Reports'!D1269)),TRIM(MID('R.M Billets Reports'!D1269,SEARCH("-",'R.M Billets Reports'!D1269)+1,200)),""))&lt;&gt;"",IF(ISNUMBER(SEARCH("Party Name:-",'R.M Billets Reports'!D1269)),TRIM('R.M Billets Reports'!F1269),IF(ISNUMBER(SEARCH("Party Name-",'R.M Billets Reports'!D1269)),TRIM(MID('R.M Billets Reports'!D1269,SEARCH("-",'R.M Billets Reports'!D1269)+1,200)),"")),IF(ISNUMBER(SEARCH("Party Name:-",'R.M Billets Reports'!D1270)),TRIM('R.M Billets Reports'!F1270),IF(ISNUMBER(SEARCH("Party Name-",'R.M Billets Reports'!D1270)),TRIM(MID('R.M Billets Reports'!D1270,SEARCH("-",'R.M Billets Reports'!D1270)+1,200)),"")))="SHREE RADHE SHAKTI SPONGE AND POWER PVT. LTD.","SHREE RADHE",IF(IF(ISNUMBER(SEARCH("Party Name:-",'R.M Billets Reports'!D1269)),TRIM('R.M Billets Reports'!F1269),IF(ISNUMBER(SEARCH("Party Name-",'R.M Billets Reports'!D1269)),TRIM(MID('R.M Billets Reports'!D1269,SEARCH("-",'R.M Billets Reports'!D1269)+1,200)),""))&lt;&gt;"",IF(ISNUMBER(SEARCH("Party Name:-",'R.M Billets Reports'!D1269)),TRIM('R.M Billets Reports'!F1269),IF(ISNUMBER(SEARCH("Party Name-",'R.M Billets Reports'!D1269)),TRIM(MID('R.M Billets Reports'!D1269,SEARCH("-",'R.M Billets Reports'!D1269)+1,200)),"")),IF(ISNUMBER(SEARCH("Party Name:-",'R.M Billets Reports'!D1270)),TRIM('R.M Billets Reports'!F1270),IF(ISNUMBER(SEARCH("Party Name-",'R.M Billets Reports'!D1270)),TRIM(MID('R.M Billets Reports'!D1270,SEARCH("-",'R.M Billets Reports'!D1270)+1,200)),"")))))),IF(ROW()=2,"",A1269))</f>
      </c>
      <c r="B1270">
        <f>IF(OR('R.M Billets Reports'!A1269="Date-",'R.M Billets Reports'!A1269="Date:-"),'R.M Billets Reports'!B1269,IF(ROW()=2,"",B1269))</f>
      </c>
      <c r="C1270">
        <f>IF('R.M Billets Reports'!A1269="V.No.",'R.M Billets Reports'!B1269,IF(ROW()=2,"",C1269))</f>
      </c>
      <c r="D1270">
        <f>IF('R.M Billets Reports'!A1269&lt;&gt;"",'R.M Billets Reports'!A1269,IF(ROW()=2,"",D1269))</f>
      </c>
      <c r="E1270">
        <f>IF('R.M Billets Reports'!B1269="","",TRIM('R.M Billets Reports'!B1269))</f>
      </c>
      <c r="F1270">
        <f>'R.M Billets Reports'!C1269</f>
      </c>
      <c r="G1270">
        <f>'R.M Billets Reports'!D1269</f>
      </c>
      <c r="H1270">
        <f>'R.M Billets Reports'!E1269</f>
      </c>
      <c r="I1270">
        <f>'R.M Billets Reports'!F1269</f>
      </c>
      <c r="J1270">
        <f>'R.M Billets Reports'!G1269</f>
      </c>
      <c r="K1270">
        <f>'R.M Billets Reports'!H1269</f>
      </c>
      <c r="L1270">
        <f>IF('R.M Billets Reports'!I1269="","",'R.M Billets Reports'!I1269)</f>
      </c>
      <c r="M1270">
        <f t="shared" si="38"/>
      </c>
      <c r="N1270">
        <f>IF('R.M Billets Reports'!J1269="","",'R.M Billets Reports'!J1269)</f>
      </c>
      <c r="O1270">
        <f t="shared" si="39"/>
      </c>
      <c r="P1270">
        <f>IF('R.M Billets Reports'!A1269="SIZE",'R.M Billets Reports'!B1269,P1269)</f>
      </c>
    </row>
    <row r="1271" spans="1:16" x14ac:dyDescent="0.25">
      <c r="A1271">
        <f>IF(OR('R.M Billets Reports'!A1270="Date-",'R.M Billets Reports'!A1270="Date:-"),IF(IF(IF(ISNUMBER(SEARCH("Party Name:-",'R.M Billets Reports'!D1270)),TRIM('R.M Billets Reports'!F1270),IF(ISNUMBER(SEARCH("Party Name-",'R.M Billets Reports'!D1270)),TRIM(MID('R.M Billets Reports'!D1270,SEARCH("-",'R.M Billets Reports'!D1270)+1,200)),""))&lt;&gt;"",IF(ISNUMBER(SEARCH("Party Name:-",'R.M Billets Reports'!D1270)),TRIM('R.M Billets Reports'!F1270),IF(ISNUMBER(SEARCH("Party Name-",'R.M Billets Reports'!D1270)),TRIM(MID('R.M Billets Reports'!D1270,SEARCH("-",'R.M Billets Reports'!D1270)+1,200)),"")),IF(ISNUMBER(SEARCH("Party Name:-",'R.M Billets Reports'!D1271)),TRIM('R.M Billets Reports'!F1271),IF(ISNUMBER(SEARCH("Party Name-",'R.M Billets Reports'!D1271)),TRIM(MID('R.M Billets Reports'!D1271,SEARCH("-",'R.M Billets Reports'!D1271)+1,200)),"")))="VRKP ISPAT PVT LTD","VRKP",IF(IF(IF(ISNUMBER(SEARCH("Party Name:-",'R.M Billets Reports'!D1270)),TRIM('R.M Billets Reports'!F1270),IF(ISNUMBER(SEARCH("Party Name-",'R.M Billets Reports'!D1270)),TRIM(MID('R.M Billets Reports'!D1270,SEARCH("-",'R.M Billets Reports'!D1270)+1,200)),""))&lt;&gt;"",IF(ISNUMBER(SEARCH("Party Name:-",'R.M Billets Reports'!D1270)),TRIM('R.M Billets Reports'!F1270),IF(ISNUMBER(SEARCH("Party Name-",'R.M Billets Reports'!D1270)),TRIM(MID('R.M Billets Reports'!D1270,SEARCH("-",'R.M Billets Reports'!D1270)+1,200)),"")),IF(ISNUMBER(SEARCH("Party Name:-",'R.M Billets Reports'!D1271)),TRIM('R.M Billets Reports'!F1271),IF(ISNUMBER(SEARCH("Party Name-",'R.M Billets Reports'!D1271)),TRIM(MID('R.M Billets Reports'!D1271,SEARCH("-",'R.M Billets Reports'!D1271)+1,200)),"")))="SHRI RADHE","SHREE RADHE",IF(IF(IF(ISNUMBER(SEARCH("Party Name:-",'R.M Billets Reports'!D1270)),TRIM('R.M Billets Reports'!F1270),IF(ISNUMBER(SEARCH("Party Name-",'R.M Billets Reports'!D1270)),TRIM(MID('R.M Billets Reports'!D1270,SEARCH("-",'R.M Billets Reports'!D1270)+1,200)),""))&lt;&gt;"",IF(ISNUMBER(SEARCH("Party Name:-",'R.M Billets Reports'!D1270)),TRIM('R.M Billets Reports'!F1270),IF(ISNUMBER(SEARCH("Party Name-",'R.M Billets Reports'!D1270)),TRIM(MID('R.M Billets Reports'!D1270,SEARCH("-",'R.M Billets Reports'!D1270)+1,200)),"")),IF(ISNUMBER(SEARCH("Party Name:-",'R.M Billets Reports'!D1271)),TRIM('R.M Billets Reports'!F1271),IF(ISNUMBER(SEARCH("Party Name-",'R.M Billets Reports'!D1271)),TRIM(MID('R.M Billets Reports'!D1271,SEARCH("-",'R.M Billets Reports'!D1271)+1,200)),"")))="SHREE RADHE SHAKTI SPONGE AND POWER PVT. LTD.","SHREE RADHE",IF(IF(ISNUMBER(SEARCH("Party Name:-",'R.M Billets Reports'!D1270)),TRIM('R.M Billets Reports'!F1270),IF(ISNUMBER(SEARCH("Party Name-",'R.M Billets Reports'!D1270)),TRIM(MID('R.M Billets Reports'!D1270,SEARCH("-",'R.M Billets Reports'!D1270)+1,200)),""))&lt;&gt;"",IF(ISNUMBER(SEARCH("Party Name:-",'R.M Billets Reports'!D1270)),TRIM('R.M Billets Reports'!F1270),IF(ISNUMBER(SEARCH("Party Name-",'R.M Billets Reports'!D1270)),TRIM(MID('R.M Billets Reports'!D1270,SEARCH("-",'R.M Billets Reports'!D1270)+1,200)),"")),IF(ISNUMBER(SEARCH("Party Name:-",'R.M Billets Reports'!D1271)),TRIM('R.M Billets Reports'!F1271),IF(ISNUMBER(SEARCH("Party Name-",'R.M Billets Reports'!D1271)),TRIM(MID('R.M Billets Reports'!D1271,SEARCH("-",'R.M Billets Reports'!D1271)+1,200)),"")))))),IF(ROW()=2,"",A1270))</f>
      </c>
      <c r="B1271">
        <f>IF(OR('R.M Billets Reports'!A1270="Date-",'R.M Billets Reports'!A1270="Date:-"),'R.M Billets Reports'!B1270,IF(ROW()=2,"",B1270))</f>
      </c>
      <c r="C1271">
        <f>IF('R.M Billets Reports'!A1270="V.No.",'R.M Billets Reports'!B1270,IF(ROW()=2,"",C1270))</f>
      </c>
      <c r="D1271">
        <f>IF('R.M Billets Reports'!A1270&lt;&gt;"",'R.M Billets Reports'!A1270,IF(ROW()=2,"",D1270))</f>
      </c>
      <c r="E1271">
        <f>IF('R.M Billets Reports'!B1270="","",TRIM('R.M Billets Reports'!B1270))</f>
      </c>
      <c r="F1271">
        <f>'R.M Billets Reports'!C1270</f>
      </c>
      <c r="G1271">
        <f>'R.M Billets Reports'!D1270</f>
      </c>
      <c r="H1271">
        <f>'R.M Billets Reports'!E1270</f>
      </c>
      <c r="I1271">
        <f>'R.M Billets Reports'!F1270</f>
      </c>
      <c r="J1271">
        <f>'R.M Billets Reports'!G1270</f>
      </c>
      <c r="K1271">
        <f>'R.M Billets Reports'!H1270</f>
      </c>
      <c r="L1271">
        <f>IF('R.M Billets Reports'!I1270="","",'R.M Billets Reports'!I1270)</f>
      </c>
      <c r="M1271">
        <f t="shared" si="38"/>
      </c>
      <c r="N1271">
        <f>IF('R.M Billets Reports'!J1270="","",'R.M Billets Reports'!J1270)</f>
      </c>
      <c r="O1271">
        <f t="shared" si="39"/>
      </c>
      <c r="P1271">
        <f>IF('R.M Billets Reports'!A1270="SIZE",'R.M Billets Reports'!B1270,P1270)</f>
      </c>
    </row>
    <row r="1272" spans="1:16" x14ac:dyDescent="0.25">
      <c r="A1272">
        <f>IF(OR('R.M Billets Reports'!A1271="Date-",'R.M Billets Reports'!A1271="Date:-"),IF(IF(IF(ISNUMBER(SEARCH("Party Name:-",'R.M Billets Reports'!D1271)),TRIM('R.M Billets Reports'!F1271),IF(ISNUMBER(SEARCH("Party Name-",'R.M Billets Reports'!D1271)),TRIM(MID('R.M Billets Reports'!D1271,SEARCH("-",'R.M Billets Reports'!D1271)+1,200)),""))&lt;&gt;"",IF(ISNUMBER(SEARCH("Party Name:-",'R.M Billets Reports'!D1271)),TRIM('R.M Billets Reports'!F1271),IF(ISNUMBER(SEARCH("Party Name-",'R.M Billets Reports'!D1271)),TRIM(MID('R.M Billets Reports'!D1271,SEARCH("-",'R.M Billets Reports'!D1271)+1,200)),"")),IF(ISNUMBER(SEARCH("Party Name:-",'R.M Billets Reports'!D1272)),TRIM('R.M Billets Reports'!F1272),IF(ISNUMBER(SEARCH("Party Name-",'R.M Billets Reports'!D1272)),TRIM(MID('R.M Billets Reports'!D1272,SEARCH("-",'R.M Billets Reports'!D1272)+1,200)),"")))="VRKP ISPAT PVT LTD","VRKP",IF(IF(IF(ISNUMBER(SEARCH("Party Name:-",'R.M Billets Reports'!D1271)),TRIM('R.M Billets Reports'!F1271),IF(ISNUMBER(SEARCH("Party Name-",'R.M Billets Reports'!D1271)),TRIM(MID('R.M Billets Reports'!D1271,SEARCH("-",'R.M Billets Reports'!D1271)+1,200)),""))&lt;&gt;"",IF(ISNUMBER(SEARCH("Party Name:-",'R.M Billets Reports'!D1271)),TRIM('R.M Billets Reports'!F1271),IF(ISNUMBER(SEARCH("Party Name-",'R.M Billets Reports'!D1271)),TRIM(MID('R.M Billets Reports'!D1271,SEARCH("-",'R.M Billets Reports'!D1271)+1,200)),"")),IF(ISNUMBER(SEARCH("Party Name:-",'R.M Billets Reports'!D1272)),TRIM('R.M Billets Reports'!F1272),IF(ISNUMBER(SEARCH("Party Name-",'R.M Billets Reports'!D1272)),TRIM(MID('R.M Billets Reports'!D1272,SEARCH("-",'R.M Billets Reports'!D1272)+1,200)),"")))="SHRI RADHE","SHREE RADHE",IF(IF(IF(ISNUMBER(SEARCH("Party Name:-",'R.M Billets Reports'!D1271)),TRIM('R.M Billets Reports'!F1271),IF(ISNUMBER(SEARCH("Party Name-",'R.M Billets Reports'!D1271)),TRIM(MID('R.M Billets Reports'!D1271,SEARCH("-",'R.M Billets Reports'!D1271)+1,200)),""))&lt;&gt;"",IF(ISNUMBER(SEARCH("Party Name:-",'R.M Billets Reports'!D1271)),TRIM('R.M Billets Reports'!F1271),IF(ISNUMBER(SEARCH("Party Name-",'R.M Billets Reports'!D1271)),TRIM(MID('R.M Billets Reports'!D1271,SEARCH("-",'R.M Billets Reports'!D1271)+1,200)),"")),IF(ISNUMBER(SEARCH("Party Name:-",'R.M Billets Reports'!D1272)),TRIM('R.M Billets Reports'!F1272),IF(ISNUMBER(SEARCH("Party Name-",'R.M Billets Reports'!D1272)),TRIM(MID('R.M Billets Reports'!D1272,SEARCH("-",'R.M Billets Reports'!D1272)+1,200)),"")))="SHREE RADHE SHAKTI SPONGE AND POWER PVT. LTD.","SHREE RADHE",IF(IF(ISNUMBER(SEARCH("Party Name:-",'R.M Billets Reports'!D1271)),TRIM('R.M Billets Reports'!F1271),IF(ISNUMBER(SEARCH("Party Name-",'R.M Billets Reports'!D1271)),TRIM(MID('R.M Billets Reports'!D1271,SEARCH("-",'R.M Billets Reports'!D1271)+1,200)),""))&lt;&gt;"",IF(ISNUMBER(SEARCH("Party Name:-",'R.M Billets Reports'!D1271)),TRIM('R.M Billets Reports'!F1271),IF(ISNUMBER(SEARCH("Party Name-",'R.M Billets Reports'!D1271)),TRIM(MID('R.M Billets Reports'!D1271,SEARCH("-",'R.M Billets Reports'!D1271)+1,200)),"")),IF(ISNUMBER(SEARCH("Party Name:-",'R.M Billets Reports'!D1272)),TRIM('R.M Billets Reports'!F1272),IF(ISNUMBER(SEARCH("Party Name-",'R.M Billets Reports'!D1272)),TRIM(MID('R.M Billets Reports'!D1272,SEARCH("-",'R.M Billets Reports'!D1272)+1,200)),"")))))),IF(ROW()=2,"",A1271))</f>
      </c>
      <c r="B1272">
        <f>IF(OR('R.M Billets Reports'!A1271="Date-",'R.M Billets Reports'!A1271="Date:-"),'R.M Billets Reports'!B1271,IF(ROW()=2,"",B1271))</f>
      </c>
      <c r="C1272">
        <f>IF('R.M Billets Reports'!A1271="V.No.",'R.M Billets Reports'!B1271,IF(ROW()=2,"",C1271))</f>
      </c>
      <c r="D1272">
        <f>IF('R.M Billets Reports'!A1271&lt;&gt;"",'R.M Billets Reports'!A1271,IF(ROW()=2,"",D1271))</f>
      </c>
      <c r="E1272">
        <f>IF('R.M Billets Reports'!B1271="","",TRIM('R.M Billets Reports'!B1271))</f>
      </c>
      <c r="F1272">
        <f>'R.M Billets Reports'!C1271</f>
      </c>
      <c r="G1272">
        <f>'R.M Billets Reports'!D1271</f>
      </c>
      <c r="H1272">
        <f>'R.M Billets Reports'!E1271</f>
      </c>
      <c r="I1272">
        <f>'R.M Billets Reports'!F1271</f>
      </c>
      <c r="J1272">
        <f>'R.M Billets Reports'!G1271</f>
      </c>
      <c r="K1272">
        <f>'R.M Billets Reports'!H1271</f>
      </c>
      <c r="L1272">
        <f>IF('R.M Billets Reports'!I1271="","",'R.M Billets Reports'!I1271)</f>
      </c>
      <c r="M1272">
        <f t="shared" si="38"/>
      </c>
      <c r="N1272">
        <f>IF('R.M Billets Reports'!J1271="","",'R.M Billets Reports'!J1271)</f>
      </c>
      <c r="O1272">
        <f t="shared" si="39"/>
      </c>
      <c r="P1272">
        <f>IF('R.M Billets Reports'!A1271="SIZE",'R.M Billets Reports'!B1271,P1271)</f>
      </c>
    </row>
    <row r="1273" spans="1:16" x14ac:dyDescent="0.25">
      <c r="A1273">
        <f>IF(OR('R.M Billets Reports'!A1272="Date-",'R.M Billets Reports'!A1272="Date:-"),IF(IF(IF(ISNUMBER(SEARCH("Party Name:-",'R.M Billets Reports'!D1272)),TRIM('R.M Billets Reports'!F1272),IF(ISNUMBER(SEARCH("Party Name-",'R.M Billets Reports'!D1272)),TRIM(MID('R.M Billets Reports'!D1272,SEARCH("-",'R.M Billets Reports'!D1272)+1,200)),""))&lt;&gt;"",IF(ISNUMBER(SEARCH("Party Name:-",'R.M Billets Reports'!D1272)),TRIM('R.M Billets Reports'!F1272),IF(ISNUMBER(SEARCH("Party Name-",'R.M Billets Reports'!D1272)),TRIM(MID('R.M Billets Reports'!D1272,SEARCH("-",'R.M Billets Reports'!D1272)+1,200)),"")),IF(ISNUMBER(SEARCH("Party Name:-",'R.M Billets Reports'!D1273)),TRIM('R.M Billets Reports'!F1273),IF(ISNUMBER(SEARCH("Party Name-",'R.M Billets Reports'!D1273)),TRIM(MID('R.M Billets Reports'!D1273,SEARCH("-",'R.M Billets Reports'!D1273)+1,200)),"")))="VRKP ISPAT PVT LTD","VRKP",IF(IF(IF(ISNUMBER(SEARCH("Party Name:-",'R.M Billets Reports'!D1272)),TRIM('R.M Billets Reports'!F1272),IF(ISNUMBER(SEARCH("Party Name-",'R.M Billets Reports'!D1272)),TRIM(MID('R.M Billets Reports'!D1272,SEARCH("-",'R.M Billets Reports'!D1272)+1,200)),""))&lt;&gt;"",IF(ISNUMBER(SEARCH("Party Name:-",'R.M Billets Reports'!D1272)),TRIM('R.M Billets Reports'!F1272),IF(ISNUMBER(SEARCH("Party Name-",'R.M Billets Reports'!D1272)),TRIM(MID('R.M Billets Reports'!D1272,SEARCH("-",'R.M Billets Reports'!D1272)+1,200)),"")),IF(ISNUMBER(SEARCH("Party Name:-",'R.M Billets Reports'!D1273)),TRIM('R.M Billets Reports'!F1273),IF(ISNUMBER(SEARCH("Party Name-",'R.M Billets Reports'!D1273)),TRIM(MID('R.M Billets Reports'!D1273,SEARCH("-",'R.M Billets Reports'!D1273)+1,200)),"")))="SHRI RADHE","SHREE RADHE",IF(IF(IF(ISNUMBER(SEARCH("Party Name:-",'R.M Billets Reports'!D1272)),TRIM('R.M Billets Reports'!F1272),IF(ISNUMBER(SEARCH("Party Name-",'R.M Billets Reports'!D1272)),TRIM(MID('R.M Billets Reports'!D1272,SEARCH("-",'R.M Billets Reports'!D1272)+1,200)),""))&lt;&gt;"",IF(ISNUMBER(SEARCH("Party Name:-",'R.M Billets Reports'!D1272)),TRIM('R.M Billets Reports'!F1272),IF(ISNUMBER(SEARCH("Party Name-",'R.M Billets Reports'!D1272)),TRIM(MID('R.M Billets Reports'!D1272,SEARCH("-",'R.M Billets Reports'!D1272)+1,200)),"")),IF(ISNUMBER(SEARCH("Party Name:-",'R.M Billets Reports'!D1273)),TRIM('R.M Billets Reports'!F1273),IF(ISNUMBER(SEARCH("Party Name-",'R.M Billets Reports'!D1273)),TRIM(MID('R.M Billets Reports'!D1273,SEARCH("-",'R.M Billets Reports'!D1273)+1,200)),"")))="SHREE RADHE SHAKTI SPONGE AND POWER PVT. LTD.","SHREE RADHE",IF(IF(ISNUMBER(SEARCH("Party Name:-",'R.M Billets Reports'!D1272)),TRIM('R.M Billets Reports'!F1272),IF(ISNUMBER(SEARCH("Party Name-",'R.M Billets Reports'!D1272)),TRIM(MID('R.M Billets Reports'!D1272,SEARCH("-",'R.M Billets Reports'!D1272)+1,200)),""))&lt;&gt;"",IF(ISNUMBER(SEARCH("Party Name:-",'R.M Billets Reports'!D1272)),TRIM('R.M Billets Reports'!F1272),IF(ISNUMBER(SEARCH("Party Name-",'R.M Billets Reports'!D1272)),TRIM(MID('R.M Billets Reports'!D1272,SEARCH("-",'R.M Billets Reports'!D1272)+1,200)),"")),IF(ISNUMBER(SEARCH("Party Name:-",'R.M Billets Reports'!D1273)),TRIM('R.M Billets Reports'!F1273),IF(ISNUMBER(SEARCH("Party Name-",'R.M Billets Reports'!D1273)),TRIM(MID('R.M Billets Reports'!D1273,SEARCH("-",'R.M Billets Reports'!D1273)+1,200)),"")))))),IF(ROW()=2,"",A1272))</f>
      </c>
      <c r="B1273">
        <f>IF(OR('R.M Billets Reports'!A1272="Date-",'R.M Billets Reports'!A1272="Date:-"),'R.M Billets Reports'!B1272,IF(ROW()=2,"",B1272))</f>
      </c>
      <c r="C1273">
        <f>IF('R.M Billets Reports'!A1272="V.No.",'R.M Billets Reports'!B1272,IF(ROW()=2,"",C1272))</f>
      </c>
      <c r="D1273">
        <f>IF('R.M Billets Reports'!A1272&lt;&gt;"",'R.M Billets Reports'!A1272,IF(ROW()=2,"",D1272))</f>
      </c>
      <c r="E1273">
        <f>IF('R.M Billets Reports'!B1272="","",TRIM('R.M Billets Reports'!B1272))</f>
      </c>
      <c r="F1273">
        <f>'R.M Billets Reports'!C1272</f>
      </c>
      <c r="G1273">
        <f>'R.M Billets Reports'!D1272</f>
      </c>
      <c r="H1273">
        <f>'R.M Billets Reports'!E1272</f>
      </c>
      <c r="I1273">
        <f>'R.M Billets Reports'!F1272</f>
      </c>
      <c r="J1273">
        <f>'R.M Billets Reports'!G1272</f>
      </c>
      <c r="K1273">
        <f>'R.M Billets Reports'!H1272</f>
      </c>
      <c r="L1273">
        <f>IF('R.M Billets Reports'!I1272="","",'R.M Billets Reports'!I1272)</f>
      </c>
      <c r="M1273">
        <f t="shared" si="38"/>
      </c>
      <c r="N1273">
        <f>IF('R.M Billets Reports'!J1272="","",'R.M Billets Reports'!J1272)</f>
      </c>
      <c r="O1273">
        <f t="shared" si="39"/>
      </c>
      <c r="P1273">
        <f>IF('R.M Billets Reports'!A1272="SIZE",'R.M Billets Reports'!B1272,P1272)</f>
      </c>
    </row>
    <row r="1274" spans="1:16" x14ac:dyDescent="0.25">
      <c r="A1274">
        <f>IF(OR('R.M Billets Reports'!A1273="Date-",'R.M Billets Reports'!A1273="Date:-"),IF(IF(IF(ISNUMBER(SEARCH("Party Name:-",'R.M Billets Reports'!D1273)),TRIM('R.M Billets Reports'!F1273),IF(ISNUMBER(SEARCH("Party Name-",'R.M Billets Reports'!D1273)),TRIM(MID('R.M Billets Reports'!D1273,SEARCH("-",'R.M Billets Reports'!D1273)+1,200)),""))&lt;&gt;"",IF(ISNUMBER(SEARCH("Party Name:-",'R.M Billets Reports'!D1273)),TRIM('R.M Billets Reports'!F1273),IF(ISNUMBER(SEARCH("Party Name-",'R.M Billets Reports'!D1273)),TRIM(MID('R.M Billets Reports'!D1273,SEARCH("-",'R.M Billets Reports'!D1273)+1,200)),"")),IF(ISNUMBER(SEARCH("Party Name:-",'R.M Billets Reports'!D1274)),TRIM('R.M Billets Reports'!F1274),IF(ISNUMBER(SEARCH("Party Name-",'R.M Billets Reports'!D1274)),TRIM(MID('R.M Billets Reports'!D1274,SEARCH("-",'R.M Billets Reports'!D1274)+1,200)),"")))="VRKP ISPAT PVT LTD","VRKP",IF(IF(IF(ISNUMBER(SEARCH("Party Name:-",'R.M Billets Reports'!D1273)),TRIM('R.M Billets Reports'!F1273),IF(ISNUMBER(SEARCH("Party Name-",'R.M Billets Reports'!D1273)),TRIM(MID('R.M Billets Reports'!D1273,SEARCH("-",'R.M Billets Reports'!D1273)+1,200)),""))&lt;&gt;"",IF(ISNUMBER(SEARCH("Party Name:-",'R.M Billets Reports'!D1273)),TRIM('R.M Billets Reports'!F1273),IF(ISNUMBER(SEARCH("Party Name-",'R.M Billets Reports'!D1273)),TRIM(MID('R.M Billets Reports'!D1273,SEARCH("-",'R.M Billets Reports'!D1273)+1,200)),"")),IF(ISNUMBER(SEARCH("Party Name:-",'R.M Billets Reports'!D1274)),TRIM('R.M Billets Reports'!F1274),IF(ISNUMBER(SEARCH("Party Name-",'R.M Billets Reports'!D1274)),TRIM(MID('R.M Billets Reports'!D1274,SEARCH("-",'R.M Billets Reports'!D1274)+1,200)),"")))="SHRI RADHE","SHREE RADHE",IF(IF(IF(ISNUMBER(SEARCH("Party Name:-",'R.M Billets Reports'!D1273)),TRIM('R.M Billets Reports'!F1273),IF(ISNUMBER(SEARCH("Party Name-",'R.M Billets Reports'!D1273)),TRIM(MID('R.M Billets Reports'!D1273,SEARCH("-",'R.M Billets Reports'!D1273)+1,200)),""))&lt;&gt;"",IF(ISNUMBER(SEARCH("Party Name:-",'R.M Billets Reports'!D1273)),TRIM('R.M Billets Reports'!F1273),IF(ISNUMBER(SEARCH("Party Name-",'R.M Billets Reports'!D1273)),TRIM(MID('R.M Billets Reports'!D1273,SEARCH("-",'R.M Billets Reports'!D1273)+1,200)),"")),IF(ISNUMBER(SEARCH("Party Name:-",'R.M Billets Reports'!D1274)),TRIM('R.M Billets Reports'!F1274),IF(ISNUMBER(SEARCH("Party Name-",'R.M Billets Reports'!D1274)),TRIM(MID('R.M Billets Reports'!D1274,SEARCH("-",'R.M Billets Reports'!D1274)+1,200)),"")))="SHREE RADHE SHAKTI SPONGE AND POWER PVT. LTD.","SHREE RADHE",IF(IF(ISNUMBER(SEARCH("Party Name:-",'R.M Billets Reports'!D1273)),TRIM('R.M Billets Reports'!F1273),IF(ISNUMBER(SEARCH("Party Name-",'R.M Billets Reports'!D1273)),TRIM(MID('R.M Billets Reports'!D1273,SEARCH("-",'R.M Billets Reports'!D1273)+1,200)),""))&lt;&gt;"",IF(ISNUMBER(SEARCH("Party Name:-",'R.M Billets Reports'!D1273)),TRIM('R.M Billets Reports'!F1273),IF(ISNUMBER(SEARCH("Party Name-",'R.M Billets Reports'!D1273)),TRIM(MID('R.M Billets Reports'!D1273,SEARCH("-",'R.M Billets Reports'!D1273)+1,200)),"")),IF(ISNUMBER(SEARCH("Party Name:-",'R.M Billets Reports'!D1274)),TRIM('R.M Billets Reports'!F1274),IF(ISNUMBER(SEARCH("Party Name-",'R.M Billets Reports'!D1274)),TRIM(MID('R.M Billets Reports'!D1274,SEARCH("-",'R.M Billets Reports'!D1274)+1,200)),"")))))),IF(ROW()=2,"",A1273))</f>
      </c>
      <c r="B1274">
        <f>IF(OR('R.M Billets Reports'!A1273="Date-",'R.M Billets Reports'!A1273="Date:-"),'R.M Billets Reports'!B1273,IF(ROW()=2,"",B1273))</f>
      </c>
      <c r="C1274">
        <f>IF('R.M Billets Reports'!A1273="V.No.",'R.M Billets Reports'!B1273,IF(ROW()=2,"",C1273))</f>
      </c>
      <c r="D1274">
        <f>IF('R.M Billets Reports'!A1273&lt;&gt;"",'R.M Billets Reports'!A1273,IF(ROW()=2,"",D1273))</f>
      </c>
      <c r="E1274">
        <f>IF('R.M Billets Reports'!B1273="","",TRIM('R.M Billets Reports'!B1273))</f>
      </c>
      <c r="F1274">
        <f>'R.M Billets Reports'!C1273</f>
      </c>
      <c r="G1274">
        <f>'R.M Billets Reports'!D1273</f>
      </c>
      <c r="H1274">
        <f>'R.M Billets Reports'!E1273</f>
      </c>
      <c r="I1274">
        <f>'R.M Billets Reports'!F1273</f>
      </c>
      <c r="J1274">
        <f>'R.M Billets Reports'!G1273</f>
      </c>
      <c r="K1274">
        <f>'R.M Billets Reports'!H1273</f>
      </c>
      <c r="L1274">
        <f>IF('R.M Billets Reports'!I1273="","",'R.M Billets Reports'!I1273)</f>
      </c>
      <c r="M1274">
        <f t="shared" si="38"/>
      </c>
      <c r="N1274">
        <f>IF('R.M Billets Reports'!J1273="","",'R.M Billets Reports'!J1273)</f>
      </c>
      <c r="O1274">
        <f t="shared" si="39"/>
      </c>
      <c r="P1274">
        <f>IF('R.M Billets Reports'!A1273="SIZE",'R.M Billets Reports'!B1273,P1273)</f>
      </c>
    </row>
    <row r="1275" spans="1:16" x14ac:dyDescent="0.25">
      <c r="A1275">
        <f>IF(OR('R.M Billets Reports'!A1274="Date-",'R.M Billets Reports'!A1274="Date:-"),IF(IF(IF(ISNUMBER(SEARCH("Party Name:-",'R.M Billets Reports'!D1274)),TRIM('R.M Billets Reports'!F1274),IF(ISNUMBER(SEARCH("Party Name-",'R.M Billets Reports'!D1274)),TRIM(MID('R.M Billets Reports'!D1274,SEARCH("-",'R.M Billets Reports'!D1274)+1,200)),""))&lt;&gt;"",IF(ISNUMBER(SEARCH("Party Name:-",'R.M Billets Reports'!D1274)),TRIM('R.M Billets Reports'!F1274),IF(ISNUMBER(SEARCH("Party Name-",'R.M Billets Reports'!D1274)),TRIM(MID('R.M Billets Reports'!D1274,SEARCH("-",'R.M Billets Reports'!D1274)+1,200)),"")),IF(ISNUMBER(SEARCH("Party Name:-",'R.M Billets Reports'!D1275)),TRIM('R.M Billets Reports'!F1275),IF(ISNUMBER(SEARCH("Party Name-",'R.M Billets Reports'!D1275)),TRIM(MID('R.M Billets Reports'!D1275,SEARCH("-",'R.M Billets Reports'!D1275)+1,200)),"")))="VRKP ISPAT PVT LTD","VRKP",IF(IF(IF(ISNUMBER(SEARCH("Party Name:-",'R.M Billets Reports'!D1274)),TRIM('R.M Billets Reports'!F1274),IF(ISNUMBER(SEARCH("Party Name-",'R.M Billets Reports'!D1274)),TRIM(MID('R.M Billets Reports'!D1274,SEARCH("-",'R.M Billets Reports'!D1274)+1,200)),""))&lt;&gt;"",IF(ISNUMBER(SEARCH("Party Name:-",'R.M Billets Reports'!D1274)),TRIM('R.M Billets Reports'!F1274),IF(ISNUMBER(SEARCH("Party Name-",'R.M Billets Reports'!D1274)),TRIM(MID('R.M Billets Reports'!D1274,SEARCH("-",'R.M Billets Reports'!D1274)+1,200)),"")),IF(ISNUMBER(SEARCH("Party Name:-",'R.M Billets Reports'!D1275)),TRIM('R.M Billets Reports'!F1275),IF(ISNUMBER(SEARCH("Party Name-",'R.M Billets Reports'!D1275)),TRIM(MID('R.M Billets Reports'!D1275,SEARCH("-",'R.M Billets Reports'!D1275)+1,200)),"")))="SHRI RADHE","SHREE RADHE",IF(IF(IF(ISNUMBER(SEARCH("Party Name:-",'R.M Billets Reports'!D1274)),TRIM('R.M Billets Reports'!F1274),IF(ISNUMBER(SEARCH("Party Name-",'R.M Billets Reports'!D1274)),TRIM(MID('R.M Billets Reports'!D1274,SEARCH("-",'R.M Billets Reports'!D1274)+1,200)),""))&lt;&gt;"",IF(ISNUMBER(SEARCH("Party Name:-",'R.M Billets Reports'!D1274)),TRIM('R.M Billets Reports'!F1274),IF(ISNUMBER(SEARCH("Party Name-",'R.M Billets Reports'!D1274)),TRIM(MID('R.M Billets Reports'!D1274,SEARCH("-",'R.M Billets Reports'!D1274)+1,200)),"")),IF(ISNUMBER(SEARCH("Party Name:-",'R.M Billets Reports'!D1275)),TRIM('R.M Billets Reports'!F1275),IF(ISNUMBER(SEARCH("Party Name-",'R.M Billets Reports'!D1275)),TRIM(MID('R.M Billets Reports'!D1275,SEARCH("-",'R.M Billets Reports'!D1275)+1,200)),"")))="SHREE RADHE SHAKTI SPONGE AND POWER PVT. LTD.","SHREE RADHE",IF(IF(ISNUMBER(SEARCH("Party Name:-",'R.M Billets Reports'!D1274)),TRIM('R.M Billets Reports'!F1274),IF(ISNUMBER(SEARCH("Party Name-",'R.M Billets Reports'!D1274)),TRIM(MID('R.M Billets Reports'!D1274,SEARCH("-",'R.M Billets Reports'!D1274)+1,200)),""))&lt;&gt;"",IF(ISNUMBER(SEARCH("Party Name:-",'R.M Billets Reports'!D1274)),TRIM('R.M Billets Reports'!F1274),IF(ISNUMBER(SEARCH("Party Name-",'R.M Billets Reports'!D1274)),TRIM(MID('R.M Billets Reports'!D1274,SEARCH("-",'R.M Billets Reports'!D1274)+1,200)),"")),IF(ISNUMBER(SEARCH("Party Name:-",'R.M Billets Reports'!D1275)),TRIM('R.M Billets Reports'!F1275),IF(ISNUMBER(SEARCH("Party Name-",'R.M Billets Reports'!D1275)),TRIM(MID('R.M Billets Reports'!D1275,SEARCH("-",'R.M Billets Reports'!D1275)+1,200)),"")))))),IF(ROW()=2,"",A1274))</f>
      </c>
      <c r="B1275">
        <f>IF(OR('R.M Billets Reports'!A1274="Date-",'R.M Billets Reports'!A1274="Date:-"),'R.M Billets Reports'!B1274,IF(ROW()=2,"",B1274))</f>
      </c>
      <c r="C1275">
        <f>IF('R.M Billets Reports'!A1274="V.No.",'R.M Billets Reports'!B1274,IF(ROW()=2,"",C1274))</f>
      </c>
      <c r="D1275">
        <f>IF('R.M Billets Reports'!A1274&lt;&gt;"",'R.M Billets Reports'!A1274,IF(ROW()=2,"",D1274))</f>
      </c>
      <c r="E1275">
        <f>IF('R.M Billets Reports'!B1274="","",TRIM('R.M Billets Reports'!B1274))</f>
      </c>
      <c r="F1275">
        <f>'R.M Billets Reports'!C1274</f>
      </c>
      <c r="G1275">
        <f>'R.M Billets Reports'!D1274</f>
      </c>
      <c r="H1275">
        <f>'R.M Billets Reports'!E1274</f>
      </c>
      <c r="I1275">
        <f>'R.M Billets Reports'!F1274</f>
      </c>
      <c r="J1275">
        <f>'R.M Billets Reports'!G1274</f>
      </c>
      <c r="K1275">
        <f>'R.M Billets Reports'!H1274</f>
      </c>
      <c r="L1275">
        <f>IF('R.M Billets Reports'!I1274="","",'R.M Billets Reports'!I1274)</f>
      </c>
      <c r="M1275">
        <f t="shared" si="38"/>
      </c>
      <c r="N1275">
        <f>IF('R.M Billets Reports'!J1274="","",'R.M Billets Reports'!J1274)</f>
      </c>
      <c r="O1275">
        <f t="shared" si="39"/>
      </c>
      <c r="P1275">
        <f>IF('R.M Billets Reports'!A1274="SIZE",'R.M Billets Reports'!B1274,P1274)</f>
      </c>
    </row>
    <row r="1276" spans="1:16" x14ac:dyDescent="0.25">
      <c r="A1276">
        <f>IF(OR('R.M Billets Reports'!A1275="Date-",'R.M Billets Reports'!A1275="Date:-"),IF(IF(IF(ISNUMBER(SEARCH("Party Name:-",'R.M Billets Reports'!D1275)),TRIM('R.M Billets Reports'!F1275),IF(ISNUMBER(SEARCH("Party Name-",'R.M Billets Reports'!D1275)),TRIM(MID('R.M Billets Reports'!D1275,SEARCH("-",'R.M Billets Reports'!D1275)+1,200)),""))&lt;&gt;"",IF(ISNUMBER(SEARCH("Party Name:-",'R.M Billets Reports'!D1275)),TRIM('R.M Billets Reports'!F1275),IF(ISNUMBER(SEARCH("Party Name-",'R.M Billets Reports'!D1275)),TRIM(MID('R.M Billets Reports'!D1275,SEARCH("-",'R.M Billets Reports'!D1275)+1,200)),"")),IF(ISNUMBER(SEARCH("Party Name:-",'R.M Billets Reports'!D1276)),TRIM('R.M Billets Reports'!F1276),IF(ISNUMBER(SEARCH("Party Name-",'R.M Billets Reports'!D1276)),TRIM(MID('R.M Billets Reports'!D1276,SEARCH("-",'R.M Billets Reports'!D1276)+1,200)),"")))="VRKP ISPAT PVT LTD","VRKP",IF(IF(IF(ISNUMBER(SEARCH("Party Name:-",'R.M Billets Reports'!D1275)),TRIM('R.M Billets Reports'!F1275),IF(ISNUMBER(SEARCH("Party Name-",'R.M Billets Reports'!D1275)),TRIM(MID('R.M Billets Reports'!D1275,SEARCH("-",'R.M Billets Reports'!D1275)+1,200)),""))&lt;&gt;"",IF(ISNUMBER(SEARCH("Party Name:-",'R.M Billets Reports'!D1275)),TRIM('R.M Billets Reports'!F1275),IF(ISNUMBER(SEARCH("Party Name-",'R.M Billets Reports'!D1275)),TRIM(MID('R.M Billets Reports'!D1275,SEARCH("-",'R.M Billets Reports'!D1275)+1,200)),"")),IF(ISNUMBER(SEARCH("Party Name:-",'R.M Billets Reports'!D1276)),TRIM('R.M Billets Reports'!F1276),IF(ISNUMBER(SEARCH("Party Name-",'R.M Billets Reports'!D1276)),TRIM(MID('R.M Billets Reports'!D1276,SEARCH("-",'R.M Billets Reports'!D1276)+1,200)),"")))="SHRI RADHE","SHREE RADHE",IF(IF(IF(ISNUMBER(SEARCH("Party Name:-",'R.M Billets Reports'!D1275)),TRIM('R.M Billets Reports'!F1275),IF(ISNUMBER(SEARCH("Party Name-",'R.M Billets Reports'!D1275)),TRIM(MID('R.M Billets Reports'!D1275,SEARCH("-",'R.M Billets Reports'!D1275)+1,200)),""))&lt;&gt;"",IF(ISNUMBER(SEARCH("Party Name:-",'R.M Billets Reports'!D1275)),TRIM('R.M Billets Reports'!F1275),IF(ISNUMBER(SEARCH("Party Name-",'R.M Billets Reports'!D1275)),TRIM(MID('R.M Billets Reports'!D1275,SEARCH("-",'R.M Billets Reports'!D1275)+1,200)),"")),IF(ISNUMBER(SEARCH("Party Name:-",'R.M Billets Reports'!D1276)),TRIM('R.M Billets Reports'!F1276),IF(ISNUMBER(SEARCH("Party Name-",'R.M Billets Reports'!D1276)),TRIM(MID('R.M Billets Reports'!D1276,SEARCH("-",'R.M Billets Reports'!D1276)+1,200)),"")))="SHREE RADHE SHAKTI SPONGE AND POWER PVT. LTD.","SHREE RADHE",IF(IF(ISNUMBER(SEARCH("Party Name:-",'R.M Billets Reports'!D1275)),TRIM('R.M Billets Reports'!F1275),IF(ISNUMBER(SEARCH("Party Name-",'R.M Billets Reports'!D1275)),TRIM(MID('R.M Billets Reports'!D1275,SEARCH("-",'R.M Billets Reports'!D1275)+1,200)),""))&lt;&gt;"",IF(ISNUMBER(SEARCH("Party Name:-",'R.M Billets Reports'!D1275)),TRIM('R.M Billets Reports'!F1275),IF(ISNUMBER(SEARCH("Party Name-",'R.M Billets Reports'!D1275)),TRIM(MID('R.M Billets Reports'!D1275,SEARCH("-",'R.M Billets Reports'!D1275)+1,200)),"")),IF(ISNUMBER(SEARCH("Party Name:-",'R.M Billets Reports'!D1276)),TRIM('R.M Billets Reports'!F1276),IF(ISNUMBER(SEARCH("Party Name-",'R.M Billets Reports'!D1276)),TRIM(MID('R.M Billets Reports'!D1276,SEARCH("-",'R.M Billets Reports'!D1276)+1,200)),"")))))),IF(ROW()=2,"",A1275))</f>
      </c>
      <c r="B1276">
        <f>IF(OR('R.M Billets Reports'!A1275="Date-",'R.M Billets Reports'!A1275="Date:-"),'R.M Billets Reports'!B1275,IF(ROW()=2,"",B1275))</f>
      </c>
      <c r="C1276">
        <f>IF('R.M Billets Reports'!A1275="V.No.",'R.M Billets Reports'!B1275,IF(ROW()=2,"",C1275))</f>
      </c>
      <c r="D1276">
        <f>IF('R.M Billets Reports'!A1275&lt;&gt;"",'R.M Billets Reports'!A1275,IF(ROW()=2,"",D1275))</f>
      </c>
      <c r="E1276">
        <f>IF('R.M Billets Reports'!B1275="","",TRIM('R.M Billets Reports'!B1275))</f>
      </c>
      <c r="F1276">
        <f>'R.M Billets Reports'!C1275</f>
      </c>
      <c r="G1276">
        <f>'R.M Billets Reports'!D1275</f>
      </c>
      <c r="H1276">
        <f>'R.M Billets Reports'!E1275</f>
      </c>
      <c r="I1276">
        <f>'R.M Billets Reports'!F1275</f>
      </c>
      <c r="J1276">
        <f>'R.M Billets Reports'!G1275</f>
      </c>
      <c r="K1276">
        <f>'R.M Billets Reports'!H1275</f>
      </c>
      <c r="L1276">
        <f>IF('R.M Billets Reports'!I1275="","",'R.M Billets Reports'!I1275)</f>
      </c>
      <c r="M1276">
        <f t="shared" si="38"/>
      </c>
      <c r="N1276">
        <f>IF('R.M Billets Reports'!J1275="","",'R.M Billets Reports'!J1275)</f>
      </c>
      <c r="O1276">
        <f t="shared" si="39"/>
      </c>
      <c r="P1276">
        <f>IF('R.M Billets Reports'!A1275="SIZE",'R.M Billets Reports'!B1275,P1275)</f>
      </c>
    </row>
    <row r="1277" spans="1:16" x14ac:dyDescent="0.25">
      <c r="A1277">
        <f>IF(OR('R.M Billets Reports'!A1276="Date-",'R.M Billets Reports'!A1276="Date:-"),IF(IF(IF(ISNUMBER(SEARCH("Party Name:-",'R.M Billets Reports'!D1276)),TRIM('R.M Billets Reports'!F1276),IF(ISNUMBER(SEARCH("Party Name-",'R.M Billets Reports'!D1276)),TRIM(MID('R.M Billets Reports'!D1276,SEARCH("-",'R.M Billets Reports'!D1276)+1,200)),""))&lt;&gt;"",IF(ISNUMBER(SEARCH("Party Name:-",'R.M Billets Reports'!D1276)),TRIM('R.M Billets Reports'!F1276),IF(ISNUMBER(SEARCH("Party Name-",'R.M Billets Reports'!D1276)),TRIM(MID('R.M Billets Reports'!D1276,SEARCH("-",'R.M Billets Reports'!D1276)+1,200)),"")),IF(ISNUMBER(SEARCH("Party Name:-",'R.M Billets Reports'!D1277)),TRIM('R.M Billets Reports'!F1277),IF(ISNUMBER(SEARCH("Party Name-",'R.M Billets Reports'!D1277)),TRIM(MID('R.M Billets Reports'!D1277,SEARCH("-",'R.M Billets Reports'!D1277)+1,200)),"")))="VRKP ISPAT PVT LTD","VRKP",IF(IF(IF(ISNUMBER(SEARCH("Party Name:-",'R.M Billets Reports'!D1276)),TRIM('R.M Billets Reports'!F1276),IF(ISNUMBER(SEARCH("Party Name-",'R.M Billets Reports'!D1276)),TRIM(MID('R.M Billets Reports'!D1276,SEARCH("-",'R.M Billets Reports'!D1276)+1,200)),""))&lt;&gt;"",IF(ISNUMBER(SEARCH("Party Name:-",'R.M Billets Reports'!D1276)),TRIM('R.M Billets Reports'!F1276),IF(ISNUMBER(SEARCH("Party Name-",'R.M Billets Reports'!D1276)),TRIM(MID('R.M Billets Reports'!D1276,SEARCH("-",'R.M Billets Reports'!D1276)+1,200)),"")),IF(ISNUMBER(SEARCH("Party Name:-",'R.M Billets Reports'!D1277)),TRIM('R.M Billets Reports'!F1277),IF(ISNUMBER(SEARCH("Party Name-",'R.M Billets Reports'!D1277)),TRIM(MID('R.M Billets Reports'!D1277,SEARCH("-",'R.M Billets Reports'!D1277)+1,200)),"")))="SHRI RADHE","SHREE RADHE",IF(IF(IF(ISNUMBER(SEARCH("Party Name:-",'R.M Billets Reports'!D1276)),TRIM('R.M Billets Reports'!F1276),IF(ISNUMBER(SEARCH("Party Name-",'R.M Billets Reports'!D1276)),TRIM(MID('R.M Billets Reports'!D1276,SEARCH("-",'R.M Billets Reports'!D1276)+1,200)),""))&lt;&gt;"",IF(ISNUMBER(SEARCH("Party Name:-",'R.M Billets Reports'!D1276)),TRIM('R.M Billets Reports'!F1276),IF(ISNUMBER(SEARCH("Party Name-",'R.M Billets Reports'!D1276)),TRIM(MID('R.M Billets Reports'!D1276,SEARCH("-",'R.M Billets Reports'!D1276)+1,200)),"")),IF(ISNUMBER(SEARCH("Party Name:-",'R.M Billets Reports'!D1277)),TRIM('R.M Billets Reports'!F1277),IF(ISNUMBER(SEARCH("Party Name-",'R.M Billets Reports'!D1277)),TRIM(MID('R.M Billets Reports'!D1277,SEARCH("-",'R.M Billets Reports'!D1277)+1,200)),"")))="SHREE RADHE SHAKTI SPONGE AND POWER PVT. LTD.","SHREE RADHE",IF(IF(ISNUMBER(SEARCH("Party Name:-",'R.M Billets Reports'!D1276)),TRIM('R.M Billets Reports'!F1276),IF(ISNUMBER(SEARCH("Party Name-",'R.M Billets Reports'!D1276)),TRIM(MID('R.M Billets Reports'!D1276,SEARCH("-",'R.M Billets Reports'!D1276)+1,200)),""))&lt;&gt;"",IF(ISNUMBER(SEARCH("Party Name:-",'R.M Billets Reports'!D1276)),TRIM('R.M Billets Reports'!F1276),IF(ISNUMBER(SEARCH("Party Name-",'R.M Billets Reports'!D1276)),TRIM(MID('R.M Billets Reports'!D1276,SEARCH("-",'R.M Billets Reports'!D1276)+1,200)),"")),IF(ISNUMBER(SEARCH("Party Name:-",'R.M Billets Reports'!D1277)),TRIM('R.M Billets Reports'!F1277),IF(ISNUMBER(SEARCH("Party Name-",'R.M Billets Reports'!D1277)),TRIM(MID('R.M Billets Reports'!D1277,SEARCH("-",'R.M Billets Reports'!D1277)+1,200)),"")))))),IF(ROW()=2,"",A1276))</f>
      </c>
      <c r="B1277">
        <f>IF(OR('R.M Billets Reports'!A1276="Date-",'R.M Billets Reports'!A1276="Date:-"),'R.M Billets Reports'!B1276,IF(ROW()=2,"",B1276))</f>
      </c>
      <c r="C1277">
        <f>IF('R.M Billets Reports'!A1276="V.No.",'R.M Billets Reports'!B1276,IF(ROW()=2,"",C1276))</f>
      </c>
      <c r="D1277">
        <f>IF('R.M Billets Reports'!A1276&lt;&gt;"",'R.M Billets Reports'!A1276,IF(ROW()=2,"",D1276))</f>
      </c>
      <c r="E1277">
        <f>IF('R.M Billets Reports'!B1276="","",TRIM('R.M Billets Reports'!B1276))</f>
      </c>
      <c r="F1277">
        <f>'R.M Billets Reports'!C1276</f>
      </c>
      <c r="G1277">
        <f>'R.M Billets Reports'!D1276</f>
      </c>
      <c r="H1277">
        <f>'R.M Billets Reports'!E1276</f>
      </c>
      <c r="I1277">
        <f>'R.M Billets Reports'!F1276</f>
      </c>
      <c r="J1277">
        <f>'R.M Billets Reports'!G1276</f>
      </c>
      <c r="K1277">
        <f>'R.M Billets Reports'!H1276</f>
      </c>
      <c r="L1277">
        <f>IF('R.M Billets Reports'!I1276="","",'R.M Billets Reports'!I1276)</f>
      </c>
      <c r="M1277">
        <f t="shared" si="38"/>
      </c>
      <c r="N1277">
        <f>IF('R.M Billets Reports'!J1276="","",'R.M Billets Reports'!J1276)</f>
      </c>
      <c r="O1277">
        <f t="shared" si="39"/>
      </c>
      <c r="P1277">
        <f>IF('R.M Billets Reports'!A1276="SIZE",'R.M Billets Reports'!B1276,P1276)</f>
      </c>
    </row>
    <row r="1278" spans="1:16" x14ac:dyDescent="0.25">
      <c r="A1278">
        <f>IF(OR('R.M Billets Reports'!A1277="Date-",'R.M Billets Reports'!A1277="Date:-"),IF(IF(IF(ISNUMBER(SEARCH("Party Name:-",'R.M Billets Reports'!D1277)),TRIM('R.M Billets Reports'!F1277),IF(ISNUMBER(SEARCH("Party Name-",'R.M Billets Reports'!D1277)),TRIM(MID('R.M Billets Reports'!D1277,SEARCH("-",'R.M Billets Reports'!D1277)+1,200)),""))&lt;&gt;"",IF(ISNUMBER(SEARCH("Party Name:-",'R.M Billets Reports'!D1277)),TRIM('R.M Billets Reports'!F1277),IF(ISNUMBER(SEARCH("Party Name-",'R.M Billets Reports'!D1277)),TRIM(MID('R.M Billets Reports'!D1277,SEARCH("-",'R.M Billets Reports'!D1277)+1,200)),"")),IF(ISNUMBER(SEARCH("Party Name:-",'R.M Billets Reports'!D1278)),TRIM('R.M Billets Reports'!F1278),IF(ISNUMBER(SEARCH("Party Name-",'R.M Billets Reports'!D1278)),TRIM(MID('R.M Billets Reports'!D1278,SEARCH("-",'R.M Billets Reports'!D1278)+1,200)),"")))="VRKP ISPAT PVT LTD","VRKP",IF(IF(IF(ISNUMBER(SEARCH("Party Name:-",'R.M Billets Reports'!D1277)),TRIM('R.M Billets Reports'!F1277),IF(ISNUMBER(SEARCH("Party Name-",'R.M Billets Reports'!D1277)),TRIM(MID('R.M Billets Reports'!D1277,SEARCH("-",'R.M Billets Reports'!D1277)+1,200)),""))&lt;&gt;"",IF(ISNUMBER(SEARCH("Party Name:-",'R.M Billets Reports'!D1277)),TRIM('R.M Billets Reports'!F1277),IF(ISNUMBER(SEARCH("Party Name-",'R.M Billets Reports'!D1277)),TRIM(MID('R.M Billets Reports'!D1277,SEARCH("-",'R.M Billets Reports'!D1277)+1,200)),"")),IF(ISNUMBER(SEARCH("Party Name:-",'R.M Billets Reports'!D1278)),TRIM('R.M Billets Reports'!F1278),IF(ISNUMBER(SEARCH("Party Name-",'R.M Billets Reports'!D1278)),TRIM(MID('R.M Billets Reports'!D1278,SEARCH("-",'R.M Billets Reports'!D1278)+1,200)),"")))="SHRI RADHE","SHREE RADHE",IF(IF(IF(ISNUMBER(SEARCH("Party Name:-",'R.M Billets Reports'!D1277)),TRIM('R.M Billets Reports'!F1277),IF(ISNUMBER(SEARCH("Party Name-",'R.M Billets Reports'!D1277)),TRIM(MID('R.M Billets Reports'!D1277,SEARCH("-",'R.M Billets Reports'!D1277)+1,200)),""))&lt;&gt;"",IF(ISNUMBER(SEARCH("Party Name:-",'R.M Billets Reports'!D1277)),TRIM('R.M Billets Reports'!F1277),IF(ISNUMBER(SEARCH("Party Name-",'R.M Billets Reports'!D1277)),TRIM(MID('R.M Billets Reports'!D1277,SEARCH("-",'R.M Billets Reports'!D1277)+1,200)),"")),IF(ISNUMBER(SEARCH("Party Name:-",'R.M Billets Reports'!D1278)),TRIM('R.M Billets Reports'!F1278),IF(ISNUMBER(SEARCH("Party Name-",'R.M Billets Reports'!D1278)),TRIM(MID('R.M Billets Reports'!D1278,SEARCH("-",'R.M Billets Reports'!D1278)+1,200)),"")))="SHREE RADHE SHAKTI SPONGE AND POWER PVT. LTD.","SHREE RADHE",IF(IF(ISNUMBER(SEARCH("Party Name:-",'R.M Billets Reports'!D1277)),TRIM('R.M Billets Reports'!F1277),IF(ISNUMBER(SEARCH("Party Name-",'R.M Billets Reports'!D1277)),TRIM(MID('R.M Billets Reports'!D1277,SEARCH("-",'R.M Billets Reports'!D1277)+1,200)),""))&lt;&gt;"",IF(ISNUMBER(SEARCH("Party Name:-",'R.M Billets Reports'!D1277)),TRIM('R.M Billets Reports'!F1277),IF(ISNUMBER(SEARCH("Party Name-",'R.M Billets Reports'!D1277)),TRIM(MID('R.M Billets Reports'!D1277,SEARCH("-",'R.M Billets Reports'!D1277)+1,200)),"")),IF(ISNUMBER(SEARCH("Party Name:-",'R.M Billets Reports'!D1278)),TRIM('R.M Billets Reports'!F1278),IF(ISNUMBER(SEARCH("Party Name-",'R.M Billets Reports'!D1278)),TRIM(MID('R.M Billets Reports'!D1278,SEARCH("-",'R.M Billets Reports'!D1278)+1,200)),"")))))),IF(ROW()=2,"",A1277))</f>
      </c>
      <c r="B1278">
        <f>IF(OR('R.M Billets Reports'!A1277="Date-",'R.M Billets Reports'!A1277="Date:-"),'R.M Billets Reports'!B1277,IF(ROW()=2,"",B1277))</f>
      </c>
      <c r="C1278">
        <f>IF('R.M Billets Reports'!A1277="V.No.",'R.M Billets Reports'!B1277,IF(ROW()=2,"",C1277))</f>
      </c>
      <c r="D1278">
        <f>IF('R.M Billets Reports'!A1277&lt;&gt;"",'R.M Billets Reports'!A1277,IF(ROW()=2,"",D1277))</f>
      </c>
      <c r="E1278">
        <f>IF('R.M Billets Reports'!B1277="","",TRIM('R.M Billets Reports'!B1277))</f>
      </c>
      <c r="F1278">
        <f>'R.M Billets Reports'!C1277</f>
      </c>
      <c r="G1278">
        <f>'R.M Billets Reports'!D1277</f>
      </c>
      <c r="H1278">
        <f>'R.M Billets Reports'!E1277</f>
      </c>
      <c r="I1278">
        <f>'R.M Billets Reports'!F1277</f>
      </c>
      <c r="J1278">
        <f>'R.M Billets Reports'!G1277</f>
      </c>
      <c r="K1278">
        <f>'R.M Billets Reports'!H1277</f>
      </c>
      <c r="L1278">
        <f>IF('R.M Billets Reports'!I1277="","",'R.M Billets Reports'!I1277)</f>
      </c>
      <c r="M1278">
        <f t="shared" si="38"/>
      </c>
      <c r="N1278">
        <f>IF('R.M Billets Reports'!J1277="","",'R.M Billets Reports'!J1277)</f>
      </c>
      <c r="O1278">
        <f t="shared" si="39"/>
      </c>
      <c r="P1278">
        <f>IF('R.M Billets Reports'!A1277="SIZE",'R.M Billets Reports'!B1277,P1277)</f>
      </c>
    </row>
    <row r="1279" spans="1:16" x14ac:dyDescent="0.25">
      <c r="A1279">
        <f>IF(OR('R.M Billets Reports'!A1278="Date-",'R.M Billets Reports'!A1278="Date:-"),IF(IF(IF(ISNUMBER(SEARCH("Party Name:-",'R.M Billets Reports'!D1278)),TRIM('R.M Billets Reports'!F1278),IF(ISNUMBER(SEARCH("Party Name-",'R.M Billets Reports'!D1278)),TRIM(MID('R.M Billets Reports'!D1278,SEARCH("-",'R.M Billets Reports'!D1278)+1,200)),""))&lt;&gt;"",IF(ISNUMBER(SEARCH("Party Name:-",'R.M Billets Reports'!D1278)),TRIM('R.M Billets Reports'!F1278),IF(ISNUMBER(SEARCH("Party Name-",'R.M Billets Reports'!D1278)),TRIM(MID('R.M Billets Reports'!D1278,SEARCH("-",'R.M Billets Reports'!D1278)+1,200)),"")),IF(ISNUMBER(SEARCH("Party Name:-",'R.M Billets Reports'!D1279)),TRIM('R.M Billets Reports'!F1279),IF(ISNUMBER(SEARCH("Party Name-",'R.M Billets Reports'!D1279)),TRIM(MID('R.M Billets Reports'!D1279,SEARCH("-",'R.M Billets Reports'!D1279)+1,200)),"")))="VRKP ISPAT PVT LTD","VRKP",IF(IF(IF(ISNUMBER(SEARCH("Party Name:-",'R.M Billets Reports'!D1278)),TRIM('R.M Billets Reports'!F1278),IF(ISNUMBER(SEARCH("Party Name-",'R.M Billets Reports'!D1278)),TRIM(MID('R.M Billets Reports'!D1278,SEARCH("-",'R.M Billets Reports'!D1278)+1,200)),""))&lt;&gt;"",IF(ISNUMBER(SEARCH("Party Name:-",'R.M Billets Reports'!D1278)),TRIM('R.M Billets Reports'!F1278),IF(ISNUMBER(SEARCH("Party Name-",'R.M Billets Reports'!D1278)),TRIM(MID('R.M Billets Reports'!D1278,SEARCH("-",'R.M Billets Reports'!D1278)+1,200)),"")),IF(ISNUMBER(SEARCH("Party Name:-",'R.M Billets Reports'!D1279)),TRIM('R.M Billets Reports'!F1279),IF(ISNUMBER(SEARCH("Party Name-",'R.M Billets Reports'!D1279)),TRIM(MID('R.M Billets Reports'!D1279,SEARCH("-",'R.M Billets Reports'!D1279)+1,200)),"")))="SHRI RADHE","SHREE RADHE",IF(IF(IF(ISNUMBER(SEARCH("Party Name:-",'R.M Billets Reports'!D1278)),TRIM('R.M Billets Reports'!F1278),IF(ISNUMBER(SEARCH("Party Name-",'R.M Billets Reports'!D1278)),TRIM(MID('R.M Billets Reports'!D1278,SEARCH("-",'R.M Billets Reports'!D1278)+1,200)),""))&lt;&gt;"",IF(ISNUMBER(SEARCH("Party Name:-",'R.M Billets Reports'!D1278)),TRIM('R.M Billets Reports'!F1278),IF(ISNUMBER(SEARCH("Party Name-",'R.M Billets Reports'!D1278)),TRIM(MID('R.M Billets Reports'!D1278,SEARCH("-",'R.M Billets Reports'!D1278)+1,200)),"")),IF(ISNUMBER(SEARCH("Party Name:-",'R.M Billets Reports'!D1279)),TRIM('R.M Billets Reports'!F1279),IF(ISNUMBER(SEARCH("Party Name-",'R.M Billets Reports'!D1279)),TRIM(MID('R.M Billets Reports'!D1279,SEARCH("-",'R.M Billets Reports'!D1279)+1,200)),"")))="SHREE RADHE SHAKTI SPONGE AND POWER PVT. LTD.","SHREE RADHE",IF(IF(ISNUMBER(SEARCH("Party Name:-",'R.M Billets Reports'!D1278)),TRIM('R.M Billets Reports'!F1278),IF(ISNUMBER(SEARCH("Party Name-",'R.M Billets Reports'!D1278)),TRIM(MID('R.M Billets Reports'!D1278,SEARCH("-",'R.M Billets Reports'!D1278)+1,200)),""))&lt;&gt;"",IF(ISNUMBER(SEARCH("Party Name:-",'R.M Billets Reports'!D1278)),TRIM('R.M Billets Reports'!F1278),IF(ISNUMBER(SEARCH("Party Name-",'R.M Billets Reports'!D1278)),TRIM(MID('R.M Billets Reports'!D1278,SEARCH("-",'R.M Billets Reports'!D1278)+1,200)),"")),IF(ISNUMBER(SEARCH("Party Name:-",'R.M Billets Reports'!D1279)),TRIM('R.M Billets Reports'!F1279),IF(ISNUMBER(SEARCH("Party Name-",'R.M Billets Reports'!D1279)),TRIM(MID('R.M Billets Reports'!D1279,SEARCH("-",'R.M Billets Reports'!D1279)+1,200)),"")))))),IF(ROW()=2,"",A1278))</f>
      </c>
      <c r="B1279">
        <f>IF(OR('R.M Billets Reports'!A1278="Date-",'R.M Billets Reports'!A1278="Date:-"),'R.M Billets Reports'!B1278,IF(ROW()=2,"",B1278))</f>
      </c>
      <c r="C1279">
        <f>IF('R.M Billets Reports'!A1278="V.No.",'R.M Billets Reports'!B1278,IF(ROW()=2,"",C1278))</f>
      </c>
      <c r="D1279">
        <f>IF('R.M Billets Reports'!A1278&lt;&gt;"",'R.M Billets Reports'!A1278,IF(ROW()=2,"",D1278))</f>
      </c>
      <c r="E1279">
        <f>IF('R.M Billets Reports'!B1278="","",TRIM('R.M Billets Reports'!B1278))</f>
      </c>
      <c r="F1279">
        <f>'R.M Billets Reports'!C1278</f>
      </c>
      <c r="G1279">
        <f>'R.M Billets Reports'!D1278</f>
      </c>
      <c r="H1279">
        <f>'R.M Billets Reports'!E1278</f>
      </c>
      <c r="I1279">
        <f>'R.M Billets Reports'!F1278</f>
      </c>
      <c r="J1279">
        <f>'R.M Billets Reports'!G1278</f>
      </c>
      <c r="K1279">
        <f>'R.M Billets Reports'!H1278</f>
      </c>
      <c r="L1279">
        <f>IF('R.M Billets Reports'!I1278="","",'R.M Billets Reports'!I1278)</f>
      </c>
      <c r="M1279">
        <f t="shared" si="38"/>
      </c>
      <c r="N1279">
        <f>IF('R.M Billets Reports'!J1278="","",'R.M Billets Reports'!J1278)</f>
      </c>
      <c r="O1279">
        <f t="shared" si="39"/>
      </c>
      <c r="P1279">
        <f>IF('R.M Billets Reports'!A1278="SIZE",'R.M Billets Reports'!B1278,P1278)</f>
      </c>
    </row>
    <row r="1280" spans="1:16" x14ac:dyDescent="0.25">
      <c r="A1280">
        <f>IF(OR('R.M Billets Reports'!A1279="Date-",'R.M Billets Reports'!A1279="Date:-"),IF(IF(IF(ISNUMBER(SEARCH("Party Name:-",'R.M Billets Reports'!D1279)),TRIM('R.M Billets Reports'!F1279),IF(ISNUMBER(SEARCH("Party Name-",'R.M Billets Reports'!D1279)),TRIM(MID('R.M Billets Reports'!D1279,SEARCH("-",'R.M Billets Reports'!D1279)+1,200)),""))&lt;&gt;"",IF(ISNUMBER(SEARCH("Party Name:-",'R.M Billets Reports'!D1279)),TRIM('R.M Billets Reports'!F1279),IF(ISNUMBER(SEARCH("Party Name-",'R.M Billets Reports'!D1279)),TRIM(MID('R.M Billets Reports'!D1279,SEARCH("-",'R.M Billets Reports'!D1279)+1,200)),"")),IF(ISNUMBER(SEARCH("Party Name:-",'R.M Billets Reports'!D1280)),TRIM('R.M Billets Reports'!F1280),IF(ISNUMBER(SEARCH("Party Name-",'R.M Billets Reports'!D1280)),TRIM(MID('R.M Billets Reports'!D1280,SEARCH("-",'R.M Billets Reports'!D1280)+1,200)),"")))="VRKP ISPAT PVT LTD","VRKP",IF(IF(IF(ISNUMBER(SEARCH("Party Name:-",'R.M Billets Reports'!D1279)),TRIM('R.M Billets Reports'!F1279),IF(ISNUMBER(SEARCH("Party Name-",'R.M Billets Reports'!D1279)),TRIM(MID('R.M Billets Reports'!D1279,SEARCH("-",'R.M Billets Reports'!D1279)+1,200)),""))&lt;&gt;"",IF(ISNUMBER(SEARCH("Party Name:-",'R.M Billets Reports'!D1279)),TRIM('R.M Billets Reports'!F1279),IF(ISNUMBER(SEARCH("Party Name-",'R.M Billets Reports'!D1279)),TRIM(MID('R.M Billets Reports'!D1279,SEARCH("-",'R.M Billets Reports'!D1279)+1,200)),"")),IF(ISNUMBER(SEARCH("Party Name:-",'R.M Billets Reports'!D1280)),TRIM('R.M Billets Reports'!F1280),IF(ISNUMBER(SEARCH("Party Name-",'R.M Billets Reports'!D1280)),TRIM(MID('R.M Billets Reports'!D1280,SEARCH("-",'R.M Billets Reports'!D1280)+1,200)),"")))="SHRI RADHE","SHREE RADHE",IF(IF(IF(ISNUMBER(SEARCH("Party Name:-",'R.M Billets Reports'!D1279)),TRIM('R.M Billets Reports'!F1279),IF(ISNUMBER(SEARCH("Party Name-",'R.M Billets Reports'!D1279)),TRIM(MID('R.M Billets Reports'!D1279,SEARCH("-",'R.M Billets Reports'!D1279)+1,200)),""))&lt;&gt;"",IF(ISNUMBER(SEARCH("Party Name:-",'R.M Billets Reports'!D1279)),TRIM('R.M Billets Reports'!F1279),IF(ISNUMBER(SEARCH("Party Name-",'R.M Billets Reports'!D1279)),TRIM(MID('R.M Billets Reports'!D1279,SEARCH("-",'R.M Billets Reports'!D1279)+1,200)),"")),IF(ISNUMBER(SEARCH("Party Name:-",'R.M Billets Reports'!D1280)),TRIM('R.M Billets Reports'!F1280),IF(ISNUMBER(SEARCH("Party Name-",'R.M Billets Reports'!D1280)),TRIM(MID('R.M Billets Reports'!D1280,SEARCH("-",'R.M Billets Reports'!D1280)+1,200)),"")))="SHREE RADHE SHAKTI SPONGE AND POWER PVT. LTD.","SHREE RADHE",IF(IF(ISNUMBER(SEARCH("Party Name:-",'R.M Billets Reports'!D1279)),TRIM('R.M Billets Reports'!F1279),IF(ISNUMBER(SEARCH("Party Name-",'R.M Billets Reports'!D1279)),TRIM(MID('R.M Billets Reports'!D1279,SEARCH("-",'R.M Billets Reports'!D1279)+1,200)),""))&lt;&gt;"",IF(ISNUMBER(SEARCH("Party Name:-",'R.M Billets Reports'!D1279)),TRIM('R.M Billets Reports'!F1279),IF(ISNUMBER(SEARCH("Party Name-",'R.M Billets Reports'!D1279)),TRIM(MID('R.M Billets Reports'!D1279,SEARCH("-",'R.M Billets Reports'!D1279)+1,200)),"")),IF(ISNUMBER(SEARCH("Party Name:-",'R.M Billets Reports'!D1280)),TRIM('R.M Billets Reports'!F1280),IF(ISNUMBER(SEARCH("Party Name-",'R.M Billets Reports'!D1280)),TRIM(MID('R.M Billets Reports'!D1280,SEARCH("-",'R.M Billets Reports'!D1280)+1,200)),"")))))),IF(ROW()=2,"",A1279))</f>
      </c>
      <c r="B1280">
        <f>IF(OR('R.M Billets Reports'!A1279="Date-",'R.M Billets Reports'!A1279="Date:-"),'R.M Billets Reports'!B1279,IF(ROW()=2,"",B1279))</f>
      </c>
      <c r="C1280">
        <f>IF('R.M Billets Reports'!A1279="V.No.",'R.M Billets Reports'!B1279,IF(ROW()=2,"",C1279))</f>
      </c>
      <c r="D1280">
        <f>IF('R.M Billets Reports'!A1279&lt;&gt;"",'R.M Billets Reports'!A1279,IF(ROW()=2,"",D1279))</f>
      </c>
      <c r="E1280">
        <f>IF('R.M Billets Reports'!B1279="","",TRIM('R.M Billets Reports'!B1279))</f>
      </c>
      <c r="F1280">
        <f>'R.M Billets Reports'!C1279</f>
      </c>
      <c r="G1280">
        <f>'R.M Billets Reports'!D1279</f>
      </c>
      <c r="H1280">
        <f>'R.M Billets Reports'!E1279</f>
      </c>
      <c r="I1280">
        <f>'R.M Billets Reports'!F1279</f>
      </c>
      <c r="J1280">
        <f>'R.M Billets Reports'!G1279</f>
      </c>
      <c r="K1280">
        <f>'R.M Billets Reports'!H1279</f>
      </c>
      <c r="L1280">
        <f>IF('R.M Billets Reports'!I1279="","",'R.M Billets Reports'!I1279)</f>
      </c>
      <c r="M1280">
        <f t="shared" si="38"/>
      </c>
      <c r="N1280">
        <f>IF('R.M Billets Reports'!J1279="","",'R.M Billets Reports'!J1279)</f>
      </c>
      <c r="O1280">
        <f t="shared" si="39"/>
      </c>
      <c r="P1280">
        <f>IF('R.M Billets Reports'!A1279="SIZE",'R.M Billets Reports'!B1279,P1279)</f>
      </c>
    </row>
    <row r="1281" spans="1:16" x14ac:dyDescent="0.25">
      <c r="A1281">
        <f>IF(OR('R.M Billets Reports'!A1280="Date-",'R.M Billets Reports'!A1280="Date:-"),IF(IF(IF(ISNUMBER(SEARCH("Party Name:-",'R.M Billets Reports'!D1280)),TRIM('R.M Billets Reports'!F1280),IF(ISNUMBER(SEARCH("Party Name-",'R.M Billets Reports'!D1280)),TRIM(MID('R.M Billets Reports'!D1280,SEARCH("-",'R.M Billets Reports'!D1280)+1,200)),""))&lt;&gt;"",IF(ISNUMBER(SEARCH("Party Name:-",'R.M Billets Reports'!D1280)),TRIM('R.M Billets Reports'!F1280),IF(ISNUMBER(SEARCH("Party Name-",'R.M Billets Reports'!D1280)),TRIM(MID('R.M Billets Reports'!D1280,SEARCH("-",'R.M Billets Reports'!D1280)+1,200)),"")),IF(ISNUMBER(SEARCH("Party Name:-",'R.M Billets Reports'!D1281)),TRIM('R.M Billets Reports'!F1281),IF(ISNUMBER(SEARCH("Party Name-",'R.M Billets Reports'!D1281)),TRIM(MID('R.M Billets Reports'!D1281,SEARCH("-",'R.M Billets Reports'!D1281)+1,200)),"")))="VRKP ISPAT PVT LTD","VRKP",IF(IF(IF(ISNUMBER(SEARCH("Party Name:-",'R.M Billets Reports'!D1280)),TRIM('R.M Billets Reports'!F1280),IF(ISNUMBER(SEARCH("Party Name-",'R.M Billets Reports'!D1280)),TRIM(MID('R.M Billets Reports'!D1280,SEARCH("-",'R.M Billets Reports'!D1280)+1,200)),""))&lt;&gt;"",IF(ISNUMBER(SEARCH("Party Name:-",'R.M Billets Reports'!D1280)),TRIM('R.M Billets Reports'!F1280),IF(ISNUMBER(SEARCH("Party Name-",'R.M Billets Reports'!D1280)),TRIM(MID('R.M Billets Reports'!D1280,SEARCH("-",'R.M Billets Reports'!D1280)+1,200)),"")),IF(ISNUMBER(SEARCH("Party Name:-",'R.M Billets Reports'!D1281)),TRIM('R.M Billets Reports'!F1281),IF(ISNUMBER(SEARCH("Party Name-",'R.M Billets Reports'!D1281)),TRIM(MID('R.M Billets Reports'!D1281,SEARCH("-",'R.M Billets Reports'!D1281)+1,200)),"")))="SHRI RADHE","SHREE RADHE",IF(IF(IF(ISNUMBER(SEARCH("Party Name:-",'R.M Billets Reports'!D1280)),TRIM('R.M Billets Reports'!F1280),IF(ISNUMBER(SEARCH("Party Name-",'R.M Billets Reports'!D1280)),TRIM(MID('R.M Billets Reports'!D1280,SEARCH("-",'R.M Billets Reports'!D1280)+1,200)),""))&lt;&gt;"",IF(ISNUMBER(SEARCH("Party Name:-",'R.M Billets Reports'!D1280)),TRIM('R.M Billets Reports'!F1280),IF(ISNUMBER(SEARCH("Party Name-",'R.M Billets Reports'!D1280)),TRIM(MID('R.M Billets Reports'!D1280,SEARCH("-",'R.M Billets Reports'!D1280)+1,200)),"")),IF(ISNUMBER(SEARCH("Party Name:-",'R.M Billets Reports'!D1281)),TRIM('R.M Billets Reports'!F1281),IF(ISNUMBER(SEARCH("Party Name-",'R.M Billets Reports'!D1281)),TRIM(MID('R.M Billets Reports'!D1281,SEARCH("-",'R.M Billets Reports'!D1281)+1,200)),"")))="SHREE RADHE SHAKTI SPONGE AND POWER PVT. LTD.","SHREE RADHE",IF(IF(ISNUMBER(SEARCH("Party Name:-",'R.M Billets Reports'!D1280)),TRIM('R.M Billets Reports'!F1280),IF(ISNUMBER(SEARCH("Party Name-",'R.M Billets Reports'!D1280)),TRIM(MID('R.M Billets Reports'!D1280,SEARCH("-",'R.M Billets Reports'!D1280)+1,200)),""))&lt;&gt;"",IF(ISNUMBER(SEARCH("Party Name:-",'R.M Billets Reports'!D1280)),TRIM('R.M Billets Reports'!F1280),IF(ISNUMBER(SEARCH("Party Name-",'R.M Billets Reports'!D1280)),TRIM(MID('R.M Billets Reports'!D1280,SEARCH("-",'R.M Billets Reports'!D1280)+1,200)),"")),IF(ISNUMBER(SEARCH("Party Name:-",'R.M Billets Reports'!D1281)),TRIM('R.M Billets Reports'!F1281),IF(ISNUMBER(SEARCH("Party Name-",'R.M Billets Reports'!D1281)),TRIM(MID('R.M Billets Reports'!D1281,SEARCH("-",'R.M Billets Reports'!D1281)+1,200)),"")))))),IF(ROW()=2,"",A1280))</f>
      </c>
      <c r="B1281">
        <f>IF(OR('R.M Billets Reports'!A1280="Date-",'R.M Billets Reports'!A1280="Date:-"),'R.M Billets Reports'!B1280,IF(ROW()=2,"",B1280))</f>
      </c>
      <c r="C1281">
        <f>IF('R.M Billets Reports'!A1280="V.No.",'R.M Billets Reports'!B1280,IF(ROW()=2,"",C1280))</f>
      </c>
      <c r="D1281">
        <f>IF('R.M Billets Reports'!A1280&lt;&gt;"",'R.M Billets Reports'!A1280,IF(ROW()=2,"",D1280))</f>
      </c>
      <c r="E1281">
        <f>IF('R.M Billets Reports'!B1280="","",TRIM('R.M Billets Reports'!B1280))</f>
      </c>
      <c r="F1281">
        <f>'R.M Billets Reports'!C1280</f>
      </c>
      <c r="G1281">
        <f>'R.M Billets Reports'!D1280</f>
      </c>
      <c r="H1281">
        <f>'R.M Billets Reports'!E1280</f>
      </c>
      <c r="I1281">
        <f>'R.M Billets Reports'!F1280</f>
      </c>
      <c r="J1281">
        <f>'R.M Billets Reports'!G1280</f>
      </c>
      <c r="K1281">
        <f>'R.M Billets Reports'!H1280</f>
      </c>
      <c r="L1281">
        <f>IF('R.M Billets Reports'!I1280="","",'R.M Billets Reports'!I1280)</f>
      </c>
      <c r="M1281">
        <f t="shared" si="38"/>
      </c>
      <c r="N1281">
        <f>IF('R.M Billets Reports'!J1280="","",'R.M Billets Reports'!J1280)</f>
      </c>
      <c r="O1281">
        <f t="shared" si="39"/>
      </c>
      <c r="P1281">
        <f>IF('R.M Billets Reports'!A1280="SIZE",'R.M Billets Reports'!B1280,P1280)</f>
      </c>
    </row>
    <row r="1282" spans="1:16" x14ac:dyDescent="0.25">
      <c r="A1282">
        <f>IF(OR('R.M Billets Reports'!A1281="Date-",'R.M Billets Reports'!A1281="Date:-"),IF(IF(IF(ISNUMBER(SEARCH("Party Name:-",'R.M Billets Reports'!D1281)),TRIM('R.M Billets Reports'!F1281),IF(ISNUMBER(SEARCH("Party Name-",'R.M Billets Reports'!D1281)),TRIM(MID('R.M Billets Reports'!D1281,SEARCH("-",'R.M Billets Reports'!D1281)+1,200)),""))&lt;&gt;"",IF(ISNUMBER(SEARCH("Party Name:-",'R.M Billets Reports'!D1281)),TRIM('R.M Billets Reports'!F1281),IF(ISNUMBER(SEARCH("Party Name-",'R.M Billets Reports'!D1281)),TRIM(MID('R.M Billets Reports'!D1281,SEARCH("-",'R.M Billets Reports'!D1281)+1,200)),"")),IF(ISNUMBER(SEARCH("Party Name:-",'R.M Billets Reports'!D1282)),TRIM('R.M Billets Reports'!F1282),IF(ISNUMBER(SEARCH("Party Name-",'R.M Billets Reports'!D1282)),TRIM(MID('R.M Billets Reports'!D1282,SEARCH("-",'R.M Billets Reports'!D1282)+1,200)),"")))="VRKP ISPAT PVT LTD","VRKP",IF(IF(IF(ISNUMBER(SEARCH("Party Name:-",'R.M Billets Reports'!D1281)),TRIM('R.M Billets Reports'!F1281),IF(ISNUMBER(SEARCH("Party Name-",'R.M Billets Reports'!D1281)),TRIM(MID('R.M Billets Reports'!D1281,SEARCH("-",'R.M Billets Reports'!D1281)+1,200)),""))&lt;&gt;"",IF(ISNUMBER(SEARCH("Party Name:-",'R.M Billets Reports'!D1281)),TRIM('R.M Billets Reports'!F1281),IF(ISNUMBER(SEARCH("Party Name-",'R.M Billets Reports'!D1281)),TRIM(MID('R.M Billets Reports'!D1281,SEARCH("-",'R.M Billets Reports'!D1281)+1,200)),"")),IF(ISNUMBER(SEARCH("Party Name:-",'R.M Billets Reports'!D1282)),TRIM('R.M Billets Reports'!F1282),IF(ISNUMBER(SEARCH("Party Name-",'R.M Billets Reports'!D1282)),TRIM(MID('R.M Billets Reports'!D1282,SEARCH("-",'R.M Billets Reports'!D1282)+1,200)),"")))="SHRI RADHE","SHREE RADHE",IF(IF(IF(ISNUMBER(SEARCH("Party Name:-",'R.M Billets Reports'!D1281)),TRIM('R.M Billets Reports'!F1281),IF(ISNUMBER(SEARCH("Party Name-",'R.M Billets Reports'!D1281)),TRIM(MID('R.M Billets Reports'!D1281,SEARCH("-",'R.M Billets Reports'!D1281)+1,200)),""))&lt;&gt;"",IF(ISNUMBER(SEARCH("Party Name:-",'R.M Billets Reports'!D1281)),TRIM('R.M Billets Reports'!F1281),IF(ISNUMBER(SEARCH("Party Name-",'R.M Billets Reports'!D1281)),TRIM(MID('R.M Billets Reports'!D1281,SEARCH("-",'R.M Billets Reports'!D1281)+1,200)),"")),IF(ISNUMBER(SEARCH("Party Name:-",'R.M Billets Reports'!D1282)),TRIM('R.M Billets Reports'!F1282),IF(ISNUMBER(SEARCH("Party Name-",'R.M Billets Reports'!D1282)),TRIM(MID('R.M Billets Reports'!D1282,SEARCH("-",'R.M Billets Reports'!D1282)+1,200)),"")))="SHREE RADHE SHAKTI SPONGE AND POWER PVT. LTD.","SHREE RADHE",IF(IF(ISNUMBER(SEARCH("Party Name:-",'R.M Billets Reports'!D1281)),TRIM('R.M Billets Reports'!F1281),IF(ISNUMBER(SEARCH("Party Name-",'R.M Billets Reports'!D1281)),TRIM(MID('R.M Billets Reports'!D1281,SEARCH("-",'R.M Billets Reports'!D1281)+1,200)),""))&lt;&gt;"",IF(ISNUMBER(SEARCH("Party Name:-",'R.M Billets Reports'!D1281)),TRIM('R.M Billets Reports'!F1281),IF(ISNUMBER(SEARCH("Party Name-",'R.M Billets Reports'!D1281)),TRIM(MID('R.M Billets Reports'!D1281,SEARCH("-",'R.M Billets Reports'!D1281)+1,200)),"")),IF(ISNUMBER(SEARCH("Party Name:-",'R.M Billets Reports'!D1282)),TRIM('R.M Billets Reports'!F1282),IF(ISNUMBER(SEARCH("Party Name-",'R.M Billets Reports'!D1282)),TRIM(MID('R.M Billets Reports'!D1282,SEARCH("-",'R.M Billets Reports'!D1282)+1,200)),"")))))),IF(ROW()=2,"",A1281))</f>
      </c>
      <c r="B1282">
        <f>IF(OR('R.M Billets Reports'!A1281="Date-",'R.M Billets Reports'!A1281="Date:-"),'R.M Billets Reports'!B1281,IF(ROW()=2,"",B1281))</f>
      </c>
      <c r="C1282">
        <f>IF('R.M Billets Reports'!A1281="V.No.",'R.M Billets Reports'!B1281,IF(ROW()=2,"",C1281))</f>
      </c>
      <c r="D1282">
        <f>IF('R.M Billets Reports'!A1281&lt;&gt;"",'R.M Billets Reports'!A1281,IF(ROW()=2,"",D1281))</f>
      </c>
      <c r="E1282">
        <f>IF('R.M Billets Reports'!B1281="","",TRIM('R.M Billets Reports'!B1281))</f>
      </c>
      <c r="F1282">
        <f>'R.M Billets Reports'!C1281</f>
      </c>
      <c r="G1282">
        <f>'R.M Billets Reports'!D1281</f>
      </c>
      <c r="H1282">
        <f>'R.M Billets Reports'!E1281</f>
      </c>
      <c r="I1282">
        <f>'R.M Billets Reports'!F1281</f>
      </c>
      <c r="J1282">
        <f>'R.M Billets Reports'!G1281</f>
      </c>
      <c r="K1282">
        <f>'R.M Billets Reports'!H1281</f>
      </c>
      <c r="L1282">
        <f>IF('R.M Billets Reports'!I1281="","",'R.M Billets Reports'!I1281)</f>
      </c>
      <c r="M1282">
        <f t="shared" si="38"/>
      </c>
      <c r="N1282">
        <f>IF('R.M Billets Reports'!J1281="","",'R.M Billets Reports'!J1281)</f>
      </c>
      <c r="O1282">
        <f t="shared" si="39"/>
      </c>
      <c r="P1282">
        <f>IF('R.M Billets Reports'!A1281="SIZE",'R.M Billets Reports'!B1281,P1281)</f>
      </c>
    </row>
    <row r="1283" spans="1:16" x14ac:dyDescent="0.25">
      <c r="A1283">
        <f>IF(OR('R.M Billets Reports'!A1282="Date-",'R.M Billets Reports'!A1282="Date:-"),IF(IF(IF(ISNUMBER(SEARCH("Party Name:-",'R.M Billets Reports'!D1282)),TRIM('R.M Billets Reports'!F1282),IF(ISNUMBER(SEARCH("Party Name-",'R.M Billets Reports'!D1282)),TRIM(MID('R.M Billets Reports'!D1282,SEARCH("-",'R.M Billets Reports'!D1282)+1,200)),""))&lt;&gt;"",IF(ISNUMBER(SEARCH("Party Name:-",'R.M Billets Reports'!D1282)),TRIM('R.M Billets Reports'!F1282),IF(ISNUMBER(SEARCH("Party Name-",'R.M Billets Reports'!D1282)),TRIM(MID('R.M Billets Reports'!D1282,SEARCH("-",'R.M Billets Reports'!D1282)+1,200)),"")),IF(ISNUMBER(SEARCH("Party Name:-",'R.M Billets Reports'!D1283)),TRIM('R.M Billets Reports'!F1283),IF(ISNUMBER(SEARCH("Party Name-",'R.M Billets Reports'!D1283)),TRIM(MID('R.M Billets Reports'!D1283,SEARCH("-",'R.M Billets Reports'!D1283)+1,200)),"")))="VRKP ISPAT PVT LTD","VRKP",IF(IF(IF(ISNUMBER(SEARCH("Party Name:-",'R.M Billets Reports'!D1282)),TRIM('R.M Billets Reports'!F1282),IF(ISNUMBER(SEARCH("Party Name-",'R.M Billets Reports'!D1282)),TRIM(MID('R.M Billets Reports'!D1282,SEARCH("-",'R.M Billets Reports'!D1282)+1,200)),""))&lt;&gt;"",IF(ISNUMBER(SEARCH("Party Name:-",'R.M Billets Reports'!D1282)),TRIM('R.M Billets Reports'!F1282),IF(ISNUMBER(SEARCH("Party Name-",'R.M Billets Reports'!D1282)),TRIM(MID('R.M Billets Reports'!D1282,SEARCH("-",'R.M Billets Reports'!D1282)+1,200)),"")),IF(ISNUMBER(SEARCH("Party Name:-",'R.M Billets Reports'!D1283)),TRIM('R.M Billets Reports'!F1283),IF(ISNUMBER(SEARCH("Party Name-",'R.M Billets Reports'!D1283)),TRIM(MID('R.M Billets Reports'!D1283,SEARCH("-",'R.M Billets Reports'!D1283)+1,200)),"")))="SHRI RADHE","SHREE RADHE",IF(IF(IF(ISNUMBER(SEARCH("Party Name:-",'R.M Billets Reports'!D1282)),TRIM('R.M Billets Reports'!F1282),IF(ISNUMBER(SEARCH("Party Name-",'R.M Billets Reports'!D1282)),TRIM(MID('R.M Billets Reports'!D1282,SEARCH("-",'R.M Billets Reports'!D1282)+1,200)),""))&lt;&gt;"",IF(ISNUMBER(SEARCH("Party Name:-",'R.M Billets Reports'!D1282)),TRIM('R.M Billets Reports'!F1282),IF(ISNUMBER(SEARCH("Party Name-",'R.M Billets Reports'!D1282)),TRIM(MID('R.M Billets Reports'!D1282,SEARCH("-",'R.M Billets Reports'!D1282)+1,200)),"")),IF(ISNUMBER(SEARCH("Party Name:-",'R.M Billets Reports'!D1283)),TRIM('R.M Billets Reports'!F1283),IF(ISNUMBER(SEARCH("Party Name-",'R.M Billets Reports'!D1283)),TRIM(MID('R.M Billets Reports'!D1283,SEARCH("-",'R.M Billets Reports'!D1283)+1,200)),"")))="SHREE RADHE SHAKTI SPONGE AND POWER PVT. LTD.","SHREE RADHE",IF(IF(ISNUMBER(SEARCH("Party Name:-",'R.M Billets Reports'!D1282)),TRIM('R.M Billets Reports'!F1282),IF(ISNUMBER(SEARCH("Party Name-",'R.M Billets Reports'!D1282)),TRIM(MID('R.M Billets Reports'!D1282,SEARCH("-",'R.M Billets Reports'!D1282)+1,200)),""))&lt;&gt;"",IF(ISNUMBER(SEARCH("Party Name:-",'R.M Billets Reports'!D1282)),TRIM('R.M Billets Reports'!F1282),IF(ISNUMBER(SEARCH("Party Name-",'R.M Billets Reports'!D1282)),TRIM(MID('R.M Billets Reports'!D1282,SEARCH("-",'R.M Billets Reports'!D1282)+1,200)),"")),IF(ISNUMBER(SEARCH("Party Name:-",'R.M Billets Reports'!D1283)),TRIM('R.M Billets Reports'!F1283),IF(ISNUMBER(SEARCH("Party Name-",'R.M Billets Reports'!D1283)),TRIM(MID('R.M Billets Reports'!D1283,SEARCH("-",'R.M Billets Reports'!D1283)+1,200)),"")))))),IF(ROW()=2,"",A1282))</f>
      </c>
      <c r="B1283">
        <f>IF(OR('R.M Billets Reports'!A1282="Date-",'R.M Billets Reports'!A1282="Date:-"),'R.M Billets Reports'!B1282,IF(ROW()=2,"",B1282))</f>
      </c>
      <c r="C1283">
        <f>IF('R.M Billets Reports'!A1282="V.No.",'R.M Billets Reports'!B1282,IF(ROW()=2,"",C1282))</f>
      </c>
      <c r="D1283">
        <f>IF('R.M Billets Reports'!A1282&lt;&gt;"",'R.M Billets Reports'!A1282,IF(ROW()=2,"",D1282))</f>
      </c>
      <c r="E1283">
        <f>IF('R.M Billets Reports'!B1282="","",TRIM('R.M Billets Reports'!B1282))</f>
      </c>
      <c r="F1283">
        <f>'R.M Billets Reports'!C1282</f>
      </c>
      <c r="G1283">
        <f>'R.M Billets Reports'!D1282</f>
      </c>
      <c r="H1283">
        <f>'R.M Billets Reports'!E1282</f>
      </c>
      <c r="I1283">
        <f>'R.M Billets Reports'!F1282</f>
      </c>
      <c r="J1283">
        <f>'R.M Billets Reports'!G1282</f>
      </c>
      <c r="K1283">
        <f>'R.M Billets Reports'!H1282</f>
      </c>
      <c r="L1283">
        <f>IF('R.M Billets Reports'!I1282="","",'R.M Billets Reports'!I1282)</f>
      </c>
      <c r="M1283">
        <f t="shared" ref="M1283:M1346" si="40">IF(L1283&lt;&gt;"",L1283,IF(D1283=D1282,M1282,""))</f>
      </c>
      <c r="N1283">
        <f>IF('R.M Billets Reports'!J1282="","",'R.M Billets Reports'!J1282)</f>
      </c>
      <c r="O1283">
        <f t="shared" ref="O1283:O1346" si="41">IF(N1283&lt;&gt;"",N1283,IF(D1283=D1282,O1282,""))</f>
      </c>
      <c r="P1283">
        <f>IF('R.M Billets Reports'!A1282="SIZE",'R.M Billets Reports'!B1282,P1282)</f>
      </c>
    </row>
    <row r="1284" spans="1:16" x14ac:dyDescent="0.25">
      <c r="A1284">
        <f>IF(OR('R.M Billets Reports'!A1283="Date-",'R.M Billets Reports'!A1283="Date:-"),IF(IF(IF(ISNUMBER(SEARCH("Party Name:-",'R.M Billets Reports'!D1283)),TRIM('R.M Billets Reports'!F1283),IF(ISNUMBER(SEARCH("Party Name-",'R.M Billets Reports'!D1283)),TRIM(MID('R.M Billets Reports'!D1283,SEARCH("-",'R.M Billets Reports'!D1283)+1,200)),""))&lt;&gt;"",IF(ISNUMBER(SEARCH("Party Name:-",'R.M Billets Reports'!D1283)),TRIM('R.M Billets Reports'!F1283),IF(ISNUMBER(SEARCH("Party Name-",'R.M Billets Reports'!D1283)),TRIM(MID('R.M Billets Reports'!D1283,SEARCH("-",'R.M Billets Reports'!D1283)+1,200)),"")),IF(ISNUMBER(SEARCH("Party Name:-",'R.M Billets Reports'!D1284)),TRIM('R.M Billets Reports'!F1284),IF(ISNUMBER(SEARCH("Party Name-",'R.M Billets Reports'!D1284)),TRIM(MID('R.M Billets Reports'!D1284,SEARCH("-",'R.M Billets Reports'!D1284)+1,200)),"")))="VRKP ISPAT PVT LTD","VRKP",IF(IF(IF(ISNUMBER(SEARCH("Party Name:-",'R.M Billets Reports'!D1283)),TRIM('R.M Billets Reports'!F1283),IF(ISNUMBER(SEARCH("Party Name-",'R.M Billets Reports'!D1283)),TRIM(MID('R.M Billets Reports'!D1283,SEARCH("-",'R.M Billets Reports'!D1283)+1,200)),""))&lt;&gt;"",IF(ISNUMBER(SEARCH("Party Name:-",'R.M Billets Reports'!D1283)),TRIM('R.M Billets Reports'!F1283),IF(ISNUMBER(SEARCH("Party Name-",'R.M Billets Reports'!D1283)),TRIM(MID('R.M Billets Reports'!D1283,SEARCH("-",'R.M Billets Reports'!D1283)+1,200)),"")),IF(ISNUMBER(SEARCH("Party Name:-",'R.M Billets Reports'!D1284)),TRIM('R.M Billets Reports'!F1284),IF(ISNUMBER(SEARCH("Party Name-",'R.M Billets Reports'!D1284)),TRIM(MID('R.M Billets Reports'!D1284,SEARCH("-",'R.M Billets Reports'!D1284)+1,200)),"")))="SHRI RADHE","SHREE RADHE",IF(IF(IF(ISNUMBER(SEARCH("Party Name:-",'R.M Billets Reports'!D1283)),TRIM('R.M Billets Reports'!F1283),IF(ISNUMBER(SEARCH("Party Name-",'R.M Billets Reports'!D1283)),TRIM(MID('R.M Billets Reports'!D1283,SEARCH("-",'R.M Billets Reports'!D1283)+1,200)),""))&lt;&gt;"",IF(ISNUMBER(SEARCH("Party Name:-",'R.M Billets Reports'!D1283)),TRIM('R.M Billets Reports'!F1283),IF(ISNUMBER(SEARCH("Party Name-",'R.M Billets Reports'!D1283)),TRIM(MID('R.M Billets Reports'!D1283,SEARCH("-",'R.M Billets Reports'!D1283)+1,200)),"")),IF(ISNUMBER(SEARCH("Party Name:-",'R.M Billets Reports'!D1284)),TRIM('R.M Billets Reports'!F1284),IF(ISNUMBER(SEARCH("Party Name-",'R.M Billets Reports'!D1284)),TRIM(MID('R.M Billets Reports'!D1284,SEARCH("-",'R.M Billets Reports'!D1284)+1,200)),"")))="SHREE RADHE SHAKTI SPONGE AND POWER PVT. LTD.","SHREE RADHE",IF(IF(ISNUMBER(SEARCH("Party Name:-",'R.M Billets Reports'!D1283)),TRIM('R.M Billets Reports'!F1283),IF(ISNUMBER(SEARCH("Party Name-",'R.M Billets Reports'!D1283)),TRIM(MID('R.M Billets Reports'!D1283,SEARCH("-",'R.M Billets Reports'!D1283)+1,200)),""))&lt;&gt;"",IF(ISNUMBER(SEARCH("Party Name:-",'R.M Billets Reports'!D1283)),TRIM('R.M Billets Reports'!F1283),IF(ISNUMBER(SEARCH("Party Name-",'R.M Billets Reports'!D1283)),TRIM(MID('R.M Billets Reports'!D1283,SEARCH("-",'R.M Billets Reports'!D1283)+1,200)),"")),IF(ISNUMBER(SEARCH("Party Name:-",'R.M Billets Reports'!D1284)),TRIM('R.M Billets Reports'!F1284),IF(ISNUMBER(SEARCH("Party Name-",'R.M Billets Reports'!D1284)),TRIM(MID('R.M Billets Reports'!D1284,SEARCH("-",'R.M Billets Reports'!D1284)+1,200)),"")))))),IF(ROW()=2,"",A1283))</f>
      </c>
      <c r="B1284">
        <f>IF(OR('R.M Billets Reports'!A1283="Date-",'R.M Billets Reports'!A1283="Date:-"),'R.M Billets Reports'!B1283,IF(ROW()=2,"",B1283))</f>
      </c>
      <c r="C1284">
        <f>IF('R.M Billets Reports'!A1283="V.No.",'R.M Billets Reports'!B1283,IF(ROW()=2,"",C1283))</f>
      </c>
      <c r="D1284">
        <f>IF('R.M Billets Reports'!A1283&lt;&gt;"",'R.M Billets Reports'!A1283,IF(ROW()=2,"",D1283))</f>
      </c>
      <c r="E1284">
        <f>IF('R.M Billets Reports'!B1283="","",TRIM('R.M Billets Reports'!B1283))</f>
      </c>
      <c r="F1284">
        <f>'R.M Billets Reports'!C1283</f>
      </c>
      <c r="G1284">
        <f>'R.M Billets Reports'!D1283</f>
      </c>
      <c r="H1284">
        <f>'R.M Billets Reports'!E1283</f>
      </c>
      <c r="I1284">
        <f>'R.M Billets Reports'!F1283</f>
      </c>
      <c r="J1284">
        <f>'R.M Billets Reports'!G1283</f>
      </c>
      <c r="K1284">
        <f>'R.M Billets Reports'!H1283</f>
      </c>
      <c r="L1284">
        <f>IF('R.M Billets Reports'!I1283="","",'R.M Billets Reports'!I1283)</f>
      </c>
      <c r="M1284">
        <f t="shared" si="40"/>
      </c>
      <c r="N1284">
        <f>IF('R.M Billets Reports'!J1283="","",'R.M Billets Reports'!J1283)</f>
      </c>
      <c r="O1284">
        <f t="shared" si="41"/>
      </c>
      <c r="P1284">
        <f>IF('R.M Billets Reports'!A1283="SIZE",'R.M Billets Reports'!B1283,P1283)</f>
      </c>
    </row>
    <row r="1285" spans="1:16" x14ac:dyDescent="0.25">
      <c r="A1285">
        <f>IF(OR('R.M Billets Reports'!A1284="Date-",'R.M Billets Reports'!A1284="Date:-"),IF(IF(IF(ISNUMBER(SEARCH("Party Name:-",'R.M Billets Reports'!D1284)),TRIM('R.M Billets Reports'!F1284),IF(ISNUMBER(SEARCH("Party Name-",'R.M Billets Reports'!D1284)),TRIM(MID('R.M Billets Reports'!D1284,SEARCH("-",'R.M Billets Reports'!D1284)+1,200)),""))&lt;&gt;"",IF(ISNUMBER(SEARCH("Party Name:-",'R.M Billets Reports'!D1284)),TRIM('R.M Billets Reports'!F1284),IF(ISNUMBER(SEARCH("Party Name-",'R.M Billets Reports'!D1284)),TRIM(MID('R.M Billets Reports'!D1284,SEARCH("-",'R.M Billets Reports'!D1284)+1,200)),"")),IF(ISNUMBER(SEARCH("Party Name:-",'R.M Billets Reports'!D1285)),TRIM('R.M Billets Reports'!F1285),IF(ISNUMBER(SEARCH("Party Name-",'R.M Billets Reports'!D1285)),TRIM(MID('R.M Billets Reports'!D1285,SEARCH("-",'R.M Billets Reports'!D1285)+1,200)),"")))="VRKP ISPAT PVT LTD","VRKP",IF(IF(IF(ISNUMBER(SEARCH("Party Name:-",'R.M Billets Reports'!D1284)),TRIM('R.M Billets Reports'!F1284),IF(ISNUMBER(SEARCH("Party Name-",'R.M Billets Reports'!D1284)),TRIM(MID('R.M Billets Reports'!D1284,SEARCH("-",'R.M Billets Reports'!D1284)+1,200)),""))&lt;&gt;"",IF(ISNUMBER(SEARCH("Party Name:-",'R.M Billets Reports'!D1284)),TRIM('R.M Billets Reports'!F1284),IF(ISNUMBER(SEARCH("Party Name-",'R.M Billets Reports'!D1284)),TRIM(MID('R.M Billets Reports'!D1284,SEARCH("-",'R.M Billets Reports'!D1284)+1,200)),"")),IF(ISNUMBER(SEARCH("Party Name:-",'R.M Billets Reports'!D1285)),TRIM('R.M Billets Reports'!F1285),IF(ISNUMBER(SEARCH("Party Name-",'R.M Billets Reports'!D1285)),TRIM(MID('R.M Billets Reports'!D1285,SEARCH("-",'R.M Billets Reports'!D1285)+1,200)),"")))="SHRI RADHE","SHREE RADHE",IF(IF(IF(ISNUMBER(SEARCH("Party Name:-",'R.M Billets Reports'!D1284)),TRIM('R.M Billets Reports'!F1284),IF(ISNUMBER(SEARCH("Party Name-",'R.M Billets Reports'!D1284)),TRIM(MID('R.M Billets Reports'!D1284,SEARCH("-",'R.M Billets Reports'!D1284)+1,200)),""))&lt;&gt;"",IF(ISNUMBER(SEARCH("Party Name:-",'R.M Billets Reports'!D1284)),TRIM('R.M Billets Reports'!F1284),IF(ISNUMBER(SEARCH("Party Name-",'R.M Billets Reports'!D1284)),TRIM(MID('R.M Billets Reports'!D1284,SEARCH("-",'R.M Billets Reports'!D1284)+1,200)),"")),IF(ISNUMBER(SEARCH("Party Name:-",'R.M Billets Reports'!D1285)),TRIM('R.M Billets Reports'!F1285),IF(ISNUMBER(SEARCH("Party Name-",'R.M Billets Reports'!D1285)),TRIM(MID('R.M Billets Reports'!D1285,SEARCH("-",'R.M Billets Reports'!D1285)+1,200)),"")))="SHREE RADHE SHAKTI SPONGE AND POWER PVT. LTD.","SHREE RADHE",IF(IF(ISNUMBER(SEARCH("Party Name:-",'R.M Billets Reports'!D1284)),TRIM('R.M Billets Reports'!F1284),IF(ISNUMBER(SEARCH("Party Name-",'R.M Billets Reports'!D1284)),TRIM(MID('R.M Billets Reports'!D1284,SEARCH("-",'R.M Billets Reports'!D1284)+1,200)),""))&lt;&gt;"",IF(ISNUMBER(SEARCH("Party Name:-",'R.M Billets Reports'!D1284)),TRIM('R.M Billets Reports'!F1284),IF(ISNUMBER(SEARCH("Party Name-",'R.M Billets Reports'!D1284)),TRIM(MID('R.M Billets Reports'!D1284,SEARCH("-",'R.M Billets Reports'!D1284)+1,200)),"")),IF(ISNUMBER(SEARCH("Party Name:-",'R.M Billets Reports'!D1285)),TRIM('R.M Billets Reports'!F1285),IF(ISNUMBER(SEARCH("Party Name-",'R.M Billets Reports'!D1285)),TRIM(MID('R.M Billets Reports'!D1285,SEARCH("-",'R.M Billets Reports'!D1285)+1,200)),"")))))),IF(ROW()=2,"",A1284))</f>
      </c>
      <c r="B1285">
        <f>IF(OR('R.M Billets Reports'!A1284="Date-",'R.M Billets Reports'!A1284="Date:-"),'R.M Billets Reports'!B1284,IF(ROW()=2,"",B1284))</f>
      </c>
      <c r="C1285">
        <f>IF('R.M Billets Reports'!A1284="V.No.",'R.M Billets Reports'!B1284,IF(ROW()=2,"",C1284))</f>
      </c>
      <c r="D1285">
        <f>IF('R.M Billets Reports'!A1284&lt;&gt;"",'R.M Billets Reports'!A1284,IF(ROW()=2,"",D1284))</f>
      </c>
      <c r="E1285">
        <f>IF('R.M Billets Reports'!B1284="","",TRIM('R.M Billets Reports'!B1284))</f>
      </c>
      <c r="F1285">
        <f>'R.M Billets Reports'!C1284</f>
      </c>
      <c r="G1285">
        <f>'R.M Billets Reports'!D1284</f>
      </c>
      <c r="H1285">
        <f>'R.M Billets Reports'!E1284</f>
      </c>
      <c r="I1285">
        <f>'R.M Billets Reports'!F1284</f>
      </c>
      <c r="J1285">
        <f>'R.M Billets Reports'!G1284</f>
      </c>
      <c r="K1285">
        <f>'R.M Billets Reports'!H1284</f>
      </c>
      <c r="L1285">
        <f>IF('R.M Billets Reports'!I1284="","",'R.M Billets Reports'!I1284)</f>
      </c>
      <c r="M1285">
        <f t="shared" si="40"/>
      </c>
      <c r="N1285">
        <f>IF('R.M Billets Reports'!J1284="","",'R.M Billets Reports'!J1284)</f>
      </c>
      <c r="O1285">
        <f t="shared" si="41"/>
      </c>
      <c r="P1285">
        <f>IF('R.M Billets Reports'!A1284="SIZE",'R.M Billets Reports'!B1284,P1284)</f>
      </c>
    </row>
    <row r="1286" spans="1:16" x14ac:dyDescent="0.25">
      <c r="A1286">
        <f>IF(OR('R.M Billets Reports'!A1285="Date-",'R.M Billets Reports'!A1285="Date:-"),IF(IF(IF(ISNUMBER(SEARCH("Party Name:-",'R.M Billets Reports'!D1285)),TRIM('R.M Billets Reports'!F1285),IF(ISNUMBER(SEARCH("Party Name-",'R.M Billets Reports'!D1285)),TRIM(MID('R.M Billets Reports'!D1285,SEARCH("-",'R.M Billets Reports'!D1285)+1,200)),""))&lt;&gt;"",IF(ISNUMBER(SEARCH("Party Name:-",'R.M Billets Reports'!D1285)),TRIM('R.M Billets Reports'!F1285),IF(ISNUMBER(SEARCH("Party Name-",'R.M Billets Reports'!D1285)),TRIM(MID('R.M Billets Reports'!D1285,SEARCH("-",'R.M Billets Reports'!D1285)+1,200)),"")),IF(ISNUMBER(SEARCH("Party Name:-",'R.M Billets Reports'!D1286)),TRIM('R.M Billets Reports'!F1286),IF(ISNUMBER(SEARCH("Party Name-",'R.M Billets Reports'!D1286)),TRIM(MID('R.M Billets Reports'!D1286,SEARCH("-",'R.M Billets Reports'!D1286)+1,200)),"")))="VRKP ISPAT PVT LTD","VRKP",IF(IF(IF(ISNUMBER(SEARCH("Party Name:-",'R.M Billets Reports'!D1285)),TRIM('R.M Billets Reports'!F1285),IF(ISNUMBER(SEARCH("Party Name-",'R.M Billets Reports'!D1285)),TRIM(MID('R.M Billets Reports'!D1285,SEARCH("-",'R.M Billets Reports'!D1285)+1,200)),""))&lt;&gt;"",IF(ISNUMBER(SEARCH("Party Name:-",'R.M Billets Reports'!D1285)),TRIM('R.M Billets Reports'!F1285),IF(ISNUMBER(SEARCH("Party Name-",'R.M Billets Reports'!D1285)),TRIM(MID('R.M Billets Reports'!D1285,SEARCH("-",'R.M Billets Reports'!D1285)+1,200)),"")),IF(ISNUMBER(SEARCH("Party Name:-",'R.M Billets Reports'!D1286)),TRIM('R.M Billets Reports'!F1286),IF(ISNUMBER(SEARCH("Party Name-",'R.M Billets Reports'!D1286)),TRIM(MID('R.M Billets Reports'!D1286,SEARCH("-",'R.M Billets Reports'!D1286)+1,200)),"")))="SHRI RADHE","SHREE RADHE",IF(IF(IF(ISNUMBER(SEARCH("Party Name:-",'R.M Billets Reports'!D1285)),TRIM('R.M Billets Reports'!F1285),IF(ISNUMBER(SEARCH("Party Name-",'R.M Billets Reports'!D1285)),TRIM(MID('R.M Billets Reports'!D1285,SEARCH("-",'R.M Billets Reports'!D1285)+1,200)),""))&lt;&gt;"",IF(ISNUMBER(SEARCH("Party Name:-",'R.M Billets Reports'!D1285)),TRIM('R.M Billets Reports'!F1285),IF(ISNUMBER(SEARCH("Party Name-",'R.M Billets Reports'!D1285)),TRIM(MID('R.M Billets Reports'!D1285,SEARCH("-",'R.M Billets Reports'!D1285)+1,200)),"")),IF(ISNUMBER(SEARCH("Party Name:-",'R.M Billets Reports'!D1286)),TRIM('R.M Billets Reports'!F1286),IF(ISNUMBER(SEARCH("Party Name-",'R.M Billets Reports'!D1286)),TRIM(MID('R.M Billets Reports'!D1286,SEARCH("-",'R.M Billets Reports'!D1286)+1,200)),"")))="SHREE RADHE SHAKTI SPONGE AND POWER PVT. LTD.","SHREE RADHE",IF(IF(ISNUMBER(SEARCH("Party Name:-",'R.M Billets Reports'!D1285)),TRIM('R.M Billets Reports'!F1285),IF(ISNUMBER(SEARCH("Party Name-",'R.M Billets Reports'!D1285)),TRIM(MID('R.M Billets Reports'!D1285,SEARCH("-",'R.M Billets Reports'!D1285)+1,200)),""))&lt;&gt;"",IF(ISNUMBER(SEARCH("Party Name:-",'R.M Billets Reports'!D1285)),TRIM('R.M Billets Reports'!F1285),IF(ISNUMBER(SEARCH("Party Name-",'R.M Billets Reports'!D1285)),TRIM(MID('R.M Billets Reports'!D1285,SEARCH("-",'R.M Billets Reports'!D1285)+1,200)),"")),IF(ISNUMBER(SEARCH("Party Name:-",'R.M Billets Reports'!D1286)),TRIM('R.M Billets Reports'!F1286),IF(ISNUMBER(SEARCH("Party Name-",'R.M Billets Reports'!D1286)),TRIM(MID('R.M Billets Reports'!D1286,SEARCH("-",'R.M Billets Reports'!D1286)+1,200)),"")))))),IF(ROW()=2,"",A1285))</f>
      </c>
      <c r="B1286">
        <f>IF(OR('R.M Billets Reports'!A1285="Date-",'R.M Billets Reports'!A1285="Date:-"),'R.M Billets Reports'!B1285,IF(ROW()=2,"",B1285))</f>
      </c>
      <c r="C1286">
        <f>IF('R.M Billets Reports'!A1285="V.No.",'R.M Billets Reports'!B1285,IF(ROW()=2,"",C1285))</f>
      </c>
      <c r="D1286">
        <f>IF('R.M Billets Reports'!A1285&lt;&gt;"",'R.M Billets Reports'!A1285,IF(ROW()=2,"",D1285))</f>
      </c>
      <c r="E1286">
        <f>IF('R.M Billets Reports'!B1285="","",TRIM('R.M Billets Reports'!B1285))</f>
      </c>
      <c r="F1286">
        <f>'R.M Billets Reports'!C1285</f>
      </c>
      <c r="G1286">
        <f>'R.M Billets Reports'!D1285</f>
      </c>
      <c r="H1286">
        <f>'R.M Billets Reports'!E1285</f>
      </c>
      <c r="I1286">
        <f>'R.M Billets Reports'!F1285</f>
      </c>
      <c r="J1286">
        <f>'R.M Billets Reports'!G1285</f>
      </c>
      <c r="K1286">
        <f>'R.M Billets Reports'!H1285</f>
      </c>
      <c r="L1286">
        <f>IF('R.M Billets Reports'!I1285="","",'R.M Billets Reports'!I1285)</f>
      </c>
      <c r="M1286">
        <f t="shared" si="40"/>
      </c>
      <c r="N1286">
        <f>IF('R.M Billets Reports'!J1285="","",'R.M Billets Reports'!J1285)</f>
      </c>
      <c r="O1286">
        <f t="shared" si="41"/>
      </c>
      <c r="P1286">
        <f>IF('R.M Billets Reports'!A1285="SIZE",'R.M Billets Reports'!B1285,P1285)</f>
      </c>
    </row>
    <row r="1287" spans="1:16" x14ac:dyDescent="0.25">
      <c r="A1287">
        <f>IF(OR('R.M Billets Reports'!A1286="Date-",'R.M Billets Reports'!A1286="Date:-"),IF(IF(IF(ISNUMBER(SEARCH("Party Name:-",'R.M Billets Reports'!D1286)),TRIM('R.M Billets Reports'!F1286),IF(ISNUMBER(SEARCH("Party Name-",'R.M Billets Reports'!D1286)),TRIM(MID('R.M Billets Reports'!D1286,SEARCH("-",'R.M Billets Reports'!D1286)+1,200)),""))&lt;&gt;"",IF(ISNUMBER(SEARCH("Party Name:-",'R.M Billets Reports'!D1286)),TRIM('R.M Billets Reports'!F1286),IF(ISNUMBER(SEARCH("Party Name-",'R.M Billets Reports'!D1286)),TRIM(MID('R.M Billets Reports'!D1286,SEARCH("-",'R.M Billets Reports'!D1286)+1,200)),"")),IF(ISNUMBER(SEARCH("Party Name:-",'R.M Billets Reports'!D1287)),TRIM('R.M Billets Reports'!F1287),IF(ISNUMBER(SEARCH("Party Name-",'R.M Billets Reports'!D1287)),TRIM(MID('R.M Billets Reports'!D1287,SEARCH("-",'R.M Billets Reports'!D1287)+1,200)),"")))="VRKP ISPAT PVT LTD","VRKP",IF(IF(IF(ISNUMBER(SEARCH("Party Name:-",'R.M Billets Reports'!D1286)),TRIM('R.M Billets Reports'!F1286),IF(ISNUMBER(SEARCH("Party Name-",'R.M Billets Reports'!D1286)),TRIM(MID('R.M Billets Reports'!D1286,SEARCH("-",'R.M Billets Reports'!D1286)+1,200)),""))&lt;&gt;"",IF(ISNUMBER(SEARCH("Party Name:-",'R.M Billets Reports'!D1286)),TRIM('R.M Billets Reports'!F1286),IF(ISNUMBER(SEARCH("Party Name-",'R.M Billets Reports'!D1286)),TRIM(MID('R.M Billets Reports'!D1286,SEARCH("-",'R.M Billets Reports'!D1286)+1,200)),"")),IF(ISNUMBER(SEARCH("Party Name:-",'R.M Billets Reports'!D1287)),TRIM('R.M Billets Reports'!F1287),IF(ISNUMBER(SEARCH("Party Name-",'R.M Billets Reports'!D1287)),TRIM(MID('R.M Billets Reports'!D1287,SEARCH("-",'R.M Billets Reports'!D1287)+1,200)),"")))="SHRI RADHE","SHREE RADHE",IF(IF(IF(ISNUMBER(SEARCH("Party Name:-",'R.M Billets Reports'!D1286)),TRIM('R.M Billets Reports'!F1286),IF(ISNUMBER(SEARCH("Party Name-",'R.M Billets Reports'!D1286)),TRIM(MID('R.M Billets Reports'!D1286,SEARCH("-",'R.M Billets Reports'!D1286)+1,200)),""))&lt;&gt;"",IF(ISNUMBER(SEARCH("Party Name:-",'R.M Billets Reports'!D1286)),TRIM('R.M Billets Reports'!F1286),IF(ISNUMBER(SEARCH("Party Name-",'R.M Billets Reports'!D1286)),TRIM(MID('R.M Billets Reports'!D1286,SEARCH("-",'R.M Billets Reports'!D1286)+1,200)),"")),IF(ISNUMBER(SEARCH("Party Name:-",'R.M Billets Reports'!D1287)),TRIM('R.M Billets Reports'!F1287),IF(ISNUMBER(SEARCH("Party Name-",'R.M Billets Reports'!D1287)),TRIM(MID('R.M Billets Reports'!D1287,SEARCH("-",'R.M Billets Reports'!D1287)+1,200)),"")))="SHREE RADHE SHAKTI SPONGE AND POWER PVT. LTD.","SHREE RADHE",IF(IF(ISNUMBER(SEARCH("Party Name:-",'R.M Billets Reports'!D1286)),TRIM('R.M Billets Reports'!F1286),IF(ISNUMBER(SEARCH("Party Name-",'R.M Billets Reports'!D1286)),TRIM(MID('R.M Billets Reports'!D1286,SEARCH("-",'R.M Billets Reports'!D1286)+1,200)),""))&lt;&gt;"",IF(ISNUMBER(SEARCH("Party Name:-",'R.M Billets Reports'!D1286)),TRIM('R.M Billets Reports'!F1286),IF(ISNUMBER(SEARCH("Party Name-",'R.M Billets Reports'!D1286)),TRIM(MID('R.M Billets Reports'!D1286,SEARCH("-",'R.M Billets Reports'!D1286)+1,200)),"")),IF(ISNUMBER(SEARCH("Party Name:-",'R.M Billets Reports'!D1287)),TRIM('R.M Billets Reports'!F1287),IF(ISNUMBER(SEARCH("Party Name-",'R.M Billets Reports'!D1287)),TRIM(MID('R.M Billets Reports'!D1287,SEARCH("-",'R.M Billets Reports'!D1287)+1,200)),"")))))),IF(ROW()=2,"",A1286))</f>
      </c>
      <c r="B1287">
        <f>IF(OR('R.M Billets Reports'!A1286="Date-",'R.M Billets Reports'!A1286="Date:-"),'R.M Billets Reports'!B1286,IF(ROW()=2,"",B1286))</f>
      </c>
      <c r="C1287">
        <f>IF('R.M Billets Reports'!A1286="V.No.",'R.M Billets Reports'!B1286,IF(ROW()=2,"",C1286))</f>
      </c>
      <c r="D1287">
        <f>IF('R.M Billets Reports'!A1286&lt;&gt;"",'R.M Billets Reports'!A1286,IF(ROW()=2,"",D1286))</f>
      </c>
      <c r="E1287">
        <f>IF('R.M Billets Reports'!B1286="","",TRIM('R.M Billets Reports'!B1286))</f>
      </c>
      <c r="F1287">
        <f>'R.M Billets Reports'!C1286</f>
      </c>
      <c r="G1287">
        <f>'R.M Billets Reports'!D1286</f>
      </c>
      <c r="H1287">
        <f>'R.M Billets Reports'!E1286</f>
      </c>
      <c r="I1287">
        <f>'R.M Billets Reports'!F1286</f>
      </c>
      <c r="J1287">
        <f>'R.M Billets Reports'!G1286</f>
      </c>
      <c r="K1287">
        <f>'R.M Billets Reports'!H1286</f>
      </c>
      <c r="L1287">
        <f>IF('R.M Billets Reports'!I1286="","",'R.M Billets Reports'!I1286)</f>
      </c>
      <c r="M1287">
        <f t="shared" si="40"/>
      </c>
      <c r="N1287">
        <f>IF('R.M Billets Reports'!J1286="","",'R.M Billets Reports'!J1286)</f>
      </c>
      <c r="O1287">
        <f t="shared" si="41"/>
      </c>
      <c r="P1287">
        <f>IF('R.M Billets Reports'!A1286="SIZE",'R.M Billets Reports'!B1286,P1286)</f>
      </c>
    </row>
    <row r="1288" spans="1:16" x14ac:dyDescent="0.25">
      <c r="A1288">
        <f>IF(OR('R.M Billets Reports'!A1287="Date-",'R.M Billets Reports'!A1287="Date:-"),IF(IF(IF(ISNUMBER(SEARCH("Party Name:-",'R.M Billets Reports'!D1287)),TRIM('R.M Billets Reports'!F1287),IF(ISNUMBER(SEARCH("Party Name-",'R.M Billets Reports'!D1287)),TRIM(MID('R.M Billets Reports'!D1287,SEARCH("-",'R.M Billets Reports'!D1287)+1,200)),""))&lt;&gt;"",IF(ISNUMBER(SEARCH("Party Name:-",'R.M Billets Reports'!D1287)),TRIM('R.M Billets Reports'!F1287),IF(ISNUMBER(SEARCH("Party Name-",'R.M Billets Reports'!D1287)),TRIM(MID('R.M Billets Reports'!D1287,SEARCH("-",'R.M Billets Reports'!D1287)+1,200)),"")),IF(ISNUMBER(SEARCH("Party Name:-",'R.M Billets Reports'!D1288)),TRIM('R.M Billets Reports'!F1288),IF(ISNUMBER(SEARCH("Party Name-",'R.M Billets Reports'!D1288)),TRIM(MID('R.M Billets Reports'!D1288,SEARCH("-",'R.M Billets Reports'!D1288)+1,200)),"")))="VRKP ISPAT PVT LTD","VRKP",IF(IF(IF(ISNUMBER(SEARCH("Party Name:-",'R.M Billets Reports'!D1287)),TRIM('R.M Billets Reports'!F1287),IF(ISNUMBER(SEARCH("Party Name-",'R.M Billets Reports'!D1287)),TRIM(MID('R.M Billets Reports'!D1287,SEARCH("-",'R.M Billets Reports'!D1287)+1,200)),""))&lt;&gt;"",IF(ISNUMBER(SEARCH("Party Name:-",'R.M Billets Reports'!D1287)),TRIM('R.M Billets Reports'!F1287),IF(ISNUMBER(SEARCH("Party Name-",'R.M Billets Reports'!D1287)),TRIM(MID('R.M Billets Reports'!D1287,SEARCH("-",'R.M Billets Reports'!D1287)+1,200)),"")),IF(ISNUMBER(SEARCH("Party Name:-",'R.M Billets Reports'!D1288)),TRIM('R.M Billets Reports'!F1288),IF(ISNUMBER(SEARCH("Party Name-",'R.M Billets Reports'!D1288)),TRIM(MID('R.M Billets Reports'!D1288,SEARCH("-",'R.M Billets Reports'!D1288)+1,200)),"")))="SHRI RADHE","SHREE RADHE",IF(IF(IF(ISNUMBER(SEARCH("Party Name:-",'R.M Billets Reports'!D1287)),TRIM('R.M Billets Reports'!F1287),IF(ISNUMBER(SEARCH("Party Name-",'R.M Billets Reports'!D1287)),TRIM(MID('R.M Billets Reports'!D1287,SEARCH("-",'R.M Billets Reports'!D1287)+1,200)),""))&lt;&gt;"",IF(ISNUMBER(SEARCH("Party Name:-",'R.M Billets Reports'!D1287)),TRIM('R.M Billets Reports'!F1287),IF(ISNUMBER(SEARCH("Party Name-",'R.M Billets Reports'!D1287)),TRIM(MID('R.M Billets Reports'!D1287,SEARCH("-",'R.M Billets Reports'!D1287)+1,200)),"")),IF(ISNUMBER(SEARCH("Party Name:-",'R.M Billets Reports'!D1288)),TRIM('R.M Billets Reports'!F1288),IF(ISNUMBER(SEARCH("Party Name-",'R.M Billets Reports'!D1288)),TRIM(MID('R.M Billets Reports'!D1288,SEARCH("-",'R.M Billets Reports'!D1288)+1,200)),"")))="SHREE RADHE SHAKTI SPONGE AND POWER PVT. LTD.","SHREE RADHE",IF(IF(ISNUMBER(SEARCH("Party Name:-",'R.M Billets Reports'!D1287)),TRIM('R.M Billets Reports'!F1287),IF(ISNUMBER(SEARCH("Party Name-",'R.M Billets Reports'!D1287)),TRIM(MID('R.M Billets Reports'!D1287,SEARCH("-",'R.M Billets Reports'!D1287)+1,200)),""))&lt;&gt;"",IF(ISNUMBER(SEARCH("Party Name:-",'R.M Billets Reports'!D1287)),TRIM('R.M Billets Reports'!F1287),IF(ISNUMBER(SEARCH("Party Name-",'R.M Billets Reports'!D1287)),TRIM(MID('R.M Billets Reports'!D1287,SEARCH("-",'R.M Billets Reports'!D1287)+1,200)),"")),IF(ISNUMBER(SEARCH("Party Name:-",'R.M Billets Reports'!D1288)),TRIM('R.M Billets Reports'!F1288),IF(ISNUMBER(SEARCH("Party Name-",'R.M Billets Reports'!D1288)),TRIM(MID('R.M Billets Reports'!D1288,SEARCH("-",'R.M Billets Reports'!D1288)+1,200)),"")))))),IF(ROW()=2,"",A1287))</f>
      </c>
      <c r="B1288">
        <f>IF(OR('R.M Billets Reports'!A1287="Date-",'R.M Billets Reports'!A1287="Date:-"),'R.M Billets Reports'!B1287,IF(ROW()=2,"",B1287))</f>
      </c>
      <c r="C1288">
        <f>IF('R.M Billets Reports'!A1287="V.No.",'R.M Billets Reports'!B1287,IF(ROW()=2,"",C1287))</f>
      </c>
      <c r="D1288">
        <f>IF('R.M Billets Reports'!A1287&lt;&gt;"",'R.M Billets Reports'!A1287,IF(ROW()=2,"",D1287))</f>
      </c>
      <c r="E1288">
        <f>IF('R.M Billets Reports'!B1287="","",TRIM('R.M Billets Reports'!B1287))</f>
      </c>
      <c r="F1288">
        <f>'R.M Billets Reports'!C1287</f>
      </c>
      <c r="G1288">
        <f>'R.M Billets Reports'!D1287</f>
      </c>
      <c r="H1288">
        <f>'R.M Billets Reports'!E1287</f>
      </c>
      <c r="I1288">
        <f>'R.M Billets Reports'!F1287</f>
      </c>
      <c r="J1288">
        <f>'R.M Billets Reports'!G1287</f>
      </c>
      <c r="K1288">
        <f>'R.M Billets Reports'!H1287</f>
      </c>
      <c r="L1288">
        <f>IF('R.M Billets Reports'!I1287="","",'R.M Billets Reports'!I1287)</f>
      </c>
      <c r="M1288">
        <f t="shared" si="40"/>
      </c>
      <c r="N1288">
        <f>IF('R.M Billets Reports'!J1287="","",'R.M Billets Reports'!J1287)</f>
      </c>
      <c r="O1288">
        <f t="shared" si="41"/>
      </c>
      <c r="P1288">
        <f>IF('R.M Billets Reports'!A1287="SIZE",'R.M Billets Reports'!B1287,P1287)</f>
      </c>
    </row>
    <row r="1289" spans="1:16" x14ac:dyDescent="0.25">
      <c r="A1289">
        <f>IF(OR('R.M Billets Reports'!A1288="Date-",'R.M Billets Reports'!A1288="Date:-"),IF(IF(IF(ISNUMBER(SEARCH("Party Name:-",'R.M Billets Reports'!D1288)),TRIM('R.M Billets Reports'!F1288),IF(ISNUMBER(SEARCH("Party Name-",'R.M Billets Reports'!D1288)),TRIM(MID('R.M Billets Reports'!D1288,SEARCH("-",'R.M Billets Reports'!D1288)+1,200)),""))&lt;&gt;"",IF(ISNUMBER(SEARCH("Party Name:-",'R.M Billets Reports'!D1288)),TRIM('R.M Billets Reports'!F1288),IF(ISNUMBER(SEARCH("Party Name-",'R.M Billets Reports'!D1288)),TRIM(MID('R.M Billets Reports'!D1288,SEARCH("-",'R.M Billets Reports'!D1288)+1,200)),"")),IF(ISNUMBER(SEARCH("Party Name:-",'R.M Billets Reports'!D1289)),TRIM('R.M Billets Reports'!F1289),IF(ISNUMBER(SEARCH("Party Name-",'R.M Billets Reports'!D1289)),TRIM(MID('R.M Billets Reports'!D1289,SEARCH("-",'R.M Billets Reports'!D1289)+1,200)),"")))="VRKP ISPAT PVT LTD","VRKP",IF(IF(IF(ISNUMBER(SEARCH("Party Name:-",'R.M Billets Reports'!D1288)),TRIM('R.M Billets Reports'!F1288),IF(ISNUMBER(SEARCH("Party Name-",'R.M Billets Reports'!D1288)),TRIM(MID('R.M Billets Reports'!D1288,SEARCH("-",'R.M Billets Reports'!D1288)+1,200)),""))&lt;&gt;"",IF(ISNUMBER(SEARCH("Party Name:-",'R.M Billets Reports'!D1288)),TRIM('R.M Billets Reports'!F1288),IF(ISNUMBER(SEARCH("Party Name-",'R.M Billets Reports'!D1288)),TRIM(MID('R.M Billets Reports'!D1288,SEARCH("-",'R.M Billets Reports'!D1288)+1,200)),"")),IF(ISNUMBER(SEARCH("Party Name:-",'R.M Billets Reports'!D1289)),TRIM('R.M Billets Reports'!F1289),IF(ISNUMBER(SEARCH("Party Name-",'R.M Billets Reports'!D1289)),TRIM(MID('R.M Billets Reports'!D1289,SEARCH("-",'R.M Billets Reports'!D1289)+1,200)),"")))="SHRI RADHE","SHREE RADHE",IF(IF(IF(ISNUMBER(SEARCH("Party Name:-",'R.M Billets Reports'!D1288)),TRIM('R.M Billets Reports'!F1288),IF(ISNUMBER(SEARCH("Party Name-",'R.M Billets Reports'!D1288)),TRIM(MID('R.M Billets Reports'!D1288,SEARCH("-",'R.M Billets Reports'!D1288)+1,200)),""))&lt;&gt;"",IF(ISNUMBER(SEARCH("Party Name:-",'R.M Billets Reports'!D1288)),TRIM('R.M Billets Reports'!F1288),IF(ISNUMBER(SEARCH("Party Name-",'R.M Billets Reports'!D1288)),TRIM(MID('R.M Billets Reports'!D1288,SEARCH("-",'R.M Billets Reports'!D1288)+1,200)),"")),IF(ISNUMBER(SEARCH("Party Name:-",'R.M Billets Reports'!D1289)),TRIM('R.M Billets Reports'!F1289),IF(ISNUMBER(SEARCH("Party Name-",'R.M Billets Reports'!D1289)),TRIM(MID('R.M Billets Reports'!D1289,SEARCH("-",'R.M Billets Reports'!D1289)+1,200)),"")))="SHREE RADHE SHAKTI SPONGE AND POWER PVT. LTD.","SHREE RADHE",IF(IF(ISNUMBER(SEARCH("Party Name:-",'R.M Billets Reports'!D1288)),TRIM('R.M Billets Reports'!F1288),IF(ISNUMBER(SEARCH("Party Name-",'R.M Billets Reports'!D1288)),TRIM(MID('R.M Billets Reports'!D1288,SEARCH("-",'R.M Billets Reports'!D1288)+1,200)),""))&lt;&gt;"",IF(ISNUMBER(SEARCH("Party Name:-",'R.M Billets Reports'!D1288)),TRIM('R.M Billets Reports'!F1288),IF(ISNUMBER(SEARCH("Party Name-",'R.M Billets Reports'!D1288)),TRIM(MID('R.M Billets Reports'!D1288,SEARCH("-",'R.M Billets Reports'!D1288)+1,200)),"")),IF(ISNUMBER(SEARCH("Party Name:-",'R.M Billets Reports'!D1289)),TRIM('R.M Billets Reports'!F1289),IF(ISNUMBER(SEARCH("Party Name-",'R.M Billets Reports'!D1289)),TRIM(MID('R.M Billets Reports'!D1289,SEARCH("-",'R.M Billets Reports'!D1289)+1,200)),"")))))),IF(ROW()=2,"",A1288))</f>
      </c>
      <c r="B1289">
        <f>IF(OR('R.M Billets Reports'!A1288="Date-",'R.M Billets Reports'!A1288="Date:-"),'R.M Billets Reports'!B1288,IF(ROW()=2,"",B1288))</f>
      </c>
      <c r="C1289">
        <f>IF('R.M Billets Reports'!A1288="V.No.",'R.M Billets Reports'!B1288,IF(ROW()=2,"",C1288))</f>
      </c>
      <c r="D1289">
        <f>IF('R.M Billets Reports'!A1288&lt;&gt;"",'R.M Billets Reports'!A1288,IF(ROW()=2,"",D1288))</f>
      </c>
      <c r="E1289">
        <f>IF('R.M Billets Reports'!B1288="","",TRIM('R.M Billets Reports'!B1288))</f>
      </c>
      <c r="F1289">
        <f>'R.M Billets Reports'!C1288</f>
      </c>
      <c r="G1289">
        <f>'R.M Billets Reports'!D1288</f>
      </c>
      <c r="H1289">
        <f>'R.M Billets Reports'!E1288</f>
      </c>
      <c r="I1289">
        <f>'R.M Billets Reports'!F1288</f>
      </c>
      <c r="J1289">
        <f>'R.M Billets Reports'!G1288</f>
      </c>
      <c r="K1289">
        <f>'R.M Billets Reports'!H1288</f>
      </c>
      <c r="L1289">
        <f>IF('R.M Billets Reports'!I1288="","",'R.M Billets Reports'!I1288)</f>
      </c>
      <c r="M1289">
        <f t="shared" si="40"/>
      </c>
      <c r="N1289">
        <f>IF('R.M Billets Reports'!J1288="","",'R.M Billets Reports'!J1288)</f>
      </c>
      <c r="O1289">
        <f t="shared" si="41"/>
      </c>
      <c r="P1289">
        <f>IF('R.M Billets Reports'!A1288="SIZE",'R.M Billets Reports'!B1288,P1288)</f>
      </c>
    </row>
    <row r="1290" spans="1:16" x14ac:dyDescent="0.25">
      <c r="A1290">
        <f>IF(OR('R.M Billets Reports'!A1289="Date-",'R.M Billets Reports'!A1289="Date:-"),IF(IF(IF(ISNUMBER(SEARCH("Party Name:-",'R.M Billets Reports'!D1289)),TRIM('R.M Billets Reports'!F1289),IF(ISNUMBER(SEARCH("Party Name-",'R.M Billets Reports'!D1289)),TRIM(MID('R.M Billets Reports'!D1289,SEARCH("-",'R.M Billets Reports'!D1289)+1,200)),""))&lt;&gt;"",IF(ISNUMBER(SEARCH("Party Name:-",'R.M Billets Reports'!D1289)),TRIM('R.M Billets Reports'!F1289),IF(ISNUMBER(SEARCH("Party Name-",'R.M Billets Reports'!D1289)),TRIM(MID('R.M Billets Reports'!D1289,SEARCH("-",'R.M Billets Reports'!D1289)+1,200)),"")),IF(ISNUMBER(SEARCH("Party Name:-",'R.M Billets Reports'!D1290)),TRIM('R.M Billets Reports'!F1290),IF(ISNUMBER(SEARCH("Party Name-",'R.M Billets Reports'!D1290)),TRIM(MID('R.M Billets Reports'!D1290,SEARCH("-",'R.M Billets Reports'!D1290)+1,200)),"")))="VRKP ISPAT PVT LTD","VRKP",IF(IF(IF(ISNUMBER(SEARCH("Party Name:-",'R.M Billets Reports'!D1289)),TRIM('R.M Billets Reports'!F1289),IF(ISNUMBER(SEARCH("Party Name-",'R.M Billets Reports'!D1289)),TRIM(MID('R.M Billets Reports'!D1289,SEARCH("-",'R.M Billets Reports'!D1289)+1,200)),""))&lt;&gt;"",IF(ISNUMBER(SEARCH("Party Name:-",'R.M Billets Reports'!D1289)),TRIM('R.M Billets Reports'!F1289),IF(ISNUMBER(SEARCH("Party Name-",'R.M Billets Reports'!D1289)),TRIM(MID('R.M Billets Reports'!D1289,SEARCH("-",'R.M Billets Reports'!D1289)+1,200)),"")),IF(ISNUMBER(SEARCH("Party Name:-",'R.M Billets Reports'!D1290)),TRIM('R.M Billets Reports'!F1290),IF(ISNUMBER(SEARCH("Party Name-",'R.M Billets Reports'!D1290)),TRIM(MID('R.M Billets Reports'!D1290,SEARCH("-",'R.M Billets Reports'!D1290)+1,200)),"")))="SHRI RADHE","SHREE RADHE",IF(IF(IF(ISNUMBER(SEARCH("Party Name:-",'R.M Billets Reports'!D1289)),TRIM('R.M Billets Reports'!F1289),IF(ISNUMBER(SEARCH("Party Name-",'R.M Billets Reports'!D1289)),TRIM(MID('R.M Billets Reports'!D1289,SEARCH("-",'R.M Billets Reports'!D1289)+1,200)),""))&lt;&gt;"",IF(ISNUMBER(SEARCH("Party Name:-",'R.M Billets Reports'!D1289)),TRIM('R.M Billets Reports'!F1289),IF(ISNUMBER(SEARCH("Party Name-",'R.M Billets Reports'!D1289)),TRIM(MID('R.M Billets Reports'!D1289,SEARCH("-",'R.M Billets Reports'!D1289)+1,200)),"")),IF(ISNUMBER(SEARCH("Party Name:-",'R.M Billets Reports'!D1290)),TRIM('R.M Billets Reports'!F1290),IF(ISNUMBER(SEARCH("Party Name-",'R.M Billets Reports'!D1290)),TRIM(MID('R.M Billets Reports'!D1290,SEARCH("-",'R.M Billets Reports'!D1290)+1,200)),"")))="SHREE RADHE SHAKTI SPONGE AND POWER PVT. LTD.","SHREE RADHE",IF(IF(ISNUMBER(SEARCH("Party Name:-",'R.M Billets Reports'!D1289)),TRIM('R.M Billets Reports'!F1289),IF(ISNUMBER(SEARCH("Party Name-",'R.M Billets Reports'!D1289)),TRIM(MID('R.M Billets Reports'!D1289,SEARCH("-",'R.M Billets Reports'!D1289)+1,200)),""))&lt;&gt;"",IF(ISNUMBER(SEARCH("Party Name:-",'R.M Billets Reports'!D1289)),TRIM('R.M Billets Reports'!F1289),IF(ISNUMBER(SEARCH("Party Name-",'R.M Billets Reports'!D1289)),TRIM(MID('R.M Billets Reports'!D1289,SEARCH("-",'R.M Billets Reports'!D1289)+1,200)),"")),IF(ISNUMBER(SEARCH("Party Name:-",'R.M Billets Reports'!D1290)),TRIM('R.M Billets Reports'!F1290),IF(ISNUMBER(SEARCH("Party Name-",'R.M Billets Reports'!D1290)),TRIM(MID('R.M Billets Reports'!D1290,SEARCH("-",'R.M Billets Reports'!D1290)+1,200)),"")))))),IF(ROW()=2,"",A1289))</f>
      </c>
      <c r="B1290">
        <f>IF(OR('R.M Billets Reports'!A1289="Date-",'R.M Billets Reports'!A1289="Date:-"),'R.M Billets Reports'!B1289,IF(ROW()=2,"",B1289))</f>
      </c>
      <c r="C1290">
        <f>IF('R.M Billets Reports'!A1289="V.No.",'R.M Billets Reports'!B1289,IF(ROW()=2,"",C1289))</f>
      </c>
      <c r="D1290">
        <f>IF('R.M Billets Reports'!A1289&lt;&gt;"",'R.M Billets Reports'!A1289,IF(ROW()=2,"",D1289))</f>
      </c>
      <c r="E1290">
        <f>IF('R.M Billets Reports'!B1289="","",TRIM('R.M Billets Reports'!B1289))</f>
      </c>
      <c r="F1290">
        <f>'R.M Billets Reports'!C1289</f>
      </c>
      <c r="G1290">
        <f>'R.M Billets Reports'!D1289</f>
      </c>
      <c r="H1290">
        <f>'R.M Billets Reports'!E1289</f>
      </c>
      <c r="I1290">
        <f>'R.M Billets Reports'!F1289</f>
      </c>
      <c r="J1290">
        <f>'R.M Billets Reports'!G1289</f>
      </c>
      <c r="K1290">
        <f>'R.M Billets Reports'!H1289</f>
      </c>
      <c r="L1290">
        <f>IF('R.M Billets Reports'!I1289="","",'R.M Billets Reports'!I1289)</f>
      </c>
      <c r="M1290">
        <f t="shared" si="40"/>
      </c>
      <c r="N1290">
        <f>IF('R.M Billets Reports'!J1289="","",'R.M Billets Reports'!J1289)</f>
      </c>
      <c r="O1290">
        <f t="shared" si="41"/>
      </c>
      <c r="P1290">
        <f>IF('R.M Billets Reports'!A1289="SIZE",'R.M Billets Reports'!B1289,P1289)</f>
      </c>
    </row>
    <row r="1291" spans="1:16" x14ac:dyDescent="0.25">
      <c r="A1291">
        <f>IF(OR('R.M Billets Reports'!A1290="Date-",'R.M Billets Reports'!A1290="Date:-"),IF(IF(IF(ISNUMBER(SEARCH("Party Name:-",'R.M Billets Reports'!D1290)),TRIM('R.M Billets Reports'!F1290),IF(ISNUMBER(SEARCH("Party Name-",'R.M Billets Reports'!D1290)),TRIM(MID('R.M Billets Reports'!D1290,SEARCH("-",'R.M Billets Reports'!D1290)+1,200)),""))&lt;&gt;"",IF(ISNUMBER(SEARCH("Party Name:-",'R.M Billets Reports'!D1290)),TRIM('R.M Billets Reports'!F1290),IF(ISNUMBER(SEARCH("Party Name-",'R.M Billets Reports'!D1290)),TRIM(MID('R.M Billets Reports'!D1290,SEARCH("-",'R.M Billets Reports'!D1290)+1,200)),"")),IF(ISNUMBER(SEARCH("Party Name:-",'R.M Billets Reports'!D1291)),TRIM('R.M Billets Reports'!F1291),IF(ISNUMBER(SEARCH("Party Name-",'R.M Billets Reports'!D1291)),TRIM(MID('R.M Billets Reports'!D1291,SEARCH("-",'R.M Billets Reports'!D1291)+1,200)),"")))="VRKP ISPAT PVT LTD","VRKP",IF(IF(IF(ISNUMBER(SEARCH("Party Name:-",'R.M Billets Reports'!D1290)),TRIM('R.M Billets Reports'!F1290),IF(ISNUMBER(SEARCH("Party Name-",'R.M Billets Reports'!D1290)),TRIM(MID('R.M Billets Reports'!D1290,SEARCH("-",'R.M Billets Reports'!D1290)+1,200)),""))&lt;&gt;"",IF(ISNUMBER(SEARCH("Party Name:-",'R.M Billets Reports'!D1290)),TRIM('R.M Billets Reports'!F1290),IF(ISNUMBER(SEARCH("Party Name-",'R.M Billets Reports'!D1290)),TRIM(MID('R.M Billets Reports'!D1290,SEARCH("-",'R.M Billets Reports'!D1290)+1,200)),"")),IF(ISNUMBER(SEARCH("Party Name:-",'R.M Billets Reports'!D1291)),TRIM('R.M Billets Reports'!F1291),IF(ISNUMBER(SEARCH("Party Name-",'R.M Billets Reports'!D1291)),TRIM(MID('R.M Billets Reports'!D1291,SEARCH("-",'R.M Billets Reports'!D1291)+1,200)),"")))="SHRI RADHE","SHREE RADHE",IF(IF(IF(ISNUMBER(SEARCH("Party Name:-",'R.M Billets Reports'!D1290)),TRIM('R.M Billets Reports'!F1290),IF(ISNUMBER(SEARCH("Party Name-",'R.M Billets Reports'!D1290)),TRIM(MID('R.M Billets Reports'!D1290,SEARCH("-",'R.M Billets Reports'!D1290)+1,200)),""))&lt;&gt;"",IF(ISNUMBER(SEARCH("Party Name:-",'R.M Billets Reports'!D1290)),TRIM('R.M Billets Reports'!F1290),IF(ISNUMBER(SEARCH("Party Name-",'R.M Billets Reports'!D1290)),TRIM(MID('R.M Billets Reports'!D1290,SEARCH("-",'R.M Billets Reports'!D1290)+1,200)),"")),IF(ISNUMBER(SEARCH("Party Name:-",'R.M Billets Reports'!D1291)),TRIM('R.M Billets Reports'!F1291),IF(ISNUMBER(SEARCH("Party Name-",'R.M Billets Reports'!D1291)),TRIM(MID('R.M Billets Reports'!D1291,SEARCH("-",'R.M Billets Reports'!D1291)+1,200)),"")))="SHREE RADHE SHAKTI SPONGE AND POWER PVT. LTD.","SHREE RADHE",IF(IF(ISNUMBER(SEARCH("Party Name:-",'R.M Billets Reports'!D1290)),TRIM('R.M Billets Reports'!F1290),IF(ISNUMBER(SEARCH("Party Name-",'R.M Billets Reports'!D1290)),TRIM(MID('R.M Billets Reports'!D1290,SEARCH("-",'R.M Billets Reports'!D1290)+1,200)),""))&lt;&gt;"",IF(ISNUMBER(SEARCH("Party Name:-",'R.M Billets Reports'!D1290)),TRIM('R.M Billets Reports'!F1290),IF(ISNUMBER(SEARCH("Party Name-",'R.M Billets Reports'!D1290)),TRIM(MID('R.M Billets Reports'!D1290,SEARCH("-",'R.M Billets Reports'!D1290)+1,200)),"")),IF(ISNUMBER(SEARCH("Party Name:-",'R.M Billets Reports'!D1291)),TRIM('R.M Billets Reports'!F1291),IF(ISNUMBER(SEARCH("Party Name-",'R.M Billets Reports'!D1291)),TRIM(MID('R.M Billets Reports'!D1291,SEARCH("-",'R.M Billets Reports'!D1291)+1,200)),"")))))),IF(ROW()=2,"",A1290))</f>
      </c>
      <c r="B1291">
        <f>IF(OR('R.M Billets Reports'!A1290="Date-",'R.M Billets Reports'!A1290="Date:-"),'R.M Billets Reports'!B1290,IF(ROW()=2,"",B1290))</f>
      </c>
      <c r="C1291">
        <f>IF('R.M Billets Reports'!A1290="V.No.",'R.M Billets Reports'!B1290,IF(ROW()=2,"",C1290))</f>
      </c>
      <c r="D1291">
        <f>IF('R.M Billets Reports'!A1290&lt;&gt;"",'R.M Billets Reports'!A1290,IF(ROW()=2,"",D1290))</f>
      </c>
      <c r="E1291">
        <f>IF('R.M Billets Reports'!B1290="","",TRIM('R.M Billets Reports'!B1290))</f>
      </c>
      <c r="F1291">
        <f>'R.M Billets Reports'!C1290</f>
      </c>
      <c r="G1291">
        <f>'R.M Billets Reports'!D1290</f>
      </c>
      <c r="H1291">
        <f>'R.M Billets Reports'!E1290</f>
      </c>
      <c r="I1291">
        <f>'R.M Billets Reports'!F1290</f>
      </c>
      <c r="J1291">
        <f>'R.M Billets Reports'!G1290</f>
      </c>
      <c r="K1291">
        <f>'R.M Billets Reports'!H1290</f>
      </c>
      <c r="L1291">
        <f>IF('R.M Billets Reports'!I1290="","",'R.M Billets Reports'!I1290)</f>
      </c>
      <c r="M1291">
        <f t="shared" si="40"/>
      </c>
      <c r="N1291">
        <f>IF('R.M Billets Reports'!J1290="","",'R.M Billets Reports'!J1290)</f>
      </c>
      <c r="O1291">
        <f t="shared" si="41"/>
      </c>
      <c r="P1291">
        <f>IF('R.M Billets Reports'!A1290="SIZE",'R.M Billets Reports'!B1290,P1290)</f>
      </c>
    </row>
    <row r="1292" spans="1:16" x14ac:dyDescent="0.25">
      <c r="A1292">
        <f>IF(OR('R.M Billets Reports'!A1291="Date-",'R.M Billets Reports'!A1291="Date:-"),IF(IF(IF(ISNUMBER(SEARCH("Party Name:-",'R.M Billets Reports'!D1291)),TRIM('R.M Billets Reports'!F1291),IF(ISNUMBER(SEARCH("Party Name-",'R.M Billets Reports'!D1291)),TRIM(MID('R.M Billets Reports'!D1291,SEARCH("-",'R.M Billets Reports'!D1291)+1,200)),""))&lt;&gt;"",IF(ISNUMBER(SEARCH("Party Name:-",'R.M Billets Reports'!D1291)),TRIM('R.M Billets Reports'!F1291),IF(ISNUMBER(SEARCH("Party Name-",'R.M Billets Reports'!D1291)),TRIM(MID('R.M Billets Reports'!D1291,SEARCH("-",'R.M Billets Reports'!D1291)+1,200)),"")),IF(ISNUMBER(SEARCH("Party Name:-",'R.M Billets Reports'!D1292)),TRIM('R.M Billets Reports'!F1292),IF(ISNUMBER(SEARCH("Party Name-",'R.M Billets Reports'!D1292)),TRIM(MID('R.M Billets Reports'!D1292,SEARCH("-",'R.M Billets Reports'!D1292)+1,200)),"")))="VRKP ISPAT PVT LTD","VRKP",IF(IF(IF(ISNUMBER(SEARCH("Party Name:-",'R.M Billets Reports'!D1291)),TRIM('R.M Billets Reports'!F1291),IF(ISNUMBER(SEARCH("Party Name-",'R.M Billets Reports'!D1291)),TRIM(MID('R.M Billets Reports'!D1291,SEARCH("-",'R.M Billets Reports'!D1291)+1,200)),""))&lt;&gt;"",IF(ISNUMBER(SEARCH("Party Name:-",'R.M Billets Reports'!D1291)),TRIM('R.M Billets Reports'!F1291),IF(ISNUMBER(SEARCH("Party Name-",'R.M Billets Reports'!D1291)),TRIM(MID('R.M Billets Reports'!D1291,SEARCH("-",'R.M Billets Reports'!D1291)+1,200)),"")),IF(ISNUMBER(SEARCH("Party Name:-",'R.M Billets Reports'!D1292)),TRIM('R.M Billets Reports'!F1292),IF(ISNUMBER(SEARCH("Party Name-",'R.M Billets Reports'!D1292)),TRIM(MID('R.M Billets Reports'!D1292,SEARCH("-",'R.M Billets Reports'!D1292)+1,200)),"")))="SHRI RADHE","SHREE RADHE",IF(IF(IF(ISNUMBER(SEARCH("Party Name:-",'R.M Billets Reports'!D1291)),TRIM('R.M Billets Reports'!F1291),IF(ISNUMBER(SEARCH("Party Name-",'R.M Billets Reports'!D1291)),TRIM(MID('R.M Billets Reports'!D1291,SEARCH("-",'R.M Billets Reports'!D1291)+1,200)),""))&lt;&gt;"",IF(ISNUMBER(SEARCH("Party Name:-",'R.M Billets Reports'!D1291)),TRIM('R.M Billets Reports'!F1291),IF(ISNUMBER(SEARCH("Party Name-",'R.M Billets Reports'!D1291)),TRIM(MID('R.M Billets Reports'!D1291,SEARCH("-",'R.M Billets Reports'!D1291)+1,200)),"")),IF(ISNUMBER(SEARCH("Party Name:-",'R.M Billets Reports'!D1292)),TRIM('R.M Billets Reports'!F1292),IF(ISNUMBER(SEARCH("Party Name-",'R.M Billets Reports'!D1292)),TRIM(MID('R.M Billets Reports'!D1292,SEARCH("-",'R.M Billets Reports'!D1292)+1,200)),"")))="SHREE RADHE SHAKTI SPONGE AND POWER PVT. LTD.","SHREE RADHE",IF(IF(ISNUMBER(SEARCH("Party Name:-",'R.M Billets Reports'!D1291)),TRIM('R.M Billets Reports'!F1291),IF(ISNUMBER(SEARCH("Party Name-",'R.M Billets Reports'!D1291)),TRIM(MID('R.M Billets Reports'!D1291,SEARCH("-",'R.M Billets Reports'!D1291)+1,200)),""))&lt;&gt;"",IF(ISNUMBER(SEARCH("Party Name:-",'R.M Billets Reports'!D1291)),TRIM('R.M Billets Reports'!F1291),IF(ISNUMBER(SEARCH("Party Name-",'R.M Billets Reports'!D1291)),TRIM(MID('R.M Billets Reports'!D1291,SEARCH("-",'R.M Billets Reports'!D1291)+1,200)),"")),IF(ISNUMBER(SEARCH("Party Name:-",'R.M Billets Reports'!D1292)),TRIM('R.M Billets Reports'!F1292),IF(ISNUMBER(SEARCH("Party Name-",'R.M Billets Reports'!D1292)),TRIM(MID('R.M Billets Reports'!D1292,SEARCH("-",'R.M Billets Reports'!D1292)+1,200)),"")))))),IF(ROW()=2,"",A1291))</f>
      </c>
      <c r="B1292">
        <f>IF(OR('R.M Billets Reports'!A1291="Date-",'R.M Billets Reports'!A1291="Date:-"),'R.M Billets Reports'!B1291,IF(ROW()=2,"",B1291))</f>
      </c>
      <c r="C1292">
        <f>IF('R.M Billets Reports'!A1291="V.No.",'R.M Billets Reports'!B1291,IF(ROW()=2,"",C1291))</f>
      </c>
      <c r="D1292">
        <f>IF('R.M Billets Reports'!A1291&lt;&gt;"",'R.M Billets Reports'!A1291,IF(ROW()=2,"",D1291))</f>
      </c>
      <c r="E1292">
        <f>IF('R.M Billets Reports'!B1291="","",TRIM('R.M Billets Reports'!B1291))</f>
      </c>
      <c r="F1292">
        <f>'R.M Billets Reports'!C1291</f>
      </c>
      <c r="G1292">
        <f>'R.M Billets Reports'!D1291</f>
      </c>
      <c r="H1292">
        <f>'R.M Billets Reports'!E1291</f>
      </c>
      <c r="I1292">
        <f>'R.M Billets Reports'!F1291</f>
      </c>
      <c r="J1292">
        <f>'R.M Billets Reports'!G1291</f>
      </c>
      <c r="K1292">
        <f>'R.M Billets Reports'!H1291</f>
      </c>
      <c r="L1292">
        <f>IF('R.M Billets Reports'!I1291="","",'R.M Billets Reports'!I1291)</f>
      </c>
      <c r="M1292">
        <f t="shared" si="40"/>
      </c>
      <c r="N1292">
        <f>IF('R.M Billets Reports'!J1291="","",'R.M Billets Reports'!J1291)</f>
      </c>
      <c r="O1292">
        <f t="shared" si="41"/>
      </c>
      <c r="P1292">
        <f>IF('R.M Billets Reports'!A1291="SIZE",'R.M Billets Reports'!B1291,P1291)</f>
      </c>
    </row>
    <row r="1293" spans="1:16" x14ac:dyDescent="0.25">
      <c r="A1293">
        <f>IF(OR('R.M Billets Reports'!A1292="Date-",'R.M Billets Reports'!A1292="Date:-"),IF(IF(IF(ISNUMBER(SEARCH("Party Name:-",'R.M Billets Reports'!D1292)),TRIM('R.M Billets Reports'!F1292),IF(ISNUMBER(SEARCH("Party Name-",'R.M Billets Reports'!D1292)),TRIM(MID('R.M Billets Reports'!D1292,SEARCH("-",'R.M Billets Reports'!D1292)+1,200)),""))&lt;&gt;"",IF(ISNUMBER(SEARCH("Party Name:-",'R.M Billets Reports'!D1292)),TRIM('R.M Billets Reports'!F1292),IF(ISNUMBER(SEARCH("Party Name-",'R.M Billets Reports'!D1292)),TRIM(MID('R.M Billets Reports'!D1292,SEARCH("-",'R.M Billets Reports'!D1292)+1,200)),"")),IF(ISNUMBER(SEARCH("Party Name:-",'R.M Billets Reports'!D1293)),TRIM('R.M Billets Reports'!F1293),IF(ISNUMBER(SEARCH("Party Name-",'R.M Billets Reports'!D1293)),TRIM(MID('R.M Billets Reports'!D1293,SEARCH("-",'R.M Billets Reports'!D1293)+1,200)),"")))="VRKP ISPAT PVT LTD","VRKP",IF(IF(IF(ISNUMBER(SEARCH("Party Name:-",'R.M Billets Reports'!D1292)),TRIM('R.M Billets Reports'!F1292),IF(ISNUMBER(SEARCH("Party Name-",'R.M Billets Reports'!D1292)),TRIM(MID('R.M Billets Reports'!D1292,SEARCH("-",'R.M Billets Reports'!D1292)+1,200)),""))&lt;&gt;"",IF(ISNUMBER(SEARCH("Party Name:-",'R.M Billets Reports'!D1292)),TRIM('R.M Billets Reports'!F1292),IF(ISNUMBER(SEARCH("Party Name-",'R.M Billets Reports'!D1292)),TRIM(MID('R.M Billets Reports'!D1292,SEARCH("-",'R.M Billets Reports'!D1292)+1,200)),"")),IF(ISNUMBER(SEARCH("Party Name:-",'R.M Billets Reports'!D1293)),TRIM('R.M Billets Reports'!F1293),IF(ISNUMBER(SEARCH("Party Name-",'R.M Billets Reports'!D1293)),TRIM(MID('R.M Billets Reports'!D1293,SEARCH("-",'R.M Billets Reports'!D1293)+1,200)),"")))="SHRI RADHE","SHREE RADHE",IF(IF(IF(ISNUMBER(SEARCH("Party Name:-",'R.M Billets Reports'!D1292)),TRIM('R.M Billets Reports'!F1292),IF(ISNUMBER(SEARCH("Party Name-",'R.M Billets Reports'!D1292)),TRIM(MID('R.M Billets Reports'!D1292,SEARCH("-",'R.M Billets Reports'!D1292)+1,200)),""))&lt;&gt;"",IF(ISNUMBER(SEARCH("Party Name:-",'R.M Billets Reports'!D1292)),TRIM('R.M Billets Reports'!F1292),IF(ISNUMBER(SEARCH("Party Name-",'R.M Billets Reports'!D1292)),TRIM(MID('R.M Billets Reports'!D1292,SEARCH("-",'R.M Billets Reports'!D1292)+1,200)),"")),IF(ISNUMBER(SEARCH("Party Name:-",'R.M Billets Reports'!D1293)),TRIM('R.M Billets Reports'!F1293),IF(ISNUMBER(SEARCH("Party Name-",'R.M Billets Reports'!D1293)),TRIM(MID('R.M Billets Reports'!D1293,SEARCH("-",'R.M Billets Reports'!D1293)+1,200)),"")))="SHREE RADHE SHAKTI SPONGE AND POWER PVT. LTD.","SHREE RADHE",IF(IF(ISNUMBER(SEARCH("Party Name:-",'R.M Billets Reports'!D1292)),TRIM('R.M Billets Reports'!F1292),IF(ISNUMBER(SEARCH("Party Name-",'R.M Billets Reports'!D1292)),TRIM(MID('R.M Billets Reports'!D1292,SEARCH("-",'R.M Billets Reports'!D1292)+1,200)),""))&lt;&gt;"",IF(ISNUMBER(SEARCH("Party Name:-",'R.M Billets Reports'!D1292)),TRIM('R.M Billets Reports'!F1292),IF(ISNUMBER(SEARCH("Party Name-",'R.M Billets Reports'!D1292)),TRIM(MID('R.M Billets Reports'!D1292,SEARCH("-",'R.M Billets Reports'!D1292)+1,200)),"")),IF(ISNUMBER(SEARCH("Party Name:-",'R.M Billets Reports'!D1293)),TRIM('R.M Billets Reports'!F1293),IF(ISNUMBER(SEARCH("Party Name-",'R.M Billets Reports'!D1293)),TRIM(MID('R.M Billets Reports'!D1293,SEARCH("-",'R.M Billets Reports'!D1293)+1,200)),"")))))),IF(ROW()=2,"",A1292))</f>
      </c>
      <c r="B1293">
        <f>IF(OR('R.M Billets Reports'!A1292="Date-",'R.M Billets Reports'!A1292="Date:-"),'R.M Billets Reports'!B1292,IF(ROW()=2,"",B1292))</f>
      </c>
      <c r="C1293">
        <f>IF('R.M Billets Reports'!A1292="V.No.",'R.M Billets Reports'!B1292,IF(ROW()=2,"",C1292))</f>
      </c>
      <c r="D1293">
        <f>IF('R.M Billets Reports'!A1292&lt;&gt;"",'R.M Billets Reports'!A1292,IF(ROW()=2,"",D1292))</f>
      </c>
      <c r="E1293">
        <f>IF('R.M Billets Reports'!B1292="","",TRIM('R.M Billets Reports'!B1292))</f>
      </c>
      <c r="F1293">
        <f>'R.M Billets Reports'!C1292</f>
      </c>
      <c r="G1293">
        <f>'R.M Billets Reports'!D1292</f>
      </c>
      <c r="H1293">
        <f>'R.M Billets Reports'!E1292</f>
      </c>
      <c r="I1293">
        <f>'R.M Billets Reports'!F1292</f>
      </c>
      <c r="J1293">
        <f>'R.M Billets Reports'!G1292</f>
      </c>
      <c r="K1293">
        <f>'R.M Billets Reports'!H1292</f>
      </c>
      <c r="L1293">
        <f>IF('R.M Billets Reports'!I1292="","",'R.M Billets Reports'!I1292)</f>
      </c>
      <c r="M1293">
        <f t="shared" si="40"/>
      </c>
      <c r="N1293">
        <f>IF('R.M Billets Reports'!J1292="","",'R.M Billets Reports'!J1292)</f>
      </c>
      <c r="O1293">
        <f t="shared" si="41"/>
      </c>
      <c r="P1293">
        <f>IF('R.M Billets Reports'!A1292="SIZE",'R.M Billets Reports'!B1292,P1292)</f>
      </c>
    </row>
    <row r="1294" spans="1:16" x14ac:dyDescent="0.25">
      <c r="A1294">
        <f>IF(OR('R.M Billets Reports'!A1293="Date-",'R.M Billets Reports'!A1293="Date:-"),IF(IF(IF(ISNUMBER(SEARCH("Party Name:-",'R.M Billets Reports'!D1293)),TRIM('R.M Billets Reports'!F1293),IF(ISNUMBER(SEARCH("Party Name-",'R.M Billets Reports'!D1293)),TRIM(MID('R.M Billets Reports'!D1293,SEARCH("-",'R.M Billets Reports'!D1293)+1,200)),""))&lt;&gt;"",IF(ISNUMBER(SEARCH("Party Name:-",'R.M Billets Reports'!D1293)),TRIM('R.M Billets Reports'!F1293),IF(ISNUMBER(SEARCH("Party Name-",'R.M Billets Reports'!D1293)),TRIM(MID('R.M Billets Reports'!D1293,SEARCH("-",'R.M Billets Reports'!D1293)+1,200)),"")),IF(ISNUMBER(SEARCH("Party Name:-",'R.M Billets Reports'!D1294)),TRIM('R.M Billets Reports'!F1294),IF(ISNUMBER(SEARCH("Party Name-",'R.M Billets Reports'!D1294)),TRIM(MID('R.M Billets Reports'!D1294,SEARCH("-",'R.M Billets Reports'!D1294)+1,200)),"")))="VRKP ISPAT PVT LTD","VRKP",IF(IF(IF(ISNUMBER(SEARCH("Party Name:-",'R.M Billets Reports'!D1293)),TRIM('R.M Billets Reports'!F1293),IF(ISNUMBER(SEARCH("Party Name-",'R.M Billets Reports'!D1293)),TRIM(MID('R.M Billets Reports'!D1293,SEARCH("-",'R.M Billets Reports'!D1293)+1,200)),""))&lt;&gt;"",IF(ISNUMBER(SEARCH("Party Name:-",'R.M Billets Reports'!D1293)),TRIM('R.M Billets Reports'!F1293),IF(ISNUMBER(SEARCH("Party Name-",'R.M Billets Reports'!D1293)),TRIM(MID('R.M Billets Reports'!D1293,SEARCH("-",'R.M Billets Reports'!D1293)+1,200)),"")),IF(ISNUMBER(SEARCH("Party Name:-",'R.M Billets Reports'!D1294)),TRIM('R.M Billets Reports'!F1294),IF(ISNUMBER(SEARCH("Party Name-",'R.M Billets Reports'!D1294)),TRIM(MID('R.M Billets Reports'!D1294,SEARCH("-",'R.M Billets Reports'!D1294)+1,200)),"")))="SHRI RADHE","SHREE RADHE",IF(IF(IF(ISNUMBER(SEARCH("Party Name:-",'R.M Billets Reports'!D1293)),TRIM('R.M Billets Reports'!F1293),IF(ISNUMBER(SEARCH("Party Name-",'R.M Billets Reports'!D1293)),TRIM(MID('R.M Billets Reports'!D1293,SEARCH("-",'R.M Billets Reports'!D1293)+1,200)),""))&lt;&gt;"",IF(ISNUMBER(SEARCH("Party Name:-",'R.M Billets Reports'!D1293)),TRIM('R.M Billets Reports'!F1293),IF(ISNUMBER(SEARCH("Party Name-",'R.M Billets Reports'!D1293)),TRIM(MID('R.M Billets Reports'!D1293,SEARCH("-",'R.M Billets Reports'!D1293)+1,200)),"")),IF(ISNUMBER(SEARCH("Party Name:-",'R.M Billets Reports'!D1294)),TRIM('R.M Billets Reports'!F1294),IF(ISNUMBER(SEARCH("Party Name-",'R.M Billets Reports'!D1294)),TRIM(MID('R.M Billets Reports'!D1294,SEARCH("-",'R.M Billets Reports'!D1294)+1,200)),"")))="SHREE RADHE SHAKTI SPONGE AND POWER PVT. LTD.","SHREE RADHE",IF(IF(ISNUMBER(SEARCH("Party Name:-",'R.M Billets Reports'!D1293)),TRIM('R.M Billets Reports'!F1293),IF(ISNUMBER(SEARCH("Party Name-",'R.M Billets Reports'!D1293)),TRIM(MID('R.M Billets Reports'!D1293,SEARCH("-",'R.M Billets Reports'!D1293)+1,200)),""))&lt;&gt;"",IF(ISNUMBER(SEARCH("Party Name:-",'R.M Billets Reports'!D1293)),TRIM('R.M Billets Reports'!F1293),IF(ISNUMBER(SEARCH("Party Name-",'R.M Billets Reports'!D1293)),TRIM(MID('R.M Billets Reports'!D1293,SEARCH("-",'R.M Billets Reports'!D1293)+1,200)),"")),IF(ISNUMBER(SEARCH("Party Name:-",'R.M Billets Reports'!D1294)),TRIM('R.M Billets Reports'!F1294),IF(ISNUMBER(SEARCH("Party Name-",'R.M Billets Reports'!D1294)),TRIM(MID('R.M Billets Reports'!D1294,SEARCH("-",'R.M Billets Reports'!D1294)+1,200)),"")))))),IF(ROW()=2,"",A1293))</f>
      </c>
      <c r="B1294">
        <f>IF(OR('R.M Billets Reports'!A1293="Date-",'R.M Billets Reports'!A1293="Date:-"),'R.M Billets Reports'!B1293,IF(ROW()=2,"",B1293))</f>
      </c>
      <c r="C1294">
        <f>IF('R.M Billets Reports'!A1293="V.No.",'R.M Billets Reports'!B1293,IF(ROW()=2,"",C1293))</f>
      </c>
      <c r="D1294">
        <f>IF('R.M Billets Reports'!A1293&lt;&gt;"",'R.M Billets Reports'!A1293,IF(ROW()=2,"",D1293))</f>
      </c>
      <c r="E1294">
        <f>IF('R.M Billets Reports'!B1293="","",TRIM('R.M Billets Reports'!B1293))</f>
      </c>
      <c r="F1294">
        <f>'R.M Billets Reports'!C1293</f>
      </c>
      <c r="G1294">
        <f>'R.M Billets Reports'!D1293</f>
      </c>
      <c r="H1294">
        <f>'R.M Billets Reports'!E1293</f>
      </c>
      <c r="I1294">
        <f>'R.M Billets Reports'!F1293</f>
      </c>
      <c r="J1294">
        <f>'R.M Billets Reports'!G1293</f>
      </c>
      <c r="K1294">
        <f>'R.M Billets Reports'!H1293</f>
      </c>
      <c r="L1294">
        <f>IF('R.M Billets Reports'!I1293="","",'R.M Billets Reports'!I1293)</f>
      </c>
      <c r="M1294">
        <f t="shared" si="40"/>
      </c>
      <c r="N1294">
        <f>IF('R.M Billets Reports'!J1293="","",'R.M Billets Reports'!J1293)</f>
      </c>
      <c r="O1294">
        <f t="shared" si="41"/>
      </c>
      <c r="P1294">
        <f>IF('R.M Billets Reports'!A1293="SIZE",'R.M Billets Reports'!B1293,P1293)</f>
      </c>
    </row>
    <row r="1295" spans="1:16" x14ac:dyDescent="0.25">
      <c r="A1295">
        <f>IF(OR('R.M Billets Reports'!A1294="Date-",'R.M Billets Reports'!A1294="Date:-"),IF(IF(IF(ISNUMBER(SEARCH("Party Name:-",'R.M Billets Reports'!D1294)),TRIM('R.M Billets Reports'!F1294),IF(ISNUMBER(SEARCH("Party Name-",'R.M Billets Reports'!D1294)),TRIM(MID('R.M Billets Reports'!D1294,SEARCH("-",'R.M Billets Reports'!D1294)+1,200)),""))&lt;&gt;"",IF(ISNUMBER(SEARCH("Party Name:-",'R.M Billets Reports'!D1294)),TRIM('R.M Billets Reports'!F1294),IF(ISNUMBER(SEARCH("Party Name-",'R.M Billets Reports'!D1294)),TRIM(MID('R.M Billets Reports'!D1294,SEARCH("-",'R.M Billets Reports'!D1294)+1,200)),"")),IF(ISNUMBER(SEARCH("Party Name:-",'R.M Billets Reports'!D1295)),TRIM('R.M Billets Reports'!F1295),IF(ISNUMBER(SEARCH("Party Name-",'R.M Billets Reports'!D1295)),TRIM(MID('R.M Billets Reports'!D1295,SEARCH("-",'R.M Billets Reports'!D1295)+1,200)),"")))="VRKP ISPAT PVT LTD","VRKP",IF(IF(IF(ISNUMBER(SEARCH("Party Name:-",'R.M Billets Reports'!D1294)),TRIM('R.M Billets Reports'!F1294),IF(ISNUMBER(SEARCH("Party Name-",'R.M Billets Reports'!D1294)),TRIM(MID('R.M Billets Reports'!D1294,SEARCH("-",'R.M Billets Reports'!D1294)+1,200)),""))&lt;&gt;"",IF(ISNUMBER(SEARCH("Party Name:-",'R.M Billets Reports'!D1294)),TRIM('R.M Billets Reports'!F1294),IF(ISNUMBER(SEARCH("Party Name-",'R.M Billets Reports'!D1294)),TRIM(MID('R.M Billets Reports'!D1294,SEARCH("-",'R.M Billets Reports'!D1294)+1,200)),"")),IF(ISNUMBER(SEARCH("Party Name:-",'R.M Billets Reports'!D1295)),TRIM('R.M Billets Reports'!F1295),IF(ISNUMBER(SEARCH("Party Name-",'R.M Billets Reports'!D1295)),TRIM(MID('R.M Billets Reports'!D1295,SEARCH("-",'R.M Billets Reports'!D1295)+1,200)),"")))="SHRI RADHE","SHREE RADHE",IF(IF(IF(ISNUMBER(SEARCH("Party Name:-",'R.M Billets Reports'!D1294)),TRIM('R.M Billets Reports'!F1294),IF(ISNUMBER(SEARCH("Party Name-",'R.M Billets Reports'!D1294)),TRIM(MID('R.M Billets Reports'!D1294,SEARCH("-",'R.M Billets Reports'!D1294)+1,200)),""))&lt;&gt;"",IF(ISNUMBER(SEARCH("Party Name:-",'R.M Billets Reports'!D1294)),TRIM('R.M Billets Reports'!F1294),IF(ISNUMBER(SEARCH("Party Name-",'R.M Billets Reports'!D1294)),TRIM(MID('R.M Billets Reports'!D1294,SEARCH("-",'R.M Billets Reports'!D1294)+1,200)),"")),IF(ISNUMBER(SEARCH("Party Name:-",'R.M Billets Reports'!D1295)),TRIM('R.M Billets Reports'!F1295),IF(ISNUMBER(SEARCH("Party Name-",'R.M Billets Reports'!D1295)),TRIM(MID('R.M Billets Reports'!D1295,SEARCH("-",'R.M Billets Reports'!D1295)+1,200)),"")))="SHREE RADHE SHAKTI SPONGE AND POWER PVT. LTD.","SHREE RADHE",IF(IF(ISNUMBER(SEARCH("Party Name:-",'R.M Billets Reports'!D1294)),TRIM('R.M Billets Reports'!F1294),IF(ISNUMBER(SEARCH("Party Name-",'R.M Billets Reports'!D1294)),TRIM(MID('R.M Billets Reports'!D1294,SEARCH("-",'R.M Billets Reports'!D1294)+1,200)),""))&lt;&gt;"",IF(ISNUMBER(SEARCH("Party Name:-",'R.M Billets Reports'!D1294)),TRIM('R.M Billets Reports'!F1294),IF(ISNUMBER(SEARCH("Party Name-",'R.M Billets Reports'!D1294)),TRIM(MID('R.M Billets Reports'!D1294,SEARCH("-",'R.M Billets Reports'!D1294)+1,200)),"")),IF(ISNUMBER(SEARCH("Party Name:-",'R.M Billets Reports'!D1295)),TRIM('R.M Billets Reports'!F1295),IF(ISNUMBER(SEARCH("Party Name-",'R.M Billets Reports'!D1295)),TRIM(MID('R.M Billets Reports'!D1295,SEARCH("-",'R.M Billets Reports'!D1295)+1,200)),"")))))),IF(ROW()=2,"",A1294))</f>
      </c>
      <c r="B1295">
        <f>IF(OR('R.M Billets Reports'!A1294="Date-",'R.M Billets Reports'!A1294="Date:-"),'R.M Billets Reports'!B1294,IF(ROW()=2,"",B1294))</f>
      </c>
      <c r="C1295">
        <f>IF('R.M Billets Reports'!A1294="V.No.",'R.M Billets Reports'!B1294,IF(ROW()=2,"",C1294))</f>
      </c>
      <c r="D1295">
        <f>IF('R.M Billets Reports'!A1294&lt;&gt;"",'R.M Billets Reports'!A1294,IF(ROW()=2,"",D1294))</f>
      </c>
      <c r="E1295">
        <f>IF('R.M Billets Reports'!B1294="","",TRIM('R.M Billets Reports'!B1294))</f>
      </c>
      <c r="F1295">
        <f>'R.M Billets Reports'!C1294</f>
      </c>
      <c r="G1295">
        <f>'R.M Billets Reports'!D1294</f>
      </c>
      <c r="H1295">
        <f>'R.M Billets Reports'!E1294</f>
      </c>
      <c r="I1295">
        <f>'R.M Billets Reports'!F1294</f>
      </c>
      <c r="J1295">
        <f>'R.M Billets Reports'!G1294</f>
      </c>
      <c r="K1295">
        <f>'R.M Billets Reports'!H1294</f>
      </c>
      <c r="L1295">
        <f>IF('R.M Billets Reports'!I1294="","",'R.M Billets Reports'!I1294)</f>
      </c>
      <c r="M1295">
        <f t="shared" si="40"/>
      </c>
      <c r="N1295">
        <f>IF('R.M Billets Reports'!J1294="","",'R.M Billets Reports'!J1294)</f>
      </c>
      <c r="O1295">
        <f t="shared" si="41"/>
      </c>
      <c r="P1295">
        <f>IF('R.M Billets Reports'!A1294="SIZE",'R.M Billets Reports'!B1294,P1294)</f>
      </c>
    </row>
    <row r="1296" spans="1:16" x14ac:dyDescent="0.25">
      <c r="A1296">
        <f>IF(OR('R.M Billets Reports'!A1295="Date-",'R.M Billets Reports'!A1295="Date:-"),IF(IF(IF(ISNUMBER(SEARCH("Party Name:-",'R.M Billets Reports'!D1295)),TRIM('R.M Billets Reports'!F1295),IF(ISNUMBER(SEARCH("Party Name-",'R.M Billets Reports'!D1295)),TRIM(MID('R.M Billets Reports'!D1295,SEARCH("-",'R.M Billets Reports'!D1295)+1,200)),""))&lt;&gt;"",IF(ISNUMBER(SEARCH("Party Name:-",'R.M Billets Reports'!D1295)),TRIM('R.M Billets Reports'!F1295),IF(ISNUMBER(SEARCH("Party Name-",'R.M Billets Reports'!D1295)),TRIM(MID('R.M Billets Reports'!D1295,SEARCH("-",'R.M Billets Reports'!D1295)+1,200)),"")),IF(ISNUMBER(SEARCH("Party Name:-",'R.M Billets Reports'!D1296)),TRIM('R.M Billets Reports'!F1296),IF(ISNUMBER(SEARCH("Party Name-",'R.M Billets Reports'!D1296)),TRIM(MID('R.M Billets Reports'!D1296,SEARCH("-",'R.M Billets Reports'!D1296)+1,200)),"")))="VRKP ISPAT PVT LTD","VRKP",IF(IF(IF(ISNUMBER(SEARCH("Party Name:-",'R.M Billets Reports'!D1295)),TRIM('R.M Billets Reports'!F1295),IF(ISNUMBER(SEARCH("Party Name-",'R.M Billets Reports'!D1295)),TRIM(MID('R.M Billets Reports'!D1295,SEARCH("-",'R.M Billets Reports'!D1295)+1,200)),""))&lt;&gt;"",IF(ISNUMBER(SEARCH("Party Name:-",'R.M Billets Reports'!D1295)),TRIM('R.M Billets Reports'!F1295),IF(ISNUMBER(SEARCH("Party Name-",'R.M Billets Reports'!D1295)),TRIM(MID('R.M Billets Reports'!D1295,SEARCH("-",'R.M Billets Reports'!D1295)+1,200)),"")),IF(ISNUMBER(SEARCH("Party Name:-",'R.M Billets Reports'!D1296)),TRIM('R.M Billets Reports'!F1296),IF(ISNUMBER(SEARCH("Party Name-",'R.M Billets Reports'!D1296)),TRIM(MID('R.M Billets Reports'!D1296,SEARCH("-",'R.M Billets Reports'!D1296)+1,200)),"")))="SHRI RADHE","SHREE RADHE",IF(IF(IF(ISNUMBER(SEARCH("Party Name:-",'R.M Billets Reports'!D1295)),TRIM('R.M Billets Reports'!F1295),IF(ISNUMBER(SEARCH("Party Name-",'R.M Billets Reports'!D1295)),TRIM(MID('R.M Billets Reports'!D1295,SEARCH("-",'R.M Billets Reports'!D1295)+1,200)),""))&lt;&gt;"",IF(ISNUMBER(SEARCH("Party Name:-",'R.M Billets Reports'!D1295)),TRIM('R.M Billets Reports'!F1295),IF(ISNUMBER(SEARCH("Party Name-",'R.M Billets Reports'!D1295)),TRIM(MID('R.M Billets Reports'!D1295,SEARCH("-",'R.M Billets Reports'!D1295)+1,200)),"")),IF(ISNUMBER(SEARCH("Party Name:-",'R.M Billets Reports'!D1296)),TRIM('R.M Billets Reports'!F1296),IF(ISNUMBER(SEARCH("Party Name-",'R.M Billets Reports'!D1296)),TRIM(MID('R.M Billets Reports'!D1296,SEARCH("-",'R.M Billets Reports'!D1296)+1,200)),"")))="SHREE RADHE SHAKTI SPONGE AND POWER PVT. LTD.","SHREE RADHE",IF(IF(ISNUMBER(SEARCH("Party Name:-",'R.M Billets Reports'!D1295)),TRIM('R.M Billets Reports'!F1295),IF(ISNUMBER(SEARCH("Party Name-",'R.M Billets Reports'!D1295)),TRIM(MID('R.M Billets Reports'!D1295,SEARCH("-",'R.M Billets Reports'!D1295)+1,200)),""))&lt;&gt;"",IF(ISNUMBER(SEARCH("Party Name:-",'R.M Billets Reports'!D1295)),TRIM('R.M Billets Reports'!F1295),IF(ISNUMBER(SEARCH("Party Name-",'R.M Billets Reports'!D1295)),TRIM(MID('R.M Billets Reports'!D1295,SEARCH("-",'R.M Billets Reports'!D1295)+1,200)),"")),IF(ISNUMBER(SEARCH("Party Name:-",'R.M Billets Reports'!D1296)),TRIM('R.M Billets Reports'!F1296),IF(ISNUMBER(SEARCH("Party Name-",'R.M Billets Reports'!D1296)),TRIM(MID('R.M Billets Reports'!D1296,SEARCH("-",'R.M Billets Reports'!D1296)+1,200)),"")))))),IF(ROW()=2,"",A1295))</f>
      </c>
      <c r="B1296">
        <f>IF(OR('R.M Billets Reports'!A1295="Date-",'R.M Billets Reports'!A1295="Date:-"),'R.M Billets Reports'!B1295,IF(ROW()=2,"",B1295))</f>
      </c>
      <c r="C1296">
        <f>IF('R.M Billets Reports'!A1295="V.No.",'R.M Billets Reports'!B1295,IF(ROW()=2,"",C1295))</f>
      </c>
      <c r="D1296">
        <f>IF('R.M Billets Reports'!A1295&lt;&gt;"",'R.M Billets Reports'!A1295,IF(ROW()=2,"",D1295))</f>
      </c>
      <c r="E1296">
        <f>IF('R.M Billets Reports'!B1295="","",TRIM('R.M Billets Reports'!B1295))</f>
      </c>
      <c r="F1296">
        <f>'R.M Billets Reports'!C1295</f>
      </c>
      <c r="G1296">
        <f>'R.M Billets Reports'!D1295</f>
      </c>
      <c r="H1296">
        <f>'R.M Billets Reports'!E1295</f>
      </c>
      <c r="I1296">
        <f>'R.M Billets Reports'!F1295</f>
      </c>
      <c r="J1296">
        <f>'R.M Billets Reports'!G1295</f>
      </c>
      <c r="K1296">
        <f>'R.M Billets Reports'!H1295</f>
      </c>
      <c r="L1296">
        <f>IF('R.M Billets Reports'!I1295="","",'R.M Billets Reports'!I1295)</f>
      </c>
      <c r="M1296">
        <f t="shared" si="40"/>
      </c>
      <c r="N1296">
        <f>IF('R.M Billets Reports'!J1295="","",'R.M Billets Reports'!J1295)</f>
      </c>
      <c r="O1296">
        <f t="shared" si="41"/>
      </c>
      <c r="P1296">
        <f>IF('R.M Billets Reports'!A1295="SIZE",'R.M Billets Reports'!B1295,P1295)</f>
      </c>
    </row>
    <row r="1297" spans="1:16" x14ac:dyDescent="0.25">
      <c r="A1297">
        <f>IF(OR('R.M Billets Reports'!A1296="Date-",'R.M Billets Reports'!A1296="Date:-"),IF(IF(IF(ISNUMBER(SEARCH("Party Name:-",'R.M Billets Reports'!D1296)),TRIM('R.M Billets Reports'!F1296),IF(ISNUMBER(SEARCH("Party Name-",'R.M Billets Reports'!D1296)),TRIM(MID('R.M Billets Reports'!D1296,SEARCH("-",'R.M Billets Reports'!D1296)+1,200)),""))&lt;&gt;"",IF(ISNUMBER(SEARCH("Party Name:-",'R.M Billets Reports'!D1296)),TRIM('R.M Billets Reports'!F1296),IF(ISNUMBER(SEARCH("Party Name-",'R.M Billets Reports'!D1296)),TRIM(MID('R.M Billets Reports'!D1296,SEARCH("-",'R.M Billets Reports'!D1296)+1,200)),"")),IF(ISNUMBER(SEARCH("Party Name:-",'R.M Billets Reports'!D1297)),TRIM('R.M Billets Reports'!F1297),IF(ISNUMBER(SEARCH("Party Name-",'R.M Billets Reports'!D1297)),TRIM(MID('R.M Billets Reports'!D1297,SEARCH("-",'R.M Billets Reports'!D1297)+1,200)),"")))="VRKP ISPAT PVT LTD","VRKP",IF(IF(IF(ISNUMBER(SEARCH("Party Name:-",'R.M Billets Reports'!D1296)),TRIM('R.M Billets Reports'!F1296),IF(ISNUMBER(SEARCH("Party Name-",'R.M Billets Reports'!D1296)),TRIM(MID('R.M Billets Reports'!D1296,SEARCH("-",'R.M Billets Reports'!D1296)+1,200)),""))&lt;&gt;"",IF(ISNUMBER(SEARCH("Party Name:-",'R.M Billets Reports'!D1296)),TRIM('R.M Billets Reports'!F1296),IF(ISNUMBER(SEARCH("Party Name-",'R.M Billets Reports'!D1296)),TRIM(MID('R.M Billets Reports'!D1296,SEARCH("-",'R.M Billets Reports'!D1296)+1,200)),"")),IF(ISNUMBER(SEARCH("Party Name:-",'R.M Billets Reports'!D1297)),TRIM('R.M Billets Reports'!F1297),IF(ISNUMBER(SEARCH("Party Name-",'R.M Billets Reports'!D1297)),TRIM(MID('R.M Billets Reports'!D1297,SEARCH("-",'R.M Billets Reports'!D1297)+1,200)),"")))="SHRI RADHE","SHREE RADHE",IF(IF(IF(ISNUMBER(SEARCH("Party Name:-",'R.M Billets Reports'!D1296)),TRIM('R.M Billets Reports'!F1296),IF(ISNUMBER(SEARCH("Party Name-",'R.M Billets Reports'!D1296)),TRIM(MID('R.M Billets Reports'!D1296,SEARCH("-",'R.M Billets Reports'!D1296)+1,200)),""))&lt;&gt;"",IF(ISNUMBER(SEARCH("Party Name:-",'R.M Billets Reports'!D1296)),TRIM('R.M Billets Reports'!F1296),IF(ISNUMBER(SEARCH("Party Name-",'R.M Billets Reports'!D1296)),TRIM(MID('R.M Billets Reports'!D1296,SEARCH("-",'R.M Billets Reports'!D1296)+1,200)),"")),IF(ISNUMBER(SEARCH("Party Name:-",'R.M Billets Reports'!D1297)),TRIM('R.M Billets Reports'!F1297),IF(ISNUMBER(SEARCH("Party Name-",'R.M Billets Reports'!D1297)),TRIM(MID('R.M Billets Reports'!D1297,SEARCH("-",'R.M Billets Reports'!D1297)+1,200)),"")))="SHREE RADHE SHAKTI SPONGE AND POWER PVT. LTD.","SHREE RADHE",IF(IF(ISNUMBER(SEARCH("Party Name:-",'R.M Billets Reports'!D1296)),TRIM('R.M Billets Reports'!F1296),IF(ISNUMBER(SEARCH("Party Name-",'R.M Billets Reports'!D1296)),TRIM(MID('R.M Billets Reports'!D1296,SEARCH("-",'R.M Billets Reports'!D1296)+1,200)),""))&lt;&gt;"",IF(ISNUMBER(SEARCH("Party Name:-",'R.M Billets Reports'!D1296)),TRIM('R.M Billets Reports'!F1296),IF(ISNUMBER(SEARCH("Party Name-",'R.M Billets Reports'!D1296)),TRIM(MID('R.M Billets Reports'!D1296,SEARCH("-",'R.M Billets Reports'!D1296)+1,200)),"")),IF(ISNUMBER(SEARCH("Party Name:-",'R.M Billets Reports'!D1297)),TRIM('R.M Billets Reports'!F1297),IF(ISNUMBER(SEARCH("Party Name-",'R.M Billets Reports'!D1297)),TRIM(MID('R.M Billets Reports'!D1297,SEARCH("-",'R.M Billets Reports'!D1297)+1,200)),"")))))),IF(ROW()=2,"",A1296))</f>
      </c>
      <c r="B1297">
        <f>IF(OR('R.M Billets Reports'!A1296="Date-",'R.M Billets Reports'!A1296="Date:-"),'R.M Billets Reports'!B1296,IF(ROW()=2,"",B1296))</f>
      </c>
      <c r="C1297">
        <f>IF('R.M Billets Reports'!A1296="V.No.",'R.M Billets Reports'!B1296,IF(ROW()=2,"",C1296))</f>
      </c>
      <c r="D1297">
        <f>IF('R.M Billets Reports'!A1296&lt;&gt;"",'R.M Billets Reports'!A1296,IF(ROW()=2,"",D1296))</f>
      </c>
      <c r="E1297">
        <f>IF('R.M Billets Reports'!B1296="","",TRIM('R.M Billets Reports'!B1296))</f>
      </c>
      <c r="F1297">
        <f>'R.M Billets Reports'!C1296</f>
      </c>
      <c r="G1297">
        <f>'R.M Billets Reports'!D1296</f>
      </c>
      <c r="H1297">
        <f>'R.M Billets Reports'!E1296</f>
      </c>
      <c r="I1297">
        <f>'R.M Billets Reports'!F1296</f>
      </c>
      <c r="J1297">
        <f>'R.M Billets Reports'!G1296</f>
      </c>
      <c r="K1297">
        <f>'R.M Billets Reports'!H1296</f>
      </c>
      <c r="L1297">
        <f>IF('R.M Billets Reports'!I1296="","",'R.M Billets Reports'!I1296)</f>
      </c>
      <c r="M1297">
        <f t="shared" si="40"/>
      </c>
      <c r="N1297">
        <f>IF('R.M Billets Reports'!J1296="","",'R.M Billets Reports'!J1296)</f>
      </c>
      <c r="O1297">
        <f t="shared" si="41"/>
      </c>
      <c r="P1297">
        <f>IF('R.M Billets Reports'!A1296="SIZE",'R.M Billets Reports'!B1296,P1296)</f>
      </c>
    </row>
    <row r="1298" spans="1:16" x14ac:dyDescent="0.25">
      <c r="A1298">
        <f>IF(OR('R.M Billets Reports'!A1297="Date-",'R.M Billets Reports'!A1297="Date:-"),IF(IF(IF(ISNUMBER(SEARCH("Party Name:-",'R.M Billets Reports'!D1297)),TRIM('R.M Billets Reports'!F1297),IF(ISNUMBER(SEARCH("Party Name-",'R.M Billets Reports'!D1297)),TRIM(MID('R.M Billets Reports'!D1297,SEARCH("-",'R.M Billets Reports'!D1297)+1,200)),""))&lt;&gt;"",IF(ISNUMBER(SEARCH("Party Name:-",'R.M Billets Reports'!D1297)),TRIM('R.M Billets Reports'!F1297),IF(ISNUMBER(SEARCH("Party Name-",'R.M Billets Reports'!D1297)),TRIM(MID('R.M Billets Reports'!D1297,SEARCH("-",'R.M Billets Reports'!D1297)+1,200)),"")),IF(ISNUMBER(SEARCH("Party Name:-",'R.M Billets Reports'!D1298)),TRIM('R.M Billets Reports'!F1298),IF(ISNUMBER(SEARCH("Party Name-",'R.M Billets Reports'!D1298)),TRIM(MID('R.M Billets Reports'!D1298,SEARCH("-",'R.M Billets Reports'!D1298)+1,200)),"")))="VRKP ISPAT PVT LTD","VRKP",IF(IF(IF(ISNUMBER(SEARCH("Party Name:-",'R.M Billets Reports'!D1297)),TRIM('R.M Billets Reports'!F1297),IF(ISNUMBER(SEARCH("Party Name-",'R.M Billets Reports'!D1297)),TRIM(MID('R.M Billets Reports'!D1297,SEARCH("-",'R.M Billets Reports'!D1297)+1,200)),""))&lt;&gt;"",IF(ISNUMBER(SEARCH("Party Name:-",'R.M Billets Reports'!D1297)),TRIM('R.M Billets Reports'!F1297),IF(ISNUMBER(SEARCH("Party Name-",'R.M Billets Reports'!D1297)),TRIM(MID('R.M Billets Reports'!D1297,SEARCH("-",'R.M Billets Reports'!D1297)+1,200)),"")),IF(ISNUMBER(SEARCH("Party Name:-",'R.M Billets Reports'!D1298)),TRIM('R.M Billets Reports'!F1298),IF(ISNUMBER(SEARCH("Party Name-",'R.M Billets Reports'!D1298)),TRIM(MID('R.M Billets Reports'!D1298,SEARCH("-",'R.M Billets Reports'!D1298)+1,200)),"")))="SHRI RADHE","SHREE RADHE",IF(IF(IF(ISNUMBER(SEARCH("Party Name:-",'R.M Billets Reports'!D1297)),TRIM('R.M Billets Reports'!F1297),IF(ISNUMBER(SEARCH("Party Name-",'R.M Billets Reports'!D1297)),TRIM(MID('R.M Billets Reports'!D1297,SEARCH("-",'R.M Billets Reports'!D1297)+1,200)),""))&lt;&gt;"",IF(ISNUMBER(SEARCH("Party Name:-",'R.M Billets Reports'!D1297)),TRIM('R.M Billets Reports'!F1297),IF(ISNUMBER(SEARCH("Party Name-",'R.M Billets Reports'!D1297)),TRIM(MID('R.M Billets Reports'!D1297,SEARCH("-",'R.M Billets Reports'!D1297)+1,200)),"")),IF(ISNUMBER(SEARCH("Party Name:-",'R.M Billets Reports'!D1298)),TRIM('R.M Billets Reports'!F1298),IF(ISNUMBER(SEARCH("Party Name-",'R.M Billets Reports'!D1298)),TRIM(MID('R.M Billets Reports'!D1298,SEARCH("-",'R.M Billets Reports'!D1298)+1,200)),"")))="SHREE RADHE SHAKTI SPONGE AND POWER PVT. LTD.","SHREE RADHE",IF(IF(ISNUMBER(SEARCH("Party Name:-",'R.M Billets Reports'!D1297)),TRIM('R.M Billets Reports'!F1297),IF(ISNUMBER(SEARCH("Party Name-",'R.M Billets Reports'!D1297)),TRIM(MID('R.M Billets Reports'!D1297,SEARCH("-",'R.M Billets Reports'!D1297)+1,200)),""))&lt;&gt;"",IF(ISNUMBER(SEARCH("Party Name:-",'R.M Billets Reports'!D1297)),TRIM('R.M Billets Reports'!F1297),IF(ISNUMBER(SEARCH("Party Name-",'R.M Billets Reports'!D1297)),TRIM(MID('R.M Billets Reports'!D1297,SEARCH("-",'R.M Billets Reports'!D1297)+1,200)),"")),IF(ISNUMBER(SEARCH("Party Name:-",'R.M Billets Reports'!D1298)),TRIM('R.M Billets Reports'!F1298),IF(ISNUMBER(SEARCH("Party Name-",'R.M Billets Reports'!D1298)),TRIM(MID('R.M Billets Reports'!D1298,SEARCH("-",'R.M Billets Reports'!D1298)+1,200)),"")))))),IF(ROW()=2,"",A1297))</f>
      </c>
      <c r="B1298">
        <f>IF(OR('R.M Billets Reports'!A1297="Date-",'R.M Billets Reports'!A1297="Date:-"),'R.M Billets Reports'!B1297,IF(ROW()=2,"",B1297))</f>
      </c>
      <c r="C1298">
        <f>IF('R.M Billets Reports'!A1297="V.No.",'R.M Billets Reports'!B1297,IF(ROW()=2,"",C1297))</f>
      </c>
      <c r="D1298">
        <f>IF('R.M Billets Reports'!A1297&lt;&gt;"",'R.M Billets Reports'!A1297,IF(ROW()=2,"",D1297))</f>
      </c>
      <c r="E1298">
        <f>IF('R.M Billets Reports'!B1297="","",TRIM('R.M Billets Reports'!B1297))</f>
      </c>
      <c r="F1298">
        <f>'R.M Billets Reports'!C1297</f>
      </c>
      <c r="G1298">
        <f>'R.M Billets Reports'!D1297</f>
      </c>
      <c r="H1298">
        <f>'R.M Billets Reports'!E1297</f>
      </c>
      <c r="I1298">
        <f>'R.M Billets Reports'!F1297</f>
      </c>
      <c r="J1298">
        <f>'R.M Billets Reports'!G1297</f>
      </c>
      <c r="K1298">
        <f>'R.M Billets Reports'!H1297</f>
      </c>
      <c r="L1298">
        <f>IF('R.M Billets Reports'!I1297="","",'R.M Billets Reports'!I1297)</f>
      </c>
      <c r="M1298">
        <f t="shared" si="40"/>
      </c>
      <c r="N1298">
        <f>IF('R.M Billets Reports'!J1297="","",'R.M Billets Reports'!J1297)</f>
      </c>
      <c r="O1298">
        <f t="shared" si="41"/>
      </c>
      <c r="P1298">
        <f>IF('R.M Billets Reports'!A1297="SIZE",'R.M Billets Reports'!B1297,P1297)</f>
      </c>
    </row>
    <row r="1299" spans="1:16" x14ac:dyDescent="0.25">
      <c r="A1299">
        <f>IF(OR('R.M Billets Reports'!A1298="Date-",'R.M Billets Reports'!A1298="Date:-"),IF(IF(IF(ISNUMBER(SEARCH("Party Name:-",'R.M Billets Reports'!D1298)),TRIM('R.M Billets Reports'!F1298),IF(ISNUMBER(SEARCH("Party Name-",'R.M Billets Reports'!D1298)),TRIM(MID('R.M Billets Reports'!D1298,SEARCH("-",'R.M Billets Reports'!D1298)+1,200)),""))&lt;&gt;"",IF(ISNUMBER(SEARCH("Party Name:-",'R.M Billets Reports'!D1298)),TRIM('R.M Billets Reports'!F1298),IF(ISNUMBER(SEARCH("Party Name-",'R.M Billets Reports'!D1298)),TRIM(MID('R.M Billets Reports'!D1298,SEARCH("-",'R.M Billets Reports'!D1298)+1,200)),"")),IF(ISNUMBER(SEARCH("Party Name:-",'R.M Billets Reports'!D1299)),TRIM('R.M Billets Reports'!F1299),IF(ISNUMBER(SEARCH("Party Name-",'R.M Billets Reports'!D1299)),TRIM(MID('R.M Billets Reports'!D1299,SEARCH("-",'R.M Billets Reports'!D1299)+1,200)),"")))="VRKP ISPAT PVT LTD","VRKP",IF(IF(IF(ISNUMBER(SEARCH("Party Name:-",'R.M Billets Reports'!D1298)),TRIM('R.M Billets Reports'!F1298),IF(ISNUMBER(SEARCH("Party Name-",'R.M Billets Reports'!D1298)),TRIM(MID('R.M Billets Reports'!D1298,SEARCH("-",'R.M Billets Reports'!D1298)+1,200)),""))&lt;&gt;"",IF(ISNUMBER(SEARCH("Party Name:-",'R.M Billets Reports'!D1298)),TRIM('R.M Billets Reports'!F1298),IF(ISNUMBER(SEARCH("Party Name-",'R.M Billets Reports'!D1298)),TRIM(MID('R.M Billets Reports'!D1298,SEARCH("-",'R.M Billets Reports'!D1298)+1,200)),"")),IF(ISNUMBER(SEARCH("Party Name:-",'R.M Billets Reports'!D1299)),TRIM('R.M Billets Reports'!F1299),IF(ISNUMBER(SEARCH("Party Name-",'R.M Billets Reports'!D1299)),TRIM(MID('R.M Billets Reports'!D1299,SEARCH("-",'R.M Billets Reports'!D1299)+1,200)),"")))="SHRI RADHE","SHREE RADHE",IF(IF(IF(ISNUMBER(SEARCH("Party Name:-",'R.M Billets Reports'!D1298)),TRIM('R.M Billets Reports'!F1298),IF(ISNUMBER(SEARCH("Party Name-",'R.M Billets Reports'!D1298)),TRIM(MID('R.M Billets Reports'!D1298,SEARCH("-",'R.M Billets Reports'!D1298)+1,200)),""))&lt;&gt;"",IF(ISNUMBER(SEARCH("Party Name:-",'R.M Billets Reports'!D1298)),TRIM('R.M Billets Reports'!F1298),IF(ISNUMBER(SEARCH("Party Name-",'R.M Billets Reports'!D1298)),TRIM(MID('R.M Billets Reports'!D1298,SEARCH("-",'R.M Billets Reports'!D1298)+1,200)),"")),IF(ISNUMBER(SEARCH("Party Name:-",'R.M Billets Reports'!D1299)),TRIM('R.M Billets Reports'!F1299),IF(ISNUMBER(SEARCH("Party Name-",'R.M Billets Reports'!D1299)),TRIM(MID('R.M Billets Reports'!D1299,SEARCH("-",'R.M Billets Reports'!D1299)+1,200)),"")))="SHREE RADHE SHAKTI SPONGE AND POWER PVT. LTD.","SHREE RADHE",IF(IF(ISNUMBER(SEARCH("Party Name:-",'R.M Billets Reports'!D1298)),TRIM('R.M Billets Reports'!F1298),IF(ISNUMBER(SEARCH("Party Name-",'R.M Billets Reports'!D1298)),TRIM(MID('R.M Billets Reports'!D1298,SEARCH("-",'R.M Billets Reports'!D1298)+1,200)),""))&lt;&gt;"",IF(ISNUMBER(SEARCH("Party Name:-",'R.M Billets Reports'!D1298)),TRIM('R.M Billets Reports'!F1298),IF(ISNUMBER(SEARCH("Party Name-",'R.M Billets Reports'!D1298)),TRIM(MID('R.M Billets Reports'!D1298,SEARCH("-",'R.M Billets Reports'!D1298)+1,200)),"")),IF(ISNUMBER(SEARCH("Party Name:-",'R.M Billets Reports'!D1299)),TRIM('R.M Billets Reports'!F1299),IF(ISNUMBER(SEARCH("Party Name-",'R.M Billets Reports'!D1299)),TRIM(MID('R.M Billets Reports'!D1299,SEARCH("-",'R.M Billets Reports'!D1299)+1,200)),"")))))),IF(ROW()=2,"",A1298))</f>
      </c>
      <c r="B1299">
        <f>IF(OR('R.M Billets Reports'!A1298="Date-",'R.M Billets Reports'!A1298="Date:-"),'R.M Billets Reports'!B1298,IF(ROW()=2,"",B1298))</f>
      </c>
      <c r="C1299">
        <f>IF('R.M Billets Reports'!A1298="V.No.",'R.M Billets Reports'!B1298,IF(ROW()=2,"",C1298))</f>
      </c>
      <c r="D1299">
        <f>IF('R.M Billets Reports'!A1298&lt;&gt;"",'R.M Billets Reports'!A1298,IF(ROW()=2,"",D1298))</f>
      </c>
      <c r="E1299">
        <f>IF('R.M Billets Reports'!B1298="","",TRIM('R.M Billets Reports'!B1298))</f>
      </c>
      <c r="F1299">
        <f>'R.M Billets Reports'!C1298</f>
      </c>
      <c r="G1299">
        <f>'R.M Billets Reports'!D1298</f>
      </c>
      <c r="H1299">
        <f>'R.M Billets Reports'!E1298</f>
      </c>
      <c r="I1299">
        <f>'R.M Billets Reports'!F1298</f>
      </c>
      <c r="J1299">
        <f>'R.M Billets Reports'!G1298</f>
      </c>
      <c r="K1299">
        <f>'R.M Billets Reports'!H1298</f>
      </c>
      <c r="L1299">
        <f>IF('R.M Billets Reports'!I1298="","",'R.M Billets Reports'!I1298)</f>
      </c>
      <c r="M1299">
        <f t="shared" si="40"/>
      </c>
      <c r="N1299">
        <f>IF('R.M Billets Reports'!J1298="","",'R.M Billets Reports'!J1298)</f>
      </c>
      <c r="O1299">
        <f t="shared" si="41"/>
      </c>
      <c r="P1299">
        <f>IF('R.M Billets Reports'!A1298="SIZE",'R.M Billets Reports'!B1298,P1298)</f>
      </c>
    </row>
    <row r="1300" spans="1:16" x14ac:dyDescent="0.25">
      <c r="A1300">
        <f>IF(OR('R.M Billets Reports'!A1299="Date-",'R.M Billets Reports'!A1299="Date:-"),IF(IF(IF(ISNUMBER(SEARCH("Party Name:-",'R.M Billets Reports'!D1299)),TRIM('R.M Billets Reports'!F1299),IF(ISNUMBER(SEARCH("Party Name-",'R.M Billets Reports'!D1299)),TRIM(MID('R.M Billets Reports'!D1299,SEARCH("-",'R.M Billets Reports'!D1299)+1,200)),""))&lt;&gt;"",IF(ISNUMBER(SEARCH("Party Name:-",'R.M Billets Reports'!D1299)),TRIM('R.M Billets Reports'!F1299),IF(ISNUMBER(SEARCH("Party Name-",'R.M Billets Reports'!D1299)),TRIM(MID('R.M Billets Reports'!D1299,SEARCH("-",'R.M Billets Reports'!D1299)+1,200)),"")),IF(ISNUMBER(SEARCH("Party Name:-",'R.M Billets Reports'!D1300)),TRIM('R.M Billets Reports'!F1300),IF(ISNUMBER(SEARCH("Party Name-",'R.M Billets Reports'!D1300)),TRIM(MID('R.M Billets Reports'!D1300,SEARCH("-",'R.M Billets Reports'!D1300)+1,200)),"")))="VRKP ISPAT PVT LTD","VRKP",IF(IF(IF(ISNUMBER(SEARCH("Party Name:-",'R.M Billets Reports'!D1299)),TRIM('R.M Billets Reports'!F1299),IF(ISNUMBER(SEARCH("Party Name-",'R.M Billets Reports'!D1299)),TRIM(MID('R.M Billets Reports'!D1299,SEARCH("-",'R.M Billets Reports'!D1299)+1,200)),""))&lt;&gt;"",IF(ISNUMBER(SEARCH("Party Name:-",'R.M Billets Reports'!D1299)),TRIM('R.M Billets Reports'!F1299),IF(ISNUMBER(SEARCH("Party Name-",'R.M Billets Reports'!D1299)),TRIM(MID('R.M Billets Reports'!D1299,SEARCH("-",'R.M Billets Reports'!D1299)+1,200)),"")),IF(ISNUMBER(SEARCH("Party Name:-",'R.M Billets Reports'!D1300)),TRIM('R.M Billets Reports'!F1300),IF(ISNUMBER(SEARCH("Party Name-",'R.M Billets Reports'!D1300)),TRIM(MID('R.M Billets Reports'!D1300,SEARCH("-",'R.M Billets Reports'!D1300)+1,200)),"")))="SHRI RADHE","SHREE RADHE",IF(IF(IF(ISNUMBER(SEARCH("Party Name:-",'R.M Billets Reports'!D1299)),TRIM('R.M Billets Reports'!F1299),IF(ISNUMBER(SEARCH("Party Name-",'R.M Billets Reports'!D1299)),TRIM(MID('R.M Billets Reports'!D1299,SEARCH("-",'R.M Billets Reports'!D1299)+1,200)),""))&lt;&gt;"",IF(ISNUMBER(SEARCH("Party Name:-",'R.M Billets Reports'!D1299)),TRIM('R.M Billets Reports'!F1299),IF(ISNUMBER(SEARCH("Party Name-",'R.M Billets Reports'!D1299)),TRIM(MID('R.M Billets Reports'!D1299,SEARCH("-",'R.M Billets Reports'!D1299)+1,200)),"")),IF(ISNUMBER(SEARCH("Party Name:-",'R.M Billets Reports'!D1300)),TRIM('R.M Billets Reports'!F1300),IF(ISNUMBER(SEARCH("Party Name-",'R.M Billets Reports'!D1300)),TRIM(MID('R.M Billets Reports'!D1300,SEARCH("-",'R.M Billets Reports'!D1300)+1,200)),"")))="SHREE RADHE SHAKTI SPONGE AND POWER PVT. LTD.","SHREE RADHE",IF(IF(ISNUMBER(SEARCH("Party Name:-",'R.M Billets Reports'!D1299)),TRIM('R.M Billets Reports'!F1299),IF(ISNUMBER(SEARCH("Party Name-",'R.M Billets Reports'!D1299)),TRIM(MID('R.M Billets Reports'!D1299,SEARCH("-",'R.M Billets Reports'!D1299)+1,200)),""))&lt;&gt;"",IF(ISNUMBER(SEARCH("Party Name:-",'R.M Billets Reports'!D1299)),TRIM('R.M Billets Reports'!F1299),IF(ISNUMBER(SEARCH("Party Name-",'R.M Billets Reports'!D1299)),TRIM(MID('R.M Billets Reports'!D1299,SEARCH("-",'R.M Billets Reports'!D1299)+1,200)),"")),IF(ISNUMBER(SEARCH("Party Name:-",'R.M Billets Reports'!D1300)),TRIM('R.M Billets Reports'!F1300),IF(ISNUMBER(SEARCH("Party Name-",'R.M Billets Reports'!D1300)),TRIM(MID('R.M Billets Reports'!D1300,SEARCH("-",'R.M Billets Reports'!D1300)+1,200)),"")))))),IF(ROW()=2,"",A1299))</f>
      </c>
      <c r="B1300">
        <f>IF(OR('R.M Billets Reports'!A1299="Date-",'R.M Billets Reports'!A1299="Date:-"),'R.M Billets Reports'!B1299,IF(ROW()=2,"",B1299))</f>
      </c>
      <c r="C1300">
        <f>IF('R.M Billets Reports'!A1299="V.No.",'R.M Billets Reports'!B1299,IF(ROW()=2,"",C1299))</f>
      </c>
      <c r="D1300">
        <f>IF('R.M Billets Reports'!A1299&lt;&gt;"",'R.M Billets Reports'!A1299,IF(ROW()=2,"",D1299))</f>
      </c>
      <c r="E1300">
        <f>IF('R.M Billets Reports'!B1299="","",TRIM('R.M Billets Reports'!B1299))</f>
      </c>
      <c r="F1300">
        <f>'R.M Billets Reports'!C1299</f>
      </c>
      <c r="G1300">
        <f>'R.M Billets Reports'!D1299</f>
      </c>
      <c r="H1300">
        <f>'R.M Billets Reports'!E1299</f>
      </c>
      <c r="I1300">
        <f>'R.M Billets Reports'!F1299</f>
      </c>
      <c r="J1300">
        <f>'R.M Billets Reports'!G1299</f>
      </c>
      <c r="K1300">
        <f>'R.M Billets Reports'!H1299</f>
      </c>
      <c r="L1300">
        <f>IF('R.M Billets Reports'!I1299="","",'R.M Billets Reports'!I1299)</f>
      </c>
      <c r="M1300">
        <f t="shared" si="40"/>
      </c>
      <c r="N1300">
        <f>IF('R.M Billets Reports'!J1299="","",'R.M Billets Reports'!J1299)</f>
      </c>
      <c r="O1300">
        <f t="shared" si="41"/>
      </c>
      <c r="P1300">
        <f>IF('R.M Billets Reports'!A1299="SIZE",'R.M Billets Reports'!B1299,P1299)</f>
      </c>
    </row>
    <row r="1301" spans="1:16" x14ac:dyDescent="0.25">
      <c r="A1301">
        <f>IF(OR('R.M Billets Reports'!A1300="Date-",'R.M Billets Reports'!A1300="Date:-"),IF(IF(IF(ISNUMBER(SEARCH("Party Name:-",'R.M Billets Reports'!D1300)),TRIM('R.M Billets Reports'!F1300),IF(ISNUMBER(SEARCH("Party Name-",'R.M Billets Reports'!D1300)),TRIM(MID('R.M Billets Reports'!D1300,SEARCH("-",'R.M Billets Reports'!D1300)+1,200)),""))&lt;&gt;"",IF(ISNUMBER(SEARCH("Party Name:-",'R.M Billets Reports'!D1300)),TRIM('R.M Billets Reports'!F1300),IF(ISNUMBER(SEARCH("Party Name-",'R.M Billets Reports'!D1300)),TRIM(MID('R.M Billets Reports'!D1300,SEARCH("-",'R.M Billets Reports'!D1300)+1,200)),"")),IF(ISNUMBER(SEARCH("Party Name:-",'R.M Billets Reports'!D1301)),TRIM('R.M Billets Reports'!F1301),IF(ISNUMBER(SEARCH("Party Name-",'R.M Billets Reports'!D1301)),TRIM(MID('R.M Billets Reports'!D1301,SEARCH("-",'R.M Billets Reports'!D1301)+1,200)),"")))="VRKP ISPAT PVT LTD","VRKP",IF(IF(IF(ISNUMBER(SEARCH("Party Name:-",'R.M Billets Reports'!D1300)),TRIM('R.M Billets Reports'!F1300),IF(ISNUMBER(SEARCH("Party Name-",'R.M Billets Reports'!D1300)),TRIM(MID('R.M Billets Reports'!D1300,SEARCH("-",'R.M Billets Reports'!D1300)+1,200)),""))&lt;&gt;"",IF(ISNUMBER(SEARCH("Party Name:-",'R.M Billets Reports'!D1300)),TRIM('R.M Billets Reports'!F1300),IF(ISNUMBER(SEARCH("Party Name-",'R.M Billets Reports'!D1300)),TRIM(MID('R.M Billets Reports'!D1300,SEARCH("-",'R.M Billets Reports'!D1300)+1,200)),"")),IF(ISNUMBER(SEARCH("Party Name:-",'R.M Billets Reports'!D1301)),TRIM('R.M Billets Reports'!F1301),IF(ISNUMBER(SEARCH("Party Name-",'R.M Billets Reports'!D1301)),TRIM(MID('R.M Billets Reports'!D1301,SEARCH("-",'R.M Billets Reports'!D1301)+1,200)),"")))="SHRI RADHE","SHREE RADHE",IF(IF(IF(ISNUMBER(SEARCH("Party Name:-",'R.M Billets Reports'!D1300)),TRIM('R.M Billets Reports'!F1300),IF(ISNUMBER(SEARCH("Party Name-",'R.M Billets Reports'!D1300)),TRIM(MID('R.M Billets Reports'!D1300,SEARCH("-",'R.M Billets Reports'!D1300)+1,200)),""))&lt;&gt;"",IF(ISNUMBER(SEARCH("Party Name:-",'R.M Billets Reports'!D1300)),TRIM('R.M Billets Reports'!F1300),IF(ISNUMBER(SEARCH("Party Name-",'R.M Billets Reports'!D1300)),TRIM(MID('R.M Billets Reports'!D1300,SEARCH("-",'R.M Billets Reports'!D1300)+1,200)),"")),IF(ISNUMBER(SEARCH("Party Name:-",'R.M Billets Reports'!D1301)),TRIM('R.M Billets Reports'!F1301),IF(ISNUMBER(SEARCH("Party Name-",'R.M Billets Reports'!D1301)),TRIM(MID('R.M Billets Reports'!D1301,SEARCH("-",'R.M Billets Reports'!D1301)+1,200)),"")))="SHREE RADHE SHAKTI SPONGE AND POWER PVT. LTD.","SHREE RADHE",IF(IF(ISNUMBER(SEARCH("Party Name:-",'R.M Billets Reports'!D1300)),TRIM('R.M Billets Reports'!F1300),IF(ISNUMBER(SEARCH("Party Name-",'R.M Billets Reports'!D1300)),TRIM(MID('R.M Billets Reports'!D1300,SEARCH("-",'R.M Billets Reports'!D1300)+1,200)),""))&lt;&gt;"",IF(ISNUMBER(SEARCH("Party Name:-",'R.M Billets Reports'!D1300)),TRIM('R.M Billets Reports'!F1300),IF(ISNUMBER(SEARCH("Party Name-",'R.M Billets Reports'!D1300)),TRIM(MID('R.M Billets Reports'!D1300,SEARCH("-",'R.M Billets Reports'!D1300)+1,200)),"")),IF(ISNUMBER(SEARCH("Party Name:-",'R.M Billets Reports'!D1301)),TRIM('R.M Billets Reports'!F1301),IF(ISNUMBER(SEARCH("Party Name-",'R.M Billets Reports'!D1301)),TRIM(MID('R.M Billets Reports'!D1301,SEARCH("-",'R.M Billets Reports'!D1301)+1,200)),"")))))),IF(ROW()=2,"",A1300))</f>
      </c>
      <c r="B1301">
        <f>IF(OR('R.M Billets Reports'!A1300="Date-",'R.M Billets Reports'!A1300="Date:-"),'R.M Billets Reports'!B1300,IF(ROW()=2,"",B1300))</f>
      </c>
      <c r="C1301">
        <f>IF('R.M Billets Reports'!A1300="V.No.",'R.M Billets Reports'!B1300,IF(ROW()=2,"",C1300))</f>
      </c>
      <c r="D1301">
        <f>IF('R.M Billets Reports'!A1300&lt;&gt;"",'R.M Billets Reports'!A1300,IF(ROW()=2,"",D1300))</f>
      </c>
      <c r="E1301">
        <f>IF('R.M Billets Reports'!B1300="","",TRIM('R.M Billets Reports'!B1300))</f>
      </c>
      <c r="F1301">
        <f>'R.M Billets Reports'!C1300</f>
      </c>
      <c r="G1301">
        <f>'R.M Billets Reports'!D1300</f>
      </c>
      <c r="H1301">
        <f>'R.M Billets Reports'!E1300</f>
      </c>
      <c r="I1301">
        <f>'R.M Billets Reports'!F1300</f>
      </c>
      <c r="J1301">
        <f>'R.M Billets Reports'!G1300</f>
      </c>
      <c r="K1301">
        <f>'R.M Billets Reports'!H1300</f>
      </c>
      <c r="L1301">
        <f>IF('R.M Billets Reports'!I1300="","",'R.M Billets Reports'!I1300)</f>
      </c>
      <c r="M1301">
        <f t="shared" si="40"/>
      </c>
      <c r="N1301">
        <f>IF('R.M Billets Reports'!J1300="","",'R.M Billets Reports'!J1300)</f>
      </c>
      <c r="O1301">
        <f t="shared" si="41"/>
      </c>
      <c r="P1301">
        <f>IF('R.M Billets Reports'!A1300="SIZE",'R.M Billets Reports'!B1300,P1300)</f>
      </c>
    </row>
    <row r="1302" spans="1:16" x14ac:dyDescent="0.25">
      <c r="A1302">
        <f>IF(OR('R.M Billets Reports'!A1301="Date-",'R.M Billets Reports'!A1301="Date:-"),IF(IF(IF(ISNUMBER(SEARCH("Party Name:-",'R.M Billets Reports'!D1301)),TRIM('R.M Billets Reports'!F1301),IF(ISNUMBER(SEARCH("Party Name-",'R.M Billets Reports'!D1301)),TRIM(MID('R.M Billets Reports'!D1301,SEARCH("-",'R.M Billets Reports'!D1301)+1,200)),""))&lt;&gt;"",IF(ISNUMBER(SEARCH("Party Name:-",'R.M Billets Reports'!D1301)),TRIM('R.M Billets Reports'!F1301),IF(ISNUMBER(SEARCH("Party Name-",'R.M Billets Reports'!D1301)),TRIM(MID('R.M Billets Reports'!D1301,SEARCH("-",'R.M Billets Reports'!D1301)+1,200)),"")),IF(ISNUMBER(SEARCH("Party Name:-",'R.M Billets Reports'!D1302)),TRIM('R.M Billets Reports'!F1302),IF(ISNUMBER(SEARCH("Party Name-",'R.M Billets Reports'!D1302)),TRIM(MID('R.M Billets Reports'!D1302,SEARCH("-",'R.M Billets Reports'!D1302)+1,200)),"")))="VRKP ISPAT PVT LTD","VRKP",IF(IF(IF(ISNUMBER(SEARCH("Party Name:-",'R.M Billets Reports'!D1301)),TRIM('R.M Billets Reports'!F1301),IF(ISNUMBER(SEARCH("Party Name-",'R.M Billets Reports'!D1301)),TRIM(MID('R.M Billets Reports'!D1301,SEARCH("-",'R.M Billets Reports'!D1301)+1,200)),""))&lt;&gt;"",IF(ISNUMBER(SEARCH("Party Name:-",'R.M Billets Reports'!D1301)),TRIM('R.M Billets Reports'!F1301),IF(ISNUMBER(SEARCH("Party Name-",'R.M Billets Reports'!D1301)),TRIM(MID('R.M Billets Reports'!D1301,SEARCH("-",'R.M Billets Reports'!D1301)+1,200)),"")),IF(ISNUMBER(SEARCH("Party Name:-",'R.M Billets Reports'!D1302)),TRIM('R.M Billets Reports'!F1302),IF(ISNUMBER(SEARCH("Party Name-",'R.M Billets Reports'!D1302)),TRIM(MID('R.M Billets Reports'!D1302,SEARCH("-",'R.M Billets Reports'!D1302)+1,200)),"")))="SHRI RADHE","SHREE RADHE",IF(IF(IF(ISNUMBER(SEARCH("Party Name:-",'R.M Billets Reports'!D1301)),TRIM('R.M Billets Reports'!F1301),IF(ISNUMBER(SEARCH("Party Name-",'R.M Billets Reports'!D1301)),TRIM(MID('R.M Billets Reports'!D1301,SEARCH("-",'R.M Billets Reports'!D1301)+1,200)),""))&lt;&gt;"",IF(ISNUMBER(SEARCH("Party Name:-",'R.M Billets Reports'!D1301)),TRIM('R.M Billets Reports'!F1301),IF(ISNUMBER(SEARCH("Party Name-",'R.M Billets Reports'!D1301)),TRIM(MID('R.M Billets Reports'!D1301,SEARCH("-",'R.M Billets Reports'!D1301)+1,200)),"")),IF(ISNUMBER(SEARCH("Party Name:-",'R.M Billets Reports'!D1302)),TRIM('R.M Billets Reports'!F1302),IF(ISNUMBER(SEARCH("Party Name-",'R.M Billets Reports'!D1302)),TRIM(MID('R.M Billets Reports'!D1302,SEARCH("-",'R.M Billets Reports'!D1302)+1,200)),"")))="SHREE RADHE SHAKTI SPONGE AND POWER PVT. LTD.","SHREE RADHE",IF(IF(ISNUMBER(SEARCH("Party Name:-",'R.M Billets Reports'!D1301)),TRIM('R.M Billets Reports'!F1301),IF(ISNUMBER(SEARCH("Party Name-",'R.M Billets Reports'!D1301)),TRIM(MID('R.M Billets Reports'!D1301,SEARCH("-",'R.M Billets Reports'!D1301)+1,200)),""))&lt;&gt;"",IF(ISNUMBER(SEARCH("Party Name:-",'R.M Billets Reports'!D1301)),TRIM('R.M Billets Reports'!F1301),IF(ISNUMBER(SEARCH("Party Name-",'R.M Billets Reports'!D1301)),TRIM(MID('R.M Billets Reports'!D1301,SEARCH("-",'R.M Billets Reports'!D1301)+1,200)),"")),IF(ISNUMBER(SEARCH("Party Name:-",'R.M Billets Reports'!D1302)),TRIM('R.M Billets Reports'!F1302),IF(ISNUMBER(SEARCH("Party Name-",'R.M Billets Reports'!D1302)),TRIM(MID('R.M Billets Reports'!D1302,SEARCH("-",'R.M Billets Reports'!D1302)+1,200)),"")))))),IF(ROW()=2,"",A1301))</f>
      </c>
      <c r="B1302">
        <f>IF(OR('R.M Billets Reports'!A1301="Date-",'R.M Billets Reports'!A1301="Date:-"),'R.M Billets Reports'!B1301,IF(ROW()=2,"",B1301))</f>
      </c>
      <c r="C1302">
        <f>IF('R.M Billets Reports'!A1301="V.No.",'R.M Billets Reports'!B1301,IF(ROW()=2,"",C1301))</f>
      </c>
      <c r="D1302">
        <f>IF('R.M Billets Reports'!A1301&lt;&gt;"",'R.M Billets Reports'!A1301,IF(ROW()=2,"",D1301))</f>
      </c>
      <c r="E1302">
        <f>IF('R.M Billets Reports'!B1301="","",TRIM('R.M Billets Reports'!B1301))</f>
      </c>
      <c r="F1302">
        <f>'R.M Billets Reports'!C1301</f>
      </c>
      <c r="G1302">
        <f>'R.M Billets Reports'!D1301</f>
      </c>
      <c r="H1302">
        <f>'R.M Billets Reports'!E1301</f>
      </c>
      <c r="I1302">
        <f>'R.M Billets Reports'!F1301</f>
      </c>
      <c r="J1302">
        <f>'R.M Billets Reports'!G1301</f>
      </c>
      <c r="K1302">
        <f>'R.M Billets Reports'!H1301</f>
      </c>
      <c r="L1302">
        <f>IF('R.M Billets Reports'!I1301="","",'R.M Billets Reports'!I1301)</f>
      </c>
      <c r="M1302">
        <f t="shared" si="40"/>
      </c>
      <c r="N1302">
        <f>IF('R.M Billets Reports'!J1301="","",'R.M Billets Reports'!J1301)</f>
      </c>
      <c r="O1302">
        <f t="shared" si="41"/>
      </c>
      <c r="P1302">
        <f>IF('R.M Billets Reports'!A1301="SIZE",'R.M Billets Reports'!B1301,P1301)</f>
      </c>
    </row>
    <row r="1303" spans="1:16" x14ac:dyDescent="0.25">
      <c r="A1303">
        <f>IF(OR('R.M Billets Reports'!A1302="Date-",'R.M Billets Reports'!A1302="Date:-"),IF(IF(IF(ISNUMBER(SEARCH("Party Name:-",'R.M Billets Reports'!D1302)),TRIM('R.M Billets Reports'!F1302),IF(ISNUMBER(SEARCH("Party Name-",'R.M Billets Reports'!D1302)),TRIM(MID('R.M Billets Reports'!D1302,SEARCH("-",'R.M Billets Reports'!D1302)+1,200)),""))&lt;&gt;"",IF(ISNUMBER(SEARCH("Party Name:-",'R.M Billets Reports'!D1302)),TRIM('R.M Billets Reports'!F1302),IF(ISNUMBER(SEARCH("Party Name-",'R.M Billets Reports'!D1302)),TRIM(MID('R.M Billets Reports'!D1302,SEARCH("-",'R.M Billets Reports'!D1302)+1,200)),"")),IF(ISNUMBER(SEARCH("Party Name:-",'R.M Billets Reports'!D1303)),TRIM('R.M Billets Reports'!F1303),IF(ISNUMBER(SEARCH("Party Name-",'R.M Billets Reports'!D1303)),TRIM(MID('R.M Billets Reports'!D1303,SEARCH("-",'R.M Billets Reports'!D1303)+1,200)),"")))="VRKP ISPAT PVT LTD","VRKP",IF(IF(IF(ISNUMBER(SEARCH("Party Name:-",'R.M Billets Reports'!D1302)),TRIM('R.M Billets Reports'!F1302),IF(ISNUMBER(SEARCH("Party Name-",'R.M Billets Reports'!D1302)),TRIM(MID('R.M Billets Reports'!D1302,SEARCH("-",'R.M Billets Reports'!D1302)+1,200)),""))&lt;&gt;"",IF(ISNUMBER(SEARCH("Party Name:-",'R.M Billets Reports'!D1302)),TRIM('R.M Billets Reports'!F1302),IF(ISNUMBER(SEARCH("Party Name-",'R.M Billets Reports'!D1302)),TRIM(MID('R.M Billets Reports'!D1302,SEARCH("-",'R.M Billets Reports'!D1302)+1,200)),"")),IF(ISNUMBER(SEARCH("Party Name:-",'R.M Billets Reports'!D1303)),TRIM('R.M Billets Reports'!F1303),IF(ISNUMBER(SEARCH("Party Name-",'R.M Billets Reports'!D1303)),TRIM(MID('R.M Billets Reports'!D1303,SEARCH("-",'R.M Billets Reports'!D1303)+1,200)),"")))="SHRI RADHE","SHREE RADHE",IF(IF(IF(ISNUMBER(SEARCH("Party Name:-",'R.M Billets Reports'!D1302)),TRIM('R.M Billets Reports'!F1302),IF(ISNUMBER(SEARCH("Party Name-",'R.M Billets Reports'!D1302)),TRIM(MID('R.M Billets Reports'!D1302,SEARCH("-",'R.M Billets Reports'!D1302)+1,200)),""))&lt;&gt;"",IF(ISNUMBER(SEARCH("Party Name:-",'R.M Billets Reports'!D1302)),TRIM('R.M Billets Reports'!F1302),IF(ISNUMBER(SEARCH("Party Name-",'R.M Billets Reports'!D1302)),TRIM(MID('R.M Billets Reports'!D1302,SEARCH("-",'R.M Billets Reports'!D1302)+1,200)),"")),IF(ISNUMBER(SEARCH("Party Name:-",'R.M Billets Reports'!D1303)),TRIM('R.M Billets Reports'!F1303),IF(ISNUMBER(SEARCH("Party Name-",'R.M Billets Reports'!D1303)),TRIM(MID('R.M Billets Reports'!D1303,SEARCH("-",'R.M Billets Reports'!D1303)+1,200)),"")))="SHREE RADHE SHAKTI SPONGE AND POWER PVT. LTD.","SHREE RADHE",IF(IF(ISNUMBER(SEARCH("Party Name:-",'R.M Billets Reports'!D1302)),TRIM('R.M Billets Reports'!F1302),IF(ISNUMBER(SEARCH("Party Name-",'R.M Billets Reports'!D1302)),TRIM(MID('R.M Billets Reports'!D1302,SEARCH("-",'R.M Billets Reports'!D1302)+1,200)),""))&lt;&gt;"",IF(ISNUMBER(SEARCH("Party Name:-",'R.M Billets Reports'!D1302)),TRIM('R.M Billets Reports'!F1302),IF(ISNUMBER(SEARCH("Party Name-",'R.M Billets Reports'!D1302)),TRIM(MID('R.M Billets Reports'!D1302,SEARCH("-",'R.M Billets Reports'!D1302)+1,200)),"")),IF(ISNUMBER(SEARCH("Party Name:-",'R.M Billets Reports'!D1303)),TRIM('R.M Billets Reports'!F1303),IF(ISNUMBER(SEARCH("Party Name-",'R.M Billets Reports'!D1303)),TRIM(MID('R.M Billets Reports'!D1303,SEARCH("-",'R.M Billets Reports'!D1303)+1,200)),"")))))),IF(ROW()=2,"",A1302))</f>
      </c>
      <c r="B1303">
        <f>IF(OR('R.M Billets Reports'!A1302="Date-",'R.M Billets Reports'!A1302="Date:-"),'R.M Billets Reports'!B1302,IF(ROW()=2,"",B1302))</f>
      </c>
      <c r="C1303">
        <f>IF('R.M Billets Reports'!A1302="V.No.",'R.M Billets Reports'!B1302,IF(ROW()=2,"",C1302))</f>
      </c>
      <c r="D1303">
        <f>IF('R.M Billets Reports'!A1302&lt;&gt;"",'R.M Billets Reports'!A1302,IF(ROW()=2,"",D1302))</f>
      </c>
      <c r="E1303">
        <f>IF('R.M Billets Reports'!B1302="","",TRIM('R.M Billets Reports'!B1302))</f>
      </c>
      <c r="F1303">
        <f>'R.M Billets Reports'!C1302</f>
      </c>
      <c r="G1303">
        <f>'R.M Billets Reports'!D1302</f>
      </c>
      <c r="H1303">
        <f>'R.M Billets Reports'!E1302</f>
      </c>
      <c r="I1303">
        <f>'R.M Billets Reports'!F1302</f>
      </c>
      <c r="J1303">
        <f>'R.M Billets Reports'!G1302</f>
      </c>
      <c r="K1303">
        <f>'R.M Billets Reports'!H1302</f>
      </c>
      <c r="L1303">
        <f>IF('R.M Billets Reports'!I1302="","",'R.M Billets Reports'!I1302)</f>
      </c>
      <c r="M1303">
        <f t="shared" si="40"/>
      </c>
      <c r="N1303">
        <f>IF('R.M Billets Reports'!J1302="","",'R.M Billets Reports'!J1302)</f>
      </c>
      <c r="O1303">
        <f t="shared" si="41"/>
      </c>
      <c r="P1303">
        <f>IF('R.M Billets Reports'!A1302="SIZE",'R.M Billets Reports'!B1302,P1302)</f>
      </c>
    </row>
    <row r="1304" spans="1:16" x14ac:dyDescent="0.25">
      <c r="A1304">
        <f>IF(OR('R.M Billets Reports'!A1303="Date-",'R.M Billets Reports'!A1303="Date:-"),IF(IF(IF(ISNUMBER(SEARCH("Party Name:-",'R.M Billets Reports'!D1303)),TRIM('R.M Billets Reports'!F1303),IF(ISNUMBER(SEARCH("Party Name-",'R.M Billets Reports'!D1303)),TRIM(MID('R.M Billets Reports'!D1303,SEARCH("-",'R.M Billets Reports'!D1303)+1,200)),""))&lt;&gt;"",IF(ISNUMBER(SEARCH("Party Name:-",'R.M Billets Reports'!D1303)),TRIM('R.M Billets Reports'!F1303),IF(ISNUMBER(SEARCH("Party Name-",'R.M Billets Reports'!D1303)),TRIM(MID('R.M Billets Reports'!D1303,SEARCH("-",'R.M Billets Reports'!D1303)+1,200)),"")),IF(ISNUMBER(SEARCH("Party Name:-",'R.M Billets Reports'!D1304)),TRIM('R.M Billets Reports'!F1304),IF(ISNUMBER(SEARCH("Party Name-",'R.M Billets Reports'!D1304)),TRIM(MID('R.M Billets Reports'!D1304,SEARCH("-",'R.M Billets Reports'!D1304)+1,200)),"")))="VRKP ISPAT PVT LTD","VRKP",IF(IF(IF(ISNUMBER(SEARCH("Party Name:-",'R.M Billets Reports'!D1303)),TRIM('R.M Billets Reports'!F1303),IF(ISNUMBER(SEARCH("Party Name-",'R.M Billets Reports'!D1303)),TRIM(MID('R.M Billets Reports'!D1303,SEARCH("-",'R.M Billets Reports'!D1303)+1,200)),""))&lt;&gt;"",IF(ISNUMBER(SEARCH("Party Name:-",'R.M Billets Reports'!D1303)),TRIM('R.M Billets Reports'!F1303),IF(ISNUMBER(SEARCH("Party Name-",'R.M Billets Reports'!D1303)),TRIM(MID('R.M Billets Reports'!D1303,SEARCH("-",'R.M Billets Reports'!D1303)+1,200)),"")),IF(ISNUMBER(SEARCH("Party Name:-",'R.M Billets Reports'!D1304)),TRIM('R.M Billets Reports'!F1304),IF(ISNUMBER(SEARCH("Party Name-",'R.M Billets Reports'!D1304)),TRIM(MID('R.M Billets Reports'!D1304,SEARCH("-",'R.M Billets Reports'!D1304)+1,200)),"")))="SHRI RADHE","SHREE RADHE",IF(IF(IF(ISNUMBER(SEARCH("Party Name:-",'R.M Billets Reports'!D1303)),TRIM('R.M Billets Reports'!F1303),IF(ISNUMBER(SEARCH("Party Name-",'R.M Billets Reports'!D1303)),TRIM(MID('R.M Billets Reports'!D1303,SEARCH("-",'R.M Billets Reports'!D1303)+1,200)),""))&lt;&gt;"",IF(ISNUMBER(SEARCH("Party Name:-",'R.M Billets Reports'!D1303)),TRIM('R.M Billets Reports'!F1303),IF(ISNUMBER(SEARCH("Party Name-",'R.M Billets Reports'!D1303)),TRIM(MID('R.M Billets Reports'!D1303,SEARCH("-",'R.M Billets Reports'!D1303)+1,200)),"")),IF(ISNUMBER(SEARCH("Party Name:-",'R.M Billets Reports'!D1304)),TRIM('R.M Billets Reports'!F1304),IF(ISNUMBER(SEARCH("Party Name-",'R.M Billets Reports'!D1304)),TRIM(MID('R.M Billets Reports'!D1304,SEARCH("-",'R.M Billets Reports'!D1304)+1,200)),"")))="SHREE RADHE SHAKTI SPONGE AND POWER PVT. LTD.","SHREE RADHE",IF(IF(ISNUMBER(SEARCH("Party Name:-",'R.M Billets Reports'!D1303)),TRIM('R.M Billets Reports'!F1303),IF(ISNUMBER(SEARCH("Party Name-",'R.M Billets Reports'!D1303)),TRIM(MID('R.M Billets Reports'!D1303,SEARCH("-",'R.M Billets Reports'!D1303)+1,200)),""))&lt;&gt;"",IF(ISNUMBER(SEARCH("Party Name:-",'R.M Billets Reports'!D1303)),TRIM('R.M Billets Reports'!F1303),IF(ISNUMBER(SEARCH("Party Name-",'R.M Billets Reports'!D1303)),TRIM(MID('R.M Billets Reports'!D1303,SEARCH("-",'R.M Billets Reports'!D1303)+1,200)),"")),IF(ISNUMBER(SEARCH("Party Name:-",'R.M Billets Reports'!D1304)),TRIM('R.M Billets Reports'!F1304),IF(ISNUMBER(SEARCH("Party Name-",'R.M Billets Reports'!D1304)),TRIM(MID('R.M Billets Reports'!D1304,SEARCH("-",'R.M Billets Reports'!D1304)+1,200)),"")))))),IF(ROW()=2,"",A1303))</f>
      </c>
      <c r="B1304">
        <f>IF(OR('R.M Billets Reports'!A1303="Date-",'R.M Billets Reports'!A1303="Date:-"),'R.M Billets Reports'!B1303,IF(ROW()=2,"",B1303))</f>
      </c>
      <c r="C1304">
        <f>IF('R.M Billets Reports'!A1303="V.No.",'R.M Billets Reports'!B1303,IF(ROW()=2,"",C1303))</f>
      </c>
      <c r="D1304">
        <f>IF('R.M Billets Reports'!A1303&lt;&gt;"",'R.M Billets Reports'!A1303,IF(ROW()=2,"",D1303))</f>
      </c>
      <c r="E1304">
        <f>IF('R.M Billets Reports'!B1303="","",TRIM('R.M Billets Reports'!B1303))</f>
      </c>
      <c r="F1304">
        <f>'R.M Billets Reports'!C1303</f>
      </c>
      <c r="G1304">
        <f>'R.M Billets Reports'!D1303</f>
      </c>
      <c r="H1304">
        <f>'R.M Billets Reports'!E1303</f>
      </c>
      <c r="I1304">
        <f>'R.M Billets Reports'!F1303</f>
      </c>
      <c r="J1304">
        <f>'R.M Billets Reports'!G1303</f>
      </c>
      <c r="K1304">
        <f>'R.M Billets Reports'!H1303</f>
      </c>
      <c r="L1304">
        <f>IF('R.M Billets Reports'!I1303="","",'R.M Billets Reports'!I1303)</f>
      </c>
      <c r="M1304">
        <f t="shared" si="40"/>
      </c>
      <c r="N1304">
        <f>IF('R.M Billets Reports'!J1303="","",'R.M Billets Reports'!J1303)</f>
      </c>
      <c r="O1304">
        <f t="shared" si="41"/>
      </c>
      <c r="P1304">
        <f>IF('R.M Billets Reports'!A1303="SIZE",'R.M Billets Reports'!B1303,P1303)</f>
      </c>
    </row>
    <row r="1305" spans="1:16" x14ac:dyDescent="0.25">
      <c r="A1305">
        <f>IF(OR('R.M Billets Reports'!A1304="Date-",'R.M Billets Reports'!A1304="Date:-"),IF(IF(IF(ISNUMBER(SEARCH("Party Name:-",'R.M Billets Reports'!D1304)),TRIM('R.M Billets Reports'!F1304),IF(ISNUMBER(SEARCH("Party Name-",'R.M Billets Reports'!D1304)),TRIM(MID('R.M Billets Reports'!D1304,SEARCH("-",'R.M Billets Reports'!D1304)+1,200)),""))&lt;&gt;"",IF(ISNUMBER(SEARCH("Party Name:-",'R.M Billets Reports'!D1304)),TRIM('R.M Billets Reports'!F1304),IF(ISNUMBER(SEARCH("Party Name-",'R.M Billets Reports'!D1304)),TRIM(MID('R.M Billets Reports'!D1304,SEARCH("-",'R.M Billets Reports'!D1304)+1,200)),"")),IF(ISNUMBER(SEARCH("Party Name:-",'R.M Billets Reports'!D1305)),TRIM('R.M Billets Reports'!F1305),IF(ISNUMBER(SEARCH("Party Name-",'R.M Billets Reports'!D1305)),TRIM(MID('R.M Billets Reports'!D1305,SEARCH("-",'R.M Billets Reports'!D1305)+1,200)),"")))="VRKP ISPAT PVT LTD","VRKP",IF(IF(IF(ISNUMBER(SEARCH("Party Name:-",'R.M Billets Reports'!D1304)),TRIM('R.M Billets Reports'!F1304),IF(ISNUMBER(SEARCH("Party Name-",'R.M Billets Reports'!D1304)),TRIM(MID('R.M Billets Reports'!D1304,SEARCH("-",'R.M Billets Reports'!D1304)+1,200)),""))&lt;&gt;"",IF(ISNUMBER(SEARCH("Party Name:-",'R.M Billets Reports'!D1304)),TRIM('R.M Billets Reports'!F1304),IF(ISNUMBER(SEARCH("Party Name-",'R.M Billets Reports'!D1304)),TRIM(MID('R.M Billets Reports'!D1304,SEARCH("-",'R.M Billets Reports'!D1304)+1,200)),"")),IF(ISNUMBER(SEARCH("Party Name:-",'R.M Billets Reports'!D1305)),TRIM('R.M Billets Reports'!F1305),IF(ISNUMBER(SEARCH("Party Name-",'R.M Billets Reports'!D1305)),TRIM(MID('R.M Billets Reports'!D1305,SEARCH("-",'R.M Billets Reports'!D1305)+1,200)),"")))="SHRI RADHE","SHREE RADHE",IF(IF(IF(ISNUMBER(SEARCH("Party Name:-",'R.M Billets Reports'!D1304)),TRIM('R.M Billets Reports'!F1304),IF(ISNUMBER(SEARCH("Party Name-",'R.M Billets Reports'!D1304)),TRIM(MID('R.M Billets Reports'!D1304,SEARCH("-",'R.M Billets Reports'!D1304)+1,200)),""))&lt;&gt;"",IF(ISNUMBER(SEARCH("Party Name:-",'R.M Billets Reports'!D1304)),TRIM('R.M Billets Reports'!F1304),IF(ISNUMBER(SEARCH("Party Name-",'R.M Billets Reports'!D1304)),TRIM(MID('R.M Billets Reports'!D1304,SEARCH("-",'R.M Billets Reports'!D1304)+1,200)),"")),IF(ISNUMBER(SEARCH("Party Name:-",'R.M Billets Reports'!D1305)),TRIM('R.M Billets Reports'!F1305),IF(ISNUMBER(SEARCH("Party Name-",'R.M Billets Reports'!D1305)),TRIM(MID('R.M Billets Reports'!D1305,SEARCH("-",'R.M Billets Reports'!D1305)+1,200)),"")))="SHREE RADHE SHAKTI SPONGE AND POWER PVT. LTD.","SHREE RADHE",IF(IF(ISNUMBER(SEARCH("Party Name:-",'R.M Billets Reports'!D1304)),TRIM('R.M Billets Reports'!F1304),IF(ISNUMBER(SEARCH("Party Name-",'R.M Billets Reports'!D1304)),TRIM(MID('R.M Billets Reports'!D1304,SEARCH("-",'R.M Billets Reports'!D1304)+1,200)),""))&lt;&gt;"",IF(ISNUMBER(SEARCH("Party Name:-",'R.M Billets Reports'!D1304)),TRIM('R.M Billets Reports'!F1304),IF(ISNUMBER(SEARCH("Party Name-",'R.M Billets Reports'!D1304)),TRIM(MID('R.M Billets Reports'!D1304,SEARCH("-",'R.M Billets Reports'!D1304)+1,200)),"")),IF(ISNUMBER(SEARCH("Party Name:-",'R.M Billets Reports'!D1305)),TRIM('R.M Billets Reports'!F1305),IF(ISNUMBER(SEARCH("Party Name-",'R.M Billets Reports'!D1305)),TRIM(MID('R.M Billets Reports'!D1305,SEARCH("-",'R.M Billets Reports'!D1305)+1,200)),"")))))),IF(ROW()=2,"",A1304))</f>
      </c>
      <c r="B1305">
        <f>IF(OR('R.M Billets Reports'!A1304="Date-",'R.M Billets Reports'!A1304="Date:-"),'R.M Billets Reports'!B1304,IF(ROW()=2,"",B1304))</f>
      </c>
      <c r="C1305">
        <f>IF('R.M Billets Reports'!A1304="V.No.",'R.M Billets Reports'!B1304,IF(ROW()=2,"",C1304))</f>
      </c>
      <c r="D1305">
        <f>IF('R.M Billets Reports'!A1304&lt;&gt;"",'R.M Billets Reports'!A1304,IF(ROW()=2,"",D1304))</f>
      </c>
      <c r="E1305">
        <f>IF('R.M Billets Reports'!B1304="","",TRIM('R.M Billets Reports'!B1304))</f>
      </c>
      <c r="F1305">
        <f>'R.M Billets Reports'!C1304</f>
      </c>
      <c r="G1305">
        <f>'R.M Billets Reports'!D1304</f>
      </c>
      <c r="H1305">
        <f>'R.M Billets Reports'!E1304</f>
      </c>
      <c r="I1305">
        <f>'R.M Billets Reports'!F1304</f>
      </c>
      <c r="J1305">
        <f>'R.M Billets Reports'!G1304</f>
      </c>
      <c r="K1305">
        <f>'R.M Billets Reports'!H1304</f>
      </c>
      <c r="L1305">
        <f>IF('R.M Billets Reports'!I1304="","",'R.M Billets Reports'!I1304)</f>
      </c>
      <c r="M1305">
        <f t="shared" si="40"/>
      </c>
      <c r="N1305">
        <f>IF('R.M Billets Reports'!J1304="","",'R.M Billets Reports'!J1304)</f>
      </c>
      <c r="O1305">
        <f t="shared" si="41"/>
      </c>
      <c r="P1305">
        <f>IF('R.M Billets Reports'!A1304="SIZE",'R.M Billets Reports'!B1304,P1304)</f>
      </c>
    </row>
    <row r="1306" spans="1:16" x14ac:dyDescent="0.25">
      <c r="A1306">
        <f>IF(OR('R.M Billets Reports'!A1305="Date-",'R.M Billets Reports'!A1305="Date:-"),IF(IF(IF(ISNUMBER(SEARCH("Party Name:-",'R.M Billets Reports'!D1305)),TRIM('R.M Billets Reports'!F1305),IF(ISNUMBER(SEARCH("Party Name-",'R.M Billets Reports'!D1305)),TRIM(MID('R.M Billets Reports'!D1305,SEARCH("-",'R.M Billets Reports'!D1305)+1,200)),""))&lt;&gt;"",IF(ISNUMBER(SEARCH("Party Name:-",'R.M Billets Reports'!D1305)),TRIM('R.M Billets Reports'!F1305),IF(ISNUMBER(SEARCH("Party Name-",'R.M Billets Reports'!D1305)),TRIM(MID('R.M Billets Reports'!D1305,SEARCH("-",'R.M Billets Reports'!D1305)+1,200)),"")),IF(ISNUMBER(SEARCH("Party Name:-",'R.M Billets Reports'!D1306)),TRIM('R.M Billets Reports'!F1306),IF(ISNUMBER(SEARCH("Party Name-",'R.M Billets Reports'!D1306)),TRIM(MID('R.M Billets Reports'!D1306,SEARCH("-",'R.M Billets Reports'!D1306)+1,200)),"")))="VRKP ISPAT PVT LTD","VRKP",IF(IF(IF(ISNUMBER(SEARCH("Party Name:-",'R.M Billets Reports'!D1305)),TRIM('R.M Billets Reports'!F1305),IF(ISNUMBER(SEARCH("Party Name-",'R.M Billets Reports'!D1305)),TRIM(MID('R.M Billets Reports'!D1305,SEARCH("-",'R.M Billets Reports'!D1305)+1,200)),""))&lt;&gt;"",IF(ISNUMBER(SEARCH("Party Name:-",'R.M Billets Reports'!D1305)),TRIM('R.M Billets Reports'!F1305),IF(ISNUMBER(SEARCH("Party Name-",'R.M Billets Reports'!D1305)),TRIM(MID('R.M Billets Reports'!D1305,SEARCH("-",'R.M Billets Reports'!D1305)+1,200)),"")),IF(ISNUMBER(SEARCH("Party Name:-",'R.M Billets Reports'!D1306)),TRIM('R.M Billets Reports'!F1306),IF(ISNUMBER(SEARCH("Party Name-",'R.M Billets Reports'!D1306)),TRIM(MID('R.M Billets Reports'!D1306,SEARCH("-",'R.M Billets Reports'!D1306)+1,200)),"")))="SHRI RADHE","SHREE RADHE",IF(IF(IF(ISNUMBER(SEARCH("Party Name:-",'R.M Billets Reports'!D1305)),TRIM('R.M Billets Reports'!F1305),IF(ISNUMBER(SEARCH("Party Name-",'R.M Billets Reports'!D1305)),TRIM(MID('R.M Billets Reports'!D1305,SEARCH("-",'R.M Billets Reports'!D1305)+1,200)),""))&lt;&gt;"",IF(ISNUMBER(SEARCH("Party Name:-",'R.M Billets Reports'!D1305)),TRIM('R.M Billets Reports'!F1305),IF(ISNUMBER(SEARCH("Party Name-",'R.M Billets Reports'!D1305)),TRIM(MID('R.M Billets Reports'!D1305,SEARCH("-",'R.M Billets Reports'!D1305)+1,200)),"")),IF(ISNUMBER(SEARCH("Party Name:-",'R.M Billets Reports'!D1306)),TRIM('R.M Billets Reports'!F1306),IF(ISNUMBER(SEARCH("Party Name-",'R.M Billets Reports'!D1306)),TRIM(MID('R.M Billets Reports'!D1306,SEARCH("-",'R.M Billets Reports'!D1306)+1,200)),"")))="SHREE RADHE SHAKTI SPONGE AND POWER PVT. LTD.","SHREE RADHE",IF(IF(ISNUMBER(SEARCH("Party Name:-",'R.M Billets Reports'!D1305)),TRIM('R.M Billets Reports'!F1305),IF(ISNUMBER(SEARCH("Party Name-",'R.M Billets Reports'!D1305)),TRIM(MID('R.M Billets Reports'!D1305,SEARCH("-",'R.M Billets Reports'!D1305)+1,200)),""))&lt;&gt;"",IF(ISNUMBER(SEARCH("Party Name:-",'R.M Billets Reports'!D1305)),TRIM('R.M Billets Reports'!F1305),IF(ISNUMBER(SEARCH("Party Name-",'R.M Billets Reports'!D1305)),TRIM(MID('R.M Billets Reports'!D1305,SEARCH("-",'R.M Billets Reports'!D1305)+1,200)),"")),IF(ISNUMBER(SEARCH("Party Name:-",'R.M Billets Reports'!D1306)),TRIM('R.M Billets Reports'!F1306),IF(ISNUMBER(SEARCH("Party Name-",'R.M Billets Reports'!D1306)),TRIM(MID('R.M Billets Reports'!D1306,SEARCH("-",'R.M Billets Reports'!D1306)+1,200)),"")))))),IF(ROW()=2,"",A1305))</f>
      </c>
      <c r="B1306">
        <f>IF(OR('R.M Billets Reports'!A1305="Date-",'R.M Billets Reports'!A1305="Date:-"),'R.M Billets Reports'!B1305,IF(ROW()=2,"",B1305))</f>
      </c>
      <c r="C1306">
        <f>IF('R.M Billets Reports'!A1305="V.No.",'R.M Billets Reports'!B1305,IF(ROW()=2,"",C1305))</f>
      </c>
      <c r="D1306">
        <f>IF('R.M Billets Reports'!A1305&lt;&gt;"",'R.M Billets Reports'!A1305,IF(ROW()=2,"",D1305))</f>
      </c>
      <c r="E1306">
        <f>IF('R.M Billets Reports'!B1305="","",TRIM('R.M Billets Reports'!B1305))</f>
      </c>
      <c r="F1306">
        <f>'R.M Billets Reports'!C1305</f>
      </c>
      <c r="G1306">
        <f>'R.M Billets Reports'!D1305</f>
      </c>
      <c r="H1306">
        <f>'R.M Billets Reports'!E1305</f>
      </c>
      <c r="I1306">
        <f>'R.M Billets Reports'!F1305</f>
      </c>
      <c r="J1306">
        <f>'R.M Billets Reports'!G1305</f>
      </c>
      <c r="K1306">
        <f>'R.M Billets Reports'!H1305</f>
      </c>
      <c r="L1306">
        <f>IF('R.M Billets Reports'!I1305="","",'R.M Billets Reports'!I1305)</f>
      </c>
      <c r="M1306">
        <f t="shared" si="40"/>
      </c>
      <c r="N1306">
        <f>IF('R.M Billets Reports'!J1305="","",'R.M Billets Reports'!J1305)</f>
      </c>
      <c r="O1306">
        <f t="shared" si="41"/>
      </c>
      <c r="P1306">
        <f>IF('R.M Billets Reports'!A1305="SIZE",'R.M Billets Reports'!B1305,P1305)</f>
      </c>
    </row>
    <row r="1307" spans="1:16" x14ac:dyDescent="0.25">
      <c r="A1307">
        <f>IF(OR('R.M Billets Reports'!A1306="Date-",'R.M Billets Reports'!A1306="Date:-"),IF(IF(IF(ISNUMBER(SEARCH("Party Name:-",'R.M Billets Reports'!D1306)),TRIM('R.M Billets Reports'!F1306),IF(ISNUMBER(SEARCH("Party Name-",'R.M Billets Reports'!D1306)),TRIM(MID('R.M Billets Reports'!D1306,SEARCH("-",'R.M Billets Reports'!D1306)+1,200)),""))&lt;&gt;"",IF(ISNUMBER(SEARCH("Party Name:-",'R.M Billets Reports'!D1306)),TRIM('R.M Billets Reports'!F1306),IF(ISNUMBER(SEARCH("Party Name-",'R.M Billets Reports'!D1306)),TRIM(MID('R.M Billets Reports'!D1306,SEARCH("-",'R.M Billets Reports'!D1306)+1,200)),"")),IF(ISNUMBER(SEARCH("Party Name:-",'R.M Billets Reports'!D1307)),TRIM('R.M Billets Reports'!F1307),IF(ISNUMBER(SEARCH("Party Name-",'R.M Billets Reports'!D1307)),TRIM(MID('R.M Billets Reports'!D1307,SEARCH("-",'R.M Billets Reports'!D1307)+1,200)),"")))="VRKP ISPAT PVT LTD","VRKP",IF(IF(IF(ISNUMBER(SEARCH("Party Name:-",'R.M Billets Reports'!D1306)),TRIM('R.M Billets Reports'!F1306),IF(ISNUMBER(SEARCH("Party Name-",'R.M Billets Reports'!D1306)),TRIM(MID('R.M Billets Reports'!D1306,SEARCH("-",'R.M Billets Reports'!D1306)+1,200)),""))&lt;&gt;"",IF(ISNUMBER(SEARCH("Party Name:-",'R.M Billets Reports'!D1306)),TRIM('R.M Billets Reports'!F1306),IF(ISNUMBER(SEARCH("Party Name-",'R.M Billets Reports'!D1306)),TRIM(MID('R.M Billets Reports'!D1306,SEARCH("-",'R.M Billets Reports'!D1306)+1,200)),"")),IF(ISNUMBER(SEARCH("Party Name:-",'R.M Billets Reports'!D1307)),TRIM('R.M Billets Reports'!F1307),IF(ISNUMBER(SEARCH("Party Name-",'R.M Billets Reports'!D1307)),TRIM(MID('R.M Billets Reports'!D1307,SEARCH("-",'R.M Billets Reports'!D1307)+1,200)),"")))="SHRI RADHE","SHREE RADHE",IF(IF(IF(ISNUMBER(SEARCH("Party Name:-",'R.M Billets Reports'!D1306)),TRIM('R.M Billets Reports'!F1306),IF(ISNUMBER(SEARCH("Party Name-",'R.M Billets Reports'!D1306)),TRIM(MID('R.M Billets Reports'!D1306,SEARCH("-",'R.M Billets Reports'!D1306)+1,200)),""))&lt;&gt;"",IF(ISNUMBER(SEARCH("Party Name:-",'R.M Billets Reports'!D1306)),TRIM('R.M Billets Reports'!F1306),IF(ISNUMBER(SEARCH("Party Name-",'R.M Billets Reports'!D1306)),TRIM(MID('R.M Billets Reports'!D1306,SEARCH("-",'R.M Billets Reports'!D1306)+1,200)),"")),IF(ISNUMBER(SEARCH("Party Name:-",'R.M Billets Reports'!D1307)),TRIM('R.M Billets Reports'!F1307),IF(ISNUMBER(SEARCH("Party Name-",'R.M Billets Reports'!D1307)),TRIM(MID('R.M Billets Reports'!D1307,SEARCH("-",'R.M Billets Reports'!D1307)+1,200)),"")))="SHREE RADHE SHAKTI SPONGE AND POWER PVT. LTD.","SHREE RADHE",IF(IF(ISNUMBER(SEARCH("Party Name:-",'R.M Billets Reports'!D1306)),TRIM('R.M Billets Reports'!F1306),IF(ISNUMBER(SEARCH("Party Name-",'R.M Billets Reports'!D1306)),TRIM(MID('R.M Billets Reports'!D1306,SEARCH("-",'R.M Billets Reports'!D1306)+1,200)),""))&lt;&gt;"",IF(ISNUMBER(SEARCH("Party Name:-",'R.M Billets Reports'!D1306)),TRIM('R.M Billets Reports'!F1306),IF(ISNUMBER(SEARCH("Party Name-",'R.M Billets Reports'!D1306)),TRIM(MID('R.M Billets Reports'!D1306,SEARCH("-",'R.M Billets Reports'!D1306)+1,200)),"")),IF(ISNUMBER(SEARCH("Party Name:-",'R.M Billets Reports'!D1307)),TRIM('R.M Billets Reports'!F1307),IF(ISNUMBER(SEARCH("Party Name-",'R.M Billets Reports'!D1307)),TRIM(MID('R.M Billets Reports'!D1307,SEARCH("-",'R.M Billets Reports'!D1307)+1,200)),"")))))),IF(ROW()=2,"",A1306))</f>
      </c>
      <c r="B1307">
        <f>IF(OR('R.M Billets Reports'!A1306="Date-",'R.M Billets Reports'!A1306="Date:-"),'R.M Billets Reports'!B1306,IF(ROW()=2,"",B1306))</f>
      </c>
      <c r="C1307">
        <f>IF('R.M Billets Reports'!A1306="V.No.",'R.M Billets Reports'!B1306,IF(ROW()=2,"",C1306))</f>
      </c>
      <c r="D1307">
        <f>IF('R.M Billets Reports'!A1306&lt;&gt;"",'R.M Billets Reports'!A1306,IF(ROW()=2,"",D1306))</f>
      </c>
      <c r="E1307">
        <f>IF('R.M Billets Reports'!B1306="","",TRIM('R.M Billets Reports'!B1306))</f>
      </c>
      <c r="F1307">
        <f>'R.M Billets Reports'!C1306</f>
      </c>
      <c r="G1307">
        <f>'R.M Billets Reports'!D1306</f>
      </c>
      <c r="H1307">
        <f>'R.M Billets Reports'!E1306</f>
      </c>
      <c r="I1307">
        <f>'R.M Billets Reports'!F1306</f>
      </c>
      <c r="J1307">
        <f>'R.M Billets Reports'!G1306</f>
      </c>
      <c r="K1307">
        <f>'R.M Billets Reports'!H1306</f>
      </c>
      <c r="L1307">
        <f>IF('R.M Billets Reports'!I1306="","",'R.M Billets Reports'!I1306)</f>
      </c>
      <c r="M1307">
        <f t="shared" si="40"/>
      </c>
      <c r="N1307">
        <f>IF('R.M Billets Reports'!J1306="","",'R.M Billets Reports'!J1306)</f>
      </c>
      <c r="O1307">
        <f t="shared" si="41"/>
      </c>
      <c r="P1307">
        <f>IF('R.M Billets Reports'!A1306="SIZE",'R.M Billets Reports'!B1306,P1306)</f>
      </c>
    </row>
    <row r="1308" spans="1:16" x14ac:dyDescent="0.25">
      <c r="A1308">
        <f>IF(OR('R.M Billets Reports'!A1307="Date-",'R.M Billets Reports'!A1307="Date:-"),IF(IF(IF(ISNUMBER(SEARCH("Party Name:-",'R.M Billets Reports'!D1307)),TRIM('R.M Billets Reports'!F1307),IF(ISNUMBER(SEARCH("Party Name-",'R.M Billets Reports'!D1307)),TRIM(MID('R.M Billets Reports'!D1307,SEARCH("-",'R.M Billets Reports'!D1307)+1,200)),""))&lt;&gt;"",IF(ISNUMBER(SEARCH("Party Name:-",'R.M Billets Reports'!D1307)),TRIM('R.M Billets Reports'!F1307),IF(ISNUMBER(SEARCH("Party Name-",'R.M Billets Reports'!D1307)),TRIM(MID('R.M Billets Reports'!D1307,SEARCH("-",'R.M Billets Reports'!D1307)+1,200)),"")),IF(ISNUMBER(SEARCH("Party Name:-",'R.M Billets Reports'!D1308)),TRIM('R.M Billets Reports'!F1308),IF(ISNUMBER(SEARCH("Party Name-",'R.M Billets Reports'!D1308)),TRIM(MID('R.M Billets Reports'!D1308,SEARCH("-",'R.M Billets Reports'!D1308)+1,200)),"")))="VRKP ISPAT PVT LTD","VRKP",IF(IF(IF(ISNUMBER(SEARCH("Party Name:-",'R.M Billets Reports'!D1307)),TRIM('R.M Billets Reports'!F1307),IF(ISNUMBER(SEARCH("Party Name-",'R.M Billets Reports'!D1307)),TRIM(MID('R.M Billets Reports'!D1307,SEARCH("-",'R.M Billets Reports'!D1307)+1,200)),""))&lt;&gt;"",IF(ISNUMBER(SEARCH("Party Name:-",'R.M Billets Reports'!D1307)),TRIM('R.M Billets Reports'!F1307),IF(ISNUMBER(SEARCH("Party Name-",'R.M Billets Reports'!D1307)),TRIM(MID('R.M Billets Reports'!D1307,SEARCH("-",'R.M Billets Reports'!D1307)+1,200)),"")),IF(ISNUMBER(SEARCH("Party Name:-",'R.M Billets Reports'!D1308)),TRIM('R.M Billets Reports'!F1308),IF(ISNUMBER(SEARCH("Party Name-",'R.M Billets Reports'!D1308)),TRIM(MID('R.M Billets Reports'!D1308,SEARCH("-",'R.M Billets Reports'!D1308)+1,200)),"")))="SHRI RADHE","SHREE RADHE",IF(IF(IF(ISNUMBER(SEARCH("Party Name:-",'R.M Billets Reports'!D1307)),TRIM('R.M Billets Reports'!F1307),IF(ISNUMBER(SEARCH("Party Name-",'R.M Billets Reports'!D1307)),TRIM(MID('R.M Billets Reports'!D1307,SEARCH("-",'R.M Billets Reports'!D1307)+1,200)),""))&lt;&gt;"",IF(ISNUMBER(SEARCH("Party Name:-",'R.M Billets Reports'!D1307)),TRIM('R.M Billets Reports'!F1307),IF(ISNUMBER(SEARCH("Party Name-",'R.M Billets Reports'!D1307)),TRIM(MID('R.M Billets Reports'!D1307,SEARCH("-",'R.M Billets Reports'!D1307)+1,200)),"")),IF(ISNUMBER(SEARCH("Party Name:-",'R.M Billets Reports'!D1308)),TRIM('R.M Billets Reports'!F1308),IF(ISNUMBER(SEARCH("Party Name-",'R.M Billets Reports'!D1308)),TRIM(MID('R.M Billets Reports'!D1308,SEARCH("-",'R.M Billets Reports'!D1308)+1,200)),"")))="SHREE RADHE SHAKTI SPONGE AND POWER PVT. LTD.","SHREE RADHE",IF(IF(ISNUMBER(SEARCH("Party Name:-",'R.M Billets Reports'!D1307)),TRIM('R.M Billets Reports'!F1307),IF(ISNUMBER(SEARCH("Party Name-",'R.M Billets Reports'!D1307)),TRIM(MID('R.M Billets Reports'!D1307,SEARCH("-",'R.M Billets Reports'!D1307)+1,200)),""))&lt;&gt;"",IF(ISNUMBER(SEARCH("Party Name:-",'R.M Billets Reports'!D1307)),TRIM('R.M Billets Reports'!F1307),IF(ISNUMBER(SEARCH("Party Name-",'R.M Billets Reports'!D1307)),TRIM(MID('R.M Billets Reports'!D1307,SEARCH("-",'R.M Billets Reports'!D1307)+1,200)),"")),IF(ISNUMBER(SEARCH("Party Name:-",'R.M Billets Reports'!D1308)),TRIM('R.M Billets Reports'!F1308),IF(ISNUMBER(SEARCH("Party Name-",'R.M Billets Reports'!D1308)),TRIM(MID('R.M Billets Reports'!D1308,SEARCH("-",'R.M Billets Reports'!D1308)+1,200)),"")))))),IF(ROW()=2,"",A1307))</f>
      </c>
      <c r="B1308">
        <f>IF(OR('R.M Billets Reports'!A1307="Date-",'R.M Billets Reports'!A1307="Date:-"),'R.M Billets Reports'!B1307,IF(ROW()=2,"",B1307))</f>
      </c>
      <c r="C1308">
        <f>IF('R.M Billets Reports'!A1307="V.No.",'R.M Billets Reports'!B1307,IF(ROW()=2,"",C1307))</f>
      </c>
      <c r="D1308">
        <f>IF('R.M Billets Reports'!A1307&lt;&gt;"",'R.M Billets Reports'!A1307,IF(ROW()=2,"",D1307))</f>
      </c>
      <c r="E1308">
        <f>IF('R.M Billets Reports'!B1307="","",TRIM('R.M Billets Reports'!B1307))</f>
      </c>
      <c r="F1308">
        <f>'R.M Billets Reports'!C1307</f>
      </c>
      <c r="G1308">
        <f>'R.M Billets Reports'!D1307</f>
      </c>
      <c r="H1308">
        <f>'R.M Billets Reports'!E1307</f>
      </c>
      <c r="I1308">
        <f>'R.M Billets Reports'!F1307</f>
      </c>
      <c r="J1308">
        <f>'R.M Billets Reports'!G1307</f>
      </c>
      <c r="K1308">
        <f>'R.M Billets Reports'!H1307</f>
      </c>
      <c r="L1308">
        <f>IF('R.M Billets Reports'!I1307="","",'R.M Billets Reports'!I1307)</f>
      </c>
      <c r="M1308">
        <f t="shared" si="40"/>
      </c>
      <c r="N1308">
        <f>IF('R.M Billets Reports'!J1307="","",'R.M Billets Reports'!J1307)</f>
      </c>
      <c r="O1308">
        <f t="shared" si="41"/>
      </c>
      <c r="P1308">
        <f>IF('R.M Billets Reports'!A1307="SIZE",'R.M Billets Reports'!B1307,P1307)</f>
      </c>
    </row>
    <row r="1309" spans="1:16" x14ac:dyDescent="0.25">
      <c r="A1309">
        <f>IF(OR('R.M Billets Reports'!A1308="Date-",'R.M Billets Reports'!A1308="Date:-"),IF(IF(IF(ISNUMBER(SEARCH("Party Name:-",'R.M Billets Reports'!D1308)),TRIM('R.M Billets Reports'!F1308),IF(ISNUMBER(SEARCH("Party Name-",'R.M Billets Reports'!D1308)),TRIM(MID('R.M Billets Reports'!D1308,SEARCH("-",'R.M Billets Reports'!D1308)+1,200)),""))&lt;&gt;"",IF(ISNUMBER(SEARCH("Party Name:-",'R.M Billets Reports'!D1308)),TRIM('R.M Billets Reports'!F1308),IF(ISNUMBER(SEARCH("Party Name-",'R.M Billets Reports'!D1308)),TRIM(MID('R.M Billets Reports'!D1308,SEARCH("-",'R.M Billets Reports'!D1308)+1,200)),"")),IF(ISNUMBER(SEARCH("Party Name:-",'R.M Billets Reports'!D1309)),TRIM('R.M Billets Reports'!F1309),IF(ISNUMBER(SEARCH("Party Name-",'R.M Billets Reports'!D1309)),TRIM(MID('R.M Billets Reports'!D1309,SEARCH("-",'R.M Billets Reports'!D1309)+1,200)),"")))="VRKP ISPAT PVT LTD","VRKP",IF(IF(IF(ISNUMBER(SEARCH("Party Name:-",'R.M Billets Reports'!D1308)),TRIM('R.M Billets Reports'!F1308),IF(ISNUMBER(SEARCH("Party Name-",'R.M Billets Reports'!D1308)),TRIM(MID('R.M Billets Reports'!D1308,SEARCH("-",'R.M Billets Reports'!D1308)+1,200)),""))&lt;&gt;"",IF(ISNUMBER(SEARCH("Party Name:-",'R.M Billets Reports'!D1308)),TRIM('R.M Billets Reports'!F1308),IF(ISNUMBER(SEARCH("Party Name-",'R.M Billets Reports'!D1308)),TRIM(MID('R.M Billets Reports'!D1308,SEARCH("-",'R.M Billets Reports'!D1308)+1,200)),"")),IF(ISNUMBER(SEARCH("Party Name:-",'R.M Billets Reports'!D1309)),TRIM('R.M Billets Reports'!F1309),IF(ISNUMBER(SEARCH("Party Name-",'R.M Billets Reports'!D1309)),TRIM(MID('R.M Billets Reports'!D1309,SEARCH("-",'R.M Billets Reports'!D1309)+1,200)),"")))="SHRI RADHE","SHREE RADHE",IF(IF(IF(ISNUMBER(SEARCH("Party Name:-",'R.M Billets Reports'!D1308)),TRIM('R.M Billets Reports'!F1308),IF(ISNUMBER(SEARCH("Party Name-",'R.M Billets Reports'!D1308)),TRIM(MID('R.M Billets Reports'!D1308,SEARCH("-",'R.M Billets Reports'!D1308)+1,200)),""))&lt;&gt;"",IF(ISNUMBER(SEARCH("Party Name:-",'R.M Billets Reports'!D1308)),TRIM('R.M Billets Reports'!F1308),IF(ISNUMBER(SEARCH("Party Name-",'R.M Billets Reports'!D1308)),TRIM(MID('R.M Billets Reports'!D1308,SEARCH("-",'R.M Billets Reports'!D1308)+1,200)),"")),IF(ISNUMBER(SEARCH("Party Name:-",'R.M Billets Reports'!D1309)),TRIM('R.M Billets Reports'!F1309),IF(ISNUMBER(SEARCH("Party Name-",'R.M Billets Reports'!D1309)),TRIM(MID('R.M Billets Reports'!D1309,SEARCH("-",'R.M Billets Reports'!D1309)+1,200)),"")))="SHREE RADHE SHAKTI SPONGE AND POWER PVT. LTD.","SHREE RADHE",IF(IF(ISNUMBER(SEARCH("Party Name:-",'R.M Billets Reports'!D1308)),TRIM('R.M Billets Reports'!F1308),IF(ISNUMBER(SEARCH("Party Name-",'R.M Billets Reports'!D1308)),TRIM(MID('R.M Billets Reports'!D1308,SEARCH("-",'R.M Billets Reports'!D1308)+1,200)),""))&lt;&gt;"",IF(ISNUMBER(SEARCH("Party Name:-",'R.M Billets Reports'!D1308)),TRIM('R.M Billets Reports'!F1308),IF(ISNUMBER(SEARCH("Party Name-",'R.M Billets Reports'!D1308)),TRIM(MID('R.M Billets Reports'!D1308,SEARCH("-",'R.M Billets Reports'!D1308)+1,200)),"")),IF(ISNUMBER(SEARCH("Party Name:-",'R.M Billets Reports'!D1309)),TRIM('R.M Billets Reports'!F1309),IF(ISNUMBER(SEARCH("Party Name-",'R.M Billets Reports'!D1309)),TRIM(MID('R.M Billets Reports'!D1309,SEARCH("-",'R.M Billets Reports'!D1309)+1,200)),"")))))),IF(ROW()=2,"",A1308))</f>
      </c>
      <c r="B1309">
        <f>IF(OR('R.M Billets Reports'!A1308="Date-",'R.M Billets Reports'!A1308="Date:-"),'R.M Billets Reports'!B1308,IF(ROW()=2,"",B1308))</f>
      </c>
      <c r="C1309">
        <f>IF('R.M Billets Reports'!A1308="V.No.",'R.M Billets Reports'!B1308,IF(ROW()=2,"",C1308))</f>
      </c>
      <c r="D1309">
        <f>IF('R.M Billets Reports'!A1308&lt;&gt;"",'R.M Billets Reports'!A1308,IF(ROW()=2,"",D1308))</f>
      </c>
      <c r="E1309">
        <f>IF('R.M Billets Reports'!B1308="","",TRIM('R.M Billets Reports'!B1308))</f>
      </c>
      <c r="F1309">
        <f>'R.M Billets Reports'!C1308</f>
      </c>
      <c r="G1309">
        <f>'R.M Billets Reports'!D1308</f>
      </c>
      <c r="H1309">
        <f>'R.M Billets Reports'!E1308</f>
      </c>
      <c r="I1309">
        <f>'R.M Billets Reports'!F1308</f>
      </c>
      <c r="J1309">
        <f>'R.M Billets Reports'!G1308</f>
      </c>
      <c r="K1309">
        <f>'R.M Billets Reports'!H1308</f>
      </c>
      <c r="L1309">
        <f>IF('R.M Billets Reports'!I1308="","",'R.M Billets Reports'!I1308)</f>
      </c>
      <c r="M1309">
        <f t="shared" si="40"/>
      </c>
      <c r="N1309">
        <f>IF('R.M Billets Reports'!J1308="","",'R.M Billets Reports'!J1308)</f>
      </c>
      <c r="O1309">
        <f t="shared" si="41"/>
      </c>
      <c r="P1309">
        <f>IF('R.M Billets Reports'!A1308="SIZE",'R.M Billets Reports'!B1308,P1308)</f>
      </c>
    </row>
    <row r="1310" spans="1:16" x14ac:dyDescent="0.25">
      <c r="A1310">
        <f>IF(OR('R.M Billets Reports'!A1309="Date-",'R.M Billets Reports'!A1309="Date:-"),IF(IF(IF(ISNUMBER(SEARCH("Party Name:-",'R.M Billets Reports'!D1309)),TRIM('R.M Billets Reports'!F1309),IF(ISNUMBER(SEARCH("Party Name-",'R.M Billets Reports'!D1309)),TRIM(MID('R.M Billets Reports'!D1309,SEARCH("-",'R.M Billets Reports'!D1309)+1,200)),""))&lt;&gt;"",IF(ISNUMBER(SEARCH("Party Name:-",'R.M Billets Reports'!D1309)),TRIM('R.M Billets Reports'!F1309),IF(ISNUMBER(SEARCH("Party Name-",'R.M Billets Reports'!D1309)),TRIM(MID('R.M Billets Reports'!D1309,SEARCH("-",'R.M Billets Reports'!D1309)+1,200)),"")),IF(ISNUMBER(SEARCH("Party Name:-",'R.M Billets Reports'!D1310)),TRIM('R.M Billets Reports'!F1310),IF(ISNUMBER(SEARCH("Party Name-",'R.M Billets Reports'!D1310)),TRIM(MID('R.M Billets Reports'!D1310,SEARCH("-",'R.M Billets Reports'!D1310)+1,200)),"")))="VRKP ISPAT PVT LTD","VRKP",IF(IF(IF(ISNUMBER(SEARCH("Party Name:-",'R.M Billets Reports'!D1309)),TRIM('R.M Billets Reports'!F1309),IF(ISNUMBER(SEARCH("Party Name-",'R.M Billets Reports'!D1309)),TRIM(MID('R.M Billets Reports'!D1309,SEARCH("-",'R.M Billets Reports'!D1309)+1,200)),""))&lt;&gt;"",IF(ISNUMBER(SEARCH("Party Name:-",'R.M Billets Reports'!D1309)),TRIM('R.M Billets Reports'!F1309),IF(ISNUMBER(SEARCH("Party Name-",'R.M Billets Reports'!D1309)),TRIM(MID('R.M Billets Reports'!D1309,SEARCH("-",'R.M Billets Reports'!D1309)+1,200)),"")),IF(ISNUMBER(SEARCH("Party Name:-",'R.M Billets Reports'!D1310)),TRIM('R.M Billets Reports'!F1310),IF(ISNUMBER(SEARCH("Party Name-",'R.M Billets Reports'!D1310)),TRIM(MID('R.M Billets Reports'!D1310,SEARCH("-",'R.M Billets Reports'!D1310)+1,200)),"")))="SHRI RADHE","SHREE RADHE",IF(IF(IF(ISNUMBER(SEARCH("Party Name:-",'R.M Billets Reports'!D1309)),TRIM('R.M Billets Reports'!F1309),IF(ISNUMBER(SEARCH("Party Name-",'R.M Billets Reports'!D1309)),TRIM(MID('R.M Billets Reports'!D1309,SEARCH("-",'R.M Billets Reports'!D1309)+1,200)),""))&lt;&gt;"",IF(ISNUMBER(SEARCH("Party Name:-",'R.M Billets Reports'!D1309)),TRIM('R.M Billets Reports'!F1309),IF(ISNUMBER(SEARCH("Party Name-",'R.M Billets Reports'!D1309)),TRIM(MID('R.M Billets Reports'!D1309,SEARCH("-",'R.M Billets Reports'!D1309)+1,200)),"")),IF(ISNUMBER(SEARCH("Party Name:-",'R.M Billets Reports'!D1310)),TRIM('R.M Billets Reports'!F1310),IF(ISNUMBER(SEARCH("Party Name-",'R.M Billets Reports'!D1310)),TRIM(MID('R.M Billets Reports'!D1310,SEARCH("-",'R.M Billets Reports'!D1310)+1,200)),"")))="SHREE RADHE SHAKTI SPONGE AND POWER PVT. LTD.","SHREE RADHE",IF(IF(ISNUMBER(SEARCH("Party Name:-",'R.M Billets Reports'!D1309)),TRIM('R.M Billets Reports'!F1309),IF(ISNUMBER(SEARCH("Party Name-",'R.M Billets Reports'!D1309)),TRIM(MID('R.M Billets Reports'!D1309,SEARCH("-",'R.M Billets Reports'!D1309)+1,200)),""))&lt;&gt;"",IF(ISNUMBER(SEARCH("Party Name:-",'R.M Billets Reports'!D1309)),TRIM('R.M Billets Reports'!F1309),IF(ISNUMBER(SEARCH("Party Name-",'R.M Billets Reports'!D1309)),TRIM(MID('R.M Billets Reports'!D1309,SEARCH("-",'R.M Billets Reports'!D1309)+1,200)),"")),IF(ISNUMBER(SEARCH("Party Name:-",'R.M Billets Reports'!D1310)),TRIM('R.M Billets Reports'!F1310),IF(ISNUMBER(SEARCH("Party Name-",'R.M Billets Reports'!D1310)),TRIM(MID('R.M Billets Reports'!D1310,SEARCH("-",'R.M Billets Reports'!D1310)+1,200)),"")))))),IF(ROW()=2,"",A1309))</f>
      </c>
      <c r="B1310">
        <f>IF(OR('R.M Billets Reports'!A1309="Date-",'R.M Billets Reports'!A1309="Date:-"),'R.M Billets Reports'!B1309,IF(ROW()=2,"",B1309))</f>
      </c>
      <c r="C1310">
        <f>IF('R.M Billets Reports'!A1309="V.No.",'R.M Billets Reports'!B1309,IF(ROW()=2,"",C1309))</f>
      </c>
      <c r="D1310">
        <f>IF('R.M Billets Reports'!A1309&lt;&gt;"",'R.M Billets Reports'!A1309,IF(ROW()=2,"",D1309))</f>
      </c>
      <c r="E1310">
        <f>IF('R.M Billets Reports'!B1309="","",TRIM('R.M Billets Reports'!B1309))</f>
      </c>
      <c r="F1310">
        <f>'R.M Billets Reports'!C1309</f>
      </c>
      <c r="G1310">
        <f>'R.M Billets Reports'!D1309</f>
      </c>
      <c r="H1310">
        <f>'R.M Billets Reports'!E1309</f>
      </c>
      <c r="I1310">
        <f>'R.M Billets Reports'!F1309</f>
      </c>
      <c r="J1310">
        <f>'R.M Billets Reports'!G1309</f>
      </c>
      <c r="K1310">
        <f>'R.M Billets Reports'!H1309</f>
      </c>
      <c r="L1310">
        <f>IF('R.M Billets Reports'!I1309="","",'R.M Billets Reports'!I1309)</f>
      </c>
      <c r="M1310">
        <f t="shared" si="40"/>
      </c>
      <c r="N1310">
        <f>IF('R.M Billets Reports'!J1309="","",'R.M Billets Reports'!J1309)</f>
      </c>
      <c r="O1310">
        <f t="shared" si="41"/>
      </c>
      <c r="P1310">
        <f>IF('R.M Billets Reports'!A1309="SIZE",'R.M Billets Reports'!B1309,P1309)</f>
      </c>
    </row>
    <row r="1311" spans="1:16" x14ac:dyDescent="0.25">
      <c r="A1311">
        <f>IF(OR('R.M Billets Reports'!A1310="Date-",'R.M Billets Reports'!A1310="Date:-"),IF(IF(IF(ISNUMBER(SEARCH("Party Name:-",'R.M Billets Reports'!D1310)),TRIM('R.M Billets Reports'!F1310),IF(ISNUMBER(SEARCH("Party Name-",'R.M Billets Reports'!D1310)),TRIM(MID('R.M Billets Reports'!D1310,SEARCH("-",'R.M Billets Reports'!D1310)+1,200)),""))&lt;&gt;"",IF(ISNUMBER(SEARCH("Party Name:-",'R.M Billets Reports'!D1310)),TRIM('R.M Billets Reports'!F1310),IF(ISNUMBER(SEARCH("Party Name-",'R.M Billets Reports'!D1310)),TRIM(MID('R.M Billets Reports'!D1310,SEARCH("-",'R.M Billets Reports'!D1310)+1,200)),"")),IF(ISNUMBER(SEARCH("Party Name:-",'R.M Billets Reports'!D1311)),TRIM('R.M Billets Reports'!F1311),IF(ISNUMBER(SEARCH("Party Name-",'R.M Billets Reports'!D1311)),TRIM(MID('R.M Billets Reports'!D1311,SEARCH("-",'R.M Billets Reports'!D1311)+1,200)),"")))="VRKP ISPAT PVT LTD","VRKP",IF(IF(IF(ISNUMBER(SEARCH("Party Name:-",'R.M Billets Reports'!D1310)),TRIM('R.M Billets Reports'!F1310),IF(ISNUMBER(SEARCH("Party Name-",'R.M Billets Reports'!D1310)),TRIM(MID('R.M Billets Reports'!D1310,SEARCH("-",'R.M Billets Reports'!D1310)+1,200)),""))&lt;&gt;"",IF(ISNUMBER(SEARCH("Party Name:-",'R.M Billets Reports'!D1310)),TRIM('R.M Billets Reports'!F1310),IF(ISNUMBER(SEARCH("Party Name-",'R.M Billets Reports'!D1310)),TRIM(MID('R.M Billets Reports'!D1310,SEARCH("-",'R.M Billets Reports'!D1310)+1,200)),"")),IF(ISNUMBER(SEARCH("Party Name:-",'R.M Billets Reports'!D1311)),TRIM('R.M Billets Reports'!F1311),IF(ISNUMBER(SEARCH("Party Name-",'R.M Billets Reports'!D1311)),TRIM(MID('R.M Billets Reports'!D1311,SEARCH("-",'R.M Billets Reports'!D1311)+1,200)),"")))="SHRI RADHE","SHREE RADHE",IF(IF(IF(ISNUMBER(SEARCH("Party Name:-",'R.M Billets Reports'!D1310)),TRIM('R.M Billets Reports'!F1310),IF(ISNUMBER(SEARCH("Party Name-",'R.M Billets Reports'!D1310)),TRIM(MID('R.M Billets Reports'!D1310,SEARCH("-",'R.M Billets Reports'!D1310)+1,200)),""))&lt;&gt;"",IF(ISNUMBER(SEARCH("Party Name:-",'R.M Billets Reports'!D1310)),TRIM('R.M Billets Reports'!F1310),IF(ISNUMBER(SEARCH("Party Name-",'R.M Billets Reports'!D1310)),TRIM(MID('R.M Billets Reports'!D1310,SEARCH("-",'R.M Billets Reports'!D1310)+1,200)),"")),IF(ISNUMBER(SEARCH("Party Name:-",'R.M Billets Reports'!D1311)),TRIM('R.M Billets Reports'!F1311),IF(ISNUMBER(SEARCH("Party Name-",'R.M Billets Reports'!D1311)),TRIM(MID('R.M Billets Reports'!D1311,SEARCH("-",'R.M Billets Reports'!D1311)+1,200)),"")))="SHREE RADHE SHAKTI SPONGE AND POWER PVT. LTD.","SHREE RADHE",IF(IF(ISNUMBER(SEARCH("Party Name:-",'R.M Billets Reports'!D1310)),TRIM('R.M Billets Reports'!F1310),IF(ISNUMBER(SEARCH("Party Name-",'R.M Billets Reports'!D1310)),TRIM(MID('R.M Billets Reports'!D1310,SEARCH("-",'R.M Billets Reports'!D1310)+1,200)),""))&lt;&gt;"",IF(ISNUMBER(SEARCH("Party Name:-",'R.M Billets Reports'!D1310)),TRIM('R.M Billets Reports'!F1310),IF(ISNUMBER(SEARCH("Party Name-",'R.M Billets Reports'!D1310)),TRIM(MID('R.M Billets Reports'!D1310,SEARCH("-",'R.M Billets Reports'!D1310)+1,200)),"")),IF(ISNUMBER(SEARCH("Party Name:-",'R.M Billets Reports'!D1311)),TRIM('R.M Billets Reports'!F1311),IF(ISNUMBER(SEARCH("Party Name-",'R.M Billets Reports'!D1311)),TRIM(MID('R.M Billets Reports'!D1311,SEARCH("-",'R.M Billets Reports'!D1311)+1,200)),"")))))),IF(ROW()=2,"",A1310))</f>
      </c>
      <c r="B1311">
        <f>IF(OR('R.M Billets Reports'!A1310="Date-",'R.M Billets Reports'!A1310="Date:-"),'R.M Billets Reports'!B1310,IF(ROW()=2,"",B1310))</f>
      </c>
      <c r="C1311">
        <f>IF('R.M Billets Reports'!A1310="V.No.",'R.M Billets Reports'!B1310,IF(ROW()=2,"",C1310))</f>
      </c>
      <c r="D1311">
        <f>IF('R.M Billets Reports'!A1310&lt;&gt;"",'R.M Billets Reports'!A1310,IF(ROW()=2,"",D1310))</f>
      </c>
      <c r="E1311">
        <f>IF('R.M Billets Reports'!B1310="","",TRIM('R.M Billets Reports'!B1310))</f>
      </c>
      <c r="F1311">
        <f>'R.M Billets Reports'!C1310</f>
      </c>
      <c r="G1311">
        <f>'R.M Billets Reports'!D1310</f>
      </c>
      <c r="H1311">
        <f>'R.M Billets Reports'!E1310</f>
      </c>
      <c r="I1311">
        <f>'R.M Billets Reports'!F1310</f>
      </c>
      <c r="J1311">
        <f>'R.M Billets Reports'!G1310</f>
      </c>
      <c r="K1311">
        <f>'R.M Billets Reports'!H1310</f>
      </c>
      <c r="L1311">
        <f>IF('R.M Billets Reports'!I1310="","",'R.M Billets Reports'!I1310)</f>
      </c>
      <c r="M1311">
        <f t="shared" si="40"/>
      </c>
      <c r="N1311">
        <f>IF('R.M Billets Reports'!J1310="","",'R.M Billets Reports'!J1310)</f>
      </c>
      <c r="O1311">
        <f t="shared" si="41"/>
      </c>
      <c r="P1311">
        <f>IF('R.M Billets Reports'!A1310="SIZE",'R.M Billets Reports'!B1310,P1310)</f>
      </c>
    </row>
    <row r="1312" spans="1:16" x14ac:dyDescent="0.25">
      <c r="A1312">
        <f>IF(OR('R.M Billets Reports'!A1311="Date-",'R.M Billets Reports'!A1311="Date:-"),IF(IF(IF(ISNUMBER(SEARCH("Party Name:-",'R.M Billets Reports'!D1311)),TRIM('R.M Billets Reports'!F1311),IF(ISNUMBER(SEARCH("Party Name-",'R.M Billets Reports'!D1311)),TRIM(MID('R.M Billets Reports'!D1311,SEARCH("-",'R.M Billets Reports'!D1311)+1,200)),""))&lt;&gt;"",IF(ISNUMBER(SEARCH("Party Name:-",'R.M Billets Reports'!D1311)),TRIM('R.M Billets Reports'!F1311),IF(ISNUMBER(SEARCH("Party Name-",'R.M Billets Reports'!D1311)),TRIM(MID('R.M Billets Reports'!D1311,SEARCH("-",'R.M Billets Reports'!D1311)+1,200)),"")),IF(ISNUMBER(SEARCH("Party Name:-",'R.M Billets Reports'!D1312)),TRIM('R.M Billets Reports'!F1312),IF(ISNUMBER(SEARCH("Party Name-",'R.M Billets Reports'!D1312)),TRIM(MID('R.M Billets Reports'!D1312,SEARCH("-",'R.M Billets Reports'!D1312)+1,200)),"")))="VRKP ISPAT PVT LTD","VRKP",IF(IF(IF(ISNUMBER(SEARCH("Party Name:-",'R.M Billets Reports'!D1311)),TRIM('R.M Billets Reports'!F1311),IF(ISNUMBER(SEARCH("Party Name-",'R.M Billets Reports'!D1311)),TRIM(MID('R.M Billets Reports'!D1311,SEARCH("-",'R.M Billets Reports'!D1311)+1,200)),""))&lt;&gt;"",IF(ISNUMBER(SEARCH("Party Name:-",'R.M Billets Reports'!D1311)),TRIM('R.M Billets Reports'!F1311),IF(ISNUMBER(SEARCH("Party Name-",'R.M Billets Reports'!D1311)),TRIM(MID('R.M Billets Reports'!D1311,SEARCH("-",'R.M Billets Reports'!D1311)+1,200)),"")),IF(ISNUMBER(SEARCH("Party Name:-",'R.M Billets Reports'!D1312)),TRIM('R.M Billets Reports'!F1312),IF(ISNUMBER(SEARCH("Party Name-",'R.M Billets Reports'!D1312)),TRIM(MID('R.M Billets Reports'!D1312,SEARCH("-",'R.M Billets Reports'!D1312)+1,200)),"")))="SHRI RADHE","SHREE RADHE",IF(IF(IF(ISNUMBER(SEARCH("Party Name:-",'R.M Billets Reports'!D1311)),TRIM('R.M Billets Reports'!F1311),IF(ISNUMBER(SEARCH("Party Name-",'R.M Billets Reports'!D1311)),TRIM(MID('R.M Billets Reports'!D1311,SEARCH("-",'R.M Billets Reports'!D1311)+1,200)),""))&lt;&gt;"",IF(ISNUMBER(SEARCH("Party Name:-",'R.M Billets Reports'!D1311)),TRIM('R.M Billets Reports'!F1311),IF(ISNUMBER(SEARCH("Party Name-",'R.M Billets Reports'!D1311)),TRIM(MID('R.M Billets Reports'!D1311,SEARCH("-",'R.M Billets Reports'!D1311)+1,200)),"")),IF(ISNUMBER(SEARCH("Party Name:-",'R.M Billets Reports'!D1312)),TRIM('R.M Billets Reports'!F1312),IF(ISNUMBER(SEARCH("Party Name-",'R.M Billets Reports'!D1312)),TRIM(MID('R.M Billets Reports'!D1312,SEARCH("-",'R.M Billets Reports'!D1312)+1,200)),"")))="SHREE RADHE SHAKTI SPONGE AND POWER PVT. LTD.","SHREE RADHE",IF(IF(ISNUMBER(SEARCH("Party Name:-",'R.M Billets Reports'!D1311)),TRIM('R.M Billets Reports'!F1311),IF(ISNUMBER(SEARCH("Party Name-",'R.M Billets Reports'!D1311)),TRIM(MID('R.M Billets Reports'!D1311,SEARCH("-",'R.M Billets Reports'!D1311)+1,200)),""))&lt;&gt;"",IF(ISNUMBER(SEARCH("Party Name:-",'R.M Billets Reports'!D1311)),TRIM('R.M Billets Reports'!F1311),IF(ISNUMBER(SEARCH("Party Name-",'R.M Billets Reports'!D1311)),TRIM(MID('R.M Billets Reports'!D1311,SEARCH("-",'R.M Billets Reports'!D1311)+1,200)),"")),IF(ISNUMBER(SEARCH("Party Name:-",'R.M Billets Reports'!D1312)),TRIM('R.M Billets Reports'!F1312),IF(ISNUMBER(SEARCH("Party Name-",'R.M Billets Reports'!D1312)),TRIM(MID('R.M Billets Reports'!D1312,SEARCH("-",'R.M Billets Reports'!D1312)+1,200)),"")))))),IF(ROW()=2,"",A1311))</f>
      </c>
      <c r="B1312">
        <f>IF(OR('R.M Billets Reports'!A1311="Date-",'R.M Billets Reports'!A1311="Date:-"),'R.M Billets Reports'!B1311,IF(ROW()=2,"",B1311))</f>
      </c>
      <c r="C1312">
        <f>IF('R.M Billets Reports'!A1311="V.No.",'R.M Billets Reports'!B1311,IF(ROW()=2,"",C1311))</f>
      </c>
      <c r="D1312">
        <f>IF('R.M Billets Reports'!A1311&lt;&gt;"",'R.M Billets Reports'!A1311,IF(ROW()=2,"",D1311))</f>
      </c>
      <c r="E1312">
        <f>IF('R.M Billets Reports'!B1311="","",TRIM('R.M Billets Reports'!B1311))</f>
      </c>
      <c r="F1312">
        <f>'R.M Billets Reports'!C1311</f>
      </c>
      <c r="G1312">
        <f>'R.M Billets Reports'!D1311</f>
      </c>
      <c r="H1312">
        <f>'R.M Billets Reports'!E1311</f>
      </c>
      <c r="I1312">
        <f>'R.M Billets Reports'!F1311</f>
      </c>
      <c r="J1312">
        <f>'R.M Billets Reports'!G1311</f>
      </c>
      <c r="K1312">
        <f>'R.M Billets Reports'!H1311</f>
      </c>
      <c r="L1312">
        <f>IF('R.M Billets Reports'!I1311="","",'R.M Billets Reports'!I1311)</f>
      </c>
      <c r="M1312">
        <f t="shared" si="40"/>
      </c>
      <c r="N1312">
        <f>IF('R.M Billets Reports'!J1311="","",'R.M Billets Reports'!J1311)</f>
      </c>
      <c r="O1312">
        <f t="shared" si="41"/>
      </c>
      <c r="P1312">
        <f>IF('R.M Billets Reports'!A1311="SIZE",'R.M Billets Reports'!B1311,P1311)</f>
      </c>
    </row>
    <row r="1313" spans="1:16" x14ac:dyDescent="0.25">
      <c r="A1313">
        <f>IF(OR('R.M Billets Reports'!A1312="Date-",'R.M Billets Reports'!A1312="Date:-"),IF(IF(IF(ISNUMBER(SEARCH("Party Name:-",'R.M Billets Reports'!D1312)),TRIM('R.M Billets Reports'!F1312),IF(ISNUMBER(SEARCH("Party Name-",'R.M Billets Reports'!D1312)),TRIM(MID('R.M Billets Reports'!D1312,SEARCH("-",'R.M Billets Reports'!D1312)+1,200)),""))&lt;&gt;"",IF(ISNUMBER(SEARCH("Party Name:-",'R.M Billets Reports'!D1312)),TRIM('R.M Billets Reports'!F1312),IF(ISNUMBER(SEARCH("Party Name-",'R.M Billets Reports'!D1312)),TRIM(MID('R.M Billets Reports'!D1312,SEARCH("-",'R.M Billets Reports'!D1312)+1,200)),"")),IF(ISNUMBER(SEARCH("Party Name:-",'R.M Billets Reports'!D1313)),TRIM('R.M Billets Reports'!F1313),IF(ISNUMBER(SEARCH("Party Name-",'R.M Billets Reports'!D1313)),TRIM(MID('R.M Billets Reports'!D1313,SEARCH("-",'R.M Billets Reports'!D1313)+1,200)),"")))="VRKP ISPAT PVT LTD","VRKP",IF(IF(IF(ISNUMBER(SEARCH("Party Name:-",'R.M Billets Reports'!D1312)),TRIM('R.M Billets Reports'!F1312),IF(ISNUMBER(SEARCH("Party Name-",'R.M Billets Reports'!D1312)),TRIM(MID('R.M Billets Reports'!D1312,SEARCH("-",'R.M Billets Reports'!D1312)+1,200)),""))&lt;&gt;"",IF(ISNUMBER(SEARCH("Party Name:-",'R.M Billets Reports'!D1312)),TRIM('R.M Billets Reports'!F1312),IF(ISNUMBER(SEARCH("Party Name-",'R.M Billets Reports'!D1312)),TRIM(MID('R.M Billets Reports'!D1312,SEARCH("-",'R.M Billets Reports'!D1312)+1,200)),"")),IF(ISNUMBER(SEARCH("Party Name:-",'R.M Billets Reports'!D1313)),TRIM('R.M Billets Reports'!F1313),IF(ISNUMBER(SEARCH("Party Name-",'R.M Billets Reports'!D1313)),TRIM(MID('R.M Billets Reports'!D1313,SEARCH("-",'R.M Billets Reports'!D1313)+1,200)),"")))="SHRI RADHE","SHREE RADHE",IF(IF(IF(ISNUMBER(SEARCH("Party Name:-",'R.M Billets Reports'!D1312)),TRIM('R.M Billets Reports'!F1312),IF(ISNUMBER(SEARCH("Party Name-",'R.M Billets Reports'!D1312)),TRIM(MID('R.M Billets Reports'!D1312,SEARCH("-",'R.M Billets Reports'!D1312)+1,200)),""))&lt;&gt;"",IF(ISNUMBER(SEARCH("Party Name:-",'R.M Billets Reports'!D1312)),TRIM('R.M Billets Reports'!F1312),IF(ISNUMBER(SEARCH("Party Name-",'R.M Billets Reports'!D1312)),TRIM(MID('R.M Billets Reports'!D1312,SEARCH("-",'R.M Billets Reports'!D1312)+1,200)),"")),IF(ISNUMBER(SEARCH("Party Name:-",'R.M Billets Reports'!D1313)),TRIM('R.M Billets Reports'!F1313),IF(ISNUMBER(SEARCH("Party Name-",'R.M Billets Reports'!D1313)),TRIM(MID('R.M Billets Reports'!D1313,SEARCH("-",'R.M Billets Reports'!D1313)+1,200)),"")))="SHREE RADHE SHAKTI SPONGE AND POWER PVT. LTD.","SHREE RADHE",IF(IF(ISNUMBER(SEARCH("Party Name:-",'R.M Billets Reports'!D1312)),TRIM('R.M Billets Reports'!F1312),IF(ISNUMBER(SEARCH("Party Name-",'R.M Billets Reports'!D1312)),TRIM(MID('R.M Billets Reports'!D1312,SEARCH("-",'R.M Billets Reports'!D1312)+1,200)),""))&lt;&gt;"",IF(ISNUMBER(SEARCH("Party Name:-",'R.M Billets Reports'!D1312)),TRIM('R.M Billets Reports'!F1312),IF(ISNUMBER(SEARCH("Party Name-",'R.M Billets Reports'!D1312)),TRIM(MID('R.M Billets Reports'!D1312,SEARCH("-",'R.M Billets Reports'!D1312)+1,200)),"")),IF(ISNUMBER(SEARCH("Party Name:-",'R.M Billets Reports'!D1313)),TRIM('R.M Billets Reports'!F1313),IF(ISNUMBER(SEARCH("Party Name-",'R.M Billets Reports'!D1313)),TRIM(MID('R.M Billets Reports'!D1313,SEARCH("-",'R.M Billets Reports'!D1313)+1,200)),"")))))),IF(ROW()=2,"",A1312))</f>
      </c>
      <c r="B1313">
        <f>IF(OR('R.M Billets Reports'!A1312="Date-",'R.M Billets Reports'!A1312="Date:-"),'R.M Billets Reports'!B1312,IF(ROW()=2,"",B1312))</f>
      </c>
      <c r="C1313">
        <f>IF('R.M Billets Reports'!A1312="V.No.",'R.M Billets Reports'!B1312,IF(ROW()=2,"",C1312))</f>
      </c>
      <c r="D1313">
        <f>IF('R.M Billets Reports'!A1312&lt;&gt;"",'R.M Billets Reports'!A1312,IF(ROW()=2,"",D1312))</f>
      </c>
      <c r="E1313">
        <f>IF('R.M Billets Reports'!B1312="","",TRIM('R.M Billets Reports'!B1312))</f>
      </c>
      <c r="F1313">
        <f>'R.M Billets Reports'!C1312</f>
      </c>
      <c r="G1313">
        <f>'R.M Billets Reports'!D1312</f>
      </c>
      <c r="H1313">
        <f>'R.M Billets Reports'!E1312</f>
      </c>
      <c r="I1313">
        <f>'R.M Billets Reports'!F1312</f>
      </c>
      <c r="J1313">
        <f>'R.M Billets Reports'!G1312</f>
      </c>
      <c r="K1313">
        <f>'R.M Billets Reports'!H1312</f>
      </c>
      <c r="L1313">
        <f>IF('R.M Billets Reports'!I1312="","",'R.M Billets Reports'!I1312)</f>
      </c>
      <c r="M1313">
        <f t="shared" si="40"/>
      </c>
      <c r="N1313">
        <f>IF('R.M Billets Reports'!J1312="","",'R.M Billets Reports'!J1312)</f>
      </c>
      <c r="O1313">
        <f t="shared" si="41"/>
      </c>
      <c r="P1313">
        <f>IF('R.M Billets Reports'!A1312="SIZE",'R.M Billets Reports'!B1312,P1312)</f>
      </c>
    </row>
    <row r="1314" spans="1:16" x14ac:dyDescent="0.25">
      <c r="A1314">
        <f>IF(OR('R.M Billets Reports'!A1313="Date-",'R.M Billets Reports'!A1313="Date:-"),IF(IF(IF(ISNUMBER(SEARCH("Party Name:-",'R.M Billets Reports'!D1313)),TRIM('R.M Billets Reports'!F1313),IF(ISNUMBER(SEARCH("Party Name-",'R.M Billets Reports'!D1313)),TRIM(MID('R.M Billets Reports'!D1313,SEARCH("-",'R.M Billets Reports'!D1313)+1,200)),""))&lt;&gt;"",IF(ISNUMBER(SEARCH("Party Name:-",'R.M Billets Reports'!D1313)),TRIM('R.M Billets Reports'!F1313),IF(ISNUMBER(SEARCH("Party Name-",'R.M Billets Reports'!D1313)),TRIM(MID('R.M Billets Reports'!D1313,SEARCH("-",'R.M Billets Reports'!D1313)+1,200)),"")),IF(ISNUMBER(SEARCH("Party Name:-",'R.M Billets Reports'!D1314)),TRIM('R.M Billets Reports'!F1314),IF(ISNUMBER(SEARCH("Party Name-",'R.M Billets Reports'!D1314)),TRIM(MID('R.M Billets Reports'!D1314,SEARCH("-",'R.M Billets Reports'!D1314)+1,200)),"")))="VRKP ISPAT PVT LTD","VRKP",IF(IF(IF(ISNUMBER(SEARCH("Party Name:-",'R.M Billets Reports'!D1313)),TRIM('R.M Billets Reports'!F1313),IF(ISNUMBER(SEARCH("Party Name-",'R.M Billets Reports'!D1313)),TRIM(MID('R.M Billets Reports'!D1313,SEARCH("-",'R.M Billets Reports'!D1313)+1,200)),""))&lt;&gt;"",IF(ISNUMBER(SEARCH("Party Name:-",'R.M Billets Reports'!D1313)),TRIM('R.M Billets Reports'!F1313),IF(ISNUMBER(SEARCH("Party Name-",'R.M Billets Reports'!D1313)),TRIM(MID('R.M Billets Reports'!D1313,SEARCH("-",'R.M Billets Reports'!D1313)+1,200)),"")),IF(ISNUMBER(SEARCH("Party Name:-",'R.M Billets Reports'!D1314)),TRIM('R.M Billets Reports'!F1314),IF(ISNUMBER(SEARCH("Party Name-",'R.M Billets Reports'!D1314)),TRIM(MID('R.M Billets Reports'!D1314,SEARCH("-",'R.M Billets Reports'!D1314)+1,200)),"")))="SHRI RADHE","SHREE RADHE",IF(IF(IF(ISNUMBER(SEARCH("Party Name:-",'R.M Billets Reports'!D1313)),TRIM('R.M Billets Reports'!F1313),IF(ISNUMBER(SEARCH("Party Name-",'R.M Billets Reports'!D1313)),TRIM(MID('R.M Billets Reports'!D1313,SEARCH("-",'R.M Billets Reports'!D1313)+1,200)),""))&lt;&gt;"",IF(ISNUMBER(SEARCH("Party Name:-",'R.M Billets Reports'!D1313)),TRIM('R.M Billets Reports'!F1313),IF(ISNUMBER(SEARCH("Party Name-",'R.M Billets Reports'!D1313)),TRIM(MID('R.M Billets Reports'!D1313,SEARCH("-",'R.M Billets Reports'!D1313)+1,200)),"")),IF(ISNUMBER(SEARCH("Party Name:-",'R.M Billets Reports'!D1314)),TRIM('R.M Billets Reports'!F1314),IF(ISNUMBER(SEARCH("Party Name-",'R.M Billets Reports'!D1314)),TRIM(MID('R.M Billets Reports'!D1314,SEARCH("-",'R.M Billets Reports'!D1314)+1,200)),"")))="SHREE RADHE SHAKTI SPONGE AND POWER PVT. LTD.","SHREE RADHE",IF(IF(ISNUMBER(SEARCH("Party Name:-",'R.M Billets Reports'!D1313)),TRIM('R.M Billets Reports'!F1313),IF(ISNUMBER(SEARCH("Party Name-",'R.M Billets Reports'!D1313)),TRIM(MID('R.M Billets Reports'!D1313,SEARCH("-",'R.M Billets Reports'!D1313)+1,200)),""))&lt;&gt;"",IF(ISNUMBER(SEARCH("Party Name:-",'R.M Billets Reports'!D1313)),TRIM('R.M Billets Reports'!F1313),IF(ISNUMBER(SEARCH("Party Name-",'R.M Billets Reports'!D1313)),TRIM(MID('R.M Billets Reports'!D1313,SEARCH("-",'R.M Billets Reports'!D1313)+1,200)),"")),IF(ISNUMBER(SEARCH("Party Name:-",'R.M Billets Reports'!D1314)),TRIM('R.M Billets Reports'!F1314),IF(ISNUMBER(SEARCH("Party Name-",'R.M Billets Reports'!D1314)),TRIM(MID('R.M Billets Reports'!D1314,SEARCH("-",'R.M Billets Reports'!D1314)+1,200)),"")))))),IF(ROW()=2,"",A1313))</f>
      </c>
      <c r="B1314">
        <f>IF(OR('R.M Billets Reports'!A1313="Date-",'R.M Billets Reports'!A1313="Date:-"),'R.M Billets Reports'!B1313,IF(ROW()=2,"",B1313))</f>
      </c>
      <c r="C1314">
        <f>IF('R.M Billets Reports'!A1313="V.No.",'R.M Billets Reports'!B1313,IF(ROW()=2,"",C1313))</f>
      </c>
      <c r="D1314">
        <f>IF('R.M Billets Reports'!A1313&lt;&gt;"",'R.M Billets Reports'!A1313,IF(ROW()=2,"",D1313))</f>
      </c>
      <c r="E1314">
        <f>IF('R.M Billets Reports'!B1313="","",TRIM('R.M Billets Reports'!B1313))</f>
      </c>
      <c r="F1314">
        <f>'R.M Billets Reports'!C1313</f>
      </c>
      <c r="G1314">
        <f>'R.M Billets Reports'!D1313</f>
      </c>
      <c r="H1314">
        <f>'R.M Billets Reports'!E1313</f>
      </c>
      <c r="I1314">
        <f>'R.M Billets Reports'!F1313</f>
      </c>
      <c r="J1314">
        <f>'R.M Billets Reports'!G1313</f>
      </c>
      <c r="K1314">
        <f>'R.M Billets Reports'!H1313</f>
      </c>
      <c r="L1314">
        <f>IF('R.M Billets Reports'!I1313="","",'R.M Billets Reports'!I1313)</f>
      </c>
      <c r="M1314">
        <f t="shared" si="40"/>
      </c>
      <c r="N1314">
        <f>IF('R.M Billets Reports'!J1313="","",'R.M Billets Reports'!J1313)</f>
      </c>
      <c r="O1314">
        <f t="shared" si="41"/>
      </c>
      <c r="P1314">
        <f>IF('R.M Billets Reports'!A1313="SIZE",'R.M Billets Reports'!B1313,P1313)</f>
      </c>
    </row>
    <row r="1315" spans="1:16" x14ac:dyDescent="0.25">
      <c r="A1315">
        <f>IF(OR('R.M Billets Reports'!A1314="Date-",'R.M Billets Reports'!A1314="Date:-"),IF(IF(IF(ISNUMBER(SEARCH("Party Name:-",'R.M Billets Reports'!D1314)),TRIM('R.M Billets Reports'!F1314),IF(ISNUMBER(SEARCH("Party Name-",'R.M Billets Reports'!D1314)),TRIM(MID('R.M Billets Reports'!D1314,SEARCH("-",'R.M Billets Reports'!D1314)+1,200)),""))&lt;&gt;"",IF(ISNUMBER(SEARCH("Party Name:-",'R.M Billets Reports'!D1314)),TRIM('R.M Billets Reports'!F1314),IF(ISNUMBER(SEARCH("Party Name-",'R.M Billets Reports'!D1314)),TRIM(MID('R.M Billets Reports'!D1314,SEARCH("-",'R.M Billets Reports'!D1314)+1,200)),"")),IF(ISNUMBER(SEARCH("Party Name:-",'R.M Billets Reports'!D1315)),TRIM('R.M Billets Reports'!F1315),IF(ISNUMBER(SEARCH("Party Name-",'R.M Billets Reports'!D1315)),TRIM(MID('R.M Billets Reports'!D1315,SEARCH("-",'R.M Billets Reports'!D1315)+1,200)),"")))="VRKP ISPAT PVT LTD","VRKP",IF(IF(IF(ISNUMBER(SEARCH("Party Name:-",'R.M Billets Reports'!D1314)),TRIM('R.M Billets Reports'!F1314),IF(ISNUMBER(SEARCH("Party Name-",'R.M Billets Reports'!D1314)),TRIM(MID('R.M Billets Reports'!D1314,SEARCH("-",'R.M Billets Reports'!D1314)+1,200)),""))&lt;&gt;"",IF(ISNUMBER(SEARCH("Party Name:-",'R.M Billets Reports'!D1314)),TRIM('R.M Billets Reports'!F1314),IF(ISNUMBER(SEARCH("Party Name-",'R.M Billets Reports'!D1314)),TRIM(MID('R.M Billets Reports'!D1314,SEARCH("-",'R.M Billets Reports'!D1314)+1,200)),"")),IF(ISNUMBER(SEARCH("Party Name:-",'R.M Billets Reports'!D1315)),TRIM('R.M Billets Reports'!F1315),IF(ISNUMBER(SEARCH("Party Name-",'R.M Billets Reports'!D1315)),TRIM(MID('R.M Billets Reports'!D1315,SEARCH("-",'R.M Billets Reports'!D1315)+1,200)),"")))="SHRI RADHE","SHREE RADHE",IF(IF(IF(ISNUMBER(SEARCH("Party Name:-",'R.M Billets Reports'!D1314)),TRIM('R.M Billets Reports'!F1314),IF(ISNUMBER(SEARCH("Party Name-",'R.M Billets Reports'!D1314)),TRIM(MID('R.M Billets Reports'!D1314,SEARCH("-",'R.M Billets Reports'!D1314)+1,200)),""))&lt;&gt;"",IF(ISNUMBER(SEARCH("Party Name:-",'R.M Billets Reports'!D1314)),TRIM('R.M Billets Reports'!F1314),IF(ISNUMBER(SEARCH("Party Name-",'R.M Billets Reports'!D1314)),TRIM(MID('R.M Billets Reports'!D1314,SEARCH("-",'R.M Billets Reports'!D1314)+1,200)),"")),IF(ISNUMBER(SEARCH("Party Name:-",'R.M Billets Reports'!D1315)),TRIM('R.M Billets Reports'!F1315),IF(ISNUMBER(SEARCH("Party Name-",'R.M Billets Reports'!D1315)),TRIM(MID('R.M Billets Reports'!D1315,SEARCH("-",'R.M Billets Reports'!D1315)+1,200)),"")))="SHREE RADHE SHAKTI SPONGE AND POWER PVT. LTD.","SHREE RADHE",IF(IF(ISNUMBER(SEARCH("Party Name:-",'R.M Billets Reports'!D1314)),TRIM('R.M Billets Reports'!F1314),IF(ISNUMBER(SEARCH("Party Name-",'R.M Billets Reports'!D1314)),TRIM(MID('R.M Billets Reports'!D1314,SEARCH("-",'R.M Billets Reports'!D1314)+1,200)),""))&lt;&gt;"",IF(ISNUMBER(SEARCH("Party Name:-",'R.M Billets Reports'!D1314)),TRIM('R.M Billets Reports'!F1314),IF(ISNUMBER(SEARCH("Party Name-",'R.M Billets Reports'!D1314)),TRIM(MID('R.M Billets Reports'!D1314,SEARCH("-",'R.M Billets Reports'!D1314)+1,200)),"")),IF(ISNUMBER(SEARCH("Party Name:-",'R.M Billets Reports'!D1315)),TRIM('R.M Billets Reports'!F1315),IF(ISNUMBER(SEARCH("Party Name-",'R.M Billets Reports'!D1315)),TRIM(MID('R.M Billets Reports'!D1315,SEARCH("-",'R.M Billets Reports'!D1315)+1,200)),"")))))),IF(ROW()=2,"",A1314))</f>
      </c>
      <c r="B1315">
        <f>IF(OR('R.M Billets Reports'!A1314="Date-",'R.M Billets Reports'!A1314="Date:-"),'R.M Billets Reports'!B1314,IF(ROW()=2,"",B1314))</f>
      </c>
      <c r="C1315">
        <f>IF('R.M Billets Reports'!A1314="V.No.",'R.M Billets Reports'!B1314,IF(ROW()=2,"",C1314))</f>
      </c>
      <c r="D1315">
        <f>IF('R.M Billets Reports'!A1314&lt;&gt;"",'R.M Billets Reports'!A1314,IF(ROW()=2,"",D1314))</f>
      </c>
      <c r="E1315">
        <f>IF('R.M Billets Reports'!B1314="","",TRIM('R.M Billets Reports'!B1314))</f>
      </c>
      <c r="F1315">
        <f>'R.M Billets Reports'!C1314</f>
      </c>
      <c r="G1315">
        <f>'R.M Billets Reports'!D1314</f>
      </c>
      <c r="H1315">
        <f>'R.M Billets Reports'!E1314</f>
      </c>
      <c r="I1315">
        <f>'R.M Billets Reports'!F1314</f>
      </c>
      <c r="J1315">
        <f>'R.M Billets Reports'!G1314</f>
      </c>
      <c r="K1315">
        <f>'R.M Billets Reports'!H1314</f>
      </c>
      <c r="L1315">
        <f>IF('R.M Billets Reports'!I1314="","",'R.M Billets Reports'!I1314)</f>
      </c>
      <c r="M1315">
        <f t="shared" si="40"/>
      </c>
      <c r="N1315">
        <f>IF('R.M Billets Reports'!J1314="","",'R.M Billets Reports'!J1314)</f>
      </c>
      <c r="O1315">
        <f t="shared" si="41"/>
      </c>
      <c r="P1315">
        <f>IF('R.M Billets Reports'!A1314="SIZE",'R.M Billets Reports'!B1314,P1314)</f>
      </c>
    </row>
    <row r="1316" spans="1:16" x14ac:dyDescent="0.25">
      <c r="A1316">
        <f>IF(OR('R.M Billets Reports'!A1315="Date-",'R.M Billets Reports'!A1315="Date:-"),IF(IF(IF(ISNUMBER(SEARCH("Party Name:-",'R.M Billets Reports'!D1315)),TRIM('R.M Billets Reports'!F1315),IF(ISNUMBER(SEARCH("Party Name-",'R.M Billets Reports'!D1315)),TRIM(MID('R.M Billets Reports'!D1315,SEARCH("-",'R.M Billets Reports'!D1315)+1,200)),""))&lt;&gt;"",IF(ISNUMBER(SEARCH("Party Name:-",'R.M Billets Reports'!D1315)),TRIM('R.M Billets Reports'!F1315),IF(ISNUMBER(SEARCH("Party Name-",'R.M Billets Reports'!D1315)),TRIM(MID('R.M Billets Reports'!D1315,SEARCH("-",'R.M Billets Reports'!D1315)+1,200)),"")),IF(ISNUMBER(SEARCH("Party Name:-",'R.M Billets Reports'!D1316)),TRIM('R.M Billets Reports'!F1316),IF(ISNUMBER(SEARCH("Party Name-",'R.M Billets Reports'!D1316)),TRIM(MID('R.M Billets Reports'!D1316,SEARCH("-",'R.M Billets Reports'!D1316)+1,200)),"")))="VRKP ISPAT PVT LTD","VRKP",IF(IF(IF(ISNUMBER(SEARCH("Party Name:-",'R.M Billets Reports'!D1315)),TRIM('R.M Billets Reports'!F1315),IF(ISNUMBER(SEARCH("Party Name-",'R.M Billets Reports'!D1315)),TRIM(MID('R.M Billets Reports'!D1315,SEARCH("-",'R.M Billets Reports'!D1315)+1,200)),""))&lt;&gt;"",IF(ISNUMBER(SEARCH("Party Name:-",'R.M Billets Reports'!D1315)),TRIM('R.M Billets Reports'!F1315),IF(ISNUMBER(SEARCH("Party Name-",'R.M Billets Reports'!D1315)),TRIM(MID('R.M Billets Reports'!D1315,SEARCH("-",'R.M Billets Reports'!D1315)+1,200)),"")),IF(ISNUMBER(SEARCH("Party Name:-",'R.M Billets Reports'!D1316)),TRIM('R.M Billets Reports'!F1316),IF(ISNUMBER(SEARCH("Party Name-",'R.M Billets Reports'!D1316)),TRIM(MID('R.M Billets Reports'!D1316,SEARCH("-",'R.M Billets Reports'!D1316)+1,200)),"")))="SHRI RADHE","SHREE RADHE",IF(IF(IF(ISNUMBER(SEARCH("Party Name:-",'R.M Billets Reports'!D1315)),TRIM('R.M Billets Reports'!F1315),IF(ISNUMBER(SEARCH("Party Name-",'R.M Billets Reports'!D1315)),TRIM(MID('R.M Billets Reports'!D1315,SEARCH("-",'R.M Billets Reports'!D1315)+1,200)),""))&lt;&gt;"",IF(ISNUMBER(SEARCH("Party Name:-",'R.M Billets Reports'!D1315)),TRIM('R.M Billets Reports'!F1315),IF(ISNUMBER(SEARCH("Party Name-",'R.M Billets Reports'!D1315)),TRIM(MID('R.M Billets Reports'!D1315,SEARCH("-",'R.M Billets Reports'!D1315)+1,200)),"")),IF(ISNUMBER(SEARCH("Party Name:-",'R.M Billets Reports'!D1316)),TRIM('R.M Billets Reports'!F1316),IF(ISNUMBER(SEARCH("Party Name-",'R.M Billets Reports'!D1316)),TRIM(MID('R.M Billets Reports'!D1316,SEARCH("-",'R.M Billets Reports'!D1316)+1,200)),"")))="SHREE RADHE SHAKTI SPONGE AND POWER PVT. LTD.","SHREE RADHE",IF(IF(ISNUMBER(SEARCH("Party Name:-",'R.M Billets Reports'!D1315)),TRIM('R.M Billets Reports'!F1315),IF(ISNUMBER(SEARCH("Party Name-",'R.M Billets Reports'!D1315)),TRIM(MID('R.M Billets Reports'!D1315,SEARCH("-",'R.M Billets Reports'!D1315)+1,200)),""))&lt;&gt;"",IF(ISNUMBER(SEARCH("Party Name:-",'R.M Billets Reports'!D1315)),TRIM('R.M Billets Reports'!F1315),IF(ISNUMBER(SEARCH("Party Name-",'R.M Billets Reports'!D1315)),TRIM(MID('R.M Billets Reports'!D1315,SEARCH("-",'R.M Billets Reports'!D1315)+1,200)),"")),IF(ISNUMBER(SEARCH("Party Name:-",'R.M Billets Reports'!D1316)),TRIM('R.M Billets Reports'!F1316),IF(ISNUMBER(SEARCH("Party Name-",'R.M Billets Reports'!D1316)),TRIM(MID('R.M Billets Reports'!D1316,SEARCH("-",'R.M Billets Reports'!D1316)+1,200)),"")))))),IF(ROW()=2,"",A1315))</f>
      </c>
      <c r="B1316">
        <f>IF(OR('R.M Billets Reports'!A1315="Date-",'R.M Billets Reports'!A1315="Date:-"),'R.M Billets Reports'!B1315,IF(ROW()=2,"",B1315))</f>
      </c>
      <c r="C1316">
        <f>IF('R.M Billets Reports'!A1315="V.No.",'R.M Billets Reports'!B1315,IF(ROW()=2,"",C1315))</f>
      </c>
      <c r="D1316">
        <f>IF('R.M Billets Reports'!A1315&lt;&gt;"",'R.M Billets Reports'!A1315,IF(ROW()=2,"",D1315))</f>
      </c>
      <c r="E1316">
        <f>IF('R.M Billets Reports'!B1315="","",TRIM('R.M Billets Reports'!B1315))</f>
      </c>
      <c r="F1316">
        <f>'R.M Billets Reports'!C1315</f>
      </c>
      <c r="G1316">
        <f>'R.M Billets Reports'!D1315</f>
      </c>
      <c r="H1316">
        <f>'R.M Billets Reports'!E1315</f>
      </c>
      <c r="I1316">
        <f>'R.M Billets Reports'!F1315</f>
      </c>
      <c r="J1316">
        <f>'R.M Billets Reports'!G1315</f>
      </c>
      <c r="K1316">
        <f>'R.M Billets Reports'!H1315</f>
      </c>
      <c r="L1316">
        <f>IF('R.M Billets Reports'!I1315="","",'R.M Billets Reports'!I1315)</f>
      </c>
      <c r="M1316">
        <f t="shared" si="40"/>
      </c>
      <c r="N1316">
        <f>IF('R.M Billets Reports'!J1315="","",'R.M Billets Reports'!J1315)</f>
      </c>
      <c r="O1316">
        <f t="shared" si="41"/>
      </c>
      <c r="P1316">
        <f>IF('R.M Billets Reports'!A1315="SIZE",'R.M Billets Reports'!B1315,P1315)</f>
      </c>
    </row>
    <row r="1317" spans="1:16" x14ac:dyDescent="0.25">
      <c r="A1317">
        <f>IF(OR('R.M Billets Reports'!A1316="Date-",'R.M Billets Reports'!A1316="Date:-"),IF(IF(IF(ISNUMBER(SEARCH("Party Name:-",'R.M Billets Reports'!D1316)),TRIM('R.M Billets Reports'!F1316),IF(ISNUMBER(SEARCH("Party Name-",'R.M Billets Reports'!D1316)),TRIM(MID('R.M Billets Reports'!D1316,SEARCH("-",'R.M Billets Reports'!D1316)+1,200)),""))&lt;&gt;"",IF(ISNUMBER(SEARCH("Party Name:-",'R.M Billets Reports'!D1316)),TRIM('R.M Billets Reports'!F1316),IF(ISNUMBER(SEARCH("Party Name-",'R.M Billets Reports'!D1316)),TRIM(MID('R.M Billets Reports'!D1316,SEARCH("-",'R.M Billets Reports'!D1316)+1,200)),"")),IF(ISNUMBER(SEARCH("Party Name:-",'R.M Billets Reports'!D1317)),TRIM('R.M Billets Reports'!F1317),IF(ISNUMBER(SEARCH("Party Name-",'R.M Billets Reports'!D1317)),TRIM(MID('R.M Billets Reports'!D1317,SEARCH("-",'R.M Billets Reports'!D1317)+1,200)),"")))="VRKP ISPAT PVT LTD","VRKP",IF(IF(IF(ISNUMBER(SEARCH("Party Name:-",'R.M Billets Reports'!D1316)),TRIM('R.M Billets Reports'!F1316),IF(ISNUMBER(SEARCH("Party Name-",'R.M Billets Reports'!D1316)),TRIM(MID('R.M Billets Reports'!D1316,SEARCH("-",'R.M Billets Reports'!D1316)+1,200)),""))&lt;&gt;"",IF(ISNUMBER(SEARCH("Party Name:-",'R.M Billets Reports'!D1316)),TRIM('R.M Billets Reports'!F1316),IF(ISNUMBER(SEARCH("Party Name-",'R.M Billets Reports'!D1316)),TRIM(MID('R.M Billets Reports'!D1316,SEARCH("-",'R.M Billets Reports'!D1316)+1,200)),"")),IF(ISNUMBER(SEARCH("Party Name:-",'R.M Billets Reports'!D1317)),TRIM('R.M Billets Reports'!F1317),IF(ISNUMBER(SEARCH("Party Name-",'R.M Billets Reports'!D1317)),TRIM(MID('R.M Billets Reports'!D1317,SEARCH("-",'R.M Billets Reports'!D1317)+1,200)),"")))="SHRI RADHE","SHREE RADHE",IF(IF(IF(ISNUMBER(SEARCH("Party Name:-",'R.M Billets Reports'!D1316)),TRIM('R.M Billets Reports'!F1316),IF(ISNUMBER(SEARCH("Party Name-",'R.M Billets Reports'!D1316)),TRIM(MID('R.M Billets Reports'!D1316,SEARCH("-",'R.M Billets Reports'!D1316)+1,200)),""))&lt;&gt;"",IF(ISNUMBER(SEARCH("Party Name:-",'R.M Billets Reports'!D1316)),TRIM('R.M Billets Reports'!F1316),IF(ISNUMBER(SEARCH("Party Name-",'R.M Billets Reports'!D1316)),TRIM(MID('R.M Billets Reports'!D1316,SEARCH("-",'R.M Billets Reports'!D1316)+1,200)),"")),IF(ISNUMBER(SEARCH("Party Name:-",'R.M Billets Reports'!D1317)),TRIM('R.M Billets Reports'!F1317),IF(ISNUMBER(SEARCH("Party Name-",'R.M Billets Reports'!D1317)),TRIM(MID('R.M Billets Reports'!D1317,SEARCH("-",'R.M Billets Reports'!D1317)+1,200)),"")))="SHREE RADHE SHAKTI SPONGE AND POWER PVT. LTD.","SHREE RADHE",IF(IF(ISNUMBER(SEARCH("Party Name:-",'R.M Billets Reports'!D1316)),TRIM('R.M Billets Reports'!F1316),IF(ISNUMBER(SEARCH("Party Name-",'R.M Billets Reports'!D1316)),TRIM(MID('R.M Billets Reports'!D1316,SEARCH("-",'R.M Billets Reports'!D1316)+1,200)),""))&lt;&gt;"",IF(ISNUMBER(SEARCH("Party Name:-",'R.M Billets Reports'!D1316)),TRIM('R.M Billets Reports'!F1316),IF(ISNUMBER(SEARCH("Party Name-",'R.M Billets Reports'!D1316)),TRIM(MID('R.M Billets Reports'!D1316,SEARCH("-",'R.M Billets Reports'!D1316)+1,200)),"")),IF(ISNUMBER(SEARCH("Party Name:-",'R.M Billets Reports'!D1317)),TRIM('R.M Billets Reports'!F1317),IF(ISNUMBER(SEARCH("Party Name-",'R.M Billets Reports'!D1317)),TRIM(MID('R.M Billets Reports'!D1317,SEARCH("-",'R.M Billets Reports'!D1317)+1,200)),"")))))),IF(ROW()=2,"",A1316))</f>
      </c>
      <c r="B1317">
        <f>IF(OR('R.M Billets Reports'!A1316="Date-",'R.M Billets Reports'!A1316="Date:-"),'R.M Billets Reports'!B1316,IF(ROW()=2,"",B1316))</f>
      </c>
      <c r="C1317">
        <f>IF('R.M Billets Reports'!A1316="V.No.",'R.M Billets Reports'!B1316,IF(ROW()=2,"",C1316))</f>
      </c>
      <c r="D1317">
        <f>IF('R.M Billets Reports'!A1316&lt;&gt;"",'R.M Billets Reports'!A1316,IF(ROW()=2,"",D1316))</f>
      </c>
      <c r="E1317">
        <f>IF('R.M Billets Reports'!B1316="","",TRIM('R.M Billets Reports'!B1316))</f>
      </c>
      <c r="F1317">
        <f>'R.M Billets Reports'!C1316</f>
      </c>
      <c r="G1317">
        <f>'R.M Billets Reports'!D1316</f>
      </c>
      <c r="H1317">
        <f>'R.M Billets Reports'!E1316</f>
      </c>
      <c r="I1317">
        <f>'R.M Billets Reports'!F1316</f>
      </c>
      <c r="J1317">
        <f>'R.M Billets Reports'!G1316</f>
      </c>
      <c r="K1317">
        <f>'R.M Billets Reports'!H1316</f>
      </c>
      <c r="L1317">
        <f>IF('R.M Billets Reports'!I1316="","",'R.M Billets Reports'!I1316)</f>
      </c>
      <c r="M1317">
        <f t="shared" si="40"/>
      </c>
      <c r="N1317">
        <f>IF('R.M Billets Reports'!J1316="","",'R.M Billets Reports'!J1316)</f>
      </c>
      <c r="O1317">
        <f t="shared" si="41"/>
      </c>
      <c r="P1317">
        <f>IF('R.M Billets Reports'!A1316="SIZE",'R.M Billets Reports'!B1316,P1316)</f>
      </c>
    </row>
    <row r="1318" spans="1:16" x14ac:dyDescent="0.25">
      <c r="A1318">
        <f>IF(OR('R.M Billets Reports'!A1317="Date-",'R.M Billets Reports'!A1317="Date:-"),IF(IF(IF(ISNUMBER(SEARCH("Party Name:-",'R.M Billets Reports'!D1317)),TRIM('R.M Billets Reports'!F1317),IF(ISNUMBER(SEARCH("Party Name-",'R.M Billets Reports'!D1317)),TRIM(MID('R.M Billets Reports'!D1317,SEARCH("-",'R.M Billets Reports'!D1317)+1,200)),""))&lt;&gt;"",IF(ISNUMBER(SEARCH("Party Name:-",'R.M Billets Reports'!D1317)),TRIM('R.M Billets Reports'!F1317),IF(ISNUMBER(SEARCH("Party Name-",'R.M Billets Reports'!D1317)),TRIM(MID('R.M Billets Reports'!D1317,SEARCH("-",'R.M Billets Reports'!D1317)+1,200)),"")),IF(ISNUMBER(SEARCH("Party Name:-",'R.M Billets Reports'!D1318)),TRIM('R.M Billets Reports'!F1318),IF(ISNUMBER(SEARCH("Party Name-",'R.M Billets Reports'!D1318)),TRIM(MID('R.M Billets Reports'!D1318,SEARCH("-",'R.M Billets Reports'!D1318)+1,200)),"")))="VRKP ISPAT PVT LTD","VRKP",IF(IF(IF(ISNUMBER(SEARCH("Party Name:-",'R.M Billets Reports'!D1317)),TRIM('R.M Billets Reports'!F1317),IF(ISNUMBER(SEARCH("Party Name-",'R.M Billets Reports'!D1317)),TRIM(MID('R.M Billets Reports'!D1317,SEARCH("-",'R.M Billets Reports'!D1317)+1,200)),""))&lt;&gt;"",IF(ISNUMBER(SEARCH("Party Name:-",'R.M Billets Reports'!D1317)),TRIM('R.M Billets Reports'!F1317),IF(ISNUMBER(SEARCH("Party Name-",'R.M Billets Reports'!D1317)),TRIM(MID('R.M Billets Reports'!D1317,SEARCH("-",'R.M Billets Reports'!D1317)+1,200)),"")),IF(ISNUMBER(SEARCH("Party Name:-",'R.M Billets Reports'!D1318)),TRIM('R.M Billets Reports'!F1318),IF(ISNUMBER(SEARCH("Party Name-",'R.M Billets Reports'!D1318)),TRIM(MID('R.M Billets Reports'!D1318,SEARCH("-",'R.M Billets Reports'!D1318)+1,200)),"")))="SHRI RADHE","SHREE RADHE",IF(IF(IF(ISNUMBER(SEARCH("Party Name:-",'R.M Billets Reports'!D1317)),TRIM('R.M Billets Reports'!F1317),IF(ISNUMBER(SEARCH("Party Name-",'R.M Billets Reports'!D1317)),TRIM(MID('R.M Billets Reports'!D1317,SEARCH("-",'R.M Billets Reports'!D1317)+1,200)),""))&lt;&gt;"",IF(ISNUMBER(SEARCH("Party Name:-",'R.M Billets Reports'!D1317)),TRIM('R.M Billets Reports'!F1317),IF(ISNUMBER(SEARCH("Party Name-",'R.M Billets Reports'!D1317)),TRIM(MID('R.M Billets Reports'!D1317,SEARCH("-",'R.M Billets Reports'!D1317)+1,200)),"")),IF(ISNUMBER(SEARCH("Party Name:-",'R.M Billets Reports'!D1318)),TRIM('R.M Billets Reports'!F1318),IF(ISNUMBER(SEARCH("Party Name-",'R.M Billets Reports'!D1318)),TRIM(MID('R.M Billets Reports'!D1318,SEARCH("-",'R.M Billets Reports'!D1318)+1,200)),"")))="SHREE RADHE SHAKTI SPONGE AND POWER PVT. LTD.","SHREE RADHE",IF(IF(ISNUMBER(SEARCH("Party Name:-",'R.M Billets Reports'!D1317)),TRIM('R.M Billets Reports'!F1317),IF(ISNUMBER(SEARCH("Party Name-",'R.M Billets Reports'!D1317)),TRIM(MID('R.M Billets Reports'!D1317,SEARCH("-",'R.M Billets Reports'!D1317)+1,200)),""))&lt;&gt;"",IF(ISNUMBER(SEARCH("Party Name:-",'R.M Billets Reports'!D1317)),TRIM('R.M Billets Reports'!F1317),IF(ISNUMBER(SEARCH("Party Name-",'R.M Billets Reports'!D1317)),TRIM(MID('R.M Billets Reports'!D1317,SEARCH("-",'R.M Billets Reports'!D1317)+1,200)),"")),IF(ISNUMBER(SEARCH("Party Name:-",'R.M Billets Reports'!D1318)),TRIM('R.M Billets Reports'!F1318),IF(ISNUMBER(SEARCH("Party Name-",'R.M Billets Reports'!D1318)),TRIM(MID('R.M Billets Reports'!D1318,SEARCH("-",'R.M Billets Reports'!D1318)+1,200)),"")))))),IF(ROW()=2,"",A1317))</f>
      </c>
      <c r="B1318">
        <f>IF(OR('R.M Billets Reports'!A1317="Date-",'R.M Billets Reports'!A1317="Date:-"),'R.M Billets Reports'!B1317,IF(ROW()=2,"",B1317))</f>
      </c>
      <c r="C1318">
        <f>IF('R.M Billets Reports'!A1317="V.No.",'R.M Billets Reports'!B1317,IF(ROW()=2,"",C1317))</f>
      </c>
      <c r="D1318">
        <f>IF('R.M Billets Reports'!A1317&lt;&gt;"",'R.M Billets Reports'!A1317,IF(ROW()=2,"",D1317))</f>
      </c>
      <c r="E1318">
        <f>IF('R.M Billets Reports'!B1317="","",TRIM('R.M Billets Reports'!B1317))</f>
      </c>
      <c r="F1318">
        <f>'R.M Billets Reports'!C1317</f>
      </c>
      <c r="G1318">
        <f>'R.M Billets Reports'!D1317</f>
      </c>
      <c r="H1318">
        <f>'R.M Billets Reports'!E1317</f>
      </c>
      <c r="I1318">
        <f>'R.M Billets Reports'!F1317</f>
      </c>
      <c r="J1318">
        <f>'R.M Billets Reports'!G1317</f>
      </c>
      <c r="K1318">
        <f>'R.M Billets Reports'!H1317</f>
      </c>
      <c r="L1318">
        <f>IF('R.M Billets Reports'!I1317="","",'R.M Billets Reports'!I1317)</f>
      </c>
      <c r="M1318">
        <f t="shared" si="40"/>
      </c>
      <c r="N1318">
        <f>IF('R.M Billets Reports'!J1317="","",'R.M Billets Reports'!J1317)</f>
      </c>
      <c r="O1318">
        <f t="shared" si="41"/>
      </c>
      <c r="P1318">
        <f>IF('R.M Billets Reports'!A1317="SIZE",'R.M Billets Reports'!B1317,P1317)</f>
      </c>
    </row>
    <row r="1319" spans="1:16" x14ac:dyDescent="0.25">
      <c r="A1319">
        <f>IF(OR('R.M Billets Reports'!A1318="Date-",'R.M Billets Reports'!A1318="Date:-"),IF(IF(IF(ISNUMBER(SEARCH("Party Name:-",'R.M Billets Reports'!D1318)),TRIM('R.M Billets Reports'!F1318),IF(ISNUMBER(SEARCH("Party Name-",'R.M Billets Reports'!D1318)),TRIM(MID('R.M Billets Reports'!D1318,SEARCH("-",'R.M Billets Reports'!D1318)+1,200)),""))&lt;&gt;"",IF(ISNUMBER(SEARCH("Party Name:-",'R.M Billets Reports'!D1318)),TRIM('R.M Billets Reports'!F1318),IF(ISNUMBER(SEARCH("Party Name-",'R.M Billets Reports'!D1318)),TRIM(MID('R.M Billets Reports'!D1318,SEARCH("-",'R.M Billets Reports'!D1318)+1,200)),"")),IF(ISNUMBER(SEARCH("Party Name:-",'R.M Billets Reports'!D1319)),TRIM('R.M Billets Reports'!F1319),IF(ISNUMBER(SEARCH("Party Name-",'R.M Billets Reports'!D1319)),TRIM(MID('R.M Billets Reports'!D1319,SEARCH("-",'R.M Billets Reports'!D1319)+1,200)),"")))="VRKP ISPAT PVT LTD","VRKP",IF(IF(IF(ISNUMBER(SEARCH("Party Name:-",'R.M Billets Reports'!D1318)),TRIM('R.M Billets Reports'!F1318),IF(ISNUMBER(SEARCH("Party Name-",'R.M Billets Reports'!D1318)),TRIM(MID('R.M Billets Reports'!D1318,SEARCH("-",'R.M Billets Reports'!D1318)+1,200)),""))&lt;&gt;"",IF(ISNUMBER(SEARCH("Party Name:-",'R.M Billets Reports'!D1318)),TRIM('R.M Billets Reports'!F1318),IF(ISNUMBER(SEARCH("Party Name-",'R.M Billets Reports'!D1318)),TRIM(MID('R.M Billets Reports'!D1318,SEARCH("-",'R.M Billets Reports'!D1318)+1,200)),"")),IF(ISNUMBER(SEARCH("Party Name:-",'R.M Billets Reports'!D1319)),TRIM('R.M Billets Reports'!F1319),IF(ISNUMBER(SEARCH("Party Name-",'R.M Billets Reports'!D1319)),TRIM(MID('R.M Billets Reports'!D1319,SEARCH("-",'R.M Billets Reports'!D1319)+1,200)),"")))="SHRI RADHE","SHREE RADHE",IF(IF(IF(ISNUMBER(SEARCH("Party Name:-",'R.M Billets Reports'!D1318)),TRIM('R.M Billets Reports'!F1318),IF(ISNUMBER(SEARCH("Party Name-",'R.M Billets Reports'!D1318)),TRIM(MID('R.M Billets Reports'!D1318,SEARCH("-",'R.M Billets Reports'!D1318)+1,200)),""))&lt;&gt;"",IF(ISNUMBER(SEARCH("Party Name:-",'R.M Billets Reports'!D1318)),TRIM('R.M Billets Reports'!F1318),IF(ISNUMBER(SEARCH("Party Name-",'R.M Billets Reports'!D1318)),TRIM(MID('R.M Billets Reports'!D1318,SEARCH("-",'R.M Billets Reports'!D1318)+1,200)),"")),IF(ISNUMBER(SEARCH("Party Name:-",'R.M Billets Reports'!D1319)),TRIM('R.M Billets Reports'!F1319),IF(ISNUMBER(SEARCH("Party Name-",'R.M Billets Reports'!D1319)),TRIM(MID('R.M Billets Reports'!D1319,SEARCH("-",'R.M Billets Reports'!D1319)+1,200)),"")))="SHREE RADHE SHAKTI SPONGE AND POWER PVT. LTD.","SHREE RADHE",IF(IF(ISNUMBER(SEARCH("Party Name:-",'R.M Billets Reports'!D1318)),TRIM('R.M Billets Reports'!F1318),IF(ISNUMBER(SEARCH("Party Name-",'R.M Billets Reports'!D1318)),TRIM(MID('R.M Billets Reports'!D1318,SEARCH("-",'R.M Billets Reports'!D1318)+1,200)),""))&lt;&gt;"",IF(ISNUMBER(SEARCH("Party Name:-",'R.M Billets Reports'!D1318)),TRIM('R.M Billets Reports'!F1318),IF(ISNUMBER(SEARCH("Party Name-",'R.M Billets Reports'!D1318)),TRIM(MID('R.M Billets Reports'!D1318,SEARCH("-",'R.M Billets Reports'!D1318)+1,200)),"")),IF(ISNUMBER(SEARCH("Party Name:-",'R.M Billets Reports'!D1319)),TRIM('R.M Billets Reports'!F1319),IF(ISNUMBER(SEARCH("Party Name-",'R.M Billets Reports'!D1319)),TRIM(MID('R.M Billets Reports'!D1319,SEARCH("-",'R.M Billets Reports'!D1319)+1,200)),"")))))),IF(ROW()=2,"",A1318))</f>
      </c>
      <c r="B1319">
        <f>IF(OR('R.M Billets Reports'!A1318="Date-",'R.M Billets Reports'!A1318="Date:-"),'R.M Billets Reports'!B1318,IF(ROW()=2,"",B1318))</f>
      </c>
      <c r="C1319">
        <f>IF('R.M Billets Reports'!A1318="V.No.",'R.M Billets Reports'!B1318,IF(ROW()=2,"",C1318))</f>
      </c>
      <c r="D1319">
        <f>IF('R.M Billets Reports'!A1318&lt;&gt;"",'R.M Billets Reports'!A1318,IF(ROW()=2,"",D1318))</f>
      </c>
      <c r="E1319">
        <f>IF('R.M Billets Reports'!B1318="","",TRIM('R.M Billets Reports'!B1318))</f>
      </c>
      <c r="F1319">
        <f>'R.M Billets Reports'!C1318</f>
      </c>
      <c r="G1319">
        <f>'R.M Billets Reports'!D1318</f>
      </c>
      <c r="H1319">
        <f>'R.M Billets Reports'!E1318</f>
      </c>
      <c r="I1319">
        <f>'R.M Billets Reports'!F1318</f>
      </c>
      <c r="J1319">
        <f>'R.M Billets Reports'!G1318</f>
      </c>
      <c r="K1319">
        <f>'R.M Billets Reports'!H1318</f>
      </c>
      <c r="L1319">
        <f>IF('R.M Billets Reports'!I1318="","",'R.M Billets Reports'!I1318)</f>
      </c>
      <c r="M1319">
        <f t="shared" si="40"/>
      </c>
      <c r="N1319">
        <f>IF('R.M Billets Reports'!J1318="","",'R.M Billets Reports'!J1318)</f>
      </c>
      <c r="O1319">
        <f t="shared" si="41"/>
      </c>
      <c r="P1319">
        <f>IF('R.M Billets Reports'!A1318="SIZE",'R.M Billets Reports'!B1318,P1318)</f>
      </c>
    </row>
    <row r="1320" spans="1:16" x14ac:dyDescent="0.25">
      <c r="A1320">
        <f>IF(OR('R.M Billets Reports'!A1319="Date-",'R.M Billets Reports'!A1319="Date:-"),IF(IF(IF(ISNUMBER(SEARCH("Party Name:-",'R.M Billets Reports'!D1319)),TRIM('R.M Billets Reports'!F1319),IF(ISNUMBER(SEARCH("Party Name-",'R.M Billets Reports'!D1319)),TRIM(MID('R.M Billets Reports'!D1319,SEARCH("-",'R.M Billets Reports'!D1319)+1,200)),""))&lt;&gt;"",IF(ISNUMBER(SEARCH("Party Name:-",'R.M Billets Reports'!D1319)),TRIM('R.M Billets Reports'!F1319),IF(ISNUMBER(SEARCH("Party Name-",'R.M Billets Reports'!D1319)),TRIM(MID('R.M Billets Reports'!D1319,SEARCH("-",'R.M Billets Reports'!D1319)+1,200)),"")),IF(ISNUMBER(SEARCH("Party Name:-",'R.M Billets Reports'!D1320)),TRIM('R.M Billets Reports'!F1320),IF(ISNUMBER(SEARCH("Party Name-",'R.M Billets Reports'!D1320)),TRIM(MID('R.M Billets Reports'!D1320,SEARCH("-",'R.M Billets Reports'!D1320)+1,200)),"")))="VRKP ISPAT PVT LTD","VRKP",IF(IF(IF(ISNUMBER(SEARCH("Party Name:-",'R.M Billets Reports'!D1319)),TRIM('R.M Billets Reports'!F1319),IF(ISNUMBER(SEARCH("Party Name-",'R.M Billets Reports'!D1319)),TRIM(MID('R.M Billets Reports'!D1319,SEARCH("-",'R.M Billets Reports'!D1319)+1,200)),""))&lt;&gt;"",IF(ISNUMBER(SEARCH("Party Name:-",'R.M Billets Reports'!D1319)),TRIM('R.M Billets Reports'!F1319),IF(ISNUMBER(SEARCH("Party Name-",'R.M Billets Reports'!D1319)),TRIM(MID('R.M Billets Reports'!D1319,SEARCH("-",'R.M Billets Reports'!D1319)+1,200)),"")),IF(ISNUMBER(SEARCH("Party Name:-",'R.M Billets Reports'!D1320)),TRIM('R.M Billets Reports'!F1320),IF(ISNUMBER(SEARCH("Party Name-",'R.M Billets Reports'!D1320)),TRIM(MID('R.M Billets Reports'!D1320,SEARCH("-",'R.M Billets Reports'!D1320)+1,200)),"")))="SHRI RADHE","SHREE RADHE",IF(IF(IF(ISNUMBER(SEARCH("Party Name:-",'R.M Billets Reports'!D1319)),TRIM('R.M Billets Reports'!F1319),IF(ISNUMBER(SEARCH("Party Name-",'R.M Billets Reports'!D1319)),TRIM(MID('R.M Billets Reports'!D1319,SEARCH("-",'R.M Billets Reports'!D1319)+1,200)),""))&lt;&gt;"",IF(ISNUMBER(SEARCH("Party Name:-",'R.M Billets Reports'!D1319)),TRIM('R.M Billets Reports'!F1319),IF(ISNUMBER(SEARCH("Party Name-",'R.M Billets Reports'!D1319)),TRIM(MID('R.M Billets Reports'!D1319,SEARCH("-",'R.M Billets Reports'!D1319)+1,200)),"")),IF(ISNUMBER(SEARCH("Party Name:-",'R.M Billets Reports'!D1320)),TRIM('R.M Billets Reports'!F1320),IF(ISNUMBER(SEARCH("Party Name-",'R.M Billets Reports'!D1320)),TRIM(MID('R.M Billets Reports'!D1320,SEARCH("-",'R.M Billets Reports'!D1320)+1,200)),"")))="SHREE RADHE SHAKTI SPONGE AND POWER PVT. LTD.","SHREE RADHE",IF(IF(ISNUMBER(SEARCH("Party Name:-",'R.M Billets Reports'!D1319)),TRIM('R.M Billets Reports'!F1319),IF(ISNUMBER(SEARCH("Party Name-",'R.M Billets Reports'!D1319)),TRIM(MID('R.M Billets Reports'!D1319,SEARCH("-",'R.M Billets Reports'!D1319)+1,200)),""))&lt;&gt;"",IF(ISNUMBER(SEARCH("Party Name:-",'R.M Billets Reports'!D1319)),TRIM('R.M Billets Reports'!F1319),IF(ISNUMBER(SEARCH("Party Name-",'R.M Billets Reports'!D1319)),TRIM(MID('R.M Billets Reports'!D1319,SEARCH("-",'R.M Billets Reports'!D1319)+1,200)),"")),IF(ISNUMBER(SEARCH("Party Name:-",'R.M Billets Reports'!D1320)),TRIM('R.M Billets Reports'!F1320),IF(ISNUMBER(SEARCH("Party Name-",'R.M Billets Reports'!D1320)),TRIM(MID('R.M Billets Reports'!D1320,SEARCH("-",'R.M Billets Reports'!D1320)+1,200)),"")))))),IF(ROW()=2,"",A1319))</f>
      </c>
      <c r="B1320">
        <f>IF(OR('R.M Billets Reports'!A1319="Date-",'R.M Billets Reports'!A1319="Date:-"),'R.M Billets Reports'!B1319,IF(ROW()=2,"",B1319))</f>
      </c>
      <c r="C1320">
        <f>IF('R.M Billets Reports'!A1319="V.No.",'R.M Billets Reports'!B1319,IF(ROW()=2,"",C1319))</f>
      </c>
      <c r="D1320">
        <f>IF('R.M Billets Reports'!A1319&lt;&gt;"",'R.M Billets Reports'!A1319,IF(ROW()=2,"",D1319))</f>
      </c>
      <c r="E1320">
        <f>IF('R.M Billets Reports'!B1319="","",TRIM('R.M Billets Reports'!B1319))</f>
      </c>
      <c r="F1320">
        <f>'R.M Billets Reports'!C1319</f>
      </c>
      <c r="G1320">
        <f>'R.M Billets Reports'!D1319</f>
      </c>
      <c r="H1320">
        <f>'R.M Billets Reports'!E1319</f>
      </c>
      <c r="I1320">
        <f>'R.M Billets Reports'!F1319</f>
      </c>
      <c r="J1320">
        <f>'R.M Billets Reports'!G1319</f>
      </c>
      <c r="K1320">
        <f>'R.M Billets Reports'!H1319</f>
      </c>
      <c r="L1320">
        <f>IF('R.M Billets Reports'!I1319="","",'R.M Billets Reports'!I1319)</f>
      </c>
      <c r="M1320">
        <f t="shared" si="40"/>
      </c>
      <c r="N1320">
        <f>IF('R.M Billets Reports'!J1319="","",'R.M Billets Reports'!J1319)</f>
      </c>
      <c r="O1320">
        <f t="shared" si="41"/>
      </c>
      <c r="P1320">
        <f>IF('R.M Billets Reports'!A1319="SIZE",'R.M Billets Reports'!B1319,P1319)</f>
      </c>
    </row>
    <row r="1321" spans="1:16" x14ac:dyDescent="0.25">
      <c r="A1321">
        <f>IF(OR('R.M Billets Reports'!A1320="Date-",'R.M Billets Reports'!A1320="Date:-"),IF(IF(IF(ISNUMBER(SEARCH("Party Name:-",'R.M Billets Reports'!D1320)),TRIM('R.M Billets Reports'!F1320),IF(ISNUMBER(SEARCH("Party Name-",'R.M Billets Reports'!D1320)),TRIM(MID('R.M Billets Reports'!D1320,SEARCH("-",'R.M Billets Reports'!D1320)+1,200)),""))&lt;&gt;"",IF(ISNUMBER(SEARCH("Party Name:-",'R.M Billets Reports'!D1320)),TRIM('R.M Billets Reports'!F1320),IF(ISNUMBER(SEARCH("Party Name-",'R.M Billets Reports'!D1320)),TRIM(MID('R.M Billets Reports'!D1320,SEARCH("-",'R.M Billets Reports'!D1320)+1,200)),"")),IF(ISNUMBER(SEARCH("Party Name:-",'R.M Billets Reports'!D1321)),TRIM('R.M Billets Reports'!F1321),IF(ISNUMBER(SEARCH("Party Name-",'R.M Billets Reports'!D1321)),TRIM(MID('R.M Billets Reports'!D1321,SEARCH("-",'R.M Billets Reports'!D1321)+1,200)),"")))="VRKP ISPAT PVT LTD","VRKP",IF(IF(IF(ISNUMBER(SEARCH("Party Name:-",'R.M Billets Reports'!D1320)),TRIM('R.M Billets Reports'!F1320),IF(ISNUMBER(SEARCH("Party Name-",'R.M Billets Reports'!D1320)),TRIM(MID('R.M Billets Reports'!D1320,SEARCH("-",'R.M Billets Reports'!D1320)+1,200)),""))&lt;&gt;"",IF(ISNUMBER(SEARCH("Party Name:-",'R.M Billets Reports'!D1320)),TRIM('R.M Billets Reports'!F1320),IF(ISNUMBER(SEARCH("Party Name-",'R.M Billets Reports'!D1320)),TRIM(MID('R.M Billets Reports'!D1320,SEARCH("-",'R.M Billets Reports'!D1320)+1,200)),"")),IF(ISNUMBER(SEARCH("Party Name:-",'R.M Billets Reports'!D1321)),TRIM('R.M Billets Reports'!F1321),IF(ISNUMBER(SEARCH("Party Name-",'R.M Billets Reports'!D1321)),TRIM(MID('R.M Billets Reports'!D1321,SEARCH("-",'R.M Billets Reports'!D1321)+1,200)),"")))="SHRI RADHE","SHREE RADHE",IF(IF(IF(ISNUMBER(SEARCH("Party Name:-",'R.M Billets Reports'!D1320)),TRIM('R.M Billets Reports'!F1320),IF(ISNUMBER(SEARCH("Party Name-",'R.M Billets Reports'!D1320)),TRIM(MID('R.M Billets Reports'!D1320,SEARCH("-",'R.M Billets Reports'!D1320)+1,200)),""))&lt;&gt;"",IF(ISNUMBER(SEARCH("Party Name:-",'R.M Billets Reports'!D1320)),TRIM('R.M Billets Reports'!F1320),IF(ISNUMBER(SEARCH("Party Name-",'R.M Billets Reports'!D1320)),TRIM(MID('R.M Billets Reports'!D1320,SEARCH("-",'R.M Billets Reports'!D1320)+1,200)),"")),IF(ISNUMBER(SEARCH("Party Name:-",'R.M Billets Reports'!D1321)),TRIM('R.M Billets Reports'!F1321),IF(ISNUMBER(SEARCH("Party Name-",'R.M Billets Reports'!D1321)),TRIM(MID('R.M Billets Reports'!D1321,SEARCH("-",'R.M Billets Reports'!D1321)+1,200)),"")))="SHREE RADHE SHAKTI SPONGE AND POWER PVT. LTD.","SHREE RADHE",IF(IF(ISNUMBER(SEARCH("Party Name:-",'R.M Billets Reports'!D1320)),TRIM('R.M Billets Reports'!F1320),IF(ISNUMBER(SEARCH("Party Name-",'R.M Billets Reports'!D1320)),TRIM(MID('R.M Billets Reports'!D1320,SEARCH("-",'R.M Billets Reports'!D1320)+1,200)),""))&lt;&gt;"",IF(ISNUMBER(SEARCH("Party Name:-",'R.M Billets Reports'!D1320)),TRIM('R.M Billets Reports'!F1320),IF(ISNUMBER(SEARCH("Party Name-",'R.M Billets Reports'!D1320)),TRIM(MID('R.M Billets Reports'!D1320,SEARCH("-",'R.M Billets Reports'!D1320)+1,200)),"")),IF(ISNUMBER(SEARCH("Party Name:-",'R.M Billets Reports'!D1321)),TRIM('R.M Billets Reports'!F1321),IF(ISNUMBER(SEARCH("Party Name-",'R.M Billets Reports'!D1321)),TRIM(MID('R.M Billets Reports'!D1321,SEARCH("-",'R.M Billets Reports'!D1321)+1,200)),"")))))),IF(ROW()=2,"",A1320))</f>
      </c>
      <c r="B1321">
        <f>IF(OR('R.M Billets Reports'!A1320="Date-",'R.M Billets Reports'!A1320="Date:-"),'R.M Billets Reports'!B1320,IF(ROW()=2,"",B1320))</f>
      </c>
      <c r="C1321">
        <f>IF('R.M Billets Reports'!A1320="V.No.",'R.M Billets Reports'!B1320,IF(ROW()=2,"",C1320))</f>
      </c>
      <c r="D1321">
        <f>IF('R.M Billets Reports'!A1320&lt;&gt;"",'R.M Billets Reports'!A1320,IF(ROW()=2,"",D1320))</f>
      </c>
      <c r="E1321">
        <f>IF('R.M Billets Reports'!B1320="","",TRIM('R.M Billets Reports'!B1320))</f>
      </c>
      <c r="F1321">
        <f>'R.M Billets Reports'!C1320</f>
      </c>
      <c r="G1321">
        <f>'R.M Billets Reports'!D1320</f>
      </c>
      <c r="H1321">
        <f>'R.M Billets Reports'!E1320</f>
      </c>
      <c r="I1321">
        <f>'R.M Billets Reports'!F1320</f>
      </c>
      <c r="J1321">
        <f>'R.M Billets Reports'!G1320</f>
      </c>
      <c r="K1321">
        <f>'R.M Billets Reports'!H1320</f>
      </c>
      <c r="L1321">
        <f>IF('R.M Billets Reports'!I1320="","",'R.M Billets Reports'!I1320)</f>
      </c>
      <c r="M1321">
        <f t="shared" si="40"/>
      </c>
      <c r="N1321">
        <f>IF('R.M Billets Reports'!J1320="","",'R.M Billets Reports'!J1320)</f>
      </c>
      <c r="O1321">
        <f t="shared" si="41"/>
      </c>
      <c r="P1321">
        <f>IF('R.M Billets Reports'!A1320="SIZE",'R.M Billets Reports'!B1320,P1320)</f>
      </c>
    </row>
    <row r="1322" spans="1:16" x14ac:dyDescent="0.25">
      <c r="A1322">
        <f>IF(OR('R.M Billets Reports'!A1321="Date-",'R.M Billets Reports'!A1321="Date:-"),IF(IF(IF(ISNUMBER(SEARCH("Party Name:-",'R.M Billets Reports'!D1321)),TRIM('R.M Billets Reports'!F1321),IF(ISNUMBER(SEARCH("Party Name-",'R.M Billets Reports'!D1321)),TRIM(MID('R.M Billets Reports'!D1321,SEARCH("-",'R.M Billets Reports'!D1321)+1,200)),""))&lt;&gt;"",IF(ISNUMBER(SEARCH("Party Name:-",'R.M Billets Reports'!D1321)),TRIM('R.M Billets Reports'!F1321),IF(ISNUMBER(SEARCH("Party Name-",'R.M Billets Reports'!D1321)),TRIM(MID('R.M Billets Reports'!D1321,SEARCH("-",'R.M Billets Reports'!D1321)+1,200)),"")),IF(ISNUMBER(SEARCH("Party Name:-",'R.M Billets Reports'!D1322)),TRIM('R.M Billets Reports'!F1322),IF(ISNUMBER(SEARCH("Party Name-",'R.M Billets Reports'!D1322)),TRIM(MID('R.M Billets Reports'!D1322,SEARCH("-",'R.M Billets Reports'!D1322)+1,200)),"")))="VRKP ISPAT PVT LTD","VRKP",IF(IF(IF(ISNUMBER(SEARCH("Party Name:-",'R.M Billets Reports'!D1321)),TRIM('R.M Billets Reports'!F1321),IF(ISNUMBER(SEARCH("Party Name-",'R.M Billets Reports'!D1321)),TRIM(MID('R.M Billets Reports'!D1321,SEARCH("-",'R.M Billets Reports'!D1321)+1,200)),""))&lt;&gt;"",IF(ISNUMBER(SEARCH("Party Name:-",'R.M Billets Reports'!D1321)),TRIM('R.M Billets Reports'!F1321),IF(ISNUMBER(SEARCH("Party Name-",'R.M Billets Reports'!D1321)),TRIM(MID('R.M Billets Reports'!D1321,SEARCH("-",'R.M Billets Reports'!D1321)+1,200)),"")),IF(ISNUMBER(SEARCH("Party Name:-",'R.M Billets Reports'!D1322)),TRIM('R.M Billets Reports'!F1322),IF(ISNUMBER(SEARCH("Party Name-",'R.M Billets Reports'!D1322)),TRIM(MID('R.M Billets Reports'!D1322,SEARCH("-",'R.M Billets Reports'!D1322)+1,200)),"")))="SHRI RADHE","SHREE RADHE",IF(IF(IF(ISNUMBER(SEARCH("Party Name:-",'R.M Billets Reports'!D1321)),TRIM('R.M Billets Reports'!F1321),IF(ISNUMBER(SEARCH("Party Name-",'R.M Billets Reports'!D1321)),TRIM(MID('R.M Billets Reports'!D1321,SEARCH("-",'R.M Billets Reports'!D1321)+1,200)),""))&lt;&gt;"",IF(ISNUMBER(SEARCH("Party Name:-",'R.M Billets Reports'!D1321)),TRIM('R.M Billets Reports'!F1321),IF(ISNUMBER(SEARCH("Party Name-",'R.M Billets Reports'!D1321)),TRIM(MID('R.M Billets Reports'!D1321,SEARCH("-",'R.M Billets Reports'!D1321)+1,200)),"")),IF(ISNUMBER(SEARCH("Party Name:-",'R.M Billets Reports'!D1322)),TRIM('R.M Billets Reports'!F1322),IF(ISNUMBER(SEARCH("Party Name-",'R.M Billets Reports'!D1322)),TRIM(MID('R.M Billets Reports'!D1322,SEARCH("-",'R.M Billets Reports'!D1322)+1,200)),"")))="SHREE RADHE SHAKTI SPONGE AND POWER PVT. LTD.","SHREE RADHE",IF(IF(ISNUMBER(SEARCH("Party Name:-",'R.M Billets Reports'!D1321)),TRIM('R.M Billets Reports'!F1321),IF(ISNUMBER(SEARCH("Party Name-",'R.M Billets Reports'!D1321)),TRIM(MID('R.M Billets Reports'!D1321,SEARCH("-",'R.M Billets Reports'!D1321)+1,200)),""))&lt;&gt;"",IF(ISNUMBER(SEARCH("Party Name:-",'R.M Billets Reports'!D1321)),TRIM('R.M Billets Reports'!F1321),IF(ISNUMBER(SEARCH("Party Name-",'R.M Billets Reports'!D1321)),TRIM(MID('R.M Billets Reports'!D1321,SEARCH("-",'R.M Billets Reports'!D1321)+1,200)),"")),IF(ISNUMBER(SEARCH("Party Name:-",'R.M Billets Reports'!D1322)),TRIM('R.M Billets Reports'!F1322),IF(ISNUMBER(SEARCH("Party Name-",'R.M Billets Reports'!D1322)),TRIM(MID('R.M Billets Reports'!D1322,SEARCH("-",'R.M Billets Reports'!D1322)+1,200)),"")))))),IF(ROW()=2,"",A1321))</f>
      </c>
      <c r="B1322">
        <f>IF(OR('R.M Billets Reports'!A1321="Date-",'R.M Billets Reports'!A1321="Date:-"),'R.M Billets Reports'!B1321,IF(ROW()=2,"",B1321))</f>
      </c>
      <c r="C1322">
        <f>IF('R.M Billets Reports'!A1321="V.No.",'R.M Billets Reports'!B1321,IF(ROW()=2,"",C1321))</f>
      </c>
      <c r="D1322">
        <f>IF('R.M Billets Reports'!A1321&lt;&gt;"",'R.M Billets Reports'!A1321,IF(ROW()=2,"",D1321))</f>
      </c>
      <c r="E1322">
        <f>IF('R.M Billets Reports'!B1321="","",TRIM('R.M Billets Reports'!B1321))</f>
      </c>
      <c r="F1322">
        <f>'R.M Billets Reports'!C1321</f>
      </c>
      <c r="G1322">
        <f>'R.M Billets Reports'!D1321</f>
      </c>
      <c r="H1322">
        <f>'R.M Billets Reports'!E1321</f>
      </c>
      <c r="I1322">
        <f>'R.M Billets Reports'!F1321</f>
      </c>
      <c r="J1322">
        <f>'R.M Billets Reports'!G1321</f>
      </c>
      <c r="K1322">
        <f>'R.M Billets Reports'!H1321</f>
      </c>
      <c r="L1322">
        <f>IF('R.M Billets Reports'!I1321="","",'R.M Billets Reports'!I1321)</f>
      </c>
      <c r="M1322">
        <f t="shared" si="40"/>
      </c>
      <c r="N1322">
        <f>IF('R.M Billets Reports'!J1321="","",'R.M Billets Reports'!J1321)</f>
      </c>
      <c r="O1322">
        <f t="shared" si="41"/>
      </c>
      <c r="P1322">
        <f>IF('R.M Billets Reports'!A1321="SIZE",'R.M Billets Reports'!B1321,P1321)</f>
      </c>
    </row>
    <row r="1323" spans="1:16" x14ac:dyDescent="0.25">
      <c r="A1323">
        <f>IF(OR('R.M Billets Reports'!A1322="Date-",'R.M Billets Reports'!A1322="Date:-"),IF(IF(IF(ISNUMBER(SEARCH("Party Name:-",'R.M Billets Reports'!D1322)),TRIM('R.M Billets Reports'!F1322),IF(ISNUMBER(SEARCH("Party Name-",'R.M Billets Reports'!D1322)),TRIM(MID('R.M Billets Reports'!D1322,SEARCH("-",'R.M Billets Reports'!D1322)+1,200)),""))&lt;&gt;"",IF(ISNUMBER(SEARCH("Party Name:-",'R.M Billets Reports'!D1322)),TRIM('R.M Billets Reports'!F1322),IF(ISNUMBER(SEARCH("Party Name-",'R.M Billets Reports'!D1322)),TRIM(MID('R.M Billets Reports'!D1322,SEARCH("-",'R.M Billets Reports'!D1322)+1,200)),"")),IF(ISNUMBER(SEARCH("Party Name:-",'R.M Billets Reports'!D1323)),TRIM('R.M Billets Reports'!F1323),IF(ISNUMBER(SEARCH("Party Name-",'R.M Billets Reports'!D1323)),TRIM(MID('R.M Billets Reports'!D1323,SEARCH("-",'R.M Billets Reports'!D1323)+1,200)),"")))="VRKP ISPAT PVT LTD","VRKP",IF(IF(IF(ISNUMBER(SEARCH("Party Name:-",'R.M Billets Reports'!D1322)),TRIM('R.M Billets Reports'!F1322),IF(ISNUMBER(SEARCH("Party Name-",'R.M Billets Reports'!D1322)),TRIM(MID('R.M Billets Reports'!D1322,SEARCH("-",'R.M Billets Reports'!D1322)+1,200)),""))&lt;&gt;"",IF(ISNUMBER(SEARCH("Party Name:-",'R.M Billets Reports'!D1322)),TRIM('R.M Billets Reports'!F1322),IF(ISNUMBER(SEARCH("Party Name-",'R.M Billets Reports'!D1322)),TRIM(MID('R.M Billets Reports'!D1322,SEARCH("-",'R.M Billets Reports'!D1322)+1,200)),"")),IF(ISNUMBER(SEARCH("Party Name:-",'R.M Billets Reports'!D1323)),TRIM('R.M Billets Reports'!F1323),IF(ISNUMBER(SEARCH("Party Name-",'R.M Billets Reports'!D1323)),TRIM(MID('R.M Billets Reports'!D1323,SEARCH("-",'R.M Billets Reports'!D1323)+1,200)),"")))="SHRI RADHE","SHREE RADHE",IF(IF(IF(ISNUMBER(SEARCH("Party Name:-",'R.M Billets Reports'!D1322)),TRIM('R.M Billets Reports'!F1322),IF(ISNUMBER(SEARCH("Party Name-",'R.M Billets Reports'!D1322)),TRIM(MID('R.M Billets Reports'!D1322,SEARCH("-",'R.M Billets Reports'!D1322)+1,200)),""))&lt;&gt;"",IF(ISNUMBER(SEARCH("Party Name:-",'R.M Billets Reports'!D1322)),TRIM('R.M Billets Reports'!F1322),IF(ISNUMBER(SEARCH("Party Name-",'R.M Billets Reports'!D1322)),TRIM(MID('R.M Billets Reports'!D1322,SEARCH("-",'R.M Billets Reports'!D1322)+1,200)),"")),IF(ISNUMBER(SEARCH("Party Name:-",'R.M Billets Reports'!D1323)),TRIM('R.M Billets Reports'!F1323),IF(ISNUMBER(SEARCH("Party Name-",'R.M Billets Reports'!D1323)),TRIM(MID('R.M Billets Reports'!D1323,SEARCH("-",'R.M Billets Reports'!D1323)+1,200)),"")))="SHREE RADHE SHAKTI SPONGE AND POWER PVT. LTD.","SHREE RADHE",IF(IF(ISNUMBER(SEARCH("Party Name:-",'R.M Billets Reports'!D1322)),TRIM('R.M Billets Reports'!F1322),IF(ISNUMBER(SEARCH("Party Name-",'R.M Billets Reports'!D1322)),TRIM(MID('R.M Billets Reports'!D1322,SEARCH("-",'R.M Billets Reports'!D1322)+1,200)),""))&lt;&gt;"",IF(ISNUMBER(SEARCH("Party Name:-",'R.M Billets Reports'!D1322)),TRIM('R.M Billets Reports'!F1322),IF(ISNUMBER(SEARCH("Party Name-",'R.M Billets Reports'!D1322)),TRIM(MID('R.M Billets Reports'!D1322,SEARCH("-",'R.M Billets Reports'!D1322)+1,200)),"")),IF(ISNUMBER(SEARCH("Party Name:-",'R.M Billets Reports'!D1323)),TRIM('R.M Billets Reports'!F1323),IF(ISNUMBER(SEARCH("Party Name-",'R.M Billets Reports'!D1323)),TRIM(MID('R.M Billets Reports'!D1323,SEARCH("-",'R.M Billets Reports'!D1323)+1,200)),"")))))),IF(ROW()=2,"",A1322))</f>
      </c>
      <c r="B1323">
        <f>IF(OR('R.M Billets Reports'!A1322="Date-",'R.M Billets Reports'!A1322="Date:-"),'R.M Billets Reports'!B1322,IF(ROW()=2,"",B1322))</f>
      </c>
      <c r="C1323">
        <f>IF('R.M Billets Reports'!A1322="V.No.",'R.M Billets Reports'!B1322,IF(ROW()=2,"",C1322))</f>
      </c>
      <c r="D1323">
        <f>IF('R.M Billets Reports'!A1322&lt;&gt;"",'R.M Billets Reports'!A1322,IF(ROW()=2,"",D1322))</f>
      </c>
      <c r="E1323">
        <f>IF('R.M Billets Reports'!B1322="","",TRIM('R.M Billets Reports'!B1322))</f>
      </c>
      <c r="F1323">
        <f>'R.M Billets Reports'!C1322</f>
      </c>
      <c r="G1323">
        <f>'R.M Billets Reports'!D1322</f>
      </c>
      <c r="H1323">
        <f>'R.M Billets Reports'!E1322</f>
      </c>
      <c r="I1323">
        <f>'R.M Billets Reports'!F1322</f>
      </c>
      <c r="J1323">
        <f>'R.M Billets Reports'!G1322</f>
      </c>
      <c r="K1323">
        <f>'R.M Billets Reports'!H1322</f>
      </c>
      <c r="L1323">
        <f>IF('R.M Billets Reports'!I1322="","",'R.M Billets Reports'!I1322)</f>
      </c>
      <c r="M1323">
        <f t="shared" si="40"/>
      </c>
      <c r="N1323">
        <f>IF('R.M Billets Reports'!J1322="","",'R.M Billets Reports'!J1322)</f>
      </c>
      <c r="O1323">
        <f t="shared" si="41"/>
      </c>
      <c r="P1323">
        <f>IF('R.M Billets Reports'!A1322="SIZE",'R.M Billets Reports'!B1322,P1322)</f>
      </c>
    </row>
    <row r="1324" spans="1:16" x14ac:dyDescent="0.25">
      <c r="A1324">
        <f>IF(OR('R.M Billets Reports'!A1323="Date-",'R.M Billets Reports'!A1323="Date:-"),IF(IF(IF(ISNUMBER(SEARCH("Party Name:-",'R.M Billets Reports'!D1323)),TRIM('R.M Billets Reports'!F1323),IF(ISNUMBER(SEARCH("Party Name-",'R.M Billets Reports'!D1323)),TRIM(MID('R.M Billets Reports'!D1323,SEARCH("-",'R.M Billets Reports'!D1323)+1,200)),""))&lt;&gt;"",IF(ISNUMBER(SEARCH("Party Name:-",'R.M Billets Reports'!D1323)),TRIM('R.M Billets Reports'!F1323),IF(ISNUMBER(SEARCH("Party Name-",'R.M Billets Reports'!D1323)),TRIM(MID('R.M Billets Reports'!D1323,SEARCH("-",'R.M Billets Reports'!D1323)+1,200)),"")),IF(ISNUMBER(SEARCH("Party Name:-",'R.M Billets Reports'!D1324)),TRIM('R.M Billets Reports'!F1324),IF(ISNUMBER(SEARCH("Party Name-",'R.M Billets Reports'!D1324)),TRIM(MID('R.M Billets Reports'!D1324,SEARCH("-",'R.M Billets Reports'!D1324)+1,200)),"")))="VRKP ISPAT PVT LTD","VRKP",IF(IF(IF(ISNUMBER(SEARCH("Party Name:-",'R.M Billets Reports'!D1323)),TRIM('R.M Billets Reports'!F1323),IF(ISNUMBER(SEARCH("Party Name-",'R.M Billets Reports'!D1323)),TRIM(MID('R.M Billets Reports'!D1323,SEARCH("-",'R.M Billets Reports'!D1323)+1,200)),""))&lt;&gt;"",IF(ISNUMBER(SEARCH("Party Name:-",'R.M Billets Reports'!D1323)),TRIM('R.M Billets Reports'!F1323),IF(ISNUMBER(SEARCH("Party Name-",'R.M Billets Reports'!D1323)),TRIM(MID('R.M Billets Reports'!D1323,SEARCH("-",'R.M Billets Reports'!D1323)+1,200)),"")),IF(ISNUMBER(SEARCH("Party Name:-",'R.M Billets Reports'!D1324)),TRIM('R.M Billets Reports'!F1324),IF(ISNUMBER(SEARCH("Party Name-",'R.M Billets Reports'!D1324)),TRIM(MID('R.M Billets Reports'!D1324,SEARCH("-",'R.M Billets Reports'!D1324)+1,200)),"")))="SHRI RADHE","SHREE RADHE",IF(IF(IF(ISNUMBER(SEARCH("Party Name:-",'R.M Billets Reports'!D1323)),TRIM('R.M Billets Reports'!F1323),IF(ISNUMBER(SEARCH("Party Name-",'R.M Billets Reports'!D1323)),TRIM(MID('R.M Billets Reports'!D1323,SEARCH("-",'R.M Billets Reports'!D1323)+1,200)),""))&lt;&gt;"",IF(ISNUMBER(SEARCH("Party Name:-",'R.M Billets Reports'!D1323)),TRIM('R.M Billets Reports'!F1323),IF(ISNUMBER(SEARCH("Party Name-",'R.M Billets Reports'!D1323)),TRIM(MID('R.M Billets Reports'!D1323,SEARCH("-",'R.M Billets Reports'!D1323)+1,200)),"")),IF(ISNUMBER(SEARCH("Party Name:-",'R.M Billets Reports'!D1324)),TRIM('R.M Billets Reports'!F1324),IF(ISNUMBER(SEARCH("Party Name-",'R.M Billets Reports'!D1324)),TRIM(MID('R.M Billets Reports'!D1324,SEARCH("-",'R.M Billets Reports'!D1324)+1,200)),"")))="SHREE RADHE SHAKTI SPONGE AND POWER PVT. LTD.","SHREE RADHE",IF(IF(ISNUMBER(SEARCH("Party Name:-",'R.M Billets Reports'!D1323)),TRIM('R.M Billets Reports'!F1323),IF(ISNUMBER(SEARCH("Party Name-",'R.M Billets Reports'!D1323)),TRIM(MID('R.M Billets Reports'!D1323,SEARCH("-",'R.M Billets Reports'!D1323)+1,200)),""))&lt;&gt;"",IF(ISNUMBER(SEARCH("Party Name:-",'R.M Billets Reports'!D1323)),TRIM('R.M Billets Reports'!F1323),IF(ISNUMBER(SEARCH("Party Name-",'R.M Billets Reports'!D1323)),TRIM(MID('R.M Billets Reports'!D1323,SEARCH("-",'R.M Billets Reports'!D1323)+1,200)),"")),IF(ISNUMBER(SEARCH("Party Name:-",'R.M Billets Reports'!D1324)),TRIM('R.M Billets Reports'!F1324),IF(ISNUMBER(SEARCH("Party Name-",'R.M Billets Reports'!D1324)),TRIM(MID('R.M Billets Reports'!D1324,SEARCH("-",'R.M Billets Reports'!D1324)+1,200)),"")))))),IF(ROW()=2,"",A1323))</f>
      </c>
      <c r="B1324">
        <f>IF(OR('R.M Billets Reports'!A1323="Date-",'R.M Billets Reports'!A1323="Date:-"),'R.M Billets Reports'!B1323,IF(ROW()=2,"",B1323))</f>
      </c>
      <c r="C1324">
        <f>IF('R.M Billets Reports'!A1323="V.No.",'R.M Billets Reports'!B1323,IF(ROW()=2,"",C1323))</f>
      </c>
      <c r="D1324">
        <f>IF('R.M Billets Reports'!A1323&lt;&gt;"",'R.M Billets Reports'!A1323,IF(ROW()=2,"",D1323))</f>
      </c>
      <c r="E1324">
        <f>IF('R.M Billets Reports'!B1323="","",TRIM('R.M Billets Reports'!B1323))</f>
      </c>
      <c r="F1324">
        <f>'R.M Billets Reports'!C1323</f>
      </c>
      <c r="G1324">
        <f>'R.M Billets Reports'!D1323</f>
      </c>
      <c r="H1324">
        <f>'R.M Billets Reports'!E1323</f>
      </c>
      <c r="I1324">
        <f>'R.M Billets Reports'!F1323</f>
      </c>
      <c r="J1324">
        <f>'R.M Billets Reports'!G1323</f>
      </c>
      <c r="K1324">
        <f>'R.M Billets Reports'!H1323</f>
      </c>
      <c r="L1324">
        <f>IF('R.M Billets Reports'!I1323="","",'R.M Billets Reports'!I1323)</f>
      </c>
      <c r="M1324">
        <f t="shared" si="40"/>
      </c>
      <c r="N1324">
        <f>IF('R.M Billets Reports'!J1323="","",'R.M Billets Reports'!J1323)</f>
      </c>
      <c r="O1324">
        <f t="shared" si="41"/>
      </c>
      <c r="P1324">
        <f>IF('R.M Billets Reports'!A1323="SIZE",'R.M Billets Reports'!B1323,P1323)</f>
      </c>
    </row>
    <row r="1325" spans="1:16" x14ac:dyDescent="0.25">
      <c r="A1325">
        <f>IF(OR('R.M Billets Reports'!A1324="Date-",'R.M Billets Reports'!A1324="Date:-"),IF(IF(IF(ISNUMBER(SEARCH("Party Name:-",'R.M Billets Reports'!D1324)),TRIM('R.M Billets Reports'!F1324),IF(ISNUMBER(SEARCH("Party Name-",'R.M Billets Reports'!D1324)),TRIM(MID('R.M Billets Reports'!D1324,SEARCH("-",'R.M Billets Reports'!D1324)+1,200)),""))&lt;&gt;"",IF(ISNUMBER(SEARCH("Party Name:-",'R.M Billets Reports'!D1324)),TRIM('R.M Billets Reports'!F1324),IF(ISNUMBER(SEARCH("Party Name-",'R.M Billets Reports'!D1324)),TRIM(MID('R.M Billets Reports'!D1324,SEARCH("-",'R.M Billets Reports'!D1324)+1,200)),"")),IF(ISNUMBER(SEARCH("Party Name:-",'R.M Billets Reports'!D1325)),TRIM('R.M Billets Reports'!F1325),IF(ISNUMBER(SEARCH("Party Name-",'R.M Billets Reports'!D1325)),TRIM(MID('R.M Billets Reports'!D1325,SEARCH("-",'R.M Billets Reports'!D1325)+1,200)),"")))="VRKP ISPAT PVT LTD","VRKP",IF(IF(IF(ISNUMBER(SEARCH("Party Name:-",'R.M Billets Reports'!D1324)),TRIM('R.M Billets Reports'!F1324),IF(ISNUMBER(SEARCH("Party Name-",'R.M Billets Reports'!D1324)),TRIM(MID('R.M Billets Reports'!D1324,SEARCH("-",'R.M Billets Reports'!D1324)+1,200)),""))&lt;&gt;"",IF(ISNUMBER(SEARCH("Party Name:-",'R.M Billets Reports'!D1324)),TRIM('R.M Billets Reports'!F1324),IF(ISNUMBER(SEARCH("Party Name-",'R.M Billets Reports'!D1324)),TRIM(MID('R.M Billets Reports'!D1324,SEARCH("-",'R.M Billets Reports'!D1324)+1,200)),"")),IF(ISNUMBER(SEARCH("Party Name:-",'R.M Billets Reports'!D1325)),TRIM('R.M Billets Reports'!F1325),IF(ISNUMBER(SEARCH("Party Name-",'R.M Billets Reports'!D1325)),TRIM(MID('R.M Billets Reports'!D1325,SEARCH("-",'R.M Billets Reports'!D1325)+1,200)),"")))="SHRI RADHE","SHREE RADHE",IF(IF(IF(ISNUMBER(SEARCH("Party Name:-",'R.M Billets Reports'!D1324)),TRIM('R.M Billets Reports'!F1324),IF(ISNUMBER(SEARCH("Party Name-",'R.M Billets Reports'!D1324)),TRIM(MID('R.M Billets Reports'!D1324,SEARCH("-",'R.M Billets Reports'!D1324)+1,200)),""))&lt;&gt;"",IF(ISNUMBER(SEARCH("Party Name:-",'R.M Billets Reports'!D1324)),TRIM('R.M Billets Reports'!F1324),IF(ISNUMBER(SEARCH("Party Name-",'R.M Billets Reports'!D1324)),TRIM(MID('R.M Billets Reports'!D1324,SEARCH("-",'R.M Billets Reports'!D1324)+1,200)),"")),IF(ISNUMBER(SEARCH("Party Name:-",'R.M Billets Reports'!D1325)),TRIM('R.M Billets Reports'!F1325),IF(ISNUMBER(SEARCH("Party Name-",'R.M Billets Reports'!D1325)),TRIM(MID('R.M Billets Reports'!D1325,SEARCH("-",'R.M Billets Reports'!D1325)+1,200)),"")))="SHREE RADHE SHAKTI SPONGE AND POWER PVT. LTD.","SHREE RADHE",IF(IF(ISNUMBER(SEARCH("Party Name:-",'R.M Billets Reports'!D1324)),TRIM('R.M Billets Reports'!F1324),IF(ISNUMBER(SEARCH("Party Name-",'R.M Billets Reports'!D1324)),TRIM(MID('R.M Billets Reports'!D1324,SEARCH("-",'R.M Billets Reports'!D1324)+1,200)),""))&lt;&gt;"",IF(ISNUMBER(SEARCH("Party Name:-",'R.M Billets Reports'!D1324)),TRIM('R.M Billets Reports'!F1324),IF(ISNUMBER(SEARCH("Party Name-",'R.M Billets Reports'!D1324)),TRIM(MID('R.M Billets Reports'!D1324,SEARCH("-",'R.M Billets Reports'!D1324)+1,200)),"")),IF(ISNUMBER(SEARCH("Party Name:-",'R.M Billets Reports'!D1325)),TRIM('R.M Billets Reports'!F1325),IF(ISNUMBER(SEARCH("Party Name-",'R.M Billets Reports'!D1325)),TRIM(MID('R.M Billets Reports'!D1325,SEARCH("-",'R.M Billets Reports'!D1325)+1,200)),"")))))),IF(ROW()=2,"",A1324))</f>
      </c>
      <c r="B1325">
        <f>IF(OR('R.M Billets Reports'!A1324="Date-",'R.M Billets Reports'!A1324="Date:-"),'R.M Billets Reports'!B1324,IF(ROW()=2,"",B1324))</f>
      </c>
      <c r="C1325">
        <f>IF('R.M Billets Reports'!A1324="V.No.",'R.M Billets Reports'!B1324,IF(ROW()=2,"",C1324))</f>
      </c>
      <c r="D1325">
        <f>IF('R.M Billets Reports'!A1324&lt;&gt;"",'R.M Billets Reports'!A1324,IF(ROW()=2,"",D1324))</f>
      </c>
      <c r="E1325">
        <f>IF('R.M Billets Reports'!B1324="","",TRIM('R.M Billets Reports'!B1324))</f>
      </c>
      <c r="F1325">
        <f>'R.M Billets Reports'!C1324</f>
      </c>
      <c r="G1325">
        <f>'R.M Billets Reports'!D1324</f>
      </c>
      <c r="H1325">
        <f>'R.M Billets Reports'!E1324</f>
      </c>
      <c r="I1325">
        <f>'R.M Billets Reports'!F1324</f>
      </c>
      <c r="J1325">
        <f>'R.M Billets Reports'!G1324</f>
      </c>
      <c r="K1325">
        <f>'R.M Billets Reports'!H1324</f>
      </c>
      <c r="L1325">
        <f>IF('R.M Billets Reports'!I1324="","",'R.M Billets Reports'!I1324)</f>
      </c>
      <c r="M1325">
        <f t="shared" si="40"/>
      </c>
      <c r="N1325">
        <f>IF('R.M Billets Reports'!J1324="","",'R.M Billets Reports'!J1324)</f>
      </c>
      <c r="O1325">
        <f t="shared" si="41"/>
      </c>
      <c r="P1325">
        <f>IF('R.M Billets Reports'!A1324="SIZE",'R.M Billets Reports'!B1324,P1324)</f>
      </c>
    </row>
    <row r="1326" spans="1:16" x14ac:dyDescent="0.25">
      <c r="A1326">
        <f>IF(OR('R.M Billets Reports'!A1325="Date-",'R.M Billets Reports'!A1325="Date:-"),IF(IF(IF(ISNUMBER(SEARCH("Party Name:-",'R.M Billets Reports'!D1325)),TRIM('R.M Billets Reports'!F1325),IF(ISNUMBER(SEARCH("Party Name-",'R.M Billets Reports'!D1325)),TRIM(MID('R.M Billets Reports'!D1325,SEARCH("-",'R.M Billets Reports'!D1325)+1,200)),""))&lt;&gt;"",IF(ISNUMBER(SEARCH("Party Name:-",'R.M Billets Reports'!D1325)),TRIM('R.M Billets Reports'!F1325),IF(ISNUMBER(SEARCH("Party Name-",'R.M Billets Reports'!D1325)),TRIM(MID('R.M Billets Reports'!D1325,SEARCH("-",'R.M Billets Reports'!D1325)+1,200)),"")),IF(ISNUMBER(SEARCH("Party Name:-",'R.M Billets Reports'!D1326)),TRIM('R.M Billets Reports'!F1326),IF(ISNUMBER(SEARCH("Party Name-",'R.M Billets Reports'!D1326)),TRIM(MID('R.M Billets Reports'!D1326,SEARCH("-",'R.M Billets Reports'!D1326)+1,200)),"")))="VRKP ISPAT PVT LTD","VRKP",IF(IF(IF(ISNUMBER(SEARCH("Party Name:-",'R.M Billets Reports'!D1325)),TRIM('R.M Billets Reports'!F1325),IF(ISNUMBER(SEARCH("Party Name-",'R.M Billets Reports'!D1325)),TRIM(MID('R.M Billets Reports'!D1325,SEARCH("-",'R.M Billets Reports'!D1325)+1,200)),""))&lt;&gt;"",IF(ISNUMBER(SEARCH("Party Name:-",'R.M Billets Reports'!D1325)),TRIM('R.M Billets Reports'!F1325),IF(ISNUMBER(SEARCH("Party Name-",'R.M Billets Reports'!D1325)),TRIM(MID('R.M Billets Reports'!D1325,SEARCH("-",'R.M Billets Reports'!D1325)+1,200)),"")),IF(ISNUMBER(SEARCH("Party Name:-",'R.M Billets Reports'!D1326)),TRIM('R.M Billets Reports'!F1326),IF(ISNUMBER(SEARCH("Party Name-",'R.M Billets Reports'!D1326)),TRIM(MID('R.M Billets Reports'!D1326,SEARCH("-",'R.M Billets Reports'!D1326)+1,200)),"")))="SHRI RADHE","SHREE RADHE",IF(IF(IF(ISNUMBER(SEARCH("Party Name:-",'R.M Billets Reports'!D1325)),TRIM('R.M Billets Reports'!F1325),IF(ISNUMBER(SEARCH("Party Name-",'R.M Billets Reports'!D1325)),TRIM(MID('R.M Billets Reports'!D1325,SEARCH("-",'R.M Billets Reports'!D1325)+1,200)),""))&lt;&gt;"",IF(ISNUMBER(SEARCH("Party Name:-",'R.M Billets Reports'!D1325)),TRIM('R.M Billets Reports'!F1325),IF(ISNUMBER(SEARCH("Party Name-",'R.M Billets Reports'!D1325)),TRIM(MID('R.M Billets Reports'!D1325,SEARCH("-",'R.M Billets Reports'!D1325)+1,200)),"")),IF(ISNUMBER(SEARCH("Party Name:-",'R.M Billets Reports'!D1326)),TRIM('R.M Billets Reports'!F1326),IF(ISNUMBER(SEARCH("Party Name-",'R.M Billets Reports'!D1326)),TRIM(MID('R.M Billets Reports'!D1326,SEARCH("-",'R.M Billets Reports'!D1326)+1,200)),"")))="SHREE RADHE SHAKTI SPONGE AND POWER PVT. LTD.","SHREE RADHE",IF(IF(ISNUMBER(SEARCH("Party Name:-",'R.M Billets Reports'!D1325)),TRIM('R.M Billets Reports'!F1325),IF(ISNUMBER(SEARCH("Party Name-",'R.M Billets Reports'!D1325)),TRIM(MID('R.M Billets Reports'!D1325,SEARCH("-",'R.M Billets Reports'!D1325)+1,200)),""))&lt;&gt;"",IF(ISNUMBER(SEARCH("Party Name:-",'R.M Billets Reports'!D1325)),TRIM('R.M Billets Reports'!F1325),IF(ISNUMBER(SEARCH("Party Name-",'R.M Billets Reports'!D1325)),TRIM(MID('R.M Billets Reports'!D1325,SEARCH("-",'R.M Billets Reports'!D1325)+1,200)),"")),IF(ISNUMBER(SEARCH("Party Name:-",'R.M Billets Reports'!D1326)),TRIM('R.M Billets Reports'!F1326),IF(ISNUMBER(SEARCH("Party Name-",'R.M Billets Reports'!D1326)),TRIM(MID('R.M Billets Reports'!D1326,SEARCH("-",'R.M Billets Reports'!D1326)+1,200)),"")))))),IF(ROW()=2,"",A1325))</f>
      </c>
      <c r="B1326">
        <f>IF(OR('R.M Billets Reports'!A1325="Date-",'R.M Billets Reports'!A1325="Date:-"),'R.M Billets Reports'!B1325,IF(ROW()=2,"",B1325))</f>
      </c>
      <c r="C1326">
        <f>IF('R.M Billets Reports'!A1325="V.No.",'R.M Billets Reports'!B1325,IF(ROW()=2,"",C1325))</f>
      </c>
      <c r="D1326">
        <f>IF('R.M Billets Reports'!A1325&lt;&gt;"",'R.M Billets Reports'!A1325,IF(ROW()=2,"",D1325))</f>
      </c>
      <c r="E1326">
        <f>IF('R.M Billets Reports'!B1325="","",TRIM('R.M Billets Reports'!B1325))</f>
      </c>
      <c r="F1326">
        <f>'R.M Billets Reports'!C1325</f>
      </c>
      <c r="G1326">
        <f>'R.M Billets Reports'!D1325</f>
      </c>
      <c r="H1326">
        <f>'R.M Billets Reports'!E1325</f>
      </c>
      <c r="I1326">
        <f>'R.M Billets Reports'!F1325</f>
      </c>
      <c r="J1326">
        <f>'R.M Billets Reports'!G1325</f>
      </c>
      <c r="K1326">
        <f>'R.M Billets Reports'!H1325</f>
      </c>
      <c r="L1326">
        <f>IF('R.M Billets Reports'!I1325="","",'R.M Billets Reports'!I1325)</f>
      </c>
      <c r="M1326">
        <f t="shared" si="40"/>
      </c>
      <c r="N1326">
        <f>IF('R.M Billets Reports'!J1325="","",'R.M Billets Reports'!J1325)</f>
      </c>
      <c r="O1326">
        <f t="shared" si="41"/>
      </c>
      <c r="P1326">
        <f>IF('R.M Billets Reports'!A1325="SIZE",'R.M Billets Reports'!B1325,P1325)</f>
      </c>
    </row>
    <row r="1327" spans="1:16" x14ac:dyDescent="0.25">
      <c r="A1327">
        <f>IF(OR('R.M Billets Reports'!A1326="Date-",'R.M Billets Reports'!A1326="Date:-"),IF(IF(IF(ISNUMBER(SEARCH("Party Name:-",'R.M Billets Reports'!D1326)),TRIM('R.M Billets Reports'!F1326),IF(ISNUMBER(SEARCH("Party Name-",'R.M Billets Reports'!D1326)),TRIM(MID('R.M Billets Reports'!D1326,SEARCH("-",'R.M Billets Reports'!D1326)+1,200)),""))&lt;&gt;"",IF(ISNUMBER(SEARCH("Party Name:-",'R.M Billets Reports'!D1326)),TRIM('R.M Billets Reports'!F1326),IF(ISNUMBER(SEARCH("Party Name-",'R.M Billets Reports'!D1326)),TRIM(MID('R.M Billets Reports'!D1326,SEARCH("-",'R.M Billets Reports'!D1326)+1,200)),"")),IF(ISNUMBER(SEARCH("Party Name:-",'R.M Billets Reports'!D1327)),TRIM('R.M Billets Reports'!F1327),IF(ISNUMBER(SEARCH("Party Name-",'R.M Billets Reports'!D1327)),TRIM(MID('R.M Billets Reports'!D1327,SEARCH("-",'R.M Billets Reports'!D1327)+1,200)),"")))="VRKP ISPAT PVT LTD","VRKP",IF(IF(IF(ISNUMBER(SEARCH("Party Name:-",'R.M Billets Reports'!D1326)),TRIM('R.M Billets Reports'!F1326),IF(ISNUMBER(SEARCH("Party Name-",'R.M Billets Reports'!D1326)),TRIM(MID('R.M Billets Reports'!D1326,SEARCH("-",'R.M Billets Reports'!D1326)+1,200)),""))&lt;&gt;"",IF(ISNUMBER(SEARCH("Party Name:-",'R.M Billets Reports'!D1326)),TRIM('R.M Billets Reports'!F1326),IF(ISNUMBER(SEARCH("Party Name-",'R.M Billets Reports'!D1326)),TRIM(MID('R.M Billets Reports'!D1326,SEARCH("-",'R.M Billets Reports'!D1326)+1,200)),"")),IF(ISNUMBER(SEARCH("Party Name:-",'R.M Billets Reports'!D1327)),TRIM('R.M Billets Reports'!F1327),IF(ISNUMBER(SEARCH("Party Name-",'R.M Billets Reports'!D1327)),TRIM(MID('R.M Billets Reports'!D1327,SEARCH("-",'R.M Billets Reports'!D1327)+1,200)),"")))="SHRI RADHE","SHREE RADHE",IF(IF(IF(ISNUMBER(SEARCH("Party Name:-",'R.M Billets Reports'!D1326)),TRIM('R.M Billets Reports'!F1326),IF(ISNUMBER(SEARCH("Party Name-",'R.M Billets Reports'!D1326)),TRIM(MID('R.M Billets Reports'!D1326,SEARCH("-",'R.M Billets Reports'!D1326)+1,200)),""))&lt;&gt;"",IF(ISNUMBER(SEARCH("Party Name:-",'R.M Billets Reports'!D1326)),TRIM('R.M Billets Reports'!F1326),IF(ISNUMBER(SEARCH("Party Name-",'R.M Billets Reports'!D1326)),TRIM(MID('R.M Billets Reports'!D1326,SEARCH("-",'R.M Billets Reports'!D1326)+1,200)),"")),IF(ISNUMBER(SEARCH("Party Name:-",'R.M Billets Reports'!D1327)),TRIM('R.M Billets Reports'!F1327),IF(ISNUMBER(SEARCH("Party Name-",'R.M Billets Reports'!D1327)),TRIM(MID('R.M Billets Reports'!D1327,SEARCH("-",'R.M Billets Reports'!D1327)+1,200)),"")))="SHREE RADHE SHAKTI SPONGE AND POWER PVT. LTD.","SHREE RADHE",IF(IF(ISNUMBER(SEARCH("Party Name:-",'R.M Billets Reports'!D1326)),TRIM('R.M Billets Reports'!F1326),IF(ISNUMBER(SEARCH("Party Name-",'R.M Billets Reports'!D1326)),TRIM(MID('R.M Billets Reports'!D1326,SEARCH("-",'R.M Billets Reports'!D1326)+1,200)),""))&lt;&gt;"",IF(ISNUMBER(SEARCH("Party Name:-",'R.M Billets Reports'!D1326)),TRIM('R.M Billets Reports'!F1326),IF(ISNUMBER(SEARCH("Party Name-",'R.M Billets Reports'!D1326)),TRIM(MID('R.M Billets Reports'!D1326,SEARCH("-",'R.M Billets Reports'!D1326)+1,200)),"")),IF(ISNUMBER(SEARCH("Party Name:-",'R.M Billets Reports'!D1327)),TRIM('R.M Billets Reports'!F1327),IF(ISNUMBER(SEARCH("Party Name-",'R.M Billets Reports'!D1327)),TRIM(MID('R.M Billets Reports'!D1327,SEARCH("-",'R.M Billets Reports'!D1327)+1,200)),"")))))),IF(ROW()=2,"",A1326))</f>
      </c>
      <c r="B1327">
        <f>IF(OR('R.M Billets Reports'!A1326="Date-",'R.M Billets Reports'!A1326="Date:-"),'R.M Billets Reports'!B1326,IF(ROW()=2,"",B1326))</f>
      </c>
      <c r="C1327">
        <f>IF('R.M Billets Reports'!A1326="V.No.",'R.M Billets Reports'!B1326,IF(ROW()=2,"",C1326))</f>
      </c>
      <c r="D1327">
        <f>IF('R.M Billets Reports'!A1326&lt;&gt;"",'R.M Billets Reports'!A1326,IF(ROW()=2,"",D1326))</f>
      </c>
      <c r="E1327">
        <f>IF('R.M Billets Reports'!B1326="","",TRIM('R.M Billets Reports'!B1326))</f>
      </c>
      <c r="F1327">
        <f>'R.M Billets Reports'!C1326</f>
      </c>
      <c r="G1327">
        <f>'R.M Billets Reports'!D1326</f>
      </c>
      <c r="H1327">
        <f>'R.M Billets Reports'!E1326</f>
      </c>
      <c r="I1327">
        <f>'R.M Billets Reports'!F1326</f>
      </c>
      <c r="J1327">
        <f>'R.M Billets Reports'!G1326</f>
      </c>
      <c r="K1327">
        <f>'R.M Billets Reports'!H1326</f>
      </c>
      <c r="L1327">
        <f>IF('R.M Billets Reports'!I1326="","",'R.M Billets Reports'!I1326)</f>
      </c>
      <c r="M1327">
        <f t="shared" si="40"/>
      </c>
      <c r="N1327">
        <f>IF('R.M Billets Reports'!J1326="","",'R.M Billets Reports'!J1326)</f>
      </c>
      <c r="O1327">
        <f t="shared" si="41"/>
      </c>
      <c r="P1327">
        <f>IF('R.M Billets Reports'!A1326="SIZE",'R.M Billets Reports'!B1326,P1326)</f>
      </c>
    </row>
    <row r="1328" spans="1:16" x14ac:dyDescent="0.25">
      <c r="A1328">
        <f>IF(OR('R.M Billets Reports'!A1327="Date-",'R.M Billets Reports'!A1327="Date:-"),IF(IF(IF(ISNUMBER(SEARCH("Party Name:-",'R.M Billets Reports'!D1327)),TRIM('R.M Billets Reports'!F1327),IF(ISNUMBER(SEARCH("Party Name-",'R.M Billets Reports'!D1327)),TRIM(MID('R.M Billets Reports'!D1327,SEARCH("-",'R.M Billets Reports'!D1327)+1,200)),""))&lt;&gt;"",IF(ISNUMBER(SEARCH("Party Name:-",'R.M Billets Reports'!D1327)),TRIM('R.M Billets Reports'!F1327),IF(ISNUMBER(SEARCH("Party Name-",'R.M Billets Reports'!D1327)),TRIM(MID('R.M Billets Reports'!D1327,SEARCH("-",'R.M Billets Reports'!D1327)+1,200)),"")),IF(ISNUMBER(SEARCH("Party Name:-",'R.M Billets Reports'!D1328)),TRIM('R.M Billets Reports'!F1328),IF(ISNUMBER(SEARCH("Party Name-",'R.M Billets Reports'!D1328)),TRIM(MID('R.M Billets Reports'!D1328,SEARCH("-",'R.M Billets Reports'!D1328)+1,200)),"")))="VRKP ISPAT PVT LTD","VRKP",IF(IF(IF(ISNUMBER(SEARCH("Party Name:-",'R.M Billets Reports'!D1327)),TRIM('R.M Billets Reports'!F1327),IF(ISNUMBER(SEARCH("Party Name-",'R.M Billets Reports'!D1327)),TRIM(MID('R.M Billets Reports'!D1327,SEARCH("-",'R.M Billets Reports'!D1327)+1,200)),""))&lt;&gt;"",IF(ISNUMBER(SEARCH("Party Name:-",'R.M Billets Reports'!D1327)),TRIM('R.M Billets Reports'!F1327),IF(ISNUMBER(SEARCH("Party Name-",'R.M Billets Reports'!D1327)),TRIM(MID('R.M Billets Reports'!D1327,SEARCH("-",'R.M Billets Reports'!D1327)+1,200)),"")),IF(ISNUMBER(SEARCH("Party Name:-",'R.M Billets Reports'!D1328)),TRIM('R.M Billets Reports'!F1328),IF(ISNUMBER(SEARCH("Party Name-",'R.M Billets Reports'!D1328)),TRIM(MID('R.M Billets Reports'!D1328,SEARCH("-",'R.M Billets Reports'!D1328)+1,200)),"")))="SHRI RADHE","SHREE RADHE",IF(IF(IF(ISNUMBER(SEARCH("Party Name:-",'R.M Billets Reports'!D1327)),TRIM('R.M Billets Reports'!F1327),IF(ISNUMBER(SEARCH("Party Name-",'R.M Billets Reports'!D1327)),TRIM(MID('R.M Billets Reports'!D1327,SEARCH("-",'R.M Billets Reports'!D1327)+1,200)),""))&lt;&gt;"",IF(ISNUMBER(SEARCH("Party Name:-",'R.M Billets Reports'!D1327)),TRIM('R.M Billets Reports'!F1327),IF(ISNUMBER(SEARCH("Party Name-",'R.M Billets Reports'!D1327)),TRIM(MID('R.M Billets Reports'!D1327,SEARCH("-",'R.M Billets Reports'!D1327)+1,200)),"")),IF(ISNUMBER(SEARCH("Party Name:-",'R.M Billets Reports'!D1328)),TRIM('R.M Billets Reports'!F1328),IF(ISNUMBER(SEARCH("Party Name-",'R.M Billets Reports'!D1328)),TRIM(MID('R.M Billets Reports'!D1328,SEARCH("-",'R.M Billets Reports'!D1328)+1,200)),"")))="SHREE RADHE SHAKTI SPONGE AND POWER PVT. LTD.","SHREE RADHE",IF(IF(ISNUMBER(SEARCH("Party Name:-",'R.M Billets Reports'!D1327)),TRIM('R.M Billets Reports'!F1327),IF(ISNUMBER(SEARCH("Party Name-",'R.M Billets Reports'!D1327)),TRIM(MID('R.M Billets Reports'!D1327,SEARCH("-",'R.M Billets Reports'!D1327)+1,200)),""))&lt;&gt;"",IF(ISNUMBER(SEARCH("Party Name:-",'R.M Billets Reports'!D1327)),TRIM('R.M Billets Reports'!F1327),IF(ISNUMBER(SEARCH("Party Name-",'R.M Billets Reports'!D1327)),TRIM(MID('R.M Billets Reports'!D1327,SEARCH("-",'R.M Billets Reports'!D1327)+1,200)),"")),IF(ISNUMBER(SEARCH("Party Name:-",'R.M Billets Reports'!D1328)),TRIM('R.M Billets Reports'!F1328),IF(ISNUMBER(SEARCH("Party Name-",'R.M Billets Reports'!D1328)),TRIM(MID('R.M Billets Reports'!D1328,SEARCH("-",'R.M Billets Reports'!D1328)+1,200)),"")))))),IF(ROW()=2,"",A1327))</f>
      </c>
      <c r="B1328">
        <f>IF(OR('R.M Billets Reports'!A1327="Date-",'R.M Billets Reports'!A1327="Date:-"),'R.M Billets Reports'!B1327,IF(ROW()=2,"",B1327))</f>
      </c>
      <c r="C1328">
        <f>IF('R.M Billets Reports'!A1327="V.No.",'R.M Billets Reports'!B1327,IF(ROW()=2,"",C1327))</f>
      </c>
      <c r="D1328">
        <f>IF('R.M Billets Reports'!A1327&lt;&gt;"",'R.M Billets Reports'!A1327,IF(ROW()=2,"",D1327))</f>
      </c>
      <c r="E1328">
        <f>IF('R.M Billets Reports'!B1327="","",TRIM('R.M Billets Reports'!B1327))</f>
      </c>
      <c r="F1328">
        <f>'R.M Billets Reports'!C1327</f>
      </c>
      <c r="G1328">
        <f>'R.M Billets Reports'!D1327</f>
      </c>
      <c r="H1328">
        <f>'R.M Billets Reports'!E1327</f>
      </c>
      <c r="I1328">
        <f>'R.M Billets Reports'!F1327</f>
      </c>
      <c r="J1328">
        <f>'R.M Billets Reports'!G1327</f>
      </c>
      <c r="K1328">
        <f>'R.M Billets Reports'!H1327</f>
      </c>
      <c r="L1328">
        <f>IF('R.M Billets Reports'!I1327="","",'R.M Billets Reports'!I1327)</f>
      </c>
      <c r="M1328">
        <f t="shared" si="40"/>
      </c>
      <c r="N1328">
        <f>IF('R.M Billets Reports'!J1327="","",'R.M Billets Reports'!J1327)</f>
      </c>
      <c r="O1328">
        <f t="shared" si="41"/>
      </c>
      <c r="P1328">
        <f>IF('R.M Billets Reports'!A1327="SIZE",'R.M Billets Reports'!B1327,P1327)</f>
      </c>
    </row>
    <row r="1329" spans="1:16" x14ac:dyDescent="0.25">
      <c r="A1329">
        <f>IF(OR('R.M Billets Reports'!A1328="Date-",'R.M Billets Reports'!A1328="Date:-"),IF(IF(IF(ISNUMBER(SEARCH("Party Name:-",'R.M Billets Reports'!D1328)),TRIM('R.M Billets Reports'!F1328),IF(ISNUMBER(SEARCH("Party Name-",'R.M Billets Reports'!D1328)),TRIM(MID('R.M Billets Reports'!D1328,SEARCH("-",'R.M Billets Reports'!D1328)+1,200)),""))&lt;&gt;"",IF(ISNUMBER(SEARCH("Party Name:-",'R.M Billets Reports'!D1328)),TRIM('R.M Billets Reports'!F1328),IF(ISNUMBER(SEARCH("Party Name-",'R.M Billets Reports'!D1328)),TRIM(MID('R.M Billets Reports'!D1328,SEARCH("-",'R.M Billets Reports'!D1328)+1,200)),"")),IF(ISNUMBER(SEARCH("Party Name:-",'R.M Billets Reports'!D1329)),TRIM('R.M Billets Reports'!F1329),IF(ISNUMBER(SEARCH("Party Name-",'R.M Billets Reports'!D1329)),TRIM(MID('R.M Billets Reports'!D1329,SEARCH("-",'R.M Billets Reports'!D1329)+1,200)),"")))="VRKP ISPAT PVT LTD","VRKP",IF(IF(IF(ISNUMBER(SEARCH("Party Name:-",'R.M Billets Reports'!D1328)),TRIM('R.M Billets Reports'!F1328),IF(ISNUMBER(SEARCH("Party Name-",'R.M Billets Reports'!D1328)),TRIM(MID('R.M Billets Reports'!D1328,SEARCH("-",'R.M Billets Reports'!D1328)+1,200)),""))&lt;&gt;"",IF(ISNUMBER(SEARCH("Party Name:-",'R.M Billets Reports'!D1328)),TRIM('R.M Billets Reports'!F1328),IF(ISNUMBER(SEARCH("Party Name-",'R.M Billets Reports'!D1328)),TRIM(MID('R.M Billets Reports'!D1328,SEARCH("-",'R.M Billets Reports'!D1328)+1,200)),"")),IF(ISNUMBER(SEARCH("Party Name:-",'R.M Billets Reports'!D1329)),TRIM('R.M Billets Reports'!F1329),IF(ISNUMBER(SEARCH("Party Name-",'R.M Billets Reports'!D1329)),TRIM(MID('R.M Billets Reports'!D1329,SEARCH("-",'R.M Billets Reports'!D1329)+1,200)),"")))="SHRI RADHE","SHREE RADHE",IF(IF(IF(ISNUMBER(SEARCH("Party Name:-",'R.M Billets Reports'!D1328)),TRIM('R.M Billets Reports'!F1328),IF(ISNUMBER(SEARCH("Party Name-",'R.M Billets Reports'!D1328)),TRIM(MID('R.M Billets Reports'!D1328,SEARCH("-",'R.M Billets Reports'!D1328)+1,200)),""))&lt;&gt;"",IF(ISNUMBER(SEARCH("Party Name:-",'R.M Billets Reports'!D1328)),TRIM('R.M Billets Reports'!F1328),IF(ISNUMBER(SEARCH("Party Name-",'R.M Billets Reports'!D1328)),TRIM(MID('R.M Billets Reports'!D1328,SEARCH("-",'R.M Billets Reports'!D1328)+1,200)),"")),IF(ISNUMBER(SEARCH("Party Name:-",'R.M Billets Reports'!D1329)),TRIM('R.M Billets Reports'!F1329),IF(ISNUMBER(SEARCH("Party Name-",'R.M Billets Reports'!D1329)),TRIM(MID('R.M Billets Reports'!D1329,SEARCH("-",'R.M Billets Reports'!D1329)+1,200)),"")))="SHREE RADHE SHAKTI SPONGE AND POWER PVT. LTD.","SHREE RADHE",IF(IF(ISNUMBER(SEARCH("Party Name:-",'R.M Billets Reports'!D1328)),TRIM('R.M Billets Reports'!F1328),IF(ISNUMBER(SEARCH("Party Name-",'R.M Billets Reports'!D1328)),TRIM(MID('R.M Billets Reports'!D1328,SEARCH("-",'R.M Billets Reports'!D1328)+1,200)),""))&lt;&gt;"",IF(ISNUMBER(SEARCH("Party Name:-",'R.M Billets Reports'!D1328)),TRIM('R.M Billets Reports'!F1328),IF(ISNUMBER(SEARCH("Party Name-",'R.M Billets Reports'!D1328)),TRIM(MID('R.M Billets Reports'!D1328,SEARCH("-",'R.M Billets Reports'!D1328)+1,200)),"")),IF(ISNUMBER(SEARCH("Party Name:-",'R.M Billets Reports'!D1329)),TRIM('R.M Billets Reports'!F1329),IF(ISNUMBER(SEARCH("Party Name-",'R.M Billets Reports'!D1329)),TRIM(MID('R.M Billets Reports'!D1329,SEARCH("-",'R.M Billets Reports'!D1329)+1,200)),"")))))),IF(ROW()=2,"",A1328))</f>
      </c>
      <c r="B1329">
        <f>IF(OR('R.M Billets Reports'!A1328="Date-",'R.M Billets Reports'!A1328="Date:-"),'R.M Billets Reports'!B1328,IF(ROW()=2,"",B1328))</f>
      </c>
      <c r="C1329">
        <f>IF('R.M Billets Reports'!A1328="V.No.",'R.M Billets Reports'!B1328,IF(ROW()=2,"",C1328))</f>
      </c>
      <c r="D1329">
        <f>IF('R.M Billets Reports'!A1328&lt;&gt;"",'R.M Billets Reports'!A1328,IF(ROW()=2,"",D1328))</f>
      </c>
      <c r="E1329">
        <f>IF('R.M Billets Reports'!B1328="","",TRIM('R.M Billets Reports'!B1328))</f>
      </c>
      <c r="F1329">
        <f>'R.M Billets Reports'!C1328</f>
      </c>
      <c r="G1329">
        <f>'R.M Billets Reports'!D1328</f>
      </c>
      <c r="H1329">
        <f>'R.M Billets Reports'!E1328</f>
      </c>
      <c r="I1329">
        <f>'R.M Billets Reports'!F1328</f>
      </c>
      <c r="J1329">
        <f>'R.M Billets Reports'!G1328</f>
      </c>
      <c r="K1329">
        <f>'R.M Billets Reports'!H1328</f>
      </c>
      <c r="L1329">
        <f>IF('R.M Billets Reports'!I1328="","",'R.M Billets Reports'!I1328)</f>
      </c>
      <c r="M1329">
        <f t="shared" si="40"/>
      </c>
      <c r="N1329">
        <f>IF('R.M Billets Reports'!J1328="","",'R.M Billets Reports'!J1328)</f>
      </c>
      <c r="O1329">
        <f t="shared" si="41"/>
      </c>
      <c r="P1329">
        <f>IF('R.M Billets Reports'!A1328="SIZE",'R.M Billets Reports'!B1328,P1328)</f>
      </c>
    </row>
    <row r="1330" spans="1:16" x14ac:dyDescent="0.25">
      <c r="A1330">
        <f>IF(OR('R.M Billets Reports'!A1329="Date-",'R.M Billets Reports'!A1329="Date:-"),IF(IF(IF(ISNUMBER(SEARCH("Party Name:-",'R.M Billets Reports'!D1329)),TRIM('R.M Billets Reports'!F1329),IF(ISNUMBER(SEARCH("Party Name-",'R.M Billets Reports'!D1329)),TRIM(MID('R.M Billets Reports'!D1329,SEARCH("-",'R.M Billets Reports'!D1329)+1,200)),""))&lt;&gt;"",IF(ISNUMBER(SEARCH("Party Name:-",'R.M Billets Reports'!D1329)),TRIM('R.M Billets Reports'!F1329),IF(ISNUMBER(SEARCH("Party Name-",'R.M Billets Reports'!D1329)),TRIM(MID('R.M Billets Reports'!D1329,SEARCH("-",'R.M Billets Reports'!D1329)+1,200)),"")),IF(ISNUMBER(SEARCH("Party Name:-",'R.M Billets Reports'!D1330)),TRIM('R.M Billets Reports'!F1330),IF(ISNUMBER(SEARCH("Party Name-",'R.M Billets Reports'!D1330)),TRIM(MID('R.M Billets Reports'!D1330,SEARCH("-",'R.M Billets Reports'!D1330)+1,200)),"")))="VRKP ISPAT PVT LTD","VRKP",IF(IF(IF(ISNUMBER(SEARCH("Party Name:-",'R.M Billets Reports'!D1329)),TRIM('R.M Billets Reports'!F1329),IF(ISNUMBER(SEARCH("Party Name-",'R.M Billets Reports'!D1329)),TRIM(MID('R.M Billets Reports'!D1329,SEARCH("-",'R.M Billets Reports'!D1329)+1,200)),""))&lt;&gt;"",IF(ISNUMBER(SEARCH("Party Name:-",'R.M Billets Reports'!D1329)),TRIM('R.M Billets Reports'!F1329),IF(ISNUMBER(SEARCH("Party Name-",'R.M Billets Reports'!D1329)),TRIM(MID('R.M Billets Reports'!D1329,SEARCH("-",'R.M Billets Reports'!D1329)+1,200)),"")),IF(ISNUMBER(SEARCH("Party Name:-",'R.M Billets Reports'!D1330)),TRIM('R.M Billets Reports'!F1330),IF(ISNUMBER(SEARCH("Party Name-",'R.M Billets Reports'!D1330)),TRIM(MID('R.M Billets Reports'!D1330,SEARCH("-",'R.M Billets Reports'!D1330)+1,200)),"")))="SHRI RADHE","SHREE RADHE",IF(IF(IF(ISNUMBER(SEARCH("Party Name:-",'R.M Billets Reports'!D1329)),TRIM('R.M Billets Reports'!F1329),IF(ISNUMBER(SEARCH("Party Name-",'R.M Billets Reports'!D1329)),TRIM(MID('R.M Billets Reports'!D1329,SEARCH("-",'R.M Billets Reports'!D1329)+1,200)),""))&lt;&gt;"",IF(ISNUMBER(SEARCH("Party Name:-",'R.M Billets Reports'!D1329)),TRIM('R.M Billets Reports'!F1329),IF(ISNUMBER(SEARCH("Party Name-",'R.M Billets Reports'!D1329)),TRIM(MID('R.M Billets Reports'!D1329,SEARCH("-",'R.M Billets Reports'!D1329)+1,200)),"")),IF(ISNUMBER(SEARCH("Party Name:-",'R.M Billets Reports'!D1330)),TRIM('R.M Billets Reports'!F1330),IF(ISNUMBER(SEARCH("Party Name-",'R.M Billets Reports'!D1330)),TRIM(MID('R.M Billets Reports'!D1330,SEARCH("-",'R.M Billets Reports'!D1330)+1,200)),"")))="SHREE RADHE SHAKTI SPONGE AND POWER PVT. LTD.","SHREE RADHE",IF(IF(ISNUMBER(SEARCH("Party Name:-",'R.M Billets Reports'!D1329)),TRIM('R.M Billets Reports'!F1329),IF(ISNUMBER(SEARCH("Party Name-",'R.M Billets Reports'!D1329)),TRIM(MID('R.M Billets Reports'!D1329,SEARCH("-",'R.M Billets Reports'!D1329)+1,200)),""))&lt;&gt;"",IF(ISNUMBER(SEARCH("Party Name:-",'R.M Billets Reports'!D1329)),TRIM('R.M Billets Reports'!F1329),IF(ISNUMBER(SEARCH("Party Name-",'R.M Billets Reports'!D1329)),TRIM(MID('R.M Billets Reports'!D1329,SEARCH("-",'R.M Billets Reports'!D1329)+1,200)),"")),IF(ISNUMBER(SEARCH("Party Name:-",'R.M Billets Reports'!D1330)),TRIM('R.M Billets Reports'!F1330),IF(ISNUMBER(SEARCH("Party Name-",'R.M Billets Reports'!D1330)),TRIM(MID('R.M Billets Reports'!D1330,SEARCH("-",'R.M Billets Reports'!D1330)+1,200)),"")))))),IF(ROW()=2,"",A1329))</f>
      </c>
      <c r="B1330">
        <f>IF(OR('R.M Billets Reports'!A1329="Date-",'R.M Billets Reports'!A1329="Date:-"),'R.M Billets Reports'!B1329,IF(ROW()=2,"",B1329))</f>
      </c>
      <c r="C1330">
        <f>IF('R.M Billets Reports'!A1329="V.No.",'R.M Billets Reports'!B1329,IF(ROW()=2,"",C1329))</f>
      </c>
      <c r="D1330">
        <f>IF('R.M Billets Reports'!A1329&lt;&gt;"",'R.M Billets Reports'!A1329,IF(ROW()=2,"",D1329))</f>
      </c>
      <c r="E1330">
        <f>IF('R.M Billets Reports'!B1329="","",TRIM('R.M Billets Reports'!B1329))</f>
      </c>
      <c r="F1330">
        <f>'R.M Billets Reports'!C1329</f>
      </c>
      <c r="G1330">
        <f>'R.M Billets Reports'!D1329</f>
      </c>
      <c r="H1330">
        <f>'R.M Billets Reports'!E1329</f>
      </c>
      <c r="I1330">
        <f>'R.M Billets Reports'!F1329</f>
      </c>
      <c r="J1330">
        <f>'R.M Billets Reports'!G1329</f>
      </c>
      <c r="K1330">
        <f>'R.M Billets Reports'!H1329</f>
      </c>
      <c r="L1330">
        <f>IF('R.M Billets Reports'!I1329="","",'R.M Billets Reports'!I1329)</f>
      </c>
      <c r="M1330">
        <f t="shared" si="40"/>
      </c>
      <c r="N1330">
        <f>IF('R.M Billets Reports'!J1329="","",'R.M Billets Reports'!J1329)</f>
      </c>
      <c r="O1330">
        <f t="shared" si="41"/>
      </c>
      <c r="P1330">
        <f>IF('R.M Billets Reports'!A1329="SIZE",'R.M Billets Reports'!B1329,P1329)</f>
      </c>
    </row>
    <row r="1331" spans="1:16" x14ac:dyDescent="0.25">
      <c r="A1331">
        <f>IF(OR('R.M Billets Reports'!A1330="Date-",'R.M Billets Reports'!A1330="Date:-"),IF(IF(IF(ISNUMBER(SEARCH("Party Name:-",'R.M Billets Reports'!D1330)),TRIM('R.M Billets Reports'!F1330),IF(ISNUMBER(SEARCH("Party Name-",'R.M Billets Reports'!D1330)),TRIM(MID('R.M Billets Reports'!D1330,SEARCH("-",'R.M Billets Reports'!D1330)+1,200)),""))&lt;&gt;"",IF(ISNUMBER(SEARCH("Party Name:-",'R.M Billets Reports'!D1330)),TRIM('R.M Billets Reports'!F1330),IF(ISNUMBER(SEARCH("Party Name-",'R.M Billets Reports'!D1330)),TRIM(MID('R.M Billets Reports'!D1330,SEARCH("-",'R.M Billets Reports'!D1330)+1,200)),"")),IF(ISNUMBER(SEARCH("Party Name:-",'R.M Billets Reports'!D1331)),TRIM('R.M Billets Reports'!F1331),IF(ISNUMBER(SEARCH("Party Name-",'R.M Billets Reports'!D1331)),TRIM(MID('R.M Billets Reports'!D1331,SEARCH("-",'R.M Billets Reports'!D1331)+1,200)),"")))="VRKP ISPAT PVT LTD","VRKP",IF(IF(IF(ISNUMBER(SEARCH("Party Name:-",'R.M Billets Reports'!D1330)),TRIM('R.M Billets Reports'!F1330),IF(ISNUMBER(SEARCH("Party Name-",'R.M Billets Reports'!D1330)),TRIM(MID('R.M Billets Reports'!D1330,SEARCH("-",'R.M Billets Reports'!D1330)+1,200)),""))&lt;&gt;"",IF(ISNUMBER(SEARCH("Party Name:-",'R.M Billets Reports'!D1330)),TRIM('R.M Billets Reports'!F1330),IF(ISNUMBER(SEARCH("Party Name-",'R.M Billets Reports'!D1330)),TRIM(MID('R.M Billets Reports'!D1330,SEARCH("-",'R.M Billets Reports'!D1330)+1,200)),"")),IF(ISNUMBER(SEARCH("Party Name:-",'R.M Billets Reports'!D1331)),TRIM('R.M Billets Reports'!F1331),IF(ISNUMBER(SEARCH("Party Name-",'R.M Billets Reports'!D1331)),TRIM(MID('R.M Billets Reports'!D1331,SEARCH("-",'R.M Billets Reports'!D1331)+1,200)),"")))="SHRI RADHE","SHREE RADHE",IF(IF(IF(ISNUMBER(SEARCH("Party Name:-",'R.M Billets Reports'!D1330)),TRIM('R.M Billets Reports'!F1330),IF(ISNUMBER(SEARCH("Party Name-",'R.M Billets Reports'!D1330)),TRIM(MID('R.M Billets Reports'!D1330,SEARCH("-",'R.M Billets Reports'!D1330)+1,200)),""))&lt;&gt;"",IF(ISNUMBER(SEARCH("Party Name:-",'R.M Billets Reports'!D1330)),TRIM('R.M Billets Reports'!F1330),IF(ISNUMBER(SEARCH("Party Name-",'R.M Billets Reports'!D1330)),TRIM(MID('R.M Billets Reports'!D1330,SEARCH("-",'R.M Billets Reports'!D1330)+1,200)),"")),IF(ISNUMBER(SEARCH("Party Name:-",'R.M Billets Reports'!D1331)),TRIM('R.M Billets Reports'!F1331),IF(ISNUMBER(SEARCH("Party Name-",'R.M Billets Reports'!D1331)),TRIM(MID('R.M Billets Reports'!D1331,SEARCH("-",'R.M Billets Reports'!D1331)+1,200)),"")))="SHREE RADHE SHAKTI SPONGE AND POWER PVT. LTD.","SHREE RADHE",IF(IF(ISNUMBER(SEARCH("Party Name:-",'R.M Billets Reports'!D1330)),TRIM('R.M Billets Reports'!F1330),IF(ISNUMBER(SEARCH("Party Name-",'R.M Billets Reports'!D1330)),TRIM(MID('R.M Billets Reports'!D1330,SEARCH("-",'R.M Billets Reports'!D1330)+1,200)),""))&lt;&gt;"",IF(ISNUMBER(SEARCH("Party Name:-",'R.M Billets Reports'!D1330)),TRIM('R.M Billets Reports'!F1330),IF(ISNUMBER(SEARCH("Party Name-",'R.M Billets Reports'!D1330)),TRIM(MID('R.M Billets Reports'!D1330,SEARCH("-",'R.M Billets Reports'!D1330)+1,200)),"")),IF(ISNUMBER(SEARCH("Party Name:-",'R.M Billets Reports'!D1331)),TRIM('R.M Billets Reports'!F1331),IF(ISNUMBER(SEARCH("Party Name-",'R.M Billets Reports'!D1331)),TRIM(MID('R.M Billets Reports'!D1331,SEARCH("-",'R.M Billets Reports'!D1331)+1,200)),"")))))),IF(ROW()=2,"",A1330))</f>
      </c>
      <c r="B1331">
        <f>IF(OR('R.M Billets Reports'!A1330="Date-",'R.M Billets Reports'!A1330="Date:-"),'R.M Billets Reports'!B1330,IF(ROW()=2,"",B1330))</f>
      </c>
      <c r="C1331">
        <f>IF('R.M Billets Reports'!A1330="V.No.",'R.M Billets Reports'!B1330,IF(ROW()=2,"",C1330))</f>
      </c>
      <c r="D1331">
        <f>IF('R.M Billets Reports'!A1330&lt;&gt;"",'R.M Billets Reports'!A1330,IF(ROW()=2,"",D1330))</f>
      </c>
      <c r="E1331">
        <f>IF('R.M Billets Reports'!B1330="","",TRIM('R.M Billets Reports'!B1330))</f>
      </c>
      <c r="F1331">
        <f>'R.M Billets Reports'!C1330</f>
      </c>
      <c r="G1331">
        <f>'R.M Billets Reports'!D1330</f>
      </c>
      <c r="H1331">
        <f>'R.M Billets Reports'!E1330</f>
      </c>
      <c r="I1331">
        <f>'R.M Billets Reports'!F1330</f>
      </c>
      <c r="J1331">
        <f>'R.M Billets Reports'!G1330</f>
      </c>
      <c r="K1331">
        <f>'R.M Billets Reports'!H1330</f>
      </c>
      <c r="L1331">
        <f>IF('R.M Billets Reports'!I1330="","",'R.M Billets Reports'!I1330)</f>
      </c>
      <c r="M1331">
        <f t="shared" si="40"/>
      </c>
      <c r="N1331">
        <f>IF('R.M Billets Reports'!J1330="","",'R.M Billets Reports'!J1330)</f>
      </c>
      <c r="O1331">
        <f t="shared" si="41"/>
      </c>
      <c r="P1331">
        <f>IF('R.M Billets Reports'!A1330="SIZE",'R.M Billets Reports'!B1330,P1330)</f>
      </c>
    </row>
    <row r="1332" spans="1:16" x14ac:dyDescent="0.25">
      <c r="A1332">
        <f>IF(OR('R.M Billets Reports'!A1331="Date-",'R.M Billets Reports'!A1331="Date:-"),IF(IF(IF(ISNUMBER(SEARCH("Party Name:-",'R.M Billets Reports'!D1331)),TRIM('R.M Billets Reports'!F1331),IF(ISNUMBER(SEARCH("Party Name-",'R.M Billets Reports'!D1331)),TRIM(MID('R.M Billets Reports'!D1331,SEARCH("-",'R.M Billets Reports'!D1331)+1,200)),""))&lt;&gt;"",IF(ISNUMBER(SEARCH("Party Name:-",'R.M Billets Reports'!D1331)),TRIM('R.M Billets Reports'!F1331),IF(ISNUMBER(SEARCH("Party Name-",'R.M Billets Reports'!D1331)),TRIM(MID('R.M Billets Reports'!D1331,SEARCH("-",'R.M Billets Reports'!D1331)+1,200)),"")),IF(ISNUMBER(SEARCH("Party Name:-",'R.M Billets Reports'!D1332)),TRIM('R.M Billets Reports'!F1332),IF(ISNUMBER(SEARCH("Party Name-",'R.M Billets Reports'!D1332)),TRIM(MID('R.M Billets Reports'!D1332,SEARCH("-",'R.M Billets Reports'!D1332)+1,200)),"")))="VRKP ISPAT PVT LTD","VRKP",IF(IF(IF(ISNUMBER(SEARCH("Party Name:-",'R.M Billets Reports'!D1331)),TRIM('R.M Billets Reports'!F1331),IF(ISNUMBER(SEARCH("Party Name-",'R.M Billets Reports'!D1331)),TRIM(MID('R.M Billets Reports'!D1331,SEARCH("-",'R.M Billets Reports'!D1331)+1,200)),""))&lt;&gt;"",IF(ISNUMBER(SEARCH("Party Name:-",'R.M Billets Reports'!D1331)),TRIM('R.M Billets Reports'!F1331),IF(ISNUMBER(SEARCH("Party Name-",'R.M Billets Reports'!D1331)),TRIM(MID('R.M Billets Reports'!D1331,SEARCH("-",'R.M Billets Reports'!D1331)+1,200)),"")),IF(ISNUMBER(SEARCH("Party Name:-",'R.M Billets Reports'!D1332)),TRIM('R.M Billets Reports'!F1332),IF(ISNUMBER(SEARCH("Party Name-",'R.M Billets Reports'!D1332)),TRIM(MID('R.M Billets Reports'!D1332,SEARCH("-",'R.M Billets Reports'!D1332)+1,200)),"")))="SHRI RADHE","SHREE RADHE",IF(IF(IF(ISNUMBER(SEARCH("Party Name:-",'R.M Billets Reports'!D1331)),TRIM('R.M Billets Reports'!F1331),IF(ISNUMBER(SEARCH("Party Name-",'R.M Billets Reports'!D1331)),TRIM(MID('R.M Billets Reports'!D1331,SEARCH("-",'R.M Billets Reports'!D1331)+1,200)),""))&lt;&gt;"",IF(ISNUMBER(SEARCH("Party Name:-",'R.M Billets Reports'!D1331)),TRIM('R.M Billets Reports'!F1331),IF(ISNUMBER(SEARCH("Party Name-",'R.M Billets Reports'!D1331)),TRIM(MID('R.M Billets Reports'!D1331,SEARCH("-",'R.M Billets Reports'!D1331)+1,200)),"")),IF(ISNUMBER(SEARCH("Party Name:-",'R.M Billets Reports'!D1332)),TRIM('R.M Billets Reports'!F1332),IF(ISNUMBER(SEARCH("Party Name-",'R.M Billets Reports'!D1332)),TRIM(MID('R.M Billets Reports'!D1332,SEARCH("-",'R.M Billets Reports'!D1332)+1,200)),"")))="SHREE RADHE SHAKTI SPONGE AND POWER PVT. LTD.","SHREE RADHE",IF(IF(ISNUMBER(SEARCH("Party Name:-",'R.M Billets Reports'!D1331)),TRIM('R.M Billets Reports'!F1331),IF(ISNUMBER(SEARCH("Party Name-",'R.M Billets Reports'!D1331)),TRIM(MID('R.M Billets Reports'!D1331,SEARCH("-",'R.M Billets Reports'!D1331)+1,200)),""))&lt;&gt;"",IF(ISNUMBER(SEARCH("Party Name:-",'R.M Billets Reports'!D1331)),TRIM('R.M Billets Reports'!F1331),IF(ISNUMBER(SEARCH("Party Name-",'R.M Billets Reports'!D1331)),TRIM(MID('R.M Billets Reports'!D1331,SEARCH("-",'R.M Billets Reports'!D1331)+1,200)),"")),IF(ISNUMBER(SEARCH("Party Name:-",'R.M Billets Reports'!D1332)),TRIM('R.M Billets Reports'!F1332),IF(ISNUMBER(SEARCH("Party Name-",'R.M Billets Reports'!D1332)),TRIM(MID('R.M Billets Reports'!D1332,SEARCH("-",'R.M Billets Reports'!D1332)+1,200)),"")))))),IF(ROW()=2,"",A1331))</f>
      </c>
      <c r="B1332">
        <f>IF(OR('R.M Billets Reports'!A1331="Date-",'R.M Billets Reports'!A1331="Date:-"),'R.M Billets Reports'!B1331,IF(ROW()=2,"",B1331))</f>
      </c>
      <c r="C1332">
        <f>IF('R.M Billets Reports'!A1331="V.No.",'R.M Billets Reports'!B1331,IF(ROW()=2,"",C1331))</f>
      </c>
      <c r="D1332">
        <f>IF('R.M Billets Reports'!A1331&lt;&gt;"",'R.M Billets Reports'!A1331,IF(ROW()=2,"",D1331))</f>
      </c>
      <c r="E1332">
        <f>IF('R.M Billets Reports'!B1331="","",TRIM('R.M Billets Reports'!B1331))</f>
      </c>
      <c r="F1332">
        <f>'R.M Billets Reports'!C1331</f>
      </c>
      <c r="G1332">
        <f>'R.M Billets Reports'!D1331</f>
      </c>
      <c r="H1332">
        <f>'R.M Billets Reports'!E1331</f>
      </c>
      <c r="I1332">
        <f>'R.M Billets Reports'!F1331</f>
      </c>
      <c r="J1332">
        <f>'R.M Billets Reports'!G1331</f>
      </c>
      <c r="K1332">
        <f>'R.M Billets Reports'!H1331</f>
      </c>
      <c r="L1332">
        <f>IF('R.M Billets Reports'!I1331="","",'R.M Billets Reports'!I1331)</f>
      </c>
      <c r="M1332">
        <f t="shared" si="40"/>
      </c>
      <c r="N1332">
        <f>IF('R.M Billets Reports'!J1331="","",'R.M Billets Reports'!J1331)</f>
      </c>
      <c r="O1332">
        <f t="shared" si="41"/>
      </c>
      <c r="P1332">
        <f>IF('R.M Billets Reports'!A1331="SIZE",'R.M Billets Reports'!B1331,P1331)</f>
      </c>
    </row>
    <row r="1333" spans="1:16" x14ac:dyDescent="0.25">
      <c r="A1333">
        <f>IF(OR('R.M Billets Reports'!A1332="Date-",'R.M Billets Reports'!A1332="Date:-"),IF(IF(IF(ISNUMBER(SEARCH("Party Name:-",'R.M Billets Reports'!D1332)),TRIM('R.M Billets Reports'!F1332),IF(ISNUMBER(SEARCH("Party Name-",'R.M Billets Reports'!D1332)),TRIM(MID('R.M Billets Reports'!D1332,SEARCH("-",'R.M Billets Reports'!D1332)+1,200)),""))&lt;&gt;"",IF(ISNUMBER(SEARCH("Party Name:-",'R.M Billets Reports'!D1332)),TRIM('R.M Billets Reports'!F1332),IF(ISNUMBER(SEARCH("Party Name-",'R.M Billets Reports'!D1332)),TRIM(MID('R.M Billets Reports'!D1332,SEARCH("-",'R.M Billets Reports'!D1332)+1,200)),"")),IF(ISNUMBER(SEARCH("Party Name:-",'R.M Billets Reports'!D1333)),TRIM('R.M Billets Reports'!F1333),IF(ISNUMBER(SEARCH("Party Name-",'R.M Billets Reports'!D1333)),TRIM(MID('R.M Billets Reports'!D1333,SEARCH("-",'R.M Billets Reports'!D1333)+1,200)),"")))="VRKP ISPAT PVT LTD","VRKP",IF(IF(IF(ISNUMBER(SEARCH("Party Name:-",'R.M Billets Reports'!D1332)),TRIM('R.M Billets Reports'!F1332),IF(ISNUMBER(SEARCH("Party Name-",'R.M Billets Reports'!D1332)),TRIM(MID('R.M Billets Reports'!D1332,SEARCH("-",'R.M Billets Reports'!D1332)+1,200)),""))&lt;&gt;"",IF(ISNUMBER(SEARCH("Party Name:-",'R.M Billets Reports'!D1332)),TRIM('R.M Billets Reports'!F1332),IF(ISNUMBER(SEARCH("Party Name-",'R.M Billets Reports'!D1332)),TRIM(MID('R.M Billets Reports'!D1332,SEARCH("-",'R.M Billets Reports'!D1332)+1,200)),"")),IF(ISNUMBER(SEARCH("Party Name:-",'R.M Billets Reports'!D1333)),TRIM('R.M Billets Reports'!F1333),IF(ISNUMBER(SEARCH("Party Name-",'R.M Billets Reports'!D1333)),TRIM(MID('R.M Billets Reports'!D1333,SEARCH("-",'R.M Billets Reports'!D1333)+1,200)),"")))="SHRI RADHE","SHREE RADHE",IF(IF(IF(ISNUMBER(SEARCH("Party Name:-",'R.M Billets Reports'!D1332)),TRIM('R.M Billets Reports'!F1332),IF(ISNUMBER(SEARCH("Party Name-",'R.M Billets Reports'!D1332)),TRIM(MID('R.M Billets Reports'!D1332,SEARCH("-",'R.M Billets Reports'!D1332)+1,200)),""))&lt;&gt;"",IF(ISNUMBER(SEARCH("Party Name:-",'R.M Billets Reports'!D1332)),TRIM('R.M Billets Reports'!F1332),IF(ISNUMBER(SEARCH("Party Name-",'R.M Billets Reports'!D1332)),TRIM(MID('R.M Billets Reports'!D1332,SEARCH("-",'R.M Billets Reports'!D1332)+1,200)),"")),IF(ISNUMBER(SEARCH("Party Name:-",'R.M Billets Reports'!D1333)),TRIM('R.M Billets Reports'!F1333),IF(ISNUMBER(SEARCH("Party Name-",'R.M Billets Reports'!D1333)),TRIM(MID('R.M Billets Reports'!D1333,SEARCH("-",'R.M Billets Reports'!D1333)+1,200)),"")))="SHREE RADHE SHAKTI SPONGE AND POWER PVT. LTD.","SHREE RADHE",IF(IF(ISNUMBER(SEARCH("Party Name:-",'R.M Billets Reports'!D1332)),TRIM('R.M Billets Reports'!F1332),IF(ISNUMBER(SEARCH("Party Name-",'R.M Billets Reports'!D1332)),TRIM(MID('R.M Billets Reports'!D1332,SEARCH("-",'R.M Billets Reports'!D1332)+1,200)),""))&lt;&gt;"",IF(ISNUMBER(SEARCH("Party Name:-",'R.M Billets Reports'!D1332)),TRIM('R.M Billets Reports'!F1332),IF(ISNUMBER(SEARCH("Party Name-",'R.M Billets Reports'!D1332)),TRIM(MID('R.M Billets Reports'!D1332,SEARCH("-",'R.M Billets Reports'!D1332)+1,200)),"")),IF(ISNUMBER(SEARCH("Party Name:-",'R.M Billets Reports'!D1333)),TRIM('R.M Billets Reports'!F1333),IF(ISNUMBER(SEARCH("Party Name-",'R.M Billets Reports'!D1333)),TRIM(MID('R.M Billets Reports'!D1333,SEARCH("-",'R.M Billets Reports'!D1333)+1,200)),"")))))),IF(ROW()=2,"",A1332))</f>
      </c>
      <c r="B1333">
        <f>IF(OR('R.M Billets Reports'!A1332="Date-",'R.M Billets Reports'!A1332="Date:-"),'R.M Billets Reports'!B1332,IF(ROW()=2,"",B1332))</f>
      </c>
      <c r="C1333">
        <f>IF('R.M Billets Reports'!A1332="V.No.",'R.M Billets Reports'!B1332,IF(ROW()=2,"",C1332))</f>
      </c>
      <c r="D1333">
        <f>IF('R.M Billets Reports'!A1332&lt;&gt;"",'R.M Billets Reports'!A1332,IF(ROW()=2,"",D1332))</f>
      </c>
      <c r="E1333">
        <f>IF('R.M Billets Reports'!B1332="","",TRIM('R.M Billets Reports'!B1332))</f>
      </c>
      <c r="F1333">
        <f>'R.M Billets Reports'!C1332</f>
      </c>
      <c r="G1333">
        <f>'R.M Billets Reports'!D1332</f>
      </c>
      <c r="H1333">
        <f>'R.M Billets Reports'!E1332</f>
      </c>
      <c r="I1333">
        <f>'R.M Billets Reports'!F1332</f>
      </c>
      <c r="J1333">
        <f>'R.M Billets Reports'!G1332</f>
      </c>
      <c r="K1333">
        <f>'R.M Billets Reports'!H1332</f>
      </c>
      <c r="L1333">
        <f>IF('R.M Billets Reports'!I1332="","",'R.M Billets Reports'!I1332)</f>
      </c>
      <c r="M1333">
        <f t="shared" si="40"/>
      </c>
      <c r="N1333">
        <f>IF('R.M Billets Reports'!J1332="","",'R.M Billets Reports'!J1332)</f>
      </c>
      <c r="O1333">
        <f t="shared" si="41"/>
      </c>
      <c r="P1333">
        <f>IF('R.M Billets Reports'!A1332="SIZE",'R.M Billets Reports'!B1332,P1332)</f>
      </c>
    </row>
    <row r="1334" spans="1:16" x14ac:dyDescent="0.25">
      <c r="A1334">
        <f>IF(OR('R.M Billets Reports'!A1333="Date-",'R.M Billets Reports'!A1333="Date:-"),IF(IF(IF(ISNUMBER(SEARCH("Party Name:-",'R.M Billets Reports'!D1333)),TRIM('R.M Billets Reports'!F1333),IF(ISNUMBER(SEARCH("Party Name-",'R.M Billets Reports'!D1333)),TRIM(MID('R.M Billets Reports'!D1333,SEARCH("-",'R.M Billets Reports'!D1333)+1,200)),""))&lt;&gt;"",IF(ISNUMBER(SEARCH("Party Name:-",'R.M Billets Reports'!D1333)),TRIM('R.M Billets Reports'!F1333),IF(ISNUMBER(SEARCH("Party Name-",'R.M Billets Reports'!D1333)),TRIM(MID('R.M Billets Reports'!D1333,SEARCH("-",'R.M Billets Reports'!D1333)+1,200)),"")),IF(ISNUMBER(SEARCH("Party Name:-",'R.M Billets Reports'!D1334)),TRIM('R.M Billets Reports'!F1334),IF(ISNUMBER(SEARCH("Party Name-",'R.M Billets Reports'!D1334)),TRIM(MID('R.M Billets Reports'!D1334,SEARCH("-",'R.M Billets Reports'!D1334)+1,200)),"")))="VRKP ISPAT PVT LTD","VRKP",IF(IF(IF(ISNUMBER(SEARCH("Party Name:-",'R.M Billets Reports'!D1333)),TRIM('R.M Billets Reports'!F1333),IF(ISNUMBER(SEARCH("Party Name-",'R.M Billets Reports'!D1333)),TRIM(MID('R.M Billets Reports'!D1333,SEARCH("-",'R.M Billets Reports'!D1333)+1,200)),""))&lt;&gt;"",IF(ISNUMBER(SEARCH("Party Name:-",'R.M Billets Reports'!D1333)),TRIM('R.M Billets Reports'!F1333),IF(ISNUMBER(SEARCH("Party Name-",'R.M Billets Reports'!D1333)),TRIM(MID('R.M Billets Reports'!D1333,SEARCH("-",'R.M Billets Reports'!D1333)+1,200)),"")),IF(ISNUMBER(SEARCH("Party Name:-",'R.M Billets Reports'!D1334)),TRIM('R.M Billets Reports'!F1334),IF(ISNUMBER(SEARCH("Party Name-",'R.M Billets Reports'!D1334)),TRIM(MID('R.M Billets Reports'!D1334,SEARCH("-",'R.M Billets Reports'!D1334)+1,200)),"")))="SHRI RADHE","SHREE RADHE",IF(IF(IF(ISNUMBER(SEARCH("Party Name:-",'R.M Billets Reports'!D1333)),TRIM('R.M Billets Reports'!F1333),IF(ISNUMBER(SEARCH("Party Name-",'R.M Billets Reports'!D1333)),TRIM(MID('R.M Billets Reports'!D1333,SEARCH("-",'R.M Billets Reports'!D1333)+1,200)),""))&lt;&gt;"",IF(ISNUMBER(SEARCH("Party Name:-",'R.M Billets Reports'!D1333)),TRIM('R.M Billets Reports'!F1333),IF(ISNUMBER(SEARCH("Party Name-",'R.M Billets Reports'!D1333)),TRIM(MID('R.M Billets Reports'!D1333,SEARCH("-",'R.M Billets Reports'!D1333)+1,200)),"")),IF(ISNUMBER(SEARCH("Party Name:-",'R.M Billets Reports'!D1334)),TRIM('R.M Billets Reports'!F1334),IF(ISNUMBER(SEARCH("Party Name-",'R.M Billets Reports'!D1334)),TRIM(MID('R.M Billets Reports'!D1334,SEARCH("-",'R.M Billets Reports'!D1334)+1,200)),"")))="SHREE RADHE SHAKTI SPONGE AND POWER PVT. LTD.","SHREE RADHE",IF(IF(ISNUMBER(SEARCH("Party Name:-",'R.M Billets Reports'!D1333)),TRIM('R.M Billets Reports'!F1333),IF(ISNUMBER(SEARCH("Party Name-",'R.M Billets Reports'!D1333)),TRIM(MID('R.M Billets Reports'!D1333,SEARCH("-",'R.M Billets Reports'!D1333)+1,200)),""))&lt;&gt;"",IF(ISNUMBER(SEARCH("Party Name:-",'R.M Billets Reports'!D1333)),TRIM('R.M Billets Reports'!F1333),IF(ISNUMBER(SEARCH("Party Name-",'R.M Billets Reports'!D1333)),TRIM(MID('R.M Billets Reports'!D1333,SEARCH("-",'R.M Billets Reports'!D1333)+1,200)),"")),IF(ISNUMBER(SEARCH("Party Name:-",'R.M Billets Reports'!D1334)),TRIM('R.M Billets Reports'!F1334),IF(ISNUMBER(SEARCH("Party Name-",'R.M Billets Reports'!D1334)),TRIM(MID('R.M Billets Reports'!D1334,SEARCH("-",'R.M Billets Reports'!D1334)+1,200)),"")))))),IF(ROW()=2,"",A1333))</f>
      </c>
      <c r="B1334">
        <f>IF(OR('R.M Billets Reports'!A1333="Date-",'R.M Billets Reports'!A1333="Date:-"),'R.M Billets Reports'!B1333,IF(ROW()=2,"",B1333))</f>
      </c>
      <c r="C1334">
        <f>IF('R.M Billets Reports'!A1333="V.No.",'R.M Billets Reports'!B1333,IF(ROW()=2,"",C1333))</f>
      </c>
      <c r="D1334">
        <f>IF('R.M Billets Reports'!A1333&lt;&gt;"",'R.M Billets Reports'!A1333,IF(ROW()=2,"",D1333))</f>
      </c>
      <c r="E1334">
        <f>IF('R.M Billets Reports'!B1333="","",TRIM('R.M Billets Reports'!B1333))</f>
      </c>
      <c r="F1334">
        <f>'R.M Billets Reports'!C1333</f>
      </c>
      <c r="G1334">
        <f>'R.M Billets Reports'!D1333</f>
      </c>
      <c r="H1334">
        <f>'R.M Billets Reports'!E1333</f>
      </c>
      <c r="I1334">
        <f>'R.M Billets Reports'!F1333</f>
      </c>
      <c r="J1334">
        <f>'R.M Billets Reports'!G1333</f>
      </c>
      <c r="K1334">
        <f>'R.M Billets Reports'!H1333</f>
      </c>
      <c r="L1334">
        <f>IF('R.M Billets Reports'!I1333="","",'R.M Billets Reports'!I1333)</f>
      </c>
      <c r="M1334">
        <f t="shared" si="40"/>
      </c>
      <c r="N1334">
        <f>IF('R.M Billets Reports'!J1333="","",'R.M Billets Reports'!J1333)</f>
      </c>
      <c r="O1334">
        <f t="shared" si="41"/>
      </c>
      <c r="P1334">
        <f>IF('R.M Billets Reports'!A1333="SIZE",'R.M Billets Reports'!B1333,P1333)</f>
      </c>
    </row>
    <row r="1335" spans="1:16" x14ac:dyDescent="0.25">
      <c r="A1335">
        <f>IF(OR('R.M Billets Reports'!A1334="Date-",'R.M Billets Reports'!A1334="Date:-"),IF(IF(IF(ISNUMBER(SEARCH("Party Name:-",'R.M Billets Reports'!D1334)),TRIM('R.M Billets Reports'!F1334),IF(ISNUMBER(SEARCH("Party Name-",'R.M Billets Reports'!D1334)),TRIM(MID('R.M Billets Reports'!D1334,SEARCH("-",'R.M Billets Reports'!D1334)+1,200)),""))&lt;&gt;"",IF(ISNUMBER(SEARCH("Party Name:-",'R.M Billets Reports'!D1334)),TRIM('R.M Billets Reports'!F1334),IF(ISNUMBER(SEARCH("Party Name-",'R.M Billets Reports'!D1334)),TRIM(MID('R.M Billets Reports'!D1334,SEARCH("-",'R.M Billets Reports'!D1334)+1,200)),"")),IF(ISNUMBER(SEARCH("Party Name:-",'R.M Billets Reports'!D1335)),TRIM('R.M Billets Reports'!F1335),IF(ISNUMBER(SEARCH("Party Name-",'R.M Billets Reports'!D1335)),TRIM(MID('R.M Billets Reports'!D1335,SEARCH("-",'R.M Billets Reports'!D1335)+1,200)),"")))="VRKP ISPAT PVT LTD","VRKP",IF(IF(IF(ISNUMBER(SEARCH("Party Name:-",'R.M Billets Reports'!D1334)),TRIM('R.M Billets Reports'!F1334),IF(ISNUMBER(SEARCH("Party Name-",'R.M Billets Reports'!D1334)),TRIM(MID('R.M Billets Reports'!D1334,SEARCH("-",'R.M Billets Reports'!D1334)+1,200)),""))&lt;&gt;"",IF(ISNUMBER(SEARCH("Party Name:-",'R.M Billets Reports'!D1334)),TRIM('R.M Billets Reports'!F1334),IF(ISNUMBER(SEARCH("Party Name-",'R.M Billets Reports'!D1334)),TRIM(MID('R.M Billets Reports'!D1334,SEARCH("-",'R.M Billets Reports'!D1334)+1,200)),"")),IF(ISNUMBER(SEARCH("Party Name:-",'R.M Billets Reports'!D1335)),TRIM('R.M Billets Reports'!F1335),IF(ISNUMBER(SEARCH("Party Name-",'R.M Billets Reports'!D1335)),TRIM(MID('R.M Billets Reports'!D1335,SEARCH("-",'R.M Billets Reports'!D1335)+1,200)),"")))="SHRI RADHE","SHREE RADHE",IF(IF(IF(ISNUMBER(SEARCH("Party Name:-",'R.M Billets Reports'!D1334)),TRIM('R.M Billets Reports'!F1334),IF(ISNUMBER(SEARCH("Party Name-",'R.M Billets Reports'!D1334)),TRIM(MID('R.M Billets Reports'!D1334,SEARCH("-",'R.M Billets Reports'!D1334)+1,200)),""))&lt;&gt;"",IF(ISNUMBER(SEARCH("Party Name:-",'R.M Billets Reports'!D1334)),TRIM('R.M Billets Reports'!F1334),IF(ISNUMBER(SEARCH("Party Name-",'R.M Billets Reports'!D1334)),TRIM(MID('R.M Billets Reports'!D1334,SEARCH("-",'R.M Billets Reports'!D1334)+1,200)),"")),IF(ISNUMBER(SEARCH("Party Name:-",'R.M Billets Reports'!D1335)),TRIM('R.M Billets Reports'!F1335),IF(ISNUMBER(SEARCH("Party Name-",'R.M Billets Reports'!D1335)),TRIM(MID('R.M Billets Reports'!D1335,SEARCH("-",'R.M Billets Reports'!D1335)+1,200)),"")))="SHREE RADHE SHAKTI SPONGE AND POWER PVT. LTD.","SHREE RADHE",IF(IF(ISNUMBER(SEARCH("Party Name:-",'R.M Billets Reports'!D1334)),TRIM('R.M Billets Reports'!F1334),IF(ISNUMBER(SEARCH("Party Name-",'R.M Billets Reports'!D1334)),TRIM(MID('R.M Billets Reports'!D1334,SEARCH("-",'R.M Billets Reports'!D1334)+1,200)),""))&lt;&gt;"",IF(ISNUMBER(SEARCH("Party Name:-",'R.M Billets Reports'!D1334)),TRIM('R.M Billets Reports'!F1334),IF(ISNUMBER(SEARCH("Party Name-",'R.M Billets Reports'!D1334)),TRIM(MID('R.M Billets Reports'!D1334,SEARCH("-",'R.M Billets Reports'!D1334)+1,200)),"")),IF(ISNUMBER(SEARCH("Party Name:-",'R.M Billets Reports'!D1335)),TRIM('R.M Billets Reports'!F1335),IF(ISNUMBER(SEARCH("Party Name-",'R.M Billets Reports'!D1335)),TRIM(MID('R.M Billets Reports'!D1335,SEARCH("-",'R.M Billets Reports'!D1335)+1,200)),"")))))),IF(ROW()=2,"",A1334))</f>
      </c>
      <c r="B1335">
        <f>IF(OR('R.M Billets Reports'!A1334="Date-",'R.M Billets Reports'!A1334="Date:-"),'R.M Billets Reports'!B1334,IF(ROW()=2,"",B1334))</f>
      </c>
      <c r="C1335">
        <f>IF('R.M Billets Reports'!A1334="V.No.",'R.M Billets Reports'!B1334,IF(ROW()=2,"",C1334))</f>
      </c>
      <c r="D1335">
        <f>IF('R.M Billets Reports'!A1334&lt;&gt;"",'R.M Billets Reports'!A1334,IF(ROW()=2,"",D1334))</f>
      </c>
      <c r="E1335">
        <f>IF('R.M Billets Reports'!B1334="","",TRIM('R.M Billets Reports'!B1334))</f>
      </c>
      <c r="F1335">
        <f>'R.M Billets Reports'!C1334</f>
      </c>
      <c r="G1335">
        <f>'R.M Billets Reports'!D1334</f>
      </c>
      <c r="H1335">
        <f>'R.M Billets Reports'!E1334</f>
      </c>
      <c r="I1335">
        <f>'R.M Billets Reports'!F1334</f>
      </c>
      <c r="J1335">
        <f>'R.M Billets Reports'!G1334</f>
      </c>
      <c r="K1335">
        <f>'R.M Billets Reports'!H1334</f>
      </c>
      <c r="L1335">
        <f>IF('R.M Billets Reports'!I1334="","",'R.M Billets Reports'!I1334)</f>
      </c>
      <c r="M1335">
        <f t="shared" si="40"/>
      </c>
      <c r="N1335">
        <f>IF('R.M Billets Reports'!J1334="","",'R.M Billets Reports'!J1334)</f>
      </c>
      <c r="O1335">
        <f t="shared" si="41"/>
      </c>
      <c r="P1335">
        <f>IF('R.M Billets Reports'!A1334="SIZE",'R.M Billets Reports'!B1334,P1334)</f>
      </c>
    </row>
    <row r="1336" spans="1:16" x14ac:dyDescent="0.25">
      <c r="A1336">
        <f>IF(OR('R.M Billets Reports'!A1335="Date-",'R.M Billets Reports'!A1335="Date:-"),IF(IF(IF(ISNUMBER(SEARCH("Party Name:-",'R.M Billets Reports'!D1335)),TRIM('R.M Billets Reports'!F1335),IF(ISNUMBER(SEARCH("Party Name-",'R.M Billets Reports'!D1335)),TRIM(MID('R.M Billets Reports'!D1335,SEARCH("-",'R.M Billets Reports'!D1335)+1,200)),""))&lt;&gt;"",IF(ISNUMBER(SEARCH("Party Name:-",'R.M Billets Reports'!D1335)),TRIM('R.M Billets Reports'!F1335),IF(ISNUMBER(SEARCH("Party Name-",'R.M Billets Reports'!D1335)),TRIM(MID('R.M Billets Reports'!D1335,SEARCH("-",'R.M Billets Reports'!D1335)+1,200)),"")),IF(ISNUMBER(SEARCH("Party Name:-",'R.M Billets Reports'!D1336)),TRIM('R.M Billets Reports'!F1336),IF(ISNUMBER(SEARCH("Party Name-",'R.M Billets Reports'!D1336)),TRIM(MID('R.M Billets Reports'!D1336,SEARCH("-",'R.M Billets Reports'!D1336)+1,200)),"")))="VRKP ISPAT PVT LTD","VRKP",IF(IF(IF(ISNUMBER(SEARCH("Party Name:-",'R.M Billets Reports'!D1335)),TRIM('R.M Billets Reports'!F1335),IF(ISNUMBER(SEARCH("Party Name-",'R.M Billets Reports'!D1335)),TRIM(MID('R.M Billets Reports'!D1335,SEARCH("-",'R.M Billets Reports'!D1335)+1,200)),""))&lt;&gt;"",IF(ISNUMBER(SEARCH("Party Name:-",'R.M Billets Reports'!D1335)),TRIM('R.M Billets Reports'!F1335),IF(ISNUMBER(SEARCH("Party Name-",'R.M Billets Reports'!D1335)),TRIM(MID('R.M Billets Reports'!D1335,SEARCH("-",'R.M Billets Reports'!D1335)+1,200)),"")),IF(ISNUMBER(SEARCH("Party Name:-",'R.M Billets Reports'!D1336)),TRIM('R.M Billets Reports'!F1336),IF(ISNUMBER(SEARCH("Party Name-",'R.M Billets Reports'!D1336)),TRIM(MID('R.M Billets Reports'!D1336,SEARCH("-",'R.M Billets Reports'!D1336)+1,200)),"")))="SHRI RADHE","SHREE RADHE",IF(IF(IF(ISNUMBER(SEARCH("Party Name:-",'R.M Billets Reports'!D1335)),TRIM('R.M Billets Reports'!F1335),IF(ISNUMBER(SEARCH("Party Name-",'R.M Billets Reports'!D1335)),TRIM(MID('R.M Billets Reports'!D1335,SEARCH("-",'R.M Billets Reports'!D1335)+1,200)),""))&lt;&gt;"",IF(ISNUMBER(SEARCH("Party Name:-",'R.M Billets Reports'!D1335)),TRIM('R.M Billets Reports'!F1335),IF(ISNUMBER(SEARCH("Party Name-",'R.M Billets Reports'!D1335)),TRIM(MID('R.M Billets Reports'!D1335,SEARCH("-",'R.M Billets Reports'!D1335)+1,200)),"")),IF(ISNUMBER(SEARCH("Party Name:-",'R.M Billets Reports'!D1336)),TRIM('R.M Billets Reports'!F1336),IF(ISNUMBER(SEARCH("Party Name-",'R.M Billets Reports'!D1336)),TRIM(MID('R.M Billets Reports'!D1336,SEARCH("-",'R.M Billets Reports'!D1336)+1,200)),"")))="SHREE RADHE SHAKTI SPONGE AND POWER PVT. LTD.","SHREE RADHE",IF(IF(ISNUMBER(SEARCH("Party Name:-",'R.M Billets Reports'!D1335)),TRIM('R.M Billets Reports'!F1335),IF(ISNUMBER(SEARCH("Party Name-",'R.M Billets Reports'!D1335)),TRIM(MID('R.M Billets Reports'!D1335,SEARCH("-",'R.M Billets Reports'!D1335)+1,200)),""))&lt;&gt;"",IF(ISNUMBER(SEARCH("Party Name:-",'R.M Billets Reports'!D1335)),TRIM('R.M Billets Reports'!F1335),IF(ISNUMBER(SEARCH("Party Name-",'R.M Billets Reports'!D1335)),TRIM(MID('R.M Billets Reports'!D1335,SEARCH("-",'R.M Billets Reports'!D1335)+1,200)),"")),IF(ISNUMBER(SEARCH("Party Name:-",'R.M Billets Reports'!D1336)),TRIM('R.M Billets Reports'!F1336),IF(ISNUMBER(SEARCH("Party Name-",'R.M Billets Reports'!D1336)),TRIM(MID('R.M Billets Reports'!D1336,SEARCH("-",'R.M Billets Reports'!D1336)+1,200)),"")))))),IF(ROW()=2,"",A1335))</f>
      </c>
      <c r="B1336">
        <f>IF(OR('R.M Billets Reports'!A1335="Date-",'R.M Billets Reports'!A1335="Date:-"),'R.M Billets Reports'!B1335,IF(ROW()=2,"",B1335))</f>
      </c>
      <c r="C1336">
        <f>IF('R.M Billets Reports'!A1335="V.No.",'R.M Billets Reports'!B1335,IF(ROW()=2,"",C1335))</f>
      </c>
      <c r="D1336">
        <f>IF('R.M Billets Reports'!A1335&lt;&gt;"",'R.M Billets Reports'!A1335,IF(ROW()=2,"",D1335))</f>
      </c>
      <c r="E1336">
        <f>IF('R.M Billets Reports'!B1335="","",TRIM('R.M Billets Reports'!B1335))</f>
      </c>
      <c r="F1336">
        <f>'R.M Billets Reports'!C1335</f>
      </c>
      <c r="G1336">
        <f>'R.M Billets Reports'!D1335</f>
      </c>
      <c r="H1336">
        <f>'R.M Billets Reports'!E1335</f>
      </c>
      <c r="I1336">
        <f>'R.M Billets Reports'!F1335</f>
      </c>
      <c r="J1336">
        <f>'R.M Billets Reports'!G1335</f>
      </c>
      <c r="K1336">
        <f>'R.M Billets Reports'!H1335</f>
      </c>
      <c r="L1336">
        <f>IF('R.M Billets Reports'!I1335="","",'R.M Billets Reports'!I1335)</f>
      </c>
      <c r="M1336">
        <f t="shared" si="40"/>
      </c>
      <c r="N1336">
        <f>IF('R.M Billets Reports'!J1335="","",'R.M Billets Reports'!J1335)</f>
      </c>
      <c r="O1336">
        <f t="shared" si="41"/>
      </c>
      <c r="P1336">
        <f>IF('R.M Billets Reports'!A1335="SIZE",'R.M Billets Reports'!B1335,P1335)</f>
      </c>
    </row>
    <row r="1337" spans="1:16" x14ac:dyDescent="0.25">
      <c r="A1337">
        <f>IF(OR('R.M Billets Reports'!A1336="Date-",'R.M Billets Reports'!A1336="Date:-"),IF(IF(IF(ISNUMBER(SEARCH("Party Name:-",'R.M Billets Reports'!D1336)),TRIM('R.M Billets Reports'!F1336),IF(ISNUMBER(SEARCH("Party Name-",'R.M Billets Reports'!D1336)),TRIM(MID('R.M Billets Reports'!D1336,SEARCH("-",'R.M Billets Reports'!D1336)+1,200)),""))&lt;&gt;"",IF(ISNUMBER(SEARCH("Party Name:-",'R.M Billets Reports'!D1336)),TRIM('R.M Billets Reports'!F1336),IF(ISNUMBER(SEARCH("Party Name-",'R.M Billets Reports'!D1336)),TRIM(MID('R.M Billets Reports'!D1336,SEARCH("-",'R.M Billets Reports'!D1336)+1,200)),"")),IF(ISNUMBER(SEARCH("Party Name:-",'R.M Billets Reports'!D1337)),TRIM('R.M Billets Reports'!F1337),IF(ISNUMBER(SEARCH("Party Name-",'R.M Billets Reports'!D1337)),TRIM(MID('R.M Billets Reports'!D1337,SEARCH("-",'R.M Billets Reports'!D1337)+1,200)),"")))="VRKP ISPAT PVT LTD","VRKP",IF(IF(IF(ISNUMBER(SEARCH("Party Name:-",'R.M Billets Reports'!D1336)),TRIM('R.M Billets Reports'!F1336),IF(ISNUMBER(SEARCH("Party Name-",'R.M Billets Reports'!D1336)),TRIM(MID('R.M Billets Reports'!D1336,SEARCH("-",'R.M Billets Reports'!D1336)+1,200)),""))&lt;&gt;"",IF(ISNUMBER(SEARCH("Party Name:-",'R.M Billets Reports'!D1336)),TRIM('R.M Billets Reports'!F1336),IF(ISNUMBER(SEARCH("Party Name-",'R.M Billets Reports'!D1336)),TRIM(MID('R.M Billets Reports'!D1336,SEARCH("-",'R.M Billets Reports'!D1336)+1,200)),"")),IF(ISNUMBER(SEARCH("Party Name:-",'R.M Billets Reports'!D1337)),TRIM('R.M Billets Reports'!F1337),IF(ISNUMBER(SEARCH("Party Name-",'R.M Billets Reports'!D1337)),TRIM(MID('R.M Billets Reports'!D1337,SEARCH("-",'R.M Billets Reports'!D1337)+1,200)),"")))="SHRI RADHE","SHREE RADHE",IF(IF(IF(ISNUMBER(SEARCH("Party Name:-",'R.M Billets Reports'!D1336)),TRIM('R.M Billets Reports'!F1336),IF(ISNUMBER(SEARCH("Party Name-",'R.M Billets Reports'!D1336)),TRIM(MID('R.M Billets Reports'!D1336,SEARCH("-",'R.M Billets Reports'!D1336)+1,200)),""))&lt;&gt;"",IF(ISNUMBER(SEARCH("Party Name:-",'R.M Billets Reports'!D1336)),TRIM('R.M Billets Reports'!F1336),IF(ISNUMBER(SEARCH("Party Name-",'R.M Billets Reports'!D1336)),TRIM(MID('R.M Billets Reports'!D1336,SEARCH("-",'R.M Billets Reports'!D1336)+1,200)),"")),IF(ISNUMBER(SEARCH("Party Name:-",'R.M Billets Reports'!D1337)),TRIM('R.M Billets Reports'!F1337),IF(ISNUMBER(SEARCH("Party Name-",'R.M Billets Reports'!D1337)),TRIM(MID('R.M Billets Reports'!D1337,SEARCH("-",'R.M Billets Reports'!D1337)+1,200)),"")))="SHREE RADHE SHAKTI SPONGE AND POWER PVT. LTD.","SHREE RADHE",IF(IF(ISNUMBER(SEARCH("Party Name:-",'R.M Billets Reports'!D1336)),TRIM('R.M Billets Reports'!F1336),IF(ISNUMBER(SEARCH("Party Name-",'R.M Billets Reports'!D1336)),TRIM(MID('R.M Billets Reports'!D1336,SEARCH("-",'R.M Billets Reports'!D1336)+1,200)),""))&lt;&gt;"",IF(ISNUMBER(SEARCH("Party Name:-",'R.M Billets Reports'!D1336)),TRIM('R.M Billets Reports'!F1336),IF(ISNUMBER(SEARCH("Party Name-",'R.M Billets Reports'!D1336)),TRIM(MID('R.M Billets Reports'!D1336,SEARCH("-",'R.M Billets Reports'!D1336)+1,200)),"")),IF(ISNUMBER(SEARCH("Party Name:-",'R.M Billets Reports'!D1337)),TRIM('R.M Billets Reports'!F1337),IF(ISNUMBER(SEARCH("Party Name-",'R.M Billets Reports'!D1337)),TRIM(MID('R.M Billets Reports'!D1337,SEARCH("-",'R.M Billets Reports'!D1337)+1,200)),"")))))),IF(ROW()=2,"",A1336))</f>
      </c>
      <c r="B1337">
        <f>IF(OR('R.M Billets Reports'!A1336="Date-",'R.M Billets Reports'!A1336="Date:-"),'R.M Billets Reports'!B1336,IF(ROW()=2,"",B1336))</f>
      </c>
      <c r="C1337">
        <f>IF('R.M Billets Reports'!A1336="V.No.",'R.M Billets Reports'!B1336,IF(ROW()=2,"",C1336))</f>
      </c>
      <c r="D1337">
        <f>IF('R.M Billets Reports'!A1336&lt;&gt;"",'R.M Billets Reports'!A1336,IF(ROW()=2,"",D1336))</f>
      </c>
      <c r="E1337">
        <f>IF('R.M Billets Reports'!B1336="","",TRIM('R.M Billets Reports'!B1336))</f>
      </c>
      <c r="F1337">
        <f>'R.M Billets Reports'!C1336</f>
      </c>
      <c r="G1337">
        <f>'R.M Billets Reports'!D1336</f>
      </c>
      <c r="H1337">
        <f>'R.M Billets Reports'!E1336</f>
      </c>
      <c r="I1337">
        <f>'R.M Billets Reports'!F1336</f>
      </c>
      <c r="J1337">
        <f>'R.M Billets Reports'!G1336</f>
      </c>
      <c r="K1337">
        <f>'R.M Billets Reports'!H1336</f>
      </c>
      <c r="L1337">
        <f>IF('R.M Billets Reports'!I1336="","",'R.M Billets Reports'!I1336)</f>
      </c>
      <c r="M1337">
        <f t="shared" si="40"/>
      </c>
      <c r="N1337">
        <f>IF('R.M Billets Reports'!J1336="","",'R.M Billets Reports'!J1336)</f>
      </c>
      <c r="O1337">
        <f t="shared" si="41"/>
      </c>
      <c r="P1337">
        <f>IF('R.M Billets Reports'!A1336="SIZE",'R.M Billets Reports'!B1336,P1336)</f>
      </c>
    </row>
    <row r="1338" spans="1:16" x14ac:dyDescent="0.25">
      <c r="A1338">
        <f>IF(OR('R.M Billets Reports'!A1337="Date-",'R.M Billets Reports'!A1337="Date:-"),IF(IF(IF(ISNUMBER(SEARCH("Party Name:-",'R.M Billets Reports'!D1337)),TRIM('R.M Billets Reports'!F1337),IF(ISNUMBER(SEARCH("Party Name-",'R.M Billets Reports'!D1337)),TRIM(MID('R.M Billets Reports'!D1337,SEARCH("-",'R.M Billets Reports'!D1337)+1,200)),""))&lt;&gt;"",IF(ISNUMBER(SEARCH("Party Name:-",'R.M Billets Reports'!D1337)),TRIM('R.M Billets Reports'!F1337),IF(ISNUMBER(SEARCH("Party Name-",'R.M Billets Reports'!D1337)),TRIM(MID('R.M Billets Reports'!D1337,SEARCH("-",'R.M Billets Reports'!D1337)+1,200)),"")),IF(ISNUMBER(SEARCH("Party Name:-",'R.M Billets Reports'!D1338)),TRIM('R.M Billets Reports'!F1338),IF(ISNUMBER(SEARCH("Party Name-",'R.M Billets Reports'!D1338)),TRIM(MID('R.M Billets Reports'!D1338,SEARCH("-",'R.M Billets Reports'!D1338)+1,200)),"")))="VRKP ISPAT PVT LTD","VRKP",IF(IF(IF(ISNUMBER(SEARCH("Party Name:-",'R.M Billets Reports'!D1337)),TRIM('R.M Billets Reports'!F1337),IF(ISNUMBER(SEARCH("Party Name-",'R.M Billets Reports'!D1337)),TRIM(MID('R.M Billets Reports'!D1337,SEARCH("-",'R.M Billets Reports'!D1337)+1,200)),""))&lt;&gt;"",IF(ISNUMBER(SEARCH("Party Name:-",'R.M Billets Reports'!D1337)),TRIM('R.M Billets Reports'!F1337),IF(ISNUMBER(SEARCH("Party Name-",'R.M Billets Reports'!D1337)),TRIM(MID('R.M Billets Reports'!D1337,SEARCH("-",'R.M Billets Reports'!D1337)+1,200)),"")),IF(ISNUMBER(SEARCH("Party Name:-",'R.M Billets Reports'!D1338)),TRIM('R.M Billets Reports'!F1338),IF(ISNUMBER(SEARCH("Party Name-",'R.M Billets Reports'!D1338)),TRIM(MID('R.M Billets Reports'!D1338,SEARCH("-",'R.M Billets Reports'!D1338)+1,200)),"")))="SHRI RADHE","SHREE RADHE",IF(IF(IF(ISNUMBER(SEARCH("Party Name:-",'R.M Billets Reports'!D1337)),TRIM('R.M Billets Reports'!F1337),IF(ISNUMBER(SEARCH("Party Name-",'R.M Billets Reports'!D1337)),TRIM(MID('R.M Billets Reports'!D1337,SEARCH("-",'R.M Billets Reports'!D1337)+1,200)),""))&lt;&gt;"",IF(ISNUMBER(SEARCH("Party Name:-",'R.M Billets Reports'!D1337)),TRIM('R.M Billets Reports'!F1337),IF(ISNUMBER(SEARCH("Party Name-",'R.M Billets Reports'!D1337)),TRIM(MID('R.M Billets Reports'!D1337,SEARCH("-",'R.M Billets Reports'!D1337)+1,200)),"")),IF(ISNUMBER(SEARCH("Party Name:-",'R.M Billets Reports'!D1338)),TRIM('R.M Billets Reports'!F1338),IF(ISNUMBER(SEARCH("Party Name-",'R.M Billets Reports'!D1338)),TRIM(MID('R.M Billets Reports'!D1338,SEARCH("-",'R.M Billets Reports'!D1338)+1,200)),"")))="SHREE RADHE SHAKTI SPONGE AND POWER PVT. LTD.","SHREE RADHE",IF(IF(ISNUMBER(SEARCH("Party Name:-",'R.M Billets Reports'!D1337)),TRIM('R.M Billets Reports'!F1337),IF(ISNUMBER(SEARCH("Party Name-",'R.M Billets Reports'!D1337)),TRIM(MID('R.M Billets Reports'!D1337,SEARCH("-",'R.M Billets Reports'!D1337)+1,200)),""))&lt;&gt;"",IF(ISNUMBER(SEARCH("Party Name:-",'R.M Billets Reports'!D1337)),TRIM('R.M Billets Reports'!F1337),IF(ISNUMBER(SEARCH("Party Name-",'R.M Billets Reports'!D1337)),TRIM(MID('R.M Billets Reports'!D1337,SEARCH("-",'R.M Billets Reports'!D1337)+1,200)),"")),IF(ISNUMBER(SEARCH("Party Name:-",'R.M Billets Reports'!D1338)),TRIM('R.M Billets Reports'!F1338),IF(ISNUMBER(SEARCH("Party Name-",'R.M Billets Reports'!D1338)),TRIM(MID('R.M Billets Reports'!D1338,SEARCH("-",'R.M Billets Reports'!D1338)+1,200)),"")))))),IF(ROW()=2,"",A1337))</f>
      </c>
      <c r="B1338">
        <f>IF(OR('R.M Billets Reports'!A1337="Date-",'R.M Billets Reports'!A1337="Date:-"),'R.M Billets Reports'!B1337,IF(ROW()=2,"",B1337))</f>
      </c>
      <c r="C1338">
        <f>IF('R.M Billets Reports'!A1337="V.No.",'R.M Billets Reports'!B1337,IF(ROW()=2,"",C1337))</f>
      </c>
      <c r="D1338">
        <f>IF('R.M Billets Reports'!A1337&lt;&gt;"",'R.M Billets Reports'!A1337,IF(ROW()=2,"",D1337))</f>
      </c>
      <c r="E1338">
        <f>IF('R.M Billets Reports'!B1337="","",TRIM('R.M Billets Reports'!B1337))</f>
      </c>
      <c r="F1338">
        <f>'R.M Billets Reports'!C1337</f>
      </c>
      <c r="G1338">
        <f>'R.M Billets Reports'!D1337</f>
      </c>
      <c r="H1338">
        <f>'R.M Billets Reports'!E1337</f>
      </c>
      <c r="I1338">
        <f>'R.M Billets Reports'!F1337</f>
      </c>
      <c r="J1338">
        <f>'R.M Billets Reports'!G1337</f>
      </c>
      <c r="K1338">
        <f>'R.M Billets Reports'!H1337</f>
      </c>
      <c r="L1338">
        <f>IF('R.M Billets Reports'!I1337="","",'R.M Billets Reports'!I1337)</f>
      </c>
      <c r="M1338">
        <f t="shared" si="40"/>
      </c>
      <c r="N1338">
        <f>IF('R.M Billets Reports'!J1337="","",'R.M Billets Reports'!J1337)</f>
      </c>
      <c r="O1338">
        <f t="shared" si="41"/>
      </c>
      <c r="P1338">
        <f>IF('R.M Billets Reports'!A1337="SIZE",'R.M Billets Reports'!B1337,P1337)</f>
      </c>
    </row>
    <row r="1339" spans="1:16" x14ac:dyDescent="0.25">
      <c r="A1339">
        <f>IF(OR('R.M Billets Reports'!A1338="Date-",'R.M Billets Reports'!A1338="Date:-"),IF(IF(IF(ISNUMBER(SEARCH("Party Name:-",'R.M Billets Reports'!D1338)),TRIM('R.M Billets Reports'!F1338),IF(ISNUMBER(SEARCH("Party Name-",'R.M Billets Reports'!D1338)),TRIM(MID('R.M Billets Reports'!D1338,SEARCH("-",'R.M Billets Reports'!D1338)+1,200)),""))&lt;&gt;"",IF(ISNUMBER(SEARCH("Party Name:-",'R.M Billets Reports'!D1338)),TRIM('R.M Billets Reports'!F1338),IF(ISNUMBER(SEARCH("Party Name-",'R.M Billets Reports'!D1338)),TRIM(MID('R.M Billets Reports'!D1338,SEARCH("-",'R.M Billets Reports'!D1338)+1,200)),"")),IF(ISNUMBER(SEARCH("Party Name:-",'R.M Billets Reports'!D1339)),TRIM('R.M Billets Reports'!F1339),IF(ISNUMBER(SEARCH("Party Name-",'R.M Billets Reports'!D1339)),TRIM(MID('R.M Billets Reports'!D1339,SEARCH("-",'R.M Billets Reports'!D1339)+1,200)),"")))="VRKP ISPAT PVT LTD","VRKP",IF(IF(IF(ISNUMBER(SEARCH("Party Name:-",'R.M Billets Reports'!D1338)),TRIM('R.M Billets Reports'!F1338),IF(ISNUMBER(SEARCH("Party Name-",'R.M Billets Reports'!D1338)),TRIM(MID('R.M Billets Reports'!D1338,SEARCH("-",'R.M Billets Reports'!D1338)+1,200)),""))&lt;&gt;"",IF(ISNUMBER(SEARCH("Party Name:-",'R.M Billets Reports'!D1338)),TRIM('R.M Billets Reports'!F1338),IF(ISNUMBER(SEARCH("Party Name-",'R.M Billets Reports'!D1338)),TRIM(MID('R.M Billets Reports'!D1338,SEARCH("-",'R.M Billets Reports'!D1338)+1,200)),"")),IF(ISNUMBER(SEARCH("Party Name:-",'R.M Billets Reports'!D1339)),TRIM('R.M Billets Reports'!F1339),IF(ISNUMBER(SEARCH("Party Name-",'R.M Billets Reports'!D1339)),TRIM(MID('R.M Billets Reports'!D1339,SEARCH("-",'R.M Billets Reports'!D1339)+1,200)),"")))="SHRI RADHE","SHREE RADHE",IF(IF(IF(ISNUMBER(SEARCH("Party Name:-",'R.M Billets Reports'!D1338)),TRIM('R.M Billets Reports'!F1338),IF(ISNUMBER(SEARCH("Party Name-",'R.M Billets Reports'!D1338)),TRIM(MID('R.M Billets Reports'!D1338,SEARCH("-",'R.M Billets Reports'!D1338)+1,200)),""))&lt;&gt;"",IF(ISNUMBER(SEARCH("Party Name:-",'R.M Billets Reports'!D1338)),TRIM('R.M Billets Reports'!F1338),IF(ISNUMBER(SEARCH("Party Name-",'R.M Billets Reports'!D1338)),TRIM(MID('R.M Billets Reports'!D1338,SEARCH("-",'R.M Billets Reports'!D1338)+1,200)),"")),IF(ISNUMBER(SEARCH("Party Name:-",'R.M Billets Reports'!D1339)),TRIM('R.M Billets Reports'!F1339),IF(ISNUMBER(SEARCH("Party Name-",'R.M Billets Reports'!D1339)),TRIM(MID('R.M Billets Reports'!D1339,SEARCH("-",'R.M Billets Reports'!D1339)+1,200)),"")))="SHREE RADHE SHAKTI SPONGE AND POWER PVT. LTD.","SHREE RADHE",IF(IF(ISNUMBER(SEARCH("Party Name:-",'R.M Billets Reports'!D1338)),TRIM('R.M Billets Reports'!F1338),IF(ISNUMBER(SEARCH("Party Name-",'R.M Billets Reports'!D1338)),TRIM(MID('R.M Billets Reports'!D1338,SEARCH("-",'R.M Billets Reports'!D1338)+1,200)),""))&lt;&gt;"",IF(ISNUMBER(SEARCH("Party Name:-",'R.M Billets Reports'!D1338)),TRIM('R.M Billets Reports'!F1338),IF(ISNUMBER(SEARCH("Party Name-",'R.M Billets Reports'!D1338)),TRIM(MID('R.M Billets Reports'!D1338,SEARCH("-",'R.M Billets Reports'!D1338)+1,200)),"")),IF(ISNUMBER(SEARCH("Party Name:-",'R.M Billets Reports'!D1339)),TRIM('R.M Billets Reports'!F1339),IF(ISNUMBER(SEARCH("Party Name-",'R.M Billets Reports'!D1339)),TRIM(MID('R.M Billets Reports'!D1339,SEARCH("-",'R.M Billets Reports'!D1339)+1,200)),"")))))),IF(ROW()=2,"",A1338))</f>
      </c>
      <c r="B1339">
        <f>IF(OR('R.M Billets Reports'!A1338="Date-",'R.M Billets Reports'!A1338="Date:-"),'R.M Billets Reports'!B1338,IF(ROW()=2,"",B1338))</f>
      </c>
      <c r="C1339">
        <f>IF('R.M Billets Reports'!A1338="V.No.",'R.M Billets Reports'!B1338,IF(ROW()=2,"",C1338))</f>
      </c>
      <c r="D1339">
        <f>IF('R.M Billets Reports'!A1338&lt;&gt;"",'R.M Billets Reports'!A1338,IF(ROW()=2,"",D1338))</f>
      </c>
      <c r="E1339">
        <f>IF('R.M Billets Reports'!B1338="","",TRIM('R.M Billets Reports'!B1338))</f>
      </c>
      <c r="F1339">
        <f>'R.M Billets Reports'!C1338</f>
      </c>
      <c r="G1339">
        <f>'R.M Billets Reports'!D1338</f>
      </c>
      <c r="H1339">
        <f>'R.M Billets Reports'!E1338</f>
      </c>
      <c r="I1339">
        <f>'R.M Billets Reports'!F1338</f>
      </c>
      <c r="J1339">
        <f>'R.M Billets Reports'!G1338</f>
      </c>
      <c r="K1339">
        <f>'R.M Billets Reports'!H1338</f>
      </c>
      <c r="L1339">
        <f>IF('R.M Billets Reports'!I1338="","",'R.M Billets Reports'!I1338)</f>
      </c>
      <c r="M1339">
        <f t="shared" si="40"/>
      </c>
      <c r="N1339">
        <f>IF('R.M Billets Reports'!J1338="","",'R.M Billets Reports'!J1338)</f>
      </c>
      <c r="O1339">
        <f t="shared" si="41"/>
      </c>
      <c r="P1339">
        <f>IF('R.M Billets Reports'!A1338="SIZE",'R.M Billets Reports'!B1338,P1338)</f>
      </c>
    </row>
    <row r="1340" spans="1:16" x14ac:dyDescent="0.25">
      <c r="A1340">
        <f>IF(OR('R.M Billets Reports'!A1339="Date-",'R.M Billets Reports'!A1339="Date:-"),IF(IF(IF(ISNUMBER(SEARCH("Party Name:-",'R.M Billets Reports'!D1339)),TRIM('R.M Billets Reports'!F1339),IF(ISNUMBER(SEARCH("Party Name-",'R.M Billets Reports'!D1339)),TRIM(MID('R.M Billets Reports'!D1339,SEARCH("-",'R.M Billets Reports'!D1339)+1,200)),""))&lt;&gt;"",IF(ISNUMBER(SEARCH("Party Name:-",'R.M Billets Reports'!D1339)),TRIM('R.M Billets Reports'!F1339),IF(ISNUMBER(SEARCH("Party Name-",'R.M Billets Reports'!D1339)),TRIM(MID('R.M Billets Reports'!D1339,SEARCH("-",'R.M Billets Reports'!D1339)+1,200)),"")),IF(ISNUMBER(SEARCH("Party Name:-",'R.M Billets Reports'!D1340)),TRIM('R.M Billets Reports'!F1340),IF(ISNUMBER(SEARCH("Party Name-",'R.M Billets Reports'!D1340)),TRIM(MID('R.M Billets Reports'!D1340,SEARCH("-",'R.M Billets Reports'!D1340)+1,200)),"")))="VRKP ISPAT PVT LTD","VRKP",IF(IF(IF(ISNUMBER(SEARCH("Party Name:-",'R.M Billets Reports'!D1339)),TRIM('R.M Billets Reports'!F1339),IF(ISNUMBER(SEARCH("Party Name-",'R.M Billets Reports'!D1339)),TRIM(MID('R.M Billets Reports'!D1339,SEARCH("-",'R.M Billets Reports'!D1339)+1,200)),""))&lt;&gt;"",IF(ISNUMBER(SEARCH("Party Name:-",'R.M Billets Reports'!D1339)),TRIM('R.M Billets Reports'!F1339),IF(ISNUMBER(SEARCH("Party Name-",'R.M Billets Reports'!D1339)),TRIM(MID('R.M Billets Reports'!D1339,SEARCH("-",'R.M Billets Reports'!D1339)+1,200)),"")),IF(ISNUMBER(SEARCH("Party Name:-",'R.M Billets Reports'!D1340)),TRIM('R.M Billets Reports'!F1340),IF(ISNUMBER(SEARCH("Party Name-",'R.M Billets Reports'!D1340)),TRIM(MID('R.M Billets Reports'!D1340,SEARCH("-",'R.M Billets Reports'!D1340)+1,200)),"")))="SHRI RADHE","SHREE RADHE",IF(IF(IF(ISNUMBER(SEARCH("Party Name:-",'R.M Billets Reports'!D1339)),TRIM('R.M Billets Reports'!F1339),IF(ISNUMBER(SEARCH("Party Name-",'R.M Billets Reports'!D1339)),TRIM(MID('R.M Billets Reports'!D1339,SEARCH("-",'R.M Billets Reports'!D1339)+1,200)),""))&lt;&gt;"",IF(ISNUMBER(SEARCH("Party Name:-",'R.M Billets Reports'!D1339)),TRIM('R.M Billets Reports'!F1339),IF(ISNUMBER(SEARCH("Party Name-",'R.M Billets Reports'!D1339)),TRIM(MID('R.M Billets Reports'!D1339,SEARCH("-",'R.M Billets Reports'!D1339)+1,200)),"")),IF(ISNUMBER(SEARCH("Party Name:-",'R.M Billets Reports'!D1340)),TRIM('R.M Billets Reports'!F1340),IF(ISNUMBER(SEARCH("Party Name-",'R.M Billets Reports'!D1340)),TRIM(MID('R.M Billets Reports'!D1340,SEARCH("-",'R.M Billets Reports'!D1340)+1,200)),"")))="SHREE RADHE SHAKTI SPONGE AND POWER PVT. LTD.","SHREE RADHE",IF(IF(ISNUMBER(SEARCH("Party Name:-",'R.M Billets Reports'!D1339)),TRIM('R.M Billets Reports'!F1339),IF(ISNUMBER(SEARCH("Party Name-",'R.M Billets Reports'!D1339)),TRIM(MID('R.M Billets Reports'!D1339,SEARCH("-",'R.M Billets Reports'!D1339)+1,200)),""))&lt;&gt;"",IF(ISNUMBER(SEARCH("Party Name:-",'R.M Billets Reports'!D1339)),TRIM('R.M Billets Reports'!F1339),IF(ISNUMBER(SEARCH("Party Name-",'R.M Billets Reports'!D1339)),TRIM(MID('R.M Billets Reports'!D1339,SEARCH("-",'R.M Billets Reports'!D1339)+1,200)),"")),IF(ISNUMBER(SEARCH("Party Name:-",'R.M Billets Reports'!D1340)),TRIM('R.M Billets Reports'!F1340),IF(ISNUMBER(SEARCH("Party Name-",'R.M Billets Reports'!D1340)),TRIM(MID('R.M Billets Reports'!D1340,SEARCH("-",'R.M Billets Reports'!D1340)+1,200)),"")))))),IF(ROW()=2,"",A1339))</f>
      </c>
      <c r="B1340">
        <f>IF(OR('R.M Billets Reports'!A1339="Date-",'R.M Billets Reports'!A1339="Date:-"),'R.M Billets Reports'!B1339,IF(ROW()=2,"",B1339))</f>
      </c>
      <c r="C1340">
        <f>IF('R.M Billets Reports'!A1339="V.No.",'R.M Billets Reports'!B1339,IF(ROW()=2,"",C1339))</f>
      </c>
      <c r="D1340">
        <f>IF('R.M Billets Reports'!A1339&lt;&gt;"",'R.M Billets Reports'!A1339,IF(ROW()=2,"",D1339))</f>
      </c>
      <c r="E1340">
        <f>IF('R.M Billets Reports'!B1339="","",TRIM('R.M Billets Reports'!B1339))</f>
      </c>
      <c r="F1340">
        <f>'R.M Billets Reports'!C1339</f>
      </c>
      <c r="G1340">
        <f>'R.M Billets Reports'!D1339</f>
      </c>
      <c r="H1340">
        <f>'R.M Billets Reports'!E1339</f>
      </c>
      <c r="I1340">
        <f>'R.M Billets Reports'!F1339</f>
      </c>
      <c r="J1340">
        <f>'R.M Billets Reports'!G1339</f>
      </c>
      <c r="K1340">
        <f>'R.M Billets Reports'!H1339</f>
      </c>
      <c r="L1340">
        <f>IF('R.M Billets Reports'!I1339="","",'R.M Billets Reports'!I1339)</f>
      </c>
      <c r="M1340">
        <f t="shared" si="40"/>
      </c>
      <c r="N1340">
        <f>IF('R.M Billets Reports'!J1339="","",'R.M Billets Reports'!J1339)</f>
      </c>
      <c r="O1340">
        <f t="shared" si="41"/>
      </c>
      <c r="P1340">
        <f>IF('R.M Billets Reports'!A1339="SIZE",'R.M Billets Reports'!B1339,P1339)</f>
      </c>
    </row>
    <row r="1341" spans="1:16" x14ac:dyDescent="0.25">
      <c r="A1341">
        <f>IF(OR('R.M Billets Reports'!A1340="Date-",'R.M Billets Reports'!A1340="Date:-"),IF(IF(IF(ISNUMBER(SEARCH("Party Name:-",'R.M Billets Reports'!D1340)),TRIM('R.M Billets Reports'!F1340),IF(ISNUMBER(SEARCH("Party Name-",'R.M Billets Reports'!D1340)),TRIM(MID('R.M Billets Reports'!D1340,SEARCH("-",'R.M Billets Reports'!D1340)+1,200)),""))&lt;&gt;"",IF(ISNUMBER(SEARCH("Party Name:-",'R.M Billets Reports'!D1340)),TRIM('R.M Billets Reports'!F1340),IF(ISNUMBER(SEARCH("Party Name-",'R.M Billets Reports'!D1340)),TRIM(MID('R.M Billets Reports'!D1340,SEARCH("-",'R.M Billets Reports'!D1340)+1,200)),"")),IF(ISNUMBER(SEARCH("Party Name:-",'R.M Billets Reports'!D1341)),TRIM('R.M Billets Reports'!F1341),IF(ISNUMBER(SEARCH("Party Name-",'R.M Billets Reports'!D1341)),TRIM(MID('R.M Billets Reports'!D1341,SEARCH("-",'R.M Billets Reports'!D1341)+1,200)),"")))="VRKP ISPAT PVT LTD","VRKP",IF(IF(IF(ISNUMBER(SEARCH("Party Name:-",'R.M Billets Reports'!D1340)),TRIM('R.M Billets Reports'!F1340),IF(ISNUMBER(SEARCH("Party Name-",'R.M Billets Reports'!D1340)),TRIM(MID('R.M Billets Reports'!D1340,SEARCH("-",'R.M Billets Reports'!D1340)+1,200)),""))&lt;&gt;"",IF(ISNUMBER(SEARCH("Party Name:-",'R.M Billets Reports'!D1340)),TRIM('R.M Billets Reports'!F1340),IF(ISNUMBER(SEARCH("Party Name-",'R.M Billets Reports'!D1340)),TRIM(MID('R.M Billets Reports'!D1340,SEARCH("-",'R.M Billets Reports'!D1340)+1,200)),"")),IF(ISNUMBER(SEARCH("Party Name:-",'R.M Billets Reports'!D1341)),TRIM('R.M Billets Reports'!F1341),IF(ISNUMBER(SEARCH("Party Name-",'R.M Billets Reports'!D1341)),TRIM(MID('R.M Billets Reports'!D1341,SEARCH("-",'R.M Billets Reports'!D1341)+1,200)),"")))="SHRI RADHE","SHREE RADHE",IF(IF(IF(ISNUMBER(SEARCH("Party Name:-",'R.M Billets Reports'!D1340)),TRIM('R.M Billets Reports'!F1340),IF(ISNUMBER(SEARCH("Party Name-",'R.M Billets Reports'!D1340)),TRIM(MID('R.M Billets Reports'!D1340,SEARCH("-",'R.M Billets Reports'!D1340)+1,200)),""))&lt;&gt;"",IF(ISNUMBER(SEARCH("Party Name:-",'R.M Billets Reports'!D1340)),TRIM('R.M Billets Reports'!F1340),IF(ISNUMBER(SEARCH("Party Name-",'R.M Billets Reports'!D1340)),TRIM(MID('R.M Billets Reports'!D1340,SEARCH("-",'R.M Billets Reports'!D1340)+1,200)),"")),IF(ISNUMBER(SEARCH("Party Name:-",'R.M Billets Reports'!D1341)),TRIM('R.M Billets Reports'!F1341),IF(ISNUMBER(SEARCH("Party Name-",'R.M Billets Reports'!D1341)),TRIM(MID('R.M Billets Reports'!D1341,SEARCH("-",'R.M Billets Reports'!D1341)+1,200)),"")))="SHREE RADHE SHAKTI SPONGE AND POWER PVT. LTD.","SHREE RADHE",IF(IF(ISNUMBER(SEARCH("Party Name:-",'R.M Billets Reports'!D1340)),TRIM('R.M Billets Reports'!F1340),IF(ISNUMBER(SEARCH("Party Name-",'R.M Billets Reports'!D1340)),TRIM(MID('R.M Billets Reports'!D1340,SEARCH("-",'R.M Billets Reports'!D1340)+1,200)),""))&lt;&gt;"",IF(ISNUMBER(SEARCH("Party Name:-",'R.M Billets Reports'!D1340)),TRIM('R.M Billets Reports'!F1340),IF(ISNUMBER(SEARCH("Party Name-",'R.M Billets Reports'!D1340)),TRIM(MID('R.M Billets Reports'!D1340,SEARCH("-",'R.M Billets Reports'!D1340)+1,200)),"")),IF(ISNUMBER(SEARCH("Party Name:-",'R.M Billets Reports'!D1341)),TRIM('R.M Billets Reports'!F1341),IF(ISNUMBER(SEARCH("Party Name-",'R.M Billets Reports'!D1341)),TRIM(MID('R.M Billets Reports'!D1341,SEARCH("-",'R.M Billets Reports'!D1341)+1,200)),"")))))),IF(ROW()=2,"",A1340))</f>
      </c>
      <c r="B1341">
        <f>IF(OR('R.M Billets Reports'!A1340="Date-",'R.M Billets Reports'!A1340="Date:-"),'R.M Billets Reports'!B1340,IF(ROW()=2,"",B1340))</f>
      </c>
      <c r="C1341">
        <f>IF('R.M Billets Reports'!A1340="V.No.",'R.M Billets Reports'!B1340,IF(ROW()=2,"",C1340))</f>
      </c>
      <c r="D1341">
        <f>IF('R.M Billets Reports'!A1340&lt;&gt;"",'R.M Billets Reports'!A1340,IF(ROW()=2,"",D1340))</f>
      </c>
      <c r="E1341">
        <f>IF('R.M Billets Reports'!B1340="","",TRIM('R.M Billets Reports'!B1340))</f>
      </c>
      <c r="F1341">
        <f>'R.M Billets Reports'!C1340</f>
      </c>
      <c r="G1341">
        <f>'R.M Billets Reports'!D1340</f>
      </c>
      <c r="H1341">
        <f>'R.M Billets Reports'!E1340</f>
      </c>
      <c r="I1341">
        <f>'R.M Billets Reports'!F1340</f>
      </c>
      <c r="J1341">
        <f>'R.M Billets Reports'!G1340</f>
      </c>
      <c r="K1341">
        <f>'R.M Billets Reports'!H1340</f>
      </c>
      <c r="L1341">
        <f>IF('R.M Billets Reports'!I1340="","",'R.M Billets Reports'!I1340)</f>
      </c>
      <c r="M1341">
        <f t="shared" si="40"/>
      </c>
      <c r="N1341">
        <f>IF('R.M Billets Reports'!J1340="","",'R.M Billets Reports'!J1340)</f>
      </c>
      <c r="O1341">
        <f t="shared" si="41"/>
      </c>
      <c r="P1341">
        <f>IF('R.M Billets Reports'!A1340="SIZE",'R.M Billets Reports'!B1340,P1340)</f>
      </c>
    </row>
    <row r="1342" spans="1:16" x14ac:dyDescent="0.25">
      <c r="A1342">
        <f>IF(OR('R.M Billets Reports'!A1341="Date-",'R.M Billets Reports'!A1341="Date:-"),IF(IF(IF(ISNUMBER(SEARCH("Party Name:-",'R.M Billets Reports'!D1341)),TRIM('R.M Billets Reports'!F1341),IF(ISNUMBER(SEARCH("Party Name-",'R.M Billets Reports'!D1341)),TRIM(MID('R.M Billets Reports'!D1341,SEARCH("-",'R.M Billets Reports'!D1341)+1,200)),""))&lt;&gt;"",IF(ISNUMBER(SEARCH("Party Name:-",'R.M Billets Reports'!D1341)),TRIM('R.M Billets Reports'!F1341),IF(ISNUMBER(SEARCH("Party Name-",'R.M Billets Reports'!D1341)),TRIM(MID('R.M Billets Reports'!D1341,SEARCH("-",'R.M Billets Reports'!D1341)+1,200)),"")),IF(ISNUMBER(SEARCH("Party Name:-",'R.M Billets Reports'!D1342)),TRIM('R.M Billets Reports'!F1342),IF(ISNUMBER(SEARCH("Party Name-",'R.M Billets Reports'!D1342)),TRIM(MID('R.M Billets Reports'!D1342,SEARCH("-",'R.M Billets Reports'!D1342)+1,200)),"")))="VRKP ISPAT PVT LTD","VRKP",IF(IF(IF(ISNUMBER(SEARCH("Party Name:-",'R.M Billets Reports'!D1341)),TRIM('R.M Billets Reports'!F1341),IF(ISNUMBER(SEARCH("Party Name-",'R.M Billets Reports'!D1341)),TRIM(MID('R.M Billets Reports'!D1341,SEARCH("-",'R.M Billets Reports'!D1341)+1,200)),""))&lt;&gt;"",IF(ISNUMBER(SEARCH("Party Name:-",'R.M Billets Reports'!D1341)),TRIM('R.M Billets Reports'!F1341),IF(ISNUMBER(SEARCH("Party Name-",'R.M Billets Reports'!D1341)),TRIM(MID('R.M Billets Reports'!D1341,SEARCH("-",'R.M Billets Reports'!D1341)+1,200)),"")),IF(ISNUMBER(SEARCH("Party Name:-",'R.M Billets Reports'!D1342)),TRIM('R.M Billets Reports'!F1342),IF(ISNUMBER(SEARCH("Party Name-",'R.M Billets Reports'!D1342)),TRIM(MID('R.M Billets Reports'!D1342,SEARCH("-",'R.M Billets Reports'!D1342)+1,200)),"")))="SHRI RADHE","SHREE RADHE",IF(IF(IF(ISNUMBER(SEARCH("Party Name:-",'R.M Billets Reports'!D1341)),TRIM('R.M Billets Reports'!F1341),IF(ISNUMBER(SEARCH("Party Name-",'R.M Billets Reports'!D1341)),TRIM(MID('R.M Billets Reports'!D1341,SEARCH("-",'R.M Billets Reports'!D1341)+1,200)),""))&lt;&gt;"",IF(ISNUMBER(SEARCH("Party Name:-",'R.M Billets Reports'!D1341)),TRIM('R.M Billets Reports'!F1341),IF(ISNUMBER(SEARCH("Party Name-",'R.M Billets Reports'!D1341)),TRIM(MID('R.M Billets Reports'!D1341,SEARCH("-",'R.M Billets Reports'!D1341)+1,200)),"")),IF(ISNUMBER(SEARCH("Party Name:-",'R.M Billets Reports'!D1342)),TRIM('R.M Billets Reports'!F1342),IF(ISNUMBER(SEARCH("Party Name-",'R.M Billets Reports'!D1342)),TRIM(MID('R.M Billets Reports'!D1342,SEARCH("-",'R.M Billets Reports'!D1342)+1,200)),"")))="SHREE RADHE SHAKTI SPONGE AND POWER PVT. LTD.","SHREE RADHE",IF(IF(ISNUMBER(SEARCH("Party Name:-",'R.M Billets Reports'!D1341)),TRIM('R.M Billets Reports'!F1341),IF(ISNUMBER(SEARCH("Party Name-",'R.M Billets Reports'!D1341)),TRIM(MID('R.M Billets Reports'!D1341,SEARCH("-",'R.M Billets Reports'!D1341)+1,200)),""))&lt;&gt;"",IF(ISNUMBER(SEARCH("Party Name:-",'R.M Billets Reports'!D1341)),TRIM('R.M Billets Reports'!F1341),IF(ISNUMBER(SEARCH("Party Name-",'R.M Billets Reports'!D1341)),TRIM(MID('R.M Billets Reports'!D1341,SEARCH("-",'R.M Billets Reports'!D1341)+1,200)),"")),IF(ISNUMBER(SEARCH("Party Name:-",'R.M Billets Reports'!D1342)),TRIM('R.M Billets Reports'!F1342),IF(ISNUMBER(SEARCH("Party Name-",'R.M Billets Reports'!D1342)),TRIM(MID('R.M Billets Reports'!D1342,SEARCH("-",'R.M Billets Reports'!D1342)+1,200)),"")))))),IF(ROW()=2,"",A1341))</f>
      </c>
      <c r="B1342">
        <f>IF(OR('R.M Billets Reports'!A1341="Date-",'R.M Billets Reports'!A1341="Date:-"),'R.M Billets Reports'!B1341,IF(ROW()=2,"",B1341))</f>
      </c>
      <c r="C1342">
        <f>IF('R.M Billets Reports'!A1341="V.No.",'R.M Billets Reports'!B1341,IF(ROW()=2,"",C1341))</f>
      </c>
      <c r="D1342">
        <f>IF('R.M Billets Reports'!A1341&lt;&gt;"",'R.M Billets Reports'!A1341,IF(ROW()=2,"",D1341))</f>
      </c>
      <c r="E1342">
        <f>IF('R.M Billets Reports'!B1341="","",TRIM('R.M Billets Reports'!B1341))</f>
      </c>
      <c r="F1342">
        <f>'R.M Billets Reports'!C1341</f>
      </c>
      <c r="G1342">
        <f>'R.M Billets Reports'!D1341</f>
      </c>
      <c r="H1342">
        <f>'R.M Billets Reports'!E1341</f>
      </c>
      <c r="I1342">
        <f>'R.M Billets Reports'!F1341</f>
      </c>
      <c r="J1342">
        <f>'R.M Billets Reports'!G1341</f>
      </c>
      <c r="K1342">
        <f>'R.M Billets Reports'!H1341</f>
      </c>
      <c r="L1342">
        <f>IF('R.M Billets Reports'!I1341="","",'R.M Billets Reports'!I1341)</f>
      </c>
      <c r="M1342">
        <f t="shared" si="40"/>
      </c>
      <c r="N1342">
        <f>IF('R.M Billets Reports'!J1341="","",'R.M Billets Reports'!J1341)</f>
      </c>
      <c r="O1342">
        <f t="shared" si="41"/>
      </c>
      <c r="P1342">
        <f>IF('R.M Billets Reports'!A1341="SIZE",'R.M Billets Reports'!B1341,P1341)</f>
      </c>
    </row>
    <row r="1343" spans="1:16" x14ac:dyDescent="0.25">
      <c r="A1343">
        <f>IF(OR('R.M Billets Reports'!A1342="Date-",'R.M Billets Reports'!A1342="Date:-"),IF(IF(IF(ISNUMBER(SEARCH("Party Name:-",'R.M Billets Reports'!D1342)),TRIM('R.M Billets Reports'!F1342),IF(ISNUMBER(SEARCH("Party Name-",'R.M Billets Reports'!D1342)),TRIM(MID('R.M Billets Reports'!D1342,SEARCH("-",'R.M Billets Reports'!D1342)+1,200)),""))&lt;&gt;"",IF(ISNUMBER(SEARCH("Party Name:-",'R.M Billets Reports'!D1342)),TRIM('R.M Billets Reports'!F1342),IF(ISNUMBER(SEARCH("Party Name-",'R.M Billets Reports'!D1342)),TRIM(MID('R.M Billets Reports'!D1342,SEARCH("-",'R.M Billets Reports'!D1342)+1,200)),"")),IF(ISNUMBER(SEARCH("Party Name:-",'R.M Billets Reports'!D1343)),TRIM('R.M Billets Reports'!F1343),IF(ISNUMBER(SEARCH("Party Name-",'R.M Billets Reports'!D1343)),TRIM(MID('R.M Billets Reports'!D1343,SEARCH("-",'R.M Billets Reports'!D1343)+1,200)),"")))="VRKP ISPAT PVT LTD","VRKP",IF(IF(IF(ISNUMBER(SEARCH("Party Name:-",'R.M Billets Reports'!D1342)),TRIM('R.M Billets Reports'!F1342),IF(ISNUMBER(SEARCH("Party Name-",'R.M Billets Reports'!D1342)),TRIM(MID('R.M Billets Reports'!D1342,SEARCH("-",'R.M Billets Reports'!D1342)+1,200)),""))&lt;&gt;"",IF(ISNUMBER(SEARCH("Party Name:-",'R.M Billets Reports'!D1342)),TRIM('R.M Billets Reports'!F1342),IF(ISNUMBER(SEARCH("Party Name-",'R.M Billets Reports'!D1342)),TRIM(MID('R.M Billets Reports'!D1342,SEARCH("-",'R.M Billets Reports'!D1342)+1,200)),"")),IF(ISNUMBER(SEARCH("Party Name:-",'R.M Billets Reports'!D1343)),TRIM('R.M Billets Reports'!F1343),IF(ISNUMBER(SEARCH("Party Name-",'R.M Billets Reports'!D1343)),TRIM(MID('R.M Billets Reports'!D1343,SEARCH("-",'R.M Billets Reports'!D1343)+1,200)),"")))="SHRI RADHE","SHREE RADHE",IF(IF(IF(ISNUMBER(SEARCH("Party Name:-",'R.M Billets Reports'!D1342)),TRIM('R.M Billets Reports'!F1342),IF(ISNUMBER(SEARCH("Party Name-",'R.M Billets Reports'!D1342)),TRIM(MID('R.M Billets Reports'!D1342,SEARCH("-",'R.M Billets Reports'!D1342)+1,200)),""))&lt;&gt;"",IF(ISNUMBER(SEARCH("Party Name:-",'R.M Billets Reports'!D1342)),TRIM('R.M Billets Reports'!F1342),IF(ISNUMBER(SEARCH("Party Name-",'R.M Billets Reports'!D1342)),TRIM(MID('R.M Billets Reports'!D1342,SEARCH("-",'R.M Billets Reports'!D1342)+1,200)),"")),IF(ISNUMBER(SEARCH("Party Name:-",'R.M Billets Reports'!D1343)),TRIM('R.M Billets Reports'!F1343),IF(ISNUMBER(SEARCH("Party Name-",'R.M Billets Reports'!D1343)),TRIM(MID('R.M Billets Reports'!D1343,SEARCH("-",'R.M Billets Reports'!D1343)+1,200)),"")))="SHREE RADHE SHAKTI SPONGE AND POWER PVT. LTD.","SHREE RADHE",IF(IF(ISNUMBER(SEARCH("Party Name:-",'R.M Billets Reports'!D1342)),TRIM('R.M Billets Reports'!F1342),IF(ISNUMBER(SEARCH("Party Name-",'R.M Billets Reports'!D1342)),TRIM(MID('R.M Billets Reports'!D1342,SEARCH("-",'R.M Billets Reports'!D1342)+1,200)),""))&lt;&gt;"",IF(ISNUMBER(SEARCH("Party Name:-",'R.M Billets Reports'!D1342)),TRIM('R.M Billets Reports'!F1342),IF(ISNUMBER(SEARCH("Party Name-",'R.M Billets Reports'!D1342)),TRIM(MID('R.M Billets Reports'!D1342,SEARCH("-",'R.M Billets Reports'!D1342)+1,200)),"")),IF(ISNUMBER(SEARCH("Party Name:-",'R.M Billets Reports'!D1343)),TRIM('R.M Billets Reports'!F1343),IF(ISNUMBER(SEARCH("Party Name-",'R.M Billets Reports'!D1343)),TRIM(MID('R.M Billets Reports'!D1343,SEARCH("-",'R.M Billets Reports'!D1343)+1,200)),"")))))),IF(ROW()=2,"",A1342))</f>
      </c>
      <c r="B1343">
        <f>IF(OR('R.M Billets Reports'!A1342="Date-",'R.M Billets Reports'!A1342="Date:-"),'R.M Billets Reports'!B1342,IF(ROW()=2,"",B1342))</f>
      </c>
      <c r="C1343">
        <f>IF('R.M Billets Reports'!A1342="V.No.",'R.M Billets Reports'!B1342,IF(ROW()=2,"",C1342))</f>
      </c>
      <c r="D1343">
        <f>IF('R.M Billets Reports'!A1342&lt;&gt;"",'R.M Billets Reports'!A1342,IF(ROW()=2,"",D1342))</f>
      </c>
      <c r="E1343">
        <f>IF('R.M Billets Reports'!B1342="","",TRIM('R.M Billets Reports'!B1342))</f>
      </c>
      <c r="F1343">
        <f>'R.M Billets Reports'!C1342</f>
      </c>
      <c r="G1343">
        <f>'R.M Billets Reports'!D1342</f>
      </c>
      <c r="H1343">
        <f>'R.M Billets Reports'!E1342</f>
      </c>
      <c r="I1343">
        <f>'R.M Billets Reports'!F1342</f>
      </c>
      <c r="J1343">
        <f>'R.M Billets Reports'!G1342</f>
      </c>
      <c r="K1343">
        <f>'R.M Billets Reports'!H1342</f>
      </c>
      <c r="L1343">
        <f>IF('R.M Billets Reports'!I1342="","",'R.M Billets Reports'!I1342)</f>
      </c>
      <c r="M1343">
        <f t="shared" si="40"/>
      </c>
      <c r="N1343">
        <f>IF('R.M Billets Reports'!J1342="","",'R.M Billets Reports'!J1342)</f>
      </c>
      <c r="O1343">
        <f t="shared" si="41"/>
      </c>
      <c r="P1343">
        <f>IF('R.M Billets Reports'!A1342="SIZE",'R.M Billets Reports'!B1342,P1342)</f>
      </c>
    </row>
    <row r="1344" spans="1:16" x14ac:dyDescent="0.25">
      <c r="A1344">
        <f>IF(OR('R.M Billets Reports'!A1343="Date-",'R.M Billets Reports'!A1343="Date:-"),IF(IF(IF(ISNUMBER(SEARCH("Party Name:-",'R.M Billets Reports'!D1343)),TRIM('R.M Billets Reports'!F1343),IF(ISNUMBER(SEARCH("Party Name-",'R.M Billets Reports'!D1343)),TRIM(MID('R.M Billets Reports'!D1343,SEARCH("-",'R.M Billets Reports'!D1343)+1,200)),""))&lt;&gt;"",IF(ISNUMBER(SEARCH("Party Name:-",'R.M Billets Reports'!D1343)),TRIM('R.M Billets Reports'!F1343),IF(ISNUMBER(SEARCH("Party Name-",'R.M Billets Reports'!D1343)),TRIM(MID('R.M Billets Reports'!D1343,SEARCH("-",'R.M Billets Reports'!D1343)+1,200)),"")),IF(ISNUMBER(SEARCH("Party Name:-",'R.M Billets Reports'!D1344)),TRIM('R.M Billets Reports'!F1344),IF(ISNUMBER(SEARCH("Party Name-",'R.M Billets Reports'!D1344)),TRIM(MID('R.M Billets Reports'!D1344,SEARCH("-",'R.M Billets Reports'!D1344)+1,200)),"")))="VRKP ISPAT PVT LTD","VRKP",IF(IF(IF(ISNUMBER(SEARCH("Party Name:-",'R.M Billets Reports'!D1343)),TRIM('R.M Billets Reports'!F1343),IF(ISNUMBER(SEARCH("Party Name-",'R.M Billets Reports'!D1343)),TRIM(MID('R.M Billets Reports'!D1343,SEARCH("-",'R.M Billets Reports'!D1343)+1,200)),""))&lt;&gt;"",IF(ISNUMBER(SEARCH("Party Name:-",'R.M Billets Reports'!D1343)),TRIM('R.M Billets Reports'!F1343),IF(ISNUMBER(SEARCH("Party Name-",'R.M Billets Reports'!D1343)),TRIM(MID('R.M Billets Reports'!D1343,SEARCH("-",'R.M Billets Reports'!D1343)+1,200)),"")),IF(ISNUMBER(SEARCH("Party Name:-",'R.M Billets Reports'!D1344)),TRIM('R.M Billets Reports'!F1344),IF(ISNUMBER(SEARCH("Party Name-",'R.M Billets Reports'!D1344)),TRIM(MID('R.M Billets Reports'!D1344,SEARCH("-",'R.M Billets Reports'!D1344)+1,200)),"")))="SHRI RADHE","SHREE RADHE",IF(IF(IF(ISNUMBER(SEARCH("Party Name:-",'R.M Billets Reports'!D1343)),TRIM('R.M Billets Reports'!F1343),IF(ISNUMBER(SEARCH("Party Name-",'R.M Billets Reports'!D1343)),TRIM(MID('R.M Billets Reports'!D1343,SEARCH("-",'R.M Billets Reports'!D1343)+1,200)),""))&lt;&gt;"",IF(ISNUMBER(SEARCH("Party Name:-",'R.M Billets Reports'!D1343)),TRIM('R.M Billets Reports'!F1343),IF(ISNUMBER(SEARCH("Party Name-",'R.M Billets Reports'!D1343)),TRIM(MID('R.M Billets Reports'!D1343,SEARCH("-",'R.M Billets Reports'!D1343)+1,200)),"")),IF(ISNUMBER(SEARCH("Party Name:-",'R.M Billets Reports'!D1344)),TRIM('R.M Billets Reports'!F1344),IF(ISNUMBER(SEARCH("Party Name-",'R.M Billets Reports'!D1344)),TRIM(MID('R.M Billets Reports'!D1344,SEARCH("-",'R.M Billets Reports'!D1344)+1,200)),"")))="SHREE RADHE SHAKTI SPONGE AND POWER PVT. LTD.","SHREE RADHE",IF(IF(ISNUMBER(SEARCH("Party Name:-",'R.M Billets Reports'!D1343)),TRIM('R.M Billets Reports'!F1343),IF(ISNUMBER(SEARCH("Party Name-",'R.M Billets Reports'!D1343)),TRIM(MID('R.M Billets Reports'!D1343,SEARCH("-",'R.M Billets Reports'!D1343)+1,200)),""))&lt;&gt;"",IF(ISNUMBER(SEARCH("Party Name:-",'R.M Billets Reports'!D1343)),TRIM('R.M Billets Reports'!F1343),IF(ISNUMBER(SEARCH("Party Name-",'R.M Billets Reports'!D1343)),TRIM(MID('R.M Billets Reports'!D1343,SEARCH("-",'R.M Billets Reports'!D1343)+1,200)),"")),IF(ISNUMBER(SEARCH("Party Name:-",'R.M Billets Reports'!D1344)),TRIM('R.M Billets Reports'!F1344),IF(ISNUMBER(SEARCH("Party Name-",'R.M Billets Reports'!D1344)),TRIM(MID('R.M Billets Reports'!D1344,SEARCH("-",'R.M Billets Reports'!D1344)+1,200)),"")))))),IF(ROW()=2,"",A1343))</f>
      </c>
      <c r="B1344">
        <f>IF(OR('R.M Billets Reports'!A1343="Date-",'R.M Billets Reports'!A1343="Date:-"),'R.M Billets Reports'!B1343,IF(ROW()=2,"",B1343))</f>
      </c>
      <c r="C1344">
        <f>IF('R.M Billets Reports'!A1343="V.No.",'R.M Billets Reports'!B1343,IF(ROW()=2,"",C1343))</f>
      </c>
      <c r="D1344">
        <f>IF('R.M Billets Reports'!A1343&lt;&gt;"",'R.M Billets Reports'!A1343,IF(ROW()=2,"",D1343))</f>
      </c>
      <c r="E1344">
        <f>IF('R.M Billets Reports'!B1343="","",TRIM('R.M Billets Reports'!B1343))</f>
      </c>
      <c r="F1344">
        <f>'R.M Billets Reports'!C1343</f>
      </c>
      <c r="G1344">
        <f>'R.M Billets Reports'!D1343</f>
      </c>
      <c r="H1344">
        <f>'R.M Billets Reports'!E1343</f>
      </c>
      <c r="I1344">
        <f>'R.M Billets Reports'!F1343</f>
      </c>
      <c r="J1344">
        <f>'R.M Billets Reports'!G1343</f>
      </c>
      <c r="K1344">
        <f>'R.M Billets Reports'!H1343</f>
      </c>
      <c r="L1344">
        <f>IF('R.M Billets Reports'!I1343="","",'R.M Billets Reports'!I1343)</f>
      </c>
      <c r="M1344">
        <f t="shared" si="40"/>
      </c>
      <c r="N1344">
        <f>IF('R.M Billets Reports'!J1343="","",'R.M Billets Reports'!J1343)</f>
      </c>
      <c r="O1344">
        <f t="shared" si="41"/>
      </c>
      <c r="P1344">
        <f>IF('R.M Billets Reports'!A1343="SIZE",'R.M Billets Reports'!B1343,P1343)</f>
      </c>
    </row>
    <row r="1345" spans="1:16" x14ac:dyDescent="0.25">
      <c r="A1345">
        <f>IF(OR('R.M Billets Reports'!A1344="Date-",'R.M Billets Reports'!A1344="Date:-"),IF(IF(IF(ISNUMBER(SEARCH("Party Name:-",'R.M Billets Reports'!D1344)),TRIM('R.M Billets Reports'!F1344),IF(ISNUMBER(SEARCH("Party Name-",'R.M Billets Reports'!D1344)),TRIM(MID('R.M Billets Reports'!D1344,SEARCH("-",'R.M Billets Reports'!D1344)+1,200)),""))&lt;&gt;"",IF(ISNUMBER(SEARCH("Party Name:-",'R.M Billets Reports'!D1344)),TRIM('R.M Billets Reports'!F1344),IF(ISNUMBER(SEARCH("Party Name-",'R.M Billets Reports'!D1344)),TRIM(MID('R.M Billets Reports'!D1344,SEARCH("-",'R.M Billets Reports'!D1344)+1,200)),"")),IF(ISNUMBER(SEARCH("Party Name:-",'R.M Billets Reports'!D1345)),TRIM('R.M Billets Reports'!F1345),IF(ISNUMBER(SEARCH("Party Name-",'R.M Billets Reports'!D1345)),TRIM(MID('R.M Billets Reports'!D1345,SEARCH("-",'R.M Billets Reports'!D1345)+1,200)),"")))="VRKP ISPAT PVT LTD","VRKP",IF(IF(IF(ISNUMBER(SEARCH("Party Name:-",'R.M Billets Reports'!D1344)),TRIM('R.M Billets Reports'!F1344),IF(ISNUMBER(SEARCH("Party Name-",'R.M Billets Reports'!D1344)),TRIM(MID('R.M Billets Reports'!D1344,SEARCH("-",'R.M Billets Reports'!D1344)+1,200)),""))&lt;&gt;"",IF(ISNUMBER(SEARCH("Party Name:-",'R.M Billets Reports'!D1344)),TRIM('R.M Billets Reports'!F1344),IF(ISNUMBER(SEARCH("Party Name-",'R.M Billets Reports'!D1344)),TRIM(MID('R.M Billets Reports'!D1344,SEARCH("-",'R.M Billets Reports'!D1344)+1,200)),"")),IF(ISNUMBER(SEARCH("Party Name:-",'R.M Billets Reports'!D1345)),TRIM('R.M Billets Reports'!F1345),IF(ISNUMBER(SEARCH("Party Name-",'R.M Billets Reports'!D1345)),TRIM(MID('R.M Billets Reports'!D1345,SEARCH("-",'R.M Billets Reports'!D1345)+1,200)),"")))="SHRI RADHE","SHREE RADHE",IF(IF(IF(ISNUMBER(SEARCH("Party Name:-",'R.M Billets Reports'!D1344)),TRIM('R.M Billets Reports'!F1344),IF(ISNUMBER(SEARCH("Party Name-",'R.M Billets Reports'!D1344)),TRIM(MID('R.M Billets Reports'!D1344,SEARCH("-",'R.M Billets Reports'!D1344)+1,200)),""))&lt;&gt;"",IF(ISNUMBER(SEARCH("Party Name:-",'R.M Billets Reports'!D1344)),TRIM('R.M Billets Reports'!F1344),IF(ISNUMBER(SEARCH("Party Name-",'R.M Billets Reports'!D1344)),TRIM(MID('R.M Billets Reports'!D1344,SEARCH("-",'R.M Billets Reports'!D1344)+1,200)),"")),IF(ISNUMBER(SEARCH("Party Name:-",'R.M Billets Reports'!D1345)),TRIM('R.M Billets Reports'!F1345),IF(ISNUMBER(SEARCH("Party Name-",'R.M Billets Reports'!D1345)),TRIM(MID('R.M Billets Reports'!D1345,SEARCH("-",'R.M Billets Reports'!D1345)+1,200)),"")))="SHREE RADHE SHAKTI SPONGE AND POWER PVT. LTD.","SHREE RADHE",IF(IF(ISNUMBER(SEARCH("Party Name:-",'R.M Billets Reports'!D1344)),TRIM('R.M Billets Reports'!F1344),IF(ISNUMBER(SEARCH("Party Name-",'R.M Billets Reports'!D1344)),TRIM(MID('R.M Billets Reports'!D1344,SEARCH("-",'R.M Billets Reports'!D1344)+1,200)),""))&lt;&gt;"",IF(ISNUMBER(SEARCH("Party Name:-",'R.M Billets Reports'!D1344)),TRIM('R.M Billets Reports'!F1344),IF(ISNUMBER(SEARCH("Party Name-",'R.M Billets Reports'!D1344)),TRIM(MID('R.M Billets Reports'!D1344,SEARCH("-",'R.M Billets Reports'!D1344)+1,200)),"")),IF(ISNUMBER(SEARCH("Party Name:-",'R.M Billets Reports'!D1345)),TRIM('R.M Billets Reports'!F1345),IF(ISNUMBER(SEARCH("Party Name-",'R.M Billets Reports'!D1345)),TRIM(MID('R.M Billets Reports'!D1345,SEARCH("-",'R.M Billets Reports'!D1345)+1,200)),"")))))),IF(ROW()=2,"",A1344))</f>
      </c>
      <c r="B1345">
        <f>IF(OR('R.M Billets Reports'!A1344="Date-",'R.M Billets Reports'!A1344="Date:-"),'R.M Billets Reports'!B1344,IF(ROW()=2,"",B1344))</f>
      </c>
      <c r="C1345">
        <f>IF('R.M Billets Reports'!A1344="V.No.",'R.M Billets Reports'!B1344,IF(ROW()=2,"",C1344))</f>
      </c>
      <c r="D1345">
        <f>IF('R.M Billets Reports'!A1344&lt;&gt;"",'R.M Billets Reports'!A1344,IF(ROW()=2,"",D1344))</f>
      </c>
      <c r="E1345">
        <f>IF('R.M Billets Reports'!B1344="","",TRIM('R.M Billets Reports'!B1344))</f>
      </c>
      <c r="F1345">
        <f>'R.M Billets Reports'!C1344</f>
      </c>
      <c r="G1345">
        <f>'R.M Billets Reports'!D1344</f>
      </c>
      <c r="H1345">
        <f>'R.M Billets Reports'!E1344</f>
      </c>
      <c r="I1345">
        <f>'R.M Billets Reports'!F1344</f>
      </c>
      <c r="J1345">
        <f>'R.M Billets Reports'!G1344</f>
      </c>
      <c r="K1345">
        <f>'R.M Billets Reports'!H1344</f>
      </c>
      <c r="L1345">
        <f>IF('R.M Billets Reports'!I1344="","",'R.M Billets Reports'!I1344)</f>
      </c>
      <c r="M1345">
        <f t="shared" si="40"/>
      </c>
      <c r="N1345">
        <f>IF('R.M Billets Reports'!J1344="","",'R.M Billets Reports'!J1344)</f>
      </c>
      <c r="O1345">
        <f t="shared" si="41"/>
      </c>
      <c r="P1345">
        <f>IF('R.M Billets Reports'!A1344="SIZE",'R.M Billets Reports'!B1344,P1344)</f>
      </c>
    </row>
    <row r="1346" spans="1:16" x14ac:dyDescent="0.25">
      <c r="A1346">
        <f>IF(OR('R.M Billets Reports'!A1345="Date-",'R.M Billets Reports'!A1345="Date:-"),IF(IF(IF(ISNUMBER(SEARCH("Party Name:-",'R.M Billets Reports'!D1345)),TRIM('R.M Billets Reports'!F1345),IF(ISNUMBER(SEARCH("Party Name-",'R.M Billets Reports'!D1345)),TRIM(MID('R.M Billets Reports'!D1345,SEARCH("-",'R.M Billets Reports'!D1345)+1,200)),""))&lt;&gt;"",IF(ISNUMBER(SEARCH("Party Name:-",'R.M Billets Reports'!D1345)),TRIM('R.M Billets Reports'!F1345),IF(ISNUMBER(SEARCH("Party Name-",'R.M Billets Reports'!D1345)),TRIM(MID('R.M Billets Reports'!D1345,SEARCH("-",'R.M Billets Reports'!D1345)+1,200)),"")),IF(ISNUMBER(SEARCH("Party Name:-",'R.M Billets Reports'!D1346)),TRIM('R.M Billets Reports'!F1346),IF(ISNUMBER(SEARCH("Party Name-",'R.M Billets Reports'!D1346)),TRIM(MID('R.M Billets Reports'!D1346,SEARCH("-",'R.M Billets Reports'!D1346)+1,200)),"")))="VRKP ISPAT PVT LTD","VRKP",IF(IF(IF(ISNUMBER(SEARCH("Party Name:-",'R.M Billets Reports'!D1345)),TRIM('R.M Billets Reports'!F1345),IF(ISNUMBER(SEARCH("Party Name-",'R.M Billets Reports'!D1345)),TRIM(MID('R.M Billets Reports'!D1345,SEARCH("-",'R.M Billets Reports'!D1345)+1,200)),""))&lt;&gt;"",IF(ISNUMBER(SEARCH("Party Name:-",'R.M Billets Reports'!D1345)),TRIM('R.M Billets Reports'!F1345),IF(ISNUMBER(SEARCH("Party Name-",'R.M Billets Reports'!D1345)),TRIM(MID('R.M Billets Reports'!D1345,SEARCH("-",'R.M Billets Reports'!D1345)+1,200)),"")),IF(ISNUMBER(SEARCH("Party Name:-",'R.M Billets Reports'!D1346)),TRIM('R.M Billets Reports'!F1346),IF(ISNUMBER(SEARCH("Party Name-",'R.M Billets Reports'!D1346)),TRIM(MID('R.M Billets Reports'!D1346,SEARCH("-",'R.M Billets Reports'!D1346)+1,200)),"")))="SHRI RADHE","SHREE RADHE",IF(IF(IF(ISNUMBER(SEARCH("Party Name:-",'R.M Billets Reports'!D1345)),TRIM('R.M Billets Reports'!F1345),IF(ISNUMBER(SEARCH("Party Name-",'R.M Billets Reports'!D1345)),TRIM(MID('R.M Billets Reports'!D1345,SEARCH("-",'R.M Billets Reports'!D1345)+1,200)),""))&lt;&gt;"",IF(ISNUMBER(SEARCH("Party Name:-",'R.M Billets Reports'!D1345)),TRIM('R.M Billets Reports'!F1345),IF(ISNUMBER(SEARCH("Party Name-",'R.M Billets Reports'!D1345)),TRIM(MID('R.M Billets Reports'!D1345,SEARCH("-",'R.M Billets Reports'!D1345)+1,200)),"")),IF(ISNUMBER(SEARCH("Party Name:-",'R.M Billets Reports'!D1346)),TRIM('R.M Billets Reports'!F1346),IF(ISNUMBER(SEARCH("Party Name-",'R.M Billets Reports'!D1346)),TRIM(MID('R.M Billets Reports'!D1346,SEARCH("-",'R.M Billets Reports'!D1346)+1,200)),"")))="SHREE RADHE SHAKTI SPONGE AND POWER PVT. LTD.","SHREE RADHE",IF(IF(ISNUMBER(SEARCH("Party Name:-",'R.M Billets Reports'!D1345)),TRIM('R.M Billets Reports'!F1345),IF(ISNUMBER(SEARCH("Party Name-",'R.M Billets Reports'!D1345)),TRIM(MID('R.M Billets Reports'!D1345,SEARCH("-",'R.M Billets Reports'!D1345)+1,200)),""))&lt;&gt;"",IF(ISNUMBER(SEARCH("Party Name:-",'R.M Billets Reports'!D1345)),TRIM('R.M Billets Reports'!F1345),IF(ISNUMBER(SEARCH("Party Name-",'R.M Billets Reports'!D1345)),TRIM(MID('R.M Billets Reports'!D1345,SEARCH("-",'R.M Billets Reports'!D1345)+1,200)),"")),IF(ISNUMBER(SEARCH("Party Name:-",'R.M Billets Reports'!D1346)),TRIM('R.M Billets Reports'!F1346),IF(ISNUMBER(SEARCH("Party Name-",'R.M Billets Reports'!D1346)),TRIM(MID('R.M Billets Reports'!D1346,SEARCH("-",'R.M Billets Reports'!D1346)+1,200)),"")))))),IF(ROW()=2,"",A1345))</f>
      </c>
      <c r="B1346">
        <f>IF(OR('R.M Billets Reports'!A1345="Date-",'R.M Billets Reports'!A1345="Date:-"),'R.M Billets Reports'!B1345,IF(ROW()=2,"",B1345))</f>
      </c>
      <c r="C1346">
        <f>IF('R.M Billets Reports'!A1345="V.No.",'R.M Billets Reports'!B1345,IF(ROW()=2,"",C1345))</f>
      </c>
      <c r="D1346">
        <f>IF('R.M Billets Reports'!A1345&lt;&gt;"",'R.M Billets Reports'!A1345,IF(ROW()=2,"",D1345))</f>
      </c>
      <c r="E1346">
        <f>IF('R.M Billets Reports'!B1345="","",TRIM('R.M Billets Reports'!B1345))</f>
      </c>
      <c r="F1346">
        <f>'R.M Billets Reports'!C1345</f>
      </c>
      <c r="G1346">
        <f>'R.M Billets Reports'!D1345</f>
      </c>
      <c r="H1346">
        <f>'R.M Billets Reports'!E1345</f>
      </c>
      <c r="I1346">
        <f>'R.M Billets Reports'!F1345</f>
      </c>
      <c r="J1346">
        <f>'R.M Billets Reports'!G1345</f>
      </c>
      <c r="K1346">
        <f>'R.M Billets Reports'!H1345</f>
      </c>
      <c r="L1346">
        <f>IF('R.M Billets Reports'!I1345="","",'R.M Billets Reports'!I1345)</f>
      </c>
      <c r="M1346">
        <f t="shared" si="40"/>
      </c>
      <c r="N1346">
        <f>IF('R.M Billets Reports'!J1345="","",'R.M Billets Reports'!J1345)</f>
      </c>
      <c r="O1346">
        <f t="shared" si="41"/>
      </c>
      <c r="P1346">
        <f>IF('R.M Billets Reports'!A1345="SIZE",'R.M Billets Reports'!B1345,P1345)</f>
      </c>
    </row>
    <row r="1347" spans="1:16" x14ac:dyDescent="0.25">
      <c r="A1347">
        <f>IF(OR('R.M Billets Reports'!A1346="Date-",'R.M Billets Reports'!A1346="Date:-"),IF(IF(IF(ISNUMBER(SEARCH("Party Name:-",'R.M Billets Reports'!D1346)),TRIM('R.M Billets Reports'!F1346),IF(ISNUMBER(SEARCH("Party Name-",'R.M Billets Reports'!D1346)),TRIM(MID('R.M Billets Reports'!D1346,SEARCH("-",'R.M Billets Reports'!D1346)+1,200)),""))&lt;&gt;"",IF(ISNUMBER(SEARCH("Party Name:-",'R.M Billets Reports'!D1346)),TRIM('R.M Billets Reports'!F1346),IF(ISNUMBER(SEARCH("Party Name-",'R.M Billets Reports'!D1346)),TRIM(MID('R.M Billets Reports'!D1346,SEARCH("-",'R.M Billets Reports'!D1346)+1,200)),"")),IF(ISNUMBER(SEARCH("Party Name:-",'R.M Billets Reports'!D1347)),TRIM('R.M Billets Reports'!F1347),IF(ISNUMBER(SEARCH("Party Name-",'R.M Billets Reports'!D1347)),TRIM(MID('R.M Billets Reports'!D1347,SEARCH("-",'R.M Billets Reports'!D1347)+1,200)),"")))="VRKP ISPAT PVT LTD","VRKP",IF(IF(IF(ISNUMBER(SEARCH("Party Name:-",'R.M Billets Reports'!D1346)),TRIM('R.M Billets Reports'!F1346),IF(ISNUMBER(SEARCH("Party Name-",'R.M Billets Reports'!D1346)),TRIM(MID('R.M Billets Reports'!D1346,SEARCH("-",'R.M Billets Reports'!D1346)+1,200)),""))&lt;&gt;"",IF(ISNUMBER(SEARCH("Party Name:-",'R.M Billets Reports'!D1346)),TRIM('R.M Billets Reports'!F1346),IF(ISNUMBER(SEARCH("Party Name-",'R.M Billets Reports'!D1346)),TRIM(MID('R.M Billets Reports'!D1346,SEARCH("-",'R.M Billets Reports'!D1346)+1,200)),"")),IF(ISNUMBER(SEARCH("Party Name:-",'R.M Billets Reports'!D1347)),TRIM('R.M Billets Reports'!F1347),IF(ISNUMBER(SEARCH("Party Name-",'R.M Billets Reports'!D1347)),TRIM(MID('R.M Billets Reports'!D1347,SEARCH("-",'R.M Billets Reports'!D1347)+1,200)),"")))="SHRI RADHE","SHREE RADHE",IF(IF(IF(ISNUMBER(SEARCH("Party Name:-",'R.M Billets Reports'!D1346)),TRIM('R.M Billets Reports'!F1346),IF(ISNUMBER(SEARCH("Party Name-",'R.M Billets Reports'!D1346)),TRIM(MID('R.M Billets Reports'!D1346,SEARCH("-",'R.M Billets Reports'!D1346)+1,200)),""))&lt;&gt;"",IF(ISNUMBER(SEARCH("Party Name:-",'R.M Billets Reports'!D1346)),TRIM('R.M Billets Reports'!F1346),IF(ISNUMBER(SEARCH("Party Name-",'R.M Billets Reports'!D1346)),TRIM(MID('R.M Billets Reports'!D1346,SEARCH("-",'R.M Billets Reports'!D1346)+1,200)),"")),IF(ISNUMBER(SEARCH("Party Name:-",'R.M Billets Reports'!D1347)),TRIM('R.M Billets Reports'!F1347),IF(ISNUMBER(SEARCH("Party Name-",'R.M Billets Reports'!D1347)),TRIM(MID('R.M Billets Reports'!D1347,SEARCH("-",'R.M Billets Reports'!D1347)+1,200)),"")))="SHREE RADHE SHAKTI SPONGE AND POWER PVT. LTD.","SHREE RADHE",IF(IF(ISNUMBER(SEARCH("Party Name:-",'R.M Billets Reports'!D1346)),TRIM('R.M Billets Reports'!F1346),IF(ISNUMBER(SEARCH("Party Name-",'R.M Billets Reports'!D1346)),TRIM(MID('R.M Billets Reports'!D1346,SEARCH("-",'R.M Billets Reports'!D1346)+1,200)),""))&lt;&gt;"",IF(ISNUMBER(SEARCH("Party Name:-",'R.M Billets Reports'!D1346)),TRIM('R.M Billets Reports'!F1346),IF(ISNUMBER(SEARCH("Party Name-",'R.M Billets Reports'!D1346)),TRIM(MID('R.M Billets Reports'!D1346,SEARCH("-",'R.M Billets Reports'!D1346)+1,200)),"")),IF(ISNUMBER(SEARCH("Party Name:-",'R.M Billets Reports'!D1347)),TRIM('R.M Billets Reports'!F1347),IF(ISNUMBER(SEARCH("Party Name-",'R.M Billets Reports'!D1347)),TRIM(MID('R.M Billets Reports'!D1347,SEARCH("-",'R.M Billets Reports'!D1347)+1,200)),"")))))),IF(ROW()=2,"",A1346))</f>
      </c>
      <c r="B1347">
        <f>IF(OR('R.M Billets Reports'!A1346="Date-",'R.M Billets Reports'!A1346="Date:-"),'R.M Billets Reports'!B1346,IF(ROW()=2,"",B1346))</f>
      </c>
      <c r="C1347">
        <f>IF('R.M Billets Reports'!A1346="V.No.",'R.M Billets Reports'!B1346,IF(ROW()=2,"",C1346))</f>
      </c>
      <c r="D1347">
        <f>IF('R.M Billets Reports'!A1346&lt;&gt;"",'R.M Billets Reports'!A1346,IF(ROW()=2,"",D1346))</f>
      </c>
      <c r="E1347">
        <f>IF('R.M Billets Reports'!B1346="","",TRIM('R.M Billets Reports'!B1346))</f>
      </c>
      <c r="F1347">
        <f>'R.M Billets Reports'!C1346</f>
      </c>
      <c r="G1347">
        <f>'R.M Billets Reports'!D1346</f>
      </c>
      <c r="H1347">
        <f>'R.M Billets Reports'!E1346</f>
      </c>
      <c r="I1347">
        <f>'R.M Billets Reports'!F1346</f>
      </c>
      <c r="J1347">
        <f>'R.M Billets Reports'!G1346</f>
      </c>
      <c r="K1347">
        <f>'R.M Billets Reports'!H1346</f>
      </c>
      <c r="L1347">
        <f>IF('R.M Billets Reports'!I1346="","",'R.M Billets Reports'!I1346)</f>
      </c>
      <c r="M1347">
        <f t="shared" ref="M1347:M1410" si="42">IF(L1347&lt;&gt;"",L1347,IF(D1347=D1346,M1346,""))</f>
      </c>
      <c r="N1347">
        <f>IF('R.M Billets Reports'!J1346="","",'R.M Billets Reports'!J1346)</f>
      </c>
      <c r="O1347">
        <f t="shared" ref="O1347:O1410" si="43">IF(N1347&lt;&gt;"",N1347,IF(D1347=D1346,O1346,""))</f>
      </c>
      <c r="P1347">
        <f>IF('R.M Billets Reports'!A1346="SIZE",'R.M Billets Reports'!B1346,P1346)</f>
      </c>
    </row>
    <row r="1348" spans="1:16" x14ac:dyDescent="0.25">
      <c r="A1348">
        <f>IF(OR('R.M Billets Reports'!A1347="Date-",'R.M Billets Reports'!A1347="Date:-"),IF(IF(IF(ISNUMBER(SEARCH("Party Name:-",'R.M Billets Reports'!D1347)),TRIM('R.M Billets Reports'!F1347),IF(ISNUMBER(SEARCH("Party Name-",'R.M Billets Reports'!D1347)),TRIM(MID('R.M Billets Reports'!D1347,SEARCH("-",'R.M Billets Reports'!D1347)+1,200)),""))&lt;&gt;"",IF(ISNUMBER(SEARCH("Party Name:-",'R.M Billets Reports'!D1347)),TRIM('R.M Billets Reports'!F1347),IF(ISNUMBER(SEARCH("Party Name-",'R.M Billets Reports'!D1347)),TRIM(MID('R.M Billets Reports'!D1347,SEARCH("-",'R.M Billets Reports'!D1347)+1,200)),"")),IF(ISNUMBER(SEARCH("Party Name:-",'R.M Billets Reports'!D1348)),TRIM('R.M Billets Reports'!F1348),IF(ISNUMBER(SEARCH("Party Name-",'R.M Billets Reports'!D1348)),TRIM(MID('R.M Billets Reports'!D1348,SEARCH("-",'R.M Billets Reports'!D1348)+1,200)),"")))="VRKP ISPAT PVT LTD","VRKP",IF(IF(IF(ISNUMBER(SEARCH("Party Name:-",'R.M Billets Reports'!D1347)),TRIM('R.M Billets Reports'!F1347),IF(ISNUMBER(SEARCH("Party Name-",'R.M Billets Reports'!D1347)),TRIM(MID('R.M Billets Reports'!D1347,SEARCH("-",'R.M Billets Reports'!D1347)+1,200)),""))&lt;&gt;"",IF(ISNUMBER(SEARCH("Party Name:-",'R.M Billets Reports'!D1347)),TRIM('R.M Billets Reports'!F1347),IF(ISNUMBER(SEARCH("Party Name-",'R.M Billets Reports'!D1347)),TRIM(MID('R.M Billets Reports'!D1347,SEARCH("-",'R.M Billets Reports'!D1347)+1,200)),"")),IF(ISNUMBER(SEARCH("Party Name:-",'R.M Billets Reports'!D1348)),TRIM('R.M Billets Reports'!F1348),IF(ISNUMBER(SEARCH("Party Name-",'R.M Billets Reports'!D1348)),TRIM(MID('R.M Billets Reports'!D1348,SEARCH("-",'R.M Billets Reports'!D1348)+1,200)),"")))="SHRI RADHE","SHREE RADHE",IF(IF(IF(ISNUMBER(SEARCH("Party Name:-",'R.M Billets Reports'!D1347)),TRIM('R.M Billets Reports'!F1347),IF(ISNUMBER(SEARCH("Party Name-",'R.M Billets Reports'!D1347)),TRIM(MID('R.M Billets Reports'!D1347,SEARCH("-",'R.M Billets Reports'!D1347)+1,200)),""))&lt;&gt;"",IF(ISNUMBER(SEARCH("Party Name:-",'R.M Billets Reports'!D1347)),TRIM('R.M Billets Reports'!F1347),IF(ISNUMBER(SEARCH("Party Name-",'R.M Billets Reports'!D1347)),TRIM(MID('R.M Billets Reports'!D1347,SEARCH("-",'R.M Billets Reports'!D1347)+1,200)),"")),IF(ISNUMBER(SEARCH("Party Name:-",'R.M Billets Reports'!D1348)),TRIM('R.M Billets Reports'!F1348),IF(ISNUMBER(SEARCH("Party Name-",'R.M Billets Reports'!D1348)),TRIM(MID('R.M Billets Reports'!D1348,SEARCH("-",'R.M Billets Reports'!D1348)+1,200)),"")))="SHREE RADHE SHAKTI SPONGE AND POWER PVT. LTD.","SHREE RADHE",IF(IF(ISNUMBER(SEARCH("Party Name:-",'R.M Billets Reports'!D1347)),TRIM('R.M Billets Reports'!F1347),IF(ISNUMBER(SEARCH("Party Name-",'R.M Billets Reports'!D1347)),TRIM(MID('R.M Billets Reports'!D1347,SEARCH("-",'R.M Billets Reports'!D1347)+1,200)),""))&lt;&gt;"",IF(ISNUMBER(SEARCH("Party Name:-",'R.M Billets Reports'!D1347)),TRIM('R.M Billets Reports'!F1347),IF(ISNUMBER(SEARCH("Party Name-",'R.M Billets Reports'!D1347)),TRIM(MID('R.M Billets Reports'!D1347,SEARCH("-",'R.M Billets Reports'!D1347)+1,200)),"")),IF(ISNUMBER(SEARCH("Party Name:-",'R.M Billets Reports'!D1348)),TRIM('R.M Billets Reports'!F1348),IF(ISNUMBER(SEARCH("Party Name-",'R.M Billets Reports'!D1348)),TRIM(MID('R.M Billets Reports'!D1348,SEARCH("-",'R.M Billets Reports'!D1348)+1,200)),"")))))),IF(ROW()=2,"",A1347))</f>
      </c>
      <c r="B1348">
        <f>IF(OR('R.M Billets Reports'!A1347="Date-",'R.M Billets Reports'!A1347="Date:-"),'R.M Billets Reports'!B1347,IF(ROW()=2,"",B1347))</f>
      </c>
      <c r="C1348">
        <f>IF('R.M Billets Reports'!A1347="V.No.",'R.M Billets Reports'!B1347,IF(ROW()=2,"",C1347))</f>
      </c>
      <c r="D1348">
        <f>IF('R.M Billets Reports'!A1347&lt;&gt;"",'R.M Billets Reports'!A1347,IF(ROW()=2,"",D1347))</f>
      </c>
      <c r="E1348">
        <f>IF('R.M Billets Reports'!B1347="","",TRIM('R.M Billets Reports'!B1347))</f>
      </c>
      <c r="F1348">
        <f>'R.M Billets Reports'!C1347</f>
      </c>
      <c r="G1348">
        <f>'R.M Billets Reports'!D1347</f>
      </c>
      <c r="H1348">
        <f>'R.M Billets Reports'!E1347</f>
      </c>
      <c r="I1348">
        <f>'R.M Billets Reports'!F1347</f>
      </c>
      <c r="J1348">
        <f>'R.M Billets Reports'!G1347</f>
      </c>
      <c r="K1348">
        <f>'R.M Billets Reports'!H1347</f>
      </c>
      <c r="L1348">
        <f>IF('R.M Billets Reports'!I1347="","",'R.M Billets Reports'!I1347)</f>
      </c>
      <c r="M1348">
        <f t="shared" si="42"/>
      </c>
      <c r="N1348">
        <f>IF('R.M Billets Reports'!J1347="","",'R.M Billets Reports'!J1347)</f>
      </c>
      <c r="O1348">
        <f t="shared" si="43"/>
      </c>
      <c r="P1348">
        <f>IF('R.M Billets Reports'!A1347="SIZE",'R.M Billets Reports'!B1347,P1347)</f>
      </c>
    </row>
    <row r="1349" spans="1:16" x14ac:dyDescent="0.25">
      <c r="A1349">
        <f>IF(OR('R.M Billets Reports'!A1348="Date-",'R.M Billets Reports'!A1348="Date:-"),IF(IF(IF(ISNUMBER(SEARCH("Party Name:-",'R.M Billets Reports'!D1348)),TRIM('R.M Billets Reports'!F1348),IF(ISNUMBER(SEARCH("Party Name-",'R.M Billets Reports'!D1348)),TRIM(MID('R.M Billets Reports'!D1348,SEARCH("-",'R.M Billets Reports'!D1348)+1,200)),""))&lt;&gt;"",IF(ISNUMBER(SEARCH("Party Name:-",'R.M Billets Reports'!D1348)),TRIM('R.M Billets Reports'!F1348),IF(ISNUMBER(SEARCH("Party Name-",'R.M Billets Reports'!D1348)),TRIM(MID('R.M Billets Reports'!D1348,SEARCH("-",'R.M Billets Reports'!D1348)+1,200)),"")),IF(ISNUMBER(SEARCH("Party Name:-",'R.M Billets Reports'!D1349)),TRIM('R.M Billets Reports'!F1349),IF(ISNUMBER(SEARCH("Party Name-",'R.M Billets Reports'!D1349)),TRIM(MID('R.M Billets Reports'!D1349,SEARCH("-",'R.M Billets Reports'!D1349)+1,200)),"")))="VRKP ISPAT PVT LTD","VRKP",IF(IF(IF(ISNUMBER(SEARCH("Party Name:-",'R.M Billets Reports'!D1348)),TRIM('R.M Billets Reports'!F1348),IF(ISNUMBER(SEARCH("Party Name-",'R.M Billets Reports'!D1348)),TRIM(MID('R.M Billets Reports'!D1348,SEARCH("-",'R.M Billets Reports'!D1348)+1,200)),""))&lt;&gt;"",IF(ISNUMBER(SEARCH("Party Name:-",'R.M Billets Reports'!D1348)),TRIM('R.M Billets Reports'!F1348),IF(ISNUMBER(SEARCH("Party Name-",'R.M Billets Reports'!D1348)),TRIM(MID('R.M Billets Reports'!D1348,SEARCH("-",'R.M Billets Reports'!D1348)+1,200)),"")),IF(ISNUMBER(SEARCH("Party Name:-",'R.M Billets Reports'!D1349)),TRIM('R.M Billets Reports'!F1349),IF(ISNUMBER(SEARCH("Party Name-",'R.M Billets Reports'!D1349)),TRIM(MID('R.M Billets Reports'!D1349,SEARCH("-",'R.M Billets Reports'!D1349)+1,200)),"")))="SHRI RADHE","SHREE RADHE",IF(IF(IF(ISNUMBER(SEARCH("Party Name:-",'R.M Billets Reports'!D1348)),TRIM('R.M Billets Reports'!F1348),IF(ISNUMBER(SEARCH("Party Name-",'R.M Billets Reports'!D1348)),TRIM(MID('R.M Billets Reports'!D1348,SEARCH("-",'R.M Billets Reports'!D1348)+1,200)),""))&lt;&gt;"",IF(ISNUMBER(SEARCH("Party Name:-",'R.M Billets Reports'!D1348)),TRIM('R.M Billets Reports'!F1348),IF(ISNUMBER(SEARCH("Party Name-",'R.M Billets Reports'!D1348)),TRIM(MID('R.M Billets Reports'!D1348,SEARCH("-",'R.M Billets Reports'!D1348)+1,200)),"")),IF(ISNUMBER(SEARCH("Party Name:-",'R.M Billets Reports'!D1349)),TRIM('R.M Billets Reports'!F1349),IF(ISNUMBER(SEARCH("Party Name-",'R.M Billets Reports'!D1349)),TRIM(MID('R.M Billets Reports'!D1349,SEARCH("-",'R.M Billets Reports'!D1349)+1,200)),"")))="SHREE RADHE SHAKTI SPONGE AND POWER PVT. LTD.","SHREE RADHE",IF(IF(ISNUMBER(SEARCH("Party Name:-",'R.M Billets Reports'!D1348)),TRIM('R.M Billets Reports'!F1348),IF(ISNUMBER(SEARCH("Party Name-",'R.M Billets Reports'!D1348)),TRIM(MID('R.M Billets Reports'!D1348,SEARCH("-",'R.M Billets Reports'!D1348)+1,200)),""))&lt;&gt;"",IF(ISNUMBER(SEARCH("Party Name:-",'R.M Billets Reports'!D1348)),TRIM('R.M Billets Reports'!F1348),IF(ISNUMBER(SEARCH("Party Name-",'R.M Billets Reports'!D1348)),TRIM(MID('R.M Billets Reports'!D1348,SEARCH("-",'R.M Billets Reports'!D1348)+1,200)),"")),IF(ISNUMBER(SEARCH("Party Name:-",'R.M Billets Reports'!D1349)),TRIM('R.M Billets Reports'!F1349),IF(ISNUMBER(SEARCH("Party Name-",'R.M Billets Reports'!D1349)),TRIM(MID('R.M Billets Reports'!D1349,SEARCH("-",'R.M Billets Reports'!D1349)+1,200)),"")))))),IF(ROW()=2,"",A1348))</f>
      </c>
      <c r="B1349">
        <f>IF(OR('R.M Billets Reports'!A1348="Date-",'R.M Billets Reports'!A1348="Date:-"),'R.M Billets Reports'!B1348,IF(ROW()=2,"",B1348))</f>
      </c>
      <c r="C1349">
        <f>IF('R.M Billets Reports'!A1348="V.No.",'R.M Billets Reports'!B1348,IF(ROW()=2,"",C1348))</f>
      </c>
      <c r="D1349">
        <f>IF('R.M Billets Reports'!A1348&lt;&gt;"",'R.M Billets Reports'!A1348,IF(ROW()=2,"",D1348))</f>
      </c>
      <c r="E1349">
        <f>IF('R.M Billets Reports'!B1348="","",TRIM('R.M Billets Reports'!B1348))</f>
      </c>
      <c r="F1349">
        <f>'R.M Billets Reports'!C1348</f>
      </c>
      <c r="G1349">
        <f>'R.M Billets Reports'!D1348</f>
      </c>
      <c r="H1349">
        <f>'R.M Billets Reports'!E1348</f>
      </c>
      <c r="I1349">
        <f>'R.M Billets Reports'!F1348</f>
      </c>
      <c r="J1349">
        <f>'R.M Billets Reports'!G1348</f>
      </c>
      <c r="K1349">
        <f>'R.M Billets Reports'!H1348</f>
      </c>
      <c r="L1349">
        <f>IF('R.M Billets Reports'!I1348="","",'R.M Billets Reports'!I1348)</f>
      </c>
      <c r="M1349">
        <f t="shared" si="42"/>
      </c>
      <c r="N1349">
        <f>IF('R.M Billets Reports'!J1348="","",'R.M Billets Reports'!J1348)</f>
      </c>
      <c r="O1349">
        <f t="shared" si="43"/>
      </c>
      <c r="P1349">
        <f>IF('R.M Billets Reports'!A1348="SIZE",'R.M Billets Reports'!B1348,P1348)</f>
      </c>
    </row>
    <row r="1350" spans="1:16" x14ac:dyDescent="0.25">
      <c r="A1350">
        <f>IF(OR('R.M Billets Reports'!A1349="Date-",'R.M Billets Reports'!A1349="Date:-"),IF(IF(IF(ISNUMBER(SEARCH("Party Name:-",'R.M Billets Reports'!D1349)),TRIM('R.M Billets Reports'!F1349),IF(ISNUMBER(SEARCH("Party Name-",'R.M Billets Reports'!D1349)),TRIM(MID('R.M Billets Reports'!D1349,SEARCH("-",'R.M Billets Reports'!D1349)+1,200)),""))&lt;&gt;"",IF(ISNUMBER(SEARCH("Party Name:-",'R.M Billets Reports'!D1349)),TRIM('R.M Billets Reports'!F1349),IF(ISNUMBER(SEARCH("Party Name-",'R.M Billets Reports'!D1349)),TRIM(MID('R.M Billets Reports'!D1349,SEARCH("-",'R.M Billets Reports'!D1349)+1,200)),"")),IF(ISNUMBER(SEARCH("Party Name:-",'R.M Billets Reports'!D1350)),TRIM('R.M Billets Reports'!F1350),IF(ISNUMBER(SEARCH("Party Name-",'R.M Billets Reports'!D1350)),TRIM(MID('R.M Billets Reports'!D1350,SEARCH("-",'R.M Billets Reports'!D1350)+1,200)),"")))="VRKP ISPAT PVT LTD","VRKP",IF(IF(IF(ISNUMBER(SEARCH("Party Name:-",'R.M Billets Reports'!D1349)),TRIM('R.M Billets Reports'!F1349),IF(ISNUMBER(SEARCH("Party Name-",'R.M Billets Reports'!D1349)),TRIM(MID('R.M Billets Reports'!D1349,SEARCH("-",'R.M Billets Reports'!D1349)+1,200)),""))&lt;&gt;"",IF(ISNUMBER(SEARCH("Party Name:-",'R.M Billets Reports'!D1349)),TRIM('R.M Billets Reports'!F1349),IF(ISNUMBER(SEARCH("Party Name-",'R.M Billets Reports'!D1349)),TRIM(MID('R.M Billets Reports'!D1349,SEARCH("-",'R.M Billets Reports'!D1349)+1,200)),"")),IF(ISNUMBER(SEARCH("Party Name:-",'R.M Billets Reports'!D1350)),TRIM('R.M Billets Reports'!F1350),IF(ISNUMBER(SEARCH("Party Name-",'R.M Billets Reports'!D1350)),TRIM(MID('R.M Billets Reports'!D1350,SEARCH("-",'R.M Billets Reports'!D1350)+1,200)),"")))="SHRI RADHE","SHREE RADHE",IF(IF(IF(ISNUMBER(SEARCH("Party Name:-",'R.M Billets Reports'!D1349)),TRIM('R.M Billets Reports'!F1349),IF(ISNUMBER(SEARCH("Party Name-",'R.M Billets Reports'!D1349)),TRIM(MID('R.M Billets Reports'!D1349,SEARCH("-",'R.M Billets Reports'!D1349)+1,200)),""))&lt;&gt;"",IF(ISNUMBER(SEARCH("Party Name:-",'R.M Billets Reports'!D1349)),TRIM('R.M Billets Reports'!F1349),IF(ISNUMBER(SEARCH("Party Name-",'R.M Billets Reports'!D1349)),TRIM(MID('R.M Billets Reports'!D1349,SEARCH("-",'R.M Billets Reports'!D1349)+1,200)),"")),IF(ISNUMBER(SEARCH("Party Name:-",'R.M Billets Reports'!D1350)),TRIM('R.M Billets Reports'!F1350),IF(ISNUMBER(SEARCH("Party Name-",'R.M Billets Reports'!D1350)),TRIM(MID('R.M Billets Reports'!D1350,SEARCH("-",'R.M Billets Reports'!D1350)+1,200)),"")))="SHREE RADHE SHAKTI SPONGE AND POWER PVT. LTD.","SHREE RADHE",IF(IF(ISNUMBER(SEARCH("Party Name:-",'R.M Billets Reports'!D1349)),TRIM('R.M Billets Reports'!F1349),IF(ISNUMBER(SEARCH("Party Name-",'R.M Billets Reports'!D1349)),TRIM(MID('R.M Billets Reports'!D1349,SEARCH("-",'R.M Billets Reports'!D1349)+1,200)),""))&lt;&gt;"",IF(ISNUMBER(SEARCH("Party Name:-",'R.M Billets Reports'!D1349)),TRIM('R.M Billets Reports'!F1349),IF(ISNUMBER(SEARCH("Party Name-",'R.M Billets Reports'!D1349)),TRIM(MID('R.M Billets Reports'!D1349,SEARCH("-",'R.M Billets Reports'!D1349)+1,200)),"")),IF(ISNUMBER(SEARCH("Party Name:-",'R.M Billets Reports'!D1350)),TRIM('R.M Billets Reports'!F1350),IF(ISNUMBER(SEARCH("Party Name-",'R.M Billets Reports'!D1350)),TRIM(MID('R.M Billets Reports'!D1350,SEARCH("-",'R.M Billets Reports'!D1350)+1,200)),"")))))),IF(ROW()=2,"",A1349))</f>
      </c>
      <c r="B1350">
        <f>IF(OR('R.M Billets Reports'!A1349="Date-",'R.M Billets Reports'!A1349="Date:-"),'R.M Billets Reports'!B1349,IF(ROW()=2,"",B1349))</f>
      </c>
      <c r="C1350">
        <f>IF('R.M Billets Reports'!A1349="V.No.",'R.M Billets Reports'!B1349,IF(ROW()=2,"",C1349))</f>
      </c>
      <c r="D1350">
        <f>IF('R.M Billets Reports'!A1349&lt;&gt;"",'R.M Billets Reports'!A1349,IF(ROW()=2,"",D1349))</f>
      </c>
      <c r="E1350">
        <f>IF('R.M Billets Reports'!B1349="","",TRIM('R.M Billets Reports'!B1349))</f>
      </c>
      <c r="F1350">
        <f>'R.M Billets Reports'!C1349</f>
      </c>
      <c r="G1350">
        <f>'R.M Billets Reports'!D1349</f>
      </c>
      <c r="H1350">
        <f>'R.M Billets Reports'!E1349</f>
      </c>
      <c r="I1350">
        <f>'R.M Billets Reports'!F1349</f>
      </c>
      <c r="J1350">
        <f>'R.M Billets Reports'!G1349</f>
      </c>
      <c r="K1350">
        <f>'R.M Billets Reports'!H1349</f>
      </c>
      <c r="L1350">
        <f>IF('R.M Billets Reports'!I1349="","",'R.M Billets Reports'!I1349)</f>
      </c>
      <c r="M1350">
        <f t="shared" si="42"/>
      </c>
      <c r="N1350">
        <f>IF('R.M Billets Reports'!J1349="","",'R.M Billets Reports'!J1349)</f>
      </c>
      <c r="O1350">
        <f t="shared" si="43"/>
      </c>
      <c r="P1350">
        <f>IF('R.M Billets Reports'!A1349="SIZE",'R.M Billets Reports'!B1349,P1349)</f>
      </c>
    </row>
    <row r="1351" spans="1:16" x14ac:dyDescent="0.25">
      <c r="A1351">
        <f>IF(OR('R.M Billets Reports'!A1350="Date-",'R.M Billets Reports'!A1350="Date:-"),IF(IF(IF(ISNUMBER(SEARCH("Party Name:-",'R.M Billets Reports'!D1350)),TRIM('R.M Billets Reports'!F1350),IF(ISNUMBER(SEARCH("Party Name-",'R.M Billets Reports'!D1350)),TRIM(MID('R.M Billets Reports'!D1350,SEARCH("-",'R.M Billets Reports'!D1350)+1,200)),""))&lt;&gt;"",IF(ISNUMBER(SEARCH("Party Name:-",'R.M Billets Reports'!D1350)),TRIM('R.M Billets Reports'!F1350),IF(ISNUMBER(SEARCH("Party Name-",'R.M Billets Reports'!D1350)),TRIM(MID('R.M Billets Reports'!D1350,SEARCH("-",'R.M Billets Reports'!D1350)+1,200)),"")),IF(ISNUMBER(SEARCH("Party Name:-",'R.M Billets Reports'!D1351)),TRIM('R.M Billets Reports'!F1351),IF(ISNUMBER(SEARCH("Party Name-",'R.M Billets Reports'!D1351)),TRIM(MID('R.M Billets Reports'!D1351,SEARCH("-",'R.M Billets Reports'!D1351)+1,200)),"")))="VRKP ISPAT PVT LTD","VRKP",IF(IF(IF(ISNUMBER(SEARCH("Party Name:-",'R.M Billets Reports'!D1350)),TRIM('R.M Billets Reports'!F1350),IF(ISNUMBER(SEARCH("Party Name-",'R.M Billets Reports'!D1350)),TRIM(MID('R.M Billets Reports'!D1350,SEARCH("-",'R.M Billets Reports'!D1350)+1,200)),""))&lt;&gt;"",IF(ISNUMBER(SEARCH("Party Name:-",'R.M Billets Reports'!D1350)),TRIM('R.M Billets Reports'!F1350),IF(ISNUMBER(SEARCH("Party Name-",'R.M Billets Reports'!D1350)),TRIM(MID('R.M Billets Reports'!D1350,SEARCH("-",'R.M Billets Reports'!D1350)+1,200)),"")),IF(ISNUMBER(SEARCH("Party Name:-",'R.M Billets Reports'!D1351)),TRIM('R.M Billets Reports'!F1351),IF(ISNUMBER(SEARCH("Party Name-",'R.M Billets Reports'!D1351)),TRIM(MID('R.M Billets Reports'!D1351,SEARCH("-",'R.M Billets Reports'!D1351)+1,200)),"")))="SHRI RADHE","SHREE RADHE",IF(IF(IF(ISNUMBER(SEARCH("Party Name:-",'R.M Billets Reports'!D1350)),TRIM('R.M Billets Reports'!F1350),IF(ISNUMBER(SEARCH("Party Name-",'R.M Billets Reports'!D1350)),TRIM(MID('R.M Billets Reports'!D1350,SEARCH("-",'R.M Billets Reports'!D1350)+1,200)),""))&lt;&gt;"",IF(ISNUMBER(SEARCH("Party Name:-",'R.M Billets Reports'!D1350)),TRIM('R.M Billets Reports'!F1350),IF(ISNUMBER(SEARCH("Party Name-",'R.M Billets Reports'!D1350)),TRIM(MID('R.M Billets Reports'!D1350,SEARCH("-",'R.M Billets Reports'!D1350)+1,200)),"")),IF(ISNUMBER(SEARCH("Party Name:-",'R.M Billets Reports'!D1351)),TRIM('R.M Billets Reports'!F1351),IF(ISNUMBER(SEARCH("Party Name-",'R.M Billets Reports'!D1351)),TRIM(MID('R.M Billets Reports'!D1351,SEARCH("-",'R.M Billets Reports'!D1351)+1,200)),"")))="SHREE RADHE SHAKTI SPONGE AND POWER PVT. LTD.","SHREE RADHE",IF(IF(ISNUMBER(SEARCH("Party Name:-",'R.M Billets Reports'!D1350)),TRIM('R.M Billets Reports'!F1350),IF(ISNUMBER(SEARCH("Party Name-",'R.M Billets Reports'!D1350)),TRIM(MID('R.M Billets Reports'!D1350,SEARCH("-",'R.M Billets Reports'!D1350)+1,200)),""))&lt;&gt;"",IF(ISNUMBER(SEARCH("Party Name:-",'R.M Billets Reports'!D1350)),TRIM('R.M Billets Reports'!F1350),IF(ISNUMBER(SEARCH("Party Name-",'R.M Billets Reports'!D1350)),TRIM(MID('R.M Billets Reports'!D1350,SEARCH("-",'R.M Billets Reports'!D1350)+1,200)),"")),IF(ISNUMBER(SEARCH("Party Name:-",'R.M Billets Reports'!D1351)),TRIM('R.M Billets Reports'!F1351),IF(ISNUMBER(SEARCH("Party Name-",'R.M Billets Reports'!D1351)),TRIM(MID('R.M Billets Reports'!D1351,SEARCH("-",'R.M Billets Reports'!D1351)+1,200)),"")))))),IF(ROW()=2,"",A1350))</f>
      </c>
      <c r="B1351">
        <f>IF(OR('R.M Billets Reports'!A1350="Date-",'R.M Billets Reports'!A1350="Date:-"),'R.M Billets Reports'!B1350,IF(ROW()=2,"",B1350))</f>
      </c>
      <c r="C1351">
        <f>IF('R.M Billets Reports'!A1350="V.No.",'R.M Billets Reports'!B1350,IF(ROW()=2,"",C1350))</f>
      </c>
      <c r="D1351">
        <f>IF('R.M Billets Reports'!A1350&lt;&gt;"",'R.M Billets Reports'!A1350,IF(ROW()=2,"",D1350))</f>
      </c>
      <c r="E1351">
        <f>IF('R.M Billets Reports'!B1350="","",TRIM('R.M Billets Reports'!B1350))</f>
      </c>
      <c r="F1351">
        <f>'R.M Billets Reports'!C1350</f>
      </c>
      <c r="G1351">
        <f>'R.M Billets Reports'!D1350</f>
      </c>
      <c r="H1351">
        <f>'R.M Billets Reports'!E1350</f>
      </c>
      <c r="I1351">
        <f>'R.M Billets Reports'!F1350</f>
      </c>
      <c r="J1351">
        <f>'R.M Billets Reports'!G1350</f>
      </c>
      <c r="K1351">
        <f>'R.M Billets Reports'!H1350</f>
      </c>
      <c r="L1351">
        <f>IF('R.M Billets Reports'!I1350="","",'R.M Billets Reports'!I1350)</f>
      </c>
      <c r="M1351">
        <f t="shared" si="42"/>
      </c>
      <c r="N1351">
        <f>IF('R.M Billets Reports'!J1350="","",'R.M Billets Reports'!J1350)</f>
      </c>
      <c r="O1351">
        <f t="shared" si="43"/>
      </c>
      <c r="P1351">
        <f>IF('R.M Billets Reports'!A1350="SIZE",'R.M Billets Reports'!B1350,P1350)</f>
      </c>
    </row>
    <row r="1352" spans="1:16" x14ac:dyDescent="0.25">
      <c r="A1352">
        <f>IF(OR('R.M Billets Reports'!A1351="Date-",'R.M Billets Reports'!A1351="Date:-"),IF(IF(IF(ISNUMBER(SEARCH("Party Name:-",'R.M Billets Reports'!D1351)),TRIM('R.M Billets Reports'!F1351),IF(ISNUMBER(SEARCH("Party Name-",'R.M Billets Reports'!D1351)),TRIM(MID('R.M Billets Reports'!D1351,SEARCH("-",'R.M Billets Reports'!D1351)+1,200)),""))&lt;&gt;"",IF(ISNUMBER(SEARCH("Party Name:-",'R.M Billets Reports'!D1351)),TRIM('R.M Billets Reports'!F1351),IF(ISNUMBER(SEARCH("Party Name-",'R.M Billets Reports'!D1351)),TRIM(MID('R.M Billets Reports'!D1351,SEARCH("-",'R.M Billets Reports'!D1351)+1,200)),"")),IF(ISNUMBER(SEARCH("Party Name:-",'R.M Billets Reports'!D1352)),TRIM('R.M Billets Reports'!F1352),IF(ISNUMBER(SEARCH("Party Name-",'R.M Billets Reports'!D1352)),TRIM(MID('R.M Billets Reports'!D1352,SEARCH("-",'R.M Billets Reports'!D1352)+1,200)),"")))="VRKP ISPAT PVT LTD","VRKP",IF(IF(IF(ISNUMBER(SEARCH("Party Name:-",'R.M Billets Reports'!D1351)),TRIM('R.M Billets Reports'!F1351),IF(ISNUMBER(SEARCH("Party Name-",'R.M Billets Reports'!D1351)),TRIM(MID('R.M Billets Reports'!D1351,SEARCH("-",'R.M Billets Reports'!D1351)+1,200)),""))&lt;&gt;"",IF(ISNUMBER(SEARCH("Party Name:-",'R.M Billets Reports'!D1351)),TRIM('R.M Billets Reports'!F1351),IF(ISNUMBER(SEARCH("Party Name-",'R.M Billets Reports'!D1351)),TRIM(MID('R.M Billets Reports'!D1351,SEARCH("-",'R.M Billets Reports'!D1351)+1,200)),"")),IF(ISNUMBER(SEARCH("Party Name:-",'R.M Billets Reports'!D1352)),TRIM('R.M Billets Reports'!F1352),IF(ISNUMBER(SEARCH("Party Name-",'R.M Billets Reports'!D1352)),TRIM(MID('R.M Billets Reports'!D1352,SEARCH("-",'R.M Billets Reports'!D1352)+1,200)),"")))="SHRI RADHE","SHREE RADHE",IF(IF(IF(ISNUMBER(SEARCH("Party Name:-",'R.M Billets Reports'!D1351)),TRIM('R.M Billets Reports'!F1351),IF(ISNUMBER(SEARCH("Party Name-",'R.M Billets Reports'!D1351)),TRIM(MID('R.M Billets Reports'!D1351,SEARCH("-",'R.M Billets Reports'!D1351)+1,200)),""))&lt;&gt;"",IF(ISNUMBER(SEARCH("Party Name:-",'R.M Billets Reports'!D1351)),TRIM('R.M Billets Reports'!F1351),IF(ISNUMBER(SEARCH("Party Name-",'R.M Billets Reports'!D1351)),TRIM(MID('R.M Billets Reports'!D1351,SEARCH("-",'R.M Billets Reports'!D1351)+1,200)),"")),IF(ISNUMBER(SEARCH("Party Name:-",'R.M Billets Reports'!D1352)),TRIM('R.M Billets Reports'!F1352),IF(ISNUMBER(SEARCH("Party Name-",'R.M Billets Reports'!D1352)),TRIM(MID('R.M Billets Reports'!D1352,SEARCH("-",'R.M Billets Reports'!D1352)+1,200)),"")))="SHREE RADHE SHAKTI SPONGE AND POWER PVT. LTD.","SHREE RADHE",IF(IF(ISNUMBER(SEARCH("Party Name:-",'R.M Billets Reports'!D1351)),TRIM('R.M Billets Reports'!F1351),IF(ISNUMBER(SEARCH("Party Name-",'R.M Billets Reports'!D1351)),TRIM(MID('R.M Billets Reports'!D1351,SEARCH("-",'R.M Billets Reports'!D1351)+1,200)),""))&lt;&gt;"",IF(ISNUMBER(SEARCH("Party Name:-",'R.M Billets Reports'!D1351)),TRIM('R.M Billets Reports'!F1351),IF(ISNUMBER(SEARCH("Party Name-",'R.M Billets Reports'!D1351)),TRIM(MID('R.M Billets Reports'!D1351,SEARCH("-",'R.M Billets Reports'!D1351)+1,200)),"")),IF(ISNUMBER(SEARCH("Party Name:-",'R.M Billets Reports'!D1352)),TRIM('R.M Billets Reports'!F1352),IF(ISNUMBER(SEARCH("Party Name-",'R.M Billets Reports'!D1352)),TRIM(MID('R.M Billets Reports'!D1352,SEARCH("-",'R.M Billets Reports'!D1352)+1,200)),"")))))),IF(ROW()=2,"",A1351))</f>
      </c>
      <c r="B1352">
        <f>IF(OR('R.M Billets Reports'!A1351="Date-",'R.M Billets Reports'!A1351="Date:-"),'R.M Billets Reports'!B1351,IF(ROW()=2,"",B1351))</f>
      </c>
      <c r="C1352">
        <f>IF('R.M Billets Reports'!A1351="V.No.",'R.M Billets Reports'!B1351,IF(ROW()=2,"",C1351))</f>
      </c>
      <c r="D1352">
        <f>IF('R.M Billets Reports'!A1351&lt;&gt;"",'R.M Billets Reports'!A1351,IF(ROW()=2,"",D1351))</f>
      </c>
      <c r="E1352">
        <f>IF('R.M Billets Reports'!B1351="","",TRIM('R.M Billets Reports'!B1351))</f>
      </c>
      <c r="F1352">
        <f>'R.M Billets Reports'!C1351</f>
      </c>
      <c r="G1352">
        <f>'R.M Billets Reports'!D1351</f>
      </c>
      <c r="H1352">
        <f>'R.M Billets Reports'!E1351</f>
      </c>
      <c r="I1352">
        <f>'R.M Billets Reports'!F1351</f>
      </c>
      <c r="J1352">
        <f>'R.M Billets Reports'!G1351</f>
      </c>
      <c r="K1352">
        <f>'R.M Billets Reports'!H1351</f>
      </c>
      <c r="L1352">
        <f>IF('R.M Billets Reports'!I1351="","",'R.M Billets Reports'!I1351)</f>
      </c>
      <c r="M1352">
        <f t="shared" si="42"/>
      </c>
      <c r="N1352">
        <f>IF('R.M Billets Reports'!J1351="","",'R.M Billets Reports'!J1351)</f>
      </c>
      <c r="O1352">
        <f t="shared" si="43"/>
      </c>
      <c r="P1352">
        <f>IF('R.M Billets Reports'!A1351="SIZE",'R.M Billets Reports'!B1351,P1351)</f>
      </c>
    </row>
    <row r="1353" spans="1:16" x14ac:dyDescent="0.25">
      <c r="A1353">
        <f>IF(OR('R.M Billets Reports'!A1352="Date-",'R.M Billets Reports'!A1352="Date:-"),IF(IF(IF(ISNUMBER(SEARCH("Party Name:-",'R.M Billets Reports'!D1352)),TRIM('R.M Billets Reports'!F1352),IF(ISNUMBER(SEARCH("Party Name-",'R.M Billets Reports'!D1352)),TRIM(MID('R.M Billets Reports'!D1352,SEARCH("-",'R.M Billets Reports'!D1352)+1,200)),""))&lt;&gt;"",IF(ISNUMBER(SEARCH("Party Name:-",'R.M Billets Reports'!D1352)),TRIM('R.M Billets Reports'!F1352),IF(ISNUMBER(SEARCH("Party Name-",'R.M Billets Reports'!D1352)),TRIM(MID('R.M Billets Reports'!D1352,SEARCH("-",'R.M Billets Reports'!D1352)+1,200)),"")),IF(ISNUMBER(SEARCH("Party Name:-",'R.M Billets Reports'!D1353)),TRIM('R.M Billets Reports'!F1353),IF(ISNUMBER(SEARCH("Party Name-",'R.M Billets Reports'!D1353)),TRIM(MID('R.M Billets Reports'!D1353,SEARCH("-",'R.M Billets Reports'!D1353)+1,200)),"")))="VRKP ISPAT PVT LTD","VRKP",IF(IF(IF(ISNUMBER(SEARCH("Party Name:-",'R.M Billets Reports'!D1352)),TRIM('R.M Billets Reports'!F1352),IF(ISNUMBER(SEARCH("Party Name-",'R.M Billets Reports'!D1352)),TRIM(MID('R.M Billets Reports'!D1352,SEARCH("-",'R.M Billets Reports'!D1352)+1,200)),""))&lt;&gt;"",IF(ISNUMBER(SEARCH("Party Name:-",'R.M Billets Reports'!D1352)),TRIM('R.M Billets Reports'!F1352),IF(ISNUMBER(SEARCH("Party Name-",'R.M Billets Reports'!D1352)),TRIM(MID('R.M Billets Reports'!D1352,SEARCH("-",'R.M Billets Reports'!D1352)+1,200)),"")),IF(ISNUMBER(SEARCH("Party Name:-",'R.M Billets Reports'!D1353)),TRIM('R.M Billets Reports'!F1353),IF(ISNUMBER(SEARCH("Party Name-",'R.M Billets Reports'!D1353)),TRIM(MID('R.M Billets Reports'!D1353,SEARCH("-",'R.M Billets Reports'!D1353)+1,200)),"")))="SHRI RADHE","SHREE RADHE",IF(IF(IF(ISNUMBER(SEARCH("Party Name:-",'R.M Billets Reports'!D1352)),TRIM('R.M Billets Reports'!F1352),IF(ISNUMBER(SEARCH("Party Name-",'R.M Billets Reports'!D1352)),TRIM(MID('R.M Billets Reports'!D1352,SEARCH("-",'R.M Billets Reports'!D1352)+1,200)),""))&lt;&gt;"",IF(ISNUMBER(SEARCH("Party Name:-",'R.M Billets Reports'!D1352)),TRIM('R.M Billets Reports'!F1352),IF(ISNUMBER(SEARCH("Party Name-",'R.M Billets Reports'!D1352)),TRIM(MID('R.M Billets Reports'!D1352,SEARCH("-",'R.M Billets Reports'!D1352)+1,200)),"")),IF(ISNUMBER(SEARCH("Party Name:-",'R.M Billets Reports'!D1353)),TRIM('R.M Billets Reports'!F1353),IF(ISNUMBER(SEARCH("Party Name-",'R.M Billets Reports'!D1353)),TRIM(MID('R.M Billets Reports'!D1353,SEARCH("-",'R.M Billets Reports'!D1353)+1,200)),"")))="SHREE RADHE SHAKTI SPONGE AND POWER PVT. LTD.","SHREE RADHE",IF(IF(ISNUMBER(SEARCH("Party Name:-",'R.M Billets Reports'!D1352)),TRIM('R.M Billets Reports'!F1352),IF(ISNUMBER(SEARCH("Party Name-",'R.M Billets Reports'!D1352)),TRIM(MID('R.M Billets Reports'!D1352,SEARCH("-",'R.M Billets Reports'!D1352)+1,200)),""))&lt;&gt;"",IF(ISNUMBER(SEARCH("Party Name:-",'R.M Billets Reports'!D1352)),TRIM('R.M Billets Reports'!F1352),IF(ISNUMBER(SEARCH("Party Name-",'R.M Billets Reports'!D1352)),TRIM(MID('R.M Billets Reports'!D1352,SEARCH("-",'R.M Billets Reports'!D1352)+1,200)),"")),IF(ISNUMBER(SEARCH("Party Name:-",'R.M Billets Reports'!D1353)),TRIM('R.M Billets Reports'!F1353),IF(ISNUMBER(SEARCH("Party Name-",'R.M Billets Reports'!D1353)),TRIM(MID('R.M Billets Reports'!D1353,SEARCH("-",'R.M Billets Reports'!D1353)+1,200)),"")))))),IF(ROW()=2,"",A1352))</f>
      </c>
      <c r="B1353">
        <f>IF(OR('R.M Billets Reports'!A1352="Date-",'R.M Billets Reports'!A1352="Date:-"),'R.M Billets Reports'!B1352,IF(ROW()=2,"",B1352))</f>
      </c>
      <c r="C1353">
        <f>IF('R.M Billets Reports'!A1352="V.No.",'R.M Billets Reports'!B1352,IF(ROW()=2,"",C1352))</f>
      </c>
      <c r="D1353">
        <f>IF('R.M Billets Reports'!A1352&lt;&gt;"",'R.M Billets Reports'!A1352,IF(ROW()=2,"",D1352))</f>
      </c>
      <c r="E1353">
        <f>IF('R.M Billets Reports'!B1352="","",TRIM('R.M Billets Reports'!B1352))</f>
      </c>
      <c r="F1353">
        <f>'R.M Billets Reports'!C1352</f>
      </c>
      <c r="G1353">
        <f>'R.M Billets Reports'!D1352</f>
      </c>
      <c r="H1353">
        <f>'R.M Billets Reports'!E1352</f>
      </c>
      <c r="I1353">
        <f>'R.M Billets Reports'!F1352</f>
      </c>
      <c r="J1353">
        <f>'R.M Billets Reports'!G1352</f>
      </c>
      <c r="K1353">
        <f>'R.M Billets Reports'!H1352</f>
      </c>
      <c r="L1353">
        <f>IF('R.M Billets Reports'!I1352="","",'R.M Billets Reports'!I1352)</f>
      </c>
      <c r="M1353">
        <f t="shared" si="42"/>
      </c>
      <c r="N1353">
        <f>IF('R.M Billets Reports'!J1352="","",'R.M Billets Reports'!J1352)</f>
      </c>
      <c r="O1353">
        <f t="shared" si="43"/>
      </c>
      <c r="P1353">
        <f>IF('R.M Billets Reports'!A1352="SIZE",'R.M Billets Reports'!B1352,P1352)</f>
      </c>
    </row>
    <row r="1354" spans="1:16" x14ac:dyDescent="0.25">
      <c r="A1354">
        <f>IF(OR('R.M Billets Reports'!A1353="Date-",'R.M Billets Reports'!A1353="Date:-"),IF(IF(IF(ISNUMBER(SEARCH("Party Name:-",'R.M Billets Reports'!D1353)),TRIM('R.M Billets Reports'!F1353),IF(ISNUMBER(SEARCH("Party Name-",'R.M Billets Reports'!D1353)),TRIM(MID('R.M Billets Reports'!D1353,SEARCH("-",'R.M Billets Reports'!D1353)+1,200)),""))&lt;&gt;"",IF(ISNUMBER(SEARCH("Party Name:-",'R.M Billets Reports'!D1353)),TRIM('R.M Billets Reports'!F1353),IF(ISNUMBER(SEARCH("Party Name-",'R.M Billets Reports'!D1353)),TRIM(MID('R.M Billets Reports'!D1353,SEARCH("-",'R.M Billets Reports'!D1353)+1,200)),"")),IF(ISNUMBER(SEARCH("Party Name:-",'R.M Billets Reports'!D1354)),TRIM('R.M Billets Reports'!F1354),IF(ISNUMBER(SEARCH("Party Name-",'R.M Billets Reports'!D1354)),TRIM(MID('R.M Billets Reports'!D1354,SEARCH("-",'R.M Billets Reports'!D1354)+1,200)),"")))="VRKP ISPAT PVT LTD","VRKP",IF(IF(IF(ISNUMBER(SEARCH("Party Name:-",'R.M Billets Reports'!D1353)),TRIM('R.M Billets Reports'!F1353),IF(ISNUMBER(SEARCH("Party Name-",'R.M Billets Reports'!D1353)),TRIM(MID('R.M Billets Reports'!D1353,SEARCH("-",'R.M Billets Reports'!D1353)+1,200)),""))&lt;&gt;"",IF(ISNUMBER(SEARCH("Party Name:-",'R.M Billets Reports'!D1353)),TRIM('R.M Billets Reports'!F1353),IF(ISNUMBER(SEARCH("Party Name-",'R.M Billets Reports'!D1353)),TRIM(MID('R.M Billets Reports'!D1353,SEARCH("-",'R.M Billets Reports'!D1353)+1,200)),"")),IF(ISNUMBER(SEARCH("Party Name:-",'R.M Billets Reports'!D1354)),TRIM('R.M Billets Reports'!F1354),IF(ISNUMBER(SEARCH("Party Name-",'R.M Billets Reports'!D1354)),TRIM(MID('R.M Billets Reports'!D1354,SEARCH("-",'R.M Billets Reports'!D1354)+1,200)),"")))="SHRI RADHE","SHREE RADHE",IF(IF(IF(ISNUMBER(SEARCH("Party Name:-",'R.M Billets Reports'!D1353)),TRIM('R.M Billets Reports'!F1353),IF(ISNUMBER(SEARCH("Party Name-",'R.M Billets Reports'!D1353)),TRIM(MID('R.M Billets Reports'!D1353,SEARCH("-",'R.M Billets Reports'!D1353)+1,200)),""))&lt;&gt;"",IF(ISNUMBER(SEARCH("Party Name:-",'R.M Billets Reports'!D1353)),TRIM('R.M Billets Reports'!F1353),IF(ISNUMBER(SEARCH("Party Name-",'R.M Billets Reports'!D1353)),TRIM(MID('R.M Billets Reports'!D1353,SEARCH("-",'R.M Billets Reports'!D1353)+1,200)),"")),IF(ISNUMBER(SEARCH("Party Name:-",'R.M Billets Reports'!D1354)),TRIM('R.M Billets Reports'!F1354),IF(ISNUMBER(SEARCH("Party Name-",'R.M Billets Reports'!D1354)),TRIM(MID('R.M Billets Reports'!D1354,SEARCH("-",'R.M Billets Reports'!D1354)+1,200)),"")))="SHREE RADHE SHAKTI SPONGE AND POWER PVT. LTD.","SHREE RADHE",IF(IF(ISNUMBER(SEARCH("Party Name:-",'R.M Billets Reports'!D1353)),TRIM('R.M Billets Reports'!F1353),IF(ISNUMBER(SEARCH("Party Name-",'R.M Billets Reports'!D1353)),TRIM(MID('R.M Billets Reports'!D1353,SEARCH("-",'R.M Billets Reports'!D1353)+1,200)),""))&lt;&gt;"",IF(ISNUMBER(SEARCH("Party Name:-",'R.M Billets Reports'!D1353)),TRIM('R.M Billets Reports'!F1353),IF(ISNUMBER(SEARCH("Party Name-",'R.M Billets Reports'!D1353)),TRIM(MID('R.M Billets Reports'!D1353,SEARCH("-",'R.M Billets Reports'!D1353)+1,200)),"")),IF(ISNUMBER(SEARCH("Party Name:-",'R.M Billets Reports'!D1354)),TRIM('R.M Billets Reports'!F1354),IF(ISNUMBER(SEARCH("Party Name-",'R.M Billets Reports'!D1354)),TRIM(MID('R.M Billets Reports'!D1354,SEARCH("-",'R.M Billets Reports'!D1354)+1,200)),"")))))),IF(ROW()=2,"",A1353))</f>
      </c>
      <c r="B1354">
        <f>IF(OR('R.M Billets Reports'!A1353="Date-",'R.M Billets Reports'!A1353="Date:-"),'R.M Billets Reports'!B1353,IF(ROW()=2,"",B1353))</f>
      </c>
      <c r="C1354">
        <f>IF('R.M Billets Reports'!A1353="V.No.",'R.M Billets Reports'!B1353,IF(ROW()=2,"",C1353))</f>
      </c>
      <c r="D1354">
        <f>IF('R.M Billets Reports'!A1353&lt;&gt;"",'R.M Billets Reports'!A1353,IF(ROW()=2,"",D1353))</f>
      </c>
      <c r="E1354">
        <f>IF('R.M Billets Reports'!B1353="","",TRIM('R.M Billets Reports'!B1353))</f>
      </c>
      <c r="F1354">
        <f>'R.M Billets Reports'!C1353</f>
      </c>
      <c r="G1354">
        <f>'R.M Billets Reports'!D1353</f>
      </c>
      <c r="H1354">
        <f>'R.M Billets Reports'!E1353</f>
      </c>
      <c r="I1354">
        <f>'R.M Billets Reports'!F1353</f>
      </c>
      <c r="J1354">
        <f>'R.M Billets Reports'!G1353</f>
      </c>
      <c r="K1354">
        <f>'R.M Billets Reports'!H1353</f>
      </c>
      <c r="L1354">
        <f>IF('R.M Billets Reports'!I1353="","",'R.M Billets Reports'!I1353)</f>
      </c>
      <c r="M1354">
        <f t="shared" si="42"/>
      </c>
      <c r="N1354">
        <f>IF('R.M Billets Reports'!J1353="","",'R.M Billets Reports'!J1353)</f>
      </c>
      <c r="O1354">
        <f t="shared" si="43"/>
      </c>
      <c r="P1354">
        <f>IF('R.M Billets Reports'!A1353="SIZE",'R.M Billets Reports'!B1353,P1353)</f>
      </c>
    </row>
    <row r="1355" spans="1:16" x14ac:dyDescent="0.25">
      <c r="A1355">
        <f>IF(OR('R.M Billets Reports'!A1354="Date-",'R.M Billets Reports'!A1354="Date:-"),IF(IF(IF(ISNUMBER(SEARCH("Party Name:-",'R.M Billets Reports'!D1354)),TRIM('R.M Billets Reports'!F1354),IF(ISNUMBER(SEARCH("Party Name-",'R.M Billets Reports'!D1354)),TRIM(MID('R.M Billets Reports'!D1354,SEARCH("-",'R.M Billets Reports'!D1354)+1,200)),""))&lt;&gt;"",IF(ISNUMBER(SEARCH("Party Name:-",'R.M Billets Reports'!D1354)),TRIM('R.M Billets Reports'!F1354),IF(ISNUMBER(SEARCH("Party Name-",'R.M Billets Reports'!D1354)),TRIM(MID('R.M Billets Reports'!D1354,SEARCH("-",'R.M Billets Reports'!D1354)+1,200)),"")),IF(ISNUMBER(SEARCH("Party Name:-",'R.M Billets Reports'!D1355)),TRIM('R.M Billets Reports'!F1355),IF(ISNUMBER(SEARCH("Party Name-",'R.M Billets Reports'!D1355)),TRIM(MID('R.M Billets Reports'!D1355,SEARCH("-",'R.M Billets Reports'!D1355)+1,200)),"")))="VRKP ISPAT PVT LTD","VRKP",IF(IF(IF(ISNUMBER(SEARCH("Party Name:-",'R.M Billets Reports'!D1354)),TRIM('R.M Billets Reports'!F1354),IF(ISNUMBER(SEARCH("Party Name-",'R.M Billets Reports'!D1354)),TRIM(MID('R.M Billets Reports'!D1354,SEARCH("-",'R.M Billets Reports'!D1354)+1,200)),""))&lt;&gt;"",IF(ISNUMBER(SEARCH("Party Name:-",'R.M Billets Reports'!D1354)),TRIM('R.M Billets Reports'!F1354),IF(ISNUMBER(SEARCH("Party Name-",'R.M Billets Reports'!D1354)),TRIM(MID('R.M Billets Reports'!D1354,SEARCH("-",'R.M Billets Reports'!D1354)+1,200)),"")),IF(ISNUMBER(SEARCH("Party Name:-",'R.M Billets Reports'!D1355)),TRIM('R.M Billets Reports'!F1355),IF(ISNUMBER(SEARCH("Party Name-",'R.M Billets Reports'!D1355)),TRIM(MID('R.M Billets Reports'!D1355,SEARCH("-",'R.M Billets Reports'!D1355)+1,200)),"")))="SHRI RADHE","SHREE RADHE",IF(IF(IF(ISNUMBER(SEARCH("Party Name:-",'R.M Billets Reports'!D1354)),TRIM('R.M Billets Reports'!F1354),IF(ISNUMBER(SEARCH("Party Name-",'R.M Billets Reports'!D1354)),TRIM(MID('R.M Billets Reports'!D1354,SEARCH("-",'R.M Billets Reports'!D1354)+1,200)),""))&lt;&gt;"",IF(ISNUMBER(SEARCH("Party Name:-",'R.M Billets Reports'!D1354)),TRIM('R.M Billets Reports'!F1354),IF(ISNUMBER(SEARCH("Party Name-",'R.M Billets Reports'!D1354)),TRIM(MID('R.M Billets Reports'!D1354,SEARCH("-",'R.M Billets Reports'!D1354)+1,200)),"")),IF(ISNUMBER(SEARCH("Party Name:-",'R.M Billets Reports'!D1355)),TRIM('R.M Billets Reports'!F1355),IF(ISNUMBER(SEARCH("Party Name-",'R.M Billets Reports'!D1355)),TRIM(MID('R.M Billets Reports'!D1355,SEARCH("-",'R.M Billets Reports'!D1355)+1,200)),"")))="SHREE RADHE SHAKTI SPONGE AND POWER PVT. LTD.","SHREE RADHE",IF(IF(ISNUMBER(SEARCH("Party Name:-",'R.M Billets Reports'!D1354)),TRIM('R.M Billets Reports'!F1354),IF(ISNUMBER(SEARCH("Party Name-",'R.M Billets Reports'!D1354)),TRIM(MID('R.M Billets Reports'!D1354,SEARCH("-",'R.M Billets Reports'!D1354)+1,200)),""))&lt;&gt;"",IF(ISNUMBER(SEARCH("Party Name:-",'R.M Billets Reports'!D1354)),TRIM('R.M Billets Reports'!F1354),IF(ISNUMBER(SEARCH("Party Name-",'R.M Billets Reports'!D1354)),TRIM(MID('R.M Billets Reports'!D1354,SEARCH("-",'R.M Billets Reports'!D1354)+1,200)),"")),IF(ISNUMBER(SEARCH("Party Name:-",'R.M Billets Reports'!D1355)),TRIM('R.M Billets Reports'!F1355),IF(ISNUMBER(SEARCH("Party Name-",'R.M Billets Reports'!D1355)),TRIM(MID('R.M Billets Reports'!D1355,SEARCH("-",'R.M Billets Reports'!D1355)+1,200)),"")))))),IF(ROW()=2,"",A1354))</f>
      </c>
      <c r="B1355">
        <f>IF(OR('R.M Billets Reports'!A1354="Date-",'R.M Billets Reports'!A1354="Date:-"),'R.M Billets Reports'!B1354,IF(ROW()=2,"",B1354))</f>
      </c>
      <c r="C1355">
        <f>IF('R.M Billets Reports'!A1354="V.No.",'R.M Billets Reports'!B1354,IF(ROW()=2,"",C1354))</f>
      </c>
      <c r="D1355">
        <f>IF('R.M Billets Reports'!A1354&lt;&gt;"",'R.M Billets Reports'!A1354,IF(ROW()=2,"",D1354))</f>
      </c>
      <c r="E1355">
        <f>IF('R.M Billets Reports'!B1354="","",TRIM('R.M Billets Reports'!B1354))</f>
      </c>
      <c r="F1355">
        <f>'R.M Billets Reports'!C1354</f>
      </c>
      <c r="G1355">
        <f>'R.M Billets Reports'!D1354</f>
      </c>
      <c r="H1355">
        <f>'R.M Billets Reports'!E1354</f>
      </c>
      <c r="I1355">
        <f>'R.M Billets Reports'!F1354</f>
      </c>
      <c r="J1355">
        <f>'R.M Billets Reports'!G1354</f>
      </c>
      <c r="K1355">
        <f>'R.M Billets Reports'!H1354</f>
      </c>
      <c r="L1355">
        <f>IF('R.M Billets Reports'!I1354="","",'R.M Billets Reports'!I1354)</f>
      </c>
      <c r="M1355">
        <f t="shared" si="42"/>
      </c>
      <c r="N1355">
        <f>IF('R.M Billets Reports'!J1354="","",'R.M Billets Reports'!J1354)</f>
      </c>
      <c r="O1355">
        <f t="shared" si="43"/>
      </c>
      <c r="P1355">
        <f>IF('R.M Billets Reports'!A1354="SIZE",'R.M Billets Reports'!B1354,P1354)</f>
      </c>
    </row>
    <row r="1356" spans="1:16" x14ac:dyDescent="0.25">
      <c r="A1356">
        <f>IF(OR('R.M Billets Reports'!A1355="Date-",'R.M Billets Reports'!A1355="Date:-"),IF(IF(IF(ISNUMBER(SEARCH("Party Name:-",'R.M Billets Reports'!D1355)),TRIM('R.M Billets Reports'!F1355),IF(ISNUMBER(SEARCH("Party Name-",'R.M Billets Reports'!D1355)),TRIM(MID('R.M Billets Reports'!D1355,SEARCH("-",'R.M Billets Reports'!D1355)+1,200)),""))&lt;&gt;"",IF(ISNUMBER(SEARCH("Party Name:-",'R.M Billets Reports'!D1355)),TRIM('R.M Billets Reports'!F1355),IF(ISNUMBER(SEARCH("Party Name-",'R.M Billets Reports'!D1355)),TRIM(MID('R.M Billets Reports'!D1355,SEARCH("-",'R.M Billets Reports'!D1355)+1,200)),"")),IF(ISNUMBER(SEARCH("Party Name:-",'R.M Billets Reports'!D1356)),TRIM('R.M Billets Reports'!F1356),IF(ISNUMBER(SEARCH("Party Name-",'R.M Billets Reports'!D1356)),TRIM(MID('R.M Billets Reports'!D1356,SEARCH("-",'R.M Billets Reports'!D1356)+1,200)),"")))="VRKP ISPAT PVT LTD","VRKP",IF(IF(IF(ISNUMBER(SEARCH("Party Name:-",'R.M Billets Reports'!D1355)),TRIM('R.M Billets Reports'!F1355),IF(ISNUMBER(SEARCH("Party Name-",'R.M Billets Reports'!D1355)),TRIM(MID('R.M Billets Reports'!D1355,SEARCH("-",'R.M Billets Reports'!D1355)+1,200)),""))&lt;&gt;"",IF(ISNUMBER(SEARCH("Party Name:-",'R.M Billets Reports'!D1355)),TRIM('R.M Billets Reports'!F1355),IF(ISNUMBER(SEARCH("Party Name-",'R.M Billets Reports'!D1355)),TRIM(MID('R.M Billets Reports'!D1355,SEARCH("-",'R.M Billets Reports'!D1355)+1,200)),"")),IF(ISNUMBER(SEARCH("Party Name:-",'R.M Billets Reports'!D1356)),TRIM('R.M Billets Reports'!F1356),IF(ISNUMBER(SEARCH("Party Name-",'R.M Billets Reports'!D1356)),TRIM(MID('R.M Billets Reports'!D1356,SEARCH("-",'R.M Billets Reports'!D1356)+1,200)),"")))="SHRI RADHE","SHREE RADHE",IF(IF(IF(ISNUMBER(SEARCH("Party Name:-",'R.M Billets Reports'!D1355)),TRIM('R.M Billets Reports'!F1355),IF(ISNUMBER(SEARCH("Party Name-",'R.M Billets Reports'!D1355)),TRIM(MID('R.M Billets Reports'!D1355,SEARCH("-",'R.M Billets Reports'!D1355)+1,200)),""))&lt;&gt;"",IF(ISNUMBER(SEARCH("Party Name:-",'R.M Billets Reports'!D1355)),TRIM('R.M Billets Reports'!F1355),IF(ISNUMBER(SEARCH("Party Name-",'R.M Billets Reports'!D1355)),TRIM(MID('R.M Billets Reports'!D1355,SEARCH("-",'R.M Billets Reports'!D1355)+1,200)),"")),IF(ISNUMBER(SEARCH("Party Name:-",'R.M Billets Reports'!D1356)),TRIM('R.M Billets Reports'!F1356),IF(ISNUMBER(SEARCH("Party Name-",'R.M Billets Reports'!D1356)),TRIM(MID('R.M Billets Reports'!D1356,SEARCH("-",'R.M Billets Reports'!D1356)+1,200)),"")))="SHREE RADHE SHAKTI SPONGE AND POWER PVT. LTD.","SHREE RADHE",IF(IF(ISNUMBER(SEARCH("Party Name:-",'R.M Billets Reports'!D1355)),TRIM('R.M Billets Reports'!F1355),IF(ISNUMBER(SEARCH("Party Name-",'R.M Billets Reports'!D1355)),TRIM(MID('R.M Billets Reports'!D1355,SEARCH("-",'R.M Billets Reports'!D1355)+1,200)),""))&lt;&gt;"",IF(ISNUMBER(SEARCH("Party Name:-",'R.M Billets Reports'!D1355)),TRIM('R.M Billets Reports'!F1355),IF(ISNUMBER(SEARCH("Party Name-",'R.M Billets Reports'!D1355)),TRIM(MID('R.M Billets Reports'!D1355,SEARCH("-",'R.M Billets Reports'!D1355)+1,200)),"")),IF(ISNUMBER(SEARCH("Party Name:-",'R.M Billets Reports'!D1356)),TRIM('R.M Billets Reports'!F1356),IF(ISNUMBER(SEARCH("Party Name-",'R.M Billets Reports'!D1356)),TRIM(MID('R.M Billets Reports'!D1356,SEARCH("-",'R.M Billets Reports'!D1356)+1,200)),"")))))),IF(ROW()=2,"",A1355))</f>
      </c>
      <c r="B1356">
        <f>IF(OR('R.M Billets Reports'!A1355="Date-",'R.M Billets Reports'!A1355="Date:-"),'R.M Billets Reports'!B1355,IF(ROW()=2,"",B1355))</f>
      </c>
      <c r="C1356">
        <f>IF('R.M Billets Reports'!A1355="V.No.",'R.M Billets Reports'!B1355,IF(ROW()=2,"",C1355))</f>
      </c>
      <c r="D1356">
        <f>IF('R.M Billets Reports'!A1355&lt;&gt;"",'R.M Billets Reports'!A1355,IF(ROW()=2,"",D1355))</f>
      </c>
      <c r="E1356">
        <f>IF('R.M Billets Reports'!B1355="","",TRIM('R.M Billets Reports'!B1355))</f>
      </c>
      <c r="F1356">
        <f>'R.M Billets Reports'!C1355</f>
      </c>
      <c r="G1356">
        <f>'R.M Billets Reports'!D1355</f>
      </c>
      <c r="H1356">
        <f>'R.M Billets Reports'!E1355</f>
      </c>
      <c r="I1356">
        <f>'R.M Billets Reports'!F1355</f>
      </c>
      <c r="J1356">
        <f>'R.M Billets Reports'!G1355</f>
      </c>
      <c r="K1356">
        <f>'R.M Billets Reports'!H1355</f>
      </c>
      <c r="L1356">
        <f>IF('R.M Billets Reports'!I1355="","",'R.M Billets Reports'!I1355)</f>
      </c>
      <c r="M1356">
        <f t="shared" si="42"/>
      </c>
      <c r="N1356">
        <f>IF('R.M Billets Reports'!J1355="","",'R.M Billets Reports'!J1355)</f>
      </c>
      <c r="O1356">
        <f t="shared" si="43"/>
      </c>
      <c r="P1356">
        <f>IF('R.M Billets Reports'!A1355="SIZE",'R.M Billets Reports'!B1355,P1355)</f>
      </c>
    </row>
    <row r="1357" spans="1:16" x14ac:dyDescent="0.25">
      <c r="A1357">
        <f>IF(OR('R.M Billets Reports'!A1356="Date-",'R.M Billets Reports'!A1356="Date:-"),IF(IF(IF(ISNUMBER(SEARCH("Party Name:-",'R.M Billets Reports'!D1356)),TRIM('R.M Billets Reports'!F1356),IF(ISNUMBER(SEARCH("Party Name-",'R.M Billets Reports'!D1356)),TRIM(MID('R.M Billets Reports'!D1356,SEARCH("-",'R.M Billets Reports'!D1356)+1,200)),""))&lt;&gt;"",IF(ISNUMBER(SEARCH("Party Name:-",'R.M Billets Reports'!D1356)),TRIM('R.M Billets Reports'!F1356),IF(ISNUMBER(SEARCH("Party Name-",'R.M Billets Reports'!D1356)),TRIM(MID('R.M Billets Reports'!D1356,SEARCH("-",'R.M Billets Reports'!D1356)+1,200)),"")),IF(ISNUMBER(SEARCH("Party Name:-",'R.M Billets Reports'!D1357)),TRIM('R.M Billets Reports'!F1357),IF(ISNUMBER(SEARCH("Party Name-",'R.M Billets Reports'!D1357)),TRIM(MID('R.M Billets Reports'!D1357,SEARCH("-",'R.M Billets Reports'!D1357)+1,200)),"")))="VRKP ISPAT PVT LTD","VRKP",IF(IF(IF(ISNUMBER(SEARCH("Party Name:-",'R.M Billets Reports'!D1356)),TRIM('R.M Billets Reports'!F1356),IF(ISNUMBER(SEARCH("Party Name-",'R.M Billets Reports'!D1356)),TRIM(MID('R.M Billets Reports'!D1356,SEARCH("-",'R.M Billets Reports'!D1356)+1,200)),""))&lt;&gt;"",IF(ISNUMBER(SEARCH("Party Name:-",'R.M Billets Reports'!D1356)),TRIM('R.M Billets Reports'!F1356),IF(ISNUMBER(SEARCH("Party Name-",'R.M Billets Reports'!D1356)),TRIM(MID('R.M Billets Reports'!D1356,SEARCH("-",'R.M Billets Reports'!D1356)+1,200)),"")),IF(ISNUMBER(SEARCH("Party Name:-",'R.M Billets Reports'!D1357)),TRIM('R.M Billets Reports'!F1357),IF(ISNUMBER(SEARCH("Party Name-",'R.M Billets Reports'!D1357)),TRIM(MID('R.M Billets Reports'!D1357,SEARCH("-",'R.M Billets Reports'!D1357)+1,200)),"")))="SHRI RADHE","SHREE RADHE",IF(IF(IF(ISNUMBER(SEARCH("Party Name:-",'R.M Billets Reports'!D1356)),TRIM('R.M Billets Reports'!F1356),IF(ISNUMBER(SEARCH("Party Name-",'R.M Billets Reports'!D1356)),TRIM(MID('R.M Billets Reports'!D1356,SEARCH("-",'R.M Billets Reports'!D1356)+1,200)),""))&lt;&gt;"",IF(ISNUMBER(SEARCH("Party Name:-",'R.M Billets Reports'!D1356)),TRIM('R.M Billets Reports'!F1356),IF(ISNUMBER(SEARCH("Party Name-",'R.M Billets Reports'!D1356)),TRIM(MID('R.M Billets Reports'!D1356,SEARCH("-",'R.M Billets Reports'!D1356)+1,200)),"")),IF(ISNUMBER(SEARCH("Party Name:-",'R.M Billets Reports'!D1357)),TRIM('R.M Billets Reports'!F1357),IF(ISNUMBER(SEARCH("Party Name-",'R.M Billets Reports'!D1357)),TRIM(MID('R.M Billets Reports'!D1357,SEARCH("-",'R.M Billets Reports'!D1357)+1,200)),"")))="SHREE RADHE SHAKTI SPONGE AND POWER PVT. LTD.","SHREE RADHE",IF(IF(ISNUMBER(SEARCH("Party Name:-",'R.M Billets Reports'!D1356)),TRIM('R.M Billets Reports'!F1356),IF(ISNUMBER(SEARCH("Party Name-",'R.M Billets Reports'!D1356)),TRIM(MID('R.M Billets Reports'!D1356,SEARCH("-",'R.M Billets Reports'!D1356)+1,200)),""))&lt;&gt;"",IF(ISNUMBER(SEARCH("Party Name:-",'R.M Billets Reports'!D1356)),TRIM('R.M Billets Reports'!F1356),IF(ISNUMBER(SEARCH("Party Name-",'R.M Billets Reports'!D1356)),TRIM(MID('R.M Billets Reports'!D1356,SEARCH("-",'R.M Billets Reports'!D1356)+1,200)),"")),IF(ISNUMBER(SEARCH("Party Name:-",'R.M Billets Reports'!D1357)),TRIM('R.M Billets Reports'!F1357),IF(ISNUMBER(SEARCH("Party Name-",'R.M Billets Reports'!D1357)),TRIM(MID('R.M Billets Reports'!D1357,SEARCH("-",'R.M Billets Reports'!D1357)+1,200)),"")))))),IF(ROW()=2,"",A1356))</f>
      </c>
      <c r="B1357">
        <f>IF(OR('R.M Billets Reports'!A1356="Date-",'R.M Billets Reports'!A1356="Date:-"),'R.M Billets Reports'!B1356,IF(ROW()=2,"",B1356))</f>
      </c>
      <c r="C1357">
        <f>IF('R.M Billets Reports'!A1356="V.No.",'R.M Billets Reports'!B1356,IF(ROW()=2,"",C1356))</f>
      </c>
      <c r="D1357">
        <f>IF('R.M Billets Reports'!A1356&lt;&gt;"",'R.M Billets Reports'!A1356,IF(ROW()=2,"",D1356))</f>
      </c>
      <c r="E1357">
        <f>IF('R.M Billets Reports'!B1356="","",TRIM('R.M Billets Reports'!B1356))</f>
      </c>
      <c r="F1357">
        <f>'R.M Billets Reports'!C1356</f>
      </c>
      <c r="G1357">
        <f>'R.M Billets Reports'!D1356</f>
      </c>
      <c r="H1357">
        <f>'R.M Billets Reports'!E1356</f>
      </c>
      <c r="I1357">
        <f>'R.M Billets Reports'!F1356</f>
      </c>
      <c r="J1357">
        <f>'R.M Billets Reports'!G1356</f>
      </c>
      <c r="K1357">
        <f>'R.M Billets Reports'!H1356</f>
      </c>
      <c r="L1357">
        <f>IF('R.M Billets Reports'!I1356="","",'R.M Billets Reports'!I1356)</f>
      </c>
      <c r="M1357">
        <f t="shared" si="42"/>
      </c>
      <c r="N1357">
        <f>IF('R.M Billets Reports'!J1356="","",'R.M Billets Reports'!J1356)</f>
      </c>
      <c r="O1357">
        <f t="shared" si="43"/>
      </c>
      <c r="P1357">
        <f>IF('R.M Billets Reports'!A1356="SIZE",'R.M Billets Reports'!B1356,P1356)</f>
      </c>
    </row>
    <row r="1358" spans="1:16" x14ac:dyDescent="0.25">
      <c r="A1358">
        <f>IF(OR('R.M Billets Reports'!A1357="Date-",'R.M Billets Reports'!A1357="Date:-"),IF(IF(IF(ISNUMBER(SEARCH("Party Name:-",'R.M Billets Reports'!D1357)),TRIM('R.M Billets Reports'!F1357),IF(ISNUMBER(SEARCH("Party Name-",'R.M Billets Reports'!D1357)),TRIM(MID('R.M Billets Reports'!D1357,SEARCH("-",'R.M Billets Reports'!D1357)+1,200)),""))&lt;&gt;"",IF(ISNUMBER(SEARCH("Party Name:-",'R.M Billets Reports'!D1357)),TRIM('R.M Billets Reports'!F1357),IF(ISNUMBER(SEARCH("Party Name-",'R.M Billets Reports'!D1357)),TRIM(MID('R.M Billets Reports'!D1357,SEARCH("-",'R.M Billets Reports'!D1357)+1,200)),"")),IF(ISNUMBER(SEARCH("Party Name:-",'R.M Billets Reports'!D1358)),TRIM('R.M Billets Reports'!F1358),IF(ISNUMBER(SEARCH("Party Name-",'R.M Billets Reports'!D1358)),TRIM(MID('R.M Billets Reports'!D1358,SEARCH("-",'R.M Billets Reports'!D1358)+1,200)),"")))="VRKP ISPAT PVT LTD","VRKP",IF(IF(IF(ISNUMBER(SEARCH("Party Name:-",'R.M Billets Reports'!D1357)),TRIM('R.M Billets Reports'!F1357),IF(ISNUMBER(SEARCH("Party Name-",'R.M Billets Reports'!D1357)),TRIM(MID('R.M Billets Reports'!D1357,SEARCH("-",'R.M Billets Reports'!D1357)+1,200)),""))&lt;&gt;"",IF(ISNUMBER(SEARCH("Party Name:-",'R.M Billets Reports'!D1357)),TRIM('R.M Billets Reports'!F1357),IF(ISNUMBER(SEARCH("Party Name-",'R.M Billets Reports'!D1357)),TRIM(MID('R.M Billets Reports'!D1357,SEARCH("-",'R.M Billets Reports'!D1357)+1,200)),"")),IF(ISNUMBER(SEARCH("Party Name:-",'R.M Billets Reports'!D1358)),TRIM('R.M Billets Reports'!F1358),IF(ISNUMBER(SEARCH("Party Name-",'R.M Billets Reports'!D1358)),TRIM(MID('R.M Billets Reports'!D1358,SEARCH("-",'R.M Billets Reports'!D1358)+1,200)),"")))="SHRI RADHE","SHREE RADHE",IF(IF(IF(ISNUMBER(SEARCH("Party Name:-",'R.M Billets Reports'!D1357)),TRIM('R.M Billets Reports'!F1357),IF(ISNUMBER(SEARCH("Party Name-",'R.M Billets Reports'!D1357)),TRIM(MID('R.M Billets Reports'!D1357,SEARCH("-",'R.M Billets Reports'!D1357)+1,200)),""))&lt;&gt;"",IF(ISNUMBER(SEARCH("Party Name:-",'R.M Billets Reports'!D1357)),TRIM('R.M Billets Reports'!F1357),IF(ISNUMBER(SEARCH("Party Name-",'R.M Billets Reports'!D1357)),TRIM(MID('R.M Billets Reports'!D1357,SEARCH("-",'R.M Billets Reports'!D1357)+1,200)),"")),IF(ISNUMBER(SEARCH("Party Name:-",'R.M Billets Reports'!D1358)),TRIM('R.M Billets Reports'!F1358),IF(ISNUMBER(SEARCH("Party Name-",'R.M Billets Reports'!D1358)),TRIM(MID('R.M Billets Reports'!D1358,SEARCH("-",'R.M Billets Reports'!D1358)+1,200)),"")))="SHREE RADHE SHAKTI SPONGE AND POWER PVT. LTD.","SHREE RADHE",IF(IF(ISNUMBER(SEARCH("Party Name:-",'R.M Billets Reports'!D1357)),TRIM('R.M Billets Reports'!F1357),IF(ISNUMBER(SEARCH("Party Name-",'R.M Billets Reports'!D1357)),TRIM(MID('R.M Billets Reports'!D1357,SEARCH("-",'R.M Billets Reports'!D1357)+1,200)),""))&lt;&gt;"",IF(ISNUMBER(SEARCH("Party Name:-",'R.M Billets Reports'!D1357)),TRIM('R.M Billets Reports'!F1357),IF(ISNUMBER(SEARCH("Party Name-",'R.M Billets Reports'!D1357)),TRIM(MID('R.M Billets Reports'!D1357,SEARCH("-",'R.M Billets Reports'!D1357)+1,200)),"")),IF(ISNUMBER(SEARCH("Party Name:-",'R.M Billets Reports'!D1358)),TRIM('R.M Billets Reports'!F1358),IF(ISNUMBER(SEARCH("Party Name-",'R.M Billets Reports'!D1358)),TRIM(MID('R.M Billets Reports'!D1358,SEARCH("-",'R.M Billets Reports'!D1358)+1,200)),"")))))),IF(ROW()=2,"",A1357))</f>
      </c>
      <c r="B1358">
        <f>IF(OR('R.M Billets Reports'!A1357="Date-",'R.M Billets Reports'!A1357="Date:-"),'R.M Billets Reports'!B1357,IF(ROW()=2,"",B1357))</f>
      </c>
      <c r="C1358">
        <f>IF('R.M Billets Reports'!A1357="V.No.",'R.M Billets Reports'!B1357,IF(ROW()=2,"",C1357))</f>
      </c>
      <c r="D1358">
        <f>IF('R.M Billets Reports'!A1357&lt;&gt;"",'R.M Billets Reports'!A1357,IF(ROW()=2,"",D1357))</f>
      </c>
      <c r="E1358">
        <f>IF('R.M Billets Reports'!B1357="","",TRIM('R.M Billets Reports'!B1357))</f>
      </c>
      <c r="F1358">
        <f>'R.M Billets Reports'!C1357</f>
      </c>
      <c r="G1358">
        <f>'R.M Billets Reports'!D1357</f>
      </c>
      <c r="H1358">
        <f>'R.M Billets Reports'!E1357</f>
      </c>
      <c r="I1358">
        <f>'R.M Billets Reports'!F1357</f>
      </c>
      <c r="J1358">
        <f>'R.M Billets Reports'!G1357</f>
      </c>
      <c r="K1358">
        <f>'R.M Billets Reports'!H1357</f>
      </c>
      <c r="L1358">
        <f>IF('R.M Billets Reports'!I1357="","",'R.M Billets Reports'!I1357)</f>
      </c>
      <c r="M1358">
        <f t="shared" si="42"/>
      </c>
      <c r="N1358">
        <f>IF('R.M Billets Reports'!J1357="","",'R.M Billets Reports'!J1357)</f>
      </c>
      <c r="O1358">
        <f t="shared" si="43"/>
      </c>
      <c r="P1358">
        <f>IF('R.M Billets Reports'!A1357="SIZE",'R.M Billets Reports'!B1357,P1357)</f>
      </c>
    </row>
    <row r="1359" spans="1:16" x14ac:dyDescent="0.25">
      <c r="A1359">
        <f>IF(OR('R.M Billets Reports'!A1358="Date-",'R.M Billets Reports'!A1358="Date:-"),IF(IF(IF(ISNUMBER(SEARCH("Party Name:-",'R.M Billets Reports'!D1358)),TRIM('R.M Billets Reports'!F1358),IF(ISNUMBER(SEARCH("Party Name-",'R.M Billets Reports'!D1358)),TRIM(MID('R.M Billets Reports'!D1358,SEARCH("-",'R.M Billets Reports'!D1358)+1,200)),""))&lt;&gt;"",IF(ISNUMBER(SEARCH("Party Name:-",'R.M Billets Reports'!D1358)),TRIM('R.M Billets Reports'!F1358),IF(ISNUMBER(SEARCH("Party Name-",'R.M Billets Reports'!D1358)),TRIM(MID('R.M Billets Reports'!D1358,SEARCH("-",'R.M Billets Reports'!D1358)+1,200)),"")),IF(ISNUMBER(SEARCH("Party Name:-",'R.M Billets Reports'!D1359)),TRIM('R.M Billets Reports'!F1359),IF(ISNUMBER(SEARCH("Party Name-",'R.M Billets Reports'!D1359)),TRIM(MID('R.M Billets Reports'!D1359,SEARCH("-",'R.M Billets Reports'!D1359)+1,200)),"")))="VRKP ISPAT PVT LTD","VRKP",IF(IF(IF(ISNUMBER(SEARCH("Party Name:-",'R.M Billets Reports'!D1358)),TRIM('R.M Billets Reports'!F1358),IF(ISNUMBER(SEARCH("Party Name-",'R.M Billets Reports'!D1358)),TRIM(MID('R.M Billets Reports'!D1358,SEARCH("-",'R.M Billets Reports'!D1358)+1,200)),""))&lt;&gt;"",IF(ISNUMBER(SEARCH("Party Name:-",'R.M Billets Reports'!D1358)),TRIM('R.M Billets Reports'!F1358),IF(ISNUMBER(SEARCH("Party Name-",'R.M Billets Reports'!D1358)),TRIM(MID('R.M Billets Reports'!D1358,SEARCH("-",'R.M Billets Reports'!D1358)+1,200)),"")),IF(ISNUMBER(SEARCH("Party Name:-",'R.M Billets Reports'!D1359)),TRIM('R.M Billets Reports'!F1359),IF(ISNUMBER(SEARCH("Party Name-",'R.M Billets Reports'!D1359)),TRIM(MID('R.M Billets Reports'!D1359,SEARCH("-",'R.M Billets Reports'!D1359)+1,200)),"")))="SHRI RADHE","SHREE RADHE",IF(IF(IF(ISNUMBER(SEARCH("Party Name:-",'R.M Billets Reports'!D1358)),TRIM('R.M Billets Reports'!F1358),IF(ISNUMBER(SEARCH("Party Name-",'R.M Billets Reports'!D1358)),TRIM(MID('R.M Billets Reports'!D1358,SEARCH("-",'R.M Billets Reports'!D1358)+1,200)),""))&lt;&gt;"",IF(ISNUMBER(SEARCH("Party Name:-",'R.M Billets Reports'!D1358)),TRIM('R.M Billets Reports'!F1358),IF(ISNUMBER(SEARCH("Party Name-",'R.M Billets Reports'!D1358)),TRIM(MID('R.M Billets Reports'!D1358,SEARCH("-",'R.M Billets Reports'!D1358)+1,200)),"")),IF(ISNUMBER(SEARCH("Party Name:-",'R.M Billets Reports'!D1359)),TRIM('R.M Billets Reports'!F1359),IF(ISNUMBER(SEARCH("Party Name-",'R.M Billets Reports'!D1359)),TRIM(MID('R.M Billets Reports'!D1359,SEARCH("-",'R.M Billets Reports'!D1359)+1,200)),"")))="SHREE RADHE SHAKTI SPONGE AND POWER PVT. LTD.","SHREE RADHE",IF(IF(ISNUMBER(SEARCH("Party Name:-",'R.M Billets Reports'!D1358)),TRIM('R.M Billets Reports'!F1358),IF(ISNUMBER(SEARCH("Party Name-",'R.M Billets Reports'!D1358)),TRIM(MID('R.M Billets Reports'!D1358,SEARCH("-",'R.M Billets Reports'!D1358)+1,200)),""))&lt;&gt;"",IF(ISNUMBER(SEARCH("Party Name:-",'R.M Billets Reports'!D1358)),TRIM('R.M Billets Reports'!F1358),IF(ISNUMBER(SEARCH("Party Name-",'R.M Billets Reports'!D1358)),TRIM(MID('R.M Billets Reports'!D1358,SEARCH("-",'R.M Billets Reports'!D1358)+1,200)),"")),IF(ISNUMBER(SEARCH("Party Name:-",'R.M Billets Reports'!D1359)),TRIM('R.M Billets Reports'!F1359),IF(ISNUMBER(SEARCH("Party Name-",'R.M Billets Reports'!D1359)),TRIM(MID('R.M Billets Reports'!D1359,SEARCH("-",'R.M Billets Reports'!D1359)+1,200)),"")))))),IF(ROW()=2,"",A1358))</f>
      </c>
      <c r="B1359">
        <f>IF(OR('R.M Billets Reports'!A1358="Date-",'R.M Billets Reports'!A1358="Date:-"),'R.M Billets Reports'!B1358,IF(ROW()=2,"",B1358))</f>
      </c>
      <c r="C1359">
        <f>IF('R.M Billets Reports'!A1358="V.No.",'R.M Billets Reports'!B1358,IF(ROW()=2,"",C1358))</f>
      </c>
      <c r="D1359">
        <f>IF('R.M Billets Reports'!A1358&lt;&gt;"",'R.M Billets Reports'!A1358,IF(ROW()=2,"",D1358))</f>
      </c>
      <c r="E1359">
        <f>IF('R.M Billets Reports'!B1358="","",TRIM('R.M Billets Reports'!B1358))</f>
      </c>
      <c r="F1359">
        <f>'R.M Billets Reports'!C1358</f>
      </c>
      <c r="G1359">
        <f>'R.M Billets Reports'!D1358</f>
      </c>
      <c r="H1359">
        <f>'R.M Billets Reports'!E1358</f>
      </c>
      <c r="I1359">
        <f>'R.M Billets Reports'!F1358</f>
      </c>
      <c r="J1359">
        <f>'R.M Billets Reports'!G1358</f>
      </c>
      <c r="K1359">
        <f>'R.M Billets Reports'!H1358</f>
      </c>
      <c r="L1359">
        <f>IF('R.M Billets Reports'!I1358="","",'R.M Billets Reports'!I1358)</f>
      </c>
      <c r="M1359">
        <f t="shared" si="42"/>
      </c>
      <c r="N1359">
        <f>IF('R.M Billets Reports'!J1358="","",'R.M Billets Reports'!J1358)</f>
      </c>
      <c r="O1359">
        <f t="shared" si="43"/>
      </c>
      <c r="P1359">
        <f>IF('R.M Billets Reports'!A1358="SIZE",'R.M Billets Reports'!B1358,P1358)</f>
      </c>
    </row>
    <row r="1360" spans="1:16" x14ac:dyDescent="0.25">
      <c r="A1360">
        <f>IF(OR('R.M Billets Reports'!A1359="Date-",'R.M Billets Reports'!A1359="Date:-"),IF(IF(IF(ISNUMBER(SEARCH("Party Name:-",'R.M Billets Reports'!D1359)),TRIM('R.M Billets Reports'!F1359),IF(ISNUMBER(SEARCH("Party Name-",'R.M Billets Reports'!D1359)),TRIM(MID('R.M Billets Reports'!D1359,SEARCH("-",'R.M Billets Reports'!D1359)+1,200)),""))&lt;&gt;"",IF(ISNUMBER(SEARCH("Party Name:-",'R.M Billets Reports'!D1359)),TRIM('R.M Billets Reports'!F1359),IF(ISNUMBER(SEARCH("Party Name-",'R.M Billets Reports'!D1359)),TRIM(MID('R.M Billets Reports'!D1359,SEARCH("-",'R.M Billets Reports'!D1359)+1,200)),"")),IF(ISNUMBER(SEARCH("Party Name:-",'R.M Billets Reports'!D1360)),TRIM('R.M Billets Reports'!F1360),IF(ISNUMBER(SEARCH("Party Name-",'R.M Billets Reports'!D1360)),TRIM(MID('R.M Billets Reports'!D1360,SEARCH("-",'R.M Billets Reports'!D1360)+1,200)),"")))="VRKP ISPAT PVT LTD","VRKP",IF(IF(IF(ISNUMBER(SEARCH("Party Name:-",'R.M Billets Reports'!D1359)),TRIM('R.M Billets Reports'!F1359),IF(ISNUMBER(SEARCH("Party Name-",'R.M Billets Reports'!D1359)),TRIM(MID('R.M Billets Reports'!D1359,SEARCH("-",'R.M Billets Reports'!D1359)+1,200)),""))&lt;&gt;"",IF(ISNUMBER(SEARCH("Party Name:-",'R.M Billets Reports'!D1359)),TRIM('R.M Billets Reports'!F1359),IF(ISNUMBER(SEARCH("Party Name-",'R.M Billets Reports'!D1359)),TRIM(MID('R.M Billets Reports'!D1359,SEARCH("-",'R.M Billets Reports'!D1359)+1,200)),"")),IF(ISNUMBER(SEARCH("Party Name:-",'R.M Billets Reports'!D1360)),TRIM('R.M Billets Reports'!F1360),IF(ISNUMBER(SEARCH("Party Name-",'R.M Billets Reports'!D1360)),TRIM(MID('R.M Billets Reports'!D1360,SEARCH("-",'R.M Billets Reports'!D1360)+1,200)),"")))="SHRI RADHE","SHREE RADHE",IF(IF(IF(ISNUMBER(SEARCH("Party Name:-",'R.M Billets Reports'!D1359)),TRIM('R.M Billets Reports'!F1359),IF(ISNUMBER(SEARCH("Party Name-",'R.M Billets Reports'!D1359)),TRIM(MID('R.M Billets Reports'!D1359,SEARCH("-",'R.M Billets Reports'!D1359)+1,200)),""))&lt;&gt;"",IF(ISNUMBER(SEARCH("Party Name:-",'R.M Billets Reports'!D1359)),TRIM('R.M Billets Reports'!F1359),IF(ISNUMBER(SEARCH("Party Name-",'R.M Billets Reports'!D1359)),TRIM(MID('R.M Billets Reports'!D1359,SEARCH("-",'R.M Billets Reports'!D1359)+1,200)),"")),IF(ISNUMBER(SEARCH("Party Name:-",'R.M Billets Reports'!D1360)),TRIM('R.M Billets Reports'!F1360),IF(ISNUMBER(SEARCH("Party Name-",'R.M Billets Reports'!D1360)),TRIM(MID('R.M Billets Reports'!D1360,SEARCH("-",'R.M Billets Reports'!D1360)+1,200)),"")))="SHREE RADHE SHAKTI SPONGE AND POWER PVT. LTD.","SHREE RADHE",IF(IF(ISNUMBER(SEARCH("Party Name:-",'R.M Billets Reports'!D1359)),TRIM('R.M Billets Reports'!F1359),IF(ISNUMBER(SEARCH("Party Name-",'R.M Billets Reports'!D1359)),TRIM(MID('R.M Billets Reports'!D1359,SEARCH("-",'R.M Billets Reports'!D1359)+1,200)),""))&lt;&gt;"",IF(ISNUMBER(SEARCH("Party Name:-",'R.M Billets Reports'!D1359)),TRIM('R.M Billets Reports'!F1359),IF(ISNUMBER(SEARCH("Party Name-",'R.M Billets Reports'!D1359)),TRIM(MID('R.M Billets Reports'!D1359,SEARCH("-",'R.M Billets Reports'!D1359)+1,200)),"")),IF(ISNUMBER(SEARCH("Party Name:-",'R.M Billets Reports'!D1360)),TRIM('R.M Billets Reports'!F1360),IF(ISNUMBER(SEARCH("Party Name-",'R.M Billets Reports'!D1360)),TRIM(MID('R.M Billets Reports'!D1360,SEARCH("-",'R.M Billets Reports'!D1360)+1,200)),"")))))),IF(ROW()=2,"",A1359))</f>
      </c>
      <c r="B1360">
        <f>IF(OR('R.M Billets Reports'!A1359="Date-",'R.M Billets Reports'!A1359="Date:-"),'R.M Billets Reports'!B1359,IF(ROW()=2,"",B1359))</f>
      </c>
      <c r="C1360">
        <f>IF('R.M Billets Reports'!A1359="V.No.",'R.M Billets Reports'!B1359,IF(ROW()=2,"",C1359))</f>
      </c>
      <c r="D1360">
        <f>IF('R.M Billets Reports'!A1359&lt;&gt;"",'R.M Billets Reports'!A1359,IF(ROW()=2,"",D1359))</f>
      </c>
      <c r="E1360">
        <f>IF('R.M Billets Reports'!B1359="","",TRIM('R.M Billets Reports'!B1359))</f>
      </c>
      <c r="F1360">
        <f>'R.M Billets Reports'!C1359</f>
      </c>
      <c r="G1360">
        <f>'R.M Billets Reports'!D1359</f>
      </c>
      <c r="H1360">
        <f>'R.M Billets Reports'!E1359</f>
      </c>
      <c r="I1360">
        <f>'R.M Billets Reports'!F1359</f>
      </c>
      <c r="J1360">
        <f>'R.M Billets Reports'!G1359</f>
      </c>
      <c r="K1360">
        <f>'R.M Billets Reports'!H1359</f>
      </c>
      <c r="L1360">
        <f>IF('R.M Billets Reports'!I1359="","",'R.M Billets Reports'!I1359)</f>
      </c>
      <c r="M1360">
        <f t="shared" si="42"/>
      </c>
      <c r="N1360">
        <f>IF('R.M Billets Reports'!J1359="","",'R.M Billets Reports'!J1359)</f>
      </c>
      <c r="O1360">
        <f t="shared" si="43"/>
      </c>
      <c r="P1360">
        <f>IF('R.M Billets Reports'!A1359="SIZE",'R.M Billets Reports'!B1359,P1359)</f>
      </c>
    </row>
    <row r="1361" spans="1:16" x14ac:dyDescent="0.25">
      <c r="A1361">
        <f>IF(OR('R.M Billets Reports'!A1360="Date-",'R.M Billets Reports'!A1360="Date:-"),IF(IF(IF(ISNUMBER(SEARCH("Party Name:-",'R.M Billets Reports'!D1360)),TRIM('R.M Billets Reports'!F1360),IF(ISNUMBER(SEARCH("Party Name-",'R.M Billets Reports'!D1360)),TRIM(MID('R.M Billets Reports'!D1360,SEARCH("-",'R.M Billets Reports'!D1360)+1,200)),""))&lt;&gt;"",IF(ISNUMBER(SEARCH("Party Name:-",'R.M Billets Reports'!D1360)),TRIM('R.M Billets Reports'!F1360),IF(ISNUMBER(SEARCH("Party Name-",'R.M Billets Reports'!D1360)),TRIM(MID('R.M Billets Reports'!D1360,SEARCH("-",'R.M Billets Reports'!D1360)+1,200)),"")),IF(ISNUMBER(SEARCH("Party Name:-",'R.M Billets Reports'!D1361)),TRIM('R.M Billets Reports'!F1361),IF(ISNUMBER(SEARCH("Party Name-",'R.M Billets Reports'!D1361)),TRIM(MID('R.M Billets Reports'!D1361,SEARCH("-",'R.M Billets Reports'!D1361)+1,200)),"")))="VRKP ISPAT PVT LTD","VRKP",IF(IF(IF(ISNUMBER(SEARCH("Party Name:-",'R.M Billets Reports'!D1360)),TRIM('R.M Billets Reports'!F1360),IF(ISNUMBER(SEARCH("Party Name-",'R.M Billets Reports'!D1360)),TRIM(MID('R.M Billets Reports'!D1360,SEARCH("-",'R.M Billets Reports'!D1360)+1,200)),""))&lt;&gt;"",IF(ISNUMBER(SEARCH("Party Name:-",'R.M Billets Reports'!D1360)),TRIM('R.M Billets Reports'!F1360),IF(ISNUMBER(SEARCH("Party Name-",'R.M Billets Reports'!D1360)),TRIM(MID('R.M Billets Reports'!D1360,SEARCH("-",'R.M Billets Reports'!D1360)+1,200)),"")),IF(ISNUMBER(SEARCH("Party Name:-",'R.M Billets Reports'!D1361)),TRIM('R.M Billets Reports'!F1361),IF(ISNUMBER(SEARCH("Party Name-",'R.M Billets Reports'!D1361)),TRIM(MID('R.M Billets Reports'!D1361,SEARCH("-",'R.M Billets Reports'!D1361)+1,200)),"")))="SHRI RADHE","SHREE RADHE",IF(IF(IF(ISNUMBER(SEARCH("Party Name:-",'R.M Billets Reports'!D1360)),TRIM('R.M Billets Reports'!F1360),IF(ISNUMBER(SEARCH("Party Name-",'R.M Billets Reports'!D1360)),TRIM(MID('R.M Billets Reports'!D1360,SEARCH("-",'R.M Billets Reports'!D1360)+1,200)),""))&lt;&gt;"",IF(ISNUMBER(SEARCH("Party Name:-",'R.M Billets Reports'!D1360)),TRIM('R.M Billets Reports'!F1360),IF(ISNUMBER(SEARCH("Party Name-",'R.M Billets Reports'!D1360)),TRIM(MID('R.M Billets Reports'!D1360,SEARCH("-",'R.M Billets Reports'!D1360)+1,200)),"")),IF(ISNUMBER(SEARCH("Party Name:-",'R.M Billets Reports'!D1361)),TRIM('R.M Billets Reports'!F1361),IF(ISNUMBER(SEARCH("Party Name-",'R.M Billets Reports'!D1361)),TRIM(MID('R.M Billets Reports'!D1361,SEARCH("-",'R.M Billets Reports'!D1361)+1,200)),"")))="SHREE RADHE SHAKTI SPONGE AND POWER PVT. LTD.","SHREE RADHE",IF(IF(ISNUMBER(SEARCH("Party Name:-",'R.M Billets Reports'!D1360)),TRIM('R.M Billets Reports'!F1360),IF(ISNUMBER(SEARCH("Party Name-",'R.M Billets Reports'!D1360)),TRIM(MID('R.M Billets Reports'!D1360,SEARCH("-",'R.M Billets Reports'!D1360)+1,200)),""))&lt;&gt;"",IF(ISNUMBER(SEARCH("Party Name:-",'R.M Billets Reports'!D1360)),TRIM('R.M Billets Reports'!F1360),IF(ISNUMBER(SEARCH("Party Name-",'R.M Billets Reports'!D1360)),TRIM(MID('R.M Billets Reports'!D1360,SEARCH("-",'R.M Billets Reports'!D1360)+1,200)),"")),IF(ISNUMBER(SEARCH("Party Name:-",'R.M Billets Reports'!D1361)),TRIM('R.M Billets Reports'!F1361),IF(ISNUMBER(SEARCH("Party Name-",'R.M Billets Reports'!D1361)),TRIM(MID('R.M Billets Reports'!D1361,SEARCH("-",'R.M Billets Reports'!D1361)+1,200)),"")))))),IF(ROW()=2,"",A1360))</f>
      </c>
      <c r="B1361">
        <f>IF(OR('R.M Billets Reports'!A1360="Date-",'R.M Billets Reports'!A1360="Date:-"),'R.M Billets Reports'!B1360,IF(ROW()=2,"",B1360))</f>
      </c>
      <c r="C1361">
        <f>IF('R.M Billets Reports'!A1360="V.No.",'R.M Billets Reports'!B1360,IF(ROW()=2,"",C1360))</f>
      </c>
      <c r="D1361">
        <f>IF('R.M Billets Reports'!A1360&lt;&gt;"",'R.M Billets Reports'!A1360,IF(ROW()=2,"",D1360))</f>
      </c>
      <c r="E1361">
        <f>IF('R.M Billets Reports'!B1360="","",TRIM('R.M Billets Reports'!B1360))</f>
      </c>
      <c r="F1361">
        <f>'R.M Billets Reports'!C1360</f>
      </c>
      <c r="G1361">
        <f>'R.M Billets Reports'!D1360</f>
      </c>
      <c r="H1361">
        <f>'R.M Billets Reports'!E1360</f>
      </c>
      <c r="I1361">
        <f>'R.M Billets Reports'!F1360</f>
      </c>
      <c r="J1361">
        <f>'R.M Billets Reports'!G1360</f>
      </c>
      <c r="K1361">
        <f>'R.M Billets Reports'!H1360</f>
      </c>
      <c r="L1361">
        <f>IF('R.M Billets Reports'!I1360="","",'R.M Billets Reports'!I1360)</f>
      </c>
      <c r="M1361">
        <f t="shared" si="42"/>
      </c>
      <c r="N1361">
        <f>IF('R.M Billets Reports'!J1360="","",'R.M Billets Reports'!J1360)</f>
      </c>
      <c r="O1361">
        <f t="shared" si="43"/>
      </c>
      <c r="P1361">
        <f>IF('R.M Billets Reports'!A1360="SIZE",'R.M Billets Reports'!B1360,P1360)</f>
      </c>
    </row>
    <row r="1362" spans="1:16" x14ac:dyDescent="0.25">
      <c r="A1362">
        <f>IF(OR('R.M Billets Reports'!A1361="Date-",'R.M Billets Reports'!A1361="Date:-"),IF(IF(IF(ISNUMBER(SEARCH("Party Name:-",'R.M Billets Reports'!D1361)),TRIM('R.M Billets Reports'!F1361),IF(ISNUMBER(SEARCH("Party Name-",'R.M Billets Reports'!D1361)),TRIM(MID('R.M Billets Reports'!D1361,SEARCH("-",'R.M Billets Reports'!D1361)+1,200)),""))&lt;&gt;"",IF(ISNUMBER(SEARCH("Party Name:-",'R.M Billets Reports'!D1361)),TRIM('R.M Billets Reports'!F1361),IF(ISNUMBER(SEARCH("Party Name-",'R.M Billets Reports'!D1361)),TRIM(MID('R.M Billets Reports'!D1361,SEARCH("-",'R.M Billets Reports'!D1361)+1,200)),"")),IF(ISNUMBER(SEARCH("Party Name:-",'R.M Billets Reports'!D1362)),TRIM('R.M Billets Reports'!F1362),IF(ISNUMBER(SEARCH("Party Name-",'R.M Billets Reports'!D1362)),TRIM(MID('R.M Billets Reports'!D1362,SEARCH("-",'R.M Billets Reports'!D1362)+1,200)),"")))="VRKP ISPAT PVT LTD","VRKP",IF(IF(IF(ISNUMBER(SEARCH("Party Name:-",'R.M Billets Reports'!D1361)),TRIM('R.M Billets Reports'!F1361),IF(ISNUMBER(SEARCH("Party Name-",'R.M Billets Reports'!D1361)),TRIM(MID('R.M Billets Reports'!D1361,SEARCH("-",'R.M Billets Reports'!D1361)+1,200)),""))&lt;&gt;"",IF(ISNUMBER(SEARCH("Party Name:-",'R.M Billets Reports'!D1361)),TRIM('R.M Billets Reports'!F1361),IF(ISNUMBER(SEARCH("Party Name-",'R.M Billets Reports'!D1361)),TRIM(MID('R.M Billets Reports'!D1361,SEARCH("-",'R.M Billets Reports'!D1361)+1,200)),"")),IF(ISNUMBER(SEARCH("Party Name:-",'R.M Billets Reports'!D1362)),TRIM('R.M Billets Reports'!F1362),IF(ISNUMBER(SEARCH("Party Name-",'R.M Billets Reports'!D1362)),TRIM(MID('R.M Billets Reports'!D1362,SEARCH("-",'R.M Billets Reports'!D1362)+1,200)),"")))="SHRI RADHE","SHREE RADHE",IF(IF(IF(ISNUMBER(SEARCH("Party Name:-",'R.M Billets Reports'!D1361)),TRIM('R.M Billets Reports'!F1361),IF(ISNUMBER(SEARCH("Party Name-",'R.M Billets Reports'!D1361)),TRIM(MID('R.M Billets Reports'!D1361,SEARCH("-",'R.M Billets Reports'!D1361)+1,200)),""))&lt;&gt;"",IF(ISNUMBER(SEARCH("Party Name:-",'R.M Billets Reports'!D1361)),TRIM('R.M Billets Reports'!F1361),IF(ISNUMBER(SEARCH("Party Name-",'R.M Billets Reports'!D1361)),TRIM(MID('R.M Billets Reports'!D1361,SEARCH("-",'R.M Billets Reports'!D1361)+1,200)),"")),IF(ISNUMBER(SEARCH("Party Name:-",'R.M Billets Reports'!D1362)),TRIM('R.M Billets Reports'!F1362),IF(ISNUMBER(SEARCH("Party Name-",'R.M Billets Reports'!D1362)),TRIM(MID('R.M Billets Reports'!D1362,SEARCH("-",'R.M Billets Reports'!D1362)+1,200)),"")))="SHREE RADHE SHAKTI SPONGE AND POWER PVT. LTD.","SHREE RADHE",IF(IF(ISNUMBER(SEARCH("Party Name:-",'R.M Billets Reports'!D1361)),TRIM('R.M Billets Reports'!F1361),IF(ISNUMBER(SEARCH("Party Name-",'R.M Billets Reports'!D1361)),TRIM(MID('R.M Billets Reports'!D1361,SEARCH("-",'R.M Billets Reports'!D1361)+1,200)),""))&lt;&gt;"",IF(ISNUMBER(SEARCH("Party Name:-",'R.M Billets Reports'!D1361)),TRIM('R.M Billets Reports'!F1361),IF(ISNUMBER(SEARCH("Party Name-",'R.M Billets Reports'!D1361)),TRIM(MID('R.M Billets Reports'!D1361,SEARCH("-",'R.M Billets Reports'!D1361)+1,200)),"")),IF(ISNUMBER(SEARCH("Party Name:-",'R.M Billets Reports'!D1362)),TRIM('R.M Billets Reports'!F1362),IF(ISNUMBER(SEARCH("Party Name-",'R.M Billets Reports'!D1362)),TRIM(MID('R.M Billets Reports'!D1362,SEARCH("-",'R.M Billets Reports'!D1362)+1,200)),"")))))),IF(ROW()=2,"",A1361))</f>
      </c>
      <c r="B1362">
        <f>IF(OR('R.M Billets Reports'!A1361="Date-",'R.M Billets Reports'!A1361="Date:-"),'R.M Billets Reports'!B1361,IF(ROW()=2,"",B1361))</f>
      </c>
      <c r="C1362">
        <f>IF('R.M Billets Reports'!A1361="V.No.",'R.M Billets Reports'!B1361,IF(ROW()=2,"",C1361))</f>
      </c>
      <c r="D1362">
        <f>IF('R.M Billets Reports'!A1361&lt;&gt;"",'R.M Billets Reports'!A1361,IF(ROW()=2,"",D1361))</f>
      </c>
      <c r="E1362">
        <f>IF('R.M Billets Reports'!B1361="","",TRIM('R.M Billets Reports'!B1361))</f>
      </c>
      <c r="F1362">
        <f>'R.M Billets Reports'!C1361</f>
      </c>
      <c r="G1362">
        <f>'R.M Billets Reports'!D1361</f>
      </c>
      <c r="H1362">
        <f>'R.M Billets Reports'!E1361</f>
      </c>
      <c r="I1362">
        <f>'R.M Billets Reports'!F1361</f>
      </c>
      <c r="J1362">
        <f>'R.M Billets Reports'!G1361</f>
      </c>
      <c r="K1362">
        <f>'R.M Billets Reports'!H1361</f>
      </c>
      <c r="L1362">
        <f>IF('R.M Billets Reports'!I1361="","",'R.M Billets Reports'!I1361)</f>
      </c>
      <c r="M1362">
        <f t="shared" si="42"/>
      </c>
      <c r="N1362">
        <f>IF('R.M Billets Reports'!J1361="","",'R.M Billets Reports'!J1361)</f>
      </c>
      <c r="O1362">
        <f t="shared" si="43"/>
      </c>
      <c r="P1362">
        <f>IF('R.M Billets Reports'!A1361="SIZE",'R.M Billets Reports'!B1361,P1361)</f>
      </c>
    </row>
    <row r="1363" spans="1:16" x14ac:dyDescent="0.25">
      <c r="A1363">
        <f>IF(OR('R.M Billets Reports'!A1362="Date-",'R.M Billets Reports'!A1362="Date:-"),IF(IF(IF(ISNUMBER(SEARCH("Party Name:-",'R.M Billets Reports'!D1362)),TRIM('R.M Billets Reports'!F1362),IF(ISNUMBER(SEARCH("Party Name-",'R.M Billets Reports'!D1362)),TRIM(MID('R.M Billets Reports'!D1362,SEARCH("-",'R.M Billets Reports'!D1362)+1,200)),""))&lt;&gt;"",IF(ISNUMBER(SEARCH("Party Name:-",'R.M Billets Reports'!D1362)),TRIM('R.M Billets Reports'!F1362),IF(ISNUMBER(SEARCH("Party Name-",'R.M Billets Reports'!D1362)),TRIM(MID('R.M Billets Reports'!D1362,SEARCH("-",'R.M Billets Reports'!D1362)+1,200)),"")),IF(ISNUMBER(SEARCH("Party Name:-",'R.M Billets Reports'!D1363)),TRIM('R.M Billets Reports'!F1363),IF(ISNUMBER(SEARCH("Party Name-",'R.M Billets Reports'!D1363)),TRIM(MID('R.M Billets Reports'!D1363,SEARCH("-",'R.M Billets Reports'!D1363)+1,200)),"")))="VRKP ISPAT PVT LTD","VRKP",IF(IF(IF(ISNUMBER(SEARCH("Party Name:-",'R.M Billets Reports'!D1362)),TRIM('R.M Billets Reports'!F1362),IF(ISNUMBER(SEARCH("Party Name-",'R.M Billets Reports'!D1362)),TRIM(MID('R.M Billets Reports'!D1362,SEARCH("-",'R.M Billets Reports'!D1362)+1,200)),""))&lt;&gt;"",IF(ISNUMBER(SEARCH("Party Name:-",'R.M Billets Reports'!D1362)),TRIM('R.M Billets Reports'!F1362),IF(ISNUMBER(SEARCH("Party Name-",'R.M Billets Reports'!D1362)),TRIM(MID('R.M Billets Reports'!D1362,SEARCH("-",'R.M Billets Reports'!D1362)+1,200)),"")),IF(ISNUMBER(SEARCH("Party Name:-",'R.M Billets Reports'!D1363)),TRIM('R.M Billets Reports'!F1363),IF(ISNUMBER(SEARCH("Party Name-",'R.M Billets Reports'!D1363)),TRIM(MID('R.M Billets Reports'!D1363,SEARCH("-",'R.M Billets Reports'!D1363)+1,200)),"")))="SHRI RADHE","SHREE RADHE",IF(IF(IF(ISNUMBER(SEARCH("Party Name:-",'R.M Billets Reports'!D1362)),TRIM('R.M Billets Reports'!F1362),IF(ISNUMBER(SEARCH("Party Name-",'R.M Billets Reports'!D1362)),TRIM(MID('R.M Billets Reports'!D1362,SEARCH("-",'R.M Billets Reports'!D1362)+1,200)),""))&lt;&gt;"",IF(ISNUMBER(SEARCH("Party Name:-",'R.M Billets Reports'!D1362)),TRIM('R.M Billets Reports'!F1362),IF(ISNUMBER(SEARCH("Party Name-",'R.M Billets Reports'!D1362)),TRIM(MID('R.M Billets Reports'!D1362,SEARCH("-",'R.M Billets Reports'!D1362)+1,200)),"")),IF(ISNUMBER(SEARCH("Party Name:-",'R.M Billets Reports'!D1363)),TRIM('R.M Billets Reports'!F1363),IF(ISNUMBER(SEARCH("Party Name-",'R.M Billets Reports'!D1363)),TRIM(MID('R.M Billets Reports'!D1363,SEARCH("-",'R.M Billets Reports'!D1363)+1,200)),"")))="SHREE RADHE SHAKTI SPONGE AND POWER PVT. LTD.","SHREE RADHE",IF(IF(ISNUMBER(SEARCH("Party Name:-",'R.M Billets Reports'!D1362)),TRIM('R.M Billets Reports'!F1362),IF(ISNUMBER(SEARCH("Party Name-",'R.M Billets Reports'!D1362)),TRIM(MID('R.M Billets Reports'!D1362,SEARCH("-",'R.M Billets Reports'!D1362)+1,200)),""))&lt;&gt;"",IF(ISNUMBER(SEARCH("Party Name:-",'R.M Billets Reports'!D1362)),TRIM('R.M Billets Reports'!F1362),IF(ISNUMBER(SEARCH("Party Name-",'R.M Billets Reports'!D1362)),TRIM(MID('R.M Billets Reports'!D1362,SEARCH("-",'R.M Billets Reports'!D1362)+1,200)),"")),IF(ISNUMBER(SEARCH("Party Name:-",'R.M Billets Reports'!D1363)),TRIM('R.M Billets Reports'!F1363),IF(ISNUMBER(SEARCH("Party Name-",'R.M Billets Reports'!D1363)),TRIM(MID('R.M Billets Reports'!D1363,SEARCH("-",'R.M Billets Reports'!D1363)+1,200)),"")))))),IF(ROW()=2,"",A1362))</f>
      </c>
      <c r="B1363">
        <f>IF(OR('R.M Billets Reports'!A1362="Date-",'R.M Billets Reports'!A1362="Date:-"),'R.M Billets Reports'!B1362,IF(ROW()=2,"",B1362))</f>
      </c>
      <c r="C1363">
        <f>IF('R.M Billets Reports'!A1362="V.No.",'R.M Billets Reports'!B1362,IF(ROW()=2,"",C1362))</f>
      </c>
      <c r="D1363">
        <f>IF('R.M Billets Reports'!A1362&lt;&gt;"",'R.M Billets Reports'!A1362,IF(ROW()=2,"",D1362))</f>
      </c>
      <c r="E1363">
        <f>IF('R.M Billets Reports'!B1362="","",TRIM('R.M Billets Reports'!B1362))</f>
      </c>
      <c r="F1363">
        <f>'R.M Billets Reports'!C1362</f>
      </c>
      <c r="G1363">
        <f>'R.M Billets Reports'!D1362</f>
      </c>
      <c r="H1363">
        <f>'R.M Billets Reports'!E1362</f>
      </c>
      <c r="I1363">
        <f>'R.M Billets Reports'!F1362</f>
      </c>
      <c r="J1363">
        <f>'R.M Billets Reports'!G1362</f>
      </c>
      <c r="K1363">
        <f>'R.M Billets Reports'!H1362</f>
      </c>
      <c r="L1363">
        <f>IF('R.M Billets Reports'!I1362="","",'R.M Billets Reports'!I1362)</f>
      </c>
      <c r="M1363">
        <f t="shared" si="42"/>
      </c>
      <c r="N1363">
        <f>IF('R.M Billets Reports'!J1362="","",'R.M Billets Reports'!J1362)</f>
      </c>
      <c r="O1363">
        <f t="shared" si="43"/>
      </c>
      <c r="P1363">
        <f>IF('R.M Billets Reports'!A1362="SIZE",'R.M Billets Reports'!B1362,P1362)</f>
      </c>
    </row>
    <row r="1364" spans="1:16" x14ac:dyDescent="0.25">
      <c r="A1364">
        <f>IF(OR('R.M Billets Reports'!A1363="Date-",'R.M Billets Reports'!A1363="Date:-"),IF(IF(IF(ISNUMBER(SEARCH("Party Name:-",'R.M Billets Reports'!D1363)),TRIM('R.M Billets Reports'!F1363),IF(ISNUMBER(SEARCH("Party Name-",'R.M Billets Reports'!D1363)),TRIM(MID('R.M Billets Reports'!D1363,SEARCH("-",'R.M Billets Reports'!D1363)+1,200)),""))&lt;&gt;"",IF(ISNUMBER(SEARCH("Party Name:-",'R.M Billets Reports'!D1363)),TRIM('R.M Billets Reports'!F1363),IF(ISNUMBER(SEARCH("Party Name-",'R.M Billets Reports'!D1363)),TRIM(MID('R.M Billets Reports'!D1363,SEARCH("-",'R.M Billets Reports'!D1363)+1,200)),"")),IF(ISNUMBER(SEARCH("Party Name:-",'R.M Billets Reports'!D1364)),TRIM('R.M Billets Reports'!F1364),IF(ISNUMBER(SEARCH("Party Name-",'R.M Billets Reports'!D1364)),TRIM(MID('R.M Billets Reports'!D1364,SEARCH("-",'R.M Billets Reports'!D1364)+1,200)),"")))="VRKP ISPAT PVT LTD","VRKP",IF(IF(IF(ISNUMBER(SEARCH("Party Name:-",'R.M Billets Reports'!D1363)),TRIM('R.M Billets Reports'!F1363),IF(ISNUMBER(SEARCH("Party Name-",'R.M Billets Reports'!D1363)),TRIM(MID('R.M Billets Reports'!D1363,SEARCH("-",'R.M Billets Reports'!D1363)+1,200)),""))&lt;&gt;"",IF(ISNUMBER(SEARCH("Party Name:-",'R.M Billets Reports'!D1363)),TRIM('R.M Billets Reports'!F1363),IF(ISNUMBER(SEARCH("Party Name-",'R.M Billets Reports'!D1363)),TRIM(MID('R.M Billets Reports'!D1363,SEARCH("-",'R.M Billets Reports'!D1363)+1,200)),"")),IF(ISNUMBER(SEARCH("Party Name:-",'R.M Billets Reports'!D1364)),TRIM('R.M Billets Reports'!F1364),IF(ISNUMBER(SEARCH("Party Name-",'R.M Billets Reports'!D1364)),TRIM(MID('R.M Billets Reports'!D1364,SEARCH("-",'R.M Billets Reports'!D1364)+1,200)),"")))="SHRI RADHE","SHREE RADHE",IF(IF(IF(ISNUMBER(SEARCH("Party Name:-",'R.M Billets Reports'!D1363)),TRIM('R.M Billets Reports'!F1363),IF(ISNUMBER(SEARCH("Party Name-",'R.M Billets Reports'!D1363)),TRIM(MID('R.M Billets Reports'!D1363,SEARCH("-",'R.M Billets Reports'!D1363)+1,200)),""))&lt;&gt;"",IF(ISNUMBER(SEARCH("Party Name:-",'R.M Billets Reports'!D1363)),TRIM('R.M Billets Reports'!F1363),IF(ISNUMBER(SEARCH("Party Name-",'R.M Billets Reports'!D1363)),TRIM(MID('R.M Billets Reports'!D1363,SEARCH("-",'R.M Billets Reports'!D1363)+1,200)),"")),IF(ISNUMBER(SEARCH("Party Name:-",'R.M Billets Reports'!D1364)),TRIM('R.M Billets Reports'!F1364),IF(ISNUMBER(SEARCH("Party Name-",'R.M Billets Reports'!D1364)),TRIM(MID('R.M Billets Reports'!D1364,SEARCH("-",'R.M Billets Reports'!D1364)+1,200)),"")))="SHREE RADHE SHAKTI SPONGE AND POWER PVT. LTD.","SHREE RADHE",IF(IF(ISNUMBER(SEARCH("Party Name:-",'R.M Billets Reports'!D1363)),TRIM('R.M Billets Reports'!F1363),IF(ISNUMBER(SEARCH("Party Name-",'R.M Billets Reports'!D1363)),TRIM(MID('R.M Billets Reports'!D1363,SEARCH("-",'R.M Billets Reports'!D1363)+1,200)),""))&lt;&gt;"",IF(ISNUMBER(SEARCH("Party Name:-",'R.M Billets Reports'!D1363)),TRIM('R.M Billets Reports'!F1363),IF(ISNUMBER(SEARCH("Party Name-",'R.M Billets Reports'!D1363)),TRIM(MID('R.M Billets Reports'!D1363,SEARCH("-",'R.M Billets Reports'!D1363)+1,200)),"")),IF(ISNUMBER(SEARCH("Party Name:-",'R.M Billets Reports'!D1364)),TRIM('R.M Billets Reports'!F1364),IF(ISNUMBER(SEARCH("Party Name-",'R.M Billets Reports'!D1364)),TRIM(MID('R.M Billets Reports'!D1364,SEARCH("-",'R.M Billets Reports'!D1364)+1,200)),"")))))),IF(ROW()=2,"",A1363))</f>
      </c>
      <c r="B1364">
        <f>IF(OR('R.M Billets Reports'!A1363="Date-",'R.M Billets Reports'!A1363="Date:-"),'R.M Billets Reports'!B1363,IF(ROW()=2,"",B1363))</f>
      </c>
      <c r="C1364">
        <f>IF('R.M Billets Reports'!A1363="V.No.",'R.M Billets Reports'!B1363,IF(ROW()=2,"",C1363))</f>
      </c>
      <c r="D1364">
        <f>IF('R.M Billets Reports'!A1363&lt;&gt;"",'R.M Billets Reports'!A1363,IF(ROW()=2,"",D1363))</f>
      </c>
      <c r="E1364">
        <f>IF('R.M Billets Reports'!B1363="","",TRIM('R.M Billets Reports'!B1363))</f>
      </c>
      <c r="F1364">
        <f>'R.M Billets Reports'!C1363</f>
      </c>
      <c r="G1364">
        <f>'R.M Billets Reports'!D1363</f>
      </c>
      <c r="H1364">
        <f>'R.M Billets Reports'!E1363</f>
      </c>
      <c r="I1364">
        <f>'R.M Billets Reports'!F1363</f>
      </c>
      <c r="J1364">
        <f>'R.M Billets Reports'!G1363</f>
      </c>
      <c r="K1364">
        <f>'R.M Billets Reports'!H1363</f>
      </c>
      <c r="L1364">
        <f>IF('R.M Billets Reports'!I1363="","",'R.M Billets Reports'!I1363)</f>
      </c>
      <c r="M1364">
        <f t="shared" si="42"/>
      </c>
      <c r="N1364">
        <f>IF('R.M Billets Reports'!J1363="","",'R.M Billets Reports'!J1363)</f>
      </c>
      <c r="O1364">
        <f t="shared" si="43"/>
      </c>
      <c r="P1364">
        <f>IF('R.M Billets Reports'!A1363="SIZE",'R.M Billets Reports'!B1363,P1363)</f>
      </c>
    </row>
    <row r="1365" spans="1:16" x14ac:dyDescent="0.25">
      <c r="A1365">
        <f>IF(OR('R.M Billets Reports'!A1364="Date-",'R.M Billets Reports'!A1364="Date:-"),IF(IF(IF(ISNUMBER(SEARCH("Party Name:-",'R.M Billets Reports'!D1364)),TRIM('R.M Billets Reports'!F1364),IF(ISNUMBER(SEARCH("Party Name-",'R.M Billets Reports'!D1364)),TRIM(MID('R.M Billets Reports'!D1364,SEARCH("-",'R.M Billets Reports'!D1364)+1,200)),""))&lt;&gt;"",IF(ISNUMBER(SEARCH("Party Name:-",'R.M Billets Reports'!D1364)),TRIM('R.M Billets Reports'!F1364),IF(ISNUMBER(SEARCH("Party Name-",'R.M Billets Reports'!D1364)),TRIM(MID('R.M Billets Reports'!D1364,SEARCH("-",'R.M Billets Reports'!D1364)+1,200)),"")),IF(ISNUMBER(SEARCH("Party Name:-",'R.M Billets Reports'!D1365)),TRIM('R.M Billets Reports'!F1365),IF(ISNUMBER(SEARCH("Party Name-",'R.M Billets Reports'!D1365)),TRIM(MID('R.M Billets Reports'!D1365,SEARCH("-",'R.M Billets Reports'!D1365)+1,200)),"")))="VRKP ISPAT PVT LTD","VRKP",IF(IF(IF(ISNUMBER(SEARCH("Party Name:-",'R.M Billets Reports'!D1364)),TRIM('R.M Billets Reports'!F1364),IF(ISNUMBER(SEARCH("Party Name-",'R.M Billets Reports'!D1364)),TRIM(MID('R.M Billets Reports'!D1364,SEARCH("-",'R.M Billets Reports'!D1364)+1,200)),""))&lt;&gt;"",IF(ISNUMBER(SEARCH("Party Name:-",'R.M Billets Reports'!D1364)),TRIM('R.M Billets Reports'!F1364),IF(ISNUMBER(SEARCH("Party Name-",'R.M Billets Reports'!D1364)),TRIM(MID('R.M Billets Reports'!D1364,SEARCH("-",'R.M Billets Reports'!D1364)+1,200)),"")),IF(ISNUMBER(SEARCH("Party Name:-",'R.M Billets Reports'!D1365)),TRIM('R.M Billets Reports'!F1365),IF(ISNUMBER(SEARCH("Party Name-",'R.M Billets Reports'!D1365)),TRIM(MID('R.M Billets Reports'!D1365,SEARCH("-",'R.M Billets Reports'!D1365)+1,200)),"")))="SHRI RADHE","SHREE RADHE",IF(IF(IF(ISNUMBER(SEARCH("Party Name:-",'R.M Billets Reports'!D1364)),TRIM('R.M Billets Reports'!F1364),IF(ISNUMBER(SEARCH("Party Name-",'R.M Billets Reports'!D1364)),TRIM(MID('R.M Billets Reports'!D1364,SEARCH("-",'R.M Billets Reports'!D1364)+1,200)),""))&lt;&gt;"",IF(ISNUMBER(SEARCH("Party Name:-",'R.M Billets Reports'!D1364)),TRIM('R.M Billets Reports'!F1364),IF(ISNUMBER(SEARCH("Party Name-",'R.M Billets Reports'!D1364)),TRIM(MID('R.M Billets Reports'!D1364,SEARCH("-",'R.M Billets Reports'!D1364)+1,200)),"")),IF(ISNUMBER(SEARCH("Party Name:-",'R.M Billets Reports'!D1365)),TRIM('R.M Billets Reports'!F1365),IF(ISNUMBER(SEARCH("Party Name-",'R.M Billets Reports'!D1365)),TRIM(MID('R.M Billets Reports'!D1365,SEARCH("-",'R.M Billets Reports'!D1365)+1,200)),"")))="SHREE RADHE SHAKTI SPONGE AND POWER PVT. LTD.","SHREE RADHE",IF(IF(ISNUMBER(SEARCH("Party Name:-",'R.M Billets Reports'!D1364)),TRIM('R.M Billets Reports'!F1364),IF(ISNUMBER(SEARCH("Party Name-",'R.M Billets Reports'!D1364)),TRIM(MID('R.M Billets Reports'!D1364,SEARCH("-",'R.M Billets Reports'!D1364)+1,200)),""))&lt;&gt;"",IF(ISNUMBER(SEARCH("Party Name:-",'R.M Billets Reports'!D1364)),TRIM('R.M Billets Reports'!F1364),IF(ISNUMBER(SEARCH("Party Name-",'R.M Billets Reports'!D1364)),TRIM(MID('R.M Billets Reports'!D1364,SEARCH("-",'R.M Billets Reports'!D1364)+1,200)),"")),IF(ISNUMBER(SEARCH("Party Name:-",'R.M Billets Reports'!D1365)),TRIM('R.M Billets Reports'!F1365),IF(ISNUMBER(SEARCH("Party Name-",'R.M Billets Reports'!D1365)),TRIM(MID('R.M Billets Reports'!D1365,SEARCH("-",'R.M Billets Reports'!D1365)+1,200)),"")))))),IF(ROW()=2,"",A1364))</f>
      </c>
      <c r="B1365">
        <f>IF(OR('R.M Billets Reports'!A1364="Date-",'R.M Billets Reports'!A1364="Date:-"),'R.M Billets Reports'!B1364,IF(ROW()=2,"",B1364))</f>
      </c>
      <c r="C1365">
        <f>IF('R.M Billets Reports'!A1364="V.No.",'R.M Billets Reports'!B1364,IF(ROW()=2,"",C1364))</f>
      </c>
      <c r="D1365">
        <f>IF('R.M Billets Reports'!A1364&lt;&gt;"",'R.M Billets Reports'!A1364,IF(ROW()=2,"",D1364))</f>
      </c>
      <c r="E1365">
        <f>IF('R.M Billets Reports'!B1364="","",TRIM('R.M Billets Reports'!B1364))</f>
      </c>
      <c r="F1365">
        <f>'R.M Billets Reports'!C1364</f>
      </c>
      <c r="G1365">
        <f>'R.M Billets Reports'!D1364</f>
      </c>
      <c r="H1365">
        <f>'R.M Billets Reports'!E1364</f>
      </c>
      <c r="I1365">
        <f>'R.M Billets Reports'!F1364</f>
      </c>
      <c r="J1365">
        <f>'R.M Billets Reports'!G1364</f>
      </c>
      <c r="K1365">
        <f>'R.M Billets Reports'!H1364</f>
      </c>
      <c r="L1365">
        <f>IF('R.M Billets Reports'!I1364="","",'R.M Billets Reports'!I1364)</f>
      </c>
      <c r="M1365">
        <f t="shared" si="42"/>
      </c>
      <c r="N1365">
        <f>IF('R.M Billets Reports'!J1364="","",'R.M Billets Reports'!J1364)</f>
      </c>
      <c r="O1365">
        <f t="shared" si="43"/>
      </c>
      <c r="P1365">
        <f>IF('R.M Billets Reports'!A1364="SIZE",'R.M Billets Reports'!B1364,P1364)</f>
      </c>
    </row>
    <row r="1366" spans="1:16" x14ac:dyDescent="0.25">
      <c r="A1366">
        <f>IF(OR('R.M Billets Reports'!A1365="Date-",'R.M Billets Reports'!A1365="Date:-"),IF(IF(IF(ISNUMBER(SEARCH("Party Name:-",'R.M Billets Reports'!D1365)),TRIM('R.M Billets Reports'!F1365),IF(ISNUMBER(SEARCH("Party Name-",'R.M Billets Reports'!D1365)),TRIM(MID('R.M Billets Reports'!D1365,SEARCH("-",'R.M Billets Reports'!D1365)+1,200)),""))&lt;&gt;"",IF(ISNUMBER(SEARCH("Party Name:-",'R.M Billets Reports'!D1365)),TRIM('R.M Billets Reports'!F1365),IF(ISNUMBER(SEARCH("Party Name-",'R.M Billets Reports'!D1365)),TRIM(MID('R.M Billets Reports'!D1365,SEARCH("-",'R.M Billets Reports'!D1365)+1,200)),"")),IF(ISNUMBER(SEARCH("Party Name:-",'R.M Billets Reports'!D1366)),TRIM('R.M Billets Reports'!F1366),IF(ISNUMBER(SEARCH("Party Name-",'R.M Billets Reports'!D1366)),TRIM(MID('R.M Billets Reports'!D1366,SEARCH("-",'R.M Billets Reports'!D1366)+1,200)),"")))="VRKP ISPAT PVT LTD","VRKP",IF(IF(IF(ISNUMBER(SEARCH("Party Name:-",'R.M Billets Reports'!D1365)),TRIM('R.M Billets Reports'!F1365),IF(ISNUMBER(SEARCH("Party Name-",'R.M Billets Reports'!D1365)),TRIM(MID('R.M Billets Reports'!D1365,SEARCH("-",'R.M Billets Reports'!D1365)+1,200)),""))&lt;&gt;"",IF(ISNUMBER(SEARCH("Party Name:-",'R.M Billets Reports'!D1365)),TRIM('R.M Billets Reports'!F1365),IF(ISNUMBER(SEARCH("Party Name-",'R.M Billets Reports'!D1365)),TRIM(MID('R.M Billets Reports'!D1365,SEARCH("-",'R.M Billets Reports'!D1365)+1,200)),"")),IF(ISNUMBER(SEARCH("Party Name:-",'R.M Billets Reports'!D1366)),TRIM('R.M Billets Reports'!F1366),IF(ISNUMBER(SEARCH("Party Name-",'R.M Billets Reports'!D1366)),TRIM(MID('R.M Billets Reports'!D1366,SEARCH("-",'R.M Billets Reports'!D1366)+1,200)),"")))="SHRI RADHE","SHREE RADHE",IF(IF(IF(ISNUMBER(SEARCH("Party Name:-",'R.M Billets Reports'!D1365)),TRIM('R.M Billets Reports'!F1365),IF(ISNUMBER(SEARCH("Party Name-",'R.M Billets Reports'!D1365)),TRIM(MID('R.M Billets Reports'!D1365,SEARCH("-",'R.M Billets Reports'!D1365)+1,200)),""))&lt;&gt;"",IF(ISNUMBER(SEARCH("Party Name:-",'R.M Billets Reports'!D1365)),TRIM('R.M Billets Reports'!F1365),IF(ISNUMBER(SEARCH("Party Name-",'R.M Billets Reports'!D1365)),TRIM(MID('R.M Billets Reports'!D1365,SEARCH("-",'R.M Billets Reports'!D1365)+1,200)),"")),IF(ISNUMBER(SEARCH("Party Name:-",'R.M Billets Reports'!D1366)),TRIM('R.M Billets Reports'!F1366),IF(ISNUMBER(SEARCH("Party Name-",'R.M Billets Reports'!D1366)),TRIM(MID('R.M Billets Reports'!D1366,SEARCH("-",'R.M Billets Reports'!D1366)+1,200)),"")))="SHREE RADHE SHAKTI SPONGE AND POWER PVT. LTD.","SHREE RADHE",IF(IF(ISNUMBER(SEARCH("Party Name:-",'R.M Billets Reports'!D1365)),TRIM('R.M Billets Reports'!F1365),IF(ISNUMBER(SEARCH("Party Name-",'R.M Billets Reports'!D1365)),TRIM(MID('R.M Billets Reports'!D1365,SEARCH("-",'R.M Billets Reports'!D1365)+1,200)),""))&lt;&gt;"",IF(ISNUMBER(SEARCH("Party Name:-",'R.M Billets Reports'!D1365)),TRIM('R.M Billets Reports'!F1365),IF(ISNUMBER(SEARCH("Party Name-",'R.M Billets Reports'!D1365)),TRIM(MID('R.M Billets Reports'!D1365,SEARCH("-",'R.M Billets Reports'!D1365)+1,200)),"")),IF(ISNUMBER(SEARCH("Party Name:-",'R.M Billets Reports'!D1366)),TRIM('R.M Billets Reports'!F1366),IF(ISNUMBER(SEARCH("Party Name-",'R.M Billets Reports'!D1366)),TRIM(MID('R.M Billets Reports'!D1366,SEARCH("-",'R.M Billets Reports'!D1366)+1,200)),"")))))),IF(ROW()=2,"",A1365))</f>
      </c>
      <c r="B1366">
        <f>IF(OR('R.M Billets Reports'!A1365="Date-",'R.M Billets Reports'!A1365="Date:-"),'R.M Billets Reports'!B1365,IF(ROW()=2,"",B1365))</f>
      </c>
      <c r="C1366">
        <f>IF('R.M Billets Reports'!A1365="V.No.",'R.M Billets Reports'!B1365,IF(ROW()=2,"",C1365))</f>
      </c>
      <c r="D1366">
        <f>IF('R.M Billets Reports'!A1365&lt;&gt;"",'R.M Billets Reports'!A1365,IF(ROW()=2,"",D1365))</f>
      </c>
      <c r="E1366">
        <f>IF('R.M Billets Reports'!B1365="","",TRIM('R.M Billets Reports'!B1365))</f>
      </c>
      <c r="F1366">
        <f>'R.M Billets Reports'!C1365</f>
      </c>
      <c r="G1366">
        <f>'R.M Billets Reports'!D1365</f>
      </c>
      <c r="H1366">
        <f>'R.M Billets Reports'!E1365</f>
      </c>
      <c r="I1366">
        <f>'R.M Billets Reports'!F1365</f>
      </c>
      <c r="J1366">
        <f>'R.M Billets Reports'!G1365</f>
      </c>
      <c r="K1366">
        <f>'R.M Billets Reports'!H1365</f>
      </c>
      <c r="L1366">
        <f>IF('R.M Billets Reports'!I1365="","",'R.M Billets Reports'!I1365)</f>
      </c>
      <c r="M1366">
        <f t="shared" si="42"/>
      </c>
      <c r="N1366">
        <f>IF('R.M Billets Reports'!J1365="","",'R.M Billets Reports'!J1365)</f>
      </c>
      <c r="O1366">
        <f t="shared" si="43"/>
      </c>
      <c r="P1366">
        <f>IF('R.M Billets Reports'!A1365="SIZE",'R.M Billets Reports'!B1365,P1365)</f>
      </c>
    </row>
    <row r="1367" spans="1:16" x14ac:dyDescent="0.25">
      <c r="A1367">
        <f>IF(OR('R.M Billets Reports'!A1366="Date-",'R.M Billets Reports'!A1366="Date:-"),IF(IF(IF(ISNUMBER(SEARCH("Party Name:-",'R.M Billets Reports'!D1366)),TRIM('R.M Billets Reports'!F1366),IF(ISNUMBER(SEARCH("Party Name-",'R.M Billets Reports'!D1366)),TRIM(MID('R.M Billets Reports'!D1366,SEARCH("-",'R.M Billets Reports'!D1366)+1,200)),""))&lt;&gt;"",IF(ISNUMBER(SEARCH("Party Name:-",'R.M Billets Reports'!D1366)),TRIM('R.M Billets Reports'!F1366),IF(ISNUMBER(SEARCH("Party Name-",'R.M Billets Reports'!D1366)),TRIM(MID('R.M Billets Reports'!D1366,SEARCH("-",'R.M Billets Reports'!D1366)+1,200)),"")),IF(ISNUMBER(SEARCH("Party Name:-",'R.M Billets Reports'!D1367)),TRIM('R.M Billets Reports'!F1367),IF(ISNUMBER(SEARCH("Party Name-",'R.M Billets Reports'!D1367)),TRIM(MID('R.M Billets Reports'!D1367,SEARCH("-",'R.M Billets Reports'!D1367)+1,200)),"")))="VRKP ISPAT PVT LTD","VRKP",IF(IF(IF(ISNUMBER(SEARCH("Party Name:-",'R.M Billets Reports'!D1366)),TRIM('R.M Billets Reports'!F1366),IF(ISNUMBER(SEARCH("Party Name-",'R.M Billets Reports'!D1366)),TRIM(MID('R.M Billets Reports'!D1366,SEARCH("-",'R.M Billets Reports'!D1366)+1,200)),""))&lt;&gt;"",IF(ISNUMBER(SEARCH("Party Name:-",'R.M Billets Reports'!D1366)),TRIM('R.M Billets Reports'!F1366),IF(ISNUMBER(SEARCH("Party Name-",'R.M Billets Reports'!D1366)),TRIM(MID('R.M Billets Reports'!D1366,SEARCH("-",'R.M Billets Reports'!D1366)+1,200)),"")),IF(ISNUMBER(SEARCH("Party Name:-",'R.M Billets Reports'!D1367)),TRIM('R.M Billets Reports'!F1367),IF(ISNUMBER(SEARCH("Party Name-",'R.M Billets Reports'!D1367)),TRIM(MID('R.M Billets Reports'!D1367,SEARCH("-",'R.M Billets Reports'!D1367)+1,200)),"")))="SHRI RADHE","SHREE RADHE",IF(IF(IF(ISNUMBER(SEARCH("Party Name:-",'R.M Billets Reports'!D1366)),TRIM('R.M Billets Reports'!F1366),IF(ISNUMBER(SEARCH("Party Name-",'R.M Billets Reports'!D1366)),TRIM(MID('R.M Billets Reports'!D1366,SEARCH("-",'R.M Billets Reports'!D1366)+1,200)),""))&lt;&gt;"",IF(ISNUMBER(SEARCH("Party Name:-",'R.M Billets Reports'!D1366)),TRIM('R.M Billets Reports'!F1366),IF(ISNUMBER(SEARCH("Party Name-",'R.M Billets Reports'!D1366)),TRIM(MID('R.M Billets Reports'!D1366,SEARCH("-",'R.M Billets Reports'!D1366)+1,200)),"")),IF(ISNUMBER(SEARCH("Party Name:-",'R.M Billets Reports'!D1367)),TRIM('R.M Billets Reports'!F1367),IF(ISNUMBER(SEARCH("Party Name-",'R.M Billets Reports'!D1367)),TRIM(MID('R.M Billets Reports'!D1367,SEARCH("-",'R.M Billets Reports'!D1367)+1,200)),"")))="SHREE RADHE SHAKTI SPONGE AND POWER PVT. LTD.","SHREE RADHE",IF(IF(ISNUMBER(SEARCH("Party Name:-",'R.M Billets Reports'!D1366)),TRIM('R.M Billets Reports'!F1366),IF(ISNUMBER(SEARCH("Party Name-",'R.M Billets Reports'!D1366)),TRIM(MID('R.M Billets Reports'!D1366,SEARCH("-",'R.M Billets Reports'!D1366)+1,200)),""))&lt;&gt;"",IF(ISNUMBER(SEARCH("Party Name:-",'R.M Billets Reports'!D1366)),TRIM('R.M Billets Reports'!F1366),IF(ISNUMBER(SEARCH("Party Name-",'R.M Billets Reports'!D1366)),TRIM(MID('R.M Billets Reports'!D1366,SEARCH("-",'R.M Billets Reports'!D1366)+1,200)),"")),IF(ISNUMBER(SEARCH("Party Name:-",'R.M Billets Reports'!D1367)),TRIM('R.M Billets Reports'!F1367),IF(ISNUMBER(SEARCH("Party Name-",'R.M Billets Reports'!D1367)),TRIM(MID('R.M Billets Reports'!D1367,SEARCH("-",'R.M Billets Reports'!D1367)+1,200)),"")))))),IF(ROW()=2,"",A1366))</f>
      </c>
      <c r="B1367">
        <f>IF(OR('R.M Billets Reports'!A1366="Date-",'R.M Billets Reports'!A1366="Date:-"),'R.M Billets Reports'!B1366,IF(ROW()=2,"",B1366))</f>
      </c>
      <c r="C1367">
        <f>IF('R.M Billets Reports'!A1366="V.No.",'R.M Billets Reports'!B1366,IF(ROW()=2,"",C1366))</f>
      </c>
      <c r="D1367">
        <f>IF('R.M Billets Reports'!A1366&lt;&gt;"",'R.M Billets Reports'!A1366,IF(ROW()=2,"",D1366))</f>
      </c>
      <c r="E1367">
        <f>IF('R.M Billets Reports'!B1366="","",TRIM('R.M Billets Reports'!B1366))</f>
      </c>
      <c r="F1367">
        <f>'R.M Billets Reports'!C1366</f>
      </c>
      <c r="G1367">
        <f>'R.M Billets Reports'!D1366</f>
      </c>
      <c r="H1367">
        <f>'R.M Billets Reports'!E1366</f>
      </c>
      <c r="I1367">
        <f>'R.M Billets Reports'!F1366</f>
      </c>
      <c r="J1367">
        <f>'R.M Billets Reports'!G1366</f>
      </c>
      <c r="K1367">
        <f>'R.M Billets Reports'!H1366</f>
      </c>
      <c r="L1367">
        <f>IF('R.M Billets Reports'!I1366="","",'R.M Billets Reports'!I1366)</f>
      </c>
      <c r="M1367">
        <f t="shared" si="42"/>
      </c>
      <c r="N1367">
        <f>IF('R.M Billets Reports'!J1366="","",'R.M Billets Reports'!J1366)</f>
      </c>
      <c r="O1367">
        <f t="shared" si="43"/>
      </c>
      <c r="P1367">
        <f>IF('R.M Billets Reports'!A1366="SIZE",'R.M Billets Reports'!B1366,P1366)</f>
      </c>
    </row>
    <row r="1368" spans="1:16" x14ac:dyDescent="0.25">
      <c r="A1368">
        <f>IF(OR('R.M Billets Reports'!A1367="Date-",'R.M Billets Reports'!A1367="Date:-"),IF(IF(IF(ISNUMBER(SEARCH("Party Name:-",'R.M Billets Reports'!D1367)),TRIM('R.M Billets Reports'!F1367),IF(ISNUMBER(SEARCH("Party Name-",'R.M Billets Reports'!D1367)),TRIM(MID('R.M Billets Reports'!D1367,SEARCH("-",'R.M Billets Reports'!D1367)+1,200)),""))&lt;&gt;"",IF(ISNUMBER(SEARCH("Party Name:-",'R.M Billets Reports'!D1367)),TRIM('R.M Billets Reports'!F1367),IF(ISNUMBER(SEARCH("Party Name-",'R.M Billets Reports'!D1367)),TRIM(MID('R.M Billets Reports'!D1367,SEARCH("-",'R.M Billets Reports'!D1367)+1,200)),"")),IF(ISNUMBER(SEARCH("Party Name:-",'R.M Billets Reports'!D1368)),TRIM('R.M Billets Reports'!F1368),IF(ISNUMBER(SEARCH("Party Name-",'R.M Billets Reports'!D1368)),TRIM(MID('R.M Billets Reports'!D1368,SEARCH("-",'R.M Billets Reports'!D1368)+1,200)),"")))="VRKP ISPAT PVT LTD","VRKP",IF(IF(IF(ISNUMBER(SEARCH("Party Name:-",'R.M Billets Reports'!D1367)),TRIM('R.M Billets Reports'!F1367),IF(ISNUMBER(SEARCH("Party Name-",'R.M Billets Reports'!D1367)),TRIM(MID('R.M Billets Reports'!D1367,SEARCH("-",'R.M Billets Reports'!D1367)+1,200)),""))&lt;&gt;"",IF(ISNUMBER(SEARCH("Party Name:-",'R.M Billets Reports'!D1367)),TRIM('R.M Billets Reports'!F1367),IF(ISNUMBER(SEARCH("Party Name-",'R.M Billets Reports'!D1367)),TRIM(MID('R.M Billets Reports'!D1367,SEARCH("-",'R.M Billets Reports'!D1367)+1,200)),"")),IF(ISNUMBER(SEARCH("Party Name:-",'R.M Billets Reports'!D1368)),TRIM('R.M Billets Reports'!F1368),IF(ISNUMBER(SEARCH("Party Name-",'R.M Billets Reports'!D1368)),TRIM(MID('R.M Billets Reports'!D1368,SEARCH("-",'R.M Billets Reports'!D1368)+1,200)),"")))="SHRI RADHE","SHREE RADHE",IF(IF(IF(ISNUMBER(SEARCH("Party Name:-",'R.M Billets Reports'!D1367)),TRIM('R.M Billets Reports'!F1367),IF(ISNUMBER(SEARCH("Party Name-",'R.M Billets Reports'!D1367)),TRIM(MID('R.M Billets Reports'!D1367,SEARCH("-",'R.M Billets Reports'!D1367)+1,200)),""))&lt;&gt;"",IF(ISNUMBER(SEARCH("Party Name:-",'R.M Billets Reports'!D1367)),TRIM('R.M Billets Reports'!F1367),IF(ISNUMBER(SEARCH("Party Name-",'R.M Billets Reports'!D1367)),TRIM(MID('R.M Billets Reports'!D1367,SEARCH("-",'R.M Billets Reports'!D1367)+1,200)),"")),IF(ISNUMBER(SEARCH("Party Name:-",'R.M Billets Reports'!D1368)),TRIM('R.M Billets Reports'!F1368),IF(ISNUMBER(SEARCH("Party Name-",'R.M Billets Reports'!D1368)),TRIM(MID('R.M Billets Reports'!D1368,SEARCH("-",'R.M Billets Reports'!D1368)+1,200)),"")))="SHREE RADHE SHAKTI SPONGE AND POWER PVT. LTD.","SHREE RADHE",IF(IF(ISNUMBER(SEARCH("Party Name:-",'R.M Billets Reports'!D1367)),TRIM('R.M Billets Reports'!F1367),IF(ISNUMBER(SEARCH("Party Name-",'R.M Billets Reports'!D1367)),TRIM(MID('R.M Billets Reports'!D1367,SEARCH("-",'R.M Billets Reports'!D1367)+1,200)),""))&lt;&gt;"",IF(ISNUMBER(SEARCH("Party Name:-",'R.M Billets Reports'!D1367)),TRIM('R.M Billets Reports'!F1367),IF(ISNUMBER(SEARCH("Party Name-",'R.M Billets Reports'!D1367)),TRIM(MID('R.M Billets Reports'!D1367,SEARCH("-",'R.M Billets Reports'!D1367)+1,200)),"")),IF(ISNUMBER(SEARCH("Party Name:-",'R.M Billets Reports'!D1368)),TRIM('R.M Billets Reports'!F1368),IF(ISNUMBER(SEARCH("Party Name-",'R.M Billets Reports'!D1368)),TRIM(MID('R.M Billets Reports'!D1368,SEARCH("-",'R.M Billets Reports'!D1368)+1,200)),"")))))),IF(ROW()=2,"",A1367))</f>
      </c>
      <c r="B1368">
        <f>IF(OR('R.M Billets Reports'!A1367="Date-",'R.M Billets Reports'!A1367="Date:-"),'R.M Billets Reports'!B1367,IF(ROW()=2,"",B1367))</f>
      </c>
      <c r="C1368">
        <f>IF('R.M Billets Reports'!A1367="V.No.",'R.M Billets Reports'!B1367,IF(ROW()=2,"",C1367))</f>
      </c>
      <c r="D1368">
        <f>IF('R.M Billets Reports'!A1367&lt;&gt;"",'R.M Billets Reports'!A1367,IF(ROW()=2,"",D1367))</f>
      </c>
      <c r="E1368">
        <f>IF('R.M Billets Reports'!B1367="","",TRIM('R.M Billets Reports'!B1367))</f>
      </c>
      <c r="F1368">
        <f>'R.M Billets Reports'!C1367</f>
      </c>
      <c r="G1368">
        <f>'R.M Billets Reports'!D1367</f>
      </c>
      <c r="H1368">
        <f>'R.M Billets Reports'!E1367</f>
      </c>
      <c r="I1368">
        <f>'R.M Billets Reports'!F1367</f>
      </c>
      <c r="J1368">
        <f>'R.M Billets Reports'!G1367</f>
      </c>
      <c r="K1368">
        <f>'R.M Billets Reports'!H1367</f>
      </c>
      <c r="L1368">
        <f>IF('R.M Billets Reports'!I1367="","",'R.M Billets Reports'!I1367)</f>
      </c>
      <c r="M1368">
        <f t="shared" si="42"/>
      </c>
      <c r="N1368">
        <f>IF('R.M Billets Reports'!J1367="","",'R.M Billets Reports'!J1367)</f>
      </c>
      <c r="O1368">
        <f t="shared" si="43"/>
      </c>
      <c r="P1368">
        <f>IF('R.M Billets Reports'!A1367="SIZE",'R.M Billets Reports'!B1367,P1367)</f>
      </c>
    </row>
    <row r="1369" spans="1:16" x14ac:dyDescent="0.25">
      <c r="A1369">
        <f>IF(OR('R.M Billets Reports'!A1368="Date-",'R.M Billets Reports'!A1368="Date:-"),IF(IF(IF(ISNUMBER(SEARCH("Party Name:-",'R.M Billets Reports'!D1368)),TRIM('R.M Billets Reports'!F1368),IF(ISNUMBER(SEARCH("Party Name-",'R.M Billets Reports'!D1368)),TRIM(MID('R.M Billets Reports'!D1368,SEARCH("-",'R.M Billets Reports'!D1368)+1,200)),""))&lt;&gt;"",IF(ISNUMBER(SEARCH("Party Name:-",'R.M Billets Reports'!D1368)),TRIM('R.M Billets Reports'!F1368),IF(ISNUMBER(SEARCH("Party Name-",'R.M Billets Reports'!D1368)),TRIM(MID('R.M Billets Reports'!D1368,SEARCH("-",'R.M Billets Reports'!D1368)+1,200)),"")),IF(ISNUMBER(SEARCH("Party Name:-",'R.M Billets Reports'!D1369)),TRIM('R.M Billets Reports'!F1369),IF(ISNUMBER(SEARCH("Party Name-",'R.M Billets Reports'!D1369)),TRIM(MID('R.M Billets Reports'!D1369,SEARCH("-",'R.M Billets Reports'!D1369)+1,200)),"")))="VRKP ISPAT PVT LTD","VRKP",IF(IF(IF(ISNUMBER(SEARCH("Party Name:-",'R.M Billets Reports'!D1368)),TRIM('R.M Billets Reports'!F1368),IF(ISNUMBER(SEARCH("Party Name-",'R.M Billets Reports'!D1368)),TRIM(MID('R.M Billets Reports'!D1368,SEARCH("-",'R.M Billets Reports'!D1368)+1,200)),""))&lt;&gt;"",IF(ISNUMBER(SEARCH("Party Name:-",'R.M Billets Reports'!D1368)),TRIM('R.M Billets Reports'!F1368),IF(ISNUMBER(SEARCH("Party Name-",'R.M Billets Reports'!D1368)),TRIM(MID('R.M Billets Reports'!D1368,SEARCH("-",'R.M Billets Reports'!D1368)+1,200)),"")),IF(ISNUMBER(SEARCH("Party Name:-",'R.M Billets Reports'!D1369)),TRIM('R.M Billets Reports'!F1369),IF(ISNUMBER(SEARCH("Party Name-",'R.M Billets Reports'!D1369)),TRIM(MID('R.M Billets Reports'!D1369,SEARCH("-",'R.M Billets Reports'!D1369)+1,200)),"")))="SHRI RADHE","SHREE RADHE",IF(IF(IF(ISNUMBER(SEARCH("Party Name:-",'R.M Billets Reports'!D1368)),TRIM('R.M Billets Reports'!F1368),IF(ISNUMBER(SEARCH("Party Name-",'R.M Billets Reports'!D1368)),TRIM(MID('R.M Billets Reports'!D1368,SEARCH("-",'R.M Billets Reports'!D1368)+1,200)),""))&lt;&gt;"",IF(ISNUMBER(SEARCH("Party Name:-",'R.M Billets Reports'!D1368)),TRIM('R.M Billets Reports'!F1368),IF(ISNUMBER(SEARCH("Party Name-",'R.M Billets Reports'!D1368)),TRIM(MID('R.M Billets Reports'!D1368,SEARCH("-",'R.M Billets Reports'!D1368)+1,200)),"")),IF(ISNUMBER(SEARCH("Party Name:-",'R.M Billets Reports'!D1369)),TRIM('R.M Billets Reports'!F1369),IF(ISNUMBER(SEARCH("Party Name-",'R.M Billets Reports'!D1369)),TRIM(MID('R.M Billets Reports'!D1369,SEARCH("-",'R.M Billets Reports'!D1369)+1,200)),"")))="SHREE RADHE SHAKTI SPONGE AND POWER PVT. LTD.","SHREE RADHE",IF(IF(ISNUMBER(SEARCH("Party Name:-",'R.M Billets Reports'!D1368)),TRIM('R.M Billets Reports'!F1368),IF(ISNUMBER(SEARCH("Party Name-",'R.M Billets Reports'!D1368)),TRIM(MID('R.M Billets Reports'!D1368,SEARCH("-",'R.M Billets Reports'!D1368)+1,200)),""))&lt;&gt;"",IF(ISNUMBER(SEARCH("Party Name:-",'R.M Billets Reports'!D1368)),TRIM('R.M Billets Reports'!F1368),IF(ISNUMBER(SEARCH("Party Name-",'R.M Billets Reports'!D1368)),TRIM(MID('R.M Billets Reports'!D1368,SEARCH("-",'R.M Billets Reports'!D1368)+1,200)),"")),IF(ISNUMBER(SEARCH("Party Name:-",'R.M Billets Reports'!D1369)),TRIM('R.M Billets Reports'!F1369),IF(ISNUMBER(SEARCH("Party Name-",'R.M Billets Reports'!D1369)),TRIM(MID('R.M Billets Reports'!D1369,SEARCH("-",'R.M Billets Reports'!D1369)+1,200)),"")))))),IF(ROW()=2,"",A1368))</f>
      </c>
      <c r="B1369">
        <f>IF(OR('R.M Billets Reports'!A1368="Date-",'R.M Billets Reports'!A1368="Date:-"),'R.M Billets Reports'!B1368,IF(ROW()=2,"",B1368))</f>
      </c>
      <c r="C1369">
        <f>IF('R.M Billets Reports'!A1368="V.No.",'R.M Billets Reports'!B1368,IF(ROW()=2,"",C1368))</f>
      </c>
      <c r="D1369">
        <f>IF('R.M Billets Reports'!A1368&lt;&gt;"",'R.M Billets Reports'!A1368,IF(ROW()=2,"",D1368))</f>
      </c>
      <c r="E1369">
        <f>IF('R.M Billets Reports'!B1368="","",TRIM('R.M Billets Reports'!B1368))</f>
      </c>
      <c r="F1369">
        <f>'R.M Billets Reports'!C1368</f>
      </c>
      <c r="G1369">
        <f>'R.M Billets Reports'!D1368</f>
      </c>
      <c r="H1369">
        <f>'R.M Billets Reports'!E1368</f>
      </c>
      <c r="I1369">
        <f>'R.M Billets Reports'!F1368</f>
      </c>
      <c r="J1369">
        <f>'R.M Billets Reports'!G1368</f>
      </c>
      <c r="K1369">
        <f>'R.M Billets Reports'!H1368</f>
      </c>
      <c r="L1369">
        <f>IF('R.M Billets Reports'!I1368="","",'R.M Billets Reports'!I1368)</f>
      </c>
      <c r="M1369">
        <f t="shared" si="42"/>
      </c>
      <c r="N1369">
        <f>IF('R.M Billets Reports'!J1368="","",'R.M Billets Reports'!J1368)</f>
      </c>
      <c r="O1369">
        <f t="shared" si="43"/>
      </c>
      <c r="P1369">
        <f>IF('R.M Billets Reports'!A1368="SIZE",'R.M Billets Reports'!B1368,P1368)</f>
      </c>
    </row>
    <row r="1370" spans="1:16" x14ac:dyDescent="0.25">
      <c r="A1370">
        <f>IF(OR('R.M Billets Reports'!A1369="Date-",'R.M Billets Reports'!A1369="Date:-"),IF(IF(IF(ISNUMBER(SEARCH("Party Name:-",'R.M Billets Reports'!D1369)),TRIM('R.M Billets Reports'!F1369),IF(ISNUMBER(SEARCH("Party Name-",'R.M Billets Reports'!D1369)),TRIM(MID('R.M Billets Reports'!D1369,SEARCH("-",'R.M Billets Reports'!D1369)+1,200)),""))&lt;&gt;"",IF(ISNUMBER(SEARCH("Party Name:-",'R.M Billets Reports'!D1369)),TRIM('R.M Billets Reports'!F1369),IF(ISNUMBER(SEARCH("Party Name-",'R.M Billets Reports'!D1369)),TRIM(MID('R.M Billets Reports'!D1369,SEARCH("-",'R.M Billets Reports'!D1369)+1,200)),"")),IF(ISNUMBER(SEARCH("Party Name:-",'R.M Billets Reports'!D1370)),TRIM('R.M Billets Reports'!F1370),IF(ISNUMBER(SEARCH("Party Name-",'R.M Billets Reports'!D1370)),TRIM(MID('R.M Billets Reports'!D1370,SEARCH("-",'R.M Billets Reports'!D1370)+1,200)),"")))="VRKP ISPAT PVT LTD","VRKP",IF(IF(IF(ISNUMBER(SEARCH("Party Name:-",'R.M Billets Reports'!D1369)),TRIM('R.M Billets Reports'!F1369),IF(ISNUMBER(SEARCH("Party Name-",'R.M Billets Reports'!D1369)),TRIM(MID('R.M Billets Reports'!D1369,SEARCH("-",'R.M Billets Reports'!D1369)+1,200)),""))&lt;&gt;"",IF(ISNUMBER(SEARCH("Party Name:-",'R.M Billets Reports'!D1369)),TRIM('R.M Billets Reports'!F1369),IF(ISNUMBER(SEARCH("Party Name-",'R.M Billets Reports'!D1369)),TRIM(MID('R.M Billets Reports'!D1369,SEARCH("-",'R.M Billets Reports'!D1369)+1,200)),"")),IF(ISNUMBER(SEARCH("Party Name:-",'R.M Billets Reports'!D1370)),TRIM('R.M Billets Reports'!F1370),IF(ISNUMBER(SEARCH("Party Name-",'R.M Billets Reports'!D1370)),TRIM(MID('R.M Billets Reports'!D1370,SEARCH("-",'R.M Billets Reports'!D1370)+1,200)),"")))="SHRI RADHE","SHREE RADHE",IF(IF(IF(ISNUMBER(SEARCH("Party Name:-",'R.M Billets Reports'!D1369)),TRIM('R.M Billets Reports'!F1369),IF(ISNUMBER(SEARCH("Party Name-",'R.M Billets Reports'!D1369)),TRIM(MID('R.M Billets Reports'!D1369,SEARCH("-",'R.M Billets Reports'!D1369)+1,200)),""))&lt;&gt;"",IF(ISNUMBER(SEARCH("Party Name:-",'R.M Billets Reports'!D1369)),TRIM('R.M Billets Reports'!F1369),IF(ISNUMBER(SEARCH("Party Name-",'R.M Billets Reports'!D1369)),TRIM(MID('R.M Billets Reports'!D1369,SEARCH("-",'R.M Billets Reports'!D1369)+1,200)),"")),IF(ISNUMBER(SEARCH("Party Name:-",'R.M Billets Reports'!D1370)),TRIM('R.M Billets Reports'!F1370),IF(ISNUMBER(SEARCH("Party Name-",'R.M Billets Reports'!D1370)),TRIM(MID('R.M Billets Reports'!D1370,SEARCH("-",'R.M Billets Reports'!D1370)+1,200)),"")))="SHREE RADHE SHAKTI SPONGE AND POWER PVT. LTD.","SHREE RADHE",IF(IF(ISNUMBER(SEARCH("Party Name:-",'R.M Billets Reports'!D1369)),TRIM('R.M Billets Reports'!F1369),IF(ISNUMBER(SEARCH("Party Name-",'R.M Billets Reports'!D1369)),TRIM(MID('R.M Billets Reports'!D1369,SEARCH("-",'R.M Billets Reports'!D1369)+1,200)),""))&lt;&gt;"",IF(ISNUMBER(SEARCH("Party Name:-",'R.M Billets Reports'!D1369)),TRIM('R.M Billets Reports'!F1369),IF(ISNUMBER(SEARCH("Party Name-",'R.M Billets Reports'!D1369)),TRIM(MID('R.M Billets Reports'!D1369,SEARCH("-",'R.M Billets Reports'!D1369)+1,200)),"")),IF(ISNUMBER(SEARCH("Party Name:-",'R.M Billets Reports'!D1370)),TRIM('R.M Billets Reports'!F1370),IF(ISNUMBER(SEARCH("Party Name-",'R.M Billets Reports'!D1370)),TRIM(MID('R.M Billets Reports'!D1370,SEARCH("-",'R.M Billets Reports'!D1370)+1,200)),"")))))),IF(ROW()=2,"",A1369))</f>
      </c>
      <c r="B1370">
        <f>IF(OR('R.M Billets Reports'!A1369="Date-",'R.M Billets Reports'!A1369="Date:-"),'R.M Billets Reports'!B1369,IF(ROW()=2,"",B1369))</f>
      </c>
      <c r="C1370">
        <f>IF('R.M Billets Reports'!A1369="V.No.",'R.M Billets Reports'!B1369,IF(ROW()=2,"",C1369))</f>
      </c>
      <c r="D1370">
        <f>IF('R.M Billets Reports'!A1369&lt;&gt;"",'R.M Billets Reports'!A1369,IF(ROW()=2,"",D1369))</f>
      </c>
      <c r="E1370">
        <f>IF('R.M Billets Reports'!B1369="","",TRIM('R.M Billets Reports'!B1369))</f>
      </c>
      <c r="F1370">
        <f>'R.M Billets Reports'!C1369</f>
      </c>
      <c r="G1370">
        <f>'R.M Billets Reports'!D1369</f>
      </c>
      <c r="H1370">
        <f>'R.M Billets Reports'!E1369</f>
      </c>
      <c r="I1370">
        <f>'R.M Billets Reports'!F1369</f>
      </c>
      <c r="J1370">
        <f>'R.M Billets Reports'!G1369</f>
      </c>
      <c r="K1370">
        <f>'R.M Billets Reports'!H1369</f>
      </c>
      <c r="L1370">
        <f>IF('R.M Billets Reports'!I1369="","",'R.M Billets Reports'!I1369)</f>
      </c>
      <c r="M1370">
        <f t="shared" si="42"/>
      </c>
      <c r="N1370">
        <f>IF('R.M Billets Reports'!J1369="","",'R.M Billets Reports'!J1369)</f>
      </c>
      <c r="O1370">
        <f t="shared" si="43"/>
      </c>
      <c r="P1370">
        <f>IF('R.M Billets Reports'!A1369="SIZE",'R.M Billets Reports'!B1369,P1369)</f>
      </c>
    </row>
    <row r="1371" spans="1:16" x14ac:dyDescent="0.25">
      <c r="A1371">
        <f>IF(OR('R.M Billets Reports'!A1370="Date-",'R.M Billets Reports'!A1370="Date:-"),IF(IF(IF(ISNUMBER(SEARCH("Party Name:-",'R.M Billets Reports'!D1370)),TRIM('R.M Billets Reports'!F1370),IF(ISNUMBER(SEARCH("Party Name-",'R.M Billets Reports'!D1370)),TRIM(MID('R.M Billets Reports'!D1370,SEARCH("-",'R.M Billets Reports'!D1370)+1,200)),""))&lt;&gt;"",IF(ISNUMBER(SEARCH("Party Name:-",'R.M Billets Reports'!D1370)),TRIM('R.M Billets Reports'!F1370),IF(ISNUMBER(SEARCH("Party Name-",'R.M Billets Reports'!D1370)),TRIM(MID('R.M Billets Reports'!D1370,SEARCH("-",'R.M Billets Reports'!D1370)+1,200)),"")),IF(ISNUMBER(SEARCH("Party Name:-",'R.M Billets Reports'!D1371)),TRIM('R.M Billets Reports'!F1371),IF(ISNUMBER(SEARCH("Party Name-",'R.M Billets Reports'!D1371)),TRIM(MID('R.M Billets Reports'!D1371,SEARCH("-",'R.M Billets Reports'!D1371)+1,200)),"")))="VRKP ISPAT PVT LTD","VRKP",IF(IF(IF(ISNUMBER(SEARCH("Party Name:-",'R.M Billets Reports'!D1370)),TRIM('R.M Billets Reports'!F1370),IF(ISNUMBER(SEARCH("Party Name-",'R.M Billets Reports'!D1370)),TRIM(MID('R.M Billets Reports'!D1370,SEARCH("-",'R.M Billets Reports'!D1370)+1,200)),""))&lt;&gt;"",IF(ISNUMBER(SEARCH("Party Name:-",'R.M Billets Reports'!D1370)),TRIM('R.M Billets Reports'!F1370),IF(ISNUMBER(SEARCH("Party Name-",'R.M Billets Reports'!D1370)),TRIM(MID('R.M Billets Reports'!D1370,SEARCH("-",'R.M Billets Reports'!D1370)+1,200)),"")),IF(ISNUMBER(SEARCH("Party Name:-",'R.M Billets Reports'!D1371)),TRIM('R.M Billets Reports'!F1371),IF(ISNUMBER(SEARCH("Party Name-",'R.M Billets Reports'!D1371)),TRIM(MID('R.M Billets Reports'!D1371,SEARCH("-",'R.M Billets Reports'!D1371)+1,200)),"")))="SHRI RADHE","SHREE RADHE",IF(IF(IF(ISNUMBER(SEARCH("Party Name:-",'R.M Billets Reports'!D1370)),TRIM('R.M Billets Reports'!F1370),IF(ISNUMBER(SEARCH("Party Name-",'R.M Billets Reports'!D1370)),TRIM(MID('R.M Billets Reports'!D1370,SEARCH("-",'R.M Billets Reports'!D1370)+1,200)),""))&lt;&gt;"",IF(ISNUMBER(SEARCH("Party Name:-",'R.M Billets Reports'!D1370)),TRIM('R.M Billets Reports'!F1370),IF(ISNUMBER(SEARCH("Party Name-",'R.M Billets Reports'!D1370)),TRIM(MID('R.M Billets Reports'!D1370,SEARCH("-",'R.M Billets Reports'!D1370)+1,200)),"")),IF(ISNUMBER(SEARCH("Party Name:-",'R.M Billets Reports'!D1371)),TRIM('R.M Billets Reports'!F1371),IF(ISNUMBER(SEARCH("Party Name-",'R.M Billets Reports'!D1371)),TRIM(MID('R.M Billets Reports'!D1371,SEARCH("-",'R.M Billets Reports'!D1371)+1,200)),"")))="SHREE RADHE SHAKTI SPONGE AND POWER PVT. LTD.","SHREE RADHE",IF(IF(ISNUMBER(SEARCH("Party Name:-",'R.M Billets Reports'!D1370)),TRIM('R.M Billets Reports'!F1370),IF(ISNUMBER(SEARCH("Party Name-",'R.M Billets Reports'!D1370)),TRIM(MID('R.M Billets Reports'!D1370,SEARCH("-",'R.M Billets Reports'!D1370)+1,200)),""))&lt;&gt;"",IF(ISNUMBER(SEARCH("Party Name:-",'R.M Billets Reports'!D1370)),TRIM('R.M Billets Reports'!F1370),IF(ISNUMBER(SEARCH("Party Name-",'R.M Billets Reports'!D1370)),TRIM(MID('R.M Billets Reports'!D1370,SEARCH("-",'R.M Billets Reports'!D1370)+1,200)),"")),IF(ISNUMBER(SEARCH("Party Name:-",'R.M Billets Reports'!D1371)),TRIM('R.M Billets Reports'!F1371),IF(ISNUMBER(SEARCH("Party Name-",'R.M Billets Reports'!D1371)),TRIM(MID('R.M Billets Reports'!D1371,SEARCH("-",'R.M Billets Reports'!D1371)+1,200)),"")))))),IF(ROW()=2,"",A1370))</f>
      </c>
      <c r="B1371">
        <f>IF(OR('R.M Billets Reports'!A1370="Date-",'R.M Billets Reports'!A1370="Date:-"),'R.M Billets Reports'!B1370,IF(ROW()=2,"",B1370))</f>
      </c>
      <c r="C1371">
        <f>IF('R.M Billets Reports'!A1370="V.No.",'R.M Billets Reports'!B1370,IF(ROW()=2,"",C1370))</f>
      </c>
      <c r="D1371">
        <f>IF('R.M Billets Reports'!A1370&lt;&gt;"",'R.M Billets Reports'!A1370,IF(ROW()=2,"",D1370))</f>
      </c>
      <c r="E1371">
        <f>IF('R.M Billets Reports'!B1370="","",TRIM('R.M Billets Reports'!B1370))</f>
      </c>
      <c r="F1371">
        <f>'R.M Billets Reports'!C1370</f>
      </c>
      <c r="G1371">
        <f>'R.M Billets Reports'!D1370</f>
      </c>
      <c r="H1371">
        <f>'R.M Billets Reports'!E1370</f>
      </c>
      <c r="I1371">
        <f>'R.M Billets Reports'!F1370</f>
      </c>
      <c r="J1371">
        <f>'R.M Billets Reports'!G1370</f>
      </c>
      <c r="K1371">
        <f>'R.M Billets Reports'!H1370</f>
      </c>
      <c r="L1371">
        <f>IF('R.M Billets Reports'!I1370="","",'R.M Billets Reports'!I1370)</f>
      </c>
      <c r="M1371">
        <f t="shared" si="42"/>
      </c>
      <c r="N1371">
        <f>IF('R.M Billets Reports'!J1370="","",'R.M Billets Reports'!J1370)</f>
      </c>
      <c r="O1371">
        <f t="shared" si="43"/>
      </c>
      <c r="P1371">
        <f>IF('R.M Billets Reports'!A1370="SIZE",'R.M Billets Reports'!B1370,P1370)</f>
      </c>
    </row>
    <row r="1372" spans="1:16" x14ac:dyDescent="0.25">
      <c r="A1372">
        <f>IF(OR('R.M Billets Reports'!A1371="Date-",'R.M Billets Reports'!A1371="Date:-"),IF(IF(IF(ISNUMBER(SEARCH("Party Name:-",'R.M Billets Reports'!D1371)),TRIM('R.M Billets Reports'!F1371),IF(ISNUMBER(SEARCH("Party Name-",'R.M Billets Reports'!D1371)),TRIM(MID('R.M Billets Reports'!D1371,SEARCH("-",'R.M Billets Reports'!D1371)+1,200)),""))&lt;&gt;"",IF(ISNUMBER(SEARCH("Party Name:-",'R.M Billets Reports'!D1371)),TRIM('R.M Billets Reports'!F1371),IF(ISNUMBER(SEARCH("Party Name-",'R.M Billets Reports'!D1371)),TRIM(MID('R.M Billets Reports'!D1371,SEARCH("-",'R.M Billets Reports'!D1371)+1,200)),"")),IF(ISNUMBER(SEARCH("Party Name:-",'R.M Billets Reports'!D1372)),TRIM('R.M Billets Reports'!F1372),IF(ISNUMBER(SEARCH("Party Name-",'R.M Billets Reports'!D1372)),TRIM(MID('R.M Billets Reports'!D1372,SEARCH("-",'R.M Billets Reports'!D1372)+1,200)),"")))="VRKP ISPAT PVT LTD","VRKP",IF(IF(IF(ISNUMBER(SEARCH("Party Name:-",'R.M Billets Reports'!D1371)),TRIM('R.M Billets Reports'!F1371),IF(ISNUMBER(SEARCH("Party Name-",'R.M Billets Reports'!D1371)),TRIM(MID('R.M Billets Reports'!D1371,SEARCH("-",'R.M Billets Reports'!D1371)+1,200)),""))&lt;&gt;"",IF(ISNUMBER(SEARCH("Party Name:-",'R.M Billets Reports'!D1371)),TRIM('R.M Billets Reports'!F1371),IF(ISNUMBER(SEARCH("Party Name-",'R.M Billets Reports'!D1371)),TRIM(MID('R.M Billets Reports'!D1371,SEARCH("-",'R.M Billets Reports'!D1371)+1,200)),"")),IF(ISNUMBER(SEARCH("Party Name:-",'R.M Billets Reports'!D1372)),TRIM('R.M Billets Reports'!F1372),IF(ISNUMBER(SEARCH("Party Name-",'R.M Billets Reports'!D1372)),TRIM(MID('R.M Billets Reports'!D1372,SEARCH("-",'R.M Billets Reports'!D1372)+1,200)),"")))="SHRI RADHE","SHREE RADHE",IF(IF(IF(ISNUMBER(SEARCH("Party Name:-",'R.M Billets Reports'!D1371)),TRIM('R.M Billets Reports'!F1371),IF(ISNUMBER(SEARCH("Party Name-",'R.M Billets Reports'!D1371)),TRIM(MID('R.M Billets Reports'!D1371,SEARCH("-",'R.M Billets Reports'!D1371)+1,200)),""))&lt;&gt;"",IF(ISNUMBER(SEARCH("Party Name:-",'R.M Billets Reports'!D1371)),TRIM('R.M Billets Reports'!F1371),IF(ISNUMBER(SEARCH("Party Name-",'R.M Billets Reports'!D1371)),TRIM(MID('R.M Billets Reports'!D1371,SEARCH("-",'R.M Billets Reports'!D1371)+1,200)),"")),IF(ISNUMBER(SEARCH("Party Name:-",'R.M Billets Reports'!D1372)),TRIM('R.M Billets Reports'!F1372),IF(ISNUMBER(SEARCH("Party Name-",'R.M Billets Reports'!D1372)),TRIM(MID('R.M Billets Reports'!D1372,SEARCH("-",'R.M Billets Reports'!D1372)+1,200)),"")))="SHREE RADHE SHAKTI SPONGE AND POWER PVT. LTD.","SHREE RADHE",IF(IF(ISNUMBER(SEARCH("Party Name:-",'R.M Billets Reports'!D1371)),TRIM('R.M Billets Reports'!F1371),IF(ISNUMBER(SEARCH("Party Name-",'R.M Billets Reports'!D1371)),TRIM(MID('R.M Billets Reports'!D1371,SEARCH("-",'R.M Billets Reports'!D1371)+1,200)),""))&lt;&gt;"",IF(ISNUMBER(SEARCH("Party Name:-",'R.M Billets Reports'!D1371)),TRIM('R.M Billets Reports'!F1371),IF(ISNUMBER(SEARCH("Party Name-",'R.M Billets Reports'!D1371)),TRIM(MID('R.M Billets Reports'!D1371,SEARCH("-",'R.M Billets Reports'!D1371)+1,200)),"")),IF(ISNUMBER(SEARCH("Party Name:-",'R.M Billets Reports'!D1372)),TRIM('R.M Billets Reports'!F1372),IF(ISNUMBER(SEARCH("Party Name-",'R.M Billets Reports'!D1372)),TRIM(MID('R.M Billets Reports'!D1372,SEARCH("-",'R.M Billets Reports'!D1372)+1,200)),"")))))),IF(ROW()=2,"",A1371))</f>
      </c>
      <c r="B1372">
        <f>IF(OR('R.M Billets Reports'!A1371="Date-",'R.M Billets Reports'!A1371="Date:-"),'R.M Billets Reports'!B1371,IF(ROW()=2,"",B1371))</f>
      </c>
      <c r="C1372">
        <f>IF('R.M Billets Reports'!A1371="V.No.",'R.M Billets Reports'!B1371,IF(ROW()=2,"",C1371))</f>
      </c>
      <c r="D1372">
        <f>IF('R.M Billets Reports'!A1371&lt;&gt;"",'R.M Billets Reports'!A1371,IF(ROW()=2,"",D1371))</f>
      </c>
      <c r="E1372">
        <f>IF('R.M Billets Reports'!B1371="","",TRIM('R.M Billets Reports'!B1371))</f>
      </c>
      <c r="F1372">
        <f>'R.M Billets Reports'!C1371</f>
      </c>
      <c r="G1372">
        <f>'R.M Billets Reports'!D1371</f>
      </c>
      <c r="H1372">
        <f>'R.M Billets Reports'!E1371</f>
      </c>
      <c r="I1372">
        <f>'R.M Billets Reports'!F1371</f>
      </c>
      <c r="J1372">
        <f>'R.M Billets Reports'!G1371</f>
      </c>
      <c r="K1372">
        <f>'R.M Billets Reports'!H1371</f>
      </c>
      <c r="L1372">
        <f>IF('R.M Billets Reports'!I1371="","",'R.M Billets Reports'!I1371)</f>
      </c>
      <c r="M1372">
        <f t="shared" si="42"/>
      </c>
      <c r="N1372">
        <f>IF('R.M Billets Reports'!J1371="","",'R.M Billets Reports'!J1371)</f>
      </c>
      <c r="O1372">
        <f t="shared" si="43"/>
      </c>
      <c r="P1372">
        <f>IF('R.M Billets Reports'!A1371="SIZE",'R.M Billets Reports'!B1371,P1371)</f>
      </c>
    </row>
    <row r="1373" spans="1:16" x14ac:dyDescent="0.25">
      <c r="A1373">
        <f>IF(OR('R.M Billets Reports'!A1372="Date-",'R.M Billets Reports'!A1372="Date:-"),IF(IF(IF(ISNUMBER(SEARCH("Party Name:-",'R.M Billets Reports'!D1372)),TRIM('R.M Billets Reports'!F1372),IF(ISNUMBER(SEARCH("Party Name-",'R.M Billets Reports'!D1372)),TRIM(MID('R.M Billets Reports'!D1372,SEARCH("-",'R.M Billets Reports'!D1372)+1,200)),""))&lt;&gt;"",IF(ISNUMBER(SEARCH("Party Name:-",'R.M Billets Reports'!D1372)),TRIM('R.M Billets Reports'!F1372),IF(ISNUMBER(SEARCH("Party Name-",'R.M Billets Reports'!D1372)),TRIM(MID('R.M Billets Reports'!D1372,SEARCH("-",'R.M Billets Reports'!D1372)+1,200)),"")),IF(ISNUMBER(SEARCH("Party Name:-",'R.M Billets Reports'!D1373)),TRIM('R.M Billets Reports'!F1373),IF(ISNUMBER(SEARCH("Party Name-",'R.M Billets Reports'!D1373)),TRIM(MID('R.M Billets Reports'!D1373,SEARCH("-",'R.M Billets Reports'!D1373)+1,200)),"")))="VRKP ISPAT PVT LTD","VRKP",IF(IF(IF(ISNUMBER(SEARCH("Party Name:-",'R.M Billets Reports'!D1372)),TRIM('R.M Billets Reports'!F1372),IF(ISNUMBER(SEARCH("Party Name-",'R.M Billets Reports'!D1372)),TRIM(MID('R.M Billets Reports'!D1372,SEARCH("-",'R.M Billets Reports'!D1372)+1,200)),""))&lt;&gt;"",IF(ISNUMBER(SEARCH("Party Name:-",'R.M Billets Reports'!D1372)),TRIM('R.M Billets Reports'!F1372),IF(ISNUMBER(SEARCH("Party Name-",'R.M Billets Reports'!D1372)),TRIM(MID('R.M Billets Reports'!D1372,SEARCH("-",'R.M Billets Reports'!D1372)+1,200)),"")),IF(ISNUMBER(SEARCH("Party Name:-",'R.M Billets Reports'!D1373)),TRIM('R.M Billets Reports'!F1373),IF(ISNUMBER(SEARCH("Party Name-",'R.M Billets Reports'!D1373)),TRIM(MID('R.M Billets Reports'!D1373,SEARCH("-",'R.M Billets Reports'!D1373)+1,200)),"")))="SHRI RADHE","SHREE RADHE",IF(IF(IF(ISNUMBER(SEARCH("Party Name:-",'R.M Billets Reports'!D1372)),TRIM('R.M Billets Reports'!F1372),IF(ISNUMBER(SEARCH("Party Name-",'R.M Billets Reports'!D1372)),TRIM(MID('R.M Billets Reports'!D1372,SEARCH("-",'R.M Billets Reports'!D1372)+1,200)),""))&lt;&gt;"",IF(ISNUMBER(SEARCH("Party Name:-",'R.M Billets Reports'!D1372)),TRIM('R.M Billets Reports'!F1372),IF(ISNUMBER(SEARCH("Party Name-",'R.M Billets Reports'!D1372)),TRIM(MID('R.M Billets Reports'!D1372,SEARCH("-",'R.M Billets Reports'!D1372)+1,200)),"")),IF(ISNUMBER(SEARCH("Party Name:-",'R.M Billets Reports'!D1373)),TRIM('R.M Billets Reports'!F1373),IF(ISNUMBER(SEARCH("Party Name-",'R.M Billets Reports'!D1373)),TRIM(MID('R.M Billets Reports'!D1373,SEARCH("-",'R.M Billets Reports'!D1373)+1,200)),"")))="SHREE RADHE SHAKTI SPONGE AND POWER PVT. LTD.","SHREE RADHE",IF(IF(ISNUMBER(SEARCH("Party Name:-",'R.M Billets Reports'!D1372)),TRIM('R.M Billets Reports'!F1372),IF(ISNUMBER(SEARCH("Party Name-",'R.M Billets Reports'!D1372)),TRIM(MID('R.M Billets Reports'!D1372,SEARCH("-",'R.M Billets Reports'!D1372)+1,200)),""))&lt;&gt;"",IF(ISNUMBER(SEARCH("Party Name:-",'R.M Billets Reports'!D1372)),TRIM('R.M Billets Reports'!F1372),IF(ISNUMBER(SEARCH("Party Name-",'R.M Billets Reports'!D1372)),TRIM(MID('R.M Billets Reports'!D1372,SEARCH("-",'R.M Billets Reports'!D1372)+1,200)),"")),IF(ISNUMBER(SEARCH("Party Name:-",'R.M Billets Reports'!D1373)),TRIM('R.M Billets Reports'!F1373),IF(ISNUMBER(SEARCH("Party Name-",'R.M Billets Reports'!D1373)),TRIM(MID('R.M Billets Reports'!D1373,SEARCH("-",'R.M Billets Reports'!D1373)+1,200)),"")))))),IF(ROW()=2,"",A1372))</f>
      </c>
      <c r="B1373">
        <f>IF(OR('R.M Billets Reports'!A1372="Date-",'R.M Billets Reports'!A1372="Date:-"),'R.M Billets Reports'!B1372,IF(ROW()=2,"",B1372))</f>
      </c>
      <c r="C1373">
        <f>IF('R.M Billets Reports'!A1372="V.No.",'R.M Billets Reports'!B1372,IF(ROW()=2,"",C1372))</f>
      </c>
      <c r="D1373">
        <f>IF('R.M Billets Reports'!A1372&lt;&gt;"",'R.M Billets Reports'!A1372,IF(ROW()=2,"",D1372))</f>
      </c>
      <c r="E1373">
        <f>IF('R.M Billets Reports'!B1372="","",TRIM('R.M Billets Reports'!B1372))</f>
      </c>
      <c r="F1373">
        <f>'R.M Billets Reports'!C1372</f>
      </c>
      <c r="G1373">
        <f>'R.M Billets Reports'!D1372</f>
      </c>
      <c r="H1373">
        <f>'R.M Billets Reports'!E1372</f>
      </c>
      <c r="I1373">
        <f>'R.M Billets Reports'!F1372</f>
      </c>
      <c r="J1373">
        <f>'R.M Billets Reports'!G1372</f>
      </c>
      <c r="K1373">
        <f>'R.M Billets Reports'!H1372</f>
      </c>
      <c r="L1373">
        <f>IF('R.M Billets Reports'!I1372="","",'R.M Billets Reports'!I1372)</f>
      </c>
      <c r="M1373">
        <f t="shared" si="42"/>
      </c>
      <c r="N1373">
        <f>IF('R.M Billets Reports'!J1372="","",'R.M Billets Reports'!J1372)</f>
      </c>
      <c r="O1373">
        <f t="shared" si="43"/>
      </c>
      <c r="P1373">
        <f>IF('R.M Billets Reports'!A1372="SIZE",'R.M Billets Reports'!B1372,P1372)</f>
      </c>
    </row>
    <row r="1374" spans="1:16" x14ac:dyDescent="0.25">
      <c r="A1374">
        <f>IF(OR('R.M Billets Reports'!A1373="Date-",'R.M Billets Reports'!A1373="Date:-"),IF(IF(IF(ISNUMBER(SEARCH("Party Name:-",'R.M Billets Reports'!D1373)),TRIM('R.M Billets Reports'!F1373),IF(ISNUMBER(SEARCH("Party Name-",'R.M Billets Reports'!D1373)),TRIM(MID('R.M Billets Reports'!D1373,SEARCH("-",'R.M Billets Reports'!D1373)+1,200)),""))&lt;&gt;"",IF(ISNUMBER(SEARCH("Party Name:-",'R.M Billets Reports'!D1373)),TRIM('R.M Billets Reports'!F1373),IF(ISNUMBER(SEARCH("Party Name-",'R.M Billets Reports'!D1373)),TRIM(MID('R.M Billets Reports'!D1373,SEARCH("-",'R.M Billets Reports'!D1373)+1,200)),"")),IF(ISNUMBER(SEARCH("Party Name:-",'R.M Billets Reports'!D1374)),TRIM('R.M Billets Reports'!F1374),IF(ISNUMBER(SEARCH("Party Name-",'R.M Billets Reports'!D1374)),TRIM(MID('R.M Billets Reports'!D1374,SEARCH("-",'R.M Billets Reports'!D1374)+1,200)),"")))="VRKP ISPAT PVT LTD","VRKP",IF(IF(IF(ISNUMBER(SEARCH("Party Name:-",'R.M Billets Reports'!D1373)),TRIM('R.M Billets Reports'!F1373),IF(ISNUMBER(SEARCH("Party Name-",'R.M Billets Reports'!D1373)),TRIM(MID('R.M Billets Reports'!D1373,SEARCH("-",'R.M Billets Reports'!D1373)+1,200)),""))&lt;&gt;"",IF(ISNUMBER(SEARCH("Party Name:-",'R.M Billets Reports'!D1373)),TRIM('R.M Billets Reports'!F1373),IF(ISNUMBER(SEARCH("Party Name-",'R.M Billets Reports'!D1373)),TRIM(MID('R.M Billets Reports'!D1373,SEARCH("-",'R.M Billets Reports'!D1373)+1,200)),"")),IF(ISNUMBER(SEARCH("Party Name:-",'R.M Billets Reports'!D1374)),TRIM('R.M Billets Reports'!F1374),IF(ISNUMBER(SEARCH("Party Name-",'R.M Billets Reports'!D1374)),TRIM(MID('R.M Billets Reports'!D1374,SEARCH("-",'R.M Billets Reports'!D1374)+1,200)),"")))="SHRI RADHE","SHREE RADHE",IF(IF(IF(ISNUMBER(SEARCH("Party Name:-",'R.M Billets Reports'!D1373)),TRIM('R.M Billets Reports'!F1373),IF(ISNUMBER(SEARCH("Party Name-",'R.M Billets Reports'!D1373)),TRIM(MID('R.M Billets Reports'!D1373,SEARCH("-",'R.M Billets Reports'!D1373)+1,200)),""))&lt;&gt;"",IF(ISNUMBER(SEARCH("Party Name:-",'R.M Billets Reports'!D1373)),TRIM('R.M Billets Reports'!F1373),IF(ISNUMBER(SEARCH("Party Name-",'R.M Billets Reports'!D1373)),TRIM(MID('R.M Billets Reports'!D1373,SEARCH("-",'R.M Billets Reports'!D1373)+1,200)),"")),IF(ISNUMBER(SEARCH("Party Name:-",'R.M Billets Reports'!D1374)),TRIM('R.M Billets Reports'!F1374),IF(ISNUMBER(SEARCH("Party Name-",'R.M Billets Reports'!D1374)),TRIM(MID('R.M Billets Reports'!D1374,SEARCH("-",'R.M Billets Reports'!D1374)+1,200)),"")))="SHREE RADHE SHAKTI SPONGE AND POWER PVT. LTD.","SHREE RADHE",IF(IF(ISNUMBER(SEARCH("Party Name:-",'R.M Billets Reports'!D1373)),TRIM('R.M Billets Reports'!F1373),IF(ISNUMBER(SEARCH("Party Name-",'R.M Billets Reports'!D1373)),TRIM(MID('R.M Billets Reports'!D1373,SEARCH("-",'R.M Billets Reports'!D1373)+1,200)),""))&lt;&gt;"",IF(ISNUMBER(SEARCH("Party Name:-",'R.M Billets Reports'!D1373)),TRIM('R.M Billets Reports'!F1373),IF(ISNUMBER(SEARCH("Party Name-",'R.M Billets Reports'!D1373)),TRIM(MID('R.M Billets Reports'!D1373,SEARCH("-",'R.M Billets Reports'!D1373)+1,200)),"")),IF(ISNUMBER(SEARCH("Party Name:-",'R.M Billets Reports'!D1374)),TRIM('R.M Billets Reports'!F1374),IF(ISNUMBER(SEARCH("Party Name-",'R.M Billets Reports'!D1374)),TRIM(MID('R.M Billets Reports'!D1374,SEARCH("-",'R.M Billets Reports'!D1374)+1,200)),"")))))),IF(ROW()=2,"",A1373))</f>
      </c>
      <c r="B1374">
        <f>IF(OR('R.M Billets Reports'!A1373="Date-",'R.M Billets Reports'!A1373="Date:-"),'R.M Billets Reports'!B1373,IF(ROW()=2,"",B1373))</f>
      </c>
      <c r="C1374">
        <f>IF('R.M Billets Reports'!A1373="V.No.",'R.M Billets Reports'!B1373,IF(ROW()=2,"",C1373))</f>
      </c>
      <c r="D1374">
        <f>IF('R.M Billets Reports'!A1373&lt;&gt;"",'R.M Billets Reports'!A1373,IF(ROW()=2,"",D1373))</f>
      </c>
      <c r="E1374">
        <f>IF('R.M Billets Reports'!B1373="","",TRIM('R.M Billets Reports'!B1373))</f>
      </c>
      <c r="F1374">
        <f>'R.M Billets Reports'!C1373</f>
      </c>
      <c r="G1374">
        <f>'R.M Billets Reports'!D1373</f>
      </c>
      <c r="H1374">
        <f>'R.M Billets Reports'!E1373</f>
      </c>
      <c r="I1374">
        <f>'R.M Billets Reports'!F1373</f>
      </c>
      <c r="J1374">
        <f>'R.M Billets Reports'!G1373</f>
      </c>
      <c r="K1374">
        <f>'R.M Billets Reports'!H1373</f>
      </c>
      <c r="L1374">
        <f>IF('R.M Billets Reports'!I1373="","",'R.M Billets Reports'!I1373)</f>
      </c>
      <c r="M1374">
        <f t="shared" si="42"/>
      </c>
      <c r="N1374">
        <f>IF('R.M Billets Reports'!J1373="","",'R.M Billets Reports'!J1373)</f>
      </c>
      <c r="O1374">
        <f t="shared" si="43"/>
      </c>
      <c r="P1374">
        <f>IF('R.M Billets Reports'!A1373="SIZE",'R.M Billets Reports'!B1373,P1373)</f>
      </c>
    </row>
    <row r="1375" spans="1:16" x14ac:dyDescent="0.25">
      <c r="A1375">
        <f>IF(OR('R.M Billets Reports'!A1374="Date-",'R.M Billets Reports'!A1374="Date:-"),IF(IF(IF(ISNUMBER(SEARCH("Party Name:-",'R.M Billets Reports'!D1374)),TRIM('R.M Billets Reports'!F1374),IF(ISNUMBER(SEARCH("Party Name-",'R.M Billets Reports'!D1374)),TRIM(MID('R.M Billets Reports'!D1374,SEARCH("-",'R.M Billets Reports'!D1374)+1,200)),""))&lt;&gt;"",IF(ISNUMBER(SEARCH("Party Name:-",'R.M Billets Reports'!D1374)),TRIM('R.M Billets Reports'!F1374),IF(ISNUMBER(SEARCH("Party Name-",'R.M Billets Reports'!D1374)),TRIM(MID('R.M Billets Reports'!D1374,SEARCH("-",'R.M Billets Reports'!D1374)+1,200)),"")),IF(ISNUMBER(SEARCH("Party Name:-",'R.M Billets Reports'!D1375)),TRIM('R.M Billets Reports'!F1375),IF(ISNUMBER(SEARCH("Party Name-",'R.M Billets Reports'!D1375)),TRIM(MID('R.M Billets Reports'!D1375,SEARCH("-",'R.M Billets Reports'!D1375)+1,200)),"")))="VRKP ISPAT PVT LTD","VRKP",IF(IF(IF(ISNUMBER(SEARCH("Party Name:-",'R.M Billets Reports'!D1374)),TRIM('R.M Billets Reports'!F1374),IF(ISNUMBER(SEARCH("Party Name-",'R.M Billets Reports'!D1374)),TRIM(MID('R.M Billets Reports'!D1374,SEARCH("-",'R.M Billets Reports'!D1374)+1,200)),""))&lt;&gt;"",IF(ISNUMBER(SEARCH("Party Name:-",'R.M Billets Reports'!D1374)),TRIM('R.M Billets Reports'!F1374),IF(ISNUMBER(SEARCH("Party Name-",'R.M Billets Reports'!D1374)),TRIM(MID('R.M Billets Reports'!D1374,SEARCH("-",'R.M Billets Reports'!D1374)+1,200)),"")),IF(ISNUMBER(SEARCH("Party Name:-",'R.M Billets Reports'!D1375)),TRIM('R.M Billets Reports'!F1375),IF(ISNUMBER(SEARCH("Party Name-",'R.M Billets Reports'!D1375)),TRIM(MID('R.M Billets Reports'!D1375,SEARCH("-",'R.M Billets Reports'!D1375)+1,200)),"")))="SHRI RADHE","SHREE RADHE",IF(IF(IF(ISNUMBER(SEARCH("Party Name:-",'R.M Billets Reports'!D1374)),TRIM('R.M Billets Reports'!F1374),IF(ISNUMBER(SEARCH("Party Name-",'R.M Billets Reports'!D1374)),TRIM(MID('R.M Billets Reports'!D1374,SEARCH("-",'R.M Billets Reports'!D1374)+1,200)),""))&lt;&gt;"",IF(ISNUMBER(SEARCH("Party Name:-",'R.M Billets Reports'!D1374)),TRIM('R.M Billets Reports'!F1374),IF(ISNUMBER(SEARCH("Party Name-",'R.M Billets Reports'!D1374)),TRIM(MID('R.M Billets Reports'!D1374,SEARCH("-",'R.M Billets Reports'!D1374)+1,200)),"")),IF(ISNUMBER(SEARCH("Party Name:-",'R.M Billets Reports'!D1375)),TRIM('R.M Billets Reports'!F1375),IF(ISNUMBER(SEARCH("Party Name-",'R.M Billets Reports'!D1375)),TRIM(MID('R.M Billets Reports'!D1375,SEARCH("-",'R.M Billets Reports'!D1375)+1,200)),"")))="SHREE RADHE SHAKTI SPONGE AND POWER PVT. LTD.","SHREE RADHE",IF(IF(ISNUMBER(SEARCH("Party Name:-",'R.M Billets Reports'!D1374)),TRIM('R.M Billets Reports'!F1374),IF(ISNUMBER(SEARCH("Party Name-",'R.M Billets Reports'!D1374)),TRIM(MID('R.M Billets Reports'!D1374,SEARCH("-",'R.M Billets Reports'!D1374)+1,200)),""))&lt;&gt;"",IF(ISNUMBER(SEARCH("Party Name:-",'R.M Billets Reports'!D1374)),TRIM('R.M Billets Reports'!F1374),IF(ISNUMBER(SEARCH("Party Name-",'R.M Billets Reports'!D1374)),TRIM(MID('R.M Billets Reports'!D1374,SEARCH("-",'R.M Billets Reports'!D1374)+1,200)),"")),IF(ISNUMBER(SEARCH("Party Name:-",'R.M Billets Reports'!D1375)),TRIM('R.M Billets Reports'!F1375),IF(ISNUMBER(SEARCH("Party Name-",'R.M Billets Reports'!D1375)),TRIM(MID('R.M Billets Reports'!D1375,SEARCH("-",'R.M Billets Reports'!D1375)+1,200)),"")))))),IF(ROW()=2,"",A1374))</f>
      </c>
      <c r="B1375">
        <f>IF(OR('R.M Billets Reports'!A1374="Date-",'R.M Billets Reports'!A1374="Date:-"),'R.M Billets Reports'!B1374,IF(ROW()=2,"",B1374))</f>
      </c>
      <c r="C1375">
        <f>IF('R.M Billets Reports'!A1374="V.No.",'R.M Billets Reports'!B1374,IF(ROW()=2,"",C1374))</f>
      </c>
      <c r="D1375">
        <f>IF('R.M Billets Reports'!A1374&lt;&gt;"",'R.M Billets Reports'!A1374,IF(ROW()=2,"",D1374))</f>
      </c>
      <c r="E1375">
        <f>IF('R.M Billets Reports'!B1374="","",TRIM('R.M Billets Reports'!B1374))</f>
      </c>
      <c r="F1375">
        <f>'R.M Billets Reports'!C1374</f>
      </c>
      <c r="G1375">
        <f>'R.M Billets Reports'!D1374</f>
      </c>
      <c r="H1375">
        <f>'R.M Billets Reports'!E1374</f>
      </c>
      <c r="I1375">
        <f>'R.M Billets Reports'!F1374</f>
      </c>
      <c r="J1375">
        <f>'R.M Billets Reports'!G1374</f>
      </c>
      <c r="K1375">
        <f>'R.M Billets Reports'!H1374</f>
      </c>
      <c r="L1375">
        <f>IF('R.M Billets Reports'!I1374="","",'R.M Billets Reports'!I1374)</f>
      </c>
      <c r="M1375">
        <f t="shared" si="42"/>
      </c>
      <c r="N1375">
        <f>IF('R.M Billets Reports'!J1374="","",'R.M Billets Reports'!J1374)</f>
      </c>
      <c r="O1375">
        <f t="shared" si="43"/>
      </c>
      <c r="P1375">
        <f>IF('R.M Billets Reports'!A1374="SIZE",'R.M Billets Reports'!B1374,P1374)</f>
      </c>
    </row>
    <row r="1376" spans="1:16" x14ac:dyDescent="0.25">
      <c r="A1376">
        <f>IF(OR('R.M Billets Reports'!A1375="Date-",'R.M Billets Reports'!A1375="Date:-"),IF(IF(IF(ISNUMBER(SEARCH("Party Name:-",'R.M Billets Reports'!D1375)),TRIM('R.M Billets Reports'!F1375),IF(ISNUMBER(SEARCH("Party Name-",'R.M Billets Reports'!D1375)),TRIM(MID('R.M Billets Reports'!D1375,SEARCH("-",'R.M Billets Reports'!D1375)+1,200)),""))&lt;&gt;"",IF(ISNUMBER(SEARCH("Party Name:-",'R.M Billets Reports'!D1375)),TRIM('R.M Billets Reports'!F1375),IF(ISNUMBER(SEARCH("Party Name-",'R.M Billets Reports'!D1375)),TRIM(MID('R.M Billets Reports'!D1375,SEARCH("-",'R.M Billets Reports'!D1375)+1,200)),"")),IF(ISNUMBER(SEARCH("Party Name:-",'R.M Billets Reports'!D1376)),TRIM('R.M Billets Reports'!F1376),IF(ISNUMBER(SEARCH("Party Name-",'R.M Billets Reports'!D1376)),TRIM(MID('R.M Billets Reports'!D1376,SEARCH("-",'R.M Billets Reports'!D1376)+1,200)),"")))="VRKP ISPAT PVT LTD","VRKP",IF(IF(IF(ISNUMBER(SEARCH("Party Name:-",'R.M Billets Reports'!D1375)),TRIM('R.M Billets Reports'!F1375),IF(ISNUMBER(SEARCH("Party Name-",'R.M Billets Reports'!D1375)),TRIM(MID('R.M Billets Reports'!D1375,SEARCH("-",'R.M Billets Reports'!D1375)+1,200)),""))&lt;&gt;"",IF(ISNUMBER(SEARCH("Party Name:-",'R.M Billets Reports'!D1375)),TRIM('R.M Billets Reports'!F1375),IF(ISNUMBER(SEARCH("Party Name-",'R.M Billets Reports'!D1375)),TRIM(MID('R.M Billets Reports'!D1375,SEARCH("-",'R.M Billets Reports'!D1375)+1,200)),"")),IF(ISNUMBER(SEARCH("Party Name:-",'R.M Billets Reports'!D1376)),TRIM('R.M Billets Reports'!F1376),IF(ISNUMBER(SEARCH("Party Name-",'R.M Billets Reports'!D1376)),TRIM(MID('R.M Billets Reports'!D1376,SEARCH("-",'R.M Billets Reports'!D1376)+1,200)),"")))="SHRI RADHE","SHREE RADHE",IF(IF(IF(ISNUMBER(SEARCH("Party Name:-",'R.M Billets Reports'!D1375)),TRIM('R.M Billets Reports'!F1375),IF(ISNUMBER(SEARCH("Party Name-",'R.M Billets Reports'!D1375)),TRIM(MID('R.M Billets Reports'!D1375,SEARCH("-",'R.M Billets Reports'!D1375)+1,200)),""))&lt;&gt;"",IF(ISNUMBER(SEARCH("Party Name:-",'R.M Billets Reports'!D1375)),TRIM('R.M Billets Reports'!F1375),IF(ISNUMBER(SEARCH("Party Name-",'R.M Billets Reports'!D1375)),TRIM(MID('R.M Billets Reports'!D1375,SEARCH("-",'R.M Billets Reports'!D1375)+1,200)),"")),IF(ISNUMBER(SEARCH("Party Name:-",'R.M Billets Reports'!D1376)),TRIM('R.M Billets Reports'!F1376),IF(ISNUMBER(SEARCH("Party Name-",'R.M Billets Reports'!D1376)),TRIM(MID('R.M Billets Reports'!D1376,SEARCH("-",'R.M Billets Reports'!D1376)+1,200)),"")))="SHREE RADHE SHAKTI SPONGE AND POWER PVT. LTD.","SHREE RADHE",IF(IF(ISNUMBER(SEARCH("Party Name:-",'R.M Billets Reports'!D1375)),TRIM('R.M Billets Reports'!F1375),IF(ISNUMBER(SEARCH("Party Name-",'R.M Billets Reports'!D1375)),TRIM(MID('R.M Billets Reports'!D1375,SEARCH("-",'R.M Billets Reports'!D1375)+1,200)),""))&lt;&gt;"",IF(ISNUMBER(SEARCH("Party Name:-",'R.M Billets Reports'!D1375)),TRIM('R.M Billets Reports'!F1375),IF(ISNUMBER(SEARCH("Party Name-",'R.M Billets Reports'!D1375)),TRIM(MID('R.M Billets Reports'!D1375,SEARCH("-",'R.M Billets Reports'!D1375)+1,200)),"")),IF(ISNUMBER(SEARCH("Party Name:-",'R.M Billets Reports'!D1376)),TRIM('R.M Billets Reports'!F1376),IF(ISNUMBER(SEARCH("Party Name-",'R.M Billets Reports'!D1376)),TRIM(MID('R.M Billets Reports'!D1376,SEARCH("-",'R.M Billets Reports'!D1376)+1,200)),"")))))),IF(ROW()=2,"",A1375))</f>
      </c>
      <c r="B1376">
        <f>IF(OR('R.M Billets Reports'!A1375="Date-",'R.M Billets Reports'!A1375="Date:-"),'R.M Billets Reports'!B1375,IF(ROW()=2,"",B1375))</f>
      </c>
      <c r="C1376">
        <f>IF('R.M Billets Reports'!A1375="V.No.",'R.M Billets Reports'!B1375,IF(ROW()=2,"",C1375))</f>
      </c>
      <c r="D1376">
        <f>IF('R.M Billets Reports'!A1375&lt;&gt;"",'R.M Billets Reports'!A1375,IF(ROW()=2,"",D1375))</f>
      </c>
      <c r="E1376">
        <f>IF('R.M Billets Reports'!B1375="","",TRIM('R.M Billets Reports'!B1375))</f>
      </c>
      <c r="F1376">
        <f>'R.M Billets Reports'!C1375</f>
      </c>
      <c r="G1376">
        <f>'R.M Billets Reports'!D1375</f>
      </c>
      <c r="H1376">
        <f>'R.M Billets Reports'!E1375</f>
      </c>
      <c r="I1376">
        <f>'R.M Billets Reports'!F1375</f>
      </c>
      <c r="J1376">
        <f>'R.M Billets Reports'!G1375</f>
      </c>
      <c r="K1376">
        <f>'R.M Billets Reports'!H1375</f>
      </c>
      <c r="L1376">
        <f>IF('R.M Billets Reports'!I1375="","",'R.M Billets Reports'!I1375)</f>
      </c>
      <c r="M1376">
        <f t="shared" si="42"/>
      </c>
      <c r="N1376">
        <f>IF('R.M Billets Reports'!J1375="","",'R.M Billets Reports'!J1375)</f>
      </c>
      <c r="O1376">
        <f t="shared" si="43"/>
      </c>
      <c r="P1376">
        <f>IF('R.M Billets Reports'!A1375="SIZE",'R.M Billets Reports'!B1375,P1375)</f>
      </c>
    </row>
    <row r="1377" spans="1:16" x14ac:dyDescent="0.25">
      <c r="A1377">
        <f>IF(OR('R.M Billets Reports'!A1376="Date-",'R.M Billets Reports'!A1376="Date:-"),IF(IF(IF(ISNUMBER(SEARCH("Party Name:-",'R.M Billets Reports'!D1376)),TRIM('R.M Billets Reports'!F1376),IF(ISNUMBER(SEARCH("Party Name-",'R.M Billets Reports'!D1376)),TRIM(MID('R.M Billets Reports'!D1376,SEARCH("-",'R.M Billets Reports'!D1376)+1,200)),""))&lt;&gt;"",IF(ISNUMBER(SEARCH("Party Name:-",'R.M Billets Reports'!D1376)),TRIM('R.M Billets Reports'!F1376),IF(ISNUMBER(SEARCH("Party Name-",'R.M Billets Reports'!D1376)),TRIM(MID('R.M Billets Reports'!D1376,SEARCH("-",'R.M Billets Reports'!D1376)+1,200)),"")),IF(ISNUMBER(SEARCH("Party Name:-",'R.M Billets Reports'!D1377)),TRIM('R.M Billets Reports'!F1377),IF(ISNUMBER(SEARCH("Party Name-",'R.M Billets Reports'!D1377)),TRIM(MID('R.M Billets Reports'!D1377,SEARCH("-",'R.M Billets Reports'!D1377)+1,200)),"")))="VRKP ISPAT PVT LTD","VRKP",IF(IF(IF(ISNUMBER(SEARCH("Party Name:-",'R.M Billets Reports'!D1376)),TRIM('R.M Billets Reports'!F1376),IF(ISNUMBER(SEARCH("Party Name-",'R.M Billets Reports'!D1376)),TRIM(MID('R.M Billets Reports'!D1376,SEARCH("-",'R.M Billets Reports'!D1376)+1,200)),""))&lt;&gt;"",IF(ISNUMBER(SEARCH("Party Name:-",'R.M Billets Reports'!D1376)),TRIM('R.M Billets Reports'!F1376),IF(ISNUMBER(SEARCH("Party Name-",'R.M Billets Reports'!D1376)),TRIM(MID('R.M Billets Reports'!D1376,SEARCH("-",'R.M Billets Reports'!D1376)+1,200)),"")),IF(ISNUMBER(SEARCH("Party Name:-",'R.M Billets Reports'!D1377)),TRIM('R.M Billets Reports'!F1377),IF(ISNUMBER(SEARCH("Party Name-",'R.M Billets Reports'!D1377)),TRIM(MID('R.M Billets Reports'!D1377,SEARCH("-",'R.M Billets Reports'!D1377)+1,200)),"")))="SHRI RADHE","SHREE RADHE",IF(IF(IF(ISNUMBER(SEARCH("Party Name:-",'R.M Billets Reports'!D1376)),TRIM('R.M Billets Reports'!F1376),IF(ISNUMBER(SEARCH("Party Name-",'R.M Billets Reports'!D1376)),TRIM(MID('R.M Billets Reports'!D1376,SEARCH("-",'R.M Billets Reports'!D1376)+1,200)),""))&lt;&gt;"",IF(ISNUMBER(SEARCH("Party Name:-",'R.M Billets Reports'!D1376)),TRIM('R.M Billets Reports'!F1376),IF(ISNUMBER(SEARCH("Party Name-",'R.M Billets Reports'!D1376)),TRIM(MID('R.M Billets Reports'!D1376,SEARCH("-",'R.M Billets Reports'!D1376)+1,200)),"")),IF(ISNUMBER(SEARCH("Party Name:-",'R.M Billets Reports'!D1377)),TRIM('R.M Billets Reports'!F1377),IF(ISNUMBER(SEARCH("Party Name-",'R.M Billets Reports'!D1377)),TRIM(MID('R.M Billets Reports'!D1377,SEARCH("-",'R.M Billets Reports'!D1377)+1,200)),"")))="SHREE RADHE SHAKTI SPONGE AND POWER PVT. LTD.","SHREE RADHE",IF(IF(ISNUMBER(SEARCH("Party Name:-",'R.M Billets Reports'!D1376)),TRIM('R.M Billets Reports'!F1376),IF(ISNUMBER(SEARCH("Party Name-",'R.M Billets Reports'!D1376)),TRIM(MID('R.M Billets Reports'!D1376,SEARCH("-",'R.M Billets Reports'!D1376)+1,200)),""))&lt;&gt;"",IF(ISNUMBER(SEARCH("Party Name:-",'R.M Billets Reports'!D1376)),TRIM('R.M Billets Reports'!F1376),IF(ISNUMBER(SEARCH("Party Name-",'R.M Billets Reports'!D1376)),TRIM(MID('R.M Billets Reports'!D1376,SEARCH("-",'R.M Billets Reports'!D1376)+1,200)),"")),IF(ISNUMBER(SEARCH("Party Name:-",'R.M Billets Reports'!D1377)),TRIM('R.M Billets Reports'!F1377),IF(ISNUMBER(SEARCH("Party Name-",'R.M Billets Reports'!D1377)),TRIM(MID('R.M Billets Reports'!D1377,SEARCH("-",'R.M Billets Reports'!D1377)+1,200)),"")))))),IF(ROW()=2,"",A1376))</f>
      </c>
      <c r="B1377">
        <f>IF(OR('R.M Billets Reports'!A1376="Date-",'R.M Billets Reports'!A1376="Date:-"),'R.M Billets Reports'!B1376,IF(ROW()=2,"",B1376))</f>
      </c>
      <c r="C1377">
        <f>IF('R.M Billets Reports'!A1376="V.No.",'R.M Billets Reports'!B1376,IF(ROW()=2,"",C1376))</f>
      </c>
      <c r="D1377">
        <f>IF('R.M Billets Reports'!A1376&lt;&gt;"",'R.M Billets Reports'!A1376,IF(ROW()=2,"",D1376))</f>
      </c>
      <c r="E1377">
        <f>IF('R.M Billets Reports'!B1376="","",TRIM('R.M Billets Reports'!B1376))</f>
      </c>
      <c r="F1377">
        <f>'R.M Billets Reports'!C1376</f>
      </c>
      <c r="G1377">
        <f>'R.M Billets Reports'!D1376</f>
      </c>
      <c r="H1377">
        <f>'R.M Billets Reports'!E1376</f>
      </c>
      <c r="I1377">
        <f>'R.M Billets Reports'!F1376</f>
      </c>
      <c r="J1377">
        <f>'R.M Billets Reports'!G1376</f>
      </c>
      <c r="K1377">
        <f>'R.M Billets Reports'!H1376</f>
      </c>
      <c r="L1377">
        <f>IF('R.M Billets Reports'!I1376="","",'R.M Billets Reports'!I1376)</f>
      </c>
      <c r="M1377">
        <f t="shared" si="42"/>
      </c>
      <c r="N1377">
        <f>IF('R.M Billets Reports'!J1376="","",'R.M Billets Reports'!J1376)</f>
      </c>
      <c r="O1377">
        <f t="shared" si="43"/>
      </c>
      <c r="P1377">
        <f>IF('R.M Billets Reports'!A1376="SIZE",'R.M Billets Reports'!B1376,P1376)</f>
      </c>
    </row>
    <row r="1378" spans="1:16" x14ac:dyDescent="0.25">
      <c r="A1378">
        <f>IF(OR('R.M Billets Reports'!A1377="Date-",'R.M Billets Reports'!A1377="Date:-"),IF(IF(IF(ISNUMBER(SEARCH("Party Name:-",'R.M Billets Reports'!D1377)),TRIM('R.M Billets Reports'!F1377),IF(ISNUMBER(SEARCH("Party Name-",'R.M Billets Reports'!D1377)),TRIM(MID('R.M Billets Reports'!D1377,SEARCH("-",'R.M Billets Reports'!D1377)+1,200)),""))&lt;&gt;"",IF(ISNUMBER(SEARCH("Party Name:-",'R.M Billets Reports'!D1377)),TRIM('R.M Billets Reports'!F1377),IF(ISNUMBER(SEARCH("Party Name-",'R.M Billets Reports'!D1377)),TRIM(MID('R.M Billets Reports'!D1377,SEARCH("-",'R.M Billets Reports'!D1377)+1,200)),"")),IF(ISNUMBER(SEARCH("Party Name:-",'R.M Billets Reports'!D1378)),TRIM('R.M Billets Reports'!F1378),IF(ISNUMBER(SEARCH("Party Name-",'R.M Billets Reports'!D1378)),TRIM(MID('R.M Billets Reports'!D1378,SEARCH("-",'R.M Billets Reports'!D1378)+1,200)),"")))="VRKP ISPAT PVT LTD","VRKP",IF(IF(IF(ISNUMBER(SEARCH("Party Name:-",'R.M Billets Reports'!D1377)),TRIM('R.M Billets Reports'!F1377),IF(ISNUMBER(SEARCH("Party Name-",'R.M Billets Reports'!D1377)),TRIM(MID('R.M Billets Reports'!D1377,SEARCH("-",'R.M Billets Reports'!D1377)+1,200)),""))&lt;&gt;"",IF(ISNUMBER(SEARCH("Party Name:-",'R.M Billets Reports'!D1377)),TRIM('R.M Billets Reports'!F1377),IF(ISNUMBER(SEARCH("Party Name-",'R.M Billets Reports'!D1377)),TRIM(MID('R.M Billets Reports'!D1377,SEARCH("-",'R.M Billets Reports'!D1377)+1,200)),"")),IF(ISNUMBER(SEARCH("Party Name:-",'R.M Billets Reports'!D1378)),TRIM('R.M Billets Reports'!F1378),IF(ISNUMBER(SEARCH("Party Name-",'R.M Billets Reports'!D1378)),TRIM(MID('R.M Billets Reports'!D1378,SEARCH("-",'R.M Billets Reports'!D1378)+1,200)),"")))="SHRI RADHE","SHREE RADHE",IF(IF(IF(ISNUMBER(SEARCH("Party Name:-",'R.M Billets Reports'!D1377)),TRIM('R.M Billets Reports'!F1377),IF(ISNUMBER(SEARCH("Party Name-",'R.M Billets Reports'!D1377)),TRIM(MID('R.M Billets Reports'!D1377,SEARCH("-",'R.M Billets Reports'!D1377)+1,200)),""))&lt;&gt;"",IF(ISNUMBER(SEARCH("Party Name:-",'R.M Billets Reports'!D1377)),TRIM('R.M Billets Reports'!F1377),IF(ISNUMBER(SEARCH("Party Name-",'R.M Billets Reports'!D1377)),TRIM(MID('R.M Billets Reports'!D1377,SEARCH("-",'R.M Billets Reports'!D1377)+1,200)),"")),IF(ISNUMBER(SEARCH("Party Name:-",'R.M Billets Reports'!D1378)),TRIM('R.M Billets Reports'!F1378),IF(ISNUMBER(SEARCH("Party Name-",'R.M Billets Reports'!D1378)),TRIM(MID('R.M Billets Reports'!D1378,SEARCH("-",'R.M Billets Reports'!D1378)+1,200)),"")))="SHREE RADHE SHAKTI SPONGE AND POWER PVT. LTD.","SHREE RADHE",IF(IF(ISNUMBER(SEARCH("Party Name:-",'R.M Billets Reports'!D1377)),TRIM('R.M Billets Reports'!F1377),IF(ISNUMBER(SEARCH("Party Name-",'R.M Billets Reports'!D1377)),TRIM(MID('R.M Billets Reports'!D1377,SEARCH("-",'R.M Billets Reports'!D1377)+1,200)),""))&lt;&gt;"",IF(ISNUMBER(SEARCH("Party Name:-",'R.M Billets Reports'!D1377)),TRIM('R.M Billets Reports'!F1377),IF(ISNUMBER(SEARCH("Party Name-",'R.M Billets Reports'!D1377)),TRIM(MID('R.M Billets Reports'!D1377,SEARCH("-",'R.M Billets Reports'!D1377)+1,200)),"")),IF(ISNUMBER(SEARCH("Party Name:-",'R.M Billets Reports'!D1378)),TRIM('R.M Billets Reports'!F1378),IF(ISNUMBER(SEARCH("Party Name-",'R.M Billets Reports'!D1378)),TRIM(MID('R.M Billets Reports'!D1378,SEARCH("-",'R.M Billets Reports'!D1378)+1,200)),"")))))),IF(ROW()=2,"",A1377))</f>
      </c>
      <c r="B1378">
        <f>IF(OR('R.M Billets Reports'!A1377="Date-",'R.M Billets Reports'!A1377="Date:-"),'R.M Billets Reports'!B1377,IF(ROW()=2,"",B1377))</f>
      </c>
      <c r="C1378">
        <f>IF('R.M Billets Reports'!A1377="V.No.",'R.M Billets Reports'!B1377,IF(ROW()=2,"",C1377))</f>
      </c>
      <c r="D1378">
        <f>IF('R.M Billets Reports'!A1377&lt;&gt;"",'R.M Billets Reports'!A1377,IF(ROW()=2,"",D1377))</f>
      </c>
      <c r="E1378">
        <f>IF('R.M Billets Reports'!B1377="","",TRIM('R.M Billets Reports'!B1377))</f>
      </c>
      <c r="F1378">
        <f>'R.M Billets Reports'!C1377</f>
      </c>
      <c r="G1378">
        <f>'R.M Billets Reports'!D1377</f>
      </c>
      <c r="H1378">
        <f>'R.M Billets Reports'!E1377</f>
      </c>
      <c r="I1378">
        <f>'R.M Billets Reports'!F1377</f>
      </c>
      <c r="J1378">
        <f>'R.M Billets Reports'!G1377</f>
      </c>
      <c r="K1378">
        <f>'R.M Billets Reports'!H1377</f>
      </c>
      <c r="L1378">
        <f>IF('R.M Billets Reports'!I1377="","",'R.M Billets Reports'!I1377)</f>
      </c>
      <c r="M1378">
        <f t="shared" si="42"/>
      </c>
      <c r="N1378">
        <f>IF('R.M Billets Reports'!J1377="","",'R.M Billets Reports'!J1377)</f>
      </c>
      <c r="O1378">
        <f t="shared" si="43"/>
      </c>
      <c r="P1378">
        <f>IF('R.M Billets Reports'!A1377="SIZE",'R.M Billets Reports'!B1377,P1377)</f>
      </c>
    </row>
    <row r="1379" spans="1:16" x14ac:dyDescent="0.25">
      <c r="A1379">
        <f>IF(OR('R.M Billets Reports'!A1378="Date-",'R.M Billets Reports'!A1378="Date:-"),IF(IF(IF(ISNUMBER(SEARCH("Party Name:-",'R.M Billets Reports'!D1378)),TRIM('R.M Billets Reports'!F1378),IF(ISNUMBER(SEARCH("Party Name-",'R.M Billets Reports'!D1378)),TRIM(MID('R.M Billets Reports'!D1378,SEARCH("-",'R.M Billets Reports'!D1378)+1,200)),""))&lt;&gt;"",IF(ISNUMBER(SEARCH("Party Name:-",'R.M Billets Reports'!D1378)),TRIM('R.M Billets Reports'!F1378),IF(ISNUMBER(SEARCH("Party Name-",'R.M Billets Reports'!D1378)),TRIM(MID('R.M Billets Reports'!D1378,SEARCH("-",'R.M Billets Reports'!D1378)+1,200)),"")),IF(ISNUMBER(SEARCH("Party Name:-",'R.M Billets Reports'!D1379)),TRIM('R.M Billets Reports'!F1379),IF(ISNUMBER(SEARCH("Party Name-",'R.M Billets Reports'!D1379)),TRIM(MID('R.M Billets Reports'!D1379,SEARCH("-",'R.M Billets Reports'!D1379)+1,200)),"")))="VRKP ISPAT PVT LTD","VRKP",IF(IF(IF(ISNUMBER(SEARCH("Party Name:-",'R.M Billets Reports'!D1378)),TRIM('R.M Billets Reports'!F1378),IF(ISNUMBER(SEARCH("Party Name-",'R.M Billets Reports'!D1378)),TRIM(MID('R.M Billets Reports'!D1378,SEARCH("-",'R.M Billets Reports'!D1378)+1,200)),""))&lt;&gt;"",IF(ISNUMBER(SEARCH("Party Name:-",'R.M Billets Reports'!D1378)),TRIM('R.M Billets Reports'!F1378),IF(ISNUMBER(SEARCH("Party Name-",'R.M Billets Reports'!D1378)),TRIM(MID('R.M Billets Reports'!D1378,SEARCH("-",'R.M Billets Reports'!D1378)+1,200)),"")),IF(ISNUMBER(SEARCH("Party Name:-",'R.M Billets Reports'!D1379)),TRIM('R.M Billets Reports'!F1379),IF(ISNUMBER(SEARCH("Party Name-",'R.M Billets Reports'!D1379)),TRIM(MID('R.M Billets Reports'!D1379,SEARCH("-",'R.M Billets Reports'!D1379)+1,200)),"")))="SHRI RADHE","SHREE RADHE",IF(IF(IF(ISNUMBER(SEARCH("Party Name:-",'R.M Billets Reports'!D1378)),TRIM('R.M Billets Reports'!F1378),IF(ISNUMBER(SEARCH("Party Name-",'R.M Billets Reports'!D1378)),TRIM(MID('R.M Billets Reports'!D1378,SEARCH("-",'R.M Billets Reports'!D1378)+1,200)),""))&lt;&gt;"",IF(ISNUMBER(SEARCH("Party Name:-",'R.M Billets Reports'!D1378)),TRIM('R.M Billets Reports'!F1378),IF(ISNUMBER(SEARCH("Party Name-",'R.M Billets Reports'!D1378)),TRIM(MID('R.M Billets Reports'!D1378,SEARCH("-",'R.M Billets Reports'!D1378)+1,200)),"")),IF(ISNUMBER(SEARCH("Party Name:-",'R.M Billets Reports'!D1379)),TRIM('R.M Billets Reports'!F1379),IF(ISNUMBER(SEARCH("Party Name-",'R.M Billets Reports'!D1379)),TRIM(MID('R.M Billets Reports'!D1379,SEARCH("-",'R.M Billets Reports'!D1379)+1,200)),"")))="SHREE RADHE SHAKTI SPONGE AND POWER PVT. LTD.","SHREE RADHE",IF(IF(ISNUMBER(SEARCH("Party Name:-",'R.M Billets Reports'!D1378)),TRIM('R.M Billets Reports'!F1378),IF(ISNUMBER(SEARCH("Party Name-",'R.M Billets Reports'!D1378)),TRIM(MID('R.M Billets Reports'!D1378,SEARCH("-",'R.M Billets Reports'!D1378)+1,200)),""))&lt;&gt;"",IF(ISNUMBER(SEARCH("Party Name:-",'R.M Billets Reports'!D1378)),TRIM('R.M Billets Reports'!F1378),IF(ISNUMBER(SEARCH("Party Name-",'R.M Billets Reports'!D1378)),TRIM(MID('R.M Billets Reports'!D1378,SEARCH("-",'R.M Billets Reports'!D1378)+1,200)),"")),IF(ISNUMBER(SEARCH("Party Name:-",'R.M Billets Reports'!D1379)),TRIM('R.M Billets Reports'!F1379),IF(ISNUMBER(SEARCH("Party Name-",'R.M Billets Reports'!D1379)),TRIM(MID('R.M Billets Reports'!D1379,SEARCH("-",'R.M Billets Reports'!D1379)+1,200)),"")))))),IF(ROW()=2,"",A1378))</f>
      </c>
      <c r="B1379">
        <f>IF(OR('R.M Billets Reports'!A1378="Date-",'R.M Billets Reports'!A1378="Date:-"),'R.M Billets Reports'!B1378,IF(ROW()=2,"",B1378))</f>
      </c>
      <c r="C1379">
        <f>IF('R.M Billets Reports'!A1378="V.No.",'R.M Billets Reports'!B1378,IF(ROW()=2,"",C1378))</f>
      </c>
      <c r="D1379">
        <f>IF('R.M Billets Reports'!A1378&lt;&gt;"",'R.M Billets Reports'!A1378,IF(ROW()=2,"",D1378))</f>
      </c>
      <c r="E1379">
        <f>IF('R.M Billets Reports'!B1378="","",TRIM('R.M Billets Reports'!B1378))</f>
      </c>
      <c r="F1379">
        <f>'R.M Billets Reports'!C1378</f>
      </c>
      <c r="G1379">
        <f>'R.M Billets Reports'!D1378</f>
      </c>
      <c r="H1379">
        <f>'R.M Billets Reports'!E1378</f>
      </c>
      <c r="I1379">
        <f>'R.M Billets Reports'!F1378</f>
      </c>
      <c r="J1379">
        <f>'R.M Billets Reports'!G1378</f>
      </c>
      <c r="K1379">
        <f>'R.M Billets Reports'!H1378</f>
      </c>
      <c r="L1379">
        <f>IF('R.M Billets Reports'!I1378="","",'R.M Billets Reports'!I1378)</f>
      </c>
      <c r="M1379">
        <f t="shared" si="42"/>
      </c>
      <c r="N1379">
        <f>IF('R.M Billets Reports'!J1378="","",'R.M Billets Reports'!J1378)</f>
      </c>
      <c r="O1379">
        <f t="shared" si="43"/>
      </c>
      <c r="P1379">
        <f>IF('R.M Billets Reports'!A1378="SIZE",'R.M Billets Reports'!B1378,P1378)</f>
      </c>
    </row>
    <row r="1380" spans="1:16" x14ac:dyDescent="0.25">
      <c r="A1380">
        <f>IF(OR('R.M Billets Reports'!A1379="Date-",'R.M Billets Reports'!A1379="Date:-"),IF(IF(IF(ISNUMBER(SEARCH("Party Name:-",'R.M Billets Reports'!D1379)),TRIM('R.M Billets Reports'!F1379),IF(ISNUMBER(SEARCH("Party Name-",'R.M Billets Reports'!D1379)),TRIM(MID('R.M Billets Reports'!D1379,SEARCH("-",'R.M Billets Reports'!D1379)+1,200)),""))&lt;&gt;"",IF(ISNUMBER(SEARCH("Party Name:-",'R.M Billets Reports'!D1379)),TRIM('R.M Billets Reports'!F1379),IF(ISNUMBER(SEARCH("Party Name-",'R.M Billets Reports'!D1379)),TRIM(MID('R.M Billets Reports'!D1379,SEARCH("-",'R.M Billets Reports'!D1379)+1,200)),"")),IF(ISNUMBER(SEARCH("Party Name:-",'R.M Billets Reports'!D1380)),TRIM('R.M Billets Reports'!F1380),IF(ISNUMBER(SEARCH("Party Name-",'R.M Billets Reports'!D1380)),TRIM(MID('R.M Billets Reports'!D1380,SEARCH("-",'R.M Billets Reports'!D1380)+1,200)),"")))="VRKP ISPAT PVT LTD","VRKP",IF(IF(IF(ISNUMBER(SEARCH("Party Name:-",'R.M Billets Reports'!D1379)),TRIM('R.M Billets Reports'!F1379),IF(ISNUMBER(SEARCH("Party Name-",'R.M Billets Reports'!D1379)),TRIM(MID('R.M Billets Reports'!D1379,SEARCH("-",'R.M Billets Reports'!D1379)+1,200)),""))&lt;&gt;"",IF(ISNUMBER(SEARCH("Party Name:-",'R.M Billets Reports'!D1379)),TRIM('R.M Billets Reports'!F1379),IF(ISNUMBER(SEARCH("Party Name-",'R.M Billets Reports'!D1379)),TRIM(MID('R.M Billets Reports'!D1379,SEARCH("-",'R.M Billets Reports'!D1379)+1,200)),"")),IF(ISNUMBER(SEARCH("Party Name:-",'R.M Billets Reports'!D1380)),TRIM('R.M Billets Reports'!F1380),IF(ISNUMBER(SEARCH("Party Name-",'R.M Billets Reports'!D1380)),TRIM(MID('R.M Billets Reports'!D1380,SEARCH("-",'R.M Billets Reports'!D1380)+1,200)),"")))="SHRI RADHE","SHREE RADHE",IF(IF(IF(ISNUMBER(SEARCH("Party Name:-",'R.M Billets Reports'!D1379)),TRIM('R.M Billets Reports'!F1379),IF(ISNUMBER(SEARCH("Party Name-",'R.M Billets Reports'!D1379)),TRIM(MID('R.M Billets Reports'!D1379,SEARCH("-",'R.M Billets Reports'!D1379)+1,200)),""))&lt;&gt;"",IF(ISNUMBER(SEARCH("Party Name:-",'R.M Billets Reports'!D1379)),TRIM('R.M Billets Reports'!F1379),IF(ISNUMBER(SEARCH("Party Name-",'R.M Billets Reports'!D1379)),TRIM(MID('R.M Billets Reports'!D1379,SEARCH("-",'R.M Billets Reports'!D1379)+1,200)),"")),IF(ISNUMBER(SEARCH("Party Name:-",'R.M Billets Reports'!D1380)),TRIM('R.M Billets Reports'!F1380),IF(ISNUMBER(SEARCH("Party Name-",'R.M Billets Reports'!D1380)),TRIM(MID('R.M Billets Reports'!D1380,SEARCH("-",'R.M Billets Reports'!D1380)+1,200)),"")))="SHREE RADHE SHAKTI SPONGE AND POWER PVT. LTD.","SHREE RADHE",IF(IF(ISNUMBER(SEARCH("Party Name:-",'R.M Billets Reports'!D1379)),TRIM('R.M Billets Reports'!F1379),IF(ISNUMBER(SEARCH("Party Name-",'R.M Billets Reports'!D1379)),TRIM(MID('R.M Billets Reports'!D1379,SEARCH("-",'R.M Billets Reports'!D1379)+1,200)),""))&lt;&gt;"",IF(ISNUMBER(SEARCH("Party Name:-",'R.M Billets Reports'!D1379)),TRIM('R.M Billets Reports'!F1379),IF(ISNUMBER(SEARCH("Party Name-",'R.M Billets Reports'!D1379)),TRIM(MID('R.M Billets Reports'!D1379,SEARCH("-",'R.M Billets Reports'!D1379)+1,200)),"")),IF(ISNUMBER(SEARCH("Party Name:-",'R.M Billets Reports'!D1380)),TRIM('R.M Billets Reports'!F1380),IF(ISNUMBER(SEARCH("Party Name-",'R.M Billets Reports'!D1380)),TRIM(MID('R.M Billets Reports'!D1380,SEARCH("-",'R.M Billets Reports'!D1380)+1,200)),"")))))),IF(ROW()=2,"",A1379))</f>
      </c>
      <c r="B1380">
        <f>IF(OR('R.M Billets Reports'!A1379="Date-",'R.M Billets Reports'!A1379="Date:-"),'R.M Billets Reports'!B1379,IF(ROW()=2,"",B1379))</f>
      </c>
      <c r="C1380">
        <f>IF('R.M Billets Reports'!A1379="V.No.",'R.M Billets Reports'!B1379,IF(ROW()=2,"",C1379))</f>
      </c>
      <c r="D1380">
        <f>IF('R.M Billets Reports'!A1379&lt;&gt;"",'R.M Billets Reports'!A1379,IF(ROW()=2,"",D1379))</f>
      </c>
      <c r="E1380">
        <f>IF('R.M Billets Reports'!B1379="","",TRIM('R.M Billets Reports'!B1379))</f>
      </c>
      <c r="F1380">
        <f>'R.M Billets Reports'!C1379</f>
      </c>
      <c r="G1380">
        <f>'R.M Billets Reports'!D1379</f>
      </c>
      <c r="H1380">
        <f>'R.M Billets Reports'!E1379</f>
      </c>
      <c r="I1380">
        <f>'R.M Billets Reports'!F1379</f>
      </c>
      <c r="J1380">
        <f>'R.M Billets Reports'!G1379</f>
      </c>
      <c r="K1380">
        <f>'R.M Billets Reports'!H1379</f>
      </c>
      <c r="L1380">
        <f>IF('R.M Billets Reports'!I1379="","",'R.M Billets Reports'!I1379)</f>
      </c>
      <c r="M1380">
        <f t="shared" si="42"/>
      </c>
      <c r="N1380">
        <f>IF('R.M Billets Reports'!J1379="","",'R.M Billets Reports'!J1379)</f>
      </c>
      <c r="O1380">
        <f t="shared" si="43"/>
      </c>
      <c r="P1380">
        <f>IF('R.M Billets Reports'!A1379="SIZE",'R.M Billets Reports'!B1379,P1379)</f>
      </c>
    </row>
    <row r="1381" spans="1:16" x14ac:dyDescent="0.25">
      <c r="A1381">
        <f>IF(OR('R.M Billets Reports'!A1380="Date-",'R.M Billets Reports'!A1380="Date:-"),IF(IF(IF(ISNUMBER(SEARCH("Party Name:-",'R.M Billets Reports'!D1380)),TRIM('R.M Billets Reports'!F1380),IF(ISNUMBER(SEARCH("Party Name-",'R.M Billets Reports'!D1380)),TRIM(MID('R.M Billets Reports'!D1380,SEARCH("-",'R.M Billets Reports'!D1380)+1,200)),""))&lt;&gt;"",IF(ISNUMBER(SEARCH("Party Name:-",'R.M Billets Reports'!D1380)),TRIM('R.M Billets Reports'!F1380),IF(ISNUMBER(SEARCH("Party Name-",'R.M Billets Reports'!D1380)),TRIM(MID('R.M Billets Reports'!D1380,SEARCH("-",'R.M Billets Reports'!D1380)+1,200)),"")),IF(ISNUMBER(SEARCH("Party Name:-",'R.M Billets Reports'!D1381)),TRIM('R.M Billets Reports'!F1381),IF(ISNUMBER(SEARCH("Party Name-",'R.M Billets Reports'!D1381)),TRIM(MID('R.M Billets Reports'!D1381,SEARCH("-",'R.M Billets Reports'!D1381)+1,200)),"")))="VRKP ISPAT PVT LTD","VRKP",IF(IF(IF(ISNUMBER(SEARCH("Party Name:-",'R.M Billets Reports'!D1380)),TRIM('R.M Billets Reports'!F1380),IF(ISNUMBER(SEARCH("Party Name-",'R.M Billets Reports'!D1380)),TRIM(MID('R.M Billets Reports'!D1380,SEARCH("-",'R.M Billets Reports'!D1380)+1,200)),""))&lt;&gt;"",IF(ISNUMBER(SEARCH("Party Name:-",'R.M Billets Reports'!D1380)),TRIM('R.M Billets Reports'!F1380),IF(ISNUMBER(SEARCH("Party Name-",'R.M Billets Reports'!D1380)),TRIM(MID('R.M Billets Reports'!D1380,SEARCH("-",'R.M Billets Reports'!D1380)+1,200)),"")),IF(ISNUMBER(SEARCH("Party Name:-",'R.M Billets Reports'!D1381)),TRIM('R.M Billets Reports'!F1381),IF(ISNUMBER(SEARCH("Party Name-",'R.M Billets Reports'!D1381)),TRIM(MID('R.M Billets Reports'!D1381,SEARCH("-",'R.M Billets Reports'!D1381)+1,200)),"")))="SHRI RADHE","SHREE RADHE",IF(IF(IF(ISNUMBER(SEARCH("Party Name:-",'R.M Billets Reports'!D1380)),TRIM('R.M Billets Reports'!F1380),IF(ISNUMBER(SEARCH("Party Name-",'R.M Billets Reports'!D1380)),TRIM(MID('R.M Billets Reports'!D1380,SEARCH("-",'R.M Billets Reports'!D1380)+1,200)),""))&lt;&gt;"",IF(ISNUMBER(SEARCH("Party Name:-",'R.M Billets Reports'!D1380)),TRIM('R.M Billets Reports'!F1380),IF(ISNUMBER(SEARCH("Party Name-",'R.M Billets Reports'!D1380)),TRIM(MID('R.M Billets Reports'!D1380,SEARCH("-",'R.M Billets Reports'!D1380)+1,200)),"")),IF(ISNUMBER(SEARCH("Party Name:-",'R.M Billets Reports'!D1381)),TRIM('R.M Billets Reports'!F1381),IF(ISNUMBER(SEARCH("Party Name-",'R.M Billets Reports'!D1381)),TRIM(MID('R.M Billets Reports'!D1381,SEARCH("-",'R.M Billets Reports'!D1381)+1,200)),"")))="SHREE RADHE SHAKTI SPONGE AND POWER PVT. LTD.","SHREE RADHE",IF(IF(ISNUMBER(SEARCH("Party Name:-",'R.M Billets Reports'!D1380)),TRIM('R.M Billets Reports'!F1380),IF(ISNUMBER(SEARCH("Party Name-",'R.M Billets Reports'!D1380)),TRIM(MID('R.M Billets Reports'!D1380,SEARCH("-",'R.M Billets Reports'!D1380)+1,200)),""))&lt;&gt;"",IF(ISNUMBER(SEARCH("Party Name:-",'R.M Billets Reports'!D1380)),TRIM('R.M Billets Reports'!F1380),IF(ISNUMBER(SEARCH("Party Name-",'R.M Billets Reports'!D1380)),TRIM(MID('R.M Billets Reports'!D1380,SEARCH("-",'R.M Billets Reports'!D1380)+1,200)),"")),IF(ISNUMBER(SEARCH("Party Name:-",'R.M Billets Reports'!D1381)),TRIM('R.M Billets Reports'!F1381),IF(ISNUMBER(SEARCH("Party Name-",'R.M Billets Reports'!D1381)),TRIM(MID('R.M Billets Reports'!D1381,SEARCH("-",'R.M Billets Reports'!D1381)+1,200)),"")))))),IF(ROW()=2,"",A1380))</f>
      </c>
      <c r="B1381">
        <f>IF(OR('R.M Billets Reports'!A1380="Date-",'R.M Billets Reports'!A1380="Date:-"),'R.M Billets Reports'!B1380,IF(ROW()=2,"",B1380))</f>
      </c>
      <c r="C1381">
        <f>IF('R.M Billets Reports'!A1380="V.No.",'R.M Billets Reports'!B1380,IF(ROW()=2,"",C1380))</f>
      </c>
      <c r="D1381">
        <f>IF('R.M Billets Reports'!A1380&lt;&gt;"",'R.M Billets Reports'!A1380,IF(ROW()=2,"",D1380))</f>
      </c>
      <c r="E1381">
        <f>IF('R.M Billets Reports'!B1380="","",TRIM('R.M Billets Reports'!B1380))</f>
      </c>
      <c r="F1381">
        <f>'R.M Billets Reports'!C1380</f>
      </c>
      <c r="G1381">
        <f>'R.M Billets Reports'!D1380</f>
      </c>
      <c r="H1381">
        <f>'R.M Billets Reports'!E1380</f>
      </c>
      <c r="I1381">
        <f>'R.M Billets Reports'!F1380</f>
      </c>
      <c r="J1381">
        <f>'R.M Billets Reports'!G1380</f>
      </c>
      <c r="K1381">
        <f>'R.M Billets Reports'!H1380</f>
      </c>
      <c r="L1381">
        <f>IF('R.M Billets Reports'!I1380="","",'R.M Billets Reports'!I1380)</f>
      </c>
      <c r="M1381">
        <f t="shared" si="42"/>
      </c>
      <c r="N1381">
        <f>IF('R.M Billets Reports'!J1380="","",'R.M Billets Reports'!J1380)</f>
      </c>
      <c r="O1381">
        <f t="shared" si="43"/>
      </c>
      <c r="P1381">
        <f>IF('R.M Billets Reports'!A1380="SIZE",'R.M Billets Reports'!B1380,P1380)</f>
      </c>
    </row>
    <row r="1382" spans="1:16" x14ac:dyDescent="0.25">
      <c r="A1382">
        <f>IF(OR('R.M Billets Reports'!A1381="Date-",'R.M Billets Reports'!A1381="Date:-"),IF(IF(IF(ISNUMBER(SEARCH("Party Name:-",'R.M Billets Reports'!D1381)),TRIM('R.M Billets Reports'!F1381),IF(ISNUMBER(SEARCH("Party Name-",'R.M Billets Reports'!D1381)),TRIM(MID('R.M Billets Reports'!D1381,SEARCH("-",'R.M Billets Reports'!D1381)+1,200)),""))&lt;&gt;"",IF(ISNUMBER(SEARCH("Party Name:-",'R.M Billets Reports'!D1381)),TRIM('R.M Billets Reports'!F1381),IF(ISNUMBER(SEARCH("Party Name-",'R.M Billets Reports'!D1381)),TRIM(MID('R.M Billets Reports'!D1381,SEARCH("-",'R.M Billets Reports'!D1381)+1,200)),"")),IF(ISNUMBER(SEARCH("Party Name:-",'R.M Billets Reports'!D1382)),TRIM('R.M Billets Reports'!F1382),IF(ISNUMBER(SEARCH("Party Name-",'R.M Billets Reports'!D1382)),TRIM(MID('R.M Billets Reports'!D1382,SEARCH("-",'R.M Billets Reports'!D1382)+1,200)),"")))="VRKP ISPAT PVT LTD","VRKP",IF(IF(IF(ISNUMBER(SEARCH("Party Name:-",'R.M Billets Reports'!D1381)),TRIM('R.M Billets Reports'!F1381),IF(ISNUMBER(SEARCH("Party Name-",'R.M Billets Reports'!D1381)),TRIM(MID('R.M Billets Reports'!D1381,SEARCH("-",'R.M Billets Reports'!D1381)+1,200)),""))&lt;&gt;"",IF(ISNUMBER(SEARCH("Party Name:-",'R.M Billets Reports'!D1381)),TRIM('R.M Billets Reports'!F1381),IF(ISNUMBER(SEARCH("Party Name-",'R.M Billets Reports'!D1381)),TRIM(MID('R.M Billets Reports'!D1381,SEARCH("-",'R.M Billets Reports'!D1381)+1,200)),"")),IF(ISNUMBER(SEARCH("Party Name:-",'R.M Billets Reports'!D1382)),TRIM('R.M Billets Reports'!F1382),IF(ISNUMBER(SEARCH("Party Name-",'R.M Billets Reports'!D1382)),TRIM(MID('R.M Billets Reports'!D1382,SEARCH("-",'R.M Billets Reports'!D1382)+1,200)),"")))="SHRI RADHE","SHREE RADHE",IF(IF(IF(ISNUMBER(SEARCH("Party Name:-",'R.M Billets Reports'!D1381)),TRIM('R.M Billets Reports'!F1381),IF(ISNUMBER(SEARCH("Party Name-",'R.M Billets Reports'!D1381)),TRIM(MID('R.M Billets Reports'!D1381,SEARCH("-",'R.M Billets Reports'!D1381)+1,200)),""))&lt;&gt;"",IF(ISNUMBER(SEARCH("Party Name:-",'R.M Billets Reports'!D1381)),TRIM('R.M Billets Reports'!F1381),IF(ISNUMBER(SEARCH("Party Name-",'R.M Billets Reports'!D1381)),TRIM(MID('R.M Billets Reports'!D1381,SEARCH("-",'R.M Billets Reports'!D1381)+1,200)),"")),IF(ISNUMBER(SEARCH("Party Name:-",'R.M Billets Reports'!D1382)),TRIM('R.M Billets Reports'!F1382),IF(ISNUMBER(SEARCH("Party Name-",'R.M Billets Reports'!D1382)),TRIM(MID('R.M Billets Reports'!D1382,SEARCH("-",'R.M Billets Reports'!D1382)+1,200)),"")))="SHREE RADHE SHAKTI SPONGE AND POWER PVT. LTD.","SHREE RADHE",IF(IF(ISNUMBER(SEARCH("Party Name:-",'R.M Billets Reports'!D1381)),TRIM('R.M Billets Reports'!F1381),IF(ISNUMBER(SEARCH("Party Name-",'R.M Billets Reports'!D1381)),TRIM(MID('R.M Billets Reports'!D1381,SEARCH("-",'R.M Billets Reports'!D1381)+1,200)),""))&lt;&gt;"",IF(ISNUMBER(SEARCH("Party Name:-",'R.M Billets Reports'!D1381)),TRIM('R.M Billets Reports'!F1381),IF(ISNUMBER(SEARCH("Party Name-",'R.M Billets Reports'!D1381)),TRIM(MID('R.M Billets Reports'!D1381,SEARCH("-",'R.M Billets Reports'!D1381)+1,200)),"")),IF(ISNUMBER(SEARCH("Party Name:-",'R.M Billets Reports'!D1382)),TRIM('R.M Billets Reports'!F1382),IF(ISNUMBER(SEARCH("Party Name-",'R.M Billets Reports'!D1382)),TRIM(MID('R.M Billets Reports'!D1382,SEARCH("-",'R.M Billets Reports'!D1382)+1,200)),"")))))),IF(ROW()=2,"",A1381))</f>
      </c>
      <c r="B1382">
        <f>IF(OR('R.M Billets Reports'!A1381="Date-",'R.M Billets Reports'!A1381="Date:-"),'R.M Billets Reports'!B1381,IF(ROW()=2,"",B1381))</f>
      </c>
      <c r="C1382">
        <f>IF('R.M Billets Reports'!A1381="V.No.",'R.M Billets Reports'!B1381,IF(ROW()=2,"",C1381))</f>
      </c>
      <c r="D1382">
        <f>IF('R.M Billets Reports'!A1381&lt;&gt;"",'R.M Billets Reports'!A1381,IF(ROW()=2,"",D1381))</f>
      </c>
      <c r="E1382">
        <f>IF('R.M Billets Reports'!B1381="","",TRIM('R.M Billets Reports'!B1381))</f>
      </c>
      <c r="F1382">
        <f>'R.M Billets Reports'!C1381</f>
      </c>
      <c r="G1382">
        <f>'R.M Billets Reports'!D1381</f>
      </c>
      <c r="H1382">
        <f>'R.M Billets Reports'!E1381</f>
      </c>
      <c r="I1382">
        <f>'R.M Billets Reports'!F1381</f>
      </c>
      <c r="J1382">
        <f>'R.M Billets Reports'!G1381</f>
      </c>
      <c r="K1382">
        <f>'R.M Billets Reports'!H1381</f>
      </c>
      <c r="L1382">
        <f>IF('R.M Billets Reports'!I1381="","",'R.M Billets Reports'!I1381)</f>
      </c>
      <c r="M1382">
        <f t="shared" si="42"/>
      </c>
      <c r="N1382">
        <f>IF('R.M Billets Reports'!J1381="","",'R.M Billets Reports'!J1381)</f>
      </c>
      <c r="O1382">
        <f t="shared" si="43"/>
      </c>
      <c r="P1382">
        <f>IF('R.M Billets Reports'!A1381="SIZE",'R.M Billets Reports'!B1381,P1381)</f>
      </c>
    </row>
    <row r="1383" spans="1:16" x14ac:dyDescent="0.25">
      <c r="A1383">
        <f>IF(OR('R.M Billets Reports'!A1382="Date-",'R.M Billets Reports'!A1382="Date:-"),IF(IF(IF(ISNUMBER(SEARCH("Party Name:-",'R.M Billets Reports'!D1382)),TRIM('R.M Billets Reports'!F1382),IF(ISNUMBER(SEARCH("Party Name-",'R.M Billets Reports'!D1382)),TRIM(MID('R.M Billets Reports'!D1382,SEARCH("-",'R.M Billets Reports'!D1382)+1,200)),""))&lt;&gt;"",IF(ISNUMBER(SEARCH("Party Name:-",'R.M Billets Reports'!D1382)),TRIM('R.M Billets Reports'!F1382),IF(ISNUMBER(SEARCH("Party Name-",'R.M Billets Reports'!D1382)),TRIM(MID('R.M Billets Reports'!D1382,SEARCH("-",'R.M Billets Reports'!D1382)+1,200)),"")),IF(ISNUMBER(SEARCH("Party Name:-",'R.M Billets Reports'!D1383)),TRIM('R.M Billets Reports'!F1383),IF(ISNUMBER(SEARCH("Party Name-",'R.M Billets Reports'!D1383)),TRIM(MID('R.M Billets Reports'!D1383,SEARCH("-",'R.M Billets Reports'!D1383)+1,200)),"")))="VRKP ISPAT PVT LTD","VRKP",IF(IF(IF(ISNUMBER(SEARCH("Party Name:-",'R.M Billets Reports'!D1382)),TRIM('R.M Billets Reports'!F1382),IF(ISNUMBER(SEARCH("Party Name-",'R.M Billets Reports'!D1382)),TRIM(MID('R.M Billets Reports'!D1382,SEARCH("-",'R.M Billets Reports'!D1382)+1,200)),""))&lt;&gt;"",IF(ISNUMBER(SEARCH("Party Name:-",'R.M Billets Reports'!D1382)),TRIM('R.M Billets Reports'!F1382),IF(ISNUMBER(SEARCH("Party Name-",'R.M Billets Reports'!D1382)),TRIM(MID('R.M Billets Reports'!D1382,SEARCH("-",'R.M Billets Reports'!D1382)+1,200)),"")),IF(ISNUMBER(SEARCH("Party Name:-",'R.M Billets Reports'!D1383)),TRIM('R.M Billets Reports'!F1383),IF(ISNUMBER(SEARCH("Party Name-",'R.M Billets Reports'!D1383)),TRIM(MID('R.M Billets Reports'!D1383,SEARCH("-",'R.M Billets Reports'!D1383)+1,200)),"")))="SHRI RADHE","SHREE RADHE",IF(IF(IF(ISNUMBER(SEARCH("Party Name:-",'R.M Billets Reports'!D1382)),TRIM('R.M Billets Reports'!F1382),IF(ISNUMBER(SEARCH("Party Name-",'R.M Billets Reports'!D1382)),TRIM(MID('R.M Billets Reports'!D1382,SEARCH("-",'R.M Billets Reports'!D1382)+1,200)),""))&lt;&gt;"",IF(ISNUMBER(SEARCH("Party Name:-",'R.M Billets Reports'!D1382)),TRIM('R.M Billets Reports'!F1382),IF(ISNUMBER(SEARCH("Party Name-",'R.M Billets Reports'!D1382)),TRIM(MID('R.M Billets Reports'!D1382,SEARCH("-",'R.M Billets Reports'!D1382)+1,200)),"")),IF(ISNUMBER(SEARCH("Party Name:-",'R.M Billets Reports'!D1383)),TRIM('R.M Billets Reports'!F1383),IF(ISNUMBER(SEARCH("Party Name-",'R.M Billets Reports'!D1383)),TRIM(MID('R.M Billets Reports'!D1383,SEARCH("-",'R.M Billets Reports'!D1383)+1,200)),"")))="SHREE RADHE SHAKTI SPONGE AND POWER PVT. LTD.","SHREE RADHE",IF(IF(ISNUMBER(SEARCH("Party Name:-",'R.M Billets Reports'!D1382)),TRIM('R.M Billets Reports'!F1382),IF(ISNUMBER(SEARCH("Party Name-",'R.M Billets Reports'!D1382)),TRIM(MID('R.M Billets Reports'!D1382,SEARCH("-",'R.M Billets Reports'!D1382)+1,200)),""))&lt;&gt;"",IF(ISNUMBER(SEARCH("Party Name:-",'R.M Billets Reports'!D1382)),TRIM('R.M Billets Reports'!F1382),IF(ISNUMBER(SEARCH("Party Name-",'R.M Billets Reports'!D1382)),TRIM(MID('R.M Billets Reports'!D1382,SEARCH("-",'R.M Billets Reports'!D1382)+1,200)),"")),IF(ISNUMBER(SEARCH("Party Name:-",'R.M Billets Reports'!D1383)),TRIM('R.M Billets Reports'!F1383),IF(ISNUMBER(SEARCH("Party Name-",'R.M Billets Reports'!D1383)),TRIM(MID('R.M Billets Reports'!D1383,SEARCH("-",'R.M Billets Reports'!D1383)+1,200)),"")))))),IF(ROW()=2,"",A1382))</f>
      </c>
      <c r="B1383">
        <f>IF(OR('R.M Billets Reports'!A1382="Date-",'R.M Billets Reports'!A1382="Date:-"),'R.M Billets Reports'!B1382,IF(ROW()=2,"",B1382))</f>
      </c>
      <c r="C1383">
        <f>IF('R.M Billets Reports'!A1382="V.No.",'R.M Billets Reports'!B1382,IF(ROW()=2,"",C1382))</f>
      </c>
      <c r="D1383">
        <f>IF('R.M Billets Reports'!A1382&lt;&gt;"",'R.M Billets Reports'!A1382,IF(ROW()=2,"",D1382))</f>
      </c>
      <c r="E1383">
        <f>IF('R.M Billets Reports'!B1382="","",TRIM('R.M Billets Reports'!B1382))</f>
      </c>
      <c r="F1383">
        <f>'R.M Billets Reports'!C1382</f>
      </c>
      <c r="G1383">
        <f>'R.M Billets Reports'!D1382</f>
      </c>
      <c r="H1383">
        <f>'R.M Billets Reports'!E1382</f>
      </c>
      <c r="I1383">
        <f>'R.M Billets Reports'!F1382</f>
      </c>
      <c r="J1383">
        <f>'R.M Billets Reports'!G1382</f>
      </c>
      <c r="K1383">
        <f>'R.M Billets Reports'!H1382</f>
      </c>
      <c r="L1383">
        <f>IF('R.M Billets Reports'!I1382="","",'R.M Billets Reports'!I1382)</f>
      </c>
      <c r="M1383">
        <f t="shared" si="42"/>
      </c>
      <c r="N1383">
        <f>IF('R.M Billets Reports'!J1382="","",'R.M Billets Reports'!J1382)</f>
      </c>
      <c r="O1383">
        <f t="shared" si="43"/>
      </c>
      <c r="P1383">
        <f>IF('R.M Billets Reports'!A1382="SIZE",'R.M Billets Reports'!B1382,P1382)</f>
      </c>
    </row>
    <row r="1384" spans="1:16" x14ac:dyDescent="0.25">
      <c r="A1384">
        <f>IF(OR('R.M Billets Reports'!A1383="Date-",'R.M Billets Reports'!A1383="Date:-"),IF(IF(IF(ISNUMBER(SEARCH("Party Name:-",'R.M Billets Reports'!D1383)),TRIM('R.M Billets Reports'!F1383),IF(ISNUMBER(SEARCH("Party Name-",'R.M Billets Reports'!D1383)),TRIM(MID('R.M Billets Reports'!D1383,SEARCH("-",'R.M Billets Reports'!D1383)+1,200)),""))&lt;&gt;"",IF(ISNUMBER(SEARCH("Party Name:-",'R.M Billets Reports'!D1383)),TRIM('R.M Billets Reports'!F1383),IF(ISNUMBER(SEARCH("Party Name-",'R.M Billets Reports'!D1383)),TRIM(MID('R.M Billets Reports'!D1383,SEARCH("-",'R.M Billets Reports'!D1383)+1,200)),"")),IF(ISNUMBER(SEARCH("Party Name:-",'R.M Billets Reports'!D1384)),TRIM('R.M Billets Reports'!F1384),IF(ISNUMBER(SEARCH("Party Name-",'R.M Billets Reports'!D1384)),TRIM(MID('R.M Billets Reports'!D1384,SEARCH("-",'R.M Billets Reports'!D1384)+1,200)),"")))="VRKP ISPAT PVT LTD","VRKP",IF(IF(IF(ISNUMBER(SEARCH("Party Name:-",'R.M Billets Reports'!D1383)),TRIM('R.M Billets Reports'!F1383),IF(ISNUMBER(SEARCH("Party Name-",'R.M Billets Reports'!D1383)),TRIM(MID('R.M Billets Reports'!D1383,SEARCH("-",'R.M Billets Reports'!D1383)+1,200)),""))&lt;&gt;"",IF(ISNUMBER(SEARCH("Party Name:-",'R.M Billets Reports'!D1383)),TRIM('R.M Billets Reports'!F1383),IF(ISNUMBER(SEARCH("Party Name-",'R.M Billets Reports'!D1383)),TRIM(MID('R.M Billets Reports'!D1383,SEARCH("-",'R.M Billets Reports'!D1383)+1,200)),"")),IF(ISNUMBER(SEARCH("Party Name:-",'R.M Billets Reports'!D1384)),TRIM('R.M Billets Reports'!F1384),IF(ISNUMBER(SEARCH("Party Name-",'R.M Billets Reports'!D1384)),TRIM(MID('R.M Billets Reports'!D1384,SEARCH("-",'R.M Billets Reports'!D1384)+1,200)),"")))="SHRI RADHE","SHREE RADHE",IF(IF(IF(ISNUMBER(SEARCH("Party Name:-",'R.M Billets Reports'!D1383)),TRIM('R.M Billets Reports'!F1383),IF(ISNUMBER(SEARCH("Party Name-",'R.M Billets Reports'!D1383)),TRIM(MID('R.M Billets Reports'!D1383,SEARCH("-",'R.M Billets Reports'!D1383)+1,200)),""))&lt;&gt;"",IF(ISNUMBER(SEARCH("Party Name:-",'R.M Billets Reports'!D1383)),TRIM('R.M Billets Reports'!F1383),IF(ISNUMBER(SEARCH("Party Name-",'R.M Billets Reports'!D1383)),TRIM(MID('R.M Billets Reports'!D1383,SEARCH("-",'R.M Billets Reports'!D1383)+1,200)),"")),IF(ISNUMBER(SEARCH("Party Name:-",'R.M Billets Reports'!D1384)),TRIM('R.M Billets Reports'!F1384),IF(ISNUMBER(SEARCH("Party Name-",'R.M Billets Reports'!D1384)),TRIM(MID('R.M Billets Reports'!D1384,SEARCH("-",'R.M Billets Reports'!D1384)+1,200)),"")))="SHREE RADHE SHAKTI SPONGE AND POWER PVT. LTD.","SHREE RADHE",IF(IF(ISNUMBER(SEARCH("Party Name:-",'R.M Billets Reports'!D1383)),TRIM('R.M Billets Reports'!F1383),IF(ISNUMBER(SEARCH("Party Name-",'R.M Billets Reports'!D1383)),TRIM(MID('R.M Billets Reports'!D1383,SEARCH("-",'R.M Billets Reports'!D1383)+1,200)),""))&lt;&gt;"",IF(ISNUMBER(SEARCH("Party Name:-",'R.M Billets Reports'!D1383)),TRIM('R.M Billets Reports'!F1383),IF(ISNUMBER(SEARCH("Party Name-",'R.M Billets Reports'!D1383)),TRIM(MID('R.M Billets Reports'!D1383,SEARCH("-",'R.M Billets Reports'!D1383)+1,200)),"")),IF(ISNUMBER(SEARCH("Party Name:-",'R.M Billets Reports'!D1384)),TRIM('R.M Billets Reports'!F1384),IF(ISNUMBER(SEARCH("Party Name-",'R.M Billets Reports'!D1384)),TRIM(MID('R.M Billets Reports'!D1384,SEARCH("-",'R.M Billets Reports'!D1384)+1,200)),"")))))),IF(ROW()=2,"",A1383))</f>
      </c>
      <c r="B1384">
        <f>IF(OR('R.M Billets Reports'!A1383="Date-",'R.M Billets Reports'!A1383="Date:-"),'R.M Billets Reports'!B1383,IF(ROW()=2,"",B1383))</f>
      </c>
      <c r="C1384">
        <f>IF('R.M Billets Reports'!A1383="V.No.",'R.M Billets Reports'!B1383,IF(ROW()=2,"",C1383))</f>
      </c>
      <c r="D1384">
        <f>IF('R.M Billets Reports'!A1383&lt;&gt;"",'R.M Billets Reports'!A1383,IF(ROW()=2,"",D1383))</f>
      </c>
      <c r="E1384">
        <f>IF('R.M Billets Reports'!B1383="","",TRIM('R.M Billets Reports'!B1383))</f>
      </c>
      <c r="F1384">
        <f>'R.M Billets Reports'!C1383</f>
      </c>
      <c r="G1384">
        <f>'R.M Billets Reports'!D1383</f>
      </c>
      <c r="H1384">
        <f>'R.M Billets Reports'!E1383</f>
      </c>
      <c r="I1384">
        <f>'R.M Billets Reports'!F1383</f>
      </c>
      <c r="J1384">
        <f>'R.M Billets Reports'!G1383</f>
      </c>
      <c r="K1384">
        <f>'R.M Billets Reports'!H1383</f>
      </c>
      <c r="L1384">
        <f>IF('R.M Billets Reports'!I1383="","",'R.M Billets Reports'!I1383)</f>
      </c>
      <c r="M1384">
        <f t="shared" si="42"/>
      </c>
      <c r="N1384">
        <f>IF('R.M Billets Reports'!J1383="","",'R.M Billets Reports'!J1383)</f>
      </c>
      <c r="O1384">
        <f t="shared" si="43"/>
      </c>
      <c r="P1384">
        <f>IF('R.M Billets Reports'!A1383="SIZE",'R.M Billets Reports'!B1383,P1383)</f>
      </c>
    </row>
    <row r="1385" spans="1:16" x14ac:dyDescent="0.25">
      <c r="A1385">
        <f>IF(OR('R.M Billets Reports'!A1384="Date-",'R.M Billets Reports'!A1384="Date:-"),IF(IF(IF(ISNUMBER(SEARCH("Party Name:-",'R.M Billets Reports'!D1384)),TRIM('R.M Billets Reports'!F1384),IF(ISNUMBER(SEARCH("Party Name-",'R.M Billets Reports'!D1384)),TRIM(MID('R.M Billets Reports'!D1384,SEARCH("-",'R.M Billets Reports'!D1384)+1,200)),""))&lt;&gt;"",IF(ISNUMBER(SEARCH("Party Name:-",'R.M Billets Reports'!D1384)),TRIM('R.M Billets Reports'!F1384),IF(ISNUMBER(SEARCH("Party Name-",'R.M Billets Reports'!D1384)),TRIM(MID('R.M Billets Reports'!D1384,SEARCH("-",'R.M Billets Reports'!D1384)+1,200)),"")),IF(ISNUMBER(SEARCH("Party Name:-",'R.M Billets Reports'!D1385)),TRIM('R.M Billets Reports'!F1385),IF(ISNUMBER(SEARCH("Party Name-",'R.M Billets Reports'!D1385)),TRIM(MID('R.M Billets Reports'!D1385,SEARCH("-",'R.M Billets Reports'!D1385)+1,200)),"")))="VRKP ISPAT PVT LTD","VRKP",IF(IF(IF(ISNUMBER(SEARCH("Party Name:-",'R.M Billets Reports'!D1384)),TRIM('R.M Billets Reports'!F1384),IF(ISNUMBER(SEARCH("Party Name-",'R.M Billets Reports'!D1384)),TRIM(MID('R.M Billets Reports'!D1384,SEARCH("-",'R.M Billets Reports'!D1384)+1,200)),""))&lt;&gt;"",IF(ISNUMBER(SEARCH("Party Name:-",'R.M Billets Reports'!D1384)),TRIM('R.M Billets Reports'!F1384),IF(ISNUMBER(SEARCH("Party Name-",'R.M Billets Reports'!D1384)),TRIM(MID('R.M Billets Reports'!D1384,SEARCH("-",'R.M Billets Reports'!D1384)+1,200)),"")),IF(ISNUMBER(SEARCH("Party Name:-",'R.M Billets Reports'!D1385)),TRIM('R.M Billets Reports'!F1385),IF(ISNUMBER(SEARCH("Party Name-",'R.M Billets Reports'!D1385)),TRIM(MID('R.M Billets Reports'!D1385,SEARCH("-",'R.M Billets Reports'!D1385)+1,200)),"")))="SHRI RADHE","SHREE RADHE",IF(IF(IF(ISNUMBER(SEARCH("Party Name:-",'R.M Billets Reports'!D1384)),TRIM('R.M Billets Reports'!F1384),IF(ISNUMBER(SEARCH("Party Name-",'R.M Billets Reports'!D1384)),TRIM(MID('R.M Billets Reports'!D1384,SEARCH("-",'R.M Billets Reports'!D1384)+1,200)),""))&lt;&gt;"",IF(ISNUMBER(SEARCH("Party Name:-",'R.M Billets Reports'!D1384)),TRIM('R.M Billets Reports'!F1384),IF(ISNUMBER(SEARCH("Party Name-",'R.M Billets Reports'!D1384)),TRIM(MID('R.M Billets Reports'!D1384,SEARCH("-",'R.M Billets Reports'!D1384)+1,200)),"")),IF(ISNUMBER(SEARCH("Party Name:-",'R.M Billets Reports'!D1385)),TRIM('R.M Billets Reports'!F1385),IF(ISNUMBER(SEARCH("Party Name-",'R.M Billets Reports'!D1385)),TRIM(MID('R.M Billets Reports'!D1385,SEARCH("-",'R.M Billets Reports'!D1385)+1,200)),"")))="SHREE RADHE SHAKTI SPONGE AND POWER PVT. LTD.","SHREE RADHE",IF(IF(ISNUMBER(SEARCH("Party Name:-",'R.M Billets Reports'!D1384)),TRIM('R.M Billets Reports'!F1384),IF(ISNUMBER(SEARCH("Party Name-",'R.M Billets Reports'!D1384)),TRIM(MID('R.M Billets Reports'!D1384,SEARCH("-",'R.M Billets Reports'!D1384)+1,200)),""))&lt;&gt;"",IF(ISNUMBER(SEARCH("Party Name:-",'R.M Billets Reports'!D1384)),TRIM('R.M Billets Reports'!F1384),IF(ISNUMBER(SEARCH("Party Name-",'R.M Billets Reports'!D1384)),TRIM(MID('R.M Billets Reports'!D1384,SEARCH("-",'R.M Billets Reports'!D1384)+1,200)),"")),IF(ISNUMBER(SEARCH("Party Name:-",'R.M Billets Reports'!D1385)),TRIM('R.M Billets Reports'!F1385),IF(ISNUMBER(SEARCH("Party Name-",'R.M Billets Reports'!D1385)),TRIM(MID('R.M Billets Reports'!D1385,SEARCH("-",'R.M Billets Reports'!D1385)+1,200)),"")))))),IF(ROW()=2,"",A1384))</f>
      </c>
      <c r="B1385">
        <f>IF(OR('R.M Billets Reports'!A1384="Date-",'R.M Billets Reports'!A1384="Date:-"),'R.M Billets Reports'!B1384,IF(ROW()=2,"",B1384))</f>
      </c>
      <c r="C1385">
        <f>IF('R.M Billets Reports'!A1384="V.No.",'R.M Billets Reports'!B1384,IF(ROW()=2,"",C1384))</f>
      </c>
      <c r="D1385">
        <f>IF('R.M Billets Reports'!A1384&lt;&gt;"",'R.M Billets Reports'!A1384,IF(ROW()=2,"",D1384))</f>
      </c>
      <c r="E1385">
        <f>IF('R.M Billets Reports'!B1384="","",TRIM('R.M Billets Reports'!B1384))</f>
      </c>
      <c r="F1385">
        <f>'R.M Billets Reports'!C1384</f>
      </c>
      <c r="G1385">
        <f>'R.M Billets Reports'!D1384</f>
      </c>
      <c r="H1385">
        <f>'R.M Billets Reports'!E1384</f>
      </c>
      <c r="I1385">
        <f>'R.M Billets Reports'!F1384</f>
      </c>
      <c r="J1385">
        <f>'R.M Billets Reports'!G1384</f>
      </c>
      <c r="K1385">
        <f>'R.M Billets Reports'!H1384</f>
      </c>
      <c r="L1385">
        <f>IF('R.M Billets Reports'!I1384="","",'R.M Billets Reports'!I1384)</f>
      </c>
      <c r="M1385">
        <f t="shared" si="42"/>
      </c>
      <c r="N1385">
        <f>IF('R.M Billets Reports'!J1384="","",'R.M Billets Reports'!J1384)</f>
      </c>
      <c r="O1385">
        <f t="shared" si="43"/>
      </c>
      <c r="P1385">
        <f>IF('R.M Billets Reports'!A1384="SIZE",'R.M Billets Reports'!B1384,P1384)</f>
      </c>
    </row>
    <row r="1386" spans="1:16" x14ac:dyDescent="0.25">
      <c r="A1386">
        <f>IF(OR('R.M Billets Reports'!A1385="Date-",'R.M Billets Reports'!A1385="Date:-"),IF(IF(IF(ISNUMBER(SEARCH("Party Name:-",'R.M Billets Reports'!D1385)),TRIM('R.M Billets Reports'!F1385),IF(ISNUMBER(SEARCH("Party Name-",'R.M Billets Reports'!D1385)),TRIM(MID('R.M Billets Reports'!D1385,SEARCH("-",'R.M Billets Reports'!D1385)+1,200)),""))&lt;&gt;"",IF(ISNUMBER(SEARCH("Party Name:-",'R.M Billets Reports'!D1385)),TRIM('R.M Billets Reports'!F1385),IF(ISNUMBER(SEARCH("Party Name-",'R.M Billets Reports'!D1385)),TRIM(MID('R.M Billets Reports'!D1385,SEARCH("-",'R.M Billets Reports'!D1385)+1,200)),"")),IF(ISNUMBER(SEARCH("Party Name:-",'R.M Billets Reports'!D1386)),TRIM('R.M Billets Reports'!F1386),IF(ISNUMBER(SEARCH("Party Name-",'R.M Billets Reports'!D1386)),TRIM(MID('R.M Billets Reports'!D1386,SEARCH("-",'R.M Billets Reports'!D1386)+1,200)),"")))="VRKP ISPAT PVT LTD","VRKP",IF(IF(IF(ISNUMBER(SEARCH("Party Name:-",'R.M Billets Reports'!D1385)),TRIM('R.M Billets Reports'!F1385),IF(ISNUMBER(SEARCH("Party Name-",'R.M Billets Reports'!D1385)),TRIM(MID('R.M Billets Reports'!D1385,SEARCH("-",'R.M Billets Reports'!D1385)+1,200)),""))&lt;&gt;"",IF(ISNUMBER(SEARCH("Party Name:-",'R.M Billets Reports'!D1385)),TRIM('R.M Billets Reports'!F1385),IF(ISNUMBER(SEARCH("Party Name-",'R.M Billets Reports'!D1385)),TRIM(MID('R.M Billets Reports'!D1385,SEARCH("-",'R.M Billets Reports'!D1385)+1,200)),"")),IF(ISNUMBER(SEARCH("Party Name:-",'R.M Billets Reports'!D1386)),TRIM('R.M Billets Reports'!F1386),IF(ISNUMBER(SEARCH("Party Name-",'R.M Billets Reports'!D1386)),TRIM(MID('R.M Billets Reports'!D1386,SEARCH("-",'R.M Billets Reports'!D1386)+1,200)),"")))="SHRI RADHE","SHREE RADHE",IF(IF(IF(ISNUMBER(SEARCH("Party Name:-",'R.M Billets Reports'!D1385)),TRIM('R.M Billets Reports'!F1385),IF(ISNUMBER(SEARCH("Party Name-",'R.M Billets Reports'!D1385)),TRIM(MID('R.M Billets Reports'!D1385,SEARCH("-",'R.M Billets Reports'!D1385)+1,200)),""))&lt;&gt;"",IF(ISNUMBER(SEARCH("Party Name:-",'R.M Billets Reports'!D1385)),TRIM('R.M Billets Reports'!F1385),IF(ISNUMBER(SEARCH("Party Name-",'R.M Billets Reports'!D1385)),TRIM(MID('R.M Billets Reports'!D1385,SEARCH("-",'R.M Billets Reports'!D1385)+1,200)),"")),IF(ISNUMBER(SEARCH("Party Name:-",'R.M Billets Reports'!D1386)),TRIM('R.M Billets Reports'!F1386),IF(ISNUMBER(SEARCH("Party Name-",'R.M Billets Reports'!D1386)),TRIM(MID('R.M Billets Reports'!D1386,SEARCH("-",'R.M Billets Reports'!D1386)+1,200)),"")))="SHREE RADHE SHAKTI SPONGE AND POWER PVT. LTD.","SHREE RADHE",IF(IF(ISNUMBER(SEARCH("Party Name:-",'R.M Billets Reports'!D1385)),TRIM('R.M Billets Reports'!F1385),IF(ISNUMBER(SEARCH("Party Name-",'R.M Billets Reports'!D1385)),TRIM(MID('R.M Billets Reports'!D1385,SEARCH("-",'R.M Billets Reports'!D1385)+1,200)),""))&lt;&gt;"",IF(ISNUMBER(SEARCH("Party Name:-",'R.M Billets Reports'!D1385)),TRIM('R.M Billets Reports'!F1385),IF(ISNUMBER(SEARCH("Party Name-",'R.M Billets Reports'!D1385)),TRIM(MID('R.M Billets Reports'!D1385,SEARCH("-",'R.M Billets Reports'!D1385)+1,200)),"")),IF(ISNUMBER(SEARCH("Party Name:-",'R.M Billets Reports'!D1386)),TRIM('R.M Billets Reports'!F1386),IF(ISNUMBER(SEARCH("Party Name-",'R.M Billets Reports'!D1386)),TRIM(MID('R.M Billets Reports'!D1386,SEARCH("-",'R.M Billets Reports'!D1386)+1,200)),"")))))),IF(ROW()=2,"",A1385))</f>
      </c>
      <c r="B1386">
        <f>IF(OR('R.M Billets Reports'!A1385="Date-",'R.M Billets Reports'!A1385="Date:-"),'R.M Billets Reports'!B1385,IF(ROW()=2,"",B1385))</f>
      </c>
      <c r="C1386">
        <f>IF('R.M Billets Reports'!A1385="V.No.",'R.M Billets Reports'!B1385,IF(ROW()=2,"",C1385))</f>
      </c>
      <c r="D1386">
        <f>IF('R.M Billets Reports'!A1385&lt;&gt;"",'R.M Billets Reports'!A1385,IF(ROW()=2,"",D1385))</f>
      </c>
      <c r="E1386">
        <f>IF('R.M Billets Reports'!B1385="","",TRIM('R.M Billets Reports'!B1385))</f>
      </c>
      <c r="F1386">
        <f>'R.M Billets Reports'!C1385</f>
      </c>
      <c r="G1386">
        <f>'R.M Billets Reports'!D1385</f>
      </c>
      <c r="H1386">
        <f>'R.M Billets Reports'!E1385</f>
      </c>
      <c r="I1386">
        <f>'R.M Billets Reports'!F1385</f>
      </c>
      <c r="J1386">
        <f>'R.M Billets Reports'!G1385</f>
      </c>
      <c r="K1386">
        <f>'R.M Billets Reports'!H1385</f>
      </c>
      <c r="L1386">
        <f>IF('R.M Billets Reports'!I1385="","",'R.M Billets Reports'!I1385)</f>
      </c>
      <c r="M1386">
        <f t="shared" si="42"/>
      </c>
      <c r="N1386">
        <f>IF('R.M Billets Reports'!J1385="","",'R.M Billets Reports'!J1385)</f>
      </c>
      <c r="O1386">
        <f t="shared" si="43"/>
      </c>
      <c r="P1386">
        <f>IF('R.M Billets Reports'!A1385="SIZE",'R.M Billets Reports'!B1385,P1385)</f>
      </c>
    </row>
    <row r="1387" spans="1:16" x14ac:dyDescent="0.25">
      <c r="A1387">
        <f>IF(OR('R.M Billets Reports'!A1386="Date-",'R.M Billets Reports'!A1386="Date:-"),IF(IF(IF(ISNUMBER(SEARCH("Party Name:-",'R.M Billets Reports'!D1386)),TRIM('R.M Billets Reports'!F1386),IF(ISNUMBER(SEARCH("Party Name-",'R.M Billets Reports'!D1386)),TRIM(MID('R.M Billets Reports'!D1386,SEARCH("-",'R.M Billets Reports'!D1386)+1,200)),""))&lt;&gt;"",IF(ISNUMBER(SEARCH("Party Name:-",'R.M Billets Reports'!D1386)),TRIM('R.M Billets Reports'!F1386),IF(ISNUMBER(SEARCH("Party Name-",'R.M Billets Reports'!D1386)),TRIM(MID('R.M Billets Reports'!D1386,SEARCH("-",'R.M Billets Reports'!D1386)+1,200)),"")),IF(ISNUMBER(SEARCH("Party Name:-",'R.M Billets Reports'!D1387)),TRIM('R.M Billets Reports'!F1387),IF(ISNUMBER(SEARCH("Party Name-",'R.M Billets Reports'!D1387)),TRIM(MID('R.M Billets Reports'!D1387,SEARCH("-",'R.M Billets Reports'!D1387)+1,200)),"")))="VRKP ISPAT PVT LTD","VRKP",IF(IF(IF(ISNUMBER(SEARCH("Party Name:-",'R.M Billets Reports'!D1386)),TRIM('R.M Billets Reports'!F1386),IF(ISNUMBER(SEARCH("Party Name-",'R.M Billets Reports'!D1386)),TRIM(MID('R.M Billets Reports'!D1386,SEARCH("-",'R.M Billets Reports'!D1386)+1,200)),""))&lt;&gt;"",IF(ISNUMBER(SEARCH("Party Name:-",'R.M Billets Reports'!D1386)),TRIM('R.M Billets Reports'!F1386),IF(ISNUMBER(SEARCH("Party Name-",'R.M Billets Reports'!D1386)),TRIM(MID('R.M Billets Reports'!D1386,SEARCH("-",'R.M Billets Reports'!D1386)+1,200)),"")),IF(ISNUMBER(SEARCH("Party Name:-",'R.M Billets Reports'!D1387)),TRIM('R.M Billets Reports'!F1387),IF(ISNUMBER(SEARCH("Party Name-",'R.M Billets Reports'!D1387)),TRIM(MID('R.M Billets Reports'!D1387,SEARCH("-",'R.M Billets Reports'!D1387)+1,200)),"")))="SHRI RADHE","SHREE RADHE",IF(IF(IF(ISNUMBER(SEARCH("Party Name:-",'R.M Billets Reports'!D1386)),TRIM('R.M Billets Reports'!F1386),IF(ISNUMBER(SEARCH("Party Name-",'R.M Billets Reports'!D1386)),TRIM(MID('R.M Billets Reports'!D1386,SEARCH("-",'R.M Billets Reports'!D1386)+1,200)),""))&lt;&gt;"",IF(ISNUMBER(SEARCH("Party Name:-",'R.M Billets Reports'!D1386)),TRIM('R.M Billets Reports'!F1386),IF(ISNUMBER(SEARCH("Party Name-",'R.M Billets Reports'!D1386)),TRIM(MID('R.M Billets Reports'!D1386,SEARCH("-",'R.M Billets Reports'!D1386)+1,200)),"")),IF(ISNUMBER(SEARCH("Party Name:-",'R.M Billets Reports'!D1387)),TRIM('R.M Billets Reports'!F1387),IF(ISNUMBER(SEARCH("Party Name-",'R.M Billets Reports'!D1387)),TRIM(MID('R.M Billets Reports'!D1387,SEARCH("-",'R.M Billets Reports'!D1387)+1,200)),"")))="SHREE RADHE SHAKTI SPONGE AND POWER PVT. LTD.","SHREE RADHE",IF(IF(ISNUMBER(SEARCH("Party Name:-",'R.M Billets Reports'!D1386)),TRIM('R.M Billets Reports'!F1386),IF(ISNUMBER(SEARCH("Party Name-",'R.M Billets Reports'!D1386)),TRIM(MID('R.M Billets Reports'!D1386,SEARCH("-",'R.M Billets Reports'!D1386)+1,200)),""))&lt;&gt;"",IF(ISNUMBER(SEARCH("Party Name:-",'R.M Billets Reports'!D1386)),TRIM('R.M Billets Reports'!F1386),IF(ISNUMBER(SEARCH("Party Name-",'R.M Billets Reports'!D1386)),TRIM(MID('R.M Billets Reports'!D1386,SEARCH("-",'R.M Billets Reports'!D1386)+1,200)),"")),IF(ISNUMBER(SEARCH("Party Name:-",'R.M Billets Reports'!D1387)),TRIM('R.M Billets Reports'!F1387),IF(ISNUMBER(SEARCH("Party Name-",'R.M Billets Reports'!D1387)),TRIM(MID('R.M Billets Reports'!D1387,SEARCH("-",'R.M Billets Reports'!D1387)+1,200)),"")))))),IF(ROW()=2,"",A1386))</f>
      </c>
      <c r="B1387">
        <f>IF(OR('R.M Billets Reports'!A1386="Date-",'R.M Billets Reports'!A1386="Date:-"),'R.M Billets Reports'!B1386,IF(ROW()=2,"",B1386))</f>
      </c>
      <c r="C1387">
        <f>IF('R.M Billets Reports'!A1386="V.No.",'R.M Billets Reports'!B1386,IF(ROW()=2,"",C1386))</f>
      </c>
      <c r="D1387">
        <f>IF('R.M Billets Reports'!A1386&lt;&gt;"",'R.M Billets Reports'!A1386,IF(ROW()=2,"",D1386))</f>
      </c>
      <c r="E1387">
        <f>IF('R.M Billets Reports'!B1386="","",TRIM('R.M Billets Reports'!B1386))</f>
      </c>
      <c r="F1387">
        <f>'R.M Billets Reports'!C1386</f>
      </c>
      <c r="G1387">
        <f>'R.M Billets Reports'!D1386</f>
      </c>
      <c r="H1387">
        <f>'R.M Billets Reports'!E1386</f>
      </c>
      <c r="I1387">
        <f>'R.M Billets Reports'!F1386</f>
      </c>
      <c r="J1387">
        <f>'R.M Billets Reports'!G1386</f>
      </c>
      <c r="K1387">
        <f>'R.M Billets Reports'!H1386</f>
      </c>
      <c r="L1387">
        <f>IF('R.M Billets Reports'!I1386="","",'R.M Billets Reports'!I1386)</f>
      </c>
      <c r="M1387">
        <f t="shared" si="42"/>
      </c>
      <c r="N1387">
        <f>IF('R.M Billets Reports'!J1386="","",'R.M Billets Reports'!J1386)</f>
      </c>
      <c r="O1387">
        <f t="shared" si="43"/>
      </c>
      <c r="P1387">
        <f>IF('R.M Billets Reports'!A1386="SIZE",'R.M Billets Reports'!B1386,P1386)</f>
      </c>
    </row>
    <row r="1388" spans="1:16" x14ac:dyDescent="0.25">
      <c r="A1388">
        <f>IF(OR('R.M Billets Reports'!A1387="Date-",'R.M Billets Reports'!A1387="Date:-"),IF(IF(IF(ISNUMBER(SEARCH("Party Name:-",'R.M Billets Reports'!D1387)),TRIM('R.M Billets Reports'!F1387),IF(ISNUMBER(SEARCH("Party Name-",'R.M Billets Reports'!D1387)),TRIM(MID('R.M Billets Reports'!D1387,SEARCH("-",'R.M Billets Reports'!D1387)+1,200)),""))&lt;&gt;"",IF(ISNUMBER(SEARCH("Party Name:-",'R.M Billets Reports'!D1387)),TRIM('R.M Billets Reports'!F1387),IF(ISNUMBER(SEARCH("Party Name-",'R.M Billets Reports'!D1387)),TRIM(MID('R.M Billets Reports'!D1387,SEARCH("-",'R.M Billets Reports'!D1387)+1,200)),"")),IF(ISNUMBER(SEARCH("Party Name:-",'R.M Billets Reports'!D1388)),TRIM('R.M Billets Reports'!F1388),IF(ISNUMBER(SEARCH("Party Name-",'R.M Billets Reports'!D1388)),TRIM(MID('R.M Billets Reports'!D1388,SEARCH("-",'R.M Billets Reports'!D1388)+1,200)),"")))="VRKP ISPAT PVT LTD","VRKP",IF(IF(IF(ISNUMBER(SEARCH("Party Name:-",'R.M Billets Reports'!D1387)),TRIM('R.M Billets Reports'!F1387),IF(ISNUMBER(SEARCH("Party Name-",'R.M Billets Reports'!D1387)),TRIM(MID('R.M Billets Reports'!D1387,SEARCH("-",'R.M Billets Reports'!D1387)+1,200)),""))&lt;&gt;"",IF(ISNUMBER(SEARCH("Party Name:-",'R.M Billets Reports'!D1387)),TRIM('R.M Billets Reports'!F1387),IF(ISNUMBER(SEARCH("Party Name-",'R.M Billets Reports'!D1387)),TRIM(MID('R.M Billets Reports'!D1387,SEARCH("-",'R.M Billets Reports'!D1387)+1,200)),"")),IF(ISNUMBER(SEARCH("Party Name:-",'R.M Billets Reports'!D1388)),TRIM('R.M Billets Reports'!F1388),IF(ISNUMBER(SEARCH("Party Name-",'R.M Billets Reports'!D1388)),TRIM(MID('R.M Billets Reports'!D1388,SEARCH("-",'R.M Billets Reports'!D1388)+1,200)),"")))="SHRI RADHE","SHREE RADHE",IF(IF(IF(ISNUMBER(SEARCH("Party Name:-",'R.M Billets Reports'!D1387)),TRIM('R.M Billets Reports'!F1387),IF(ISNUMBER(SEARCH("Party Name-",'R.M Billets Reports'!D1387)),TRIM(MID('R.M Billets Reports'!D1387,SEARCH("-",'R.M Billets Reports'!D1387)+1,200)),""))&lt;&gt;"",IF(ISNUMBER(SEARCH("Party Name:-",'R.M Billets Reports'!D1387)),TRIM('R.M Billets Reports'!F1387),IF(ISNUMBER(SEARCH("Party Name-",'R.M Billets Reports'!D1387)),TRIM(MID('R.M Billets Reports'!D1387,SEARCH("-",'R.M Billets Reports'!D1387)+1,200)),"")),IF(ISNUMBER(SEARCH("Party Name:-",'R.M Billets Reports'!D1388)),TRIM('R.M Billets Reports'!F1388),IF(ISNUMBER(SEARCH("Party Name-",'R.M Billets Reports'!D1388)),TRIM(MID('R.M Billets Reports'!D1388,SEARCH("-",'R.M Billets Reports'!D1388)+1,200)),"")))="SHREE RADHE SHAKTI SPONGE AND POWER PVT. LTD.","SHREE RADHE",IF(IF(ISNUMBER(SEARCH("Party Name:-",'R.M Billets Reports'!D1387)),TRIM('R.M Billets Reports'!F1387),IF(ISNUMBER(SEARCH("Party Name-",'R.M Billets Reports'!D1387)),TRIM(MID('R.M Billets Reports'!D1387,SEARCH("-",'R.M Billets Reports'!D1387)+1,200)),""))&lt;&gt;"",IF(ISNUMBER(SEARCH("Party Name:-",'R.M Billets Reports'!D1387)),TRIM('R.M Billets Reports'!F1387),IF(ISNUMBER(SEARCH("Party Name-",'R.M Billets Reports'!D1387)),TRIM(MID('R.M Billets Reports'!D1387,SEARCH("-",'R.M Billets Reports'!D1387)+1,200)),"")),IF(ISNUMBER(SEARCH("Party Name:-",'R.M Billets Reports'!D1388)),TRIM('R.M Billets Reports'!F1388),IF(ISNUMBER(SEARCH("Party Name-",'R.M Billets Reports'!D1388)),TRIM(MID('R.M Billets Reports'!D1388,SEARCH("-",'R.M Billets Reports'!D1388)+1,200)),"")))))),IF(ROW()=2,"",A1387))</f>
      </c>
      <c r="B1388">
        <f>IF(OR('R.M Billets Reports'!A1387="Date-",'R.M Billets Reports'!A1387="Date:-"),'R.M Billets Reports'!B1387,IF(ROW()=2,"",B1387))</f>
      </c>
      <c r="C1388">
        <f>IF('R.M Billets Reports'!A1387="V.No.",'R.M Billets Reports'!B1387,IF(ROW()=2,"",C1387))</f>
      </c>
      <c r="D1388">
        <f>IF('R.M Billets Reports'!A1387&lt;&gt;"",'R.M Billets Reports'!A1387,IF(ROW()=2,"",D1387))</f>
      </c>
      <c r="E1388">
        <f>IF('R.M Billets Reports'!B1387="","",TRIM('R.M Billets Reports'!B1387))</f>
      </c>
      <c r="F1388">
        <f>'R.M Billets Reports'!C1387</f>
      </c>
      <c r="G1388">
        <f>'R.M Billets Reports'!D1387</f>
      </c>
      <c r="H1388">
        <f>'R.M Billets Reports'!E1387</f>
      </c>
      <c r="I1388">
        <f>'R.M Billets Reports'!F1387</f>
      </c>
      <c r="J1388">
        <f>'R.M Billets Reports'!G1387</f>
      </c>
      <c r="K1388">
        <f>'R.M Billets Reports'!H1387</f>
      </c>
      <c r="L1388">
        <f>IF('R.M Billets Reports'!I1387="","",'R.M Billets Reports'!I1387)</f>
      </c>
      <c r="M1388">
        <f t="shared" si="42"/>
      </c>
      <c r="N1388">
        <f>IF('R.M Billets Reports'!J1387="","",'R.M Billets Reports'!J1387)</f>
      </c>
      <c r="O1388">
        <f t="shared" si="43"/>
      </c>
      <c r="P1388">
        <f>IF('R.M Billets Reports'!A1387="SIZE",'R.M Billets Reports'!B1387,P1387)</f>
      </c>
    </row>
    <row r="1389" spans="1:16" x14ac:dyDescent="0.25">
      <c r="A1389">
        <f>IF(OR('R.M Billets Reports'!A1388="Date-",'R.M Billets Reports'!A1388="Date:-"),IF(IF(IF(ISNUMBER(SEARCH("Party Name:-",'R.M Billets Reports'!D1388)),TRIM('R.M Billets Reports'!F1388),IF(ISNUMBER(SEARCH("Party Name-",'R.M Billets Reports'!D1388)),TRIM(MID('R.M Billets Reports'!D1388,SEARCH("-",'R.M Billets Reports'!D1388)+1,200)),""))&lt;&gt;"",IF(ISNUMBER(SEARCH("Party Name:-",'R.M Billets Reports'!D1388)),TRIM('R.M Billets Reports'!F1388),IF(ISNUMBER(SEARCH("Party Name-",'R.M Billets Reports'!D1388)),TRIM(MID('R.M Billets Reports'!D1388,SEARCH("-",'R.M Billets Reports'!D1388)+1,200)),"")),IF(ISNUMBER(SEARCH("Party Name:-",'R.M Billets Reports'!D1389)),TRIM('R.M Billets Reports'!F1389),IF(ISNUMBER(SEARCH("Party Name-",'R.M Billets Reports'!D1389)),TRIM(MID('R.M Billets Reports'!D1389,SEARCH("-",'R.M Billets Reports'!D1389)+1,200)),"")))="VRKP ISPAT PVT LTD","VRKP",IF(IF(IF(ISNUMBER(SEARCH("Party Name:-",'R.M Billets Reports'!D1388)),TRIM('R.M Billets Reports'!F1388),IF(ISNUMBER(SEARCH("Party Name-",'R.M Billets Reports'!D1388)),TRIM(MID('R.M Billets Reports'!D1388,SEARCH("-",'R.M Billets Reports'!D1388)+1,200)),""))&lt;&gt;"",IF(ISNUMBER(SEARCH("Party Name:-",'R.M Billets Reports'!D1388)),TRIM('R.M Billets Reports'!F1388),IF(ISNUMBER(SEARCH("Party Name-",'R.M Billets Reports'!D1388)),TRIM(MID('R.M Billets Reports'!D1388,SEARCH("-",'R.M Billets Reports'!D1388)+1,200)),"")),IF(ISNUMBER(SEARCH("Party Name:-",'R.M Billets Reports'!D1389)),TRIM('R.M Billets Reports'!F1389),IF(ISNUMBER(SEARCH("Party Name-",'R.M Billets Reports'!D1389)),TRIM(MID('R.M Billets Reports'!D1389,SEARCH("-",'R.M Billets Reports'!D1389)+1,200)),"")))="SHRI RADHE","SHREE RADHE",IF(IF(IF(ISNUMBER(SEARCH("Party Name:-",'R.M Billets Reports'!D1388)),TRIM('R.M Billets Reports'!F1388),IF(ISNUMBER(SEARCH("Party Name-",'R.M Billets Reports'!D1388)),TRIM(MID('R.M Billets Reports'!D1388,SEARCH("-",'R.M Billets Reports'!D1388)+1,200)),""))&lt;&gt;"",IF(ISNUMBER(SEARCH("Party Name:-",'R.M Billets Reports'!D1388)),TRIM('R.M Billets Reports'!F1388),IF(ISNUMBER(SEARCH("Party Name-",'R.M Billets Reports'!D1388)),TRIM(MID('R.M Billets Reports'!D1388,SEARCH("-",'R.M Billets Reports'!D1388)+1,200)),"")),IF(ISNUMBER(SEARCH("Party Name:-",'R.M Billets Reports'!D1389)),TRIM('R.M Billets Reports'!F1389),IF(ISNUMBER(SEARCH("Party Name-",'R.M Billets Reports'!D1389)),TRIM(MID('R.M Billets Reports'!D1389,SEARCH("-",'R.M Billets Reports'!D1389)+1,200)),"")))="SHREE RADHE SHAKTI SPONGE AND POWER PVT. LTD.","SHREE RADHE",IF(IF(ISNUMBER(SEARCH("Party Name:-",'R.M Billets Reports'!D1388)),TRIM('R.M Billets Reports'!F1388),IF(ISNUMBER(SEARCH("Party Name-",'R.M Billets Reports'!D1388)),TRIM(MID('R.M Billets Reports'!D1388,SEARCH("-",'R.M Billets Reports'!D1388)+1,200)),""))&lt;&gt;"",IF(ISNUMBER(SEARCH("Party Name:-",'R.M Billets Reports'!D1388)),TRIM('R.M Billets Reports'!F1388),IF(ISNUMBER(SEARCH("Party Name-",'R.M Billets Reports'!D1388)),TRIM(MID('R.M Billets Reports'!D1388,SEARCH("-",'R.M Billets Reports'!D1388)+1,200)),"")),IF(ISNUMBER(SEARCH("Party Name:-",'R.M Billets Reports'!D1389)),TRIM('R.M Billets Reports'!F1389),IF(ISNUMBER(SEARCH("Party Name-",'R.M Billets Reports'!D1389)),TRIM(MID('R.M Billets Reports'!D1389,SEARCH("-",'R.M Billets Reports'!D1389)+1,200)),"")))))),IF(ROW()=2,"",A1388))</f>
      </c>
      <c r="B1389">
        <f>IF(OR('R.M Billets Reports'!A1388="Date-",'R.M Billets Reports'!A1388="Date:-"),'R.M Billets Reports'!B1388,IF(ROW()=2,"",B1388))</f>
      </c>
      <c r="C1389">
        <f>IF('R.M Billets Reports'!A1388="V.No.",'R.M Billets Reports'!B1388,IF(ROW()=2,"",C1388))</f>
      </c>
      <c r="D1389">
        <f>IF('R.M Billets Reports'!A1388&lt;&gt;"",'R.M Billets Reports'!A1388,IF(ROW()=2,"",D1388))</f>
      </c>
      <c r="E1389">
        <f>IF('R.M Billets Reports'!B1388="","",TRIM('R.M Billets Reports'!B1388))</f>
      </c>
      <c r="F1389">
        <f>'R.M Billets Reports'!C1388</f>
      </c>
      <c r="G1389">
        <f>'R.M Billets Reports'!D1388</f>
      </c>
      <c r="H1389">
        <f>'R.M Billets Reports'!E1388</f>
      </c>
      <c r="I1389">
        <f>'R.M Billets Reports'!F1388</f>
      </c>
      <c r="J1389">
        <f>'R.M Billets Reports'!G1388</f>
      </c>
      <c r="K1389">
        <f>'R.M Billets Reports'!H1388</f>
      </c>
      <c r="L1389">
        <f>IF('R.M Billets Reports'!I1388="","",'R.M Billets Reports'!I1388)</f>
      </c>
      <c r="M1389">
        <f t="shared" si="42"/>
      </c>
      <c r="N1389">
        <f>IF('R.M Billets Reports'!J1388="","",'R.M Billets Reports'!J1388)</f>
      </c>
      <c r="O1389">
        <f t="shared" si="43"/>
      </c>
      <c r="P1389">
        <f>IF('R.M Billets Reports'!A1388="SIZE",'R.M Billets Reports'!B1388,P1388)</f>
      </c>
    </row>
    <row r="1390" spans="1:16" x14ac:dyDescent="0.25">
      <c r="A1390">
        <f>IF(OR('R.M Billets Reports'!A1389="Date-",'R.M Billets Reports'!A1389="Date:-"),IF(IF(IF(ISNUMBER(SEARCH("Party Name:-",'R.M Billets Reports'!D1389)),TRIM('R.M Billets Reports'!F1389),IF(ISNUMBER(SEARCH("Party Name-",'R.M Billets Reports'!D1389)),TRIM(MID('R.M Billets Reports'!D1389,SEARCH("-",'R.M Billets Reports'!D1389)+1,200)),""))&lt;&gt;"",IF(ISNUMBER(SEARCH("Party Name:-",'R.M Billets Reports'!D1389)),TRIM('R.M Billets Reports'!F1389),IF(ISNUMBER(SEARCH("Party Name-",'R.M Billets Reports'!D1389)),TRIM(MID('R.M Billets Reports'!D1389,SEARCH("-",'R.M Billets Reports'!D1389)+1,200)),"")),IF(ISNUMBER(SEARCH("Party Name:-",'R.M Billets Reports'!D1390)),TRIM('R.M Billets Reports'!F1390),IF(ISNUMBER(SEARCH("Party Name-",'R.M Billets Reports'!D1390)),TRIM(MID('R.M Billets Reports'!D1390,SEARCH("-",'R.M Billets Reports'!D1390)+1,200)),"")))="VRKP ISPAT PVT LTD","VRKP",IF(IF(IF(ISNUMBER(SEARCH("Party Name:-",'R.M Billets Reports'!D1389)),TRIM('R.M Billets Reports'!F1389),IF(ISNUMBER(SEARCH("Party Name-",'R.M Billets Reports'!D1389)),TRIM(MID('R.M Billets Reports'!D1389,SEARCH("-",'R.M Billets Reports'!D1389)+1,200)),""))&lt;&gt;"",IF(ISNUMBER(SEARCH("Party Name:-",'R.M Billets Reports'!D1389)),TRIM('R.M Billets Reports'!F1389),IF(ISNUMBER(SEARCH("Party Name-",'R.M Billets Reports'!D1389)),TRIM(MID('R.M Billets Reports'!D1389,SEARCH("-",'R.M Billets Reports'!D1389)+1,200)),"")),IF(ISNUMBER(SEARCH("Party Name:-",'R.M Billets Reports'!D1390)),TRIM('R.M Billets Reports'!F1390),IF(ISNUMBER(SEARCH("Party Name-",'R.M Billets Reports'!D1390)),TRIM(MID('R.M Billets Reports'!D1390,SEARCH("-",'R.M Billets Reports'!D1390)+1,200)),"")))="SHRI RADHE","SHREE RADHE",IF(IF(IF(ISNUMBER(SEARCH("Party Name:-",'R.M Billets Reports'!D1389)),TRIM('R.M Billets Reports'!F1389),IF(ISNUMBER(SEARCH("Party Name-",'R.M Billets Reports'!D1389)),TRIM(MID('R.M Billets Reports'!D1389,SEARCH("-",'R.M Billets Reports'!D1389)+1,200)),""))&lt;&gt;"",IF(ISNUMBER(SEARCH("Party Name:-",'R.M Billets Reports'!D1389)),TRIM('R.M Billets Reports'!F1389),IF(ISNUMBER(SEARCH("Party Name-",'R.M Billets Reports'!D1389)),TRIM(MID('R.M Billets Reports'!D1389,SEARCH("-",'R.M Billets Reports'!D1389)+1,200)),"")),IF(ISNUMBER(SEARCH("Party Name:-",'R.M Billets Reports'!D1390)),TRIM('R.M Billets Reports'!F1390),IF(ISNUMBER(SEARCH("Party Name-",'R.M Billets Reports'!D1390)),TRIM(MID('R.M Billets Reports'!D1390,SEARCH("-",'R.M Billets Reports'!D1390)+1,200)),"")))="SHREE RADHE SHAKTI SPONGE AND POWER PVT. LTD.","SHREE RADHE",IF(IF(ISNUMBER(SEARCH("Party Name:-",'R.M Billets Reports'!D1389)),TRIM('R.M Billets Reports'!F1389),IF(ISNUMBER(SEARCH("Party Name-",'R.M Billets Reports'!D1389)),TRIM(MID('R.M Billets Reports'!D1389,SEARCH("-",'R.M Billets Reports'!D1389)+1,200)),""))&lt;&gt;"",IF(ISNUMBER(SEARCH("Party Name:-",'R.M Billets Reports'!D1389)),TRIM('R.M Billets Reports'!F1389),IF(ISNUMBER(SEARCH("Party Name-",'R.M Billets Reports'!D1389)),TRIM(MID('R.M Billets Reports'!D1389,SEARCH("-",'R.M Billets Reports'!D1389)+1,200)),"")),IF(ISNUMBER(SEARCH("Party Name:-",'R.M Billets Reports'!D1390)),TRIM('R.M Billets Reports'!F1390),IF(ISNUMBER(SEARCH("Party Name-",'R.M Billets Reports'!D1390)),TRIM(MID('R.M Billets Reports'!D1390,SEARCH("-",'R.M Billets Reports'!D1390)+1,200)),"")))))),IF(ROW()=2,"",A1389))</f>
      </c>
      <c r="B1390">
        <f>IF(OR('R.M Billets Reports'!A1389="Date-",'R.M Billets Reports'!A1389="Date:-"),'R.M Billets Reports'!B1389,IF(ROW()=2,"",B1389))</f>
      </c>
      <c r="C1390">
        <f>IF('R.M Billets Reports'!A1389="V.No.",'R.M Billets Reports'!B1389,IF(ROW()=2,"",C1389))</f>
      </c>
      <c r="D1390">
        <f>IF('R.M Billets Reports'!A1389&lt;&gt;"",'R.M Billets Reports'!A1389,IF(ROW()=2,"",D1389))</f>
      </c>
      <c r="E1390">
        <f>IF('R.M Billets Reports'!B1389="","",TRIM('R.M Billets Reports'!B1389))</f>
      </c>
      <c r="F1390">
        <f>'R.M Billets Reports'!C1389</f>
      </c>
      <c r="G1390">
        <f>'R.M Billets Reports'!D1389</f>
      </c>
      <c r="H1390">
        <f>'R.M Billets Reports'!E1389</f>
      </c>
      <c r="I1390">
        <f>'R.M Billets Reports'!F1389</f>
      </c>
      <c r="J1390">
        <f>'R.M Billets Reports'!G1389</f>
      </c>
      <c r="K1390">
        <f>'R.M Billets Reports'!H1389</f>
      </c>
      <c r="L1390">
        <f>IF('R.M Billets Reports'!I1389="","",'R.M Billets Reports'!I1389)</f>
      </c>
      <c r="M1390">
        <f t="shared" si="42"/>
      </c>
      <c r="N1390">
        <f>IF('R.M Billets Reports'!J1389="","",'R.M Billets Reports'!J1389)</f>
      </c>
      <c r="O1390">
        <f t="shared" si="43"/>
      </c>
      <c r="P1390">
        <f>IF('R.M Billets Reports'!A1389="SIZE",'R.M Billets Reports'!B1389,P1389)</f>
      </c>
    </row>
    <row r="1391" spans="1:16" x14ac:dyDescent="0.25">
      <c r="A1391">
        <f>IF(OR('R.M Billets Reports'!A1390="Date-",'R.M Billets Reports'!A1390="Date:-"),IF(IF(IF(ISNUMBER(SEARCH("Party Name:-",'R.M Billets Reports'!D1390)),TRIM('R.M Billets Reports'!F1390),IF(ISNUMBER(SEARCH("Party Name-",'R.M Billets Reports'!D1390)),TRIM(MID('R.M Billets Reports'!D1390,SEARCH("-",'R.M Billets Reports'!D1390)+1,200)),""))&lt;&gt;"",IF(ISNUMBER(SEARCH("Party Name:-",'R.M Billets Reports'!D1390)),TRIM('R.M Billets Reports'!F1390),IF(ISNUMBER(SEARCH("Party Name-",'R.M Billets Reports'!D1390)),TRIM(MID('R.M Billets Reports'!D1390,SEARCH("-",'R.M Billets Reports'!D1390)+1,200)),"")),IF(ISNUMBER(SEARCH("Party Name:-",'R.M Billets Reports'!D1391)),TRIM('R.M Billets Reports'!F1391),IF(ISNUMBER(SEARCH("Party Name-",'R.M Billets Reports'!D1391)),TRIM(MID('R.M Billets Reports'!D1391,SEARCH("-",'R.M Billets Reports'!D1391)+1,200)),"")))="VRKP ISPAT PVT LTD","VRKP",IF(IF(IF(ISNUMBER(SEARCH("Party Name:-",'R.M Billets Reports'!D1390)),TRIM('R.M Billets Reports'!F1390),IF(ISNUMBER(SEARCH("Party Name-",'R.M Billets Reports'!D1390)),TRIM(MID('R.M Billets Reports'!D1390,SEARCH("-",'R.M Billets Reports'!D1390)+1,200)),""))&lt;&gt;"",IF(ISNUMBER(SEARCH("Party Name:-",'R.M Billets Reports'!D1390)),TRIM('R.M Billets Reports'!F1390),IF(ISNUMBER(SEARCH("Party Name-",'R.M Billets Reports'!D1390)),TRIM(MID('R.M Billets Reports'!D1390,SEARCH("-",'R.M Billets Reports'!D1390)+1,200)),"")),IF(ISNUMBER(SEARCH("Party Name:-",'R.M Billets Reports'!D1391)),TRIM('R.M Billets Reports'!F1391),IF(ISNUMBER(SEARCH("Party Name-",'R.M Billets Reports'!D1391)),TRIM(MID('R.M Billets Reports'!D1391,SEARCH("-",'R.M Billets Reports'!D1391)+1,200)),"")))="SHRI RADHE","SHREE RADHE",IF(IF(IF(ISNUMBER(SEARCH("Party Name:-",'R.M Billets Reports'!D1390)),TRIM('R.M Billets Reports'!F1390),IF(ISNUMBER(SEARCH("Party Name-",'R.M Billets Reports'!D1390)),TRIM(MID('R.M Billets Reports'!D1390,SEARCH("-",'R.M Billets Reports'!D1390)+1,200)),""))&lt;&gt;"",IF(ISNUMBER(SEARCH("Party Name:-",'R.M Billets Reports'!D1390)),TRIM('R.M Billets Reports'!F1390),IF(ISNUMBER(SEARCH("Party Name-",'R.M Billets Reports'!D1390)),TRIM(MID('R.M Billets Reports'!D1390,SEARCH("-",'R.M Billets Reports'!D1390)+1,200)),"")),IF(ISNUMBER(SEARCH("Party Name:-",'R.M Billets Reports'!D1391)),TRIM('R.M Billets Reports'!F1391),IF(ISNUMBER(SEARCH("Party Name-",'R.M Billets Reports'!D1391)),TRIM(MID('R.M Billets Reports'!D1391,SEARCH("-",'R.M Billets Reports'!D1391)+1,200)),"")))="SHREE RADHE SHAKTI SPONGE AND POWER PVT. LTD.","SHREE RADHE",IF(IF(ISNUMBER(SEARCH("Party Name:-",'R.M Billets Reports'!D1390)),TRIM('R.M Billets Reports'!F1390),IF(ISNUMBER(SEARCH("Party Name-",'R.M Billets Reports'!D1390)),TRIM(MID('R.M Billets Reports'!D1390,SEARCH("-",'R.M Billets Reports'!D1390)+1,200)),""))&lt;&gt;"",IF(ISNUMBER(SEARCH("Party Name:-",'R.M Billets Reports'!D1390)),TRIM('R.M Billets Reports'!F1390),IF(ISNUMBER(SEARCH("Party Name-",'R.M Billets Reports'!D1390)),TRIM(MID('R.M Billets Reports'!D1390,SEARCH("-",'R.M Billets Reports'!D1390)+1,200)),"")),IF(ISNUMBER(SEARCH("Party Name:-",'R.M Billets Reports'!D1391)),TRIM('R.M Billets Reports'!F1391),IF(ISNUMBER(SEARCH("Party Name-",'R.M Billets Reports'!D1391)),TRIM(MID('R.M Billets Reports'!D1391,SEARCH("-",'R.M Billets Reports'!D1391)+1,200)),"")))))),IF(ROW()=2,"",A1390))</f>
      </c>
      <c r="B1391">
        <f>IF(OR('R.M Billets Reports'!A1390="Date-",'R.M Billets Reports'!A1390="Date:-"),'R.M Billets Reports'!B1390,IF(ROW()=2,"",B1390))</f>
      </c>
      <c r="C1391">
        <f>IF('R.M Billets Reports'!A1390="V.No.",'R.M Billets Reports'!B1390,IF(ROW()=2,"",C1390))</f>
      </c>
      <c r="D1391">
        <f>IF('R.M Billets Reports'!A1390&lt;&gt;"",'R.M Billets Reports'!A1390,IF(ROW()=2,"",D1390))</f>
      </c>
      <c r="E1391">
        <f>IF('R.M Billets Reports'!B1390="","",TRIM('R.M Billets Reports'!B1390))</f>
      </c>
      <c r="F1391">
        <f>'R.M Billets Reports'!C1390</f>
      </c>
      <c r="G1391">
        <f>'R.M Billets Reports'!D1390</f>
      </c>
      <c r="H1391">
        <f>'R.M Billets Reports'!E1390</f>
      </c>
      <c r="I1391">
        <f>'R.M Billets Reports'!F1390</f>
      </c>
      <c r="J1391">
        <f>'R.M Billets Reports'!G1390</f>
      </c>
      <c r="K1391">
        <f>'R.M Billets Reports'!H1390</f>
      </c>
      <c r="L1391">
        <f>IF('R.M Billets Reports'!I1390="","",'R.M Billets Reports'!I1390)</f>
      </c>
      <c r="M1391">
        <f t="shared" si="42"/>
      </c>
      <c r="N1391">
        <f>IF('R.M Billets Reports'!J1390="","",'R.M Billets Reports'!J1390)</f>
      </c>
      <c r="O1391">
        <f t="shared" si="43"/>
      </c>
      <c r="P1391">
        <f>IF('R.M Billets Reports'!A1390="SIZE",'R.M Billets Reports'!B1390,P1390)</f>
      </c>
    </row>
    <row r="1392" spans="1:16" x14ac:dyDescent="0.25">
      <c r="A1392">
        <f>IF(OR('R.M Billets Reports'!A1391="Date-",'R.M Billets Reports'!A1391="Date:-"),IF(IF(IF(ISNUMBER(SEARCH("Party Name:-",'R.M Billets Reports'!D1391)),TRIM('R.M Billets Reports'!F1391),IF(ISNUMBER(SEARCH("Party Name-",'R.M Billets Reports'!D1391)),TRIM(MID('R.M Billets Reports'!D1391,SEARCH("-",'R.M Billets Reports'!D1391)+1,200)),""))&lt;&gt;"",IF(ISNUMBER(SEARCH("Party Name:-",'R.M Billets Reports'!D1391)),TRIM('R.M Billets Reports'!F1391),IF(ISNUMBER(SEARCH("Party Name-",'R.M Billets Reports'!D1391)),TRIM(MID('R.M Billets Reports'!D1391,SEARCH("-",'R.M Billets Reports'!D1391)+1,200)),"")),IF(ISNUMBER(SEARCH("Party Name:-",'R.M Billets Reports'!D1392)),TRIM('R.M Billets Reports'!F1392),IF(ISNUMBER(SEARCH("Party Name-",'R.M Billets Reports'!D1392)),TRIM(MID('R.M Billets Reports'!D1392,SEARCH("-",'R.M Billets Reports'!D1392)+1,200)),"")))="VRKP ISPAT PVT LTD","VRKP",IF(IF(IF(ISNUMBER(SEARCH("Party Name:-",'R.M Billets Reports'!D1391)),TRIM('R.M Billets Reports'!F1391),IF(ISNUMBER(SEARCH("Party Name-",'R.M Billets Reports'!D1391)),TRIM(MID('R.M Billets Reports'!D1391,SEARCH("-",'R.M Billets Reports'!D1391)+1,200)),""))&lt;&gt;"",IF(ISNUMBER(SEARCH("Party Name:-",'R.M Billets Reports'!D1391)),TRIM('R.M Billets Reports'!F1391),IF(ISNUMBER(SEARCH("Party Name-",'R.M Billets Reports'!D1391)),TRIM(MID('R.M Billets Reports'!D1391,SEARCH("-",'R.M Billets Reports'!D1391)+1,200)),"")),IF(ISNUMBER(SEARCH("Party Name:-",'R.M Billets Reports'!D1392)),TRIM('R.M Billets Reports'!F1392),IF(ISNUMBER(SEARCH("Party Name-",'R.M Billets Reports'!D1392)),TRIM(MID('R.M Billets Reports'!D1392,SEARCH("-",'R.M Billets Reports'!D1392)+1,200)),"")))="SHRI RADHE","SHREE RADHE",IF(IF(IF(ISNUMBER(SEARCH("Party Name:-",'R.M Billets Reports'!D1391)),TRIM('R.M Billets Reports'!F1391),IF(ISNUMBER(SEARCH("Party Name-",'R.M Billets Reports'!D1391)),TRIM(MID('R.M Billets Reports'!D1391,SEARCH("-",'R.M Billets Reports'!D1391)+1,200)),""))&lt;&gt;"",IF(ISNUMBER(SEARCH("Party Name:-",'R.M Billets Reports'!D1391)),TRIM('R.M Billets Reports'!F1391),IF(ISNUMBER(SEARCH("Party Name-",'R.M Billets Reports'!D1391)),TRIM(MID('R.M Billets Reports'!D1391,SEARCH("-",'R.M Billets Reports'!D1391)+1,200)),"")),IF(ISNUMBER(SEARCH("Party Name:-",'R.M Billets Reports'!D1392)),TRIM('R.M Billets Reports'!F1392),IF(ISNUMBER(SEARCH("Party Name-",'R.M Billets Reports'!D1392)),TRIM(MID('R.M Billets Reports'!D1392,SEARCH("-",'R.M Billets Reports'!D1392)+1,200)),"")))="SHREE RADHE SHAKTI SPONGE AND POWER PVT. LTD.","SHREE RADHE",IF(IF(ISNUMBER(SEARCH("Party Name:-",'R.M Billets Reports'!D1391)),TRIM('R.M Billets Reports'!F1391),IF(ISNUMBER(SEARCH("Party Name-",'R.M Billets Reports'!D1391)),TRIM(MID('R.M Billets Reports'!D1391,SEARCH("-",'R.M Billets Reports'!D1391)+1,200)),""))&lt;&gt;"",IF(ISNUMBER(SEARCH("Party Name:-",'R.M Billets Reports'!D1391)),TRIM('R.M Billets Reports'!F1391),IF(ISNUMBER(SEARCH("Party Name-",'R.M Billets Reports'!D1391)),TRIM(MID('R.M Billets Reports'!D1391,SEARCH("-",'R.M Billets Reports'!D1391)+1,200)),"")),IF(ISNUMBER(SEARCH("Party Name:-",'R.M Billets Reports'!D1392)),TRIM('R.M Billets Reports'!F1392),IF(ISNUMBER(SEARCH("Party Name-",'R.M Billets Reports'!D1392)),TRIM(MID('R.M Billets Reports'!D1392,SEARCH("-",'R.M Billets Reports'!D1392)+1,200)),"")))))),IF(ROW()=2,"",A1391))</f>
      </c>
      <c r="B1392">
        <f>IF(OR('R.M Billets Reports'!A1391="Date-",'R.M Billets Reports'!A1391="Date:-"),'R.M Billets Reports'!B1391,IF(ROW()=2,"",B1391))</f>
      </c>
      <c r="C1392">
        <f>IF('R.M Billets Reports'!A1391="V.No.",'R.M Billets Reports'!B1391,IF(ROW()=2,"",C1391))</f>
      </c>
      <c r="D1392">
        <f>IF('R.M Billets Reports'!A1391&lt;&gt;"",'R.M Billets Reports'!A1391,IF(ROW()=2,"",D1391))</f>
      </c>
      <c r="E1392">
        <f>IF('R.M Billets Reports'!B1391="","",TRIM('R.M Billets Reports'!B1391))</f>
      </c>
      <c r="F1392">
        <f>'R.M Billets Reports'!C1391</f>
      </c>
      <c r="G1392">
        <f>'R.M Billets Reports'!D1391</f>
      </c>
      <c r="H1392">
        <f>'R.M Billets Reports'!E1391</f>
      </c>
      <c r="I1392">
        <f>'R.M Billets Reports'!F1391</f>
      </c>
      <c r="J1392">
        <f>'R.M Billets Reports'!G1391</f>
      </c>
      <c r="K1392">
        <f>'R.M Billets Reports'!H1391</f>
      </c>
      <c r="L1392">
        <f>IF('R.M Billets Reports'!I1391="","",'R.M Billets Reports'!I1391)</f>
      </c>
      <c r="M1392">
        <f t="shared" si="42"/>
      </c>
      <c r="N1392">
        <f>IF('R.M Billets Reports'!J1391="","",'R.M Billets Reports'!J1391)</f>
      </c>
      <c r="O1392">
        <f t="shared" si="43"/>
      </c>
      <c r="P1392">
        <f>IF('R.M Billets Reports'!A1391="SIZE",'R.M Billets Reports'!B1391,P1391)</f>
      </c>
    </row>
    <row r="1393" spans="1:16" x14ac:dyDescent="0.25">
      <c r="A1393">
        <f>IF(OR('R.M Billets Reports'!A1392="Date-",'R.M Billets Reports'!A1392="Date:-"),IF(IF(IF(ISNUMBER(SEARCH("Party Name:-",'R.M Billets Reports'!D1392)),TRIM('R.M Billets Reports'!F1392),IF(ISNUMBER(SEARCH("Party Name-",'R.M Billets Reports'!D1392)),TRIM(MID('R.M Billets Reports'!D1392,SEARCH("-",'R.M Billets Reports'!D1392)+1,200)),""))&lt;&gt;"",IF(ISNUMBER(SEARCH("Party Name:-",'R.M Billets Reports'!D1392)),TRIM('R.M Billets Reports'!F1392),IF(ISNUMBER(SEARCH("Party Name-",'R.M Billets Reports'!D1392)),TRIM(MID('R.M Billets Reports'!D1392,SEARCH("-",'R.M Billets Reports'!D1392)+1,200)),"")),IF(ISNUMBER(SEARCH("Party Name:-",'R.M Billets Reports'!D1393)),TRIM('R.M Billets Reports'!F1393),IF(ISNUMBER(SEARCH("Party Name-",'R.M Billets Reports'!D1393)),TRIM(MID('R.M Billets Reports'!D1393,SEARCH("-",'R.M Billets Reports'!D1393)+1,200)),"")))="VRKP ISPAT PVT LTD","VRKP",IF(IF(IF(ISNUMBER(SEARCH("Party Name:-",'R.M Billets Reports'!D1392)),TRIM('R.M Billets Reports'!F1392),IF(ISNUMBER(SEARCH("Party Name-",'R.M Billets Reports'!D1392)),TRIM(MID('R.M Billets Reports'!D1392,SEARCH("-",'R.M Billets Reports'!D1392)+1,200)),""))&lt;&gt;"",IF(ISNUMBER(SEARCH("Party Name:-",'R.M Billets Reports'!D1392)),TRIM('R.M Billets Reports'!F1392),IF(ISNUMBER(SEARCH("Party Name-",'R.M Billets Reports'!D1392)),TRIM(MID('R.M Billets Reports'!D1392,SEARCH("-",'R.M Billets Reports'!D1392)+1,200)),"")),IF(ISNUMBER(SEARCH("Party Name:-",'R.M Billets Reports'!D1393)),TRIM('R.M Billets Reports'!F1393),IF(ISNUMBER(SEARCH("Party Name-",'R.M Billets Reports'!D1393)),TRIM(MID('R.M Billets Reports'!D1393,SEARCH("-",'R.M Billets Reports'!D1393)+1,200)),"")))="SHRI RADHE","SHREE RADHE",IF(IF(IF(ISNUMBER(SEARCH("Party Name:-",'R.M Billets Reports'!D1392)),TRIM('R.M Billets Reports'!F1392),IF(ISNUMBER(SEARCH("Party Name-",'R.M Billets Reports'!D1392)),TRIM(MID('R.M Billets Reports'!D1392,SEARCH("-",'R.M Billets Reports'!D1392)+1,200)),""))&lt;&gt;"",IF(ISNUMBER(SEARCH("Party Name:-",'R.M Billets Reports'!D1392)),TRIM('R.M Billets Reports'!F1392),IF(ISNUMBER(SEARCH("Party Name-",'R.M Billets Reports'!D1392)),TRIM(MID('R.M Billets Reports'!D1392,SEARCH("-",'R.M Billets Reports'!D1392)+1,200)),"")),IF(ISNUMBER(SEARCH("Party Name:-",'R.M Billets Reports'!D1393)),TRIM('R.M Billets Reports'!F1393),IF(ISNUMBER(SEARCH("Party Name-",'R.M Billets Reports'!D1393)),TRIM(MID('R.M Billets Reports'!D1393,SEARCH("-",'R.M Billets Reports'!D1393)+1,200)),"")))="SHREE RADHE SHAKTI SPONGE AND POWER PVT. LTD.","SHREE RADHE",IF(IF(ISNUMBER(SEARCH("Party Name:-",'R.M Billets Reports'!D1392)),TRIM('R.M Billets Reports'!F1392),IF(ISNUMBER(SEARCH("Party Name-",'R.M Billets Reports'!D1392)),TRIM(MID('R.M Billets Reports'!D1392,SEARCH("-",'R.M Billets Reports'!D1392)+1,200)),""))&lt;&gt;"",IF(ISNUMBER(SEARCH("Party Name:-",'R.M Billets Reports'!D1392)),TRIM('R.M Billets Reports'!F1392),IF(ISNUMBER(SEARCH("Party Name-",'R.M Billets Reports'!D1392)),TRIM(MID('R.M Billets Reports'!D1392,SEARCH("-",'R.M Billets Reports'!D1392)+1,200)),"")),IF(ISNUMBER(SEARCH("Party Name:-",'R.M Billets Reports'!D1393)),TRIM('R.M Billets Reports'!F1393),IF(ISNUMBER(SEARCH("Party Name-",'R.M Billets Reports'!D1393)),TRIM(MID('R.M Billets Reports'!D1393,SEARCH("-",'R.M Billets Reports'!D1393)+1,200)),"")))))),IF(ROW()=2,"",A1392))</f>
      </c>
      <c r="B1393">
        <f>IF(OR('R.M Billets Reports'!A1392="Date-",'R.M Billets Reports'!A1392="Date:-"),'R.M Billets Reports'!B1392,IF(ROW()=2,"",B1392))</f>
      </c>
      <c r="C1393">
        <f>IF('R.M Billets Reports'!A1392="V.No.",'R.M Billets Reports'!B1392,IF(ROW()=2,"",C1392))</f>
      </c>
      <c r="D1393">
        <f>IF('R.M Billets Reports'!A1392&lt;&gt;"",'R.M Billets Reports'!A1392,IF(ROW()=2,"",D1392))</f>
      </c>
      <c r="E1393">
        <f>IF('R.M Billets Reports'!B1392="","",TRIM('R.M Billets Reports'!B1392))</f>
      </c>
      <c r="F1393">
        <f>'R.M Billets Reports'!C1392</f>
      </c>
      <c r="G1393">
        <f>'R.M Billets Reports'!D1392</f>
      </c>
      <c r="H1393">
        <f>'R.M Billets Reports'!E1392</f>
      </c>
      <c r="I1393">
        <f>'R.M Billets Reports'!F1392</f>
      </c>
      <c r="J1393">
        <f>'R.M Billets Reports'!G1392</f>
      </c>
      <c r="K1393">
        <f>'R.M Billets Reports'!H1392</f>
      </c>
      <c r="L1393">
        <f>IF('R.M Billets Reports'!I1392="","",'R.M Billets Reports'!I1392)</f>
      </c>
      <c r="M1393">
        <f t="shared" si="42"/>
      </c>
      <c r="N1393">
        <f>IF('R.M Billets Reports'!J1392="","",'R.M Billets Reports'!J1392)</f>
      </c>
      <c r="O1393">
        <f t="shared" si="43"/>
      </c>
      <c r="P1393">
        <f>IF('R.M Billets Reports'!A1392="SIZE",'R.M Billets Reports'!B1392,P1392)</f>
      </c>
    </row>
    <row r="1394" spans="1:16" x14ac:dyDescent="0.25">
      <c r="A1394">
        <f>IF(OR('R.M Billets Reports'!A1393="Date-",'R.M Billets Reports'!A1393="Date:-"),IF(IF(IF(ISNUMBER(SEARCH("Party Name:-",'R.M Billets Reports'!D1393)),TRIM('R.M Billets Reports'!F1393),IF(ISNUMBER(SEARCH("Party Name-",'R.M Billets Reports'!D1393)),TRIM(MID('R.M Billets Reports'!D1393,SEARCH("-",'R.M Billets Reports'!D1393)+1,200)),""))&lt;&gt;"",IF(ISNUMBER(SEARCH("Party Name:-",'R.M Billets Reports'!D1393)),TRIM('R.M Billets Reports'!F1393),IF(ISNUMBER(SEARCH("Party Name-",'R.M Billets Reports'!D1393)),TRIM(MID('R.M Billets Reports'!D1393,SEARCH("-",'R.M Billets Reports'!D1393)+1,200)),"")),IF(ISNUMBER(SEARCH("Party Name:-",'R.M Billets Reports'!D1394)),TRIM('R.M Billets Reports'!F1394),IF(ISNUMBER(SEARCH("Party Name-",'R.M Billets Reports'!D1394)),TRIM(MID('R.M Billets Reports'!D1394,SEARCH("-",'R.M Billets Reports'!D1394)+1,200)),"")))="VRKP ISPAT PVT LTD","VRKP",IF(IF(IF(ISNUMBER(SEARCH("Party Name:-",'R.M Billets Reports'!D1393)),TRIM('R.M Billets Reports'!F1393),IF(ISNUMBER(SEARCH("Party Name-",'R.M Billets Reports'!D1393)),TRIM(MID('R.M Billets Reports'!D1393,SEARCH("-",'R.M Billets Reports'!D1393)+1,200)),""))&lt;&gt;"",IF(ISNUMBER(SEARCH("Party Name:-",'R.M Billets Reports'!D1393)),TRIM('R.M Billets Reports'!F1393),IF(ISNUMBER(SEARCH("Party Name-",'R.M Billets Reports'!D1393)),TRIM(MID('R.M Billets Reports'!D1393,SEARCH("-",'R.M Billets Reports'!D1393)+1,200)),"")),IF(ISNUMBER(SEARCH("Party Name:-",'R.M Billets Reports'!D1394)),TRIM('R.M Billets Reports'!F1394),IF(ISNUMBER(SEARCH("Party Name-",'R.M Billets Reports'!D1394)),TRIM(MID('R.M Billets Reports'!D1394,SEARCH("-",'R.M Billets Reports'!D1394)+1,200)),"")))="SHRI RADHE","SHREE RADHE",IF(IF(IF(ISNUMBER(SEARCH("Party Name:-",'R.M Billets Reports'!D1393)),TRIM('R.M Billets Reports'!F1393),IF(ISNUMBER(SEARCH("Party Name-",'R.M Billets Reports'!D1393)),TRIM(MID('R.M Billets Reports'!D1393,SEARCH("-",'R.M Billets Reports'!D1393)+1,200)),""))&lt;&gt;"",IF(ISNUMBER(SEARCH("Party Name:-",'R.M Billets Reports'!D1393)),TRIM('R.M Billets Reports'!F1393),IF(ISNUMBER(SEARCH("Party Name-",'R.M Billets Reports'!D1393)),TRIM(MID('R.M Billets Reports'!D1393,SEARCH("-",'R.M Billets Reports'!D1393)+1,200)),"")),IF(ISNUMBER(SEARCH("Party Name:-",'R.M Billets Reports'!D1394)),TRIM('R.M Billets Reports'!F1394),IF(ISNUMBER(SEARCH("Party Name-",'R.M Billets Reports'!D1394)),TRIM(MID('R.M Billets Reports'!D1394,SEARCH("-",'R.M Billets Reports'!D1394)+1,200)),"")))="SHREE RADHE SHAKTI SPONGE AND POWER PVT. LTD.","SHREE RADHE",IF(IF(ISNUMBER(SEARCH("Party Name:-",'R.M Billets Reports'!D1393)),TRIM('R.M Billets Reports'!F1393),IF(ISNUMBER(SEARCH("Party Name-",'R.M Billets Reports'!D1393)),TRIM(MID('R.M Billets Reports'!D1393,SEARCH("-",'R.M Billets Reports'!D1393)+1,200)),""))&lt;&gt;"",IF(ISNUMBER(SEARCH("Party Name:-",'R.M Billets Reports'!D1393)),TRIM('R.M Billets Reports'!F1393),IF(ISNUMBER(SEARCH("Party Name-",'R.M Billets Reports'!D1393)),TRIM(MID('R.M Billets Reports'!D1393,SEARCH("-",'R.M Billets Reports'!D1393)+1,200)),"")),IF(ISNUMBER(SEARCH("Party Name:-",'R.M Billets Reports'!D1394)),TRIM('R.M Billets Reports'!F1394),IF(ISNUMBER(SEARCH("Party Name-",'R.M Billets Reports'!D1394)),TRIM(MID('R.M Billets Reports'!D1394,SEARCH("-",'R.M Billets Reports'!D1394)+1,200)),"")))))),IF(ROW()=2,"",A1393))</f>
      </c>
      <c r="B1394">
        <f>IF(OR('R.M Billets Reports'!A1393="Date-",'R.M Billets Reports'!A1393="Date:-"),'R.M Billets Reports'!B1393,IF(ROW()=2,"",B1393))</f>
      </c>
      <c r="C1394">
        <f>IF('R.M Billets Reports'!A1393="V.No.",'R.M Billets Reports'!B1393,IF(ROW()=2,"",C1393))</f>
      </c>
      <c r="D1394">
        <f>IF('R.M Billets Reports'!A1393&lt;&gt;"",'R.M Billets Reports'!A1393,IF(ROW()=2,"",D1393))</f>
      </c>
      <c r="E1394">
        <f>IF('R.M Billets Reports'!B1393="","",TRIM('R.M Billets Reports'!B1393))</f>
      </c>
      <c r="F1394">
        <f>'R.M Billets Reports'!C1393</f>
      </c>
      <c r="G1394">
        <f>'R.M Billets Reports'!D1393</f>
      </c>
      <c r="H1394">
        <f>'R.M Billets Reports'!E1393</f>
      </c>
      <c r="I1394">
        <f>'R.M Billets Reports'!F1393</f>
      </c>
      <c r="J1394">
        <f>'R.M Billets Reports'!G1393</f>
      </c>
      <c r="K1394">
        <f>'R.M Billets Reports'!H1393</f>
      </c>
      <c r="L1394">
        <f>IF('R.M Billets Reports'!I1393="","",'R.M Billets Reports'!I1393)</f>
      </c>
      <c r="M1394">
        <f t="shared" si="42"/>
      </c>
      <c r="N1394">
        <f>IF('R.M Billets Reports'!J1393="","",'R.M Billets Reports'!J1393)</f>
      </c>
      <c r="O1394">
        <f t="shared" si="43"/>
      </c>
      <c r="P1394">
        <f>IF('R.M Billets Reports'!A1393="SIZE",'R.M Billets Reports'!B1393,P1393)</f>
      </c>
    </row>
    <row r="1395" spans="1:16" x14ac:dyDescent="0.25">
      <c r="A1395">
        <f>IF(OR('R.M Billets Reports'!A1394="Date-",'R.M Billets Reports'!A1394="Date:-"),IF(IF(IF(ISNUMBER(SEARCH("Party Name:-",'R.M Billets Reports'!D1394)),TRIM('R.M Billets Reports'!F1394),IF(ISNUMBER(SEARCH("Party Name-",'R.M Billets Reports'!D1394)),TRIM(MID('R.M Billets Reports'!D1394,SEARCH("-",'R.M Billets Reports'!D1394)+1,200)),""))&lt;&gt;"",IF(ISNUMBER(SEARCH("Party Name:-",'R.M Billets Reports'!D1394)),TRIM('R.M Billets Reports'!F1394),IF(ISNUMBER(SEARCH("Party Name-",'R.M Billets Reports'!D1394)),TRIM(MID('R.M Billets Reports'!D1394,SEARCH("-",'R.M Billets Reports'!D1394)+1,200)),"")),IF(ISNUMBER(SEARCH("Party Name:-",'R.M Billets Reports'!D1395)),TRIM('R.M Billets Reports'!F1395),IF(ISNUMBER(SEARCH("Party Name-",'R.M Billets Reports'!D1395)),TRIM(MID('R.M Billets Reports'!D1395,SEARCH("-",'R.M Billets Reports'!D1395)+1,200)),"")))="VRKP ISPAT PVT LTD","VRKP",IF(IF(IF(ISNUMBER(SEARCH("Party Name:-",'R.M Billets Reports'!D1394)),TRIM('R.M Billets Reports'!F1394),IF(ISNUMBER(SEARCH("Party Name-",'R.M Billets Reports'!D1394)),TRIM(MID('R.M Billets Reports'!D1394,SEARCH("-",'R.M Billets Reports'!D1394)+1,200)),""))&lt;&gt;"",IF(ISNUMBER(SEARCH("Party Name:-",'R.M Billets Reports'!D1394)),TRIM('R.M Billets Reports'!F1394),IF(ISNUMBER(SEARCH("Party Name-",'R.M Billets Reports'!D1394)),TRIM(MID('R.M Billets Reports'!D1394,SEARCH("-",'R.M Billets Reports'!D1394)+1,200)),"")),IF(ISNUMBER(SEARCH("Party Name:-",'R.M Billets Reports'!D1395)),TRIM('R.M Billets Reports'!F1395),IF(ISNUMBER(SEARCH("Party Name-",'R.M Billets Reports'!D1395)),TRIM(MID('R.M Billets Reports'!D1395,SEARCH("-",'R.M Billets Reports'!D1395)+1,200)),"")))="SHRI RADHE","SHREE RADHE",IF(IF(IF(ISNUMBER(SEARCH("Party Name:-",'R.M Billets Reports'!D1394)),TRIM('R.M Billets Reports'!F1394),IF(ISNUMBER(SEARCH("Party Name-",'R.M Billets Reports'!D1394)),TRIM(MID('R.M Billets Reports'!D1394,SEARCH("-",'R.M Billets Reports'!D1394)+1,200)),""))&lt;&gt;"",IF(ISNUMBER(SEARCH("Party Name:-",'R.M Billets Reports'!D1394)),TRIM('R.M Billets Reports'!F1394),IF(ISNUMBER(SEARCH("Party Name-",'R.M Billets Reports'!D1394)),TRIM(MID('R.M Billets Reports'!D1394,SEARCH("-",'R.M Billets Reports'!D1394)+1,200)),"")),IF(ISNUMBER(SEARCH("Party Name:-",'R.M Billets Reports'!D1395)),TRIM('R.M Billets Reports'!F1395),IF(ISNUMBER(SEARCH("Party Name-",'R.M Billets Reports'!D1395)),TRIM(MID('R.M Billets Reports'!D1395,SEARCH("-",'R.M Billets Reports'!D1395)+1,200)),"")))="SHREE RADHE SHAKTI SPONGE AND POWER PVT. LTD.","SHREE RADHE",IF(IF(ISNUMBER(SEARCH("Party Name:-",'R.M Billets Reports'!D1394)),TRIM('R.M Billets Reports'!F1394),IF(ISNUMBER(SEARCH("Party Name-",'R.M Billets Reports'!D1394)),TRIM(MID('R.M Billets Reports'!D1394,SEARCH("-",'R.M Billets Reports'!D1394)+1,200)),""))&lt;&gt;"",IF(ISNUMBER(SEARCH("Party Name:-",'R.M Billets Reports'!D1394)),TRIM('R.M Billets Reports'!F1394),IF(ISNUMBER(SEARCH("Party Name-",'R.M Billets Reports'!D1394)),TRIM(MID('R.M Billets Reports'!D1394,SEARCH("-",'R.M Billets Reports'!D1394)+1,200)),"")),IF(ISNUMBER(SEARCH("Party Name:-",'R.M Billets Reports'!D1395)),TRIM('R.M Billets Reports'!F1395),IF(ISNUMBER(SEARCH("Party Name-",'R.M Billets Reports'!D1395)),TRIM(MID('R.M Billets Reports'!D1395,SEARCH("-",'R.M Billets Reports'!D1395)+1,200)),"")))))),IF(ROW()=2,"",A1394))</f>
      </c>
      <c r="B1395">
        <f>IF(OR('R.M Billets Reports'!A1394="Date-",'R.M Billets Reports'!A1394="Date:-"),'R.M Billets Reports'!B1394,IF(ROW()=2,"",B1394))</f>
      </c>
      <c r="C1395">
        <f>IF('R.M Billets Reports'!A1394="V.No.",'R.M Billets Reports'!B1394,IF(ROW()=2,"",C1394))</f>
      </c>
      <c r="D1395">
        <f>IF('R.M Billets Reports'!A1394&lt;&gt;"",'R.M Billets Reports'!A1394,IF(ROW()=2,"",D1394))</f>
      </c>
      <c r="E1395">
        <f>IF('R.M Billets Reports'!B1394="","",TRIM('R.M Billets Reports'!B1394))</f>
      </c>
      <c r="F1395">
        <f>'R.M Billets Reports'!C1394</f>
      </c>
      <c r="G1395">
        <f>'R.M Billets Reports'!D1394</f>
      </c>
      <c r="H1395">
        <f>'R.M Billets Reports'!E1394</f>
      </c>
      <c r="I1395">
        <f>'R.M Billets Reports'!F1394</f>
      </c>
      <c r="J1395">
        <f>'R.M Billets Reports'!G1394</f>
      </c>
      <c r="K1395">
        <f>'R.M Billets Reports'!H1394</f>
      </c>
      <c r="L1395">
        <f>IF('R.M Billets Reports'!I1394="","",'R.M Billets Reports'!I1394)</f>
      </c>
      <c r="M1395">
        <f t="shared" si="42"/>
      </c>
      <c r="N1395">
        <f>IF('R.M Billets Reports'!J1394="","",'R.M Billets Reports'!J1394)</f>
      </c>
      <c r="O1395">
        <f t="shared" si="43"/>
      </c>
      <c r="P1395">
        <f>IF('R.M Billets Reports'!A1394="SIZE",'R.M Billets Reports'!B1394,P1394)</f>
      </c>
    </row>
    <row r="1396" spans="1:16" x14ac:dyDescent="0.25">
      <c r="A1396">
        <f>IF(OR('R.M Billets Reports'!A1395="Date-",'R.M Billets Reports'!A1395="Date:-"),IF(IF(IF(ISNUMBER(SEARCH("Party Name:-",'R.M Billets Reports'!D1395)),TRIM('R.M Billets Reports'!F1395),IF(ISNUMBER(SEARCH("Party Name-",'R.M Billets Reports'!D1395)),TRIM(MID('R.M Billets Reports'!D1395,SEARCH("-",'R.M Billets Reports'!D1395)+1,200)),""))&lt;&gt;"",IF(ISNUMBER(SEARCH("Party Name:-",'R.M Billets Reports'!D1395)),TRIM('R.M Billets Reports'!F1395),IF(ISNUMBER(SEARCH("Party Name-",'R.M Billets Reports'!D1395)),TRIM(MID('R.M Billets Reports'!D1395,SEARCH("-",'R.M Billets Reports'!D1395)+1,200)),"")),IF(ISNUMBER(SEARCH("Party Name:-",'R.M Billets Reports'!D1396)),TRIM('R.M Billets Reports'!F1396),IF(ISNUMBER(SEARCH("Party Name-",'R.M Billets Reports'!D1396)),TRIM(MID('R.M Billets Reports'!D1396,SEARCH("-",'R.M Billets Reports'!D1396)+1,200)),"")))="VRKP ISPAT PVT LTD","VRKP",IF(IF(IF(ISNUMBER(SEARCH("Party Name:-",'R.M Billets Reports'!D1395)),TRIM('R.M Billets Reports'!F1395),IF(ISNUMBER(SEARCH("Party Name-",'R.M Billets Reports'!D1395)),TRIM(MID('R.M Billets Reports'!D1395,SEARCH("-",'R.M Billets Reports'!D1395)+1,200)),""))&lt;&gt;"",IF(ISNUMBER(SEARCH("Party Name:-",'R.M Billets Reports'!D1395)),TRIM('R.M Billets Reports'!F1395),IF(ISNUMBER(SEARCH("Party Name-",'R.M Billets Reports'!D1395)),TRIM(MID('R.M Billets Reports'!D1395,SEARCH("-",'R.M Billets Reports'!D1395)+1,200)),"")),IF(ISNUMBER(SEARCH("Party Name:-",'R.M Billets Reports'!D1396)),TRIM('R.M Billets Reports'!F1396),IF(ISNUMBER(SEARCH("Party Name-",'R.M Billets Reports'!D1396)),TRIM(MID('R.M Billets Reports'!D1396,SEARCH("-",'R.M Billets Reports'!D1396)+1,200)),"")))="SHRI RADHE","SHREE RADHE",IF(IF(IF(ISNUMBER(SEARCH("Party Name:-",'R.M Billets Reports'!D1395)),TRIM('R.M Billets Reports'!F1395),IF(ISNUMBER(SEARCH("Party Name-",'R.M Billets Reports'!D1395)),TRIM(MID('R.M Billets Reports'!D1395,SEARCH("-",'R.M Billets Reports'!D1395)+1,200)),""))&lt;&gt;"",IF(ISNUMBER(SEARCH("Party Name:-",'R.M Billets Reports'!D1395)),TRIM('R.M Billets Reports'!F1395),IF(ISNUMBER(SEARCH("Party Name-",'R.M Billets Reports'!D1395)),TRIM(MID('R.M Billets Reports'!D1395,SEARCH("-",'R.M Billets Reports'!D1395)+1,200)),"")),IF(ISNUMBER(SEARCH("Party Name:-",'R.M Billets Reports'!D1396)),TRIM('R.M Billets Reports'!F1396),IF(ISNUMBER(SEARCH("Party Name-",'R.M Billets Reports'!D1396)),TRIM(MID('R.M Billets Reports'!D1396,SEARCH("-",'R.M Billets Reports'!D1396)+1,200)),"")))="SHREE RADHE SHAKTI SPONGE AND POWER PVT. LTD.","SHREE RADHE",IF(IF(ISNUMBER(SEARCH("Party Name:-",'R.M Billets Reports'!D1395)),TRIM('R.M Billets Reports'!F1395),IF(ISNUMBER(SEARCH("Party Name-",'R.M Billets Reports'!D1395)),TRIM(MID('R.M Billets Reports'!D1395,SEARCH("-",'R.M Billets Reports'!D1395)+1,200)),""))&lt;&gt;"",IF(ISNUMBER(SEARCH("Party Name:-",'R.M Billets Reports'!D1395)),TRIM('R.M Billets Reports'!F1395),IF(ISNUMBER(SEARCH("Party Name-",'R.M Billets Reports'!D1395)),TRIM(MID('R.M Billets Reports'!D1395,SEARCH("-",'R.M Billets Reports'!D1395)+1,200)),"")),IF(ISNUMBER(SEARCH("Party Name:-",'R.M Billets Reports'!D1396)),TRIM('R.M Billets Reports'!F1396),IF(ISNUMBER(SEARCH("Party Name-",'R.M Billets Reports'!D1396)),TRIM(MID('R.M Billets Reports'!D1396,SEARCH("-",'R.M Billets Reports'!D1396)+1,200)),"")))))),IF(ROW()=2,"",A1395))</f>
      </c>
      <c r="B1396">
        <f>IF(OR('R.M Billets Reports'!A1395="Date-",'R.M Billets Reports'!A1395="Date:-"),'R.M Billets Reports'!B1395,IF(ROW()=2,"",B1395))</f>
      </c>
      <c r="C1396">
        <f>IF('R.M Billets Reports'!A1395="V.No.",'R.M Billets Reports'!B1395,IF(ROW()=2,"",C1395))</f>
      </c>
      <c r="D1396">
        <f>IF('R.M Billets Reports'!A1395&lt;&gt;"",'R.M Billets Reports'!A1395,IF(ROW()=2,"",D1395))</f>
      </c>
      <c r="E1396">
        <f>IF('R.M Billets Reports'!B1395="","",TRIM('R.M Billets Reports'!B1395))</f>
      </c>
      <c r="F1396">
        <f>'R.M Billets Reports'!C1395</f>
      </c>
      <c r="G1396">
        <f>'R.M Billets Reports'!D1395</f>
      </c>
      <c r="H1396">
        <f>'R.M Billets Reports'!E1395</f>
      </c>
      <c r="I1396">
        <f>'R.M Billets Reports'!F1395</f>
      </c>
      <c r="J1396">
        <f>'R.M Billets Reports'!G1395</f>
      </c>
      <c r="K1396">
        <f>'R.M Billets Reports'!H1395</f>
      </c>
      <c r="L1396">
        <f>IF('R.M Billets Reports'!I1395="","",'R.M Billets Reports'!I1395)</f>
      </c>
      <c r="M1396">
        <f t="shared" si="42"/>
      </c>
      <c r="N1396">
        <f>IF('R.M Billets Reports'!J1395="","",'R.M Billets Reports'!J1395)</f>
      </c>
      <c r="O1396">
        <f t="shared" si="43"/>
      </c>
      <c r="P1396">
        <f>IF('R.M Billets Reports'!A1395="SIZE",'R.M Billets Reports'!B1395,P1395)</f>
      </c>
    </row>
    <row r="1397" spans="1:16" x14ac:dyDescent="0.25">
      <c r="A1397">
        <f>IF(OR('R.M Billets Reports'!A1396="Date-",'R.M Billets Reports'!A1396="Date:-"),IF(IF(IF(ISNUMBER(SEARCH("Party Name:-",'R.M Billets Reports'!D1396)),TRIM('R.M Billets Reports'!F1396),IF(ISNUMBER(SEARCH("Party Name-",'R.M Billets Reports'!D1396)),TRIM(MID('R.M Billets Reports'!D1396,SEARCH("-",'R.M Billets Reports'!D1396)+1,200)),""))&lt;&gt;"",IF(ISNUMBER(SEARCH("Party Name:-",'R.M Billets Reports'!D1396)),TRIM('R.M Billets Reports'!F1396),IF(ISNUMBER(SEARCH("Party Name-",'R.M Billets Reports'!D1396)),TRIM(MID('R.M Billets Reports'!D1396,SEARCH("-",'R.M Billets Reports'!D1396)+1,200)),"")),IF(ISNUMBER(SEARCH("Party Name:-",'R.M Billets Reports'!D1397)),TRIM('R.M Billets Reports'!F1397),IF(ISNUMBER(SEARCH("Party Name-",'R.M Billets Reports'!D1397)),TRIM(MID('R.M Billets Reports'!D1397,SEARCH("-",'R.M Billets Reports'!D1397)+1,200)),"")))="VRKP ISPAT PVT LTD","VRKP",IF(IF(IF(ISNUMBER(SEARCH("Party Name:-",'R.M Billets Reports'!D1396)),TRIM('R.M Billets Reports'!F1396),IF(ISNUMBER(SEARCH("Party Name-",'R.M Billets Reports'!D1396)),TRIM(MID('R.M Billets Reports'!D1396,SEARCH("-",'R.M Billets Reports'!D1396)+1,200)),""))&lt;&gt;"",IF(ISNUMBER(SEARCH("Party Name:-",'R.M Billets Reports'!D1396)),TRIM('R.M Billets Reports'!F1396),IF(ISNUMBER(SEARCH("Party Name-",'R.M Billets Reports'!D1396)),TRIM(MID('R.M Billets Reports'!D1396,SEARCH("-",'R.M Billets Reports'!D1396)+1,200)),"")),IF(ISNUMBER(SEARCH("Party Name:-",'R.M Billets Reports'!D1397)),TRIM('R.M Billets Reports'!F1397),IF(ISNUMBER(SEARCH("Party Name-",'R.M Billets Reports'!D1397)),TRIM(MID('R.M Billets Reports'!D1397,SEARCH("-",'R.M Billets Reports'!D1397)+1,200)),"")))="SHRI RADHE","SHREE RADHE",IF(IF(IF(ISNUMBER(SEARCH("Party Name:-",'R.M Billets Reports'!D1396)),TRIM('R.M Billets Reports'!F1396),IF(ISNUMBER(SEARCH("Party Name-",'R.M Billets Reports'!D1396)),TRIM(MID('R.M Billets Reports'!D1396,SEARCH("-",'R.M Billets Reports'!D1396)+1,200)),""))&lt;&gt;"",IF(ISNUMBER(SEARCH("Party Name:-",'R.M Billets Reports'!D1396)),TRIM('R.M Billets Reports'!F1396),IF(ISNUMBER(SEARCH("Party Name-",'R.M Billets Reports'!D1396)),TRIM(MID('R.M Billets Reports'!D1396,SEARCH("-",'R.M Billets Reports'!D1396)+1,200)),"")),IF(ISNUMBER(SEARCH("Party Name:-",'R.M Billets Reports'!D1397)),TRIM('R.M Billets Reports'!F1397),IF(ISNUMBER(SEARCH("Party Name-",'R.M Billets Reports'!D1397)),TRIM(MID('R.M Billets Reports'!D1397,SEARCH("-",'R.M Billets Reports'!D1397)+1,200)),"")))="SHREE RADHE SHAKTI SPONGE AND POWER PVT. LTD.","SHREE RADHE",IF(IF(ISNUMBER(SEARCH("Party Name:-",'R.M Billets Reports'!D1396)),TRIM('R.M Billets Reports'!F1396),IF(ISNUMBER(SEARCH("Party Name-",'R.M Billets Reports'!D1396)),TRIM(MID('R.M Billets Reports'!D1396,SEARCH("-",'R.M Billets Reports'!D1396)+1,200)),""))&lt;&gt;"",IF(ISNUMBER(SEARCH("Party Name:-",'R.M Billets Reports'!D1396)),TRIM('R.M Billets Reports'!F1396),IF(ISNUMBER(SEARCH("Party Name-",'R.M Billets Reports'!D1396)),TRIM(MID('R.M Billets Reports'!D1396,SEARCH("-",'R.M Billets Reports'!D1396)+1,200)),"")),IF(ISNUMBER(SEARCH("Party Name:-",'R.M Billets Reports'!D1397)),TRIM('R.M Billets Reports'!F1397),IF(ISNUMBER(SEARCH("Party Name-",'R.M Billets Reports'!D1397)),TRIM(MID('R.M Billets Reports'!D1397,SEARCH("-",'R.M Billets Reports'!D1397)+1,200)),"")))))),IF(ROW()=2,"",A1396))</f>
      </c>
      <c r="B1397">
        <f>IF(OR('R.M Billets Reports'!A1396="Date-",'R.M Billets Reports'!A1396="Date:-"),'R.M Billets Reports'!B1396,IF(ROW()=2,"",B1396))</f>
      </c>
      <c r="C1397">
        <f>IF('R.M Billets Reports'!A1396="V.No.",'R.M Billets Reports'!B1396,IF(ROW()=2,"",C1396))</f>
      </c>
      <c r="D1397">
        <f>IF('R.M Billets Reports'!A1396&lt;&gt;"",'R.M Billets Reports'!A1396,IF(ROW()=2,"",D1396))</f>
      </c>
      <c r="E1397">
        <f>IF('R.M Billets Reports'!B1396="","",TRIM('R.M Billets Reports'!B1396))</f>
      </c>
      <c r="F1397">
        <f>'R.M Billets Reports'!C1396</f>
      </c>
      <c r="G1397">
        <f>'R.M Billets Reports'!D1396</f>
      </c>
      <c r="H1397">
        <f>'R.M Billets Reports'!E1396</f>
      </c>
      <c r="I1397">
        <f>'R.M Billets Reports'!F1396</f>
      </c>
      <c r="J1397">
        <f>'R.M Billets Reports'!G1396</f>
      </c>
      <c r="K1397">
        <f>'R.M Billets Reports'!H1396</f>
      </c>
      <c r="L1397">
        <f>IF('R.M Billets Reports'!I1396="","",'R.M Billets Reports'!I1396)</f>
      </c>
      <c r="M1397">
        <f t="shared" si="42"/>
      </c>
      <c r="N1397">
        <f>IF('R.M Billets Reports'!J1396="","",'R.M Billets Reports'!J1396)</f>
      </c>
      <c r="O1397">
        <f t="shared" si="43"/>
      </c>
      <c r="P1397">
        <f>IF('R.M Billets Reports'!A1396="SIZE",'R.M Billets Reports'!B1396,P1396)</f>
      </c>
    </row>
    <row r="1398" spans="1:16" x14ac:dyDescent="0.25">
      <c r="A1398">
        <f>IF(OR('R.M Billets Reports'!A1397="Date-",'R.M Billets Reports'!A1397="Date:-"),IF(IF(IF(ISNUMBER(SEARCH("Party Name:-",'R.M Billets Reports'!D1397)),TRIM('R.M Billets Reports'!F1397),IF(ISNUMBER(SEARCH("Party Name-",'R.M Billets Reports'!D1397)),TRIM(MID('R.M Billets Reports'!D1397,SEARCH("-",'R.M Billets Reports'!D1397)+1,200)),""))&lt;&gt;"",IF(ISNUMBER(SEARCH("Party Name:-",'R.M Billets Reports'!D1397)),TRIM('R.M Billets Reports'!F1397),IF(ISNUMBER(SEARCH("Party Name-",'R.M Billets Reports'!D1397)),TRIM(MID('R.M Billets Reports'!D1397,SEARCH("-",'R.M Billets Reports'!D1397)+1,200)),"")),IF(ISNUMBER(SEARCH("Party Name:-",'R.M Billets Reports'!D1398)),TRIM('R.M Billets Reports'!F1398),IF(ISNUMBER(SEARCH("Party Name-",'R.M Billets Reports'!D1398)),TRIM(MID('R.M Billets Reports'!D1398,SEARCH("-",'R.M Billets Reports'!D1398)+1,200)),"")))="VRKP ISPAT PVT LTD","VRKP",IF(IF(IF(ISNUMBER(SEARCH("Party Name:-",'R.M Billets Reports'!D1397)),TRIM('R.M Billets Reports'!F1397),IF(ISNUMBER(SEARCH("Party Name-",'R.M Billets Reports'!D1397)),TRIM(MID('R.M Billets Reports'!D1397,SEARCH("-",'R.M Billets Reports'!D1397)+1,200)),""))&lt;&gt;"",IF(ISNUMBER(SEARCH("Party Name:-",'R.M Billets Reports'!D1397)),TRIM('R.M Billets Reports'!F1397),IF(ISNUMBER(SEARCH("Party Name-",'R.M Billets Reports'!D1397)),TRIM(MID('R.M Billets Reports'!D1397,SEARCH("-",'R.M Billets Reports'!D1397)+1,200)),"")),IF(ISNUMBER(SEARCH("Party Name:-",'R.M Billets Reports'!D1398)),TRIM('R.M Billets Reports'!F1398),IF(ISNUMBER(SEARCH("Party Name-",'R.M Billets Reports'!D1398)),TRIM(MID('R.M Billets Reports'!D1398,SEARCH("-",'R.M Billets Reports'!D1398)+1,200)),"")))="SHRI RADHE","SHREE RADHE",IF(IF(IF(ISNUMBER(SEARCH("Party Name:-",'R.M Billets Reports'!D1397)),TRIM('R.M Billets Reports'!F1397),IF(ISNUMBER(SEARCH("Party Name-",'R.M Billets Reports'!D1397)),TRIM(MID('R.M Billets Reports'!D1397,SEARCH("-",'R.M Billets Reports'!D1397)+1,200)),""))&lt;&gt;"",IF(ISNUMBER(SEARCH("Party Name:-",'R.M Billets Reports'!D1397)),TRIM('R.M Billets Reports'!F1397),IF(ISNUMBER(SEARCH("Party Name-",'R.M Billets Reports'!D1397)),TRIM(MID('R.M Billets Reports'!D1397,SEARCH("-",'R.M Billets Reports'!D1397)+1,200)),"")),IF(ISNUMBER(SEARCH("Party Name:-",'R.M Billets Reports'!D1398)),TRIM('R.M Billets Reports'!F1398),IF(ISNUMBER(SEARCH("Party Name-",'R.M Billets Reports'!D1398)),TRIM(MID('R.M Billets Reports'!D1398,SEARCH("-",'R.M Billets Reports'!D1398)+1,200)),"")))="SHREE RADHE SHAKTI SPONGE AND POWER PVT. LTD.","SHREE RADHE",IF(IF(ISNUMBER(SEARCH("Party Name:-",'R.M Billets Reports'!D1397)),TRIM('R.M Billets Reports'!F1397),IF(ISNUMBER(SEARCH("Party Name-",'R.M Billets Reports'!D1397)),TRIM(MID('R.M Billets Reports'!D1397,SEARCH("-",'R.M Billets Reports'!D1397)+1,200)),""))&lt;&gt;"",IF(ISNUMBER(SEARCH("Party Name:-",'R.M Billets Reports'!D1397)),TRIM('R.M Billets Reports'!F1397),IF(ISNUMBER(SEARCH("Party Name-",'R.M Billets Reports'!D1397)),TRIM(MID('R.M Billets Reports'!D1397,SEARCH("-",'R.M Billets Reports'!D1397)+1,200)),"")),IF(ISNUMBER(SEARCH("Party Name:-",'R.M Billets Reports'!D1398)),TRIM('R.M Billets Reports'!F1398),IF(ISNUMBER(SEARCH("Party Name-",'R.M Billets Reports'!D1398)),TRIM(MID('R.M Billets Reports'!D1398,SEARCH("-",'R.M Billets Reports'!D1398)+1,200)),"")))))),IF(ROW()=2,"",A1397))</f>
      </c>
      <c r="B1398">
        <f>IF(OR('R.M Billets Reports'!A1397="Date-",'R.M Billets Reports'!A1397="Date:-"),'R.M Billets Reports'!B1397,IF(ROW()=2,"",B1397))</f>
      </c>
      <c r="C1398">
        <f>IF('R.M Billets Reports'!A1397="V.No.",'R.M Billets Reports'!B1397,IF(ROW()=2,"",C1397))</f>
      </c>
      <c r="D1398">
        <f>IF('R.M Billets Reports'!A1397&lt;&gt;"",'R.M Billets Reports'!A1397,IF(ROW()=2,"",D1397))</f>
      </c>
      <c r="E1398">
        <f>IF('R.M Billets Reports'!B1397="","",TRIM('R.M Billets Reports'!B1397))</f>
      </c>
      <c r="F1398">
        <f>'R.M Billets Reports'!C1397</f>
      </c>
      <c r="G1398">
        <f>'R.M Billets Reports'!D1397</f>
      </c>
      <c r="H1398">
        <f>'R.M Billets Reports'!E1397</f>
      </c>
      <c r="I1398">
        <f>'R.M Billets Reports'!F1397</f>
      </c>
      <c r="J1398">
        <f>'R.M Billets Reports'!G1397</f>
      </c>
      <c r="K1398">
        <f>'R.M Billets Reports'!H1397</f>
      </c>
      <c r="L1398">
        <f>IF('R.M Billets Reports'!I1397="","",'R.M Billets Reports'!I1397)</f>
      </c>
      <c r="M1398">
        <f t="shared" si="42"/>
      </c>
      <c r="N1398">
        <f>IF('R.M Billets Reports'!J1397="","",'R.M Billets Reports'!J1397)</f>
      </c>
      <c r="O1398">
        <f t="shared" si="43"/>
      </c>
      <c r="P1398">
        <f>IF('R.M Billets Reports'!A1397="SIZE",'R.M Billets Reports'!B1397,P1397)</f>
      </c>
    </row>
    <row r="1399" spans="1:16" x14ac:dyDescent="0.25">
      <c r="A1399">
        <f>IF(OR('R.M Billets Reports'!A1398="Date-",'R.M Billets Reports'!A1398="Date:-"),IF(IF(IF(ISNUMBER(SEARCH("Party Name:-",'R.M Billets Reports'!D1398)),TRIM('R.M Billets Reports'!F1398),IF(ISNUMBER(SEARCH("Party Name-",'R.M Billets Reports'!D1398)),TRIM(MID('R.M Billets Reports'!D1398,SEARCH("-",'R.M Billets Reports'!D1398)+1,200)),""))&lt;&gt;"",IF(ISNUMBER(SEARCH("Party Name:-",'R.M Billets Reports'!D1398)),TRIM('R.M Billets Reports'!F1398),IF(ISNUMBER(SEARCH("Party Name-",'R.M Billets Reports'!D1398)),TRIM(MID('R.M Billets Reports'!D1398,SEARCH("-",'R.M Billets Reports'!D1398)+1,200)),"")),IF(ISNUMBER(SEARCH("Party Name:-",'R.M Billets Reports'!D1399)),TRIM('R.M Billets Reports'!F1399),IF(ISNUMBER(SEARCH("Party Name-",'R.M Billets Reports'!D1399)),TRIM(MID('R.M Billets Reports'!D1399,SEARCH("-",'R.M Billets Reports'!D1399)+1,200)),"")))="VRKP ISPAT PVT LTD","VRKP",IF(IF(IF(ISNUMBER(SEARCH("Party Name:-",'R.M Billets Reports'!D1398)),TRIM('R.M Billets Reports'!F1398),IF(ISNUMBER(SEARCH("Party Name-",'R.M Billets Reports'!D1398)),TRIM(MID('R.M Billets Reports'!D1398,SEARCH("-",'R.M Billets Reports'!D1398)+1,200)),""))&lt;&gt;"",IF(ISNUMBER(SEARCH("Party Name:-",'R.M Billets Reports'!D1398)),TRIM('R.M Billets Reports'!F1398),IF(ISNUMBER(SEARCH("Party Name-",'R.M Billets Reports'!D1398)),TRIM(MID('R.M Billets Reports'!D1398,SEARCH("-",'R.M Billets Reports'!D1398)+1,200)),"")),IF(ISNUMBER(SEARCH("Party Name:-",'R.M Billets Reports'!D1399)),TRIM('R.M Billets Reports'!F1399),IF(ISNUMBER(SEARCH("Party Name-",'R.M Billets Reports'!D1399)),TRIM(MID('R.M Billets Reports'!D1399,SEARCH("-",'R.M Billets Reports'!D1399)+1,200)),"")))="SHRI RADHE","SHREE RADHE",IF(IF(IF(ISNUMBER(SEARCH("Party Name:-",'R.M Billets Reports'!D1398)),TRIM('R.M Billets Reports'!F1398),IF(ISNUMBER(SEARCH("Party Name-",'R.M Billets Reports'!D1398)),TRIM(MID('R.M Billets Reports'!D1398,SEARCH("-",'R.M Billets Reports'!D1398)+1,200)),""))&lt;&gt;"",IF(ISNUMBER(SEARCH("Party Name:-",'R.M Billets Reports'!D1398)),TRIM('R.M Billets Reports'!F1398),IF(ISNUMBER(SEARCH("Party Name-",'R.M Billets Reports'!D1398)),TRIM(MID('R.M Billets Reports'!D1398,SEARCH("-",'R.M Billets Reports'!D1398)+1,200)),"")),IF(ISNUMBER(SEARCH("Party Name:-",'R.M Billets Reports'!D1399)),TRIM('R.M Billets Reports'!F1399),IF(ISNUMBER(SEARCH("Party Name-",'R.M Billets Reports'!D1399)),TRIM(MID('R.M Billets Reports'!D1399,SEARCH("-",'R.M Billets Reports'!D1399)+1,200)),"")))="SHREE RADHE SHAKTI SPONGE AND POWER PVT. LTD.","SHREE RADHE",IF(IF(ISNUMBER(SEARCH("Party Name:-",'R.M Billets Reports'!D1398)),TRIM('R.M Billets Reports'!F1398),IF(ISNUMBER(SEARCH("Party Name-",'R.M Billets Reports'!D1398)),TRIM(MID('R.M Billets Reports'!D1398,SEARCH("-",'R.M Billets Reports'!D1398)+1,200)),""))&lt;&gt;"",IF(ISNUMBER(SEARCH("Party Name:-",'R.M Billets Reports'!D1398)),TRIM('R.M Billets Reports'!F1398),IF(ISNUMBER(SEARCH("Party Name-",'R.M Billets Reports'!D1398)),TRIM(MID('R.M Billets Reports'!D1398,SEARCH("-",'R.M Billets Reports'!D1398)+1,200)),"")),IF(ISNUMBER(SEARCH("Party Name:-",'R.M Billets Reports'!D1399)),TRIM('R.M Billets Reports'!F1399),IF(ISNUMBER(SEARCH("Party Name-",'R.M Billets Reports'!D1399)),TRIM(MID('R.M Billets Reports'!D1399,SEARCH("-",'R.M Billets Reports'!D1399)+1,200)),"")))))),IF(ROW()=2,"",A1398))</f>
      </c>
      <c r="B1399">
        <f>IF(OR('R.M Billets Reports'!A1398="Date-",'R.M Billets Reports'!A1398="Date:-"),'R.M Billets Reports'!B1398,IF(ROW()=2,"",B1398))</f>
      </c>
      <c r="C1399">
        <f>IF('R.M Billets Reports'!A1398="V.No.",'R.M Billets Reports'!B1398,IF(ROW()=2,"",C1398))</f>
      </c>
      <c r="D1399">
        <f>IF('R.M Billets Reports'!A1398&lt;&gt;"",'R.M Billets Reports'!A1398,IF(ROW()=2,"",D1398))</f>
      </c>
      <c r="E1399">
        <f>IF('R.M Billets Reports'!B1398="","",TRIM('R.M Billets Reports'!B1398))</f>
      </c>
      <c r="F1399">
        <f>'R.M Billets Reports'!C1398</f>
      </c>
      <c r="G1399">
        <f>'R.M Billets Reports'!D1398</f>
      </c>
      <c r="H1399">
        <f>'R.M Billets Reports'!E1398</f>
      </c>
      <c r="I1399">
        <f>'R.M Billets Reports'!F1398</f>
      </c>
      <c r="J1399">
        <f>'R.M Billets Reports'!G1398</f>
      </c>
      <c r="K1399">
        <f>'R.M Billets Reports'!H1398</f>
      </c>
      <c r="L1399">
        <f>IF('R.M Billets Reports'!I1398="","",'R.M Billets Reports'!I1398)</f>
      </c>
      <c r="M1399">
        <f t="shared" si="42"/>
      </c>
      <c r="N1399">
        <f>IF('R.M Billets Reports'!J1398="","",'R.M Billets Reports'!J1398)</f>
      </c>
      <c r="O1399">
        <f t="shared" si="43"/>
      </c>
      <c r="P1399">
        <f>IF('R.M Billets Reports'!A1398="SIZE",'R.M Billets Reports'!B1398,P1398)</f>
      </c>
    </row>
    <row r="1400" spans="1:16" x14ac:dyDescent="0.25">
      <c r="A1400">
        <f>IF(OR('R.M Billets Reports'!A1399="Date-",'R.M Billets Reports'!A1399="Date:-"),IF(IF(IF(ISNUMBER(SEARCH("Party Name:-",'R.M Billets Reports'!D1399)),TRIM('R.M Billets Reports'!F1399),IF(ISNUMBER(SEARCH("Party Name-",'R.M Billets Reports'!D1399)),TRIM(MID('R.M Billets Reports'!D1399,SEARCH("-",'R.M Billets Reports'!D1399)+1,200)),""))&lt;&gt;"",IF(ISNUMBER(SEARCH("Party Name:-",'R.M Billets Reports'!D1399)),TRIM('R.M Billets Reports'!F1399),IF(ISNUMBER(SEARCH("Party Name-",'R.M Billets Reports'!D1399)),TRIM(MID('R.M Billets Reports'!D1399,SEARCH("-",'R.M Billets Reports'!D1399)+1,200)),"")),IF(ISNUMBER(SEARCH("Party Name:-",'R.M Billets Reports'!D1400)),TRIM('R.M Billets Reports'!F1400),IF(ISNUMBER(SEARCH("Party Name-",'R.M Billets Reports'!D1400)),TRIM(MID('R.M Billets Reports'!D1400,SEARCH("-",'R.M Billets Reports'!D1400)+1,200)),"")))="VRKP ISPAT PVT LTD","VRKP",IF(IF(IF(ISNUMBER(SEARCH("Party Name:-",'R.M Billets Reports'!D1399)),TRIM('R.M Billets Reports'!F1399),IF(ISNUMBER(SEARCH("Party Name-",'R.M Billets Reports'!D1399)),TRIM(MID('R.M Billets Reports'!D1399,SEARCH("-",'R.M Billets Reports'!D1399)+1,200)),""))&lt;&gt;"",IF(ISNUMBER(SEARCH("Party Name:-",'R.M Billets Reports'!D1399)),TRIM('R.M Billets Reports'!F1399),IF(ISNUMBER(SEARCH("Party Name-",'R.M Billets Reports'!D1399)),TRIM(MID('R.M Billets Reports'!D1399,SEARCH("-",'R.M Billets Reports'!D1399)+1,200)),"")),IF(ISNUMBER(SEARCH("Party Name:-",'R.M Billets Reports'!D1400)),TRIM('R.M Billets Reports'!F1400),IF(ISNUMBER(SEARCH("Party Name-",'R.M Billets Reports'!D1400)),TRIM(MID('R.M Billets Reports'!D1400,SEARCH("-",'R.M Billets Reports'!D1400)+1,200)),"")))="SHRI RADHE","SHREE RADHE",IF(IF(IF(ISNUMBER(SEARCH("Party Name:-",'R.M Billets Reports'!D1399)),TRIM('R.M Billets Reports'!F1399),IF(ISNUMBER(SEARCH("Party Name-",'R.M Billets Reports'!D1399)),TRIM(MID('R.M Billets Reports'!D1399,SEARCH("-",'R.M Billets Reports'!D1399)+1,200)),""))&lt;&gt;"",IF(ISNUMBER(SEARCH("Party Name:-",'R.M Billets Reports'!D1399)),TRIM('R.M Billets Reports'!F1399),IF(ISNUMBER(SEARCH("Party Name-",'R.M Billets Reports'!D1399)),TRIM(MID('R.M Billets Reports'!D1399,SEARCH("-",'R.M Billets Reports'!D1399)+1,200)),"")),IF(ISNUMBER(SEARCH("Party Name:-",'R.M Billets Reports'!D1400)),TRIM('R.M Billets Reports'!F1400),IF(ISNUMBER(SEARCH("Party Name-",'R.M Billets Reports'!D1400)),TRIM(MID('R.M Billets Reports'!D1400,SEARCH("-",'R.M Billets Reports'!D1400)+1,200)),"")))="SHREE RADHE SHAKTI SPONGE AND POWER PVT. LTD.","SHREE RADHE",IF(IF(ISNUMBER(SEARCH("Party Name:-",'R.M Billets Reports'!D1399)),TRIM('R.M Billets Reports'!F1399),IF(ISNUMBER(SEARCH("Party Name-",'R.M Billets Reports'!D1399)),TRIM(MID('R.M Billets Reports'!D1399,SEARCH("-",'R.M Billets Reports'!D1399)+1,200)),""))&lt;&gt;"",IF(ISNUMBER(SEARCH("Party Name:-",'R.M Billets Reports'!D1399)),TRIM('R.M Billets Reports'!F1399),IF(ISNUMBER(SEARCH("Party Name-",'R.M Billets Reports'!D1399)),TRIM(MID('R.M Billets Reports'!D1399,SEARCH("-",'R.M Billets Reports'!D1399)+1,200)),"")),IF(ISNUMBER(SEARCH("Party Name:-",'R.M Billets Reports'!D1400)),TRIM('R.M Billets Reports'!F1400),IF(ISNUMBER(SEARCH("Party Name-",'R.M Billets Reports'!D1400)),TRIM(MID('R.M Billets Reports'!D1400,SEARCH("-",'R.M Billets Reports'!D1400)+1,200)),"")))))),IF(ROW()=2,"",A1399))</f>
      </c>
      <c r="B1400">
        <f>IF(OR('R.M Billets Reports'!A1399="Date-",'R.M Billets Reports'!A1399="Date:-"),'R.M Billets Reports'!B1399,IF(ROW()=2,"",B1399))</f>
      </c>
      <c r="C1400">
        <f>IF('R.M Billets Reports'!A1399="V.No.",'R.M Billets Reports'!B1399,IF(ROW()=2,"",C1399))</f>
      </c>
      <c r="D1400">
        <f>IF('R.M Billets Reports'!A1399&lt;&gt;"",'R.M Billets Reports'!A1399,IF(ROW()=2,"",D1399))</f>
      </c>
      <c r="E1400">
        <f>IF('R.M Billets Reports'!B1399="","",TRIM('R.M Billets Reports'!B1399))</f>
      </c>
      <c r="F1400">
        <f>'R.M Billets Reports'!C1399</f>
      </c>
      <c r="G1400">
        <f>'R.M Billets Reports'!D1399</f>
      </c>
      <c r="H1400">
        <f>'R.M Billets Reports'!E1399</f>
      </c>
      <c r="I1400">
        <f>'R.M Billets Reports'!F1399</f>
      </c>
      <c r="J1400">
        <f>'R.M Billets Reports'!G1399</f>
      </c>
      <c r="K1400">
        <f>'R.M Billets Reports'!H1399</f>
      </c>
      <c r="L1400">
        <f>IF('R.M Billets Reports'!I1399="","",'R.M Billets Reports'!I1399)</f>
      </c>
      <c r="M1400">
        <f t="shared" si="42"/>
      </c>
      <c r="N1400">
        <f>IF('R.M Billets Reports'!J1399="","",'R.M Billets Reports'!J1399)</f>
      </c>
      <c r="O1400">
        <f t="shared" si="43"/>
      </c>
      <c r="P1400">
        <f>IF('R.M Billets Reports'!A1399="SIZE",'R.M Billets Reports'!B1399,P1399)</f>
      </c>
    </row>
    <row r="1401" spans="1:16" x14ac:dyDescent="0.25">
      <c r="A1401">
        <f>IF(OR('R.M Billets Reports'!A1400="Date-",'R.M Billets Reports'!A1400="Date:-"),IF(IF(IF(ISNUMBER(SEARCH("Party Name:-",'R.M Billets Reports'!D1400)),TRIM('R.M Billets Reports'!F1400),IF(ISNUMBER(SEARCH("Party Name-",'R.M Billets Reports'!D1400)),TRIM(MID('R.M Billets Reports'!D1400,SEARCH("-",'R.M Billets Reports'!D1400)+1,200)),""))&lt;&gt;"",IF(ISNUMBER(SEARCH("Party Name:-",'R.M Billets Reports'!D1400)),TRIM('R.M Billets Reports'!F1400),IF(ISNUMBER(SEARCH("Party Name-",'R.M Billets Reports'!D1400)),TRIM(MID('R.M Billets Reports'!D1400,SEARCH("-",'R.M Billets Reports'!D1400)+1,200)),"")),IF(ISNUMBER(SEARCH("Party Name:-",'R.M Billets Reports'!D1401)),TRIM('R.M Billets Reports'!F1401),IF(ISNUMBER(SEARCH("Party Name-",'R.M Billets Reports'!D1401)),TRIM(MID('R.M Billets Reports'!D1401,SEARCH("-",'R.M Billets Reports'!D1401)+1,200)),"")))="VRKP ISPAT PVT LTD","VRKP",IF(IF(IF(ISNUMBER(SEARCH("Party Name:-",'R.M Billets Reports'!D1400)),TRIM('R.M Billets Reports'!F1400),IF(ISNUMBER(SEARCH("Party Name-",'R.M Billets Reports'!D1400)),TRIM(MID('R.M Billets Reports'!D1400,SEARCH("-",'R.M Billets Reports'!D1400)+1,200)),""))&lt;&gt;"",IF(ISNUMBER(SEARCH("Party Name:-",'R.M Billets Reports'!D1400)),TRIM('R.M Billets Reports'!F1400),IF(ISNUMBER(SEARCH("Party Name-",'R.M Billets Reports'!D1400)),TRIM(MID('R.M Billets Reports'!D1400,SEARCH("-",'R.M Billets Reports'!D1400)+1,200)),"")),IF(ISNUMBER(SEARCH("Party Name:-",'R.M Billets Reports'!D1401)),TRIM('R.M Billets Reports'!F1401),IF(ISNUMBER(SEARCH("Party Name-",'R.M Billets Reports'!D1401)),TRIM(MID('R.M Billets Reports'!D1401,SEARCH("-",'R.M Billets Reports'!D1401)+1,200)),"")))="SHRI RADHE","SHREE RADHE",IF(IF(IF(ISNUMBER(SEARCH("Party Name:-",'R.M Billets Reports'!D1400)),TRIM('R.M Billets Reports'!F1400),IF(ISNUMBER(SEARCH("Party Name-",'R.M Billets Reports'!D1400)),TRIM(MID('R.M Billets Reports'!D1400,SEARCH("-",'R.M Billets Reports'!D1400)+1,200)),""))&lt;&gt;"",IF(ISNUMBER(SEARCH("Party Name:-",'R.M Billets Reports'!D1400)),TRIM('R.M Billets Reports'!F1400),IF(ISNUMBER(SEARCH("Party Name-",'R.M Billets Reports'!D1400)),TRIM(MID('R.M Billets Reports'!D1400,SEARCH("-",'R.M Billets Reports'!D1400)+1,200)),"")),IF(ISNUMBER(SEARCH("Party Name:-",'R.M Billets Reports'!D1401)),TRIM('R.M Billets Reports'!F1401),IF(ISNUMBER(SEARCH("Party Name-",'R.M Billets Reports'!D1401)),TRIM(MID('R.M Billets Reports'!D1401,SEARCH("-",'R.M Billets Reports'!D1401)+1,200)),"")))="SHREE RADHE SHAKTI SPONGE AND POWER PVT. LTD.","SHREE RADHE",IF(IF(ISNUMBER(SEARCH("Party Name:-",'R.M Billets Reports'!D1400)),TRIM('R.M Billets Reports'!F1400),IF(ISNUMBER(SEARCH("Party Name-",'R.M Billets Reports'!D1400)),TRIM(MID('R.M Billets Reports'!D1400,SEARCH("-",'R.M Billets Reports'!D1400)+1,200)),""))&lt;&gt;"",IF(ISNUMBER(SEARCH("Party Name:-",'R.M Billets Reports'!D1400)),TRIM('R.M Billets Reports'!F1400),IF(ISNUMBER(SEARCH("Party Name-",'R.M Billets Reports'!D1400)),TRIM(MID('R.M Billets Reports'!D1400,SEARCH("-",'R.M Billets Reports'!D1400)+1,200)),"")),IF(ISNUMBER(SEARCH("Party Name:-",'R.M Billets Reports'!D1401)),TRIM('R.M Billets Reports'!F1401),IF(ISNUMBER(SEARCH("Party Name-",'R.M Billets Reports'!D1401)),TRIM(MID('R.M Billets Reports'!D1401,SEARCH("-",'R.M Billets Reports'!D1401)+1,200)),"")))))),IF(ROW()=2,"",A1400))</f>
      </c>
      <c r="B1401">
        <f>IF(OR('R.M Billets Reports'!A1400="Date-",'R.M Billets Reports'!A1400="Date:-"),'R.M Billets Reports'!B1400,IF(ROW()=2,"",B1400))</f>
      </c>
      <c r="C1401">
        <f>IF('R.M Billets Reports'!A1400="V.No.",'R.M Billets Reports'!B1400,IF(ROW()=2,"",C1400))</f>
      </c>
      <c r="D1401">
        <f>IF('R.M Billets Reports'!A1400&lt;&gt;"",'R.M Billets Reports'!A1400,IF(ROW()=2,"",D1400))</f>
      </c>
      <c r="E1401">
        <f>IF('R.M Billets Reports'!B1400="","",TRIM('R.M Billets Reports'!B1400))</f>
      </c>
      <c r="F1401">
        <f>'R.M Billets Reports'!C1400</f>
      </c>
      <c r="G1401">
        <f>'R.M Billets Reports'!D1400</f>
      </c>
      <c r="H1401">
        <f>'R.M Billets Reports'!E1400</f>
      </c>
      <c r="I1401">
        <f>'R.M Billets Reports'!F1400</f>
      </c>
      <c r="J1401">
        <f>'R.M Billets Reports'!G1400</f>
      </c>
      <c r="K1401">
        <f>'R.M Billets Reports'!H1400</f>
      </c>
      <c r="L1401">
        <f>IF('R.M Billets Reports'!I1400="","",'R.M Billets Reports'!I1400)</f>
      </c>
      <c r="M1401">
        <f t="shared" si="42"/>
      </c>
      <c r="N1401">
        <f>IF('R.M Billets Reports'!J1400="","",'R.M Billets Reports'!J1400)</f>
      </c>
      <c r="O1401">
        <f t="shared" si="43"/>
      </c>
      <c r="P1401">
        <f>IF('R.M Billets Reports'!A1400="SIZE",'R.M Billets Reports'!B1400,P1400)</f>
      </c>
    </row>
    <row r="1402" spans="1:16" x14ac:dyDescent="0.25">
      <c r="A1402">
        <f>IF(OR('R.M Billets Reports'!A1401="Date-",'R.M Billets Reports'!A1401="Date:-"),IF(IF(IF(ISNUMBER(SEARCH("Party Name:-",'R.M Billets Reports'!D1401)),TRIM('R.M Billets Reports'!F1401),IF(ISNUMBER(SEARCH("Party Name-",'R.M Billets Reports'!D1401)),TRIM(MID('R.M Billets Reports'!D1401,SEARCH("-",'R.M Billets Reports'!D1401)+1,200)),""))&lt;&gt;"",IF(ISNUMBER(SEARCH("Party Name:-",'R.M Billets Reports'!D1401)),TRIM('R.M Billets Reports'!F1401),IF(ISNUMBER(SEARCH("Party Name-",'R.M Billets Reports'!D1401)),TRIM(MID('R.M Billets Reports'!D1401,SEARCH("-",'R.M Billets Reports'!D1401)+1,200)),"")),IF(ISNUMBER(SEARCH("Party Name:-",'R.M Billets Reports'!D1402)),TRIM('R.M Billets Reports'!F1402),IF(ISNUMBER(SEARCH("Party Name-",'R.M Billets Reports'!D1402)),TRIM(MID('R.M Billets Reports'!D1402,SEARCH("-",'R.M Billets Reports'!D1402)+1,200)),"")))="VRKP ISPAT PVT LTD","VRKP",IF(IF(IF(ISNUMBER(SEARCH("Party Name:-",'R.M Billets Reports'!D1401)),TRIM('R.M Billets Reports'!F1401),IF(ISNUMBER(SEARCH("Party Name-",'R.M Billets Reports'!D1401)),TRIM(MID('R.M Billets Reports'!D1401,SEARCH("-",'R.M Billets Reports'!D1401)+1,200)),""))&lt;&gt;"",IF(ISNUMBER(SEARCH("Party Name:-",'R.M Billets Reports'!D1401)),TRIM('R.M Billets Reports'!F1401),IF(ISNUMBER(SEARCH("Party Name-",'R.M Billets Reports'!D1401)),TRIM(MID('R.M Billets Reports'!D1401,SEARCH("-",'R.M Billets Reports'!D1401)+1,200)),"")),IF(ISNUMBER(SEARCH("Party Name:-",'R.M Billets Reports'!D1402)),TRIM('R.M Billets Reports'!F1402),IF(ISNUMBER(SEARCH("Party Name-",'R.M Billets Reports'!D1402)),TRIM(MID('R.M Billets Reports'!D1402,SEARCH("-",'R.M Billets Reports'!D1402)+1,200)),"")))="SHRI RADHE","SHREE RADHE",IF(IF(IF(ISNUMBER(SEARCH("Party Name:-",'R.M Billets Reports'!D1401)),TRIM('R.M Billets Reports'!F1401),IF(ISNUMBER(SEARCH("Party Name-",'R.M Billets Reports'!D1401)),TRIM(MID('R.M Billets Reports'!D1401,SEARCH("-",'R.M Billets Reports'!D1401)+1,200)),""))&lt;&gt;"",IF(ISNUMBER(SEARCH("Party Name:-",'R.M Billets Reports'!D1401)),TRIM('R.M Billets Reports'!F1401),IF(ISNUMBER(SEARCH("Party Name-",'R.M Billets Reports'!D1401)),TRIM(MID('R.M Billets Reports'!D1401,SEARCH("-",'R.M Billets Reports'!D1401)+1,200)),"")),IF(ISNUMBER(SEARCH("Party Name:-",'R.M Billets Reports'!D1402)),TRIM('R.M Billets Reports'!F1402),IF(ISNUMBER(SEARCH("Party Name-",'R.M Billets Reports'!D1402)),TRIM(MID('R.M Billets Reports'!D1402,SEARCH("-",'R.M Billets Reports'!D1402)+1,200)),"")))="SHREE RADHE SHAKTI SPONGE AND POWER PVT. LTD.","SHREE RADHE",IF(IF(ISNUMBER(SEARCH("Party Name:-",'R.M Billets Reports'!D1401)),TRIM('R.M Billets Reports'!F1401),IF(ISNUMBER(SEARCH("Party Name-",'R.M Billets Reports'!D1401)),TRIM(MID('R.M Billets Reports'!D1401,SEARCH("-",'R.M Billets Reports'!D1401)+1,200)),""))&lt;&gt;"",IF(ISNUMBER(SEARCH("Party Name:-",'R.M Billets Reports'!D1401)),TRIM('R.M Billets Reports'!F1401),IF(ISNUMBER(SEARCH("Party Name-",'R.M Billets Reports'!D1401)),TRIM(MID('R.M Billets Reports'!D1401,SEARCH("-",'R.M Billets Reports'!D1401)+1,200)),"")),IF(ISNUMBER(SEARCH("Party Name:-",'R.M Billets Reports'!D1402)),TRIM('R.M Billets Reports'!F1402),IF(ISNUMBER(SEARCH("Party Name-",'R.M Billets Reports'!D1402)),TRIM(MID('R.M Billets Reports'!D1402,SEARCH("-",'R.M Billets Reports'!D1402)+1,200)),"")))))),IF(ROW()=2,"",A1401))</f>
      </c>
      <c r="B1402">
        <f>IF(OR('R.M Billets Reports'!A1401="Date-",'R.M Billets Reports'!A1401="Date:-"),'R.M Billets Reports'!B1401,IF(ROW()=2,"",B1401))</f>
      </c>
      <c r="C1402">
        <f>IF('R.M Billets Reports'!A1401="V.No.",'R.M Billets Reports'!B1401,IF(ROW()=2,"",C1401))</f>
      </c>
      <c r="D1402">
        <f>IF('R.M Billets Reports'!A1401&lt;&gt;"",'R.M Billets Reports'!A1401,IF(ROW()=2,"",D1401))</f>
      </c>
      <c r="E1402">
        <f>IF('R.M Billets Reports'!B1401="","",TRIM('R.M Billets Reports'!B1401))</f>
      </c>
      <c r="F1402">
        <f>'R.M Billets Reports'!C1401</f>
      </c>
      <c r="G1402">
        <f>'R.M Billets Reports'!D1401</f>
      </c>
      <c r="H1402">
        <f>'R.M Billets Reports'!E1401</f>
      </c>
      <c r="I1402">
        <f>'R.M Billets Reports'!F1401</f>
      </c>
      <c r="J1402">
        <f>'R.M Billets Reports'!G1401</f>
      </c>
      <c r="K1402">
        <f>'R.M Billets Reports'!H1401</f>
      </c>
      <c r="L1402">
        <f>IF('R.M Billets Reports'!I1401="","",'R.M Billets Reports'!I1401)</f>
      </c>
      <c r="M1402">
        <f t="shared" si="42"/>
      </c>
      <c r="N1402">
        <f>IF('R.M Billets Reports'!J1401="","",'R.M Billets Reports'!J1401)</f>
      </c>
      <c r="O1402">
        <f t="shared" si="43"/>
      </c>
      <c r="P1402">
        <f>IF('R.M Billets Reports'!A1401="SIZE",'R.M Billets Reports'!B1401,P1401)</f>
      </c>
    </row>
    <row r="1403" spans="1:16" x14ac:dyDescent="0.25">
      <c r="A1403">
        <f>IF(OR('R.M Billets Reports'!A1402="Date-",'R.M Billets Reports'!A1402="Date:-"),IF(IF(IF(ISNUMBER(SEARCH("Party Name:-",'R.M Billets Reports'!D1402)),TRIM('R.M Billets Reports'!F1402),IF(ISNUMBER(SEARCH("Party Name-",'R.M Billets Reports'!D1402)),TRIM(MID('R.M Billets Reports'!D1402,SEARCH("-",'R.M Billets Reports'!D1402)+1,200)),""))&lt;&gt;"",IF(ISNUMBER(SEARCH("Party Name:-",'R.M Billets Reports'!D1402)),TRIM('R.M Billets Reports'!F1402),IF(ISNUMBER(SEARCH("Party Name-",'R.M Billets Reports'!D1402)),TRIM(MID('R.M Billets Reports'!D1402,SEARCH("-",'R.M Billets Reports'!D1402)+1,200)),"")),IF(ISNUMBER(SEARCH("Party Name:-",'R.M Billets Reports'!D1403)),TRIM('R.M Billets Reports'!F1403),IF(ISNUMBER(SEARCH("Party Name-",'R.M Billets Reports'!D1403)),TRIM(MID('R.M Billets Reports'!D1403,SEARCH("-",'R.M Billets Reports'!D1403)+1,200)),"")))="VRKP ISPAT PVT LTD","VRKP",IF(IF(IF(ISNUMBER(SEARCH("Party Name:-",'R.M Billets Reports'!D1402)),TRIM('R.M Billets Reports'!F1402),IF(ISNUMBER(SEARCH("Party Name-",'R.M Billets Reports'!D1402)),TRIM(MID('R.M Billets Reports'!D1402,SEARCH("-",'R.M Billets Reports'!D1402)+1,200)),""))&lt;&gt;"",IF(ISNUMBER(SEARCH("Party Name:-",'R.M Billets Reports'!D1402)),TRIM('R.M Billets Reports'!F1402),IF(ISNUMBER(SEARCH("Party Name-",'R.M Billets Reports'!D1402)),TRIM(MID('R.M Billets Reports'!D1402,SEARCH("-",'R.M Billets Reports'!D1402)+1,200)),"")),IF(ISNUMBER(SEARCH("Party Name:-",'R.M Billets Reports'!D1403)),TRIM('R.M Billets Reports'!F1403),IF(ISNUMBER(SEARCH("Party Name-",'R.M Billets Reports'!D1403)),TRIM(MID('R.M Billets Reports'!D1403,SEARCH("-",'R.M Billets Reports'!D1403)+1,200)),"")))="SHRI RADHE","SHREE RADHE",IF(IF(IF(ISNUMBER(SEARCH("Party Name:-",'R.M Billets Reports'!D1402)),TRIM('R.M Billets Reports'!F1402),IF(ISNUMBER(SEARCH("Party Name-",'R.M Billets Reports'!D1402)),TRIM(MID('R.M Billets Reports'!D1402,SEARCH("-",'R.M Billets Reports'!D1402)+1,200)),""))&lt;&gt;"",IF(ISNUMBER(SEARCH("Party Name:-",'R.M Billets Reports'!D1402)),TRIM('R.M Billets Reports'!F1402),IF(ISNUMBER(SEARCH("Party Name-",'R.M Billets Reports'!D1402)),TRIM(MID('R.M Billets Reports'!D1402,SEARCH("-",'R.M Billets Reports'!D1402)+1,200)),"")),IF(ISNUMBER(SEARCH("Party Name:-",'R.M Billets Reports'!D1403)),TRIM('R.M Billets Reports'!F1403),IF(ISNUMBER(SEARCH("Party Name-",'R.M Billets Reports'!D1403)),TRIM(MID('R.M Billets Reports'!D1403,SEARCH("-",'R.M Billets Reports'!D1403)+1,200)),"")))="SHREE RADHE SHAKTI SPONGE AND POWER PVT. LTD.","SHREE RADHE",IF(IF(ISNUMBER(SEARCH("Party Name:-",'R.M Billets Reports'!D1402)),TRIM('R.M Billets Reports'!F1402),IF(ISNUMBER(SEARCH("Party Name-",'R.M Billets Reports'!D1402)),TRIM(MID('R.M Billets Reports'!D1402,SEARCH("-",'R.M Billets Reports'!D1402)+1,200)),""))&lt;&gt;"",IF(ISNUMBER(SEARCH("Party Name:-",'R.M Billets Reports'!D1402)),TRIM('R.M Billets Reports'!F1402),IF(ISNUMBER(SEARCH("Party Name-",'R.M Billets Reports'!D1402)),TRIM(MID('R.M Billets Reports'!D1402,SEARCH("-",'R.M Billets Reports'!D1402)+1,200)),"")),IF(ISNUMBER(SEARCH("Party Name:-",'R.M Billets Reports'!D1403)),TRIM('R.M Billets Reports'!F1403),IF(ISNUMBER(SEARCH("Party Name-",'R.M Billets Reports'!D1403)),TRIM(MID('R.M Billets Reports'!D1403,SEARCH("-",'R.M Billets Reports'!D1403)+1,200)),"")))))),IF(ROW()=2,"",A1402))</f>
      </c>
      <c r="B1403">
        <f>IF(OR('R.M Billets Reports'!A1402="Date-",'R.M Billets Reports'!A1402="Date:-"),'R.M Billets Reports'!B1402,IF(ROW()=2,"",B1402))</f>
      </c>
      <c r="C1403">
        <f>IF('R.M Billets Reports'!A1402="V.No.",'R.M Billets Reports'!B1402,IF(ROW()=2,"",C1402))</f>
      </c>
      <c r="D1403">
        <f>IF('R.M Billets Reports'!A1402&lt;&gt;"",'R.M Billets Reports'!A1402,IF(ROW()=2,"",D1402))</f>
      </c>
      <c r="E1403">
        <f>IF('R.M Billets Reports'!B1402="","",TRIM('R.M Billets Reports'!B1402))</f>
      </c>
      <c r="F1403">
        <f>'R.M Billets Reports'!C1402</f>
      </c>
      <c r="G1403">
        <f>'R.M Billets Reports'!D1402</f>
      </c>
      <c r="H1403">
        <f>'R.M Billets Reports'!E1402</f>
      </c>
      <c r="I1403">
        <f>'R.M Billets Reports'!F1402</f>
      </c>
      <c r="J1403">
        <f>'R.M Billets Reports'!G1402</f>
      </c>
      <c r="K1403">
        <f>'R.M Billets Reports'!H1402</f>
      </c>
      <c r="L1403">
        <f>IF('R.M Billets Reports'!I1402="","",'R.M Billets Reports'!I1402)</f>
      </c>
      <c r="M1403">
        <f t="shared" si="42"/>
      </c>
      <c r="N1403">
        <f>IF('R.M Billets Reports'!J1402="","",'R.M Billets Reports'!J1402)</f>
      </c>
      <c r="O1403">
        <f t="shared" si="43"/>
      </c>
      <c r="P1403">
        <f>IF('R.M Billets Reports'!A1402="SIZE",'R.M Billets Reports'!B1402,P1402)</f>
      </c>
    </row>
    <row r="1404" spans="1:16" x14ac:dyDescent="0.25">
      <c r="A1404">
        <f>IF(OR('R.M Billets Reports'!A1403="Date-",'R.M Billets Reports'!A1403="Date:-"),IF(IF(IF(ISNUMBER(SEARCH("Party Name:-",'R.M Billets Reports'!D1403)),TRIM('R.M Billets Reports'!F1403),IF(ISNUMBER(SEARCH("Party Name-",'R.M Billets Reports'!D1403)),TRIM(MID('R.M Billets Reports'!D1403,SEARCH("-",'R.M Billets Reports'!D1403)+1,200)),""))&lt;&gt;"",IF(ISNUMBER(SEARCH("Party Name:-",'R.M Billets Reports'!D1403)),TRIM('R.M Billets Reports'!F1403),IF(ISNUMBER(SEARCH("Party Name-",'R.M Billets Reports'!D1403)),TRIM(MID('R.M Billets Reports'!D1403,SEARCH("-",'R.M Billets Reports'!D1403)+1,200)),"")),IF(ISNUMBER(SEARCH("Party Name:-",'R.M Billets Reports'!D1404)),TRIM('R.M Billets Reports'!F1404),IF(ISNUMBER(SEARCH("Party Name-",'R.M Billets Reports'!D1404)),TRIM(MID('R.M Billets Reports'!D1404,SEARCH("-",'R.M Billets Reports'!D1404)+1,200)),"")))="VRKP ISPAT PVT LTD","VRKP",IF(IF(IF(ISNUMBER(SEARCH("Party Name:-",'R.M Billets Reports'!D1403)),TRIM('R.M Billets Reports'!F1403),IF(ISNUMBER(SEARCH("Party Name-",'R.M Billets Reports'!D1403)),TRIM(MID('R.M Billets Reports'!D1403,SEARCH("-",'R.M Billets Reports'!D1403)+1,200)),""))&lt;&gt;"",IF(ISNUMBER(SEARCH("Party Name:-",'R.M Billets Reports'!D1403)),TRIM('R.M Billets Reports'!F1403),IF(ISNUMBER(SEARCH("Party Name-",'R.M Billets Reports'!D1403)),TRIM(MID('R.M Billets Reports'!D1403,SEARCH("-",'R.M Billets Reports'!D1403)+1,200)),"")),IF(ISNUMBER(SEARCH("Party Name:-",'R.M Billets Reports'!D1404)),TRIM('R.M Billets Reports'!F1404),IF(ISNUMBER(SEARCH("Party Name-",'R.M Billets Reports'!D1404)),TRIM(MID('R.M Billets Reports'!D1404,SEARCH("-",'R.M Billets Reports'!D1404)+1,200)),"")))="SHRI RADHE","SHREE RADHE",IF(IF(IF(ISNUMBER(SEARCH("Party Name:-",'R.M Billets Reports'!D1403)),TRIM('R.M Billets Reports'!F1403),IF(ISNUMBER(SEARCH("Party Name-",'R.M Billets Reports'!D1403)),TRIM(MID('R.M Billets Reports'!D1403,SEARCH("-",'R.M Billets Reports'!D1403)+1,200)),""))&lt;&gt;"",IF(ISNUMBER(SEARCH("Party Name:-",'R.M Billets Reports'!D1403)),TRIM('R.M Billets Reports'!F1403),IF(ISNUMBER(SEARCH("Party Name-",'R.M Billets Reports'!D1403)),TRIM(MID('R.M Billets Reports'!D1403,SEARCH("-",'R.M Billets Reports'!D1403)+1,200)),"")),IF(ISNUMBER(SEARCH("Party Name:-",'R.M Billets Reports'!D1404)),TRIM('R.M Billets Reports'!F1404),IF(ISNUMBER(SEARCH("Party Name-",'R.M Billets Reports'!D1404)),TRIM(MID('R.M Billets Reports'!D1404,SEARCH("-",'R.M Billets Reports'!D1404)+1,200)),"")))="SHREE RADHE SHAKTI SPONGE AND POWER PVT. LTD.","SHREE RADHE",IF(IF(ISNUMBER(SEARCH("Party Name:-",'R.M Billets Reports'!D1403)),TRIM('R.M Billets Reports'!F1403),IF(ISNUMBER(SEARCH("Party Name-",'R.M Billets Reports'!D1403)),TRIM(MID('R.M Billets Reports'!D1403,SEARCH("-",'R.M Billets Reports'!D1403)+1,200)),""))&lt;&gt;"",IF(ISNUMBER(SEARCH("Party Name:-",'R.M Billets Reports'!D1403)),TRIM('R.M Billets Reports'!F1403),IF(ISNUMBER(SEARCH("Party Name-",'R.M Billets Reports'!D1403)),TRIM(MID('R.M Billets Reports'!D1403,SEARCH("-",'R.M Billets Reports'!D1403)+1,200)),"")),IF(ISNUMBER(SEARCH("Party Name:-",'R.M Billets Reports'!D1404)),TRIM('R.M Billets Reports'!F1404),IF(ISNUMBER(SEARCH("Party Name-",'R.M Billets Reports'!D1404)),TRIM(MID('R.M Billets Reports'!D1404,SEARCH("-",'R.M Billets Reports'!D1404)+1,200)),"")))))),IF(ROW()=2,"",A1403))</f>
      </c>
      <c r="B1404">
        <f>IF(OR('R.M Billets Reports'!A1403="Date-",'R.M Billets Reports'!A1403="Date:-"),'R.M Billets Reports'!B1403,IF(ROW()=2,"",B1403))</f>
      </c>
      <c r="C1404">
        <f>IF('R.M Billets Reports'!A1403="V.No.",'R.M Billets Reports'!B1403,IF(ROW()=2,"",C1403))</f>
      </c>
      <c r="D1404">
        <f>IF('R.M Billets Reports'!A1403&lt;&gt;"",'R.M Billets Reports'!A1403,IF(ROW()=2,"",D1403))</f>
      </c>
      <c r="E1404">
        <f>IF('R.M Billets Reports'!B1403="","",TRIM('R.M Billets Reports'!B1403))</f>
      </c>
      <c r="F1404">
        <f>'R.M Billets Reports'!C1403</f>
      </c>
      <c r="G1404">
        <f>'R.M Billets Reports'!D1403</f>
      </c>
      <c r="H1404">
        <f>'R.M Billets Reports'!E1403</f>
      </c>
      <c r="I1404">
        <f>'R.M Billets Reports'!F1403</f>
      </c>
      <c r="J1404">
        <f>'R.M Billets Reports'!G1403</f>
      </c>
      <c r="K1404">
        <f>'R.M Billets Reports'!H1403</f>
      </c>
      <c r="L1404">
        <f>IF('R.M Billets Reports'!I1403="","",'R.M Billets Reports'!I1403)</f>
      </c>
      <c r="M1404">
        <f t="shared" si="42"/>
      </c>
      <c r="N1404">
        <f>IF('R.M Billets Reports'!J1403="","",'R.M Billets Reports'!J1403)</f>
      </c>
      <c r="O1404">
        <f t="shared" si="43"/>
      </c>
      <c r="P1404">
        <f>IF('R.M Billets Reports'!A1403="SIZE",'R.M Billets Reports'!B1403,P1403)</f>
      </c>
    </row>
    <row r="1405" spans="1:16" x14ac:dyDescent="0.25">
      <c r="A1405">
        <f>IF(OR('R.M Billets Reports'!A1404="Date-",'R.M Billets Reports'!A1404="Date:-"),IF(IF(IF(ISNUMBER(SEARCH("Party Name:-",'R.M Billets Reports'!D1404)),TRIM('R.M Billets Reports'!F1404),IF(ISNUMBER(SEARCH("Party Name-",'R.M Billets Reports'!D1404)),TRIM(MID('R.M Billets Reports'!D1404,SEARCH("-",'R.M Billets Reports'!D1404)+1,200)),""))&lt;&gt;"",IF(ISNUMBER(SEARCH("Party Name:-",'R.M Billets Reports'!D1404)),TRIM('R.M Billets Reports'!F1404),IF(ISNUMBER(SEARCH("Party Name-",'R.M Billets Reports'!D1404)),TRIM(MID('R.M Billets Reports'!D1404,SEARCH("-",'R.M Billets Reports'!D1404)+1,200)),"")),IF(ISNUMBER(SEARCH("Party Name:-",'R.M Billets Reports'!D1405)),TRIM('R.M Billets Reports'!F1405),IF(ISNUMBER(SEARCH("Party Name-",'R.M Billets Reports'!D1405)),TRIM(MID('R.M Billets Reports'!D1405,SEARCH("-",'R.M Billets Reports'!D1405)+1,200)),"")))="VRKP ISPAT PVT LTD","VRKP",IF(IF(IF(ISNUMBER(SEARCH("Party Name:-",'R.M Billets Reports'!D1404)),TRIM('R.M Billets Reports'!F1404),IF(ISNUMBER(SEARCH("Party Name-",'R.M Billets Reports'!D1404)),TRIM(MID('R.M Billets Reports'!D1404,SEARCH("-",'R.M Billets Reports'!D1404)+1,200)),""))&lt;&gt;"",IF(ISNUMBER(SEARCH("Party Name:-",'R.M Billets Reports'!D1404)),TRIM('R.M Billets Reports'!F1404),IF(ISNUMBER(SEARCH("Party Name-",'R.M Billets Reports'!D1404)),TRIM(MID('R.M Billets Reports'!D1404,SEARCH("-",'R.M Billets Reports'!D1404)+1,200)),"")),IF(ISNUMBER(SEARCH("Party Name:-",'R.M Billets Reports'!D1405)),TRIM('R.M Billets Reports'!F1405),IF(ISNUMBER(SEARCH("Party Name-",'R.M Billets Reports'!D1405)),TRIM(MID('R.M Billets Reports'!D1405,SEARCH("-",'R.M Billets Reports'!D1405)+1,200)),"")))="SHRI RADHE","SHREE RADHE",IF(IF(IF(ISNUMBER(SEARCH("Party Name:-",'R.M Billets Reports'!D1404)),TRIM('R.M Billets Reports'!F1404),IF(ISNUMBER(SEARCH("Party Name-",'R.M Billets Reports'!D1404)),TRIM(MID('R.M Billets Reports'!D1404,SEARCH("-",'R.M Billets Reports'!D1404)+1,200)),""))&lt;&gt;"",IF(ISNUMBER(SEARCH("Party Name:-",'R.M Billets Reports'!D1404)),TRIM('R.M Billets Reports'!F1404),IF(ISNUMBER(SEARCH("Party Name-",'R.M Billets Reports'!D1404)),TRIM(MID('R.M Billets Reports'!D1404,SEARCH("-",'R.M Billets Reports'!D1404)+1,200)),"")),IF(ISNUMBER(SEARCH("Party Name:-",'R.M Billets Reports'!D1405)),TRIM('R.M Billets Reports'!F1405),IF(ISNUMBER(SEARCH("Party Name-",'R.M Billets Reports'!D1405)),TRIM(MID('R.M Billets Reports'!D1405,SEARCH("-",'R.M Billets Reports'!D1405)+1,200)),"")))="SHREE RADHE SHAKTI SPONGE AND POWER PVT. LTD.","SHREE RADHE",IF(IF(ISNUMBER(SEARCH("Party Name:-",'R.M Billets Reports'!D1404)),TRIM('R.M Billets Reports'!F1404),IF(ISNUMBER(SEARCH("Party Name-",'R.M Billets Reports'!D1404)),TRIM(MID('R.M Billets Reports'!D1404,SEARCH("-",'R.M Billets Reports'!D1404)+1,200)),""))&lt;&gt;"",IF(ISNUMBER(SEARCH("Party Name:-",'R.M Billets Reports'!D1404)),TRIM('R.M Billets Reports'!F1404),IF(ISNUMBER(SEARCH("Party Name-",'R.M Billets Reports'!D1404)),TRIM(MID('R.M Billets Reports'!D1404,SEARCH("-",'R.M Billets Reports'!D1404)+1,200)),"")),IF(ISNUMBER(SEARCH("Party Name:-",'R.M Billets Reports'!D1405)),TRIM('R.M Billets Reports'!F1405),IF(ISNUMBER(SEARCH("Party Name-",'R.M Billets Reports'!D1405)),TRIM(MID('R.M Billets Reports'!D1405,SEARCH("-",'R.M Billets Reports'!D1405)+1,200)),"")))))),IF(ROW()=2,"",A1404))</f>
      </c>
      <c r="B1405">
        <f>IF(OR('R.M Billets Reports'!A1404="Date-",'R.M Billets Reports'!A1404="Date:-"),'R.M Billets Reports'!B1404,IF(ROW()=2,"",B1404))</f>
      </c>
      <c r="C1405">
        <f>IF('R.M Billets Reports'!A1404="V.No.",'R.M Billets Reports'!B1404,IF(ROW()=2,"",C1404))</f>
      </c>
      <c r="D1405">
        <f>IF('R.M Billets Reports'!A1404&lt;&gt;"",'R.M Billets Reports'!A1404,IF(ROW()=2,"",D1404))</f>
      </c>
      <c r="E1405">
        <f>IF('R.M Billets Reports'!B1404="","",TRIM('R.M Billets Reports'!B1404))</f>
      </c>
      <c r="F1405">
        <f>'R.M Billets Reports'!C1404</f>
      </c>
      <c r="G1405">
        <f>'R.M Billets Reports'!D1404</f>
      </c>
      <c r="H1405">
        <f>'R.M Billets Reports'!E1404</f>
      </c>
      <c r="I1405">
        <f>'R.M Billets Reports'!F1404</f>
      </c>
      <c r="J1405">
        <f>'R.M Billets Reports'!G1404</f>
      </c>
      <c r="K1405">
        <f>'R.M Billets Reports'!H1404</f>
      </c>
      <c r="L1405">
        <f>IF('R.M Billets Reports'!I1404="","",'R.M Billets Reports'!I1404)</f>
      </c>
      <c r="M1405">
        <f t="shared" si="42"/>
      </c>
      <c r="N1405">
        <f>IF('R.M Billets Reports'!J1404="","",'R.M Billets Reports'!J1404)</f>
      </c>
      <c r="O1405">
        <f t="shared" si="43"/>
      </c>
      <c r="P1405">
        <f>IF('R.M Billets Reports'!A1404="SIZE",'R.M Billets Reports'!B1404,P1404)</f>
      </c>
    </row>
    <row r="1406" spans="1:16" x14ac:dyDescent="0.25">
      <c r="A1406">
        <f>IF(OR('R.M Billets Reports'!A1405="Date-",'R.M Billets Reports'!A1405="Date:-"),IF(IF(IF(ISNUMBER(SEARCH("Party Name:-",'R.M Billets Reports'!D1405)),TRIM('R.M Billets Reports'!F1405),IF(ISNUMBER(SEARCH("Party Name-",'R.M Billets Reports'!D1405)),TRIM(MID('R.M Billets Reports'!D1405,SEARCH("-",'R.M Billets Reports'!D1405)+1,200)),""))&lt;&gt;"",IF(ISNUMBER(SEARCH("Party Name:-",'R.M Billets Reports'!D1405)),TRIM('R.M Billets Reports'!F1405),IF(ISNUMBER(SEARCH("Party Name-",'R.M Billets Reports'!D1405)),TRIM(MID('R.M Billets Reports'!D1405,SEARCH("-",'R.M Billets Reports'!D1405)+1,200)),"")),IF(ISNUMBER(SEARCH("Party Name:-",'R.M Billets Reports'!D1406)),TRIM('R.M Billets Reports'!F1406),IF(ISNUMBER(SEARCH("Party Name-",'R.M Billets Reports'!D1406)),TRIM(MID('R.M Billets Reports'!D1406,SEARCH("-",'R.M Billets Reports'!D1406)+1,200)),"")))="VRKP ISPAT PVT LTD","VRKP",IF(IF(IF(ISNUMBER(SEARCH("Party Name:-",'R.M Billets Reports'!D1405)),TRIM('R.M Billets Reports'!F1405),IF(ISNUMBER(SEARCH("Party Name-",'R.M Billets Reports'!D1405)),TRIM(MID('R.M Billets Reports'!D1405,SEARCH("-",'R.M Billets Reports'!D1405)+1,200)),""))&lt;&gt;"",IF(ISNUMBER(SEARCH("Party Name:-",'R.M Billets Reports'!D1405)),TRIM('R.M Billets Reports'!F1405),IF(ISNUMBER(SEARCH("Party Name-",'R.M Billets Reports'!D1405)),TRIM(MID('R.M Billets Reports'!D1405,SEARCH("-",'R.M Billets Reports'!D1405)+1,200)),"")),IF(ISNUMBER(SEARCH("Party Name:-",'R.M Billets Reports'!D1406)),TRIM('R.M Billets Reports'!F1406),IF(ISNUMBER(SEARCH("Party Name-",'R.M Billets Reports'!D1406)),TRIM(MID('R.M Billets Reports'!D1406,SEARCH("-",'R.M Billets Reports'!D1406)+1,200)),"")))="SHRI RADHE","SHREE RADHE",IF(IF(IF(ISNUMBER(SEARCH("Party Name:-",'R.M Billets Reports'!D1405)),TRIM('R.M Billets Reports'!F1405),IF(ISNUMBER(SEARCH("Party Name-",'R.M Billets Reports'!D1405)),TRIM(MID('R.M Billets Reports'!D1405,SEARCH("-",'R.M Billets Reports'!D1405)+1,200)),""))&lt;&gt;"",IF(ISNUMBER(SEARCH("Party Name:-",'R.M Billets Reports'!D1405)),TRIM('R.M Billets Reports'!F1405),IF(ISNUMBER(SEARCH("Party Name-",'R.M Billets Reports'!D1405)),TRIM(MID('R.M Billets Reports'!D1405,SEARCH("-",'R.M Billets Reports'!D1405)+1,200)),"")),IF(ISNUMBER(SEARCH("Party Name:-",'R.M Billets Reports'!D1406)),TRIM('R.M Billets Reports'!F1406),IF(ISNUMBER(SEARCH("Party Name-",'R.M Billets Reports'!D1406)),TRIM(MID('R.M Billets Reports'!D1406,SEARCH("-",'R.M Billets Reports'!D1406)+1,200)),"")))="SHREE RADHE SHAKTI SPONGE AND POWER PVT. LTD.","SHREE RADHE",IF(IF(ISNUMBER(SEARCH("Party Name:-",'R.M Billets Reports'!D1405)),TRIM('R.M Billets Reports'!F1405),IF(ISNUMBER(SEARCH("Party Name-",'R.M Billets Reports'!D1405)),TRIM(MID('R.M Billets Reports'!D1405,SEARCH("-",'R.M Billets Reports'!D1405)+1,200)),""))&lt;&gt;"",IF(ISNUMBER(SEARCH("Party Name:-",'R.M Billets Reports'!D1405)),TRIM('R.M Billets Reports'!F1405),IF(ISNUMBER(SEARCH("Party Name-",'R.M Billets Reports'!D1405)),TRIM(MID('R.M Billets Reports'!D1405,SEARCH("-",'R.M Billets Reports'!D1405)+1,200)),"")),IF(ISNUMBER(SEARCH("Party Name:-",'R.M Billets Reports'!D1406)),TRIM('R.M Billets Reports'!F1406),IF(ISNUMBER(SEARCH("Party Name-",'R.M Billets Reports'!D1406)),TRIM(MID('R.M Billets Reports'!D1406,SEARCH("-",'R.M Billets Reports'!D1406)+1,200)),"")))))),IF(ROW()=2,"",A1405))</f>
      </c>
      <c r="B1406">
        <f>IF(OR('R.M Billets Reports'!A1405="Date-",'R.M Billets Reports'!A1405="Date:-"),'R.M Billets Reports'!B1405,IF(ROW()=2,"",B1405))</f>
      </c>
      <c r="C1406">
        <f>IF('R.M Billets Reports'!A1405="V.No.",'R.M Billets Reports'!B1405,IF(ROW()=2,"",C1405))</f>
      </c>
      <c r="D1406">
        <f>IF('R.M Billets Reports'!A1405&lt;&gt;"",'R.M Billets Reports'!A1405,IF(ROW()=2,"",D1405))</f>
      </c>
      <c r="E1406">
        <f>IF('R.M Billets Reports'!B1405="","",TRIM('R.M Billets Reports'!B1405))</f>
      </c>
      <c r="F1406">
        <f>'R.M Billets Reports'!C1405</f>
      </c>
      <c r="G1406">
        <f>'R.M Billets Reports'!D1405</f>
      </c>
      <c r="H1406">
        <f>'R.M Billets Reports'!E1405</f>
      </c>
      <c r="I1406">
        <f>'R.M Billets Reports'!F1405</f>
      </c>
      <c r="J1406">
        <f>'R.M Billets Reports'!G1405</f>
      </c>
      <c r="K1406">
        <f>'R.M Billets Reports'!H1405</f>
      </c>
      <c r="L1406">
        <f>IF('R.M Billets Reports'!I1405="","",'R.M Billets Reports'!I1405)</f>
      </c>
      <c r="M1406">
        <f t="shared" si="42"/>
      </c>
      <c r="N1406">
        <f>IF('R.M Billets Reports'!J1405="","",'R.M Billets Reports'!J1405)</f>
      </c>
      <c r="O1406">
        <f t="shared" si="43"/>
      </c>
      <c r="P1406">
        <f>IF('R.M Billets Reports'!A1405="SIZE",'R.M Billets Reports'!B1405,P1405)</f>
      </c>
    </row>
    <row r="1407" spans="1:16" x14ac:dyDescent="0.25">
      <c r="A1407">
        <f>IF(OR('R.M Billets Reports'!A1406="Date-",'R.M Billets Reports'!A1406="Date:-"),IF(IF(IF(ISNUMBER(SEARCH("Party Name:-",'R.M Billets Reports'!D1406)),TRIM('R.M Billets Reports'!F1406),IF(ISNUMBER(SEARCH("Party Name-",'R.M Billets Reports'!D1406)),TRIM(MID('R.M Billets Reports'!D1406,SEARCH("-",'R.M Billets Reports'!D1406)+1,200)),""))&lt;&gt;"",IF(ISNUMBER(SEARCH("Party Name:-",'R.M Billets Reports'!D1406)),TRIM('R.M Billets Reports'!F1406),IF(ISNUMBER(SEARCH("Party Name-",'R.M Billets Reports'!D1406)),TRIM(MID('R.M Billets Reports'!D1406,SEARCH("-",'R.M Billets Reports'!D1406)+1,200)),"")),IF(ISNUMBER(SEARCH("Party Name:-",'R.M Billets Reports'!D1407)),TRIM('R.M Billets Reports'!F1407),IF(ISNUMBER(SEARCH("Party Name-",'R.M Billets Reports'!D1407)),TRIM(MID('R.M Billets Reports'!D1407,SEARCH("-",'R.M Billets Reports'!D1407)+1,200)),"")))="VRKP ISPAT PVT LTD","VRKP",IF(IF(IF(ISNUMBER(SEARCH("Party Name:-",'R.M Billets Reports'!D1406)),TRIM('R.M Billets Reports'!F1406),IF(ISNUMBER(SEARCH("Party Name-",'R.M Billets Reports'!D1406)),TRIM(MID('R.M Billets Reports'!D1406,SEARCH("-",'R.M Billets Reports'!D1406)+1,200)),""))&lt;&gt;"",IF(ISNUMBER(SEARCH("Party Name:-",'R.M Billets Reports'!D1406)),TRIM('R.M Billets Reports'!F1406),IF(ISNUMBER(SEARCH("Party Name-",'R.M Billets Reports'!D1406)),TRIM(MID('R.M Billets Reports'!D1406,SEARCH("-",'R.M Billets Reports'!D1406)+1,200)),"")),IF(ISNUMBER(SEARCH("Party Name:-",'R.M Billets Reports'!D1407)),TRIM('R.M Billets Reports'!F1407),IF(ISNUMBER(SEARCH("Party Name-",'R.M Billets Reports'!D1407)),TRIM(MID('R.M Billets Reports'!D1407,SEARCH("-",'R.M Billets Reports'!D1407)+1,200)),"")))="SHRI RADHE","SHREE RADHE",IF(IF(IF(ISNUMBER(SEARCH("Party Name:-",'R.M Billets Reports'!D1406)),TRIM('R.M Billets Reports'!F1406),IF(ISNUMBER(SEARCH("Party Name-",'R.M Billets Reports'!D1406)),TRIM(MID('R.M Billets Reports'!D1406,SEARCH("-",'R.M Billets Reports'!D1406)+1,200)),""))&lt;&gt;"",IF(ISNUMBER(SEARCH("Party Name:-",'R.M Billets Reports'!D1406)),TRIM('R.M Billets Reports'!F1406),IF(ISNUMBER(SEARCH("Party Name-",'R.M Billets Reports'!D1406)),TRIM(MID('R.M Billets Reports'!D1406,SEARCH("-",'R.M Billets Reports'!D1406)+1,200)),"")),IF(ISNUMBER(SEARCH("Party Name:-",'R.M Billets Reports'!D1407)),TRIM('R.M Billets Reports'!F1407),IF(ISNUMBER(SEARCH("Party Name-",'R.M Billets Reports'!D1407)),TRIM(MID('R.M Billets Reports'!D1407,SEARCH("-",'R.M Billets Reports'!D1407)+1,200)),"")))="SHREE RADHE SHAKTI SPONGE AND POWER PVT. LTD.","SHREE RADHE",IF(IF(ISNUMBER(SEARCH("Party Name:-",'R.M Billets Reports'!D1406)),TRIM('R.M Billets Reports'!F1406),IF(ISNUMBER(SEARCH("Party Name-",'R.M Billets Reports'!D1406)),TRIM(MID('R.M Billets Reports'!D1406,SEARCH("-",'R.M Billets Reports'!D1406)+1,200)),""))&lt;&gt;"",IF(ISNUMBER(SEARCH("Party Name:-",'R.M Billets Reports'!D1406)),TRIM('R.M Billets Reports'!F1406),IF(ISNUMBER(SEARCH("Party Name-",'R.M Billets Reports'!D1406)),TRIM(MID('R.M Billets Reports'!D1406,SEARCH("-",'R.M Billets Reports'!D1406)+1,200)),"")),IF(ISNUMBER(SEARCH("Party Name:-",'R.M Billets Reports'!D1407)),TRIM('R.M Billets Reports'!F1407),IF(ISNUMBER(SEARCH("Party Name-",'R.M Billets Reports'!D1407)),TRIM(MID('R.M Billets Reports'!D1407,SEARCH("-",'R.M Billets Reports'!D1407)+1,200)),"")))))),IF(ROW()=2,"",A1406))</f>
      </c>
      <c r="B1407">
        <f>IF(OR('R.M Billets Reports'!A1406="Date-",'R.M Billets Reports'!A1406="Date:-"),'R.M Billets Reports'!B1406,IF(ROW()=2,"",B1406))</f>
      </c>
      <c r="C1407">
        <f>IF('R.M Billets Reports'!A1406="V.No.",'R.M Billets Reports'!B1406,IF(ROW()=2,"",C1406))</f>
      </c>
      <c r="D1407">
        <f>IF('R.M Billets Reports'!A1406&lt;&gt;"",'R.M Billets Reports'!A1406,IF(ROW()=2,"",D1406))</f>
      </c>
      <c r="E1407">
        <f>IF('R.M Billets Reports'!B1406="","",TRIM('R.M Billets Reports'!B1406))</f>
      </c>
      <c r="F1407">
        <f>'R.M Billets Reports'!C1406</f>
      </c>
      <c r="G1407">
        <f>'R.M Billets Reports'!D1406</f>
      </c>
      <c r="H1407">
        <f>'R.M Billets Reports'!E1406</f>
      </c>
      <c r="I1407">
        <f>'R.M Billets Reports'!F1406</f>
      </c>
      <c r="J1407">
        <f>'R.M Billets Reports'!G1406</f>
      </c>
      <c r="K1407">
        <f>'R.M Billets Reports'!H1406</f>
      </c>
      <c r="L1407">
        <f>IF('R.M Billets Reports'!I1406="","",'R.M Billets Reports'!I1406)</f>
      </c>
      <c r="M1407">
        <f t="shared" si="42"/>
      </c>
      <c r="N1407">
        <f>IF('R.M Billets Reports'!J1406="","",'R.M Billets Reports'!J1406)</f>
      </c>
      <c r="O1407">
        <f t="shared" si="43"/>
      </c>
      <c r="P1407">
        <f>IF('R.M Billets Reports'!A1406="SIZE",'R.M Billets Reports'!B1406,P1406)</f>
      </c>
    </row>
    <row r="1408" spans="1:16" x14ac:dyDescent="0.25">
      <c r="A1408">
        <f>IF(OR('R.M Billets Reports'!A1407="Date-",'R.M Billets Reports'!A1407="Date:-"),IF(IF(IF(ISNUMBER(SEARCH("Party Name:-",'R.M Billets Reports'!D1407)),TRIM('R.M Billets Reports'!F1407),IF(ISNUMBER(SEARCH("Party Name-",'R.M Billets Reports'!D1407)),TRIM(MID('R.M Billets Reports'!D1407,SEARCH("-",'R.M Billets Reports'!D1407)+1,200)),""))&lt;&gt;"",IF(ISNUMBER(SEARCH("Party Name:-",'R.M Billets Reports'!D1407)),TRIM('R.M Billets Reports'!F1407),IF(ISNUMBER(SEARCH("Party Name-",'R.M Billets Reports'!D1407)),TRIM(MID('R.M Billets Reports'!D1407,SEARCH("-",'R.M Billets Reports'!D1407)+1,200)),"")),IF(ISNUMBER(SEARCH("Party Name:-",'R.M Billets Reports'!D1408)),TRIM('R.M Billets Reports'!F1408),IF(ISNUMBER(SEARCH("Party Name-",'R.M Billets Reports'!D1408)),TRIM(MID('R.M Billets Reports'!D1408,SEARCH("-",'R.M Billets Reports'!D1408)+1,200)),"")))="VRKP ISPAT PVT LTD","VRKP",IF(IF(IF(ISNUMBER(SEARCH("Party Name:-",'R.M Billets Reports'!D1407)),TRIM('R.M Billets Reports'!F1407),IF(ISNUMBER(SEARCH("Party Name-",'R.M Billets Reports'!D1407)),TRIM(MID('R.M Billets Reports'!D1407,SEARCH("-",'R.M Billets Reports'!D1407)+1,200)),""))&lt;&gt;"",IF(ISNUMBER(SEARCH("Party Name:-",'R.M Billets Reports'!D1407)),TRIM('R.M Billets Reports'!F1407),IF(ISNUMBER(SEARCH("Party Name-",'R.M Billets Reports'!D1407)),TRIM(MID('R.M Billets Reports'!D1407,SEARCH("-",'R.M Billets Reports'!D1407)+1,200)),"")),IF(ISNUMBER(SEARCH("Party Name:-",'R.M Billets Reports'!D1408)),TRIM('R.M Billets Reports'!F1408),IF(ISNUMBER(SEARCH("Party Name-",'R.M Billets Reports'!D1408)),TRIM(MID('R.M Billets Reports'!D1408,SEARCH("-",'R.M Billets Reports'!D1408)+1,200)),"")))="SHRI RADHE","SHREE RADHE",IF(IF(IF(ISNUMBER(SEARCH("Party Name:-",'R.M Billets Reports'!D1407)),TRIM('R.M Billets Reports'!F1407),IF(ISNUMBER(SEARCH("Party Name-",'R.M Billets Reports'!D1407)),TRIM(MID('R.M Billets Reports'!D1407,SEARCH("-",'R.M Billets Reports'!D1407)+1,200)),""))&lt;&gt;"",IF(ISNUMBER(SEARCH("Party Name:-",'R.M Billets Reports'!D1407)),TRIM('R.M Billets Reports'!F1407),IF(ISNUMBER(SEARCH("Party Name-",'R.M Billets Reports'!D1407)),TRIM(MID('R.M Billets Reports'!D1407,SEARCH("-",'R.M Billets Reports'!D1407)+1,200)),"")),IF(ISNUMBER(SEARCH("Party Name:-",'R.M Billets Reports'!D1408)),TRIM('R.M Billets Reports'!F1408),IF(ISNUMBER(SEARCH("Party Name-",'R.M Billets Reports'!D1408)),TRIM(MID('R.M Billets Reports'!D1408,SEARCH("-",'R.M Billets Reports'!D1408)+1,200)),"")))="SHREE RADHE SHAKTI SPONGE AND POWER PVT. LTD.","SHREE RADHE",IF(IF(ISNUMBER(SEARCH("Party Name:-",'R.M Billets Reports'!D1407)),TRIM('R.M Billets Reports'!F1407),IF(ISNUMBER(SEARCH("Party Name-",'R.M Billets Reports'!D1407)),TRIM(MID('R.M Billets Reports'!D1407,SEARCH("-",'R.M Billets Reports'!D1407)+1,200)),""))&lt;&gt;"",IF(ISNUMBER(SEARCH("Party Name:-",'R.M Billets Reports'!D1407)),TRIM('R.M Billets Reports'!F1407),IF(ISNUMBER(SEARCH("Party Name-",'R.M Billets Reports'!D1407)),TRIM(MID('R.M Billets Reports'!D1407,SEARCH("-",'R.M Billets Reports'!D1407)+1,200)),"")),IF(ISNUMBER(SEARCH("Party Name:-",'R.M Billets Reports'!D1408)),TRIM('R.M Billets Reports'!F1408),IF(ISNUMBER(SEARCH("Party Name-",'R.M Billets Reports'!D1408)),TRIM(MID('R.M Billets Reports'!D1408,SEARCH("-",'R.M Billets Reports'!D1408)+1,200)),"")))))),IF(ROW()=2,"",A1407))</f>
      </c>
      <c r="B1408">
        <f>IF(OR('R.M Billets Reports'!A1407="Date-",'R.M Billets Reports'!A1407="Date:-"),'R.M Billets Reports'!B1407,IF(ROW()=2,"",B1407))</f>
      </c>
      <c r="C1408">
        <f>IF('R.M Billets Reports'!A1407="V.No.",'R.M Billets Reports'!B1407,IF(ROW()=2,"",C1407))</f>
      </c>
      <c r="D1408">
        <f>IF('R.M Billets Reports'!A1407&lt;&gt;"",'R.M Billets Reports'!A1407,IF(ROW()=2,"",D1407))</f>
      </c>
      <c r="E1408">
        <f>IF('R.M Billets Reports'!B1407="","",TRIM('R.M Billets Reports'!B1407))</f>
      </c>
      <c r="F1408">
        <f>'R.M Billets Reports'!C1407</f>
      </c>
      <c r="G1408">
        <f>'R.M Billets Reports'!D1407</f>
      </c>
      <c r="H1408">
        <f>'R.M Billets Reports'!E1407</f>
      </c>
      <c r="I1408">
        <f>'R.M Billets Reports'!F1407</f>
      </c>
      <c r="J1408">
        <f>'R.M Billets Reports'!G1407</f>
      </c>
      <c r="K1408">
        <f>'R.M Billets Reports'!H1407</f>
      </c>
      <c r="L1408">
        <f>IF('R.M Billets Reports'!I1407="","",'R.M Billets Reports'!I1407)</f>
      </c>
      <c r="M1408">
        <f t="shared" si="42"/>
      </c>
      <c r="N1408">
        <f>IF('R.M Billets Reports'!J1407="","",'R.M Billets Reports'!J1407)</f>
      </c>
      <c r="O1408">
        <f t="shared" si="43"/>
      </c>
      <c r="P1408">
        <f>IF('R.M Billets Reports'!A1407="SIZE",'R.M Billets Reports'!B1407,P1407)</f>
      </c>
    </row>
    <row r="1409" spans="1:16" x14ac:dyDescent="0.25">
      <c r="A1409">
        <f>IF(OR('R.M Billets Reports'!A1408="Date-",'R.M Billets Reports'!A1408="Date:-"),IF(IF(IF(ISNUMBER(SEARCH("Party Name:-",'R.M Billets Reports'!D1408)),TRIM('R.M Billets Reports'!F1408),IF(ISNUMBER(SEARCH("Party Name-",'R.M Billets Reports'!D1408)),TRIM(MID('R.M Billets Reports'!D1408,SEARCH("-",'R.M Billets Reports'!D1408)+1,200)),""))&lt;&gt;"",IF(ISNUMBER(SEARCH("Party Name:-",'R.M Billets Reports'!D1408)),TRIM('R.M Billets Reports'!F1408),IF(ISNUMBER(SEARCH("Party Name-",'R.M Billets Reports'!D1408)),TRIM(MID('R.M Billets Reports'!D1408,SEARCH("-",'R.M Billets Reports'!D1408)+1,200)),"")),IF(ISNUMBER(SEARCH("Party Name:-",'R.M Billets Reports'!D1409)),TRIM('R.M Billets Reports'!F1409),IF(ISNUMBER(SEARCH("Party Name-",'R.M Billets Reports'!D1409)),TRIM(MID('R.M Billets Reports'!D1409,SEARCH("-",'R.M Billets Reports'!D1409)+1,200)),"")))="VRKP ISPAT PVT LTD","VRKP",IF(IF(IF(ISNUMBER(SEARCH("Party Name:-",'R.M Billets Reports'!D1408)),TRIM('R.M Billets Reports'!F1408),IF(ISNUMBER(SEARCH("Party Name-",'R.M Billets Reports'!D1408)),TRIM(MID('R.M Billets Reports'!D1408,SEARCH("-",'R.M Billets Reports'!D1408)+1,200)),""))&lt;&gt;"",IF(ISNUMBER(SEARCH("Party Name:-",'R.M Billets Reports'!D1408)),TRIM('R.M Billets Reports'!F1408),IF(ISNUMBER(SEARCH("Party Name-",'R.M Billets Reports'!D1408)),TRIM(MID('R.M Billets Reports'!D1408,SEARCH("-",'R.M Billets Reports'!D1408)+1,200)),"")),IF(ISNUMBER(SEARCH("Party Name:-",'R.M Billets Reports'!D1409)),TRIM('R.M Billets Reports'!F1409),IF(ISNUMBER(SEARCH("Party Name-",'R.M Billets Reports'!D1409)),TRIM(MID('R.M Billets Reports'!D1409,SEARCH("-",'R.M Billets Reports'!D1409)+1,200)),"")))="SHRI RADHE","SHREE RADHE",IF(IF(IF(ISNUMBER(SEARCH("Party Name:-",'R.M Billets Reports'!D1408)),TRIM('R.M Billets Reports'!F1408),IF(ISNUMBER(SEARCH("Party Name-",'R.M Billets Reports'!D1408)),TRIM(MID('R.M Billets Reports'!D1408,SEARCH("-",'R.M Billets Reports'!D1408)+1,200)),""))&lt;&gt;"",IF(ISNUMBER(SEARCH("Party Name:-",'R.M Billets Reports'!D1408)),TRIM('R.M Billets Reports'!F1408),IF(ISNUMBER(SEARCH("Party Name-",'R.M Billets Reports'!D1408)),TRIM(MID('R.M Billets Reports'!D1408,SEARCH("-",'R.M Billets Reports'!D1408)+1,200)),"")),IF(ISNUMBER(SEARCH("Party Name:-",'R.M Billets Reports'!D1409)),TRIM('R.M Billets Reports'!F1409),IF(ISNUMBER(SEARCH("Party Name-",'R.M Billets Reports'!D1409)),TRIM(MID('R.M Billets Reports'!D1409,SEARCH("-",'R.M Billets Reports'!D1409)+1,200)),"")))="SHREE RADHE SHAKTI SPONGE AND POWER PVT. LTD.","SHREE RADHE",IF(IF(ISNUMBER(SEARCH("Party Name:-",'R.M Billets Reports'!D1408)),TRIM('R.M Billets Reports'!F1408),IF(ISNUMBER(SEARCH("Party Name-",'R.M Billets Reports'!D1408)),TRIM(MID('R.M Billets Reports'!D1408,SEARCH("-",'R.M Billets Reports'!D1408)+1,200)),""))&lt;&gt;"",IF(ISNUMBER(SEARCH("Party Name:-",'R.M Billets Reports'!D1408)),TRIM('R.M Billets Reports'!F1408),IF(ISNUMBER(SEARCH("Party Name-",'R.M Billets Reports'!D1408)),TRIM(MID('R.M Billets Reports'!D1408,SEARCH("-",'R.M Billets Reports'!D1408)+1,200)),"")),IF(ISNUMBER(SEARCH("Party Name:-",'R.M Billets Reports'!D1409)),TRIM('R.M Billets Reports'!F1409),IF(ISNUMBER(SEARCH("Party Name-",'R.M Billets Reports'!D1409)),TRIM(MID('R.M Billets Reports'!D1409,SEARCH("-",'R.M Billets Reports'!D1409)+1,200)),"")))))),IF(ROW()=2,"",A1408))</f>
      </c>
      <c r="B1409">
        <f>IF(OR('R.M Billets Reports'!A1408="Date-",'R.M Billets Reports'!A1408="Date:-"),'R.M Billets Reports'!B1408,IF(ROW()=2,"",B1408))</f>
      </c>
      <c r="C1409">
        <f>IF('R.M Billets Reports'!A1408="V.No.",'R.M Billets Reports'!B1408,IF(ROW()=2,"",C1408))</f>
      </c>
      <c r="D1409">
        <f>IF('R.M Billets Reports'!A1408&lt;&gt;"",'R.M Billets Reports'!A1408,IF(ROW()=2,"",D1408))</f>
      </c>
      <c r="E1409">
        <f>IF('R.M Billets Reports'!B1408="","",TRIM('R.M Billets Reports'!B1408))</f>
      </c>
      <c r="F1409">
        <f>'R.M Billets Reports'!C1408</f>
      </c>
      <c r="G1409">
        <f>'R.M Billets Reports'!D1408</f>
      </c>
      <c r="H1409">
        <f>'R.M Billets Reports'!E1408</f>
      </c>
      <c r="I1409">
        <f>'R.M Billets Reports'!F1408</f>
      </c>
      <c r="J1409">
        <f>'R.M Billets Reports'!G1408</f>
      </c>
      <c r="K1409">
        <f>'R.M Billets Reports'!H1408</f>
      </c>
      <c r="L1409">
        <f>IF('R.M Billets Reports'!I1408="","",'R.M Billets Reports'!I1408)</f>
      </c>
      <c r="M1409">
        <f t="shared" si="42"/>
      </c>
      <c r="N1409">
        <f>IF('R.M Billets Reports'!J1408="","",'R.M Billets Reports'!J1408)</f>
      </c>
      <c r="O1409">
        <f t="shared" si="43"/>
      </c>
      <c r="P1409">
        <f>IF('R.M Billets Reports'!A1408="SIZE",'R.M Billets Reports'!B1408,P1408)</f>
      </c>
    </row>
    <row r="1410" spans="1:16" x14ac:dyDescent="0.25">
      <c r="A1410">
        <f>IF(OR('R.M Billets Reports'!A1409="Date-",'R.M Billets Reports'!A1409="Date:-"),IF(IF(IF(ISNUMBER(SEARCH("Party Name:-",'R.M Billets Reports'!D1409)),TRIM('R.M Billets Reports'!F1409),IF(ISNUMBER(SEARCH("Party Name-",'R.M Billets Reports'!D1409)),TRIM(MID('R.M Billets Reports'!D1409,SEARCH("-",'R.M Billets Reports'!D1409)+1,200)),""))&lt;&gt;"",IF(ISNUMBER(SEARCH("Party Name:-",'R.M Billets Reports'!D1409)),TRIM('R.M Billets Reports'!F1409),IF(ISNUMBER(SEARCH("Party Name-",'R.M Billets Reports'!D1409)),TRIM(MID('R.M Billets Reports'!D1409,SEARCH("-",'R.M Billets Reports'!D1409)+1,200)),"")),IF(ISNUMBER(SEARCH("Party Name:-",'R.M Billets Reports'!D1410)),TRIM('R.M Billets Reports'!F1410),IF(ISNUMBER(SEARCH("Party Name-",'R.M Billets Reports'!D1410)),TRIM(MID('R.M Billets Reports'!D1410,SEARCH("-",'R.M Billets Reports'!D1410)+1,200)),"")))="VRKP ISPAT PVT LTD","VRKP",IF(IF(IF(ISNUMBER(SEARCH("Party Name:-",'R.M Billets Reports'!D1409)),TRIM('R.M Billets Reports'!F1409),IF(ISNUMBER(SEARCH("Party Name-",'R.M Billets Reports'!D1409)),TRIM(MID('R.M Billets Reports'!D1409,SEARCH("-",'R.M Billets Reports'!D1409)+1,200)),""))&lt;&gt;"",IF(ISNUMBER(SEARCH("Party Name:-",'R.M Billets Reports'!D1409)),TRIM('R.M Billets Reports'!F1409),IF(ISNUMBER(SEARCH("Party Name-",'R.M Billets Reports'!D1409)),TRIM(MID('R.M Billets Reports'!D1409,SEARCH("-",'R.M Billets Reports'!D1409)+1,200)),"")),IF(ISNUMBER(SEARCH("Party Name:-",'R.M Billets Reports'!D1410)),TRIM('R.M Billets Reports'!F1410),IF(ISNUMBER(SEARCH("Party Name-",'R.M Billets Reports'!D1410)),TRIM(MID('R.M Billets Reports'!D1410,SEARCH("-",'R.M Billets Reports'!D1410)+1,200)),"")))="SHRI RADHE","SHREE RADHE",IF(IF(IF(ISNUMBER(SEARCH("Party Name:-",'R.M Billets Reports'!D1409)),TRIM('R.M Billets Reports'!F1409),IF(ISNUMBER(SEARCH("Party Name-",'R.M Billets Reports'!D1409)),TRIM(MID('R.M Billets Reports'!D1409,SEARCH("-",'R.M Billets Reports'!D1409)+1,200)),""))&lt;&gt;"",IF(ISNUMBER(SEARCH("Party Name:-",'R.M Billets Reports'!D1409)),TRIM('R.M Billets Reports'!F1409),IF(ISNUMBER(SEARCH("Party Name-",'R.M Billets Reports'!D1409)),TRIM(MID('R.M Billets Reports'!D1409,SEARCH("-",'R.M Billets Reports'!D1409)+1,200)),"")),IF(ISNUMBER(SEARCH("Party Name:-",'R.M Billets Reports'!D1410)),TRIM('R.M Billets Reports'!F1410),IF(ISNUMBER(SEARCH("Party Name-",'R.M Billets Reports'!D1410)),TRIM(MID('R.M Billets Reports'!D1410,SEARCH("-",'R.M Billets Reports'!D1410)+1,200)),"")))="SHREE RADHE SHAKTI SPONGE AND POWER PVT. LTD.","SHREE RADHE",IF(IF(ISNUMBER(SEARCH("Party Name:-",'R.M Billets Reports'!D1409)),TRIM('R.M Billets Reports'!F1409),IF(ISNUMBER(SEARCH("Party Name-",'R.M Billets Reports'!D1409)),TRIM(MID('R.M Billets Reports'!D1409,SEARCH("-",'R.M Billets Reports'!D1409)+1,200)),""))&lt;&gt;"",IF(ISNUMBER(SEARCH("Party Name:-",'R.M Billets Reports'!D1409)),TRIM('R.M Billets Reports'!F1409),IF(ISNUMBER(SEARCH("Party Name-",'R.M Billets Reports'!D1409)),TRIM(MID('R.M Billets Reports'!D1409,SEARCH("-",'R.M Billets Reports'!D1409)+1,200)),"")),IF(ISNUMBER(SEARCH("Party Name:-",'R.M Billets Reports'!D1410)),TRIM('R.M Billets Reports'!F1410),IF(ISNUMBER(SEARCH("Party Name-",'R.M Billets Reports'!D1410)),TRIM(MID('R.M Billets Reports'!D1410,SEARCH("-",'R.M Billets Reports'!D1410)+1,200)),"")))))),IF(ROW()=2,"",A1409))</f>
      </c>
      <c r="B1410">
        <f>IF(OR('R.M Billets Reports'!A1409="Date-",'R.M Billets Reports'!A1409="Date:-"),'R.M Billets Reports'!B1409,IF(ROW()=2,"",B1409))</f>
      </c>
      <c r="C1410">
        <f>IF('R.M Billets Reports'!A1409="V.No.",'R.M Billets Reports'!B1409,IF(ROW()=2,"",C1409))</f>
      </c>
      <c r="D1410">
        <f>IF('R.M Billets Reports'!A1409&lt;&gt;"",'R.M Billets Reports'!A1409,IF(ROW()=2,"",D1409))</f>
      </c>
      <c r="E1410">
        <f>IF('R.M Billets Reports'!B1409="","",TRIM('R.M Billets Reports'!B1409))</f>
      </c>
      <c r="F1410">
        <f>'R.M Billets Reports'!C1409</f>
      </c>
      <c r="G1410">
        <f>'R.M Billets Reports'!D1409</f>
      </c>
      <c r="H1410">
        <f>'R.M Billets Reports'!E1409</f>
      </c>
      <c r="I1410">
        <f>'R.M Billets Reports'!F1409</f>
      </c>
      <c r="J1410">
        <f>'R.M Billets Reports'!G1409</f>
      </c>
      <c r="K1410">
        <f>'R.M Billets Reports'!H1409</f>
      </c>
      <c r="L1410">
        <f>IF('R.M Billets Reports'!I1409="","",'R.M Billets Reports'!I1409)</f>
      </c>
      <c r="M1410">
        <f t="shared" si="42"/>
      </c>
      <c r="N1410">
        <f>IF('R.M Billets Reports'!J1409="","",'R.M Billets Reports'!J1409)</f>
      </c>
      <c r="O1410">
        <f t="shared" si="43"/>
      </c>
      <c r="P1410">
        <f>IF('R.M Billets Reports'!A1409="SIZE",'R.M Billets Reports'!B1409,P1409)</f>
      </c>
    </row>
    <row r="1411" spans="1:16" x14ac:dyDescent="0.25">
      <c r="A1411">
        <f>IF(OR('R.M Billets Reports'!A1410="Date-",'R.M Billets Reports'!A1410="Date:-"),IF(IF(IF(ISNUMBER(SEARCH("Party Name:-",'R.M Billets Reports'!D1410)),TRIM('R.M Billets Reports'!F1410),IF(ISNUMBER(SEARCH("Party Name-",'R.M Billets Reports'!D1410)),TRIM(MID('R.M Billets Reports'!D1410,SEARCH("-",'R.M Billets Reports'!D1410)+1,200)),""))&lt;&gt;"",IF(ISNUMBER(SEARCH("Party Name:-",'R.M Billets Reports'!D1410)),TRIM('R.M Billets Reports'!F1410),IF(ISNUMBER(SEARCH("Party Name-",'R.M Billets Reports'!D1410)),TRIM(MID('R.M Billets Reports'!D1410,SEARCH("-",'R.M Billets Reports'!D1410)+1,200)),"")),IF(ISNUMBER(SEARCH("Party Name:-",'R.M Billets Reports'!D1411)),TRIM('R.M Billets Reports'!F1411),IF(ISNUMBER(SEARCH("Party Name-",'R.M Billets Reports'!D1411)),TRIM(MID('R.M Billets Reports'!D1411,SEARCH("-",'R.M Billets Reports'!D1411)+1,200)),"")))="VRKP ISPAT PVT LTD","VRKP",IF(IF(IF(ISNUMBER(SEARCH("Party Name:-",'R.M Billets Reports'!D1410)),TRIM('R.M Billets Reports'!F1410),IF(ISNUMBER(SEARCH("Party Name-",'R.M Billets Reports'!D1410)),TRIM(MID('R.M Billets Reports'!D1410,SEARCH("-",'R.M Billets Reports'!D1410)+1,200)),""))&lt;&gt;"",IF(ISNUMBER(SEARCH("Party Name:-",'R.M Billets Reports'!D1410)),TRIM('R.M Billets Reports'!F1410),IF(ISNUMBER(SEARCH("Party Name-",'R.M Billets Reports'!D1410)),TRIM(MID('R.M Billets Reports'!D1410,SEARCH("-",'R.M Billets Reports'!D1410)+1,200)),"")),IF(ISNUMBER(SEARCH("Party Name:-",'R.M Billets Reports'!D1411)),TRIM('R.M Billets Reports'!F1411),IF(ISNUMBER(SEARCH("Party Name-",'R.M Billets Reports'!D1411)),TRIM(MID('R.M Billets Reports'!D1411,SEARCH("-",'R.M Billets Reports'!D1411)+1,200)),"")))="SHRI RADHE","SHREE RADHE",IF(IF(IF(ISNUMBER(SEARCH("Party Name:-",'R.M Billets Reports'!D1410)),TRIM('R.M Billets Reports'!F1410),IF(ISNUMBER(SEARCH("Party Name-",'R.M Billets Reports'!D1410)),TRIM(MID('R.M Billets Reports'!D1410,SEARCH("-",'R.M Billets Reports'!D1410)+1,200)),""))&lt;&gt;"",IF(ISNUMBER(SEARCH("Party Name:-",'R.M Billets Reports'!D1410)),TRIM('R.M Billets Reports'!F1410),IF(ISNUMBER(SEARCH("Party Name-",'R.M Billets Reports'!D1410)),TRIM(MID('R.M Billets Reports'!D1410,SEARCH("-",'R.M Billets Reports'!D1410)+1,200)),"")),IF(ISNUMBER(SEARCH("Party Name:-",'R.M Billets Reports'!D1411)),TRIM('R.M Billets Reports'!F1411),IF(ISNUMBER(SEARCH("Party Name-",'R.M Billets Reports'!D1411)),TRIM(MID('R.M Billets Reports'!D1411,SEARCH("-",'R.M Billets Reports'!D1411)+1,200)),"")))="SHREE RADHE SHAKTI SPONGE AND POWER PVT. LTD.","SHREE RADHE",IF(IF(ISNUMBER(SEARCH("Party Name:-",'R.M Billets Reports'!D1410)),TRIM('R.M Billets Reports'!F1410),IF(ISNUMBER(SEARCH("Party Name-",'R.M Billets Reports'!D1410)),TRIM(MID('R.M Billets Reports'!D1410,SEARCH("-",'R.M Billets Reports'!D1410)+1,200)),""))&lt;&gt;"",IF(ISNUMBER(SEARCH("Party Name:-",'R.M Billets Reports'!D1410)),TRIM('R.M Billets Reports'!F1410),IF(ISNUMBER(SEARCH("Party Name-",'R.M Billets Reports'!D1410)),TRIM(MID('R.M Billets Reports'!D1410,SEARCH("-",'R.M Billets Reports'!D1410)+1,200)),"")),IF(ISNUMBER(SEARCH("Party Name:-",'R.M Billets Reports'!D1411)),TRIM('R.M Billets Reports'!F1411),IF(ISNUMBER(SEARCH("Party Name-",'R.M Billets Reports'!D1411)),TRIM(MID('R.M Billets Reports'!D1411,SEARCH("-",'R.M Billets Reports'!D1411)+1,200)),"")))))),IF(ROW()=2,"",A1410))</f>
      </c>
      <c r="B1411">
        <f>IF(OR('R.M Billets Reports'!A1410="Date-",'R.M Billets Reports'!A1410="Date:-"),'R.M Billets Reports'!B1410,IF(ROW()=2,"",B1410))</f>
      </c>
      <c r="C1411">
        <f>IF('R.M Billets Reports'!A1410="V.No.",'R.M Billets Reports'!B1410,IF(ROW()=2,"",C1410))</f>
      </c>
      <c r="D1411">
        <f>IF('R.M Billets Reports'!A1410&lt;&gt;"",'R.M Billets Reports'!A1410,IF(ROW()=2,"",D1410))</f>
      </c>
      <c r="E1411">
        <f>IF('R.M Billets Reports'!B1410="","",TRIM('R.M Billets Reports'!B1410))</f>
      </c>
      <c r="F1411">
        <f>'R.M Billets Reports'!C1410</f>
      </c>
      <c r="G1411">
        <f>'R.M Billets Reports'!D1410</f>
      </c>
      <c r="H1411">
        <f>'R.M Billets Reports'!E1410</f>
      </c>
      <c r="I1411">
        <f>'R.M Billets Reports'!F1410</f>
      </c>
      <c r="J1411">
        <f>'R.M Billets Reports'!G1410</f>
      </c>
      <c r="K1411">
        <f>'R.M Billets Reports'!H1410</f>
      </c>
      <c r="L1411">
        <f>IF('R.M Billets Reports'!I1410="","",'R.M Billets Reports'!I1410)</f>
      </c>
      <c r="M1411">
        <f t="shared" ref="M1411:M1474" si="44">IF(L1411&lt;&gt;"",L1411,IF(D1411=D1410,M1410,""))</f>
      </c>
      <c r="N1411">
        <f>IF('R.M Billets Reports'!J1410="","",'R.M Billets Reports'!J1410)</f>
      </c>
      <c r="O1411">
        <f t="shared" ref="O1411:O1474" si="45">IF(N1411&lt;&gt;"",N1411,IF(D1411=D1410,O1410,""))</f>
      </c>
      <c r="P1411">
        <f>IF('R.M Billets Reports'!A1410="SIZE",'R.M Billets Reports'!B1410,P1410)</f>
      </c>
    </row>
    <row r="1412" spans="1:16" x14ac:dyDescent="0.25">
      <c r="A1412">
        <f>IF(OR('R.M Billets Reports'!A1411="Date-",'R.M Billets Reports'!A1411="Date:-"),IF(IF(IF(ISNUMBER(SEARCH("Party Name:-",'R.M Billets Reports'!D1411)),TRIM('R.M Billets Reports'!F1411),IF(ISNUMBER(SEARCH("Party Name-",'R.M Billets Reports'!D1411)),TRIM(MID('R.M Billets Reports'!D1411,SEARCH("-",'R.M Billets Reports'!D1411)+1,200)),""))&lt;&gt;"",IF(ISNUMBER(SEARCH("Party Name:-",'R.M Billets Reports'!D1411)),TRIM('R.M Billets Reports'!F1411),IF(ISNUMBER(SEARCH("Party Name-",'R.M Billets Reports'!D1411)),TRIM(MID('R.M Billets Reports'!D1411,SEARCH("-",'R.M Billets Reports'!D1411)+1,200)),"")),IF(ISNUMBER(SEARCH("Party Name:-",'R.M Billets Reports'!D1412)),TRIM('R.M Billets Reports'!F1412),IF(ISNUMBER(SEARCH("Party Name-",'R.M Billets Reports'!D1412)),TRIM(MID('R.M Billets Reports'!D1412,SEARCH("-",'R.M Billets Reports'!D1412)+1,200)),"")))="VRKP ISPAT PVT LTD","VRKP",IF(IF(IF(ISNUMBER(SEARCH("Party Name:-",'R.M Billets Reports'!D1411)),TRIM('R.M Billets Reports'!F1411),IF(ISNUMBER(SEARCH("Party Name-",'R.M Billets Reports'!D1411)),TRIM(MID('R.M Billets Reports'!D1411,SEARCH("-",'R.M Billets Reports'!D1411)+1,200)),""))&lt;&gt;"",IF(ISNUMBER(SEARCH("Party Name:-",'R.M Billets Reports'!D1411)),TRIM('R.M Billets Reports'!F1411),IF(ISNUMBER(SEARCH("Party Name-",'R.M Billets Reports'!D1411)),TRIM(MID('R.M Billets Reports'!D1411,SEARCH("-",'R.M Billets Reports'!D1411)+1,200)),"")),IF(ISNUMBER(SEARCH("Party Name:-",'R.M Billets Reports'!D1412)),TRIM('R.M Billets Reports'!F1412),IF(ISNUMBER(SEARCH("Party Name-",'R.M Billets Reports'!D1412)),TRIM(MID('R.M Billets Reports'!D1412,SEARCH("-",'R.M Billets Reports'!D1412)+1,200)),"")))="SHRI RADHE","SHREE RADHE",IF(IF(IF(ISNUMBER(SEARCH("Party Name:-",'R.M Billets Reports'!D1411)),TRIM('R.M Billets Reports'!F1411),IF(ISNUMBER(SEARCH("Party Name-",'R.M Billets Reports'!D1411)),TRIM(MID('R.M Billets Reports'!D1411,SEARCH("-",'R.M Billets Reports'!D1411)+1,200)),""))&lt;&gt;"",IF(ISNUMBER(SEARCH("Party Name:-",'R.M Billets Reports'!D1411)),TRIM('R.M Billets Reports'!F1411),IF(ISNUMBER(SEARCH("Party Name-",'R.M Billets Reports'!D1411)),TRIM(MID('R.M Billets Reports'!D1411,SEARCH("-",'R.M Billets Reports'!D1411)+1,200)),"")),IF(ISNUMBER(SEARCH("Party Name:-",'R.M Billets Reports'!D1412)),TRIM('R.M Billets Reports'!F1412),IF(ISNUMBER(SEARCH("Party Name-",'R.M Billets Reports'!D1412)),TRIM(MID('R.M Billets Reports'!D1412,SEARCH("-",'R.M Billets Reports'!D1412)+1,200)),"")))="SHREE RADHE SHAKTI SPONGE AND POWER PVT. LTD.","SHREE RADHE",IF(IF(ISNUMBER(SEARCH("Party Name:-",'R.M Billets Reports'!D1411)),TRIM('R.M Billets Reports'!F1411),IF(ISNUMBER(SEARCH("Party Name-",'R.M Billets Reports'!D1411)),TRIM(MID('R.M Billets Reports'!D1411,SEARCH("-",'R.M Billets Reports'!D1411)+1,200)),""))&lt;&gt;"",IF(ISNUMBER(SEARCH("Party Name:-",'R.M Billets Reports'!D1411)),TRIM('R.M Billets Reports'!F1411),IF(ISNUMBER(SEARCH("Party Name-",'R.M Billets Reports'!D1411)),TRIM(MID('R.M Billets Reports'!D1411,SEARCH("-",'R.M Billets Reports'!D1411)+1,200)),"")),IF(ISNUMBER(SEARCH("Party Name:-",'R.M Billets Reports'!D1412)),TRIM('R.M Billets Reports'!F1412),IF(ISNUMBER(SEARCH("Party Name-",'R.M Billets Reports'!D1412)),TRIM(MID('R.M Billets Reports'!D1412,SEARCH("-",'R.M Billets Reports'!D1412)+1,200)),"")))))),IF(ROW()=2,"",A1411))</f>
      </c>
      <c r="B1412">
        <f>IF(OR('R.M Billets Reports'!A1411="Date-",'R.M Billets Reports'!A1411="Date:-"),'R.M Billets Reports'!B1411,IF(ROW()=2,"",B1411))</f>
      </c>
      <c r="C1412">
        <f>IF('R.M Billets Reports'!A1411="V.No.",'R.M Billets Reports'!B1411,IF(ROW()=2,"",C1411))</f>
      </c>
      <c r="D1412">
        <f>IF('R.M Billets Reports'!A1411&lt;&gt;"",'R.M Billets Reports'!A1411,IF(ROW()=2,"",D1411))</f>
      </c>
      <c r="E1412">
        <f>IF('R.M Billets Reports'!B1411="","",TRIM('R.M Billets Reports'!B1411))</f>
      </c>
      <c r="F1412">
        <f>'R.M Billets Reports'!C1411</f>
      </c>
      <c r="G1412">
        <f>'R.M Billets Reports'!D1411</f>
      </c>
      <c r="H1412">
        <f>'R.M Billets Reports'!E1411</f>
      </c>
      <c r="I1412">
        <f>'R.M Billets Reports'!F1411</f>
      </c>
      <c r="J1412">
        <f>'R.M Billets Reports'!G1411</f>
      </c>
      <c r="K1412">
        <f>'R.M Billets Reports'!H1411</f>
      </c>
      <c r="L1412">
        <f>IF('R.M Billets Reports'!I1411="","",'R.M Billets Reports'!I1411)</f>
      </c>
      <c r="M1412">
        <f t="shared" si="44"/>
      </c>
      <c r="N1412">
        <f>IF('R.M Billets Reports'!J1411="","",'R.M Billets Reports'!J1411)</f>
      </c>
      <c r="O1412">
        <f t="shared" si="45"/>
      </c>
      <c r="P1412">
        <f>IF('R.M Billets Reports'!A1411="SIZE",'R.M Billets Reports'!B1411,P1411)</f>
      </c>
    </row>
    <row r="1413" spans="1:16" x14ac:dyDescent="0.25">
      <c r="A1413">
        <f>IF(OR('R.M Billets Reports'!A1412="Date-",'R.M Billets Reports'!A1412="Date:-"),IF(IF(IF(ISNUMBER(SEARCH("Party Name:-",'R.M Billets Reports'!D1412)),TRIM('R.M Billets Reports'!F1412),IF(ISNUMBER(SEARCH("Party Name-",'R.M Billets Reports'!D1412)),TRIM(MID('R.M Billets Reports'!D1412,SEARCH("-",'R.M Billets Reports'!D1412)+1,200)),""))&lt;&gt;"",IF(ISNUMBER(SEARCH("Party Name:-",'R.M Billets Reports'!D1412)),TRIM('R.M Billets Reports'!F1412),IF(ISNUMBER(SEARCH("Party Name-",'R.M Billets Reports'!D1412)),TRIM(MID('R.M Billets Reports'!D1412,SEARCH("-",'R.M Billets Reports'!D1412)+1,200)),"")),IF(ISNUMBER(SEARCH("Party Name:-",'R.M Billets Reports'!D1413)),TRIM('R.M Billets Reports'!F1413),IF(ISNUMBER(SEARCH("Party Name-",'R.M Billets Reports'!D1413)),TRIM(MID('R.M Billets Reports'!D1413,SEARCH("-",'R.M Billets Reports'!D1413)+1,200)),"")))="VRKP ISPAT PVT LTD","VRKP",IF(IF(IF(ISNUMBER(SEARCH("Party Name:-",'R.M Billets Reports'!D1412)),TRIM('R.M Billets Reports'!F1412),IF(ISNUMBER(SEARCH("Party Name-",'R.M Billets Reports'!D1412)),TRIM(MID('R.M Billets Reports'!D1412,SEARCH("-",'R.M Billets Reports'!D1412)+1,200)),""))&lt;&gt;"",IF(ISNUMBER(SEARCH("Party Name:-",'R.M Billets Reports'!D1412)),TRIM('R.M Billets Reports'!F1412),IF(ISNUMBER(SEARCH("Party Name-",'R.M Billets Reports'!D1412)),TRIM(MID('R.M Billets Reports'!D1412,SEARCH("-",'R.M Billets Reports'!D1412)+1,200)),"")),IF(ISNUMBER(SEARCH("Party Name:-",'R.M Billets Reports'!D1413)),TRIM('R.M Billets Reports'!F1413),IF(ISNUMBER(SEARCH("Party Name-",'R.M Billets Reports'!D1413)),TRIM(MID('R.M Billets Reports'!D1413,SEARCH("-",'R.M Billets Reports'!D1413)+1,200)),"")))="SHRI RADHE","SHREE RADHE",IF(IF(IF(ISNUMBER(SEARCH("Party Name:-",'R.M Billets Reports'!D1412)),TRIM('R.M Billets Reports'!F1412),IF(ISNUMBER(SEARCH("Party Name-",'R.M Billets Reports'!D1412)),TRIM(MID('R.M Billets Reports'!D1412,SEARCH("-",'R.M Billets Reports'!D1412)+1,200)),""))&lt;&gt;"",IF(ISNUMBER(SEARCH("Party Name:-",'R.M Billets Reports'!D1412)),TRIM('R.M Billets Reports'!F1412),IF(ISNUMBER(SEARCH("Party Name-",'R.M Billets Reports'!D1412)),TRIM(MID('R.M Billets Reports'!D1412,SEARCH("-",'R.M Billets Reports'!D1412)+1,200)),"")),IF(ISNUMBER(SEARCH("Party Name:-",'R.M Billets Reports'!D1413)),TRIM('R.M Billets Reports'!F1413),IF(ISNUMBER(SEARCH("Party Name-",'R.M Billets Reports'!D1413)),TRIM(MID('R.M Billets Reports'!D1413,SEARCH("-",'R.M Billets Reports'!D1413)+1,200)),"")))="SHREE RADHE SHAKTI SPONGE AND POWER PVT. LTD.","SHREE RADHE",IF(IF(ISNUMBER(SEARCH("Party Name:-",'R.M Billets Reports'!D1412)),TRIM('R.M Billets Reports'!F1412),IF(ISNUMBER(SEARCH("Party Name-",'R.M Billets Reports'!D1412)),TRIM(MID('R.M Billets Reports'!D1412,SEARCH("-",'R.M Billets Reports'!D1412)+1,200)),""))&lt;&gt;"",IF(ISNUMBER(SEARCH("Party Name:-",'R.M Billets Reports'!D1412)),TRIM('R.M Billets Reports'!F1412),IF(ISNUMBER(SEARCH("Party Name-",'R.M Billets Reports'!D1412)),TRIM(MID('R.M Billets Reports'!D1412,SEARCH("-",'R.M Billets Reports'!D1412)+1,200)),"")),IF(ISNUMBER(SEARCH("Party Name:-",'R.M Billets Reports'!D1413)),TRIM('R.M Billets Reports'!F1413),IF(ISNUMBER(SEARCH("Party Name-",'R.M Billets Reports'!D1413)),TRIM(MID('R.M Billets Reports'!D1413,SEARCH("-",'R.M Billets Reports'!D1413)+1,200)),"")))))),IF(ROW()=2,"",A1412))</f>
      </c>
      <c r="B1413">
        <f>IF(OR('R.M Billets Reports'!A1412="Date-",'R.M Billets Reports'!A1412="Date:-"),'R.M Billets Reports'!B1412,IF(ROW()=2,"",B1412))</f>
      </c>
      <c r="C1413">
        <f>IF('R.M Billets Reports'!A1412="V.No.",'R.M Billets Reports'!B1412,IF(ROW()=2,"",C1412))</f>
      </c>
      <c r="D1413">
        <f>IF('R.M Billets Reports'!A1412&lt;&gt;"",'R.M Billets Reports'!A1412,IF(ROW()=2,"",D1412))</f>
      </c>
      <c r="E1413">
        <f>IF('R.M Billets Reports'!B1412="","",TRIM('R.M Billets Reports'!B1412))</f>
      </c>
      <c r="F1413">
        <f>'R.M Billets Reports'!C1412</f>
      </c>
      <c r="G1413">
        <f>'R.M Billets Reports'!D1412</f>
      </c>
      <c r="H1413">
        <f>'R.M Billets Reports'!E1412</f>
      </c>
      <c r="I1413">
        <f>'R.M Billets Reports'!F1412</f>
      </c>
      <c r="J1413">
        <f>'R.M Billets Reports'!G1412</f>
      </c>
      <c r="K1413">
        <f>'R.M Billets Reports'!H1412</f>
      </c>
      <c r="L1413">
        <f>IF('R.M Billets Reports'!I1412="","",'R.M Billets Reports'!I1412)</f>
      </c>
      <c r="M1413">
        <f t="shared" si="44"/>
      </c>
      <c r="N1413">
        <f>IF('R.M Billets Reports'!J1412="","",'R.M Billets Reports'!J1412)</f>
      </c>
      <c r="O1413">
        <f t="shared" si="45"/>
      </c>
      <c r="P1413">
        <f>IF('R.M Billets Reports'!A1412="SIZE",'R.M Billets Reports'!B1412,P1412)</f>
      </c>
    </row>
    <row r="1414" spans="1:16" x14ac:dyDescent="0.25">
      <c r="A1414">
        <f>IF(OR('R.M Billets Reports'!A1413="Date-",'R.M Billets Reports'!A1413="Date:-"),IF(IF(IF(ISNUMBER(SEARCH("Party Name:-",'R.M Billets Reports'!D1413)),TRIM('R.M Billets Reports'!F1413),IF(ISNUMBER(SEARCH("Party Name-",'R.M Billets Reports'!D1413)),TRIM(MID('R.M Billets Reports'!D1413,SEARCH("-",'R.M Billets Reports'!D1413)+1,200)),""))&lt;&gt;"",IF(ISNUMBER(SEARCH("Party Name:-",'R.M Billets Reports'!D1413)),TRIM('R.M Billets Reports'!F1413),IF(ISNUMBER(SEARCH("Party Name-",'R.M Billets Reports'!D1413)),TRIM(MID('R.M Billets Reports'!D1413,SEARCH("-",'R.M Billets Reports'!D1413)+1,200)),"")),IF(ISNUMBER(SEARCH("Party Name:-",'R.M Billets Reports'!D1414)),TRIM('R.M Billets Reports'!F1414),IF(ISNUMBER(SEARCH("Party Name-",'R.M Billets Reports'!D1414)),TRIM(MID('R.M Billets Reports'!D1414,SEARCH("-",'R.M Billets Reports'!D1414)+1,200)),"")))="VRKP ISPAT PVT LTD","VRKP",IF(IF(IF(ISNUMBER(SEARCH("Party Name:-",'R.M Billets Reports'!D1413)),TRIM('R.M Billets Reports'!F1413),IF(ISNUMBER(SEARCH("Party Name-",'R.M Billets Reports'!D1413)),TRIM(MID('R.M Billets Reports'!D1413,SEARCH("-",'R.M Billets Reports'!D1413)+1,200)),""))&lt;&gt;"",IF(ISNUMBER(SEARCH("Party Name:-",'R.M Billets Reports'!D1413)),TRIM('R.M Billets Reports'!F1413),IF(ISNUMBER(SEARCH("Party Name-",'R.M Billets Reports'!D1413)),TRIM(MID('R.M Billets Reports'!D1413,SEARCH("-",'R.M Billets Reports'!D1413)+1,200)),"")),IF(ISNUMBER(SEARCH("Party Name:-",'R.M Billets Reports'!D1414)),TRIM('R.M Billets Reports'!F1414),IF(ISNUMBER(SEARCH("Party Name-",'R.M Billets Reports'!D1414)),TRIM(MID('R.M Billets Reports'!D1414,SEARCH("-",'R.M Billets Reports'!D1414)+1,200)),"")))="SHRI RADHE","SHREE RADHE",IF(IF(IF(ISNUMBER(SEARCH("Party Name:-",'R.M Billets Reports'!D1413)),TRIM('R.M Billets Reports'!F1413),IF(ISNUMBER(SEARCH("Party Name-",'R.M Billets Reports'!D1413)),TRIM(MID('R.M Billets Reports'!D1413,SEARCH("-",'R.M Billets Reports'!D1413)+1,200)),""))&lt;&gt;"",IF(ISNUMBER(SEARCH("Party Name:-",'R.M Billets Reports'!D1413)),TRIM('R.M Billets Reports'!F1413),IF(ISNUMBER(SEARCH("Party Name-",'R.M Billets Reports'!D1413)),TRIM(MID('R.M Billets Reports'!D1413,SEARCH("-",'R.M Billets Reports'!D1413)+1,200)),"")),IF(ISNUMBER(SEARCH("Party Name:-",'R.M Billets Reports'!D1414)),TRIM('R.M Billets Reports'!F1414),IF(ISNUMBER(SEARCH("Party Name-",'R.M Billets Reports'!D1414)),TRIM(MID('R.M Billets Reports'!D1414,SEARCH("-",'R.M Billets Reports'!D1414)+1,200)),"")))="SHREE RADHE SHAKTI SPONGE AND POWER PVT. LTD.","SHREE RADHE",IF(IF(ISNUMBER(SEARCH("Party Name:-",'R.M Billets Reports'!D1413)),TRIM('R.M Billets Reports'!F1413),IF(ISNUMBER(SEARCH("Party Name-",'R.M Billets Reports'!D1413)),TRIM(MID('R.M Billets Reports'!D1413,SEARCH("-",'R.M Billets Reports'!D1413)+1,200)),""))&lt;&gt;"",IF(ISNUMBER(SEARCH("Party Name:-",'R.M Billets Reports'!D1413)),TRIM('R.M Billets Reports'!F1413),IF(ISNUMBER(SEARCH("Party Name-",'R.M Billets Reports'!D1413)),TRIM(MID('R.M Billets Reports'!D1413,SEARCH("-",'R.M Billets Reports'!D1413)+1,200)),"")),IF(ISNUMBER(SEARCH("Party Name:-",'R.M Billets Reports'!D1414)),TRIM('R.M Billets Reports'!F1414),IF(ISNUMBER(SEARCH("Party Name-",'R.M Billets Reports'!D1414)),TRIM(MID('R.M Billets Reports'!D1414,SEARCH("-",'R.M Billets Reports'!D1414)+1,200)),"")))))),IF(ROW()=2,"",A1413))</f>
      </c>
      <c r="B1414">
        <f>IF(OR('R.M Billets Reports'!A1413="Date-",'R.M Billets Reports'!A1413="Date:-"),'R.M Billets Reports'!B1413,IF(ROW()=2,"",B1413))</f>
      </c>
      <c r="C1414">
        <f>IF('R.M Billets Reports'!A1413="V.No.",'R.M Billets Reports'!B1413,IF(ROW()=2,"",C1413))</f>
      </c>
      <c r="D1414">
        <f>IF('R.M Billets Reports'!A1413&lt;&gt;"",'R.M Billets Reports'!A1413,IF(ROW()=2,"",D1413))</f>
      </c>
      <c r="E1414">
        <f>IF('R.M Billets Reports'!B1413="","",TRIM('R.M Billets Reports'!B1413))</f>
      </c>
      <c r="F1414">
        <f>'R.M Billets Reports'!C1413</f>
      </c>
      <c r="G1414">
        <f>'R.M Billets Reports'!D1413</f>
      </c>
      <c r="H1414">
        <f>'R.M Billets Reports'!E1413</f>
      </c>
      <c r="I1414">
        <f>'R.M Billets Reports'!F1413</f>
      </c>
      <c r="J1414">
        <f>'R.M Billets Reports'!G1413</f>
      </c>
      <c r="K1414">
        <f>'R.M Billets Reports'!H1413</f>
      </c>
      <c r="L1414">
        <f>IF('R.M Billets Reports'!I1413="","",'R.M Billets Reports'!I1413)</f>
      </c>
      <c r="M1414">
        <f t="shared" si="44"/>
      </c>
      <c r="N1414">
        <f>IF('R.M Billets Reports'!J1413="","",'R.M Billets Reports'!J1413)</f>
      </c>
      <c r="O1414">
        <f t="shared" si="45"/>
      </c>
      <c r="P1414">
        <f>IF('R.M Billets Reports'!A1413="SIZE",'R.M Billets Reports'!B1413,P1413)</f>
      </c>
    </row>
    <row r="1415" spans="1:16" x14ac:dyDescent="0.25">
      <c r="A1415">
        <f>IF(OR('R.M Billets Reports'!A1414="Date-",'R.M Billets Reports'!A1414="Date:-"),IF(IF(IF(ISNUMBER(SEARCH("Party Name:-",'R.M Billets Reports'!D1414)),TRIM('R.M Billets Reports'!F1414),IF(ISNUMBER(SEARCH("Party Name-",'R.M Billets Reports'!D1414)),TRIM(MID('R.M Billets Reports'!D1414,SEARCH("-",'R.M Billets Reports'!D1414)+1,200)),""))&lt;&gt;"",IF(ISNUMBER(SEARCH("Party Name:-",'R.M Billets Reports'!D1414)),TRIM('R.M Billets Reports'!F1414),IF(ISNUMBER(SEARCH("Party Name-",'R.M Billets Reports'!D1414)),TRIM(MID('R.M Billets Reports'!D1414,SEARCH("-",'R.M Billets Reports'!D1414)+1,200)),"")),IF(ISNUMBER(SEARCH("Party Name:-",'R.M Billets Reports'!D1415)),TRIM('R.M Billets Reports'!F1415),IF(ISNUMBER(SEARCH("Party Name-",'R.M Billets Reports'!D1415)),TRIM(MID('R.M Billets Reports'!D1415,SEARCH("-",'R.M Billets Reports'!D1415)+1,200)),"")))="VRKP ISPAT PVT LTD","VRKP",IF(IF(IF(ISNUMBER(SEARCH("Party Name:-",'R.M Billets Reports'!D1414)),TRIM('R.M Billets Reports'!F1414),IF(ISNUMBER(SEARCH("Party Name-",'R.M Billets Reports'!D1414)),TRIM(MID('R.M Billets Reports'!D1414,SEARCH("-",'R.M Billets Reports'!D1414)+1,200)),""))&lt;&gt;"",IF(ISNUMBER(SEARCH("Party Name:-",'R.M Billets Reports'!D1414)),TRIM('R.M Billets Reports'!F1414),IF(ISNUMBER(SEARCH("Party Name-",'R.M Billets Reports'!D1414)),TRIM(MID('R.M Billets Reports'!D1414,SEARCH("-",'R.M Billets Reports'!D1414)+1,200)),"")),IF(ISNUMBER(SEARCH("Party Name:-",'R.M Billets Reports'!D1415)),TRIM('R.M Billets Reports'!F1415),IF(ISNUMBER(SEARCH("Party Name-",'R.M Billets Reports'!D1415)),TRIM(MID('R.M Billets Reports'!D1415,SEARCH("-",'R.M Billets Reports'!D1415)+1,200)),"")))="SHRI RADHE","SHREE RADHE",IF(IF(IF(ISNUMBER(SEARCH("Party Name:-",'R.M Billets Reports'!D1414)),TRIM('R.M Billets Reports'!F1414),IF(ISNUMBER(SEARCH("Party Name-",'R.M Billets Reports'!D1414)),TRIM(MID('R.M Billets Reports'!D1414,SEARCH("-",'R.M Billets Reports'!D1414)+1,200)),""))&lt;&gt;"",IF(ISNUMBER(SEARCH("Party Name:-",'R.M Billets Reports'!D1414)),TRIM('R.M Billets Reports'!F1414),IF(ISNUMBER(SEARCH("Party Name-",'R.M Billets Reports'!D1414)),TRIM(MID('R.M Billets Reports'!D1414,SEARCH("-",'R.M Billets Reports'!D1414)+1,200)),"")),IF(ISNUMBER(SEARCH("Party Name:-",'R.M Billets Reports'!D1415)),TRIM('R.M Billets Reports'!F1415),IF(ISNUMBER(SEARCH("Party Name-",'R.M Billets Reports'!D1415)),TRIM(MID('R.M Billets Reports'!D1415,SEARCH("-",'R.M Billets Reports'!D1415)+1,200)),"")))="SHREE RADHE SHAKTI SPONGE AND POWER PVT. LTD.","SHREE RADHE",IF(IF(ISNUMBER(SEARCH("Party Name:-",'R.M Billets Reports'!D1414)),TRIM('R.M Billets Reports'!F1414),IF(ISNUMBER(SEARCH("Party Name-",'R.M Billets Reports'!D1414)),TRIM(MID('R.M Billets Reports'!D1414,SEARCH("-",'R.M Billets Reports'!D1414)+1,200)),""))&lt;&gt;"",IF(ISNUMBER(SEARCH("Party Name:-",'R.M Billets Reports'!D1414)),TRIM('R.M Billets Reports'!F1414),IF(ISNUMBER(SEARCH("Party Name-",'R.M Billets Reports'!D1414)),TRIM(MID('R.M Billets Reports'!D1414,SEARCH("-",'R.M Billets Reports'!D1414)+1,200)),"")),IF(ISNUMBER(SEARCH("Party Name:-",'R.M Billets Reports'!D1415)),TRIM('R.M Billets Reports'!F1415),IF(ISNUMBER(SEARCH("Party Name-",'R.M Billets Reports'!D1415)),TRIM(MID('R.M Billets Reports'!D1415,SEARCH("-",'R.M Billets Reports'!D1415)+1,200)),"")))))),IF(ROW()=2,"",A1414))</f>
      </c>
      <c r="B1415">
        <f>IF(OR('R.M Billets Reports'!A1414="Date-",'R.M Billets Reports'!A1414="Date:-"),'R.M Billets Reports'!B1414,IF(ROW()=2,"",B1414))</f>
      </c>
      <c r="C1415">
        <f>IF('R.M Billets Reports'!A1414="V.No.",'R.M Billets Reports'!B1414,IF(ROW()=2,"",C1414))</f>
      </c>
      <c r="D1415">
        <f>IF('R.M Billets Reports'!A1414&lt;&gt;"",'R.M Billets Reports'!A1414,IF(ROW()=2,"",D1414))</f>
      </c>
      <c r="E1415">
        <f>IF('R.M Billets Reports'!B1414="","",TRIM('R.M Billets Reports'!B1414))</f>
      </c>
      <c r="F1415">
        <f>'R.M Billets Reports'!C1414</f>
      </c>
      <c r="G1415">
        <f>'R.M Billets Reports'!D1414</f>
      </c>
      <c r="H1415">
        <f>'R.M Billets Reports'!E1414</f>
      </c>
      <c r="I1415">
        <f>'R.M Billets Reports'!F1414</f>
      </c>
      <c r="J1415">
        <f>'R.M Billets Reports'!G1414</f>
      </c>
      <c r="K1415">
        <f>'R.M Billets Reports'!H1414</f>
      </c>
      <c r="L1415">
        <f>IF('R.M Billets Reports'!I1414="","",'R.M Billets Reports'!I1414)</f>
      </c>
      <c r="M1415">
        <f t="shared" si="44"/>
      </c>
      <c r="N1415">
        <f>IF('R.M Billets Reports'!J1414="","",'R.M Billets Reports'!J1414)</f>
      </c>
      <c r="O1415">
        <f t="shared" si="45"/>
      </c>
      <c r="P1415">
        <f>IF('R.M Billets Reports'!A1414="SIZE",'R.M Billets Reports'!B1414,P1414)</f>
      </c>
    </row>
    <row r="1416" spans="1:16" x14ac:dyDescent="0.25">
      <c r="A1416">
        <f>IF(OR('R.M Billets Reports'!A1415="Date-",'R.M Billets Reports'!A1415="Date:-"),IF(IF(IF(ISNUMBER(SEARCH("Party Name:-",'R.M Billets Reports'!D1415)),TRIM('R.M Billets Reports'!F1415),IF(ISNUMBER(SEARCH("Party Name-",'R.M Billets Reports'!D1415)),TRIM(MID('R.M Billets Reports'!D1415,SEARCH("-",'R.M Billets Reports'!D1415)+1,200)),""))&lt;&gt;"",IF(ISNUMBER(SEARCH("Party Name:-",'R.M Billets Reports'!D1415)),TRIM('R.M Billets Reports'!F1415),IF(ISNUMBER(SEARCH("Party Name-",'R.M Billets Reports'!D1415)),TRIM(MID('R.M Billets Reports'!D1415,SEARCH("-",'R.M Billets Reports'!D1415)+1,200)),"")),IF(ISNUMBER(SEARCH("Party Name:-",'R.M Billets Reports'!D1416)),TRIM('R.M Billets Reports'!F1416),IF(ISNUMBER(SEARCH("Party Name-",'R.M Billets Reports'!D1416)),TRIM(MID('R.M Billets Reports'!D1416,SEARCH("-",'R.M Billets Reports'!D1416)+1,200)),"")))="VRKP ISPAT PVT LTD","VRKP",IF(IF(IF(ISNUMBER(SEARCH("Party Name:-",'R.M Billets Reports'!D1415)),TRIM('R.M Billets Reports'!F1415),IF(ISNUMBER(SEARCH("Party Name-",'R.M Billets Reports'!D1415)),TRIM(MID('R.M Billets Reports'!D1415,SEARCH("-",'R.M Billets Reports'!D1415)+1,200)),""))&lt;&gt;"",IF(ISNUMBER(SEARCH("Party Name:-",'R.M Billets Reports'!D1415)),TRIM('R.M Billets Reports'!F1415),IF(ISNUMBER(SEARCH("Party Name-",'R.M Billets Reports'!D1415)),TRIM(MID('R.M Billets Reports'!D1415,SEARCH("-",'R.M Billets Reports'!D1415)+1,200)),"")),IF(ISNUMBER(SEARCH("Party Name:-",'R.M Billets Reports'!D1416)),TRIM('R.M Billets Reports'!F1416),IF(ISNUMBER(SEARCH("Party Name-",'R.M Billets Reports'!D1416)),TRIM(MID('R.M Billets Reports'!D1416,SEARCH("-",'R.M Billets Reports'!D1416)+1,200)),"")))="SHRI RADHE","SHREE RADHE",IF(IF(IF(ISNUMBER(SEARCH("Party Name:-",'R.M Billets Reports'!D1415)),TRIM('R.M Billets Reports'!F1415),IF(ISNUMBER(SEARCH("Party Name-",'R.M Billets Reports'!D1415)),TRIM(MID('R.M Billets Reports'!D1415,SEARCH("-",'R.M Billets Reports'!D1415)+1,200)),""))&lt;&gt;"",IF(ISNUMBER(SEARCH("Party Name:-",'R.M Billets Reports'!D1415)),TRIM('R.M Billets Reports'!F1415),IF(ISNUMBER(SEARCH("Party Name-",'R.M Billets Reports'!D1415)),TRIM(MID('R.M Billets Reports'!D1415,SEARCH("-",'R.M Billets Reports'!D1415)+1,200)),"")),IF(ISNUMBER(SEARCH("Party Name:-",'R.M Billets Reports'!D1416)),TRIM('R.M Billets Reports'!F1416),IF(ISNUMBER(SEARCH("Party Name-",'R.M Billets Reports'!D1416)),TRIM(MID('R.M Billets Reports'!D1416,SEARCH("-",'R.M Billets Reports'!D1416)+1,200)),"")))="SHREE RADHE SHAKTI SPONGE AND POWER PVT. LTD.","SHREE RADHE",IF(IF(ISNUMBER(SEARCH("Party Name:-",'R.M Billets Reports'!D1415)),TRIM('R.M Billets Reports'!F1415),IF(ISNUMBER(SEARCH("Party Name-",'R.M Billets Reports'!D1415)),TRIM(MID('R.M Billets Reports'!D1415,SEARCH("-",'R.M Billets Reports'!D1415)+1,200)),""))&lt;&gt;"",IF(ISNUMBER(SEARCH("Party Name:-",'R.M Billets Reports'!D1415)),TRIM('R.M Billets Reports'!F1415),IF(ISNUMBER(SEARCH("Party Name-",'R.M Billets Reports'!D1415)),TRIM(MID('R.M Billets Reports'!D1415,SEARCH("-",'R.M Billets Reports'!D1415)+1,200)),"")),IF(ISNUMBER(SEARCH("Party Name:-",'R.M Billets Reports'!D1416)),TRIM('R.M Billets Reports'!F1416),IF(ISNUMBER(SEARCH("Party Name-",'R.M Billets Reports'!D1416)),TRIM(MID('R.M Billets Reports'!D1416,SEARCH("-",'R.M Billets Reports'!D1416)+1,200)),"")))))),IF(ROW()=2,"",A1415))</f>
      </c>
      <c r="B1416">
        <f>IF(OR('R.M Billets Reports'!A1415="Date-",'R.M Billets Reports'!A1415="Date:-"),'R.M Billets Reports'!B1415,IF(ROW()=2,"",B1415))</f>
      </c>
      <c r="C1416">
        <f>IF('R.M Billets Reports'!A1415="V.No.",'R.M Billets Reports'!B1415,IF(ROW()=2,"",C1415))</f>
      </c>
      <c r="D1416">
        <f>IF('R.M Billets Reports'!A1415&lt;&gt;"",'R.M Billets Reports'!A1415,IF(ROW()=2,"",D1415))</f>
      </c>
      <c r="E1416">
        <f>IF('R.M Billets Reports'!B1415="","",TRIM('R.M Billets Reports'!B1415))</f>
      </c>
      <c r="F1416">
        <f>'R.M Billets Reports'!C1415</f>
      </c>
      <c r="G1416">
        <f>'R.M Billets Reports'!D1415</f>
      </c>
      <c r="H1416">
        <f>'R.M Billets Reports'!E1415</f>
      </c>
      <c r="I1416">
        <f>'R.M Billets Reports'!F1415</f>
      </c>
      <c r="J1416">
        <f>'R.M Billets Reports'!G1415</f>
      </c>
      <c r="K1416">
        <f>'R.M Billets Reports'!H1415</f>
      </c>
      <c r="L1416">
        <f>IF('R.M Billets Reports'!I1415="","",'R.M Billets Reports'!I1415)</f>
      </c>
      <c r="M1416">
        <f t="shared" si="44"/>
      </c>
      <c r="N1416">
        <f>IF('R.M Billets Reports'!J1415="","",'R.M Billets Reports'!J1415)</f>
      </c>
      <c r="O1416">
        <f t="shared" si="45"/>
      </c>
      <c r="P1416">
        <f>IF('R.M Billets Reports'!A1415="SIZE",'R.M Billets Reports'!B1415,P1415)</f>
      </c>
    </row>
    <row r="1417" spans="1:16" x14ac:dyDescent="0.25">
      <c r="A1417">
        <f>IF(OR('R.M Billets Reports'!A1416="Date-",'R.M Billets Reports'!A1416="Date:-"),IF(IF(IF(ISNUMBER(SEARCH("Party Name:-",'R.M Billets Reports'!D1416)),TRIM('R.M Billets Reports'!F1416),IF(ISNUMBER(SEARCH("Party Name-",'R.M Billets Reports'!D1416)),TRIM(MID('R.M Billets Reports'!D1416,SEARCH("-",'R.M Billets Reports'!D1416)+1,200)),""))&lt;&gt;"",IF(ISNUMBER(SEARCH("Party Name:-",'R.M Billets Reports'!D1416)),TRIM('R.M Billets Reports'!F1416),IF(ISNUMBER(SEARCH("Party Name-",'R.M Billets Reports'!D1416)),TRIM(MID('R.M Billets Reports'!D1416,SEARCH("-",'R.M Billets Reports'!D1416)+1,200)),"")),IF(ISNUMBER(SEARCH("Party Name:-",'R.M Billets Reports'!D1417)),TRIM('R.M Billets Reports'!F1417),IF(ISNUMBER(SEARCH("Party Name-",'R.M Billets Reports'!D1417)),TRIM(MID('R.M Billets Reports'!D1417,SEARCH("-",'R.M Billets Reports'!D1417)+1,200)),"")))="VRKP ISPAT PVT LTD","VRKP",IF(IF(IF(ISNUMBER(SEARCH("Party Name:-",'R.M Billets Reports'!D1416)),TRIM('R.M Billets Reports'!F1416),IF(ISNUMBER(SEARCH("Party Name-",'R.M Billets Reports'!D1416)),TRIM(MID('R.M Billets Reports'!D1416,SEARCH("-",'R.M Billets Reports'!D1416)+1,200)),""))&lt;&gt;"",IF(ISNUMBER(SEARCH("Party Name:-",'R.M Billets Reports'!D1416)),TRIM('R.M Billets Reports'!F1416),IF(ISNUMBER(SEARCH("Party Name-",'R.M Billets Reports'!D1416)),TRIM(MID('R.M Billets Reports'!D1416,SEARCH("-",'R.M Billets Reports'!D1416)+1,200)),"")),IF(ISNUMBER(SEARCH("Party Name:-",'R.M Billets Reports'!D1417)),TRIM('R.M Billets Reports'!F1417),IF(ISNUMBER(SEARCH("Party Name-",'R.M Billets Reports'!D1417)),TRIM(MID('R.M Billets Reports'!D1417,SEARCH("-",'R.M Billets Reports'!D1417)+1,200)),"")))="SHRI RADHE","SHREE RADHE",IF(IF(IF(ISNUMBER(SEARCH("Party Name:-",'R.M Billets Reports'!D1416)),TRIM('R.M Billets Reports'!F1416),IF(ISNUMBER(SEARCH("Party Name-",'R.M Billets Reports'!D1416)),TRIM(MID('R.M Billets Reports'!D1416,SEARCH("-",'R.M Billets Reports'!D1416)+1,200)),""))&lt;&gt;"",IF(ISNUMBER(SEARCH("Party Name:-",'R.M Billets Reports'!D1416)),TRIM('R.M Billets Reports'!F1416),IF(ISNUMBER(SEARCH("Party Name-",'R.M Billets Reports'!D1416)),TRIM(MID('R.M Billets Reports'!D1416,SEARCH("-",'R.M Billets Reports'!D1416)+1,200)),"")),IF(ISNUMBER(SEARCH("Party Name:-",'R.M Billets Reports'!D1417)),TRIM('R.M Billets Reports'!F1417),IF(ISNUMBER(SEARCH("Party Name-",'R.M Billets Reports'!D1417)),TRIM(MID('R.M Billets Reports'!D1417,SEARCH("-",'R.M Billets Reports'!D1417)+1,200)),"")))="SHREE RADHE SHAKTI SPONGE AND POWER PVT. LTD.","SHREE RADHE",IF(IF(ISNUMBER(SEARCH("Party Name:-",'R.M Billets Reports'!D1416)),TRIM('R.M Billets Reports'!F1416),IF(ISNUMBER(SEARCH("Party Name-",'R.M Billets Reports'!D1416)),TRIM(MID('R.M Billets Reports'!D1416,SEARCH("-",'R.M Billets Reports'!D1416)+1,200)),""))&lt;&gt;"",IF(ISNUMBER(SEARCH("Party Name:-",'R.M Billets Reports'!D1416)),TRIM('R.M Billets Reports'!F1416),IF(ISNUMBER(SEARCH("Party Name-",'R.M Billets Reports'!D1416)),TRIM(MID('R.M Billets Reports'!D1416,SEARCH("-",'R.M Billets Reports'!D1416)+1,200)),"")),IF(ISNUMBER(SEARCH("Party Name:-",'R.M Billets Reports'!D1417)),TRIM('R.M Billets Reports'!F1417),IF(ISNUMBER(SEARCH("Party Name-",'R.M Billets Reports'!D1417)),TRIM(MID('R.M Billets Reports'!D1417,SEARCH("-",'R.M Billets Reports'!D1417)+1,200)),"")))))),IF(ROW()=2,"",A1416))</f>
      </c>
      <c r="B1417">
        <f>IF(OR('R.M Billets Reports'!A1416="Date-",'R.M Billets Reports'!A1416="Date:-"),'R.M Billets Reports'!B1416,IF(ROW()=2,"",B1416))</f>
      </c>
      <c r="C1417">
        <f>IF('R.M Billets Reports'!A1416="V.No.",'R.M Billets Reports'!B1416,IF(ROW()=2,"",C1416))</f>
      </c>
      <c r="D1417">
        <f>IF('R.M Billets Reports'!A1416&lt;&gt;"",'R.M Billets Reports'!A1416,IF(ROW()=2,"",D1416))</f>
      </c>
      <c r="E1417">
        <f>IF('R.M Billets Reports'!B1416="","",TRIM('R.M Billets Reports'!B1416))</f>
      </c>
      <c r="F1417">
        <f>'R.M Billets Reports'!C1416</f>
      </c>
      <c r="G1417">
        <f>'R.M Billets Reports'!D1416</f>
      </c>
      <c r="H1417">
        <f>'R.M Billets Reports'!E1416</f>
      </c>
      <c r="I1417">
        <f>'R.M Billets Reports'!F1416</f>
      </c>
      <c r="J1417">
        <f>'R.M Billets Reports'!G1416</f>
      </c>
      <c r="K1417">
        <f>'R.M Billets Reports'!H1416</f>
      </c>
      <c r="L1417">
        <f>IF('R.M Billets Reports'!I1416="","",'R.M Billets Reports'!I1416)</f>
      </c>
      <c r="M1417">
        <f t="shared" si="44"/>
      </c>
      <c r="N1417">
        <f>IF('R.M Billets Reports'!J1416="","",'R.M Billets Reports'!J1416)</f>
      </c>
      <c r="O1417">
        <f t="shared" si="45"/>
      </c>
      <c r="P1417">
        <f>IF('R.M Billets Reports'!A1416="SIZE",'R.M Billets Reports'!B1416,P1416)</f>
      </c>
    </row>
    <row r="1418" spans="1:16" x14ac:dyDescent="0.25">
      <c r="A1418">
        <f>IF(OR('R.M Billets Reports'!A1417="Date-",'R.M Billets Reports'!A1417="Date:-"),IF(IF(IF(ISNUMBER(SEARCH("Party Name:-",'R.M Billets Reports'!D1417)),TRIM('R.M Billets Reports'!F1417),IF(ISNUMBER(SEARCH("Party Name-",'R.M Billets Reports'!D1417)),TRIM(MID('R.M Billets Reports'!D1417,SEARCH("-",'R.M Billets Reports'!D1417)+1,200)),""))&lt;&gt;"",IF(ISNUMBER(SEARCH("Party Name:-",'R.M Billets Reports'!D1417)),TRIM('R.M Billets Reports'!F1417),IF(ISNUMBER(SEARCH("Party Name-",'R.M Billets Reports'!D1417)),TRIM(MID('R.M Billets Reports'!D1417,SEARCH("-",'R.M Billets Reports'!D1417)+1,200)),"")),IF(ISNUMBER(SEARCH("Party Name:-",'R.M Billets Reports'!D1418)),TRIM('R.M Billets Reports'!F1418),IF(ISNUMBER(SEARCH("Party Name-",'R.M Billets Reports'!D1418)),TRIM(MID('R.M Billets Reports'!D1418,SEARCH("-",'R.M Billets Reports'!D1418)+1,200)),"")))="VRKP ISPAT PVT LTD","VRKP",IF(IF(IF(ISNUMBER(SEARCH("Party Name:-",'R.M Billets Reports'!D1417)),TRIM('R.M Billets Reports'!F1417),IF(ISNUMBER(SEARCH("Party Name-",'R.M Billets Reports'!D1417)),TRIM(MID('R.M Billets Reports'!D1417,SEARCH("-",'R.M Billets Reports'!D1417)+1,200)),""))&lt;&gt;"",IF(ISNUMBER(SEARCH("Party Name:-",'R.M Billets Reports'!D1417)),TRIM('R.M Billets Reports'!F1417),IF(ISNUMBER(SEARCH("Party Name-",'R.M Billets Reports'!D1417)),TRIM(MID('R.M Billets Reports'!D1417,SEARCH("-",'R.M Billets Reports'!D1417)+1,200)),"")),IF(ISNUMBER(SEARCH("Party Name:-",'R.M Billets Reports'!D1418)),TRIM('R.M Billets Reports'!F1418),IF(ISNUMBER(SEARCH("Party Name-",'R.M Billets Reports'!D1418)),TRIM(MID('R.M Billets Reports'!D1418,SEARCH("-",'R.M Billets Reports'!D1418)+1,200)),"")))="SHRI RADHE","SHREE RADHE",IF(IF(IF(ISNUMBER(SEARCH("Party Name:-",'R.M Billets Reports'!D1417)),TRIM('R.M Billets Reports'!F1417),IF(ISNUMBER(SEARCH("Party Name-",'R.M Billets Reports'!D1417)),TRIM(MID('R.M Billets Reports'!D1417,SEARCH("-",'R.M Billets Reports'!D1417)+1,200)),""))&lt;&gt;"",IF(ISNUMBER(SEARCH("Party Name:-",'R.M Billets Reports'!D1417)),TRIM('R.M Billets Reports'!F1417),IF(ISNUMBER(SEARCH("Party Name-",'R.M Billets Reports'!D1417)),TRIM(MID('R.M Billets Reports'!D1417,SEARCH("-",'R.M Billets Reports'!D1417)+1,200)),"")),IF(ISNUMBER(SEARCH("Party Name:-",'R.M Billets Reports'!D1418)),TRIM('R.M Billets Reports'!F1418),IF(ISNUMBER(SEARCH("Party Name-",'R.M Billets Reports'!D1418)),TRIM(MID('R.M Billets Reports'!D1418,SEARCH("-",'R.M Billets Reports'!D1418)+1,200)),"")))="SHREE RADHE SHAKTI SPONGE AND POWER PVT. LTD.","SHREE RADHE",IF(IF(ISNUMBER(SEARCH("Party Name:-",'R.M Billets Reports'!D1417)),TRIM('R.M Billets Reports'!F1417),IF(ISNUMBER(SEARCH("Party Name-",'R.M Billets Reports'!D1417)),TRIM(MID('R.M Billets Reports'!D1417,SEARCH("-",'R.M Billets Reports'!D1417)+1,200)),""))&lt;&gt;"",IF(ISNUMBER(SEARCH("Party Name:-",'R.M Billets Reports'!D1417)),TRIM('R.M Billets Reports'!F1417),IF(ISNUMBER(SEARCH("Party Name-",'R.M Billets Reports'!D1417)),TRIM(MID('R.M Billets Reports'!D1417,SEARCH("-",'R.M Billets Reports'!D1417)+1,200)),"")),IF(ISNUMBER(SEARCH("Party Name:-",'R.M Billets Reports'!D1418)),TRIM('R.M Billets Reports'!F1418),IF(ISNUMBER(SEARCH("Party Name-",'R.M Billets Reports'!D1418)),TRIM(MID('R.M Billets Reports'!D1418,SEARCH("-",'R.M Billets Reports'!D1418)+1,200)),"")))))),IF(ROW()=2,"",A1417))</f>
      </c>
      <c r="B1418">
        <f>IF(OR('R.M Billets Reports'!A1417="Date-",'R.M Billets Reports'!A1417="Date:-"),'R.M Billets Reports'!B1417,IF(ROW()=2,"",B1417))</f>
      </c>
      <c r="C1418">
        <f>IF('R.M Billets Reports'!A1417="V.No.",'R.M Billets Reports'!B1417,IF(ROW()=2,"",C1417))</f>
      </c>
      <c r="D1418">
        <f>IF('R.M Billets Reports'!A1417&lt;&gt;"",'R.M Billets Reports'!A1417,IF(ROW()=2,"",D1417))</f>
      </c>
      <c r="E1418">
        <f>IF('R.M Billets Reports'!B1417="","",TRIM('R.M Billets Reports'!B1417))</f>
      </c>
      <c r="F1418">
        <f>'R.M Billets Reports'!C1417</f>
      </c>
      <c r="G1418">
        <f>'R.M Billets Reports'!D1417</f>
      </c>
      <c r="H1418">
        <f>'R.M Billets Reports'!E1417</f>
      </c>
      <c r="I1418">
        <f>'R.M Billets Reports'!F1417</f>
      </c>
      <c r="J1418">
        <f>'R.M Billets Reports'!G1417</f>
      </c>
      <c r="K1418">
        <f>'R.M Billets Reports'!H1417</f>
      </c>
      <c r="L1418">
        <f>IF('R.M Billets Reports'!I1417="","",'R.M Billets Reports'!I1417)</f>
      </c>
      <c r="M1418">
        <f t="shared" si="44"/>
      </c>
      <c r="N1418">
        <f>IF('R.M Billets Reports'!J1417="","",'R.M Billets Reports'!J1417)</f>
      </c>
      <c r="O1418">
        <f t="shared" si="45"/>
      </c>
      <c r="P1418">
        <f>IF('R.M Billets Reports'!A1417="SIZE",'R.M Billets Reports'!B1417,P1417)</f>
      </c>
    </row>
    <row r="1419" spans="1:16" x14ac:dyDescent="0.25">
      <c r="A1419">
        <f>IF(OR('R.M Billets Reports'!A1418="Date-",'R.M Billets Reports'!A1418="Date:-"),IF(IF(IF(ISNUMBER(SEARCH("Party Name:-",'R.M Billets Reports'!D1418)),TRIM('R.M Billets Reports'!F1418),IF(ISNUMBER(SEARCH("Party Name-",'R.M Billets Reports'!D1418)),TRIM(MID('R.M Billets Reports'!D1418,SEARCH("-",'R.M Billets Reports'!D1418)+1,200)),""))&lt;&gt;"",IF(ISNUMBER(SEARCH("Party Name:-",'R.M Billets Reports'!D1418)),TRIM('R.M Billets Reports'!F1418),IF(ISNUMBER(SEARCH("Party Name-",'R.M Billets Reports'!D1418)),TRIM(MID('R.M Billets Reports'!D1418,SEARCH("-",'R.M Billets Reports'!D1418)+1,200)),"")),IF(ISNUMBER(SEARCH("Party Name:-",'R.M Billets Reports'!D1419)),TRIM('R.M Billets Reports'!F1419),IF(ISNUMBER(SEARCH("Party Name-",'R.M Billets Reports'!D1419)),TRIM(MID('R.M Billets Reports'!D1419,SEARCH("-",'R.M Billets Reports'!D1419)+1,200)),"")))="VRKP ISPAT PVT LTD","VRKP",IF(IF(IF(ISNUMBER(SEARCH("Party Name:-",'R.M Billets Reports'!D1418)),TRIM('R.M Billets Reports'!F1418),IF(ISNUMBER(SEARCH("Party Name-",'R.M Billets Reports'!D1418)),TRIM(MID('R.M Billets Reports'!D1418,SEARCH("-",'R.M Billets Reports'!D1418)+1,200)),""))&lt;&gt;"",IF(ISNUMBER(SEARCH("Party Name:-",'R.M Billets Reports'!D1418)),TRIM('R.M Billets Reports'!F1418),IF(ISNUMBER(SEARCH("Party Name-",'R.M Billets Reports'!D1418)),TRIM(MID('R.M Billets Reports'!D1418,SEARCH("-",'R.M Billets Reports'!D1418)+1,200)),"")),IF(ISNUMBER(SEARCH("Party Name:-",'R.M Billets Reports'!D1419)),TRIM('R.M Billets Reports'!F1419),IF(ISNUMBER(SEARCH("Party Name-",'R.M Billets Reports'!D1419)),TRIM(MID('R.M Billets Reports'!D1419,SEARCH("-",'R.M Billets Reports'!D1419)+1,200)),"")))="SHRI RADHE","SHREE RADHE",IF(IF(IF(ISNUMBER(SEARCH("Party Name:-",'R.M Billets Reports'!D1418)),TRIM('R.M Billets Reports'!F1418),IF(ISNUMBER(SEARCH("Party Name-",'R.M Billets Reports'!D1418)),TRIM(MID('R.M Billets Reports'!D1418,SEARCH("-",'R.M Billets Reports'!D1418)+1,200)),""))&lt;&gt;"",IF(ISNUMBER(SEARCH("Party Name:-",'R.M Billets Reports'!D1418)),TRIM('R.M Billets Reports'!F1418),IF(ISNUMBER(SEARCH("Party Name-",'R.M Billets Reports'!D1418)),TRIM(MID('R.M Billets Reports'!D1418,SEARCH("-",'R.M Billets Reports'!D1418)+1,200)),"")),IF(ISNUMBER(SEARCH("Party Name:-",'R.M Billets Reports'!D1419)),TRIM('R.M Billets Reports'!F1419),IF(ISNUMBER(SEARCH("Party Name-",'R.M Billets Reports'!D1419)),TRIM(MID('R.M Billets Reports'!D1419,SEARCH("-",'R.M Billets Reports'!D1419)+1,200)),"")))="SHREE RADHE SHAKTI SPONGE AND POWER PVT. LTD.","SHREE RADHE",IF(IF(ISNUMBER(SEARCH("Party Name:-",'R.M Billets Reports'!D1418)),TRIM('R.M Billets Reports'!F1418),IF(ISNUMBER(SEARCH("Party Name-",'R.M Billets Reports'!D1418)),TRIM(MID('R.M Billets Reports'!D1418,SEARCH("-",'R.M Billets Reports'!D1418)+1,200)),""))&lt;&gt;"",IF(ISNUMBER(SEARCH("Party Name:-",'R.M Billets Reports'!D1418)),TRIM('R.M Billets Reports'!F1418),IF(ISNUMBER(SEARCH("Party Name-",'R.M Billets Reports'!D1418)),TRIM(MID('R.M Billets Reports'!D1418,SEARCH("-",'R.M Billets Reports'!D1418)+1,200)),"")),IF(ISNUMBER(SEARCH("Party Name:-",'R.M Billets Reports'!D1419)),TRIM('R.M Billets Reports'!F1419),IF(ISNUMBER(SEARCH("Party Name-",'R.M Billets Reports'!D1419)),TRIM(MID('R.M Billets Reports'!D1419,SEARCH("-",'R.M Billets Reports'!D1419)+1,200)),"")))))),IF(ROW()=2,"",A1418))</f>
      </c>
      <c r="B1419">
        <f>IF(OR('R.M Billets Reports'!A1418="Date-",'R.M Billets Reports'!A1418="Date:-"),'R.M Billets Reports'!B1418,IF(ROW()=2,"",B1418))</f>
      </c>
      <c r="C1419">
        <f>IF('R.M Billets Reports'!A1418="V.No.",'R.M Billets Reports'!B1418,IF(ROW()=2,"",C1418))</f>
      </c>
      <c r="D1419">
        <f>IF('R.M Billets Reports'!A1418&lt;&gt;"",'R.M Billets Reports'!A1418,IF(ROW()=2,"",D1418))</f>
      </c>
      <c r="E1419">
        <f>IF('R.M Billets Reports'!B1418="","",TRIM('R.M Billets Reports'!B1418))</f>
      </c>
      <c r="F1419">
        <f>'R.M Billets Reports'!C1418</f>
      </c>
      <c r="G1419">
        <f>'R.M Billets Reports'!D1418</f>
      </c>
      <c r="H1419">
        <f>'R.M Billets Reports'!E1418</f>
      </c>
      <c r="I1419">
        <f>'R.M Billets Reports'!F1418</f>
      </c>
      <c r="J1419">
        <f>'R.M Billets Reports'!G1418</f>
      </c>
      <c r="K1419">
        <f>'R.M Billets Reports'!H1418</f>
      </c>
      <c r="L1419">
        <f>IF('R.M Billets Reports'!I1418="","",'R.M Billets Reports'!I1418)</f>
      </c>
      <c r="M1419">
        <f t="shared" si="44"/>
      </c>
      <c r="N1419">
        <f>IF('R.M Billets Reports'!J1418="","",'R.M Billets Reports'!J1418)</f>
      </c>
      <c r="O1419">
        <f t="shared" si="45"/>
      </c>
      <c r="P1419">
        <f>IF('R.M Billets Reports'!A1418="SIZE",'R.M Billets Reports'!B1418,P1418)</f>
      </c>
    </row>
    <row r="1420" spans="1:16" x14ac:dyDescent="0.25">
      <c r="A1420">
        <f>IF(OR('R.M Billets Reports'!A1419="Date-",'R.M Billets Reports'!A1419="Date:-"),IF(IF(IF(ISNUMBER(SEARCH("Party Name:-",'R.M Billets Reports'!D1419)),TRIM('R.M Billets Reports'!F1419),IF(ISNUMBER(SEARCH("Party Name-",'R.M Billets Reports'!D1419)),TRIM(MID('R.M Billets Reports'!D1419,SEARCH("-",'R.M Billets Reports'!D1419)+1,200)),""))&lt;&gt;"",IF(ISNUMBER(SEARCH("Party Name:-",'R.M Billets Reports'!D1419)),TRIM('R.M Billets Reports'!F1419),IF(ISNUMBER(SEARCH("Party Name-",'R.M Billets Reports'!D1419)),TRIM(MID('R.M Billets Reports'!D1419,SEARCH("-",'R.M Billets Reports'!D1419)+1,200)),"")),IF(ISNUMBER(SEARCH("Party Name:-",'R.M Billets Reports'!D1420)),TRIM('R.M Billets Reports'!F1420),IF(ISNUMBER(SEARCH("Party Name-",'R.M Billets Reports'!D1420)),TRIM(MID('R.M Billets Reports'!D1420,SEARCH("-",'R.M Billets Reports'!D1420)+1,200)),"")))="VRKP ISPAT PVT LTD","VRKP",IF(IF(IF(ISNUMBER(SEARCH("Party Name:-",'R.M Billets Reports'!D1419)),TRIM('R.M Billets Reports'!F1419),IF(ISNUMBER(SEARCH("Party Name-",'R.M Billets Reports'!D1419)),TRIM(MID('R.M Billets Reports'!D1419,SEARCH("-",'R.M Billets Reports'!D1419)+1,200)),""))&lt;&gt;"",IF(ISNUMBER(SEARCH("Party Name:-",'R.M Billets Reports'!D1419)),TRIM('R.M Billets Reports'!F1419),IF(ISNUMBER(SEARCH("Party Name-",'R.M Billets Reports'!D1419)),TRIM(MID('R.M Billets Reports'!D1419,SEARCH("-",'R.M Billets Reports'!D1419)+1,200)),"")),IF(ISNUMBER(SEARCH("Party Name:-",'R.M Billets Reports'!D1420)),TRIM('R.M Billets Reports'!F1420),IF(ISNUMBER(SEARCH("Party Name-",'R.M Billets Reports'!D1420)),TRIM(MID('R.M Billets Reports'!D1420,SEARCH("-",'R.M Billets Reports'!D1420)+1,200)),"")))="SHRI RADHE","SHREE RADHE",IF(IF(IF(ISNUMBER(SEARCH("Party Name:-",'R.M Billets Reports'!D1419)),TRIM('R.M Billets Reports'!F1419),IF(ISNUMBER(SEARCH("Party Name-",'R.M Billets Reports'!D1419)),TRIM(MID('R.M Billets Reports'!D1419,SEARCH("-",'R.M Billets Reports'!D1419)+1,200)),""))&lt;&gt;"",IF(ISNUMBER(SEARCH("Party Name:-",'R.M Billets Reports'!D1419)),TRIM('R.M Billets Reports'!F1419),IF(ISNUMBER(SEARCH("Party Name-",'R.M Billets Reports'!D1419)),TRIM(MID('R.M Billets Reports'!D1419,SEARCH("-",'R.M Billets Reports'!D1419)+1,200)),"")),IF(ISNUMBER(SEARCH("Party Name:-",'R.M Billets Reports'!D1420)),TRIM('R.M Billets Reports'!F1420),IF(ISNUMBER(SEARCH("Party Name-",'R.M Billets Reports'!D1420)),TRIM(MID('R.M Billets Reports'!D1420,SEARCH("-",'R.M Billets Reports'!D1420)+1,200)),"")))="SHREE RADHE SHAKTI SPONGE AND POWER PVT. LTD.","SHREE RADHE",IF(IF(ISNUMBER(SEARCH("Party Name:-",'R.M Billets Reports'!D1419)),TRIM('R.M Billets Reports'!F1419),IF(ISNUMBER(SEARCH("Party Name-",'R.M Billets Reports'!D1419)),TRIM(MID('R.M Billets Reports'!D1419,SEARCH("-",'R.M Billets Reports'!D1419)+1,200)),""))&lt;&gt;"",IF(ISNUMBER(SEARCH("Party Name:-",'R.M Billets Reports'!D1419)),TRIM('R.M Billets Reports'!F1419),IF(ISNUMBER(SEARCH("Party Name-",'R.M Billets Reports'!D1419)),TRIM(MID('R.M Billets Reports'!D1419,SEARCH("-",'R.M Billets Reports'!D1419)+1,200)),"")),IF(ISNUMBER(SEARCH("Party Name:-",'R.M Billets Reports'!D1420)),TRIM('R.M Billets Reports'!F1420),IF(ISNUMBER(SEARCH("Party Name-",'R.M Billets Reports'!D1420)),TRIM(MID('R.M Billets Reports'!D1420,SEARCH("-",'R.M Billets Reports'!D1420)+1,200)),"")))))),IF(ROW()=2,"",A1419))</f>
      </c>
      <c r="B1420">
        <f>IF(OR('R.M Billets Reports'!A1419="Date-",'R.M Billets Reports'!A1419="Date:-"),'R.M Billets Reports'!B1419,IF(ROW()=2,"",B1419))</f>
      </c>
      <c r="C1420">
        <f>IF('R.M Billets Reports'!A1419="V.No.",'R.M Billets Reports'!B1419,IF(ROW()=2,"",C1419))</f>
      </c>
      <c r="D1420">
        <f>IF('R.M Billets Reports'!A1419&lt;&gt;"",'R.M Billets Reports'!A1419,IF(ROW()=2,"",D1419))</f>
      </c>
      <c r="E1420">
        <f>IF('R.M Billets Reports'!B1419="","",TRIM('R.M Billets Reports'!B1419))</f>
      </c>
      <c r="F1420">
        <f>'R.M Billets Reports'!C1419</f>
      </c>
      <c r="G1420">
        <f>'R.M Billets Reports'!D1419</f>
      </c>
      <c r="H1420">
        <f>'R.M Billets Reports'!E1419</f>
      </c>
      <c r="I1420">
        <f>'R.M Billets Reports'!F1419</f>
      </c>
      <c r="J1420">
        <f>'R.M Billets Reports'!G1419</f>
      </c>
      <c r="K1420">
        <f>'R.M Billets Reports'!H1419</f>
      </c>
      <c r="L1420">
        <f>IF('R.M Billets Reports'!I1419="","",'R.M Billets Reports'!I1419)</f>
      </c>
      <c r="M1420">
        <f t="shared" si="44"/>
      </c>
      <c r="N1420">
        <f>IF('R.M Billets Reports'!J1419="","",'R.M Billets Reports'!J1419)</f>
      </c>
      <c r="O1420">
        <f t="shared" si="45"/>
      </c>
      <c r="P1420">
        <f>IF('R.M Billets Reports'!A1419="SIZE",'R.M Billets Reports'!B1419,P1419)</f>
      </c>
    </row>
    <row r="1421" spans="1:16" x14ac:dyDescent="0.25">
      <c r="A1421">
        <f>IF(OR('R.M Billets Reports'!A1420="Date-",'R.M Billets Reports'!A1420="Date:-"),IF(IF(IF(ISNUMBER(SEARCH("Party Name:-",'R.M Billets Reports'!D1420)),TRIM('R.M Billets Reports'!F1420),IF(ISNUMBER(SEARCH("Party Name-",'R.M Billets Reports'!D1420)),TRIM(MID('R.M Billets Reports'!D1420,SEARCH("-",'R.M Billets Reports'!D1420)+1,200)),""))&lt;&gt;"",IF(ISNUMBER(SEARCH("Party Name:-",'R.M Billets Reports'!D1420)),TRIM('R.M Billets Reports'!F1420),IF(ISNUMBER(SEARCH("Party Name-",'R.M Billets Reports'!D1420)),TRIM(MID('R.M Billets Reports'!D1420,SEARCH("-",'R.M Billets Reports'!D1420)+1,200)),"")),IF(ISNUMBER(SEARCH("Party Name:-",'R.M Billets Reports'!D1421)),TRIM('R.M Billets Reports'!F1421),IF(ISNUMBER(SEARCH("Party Name-",'R.M Billets Reports'!D1421)),TRIM(MID('R.M Billets Reports'!D1421,SEARCH("-",'R.M Billets Reports'!D1421)+1,200)),"")))="VRKP ISPAT PVT LTD","VRKP",IF(IF(IF(ISNUMBER(SEARCH("Party Name:-",'R.M Billets Reports'!D1420)),TRIM('R.M Billets Reports'!F1420),IF(ISNUMBER(SEARCH("Party Name-",'R.M Billets Reports'!D1420)),TRIM(MID('R.M Billets Reports'!D1420,SEARCH("-",'R.M Billets Reports'!D1420)+1,200)),""))&lt;&gt;"",IF(ISNUMBER(SEARCH("Party Name:-",'R.M Billets Reports'!D1420)),TRIM('R.M Billets Reports'!F1420),IF(ISNUMBER(SEARCH("Party Name-",'R.M Billets Reports'!D1420)),TRIM(MID('R.M Billets Reports'!D1420,SEARCH("-",'R.M Billets Reports'!D1420)+1,200)),"")),IF(ISNUMBER(SEARCH("Party Name:-",'R.M Billets Reports'!D1421)),TRIM('R.M Billets Reports'!F1421),IF(ISNUMBER(SEARCH("Party Name-",'R.M Billets Reports'!D1421)),TRIM(MID('R.M Billets Reports'!D1421,SEARCH("-",'R.M Billets Reports'!D1421)+1,200)),"")))="SHRI RADHE","SHREE RADHE",IF(IF(IF(ISNUMBER(SEARCH("Party Name:-",'R.M Billets Reports'!D1420)),TRIM('R.M Billets Reports'!F1420),IF(ISNUMBER(SEARCH("Party Name-",'R.M Billets Reports'!D1420)),TRIM(MID('R.M Billets Reports'!D1420,SEARCH("-",'R.M Billets Reports'!D1420)+1,200)),""))&lt;&gt;"",IF(ISNUMBER(SEARCH("Party Name:-",'R.M Billets Reports'!D1420)),TRIM('R.M Billets Reports'!F1420),IF(ISNUMBER(SEARCH("Party Name-",'R.M Billets Reports'!D1420)),TRIM(MID('R.M Billets Reports'!D1420,SEARCH("-",'R.M Billets Reports'!D1420)+1,200)),"")),IF(ISNUMBER(SEARCH("Party Name:-",'R.M Billets Reports'!D1421)),TRIM('R.M Billets Reports'!F1421),IF(ISNUMBER(SEARCH("Party Name-",'R.M Billets Reports'!D1421)),TRIM(MID('R.M Billets Reports'!D1421,SEARCH("-",'R.M Billets Reports'!D1421)+1,200)),"")))="SHREE RADHE SHAKTI SPONGE AND POWER PVT. LTD.","SHREE RADHE",IF(IF(ISNUMBER(SEARCH("Party Name:-",'R.M Billets Reports'!D1420)),TRIM('R.M Billets Reports'!F1420),IF(ISNUMBER(SEARCH("Party Name-",'R.M Billets Reports'!D1420)),TRIM(MID('R.M Billets Reports'!D1420,SEARCH("-",'R.M Billets Reports'!D1420)+1,200)),""))&lt;&gt;"",IF(ISNUMBER(SEARCH("Party Name:-",'R.M Billets Reports'!D1420)),TRIM('R.M Billets Reports'!F1420),IF(ISNUMBER(SEARCH("Party Name-",'R.M Billets Reports'!D1420)),TRIM(MID('R.M Billets Reports'!D1420,SEARCH("-",'R.M Billets Reports'!D1420)+1,200)),"")),IF(ISNUMBER(SEARCH("Party Name:-",'R.M Billets Reports'!D1421)),TRIM('R.M Billets Reports'!F1421),IF(ISNUMBER(SEARCH("Party Name-",'R.M Billets Reports'!D1421)),TRIM(MID('R.M Billets Reports'!D1421,SEARCH("-",'R.M Billets Reports'!D1421)+1,200)),"")))))),IF(ROW()=2,"",A1420))</f>
      </c>
      <c r="B1421">
        <f>IF(OR('R.M Billets Reports'!A1420="Date-",'R.M Billets Reports'!A1420="Date:-"),'R.M Billets Reports'!B1420,IF(ROW()=2,"",B1420))</f>
      </c>
      <c r="C1421">
        <f>IF('R.M Billets Reports'!A1420="V.No.",'R.M Billets Reports'!B1420,IF(ROW()=2,"",C1420))</f>
      </c>
      <c r="D1421">
        <f>IF('R.M Billets Reports'!A1420&lt;&gt;"",'R.M Billets Reports'!A1420,IF(ROW()=2,"",D1420))</f>
      </c>
      <c r="E1421">
        <f>IF('R.M Billets Reports'!B1420="","",TRIM('R.M Billets Reports'!B1420))</f>
      </c>
      <c r="F1421">
        <f>'R.M Billets Reports'!C1420</f>
      </c>
      <c r="G1421">
        <f>'R.M Billets Reports'!D1420</f>
      </c>
      <c r="H1421">
        <f>'R.M Billets Reports'!E1420</f>
      </c>
      <c r="I1421">
        <f>'R.M Billets Reports'!F1420</f>
      </c>
      <c r="J1421">
        <f>'R.M Billets Reports'!G1420</f>
      </c>
      <c r="K1421">
        <f>'R.M Billets Reports'!H1420</f>
      </c>
      <c r="L1421">
        <f>IF('R.M Billets Reports'!I1420="","",'R.M Billets Reports'!I1420)</f>
      </c>
      <c r="M1421">
        <f t="shared" si="44"/>
      </c>
      <c r="N1421">
        <f>IF('R.M Billets Reports'!J1420="","",'R.M Billets Reports'!J1420)</f>
      </c>
      <c r="O1421">
        <f t="shared" si="45"/>
      </c>
      <c r="P1421">
        <f>IF('R.M Billets Reports'!A1420="SIZE",'R.M Billets Reports'!B1420,P1420)</f>
      </c>
    </row>
    <row r="1422" spans="1:16" x14ac:dyDescent="0.25">
      <c r="A1422">
        <f>IF(OR('R.M Billets Reports'!A1421="Date-",'R.M Billets Reports'!A1421="Date:-"),IF(IF(IF(ISNUMBER(SEARCH("Party Name:-",'R.M Billets Reports'!D1421)),TRIM('R.M Billets Reports'!F1421),IF(ISNUMBER(SEARCH("Party Name-",'R.M Billets Reports'!D1421)),TRIM(MID('R.M Billets Reports'!D1421,SEARCH("-",'R.M Billets Reports'!D1421)+1,200)),""))&lt;&gt;"",IF(ISNUMBER(SEARCH("Party Name:-",'R.M Billets Reports'!D1421)),TRIM('R.M Billets Reports'!F1421),IF(ISNUMBER(SEARCH("Party Name-",'R.M Billets Reports'!D1421)),TRIM(MID('R.M Billets Reports'!D1421,SEARCH("-",'R.M Billets Reports'!D1421)+1,200)),"")),IF(ISNUMBER(SEARCH("Party Name:-",'R.M Billets Reports'!D1422)),TRIM('R.M Billets Reports'!F1422),IF(ISNUMBER(SEARCH("Party Name-",'R.M Billets Reports'!D1422)),TRIM(MID('R.M Billets Reports'!D1422,SEARCH("-",'R.M Billets Reports'!D1422)+1,200)),"")))="VRKP ISPAT PVT LTD","VRKP",IF(IF(IF(ISNUMBER(SEARCH("Party Name:-",'R.M Billets Reports'!D1421)),TRIM('R.M Billets Reports'!F1421),IF(ISNUMBER(SEARCH("Party Name-",'R.M Billets Reports'!D1421)),TRIM(MID('R.M Billets Reports'!D1421,SEARCH("-",'R.M Billets Reports'!D1421)+1,200)),""))&lt;&gt;"",IF(ISNUMBER(SEARCH("Party Name:-",'R.M Billets Reports'!D1421)),TRIM('R.M Billets Reports'!F1421),IF(ISNUMBER(SEARCH("Party Name-",'R.M Billets Reports'!D1421)),TRIM(MID('R.M Billets Reports'!D1421,SEARCH("-",'R.M Billets Reports'!D1421)+1,200)),"")),IF(ISNUMBER(SEARCH("Party Name:-",'R.M Billets Reports'!D1422)),TRIM('R.M Billets Reports'!F1422),IF(ISNUMBER(SEARCH("Party Name-",'R.M Billets Reports'!D1422)),TRIM(MID('R.M Billets Reports'!D1422,SEARCH("-",'R.M Billets Reports'!D1422)+1,200)),"")))="SHRI RADHE","SHREE RADHE",IF(IF(IF(ISNUMBER(SEARCH("Party Name:-",'R.M Billets Reports'!D1421)),TRIM('R.M Billets Reports'!F1421),IF(ISNUMBER(SEARCH("Party Name-",'R.M Billets Reports'!D1421)),TRIM(MID('R.M Billets Reports'!D1421,SEARCH("-",'R.M Billets Reports'!D1421)+1,200)),""))&lt;&gt;"",IF(ISNUMBER(SEARCH("Party Name:-",'R.M Billets Reports'!D1421)),TRIM('R.M Billets Reports'!F1421),IF(ISNUMBER(SEARCH("Party Name-",'R.M Billets Reports'!D1421)),TRIM(MID('R.M Billets Reports'!D1421,SEARCH("-",'R.M Billets Reports'!D1421)+1,200)),"")),IF(ISNUMBER(SEARCH("Party Name:-",'R.M Billets Reports'!D1422)),TRIM('R.M Billets Reports'!F1422),IF(ISNUMBER(SEARCH("Party Name-",'R.M Billets Reports'!D1422)),TRIM(MID('R.M Billets Reports'!D1422,SEARCH("-",'R.M Billets Reports'!D1422)+1,200)),"")))="SHREE RADHE SHAKTI SPONGE AND POWER PVT. LTD.","SHREE RADHE",IF(IF(ISNUMBER(SEARCH("Party Name:-",'R.M Billets Reports'!D1421)),TRIM('R.M Billets Reports'!F1421),IF(ISNUMBER(SEARCH("Party Name-",'R.M Billets Reports'!D1421)),TRIM(MID('R.M Billets Reports'!D1421,SEARCH("-",'R.M Billets Reports'!D1421)+1,200)),""))&lt;&gt;"",IF(ISNUMBER(SEARCH("Party Name:-",'R.M Billets Reports'!D1421)),TRIM('R.M Billets Reports'!F1421),IF(ISNUMBER(SEARCH("Party Name-",'R.M Billets Reports'!D1421)),TRIM(MID('R.M Billets Reports'!D1421,SEARCH("-",'R.M Billets Reports'!D1421)+1,200)),"")),IF(ISNUMBER(SEARCH("Party Name:-",'R.M Billets Reports'!D1422)),TRIM('R.M Billets Reports'!F1422),IF(ISNUMBER(SEARCH("Party Name-",'R.M Billets Reports'!D1422)),TRIM(MID('R.M Billets Reports'!D1422,SEARCH("-",'R.M Billets Reports'!D1422)+1,200)),"")))))),IF(ROW()=2,"",A1421))</f>
      </c>
      <c r="B1422">
        <f>IF(OR('R.M Billets Reports'!A1421="Date-",'R.M Billets Reports'!A1421="Date:-"),'R.M Billets Reports'!B1421,IF(ROW()=2,"",B1421))</f>
      </c>
      <c r="C1422">
        <f>IF('R.M Billets Reports'!A1421="V.No.",'R.M Billets Reports'!B1421,IF(ROW()=2,"",C1421))</f>
      </c>
      <c r="D1422">
        <f>IF('R.M Billets Reports'!A1421&lt;&gt;"",'R.M Billets Reports'!A1421,IF(ROW()=2,"",D1421))</f>
      </c>
      <c r="E1422">
        <f>IF('R.M Billets Reports'!B1421="","",TRIM('R.M Billets Reports'!B1421))</f>
      </c>
      <c r="F1422">
        <f>'R.M Billets Reports'!C1421</f>
      </c>
      <c r="G1422">
        <f>'R.M Billets Reports'!D1421</f>
      </c>
      <c r="H1422">
        <f>'R.M Billets Reports'!E1421</f>
      </c>
      <c r="I1422">
        <f>'R.M Billets Reports'!F1421</f>
      </c>
      <c r="J1422">
        <f>'R.M Billets Reports'!G1421</f>
      </c>
      <c r="K1422">
        <f>'R.M Billets Reports'!H1421</f>
      </c>
      <c r="L1422">
        <f>IF('R.M Billets Reports'!I1421="","",'R.M Billets Reports'!I1421)</f>
      </c>
      <c r="M1422">
        <f t="shared" si="44"/>
      </c>
      <c r="N1422">
        <f>IF('R.M Billets Reports'!J1421="","",'R.M Billets Reports'!J1421)</f>
      </c>
      <c r="O1422">
        <f t="shared" si="45"/>
      </c>
      <c r="P1422">
        <f>IF('R.M Billets Reports'!A1421="SIZE",'R.M Billets Reports'!B1421,P1421)</f>
      </c>
    </row>
    <row r="1423" spans="1:16" x14ac:dyDescent="0.25">
      <c r="A1423">
        <f>IF(OR('R.M Billets Reports'!A1422="Date-",'R.M Billets Reports'!A1422="Date:-"),IF(IF(IF(ISNUMBER(SEARCH("Party Name:-",'R.M Billets Reports'!D1422)),TRIM('R.M Billets Reports'!F1422),IF(ISNUMBER(SEARCH("Party Name-",'R.M Billets Reports'!D1422)),TRIM(MID('R.M Billets Reports'!D1422,SEARCH("-",'R.M Billets Reports'!D1422)+1,200)),""))&lt;&gt;"",IF(ISNUMBER(SEARCH("Party Name:-",'R.M Billets Reports'!D1422)),TRIM('R.M Billets Reports'!F1422),IF(ISNUMBER(SEARCH("Party Name-",'R.M Billets Reports'!D1422)),TRIM(MID('R.M Billets Reports'!D1422,SEARCH("-",'R.M Billets Reports'!D1422)+1,200)),"")),IF(ISNUMBER(SEARCH("Party Name:-",'R.M Billets Reports'!D1423)),TRIM('R.M Billets Reports'!F1423),IF(ISNUMBER(SEARCH("Party Name-",'R.M Billets Reports'!D1423)),TRIM(MID('R.M Billets Reports'!D1423,SEARCH("-",'R.M Billets Reports'!D1423)+1,200)),"")))="VRKP ISPAT PVT LTD","VRKP",IF(IF(IF(ISNUMBER(SEARCH("Party Name:-",'R.M Billets Reports'!D1422)),TRIM('R.M Billets Reports'!F1422),IF(ISNUMBER(SEARCH("Party Name-",'R.M Billets Reports'!D1422)),TRIM(MID('R.M Billets Reports'!D1422,SEARCH("-",'R.M Billets Reports'!D1422)+1,200)),""))&lt;&gt;"",IF(ISNUMBER(SEARCH("Party Name:-",'R.M Billets Reports'!D1422)),TRIM('R.M Billets Reports'!F1422),IF(ISNUMBER(SEARCH("Party Name-",'R.M Billets Reports'!D1422)),TRIM(MID('R.M Billets Reports'!D1422,SEARCH("-",'R.M Billets Reports'!D1422)+1,200)),"")),IF(ISNUMBER(SEARCH("Party Name:-",'R.M Billets Reports'!D1423)),TRIM('R.M Billets Reports'!F1423),IF(ISNUMBER(SEARCH("Party Name-",'R.M Billets Reports'!D1423)),TRIM(MID('R.M Billets Reports'!D1423,SEARCH("-",'R.M Billets Reports'!D1423)+1,200)),"")))="SHRI RADHE","SHREE RADHE",IF(IF(IF(ISNUMBER(SEARCH("Party Name:-",'R.M Billets Reports'!D1422)),TRIM('R.M Billets Reports'!F1422),IF(ISNUMBER(SEARCH("Party Name-",'R.M Billets Reports'!D1422)),TRIM(MID('R.M Billets Reports'!D1422,SEARCH("-",'R.M Billets Reports'!D1422)+1,200)),""))&lt;&gt;"",IF(ISNUMBER(SEARCH("Party Name:-",'R.M Billets Reports'!D1422)),TRIM('R.M Billets Reports'!F1422),IF(ISNUMBER(SEARCH("Party Name-",'R.M Billets Reports'!D1422)),TRIM(MID('R.M Billets Reports'!D1422,SEARCH("-",'R.M Billets Reports'!D1422)+1,200)),"")),IF(ISNUMBER(SEARCH("Party Name:-",'R.M Billets Reports'!D1423)),TRIM('R.M Billets Reports'!F1423),IF(ISNUMBER(SEARCH("Party Name-",'R.M Billets Reports'!D1423)),TRIM(MID('R.M Billets Reports'!D1423,SEARCH("-",'R.M Billets Reports'!D1423)+1,200)),"")))="SHREE RADHE SHAKTI SPONGE AND POWER PVT. LTD.","SHREE RADHE",IF(IF(ISNUMBER(SEARCH("Party Name:-",'R.M Billets Reports'!D1422)),TRIM('R.M Billets Reports'!F1422),IF(ISNUMBER(SEARCH("Party Name-",'R.M Billets Reports'!D1422)),TRIM(MID('R.M Billets Reports'!D1422,SEARCH("-",'R.M Billets Reports'!D1422)+1,200)),""))&lt;&gt;"",IF(ISNUMBER(SEARCH("Party Name:-",'R.M Billets Reports'!D1422)),TRIM('R.M Billets Reports'!F1422),IF(ISNUMBER(SEARCH("Party Name-",'R.M Billets Reports'!D1422)),TRIM(MID('R.M Billets Reports'!D1422,SEARCH("-",'R.M Billets Reports'!D1422)+1,200)),"")),IF(ISNUMBER(SEARCH("Party Name:-",'R.M Billets Reports'!D1423)),TRIM('R.M Billets Reports'!F1423),IF(ISNUMBER(SEARCH("Party Name-",'R.M Billets Reports'!D1423)),TRIM(MID('R.M Billets Reports'!D1423,SEARCH("-",'R.M Billets Reports'!D1423)+1,200)),"")))))),IF(ROW()=2,"",A1422))</f>
      </c>
      <c r="B1423">
        <f>IF(OR('R.M Billets Reports'!A1422="Date-",'R.M Billets Reports'!A1422="Date:-"),'R.M Billets Reports'!B1422,IF(ROW()=2,"",B1422))</f>
      </c>
      <c r="C1423">
        <f>IF('R.M Billets Reports'!A1422="V.No.",'R.M Billets Reports'!B1422,IF(ROW()=2,"",C1422))</f>
      </c>
      <c r="D1423">
        <f>IF('R.M Billets Reports'!A1422&lt;&gt;"",'R.M Billets Reports'!A1422,IF(ROW()=2,"",D1422))</f>
      </c>
      <c r="E1423">
        <f>IF('R.M Billets Reports'!B1422="","",TRIM('R.M Billets Reports'!B1422))</f>
      </c>
      <c r="F1423">
        <f>'R.M Billets Reports'!C1422</f>
      </c>
      <c r="G1423">
        <f>'R.M Billets Reports'!D1422</f>
      </c>
      <c r="H1423">
        <f>'R.M Billets Reports'!E1422</f>
      </c>
      <c r="I1423">
        <f>'R.M Billets Reports'!F1422</f>
      </c>
      <c r="J1423">
        <f>'R.M Billets Reports'!G1422</f>
      </c>
      <c r="K1423">
        <f>'R.M Billets Reports'!H1422</f>
      </c>
      <c r="L1423">
        <f>IF('R.M Billets Reports'!I1422="","",'R.M Billets Reports'!I1422)</f>
      </c>
      <c r="M1423">
        <f t="shared" si="44"/>
      </c>
      <c r="N1423">
        <f>IF('R.M Billets Reports'!J1422="","",'R.M Billets Reports'!J1422)</f>
      </c>
      <c r="O1423">
        <f t="shared" si="45"/>
      </c>
      <c r="P1423">
        <f>IF('R.M Billets Reports'!A1422="SIZE",'R.M Billets Reports'!B1422,P1422)</f>
      </c>
    </row>
    <row r="1424" spans="1:16" x14ac:dyDescent="0.25">
      <c r="A1424">
        <f>IF(OR('R.M Billets Reports'!A1423="Date-",'R.M Billets Reports'!A1423="Date:-"),IF(IF(IF(ISNUMBER(SEARCH("Party Name:-",'R.M Billets Reports'!D1423)),TRIM('R.M Billets Reports'!F1423),IF(ISNUMBER(SEARCH("Party Name-",'R.M Billets Reports'!D1423)),TRIM(MID('R.M Billets Reports'!D1423,SEARCH("-",'R.M Billets Reports'!D1423)+1,200)),""))&lt;&gt;"",IF(ISNUMBER(SEARCH("Party Name:-",'R.M Billets Reports'!D1423)),TRIM('R.M Billets Reports'!F1423),IF(ISNUMBER(SEARCH("Party Name-",'R.M Billets Reports'!D1423)),TRIM(MID('R.M Billets Reports'!D1423,SEARCH("-",'R.M Billets Reports'!D1423)+1,200)),"")),IF(ISNUMBER(SEARCH("Party Name:-",'R.M Billets Reports'!D1424)),TRIM('R.M Billets Reports'!F1424),IF(ISNUMBER(SEARCH("Party Name-",'R.M Billets Reports'!D1424)),TRIM(MID('R.M Billets Reports'!D1424,SEARCH("-",'R.M Billets Reports'!D1424)+1,200)),"")))="VRKP ISPAT PVT LTD","VRKP",IF(IF(IF(ISNUMBER(SEARCH("Party Name:-",'R.M Billets Reports'!D1423)),TRIM('R.M Billets Reports'!F1423),IF(ISNUMBER(SEARCH("Party Name-",'R.M Billets Reports'!D1423)),TRIM(MID('R.M Billets Reports'!D1423,SEARCH("-",'R.M Billets Reports'!D1423)+1,200)),""))&lt;&gt;"",IF(ISNUMBER(SEARCH("Party Name:-",'R.M Billets Reports'!D1423)),TRIM('R.M Billets Reports'!F1423),IF(ISNUMBER(SEARCH("Party Name-",'R.M Billets Reports'!D1423)),TRIM(MID('R.M Billets Reports'!D1423,SEARCH("-",'R.M Billets Reports'!D1423)+1,200)),"")),IF(ISNUMBER(SEARCH("Party Name:-",'R.M Billets Reports'!D1424)),TRIM('R.M Billets Reports'!F1424),IF(ISNUMBER(SEARCH("Party Name-",'R.M Billets Reports'!D1424)),TRIM(MID('R.M Billets Reports'!D1424,SEARCH("-",'R.M Billets Reports'!D1424)+1,200)),"")))="SHRI RADHE","SHREE RADHE",IF(IF(IF(ISNUMBER(SEARCH("Party Name:-",'R.M Billets Reports'!D1423)),TRIM('R.M Billets Reports'!F1423),IF(ISNUMBER(SEARCH("Party Name-",'R.M Billets Reports'!D1423)),TRIM(MID('R.M Billets Reports'!D1423,SEARCH("-",'R.M Billets Reports'!D1423)+1,200)),""))&lt;&gt;"",IF(ISNUMBER(SEARCH("Party Name:-",'R.M Billets Reports'!D1423)),TRIM('R.M Billets Reports'!F1423),IF(ISNUMBER(SEARCH("Party Name-",'R.M Billets Reports'!D1423)),TRIM(MID('R.M Billets Reports'!D1423,SEARCH("-",'R.M Billets Reports'!D1423)+1,200)),"")),IF(ISNUMBER(SEARCH("Party Name:-",'R.M Billets Reports'!D1424)),TRIM('R.M Billets Reports'!F1424),IF(ISNUMBER(SEARCH("Party Name-",'R.M Billets Reports'!D1424)),TRIM(MID('R.M Billets Reports'!D1424,SEARCH("-",'R.M Billets Reports'!D1424)+1,200)),"")))="SHREE RADHE SHAKTI SPONGE AND POWER PVT. LTD.","SHREE RADHE",IF(IF(ISNUMBER(SEARCH("Party Name:-",'R.M Billets Reports'!D1423)),TRIM('R.M Billets Reports'!F1423),IF(ISNUMBER(SEARCH("Party Name-",'R.M Billets Reports'!D1423)),TRIM(MID('R.M Billets Reports'!D1423,SEARCH("-",'R.M Billets Reports'!D1423)+1,200)),""))&lt;&gt;"",IF(ISNUMBER(SEARCH("Party Name:-",'R.M Billets Reports'!D1423)),TRIM('R.M Billets Reports'!F1423),IF(ISNUMBER(SEARCH("Party Name-",'R.M Billets Reports'!D1423)),TRIM(MID('R.M Billets Reports'!D1423,SEARCH("-",'R.M Billets Reports'!D1423)+1,200)),"")),IF(ISNUMBER(SEARCH("Party Name:-",'R.M Billets Reports'!D1424)),TRIM('R.M Billets Reports'!F1424),IF(ISNUMBER(SEARCH("Party Name-",'R.M Billets Reports'!D1424)),TRIM(MID('R.M Billets Reports'!D1424,SEARCH("-",'R.M Billets Reports'!D1424)+1,200)),"")))))),IF(ROW()=2,"",A1423))</f>
      </c>
      <c r="B1424">
        <f>IF(OR('R.M Billets Reports'!A1423="Date-",'R.M Billets Reports'!A1423="Date:-"),'R.M Billets Reports'!B1423,IF(ROW()=2,"",B1423))</f>
      </c>
      <c r="C1424">
        <f>IF('R.M Billets Reports'!A1423="V.No.",'R.M Billets Reports'!B1423,IF(ROW()=2,"",C1423))</f>
      </c>
      <c r="D1424">
        <f>IF('R.M Billets Reports'!A1423&lt;&gt;"",'R.M Billets Reports'!A1423,IF(ROW()=2,"",D1423))</f>
      </c>
      <c r="E1424">
        <f>IF('R.M Billets Reports'!B1423="","",TRIM('R.M Billets Reports'!B1423))</f>
      </c>
      <c r="F1424">
        <f>'R.M Billets Reports'!C1423</f>
      </c>
      <c r="G1424">
        <f>'R.M Billets Reports'!D1423</f>
      </c>
      <c r="H1424">
        <f>'R.M Billets Reports'!E1423</f>
      </c>
      <c r="I1424">
        <f>'R.M Billets Reports'!F1423</f>
      </c>
      <c r="J1424">
        <f>'R.M Billets Reports'!G1423</f>
      </c>
      <c r="K1424">
        <f>'R.M Billets Reports'!H1423</f>
      </c>
      <c r="L1424">
        <f>IF('R.M Billets Reports'!I1423="","",'R.M Billets Reports'!I1423)</f>
      </c>
      <c r="M1424">
        <f t="shared" si="44"/>
      </c>
      <c r="N1424">
        <f>IF('R.M Billets Reports'!J1423="","",'R.M Billets Reports'!J1423)</f>
      </c>
      <c r="O1424">
        <f t="shared" si="45"/>
      </c>
      <c r="P1424">
        <f>IF('R.M Billets Reports'!A1423="SIZE",'R.M Billets Reports'!B1423,P1423)</f>
      </c>
    </row>
    <row r="1425" spans="1:16" x14ac:dyDescent="0.25">
      <c r="A1425">
        <f>IF(OR('R.M Billets Reports'!A1424="Date-",'R.M Billets Reports'!A1424="Date:-"),IF(IF(IF(ISNUMBER(SEARCH("Party Name:-",'R.M Billets Reports'!D1424)),TRIM('R.M Billets Reports'!F1424),IF(ISNUMBER(SEARCH("Party Name-",'R.M Billets Reports'!D1424)),TRIM(MID('R.M Billets Reports'!D1424,SEARCH("-",'R.M Billets Reports'!D1424)+1,200)),""))&lt;&gt;"",IF(ISNUMBER(SEARCH("Party Name:-",'R.M Billets Reports'!D1424)),TRIM('R.M Billets Reports'!F1424),IF(ISNUMBER(SEARCH("Party Name-",'R.M Billets Reports'!D1424)),TRIM(MID('R.M Billets Reports'!D1424,SEARCH("-",'R.M Billets Reports'!D1424)+1,200)),"")),IF(ISNUMBER(SEARCH("Party Name:-",'R.M Billets Reports'!D1425)),TRIM('R.M Billets Reports'!F1425),IF(ISNUMBER(SEARCH("Party Name-",'R.M Billets Reports'!D1425)),TRIM(MID('R.M Billets Reports'!D1425,SEARCH("-",'R.M Billets Reports'!D1425)+1,200)),"")))="VRKP ISPAT PVT LTD","VRKP",IF(IF(IF(ISNUMBER(SEARCH("Party Name:-",'R.M Billets Reports'!D1424)),TRIM('R.M Billets Reports'!F1424),IF(ISNUMBER(SEARCH("Party Name-",'R.M Billets Reports'!D1424)),TRIM(MID('R.M Billets Reports'!D1424,SEARCH("-",'R.M Billets Reports'!D1424)+1,200)),""))&lt;&gt;"",IF(ISNUMBER(SEARCH("Party Name:-",'R.M Billets Reports'!D1424)),TRIM('R.M Billets Reports'!F1424),IF(ISNUMBER(SEARCH("Party Name-",'R.M Billets Reports'!D1424)),TRIM(MID('R.M Billets Reports'!D1424,SEARCH("-",'R.M Billets Reports'!D1424)+1,200)),"")),IF(ISNUMBER(SEARCH("Party Name:-",'R.M Billets Reports'!D1425)),TRIM('R.M Billets Reports'!F1425),IF(ISNUMBER(SEARCH("Party Name-",'R.M Billets Reports'!D1425)),TRIM(MID('R.M Billets Reports'!D1425,SEARCH("-",'R.M Billets Reports'!D1425)+1,200)),"")))="SHRI RADHE","SHREE RADHE",IF(IF(IF(ISNUMBER(SEARCH("Party Name:-",'R.M Billets Reports'!D1424)),TRIM('R.M Billets Reports'!F1424),IF(ISNUMBER(SEARCH("Party Name-",'R.M Billets Reports'!D1424)),TRIM(MID('R.M Billets Reports'!D1424,SEARCH("-",'R.M Billets Reports'!D1424)+1,200)),""))&lt;&gt;"",IF(ISNUMBER(SEARCH("Party Name:-",'R.M Billets Reports'!D1424)),TRIM('R.M Billets Reports'!F1424),IF(ISNUMBER(SEARCH("Party Name-",'R.M Billets Reports'!D1424)),TRIM(MID('R.M Billets Reports'!D1424,SEARCH("-",'R.M Billets Reports'!D1424)+1,200)),"")),IF(ISNUMBER(SEARCH("Party Name:-",'R.M Billets Reports'!D1425)),TRIM('R.M Billets Reports'!F1425),IF(ISNUMBER(SEARCH("Party Name-",'R.M Billets Reports'!D1425)),TRIM(MID('R.M Billets Reports'!D1425,SEARCH("-",'R.M Billets Reports'!D1425)+1,200)),"")))="SHREE RADHE SHAKTI SPONGE AND POWER PVT. LTD.","SHREE RADHE",IF(IF(ISNUMBER(SEARCH("Party Name:-",'R.M Billets Reports'!D1424)),TRIM('R.M Billets Reports'!F1424),IF(ISNUMBER(SEARCH("Party Name-",'R.M Billets Reports'!D1424)),TRIM(MID('R.M Billets Reports'!D1424,SEARCH("-",'R.M Billets Reports'!D1424)+1,200)),""))&lt;&gt;"",IF(ISNUMBER(SEARCH("Party Name:-",'R.M Billets Reports'!D1424)),TRIM('R.M Billets Reports'!F1424),IF(ISNUMBER(SEARCH("Party Name-",'R.M Billets Reports'!D1424)),TRIM(MID('R.M Billets Reports'!D1424,SEARCH("-",'R.M Billets Reports'!D1424)+1,200)),"")),IF(ISNUMBER(SEARCH("Party Name:-",'R.M Billets Reports'!D1425)),TRIM('R.M Billets Reports'!F1425),IF(ISNUMBER(SEARCH("Party Name-",'R.M Billets Reports'!D1425)),TRIM(MID('R.M Billets Reports'!D1425,SEARCH("-",'R.M Billets Reports'!D1425)+1,200)),"")))))),IF(ROW()=2,"",A1424))</f>
      </c>
      <c r="B1425">
        <f>IF(OR('R.M Billets Reports'!A1424="Date-",'R.M Billets Reports'!A1424="Date:-"),'R.M Billets Reports'!B1424,IF(ROW()=2,"",B1424))</f>
      </c>
      <c r="C1425">
        <f>IF('R.M Billets Reports'!A1424="V.No.",'R.M Billets Reports'!B1424,IF(ROW()=2,"",C1424))</f>
      </c>
      <c r="D1425">
        <f>IF('R.M Billets Reports'!A1424&lt;&gt;"",'R.M Billets Reports'!A1424,IF(ROW()=2,"",D1424))</f>
      </c>
      <c r="E1425">
        <f>IF('R.M Billets Reports'!B1424="","",TRIM('R.M Billets Reports'!B1424))</f>
      </c>
      <c r="F1425">
        <f>'R.M Billets Reports'!C1424</f>
      </c>
      <c r="G1425">
        <f>'R.M Billets Reports'!D1424</f>
      </c>
      <c r="H1425">
        <f>'R.M Billets Reports'!E1424</f>
      </c>
      <c r="I1425">
        <f>'R.M Billets Reports'!F1424</f>
      </c>
      <c r="J1425">
        <f>'R.M Billets Reports'!G1424</f>
      </c>
      <c r="K1425">
        <f>'R.M Billets Reports'!H1424</f>
      </c>
      <c r="L1425">
        <f>IF('R.M Billets Reports'!I1424="","",'R.M Billets Reports'!I1424)</f>
      </c>
      <c r="M1425">
        <f t="shared" si="44"/>
      </c>
      <c r="N1425">
        <f>IF('R.M Billets Reports'!J1424="","",'R.M Billets Reports'!J1424)</f>
      </c>
      <c r="O1425">
        <f t="shared" si="45"/>
      </c>
      <c r="P1425">
        <f>IF('R.M Billets Reports'!A1424="SIZE",'R.M Billets Reports'!B1424,P1424)</f>
      </c>
    </row>
    <row r="1426" spans="1:16" x14ac:dyDescent="0.25">
      <c r="A1426">
        <f>IF(OR('R.M Billets Reports'!A1425="Date-",'R.M Billets Reports'!A1425="Date:-"),IF(IF(IF(ISNUMBER(SEARCH("Party Name:-",'R.M Billets Reports'!D1425)),TRIM('R.M Billets Reports'!F1425),IF(ISNUMBER(SEARCH("Party Name-",'R.M Billets Reports'!D1425)),TRIM(MID('R.M Billets Reports'!D1425,SEARCH("-",'R.M Billets Reports'!D1425)+1,200)),""))&lt;&gt;"",IF(ISNUMBER(SEARCH("Party Name:-",'R.M Billets Reports'!D1425)),TRIM('R.M Billets Reports'!F1425),IF(ISNUMBER(SEARCH("Party Name-",'R.M Billets Reports'!D1425)),TRIM(MID('R.M Billets Reports'!D1425,SEARCH("-",'R.M Billets Reports'!D1425)+1,200)),"")),IF(ISNUMBER(SEARCH("Party Name:-",'R.M Billets Reports'!D1426)),TRIM('R.M Billets Reports'!F1426),IF(ISNUMBER(SEARCH("Party Name-",'R.M Billets Reports'!D1426)),TRIM(MID('R.M Billets Reports'!D1426,SEARCH("-",'R.M Billets Reports'!D1426)+1,200)),"")))="VRKP ISPAT PVT LTD","VRKP",IF(IF(IF(ISNUMBER(SEARCH("Party Name:-",'R.M Billets Reports'!D1425)),TRIM('R.M Billets Reports'!F1425),IF(ISNUMBER(SEARCH("Party Name-",'R.M Billets Reports'!D1425)),TRIM(MID('R.M Billets Reports'!D1425,SEARCH("-",'R.M Billets Reports'!D1425)+1,200)),""))&lt;&gt;"",IF(ISNUMBER(SEARCH("Party Name:-",'R.M Billets Reports'!D1425)),TRIM('R.M Billets Reports'!F1425),IF(ISNUMBER(SEARCH("Party Name-",'R.M Billets Reports'!D1425)),TRIM(MID('R.M Billets Reports'!D1425,SEARCH("-",'R.M Billets Reports'!D1425)+1,200)),"")),IF(ISNUMBER(SEARCH("Party Name:-",'R.M Billets Reports'!D1426)),TRIM('R.M Billets Reports'!F1426),IF(ISNUMBER(SEARCH("Party Name-",'R.M Billets Reports'!D1426)),TRIM(MID('R.M Billets Reports'!D1426,SEARCH("-",'R.M Billets Reports'!D1426)+1,200)),"")))="SHRI RADHE","SHREE RADHE",IF(IF(IF(ISNUMBER(SEARCH("Party Name:-",'R.M Billets Reports'!D1425)),TRIM('R.M Billets Reports'!F1425),IF(ISNUMBER(SEARCH("Party Name-",'R.M Billets Reports'!D1425)),TRIM(MID('R.M Billets Reports'!D1425,SEARCH("-",'R.M Billets Reports'!D1425)+1,200)),""))&lt;&gt;"",IF(ISNUMBER(SEARCH("Party Name:-",'R.M Billets Reports'!D1425)),TRIM('R.M Billets Reports'!F1425),IF(ISNUMBER(SEARCH("Party Name-",'R.M Billets Reports'!D1425)),TRIM(MID('R.M Billets Reports'!D1425,SEARCH("-",'R.M Billets Reports'!D1425)+1,200)),"")),IF(ISNUMBER(SEARCH("Party Name:-",'R.M Billets Reports'!D1426)),TRIM('R.M Billets Reports'!F1426),IF(ISNUMBER(SEARCH("Party Name-",'R.M Billets Reports'!D1426)),TRIM(MID('R.M Billets Reports'!D1426,SEARCH("-",'R.M Billets Reports'!D1426)+1,200)),"")))="SHREE RADHE SHAKTI SPONGE AND POWER PVT. LTD.","SHREE RADHE",IF(IF(ISNUMBER(SEARCH("Party Name:-",'R.M Billets Reports'!D1425)),TRIM('R.M Billets Reports'!F1425),IF(ISNUMBER(SEARCH("Party Name-",'R.M Billets Reports'!D1425)),TRIM(MID('R.M Billets Reports'!D1425,SEARCH("-",'R.M Billets Reports'!D1425)+1,200)),""))&lt;&gt;"",IF(ISNUMBER(SEARCH("Party Name:-",'R.M Billets Reports'!D1425)),TRIM('R.M Billets Reports'!F1425),IF(ISNUMBER(SEARCH("Party Name-",'R.M Billets Reports'!D1425)),TRIM(MID('R.M Billets Reports'!D1425,SEARCH("-",'R.M Billets Reports'!D1425)+1,200)),"")),IF(ISNUMBER(SEARCH("Party Name:-",'R.M Billets Reports'!D1426)),TRIM('R.M Billets Reports'!F1426),IF(ISNUMBER(SEARCH("Party Name-",'R.M Billets Reports'!D1426)),TRIM(MID('R.M Billets Reports'!D1426,SEARCH("-",'R.M Billets Reports'!D1426)+1,200)),"")))))),IF(ROW()=2,"",A1425))</f>
      </c>
      <c r="B1426">
        <f>IF(OR('R.M Billets Reports'!A1425="Date-",'R.M Billets Reports'!A1425="Date:-"),'R.M Billets Reports'!B1425,IF(ROW()=2,"",B1425))</f>
      </c>
      <c r="C1426">
        <f>IF('R.M Billets Reports'!A1425="V.No.",'R.M Billets Reports'!B1425,IF(ROW()=2,"",C1425))</f>
      </c>
      <c r="D1426">
        <f>IF('R.M Billets Reports'!A1425&lt;&gt;"",'R.M Billets Reports'!A1425,IF(ROW()=2,"",D1425))</f>
      </c>
      <c r="E1426">
        <f>IF('R.M Billets Reports'!B1425="","",TRIM('R.M Billets Reports'!B1425))</f>
      </c>
      <c r="F1426">
        <f>'R.M Billets Reports'!C1425</f>
      </c>
      <c r="G1426">
        <f>'R.M Billets Reports'!D1425</f>
      </c>
      <c r="H1426">
        <f>'R.M Billets Reports'!E1425</f>
      </c>
      <c r="I1426">
        <f>'R.M Billets Reports'!F1425</f>
      </c>
      <c r="J1426">
        <f>'R.M Billets Reports'!G1425</f>
      </c>
      <c r="K1426">
        <f>'R.M Billets Reports'!H1425</f>
      </c>
      <c r="L1426">
        <f>IF('R.M Billets Reports'!I1425="","",'R.M Billets Reports'!I1425)</f>
      </c>
      <c r="M1426">
        <f t="shared" si="44"/>
      </c>
      <c r="N1426">
        <f>IF('R.M Billets Reports'!J1425="","",'R.M Billets Reports'!J1425)</f>
      </c>
      <c r="O1426">
        <f t="shared" si="45"/>
      </c>
      <c r="P1426">
        <f>IF('R.M Billets Reports'!A1425="SIZE",'R.M Billets Reports'!B1425,P1425)</f>
      </c>
    </row>
    <row r="1427" spans="1:16" x14ac:dyDescent="0.25">
      <c r="A1427">
        <f>IF(OR('R.M Billets Reports'!A1426="Date-",'R.M Billets Reports'!A1426="Date:-"),IF(IF(IF(ISNUMBER(SEARCH("Party Name:-",'R.M Billets Reports'!D1426)),TRIM('R.M Billets Reports'!F1426),IF(ISNUMBER(SEARCH("Party Name-",'R.M Billets Reports'!D1426)),TRIM(MID('R.M Billets Reports'!D1426,SEARCH("-",'R.M Billets Reports'!D1426)+1,200)),""))&lt;&gt;"",IF(ISNUMBER(SEARCH("Party Name:-",'R.M Billets Reports'!D1426)),TRIM('R.M Billets Reports'!F1426),IF(ISNUMBER(SEARCH("Party Name-",'R.M Billets Reports'!D1426)),TRIM(MID('R.M Billets Reports'!D1426,SEARCH("-",'R.M Billets Reports'!D1426)+1,200)),"")),IF(ISNUMBER(SEARCH("Party Name:-",'R.M Billets Reports'!D1427)),TRIM('R.M Billets Reports'!F1427),IF(ISNUMBER(SEARCH("Party Name-",'R.M Billets Reports'!D1427)),TRIM(MID('R.M Billets Reports'!D1427,SEARCH("-",'R.M Billets Reports'!D1427)+1,200)),"")))="VRKP ISPAT PVT LTD","VRKP",IF(IF(IF(ISNUMBER(SEARCH("Party Name:-",'R.M Billets Reports'!D1426)),TRIM('R.M Billets Reports'!F1426),IF(ISNUMBER(SEARCH("Party Name-",'R.M Billets Reports'!D1426)),TRIM(MID('R.M Billets Reports'!D1426,SEARCH("-",'R.M Billets Reports'!D1426)+1,200)),""))&lt;&gt;"",IF(ISNUMBER(SEARCH("Party Name:-",'R.M Billets Reports'!D1426)),TRIM('R.M Billets Reports'!F1426),IF(ISNUMBER(SEARCH("Party Name-",'R.M Billets Reports'!D1426)),TRIM(MID('R.M Billets Reports'!D1426,SEARCH("-",'R.M Billets Reports'!D1426)+1,200)),"")),IF(ISNUMBER(SEARCH("Party Name:-",'R.M Billets Reports'!D1427)),TRIM('R.M Billets Reports'!F1427),IF(ISNUMBER(SEARCH("Party Name-",'R.M Billets Reports'!D1427)),TRIM(MID('R.M Billets Reports'!D1427,SEARCH("-",'R.M Billets Reports'!D1427)+1,200)),"")))="SHRI RADHE","SHREE RADHE",IF(IF(IF(ISNUMBER(SEARCH("Party Name:-",'R.M Billets Reports'!D1426)),TRIM('R.M Billets Reports'!F1426),IF(ISNUMBER(SEARCH("Party Name-",'R.M Billets Reports'!D1426)),TRIM(MID('R.M Billets Reports'!D1426,SEARCH("-",'R.M Billets Reports'!D1426)+1,200)),""))&lt;&gt;"",IF(ISNUMBER(SEARCH("Party Name:-",'R.M Billets Reports'!D1426)),TRIM('R.M Billets Reports'!F1426),IF(ISNUMBER(SEARCH("Party Name-",'R.M Billets Reports'!D1426)),TRIM(MID('R.M Billets Reports'!D1426,SEARCH("-",'R.M Billets Reports'!D1426)+1,200)),"")),IF(ISNUMBER(SEARCH("Party Name:-",'R.M Billets Reports'!D1427)),TRIM('R.M Billets Reports'!F1427),IF(ISNUMBER(SEARCH("Party Name-",'R.M Billets Reports'!D1427)),TRIM(MID('R.M Billets Reports'!D1427,SEARCH("-",'R.M Billets Reports'!D1427)+1,200)),"")))="SHREE RADHE SHAKTI SPONGE AND POWER PVT. LTD.","SHREE RADHE",IF(IF(ISNUMBER(SEARCH("Party Name:-",'R.M Billets Reports'!D1426)),TRIM('R.M Billets Reports'!F1426),IF(ISNUMBER(SEARCH("Party Name-",'R.M Billets Reports'!D1426)),TRIM(MID('R.M Billets Reports'!D1426,SEARCH("-",'R.M Billets Reports'!D1426)+1,200)),""))&lt;&gt;"",IF(ISNUMBER(SEARCH("Party Name:-",'R.M Billets Reports'!D1426)),TRIM('R.M Billets Reports'!F1426),IF(ISNUMBER(SEARCH("Party Name-",'R.M Billets Reports'!D1426)),TRIM(MID('R.M Billets Reports'!D1426,SEARCH("-",'R.M Billets Reports'!D1426)+1,200)),"")),IF(ISNUMBER(SEARCH("Party Name:-",'R.M Billets Reports'!D1427)),TRIM('R.M Billets Reports'!F1427),IF(ISNUMBER(SEARCH("Party Name-",'R.M Billets Reports'!D1427)),TRIM(MID('R.M Billets Reports'!D1427,SEARCH("-",'R.M Billets Reports'!D1427)+1,200)),"")))))),IF(ROW()=2,"",A1426))</f>
      </c>
      <c r="B1427">
        <f>IF(OR('R.M Billets Reports'!A1426="Date-",'R.M Billets Reports'!A1426="Date:-"),'R.M Billets Reports'!B1426,IF(ROW()=2,"",B1426))</f>
      </c>
      <c r="C1427">
        <f>IF('R.M Billets Reports'!A1426="V.No.",'R.M Billets Reports'!B1426,IF(ROW()=2,"",C1426))</f>
      </c>
      <c r="D1427">
        <f>IF('R.M Billets Reports'!A1426&lt;&gt;"",'R.M Billets Reports'!A1426,IF(ROW()=2,"",D1426))</f>
      </c>
      <c r="E1427">
        <f>IF('R.M Billets Reports'!B1426="","",TRIM('R.M Billets Reports'!B1426))</f>
      </c>
      <c r="F1427">
        <f>'R.M Billets Reports'!C1426</f>
      </c>
      <c r="G1427">
        <f>'R.M Billets Reports'!D1426</f>
      </c>
      <c r="H1427">
        <f>'R.M Billets Reports'!E1426</f>
      </c>
      <c r="I1427">
        <f>'R.M Billets Reports'!F1426</f>
      </c>
      <c r="J1427">
        <f>'R.M Billets Reports'!G1426</f>
      </c>
      <c r="K1427">
        <f>'R.M Billets Reports'!H1426</f>
      </c>
      <c r="L1427">
        <f>IF('R.M Billets Reports'!I1426="","",'R.M Billets Reports'!I1426)</f>
      </c>
      <c r="M1427">
        <f t="shared" si="44"/>
      </c>
      <c r="N1427">
        <f>IF('R.M Billets Reports'!J1426="","",'R.M Billets Reports'!J1426)</f>
      </c>
      <c r="O1427">
        <f t="shared" si="45"/>
      </c>
      <c r="P1427">
        <f>IF('R.M Billets Reports'!A1426="SIZE",'R.M Billets Reports'!B1426,P1426)</f>
      </c>
    </row>
    <row r="1428" spans="1:16" x14ac:dyDescent="0.25">
      <c r="A1428">
        <f>IF(OR('R.M Billets Reports'!A1427="Date-",'R.M Billets Reports'!A1427="Date:-"),IF(IF(IF(ISNUMBER(SEARCH("Party Name:-",'R.M Billets Reports'!D1427)),TRIM('R.M Billets Reports'!F1427),IF(ISNUMBER(SEARCH("Party Name-",'R.M Billets Reports'!D1427)),TRIM(MID('R.M Billets Reports'!D1427,SEARCH("-",'R.M Billets Reports'!D1427)+1,200)),""))&lt;&gt;"",IF(ISNUMBER(SEARCH("Party Name:-",'R.M Billets Reports'!D1427)),TRIM('R.M Billets Reports'!F1427),IF(ISNUMBER(SEARCH("Party Name-",'R.M Billets Reports'!D1427)),TRIM(MID('R.M Billets Reports'!D1427,SEARCH("-",'R.M Billets Reports'!D1427)+1,200)),"")),IF(ISNUMBER(SEARCH("Party Name:-",'R.M Billets Reports'!D1428)),TRIM('R.M Billets Reports'!F1428),IF(ISNUMBER(SEARCH("Party Name-",'R.M Billets Reports'!D1428)),TRIM(MID('R.M Billets Reports'!D1428,SEARCH("-",'R.M Billets Reports'!D1428)+1,200)),"")))="VRKP ISPAT PVT LTD","VRKP",IF(IF(IF(ISNUMBER(SEARCH("Party Name:-",'R.M Billets Reports'!D1427)),TRIM('R.M Billets Reports'!F1427),IF(ISNUMBER(SEARCH("Party Name-",'R.M Billets Reports'!D1427)),TRIM(MID('R.M Billets Reports'!D1427,SEARCH("-",'R.M Billets Reports'!D1427)+1,200)),""))&lt;&gt;"",IF(ISNUMBER(SEARCH("Party Name:-",'R.M Billets Reports'!D1427)),TRIM('R.M Billets Reports'!F1427),IF(ISNUMBER(SEARCH("Party Name-",'R.M Billets Reports'!D1427)),TRIM(MID('R.M Billets Reports'!D1427,SEARCH("-",'R.M Billets Reports'!D1427)+1,200)),"")),IF(ISNUMBER(SEARCH("Party Name:-",'R.M Billets Reports'!D1428)),TRIM('R.M Billets Reports'!F1428),IF(ISNUMBER(SEARCH("Party Name-",'R.M Billets Reports'!D1428)),TRIM(MID('R.M Billets Reports'!D1428,SEARCH("-",'R.M Billets Reports'!D1428)+1,200)),"")))="SHRI RADHE","SHREE RADHE",IF(IF(IF(ISNUMBER(SEARCH("Party Name:-",'R.M Billets Reports'!D1427)),TRIM('R.M Billets Reports'!F1427),IF(ISNUMBER(SEARCH("Party Name-",'R.M Billets Reports'!D1427)),TRIM(MID('R.M Billets Reports'!D1427,SEARCH("-",'R.M Billets Reports'!D1427)+1,200)),""))&lt;&gt;"",IF(ISNUMBER(SEARCH("Party Name:-",'R.M Billets Reports'!D1427)),TRIM('R.M Billets Reports'!F1427),IF(ISNUMBER(SEARCH("Party Name-",'R.M Billets Reports'!D1427)),TRIM(MID('R.M Billets Reports'!D1427,SEARCH("-",'R.M Billets Reports'!D1427)+1,200)),"")),IF(ISNUMBER(SEARCH("Party Name:-",'R.M Billets Reports'!D1428)),TRIM('R.M Billets Reports'!F1428),IF(ISNUMBER(SEARCH("Party Name-",'R.M Billets Reports'!D1428)),TRIM(MID('R.M Billets Reports'!D1428,SEARCH("-",'R.M Billets Reports'!D1428)+1,200)),"")))="SHREE RADHE SHAKTI SPONGE AND POWER PVT. LTD.","SHREE RADHE",IF(IF(ISNUMBER(SEARCH("Party Name:-",'R.M Billets Reports'!D1427)),TRIM('R.M Billets Reports'!F1427),IF(ISNUMBER(SEARCH("Party Name-",'R.M Billets Reports'!D1427)),TRIM(MID('R.M Billets Reports'!D1427,SEARCH("-",'R.M Billets Reports'!D1427)+1,200)),""))&lt;&gt;"",IF(ISNUMBER(SEARCH("Party Name:-",'R.M Billets Reports'!D1427)),TRIM('R.M Billets Reports'!F1427),IF(ISNUMBER(SEARCH("Party Name-",'R.M Billets Reports'!D1427)),TRIM(MID('R.M Billets Reports'!D1427,SEARCH("-",'R.M Billets Reports'!D1427)+1,200)),"")),IF(ISNUMBER(SEARCH("Party Name:-",'R.M Billets Reports'!D1428)),TRIM('R.M Billets Reports'!F1428),IF(ISNUMBER(SEARCH("Party Name-",'R.M Billets Reports'!D1428)),TRIM(MID('R.M Billets Reports'!D1428,SEARCH("-",'R.M Billets Reports'!D1428)+1,200)),"")))))),IF(ROW()=2,"",A1427))</f>
      </c>
      <c r="B1428">
        <f>IF(OR('R.M Billets Reports'!A1427="Date-",'R.M Billets Reports'!A1427="Date:-"),'R.M Billets Reports'!B1427,IF(ROW()=2,"",B1427))</f>
      </c>
      <c r="C1428">
        <f>IF('R.M Billets Reports'!A1427="V.No.",'R.M Billets Reports'!B1427,IF(ROW()=2,"",C1427))</f>
      </c>
      <c r="D1428">
        <f>IF('R.M Billets Reports'!A1427&lt;&gt;"",'R.M Billets Reports'!A1427,IF(ROW()=2,"",D1427))</f>
      </c>
      <c r="E1428">
        <f>IF('R.M Billets Reports'!B1427="","",TRIM('R.M Billets Reports'!B1427))</f>
      </c>
      <c r="F1428">
        <f>'R.M Billets Reports'!C1427</f>
      </c>
      <c r="G1428">
        <f>'R.M Billets Reports'!D1427</f>
      </c>
      <c r="H1428">
        <f>'R.M Billets Reports'!E1427</f>
      </c>
      <c r="I1428">
        <f>'R.M Billets Reports'!F1427</f>
      </c>
      <c r="J1428">
        <f>'R.M Billets Reports'!G1427</f>
      </c>
      <c r="K1428">
        <f>'R.M Billets Reports'!H1427</f>
      </c>
      <c r="L1428">
        <f>IF('R.M Billets Reports'!I1427="","",'R.M Billets Reports'!I1427)</f>
      </c>
      <c r="M1428">
        <f t="shared" si="44"/>
      </c>
      <c r="N1428">
        <f>IF('R.M Billets Reports'!J1427="","",'R.M Billets Reports'!J1427)</f>
      </c>
      <c r="O1428">
        <f t="shared" si="45"/>
      </c>
      <c r="P1428">
        <f>IF('R.M Billets Reports'!A1427="SIZE",'R.M Billets Reports'!B1427,P1427)</f>
      </c>
    </row>
    <row r="1429" spans="1:16" x14ac:dyDescent="0.25">
      <c r="A1429">
        <f>IF(OR('R.M Billets Reports'!A1428="Date-",'R.M Billets Reports'!A1428="Date:-"),IF(IF(IF(ISNUMBER(SEARCH("Party Name:-",'R.M Billets Reports'!D1428)),TRIM('R.M Billets Reports'!F1428),IF(ISNUMBER(SEARCH("Party Name-",'R.M Billets Reports'!D1428)),TRIM(MID('R.M Billets Reports'!D1428,SEARCH("-",'R.M Billets Reports'!D1428)+1,200)),""))&lt;&gt;"",IF(ISNUMBER(SEARCH("Party Name:-",'R.M Billets Reports'!D1428)),TRIM('R.M Billets Reports'!F1428),IF(ISNUMBER(SEARCH("Party Name-",'R.M Billets Reports'!D1428)),TRIM(MID('R.M Billets Reports'!D1428,SEARCH("-",'R.M Billets Reports'!D1428)+1,200)),"")),IF(ISNUMBER(SEARCH("Party Name:-",'R.M Billets Reports'!D1429)),TRIM('R.M Billets Reports'!F1429),IF(ISNUMBER(SEARCH("Party Name-",'R.M Billets Reports'!D1429)),TRIM(MID('R.M Billets Reports'!D1429,SEARCH("-",'R.M Billets Reports'!D1429)+1,200)),"")))="VRKP ISPAT PVT LTD","VRKP",IF(IF(IF(ISNUMBER(SEARCH("Party Name:-",'R.M Billets Reports'!D1428)),TRIM('R.M Billets Reports'!F1428),IF(ISNUMBER(SEARCH("Party Name-",'R.M Billets Reports'!D1428)),TRIM(MID('R.M Billets Reports'!D1428,SEARCH("-",'R.M Billets Reports'!D1428)+1,200)),""))&lt;&gt;"",IF(ISNUMBER(SEARCH("Party Name:-",'R.M Billets Reports'!D1428)),TRIM('R.M Billets Reports'!F1428),IF(ISNUMBER(SEARCH("Party Name-",'R.M Billets Reports'!D1428)),TRIM(MID('R.M Billets Reports'!D1428,SEARCH("-",'R.M Billets Reports'!D1428)+1,200)),"")),IF(ISNUMBER(SEARCH("Party Name:-",'R.M Billets Reports'!D1429)),TRIM('R.M Billets Reports'!F1429),IF(ISNUMBER(SEARCH("Party Name-",'R.M Billets Reports'!D1429)),TRIM(MID('R.M Billets Reports'!D1429,SEARCH("-",'R.M Billets Reports'!D1429)+1,200)),"")))="SHRI RADHE","SHREE RADHE",IF(IF(IF(ISNUMBER(SEARCH("Party Name:-",'R.M Billets Reports'!D1428)),TRIM('R.M Billets Reports'!F1428),IF(ISNUMBER(SEARCH("Party Name-",'R.M Billets Reports'!D1428)),TRIM(MID('R.M Billets Reports'!D1428,SEARCH("-",'R.M Billets Reports'!D1428)+1,200)),""))&lt;&gt;"",IF(ISNUMBER(SEARCH("Party Name:-",'R.M Billets Reports'!D1428)),TRIM('R.M Billets Reports'!F1428),IF(ISNUMBER(SEARCH("Party Name-",'R.M Billets Reports'!D1428)),TRIM(MID('R.M Billets Reports'!D1428,SEARCH("-",'R.M Billets Reports'!D1428)+1,200)),"")),IF(ISNUMBER(SEARCH("Party Name:-",'R.M Billets Reports'!D1429)),TRIM('R.M Billets Reports'!F1429),IF(ISNUMBER(SEARCH("Party Name-",'R.M Billets Reports'!D1429)),TRIM(MID('R.M Billets Reports'!D1429,SEARCH("-",'R.M Billets Reports'!D1429)+1,200)),"")))="SHREE RADHE SHAKTI SPONGE AND POWER PVT. LTD.","SHREE RADHE",IF(IF(ISNUMBER(SEARCH("Party Name:-",'R.M Billets Reports'!D1428)),TRIM('R.M Billets Reports'!F1428),IF(ISNUMBER(SEARCH("Party Name-",'R.M Billets Reports'!D1428)),TRIM(MID('R.M Billets Reports'!D1428,SEARCH("-",'R.M Billets Reports'!D1428)+1,200)),""))&lt;&gt;"",IF(ISNUMBER(SEARCH("Party Name:-",'R.M Billets Reports'!D1428)),TRIM('R.M Billets Reports'!F1428),IF(ISNUMBER(SEARCH("Party Name-",'R.M Billets Reports'!D1428)),TRIM(MID('R.M Billets Reports'!D1428,SEARCH("-",'R.M Billets Reports'!D1428)+1,200)),"")),IF(ISNUMBER(SEARCH("Party Name:-",'R.M Billets Reports'!D1429)),TRIM('R.M Billets Reports'!F1429),IF(ISNUMBER(SEARCH("Party Name-",'R.M Billets Reports'!D1429)),TRIM(MID('R.M Billets Reports'!D1429,SEARCH("-",'R.M Billets Reports'!D1429)+1,200)),"")))))),IF(ROW()=2,"",A1428))</f>
      </c>
      <c r="B1429">
        <f>IF(OR('R.M Billets Reports'!A1428="Date-",'R.M Billets Reports'!A1428="Date:-"),'R.M Billets Reports'!B1428,IF(ROW()=2,"",B1428))</f>
      </c>
      <c r="C1429">
        <f>IF('R.M Billets Reports'!A1428="V.No.",'R.M Billets Reports'!B1428,IF(ROW()=2,"",C1428))</f>
      </c>
      <c r="D1429">
        <f>IF('R.M Billets Reports'!A1428&lt;&gt;"",'R.M Billets Reports'!A1428,IF(ROW()=2,"",D1428))</f>
      </c>
      <c r="E1429">
        <f>IF('R.M Billets Reports'!B1428="","",TRIM('R.M Billets Reports'!B1428))</f>
      </c>
      <c r="F1429">
        <f>'R.M Billets Reports'!C1428</f>
      </c>
      <c r="G1429">
        <f>'R.M Billets Reports'!D1428</f>
      </c>
      <c r="H1429">
        <f>'R.M Billets Reports'!E1428</f>
      </c>
      <c r="I1429">
        <f>'R.M Billets Reports'!F1428</f>
      </c>
      <c r="J1429">
        <f>'R.M Billets Reports'!G1428</f>
      </c>
      <c r="K1429">
        <f>'R.M Billets Reports'!H1428</f>
      </c>
      <c r="L1429">
        <f>IF('R.M Billets Reports'!I1428="","",'R.M Billets Reports'!I1428)</f>
      </c>
      <c r="M1429">
        <f t="shared" si="44"/>
      </c>
      <c r="N1429">
        <f>IF('R.M Billets Reports'!J1428="","",'R.M Billets Reports'!J1428)</f>
      </c>
      <c r="O1429">
        <f t="shared" si="45"/>
      </c>
      <c r="P1429">
        <f>IF('R.M Billets Reports'!A1428="SIZE",'R.M Billets Reports'!B1428,P1428)</f>
      </c>
    </row>
    <row r="1430" spans="1:16" x14ac:dyDescent="0.25">
      <c r="A1430">
        <f>IF(OR('R.M Billets Reports'!A1429="Date-",'R.M Billets Reports'!A1429="Date:-"),IF(IF(IF(ISNUMBER(SEARCH("Party Name:-",'R.M Billets Reports'!D1429)),TRIM('R.M Billets Reports'!F1429),IF(ISNUMBER(SEARCH("Party Name-",'R.M Billets Reports'!D1429)),TRIM(MID('R.M Billets Reports'!D1429,SEARCH("-",'R.M Billets Reports'!D1429)+1,200)),""))&lt;&gt;"",IF(ISNUMBER(SEARCH("Party Name:-",'R.M Billets Reports'!D1429)),TRIM('R.M Billets Reports'!F1429),IF(ISNUMBER(SEARCH("Party Name-",'R.M Billets Reports'!D1429)),TRIM(MID('R.M Billets Reports'!D1429,SEARCH("-",'R.M Billets Reports'!D1429)+1,200)),"")),IF(ISNUMBER(SEARCH("Party Name:-",'R.M Billets Reports'!D1430)),TRIM('R.M Billets Reports'!F1430),IF(ISNUMBER(SEARCH("Party Name-",'R.M Billets Reports'!D1430)),TRIM(MID('R.M Billets Reports'!D1430,SEARCH("-",'R.M Billets Reports'!D1430)+1,200)),"")))="VRKP ISPAT PVT LTD","VRKP",IF(IF(IF(ISNUMBER(SEARCH("Party Name:-",'R.M Billets Reports'!D1429)),TRIM('R.M Billets Reports'!F1429),IF(ISNUMBER(SEARCH("Party Name-",'R.M Billets Reports'!D1429)),TRIM(MID('R.M Billets Reports'!D1429,SEARCH("-",'R.M Billets Reports'!D1429)+1,200)),""))&lt;&gt;"",IF(ISNUMBER(SEARCH("Party Name:-",'R.M Billets Reports'!D1429)),TRIM('R.M Billets Reports'!F1429),IF(ISNUMBER(SEARCH("Party Name-",'R.M Billets Reports'!D1429)),TRIM(MID('R.M Billets Reports'!D1429,SEARCH("-",'R.M Billets Reports'!D1429)+1,200)),"")),IF(ISNUMBER(SEARCH("Party Name:-",'R.M Billets Reports'!D1430)),TRIM('R.M Billets Reports'!F1430),IF(ISNUMBER(SEARCH("Party Name-",'R.M Billets Reports'!D1430)),TRIM(MID('R.M Billets Reports'!D1430,SEARCH("-",'R.M Billets Reports'!D1430)+1,200)),"")))="SHRI RADHE","SHREE RADHE",IF(IF(IF(ISNUMBER(SEARCH("Party Name:-",'R.M Billets Reports'!D1429)),TRIM('R.M Billets Reports'!F1429),IF(ISNUMBER(SEARCH("Party Name-",'R.M Billets Reports'!D1429)),TRIM(MID('R.M Billets Reports'!D1429,SEARCH("-",'R.M Billets Reports'!D1429)+1,200)),""))&lt;&gt;"",IF(ISNUMBER(SEARCH("Party Name:-",'R.M Billets Reports'!D1429)),TRIM('R.M Billets Reports'!F1429),IF(ISNUMBER(SEARCH("Party Name-",'R.M Billets Reports'!D1429)),TRIM(MID('R.M Billets Reports'!D1429,SEARCH("-",'R.M Billets Reports'!D1429)+1,200)),"")),IF(ISNUMBER(SEARCH("Party Name:-",'R.M Billets Reports'!D1430)),TRIM('R.M Billets Reports'!F1430),IF(ISNUMBER(SEARCH("Party Name-",'R.M Billets Reports'!D1430)),TRIM(MID('R.M Billets Reports'!D1430,SEARCH("-",'R.M Billets Reports'!D1430)+1,200)),"")))="SHREE RADHE SHAKTI SPONGE AND POWER PVT. LTD.","SHREE RADHE",IF(IF(ISNUMBER(SEARCH("Party Name:-",'R.M Billets Reports'!D1429)),TRIM('R.M Billets Reports'!F1429),IF(ISNUMBER(SEARCH("Party Name-",'R.M Billets Reports'!D1429)),TRIM(MID('R.M Billets Reports'!D1429,SEARCH("-",'R.M Billets Reports'!D1429)+1,200)),""))&lt;&gt;"",IF(ISNUMBER(SEARCH("Party Name:-",'R.M Billets Reports'!D1429)),TRIM('R.M Billets Reports'!F1429),IF(ISNUMBER(SEARCH("Party Name-",'R.M Billets Reports'!D1429)),TRIM(MID('R.M Billets Reports'!D1429,SEARCH("-",'R.M Billets Reports'!D1429)+1,200)),"")),IF(ISNUMBER(SEARCH("Party Name:-",'R.M Billets Reports'!D1430)),TRIM('R.M Billets Reports'!F1430),IF(ISNUMBER(SEARCH("Party Name-",'R.M Billets Reports'!D1430)),TRIM(MID('R.M Billets Reports'!D1430,SEARCH("-",'R.M Billets Reports'!D1430)+1,200)),"")))))),IF(ROW()=2,"",A1429))</f>
      </c>
      <c r="B1430">
        <f>IF(OR('R.M Billets Reports'!A1429="Date-",'R.M Billets Reports'!A1429="Date:-"),'R.M Billets Reports'!B1429,IF(ROW()=2,"",B1429))</f>
      </c>
      <c r="C1430">
        <f>IF('R.M Billets Reports'!A1429="V.No.",'R.M Billets Reports'!B1429,IF(ROW()=2,"",C1429))</f>
      </c>
      <c r="D1430">
        <f>IF('R.M Billets Reports'!A1429&lt;&gt;"",'R.M Billets Reports'!A1429,IF(ROW()=2,"",D1429))</f>
      </c>
      <c r="E1430">
        <f>IF('R.M Billets Reports'!B1429="","",TRIM('R.M Billets Reports'!B1429))</f>
      </c>
      <c r="F1430">
        <f>'R.M Billets Reports'!C1429</f>
      </c>
      <c r="G1430">
        <f>'R.M Billets Reports'!D1429</f>
      </c>
      <c r="H1430">
        <f>'R.M Billets Reports'!E1429</f>
      </c>
      <c r="I1430">
        <f>'R.M Billets Reports'!F1429</f>
      </c>
      <c r="J1430">
        <f>'R.M Billets Reports'!G1429</f>
      </c>
      <c r="K1430">
        <f>'R.M Billets Reports'!H1429</f>
      </c>
      <c r="L1430">
        <f>IF('R.M Billets Reports'!I1429="","",'R.M Billets Reports'!I1429)</f>
      </c>
      <c r="M1430">
        <f t="shared" si="44"/>
      </c>
      <c r="N1430">
        <f>IF('R.M Billets Reports'!J1429="","",'R.M Billets Reports'!J1429)</f>
      </c>
      <c r="O1430">
        <f t="shared" si="45"/>
      </c>
      <c r="P1430">
        <f>IF('R.M Billets Reports'!A1429="SIZE",'R.M Billets Reports'!B1429,P1429)</f>
      </c>
    </row>
    <row r="1431" spans="1:16" x14ac:dyDescent="0.25">
      <c r="A1431">
        <f>IF(OR('R.M Billets Reports'!A1430="Date-",'R.M Billets Reports'!A1430="Date:-"),IF(IF(IF(ISNUMBER(SEARCH("Party Name:-",'R.M Billets Reports'!D1430)),TRIM('R.M Billets Reports'!F1430),IF(ISNUMBER(SEARCH("Party Name-",'R.M Billets Reports'!D1430)),TRIM(MID('R.M Billets Reports'!D1430,SEARCH("-",'R.M Billets Reports'!D1430)+1,200)),""))&lt;&gt;"",IF(ISNUMBER(SEARCH("Party Name:-",'R.M Billets Reports'!D1430)),TRIM('R.M Billets Reports'!F1430),IF(ISNUMBER(SEARCH("Party Name-",'R.M Billets Reports'!D1430)),TRIM(MID('R.M Billets Reports'!D1430,SEARCH("-",'R.M Billets Reports'!D1430)+1,200)),"")),IF(ISNUMBER(SEARCH("Party Name:-",'R.M Billets Reports'!D1431)),TRIM('R.M Billets Reports'!F1431),IF(ISNUMBER(SEARCH("Party Name-",'R.M Billets Reports'!D1431)),TRIM(MID('R.M Billets Reports'!D1431,SEARCH("-",'R.M Billets Reports'!D1431)+1,200)),"")))="VRKP ISPAT PVT LTD","VRKP",IF(IF(IF(ISNUMBER(SEARCH("Party Name:-",'R.M Billets Reports'!D1430)),TRIM('R.M Billets Reports'!F1430),IF(ISNUMBER(SEARCH("Party Name-",'R.M Billets Reports'!D1430)),TRIM(MID('R.M Billets Reports'!D1430,SEARCH("-",'R.M Billets Reports'!D1430)+1,200)),""))&lt;&gt;"",IF(ISNUMBER(SEARCH("Party Name:-",'R.M Billets Reports'!D1430)),TRIM('R.M Billets Reports'!F1430),IF(ISNUMBER(SEARCH("Party Name-",'R.M Billets Reports'!D1430)),TRIM(MID('R.M Billets Reports'!D1430,SEARCH("-",'R.M Billets Reports'!D1430)+1,200)),"")),IF(ISNUMBER(SEARCH("Party Name:-",'R.M Billets Reports'!D1431)),TRIM('R.M Billets Reports'!F1431),IF(ISNUMBER(SEARCH("Party Name-",'R.M Billets Reports'!D1431)),TRIM(MID('R.M Billets Reports'!D1431,SEARCH("-",'R.M Billets Reports'!D1431)+1,200)),"")))="SHRI RADHE","SHREE RADHE",IF(IF(IF(ISNUMBER(SEARCH("Party Name:-",'R.M Billets Reports'!D1430)),TRIM('R.M Billets Reports'!F1430),IF(ISNUMBER(SEARCH("Party Name-",'R.M Billets Reports'!D1430)),TRIM(MID('R.M Billets Reports'!D1430,SEARCH("-",'R.M Billets Reports'!D1430)+1,200)),""))&lt;&gt;"",IF(ISNUMBER(SEARCH("Party Name:-",'R.M Billets Reports'!D1430)),TRIM('R.M Billets Reports'!F1430),IF(ISNUMBER(SEARCH("Party Name-",'R.M Billets Reports'!D1430)),TRIM(MID('R.M Billets Reports'!D1430,SEARCH("-",'R.M Billets Reports'!D1430)+1,200)),"")),IF(ISNUMBER(SEARCH("Party Name:-",'R.M Billets Reports'!D1431)),TRIM('R.M Billets Reports'!F1431),IF(ISNUMBER(SEARCH("Party Name-",'R.M Billets Reports'!D1431)),TRIM(MID('R.M Billets Reports'!D1431,SEARCH("-",'R.M Billets Reports'!D1431)+1,200)),"")))="SHREE RADHE SHAKTI SPONGE AND POWER PVT. LTD.","SHREE RADHE",IF(IF(ISNUMBER(SEARCH("Party Name:-",'R.M Billets Reports'!D1430)),TRIM('R.M Billets Reports'!F1430),IF(ISNUMBER(SEARCH("Party Name-",'R.M Billets Reports'!D1430)),TRIM(MID('R.M Billets Reports'!D1430,SEARCH("-",'R.M Billets Reports'!D1430)+1,200)),""))&lt;&gt;"",IF(ISNUMBER(SEARCH("Party Name:-",'R.M Billets Reports'!D1430)),TRIM('R.M Billets Reports'!F1430),IF(ISNUMBER(SEARCH("Party Name-",'R.M Billets Reports'!D1430)),TRIM(MID('R.M Billets Reports'!D1430,SEARCH("-",'R.M Billets Reports'!D1430)+1,200)),"")),IF(ISNUMBER(SEARCH("Party Name:-",'R.M Billets Reports'!D1431)),TRIM('R.M Billets Reports'!F1431),IF(ISNUMBER(SEARCH("Party Name-",'R.M Billets Reports'!D1431)),TRIM(MID('R.M Billets Reports'!D1431,SEARCH("-",'R.M Billets Reports'!D1431)+1,200)),"")))))),IF(ROW()=2,"",A1430))</f>
      </c>
      <c r="B1431">
        <f>IF(OR('R.M Billets Reports'!A1430="Date-",'R.M Billets Reports'!A1430="Date:-"),'R.M Billets Reports'!B1430,IF(ROW()=2,"",B1430))</f>
      </c>
      <c r="C1431">
        <f>IF('R.M Billets Reports'!A1430="V.No.",'R.M Billets Reports'!B1430,IF(ROW()=2,"",C1430))</f>
      </c>
      <c r="D1431">
        <f>IF('R.M Billets Reports'!A1430&lt;&gt;"",'R.M Billets Reports'!A1430,IF(ROW()=2,"",D1430))</f>
      </c>
      <c r="E1431">
        <f>IF('R.M Billets Reports'!B1430="","",TRIM('R.M Billets Reports'!B1430))</f>
      </c>
      <c r="F1431">
        <f>'R.M Billets Reports'!C1430</f>
      </c>
      <c r="G1431">
        <f>'R.M Billets Reports'!D1430</f>
      </c>
      <c r="H1431">
        <f>'R.M Billets Reports'!E1430</f>
      </c>
      <c r="I1431">
        <f>'R.M Billets Reports'!F1430</f>
      </c>
      <c r="J1431">
        <f>'R.M Billets Reports'!G1430</f>
      </c>
      <c r="K1431">
        <f>'R.M Billets Reports'!H1430</f>
      </c>
      <c r="L1431">
        <f>IF('R.M Billets Reports'!I1430="","",'R.M Billets Reports'!I1430)</f>
      </c>
      <c r="M1431">
        <f t="shared" si="44"/>
      </c>
      <c r="N1431">
        <f>IF('R.M Billets Reports'!J1430="","",'R.M Billets Reports'!J1430)</f>
      </c>
      <c r="O1431">
        <f t="shared" si="45"/>
      </c>
      <c r="P1431">
        <f>IF('R.M Billets Reports'!A1430="SIZE",'R.M Billets Reports'!B1430,P1430)</f>
      </c>
    </row>
    <row r="1432" spans="1:16" x14ac:dyDescent="0.25">
      <c r="A1432">
        <f>IF(OR('R.M Billets Reports'!A1431="Date-",'R.M Billets Reports'!A1431="Date:-"),IF(IF(IF(ISNUMBER(SEARCH("Party Name:-",'R.M Billets Reports'!D1431)),TRIM('R.M Billets Reports'!F1431),IF(ISNUMBER(SEARCH("Party Name-",'R.M Billets Reports'!D1431)),TRIM(MID('R.M Billets Reports'!D1431,SEARCH("-",'R.M Billets Reports'!D1431)+1,200)),""))&lt;&gt;"",IF(ISNUMBER(SEARCH("Party Name:-",'R.M Billets Reports'!D1431)),TRIM('R.M Billets Reports'!F1431),IF(ISNUMBER(SEARCH("Party Name-",'R.M Billets Reports'!D1431)),TRIM(MID('R.M Billets Reports'!D1431,SEARCH("-",'R.M Billets Reports'!D1431)+1,200)),"")),IF(ISNUMBER(SEARCH("Party Name:-",'R.M Billets Reports'!D1432)),TRIM('R.M Billets Reports'!F1432),IF(ISNUMBER(SEARCH("Party Name-",'R.M Billets Reports'!D1432)),TRIM(MID('R.M Billets Reports'!D1432,SEARCH("-",'R.M Billets Reports'!D1432)+1,200)),"")))="VRKP ISPAT PVT LTD","VRKP",IF(IF(IF(ISNUMBER(SEARCH("Party Name:-",'R.M Billets Reports'!D1431)),TRIM('R.M Billets Reports'!F1431),IF(ISNUMBER(SEARCH("Party Name-",'R.M Billets Reports'!D1431)),TRIM(MID('R.M Billets Reports'!D1431,SEARCH("-",'R.M Billets Reports'!D1431)+1,200)),""))&lt;&gt;"",IF(ISNUMBER(SEARCH("Party Name:-",'R.M Billets Reports'!D1431)),TRIM('R.M Billets Reports'!F1431),IF(ISNUMBER(SEARCH("Party Name-",'R.M Billets Reports'!D1431)),TRIM(MID('R.M Billets Reports'!D1431,SEARCH("-",'R.M Billets Reports'!D1431)+1,200)),"")),IF(ISNUMBER(SEARCH("Party Name:-",'R.M Billets Reports'!D1432)),TRIM('R.M Billets Reports'!F1432),IF(ISNUMBER(SEARCH("Party Name-",'R.M Billets Reports'!D1432)),TRIM(MID('R.M Billets Reports'!D1432,SEARCH("-",'R.M Billets Reports'!D1432)+1,200)),"")))="SHRI RADHE","SHREE RADHE",IF(IF(IF(ISNUMBER(SEARCH("Party Name:-",'R.M Billets Reports'!D1431)),TRIM('R.M Billets Reports'!F1431),IF(ISNUMBER(SEARCH("Party Name-",'R.M Billets Reports'!D1431)),TRIM(MID('R.M Billets Reports'!D1431,SEARCH("-",'R.M Billets Reports'!D1431)+1,200)),""))&lt;&gt;"",IF(ISNUMBER(SEARCH("Party Name:-",'R.M Billets Reports'!D1431)),TRIM('R.M Billets Reports'!F1431),IF(ISNUMBER(SEARCH("Party Name-",'R.M Billets Reports'!D1431)),TRIM(MID('R.M Billets Reports'!D1431,SEARCH("-",'R.M Billets Reports'!D1431)+1,200)),"")),IF(ISNUMBER(SEARCH("Party Name:-",'R.M Billets Reports'!D1432)),TRIM('R.M Billets Reports'!F1432),IF(ISNUMBER(SEARCH("Party Name-",'R.M Billets Reports'!D1432)),TRIM(MID('R.M Billets Reports'!D1432,SEARCH("-",'R.M Billets Reports'!D1432)+1,200)),"")))="SHREE RADHE SHAKTI SPONGE AND POWER PVT. LTD.","SHREE RADHE",IF(IF(ISNUMBER(SEARCH("Party Name:-",'R.M Billets Reports'!D1431)),TRIM('R.M Billets Reports'!F1431),IF(ISNUMBER(SEARCH("Party Name-",'R.M Billets Reports'!D1431)),TRIM(MID('R.M Billets Reports'!D1431,SEARCH("-",'R.M Billets Reports'!D1431)+1,200)),""))&lt;&gt;"",IF(ISNUMBER(SEARCH("Party Name:-",'R.M Billets Reports'!D1431)),TRIM('R.M Billets Reports'!F1431),IF(ISNUMBER(SEARCH("Party Name-",'R.M Billets Reports'!D1431)),TRIM(MID('R.M Billets Reports'!D1431,SEARCH("-",'R.M Billets Reports'!D1431)+1,200)),"")),IF(ISNUMBER(SEARCH("Party Name:-",'R.M Billets Reports'!D1432)),TRIM('R.M Billets Reports'!F1432),IF(ISNUMBER(SEARCH("Party Name-",'R.M Billets Reports'!D1432)),TRIM(MID('R.M Billets Reports'!D1432,SEARCH("-",'R.M Billets Reports'!D1432)+1,200)),"")))))),IF(ROW()=2,"",A1431))</f>
      </c>
      <c r="B1432">
        <f>IF(OR('R.M Billets Reports'!A1431="Date-",'R.M Billets Reports'!A1431="Date:-"),'R.M Billets Reports'!B1431,IF(ROW()=2,"",B1431))</f>
      </c>
      <c r="C1432">
        <f>IF('R.M Billets Reports'!A1431="V.No.",'R.M Billets Reports'!B1431,IF(ROW()=2,"",C1431))</f>
      </c>
      <c r="D1432">
        <f>IF('R.M Billets Reports'!A1431&lt;&gt;"",'R.M Billets Reports'!A1431,IF(ROW()=2,"",D1431))</f>
      </c>
      <c r="E1432">
        <f>IF('R.M Billets Reports'!B1431="","",TRIM('R.M Billets Reports'!B1431))</f>
      </c>
      <c r="F1432">
        <f>'R.M Billets Reports'!C1431</f>
      </c>
      <c r="G1432">
        <f>'R.M Billets Reports'!D1431</f>
      </c>
      <c r="H1432">
        <f>'R.M Billets Reports'!E1431</f>
      </c>
      <c r="I1432">
        <f>'R.M Billets Reports'!F1431</f>
      </c>
      <c r="J1432">
        <f>'R.M Billets Reports'!G1431</f>
      </c>
      <c r="K1432">
        <f>'R.M Billets Reports'!H1431</f>
      </c>
      <c r="L1432">
        <f>IF('R.M Billets Reports'!I1431="","",'R.M Billets Reports'!I1431)</f>
      </c>
      <c r="M1432">
        <f t="shared" si="44"/>
      </c>
      <c r="N1432">
        <f>IF('R.M Billets Reports'!J1431="","",'R.M Billets Reports'!J1431)</f>
      </c>
      <c r="O1432">
        <f t="shared" si="45"/>
      </c>
      <c r="P1432">
        <f>IF('R.M Billets Reports'!A1431="SIZE",'R.M Billets Reports'!B1431,P1431)</f>
      </c>
    </row>
    <row r="1433" spans="1:16" x14ac:dyDescent="0.25">
      <c r="A1433">
        <f>IF(OR('R.M Billets Reports'!A1432="Date-",'R.M Billets Reports'!A1432="Date:-"),IF(IF(IF(ISNUMBER(SEARCH("Party Name:-",'R.M Billets Reports'!D1432)),TRIM('R.M Billets Reports'!F1432),IF(ISNUMBER(SEARCH("Party Name-",'R.M Billets Reports'!D1432)),TRIM(MID('R.M Billets Reports'!D1432,SEARCH("-",'R.M Billets Reports'!D1432)+1,200)),""))&lt;&gt;"",IF(ISNUMBER(SEARCH("Party Name:-",'R.M Billets Reports'!D1432)),TRIM('R.M Billets Reports'!F1432),IF(ISNUMBER(SEARCH("Party Name-",'R.M Billets Reports'!D1432)),TRIM(MID('R.M Billets Reports'!D1432,SEARCH("-",'R.M Billets Reports'!D1432)+1,200)),"")),IF(ISNUMBER(SEARCH("Party Name:-",'R.M Billets Reports'!D1433)),TRIM('R.M Billets Reports'!F1433),IF(ISNUMBER(SEARCH("Party Name-",'R.M Billets Reports'!D1433)),TRIM(MID('R.M Billets Reports'!D1433,SEARCH("-",'R.M Billets Reports'!D1433)+1,200)),"")))="VRKP ISPAT PVT LTD","VRKP",IF(IF(IF(ISNUMBER(SEARCH("Party Name:-",'R.M Billets Reports'!D1432)),TRIM('R.M Billets Reports'!F1432),IF(ISNUMBER(SEARCH("Party Name-",'R.M Billets Reports'!D1432)),TRIM(MID('R.M Billets Reports'!D1432,SEARCH("-",'R.M Billets Reports'!D1432)+1,200)),""))&lt;&gt;"",IF(ISNUMBER(SEARCH("Party Name:-",'R.M Billets Reports'!D1432)),TRIM('R.M Billets Reports'!F1432),IF(ISNUMBER(SEARCH("Party Name-",'R.M Billets Reports'!D1432)),TRIM(MID('R.M Billets Reports'!D1432,SEARCH("-",'R.M Billets Reports'!D1432)+1,200)),"")),IF(ISNUMBER(SEARCH("Party Name:-",'R.M Billets Reports'!D1433)),TRIM('R.M Billets Reports'!F1433),IF(ISNUMBER(SEARCH("Party Name-",'R.M Billets Reports'!D1433)),TRIM(MID('R.M Billets Reports'!D1433,SEARCH("-",'R.M Billets Reports'!D1433)+1,200)),"")))="SHRI RADHE","SHREE RADHE",IF(IF(IF(ISNUMBER(SEARCH("Party Name:-",'R.M Billets Reports'!D1432)),TRIM('R.M Billets Reports'!F1432),IF(ISNUMBER(SEARCH("Party Name-",'R.M Billets Reports'!D1432)),TRIM(MID('R.M Billets Reports'!D1432,SEARCH("-",'R.M Billets Reports'!D1432)+1,200)),""))&lt;&gt;"",IF(ISNUMBER(SEARCH("Party Name:-",'R.M Billets Reports'!D1432)),TRIM('R.M Billets Reports'!F1432),IF(ISNUMBER(SEARCH("Party Name-",'R.M Billets Reports'!D1432)),TRIM(MID('R.M Billets Reports'!D1432,SEARCH("-",'R.M Billets Reports'!D1432)+1,200)),"")),IF(ISNUMBER(SEARCH("Party Name:-",'R.M Billets Reports'!D1433)),TRIM('R.M Billets Reports'!F1433),IF(ISNUMBER(SEARCH("Party Name-",'R.M Billets Reports'!D1433)),TRIM(MID('R.M Billets Reports'!D1433,SEARCH("-",'R.M Billets Reports'!D1433)+1,200)),"")))="SHREE RADHE SHAKTI SPONGE AND POWER PVT. LTD.","SHREE RADHE",IF(IF(ISNUMBER(SEARCH("Party Name:-",'R.M Billets Reports'!D1432)),TRIM('R.M Billets Reports'!F1432),IF(ISNUMBER(SEARCH("Party Name-",'R.M Billets Reports'!D1432)),TRIM(MID('R.M Billets Reports'!D1432,SEARCH("-",'R.M Billets Reports'!D1432)+1,200)),""))&lt;&gt;"",IF(ISNUMBER(SEARCH("Party Name:-",'R.M Billets Reports'!D1432)),TRIM('R.M Billets Reports'!F1432),IF(ISNUMBER(SEARCH("Party Name-",'R.M Billets Reports'!D1432)),TRIM(MID('R.M Billets Reports'!D1432,SEARCH("-",'R.M Billets Reports'!D1432)+1,200)),"")),IF(ISNUMBER(SEARCH("Party Name:-",'R.M Billets Reports'!D1433)),TRIM('R.M Billets Reports'!F1433),IF(ISNUMBER(SEARCH("Party Name-",'R.M Billets Reports'!D1433)),TRIM(MID('R.M Billets Reports'!D1433,SEARCH("-",'R.M Billets Reports'!D1433)+1,200)),"")))))),IF(ROW()=2,"",A1432))</f>
      </c>
      <c r="B1433">
        <f>IF(OR('R.M Billets Reports'!A1432="Date-",'R.M Billets Reports'!A1432="Date:-"),'R.M Billets Reports'!B1432,IF(ROW()=2,"",B1432))</f>
      </c>
      <c r="C1433">
        <f>IF('R.M Billets Reports'!A1432="V.No.",'R.M Billets Reports'!B1432,IF(ROW()=2,"",C1432))</f>
      </c>
      <c r="D1433">
        <f>IF('R.M Billets Reports'!A1432&lt;&gt;"",'R.M Billets Reports'!A1432,IF(ROW()=2,"",D1432))</f>
      </c>
      <c r="E1433">
        <f>IF('R.M Billets Reports'!B1432="","",TRIM('R.M Billets Reports'!B1432))</f>
      </c>
      <c r="F1433">
        <f>'R.M Billets Reports'!C1432</f>
      </c>
      <c r="G1433">
        <f>'R.M Billets Reports'!D1432</f>
      </c>
      <c r="H1433">
        <f>'R.M Billets Reports'!E1432</f>
      </c>
      <c r="I1433">
        <f>'R.M Billets Reports'!F1432</f>
      </c>
      <c r="J1433">
        <f>'R.M Billets Reports'!G1432</f>
      </c>
      <c r="K1433">
        <f>'R.M Billets Reports'!H1432</f>
      </c>
      <c r="L1433">
        <f>IF('R.M Billets Reports'!I1432="","",'R.M Billets Reports'!I1432)</f>
      </c>
      <c r="M1433">
        <f t="shared" si="44"/>
      </c>
      <c r="N1433">
        <f>IF('R.M Billets Reports'!J1432="","",'R.M Billets Reports'!J1432)</f>
      </c>
      <c r="O1433">
        <f t="shared" si="45"/>
      </c>
      <c r="P1433">
        <f>IF('R.M Billets Reports'!A1432="SIZE",'R.M Billets Reports'!B1432,P1432)</f>
      </c>
    </row>
    <row r="1434" spans="1:16" x14ac:dyDescent="0.25">
      <c r="A1434">
        <f>IF(OR('R.M Billets Reports'!A1433="Date-",'R.M Billets Reports'!A1433="Date:-"),IF(IF(IF(ISNUMBER(SEARCH("Party Name:-",'R.M Billets Reports'!D1433)),TRIM('R.M Billets Reports'!F1433),IF(ISNUMBER(SEARCH("Party Name-",'R.M Billets Reports'!D1433)),TRIM(MID('R.M Billets Reports'!D1433,SEARCH("-",'R.M Billets Reports'!D1433)+1,200)),""))&lt;&gt;"",IF(ISNUMBER(SEARCH("Party Name:-",'R.M Billets Reports'!D1433)),TRIM('R.M Billets Reports'!F1433),IF(ISNUMBER(SEARCH("Party Name-",'R.M Billets Reports'!D1433)),TRIM(MID('R.M Billets Reports'!D1433,SEARCH("-",'R.M Billets Reports'!D1433)+1,200)),"")),IF(ISNUMBER(SEARCH("Party Name:-",'R.M Billets Reports'!D1434)),TRIM('R.M Billets Reports'!F1434),IF(ISNUMBER(SEARCH("Party Name-",'R.M Billets Reports'!D1434)),TRIM(MID('R.M Billets Reports'!D1434,SEARCH("-",'R.M Billets Reports'!D1434)+1,200)),"")))="VRKP ISPAT PVT LTD","VRKP",IF(IF(IF(ISNUMBER(SEARCH("Party Name:-",'R.M Billets Reports'!D1433)),TRIM('R.M Billets Reports'!F1433),IF(ISNUMBER(SEARCH("Party Name-",'R.M Billets Reports'!D1433)),TRIM(MID('R.M Billets Reports'!D1433,SEARCH("-",'R.M Billets Reports'!D1433)+1,200)),""))&lt;&gt;"",IF(ISNUMBER(SEARCH("Party Name:-",'R.M Billets Reports'!D1433)),TRIM('R.M Billets Reports'!F1433),IF(ISNUMBER(SEARCH("Party Name-",'R.M Billets Reports'!D1433)),TRIM(MID('R.M Billets Reports'!D1433,SEARCH("-",'R.M Billets Reports'!D1433)+1,200)),"")),IF(ISNUMBER(SEARCH("Party Name:-",'R.M Billets Reports'!D1434)),TRIM('R.M Billets Reports'!F1434),IF(ISNUMBER(SEARCH("Party Name-",'R.M Billets Reports'!D1434)),TRIM(MID('R.M Billets Reports'!D1434,SEARCH("-",'R.M Billets Reports'!D1434)+1,200)),"")))="SHRI RADHE","SHREE RADHE",IF(IF(IF(ISNUMBER(SEARCH("Party Name:-",'R.M Billets Reports'!D1433)),TRIM('R.M Billets Reports'!F1433),IF(ISNUMBER(SEARCH("Party Name-",'R.M Billets Reports'!D1433)),TRIM(MID('R.M Billets Reports'!D1433,SEARCH("-",'R.M Billets Reports'!D1433)+1,200)),""))&lt;&gt;"",IF(ISNUMBER(SEARCH("Party Name:-",'R.M Billets Reports'!D1433)),TRIM('R.M Billets Reports'!F1433),IF(ISNUMBER(SEARCH("Party Name-",'R.M Billets Reports'!D1433)),TRIM(MID('R.M Billets Reports'!D1433,SEARCH("-",'R.M Billets Reports'!D1433)+1,200)),"")),IF(ISNUMBER(SEARCH("Party Name:-",'R.M Billets Reports'!D1434)),TRIM('R.M Billets Reports'!F1434),IF(ISNUMBER(SEARCH("Party Name-",'R.M Billets Reports'!D1434)),TRIM(MID('R.M Billets Reports'!D1434,SEARCH("-",'R.M Billets Reports'!D1434)+1,200)),"")))="SHREE RADHE SHAKTI SPONGE AND POWER PVT. LTD.","SHREE RADHE",IF(IF(ISNUMBER(SEARCH("Party Name:-",'R.M Billets Reports'!D1433)),TRIM('R.M Billets Reports'!F1433),IF(ISNUMBER(SEARCH("Party Name-",'R.M Billets Reports'!D1433)),TRIM(MID('R.M Billets Reports'!D1433,SEARCH("-",'R.M Billets Reports'!D1433)+1,200)),""))&lt;&gt;"",IF(ISNUMBER(SEARCH("Party Name:-",'R.M Billets Reports'!D1433)),TRIM('R.M Billets Reports'!F1433),IF(ISNUMBER(SEARCH("Party Name-",'R.M Billets Reports'!D1433)),TRIM(MID('R.M Billets Reports'!D1433,SEARCH("-",'R.M Billets Reports'!D1433)+1,200)),"")),IF(ISNUMBER(SEARCH("Party Name:-",'R.M Billets Reports'!D1434)),TRIM('R.M Billets Reports'!F1434),IF(ISNUMBER(SEARCH("Party Name-",'R.M Billets Reports'!D1434)),TRIM(MID('R.M Billets Reports'!D1434,SEARCH("-",'R.M Billets Reports'!D1434)+1,200)),"")))))),IF(ROW()=2,"",A1433))</f>
      </c>
      <c r="B1434">
        <f>IF(OR('R.M Billets Reports'!A1433="Date-",'R.M Billets Reports'!A1433="Date:-"),'R.M Billets Reports'!B1433,IF(ROW()=2,"",B1433))</f>
      </c>
      <c r="C1434">
        <f>IF('R.M Billets Reports'!A1433="V.No.",'R.M Billets Reports'!B1433,IF(ROW()=2,"",C1433))</f>
      </c>
      <c r="D1434">
        <f>IF('R.M Billets Reports'!A1433&lt;&gt;"",'R.M Billets Reports'!A1433,IF(ROW()=2,"",D1433))</f>
      </c>
      <c r="E1434">
        <f>IF('R.M Billets Reports'!B1433="","",TRIM('R.M Billets Reports'!B1433))</f>
      </c>
      <c r="F1434">
        <f>'R.M Billets Reports'!C1433</f>
      </c>
      <c r="G1434">
        <f>'R.M Billets Reports'!D1433</f>
      </c>
      <c r="H1434">
        <f>'R.M Billets Reports'!E1433</f>
      </c>
      <c r="I1434">
        <f>'R.M Billets Reports'!F1433</f>
      </c>
      <c r="J1434">
        <f>'R.M Billets Reports'!G1433</f>
      </c>
      <c r="K1434">
        <f>'R.M Billets Reports'!H1433</f>
      </c>
      <c r="L1434">
        <f>IF('R.M Billets Reports'!I1433="","",'R.M Billets Reports'!I1433)</f>
      </c>
      <c r="M1434">
        <f t="shared" si="44"/>
      </c>
      <c r="N1434">
        <f>IF('R.M Billets Reports'!J1433="","",'R.M Billets Reports'!J1433)</f>
      </c>
      <c r="O1434">
        <f t="shared" si="45"/>
      </c>
      <c r="P1434">
        <f>IF('R.M Billets Reports'!A1433="SIZE",'R.M Billets Reports'!B1433,P1433)</f>
      </c>
    </row>
    <row r="1435" spans="1:16" x14ac:dyDescent="0.25">
      <c r="A1435">
        <f>IF(OR('R.M Billets Reports'!A1434="Date-",'R.M Billets Reports'!A1434="Date:-"),IF(IF(IF(ISNUMBER(SEARCH("Party Name:-",'R.M Billets Reports'!D1434)),TRIM('R.M Billets Reports'!F1434),IF(ISNUMBER(SEARCH("Party Name-",'R.M Billets Reports'!D1434)),TRIM(MID('R.M Billets Reports'!D1434,SEARCH("-",'R.M Billets Reports'!D1434)+1,200)),""))&lt;&gt;"",IF(ISNUMBER(SEARCH("Party Name:-",'R.M Billets Reports'!D1434)),TRIM('R.M Billets Reports'!F1434),IF(ISNUMBER(SEARCH("Party Name-",'R.M Billets Reports'!D1434)),TRIM(MID('R.M Billets Reports'!D1434,SEARCH("-",'R.M Billets Reports'!D1434)+1,200)),"")),IF(ISNUMBER(SEARCH("Party Name:-",'R.M Billets Reports'!D1435)),TRIM('R.M Billets Reports'!F1435),IF(ISNUMBER(SEARCH("Party Name-",'R.M Billets Reports'!D1435)),TRIM(MID('R.M Billets Reports'!D1435,SEARCH("-",'R.M Billets Reports'!D1435)+1,200)),"")))="VRKP ISPAT PVT LTD","VRKP",IF(IF(IF(ISNUMBER(SEARCH("Party Name:-",'R.M Billets Reports'!D1434)),TRIM('R.M Billets Reports'!F1434),IF(ISNUMBER(SEARCH("Party Name-",'R.M Billets Reports'!D1434)),TRIM(MID('R.M Billets Reports'!D1434,SEARCH("-",'R.M Billets Reports'!D1434)+1,200)),""))&lt;&gt;"",IF(ISNUMBER(SEARCH("Party Name:-",'R.M Billets Reports'!D1434)),TRIM('R.M Billets Reports'!F1434),IF(ISNUMBER(SEARCH("Party Name-",'R.M Billets Reports'!D1434)),TRIM(MID('R.M Billets Reports'!D1434,SEARCH("-",'R.M Billets Reports'!D1434)+1,200)),"")),IF(ISNUMBER(SEARCH("Party Name:-",'R.M Billets Reports'!D1435)),TRIM('R.M Billets Reports'!F1435),IF(ISNUMBER(SEARCH("Party Name-",'R.M Billets Reports'!D1435)),TRIM(MID('R.M Billets Reports'!D1435,SEARCH("-",'R.M Billets Reports'!D1435)+1,200)),"")))="SHRI RADHE","SHREE RADHE",IF(IF(IF(ISNUMBER(SEARCH("Party Name:-",'R.M Billets Reports'!D1434)),TRIM('R.M Billets Reports'!F1434),IF(ISNUMBER(SEARCH("Party Name-",'R.M Billets Reports'!D1434)),TRIM(MID('R.M Billets Reports'!D1434,SEARCH("-",'R.M Billets Reports'!D1434)+1,200)),""))&lt;&gt;"",IF(ISNUMBER(SEARCH("Party Name:-",'R.M Billets Reports'!D1434)),TRIM('R.M Billets Reports'!F1434),IF(ISNUMBER(SEARCH("Party Name-",'R.M Billets Reports'!D1434)),TRIM(MID('R.M Billets Reports'!D1434,SEARCH("-",'R.M Billets Reports'!D1434)+1,200)),"")),IF(ISNUMBER(SEARCH("Party Name:-",'R.M Billets Reports'!D1435)),TRIM('R.M Billets Reports'!F1435),IF(ISNUMBER(SEARCH("Party Name-",'R.M Billets Reports'!D1435)),TRIM(MID('R.M Billets Reports'!D1435,SEARCH("-",'R.M Billets Reports'!D1435)+1,200)),"")))="SHREE RADHE SHAKTI SPONGE AND POWER PVT. LTD.","SHREE RADHE",IF(IF(ISNUMBER(SEARCH("Party Name:-",'R.M Billets Reports'!D1434)),TRIM('R.M Billets Reports'!F1434),IF(ISNUMBER(SEARCH("Party Name-",'R.M Billets Reports'!D1434)),TRIM(MID('R.M Billets Reports'!D1434,SEARCH("-",'R.M Billets Reports'!D1434)+1,200)),""))&lt;&gt;"",IF(ISNUMBER(SEARCH("Party Name:-",'R.M Billets Reports'!D1434)),TRIM('R.M Billets Reports'!F1434),IF(ISNUMBER(SEARCH("Party Name-",'R.M Billets Reports'!D1434)),TRIM(MID('R.M Billets Reports'!D1434,SEARCH("-",'R.M Billets Reports'!D1434)+1,200)),"")),IF(ISNUMBER(SEARCH("Party Name:-",'R.M Billets Reports'!D1435)),TRIM('R.M Billets Reports'!F1435),IF(ISNUMBER(SEARCH("Party Name-",'R.M Billets Reports'!D1435)),TRIM(MID('R.M Billets Reports'!D1435,SEARCH("-",'R.M Billets Reports'!D1435)+1,200)),"")))))),IF(ROW()=2,"",A1434))</f>
      </c>
      <c r="B1435">
        <f>IF(OR('R.M Billets Reports'!A1434="Date-",'R.M Billets Reports'!A1434="Date:-"),'R.M Billets Reports'!B1434,IF(ROW()=2,"",B1434))</f>
      </c>
      <c r="C1435">
        <f>IF('R.M Billets Reports'!A1434="V.No.",'R.M Billets Reports'!B1434,IF(ROW()=2,"",C1434))</f>
      </c>
      <c r="D1435">
        <f>IF('R.M Billets Reports'!A1434&lt;&gt;"",'R.M Billets Reports'!A1434,IF(ROW()=2,"",D1434))</f>
      </c>
      <c r="E1435">
        <f>IF('R.M Billets Reports'!B1434="","",TRIM('R.M Billets Reports'!B1434))</f>
      </c>
      <c r="F1435">
        <f>'R.M Billets Reports'!C1434</f>
      </c>
      <c r="G1435">
        <f>'R.M Billets Reports'!D1434</f>
      </c>
      <c r="H1435">
        <f>'R.M Billets Reports'!E1434</f>
      </c>
      <c r="I1435">
        <f>'R.M Billets Reports'!F1434</f>
      </c>
      <c r="J1435">
        <f>'R.M Billets Reports'!G1434</f>
      </c>
      <c r="K1435">
        <f>'R.M Billets Reports'!H1434</f>
      </c>
      <c r="L1435">
        <f>IF('R.M Billets Reports'!I1434="","",'R.M Billets Reports'!I1434)</f>
      </c>
      <c r="M1435">
        <f t="shared" si="44"/>
      </c>
      <c r="N1435">
        <f>IF('R.M Billets Reports'!J1434="","",'R.M Billets Reports'!J1434)</f>
      </c>
      <c r="O1435">
        <f t="shared" si="45"/>
      </c>
      <c r="P1435">
        <f>IF('R.M Billets Reports'!A1434="SIZE",'R.M Billets Reports'!B1434,P1434)</f>
      </c>
    </row>
    <row r="1436" spans="1:16" x14ac:dyDescent="0.25">
      <c r="A1436">
        <f>IF(OR('R.M Billets Reports'!A1435="Date-",'R.M Billets Reports'!A1435="Date:-"),IF(IF(IF(ISNUMBER(SEARCH("Party Name:-",'R.M Billets Reports'!D1435)),TRIM('R.M Billets Reports'!F1435),IF(ISNUMBER(SEARCH("Party Name-",'R.M Billets Reports'!D1435)),TRIM(MID('R.M Billets Reports'!D1435,SEARCH("-",'R.M Billets Reports'!D1435)+1,200)),""))&lt;&gt;"",IF(ISNUMBER(SEARCH("Party Name:-",'R.M Billets Reports'!D1435)),TRIM('R.M Billets Reports'!F1435),IF(ISNUMBER(SEARCH("Party Name-",'R.M Billets Reports'!D1435)),TRIM(MID('R.M Billets Reports'!D1435,SEARCH("-",'R.M Billets Reports'!D1435)+1,200)),"")),IF(ISNUMBER(SEARCH("Party Name:-",'R.M Billets Reports'!D1436)),TRIM('R.M Billets Reports'!F1436),IF(ISNUMBER(SEARCH("Party Name-",'R.M Billets Reports'!D1436)),TRIM(MID('R.M Billets Reports'!D1436,SEARCH("-",'R.M Billets Reports'!D1436)+1,200)),"")))="VRKP ISPAT PVT LTD","VRKP",IF(IF(IF(ISNUMBER(SEARCH("Party Name:-",'R.M Billets Reports'!D1435)),TRIM('R.M Billets Reports'!F1435),IF(ISNUMBER(SEARCH("Party Name-",'R.M Billets Reports'!D1435)),TRIM(MID('R.M Billets Reports'!D1435,SEARCH("-",'R.M Billets Reports'!D1435)+1,200)),""))&lt;&gt;"",IF(ISNUMBER(SEARCH("Party Name:-",'R.M Billets Reports'!D1435)),TRIM('R.M Billets Reports'!F1435),IF(ISNUMBER(SEARCH("Party Name-",'R.M Billets Reports'!D1435)),TRIM(MID('R.M Billets Reports'!D1435,SEARCH("-",'R.M Billets Reports'!D1435)+1,200)),"")),IF(ISNUMBER(SEARCH("Party Name:-",'R.M Billets Reports'!D1436)),TRIM('R.M Billets Reports'!F1436),IF(ISNUMBER(SEARCH("Party Name-",'R.M Billets Reports'!D1436)),TRIM(MID('R.M Billets Reports'!D1436,SEARCH("-",'R.M Billets Reports'!D1436)+1,200)),"")))="SHRI RADHE","SHREE RADHE",IF(IF(IF(ISNUMBER(SEARCH("Party Name:-",'R.M Billets Reports'!D1435)),TRIM('R.M Billets Reports'!F1435),IF(ISNUMBER(SEARCH("Party Name-",'R.M Billets Reports'!D1435)),TRIM(MID('R.M Billets Reports'!D1435,SEARCH("-",'R.M Billets Reports'!D1435)+1,200)),""))&lt;&gt;"",IF(ISNUMBER(SEARCH("Party Name:-",'R.M Billets Reports'!D1435)),TRIM('R.M Billets Reports'!F1435),IF(ISNUMBER(SEARCH("Party Name-",'R.M Billets Reports'!D1435)),TRIM(MID('R.M Billets Reports'!D1435,SEARCH("-",'R.M Billets Reports'!D1435)+1,200)),"")),IF(ISNUMBER(SEARCH("Party Name:-",'R.M Billets Reports'!D1436)),TRIM('R.M Billets Reports'!F1436),IF(ISNUMBER(SEARCH("Party Name-",'R.M Billets Reports'!D1436)),TRIM(MID('R.M Billets Reports'!D1436,SEARCH("-",'R.M Billets Reports'!D1436)+1,200)),"")))="SHREE RADHE SHAKTI SPONGE AND POWER PVT. LTD.","SHREE RADHE",IF(IF(ISNUMBER(SEARCH("Party Name:-",'R.M Billets Reports'!D1435)),TRIM('R.M Billets Reports'!F1435),IF(ISNUMBER(SEARCH("Party Name-",'R.M Billets Reports'!D1435)),TRIM(MID('R.M Billets Reports'!D1435,SEARCH("-",'R.M Billets Reports'!D1435)+1,200)),""))&lt;&gt;"",IF(ISNUMBER(SEARCH("Party Name:-",'R.M Billets Reports'!D1435)),TRIM('R.M Billets Reports'!F1435),IF(ISNUMBER(SEARCH("Party Name-",'R.M Billets Reports'!D1435)),TRIM(MID('R.M Billets Reports'!D1435,SEARCH("-",'R.M Billets Reports'!D1435)+1,200)),"")),IF(ISNUMBER(SEARCH("Party Name:-",'R.M Billets Reports'!D1436)),TRIM('R.M Billets Reports'!F1436),IF(ISNUMBER(SEARCH("Party Name-",'R.M Billets Reports'!D1436)),TRIM(MID('R.M Billets Reports'!D1436,SEARCH("-",'R.M Billets Reports'!D1436)+1,200)),"")))))),IF(ROW()=2,"",A1435))</f>
      </c>
      <c r="B1436">
        <f>IF(OR('R.M Billets Reports'!A1435="Date-",'R.M Billets Reports'!A1435="Date:-"),'R.M Billets Reports'!B1435,IF(ROW()=2,"",B1435))</f>
      </c>
      <c r="C1436">
        <f>IF('R.M Billets Reports'!A1435="V.No.",'R.M Billets Reports'!B1435,IF(ROW()=2,"",C1435))</f>
      </c>
      <c r="D1436">
        <f>IF('R.M Billets Reports'!A1435&lt;&gt;"",'R.M Billets Reports'!A1435,IF(ROW()=2,"",D1435))</f>
      </c>
      <c r="E1436">
        <f>IF('R.M Billets Reports'!B1435="","",TRIM('R.M Billets Reports'!B1435))</f>
      </c>
      <c r="F1436">
        <f>'R.M Billets Reports'!C1435</f>
      </c>
      <c r="G1436">
        <f>'R.M Billets Reports'!D1435</f>
      </c>
      <c r="H1436">
        <f>'R.M Billets Reports'!E1435</f>
      </c>
      <c r="I1436">
        <f>'R.M Billets Reports'!F1435</f>
      </c>
      <c r="J1436">
        <f>'R.M Billets Reports'!G1435</f>
      </c>
      <c r="K1436">
        <f>'R.M Billets Reports'!H1435</f>
      </c>
      <c r="L1436">
        <f>IF('R.M Billets Reports'!I1435="","",'R.M Billets Reports'!I1435)</f>
      </c>
      <c r="M1436">
        <f t="shared" si="44"/>
      </c>
      <c r="N1436">
        <f>IF('R.M Billets Reports'!J1435="","",'R.M Billets Reports'!J1435)</f>
      </c>
      <c r="O1436">
        <f t="shared" si="45"/>
      </c>
      <c r="P1436">
        <f>IF('R.M Billets Reports'!A1435="SIZE",'R.M Billets Reports'!B1435,P1435)</f>
      </c>
    </row>
    <row r="1437" spans="1:16" x14ac:dyDescent="0.25">
      <c r="A1437">
        <f>IF(OR('R.M Billets Reports'!A1436="Date-",'R.M Billets Reports'!A1436="Date:-"),IF(IF(IF(ISNUMBER(SEARCH("Party Name:-",'R.M Billets Reports'!D1436)),TRIM('R.M Billets Reports'!F1436),IF(ISNUMBER(SEARCH("Party Name-",'R.M Billets Reports'!D1436)),TRIM(MID('R.M Billets Reports'!D1436,SEARCH("-",'R.M Billets Reports'!D1436)+1,200)),""))&lt;&gt;"",IF(ISNUMBER(SEARCH("Party Name:-",'R.M Billets Reports'!D1436)),TRIM('R.M Billets Reports'!F1436),IF(ISNUMBER(SEARCH("Party Name-",'R.M Billets Reports'!D1436)),TRIM(MID('R.M Billets Reports'!D1436,SEARCH("-",'R.M Billets Reports'!D1436)+1,200)),"")),IF(ISNUMBER(SEARCH("Party Name:-",'R.M Billets Reports'!D1437)),TRIM('R.M Billets Reports'!F1437),IF(ISNUMBER(SEARCH("Party Name-",'R.M Billets Reports'!D1437)),TRIM(MID('R.M Billets Reports'!D1437,SEARCH("-",'R.M Billets Reports'!D1437)+1,200)),"")))="VRKP ISPAT PVT LTD","VRKP",IF(IF(IF(ISNUMBER(SEARCH("Party Name:-",'R.M Billets Reports'!D1436)),TRIM('R.M Billets Reports'!F1436),IF(ISNUMBER(SEARCH("Party Name-",'R.M Billets Reports'!D1436)),TRIM(MID('R.M Billets Reports'!D1436,SEARCH("-",'R.M Billets Reports'!D1436)+1,200)),""))&lt;&gt;"",IF(ISNUMBER(SEARCH("Party Name:-",'R.M Billets Reports'!D1436)),TRIM('R.M Billets Reports'!F1436),IF(ISNUMBER(SEARCH("Party Name-",'R.M Billets Reports'!D1436)),TRIM(MID('R.M Billets Reports'!D1436,SEARCH("-",'R.M Billets Reports'!D1436)+1,200)),"")),IF(ISNUMBER(SEARCH("Party Name:-",'R.M Billets Reports'!D1437)),TRIM('R.M Billets Reports'!F1437),IF(ISNUMBER(SEARCH("Party Name-",'R.M Billets Reports'!D1437)),TRIM(MID('R.M Billets Reports'!D1437,SEARCH("-",'R.M Billets Reports'!D1437)+1,200)),"")))="SHRI RADHE","SHREE RADHE",IF(IF(IF(ISNUMBER(SEARCH("Party Name:-",'R.M Billets Reports'!D1436)),TRIM('R.M Billets Reports'!F1436),IF(ISNUMBER(SEARCH("Party Name-",'R.M Billets Reports'!D1436)),TRIM(MID('R.M Billets Reports'!D1436,SEARCH("-",'R.M Billets Reports'!D1436)+1,200)),""))&lt;&gt;"",IF(ISNUMBER(SEARCH("Party Name:-",'R.M Billets Reports'!D1436)),TRIM('R.M Billets Reports'!F1436),IF(ISNUMBER(SEARCH("Party Name-",'R.M Billets Reports'!D1436)),TRIM(MID('R.M Billets Reports'!D1436,SEARCH("-",'R.M Billets Reports'!D1436)+1,200)),"")),IF(ISNUMBER(SEARCH("Party Name:-",'R.M Billets Reports'!D1437)),TRIM('R.M Billets Reports'!F1437),IF(ISNUMBER(SEARCH("Party Name-",'R.M Billets Reports'!D1437)),TRIM(MID('R.M Billets Reports'!D1437,SEARCH("-",'R.M Billets Reports'!D1437)+1,200)),"")))="SHREE RADHE SHAKTI SPONGE AND POWER PVT. LTD.","SHREE RADHE",IF(IF(ISNUMBER(SEARCH("Party Name:-",'R.M Billets Reports'!D1436)),TRIM('R.M Billets Reports'!F1436),IF(ISNUMBER(SEARCH("Party Name-",'R.M Billets Reports'!D1436)),TRIM(MID('R.M Billets Reports'!D1436,SEARCH("-",'R.M Billets Reports'!D1436)+1,200)),""))&lt;&gt;"",IF(ISNUMBER(SEARCH("Party Name:-",'R.M Billets Reports'!D1436)),TRIM('R.M Billets Reports'!F1436),IF(ISNUMBER(SEARCH("Party Name-",'R.M Billets Reports'!D1436)),TRIM(MID('R.M Billets Reports'!D1436,SEARCH("-",'R.M Billets Reports'!D1436)+1,200)),"")),IF(ISNUMBER(SEARCH("Party Name:-",'R.M Billets Reports'!D1437)),TRIM('R.M Billets Reports'!F1437),IF(ISNUMBER(SEARCH("Party Name-",'R.M Billets Reports'!D1437)),TRIM(MID('R.M Billets Reports'!D1437,SEARCH("-",'R.M Billets Reports'!D1437)+1,200)),"")))))),IF(ROW()=2,"",A1436))</f>
      </c>
      <c r="B1437">
        <f>IF(OR('R.M Billets Reports'!A1436="Date-",'R.M Billets Reports'!A1436="Date:-"),'R.M Billets Reports'!B1436,IF(ROW()=2,"",B1436))</f>
      </c>
      <c r="C1437">
        <f>IF('R.M Billets Reports'!A1436="V.No.",'R.M Billets Reports'!B1436,IF(ROW()=2,"",C1436))</f>
      </c>
      <c r="D1437">
        <f>IF('R.M Billets Reports'!A1436&lt;&gt;"",'R.M Billets Reports'!A1436,IF(ROW()=2,"",D1436))</f>
      </c>
      <c r="E1437">
        <f>IF('R.M Billets Reports'!B1436="","",TRIM('R.M Billets Reports'!B1436))</f>
      </c>
      <c r="F1437">
        <f>'R.M Billets Reports'!C1436</f>
      </c>
      <c r="G1437">
        <f>'R.M Billets Reports'!D1436</f>
      </c>
      <c r="H1437">
        <f>'R.M Billets Reports'!E1436</f>
      </c>
      <c r="I1437">
        <f>'R.M Billets Reports'!F1436</f>
      </c>
      <c r="J1437">
        <f>'R.M Billets Reports'!G1436</f>
      </c>
      <c r="K1437">
        <f>'R.M Billets Reports'!H1436</f>
      </c>
      <c r="L1437">
        <f>IF('R.M Billets Reports'!I1436="","",'R.M Billets Reports'!I1436)</f>
      </c>
      <c r="M1437">
        <f t="shared" si="44"/>
      </c>
      <c r="N1437">
        <f>IF('R.M Billets Reports'!J1436="","",'R.M Billets Reports'!J1436)</f>
      </c>
      <c r="O1437">
        <f t="shared" si="45"/>
      </c>
      <c r="P1437">
        <f>IF('R.M Billets Reports'!A1436="SIZE",'R.M Billets Reports'!B1436,P1436)</f>
      </c>
    </row>
    <row r="1438" spans="1:16" x14ac:dyDescent="0.25">
      <c r="A1438">
        <f>IF(OR('R.M Billets Reports'!A1437="Date-",'R.M Billets Reports'!A1437="Date:-"),IF(IF(IF(ISNUMBER(SEARCH("Party Name:-",'R.M Billets Reports'!D1437)),TRIM('R.M Billets Reports'!F1437),IF(ISNUMBER(SEARCH("Party Name-",'R.M Billets Reports'!D1437)),TRIM(MID('R.M Billets Reports'!D1437,SEARCH("-",'R.M Billets Reports'!D1437)+1,200)),""))&lt;&gt;"",IF(ISNUMBER(SEARCH("Party Name:-",'R.M Billets Reports'!D1437)),TRIM('R.M Billets Reports'!F1437),IF(ISNUMBER(SEARCH("Party Name-",'R.M Billets Reports'!D1437)),TRIM(MID('R.M Billets Reports'!D1437,SEARCH("-",'R.M Billets Reports'!D1437)+1,200)),"")),IF(ISNUMBER(SEARCH("Party Name:-",'R.M Billets Reports'!D1438)),TRIM('R.M Billets Reports'!F1438),IF(ISNUMBER(SEARCH("Party Name-",'R.M Billets Reports'!D1438)),TRIM(MID('R.M Billets Reports'!D1438,SEARCH("-",'R.M Billets Reports'!D1438)+1,200)),"")))="VRKP ISPAT PVT LTD","VRKP",IF(IF(IF(ISNUMBER(SEARCH("Party Name:-",'R.M Billets Reports'!D1437)),TRIM('R.M Billets Reports'!F1437),IF(ISNUMBER(SEARCH("Party Name-",'R.M Billets Reports'!D1437)),TRIM(MID('R.M Billets Reports'!D1437,SEARCH("-",'R.M Billets Reports'!D1437)+1,200)),""))&lt;&gt;"",IF(ISNUMBER(SEARCH("Party Name:-",'R.M Billets Reports'!D1437)),TRIM('R.M Billets Reports'!F1437),IF(ISNUMBER(SEARCH("Party Name-",'R.M Billets Reports'!D1437)),TRIM(MID('R.M Billets Reports'!D1437,SEARCH("-",'R.M Billets Reports'!D1437)+1,200)),"")),IF(ISNUMBER(SEARCH("Party Name:-",'R.M Billets Reports'!D1438)),TRIM('R.M Billets Reports'!F1438),IF(ISNUMBER(SEARCH("Party Name-",'R.M Billets Reports'!D1438)),TRIM(MID('R.M Billets Reports'!D1438,SEARCH("-",'R.M Billets Reports'!D1438)+1,200)),"")))="SHRI RADHE","SHREE RADHE",IF(IF(IF(ISNUMBER(SEARCH("Party Name:-",'R.M Billets Reports'!D1437)),TRIM('R.M Billets Reports'!F1437),IF(ISNUMBER(SEARCH("Party Name-",'R.M Billets Reports'!D1437)),TRIM(MID('R.M Billets Reports'!D1437,SEARCH("-",'R.M Billets Reports'!D1437)+1,200)),""))&lt;&gt;"",IF(ISNUMBER(SEARCH("Party Name:-",'R.M Billets Reports'!D1437)),TRIM('R.M Billets Reports'!F1437),IF(ISNUMBER(SEARCH("Party Name-",'R.M Billets Reports'!D1437)),TRIM(MID('R.M Billets Reports'!D1437,SEARCH("-",'R.M Billets Reports'!D1437)+1,200)),"")),IF(ISNUMBER(SEARCH("Party Name:-",'R.M Billets Reports'!D1438)),TRIM('R.M Billets Reports'!F1438),IF(ISNUMBER(SEARCH("Party Name-",'R.M Billets Reports'!D1438)),TRIM(MID('R.M Billets Reports'!D1438,SEARCH("-",'R.M Billets Reports'!D1438)+1,200)),"")))="SHREE RADHE SHAKTI SPONGE AND POWER PVT. LTD.","SHREE RADHE",IF(IF(ISNUMBER(SEARCH("Party Name:-",'R.M Billets Reports'!D1437)),TRIM('R.M Billets Reports'!F1437),IF(ISNUMBER(SEARCH("Party Name-",'R.M Billets Reports'!D1437)),TRIM(MID('R.M Billets Reports'!D1437,SEARCH("-",'R.M Billets Reports'!D1437)+1,200)),""))&lt;&gt;"",IF(ISNUMBER(SEARCH("Party Name:-",'R.M Billets Reports'!D1437)),TRIM('R.M Billets Reports'!F1437),IF(ISNUMBER(SEARCH("Party Name-",'R.M Billets Reports'!D1437)),TRIM(MID('R.M Billets Reports'!D1437,SEARCH("-",'R.M Billets Reports'!D1437)+1,200)),"")),IF(ISNUMBER(SEARCH("Party Name:-",'R.M Billets Reports'!D1438)),TRIM('R.M Billets Reports'!F1438),IF(ISNUMBER(SEARCH("Party Name-",'R.M Billets Reports'!D1438)),TRIM(MID('R.M Billets Reports'!D1438,SEARCH("-",'R.M Billets Reports'!D1438)+1,200)),"")))))),IF(ROW()=2,"",A1437))</f>
      </c>
      <c r="B1438">
        <f>IF(OR('R.M Billets Reports'!A1437="Date-",'R.M Billets Reports'!A1437="Date:-"),'R.M Billets Reports'!B1437,IF(ROW()=2,"",B1437))</f>
      </c>
      <c r="C1438">
        <f>IF('R.M Billets Reports'!A1437="V.No.",'R.M Billets Reports'!B1437,IF(ROW()=2,"",C1437))</f>
      </c>
      <c r="D1438">
        <f>IF('R.M Billets Reports'!A1437&lt;&gt;"",'R.M Billets Reports'!A1437,IF(ROW()=2,"",D1437))</f>
      </c>
      <c r="E1438">
        <f>IF('R.M Billets Reports'!B1437="","",TRIM('R.M Billets Reports'!B1437))</f>
      </c>
      <c r="F1438">
        <f>'R.M Billets Reports'!C1437</f>
      </c>
      <c r="G1438">
        <f>'R.M Billets Reports'!D1437</f>
      </c>
      <c r="H1438">
        <f>'R.M Billets Reports'!E1437</f>
      </c>
      <c r="I1438">
        <f>'R.M Billets Reports'!F1437</f>
      </c>
      <c r="J1438">
        <f>'R.M Billets Reports'!G1437</f>
      </c>
      <c r="K1438">
        <f>'R.M Billets Reports'!H1437</f>
      </c>
      <c r="L1438">
        <f>IF('R.M Billets Reports'!I1437="","",'R.M Billets Reports'!I1437)</f>
      </c>
      <c r="M1438">
        <f t="shared" si="44"/>
      </c>
      <c r="N1438">
        <f>IF('R.M Billets Reports'!J1437="","",'R.M Billets Reports'!J1437)</f>
      </c>
      <c r="O1438">
        <f t="shared" si="45"/>
      </c>
      <c r="P1438">
        <f>IF('R.M Billets Reports'!A1437="SIZE",'R.M Billets Reports'!B1437,P1437)</f>
      </c>
    </row>
    <row r="1439" spans="1:16" x14ac:dyDescent="0.25">
      <c r="A1439">
        <f>IF(OR('R.M Billets Reports'!A1438="Date-",'R.M Billets Reports'!A1438="Date:-"),IF(IF(IF(ISNUMBER(SEARCH("Party Name:-",'R.M Billets Reports'!D1438)),TRIM('R.M Billets Reports'!F1438),IF(ISNUMBER(SEARCH("Party Name-",'R.M Billets Reports'!D1438)),TRIM(MID('R.M Billets Reports'!D1438,SEARCH("-",'R.M Billets Reports'!D1438)+1,200)),""))&lt;&gt;"",IF(ISNUMBER(SEARCH("Party Name:-",'R.M Billets Reports'!D1438)),TRIM('R.M Billets Reports'!F1438),IF(ISNUMBER(SEARCH("Party Name-",'R.M Billets Reports'!D1438)),TRIM(MID('R.M Billets Reports'!D1438,SEARCH("-",'R.M Billets Reports'!D1438)+1,200)),"")),IF(ISNUMBER(SEARCH("Party Name:-",'R.M Billets Reports'!D1439)),TRIM('R.M Billets Reports'!F1439),IF(ISNUMBER(SEARCH("Party Name-",'R.M Billets Reports'!D1439)),TRIM(MID('R.M Billets Reports'!D1439,SEARCH("-",'R.M Billets Reports'!D1439)+1,200)),"")))="VRKP ISPAT PVT LTD","VRKP",IF(IF(IF(ISNUMBER(SEARCH("Party Name:-",'R.M Billets Reports'!D1438)),TRIM('R.M Billets Reports'!F1438),IF(ISNUMBER(SEARCH("Party Name-",'R.M Billets Reports'!D1438)),TRIM(MID('R.M Billets Reports'!D1438,SEARCH("-",'R.M Billets Reports'!D1438)+1,200)),""))&lt;&gt;"",IF(ISNUMBER(SEARCH("Party Name:-",'R.M Billets Reports'!D1438)),TRIM('R.M Billets Reports'!F1438),IF(ISNUMBER(SEARCH("Party Name-",'R.M Billets Reports'!D1438)),TRIM(MID('R.M Billets Reports'!D1438,SEARCH("-",'R.M Billets Reports'!D1438)+1,200)),"")),IF(ISNUMBER(SEARCH("Party Name:-",'R.M Billets Reports'!D1439)),TRIM('R.M Billets Reports'!F1439),IF(ISNUMBER(SEARCH("Party Name-",'R.M Billets Reports'!D1439)),TRIM(MID('R.M Billets Reports'!D1439,SEARCH("-",'R.M Billets Reports'!D1439)+1,200)),"")))="SHRI RADHE","SHREE RADHE",IF(IF(IF(ISNUMBER(SEARCH("Party Name:-",'R.M Billets Reports'!D1438)),TRIM('R.M Billets Reports'!F1438),IF(ISNUMBER(SEARCH("Party Name-",'R.M Billets Reports'!D1438)),TRIM(MID('R.M Billets Reports'!D1438,SEARCH("-",'R.M Billets Reports'!D1438)+1,200)),""))&lt;&gt;"",IF(ISNUMBER(SEARCH("Party Name:-",'R.M Billets Reports'!D1438)),TRIM('R.M Billets Reports'!F1438),IF(ISNUMBER(SEARCH("Party Name-",'R.M Billets Reports'!D1438)),TRIM(MID('R.M Billets Reports'!D1438,SEARCH("-",'R.M Billets Reports'!D1438)+1,200)),"")),IF(ISNUMBER(SEARCH("Party Name:-",'R.M Billets Reports'!D1439)),TRIM('R.M Billets Reports'!F1439),IF(ISNUMBER(SEARCH("Party Name-",'R.M Billets Reports'!D1439)),TRIM(MID('R.M Billets Reports'!D1439,SEARCH("-",'R.M Billets Reports'!D1439)+1,200)),"")))="SHREE RADHE SHAKTI SPONGE AND POWER PVT. LTD.","SHREE RADHE",IF(IF(ISNUMBER(SEARCH("Party Name:-",'R.M Billets Reports'!D1438)),TRIM('R.M Billets Reports'!F1438),IF(ISNUMBER(SEARCH("Party Name-",'R.M Billets Reports'!D1438)),TRIM(MID('R.M Billets Reports'!D1438,SEARCH("-",'R.M Billets Reports'!D1438)+1,200)),""))&lt;&gt;"",IF(ISNUMBER(SEARCH("Party Name:-",'R.M Billets Reports'!D1438)),TRIM('R.M Billets Reports'!F1438),IF(ISNUMBER(SEARCH("Party Name-",'R.M Billets Reports'!D1438)),TRIM(MID('R.M Billets Reports'!D1438,SEARCH("-",'R.M Billets Reports'!D1438)+1,200)),"")),IF(ISNUMBER(SEARCH("Party Name:-",'R.M Billets Reports'!D1439)),TRIM('R.M Billets Reports'!F1439),IF(ISNUMBER(SEARCH("Party Name-",'R.M Billets Reports'!D1439)),TRIM(MID('R.M Billets Reports'!D1439,SEARCH("-",'R.M Billets Reports'!D1439)+1,200)),"")))))),IF(ROW()=2,"",A1438))</f>
      </c>
      <c r="B1439">
        <f>IF(OR('R.M Billets Reports'!A1438="Date-",'R.M Billets Reports'!A1438="Date:-"),'R.M Billets Reports'!B1438,IF(ROW()=2,"",B1438))</f>
      </c>
      <c r="C1439">
        <f>IF('R.M Billets Reports'!A1438="V.No.",'R.M Billets Reports'!B1438,IF(ROW()=2,"",C1438))</f>
      </c>
      <c r="D1439">
        <f>IF('R.M Billets Reports'!A1438&lt;&gt;"",'R.M Billets Reports'!A1438,IF(ROW()=2,"",D1438))</f>
      </c>
      <c r="E1439">
        <f>IF('R.M Billets Reports'!B1438="","",TRIM('R.M Billets Reports'!B1438))</f>
      </c>
      <c r="F1439">
        <f>'R.M Billets Reports'!C1438</f>
      </c>
      <c r="G1439">
        <f>'R.M Billets Reports'!D1438</f>
      </c>
      <c r="H1439">
        <f>'R.M Billets Reports'!E1438</f>
      </c>
      <c r="I1439">
        <f>'R.M Billets Reports'!F1438</f>
      </c>
      <c r="J1439">
        <f>'R.M Billets Reports'!G1438</f>
      </c>
      <c r="K1439">
        <f>'R.M Billets Reports'!H1438</f>
      </c>
      <c r="L1439">
        <f>IF('R.M Billets Reports'!I1438="","",'R.M Billets Reports'!I1438)</f>
      </c>
      <c r="M1439">
        <f t="shared" si="44"/>
      </c>
      <c r="N1439">
        <f>IF('R.M Billets Reports'!J1438="","",'R.M Billets Reports'!J1438)</f>
      </c>
      <c r="O1439">
        <f t="shared" si="45"/>
      </c>
      <c r="P1439">
        <f>IF('R.M Billets Reports'!A1438="SIZE",'R.M Billets Reports'!B1438,P1438)</f>
      </c>
    </row>
    <row r="1440" spans="1:16" x14ac:dyDescent="0.25">
      <c r="A1440">
        <f>IF(OR('R.M Billets Reports'!A1439="Date-",'R.M Billets Reports'!A1439="Date:-"),IF(IF(IF(ISNUMBER(SEARCH("Party Name:-",'R.M Billets Reports'!D1439)),TRIM('R.M Billets Reports'!F1439),IF(ISNUMBER(SEARCH("Party Name-",'R.M Billets Reports'!D1439)),TRIM(MID('R.M Billets Reports'!D1439,SEARCH("-",'R.M Billets Reports'!D1439)+1,200)),""))&lt;&gt;"",IF(ISNUMBER(SEARCH("Party Name:-",'R.M Billets Reports'!D1439)),TRIM('R.M Billets Reports'!F1439),IF(ISNUMBER(SEARCH("Party Name-",'R.M Billets Reports'!D1439)),TRIM(MID('R.M Billets Reports'!D1439,SEARCH("-",'R.M Billets Reports'!D1439)+1,200)),"")),IF(ISNUMBER(SEARCH("Party Name:-",'R.M Billets Reports'!D1440)),TRIM('R.M Billets Reports'!F1440),IF(ISNUMBER(SEARCH("Party Name-",'R.M Billets Reports'!D1440)),TRIM(MID('R.M Billets Reports'!D1440,SEARCH("-",'R.M Billets Reports'!D1440)+1,200)),"")))="VRKP ISPAT PVT LTD","VRKP",IF(IF(IF(ISNUMBER(SEARCH("Party Name:-",'R.M Billets Reports'!D1439)),TRIM('R.M Billets Reports'!F1439),IF(ISNUMBER(SEARCH("Party Name-",'R.M Billets Reports'!D1439)),TRIM(MID('R.M Billets Reports'!D1439,SEARCH("-",'R.M Billets Reports'!D1439)+1,200)),""))&lt;&gt;"",IF(ISNUMBER(SEARCH("Party Name:-",'R.M Billets Reports'!D1439)),TRIM('R.M Billets Reports'!F1439),IF(ISNUMBER(SEARCH("Party Name-",'R.M Billets Reports'!D1439)),TRIM(MID('R.M Billets Reports'!D1439,SEARCH("-",'R.M Billets Reports'!D1439)+1,200)),"")),IF(ISNUMBER(SEARCH("Party Name:-",'R.M Billets Reports'!D1440)),TRIM('R.M Billets Reports'!F1440),IF(ISNUMBER(SEARCH("Party Name-",'R.M Billets Reports'!D1440)),TRIM(MID('R.M Billets Reports'!D1440,SEARCH("-",'R.M Billets Reports'!D1440)+1,200)),"")))="SHRI RADHE","SHREE RADHE",IF(IF(IF(ISNUMBER(SEARCH("Party Name:-",'R.M Billets Reports'!D1439)),TRIM('R.M Billets Reports'!F1439),IF(ISNUMBER(SEARCH("Party Name-",'R.M Billets Reports'!D1439)),TRIM(MID('R.M Billets Reports'!D1439,SEARCH("-",'R.M Billets Reports'!D1439)+1,200)),""))&lt;&gt;"",IF(ISNUMBER(SEARCH("Party Name:-",'R.M Billets Reports'!D1439)),TRIM('R.M Billets Reports'!F1439),IF(ISNUMBER(SEARCH("Party Name-",'R.M Billets Reports'!D1439)),TRIM(MID('R.M Billets Reports'!D1439,SEARCH("-",'R.M Billets Reports'!D1439)+1,200)),"")),IF(ISNUMBER(SEARCH("Party Name:-",'R.M Billets Reports'!D1440)),TRIM('R.M Billets Reports'!F1440),IF(ISNUMBER(SEARCH("Party Name-",'R.M Billets Reports'!D1440)),TRIM(MID('R.M Billets Reports'!D1440,SEARCH("-",'R.M Billets Reports'!D1440)+1,200)),"")))="SHREE RADHE SHAKTI SPONGE AND POWER PVT. LTD.","SHREE RADHE",IF(IF(ISNUMBER(SEARCH("Party Name:-",'R.M Billets Reports'!D1439)),TRIM('R.M Billets Reports'!F1439),IF(ISNUMBER(SEARCH("Party Name-",'R.M Billets Reports'!D1439)),TRIM(MID('R.M Billets Reports'!D1439,SEARCH("-",'R.M Billets Reports'!D1439)+1,200)),""))&lt;&gt;"",IF(ISNUMBER(SEARCH("Party Name:-",'R.M Billets Reports'!D1439)),TRIM('R.M Billets Reports'!F1439),IF(ISNUMBER(SEARCH("Party Name-",'R.M Billets Reports'!D1439)),TRIM(MID('R.M Billets Reports'!D1439,SEARCH("-",'R.M Billets Reports'!D1439)+1,200)),"")),IF(ISNUMBER(SEARCH("Party Name:-",'R.M Billets Reports'!D1440)),TRIM('R.M Billets Reports'!F1440),IF(ISNUMBER(SEARCH("Party Name-",'R.M Billets Reports'!D1440)),TRIM(MID('R.M Billets Reports'!D1440,SEARCH("-",'R.M Billets Reports'!D1440)+1,200)),"")))))),IF(ROW()=2,"",A1439))</f>
      </c>
      <c r="B1440">
        <f>IF(OR('R.M Billets Reports'!A1439="Date-",'R.M Billets Reports'!A1439="Date:-"),'R.M Billets Reports'!B1439,IF(ROW()=2,"",B1439))</f>
      </c>
      <c r="C1440">
        <f>IF('R.M Billets Reports'!A1439="V.No.",'R.M Billets Reports'!B1439,IF(ROW()=2,"",C1439))</f>
      </c>
      <c r="D1440">
        <f>IF('R.M Billets Reports'!A1439&lt;&gt;"",'R.M Billets Reports'!A1439,IF(ROW()=2,"",D1439))</f>
      </c>
      <c r="E1440">
        <f>IF('R.M Billets Reports'!B1439="","",TRIM('R.M Billets Reports'!B1439))</f>
      </c>
      <c r="F1440">
        <f>'R.M Billets Reports'!C1439</f>
      </c>
      <c r="G1440">
        <f>'R.M Billets Reports'!D1439</f>
      </c>
      <c r="H1440">
        <f>'R.M Billets Reports'!E1439</f>
      </c>
      <c r="I1440">
        <f>'R.M Billets Reports'!F1439</f>
      </c>
      <c r="J1440">
        <f>'R.M Billets Reports'!G1439</f>
      </c>
      <c r="K1440">
        <f>'R.M Billets Reports'!H1439</f>
      </c>
      <c r="L1440">
        <f>IF('R.M Billets Reports'!I1439="","",'R.M Billets Reports'!I1439)</f>
      </c>
      <c r="M1440">
        <f t="shared" si="44"/>
      </c>
      <c r="N1440">
        <f>IF('R.M Billets Reports'!J1439="","",'R.M Billets Reports'!J1439)</f>
      </c>
      <c r="O1440">
        <f t="shared" si="45"/>
      </c>
      <c r="P1440">
        <f>IF('R.M Billets Reports'!A1439="SIZE",'R.M Billets Reports'!B1439,P1439)</f>
      </c>
    </row>
    <row r="1441" spans="1:16" x14ac:dyDescent="0.25">
      <c r="A1441">
        <f>IF(OR('R.M Billets Reports'!A1440="Date-",'R.M Billets Reports'!A1440="Date:-"),IF(IF(IF(ISNUMBER(SEARCH("Party Name:-",'R.M Billets Reports'!D1440)),TRIM('R.M Billets Reports'!F1440),IF(ISNUMBER(SEARCH("Party Name-",'R.M Billets Reports'!D1440)),TRIM(MID('R.M Billets Reports'!D1440,SEARCH("-",'R.M Billets Reports'!D1440)+1,200)),""))&lt;&gt;"",IF(ISNUMBER(SEARCH("Party Name:-",'R.M Billets Reports'!D1440)),TRIM('R.M Billets Reports'!F1440),IF(ISNUMBER(SEARCH("Party Name-",'R.M Billets Reports'!D1440)),TRIM(MID('R.M Billets Reports'!D1440,SEARCH("-",'R.M Billets Reports'!D1440)+1,200)),"")),IF(ISNUMBER(SEARCH("Party Name:-",'R.M Billets Reports'!D1441)),TRIM('R.M Billets Reports'!F1441),IF(ISNUMBER(SEARCH("Party Name-",'R.M Billets Reports'!D1441)),TRIM(MID('R.M Billets Reports'!D1441,SEARCH("-",'R.M Billets Reports'!D1441)+1,200)),"")))="VRKP ISPAT PVT LTD","VRKP",IF(IF(IF(ISNUMBER(SEARCH("Party Name:-",'R.M Billets Reports'!D1440)),TRIM('R.M Billets Reports'!F1440),IF(ISNUMBER(SEARCH("Party Name-",'R.M Billets Reports'!D1440)),TRIM(MID('R.M Billets Reports'!D1440,SEARCH("-",'R.M Billets Reports'!D1440)+1,200)),""))&lt;&gt;"",IF(ISNUMBER(SEARCH("Party Name:-",'R.M Billets Reports'!D1440)),TRIM('R.M Billets Reports'!F1440),IF(ISNUMBER(SEARCH("Party Name-",'R.M Billets Reports'!D1440)),TRIM(MID('R.M Billets Reports'!D1440,SEARCH("-",'R.M Billets Reports'!D1440)+1,200)),"")),IF(ISNUMBER(SEARCH("Party Name:-",'R.M Billets Reports'!D1441)),TRIM('R.M Billets Reports'!F1441),IF(ISNUMBER(SEARCH("Party Name-",'R.M Billets Reports'!D1441)),TRIM(MID('R.M Billets Reports'!D1441,SEARCH("-",'R.M Billets Reports'!D1441)+1,200)),"")))="SHRI RADHE","SHREE RADHE",IF(IF(IF(ISNUMBER(SEARCH("Party Name:-",'R.M Billets Reports'!D1440)),TRIM('R.M Billets Reports'!F1440),IF(ISNUMBER(SEARCH("Party Name-",'R.M Billets Reports'!D1440)),TRIM(MID('R.M Billets Reports'!D1440,SEARCH("-",'R.M Billets Reports'!D1440)+1,200)),""))&lt;&gt;"",IF(ISNUMBER(SEARCH("Party Name:-",'R.M Billets Reports'!D1440)),TRIM('R.M Billets Reports'!F1440),IF(ISNUMBER(SEARCH("Party Name-",'R.M Billets Reports'!D1440)),TRIM(MID('R.M Billets Reports'!D1440,SEARCH("-",'R.M Billets Reports'!D1440)+1,200)),"")),IF(ISNUMBER(SEARCH("Party Name:-",'R.M Billets Reports'!D1441)),TRIM('R.M Billets Reports'!F1441),IF(ISNUMBER(SEARCH("Party Name-",'R.M Billets Reports'!D1441)),TRIM(MID('R.M Billets Reports'!D1441,SEARCH("-",'R.M Billets Reports'!D1441)+1,200)),"")))="SHREE RADHE SHAKTI SPONGE AND POWER PVT. LTD.","SHREE RADHE",IF(IF(ISNUMBER(SEARCH("Party Name:-",'R.M Billets Reports'!D1440)),TRIM('R.M Billets Reports'!F1440),IF(ISNUMBER(SEARCH("Party Name-",'R.M Billets Reports'!D1440)),TRIM(MID('R.M Billets Reports'!D1440,SEARCH("-",'R.M Billets Reports'!D1440)+1,200)),""))&lt;&gt;"",IF(ISNUMBER(SEARCH("Party Name:-",'R.M Billets Reports'!D1440)),TRIM('R.M Billets Reports'!F1440),IF(ISNUMBER(SEARCH("Party Name-",'R.M Billets Reports'!D1440)),TRIM(MID('R.M Billets Reports'!D1440,SEARCH("-",'R.M Billets Reports'!D1440)+1,200)),"")),IF(ISNUMBER(SEARCH("Party Name:-",'R.M Billets Reports'!D1441)),TRIM('R.M Billets Reports'!F1441),IF(ISNUMBER(SEARCH("Party Name-",'R.M Billets Reports'!D1441)),TRIM(MID('R.M Billets Reports'!D1441,SEARCH("-",'R.M Billets Reports'!D1441)+1,200)),"")))))),IF(ROW()=2,"",A1440))</f>
      </c>
      <c r="B1441">
        <f>IF(OR('R.M Billets Reports'!A1440="Date-",'R.M Billets Reports'!A1440="Date:-"),'R.M Billets Reports'!B1440,IF(ROW()=2,"",B1440))</f>
      </c>
      <c r="C1441">
        <f>IF('R.M Billets Reports'!A1440="V.No.",'R.M Billets Reports'!B1440,IF(ROW()=2,"",C1440))</f>
      </c>
      <c r="D1441">
        <f>IF('R.M Billets Reports'!A1440&lt;&gt;"",'R.M Billets Reports'!A1440,IF(ROW()=2,"",D1440))</f>
      </c>
      <c r="E1441">
        <f>IF('R.M Billets Reports'!B1440="","",TRIM('R.M Billets Reports'!B1440))</f>
      </c>
      <c r="F1441">
        <f>'R.M Billets Reports'!C1440</f>
      </c>
      <c r="G1441">
        <f>'R.M Billets Reports'!D1440</f>
      </c>
      <c r="H1441">
        <f>'R.M Billets Reports'!E1440</f>
      </c>
      <c r="I1441">
        <f>'R.M Billets Reports'!F1440</f>
      </c>
      <c r="J1441">
        <f>'R.M Billets Reports'!G1440</f>
      </c>
      <c r="K1441">
        <f>'R.M Billets Reports'!H1440</f>
      </c>
      <c r="L1441">
        <f>IF('R.M Billets Reports'!I1440="","",'R.M Billets Reports'!I1440)</f>
      </c>
      <c r="M1441">
        <f t="shared" si="44"/>
      </c>
      <c r="N1441">
        <f>IF('R.M Billets Reports'!J1440="","",'R.M Billets Reports'!J1440)</f>
      </c>
      <c r="O1441">
        <f t="shared" si="45"/>
      </c>
      <c r="P1441">
        <f>IF('R.M Billets Reports'!A1440="SIZE",'R.M Billets Reports'!B1440,P1440)</f>
      </c>
    </row>
    <row r="1442" spans="1:16" x14ac:dyDescent="0.25">
      <c r="A1442">
        <f>IF(OR('R.M Billets Reports'!A1441="Date-",'R.M Billets Reports'!A1441="Date:-"),IF(IF(IF(ISNUMBER(SEARCH("Party Name:-",'R.M Billets Reports'!D1441)),TRIM('R.M Billets Reports'!F1441),IF(ISNUMBER(SEARCH("Party Name-",'R.M Billets Reports'!D1441)),TRIM(MID('R.M Billets Reports'!D1441,SEARCH("-",'R.M Billets Reports'!D1441)+1,200)),""))&lt;&gt;"",IF(ISNUMBER(SEARCH("Party Name:-",'R.M Billets Reports'!D1441)),TRIM('R.M Billets Reports'!F1441),IF(ISNUMBER(SEARCH("Party Name-",'R.M Billets Reports'!D1441)),TRIM(MID('R.M Billets Reports'!D1441,SEARCH("-",'R.M Billets Reports'!D1441)+1,200)),"")),IF(ISNUMBER(SEARCH("Party Name:-",'R.M Billets Reports'!D1442)),TRIM('R.M Billets Reports'!F1442),IF(ISNUMBER(SEARCH("Party Name-",'R.M Billets Reports'!D1442)),TRIM(MID('R.M Billets Reports'!D1442,SEARCH("-",'R.M Billets Reports'!D1442)+1,200)),"")))="VRKP ISPAT PVT LTD","VRKP",IF(IF(IF(ISNUMBER(SEARCH("Party Name:-",'R.M Billets Reports'!D1441)),TRIM('R.M Billets Reports'!F1441),IF(ISNUMBER(SEARCH("Party Name-",'R.M Billets Reports'!D1441)),TRIM(MID('R.M Billets Reports'!D1441,SEARCH("-",'R.M Billets Reports'!D1441)+1,200)),""))&lt;&gt;"",IF(ISNUMBER(SEARCH("Party Name:-",'R.M Billets Reports'!D1441)),TRIM('R.M Billets Reports'!F1441),IF(ISNUMBER(SEARCH("Party Name-",'R.M Billets Reports'!D1441)),TRIM(MID('R.M Billets Reports'!D1441,SEARCH("-",'R.M Billets Reports'!D1441)+1,200)),"")),IF(ISNUMBER(SEARCH("Party Name:-",'R.M Billets Reports'!D1442)),TRIM('R.M Billets Reports'!F1442),IF(ISNUMBER(SEARCH("Party Name-",'R.M Billets Reports'!D1442)),TRIM(MID('R.M Billets Reports'!D1442,SEARCH("-",'R.M Billets Reports'!D1442)+1,200)),"")))="SHRI RADHE","SHREE RADHE",IF(IF(IF(ISNUMBER(SEARCH("Party Name:-",'R.M Billets Reports'!D1441)),TRIM('R.M Billets Reports'!F1441),IF(ISNUMBER(SEARCH("Party Name-",'R.M Billets Reports'!D1441)),TRIM(MID('R.M Billets Reports'!D1441,SEARCH("-",'R.M Billets Reports'!D1441)+1,200)),""))&lt;&gt;"",IF(ISNUMBER(SEARCH("Party Name:-",'R.M Billets Reports'!D1441)),TRIM('R.M Billets Reports'!F1441),IF(ISNUMBER(SEARCH("Party Name-",'R.M Billets Reports'!D1441)),TRIM(MID('R.M Billets Reports'!D1441,SEARCH("-",'R.M Billets Reports'!D1441)+1,200)),"")),IF(ISNUMBER(SEARCH("Party Name:-",'R.M Billets Reports'!D1442)),TRIM('R.M Billets Reports'!F1442),IF(ISNUMBER(SEARCH("Party Name-",'R.M Billets Reports'!D1442)),TRIM(MID('R.M Billets Reports'!D1442,SEARCH("-",'R.M Billets Reports'!D1442)+1,200)),"")))="SHREE RADHE SHAKTI SPONGE AND POWER PVT. LTD.","SHREE RADHE",IF(IF(ISNUMBER(SEARCH("Party Name:-",'R.M Billets Reports'!D1441)),TRIM('R.M Billets Reports'!F1441),IF(ISNUMBER(SEARCH("Party Name-",'R.M Billets Reports'!D1441)),TRIM(MID('R.M Billets Reports'!D1441,SEARCH("-",'R.M Billets Reports'!D1441)+1,200)),""))&lt;&gt;"",IF(ISNUMBER(SEARCH("Party Name:-",'R.M Billets Reports'!D1441)),TRIM('R.M Billets Reports'!F1441),IF(ISNUMBER(SEARCH("Party Name-",'R.M Billets Reports'!D1441)),TRIM(MID('R.M Billets Reports'!D1441,SEARCH("-",'R.M Billets Reports'!D1441)+1,200)),"")),IF(ISNUMBER(SEARCH("Party Name:-",'R.M Billets Reports'!D1442)),TRIM('R.M Billets Reports'!F1442),IF(ISNUMBER(SEARCH("Party Name-",'R.M Billets Reports'!D1442)),TRIM(MID('R.M Billets Reports'!D1442,SEARCH("-",'R.M Billets Reports'!D1442)+1,200)),"")))))),IF(ROW()=2,"",A1441))</f>
      </c>
      <c r="B1442">
        <f>IF(OR('R.M Billets Reports'!A1441="Date-",'R.M Billets Reports'!A1441="Date:-"),'R.M Billets Reports'!B1441,IF(ROW()=2,"",B1441))</f>
      </c>
      <c r="C1442">
        <f>IF('R.M Billets Reports'!A1441="V.No.",'R.M Billets Reports'!B1441,IF(ROW()=2,"",C1441))</f>
      </c>
      <c r="D1442">
        <f>IF('R.M Billets Reports'!A1441&lt;&gt;"",'R.M Billets Reports'!A1441,IF(ROW()=2,"",D1441))</f>
      </c>
      <c r="E1442">
        <f>IF('R.M Billets Reports'!B1441="","",TRIM('R.M Billets Reports'!B1441))</f>
      </c>
      <c r="F1442">
        <f>'R.M Billets Reports'!C1441</f>
      </c>
      <c r="G1442">
        <f>'R.M Billets Reports'!D1441</f>
      </c>
      <c r="H1442">
        <f>'R.M Billets Reports'!E1441</f>
      </c>
      <c r="I1442">
        <f>'R.M Billets Reports'!F1441</f>
      </c>
      <c r="J1442">
        <f>'R.M Billets Reports'!G1441</f>
      </c>
      <c r="K1442">
        <f>'R.M Billets Reports'!H1441</f>
      </c>
      <c r="L1442">
        <f>IF('R.M Billets Reports'!I1441="","",'R.M Billets Reports'!I1441)</f>
      </c>
      <c r="M1442">
        <f t="shared" si="44"/>
      </c>
      <c r="N1442">
        <f>IF('R.M Billets Reports'!J1441="","",'R.M Billets Reports'!J1441)</f>
      </c>
      <c r="O1442">
        <f t="shared" si="45"/>
      </c>
      <c r="P1442">
        <f>IF('R.M Billets Reports'!A1441="SIZE",'R.M Billets Reports'!B1441,P1441)</f>
      </c>
    </row>
    <row r="1443" spans="1:16" x14ac:dyDescent="0.25">
      <c r="A1443">
        <f>IF(OR('R.M Billets Reports'!A1442="Date-",'R.M Billets Reports'!A1442="Date:-"),IF(IF(IF(ISNUMBER(SEARCH("Party Name:-",'R.M Billets Reports'!D1442)),TRIM('R.M Billets Reports'!F1442),IF(ISNUMBER(SEARCH("Party Name-",'R.M Billets Reports'!D1442)),TRIM(MID('R.M Billets Reports'!D1442,SEARCH("-",'R.M Billets Reports'!D1442)+1,200)),""))&lt;&gt;"",IF(ISNUMBER(SEARCH("Party Name:-",'R.M Billets Reports'!D1442)),TRIM('R.M Billets Reports'!F1442),IF(ISNUMBER(SEARCH("Party Name-",'R.M Billets Reports'!D1442)),TRIM(MID('R.M Billets Reports'!D1442,SEARCH("-",'R.M Billets Reports'!D1442)+1,200)),"")),IF(ISNUMBER(SEARCH("Party Name:-",'R.M Billets Reports'!D1443)),TRIM('R.M Billets Reports'!F1443),IF(ISNUMBER(SEARCH("Party Name-",'R.M Billets Reports'!D1443)),TRIM(MID('R.M Billets Reports'!D1443,SEARCH("-",'R.M Billets Reports'!D1443)+1,200)),"")))="VRKP ISPAT PVT LTD","VRKP",IF(IF(IF(ISNUMBER(SEARCH("Party Name:-",'R.M Billets Reports'!D1442)),TRIM('R.M Billets Reports'!F1442),IF(ISNUMBER(SEARCH("Party Name-",'R.M Billets Reports'!D1442)),TRIM(MID('R.M Billets Reports'!D1442,SEARCH("-",'R.M Billets Reports'!D1442)+1,200)),""))&lt;&gt;"",IF(ISNUMBER(SEARCH("Party Name:-",'R.M Billets Reports'!D1442)),TRIM('R.M Billets Reports'!F1442),IF(ISNUMBER(SEARCH("Party Name-",'R.M Billets Reports'!D1442)),TRIM(MID('R.M Billets Reports'!D1442,SEARCH("-",'R.M Billets Reports'!D1442)+1,200)),"")),IF(ISNUMBER(SEARCH("Party Name:-",'R.M Billets Reports'!D1443)),TRIM('R.M Billets Reports'!F1443),IF(ISNUMBER(SEARCH("Party Name-",'R.M Billets Reports'!D1443)),TRIM(MID('R.M Billets Reports'!D1443,SEARCH("-",'R.M Billets Reports'!D1443)+1,200)),"")))="SHRI RADHE","SHREE RADHE",IF(IF(IF(ISNUMBER(SEARCH("Party Name:-",'R.M Billets Reports'!D1442)),TRIM('R.M Billets Reports'!F1442),IF(ISNUMBER(SEARCH("Party Name-",'R.M Billets Reports'!D1442)),TRIM(MID('R.M Billets Reports'!D1442,SEARCH("-",'R.M Billets Reports'!D1442)+1,200)),""))&lt;&gt;"",IF(ISNUMBER(SEARCH("Party Name:-",'R.M Billets Reports'!D1442)),TRIM('R.M Billets Reports'!F1442),IF(ISNUMBER(SEARCH("Party Name-",'R.M Billets Reports'!D1442)),TRIM(MID('R.M Billets Reports'!D1442,SEARCH("-",'R.M Billets Reports'!D1442)+1,200)),"")),IF(ISNUMBER(SEARCH("Party Name:-",'R.M Billets Reports'!D1443)),TRIM('R.M Billets Reports'!F1443),IF(ISNUMBER(SEARCH("Party Name-",'R.M Billets Reports'!D1443)),TRIM(MID('R.M Billets Reports'!D1443,SEARCH("-",'R.M Billets Reports'!D1443)+1,200)),"")))="SHREE RADHE SHAKTI SPONGE AND POWER PVT. LTD.","SHREE RADHE",IF(IF(ISNUMBER(SEARCH("Party Name:-",'R.M Billets Reports'!D1442)),TRIM('R.M Billets Reports'!F1442),IF(ISNUMBER(SEARCH("Party Name-",'R.M Billets Reports'!D1442)),TRIM(MID('R.M Billets Reports'!D1442,SEARCH("-",'R.M Billets Reports'!D1442)+1,200)),""))&lt;&gt;"",IF(ISNUMBER(SEARCH("Party Name:-",'R.M Billets Reports'!D1442)),TRIM('R.M Billets Reports'!F1442),IF(ISNUMBER(SEARCH("Party Name-",'R.M Billets Reports'!D1442)),TRIM(MID('R.M Billets Reports'!D1442,SEARCH("-",'R.M Billets Reports'!D1442)+1,200)),"")),IF(ISNUMBER(SEARCH("Party Name:-",'R.M Billets Reports'!D1443)),TRIM('R.M Billets Reports'!F1443),IF(ISNUMBER(SEARCH("Party Name-",'R.M Billets Reports'!D1443)),TRIM(MID('R.M Billets Reports'!D1443,SEARCH("-",'R.M Billets Reports'!D1443)+1,200)),"")))))),IF(ROW()=2,"",A1442))</f>
      </c>
      <c r="B1443">
        <f>IF(OR('R.M Billets Reports'!A1442="Date-",'R.M Billets Reports'!A1442="Date:-"),'R.M Billets Reports'!B1442,IF(ROW()=2,"",B1442))</f>
      </c>
      <c r="C1443">
        <f>IF('R.M Billets Reports'!A1442="V.No.",'R.M Billets Reports'!B1442,IF(ROW()=2,"",C1442))</f>
      </c>
      <c r="D1443">
        <f>IF('R.M Billets Reports'!A1442&lt;&gt;"",'R.M Billets Reports'!A1442,IF(ROW()=2,"",D1442))</f>
      </c>
      <c r="E1443">
        <f>IF('R.M Billets Reports'!B1442="","",TRIM('R.M Billets Reports'!B1442))</f>
      </c>
      <c r="F1443">
        <f>'R.M Billets Reports'!C1442</f>
      </c>
      <c r="G1443">
        <f>'R.M Billets Reports'!D1442</f>
      </c>
      <c r="H1443">
        <f>'R.M Billets Reports'!E1442</f>
      </c>
      <c r="I1443">
        <f>'R.M Billets Reports'!F1442</f>
      </c>
      <c r="J1443">
        <f>'R.M Billets Reports'!G1442</f>
      </c>
      <c r="K1443">
        <f>'R.M Billets Reports'!H1442</f>
      </c>
      <c r="L1443">
        <f>IF('R.M Billets Reports'!I1442="","",'R.M Billets Reports'!I1442)</f>
      </c>
      <c r="M1443">
        <f t="shared" si="44"/>
      </c>
      <c r="N1443">
        <f>IF('R.M Billets Reports'!J1442="","",'R.M Billets Reports'!J1442)</f>
      </c>
      <c r="O1443">
        <f t="shared" si="45"/>
      </c>
      <c r="P1443">
        <f>IF('R.M Billets Reports'!A1442="SIZE",'R.M Billets Reports'!B1442,P1442)</f>
      </c>
    </row>
    <row r="1444" spans="1:16" x14ac:dyDescent="0.25">
      <c r="A1444">
        <f>IF(OR('R.M Billets Reports'!A1443="Date-",'R.M Billets Reports'!A1443="Date:-"),IF(IF(IF(ISNUMBER(SEARCH("Party Name:-",'R.M Billets Reports'!D1443)),TRIM('R.M Billets Reports'!F1443),IF(ISNUMBER(SEARCH("Party Name-",'R.M Billets Reports'!D1443)),TRIM(MID('R.M Billets Reports'!D1443,SEARCH("-",'R.M Billets Reports'!D1443)+1,200)),""))&lt;&gt;"",IF(ISNUMBER(SEARCH("Party Name:-",'R.M Billets Reports'!D1443)),TRIM('R.M Billets Reports'!F1443),IF(ISNUMBER(SEARCH("Party Name-",'R.M Billets Reports'!D1443)),TRIM(MID('R.M Billets Reports'!D1443,SEARCH("-",'R.M Billets Reports'!D1443)+1,200)),"")),IF(ISNUMBER(SEARCH("Party Name:-",'R.M Billets Reports'!D1444)),TRIM('R.M Billets Reports'!F1444),IF(ISNUMBER(SEARCH("Party Name-",'R.M Billets Reports'!D1444)),TRIM(MID('R.M Billets Reports'!D1444,SEARCH("-",'R.M Billets Reports'!D1444)+1,200)),"")))="VRKP ISPAT PVT LTD","VRKP",IF(IF(IF(ISNUMBER(SEARCH("Party Name:-",'R.M Billets Reports'!D1443)),TRIM('R.M Billets Reports'!F1443),IF(ISNUMBER(SEARCH("Party Name-",'R.M Billets Reports'!D1443)),TRIM(MID('R.M Billets Reports'!D1443,SEARCH("-",'R.M Billets Reports'!D1443)+1,200)),""))&lt;&gt;"",IF(ISNUMBER(SEARCH("Party Name:-",'R.M Billets Reports'!D1443)),TRIM('R.M Billets Reports'!F1443),IF(ISNUMBER(SEARCH("Party Name-",'R.M Billets Reports'!D1443)),TRIM(MID('R.M Billets Reports'!D1443,SEARCH("-",'R.M Billets Reports'!D1443)+1,200)),"")),IF(ISNUMBER(SEARCH("Party Name:-",'R.M Billets Reports'!D1444)),TRIM('R.M Billets Reports'!F1444),IF(ISNUMBER(SEARCH("Party Name-",'R.M Billets Reports'!D1444)),TRIM(MID('R.M Billets Reports'!D1444,SEARCH("-",'R.M Billets Reports'!D1444)+1,200)),"")))="SHRI RADHE","SHREE RADHE",IF(IF(IF(ISNUMBER(SEARCH("Party Name:-",'R.M Billets Reports'!D1443)),TRIM('R.M Billets Reports'!F1443),IF(ISNUMBER(SEARCH("Party Name-",'R.M Billets Reports'!D1443)),TRIM(MID('R.M Billets Reports'!D1443,SEARCH("-",'R.M Billets Reports'!D1443)+1,200)),""))&lt;&gt;"",IF(ISNUMBER(SEARCH("Party Name:-",'R.M Billets Reports'!D1443)),TRIM('R.M Billets Reports'!F1443),IF(ISNUMBER(SEARCH("Party Name-",'R.M Billets Reports'!D1443)),TRIM(MID('R.M Billets Reports'!D1443,SEARCH("-",'R.M Billets Reports'!D1443)+1,200)),"")),IF(ISNUMBER(SEARCH("Party Name:-",'R.M Billets Reports'!D1444)),TRIM('R.M Billets Reports'!F1444),IF(ISNUMBER(SEARCH("Party Name-",'R.M Billets Reports'!D1444)),TRIM(MID('R.M Billets Reports'!D1444,SEARCH("-",'R.M Billets Reports'!D1444)+1,200)),"")))="SHREE RADHE SHAKTI SPONGE AND POWER PVT. LTD.","SHREE RADHE",IF(IF(ISNUMBER(SEARCH("Party Name:-",'R.M Billets Reports'!D1443)),TRIM('R.M Billets Reports'!F1443),IF(ISNUMBER(SEARCH("Party Name-",'R.M Billets Reports'!D1443)),TRIM(MID('R.M Billets Reports'!D1443,SEARCH("-",'R.M Billets Reports'!D1443)+1,200)),""))&lt;&gt;"",IF(ISNUMBER(SEARCH("Party Name:-",'R.M Billets Reports'!D1443)),TRIM('R.M Billets Reports'!F1443),IF(ISNUMBER(SEARCH("Party Name-",'R.M Billets Reports'!D1443)),TRIM(MID('R.M Billets Reports'!D1443,SEARCH("-",'R.M Billets Reports'!D1443)+1,200)),"")),IF(ISNUMBER(SEARCH("Party Name:-",'R.M Billets Reports'!D1444)),TRIM('R.M Billets Reports'!F1444),IF(ISNUMBER(SEARCH("Party Name-",'R.M Billets Reports'!D1444)),TRIM(MID('R.M Billets Reports'!D1444,SEARCH("-",'R.M Billets Reports'!D1444)+1,200)),"")))))),IF(ROW()=2,"",A1443))</f>
      </c>
      <c r="B1444">
        <f>IF(OR('R.M Billets Reports'!A1443="Date-",'R.M Billets Reports'!A1443="Date:-"),'R.M Billets Reports'!B1443,IF(ROW()=2,"",B1443))</f>
      </c>
      <c r="C1444">
        <f>IF('R.M Billets Reports'!A1443="V.No.",'R.M Billets Reports'!B1443,IF(ROW()=2,"",C1443))</f>
      </c>
      <c r="D1444">
        <f>IF('R.M Billets Reports'!A1443&lt;&gt;"",'R.M Billets Reports'!A1443,IF(ROW()=2,"",D1443))</f>
      </c>
      <c r="E1444">
        <f>IF('R.M Billets Reports'!B1443="","",TRIM('R.M Billets Reports'!B1443))</f>
      </c>
      <c r="F1444">
        <f>'R.M Billets Reports'!C1443</f>
      </c>
      <c r="G1444">
        <f>'R.M Billets Reports'!D1443</f>
      </c>
      <c r="H1444">
        <f>'R.M Billets Reports'!E1443</f>
      </c>
      <c r="I1444">
        <f>'R.M Billets Reports'!F1443</f>
      </c>
      <c r="J1444">
        <f>'R.M Billets Reports'!G1443</f>
      </c>
      <c r="K1444">
        <f>'R.M Billets Reports'!H1443</f>
      </c>
      <c r="L1444">
        <f>IF('R.M Billets Reports'!I1443="","",'R.M Billets Reports'!I1443)</f>
      </c>
      <c r="M1444">
        <f t="shared" si="44"/>
      </c>
      <c r="N1444">
        <f>IF('R.M Billets Reports'!J1443="","",'R.M Billets Reports'!J1443)</f>
      </c>
      <c r="O1444">
        <f t="shared" si="45"/>
      </c>
      <c r="P1444">
        <f>IF('R.M Billets Reports'!A1443="SIZE",'R.M Billets Reports'!B1443,P1443)</f>
      </c>
    </row>
    <row r="1445" spans="1:16" x14ac:dyDescent="0.25">
      <c r="A1445">
        <f>IF(OR('R.M Billets Reports'!A1444="Date-",'R.M Billets Reports'!A1444="Date:-"),IF(IF(IF(ISNUMBER(SEARCH("Party Name:-",'R.M Billets Reports'!D1444)),TRIM('R.M Billets Reports'!F1444),IF(ISNUMBER(SEARCH("Party Name-",'R.M Billets Reports'!D1444)),TRIM(MID('R.M Billets Reports'!D1444,SEARCH("-",'R.M Billets Reports'!D1444)+1,200)),""))&lt;&gt;"",IF(ISNUMBER(SEARCH("Party Name:-",'R.M Billets Reports'!D1444)),TRIM('R.M Billets Reports'!F1444),IF(ISNUMBER(SEARCH("Party Name-",'R.M Billets Reports'!D1444)),TRIM(MID('R.M Billets Reports'!D1444,SEARCH("-",'R.M Billets Reports'!D1444)+1,200)),"")),IF(ISNUMBER(SEARCH("Party Name:-",'R.M Billets Reports'!D1445)),TRIM('R.M Billets Reports'!F1445),IF(ISNUMBER(SEARCH("Party Name-",'R.M Billets Reports'!D1445)),TRIM(MID('R.M Billets Reports'!D1445,SEARCH("-",'R.M Billets Reports'!D1445)+1,200)),"")))="VRKP ISPAT PVT LTD","VRKP",IF(IF(IF(ISNUMBER(SEARCH("Party Name:-",'R.M Billets Reports'!D1444)),TRIM('R.M Billets Reports'!F1444),IF(ISNUMBER(SEARCH("Party Name-",'R.M Billets Reports'!D1444)),TRIM(MID('R.M Billets Reports'!D1444,SEARCH("-",'R.M Billets Reports'!D1444)+1,200)),""))&lt;&gt;"",IF(ISNUMBER(SEARCH("Party Name:-",'R.M Billets Reports'!D1444)),TRIM('R.M Billets Reports'!F1444),IF(ISNUMBER(SEARCH("Party Name-",'R.M Billets Reports'!D1444)),TRIM(MID('R.M Billets Reports'!D1444,SEARCH("-",'R.M Billets Reports'!D1444)+1,200)),"")),IF(ISNUMBER(SEARCH("Party Name:-",'R.M Billets Reports'!D1445)),TRIM('R.M Billets Reports'!F1445),IF(ISNUMBER(SEARCH("Party Name-",'R.M Billets Reports'!D1445)),TRIM(MID('R.M Billets Reports'!D1445,SEARCH("-",'R.M Billets Reports'!D1445)+1,200)),"")))="SHRI RADHE","SHREE RADHE",IF(IF(IF(ISNUMBER(SEARCH("Party Name:-",'R.M Billets Reports'!D1444)),TRIM('R.M Billets Reports'!F1444),IF(ISNUMBER(SEARCH("Party Name-",'R.M Billets Reports'!D1444)),TRIM(MID('R.M Billets Reports'!D1444,SEARCH("-",'R.M Billets Reports'!D1444)+1,200)),""))&lt;&gt;"",IF(ISNUMBER(SEARCH("Party Name:-",'R.M Billets Reports'!D1444)),TRIM('R.M Billets Reports'!F1444),IF(ISNUMBER(SEARCH("Party Name-",'R.M Billets Reports'!D1444)),TRIM(MID('R.M Billets Reports'!D1444,SEARCH("-",'R.M Billets Reports'!D1444)+1,200)),"")),IF(ISNUMBER(SEARCH("Party Name:-",'R.M Billets Reports'!D1445)),TRIM('R.M Billets Reports'!F1445),IF(ISNUMBER(SEARCH("Party Name-",'R.M Billets Reports'!D1445)),TRIM(MID('R.M Billets Reports'!D1445,SEARCH("-",'R.M Billets Reports'!D1445)+1,200)),"")))="SHREE RADHE SHAKTI SPONGE AND POWER PVT. LTD.","SHREE RADHE",IF(IF(ISNUMBER(SEARCH("Party Name:-",'R.M Billets Reports'!D1444)),TRIM('R.M Billets Reports'!F1444),IF(ISNUMBER(SEARCH("Party Name-",'R.M Billets Reports'!D1444)),TRIM(MID('R.M Billets Reports'!D1444,SEARCH("-",'R.M Billets Reports'!D1444)+1,200)),""))&lt;&gt;"",IF(ISNUMBER(SEARCH("Party Name:-",'R.M Billets Reports'!D1444)),TRIM('R.M Billets Reports'!F1444),IF(ISNUMBER(SEARCH("Party Name-",'R.M Billets Reports'!D1444)),TRIM(MID('R.M Billets Reports'!D1444,SEARCH("-",'R.M Billets Reports'!D1444)+1,200)),"")),IF(ISNUMBER(SEARCH("Party Name:-",'R.M Billets Reports'!D1445)),TRIM('R.M Billets Reports'!F1445),IF(ISNUMBER(SEARCH("Party Name-",'R.M Billets Reports'!D1445)),TRIM(MID('R.M Billets Reports'!D1445,SEARCH("-",'R.M Billets Reports'!D1445)+1,200)),"")))))),IF(ROW()=2,"",A1444))</f>
      </c>
      <c r="B1445">
        <f>IF(OR('R.M Billets Reports'!A1444="Date-",'R.M Billets Reports'!A1444="Date:-"),'R.M Billets Reports'!B1444,IF(ROW()=2,"",B1444))</f>
      </c>
      <c r="C1445">
        <f>IF('R.M Billets Reports'!A1444="V.No.",'R.M Billets Reports'!B1444,IF(ROW()=2,"",C1444))</f>
      </c>
      <c r="D1445">
        <f>IF('R.M Billets Reports'!A1444&lt;&gt;"",'R.M Billets Reports'!A1444,IF(ROW()=2,"",D1444))</f>
      </c>
      <c r="E1445">
        <f>IF('R.M Billets Reports'!B1444="","",TRIM('R.M Billets Reports'!B1444))</f>
      </c>
      <c r="F1445">
        <f>'R.M Billets Reports'!C1444</f>
      </c>
      <c r="G1445">
        <f>'R.M Billets Reports'!D1444</f>
      </c>
      <c r="H1445">
        <f>'R.M Billets Reports'!E1444</f>
      </c>
      <c r="I1445">
        <f>'R.M Billets Reports'!F1444</f>
      </c>
      <c r="J1445">
        <f>'R.M Billets Reports'!G1444</f>
      </c>
      <c r="K1445">
        <f>'R.M Billets Reports'!H1444</f>
      </c>
      <c r="L1445">
        <f>IF('R.M Billets Reports'!I1444="","",'R.M Billets Reports'!I1444)</f>
      </c>
      <c r="M1445">
        <f t="shared" si="44"/>
      </c>
      <c r="N1445">
        <f>IF('R.M Billets Reports'!J1444="","",'R.M Billets Reports'!J1444)</f>
      </c>
      <c r="O1445">
        <f t="shared" si="45"/>
      </c>
      <c r="P1445">
        <f>IF('R.M Billets Reports'!A1444="SIZE",'R.M Billets Reports'!B1444,P1444)</f>
      </c>
    </row>
    <row r="1446" spans="1:16" x14ac:dyDescent="0.25">
      <c r="A1446">
        <f>IF(OR('R.M Billets Reports'!A1445="Date-",'R.M Billets Reports'!A1445="Date:-"),IF(IF(IF(ISNUMBER(SEARCH("Party Name:-",'R.M Billets Reports'!D1445)),TRIM('R.M Billets Reports'!F1445),IF(ISNUMBER(SEARCH("Party Name-",'R.M Billets Reports'!D1445)),TRIM(MID('R.M Billets Reports'!D1445,SEARCH("-",'R.M Billets Reports'!D1445)+1,200)),""))&lt;&gt;"",IF(ISNUMBER(SEARCH("Party Name:-",'R.M Billets Reports'!D1445)),TRIM('R.M Billets Reports'!F1445),IF(ISNUMBER(SEARCH("Party Name-",'R.M Billets Reports'!D1445)),TRIM(MID('R.M Billets Reports'!D1445,SEARCH("-",'R.M Billets Reports'!D1445)+1,200)),"")),IF(ISNUMBER(SEARCH("Party Name:-",'R.M Billets Reports'!D1446)),TRIM('R.M Billets Reports'!F1446),IF(ISNUMBER(SEARCH("Party Name-",'R.M Billets Reports'!D1446)),TRIM(MID('R.M Billets Reports'!D1446,SEARCH("-",'R.M Billets Reports'!D1446)+1,200)),"")))="VRKP ISPAT PVT LTD","VRKP",IF(IF(IF(ISNUMBER(SEARCH("Party Name:-",'R.M Billets Reports'!D1445)),TRIM('R.M Billets Reports'!F1445),IF(ISNUMBER(SEARCH("Party Name-",'R.M Billets Reports'!D1445)),TRIM(MID('R.M Billets Reports'!D1445,SEARCH("-",'R.M Billets Reports'!D1445)+1,200)),""))&lt;&gt;"",IF(ISNUMBER(SEARCH("Party Name:-",'R.M Billets Reports'!D1445)),TRIM('R.M Billets Reports'!F1445),IF(ISNUMBER(SEARCH("Party Name-",'R.M Billets Reports'!D1445)),TRIM(MID('R.M Billets Reports'!D1445,SEARCH("-",'R.M Billets Reports'!D1445)+1,200)),"")),IF(ISNUMBER(SEARCH("Party Name:-",'R.M Billets Reports'!D1446)),TRIM('R.M Billets Reports'!F1446),IF(ISNUMBER(SEARCH("Party Name-",'R.M Billets Reports'!D1446)),TRIM(MID('R.M Billets Reports'!D1446,SEARCH("-",'R.M Billets Reports'!D1446)+1,200)),"")))="SHRI RADHE","SHREE RADHE",IF(IF(IF(ISNUMBER(SEARCH("Party Name:-",'R.M Billets Reports'!D1445)),TRIM('R.M Billets Reports'!F1445),IF(ISNUMBER(SEARCH("Party Name-",'R.M Billets Reports'!D1445)),TRIM(MID('R.M Billets Reports'!D1445,SEARCH("-",'R.M Billets Reports'!D1445)+1,200)),""))&lt;&gt;"",IF(ISNUMBER(SEARCH("Party Name:-",'R.M Billets Reports'!D1445)),TRIM('R.M Billets Reports'!F1445),IF(ISNUMBER(SEARCH("Party Name-",'R.M Billets Reports'!D1445)),TRIM(MID('R.M Billets Reports'!D1445,SEARCH("-",'R.M Billets Reports'!D1445)+1,200)),"")),IF(ISNUMBER(SEARCH("Party Name:-",'R.M Billets Reports'!D1446)),TRIM('R.M Billets Reports'!F1446),IF(ISNUMBER(SEARCH("Party Name-",'R.M Billets Reports'!D1446)),TRIM(MID('R.M Billets Reports'!D1446,SEARCH("-",'R.M Billets Reports'!D1446)+1,200)),"")))="SHREE RADHE SHAKTI SPONGE AND POWER PVT. LTD.","SHREE RADHE",IF(IF(ISNUMBER(SEARCH("Party Name:-",'R.M Billets Reports'!D1445)),TRIM('R.M Billets Reports'!F1445),IF(ISNUMBER(SEARCH("Party Name-",'R.M Billets Reports'!D1445)),TRIM(MID('R.M Billets Reports'!D1445,SEARCH("-",'R.M Billets Reports'!D1445)+1,200)),""))&lt;&gt;"",IF(ISNUMBER(SEARCH("Party Name:-",'R.M Billets Reports'!D1445)),TRIM('R.M Billets Reports'!F1445),IF(ISNUMBER(SEARCH("Party Name-",'R.M Billets Reports'!D1445)),TRIM(MID('R.M Billets Reports'!D1445,SEARCH("-",'R.M Billets Reports'!D1445)+1,200)),"")),IF(ISNUMBER(SEARCH("Party Name:-",'R.M Billets Reports'!D1446)),TRIM('R.M Billets Reports'!F1446),IF(ISNUMBER(SEARCH("Party Name-",'R.M Billets Reports'!D1446)),TRIM(MID('R.M Billets Reports'!D1446,SEARCH("-",'R.M Billets Reports'!D1446)+1,200)),"")))))),IF(ROW()=2,"",A1445))</f>
      </c>
      <c r="B1446">
        <f>IF(OR('R.M Billets Reports'!A1445="Date-",'R.M Billets Reports'!A1445="Date:-"),'R.M Billets Reports'!B1445,IF(ROW()=2,"",B1445))</f>
      </c>
      <c r="C1446">
        <f>IF('R.M Billets Reports'!A1445="V.No.",'R.M Billets Reports'!B1445,IF(ROW()=2,"",C1445))</f>
      </c>
      <c r="D1446">
        <f>IF('R.M Billets Reports'!A1445&lt;&gt;"",'R.M Billets Reports'!A1445,IF(ROW()=2,"",D1445))</f>
      </c>
      <c r="E1446">
        <f>IF('R.M Billets Reports'!B1445="","",TRIM('R.M Billets Reports'!B1445))</f>
      </c>
      <c r="F1446">
        <f>'R.M Billets Reports'!C1445</f>
      </c>
      <c r="G1446">
        <f>'R.M Billets Reports'!D1445</f>
      </c>
      <c r="H1446">
        <f>'R.M Billets Reports'!E1445</f>
      </c>
      <c r="I1446">
        <f>'R.M Billets Reports'!F1445</f>
      </c>
      <c r="J1446">
        <f>'R.M Billets Reports'!G1445</f>
      </c>
      <c r="K1446">
        <f>'R.M Billets Reports'!H1445</f>
      </c>
      <c r="L1446">
        <f>IF('R.M Billets Reports'!I1445="","",'R.M Billets Reports'!I1445)</f>
      </c>
      <c r="M1446">
        <f t="shared" si="44"/>
      </c>
      <c r="N1446">
        <f>IF('R.M Billets Reports'!J1445="","",'R.M Billets Reports'!J1445)</f>
      </c>
      <c r="O1446">
        <f t="shared" si="45"/>
      </c>
      <c r="P1446">
        <f>IF('R.M Billets Reports'!A1445="SIZE",'R.M Billets Reports'!B1445,P1445)</f>
      </c>
    </row>
    <row r="1447" spans="1:16" x14ac:dyDescent="0.25">
      <c r="A1447">
        <f>IF(OR('R.M Billets Reports'!A1446="Date-",'R.M Billets Reports'!A1446="Date:-"),IF(IF(IF(ISNUMBER(SEARCH("Party Name:-",'R.M Billets Reports'!D1446)),TRIM('R.M Billets Reports'!F1446),IF(ISNUMBER(SEARCH("Party Name-",'R.M Billets Reports'!D1446)),TRIM(MID('R.M Billets Reports'!D1446,SEARCH("-",'R.M Billets Reports'!D1446)+1,200)),""))&lt;&gt;"",IF(ISNUMBER(SEARCH("Party Name:-",'R.M Billets Reports'!D1446)),TRIM('R.M Billets Reports'!F1446),IF(ISNUMBER(SEARCH("Party Name-",'R.M Billets Reports'!D1446)),TRIM(MID('R.M Billets Reports'!D1446,SEARCH("-",'R.M Billets Reports'!D1446)+1,200)),"")),IF(ISNUMBER(SEARCH("Party Name:-",'R.M Billets Reports'!D1447)),TRIM('R.M Billets Reports'!F1447),IF(ISNUMBER(SEARCH("Party Name-",'R.M Billets Reports'!D1447)),TRIM(MID('R.M Billets Reports'!D1447,SEARCH("-",'R.M Billets Reports'!D1447)+1,200)),"")))="VRKP ISPAT PVT LTD","VRKP",IF(IF(IF(ISNUMBER(SEARCH("Party Name:-",'R.M Billets Reports'!D1446)),TRIM('R.M Billets Reports'!F1446),IF(ISNUMBER(SEARCH("Party Name-",'R.M Billets Reports'!D1446)),TRIM(MID('R.M Billets Reports'!D1446,SEARCH("-",'R.M Billets Reports'!D1446)+1,200)),""))&lt;&gt;"",IF(ISNUMBER(SEARCH("Party Name:-",'R.M Billets Reports'!D1446)),TRIM('R.M Billets Reports'!F1446),IF(ISNUMBER(SEARCH("Party Name-",'R.M Billets Reports'!D1446)),TRIM(MID('R.M Billets Reports'!D1446,SEARCH("-",'R.M Billets Reports'!D1446)+1,200)),"")),IF(ISNUMBER(SEARCH("Party Name:-",'R.M Billets Reports'!D1447)),TRIM('R.M Billets Reports'!F1447),IF(ISNUMBER(SEARCH("Party Name-",'R.M Billets Reports'!D1447)),TRIM(MID('R.M Billets Reports'!D1447,SEARCH("-",'R.M Billets Reports'!D1447)+1,200)),"")))="SHRI RADHE","SHREE RADHE",IF(IF(IF(ISNUMBER(SEARCH("Party Name:-",'R.M Billets Reports'!D1446)),TRIM('R.M Billets Reports'!F1446),IF(ISNUMBER(SEARCH("Party Name-",'R.M Billets Reports'!D1446)),TRIM(MID('R.M Billets Reports'!D1446,SEARCH("-",'R.M Billets Reports'!D1446)+1,200)),""))&lt;&gt;"",IF(ISNUMBER(SEARCH("Party Name:-",'R.M Billets Reports'!D1446)),TRIM('R.M Billets Reports'!F1446),IF(ISNUMBER(SEARCH("Party Name-",'R.M Billets Reports'!D1446)),TRIM(MID('R.M Billets Reports'!D1446,SEARCH("-",'R.M Billets Reports'!D1446)+1,200)),"")),IF(ISNUMBER(SEARCH("Party Name:-",'R.M Billets Reports'!D1447)),TRIM('R.M Billets Reports'!F1447),IF(ISNUMBER(SEARCH("Party Name-",'R.M Billets Reports'!D1447)),TRIM(MID('R.M Billets Reports'!D1447,SEARCH("-",'R.M Billets Reports'!D1447)+1,200)),"")))="SHREE RADHE SHAKTI SPONGE AND POWER PVT. LTD.","SHREE RADHE",IF(IF(ISNUMBER(SEARCH("Party Name:-",'R.M Billets Reports'!D1446)),TRIM('R.M Billets Reports'!F1446),IF(ISNUMBER(SEARCH("Party Name-",'R.M Billets Reports'!D1446)),TRIM(MID('R.M Billets Reports'!D1446,SEARCH("-",'R.M Billets Reports'!D1446)+1,200)),""))&lt;&gt;"",IF(ISNUMBER(SEARCH("Party Name:-",'R.M Billets Reports'!D1446)),TRIM('R.M Billets Reports'!F1446),IF(ISNUMBER(SEARCH("Party Name-",'R.M Billets Reports'!D1446)),TRIM(MID('R.M Billets Reports'!D1446,SEARCH("-",'R.M Billets Reports'!D1446)+1,200)),"")),IF(ISNUMBER(SEARCH("Party Name:-",'R.M Billets Reports'!D1447)),TRIM('R.M Billets Reports'!F1447),IF(ISNUMBER(SEARCH("Party Name-",'R.M Billets Reports'!D1447)),TRIM(MID('R.M Billets Reports'!D1447,SEARCH("-",'R.M Billets Reports'!D1447)+1,200)),"")))))),IF(ROW()=2,"",A1446))</f>
      </c>
      <c r="B1447">
        <f>IF(OR('R.M Billets Reports'!A1446="Date-",'R.M Billets Reports'!A1446="Date:-"),'R.M Billets Reports'!B1446,IF(ROW()=2,"",B1446))</f>
      </c>
      <c r="C1447">
        <f>IF('R.M Billets Reports'!A1446="V.No.",'R.M Billets Reports'!B1446,IF(ROW()=2,"",C1446))</f>
      </c>
      <c r="D1447">
        <f>IF('R.M Billets Reports'!A1446&lt;&gt;"",'R.M Billets Reports'!A1446,IF(ROW()=2,"",D1446))</f>
      </c>
      <c r="E1447">
        <f>IF('R.M Billets Reports'!B1446="","",TRIM('R.M Billets Reports'!B1446))</f>
      </c>
      <c r="F1447">
        <f>'R.M Billets Reports'!C1446</f>
      </c>
      <c r="G1447">
        <f>'R.M Billets Reports'!D1446</f>
      </c>
      <c r="H1447">
        <f>'R.M Billets Reports'!E1446</f>
      </c>
      <c r="I1447">
        <f>'R.M Billets Reports'!F1446</f>
      </c>
      <c r="J1447">
        <f>'R.M Billets Reports'!G1446</f>
      </c>
      <c r="K1447">
        <f>'R.M Billets Reports'!H1446</f>
      </c>
      <c r="L1447">
        <f>IF('R.M Billets Reports'!I1446="","",'R.M Billets Reports'!I1446)</f>
      </c>
      <c r="M1447">
        <f t="shared" si="44"/>
      </c>
      <c r="N1447">
        <f>IF('R.M Billets Reports'!J1446="","",'R.M Billets Reports'!J1446)</f>
      </c>
      <c r="O1447">
        <f t="shared" si="45"/>
      </c>
      <c r="P1447">
        <f>IF('R.M Billets Reports'!A1446="SIZE",'R.M Billets Reports'!B1446,P1446)</f>
      </c>
    </row>
    <row r="1448" spans="1:16" x14ac:dyDescent="0.25">
      <c r="A1448">
        <f>IF(OR('R.M Billets Reports'!A1447="Date-",'R.M Billets Reports'!A1447="Date:-"),IF(IF(IF(ISNUMBER(SEARCH("Party Name:-",'R.M Billets Reports'!D1447)),TRIM('R.M Billets Reports'!F1447),IF(ISNUMBER(SEARCH("Party Name-",'R.M Billets Reports'!D1447)),TRIM(MID('R.M Billets Reports'!D1447,SEARCH("-",'R.M Billets Reports'!D1447)+1,200)),""))&lt;&gt;"",IF(ISNUMBER(SEARCH("Party Name:-",'R.M Billets Reports'!D1447)),TRIM('R.M Billets Reports'!F1447),IF(ISNUMBER(SEARCH("Party Name-",'R.M Billets Reports'!D1447)),TRIM(MID('R.M Billets Reports'!D1447,SEARCH("-",'R.M Billets Reports'!D1447)+1,200)),"")),IF(ISNUMBER(SEARCH("Party Name:-",'R.M Billets Reports'!D1448)),TRIM('R.M Billets Reports'!F1448),IF(ISNUMBER(SEARCH("Party Name-",'R.M Billets Reports'!D1448)),TRIM(MID('R.M Billets Reports'!D1448,SEARCH("-",'R.M Billets Reports'!D1448)+1,200)),"")))="VRKP ISPAT PVT LTD","VRKP",IF(IF(IF(ISNUMBER(SEARCH("Party Name:-",'R.M Billets Reports'!D1447)),TRIM('R.M Billets Reports'!F1447),IF(ISNUMBER(SEARCH("Party Name-",'R.M Billets Reports'!D1447)),TRIM(MID('R.M Billets Reports'!D1447,SEARCH("-",'R.M Billets Reports'!D1447)+1,200)),""))&lt;&gt;"",IF(ISNUMBER(SEARCH("Party Name:-",'R.M Billets Reports'!D1447)),TRIM('R.M Billets Reports'!F1447),IF(ISNUMBER(SEARCH("Party Name-",'R.M Billets Reports'!D1447)),TRIM(MID('R.M Billets Reports'!D1447,SEARCH("-",'R.M Billets Reports'!D1447)+1,200)),"")),IF(ISNUMBER(SEARCH("Party Name:-",'R.M Billets Reports'!D1448)),TRIM('R.M Billets Reports'!F1448),IF(ISNUMBER(SEARCH("Party Name-",'R.M Billets Reports'!D1448)),TRIM(MID('R.M Billets Reports'!D1448,SEARCH("-",'R.M Billets Reports'!D1448)+1,200)),"")))="SHRI RADHE","SHREE RADHE",IF(IF(IF(ISNUMBER(SEARCH("Party Name:-",'R.M Billets Reports'!D1447)),TRIM('R.M Billets Reports'!F1447),IF(ISNUMBER(SEARCH("Party Name-",'R.M Billets Reports'!D1447)),TRIM(MID('R.M Billets Reports'!D1447,SEARCH("-",'R.M Billets Reports'!D1447)+1,200)),""))&lt;&gt;"",IF(ISNUMBER(SEARCH("Party Name:-",'R.M Billets Reports'!D1447)),TRIM('R.M Billets Reports'!F1447),IF(ISNUMBER(SEARCH("Party Name-",'R.M Billets Reports'!D1447)),TRIM(MID('R.M Billets Reports'!D1447,SEARCH("-",'R.M Billets Reports'!D1447)+1,200)),"")),IF(ISNUMBER(SEARCH("Party Name:-",'R.M Billets Reports'!D1448)),TRIM('R.M Billets Reports'!F1448),IF(ISNUMBER(SEARCH("Party Name-",'R.M Billets Reports'!D1448)),TRIM(MID('R.M Billets Reports'!D1448,SEARCH("-",'R.M Billets Reports'!D1448)+1,200)),"")))="SHREE RADHE SHAKTI SPONGE AND POWER PVT. LTD.","SHREE RADHE",IF(IF(ISNUMBER(SEARCH("Party Name:-",'R.M Billets Reports'!D1447)),TRIM('R.M Billets Reports'!F1447),IF(ISNUMBER(SEARCH("Party Name-",'R.M Billets Reports'!D1447)),TRIM(MID('R.M Billets Reports'!D1447,SEARCH("-",'R.M Billets Reports'!D1447)+1,200)),""))&lt;&gt;"",IF(ISNUMBER(SEARCH("Party Name:-",'R.M Billets Reports'!D1447)),TRIM('R.M Billets Reports'!F1447),IF(ISNUMBER(SEARCH("Party Name-",'R.M Billets Reports'!D1447)),TRIM(MID('R.M Billets Reports'!D1447,SEARCH("-",'R.M Billets Reports'!D1447)+1,200)),"")),IF(ISNUMBER(SEARCH("Party Name:-",'R.M Billets Reports'!D1448)),TRIM('R.M Billets Reports'!F1448),IF(ISNUMBER(SEARCH("Party Name-",'R.M Billets Reports'!D1448)),TRIM(MID('R.M Billets Reports'!D1448,SEARCH("-",'R.M Billets Reports'!D1448)+1,200)),"")))))),IF(ROW()=2,"",A1447))</f>
      </c>
      <c r="B1448">
        <f>IF(OR('R.M Billets Reports'!A1447="Date-",'R.M Billets Reports'!A1447="Date:-"),'R.M Billets Reports'!B1447,IF(ROW()=2,"",B1447))</f>
      </c>
      <c r="C1448">
        <f>IF('R.M Billets Reports'!A1447="V.No.",'R.M Billets Reports'!B1447,IF(ROW()=2,"",C1447))</f>
      </c>
      <c r="D1448">
        <f>IF('R.M Billets Reports'!A1447&lt;&gt;"",'R.M Billets Reports'!A1447,IF(ROW()=2,"",D1447))</f>
      </c>
      <c r="E1448">
        <f>IF('R.M Billets Reports'!B1447="","",TRIM('R.M Billets Reports'!B1447))</f>
      </c>
      <c r="F1448">
        <f>'R.M Billets Reports'!C1447</f>
      </c>
      <c r="G1448">
        <f>'R.M Billets Reports'!D1447</f>
      </c>
      <c r="H1448">
        <f>'R.M Billets Reports'!E1447</f>
      </c>
      <c r="I1448">
        <f>'R.M Billets Reports'!F1447</f>
      </c>
      <c r="J1448">
        <f>'R.M Billets Reports'!G1447</f>
      </c>
      <c r="K1448">
        <f>'R.M Billets Reports'!H1447</f>
      </c>
      <c r="L1448">
        <f>IF('R.M Billets Reports'!I1447="","",'R.M Billets Reports'!I1447)</f>
      </c>
      <c r="M1448">
        <f t="shared" si="44"/>
      </c>
      <c r="N1448">
        <f>IF('R.M Billets Reports'!J1447="","",'R.M Billets Reports'!J1447)</f>
      </c>
      <c r="O1448">
        <f t="shared" si="45"/>
      </c>
      <c r="P1448">
        <f>IF('R.M Billets Reports'!A1447="SIZE",'R.M Billets Reports'!B1447,P1447)</f>
      </c>
    </row>
    <row r="1449" spans="1:16" x14ac:dyDescent="0.25">
      <c r="A1449">
        <f>IF(OR('R.M Billets Reports'!A1448="Date-",'R.M Billets Reports'!A1448="Date:-"),IF(IF(IF(ISNUMBER(SEARCH("Party Name:-",'R.M Billets Reports'!D1448)),TRIM('R.M Billets Reports'!F1448),IF(ISNUMBER(SEARCH("Party Name-",'R.M Billets Reports'!D1448)),TRIM(MID('R.M Billets Reports'!D1448,SEARCH("-",'R.M Billets Reports'!D1448)+1,200)),""))&lt;&gt;"",IF(ISNUMBER(SEARCH("Party Name:-",'R.M Billets Reports'!D1448)),TRIM('R.M Billets Reports'!F1448),IF(ISNUMBER(SEARCH("Party Name-",'R.M Billets Reports'!D1448)),TRIM(MID('R.M Billets Reports'!D1448,SEARCH("-",'R.M Billets Reports'!D1448)+1,200)),"")),IF(ISNUMBER(SEARCH("Party Name:-",'R.M Billets Reports'!D1449)),TRIM('R.M Billets Reports'!F1449),IF(ISNUMBER(SEARCH("Party Name-",'R.M Billets Reports'!D1449)),TRIM(MID('R.M Billets Reports'!D1449,SEARCH("-",'R.M Billets Reports'!D1449)+1,200)),"")))="VRKP ISPAT PVT LTD","VRKP",IF(IF(IF(ISNUMBER(SEARCH("Party Name:-",'R.M Billets Reports'!D1448)),TRIM('R.M Billets Reports'!F1448),IF(ISNUMBER(SEARCH("Party Name-",'R.M Billets Reports'!D1448)),TRIM(MID('R.M Billets Reports'!D1448,SEARCH("-",'R.M Billets Reports'!D1448)+1,200)),""))&lt;&gt;"",IF(ISNUMBER(SEARCH("Party Name:-",'R.M Billets Reports'!D1448)),TRIM('R.M Billets Reports'!F1448),IF(ISNUMBER(SEARCH("Party Name-",'R.M Billets Reports'!D1448)),TRIM(MID('R.M Billets Reports'!D1448,SEARCH("-",'R.M Billets Reports'!D1448)+1,200)),"")),IF(ISNUMBER(SEARCH("Party Name:-",'R.M Billets Reports'!D1449)),TRIM('R.M Billets Reports'!F1449),IF(ISNUMBER(SEARCH("Party Name-",'R.M Billets Reports'!D1449)),TRIM(MID('R.M Billets Reports'!D1449,SEARCH("-",'R.M Billets Reports'!D1449)+1,200)),"")))="SHRI RADHE","SHREE RADHE",IF(IF(IF(ISNUMBER(SEARCH("Party Name:-",'R.M Billets Reports'!D1448)),TRIM('R.M Billets Reports'!F1448),IF(ISNUMBER(SEARCH("Party Name-",'R.M Billets Reports'!D1448)),TRIM(MID('R.M Billets Reports'!D1448,SEARCH("-",'R.M Billets Reports'!D1448)+1,200)),""))&lt;&gt;"",IF(ISNUMBER(SEARCH("Party Name:-",'R.M Billets Reports'!D1448)),TRIM('R.M Billets Reports'!F1448),IF(ISNUMBER(SEARCH("Party Name-",'R.M Billets Reports'!D1448)),TRIM(MID('R.M Billets Reports'!D1448,SEARCH("-",'R.M Billets Reports'!D1448)+1,200)),"")),IF(ISNUMBER(SEARCH("Party Name:-",'R.M Billets Reports'!D1449)),TRIM('R.M Billets Reports'!F1449),IF(ISNUMBER(SEARCH("Party Name-",'R.M Billets Reports'!D1449)),TRIM(MID('R.M Billets Reports'!D1449,SEARCH("-",'R.M Billets Reports'!D1449)+1,200)),"")))="SHREE RADHE SHAKTI SPONGE AND POWER PVT. LTD.","SHREE RADHE",IF(IF(ISNUMBER(SEARCH("Party Name:-",'R.M Billets Reports'!D1448)),TRIM('R.M Billets Reports'!F1448),IF(ISNUMBER(SEARCH("Party Name-",'R.M Billets Reports'!D1448)),TRIM(MID('R.M Billets Reports'!D1448,SEARCH("-",'R.M Billets Reports'!D1448)+1,200)),""))&lt;&gt;"",IF(ISNUMBER(SEARCH("Party Name:-",'R.M Billets Reports'!D1448)),TRIM('R.M Billets Reports'!F1448),IF(ISNUMBER(SEARCH("Party Name-",'R.M Billets Reports'!D1448)),TRIM(MID('R.M Billets Reports'!D1448,SEARCH("-",'R.M Billets Reports'!D1448)+1,200)),"")),IF(ISNUMBER(SEARCH("Party Name:-",'R.M Billets Reports'!D1449)),TRIM('R.M Billets Reports'!F1449),IF(ISNUMBER(SEARCH("Party Name-",'R.M Billets Reports'!D1449)),TRIM(MID('R.M Billets Reports'!D1449,SEARCH("-",'R.M Billets Reports'!D1449)+1,200)),"")))))),IF(ROW()=2,"",A1448))</f>
      </c>
      <c r="B1449">
        <f>IF(OR('R.M Billets Reports'!A1448="Date-",'R.M Billets Reports'!A1448="Date:-"),'R.M Billets Reports'!B1448,IF(ROW()=2,"",B1448))</f>
      </c>
      <c r="C1449">
        <f>IF('R.M Billets Reports'!A1448="V.No.",'R.M Billets Reports'!B1448,IF(ROW()=2,"",C1448))</f>
      </c>
      <c r="D1449">
        <f>IF('R.M Billets Reports'!A1448&lt;&gt;"",'R.M Billets Reports'!A1448,IF(ROW()=2,"",D1448))</f>
      </c>
      <c r="E1449">
        <f>IF('R.M Billets Reports'!B1448="","",TRIM('R.M Billets Reports'!B1448))</f>
      </c>
      <c r="F1449">
        <f>'R.M Billets Reports'!C1448</f>
      </c>
      <c r="G1449">
        <f>'R.M Billets Reports'!D1448</f>
      </c>
      <c r="H1449">
        <f>'R.M Billets Reports'!E1448</f>
      </c>
      <c r="I1449">
        <f>'R.M Billets Reports'!F1448</f>
      </c>
      <c r="J1449">
        <f>'R.M Billets Reports'!G1448</f>
      </c>
      <c r="K1449">
        <f>'R.M Billets Reports'!H1448</f>
      </c>
      <c r="L1449">
        <f>IF('R.M Billets Reports'!I1448="","",'R.M Billets Reports'!I1448)</f>
      </c>
      <c r="M1449">
        <f t="shared" si="44"/>
      </c>
      <c r="N1449">
        <f>IF('R.M Billets Reports'!J1448="","",'R.M Billets Reports'!J1448)</f>
      </c>
      <c r="O1449">
        <f t="shared" si="45"/>
      </c>
      <c r="P1449">
        <f>IF('R.M Billets Reports'!A1448="SIZE",'R.M Billets Reports'!B1448,P1448)</f>
      </c>
    </row>
    <row r="1450" spans="1:16" x14ac:dyDescent="0.25">
      <c r="A1450">
        <f>IF(OR('R.M Billets Reports'!A1449="Date-",'R.M Billets Reports'!A1449="Date:-"),IF(IF(IF(ISNUMBER(SEARCH("Party Name:-",'R.M Billets Reports'!D1449)),TRIM('R.M Billets Reports'!F1449),IF(ISNUMBER(SEARCH("Party Name-",'R.M Billets Reports'!D1449)),TRIM(MID('R.M Billets Reports'!D1449,SEARCH("-",'R.M Billets Reports'!D1449)+1,200)),""))&lt;&gt;"",IF(ISNUMBER(SEARCH("Party Name:-",'R.M Billets Reports'!D1449)),TRIM('R.M Billets Reports'!F1449),IF(ISNUMBER(SEARCH("Party Name-",'R.M Billets Reports'!D1449)),TRIM(MID('R.M Billets Reports'!D1449,SEARCH("-",'R.M Billets Reports'!D1449)+1,200)),"")),IF(ISNUMBER(SEARCH("Party Name:-",'R.M Billets Reports'!D1450)),TRIM('R.M Billets Reports'!F1450),IF(ISNUMBER(SEARCH("Party Name-",'R.M Billets Reports'!D1450)),TRIM(MID('R.M Billets Reports'!D1450,SEARCH("-",'R.M Billets Reports'!D1450)+1,200)),"")))="VRKP ISPAT PVT LTD","VRKP",IF(IF(IF(ISNUMBER(SEARCH("Party Name:-",'R.M Billets Reports'!D1449)),TRIM('R.M Billets Reports'!F1449),IF(ISNUMBER(SEARCH("Party Name-",'R.M Billets Reports'!D1449)),TRIM(MID('R.M Billets Reports'!D1449,SEARCH("-",'R.M Billets Reports'!D1449)+1,200)),""))&lt;&gt;"",IF(ISNUMBER(SEARCH("Party Name:-",'R.M Billets Reports'!D1449)),TRIM('R.M Billets Reports'!F1449),IF(ISNUMBER(SEARCH("Party Name-",'R.M Billets Reports'!D1449)),TRIM(MID('R.M Billets Reports'!D1449,SEARCH("-",'R.M Billets Reports'!D1449)+1,200)),"")),IF(ISNUMBER(SEARCH("Party Name:-",'R.M Billets Reports'!D1450)),TRIM('R.M Billets Reports'!F1450),IF(ISNUMBER(SEARCH("Party Name-",'R.M Billets Reports'!D1450)),TRIM(MID('R.M Billets Reports'!D1450,SEARCH("-",'R.M Billets Reports'!D1450)+1,200)),"")))="SHRI RADHE","SHREE RADHE",IF(IF(IF(ISNUMBER(SEARCH("Party Name:-",'R.M Billets Reports'!D1449)),TRIM('R.M Billets Reports'!F1449),IF(ISNUMBER(SEARCH("Party Name-",'R.M Billets Reports'!D1449)),TRIM(MID('R.M Billets Reports'!D1449,SEARCH("-",'R.M Billets Reports'!D1449)+1,200)),""))&lt;&gt;"",IF(ISNUMBER(SEARCH("Party Name:-",'R.M Billets Reports'!D1449)),TRIM('R.M Billets Reports'!F1449),IF(ISNUMBER(SEARCH("Party Name-",'R.M Billets Reports'!D1449)),TRIM(MID('R.M Billets Reports'!D1449,SEARCH("-",'R.M Billets Reports'!D1449)+1,200)),"")),IF(ISNUMBER(SEARCH("Party Name:-",'R.M Billets Reports'!D1450)),TRIM('R.M Billets Reports'!F1450),IF(ISNUMBER(SEARCH("Party Name-",'R.M Billets Reports'!D1450)),TRIM(MID('R.M Billets Reports'!D1450,SEARCH("-",'R.M Billets Reports'!D1450)+1,200)),"")))="SHREE RADHE SHAKTI SPONGE AND POWER PVT. LTD.","SHREE RADHE",IF(IF(ISNUMBER(SEARCH("Party Name:-",'R.M Billets Reports'!D1449)),TRIM('R.M Billets Reports'!F1449),IF(ISNUMBER(SEARCH("Party Name-",'R.M Billets Reports'!D1449)),TRIM(MID('R.M Billets Reports'!D1449,SEARCH("-",'R.M Billets Reports'!D1449)+1,200)),""))&lt;&gt;"",IF(ISNUMBER(SEARCH("Party Name:-",'R.M Billets Reports'!D1449)),TRIM('R.M Billets Reports'!F1449),IF(ISNUMBER(SEARCH("Party Name-",'R.M Billets Reports'!D1449)),TRIM(MID('R.M Billets Reports'!D1449,SEARCH("-",'R.M Billets Reports'!D1449)+1,200)),"")),IF(ISNUMBER(SEARCH("Party Name:-",'R.M Billets Reports'!D1450)),TRIM('R.M Billets Reports'!F1450),IF(ISNUMBER(SEARCH("Party Name-",'R.M Billets Reports'!D1450)),TRIM(MID('R.M Billets Reports'!D1450,SEARCH("-",'R.M Billets Reports'!D1450)+1,200)),"")))))),IF(ROW()=2,"",A1449))</f>
      </c>
      <c r="B1450">
        <f>IF(OR('R.M Billets Reports'!A1449="Date-",'R.M Billets Reports'!A1449="Date:-"),'R.M Billets Reports'!B1449,IF(ROW()=2,"",B1449))</f>
      </c>
      <c r="C1450">
        <f>IF('R.M Billets Reports'!A1449="V.No.",'R.M Billets Reports'!B1449,IF(ROW()=2,"",C1449))</f>
      </c>
      <c r="D1450">
        <f>IF('R.M Billets Reports'!A1449&lt;&gt;"",'R.M Billets Reports'!A1449,IF(ROW()=2,"",D1449))</f>
      </c>
      <c r="E1450">
        <f>IF('R.M Billets Reports'!B1449="","",TRIM('R.M Billets Reports'!B1449))</f>
      </c>
      <c r="F1450">
        <f>'R.M Billets Reports'!C1449</f>
      </c>
      <c r="G1450">
        <f>'R.M Billets Reports'!D1449</f>
      </c>
      <c r="H1450">
        <f>'R.M Billets Reports'!E1449</f>
      </c>
      <c r="I1450">
        <f>'R.M Billets Reports'!F1449</f>
      </c>
      <c r="J1450">
        <f>'R.M Billets Reports'!G1449</f>
      </c>
      <c r="K1450">
        <f>'R.M Billets Reports'!H1449</f>
      </c>
      <c r="L1450">
        <f>IF('R.M Billets Reports'!I1449="","",'R.M Billets Reports'!I1449)</f>
      </c>
      <c r="M1450">
        <f t="shared" si="44"/>
      </c>
      <c r="N1450">
        <f>IF('R.M Billets Reports'!J1449="","",'R.M Billets Reports'!J1449)</f>
      </c>
      <c r="O1450">
        <f t="shared" si="45"/>
      </c>
      <c r="P1450">
        <f>IF('R.M Billets Reports'!A1449="SIZE",'R.M Billets Reports'!B1449,P1449)</f>
      </c>
    </row>
    <row r="1451" spans="1:16" x14ac:dyDescent="0.25">
      <c r="A1451">
        <f>IF(OR('R.M Billets Reports'!A1450="Date-",'R.M Billets Reports'!A1450="Date:-"),IF(IF(IF(ISNUMBER(SEARCH("Party Name:-",'R.M Billets Reports'!D1450)),TRIM('R.M Billets Reports'!F1450),IF(ISNUMBER(SEARCH("Party Name-",'R.M Billets Reports'!D1450)),TRIM(MID('R.M Billets Reports'!D1450,SEARCH("-",'R.M Billets Reports'!D1450)+1,200)),""))&lt;&gt;"",IF(ISNUMBER(SEARCH("Party Name:-",'R.M Billets Reports'!D1450)),TRIM('R.M Billets Reports'!F1450),IF(ISNUMBER(SEARCH("Party Name-",'R.M Billets Reports'!D1450)),TRIM(MID('R.M Billets Reports'!D1450,SEARCH("-",'R.M Billets Reports'!D1450)+1,200)),"")),IF(ISNUMBER(SEARCH("Party Name:-",'R.M Billets Reports'!D1451)),TRIM('R.M Billets Reports'!F1451),IF(ISNUMBER(SEARCH("Party Name-",'R.M Billets Reports'!D1451)),TRIM(MID('R.M Billets Reports'!D1451,SEARCH("-",'R.M Billets Reports'!D1451)+1,200)),"")))="VRKP ISPAT PVT LTD","VRKP",IF(IF(IF(ISNUMBER(SEARCH("Party Name:-",'R.M Billets Reports'!D1450)),TRIM('R.M Billets Reports'!F1450),IF(ISNUMBER(SEARCH("Party Name-",'R.M Billets Reports'!D1450)),TRIM(MID('R.M Billets Reports'!D1450,SEARCH("-",'R.M Billets Reports'!D1450)+1,200)),""))&lt;&gt;"",IF(ISNUMBER(SEARCH("Party Name:-",'R.M Billets Reports'!D1450)),TRIM('R.M Billets Reports'!F1450),IF(ISNUMBER(SEARCH("Party Name-",'R.M Billets Reports'!D1450)),TRIM(MID('R.M Billets Reports'!D1450,SEARCH("-",'R.M Billets Reports'!D1450)+1,200)),"")),IF(ISNUMBER(SEARCH("Party Name:-",'R.M Billets Reports'!D1451)),TRIM('R.M Billets Reports'!F1451),IF(ISNUMBER(SEARCH("Party Name-",'R.M Billets Reports'!D1451)),TRIM(MID('R.M Billets Reports'!D1451,SEARCH("-",'R.M Billets Reports'!D1451)+1,200)),"")))="SHRI RADHE","SHREE RADHE",IF(IF(IF(ISNUMBER(SEARCH("Party Name:-",'R.M Billets Reports'!D1450)),TRIM('R.M Billets Reports'!F1450),IF(ISNUMBER(SEARCH("Party Name-",'R.M Billets Reports'!D1450)),TRIM(MID('R.M Billets Reports'!D1450,SEARCH("-",'R.M Billets Reports'!D1450)+1,200)),""))&lt;&gt;"",IF(ISNUMBER(SEARCH("Party Name:-",'R.M Billets Reports'!D1450)),TRIM('R.M Billets Reports'!F1450),IF(ISNUMBER(SEARCH("Party Name-",'R.M Billets Reports'!D1450)),TRIM(MID('R.M Billets Reports'!D1450,SEARCH("-",'R.M Billets Reports'!D1450)+1,200)),"")),IF(ISNUMBER(SEARCH("Party Name:-",'R.M Billets Reports'!D1451)),TRIM('R.M Billets Reports'!F1451),IF(ISNUMBER(SEARCH("Party Name-",'R.M Billets Reports'!D1451)),TRIM(MID('R.M Billets Reports'!D1451,SEARCH("-",'R.M Billets Reports'!D1451)+1,200)),"")))="SHREE RADHE SHAKTI SPONGE AND POWER PVT. LTD.","SHREE RADHE",IF(IF(ISNUMBER(SEARCH("Party Name:-",'R.M Billets Reports'!D1450)),TRIM('R.M Billets Reports'!F1450),IF(ISNUMBER(SEARCH("Party Name-",'R.M Billets Reports'!D1450)),TRIM(MID('R.M Billets Reports'!D1450,SEARCH("-",'R.M Billets Reports'!D1450)+1,200)),""))&lt;&gt;"",IF(ISNUMBER(SEARCH("Party Name:-",'R.M Billets Reports'!D1450)),TRIM('R.M Billets Reports'!F1450),IF(ISNUMBER(SEARCH("Party Name-",'R.M Billets Reports'!D1450)),TRIM(MID('R.M Billets Reports'!D1450,SEARCH("-",'R.M Billets Reports'!D1450)+1,200)),"")),IF(ISNUMBER(SEARCH("Party Name:-",'R.M Billets Reports'!D1451)),TRIM('R.M Billets Reports'!F1451),IF(ISNUMBER(SEARCH("Party Name-",'R.M Billets Reports'!D1451)),TRIM(MID('R.M Billets Reports'!D1451,SEARCH("-",'R.M Billets Reports'!D1451)+1,200)),"")))))),IF(ROW()=2,"",A1450))</f>
      </c>
      <c r="B1451">
        <f>IF(OR('R.M Billets Reports'!A1450="Date-",'R.M Billets Reports'!A1450="Date:-"),'R.M Billets Reports'!B1450,IF(ROW()=2,"",B1450))</f>
      </c>
      <c r="C1451">
        <f>IF('R.M Billets Reports'!A1450="V.No.",'R.M Billets Reports'!B1450,IF(ROW()=2,"",C1450))</f>
      </c>
      <c r="D1451">
        <f>IF('R.M Billets Reports'!A1450&lt;&gt;"",'R.M Billets Reports'!A1450,IF(ROW()=2,"",D1450))</f>
      </c>
      <c r="E1451">
        <f>IF('R.M Billets Reports'!B1450="","",TRIM('R.M Billets Reports'!B1450))</f>
      </c>
      <c r="F1451">
        <f>'R.M Billets Reports'!C1450</f>
      </c>
      <c r="G1451">
        <f>'R.M Billets Reports'!D1450</f>
      </c>
      <c r="H1451">
        <f>'R.M Billets Reports'!E1450</f>
      </c>
      <c r="I1451">
        <f>'R.M Billets Reports'!F1450</f>
      </c>
      <c r="J1451">
        <f>'R.M Billets Reports'!G1450</f>
      </c>
      <c r="K1451">
        <f>'R.M Billets Reports'!H1450</f>
      </c>
      <c r="L1451">
        <f>IF('R.M Billets Reports'!I1450="","",'R.M Billets Reports'!I1450)</f>
      </c>
      <c r="M1451">
        <f t="shared" si="44"/>
      </c>
      <c r="N1451">
        <f>IF('R.M Billets Reports'!J1450="","",'R.M Billets Reports'!J1450)</f>
      </c>
      <c r="O1451">
        <f t="shared" si="45"/>
      </c>
      <c r="P1451">
        <f>IF('R.M Billets Reports'!A1450="SIZE",'R.M Billets Reports'!B1450,P1450)</f>
      </c>
    </row>
    <row r="1452" spans="1:16" x14ac:dyDescent="0.25">
      <c r="A1452">
        <f>IF(OR('R.M Billets Reports'!A1451="Date-",'R.M Billets Reports'!A1451="Date:-"),IF(IF(IF(ISNUMBER(SEARCH("Party Name:-",'R.M Billets Reports'!D1451)),TRIM('R.M Billets Reports'!F1451),IF(ISNUMBER(SEARCH("Party Name-",'R.M Billets Reports'!D1451)),TRIM(MID('R.M Billets Reports'!D1451,SEARCH("-",'R.M Billets Reports'!D1451)+1,200)),""))&lt;&gt;"",IF(ISNUMBER(SEARCH("Party Name:-",'R.M Billets Reports'!D1451)),TRIM('R.M Billets Reports'!F1451),IF(ISNUMBER(SEARCH("Party Name-",'R.M Billets Reports'!D1451)),TRIM(MID('R.M Billets Reports'!D1451,SEARCH("-",'R.M Billets Reports'!D1451)+1,200)),"")),IF(ISNUMBER(SEARCH("Party Name:-",'R.M Billets Reports'!D1452)),TRIM('R.M Billets Reports'!F1452),IF(ISNUMBER(SEARCH("Party Name-",'R.M Billets Reports'!D1452)),TRIM(MID('R.M Billets Reports'!D1452,SEARCH("-",'R.M Billets Reports'!D1452)+1,200)),"")))="VRKP ISPAT PVT LTD","VRKP",IF(IF(IF(ISNUMBER(SEARCH("Party Name:-",'R.M Billets Reports'!D1451)),TRIM('R.M Billets Reports'!F1451),IF(ISNUMBER(SEARCH("Party Name-",'R.M Billets Reports'!D1451)),TRIM(MID('R.M Billets Reports'!D1451,SEARCH("-",'R.M Billets Reports'!D1451)+1,200)),""))&lt;&gt;"",IF(ISNUMBER(SEARCH("Party Name:-",'R.M Billets Reports'!D1451)),TRIM('R.M Billets Reports'!F1451),IF(ISNUMBER(SEARCH("Party Name-",'R.M Billets Reports'!D1451)),TRIM(MID('R.M Billets Reports'!D1451,SEARCH("-",'R.M Billets Reports'!D1451)+1,200)),"")),IF(ISNUMBER(SEARCH("Party Name:-",'R.M Billets Reports'!D1452)),TRIM('R.M Billets Reports'!F1452),IF(ISNUMBER(SEARCH("Party Name-",'R.M Billets Reports'!D1452)),TRIM(MID('R.M Billets Reports'!D1452,SEARCH("-",'R.M Billets Reports'!D1452)+1,200)),"")))="SHRI RADHE","SHREE RADHE",IF(IF(IF(ISNUMBER(SEARCH("Party Name:-",'R.M Billets Reports'!D1451)),TRIM('R.M Billets Reports'!F1451),IF(ISNUMBER(SEARCH("Party Name-",'R.M Billets Reports'!D1451)),TRIM(MID('R.M Billets Reports'!D1451,SEARCH("-",'R.M Billets Reports'!D1451)+1,200)),""))&lt;&gt;"",IF(ISNUMBER(SEARCH("Party Name:-",'R.M Billets Reports'!D1451)),TRIM('R.M Billets Reports'!F1451),IF(ISNUMBER(SEARCH("Party Name-",'R.M Billets Reports'!D1451)),TRIM(MID('R.M Billets Reports'!D1451,SEARCH("-",'R.M Billets Reports'!D1451)+1,200)),"")),IF(ISNUMBER(SEARCH("Party Name:-",'R.M Billets Reports'!D1452)),TRIM('R.M Billets Reports'!F1452),IF(ISNUMBER(SEARCH("Party Name-",'R.M Billets Reports'!D1452)),TRIM(MID('R.M Billets Reports'!D1452,SEARCH("-",'R.M Billets Reports'!D1452)+1,200)),"")))="SHREE RADHE SHAKTI SPONGE AND POWER PVT. LTD.","SHREE RADHE",IF(IF(ISNUMBER(SEARCH("Party Name:-",'R.M Billets Reports'!D1451)),TRIM('R.M Billets Reports'!F1451),IF(ISNUMBER(SEARCH("Party Name-",'R.M Billets Reports'!D1451)),TRIM(MID('R.M Billets Reports'!D1451,SEARCH("-",'R.M Billets Reports'!D1451)+1,200)),""))&lt;&gt;"",IF(ISNUMBER(SEARCH("Party Name:-",'R.M Billets Reports'!D1451)),TRIM('R.M Billets Reports'!F1451),IF(ISNUMBER(SEARCH("Party Name-",'R.M Billets Reports'!D1451)),TRIM(MID('R.M Billets Reports'!D1451,SEARCH("-",'R.M Billets Reports'!D1451)+1,200)),"")),IF(ISNUMBER(SEARCH("Party Name:-",'R.M Billets Reports'!D1452)),TRIM('R.M Billets Reports'!F1452),IF(ISNUMBER(SEARCH("Party Name-",'R.M Billets Reports'!D1452)),TRIM(MID('R.M Billets Reports'!D1452,SEARCH("-",'R.M Billets Reports'!D1452)+1,200)),"")))))),IF(ROW()=2,"",A1451))</f>
      </c>
      <c r="B1452">
        <f>IF(OR('R.M Billets Reports'!A1451="Date-",'R.M Billets Reports'!A1451="Date:-"),'R.M Billets Reports'!B1451,IF(ROW()=2,"",B1451))</f>
      </c>
      <c r="C1452">
        <f>IF('R.M Billets Reports'!A1451="V.No.",'R.M Billets Reports'!B1451,IF(ROW()=2,"",C1451))</f>
      </c>
      <c r="D1452">
        <f>IF('R.M Billets Reports'!A1451&lt;&gt;"",'R.M Billets Reports'!A1451,IF(ROW()=2,"",D1451))</f>
      </c>
      <c r="E1452">
        <f>IF('R.M Billets Reports'!B1451="","",TRIM('R.M Billets Reports'!B1451))</f>
      </c>
      <c r="F1452">
        <f>'R.M Billets Reports'!C1451</f>
      </c>
      <c r="G1452">
        <f>'R.M Billets Reports'!D1451</f>
      </c>
      <c r="H1452">
        <f>'R.M Billets Reports'!E1451</f>
      </c>
      <c r="I1452">
        <f>'R.M Billets Reports'!F1451</f>
      </c>
      <c r="J1452">
        <f>'R.M Billets Reports'!G1451</f>
      </c>
      <c r="K1452">
        <f>'R.M Billets Reports'!H1451</f>
      </c>
      <c r="L1452">
        <f>IF('R.M Billets Reports'!I1451="","",'R.M Billets Reports'!I1451)</f>
      </c>
      <c r="M1452">
        <f t="shared" si="44"/>
      </c>
      <c r="N1452">
        <f>IF('R.M Billets Reports'!J1451="","",'R.M Billets Reports'!J1451)</f>
      </c>
      <c r="O1452">
        <f t="shared" si="45"/>
      </c>
      <c r="P1452">
        <f>IF('R.M Billets Reports'!A1451="SIZE",'R.M Billets Reports'!B1451,P1451)</f>
      </c>
    </row>
    <row r="1453" spans="1:16" x14ac:dyDescent="0.25">
      <c r="A1453">
        <f>IF(OR('R.M Billets Reports'!A1452="Date-",'R.M Billets Reports'!A1452="Date:-"),IF(IF(IF(ISNUMBER(SEARCH("Party Name:-",'R.M Billets Reports'!D1452)),TRIM('R.M Billets Reports'!F1452),IF(ISNUMBER(SEARCH("Party Name-",'R.M Billets Reports'!D1452)),TRIM(MID('R.M Billets Reports'!D1452,SEARCH("-",'R.M Billets Reports'!D1452)+1,200)),""))&lt;&gt;"",IF(ISNUMBER(SEARCH("Party Name:-",'R.M Billets Reports'!D1452)),TRIM('R.M Billets Reports'!F1452),IF(ISNUMBER(SEARCH("Party Name-",'R.M Billets Reports'!D1452)),TRIM(MID('R.M Billets Reports'!D1452,SEARCH("-",'R.M Billets Reports'!D1452)+1,200)),"")),IF(ISNUMBER(SEARCH("Party Name:-",'R.M Billets Reports'!D1453)),TRIM('R.M Billets Reports'!F1453),IF(ISNUMBER(SEARCH("Party Name-",'R.M Billets Reports'!D1453)),TRIM(MID('R.M Billets Reports'!D1453,SEARCH("-",'R.M Billets Reports'!D1453)+1,200)),"")))="VRKP ISPAT PVT LTD","VRKP",IF(IF(IF(ISNUMBER(SEARCH("Party Name:-",'R.M Billets Reports'!D1452)),TRIM('R.M Billets Reports'!F1452),IF(ISNUMBER(SEARCH("Party Name-",'R.M Billets Reports'!D1452)),TRIM(MID('R.M Billets Reports'!D1452,SEARCH("-",'R.M Billets Reports'!D1452)+1,200)),""))&lt;&gt;"",IF(ISNUMBER(SEARCH("Party Name:-",'R.M Billets Reports'!D1452)),TRIM('R.M Billets Reports'!F1452),IF(ISNUMBER(SEARCH("Party Name-",'R.M Billets Reports'!D1452)),TRIM(MID('R.M Billets Reports'!D1452,SEARCH("-",'R.M Billets Reports'!D1452)+1,200)),"")),IF(ISNUMBER(SEARCH("Party Name:-",'R.M Billets Reports'!D1453)),TRIM('R.M Billets Reports'!F1453),IF(ISNUMBER(SEARCH("Party Name-",'R.M Billets Reports'!D1453)),TRIM(MID('R.M Billets Reports'!D1453,SEARCH("-",'R.M Billets Reports'!D1453)+1,200)),"")))="SHRI RADHE","SHREE RADHE",IF(IF(IF(ISNUMBER(SEARCH("Party Name:-",'R.M Billets Reports'!D1452)),TRIM('R.M Billets Reports'!F1452),IF(ISNUMBER(SEARCH("Party Name-",'R.M Billets Reports'!D1452)),TRIM(MID('R.M Billets Reports'!D1452,SEARCH("-",'R.M Billets Reports'!D1452)+1,200)),""))&lt;&gt;"",IF(ISNUMBER(SEARCH("Party Name:-",'R.M Billets Reports'!D1452)),TRIM('R.M Billets Reports'!F1452),IF(ISNUMBER(SEARCH("Party Name-",'R.M Billets Reports'!D1452)),TRIM(MID('R.M Billets Reports'!D1452,SEARCH("-",'R.M Billets Reports'!D1452)+1,200)),"")),IF(ISNUMBER(SEARCH("Party Name:-",'R.M Billets Reports'!D1453)),TRIM('R.M Billets Reports'!F1453),IF(ISNUMBER(SEARCH("Party Name-",'R.M Billets Reports'!D1453)),TRIM(MID('R.M Billets Reports'!D1453,SEARCH("-",'R.M Billets Reports'!D1453)+1,200)),"")))="SHREE RADHE SHAKTI SPONGE AND POWER PVT. LTD.","SHREE RADHE",IF(IF(ISNUMBER(SEARCH("Party Name:-",'R.M Billets Reports'!D1452)),TRIM('R.M Billets Reports'!F1452),IF(ISNUMBER(SEARCH("Party Name-",'R.M Billets Reports'!D1452)),TRIM(MID('R.M Billets Reports'!D1452,SEARCH("-",'R.M Billets Reports'!D1452)+1,200)),""))&lt;&gt;"",IF(ISNUMBER(SEARCH("Party Name:-",'R.M Billets Reports'!D1452)),TRIM('R.M Billets Reports'!F1452),IF(ISNUMBER(SEARCH("Party Name-",'R.M Billets Reports'!D1452)),TRIM(MID('R.M Billets Reports'!D1452,SEARCH("-",'R.M Billets Reports'!D1452)+1,200)),"")),IF(ISNUMBER(SEARCH("Party Name:-",'R.M Billets Reports'!D1453)),TRIM('R.M Billets Reports'!F1453),IF(ISNUMBER(SEARCH("Party Name-",'R.M Billets Reports'!D1453)),TRIM(MID('R.M Billets Reports'!D1453,SEARCH("-",'R.M Billets Reports'!D1453)+1,200)),"")))))),IF(ROW()=2,"",A1452))</f>
      </c>
      <c r="B1453">
        <f>IF(OR('R.M Billets Reports'!A1452="Date-",'R.M Billets Reports'!A1452="Date:-"),'R.M Billets Reports'!B1452,IF(ROW()=2,"",B1452))</f>
      </c>
      <c r="C1453">
        <f>IF('R.M Billets Reports'!A1452="V.No.",'R.M Billets Reports'!B1452,IF(ROW()=2,"",C1452))</f>
      </c>
      <c r="D1453">
        <f>IF('R.M Billets Reports'!A1452&lt;&gt;"",'R.M Billets Reports'!A1452,IF(ROW()=2,"",D1452))</f>
      </c>
      <c r="E1453">
        <f>IF('R.M Billets Reports'!B1452="","",TRIM('R.M Billets Reports'!B1452))</f>
      </c>
      <c r="F1453">
        <f>'R.M Billets Reports'!C1452</f>
      </c>
      <c r="G1453">
        <f>'R.M Billets Reports'!D1452</f>
      </c>
      <c r="H1453">
        <f>'R.M Billets Reports'!E1452</f>
      </c>
      <c r="I1453">
        <f>'R.M Billets Reports'!F1452</f>
      </c>
      <c r="J1453">
        <f>'R.M Billets Reports'!G1452</f>
      </c>
      <c r="K1453">
        <f>'R.M Billets Reports'!H1452</f>
      </c>
      <c r="L1453">
        <f>IF('R.M Billets Reports'!I1452="","",'R.M Billets Reports'!I1452)</f>
      </c>
      <c r="M1453">
        <f t="shared" si="44"/>
      </c>
      <c r="N1453">
        <f>IF('R.M Billets Reports'!J1452="","",'R.M Billets Reports'!J1452)</f>
      </c>
      <c r="O1453">
        <f t="shared" si="45"/>
      </c>
      <c r="P1453">
        <f>IF('R.M Billets Reports'!A1452="SIZE",'R.M Billets Reports'!B1452,P1452)</f>
      </c>
    </row>
    <row r="1454" spans="1:16" x14ac:dyDescent="0.25">
      <c r="A1454">
        <f>IF(OR('R.M Billets Reports'!A1453="Date-",'R.M Billets Reports'!A1453="Date:-"),IF(IF(IF(ISNUMBER(SEARCH("Party Name:-",'R.M Billets Reports'!D1453)),TRIM('R.M Billets Reports'!F1453),IF(ISNUMBER(SEARCH("Party Name-",'R.M Billets Reports'!D1453)),TRIM(MID('R.M Billets Reports'!D1453,SEARCH("-",'R.M Billets Reports'!D1453)+1,200)),""))&lt;&gt;"",IF(ISNUMBER(SEARCH("Party Name:-",'R.M Billets Reports'!D1453)),TRIM('R.M Billets Reports'!F1453),IF(ISNUMBER(SEARCH("Party Name-",'R.M Billets Reports'!D1453)),TRIM(MID('R.M Billets Reports'!D1453,SEARCH("-",'R.M Billets Reports'!D1453)+1,200)),"")),IF(ISNUMBER(SEARCH("Party Name:-",'R.M Billets Reports'!D1454)),TRIM('R.M Billets Reports'!F1454),IF(ISNUMBER(SEARCH("Party Name-",'R.M Billets Reports'!D1454)),TRIM(MID('R.M Billets Reports'!D1454,SEARCH("-",'R.M Billets Reports'!D1454)+1,200)),"")))="VRKP ISPAT PVT LTD","VRKP",IF(IF(IF(ISNUMBER(SEARCH("Party Name:-",'R.M Billets Reports'!D1453)),TRIM('R.M Billets Reports'!F1453),IF(ISNUMBER(SEARCH("Party Name-",'R.M Billets Reports'!D1453)),TRIM(MID('R.M Billets Reports'!D1453,SEARCH("-",'R.M Billets Reports'!D1453)+1,200)),""))&lt;&gt;"",IF(ISNUMBER(SEARCH("Party Name:-",'R.M Billets Reports'!D1453)),TRIM('R.M Billets Reports'!F1453),IF(ISNUMBER(SEARCH("Party Name-",'R.M Billets Reports'!D1453)),TRIM(MID('R.M Billets Reports'!D1453,SEARCH("-",'R.M Billets Reports'!D1453)+1,200)),"")),IF(ISNUMBER(SEARCH("Party Name:-",'R.M Billets Reports'!D1454)),TRIM('R.M Billets Reports'!F1454),IF(ISNUMBER(SEARCH("Party Name-",'R.M Billets Reports'!D1454)),TRIM(MID('R.M Billets Reports'!D1454,SEARCH("-",'R.M Billets Reports'!D1454)+1,200)),"")))="SHRI RADHE","SHREE RADHE",IF(IF(IF(ISNUMBER(SEARCH("Party Name:-",'R.M Billets Reports'!D1453)),TRIM('R.M Billets Reports'!F1453),IF(ISNUMBER(SEARCH("Party Name-",'R.M Billets Reports'!D1453)),TRIM(MID('R.M Billets Reports'!D1453,SEARCH("-",'R.M Billets Reports'!D1453)+1,200)),""))&lt;&gt;"",IF(ISNUMBER(SEARCH("Party Name:-",'R.M Billets Reports'!D1453)),TRIM('R.M Billets Reports'!F1453),IF(ISNUMBER(SEARCH("Party Name-",'R.M Billets Reports'!D1453)),TRIM(MID('R.M Billets Reports'!D1453,SEARCH("-",'R.M Billets Reports'!D1453)+1,200)),"")),IF(ISNUMBER(SEARCH("Party Name:-",'R.M Billets Reports'!D1454)),TRIM('R.M Billets Reports'!F1454),IF(ISNUMBER(SEARCH("Party Name-",'R.M Billets Reports'!D1454)),TRIM(MID('R.M Billets Reports'!D1454,SEARCH("-",'R.M Billets Reports'!D1454)+1,200)),"")))="SHREE RADHE SHAKTI SPONGE AND POWER PVT. LTD.","SHREE RADHE",IF(IF(ISNUMBER(SEARCH("Party Name:-",'R.M Billets Reports'!D1453)),TRIM('R.M Billets Reports'!F1453),IF(ISNUMBER(SEARCH("Party Name-",'R.M Billets Reports'!D1453)),TRIM(MID('R.M Billets Reports'!D1453,SEARCH("-",'R.M Billets Reports'!D1453)+1,200)),""))&lt;&gt;"",IF(ISNUMBER(SEARCH("Party Name:-",'R.M Billets Reports'!D1453)),TRIM('R.M Billets Reports'!F1453),IF(ISNUMBER(SEARCH("Party Name-",'R.M Billets Reports'!D1453)),TRIM(MID('R.M Billets Reports'!D1453,SEARCH("-",'R.M Billets Reports'!D1453)+1,200)),"")),IF(ISNUMBER(SEARCH("Party Name:-",'R.M Billets Reports'!D1454)),TRIM('R.M Billets Reports'!F1454),IF(ISNUMBER(SEARCH("Party Name-",'R.M Billets Reports'!D1454)),TRIM(MID('R.M Billets Reports'!D1454,SEARCH("-",'R.M Billets Reports'!D1454)+1,200)),"")))))),IF(ROW()=2,"",A1453))</f>
      </c>
      <c r="B1454">
        <f>IF(OR('R.M Billets Reports'!A1453="Date-",'R.M Billets Reports'!A1453="Date:-"),'R.M Billets Reports'!B1453,IF(ROW()=2,"",B1453))</f>
      </c>
      <c r="C1454">
        <f>IF('R.M Billets Reports'!A1453="V.No.",'R.M Billets Reports'!B1453,IF(ROW()=2,"",C1453))</f>
      </c>
      <c r="D1454">
        <f>IF('R.M Billets Reports'!A1453&lt;&gt;"",'R.M Billets Reports'!A1453,IF(ROW()=2,"",D1453))</f>
      </c>
      <c r="E1454">
        <f>IF('R.M Billets Reports'!B1453="","",TRIM('R.M Billets Reports'!B1453))</f>
      </c>
      <c r="F1454">
        <f>'R.M Billets Reports'!C1453</f>
      </c>
      <c r="G1454">
        <f>'R.M Billets Reports'!D1453</f>
      </c>
      <c r="H1454">
        <f>'R.M Billets Reports'!E1453</f>
      </c>
      <c r="I1454">
        <f>'R.M Billets Reports'!F1453</f>
      </c>
      <c r="J1454">
        <f>'R.M Billets Reports'!G1453</f>
      </c>
      <c r="K1454">
        <f>'R.M Billets Reports'!H1453</f>
      </c>
      <c r="L1454">
        <f>IF('R.M Billets Reports'!I1453="","",'R.M Billets Reports'!I1453)</f>
      </c>
      <c r="M1454">
        <f t="shared" si="44"/>
      </c>
      <c r="N1454">
        <f>IF('R.M Billets Reports'!J1453="","",'R.M Billets Reports'!J1453)</f>
      </c>
      <c r="O1454">
        <f t="shared" si="45"/>
      </c>
      <c r="P1454">
        <f>IF('R.M Billets Reports'!A1453="SIZE",'R.M Billets Reports'!B1453,P1453)</f>
      </c>
    </row>
    <row r="1455" spans="1:16" x14ac:dyDescent="0.25">
      <c r="A1455">
        <f>IF(OR('R.M Billets Reports'!A1454="Date-",'R.M Billets Reports'!A1454="Date:-"),IF(IF(IF(ISNUMBER(SEARCH("Party Name:-",'R.M Billets Reports'!D1454)),TRIM('R.M Billets Reports'!F1454),IF(ISNUMBER(SEARCH("Party Name-",'R.M Billets Reports'!D1454)),TRIM(MID('R.M Billets Reports'!D1454,SEARCH("-",'R.M Billets Reports'!D1454)+1,200)),""))&lt;&gt;"",IF(ISNUMBER(SEARCH("Party Name:-",'R.M Billets Reports'!D1454)),TRIM('R.M Billets Reports'!F1454),IF(ISNUMBER(SEARCH("Party Name-",'R.M Billets Reports'!D1454)),TRIM(MID('R.M Billets Reports'!D1454,SEARCH("-",'R.M Billets Reports'!D1454)+1,200)),"")),IF(ISNUMBER(SEARCH("Party Name:-",'R.M Billets Reports'!D1455)),TRIM('R.M Billets Reports'!F1455),IF(ISNUMBER(SEARCH("Party Name-",'R.M Billets Reports'!D1455)),TRIM(MID('R.M Billets Reports'!D1455,SEARCH("-",'R.M Billets Reports'!D1455)+1,200)),"")))="VRKP ISPAT PVT LTD","VRKP",IF(IF(IF(ISNUMBER(SEARCH("Party Name:-",'R.M Billets Reports'!D1454)),TRIM('R.M Billets Reports'!F1454),IF(ISNUMBER(SEARCH("Party Name-",'R.M Billets Reports'!D1454)),TRIM(MID('R.M Billets Reports'!D1454,SEARCH("-",'R.M Billets Reports'!D1454)+1,200)),""))&lt;&gt;"",IF(ISNUMBER(SEARCH("Party Name:-",'R.M Billets Reports'!D1454)),TRIM('R.M Billets Reports'!F1454),IF(ISNUMBER(SEARCH("Party Name-",'R.M Billets Reports'!D1454)),TRIM(MID('R.M Billets Reports'!D1454,SEARCH("-",'R.M Billets Reports'!D1454)+1,200)),"")),IF(ISNUMBER(SEARCH("Party Name:-",'R.M Billets Reports'!D1455)),TRIM('R.M Billets Reports'!F1455),IF(ISNUMBER(SEARCH("Party Name-",'R.M Billets Reports'!D1455)),TRIM(MID('R.M Billets Reports'!D1455,SEARCH("-",'R.M Billets Reports'!D1455)+1,200)),"")))="SHRI RADHE","SHREE RADHE",IF(IF(IF(ISNUMBER(SEARCH("Party Name:-",'R.M Billets Reports'!D1454)),TRIM('R.M Billets Reports'!F1454),IF(ISNUMBER(SEARCH("Party Name-",'R.M Billets Reports'!D1454)),TRIM(MID('R.M Billets Reports'!D1454,SEARCH("-",'R.M Billets Reports'!D1454)+1,200)),""))&lt;&gt;"",IF(ISNUMBER(SEARCH("Party Name:-",'R.M Billets Reports'!D1454)),TRIM('R.M Billets Reports'!F1454),IF(ISNUMBER(SEARCH("Party Name-",'R.M Billets Reports'!D1454)),TRIM(MID('R.M Billets Reports'!D1454,SEARCH("-",'R.M Billets Reports'!D1454)+1,200)),"")),IF(ISNUMBER(SEARCH("Party Name:-",'R.M Billets Reports'!D1455)),TRIM('R.M Billets Reports'!F1455),IF(ISNUMBER(SEARCH("Party Name-",'R.M Billets Reports'!D1455)),TRIM(MID('R.M Billets Reports'!D1455,SEARCH("-",'R.M Billets Reports'!D1455)+1,200)),"")))="SHREE RADHE SHAKTI SPONGE AND POWER PVT. LTD.","SHREE RADHE",IF(IF(ISNUMBER(SEARCH("Party Name:-",'R.M Billets Reports'!D1454)),TRIM('R.M Billets Reports'!F1454),IF(ISNUMBER(SEARCH("Party Name-",'R.M Billets Reports'!D1454)),TRIM(MID('R.M Billets Reports'!D1454,SEARCH("-",'R.M Billets Reports'!D1454)+1,200)),""))&lt;&gt;"",IF(ISNUMBER(SEARCH("Party Name:-",'R.M Billets Reports'!D1454)),TRIM('R.M Billets Reports'!F1454),IF(ISNUMBER(SEARCH("Party Name-",'R.M Billets Reports'!D1454)),TRIM(MID('R.M Billets Reports'!D1454,SEARCH("-",'R.M Billets Reports'!D1454)+1,200)),"")),IF(ISNUMBER(SEARCH("Party Name:-",'R.M Billets Reports'!D1455)),TRIM('R.M Billets Reports'!F1455),IF(ISNUMBER(SEARCH("Party Name-",'R.M Billets Reports'!D1455)),TRIM(MID('R.M Billets Reports'!D1455,SEARCH("-",'R.M Billets Reports'!D1455)+1,200)),"")))))),IF(ROW()=2,"",A1454))</f>
      </c>
      <c r="B1455">
        <f>IF(OR('R.M Billets Reports'!A1454="Date-",'R.M Billets Reports'!A1454="Date:-"),'R.M Billets Reports'!B1454,IF(ROW()=2,"",B1454))</f>
      </c>
      <c r="C1455">
        <f>IF('R.M Billets Reports'!A1454="V.No.",'R.M Billets Reports'!B1454,IF(ROW()=2,"",C1454))</f>
      </c>
      <c r="D1455">
        <f>IF('R.M Billets Reports'!A1454&lt;&gt;"",'R.M Billets Reports'!A1454,IF(ROW()=2,"",D1454))</f>
      </c>
      <c r="E1455">
        <f>IF('R.M Billets Reports'!B1454="","",TRIM('R.M Billets Reports'!B1454))</f>
      </c>
      <c r="F1455">
        <f>'R.M Billets Reports'!C1454</f>
      </c>
      <c r="G1455">
        <f>'R.M Billets Reports'!D1454</f>
      </c>
      <c r="H1455">
        <f>'R.M Billets Reports'!E1454</f>
      </c>
      <c r="I1455">
        <f>'R.M Billets Reports'!F1454</f>
      </c>
      <c r="J1455">
        <f>'R.M Billets Reports'!G1454</f>
      </c>
      <c r="K1455">
        <f>'R.M Billets Reports'!H1454</f>
      </c>
      <c r="L1455">
        <f>IF('R.M Billets Reports'!I1454="","",'R.M Billets Reports'!I1454)</f>
      </c>
      <c r="M1455">
        <f t="shared" si="44"/>
      </c>
      <c r="N1455">
        <f>IF('R.M Billets Reports'!J1454="","",'R.M Billets Reports'!J1454)</f>
      </c>
      <c r="O1455">
        <f t="shared" si="45"/>
      </c>
      <c r="P1455">
        <f>IF('R.M Billets Reports'!A1454="SIZE",'R.M Billets Reports'!B1454,P1454)</f>
      </c>
    </row>
    <row r="1456" spans="1:16" x14ac:dyDescent="0.25">
      <c r="A1456">
        <f>IF(OR('R.M Billets Reports'!A1455="Date-",'R.M Billets Reports'!A1455="Date:-"),IF(IF(IF(ISNUMBER(SEARCH("Party Name:-",'R.M Billets Reports'!D1455)),TRIM('R.M Billets Reports'!F1455),IF(ISNUMBER(SEARCH("Party Name-",'R.M Billets Reports'!D1455)),TRIM(MID('R.M Billets Reports'!D1455,SEARCH("-",'R.M Billets Reports'!D1455)+1,200)),""))&lt;&gt;"",IF(ISNUMBER(SEARCH("Party Name:-",'R.M Billets Reports'!D1455)),TRIM('R.M Billets Reports'!F1455),IF(ISNUMBER(SEARCH("Party Name-",'R.M Billets Reports'!D1455)),TRIM(MID('R.M Billets Reports'!D1455,SEARCH("-",'R.M Billets Reports'!D1455)+1,200)),"")),IF(ISNUMBER(SEARCH("Party Name:-",'R.M Billets Reports'!D1456)),TRIM('R.M Billets Reports'!F1456),IF(ISNUMBER(SEARCH("Party Name-",'R.M Billets Reports'!D1456)),TRIM(MID('R.M Billets Reports'!D1456,SEARCH("-",'R.M Billets Reports'!D1456)+1,200)),"")))="VRKP ISPAT PVT LTD","VRKP",IF(IF(IF(ISNUMBER(SEARCH("Party Name:-",'R.M Billets Reports'!D1455)),TRIM('R.M Billets Reports'!F1455),IF(ISNUMBER(SEARCH("Party Name-",'R.M Billets Reports'!D1455)),TRIM(MID('R.M Billets Reports'!D1455,SEARCH("-",'R.M Billets Reports'!D1455)+1,200)),""))&lt;&gt;"",IF(ISNUMBER(SEARCH("Party Name:-",'R.M Billets Reports'!D1455)),TRIM('R.M Billets Reports'!F1455),IF(ISNUMBER(SEARCH("Party Name-",'R.M Billets Reports'!D1455)),TRIM(MID('R.M Billets Reports'!D1455,SEARCH("-",'R.M Billets Reports'!D1455)+1,200)),"")),IF(ISNUMBER(SEARCH("Party Name:-",'R.M Billets Reports'!D1456)),TRIM('R.M Billets Reports'!F1456),IF(ISNUMBER(SEARCH("Party Name-",'R.M Billets Reports'!D1456)),TRIM(MID('R.M Billets Reports'!D1456,SEARCH("-",'R.M Billets Reports'!D1456)+1,200)),"")))="SHRI RADHE","SHREE RADHE",IF(IF(IF(ISNUMBER(SEARCH("Party Name:-",'R.M Billets Reports'!D1455)),TRIM('R.M Billets Reports'!F1455),IF(ISNUMBER(SEARCH("Party Name-",'R.M Billets Reports'!D1455)),TRIM(MID('R.M Billets Reports'!D1455,SEARCH("-",'R.M Billets Reports'!D1455)+1,200)),""))&lt;&gt;"",IF(ISNUMBER(SEARCH("Party Name:-",'R.M Billets Reports'!D1455)),TRIM('R.M Billets Reports'!F1455),IF(ISNUMBER(SEARCH("Party Name-",'R.M Billets Reports'!D1455)),TRIM(MID('R.M Billets Reports'!D1455,SEARCH("-",'R.M Billets Reports'!D1455)+1,200)),"")),IF(ISNUMBER(SEARCH("Party Name:-",'R.M Billets Reports'!D1456)),TRIM('R.M Billets Reports'!F1456),IF(ISNUMBER(SEARCH("Party Name-",'R.M Billets Reports'!D1456)),TRIM(MID('R.M Billets Reports'!D1456,SEARCH("-",'R.M Billets Reports'!D1456)+1,200)),"")))="SHREE RADHE SHAKTI SPONGE AND POWER PVT. LTD.","SHREE RADHE",IF(IF(ISNUMBER(SEARCH("Party Name:-",'R.M Billets Reports'!D1455)),TRIM('R.M Billets Reports'!F1455),IF(ISNUMBER(SEARCH("Party Name-",'R.M Billets Reports'!D1455)),TRIM(MID('R.M Billets Reports'!D1455,SEARCH("-",'R.M Billets Reports'!D1455)+1,200)),""))&lt;&gt;"",IF(ISNUMBER(SEARCH("Party Name:-",'R.M Billets Reports'!D1455)),TRIM('R.M Billets Reports'!F1455),IF(ISNUMBER(SEARCH("Party Name-",'R.M Billets Reports'!D1455)),TRIM(MID('R.M Billets Reports'!D1455,SEARCH("-",'R.M Billets Reports'!D1455)+1,200)),"")),IF(ISNUMBER(SEARCH("Party Name:-",'R.M Billets Reports'!D1456)),TRIM('R.M Billets Reports'!F1456),IF(ISNUMBER(SEARCH("Party Name-",'R.M Billets Reports'!D1456)),TRIM(MID('R.M Billets Reports'!D1456,SEARCH("-",'R.M Billets Reports'!D1456)+1,200)),"")))))),IF(ROW()=2,"",A1455))</f>
      </c>
      <c r="B1456">
        <f>IF(OR('R.M Billets Reports'!A1455="Date-",'R.M Billets Reports'!A1455="Date:-"),'R.M Billets Reports'!B1455,IF(ROW()=2,"",B1455))</f>
      </c>
      <c r="C1456">
        <f>IF('R.M Billets Reports'!A1455="V.No.",'R.M Billets Reports'!B1455,IF(ROW()=2,"",C1455))</f>
      </c>
      <c r="D1456">
        <f>IF('R.M Billets Reports'!A1455&lt;&gt;"",'R.M Billets Reports'!A1455,IF(ROW()=2,"",D1455))</f>
      </c>
      <c r="E1456">
        <f>IF('R.M Billets Reports'!B1455="","",TRIM('R.M Billets Reports'!B1455))</f>
      </c>
      <c r="F1456">
        <f>'R.M Billets Reports'!C1455</f>
      </c>
      <c r="G1456">
        <f>'R.M Billets Reports'!D1455</f>
      </c>
      <c r="H1456">
        <f>'R.M Billets Reports'!E1455</f>
      </c>
      <c r="I1456">
        <f>'R.M Billets Reports'!F1455</f>
      </c>
      <c r="J1456">
        <f>'R.M Billets Reports'!G1455</f>
      </c>
      <c r="K1456">
        <f>'R.M Billets Reports'!H1455</f>
      </c>
      <c r="L1456">
        <f>IF('R.M Billets Reports'!I1455="","",'R.M Billets Reports'!I1455)</f>
      </c>
      <c r="M1456">
        <f t="shared" si="44"/>
      </c>
      <c r="N1456">
        <f>IF('R.M Billets Reports'!J1455="","",'R.M Billets Reports'!J1455)</f>
      </c>
      <c r="O1456">
        <f t="shared" si="45"/>
      </c>
      <c r="P1456">
        <f>IF('R.M Billets Reports'!A1455="SIZE",'R.M Billets Reports'!B1455,P1455)</f>
      </c>
    </row>
    <row r="1457" spans="1:16" x14ac:dyDescent="0.25">
      <c r="A1457">
        <f>IF(OR('R.M Billets Reports'!A1456="Date-",'R.M Billets Reports'!A1456="Date:-"),IF(IF(IF(ISNUMBER(SEARCH("Party Name:-",'R.M Billets Reports'!D1456)),TRIM('R.M Billets Reports'!F1456),IF(ISNUMBER(SEARCH("Party Name-",'R.M Billets Reports'!D1456)),TRIM(MID('R.M Billets Reports'!D1456,SEARCH("-",'R.M Billets Reports'!D1456)+1,200)),""))&lt;&gt;"",IF(ISNUMBER(SEARCH("Party Name:-",'R.M Billets Reports'!D1456)),TRIM('R.M Billets Reports'!F1456),IF(ISNUMBER(SEARCH("Party Name-",'R.M Billets Reports'!D1456)),TRIM(MID('R.M Billets Reports'!D1456,SEARCH("-",'R.M Billets Reports'!D1456)+1,200)),"")),IF(ISNUMBER(SEARCH("Party Name:-",'R.M Billets Reports'!D1457)),TRIM('R.M Billets Reports'!F1457),IF(ISNUMBER(SEARCH("Party Name-",'R.M Billets Reports'!D1457)),TRIM(MID('R.M Billets Reports'!D1457,SEARCH("-",'R.M Billets Reports'!D1457)+1,200)),"")))="VRKP ISPAT PVT LTD","VRKP",IF(IF(IF(ISNUMBER(SEARCH("Party Name:-",'R.M Billets Reports'!D1456)),TRIM('R.M Billets Reports'!F1456),IF(ISNUMBER(SEARCH("Party Name-",'R.M Billets Reports'!D1456)),TRIM(MID('R.M Billets Reports'!D1456,SEARCH("-",'R.M Billets Reports'!D1456)+1,200)),""))&lt;&gt;"",IF(ISNUMBER(SEARCH("Party Name:-",'R.M Billets Reports'!D1456)),TRIM('R.M Billets Reports'!F1456),IF(ISNUMBER(SEARCH("Party Name-",'R.M Billets Reports'!D1456)),TRIM(MID('R.M Billets Reports'!D1456,SEARCH("-",'R.M Billets Reports'!D1456)+1,200)),"")),IF(ISNUMBER(SEARCH("Party Name:-",'R.M Billets Reports'!D1457)),TRIM('R.M Billets Reports'!F1457),IF(ISNUMBER(SEARCH("Party Name-",'R.M Billets Reports'!D1457)),TRIM(MID('R.M Billets Reports'!D1457,SEARCH("-",'R.M Billets Reports'!D1457)+1,200)),"")))="SHRI RADHE","SHREE RADHE",IF(IF(IF(ISNUMBER(SEARCH("Party Name:-",'R.M Billets Reports'!D1456)),TRIM('R.M Billets Reports'!F1456),IF(ISNUMBER(SEARCH("Party Name-",'R.M Billets Reports'!D1456)),TRIM(MID('R.M Billets Reports'!D1456,SEARCH("-",'R.M Billets Reports'!D1456)+1,200)),""))&lt;&gt;"",IF(ISNUMBER(SEARCH("Party Name:-",'R.M Billets Reports'!D1456)),TRIM('R.M Billets Reports'!F1456),IF(ISNUMBER(SEARCH("Party Name-",'R.M Billets Reports'!D1456)),TRIM(MID('R.M Billets Reports'!D1456,SEARCH("-",'R.M Billets Reports'!D1456)+1,200)),"")),IF(ISNUMBER(SEARCH("Party Name:-",'R.M Billets Reports'!D1457)),TRIM('R.M Billets Reports'!F1457),IF(ISNUMBER(SEARCH("Party Name-",'R.M Billets Reports'!D1457)),TRIM(MID('R.M Billets Reports'!D1457,SEARCH("-",'R.M Billets Reports'!D1457)+1,200)),"")))="SHREE RADHE SHAKTI SPONGE AND POWER PVT. LTD.","SHREE RADHE",IF(IF(ISNUMBER(SEARCH("Party Name:-",'R.M Billets Reports'!D1456)),TRIM('R.M Billets Reports'!F1456),IF(ISNUMBER(SEARCH("Party Name-",'R.M Billets Reports'!D1456)),TRIM(MID('R.M Billets Reports'!D1456,SEARCH("-",'R.M Billets Reports'!D1456)+1,200)),""))&lt;&gt;"",IF(ISNUMBER(SEARCH("Party Name:-",'R.M Billets Reports'!D1456)),TRIM('R.M Billets Reports'!F1456),IF(ISNUMBER(SEARCH("Party Name-",'R.M Billets Reports'!D1456)),TRIM(MID('R.M Billets Reports'!D1456,SEARCH("-",'R.M Billets Reports'!D1456)+1,200)),"")),IF(ISNUMBER(SEARCH("Party Name:-",'R.M Billets Reports'!D1457)),TRIM('R.M Billets Reports'!F1457),IF(ISNUMBER(SEARCH("Party Name-",'R.M Billets Reports'!D1457)),TRIM(MID('R.M Billets Reports'!D1457,SEARCH("-",'R.M Billets Reports'!D1457)+1,200)),"")))))),IF(ROW()=2,"",A1456))</f>
      </c>
      <c r="B1457">
        <f>IF(OR('R.M Billets Reports'!A1456="Date-",'R.M Billets Reports'!A1456="Date:-"),'R.M Billets Reports'!B1456,IF(ROW()=2,"",B1456))</f>
      </c>
      <c r="C1457">
        <f>IF('R.M Billets Reports'!A1456="V.No.",'R.M Billets Reports'!B1456,IF(ROW()=2,"",C1456))</f>
      </c>
      <c r="D1457">
        <f>IF('R.M Billets Reports'!A1456&lt;&gt;"",'R.M Billets Reports'!A1456,IF(ROW()=2,"",D1456))</f>
      </c>
      <c r="E1457">
        <f>IF('R.M Billets Reports'!B1456="","",TRIM('R.M Billets Reports'!B1456))</f>
      </c>
      <c r="F1457">
        <f>'R.M Billets Reports'!C1456</f>
      </c>
      <c r="G1457">
        <f>'R.M Billets Reports'!D1456</f>
      </c>
      <c r="H1457">
        <f>'R.M Billets Reports'!E1456</f>
      </c>
      <c r="I1457">
        <f>'R.M Billets Reports'!F1456</f>
      </c>
      <c r="J1457">
        <f>'R.M Billets Reports'!G1456</f>
      </c>
      <c r="K1457">
        <f>'R.M Billets Reports'!H1456</f>
      </c>
      <c r="L1457">
        <f>IF('R.M Billets Reports'!I1456="","",'R.M Billets Reports'!I1456)</f>
      </c>
      <c r="M1457">
        <f t="shared" si="44"/>
      </c>
      <c r="N1457">
        <f>IF('R.M Billets Reports'!J1456="","",'R.M Billets Reports'!J1456)</f>
      </c>
      <c r="O1457">
        <f t="shared" si="45"/>
      </c>
      <c r="P1457">
        <f>IF('R.M Billets Reports'!A1456="SIZE",'R.M Billets Reports'!B1456,P1456)</f>
      </c>
    </row>
    <row r="1458" spans="1:16" x14ac:dyDescent="0.25">
      <c r="A1458">
        <f>IF(OR('R.M Billets Reports'!A1457="Date-",'R.M Billets Reports'!A1457="Date:-"),IF(IF(IF(ISNUMBER(SEARCH("Party Name:-",'R.M Billets Reports'!D1457)),TRIM('R.M Billets Reports'!F1457),IF(ISNUMBER(SEARCH("Party Name-",'R.M Billets Reports'!D1457)),TRIM(MID('R.M Billets Reports'!D1457,SEARCH("-",'R.M Billets Reports'!D1457)+1,200)),""))&lt;&gt;"",IF(ISNUMBER(SEARCH("Party Name:-",'R.M Billets Reports'!D1457)),TRIM('R.M Billets Reports'!F1457),IF(ISNUMBER(SEARCH("Party Name-",'R.M Billets Reports'!D1457)),TRIM(MID('R.M Billets Reports'!D1457,SEARCH("-",'R.M Billets Reports'!D1457)+1,200)),"")),IF(ISNUMBER(SEARCH("Party Name:-",'R.M Billets Reports'!D1458)),TRIM('R.M Billets Reports'!F1458),IF(ISNUMBER(SEARCH("Party Name-",'R.M Billets Reports'!D1458)),TRIM(MID('R.M Billets Reports'!D1458,SEARCH("-",'R.M Billets Reports'!D1458)+1,200)),"")))="VRKP ISPAT PVT LTD","VRKP",IF(IF(IF(ISNUMBER(SEARCH("Party Name:-",'R.M Billets Reports'!D1457)),TRIM('R.M Billets Reports'!F1457),IF(ISNUMBER(SEARCH("Party Name-",'R.M Billets Reports'!D1457)),TRIM(MID('R.M Billets Reports'!D1457,SEARCH("-",'R.M Billets Reports'!D1457)+1,200)),""))&lt;&gt;"",IF(ISNUMBER(SEARCH("Party Name:-",'R.M Billets Reports'!D1457)),TRIM('R.M Billets Reports'!F1457),IF(ISNUMBER(SEARCH("Party Name-",'R.M Billets Reports'!D1457)),TRIM(MID('R.M Billets Reports'!D1457,SEARCH("-",'R.M Billets Reports'!D1457)+1,200)),"")),IF(ISNUMBER(SEARCH("Party Name:-",'R.M Billets Reports'!D1458)),TRIM('R.M Billets Reports'!F1458),IF(ISNUMBER(SEARCH("Party Name-",'R.M Billets Reports'!D1458)),TRIM(MID('R.M Billets Reports'!D1458,SEARCH("-",'R.M Billets Reports'!D1458)+1,200)),"")))="SHRI RADHE","SHREE RADHE",IF(IF(IF(ISNUMBER(SEARCH("Party Name:-",'R.M Billets Reports'!D1457)),TRIM('R.M Billets Reports'!F1457),IF(ISNUMBER(SEARCH("Party Name-",'R.M Billets Reports'!D1457)),TRIM(MID('R.M Billets Reports'!D1457,SEARCH("-",'R.M Billets Reports'!D1457)+1,200)),""))&lt;&gt;"",IF(ISNUMBER(SEARCH("Party Name:-",'R.M Billets Reports'!D1457)),TRIM('R.M Billets Reports'!F1457),IF(ISNUMBER(SEARCH("Party Name-",'R.M Billets Reports'!D1457)),TRIM(MID('R.M Billets Reports'!D1457,SEARCH("-",'R.M Billets Reports'!D1457)+1,200)),"")),IF(ISNUMBER(SEARCH("Party Name:-",'R.M Billets Reports'!D1458)),TRIM('R.M Billets Reports'!F1458),IF(ISNUMBER(SEARCH("Party Name-",'R.M Billets Reports'!D1458)),TRIM(MID('R.M Billets Reports'!D1458,SEARCH("-",'R.M Billets Reports'!D1458)+1,200)),"")))="SHREE RADHE SHAKTI SPONGE AND POWER PVT. LTD.","SHREE RADHE",IF(IF(ISNUMBER(SEARCH("Party Name:-",'R.M Billets Reports'!D1457)),TRIM('R.M Billets Reports'!F1457),IF(ISNUMBER(SEARCH("Party Name-",'R.M Billets Reports'!D1457)),TRIM(MID('R.M Billets Reports'!D1457,SEARCH("-",'R.M Billets Reports'!D1457)+1,200)),""))&lt;&gt;"",IF(ISNUMBER(SEARCH("Party Name:-",'R.M Billets Reports'!D1457)),TRIM('R.M Billets Reports'!F1457),IF(ISNUMBER(SEARCH("Party Name-",'R.M Billets Reports'!D1457)),TRIM(MID('R.M Billets Reports'!D1457,SEARCH("-",'R.M Billets Reports'!D1457)+1,200)),"")),IF(ISNUMBER(SEARCH("Party Name:-",'R.M Billets Reports'!D1458)),TRIM('R.M Billets Reports'!F1458),IF(ISNUMBER(SEARCH("Party Name-",'R.M Billets Reports'!D1458)),TRIM(MID('R.M Billets Reports'!D1458,SEARCH("-",'R.M Billets Reports'!D1458)+1,200)),"")))))),IF(ROW()=2,"",A1457))</f>
      </c>
      <c r="B1458">
        <f>IF(OR('R.M Billets Reports'!A1457="Date-",'R.M Billets Reports'!A1457="Date:-"),'R.M Billets Reports'!B1457,IF(ROW()=2,"",B1457))</f>
      </c>
      <c r="C1458">
        <f>IF('R.M Billets Reports'!A1457="V.No.",'R.M Billets Reports'!B1457,IF(ROW()=2,"",C1457))</f>
      </c>
      <c r="D1458">
        <f>IF('R.M Billets Reports'!A1457&lt;&gt;"",'R.M Billets Reports'!A1457,IF(ROW()=2,"",D1457))</f>
      </c>
      <c r="E1458">
        <f>IF('R.M Billets Reports'!B1457="","",TRIM('R.M Billets Reports'!B1457))</f>
      </c>
      <c r="F1458">
        <f>'R.M Billets Reports'!C1457</f>
      </c>
      <c r="G1458">
        <f>'R.M Billets Reports'!D1457</f>
      </c>
      <c r="H1458">
        <f>'R.M Billets Reports'!E1457</f>
      </c>
      <c r="I1458">
        <f>'R.M Billets Reports'!F1457</f>
      </c>
      <c r="J1458">
        <f>'R.M Billets Reports'!G1457</f>
      </c>
      <c r="K1458">
        <f>'R.M Billets Reports'!H1457</f>
      </c>
      <c r="L1458">
        <f>IF('R.M Billets Reports'!I1457="","",'R.M Billets Reports'!I1457)</f>
      </c>
      <c r="M1458">
        <f t="shared" si="44"/>
      </c>
      <c r="N1458">
        <f>IF('R.M Billets Reports'!J1457="","",'R.M Billets Reports'!J1457)</f>
      </c>
      <c r="O1458">
        <f t="shared" si="45"/>
      </c>
      <c r="P1458">
        <f>IF('R.M Billets Reports'!A1457="SIZE",'R.M Billets Reports'!B1457,P1457)</f>
      </c>
    </row>
    <row r="1459" spans="1:16" x14ac:dyDescent="0.25">
      <c r="A1459">
        <f>IF(OR('R.M Billets Reports'!A1458="Date-",'R.M Billets Reports'!A1458="Date:-"),IF(IF(IF(ISNUMBER(SEARCH("Party Name:-",'R.M Billets Reports'!D1458)),TRIM('R.M Billets Reports'!F1458),IF(ISNUMBER(SEARCH("Party Name-",'R.M Billets Reports'!D1458)),TRIM(MID('R.M Billets Reports'!D1458,SEARCH("-",'R.M Billets Reports'!D1458)+1,200)),""))&lt;&gt;"",IF(ISNUMBER(SEARCH("Party Name:-",'R.M Billets Reports'!D1458)),TRIM('R.M Billets Reports'!F1458),IF(ISNUMBER(SEARCH("Party Name-",'R.M Billets Reports'!D1458)),TRIM(MID('R.M Billets Reports'!D1458,SEARCH("-",'R.M Billets Reports'!D1458)+1,200)),"")),IF(ISNUMBER(SEARCH("Party Name:-",'R.M Billets Reports'!D1459)),TRIM('R.M Billets Reports'!F1459),IF(ISNUMBER(SEARCH("Party Name-",'R.M Billets Reports'!D1459)),TRIM(MID('R.M Billets Reports'!D1459,SEARCH("-",'R.M Billets Reports'!D1459)+1,200)),"")))="VRKP ISPAT PVT LTD","VRKP",IF(IF(IF(ISNUMBER(SEARCH("Party Name:-",'R.M Billets Reports'!D1458)),TRIM('R.M Billets Reports'!F1458),IF(ISNUMBER(SEARCH("Party Name-",'R.M Billets Reports'!D1458)),TRIM(MID('R.M Billets Reports'!D1458,SEARCH("-",'R.M Billets Reports'!D1458)+1,200)),""))&lt;&gt;"",IF(ISNUMBER(SEARCH("Party Name:-",'R.M Billets Reports'!D1458)),TRIM('R.M Billets Reports'!F1458),IF(ISNUMBER(SEARCH("Party Name-",'R.M Billets Reports'!D1458)),TRIM(MID('R.M Billets Reports'!D1458,SEARCH("-",'R.M Billets Reports'!D1458)+1,200)),"")),IF(ISNUMBER(SEARCH("Party Name:-",'R.M Billets Reports'!D1459)),TRIM('R.M Billets Reports'!F1459),IF(ISNUMBER(SEARCH("Party Name-",'R.M Billets Reports'!D1459)),TRIM(MID('R.M Billets Reports'!D1459,SEARCH("-",'R.M Billets Reports'!D1459)+1,200)),"")))="SHRI RADHE","SHREE RADHE",IF(IF(IF(ISNUMBER(SEARCH("Party Name:-",'R.M Billets Reports'!D1458)),TRIM('R.M Billets Reports'!F1458),IF(ISNUMBER(SEARCH("Party Name-",'R.M Billets Reports'!D1458)),TRIM(MID('R.M Billets Reports'!D1458,SEARCH("-",'R.M Billets Reports'!D1458)+1,200)),""))&lt;&gt;"",IF(ISNUMBER(SEARCH("Party Name:-",'R.M Billets Reports'!D1458)),TRIM('R.M Billets Reports'!F1458),IF(ISNUMBER(SEARCH("Party Name-",'R.M Billets Reports'!D1458)),TRIM(MID('R.M Billets Reports'!D1458,SEARCH("-",'R.M Billets Reports'!D1458)+1,200)),"")),IF(ISNUMBER(SEARCH("Party Name:-",'R.M Billets Reports'!D1459)),TRIM('R.M Billets Reports'!F1459),IF(ISNUMBER(SEARCH("Party Name-",'R.M Billets Reports'!D1459)),TRIM(MID('R.M Billets Reports'!D1459,SEARCH("-",'R.M Billets Reports'!D1459)+1,200)),"")))="SHREE RADHE SHAKTI SPONGE AND POWER PVT. LTD.","SHREE RADHE",IF(IF(ISNUMBER(SEARCH("Party Name:-",'R.M Billets Reports'!D1458)),TRIM('R.M Billets Reports'!F1458),IF(ISNUMBER(SEARCH("Party Name-",'R.M Billets Reports'!D1458)),TRIM(MID('R.M Billets Reports'!D1458,SEARCH("-",'R.M Billets Reports'!D1458)+1,200)),""))&lt;&gt;"",IF(ISNUMBER(SEARCH("Party Name:-",'R.M Billets Reports'!D1458)),TRIM('R.M Billets Reports'!F1458),IF(ISNUMBER(SEARCH("Party Name-",'R.M Billets Reports'!D1458)),TRIM(MID('R.M Billets Reports'!D1458,SEARCH("-",'R.M Billets Reports'!D1458)+1,200)),"")),IF(ISNUMBER(SEARCH("Party Name:-",'R.M Billets Reports'!D1459)),TRIM('R.M Billets Reports'!F1459),IF(ISNUMBER(SEARCH("Party Name-",'R.M Billets Reports'!D1459)),TRIM(MID('R.M Billets Reports'!D1459,SEARCH("-",'R.M Billets Reports'!D1459)+1,200)),"")))))),IF(ROW()=2,"",A1458))</f>
      </c>
      <c r="B1459">
        <f>IF(OR('R.M Billets Reports'!A1458="Date-",'R.M Billets Reports'!A1458="Date:-"),'R.M Billets Reports'!B1458,IF(ROW()=2,"",B1458))</f>
      </c>
      <c r="C1459">
        <f>IF('R.M Billets Reports'!A1458="V.No.",'R.M Billets Reports'!B1458,IF(ROW()=2,"",C1458))</f>
      </c>
      <c r="D1459">
        <f>IF('R.M Billets Reports'!A1458&lt;&gt;"",'R.M Billets Reports'!A1458,IF(ROW()=2,"",D1458))</f>
      </c>
      <c r="E1459">
        <f>IF('R.M Billets Reports'!B1458="","",TRIM('R.M Billets Reports'!B1458))</f>
      </c>
      <c r="F1459">
        <f>'R.M Billets Reports'!C1458</f>
      </c>
      <c r="G1459">
        <f>'R.M Billets Reports'!D1458</f>
      </c>
      <c r="H1459">
        <f>'R.M Billets Reports'!E1458</f>
      </c>
      <c r="I1459">
        <f>'R.M Billets Reports'!F1458</f>
      </c>
      <c r="J1459">
        <f>'R.M Billets Reports'!G1458</f>
      </c>
      <c r="K1459">
        <f>'R.M Billets Reports'!H1458</f>
      </c>
      <c r="L1459">
        <f>IF('R.M Billets Reports'!I1458="","",'R.M Billets Reports'!I1458)</f>
      </c>
      <c r="M1459">
        <f t="shared" si="44"/>
      </c>
      <c r="N1459">
        <f>IF('R.M Billets Reports'!J1458="","",'R.M Billets Reports'!J1458)</f>
      </c>
      <c r="O1459">
        <f t="shared" si="45"/>
      </c>
      <c r="P1459">
        <f>IF('R.M Billets Reports'!A1458="SIZE",'R.M Billets Reports'!B1458,P1458)</f>
      </c>
    </row>
    <row r="1460" spans="1:16" x14ac:dyDescent="0.25">
      <c r="A1460">
        <f>IF(OR('R.M Billets Reports'!A1459="Date-",'R.M Billets Reports'!A1459="Date:-"),IF(IF(IF(ISNUMBER(SEARCH("Party Name:-",'R.M Billets Reports'!D1459)),TRIM('R.M Billets Reports'!F1459),IF(ISNUMBER(SEARCH("Party Name-",'R.M Billets Reports'!D1459)),TRIM(MID('R.M Billets Reports'!D1459,SEARCH("-",'R.M Billets Reports'!D1459)+1,200)),""))&lt;&gt;"",IF(ISNUMBER(SEARCH("Party Name:-",'R.M Billets Reports'!D1459)),TRIM('R.M Billets Reports'!F1459),IF(ISNUMBER(SEARCH("Party Name-",'R.M Billets Reports'!D1459)),TRIM(MID('R.M Billets Reports'!D1459,SEARCH("-",'R.M Billets Reports'!D1459)+1,200)),"")),IF(ISNUMBER(SEARCH("Party Name:-",'R.M Billets Reports'!D1460)),TRIM('R.M Billets Reports'!F1460),IF(ISNUMBER(SEARCH("Party Name-",'R.M Billets Reports'!D1460)),TRIM(MID('R.M Billets Reports'!D1460,SEARCH("-",'R.M Billets Reports'!D1460)+1,200)),"")))="VRKP ISPAT PVT LTD","VRKP",IF(IF(IF(ISNUMBER(SEARCH("Party Name:-",'R.M Billets Reports'!D1459)),TRIM('R.M Billets Reports'!F1459),IF(ISNUMBER(SEARCH("Party Name-",'R.M Billets Reports'!D1459)),TRIM(MID('R.M Billets Reports'!D1459,SEARCH("-",'R.M Billets Reports'!D1459)+1,200)),""))&lt;&gt;"",IF(ISNUMBER(SEARCH("Party Name:-",'R.M Billets Reports'!D1459)),TRIM('R.M Billets Reports'!F1459),IF(ISNUMBER(SEARCH("Party Name-",'R.M Billets Reports'!D1459)),TRIM(MID('R.M Billets Reports'!D1459,SEARCH("-",'R.M Billets Reports'!D1459)+1,200)),"")),IF(ISNUMBER(SEARCH("Party Name:-",'R.M Billets Reports'!D1460)),TRIM('R.M Billets Reports'!F1460),IF(ISNUMBER(SEARCH("Party Name-",'R.M Billets Reports'!D1460)),TRIM(MID('R.M Billets Reports'!D1460,SEARCH("-",'R.M Billets Reports'!D1460)+1,200)),"")))="SHRI RADHE","SHREE RADHE",IF(IF(IF(ISNUMBER(SEARCH("Party Name:-",'R.M Billets Reports'!D1459)),TRIM('R.M Billets Reports'!F1459),IF(ISNUMBER(SEARCH("Party Name-",'R.M Billets Reports'!D1459)),TRIM(MID('R.M Billets Reports'!D1459,SEARCH("-",'R.M Billets Reports'!D1459)+1,200)),""))&lt;&gt;"",IF(ISNUMBER(SEARCH("Party Name:-",'R.M Billets Reports'!D1459)),TRIM('R.M Billets Reports'!F1459),IF(ISNUMBER(SEARCH("Party Name-",'R.M Billets Reports'!D1459)),TRIM(MID('R.M Billets Reports'!D1459,SEARCH("-",'R.M Billets Reports'!D1459)+1,200)),"")),IF(ISNUMBER(SEARCH("Party Name:-",'R.M Billets Reports'!D1460)),TRIM('R.M Billets Reports'!F1460),IF(ISNUMBER(SEARCH("Party Name-",'R.M Billets Reports'!D1460)),TRIM(MID('R.M Billets Reports'!D1460,SEARCH("-",'R.M Billets Reports'!D1460)+1,200)),"")))="SHREE RADHE SHAKTI SPONGE AND POWER PVT. LTD.","SHREE RADHE",IF(IF(ISNUMBER(SEARCH("Party Name:-",'R.M Billets Reports'!D1459)),TRIM('R.M Billets Reports'!F1459),IF(ISNUMBER(SEARCH("Party Name-",'R.M Billets Reports'!D1459)),TRIM(MID('R.M Billets Reports'!D1459,SEARCH("-",'R.M Billets Reports'!D1459)+1,200)),""))&lt;&gt;"",IF(ISNUMBER(SEARCH("Party Name:-",'R.M Billets Reports'!D1459)),TRIM('R.M Billets Reports'!F1459),IF(ISNUMBER(SEARCH("Party Name-",'R.M Billets Reports'!D1459)),TRIM(MID('R.M Billets Reports'!D1459,SEARCH("-",'R.M Billets Reports'!D1459)+1,200)),"")),IF(ISNUMBER(SEARCH("Party Name:-",'R.M Billets Reports'!D1460)),TRIM('R.M Billets Reports'!F1460),IF(ISNUMBER(SEARCH("Party Name-",'R.M Billets Reports'!D1460)),TRIM(MID('R.M Billets Reports'!D1460,SEARCH("-",'R.M Billets Reports'!D1460)+1,200)),"")))))),IF(ROW()=2,"",A1459))</f>
      </c>
      <c r="B1460">
        <f>IF(OR('R.M Billets Reports'!A1459="Date-",'R.M Billets Reports'!A1459="Date:-"),'R.M Billets Reports'!B1459,IF(ROW()=2,"",B1459))</f>
      </c>
      <c r="C1460">
        <f>IF('R.M Billets Reports'!A1459="V.No.",'R.M Billets Reports'!B1459,IF(ROW()=2,"",C1459))</f>
      </c>
      <c r="D1460">
        <f>IF('R.M Billets Reports'!A1459&lt;&gt;"",'R.M Billets Reports'!A1459,IF(ROW()=2,"",D1459))</f>
      </c>
      <c r="E1460">
        <f>IF('R.M Billets Reports'!B1459="","",TRIM('R.M Billets Reports'!B1459))</f>
      </c>
      <c r="F1460">
        <f>'R.M Billets Reports'!C1459</f>
      </c>
      <c r="G1460">
        <f>'R.M Billets Reports'!D1459</f>
      </c>
      <c r="H1460">
        <f>'R.M Billets Reports'!E1459</f>
      </c>
      <c r="I1460">
        <f>'R.M Billets Reports'!F1459</f>
      </c>
      <c r="J1460">
        <f>'R.M Billets Reports'!G1459</f>
      </c>
      <c r="K1460">
        <f>'R.M Billets Reports'!H1459</f>
      </c>
      <c r="L1460">
        <f>IF('R.M Billets Reports'!I1459="","",'R.M Billets Reports'!I1459)</f>
      </c>
      <c r="M1460">
        <f t="shared" si="44"/>
      </c>
      <c r="N1460">
        <f>IF('R.M Billets Reports'!J1459="","",'R.M Billets Reports'!J1459)</f>
      </c>
      <c r="O1460">
        <f t="shared" si="45"/>
      </c>
      <c r="P1460">
        <f>IF('R.M Billets Reports'!A1459="SIZE",'R.M Billets Reports'!B1459,P1459)</f>
      </c>
    </row>
    <row r="1461" spans="1:16" x14ac:dyDescent="0.25">
      <c r="A1461">
        <f>IF(OR('R.M Billets Reports'!A1460="Date-",'R.M Billets Reports'!A1460="Date:-"),IF(IF(IF(ISNUMBER(SEARCH("Party Name:-",'R.M Billets Reports'!D1460)),TRIM('R.M Billets Reports'!F1460),IF(ISNUMBER(SEARCH("Party Name-",'R.M Billets Reports'!D1460)),TRIM(MID('R.M Billets Reports'!D1460,SEARCH("-",'R.M Billets Reports'!D1460)+1,200)),""))&lt;&gt;"",IF(ISNUMBER(SEARCH("Party Name:-",'R.M Billets Reports'!D1460)),TRIM('R.M Billets Reports'!F1460),IF(ISNUMBER(SEARCH("Party Name-",'R.M Billets Reports'!D1460)),TRIM(MID('R.M Billets Reports'!D1460,SEARCH("-",'R.M Billets Reports'!D1460)+1,200)),"")),IF(ISNUMBER(SEARCH("Party Name:-",'R.M Billets Reports'!D1461)),TRIM('R.M Billets Reports'!F1461),IF(ISNUMBER(SEARCH("Party Name-",'R.M Billets Reports'!D1461)),TRIM(MID('R.M Billets Reports'!D1461,SEARCH("-",'R.M Billets Reports'!D1461)+1,200)),"")))="VRKP ISPAT PVT LTD","VRKP",IF(IF(IF(ISNUMBER(SEARCH("Party Name:-",'R.M Billets Reports'!D1460)),TRIM('R.M Billets Reports'!F1460),IF(ISNUMBER(SEARCH("Party Name-",'R.M Billets Reports'!D1460)),TRIM(MID('R.M Billets Reports'!D1460,SEARCH("-",'R.M Billets Reports'!D1460)+1,200)),""))&lt;&gt;"",IF(ISNUMBER(SEARCH("Party Name:-",'R.M Billets Reports'!D1460)),TRIM('R.M Billets Reports'!F1460),IF(ISNUMBER(SEARCH("Party Name-",'R.M Billets Reports'!D1460)),TRIM(MID('R.M Billets Reports'!D1460,SEARCH("-",'R.M Billets Reports'!D1460)+1,200)),"")),IF(ISNUMBER(SEARCH("Party Name:-",'R.M Billets Reports'!D1461)),TRIM('R.M Billets Reports'!F1461),IF(ISNUMBER(SEARCH("Party Name-",'R.M Billets Reports'!D1461)),TRIM(MID('R.M Billets Reports'!D1461,SEARCH("-",'R.M Billets Reports'!D1461)+1,200)),"")))="SHRI RADHE","SHREE RADHE",IF(IF(IF(ISNUMBER(SEARCH("Party Name:-",'R.M Billets Reports'!D1460)),TRIM('R.M Billets Reports'!F1460),IF(ISNUMBER(SEARCH("Party Name-",'R.M Billets Reports'!D1460)),TRIM(MID('R.M Billets Reports'!D1460,SEARCH("-",'R.M Billets Reports'!D1460)+1,200)),""))&lt;&gt;"",IF(ISNUMBER(SEARCH("Party Name:-",'R.M Billets Reports'!D1460)),TRIM('R.M Billets Reports'!F1460),IF(ISNUMBER(SEARCH("Party Name-",'R.M Billets Reports'!D1460)),TRIM(MID('R.M Billets Reports'!D1460,SEARCH("-",'R.M Billets Reports'!D1460)+1,200)),"")),IF(ISNUMBER(SEARCH("Party Name:-",'R.M Billets Reports'!D1461)),TRIM('R.M Billets Reports'!F1461),IF(ISNUMBER(SEARCH("Party Name-",'R.M Billets Reports'!D1461)),TRIM(MID('R.M Billets Reports'!D1461,SEARCH("-",'R.M Billets Reports'!D1461)+1,200)),"")))="SHREE RADHE SHAKTI SPONGE AND POWER PVT. LTD.","SHREE RADHE",IF(IF(ISNUMBER(SEARCH("Party Name:-",'R.M Billets Reports'!D1460)),TRIM('R.M Billets Reports'!F1460),IF(ISNUMBER(SEARCH("Party Name-",'R.M Billets Reports'!D1460)),TRIM(MID('R.M Billets Reports'!D1460,SEARCH("-",'R.M Billets Reports'!D1460)+1,200)),""))&lt;&gt;"",IF(ISNUMBER(SEARCH("Party Name:-",'R.M Billets Reports'!D1460)),TRIM('R.M Billets Reports'!F1460),IF(ISNUMBER(SEARCH("Party Name-",'R.M Billets Reports'!D1460)),TRIM(MID('R.M Billets Reports'!D1460,SEARCH("-",'R.M Billets Reports'!D1460)+1,200)),"")),IF(ISNUMBER(SEARCH("Party Name:-",'R.M Billets Reports'!D1461)),TRIM('R.M Billets Reports'!F1461),IF(ISNUMBER(SEARCH("Party Name-",'R.M Billets Reports'!D1461)),TRIM(MID('R.M Billets Reports'!D1461,SEARCH("-",'R.M Billets Reports'!D1461)+1,200)),"")))))),IF(ROW()=2,"",A1460))</f>
      </c>
      <c r="B1461">
        <f>IF(OR('R.M Billets Reports'!A1460="Date-",'R.M Billets Reports'!A1460="Date:-"),'R.M Billets Reports'!B1460,IF(ROW()=2,"",B1460))</f>
      </c>
      <c r="C1461">
        <f>IF('R.M Billets Reports'!A1460="V.No.",'R.M Billets Reports'!B1460,IF(ROW()=2,"",C1460))</f>
      </c>
      <c r="D1461">
        <f>IF('R.M Billets Reports'!A1460&lt;&gt;"",'R.M Billets Reports'!A1460,IF(ROW()=2,"",D1460))</f>
      </c>
      <c r="E1461">
        <f>IF('R.M Billets Reports'!B1460="","",TRIM('R.M Billets Reports'!B1460))</f>
      </c>
      <c r="F1461">
        <f>'R.M Billets Reports'!C1460</f>
      </c>
      <c r="G1461">
        <f>'R.M Billets Reports'!D1460</f>
      </c>
      <c r="H1461">
        <f>'R.M Billets Reports'!E1460</f>
      </c>
      <c r="I1461">
        <f>'R.M Billets Reports'!F1460</f>
      </c>
      <c r="J1461">
        <f>'R.M Billets Reports'!G1460</f>
      </c>
      <c r="K1461">
        <f>'R.M Billets Reports'!H1460</f>
      </c>
      <c r="L1461">
        <f>IF('R.M Billets Reports'!I1460="","",'R.M Billets Reports'!I1460)</f>
      </c>
      <c r="M1461">
        <f t="shared" si="44"/>
      </c>
      <c r="N1461">
        <f>IF('R.M Billets Reports'!J1460="","",'R.M Billets Reports'!J1460)</f>
      </c>
      <c r="O1461">
        <f t="shared" si="45"/>
      </c>
      <c r="P1461">
        <f>IF('R.M Billets Reports'!A1460="SIZE",'R.M Billets Reports'!B1460,P1460)</f>
      </c>
    </row>
    <row r="1462" spans="1:16" x14ac:dyDescent="0.25">
      <c r="A1462">
        <f>IF(OR('R.M Billets Reports'!A1461="Date-",'R.M Billets Reports'!A1461="Date:-"),IF(IF(IF(ISNUMBER(SEARCH("Party Name:-",'R.M Billets Reports'!D1461)),TRIM('R.M Billets Reports'!F1461),IF(ISNUMBER(SEARCH("Party Name-",'R.M Billets Reports'!D1461)),TRIM(MID('R.M Billets Reports'!D1461,SEARCH("-",'R.M Billets Reports'!D1461)+1,200)),""))&lt;&gt;"",IF(ISNUMBER(SEARCH("Party Name:-",'R.M Billets Reports'!D1461)),TRIM('R.M Billets Reports'!F1461),IF(ISNUMBER(SEARCH("Party Name-",'R.M Billets Reports'!D1461)),TRIM(MID('R.M Billets Reports'!D1461,SEARCH("-",'R.M Billets Reports'!D1461)+1,200)),"")),IF(ISNUMBER(SEARCH("Party Name:-",'R.M Billets Reports'!D1462)),TRIM('R.M Billets Reports'!F1462),IF(ISNUMBER(SEARCH("Party Name-",'R.M Billets Reports'!D1462)),TRIM(MID('R.M Billets Reports'!D1462,SEARCH("-",'R.M Billets Reports'!D1462)+1,200)),"")))="VRKP ISPAT PVT LTD","VRKP",IF(IF(IF(ISNUMBER(SEARCH("Party Name:-",'R.M Billets Reports'!D1461)),TRIM('R.M Billets Reports'!F1461),IF(ISNUMBER(SEARCH("Party Name-",'R.M Billets Reports'!D1461)),TRIM(MID('R.M Billets Reports'!D1461,SEARCH("-",'R.M Billets Reports'!D1461)+1,200)),""))&lt;&gt;"",IF(ISNUMBER(SEARCH("Party Name:-",'R.M Billets Reports'!D1461)),TRIM('R.M Billets Reports'!F1461),IF(ISNUMBER(SEARCH("Party Name-",'R.M Billets Reports'!D1461)),TRIM(MID('R.M Billets Reports'!D1461,SEARCH("-",'R.M Billets Reports'!D1461)+1,200)),"")),IF(ISNUMBER(SEARCH("Party Name:-",'R.M Billets Reports'!D1462)),TRIM('R.M Billets Reports'!F1462),IF(ISNUMBER(SEARCH("Party Name-",'R.M Billets Reports'!D1462)),TRIM(MID('R.M Billets Reports'!D1462,SEARCH("-",'R.M Billets Reports'!D1462)+1,200)),"")))="SHRI RADHE","SHREE RADHE",IF(IF(IF(ISNUMBER(SEARCH("Party Name:-",'R.M Billets Reports'!D1461)),TRIM('R.M Billets Reports'!F1461),IF(ISNUMBER(SEARCH("Party Name-",'R.M Billets Reports'!D1461)),TRIM(MID('R.M Billets Reports'!D1461,SEARCH("-",'R.M Billets Reports'!D1461)+1,200)),""))&lt;&gt;"",IF(ISNUMBER(SEARCH("Party Name:-",'R.M Billets Reports'!D1461)),TRIM('R.M Billets Reports'!F1461),IF(ISNUMBER(SEARCH("Party Name-",'R.M Billets Reports'!D1461)),TRIM(MID('R.M Billets Reports'!D1461,SEARCH("-",'R.M Billets Reports'!D1461)+1,200)),"")),IF(ISNUMBER(SEARCH("Party Name:-",'R.M Billets Reports'!D1462)),TRIM('R.M Billets Reports'!F1462),IF(ISNUMBER(SEARCH("Party Name-",'R.M Billets Reports'!D1462)),TRIM(MID('R.M Billets Reports'!D1462,SEARCH("-",'R.M Billets Reports'!D1462)+1,200)),"")))="SHREE RADHE SHAKTI SPONGE AND POWER PVT. LTD.","SHREE RADHE",IF(IF(ISNUMBER(SEARCH("Party Name:-",'R.M Billets Reports'!D1461)),TRIM('R.M Billets Reports'!F1461),IF(ISNUMBER(SEARCH("Party Name-",'R.M Billets Reports'!D1461)),TRIM(MID('R.M Billets Reports'!D1461,SEARCH("-",'R.M Billets Reports'!D1461)+1,200)),""))&lt;&gt;"",IF(ISNUMBER(SEARCH("Party Name:-",'R.M Billets Reports'!D1461)),TRIM('R.M Billets Reports'!F1461),IF(ISNUMBER(SEARCH("Party Name-",'R.M Billets Reports'!D1461)),TRIM(MID('R.M Billets Reports'!D1461,SEARCH("-",'R.M Billets Reports'!D1461)+1,200)),"")),IF(ISNUMBER(SEARCH("Party Name:-",'R.M Billets Reports'!D1462)),TRIM('R.M Billets Reports'!F1462),IF(ISNUMBER(SEARCH("Party Name-",'R.M Billets Reports'!D1462)),TRIM(MID('R.M Billets Reports'!D1462,SEARCH("-",'R.M Billets Reports'!D1462)+1,200)),"")))))),IF(ROW()=2,"",A1461))</f>
      </c>
      <c r="B1462">
        <f>IF(OR('R.M Billets Reports'!A1461="Date-",'R.M Billets Reports'!A1461="Date:-"),'R.M Billets Reports'!B1461,IF(ROW()=2,"",B1461))</f>
      </c>
      <c r="C1462">
        <f>IF('R.M Billets Reports'!A1461="V.No.",'R.M Billets Reports'!B1461,IF(ROW()=2,"",C1461))</f>
      </c>
      <c r="D1462">
        <f>IF('R.M Billets Reports'!A1461&lt;&gt;"",'R.M Billets Reports'!A1461,IF(ROW()=2,"",D1461))</f>
      </c>
      <c r="E1462">
        <f>IF('R.M Billets Reports'!B1461="","",TRIM('R.M Billets Reports'!B1461))</f>
      </c>
      <c r="F1462">
        <f>'R.M Billets Reports'!C1461</f>
      </c>
      <c r="G1462">
        <f>'R.M Billets Reports'!D1461</f>
      </c>
      <c r="H1462">
        <f>'R.M Billets Reports'!E1461</f>
      </c>
      <c r="I1462">
        <f>'R.M Billets Reports'!F1461</f>
      </c>
      <c r="J1462">
        <f>'R.M Billets Reports'!G1461</f>
      </c>
      <c r="K1462">
        <f>'R.M Billets Reports'!H1461</f>
      </c>
      <c r="L1462">
        <f>IF('R.M Billets Reports'!I1461="","",'R.M Billets Reports'!I1461)</f>
      </c>
      <c r="M1462">
        <f t="shared" si="44"/>
      </c>
      <c r="N1462">
        <f>IF('R.M Billets Reports'!J1461="","",'R.M Billets Reports'!J1461)</f>
      </c>
      <c r="O1462">
        <f t="shared" si="45"/>
      </c>
      <c r="P1462">
        <f>IF('R.M Billets Reports'!A1461="SIZE",'R.M Billets Reports'!B1461,P1461)</f>
      </c>
    </row>
    <row r="1463" spans="1:16" x14ac:dyDescent="0.25">
      <c r="A1463">
        <f>IF(OR('R.M Billets Reports'!A1462="Date-",'R.M Billets Reports'!A1462="Date:-"),IF(IF(IF(ISNUMBER(SEARCH("Party Name:-",'R.M Billets Reports'!D1462)),TRIM('R.M Billets Reports'!F1462),IF(ISNUMBER(SEARCH("Party Name-",'R.M Billets Reports'!D1462)),TRIM(MID('R.M Billets Reports'!D1462,SEARCH("-",'R.M Billets Reports'!D1462)+1,200)),""))&lt;&gt;"",IF(ISNUMBER(SEARCH("Party Name:-",'R.M Billets Reports'!D1462)),TRIM('R.M Billets Reports'!F1462),IF(ISNUMBER(SEARCH("Party Name-",'R.M Billets Reports'!D1462)),TRIM(MID('R.M Billets Reports'!D1462,SEARCH("-",'R.M Billets Reports'!D1462)+1,200)),"")),IF(ISNUMBER(SEARCH("Party Name:-",'R.M Billets Reports'!D1463)),TRIM('R.M Billets Reports'!F1463),IF(ISNUMBER(SEARCH("Party Name-",'R.M Billets Reports'!D1463)),TRIM(MID('R.M Billets Reports'!D1463,SEARCH("-",'R.M Billets Reports'!D1463)+1,200)),"")))="VRKP ISPAT PVT LTD","VRKP",IF(IF(IF(ISNUMBER(SEARCH("Party Name:-",'R.M Billets Reports'!D1462)),TRIM('R.M Billets Reports'!F1462),IF(ISNUMBER(SEARCH("Party Name-",'R.M Billets Reports'!D1462)),TRIM(MID('R.M Billets Reports'!D1462,SEARCH("-",'R.M Billets Reports'!D1462)+1,200)),""))&lt;&gt;"",IF(ISNUMBER(SEARCH("Party Name:-",'R.M Billets Reports'!D1462)),TRIM('R.M Billets Reports'!F1462),IF(ISNUMBER(SEARCH("Party Name-",'R.M Billets Reports'!D1462)),TRIM(MID('R.M Billets Reports'!D1462,SEARCH("-",'R.M Billets Reports'!D1462)+1,200)),"")),IF(ISNUMBER(SEARCH("Party Name:-",'R.M Billets Reports'!D1463)),TRIM('R.M Billets Reports'!F1463),IF(ISNUMBER(SEARCH("Party Name-",'R.M Billets Reports'!D1463)),TRIM(MID('R.M Billets Reports'!D1463,SEARCH("-",'R.M Billets Reports'!D1463)+1,200)),"")))="SHRI RADHE","SHREE RADHE",IF(IF(IF(ISNUMBER(SEARCH("Party Name:-",'R.M Billets Reports'!D1462)),TRIM('R.M Billets Reports'!F1462),IF(ISNUMBER(SEARCH("Party Name-",'R.M Billets Reports'!D1462)),TRIM(MID('R.M Billets Reports'!D1462,SEARCH("-",'R.M Billets Reports'!D1462)+1,200)),""))&lt;&gt;"",IF(ISNUMBER(SEARCH("Party Name:-",'R.M Billets Reports'!D1462)),TRIM('R.M Billets Reports'!F1462),IF(ISNUMBER(SEARCH("Party Name-",'R.M Billets Reports'!D1462)),TRIM(MID('R.M Billets Reports'!D1462,SEARCH("-",'R.M Billets Reports'!D1462)+1,200)),"")),IF(ISNUMBER(SEARCH("Party Name:-",'R.M Billets Reports'!D1463)),TRIM('R.M Billets Reports'!F1463),IF(ISNUMBER(SEARCH("Party Name-",'R.M Billets Reports'!D1463)),TRIM(MID('R.M Billets Reports'!D1463,SEARCH("-",'R.M Billets Reports'!D1463)+1,200)),"")))="SHREE RADHE SHAKTI SPONGE AND POWER PVT. LTD.","SHREE RADHE",IF(IF(ISNUMBER(SEARCH("Party Name:-",'R.M Billets Reports'!D1462)),TRIM('R.M Billets Reports'!F1462),IF(ISNUMBER(SEARCH("Party Name-",'R.M Billets Reports'!D1462)),TRIM(MID('R.M Billets Reports'!D1462,SEARCH("-",'R.M Billets Reports'!D1462)+1,200)),""))&lt;&gt;"",IF(ISNUMBER(SEARCH("Party Name:-",'R.M Billets Reports'!D1462)),TRIM('R.M Billets Reports'!F1462),IF(ISNUMBER(SEARCH("Party Name-",'R.M Billets Reports'!D1462)),TRIM(MID('R.M Billets Reports'!D1462,SEARCH("-",'R.M Billets Reports'!D1462)+1,200)),"")),IF(ISNUMBER(SEARCH("Party Name:-",'R.M Billets Reports'!D1463)),TRIM('R.M Billets Reports'!F1463),IF(ISNUMBER(SEARCH("Party Name-",'R.M Billets Reports'!D1463)),TRIM(MID('R.M Billets Reports'!D1463,SEARCH("-",'R.M Billets Reports'!D1463)+1,200)),"")))))),IF(ROW()=2,"",A1462))</f>
      </c>
      <c r="B1463">
        <f>IF(OR('R.M Billets Reports'!A1462="Date-",'R.M Billets Reports'!A1462="Date:-"),'R.M Billets Reports'!B1462,IF(ROW()=2,"",B1462))</f>
      </c>
      <c r="C1463">
        <f>IF('R.M Billets Reports'!A1462="V.No.",'R.M Billets Reports'!B1462,IF(ROW()=2,"",C1462))</f>
      </c>
      <c r="D1463">
        <f>IF('R.M Billets Reports'!A1462&lt;&gt;"",'R.M Billets Reports'!A1462,IF(ROW()=2,"",D1462))</f>
      </c>
      <c r="E1463">
        <f>IF('R.M Billets Reports'!B1462="","",TRIM('R.M Billets Reports'!B1462))</f>
      </c>
      <c r="F1463">
        <f>'R.M Billets Reports'!C1462</f>
      </c>
      <c r="G1463">
        <f>'R.M Billets Reports'!D1462</f>
      </c>
      <c r="H1463">
        <f>'R.M Billets Reports'!E1462</f>
      </c>
      <c r="I1463">
        <f>'R.M Billets Reports'!F1462</f>
      </c>
      <c r="J1463">
        <f>'R.M Billets Reports'!G1462</f>
      </c>
      <c r="K1463">
        <f>'R.M Billets Reports'!H1462</f>
      </c>
      <c r="L1463">
        <f>IF('R.M Billets Reports'!I1462="","",'R.M Billets Reports'!I1462)</f>
      </c>
      <c r="M1463">
        <f t="shared" si="44"/>
      </c>
      <c r="N1463">
        <f>IF('R.M Billets Reports'!J1462="","",'R.M Billets Reports'!J1462)</f>
      </c>
      <c r="O1463">
        <f t="shared" si="45"/>
      </c>
      <c r="P1463">
        <f>IF('R.M Billets Reports'!A1462="SIZE",'R.M Billets Reports'!B1462,P1462)</f>
      </c>
    </row>
    <row r="1464" spans="1:16" x14ac:dyDescent="0.25">
      <c r="A1464">
        <f>IF(OR('R.M Billets Reports'!A1463="Date-",'R.M Billets Reports'!A1463="Date:-"),IF(IF(IF(ISNUMBER(SEARCH("Party Name:-",'R.M Billets Reports'!D1463)),TRIM('R.M Billets Reports'!F1463),IF(ISNUMBER(SEARCH("Party Name-",'R.M Billets Reports'!D1463)),TRIM(MID('R.M Billets Reports'!D1463,SEARCH("-",'R.M Billets Reports'!D1463)+1,200)),""))&lt;&gt;"",IF(ISNUMBER(SEARCH("Party Name:-",'R.M Billets Reports'!D1463)),TRIM('R.M Billets Reports'!F1463),IF(ISNUMBER(SEARCH("Party Name-",'R.M Billets Reports'!D1463)),TRIM(MID('R.M Billets Reports'!D1463,SEARCH("-",'R.M Billets Reports'!D1463)+1,200)),"")),IF(ISNUMBER(SEARCH("Party Name:-",'R.M Billets Reports'!D1464)),TRIM('R.M Billets Reports'!F1464),IF(ISNUMBER(SEARCH("Party Name-",'R.M Billets Reports'!D1464)),TRIM(MID('R.M Billets Reports'!D1464,SEARCH("-",'R.M Billets Reports'!D1464)+1,200)),"")))="VRKP ISPAT PVT LTD","VRKP",IF(IF(IF(ISNUMBER(SEARCH("Party Name:-",'R.M Billets Reports'!D1463)),TRIM('R.M Billets Reports'!F1463),IF(ISNUMBER(SEARCH("Party Name-",'R.M Billets Reports'!D1463)),TRIM(MID('R.M Billets Reports'!D1463,SEARCH("-",'R.M Billets Reports'!D1463)+1,200)),""))&lt;&gt;"",IF(ISNUMBER(SEARCH("Party Name:-",'R.M Billets Reports'!D1463)),TRIM('R.M Billets Reports'!F1463),IF(ISNUMBER(SEARCH("Party Name-",'R.M Billets Reports'!D1463)),TRIM(MID('R.M Billets Reports'!D1463,SEARCH("-",'R.M Billets Reports'!D1463)+1,200)),"")),IF(ISNUMBER(SEARCH("Party Name:-",'R.M Billets Reports'!D1464)),TRIM('R.M Billets Reports'!F1464),IF(ISNUMBER(SEARCH("Party Name-",'R.M Billets Reports'!D1464)),TRIM(MID('R.M Billets Reports'!D1464,SEARCH("-",'R.M Billets Reports'!D1464)+1,200)),"")))="SHRI RADHE","SHREE RADHE",IF(IF(IF(ISNUMBER(SEARCH("Party Name:-",'R.M Billets Reports'!D1463)),TRIM('R.M Billets Reports'!F1463),IF(ISNUMBER(SEARCH("Party Name-",'R.M Billets Reports'!D1463)),TRIM(MID('R.M Billets Reports'!D1463,SEARCH("-",'R.M Billets Reports'!D1463)+1,200)),""))&lt;&gt;"",IF(ISNUMBER(SEARCH("Party Name:-",'R.M Billets Reports'!D1463)),TRIM('R.M Billets Reports'!F1463),IF(ISNUMBER(SEARCH("Party Name-",'R.M Billets Reports'!D1463)),TRIM(MID('R.M Billets Reports'!D1463,SEARCH("-",'R.M Billets Reports'!D1463)+1,200)),"")),IF(ISNUMBER(SEARCH("Party Name:-",'R.M Billets Reports'!D1464)),TRIM('R.M Billets Reports'!F1464),IF(ISNUMBER(SEARCH("Party Name-",'R.M Billets Reports'!D1464)),TRIM(MID('R.M Billets Reports'!D1464,SEARCH("-",'R.M Billets Reports'!D1464)+1,200)),"")))="SHREE RADHE SHAKTI SPONGE AND POWER PVT. LTD.","SHREE RADHE",IF(IF(ISNUMBER(SEARCH("Party Name:-",'R.M Billets Reports'!D1463)),TRIM('R.M Billets Reports'!F1463),IF(ISNUMBER(SEARCH("Party Name-",'R.M Billets Reports'!D1463)),TRIM(MID('R.M Billets Reports'!D1463,SEARCH("-",'R.M Billets Reports'!D1463)+1,200)),""))&lt;&gt;"",IF(ISNUMBER(SEARCH("Party Name:-",'R.M Billets Reports'!D1463)),TRIM('R.M Billets Reports'!F1463),IF(ISNUMBER(SEARCH("Party Name-",'R.M Billets Reports'!D1463)),TRIM(MID('R.M Billets Reports'!D1463,SEARCH("-",'R.M Billets Reports'!D1463)+1,200)),"")),IF(ISNUMBER(SEARCH("Party Name:-",'R.M Billets Reports'!D1464)),TRIM('R.M Billets Reports'!F1464),IF(ISNUMBER(SEARCH("Party Name-",'R.M Billets Reports'!D1464)),TRIM(MID('R.M Billets Reports'!D1464,SEARCH("-",'R.M Billets Reports'!D1464)+1,200)),"")))))),IF(ROW()=2,"",A1463))</f>
      </c>
      <c r="B1464">
        <f>IF(OR('R.M Billets Reports'!A1463="Date-",'R.M Billets Reports'!A1463="Date:-"),'R.M Billets Reports'!B1463,IF(ROW()=2,"",B1463))</f>
      </c>
      <c r="C1464">
        <f>IF('R.M Billets Reports'!A1463="V.No.",'R.M Billets Reports'!B1463,IF(ROW()=2,"",C1463))</f>
      </c>
      <c r="D1464">
        <f>IF('R.M Billets Reports'!A1463&lt;&gt;"",'R.M Billets Reports'!A1463,IF(ROW()=2,"",D1463))</f>
      </c>
      <c r="E1464">
        <f>IF('R.M Billets Reports'!B1463="","",TRIM('R.M Billets Reports'!B1463))</f>
      </c>
      <c r="F1464">
        <f>'R.M Billets Reports'!C1463</f>
      </c>
      <c r="G1464">
        <f>'R.M Billets Reports'!D1463</f>
      </c>
      <c r="H1464">
        <f>'R.M Billets Reports'!E1463</f>
      </c>
      <c r="I1464">
        <f>'R.M Billets Reports'!F1463</f>
      </c>
      <c r="J1464">
        <f>'R.M Billets Reports'!G1463</f>
      </c>
      <c r="K1464">
        <f>'R.M Billets Reports'!H1463</f>
      </c>
      <c r="L1464">
        <f>IF('R.M Billets Reports'!I1463="","",'R.M Billets Reports'!I1463)</f>
      </c>
      <c r="M1464">
        <f t="shared" si="44"/>
      </c>
      <c r="N1464">
        <f>IF('R.M Billets Reports'!J1463="","",'R.M Billets Reports'!J1463)</f>
      </c>
      <c r="O1464">
        <f t="shared" si="45"/>
      </c>
      <c r="P1464">
        <f>IF('R.M Billets Reports'!A1463="SIZE",'R.M Billets Reports'!B1463,P1463)</f>
      </c>
    </row>
    <row r="1465" spans="1:16" x14ac:dyDescent="0.25">
      <c r="A1465">
        <f>IF(OR('R.M Billets Reports'!A1464="Date-",'R.M Billets Reports'!A1464="Date:-"),IF(IF(IF(ISNUMBER(SEARCH("Party Name:-",'R.M Billets Reports'!D1464)),TRIM('R.M Billets Reports'!F1464),IF(ISNUMBER(SEARCH("Party Name-",'R.M Billets Reports'!D1464)),TRIM(MID('R.M Billets Reports'!D1464,SEARCH("-",'R.M Billets Reports'!D1464)+1,200)),""))&lt;&gt;"",IF(ISNUMBER(SEARCH("Party Name:-",'R.M Billets Reports'!D1464)),TRIM('R.M Billets Reports'!F1464),IF(ISNUMBER(SEARCH("Party Name-",'R.M Billets Reports'!D1464)),TRIM(MID('R.M Billets Reports'!D1464,SEARCH("-",'R.M Billets Reports'!D1464)+1,200)),"")),IF(ISNUMBER(SEARCH("Party Name:-",'R.M Billets Reports'!D1465)),TRIM('R.M Billets Reports'!F1465),IF(ISNUMBER(SEARCH("Party Name-",'R.M Billets Reports'!D1465)),TRIM(MID('R.M Billets Reports'!D1465,SEARCH("-",'R.M Billets Reports'!D1465)+1,200)),"")))="VRKP ISPAT PVT LTD","VRKP",IF(IF(IF(ISNUMBER(SEARCH("Party Name:-",'R.M Billets Reports'!D1464)),TRIM('R.M Billets Reports'!F1464),IF(ISNUMBER(SEARCH("Party Name-",'R.M Billets Reports'!D1464)),TRIM(MID('R.M Billets Reports'!D1464,SEARCH("-",'R.M Billets Reports'!D1464)+1,200)),""))&lt;&gt;"",IF(ISNUMBER(SEARCH("Party Name:-",'R.M Billets Reports'!D1464)),TRIM('R.M Billets Reports'!F1464),IF(ISNUMBER(SEARCH("Party Name-",'R.M Billets Reports'!D1464)),TRIM(MID('R.M Billets Reports'!D1464,SEARCH("-",'R.M Billets Reports'!D1464)+1,200)),"")),IF(ISNUMBER(SEARCH("Party Name:-",'R.M Billets Reports'!D1465)),TRIM('R.M Billets Reports'!F1465),IF(ISNUMBER(SEARCH("Party Name-",'R.M Billets Reports'!D1465)),TRIM(MID('R.M Billets Reports'!D1465,SEARCH("-",'R.M Billets Reports'!D1465)+1,200)),"")))="SHRI RADHE","SHREE RADHE",IF(IF(IF(ISNUMBER(SEARCH("Party Name:-",'R.M Billets Reports'!D1464)),TRIM('R.M Billets Reports'!F1464),IF(ISNUMBER(SEARCH("Party Name-",'R.M Billets Reports'!D1464)),TRIM(MID('R.M Billets Reports'!D1464,SEARCH("-",'R.M Billets Reports'!D1464)+1,200)),""))&lt;&gt;"",IF(ISNUMBER(SEARCH("Party Name:-",'R.M Billets Reports'!D1464)),TRIM('R.M Billets Reports'!F1464),IF(ISNUMBER(SEARCH("Party Name-",'R.M Billets Reports'!D1464)),TRIM(MID('R.M Billets Reports'!D1464,SEARCH("-",'R.M Billets Reports'!D1464)+1,200)),"")),IF(ISNUMBER(SEARCH("Party Name:-",'R.M Billets Reports'!D1465)),TRIM('R.M Billets Reports'!F1465),IF(ISNUMBER(SEARCH("Party Name-",'R.M Billets Reports'!D1465)),TRIM(MID('R.M Billets Reports'!D1465,SEARCH("-",'R.M Billets Reports'!D1465)+1,200)),"")))="SHREE RADHE SHAKTI SPONGE AND POWER PVT. LTD.","SHREE RADHE",IF(IF(ISNUMBER(SEARCH("Party Name:-",'R.M Billets Reports'!D1464)),TRIM('R.M Billets Reports'!F1464),IF(ISNUMBER(SEARCH("Party Name-",'R.M Billets Reports'!D1464)),TRIM(MID('R.M Billets Reports'!D1464,SEARCH("-",'R.M Billets Reports'!D1464)+1,200)),""))&lt;&gt;"",IF(ISNUMBER(SEARCH("Party Name:-",'R.M Billets Reports'!D1464)),TRIM('R.M Billets Reports'!F1464),IF(ISNUMBER(SEARCH("Party Name-",'R.M Billets Reports'!D1464)),TRIM(MID('R.M Billets Reports'!D1464,SEARCH("-",'R.M Billets Reports'!D1464)+1,200)),"")),IF(ISNUMBER(SEARCH("Party Name:-",'R.M Billets Reports'!D1465)),TRIM('R.M Billets Reports'!F1465),IF(ISNUMBER(SEARCH("Party Name-",'R.M Billets Reports'!D1465)),TRIM(MID('R.M Billets Reports'!D1465,SEARCH("-",'R.M Billets Reports'!D1465)+1,200)),"")))))),IF(ROW()=2,"",A1464))</f>
      </c>
      <c r="B1465">
        <f>IF(OR('R.M Billets Reports'!A1464="Date-",'R.M Billets Reports'!A1464="Date:-"),'R.M Billets Reports'!B1464,IF(ROW()=2,"",B1464))</f>
      </c>
      <c r="C1465">
        <f>IF('R.M Billets Reports'!A1464="V.No.",'R.M Billets Reports'!B1464,IF(ROW()=2,"",C1464))</f>
      </c>
      <c r="D1465">
        <f>IF('R.M Billets Reports'!A1464&lt;&gt;"",'R.M Billets Reports'!A1464,IF(ROW()=2,"",D1464))</f>
      </c>
      <c r="E1465">
        <f>IF('R.M Billets Reports'!B1464="","",TRIM('R.M Billets Reports'!B1464))</f>
      </c>
      <c r="F1465">
        <f>'R.M Billets Reports'!C1464</f>
      </c>
      <c r="G1465">
        <f>'R.M Billets Reports'!D1464</f>
      </c>
      <c r="H1465">
        <f>'R.M Billets Reports'!E1464</f>
      </c>
      <c r="I1465">
        <f>'R.M Billets Reports'!F1464</f>
      </c>
      <c r="J1465">
        <f>'R.M Billets Reports'!G1464</f>
      </c>
      <c r="K1465">
        <f>'R.M Billets Reports'!H1464</f>
      </c>
      <c r="L1465">
        <f>IF('R.M Billets Reports'!I1464="","",'R.M Billets Reports'!I1464)</f>
      </c>
      <c r="M1465">
        <f t="shared" si="44"/>
      </c>
      <c r="N1465">
        <f>IF('R.M Billets Reports'!J1464="","",'R.M Billets Reports'!J1464)</f>
      </c>
      <c r="O1465">
        <f t="shared" si="45"/>
      </c>
      <c r="P1465">
        <f>IF('R.M Billets Reports'!A1464="SIZE",'R.M Billets Reports'!B1464,P1464)</f>
      </c>
    </row>
    <row r="1466" spans="1:16" x14ac:dyDescent="0.25">
      <c r="A1466">
        <f>IF(OR('R.M Billets Reports'!A1465="Date-",'R.M Billets Reports'!A1465="Date:-"),IF(IF(IF(ISNUMBER(SEARCH("Party Name:-",'R.M Billets Reports'!D1465)),TRIM('R.M Billets Reports'!F1465),IF(ISNUMBER(SEARCH("Party Name-",'R.M Billets Reports'!D1465)),TRIM(MID('R.M Billets Reports'!D1465,SEARCH("-",'R.M Billets Reports'!D1465)+1,200)),""))&lt;&gt;"",IF(ISNUMBER(SEARCH("Party Name:-",'R.M Billets Reports'!D1465)),TRIM('R.M Billets Reports'!F1465),IF(ISNUMBER(SEARCH("Party Name-",'R.M Billets Reports'!D1465)),TRIM(MID('R.M Billets Reports'!D1465,SEARCH("-",'R.M Billets Reports'!D1465)+1,200)),"")),IF(ISNUMBER(SEARCH("Party Name:-",'R.M Billets Reports'!D1466)),TRIM('R.M Billets Reports'!F1466),IF(ISNUMBER(SEARCH("Party Name-",'R.M Billets Reports'!D1466)),TRIM(MID('R.M Billets Reports'!D1466,SEARCH("-",'R.M Billets Reports'!D1466)+1,200)),"")))="VRKP ISPAT PVT LTD","VRKP",IF(IF(IF(ISNUMBER(SEARCH("Party Name:-",'R.M Billets Reports'!D1465)),TRIM('R.M Billets Reports'!F1465),IF(ISNUMBER(SEARCH("Party Name-",'R.M Billets Reports'!D1465)),TRIM(MID('R.M Billets Reports'!D1465,SEARCH("-",'R.M Billets Reports'!D1465)+1,200)),""))&lt;&gt;"",IF(ISNUMBER(SEARCH("Party Name:-",'R.M Billets Reports'!D1465)),TRIM('R.M Billets Reports'!F1465),IF(ISNUMBER(SEARCH("Party Name-",'R.M Billets Reports'!D1465)),TRIM(MID('R.M Billets Reports'!D1465,SEARCH("-",'R.M Billets Reports'!D1465)+1,200)),"")),IF(ISNUMBER(SEARCH("Party Name:-",'R.M Billets Reports'!D1466)),TRIM('R.M Billets Reports'!F1466),IF(ISNUMBER(SEARCH("Party Name-",'R.M Billets Reports'!D1466)),TRIM(MID('R.M Billets Reports'!D1466,SEARCH("-",'R.M Billets Reports'!D1466)+1,200)),"")))="SHRI RADHE","SHREE RADHE",IF(IF(IF(ISNUMBER(SEARCH("Party Name:-",'R.M Billets Reports'!D1465)),TRIM('R.M Billets Reports'!F1465),IF(ISNUMBER(SEARCH("Party Name-",'R.M Billets Reports'!D1465)),TRIM(MID('R.M Billets Reports'!D1465,SEARCH("-",'R.M Billets Reports'!D1465)+1,200)),""))&lt;&gt;"",IF(ISNUMBER(SEARCH("Party Name:-",'R.M Billets Reports'!D1465)),TRIM('R.M Billets Reports'!F1465),IF(ISNUMBER(SEARCH("Party Name-",'R.M Billets Reports'!D1465)),TRIM(MID('R.M Billets Reports'!D1465,SEARCH("-",'R.M Billets Reports'!D1465)+1,200)),"")),IF(ISNUMBER(SEARCH("Party Name:-",'R.M Billets Reports'!D1466)),TRIM('R.M Billets Reports'!F1466),IF(ISNUMBER(SEARCH("Party Name-",'R.M Billets Reports'!D1466)),TRIM(MID('R.M Billets Reports'!D1466,SEARCH("-",'R.M Billets Reports'!D1466)+1,200)),"")))="SHREE RADHE SHAKTI SPONGE AND POWER PVT. LTD.","SHREE RADHE",IF(IF(ISNUMBER(SEARCH("Party Name:-",'R.M Billets Reports'!D1465)),TRIM('R.M Billets Reports'!F1465),IF(ISNUMBER(SEARCH("Party Name-",'R.M Billets Reports'!D1465)),TRIM(MID('R.M Billets Reports'!D1465,SEARCH("-",'R.M Billets Reports'!D1465)+1,200)),""))&lt;&gt;"",IF(ISNUMBER(SEARCH("Party Name:-",'R.M Billets Reports'!D1465)),TRIM('R.M Billets Reports'!F1465),IF(ISNUMBER(SEARCH("Party Name-",'R.M Billets Reports'!D1465)),TRIM(MID('R.M Billets Reports'!D1465,SEARCH("-",'R.M Billets Reports'!D1465)+1,200)),"")),IF(ISNUMBER(SEARCH("Party Name:-",'R.M Billets Reports'!D1466)),TRIM('R.M Billets Reports'!F1466),IF(ISNUMBER(SEARCH("Party Name-",'R.M Billets Reports'!D1466)),TRIM(MID('R.M Billets Reports'!D1466,SEARCH("-",'R.M Billets Reports'!D1466)+1,200)),"")))))),IF(ROW()=2,"",A1465))</f>
      </c>
      <c r="B1466">
        <f>IF(OR('R.M Billets Reports'!A1465="Date-",'R.M Billets Reports'!A1465="Date:-"),'R.M Billets Reports'!B1465,IF(ROW()=2,"",B1465))</f>
      </c>
      <c r="C1466">
        <f>IF('R.M Billets Reports'!A1465="V.No.",'R.M Billets Reports'!B1465,IF(ROW()=2,"",C1465))</f>
      </c>
      <c r="D1466">
        <f>IF('R.M Billets Reports'!A1465&lt;&gt;"",'R.M Billets Reports'!A1465,IF(ROW()=2,"",D1465))</f>
      </c>
      <c r="E1466">
        <f>IF('R.M Billets Reports'!B1465="","",TRIM('R.M Billets Reports'!B1465))</f>
      </c>
      <c r="F1466">
        <f>'R.M Billets Reports'!C1465</f>
      </c>
      <c r="G1466">
        <f>'R.M Billets Reports'!D1465</f>
      </c>
      <c r="H1466">
        <f>'R.M Billets Reports'!E1465</f>
      </c>
      <c r="I1466">
        <f>'R.M Billets Reports'!F1465</f>
      </c>
      <c r="J1466">
        <f>'R.M Billets Reports'!G1465</f>
      </c>
      <c r="K1466">
        <f>'R.M Billets Reports'!H1465</f>
      </c>
      <c r="L1466">
        <f>IF('R.M Billets Reports'!I1465="","",'R.M Billets Reports'!I1465)</f>
      </c>
      <c r="M1466">
        <f t="shared" si="44"/>
      </c>
      <c r="N1466">
        <f>IF('R.M Billets Reports'!J1465="","",'R.M Billets Reports'!J1465)</f>
      </c>
      <c r="O1466">
        <f t="shared" si="45"/>
      </c>
      <c r="P1466">
        <f>IF('R.M Billets Reports'!A1465="SIZE",'R.M Billets Reports'!B1465,P1465)</f>
      </c>
    </row>
    <row r="1467" spans="1:16" x14ac:dyDescent="0.25">
      <c r="A1467">
        <f>IF(OR('R.M Billets Reports'!A1466="Date-",'R.M Billets Reports'!A1466="Date:-"),IF(IF(IF(ISNUMBER(SEARCH("Party Name:-",'R.M Billets Reports'!D1466)),TRIM('R.M Billets Reports'!F1466),IF(ISNUMBER(SEARCH("Party Name-",'R.M Billets Reports'!D1466)),TRIM(MID('R.M Billets Reports'!D1466,SEARCH("-",'R.M Billets Reports'!D1466)+1,200)),""))&lt;&gt;"",IF(ISNUMBER(SEARCH("Party Name:-",'R.M Billets Reports'!D1466)),TRIM('R.M Billets Reports'!F1466),IF(ISNUMBER(SEARCH("Party Name-",'R.M Billets Reports'!D1466)),TRIM(MID('R.M Billets Reports'!D1466,SEARCH("-",'R.M Billets Reports'!D1466)+1,200)),"")),IF(ISNUMBER(SEARCH("Party Name:-",'R.M Billets Reports'!D1467)),TRIM('R.M Billets Reports'!F1467),IF(ISNUMBER(SEARCH("Party Name-",'R.M Billets Reports'!D1467)),TRIM(MID('R.M Billets Reports'!D1467,SEARCH("-",'R.M Billets Reports'!D1467)+1,200)),"")))="VRKP ISPAT PVT LTD","VRKP",IF(IF(IF(ISNUMBER(SEARCH("Party Name:-",'R.M Billets Reports'!D1466)),TRIM('R.M Billets Reports'!F1466),IF(ISNUMBER(SEARCH("Party Name-",'R.M Billets Reports'!D1466)),TRIM(MID('R.M Billets Reports'!D1466,SEARCH("-",'R.M Billets Reports'!D1466)+1,200)),""))&lt;&gt;"",IF(ISNUMBER(SEARCH("Party Name:-",'R.M Billets Reports'!D1466)),TRIM('R.M Billets Reports'!F1466),IF(ISNUMBER(SEARCH("Party Name-",'R.M Billets Reports'!D1466)),TRIM(MID('R.M Billets Reports'!D1466,SEARCH("-",'R.M Billets Reports'!D1466)+1,200)),"")),IF(ISNUMBER(SEARCH("Party Name:-",'R.M Billets Reports'!D1467)),TRIM('R.M Billets Reports'!F1467),IF(ISNUMBER(SEARCH("Party Name-",'R.M Billets Reports'!D1467)),TRIM(MID('R.M Billets Reports'!D1467,SEARCH("-",'R.M Billets Reports'!D1467)+1,200)),"")))="SHRI RADHE","SHREE RADHE",IF(IF(IF(ISNUMBER(SEARCH("Party Name:-",'R.M Billets Reports'!D1466)),TRIM('R.M Billets Reports'!F1466),IF(ISNUMBER(SEARCH("Party Name-",'R.M Billets Reports'!D1466)),TRIM(MID('R.M Billets Reports'!D1466,SEARCH("-",'R.M Billets Reports'!D1466)+1,200)),""))&lt;&gt;"",IF(ISNUMBER(SEARCH("Party Name:-",'R.M Billets Reports'!D1466)),TRIM('R.M Billets Reports'!F1466),IF(ISNUMBER(SEARCH("Party Name-",'R.M Billets Reports'!D1466)),TRIM(MID('R.M Billets Reports'!D1466,SEARCH("-",'R.M Billets Reports'!D1466)+1,200)),"")),IF(ISNUMBER(SEARCH("Party Name:-",'R.M Billets Reports'!D1467)),TRIM('R.M Billets Reports'!F1467),IF(ISNUMBER(SEARCH("Party Name-",'R.M Billets Reports'!D1467)),TRIM(MID('R.M Billets Reports'!D1467,SEARCH("-",'R.M Billets Reports'!D1467)+1,200)),"")))="SHREE RADHE SHAKTI SPONGE AND POWER PVT. LTD.","SHREE RADHE",IF(IF(ISNUMBER(SEARCH("Party Name:-",'R.M Billets Reports'!D1466)),TRIM('R.M Billets Reports'!F1466),IF(ISNUMBER(SEARCH("Party Name-",'R.M Billets Reports'!D1466)),TRIM(MID('R.M Billets Reports'!D1466,SEARCH("-",'R.M Billets Reports'!D1466)+1,200)),""))&lt;&gt;"",IF(ISNUMBER(SEARCH("Party Name:-",'R.M Billets Reports'!D1466)),TRIM('R.M Billets Reports'!F1466),IF(ISNUMBER(SEARCH("Party Name-",'R.M Billets Reports'!D1466)),TRIM(MID('R.M Billets Reports'!D1466,SEARCH("-",'R.M Billets Reports'!D1466)+1,200)),"")),IF(ISNUMBER(SEARCH("Party Name:-",'R.M Billets Reports'!D1467)),TRIM('R.M Billets Reports'!F1467),IF(ISNUMBER(SEARCH("Party Name-",'R.M Billets Reports'!D1467)),TRIM(MID('R.M Billets Reports'!D1467,SEARCH("-",'R.M Billets Reports'!D1467)+1,200)),"")))))),IF(ROW()=2,"",A1466))</f>
      </c>
      <c r="B1467">
        <f>IF(OR('R.M Billets Reports'!A1466="Date-",'R.M Billets Reports'!A1466="Date:-"),'R.M Billets Reports'!B1466,IF(ROW()=2,"",B1466))</f>
      </c>
      <c r="C1467">
        <f>IF('R.M Billets Reports'!A1466="V.No.",'R.M Billets Reports'!B1466,IF(ROW()=2,"",C1466))</f>
      </c>
      <c r="D1467">
        <f>IF('R.M Billets Reports'!A1466&lt;&gt;"",'R.M Billets Reports'!A1466,IF(ROW()=2,"",D1466))</f>
      </c>
      <c r="E1467">
        <f>IF('R.M Billets Reports'!B1466="","",TRIM('R.M Billets Reports'!B1466))</f>
      </c>
      <c r="F1467">
        <f>'R.M Billets Reports'!C1466</f>
      </c>
      <c r="G1467">
        <f>'R.M Billets Reports'!D1466</f>
      </c>
      <c r="H1467">
        <f>'R.M Billets Reports'!E1466</f>
      </c>
      <c r="I1467">
        <f>'R.M Billets Reports'!F1466</f>
      </c>
      <c r="J1467">
        <f>'R.M Billets Reports'!G1466</f>
      </c>
      <c r="K1467">
        <f>'R.M Billets Reports'!H1466</f>
      </c>
      <c r="L1467">
        <f>IF('R.M Billets Reports'!I1466="","",'R.M Billets Reports'!I1466)</f>
      </c>
      <c r="M1467">
        <f t="shared" si="44"/>
      </c>
      <c r="N1467">
        <f>IF('R.M Billets Reports'!J1466="","",'R.M Billets Reports'!J1466)</f>
      </c>
      <c r="O1467">
        <f t="shared" si="45"/>
      </c>
      <c r="P1467">
        <f>IF('R.M Billets Reports'!A1466="SIZE",'R.M Billets Reports'!B1466,P1466)</f>
      </c>
    </row>
    <row r="1468" spans="1:16" x14ac:dyDescent="0.25">
      <c r="A1468">
        <f>IF(OR('R.M Billets Reports'!A1467="Date-",'R.M Billets Reports'!A1467="Date:-"),IF(IF(IF(ISNUMBER(SEARCH("Party Name:-",'R.M Billets Reports'!D1467)),TRIM('R.M Billets Reports'!F1467),IF(ISNUMBER(SEARCH("Party Name-",'R.M Billets Reports'!D1467)),TRIM(MID('R.M Billets Reports'!D1467,SEARCH("-",'R.M Billets Reports'!D1467)+1,200)),""))&lt;&gt;"",IF(ISNUMBER(SEARCH("Party Name:-",'R.M Billets Reports'!D1467)),TRIM('R.M Billets Reports'!F1467),IF(ISNUMBER(SEARCH("Party Name-",'R.M Billets Reports'!D1467)),TRIM(MID('R.M Billets Reports'!D1467,SEARCH("-",'R.M Billets Reports'!D1467)+1,200)),"")),IF(ISNUMBER(SEARCH("Party Name:-",'R.M Billets Reports'!D1468)),TRIM('R.M Billets Reports'!F1468),IF(ISNUMBER(SEARCH("Party Name-",'R.M Billets Reports'!D1468)),TRIM(MID('R.M Billets Reports'!D1468,SEARCH("-",'R.M Billets Reports'!D1468)+1,200)),"")))="VRKP ISPAT PVT LTD","VRKP",IF(IF(IF(ISNUMBER(SEARCH("Party Name:-",'R.M Billets Reports'!D1467)),TRIM('R.M Billets Reports'!F1467),IF(ISNUMBER(SEARCH("Party Name-",'R.M Billets Reports'!D1467)),TRIM(MID('R.M Billets Reports'!D1467,SEARCH("-",'R.M Billets Reports'!D1467)+1,200)),""))&lt;&gt;"",IF(ISNUMBER(SEARCH("Party Name:-",'R.M Billets Reports'!D1467)),TRIM('R.M Billets Reports'!F1467),IF(ISNUMBER(SEARCH("Party Name-",'R.M Billets Reports'!D1467)),TRIM(MID('R.M Billets Reports'!D1467,SEARCH("-",'R.M Billets Reports'!D1467)+1,200)),"")),IF(ISNUMBER(SEARCH("Party Name:-",'R.M Billets Reports'!D1468)),TRIM('R.M Billets Reports'!F1468),IF(ISNUMBER(SEARCH("Party Name-",'R.M Billets Reports'!D1468)),TRIM(MID('R.M Billets Reports'!D1468,SEARCH("-",'R.M Billets Reports'!D1468)+1,200)),"")))="SHRI RADHE","SHREE RADHE",IF(IF(IF(ISNUMBER(SEARCH("Party Name:-",'R.M Billets Reports'!D1467)),TRIM('R.M Billets Reports'!F1467),IF(ISNUMBER(SEARCH("Party Name-",'R.M Billets Reports'!D1467)),TRIM(MID('R.M Billets Reports'!D1467,SEARCH("-",'R.M Billets Reports'!D1467)+1,200)),""))&lt;&gt;"",IF(ISNUMBER(SEARCH("Party Name:-",'R.M Billets Reports'!D1467)),TRIM('R.M Billets Reports'!F1467),IF(ISNUMBER(SEARCH("Party Name-",'R.M Billets Reports'!D1467)),TRIM(MID('R.M Billets Reports'!D1467,SEARCH("-",'R.M Billets Reports'!D1467)+1,200)),"")),IF(ISNUMBER(SEARCH("Party Name:-",'R.M Billets Reports'!D1468)),TRIM('R.M Billets Reports'!F1468),IF(ISNUMBER(SEARCH("Party Name-",'R.M Billets Reports'!D1468)),TRIM(MID('R.M Billets Reports'!D1468,SEARCH("-",'R.M Billets Reports'!D1468)+1,200)),"")))="SHREE RADHE SHAKTI SPONGE AND POWER PVT. LTD.","SHREE RADHE",IF(IF(ISNUMBER(SEARCH("Party Name:-",'R.M Billets Reports'!D1467)),TRIM('R.M Billets Reports'!F1467),IF(ISNUMBER(SEARCH("Party Name-",'R.M Billets Reports'!D1467)),TRIM(MID('R.M Billets Reports'!D1467,SEARCH("-",'R.M Billets Reports'!D1467)+1,200)),""))&lt;&gt;"",IF(ISNUMBER(SEARCH("Party Name:-",'R.M Billets Reports'!D1467)),TRIM('R.M Billets Reports'!F1467),IF(ISNUMBER(SEARCH("Party Name-",'R.M Billets Reports'!D1467)),TRIM(MID('R.M Billets Reports'!D1467,SEARCH("-",'R.M Billets Reports'!D1467)+1,200)),"")),IF(ISNUMBER(SEARCH("Party Name:-",'R.M Billets Reports'!D1468)),TRIM('R.M Billets Reports'!F1468),IF(ISNUMBER(SEARCH("Party Name-",'R.M Billets Reports'!D1468)),TRIM(MID('R.M Billets Reports'!D1468,SEARCH("-",'R.M Billets Reports'!D1468)+1,200)),"")))))),IF(ROW()=2,"",A1467))</f>
      </c>
      <c r="B1468">
        <f>IF(OR('R.M Billets Reports'!A1467="Date-",'R.M Billets Reports'!A1467="Date:-"),'R.M Billets Reports'!B1467,IF(ROW()=2,"",B1467))</f>
      </c>
      <c r="C1468">
        <f>IF('R.M Billets Reports'!A1467="V.No.",'R.M Billets Reports'!B1467,IF(ROW()=2,"",C1467))</f>
      </c>
      <c r="D1468">
        <f>IF('R.M Billets Reports'!A1467&lt;&gt;"",'R.M Billets Reports'!A1467,IF(ROW()=2,"",D1467))</f>
      </c>
      <c r="E1468">
        <f>IF('R.M Billets Reports'!B1467="","",TRIM('R.M Billets Reports'!B1467))</f>
      </c>
      <c r="F1468">
        <f>'R.M Billets Reports'!C1467</f>
      </c>
      <c r="G1468">
        <f>'R.M Billets Reports'!D1467</f>
      </c>
      <c r="H1468">
        <f>'R.M Billets Reports'!E1467</f>
      </c>
      <c r="I1468">
        <f>'R.M Billets Reports'!F1467</f>
      </c>
      <c r="J1468">
        <f>'R.M Billets Reports'!G1467</f>
      </c>
      <c r="K1468">
        <f>'R.M Billets Reports'!H1467</f>
      </c>
      <c r="L1468">
        <f>IF('R.M Billets Reports'!I1467="","",'R.M Billets Reports'!I1467)</f>
      </c>
      <c r="M1468">
        <f t="shared" si="44"/>
      </c>
      <c r="N1468">
        <f>IF('R.M Billets Reports'!J1467="","",'R.M Billets Reports'!J1467)</f>
      </c>
      <c r="O1468">
        <f t="shared" si="45"/>
      </c>
      <c r="P1468">
        <f>IF('R.M Billets Reports'!A1467="SIZE",'R.M Billets Reports'!B1467,P1467)</f>
      </c>
    </row>
    <row r="1469" spans="1:16" x14ac:dyDescent="0.25">
      <c r="A1469">
        <f>IF(OR('R.M Billets Reports'!A1468="Date-",'R.M Billets Reports'!A1468="Date:-"),IF(IF(IF(ISNUMBER(SEARCH("Party Name:-",'R.M Billets Reports'!D1468)),TRIM('R.M Billets Reports'!F1468),IF(ISNUMBER(SEARCH("Party Name-",'R.M Billets Reports'!D1468)),TRIM(MID('R.M Billets Reports'!D1468,SEARCH("-",'R.M Billets Reports'!D1468)+1,200)),""))&lt;&gt;"",IF(ISNUMBER(SEARCH("Party Name:-",'R.M Billets Reports'!D1468)),TRIM('R.M Billets Reports'!F1468),IF(ISNUMBER(SEARCH("Party Name-",'R.M Billets Reports'!D1468)),TRIM(MID('R.M Billets Reports'!D1468,SEARCH("-",'R.M Billets Reports'!D1468)+1,200)),"")),IF(ISNUMBER(SEARCH("Party Name:-",'R.M Billets Reports'!D1469)),TRIM('R.M Billets Reports'!F1469),IF(ISNUMBER(SEARCH("Party Name-",'R.M Billets Reports'!D1469)),TRIM(MID('R.M Billets Reports'!D1469,SEARCH("-",'R.M Billets Reports'!D1469)+1,200)),"")))="VRKP ISPAT PVT LTD","VRKP",IF(IF(IF(ISNUMBER(SEARCH("Party Name:-",'R.M Billets Reports'!D1468)),TRIM('R.M Billets Reports'!F1468),IF(ISNUMBER(SEARCH("Party Name-",'R.M Billets Reports'!D1468)),TRIM(MID('R.M Billets Reports'!D1468,SEARCH("-",'R.M Billets Reports'!D1468)+1,200)),""))&lt;&gt;"",IF(ISNUMBER(SEARCH("Party Name:-",'R.M Billets Reports'!D1468)),TRIM('R.M Billets Reports'!F1468),IF(ISNUMBER(SEARCH("Party Name-",'R.M Billets Reports'!D1468)),TRIM(MID('R.M Billets Reports'!D1468,SEARCH("-",'R.M Billets Reports'!D1468)+1,200)),"")),IF(ISNUMBER(SEARCH("Party Name:-",'R.M Billets Reports'!D1469)),TRIM('R.M Billets Reports'!F1469),IF(ISNUMBER(SEARCH("Party Name-",'R.M Billets Reports'!D1469)),TRIM(MID('R.M Billets Reports'!D1469,SEARCH("-",'R.M Billets Reports'!D1469)+1,200)),"")))="SHRI RADHE","SHREE RADHE",IF(IF(IF(ISNUMBER(SEARCH("Party Name:-",'R.M Billets Reports'!D1468)),TRIM('R.M Billets Reports'!F1468),IF(ISNUMBER(SEARCH("Party Name-",'R.M Billets Reports'!D1468)),TRIM(MID('R.M Billets Reports'!D1468,SEARCH("-",'R.M Billets Reports'!D1468)+1,200)),""))&lt;&gt;"",IF(ISNUMBER(SEARCH("Party Name:-",'R.M Billets Reports'!D1468)),TRIM('R.M Billets Reports'!F1468),IF(ISNUMBER(SEARCH("Party Name-",'R.M Billets Reports'!D1468)),TRIM(MID('R.M Billets Reports'!D1468,SEARCH("-",'R.M Billets Reports'!D1468)+1,200)),"")),IF(ISNUMBER(SEARCH("Party Name:-",'R.M Billets Reports'!D1469)),TRIM('R.M Billets Reports'!F1469),IF(ISNUMBER(SEARCH("Party Name-",'R.M Billets Reports'!D1469)),TRIM(MID('R.M Billets Reports'!D1469,SEARCH("-",'R.M Billets Reports'!D1469)+1,200)),"")))="SHREE RADHE SHAKTI SPONGE AND POWER PVT. LTD.","SHREE RADHE",IF(IF(ISNUMBER(SEARCH("Party Name:-",'R.M Billets Reports'!D1468)),TRIM('R.M Billets Reports'!F1468),IF(ISNUMBER(SEARCH("Party Name-",'R.M Billets Reports'!D1468)),TRIM(MID('R.M Billets Reports'!D1468,SEARCH("-",'R.M Billets Reports'!D1468)+1,200)),""))&lt;&gt;"",IF(ISNUMBER(SEARCH("Party Name:-",'R.M Billets Reports'!D1468)),TRIM('R.M Billets Reports'!F1468),IF(ISNUMBER(SEARCH("Party Name-",'R.M Billets Reports'!D1468)),TRIM(MID('R.M Billets Reports'!D1468,SEARCH("-",'R.M Billets Reports'!D1468)+1,200)),"")),IF(ISNUMBER(SEARCH("Party Name:-",'R.M Billets Reports'!D1469)),TRIM('R.M Billets Reports'!F1469),IF(ISNUMBER(SEARCH("Party Name-",'R.M Billets Reports'!D1469)),TRIM(MID('R.M Billets Reports'!D1469,SEARCH("-",'R.M Billets Reports'!D1469)+1,200)),"")))))),IF(ROW()=2,"",A1468))</f>
      </c>
      <c r="B1469">
        <f>IF(OR('R.M Billets Reports'!A1468="Date-",'R.M Billets Reports'!A1468="Date:-"),'R.M Billets Reports'!B1468,IF(ROW()=2,"",B1468))</f>
      </c>
      <c r="C1469">
        <f>IF('R.M Billets Reports'!A1468="V.No.",'R.M Billets Reports'!B1468,IF(ROW()=2,"",C1468))</f>
      </c>
      <c r="D1469">
        <f>IF('R.M Billets Reports'!A1468&lt;&gt;"",'R.M Billets Reports'!A1468,IF(ROW()=2,"",D1468))</f>
      </c>
      <c r="E1469">
        <f>IF('R.M Billets Reports'!B1468="","",TRIM('R.M Billets Reports'!B1468))</f>
      </c>
      <c r="F1469">
        <f>'R.M Billets Reports'!C1468</f>
      </c>
      <c r="G1469">
        <f>'R.M Billets Reports'!D1468</f>
      </c>
      <c r="H1469">
        <f>'R.M Billets Reports'!E1468</f>
      </c>
      <c r="I1469">
        <f>'R.M Billets Reports'!F1468</f>
      </c>
      <c r="J1469">
        <f>'R.M Billets Reports'!G1468</f>
      </c>
      <c r="K1469">
        <f>'R.M Billets Reports'!H1468</f>
      </c>
      <c r="L1469">
        <f>IF('R.M Billets Reports'!I1468="","",'R.M Billets Reports'!I1468)</f>
      </c>
      <c r="M1469">
        <f t="shared" si="44"/>
      </c>
      <c r="N1469">
        <f>IF('R.M Billets Reports'!J1468="","",'R.M Billets Reports'!J1468)</f>
      </c>
      <c r="O1469">
        <f t="shared" si="45"/>
      </c>
      <c r="P1469">
        <f>IF('R.M Billets Reports'!A1468="SIZE",'R.M Billets Reports'!B1468,P1468)</f>
      </c>
    </row>
    <row r="1470" spans="1:16" x14ac:dyDescent="0.25">
      <c r="A1470">
        <f>IF(OR('R.M Billets Reports'!A1469="Date-",'R.M Billets Reports'!A1469="Date:-"),IF(IF(IF(ISNUMBER(SEARCH("Party Name:-",'R.M Billets Reports'!D1469)),TRIM('R.M Billets Reports'!F1469),IF(ISNUMBER(SEARCH("Party Name-",'R.M Billets Reports'!D1469)),TRIM(MID('R.M Billets Reports'!D1469,SEARCH("-",'R.M Billets Reports'!D1469)+1,200)),""))&lt;&gt;"",IF(ISNUMBER(SEARCH("Party Name:-",'R.M Billets Reports'!D1469)),TRIM('R.M Billets Reports'!F1469),IF(ISNUMBER(SEARCH("Party Name-",'R.M Billets Reports'!D1469)),TRIM(MID('R.M Billets Reports'!D1469,SEARCH("-",'R.M Billets Reports'!D1469)+1,200)),"")),IF(ISNUMBER(SEARCH("Party Name:-",'R.M Billets Reports'!D1470)),TRIM('R.M Billets Reports'!F1470),IF(ISNUMBER(SEARCH("Party Name-",'R.M Billets Reports'!D1470)),TRIM(MID('R.M Billets Reports'!D1470,SEARCH("-",'R.M Billets Reports'!D1470)+1,200)),"")))="VRKP ISPAT PVT LTD","VRKP",IF(IF(IF(ISNUMBER(SEARCH("Party Name:-",'R.M Billets Reports'!D1469)),TRIM('R.M Billets Reports'!F1469),IF(ISNUMBER(SEARCH("Party Name-",'R.M Billets Reports'!D1469)),TRIM(MID('R.M Billets Reports'!D1469,SEARCH("-",'R.M Billets Reports'!D1469)+1,200)),""))&lt;&gt;"",IF(ISNUMBER(SEARCH("Party Name:-",'R.M Billets Reports'!D1469)),TRIM('R.M Billets Reports'!F1469),IF(ISNUMBER(SEARCH("Party Name-",'R.M Billets Reports'!D1469)),TRIM(MID('R.M Billets Reports'!D1469,SEARCH("-",'R.M Billets Reports'!D1469)+1,200)),"")),IF(ISNUMBER(SEARCH("Party Name:-",'R.M Billets Reports'!D1470)),TRIM('R.M Billets Reports'!F1470),IF(ISNUMBER(SEARCH("Party Name-",'R.M Billets Reports'!D1470)),TRIM(MID('R.M Billets Reports'!D1470,SEARCH("-",'R.M Billets Reports'!D1470)+1,200)),"")))="SHRI RADHE","SHREE RADHE",IF(IF(IF(ISNUMBER(SEARCH("Party Name:-",'R.M Billets Reports'!D1469)),TRIM('R.M Billets Reports'!F1469),IF(ISNUMBER(SEARCH("Party Name-",'R.M Billets Reports'!D1469)),TRIM(MID('R.M Billets Reports'!D1469,SEARCH("-",'R.M Billets Reports'!D1469)+1,200)),""))&lt;&gt;"",IF(ISNUMBER(SEARCH("Party Name:-",'R.M Billets Reports'!D1469)),TRIM('R.M Billets Reports'!F1469),IF(ISNUMBER(SEARCH("Party Name-",'R.M Billets Reports'!D1469)),TRIM(MID('R.M Billets Reports'!D1469,SEARCH("-",'R.M Billets Reports'!D1469)+1,200)),"")),IF(ISNUMBER(SEARCH("Party Name:-",'R.M Billets Reports'!D1470)),TRIM('R.M Billets Reports'!F1470),IF(ISNUMBER(SEARCH("Party Name-",'R.M Billets Reports'!D1470)),TRIM(MID('R.M Billets Reports'!D1470,SEARCH("-",'R.M Billets Reports'!D1470)+1,200)),"")))="SHREE RADHE SHAKTI SPONGE AND POWER PVT. LTD.","SHREE RADHE",IF(IF(ISNUMBER(SEARCH("Party Name:-",'R.M Billets Reports'!D1469)),TRIM('R.M Billets Reports'!F1469),IF(ISNUMBER(SEARCH("Party Name-",'R.M Billets Reports'!D1469)),TRIM(MID('R.M Billets Reports'!D1469,SEARCH("-",'R.M Billets Reports'!D1469)+1,200)),""))&lt;&gt;"",IF(ISNUMBER(SEARCH("Party Name:-",'R.M Billets Reports'!D1469)),TRIM('R.M Billets Reports'!F1469),IF(ISNUMBER(SEARCH("Party Name-",'R.M Billets Reports'!D1469)),TRIM(MID('R.M Billets Reports'!D1469,SEARCH("-",'R.M Billets Reports'!D1469)+1,200)),"")),IF(ISNUMBER(SEARCH("Party Name:-",'R.M Billets Reports'!D1470)),TRIM('R.M Billets Reports'!F1470),IF(ISNUMBER(SEARCH("Party Name-",'R.M Billets Reports'!D1470)),TRIM(MID('R.M Billets Reports'!D1470,SEARCH("-",'R.M Billets Reports'!D1470)+1,200)),"")))))),IF(ROW()=2,"",A1469))</f>
      </c>
      <c r="B1470">
        <f>IF(OR('R.M Billets Reports'!A1469="Date-",'R.M Billets Reports'!A1469="Date:-"),'R.M Billets Reports'!B1469,IF(ROW()=2,"",B1469))</f>
      </c>
      <c r="C1470">
        <f>IF('R.M Billets Reports'!A1469="V.No.",'R.M Billets Reports'!B1469,IF(ROW()=2,"",C1469))</f>
      </c>
      <c r="D1470">
        <f>IF('R.M Billets Reports'!A1469&lt;&gt;"",'R.M Billets Reports'!A1469,IF(ROW()=2,"",D1469))</f>
      </c>
      <c r="E1470">
        <f>IF('R.M Billets Reports'!B1469="","",TRIM('R.M Billets Reports'!B1469))</f>
      </c>
      <c r="F1470">
        <f>'R.M Billets Reports'!C1469</f>
      </c>
      <c r="G1470">
        <f>'R.M Billets Reports'!D1469</f>
      </c>
      <c r="H1470">
        <f>'R.M Billets Reports'!E1469</f>
      </c>
      <c r="I1470">
        <f>'R.M Billets Reports'!F1469</f>
      </c>
      <c r="J1470">
        <f>'R.M Billets Reports'!G1469</f>
      </c>
      <c r="K1470">
        <f>'R.M Billets Reports'!H1469</f>
      </c>
      <c r="L1470">
        <f>IF('R.M Billets Reports'!I1469="","",'R.M Billets Reports'!I1469)</f>
      </c>
      <c r="M1470">
        <f t="shared" si="44"/>
      </c>
      <c r="N1470">
        <f>IF('R.M Billets Reports'!J1469="","",'R.M Billets Reports'!J1469)</f>
      </c>
      <c r="O1470">
        <f t="shared" si="45"/>
      </c>
      <c r="P1470">
        <f>IF('R.M Billets Reports'!A1469="SIZE",'R.M Billets Reports'!B1469,P1469)</f>
      </c>
    </row>
    <row r="1471" spans="1:16" x14ac:dyDescent="0.25">
      <c r="A1471">
        <f>IF(OR('R.M Billets Reports'!A1470="Date-",'R.M Billets Reports'!A1470="Date:-"),IF(IF(IF(ISNUMBER(SEARCH("Party Name:-",'R.M Billets Reports'!D1470)),TRIM('R.M Billets Reports'!F1470),IF(ISNUMBER(SEARCH("Party Name-",'R.M Billets Reports'!D1470)),TRIM(MID('R.M Billets Reports'!D1470,SEARCH("-",'R.M Billets Reports'!D1470)+1,200)),""))&lt;&gt;"",IF(ISNUMBER(SEARCH("Party Name:-",'R.M Billets Reports'!D1470)),TRIM('R.M Billets Reports'!F1470),IF(ISNUMBER(SEARCH("Party Name-",'R.M Billets Reports'!D1470)),TRIM(MID('R.M Billets Reports'!D1470,SEARCH("-",'R.M Billets Reports'!D1470)+1,200)),"")),IF(ISNUMBER(SEARCH("Party Name:-",'R.M Billets Reports'!D1471)),TRIM('R.M Billets Reports'!F1471),IF(ISNUMBER(SEARCH("Party Name-",'R.M Billets Reports'!D1471)),TRIM(MID('R.M Billets Reports'!D1471,SEARCH("-",'R.M Billets Reports'!D1471)+1,200)),"")))="VRKP ISPAT PVT LTD","VRKP",IF(IF(IF(ISNUMBER(SEARCH("Party Name:-",'R.M Billets Reports'!D1470)),TRIM('R.M Billets Reports'!F1470),IF(ISNUMBER(SEARCH("Party Name-",'R.M Billets Reports'!D1470)),TRIM(MID('R.M Billets Reports'!D1470,SEARCH("-",'R.M Billets Reports'!D1470)+1,200)),""))&lt;&gt;"",IF(ISNUMBER(SEARCH("Party Name:-",'R.M Billets Reports'!D1470)),TRIM('R.M Billets Reports'!F1470),IF(ISNUMBER(SEARCH("Party Name-",'R.M Billets Reports'!D1470)),TRIM(MID('R.M Billets Reports'!D1470,SEARCH("-",'R.M Billets Reports'!D1470)+1,200)),"")),IF(ISNUMBER(SEARCH("Party Name:-",'R.M Billets Reports'!D1471)),TRIM('R.M Billets Reports'!F1471),IF(ISNUMBER(SEARCH("Party Name-",'R.M Billets Reports'!D1471)),TRIM(MID('R.M Billets Reports'!D1471,SEARCH("-",'R.M Billets Reports'!D1471)+1,200)),"")))="SHRI RADHE","SHREE RADHE",IF(IF(IF(ISNUMBER(SEARCH("Party Name:-",'R.M Billets Reports'!D1470)),TRIM('R.M Billets Reports'!F1470),IF(ISNUMBER(SEARCH("Party Name-",'R.M Billets Reports'!D1470)),TRIM(MID('R.M Billets Reports'!D1470,SEARCH("-",'R.M Billets Reports'!D1470)+1,200)),""))&lt;&gt;"",IF(ISNUMBER(SEARCH("Party Name:-",'R.M Billets Reports'!D1470)),TRIM('R.M Billets Reports'!F1470),IF(ISNUMBER(SEARCH("Party Name-",'R.M Billets Reports'!D1470)),TRIM(MID('R.M Billets Reports'!D1470,SEARCH("-",'R.M Billets Reports'!D1470)+1,200)),"")),IF(ISNUMBER(SEARCH("Party Name:-",'R.M Billets Reports'!D1471)),TRIM('R.M Billets Reports'!F1471),IF(ISNUMBER(SEARCH("Party Name-",'R.M Billets Reports'!D1471)),TRIM(MID('R.M Billets Reports'!D1471,SEARCH("-",'R.M Billets Reports'!D1471)+1,200)),"")))="SHREE RADHE SHAKTI SPONGE AND POWER PVT. LTD.","SHREE RADHE",IF(IF(ISNUMBER(SEARCH("Party Name:-",'R.M Billets Reports'!D1470)),TRIM('R.M Billets Reports'!F1470),IF(ISNUMBER(SEARCH("Party Name-",'R.M Billets Reports'!D1470)),TRIM(MID('R.M Billets Reports'!D1470,SEARCH("-",'R.M Billets Reports'!D1470)+1,200)),""))&lt;&gt;"",IF(ISNUMBER(SEARCH("Party Name:-",'R.M Billets Reports'!D1470)),TRIM('R.M Billets Reports'!F1470),IF(ISNUMBER(SEARCH("Party Name-",'R.M Billets Reports'!D1470)),TRIM(MID('R.M Billets Reports'!D1470,SEARCH("-",'R.M Billets Reports'!D1470)+1,200)),"")),IF(ISNUMBER(SEARCH("Party Name:-",'R.M Billets Reports'!D1471)),TRIM('R.M Billets Reports'!F1471),IF(ISNUMBER(SEARCH("Party Name-",'R.M Billets Reports'!D1471)),TRIM(MID('R.M Billets Reports'!D1471,SEARCH("-",'R.M Billets Reports'!D1471)+1,200)),"")))))),IF(ROW()=2,"",A1470))</f>
      </c>
      <c r="B1471">
        <f>IF(OR('R.M Billets Reports'!A1470="Date-",'R.M Billets Reports'!A1470="Date:-"),'R.M Billets Reports'!B1470,IF(ROW()=2,"",B1470))</f>
      </c>
      <c r="C1471">
        <f>IF('R.M Billets Reports'!A1470="V.No.",'R.M Billets Reports'!B1470,IF(ROW()=2,"",C1470))</f>
      </c>
      <c r="D1471">
        <f>IF('R.M Billets Reports'!A1470&lt;&gt;"",'R.M Billets Reports'!A1470,IF(ROW()=2,"",D1470))</f>
      </c>
      <c r="E1471">
        <f>IF('R.M Billets Reports'!B1470="","",TRIM('R.M Billets Reports'!B1470))</f>
      </c>
      <c r="F1471">
        <f>'R.M Billets Reports'!C1470</f>
      </c>
      <c r="G1471">
        <f>'R.M Billets Reports'!D1470</f>
      </c>
      <c r="H1471">
        <f>'R.M Billets Reports'!E1470</f>
      </c>
      <c r="I1471">
        <f>'R.M Billets Reports'!F1470</f>
      </c>
      <c r="J1471">
        <f>'R.M Billets Reports'!G1470</f>
      </c>
      <c r="K1471">
        <f>'R.M Billets Reports'!H1470</f>
      </c>
      <c r="L1471">
        <f>IF('R.M Billets Reports'!I1470="","",'R.M Billets Reports'!I1470)</f>
      </c>
      <c r="M1471">
        <f t="shared" si="44"/>
      </c>
      <c r="N1471">
        <f>IF('R.M Billets Reports'!J1470="","",'R.M Billets Reports'!J1470)</f>
      </c>
      <c r="O1471">
        <f t="shared" si="45"/>
      </c>
      <c r="P1471">
        <f>IF('R.M Billets Reports'!A1470="SIZE",'R.M Billets Reports'!B1470,P1470)</f>
      </c>
    </row>
    <row r="1472" spans="1:16" x14ac:dyDescent="0.25">
      <c r="A1472">
        <f>IF(OR('R.M Billets Reports'!A1471="Date-",'R.M Billets Reports'!A1471="Date:-"),IF(IF(IF(ISNUMBER(SEARCH("Party Name:-",'R.M Billets Reports'!D1471)),TRIM('R.M Billets Reports'!F1471),IF(ISNUMBER(SEARCH("Party Name-",'R.M Billets Reports'!D1471)),TRIM(MID('R.M Billets Reports'!D1471,SEARCH("-",'R.M Billets Reports'!D1471)+1,200)),""))&lt;&gt;"",IF(ISNUMBER(SEARCH("Party Name:-",'R.M Billets Reports'!D1471)),TRIM('R.M Billets Reports'!F1471),IF(ISNUMBER(SEARCH("Party Name-",'R.M Billets Reports'!D1471)),TRIM(MID('R.M Billets Reports'!D1471,SEARCH("-",'R.M Billets Reports'!D1471)+1,200)),"")),IF(ISNUMBER(SEARCH("Party Name:-",'R.M Billets Reports'!D1472)),TRIM('R.M Billets Reports'!F1472),IF(ISNUMBER(SEARCH("Party Name-",'R.M Billets Reports'!D1472)),TRIM(MID('R.M Billets Reports'!D1472,SEARCH("-",'R.M Billets Reports'!D1472)+1,200)),"")))="VRKP ISPAT PVT LTD","VRKP",IF(IF(IF(ISNUMBER(SEARCH("Party Name:-",'R.M Billets Reports'!D1471)),TRIM('R.M Billets Reports'!F1471),IF(ISNUMBER(SEARCH("Party Name-",'R.M Billets Reports'!D1471)),TRIM(MID('R.M Billets Reports'!D1471,SEARCH("-",'R.M Billets Reports'!D1471)+1,200)),""))&lt;&gt;"",IF(ISNUMBER(SEARCH("Party Name:-",'R.M Billets Reports'!D1471)),TRIM('R.M Billets Reports'!F1471),IF(ISNUMBER(SEARCH("Party Name-",'R.M Billets Reports'!D1471)),TRIM(MID('R.M Billets Reports'!D1471,SEARCH("-",'R.M Billets Reports'!D1471)+1,200)),"")),IF(ISNUMBER(SEARCH("Party Name:-",'R.M Billets Reports'!D1472)),TRIM('R.M Billets Reports'!F1472),IF(ISNUMBER(SEARCH("Party Name-",'R.M Billets Reports'!D1472)),TRIM(MID('R.M Billets Reports'!D1472,SEARCH("-",'R.M Billets Reports'!D1472)+1,200)),"")))="SHRI RADHE","SHREE RADHE",IF(IF(IF(ISNUMBER(SEARCH("Party Name:-",'R.M Billets Reports'!D1471)),TRIM('R.M Billets Reports'!F1471),IF(ISNUMBER(SEARCH("Party Name-",'R.M Billets Reports'!D1471)),TRIM(MID('R.M Billets Reports'!D1471,SEARCH("-",'R.M Billets Reports'!D1471)+1,200)),""))&lt;&gt;"",IF(ISNUMBER(SEARCH("Party Name:-",'R.M Billets Reports'!D1471)),TRIM('R.M Billets Reports'!F1471),IF(ISNUMBER(SEARCH("Party Name-",'R.M Billets Reports'!D1471)),TRIM(MID('R.M Billets Reports'!D1471,SEARCH("-",'R.M Billets Reports'!D1471)+1,200)),"")),IF(ISNUMBER(SEARCH("Party Name:-",'R.M Billets Reports'!D1472)),TRIM('R.M Billets Reports'!F1472),IF(ISNUMBER(SEARCH("Party Name-",'R.M Billets Reports'!D1472)),TRIM(MID('R.M Billets Reports'!D1472,SEARCH("-",'R.M Billets Reports'!D1472)+1,200)),"")))="SHREE RADHE SHAKTI SPONGE AND POWER PVT. LTD.","SHREE RADHE",IF(IF(ISNUMBER(SEARCH("Party Name:-",'R.M Billets Reports'!D1471)),TRIM('R.M Billets Reports'!F1471),IF(ISNUMBER(SEARCH("Party Name-",'R.M Billets Reports'!D1471)),TRIM(MID('R.M Billets Reports'!D1471,SEARCH("-",'R.M Billets Reports'!D1471)+1,200)),""))&lt;&gt;"",IF(ISNUMBER(SEARCH("Party Name:-",'R.M Billets Reports'!D1471)),TRIM('R.M Billets Reports'!F1471),IF(ISNUMBER(SEARCH("Party Name-",'R.M Billets Reports'!D1471)),TRIM(MID('R.M Billets Reports'!D1471,SEARCH("-",'R.M Billets Reports'!D1471)+1,200)),"")),IF(ISNUMBER(SEARCH("Party Name:-",'R.M Billets Reports'!D1472)),TRIM('R.M Billets Reports'!F1472),IF(ISNUMBER(SEARCH("Party Name-",'R.M Billets Reports'!D1472)),TRIM(MID('R.M Billets Reports'!D1472,SEARCH("-",'R.M Billets Reports'!D1472)+1,200)),"")))))),IF(ROW()=2,"",A1471))</f>
      </c>
      <c r="B1472">
        <f>IF(OR('R.M Billets Reports'!A1471="Date-",'R.M Billets Reports'!A1471="Date:-"),'R.M Billets Reports'!B1471,IF(ROW()=2,"",B1471))</f>
      </c>
      <c r="C1472">
        <f>IF('R.M Billets Reports'!A1471="V.No.",'R.M Billets Reports'!B1471,IF(ROW()=2,"",C1471))</f>
      </c>
      <c r="D1472">
        <f>IF('R.M Billets Reports'!A1471&lt;&gt;"",'R.M Billets Reports'!A1471,IF(ROW()=2,"",D1471))</f>
      </c>
      <c r="E1472">
        <f>IF('R.M Billets Reports'!B1471="","",TRIM('R.M Billets Reports'!B1471))</f>
      </c>
      <c r="F1472">
        <f>'R.M Billets Reports'!C1471</f>
      </c>
      <c r="G1472">
        <f>'R.M Billets Reports'!D1471</f>
      </c>
      <c r="H1472">
        <f>'R.M Billets Reports'!E1471</f>
      </c>
      <c r="I1472">
        <f>'R.M Billets Reports'!F1471</f>
      </c>
      <c r="J1472">
        <f>'R.M Billets Reports'!G1471</f>
      </c>
      <c r="K1472">
        <f>'R.M Billets Reports'!H1471</f>
      </c>
      <c r="L1472">
        <f>IF('R.M Billets Reports'!I1471="","",'R.M Billets Reports'!I1471)</f>
      </c>
      <c r="M1472">
        <f t="shared" si="44"/>
      </c>
      <c r="N1472">
        <f>IF('R.M Billets Reports'!J1471="","",'R.M Billets Reports'!J1471)</f>
      </c>
      <c r="O1472">
        <f t="shared" si="45"/>
      </c>
      <c r="P1472">
        <f>IF('R.M Billets Reports'!A1471="SIZE",'R.M Billets Reports'!B1471,P1471)</f>
      </c>
    </row>
    <row r="1473" spans="1:16" x14ac:dyDescent="0.25">
      <c r="A1473">
        <f>IF(OR('R.M Billets Reports'!A1472="Date-",'R.M Billets Reports'!A1472="Date:-"),IF(IF(IF(ISNUMBER(SEARCH("Party Name:-",'R.M Billets Reports'!D1472)),TRIM('R.M Billets Reports'!F1472),IF(ISNUMBER(SEARCH("Party Name-",'R.M Billets Reports'!D1472)),TRIM(MID('R.M Billets Reports'!D1472,SEARCH("-",'R.M Billets Reports'!D1472)+1,200)),""))&lt;&gt;"",IF(ISNUMBER(SEARCH("Party Name:-",'R.M Billets Reports'!D1472)),TRIM('R.M Billets Reports'!F1472),IF(ISNUMBER(SEARCH("Party Name-",'R.M Billets Reports'!D1472)),TRIM(MID('R.M Billets Reports'!D1472,SEARCH("-",'R.M Billets Reports'!D1472)+1,200)),"")),IF(ISNUMBER(SEARCH("Party Name:-",'R.M Billets Reports'!D1473)),TRIM('R.M Billets Reports'!F1473),IF(ISNUMBER(SEARCH("Party Name-",'R.M Billets Reports'!D1473)),TRIM(MID('R.M Billets Reports'!D1473,SEARCH("-",'R.M Billets Reports'!D1473)+1,200)),"")))="VRKP ISPAT PVT LTD","VRKP",IF(IF(IF(ISNUMBER(SEARCH("Party Name:-",'R.M Billets Reports'!D1472)),TRIM('R.M Billets Reports'!F1472),IF(ISNUMBER(SEARCH("Party Name-",'R.M Billets Reports'!D1472)),TRIM(MID('R.M Billets Reports'!D1472,SEARCH("-",'R.M Billets Reports'!D1472)+1,200)),""))&lt;&gt;"",IF(ISNUMBER(SEARCH("Party Name:-",'R.M Billets Reports'!D1472)),TRIM('R.M Billets Reports'!F1472),IF(ISNUMBER(SEARCH("Party Name-",'R.M Billets Reports'!D1472)),TRIM(MID('R.M Billets Reports'!D1472,SEARCH("-",'R.M Billets Reports'!D1472)+1,200)),"")),IF(ISNUMBER(SEARCH("Party Name:-",'R.M Billets Reports'!D1473)),TRIM('R.M Billets Reports'!F1473),IF(ISNUMBER(SEARCH("Party Name-",'R.M Billets Reports'!D1473)),TRIM(MID('R.M Billets Reports'!D1473,SEARCH("-",'R.M Billets Reports'!D1473)+1,200)),"")))="SHRI RADHE","SHREE RADHE",IF(IF(IF(ISNUMBER(SEARCH("Party Name:-",'R.M Billets Reports'!D1472)),TRIM('R.M Billets Reports'!F1472),IF(ISNUMBER(SEARCH("Party Name-",'R.M Billets Reports'!D1472)),TRIM(MID('R.M Billets Reports'!D1472,SEARCH("-",'R.M Billets Reports'!D1472)+1,200)),""))&lt;&gt;"",IF(ISNUMBER(SEARCH("Party Name:-",'R.M Billets Reports'!D1472)),TRIM('R.M Billets Reports'!F1472),IF(ISNUMBER(SEARCH("Party Name-",'R.M Billets Reports'!D1472)),TRIM(MID('R.M Billets Reports'!D1472,SEARCH("-",'R.M Billets Reports'!D1472)+1,200)),"")),IF(ISNUMBER(SEARCH("Party Name:-",'R.M Billets Reports'!D1473)),TRIM('R.M Billets Reports'!F1473),IF(ISNUMBER(SEARCH("Party Name-",'R.M Billets Reports'!D1473)),TRIM(MID('R.M Billets Reports'!D1473,SEARCH("-",'R.M Billets Reports'!D1473)+1,200)),"")))="SHREE RADHE SHAKTI SPONGE AND POWER PVT. LTD.","SHREE RADHE",IF(IF(ISNUMBER(SEARCH("Party Name:-",'R.M Billets Reports'!D1472)),TRIM('R.M Billets Reports'!F1472),IF(ISNUMBER(SEARCH("Party Name-",'R.M Billets Reports'!D1472)),TRIM(MID('R.M Billets Reports'!D1472,SEARCH("-",'R.M Billets Reports'!D1472)+1,200)),""))&lt;&gt;"",IF(ISNUMBER(SEARCH("Party Name:-",'R.M Billets Reports'!D1472)),TRIM('R.M Billets Reports'!F1472),IF(ISNUMBER(SEARCH("Party Name-",'R.M Billets Reports'!D1472)),TRIM(MID('R.M Billets Reports'!D1472,SEARCH("-",'R.M Billets Reports'!D1472)+1,200)),"")),IF(ISNUMBER(SEARCH("Party Name:-",'R.M Billets Reports'!D1473)),TRIM('R.M Billets Reports'!F1473),IF(ISNUMBER(SEARCH("Party Name-",'R.M Billets Reports'!D1473)),TRIM(MID('R.M Billets Reports'!D1473,SEARCH("-",'R.M Billets Reports'!D1473)+1,200)),"")))))),IF(ROW()=2,"",A1472))</f>
      </c>
      <c r="B1473">
        <f>IF(OR('R.M Billets Reports'!A1472="Date-",'R.M Billets Reports'!A1472="Date:-"),'R.M Billets Reports'!B1472,IF(ROW()=2,"",B1472))</f>
      </c>
      <c r="C1473">
        <f>IF('R.M Billets Reports'!A1472="V.No.",'R.M Billets Reports'!B1472,IF(ROW()=2,"",C1472))</f>
      </c>
      <c r="D1473">
        <f>IF('R.M Billets Reports'!A1472&lt;&gt;"",'R.M Billets Reports'!A1472,IF(ROW()=2,"",D1472))</f>
      </c>
      <c r="E1473">
        <f>IF('R.M Billets Reports'!B1472="","",TRIM('R.M Billets Reports'!B1472))</f>
      </c>
      <c r="F1473">
        <f>'R.M Billets Reports'!C1472</f>
      </c>
      <c r="G1473">
        <f>'R.M Billets Reports'!D1472</f>
      </c>
      <c r="H1473">
        <f>'R.M Billets Reports'!E1472</f>
      </c>
      <c r="I1473">
        <f>'R.M Billets Reports'!F1472</f>
      </c>
      <c r="J1473">
        <f>'R.M Billets Reports'!G1472</f>
      </c>
      <c r="K1473">
        <f>'R.M Billets Reports'!H1472</f>
      </c>
      <c r="L1473">
        <f>IF('R.M Billets Reports'!I1472="","",'R.M Billets Reports'!I1472)</f>
      </c>
      <c r="M1473">
        <f t="shared" si="44"/>
      </c>
      <c r="N1473">
        <f>IF('R.M Billets Reports'!J1472="","",'R.M Billets Reports'!J1472)</f>
      </c>
      <c r="O1473">
        <f t="shared" si="45"/>
      </c>
      <c r="P1473">
        <f>IF('R.M Billets Reports'!A1472="SIZE",'R.M Billets Reports'!B1472,P1472)</f>
      </c>
    </row>
    <row r="1474" spans="1:16" x14ac:dyDescent="0.25">
      <c r="A1474">
        <f>IF(OR('R.M Billets Reports'!A1473="Date-",'R.M Billets Reports'!A1473="Date:-"),IF(IF(IF(ISNUMBER(SEARCH("Party Name:-",'R.M Billets Reports'!D1473)),TRIM('R.M Billets Reports'!F1473),IF(ISNUMBER(SEARCH("Party Name-",'R.M Billets Reports'!D1473)),TRIM(MID('R.M Billets Reports'!D1473,SEARCH("-",'R.M Billets Reports'!D1473)+1,200)),""))&lt;&gt;"",IF(ISNUMBER(SEARCH("Party Name:-",'R.M Billets Reports'!D1473)),TRIM('R.M Billets Reports'!F1473),IF(ISNUMBER(SEARCH("Party Name-",'R.M Billets Reports'!D1473)),TRIM(MID('R.M Billets Reports'!D1473,SEARCH("-",'R.M Billets Reports'!D1473)+1,200)),"")),IF(ISNUMBER(SEARCH("Party Name:-",'R.M Billets Reports'!D1474)),TRIM('R.M Billets Reports'!F1474),IF(ISNUMBER(SEARCH("Party Name-",'R.M Billets Reports'!D1474)),TRIM(MID('R.M Billets Reports'!D1474,SEARCH("-",'R.M Billets Reports'!D1474)+1,200)),"")))="VRKP ISPAT PVT LTD","VRKP",IF(IF(IF(ISNUMBER(SEARCH("Party Name:-",'R.M Billets Reports'!D1473)),TRIM('R.M Billets Reports'!F1473),IF(ISNUMBER(SEARCH("Party Name-",'R.M Billets Reports'!D1473)),TRIM(MID('R.M Billets Reports'!D1473,SEARCH("-",'R.M Billets Reports'!D1473)+1,200)),""))&lt;&gt;"",IF(ISNUMBER(SEARCH("Party Name:-",'R.M Billets Reports'!D1473)),TRIM('R.M Billets Reports'!F1473),IF(ISNUMBER(SEARCH("Party Name-",'R.M Billets Reports'!D1473)),TRIM(MID('R.M Billets Reports'!D1473,SEARCH("-",'R.M Billets Reports'!D1473)+1,200)),"")),IF(ISNUMBER(SEARCH("Party Name:-",'R.M Billets Reports'!D1474)),TRIM('R.M Billets Reports'!F1474),IF(ISNUMBER(SEARCH("Party Name-",'R.M Billets Reports'!D1474)),TRIM(MID('R.M Billets Reports'!D1474,SEARCH("-",'R.M Billets Reports'!D1474)+1,200)),"")))="SHRI RADHE","SHREE RADHE",IF(IF(IF(ISNUMBER(SEARCH("Party Name:-",'R.M Billets Reports'!D1473)),TRIM('R.M Billets Reports'!F1473),IF(ISNUMBER(SEARCH("Party Name-",'R.M Billets Reports'!D1473)),TRIM(MID('R.M Billets Reports'!D1473,SEARCH("-",'R.M Billets Reports'!D1473)+1,200)),""))&lt;&gt;"",IF(ISNUMBER(SEARCH("Party Name:-",'R.M Billets Reports'!D1473)),TRIM('R.M Billets Reports'!F1473),IF(ISNUMBER(SEARCH("Party Name-",'R.M Billets Reports'!D1473)),TRIM(MID('R.M Billets Reports'!D1473,SEARCH("-",'R.M Billets Reports'!D1473)+1,200)),"")),IF(ISNUMBER(SEARCH("Party Name:-",'R.M Billets Reports'!D1474)),TRIM('R.M Billets Reports'!F1474),IF(ISNUMBER(SEARCH("Party Name-",'R.M Billets Reports'!D1474)),TRIM(MID('R.M Billets Reports'!D1474,SEARCH("-",'R.M Billets Reports'!D1474)+1,200)),"")))="SHREE RADHE SHAKTI SPONGE AND POWER PVT. LTD.","SHREE RADHE",IF(IF(ISNUMBER(SEARCH("Party Name:-",'R.M Billets Reports'!D1473)),TRIM('R.M Billets Reports'!F1473),IF(ISNUMBER(SEARCH("Party Name-",'R.M Billets Reports'!D1473)),TRIM(MID('R.M Billets Reports'!D1473,SEARCH("-",'R.M Billets Reports'!D1473)+1,200)),""))&lt;&gt;"",IF(ISNUMBER(SEARCH("Party Name:-",'R.M Billets Reports'!D1473)),TRIM('R.M Billets Reports'!F1473),IF(ISNUMBER(SEARCH("Party Name-",'R.M Billets Reports'!D1473)),TRIM(MID('R.M Billets Reports'!D1473,SEARCH("-",'R.M Billets Reports'!D1473)+1,200)),"")),IF(ISNUMBER(SEARCH("Party Name:-",'R.M Billets Reports'!D1474)),TRIM('R.M Billets Reports'!F1474),IF(ISNUMBER(SEARCH("Party Name-",'R.M Billets Reports'!D1474)),TRIM(MID('R.M Billets Reports'!D1474,SEARCH("-",'R.M Billets Reports'!D1474)+1,200)),"")))))),IF(ROW()=2,"",A1473))</f>
      </c>
      <c r="B1474">
        <f>IF(OR('R.M Billets Reports'!A1473="Date-",'R.M Billets Reports'!A1473="Date:-"),'R.M Billets Reports'!B1473,IF(ROW()=2,"",B1473))</f>
      </c>
      <c r="C1474">
        <f>IF('R.M Billets Reports'!A1473="V.No.",'R.M Billets Reports'!B1473,IF(ROW()=2,"",C1473))</f>
      </c>
      <c r="D1474">
        <f>IF('R.M Billets Reports'!A1473&lt;&gt;"",'R.M Billets Reports'!A1473,IF(ROW()=2,"",D1473))</f>
      </c>
      <c r="E1474">
        <f>IF('R.M Billets Reports'!B1473="","",TRIM('R.M Billets Reports'!B1473))</f>
      </c>
      <c r="F1474">
        <f>'R.M Billets Reports'!C1473</f>
      </c>
      <c r="G1474">
        <f>'R.M Billets Reports'!D1473</f>
      </c>
      <c r="H1474">
        <f>'R.M Billets Reports'!E1473</f>
      </c>
      <c r="I1474">
        <f>'R.M Billets Reports'!F1473</f>
      </c>
      <c r="J1474">
        <f>'R.M Billets Reports'!G1473</f>
      </c>
      <c r="K1474">
        <f>'R.M Billets Reports'!H1473</f>
      </c>
      <c r="L1474">
        <f>IF('R.M Billets Reports'!I1473="","",'R.M Billets Reports'!I1473)</f>
      </c>
      <c r="M1474">
        <f t="shared" si="44"/>
      </c>
      <c r="N1474">
        <f>IF('R.M Billets Reports'!J1473="","",'R.M Billets Reports'!J1473)</f>
      </c>
      <c r="O1474">
        <f t="shared" si="45"/>
      </c>
      <c r="P1474">
        <f>IF('R.M Billets Reports'!A1473="SIZE",'R.M Billets Reports'!B1473,P1473)</f>
      </c>
    </row>
    <row r="1475" spans="1:16" x14ac:dyDescent="0.25">
      <c r="A1475">
        <f>IF(OR('R.M Billets Reports'!A1474="Date-",'R.M Billets Reports'!A1474="Date:-"),IF(IF(IF(ISNUMBER(SEARCH("Party Name:-",'R.M Billets Reports'!D1474)),TRIM('R.M Billets Reports'!F1474),IF(ISNUMBER(SEARCH("Party Name-",'R.M Billets Reports'!D1474)),TRIM(MID('R.M Billets Reports'!D1474,SEARCH("-",'R.M Billets Reports'!D1474)+1,200)),""))&lt;&gt;"",IF(ISNUMBER(SEARCH("Party Name:-",'R.M Billets Reports'!D1474)),TRIM('R.M Billets Reports'!F1474),IF(ISNUMBER(SEARCH("Party Name-",'R.M Billets Reports'!D1474)),TRIM(MID('R.M Billets Reports'!D1474,SEARCH("-",'R.M Billets Reports'!D1474)+1,200)),"")),IF(ISNUMBER(SEARCH("Party Name:-",'R.M Billets Reports'!D1475)),TRIM('R.M Billets Reports'!F1475),IF(ISNUMBER(SEARCH("Party Name-",'R.M Billets Reports'!D1475)),TRIM(MID('R.M Billets Reports'!D1475,SEARCH("-",'R.M Billets Reports'!D1475)+1,200)),"")))="VRKP ISPAT PVT LTD","VRKP",IF(IF(IF(ISNUMBER(SEARCH("Party Name:-",'R.M Billets Reports'!D1474)),TRIM('R.M Billets Reports'!F1474),IF(ISNUMBER(SEARCH("Party Name-",'R.M Billets Reports'!D1474)),TRIM(MID('R.M Billets Reports'!D1474,SEARCH("-",'R.M Billets Reports'!D1474)+1,200)),""))&lt;&gt;"",IF(ISNUMBER(SEARCH("Party Name:-",'R.M Billets Reports'!D1474)),TRIM('R.M Billets Reports'!F1474),IF(ISNUMBER(SEARCH("Party Name-",'R.M Billets Reports'!D1474)),TRIM(MID('R.M Billets Reports'!D1474,SEARCH("-",'R.M Billets Reports'!D1474)+1,200)),"")),IF(ISNUMBER(SEARCH("Party Name:-",'R.M Billets Reports'!D1475)),TRIM('R.M Billets Reports'!F1475),IF(ISNUMBER(SEARCH("Party Name-",'R.M Billets Reports'!D1475)),TRIM(MID('R.M Billets Reports'!D1475,SEARCH("-",'R.M Billets Reports'!D1475)+1,200)),"")))="SHRI RADHE","SHREE RADHE",IF(IF(IF(ISNUMBER(SEARCH("Party Name:-",'R.M Billets Reports'!D1474)),TRIM('R.M Billets Reports'!F1474),IF(ISNUMBER(SEARCH("Party Name-",'R.M Billets Reports'!D1474)),TRIM(MID('R.M Billets Reports'!D1474,SEARCH("-",'R.M Billets Reports'!D1474)+1,200)),""))&lt;&gt;"",IF(ISNUMBER(SEARCH("Party Name:-",'R.M Billets Reports'!D1474)),TRIM('R.M Billets Reports'!F1474),IF(ISNUMBER(SEARCH("Party Name-",'R.M Billets Reports'!D1474)),TRIM(MID('R.M Billets Reports'!D1474,SEARCH("-",'R.M Billets Reports'!D1474)+1,200)),"")),IF(ISNUMBER(SEARCH("Party Name:-",'R.M Billets Reports'!D1475)),TRIM('R.M Billets Reports'!F1475),IF(ISNUMBER(SEARCH("Party Name-",'R.M Billets Reports'!D1475)),TRIM(MID('R.M Billets Reports'!D1475,SEARCH("-",'R.M Billets Reports'!D1475)+1,200)),"")))="SHREE RADHE SHAKTI SPONGE AND POWER PVT. LTD.","SHREE RADHE",IF(IF(ISNUMBER(SEARCH("Party Name:-",'R.M Billets Reports'!D1474)),TRIM('R.M Billets Reports'!F1474),IF(ISNUMBER(SEARCH("Party Name-",'R.M Billets Reports'!D1474)),TRIM(MID('R.M Billets Reports'!D1474,SEARCH("-",'R.M Billets Reports'!D1474)+1,200)),""))&lt;&gt;"",IF(ISNUMBER(SEARCH("Party Name:-",'R.M Billets Reports'!D1474)),TRIM('R.M Billets Reports'!F1474),IF(ISNUMBER(SEARCH("Party Name-",'R.M Billets Reports'!D1474)),TRIM(MID('R.M Billets Reports'!D1474,SEARCH("-",'R.M Billets Reports'!D1474)+1,200)),"")),IF(ISNUMBER(SEARCH("Party Name:-",'R.M Billets Reports'!D1475)),TRIM('R.M Billets Reports'!F1475),IF(ISNUMBER(SEARCH("Party Name-",'R.M Billets Reports'!D1475)),TRIM(MID('R.M Billets Reports'!D1475,SEARCH("-",'R.M Billets Reports'!D1475)+1,200)),"")))))),IF(ROW()=2,"",A1474))</f>
      </c>
      <c r="B1475">
        <f>IF(OR('R.M Billets Reports'!A1474="Date-",'R.M Billets Reports'!A1474="Date:-"),'R.M Billets Reports'!B1474,IF(ROW()=2,"",B1474))</f>
      </c>
      <c r="C1475">
        <f>IF('R.M Billets Reports'!A1474="V.No.",'R.M Billets Reports'!B1474,IF(ROW()=2,"",C1474))</f>
      </c>
      <c r="D1475">
        <f>IF('R.M Billets Reports'!A1474&lt;&gt;"",'R.M Billets Reports'!A1474,IF(ROW()=2,"",D1474))</f>
      </c>
      <c r="E1475">
        <f>IF('R.M Billets Reports'!B1474="","",TRIM('R.M Billets Reports'!B1474))</f>
      </c>
      <c r="F1475">
        <f>'R.M Billets Reports'!C1474</f>
      </c>
      <c r="G1475">
        <f>'R.M Billets Reports'!D1474</f>
      </c>
      <c r="H1475">
        <f>'R.M Billets Reports'!E1474</f>
      </c>
      <c r="I1475">
        <f>'R.M Billets Reports'!F1474</f>
      </c>
      <c r="J1475">
        <f>'R.M Billets Reports'!G1474</f>
      </c>
      <c r="K1475">
        <f>'R.M Billets Reports'!H1474</f>
      </c>
      <c r="L1475">
        <f>IF('R.M Billets Reports'!I1474="","",'R.M Billets Reports'!I1474)</f>
      </c>
      <c r="M1475">
        <f t="shared" ref="M1475:M1538" si="46">IF(L1475&lt;&gt;"",L1475,IF(D1475=D1474,M1474,""))</f>
      </c>
      <c r="N1475">
        <f>IF('R.M Billets Reports'!J1474="","",'R.M Billets Reports'!J1474)</f>
      </c>
      <c r="O1475">
        <f t="shared" ref="O1475:O1538" si="47">IF(N1475&lt;&gt;"",N1475,IF(D1475=D1474,O1474,""))</f>
      </c>
      <c r="P1475">
        <f>IF('R.M Billets Reports'!A1474="SIZE",'R.M Billets Reports'!B1474,P1474)</f>
      </c>
    </row>
    <row r="1476" spans="1:16" x14ac:dyDescent="0.25">
      <c r="A1476">
        <f>IF(OR('R.M Billets Reports'!A1475="Date-",'R.M Billets Reports'!A1475="Date:-"),IF(IF(IF(ISNUMBER(SEARCH("Party Name:-",'R.M Billets Reports'!D1475)),TRIM('R.M Billets Reports'!F1475),IF(ISNUMBER(SEARCH("Party Name-",'R.M Billets Reports'!D1475)),TRIM(MID('R.M Billets Reports'!D1475,SEARCH("-",'R.M Billets Reports'!D1475)+1,200)),""))&lt;&gt;"",IF(ISNUMBER(SEARCH("Party Name:-",'R.M Billets Reports'!D1475)),TRIM('R.M Billets Reports'!F1475),IF(ISNUMBER(SEARCH("Party Name-",'R.M Billets Reports'!D1475)),TRIM(MID('R.M Billets Reports'!D1475,SEARCH("-",'R.M Billets Reports'!D1475)+1,200)),"")),IF(ISNUMBER(SEARCH("Party Name:-",'R.M Billets Reports'!D1476)),TRIM('R.M Billets Reports'!F1476),IF(ISNUMBER(SEARCH("Party Name-",'R.M Billets Reports'!D1476)),TRIM(MID('R.M Billets Reports'!D1476,SEARCH("-",'R.M Billets Reports'!D1476)+1,200)),"")))="VRKP ISPAT PVT LTD","VRKP",IF(IF(IF(ISNUMBER(SEARCH("Party Name:-",'R.M Billets Reports'!D1475)),TRIM('R.M Billets Reports'!F1475),IF(ISNUMBER(SEARCH("Party Name-",'R.M Billets Reports'!D1475)),TRIM(MID('R.M Billets Reports'!D1475,SEARCH("-",'R.M Billets Reports'!D1475)+1,200)),""))&lt;&gt;"",IF(ISNUMBER(SEARCH("Party Name:-",'R.M Billets Reports'!D1475)),TRIM('R.M Billets Reports'!F1475),IF(ISNUMBER(SEARCH("Party Name-",'R.M Billets Reports'!D1475)),TRIM(MID('R.M Billets Reports'!D1475,SEARCH("-",'R.M Billets Reports'!D1475)+1,200)),"")),IF(ISNUMBER(SEARCH("Party Name:-",'R.M Billets Reports'!D1476)),TRIM('R.M Billets Reports'!F1476),IF(ISNUMBER(SEARCH("Party Name-",'R.M Billets Reports'!D1476)),TRIM(MID('R.M Billets Reports'!D1476,SEARCH("-",'R.M Billets Reports'!D1476)+1,200)),"")))="SHRI RADHE","SHREE RADHE",IF(IF(IF(ISNUMBER(SEARCH("Party Name:-",'R.M Billets Reports'!D1475)),TRIM('R.M Billets Reports'!F1475),IF(ISNUMBER(SEARCH("Party Name-",'R.M Billets Reports'!D1475)),TRIM(MID('R.M Billets Reports'!D1475,SEARCH("-",'R.M Billets Reports'!D1475)+1,200)),""))&lt;&gt;"",IF(ISNUMBER(SEARCH("Party Name:-",'R.M Billets Reports'!D1475)),TRIM('R.M Billets Reports'!F1475),IF(ISNUMBER(SEARCH("Party Name-",'R.M Billets Reports'!D1475)),TRIM(MID('R.M Billets Reports'!D1475,SEARCH("-",'R.M Billets Reports'!D1475)+1,200)),"")),IF(ISNUMBER(SEARCH("Party Name:-",'R.M Billets Reports'!D1476)),TRIM('R.M Billets Reports'!F1476),IF(ISNUMBER(SEARCH("Party Name-",'R.M Billets Reports'!D1476)),TRIM(MID('R.M Billets Reports'!D1476,SEARCH("-",'R.M Billets Reports'!D1476)+1,200)),"")))="SHREE RADHE SHAKTI SPONGE AND POWER PVT. LTD.","SHREE RADHE",IF(IF(ISNUMBER(SEARCH("Party Name:-",'R.M Billets Reports'!D1475)),TRIM('R.M Billets Reports'!F1475),IF(ISNUMBER(SEARCH("Party Name-",'R.M Billets Reports'!D1475)),TRIM(MID('R.M Billets Reports'!D1475,SEARCH("-",'R.M Billets Reports'!D1475)+1,200)),""))&lt;&gt;"",IF(ISNUMBER(SEARCH("Party Name:-",'R.M Billets Reports'!D1475)),TRIM('R.M Billets Reports'!F1475),IF(ISNUMBER(SEARCH("Party Name-",'R.M Billets Reports'!D1475)),TRIM(MID('R.M Billets Reports'!D1475,SEARCH("-",'R.M Billets Reports'!D1475)+1,200)),"")),IF(ISNUMBER(SEARCH("Party Name:-",'R.M Billets Reports'!D1476)),TRIM('R.M Billets Reports'!F1476),IF(ISNUMBER(SEARCH("Party Name-",'R.M Billets Reports'!D1476)),TRIM(MID('R.M Billets Reports'!D1476,SEARCH("-",'R.M Billets Reports'!D1476)+1,200)),"")))))),IF(ROW()=2,"",A1475))</f>
      </c>
      <c r="B1476">
        <f>IF(OR('R.M Billets Reports'!A1475="Date-",'R.M Billets Reports'!A1475="Date:-"),'R.M Billets Reports'!B1475,IF(ROW()=2,"",B1475))</f>
      </c>
      <c r="C1476">
        <f>IF('R.M Billets Reports'!A1475="V.No.",'R.M Billets Reports'!B1475,IF(ROW()=2,"",C1475))</f>
      </c>
      <c r="D1476">
        <f>IF('R.M Billets Reports'!A1475&lt;&gt;"",'R.M Billets Reports'!A1475,IF(ROW()=2,"",D1475))</f>
      </c>
      <c r="E1476">
        <f>IF('R.M Billets Reports'!B1475="","",TRIM('R.M Billets Reports'!B1475))</f>
      </c>
      <c r="F1476">
        <f>'R.M Billets Reports'!C1475</f>
      </c>
      <c r="G1476">
        <f>'R.M Billets Reports'!D1475</f>
      </c>
      <c r="H1476">
        <f>'R.M Billets Reports'!E1475</f>
      </c>
      <c r="I1476">
        <f>'R.M Billets Reports'!F1475</f>
      </c>
      <c r="J1476">
        <f>'R.M Billets Reports'!G1475</f>
      </c>
      <c r="K1476">
        <f>'R.M Billets Reports'!H1475</f>
      </c>
      <c r="L1476">
        <f>IF('R.M Billets Reports'!I1475="","",'R.M Billets Reports'!I1475)</f>
      </c>
      <c r="M1476">
        <f t="shared" si="46"/>
      </c>
      <c r="N1476">
        <f>IF('R.M Billets Reports'!J1475="","",'R.M Billets Reports'!J1475)</f>
      </c>
      <c r="O1476">
        <f t="shared" si="47"/>
      </c>
      <c r="P1476">
        <f>IF('R.M Billets Reports'!A1475="SIZE",'R.M Billets Reports'!B1475,P1475)</f>
      </c>
    </row>
    <row r="1477" spans="1:16" x14ac:dyDescent="0.25">
      <c r="A1477">
        <f>IF(OR('R.M Billets Reports'!A1476="Date-",'R.M Billets Reports'!A1476="Date:-"),IF(IF(IF(ISNUMBER(SEARCH("Party Name:-",'R.M Billets Reports'!D1476)),TRIM('R.M Billets Reports'!F1476),IF(ISNUMBER(SEARCH("Party Name-",'R.M Billets Reports'!D1476)),TRIM(MID('R.M Billets Reports'!D1476,SEARCH("-",'R.M Billets Reports'!D1476)+1,200)),""))&lt;&gt;"",IF(ISNUMBER(SEARCH("Party Name:-",'R.M Billets Reports'!D1476)),TRIM('R.M Billets Reports'!F1476),IF(ISNUMBER(SEARCH("Party Name-",'R.M Billets Reports'!D1476)),TRIM(MID('R.M Billets Reports'!D1476,SEARCH("-",'R.M Billets Reports'!D1476)+1,200)),"")),IF(ISNUMBER(SEARCH("Party Name:-",'R.M Billets Reports'!D1477)),TRIM('R.M Billets Reports'!F1477),IF(ISNUMBER(SEARCH("Party Name-",'R.M Billets Reports'!D1477)),TRIM(MID('R.M Billets Reports'!D1477,SEARCH("-",'R.M Billets Reports'!D1477)+1,200)),"")))="VRKP ISPAT PVT LTD","VRKP",IF(IF(IF(ISNUMBER(SEARCH("Party Name:-",'R.M Billets Reports'!D1476)),TRIM('R.M Billets Reports'!F1476),IF(ISNUMBER(SEARCH("Party Name-",'R.M Billets Reports'!D1476)),TRIM(MID('R.M Billets Reports'!D1476,SEARCH("-",'R.M Billets Reports'!D1476)+1,200)),""))&lt;&gt;"",IF(ISNUMBER(SEARCH("Party Name:-",'R.M Billets Reports'!D1476)),TRIM('R.M Billets Reports'!F1476),IF(ISNUMBER(SEARCH("Party Name-",'R.M Billets Reports'!D1476)),TRIM(MID('R.M Billets Reports'!D1476,SEARCH("-",'R.M Billets Reports'!D1476)+1,200)),"")),IF(ISNUMBER(SEARCH("Party Name:-",'R.M Billets Reports'!D1477)),TRIM('R.M Billets Reports'!F1477),IF(ISNUMBER(SEARCH("Party Name-",'R.M Billets Reports'!D1477)),TRIM(MID('R.M Billets Reports'!D1477,SEARCH("-",'R.M Billets Reports'!D1477)+1,200)),"")))="SHRI RADHE","SHREE RADHE",IF(IF(IF(ISNUMBER(SEARCH("Party Name:-",'R.M Billets Reports'!D1476)),TRIM('R.M Billets Reports'!F1476),IF(ISNUMBER(SEARCH("Party Name-",'R.M Billets Reports'!D1476)),TRIM(MID('R.M Billets Reports'!D1476,SEARCH("-",'R.M Billets Reports'!D1476)+1,200)),""))&lt;&gt;"",IF(ISNUMBER(SEARCH("Party Name:-",'R.M Billets Reports'!D1476)),TRIM('R.M Billets Reports'!F1476),IF(ISNUMBER(SEARCH("Party Name-",'R.M Billets Reports'!D1476)),TRIM(MID('R.M Billets Reports'!D1476,SEARCH("-",'R.M Billets Reports'!D1476)+1,200)),"")),IF(ISNUMBER(SEARCH("Party Name:-",'R.M Billets Reports'!D1477)),TRIM('R.M Billets Reports'!F1477),IF(ISNUMBER(SEARCH("Party Name-",'R.M Billets Reports'!D1477)),TRIM(MID('R.M Billets Reports'!D1477,SEARCH("-",'R.M Billets Reports'!D1477)+1,200)),"")))="SHREE RADHE SHAKTI SPONGE AND POWER PVT. LTD.","SHREE RADHE",IF(IF(ISNUMBER(SEARCH("Party Name:-",'R.M Billets Reports'!D1476)),TRIM('R.M Billets Reports'!F1476),IF(ISNUMBER(SEARCH("Party Name-",'R.M Billets Reports'!D1476)),TRIM(MID('R.M Billets Reports'!D1476,SEARCH("-",'R.M Billets Reports'!D1476)+1,200)),""))&lt;&gt;"",IF(ISNUMBER(SEARCH("Party Name:-",'R.M Billets Reports'!D1476)),TRIM('R.M Billets Reports'!F1476),IF(ISNUMBER(SEARCH("Party Name-",'R.M Billets Reports'!D1476)),TRIM(MID('R.M Billets Reports'!D1476,SEARCH("-",'R.M Billets Reports'!D1476)+1,200)),"")),IF(ISNUMBER(SEARCH("Party Name:-",'R.M Billets Reports'!D1477)),TRIM('R.M Billets Reports'!F1477),IF(ISNUMBER(SEARCH("Party Name-",'R.M Billets Reports'!D1477)),TRIM(MID('R.M Billets Reports'!D1477,SEARCH("-",'R.M Billets Reports'!D1477)+1,200)),"")))))),IF(ROW()=2,"",A1476))</f>
      </c>
      <c r="B1477">
        <f>IF(OR('R.M Billets Reports'!A1476="Date-",'R.M Billets Reports'!A1476="Date:-"),'R.M Billets Reports'!B1476,IF(ROW()=2,"",B1476))</f>
      </c>
      <c r="C1477">
        <f>IF('R.M Billets Reports'!A1476="V.No.",'R.M Billets Reports'!B1476,IF(ROW()=2,"",C1476))</f>
      </c>
      <c r="D1477">
        <f>IF('R.M Billets Reports'!A1476&lt;&gt;"",'R.M Billets Reports'!A1476,IF(ROW()=2,"",D1476))</f>
      </c>
      <c r="E1477">
        <f>IF('R.M Billets Reports'!B1476="","",TRIM('R.M Billets Reports'!B1476))</f>
      </c>
      <c r="F1477">
        <f>'R.M Billets Reports'!C1476</f>
      </c>
      <c r="G1477">
        <f>'R.M Billets Reports'!D1476</f>
      </c>
      <c r="H1477">
        <f>'R.M Billets Reports'!E1476</f>
      </c>
      <c r="I1477">
        <f>'R.M Billets Reports'!F1476</f>
      </c>
      <c r="J1477">
        <f>'R.M Billets Reports'!G1476</f>
      </c>
      <c r="K1477">
        <f>'R.M Billets Reports'!H1476</f>
      </c>
      <c r="L1477">
        <f>IF('R.M Billets Reports'!I1476="","",'R.M Billets Reports'!I1476)</f>
      </c>
      <c r="M1477">
        <f t="shared" si="46"/>
      </c>
      <c r="N1477">
        <f>IF('R.M Billets Reports'!J1476="","",'R.M Billets Reports'!J1476)</f>
      </c>
      <c r="O1477">
        <f t="shared" si="47"/>
      </c>
      <c r="P1477">
        <f>IF('R.M Billets Reports'!A1476="SIZE",'R.M Billets Reports'!B1476,P1476)</f>
      </c>
    </row>
    <row r="1478" spans="1:16" x14ac:dyDescent="0.25">
      <c r="A1478">
        <f>IF(OR('R.M Billets Reports'!A1477="Date-",'R.M Billets Reports'!A1477="Date:-"),IF(IF(IF(ISNUMBER(SEARCH("Party Name:-",'R.M Billets Reports'!D1477)),TRIM('R.M Billets Reports'!F1477),IF(ISNUMBER(SEARCH("Party Name-",'R.M Billets Reports'!D1477)),TRIM(MID('R.M Billets Reports'!D1477,SEARCH("-",'R.M Billets Reports'!D1477)+1,200)),""))&lt;&gt;"",IF(ISNUMBER(SEARCH("Party Name:-",'R.M Billets Reports'!D1477)),TRIM('R.M Billets Reports'!F1477),IF(ISNUMBER(SEARCH("Party Name-",'R.M Billets Reports'!D1477)),TRIM(MID('R.M Billets Reports'!D1477,SEARCH("-",'R.M Billets Reports'!D1477)+1,200)),"")),IF(ISNUMBER(SEARCH("Party Name:-",'R.M Billets Reports'!D1478)),TRIM('R.M Billets Reports'!F1478),IF(ISNUMBER(SEARCH("Party Name-",'R.M Billets Reports'!D1478)),TRIM(MID('R.M Billets Reports'!D1478,SEARCH("-",'R.M Billets Reports'!D1478)+1,200)),"")))="VRKP ISPAT PVT LTD","VRKP",IF(IF(IF(ISNUMBER(SEARCH("Party Name:-",'R.M Billets Reports'!D1477)),TRIM('R.M Billets Reports'!F1477),IF(ISNUMBER(SEARCH("Party Name-",'R.M Billets Reports'!D1477)),TRIM(MID('R.M Billets Reports'!D1477,SEARCH("-",'R.M Billets Reports'!D1477)+1,200)),""))&lt;&gt;"",IF(ISNUMBER(SEARCH("Party Name:-",'R.M Billets Reports'!D1477)),TRIM('R.M Billets Reports'!F1477),IF(ISNUMBER(SEARCH("Party Name-",'R.M Billets Reports'!D1477)),TRIM(MID('R.M Billets Reports'!D1477,SEARCH("-",'R.M Billets Reports'!D1477)+1,200)),"")),IF(ISNUMBER(SEARCH("Party Name:-",'R.M Billets Reports'!D1478)),TRIM('R.M Billets Reports'!F1478),IF(ISNUMBER(SEARCH("Party Name-",'R.M Billets Reports'!D1478)),TRIM(MID('R.M Billets Reports'!D1478,SEARCH("-",'R.M Billets Reports'!D1478)+1,200)),"")))="SHRI RADHE","SHREE RADHE",IF(IF(IF(ISNUMBER(SEARCH("Party Name:-",'R.M Billets Reports'!D1477)),TRIM('R.M Billets Reports'!F1477),IF(ISNUMBER(SEARCH("Party Name-",'R.M Billets Reports'!D1477)),TRIM(MID('R.M Billets Reports'!D1477,SEARCH("-",'R.M Billets Reports'!D1477)+1,200)),""))&lt;&gt;"",IF(ISNUMBER(SEARCH("Party Name:-",'R.M Billets Reports'!D1477)),TRIM('R.M Billets Reports'!F1477),IF(ISNUMBER(SEARCH("Party Name-",'R.M Billets Reports'!D1477)),TRIM(MID('R.M Billets Reports'!D1477,SEARCH("-",'R.M Billets Reports'!D1477)+1,200)),"")),IF(ISNUMBER(SEARCH("Party Name:-",'R.M Billets Reports'!D1478)),TRIM('R.M Billets Reports'!F1478),IF(ISNUMBER(SEARCH("Party Name-",'R.M Billets Reports'!D1478)),TRIM(MID('R.M Billets Reports'!D1478,SEARCH("-",'R.M Billets Reports'!D1478)+1,200)),"")))="SHREE RADHE SHAKTI SPONGE AND POWER PVT. LTD.","SHREE RADHE",IF(IF(ISNUMBER(SEARCH("Party Name:-",'R.M Billets Reports'!D1477)),TRIM('R.M Billets Reports'!F1477),IF(ISNUMBER(SEARCH("Party Name-",'R.M Billets Reports'!D1477)),TRIM(MID('R.M Billets Reports'!D1477,SEARCH("-",'R.M Billets Reports'!D1477)+1,200)),""))&lt;&gt;"",IF(ISNUMBER(SEARCH("Party Name:-",'R.M Billets Reports'!D1477)),TRIM('R.M Billets Reports'!F1477),IF(ISNUMBER(SEARCH("Party Name-",'R.M Billets Reports'!D1477)),TRIM(MID('R.M Billets Reports'!D1477,SEARCH("-",'R.M Billets Reports'!D1477)+1,200)),"")),IF(ISNUMBER(SEARCH("Party Name:-",'R.M Billets Reports'!D1478)),TRIM('R.M Billets Reports'!F1478),IF(ISNUMBER(SEARCH("Party Name-",'R.M Billets Reports'!D1478)),TRIM(MID('R.M Billets Reports'!D1478,SEARCH("-",'R.M Billets Reports'!D1478)+1,200)),"")))))),IF(ROW()=2,"",A1477))</f>
      </c>
      <c r="B1478">
        <f>IF(OR('R.M Billets Reports'!A1477="Date-",'R.M Billets Reports'!A1477="Date:-"),'R.M Billets Reports'!B1477,IF(ROW()=2,"",B1477))</f>
      </c>
      <c r="C1478">
        <f>IF('R.M Billets Reports'!A1477="V.No.",'R.M Billets Reports'!B1477,IF(ROW()=2,"",C1477))</f>
      </c>
      <c r="D1478">
        <f>IF('R.M Billets Reports'!A1477&lt;&gt;"",'R.M Billets Reports'!A1477,IF(ROW()=2,"",D1477))</f>
      </c>
      <c r="E1478">
        <f>IF('R.M Billets Reports'!B1477="","",TRIM('R.M Billets Reports'!B1477))</f>
      </c>
      <c r="F1478">
        <f>'R.M Billets Reports'!C1477</f>
      </c>
      <c r="G1478">
        <f>'R.M Billets Reports'!D1477</f>
      </c>
      <c r="H1478">
        <f>'R.M Billets Reports'!E1477</f>
      </c>
      <c r="I1478">
        <f>'R.M Billets Reports'!F1477</f>
      </c>
      <c r="J1478">
        <f>'R.M Billets Reports'!G1477</f>
      </c>
      <c r="K1478">
        <f>'R.M Billets Reports'!H1477</f>
      </c>
      <c r="L1478">
        <f>IF('R.M Billets Reports'!I1477="","",'R.M Billets Reports'!I1477)</f>
      </c>
      <c r="M1478">
        <f t="shared" si="46"/>
      </c>
      <c r="N1478">
        <f>IF('R.M Billets Reports'!J1477="","",'R.M Billets Reports'!J1477)</f>
      </c>
      <c r="O1478">
        <f t="shared" si="47"/>
      </c>
      <c r="P1478">
        <f>IF('R.M Billets Reports'!A1477="SIZE",'R.M Billets Reports'!B1477,P1477)</f>
      </c>
    </row>
    <row r="1479" spans="1:16" x14ac:dyDescent="0.25">
      <c r="A1479">
        <f>IF(OR('R.M Billets Reports'!A1478="Date-",'R.M Billets Reports'!A1478="Date:-"),IF(IF(IF(ISNUMBER(SEARCH("Party Name:-",'R.M Billets Reports'!D1478)),TRIM('R.M Billets Reports'!F1478),IF(ISNUMBER(SEARCH("Party Name-",'R.M Billets Reports'!D1478)),TRIM(MID('R.M Billets Reports'!D1478,SEARCH("-",'R.M Billets Reports'!D1478)+1,200)),""))&lt;&gt;"",IF(ISNUMBER(SEARCH("Party Name:-",'R.M Billets Reports'!D1478)),TRIM('R.M Billets Reports'!F1478),IF(ISNUMBER(SEARCH("Party Name-",'R.M Billets Reports'!D1478)),TRIM(MID('R.M Billets Reports'!D1478,SEARCH("-",'R.M Billets Reports'!D1478)+1,200)),"")),IF(ISNUMBER(SEARCH("Party Name:-",'R.M Billets Reports'!D1479)),TRIM('R.M Billets Reports'!F1479),IF(ISNUMBER(SEARCH("Party Name-",'R.M Billets Reports'!D1479)),TRIM(MID('R.M Billets Reports'!D1479,SEARCH("-",'R.M Billets Reports'!D1479)+1,200)),"")))="VRKP ISPAT PVT LTD","VRKP",IF(IF(IF(ISNUMBER(SEARCH("Party Name:-",'R.M Billets Reports'!D1478)),TRIM('R.M Billets Reports'!F1478),IF(ISNUMBER(SEARCH("Party Name-",'R.M Billets Reports'!D1478)),TRIM(MID('R.M Billets Reports'!D1478,SEARCH("-",'R.M Billets Reports'!D1478)+1,200)),""))&lt;&gt;"",IF(ISNUMBER(SEARCH("Party Name:-",'R.M Billets Reports'!D1478)),TRIM('R.M Billets Reports'!F1478),IF(ISNUMBER(SEARCH("Party Name-",'R.M Billets Reports'!D1478)),TRIM(MID('R.M Billets Reports'!D1478,SEARCH("-",'R.M Billets Reports'!D1478)+1,200)),"")),IF(ISNUMBER(SEARCH("Party Name:-",'R.M Billets Reports'!D1479)),TRIM('R.M Billets Reports'!F1479),IF(ISNUMBER(SEARCH("Party Name-",'R.M Billets Reports'!D1479)),TRIM(MID('R.M Billets Reports'!D1479,SEARCH("-",'R.M Billets Reports'!D1479)+1,200)),"")))="SHRI RADHE","SHREE RADHE",IF(IF(IF(ISNUMBER(SEARCH("Party Name:-",'R.M Billets Reports'!D1478)),TRIM('R.M Billets Reports'!F1478),IF(ISNUMBER(SEARCH("Party Name-",'R.M Billets Reports'!D1478)),TRIM(MID('R.M Billets Reports'!D1478,SEARCH("-",'R.M Billets Reports'!D1478)+1,200)),""))&lt;&gt;"",IF(ISNUMBER(SEARCH("Party Name:-",'R.M Billets Reports'!D1478)),TRIM('R.M Billets Reports'!F1478),IF(ISNUMBER(SEARCH("Party Name-",'R.M Billets Reports'!D1478)),TRIM(MID('R.M Billets Reports'!D1478,SEARCH("-",'R.M Billets Reports'!D1478)+1,200)),"")),IF(ISNUMBER(SEARCH("Party Name:-",'R.M Billets Reports'!D1479)),TRIM('R.M Billets Reports'!F1479),IF(ISNUMBER(SEARCH("Party Name-",'R.M Billets Reports'!D1479)),TRIM(MID('R.M Billets Reports'!D1479,SEARCH("-",'R.M Billets Reports'!D1479)+1,200)),"")))="SHREE RADHE SHAKTI SPONGE AND POWER PVT. LTD.","SHREE RADHE",IF(IF(ISNUMBER(SEARCH("Party Name:-",'R.M Billets Reports'!D1478)),TRIM('R.M Billets Reports'!F1478),IF(ISNUMBER(SEARCH("Party Name-",'R.M Billets Reports'!D1478)),TRIM(MID('R.M Billets Reports'!D1478,SEARCH("-",'R.M Billets Reports'!D1478)+1,200)),""))&lt;&gt;"",IF(ISNUMBER(SEARCH("Party Name:-",'R.M Billets Reports'!D1478)),TRIM('R.M Billets Reports'!F1478),IF(ISNUMBER(SEARCH("Party Name-",'R.M Billets Reports'!D1478)),TRIM(MID('R.M Billets Reports'!D1478,SEARCH("-",'R.M Billets Reports'!D1478)+1,200)),"")),IF(ISNUMBER(SEARCH("Party Name:-",'R.M Billets Reports'!D1479)),TRIM('R.M Billets Reports'!F1479),IF(ISNUMBER(SEARCH("Party Name-",'R.M Billets Reports'!D1479)),TRIM(MID('R.M Billets Reports'!D1479,SEARCH("-",'R.M Billets Reports'!D1479)+1,200)),"")))))),IF(ROW()=2,"",A1478))</f>
      </c>
      <c r="B1479">
        <f>IF(OR('R.M Billets Reports'!A1478="Date-",'R.M Billets Reports'!A1478="Date:-"),'R.M Billets Reports'!B1478,IF(ROW()=2,"",B1478))</f>
      </c>
      <c r="C1479">
        <f>IF('R.M Billets Reports'!A1478="V.No.",'R.M Billets Reports'!B1478,IF(ROW()=2,"",C1478))</f>
      </c>
      <c r="D1479">
        <f>IF('R.M Billets Reports'!A1478&lt;&gt;"",'R.M Billets Reports'!A1478,IF(ROW()=2,"",D1478))</f>
      </c>
      <c r="E1479">
        <f>IF('R.M Billets Reports'!B1478="","",TRIM('R.M Billets Reports'!B1478))</f>
      </c>
      <c r="F1479">
        <f>'R.M Billets Reports'!C1478</f>
      </c>
      <c r="G1479">
        <f>'R.M Billets Reports'!D1478</f>
      </c>
      <c r="H1479">
        <f>'R.M Billets Reports'!E1478</f>
      </c>
      <c r="I1479">
        <f>'R.M Billets Reports'!F1478</f>
      </c>
      <c r="J1479">
        <f>'R.M Billets Reports'!G1478</f>
      </c>
      <c r="K1479">
        <f>'R.M Billets Reports'!H1478</f>
      </c>
      <c r="L1479">
        <f>IF('R.M Billets Reports'!I1478="","",'R.M Billets Reports'!I1478)</f>
      </c>
      <c r="M1479">
        <f t="shared" si="46"/>
      </c>
      <c r="N1479">
        <f>IF('R.M Billets Reports'!J1478="","",'R.M Billets Reports'!J1478)</f>
      </c>
      <c r="O1479">
        <f t="shared" si="47"/>
      </c>
      <c r="P1479">
        <f>IF('R.M Billets Reports'!A1478="SIZE",'R.M Billets Reports'!B1478,P1478)</f>
      </c>
    </row>
    <row r="1480" spans="1:16" x14ac:dyDescent="0.25">
      <c r="A1480">
        <f>IF(OR('R.M Billets Reports'!A1479="Date-",'R.M Billets Reports'!A1479="Date:-"),IF(IF(IF(ISNUMBER(SEARCH("Party Name:-",'R.M Billets Reports'!D1479)),TRIM('R.M Billets Reports'!F1479),IF(ISNUMBER(SEARCH("Party Name-",'R.M Billets Reports'!D1479)),TRIM(MID('R.M Billets Reports'!D1479,SEARCH("-",'R.M Billets Reports'!D1479)+1,200)),""))&lt;&gt;"",IF(ISNUMBER(SEARCH("Party Name:-",'R.M Billets Reports'!D1479)),TRIM('R.M Billets Reports'!F1479),IF(ISNUMBER(SEARCH("Party Name-",'R.M Billets Reports'!D1479)),TRIM(MID('R.M Billets Reports'!D1479,SEARCH("-",'R.M Billets Reports'!D1479)+1,200)),"")),IF(ISNUMBER(SEARCH("Party Name:-",'R.M Billets Reports'!D1480)),TRIM('R.M Billets Reports'!F1480),IF(ISNUMBER(SEARCH("Party Name-",'R.M Billets Reports'!D1480)),TRIM(MID('R.M Billets Reports'!D1480,SEARCH("-",'R.M Billets Reports'!D1480)+1,200)),"")))="VRKP ISPAT PVT LTD","VRKP",IF(IF(IF(ISNUMBER(SEARCH("Party Name:-",'R.M Billets Reports'!D1479)),TRIM('R.M Billets Reports'!F1479),IF(ISNUMBER(SEARCH("Party Name-",'R.M Billets Reports'!D1479)),TRIM(MID('R.M Billets Reports'!D1479,SEARCH("-",'R.M Billets Reports'!D1479)+1,200)),""))&lt;&gt;"",IF(ISNUMBER(SEARCH("Party Name:-",'R.M Billets Reports'!D1479)),TRIM('R.M Billets Reports'!F1479),IF(ISNUMBER(SEARCH("Party Name-",'R.M Billets Reports'!D1479)),TRIM(MID('R.M Billets Reports'!D1479,SEARCH("-",'R.M Billets Reports'!D1479)+1,200)),"")),IF(ISNUMBER(SEARCH("Party Name:-",'R.M Billets Reports'!D1480)),TRIM('R.M Billets Reports'!F1480),IF(ISNUMBER(SEARCH("Party Name-",'R.M Billets Reports'!D1480)),TRIM(MID('R.M Billets Reports'!D1480,SEARCH("-",'R.M Billets Reports'!D1480)+1,200)),"")))="SHRI RADHE","SHREE RADHE",IF(IF(IF(ISNUMBER(SEARCH("Party Name:-",'R.M Billets Reports'!D1479)),TRIM('R.M Billets Reports'!F1479),IF(ISNUMBER(SEARCH("Party Name-",'R.M Billets Reports'!D1479)),TRIM(MID('R.M Billets Reports'!D1479,SEARCH("-",'R.M Billets Reports'!D1479)+1,200)),""))&lt;&gt;"",IF(ISNUMBER(SEARCH("Party Name:-",'R.M Billets Reports'!D1479)),TRIM('R.M Billets Reports'!F1479),IF(ISNUMBER(SEARCH("Party Name-",'R.M Billets Reports'!D1479)),TRIM(MID('R.M Billets Reports'!D1479,SEARCH("-",'R.M Billets Reports'!D1479)+1,200)),"")),IF(ISNUMBER(SEARCH("Party Name:-",'R.M Billets Reports'!D1480)),TRIM('R.M Billets Reports'!F1480),IF(ISNUMBER(SEARCH("Party Name-",'R.M Billets Reports'!D1480)),TRIM(MID('R.M Billets Reports'!D1480,SEARCH("-",'R.M Billets Reports'!D1480)+1,200)),"")))="SHREE RADHE SHAKTI SPONGE AND POWER PVT. LTD.","SHREE RADHE",IF(IF(ISNUMBER(SEARCH("Party Name:-",'R.M Billets Reports'!D1479)),TRIM('R.M Billets Reports'!F1479),IF(ISNUMBER(SEARCH("Party Name-",'R.M Billets Reports'!D1479)),TRIM(MID('R.M Billets Reports'!D1479,SEARCH("-",'R.M Billets Reports'!D1479)+1,200)),""))&lt;&gt;"",IF(ISNUMBER(SEARCH("Party Name:-",'R.M Billets Reports'!D1479)),TRIM('R.M Billets Reports'!F1479),IF(ISNUMBER(SEARCH("Party Name-",'R.M Billets Reports'!D1479)),TRIM(MID('R.M Billets Reports'!D1479,SEARCH("-",'R.M Billets Reports'!D1479)+1,200)),"")),IF(ISNUMBER(SEARCH("Party Name:-",'R.M Billets Reports'!D1480)),TRIM('R.M Billets Reports'!F1480),IF(ISNUMBER(SEARCH("Party Name-",'R.M Billets Reports'!D1480)),TRIM(MID('R.M Billets Reports'!D1480,SEARCH("-",'R.M Billets Reports'!D1480)+1,200)),"")))))),IF(ROW()=2,"",A1479))</f>
      </c>
      <c r="B1480">
        <f>IF(OR('R.M Billets Reports'!A1479="Date-",'R.M Billets Reports'!A1479="Date:-"),'R.M Billets Reports'!B1479,IF(ROW()=2,"",B1479))</f>
      </c>
      <c r="C1480">
        <f>IF('R.M Billets Reports'!A1479="V.No.",'R.M Billets Reports'!B1479,IF(ROW()=2,"",C1479))</f>
      </c>
      <c r="D1480">
        <f>IF('R.M Billets Reports'!A1479&lt;&gt;"",'R.M Billets Reports'!A1479,IF(ROW()=2,"",D1479))</f>
      </c>
      <c r="E1480">
        <f>IF('R.M Billets Reports'!B1479="","",TRIM('R.M Billets Reports'!B1479))</f>
      </c>
      <c r="F1480">
        <f>'R.M Billets Reports'!C1479</f>
      </c>
      <c r="G1480">
        <f>'R.M Billets Reports'!D1479</f>
      </c>
      <c r="H1480">
        <f>'R.M Billets Reports'!E1479</f>
      </c>
      <c r="I1480">
        <f>'R.M Billets Reports'!F1479</f>
      </c>
      <c r="J1480">
        <f>'R.M Billets Reports'!G1479</f>
      </c>
      <c r="K1480">
        <f>'R.M Billets Reports'!H1479</f>
      </c>
      <c r="L1480">
        <f>IF('R.M Billets Reports'!I1479="","",'R.M Billets Reports'!I1479)</f>
      </c>
      <c r="M1480">
        <f t="shared" si="46"/>
      </c>
      <c r="N1480">
        <f>IF('R.M Billets Reports'!J1479="","",'R.M Billets Reports'!J1479)</f>
      </c>
      <c r="O1480">
        <f t="shared" si="47"/>
      </c>
      <c r="P1480">
        <f>IF('R.M Billets Reports'!A1479="SIZE",'R.M Billets Reports'!B1479,P1479)</f>
      </c>
    </row>
    <row r="1481" spans="1:16" x14ac:dyDescent="0.25">
      <c r="A1481">
        <f>IF(OR('R.M Billets Reports'!A1480="Date-",'R.M Billets Reports'!A1480="Date:-"),IF(IF(IF(ISNUMBER(SEARCH("Party Name:-",'R.M Billets Reports'!D1480)),TRIM('R.M Billets Reports'!F1480),IF(ISNUMBER(SEARCH("Party Name-",'R.M Billets Reports'!D1480)),TRIM(MID('R.M Billets Reports'!D1480,SEARCH("-",'R.M Billets Reports'!D1480)+1,200)),""))&lt;&gt;"",IF(ISNUMBER(SEARCH("Party Name:-",'R.M Billets Reports'!D1480)),TRIM('R.M Billets Reports'!F1480),IF(ISNUMBER(SEARCH("Party Name-",'R.M Billets Reports'!D1480)),TRIM(MID('R.M Billets Reports'!D1480,SEARCH("-",'R.M Billets Reports'!D1480)+1,200)),"")),IF(ISNUMBER(SEARCH("Party Name:-",'R.M Billets Reports'!D1481)),TRIM('R.M Billets Reports'!F1481),IF(ISNUMBER(SEARCH("Party Name-",'R.M Billets Reports'!D1481)),TRIM(MID('R.M Billets Reports'!D1481,SEARCH("-",'R.M Billets Reports'!D1481)+1,200)),"")))="VRKP ISPAT PVT LTD","VRKP",IF(IF(IF(ISNUMBER(SEARCH("Party Name:-",'R.M Billets Reports'!D1480)),TRIM('R.M Billets Reports'!F1480),IF(ISNUMBER(SEARCH("Party Name-",'R.M Billets Reports'!D1480)),TRIM(MID('R.M Billets Reports'!D1480,SEARCH("-",'R.M Billets Reports'!D1480)+1,200)),""))&lt;&gt;"",IF(ISNUMBER(SEARCH("Party Name:-",'R.M Billets Reports'!D1480)),TRIM('R.M Billets Reports'!F1480),IF(ISNUMBER(SEARCH("Party Name-",'R.M Billets Reports'!D1480)),TRIM(MID('R.M Billets Reports'!D1480,SEARCH("-",'R.M Billets Reports'!D1480)+1,200)),"")),IF(ISNUMBER(SEARCH("Party Name:-",'R.M Billets Reports'!D1481)),TRIM('R.M Billets Reports'!F1481),IF(ISNUMBER(SEARCH("Party Name-",'R.M Billets Reports'!D1481)),TRIM(MID('R.M Billets Reports'!D1481,SEARCH("-",'R.M Billets Reports'!D1481)+1,200)),"")))="SHRI RADHE","SHREE RADHE",IF(IF(IF(ISNUMBER(SEARCH("Party Name:-",'R.M Billets Reports'!D1480)),TRIM('R.M Billets Reports'!F1480),IF(ISNUMBER(SEARCH("Party Name-",'R.M Billets Reports'!D1480)),TRIM(MID('R.M Billets Reports'!D1480,SEARCH("-",'R.M Billets Reports'!D1480)+1,200)),""))&lt;&gt;"",IF(ISNUMBER(SEARCH("Party Name:-",'R.M Billets Reports'!D1480)),TRIM('R.M Billets Reports'!F1480),IF(ISNUMBER(SEARCH("Party Name-",'R.M Billets Reports'!D1480)),TRIM(MID('R.M Billets Reports'!D1480,SEARCH("-",'R.M Billets Reports'!D1480)+1,200)),"")),IF(ISNUMBER(SEARCH("Party Name:-",'R.M Billets Reports'!D1481)),TRIM('R.M Billets Reports'!F1481),IF(ISNUMBER(SEARCH("Party Name-",'R.M Billets Reports'!D1481)),TRIM(MID('R.M Billets Reports'!D1481,SEARCH("-",'R.M Billets Reports'!D1481)+1,200)),"")))="SHREE RADHE SHAKTI SPONGE AND POWER PVT. LTD.","SHREE RADHE",IF(IF(ISNUMBER(SEARCH("Party Name:-",'R.M Billets Reports'!D1480)),TRIM('R.M Billets Reports'!F1480),IF(ISNUMBER(SEARCH("Party Name-",'R.M Billets Reports'!D1480)),TRIM(MID('R.M Billets Reports'!D1480,SEARCH("-",'R.M Billets Reports'!D1480)+1,200)),""))&lt;&gt;"",IF(ISNUMBER(SEARCH("Party Name:-",'R.M Billets Reports'!D1480)),TRIM('R.M Billets Reports'!F1480),IF(ISNUMBER(SEARCH("Party Name-",'R.M Billets Reports'!D1480)),TRIM(MID('R.M Billets Reports'!D1480,SEARCH("-",'R.M Billets Reports'!D1480)+1,200)),"")),IF(ISNUMBER(SEARCH("Party Name:-",'R.M Billets Reports'!D1481)),TRIM('R.M Billets Reports'!F1481),IF(ISNUMBER(SEARCH("Party Name-",'R.M Billets Reports'!D1481)),TRIM(MID('R.M Billets Reports'!D1481,SEARCH("-",'R.M Billets Reports'!D1481)+1,200)),"")))))),IF(ROW()=2,"",A1480))</f>
      </c>
      <c r="B1481">
        <f>IF(OR('R.M Billets Reports'!A1480="Date-",'R.M Billets Reports'!A1480="Date:-"),'R.M Billets Reports'!B1480,IF(ROW()=2,"",B1480))</f>
      </c>
      <c r="C1481">
        <f>IF('R.M Billets Reports'!A1480="V.No.",'R.M Billets Reports'!B1480,IF(ROW()=2,"",C1480))</f>
      </c>
      <c r="D1481">
        <f>IF('R.M Billets Reports'!A1480&lt;&gt;"",'R.M Billets Reports'!A1480,IF(ROW()=2,"",D1480))</f>
      </c>
      <c r="E1481">
        <f>IF('R.M Billets Reports'!B1480="","",TRIM('R.M Billets Reports'!B1480))</f>
      </c>
      <c r="F1481">
        <f>'R.M Billets Reports'!C1480</f>
      </c>
      <c r="G1481">
        <f>'R.M Billets Reports'!D1480</f>
      </c>
      <c r="H1481">
        <f>'R.M Billets Reports'!E1480</f>
      </c>
      <c r="I1481">
        <f>'R.M Billets Reports'!F1480</f>
      </c>
      <c r="J1481">
        <f>'R.M Billets Reports'!G1480</f>
      </c>
      <c r="K1481">
        <f>'R.M Billets Reports'!H1480</f>
      </c>
      <c r="L1481">
        <f>IF('R.M Billets Reports'!I1480="","",'R.M Billets Reports'!I1480)</f>
      </c>
      <c r="M1481">
        <f t="shared" si="46"/>
      </c>
      <c r="N1481">
        <f>IF('R.M Billets Reports'!J1480="","",'R.M Billets Reports'!J1480)</f>
      </c>
      <c r="O1481">
        <f t="shared" si="47"/>
      </c>
      <c r="P1481">
        <f>IF('R.M Billets Reports'!A1480="SIZE",'R.M Billets Reports'!B1480,P1480)</f>
      </c>
    </row>
    <row r="1482" spans="1:16" x14ac:dyDescent="0.25">
      <c r="A1482">
        <f>IF(OR('R.M Billets Reports'!A1481="Date-",'R.M Billets Reports'!A1481="Date:-"),IF(IF(IF(ISNUMBER(SEARCH("Party Name:-",'R.M Billets Reports'!D1481)),TRIM('R.M Billets Reports'!F1481),IF(ISNUMBER(SEARCH("Party Name-",'R.M Billets Reports'!D1481)),TRIM(MID('R.M Billets Reports'!D1481,SEARCH("-",'R.M Billets Reports'!D1481)+1,200)),""))&lt;&gt;"",IF(ISNUMBER(SEARCH("Party Name:-",'R.M Billets Reports'!D1481)),TRIM('R.M Billets Reports'!F1481),IF(ISNUMBER(SEARCH("Party Name-",'R.M Billets Reports'!D1481)),TRIM(MID('R.M Billets Reports'!D1481,SEARCH("-",'R.M Billets Reports'!D1481)+1,200)),"")),IF(ISNUMBER(SEARCH("Party Name:-",'R.M Billets Reports'!D1482)),TRIM('R.M Billets Reports'!F1482),IF(ISNUMBER(SEARCH("Party Name-",'R.M Billets Reports'!D1482)),TRIM(MID('R.M Billets Reports'!D1482,SEARCH("-",'R.M Billets Reports'!D1482)+1,200)),"")))="VRKP ISPAT PVT LTD","VRKP",IF(IF(IF(ISNUMBER(SEARCH("Party Name:-",'R.M Billets Reports'!D1481)),TRIM('R.M Billets Reports'!F1481),IF(ISNUMBER(SEARCH("Party Name-",'R.M Billets Reports'!D1481)),TRIM(MID('R.M Billets Reports'!D1481,SEARCH("-",'R.M Billets Reports'!D1481)+1,200)),""))&lt;&gt;"",IF(ISNUMBER(SEARCH("Party Name:-",'R.M Billets Reports'!D1481)),TRIM('R.M Billets Reports'!F1481),IF(ISNUMBER(SEARCH("Party Name-",'R.M Billets Reports'!D1481)),TRIM(MID('R.M Billets Reports'!D1481,SEARCH("-",'R.M Billets Reports'!D1481)+1,200)),"")),IF(ISNUMBER(SEARCH("Party Name:-",'R.M Billets Reports'!D1482)),TRIM('R.M Billets Reports'!F1482),IF(ISNUMBER(SEARCH("Party Name-",'R.M Billets Reports'!D1482)),TRIM(MID('R.M Billets Reports'!D1482,SEARCH("-",'R.M Billets Reports'!D1482)+1,200)),"")))="SHRI RADHE","SHREE RADHE",IF(IF(IF(ISNUMBER(SEARCH("Party Name:-",'R.M Billets Reports'!D1481)),TRIM('R.M Billets Reports'!F1481),IF(ISNUMBER(SEARCH("Party Name-",'R.M Billets Reports'!D1481)),TRIM(MID('R.M Billets Reports'!D1481,SEARCH("-",'R.M Billets Reports'!D1481)+1,200)),""))&lt;&gt;"",IF(ISNUMBER(SEARCH("Party Name:-",'R.M Billets Reports'!D1481)),TRIM('R.M Billets Reports'!F1481),IF(ISNUMBER(SEARCH("Party Name-",'R.M Billets Reports'!D1481)),TRIM(MID('R.M Billets Reports'!D1481,SEARCH("-",'R.M Billets Reports'!D1481)+1,200)),"")),IF(ISNUMBER(SEARCH("Party Name:-",'R.M Billets Reports'!D1482)),TRIM('R.M Billets Reports'!F1482),IF(ISNUMBER(SEARCH("Party Name-",'R.M Billets Reports'!D1482)),TRIM(MID('R.M Billets Reports'!D1482,SEARCH("-",'R.M Billets Reports'!D1482)+1,200)),"")))="SHREE RADHE SHAKTI SPONGE AND POWER PVT. LTD.","SHREE RADHE",IF(IF(ISNUMBER(SEARCH("Party Name:-",'R.M Billets Reports'!D1481)),TRIM('R.M Billets Reports'!F1481),IF(ISNUMBER(SEARCH("Party Name-",'R.M Billets Reports'!D1481)),TRIM(MID('R.M Billets Reports'!D1481,SEARCH("-",'R.M Billets Reports'!D1481)+1,200)),""))&lt;&gt;"",IF(ISNUMBER(SEARCH("Party Name:-",'R.M Billets Reports'!D1481)),TRIM('R.M Billets Reports'!F1481),IF(ISNUMBER(SEARCH("Party Name-",'R.M Billets Reports'!D1481)),TRIM(MID('R.M Billets Reports'!D1481,SEARCH("-",'R.M Billets Reports'!D1481)+1,200)),"")),IF(ISNUMBER(SEARCH("Party Name:-",'R.M Billets Reports'!D1482)),TRIM('R.M Billets Reports'!F1482),IF(ISNUMBER(SEARCH("Party Name-",'R.M Billets Reports'!D1482)),TRIM(MID('R.M Billets Reports'!D1482,SEARCH("-",'R.M Billets Reports'!D1482)+1,200)),"")))))),IF(ROW()=2,"",A1481))</f>
      </c>
      <c r="B1482">
        <f>IF(OR('R.M Billets Reports'!A1481="Date-",'R.M Billets Reports'!A1481="Date:-"),'R.M Billets Reports'!B1481,IF(ROW()=2,"",B1481))</f>
      </c>
      <c r="C1482">
        <f>IF('R.M Billets Reports'!A1481="V.No.",'R.M Billets Reports'!B1481,IF(ROW()=2,"",C1481))</f>
      </c>
      <c r="D1482">
        <f>IF('R.M Billets Reports'!A1481&lt;&gt;"",'R.M Billets Reports'!A1481,IF(ROW()=2,"",D1481))</f>
      </c>
      <c r="E1482">
        <f>IF('R.M Billets Reports'!B1481="","",TRIM('R.M Billets Reports'!B1481))</f>
      </c>
      <c r="F1482">
        <f>'R.M Billets Reports'!C1481</f>
      </c>
      <c r="G1482">
        <f>'R.M Billets Reports'!D1481</f>
      </c>
      <c r="H1482">
        <f>'R.M Billets Reports'!E1481</f>
      </c>
      <c r="I1482">
        <f>'R.M Billets Reports'!F1481</f>
      </c>
      <c r="J1482">
        <f>'R.M Billets Reports'!G1481</f>
      </c>
      <c r="K1482">
        <f>'R.M Billets Reports'!H1481</f>
      </c>
      <c r="L1482">
        <f>IF('R.M Billets Reports'!I1481="","",'R.M Billets Reports'!I1481)</f>
      </c>
      <c r="M1482">
        <f t="shared" si="46"/>
      </c>
      <c r="N1482">
        <f>IF('R.M Billets Reports'!J1481="","",'R.M Billets Reports'!J1481)</f>
      </c>
      <c r="O1482">
        <f t="shared" si="47"/>
      </c>
      <c r="P1482">
        <f>IF('R.M Billets Reports'!A1481="SIZE",'R.M Billets Reports'!B1481,P1481)</f>
      </c>
    </row>
    <row r="1483" spans="1:16" x14ac:dyDescent="0.25">
      <c r="A1483">
        <f>IF(OR('R.M Billets Reports'!A1482="Date-",'R.M Billets Reports'!A1482="Date:-"),IF(IF(IF(ISNUMBER(SEARCH("Party Name:-",'R.M Billets Reports'!D1482)),TRIM('R.M Billets Reports'!F1482),IF(ISNUMBER(SEARCH("Party Name-",'R.M Billets Reports'!D1482)),TRIM(MID('R.M Billets Reports'!D1482,SEARCH("-",'R.M Billets Reports'!D1482)+1,200)),""))&lt;&gt;"",IF(ISNUMBER(SEARCH("Party Name:-",'R.M Billets Reports'!D1482)),TRIM('R.M Billets Reports'!F1482),IF(ISNUMBER(SEARCH("Party Name-",'R.M Billets Reports'!D1482)),TRIM(MID('R.M Billets Reports'!D1482,SEARCH("-",'R.M Billets Reports'!D1482)+1,200)),"")),IF(ISNUMBER(SEARCH("Party Name:-",'R.M Billets Reports'!D1483)),TRIM('R.M Billets Reports'!F1483),IF(ISNUMBER(SEARCH("Party Name-",'R.M Billets Reports'!D1483)),TRIM(MID('R.M Billets Reports'!D1483,SEARCH("-",'R.M Billets Reports'!D1483)+1,200)),"")))="VRKP ISPAT PVT LTD","VRKP",IF(IF(IF(ISNUMBER(SEARCH("Party Name:-",'R.M Billets Reports'!D1482)),TRIM('R.M Billets Reports'!F1482),IF(ISNUMBER(SEARCH("Party Name-",'R.M Billets Reports'!D1482)),TRIM(MID('R.M Billets Reports'!D1482,SEARCH("-",'R.M Billets Reports'!D1482)+1,200)),""))&lt;&gt;"",IF(ISNUMBER(SEARCH("Party Name:-",'R.M Billets Reports'!D1482)),TRIM('R.M Billets Reports'!F1482),IF(ISNUMBER(SEARCH("Party Name-",'R.M Billets Reports'!D1482)),TRIM(MID('R.M Billets Reports'!D1482,SEARCH("-",'R.M Billets Reports'!D1482)+1,200)),"")),IF(ISNUMBER(SEARCH("Party Name:-",'R.M Billets Reports'!D1483)),TRIM('R.M Billets Reports'!F1483),IF(ISNUMBER(SEARCH("Party Name-",'R.M Billets Reports'!D1483)),TRIM(MID('R.M Billets Reports'!D1483,SEARCH("-",'R.M Billets Reports'!D1483)+1,200)),"")))="SHRI RADHE","SHREE RADHE",IF(IF(IF(ISNUMBER(SEARCH("Party Name:-",'R.M Billets Reports'!D1482)),TRIM('R.M Billets Reports'!F1482),IF(ISNUMBER(SEARCH("Party Name-",'R.M Billets Reports'!D1482)),TRIM(MID('R.M Billets Reports'!D1482,SEARCH("-",'R.M Billets Reports'!D1482)+1,200)),""))&lt;&gt;"",IF(ISNUMBER(SEARCH("Party Name:-",'R.M Billets Reports'!D1482)),TRIM('R.M Billets Reports'!F1482),IF(ISNUMBER(SEARCH("Party Name-",'R.M Billets Reports'!D1482)),TRIM(MID('R.M Billets Reports'!D1482,SEARCH("-",'R.M Billets Reports'!D1482)+1,200)),"")),IF(ISNUMBER(SEARCH("Party Name:-",'R.M Billets Reports'!D1483)),TRIM('R.M Billets Reports'!F1483),IF(ISNUMBER(SEARCH("Party Name-",'R.M Billets Reports'!D1483)),TRIM(MID('R.M Billets Reports'!D1483,SEARCH("-",'R.M Billets Reports'!D1483)+1,200)),"")))="SHREE RADHE SHAKTI SPONGE AND POWER PVT. LTD.","SHREE RADHE",IF(IF(ISNUMBER(SEARCH("Party Name:-",'R.M Billets Reports'!D1482)),TRIM('R.M Billets Reports'!F1482),IF(ISNUMBER(SEARCH("Party Name-",'R.M Billets Reports'!D1482)),TRIM(MID('R.M Billets Reports'!D1482,SEARCH("-",'R.M Billets Reports'!D1482)+1,200)),""))&lt;&gt;"",IF(ISNUMBER(SEARCH("Party Name:-",'R.M Billets Reports'!D1482)),TRIM('R.M Billets Reports'!F1482),IF(ISNUMBER(SEARCH("Party Name-",'R.M Billets Reports'!D1482)),TRIM(MID('R.M Billets Reports'!D1482,SEARCH("-",'R.M Billets Reports'!D1482)+1,200)),"")),IF(ISNUMBER(SEARCH("Party Name:-",'R.M Billets Reports'!D1483)),TRIM('R.M Billets Reports'!F1483),IF(ISNUMBER(SEARCH("Party Name-",'R.M Billets Reports'!D1483)),TRIM(MID('R.M Billets Reports'!D1483,SEARCH("-",'R.M Billets Reports'!D1483)+1,200)),"")))))),IF(ROW()=2,"",A1482))</f>
      </c>
      <c r="B1483">
        <f>IF(OR('R.M Billets Reports'!A1482="Date-",'R.M Billets Reports'!A1482="Date:-"),'R.M Billets Reports'!B1482,IF(ROW()=2,"",B1482))</f>
      </c>
      <c r="C1483">
        <f>IF('R.M Billets Reports'!A1482="V.No.",'R.M Billets Reports'!B1482,IF(ROW()=2,"",C1482))</f>
      </c>
      <c r="D1483">
        <f>IF('R.M Billets Reports'!A1482&lt;&gt;"",'R.M Billets Reports'!A1482,IF(ROW()=2,"",D1482))</f>
      </c>
      <c r="E1483">
        <f>IF('R.M Billets Reports'!B1482="","",TRIM('R.M Billets Reports'!B1482))</f>
      </c>
      <c r="F1483">
        <f>'R.M Billets Reports'!C1482</f>
      </c>
      <c r="G1483">
        <f>'R.M Billets Reports'!D1482</f>
      </c>
      <c r="H1483">
        <f>'R.M Billets Reports'!E1482</f>
      </c>
      <c r="I1483">
        <f>'R.M Billets Reports'!F1482</f>
      </c>
      <c r="J1483">
        <f>'R.M Billets Reports'!G1482</f>
      </c>
      <c r="K1483">
        <f>'R.M Billets Reports'!H1482</f>
      </c>
      <c r="L1483">
        <f>IF('R.M Billets Reports'!I1482="","",'R.M Billets Reports'!I1482)</f>
      </c>
      <c r="M1483">
        <f t="shared" si="46"/>
      </c>
      <c r="N1483">
        <f>IF('R.M Billets Reports'!J1482="","",'R.M Billets Reports'!J1482)</f>
      </c>
      <c r="O1483">
        <f t="shared" si="47"/>
      </c>
      <c r="P1483">
        <f>IF('R.M Billets Reports'!A1482="SIZE",'R.M Billets Reports'!B1482,P1482)</f>
      </c>
    </row>
    <row r="1484" spans="1:16" x14ac:dyDescent="0.25">
      <c r="A1484">
        <f>IF(OR('R.M Billets Reports'!A1483="Date-",'R.M Billets Reports'!A1483="Date:-"),IF(IF(IF(ISNUMBER(SEARCH("Party Name:-",'R.M Billets Reports'!D1483)),TRIM('R.M Billets Reports'!F1483),IF(ISNUMBER(SEARCH("Party Name-",'R.M Billets Reports'!D1483)),TRIM(MID('R.M Billets Reports'!D1483,SEARCH("-",'R.M Billets Reports'!D1483)+1,200)),""))&lt;&gt;"",IF(ISNUMBER(SEARCH("Party Name:-",'R.M Billets Reports'!D1483)),TRIM('R.M Billets Reports'!F1483),IF(ISNUMBER(SEARCH("Party Name-",'R.M Billets Reports'!D1483)),TRIM(MID('R.M Billets Reports'!D1483,SEARCH("-",'R.M Billets Reports'!D1483)+1,200)),"")),IF(ISNUMBER(SEARCH("Party Name:-",'R.M Billets Reports'!D1484)),TRIM('R.M Billets Reports'!F1484),IF(ISNUMBER(SEARCH("Party Name-",'R.M Billets Reports'!D1484)),TRIM(MID('R.M Billets Reports'!D1484,SEARCH("-",'R.M Billets Reports'!D1484)+1,200)),"")))="VRKP ISPAT PVT LTD","VRKP",IF(IF(IF(ISNUMBER(SEARCH("Party Name:-",'R.M Billets Reports'!D1483)),TRIM('R.M Billets Reports'!F1483),IF(ISNUMBER(SEARCH("Party Name-",'R.M Billets Reports'!D1483)),TRIM(MID('R.M Billets Reports'!D1483,SEARCH("-",'R.M Billets Reports'!D1483)+1,200)),""))&lt;&gt;"",IF(ISNUMBER(SEARCH("Party Name:-",'R.M Billets Reports'!D1483)),TRIM('R.M Billets Reports'!F1483),IF(ISNUMBER(SEARCH("Party Name-",'R.M Billets Reports'!D1483)),TRIM(MID('R.M Billets Reports'!D1483,SEARCH("-",'R.M Billets Reports'!D1483)+1,200)),"")),IF(ISNUMBER(SEARCH("Party Name:-",'R.M Billets Reports'!D1484)),TRIM('R.M Billets Reports'!F1484),IF(ISNUMBER(SEARCH("Party Name-",'R.M Billets Reports'!D1484)),TRIM(MID('R.M Billets Reports'!D1484,SEARCH("-",'R.M Billets Reports'!D1484)+1,200)),"")))="SHRI RADHE","SHREE RADHE",IF(IF(IF(ISNUMBER(SEARCH("Party Name:-",'R.M Billets Reports'!D1483)),TRIM('R.M Billets Reports'!F1483),IF(ISNUMBER(SEARCH("Party Name-",'R.M Billets Reports'!D1483)),TRIM(MID('R.M Billets Reports'!D1483,SEARCH("-",'R.M Billets Reports'!D1483)+1,200)),""))&lt;&gt;"",IF(ISNUMBER(SEARCH("Party Name:-",'R.M Billets Reports'!D1483)),TRIM('R.M Billets Reports'!F1483),IF(ISNUMBER(SEARCH("Party Name-",'R.M Billets Reports'!D1483)),TRIM(MID('R.M Billets Reports'!D1483,SEARCH("-",'R.M Billets Reports'!D1483)+1,200)),"")),IF(ISNUMBER(SEARCH("Party Name:-",'R.M Billets Reports'!D1484)),TRIM('R.M Billets Reports'!F1484),IF(ISNUMBER(SEARCH("Party Name-",'R.M Billets Reports'!D1484)),TRIM(MID('R.M Billets Reports'!D1484,SEARCH("-",'R.M Billets Reports'!D1484)+1,200)),"")))="SHREE RADHE SHAKTI SPONGE AND POWER PVT. LTD.","SHREE RADHE",IF(IF(ISNUMBER(SEARCH("Party Name:-",'R.M Billets Reports'!D1483)),TRIM('R.M Billets Reports'!F1483),IF(ISNUMBER(SEARCH("Party Name-",'R.M Billets Reports'!D1483)),TRIM(MID('R.M Billets Reports'!D1483,SEARCH("-",'R.M Billets Reports'!D1483)+1,200)),""))&lt;&gt;"",IF(ISNUMBER(SEARCH("Party Name:-",'R.M Billets Reports'!D1483)),TRIM('R.M Billets Reports'!F1483),IF(ISNUMBER(SEARCH("Party Name-",'R.M Billets Reports'!D1483)),TRIM(MID('R.M Billets Reports'!D1483,SEARCH("-",'R.M Billets Reports'!D1483)+1,200)),"")),IF(ISNUMBER(SEARCH("Party Name:-",'R.M Billets Reports'!D1484)),TRIM('R.M Billets Reports'!F1484),IF(ISNUMBER(SEARCH("Party Name-",'R.M Billets Reports'!D1484)),TRIM(MID('R.M Billets Reports'!D1484,SEARCH("-",'R.M Billets Reports'!D1484)+1,200)),"")))))),IF(ROW()=2,"",A1483))</f>
      </c>
      <c r="B1484">
        <f>IF(OR('R.M Billets Reports'!A1483="Date-",'R.M Billets Reports'!A1483="Date:-"),'R.M Billets Reports'!B1483,IF(ROW()=2,"",B1483))</f>
      </c>
      <c r="C1484">
        <f>IF('R.M Billets Reports'!A1483="V.No.",'R.M Billets Reports'!B1483,IF(ROW()=2,"",C1483))</f>
      </c>
      <c r="D1484">
        <f>IF('R.M Billets Reports'!A1483&lt;&gt;"",'R.M Billets Reports'!A1483,IF(ROW()=2,"",D1483))</f>
      </c>
      <c r="E1484">
        <f>IF('R.M Billets Reports'!B1483="","",TRIM('R.M Billets Reports'!B1483))</f>
      </c>
      <c r="F1484">
        <f>'R.M Billets Reports'!C1483</f>
      </c>
      <c r="G1484">
        <f>'R.M Billets Reports'!D1483</f>
      </c>
      <c r="H1484">
        <f>'R.M Billets Reports'!E1483</f>
      </c>
      <c r="I1484">
        <f>'R.M Billets Reports'!F1483</f>
      </c>
      <c r="J1484">
        <f>'R.M Billets Reports'!G1483</f>
      </c>
      <c r="K1484">
        <f>'R.M Billets Reports'!H1483</f>
      </c>
      <c r="L1484">
        <f>IF('R.M Billets Reports'!I1483="","",'R.M Billets Reports'!I1483)</f>
      </c>
      <c r="M1484">
        <f t="shared" si="46"/>
      </c>
      <c r="N1484">
        <f>IF('R.M Billets Reports'!J1483="","",'R.M Billets Reports'!J1483)</f>
      </c>
      <c r="O1484">
        <f t="shared" si="47"/>
      </c>
      <c r="P1484">
        <f>IF('R.M Billets Reports'!A1483="SIZE",'R.M Billets Reports'!B1483,P1483)</f>
      </c>
    </row>
    <row r="1485" spans="1:16" x14ac:dyDescent="0.25">
      <c r="A1485">
        <f>IF(OR('R.M Billets Reports'!A1484="Date-",'R.M Billets Reports'!A1484="Date:-"),IF(IF(IF(ISNUMBER(SEARCH("Party Name:-",'R.M Billets Reports'!D1484)),TRIM('R.M Billets Reports'!F1484),IF(ISNUMBER(SEARCH("Party Name-",'R.M Billets Reports'!D1484)),TRIM(MID('R.M Billets Reports'!D1484,SEARCH("-",'R.M Billets Reports'!D1484)+1,200)),""))&lt;&gt;"",IF(ISNUMBER(SEARCH("Party Name:-",'R.M Billets Reports'!D1484)),TRIM('R.M Billets Reports'!F1484),IF(ISNUMBER(SEARCH("Party Name-",'R.M Billets Reports'!D1484)),TRIM(MID('R.M Billets Reports'!D1484,SEARCH("-",'R.M Billets Reports'!D1484)+1,200)),"")),IF(ISNUMBER(SEARCH("Party Name:-",'R.M Billets Reports'!D1485)),TRIM('R.M Billets Reports'!F1485),IF(ISNUMBER(SEARCH("Party Name-",'R.M Billets Reports'!D1485)),TRIM(MID('R.M Billets Reports'!D1485,SEARCH("-",'R.M Billets Reports'!D1485)+1,200)),"")))="VRKP ISPAT PVT LTD","VRKP",IF(IF(IF(ISNUMBER(SEARCH("Party Name:-",'R.M Billets Reports'!D1484)),TRIM('R.M Billets Reports'!F1484),IF(ISNUMBER(SEARCH("Party Name-",'R.M Billets Reports'!D1484)),TRIM(MID('R.M Billets Reports'!D1484,SEARCH("-",'R.M Billets Reports'!D1484)+1,200)),""))&lt;&gt;"",IF(ISNUMBER(SEARCH("Party Name:-",'R.M Billets Reports'!D1484)),TRIM('R.M Billets Reports'!F1484),IF(ISNUMBER(SEARCH("Party Name-",'R.M Billets Reports'!D1484)),TRIM(MID('R.M Billets Reports'!D1484,SEARCH("-",'R.M Billets Reports'!D1484)+1,200)),"")),IF(ISNUMBER(SEARCH("Party Name:-",'R.M Billets Reports'!D1485)),TRIM('R.M Billets Reports'!F1485),IF(ISNUMBER(SEARCH("Party Name-",'R.M Billets Reports'!D1485)),TRIM(MID('R.M Billets Reports'!D1485,SEARCH("-",'R.M Billets Reports'!D1485)+1,200)),"")))="SHRI RADHE","SHREE RADHE",IF(IF(IF(ISNUMBER(SEARCH("Party Name:-",'R.M Billets Reports'!D1484)),TRIM('R.M Billets Reports'!F1484),IF(ISNUMBER(SEARCH("Party Name-",'R.M Billets Reports'!D1484)),TRIM(MID('R.M Billets Reports'!D1484,SEARCH("-",'R.M Billets Reports'!D1484)+1,200)),""))&lt;&gt;"",IF(ISNUMBER(SEARCH("Party Name:-",'R.M Billets Reports'!D1484)),TRIM('R.M Billets Reports'!F1484),IF(ISNUMBER(SEARCH("Party Name-",'R.M Billets Reports'!D1484)),TRIM(MID('R.M Billets Reports'!D1484,SEARCH("-",'R.M Billets Reports'!D1484)+1,200)),"")),IF(ISNUMBER(SEARCH("Party Name:-",'R.M Billets Reports'!D1485)),TRIM('R.M Billets Reports'!F1485),IF(ISNUMBER(SEARCH("Party Name-",'R.M Billets Reports'!D1485)),TRIM(MID('R.M Billets Reports'!D1485,SEARCH("-",'R.M Billets Reports'!D1485)+1,200)),"")))="SHREE RADHE SHAKTI SPONGE AND POWER PVT. LTD.","SHREE RADHE",IF(IF(ISNUMBER(SEARCH("Party Name:-",'R.M Billets Reports'!D1484)),TRIM('R.M Billets Reports'!F1484),IF(ISNUMBER(SEARCH("Party Name-",'R.M Billets Reports'!D1484)),TRIM(MID('R.M Billets Reports'!D1484,SEARCH("-",'R.M Billets Reports'!D1484)+1,200)),""))&lt;&gt;"",IF(ISNUMBER(SEARCH("Party Name:-",'R.M Billets Reports'!D1484)),TRIM('R.M Billets Reports'!F1484),IF(ISNUMBER(SEARCH("Party Name-",'R.M Billets Reports'!D1484)),TRIM(MID('R.M Billets Reports'!D1484,SEARCH("-",'R.M Billets Reports'!D1484)+1,200)),"")),IF(ISNUMBER(SEARCH("Party Name:-",'R.M Billets Reports'!D1485)),TRIM('R.M Billets Reports'!F1485),IF(ISNUMBER(SEARCH("Party Name-",'R.M Billets Reports'!D1485)),TRIM(MID('R.M Billets Reports'!D1485,SEARCH("-",'R.M Billets Reports'!D1485)+1,200)),"")))))),IF(ROW()=2,"",A1484))</f>
      </c>
      <c r="B1485">
        <f>IF(OR('R.M Billets Reports'!A1484="Date-",'R.M Billets Reports'!A1484="Date:-"),'R.M Billets Reports'!B1484,IF(ROW()=2,"",B1484))</f>
      </c>
      <c r="C1485">
        <f>IF('R.M Billets Reports'!A1484="V.No.",'R.M Billets Reports'!B1484,IF(ROW()=2,"",C1484))</f>
      </c>
      <c r="D1485">
        <f>IF('R.M Billets Reports'!A1484&lt;&gt;"",'R.M Billets Reports'!A1484,IF(ROW()=2,"",D1484))</f>
      </c>
      <c r="E1485">
        <f>IF('R.M Billets Reports'!B1484="","",TRIM('R.M Billets Reports'!B1484))</f>
      </c>
      <c r="F1485">
        <f>'R.M Billets Reports'!C1484</f>
      </c>
      <c r="G1485">
        <f>'R.M Billets Reports'!D1484</f>
      </c>
      <c r="H1485">
        <f>'R.M Billets Reports'!E1484</f>
      </c>
      <c r="I1485">
        <f>'R.M Billets Reports'!F1484</f>
      </c>
      <c r="J1485">
        <f>'R.M Billets Reports'!G1484</f>
      </c>
      <c r="K1485">
        <f>'R.M Billets Reports'!H1484</f>
      </c>
      <c r="L1485">
        <f>IF('R.M Billets Reports'!I1484="","",'R.M Billets Reports'!I1484)</f>
      </c>
      <c r="M1485">
        <f t="shared" si="46"/>
      </c>
      <c r="N1485">
        <f>IF('R.M Billets Reports'!J1484="","",'R.M Billets Reports'!J1484)</f>
      </c>
      <c r="O1485">
        <f t="shared" si="47"/>
      </c>
      <c r="P1485">
        <f>IF('R.M Billets Reports'!A1484="SIZE",'R.M Billets Reports'!B1484,P1484)</f>
      </c>
    </row>
    <row r="1486" spans="1:16" x14ac:dyDescent="0.25">
      <c r="A1486">
        <f>IF(OR('R.M Billets Reports'!A1485="Date-",'R.M Billets Reports'!A1485="Date:-"),IF(IF(IF(ISNUMBER(SEARCH("Party Name:-",'R.M Billets Reports'!D1485)),TRIM('R.M Billets Reports'!F1485),IF(ISNUMBER(SEARCH("Party Name-",'R.M Billets Reports'!D1485)),TRIM(MID('R.M Billets Reports'!D1485,SEARCH("-",'R.M Billets Reports'!D1485)+1,200)),""))&lt;&gt;"",IF(ISNUMBER(SEARCH("Party Name:-",'R.M Billets Reports'!D1485)),TRIM('R.M Billets Reports'!F1485),IF(ISNUMBER(SEARCH("Party Name-",'R.M Billets Reports'!D1485)),TRIM(MID('R.M Billets Reports'!D1485,SEARCH("-",'R.M Billets Reports'!D1485)+1,200)),"")),IF(ISNUMBER(SEARCH("Party Name:-",'R.M Billets Reports'!D1486)),TRIM('R.M Billets Reports'!F1486),IF(ISNUMBER(SEARCH("Party Name-",'R.M Billets Reports'!D1486)),TRIM(MID('R.M Billets Reports'!D1486,SEARCH("-",'R.M Billets Reports'!D1486)+1,200)),"")))="VRKP ISPAT PVT LTD","VRKP",IF(IF(IF(ISNUMBER(SEARCH("Party Name:-",'R.M Billets Reports'!D1485)),TRIM('R.M Billets Reports'!F1485),IF(ISNUMBER(SEARCH("Party Name-",'R.M Billets Reports'!D1485)),TRIM(MID('R.M Billets Reports'!D1485,SEARCH("-",'R.M Billets Reports'!D1485)+1,200)),""))&lt;&gt;"",IF(ISNUMBER(SEARCH("Party Name:-",'R.M Billets Reports'!D1485)),TRIM('R.M Billets Reports'!F1485),IF(ISNUMBER(SEARCH("Party Name-",'R.M Billets Reports'!D1485)),TRIM(MID('R.M Billets Reports'!D1485,SEARCH("-",'R.M Billets Reports'!D1485)+1,200)),"")),IF(ISNUMBER(SEARCH("Party Name:-",'R.M Billets Reports'!D1486)),TRIM('R.M Billets Reports'!F1486),IF(ISNUMBER(SEARCH("Party Name-",'R.M Billets Reports'!D1486)),TRIM(MID('R.M Billets Reports'!D1486,SEARCH("-",'R.M Billets Reports'!D1486)+1,200)),"")))="SHRI RADHE","SHREE RADHE",IF(IF(IF(ISNUMBER(SEARCH("Party Name:-",'R.M Billets Reports'!D1485)),TRIM('R.M Billets Reports'!F1485),IF(ISNUMBER(SEARCH("Party Name-",'R.M Billets Reports'!D1485)),TRIM(MID('R.M Billets Reports'!D1485,SEARCH("-",'R.M Billets Reports'!D1485)+1,200)),""))&lt;&gt;"",IF(ISNUMBER(SEARCH("Party Name:-",'R.M Billets Reports'!D1485)),TRIM('R.M Billets Reports'!F1485),IF(ISNUMBER(SEARCH("Party Name-",'R.M Billets Reports'!D1485)),TRIM(MID('R.M Billets Reports'!D1485,SEARCH("-",'R.M Billets Reports'!D1485)+1,200)),"")),IF(ISNUMBER(SEARCH("Party Name:-",'R.M Billets Reports'!D1486)),TRIM('R.M Billets Reports'!F1486),IF(ISNUMBER(SEARCH("Party Name-",'R.M Billets Reports'!D1486)),TRIM(MID('R.M Billets Reports'!D1486,SEARCH("-",'R.M Billets Reports'!D1486)+1,200)),"")))="SHREE RADHE SHAKTI SPONGE AND POWER PVT. LTD.","SHREE RADHE",IF(IF(ISNUMBER(SEARCH("Party Name:-",'R.M Billets Reports'!D1485)),TRIM('R.M Billets Reports'!F1485),IF(ISNUMBER(SEARCH("Party Name-",'R.M Billets Reports'!D1485)),TRIM(MID('R.M Billets Reports'!D1485,SEARCH("-",'R.M Billets Reports'!D1485)+1,200)),""))&lt;&gt;"",IF(ISNUMBER(SEARCH("Party Name:-",'R.M Billets Reports'!D1485)),TRIM('R.M Billets Reports'!F1485),IF(ISNUMBER(SEARCH("Party Name-",'R.M Billets Reports'!D1485)),TRIM(MID('R.M Billets Reports'!D1485,SEARCH("-",'R.M Billets Reports'!D1485)+1,200)),"")),IF(ISNUMBER(SEARCH("Party Name:-",'R.M Billets Reports'!D1486)),TRIM('R.M Billets Reports'!F1486),IF(ISNUMBER(SEARCH("Party Name-",'R.M Billets Reports'!D1486)),TRIM(MID('R.M Billets Reports'!D1486,SEARCH("-",'R.M Billets Reports'!D1486)+1,200)),"")))))),IF(ROW()=2,"",A1485))</f>
      </c>
      <c r="B1486">
        <f>IF(OR('R.M Billets Reports'!A1485="Date-",'R.M Billets Reports'!A1485="Date:-"),'R.M Billets Reports'!B1485,IF(ROW()=2,"",B1485))</f>
      </c>
      <c r="C1486">
        <f>IF('R.M Billets Reports'!A1485="V.No.",'R.M Billets Reports'!B1485,IF(ROW()=2,"",C1485))</f>
      </c>
      <c r="D1486">
        <f>IF('R.M Billets Reports'!A1485&lt;&gt;"",'R.M Billets Reports'!A1485,IF(ROW()=2,"",D1485))</f>
      </c>
      <c r="E1486">
        <f>IF('R.M Billets Reports'!B1485="","",TRIM('R.M Billets Reports'!B1485))</f>
      </c>
      <c r="F1486">
        <f>'R.M Billets Reports'!C1485</f>
      </c>
      <c r="G1486">
        <f>'R.M Billets Reports'!D1485</f>
      </c>
      <c r="H1486">
        <f>'R.M Billets Reports'!E1485</f>
      </c>
      <c r="I1486">
        <f>'R.M Billets Reports'!F1485</f>
      </c>
      <c r="J1486">
        <f>'R.M Billets Reports'!G1485</f>
      </c>
      <c r="K1486">
        <f>'R.M Billets Reports'!H1485</f>
      </c>
      <c r="L1486">
        <f>IF('R.M Billets Reports'!I1485="","",'R.M Billets Reports'!I1485)</f>
      </c>
      <c r="M1486">
        <f t="shared" si="46"/>
      </c>
      <c r="N1486">
        <f>IF('R.M Billets Reports'!J1485="","",'R.M Billets Reports'!J1485)</f>
      </c>
      <c r="O1486">
        <f t="shared" si="47"/>
      </c>
      <c r="P1486">
        <f>IF('R.M Billets Reports'!A1485="SIZE",'R.M Billets Reports'!B1485,P1485)</f>
      </c>
    </row>
    <row r="1487" spans="1:16" x14ac:dyDescent="0.25">
      <c r="A1487">
        <f>IF(OR('R.M Billets Reports'!A1486="Date-",'R.M Billets Reports'!A1486="Date:-"),IF(IF(IF(ISNUMBER(SEARCH("Party Name:-",'R.M Billets Reports'!D1486)),TRIM('R.M Billets Reports'!F1486),IF(ISNUMBER(SEARCH("Party Name-",'R.M Billets Reports'!D1486)),TRIM(MID('R.M Billets Reports'!D1486,SEARCH("-",'R.M Billets Reports'!D1486)+1,200)),""))&lt;&gt;"",IF(ISNUMBER(SEARCH("Party Name:-",'R.M Billets Reports'!D1486)),TRIM('R.M Billets Reports'!F1486),IF(ISNUMBER(SEARCH("Party Name-",'R.M Billets Reports'!D1486)),TRIM(MID('R.M Billets Reports'!D1486,SEARCH("-",'R.M Billets Reports'!D1486)+1,200)),"")),IF(ISNUMBER(SEARCH("Party Name:-",'R.M Billets Reports'!D1487)),TRIM('R.M Billets Reports'!F1487),IF(ISNUMBER(SEARCH("Party Name-",'R.M Billets Reports'!D1487)),TRIM(MID('R.M Billets Reports'!D1487,SEARCH("-",'R.M Billets Reports'!D1487)+1,200)),"")))="VRKP ISPAT PVT LTD","VRKP",IF(IF(IF(ISNUMBER(SEARCH("Party Name:-",'R.M Billets Reports'!D1486)),TRIM('R.M Billets Reports'!F1486),IF(ISNUMBER(SEARCH("Party Name-",'R.M Billets Reports'!D1486)),TRIM(MID('R.M Billets Reports'!D1486,SEARCH("-",'R.M Billets Reports'!D1486)+1,200)),""))&lt;&gt;"",IF(ISNUMBER(SEARCH("Party Name:-",'R.M Billets Reports'!D1486)),TRIM('R.M Billets Reports'!F1486),IF(ISNUMBER(SEARCH("Party Name-",'R.M Billets Reports'!D1486)),TRIM(MID('R.M Billets Reports'!D1486,SEARCH("-",'R.M Billets Reports'!D1486)+1,200)),"")),IF(ISNUMBER(SEARCH("Party Name:-",'R.M Billets Reports'!D1487)),TRIM('R.M Billets Reports'!F1487),IF(ISNUMBER(SEARCH("Party Name-",'R.M Billets Reports'!D1487)),TRIM(MID('R.M Billets Reports'!D1487,SEARCH("-",'R.M Billets Reports'!D1487)+1,200)),"")))="SHRI RADHE","SHREE RADHE",IF(IF(IF(ISNUMBER(SEARCH("Party Name:-",'R.M Billets Reports'!D1486)),TRIM('R.M Billets Reports'!F1486),IF(ISNUMBER(SEARCH("Party Name-",'R.M Billets Reports'!D1486)),TRIM(MID('R.M Billets Reports'!D1486,SEARCH("-",'R.M Billets Reports'!D1486)+1,200)),""))&lt;&gt;"",IF(ISNUMBER(SEARCH("Party Name:-",'R.M Billets Reports'!D1486)),TRIM('R.M Billets Reports'!F1486),IF(ISNUMBER(SEARCH("Party Name-",'R.M Billets Reports'!D1486)),TRIM(MID('R.M Billets Reports'!D1486,SEARCH("-",'R.M Billets Reports'!D1486)+1,200)),"")),IF(ISNUMBER(SEARCH("Party Name:-",'R.M Billets Reports'!D1487)),TRIM('R.M Billets Reports'!F1487),IF(ISNUMBER(SEARCH("Party Name-",'R.M Billets Reports'!D1487)),TRIM(MID('R.M Billets Reports'!D1487,SEARCH("-",'R.M Billets Reports'!D1487)+1,200)),"")))="SHREE RADHE SHAKTI SPONGE AND POWER PVT. LTD.","SHREE RADHE",IF(IF(ISNUMBER(SEARCH("Party Name:-",'R.M Billets Reports'!D1486)),TRIM('R.M Billets Reports'!F1486),IF(ISNUMBER(SEARCH("Party Name-",'R.M Billets Reports'!D1486)),TRIM(MID('R.M Billets Reports'!D1486,SEARCH("-",'R.M Billets Reports'!D1486)+1,200)),""))&lt;&gt;"",IF(ISNUMBER(SEARCH("Party Name:-",'R.M Billets Reports'!D1486)),TRIM('R.M Billets Reports'!F1486),IF(ISNUMBER(SEARCH("Party Name-",'R.M Billets Reports'!D1486)),TRIM(MID('R.M Billets Reports'!D1486,SEARCH("-",'R.M Billets Reports'!D1486)+1,200)),"")),IF(ISNUMBER(SEARCH("Party Name:-",'R.M Billets Reports'!D1487)),TRIM('R.M Billets Reports'!F1487),IF(ISNUMBER(SEARCH("Party Name-",'R.M Billets Reports'!D1487)),TRIM(MID('R.M Billets Reports'!D1487,SEARCH("-",'R.M Billets Reports'!D1487)+1,200)),"")))))),IF(ROW()=2,"",A1486))</f>
      </c>
      <c r="B1487">
        <f>IF(OR('R.M Billets Reports'!A1486="Date-",'R.M Billets Reports'!A1486="Date:-"),'R.M Billets Reports'!B1486,IF(ROW()=2,"",B1486))</f>
      </c>
      <c r="C1487">
        <f>IF('R.M Billets Reports'!A1486="V.No.",'R.M Billets Reports'!B1486,IF(ROW()=2,"",C1486))</f>
      </c>
      <c r="D1487">
        <f>IF('R.M Billets Reports'!A1486&lt;&gt;"",'R.M Billets Reports'!A1486,IF(ROW()=2,"",D1486))</f>
      </c>
      <c r="E1487">
        <f>IF('R.M Billets Reports'!B1486="","",TRIM('R.M Billets Reports'!B1486))</f>
      </c>
      <c r="F1487">
        <f>'R.M Billets Reports'!C1486</f>
      </c>
      <c r="G1487">
        <f>'R.M Billets Reports'!D1486</f>
      </c>
      <c r="H1487">
        <f>'R.M Billets Reports'!E1486</f>
      </c>
      <c r="I1487">
        <f>'R.M Billets Reports'!F1486</f>
      </c>
      <c r="J1487">
        <f>'R.M Billets Reports'!G1486</f>
      </c>
      <c r="K1487">
        <f>'R.M Billets Reports'!H1486</f>
      </c>
      <c r="L1487">
        <f>IF('R.M Billets Reports'!I1486="","",'R.M Billets Reports'!I1486)</f>
      </c>
      <c r="M1487">
        <f t="shared" si="46"/>
      </c>
      <c r="N1487">
        <f>IF('R.M Billets Reports'!J1486="","",'R.M Billets Reports'!J1486)</f>
      </c>
      <c r="O1487">
        <f t="shared" si="47"/>
      </c>
      <c r="P1487">
        <f>IF('R.M Billets Reports'!A1486="SIZE",'R.M Billets Reports'!B1486,P1486)</f>
      </c>
    </row>
    <row r="1488" spans="1:16" x14ac:dyDescent="0.25">
      <c r="A1488">
        <f>IF(OR('R.M Billets Reports'!A1487="Date-",'R.M Billets Reports'!A1487="Date:-"),IF(IF(IF(ISNUMBER(SEARCH("Party Name:-",'R.M Billets Reports'!D1487)),TRIM('R.M Billets Reports'!F1487),IF(ISNUMBER(SEARCH("Party Name-",'R.M Billets Reports'!D1487)),TRIM(MID('R.M Billets Reports'!D1487,SEARCH("-",'R.M Billets Reports'!D1487)+1,200)),""))&lt;&gt;"",IF(ISNUMBER(SEARCH("Party Name:-",'R.M Billets Reports'!D1487)),TRIM('R.M Billets Reports'!F1487),IF(ISNUMBER(SEARCH("Party Name-",'R.M Billets Reports'!D1487)),TRIM(MID('R.M Billets Reports'!D1487,SEARCH("-",'R.M Billets Reports'!D1487)+1,200)),"")),IF(ISNUMBER(SEARCH("Party Name:-",'R.M Billets Reports'!D1488)),TRIM('R.M Billets Reports'!F1488),IF(ISNUMBER(SEARCH("Party Name-",'R.M Billets Reports'!D1488)),TRIM(MID('R.M Billets Reports'!D1488,SEARCH("-",'R.M Billets Reports'!D1488)+1,200)),"")))="VRKP ISPAT PVT LTD","VRKP",IF(IF(IF(ISNUMBER(SEARCH("Party Name:-",'R.M Billets Reports'!D1487)),TRIM('R.M Billets Reports'!F1487),IF(ISNUMBER(SEARCH("Party Name-",'R.M Billets Reports'!D1487)),TRIM(MID('R.M Billets Reports'!D1487,SEARCH("-",'R.M Billets Reports'!D1487)+1,200)),""))&lt;&gt;"",IF(ISNUMBER(SEARCH("Party Name:-",'R.M Billets Reports'!D1487)),TRIM('R.M Billets Reports'!F1487),IF(ISNUMBER(SEARCH("Party Name-",'R.M Billets Reports'!D1487)),TRIM(MID('R.M Billets Reports'!D1487,SEARCH("-",'R.M Billets Reports'!D1487)+1,200)),"")),IF(ISNUMBER(SEARCH("Party Name:-",'R.M Billets Reports'!D1488)),TRIM('R.M Billets Reports'!F1488),IF(ISNUMBER(SEARCH("Party Name-",'R.M Billets Reports'!D1488)),TRIM(MID('R.M Billets Reports'!D1488,SEARCH("-",'R.M Billets Reports'!D1488)+1,200)),"")))="SHRI RADHE","SHREE RADHE",IF(IF(IF(ISNUMBER(SEARCH("Party Name:-",'R.M Billets Reports'!D1487)),TRIM('R.M Billets Reports'!F1487),IF(ISNUMBER(SEARCH("Party Name-",'R.M Billets Reports'!D1487)),TRIM(MID('R.M Billets Reports'!D1487,SEARCH("-",'R.M Billets Reports'!D1487)+1,200)),""))&lt;&gt;"",IF(ISNUMBER(SEARCH("Party Name:-",'R.M Billets Reports'!D1487)),TRIM('R.M Billets Reports'!F1487),IF(ISNUMBER(SEARCH("Party Name-",'R.M Billets Reports'!D1487)),TRIM(MID('R.M Billets Reports'!D1487,SEARCH("-",'R.M Billets Reports'!D1487)+1,200)),"")),IF(ISNUMBER(SEARCH("Party Name:-",'R.M Billets Reports'!D1488)),TRIM('R.M Billets Reports'!F1488),IF(ISNUMBER(SEARCH("Party Name-",'R.M Billets Reports'!D1488)),TRIM(MID('R.M Billets Reports'!D1488,SEARCH("-",'R.M Billets Reports'!D1488)+1,200)),"")))="SHREE RADHE SHAKTI SPONGE AND POWER PVT. LTD.","SHREE RADHE",IF(IF(ISNUMBER(SEARCH("Party Name:-",'R.M Billets Reports'!D1487)),TRIM('R.M Billets Reports'!F1487),IF(ISNUMBER(SEARCH("Party Name-",'R.M Billets Reports'!D1487)),TRIM(MID('R.M Billets Reports'!D1487,SEARCH("-",'R.M Billets Reports'!D1487)+1,200)),""))&lt;&gt;"",IF(ISNUMBER(SEARCH("Party Name:-",'R.M Billets Reports'!D1487)),TRIM('R.M Billets Reports'!F1487),IF(ISNUMBER(SEARCH("Party Name-",'R.M Billets Reports'!D1487)),TRIM(MID('R.M Billets Reports'!D1487,SEARCH("-",'R.M Billets Reports'!D1487)+1,200)),"")),IF(ISNUMBER(SEARCH("Party Name:-",'R.M Billets Reports'!D1488)),TRIM('R.M Billets Reports'!F1488),IF(ISNUMBER(SEARCH("Party Name-",'R.M Billets Reports'!D1488)),TRIM(MID('R.M Billets Reports'!D1488,SEARCH("-",'R.M Billets Reports'!D1488)+1,200)),"")))))),IF(ROW()=2,"",A1487))</f>
      </c>
      <c r="B1488">
        <f>IF(OR('R.M Billets Reports'!A1487="Date-",'R.M Billets Reports'!A1487="Date:-"),'R.M Billets Reports'!B1487,IF(ROW()=2,"",B1487))</f>
      </c>
      <c r="C1488">
        <f>IF('R.M Billets Reports'!A1487="V.No.",'R.M Billets Reports'!B1487,IF(ROW()=2,"",C1487))</f>
      </c>
      <c r="D1488">
        <f>IF('R.M Billets Reports'!A1487&lt;&gt;"",'R.M Billets Reports'!A1487,IF(ROW()=2,"",D1487))</f>
      </c>
      <c r="E1488">
        <f>IF('R.M Billets Reports'!B1487="","",TRIM('R.M Billets Reports'!B1487))</f>
      </c>
      <c r="F1488">
        <f>'R.M Billets Reports'!C1487</f>
      </c>
      <c r="G1488">
        <f>'R.M Billets Reports'!D1487</f>
      </c>
      <c r="H1488">
        <f>'R.M Billets Reports'!E1487</f>
      </c>
      <c r="I1488">
        <f>'R.M Billets Reports'!F1487</f>
      </c>
      <c r="J1488">
        <f>'R.M Billets Reports'!G1487</f>
      </c>
      <c r="K1488">
        <f>'R.M Billets Reports'!H1487</f>
      </c>
      <c r="L1488">
        <f>IF('R.M Billets Reports'!I1487="","",'R.M Billets Reports'!I1487)</f>
      </c>
      <c r="M1488">
        <f t="shared" si="46"/>
      </c>
      <c r="N1488">
        <f>IF('R.M Billets Reports'!J1487="","",'R.M Billets Reports'!J1487)</f>
      </c>
      <c r="O1488">
        <f t="shared" si="47"/>
      </c>
      <c r="P1488">
        <f>IF('R.M Billets Reports'!A1487="SIZE",'R.M Billets Reports'!B1487,P1487)</f>
      </c>
    </row>
    <row r="1489" spans="1:16" x14ac:dyDescent="0.25">
      <c r="A1489">
        <f>IF(OR('R.M Billets Reports'!A1488="Date-",'R.M Billets Reports'!A1488="Date:-"),IF(IF(IF(ISNUMBER(SEARCH("Party Name:-",'R.M Billets Reports'!D1488)),TRIM('R.M Billets Reports'!F1488),IF(ISNUMBER(SEARCH("Party Name-",'R.M Billets Reports'!D1488)),TRIM(MID('R.M Billets Reports'!D1488,SEARCH("-",'R.M Billets Reports'!D1488)+1,200)),""))&lt;&gt;"",IF(ISNUMBER(SEARCH("Party Name:-",'R.M Billets Reports'!D1488)),TRIM('R.M Billets Reports'!F1488),IF(ISNUMBER(SEARCH("Party Name-",'R.M Billets Reports'!D1488)),TRIM(MID('R.M Billets Reports'!D1488,SEARCH("-",'R.M Billets Reports'!D1488)+1,200)),"")),IF(ISNUMBER(SEARCH("Party Name:-",'R.M Billets Reports'!D1489)),TRIM('R.M Billets Reports'!F1489),IF(ISNUMBER(SEARCH("Party Name-",'R.M Billets Reports'!D1489)),TRIM(MID('R.M Billets Reports'!D1489,SEARCH("-",'R.M Billets Reports'!D1489)+1,200)),"")))="VRKP ISPAT PVT LTD","VRKP",IF(IF(IF(ISNUMBER(SEARCH("Party Name:-",'R.M Billets Reports'!D1488)),TRIM('R.M Billets Reports'!F1488),IF(ISNUMBER(SEARCH("Party Name-",'R.M Billets Reports'!D1488)),TRIM(MID('R.M Billets Reports'!D1488,SEARCH("-",'R.M Billets Reports'!D1488)+1,200)),""))&lt;&gt;"",IF(ISNUMBER(SEARCH("Party Name:-",'R.M Billets Reports'!D1488)),TRIM('R.M Billets Reports'!F1488),IF(ISNUMBER(SEARCH("Party Name-",'R.M Billets Reports'!D1488)),TRIM(MID('R.M Billets Reports'!D1488,SEARCH("-",'R.M Billets Reports'!D1488)+1,200)),"")),IF(ISNUMBER(SEARCH("Party Name:-",'R.M Billets Reports'!D1489)),TRIM('R.M Billets Reports'!F1489),IF(ISNUMBER(SEARCH("Party Name-",'R.M Billets Reports'!D1489)),TRIM(MID('R.M Billets Reports'!D1489,SEARCH("-",'R.M Billets Reports'!D1489)+1,200)),"")))="SHRI RADHE","SHREE RADHE",IF(IF(IF(ISNUMBER(SEARCH("Party Name:-",'R.M Billets Reports'!D1488)),TRIM('R.M Billets Reports'!F1488),IF(ISNUMBER(SEARCH("Party Name-",'R.M Billets Reports'!D1488)),TRIM(MID('R.M Billets Reports'!D1488,SEARCH("-",'R.M Billets Reports'!D1488)+1,200)),""))&lt;&gt;"",IF(ISNUMBER(SEARCH("Party Name:-",'R.M Billets Reports'!D1488)),TRIM('R.M Billets Reports'!F1488),IF(ISNUMBER(SEARCH("Party Name-",'R.M Billets Reports'!D1488)),TRIM(MID('R.M Billets Reports'!D1488,SEARCH("-",'R.M Billets Reports'!D1488)+1,200)),"")),IF(ISNUMBER(SEARCH("Party Name:-",'R.M Billets Reports'!D1489)),TRIM('R.M Billets Reports'!F1489),IF(ISNUMBER(SEARCH("Party Name-",'R.M Billets Reports'!D1489)),TRIM(MID('R.M Billets Reports'!D1489,SEARCH("-",'R.M Billets Reports'!D1489)+1,200)),"")))="SHREE RADHE SHAKTI SPONGE AND POWER PVT. LTD.","SHREE RADHE",IF(IF(ISNUMBER(SEARCH("Party Name:-",'R.M Billets Reports'!D1488)),TRIM('R.M Billets Reports'!F1488),IF(ISNUMBER(SEARCH("Party Name-",'R.M Billets Reports'!D1488)),TRIM(MID('R.M Billets Reports'!D1488,SEARCH("-",'R.M Billets Reports'!D1488)+1,200)),""))&lt;&gt;"",IF(ISNUMBER(SEARCH("Party Name:-",'R.M Billets Reports'!D1488)),TRIM('R.M Billets Reports'!F1488),IF(ISNUMBER(SEARCH("Party Name-",'R.M Billets Reports'!D1488)),TRIM(MID('R.M Billets Reports'!D1488,SEARCH("-",'R.M Billets Reports'!D1488)+1,200)),"")),IF(ISNUMBER(SEARCH("Party Name:-",'R.M Billets Reports'!D1489)),TRIM('R.M Billets Reports'!F1489),IF(ISNUMBER(SEARCH("Party Name-",'R.M Billets Reports'!D1489)),TRIM(MID('R.M Billets Reports'!D1489,SEARCH("-",'R.M Billets Reports'!D1489)+1,200)),"")))))),IF(ROW()=2,"",A1488))</f>
      </c>
      <c r="B1489">
        <f>IF(OR('R.M Billets Reports'!A1488="Date-",'R.M Billets Reports'!A1488="Date:-"),'R.M Billets Reports'!B1488,IF(ROW()=2,"",B1488))</f>
      </c>
      <c r="C1489">
        <f>IF('R.M Billets Reports'!A1488="V.No.",'R.M Billets Reports'!B1488,IF(ROW()=2,"",C1488))</f>
      </c>
      <c r="D1489">
        <f>IF('R.M Billets Reports'!A1488&lt;&gt;"",'R.M Billets Reports'!A1488,IF(ROW()=2,"",D1488))</f>
      </c>
      <c r="E1489">
        <f>IF('R.M Billets Reports'!B1488="","",TRIM('R.M Billets Reports'!B1488))</f>
      </c>
      <c r="F1489">
        <f>'R.M Billets Reports'!C1488</f>
      </c>
      <c r="G1489">
        <f>'R.M Billets Reports'!D1488</f>
      </c>
      <c r="H1489">
        <f>'R.M Billets Reports'!E1488</f>
      </c>
      <c r="I1489">
        <f>'R.M Billets Reports'!F1488</f>
      </c>
      <c r="J1489">
        <f>'R.M Billets Reports'!G1488</f>
      </c>
      <c r="K1489">
        <f>'R.M Billets Reports'!H1488</f>
      </c>
      <c r="L1489">
        <f>IF('R.M Billets Reports'!I1488="","",'R.M Billets Reports'!I1488)</f>
      </c>
      <c r="M1489">
        <f t="shared" si="46"/>
      </c>
      <c r="N1489">
        <f>IF('R.M Billets Reports'!J1488="","",'R.M Billets Reports'!J1488)</f>
      </c>
      <c r="O1489">
        <f t="shared" si="47"/>
      </c>
      <c r="P1489">
        <f>IF('R.M Billets Reports'!A1488="SIZE",'R.M Billets Reports'!B1488,P1488)</f>
      </c>
    </row>
    <row r="1490" spans="1:16" x14ac:dyDescent="0.25">
      <c r="A1490">
        <f>IF(OR('R.M Billets Reports'!A1489="Date-",'R.M Billets Reports'!A1489="Date:-"),IF(IF(IF(ISNUMBER(SEARCH("Party Name:-",'R.M Billets Reports'!D1489)),TRIM('R.M Billets Reports'!F1489),IF(ISNUMBER(SEARCH("Party Name-",'R.M Billets Reports'!D1489)),TRIM(MID('R.M Billets Reports'!D1489,SEARCH("-",'R.M Billets Reports'!D1489)+1,200)),""))&lt;&gt;"",IF(ISNUMBER(SEARCH("Party Name:-",'R.M Billets Reports'!D1489)),TRIM('R.M Billets Reports'!F1489),IF(ISNUMBER(SEARCH("Party Name-",'R.M Billets Reports'!D1489)),TRIM(MID('R.M Billets Reports'!D1489,SEARCH("-",'R.M Billets Reports'!D1489)+1,200)),"")),IF(ISNUMBER(SEARCH("Party Name:-",'R.M Billets Reports'!D1490)),TRIM('R.M Billets Reports'!F1490),IF(ISNUMBER(SEARCH("Party Name-",'R.M Billets Reports'!D1490)),TRIM(MID('R.M Billets Reports'!D1490,SEARCH("-",'R.M Billets Reports'!D1490)+1,200)),"")))="VRKP ISPAT PVT LTD","VRKP",IF(IF(IF(ISNUMBER(SEARCH("Party Name:-",'R.M Billets Reports'!D1489)),TRIM('R.M Billets Reports'!F1489),IF(ISNUMBER(SEARCH("Party Name-",'R.M Billets Reports'!D1489)),TRIM(MID('R.M Billets Reports'!D1489,SEARCH("-",'R.M Billets Reports'!D1489)+1,200)),""))&lt;&gt;"",IF(ISNUMBER(SEARCH("Party Name:-",'R.M Billets Reports'!D1489)),TRIM('R.M Billets Reports'!F1489),IF(ISNUMBER(SEARCH("Party Name-",'R.M Billets Reports'!D1489)),TRIM(MID('R.M Billets Reports'!D1489,SEARCH("-",'R.M Billets Reports'!D1489)+1,200)),"")),IF(ISNUMBER(SEARCH("Party Name:-",'R.M Billets Reports'!D1490)),TRIM('R.M Billets Reports'!F1490),IF(ISNUMBER(SEARCH("Party Name-",'R.M Billets Reports'!D1490)),TRIM(MID('R.M Billets Reports'!D1490,SEARCH("-",'R.M Billets Reports'!D1490)+1,200)),"")))="SHRI RADHE","SHREE RADHE",IF(IF(IF(ISNUMBER(SEARCH("Party Name:-",'R.M Billets Reports'!D1489)),TRIM('R.M Billets Reports'!F1489),IF(ISNUMBER(SEARCH("Party Name-",'R.M Billets Reports'!D1489)),TRIM(MID('R.M Billets Reports'!D1489,SEARCH("-",'R.M Billets Reports'!D1489)+1,200)),""))&lt;&gt;"",IF(ISNUMBER(SEARCH("Party Name:-",'R.M Billets Reports'!D1489)),TRIM('R.M Billets Reports'!F1489),IF(ISNUMBER(SEARCH("Party Name-",'R.M Billets Reports'!D1489)),TRIM(MID('R.M Billets Reports'!D1489,SEARCH("-",'R.M Billets Reports'!D1489)+1,200)),"")),IF(ISNUMBER(SEARCH("Party Name:-",'R.M Billets Reports'!D1490)),TRIM('R.M Billets Reports'!F1490),IF(ISNUMBER(SEARCH("Party Name-",'R.M Billets Reports'!D1490)),TRIM(MID('R.M Billets Reports'!D1490,SEARCH("-",'R.M Billets Reports'!D1490)+1,200)),"")))="SHREE RADHE SHAKTI SPONGE AND POWER PVT. LTD.","SHREE RADHE",IF(IF(ISNUMBER(SEARCH("Party Name:-",'R.M Billets Reports'!D1489)),TRIM('R.M Billets Reports'!F1489),IF(ISNUMBER(SEARCH("Party Name-",'R.M Billets Reports'!D1489)),TRIM(MID('R.M Billets Reports'!D1489,SEARCH("-",'R.M Billets Reports'!D1489)+1,200)),""))&lt;&gt;"",IF(ISNUMBER(SEARCH("Party Name:-",'R.M Billets Reports'!D1489)),TRIM('R.M Billets Reports'!F1489),IF(ISNUMBER(SEARCH("Party Name-",'R.M Billets Reports'!D1489)),TRIM(MID('R.M Billets Reports'!D1489,SEARCH("-",'R.M Billets Reports'!D1489)+1,200)),"")),IF(ISNUMBER(SEARCH("Party Name:-",'R.M Billets Reports'!D1490)),TRIM('R.M Billets Reports'!F1490),IF(ISNUMBER(SEARCH("Party Name-",'R.M Billets Reports'!D1490)),TRIM(MID('R.M Billets Reports'!D1490,SEARCH("-",'R.M Billets Reports'!D1490)+1,200)),"")))))),IF(ROW()=2,"",A1489))</f>
      </c>
      <c r="B1490">
        <f>IF(OR('R.M Billets Reports'!A1489="Date-",'R.M Billets Reports'!A1489="Date:-"),'R.M Billets Reports'!B1489,IF(ROW()=2,"",B1489))</f>
      </c>
      <c r="C1490">
        <f>IF('R.M Billets Reports'!A1489="V.No.",'R.M Billets Reports'!B1489,IF(ROW()=2,"",C1489))</f>
      </c>
      <c r="D1490">
        <f>IF('R.M Billets Reports'!A1489&lt;&gt;"",'R.M Billets Reports'!A1489,IF(ROW()=2,"",D1489))</f>
      </c>
      <c r="E1490">
        <f>IF('R.M Billets Reports'!B1489="","",TRIM('R.M Billets Reports'!B1489))</f>
      </c>
      <c r="F1490">
        <f>'R.M Billets Reports'!C1489</f>
      </c>
      <c r="G1490">
        <f>'R.M Billets Reports'!D1489</f>
      </c>
      <c r="H1490">
        <f>'R.M Billets Reports'!E1489</f>
      </c>
      <c r="I1490">
        <f>'R.M Billets Reports'!F1489</f>
      </c>
      <c r="J1490">
        <f>'R.M Billets Reports'!G1489</f>
      </c>
      <c r="K1490">
        <f>'R.M Billets Reports'!H1489</f>
      </c>
      <c r="L1490">
        <f>IF('R.M Billets Reports'!I1489="","",'R.M Billets Reports'!I1489)</f>
      </c>
      <c r="M1490">
        <f t="shared" si="46"/>
      </c>
      <c r="N1490">
        <f>IF('R.M Billets Reports'!J1489="","",'R.M Billets Reports'!J1489)</f>
      </c>
      <c r="O1490">
        <f t="shared" si="47"/>
      </c>
      <c r="P1490">
        <f>IF('R.M Billets Reports'!A1489="SIZE",'R.M Billets Reports'!B1489,P1489)</f>
      </c>
    </row>
    <row r="1491" spans="1:16" x14ac:dyDescent="0.25">
      <c r="A1491">
        <f>IF(OR('R.M Billets Reports'!A1490="Date-",'R.M Billets Reports'!A1490="Date:-"),IF(IF(IF(ISNUMBER(SEARCH("Party Name:-",'R.M Billets Reports'!D1490)),TRIM('R.M Billets Reports'!F1490),IF(ISNUMBER(SEARCH("Party Name-",'R.M Billets Reports'!D1490)),TRIM(MID('R.M Billets Reports'!D1490,SEARCH("-",'R.M Billets Reports'!D1490)+1,200)),""))&lt;&gt;"",IF(ISNUMBER(SEARCH("Party Name:-",'R.M Billets Reports'!D1490)),TRIM('R.M Billets Reports'!F1490),IF(ISNUMBER(SEARCH("Party Name-",'R.M Billets Reports'!D1490)),TRIM(MID('R.M Billets Reports'!D1490,SEARCH("-",'R.M Billets Reports'!D1490)+1,200)),"")),IF(ISNUMBER(SEARCH("Party Name:-",'R.M Billets Reports'!D1491)),TRIM('R.M Billets Reports'!F1491),IF(ISNUMBER(SEARCH("Party Name-",'R.M Billets Reports'!D1491)),TRIM(MID('R.M Billets Reports'!D1491,SEARCH("-",'R.M Billets Reports'!D1491)+1,200)),"")))="VRKP ISPAT PVT LTD","VRKP",IF(IF(IF(ISNUMBER(SEARCH("Party Name:-",'R.M Billets Reports'!D1490)),TRIM('R.M Billets Reports'!F1490),IF(ISNUMBER(SEARCH("Party Name-",'R.M Billets Reports'!D1490)),TRIM(MID('R.M Billets Reports'!D1490,SEARCH("-",'R.M Billets Reports'!D1490)+1,200)),""))&lt;&gt;"",IF(ISNUMBER(SEARCH("Party Name:-",'R.M Billets Reports'!D1490)),TRIM('R.M Billets Reports'!F1490),IF(ISNUMBER(SEARCH("Party Name-",'R.M Billets Reports'!D1490)),TRIM(MID('R.M Billets Reports'!D1490,SEARCH("-",'R.M Billets Reports'!D1490)+1,200)),"")),IF(ISNUMBER(SEARCH("Party Name:-",'R.M Billets Reports'!D1491)),TRIM('R.M Billets Reports'!F1491),IF(ISNUMBER(SEARCH("Party Name-",'R.M Billets Reports'!D1491)),TRIM(MID('R.M Billets Reports'!D1491,SEARCH("-",'R.M Billets Reports'!D1491)+1,200)),"")))="SHRI RADHE","SHREE RADHE",IF(IF(IF(ISNUMBER(SEARCH("Party Name:-",'R.M Billets Reports'!D1490)),TRIM('R.M Billets Reports'!F1490),IF(ISNUMBER(SEARCH("Party Name-",'R.M Billets Reports'!D1490)),TRIM(MID('R.M Billets Reports'!D1490,SEARCH("-",'R.M Billets Reports'!D1490)+1,200)),""))&lt;&gt;"",IF(ISNUMBER(SEARCH("Party Name:-",'R.M Billets Reports'!D1490)),TRIM('R.M Billets Reports'!F1490),IF(ISNUMBER(SEARCH("Party Name-",'R.M Billets Reports'!D1490)),TRIM(MID('R.M Billets Reports'!D1490,SEARCH("-",'R.M Billets Reports'!D1490)+1,200)),"")),IF(ISNUMBER(SEARCH("Party Name:-",'R.M Billets Reports'!D1491)),TRIM('R.M Billets Reports'!F1491),IF(ISNUMBER(SEARCH("Party Name-",'R.M Billets Reports'!D1491)),TRIM(MID('R.M Billets Reports'!D1491,SEARCH("-",'R.M Billets Reports'!D1491)+1,200)),"")))="SHREE RADHE SHAKTI SPONGE AND POWER PVT. LTD.","SHREE RADHE",IF(IF(ISNUMBER(SEARCH("Party Name:-",'R.M Billets Reports'!D1490)),TRIM('R.M Billets Reports'!F1490),IF(ISNUMBER(SEARCH("Party Name-",'R.M Billets Reports'!D1490)),TRIM(MID('R.M Billets Reports'!D1490,SEARCH("-",'R.M Billets Reports'!D1490)+1,200)),""))&lt;&gt;"",IF(ISNUMBER(SEARCH("Party Name:-",'R.M Billets Reports'!D1490)),TRIM('R.M Billets Reports'!F1490),IF(ISNUMBER(SEARCH("Party Name-",'R.M Billets Reports'!D1490)),TRIM(MID('R.M Billets Reports'!D1490,SEARCH("-",'R.M Billets Reports'!D1490)+1,200)),"")),IF(ISNUMBER(SEARCH("Party Name:-",'R.M Billets Reports'!D1491)),TRIM('R.M Billets Reports'!F1491),IF(ISNUMBER(SEARCH("Party Name-",'R.M Billets Reports'!D1491)),TRIM(MID('R.M Billets Reports'!D1491,SEARCH("-",'R.M Billets Reports'!D1491)+1,200)),"")))))),IF(ROW()=2,"",A1490))</f>
      </c>
      <c r="B1491">
        <f>IF(OR('R.M Billets Reports'!A1490="Date-",'R.M Billets Reports'!A1490="Date:-"),'R.M Billets Reports'!B1490,IF(ROW()=2,"",B1490))</f>
      </c>
      <c r="C1491">
        <f>IF('R.M Billets Reports'!A1490="V.No.",'R.M Billets Reports'!B1490,IF(ROW()=2,"",C1490))</f>
      </c>
      <c r="D1491">
        <f>IF('R.M Billets Reports'!A1490&lt;&gt;"",'R.M Billets Reports'!A1490,IF(ROW()=2,"",D1490))</f>
      </c>
      <c r="E1491">
        <f>IF('R.M Billets Reports'!B1490="","",TRIM('R.M Billets Reports'!B1490))</f>
      </c>
      <c r="F1491">
        <f>'R.M Billets Reports'!C1490</f>
      </c>
      <c r="G1491">
        <f>'R.M Billets Reports'!D1490</f>
      </c>
      <c r="H1491">
        <f>'R.M Billets Reports'!E1490</f>
      </c>
      <c r="I1491">
        <f>'R.M Billets Reports'!F1490</f>
      </c>
      <c r="J1491">
        <f>'R.M Billets Reports'!G1490</f>
      </c>
      <c r="K1491">
        <f>'R.M Billets Reports'!H1490</f>
      </c>
      <c r="L1491">
        <f>IF('R.M Billets Reports'!I1490="","",'R.M Billets Reports'!I1490)</f>
      </c>
      <c r="M1491">
        <f t="shared" si="46"/>
      </c>
      <c r="N1491">
        <f>IF('R.M Billets Reports'!J1490="","",'R.M Billets Reports'!J1490)</f>
      </c>
      <c r="O1491">
        <f t="shared" si="47"/>
      </c>
      <c r="P1491">
        <f>IF('R.M Billets Reports'!A1490="SIZE",'R.M Billets Reports'!B1490,P1490)</f>
      </c>
    </row>
    <row r="1492" spans="1:16" x14ac:dyDescent="0.25">
      <c r="A1492">
        <f>IF(OR('R.M Billets Reports'!A1491="Date-",'R.M Billets Reports'!A1491="Date:-"),IF(IF(IF(ISNUMBER(SEARCH("Party Name:-",'R.M Billets Reports'!D1491)),TRIM('R.M Billets Reports'!F1491),IF(ISNUMBER(SEARCH("Party Name-",'R.M Billets Reports'!D1491)),TRIM(MID('R.M Billets Reports'!D1491,SEARCH("-",'R.M Billets Reports'!D1491)+1,200)),""))&lt;&gt;"",IF(ISNUMBER(SEARCH("Party Name:-",'R.M Billets Reports'!D1491)),TRIM('R.M Billets Reports'!F1491),IF(ISNUMBER(SEARCH("Party Name-",'R.M Billets Reports'!D1491)),TRIM(MID('R.M Billets Reports'!D1491,SEARCH("-",'R.M Billets Reports'!D1491)+1,200)),"")),IF(ISNUMBER(SEARCH("Party Name:-",'R.M Billets Reports'!D1492)),TRIM('R.M Billets Reports'!F1492),IF(ISNUMBER(SEARCH("Party Name-",'R.M Billets Reports'!D1492)),TRIM(MID('R.M Billets Reports'!D1492,SEARCH("-",'R.M Billets Reports'!D1492)+1,200)),"")))="VRKP ISPAT PVT LTD","VRKP",IF(IF(IF(ISNUMBER(SEARCH("Party Name:-",'R.M Billets Reports'!D1491)),TRIM('R.M Billets Reports'!F1491),IF(ISNUMBER(SEARCH("Party Name-",'R.M Billets Reports'!D1491)),TRIM(MID('R.M Billets Reports'!D1491,SEARCH("-",'R.M Billets Reports'!D1491)+1,200)),""))&lt;&gt;"",IF(ISNUMBER(SEARCH("Party Name:-",'R.M Billets Reports'!D1491)),TRIM('R.M Billets Reports'!F1491),IF(ISNUMBER(SEARCH("Party Name-",'R.M Billets Reports'!D1491)),TRIM(MID('R.M Billets Reports'!D1491,SEARCH("-",'R.M Billets Reports'!D1491)+1,200)),"")),IF(ISNUMBER(SEARCH("Party Name:-",'R.M Billets Reports'!D1492)),TRIM('R.M Billets Reports'!F1492),IF(ISNUMBER(SEARCH("Party Name-",'R.M Billets Reports'!D1492)),TRIM(MID('R.M Billets Reports'!D1492,SEARCH("-",'R.M Billets Reports'!D1492)+1,200)),"")))="SHRI RADHE","SHREE RADHE",IF(IF(IF(ISNUMBER(SEARCH("Party Name:-",'R.M Billets Reports'!D1491)),TRIM('R.M Billets Reports'!F1491),IF(ISNUMBER(SEARCH("Party Name-",'R.M Billets Reports'!D1491)),TRIM(MID('R.M Billets Reports'!D1491,SEARCH("-",'R.M Billets Reports'!D1491)+1,200)),""))&lt;&gt;"",IF(ISNUMBER(SEARCH("Party Name:-",'R.M Billets Reports'!D1491)),TRIM('R.M Billets Reports'!F1491),IF(ISNUMBER(SEARCH("Party Name-",'R.M Billets Reports'!D1491)),TRIM(MID('R.M Billets Reports'!D1491,SEARCH("-",'R.M Billets Reports'!D1491)+1,200)),"")),IF(ISNUMBER(SEARCH("Party Name:-",'R.M Billets Reports'!D1492)),TRIM('R.M Billets Reports'!F1492),IF(ISNUMBER(SEARCH("Party Name-",'R.M Billets Reports'!D1492)),TRIM(MID('R.M Billets Reports'!D1492,SEARCH("-",'R.M Billets Reports'!D1492)+1,200)),"")))="SHREE RADHE SHAKTI SPONGE AND POWER PVT. LTD.","SHREE RADHE",IF(IF(ISNUMBER(SEARCH("Party Name:-",'R.M Billets Reports'!D1491)),TRIM('R.M Billets Reports'!F1491),IF(ISNUMBER(SEARCH("Party Name-",'R.M Billets Reports'!D1491)),TRIM(MID('R.M Billets Reports'!D1491,SEARCH("-",'R.M Billets Reports'!D1491)+1,200)),""))&lt;&gt;"",IF(ISNUMBER(SEARCH("Party Name:-",'R.M Billets Reports'!D1491)),TRIM('R.M Billets Reports'!F1491),IF(ISNUMBER(SEARCH("Party Name-",'R.M Billets Reports'!D1491)),TRIM(MID('R.M Billets Reports'!D1491,SEARCH("-",'R.M Billets Reports'!D1491)+1,200)),"")),IF(ISNUMBER(SEARCH("Party Name:-",'R.M Billets Reports'!D1492)),TRIM('R.M Billets Reports'!F1492),IF(ISNUMBER(SEARCH("Party Name-",'R.M Billets Reports'!D1492)),TRIM(MID('R.M Billets Reports'!D1492,SEARCH("-",'R.M Billets Reports'!D1492)+1,200)),"")))))),IF(ROW()=2,"",A1491))</f>
      </c>
      <c r="B1492">
        <f>IF(OR('R.M Billets Reports'!A1491="Date-",'R.M Billets Reports'!A1491="Date:-"),'R.M Billets Reports'!B1491,IF(ROW()=2,"",B1491))</f>
      </c>
      <c r="C1492">
        <f>IF('R.M Billets Reports'!A1491="V.No.",'R.M Billets Reports'!B1491,IF(ROW()=2,"",C1491))</f>
      </c>
      <c r="D1492">
        <f>IF('R.M Billets Reports'!A1491&lt;&gt;"",'R.M Billets Reports'!A1491,IF(ROW()=2,"",D1491))</f>
      </c>
      <c r="E1492">
        <f>IF('R.M Billets Reports'!B1491="","",TRIM('R.M Billets Reports'!B1491))</f>
      </c>
      <c r="F1492">
        <f>'R.M Billets Reports'!C1491</f>
      </c>
      <c r="G1492">
        <f>'R.M Billets Reports'!D1491</f>
      </c>
      <c r="H1492">
        <f>'R.M Billets Reports'!E1491</f>
      </c>
      <c r="I1492">
        <f>'R.M Billets Reports'!F1491</f>
      </c>
      <c r="J1492">
        <f>'R.M Billets Reports'!G1491</f>
      </c>
      <c r="K1492">
        <f>'R.M Billets Reports'!H1491</f>
      </c>
      <c r="L1492">
        <f>IF('R.M Billets Reports'!I1491="","",'R.M Billets Reports'!I1491)</f>
      </c>
      <c r="M1492">
        <f t="shared" si="46"/>
      </c>
      <c r="N1492">
        <f>IF('R.M Billets Reports'!J1491="","",'R.M Billets Reports'!J1491)</f>
      </c>
      <c r="O1492">
        <f t="shared" si="47"/>
      </c>
      <c r="P1492">
        <f>IF('R.M Billets Reports'!A1491="SIZE",'R.M Billets Reports'!B1491,P1491)</f>
      </c>
    </row>
    <row r="1493" spans="1:16" x14ac:dyDescent="0.25">
      <c r="A1493">
        <f>IF(OR('R.M Billets Reports'!A1492="Date-",'R.M Billets Reports'!A1492="Date:-"),IF(IF(IF(ISNUMBER(SEARCH("Party Name:-",'R.M Billets Reports'!D1492)),TRIM('R.M Billets Reports'!F1492),IF(ISNUMBER(SEARCH("Party Name-",'R.M Billets Reports'!D1492)),TRIM(MID('R.M Billets Reports'!D1492,SEARCH("-",'R.M Billets Reports'!D1492)+1,200)),""))&lt;&gt;"",IF(ISNUMBER(SEARCH("Party Name:-",'R.M Billets Reports'!D1492)),TRIM('R.M Billets Reports'!F1492),IF(ISNUMBER(SEARCH("Party Name-",'R.M Billets Reports'!D1492)),TRIM(MID('R.M Billets Reports'!D1492,SEARCH("-",'R.M Billets Reports'!D1492)+1,200)),"")),IF(ISNUMBER(SEARCH("Party Name:-",'R.M Billets Reports'!D1493)),TRIM('R.M Billets Reports'!F1493),IF(ISNUMBER(SEARCH("Party Name-",'R.M Billets Reports'!D1493)),TRIM(MID('R.M Billets Reports'!D1493,SEARCH("-",'R.M Billets Reports'!D1493)+1,200)),"")))="VRKP ISPAT PVT LTD","VRKP",IF(IF(IF(ISNUMBER(SEARCH("Party Name:-",'R.M Billets Reports'!D1492)),TRIM('R.M Billets Reports'!F1492),IF(ISNUMBER(SEARCH("Party Name-",'R.M Billets Reports'!D1492)),TRIM(MID('R.M Billets Reports'!D1492,SEARCH("-",'R.M Billets Reports'!D1492)+1,200)),""))&lt;&gt;"",IF(ISNUMBER(SEARCH("Party Name:-",'R.M Billets Reports'!D1492)),TRIM('R.M Billets Reports'!F1492),IF(ISNUMBER(SEARCH("Party Name-",'R.M Billets Reports'!D1492)),TRIM(MID('R.M Billets Reports'!D1492,SEARCH("-",'R.M Billets Reports'!D1492)+1,200)),"")),IF(ISNUMBER(SEARCH("Party Name:-",'R.M Billets Reports'!D1493)),TRIM('R.M Billets Reports'!F1493),IF(ISNUMBER(SEARCH("Party Name-",'R.M Billets Reports'!D1493)),TRIM(MID('R.M Billets Reports'!D1493,SEARCH("-",'R.M Billets Reports'!D1493)+1,200)),"")))="SHRI RADHE","SHREE RADHE",IF(IF(IF(ISNUMBER(SEARCH("Party Name:-",'R.M Billets Reports'!D1492)),TRIM('R.M Billets Reports'!F1492),IF(ISNUMBER(SEARCH("Party Name-",'R.M Billets Reports'!D1492)),TRIM(MID('R.M Billets Reports'!D1492,SEARCH("-",'R.M Billets Reports'!D1492)+1,200)),""))&lt;&gt;"",IF(ISNUMBER(SEARCH("Party Name:-",'R.M Billets Reports'!D1492)),TRIM('R.M Billets Reports'!F1492),IF(ISNUMBER(SEARCH("Party Name-",'R.M Billets Reports'!D1492)),TRIM(MID('R.M Billets Reports'!D1492,SEARCH("-",'R.M Billets Reports'!D1492)+1,200)),"")),IF(ISNUMBER(SEARCH("Party Name:-",'R.M Billets Reports'!D1493)),TRIM('R.M Billets Reports'!F1493),IF(ISNUMBER(SEARCH("Party Name-",'R.M Billets Reports'!D1493)),TRIM(MID('R.M Billets Reports'!D1493,SEARCH("-",'R.M Billets Reports'!D1493)+1,200)),"")))="SHREE RADHE SHAKTI SPONGE AND POWER PVT. LTD.","SHREE RADHE",IF(IF(ISNUMBER(SEARCH("Party Name:-",'R.M Billets Reports'!D1492)),TRIM('R.M Billets Reports'!F1492),IF(ISNUMBER(SEARCH("Party Name-",'R.M Billets Reports'!D1492)),TRIM(MID('R.M Billets Reports'!D1492,SEARCH("-",'R.M Billets Reports'!D1492)+1,200)),""))&lt;&gt;"",IF(ISNUMBER(SEARCH("Party Name:-",'R.M Billets Reports'!D1492)),TRIM('R.M Billets Reports'!F1492),IF(ISNUMBER(SEARCH("Party Name-",'R.M Billets Reports'!D1492)),TRIM(MID('R.M Billets Reports'!D1492,SEARCH("-",'R.M Billets Reports'!D1492)+1,200)),"")),IF(ISNUMBER(SEARCH("Party Name:-",'R.M Billets Reports'!D1493)),TRIM('R.M Billets Reports'!F1493),IF(ISNUMBER(SEARCH("Party Name-",'R.M Billets Reports'!D1493)),TRIM(MID('R.M Billets Reports'!D1493,SEARCH("-",'R.M Billets Reports'!D1493)+1,200)),"")))))),IF(ROW()=2,"",A1492))</f>
      </c>
      <c r="B1493">
        <f>IF(OR('R.M Billets Reports'!A1492="Date-",'R.M Billets Reports'!A1492="Date:-"),'R.M Billets Reports'!B1492,IF(ROW()=2,"",B1492))</f>
      </c>
      <c r="C1493">
        <f>IF('R.M Billets Reports'!A1492="V.No.",'R.M Billets Reports'!B1492,IF(ROW()=2,"",C1492))</f>
      </c>
      <c r="D1493">
        <f>IF('R.M Billets Reports'!A1492&lt;&gt;"",'R.M Billets Reports'!A1492,IF(ROW()=2,"",D1492))</f>
      </c>
      <c r="E1493">
        <f>IF('R.M Billets Reports'!B1492="","",TRIM('R.M Billets Reports'!B1492))</f>
      </c>
      <c r="F1493">
        <f>'R.M Billets Reports'!C1492</f>
      </c>
      <c r="G1493">
        <f>'R.M Billets Reports'!D1492</f>
      </c>
      <c r="H1493">
        <f>'R.M Billets Reports'!E1492</f>
      </c>
      <c r="I1493">
        <f>'R.M Billets Reports'!F1492</f>
      </c>
      <c r="J1493">
        <f>'R.M Billets Reports'!G1492</f>
      </c>
      <c r="K1493">
        <f>'R.M Billets Reports'!H1492</f>
      </c>
      <c r="L1493">
        <f>IF('R.M Billets Reports'!I1492="","",'R.M Billets Reports'!I1492)</f>
      </c>
      <c r="M1493">
        <f t="shared" si="46"/>
      </c>
      <c r="N1493">
        <f>IF('R.M Billets Reports'!J1492="","",'R.M Billets Reports'!J1492)</f>
      </c>
      <c r="O1493">
        <f t="shared" si="47"/>
      </c>
      <c r="P1493">
        <f>IF('R.M Billets Reports'!A1492="SIZE",'R.M Billets Reports'!B1492,P1492)</f>
      </c>
    </row>
    <row r="1494" spans="1:16" x14ac:dyDescent="0.25">
      <c r="A1494">
        <f>IF(OR('R.M Billets Reports'!A1493="Date-",'R.M Billets Reports'!A1493="Date:-"),IF(IF(IF(ISNUMBER(SEARCH("Party Name:-",'R.M Billets Reports'!D1493)),TRIM('R.M Billets Reports'!F1493),IF(ISNUMBER(SEARCH("Party Name-",'R.M Billets Reports'!D1493)),TRIM(MID('R.M Billets Reports'!D1493,SEARCH("-",'R.M Billets Reports'!D1493)+1,200)),""))&lt;&gt;"",IF(ISNUMBER(SEARCH("Party Name:-",'R.M Billets Reports'!D1493)),TRIM('R.M Billets Reports'!F1493),IF(ISNUMBER(SEARCH("Party Name-",'R.M Billets Reports'!D1493)),TRIM(MID('R.M Billets Reports'!D1493,SEARCH("-",'R.M Billets Reports'!D1493)+1,200)),"")),IF(ISNUMBER(SEARCH("Party Name:-",'R.M Billets Reports'!D1494)),TRIM('R.M Billets Reports'!F1494),IF(ISNUMBER(SEARCH("Party Name-",'R.M Billets Reports'!D1494)),TRIM(MID('R.M Billets Reports'!D1494,SEARCH("-",'R.M Billets Reports'!D1494)+1,200)),"")))="VRKP ISPAT PVT LTD","VRKP",IF(IF(IF(ISNUMBER(SEARCH("Party Name:-",'R.M Billets Reports'!D1493)),TRIM('R.M Billets Reports'!F1493),IF(ISNUMBER(SEARCH("Party Name-",'R.M Billets Reports'!D1493)),TRIM(MID('R.M Billets Reports'!D1493,SEARCH("-",'R.M Billets Reports'!D1493)+1,200)),""))&lt;&gt;"",IF(ISNUMBER(SEARCH("Party Name:-",'R.M Billets Reports'!D1493)),TRIM('R.M Billets Reports'!F1493),IF(ISNUMBER(SEARCH("Party Name-",'R.M Billets Reports'!D1493)),TRIM(MID('R.M Billets Reports'!D1493,SEARCH("-",'R.M Billets Reports'!D1493)+1,200)),"")),IF(ISNUMBER(SEARCH("Party Name:-",'R.M Billets Reports'!D1494)),TRIM('R.M Billets Reports'!F1494),IF(ISNUMBER(SEARCH("Party Name-",'R.M Billets Reports'!D1494)),TRIM(MID('R.M Billets Reports'!D1494,SEARCH("-",'R.M Billets Reports'!D1494)+1,200)),"")))="SHRI RADHE","SHREE RADHE",IF(IF(IF(ISNUMBER(SEARCH("Party Name:-",'R.M Billets Reports'!D1493)),TRIM('R.M Billets Reports'!F1493),IF(ISNUMBER(SEARCH("Party Name-",'R.M Billets Reports'!D1493)),TRIM(MID('R.M Billets Reports'!D1493,SEARCH("-",'R.M Billets Reports'!D1493)+1,200)),""))&lt;&gt;"",IF(ISNUMBER(SEARCH("Party Name:-",'R.M Billets Reports'!D1493)),TRIM('R.M Billets Reports'!F1493),IF(ISNUMBER(SEARCH("Party Name-",'R.M Billets Reports'!D1493)),TRIM(MID('R.M Billets Reports'!D1493,SEARCH("-",'R.M Billets Reports'!D1493)+1,200)),"")),IF(ISNUMBER(SEARCH("Party Name:-",'R.M Billets Reports'!D1494)),TRIM('R.M Billets Reports'!F1494),IF(ISNUMBER(SEARCH("Party Name-",'R.M Billets Reports'!D1494)),TRIM(MID('R.M Billets Reports'!D1494,SEARCH("-",'R.M Billets Reports'!D1494)+1,200)),"")))="SHREE RADHE SHAKTI SPONGE AND POWER PVT. LTD.","SHREE RADHE",IF(IF(ISNUMBER(SEARCH("Party Name:-",'R.M Billets Reports'!D1493)),TRIM('R.M Billets Reports'!F1493),IF(ISNUMBER(SEARCH("Party Name-",'R.M Billets Reports'!D1493)),TRIM(MID('R.M Billets Reports'!D1493,SEARCH("-",'R.M Billets Reports'!D1493)+1,200)),""))&lt;&gt;"",IF(ISNUMBER(SEARCH("Party Name:-",'R.M Billets Reports'!D1493)),TRIM('R.M Billets Reports'!F1493),IF(ISNUMBER(SEARCH("Party Name-",'R.M Billets Reports'!D1493)),TRIM(MID('R.M Billets Reports'!D1493,SEARCH("-",'R.M Billets Reports'!D1493)+1,200)),"")),IF(ISNUMBER(SEARCH("Party Name:-",'R.M Billets Reports'!D1494)),TRIM('R.M Billets Reports'!F1494),IF(ISNUMBER(SEARCH("Party Name-",'R.M Billets Reports'!D1494)),TRIM(MID('R.M Billets Reports'!D1494,SEARCH("-",'R.M Billets Reports'!D1494)+1,200)),"")))))),IF(ROW()=2,"",A1493))</f>
      </c>
      <c r="B1494">
        <f>IF(OR('R.M Billets Reports'!A1493="Date-",'R.M Billets Reports'!A1493="Date:-"),'R.M Billets Reports'!B1493,IF(ROW()=2,"",B1493))</f>
      </c>
      <c r="C1494">
        <f>IF('R.M Billets Reports'!A1493="V.No.",'R.M Billets Reports'!B1493,IF(ROW()=2,"",C1493))</f>
      </c>
      <c r="D1494">
        <f>IF('R.M Billets Reports'!A1493&lt;&gt;"",'R.M Billets Reports'!A1493,IF(ROW()=2,"",D1493))</f>
      </c>
      <c r="E1494">
        <f>IF('R.M Billets Reports'!B1493="","",TRIM('R.M Billets Reports'!B1493))</f>
      </c>
      <c r="F1494">
        <f>'R.M Billets Reports'!C1493</f>
      </c>
      <c r="G1494">
        <f>'R.M Billets Reports'!D1493</f>
      </c>
      <c r="H1494">
        <f>'R.M Billets Reports'!E1493</f>
      </c>
      <c r="I1494">
        <f>'R.M Billets Reports'!F1493</f>
      </c>
      <c r="J1494">
        <f>'R.M Billets Reports'!G1493</f>
      </c>
      <c r="K1494">
        <f>'R.M Billets Reports'!H1493</f>
      </c>
      <c r="L1494">
        <f>IF('R.M Billets Reports'!I1493="","",'R.M Billets Reports'!I1493)</f>
      </c>
      <c r="M1494">
        <f t="shared" si="46"/>
      </c>
      <c r="N1494">
        <f>IF('R.M Billets Reports'!J1493="","",'R.M Billets Reports'!J1493)</f>
      </c>
      <c r="O1494">
        <f t="shared" si="47"/>
      </c>
      <c r="P1494">
        <f>IF('R.M Billets Reports'!A1493="SIZE",'R.M Billets Reports'!B1493,P1493)</f>
      </c>
    </row>
    <row r="1495" spans="1:16" x14ac:dyDescent="0.25">
      <c r="A1495">
        <f>IF(OR('R.M Billets Reports'!A1494="Date-",'R.M Billets Reports'!A1494="Date:-"),IF(IF(IF(ISNUMBER(SEARCH("Party Name:-",'R.M Billets Reports'!D1494)),TRIM('R.M Billets Reports'!F1494),IF(ISNUMBER(SEARCH("Party Name-",'R.M Billets Reports'!D1494)),TRIM(MID('R.M Billets Reports'!D1494,SEARCH("-",'R.M Billets Reports'!D1494)+1,200)),""))&lt;&gt;"",IF(ISNUMBER(SEARCH("Party Name:-",'R.M Billets Reports'!D1494)),TRIM('R.M Billets Reports'!F1494),IF(ISNUMBER(SEARCH("Party Name-",'R.M Billets Reports'!D1494)),TRIM(MID('R.M Billets Reports'!D1494,SEARCH("-",'R.M Billets Reports'!D1494)+1,200)),"")),IF(ISNUMBER(SEARCH("Party Name:-",'R.M Billets Reports'!D1495)),TRIM('R.M Billets Reports'!F1495),IF(ISNUMBER(SEARCH("Party Name-",'R.M Billets Reports'!D1495)),TRIM(MID('R.M Billets Reports'!D1495,SEARCH("-",'R.M Billets Reports'!D1495)+1,200)),"")))="VRKP ISPAT PVT LTD","VRKP",IF(IF(IF(ISNUMBER(SEARCH("Party Name:-",'R.M Billets Reports'!D1494)),TRIM('R.M Billets Reports'!F1494),IF(ISNUMBER(SEARCH("Party Name-",'R.M Billets Reports'!D1494)),TRIM(MID('R.M Billets Reports'!D1494,SEARCH("-",'R.M Billets Reports'!D1494)+1,200)),""))&lt;&gt;"",IF(ISNUMBER(SEARCH("Party Name:-",'R.M Billets Reports'!D1494)),TRIM('R.M Billets Reports'!F1494),IF(ISNUMBER(SEARCH("Party Name-",'R.M Billets Reports'!D1494)),TRIM(MID('R.M Billets Reports'!D1494,SEARCH("-",'R.M Billets Reports'!D1494)+1,200)),"")),IF(ISNUMBER(SEARCH("Party Name:-",'R.M Billets Reports'!D1495)),TRIM('R.M Billets Reports'!F1495),IF(ISNUMBER(SEARCH("Party Name-",'R.M Billets Reports'!D1495)),TRIM(MID('R.M Billets Reports'!D1495,SEARCH("-",'R.M Billets Reports'!D1495)+1,200)),"")))="SHRI RADHE","SHREE RADHE",IF(IF(IF(ISNUMBER(SEARCH("Party Name:-",'R.M Billets Reports'!D1494)),TRIM('R.M Billets Reports'!F1494),IF(ISNUMBER(SEARCH("Party Name-",'R.M Billets Reports'!D1494)),TRIM(MID('R.M Billets Reports'!D1494,SEARCH("-",'R.M Billets Reports'!D1494)+1,200)),""))&lt;&gt;"",IF(ISNUMBER(SEARCH("Party Name:-",'R.M Billets Reports'!D1494)),TRIM('R.M Billets Reports'!F1494),IF(ISNUMBER(SEARCH("Party Name-",'R.M Billets Reports'!D1494)),TRIM(MID('R.M Billets Reports'!D1494,SEARCH("-",'R.M Billets Reports'!D1494)+1,200)),"")),IF(ISNUMBER(SEARCH("Party Name:-",'R.M Billets Reports'!D1495)),TRIM('R.M Billets Reports'!F1495),IF(ISNUMBER(SEARCH("Party Name-",'R.M Billets Reports'!D1495)),TRIM(MID('R.M Billets Reports'!D1495,SEARCH("-",'R.M Billets Reports'!D1495)+1,200)),"")))="SHREE RADHE SHAKTI SPONGE AND POWER PVT. LTD.","SHREE RADHE",IF(IF(ISNUMBER(SEARCH("Party Name:-",'R.M Billets Reports'!D1494)),TRIM('R.M Billets Reports'!F1494),IF(ISNUMBER(SEARCH("Party Name-",'R.M Billets Reports'!D1494)),TRIM(MID('R.M Billets Reports'!D1494,SEARCH("-",'R.M Billets Reports'!D1494)+1,200)),""))&lt;&gt;"",IF(ISNUMBER(SEARCH("Party Name:-",'R.M Billets Reports'!D1494)),TRIM('R.M Billets Reports'!F1494),IF(ISNUMBER(SEARCH("Party Name-",'R.M Billets Reports'!D1494)),TRIM(MID('R.M Billets Reports'!D1494,SEARCH("-",'R.M Billets Reports'!D1494)+1,200)),"")),IF(ISNUMBER(SEARCH("Party Name:-",'R.M Billets Reports'!D1495)),TRIM('R.M Billets Reports'!F1495),IF(ISNUMBER(SEARCH("Party Name-",'R.M Billets Reports'!D1495)),TRIM(MID('R.M Billets Reports'!D1495,SEARCH("-",'R.M Billets Reports'!D1495)+1,200)),"")))))),IF(ROW()=2,"",A1494))</f>
      </c>
      <c r="B1495">
        <f>IF(OR('R.M Billets Reports'!A1494="Date-",'R.M Billets Reports'!A1494="Date:-"),'R.M Billets Reports'!B1494,IF(ROW()=2,"",B1494))</f>
      </c>
      <c r="C1495">
        <f>IF('R.M Billets Reports'!A1494="V.No.",'R.M Billets Reports'!B1494,IF(ROW()=2,"",C1494))</f>
      </c>
      <c r="D1495">
        <f>IF('R.M Billets Reports'!A1494&lt;&gt;"",'R.M Billets Reports'!A1494,IF(ROW()=2,"",D1494))</f>
      </c>
      <c r="E1495">
        <f>IF('R.M Billets Reports'!B1494="","",TRIM('R.M Billets Reports'!B1494))</f>
      </c>
      <c r="F1495">
        <f>'R.M Billets Reports'!C1494</f>
      </c>
      <c r="G1495">
        <f>'R.M Billets Reports'!D1494</f>
      </c>
      <c r="H1495">
        <f>'R.M Billets Reports'!E1494</f>
      </c>
      <c r="I1495">
        <f>'R.M Billets Reports'!F1494</f>
      </c>
      <c r="J1495">
        <f>'R.M Billets Reports'!G1494</f>
      </c>
      <c r="K1495">
        <f>'R.M Billets Reports'!H1494</f>
      </c>
      <c r="L1495">
        <f>IF('R.M Billets Reports'!I1494="","",'R.M Billets Reports'!I1494)</f>
      </c>
      <c r="M1495">
        <f t="shared" si="46"/>
      </c>
      <c r="N1495">
        <f>IF('R.M Billets Reports'!J1494="","",'R.M Billets Reports'!J1494)</f>
      </c>
      <c r="O1495">
        <f t="shared" si="47"/>
      </c>
      <c r="P1495">
        <f>IF('R.M Billets Reports'!A1494="SIZE",'R.M Billets Reports'!B1494,P1494)</f>
      </c>
    </row>
    <row r="1496" spans="1:16" x14ac:dyDescent="0.25">
      <c r="A1496">
        <f>IF(OR('R.M Billets Reports'!A1495="Date-",'R.M Billets Reports'!A1495="Date:-"),IF(IF(IF(ISNUMBER(SEARCH("Party Name:-",'R.M Billets Reports'!D1495)),TRIM('R.M Billets Reports'!F1495),IF(ISNUMBER(SEARCH("Party Name-",'R.M Billets Reports'!D1495)),TRIM(MID('R.M Billets Reports'!D1495,SEARCH("-",'R.M Billets Reports'!D1495)+1,200)),""))&lt;&gt;"",IF(ISNUMBER(SEARCH("Party Name:-",'R.M Billets Reports'!D1495)),TRIM('R.M Billets Reports'!F1495),IF(ISNUMBER(SEARCH("Party Name-",'R.M Billets Reports'!D1495)),TRIM(MID('R.M Billets Reports'!D1495,SEARCH("-",'R.M Billets Reports'!D1495)+1,200)),"")),IF(ISNUMBER(SEARCH("Party Name:-",'R.M Billets Reports'!D1496)),TRIM('R.M Billets Reports'!F1496),IF(ISNUMBER(SEARCH("Party Name-",'R.M Billets Reports'!D1496)),TRIM(MID('R.M Billets Reports'!D1496,SEARCH("-",'R.M Billets Reports'!D1496)+1,200)),"")))="VRKP ISPAT PVT LTD","VRKP",IF(IF(IF(ISNUMBER(SEARCH("Party Name:-",'R.M Billets Reports'!D1495)),TRIM('R.M Billets Reports'!F1495),IF(ISNUMBER(SEARCH("Party Name-",'R.M Billets Reports'!D1495)),TRIM(MID('R.M Billets Reports'!D1495,SEARCH("-",'R.M Billets Reports'!D1495)+1,200)),""))&lt;&gt;"",IF(ISNUMBER(SEARCH("Party Name:-",'R.M Billets Reports'!D1495)),TRIM('R.M Billets Reports'!F1495),IF(ISNUMBER(SEARCH("Party Name-",'R.M Billets Reports'!D1495)),TRIM(MID('R.M Billets Reports'!D1495,SEARCH("-",'R.M Billets Reports'!D1495)+1,200)),"")),IF(ISNUMBER(SEARCH("Party Name:-",'R.M Billets Reports'!D1496)),TRIM('R.M Billets Reports'!F1496),IF(ISNUMBER(SEARCH("Party Name-",'R.M Billets Reports'!D1496)),TRIM(MID('R.M Billets Reports'!D1496,SEARCH("-",'R.M Billets Reports'!D1496)+1,200)),"")))="SHRI RADHE","SHREE RADHE",IF(IF(IF(ISNUMBER(SEARCH("Party Name:-",'R.M Billets Reports'!D1495)),TRIM('R.M Billets Reports'!F1495),IF(ISNUMBER(SEARCH("Party Name-",'R.M Billets Reports'!D1495)),TRIM(MID('R.M Billets Reports'!D1495,SEARCH("-",'R.M Billets Reports'!D1495)+1,200)),""))&lt;&gt;"",IF(ISNUMBER(SEARCH("Party Name:-",'R.M Billets Reports'!D1495)),TRIM('R.M Billets Reports'!F1495),IF(ISNUMBER(SEARCH("Party Name-",'R.M Billets Reports'!D1495)),TRIM(MID('R.M Billets Reports'!D1495,SEARCH("-",'R.M Billets Reports'!D1495)+1,200)),"")),IF(ISNUMBER(SEARCH("Party Name:-",'R.M Billets Reports'!D1496)),TRIM('R.M Billets Reports'!F1496),IF(ISNUMBER(SEARCH("Party Name-",'R.M Billets Reports'!D1496)),TRIM(MID('R.M Billets Reports'!D1496,SEARCH("-",'R.M Billets Reports'!D1496)+1,200)),"")))="SHREE RADHE SHAKTI SPONGE AND POWER PVT. LTD.","SHREE RADHE",IF(IF(ISNUMBER(SEARCH("Party Name:-",'R.M Billets Reports'!D1495)),TRIM('R.M Billets Reports'!F1495),IF(ISNUMBER(SEARCH("Party Name-",'R.M Billets Reports'!D1495)),TRIM(MID('R.M Billets Reports'!D1495,SEARCH("-",'R.M Billets Reports'!D1495)+1,200)),""))&lt;&gt;"",IF(ISNUMBER(SEARCH("Party Name:-",'R.M Billets Reports'!D1495)),TRIM('R.M Billets Reports'!F1495),IF(ISNUMBER(SEARCH("Party Name-",'R.M Billets Reports'!D1495)),TRIM(MID('R.M Billets Reports'!D1495,SEARCH("-",'R.M Billets Reports'!D1495)+1,200)),"")),IF(ISNUMBER(SEARCH("Party Name:-",'R.M Billets Reports'!D1496)),TRIM('R.M Billets Reports'!F1496),IF(ISNUMBER(SEARCH("Party Name-",'R.M Billets Reports'!D1496)),TRIM(MID('R.M Billets Reports'!D1496,SEARCH("-",'R.M Billets Reports'!D1496)+1,200)),"")))))),IF(ROW()=2,"",A1495))</f>
      </c>
      <c r="B1496">
        <f>IF(OR('R.M Billets Reports'!A1495="Date-",'R.M Billets Reports'!A1495="Date:-"),'R.M Billets Reports'!B1495,IF(ROW()=2,"",B1495))</f>
      </c>
      <c r="C1496">
        <f>IF('R.M Billets Reports'!A1495="V.No.",'R.M Billets Reports'!B1495,IF(ROW()=2,"",C1495))</f>
      </c>
      <c r="D1496">
        <f>IF('R.M Billets Reports'!A1495&lt;&gt;"",'R.M Billets Reports'!A1495,IF(ROW()=2,"",D1495))</f>
      </c>
      <c r="E1496">
        <f>IF('R.M Billets Reports'!B1495="","",TRIM('R.M Billets Reports'!B1495))</f>
      </c>
      <c r="F1496">
        <f>'R.M Billets Reports'!C1495</f>
      </c>
      <c r="G1496">
        <f>'R.M Billets Reports'!D1495</f>
      </c>
      <c r="H1496">
        <f>'R.M Billets Reports'!E1495</f>
      </c>
      <c r="I1496">
        <f>'R.M Billets Reports'!F1495</f>
      </c>
      <c r="J1496">
        <f>'R.M Billets Reports'!G1495</f>
      </c>
      <c r="K1496">
        <f>'R.M Billets Reports'!H1495</f>
      </c>
      <c r="L1496">
        <f>IF('R.M Billets Reports'!I1495="","",'R.M Billets Reports'!I1495)</f>
      </c>
      <c r="M1496">
        <f t="shared" si="46"/>
      </c>
      <c r="N1496">
        <f>IF('R.M Billets Reports'!J1495="","",'R.M Billets Reports'!J1495)</f>
      </c>
      <c r="O1496">
        <f t="shared" si="47"/>
      </c>
      <c r="P1496">
        <f>IF('R.M Billets Reports'!A1495="SIZE",'R.M Billets Reports'!B1495,P1495)</f>
      </c>
    </row>
    <row r="1497" spans="1:16" x14ac:dyDescent="0.25">
      <c r="A1497">
        <f>IF(OR('R.M Billets Reports'!A1496="Date-",'R.M Billets Reports'!A1496="Date:-"),IF(IF(IF(ISNUMBER(SEARCH("Party Name:-",'R.M Billets Reports'!D1496)),TRIM('R.M Billets Reports'!F1496),IF(ISNUMBER(SEARCH("Party Name-",'R.M Billets Reports'!D1496)),TRIM(MID('R.M Billets Reports'!D1496,SEARCH("-",'R.M Billets Reports'!D1496)+1,200)),""))&lt;&gt;"",IF(ISNUMBER(SEARCH("Party Name:-",'R.M Billets Reports'!D1496)),TRIM('R.M Billets Reports'!F1496),IF(ISNUMBER(SEARCH("Party Name-",'R.M Billets Reports'!D1496)),TRIM(MID('R.M Billets Reports'!D1496,SEARCH("-",'R.M Billets Reports'!D1496)+1,200)),"")),IF(ISNUMBER(SEARCH("Party Name:-",'R.M Billets Reports'!D1497)),TRIM('R.M Billets Reports'!F1497),IF(ISNUMBER(SEARCH("Party Name-",'R.M Billets Reports'!D1497)),TRIM(MID('R.M Billets Reports'!D1497,SEARCH("-",'R.M Billets Reports'!D1497)+1,200)),"")))="VRKP ISPAT PVT LTD","VRKP",IF(IF(IF(ISNUMBER(SEARCH("Party Name:-",'R.M Billets Reports'!D1496)),TRIM('R.M Billets Reports'!F1496),IF(ISNUMBER(SEARCH("Party Name-",'R.M Billets Reports'!D1496)),TRIM(MID('R.M Billets Reports'!D1496,SEARCH("-",'R.M Billets Reports'!D1496)+1,200)),""))&lt;&gt;"",IF(ISNUMBER(SEARCH("Party Name:-",'R.M Billets Reports'!D1496)),TRIM('R.M Billets Reports'!F1496),IF(ISNUMBER(SEARCH("Party Name-",'R.M Billets Reports'!D1496)),TRIM(MID('R.M Billets Reports'!D1496,SEARCH("-",'R.M Billets Reports'!D1496)+1,200)),"")),IF(ISNUMBER(SEARCH("Party Name:-",'R.M Billets Reports'!D1497)),TRIM('R.M Billets Reports'!F1497),IF(ISNUMBER(SEARCH("Party Name-",'R.M Billets Reports'!D1497)),TRIM(MID('R.M Billets Reports'!D1497,SEARCH("-",'R.M Billets Reports'!D1497)+1,200)),"")))="SHRI RADHE","SHREE RADHE",IF(IF(IF(ISNUMBER(SEARCH("Party Name:-",'R.M Billets Reports'!D1496)),TRIM('R.M Billets Reports'!F1496),IF(ISNUMBER(SEARCH("Party Name-",'R.M Billets Reports'!D1496)),TRIM(MID('R.M Billets Reports'!D1496,SEARCH("-",'R.M Billets Reports'!D1496)+1,200)),""))&lt;&gt;"",IF(ISNUMBER(SEARCH("Party Name:-",'R.M Billets Reports'!D1496)),TRIM('R.M Billets Reports'!F1496),IF(ISNUMBER(SEARCH("Party Name-",'R.M Billets Reports'!D1496)),TRIM(MID('R.M Billets Reports'!D1496,SEARCH("-",'R.M Billets Reports'!D1496)+1,200)),"")),IF(ISNUMBER(SEARCH("Party Name:-",'R.M Billets Reports'!D1497)),TRIM('R.M Billets Reports'!F1497),IF(ISNUMBER(SEARCH("Party Name-",'R.M Billets Reports'!D1497)),TRIM(MID('R.M Billets Reports'!D1497,SEARCH("-",'R.M Billets Reports'!D1497)+1,200)),"")))="SHREE RADHE SHAKTI SPONGE AND POWER PVT. LTD.","SHREE RADHE",IF(IF(ISNUMBER(SEARCH("Party Name:-",'R.M Billets Reports'!D1496)),TRIM('R.M Billets Reports'!F1496),IF(ISNUMBER(SEARCH("Party Name-",'R.M Billets Reports'!D1496)),TRIM(MID('R.M Billets Reports'!D1496,SEARCH("-",'R.M Billets Reports'!D1496)+1,200)),""))&lt;&gt;"",IF(ISNUMBER(SEARCH("Party Name:-",'R.M Billets Reports'!D1496)),TRIM('R.M Billets Reports'!F1496),IF(ISNUMBER(SEARCH("Party Name-",'R.M Billets Reports'!D1496)),TRIM(MID('R.M Billets Reports'!D1496,SEARCH("-",'R.M Billets Reports'!D1496)+1,200)),"")),IF(ISNUMBER(SEARCH("Party Name:-",'R.M Billets Reports'!D1497)),TRIM('R.M Billets Reports'!F1497),IF(ISNUMBER(SEARCH("Party Name-",'R.M Billets Reports'!D1497)),TRIM(MID('R.M Billets Reports'!D1497,SEARCH("-",'R.M Billets Reports'!D1497)+1,200)),"")))))),IF(ROW()=2,"",A1496))</f>
      </c>
      <c r="B1497">
        <f>IF(OR('R.M Billets Reports'!A1496="Date-",'R.M Billets Reports'!A1496="Date:-"),'R.M Billets Reports'!B1496,IF(ROW()=2,"",B1496))</f>
      </c>
      <c r="C1497">
        <f>IF('R.M Billets Reports'!A1496="V.No.",'R.M Billets Reports'!B1496,IF(ROW()=2,"",C1496))</f>
      </c>
      <c r="D1497">
        <f>IF('R.M Billets Reports'!A1496&lt;&gt;"",'R.M Billets Reports'!A1496,IF(ROW()=2,"",D1496))</f>
      </c>
      <c r="E1497">
        <f>IF('R.M Billets Reports'!B1496="","",TRIM('R.M Billets Reports'!B1496))</f>
      </c>
      <c r="F1497">
        <f>'R.M Billets Reports'!C1496</f>
      </c>
      <c r="G1497">
        <f>'R.M Billets Reports'!D1496</f>
      </c>
      <c r="H1497">
        <f>'R.M Billets Reports'!E1496</f>
      </c>
      <c r="I1497">
        <f>'R.M Billets Reports'!F1496</f>
      </c>
      <c r="J1497">
        <f>'R.M Billets Reports'!G1496</f>
      </c>
      <c r="K1497">
        <f>'R.M Billets Reports'!H1496</f>
      </c>
      <c r="L1497">
        <f>IF('R.M Billets Reports'!I1496="","",'R.M Billets Reports'!I1496)</f>
      </c>
      <c r="M1497">
        <f t="shared" si="46"/>
      </c>
      <c r="N1497">
        <f>IF('R.M Billets Reports'!J1496="","",'R.M Billets Reports'!J1496)</f>
      </c>
      <c r="O1497">
        <f t="shared" si="47"/>
      </c>
      <c r="P1497">
        <f>IF('R.M Billets Reports'!A1496="SIZE",'R.M Billets Reports'!B1496,P1496)</f>
      </c>
    </row>
    <row r="1498" spans="1:16" x14ac:dyDescent="0.25">
      <c r="A1498">
        <f>IF(OR('R.M Billets Reports'!A1497="Date-",'R.M Billets Reports'!A1497="Date:-"),IF(IF(IF(ISNUMBER(SEARCH("Party Name:-",'R.M Billets Reports'!D1497)),TRIM('R.M Billets Reports'!F1497),IF(ISNUMBER(SEARCH("Party Name-",'R.M Billets Reports'!D1497)),TRIM(MID('R.M Billets Reports'!D1497,SEARCH("-",'R.M Billets Reports'!D1497)+1,200)),""))&lt;&gt;"",IF(ISNUMBER(SEARCH("Party Name:-",'R.M Billets Reports'!D1497)),TRIM('R.M Billets Reports'!F1497),IF(ISNUMBER(SEARCH("Party Name-",'R.M Billets Reports'!D1497)),TRIM(MID('R.M Billets Reports'!D1497,SEARCH("-",'R.M Billets Reports'!D1497)+1,200)),"")),IF(ISNUMBER(SEARCH("Party Name:-",'R.M Billets Reports'!D1498)),TRIM('R.M Billets Reports'!F1498),IF(ISNUMBER(SEARCH("Party Name-",'R.M Billets Reports'!D1498)),TRIM(MID('R.M Billets Reports'!D1498,SEARCH("-",'R.M Billets Reports'!D1498)+1,200)),"")))="VRKP ISPAT PVT LTD","VRKP",IF(IF(IF(ISNUMBER(SEARCH("Party Name:-",'R.M Billets Reports'!D1497)),TRIM('R.M Billets Reports'!F1497),IF(ISNUMBER(SEARCH("Party Name-",'R.M Billets Reports'!D1497)),TRIM(MID('R.M Billets Reports'!D1497,SEARCH("-",'R.M Billets Reports'!D1497)+1,200)),""))&lt;&gt;"",IF(ISNUMBER(SEARCH("Party Name:-",'R.M Billets Reports'!D1497)),TRIM('R.M Billets Reports'!F1497),IF(ISNUMBER(SEARCH("Party Name-",'R.M Billets Reports'!D1497)),TRIM(MID('R.M Billets Reports'!D1497,SEARCH("-",'R.M Billets Reports'!D1497)+1,200)),"")),IF(ISNUMBER(SEARCH("Party Name:-",'R.M Billets Reports'!D1498)),TRIM('R.M Billets Reports'!F1498),IF(ISNUMBER(SEARCH("Party Name-",'R.M Billets Reports'!D1498)),TRIM(MID('R.M Billets Reports'!D1498,SEARCH("-",'R.M Billets Reports'!D1498)+1,200)),"")))="SHRI RADHE","SHREE RADHE",IF(IF(IF(ISNUMBER(SEARCH("Party Name:-",'R.M Billets Reports'!D1497)),TRIM('R.M Billets Reports'!F1497),IF(ISNUMBER(SEARCH("Party Name-",'R.M Billets Reports'!D1497)),TRIM(MID('R.M Billets Reports'!D1497,SEARCH("-",'R.M Billets Reports'!D1497)+1,200)),""))&lt;&gt;"",IF(ISNUMBER(SEARCH("Party Name:-",'R.M Billets Reports'!D1497)),TRIM('R.M Billets Reports'!F1497),IF(ISNUMBER(SEARCH("Party Name-",'R.M Billets Reports'!D1497)),TRIM(MID('R.M Billets Reports'!D1497,SEARCH("-",'R.M Billets Reports'!D1497)+1,200)),"")),IF(ISNUMBER(SEARCH("Party Name:-",'R.M Billets Reports'!D1498)),TRIM('R.M Billets Reports'!F1498),IF(ISNUMBER(SEARCH("Party Name-",'R.M Billets Reports'!D1498)),TRIM(MID('R.M Billets Reports'!D1498,SEARCH("-",'R.M Billets Reports'!D1498)+1,200)),"")))="SHREE RADHE SHAKTI SPONGE AND POWER PVT. LTD.","SHREE RADHE",IF(IF(ISNUMBER(SEARCH("Party Name:-",'R.M Billets Reports'!D1497)),TRIM('R.M Billets Reports'!F1497),IF(ISNUMBER(SEARCH("Party Name-",'R.M Billets Reports'!D1497)),TRIM(MID('R.M Billets Reports'!D1497,SEARCH("-",'R.M Billets Reports'!D1497)+1,200)),""))&lt;&gt;"",IF(ISNUMBER(SEARCH("Party Name:-",'R.M Billets Reports'!D1497)),TRIM('R.M Billets Reports'!F1497),IF(ISNUMBER(SEARCH("Party Name-",'R.M Billets Reports'!D1497)),TRIM(MID('R.M Billets Reports'!D1497,SEARCH("-",'R.M Billets Reports'!D1497)+1,200)),"")),IF(ISNUMBER(SEARCH("Party Name:-",'R.M Billets Reports'!D1498)),TRIM('R.M Billets Reports'!F1498),IF(ISNUMBER(SEARCH("Party Name-",'R.M Billets Reports'!D1498)),TRIM(MID('R.M Billets Reports'!D1498,SEARCH("-",'R.M Billets Reports'!D1498)+1,200)),"")))))),IF(ROW()=2,"",A1497))</f>
      </c>
      <c r="B1498">
        <f>IF(OR('R.M Billets Reports'!A1497="Date-",'R.M Billets Reports'!A1497="Date:-"),'R.M Billets Reports'!B1497,IF(ROW()=2,"",B1497))</f>
      </c>
      <c r="C1498">
        <f>IF('R.M Billets Reports'!A1497="V.No.",'R.M Billets Reports'!B1497,IF(ROW()=2,"",C1497))</f>
      </c>
      <c r="D1498">
        <f>IF('R.M Billets Reports'!A1497&lt;&gt;"",'R.M Billets Reports'!A1497,IF(ROW()=2,"",D1497))</f>
      </c>
      <c r="E1498">
        <f>IF('R.M Billets Reports'!B1497="","",TRIM('R.M Billets Reports'!B1497))</f>
      </c>
      <c r="F1498">
        <f>'R.M Billets Reports'!C1497</f>
      </c>
      <c r="G1498">
        <f>'R.M Billets Reports'!D1497</f>
      </c>
      <c r="H1498">
        <f>'R.M Billets Reports'!E1497</f>
      </c>
      <c r="I1498">
        <f>'R.M Billets Reports'!F1497</f>
      </c>
      <c r="J1498">
        <f>'R.M Billets Reports'!G1497</f>
      </c>
      <c r="K1498">
        <f>'R.M Billets Reports'!H1497</f>
      </c>
      <c r="L1498">
        <f>IF('R.M Billets Reports'!I1497="","",'R.M Billets Reports'!I1497)</f>
      </c>
      <c r="M1498">
        <f t="shared" si="46"/>
      </c>
      <c r="N1498">
        <f>IF('R.M Billets Reports'!J1497="","",'R.M Billets Reports'!J1497)</f>
      </c>
      <c r="O1498">
        <f t="shared" si="47"/>
      </c>
      <c r="P1498">
        <f>IF('R.M Billets Reports'!A1497="SIZE",'R.M Billets Reports'!B1497,P1497)</f>
      </c>
    </row>
    <row r="1499" spans="1:16" x14ac:dyDescent="0.25">
      <c r="A1499">
        <f>IF(OR('R.M Billets Reports'!A1498="Date-",'R.M Billets Reports'!A1498="Date:-"),IF(IF(IF(ISNUMBER(SEARCH("Party Name:-",'R.M Billets Reports'!D1498)),TRIM('R.M Billets Reports'!F1498),IF(ISNUMBER(SEARCH("Party Name-",'R.M Billets Reports'!D1498)),TRIM(MID('R.M Billets Reports'!D1498,SEARCH("-",'R.M Billets Reports'!D1498)+1,200)),""))&lt;&gt;"",IF(ISNUMBER(SEARCH("Party Name:-",'R.M Billets Reports'!D1498)),TRIM('R.M Billets Reports'!F1498),IF(ISNUMBER(SEARCH("Party Name-",'R.M Billets Reports'!D1498)),TRIM(MID('R.M Billets Reports'!D1498,SEARCH("-",'R.M Billets Reports'!D1498)+1,200)),"")),IF(ISNUMBER(SEARCH("Party Name:-",'R.M Billets Reports'!D1499)),TRIM('R.M Billets Reports'!F1499),IF(ISNUMBER(SEARCH("Party Name-",'R.M Billets Reports'!D1499)),TRIM(MID('R.M Billets Reports'!D1499,SEARCH("-",'R.M Billets Reports'!D1499)+1,200)),"")))="VRKP ISPAT PVT LTD","VRKP",IF(IF(IF(ISNUMBER(SEARCH("Party Name:-",'R.M Billets Reports'!D1498)),TRIM('R.M Billets Reports'!F1498),IF(ISNUMBER(SEARCH("Party Name-",'R.M Billets Reports'!D1498)),TRIM(MID('R.M Billets Reports'!D1498,SEARCH("-",'R.M Billets Reports'!D1498)+1,200)),""))&lt;&gt;"",IF(ISNUMBER(SEARCH("Party Name:-",'R.M Billets Reports'!D1498)),TRIM('R.M Billets Reports'!F1498),IF(ISNUMBER(SEARCH("Party Name-",'R.M Billets Reports'!D1498)),TRIM(MID('R.M Billets Reports'!D1498,SEARCH("-",'R.M Billets Reports'!D1498)+1,200)),"")),IF(ISNUMBER(SEARCH("Party Name:-",'R.M Billets Reports'!D1499)),TRIM('R.M Billets Reports'!F1499),IF(ISNUMBER(SEARCH("Party Name-",'R.M Billets Reports'!D1499)),TRIM(MID('R.M Billets Reports'!D1499,SEARCH("-",'R.M Billets Reports'!D1499)+1,200)),"")))="SHRI RADHE","SHREE RADHE",IF(IF(IF(ISNUMBER(SEARCH("Party Name:-",'R.M Billets Reports'!D1498)),TRIM('R.M Billets Reports'!F1498),IF(ISNUMBER(SEARCH("Party Name-",'R.M Billets Reports'!D1498)),TRIM(MID('R.M Billets Reports'!D1498,SEARCH("-",'R.M Billets Reports'!D1498)+1,200)),""))&lt;&gt;"",IF(ISNUMBER(SEARCH("Party Name:-",'R.M Billets Reports'!D1498)),TRIM('R.M Billets Reports'!F1498),IF(ISNUMBER(SEARCH("Party Name-",'R.M Billets Reports'!D1498)),TRIM(MID('R.M Billets Reports'!D1498,SEARCH("-",'R.M Billets Reports'!D1498)+1,200)),"")),IF(ISNUMBER(SEARCH("Party Name:-",'R.M Billets Reports'!D1499)),TRIM('R.M Billets Reports'!F1499),IF(ISNUMBER(SEARCH("Party Name-",'R.M Billets Reports'!D1499)),TRIM(MID('R.M Billets Reports'!D1499,SEARCH("-",'R.M Billets Reports'!D1499)+1,200)),"")))="SHREE RADHE SHAKTI SPONGE AND POWER PVT. LTD.","SHREE RADHE",IF(IF(ISNUMBER(SEARCH("Party Name:-",'R.M Billets Reports'!D1498)),TRIM('R.M Billets Reports'!F1498),IF(ISNUMBER(SEARCH("Party Name-",'R.M Billets Reports'!D1498)),TRIM(MID('R.M Billets Reports'!D1498,SEARCH("-",'R.M Billets Reports'!D1498)+1,200)),""))&lt;&gt;"",IF(ISNUMBER(SEARCH("Party Name:-",'R.M Billets Reports'!D1498)),TRIM('R.M Billets Reports'!F1498),IF(ISNUMBER(SEARCH("Party Name-",'R.M Billets Reports'!D1498)),TRIM(MID('R.M Billets Reports'!D1498,SEARCH("-",'R.M Billets Reports'!D1498)+1,200)),"")),IF(ISNUMBER(SEARCH("Party Name:-",'R.M Billets Reports'!D1499)),TRIM('R.M Billets Reports'!F1499),IF(ISNUMBER(SEARCH("Party Name-",'R.M Billets Reports'!D1499)),TRIM(MID('R.M Billets Reports'!D1499,SEARCH("-",'R.M Billets Reports'!D1499)+1,200)),"")))))),IF(ROW()=2,"",A1498))</f>
      </c>
      <c r="B1499">
        <f>IF(OR('R.M Billets Reports'!A1498="Date-",'R.M Billets Reports'!A1498="Date:-"),'R.M Billets Reports'!B1498,IF(ROW()=2,"",B1498))</f>
      </c>
      <c r="C1499">
        <f>IF('R.M Billets Reports'!A1498="V.No.",'R.M Billets Reports'!B1498,IF(ROW()=2,"",C1498))</f>
      </c>
      <c r="D1499">
        <f>IF('R.M Billets Reports'!A1498&lt;&gt;"",'R.M Billets Reports'!A1498,IF(ROW()=2,"",D1498))</f>
      </c>
      <c r="E1499">
        <f>IF('R.M Billets Reports'!B1498="","",TRIM('R.M Billets Reports'!B1498))</f>
      </c>
      <c r="F1499">
        <f>'R.M Billets Reports'!C1498</f>
      </c>
      <c r="G1499">
        <f>'R.M Billets Reports'!D1498</f>
      </c>
      <c r="H1499">
        <f>'R.M Billets Reports'!E1498</f>
      </c>
      <c r="I1499">
        <f>'R.M Billets Reports'!F1498</f>
      </c>
      <c r="J1499">
        <f>'R.M Billets Reports'!G1498</f>
      </c>
      <c r="K1499">
        <f>'R.M Billets Reports'!H1498</f>
      </c>
      <c r="L1499">
        <f>IF('R.M Billets Reports'!I1498="","",'R.M Billets Reports'!I1498)</f>
      </c>
      <c r="M1499">
        <f t="shared" si="46"/>
      </c>
      <c r="N1499">
        <f>IF('R.M Billets Reports'!J1498="","",'R.M Billets Reports'!J1498)</f>
      </c>
      <c r="O1499">
        <f t="shared" si="47"/>
      </c>
      <c r="P1499">
        <f>IF('R.M Billets Reports'!A1498="SIZE",'R.M Billets Reports'!B1498,P1498)</f>
      </c>
    </row>
    <row r="1500" spans="1:16" x14ac:dyDescent="0.25">
      <c r="A1500">
        <f>IF(OR('R.M Billets Reports'!A1499="Date-",'R.M Billets Reports'!A1499="Date:-"),IF(IF(IF(ISNUMBER(SEARCH("Party Name:-",'R.M Billets Reports'!D1499)),TRIM('R.M Billets Reports'!F1499),IF(ISNUMBER(SEARCH("Party Name-",'R.M Billets Reports'!D1499)),TRIM(MID('R.M Billets Reports'!D1499,SEARCH("-",'R.M Billets Reports'!D1499)+1,200)),""))&lt;&gt;"",IF(ISNUMBER(SEARCH("Party Name:-",'R.M Billets Reports'!D1499)),TRIM('R.M Billets Reports'!F1499),IF(ISNUMBER(SEARCH("Party Name-",'R.M Billets Reports'!D1499)),TRIM(MID('R.M Billets Reports'!D1499,SEARCH("-",'R.M Billets Reports'!D1499)+1,200)),"")),IF(ISNUMBER(SEARCH("Party Name:-",'R.M Billets Reports'!D1500)),TRIM('R.M Billets Reports'!F1500),IF(ISNUMBER(SEARCH("Party Name-",'R.M Billets Reports'!D1500)),TRIM(MID('R.M Billets Reports'!D1500,SEARCH("-",'R.M Billets Reports'!D1500)+1,200)),"")))="VRKP ISPAT PVT LTD","VRKP",IF(IF(IF(ISNUMBER(SEARCH("Party Name:-",'R.M Billets Reports'!D1499)),TRIM('R.M Billets Reports'!F1499),IF(ISNUMBER(SEARCH("Party Name-",'R.M Billets Reports'!D1499)),TRIM(MID('R.M Billets Reports'!D1499,SEARCH("-",'R.M Billets Reports'!D1499)+1,200)),""))&lt;&gt;"",IF(ISNUMBER(SEARCH("Party Name:-",'R.M Billets Reports'!D1499)),TRIM('R.M Billets Reports'!F1499),IF(ISNUMBER(SEARCH("Party Name-",'R.M Billets Reports'!D1499)),TRIM(MID('R.M Billets Reports'!D1499,SEARCH("-",'R.M Billets Reports'!D1499)+1,200)),"")),IF(ISNUMBER(SEARCH("Party Name:-",'R.M Billets Reports'!D1500)),TRIM('R.M Billets Reports'!F1500),IF(ISNUMBER(SEARCH("Party Name-",'R.M Billets Reports'!D1500)),TRIM(MID('R.M Billets Reports'!D1500,SEARCH("-",'R.M Billets Reports'!D1500)+1,200)),"")))="SHRI RADHE","SHREE RADHE",IF(IF(IF(ISNUMBER(SEARCH("Party Name:-",'R.M Billets Reports'!D1499)),TRIM('R.M Billets Reports'!F1499),IF(ISNUMBER(SEARCH("Party Name-",'R.M Billets Reports'!D1499)),TRIM(MID('R.M Billets Reports'!D1499,SEARCH("-",'R.M Billets Reports'!D1499)+1,200)),""))&lt;&gt;"",IF(ISNUMBER(SEARCH("Party Name:-",'R.M Billets Reports'!D1499)),TRIM('R.M Billets Reports'!F1499),IF(ISNUMBER(SEARCH("Party Name-",'R.M Billets Reports'!D1499)),TRIM(MID('R.M Billets Reports'!D1499,SEARCH("-",'R.M Billets Reports'!D1499)+1,200)),"")),IF(ISNUMBER(SEARCH("Party Name:-",'R.M Billets Reports'!D1500)),TRIM('R.M Billets Reports'!F1500),IF(ISNUMBER(SEARCH("Party Name-",'R.M Billets Reports'!D1500)),TRIM(MID('R.M Billets Reports'!D1500,SEARCH("-",'R.M Billets Reports'!D1500)+1,200)),"")))="SHREE RADHE SHAKTI SPONGE AND POWER PVT. LTD.","SHREE RADHE",IF(IF(ISNUMBER(SEARCH("Party Name:-",'R.M Billets Reports'!D1499)),TRIM('R.M Billets Reports'!F1499),IF(ISNUMBER(SEARCH("Party Name-",'R.M Billets Reports'!D1499)),TRIM(MID('R.M Billets Reports'!D1499,SEARCH("-",'R.M Billets Reports'!D1499)+1,200)),""))&lt;&gt;"",IF(ISNUMBER(SEARCH("Party Name:-",'R.M Billets Reports'!D1499)),TRIM('R.M Billets Reports'!F1499),IF(ISNUMBER(SEARCH("Party Name-",'R.M Billets Reports'!D1499)),TRIM(MID('R.M Billets Reports'!D1499,SEARCH("-",'R.M Billets Reports'!D1499)+1,200)),"")),IF(ISNUMBER(SEARCH("Party Name:-",'R.M Billets Reports'!D1500)),TRIM('R.M Billets Reports'!F1500),IF(ISNUMBER(SEARCH("Party Name-",'R.M Billets Reports'!D1500)),TRIM(MID('R.M Billets Reports'!D1500,SEARCH("-",'R.M Billets Reports'!D1500)+1,200)),"")))))),IF(ROW()=2,"",A1499))</f>
      </c>
      <c r="B1500">
        <f>IF(OR('R.M Billets Reports'!A1499="Date-",'R.M Billets Reports'!A1499="Date:-"),'R.M Billets Reports'!B1499,IF(ROW()=2,"",B1499))</f>
      </c>
      <c r="C1500">
        <f>IF('R.M Billets Reports'!A1499="V.No.",'R.M Billets Reports'!B1499,IF(ROW()=2,"",C1499))</f>
      </c>
      <c r="D1500">
        <f>IF('R.M Billets Reports'!A1499&lt;&gt;"",'R.M Billets Reports'!A1499,IF(ROW()=2,"",D1499))</f>
      </c>
      <c r="E1500">
        <f>IF('R.M Billets Reports'!B1499="","",TRIM('R.M Billets Reports'!B1499))</f>
      </c>
      <c r="F1500">
        <f>'R.M Billets Reports'!C1499</f>
      </c>
      <c r="G1500">
        <f>'R.M Billets Reports'!D1499</f>
      </c>
      <c r="H1500">
        <f>'R.M Billets Reports'!E1499</f>
      </c>
      <c r="I1500">
        <f>'R.M Billets Reports'!F1499</f>
      </c>
      <c r="J1500">
        <f>'R.M Billets Reports'!G1499</f>
      </c>
      <c r="K1500">
        <f>'R.M Billets Reports'!H1499</f>
      </c>
      <c r="L1500">
        <f>IF('R.M Billets Reports'!I1499="","",'R.M Billets Reports'!I1499)</f>
      </c>
      <c r="M1500">
        <f t="shared" si="46"/>
      </c>
      <c r="N1500">
        <f>IF('R.M Billets Reports'!J1499="","",'R.M Billets Reports'!J1499)</f>
      </c>
      <c r="O1500">
        <f t="shared" si="47"/>
      </c>
      <c r="P1500">
        <f>IF('R.M Billets Reports'!A1499="SIZE",'R.M Billets Reports'!B1499,P1499)</f>
      </c>
    </row>
    <row r="1501" spans="1:16" x14ac:dyDescent="0.25">
      <c r="A1501">
        <f>IF(OR('R.M Billets Reports'!A1500="Date-",'R.M Billets Reports'!A1500="Date:-"),IF(IF(IF(ISNUMBER(SEARCH("Party Name:-",'R.M Billets Reports'!D1500)),TRIM('R.M Billets Reports'!F1500),IF(ISNUMBER(SEARCH("Party Name-",'R.M Billets Reports'!D1500)),TRIM(MID('R.M Billets Reports'!D1500,SEARCH("-",'R.M Billets Reports'!D1500)+1,200)),""))&lt;&gt;"",IF(ISNUMBER(SEARCH("Party Name:-",'R.M Billets Reports'!D1500)),TRIM('R.M Billets Reports'!F1500),IF(ISNUMBER(SEARCH("Party Name-",'R.M Billets Reports'!D1500)),TRIM(MID('R.M Billets Reports'!D1500,SEARCH("-",'R.M Billets Reports'!D1500)+1,200)),"")),IF(ISNUMBER(SEARCH("Party Name:-",'R.M Billets Reports'!D1501)),TRIM('R.M Billets Reports'!F1501),IF(ISNUMBER(SEARCH("Party Name-",'R.M Billets Reports'!D1501)),TRIM(MID('R.M Billets Reports'!D1501,SEARCH("-",'R.M Billets Reports'!D1501)+1,200)),"")))="VRKP ISPAT PVT LTD","VRKP",IF(IF(IF(ISNUMBER(SEARCH("Party Name:-",'R.M Billets Reports'!D1500)),TRIM('R.M Billets Reports'!F1500),IF(ISNUMBER(SEARCH("Party Name-",'R.M Billets Reports'!D1500)),TRIM(MID('R.M Billets Reports'!D1500,SEARCH("-",'R.M Billets Reports'!D1500)+1,200)),""))&lt;&gt;"",IF(ISNUMBER(SEARCH("Party Name:-",'R.M Billets Reports'!D1500)),TRIM('R.M Billets Reports'!F1500),IF(ISNUMBER(SEARCH("Party Name-",'R.M Billets Reports'!D1500)),TRIM(MID('R.M Billets Reports'!D1500,SEARCH("-",'R.M Billets Reports'!D1500)+1,200)),"")),IF(ISNUMBER(SEARCH("Party Name:-",'R.M Billets Reports'!D1501)),TRIM('R.M Billets Reports'!F1501),IF(ISNUMBER(SEARCH("Party Name-",'R.M Billets Reports'!D1501)),TRIM(MID('R.M Billets Reports'!D1501,SEARCH("-",'R.M Billets Reports'!D1501)+1,200)),"")))="SHRI RADHE","SHREE RADHE",IF(IF(IF(ISNUMBER(SEARCH("Party Name:-",'R.M Billets Reports'!D1500)),TRIM('R.M Billets Reports'!F1500),IF(ISNUMBER(SEARCH("Party Name-",'R.M Billets Reports'!D1500)),TRIM(MID('R.M Billets Reports'!D1500,SEARCH("-",'R.M Billets Reports'!D1500)+1,200)),""))&lt;&gt;"",IF(ISNUMBER(SEARCH("Party Name:-",'R.M Billets Reports'!D1500)),TRIM('R.M Billets Reports'!F1500),IF(ISNUMBER(SEARCH("Party Name-",'R.M Billets Reports'!D1500)),TRIM(MID('R.M Billets Reports'!D1500,SEARCH("-",'R.M Billets Reports'!D1500)+1,200)),"")),IF(ISNUMBER(SEARCH("Party Name:-",'R.M Billets Reports'!D1501)),TRIM('R.M Billets Reports'!F1501),IF(ISNUMBER(SEARCH("Party Name-",'R.M Billets Reports'!D1501)),TRIM(MID('R.M Billets Reports'!D1501,SEARCH("-",'R.M Billets Reports'!D1501)+1,200)),"")))="SHREE RADHE SHAKTI SPONGE AND POWER PVT. LTD.","SHREE RADHE",IF(IF(ISNUMBER(SEARCH("Party Name:-",'R.M Billets Reports'!D1500)),TRIM('R.M Billets Reports'!F1500),IF(ISNUMBER(SEARCH("Party Name-",'R.M Billets Reports'!D1500)),TRIM(MID('R.M Billets Reports'!D1500,SEARCH("-",'R.M Billets Reports'!D1500)+1,200)),""))&lt;&gt;"",IF(ISNUMBER(SEARCH("Party Name:-",'R.M Billets Reports'!D1500)),TRIM('R.M Billets Reports'!F1500),IF(ISNUMBER(SEARCH("Party Name-",'R.M Billets Reports'!D1500)),TRIM(MID('R.M Billets Reports'!D1500,SEARCH("-",'R.M Billets Reports'!D1500)+1,200)),"")),IF(ISNUMBER(SEARCH("Party Name:-",'R.M Billets Reports'!D1501)),TRIM('R.M Billets Reports'!F1501),IF(ISNUMBER(SEARCH("Party Name-",'R.M Billets Reports'!D1501)),TRIM(MID('R.M Billets Reports'!D1501,SEARCH("-",'R.M Billets Reports'!D1501)+1,200)),"")))))),IF(ROW()=2,"",A1500))</f>
      </c>
      <c r="B1501">
        <f>IF(OR('R.M Billets Reports'!A1500="Date-",'R.M Billets Reports'!A1500="Date:-"),'R.M Billets Reports'!B1500,IF(ROW()=2,"",B1500))</f>
      </c>
      <c r="C1501">
        <f>IF('R.M Billets Reports'!A1500="V.No.",'R.M Billets Reports'!B1500,IF(ROW()=2,"",C1500))</f>
      </c>
      <c r="D1501">
        <f>IF('R.M Billets Reports'!A1500&lt;&gt;"",'R.M Billets Reports'!A1500,IF(ROW()=2,"",D1500))</f>
      </c>
      <c r="E1501">
        <f>IF('R.M Billets Reports'!B1500="","",TRIM('R.M Billets Reports'!B1500))</f>
      </c>
      <c r="F1501">
        <f>'R.M Billets Reports'!C1500</f>
      </c>
      <c r="G1501">
        <f>'R.M Billets Reports'!D1500</f>
      </c>
      <c r="H1501">
        <f>'R.M Billets Reports'!E1500</f>
      </c>
      <c r="I1501">
        <f>'R.M Billets Reports'!F1500</f>
      </c>
      <c r="J1501">
        <f>'R.M Billets Reports'!G1500</f>
      </c>
      <c r="K1501">
        <f>'R.M Billets Reports'!H1500</f>
      </c>
      <c r="L1501">
        <f>IF('R.M Billets Reports'!I1500="","",'R.M Billets Reports'!I1500)</f>
      </c>
      <c r="M1501">
        <f t="shared" si="46"/>
      </c>
      <c r="N1501">
        <f>IF('R.M Billets Reports'!J1500="","",'R.M Billets Reports'!J1500)</f>
      </c>
      <c r="O1501">
        <f t="shared" si="47"/>
      </c>
      <c r="P1501">
        <f>IF('R.M Billets Reports'!A1500="SIZE",'R.M Billets Reports'!B1500,P1500)</f>
      </c>
    </row>
    <row r="1502" spans="1:16" x14ac:dyDescent="0.25">
      <c r="A1502">
        <f>IF(OR('R.M Billets Reports'!A1501="Date-",'R.M Billets Reports'!A1501="Date:-"),IF(IF(IF(ISNUMBER(SEARCH("Party Name:-",'R.M Billets Reports'!D1501)),TRIM('R.M Billets Reports'!F1501),IF(ISNUMBER(SEARCH("Party Name-",'R.M Billets Reports'!D1501)),TRIM(MID('R.M Billets Reports'!D1501,SEARCH("-",'R.M Billets Reports'!D1501)+1,200)),""))&lt;&gt;"",IF(ISNUMBER(SEARCH("Party Name:-",'R.M Billets Reports'!D1501)),TRIM('R.M Billets Reports'!F1501),IF(ISNUMBER(SEARCH("Party Name-",'R.M Billets Reports'!D1501)),TRIM(MID('R.M Billets Reports'!D1501,SEARCH("-",'R.M Billets Reports'!D1501)+1,200)),"")),IF(ISNUMBER(SEARCH("Party Name:-",'R.M Billets Reports'!D1502)),TRIM('R.M Billets Reports'!F1502),IF(ISNUMBER(SEARCH("Party Name-",'R.M Billets Reports'!D1502)),TRIM(MID('R.M Billets Reports'!D1502,SEARCH("-",'R.M Billets Reports'!D1502)+1,200)),"")))="VRKP ISPAT PVT LTD","VRKP",IF(IF(IF(ISNUMBER(SEARCH("Party Name:-",'R.M Billets Reports'!D1501)),TRIM('R.M Billets Reports'!F1501),IF(ISNUMBER(SEARCH("Party Name-",'R.M Billets Reports'!D1501)),TRIM(MID('R.M Billets Reports'!D1501,SEARCH("-",'R.M Billets Reports'!D1501)+1,200)),""))&lt;&gt;"",IF(ISNUMBER(SEARCH("Party Name:-",'R.M Billets Reports'!D1501)),TRIM('R.M Billets Reports'!F1501),IF(ISNUMBER(SEARCH("Party Name-",'R.M Billets Reports'!D1501)),TRIM(MID('R.M Billets Reports'!D1501,SEARCH("-",'R.M Billets Reports'!D1501)+1,200)),"")),IF(ISNUMBER(SEARCH("Party Name:-",'R.M Billets Reports'!D1502)),TRIM('R.M Billets Reports'!F1502),IF(ISNUMBER(SEARCH("Party Name-",'R.M Billets Reports'!D1502)),TRIM(MID('R.M Billets Reports'!D1502,SEARCH("-",'R.M Billets Reports'!D1502)+1,200)),"")))="SHRI RADHE","SHREE RADHE",IF(IF(IF(ISNUMBER(SEARCH("Party Name:-",'R.M Billets Reports'!D1501)),TRIM('R.M Billets Reports'!F1501),IF(ISNUMBER(SEARCH("Party Name-",'R.M Billets Reports'!D1501)),TRIM(MID('R.M Billets Reports'!D1501,SEARCH("-",'R.M Billets Reports'!D1501)+1,200)),""))&lt;&gt;"",IF(ISNUMBER(SEARCH("Party Name:-",'R.M Billets Reports'!D1501)),TRIM('R.M Billets Reports'!F1501),IF(ISNUMBER(SEARCH("Party Name-",'R.M Billets Reports'!D1501)),TRIM(MID('R.M Billets Reports'!D1501,SEARCH("-",'R.M Billets Reports'!D1501)+1,200)),"")),IF(ISNUMBER(SEARCH("Party Name:-",'R.M Billets Reports'!D1502)),TRIM('R.M Billets Reports'!F1502),IF(ISNUMBER(SEARCH("Party Name-",'R.M Billets Reports'!D1502)),TRIM(MID('R.M Billets Reports'!D1502,SEARCH("-",'R.M Billets Reports'!D1502)+1,200)),"")))="SHREE RADHE SHAKTI SPONGE AND POWER PVT. LTD.","SHREE RADHE",IF(IF(ISNUMBER(SEARCH("Party Name:-",'R.M Billets Reports'!D1501)),TRIM('R.M Billets Reports'!F1501),IF(ISNUMBER(SEARCH("Party Name-",'R.M Billets Reports'!D1501)),TRIM(MID('R.M Billets Reports'!D1501,SEARCH("-",'R.M Billets Reports'!D1501)+1,200)),""))&lt;&gt;"",IF(ISNUMBER(SEARCH("Party Name:-",'R.M Billets Reports'!D1501)),TRIM('R.M Billets Reports'!F1501),IF(ISNUMBER(SEARCH("Party Name-",'R.M Billets Reports'!D1501)),TRIM(MID('R.M Billets Reports'!D1501,SEARCH("-",'R.M Billets Reports'!D1501)+1,200)),"")),IF(ISNUMBER(SEARCH("Party Name:-",'R.M Billets Reports'!D1502)),TRIM('R.M Billets Reports'!F1502),IF(ISNUMBER(SEARCH("Party Name-",'R.M Billets Reports'!D1502)),TRIM(MID('R.M Billets Reports'!D1502,SEARCH("-",'R.M Billets Reports'!D1502)+1,200)),"")))))),IF(ROW()=2,"",A1501))</f>
      </c>
      <c r="B1502">
        <f>IF(OR('R.M Billets Reports'!A1501="Date-",'R.M Billets Reports'!A1501="Date:-"),'R.M Billets Reports'!B1501,IF(ROW()=2,"",B1501))</f>
      </c>
      <c r="C1502">
        <f>IF('R.M Billets Reports'!A1501="V.No.",'R.M Billets Reports'!B1501,IF(ROW()=2,"",C1501))</f>
      </c>
      <c r="D1502">
        <f>IF('R.M Billets Reports'!A1501&lt;&gt;"",'R.M Billets Reports'!A1501,IF(ROW()=2,"",D1501))</f>
      </c>
      <c r="E1502">
        <f>IF('R.M Billets Reports'!B1501="","",TRIM('R.M Billets Reports'!B1501))</f>
      </c>
      <c r="F1502">
        <f>'R.M Billets Reports'!C1501</f>
      </c>
      <c r="G1502">
        <f>'R.M Billets Reports'!D1501</f>
      </c>
      <c r="H1502">
        <f>'R.M Billets Reports'!E1501</f>
      </c>
      <c r="I1502">
        <f>'R.M Billets Reports'!F1501</f>
      </c>
      <c r="J1502">
        <f>'R.M Billets Reports'!G1501</f>
      </c>
      <c r="K1502">
        <f>'R.M Billets Reports'!H1501</f>
      </c>
      <c r="L1502">
        <f>IF('R.M Billets Reports'!I1501="","",'R.M Billets Reports'!I1501)</f>
      </c>
      <c r="M1502">
        <f t="shared" si="46"/>
      </c>
      <c r="N1502">
        <f>IF('R.M Billets Reports'!J1501="","",'R.M Billets Reports'!J1501)</f>
      </c>
      <c r="O1502">
        <f t="shared" si="47"/>
      </c>
      <c r="P1502">
        <f>IF('R.M Billets Reports'!A1501="SIZE",'R.M Billets Reports'!B1501,P1501)</f>
      </c>
    </row>
    <row r="1503" spans="1:16" x14ac:dyDescent="0.25">
      <c r="A1503">
        <f>IF(OR('R.M Billets Reports'!A1502="Date-",'R.M Billets Reports'!A1502="Date:-"),IF(IF(IF(ISNUMBER(SEARCH("Party Name:-",'R.M Billets Reports'!D1502)),TRIM('R.M Billets Reports'!F1502),IF(ISNUMBER(SEARCH("Party Name-",'R.M Billets Reports'!D1502)),TRIM(MID('R.M Billets Reports'!D1502,SEARCH("-",'R.M Billets Reports'!D1502)+1,200)),""))&lt;&gt;"",IF(ISNUMBER(SEARCH("Party Name:-",'R.M Billets Reports'!D1502)),TRIM('R.M Billets Reports'!F1502),IF(ISNUMBER(SEARCH("Party Name-",'R.M Billets Reports'!D1502)),TRIM(MID('R.M Billets Reports'!D1502,SEARCH("-",'R.M Billets Reports'!D1502)+1,200)),"")),IF(ISNUMBER(SEARCH("Party Name:-",'R.M Billets Reports'!D1503)),TRIM('R.M Billets Reports'!F1503),IF(ISNUMBER(SEARCH("Party Name-",'R.M Billets Reports'!D1503)),TRIM(MID('R.M Billets Reports'!D1503,SEARCH("-",'R.M Billets Reports'!D1503)+1,200)),"")))="VRKP ISPAT PVT LTD","VRKP",IF(IF(IF(ISNUMBER(SEARCH("Party Name:-",'R.M Billets Reports'!D1502)),TRIM('R.M Billets Reports'!F1502),IF(ISNUMBER(SEARCH("Party Name-",'R.M Billets Reports'!D1502)),TRIM(MID('R.M Billets Reports'!D1502,SEARCH("-",'R.M Billets Reports'!D1502)+1,200)),""))&lt;&gt;"",IF(ISNUMBER(SEARCH("Party Name:-",'R.M Billets Reports'!D1502)),TRIM('R.M Billets Reports'!F1502),IF(ISNUMBER(SEARCH("Party Name-",'R.M Billets Reports'!D1502)),TRIM(MID('R.M Billets Reports'!D1502,SEARCH("-",'R.M Billets Reports'!D1502)+1,200)),"")),IF(ISNUMBER(SEARCH("Party Name:-",'R.M Billets Reports'!D1503)),TRIM('R.M Billets Reports'!F1503),IF(ISNUMBER(SEARCH("Party Name-",'R.M Billets Reports'!D1503)),TRIM(MID('R.M Billets Reports'!D1503,SEARCH("-",'R.M Billets Reports'!D1503)+1,200)),"")))="SHRI RADHE","SHREE RADHE",IF(IF(IF(ISNUMBER(SEARCH("Party Name:-",'R.M Billets Reports'!D1502)),TRIM('R.M Billets Reports'!F1502),IF(ISNUMBER(SEARCH("Party Name-",'R.M Billets Reports'!D1502)),TRIM(MID('R.M Billets Reports'!D1502,SEARCH("-",'R.M Billets Reports'!D1502)+1,200)),""))&lt;&gt;"",IF(ISNUMBER(SEARCH("Party Name:-",'R.M Billets Reports'!D1502)),TRIM('R.M Billets Reports'!F1502),IF(ISNUMBER(SEARCH("Party Name-",'R.M Billets Reports'!D1502)),TRIM(MID('R.M Billets Reports'!D1502,SEARCH("-",'R.M Billets Reports'!D1502)+1,200)),"")),IF(ISNUMBER(SEARCH("Party Name:-",'R.M Billets Reports'!D1503)),TRIM('R.M Billets Reports'!F1503),IF(ISNUMBER(SEARCH("Party Name-",'R.M Billets Reports'!D1503)),TRIM(MID('R.M Billets Reports'!D1503,SEARCH("-",'R.M Billets Reports'!D1503)+1,200)),"")))="SHREE RADHE SHAKTI SPONGE AND POWER PVT. LTD.","SHREE RADHE",IF(IF(ISNUMBER(SEARCH("Party Name:-",'R.M Billets Reports'!D1502)),TRIM('R.M Billets Reports'!F1502),IF(ISNUMBER(SEARCH("Party Name-",'R.M Billets Reports'!D1502)),TRIM(MID('R.M Billets Reports'!D1502,SEARCH("-",'R.M Billets Reports'!D1502)+1,200)),""))&lt;&gt;"",IF(ISNUMBER(SEARCH("Party Name:-",'R.M Billets Reports'!D1502)),TRIM('R.M Billets Reports'!F1502),IF(ISNUMBER(SEARCH("Party Name-",'R.M Billets Reports'!D1502)),TRIM(MID('R.M Billets Reports'!D1502,SEARCH("-",'R.M Billets Reports'!D1502)+1,200)),"")),IF(ISNUMBER(SEARCH("Party Name:-",'R.M Billets Reports'!D1503)),TRIM('R.M Billets Reports'!F1503),IF(ISNUMBER(SEARCH("Party Name-",'R.M Billets Reports'!D1503)),TRIM(MID('R.M Billets Reports'!D1503,SEARCH("-",'R.M Billets Reports'!D1503)+1,200)),"")))))),IF(ROW()=2,"",A1502))</f>
      </c>
      <c r="B1503">
        <f>IF(OR('R.M Billets Reports'!A1502="Date-",'R.M Billets Reports'!A1502="Date:-"),'R.M Billets Reports'!B1502,IF(ROW()=2,"",B1502))</f>
      </c>
      <c r="C1503">
        <f>IF('R.M Billets Reports'!A1502="V.No.",'R.M Billets Reports'!B1502,IF(ROW()=2,"",C1502))</f>
      </c>
      <c r="D1503">
        <f>IF('R.M Billets Reports'!A1502&lt;&gt;"",'R.M Billets Reports'!A1502,IF(ROW()=2,"",D1502))</f>
      </c>
      <c r="E1503">
        <f>IF('R.M Billets Reports'!B1502="","",TRIM('R.M Billets Reports'!B1502))</f>
      </c>
      <c r="F1503">
        <f>'R.M Billets Reports'!C1502</f>
      </c>
      <c r="G1503">
        <f>'R.M Billets Reports'!D1502</f>
      </c>
      <c r="H1503">
        <f>'R.M Billets Reports'!E1502</f>
      </c>
      <c r="I1503">
        <f>'R.M Billets Reports'!F1502</f>
      </c>
      <c r="J1503">
        <f>'R.M Billets Reports'!G1502</f>
      </c>
      <c r="K1503">
        <f>'R.M Billets Reports'!H1502</f>
      </c>
      <c r="L1503">
        <f>IF('R.M Billets Reports'!I1502="","",'R.M Billets Reports'!I1502)</f>
      </c>
      <c r="M1503">
        <f t="shared" si="46"/>
      </c>
      <c r="N1503">
        <f>IF('R.M Billets Reports'!J1502="","",'R.M Billets Reports'!J1502)</f>
      </c>
      <c r="O1503">
        <f t="shared" si="47"/>
      </c>
      <c r="P1503">
        <f>IF('R.M Billets Reports'!A1502="SIZE",'R.M Billets Reports'!B1502,P1502)</f>
      </c>
    </row>
    <row r="1504" spans="1:16" x14ac:dyDescent="0.25">
      <c r="A1504">
        <f>IF(OR('R.M Billets Reports'!A1503="Date-",'R.M Billets Reports'!A1503="Date:-"),IF(IF(IF(ISNUMBER(SEARCH("Party Name:-",'R.M Billets Reports'!D1503)),TRIM('R.M Billets Reports'!F1503),IF(ISNUMBER(SEARCH("Party Name-",'R.M Billets Reports'!D1503)),TRIM(MID('R.M Billets Reports'!D1503,SEARCH("-",'R.M Billets Reports'!D1503)+1,200)),""))&lt;&gt;"",IF(ISNUMBER(SEARCH("Party Name:-",'R.M Billets Reports'!D1503)),TRIM('R.M Billets Reports'!F1503),IF(ISNUMBER(SEARCH("Party Name-",'R.M Billets Reports'!D1503)),TRIM(MID('R.M Billets Reports'!D1503,SEARCH("-",'R.M Billets Reports'!D1503)+1,200)),"")),IF(ISNUMBER(SEARCH("Party Name:-",'R.M Billets Reports'!D1504)),TRIM('R.M Billets Reports'!F1504),IF(ISNUMBER(SEARCH("Party Name-",'R.M Billets Reports'!D1504)),TRIM(MID('R.M Billets Reports'!D1504,SEARCH("-",'R.M Billets Reports'!D1504)+1,200)),"")))="VRKP ISPAT PVT LTD","VRKP",IF(IF(IF(ISNUMBER(SEARCH("Party Name:-",'R.M Billets Reports'!D1503)),TRIM('R.M Billets Reports'!F1503),IF(ISNUMBER(SEARCH("Party Name-",'R.M Billets Reports'!D1503)),TRIM(MID('R.M Billets Reports'!D1503,SEARCH("-",'R.M Billets Reports'!D1503)+1,200)),""))&lt;&gt;"",IF(ISNUMBER(SEARCH("Party Name:-",'R.M Billets Reports'!D1503)),TRIM('R.M Billets Reports'!F1503),IF(ISNUMBER(SEARCH("Party Name-",'R.M Billets Reports'!D1503)),TRIM(MID('R.M Billets Reports'!D1503,SEARCH("-",'R.M Billets Reports'!D1503)+1,200)),"")),IF(ISNUMBER(SEARCH("Party Name:-",'R.M Billets Reports'!D1504)),TRIM('R.M Billets Reports'!F1504),IF(ISNUMBER(SEARCH("Party Name-",'R.M Billets Reports'!D1504)),TRIM(MID('R.M Billets Reports'!D1504,SEARCH("-",'R.M Billets Reports'!D1504)+1,200)),"")))="SHRI RADHE","SHREE RADHE",IF(IF(IF(ISNUMBER(SEARCH("Party Name:-",'R.M Billets Reports'!D1503)),TRIM('R.M Billets Reports'!F1503),IF(ISNUMBER(SEARCH("Party Name-",'R.M Billets Reports'!D1503)),TRIM(MID('R.M Billets Reports'!D1503,SEARCH("-",'R.M Billets Reports'!D1503)+1,200)),""))&lt;&gt;"",IF(ISNUMBER(SEARCH("Party Name:-",'R.M Billets Reports'!D1503)),TRIM('R.M Billets Reports'!F1503),IF(ISNUMBER(SEARCH("Party Name-",'R.M Billets Reports'!D1503)),TRIM(MID('R.M Billets Reports'!D1503,SEARCH("-",'R.M Billets Reports'!D1503)+1,200)),"")),IF(ISNUMBER(SEARCH("Party Name:-",'R.M Billets Reports'!D1504)),TRIM('R.M Billets Reports'!F1504),IF(ISNUMBER(SEARCH("Party Name-",'R.M Billets Reports'!D1504)),TRIM(MID('R.M Billets Reports'!D1504,SEARCH("-",'R.M Billets Reports'!D1504)+1,200)),"")))="SHREE RADHE SHAKTI SPONGE AND POWER PVT. LTD.","SHREE RADHE",IF(IF(ISNUMBER(SEARCH("Party Name:-",'R.M Billets Reports'!D1503)),TRIM('R.M Billets Reports'!F1503),IF(ISNUMBER(SEARCH("Party Name-",'R.M Billets Reports'!D1503)),TRIM(MID('R.M Billets Reports'!D1503,SEARCH("-",'R.M Billets Reports'!D1503)+1,200)),""))&lt;&gt;"",IF(ISNUMBER(SEARCH("Party Name:-",'R.M Billets Reports'!D1503)),TRIM('R.M Billets Reports'!F1503),IF(ISNUMBER(SEARCH("Party Name-",'R.M Billets Reports'!D1503)),TRIM(MID('R.M Billets Reports'!D1503,SEARCH("-",'R.M Billets Reports'!D1503)+1,200)),"")),IF(ISNUMBER(SEARCH("Party Name:-",'R.M Billets Reports'!D1504)),TRIM('R.M Billets Reports'!F1504),IF(ISNUMBER(SEARCH("Party Name-",'R.M Billets Reports'!D1504)),TRIM(MID('R.M Billets Reports'!D1504,SEARCH("-",'R.M Billets Reports'!D1504)+1,200)),"")))))),IF(ROW()=2,"",A1503))</f>
      </c>
      <c r="B1504">
        <f>IF(OR('R.M Billets Reports'!A1503="Date-",'R.M Billets Reports'!A1503="Date:-"),'R.M Billets Reports'!B1503,IF(ROW()=2,"",B1503))</f>
      </c>
      <c r="C1504">
        <f>IF('R.M Billets Reports'!A1503="V.No.",'R.M Billets Reports'!B1503,IF(ROW()=2,"",C1503))</f>
      </c>
      <c r="D1504">
        <f>IF('R.M Billets Reports'!A1503&lt;&gt;"",'R.M Billets Reports'!A1503,IF(ROW()=2,"",D1503))</f>
      </c>
      <c r="E1504">
        <f>IF('R.M Billets Reports'!B1503="","",TRIM('R.M Billets Reports'!B1503))</f>
      </c>
      <c r="F1504">
        <f>'R.M Billets Reports'!C1503</f>
      </c>
      <c r="G1504">
        <f>'R.M Billets Reports'!D1503</f>
      </c>
      <c r="H1504">
        <f>'R.M Billets Reports'!E1503</f>
      </c>
      <c r="I1504">
        <f>'R.M Billets Reports'!F1503</f>
      </c>
      <c r="J1504">
        <f>'R.M Billets Reports'!G1503</f>
      </c>
      <c r="K1504">
        <f>'R.M Billets Reports'!H1503</f>
      </c>
      <c r="L1504">
        <f>IF('R.M Billets Reports'!I1503="","",'R.M Billets Reports'!I1503)</f>
      </c>
      <c r="M1504">
        <f t="shared" si="46"/>
      </c>
      <c r="N1504">
        <f>IF('R.M Billets Reports'!J1503="","",'R.M Billets Reports'!J1503)</f>
      </c>
      <c r="O1504">
        <f t="shared" si="47"/>
      </c>
      <c r="P1504">
        <f>IF('R.M Billets Reports'!A1503="SIZE",'R.M Billets Reports'!B1503,P1503)</f>
      </c>
    </row>
    <row r="1505" spans="1:16" x14ac:dyDescent="0.25">
      <c r="A1505">
        <f>IF(OR('R.M Billets Reports'!A1504="Date-",'R.M Billets Reports'!A1504="Date:-"),IF(IF(IF(ISNUMBER(SEARCH("Party Name:-",'R.M Billets Reports'!D1504)),TRIM('R.M Billets Reports'!F1504),IF(ISNUMBER(SEARCH("Party Name-",'R.M Billets Reports'!D1504)),TRIM(MID('R.M Billets Reports'!D1504,SEARCH("-",'R.M Billets Reports'!D1504)+1,200)),""))&lt;&gt;"",IF(ISNUMBER(SEARCH("Party Name:-",'R.M Billets Reports'!D1504)),TRIM('R.M Billets Reports'!F1504),IF(ISNUMBER(SEARCH("Party Name-",'R.M Billets Reports'!D1504)),TRIM(MID('R.M Billets Reports'!D1504,SEARCH("-",'R.M Billets Reports'!D1504)+1,200)),"")),IF(ISNUMBER(SEARCH("Party Name:-",'R.M Billets Reports'!D1505)),TRIM('R.M Billets Reports'!F1505),IF(ISNUMBER(SEARCH("Party Name-",'R.M Billets Reports'!D1505)),TRIM(MID('R.M Billets Reports'!D1505,SEARCH("-",'R.M Billets Reports'!D1505)+1,200)),"")))="VRKP ISPAT PVT LTD","VRKP",IF(IF(IF(ISNUMBER(SEARCH("Party Name:-",'R.M Billets Reports'!D1504)),TRIM('R.M Billets Reports'!F1504),IF(ISNUMBER(SEARCH("Party Name-",'R.M Billets Reports'!D1504)),TRIM(MID('R.M Billets Reports'!D1504,SEARCH("-",'R.M Billets Reports'!D1504)+1,200)),""))&lt;&gt;"",IF(ISNUMBER(SEARCH("Party Name:-",'R.M Billets Reports'!D1504)),TRIM('R.M Billets Reports'!F1504),IF(ISNUMBER(SEARCH("Party Name-",'R.M Billets Reports'!D1504)),TRIM(MID('R.M Billets Reports'!D1504,SEARCH("-",'R.M Billets Reports'!D1504)+1,200)),"")),IF(ISNUMBER(SEARCH("Party Name:-",'R.M Billets Reports'!D1505)),TRIM('R.M Billets Reports'!F1505),IF(ISNUMBER(SEARCH("Party Name-",'R.M Billets Reports'!D1505)),TRIM(MID('R.M Billets Reports'!D1505,SEARCH("-",'R.M Billets Reports'!D1505)+1,200)),"")))="SHRI RADHE","SHREE RADHE",IF(IF(IF(ISNUMBER(SEARCH("Party Name:-",'R.M Billets Reports'!D1504)),TRIM('R.M Billets Reports'!F1504),IF(ISNUMBER(SEARCH("Party Name-",'R.M Billets Reports'!D1504)),TRIM(MID('R.M Billets Reports'!D1504,SEARCH("-",'R.M Billets Reports'!D1504)+1,200)),""))&lt;&gt;"",IF(ISNUMBER(SEARCH("Party Name:-",'R.M Billets Reports'!D1504)),TRIM('R.M Billets Reports'!F1504),IF(ISNUMBER(SEARCH("Party Name-",'R.M Billets Reports'!D1504)),TRIM(MID('R.M Billets Reports'!D1504,SEARCH("-",'R.M Billets Reports'!D1504)+1,200)),"")),IF(ISNUMBER(SEARCH("Party Name:-",'R.M Billets Reports'!D1505)),TRIM('R.M Billets Reports'!F1505),IF(ISNUMBER(SEARCH("Party Name-",'R.M Billets Reports'!D1505)),TRIM(MID('R.M Billets Reports'!D1505,SEARCH("-",'R.M Billets Reports'!D1505)+1,200)),"")))="SHREE RADHE SHAKTI SPONGE AND POWER PVT. LTD.","SHREE RADHE",IF(IF(ISNUMBER(SEARCH("Party Name:-",'R.M Billets Reports'!D1504)),TRIM('R.M Billets Reports'!F1504),IF(ISNUMBER(SEARCH("Party Name-",'R.M Billets Reports'!D1504)),TRIM(MID('R.M Billets Reports'!D1504,SEARCH("-",'R.M Billets Reports'!D1504)+1,200)),""))&lt;&gt;"",IF(ISNUMBER(SEARCH("Party Name:-",'R.M Billets Reports'!D1504)),TRIM('R.M Billets Reports'!F1504),IF(ISNUMBER(SEARCH("Party Name-",'R.M Billets Reports'!D1504)),TRIM(MID('R.M Billets Reports'!D1504,SEARCH("-",'R.M Billets Reports'!D1504)+1,200)),"")),IF(ISNUMBER(SEARCH("Party Name:-",'R.M Billets Reports'!D1505)),TRIM('R.M Billets Reports'!F1505),IF(ISNUMBER(SEARCH("Party Name-",'R.M Billets Reports'!D1505)),TRIM(MID('R.M Billets Reports'!D1505,SEARCH("-",'R.M Billets Reports'!D1505)+1,200)),"")))))),IF(ROW()=2,"",A1504))</f>
      </c>
      <c r="B1505">
        <f>IF(OR('R.M Billets Reports'!A1504="Date-",'R.M Billets Reports'!A1504="Date:-"),'R.M Billets Reports'!B1504,IF(ROW()=2,"",B1504))</f>
      </c>
      <c r="C1505">
        <f>IF('R.M Billets Reports'!A1504="V.No.",'R.M Billets Reports'!B1504,IF(ROW()=2,"",C1504))</f>
      </c>
      <c r="D1505">
        <f>IF('R.M Billets Reports'!A1504&lt;&gt;"",'R.M Billets Reports'!A1504,IF(ROW()=2,"",D1504))</f>
      </c>
      <c r="E1505">
        <f>IF('R.M Billets Reports'!B1504="","",TRIM('R.M Billets Reports'!B1504))</f>
      </c>
      <c r="F1505">
        <f>'R.M Billets Reports'!C1504</f>
      </c>
      <c r="G1505">
        <f>'R.M Billets Reports'!D1504</f>
      </c>
      <c r="H1505">
        <f>'R.M Billets Reports'!E1504</f>
      </c>
      <c r="I1505">
        <f>'R.M Billets Reports'!F1504</f>
      </c>
      <c r="J1505">
        <f>'R.M Billets Reports'!G1504</f>
      </c>
      <c r="K1505">
        <f>'R.M Billets Reports'!H1504</f>
      </c>
      <c r="L1505">
        <f>IF('R.M Billets Reports'!I1504="","",'R.M Billets Reports'!I1504)</f>
      </c>
      <c r="M1505">
        <f t="shared" si="46"/>
      </c>
      <c r="N1505">
        <f>IF('R.M Billets Reports'!J1504="","",'R.M Billets Reports'!J1504)</f>
      </c>
      <c r="O1505">
        <f t="shared" si="47"/>
      </c>
      <c r="P1505">
        <f>IF('R.M Billets Reports'!A1504="SIZE",'R.M Billets Reports'!B1504,P1504)</f>
      </c>
    </row>
    <row r="1506" spans="1:16" x14ac:dyDescent="0.25">
      <c r="A1506">
        <f>IF(OR('R.M Billets Reports'!A1505="Date-",'R.M Billets Reports'!A1505="Date:-"),IF(IF(IF(ISNUMBER(SEARCH("Party Name:-",'R.M Billets Reports'!D1505)),TRIM('R.M Billets Reports'!F1505),IF(ISNUMBER(SEARCH("Party Name-",'R.M Billets Reports'!D1505)),TRIM(MID('R.M Billets Reports'!D1505,SEARCH("-",'R.M Billets Reports'!D1505)+1,200)),""))&lt;&gt;"",IF(ISNUMBER(SEARCH("Party Name:-",'R.M Billets Reports'!D1505)),TRIM('R.M Billets Reports'!F1505),IF(ISNUMBER(SEARCH("Party Name-",'R.M Billets Reports'!D1505)),TRIM(MID('R.M Billets Reports'!D1505,SEARCH("-",'R.M Billets Reports'!D1505)+1,200)),"")),IF(ISNUMBER(SEARCH("Party Name:-",'R.M Billets Reports'!D1506)),TRIM('R.M Billets Reports'!F1506),IF(ISNUMBER(SEARCH("Party Name-",'R.M Billets Reports'!D1506)),TRIM(MID('R.M Billets Reports'!D1506,SEARCH("-",'R.M Billets Reports'!D1506)+1,200)),"")))="VRKP ISPAT PVT LTD","VRKP",IF(IF(IF(ISNUMBER(SEARCH("Party Name:-",'R.M Billets Reports'!D1505)),TRIM('R.M Billets Reports'!F1505),IF(ISNUMBER(SEARCH("Party Name-",'R.M Billets Reports'!D1505)),TRIM(MID('R.M Billets Reports'!D1505,SEARCH("-",'R.M Billets Reports'!D1505)+1,200)),""))&lt;&gt;"",IF(ISNUMBER(SEARCH("Party Name:-",'R.M Billets Reports'!D1505)),TRIM('R.M Billets Reports'!F1505),IF(ISNUMBER(SEARCH("Party Name-",'R.M Billets Reports'!D1505)),TRIM(MID('R.M Billets Reports'!D1505,SEARCH("-",'R.M Billets Reports'!D1505)+1,200)),"")),IF(ISNUMBER(SEARCH("Party Name:-",'R.M Billets Reports'!D1506)),TRIM('R.M Billets Reports'!F1506),IF(ISNUMBER(SEARCH("Party Name-",'R.M Billets Reports'!D1506)),TRIM(MID('R.M Billets Reports'!D1506,SEARCH("-",'R.M Billets Reports'!D1506)+1,200)),"")))="SHRI RADHE","SHREE RADHE",IF(IF(IF(ISNUMBER(SEARCH("Party Name:-",'R.M Billets Reports'!D1505)),TRIM('R.M Billets Reports'!F1505),IF(ISNUMBER(SEARCH("Party Name-",'R.M Billets Reports'!D1505)),TRIM(MID('R.M Billets Reports'!D1505,SEARCH("-",'R.M Billets Reports'!D1505)+1,200)),""))&lt;&gt;"",IF(ISNUMBER(SEARCH("Party Name:-",'R.M Billets Reports'!D1505)),TRIM('R.M Billets Reports'!F1505),IF(ISNUMBER(SEARCH("Party Name-",'R.M Billets Reports'!D1505)),TRIM(MID('R.M Billets Reports'!D1505,SEARCH("-",'R.M Billets Reports'!D1505)+1,200)),"")),IF(ISNUMBER(SEARCH("Party Name:-",'R.M Billets Reports'!D1506)),TRIM('R.M Billets Reports'!F1506),IF(ISNUMBER(SEARCH("Party Name-",'R.M Billets Reports'!D1506)),TRIM(MID('R.M Billets Reports'!D1506,SEARCH("-",'R.M Billets Reports'!D1506)+1,200)),"")))="SHREE RADHE SHAKTI SPONGE AND POWER PVT. LTD.","SHREE RADHE",IF(IF(ISNUMBER(SEARCH("Party Name:-",'R.M Billets Reports'!D1505)),TRIM('R.M Billets Reports'!F1505),IF(ISNUMBER(SEARCH("Party Name-",'R.M Billets Reports'!D1505)),TRIM(MID('R.M Billets Reports'!D1505,SEARCH("-",'R.M Billets Reports'!D1505)+1,200)),""))&lt;&gt;"",IF(ISNUMBER(SEARCH("Party Name:-",'R.M Billets Reports'!D1505)),TRIM('R.M Billets Reports'!F1505),IF(ISNUMBER(SEARCH("Party Name-",'R.M Billets Reports'!D1505)),TRIM(MID('R.M Billets Reports'!D1505,SEARCH("-",'R.M Billets Reports'!D1505)+1,200)),"")),IF(ISNUMBER(SEARCH("Party Name:-",'R.M Billets Reports'!D1506)),TRIM('R.M Billets Reports'!F1506),IF(ISNUMBER(SEARCH("Party Name-",'R.M Billets Reports'!D1506)),TRIM(MID('R.M Billets Reports'!D1506,SEARCH("-",'R.M Billets Reports'!D1506)+1,200)),"")))))),IF(ROW()=2,"",A1505))</f>
      </c>
      <c r="B1506">
        <f>IF(OR('R.M Billets Reports'!A1505="Date-",'R.M Billets Reports'!A1505="Date:-"),'R.M Billets Reports'!B1505,IF(ROW()=2,"",B1505))</f>
      </c>
      <c r="C1506">
        <f>IF('R.M Billets Reports'!A1505="V.No.",'R.M Billets Reports'!B1505,IF(ROW()=2,"",C1505))</f>
      </c>
      <c r="D1506">
        <f>IF('R.M Billets Reports'!A1505&lt;&gt;"",'R.M Billets Reports'!A1505,IF(ROW()=2,"",D1505))</f>
      </c>
      <c r="E1506">
        <f>IF('R.M Billets Reports'!B1505="","",TRIM('R.M Billets Reports'!B1505))</f>
      </c>
      <c r="F1506">
        <f>'R.M Billets Reports'!C1505</f>
      </c>
      <c r="G1506">
        <f>'R.M Billets Reports'!D1505</f>
      </c>
      <c r="H1506">
        <f>'R.M Billets Reports'!E1505</f>
      </c>
      <c r="I1506">
        <f>'R.M Billets Reports'!F1505</f>
      </c>
      <c r="J1506">
        <f>'R.M Billets Reports'!G1505</f>
      </c>
      <c r="K1506">
        <f>'R.M Billets Reports'!H1505</f>
      </c>
      <c r="L1506">
        <f>IF('R.M Billets Reports'!I1505="","",'R.M Billets Reports'!I1505)</f>
      </c>
      <c r="M1506">
        <f t="shared" si="46"/>
      </c>
      <c r="N1506">
        <f>IF('R.M Billets Reports'!J1505="","",'R.M Billets Reports'!J1505)</f>
      </c>
      <c r="O1506">
        <f t="shared" si="47"/>
      </c>
      <c r="P1506">
        <f>IF('R.M Billets Reports'!A1505="SIZE",'R.M Billets Reports'!B1505,P1505)</f>
      </c>
    </row>
    <row r="1507" spans="1:16" x14ac:dyDescent="0.25">
      <c r="A1507">
        <f>IF(OR('R.M Billets Reports'!A1506="Date-",'R.M Billets Reports'!A1506="Date:-"),IF(IF(IF(ISNUMBER(SEARCH("Party Name:-",'R.M Billets Reports'!D1506)),TRIM('R.M Billets Reports'!F1506),IF(ISNUMBER(SEARCH("Party Name-",'R.M Billets Reports'!D1506)),TRIM(MID('R.M Billets Reports'!D1506,SEARCH("-",'R.M Billets Reports'!D1506)+1,200)),""))&lt;&gt;"",IF(ISNUMBER(SEARCH("Party Name:-",'R.M Billets Reports'!D1506)),TRIM('R.M Billets Reports'!F1506),IF(ISNUMBER(SEARCH("Party Name-",'R.M Billets Reports'!D1506)),TRIM(MID('R.M Billets Reports'!D1506,SEARCH("-",'R.M Billets Reports'!D1506)+1,200)),"")),IF(ISNUMBER(SEARCH("Party Name:-",'R.M Billets Reports'!D1507)),TRIM('R.M Billets Reports'!F1507),IF(ISNUMBER(SEARCH("Party Name-",'R.M Billets Reports'!D1507)),TRIM(MID('R.M Billets Reports'!D1507,SEARCH("-",'R.M Billets Reports'!D1507)+1,200)),"")))="VRKP ISPAT PVT LTD","VRKP",IF(IF(IF(ISNUMBER(SEARCH("Party Name:-",'R.M Billets Reports'!D1506)),TRIM('R.M Billets Reports'!F1506),IF(ISNUMBER(SEARCH("Party Name-",'R.M Billets Reports'!D1506)),TRIM(MID('R.M Billets Reports'!D1506,SEARCH("-",'R.M Billets Reports'!D1506)+1,200)),""))&lt;&gt;"",IF(ISNUMBER(SEARCH("Party Name:-",'R.M Billets Reports'!D1506)),TRIM('R.M Billets Reports'!F1506),IF(ISNUMBER(SEARCH("Party Name-",'R.M Billets Reports'!D1506)),TRIM(MID('R.M Billets Reports'!D1506,SEARCH("-",'R.M Billets Reports'!D1506)+1,200)),"")),IF(ISNUMBER(SEARCH("Party Name:-",'R.M Billets Reports'!D1507)),TRIM('R.M Billets Reports'!F1507),IF(ISNUMBER(SEARCH("Party Name-",'R.M Billets Reports'!D1507)),TRIM(MID('R.M Billets Reports'!D1507,SEARCH("-",'R.M Billets Reports'!D1507)+1,200)),"")))="SHRI RADHE","SHREE RADHE",IF(IF(IF(ISNUMBER(SEARCH("Party Name:-",'R.M Billets Reports'!D1506)),TRIM('R.M Billets Reports'!F1506),IF(ISNUMBER(SEARCH("Party Name-",'R.M Billets Reports'!D1506)),TRIM(MID('R.M Billets Reports'!D1506,SEARCH("-",'R.M Billets Reports'!D1506)+1,200)),""))&lt;&gt;"",IF(ISNUMBER(SEARCH("Party Name:-",'R.M Billets Reports'!D1506)),TRIM('R.M Billets Reports'!F1506),IF(ISNUMBER(SEARCH("Party Name-",'R.M Billets Reports'!D1506)),TRIM(MID('R.M Billets Reports'!D1506,SEARCH("-",'R.M Billets Reports'!D1506)+1,200)),"")),IF(ISNUMBER(SEARCH("Party Name:-",'R.M Billets Reports'!D1507)),TRIM('R.M Billets Reports'!F1507),IF(ISNUMBER(SEARCH("Party Name-",'R.M Billets Reports'!D1507)),TRIM(MID('R.M Billets Reports'!D1507,SEARCH("-",'R.M Billets Reports'!D1507)+1,200)),"")))="SHREE RADHE SHAKTI SPONGE AND POWER PVT. LTD.","SHREE RADHE",IF(IF(ISNUMBER(SEARCH("Party Name:-",'R.M Billets Reports'!D1506)),TRIM('R.M Billets Reports'!F1506),IF(ISNUMBER(SEARCH("Party Name-",'R.M Billets Reports'!D1506)),TRIM(MID('R.M Billets Reports'!D1506,SEARCH("-",'R.M Billets Reports'!D1506)+1,200)),""))&lt;&gt;"",IF(ISNUMBER(SEARCH("Party Name:-",'R.M Billets Reports'!D1506)),TRIM('R.M Billets Reports'!F1506),IF(ISNUMBER(SEARCH("Party Name-",'R.M Billets Reports'!D1506)),TRIM(MID('R.M Billets Reports'!D1506,SEARCH("-",'R.M Billets Reports'!D1506)+1,200)),"")),IF(ISNUMBER(SEARCH("Party Name:-",'R.M Billets Reports'!D1507)),TRIM('R.M Billets Reports'!F1507),IF(ISNUMBER(SEARCH("Party Name-",'R.M Billets Reports'!D1507)),TRIM(MID('R.M Billets Reports'!D1507,SEARCH("-",'R.M Billets Reports'!D1507)+1,200)),"")))))),IF(ROW()=2,"",A1506))</f>
      </c>
      <c r="B1507">
        <f>IF(OR('R.M Billets Reports'!A1506="Date-",'R.M Billets Reports'!A1506="Date:-"),'R.M Billets Reports'!B1506,IF(ROW()=2,"",B1506))</f>
      </c>
      <c r="C1507">
        <f>IF('R.M Billets Reports'!A1506="V.No.",'R.M Billets Reports'!B1506,IF(ROW()=2,"",C1506))</f>
      </c>
      <c r="D1507">
        <f>IF('R.M Billets Reports'!A1506&lt;&gt;"",'R.M Billets Reports'!A1506,IF(ROW()=2,"",D1506))</f>
      </c>
      <c r="E1507">
        <f>IF('R.M Billets Reports'!B1506="","",TRIM('R.M Billets Reports'!B1506))</f>
      </c>
      <c r="F1507">
        <f>'R.M Billets Reports'!C1506</f>
      </c>
      <c r="G1507">
        <f>'R.M Billets Reports'!D1506</f>
      </c>
      <c r="H1507">
        <f>'R.M Billets Reports'!E1506</f>
      </c>
      <c r="I1507">
        <f>'R.M Billets Reports'!F1506</f>
      </c>
      <c r="J1507">
        <f>'R.M Billets Reports'!G1506</f>
      </c>
      <c r="K1507">
        <f>'R.M Billets Reports'!H1506</f>
      </c>
      <c r="L1507">
        <f>IF('R.M Billets Reports'!I1506="","",'R.M Billets Reports'!I1506)</f>
      </c>
      <c r="M1507">
        <f t="shared" si="46"/>
      </c>
      <c r="N1507">
        <f>IF('R.M Billets Reports'!J1506="","",'R.M Billets Reports'!J1506)</f>
      </c>
      <c r="O1507">
        <f t="shared" si="47"/>
      </c>
      <c r="P1507">
        <f>IF('R.M Billets Reports'!A1506="SIZE",'R.M Billets Reports'!B1506,P1506)</f>
      </c>
    </row>
    <row r="1508" spans="1:16" x14ac:dyDescent="0.25">
      <c r="A1508">
        <f>IF(OR('R.M Billets Reports'!A1507="Date-",'R.M Billets Reports'!A1507="Date:-"),IF(IF(IF(ISNUMBER(SEARCH("Party Name:-",'R.M Billets Reports'!D1507)),TRIM('R.M Billets Reports'!F1507),IF(ISNUMBER(SEARCH("Party Name-",'R.M Billets Reports'!D1507)),TRIM(MID('R.M Billets Reports'!D1507,SEARCH("-",'R.M Billets Reports'!D1507)+1,200)),""))&lt;&gt;"",IF(ISNUMBER(SEARCH("Party Name:-",'R.M Billets Reports'!D1507)),TRIM('R.M Billets Reports'!F1507),IF(ISNUMBER(SEARCH("Party Name-",'R.M Billets Reports'!D1507)),TRIM(MID('R.M Billets Reports'!D1507,SEARCH("-",'R.M Billets Reports'!D1507)+1,200)),"")),IF(ISNUMBER(SEARCH("Party Name:-",'R.M Billets Reports'!D1508)),TRIM('R.M Billets Reports'!F1508),IF(ISNUMBER(SEARCH("Party Name-",'R.M Billets Reports'!D1508)),TRIM(MID('R.M Billets Reports'!D1508,SEARCH("-",'R.M Billets Reports'!D1508)+1,200)),"")))="VRKP ISPAT PVT LTD","VRKP",IF(IF(IF(ISNUMBER(SEARCH("Party Name:-",'R.M Billets Reports'!D1507)),TRIM('R.M Billets Reports'!F1507),IF(ISNUMBER(SEARCH("Party Name-",'R.M Billets Reports'!D1507)),TRIM(MID('R.M Billets Reports'!D1507,SEARCH("-",'R.M Billets Reports'!D1507)+1,200)),""))&lt;&gt;"",IF(ISNUMBER(SEARCH("Party Name:-",'R.M Billets Reports'!D1507)),TRIM('R.M Billets Reports'!F1507),IF(ISNUMBER(SEARCH("Party Name-",'R.M Billets Reports'!D1507)),TRIM(MID('R.M Billets Reports'!D1507,SEARCH("-",'R.M Billets Reports'!D1507)+1,200)),"")),IF(ISNUMBER(SEARCH("Party Name:-",'R.M Billets Reports'!D1508)),TRIM('R.M Billets Reports'!F1508),IF(ISNUMBER(SEARCH("Party Name-",'R.M Billets Reports'!D1508)),TRIM(MID('R.M Billets Reports'!D1508,SEARCH("-",'R.M Billets Reports'!D1508)+1,200)),"")))="SHRI RADHE","SHREE RADHE",IF(IF(IF(ISNUMBER(SEARCH("Party Name:-",'R.M Billets Reports'!D1507)),TRIM('R.M Billets Reports'!F1507),IF(ISNUMBER(SEARCH("Party Name-",'R.M Billets Reports'!D1507)),TRIM(MID('R.M Billets Reports'!D1507,SEARCH("-",'R.M Billets Reports'!D1507)+1,200)),""))&lt;&gt;"",IF(ISNUMBER(SEARCH("Party Name:-",'R.M Billets Reports'!D1507)),TRIM('R.M Billets Reports'!F1507),IF(ISNUMBER(SEARCH("Party Name-",'R.M Billets Reports'!D1507)),TRIM(MID('R.M Billets Reports'!D1507,SEARCH("-",'R.M Billets Reports'!D1507)+1,200)),"")),IF(ISNUMBER(SEARCH("Party Name:-",'R.M Billets Reports'!D1508)),TRIM('R.M Billets Reports'!F1508),IF(ISNUMBER(SEARCH("Party Name-",'R.M Billets Reports'!D1508)),TRIM(MID('R.M Billets Reports'!D1508,SEARCH("-",'R.M Billets Reports'!D1508)+1,200)),"")))="SHREE RADHE SHAKTI SPONGE AND POWER PVT. LTD.","SHREE RADHE",IF(IF(ISNUMBER(SEARCH("Party Name:-",'R.M Billets Reports'!D1507)),TRIM('R.M Billets Reports'!F1507),IF(ISNUMBER(SEARCH("Party Name-",'R.M Billets Reports'!D1507)),TRIM(MID('R.M Billets Reports'!D1507,SEARCH("-",'R.M Billets Reports'!D1507)+1,200)),""))&lt;&gt;"",IF(ISNUMBER(SEARCH("Party Name:-",'R.M Billets Reports'!D1507)),TRIM('R.M Billets Reports'!F1507),IF(ISNUMBER(SEARCH("Party Name-",'R.M Billets Reports'!D1507)),TRIM(MID('R.M Billets Reports'!D1507,SEARCH("-",'R.M Billets Reports'!D1507)+1,200)),"")),IF(ISNUMBER(SEARCH("Party Name:-",'R.M Billets Reports'!D1508)),TRIM('R.M Billets Reports'!F1508),IF(ISNUMBER(SEARCH("Party Name-",'R.M Billets Reports'!D1508)),TRIM(MID('R.M Billets Reports'!D1508,SEARCH("-",'R.M Billets Reports'!D1508)+1,200)),"")))))),IF(ROW()=2,"",A1507))</f>
      </c>
      <c r="B1508">
        <f>IF(OR('R.M Billets Reports'!A1507="Date-",'R.M Billets Reports'!A1507="Date:-"),'R.M Billets Reports'!B1507,IF(ROW()=2,"",B1507))</f>
      </c>
      <c r="C1508">
        <f>IF('R.M Billets Reports'!A1507="V.No.",'R.M Billets Reports'!B1507,IF(ROW()=2,"",C1507))</f>
      </c>
      <c r="D1508">
        <f>IF('R.M Billets Reports'!A1507&lt;&gt;"",'R.M Billets Reports'!A1507,IF(ROW()=2,"",D1507))</f>
      </c>
      <c r="E1508">
        <f>IF('R.M Billets Reports'!B1507="","",TRIM('R.M Billets Reports'!B1507))</f>
      </c>
      <c r="F1508">
        <f>'R.M Billets Reports'!C1507</f>
      </c>
      <c r="G1508">
        <f>'R.M Billets Reports'!D1507</f>
      </c>
      <c r="H1508">
        <f>'R.M Billets Reports'!E1507</f>
      </c>
      <c r="I1508">
        <f>'R.M Billets Reports'!F1507</f>
      </c>
      <c r="J1508">
        <f>'R.M Billets Reports'!G1507</f>
      </c>
      <c r="K1508">
        <f>'R.M Billets Reports'!H1507</f>
      </c>
      <c r="L1508">
        <f>IF('R.M Billets Reports'!I1507="","",'R.M Billets Reports'!I1507)</f>
      </c>
      <c r="M1508">
        <f t="shared" si="46"/>
      </c>
      <c r="N1508">
        <f>IF('R.M Billets Reports'!J1507="","",'R.M Billets Reports'!J1507)</f>
      </c>
      <c r="O1508">
        <f t="shared" si="47"/>
      </c>
      <c r="P1508">
        <f>IF('R.M Billets Reports'!A1507="SIZE",'R.M Billets Reports'!B1507,P1507)</f>
      </c>
    </row>
    <row r="1509" spans="1:16" x14ac:dyDescent="0.25">
      <c r="A1509">
        <f>IF(OR('R.M Billets Reports'!A1508="Date-",'R.M Billets Reports'!A1508="Date:-"),IF(IF(IF(ISNUMBER(SEARCH("Party Name:-",'R.M Billets Reports'!D1508)),TRIM('R.M Billets Reports'!F1508),IF(ISNUMBER(SEARCH("Party Name-",'R.M Billets Reports'!D1508)),TRIM(MID('R.M Billets Reports'!D1508,SEARCH("-",'R.M Billets Reports'!D1508)+1,200)),""))&lt;&gt;"",IF(ISNUMBER(SEARCH("Party Name:-",'R.M Billets Reports'!D1508)),TRIM('R.M Billets Reports'!F1508),IF(ISNUMBER(SEARCH("Party Name-",'R.M Billets Reports'!D1508)),TRIM(MID('R.M Billets Reports'!D1508,SEARCH("-",'R.M Billets Reports'!D1508)+1,200)),"")),IF(ISNUMBER(SEARCH("Party Name:-",'R.M Billets Reports'!D1509)),TRIM('R.M Billets Reports'!F1509),IF(ISNUMBER(SEARCH("Party Name-",'R.M Billets Reports'!D1509)),TRIM(MID('R.M Billets Reports'!D1509,SEARCH("-",'R.M Billets Reports'!D1509)+1,200)),"")))="VRKP ISPAT PVT LTD","VRKP",IF(IF(IF(ISNUMBER(SEARCH("Party Name:-",'R.M Billets Reports'!D1508)),TRIM('R.M Billets Reports'!F1508),IF(ISNUMBER(SEARCH("Party Name-",'R.M Billets Reports'!D1508)),TRIM(MID('R.M Billets Reports'!D1508,SEARCH("-",'R.M Billets Reports'!D1508)+1,200)),""))&lt;&gt;"",IF(ISNUMBER(SEARCH("Party Name:-",'R.M Billets Reports'!D1508)),TRIM('R.M Billets Reports'!F1508),IF(ISNUMBER(SEARCH("Party Name-",'R.M Billets Reports'!D1508)),TRIM(MID('R.M Billets Reports'!D1508,SEARCH("-",'R.M Billets Reports'!D1508)+1,200)),"")),IF(ISNUMBER(SEARCH("Party Name:-",'R.M Billets Reports'!D1509)),TRIM('R.M Billets Reports'!F1509),IF(ISNUMBER(SEARCH("Party Name-",'R.M Billets Reports'!D1509)),TRIM(MID('R.M Billets Reports'!D1509,SEARCH("-",'R.M Billets Reports'!D1509)+1,200)),"")))="SHRI RADHE","SHREE RADHE",IF(IF(IF(ISNUMBER(SEARCH("Party Name:-",'R.M Billets Reports'!D1508)),TRIM('R.M Billets Reports'!F1508),IF(ISNUMBER(SEARCH("Party Name-",'R.M Billets Reports'!D1508)),TRIM(MID('R.M Billets Reports'!D1508,SEARCH("-",'R.M Billets Reports'!D1508)+1,200)),""))&lt;&gt;"",IF(ISNUMBER(SEARCH("Party Name:-",'R.M Billets Reports'!D1508)),TRIM('R.M Billets Reports'!F1508),IF(ISNUMBER(SEARCH("Party Name-",'R.M Billets Reports'!D1508)),TRIM(MID('R.M Billets Reports'!D1508,SEARCH("-",'R.M Billets Reports'!D1508)+1,200)),"")),IF(ISNUMBER(SEARCH("Party Name:-",'R.M Billets Reports'!D1509)),TRIM('R.M Billets Reports'!F1509),IF(ISNUMBER(SEARCH("Party Name-",'R.M Billets Reports'!D1509)),TRIM(MID('R.M Billets Reports'!D1509,SEARCH("-",'R.M Billets Reports'!D1509)+1,200)),"")))="SHREE RADHE SHAKTI SPONGE AND POWER PVT. LTD.","SHREE RADHE",IF(IF(ISNUMBER(SEARCH("Party Name:-",'R.M Billets Reports'!D1508)),TRIM('R.M Billets Reports'!F1508),IF(ISNUMBER(SEARCH("Party Name-",'R.M Billets Reports'!D1508)),TRIM(MID('R.M Billets Reports'!D1508,SEARCH("-",'R.M Billets Reports'!D1508)+1,200)),""))&lt;&gt;"",IF(ISNUMBER(SEARCH("Party Name:-",'R.M Billets Reports'!D1508)),TRIM('R.M Billets Reports'!F1508),IF(ISNUMBER(SEARCH("Party Name-",'R.M Billets Reports'!D1508)),TRIM(MID('R.M Billets Reports'!D1508,SEARCH("-",'R.M Billets Reports'!D1508)+1,200)),"")),IF(ISNUMBER(SEARCH("Party Name:-",'R.M Billets Reports'!D1509)),TRIM('R.M Billets Reports'!F1509),IF(ISNUMBER(SEARCH("Party Name-",'R.M Billets Reports'!D1509)),TRIM(MID('R.M Billets Reports'!D1509,SEARCH("-",'R.M Billets Reports'!D1509)+1,200)),"")))))),IF(ROW()=2,"",A1508))</f>
      </c>
      <c r="B1509">
        <f>IF(OR('R.M Billets Reports'!A1508="Date-",'R.M Billets Reports'!A1508="Date:-"),'R.M Billets Reports'!B1508,IF(ROW()=2,"",B1508))</f>
      </c>
      <c r="C1509">
        <f>IF('R.M Billets Reports'!A1508="V.No.",'R.M Billets Reports'!B1508,IF(ROW()=2,"",C1508))</f>
      </c>
      <c r="D1509">
        <f>IF('R.M Billets Reports'!A1508&lt;&gt;"",'R.M Billets Reports'!A1508,IF(ROW()=2,"",D1508))</f>
      </c>
      <c r="E1509">
        <f>IF('R.M Billets Reports'!B1508="","",TRIM('R.M Billets Reports'!B1508))</f>
      </c>
      <c r="F1509">
        <f>'R.M Billets Reports'!C1508</f>
      </c>
      <c r="G1509">
        <f>'R.M Billets Reports'!D1508</f>
      </c>
      <c r="H1509">
        <f>'R.M Billets Reports'!E1508</f>
      </c>
      <c r="I1509">
        <f>'R.M Billets Reports'!F1508</f>
      </c>
      <c r="J1509">
        <f>'R.M Billets Reports'!G1508</f>
      </c>
      <c r="K1509">
        <f>'R.M Billets Reports'!H1508</f>
      </c>
      <c r="L1509">
        <f>IF('R.M Billets Reports'!I1508="","",'R.M Billets Reports'!I1508)</f>
      </c>
      <c r="M1509">
        <f t="shared" si="46"/>
      </c>
      <c r="N1509">
        <f>IF('R.M Billets Reports'!J1508="","",'R.M Billets Reports'!J1508)</f>
      </c>
      <c r="O1509">
        <f t="shared" si="47"/>
      </c>
      <c r="P1509">
        <f>IF('R.M Billets Reports'!A1508="SIZE",'R.M Billets Reports'!B1508,P1508)</f>
      </c>
    </row>
    <row r="1510" spans="1:16" x14ac:dyDescent="0.25">
      <c r="A1510">
        <f>IF(OR('R.M Billets Reports'!A1509="Date-",'R.M Billets Reports'!A1509="Date:-"),IF(IF(IF(ISNUMBER(SEARCH("Party Name:-",'R.M Billets Reports'!D1509)),TRIM('R.M Billets Reports'!F1509),IF(ISNUMBER(SEARCH("Party Name-",'R.M Billets Reports'!D1509)),TRIM(MID('R.M Billets Reports'!D1509,SEARCH("-",'R.M Billets Reports'!D1509)+1,200)),""))&lt;&gt;"",IF(ISNUMBER(SEARCH("Party Name:-",'R.M Billets Reports'!D1509)),TRIM('R.M Billets Reports'!F1509),IF(ISNUMBER(SEARCH("Party Name-",'R.M Billets Reports'!D1509)),TRIM(MID('R.M Billets Reports'!D1509,SEARCH("-",'R.M Billets Reports'!D1509)+1,200)),"")),IF(ISNUMBER(SEARCH("Party Name:-",'R.M Billets Reports'!D1510)),TRIM('R.M Billets Reports'!F1510),IF(ISNUMBER(SEARCH("Party Name-",'R.M Billets Reports'!D1510)),TRIM(MID('R.M Billets Reports'!D1510,SEARCH("-",'R.M Billets Reports'!D1510)+1,200)),"")))="VRKP ISPAT PVT LTD","VRKP",IF(IF(IF(ISNUMBER(SEARCH("Party Name:-",'R.M Billets Reports'!D1509)),TRIM('R.M Billets Reports'!F1509),IF(ISNUMBER(SEARCH("Party Name-",'R.M Billets Reports'!D1509)),TRIM(MID('R.M Billets Reports'!D1509,SEARCH("-",'R.M Billets Reports'!D1509)+1,200)),""))&lt;&gt;"",IF(ISNUMBER(SEARCH("Party Name:-",'R.M Billets Reports'!D1509)),TRIM('R.M Billets Reports'!F1509),IF(ISNUMBER(SEARCH("Party Name-",'R.M Billets Reports'!D1509)),TRIM(MID('R.M Billets Reports'!D1509,SEARCH("-",'R.M Billets Reports'!D1509)+1,200)),"")),IF(ISNUMBER(SEARCH("Party Name:-",'R.M Billets Reports'!D1510)),TRIM('R.M Billets Reports'!F1510),IF(ISNUMBER(SEARCH("Party Name-",'R.M Billets Reports'!D1510)),TRIM(MID('R.M Billets Reports'!D1510,SEARCH("-",'R.M Billets Reports'!D1510)+1,200)),"")))="SHRI RADHE","SHREE RADHE",IF(IF(IF(ISNUMBER(SEARCH("Party Name:-",'R.M Billets Reports'!D1509)),TRIM('R.M Billets Reports'!F1509),IF(ISNUMBER(SEARCH("Party Name-",'R.M Billets Reports'!D1509)),TRIM(MID('R.M Billets Reports'!D1509,SEARCH("-",'R.M Billets Reports'!D1509)+1,200)),""))&lt;&gt;"",IF(ISNUMBER(SEARCH("Party Name:-",'R.M Billets Reports'!D1509)),TRIM('R.M Billets Reports'!F1509),IF(ISNUMBER(SEARCH("Party Name-",'R.M Billets Reports'!D1509)),TRIM(MID('R.M Billets Reports'!D1509,SEARCH("-",'R.M Billets Reports'!D1509)+1,200)),"")),IF(ISNUMBER(SEARCH("Party Name:-",'R.M Billets Reports'!D1510)),TRIM('R.M Billets Reports'!F1510),IF(ISNUMBER(SEARCH("Party Name-",'R.M Billets Reports'!D1510)),TRIM(MID('R.M Billets Reports'!D1510,SEARCH("-",'R.M Billets Reports'!D1510)+1,200)),"")))="SHREE RADHE SHAKTI SPONGE AND POWER PVT. LTD.","SHREE RADHE",IF(IF(ISNUMBER(SEARCH("Party Name:-",'R.M Billets Reports'!D1509)),TRIM('R.M Billets Reports'!F1509),IF(ISNUMBER(SEARCH("Party Name-",'R.M Billets Reports'!D1509)),TRIM(MID('R.M Billets Reports'!D1509,SEARCH("-",'R.M Billets Reports'!D1509)+1,200)),""))&lt;&gt;"",IF(ISNUMBER(SEARCH("Party Name:-",'R.M Billets Reports'!D1509)),TRIM('R.M Billets Reports'!F1509),IF(ISNUMBER(SEARCH("Party Name-",'R.M Billets Reports'!D1509)),TRIM(MID('R.M Billets Reports'!D1509,SEARCH("-",'R.M Billets Reports'!D1509)+1,200)),"")),IF(ISNUMBER(SEARCH("Party Name:-",'R.M Billets Reports'!D1510)),TRIM('R.M Billets Reports'!F1510),IF(ISNUMBER(SEARCH("Party Name-",'R.M Billets Reports'!D1510)),TRIM(MID('R.M Billets Reports'!D1510,SEARCH("-",'R.M Billets Reports'!D1510)+1,200)),"")))))),IF(ROW()=2,"",A1509))</f>
      </c>
      <c r="B1510">
        <f>IF(OR('R.M Billets Reports'!A1509="Date-",'R.M Billets Reports'!A1509="Date:-"),'R.M Billets Reports'!B1509,IF(ROW()=2,"",B1509))</f>
      </c>
      <c r="C1510">
        <f>IF('R.M Billets Reports'!A1509="V.No.",'R.M Billets Reports'!B1509,IF(ROW()=2,"",C1509))</f>
      </c>
      <c r="D1510">
        <f>IF('R.M Billets Reports'!A1509&lt;&gt;"",'R.M Billets Reports'!A1509,IF(ROW()=2,"",D1509))</f>
      </c>
      <c r="E1510">
        <f>IF('R.M Billets Reports'!B1509="","",TRIM('R.M Billets Reports'!B1509))</f>
      </c>
      <c r="F1510">
        <f>'R.M Billets Reports'!C1509</f>
      </c>
      <c r="G1510">
        <f>'R.M Billets Reports'!D1509</f>
      </c>
      <c r="H1510">
        <f>'R.M Billets Reports'!E1509</f>
      </c>
      <c r="I1510">
        <f>'R.M Billets Reports'!F1509</f>
      </c>
      <c r="J1510">
        <f>'R.M Billets Reports'!G1509</f>
      </c>
      <c r="K1510">
        <f>'R.M Billets Reports'!H1509</f>
      </c>
      <c r="L1510">
        <f>IF('R.M Billets Reports'!I1509="","",'R.M Billets Reports'!I1509)</f>
      </c>
      <c r="M1510">
        <f t="shared" si="46"/>
      </c>
      <c r="N1510">
        <f>IF('R.M Billets Reports'!J1509="","",'R.M Billets Reports'!J1509)</f>
      </c>
      <c r="O1510">
        <f t="shared" si="47"/>
      </c>
      <c r="P1510">
        <f>IF('R.M Billets Reports'!A1509="SIZE",'R.M Billets Reports'!B1509,P1509)</f>
      </c>
    </row>
    <row r="1511" spans="1:16" x14ac:dyDescent="0.25">
      <c r="A1511">
        <f>IF(OR('R.M Billets Reports'!A1510="Date-",'R.M Billets Reports'!A1510="Date:-"),IF(IF(IF(ISNUMBER(SEARCH("Party Name:-",'R.M Billets Reports'!D1510)),TRIM('R.M Billets Reports'!F1510),IF(ISNUMBER(SEARCH("Party Name-",'R.M Billets Reports'!D1510)),TRIM(MID('R.M Billets Reports'!D1510,SEARCH("-",'R.M Billets Reports'!D1510)+1,200)),""))&lt;&gt;"",IF(ISNUMBER(SEARCH("Party Name:-",'R.M Billets Reports'!D1510)),TRIM('R.M Billets Reports'!F1510),IF(ISNUMBER(SEARCH("Party Name-",'R.M Billets Reports'!D1510)),TRIM(MID('R.M Billets Reports'!D1510,SEARCH("-",'R.M Billets Reports'!D1510)+1,200)),"")),IF(ISNUMBER(SEARCH("Party Name:-",'R.M Billets Reports'!D1511)),TRIM('R.M Billets Reports'!F1511),IF(ISNUMBER(SEARCH("Party Name-",'R.M Billets Reports'!D1511)),TRIM(MID('R.M Billets Reports'!D1511,SEARCH("-",'R.M Billets Reports'!D1511)+1,200)),"")))="VRKP ISPAT PVT LTD","VRKP",IF(IF(IF(ISNUMBER(SEARCH("Party Name:-",'R.M Billets Reports'!D1510)),TRIM('R.M Billets Reports'!F1510),IF(ISNUMBER(SEARCH("Party Name-",'R.M Billets Reports'!D1510)),TRIM(MID('R.M Billets Reports'!D1510,SEARCH("-",'R.M Billets Reports'!D1510)+1,200)),""))&lt;&gt;"",IF(ISNUMBER(SEARCH("Party Name:-",'R.M Billets Reports'!D1510)),TRIM('R.M Billets Reports'!F1510),IF(ISNUMBER(SEARCH("Party Name-",'R.M Billets Reports'!D1510)),TRIM(MID('R.M Billets Reports'!D1510,SEARCH("-",'R.M Billets Reports'!D1510)+1,200)),"")),IF(ISNUMBER(SEARCH("Party Name:-",'R.M Billets Reports'!D1511)),TRIM('R.M Billets Reports'!F1511),IF(ISNUMBER(SEARCH("Party Name-",'R.M Billets Reports'!D1511)),TRIM(MID('R.M Billets Reports'!D1511,SEARCH("-",'R.M Billets Reports'!D1511)+1,200)),"")))="SHRI RADHE","SHREE RADHE",IF(IF(IF(ISNUMBER(SEARCH("Party Name:-",'R.M Billets Reports'!D1510)),TRIM('R.M Billets Reports'!F1510),IF(ISNUMBER(SEARCH("Party Name-",'R.M Billets Reports'!D1510)),TRIM(MID('R.M Billets Reports'!D1510,SEARCH("-",'R.M Billets Reports'!D1510)+1,200)),""))&lt;&gt;"",IF(ISNUMBER(SEARCH("Party Name:-",'R.M Billets Reports'!D1510)),TRIM('R.M Billets Reports'!F1510),IF(ISNUMBER(SEARCH("Party Name-",'R.M Billets Reports'!D1510)),TRIM(MID('R.M Billets Reports'!D1510,SEARCH("-",'R.M Billets Reports'!D1510)+1,200)),"")),IF(ISNUMBER(SEARCH("Party Name:-",'R.M Billets Reports'!D1511)),TRIM('R.M Billets Reports'!F1511),IF(ISNUMBER(SEARCH("Party Name-",'R.M Billets Reports'!D1511)),TRIM(MID('R.M Billets Reports'!D1511,SEARCH("-",'R.M Billets Reports'!D1511)+1,200)),"")))="SHREE RADHE SHAKTI SPONGE AND POWER PVT. LTD.","SHREE RADHE",IF(IF(ISNUMBER(SEARCH("Party Name:-",'R.M Billets Reports'!D1510)),TRIM('R.M Billets Reports'!F1510),IF(ISNUMBER(SEARCH("Party Name-",'R.M Billets Reports'!D1510)),TRIM(MID('R.M Billets Reports'!D1510,SEARCH("-",'R.M Billets Reports'!D1510)+1,200)),""))&lt;&gt;"",IF(ISNUMBER(SEARCH("Party Name:-",'R.M Billets Reports'!D1510)),TRIM('R.M Billets Reports'!F1510),IF(ISNUMBER(SEARCH("Party Name-",'R.M Billets Reports'!D1510)),TRIM(MID('R.M Billets Reports'!D1510,SEARCH("-",'R.M Billets Reports'!D1510)+1,200)),"")),IF(ISNUMBER(SEARCH("Party Name:-",'R.M Billets Reports'!D1511)),TRIM('R.M Billets Reports'!F1511),IF(ISNUMBER(SEARCH("Party Name-",'R.M Billets Reports'!D1511)),TRIM(MID('R.M Billets Reports'!D1511,SEARCH("-",'R.M Billets Reports'!D1511)+1,200)),"")))))),IF(ROW()=2,"",A1510))</f>
      </c>
      <c r="B1511">
        <f>IF(OR('R.M Billets Reports'!A1510="Date-",'R.M Billets Reports'!A1510="Date:-"),'R.M Billets Reports'!B1510,IF(ROW()=2,"",B1510))</f>
      </c>
      <c r="C1511">
        <f>IF('R.M Billets Reports'!A1510="V.No.",'R.M Billets Reports'!B1510,IF(ROW()=2,"",C1510))</f>
      </c>
      <c r="D1511">
        <f>IF('R.M Billets Reports'!A1510&lt;&gt;"",'R.M Billets Reports'!A1510,IF(ROW()=2,"",D1510))</f>
      </c>
      <c r="E1511">
        <f>IF('R.M Billets Reports'!B1510="","",TRIM('R.M Billets Reports'!B1510))</f>
      </c>
      <c r="F1511">
        <f>'R.M Billets Reports'!C1510</f>
      </c>
      <c r="G1511">
        <f>'R.M Billets Reports'!D1510</f>
      </c>
      <c r="H1511">
        <f>'R.M Billets Reports'!E1510</f>
      </c>
      <c r="I1511">
        <f>'R.M Billets Reports'!F1510</f>
      </c>
      <c r="J1511">
        <f>'R.M Billets Reports'!G1510</f>
      </c>
      <c r="K1511">
        <f>'R.M Billets Reports'!H1510</f>
      </c>
      <c r="L1511">
        <f>IF('R.M Billets Reports'!I1510="","",'R.M Billets Reports'!I1510)</f>
      </c>
      <c r="M1511">
        <f t="shared" si="46"/>
      </c>
      <c r="N1511">
        <f>IF('R.M Billets Reports'!J1510="","",'R.M Billets Reports'!J1510)</f>
      </c>
      <c r="O1511">
        <f t="shared" si="47"/>
      </c>
      <c r="P1511">
        <f>IF('R.M Billets Reports'!A1510="SIZE",'R.M Billets Reports'!B1510,P1510)</f>
      </c>
    </row>
    <row r="1512" spans="1:16" x14ac:dyDescent="0.25">
      <c r="A1512">
        <f>IF(OR('R.M Billets Reports'!A1511="Date-",'R.M Billets Reports'!A1511="Date:-"),IF(IF(IF(ISNUMBER(SEARCH("Party Name:-",'R.M Billets Reports'!D1511)),TRIM('R.M Billets Reports'!F1511),IF(ISNUMBER(SEARCH("Party Name-",'R.M Billets Reports'!D1511)),TRIM(MID('R.M Billets Reports'!D1511,SEARCH("-",'R.M Billets Reports'!D1511)+1,200)),""))&lt;&gt;"",IF(ISNUMBER(SEARCH("Party Name:-",'R.M Billets Reports'!D1511)),TRIM('R.M Billets Reports'!F1511),IF(ISNUMBER(SEARCH("Party Name-",'R.M Billets Reports'!D1511)),TRIM(MID('R.M Billets Reports'!D1511,SEARCH("-",'R.M Billets Reports'!D1511)+1,200)),"")),IF(ISNUMBER(SEARCH("Party Name:-",'R.M Billets Reports'!D1512)),TRIM('R.M Billets Reports'!F1512),IF(ISNUMBER(SEARCH("Party Name-",'R.M Billets Reports'!D1512)),TRIM(MID('R.M Billets Reports'!D1512,SEARCH("-",'R.M Billets Reports'!D1512)+1,200)),"")))="VRKP ISPAT PVT LTD","VRKP",IF(IF(IF(ISNUMBER(SEARCH("Party Name:-",'R.M Billets Reports'!D1511)),TRIM('R.M Billets Reports'!F1511),IF(ISNUMBER(SEARCH("Party Name-",'R.M Billets Reports'!D1511)),TRIM(MID('R.M Billets Reports'!D1511,SEARCH("-",'R.M Billets Reports'!D1511)+1,200)),""))&lt;&gt;"",IF(ISNUMBER(SEARCH("Party Name:-",'R.M Billets Reports'!D1511)),TRIM('R.M Billets Reports'!F1511),IF(ISNUMBER(SEARCH("Party Name-",'R.M Billets Reports'!D1511)),TRIM(MID('R.M Billets Reports'!D1511,SEARCH("-",'R.M Billets Reports'!D1511)+1,200)),"")),IF(ISNUMBER(SEARCH("Party Name:-",'R.M Billets Reports'!D1512)),TRIM('R.M Billets Reports'!F1512),IF(ISNUMBER(SEARCH("Party Name-",'R.M Billets Reports'!D1512)),TRIM(MID('R.M Billets Reports'!D1512,SEARCH("-",'R.M Billets Reports'!D1512)+1,200)),"")))="SHRI RADHE","SHREE RADHE",IF(IF(IF(ISNUMBER(SEARCH("Party Name:-",'R.M Billets Reports'!D1511)),TRIM('R.M Billets Reports'!F1511),IF(ISNUMBER(SEARCH("Party Name-",'R.M Billets Reports'!D1511)),TRIM(MID('R.M Billets Reports'!D1511,SEARCH("-",'R.M Billets Reports'!D1511)+1,200)),""))&lt;&gt;"",IF(ISNUMBER(SEARCH("Party Name:-",'R.M Billets Reports'!D1511)),TRIM('R.M Billets Reports'!F1511),IF(ISNUMBER(SEARCH("Party Name-",'R.M Billets Reports'!D1511)),TRIM(MID('R.M Billets Reports'!D1511,SEARCH("-",'R.M Billets Reports'!D1511)+1,200)),"")),IF(ISNUMBER(SEARCH("Party Name:-",'R.M Billets Reports'!D1512)),TRIM('R.M Billets Reports'!F1512),IF(ISNUMBER(SEARCH("Party Name-",'R.M Billets Reports'!D1512)),TRIM(MID('R.M Billets Reports'!D1512,SEARCH("-",'R.M Billets Reports'!D1512)+1,200)),"")))="SHREE RADHE SHAKTI SPONGE AND POWER PVT. LTD.","SHREE RADHE",IF(IF(ISNUMBER(SEARCH("Party Name:-",'R.M Billets Reports'!D1511)),TRIM('R.M Billets Reports'!F1511),IF(ISNUMBER(SEARCH("Party Name-",'R.M Billets Reports'!D1511)),TRIM(MID('R.M Billets Reports'!D1511,SEARCH("-",'R.M Billets Reports'!D1511)+1,200)),""))&lt;&gt;"",IF(ISNUMBER(SEARCH("Party Name:-",'R.M Billets Reports'!D1511)),TRIM('R.M Billets Reports'!F1511),IF(ISNUMBER(SEARCH("Party Name-",'R.M Billets Reports'!D1511)),TRIM(MID('R.M Billets Reports'!D1511,SEARCH("-",'R.M Billets Reports'!D1511)+1,200)),"")),IF(ISNUMBER(SEARCH("Party Name:-",'R.M Billets Reports'!D1512)),TRIM('R.M Billets Reports'!F1512),IF(ISNUMBER(SEARCH("Party Name-",'R.M Billets Reports'!D1512)),TRIM(MID('R.M Billets Reports'!D1512,SEARCH("-",'R.M Billets Reports'!D1512)+1,200)),"")))))),IF(ROW()=2,"",A1511))</f>
      </c>
      <c r="B1512">
        <f>IF(OR('R.M Billets Reports'!A1511="Date-",'R.M Billets Reports'!A1511="Date:-"),'R.M Billets Reports'!B1511,IF(ROW()=2,"",B1511))</f>
      </c>
      <c r="C1512">
        <f>IF('R.M Billets Reports'!A1511="V.No.",'R.M Billets Reports'!B1511,IF(ROW()=2,"",C1511))</f>
      </c>
      <c r="D1512">
        <f>IF('R.M Billets Reports'!A1511&lt;&gt;"",'R.M Billets Reports'!A1511,IF(ROW()=2,"",D1511))</f>
      </c>
      <c r="E1512">
        <f>IF('R.M Billets Reports'!B1511="","",TRIM('R.M Billets Reports'!B1511))</f>
      </c>
      <c r="F1512">
        <f>'R.M Billets Reports'!C1511</f>
      </c>
      <c r="G1512">
        <f>'R.M Billets Reports'!D1511</f>
      </c>
      <c r="H1512">
        <f>'R.M Billets Reports'!E1511</f>
      </c>
      <c r="I1512">
        <f>'R.M Billets Reports'!F1511</f>
      </c>
      <c r="J1512">
        <f>'R.M Billets Reports'!G1511</f>
      </c>
      <c r="K1512">
        <f>'R.M Billets Reports'!H1511</f>
      </c>
      <c r="L1512">
        <f>IF('R.M Billets Reports'!I1511="","",'R.M Billets Reports'!I1511)</f>
      </c>
      <c r="M1512">
        <f t="shared" si="46"/>
      </c>
      <c r="N1512">
        <f>IF('R.M Billets Reports'!J1511="","",'R.M Billets Reports'!J1511)</f>
      </c>
      <c r="O1512">
        <f t="shared" si="47"/>
      </c>
      <c r="P1512">
        <f>IF('R.M Billets Reports'!A1511="SIZE",'R.M Billets Reports'!B1511,P1511)</f>
      </c>
    </row>
    <row r="1513" spans="1:16" x14ac:dyDescent="0.25">
      <c r="A1513">
        <f>IF(OR('R.M Billets Reports'!A1512="Date-",'R.M Billets Reports'!A1512="Date:-"),IF(IF(IF(ISNUMBER(SEARCH("Party Name:-",'R.M Billets Reports'!D1512)),TRIM('R.M Billets Reports'!F1512),IF(ISNUMBER(SEARCH("Party Name-",'R.M Billets Reports'!D1512)),TRIM(MID('R.M Billets Reports'!D1512,SEARCH("-",'R.M Billets Reports'!D1512)+1,200)),""))&lt;&gt;"",IF(ISNUMBER(SEARCH("Party Name:-",'R.M Billets Reports'!D1512)),TRIM('R.M Billets Reports'!F1512),IF(ISNUMBER(SEARCH("Party Name-",'R.M Billets Reports'!D1512)),TRIM(MID('R.M Billets Reports'!D1512,SEARCH("-",'R.M Billets Reports'!D1512)+1,200)),"")),IF(ISNUMBER(SEARCH("Party Name:-",'R.M Billets Reports'!D1513)),TRIM('R.M Billets Reports'!F1513),IF(ISNUMBER(SEARCH("Party Name-",'R.M Billets Reports'!D1513)),TRIM(MID('R.M Billets Reports'!D1513,SEARCH("-",'R.M Billets Reports'!D1513)+1,200)),"")))="VRKP ISPAT PVT LTD","VRKP",IF(IF(IF(ISNUMBER(SEARCH("Party Name:-",'R.M Billets Reports'!D1512)),TRIM('R.M Billets Reports'!F1512),IF(ISNUMBER(SEARCH("Party Name-",'R.M Billets Reports'!D1512)),TRIM(MID('R.M Billets Reports'!D1512,SEARCH("-",'R.M Billets Reports'!D1512)+1,200)),""))&lt;&gt;"",IF(ISNUMBER(SEARCH("Party Name:-",'R.M Billets Reports'!D1512)),TRIM('R.M Billets Reports'!F1512),IF(ISNUMBER(SEARCH("Party Name-",'R.M Billets Reports'!D1512)),TRIM(MID('R.M Billets Reports'!D1512,SEARCH("-",'R.M Billets Reports'!D1512)+1,200)),"")),IF(ISNUMBER(SEARCH("Party Name:-",'R.M Billets Reports'!D1513)),TRIM('R.M Billets Reports'!F1513),IF(ISNUMBER(SEARCH("Party Name-",'R.M Billets Reports'!D1513)),TRIM(MID('R.M Billets Reports'!D1513,SEARCH("-",'R.M Billets Reports'!D1513)+1,200)),"")))="SHRI RADHE","SHREE RADHE",IF(IF(IF(ISNUMBER(SEARCH("Party Name:-",'R.M Billets Reports'!D1512)),TRIM('R.M Billets Reports'!F1512),IF(ISNUMBER(SEARCH("Party Name-",'R.M Billets Reports'!D1512)),TRIM(MID('R.M Billets Reports'!D1512,SEARCH("-",'R.M Billets Reports'!D1512)+1,200)),""))&lt;&gt;"",IF(ISNUMBER(SEARCH("Party Name:-",'R.M Billets Reports'!D1512)),TRIM('R.M Billets Reports'!F1512),IF(ISNUMBER(SEARCH("Party Name-",'R.M Billets Reports'!D1512)),TRIM(MID('R.M Billets Reports'!D1512,SEARCH("-",'R.M Billets Reports'!D1512)+1,200)),"")),IF(ISNUMBER(SEARCH("Party Name:-",'R.M Billets Reports'!D1513)),TRIM('R.M Billets Reports'!F1513),IF(ISNUMBER(SEARCH("Party Name-",'R.M Billets Reports'!D1513)),TRIM(MID('R.M Billets Reports'!D1513,SEARCH("-",'R.M Billets Reports'!D1513)+1,200)),"")))="SHREE RADHE SHAKTI SPONGE AND POWER PVT. LTD.","SHREE RADHE",IF(IF(ISNUMBER(SEARCH("Party Name:-",'R.M Billets Reports'!D1512)),TRIM('R.M Billets Reports'!F1512),IF(ISNUMBER(SEARCH("Party Name-",'R.M Billets Reports'!D1512)),TRIM(MID('R.M Billets Reports'!D1512,SEARCH("-",'R.M Billets Reports'!D1512)+1,200)),""))&lt;&gt;"",IF(ISNUMBER(SEARCH("Party Name:-",'R.M Billets Reports'!D1512)),TRIM('R.M Billets Reports'!F1512),IF(ISNUMBER(SEARCH("Party Name-",'R.M Billets Reports'!D1512)),TRIM(MID('R.M Billets Reports'!D1512,SEARCH("-",'R.M Billets Reports'!D1512)+1,200)),"")),IF(ISNUMBER(SEARCH("Party Name:-",'R.M Billets Reports'!D1513)),TRIM('R.M Billets Reports'!F1513),IF(ISNUMBER(SEARCH("Party Name-",'R.M Billets Reports'!D1513)),TRIM(MID('R.M Billets Reports'!D1513,SEARCH("-",'R.M Billets Reports'!D1513)+1,200)),"")))))),IF(ROW()=2,"",A1512))</f>
      </c>
      <c r="B1513">
        <f>IF(OR('R.M Billets Reports'!A1512="Date-",'R.M Billets Reports'!A1512="Date:-"),'R.M Billets Reports'!B1512,IF(ROW()=2,"",B1512))</f>
      </c>
      <c r="C1513">
        <f>IF('R.M Billets Reports'!A1512="V.No.",'R.M Billets Reports'!B1512,IF(ROW()=2,"",C1512))</f>
      </c>
      <c r="D1513">
        <f>IF('R.M Billets Reports'!A1512&lt;&gt;"",'R.M Billets Reports'!A1512,IF(ROW()=2,"",D1512))</f>
      </c>
      <c r="E1513">
        <f>IF('R.M Billets Reports'!B1512="","",TRIM('R.M Billets Reports'!B1512))</f>
      </c>
      <c r="F1513">
        <f>'R.M Billets Reports'!C1512</f>
      </c>
      <c r="G1513">
        <f>'R.M Billets Reports'!D1512</f>
      </c>
      <c r="H1513">
        <f>'R.M Billets Reports'!E1512</f>
      </c>
      <c r="I1513">
        <f>'R.M Billets Reports'!F1512</f>
      </c>
      <c r="J1513">
        <f>'R.M Billets Reports'!G1512</f>
      </c>
      <c r="K1513">
        <f>'R.M Billets Reports'!H1512</f>
      </c>
      <c r="L1513">
        <f>IF('R.M Billets Reports'!I1512="","",'R.M Billets Reports'!I1512)</f>
      </c>
      <c r="M1513">
        <f t="shared" si="46"/>
      </c>
      <c r="N1513">
        <f>IF('R.M Billets Reports'!J1512="","",'R.M Billets Reports'!J1512)</f>
      </c>
      <c r="O1513">
        <f t="shared" si="47"/>
      </c>
      <c r="P1513">
        <f>IF('R.M Billets Reports'!A1512="SIZE",'R.M Billets Reports'!B1512,P1512)</f>
      </c>
    </row>
    <row r="1514" spans="1:16" x14ac:dyDescent="0.25">
      <c r="A1514">
        <f>IF(OR('R.M Billets Reports'!A1513="Date-",'R.M Billets Reports'!A1513="Date:-"),IF(IF(IF(ISNUMBER(SEARCH("Party Name:-",'R.M Billets Reports'!D1513)),TRIM('R.M Billets Reports'!F1513),IF(ISNUMBER(SEARCH("Party Name-",'R.M Billets Reports'!D1513)),TRIM(MID('R.M Billets Reports'!D1513,SEARCH("-",'R.M Billets Reports'!D1513)+1,200)),""))&lt;&gt;"",IF(ISNUMBER(SEARCH("Party Name:-",'R.M Billets Reports'!D1513)),TRIM('R.M Billets Reports'!F1513),IF(ISNUMBER(SEARCH("Party Name-",'R.M Billets Reports'!D1513)),TRIM(MID('R.M Billets Reports'!D1513,SEARCH("-",'R.M Billets Reports'!D1513)+1,200)),"")),IF(ISNUMBER(SEARCH("Party Name:-",'R.M Billets Reports'!D1514)),TRIM('R.M Billets Reports'!F1514),IF(ISNUMBER(SEARCH("Party Name-",'R.M Billets Reports'!D1514)),TRIM(MID('R.M Billets Reports'!D1514,SEARCH("-",'R.M Billets Reports'!D1514)+1,200)),"")))="VRKP ISPAT PVT LTD","VRKP",IF(IF(IF(ISNUMBER(SEARCH("Party Name:-",'R.M Billets Reports'!D1513)),TRIM('R.M Billets Reports'!F1513),IF(ISNUMBER(SEARCH("Party Name-",'R.M Billets Reports'!D1513)),TRIM(MID('R.M Billets Reports'!D1513,SEARCH("-",'R.M Billets Reports'!D1513)+1,200)),""))&lt;&gt;"",IF(ISNUMBER(SEARCH("Party Name:-",'R.M Billets Reports'!D1513)),TRIM('R.M Billets Reports'!F1513),IF(ISNUMBER(SEARCH("Party Name-",'R.M Billets Reports'!D1513)),TRIM(MID('R.M Billets Reports'!D1513,SEARCH("-",'R.M Billets Reports'!D1513)+1,200)),"")),IF(ISNUMBER(SEARCH("Party Name:-",'R.M Billets Reports'!D1514)),TRIM('R.M Billets Reports'!F1514),IF(ISNUMBER(SEARCH("Party Name-",'R.M Billets Reports'!D1514)),TRIM(MID('R.M Billets Reports'!D1514,SEARCH("-",'R.M Billets Reports'!D1514)+1,200)),"")))="SHRI RADHE","SHREE RADHE",IF(IF(IF(ISNUMBER(SEARCH("Party Name:-",'R.M Billets Reports'!D1513)),TRIM('R.M Billets Reports'!F1513),IF(ISNUMBER(SEARCH("Party Name-",'R.M Billets Reports'!D1513)),TRIM(MID('R.M Billets Reports'!D1513,SEARCH("-",'R.M Billets Reports'!D1513)+1,200)),""))&lt;&gt;"",IF(ISNUMBER(SEARCH("Party Name:-",'R.M Billets Reports'!D1513)),TRIM('R.M Billets Reports'!F1513),IF(ISNUMBER(SEARCH("Party Name-",'R.M Billets Reports'!D1513)),TRIM(MID('R.M Billets Reports'!D1513,SEARCH("-",'R.M Billets Reports'!D1513)+1,200)),"")),IF(ISNUMBER(SEARCH("Party Name:-",'R.M Billets Reports'!D1514)),TRIM('R.M Billets Reports'!F1514),IF(ISNUMBER(SEARCH("Party Name-",'R.M Billets Reports'!D1514)),TRIM(MID('R.M Billets Reports'!D1514,SEARCH("-",'R.M Billets Reports'!D1514)+1,200)),"")))="SHREE RADHE SHAKTI SPONGE AND POWER PVT. LTD.","SHREE RADHE",IF(IF(ISNUMBER(SEARCH("Party Name:-",'R.M Billets Reports'!D1513)),TRIM('R.M Billets Reports'!F1513),IF(ISNUMBER(SEARCH("Party Name-",'R.M Billets Reports'!D1513)),TRIM(MID('R.M Billets Reports'!D1513,SEARCH("-",'R.M Billets Reports'!D1513)+1,200)),""))&lt;&gt;"",IF(ISNUMBER(SEARCH("Party Name:-",'R.M Billets Reports'!D1513)),TRIM('R.M Billets Reports'!F1513),IF(ISNUMBER(SEARCH("Party Name-",'R.M Billets Reports'!D1513)),TRIM(MID('R.M Billets Reports'!D1513,SEARCH("-",'R.M Billets Reports'!D1513)+1,200)),"")),IF(ISNUMBER(SEARCH("Party Name:-",'R.M Billets Reports'!D1514)),TRIM('R.M Billets Reports'!F1514),IF(ISNUMBER(SEARCH("Party Name-",'R.M Billets Reports'!D1514)),TRIM(MID('R.M Billets Reports'!D1514,SEARCH("-",'R.M Billets Reports'!D1514)+1,200)),"")))))),IF(ROW()=2,"",A1513))</f>
      </c>
      <c r="B1514">
        <f>IF(OR('R.M Billets Reports'!A1513="Date-",'R.M Billets Reports'!A1513="Date:-"),'R.M Billets Reports'!B1513,IF(ROW()=2,"",B1513))</f>
      </c>
      <c r="C1514">
        <f>IF('R.M Billets Reports'!A1513="V.No.",'R.M Billets Reports'!B1513,IF(ROW()=2,"",C1513))</f>
      </c>
      <c r="D1514">
        <f>IF('R.M Billets Reports'!A1513&lt;&gt;"",'R.M Billets Reports'!A1513,IF(ROW()=2,"",D1513))</f>
      </c>
      <c r="E1514">
        <f>IF('R.M Billets Reports'!B1513="","",TRIM('R.M Billets Reports'!B1513))</f>
      </c>
      <c r="F1514">
        <f>'R.M Billets Reports'!C1513</f>
      </c>
      <c r="G1514">
        <f>'R.M Billets Reports'!D1513</f>
      </c>
      <c r="H1514">
        <f>'R.M Billets Reports'!E1513</f>
      </c>
      <c r="I1514">
        <f>'R.M Billets Reports'!F1513</f>
      </c>
      <c r="J1514">
        <f>'R.M Billets Reports'!G1513</f>
      </c>
      <c r="K1514">
        <f>'R.M Billets Reports'!H1513</f>
      </c>
      <c r="L1514">
        <f>IF('R.M Billets Reports'!I1513="","",'R.M Billets Reports'!I1513)</f>
      </c>
      <c r="M1514">
        <f t="shared" si="46"/>
      </c>
      <c r="N1514">
        <f>IF('R.M Billets Reports'!J1513="","",'R.M Billets Reports'!J1513)</f>
      </c>
      <c r="O1514">
        <f t="shared" si="47"/>
      </c>
      <c r="P1514">
        <f>IF('R.M Billets Reports'!A1513="SIZE",'R.M Billets Reports'!B1513,P1513)</f>
      </c>
    </row>
    <row r="1515" spans="1:16" x14ac:dyDescent="0.25">
      <c r="A1515">
        <f>IF(OR('R.M Billets Reports'!A1514="Date-",'R.M Billets Reports'!A1514="Date:-"),IF(IF(IF(ISNUMBER(SEARCH("Party Name:-",'R.M Billets Reports'!D1514)),TRIM('R.M Billets Reports'!F1514),IF(ISNUMBER(SEARCH("Party Name-",'R.M Billets Reports'!D1514)),TRIM(MID('R.M Billets Reports'!D1514,SEARCH("-",'R.M Billets Reports'!D1514)+1,200)),""))&lt;&gt;"",IF(ISNUMBER(SEARCH("Party Name:-",'R.M Billets Reports'!D1514)),TRIM('R.M Billets Reports'!F1514),IF(ISNUMBER(SEARCH("Party Name-",'R.M Billets Reports'!D1514)),TRIM(MID('R.M Billets Reports'!D1514,SEARCH("-",'R.M Billets Reports'!D1514)+1,200)),"")),IF(ISNUMBER(SEARCH("Party Name:-",'R.M Billets Reports'!D1515)),TRIM('R.M Billets Reports'!F1515),IF(ISNUMBER(SEARCH("Party Name-",'R.M Billets Reports'!D1515)),TRIM(MID('R.M Billets Reports'!D1515,SEARCH("-",'R.M Billets Reports'!D1515)+1,200)),"")))="VRKP ISPAT PVT LTD","VRKP",IF(IF(IF(ISNUMBER(SEARCH("Party Name:-",'R.M Billets Reports'!D1514)),TRIM('R.M Billets Reports'!F1514),IF(ISNUMBER(SEARCH("Party Name-",'R.M Billets Reports'!D1514)),TRIM(MID('R.M Billets Reports'!D1514,SEARCH("-",'R.M Billets Reports'!D1514)+1,200)),""))&lt;&gt;"",IF(ISNUMBER(SEARCH("Party Name:-",'R.M Billets Reports'!D1514)),TRIM('R.M Billets Reports'!F1514),IF(ISNUMBER(SEARCH("Party Name-",'R.M Billets Reports'!D1514)),TRIM(MID('R.M Billets Reports'!D1514,SEARCH("-",'R.M Billets Reports'!D1514)+1,200)),"")),IF(ISNUMBER(SEARCH("Party Name:-",'R.M Billets Reports'!D1515)),TRIM('R.M Billets Reports'!F1515),IF(ISNUMBER(SEARCH("Party Name-",'R.M Billets Reports'!D1515)),TRIM(MID('R.M Billets Reports'!D1515,SEARCH("-",'R.M Billets Reports'!D1515)+1,200)),"")))="SHRI RADHE","SHREE RADHE",IF(IF(IF(ISNUMBER(SEARCH("Party Name:-",'R.M Billets Reports'!D1514)),TRIM('R.M Billets Reports'!F1514),IF(ISNUMBER(SEARCH("Party Name-",'R.M Billets Reports'!D1514)),TRIM(MID('R.M Billets Reports'!D1514,SEARCH("-",'R.M Billets Reports'!D1514)+1,200)),""))&lt;&gt;"",IF(ISNUMBER(SEARCH("Party Name:-",'R.M Billets Reports'!D1514)),TRIM('R.M Billets Reports'!F1514),IF(ISNUMBER(SEARCH("Party Name-",'R.M Billets Reports'!D1514)),TRIM(MID('R.M Billets Reports'!D1514,SEARCH("-",'R.M Billets Reports'!D1514)+1,200)),"")),IF(ISNUMBER(SEARCH("Party Name:-",'R.M Billets Reports'!D1515)),TRIM('R.M Billets Reports'!F1515),IF(ISNUMBER(SEARCH("Party Name-",'R.M Billets Reports'!D1515)),TRIM(MID('R.M Billets Reports'!D1515,SEARCH("-",'R.M Billets Reports'!D1515)+1,200)),"")))="SHREE RADHE SHAKTI SPONGE AND POWER PVT. LTD.","SHREE RADHE",IF(IF(ISNUMBER(SEARCH("Party Name:-",'R.M Billets Reports'!D1514)),TRIM('R.M Billets Reports'!F1514),IF(ISNUMBER(SEARCH("Party Name-",'R.M Billets Reports'!D1514)),TRIM(MID('R.M Billets Reports'!D1514,SEARCH("-",'R.M Billets Reports'!D1514)+1,200)),""))&lt;&gt;"",IF(ISNUMBER(SEARCH("Party Name:-",'R.M Billets Reports'!D1514)),TRIM('R.M Billets Reports'!F1514),IF(ISNUMBER(SEARCH("Party Name-",'R.M Billets Reports'!D1514)),TRIM(MID('R.M Billets Reports'!D1514,SEARCH("-",'R.M Billets Reports'!D1514)+1,200)),"")),IF(ISNUMBER(SEARCH("Party Name:-",'R.M Billets Reports'!D1515)),TRIM('R.M Billets Reports'!F1515),IF(ISNUMBER(SEARCH("Party Name-",'R.M Billets Reports'!D1515)),TRIM(MID('R.M Billets Reports'!D1515,SEARCH("-",'R.M Billets Reports'!D1515)+1,200)),"")))))),IF(ROW()=2,"",A1514))</f>
      </c>
      <c r="B1515">
        <f>IF(OR('R.M Billets Reports'!A1514="Date-",'R.M Billets Reports'!A1514="Date:-"),'R.M Billets Reports'!B1514,IF(ROW()=2,"",B1514))</f>
      </c>
      <c r="C1515">
        <f>IF('R.M Billets Reports'!A1514="V.No.",'R.M Billets Reports'!B1514,IF(ROW()=2,"",C1514))</f>
      </c>
      <c r="D1515">
        <f>IF('R.M Billets Reports'!A1514&lt;&gt;"",'R.M Billets Reports'!A1514,IF(ROW()=2,"",D1514))</f>
      </c>
      <c r="E1515">
        <f>IF('R.M Billets Reports'!B1514="","",TRIM('R.M Billets Reports'!B1514))</f>
      </c>
      <c r="F1515">
        <f>'R.M Billets Reports'!C1514</f>
      </c>
      <c r="G1515">
        <f>'R.M Billets Reports'!D1514</f>
      </c>
      <c r="H1515">
        <f>'R.M Billets Reports'!E1514</f>
      </c>
      <c r="I1515">
        <f>'R.M Billets Reports'!F1514</f>
      </c>
      <c r="J1515">
        <f>'R.M Billets Reports'!G1514</f>
      </c>
      <c r="K1515">
        <f>'R.M Billets Reports'!H1514</f>
      </c>
      <c r="L1515">
        <f>IF('R.M Billets Reports'!I1514="","",'R.M Billets Reports'!I1514)</f>
      </c>
      <c r="M1515">
        <f t="shared" si="46"/>
      </c>
      <c r="N1515">
        <f>IF('R.M Billets Reports'!J1514="","",'R.M Billets Reports'!J1514)</f>
      </c>
      <c r="O1515">
        <f t="shared" si="47"/>
      </c>
      <c r="P1515">
        <f>IF('R.M Billets Reports'!A1514="SIZE",'R.M Billets Reports'!B1514,P1514)</f>
      </c>
    </row>
    <row r="1516" spans="1:16" x14ac:dyDescent="0.25">
      <c r="A1516">
        <f>IF(OR('R.M Billets Reports'!A1515="Date-",'R.M Billets Reports'!A1515="Date:-"),IF(IF(IF(ISNUMBER(SEARCH("Party Name:-",'R.M Billets Reports'!D1515)),TRIM('R.M Billets Reports'!F1515),IF(ISNUMBER(SEARCH("Party Name-",'R.M Billets Reports'!D1515)),TRIM(MID('R.M Billets Reports'!D1515,SEARCH("-",'R.M Billets Reports'!D1515)+1,200)),""))&lt;&gt;"",IF(ISNUMBER(SEARCH("Party Name:-",'R.M Billets Reports'!D1515)),TRIM('R.M Billets Reports'!F1515),IF(ISNUMBER(SEARCH("Party Name-",'R.M Billets Reports'!D1515)),TRIM(MID('R.M Billets Reports'!D1515,SEARCH("-",'R.M Billets Reports'!D1515)+1,200)),"")),IF(ISNUMBER(SEARCH("Party Name:-",'R.M Billets Reports'!D1516)),TRIM('R.M Billets Reports'!F1516),IF(ISNUMBER(SEARCH("Party Name-",'R.M Billets Reports'!D1516)),TRIM(MID('R.M Billets Reports'!D1516,SEARCH("-",'R.M Billets Reports'!D1516)+1,200)),"")))="VRKP ISPAT PVT LTD","VRKP",IF(IF(IF(ISNUMBER(SEARCH("Party Name:-",'R.M Billets Reports'!D1515)),TRIM('R.M Billets Reports'!F1515),IF(ISNUMBER(SEARCH("Party Name-",'R.M Billets Reports'!D1515)),TRIM(MID('R.M Billets Reports'!D1515,SEARCH("-",'R.M Billets Reports'!D1515)+1,200)),""))&lt;&gt;"",IF(ISNUMBER(SEARCH("Party Name:-",'R.M Billets Reports'!D1515)),TRIM('R.M Billets Reports'!F1515),IF(ISNUMBER(SEARCH("Party Name-",'R.M Billets Reports'!D1515)),TRIM(MID('R.M Billets Reports'!D1515,SEARCH("-",'R.M Billets Reports'!D1515)+1,200)),"")),IF(ISNUMBER(SEARCH("Party Name:-",'R.M Billets Reports'!D1516)),TRIM('R.M Billets Reports'!F1516),IF(ISNUMBER(SEARCH("Party Name-",'R.M Billets Reports'!D1516)),TRIM(MID('R.M Billets Reports'!D1516,SEARCH("-",'R.M Billets Reports'!D1516)+1,200)),"")))="SHRI RADHE","SHREE RADHE",IF(IF(IF(ISNUMBER(SEARCH("Party Name:-",'R.M Billets Reports'!D1515)),TRIM('R.M Billets Reports'!F1515),IF(ISNUMBER(SEARCH("Party Name-",'R.M Billets Reports'!D1515)),TRIM(MID('R.M Billets Reports'!D1515,SEARCH("-",'R.M Billets Reports'!D1515)+1,200)),""))&lt;&gt;"",IF(ISNUMBER(SEARCH("Party Name:-",'R.M Billets Reports'!D1515)),TRIM('R.M Billets Reports'!F1515),IF(ISNUMBER(SEARCH("Party Name-",'R.M Billets Reports'!D1515)),TRIM(MID('R.M Billets Reports'!D1515,SEARCH("-",'R.M Billets Reports'!D1515)+1,200)),"")),IF(ISNUMBER(SEARCH("Party Name:-",'R.M Billets Reports'!D1516)),TRIM('R.M Billets Reports'!F1516),IF(ISNUMBER(SEARCH("Party Name-",'R.M Billets Reports'!D1516)),TRIM(MID('R.M Billets Reports'!D1516,SEARCH("-",'R.M Billets Reports'!D1516)+1,200)),"")))="SHREE RADHE SHAKTI SPONGE AND POWER PVT. LTD.","SHREE RADHE",IF(IF(ISNUMBER(SEARCH("Party Name:-",'R.M Billets Reports'!D1515)),TRIM('R.M Billets Reports'!F1515),IF(ISNUMBER(SEARCH("Party Name-",'R.M Billets Reports'!D1515)),TRIM(MID('R.M Billets Reports'!D1515,SEARCH("-",'R.M Billets Reports'!D1515)+1,200)),""))&lt;&gt;"",IF(ISNUMBER(SEARCH("Party Name:-",'R.M Billets Reports'!D1515)),TRIM('R.M Billets Reports'!F1515),IF(ISNUMBER(SEARCH("Party Name-",'R.M Billets Reports'!D1515)),TRIM(MID('R.M Billets Reports'!D1515,SEARCH("-",'R.M Billets Reports'!D1515)+1,200)),"")),IF(ISNUMBER(SEARCH("Party Name:-",'R.M Billets Reports'!D1516)),TRIM('R.M Billets Reports'!F1516),IF(ISNUMBER(SEARCH("Party Name-",'R.M Billets Reports'!D1516)),TRIM(MID('R.M Billets Reports'!D1516,SEARCH("-",'R.M Billets Reports'!D1516)+1,200)),"")))))),IF(ROW()=2,"",A1515))</f>
      </c>
      <c r="B1516">
        <f>IF(OR('R.M Billets Reports'!A1515="Date-",'R.M Billets Reports'!A1515="Date:-"),'R.M Billets Reports'!B1515,IF(ROW()=2,"",B1515))</f>
      </c>
      <c r="C1516">
        <f>IF('R.M Billets Reports'!A1515="V.No.",'R.M Billets Reports'!B1515,IF(ROW()=2,"",C1515))</f>
      </c>
      <c r="D1516">
        <f>IF('R.M Billets Reports'!A1515&lt;&gt;"",'R.M Billets Reports'!A1515,IF(ROW()=2,"",D1515))</f>
      </c>
      <c r="E1516">
        <f>IF('R.M Billets Reports'!B1515="","",TRIM('R.M Billets Reports'!B1515))</f>
      </c>
      <c r="F1516">
        <f>'R.M Billets Reports'!C1515</f>
      </c>
      <c r="G1516">
        <f>'R.M Billets Reports'!D1515</f>
      </c>
      <c r="H1516">
        <f>'R.M Billets Reports'!E1515</f>
      </c>
      <c r="I1516">
        <f>'R.M Billets Reports'!F1515</f>
      </c>
      <c r="J1516">
        <f>'R.M Billets Reports'!G1515</f>
      </c>
      <c r="K1516">
        <f>'R.M Billets Reports'!H1515</f>
      </c>
      <c r="L1516">
        <f>IF('R.M Billets Reports'!I1515="","",'R.M Billets Reports'!I1515)</f>
      </c>
      <c r="M1516">
        <f t="shared" si="46"/>
      </c>
      <c r="N1516">
        <f>IF('R.M Billets Reports'!J1515="","",'R.M Billets Reports'!J1515)</f>
      </c>
      <c r="O1516">
        <f t="shared" si="47"/>
      </c>
      <c r="P1516">
        <f>IF('R.M Billets Reports'!A1515="SIZE",'R.M Billets Reports'!B1515,P1515)</f>
      </c>
    </row>
    <row r="1517" spans="1:16" x14ac:dyDescent="0.25">
      <c r="A1517">
        <f>IF(OR('R.M Billets Reports'!A1516="Date-",'R.M Billets Reports'!A1516="Date:-"),IF(IF(IF(ISNUMBER(SEARCH("Party Name:-",'R.M Billets Reports'!D1516)),TRIM('R.M Billets Reports'!F1516),IF(ISNUMBER(SEARCH("Party Name-",'R.M Billets Reports'!D1516)),TRIM(MID('R.M Billets Reports'!D1516,SEARCH("-",'R.M Billets Reports'!D1516)+1,200)),""))&lt;&gt;"",IF(ISNUMBER(SEARCH("Party Name:-",'R.M Billets Reports'!D1516)),TRIM('R.M Billets Reports'!F1516),IF(ISNUMBER(SEARCH("Party Name-",'R.M Billets Reports'!D1516)),TRIM(MID('R.M Billets Reports'!D1516,SEARCH("-",'R.M Billets Reports'!D1516)+1,200)),"")),IF(ISNUMBER(SEARCH("Party Name:-",'R.M Billets Reports'!D1517)),TRIM('R.M Billets Reports'!F1517),IF(ISNUMBER(SEARCH("Party Name-",'R.M Billets Reports'!D1517)),TRIM(MID('R.M Billets Reports'!D1517,SEARCH("-",'R.M Billets Reports'!D1517)+1,200)),"")))="VRKP ISPAT PVT LTD","VRKP",IF(IF(IF(ISNUMBER(SEARCH("Party Name:-",'R.M Billets Reports'!D1516)),TRIM('R.M Billets Reports'!F1516),IF(ISNUMBER(SEARCH("Party Name-",'R.M Billets Reports'!D1516)),TRIM(MID('R.M Billets Reports'!D1516,SEARCH("-",'R.M Billets Reports'!D1516)+1,200)),""))&lt;&gt;"",IF(ISNUMBER(SEARCH("Party Name:-",'R.M Billets Reports'!D1516)),TRIM('R.M Billets Reports'!F1516),IF(ISNUMBER(SEARCH("Party Name-",'R.M Billets Reports'!D1516)),TRIM(MID('R.M Billets Reports'!D1516,SEARCH("-",'R.M Billets Reports'!D1516)+1,200)),"")),IF(ISNUMBER(SEARCH("Party Name:-",'R.M Billets Reports'!D1517)),TRIM('R.M Billets Reports'!F1517),IF(ISNUMBER(SEARCH("Party Name-",'R.M Billets Reports'!D1517)),TRIM(MID('R.M Billets Reports'!D1517,SEARCH("-",'R.M Billets Reports'!D1517)+1,200)),"")))="SHRI RADHE","SHREE RADHE",IF(IF(IF(ISNUMBER(SEARCH("Party Name:-",'R.M Billets Reports'!D1516)),TRIM('R.M Billets Reports'!F1516),IF(ISNUMBER(SEARCH("Party Name-",'R.M Billets Reports'!D1516)),TRIM(MID('R.M Billets Reports'!D1516,SEARCH("-",'R.M Billets Reports'!D1516)+1,200)),""))&lt;&gt;"",IF(ISNUMBER(SEARCH("Party Name:-",'R.M Billets Reports'!D1516)),TRIM('R.M Billets Reports'!F1516),IF(ISNUMBER(SEARCH("Party Name-",'R.M Billets Reports'!D1516)),TRIM(MID('R.M Billets Reports'!D1516,SEARCH("-",'R.M Billets Reports'!D1516)+1,200)),"")),IF(ISNUMBER(SEARCH("Party Name:-",'R.M Billets Reports'!D1517)),TRIM('R.M Billets Reports'!F1517),IF(ISNUMBER(SEARCH("Party Name-",'R.M Billets Reports'!D1517)),TRIM(MID('R.M Billets Reports'!D1517,SEARCH("-",'R.M Billets Reports'!D1517)+1,200)),"")))="SHREE RADHE SHAKTI SPONGE AND POWER PVT. LTD.","SHREE RADHE",IF(IF(ISNUMBER(SEARCH("Party Name:-",'R.M Billets Reports'!D1516)),TRIM('R.M Billets Reports'!F1516),IF(ISNUMBER(SEARCH("Party Name-",'R.M Billets Reports'!D1516)),TRIM(MID('R.M Billets Reports'!D1516,SEARCH("-",'R.M Billets Reports'!D1516)+1,200)),""))&lt;&gt;"",IF(ISNUMBER(SEARCH("Party Name:-",'R.M Billets Reports'!D1516)),TRIM('R.M Billets Reports'!F1516),IF(ISNUMBER(SEARCH("Party Name-",'R.M Billets Reports'!D1516)),TRIM(MID('R.M Billets Reports'!D1516,SEARCH("-",'R.M Billets Reports'!D1516)+1,200)),"")),IF(ISNUMBER(SEARCH("Party Name:-",'R.M Billets Reports'!D1517)),TRIM('R.M Billets Reports'!F1517),IF(ISNUMBER(SEARCH("Party Name-",'R.M Billets Reports'!D1517)),TRIM(MID('R.M Billets Reports'!D1517,SEARCH("-",'R.M Billets Reports'!D1517)+1,200)),"")))))),IF(ROW()=2,"",A1516))</f>
      </c>
      <c r="B1517">
        <f>IF(OR('R.M Billets Reports'!A1516="Date-",'R.M Billets Reports'!A1516="Date:-"),'R.M Billets Reports'!B1516,IF(ROW()=2,"",B1516))</f>
      </c>
      <c r="C1517">
        <f>IF('R.M Billets Reports'!A1516="V.No.",'R.M Billets Reports'!B1516,IF(ROW()=2,"",C1516))</f>
      </c>
      <c r="D1517">
        <f>IF('R.M Billets Reports'!A1516&lt;&gt;"",'R.M Billets Reports'!A1516,IF(ROW()=2,"",D1516))</f>
      </c>
      <c r="E1517">
        <f>IF('R.M Billets Reports'!B1516="","",TRIM('R.M Billets Reports'!B1516))</f>
      </c>
      <c r="F1517">
        <f>'R.M Billets Reports'!C1516</f>
      </c>
      <c r="G1517">
        <f>'R.M Billets Reports'!D1516</f>
      </c>
      <c r="H1517">
        <f>'R.M Billets Reports'!E1516</f>
      </c>
      <c r="I1517">
        <f>'R.M Billets Reports'!F1516</f>
      </c>
      <c r="J1517">
        <f>'R.M Billets Reports'!G1516</f>
      </c>
      <c r="K1517">
        <f>'R.M Billets Reports'!H1516</f>
      </c>
      <c r="L1517">
        <f>IF('R.M Billets Reports'!I1516="","",'R.M Billets Reports'!I1516)</f>
      </c>
      <c r="M1517">
        <f t="shared" si="46"/>
      </c>
      <c r="N1517">
        <f>IF('R.M Billets Reports'!J1516="","",'R.M Billets Reports'!J1516)</f>
      </c>
      <c r="O1517">
        <f t="shared" si="47"/>
      </c>
      <c r="P1517">
        <f>IF('R.M Billets Reports'!A1516="SIZE",'R.M Billets Reports'!B1516,P1516)</f>
      </c>
    </row>
    <row r="1518" spans="1:16" x14ac:dyDescent="0.25">
      <c r="A1518">
        <f>IF(OR('R.M Billets Reports'!A1517="Date-",'R.M Billets Reports'!A1517="Date:-"),IF(IF(IF(ISNUMBER(SEARCH("Party Name:-",'R.M Billets Reports'!D1517)),TRIM('R.M Billets Reports'!F1517),IF(ISNUMBER(SEARCH("Party Name-",'R.M Billets Reports'!D1517)),TRIM(MID('R.M Billets Reports'!D1517,SEARCH("-",'R.M Billets Reports'!D1517)+1,200)),""))&lt;&gt;"",IF(ISNUMBER(SEARCH("Party Name:-",'R.M Billets Reports'!D1517)),TRIM('R.M Billets Reports'!F1517),IF(ISNUMBER(SEARCH("Party Name-",'R.M Billets Reports'!D1517)),TRIM(MID('R.M Billets Reports'!D1517,SEARCH("-",'R.M Billets Reports'!D1517)+1,200)),"")),IF(ISNUMBER(SEARCH("Party Name:-",'R.M Billets Reports'!D1518)),TRIM('R.M Billets Reports'!F1518),IF(ISNUMBER(SEARCH("Party Name-",'R.M Billets Reports'!D1518)),TRIM(MID('R.M Billets Reports'!D1518,SEARCH("-",'R.M Billets Reports'!D1518)+1,200)),"")))="VRKP ISPAT PVT LTD","VRKP",IF(IF(IF(ISNUMBER(SEARCH("Party Name:-",'R.M Billets Reports'!D1517)),TRIM('R.M Billets Reports'!F1517),IF(ISNUMBER(SEARCH("Party Name-",'R.M Billets Reports'!D1517)),TRIM(MID('R.M Billets Reports'!D1517,SEARCH("-",'R.M Billets Reports'!D1517)+1,200)),""))&lt;&gt;"",IF(ISNUMBER(SEARCH("Party Name:-",'R.M Billets Reports'!D1517)),TRIM('R.M Billets Reports'!F1517),IF(ISNUMBER(SEARCH("Party Name-",'R.M Billets Reports'!D1517)),TRIM(MID('R.M Billets Reports'!D1517,SEARCH("-",'R.M Billets Reports'!D1517)+1,200)),"")),IF(ISNUMBER(SEARCH("Party Name:-",'R.M Billets Reports'!D1518)),TRIM('R.M Billets Reports'!F1518),IF(ISNUMBER(SEARCH("Party Name-",'R.M Billets Reports'!D1518)),TRIM(MID('R.M Billets Reports'!D1518,SEARCH("-",'R.M Billets Reports'!D1518)+1,200)),"")))="SHRI RADHE","SHREE RADHE",IF(IF(IF(ISNUMBER(SEARCH("Party Name:-",'R.M Billets Reports'!D1517)),TRIM('R.M Billets Reports'!F1517),IF(ISNUMBER(SEARCH("Party Name-",'R.M Billets Reports'!D1517)),TRIM(MID('R.M Billets Reports'!D1517,SEARCH("-",'R.M Billets Reports'!D1517)+1,200)),""))&lt;&gt;"",IF(ISNUMBER(SEARCH("Party Name:-",'R.M Billets Reports'!D1517)),TRIM('R.M Billets Reports'!F1517),IF(ISNUMBER(SEARCH("Party Name-",'R.M Billets Reports'!D1517)),TRIM(MID('R.M Billets Reports'!D1517,SEARCH("-",'R.M Billets Reports'!D1517)+1,200)),"")),IF(ISNUMBER(SEARCH("Party Name:-",'R.M Billets Reports'!D1518)),TRIM('R.M Billets Reports'!F1518),IF(ISNUMBER(SEARCH("Party Name-",'R.M Billets Reports'!D1518)),TRIM(MID('R.M Billets Reports'!D1518,SEARCH("-",'R.M Billets Reports'!D1518)+1,200)),"")))="SHREE RADHE SHAKTI SPONGE AND POWER PVT. LTD.","SHREE RADHE",IF(IF(ISNUMBER(SEARCH("Party Name:-",'R.M Billets Reports'!D1517)),TRIM('R.M Billets Reports'!F1517),IF(ISNUMBER(SEARCH("Party Name-",'R.M Billets Reports'!D1517)),TRIM(MID('R.M Billets Reports'!D1517,SEARCH("-",'R.M Billets Reports'!D1517)+1,200)),""))&lt;&gt;"",IF(ISNUMBER(SEARCH("Party Name:-",'R.M Billets Reports'!D1517)),TRIM('R.M Billets Reports'!F1517),IF(ISNUMBER(SEARCH("Party Name-",'R.M Billets Reports'!D1517)),TRIM(MID('R.M Billets Reports'!D1517,SEARCH("-",'R.M Billets Reports'!D1517)+1,200)),"")),IF(ISNUMBER(SEARCH("Party Name:-",'R.M Billets Reports'!D1518)),TRIM('R.M Billets Reports'!F1518),IF(ISNUMBER(SEARCH("Party Name-",'R.M Billets Reports'!D1518)),TRIM(MID('R.M Billets Reports'!D1518,SEARCH("-",'R.M Billets Reports'!D1518)+1,200)),"")))))),IF(ROW()=2,"",A1517))</f>
      </c>
      <c r="B1518">
        <f>IF(OR('R.M Billets Reports'!A1517="Date-",'R.M Billets Reports'!A1517="Date:-"),'R.M Billets Reports'!B1517,IF(ROW()=2,"",B1517))</f>
      </c>
      <c r="C1518">
        <f>IF('R.M Billets Reports'!A1517="V.No.",'R.M Billets Reports'!B1517,IF(ROW()=2,"",C1517))</f>
      </c>
      <c r="D1518">
        <f>IF('R.M Billets Reports'!A1517&lt;&gt;"",'R.M Billets Reports'!A1517,IF(ROW()=2,"",D1517))</f>
      </c>
      <c r="E1518">
        <f>IF('R.M Billets Reports'!B1517="","",TRIM('R.M Billets Reports'!B1517))</f>
      </c>
      <c r="F1518">
        <f>'R.M Billets Reports'!C1517</f>
      </c>
      <c r="G1518">
        <f>'R.M Billets Reports'!D1517</f>
      </c>
      <c r="H1518">
        <f>'R.M Billets Reports'!E1517</f>
      </c>
      <c r="I1518">
        <f>'R.M Billets Reports'!F1517</f>
      </c>
      <c r="J1518">
        <f>'R.M Billets Reports'!G1517</f>
      </c>
      <c r="K1518">
        <f>'R.M Billets Reports'!H1517</f>
      </c>
      <c r="L1518">
        <f>IF('R.M Billets Reports'!I1517="","",'R.M Billets Reports'!I1517)</f>
      </c>
      <c r="M1518">
        <f t="shared" si="46"/>
      </c>
      <c r="N1518">
        <f>IF('R.M Billets Reports'!J1517="","",'R.M Billets Reports'!J1517)</f>
      </c>
      <c r="O1518">
        <f t="shared" si="47"/>
      </c>
      <c r="P1518">
        <f>IF('R.M Billets Reports'!A1517="SIZE",'R.M Billets Reports'!B1517,P1517)</f>
      </c>
    </row>
    <row r="1519" spans="1:16" x14ac:dyDescent="0.25">
      <c r="A1519">
        <f>IF(OR('R.M Billets Reports'!A1518="Date-",'R.M Billets Reports'!A1518="Date:-"),IF(IF(IF(ISNUMBER(SEARCH("Party Name:-",'R.M Billets Reports'!D1518)),TRIM('R.M Billets Reports'!F1518),IF(ISNUMBER(SEARCH("Party Name-",'R.M Billets Reports'!D1518)),TRIM(MID('R.M Billets Reports'!D1518,SEARCH("-",'R.M Billets Reports'!D1518)+1,200)),""))&lt;&gt;"",IF(ISNUMBER(SEARCH("Party Name:-",'R.M Billets Reports'!D1518)),TRIM('R.M Billets Reports'!F1518),IF(ISNUMBER(SEARCH("Party Name-",'R.M Billets Reports'!D1518)),TRIM(MID('R.M Billets Reports'!D1518,SEARCH("-",'R.M Billets Reports'!D1518)+1,200)),"")),IF(ISNUMBER(SEARCH("Party Name:-",'R.M Billets Reports'!D1519)),TRIM('R.M Billets Reports'!F1519),IF(ISNUMBER(SEARCH("Party Name-",'R.M Billets Reports'!D1519)),TRIM(MID('R.M Billets Reports'!D1519,SEARCH("-",'R.M Billets Reports'!D1519)+1,200)),"")))="VRKP ISPAT PVT LTD","VRKP",IF(IF(IF(ISNUMBER(SEARCH("Party Name:-",'R.M Billets Reports'!D1518)),TRIM('R.M Billets Reports'!F1518),IF(ISNUMBER(SEARCH("Party Name-",'R.M Billets Reports'!D1518)),TRIM(MID('R.M Billets Reports'!D1518,SEARCH("-",'R.M Billets Reports'!D1518)+1,200)),""))&lt;&gt;"",IF(ISNUMBER(SEARCH("Party Name:-",'R.M Billets Reports'!D1518)),TRIM('R.M Billets Reports'!F1518),IF(ISNUMBER(SEARCH("Party Name-",'R.M Billets Reports'!D1518)),TRIM(MID('R.M Billets Reports'!D1518,SEARCH("-",'R.M Billets Reports'!D1518)+1,200)),"")),IF(ISNUMBER(SEARCH("Party Name:-",'R.M Billets Reports'!D1519)),TRIM('R.M Billets Reports'!F1519),IF(ISNUMBER(SEARCH("Party Name-",'R.M Billets Reports'!D1519)),TRIM(MID('R.M Billets Reports'!D1519,SEARCH("-",'R.M Billets Reports'!D1519)+1,200)),"")))="SHRI RADHE","SHREE RADHE",IF(IF(IF(ISNUMBER(SEARCH("Party Name:-",'R.M Billets Reports'!D1518)),TRIM('R.M Billets Reports'!F1518),IF(ISNUMBER(SEARCH("Party Name-",'R.M Billets Reports'!D1518)),TRIM(MID('R.M Billets Reports'!D1518,SEARCH("-",'R.M Billets Reports'!D1518)+1,200)),""))&lt;&gt;"",IF(ISNUMBER(SEARCH("Party Name:-",'R.M Billets Reports'!D1518)),TRIM('R.M Billets Reports'!F1518),IF(ISNUMBER(SEARCH("Party Name-",'R.M Billets Reports'!D1518)),TRIM(MID('R.M Billets Reports'!D1518,SEARCH("-",'R.M Billets Reports'!D1518)+1,200)),"")),IF(ISNUMBER(SEARCH("Party Name:-",'R.M Billets Reports'!D1519)),TRIM('R.M Billets Reports'!F1519),IF(ISNUMBER(SEARCH("Party Name-",'R.M Billets Reports'!D1519)),TRIM(MID('R.M Billets Reports'!D1519,SEARCH("-",'R.M Billets Reports'!D1519)+1,200)),"")))="SHREE RADHE SHAKTI SPONGE AND POWER PVT. LTD.","SHREE RADHE",IF(IF(ISNUMBER(SEARCH("Party Name:-",'R.M Billets Reports'!D1518)),TRIM('R.M Billets Reports'!F1518),IF(ISNUMBER(SEARCH("Party Name-",'R.M Billets Reports'!D1518)),TRIM(MID('R.M Billets Reports'!D1518,SEARCH("-",'R.M Billets Reports'!D1518)+1,200)),""))&lt;&gt;"",IF(ISNUMBER(SEARCH("Party Name:-",'R.M Billets Reports'!D1518)),TRIM('R.M Billets Reports'!F1518),IF(ISNUMBER(SEARCH("Party Name-",'R.M Billets Reports'!D1518)),TRIM(MID('R.M Billets Reports'!D1518,SEARCH("-",'R.M Billets Reports'!D1518)+1,200)),"")),IF(ISNUMBER(SEARCH("Party Name:-",'R.M Billets Reports'!D1519)),TRIM('R.M Billets Reports'!F1519),IF(ISNUMBER(SEARCH("Party Name-",'R.M Billets Reports'!D1519)),TRIM(MID('R.M Billets Reports'!D1519,SEARCH("-",'R.M Billets Reports'!D1519)+1,200)),"")))))),IF(ROW()=2,"",A1518))</f>
      </c>
      <c r="B1519">
        <f>IF(OR('R.M Billets Reports'!A1518="Date-",'R.M Billets Reports'!A1518="Date:-"),'R.M Billets Reports'!B1518,IF(ROW()=2,"",B1518))</f>
      </c>
      <c r="C1519">
        <f>IF('R.M Billets Reports'!A1518="V.No.",'R.M Billets Reports'!B1518,IF(ROW()=2,"",C1518))</f>
      </c>
      <c r="D1519">
        <f>IF('R.M Billets Reports'!A1518&lt;&gt;"",'R.M Billets Reports'!A1518,IF(ROW()=2,"",D1518))</f>
      </c>
      <c r="E1519">
        <f>IF('R.M Billets Reports'!B1518="","",TRIM('R.M Billets Reports'!B1518))</f>
      </c>
      <c r="F1519">
        <f>'R.M Billets Reports'!C1518</f>
      </c>
      <c r="G1519">
        <f>'R.M Billets Reports'!D1518</f>
      </c>
      <c r="H1519">
        <f>'R.M Billets Reports'!E1518</f>
      </c>
      <c r="I1519">
        <f>'R.M Billets Reports'!F1518</f>
      </c>
      <c r="J1519">
        <f>'R.M Billets Reports'!G1518</f>
      </c>
      <c r="K1519">
        <f>'R.M Billets Reports'!H1518</f>
      </c>
      <c r="L1519">
        <f>IF('R.M Billets Reports'!I1518="","",'R.M Billets Reports'!I1518)</f>
      </c>
      <c r="M1519">
        <f t="shared" si="46"/>
      </c>
      <c r="N1519">
        <f>IF('R.M Billets Reports'!J1518="","",'R.M Billets Reports'!J1518)</f>
      </c>
      <c r="O1519">
        <f t="shared" si="47"/>
      </c>
      <c r="P1519">
        <f>IF('R.M Billets Reports'!A1518="SIZE",'R.M Billets Reports'!B1518,P1518)</f>
      </c>
    </row>
    <row r="1520" spans="1:16" x14ac:dyDescent="0.25">
      <c r="A1520">
        <f>IF(OR('R.M Billets Reports'!A1519="Date-",'R.M Billets Reports'!A1519="Date:-"),IF(IF(IF(ISNUMBER(SEARCH("Party Name:-",'R.M Billets Reports'!D1519)),TRIM('R.M Billets Reports'!F1519),IF(ISNUMBER(SEARCH("Party Name-",'R.M Billets Reports'!D1519)),TRIM(MID('R.M Billets Reports'!D1519,SEARCH("-",'R.M Billets Reports'!D1519)+1,200)),""))&lt;&gt;"",IF(ISNUMBER(SEARCH("Party Name:-",'R.M Billets Reports'!D1519)),TRIM('R.M Billets Reports'!F1519),IF(ISNUMBER(SEARCH("Party Name-",'R.M Billets Reports'!D1519)),TRIM(MID('R.M Billets Reports'!D1519,SEARCH("-",'R.M Billets Reports'!D1519)+1,200)),"")),IF(ISNUMBER(SEARCH("Party Name:-",'R.M Billets Reports'!D1520)),TRIM('R.M Billets Reports'!F1520),IF(ISNUMBER(SEARCH("Party Name-",'R.M Billets Reports'!D1520)),TRIM(MID('R.M Billets Reports'!D1520,SEARCH("-",'R.M Billets Reports'!D1520)+1,200)),"")))="VRKP ISPAT PVT LTD","VRKP",IF(IF(IF(ISNUMBER(SEARCH("Party Name:-",'R.M Billets Reports'!D1519)),TRIM('R.M Billets Reports'!F1519),IF(ISNUMBER(SEARCH("Party Name-",'R.M Billets Reports'!D1519)),TRIM(MID('R.M Billets Reports'!D1519,SEARCH("-",'R.M Billets Reports'!D1519)+1,200)),""))&lt;&gt;"",IF(ISNUMBER(SEARCH("Party Name:-",'R.M Billets Reports'!D1519)),TRIM('R.M Billets Reports'!F1519),IF(ISNUMBER(SEARCH("Party Name-",'R.M Billets Reports'!D1519)),TRIM(MID('R.M Billets Reports'!D1519,SEARCH("-",'R.M Billets Reports'!D1519)+1,200)),"")),IF(ISNUMBER(SEARCH("Party Name:-",'R.M Billets Reports'!D1520)),TRIM('R.M Billets Reports'!F1520),IF(ISNUMBER(SEARCH("Party Name-",'R.M Billets Reports'!D1520)),TRIM(MID('R.M Billets Reports'!D1520,SEARCH("-",'R.M Billets Reports'!D1520)+1,200)),"")))="SHRI RADHE","SHREE RADHE",IF(IF(IF(ISNUMBER(SEARCH("Party Name:-",'R.M Billets Reports'!D1519)),TRIM('R.M Billets Reports'!F1519),IF(ISNUMBER(SEARCH("Party Name-",'R.M Billets Reports'!D1519)),TRIM(MID('R.M Billets Reports'!D1519,SEARCH("-",'R.M Billets Reports'!D1519)+1,200)),""))&lt;&gt;"",IF(ISNUMBER(SEARCH("Party Name:-",'R.M Billets Reports'!D1519)),TRIM('R.M Billets Reports'!F1519),IF(ISNUMBER(SEARCH("Party Name-",'R.M Billets Reports'!D1519)),TRIM(MID('R.M Billets Reports'!D1519,SEARCH("-",'R.M Billets Reports'!D1519)+1,200)),"")),IF(ISNUMBER(SEARCH("Party Name:-",'R.M Billets Reports'!D1520)),TRIM('R.M Billets Reports'!F1520),IF(ISNUMBER(SEARCH("Party Name-",'R.M Billets Reports'!D1520)),TRIM(MID('R.M Billets Reports'!D1520,SEARCH("-",'R.M Billets Reports'!D1520)+1,200)),"")))="SHREE RADHE SHAKTI SPONGE AND POWER PVT. LTD.","SHREE RADHE",IF(IF(ISNUMBER(SEARCH("Party Name:-",'R.M Billets Reports'!D1519)),TRIM('R.M Billets Reports'!F1519),IF(ISNUMBER(SEARCH("Party Name-",'R.M Billets Reports'!D1519)),TRIM(MID('R.M Billets Reports'!D1519,SEARCH("-",'R.M Billets Reports'!D1519)+1,200)),""))&lt;&gt;"",IF(ISNUMBER(SEARCH("Party Name:-",'R.M Billets Reports'!D1519)),TRIM('R.M Billets Reports'!F1519),IF(ISNUMBER(SEARCH("Party Name-",'R.M Billets Reports'!D1519)),TRIM(MID('R.M Billets Reports'!D1519,SEARCH("-",'R.M Billets Reports'!D1519)+1,200)),"")),IF(ISNUMBER(SEARCH("Party Name:-",'R.M Billets Reports'!D1520)),TRIM('R.M Billets Reports'!F1520),IF(ISNUMBER(SEARCH("Party Name-",'R.M Billets Reports'!D1520)),TRIM(MID('R.M Billets Reports'!D1520,SEARCH("-",'R.M Billets Reports'!D1520)+1,200)),"")))))),IF(ROW()=2,"",A1519))</f>
      </c>
      <c r="B1520">
        <f>IF(OR('R.M Billets Reports'!A1519="Date-",'R.M Billets Reports'!A1519="Date:-"),'R.M Billets Reports'!B1519,IF(ROW()=2,"",B1519))</f>
      </c>
      <c r="C1520">
        <f>IF('R.M Billets Reports'!A1519="V.No.",'R.M Billets Reports'!B1519,IF(ROW()=2,"",C1519))</f>
      </c>
      <c r="D1520">
        <f>IF('R.M Billets Reports'!A1519&lt;&gt;"",'R.M Billets Reports'!A1519,IF(ROW()=2,"",D1519))</f>
      </c>
      <c r="E1520">
        <f>IF('R.M Billets Reports'!B1519="","",TRIM('R.M Billets Reports'!B1519))</f>
      </c>
      <c r="F1520">
        <f>'R.M Billets Reports'!C1519</f>
      </c>
      <c r="G1520">
        <f>'R.M Billets Reports'!D1519</f>
      </c>
      <c r="H1520">
        <f>'R.M Billets Reports'!E1519</f>
      </c>
      <c r="I1520">
        <f>'R.M Billets Reports'!F1519</f>
      </c>
      <c r="J1520">
        <f>'R.M Billets Reports'!G1519</f>
      </c>
      <c r="K1520">
        <f>'R.M Billets Reports'!H1519</f>
      </c>
      <c r="L1520">
        <f>IF('R.M Billets Reports'!I1519="","",'R.M Billets Reports'!I1519)</f>
      </c>
      <c r="M1520">
        <f t="shared" si="46"/>
      </c>
      <c r="N1520">
        <f>IF('R.M Billets Reports'!J1519="","",'R.M Billets Reports'!J1519)</f>
      </c>
      <c r="O1520">
        <f t="shared" si="47"/>
      </c>
      <c r="P1520">
        <f>IF('R.M Billets Reports'!A1519="SIZE",'R.M Billets Reports'!B1519,P1519)</f>
      </c>
    </row>
    <row r="1521" spans="1:16" x14ac:dyDescent="0.25">
      <c r="A1521">
        <f>IF(OR('R.M Billets Reports'!A1520="Date-",'R.M Billets Reports'!A1520="Date:-"),IF(IF(IF(ISNUMBER(SEARCH("Party Name:-",'R.M Billets Reports'!D1520)),TRIM('R.M Billets Reports'!F1520),IF(ISNUMBER(SEARCH("Party Name-",'R.M Billets Reports'!D1520)),TRIM(MID('R.M Billets Reports'!D1520,SEARCH("-",'R.M Billets Reports'!D1520)+1,200)),""))&lt;&gt;"",IF(ISNUMBER(SEARCH("Party Name:-",'R.M Billets Reports'!D1520)),TRIM('R.M Billets Reports'!F1520),IF(ISNUMBER(SEARCH("Party Name-",'R.M Billets Reports'!D1520)),TRIM(MID('R.M Billets Reports'!D1520,SEARCH("-",'R.M Billets Reports'!D1520)+1,200)),"")),IF(ISNUMBER(SEARCH("Party Name:-",'R.M Billets Reports'!D1521)),TRIM('R.M Billets Reports'!F1521),IF(ISNUMBER(SEARCH("Party Name-",'R.M Billets Reports'!D1521)),TRIM(MID('R.M Billets Reports'!D1521,SEARCH("-",'R.M Billets Reports'!D1521)+1,200)),"")))="VRKP ISPAT PVT LTD","VRKP",IF(IF(IF(ISNUMBER(SEARCH("Party Name:-",'R.M Billets Reports'!D1520)),TRIM('R.M Billets Reports'!F1520),IF(ISNUMBER(SEARCH("Party Name-",'R.M Billets Reports'!D1520)),TRIM(MID('R.M Billets Reports'!D1520,SEARCH("-",'R.M Billets Reports'!D1520)+1,200)),""))&lt;&gt;"",IF(ISNUMBER(SEARCH("Party Name:-",'R.M Billets Reports'!D1520)),TRIM('R.M Billets Reports'!F1520),IF(ISNUMBER(SEARCH("Party Name-",'R.M Billets Reports'!D1520)),TRIM(MID('R.M Billets Reports'!D1520,SEARCH("-",'R.M Billets Reports'!D1520)+1,200)),"")),IF(ISNUMBER(SEARCH("Party Name:-",'R.M Billets Reports'!D1521)),TRIM('R.M Billets Reports'!F1521),IF(ISNUMBER(SEARCH("Party Name-",'R.M Billets Reports'!D1521)),TRIM(MID('R.M Billets Reports'!D1521,SEARCH("-",'R.M Billets Reports'!D1521)+1,200)),"")))="SHRI RADHE","SHREE RADHE",IF(IF(IF(ISNUMBER(SEARCH("Party Name:-",'R.M Billets Reports'!D1520)),TRIM('R.M Billets Reports'!F1520),IF(ISNUMBER(SEARCH("Party Name-",'R.M Billets Reports'!D1520)),TRIM(MID('R.M Billets Reports'!D1520,SEARCH("-",'R.M Billets Reports'!D1520)+1,200)),""))&lt;&gt;"",IF(ISNUMBER(SEARCH("Party Name:-",'R.M Billets Reports'!D1520)),TRIM('R.M Billets Reports'!F1520),IF(ISNUMBER(SEARCH("Party Name-",'R.M Billets Reports'!D1520)),TRIM(MID('R.M Billets Reports'!D1520,SEARCH("-",'R.M Billets Reports'!D1520)+1,200)),"")),IF(ISNUMBER(SEARCH("Party Name:-",'R.M Billets Reports'!D1521)),TRIM('R.M Billets Reports'!F1521),IF(ISNUMBER(SEARCH("Party Name-",'R.M Billets Reports'!D1521)),TRIM(MID('R.M Billets Reports'!D1521,SEARCH("-",'R.M Billets Reports'!D1521)+1,200)),"")))="SHREE RADHE SHAKTI SPONGE AND POWER PVT. LTD.","SHREE RADHE",IF(IF(ISNUMBER(SEARCH("Party Name:-",'R.M Billets Reports'!D1520)),TRIM('R.M Billets Reports'!F1520),IF(ISNUMBER(SEARCH("Party Name-",'R.M Billets Reports'!D1520)),TRIM(MID('R.M Billets Reports'!D1520,SEARCH("-",'R.M Billets Reports'!D1520)+1,200)),""))&lt;&gt;"",IF(ISNUMBER(SEARCH("Party Name:-",'R.M Billets Reports'!D1520)),TRIM('R.M Billets Reports'!F1520),IF(ISNUMBER(SEARCH("Party Name-",'R.M Billets Reports'!D1520)),TRIM(MID('R.M Billets Reports'!D1520,SEARCH("-",'R.M Billets Reports'!D1520)+1,200)),"")),IF(ISNUMBER(SEARCH("Party Name:-",'R.M Billets Reports'!D1521)),TRIM('R.M Billets Reports'!F1521),IF(ISNUMBER(SEARCH("Party Name-",'R.M Billets Reports'!D1521)),TRIM(MID('R.M Billets Reports'!D1521,SEARCH("-",'R.M Billets Reports'!D1521)+1,200)),"")))))),IF(ROW()=2,"",A1520))</f>
      </c>
      <c r="B1521">
        <f>IF(OR('R.M Billets Reports'!A1520="Date-",'R.M Billets Reports'!A1520="Date:-"),'R.M Billets Reports'!B1520,IF(ROW()=2,"",B1520))</f>
      </c>
      <c r="C1521">
        <f>IF('R.M Billets Reports'!A1520="V.No.",'R.M Billets Reports'!B1520,IF(ROW()=2,"",C1520))</f>
      </c>
      <c r="D1521">
        <f>IF('R.M Billets Reports'!A1520&lt;&gt;"",'R.M Billets Reports'!A1520,IF(ROW()=2,"",D1520))</f>
      </c>
      <c r="E1521">
        <f>IF('R.M Billets Reports'!B1520="","",TRIM('R.M Billets Reports'!B1520))</f>
      </c>
      <c r="F1521">
        <f>'R.M Billets Reports'!C1520</f>
      </c>
      <c r="G1521">
        <f>'R.M Billets Reports'!D1520</f>
      </c>
      <c r="H1521">
        <f>'R.M Billets Reports'!E1520</f>
      </c>
      <c r="I1521">
        <f>'R.M Billets Reports'!F1520</f>
      </c>
      <c r="J1521">
        <f>'R.M Billets Reports'!G1520</f>
      </c>
      <c r="K1521">
        <f>'R.M Billets Reports'!H1520</f>
      </c>
      <c r="L1521">
        <f>IF('R.M Billets Reports'!I1520="","",'R.M Billets Reports'!I1520)</f>
      </c>
      <c r="M1521">
        <f t="shared" si="46"/>
      </c>
      <c r="N1521">
        <f>IF('R.M Billets Reports'!J1520="","",'R.M Billets Reports'!J1520)</f>
      </c>
      <c r="O1521">
        <f t="shared" si="47"/>
      </c>
      <c r="P1521">
        <f>IF('R.M Billets Reports'!A1520="SIZE",'R.M Billets Reports'!B1520,P1520)</f>
      </c>
    </row>
    <row r="1522" spans="1:16" x14ac:dyDescent="0.25">
      <c r="A1522">
        <f>IF(OR('R.M Billets Reports'!A1521="Date-",'R.M Billets Reports'!A1521="Date:-"),IF(IF(IF(ISNUMBER(SEARCH("Party Name:-",'R.M Billets Reports'!D1521)),TRIM('R.M Billets Reports'!F1521),IF(ISNUMBER(SEARCH("Party Name-",'R.M Billets Reports'!D1521)),TRIM(MID('R.M Billets Reports'!D1521,SEARCH("-",'R.M Billets Reports'!D1521)+1,200)),""))&lt;&gt;"",IF(ISNUMBER(SEARCH("Party Name:-",'R.M Billets Reports'!D1521)),TRIM('R.M Billets Reports'!F1521),IF(ISNUMBER(SEARCH("Party Name-",'R.M Billets Reports'!D1521)),TRIM(MID('R.M Billets Reports'!D1521,SEARCH("-",'R.M Billets Reports'!D1521)+1,200)),"")),IF(ISNUMBER(SEARCH("Party Name:-",'R.M Billets Reports'!D1522)),TRIM('R.M Billets Reports'!F1522),IF(ISNUMBER(SEARCH("Party Name-",'R.M Billets Reports'!D1522)),TRIM(MID('R.M Billets Reports'!D1522,SEARCH("-",'R.M Billets Reports'!D1522)+1,200)),"")))="VRKP ISPAT PVT LTD","VRKP",IF(IF(IF(ISNUMBER(SEARCH("Party Name:-",'R.M Billets Reports'!D1521)),TRIM('R.M Billets Reports'!F1521),IF(ISNUMBER(SEARCH("Party Name-",'R.M Billets Reports'!D1521)),TRIM(MID('R.M Billets Reports'!D1521,SEARCH("-",'R.M Billets Reports'!D1521)+1,200)),""))&lt;&gt;"",IF(ISNUMBER(SEARCH("Party Name:-",'R.M Billets Reports'!D1521)),TRIM('R.M Billets Reports'!F1521),IF(ISNUMBER(SEARCH("Party Name-",'R.M Billets Reports'!D1521)),TRIM(MID('R.M Billets Reports'!D1521,SEARCH("-",'R.M Billets Reports'!D1521)+1,200)),"")),IF(ISNUMBER(SEARCH("Party Name:-",'R.M Billets Reports'!D1522)),TRIM('R.M Billets Reports'!F1522),IF(ISNUMBER(SEARCH("Party Name-",'R.M Billets Reports'!D1522)),TRIM(MID('R.M Billets Reports'!D1522,SEARCH("-",'R.M Billets Reports'!D1522)+1,200)),"")))="SHRI RADHE","SHREE RADHE",IF(IF(IF(ISNUMBER(SEARCH("Party Name:-",'R.M Billets Reports'!D1521)),TRIM('R.M Billets Reports'!F1521),IF(ISNUMBER(SEARCH("Party Name-",'R.M Billets Reports'!D1521)),TRIM(MID('R.M Billets Reports'!D1521,SEARCH("-",'R.M Billets Reports'!D1521)+1,200)),""))&lt;&gt;"",IF(ISNUMBER(SEARCH("Party Name:-",'R.M Billets Reports'!D1521)),TRIM('R.M Billets Reports'!F1521),IF(ISNUMBER(SEARCH("Party Name-",'R.M Billets Reports'!D1521)),TRIM(MID('R.M Billets Reports'!D1521,SEARCH("-",'R.M Billets Reports'!D1521)+1,200)),"")),IF(ISNUMBER(SEARCH("Party Name:-",'R.M Billets Reports'!D1522)),TRIM('R.M Billets Reports'!F1522),IF(ISNUMBER(SEARCH("Party Name-",'R.M Billets Reports'!D1522)),TRIM(MID('R.M Billets Reports'!D1522,SEARCH("-",'R.M Billets Reports'!D1522)+1,200)),"")))="SHREE RADHE SHAKTI SPONGE AND POWER PVT. LTD.","SHREE RADHE",IF(IF(ISNUMBER(SEARCH("Party Name:-",'R.M Billets Reports'!D1521)),TRIM('R.M Billets Reports'!F1521),IF(ISNUMBER(SEARCH("Party Name-",'R.M Billets Reports'!D1521)),TRIM(MID('R.M Billets Reports'!D1521,SEARCH("-",'R.M Billets Reports'!D1521)+1,200)),""))&lt;&gt;"",IF(ISNUMBER(SEARCH("Party Name:-",'R.M Billets Reports'!D1521)),TRIM('R.M Billets Reports'!F1521),IF(ISNUMBER(SEARCH("Party Name-",'R.M Billets Reports'!D1521)),TRIM(MID('R.M Billets Reports'!D1521,SEARCH("-",'R.M Billets Reports'!D1521)+1,200)),"")),IF(ISNUMBER(SEARCH("Party Name:-",'R.M Billets Reports'!D1522)),TRIM('R.M Billets Reports'!F1522),IF(ISNUMBER(SEARCH("Party Name-",'R.M Billets Reports'!D1522)),TRIM(MID('R.M Billets Reports'!D1522,SEARCH("-",'R.M Billets Reports'!D1522)+1,200)),"")))))),IF(ROW()=2,"",A1521))</f>
      </c>
      <c r="B1522">
        <f>IF(OR('R.M Billets Reports'!A1521="Date-",'R.M Billets Reports'!A1521="Date:-"),'R.M Billets Reports'!B1521,IF(ROW()=2,"",B1521))</f>
      </c>
      <c r="C1522">
        <f>IF('R.M Billets Reports'!A1521="V.No.",'R.M Billets Reports'!B1521,IF(ROW()=2,"",C1521))</f>
      </c>
      <c r="D1522">
        <f>IF('R.M Billets Reports'!A1521&lt;&gt;"",'R.M Billets Reports'!A1521,IF(ROW()=2,"",D1521))</f>
      </c>
      <c r="E1522">
        <f>IF('R.M Billets Reports'!B1521="","",TRIM('R.M Billets Reports'!B1521))</f>
      </c>
      <c r="F1522">
        <f>'R.M Billets Reports'!C1521</f>
      </c>
      <c r="G1522">
        <f>'R.M Billets Reports'!D1521</f>
      </c>
      <c r="H1522">
        <f>'R.M Billets Reports'!E1521</f>
      </c>
      <c r="I1522">
        <f>'R.M Billets Reports'!F1521</f>
      </c>
      <c r="J1522">
        <f>'R.M Billets Reports'!G1521</f>
      </c>
      <c r="K1522">
        <f>'R.M Billets Reports'!H1521</f>
      </c>
      <c r="L1522">
        <f>IF('R.M Billets Reports'!I1521="","",'R.M Billets Reports'!I1521)</f>
      </c>
      <c r="M1522">
        <f t="shared" si="46"/>
      </c>
      <c r="N1522">
        <f>IF('R.M Billets Reports'!J1521="","",'R.M Billets Reports'!J1521)</f>
      </c>
      <c r="O1522">
        <f t="shared" si="47"/>
      </c>
      <c r="P1522">
        <f>IF('R.M Billets Reports'!A1521="SIZE",'R.M Billets Reports'!B1521,P1521)</f>
      </c>
    </row>
    <row r="1523" spans="1:16" x14ac:dyDescent="0.25">
      <c r="A1523">
        <f>IF(OR('R.M Billets Reports'!A1522="Date-",'R.M Billets Reports'!A1522="Date:-"),IF(IF(IF(ISNUMBER(SEARCH("Party Name:-",'R.M Billets Reports'!D1522)),TRIM('R.M Billets Reports'!F1522),IF(ISNUMBER(SEARCH("Party Name-",'R.M Billets Reports'!D1522)),TRIM(MID('R.M Billets Reports'!D1522,SEARCH("-",'R.M Billets Reports'!D1522)+1,200)),""))&lt;&gt;"",IF(ISNUMBER(SEARCH("Party Name:-",'R.M Billets Reports'!D1522)),TRIM('R.M Billets Reports'!F1522),IF(ISNUMBER(SEARCH("Party Name-",'R.M Billets Reports'!D1522)),TRIM(MID('R.M Billets Reports'!D1522,SEARCH("-",'R.M Billets Reports'!D1522)+1,200)),"")),IF(ISNUMBER(SEARCH("Party Name:-",'R.M Billets Reports'!D1523)),TRIM('R.M Billets Reports'!F1523),IF(ISNUMBER(SEARCH("Party Name-",'R.M Billets Reports'!D1523)),TRIM(MID('R.M Billets Reports'!D1523,SEARCH("-",'R.M Billets Reports'!D1523)+1,200)),"")))="VRKP ISPAT PVT LTD","VRKP",IF(IF(IF(ISNUMBER(SEARCH("Party Name:-",'R.M Billets Reports'!D1522)),TRIM('R.M Billets Reports'!F1522),IF(ISNUMBER(SEARCH("Party Name-",'R.M Billets Reports'!D1522)),TRIM(MID('R.M Billets Reports'!D1522,SEARCH("-",'R.M Billets Reports'!D1522)+1,200)),""))&lt;&gt;"",IF(ISNUMBER(SEARCH("Party Name:-",'R.M Billets Reports'!D1522)),TRIM('R.M Billets Reports'!F1522),IF(ISNUMBER(SEARCH("Party Name-",'R.M Billets Reports'!D1522)),TRIM(MID('R.M Billets Reports'!D1522,SEARCH("-",'R.M Billets Reports'!D1522)+1,200)),"")),IF(ISNUMBER(SEARCH("Party Name:-",'R.M Billets Reports'!D1523)),TRIM('R.M Billets Reports'!F1523),IF(ISNUMBER(SEARCH("Party Name-",'R.M Billets Reports'!D1523)),TRIM(MID('R.M Billets Reports'!D1523,SEARCH("-",'R.M Billets Reports'!D1523)+1,200)),"")))="SHRI RADHE","SHREE RADHE",IF(IF(IF(ISNUMBER(SEARCH("Party Name:-",'R.M Billets Reports'!D1522)),TRIM('R.M Billets Reports'!F1522),IF(ISNUMBER(SEARCH("Party Name-",'R.M Billets Reports'!D1522)),TRIM(MID('R.M Billets Reports'!D1522,SEARCH("-",'R.M Billets Reports'!D1522)+1,200)),""))&lt;&gt;"",IF(ISNUMBER(SEARCH("Party Name:-",'R.M Billets Reports'!D1522)),TRIM('R.M Billets Reports'!F1522),IF(ISNUMBER(SEARCH("Party Name-",'R.M Billets Reports'!D1522)),TRIM(MID('R.M Billets Reports'!D1522,SEARCH("-",'R.M Billets Reports'!D1522)+1,200)),"")),IF(ISNUMBER(SEARCH("Party Name:-",'R.M Billets Reports'!D1523)),TRIM('R.M Billets Reports'!F1523),IF(ISNUMBER(SEARCH("Party Name-",'R.M Billets Reports'!D1523)),TRIM(MID('R.M Billets Reports'!D1523,SEARCH("-",'R.M Billets Reports'!D1523)+1,200)),"")))="SHREE RADHE SHAKTI SPONGE AND POWER PVT. LTD.","SHREE RADHE",IF(IF(ISNUMBER(SEARCH("Party Name:-",'R.M Billets Reports'!D1522)),TRIM('R.M Billets Reports'!F1522),IF(ISNUMBER(SEARCH("Party Name-",'R.M Billets Reports'!D1522)),TRIM(MID('R.M Billets Reports'!D1522,SEARCH("-",'R.M Billets Reports'!D1522)+1,200)),""))&lt;&gt;"",IF(ISNUMBER(SEARCH("Party Name:-",'R.M Billets Reports'!D1522)),TRIM('R.M Billets Reports'!F1522),IF(ISNUMBER(SEARCH("Party Name-",'R.M Billets Reports'!D1522)),TRIM(MID('R.M Billets Reports'!D1522,SEARCH("-",'R.M Billets Reports'!D1522)+1,200)),"")),IF(ISNUMBER(SEARCH("Party Name:-",'R.M Billets Reports'!D1523)),TRIM('R.M Billets Reports'!F1523),IF(ISNUMBER(SEARCH("Party Name-",'R.M Billets Reports'!D1523)),TRIM(MID('R.M Billets Reports'!D1523,SEARCH("-",'R.M Billets Reports'!D1523)+1,200)),"")))))),IF(ROW()=2,"",A1522))</f>
      </c>
      <c r="B1523">
        <f>IF(OR('R.M Billets Reports'!A1522="Date-",'R.M Billets Reports'!A1522="Date:-"),'R.M Billets Reports'!B1522,IF(ROW()=2,"",B1522))</f>
      </c>
      <c r="C1523">
        <f>IF('R.M Billets Reports'!A1522="V.No.",'R.M Billets Reports'!B1522,IF(ROW()=2,"",C1522))</f>
      </c>
      <c r="D1523">
        <f>IF('R.M Billets Reports'!A1522&lt;&gt;"",'R.M Billets Reports'!A1522,IF(ROW()=2,"",D1522))</f>
      </c>
      <c r="E1523">
        <f>IF('R.M Billets Reports'!B1522="","",TRIM('R.M Billets Reports'!B1522))</f>
      </c>
      <c r="F1523">
        <f>'R.M Billets Reports'!C1522</f>
      </c>
      <c r="G1523">
        <f>'R.M Billets Reports'!D1522</f>
      </c>
      <c r="H1523">
        <f>'R.M Billets Reports'!E1522</f>
      </c>
      <c r="I1523">
        <f>'R.M Billets Reports'!F1522</f>
      </c>
      <c r="J1523">
        <f>'R.M Billets Reports'!G1522</f>
      </c>
      <c r="K1523">
        <f>'R.M Billets Reports'!H1522</f>
      </c>
      <c r="L1523">
        <f>IF('R.M Billets Reports'!I1522="","",'R.M Billets Reports'!I1522)</f>
      </c>
      <c r="M1523">
        <f t="shared" si="46"/>
      </c>
      <c r="N1523">
        <f>IF('R.M Billets Reports'!J1522="","",'R.M Billets Reports'!J1522)</f>
      </c>
      <c r="O1523">
        <f t="shared" si="47"/>
      </c>
      <c r="P1523">
        <f>IF('R.M Billets Reports'!A1522="SIZE",'R.M Billets Reports'!B1522,P1522)</f>
      </c>
    </row>
    <row r="1524" spans="1:16" x14ac:dyDescent="0.25">
      <c r="A1524">
        <f>IF(OR('R.M Billets Reports'!A1523="Date-",'R.M Billets Reports'!A1523="Date:-"),IF(IF(IF(ISNUMBER(SEARCH("Party Name:-",'R.M Billets Reports'!D1523)),TRIM('R.M Billets Reports'!F1523),IF(ISNUMBER(SEARCH("Party Name-",'R.M Billets Reports'!D1523)),TRIM(MID('R.M Billets Reports'!D1523,SEARCH("-",'R.M Billets Reports'!D1523)+1,200)),""))&lt;&gt;"",IF(ISNUMBER(SEARCH("Party Name:-",'R.M Billets Reports'!D1523)),TRIM('R.M Billets Reports'!F1523),IF(ISNUMBER(SEARCH("Party Name-",'R.M Billets Reports'!D1523)),TRIM(MID('R.M Billets Reports'!D1523,SEARCH("-",'R.M Billets Reports'!D1523)+1,200)),"")),IF(ISNUMBER(SEARCH("Party Name:-",'R.M Billets Reports'!D1524)),TRIM('R.M Billets Reports'!F1524),IF(ISNUMBER(SEARCH("Party Name-",'R.M Billets Reports'!D1524)),TRIM(MID('R.M Billets Reports'!D1524,SEARCH("-",'R.M Billets Reports'!D1524)+1,200)),"")))="VRKP ISPAT PVT LTD","VRKP",IF(IF(IF(ISNUMBER(SEARCH("Party Name:-",'R.M Billets Reports'!D1523)),TRIM('R.M Billets Reports'!F1523),IF(ISNUMBER(SEARCH("Party Name-",'R.M Billets Reports'!D1523)),TRIM(MID('R.M Billets Reports'!D1523,SEARCH("-",'R.M Billets Reports'!D1523)+1,200)),""))&lt;&gt;"",IF(ISNUMBER(SEARCH("Party Name:-",'R.M Billets Reports'!D1523)),TRIM('R.M Billets Reports'!F1523),IF(ISNUMBER(SEARCH("Party Name-",'R.M Billets Reports'!D1523)),TRIM(MID('R.M Billets Reports'!D1523,SEARCH("-",'R.M Billets Reports'!D1523)+1,200)),"")),IF(ISNUMBER(SEARCH("Party Name:-",'R.M Billets Reports'!D1524)),TRIM('R.M Billets Reports'!F1524),IF(ISNUMBER(SEARCH("Party Name-",'R.M Billets Reports'!D1524)),TRIM(MID('R.M Billets Reports'!D1524,SEARCH("-",'R.M Billets Reports'!D1524)+1,200)),"")))="SHRI RADHE","SHREE RADHE",IF(IF(IF(ISNUMBER(SEARCH("Party Name:-",'R.M Billets Reports'!D1523)),TRIM('R.M Billets Reports'!F1523),IF(ISNUMBER(SEARCH("Party Name-",'R.M Billets Reports'!D1523)),TRIM(MID('R.M Billets Reports'!D1523,SEARCH("-",'R.M Billets Reports'!D1523)+1,200)),""))&lt;&gt;"",IF(ISNUMBER(SEARCH("Party Name:-",'R.M Billets Reports'!D1523)),TRIM('R.M Billets Reports'!F1523),IF(ISNUMBER(SEARCH("Party Name-",'R.M Billets Reports'!D1523)),TRIM(MID('R.M Billets Reports'!D1523,SEARCH("-",'R.M Billets Reports'!D1523)+1,200)),"")),IF(ISNUMBER(SEARCH("Party Name:-",'R.M Billets Reports'!D1524)),TRIM('R.M Billets Reports'!F1524),IF(ISNUMBER(SEARCH("Party Name-",'R.M Billets Reports'!D1524)),TRIM(MID('R.M Billets Reports'!D1524,SEARCH("-",'R.M Billets Reports'!D1524)+1,200)),"")))="SHREE RADHE SHAKTI SPONGE AND POWER PVT. LTD.","SHREE RADHE",IF(IF(ISNUMBER(SEARCH("Party Name:-",'R.M Billets Reports'!D1523)),TRIM('R.M Billets Reports'!F1523),IF(ISNUMBER(SEARCH("Party Name-",'R.M Billets Reports'!D1523)),TRIM(MID('R.M Billets Reports'!D1523,SEARCH("-",'R.M Billets Reports'!D1523)+1,200)),""))&lt;&gt;"",IF(ISNUMBER(SEARCH("Party Name:-",'R.M Billets Reports'!D1523)),TRIM('R.M Billets Reports'!F1523),IF(ISNUMBER(SEARCH("Party Name-",'R.M Billets Reports'!D1523)),TRIM(MID('R.M Billets Reports'!D1523,SEARCH("-",'R.M Billets Reports'!D1523)+1,200)),"")),IF(ISNUMBER(SEARCH("Party Name:-",'R.M Billets Reports'!D1524)),TRIM('R.M Billets Reports'!F1524),IF(ISNUMBER(SEARCH("Party Name-",'R.M Billets Reports'!D1524)),TRIM(MID('R.M Billets Reports'!D1524,SEARCH("-",'R.M Billets Reports'!D1524)+1,200)),"")))))),IF(ROW()=2,"",A1523))</f>
      </c>
      <c r="B1524">
        <f>IF(OR('R.M Billets Reports'!A1523="Date-",'R.M Billets Reports'!A1523="Date:-"),'R.M Billets Reports'!B1523,IF(ROW()=2,"",B1523))</f>
      </c>
      <c r="C1524">
        <f>IF('R.M Billets Reports'!A1523="V.No.",'R.M Billets Reports'!B1523,IF(ROW()=2,"",C1523))</f>
      </c>
      <c r="D1524">
        <f>IF('R.M Billets Reports'!A1523&lt;&gt;"",'R.M Billets Reports'!A1523,IF(ROW()=2,"",D1523))</f>
      </c>
      <c r="E1524">
        <f>IF('R.M Billets Reports'!B1523="","",TRIM('R.M Billets Reports'!B1523))</f>
      </c>
      <c r="F1524">
        <f>'R.M Billets Reports'!C1523</f>
      </c>
      <c r="G1524">
        <f>'R.M Billets Reports'!D1523</f>
      </c>
      <c r="H1524">
        <f>'R.M Billets Reports'!E1523</f>
      </c>
      <c r="I1524">
        <f>'R.M Billets Reports'!F1523</f>
      </c>
      <c r="J1524">
        <f>'R.M Billets Reports'!G1523</f>
      </c>
      <c r="K1524">
        <f>'R.M Billets Reports'!H1523</f>
      </c>
      <c r="L1524">
        <f>IF('R.M Billets Reports'!I1523="","",'R.M Billets Reports'!I1523)</f>
      </c>
      <c r="M1524">
        <f t="shared" si="46"/>
      </c>
      <c r="N1524">
        <f>IF('R.M Billets Reports'!J1523="","",'R.M Billets Reports'!J1523)</f>
      </c>
      <c r="O1524">
        <f t="shared" si="47"/>
      </c>
      <c r="P1524">
        <f>IF('R.M Billets Reports'!A1523="SIZE",'R.M Billets Reports'!B1523,P1523)</f>
      </c>
    </row>
    <row r="1525" spans="1:16" x14ac:dyDescent="0.25">
      <c r="A1525">
        <f>IF(OR('R.M Billets Reports'!A1524="Date-",'R.M Billets Reports'!A1524="Date:-"),IF(IF(IF(ISNUMBER(SEARCH("Party Name:-",'R.M Billets Reports'!D1524)),TRIM('R.M Billets Reports'!F1524),IF(ISNUMBER(SEARCH("Party Name-",'R.M Billets Reports'!D1524)),TRIM(MID('R.M Billets Reports'!D1524,SEARCH("-",'R.M Billets Reports'!D1524)+1,200)),""))&lt;&gt;"",IF(ISNUMBER(SEARCH("Party Name:-",'R.M Billets Reports'!D1524)),TRIM('R.M Billets Reports'!F1524),IF(ISNUMBER(SEARCH("Party Name-",'R.M Billets Reports'!D1524)),TRIM(MID('R.M Billets Reports'!D1524,SEARCH("-",'R.M Billets Reports'!D1524)+1,200)),"")),IF(ISNUMBER(SEARCH("Party Name:-",'R.M Billets Reports'!D1525)),TRIM('R.M Billets Reports'!F1525),IF(ISNUMBER(SEARCH("Party Name-",'R.M Billets Reports'!D1525)),TRIM(MID('R.M Billets Reports'!D1525,SEARCH("-",'R.M Billets Reports'!D1525)+1,200)),"")))="VRKP ISPAT PVT LTD","VRKP",IF(IF(IF(ISNUMBER(SEARCH("Party Name:-",'R.M Billets Reports'!D1524)),TRIM('R.M Billets Reports'!F1524),IF(ISNUMBER(SEARCH("Party Name-",'R.M Billets Reports'!D1524)),TRIM(MID('R.M Billets Reports'!D1524,SEARCH("-",'R.M Billets Reports'!D1524)+1,200)),""))&lt;&gt;"",IF(ISNUMBER(SEARCH("Party Name:-",'R.M Billets Reports'!D1524)),TRIM('R.M Billets Reports'!F1524),IF(ISNUMBER(SEARCH("Party Name-",'R.M Billets Reports'!D1524)),TRIM(MID('R.M Billets Reports'!D1524,SEARCH("-",'R.M Billets Reports'!D1524)+1,200)),"")),IF(ISNUMBER(SEARCH("Party Name:-",'R.M Billets Reports'!D1525)),TRIM('R.M Billets Reports'!F1525),IF(ISNUMBER(SEARCH("Party Name-",'R.M Billets Reports'!D1525)),TRIM(MID('R.M Billets Reports'!D1525,SEARCH("-",'R.M Billets Reports'!D1525)+1,200)),"")))="SHRI RADHE","SHREE RADHE",IF(IF(IF(ISNUMBER(SEARCH("Party Name:-",'R.M Billets Reports'!D1524)),TRIM('R.M Billets Reports'!F1524),IF(ISNUMBER(SEARCH("Party Name-",'R.M Billets Reports'!D1524)),TRIM(MID('R.M Billets Reports'!D1524,SEARCH("-",'R.M Billets Reports'!D1524)+1,200)),""))&lt;&gt;"",IF(ISNUMBER(SEARCH("Party Name:-",'R.M Billets Reports'!D1524)),TRIM('R.M Billets Reports'!F1524),IF(ISNUMBER(SEARCH("Party Name-",'R.M Billets Reports'!D1524)),TRIM(MID('R.M Billets Reports'!D1524,SEARCH("-",'R.M Billets Reports'!D1524)+1,200)),"")),IF(ISNUMBER(SEARCH("Party Name:-",'R.M Billets Reports'!D1525)),TRIM('R.M Billets Reports'!F1525),IF(ISNUMBER(SEARCH("Party Name-",'R.M Billets Reports'!D1525)),TRIM(MID('R.M Billets Reports'!D1525,SEARCH("-",'R.M Billets Reports'!D1525)+1,200)),"")))="SHREE RADHE SHAKTI SPONGE AND POWER PVT. LTD.","SHREE RADHE",IF(IF(ISNUMBER(SEARCH("Party Name:-",'R.M Billets Reports'!D1524)),TRIM('R.M Billets Reports'!F1524),IF(ISNUMBER(SEARCH("Party Name-",'R.M Billets Reports'!D1524)),TRIM(MID('R.M Billets Reports'!D1524,SEARCH("-",'R.M Billets Reports'!D1524)+1,200)),""))&lt;&gt;"",IF(ISNUMBER(SEARCH("Party Name:-",'R.M Billets Reports'!D1524)),TRIM('R.M Billets Reports'!F1524),IF(ISNUMBER(SEARCH("Party Name-",'R.M Billets Reports'!D1524)),TRIM(MID('R.M Billets Reports'!D1524,SEARCH("-",'R.M Billets Reports'!D1524)+1,200)),"")),IF(ISNUMBER(SEARCH("Party Name:-",'R.M Billets Reports'!D1525)),TRIM('R.M Billets Reports'!F1525),IF(ISNUMBER(SEARCH("Party Name-",'R.M Billets Reports'!D1525)),TRIM(MID('R.M Billets Reports'!D1525,SEARCH("-",'R.M Billets Reports'!D1525)+1,200)),"")))))),IF(ROW()=2,"",A1524))</f>
      </c>
      <c r="B1525">
        <f>IF(OR('R.M Billets Reports'!A1524="Date-",'R.M Billets Reports'!A1524="Date:-"),'R.M Billets Reports'!B1524,IF(ROW()=2,"",B1524))</f>
      </c>
      <c r="C1525">
        <f>IF('R.M Billets Reports'!A1524="V.No.",'R.M Billets Reports'!B1524,IF(ROW()=2,"",C1524))</f>
      </c>
      <c r="D1525">
        <f>IF('R.M Billets Reports'!A1524&lt;&gt;"",'R.M Billets Reports'!A1524,IF(ROW()=2,"",D1524))</f>
      </c>
      <c r="E1525">
        <f>IF('R.M Billets Reports'!B1524="","",TRIM('R.M Billets Reports'!B1524))</f>
      </c>
      <c r="F1525">
        <f>'R.M Billets Reports'!C1524</f>
      </c>
      <c r="G1525">
        <f>'R.M Billets Reports'!D1524</f>
      </c>
      <c r="H1525">
        <f>'R.M Billets Reports'!E1524</f>
      </c>
      <c r="I1525">
        <f>'R.M Billets Reports'!F1524</f>
      </c>
      <c r="J1525">
        <f>'R.M Billets Reports'!G1524</f>
      </c>
      <c r="K1525">
        <f>'R.M Billets Reports'!H1524</f>
      </c>
      <c r="L1525">
        <f>IF('R.M Billets Reports'!I1524="","",'R.M Billets Reports'!I1524)</f>
      </c>
      <c r="M1525">
        <f t="shared" si="46"/>
      </c>
      <c r="N1525">
        <f>IF('R.M Billets Reports'!J1524="","",'R.M Billets Reports'!J1524)</f>
      </c>
      <c r="O1525">
        <f t="shared" si="47"/>
      </c>
      <c r="P1525">
        <f>IF('R.M Billets Reports'!A1524="SIZE",'R.M Billets Reports'!B1524,P1524)</f>
      </c>
    </row>
    <row r="1526" spans="1:16" x14ac:dyDescent="0.25">
      <c r="A1526">
        <f>IF(OR('R.M Billets Reports'!A1525="Date-",'R.M Billets Reports'!A1525="Date:-"),IF(IF(IF(ISNUMBER(SEARCH("Party Name:-",'R.M Billets Reports'!D1525)),TRIM('R.M Billets Reports'!F1525),IF(ISNUMBER(SEARCH("Party Name-",'R.M Billets Reports'!D1525)),TRIM(MID('R.M Billets Reports'!D1525,SEARCH("-",'R.M Billets Reports'!D1525)+1,200)),""))&lt;&gt;"",IF(ISNUMBER(SEARCH("Party Name:-",'R.M Billets Reports'!D1525)),TRIM('R.M Billets Reports'!F1525),IF(ISNUMBER(SEARCH("Party Name-",'R.M Billets Reports'!D1525)),TRIM(MID('R.M Billets Reports'!D1525,SEARCH("-",'R.M Billets Reports'!D1525)+1,200)),"")),IF(ISNUMBER(SEARCH("Party Name:-",'R.M Billets Reports'!D1526)),TRIM('R.M Billets Reports'!F1526),IF(ISNUMBER(SEARCH("Party Name-",'R.M Billets Reports'!D1526)),TRIM(MID('R.M Billets Reports'!D1526,SEARCH("-",'R.M Billets Reports'!D1526)+1,200)),"")))="VRKP ISPAT PVT LTD","VRKP",IF(IF(IF(ISNUMBER(SEARCH("Party Name:-",'R.M Billets Reports'!D1525)),TRIM('R.M Billets Reports'!F1525),IF(ISNUMBER(SEARCH("Party Name-",'R.M Billets Reports'!D1525)),TRIM(MID('R.M Billets Reports'!D1525,SEARCH("-",'R.M Billets Reports'!D1525)+1,200)),""))&lt;&gt;"",IF(ISNUMBER(SEARCH("Party Name:-",'R.M Billets Reports'!D1525)),TRIM('R.M Billets Reports'!F1525),IF(ISNUMBER(SEARCH("Party Name-",'R.M Billets Reports'!D1525)),TRIM(MID('R.M Billets Reports'!D1525,SEARCH("-",'R.M Billets Reports'!D1525)+1,200)),"")),IF(ISNUMBER(SEARCH("Party Name:-",'R.M Billets Reports'!D1526)),TRIM('R.M Billets Reports'!F1526),IF(ISNUMBER(SEARCH("Party Name-",'R.M Billets Reports'!D1526)),TRIM(MID('R.M Billets Reports'!D1526,SEARCH("-",'R.M Billets Reports'!D1526)+1,200)),"")))="SHRI RADHE","SHREE RADHE",IF(IF(IF(ISNUMBER(SEARCH("Party Name:-",'R.M Billets Reports'!D1525)),TRIM('R.M Billets Reports'!F1525),IF(ISNUMBER(SEARCH("Party Name-",'R.M Billets Reports'!D1525)),TRIM(MID('R.M Billets Reports'!D1525,SEARCH("-",'R.M Billets Reports'!D1525)+1,200)),""))&lt;&gt;"",IF(ISNUMBER(SEARCH("Party Name:-",'R.M Billets Reports'!D1525)),TRIM('R.M Billets Reports'!F1525),IF(ISNUMBER(SEARCH("Party Name-",'R.M Billets Reports'!D1525)),TRIM(MID('R.M Billets Reports'!D1525,SEARCH("-",'R.M Billets Reports'!D1525)+1,200)),"")),IF(ISNUMBER(SEARCH("Party Name:-",'R.M Billets Reports'!D1526)),TRIM('R.M Billets Reports'!F1526),IF(ISNUMBER(SEARCH("Party Name-",'R.M Billets Reports'!D1526)),TRIM(MID('R.M Billets Reports'!D1526,SEARCH("-",'R.M Billets Reports'!D1526)+1,200)),"")))="SHREE RADHE SHAKTI SPONGE AND POWER PVT. LTD.","SHREE RADHE",IF(IF(ISNUMBER(SEARCH("Party Name:-",'R.M Billets Reports'!D1525)),TRIM('R.M Billets Reports'!F1525),IF(ISNUMBER(SEARCH("Party Name-",'R.M Billets Reports'!D1525)),TRIM(MID('R.M Billets Reports'!D1525,SEARCH("-",'R.M Billets Reports'!D1525)+1,200)),""))&lt;&gt;"",IF(ISNUMBER(SEARCH("Party Name:-",'R.M Billets Reports'!D1525)),TRIM('R.M Billets Reports'!F1525),IF(ISNUMBER(SEARCH("Party Name-",'R.M Billets Reports'!D1525)),TRIM(MID('R.M Billets Reports'!D1525,SEARCH("-",'R.M Billets Reports'!D1525)+1,200)),"")),IF(ISNUMBER(SEARCH("Party Name:-",'R.M Billets Reports'!D1526)),TRIM('R.M Billets Reports'!F1526),IF(ISNUMBER(SEARCH("Party Name-",'R.M Billets Reports'!D1526)),TRIM(MID('R.M Billets Reports'!D1526,SEARCH("-",'R.M Billets Reports'!D1526)+1,200)),"")))))),IF(ROW()=2,"",A1525))</f>
      </c>
      <c r="B1526">
        <f>IF(OR('R.M Billets Reports'!A1525="Date-",'R.M Billets Reports'!A1525="Date:-"),'R.M Billets Reports'!B1525,IF(ROW()=2,"",B1525))</f>
      </c>
      <c r="C1526">
        <f>IF('R.M Billets Reports'!A1525="V.No.",'R.M Billets Reports'!B1525,IF(ROW()=2,"",C1525))</f>
      </c>
      <c r="D1526">
        <f>IF('R.M Billets Reports'!A1525&lt;&gt;"",'R.M Billets Reports'!A1525,IF(ROW()=2,"",D1525))</f>
      </c>
      <c r="E1526">
        <f>IF('R.M Billets Reports'!B1525="","",TRIM('R.M Billets Reports'!B1525))</f>
      </c>
      <c r="F1526">
        <f>'R.M Billets Reports'!C1525</f>
      </c>
      <c r="G1526">
        <f>'R.M Billets Reports'!D1525</f>
      </c>
      <c r="H1526">
        <f>'R.M Billets Reports'!E1525</f>
      </c>
      <c r="I1526">
        <f>'R.M Billets Reports'!F1525</f>
      </c>
      <c r="J1526">
        <f>'R.M Billets Reports'!G1525</f>
      </c>
      <c r="K1526">
        <f>'R.M Billets Reports'!H1525</f>
      </c>
      <c r="L1526">
        <f>IF('R.M Billets Reports'!I1525="","",'R.M Billets Reports'!I1525)</f>
      </c>
      <c r="M1526">
        <f t="shared" si="46"/>
      </c>
      <c r="N1526">
        <f>IF('R.M Billets Reports'!J1525="","",'R.M Billets Reports'!J1525)</f>
      </c>
      <c r="O1526">
        <f t="shared" si="47"/>
      </c>
      <c r="P1526">
        <f>IF('R.M Billets Reports'!A1525="SIZE",'R.M Billets Reports'!B1525,P1525)</f>
      </c>
    </row>
    <row r="1527" spans="1:16" x14ac:dyDescent="0.25">
      <c r="A1527">
        <f>IF(OR('R.M Billets Reports'!A1526="Date-",'R.M Billets Reports'!A1526="Date:-"),IF(IF(IF(ISNUMBER(SEARCH("Party Name:-",'R.M Billets Reports'!D1526)),TRIM('R.M Billets Reports'!F1526),IF(ISNUMBER(SEARCH("Party Name-",'R.M Billets Reports'!D1526)),TRIM(MID('R.M Billets Reports'!D1526,SEARCH("-",'R.M Billets Reports'!D1526)+1,200)),""))&lt;&gt;"",IF(ISNUMBER(SEARCH("Party Name:-",'R.M Billets Reports'!D1526)),TRIM('R.M Billets Reports'!F1526),IF(ISNUMBER(SEARCH("Party Name-",'R.M Billets Reports'!D1526)),TRIM(MID('R.M Billets Reports'!D1526,SEARCH("-",'R.M Billets Reports'!D1526)+1,200)),"")),IF(ISNUMBER(SEARCH("Party Name:-",'R.M Billets Reports'!D1527)),TRIM('R.M Billets Reports'!F1527),IF(ISNUMBER(SEARCH("Party Name-",'R.M Billets Reports'!D1527)),TRIM(MID('R.M Billets Reports'!D1527,SEARCH("-",'R.M Billets Reports'!D1527)+1,200)),"")))="VRKP ISPAT PVT LTD","VRKP",IF(IF(IF(ISNUMBER(SEARCH("Party Name:-",'R.M Billets Reports'!D1526)),TRIM('R.M Billets Reports'!F1526),IF(ISNUMBER(SEARCH("Party Name-",'R.M Billets Reports'!D1526)),TRIM(MID('R.M Billets Reports'!D1526,SEARCH("-",'R.M Billets Reports'!D1526)+1,200)),""))&lt;&gt;"",IF(ISNUMBER(SEARCH("Party Name:-",'R.M Billets Reports'!D1526)),TRIM('R.M Billets Reports'!F1526),IF(ISNUMBER(SEARCH("Party Name-",'R.M Billets Reports'!D1526)),TRIM(MID('R.M Billets Reports'!D1526,SEARCH("-",'R.M Billets Reports'!D1526)+1,200)),"")),IF(ISNUMBER(SEARCH("Party Name:-",'R.M Billets Reports'!D1527)),TRIM('R.M Billets Reports'!F1527),IF(ISNUMBER(SEARCH("Party Name-",'R.M Billets Reports'!D1527)),TRIM(MID('R.M Billets Reports'!D1527,SEARCH("-",'R.M Billets Reports'!D1527)+1,200)),"")))="SHRI RADHE","SHREE RADHE",IF(IF(IF(ISNUMBER(SEARCH("Party Name:-",'R.M Billets Reports'!D1526)),TRIM('R.M Billets Reports'!F1526),IF(ISNUMBER(SEARCH("Party Name-",'R.M Billets Reports'!D1526)),TRIM(MID('R.M Billets Reports'!D1526,SEARCH("-",'R.M Billets Reports'!D1526)+1,200)),""))&lt;&gt;"",IF(ISNUMBER(SEARCH("Party Name:-",'R.M Billets Reports'!D1526)),TRIM('R.M Billets Reports'!F1526),IF(ISNUMBER(SEARCH("Party Name-",'R.M Billets Reports'!D1526)),TRIM(MID('R.M Billets Reports'!D1526,SEARCH("-",'R.M Billets Reports'!D1526)+1,200)),"")),IF(ISNUMBER(SEARCH("Party Name:-",'R.M Billets Reports'!D1527)),TRIM('R.M Billets Reports'!F1527),IF(ISNUMBER(SEARCH("Party Name-",'R.M Billets Reports'!D1527)),TRIM(MID('R.M Billets Reports'!D1527,SEARCH("-",'R.M Billets Reports'!D1527)+1,200)),"")))="SHREE RADHE SHAKTI SPONGE AND POWER PVT. LTD.","SHREE RADHE",IF(IF(ISNUMBER(SEARCH("Party Name:-",'R.M Billets Reports'!D1526)),TRIM('R.M Billets Reports'!F1526),IF(ISNUMBER(SEARCH("Party Name-",'R.M Billets Reports'!D1526)),TRIM(MID('R.M Billets Reports'!D1526,SEARCH("-",'R.M Billets Reports'!D1526)+1,200)),""))&lt;&gt;"",IF(ISNUMBER(SEARCH("Party Name:-",'R.M Billets Reports'!D1526)),TRIM('R.M Billets Reports'!F1526),IF(ISNUMBER(SEARCH("Party Name-",'R.M Billets Reports'!D1526)),TRIM(MID('R.M Billets Reports'!D1526,SEARCH("-",'R.M Billets Reports'!D1526)+1,200)),"")),IF(ISNUMBER(SEARCH("Party Name:-",'R.M Billets Reports'!D1527)),TRIM('R.M Billets Reports'!F1527),IF(ISNUMBER(SEARCH("Party Name-",'R.M Billets Reports'!D1527)),TRIM(MID('R.M Billets Reports'!D1527,SEARCH("-",'R.M Billets Reports'!D1527)+1,200)),"")))))),IF(ROW()=2,"",A1526))</f>
      </c>
      <c r="B1527">
        <f>IF(OR('R.M Billets Reports'!A1526="Date-",'R.M Billets Reports'!A1526="Date:-"),'R.M Billets Reports'!B1526,IF(ROW()=2,"",B1526))</f>
      </c>
      <c r="C1527">
        <f>IF('R.M Billets Reports'!A1526="V.No.",'R.M Billets Reports'!B1526,IF(ROW()=2,"",C1526))</f>
      </c>
      <c r="D1527">
        <f>IF('R.M Billets Reports'!A1526&lt;&gt;"",'R.M Billets Reports'!A1526,IF(ROW()=2,"",D1526))</f>
      </c>
      <c r="E1527">
        <f>IF('R.M Billets Reports'!B1526="","",TRIM('R.M Billets Reports'!B1526))</f>
      </c>
      <c r="F1527">
        <f>'R.M Billets Reports'!C1526</f>
      </c>
      <c r="G1527">
        <f>'R.M Billets Reports'!D1526</f>
      </c>
      <c r="H1527">
        <f>'R.M Billets Reports'!E1526</f>
      </c>
      <c r="I1527">
        <f>'R.M Billets Reports'!F1526</f>
      </c>
      <c r="J1527">
        <f>'R.M Billets Reports'!G1526</f>
      </c>
      <c r="K1527">
        <f>'R.M Billets Reports'!H1526</f>
      </c>
      <c r="L1527">
        <f>IF('R.M Billets Reports'!I1526="","",'R.M Billets Reports'!I1526)</f>
      </c>
      <c r="M1527">
        <f t="shared" si="46"/>
      </c>
      <c r="N1527">
        <f>IF('R.M Billets Reports'!J1526="","",'R.M Billets Reports'!J1526)</f>
      </c>
      <c r="O1527">
        <f t="shared" si="47"/>
      </c>
      <c r="P1527">
        <f>IF('R.M Billets Reports'!A1526="SIZE",'R.M Billets Reports'!B1526,P1526)</f>
      </c>
    </row>
    <row r="1528" spans="1:16" x14ac:dyDescent="0.25">
      <c r="A1528">
        <f>IF(OR('R.M Billets Reports'!A1527="Date-",'R.M Billets Reports'!A1527="Date:-"),IF(IF(IF(ISNUMBER(SEARCH("Party Name:-",'R.M Billets Reports'!D1527)),TRIM('R.M Billets Reports'!F1527),IF(ISNUMBER(SEARCH("Party Name-",'R.M Billets Reports'!D1527)),TRIM(MID('R.M Billets Reports'!D1527,SEARCH("-",'R.M Billets Reports'!D1527)+1,200)),""))&lt;&gt;"",IF(ISNUMBER(SEARCH("Party Name:-",'R.M Billets Reports'!D1527)),TRIM('R.M Billets Reports'!F1527),IF(ISNUMBER(SEARCH("Party Name-",'R.M Billets Reports'!D1527)),TRIM(MID('R.M Billets Reports'!D1527,SEARCH("-",'R.M Billets Reports'!D1527)+1,200)),"")),IF(ISNUMBER(SEARCH("Party Name:-",'R.M Billets Reports'!D1528)),TRIM('R.M Billets Reports'!F1528),IF(ISNUMBER(SEARCH("Party Name-",'R.M Billets Reports'!D1528)),TRIM(MID('R.M Billets Reports'!D1528,SEARCH("-",'R.M Billets Reports'!D1528)+1,200)),"")))="VRKP ISPAT PVT LTD","VRKP",IF(IF(IF(ISNUMBER(SEARCH("Party Name:-",'R.M Billets Reports'!D1527)),TRIM('R.M Billets Reports'!F1527),IF(ISNUMBER(SEARCH("Party Name-",'R.M Billets Reports'!D1527)),TRIM(MID('R.M Billets Reports'!D1527,SEARCH("-",'R.M Billets Reports'!D1527)+1,200)),""))&lt;&gt;"",IF(ISNUMBER(SEARCH("Party Name:-",'R.M Billets Reports'!D1527)),TRIM('R.M Billets Reports'!F1527),IF(ISNUMBER(SEARCH("Party Name-",'R.M Billets Reports'!D1527)),TRIM(MID('R.M Billets Reports'!D1527,SEARCH("-",'R.M Billets Reports'!D1527)+1,200)),"")),IF(ISNUMBER(SEARCH("Party Name:-",'R.M Billets Reports'!D1528)),TRIM('R.M Billets Reports'!F1528),IF(ISNUMBER(SEARCH("Party Name-",'R.M Billets Reports'!D1528)),TRIM(MID('R.M Billets Reports'!D1528,SEARCH("-",'R.M Billets Reports'!D1528)+1,200)),"")))="SHRI RADHE","SHREE RADHE",IF(IF(IF(ISNUMBER(SEARCH("Party Name:-",'R.M Billets Reports'!D1527)),TRIM('R.M Billets Reports'!F1527),IF(ISNUMBER(SEARCH("Party Name-",'R.M Billets Reports'!D1527)),TRIM(MID('R.M Billets Reports'!D1527,SEARCH("-",'R.M Billets Reports'!D1527)+1,200)),""))&lt;&gt;"",IF(ISNUMBER(SEARCH("Party Name:-",'R.M Billets Reports'!D1527)),TRIM('R.M Billets Reports'!F1527),IF(ISNUMBER(SEARCH("Party Name-",'R.M Billets Reports'!D1527)),TRIM(MID('R.M Billets Reports'!D1527,SEARCH("-",'R.M Billets Reports'!D1527)+1,200)),"")),IF(ISNUMBER(SEARCH("Party Name:-",'R.M Billets Reports'!D1528)),TRIM('R.M Billets Reports'!F1528),IF(ISNUMBER(SEARCH("Party Name-",'R.M Billets Reports'!D1528)),TRIM(MID('R.M Billets Reports'!D1528,SEARCH("-",'R.M Billets Reports'!D1528)+1,200)),"")))="SHREE RADHE SHAKTI SPONGE AND POWER PVT. LTD.","SHREE RADHE",IF(IF(ISNUMBER(SEARCH("Party Name:-",'R.M Billets Reports'!D1527)),TRIM('R.M Billets Reports'!F1527),IF(ISNUMBER(SEARCH("Party Name-",'R.M Billets Reports'!D1527)),TRIM(MID('R.M Billets Reports'!D1527,SEARCH("-",'R.M Billets Reports'!D1527)+1,200)),""))&lt;&gt;"",IF(ISNUMBER(SEARCH("Party Name:-",'R.M Billets Reports'!D1527)),TRIM('R.M Billets Reports'!F1527),IF(ISNUMBER(SEARCH("Party Name-",'R.M Billets Reports'!D1527)),TRIM(MID('R.M Billets Reports'!D1527,SEARCH("-",'R.M Billets Reports'!D1527)+1,200)),"")),IF(ISNUMBER(SEARCH("Party Name:-",'R.M Billets Reports'!D1528)),TRIM('R.M Billets Reports'!F1528),IF(ISNUMBER(SEARCH("Party Name-",'R.M Billets Reports'!D1528)),TRIM(MID('R.M Billets Reports'!D1528,SEARCH("-",'R.M Billets Reports'!D1528)+1,200)),"")))))),IF(ROW()=2,"",A1527))</f>
      </c>
      <c r="B1528">
        <f>IF(OR('R.M Billets Reports'!A1527="Date-",'R.M Billets Reports'!A1527="Date:-"),'R.M Billets Reports'!B1527,IF(ROW()=2,"",B1527))</f>
      </c>
      <c r="C1528">
        <f>IF('R.M Billets Reports'!A1527="V.No.",'R.M Billets Reports'!B1527,IF(ROW()=2,"",C1527))</f>
      </c>
      <c r="D1528">
        <f>IF('R.M Billets Reports'!A1527&lt;&gt;"",'R.M Billets Reports'!A1527,IF(ROW()=2,"",D1527))</f>
      </c>
      <c r="E1528">
        <f>IF('R.M Billets Reports'!B1527="","",TRIM('R.M Billets Reports'!B1527))</f>
      </c>
      <c r="F1528">
        <f>'R.M Billets Reports'!C1527</f>
      </c>
      <c r="G1528">
        <f>'R.M Billets Reports'!D1527</f>
      </c>
      <c r="H1528">
        <f>'R.M Billets Reports'!E1527</f>
      </c>
      <c r="I1528">
        <f>'R.M Billets Reports'!F1527</f>
      </c>
      <c r="J1528">
        <f>'R.M Billets Reports'!G1527</f>
      </c>
      <c r="K1528">
        <f>'R.M Billets Reports'!H1527</f>
      </c>
      <c r="L1528">
        <f>IF('R.M Billets Reports'!I1527="","",'R.M Billets Reports'!I1527)</f>
      </c>
      <c r="M1528">
        <f t="shared" si="46"/>
      </c>
      <c r="N1528">
        <f>IF('R.M Billets Reports'!J1527="","",'R.M Billets Reports'!J1527)</f>
      </c>
      <c r="O1528">
        <f t="shared" si="47"/>
      </c>
      <c r="P1528">
        <f>IF('R.M Billets Reports'!A1527="SIZE",'R.M Billets Reports'!B1527,P1527)</f>
      </c>
    </row>
    <row r="1529" spans="1:16" x14ac:dyDescent="0.25">
      <c r="A1529">
        <f>IF(OR('R.M Billets Reports'!A1528="Date-",'R.M Billets Reports'!A1528="Date:-"),IF(IF(IF(ISNUMBER(SEARCH("Party Name:-",'R.M Billets Reports'!D1528)),TRIM('R.M Billets Reports'!F1528),IF(ISNUMBER(SEARCH("Party Name-",'R.M Billets Reports'!D1528)),TRIM(MID('R.M Billets Reports'!D1528,SEARCH("-",'R.M Billets Reports'!D1528)+1,200)),""))&lt;&gt;"",IF(ISNUMBER(SEARCH("Party Name:-",'R.M Billets Reports'!D1528)),TRIM('R.M Billets Reports'!F1528),IF(ISNUMBER(SEARCH("Party Name-",'R.M Billets Reports'!D1528)),TRIM(MID('R.M Billets Reports'!D1528,SEARCH("-",'R.M Billets Reports'!D1528)+1,200)),"")),IF(ISNUMBER(SEARCH("Party Name:-",'R.M Billets Reports'!D1529)),TRIM('R.M Billets Reports'!F1529),IF(ISNUMBER(SEARCH("Party Name-",'R.M Billets Reports'!D1529)),TRIM(MID('R.M Billets Reports'!D1529,SEARCH("-",'R.M Billets Reports'!D1529)+1,200)),"")))="VRKP ISPAT PVT LTD","VRKP",IF(IF(IF(ISNUMBER(SEARCH("Party Name:-",'R.M Billets Reports'!D1528)),TRIM('R.M Billets Reports'!F1528),IF(ISNUMBER(SEARCH("Party Name-",'R.M Billets Reports'!D1528)),TRIM(MID('R.M Billets Reports'!D1528,SEARCH("-",'R.M Billets Reports'!D1528)+1,200)),""))&lt;&gt;"",IF(ISNUMBER(SEARCH("Party Name:-",'R.M Billets Reports'!D1528)),TRIM('R.M Billets Reports'!F1528),IF(ISNUMBER(SEARCH("Party Name-",'R.M Billets Reports'!D1528)),TRIM(MID('R.M Billets Reports'!D1528,SEARCH("-",'R.M Billets Reports'!D1528)+1,200)),"")),IF(ISNUMBER(SEARCH("Party Name:-",'R.M Billets Reports'!D1529)),TRIM('R.M Billets Reports'!F1529),IF(ISNUMBER(SEARCH("Party Name-",'R.M Billets Reports'!D1529)),TRIM(MID('R.M Billets Reports'!D1529,SEARCH("-",'R.M Billets Reports'!D1529)+1,200)),"")))="SHRI RADHE","SHREE RADHE",IF(IF(IF(ISNUMBER(SEARCH("Party Name:-",'R.M Billets Reports'!D1528)),TRIM('R.M Billets Reports'!F1528),IF(ISNUMBER(SEARCH("Party Name-",'R.M Billets Reports'!D1528)),TRIM(MID('R.M Billets Reports'!D1528,SEARCH("-",'R.M Billets Reports'!D1528)+1,200)),""))&lt;&gt;"",IF(ISNUMBER(SEARCH("Party Name:-",'R.M Billets Reports'!D1528)),TRIM('R.M Billets Reports'!F1528),IF(ISNUMBER(SEARCH("Party Name-",'R.M Billets Reports'!D1528)),TRIM(MID('R.M Billets Reports'!D1528,SEARCH("-",'R.M Billets Reports'!D1528)+1,200)),"")),IF(ISNUMBER(SEARCH("Party Name:-",'R.M Billets Reports'!D1529)),TRIM('R.M Billets Reports'!F1529),IF(ISNUMBER(SEARCH("Party Name-",'R.M Billets Reports'!D1529)),TRIM(MID('R.M Billets Reports'!D1529,SEARCH("-",'R.M Billets Reports'!D1529)+1,200)),"")))="SHREE RADHE SHAKTI SPONGE AND POWER PVT. LTD.","SHREE RADHE",IF(IF(ISNUMBER(SEARCH("Party Name:-",'R.M Billets Reports'!D1528)),TRIM('R.M Billets Reports'!F1528),IF(ISNUMBER(SEARCH("Party Name-",'R.M Billets Reports'!D1528)),TRIM(MID('R.M Billets Reports'!D1528,SEARCH("-",'R.M Billets Reports'!D1528)+1,200)),""))&lt;&gt;"",IF(ISNUMBER(SEARCH("Party Name:-",'R.M Billets Reports'!D1528)),TRIM('R.M Billets Reports'!F1528),IF(ISNUMBER(SEARCH("Party Name-",'R.M Billets Reports'!D1528)),TRIM(MID('R.M Billets Reports'!D1528,SEARCH("-",'R.M Billets Reports'!D1528)+1,200)),"")),IF(ISNUMBER(SEARCH("Party Name:-",'R.M Billets Reports'!D1529)),TRIM('R.M Billets Reports'!F1529),IF(ISNUMBER(SEARCH("Party Name-",'R.M Billets Reports'!D1529)),TRIM(MID('R.M Billets Reports'!D1529,SEARCH("-",'R.M Billets Reports'!D1529)+1,200)),"")))))),IF(ROW()=2,"",A1528))</f>
      </c>
      <c r="B1529">
        <f>IF(OR('R.M Billets Reports'!A1528="Date-",'R.M Billets Reports'!A1528="Date:-"),'R.M Billets Reports'!B1528,IF(ROW()=2,"",B1528))</f>
      </c>
      <c r="C1529">
        <f>IF('R.M Billets Reports'!A1528="V.No.",'R.M Billets Reports'!B1528,IF(ROW()=2,"",C1528))</f>
      </c>
      <c r="D1529">
        <f>IF('R.M Billets Reports'!A1528&lt;&gt;"",'R.M Billets Reports'!A1528,IF(ROW()=2,"",D1528))</f>
      </c>
      <c r="E1529">
        <f>IF('R.M Billets Reports'!B1528="","",TRIM('R.M Billets Reports'!B1528))</f>
      </c>
      <c r="F1529">
        <f>'R.M Billets Reports'!C1528</f>
      </c>
      <c r="G1529">
        <f>'R.M Billets Reports'!D1528</f>
      </c>
      <c r="H1529">
        <f>'R.M Billets Reports'!E1528</f>
      </c>
      <c r="I1529">
        <f>'R.M Billets Reports'!F1528</f>
      </c>
      <c r="J1529">
        <f>'R.M Billets Reports'!G1528</f>
      </c>
      <c r="K1529">
        <f>'R.M Billets Reports'!H1528</f>
      </c>
      <c r="L1529">
        <f>IF('R.M Billets Reports'!I1528="","",'R.M Billets Reports'!I1528)</f>
      </c>
      <c r="M1529">
        <f t="shared" si="46"/>
      </c>
      <c r="N1529">
        <f>IF('R.M Billets Reports'!J1528="","",'R.M Billets Reports'!J1528)</f>
      </c>
      <c r="O1529">
        <f t="shared" si="47"/>
      </c>
      <c r="P1529">
        <f>IF('R.M Billets Reports'!A1528="SIZE",'R.M Billets Reports'!B1528,P1528)</f>
      </c>
    </row>
    <row r="1530" spans="1:16" x14ac:dyDescent="0.25">
      <c r="A1530">
        <f>IF(OR('R.M Billets Reports'!A1529="Date-",'R.M Billets Reports'!A1529="Date:-"),IF(IF(IF(ISNUMBER(SEARCH("Party Name:-",'R.M Billets Reports'!D1529)),TRIM('R.M Billets Reports'!F1529),IF(ISNUMBER(SEARCH("Party Name-",'R.M Billets Reports'!D1529)),TRIM(MID('R.M Billets Reports'!D1529,SEARCH("-",'R.M Billets Reports'!D1529)+1,200)),""))&lt;&gt;"",IF(ISNUMBER(SEARCH("Party Name:-",'R.M Billets Reports'!D1529)),TRIM('R.M Billets Reports'!F1529),IF(ISNUMBER(SEARCH("Party Name-",'R.M Billets Reports'!D1529)),TRIM(MID('R.M Billets Reports'!D1529,SEARCH("-",'R.M Billets Reports'!D1529)+1,200)),"")),IF(ISNUMBER(SEARCH("Party Name:-",'R.M Billets Reports'!D1530)),TRIM('R.M Billets Reports'!F1530),IF(ISNUMBER(SEARCH("Party Name-",'R.M Billets Reports'!D1530)),TRIM(MID('R.M Billets Reports'!D1530,SEARCH("-",'R.M Billets Reports'!D1530)+1,200)),"")))="VRKP ISPAT PVT LTD","VRKP",IF(IF(IF(ISNUMBER(SEARCH("Party Name:-",'R.M Billets Reports'!D1529)),TRIM('R.M Billets Reports'!F1529),IF(ISNUMBER(SEARCH("Party Name-",'R.M Billets Reports'!D1529)),TRIM(MID('R.M Billets Reports'!D1529,SEARCH("-",'R.M Billets Reports'!D1529)+1,200)),""))&lt;&gt;"",IF(ISNUMBER(SEARCH("Party Name:-",'R.M Billets Reports'!D1529)),TRIM('R.M Billets Reports'!F1529),IF(ISNUMBER(SEARCH("Party Name-",'R.M Billets Reports'!D1529)),TRIM(MID('R.M Billets Reports'!D1529,SEARCH("-",'R.M Billets Reports'!D1529)+1,200)),"")),IF(ISNUMBER(SEARCH("Party Name:-",'R.M Billets Reports'!D1530)),TRIM('R.M Billets Reports'!F1530),IF(ISNUMBER(SEARCH("Party Name-",'R.M Billets Reports'!D1530)),TRIM(MID('R.M Billets Reports'!D1530,SEARCH("-",'R.M Billets Reports'!D1530)+1,200)),"")))="SHRI RADHE","SHREE RADHE",IF(IF(IF(ISNUMBER(SEARCH("Party Name:-",'R.M Billets Reports'!D1529)),TRIM('R.M Billets Reports'!F1529),IF(ISNUMBER(SEARCH("Party Name-",'R.M Billets Reports'!D1529)),TRIM(MID('R.M Billets Reports'!D1529,SEARCH("-",'R.M Billets Reports'!D1529)+1,200)),""))&lt;&gt;"",IF(ISNUMBER(SEARCH("Party Name:-",'R.M Billets Reports'!D1529)),TRIM('R.M Billets Reports'!F1529),IF(ISNUMBER(SEARCH("Party Name-",'R.M Billets Reports'!D1529)),TRIM(MID('R.M Billets Reports'!D1529,SEARCH("-",'R.M Billets Reports'!D1529)+1,200)),"")),IF(ISNUMBER(SEARCH("Party Name:-",'R.M Billets Reports'!D1530)),TRIM('R.M Billets Reports'!F1530),IF(ISNUMBER(SEARCH("Party Name-",'R.M Billets Reports'!D1530)),TRIM(MID('R.M Billets Reports'!D1530,SEARCH("-",'R.M Billets Reports'!D1530)+1,200)),"")))="SHREE RADHE SHAKTI SPONGE AND POWER PVT. LTD.","SHREE RADHE",IF(IF(ISNUMBER(SEARCH("Party Name:-",'R.M Billets Reports'!D1529)),TRIM('R.M Billets Reports'!F1529),IF(ISNUMBER(SEARCH("Party Name-",'R.M Billets Reports'!D1529)),TRIM(MID('R.M Billets Reports'!D1529,SEARCH("-",'R.M Billets Reports'!D1529)+1,200)),""))&lt;&gt;"",IF(ISNUMBER(SEARCH("Party Name:-",'R.M Billets Reports'!D1529)),TRIM('R.M Billets Reports'!F1529),IF(ISNUMBER(SEARCH("Party Name-",'R.M Billets Reports'!D1529)),TRIM(MID('R.M Billets Reports'!D1529,SEARCH("-",'R.M Billets Reports'!D1529)+1,200)),"")),IF(ISNUMBER(SEARCH("Party Name:-",'R.M Billets Reports'!D1530)),TRIM('R.M Billets Reports'!F1530),IF(ISNUMBER(SEARCH("Party Name-",'R.M Billets Reports'!D1530)),TRIM(MID('R.M Billets Reports'!D1530,SEARCH("-",'R.M Billets Reports'!D1530)+1,200)),"")))))),IF(ROW()=2,"",A1529))</f>
      </c>
      <c r="B1530">
        <f>IF(OR('R.M Billets Reports'!A1529="Date-",'R.M Billets Reports'!A1529="Date:-"),'R.M Billets Reports'!B1529,IF(ROW()=2,"",B1529))</f>
      </c>
      <c r="C1530">
        <f>IF('R.M Billets Reports'!A1529="V.No.",'R.M Billets Reports'!B1529,IF(ROW()=2,"",C1529))</f>
      </c>
      <c r="D1530">
        <f>IF('R.M Billets Reports'!A1529&lt;&gt;"",'R.M Billets Reports'!A1529,IF(ROW()=2,"",D1529))</f>
      </c>
      <c r="E1530">
        <f>IF('R.M Billets Reports'!B1529="","",TRIM('R.M Billets Reports'!B1529))</f>
      </c>
      <c r="F1530">
        <f>'R.M Billets Reports'!C1529</f>
      </c>
      <c r="G1530">
        <f>'R.M Billets Reports'!D1529</f>
      </c>
      <c r="H1530">
        <f>'R.M Billets Reports'!E1529</f>
      </c>
      <c r="I1530">
        <f>'R.M Billets Reports'!F1529</f>
      </c>
      <c r="J1530">
        <f>'R.M Billets Reports'!G1529</f>
      </c>
      <c r="K1530">
        <f>'R.M Billets Reports'!H1529</f>
      </c>
      <c r="L1530">
        <f>IF('R.M Billets Reports'!I1529="","",'R.M Billets Reports'!I1529)</f>
      </c>
      <c r="M1530">
        <f t="shared" si="46"/>
      </c>
      <c r="N1530">
        <f>IF('R.M Billets Reports'!J1529="","",'R.M Billets Reports'!J1529)</f>
      </c>
      <c r="O1530">
        <f t="shared" si="47"/>
      </c>
      <c r="P1530">
        <f>IF('R.M Billets Reports'!A1529="SIZE",'R.M Billets Reports'!B1529,P1529)</f>
      </c>
    </row>
    <row r="1531" spans="1:16" x14ac:dyDescent="0.25">
      <c r="A1531">
        <f>IF(OR('R.M Billets Reports'!A1530="Date-",'R.M Billets Reports'!A1530="Date:-"),IF(IF(IF(ISNUMBER(SEARCH("Party Name:-",'R.M Billets Reports'!D1530)),TRIM('R.M Billets Reports'!F1530),IF(ISNUMBER(SEARCH("Party Name-",'R.M Billets Reports'!D1530)),TRIM(MID('R.M Billets Reports'!D1530,SEARCH("-",'R.M Billets Reports'!D1530)+1,200)),""))&lt;&gt;"",IF(ISNUMBER(SEARCH("Party Name:-",'R.M Billets Reports'!D1530)),TRIM('R.M Billets Reports'!F1530),IF(ISNUMBER(SEARCH("Party Name-",'R.M Billets Reports'!D1530)),TRIM(MID('R.M Billets Reports'!D1530,SEARCH("-",'R.M Billets Reports'!D1530)+1,200)),"")),IF(ISNUMBER(SEARCH("Party Name:-",'R.M Billets Reports'!D1531)),TRIM('R.M Billets Reports'!F1531),IF(ISNUMBER(SEARCH("Party Name-",'R.M Billets Reports'!D1531)),TRIM(MID('R.M Billets Reports'!D1531,SEARCH("-",'R.M Billets Reports'!D1531)+1,200)),"")))="VRKP ISPAT PVT LTD","VRKP",IF(IF(IF(ISNUMBER(SEARCH("Party Name:-",'R.M Billets Reports'!D1530)),TRIM('R.M Billets Reports'!F1530),IF(ISNUMBER(SEARCH("Party Name-",'R.M Billets Reports'!D1530)),TRIM(MID('R.M Billets Reports'!D1530,SEARCH("-",'R.M Billets Reports'!D1530)+1,200)),""))&lt;&gt;"",IF(ISNUMBER(SEARCH("Party Name:-",'R.M Billets Reports'!D1530)),TRIM('R.M Billets Reports'!F1530),IF(ISNUMBER(SEARCH("Party Name-",'R.M Billets Reports'!D1530)),TRIM(MID('R.M Billets Reports'!D1530,SEARCH("-",'R.M Billets Reports'!D1530)+1,200)),"")),IF(ISNUMBER(SEARCH("Party Name:-",'R.M Billets Reports'!D1531)),TRIM('R.M Billets Reports'!F1531),IF(ISNUMBER(SEARCH("Party Name-",'R.M Billets Reports'!D1531)),TRIM(MID('R.M Billets Reports'!D1531,SEARCH("-",'R.M Billets Reports'!D1531)+1,200)),"")))="SHRI RADHE","SHREE RADHE",IF(IF(IF(ISNUMBER(SEARCH("Party Name:-",'R.M Billets Reports'!D1530)),TRIM('R.M Billets Reports'!F1530),IF(ISNUMBER(SEARCH("Party Name-",'R.M Billets Reports'!D1530)),TRIM(MID('R.M Billets Reports'!D1530,SEARCH("-",'R.M Billets Reports'!D1530)+1,200)),""))&lt;&gt;"",IF(ISNUMBER(SEARCH("Party Name:-",'R.M Billets Reports'!D1530)),TRIM('R.M Billets Reports'!F1530),IF(ISNUMBER(SEARCH("Party Name-",'R.M Billets Reports'!D1530)),TRIM(MID('R.M Billets Reports'!D1530,SEARCH("-",'R.M Billets Reports'!D1530)+1,200)),"")),IF(ISNUMBER(SEARCH("Party Name:-",'R.M Billets Reports'!D1531)),TRIM('R.M Billets Reports'!F1531),IF(ISNUMBER(SEARCH("Party Name-",'R.M Billets Reports'!D1531)),TRIM(MID('R.M Billets Reports'!D1531,SEARCH("-",'R.M Billets Reports'!D1531)+1,200)),"")))="SHREE RADHE SHAKTI SPONGE AND POWER PVT. LTD.","SHREE RADHE",IF(IF(ISNUMBER(SEARCH("Party Name:-",'R.M Billets Reports'!D1530)),TRIM('R.M Billets Reports'!F1530),IF(ISNUMBER(SEARCH("Party Name-",'R.M Billets Reports'!D1530)),TRIM(MID('R.M Billets Reports'!D1530,SEARCH("-",'R.M Billets Reports'!D1530)+1,200)),""))&lt;&gt;"",IF(ISNUMBER(SEARCH("Party Name:-",'R.M Billets Reports'!D1530)),TRIM('R.M Billets Reports'!F1530),IF(ISNUMBER(SEARCH("Party Name-",'R.M Billets Reports'!D1530)),TRIM(MID('R.M Billets Reports'!D1530,SEARCH("-",'R.M Billets Reports'!D1530)+1,200)),"")),IF(ISNUMBER(SEARCH("Party Name:-",'R.M Billets Reports'!D1531)),TRIM('R.M Billets Reports'!F1531),IF(ISNUMBER(SEARCH("Party Name-",'R.M Billets Reports'!D1531)),TRIM(MID('R.M Billets Reports'!D1531,SEARCH("-",'R.M Billets Reports'!D1531)+1,200)),"")))))),IF(ROW()=2,"",A1530))</f>
      </c>
      <c r="B1531">
        <f>IF(OR('R.M Billets Reports'!A1530="Date-",'R.M Billets Reports'!A1530="Date:-"),'R.M Billets Reports'!B1530,IF(ROW()=2,"",B1530))</f>
      </c>
      <c r="C1531">
        <f>IF('R.M Billets Reports'!A1530="V.No.",'R.M Billets Reports'!B1530,IF(ROW()=2,"",C1530))</f>
      </c>
      <c r="D1531">
        <f>IF('R.M Billets Reports'!A1530&lt;&gt;"",'R.M Billets Reports'!A1530,IF(ROW()=2,"",D1530))</f>
      </c>
      <c r="E1531">
        <f>IF('R.M Billets Reports'!B1530="","",TRIM('R.M Billets Reports'!B1530))</f>
      </c>
      <c r="F1531">
        <f>'R.M Billets Reports'!C1530</f>
      </c>
      <c r="G1531">
        <f>'R.M Billets Reports'!D1530</f>
      </c>
      <c r="H1531">
        <f>'R.M Billets Reports'!E1530</f>
      </c>
      <c r="I1531">
        <f>'R.M Billets Reports'!F1530</f>
      </c>
      <c r="J1531">
        <f>'R.M Billets Reports'!G1530</f>
      </c>
      <c r="K1531">
        <f>'R.M Billets Reports'!H1530</f>
      </c>
      <c r="L1531">
        <f>IF('R.M Billets Reports'!I1530="","",'R.M Billets Reports'!I1530)</f>
      </c>
      <c r="M1531">
        <f t="shared" si="46"/>
      </c>
      <c r="N1531">
        <f>IF('R.M Billets Reports'!J1530="","",'R.M Billets Reports'!J1530)</f>
      </c>
      <c r="O1531">
        <f t="shared" si="47"/>
      </c>
      <c r="P1531">
        <f>IF('R.M Billets Reports'!A1530="SIZE",'R.M Billets Reports'!B1530,P1530)</f>
      </c>
    </row>
    <row r="1532" spans="1:16" x14ac:dyDescent="0.25">
      <c r="A1532">
        <f>IF(OR('R.M Billets Reports'!A1531="Date-",'R.M Billets Reports'!A1531="Date:-"),IF(IF(IF(ISNUMBER(SEARCH("Party Name:-",'R.M Billets Reports'!D1531)),TRIM('R.M Billets Reports'!F1531),IF(ISNUMBER(SEARCH("Party Name-",'R.M Billets Reports'!D1531)),TRIM(MID('R.M Billets Reports'!D1531,SEARCH("-",'R.M Billets Reports'!D1531)+1,200)),""))&lt;&gt;"",IF(ISNUMBER(SEARCH("Party Name:-",'R.M Billets Reports'!D1531)),TRIM('R.M Billets Reports'!F1531),IF(ISNUMBER(SEARCH("Party Name-",'R.M Billets Reports'!D1531)),TRIM(MID('R.M Billets Reports'!D1531,SEARCH("-",'R.M Billets Reports'!D1531)+1,200)),"")),IF(ISNUMBER(SEARCH("Party Name:-",'R.M Billets Reports'!D1532)),TRIM('R.M Billets Reports'!F1532),IF(ISNUMBER(SEARCH("Party Name-",'R.M Billets Reports'!D1532)),TRIM(MID('R.M Billets Reports'!D1532,SEARCH("-",'R.M Billets Reports'!D1532)+1,200)),"")))="VRKP ISPAT PVT LTD","VRKP",IF(IF(IF(ISNUMBER(SEARCH("Party Name:-",'R.M Billets Reports'!D1531)),TRIM('R.M Billets Reports'!F1531),IF(ISNUMBER(SEARCH("Party Name-",'R.M Billets Reports'!D1531)),TRIM(MID('R.M Billets Reports'!D1531,SEARCH("-",'R.M Billets Reports'!D1531)+1,200)),""))&lt;&gt;"",IF(ISNUMBER(SEARCH("Party Name:-",'R.M Billets Reports'!D1531)),TRIM('R.M Billets Reports'!F1531),IF(ISNUMBER(SEARCH("Party Name-",'R.M Billets Reports'!D1531)),TRIM(MID('R.M Billets Reports'!D1531,SEARCH("-",'R.M Billets Reports'!D1531)+1,200)),"")),IF(ISNUMBER(SEARCH("Party Name:-",'R.M Billets Reports'!D1532)),TRIM('R.M Billets Reports'!F1532),IF(ISNUMBER(SEARCH("Party Name-",'R.M Billets Reports'!D1532)),TRIM(MID('R.M Billets Reports'!D1532,SEARCH("-",'R.M Billets Reports'!D1532)+1,200)),"")))="SHRI RADHE","SHREE RADHE",IF(IF(IF(ISNUMBER(SEARCH("Party Name:-",'R.M Billets Reports'!D1531)),TRIM('R.M Billets Reports'!F1531),IF(ISNUMBER(SEARCH("Party Name-",'R.M Billets Reports'!D1531)),TRIM(MID('R.M Billets Reports'!D1531,SEARCH("-",'R.M Billets Reports'!D1531)+1,200)),""))&lt;&gt;"",IF(ISNUMBER(SEARCH("Party Name:-",'R.M Billets Reports'!D1531)),TRIM('R.M Billets Reports'!F1531),IF(ISNUMBER(SEARCH("Party Name-",'R.M Billets Reports'!D1531)),TRIM(MID('R.M Billets Reports'!D1531,SEARCH("-",'R.M Billets Reports'!D1531)+1,200)),"")),IF(ISNUMBER(SEARCH("Party Name:-",'R.M Billets Reports'!D1532)),TRIM('R.M Billets Reports'!F1532),IF(ISNUMBER(SEARCH("Party Name-",'R.M Billets Reports'!D1532)),TRIM(MID('R.M Billets Reports'!D1532,SEARCH("-",'R.M Billets Reports'!D1532)+1,200)),"")))="SHREE RADHE SHAKTI SPONGE AND POWER PVT. LTD.","SHREE RADHE",IF(IF(ISNUMBER(SEARCH("Party Name:-",'R.M Billets Reports'!D1531)),TRIM('R.M Billets Reports'!F1531),IF(ISNUMBER(SEARCH("Party Name-",'R.M Billets Reports'!D1531)),TRIM(MID('R.M Billets Reports'!D1531,SEARCH("-",'R.M Billets Reports'!D1531)+1,200)),""))&lt;&gt;"",IF(ISNUMBER(SEARCH("Party Name:-",'R.M Billets Reports'!D1531)),TRIM('R.M Billets Reports'!F1531),IF(ISNUMBER(SEARCH("Party Name-",'R.M Billets Reports'!D1531)),TRIM(MID('R.M Billets Reports'!D1531,SEARCH("-",'R.M Billets Reports'!D1531)+1,200)),"")),IF(ISNUMBER(SEARCH("Party Name:-",'R.M Billets Reports'!D1532)),TRIM('R.M Billets Reports'!F1532),IF(ISNUMBER(SEARCH("Party Name-",'R.M Billets Reports'!D1532)),TRIM(MID('R.M Billets Reports'!D1532,SEARCH("-",'R.M Billets Reports'!D1532)+1,200)),"")))))),IF(ROW()=2,"",A1531))</f>
      </c>
      <c r="B1532">
        <f>IF(OR('R.M Billets Reports'!A1531="Date-",'R.M Billets Reports'!A1531="Date:-"),'R.M Billets Reports'!B1531,IF(ROW()=2,"",B1531))</f>
      </c>
      <c r="C1532">
        <f>IF('R.M Billets Reports'!A1531="V.No.",'R.M Billets Reports'!B1531,IF(ROW()=2,"",C1531))</f>
      </c>
      <c r="D1532">
        <f>IF('R.M Billets Reports'!A1531&lt;&gt;"",'R.M Billets Reports'!A1531,IF(ROW()=2,"",D1531))</f>
      </c>
      <c r="E1532">
        <f>IF('R.M Billets Reports'!B1531="","",TRIM('R.M Billets Reports'!B1531))</f>
      </c>
      <c r="F1532">
        <f>'R.M Billets Reports'!C1531</f>
      </c>
      <c r="G1532">
        <f>'R.M Billets Reports'!D1531</f>
      </c>
      <c r="H1532">
        <f>'R.M Billets Reports'!E1531</f>
      </c>
      <c r="I1532">
        <f>'R.M Billets Reports'!F1531</f>
      </c>
      <c r="J1532">
        <f>'R.M Billets Reports'!G1531</f>
      </c>
      <c r="K1532">
        <f>'R.M Billets Reports'!H1531</f>
      </c>
      <c r="L1532">
        <f>IF('R.M Billets Reports'!I1531="","",'R.M Billets Reports'!I1531)</f>
      </c>
      <c r="M1532">
        <f t="shared" si="46"/>
      </c>
      <c r="N1532">
        <f>IF('R.M Billets Reports'!J1531="","",'R.M Billets Reports'!J1531)</f>
      </c>
      <c r="O1532">
        <f t="shared" si="47"/>
      </c>
      <c r="P1532">
        <f>IF('R.M Billets Reports'!A1531="SIZE",'R.M Billets Reports'!B1531,P1531)</f>
      </c>
    </row>
    <row r="1533" spans="1:16" x14ac:dyDescent="0.25">
      <c r="A1533">
        <f>IF(OR('R.M Billets Reports'!A1532="Date-",'R.M Billets Reports'!A1532="Date:-"),IF(IF(IF(ISNUMBER(SEARCH("Party Name:-",'R.M Billets Reports'!D1532)),TRIM('R.M Billets Reports'!F1532),IF(ISNUMBER(SEARCH("Party Name-",'R.M Billets Reports'!D1532)),TRIM(MID('R.M Billets Reports'!D1532,SEARCH("-",'R.M Billets Reports'!D1532)+1,200)),""))&lt;&gt;"",IF(ISNUMBER(SEARCH("Party Name:-",'R.M Billets Reports'!D1532)),TRIM('R.M Billets Reports'!F1532),IF(ISNUMBER(SEARCH("Party Name-",'R.M Billets Reports'!D1532)),TRIM(MID('R.M Billets Reports'!D1532,SEARCH("-",'R.M Billets Reports'!D1532)+1,200)),"")),IF(ISNUMBER(SEARCH("Party Name:-",'R.M Billets Reports'!D1533)),TRIM('R.M Billets Reports'!F1533),IF(ISNUMBER(SEARCH("Party Name-",'R.M Billets Reports'!D1533)),TRIM(MID('R.M Billets Reports'!D1533,SEARCH("-",'R.M Billets Reports'!D1533)+1,200)),"")))="VRKP ISPAT PVT LTD","VRKP",IF(IF(IF(ISNUMBER(SEARCH("Party Name:-",'R.M Billets Reports'!D1532)),TRIM('R.M Billets Reports'!F1532),IF(ISNUMBER(SEARCH("Party Name-",'R.M Billets Reports'!D1532)),TRIM(MID('R.M Billets Reports'!D1532,SEARCH("-",'R.M Billets Reports'!D1532)+1,200)),""))&lt;&gt;"",IF(ISNUMBER(SEARCH("Party Name:-",'R.M Billets Reports'!D1532)),TRIM('R.M Billets Reports'!F1532),IF(ISNUMBER(SEARCH("Party Name-",'R.M Billets Reports'!D1532)),TRIM(MID('R.M Billets Reports'!D1532,SEARCH("-",'R.M Billets Reports'!D1532)+1,200)),"")),IF(ISNUMBER(SEARCH("Party Name:-",'R.M Billets Reports'!D1533)),TRIM('R.M Billets Reports'!F1533),IF(ISNUMBER(SEARCH("Party Name-",'R.M Billets Reports'!D1533)),TRIM(MID('R.M Billets Reports'!D1533,SEARCH("-",'R.M Billets Reports'!D1533)+1,200)),"")))="SHRI RADHE","SHREE RADHE",IF(IF(IF(ISNUMBER(SEARCH("Party Name:-",'R.M Billets Reports'!D1532)),TRIM('R.M Billets Reports'!F1532),IF(ISNUMBER(SEARCH("Party Name-",'R.M Billets Reports'!D1532)),TRIM(MID('R.M Billets Reports'!D1532,SEARCH("-",'R.M Billets Reports'!D1532)+1,200)),""))&lt;&gt;"",IF(ISNUMBER(SEARCH("Party Name:-",'R.M Billets Reports'!D1532)),TRIM('R.M Billets Reports'!F1532),IF(ISNUMBER(SEARCH("Party Name-",'R.M Billets Reports'!D1532)),TRIM(MID('R.M Billets Reports'!D1532,SEARCH("-",'R.M Billets Reports'!D1532)+1,200)),"")),IF(ISNUMBER(SEARCH("Party Name:-",'R.M Billets Reports'!D1533)),TRIM('R.M Billets Reports'!F1533),IF(ISNUMBER(SEARCH("Party Name-",'R.M Billets Reports'!D1533)),TRIM(MID('R.M Billets Reports'!D1533,SEARCH("-",'R.M Billets Reports'!D1533)+1,200)),"")))="SHREE RADHE SHAKTI SPONGE AND POWER PVT. LTD.","SHREE RADHE",IF(IF(ISNUMBER(SEARCH("Party Name:-",'R.M Billets Reports'!D1532)),TRIM('R.M Billets Reports'!F1532),IF(ISNUMBER(SEARCH("Party Name-",'R.M Billets Reports'!D1532)),TRIM(MID('R.M Billets Reports'!D1532,SEARCH("-",'R.M Billets Reports'!D1532)+1,200)),""))&lt;&gt;"",IF(ISNUMBER(SEARCH("Party Name:-",'R.M Billets Reports'!D1532)),TRIM('R.M Billets Reports'!F1532),IF(ISNUMBER(SEARCH("Party Name-",'R.M Billets Reports'!D1532)),TRIM(MID('R.M Billets Reports'!D1532,SEARCH("-",'R.M Billets Reports'!D1532)+1,200)),"")),IF(ISNUMBER(SEARCH("Party Name:-",'R.M Billets Reports'!D1533)),TRIM('R.M Billets Reports'!F1533),IF(ISNUMBER(SEARCH("Party Name-",'R.M Billets Reports'!D1533)),TRIM(MID('R.M Billets Reports'!D1533,SEARCH("-",'R.M Billets Reports'!D1533)+1,200)),"")))))),IF(ROW()=2,"",A1532))</f>
      </c>
      <c r="B1533">
        <f>IF(OR('R.M Billets Reports'!A1532="Date-",'R.M Billets Reports'!A1532="Date:-"),'R.M Billets Reports'!B1532,IF(ROW()=2,"",B1532))</f>
      </c>
      <c r="C1533">
        <f>IF('R.M Billets Reports'!A1532="V.No.",'R.M Billets Reports'!B1532,IF(ROW()=2,"",C1532))</f>
      </c>
      <c r="D1533">
        <f>IF('R.M Billets Reports'!A1532&lt;&gt;"",'R.M Billets Reports'!A1532,IF(ROW()=2,"",D1532))</f>
      </c>
      <c r="E1533">
        <f>IF('R.M Billets Reports'!B1532="","",TRIM('R.M Billets Reports'!B1532))</f>
      </c>
      <c r="F1533">
        <f>'R.M Billets Reports'!C1532</f>
      </c>
      <c r="G1533">
        <f>'R.M Billets Reports'!D1532</f>
      </c>
      <c r="H1533">
        <f>'R.M Billets Reports'!E1532</f>
      </c>
      <c r="I1533">
        <f>'R.M Billets Reports'!F1532</f>
      </c>
      <c r="J1533">
        <f>'R.M Billets Reports'!G1532</f>
      </c>
      <c r="K1533">
        <f>'R.M Billets Reports'!H1532</f>
      </c>
      <c r="L1533">
        <f>IF('R.M Billets Reports'!I1532="","",'R.M Billets Reports'!I1532)</f>
      </c>
      <c r="M1533">
        <f t="shared" si="46"/>
      </c>
      <c r="N1533">
        <f>IF('R.M Billets Reports'!J1532="","",'R.M Billets Reports'!J1532)</f>
      </c>
      <c r="O1533">
        <f t="shared" si="47"/>
      </c>
      <c r="P1533">
        <f>IF('R.M Billets Reports'!A1532="SIZE",'R.M Billets Reports'!B1532,P1532)</f>
      </c>
    </row>
    <row r="1534" spans="1:16" x14ac:dyDescent="0.25">
      <c r="A1534">
        <f>IF(OR('R.M Billets Reports'!A1533="Date-",'R.M Billets Reports'!A1533="Date:-"),IF(IF(IF(ISNUMBER(SEARCH("Party Name:-",'R.M Billets Reports'!D1533)),TRIM('R.M Billets Reports'!F1533),IF(ISNUMBER(SEARCH("Party Name-",'R.M Billets Reports'!D1533)),TRIM(MID('R.M Billets Reports'!D1533,SEARCH("-",'R.M Billets Reports'!D1533)+1,200)),""))&lt;&gt;"",IF(ISNUMBER(SEARCH("Party Name:-",'R.M Billets Reports'!D1533)),TRIM('R.M Billets Reports'!F1533),IF(ISNUMBER(SEARCH("Party Name-",'R.M Billets Reports'!D1533)),TRIM(MID('R.M Billets Reports'!D1533,SEARCH("-",'R.M Billets Reports'!D1533)+1,200)),"")),IF(ISNUMBER(SEARCH("Party Name:-",'R.M Billets Reports'!D1534)),TRIM('R.M Billets Reports'!F1534),IF(ISNUMBER(SEARCH("Party Name-",'R.M Billets Reports'!D1534)),TRIM(MID('R.M Billets Reports'!D1534,SEARCH("-",'R.M Billets Reports'!D1534)+1,200)),"")))="VRKP ISPAT PVT LTD","VRKP",IF(IF(IF(ISNUMBER(SEARCH("Party Name:-",'R.M Billets Reports'!D1533)),TRIM('R.M Billets Reports'!F1533),IF(ISNUMBER(SEARCH("Party Name-",'R.M Billets Reports'!D1533)),TRIM(MID('R.M Billets Reports'!D1533,SEARCH("-",'R.M Billets Reports'!D1533)+1,200)),""))&lt;&gt;"",IF(ISNUMBER(SEARCH("Party Name:-",'R.M Billets Reports'!D1533)),TRIM('R.M Billets Reports'!F1533),IF(ISNUMBER(SEARCH("Party Name-",'R.M Billets Reports'!D1533)),TRIM(MID('R.M Billets Reports'!D1533,SEARCH("-",'R.M Billets Reports'!D1533)+1,200)),"")),IF(ISNUMBER(SEARCH("Party Name:-",'R.M Billets Reports'!D1534)),TRIM('R.M Billets Reports'!F1534),IF(ISNUMBER(SEARCH("Party Name-",'R.M Billets Reports'!D1534)),TRIM(MID('R.M Billets Reports'!D1534,SEARCH("-",'R.M Billets Reports'!D1534)+1,200)),"")))="SHRI RADHE","SHREE RADHE",IF(IF(IF(ISNUMBER(SEARCH("Party Name:-",'R.M Billets Reports'!D1533)),TRIM('R.M Billets Reports'!F1533),IF(ISNUMBER(SEARCH("Party Name-",'R.M Billets Reports'!D1533)),TRIM(MID('R.M Billets Reports'!D1533,SEARCH("-",'R.M Billets Reports'!D1533)+1,200)),""))&lt;&gt;"",IF(ISNUMBER(SEARCH("Party Name:-",'R.M Billets Reports'!D1533)),TRIM('R.M Billets Reports'!F1533),IF(ISNUMBER(SEARCH("Party Name-",'R.M Billets Reports'!D1533)),TRIM(MID('R.M Billets Reports'!D1533,SEARCH("-",'R.M Billets Reports'!D1533)+1,200)),"")),IF(ISNUMBER(SEARCH("Party Name:-",'R.M Billets Reports'!D1534)),TRIM('R.M Billets Reports'!F1534),IF(ISNUMBER(SEARCH("Party Name-",'R.M Billets Reports'!D1534)),TRIM(MID('R.M Billets Reports'!D1534,SEARCH("-",'R.M Billets Reports'!D1534)+1,200)),"")))="SHREE RADHE SHAKTI SPONGE AND POWER PVT. LTD.","SHREE RADHE",IF(IF(ISNUMBER(SEARCH("Party Name:-",'R.M Billets Reports'!D1533)),TRIM('R.M Billets Reports'!F1533),IF(ISNUMBER(SEARCH("Party Name-",'R.M Billets Reports'!D1533)),TRIM(MID('R.M Billets Reports'!D1533,SEARCH("-",'R.M Billets Reports'!D1533)+1,200)),""))&lt;&gt;"",IF(ISNUMBER(SEARCH("Party Name:-",'R.M Billets Reports'!D1533)),TRIM('R.M Billets Reports'!F1533),IF(ISNUMBER(SEARCH("Party Name-",'R.M Billets Reports'!D1533)),TRIM(MID('R.M Billets Reports'!D1533,SEARCH("-",'R.M Billets Reports'!D1533)+1,200)),"")),IF(ISNUMBER(SEARCH("Party Name:-",'R.M Billets Reports'!D1534)),TRIM('R.M Billets Reports'!F1534),IF(ISNUMBER(SEARCH("Party Name-",'R.M Billets Reports'!D1534)),TRIM(MID('R.M Billets Reports'!D1534,SEARCH("-",'R.M Billets Reports'!D1534)+1,200)),"")))))),IF(ROW()=2,"",A1533))</f>
      </c>
      <c r="B1534">
        <f>IF(OR('R.M Billets Reports'!A1533="Date-",'R.M Billets Reports'!A1533="Date:-"),'R.M Billets Reports'!B1533,IF(ROW()=2,"",B1533))</f>
      </c>
      <c r="C1534">
        <f>IF('R.M Billets Reports'!A1533="V.No.",'R.M Billets Reports'!B1533,IF(ROW()=2,"",C1533))</f>
      </c>
      <c r="D1534">
        <f>IF('R.M Billets Reports'!A1533&lt;&gt;"",'R.M Billets Reports'!A1533,IF(ROW()=2,"",D1533))</f>
      </c>
      <c r="E1534">
        <f>IF('R.M Billets Reports'!B1533="","",TRIM('R.M Billets Reports'!B1533))</f>
      </c>
      <c r="F1534">
        <f>'R.M Billets Reports'!C1533</f>
      </c>
      <c r="G1534">
        <f>'R.M Billets Reports'!D1533</f>
      </c>
      <c r="H1534">
        <f>'R.M Billets Reports'!E1533</f>
      </c>
      <c r="I1534">
        <f>'R.M Billets Reports'!F1533</f>
      </c>
      <c r="J1534">
        <f>'R.M Billets Reports'!G1533</f>
      </c>
      <c r="K1534">
        <f>'R.M Billets Reports'!H1533</f>
      </c>
      <c r="L1534">
        <f>IF('R.M Billets Reports'!I1533="","",'R.M Billets Reports'!I1533)</f>
      </c>
      <c r="M1534">
        <f t="shared" si="46"/>
      </c>
      <c r="N1534">
        <f>IF('R.M Billets Reports'!J1533="","",'R.M Billets Reports'!J1533)</f>
      </c>
      <c r="O1534">
        <f t="shared" si="47"/>
      </c>
      <c r="P1534">
        <f>IF('R.M Billets Reports'!A1533="SIZE",'R.M Billets Reports'!B1533,P1533)</f>
      </c>
    </row>
    <row r="1535" spans="1:16" x14ac:dyDescent="0.25">
      <c r="A1535">
        <f>IF(OR('R.M Billets Reports'!A1534="Date-",'R.M Billets Reports'!A1534="Date:-"),IF(IF(IF(ISNUMBER(SEARCH("Party Name:-",'R.M Billets Reports'!D1534)),TRIM('R.M Billets Reports'!F1534),IF(ISNUMBER(SEARCH("Party Name-",'R.M Billets Reports'!D1534)),TRIM(MID('R.M Billets Reports'!D1534,SEARCH("-",'R.M Billets Reports'!D1534)+1,200)),""))&lt;&gt;"",IF(ISNUMBER(SEARCH("Party Name:-",'R.M Billets Reports'!D1534)),TRIM('R.M Billets Reports'!F1534),IF(ISNUMBER(SEARCH("Party Name-",'R.M Billets Reports'!D1534)),TRIM(MID('R.M Billets Reports'!D1534,SEARCH("-",'R.M Billets Reports'!D1534)+1,200)),"")),IF(ISNUMBER(SEARCH("Party Name:-",'R.M Billets Reports'!D1535)),TRIM('R.M Billets Reports'!F1535),IF(ISNUMBER(SEARCH("Party Name-",'R.M Billets Reports'!D1535)),TRIM(MID('R.M Billets Reports'!D1535,SEARCH("-",'R.M Billets Reports'!D1535)+1,200)),"")))="VRKP ISPAT PVT LTD","VRKP",IF(IF(IF(ISNUMBER(SEARCH("Party Name:-",'R.M Billets Reports'!D1534)),TRIM('R.M Billets Reports'!F1534),IF(ISNUMBER(SEARCH("Party Name-",'R.M Billets Reports'!D1534)),TRIM(MID('R.M Billets Reports'!D1534,SEARCH("-",'R.M Billets Reports'!D1534)+1,200)),""))&lt;&gt;"",IF(ISNUMBER(SEARCH("Party Name:-",'R.M Billets Reports'!D1534)),TRIM('R.M Billets Reports'!F1534),IF(ISNUMBER(SEARCH("Party Name-",'R.M Billets Reports'!D1534)),TRIM(MID('R.M Billets Reports'!D1534,SEARCH("-",'R.M Billets Reports'!D1534)+1,200)),"")),IF(ISNUMBER(SEARCH("Party Name:-",'R.M Billets Reports'!D1535)),TRIM('R.M Billets Reports'!F1535),IF(ISNUMBER(SEARCH("Party Name-",'R.M Billets Reports'!D1535)),TRIM(MID('R.M Billets Reports'!D1535,SEARCH("-",'R.M Billets Reports'!D1535)+1,200)),"")))="SHRI RADHE","SHREE RADHE",IF(IF(IF(ISNUMBER(SEARCH("Party Name:-",'R.M Billets Reports'!D1534)),TRIM('R.M Billets Reports'!F1534),IF(ISNUMBER(SEARCH("Party Name-",'R.M Billets Reports'!D1534)),TRIM(MID('R.M Billets Reports'!D1534,SEARCH("-",'R.M Billets Reports'!D1534)+1,200)),""))&lt;&gt;"",IF(ISNUMBER(SEARCH("Party Name:-",'R.M Billets Reports'!D1534)),TRIM('R.M Billets Reports'!F1534),IF(ISNUMBER(SEARCH("Party Name-",'R.M Billets Reports'!D1534)),TRIM(MID('R.M Billets Reports'!D1534,SEARCH("-",'R.M Billets Reports'!D1534)+1,200)),"")),IF(ISNUMBER(SEARCH("Party Name:-",'R.M Billets Reports'!D1535)),TRIM('R.M Billets Reports'!F1535),IF(ISNUMBER(SEARCH("Party Name-",'R.M Billets Reports'!D1535)),TRIM(MID('R.M Billets Reports'!D1535,SEARCH("-",'R.M Billets Reports'!D1535)+1,200)),"")))="SHREE RADHE SHAKTI SPONGE AND POWER PVT. LTD.","SHREE RADHE",IF(IF(ISNUMBER(SEARCH("Party Name:-",'R.M Billets Reports'!D1534)),TRIM('R.M Billets Reports'!F1534),IF(ISNUMBER(SEARCH("Party Name-",'R.M Billets Reports'!D1534)),TRIM(MID('R.M Billets Reports'!D1534,SEARCH("-",'R.M Billets Reports'!D1534)+1,200)),""))&lt;&gt;"",IF(ISNUMBER(SEARCH("Party Name:-",'R.M Billets Reports'!D1534)),TRIM('R.M Billets Reports'!F1534),IF(ISNUMBER(SEARCH("Party Name-",'R.M Billets Reports'!D1534)),TRIM(MID('R.M Billets Reports'!D1534,SEARCH("-",'R.M Billets Reports'!D1534)+1,200)),"")),IF(ISNUMBER(SEARCH("Party Name:-",'R.M Billets Reports'!D1535)),TRIM('R.M Billets Reports'!F1535),IF(ISNUMBER(SEARCH("Party Name-",'R.M Billets Reports'!D1535)),TRIM(MID('R.M Billets Reports'!D1535,SEARCH("-",'R.M Billets Reports'!D1535)+1,200)),"")))))),IF(ROW()=2,"",A1534))</f>
      </c>
      <c r="B1535">
        <f>IF(OR('R.M Billets Reports'!A1534="Date-",'R.M Billets Reports'!A1534="Date:-"),'R.M Billets Reports'!B1534,IF(ROW()=2,"",B1534))</f>
      </c>
      <c r="C1535">
        <f>IF('R.M Billets Reports'!A1534="V.No.",'R.M Billets Reports'!B1534,IF(ROW()=2,"",C1534))</f>
      </c>
      <c r="D1535">
        <f>IF('R.M Billets Reports'!A1534&lt;&gt;"",'R.M Billets Reports'!A1534,IF(ROW()=2,"",D1534))</f>
      </c>
      <c r="E1535">
        <f>IF('R.M Billets Reports'!B1534="","",TRIM('R.M Billets Reports'!B1534))</f>
      </c>
      <c r="F1535">
        <f>'R.M Billets Reports'!C1534</f>
      </c>
      <c r="G1535">
        <f>'R.M Billets Reports'!D1534</f>
      </c>
      <c r="H1535">
        <f>'R.M Billets Reports'!E1534</f>
      </c>
      <c r="I1535">
        <f>'R.M Billets Reports'!F1534</f>
      </c>
      <c r="J1535">
        <f>'R.M Billets Reports'!G1534</f>
      </c>
      <c r="K1535">
        <f>'R.M Billets Reports'!H1534</f>
      </c>
      <c r="L1535">
        <f>IF('R.M Billets Reports'!I1534="","",'R.M Billets Reports'!I1534)</f>
      </c>
      <c r="M1535">
        <f t="shared" si="46"/>
      </c>
      <c r="N1535">
        <f>IF('R.M Billets Reports'!J1534="","",'R.M Billets Reports'!J1534)</f>
      </c>
      <c r="O1535">
        <f t="shared" si="47"/>
      </c>
      <c r="P1535">
        <f>IF('R.M Billets Reports'!A1534="SIZE",'R.M Billets Reports'!B1534,P1534)</f>
      </c>
    </row>
    <row r="1536" spans="1:16" x14ac:dyDescent="0.25">
      <c r="A1536">
        <f>IF(OR('R.M Billets Reports'!A1535="Date-",'R.M Billets Reports'!A1535="Date:-"),IF(IF(IF(ISNUMBER(SEARCH("Party Name:-",'R.M Billets Reports'!D1535)),TRIM('R.M Billets Reports'!F1535),IF(ISNUMBER(SEARCH("Party Name-",'R.M Billets Reports'!D1535)),TRIM(MID('R.M Billets Reports'!D1535,SEARCH("-",'R.M Billets Reports'!D1535)+1,200)),""))&lt;&gt;"",IF(ISNUMBER(SEARCH("Party Name:-",'R.M Billets Reports'!D1535)),TRIM('R.M Billets Reports'!F1535),IF(ISNUMBER(SEARCH("Party Name-",'R.M Billets Reports'!D1535)),TRIM(MID('R.M Billets Reports'!D1535,SEARCH("-",'R.M Billets Reports'!D1535)+1,200)),"")),IF(ISNUMBER(SEARCH("Party Name:-",'R.M Billets Reports'!D1536)),TRIM('R.M Billets Reports'!F1536),IF(ISNUMBER(SEARCH("Party Name-",'R.M Billets Reports'!D1536)),TRIM(MID('R.M Billets Reports'!D1536,SEARCH("-",'R.M Billets Reports'!D1536)+1,200)),"")))="VRKP ISPAT PVT LTD","VRKP",IF(IF(IF(ISNUMBER(SEARCH("Party Name:-",'R.M Billets Reports'!D1535)),TRIM('R.M Billets Reports'!F1535),IF(ISNUMBER(SEARCH("Party Name-",'R.M Billets Reports'!D1535)),TRIM(MID('R.M Billets Reports'!D1535,SEARCH("-",'R.M Billets Reports'!D1535)+1,200)),""))&lt;&gt;"",IF(ISNUMBER(SEARCH("Party Name:-",'R.M Billets Reports'!D1535)),TRIM('R.M Billets Reports'!F1535),IF(ISNUMBER(SEARCH("Party Name-",'R.M Billets Reports'!D1535)),TRIM(MID('R.M Billets Reports'!D1535,SEARCH("-",'R.M Billets Reports'!D1535)+1,200)),"")),IF(ISNUMBER(SEARCH("Party Name:-",'R.M Billets Reports'!D1536)),TRIM('R.M Billets Reports'!F1536),IF(ISNUMBER(SEARCH("Party Name-",'R.M Billets Reports'!D1536)),TRIM(MID('R.M Billets Reports'!D1536,SEARCH("-",'R.M Billets Reports'!D1536)+1,200)),"")))="SHRI RADHE","SHREE RADHE",IF(IF(IF(ISNUMBER(SEARCH("Party Name:-",'R.M Billets Reports'!D1535)),TRIM('R.M Billets Reports'!F1535),IF(ISNUMBER(SEARCH("Party Name-",'R.M Billets Reports'!D1535)),TRIM(MID('R.M Billets Reports'!D1535,SEARCH("-",'R.M Billets Reports'!D1535)+1,200)),""))&lt;&gt;"",IF(ISNUMBER(SEARCH("Party Name:-",'R.M Billets Reports'!D1535)),TRIM('R.M Billets Reports'!F1535),IF(ISNUMBER(SEARCH("Party Name-",'R.M Billets Reports'!D1535)),TRIM(MID('R.M Billets Reports'!D1535,SEARCH("-",'R.M Billets Reports'!D1535)+1,200)),"")),IF(ISNUMBER(SEARCH("Party Name:-",'R.M Billets Reports'!D1536)),TRIM('R.M Billets Reports'!F1536),IF(ISNUMBER(SEARCH("Party Name-",'R.M Billets Reports'!D1536)),TRIM(MID('R.M Billets Reports'!D1536,SEARCH("-",'R.M Billets Reports'!D1536)+1,200)),"")))="SHREE RADHE SHAKTI SPONGE AND POWER PVT. LTD.","SHREE RADHE",IF(IF(ISNUMBER(SEARCH("Party Name:-",'R.M Billets Reports'!D1535)),TRIM('R.M Billets Reports'!F1535),IF(ISNUMBER(SEARCH("Party Name-",'R.M Billets Reports'!D1535)),TRIM(MID('R.M Billets Reports'!D1535,SEARCH("-",'R.M Billets Reports'!D1535)+1,200)),""))&lt;&gt;"",IF(ISNUMBER(SEARCH("Party Name:-",'R.M Billets Reports'!D1535)),TRIM('R.M Billets Reports'!F1535),IF(ISNUMBER(SEARCH("Party Name-",'R.M Billets Reports'!D1535)),TRIM(MID('R.M Billets Reports'!D1535,SEARCH("-",'R.M Billets Reports'!D1535)+1,200)),"")),IF(ISNUMBER(SEARCH("Party Name:-",'R.M Billets Reports'!D1536)),TRIM('R.M Billets Reports'!F1536),IF(ISNUMBER(SEARCH("Party Name-",'R.M Billets Reports'!D1536)),TRIM(MID('R.M Billets Reports'!D1536,SEARCH("-",'R.M Billets Reports'!D1536)+1,200)),"")))))),IF(ROW()=2,"",A1535))</f>
      </c>
      <c r="B1536">
        <f>IF(OR('R.M Billets Reports'!A1535="Date-",'R.M Billets Reports'!A1535="Date:-"),'R.M Billets Reports'!B1535,IF(ROW()=2,"",B1535))</f>
      </c>
      <c r="C1536">
        <f>IF('R.M Billets Reports'!A1535="V.No.",'R.M Billets Reports'!B1535,IF(ROW()=2,"",C1535))</f>
      </c>
      <c r="D1536">
        <f>IF('R.M Billets Reports'!A1535&lt;&gt;"",'R.M Billets Reports'!A1535,IF(ROW()=2,"",D1535))</f>
      </c>
      <c r="E1536">
        <f>IF('R.M Billets Reports'!B1535="","",TRIM('R.M Billets Reports'!B1535))</f>
      </c>
      <c r="F1536">
        <f>'R.M Billets Reports'!C1535</f>
      </c>
      <c r="G1536">
        <f>'R.M Billets Reports'!D1535</f>
      </c>
      <c r="H1536">
        <f>'R.M Billets Reports'!E1535</f>
      </c>
      <c r="I1536">
        <f>'R.M Billets Reports'!F1535</f>
      </c>
      <c r="J1536">
        <f>'R.M Billets Reports'!G1535</f>
      </c>
      <c r="K1536">
        <f>'R.M Billets Reports'!H1535</f>
      </c>
      <c r="L1536">
        <f>IF('R.M Billets Reports'!I1535="","",'R.M Billets Reports'!I1535)</f>
      </c>
      <c r="M1536">
        <f t="shared" si="46"/>
      </c>
      <c r="N1536">
        <f>IF('R.M Billets Reports'!J1535="","",'R.M Billets Reports'!J1535)</f>
      </c>
      <c r="O1536">
        <f t="shared" si="47"/>
      </c>
      <c r="P1536">
        <f>IF('R.M Billets Reports'!A1535="SIZE",'R.M Billets Reports'!B1535,P1535)</f>
      </c>
    </row>
    <row r="1537" spans="1:16" x14ac:dyDescent="0.25">
      <c r="A1537">
        <f>IF(OR('R.M Billets Reports'!A1536="Date-",'R.M Billets Reports'!A1536="Date:-"),IF(IF(IF(ISNUMBER(SEARCH("Party Name:-",'R.M Billets Reports'!D1536)),TRIM('R.M Billets Reports'!F1536),IF(ISNUMBER(SEARCH("Party Name-",'R.M Billets Reports'!D1536)),TRIM(MID('R.M Billets Reports'!D1536,SEARCH("-",'R.M Billets Reports'!D1536)+1,200)),""))&lt;&gt;"",IF(ISNUMBER(SEARCH("Party Name:-",'R.M Billets Reports'!D1536)),TRIM('R.M Billets Reports'!F1536),IF(ISNUMBER(SEARCH("Party Name-",'R.M Billets Reports'!D1536)),TRIM(MID('R.M Billets Reports'!D1536,SEARCH("-",'R.M Billets Reports'!D1536)+1,200)),"")),IF(ISNUMBER(SEARCH("Party Name:-",'R.M Billets Reports'!D1537)),TRIM('R.M Billets Reports'!F1537),IF(ISNUMBER(SEARCH("Party Name-",'R.M Billets Reports'!D1537)),TRIM(MID('R.M Billets Reports'!D1537,SEARCH("-",'R.M Billets Reports'!D1537)+1,200)),"")))="VRKP ISPAT PVT LTD","VRKP",IF(IF(IF(ISNUMBER(SEARCH("Party Name:-",'R.M Billets Reports'!D1536)),TRIM('R.M Billets Reports'!F1536),IF(ISNUMBER(SEARCH("Party Name-",'R.M Billets Reports'!D1536)),TRIM(MID('R.M Billets Reports'!D1536,SEARCH("-",'R.M Billets Reports'!D1536)+1,200)),""))&lt;&gt;"",IF(ISNUMBER(SEARCH("Party Name:-",'R.M Billets Reports'!D1536)),TRIM('R.M Billets Reports'!F1536),IF(ISNUMBER(SEARCH("Party Name-",'R.M Billets Reports'!D1536)),TRIM(MID('R.M Billets Reports'!D1536,SEARCH("-",'R.M Billets Reports'!D1536)+1,200)),"")),IF(ISNUMBER(SEARCH("Party Name:-",'R.M Billets Reports'!D1537)),TRIM('R.M Billets Reports'!F1537),IF(ISNUMBER(SEARCH("Party Name-",'R.M Billets Reports'!D1537)),TRIM(MID('R.M Billets Reports'!D1537,SEARCH("-",'R.M Billets Reports'!D1537)+1,200)),"")))="SHRI RADHE","SHREE RADHE",IF(IF(IF(ISNUMBER(SEARCH("Party Name:-",'R.M Billets Reports'!D1536)),TRIM('R.M Billets Reports'!F1536),IF(ISNUMBER(SEARCH("Party Name-",'R.M Billets Reports'!D1536)),TRIM(MID('R.M Billets Reports'!D1536,SEARCH("-",'R.M Billets Reports'!D1536)+1,200)),""))&lt;&gt;"",IF(ISNUMBER(SEARCH("Party Name:-",'R.M Billets Reports'!D1536)),TRIM('R.M Billets Reports'!F1536),IF(ISNUMBER(SEARCH("Party Name-",'R.M Billets Reports'!D1536)),TRIM(MID('R.M Billets Reports'!D1536,SEARCH("-",'R.M Billets Reports'!D1536)+1,200)),"")),IF(ISNUMBER(SEARCH("Party Name:-",'R.M Billets Reports'!D1537)),TRIM('R.M Billets Reports'!F1537),IF(ISNUMBER(SEARCH("Party Name-",'R.M Billets Reports'!D1537)),TRIM(MID('R.M Billets Reports'!D1537,SEARCH("-",'R.M Billets Reports'!D1537)+1,200)),"")))="SHREE RADHE SHAKTI SPONGE AND POWER PVT. LTD.","SHREE RADHE",IF(IF(ISNUMBER(SEARCH("Party Name:-",'R.M Billets Reports'!D1536)),TRIM('R.M Billets Reports'!F1536),IF(ISNUMBER(SEARCH("Party Name-",'R.M Billets Reports'!D1536)),TRIM(MID('R.M Billets Reports'!D1536,SEARCH("-",'R.M Billets Reports'!D1536)+1,200)),""))&lt;&gt;"",IF(ISNUMBER(SEARCH("Party Name:-",'R.M Billets Reports'!D1536)),TRIM('R.M Billets Reports'!F1536),IF(ISNUMBER(SEARCH("Party Name-",'R.M Billets Reports'!D1536)),TRIM(MID('R.M Billets Reports'!D1536,SEARCH("-",'R.M Billets Reports'!D1536)+1,200)),"")),IF(ISNUMBER(SEARCH("Party Name:-",'R.M Billets Reports'!D1537)),TRIM('R.M Billets Reports'!F1537),IF(ISNUMBER(SEARCH("Party Name-",'R.M Billets Reports'!D1537)),TRIM(MID('R.M Billets Reports'!D1537,SEARCH("-",'R.M Billets Reports'!D1537)+1,200)),"")))))),IF(ROW()=2,"",A1536))</f>
      </c>
      <c r="B1537">
        <f>IF(OR('R.M Billets Reports'!A1536="Date-",'R.M Billets Reports'!A1536="Date:-"),'R.M Billets Reports'!B1536,IF(ROW()=2,"",B1536))</f>
      </c>
      <c r="C1537">
        <f>IF('R.M Billets Reports'!A1536="V.No.",'R.M Billets Reports'!B1536,IF(ROW()=2,"",C1536))</f>
      </c>
      <c r="D1537">
        <f>IF('R.M Billets Reports'!A1536&lt;&gt;"",'R.M Billets Reports'!A1536,IF(ROW()=2,"",D1536))</f>
      </c>
      <c r="E1537">
        <f>IF('R.M Billets Reports'!B1536="","",TRIM('R.M Billets Reports'!B1536))</f>
      </c>
      <c r="F1537">
        <f>'R.M Billets Reports'!C1536</f>
      </c>
      <c r="G1537">
        <f>'R.M Billets Reports'!D1536</f>
      </c>
      <c r="H1537">
        <f>'R.M Billets Reports'!E1536</f>
      </c>
      <c r="I1537">
        <f>'R.M Billets Reports'!F1536</f>
      </c>
      <c r="J1537">
        <f>'R.M Billets Reports'!G1536</f>
      </c>
      <c r="K1537">
        <f>'R.M Billets Reports'!H1536</f>
      </c>
      <c r="L1537">
        <f>IF('R.M Billets Reports'!I1536="","",'R.M Billets Reports'!I1536)</f>
      </c>
      <c r="M1537">
        <f t="shared" si="46"/>
      </c>
      <c r="N1537">
        <f>IF('R.M Billets Reports'!J1536="","",'R.M Billets Reports'!J1536)</f>
      </c>
      <c r="O1537">
        <f t="shared" si="47"/>
      </c>
      <c r="P1537">
        <f>IF('R.M Billets Reports'!A1536="SIZE",'R.M Billets Reports'!B1536,P1536)</f>
      </c>
    </row>
    <row r="1538" spans="1:16" x14ac:dyDescent="0.25">
      <c r="A1538">
        <f>IF(OR('R.M Billets Reports'!A1537="Date-",'R.M Billets Reports'!A1537="Date:-"),IF(IF(IF(ISNUMBER(SEARCH("Party Name:-",'R.M Billets Reports'!D1537)),TRIM('R.M Billets Reports'!F1537),IF(ISNUMBER(SEARCH("Party Name-",'R.M Billets Reports'!D1537)),TRIM(MID('R.M Billets Reports'!D1537,SEARCH("-",'R.M Billets Reports'!D1537)+1,200)),""))&lt;&gt;"",IF(ISNUMBER(SEARCH("Party Name:-",'R.M Billets Reports'!D1537)),TRIM('R.M Billets Reports'!F1537),IF(ISNUMBER(SEARCH("Party Name-",'R.M Billets Reports'!D1537)),TRIM(MID('R.M Billets Reports'!D1537,SEARCH("-",'R.M Billets Reports'!D1537)+1,200)),"")),IF(ISNUMBER(SEARCH("Party Name:-",'R.M Billets Reports'!D1538)),TRIM('R.M Billets Reports'!F1538),IF(ISNUMBER(SEARCH("Party Name-",'R.M Billets Reports'!D1538)),TRIM(MID('R.M Billets Reports'!D1538,SEARCH("-",'R.M Billets Reports'!D1538)+1,200)),"")))="VRKP ISPAT PVT LTD","VRKP",IF(IF(IF(ISNUMBER(SEARCH("Party Name:-",'R.M Billets Reports'!D1537)),TRIM('R.M Billets Reports'!F1537),IF(ISNUMBER(SEARCH("Party Name-",'R.M Billets Reports'!D1537)),TRIM(MID('R.M Billets Reports'!D1537,SEARCH("-",'R.M Billets Reports'!D1537)+1,200)),""))&lt;&gt;"",IF(ISNUMBER(SEARCH("Party Name:-",'R.M Billets Reports'!D1537)),TRIM('R.M Billets Reports'!F1537),IF(ISNUMBER(SEARCH("Party Name-",'R.M Billets Reports'!D1537)),TRIM(MID('R.M Billets Reports'!D1537,SEARCH("-",'R.M Billets Reports'!D1537)+1,200)),"")),IF(ISNUMBER(SEARCH("Party Name:-",'R.M Billets Reports'!D1538)),TRIM('R.M Billets Reports'!F1538),IF(ISNUMBER(SEARCH("Party Name-",'R.M Billets Reports'!D1538)),TRIM(MID('R.M Billets Reports'!D1538,SEARCH("-",'R.M Billets Reports'!D1538)+1,200)),"")))="SHRI RADHE","SHREE RADHE",IF(IF(IF(ISNUMBER(SEARCH("Party Name:-",'R.M Billets Reports'!D1537)),TRIM('R.M Billets Reports'!F1537),IF(ISNUMBER(SEARCH("Party Name-",'R.M Billets Reports'!D1537)),TRIM(MID('R.M Billets Reports'!D1537,SEARCH("-",'R.M Billets Reports'!D1537)+1,200)),""))&lt;&gt;"",IF(ISNUMBER(SEARCH("Party Name:-",'R.M Billets Reports'!D1537)),TRIM('R.M Billets Reports'!F1537),IF(ISNUMBER(SEARCH("Party Name-",'R.M Billets Reports'!D1537)),TRIM(MID('R.M Billets Reports'!D1537,SEARCH("-",'R.M Billets Reports'!D1537)+1,200)),"")),IF(ISNUMBER(SEARCH("Party Name:-",'R.M Billets Reports'!D1538)),TRIM('R.M Billets Reports'!F1538),IF(ISNUMBER(SEARCH("Party Name-",'R.M Billets Reports'!D1538)),TRIM(MID('R.M Billets Reports'!D1538,SEARCH("-",'R.M Billets Reports'!D1538)+1,200)),"")))="SHREE RADHE SHAKTI SPONGE AND POWER PVT. LTD.","SHREE RADHE",IF(IF(ISNUMBER(SEARCH("Party Name:-",'R.M Billets Reports'!D1537)),TRIM('R.M Billets Reports'!F1537),IF(ISNUMBER(SEARCH("Party Name-",'R.M Billets Reports'!D1537)),TRIM(MID('R.M Billets Reports'!D1537,SEARCH("-",'R.M Billets Reports'!D1537)+1,200)),""))&lt;&gt;"",IF(ISNUMBER(SEARCH("Party Name:-",'R.M Billets Reports'!D1537)),TRIM('R.M Billets Reports'!F1537),IF(ISNUMBER(SEARCH("Party Name-",'R.M Billets Reports'!D1537)),TRIM(MID('R.M Billets Reports'!D1537,SEARCH("-",'R.M Billets Reports'!D1537)+1,200)),"")),IF(ISNUMBER(SEARCH("Party Name:-",'R.M Billets Reports'!D1538)),TRIM('R.M Billets Reports'!F1538),IF(ISNUMBER(SEARCH("Party Name-",'R.M Billets Reports'!D1538)),TRIM(MID('R.M Billets Reports'!D1538,SEARCH("-",'R.M Billets Reports'!D1538)+1,200)),"")))))),IF(ROW()=2,"",A1537))</f>
      </c>
      <c r="B1538">
        <f>IF(OR('R.M Billets Reports'!A1537="Date-",'R.M Billets Reports'!A1537="Date:-"),'R.M Billets Reports'!B1537,IF(ROW()=2,"",B1537))</f>
      </c>
      <c r="C1538">
        <f>IF('R.M Billets Reports'!A1537="V.No.",'R.M Billets Reports'!B1537,IF(ROW()=2,"",C1537))</f>
      </c>
      <c r="D1538">
        <f>IF('R.M Billets Reports'!A1537&lt;&gt;"",'R.M Billets Reports'!A1537,IF(ROW()=2,"",D1537))</f>
      </c>
      <c r="E1538">
        <f>IF('R.M Billets Reports'!B1537="","",TRIM('R.M Billets Reports'!B1537))</f>
      </c>
      <c r="F1538">
        <f>'R.M Billets Reports'!C1537</f>
      </c>
      <c r="G1538">
        <f>'R.M Billets Reports'!D1537</f>
      </c>
      <c r="H1538">
        <f>'R.M Billets Reports'!E1537</f>
      </c>
      <c r="I1538">
        <f>'R.M Billets Reports'!F1537</f>
      </c>
      <c r="J1538">
        <f>'R.M Billets Reports'!G1537</f>
      </c>
      <c r="K1538">
        <f>'R.M Billets Reports'!H1537</f>
      </c>
      <c r="L1538">
        <f>IF('R.M Billets Reports'!I1537="","",'R.M Billets Reports'!I1537)</f>
      </c>
      <c r="M1538">
        <f t="shared" si="46"/>
      </c>
      <c r="N1538">
        <f>IF('R.M Billets Reports'!J1537="","",'R.M Billets Reports'!J1537)</f>
      </c>
      <c r="O1538">
        <f t="shared" si="47"/>
      </c>
      <c r="P1538">
        <f>IF('R.M Billets Reports'!A1537="SIZE",'R.M Billets Reports'!B1537,P1537)</f>
      </c>
    </row>
    <row r="1539" spans="1:16" x14ac:dyDescent="0.25">
      <c r="A1539">
        <f>IF(OR('R.M Billets Reports'!A1538="Date-",'R.M Billets Reports'!A1538="Date:-"),IF(IF(IF(ISNUMBER(SEARCH("Party Name:-",'R.M Billets Reports'!D1538)),TRIM('R.M Billets Reports'!F1538),IF(ISNUMBER(SEARCH("Party Name-",'R.M Billets Reports'!D1538)),TRIM(MID('R.M Billets Reports'!D1538,SEARCH("-",'R.M Billets Reports'!D1538)+1,200)),""))&lt;&gt;"",IF(ISNUMBER(SEARCH("Party Name:-",'R.M Billets Reports'!D1538)),TRIM('R.M Billets Reports'!F1538),IF(ISNUMBER(SEARCH("Party Name-",'R.M Billets Reports'!D1538)),TRIM(MID('R.M Billets Reports'!D1538,SEARCH("-",'R.M Billets Reports'!D1538)+1,200)),"")),IF(ISNUMBER(SEARCH("Party Name:-",'R.M Billets Reports'!D1539)),TRIM('R.M Billets Reports'!F1539),IF(ISNUMBER(SEARCH("Party Name-",'R.M Billets Reports'!D1539)),TRIM(MID('R.M Billets Reports'!D1539,SEARCH("-",'R.M Billets Reports'!D1539)+1,200)),"")))="VRKP ISPAT PVT LTD","VRKP",IF(IF(IF(ISNUMBER(SEARCH("Party Name:-",'R.M Billets Reports'!D1538)),TRIM('R.M Billets Reports'!F1538),IF(ISNUMBER(SEARCH("Party Name-",'R.M Billets Reports'!D1538)),TRIM(MID('R.M Billets Reports'!D1538,SEARCH("-",'R.M Billets Reports'!D1538)+1,200)),""))&lt;&gt;"",IF(ISNUMBER(SEARCH("Party Name:-",'R.M Billets Reports'!D1538)),TRIM('R.M Billets Reports'!F1538),IF(ISNUMBER(SEARCH("Party Name-",'R.M Billets Reports'!D1538)),TRIM(MID('R.M Billets Reports'!D1538,SEARCH("-",'R.M Billets Reports'!D1538)+1,200)),"")),IF(ISNUMBER(SEARCH("Party Name:-",'R.M Billets Reports'!D1539)),TRIM('R.M Billets Reports'!F1539),IF(ISNUMBER(SEARCH("Party Name-",'R.M Billets Reports'!D1539)),TRIM(MID('R.M Billets Reports'!D1539,SEARCH("-",'R.M Billets Reports'!D1539)+1,200)),"")))="SHRI RADHE","SHREE RADHE",IF(IF(IF(ISNUMBER(SEARCH("Party Name:-",'R.M Billets Reports'!D1538)),TRIM('R.M Billets Reports'!F1538),IF(ISNUMBER(SEARCH("Party Name-",'R.M Billets Reports'!D1538)),TRIM(MID('R.M Billets Reports'!D1538,SEARCH("-",'R.M Billets Reports'!D1538)+1,200)),""))&lt;&gt;"",IF(ISNUMBER(SEARCH("Party Name:-",'R.M Billets Reports'!D1538)),TRIM('R.M Billets Reports'!F1538),IF(ISNUMBER(SEARCH("Party Name-",'R.M Billets Reports'!D1538)),TRIM(MID('R.M Billets Reports'!D1538,SEARCH("-",'R.M Billets Reports'!D1538)+1,200)),"")),IF(ISNUMBER(SEARCH("Party Name:-",'R.M Billets Reports'!D1539)),TRIM('R.M Billets Reports'!F1539),IF(ISNUMBER(SEARCH("Party Name-",'R.M Billets Reports'!D1539)),TRIM(MID('R.M Billets Reports'!D1539,SEARCH("-",'R.M Billets Reports'!D1539)+1,200)),"")))="SHREE RADHE SHAKTI SPONGE AND POWER PVT. LTD.","SHREE RADHE",IF(IF(ISNUMBER(SEARCH("Party Name:-",'R.M Billets Reports'!D1538)),TRIM('R.M Billets Reports'!F1538),IF(ISNUMBER(SEARCH("Party Name-",'R.M Billets Reports'!D1538)),TRIM(MID('R.M Billets Reports'!D1538,SEARCH("-",'R.M Billets Reports'!D1538)+1,200)),""))&lt;&gt;"",IF(ISNUMBER(SEARCH("Party Name:-",'R.M Billets Reports'!D1538)),TRIM('R.M Billets Reports'!F1538),IF(ISNUMBER(SEARCH("Party Name-",'R.M Billets Reports'!D1538)),TRIM(MID('R.M Billets Reports'!D1538,SEARCH("-",'R.M Billets Reports'!D1538)+1,200)),"")),IF(ISNUMBER(SEARCH("Party Name:-",'R.M Billets Reports'!D1539)),TRIM('R.M Billets Reports'!F1539),IF(ISNUMBER(SEARCH("Party Name-",'R.M Billets Reports'!D1539)),TRIM(MID('R.M Billets Reports'!D1539,SEARCH("-",'R.M Billets Reports'!D1539)+1,200)),"")))))),IF(ROW()=2,"",A1538))</f>
      </c>
      <c r="B1539">
        <f>IF(OR('R.M Billets Reports'!A1538="Date-",'R.M Billets Reports'!A1538="Date:-"),'R.M Billets Reports'!B1538,IF(ROW()=2,"",B1538))</f>
      </c>
      <c r="C1539">
        <f>IF('R.M Billets Reports'!A1538="V.No.",'R.M Billets Reports'!B1538,IF(ROW()=2,"",C1538))</f>
      </c>
      <c r="D1539">
        <f>IF('R.M Billets Reports'!A1538&lt;&gt;"",'R.M Billets Reports'!A1538,IF(ROW()=2,"",D1538))</f>
      </c>
      <c r="E1539">
        <f>IF('R.M Billets Reports'!B1538="","",TRIM('R.M Billets Reports'!B1538))</f>
      </c>
      <c r="F1539">
        <f>'R.M Billets Reports'!C1538</f>
      </c>
      <c r="G1539">
        <f>'R.M Billets Reports'!D1538</f>
      </c>
      <c r="H1539">
        <f>'R.M Billets Reports'!E1538</f>
      </c>
      <c r="I1539">
        <f>'R.M Billets Reports'!F1538</f>
      </c>
      <c r="J1539">
        <f>'R.M Billets Reports'!G1538</f>
      </c>
      <c r="K1539">
        <f>'R.M Billets Reports'!H1538</f>
      </c>
      <c r="L1539">
        <f>IF('R.M Billets Reports'!I1538="","",'R.M Billets Reports'!I1538)</f>
      </c>
      <c r="M1539">
        <f t="shared" ref="M1539:M1602" si="48">IF(L1539&lt;&gt;"",L1539,IF(D1539=D1538,M1538,""))</f>
      </c>
      <c r="N1539">
        <f>IF('R.M Billets Reports'!J1538="","",'R.M Billets Reports'!J1538)</f>
      </c>
      <c r="O1539">
        <f t="shared" ref="O1539:O1602" si="49">IF(N1539&lt;&gt;"",N1539,IF(D1539=D1538,O1538,""))</f>
      </c>
      <c r="P1539">
        <f>IF('R.M Billets Reports'!A1538="SIZE",'R.M Billets Reports'!B1538,P1538)</f>
      </c>
    </row>
    <row r="1540" spans="1:16" x14ac:dyDescent="0.25">
      <c r="A1540">
        <f>IF(OR('R.M Billets Reports'!A1539="Date-",'R.M Billets Reports'!A1539="Date:-"),IF(IF(IF(ISNUMBER(SEARCH("Party Name:-",'R.M Billets Reports'!D1539)),TRIM('R.M Billets Reports'!F1539),IF(ISNUMBER(SEARCH("Party Name-",'R.M Billets Reports'!D1539)),TRIM(MID('R.M Billets Reports'!D1539,SEARCH("-",'R.M Billets Reports'!D1539)+1,200)),""))&lt;&gt;"",IF(ISNUMBER(SEARCH("Party Name:-",'R.M Billets Reports'!D1539)),TRIM('R.M Billets Reports'!F1539),IF(ISNUMBER(SEARCH("Party Name-",'R.M Billets Reports'!D1539)),TRIM(MID('R.M Billets Reports'!D1539,SEARCH("-",'R.M Billets Reports'!D1539)+1,200)),"")),IF(ISNUMBER(SEARCH("Party Name:-",'R.M Billets Reports'!D1540)),TRIM('R.M Billets Reports'!F1540),IF(ISNUMBER(SEARCH("Party Name-",'R.M Billets Reports'!D1540)),TRIM(MID('R.M Billets Reports'!D1540,SEARCH("-",'R.M Billets Reports'!D1540)+1,200)),"")))="VRKP ISPAT PVT LTD","VRKP",IF(IF(IF(ISNUMBER(SEARCH("Party Name:-",'R.M Billets Reports'!D1539)),TRIM('R.M Billets Reports'!F1539),IF(ISNUMBER(SEARCH("Party Name-",'R.M Billets Reports'!D1539)),TRIM(MID('R.M Billets Reports'!D1539,SEARCH("-",'R.M Billets Reports'!D1539)+1,200)),""))&lt;&gt;"",IF(ISNUMBER(SEARCH("Party Name:-",'R.M Billets Reports'!D1539)),TRIM('R.M Billets Reports'!F1539),IF(ISNUMBER(SEARCH("Party Name-",'R.M Billets Reports'!D1539)),TRIM(MID('R.M Billets Reports'!D1539,SEARCH("-",'R.M Billets Reports'!D1539)+1,200)),"")),IF(ISNUMBER(SEARCH("Party Name:-",'R.M Billets Reports'!D1540)),TRIM('R.M Billets Reports'!F1540),IF(ISNUMBER(SEARCH("Party Name-",'R.M Billets Reports'!D1540)),TRIM(MID('R.M Billets Reports'!D1540,SEARCH("-",'R.M Billets Reports'!D1540)+1,200)),"")))="SHRI RADHE","SHREE RADHE",IF(IF(IF(ISNUMBER(SEARCH("Party Name:-",'R.M Billets Reports'!D1539)),TRIM('R.M Billets Reports'!F1539),IF(ISNUMBER(SEARCH("Party Name-",'R.M Billets Reports'!D1539)),TRIM(MID('R.M Billets Reports'!D1539,SEARCH("-",'R.M Billets Reports'!D1539)+1,200)),""))&lt;&gt;"",IF(ISNUMBER(SEARCH("Party Name:-",'R.M Billets Reports'!D1539)),TRIM('R.M Billets Reports'!F1539),IF(ISNUMBER(SEARCH("Party Name-",'R.M Billets Reports'!D1539)),TRIM(MID('R.M Billets Reports'!D1539,SEARCH("-",'R.M Billets Reports'!D1539)+1,200)),"")),IF(ISNUMBER(SEARCH("Party Name:-",'R.M Billets Reports'!D1540)),TRIM('R.M Billets Reports'!F1540),IF(ISNUMBER(SEARCH("Party Name-",'R.M Billets Reports'!D1540)),TRIM(MID('R.M Billets Reports'!D1540,SEARCH("-",'R.M Billets Reports'!D1540)+1,200)),"")))="SHREE RADHE SHAKTI SPONGE AND POWER PVT. LTD.","SHREE RADHE",IF(IF(ISNUMBER(SEARCH("Party Name:-",'R.M Billets Reports'!D1539)),TRIM('R.M Billets Reports'!F1539),IF(ISNUMBER(SEARCH("Party Name-",'R.M Billets Reports'!D1539)),TRIM(MID('R.M Billets Reports'!D1539,SEARCH("-",'R.M Billets Reports'!D1539)+1,200)),""))&lt;&gt;"",IF(ISNUMBER(SEARCH("Party Name:-",'R.M Billets Reports'!D1539)),TRIM('R.M Billets Reports'!F1539),IF(ISNUMBER(SEARCH("Party Name-",'R.M Billets Reports'!D1539)),TRIM(MID('R.M Billets Reports'!D1539,SEARCH("-",'R.M Billets Reports'!D1539)+1,200)),"")),IF(ISNUMBER(SEARCH("Party Name:-",'R.M Billets Reports'!D1540)),TRIM('R.M Billets Reports'!F1540),IF(ISNUMBER(SEARCH("Party Name-",'R.M Billets Reports'!D1540)),TRIM(MID('R.M Billets Reports'!D1540,SEARCH("-",'R.M Billets Reports'!D1540)+1,200)),"")))))),IF(ROW()=2,"",A1539))</f>
      </c>
      <c r="B1540">
        <f>IF(OR('R.M Billets Reports'!A1539="Date-",'R.M Billets Reports'!A1539="Date:-"),'R.M Billets Reports'!B1539,IF(ROW()=2,"",B1539))</f>
      </c>
      <c r="C1540">
        <f>IF('R.M Billets Reports'!A1539="V.No.",'R.M Billets Reports'!B1539,IF(ROW()=2,"",C1539))</f>
      </c>
      <c r="D1540">
        <f>IF('R.M Billets Reports'!A1539&lt;&gt;"",'R.M Billets Reports'!A1539,IF(ROW()=2,"",D1539))</f>
      </c>
      <c r="E1540">
        <f>IF('R.M Billets Reports'!B1539="","",TRIM('R.M Billets Reports'!B1539))</f>
      </c>
      <c r="F1540">
        <f>'R.M Billets Reports'!C1539</f>
      </c>
      <c r="G1540">
        <f>'R.M Billets Reports'!D1539</f>
      </c>
      <c r="H1540">
        <f>'R.M Billets Reports'!E1539</f>
      </c>
      <c r="I1540">
        <f>'R.M Billets Reports'!F1539</f>
      </c>
      <c r="J1540">
        <f>'R.M Billets Reports'!G1539</f>
      </c>
      <c r="K1540">
        <f>'R.M Billets Reports'!H1539</f>
      </c>
      <c r="L1540">
        <f>IF('R.M Billets Reports'!I1539="","",'R.M Billets Reports'!I1539)</f>
      </c>
      <c r="M1540">
        <f t="shared" si="48"/>
      </c>
      <c r="N1540">
        <f>IF('R.M Billets Reports'!J1539="","",'R.M Billets Reports'!J1539)</f>
      </c>
      <c r="O1540">
        <f t="shared" si="49"/>
      </c>
      <c r="P1540">
        <f>IF('R.M Billets Reports'!A1539="SIZE",'R.M Billets Reports'!B1539,P1539)</f>
      </c>
    </row>
    <row r="1541" spans="1:16" x14ac:dyDescent="0.25">
      <c r="A1541">
        <f>IF(OR('R.M Billets Reports'!A1540="Date-",'R.M Billets Reports'!A1540="Date:-"),IF(IF(IF(ISNUMBER(SEARCH("Party Name:-",'R.M Billets Reports'!D1540)),TRIM('R.M Billets Reports'!F1540),IF(ISNUMBER(SEARCH("Party Name-",'R.M Billets Reports'!D1540)),TRIM(MID('R.M Billets Reports'!D1540,SEARCH("-",'R.M Billets Reports'!D1540)+1,200)),""))&lt;&gt;"",IF(ISNUMBER(SEARCH("Party Name:-",'R.M Billets Reports'!D1540)),TRIM('R.M Billets Reports'!F1540),IF(ISNUMBER(SEARCH("Party Name-",'R.M Billets Reports'!D1540)),TRIM(MID('R.M Billets Reports'!D1540,SEARCH("-",'R.M Billets Reports'!D1540)+1,200)),"")),IF(ISNUMBER(SEARCH("Party Name:-",'R.M Billets Reports'!D1541)),TRIM('R.M Billets Reports'!F1541),IF(ISNUMBER(SEARCH("Party Name-",'R.M Billets Reports'!D1541)),TRIM(MID('R.M Billets Reports'!D1541,SEARCH("-",'R.M Billets Reports'!D1541)+1,200)),"")))="VRKP ISPAT PVT LTD","VRKP",IF(IF(IF(ISNUMBER(SEARCH("Party Name:-",'R.M Billets Reports'!D1540)),TRIM('R.M Billets Reports'!F1540),IF(ISNUMBER(SEARCH("Party Name-",'R.M Billets Reports'!D1540)),TRIM(MID('R.M Billets Reports'!D1540,SEARCH("-",'R.M Billets Reports'!D1540)+1,200)),""))&lt;&gt;"",IF(ISNUMBER(SEARCH("Party Name:-",'R.M Billets Reports'!D1540)),TRIM('R.M Billets Reports'!F1540),IF(ISNUMBER(SEARCH("Party Name-",'R.M Billets Reports'!D1540)),TRIM(MID('R.M Billets Reports'!D1540,SEARCH("-",'R.M Billets Reports'!D1540)+1,200)),"")),IF(ISNUMBER(SEARCH("Party Name:-",'R.M Billets Reports'!D1541)),TRIM('R.M Billets Reports'!F1541),IF(ISNUMBER(SEARCH("Party Name-",'R.M Billets Reports'!D1541)),TRIM(MID('R.M Billets Reports'!D1541,SEARCH("-",'R.M Billets Reports'!D1541)+1,200)),"")))="SHRI RADHE","SHREE RADHE",IF(IF(IF(ISNUMBER(SEARCH("Party Name:-",'R.M Billets Reports'!D1540)),TRIM('R.M Billets Reports'!F1540),IF(ISNUMBER(SEARCH("Party Name-",'R.M Billets Reports'!D1540)),TRIM(MID('R.M Billets Reports'!D1540,SEARCH("-",'R.M Billets Reports'!D1540)+1,200)),""))&lt;&gt;"",IF(ISNUMBER(SEARCH("Party Name:-",'R.M Billets Reports'!D1540)),TRIM('R.M Billets Reports'!F1540),IF(ISNUMBER(SEARCH("Party Name-",'R.M Billets Reports'!D1540)),TRIM(MID('R.M Billets Reports'!D1540,SEARCH("-",'R.M Billets Reports'!D1540)+1,200)),"")),IF(ISNUMBER(SEARCH("Party Name:-",'R.M Billets Reports'!D1541)),TRIM('R.M Billets Reports'!F1541),IF(ISNUMBER(SEARCH("Party Name-",'R.M Billets Reports'!D1541)),TRIM(MID('R.M Billets Reports'!D1541,SEARCH("-",'R.M Billets Reports'!D1541)+1,200)),"")))="SHREE RADHE SHAKTI SPONGE AND POWER PVT. LTD.","SHREE RADHE",IF(IF(ISNUMBER(SEARCH("Party Name:-",'R.M Billets Reports'!D1540)),TRIM('R.M Billets Reports'!F1540),IF(ISNUMBER(SEARCH("Party Name-",'R.M Billets Reports'!D1540)),TRIM(MID('R.M Billets Reports'!D1540,SEARCH("-",'R.M Billets Reports'!D1540)+1,200)),""))&lt;&gt;"",IF(ISNUMBER(SEARCH("Party Name:-",'R.M Billets Reports'!D1540)),TRIM('R.M Billets Reports'!F1540),IF(ISNUMBER(SEARCH("Party Name-",'R.M Billets Reports'!D1540)),TRIM(MID('R.M Billets Reports'!D1540,SEARCH("-",'R.M Billets Reports'!D1540)+1,200)),"")),IF(ISNUMBER(SEARCH("Party Name:-",'R.M Billets Reports'!D1541)),TRIM('R.M Billets Reports'!F1541),IF(ISNUMBER(SEARCH("Party Name-",'R.M Billets Reports'!D1541)),TRIM(MID('R.M Billets Reports'!D1541,SEARCH("-",'R.M Billets Reports'!D1541)+1,200)),"")))))),IF(ROW()=2,"",A1540))</f>
      </c>
      <c r="B1541">
        <f>IF(OR('R.M Billets Reports'!A1540="Date-",'R.M Billets Reports'!A1540="Date:-"),'R.M Billets Reports'!B1540,IF(ROW()=2,"",B1540))</f>
      </c>
      <c r="C1541">
        <f>IF('R.M Billets Reports'!A1540="V.No.",'R.M Billets Reports'!B1540,IF(ROW()=2,"",C1540))</f>
      </c>
      <c r="D1541">
        <f>IF('R.M Billets Reports'!A1540&lt;&gt;"",'R.M Billets Reports'!A1540,IF(ROW()=2,"",D1540))</f>
      </c>
      <c r="E1541">
        <f>IF('R.M Billets Reports'!B1540="","",TRIM('R.M Billets Reports'!B1540))</f>
      </c>
      <c r="F1541">
        <f>'R.M Billets Reports'!C1540</f>
      </c>
      <c r="G1541">
        <f>'R.M Billets Reports'!D1540</f>
      </c>
      <c r="H1541">
        <f>'R.M Billets Reports'!E1540</f>
      </c>
      <c r="I1541">
        <f>'R.M Billets Reports'!F1540</f>
      </c>
      <c r="J1541">
        <f>'R.M Billets Reports'!G1540</f>
      </c>
      <c r="K1541">
        <f>'R.M Billets Reports'!H1540</f>
      </c>
      <c r="L1541">
        <f>IF('R.M Billets Reports'!I1540="","",'R.M Billets Reports'!I1540)</f>
      </c>
      <c r="M1541">
        <f t="shared" si="48"/>
      </c>
      <c r="N1541">
        <f>IF('R.M Billets Reports'!J1540="","",'R.M Billets Reports'!J1540)</f>
      </c>
      <c r="O1541">
        <f t="shared" si="49"/>
      </c>
      <c r="P1541">
        <f>IF('R.M Billets Reports'!A1540="SIZE",'R.M Billets Reports'!B1540,P1540)</f>
      </c>
    </row>
    <row r="1542" spans="1:16" x14ac:dyDescent="0.25">
      <c r="A1542">
        <f>IF(OR('R.M Billets Reports'!A1541="Date-",'R.M Billets Reports'!A1541="Date:-"),IF(IF(IF(ISNUMBER(SEARCH("Party Name:-",'R.M Billets Reports'!D1541)),TRIM('R.M Billets Reports'!F1541),IF(ISNUMBER(SEARCH("Party Name-",'R.M Billets Reports'!D1541)),TRIM(MID('R.M Billets Reports'!D1541,SEARCH("-",'R.M Billets Reports'!D1541)+1,200)),""))&lt;&gt;"",IF(ISNUMBER(SEARCH("Party Name:-",'R.M Billets Reports'!D1541)),TRIM('R.M Billets Reports'!F1541),IF(ISNUMBER(SEARCH("Party Name-",'R.M Billets Reports'!D1541)),TRIM(MID('R.M Billets Reports'!D1541,SEARCH("-",'R.M Billets Reports'!D1541)+1,200)),"")),IF(ISNUMBER(SEARCH("Party Name:-",'R.M Billets Reports'!D1542)),TRIM('R.M Billets Reports'!F1542),IF(ISNUMBER(SEARCH("Party Name-",'R.M Billets Reports'!D1542)),TRIM(MID('R.M Billets Reports'!D1542,SEARCH("-",'R.M Billets Reports'!D1542)+1,200)),"")))="VRKP ISPAT PVT LTD","VRKP",IF(IF(IF(ISNUMBER(SEARCH("Party Name:-",'R.M Billets Reports'!D1541)),TRIM('R.M Billets Reports'!F1541),IF(ISNUMBER(SEARCH("Party Name-",'R.M Billets Reports'!D1541)),TRIM(MID('R.M Billets Reports'!D1541,SEARCH("-",'R.M Billets Reports'!D1541)+1,200)),""))&lt;&gt;"",IF(ISNUMBER(SEARCH("Party Name:-",'R.M Billets Reports'!D1541)),TRIM('R.M Billets Reports'!F1541),IF(ISNUMBER(SEARCH("Party Name-",'R.M Billets Reports'!D1541)),TRIM(MID('R.M Billets Reports'!D1541,SEARCH("-",'R.M Billets Reports'!D1541)+1,200)),"")),IF(ISNUMBER(SEARCH("Party Name:-",'R.M Billets Reports'!D1542)),TRIM('R.M Billets Reports'!F1542),IF(ISNUMBER(SEARCH("Party Name-",'R.M Billets Reports'!D1542)),TRIM(MID('R.M Billets Reports'!D1542,SEARCH("-",'R.M Billets Reports'!D1542)+1,200)),"")))="SHRI RADHE","SHREE RADHE",IF(IF(IF(ISNUMBER(SEARCH("Party Name:-",'R.M Billets Reports'!D1541)),TRIM('R.M Billets Reports'!F1541),IF(ISNUMBER(SEARCH("Party Name-",'R.M Billets Reports'!D1541)),TRIM(MID('R.M Billets Reports'!D1541,SEARCH("-",'R.M Billets Reports'!D1541)+1,200)),""))&lt;&gt;"",IF(ISNUMBER(SEARCH("Party Name:-",'R.M Billets Reports'!D1541)),TRIM('R.M Billets Reports'!F1541),IF(ISNUMBER(SEARCH("Party Name-",'R.M Billets Reports'!D1541)),TRIM(MID('R.M Billets Reports'!D1541,SEARCH("-",'R.M Billets Reports'!D1541)+1,200)),"")),IF(ISNUMBER(SEARCH("Party Name:-",'R.M Billets Reports'!D1542)),TRIM('R.M Billets Reports'!F1542),IF(ISNUMBER(SEARCH("Party Name-",'R.M Billets Reports'!D1542)),TRIM(MID('R.M Billets Reports'!D1542,SEARCH("-",'R.M Billets Reports'!D1542)+1,200)),"")))="SHREE RADHE SHAKTI SPONGE AND POWER PVT. LTD.","SHREE RADHE",IF(IF(ISNUMBER(SEARCH("Party Name:-",'R.M Billets Reports'!D1541)),TRIM('R.M Billets Reports'!F1541),IF(ISNUMBER(SEARCH("Party Name-",'R.M Billets Reports'!D1541)),TRIM(MID('R.M Billets Reports'!D1541,SEARCH("-",'R.M Billets Reports'!D1541)+1,200)),""))&lt;&gt;"",IF(ISNUMBER(SEARCH("Party Name:-",'R.M Billets Reports'!D1541)),TRIM('R.M Billets Reports'!F1541),IF(ISNUMBER(SEARCH("Party Name-",'R.M Billets Reports'!D1541)),TRIM(MID('R.M Billets Reports'!D1541,SEARCH("-",'R.M Billets Reports'!D1541)+1,200)),"")),IF(ISNUMBER(SEARCH("Party Name:-",'R.M Billets Reports'!D1542)),TRIM('R.M Billets Reports'!F1542),IF(ISNUMBER(SEARCH("Party Name-",'R.M Billets Reports'!D1542)),TRIM(MID('R.M Billets Reports'!D1542,SEARCH("-",'R.M Billets Reports'!D1542)+1,200)),"")))))),IF(ROW()=2,"",A1541))</f>
      </c>
      <c r="B1542">
        <f>IF(OR('R.M Billets Reports'!A1541="Date-",'R.M Billets Reports'!A1541="Date:-"),'R.M Billets Reports'!B1541,IF(ROW()=2,"",B1541))</f>
      </c>
      <c r="C1542">
        <f>IF('R.M Billets Reports'!A1541="V.No.",'R.M Billets Reports'!B1541,IF(ROW()=2,"",C1541))</f>
      </c>
      <c r="D1542">
        <f>IF('R.M Billets Reports'!A1541&lt;&gt;"",'R.M Billets Reports'!A1541,IF(ROW()=2,"",D1541))</f>
      </c>
      <c r="E1542">
        <f>IF('R.M Billets Reports'!B1541="","",TRIM('R.M Billets Reports'!B1541))</f>
      </c>
      <c r="F1542">
        <f>'R.M Billets Reports'!C1541</f>
      </c>
      <c r="G1542">
        <f>'R.M Billets Reports'!D1541</f>
      </c>
      <c r="H1542">
        <f>'R.M Billets Reports'!E1541</f>
      </c>
      <c r="I1542">
        <f>'R.M Billets Reports'!F1541</f>
      </c>
      <c r="J1542">
        <f>'R.M Billets Reports'!G1541</f>
      </c>
      <c r="K1542">
        <f>'R.M Billets Reports'!H1541</f>
      </c>
      <c r="L1542">
        <f>IF('R.M Billets Reports'!I1541="","",'R.M Billets Reports'!I1541)</f>
      </c>
      <c r="M1542">
        <f t="shared" si="48"/>
      </c>
      <c r="N1542">
        <f>IF('R.M Billets Reports'!J1541="","",'R.M Billets Reports'!J1541)</f>
      </c>
      <c r="O1542">
        <f t="shared" si="49"/>
      </c>
      <c r="P1542">
        <f>IF('R.M Billets Reports'!A1541="SIZE",'R.M Billets Reports'!B1541,P1541)</f>
      </c>
    </row>
    <row r="1543" spans="1:16" x14ac:dyDescent="0.25">
      <c r="A1543">
        <f>IF(OR('R.M Billets Reports'!A1542="Date-",'R.M Billets Reports'!A1542="Date:-"),IF(IF(IF(ISNUMBER(SEARCH("Party Name:-",'R.M Billets Reports'!D1542)),TRIM('R.M Billets Reports'!F1542),IF(ISNUMBER(SEARCH("Party Name-",'R.M Billets Reports'!D1542)),TRIM(MID('R.M Billets Reports'!D1542,SEARCH("-",'R.M Billets Reports'!D1542)+1,200)),""))&lt;&gt;"",IF(ISNUMBER(SEARCH("Party Name:-",'R.M Billets Reports'!D1542)),TRIM('R.M Billets Reports'!F1542),IF(ISNUMBER(SEARCH("Party Name-",'R.M Billets Reports'!D1542)),TRIM(MID('R.M Billets Reports'!D1542,SEARCH("-",'R.M Billets Reports'!D1542)+1,200)),"")),IF(ISNUMBER(SEARCH("Party Name:-",'R.M Billets Reports'!D1543)),TRIM('R.M Billets Reports'!F1543),IF(ISNUMBER(SEARCH("Party Name-",'R.M Billets Reports'!D1543)),TRIM(MID('R.M Billets Reports'!D1543,SEARCH("-",'R.M Billets Reports'!D1543)+1,200)),"")))="VRKP ISPAT PVT LTD","VRKP",IF(IF(IF(ISNUMBER(SEARCH("Party Name:-",'R.M Billets Reports'!D1542)),TRIM('R.M Billets Reports'!F1542),IF(ISNUMBER(SEARCH("Party Name-",'R.M Billets Reports'!D1542)),TRIM(MID('R.M Billets Reports'!D1542,SEARCH("-",'R.M Billets Reports'!D1542)+1,200)),""))&lt;&gt;"",IF(ISNUMBER(SEARCH("Party Name:-",'R.M Billets Reports'!D1542)),TRIM('R.M Billets Reports'!F1542),IF(ISNUMBER(SEARCH("Party Name-",'R.M Billets Reports'!D1542)),TRIM(MID('R.M Billets Reports'!D1542,SEARCH("-",'R.M Billets Reports'!D1542)+1,200)),"")),IF(ISNUMBER(SEARCH("Party Name:-",'R.M Billets Reports'!D1543)),TRIM('R.M Billets Reports'!F1543),IF(ISNUMBER(SEARCH("Party Name-",'R.M Billets Reports'!D1543)),TRIM(MID('R.M Billets Reports'!D1543,SEARCH("-",'R.M Billets Reports'!D1543)+1,200)),"")))="SHRI RADHE","SHREE RADHE",IF(IF(IF(ISNUMBER(SEARCH("Party Name:-",'R.M Billets Reports'!D1542)),TRIM('R.M Billets Reports'!F1542),IF(ISNUMBER(SEARCH("Party Name-",'R.M Billets Reports'!D1542)),TRIM(MID('R.M Billets Reports'!D1542,SEARCH("-",'R.M Billets Reports'!D1542)+1,200)),""))&lt;&gt;"",IF(ISNUMBER(SEARCH("Party Name:-",'R.M Billets Reports'!D1542)),TRIM('R.M Billets Reports'!F1542),IF(ISNUMBER(SEARCH("Party Name-",'R.M Billets Reports'!D1542)),TRIM(MID('R.M Billets Reports'!D1542,SEARCH("-",'R.M Billets Reports'!D1542)+1,200)),"")),IF(ISNUMBER(SEARCH("Party Name:-",'R.M Billets Reports'!D1543)),TRIM('R.M Billets Reports'!F1543),IF(ISNUMBER(SEARCH("Party Name-",'R.M Billets Reports'!D1543)),TRIM(MID('R.M Billets Reports'!D1543,SEARCH("-",'R.M Billets Reports'!D1543)+1,200)),"")))="SHREE RADHE SHAKTI SPONGE AND POWER PVT. LTD.","SHREE RADHE",IF(IF(ISNUMBER(SEARCH("Party Name:-",'R.M Billets Reports'!D1542)),TRIM('R.M Billets Reports'!F1542),IF(ISNUMBER(SEARCH("Party Name-",'R.M Billets Reports'!D1542)),TRIM(MID('R.M Billets Reports'!D1542,SEARCH("-",'R.M Billets Reports'!D1542)+1,200)),""))&lt;&gt;"",IF(ISNUMBER(SEARCH("Party Name:-",'R.M Billets Reports'!D1542)),TRIM('R.M Billets Reports'!F1542),IF(ISNUMBER(SEARCH("Party Name-",'R.M Billets Reports'!D1542)),TRIM(MID('R.M Billets Reports'!D1542,SEARCH("-",'R.M Billets Reports'!D1542)+1,200)),"")),IF(ISNUMBER(SEARCH("Party Name:-",'R.M Billets Reports'!D1543)),TRIM('R.M Billets Reports'!F1543),IF(ISNUMBER(SEARCH("Party Name-",'R.M Billets Reports'!D1543)),TRIM(MID('R.M Billets Reports'!D1543,SEARCH("-",'R.M Billets Reports'!D1543)+1,200)),"")))))),IF(ROW()=2,"",A1542))</f>
      </c>
      <c r="B1543">
        <f>IF(OR('R.M Billets Reports'!A1542="Date-",'R.M Billets Reports'!A1542="Date:-"),'R.M Billets Reports'!B1542,IF(ROW()=2,"",B1542))</f>
      </c>
      <c r="C1543">
        <f>IF('R.M Billets Reports'!A1542="V.No.",'R.M Billets Reports'!B1542,IF(ROW()=2,"",C1542))</f>
      </c>
      <c r="D1543">
        <f>IF('R.M Billets Reports'!A1542&lt;&gt;"",'R.M Billets Reports'!A1542,IF(ROW()=2,"",D1542))</f>
      </c>
      <c r="E1543">
        <f>IF('R.M Billets Reports'!B1542="","",TRIM('R.M Billets Reports'!B1542))</f>
      </c>
      <c r="F1543">
        <f>'R.M Billets Reports'!C1542</f>
      </c>
      <c r="G1543">
        <f>'R.M Billets Reports'!D1542</f>
      </c>
      <c r="H1543">
        <f>'R.M Billets Reports'!E1542</f>
      </c>
      <c r="I1543">
        <f>'R.M Billets Reports'!F1542</f>
      </c>
      <c r="J1543">
        <f>'R.M Billets Reports'!G1542</f>
      </c>
      <c r="K1543">
        <f>'R.M Billets Reports'!H1542</f>
      </c>
      <c r="L1543">
        <f>IF('R.M Billets Reports'!I1542="","",'R.M Billets Reports'!I1542)</f>
      </c>
      <c r="M1543">
        <f t="shared" si="48"/>
      </c>
      <c r="N1543">
        <f>IF('R.M Billets Reports'!J1542="","",'R.M Billets Reports'!J1542)</f>
      </c>
      <c r="O1543">
        <f t="shared" si="49"/>
      </c>
      <c r="P1543">
        <f>IF('R.M Billets Reports'!A1542="SIZE",'R.M Billets Reports'!B1542,P1542)</f>
      </c>
    </row>
    <row r="1544" spans="1:16" x14ac:dyDescent="0.25">
      <c r="A1544">
        <f>IF(OR('R.M Billets Reports'!A1543="Date-",'R.M Billets Reports'!A1543="Date:-"),IF(IF(IF(ISNUMBER(SEARCH("Party Name:-",'R.M Billets Reports'!D1543)),TRIM('R.M Billets Reports'!F1543),IF(ISNUMBER(SEARCH("Party Name-",'R.M Billets Reports'!D1543)),TRIM(MID('R.M Billets Reports'!D1543,SEARCH("-",'R.M Billets Reports'!D1543)+1,200)),""))&lt;&gt;"",IF(ISNUMBER(SEARCH("Party Name:-",'R.M Billets Reports'!D1543)),TRIM('R.M Billets Reports'!F1543),IF(ISNUMBER(SEARCH("Party Name-",'R.M Billets Reports'!D1543)),TRIM(MID('R.M Billets Reports'!D1543,SEARCH("-",'R.M Billets Reports'!D1543)+1,200)),"")),IF(ISNUMBER(SEARCH("Party Name:-",'R.M Billets Reports'!D1544)),TRIM('R.M Billets Reports'!F1544),IF(ISNUMBER(SEARCH("Party Name-",'R.M Billets Reports'!D1544)),TRIM(MID('R.M Billets Reports'!D1544,SEARCH("-",'R.M Billets Reports'!D1544)+1,200)),"")))="VRKP ISPAT PVT LTD","VRKP",IF(IF(IF(ISNUMBER(SEARCH("Party Name:-",'R.M Billets Reports'!D1543)),TRIM('R.M Billets Reports'!F1543),IF(ISNUMBER(SEARCH("Party Name-",'R.M Billets Reports'!D1543)),TRIM(MID('R.M Billets Reports'!D1543,SEARCH("-",'R.M Billets Reports'!D1543)+1,200)),""))&lt;&gt;"",IF(ISNUMBER(SEARCH("Party Name:-",'R.M Billets Reports'!D1543)),TRIM('R.M Billets Reports'!F1543),IF(ISNUMBER(SEARCH("Party Name-",'R.M Billets Reports'!D1543)),TRIM(MID('R.M Billets Reports'!D1543,SEARCH("-",'R.M Billets Reports'!D1543)+1,200)),"")),IF(ISNUMBER(SEARCH("Party Name:-",'R.M Billets Reports'!D1544)),TRIM('R.M Billets Reports'!F1544),IF(ISNUMBER(SEARCH("Party Name-",'R.M Billets Reports'!D1544)),TRIM(MID('R.M Billets Reports'!D1544,SEARCH("-",'R.M Billets Reports'!D1544)+1,200)),"")))="SHRI RADHE","SHREE RADHE",IF(IF(IF(ISNUMBER(SEARCH("Party Name:-",'R.M Billets Reports'!D1543)),TRIM('R.M Billets Reports'!F1543),IF(ISNUMBER(SEARCH("Party Name-",'R.M Billets Reports'!D1543)),TRIM(MID('R.M Billets Reports'!D1543,SEARCH("-",'R.M Billets Reports'!D1543)+1,200)),""))&lt;&gt;"",IF(ISNUMBER(SEARCH("Party Name:-",'R.M Billets Reports'!D1543)),TRIM('R.M Billets Reports'!F1543),IF(ISNUMBER(SEARCH("Party Name-",'R.M Billets Reports'!D1543)),TRIM(MID('R.M Billets Reports'!D1543,SEARCH("-",'R.M Billets Reports'!D1543)+1,200)),"")),IF(ISNUMBER(SEARCH("Party Name:-",'R.M Billets Reports'!D1544)),TRIM('R.M Billets Reports'!F1544),IF(ISNUMBER(SEARCH("Party Name-",'R.M Billets Reports'!D1544)),TRIM(MID('R.M Billets Reports'!D1544,SEARCH("-",'R.M Billets Reports'!D1544)+1,200)),"")))="SHREE RADHE SHAKTI SPONGE AND POWER PVT. LTD.","SHREE RADHE",IF(IF(ISNUMBER(SEARCH("Party Name:-",'R.M Billets Reports'!D1543)),TRIM('R.M Billets Reports'!F1543),IF(ISNUMBER(SEARCH("Party Name-",'R.M Billets Reports'!D1543)),TRIM(MID('R.M Billets Reports'!D1543,SEARCH("-",'R.M Billets Reports'!D1543)+1,200)),""))&lt;&gt;"",IF(ISNUMBER(SEARCH("Party Name:-",'R.M Billets Reports'!D1543)),TRIM('R.M Billets Reports'!F1543),IF(ISNUMBER(SEARCH("Party Name-",'R.M Billets Reports'!D1543)),TRIM(MID('R.M Billets Reports'!D1543,SEARCH("-",'R.M Billets Reports'!D1543)+1,200)),"")),IF(ISNUMBER(SEARCH("Party Name:-",'R.M Billets Reports'!D1544)),TRIM('R.M Billets Reports'!F1544),IF(ISNUMBER(SEARCH("Party Name-",'R.M Billets Reports'!D1544)),TRIM(MID('R.M Billets Reports'!D1544,SEARCH("-",'R.M Billets Reports'!D1544)+1,200)),"")))))),IF(ROW()=2,"",A1543))</f>
      </c>
      <c r="B1544">
        <f>IF(OR('R.M Billets Reports'!A1543="Date-",'R.M Billets Reports'!A1543="Date:-"),'R.M Billets Reports'!B1543,IF(ROW()=2,"",B1543))</f>
      </c>
      <c r="C1544">
        <f>IF('R.M Billets Reports'!A1543="V.No.",'R.M Billets Reports'!B1543,IF(ROW()=2,"",C1543))</f>
      </c>
      <c r="D1544">
        <f>IF('R.M Billets Reports'!A1543&lt;&gt;"",'R.M Billets Reports'!A1543,IF(ROW()=2,"",D1543))</f>
      </c>
      <c r="E1544">
        <f>IF('R.M Billets Reports'!B1543="","",TRIM('R.M Billets Reports'!B1543))</f>
      </c>
      <c r="F1544">
        <f>'R.M Billets Reports'!C1543</f>
      </c>
      <c r="G1544">
        <f>'R.M Billets Reports'!D1543</f>
      </c>
      <c r="H1544">
        <f>'R.M Billets Reports'!E1543</f>
      </c>
      <c r="I1544">
        <f>'R.M Billets Reports'!F1543</f>
      </c>
      <c r="J1544">
        <f>'R.M Billets Reports'!G1543</f>
      </c>
      <c r="K1544">
        <f>'R.M Billets Reports'!H1543</f>
      </c>
      <c r="L1544">
        <f>IF('R.M Billets Reports'!I1543="","",'R.M Billets Reports'!I1543)</f>
      </c>
      <c r="M1544">
        <f t="shared" si="48"/>
      </c>
      <c r="N1544">
        <f>IF('R.M Billets Reports'!J1543="","",'R.M Billets Reports'!J1543)</f>
      </c>
      <c r="O1544">
        <f t="shared" si="49"/>
      </c>
      <c r="P1544">
        <f>IF('R.M Billets Reports'!A1543="SIZE",'R.M Billets Reports'!B1543,P1543)</f>
      </c>
    </row>
    <row r="1545" spans="1:16" x14ac:dyDescent="0.25">
      <c r="A1545">
        <f>IF(OR('R.M Billets Reports'!A1544="Date-",'R.M Billets Reports'!A1544="Date:-"),IF(IF(IF(ISNUMBER(SEARCH("Party Name:-",'R.M Billets Reports'!D1544)),TRIM('R.M Billets Reports'!F1544),IF(ISNUMBER(SEARCH("Party Name-",'R.M Billets Reports'!D1544)),TRIM(MID('R.M Billets Reports'!D1544,SEARCH("-",'R.M Billets Reports'!D1544)+1,200)),""))&lt;&gt;"",IF(ISNUMBER(SEARCH("Party Name:-",'R.M Billets Reports'!D1544)),TRIM('R.M Billets Reports'!F1544),IF(ISNUMBER(SEARCH("Party Name-",'R.M Billets Reports'!D1544)),TRIM(MID('R.M Billets Reports'!D1544,SEARCH("-",'R.M Billets Reports'!D1544)+1,200)),"")),IF(ISNUMBER(SEARCH("Party Name:-",'R.M Billets Reports'!D1545)),TRIM('R.M Billets Reports'!F1545),IF(ISNUMBER(SEARCH("Party Name-",'R.M Billets Reports'!D1545)),TRIM(MID('R.M Billets Reports'!D1545,SEARCH("-",'R.M Billets Reports'!D1545)+1,200)),"")))="VRKP ISPAT PVT LTD","VRKP",IF(IF(IF(ISNUMBER(SEARCH("Party Name:-",'R.M Billets Reports'!D1544)),TRIM('R.M Billets Reports'!F1544),IF(ISNUMBER(SEARCH("Party Name-",'R.M Billets Reports'!D1544)),TRIM(MID('R.M Billets Reports'!D1544,SEARCH("-",'R.M Billets Reports'!D1544)+1,200)),""))&lt;&gt;"",IF(ISNUMBER(SEARCH("Party Name:-",'R.M Billets Reports'!D1544)),TRIM('R.M Billets Reports'!F1544),IF(ISNUMBER(SEARCH("Party Name-",'R.M Billets Reports'!D1544)),TRIM(MID('R.M Billets Reports'!D1544,SEARCH("-",'R.M Billets Reports'!D1544)+1,200)),"")),IF(ISNUMBER(SEARCH("Party Name:-",'R.M Billets Reports'!D1545)),TRIM('R.M Billets Reports'!F1545),IF(ISNUMBER(SEARCH("Party Name-",'R.M Billets Reports'!D1545)),TRIM(MID('R.M Billets Reports'!D1545,SEARCH("-",'R.M Billets Reports'!D1545)+1,200)),"")))="SHRI RADHE","SHREE RADHE",IF(IF(IF(ISNUMBER(SEARCH("Party Name:-",'R.M Billets Reports'!D1544)),TRIM('R.M Billets Reports'!F1544),IF(ISNUMBER(SEARCH("Party Name-",'R.M Billets Reports'!D1544)),TRIM(MID('R.M Billets Reports'!D1544,SEARCH("-",'R.M Billets Reports'!D1544)+1,200)),""))&lt;&gt;"",IF(ISNUMBER(SEARCH("Party Name:-",'R.M Billets Reports'!D1544)),TRIM('R.M Billets Reports'!F1544),IF(ISNUMBER(SEARCH("Party Name-",'R.M Billets Reports'!D1544)),TRIM(MID('R.M Billets Reports'!D1544,SEARCH("-",'R.M Billets Reports'!D1544)+1,200)),"")),IF(ISNUMBER(SEARCH("Party Name:-",'R.M Billets Reports'!D1545)),TRIM('R.M Billets Reports'!F1545),IF(ISNUMBER(SEARCH("Party Name-",'R.M Billets Reports'!D1545)),TRIM(MID('R.M Billets Reports'!D1545,SEARCH("-",'R.M Billets Reports'!D1545)+1,200)),"")))="SHREE RADHE SHAKTI SPONGE AND POWER PVT. LTD.","SHREE RADHE",IF(IF(ISNUMBER(SEARCH("Party Name:-",'R.M Billets Reports'!D1544)),TRIM('R.M Billets Reports'!F1544),IF(ISNUMBER(SEARCH("Party Name-",'R.M Billets Reports'!D1544)),TRIM(MID('R.M Billets Reports'!D1544,SEARCH("-",'R.M Billets Reports'!D1544)+1,200)),""))&lt;&gt;"",IF(ISNUMBER(SEARCH("Party Name:-",'R.M Billets Reports'!D1544)),TRIM('R.M Billets Reports'!F1544),IF(ISNUMBER(SEARCH("Party Name-",'R.M Billets Reports'!D1544)),TRIM(MID('R.M Billets Reports'!D1544,SEARCH("-",'R.M Billets Reports'!D1544)+1,200)),"")),IF(ISNUMBER(SEARCH("Party Name:-",'R.M Billets Reports'!D1545)),TRIM('R.M Billets Reports'!F1545),IF(ISNUMBER(SEARCH("Party Name-",'R.M Billets Reports'!D1545)),TRIM(MID('R.M Billets Reports'!D1545,SEARCH("-",'R.M Billets Reports'!D1545)+1,200)),"")))))),IF(ROW()=2,"",A1544))</f>
      </c>
      <c r="B1545">
        <f>IF(OR('R.M Billets Reports'!A1544="Date-",'R.M Billets Reports'!A1544="Date:-"),'R.M Billets Reports'!B1544,IF(ROW()=2,"",B1544))</f>
      </c>
      <c r="C1545">
        <f>IF('R.M Billets Reports'!A1544="V.No.",'R.M Billets Reports'!B1544,IF(ROW()=2,"",C1544))</f>
      </c>
      <c r="D1545">
        <f>IF('R.M Billets Reports'!A1544&lt;&gt;"",'R.M Billets Reports'!A1544,IF(ROW()=2,"",D1544))</f>
      </c>
      <c r="E1545">
        <f>IF('R.M Billets Reports'!B1544="","",TRIM('R.M Billets Reports'!B1544))</f>
      </c>
      <c r="F1545">
        <f>'R.M Billets Reports'!C1544</f>
      </c>
      <c r="G1545">
        <f>'R.M Billets Reports'!D1544</f>
      </c>
      <c r="H1545">
        <f>'R.M Billets Reports'!E1544</f>
      </c>
      <c r="I1545">
        <f>'R.M Billets Reports'!F1544</f>
      </c>
      <c r="J1545">
        <f>'R.M Billets Reports'!G1544</f>
      </c>
      <c r="K1545">
        <f>'R.M Billets Reports'!H1544</f>
      </c>
      <c r="L1545">
        <f>IF('R.M Billets Reports'!I1544="","",'R.M Billets Reports'!I1544)</f>
      </c>
      <c r="M1545">
        <f t="shared" si="48"/>
      </c>
      <c r="N1545">
        <f>IF('R.M Billets Reports'!J1544="","",'R.M Billets Reports'!J1544)</f>
      </c>
      <c r="O1545">
        <f t="shared" si="49"/>
      </c>
      <c r="P1545">
        <f>IF('R.M Billets Reports'!A1544="SIZE",'R.M Billets Reports'!B1544,P1544)</f>
      </c>
    </row>
    <row r="1546" spans="1:16" x14ac:dyDescent="0.25">
      <c r="A1546">
        <f>IF(OR('R.M Billets Reports'!A1545="Date-",'R.M Billets Reports'!A1545="Date:-"),IF(IF(IF(ISNUMBER(SEARCH("Party Name:-",'R.M Billets Reports'!D1545)),TRIM('R.M Billets Reports'!F1545),IF(ISNUMBER(SEARCH("Party Name-",'R.M Billets Reports'!D1545)),TRIM(MID('R.M Billets Reports'!D1545,SEARCH("-",'R.M Billets Reports'!D1545)+1,200)),""))&lt;&gt;"",IF(ISNUMBER(SEARCH("Party Name:-",'R.M Billets Reports'!D1545)),TRIM('R.M Billets Reports'!F1545),IF(ISNUMBER(SEARCH("Party Name-",'R.M Billets Reports'!D1545)),TRIM(MID('R.M Billets Reports'!D1545,SEARCH("-",'R.M Billets Reports'!D1545)+1,200)),"")),IF(ISNUMBER(SEARCH("Party Name:-",'R.M Billets Reports'!D1546)),TRIM('R.M Billets Reports'!F1546),IF(ISNUMBER(SEARCH("Party Name-",'R.M Billets Reports'!D1546)),TRIM(MID('R.M Billets Reports'!D1546,SEARCH("-",'R.M Billets Reports'!D1546)+1,200)),"")))="VRKP ISPAT PVT LTD","VRKP",IF(IF(IF(ISNUMBER(SEARCH("Party Name:-",'R.M Billets Reports'!D1545)),TRIM('R.M Billets Reports'!F1545),IF(ISNUMBER(SEARCH("Party Name-",'R.M Billets Reports'!D1545)),TRIM(MID('R.M Billets Reports'!D1545,SEARCH("-",'R.M Billets Reports'!D1545)+1,200)),""))&lt;&gt;"",IF(ISNUMBER(SEARCH("Party Name:-",'R.M Billets Reports'!D1545)),TRIM('R.M Billets Reports'!F1545),IF(ISNUMBER(SEARCH("Party Name-",'R.M Billets Reports'!D1545)),TRIM(MID('R.M Billets Reports'!D1545,SEARCH("-",'R.M Billets Reports'!D1545)+1,200)),"")),IF(ISNUMBER(SEARCH("Party Name:-",'R.M Billets Reports'!D1546)),TRIM('R.M Billets Reports'!F1546),IF(ISNUMBER(SEARCH("Party Name-",'R.M Billets Reports'!D1546)),TRIM(MID('R.M Billets Reports'!D1546,SEARCH("-",'R.M Billets Reports'!D1546)+1,200)),"")))="SHRI RADHE","SHREE RADHE",IF(IF(IF(ISNUMBER(SEARCH("Party Name:-",'R.M Billets Reports'!D1545)),TRIM('R.M Billets Reports'!F1545),IF(ISNUMBER(SEARCH("Party Name-",'R.M Billets Reports'!D1545)),TRIM(MID('R.M Billets Reports'!D1545,SEARCH("-",'R.M Billets Reports'!D1545)+1,200)),""))&lt;&gt;"",IF(ISNUMBER(SEARCH("Party Name:-",'R.M Billets Reports'!D1545)),TRIM('R.M Billets Reports'!F1545),IF(ISNUMBER(SEARCH("Party Name-",'R.M Billets Reports'!D1545)),TRIM(MID('R.M Billets Reports'!D1545,SEARCH("-",'R.M Billets Reports'!D1545)+1,200)),"")),IF(ISNUMBER(SEARCH("Party Name:-",'R.M Billets Reports'!D1546)),TRIM('R.M Billets Reports'!F1546),IF(ISNUMBER(SEARCH("Party Name-",'R.M Billets Reports'!D1546)),TRIM(MID('R.M Billets Reports'!D1546,SEARCH("-",'R.M Billets Reports'!D1546)+1,200)),"")))="SHREE RADHE SHAKTI SPONGE AND POWER PVT. LTD.","SHREE RADHE",IF(IF(ISNUMBER(SEARCH("Party Name:-",'R.M Billets Reports'!D1545)),TRIM('R.M Billets Reports'!F1545),IF(ISNUMBER(SEARCH("Party Name-",'R.M Billets Reports'!D1545)),TRIM(MID('R.M Billets Reports'!D1545,SEARCH("-",'R.M Billets Reports'!D1545)+1,200)),""))&lt;&gt;"",IF(ISNUMBER(SEARCH("Party Name:-",'R.M Billets Reports'!D1545)),TRIM('R.M Billets Reports'!F1545),IF(ISNUMBER(SEARCH("Party Name-",'R.M Billets Reports'!D1545)),TRIM(MID('R.M Billets Reports'!D1545,SEARCH("-",'R.M Billets Reports'!D1545)+1,200)),"")),IF(ISNUMBER(SEARCH("Party Name:-",'R.M Billets Reports'!D1546)),TRIM('R.M Billets Reports'!F1546),IF(ISNUMBER(SEARCH("Party Name-",'R.M Billets Reports'!D1546)),TRIM(MID('R.M Billets Reports'!D1546,SEARCH("-",'R.M Billets Reports'!D1546)+1,200)),"")))))),IF(ROW()=2,"",A1545))</f>
      </c>
      <c r="B1546">
        <f>IF(OR('R.M Billets Reports'!A1545="Date-",'R.M Billets Reports'!A1545="Date:-"),'R.M Billets Reports'!B1545,IF(ROW()=2,"",B1545))</f>
      </c>
      <c r="C1546">
        <f>IF('R.M Billets Reports'!A1545="V.No.",'R.M Billets Reports'!B1545,IF(ROW()=2,"",C1545))</f>
      </c>
      <c r="D1546">
        <f>IF('R.M Billets Reports'!A1545&lt;&gt;"",'R.M Billets Reports'!A1545,IF(ROW()=2,"",D1545))</f>
      </c>
      <c r="E1546">
        <f>IF('R.M Billets Reports'!B1545="","",TRIM('R.M Billets Reports'!B1545))</f>
      </c>
      <c r="F1546">
        <f>'R.M Billets Reports'!C1545</f>
      </c>
      <c r="G1546">
        <f>'R.M Billets Reports'!D1545</f>
      </c>
      <c r="H1546">
        <f>'R.M Billets Reports'!E1545</f>
      </c>
      <c r="I1546">
        <f>'R.M Billets Reports'!F1545</f>
      </c>
      <c r="J1546">
        <f>'R.M Billets Reports'!G1545</f>
      </c>
      <c r="K1546">
        <f>'R.M Billets Reports'!H1545</f>
      </c>
      <c r="L1546">
        <f>IF('R.M Billets Reports'!I1545="","",'R.M Billets Reports'!I1545)</f>
      </c>
      <c r="M1546">
        <f t="shared" si="48"/>
      </c>
      <c r="N1546">
        <f>IF('R.M Billets Reports'!J1545="","",'R.M Billets Reports'!J1545)</f>
      </c>
      <c r="O1546">
        <f t="shared" si="49"/>
      </c>
      <c r="P1546">
        <f>IF('R.M Billets Reports'!A1545="SIZE",'R.M Billets Reports'!B1545,P1545)</f>
      </c>
    </row>
    <row r="1547" spans="1:16" x14ac:dyDescent="0.25">
      <c r="A1547">
        <f>IF(OR('R.M Billets Reports'!A1546="Date-",'R.M Billets Reports'!A1546="Date:-"),IF(IF(IF(ISNUMBER(SEARCH("Party Name:-",'R.M Billets Reports'!D1546)),TRIM('R.M Billets Reports'!F1546),IF(ISNUMBER(SEARCH("Party Name-",'R.M Billets Reports'!D1546)),TRIM(MID('R.M Billets Reports'!D1546,SEARCH("-",'R.M Billets Reports'!D1546)+1,200)),""))&lt;&gt;"",IF(ISNUMBER(SEARCH("Party Name:-",'R.M Billets Reports'!D1546)),TRIM('R.M Billets Reports'!F1546),IF(ISNUMBER(SEARCH("Party Name-",'R.M Billets Reports'!D1546)),TRIM(MID('R.M Billets Reports'!D1546,SEARCH("-",'R.M Billets Reports'!D1546)+1,200)),"")),IF(ISNUMBER(SEARCH("Party Name:-",'R.M Billets Reports'!D1547)),TRIM('R.M Billets Reports'!F1547),IF(ISNUMBER(SEARCH("Party Name-",'R.M Billets Reports'!D1547)),TRIM(MID('R.M Billets Reports'!D1547,SEARCH("-",'R.M Billets Reports'!D1547)+1,200)),"")))="VRKP ISPAT PVT LTD","VRKP",IF(IF(IF(ISNUMBER(SEARCH("Party Name:-",'R.M Billets Reports'!D1546)),TRIM('R.M Billets Reports'!F1546),IF(ISNUMBER(SEARCH("Party Name-",'R.M Billets Reports'!D1546)),TRIM(MID('R.M Billets Reports'!D1546,SEARCH("-",'R.M Billets Reports'!D1546)+1,200)),""))&lt;&gt;"",IF(ISNUMBER(SEARCH("Party Name:-",'R.M Billets Reports'!D1546)),TRIM('R.M Billets Reports'!F1546),IF(ISNUMBER(SEARCH("Party Name-",'R.M Billets Reports'!D1546)),TRIM(MID('R.M Billets Reports'!D1546,SEARCH("-",'R.M Billets Reports'!D1546)+1,200)),"")),IF(ISNUMBER(SEARCH("Party Name:-",'R.M Billets Reports'!D1547)),TRIM('R.M Billets Reports'!F1547),IF(ISNUMBER(SEARCH("Party Name-",'R.M Billets Reports'!D1547)),TRIM(MID('R.M Billets Reports'!D1547,SEARCH("-",'R.M Billets Reports'!D1547)+1,200)),"")))="SHRI RADHE","SHREE RADHE",IF(IF(IF(ISNUMBER(SEARCH("Party Name:-",'R.M Billets Reports'!D1546)),TRIM('R.M Billets Reports'!F1546),IF(ISNUMBER(SEARCH("Party Name-",'R.M Billets Reports'!D1546)),TRIM(MID('R.M Billets Reports'!D1546,SEARCH("-",'R.M Billets Reports'!D1546)+1,200)),""))&lt;&gt;"",IF(ISNUMBER(SEARCH("Party Name:-",'R.M Billets Reports'!D1546)),TRIM('R.M Billets Reports'!F1546),IF(ISNUMBER(SEARCH("Party Name-",'R.M Billets Reports'!D1546)),TRIM(MID('R.M Billets Reports'!D1546,SEARCH("-",'R.M Billets Reports'!D1546)+1,200)),"")),IF(ISNUMBER(SEARCH("Party Name:-",'R.M Billets Reports'!D1547)),TRIM('R.M Billets Reports'!F1547),IF(ISNUMBER(SEARCH("Party Name-",'R.M Billets Reports'!D1547)),TRIM(MID('R.M Billets Reports'!D1547,SEARCH("-",'R.M Billets Reports'!D1547)+1,200)),"")))="SHREE RADHE SHAKTI SPONGE AND POWER PVT. LTD.","SHREE RADHE",IF(IF(ISNUMBER(SEARCH("Party Name:-",'R.M Billets Reports'!D1546)),TRIM('R.M Billets Reports'!F1546),IF(ISNUMBER(SEARCH("Party Name-",'R.M Billets Reports'!D1546)),TRIM(MID('R.M Billets Reports'!D1546,SEARCH("-",'R.M Billets Reports'!D1546)+1,200)),""))&lt;&gt;"",IF(ISNUMBER(SEARCH("Party Name:-",'R.M Billets Reports'!D1546)),TRIM('R.M Billets Reports'!F1546),IF(ISNUMBER(SEARCH("Party Name-",'R.M Billets Reports'!D1546)),TRIM(MID('R.M Billets Reports'!D1546,SEARCH("-",'R.M Billets Reports'!D1546)+1,200)),"")),IF(ISNUMBER(SEARCH("Party Name:-",'R.M Billets Reports'!D1547)),TRIM('R.M Billets Reports'!F1547),IF(ISNUMBER(SEARCH("Party Name-",'R.M Billets Reports'!D1547)),TRIM(MID('R.M Billets Reports'!D1547,SEARCH("-",'R.M Billets Reports'!D1547)+1,200)),"")))))),IF(ROW()=2,"",A1546))</f>
      </c>
      <c r="B1547">
        <f>IF(OR('R.M Billets Reports'!A1546="Date-",'R.M Billets Reports'!A1546="Date:-"),'R.M Billets Reports'!B1546,IF(ROW()=2,"",B1546))</f>
      </c>
      <c r="C1547">
        <f>IF('R.M Billets Reports'!A1546="V.No.",'R.M Billets Reports'!B1546,IF(ROW()=2,"",C1546))</f>
      </c>
      <c r="D1547">
        <f>IF('R.M Billets Reports'!A1546&lt;&gt;"",'R.M Billets Reports'!A1546,IF(ROW()=2,"",D1546))</f>
      </c>
      <c r="E1547">
        <f>IF('R.M Billets Reports'!B1546="","",TRIM('R.M Billets Reports'!B1546))</f>
      </c>
      <c r="F1547">
        <f>'R.M Billets Reports'!C1546</f>
      </c>
      <c r="G1547">
        <f>'R.M Billets Reports'!D1546</f>
      </c>
      <c r="H1547">
        <f>'R.M Billets Reports'!E1546</f>
      </c>
      <c r="I1547">
        <f>'R.M Billets Reports'!F1546</f>
      </c>
      <c r="J1547">
        <f>'R.M Billets Reports'!G1546</f>
      </c>
      <c r="K1547">
        <f>'R.M Billets Reports'!H1546</f>
      </c>
      <c r="L1547">
        <f>IF('R.M Billets Reports'!I1546="","",'R.M Billets Reports'!I1546)</f>
      </c>
      <c r="M1547">
        <f t="shared" si="48"/>
      </c>
      <c r="N1547">
        <f>IF('R.M Billets Reports'!J1546="","",'R.M Billets Reports'!J1546)</f>
      </c>
      <c r="O1547">
        <f t="shared" si="49"/>
      </c>
      <c r="P1547">
        <f>IF('R.M Billets Reports'!A1546="SIZE",'R.M Billets Reports'!B1546,P1546)</f>
      </c>
    </row>
    <row r="1548" spans="1:16" x14ac:dyDescent="0.25">
      <c r="A1548">
        <f>IF(OR('R.M Billets Reports'!A1547="Date-",'R.M Billets Reports'!A1547="Date:-"),IF(IF(IF(ISNUMBER(SEARCH("Party Name:-",'R.M Billets Reports'!D1547)),TRIM('R.M Billets Reports'!F1547),IF(ISNUMBER(SEARCH("Party Name-",'R.M Billets Reports'!D1547)),TRIM(MID('R.M Billets Reports'!D1547,SEARCH("-",'R.M Billets Reports'!D1547)+1,200)),""))&lt;&gt;"",IF(ISNUMBER(SEARCH("Party Name:-",'R.M Billets Reports'!D1547)),TRIM('R.M Billets Reports'!F1547),IF(ISNUMBER(SEARCH("Party Name-",'R.M Billets Reports'!D1547)),TRIM(MID('R.M Billets Reports'!D1547,SEARCH("-",'R.M Billets Reports'!D1547)+1,200)),"")),IF(ISNUMBER(SEARCH("Party Name:-",'R.M Billets Reports'!D1548)),TRIM('R.M Billets Reports'!F1548),IF(ISNUMBER(SEARCH("Party Name-",'R.M Billets Reports'!D1548)),TRIM(MID('R.M Billets Reports'!D1548,SEARCH("-",'R.M Billets Reports'!D1548)+1,200)),"")))="VRKP ISPAT PVT LTD","VRKP",IF(IF(IF(ISNUMBER(SEARCH("Party Name:-",'R.M Billets Reports'!D1547)),TRIM('R.M Billets Reports'!F1547),IF(ISNUMBER(SEARCH("Party Name-",'R.M Billets Reports'!D1547)),TRIM(MID('R.M Billets Reports'!D1547,SEARCH("-",'R.M Billets Reports'!D1547)+1,200)),""))&lt;&gt;"",IF(ISNUMBER(SEARCH("Party Name:-",'R.M Billets Reports'!D1547)),TRIM('R.M Billets Reports'!F1547),IF(ISNUMBER(SEARCH("Party Name-",'R.M Billets Reports'!D1547)),TRIM(MID('R.M Billets Reports'!D1547,SEARCH("-",'R.M Billets Reports'!D1547)+1,200)),"")),IF(ISNUMBER(SEARCH("Party Name:-",'R.M Billets Reports'!D1548)),TRIM('R.M Billets Reports'!F1548),IF(ISNUMBER(SEARCH("Party Name-",'R.M Billets Reports'!D1548)),TRIM(MID('R.M Billets Reports'!D1548,SEARCH("-",'R.M Billets Reports'!D1548)+1,200)),"")))="SHRI RADHE","SHREE RADHE",IF(IF(IF(ISNUMBER(SEARCH("Party Name:-",'R.M Billets Reports'!D1547)),TRIM('R.M Billets Reports'!F1547),IF(ISNUMBER(SEARCH("Party Name-",'R.M Billets Reports'!D1547)),TRIM(MID('R.M Billets Reports'!D1547,SEARCH("-",'R.M Billets Reports'!D1547)+1,200)),""))&lt;&gt;"",IF(ISNUMBER(SEARCH("Party Name:-",'R.M Billets Reports'!D1547)),TRIM('R.M Billets Reports'!F1547),IF(ISNUMBER(SEARCH("Party Name-",'R.M Billets Reports'!D1547)),TRIM(MID('R.M Billets Reports'!D1547,SEARCH("-",'R.M Billets Reports'!D1547)+1,200)),"")),IF(ISNUMBER(SEARCH("Party Name:-",'R.M Billets Reports'!D1548)),TRIM('R.M Billets Reports'!F1548),IF(ISNUMBER(SEARCH("Party Name-",'R.M Billets Reports'!D1548)),TRIM(MID('R.M Billets Reports'!D1548,SEARCH("-",'R.M Billets Reports'!D1548)+1,200)),"")))="SHREE RADHE SHAKTI SPONGE AND POWER PVT. LTD.","SHREE RADHE",IF(IF(ISNUMBER(SEARCH("Party Name:-",'R.M Billets Reports'!D1547)),TRIM('R.M Billets Reports'!F1547),IF(ISNUMBER(SEARCH("Party Name-",'R.M Billets Reports'!D1547)),TRIM(MID('R.M Billets Reports'!D1547,SEARCH("-",'R.M Billets Reports'!D1547)+1,200)),""))&lt;&gt;"",IF(ISNUMBER(SEARCH("Party Name:-",'R.M Billets Reports'!D1547)),TRIM('R.M Billets Reports'!F1547),IF(ISNUMBER(SEARCH("Party Name-",'R.M Billets Reports'!D1547)),TRIM(MID('R.M Billets Reports'!D1547,SEARCH("-",'R.M Billets Reports'!D1547)+1,200)),"")),IF(ISNUMBER(SEARCH("Party Name:-",'R.M Billets Reports'!D1548)),TRIM('R.M Billets Reports'!F1548),IF(ISNUMBER(SEARCH("Party Name-",'R.M Billets Reports'!D1548)),TRIM(MID('R.M Billets Reports'!D1548,SEARCH("-",'R.M Billets Reports'!D1548)+1,200)),"")))))),IF(ROW()=2,"",A1547))</f>
      </c>
      <c r="B1548">
        <f>IF(OR('R.M Billets Reports'!A1547="Date-",'R.M Billets Reports'!A1547="Date:-"),'R.M Billets Reports'!B1547,IF(ROW()=2,"",B1547))</f>
      </c>
      <c r="C1548">
        <f>IF('R.M Billets Reports'!A1547="V.No.",'R.M Billets Reports'!B1547,IF(ROW()=2,"",C1547))</f>
      </c>
      <c r="D1548">
        <f>IF('R.M Billets Reports'!A1547&lt;&gt;"",'R.M Billets Reports'!A1547,IF(ROW()=2,"",D1547))</f>
      </c>
      <c r="E1548">
        <f>IF('R.M Billets Reports'!B1547="","",TRIM('R.M Billets Reports'!B1547))</f>
      </c>
      <c r="F1548">
        <f>'R.M Billets Reports'!C1547</f>
      </c>
      <c r="G1548">
        <f>'R.M Billets Reports'!D1547</f>
      </c>
      <c r="H1548">
        <f>'R.M Billets Reports'!E1547</f>
      </c>
      <c r="I1548">
        <f>'R.M Billets Reports'!F1547</f>
      </c>
      <c r="J1548">
        <f>'R.M Billets Reports'!G1547</f>
      </c>
      <c r="K1548">
        <f>'R.M Billets Reports'!H1547</f>
      </c>
      <c r="L1548">
        <f>IF('R.M Billets Reports'!I1547="","",'R.M Billets Reports'!I1547)</f>
      </c>
      <c r="M1548">
        <f t="shared" si="48"/>
      </c>
      <c r="N1548">
        <f>IF('R.M Billets Reports'!J1547="","",'R.M Billets Reports'!J1547)</f>
      </c>
      <c r="O1548">
        <f t="shared" si="49"/>
      </c>
      <c r="P1548">
        <f>IF('R.M Billets Reports'!A1547="SIZE",'R.M Billets Reports'!B1547,P1547)</f>
      </c>
    </row>
    <row r="1549" spans="1:16" x14ac:dyDescent="0.25">
      <c r="A1549">
        <f>IF(OR('R.M Billets Reports'!A1548="Date-",'R.M Billets Reports'!A1548="Date:-"),IF(IF(IF(ISNUMBER(SEARCH("Party Name:-",'R.M Billets Reports'!D1548)),TRIM('R.M Billets Reports'!F1548),IF(ISNUMBER(SEARCH("Party Name-",'R.M Billets Reports'!D1548)),TRIM(MID('R.M Billets Reports'!D1548,SEARCH("-",'R.M Billets Reports'!D1548)+1,200)),""))&lt;&gt;"",IF(ISNUMBER(SEARCH("Party Name:-",'R.M Billets Reports'!D1548)),TRIM('R.M Billets Reports'!F1548),IF(ISNUMBER(SEARCH("Party Name-",'R.M Billets Reports'!D1548)),TRIM(MID('R.M Billets Reports'!D1548,SEARCH("-",'R.M Billets Reports'!D1548)+1,200)),"")),IF(ISNUMBER(SEARCH("Party Name:-",'R.M Billets Reports'!D1549)),TRIM('R.M Billets Reports'!F1549),IF(ISNUMBER(SEARCH("Party Name-",'R.M Billets Reports'!D1549)),TRIM(MID('R.M Billets Reports'!D1549,SEARCH("-",'R.M Billets Reports'!D1549)+1,200)),"")))="VRKP ISPAT PVT LTD","VRKP",IF(IF(IF(ISNUMBER(SEARCH("Party Name:-",'R.M Billets Reports'!D1548)),TRIM('R.M Billets Reports'!F1548),IF(ISNUMBER(SEARCH("Party Name-",'R.M Billets Reports'!D1548)),TRIM(MID('R.M Billets Reports'!D1548,SEARCH("-",'R.M Billets Reports'!D1548)+1,200)),""))&lt;&gt;"",IF(ISNUMBER(SEARCH("Party Name:-",'R.M Billets Reports'!D1548)),TRIM('R.M Billets Reports'!F1548),IF(ISNUMBER(SEARCH("Party Name-",'R.M Billets Reports'!D1548)),TRIM(MID('R.M Billets Reports'!D1548,SEARCH("-",'R.M Billets Reports'!D1548)+1,200)),"")),IF(ISNUMBER(SEARCH("Party Name:-",'R.M Billets Reports'!D1549)),TRIM('R.M Billets Reports'!F1549),IF(ISNUMBER(SEARCH("Party Name-",'R.M Billets Reports'!D1549)),TRIM(MID('R.M Billets Reports'!D1549,SEARCH("-",'R.M Billets Reports'!D1549)+1,200)),"")))="SHRI RADHE","SHREE RADHE",IF(IF(IF(ISNUMBER(SEARCH("Party Name:-",'R.M Billets Reports'!D1548)),TRIM('R.M Billets Reports'!F1548),IF(ISNUMBER(SEARCH("Party Name-",'R.M Billets Reports'!D1548)),TRIM(MID('R.M Billets Reports'!D1548,SEARCH("-",'R.M Billets Reports'!D1548)+1,200)),""))&lt;&gt;"",IF(ISNUMBER(SEARCH("Party Name:-",'R.M Billets Reports'!D1548)),TRIM('R.M Billets Reports'!F1548),IF(ISNUMBER(SEARCH("Party Name-",'R.M Billets Reports'!D1548)),TRIM(MID('R.M Billets Reports'!D1548,SEARCH("-",'R.M Billets Reports'!D1548)+1,200)),"")),IF(ISNUMBER(SEARCH("Party Name:-",'R.M Billets Reports'!D1549)),TRIM('R.M Billets Reports'!F1549),IF(ISNUMBER(SEARCH("Party Name-",'R.M Billets Reports'!D1549)),TRIM(MID('R.M Billets Reports'!D1549,SEARCH("-",'R.M Billets Reports'!D1549)+1,200)),"")))="SHREE RADHE SHAKTI SPONGE AND POWER PVT. LTD.","SHREE RADHE",IF(IF(ISNUMBER(SEARCH("Party Name:-",'R.M Billets Reports'!D1548)),TRIM('R.M Billets Reports'!F1548),IF(ISNUMBER(SEARCH("Party Name-",'R.M Billets Reports'!D1548)),TRIM(MID('R.M Billets Reports'!D1548,SEARCH("-",'R.M Billets Reports'!D1548)+1,200)),""))&lt;&gt;"",IF(ISNUMBER(SEARCH("Party Name:-",'R.M Billets Reports'!D1548)),TRIM('R.M Billets Reports'!F1548),IF(ISNUMBER(SEARCH("Party Name-",'R.M Billets Reports'!D1548)),TRIM(MID('R.M Billets Reports'!D1548,SEARCH("-",'R.M Billets Reports'!D1548)+1,200)),"")),IF(ISNUMBER(SEARCH("Party Name:-",'R.M Billets Reports'!D1549)),TRIM('R.M Billets Reports'!F1549),IF(ISNUMBER(SEARCH("Party Name-",'R.M Billets Reports'!D1549)),TRIM(MID('R.M Billets Reports'!D1549,SEARCH("-",'R.M Billets Reports'!D1549)+1,200)),"")))))),IF(ROW()=2,"",A1548))</f>
      </c>
      <c r="B1549">
        <f>IF(OR('R.M Billets Reports'!A1548="Date-",'R.M Billets Reports'!A1548="Date:-"),'R.M Billets Reports'!B1548,IF(ROW()=2,"",B1548))</f>
      </c>
      <c r="C1549">
        <f>IF('R.M Billets Reports'!A1548="V.No.",'R.M Billets Reports'!B1548,IF(ROW()=2,"",C1548))</f>
      </c>
      <c r="D1549">
        <f>IF('R.M Billets Reports'!A1548&lt;&gt;"",'R.M Billets Reports'!A1548,IF(ROW()=2,"",D1548))</f>
      </c>
      <c r="E1549">
        <f>IF('R.M Billets Reports'!B1548="","",TRIM('R.M Billets Reports'!B1548))</f>
      </c>
      <c r="F1549">
        <f>'R.M Billets Reports'!C1548</f>
      </c>
      <c r="G1549">
        <f>'R.M Billets Reports'!D1548</f>
      </c>
      <c r="H1549">
        <f>'R.M Billets Reports'!E1548</f>
      </c>
      <c r="I1549">
        <f>'R.M Billets Reports'!F1548</f>
      </c>
      <c r="J1549">
        <f>'R.M Billets Reports'!G1548</f>
      </c>
      <c r="K1549">
        <f>'R.M Billets Reports'!H1548</f>
      </c>
      <c r="L1549">
        <f>IF('R.M Billets Reports'!I1548="","",'R.M Billets Reports'!I1548)</f>
      </c>
      <c r="M1549">
        <f t="shared" si="48"/>
      </c>
      <c r="N1549">
        <f>IF('R.M Billets Reports'!J1548="","",'R.M Billets Reports'!J1548)</f>
      </c>
      <c r="O1549">
        <f t="shared" si="49"/>
      </c>
      <c r="P1549">
        <f>IF('R.M Billets Reports'!A1548="SIZE",'R.M Billets Reports'!B1548,P1548)</f>
      </c>
    </row>
    <row r="1550" spans="1:16" x14ac:dyDescent="0.25">
      <c r="A1550">
        <f>IF(OR('R.M Billets Reports'!A1549="Date-",'R.M Billets Reports'!A1549="Date:-"),IF(IF(IF(ISNUMBER(SEARCH("Party Name:-",'R.M Billets Reports'!D1549)),TRIM('R.M Billets Reports'!F1549),IF(ISNUMBER(SEARCH("Party Name-",'R.M Billets Reports'!D1549)),TRIM(MID('R.M Billets Reports'!D1549,SEARCH("-",'R.M Billets Reports'!D1549)+1,200)),""))&lt;&gt;"",IF(ISNUMBER(SEARCH("Party Name:-",'R.M Billets Reports'!D1549)),TRIM('R.M Billets Reports'!F1549),IF(ISNUMBER(SEARCH("Party Name-",'R.M Billets Reports'!D1549)),TRIM(MID('R.M Billets Reports'!D1549,SEARCH("-",'R.M Billets Reports'!D1549)+1,200)),"")),IF(ISNUMBER(SEARCH("Party Name:-",'R.M Billets Reports'!D1550)),TRIM('R.M Billets Reports'!F1550),IF(ISNUMBER(SEARCH("Party Name-",'R.M Billets Reports'!D1550)),TRIM(MID('R.M Billets Reports'!D1550,SEARCH("-",'R.M Billets Reports'!D1550)+1,200)),"")))="VRKP ISPAT PVT LTD","VRKP",IF(IF(IF(ISNUMBER(SEARCH("Party Name:-",'R.M Billets Reports'!D1549)),TRIM('R.M Billets Reports'!F1549),IF(ISNUMBER(SEARCH("Party Name-",'R.M Billets Reports'!D1549)),TRIM(MID('R.M Billets Reports'!D1549,SEARCH("-",'R.M Billets Reports'!D1549)+1,200)),""))&lt;&gt;"",IF(ISNUMBER(SEARCH("Party Name:-",'R.M Billets Reports'!D1549)),TRIM('R.M Billets Reports'!F1549),IF(ISNUMBER(SEARCH("Party Name-",'R.M Billets Reports'!D1549)),TRIM(MID('R.M Billets Reports'!D1549,SEARCH("-",'R.M Billets Reports'!D1549)+1,200)),"")),IF(ISNUMBER(SEARCH("Party Name:-",'R.M Billets Reports'!D1550)),TRIM('R.M Billets Reports'!F1550),IF(ISNUMBER(SEARCH("Party Name-",'R.M Billets Reports'!D1550)),TRIM(MID('R.M Billets Reports'!D1550,SEARCH("-",'R.M Billets Reports'!D1550)+1,200)),"")))="SHRI RADHE","SHREE RADHE",IF(IF(IF(ISNUMBER(SEARCH("Party Name:-",'R.M Billets Reports'!D1549)),TRIM('R.M Billets Reports'!F1549),IF(ISNUMBER(SEARCH("Party Name-",'R.M Billets Reports'!D1549)),TRIM(MID('R.M Billets Reports'!D1549,SEARCH("-",'R.M Billets Reports'!D1549)+1,200)),""))&lt;&gt;"",IF(ISNUMBER(SEARCH("Party Name:-",'R.M Billets Reports'!D1549)),TRIM('R.M Billets Reports'!F1549),IF(ISNUMBER(SEARCH("Party Name-",'R.M Billets Reports'!D1549)),TRIM(MID('R.M Billets Reports'!D1549,SEARCH("-",'R.M Billets Reports'!D1549)+1,200)),"")),IF(ISNUMBER(SEARCH("Party Name:-",'R.M Billets Reports'!D1550)),TRIM('R.M Billets Reports'!F1550),IF(ISNUMBER(SEARCH("Party Name-",'R.M Billets Reports'!D1550)),TRIM(MID('R.M Billets Reports'!D1550,SEARCH("-",'R.M Billets Reports'!D1550)+1,200)),"")))="SHREE RADHE SHAKTI SPONGE AND POWER PVT. LTD.","SHREE RADHE",IF(IF(ISNUMBER(SEARCH("Party Name:-",'R.M Billets Reports'!D1549)),TRIM('R.M Billets Reports'!F1549),IF(ISNUMBER(SEARCH("Party Name-",'R.M Billets Reports'!D1549)),TRIM(MID('R.M Billets Reports'!D1549,SEARCH("-",'R.M Billets Reports'!D1549)+1,200)),""))&lt;&gt;"",IF(ISNUMBER(SEARCH("Party Name:-",'R.M Billets Reports'!D1549)),TRIM('R.M Billets Reports'!F1549),IF(ISNUMBER(SEARCH("Party Name-",'R.M Billets Reports'!D1549)),TRIM(MID('R.M Billets Reports'!D1549,SEARCH("-",'R.M Billets Reports'!D1549)+1,200)),"")),IF(ISNUMBER(SEARCH("Party Name:-",'R.M Billets Reports'!D1550)),TRIM('R.M Billets Reports'!F1550),IF(ISNUMBER(SEARCH("Party Name-",'R.M Billets Reports'!D1550)),TRIM(MID('R.M Billets Reports'!D1550,SEARCH("-",'R.M Billets Reports'!D1550)+1,200)),"")))))),IF(ROW()=2,"",A1549))</f>
      </c>
      <c r="B1550">
        <f>IF(OR('R.M Billets Reports'!A1549="Date-",'R.M Billets Reports'!A1549="Date:-"),'R.M Billets Reports'!B1549,IF(ROW()=2,"",B1549))</f>
      </c>
      <c r="C1550">
        <f>IF('R.M Billets Reports'!A1549="V.No.",'R.M Billets Reports'!B1549,IF(ROW()=2,"",C1549))</f>
      </c>
      <c r="D1550">
        <f>IF('R.M Billets Reports'!A1549&lt;&gt;"",'R.M Billets Reports'!A1549,IF(ROW()=2,"",D1549))</f>
      </c>
      <c r="E1550">
        <f>IF('R.M Billets Reports'!B1549="","",TRIM('R.M Billets Reports'!B1549))</f>
      </c>
      <c r="F1550">
        <f>'R.M Billets Reports'!C1549</f>
      </c>
      <c r="G1550">
        <f>'R.M Billets Reports'!D1549</f>
      </c>
      <c r="H1550">
        <f>'R.M Billets Reports'!E1549</f>
      </c>
      <c r="I1550">
        <f>'R.M Billets Reports'!F1549</f>
      </c>
      <c r="J1550">
        <f>'R.M Billets Reports'!G1549</f>
      </c>
      <c r="K1550">
        <f>'R.M Billets Reports'!H1549</f>
      </c>
      <c r="L1550">
        <f>IF('R.M Billets Reports'!I1549="","",'R.M Billets Reports'!I1549)</f>
      </c>
      <c r="M1550">
        <f t="shared" si="48"/>
      </c>
      <c r="N1550">
        <f>IF('R.M Billets Reports'!J1549="","",'R.M Billets Reports'!J1549)</f>
      </c>
      <c r="O1550">
        <f t="shared" si="49"/>
      </c>
      <c r="P1550">
        <f>IF('R.M Billets Reports'!A1549="SIZE",'R.M Billets Reports'!B1549,P1549)</f>
      </c>
    </row>
    <row r="1551" spans="1:16" x14ac:dyDescent="0.25">
      <c r="A1551">
        <f>IF(OR('R.M Billets Reports'!A1550="Date-",'R.M Billets Reports'!A1550="Date:-"),IF(IF(IF(ISNUMBER(SEARCH("Party Name:-",'R.M Billets Reports'!D1550)),TRIM('R.M Billets Reports'!F1550),IF(ISNUMBER(SEARCH("Party Name-",'R.M Billets Reports'!D1550)),TRIM(MID('R.M Billets Reports'!D1550,SEARCH("-",'R.M Billets Reports'!D1550)+1,200)),""))&lt;&gt;"",IF(ISNUMBER(SEARCH("Party Name:-",'R.M Billets Reports'!D1550)),TRIM('R.M Billets Reports'!F1550),IF(ISNUMBER(SEARCH("Party Name-",'R.M Billets Reports'!D1550)),TRIM(MID('R.M Billets Reports'!D1550,SEARCH("-",'R.M Billets Reports'!D1550)+1,200)),"")),IF(ISNUMBER(SEARCH("Party Name:-",'R.M Billets Reports'!D1551)),TRIM('R.M Billets Reports'!F1551),IF(ISNUMBER(SEARCH("Party Name-",'R.M Billets Reports'!D1551)),TRIM(MID('R.M Billets Reports'!D1551,SEARCH("-",'R.M Billets Reports'!D1551)+1,200)),"")))="VRKP ISPAT PVT LTD","VRKP",IF(IF(IF(ISNUMBER(SEARCH("Party Name:-",'R.M Billets Reports'!D1550)),TRIM('R.M Billets Reports'!F1550),IF(ISNUMBER(SEARCH("Party Name-",'R.M Billets Reports'!D1550)),TRIM(MID('R.M Billets Reports'!D1550,SEARCH("-",'R.M Billets Reports'!D1550)+1,200)),""))&lt;&gt;"",IF(ISNUMBER(SEARCH("Party Name:-",'R.M Billets Reports'!D1550)),TRIM('R.M Billets Reports'!F1550),IF(ISNUMBER(SEARCH("Party Name-",'R.M Billets Reports'!D1550)),TRIM(MID('R.M Billets Reports'!D1550,SEARCH("-",'R.M Billets Reports'!D1550)+1,200)),"")),IF(ISNUMBER(SEARCH("Party Name:-",'R.M Billets Reports'!D1551)),TRIM('R.M Billets Reports'!F1551),IF(ISNUMBER(SEARCH("Party Name-",'R.M Billets Reports'!D1551)),TRIM(MID('R.M Billets Reports'!D1551,SEARCH("-",'R.M Billets Reports'!D1551)+1,200)),"")))="SHRI RADHE","SHREE RADHE",IF(IF(IF(ISNUMBER(SEARCH("Party Name:-",'R.M Billets Reports'!D1550)),TRIM('R.M Billets Reports'!F1550),IF(ISNUMBER(SEARCH("Party Name-",'R.M Billets Reports'!D1550)),TRIM(MID('R.M Billets Reports'!D1550,SEARCH("-",'R.M Billets Reports'!D1550)+1,200)),""))&lt;&gt;"",IF(ISNUMBER(SEARCH("Party Name:-",'R.M Billets Reports'!D1550)),TRIM('R.M Billets Reports'!F1550),IF(ISNUMBER(SEARCH("Party Name-",'R.M Billets Reports'!D1550)),TRIM(MID('R.M Billets Reports'!D1550,SEARCH("-",'R.M Billets Reports'!D1550)+1,200)),"")),IF(ISNUMBER(SEARCH("Party Name:-",'R.M Billets Reports'!D1551)),TRIM('R.M Billets Reports'!F1551),IF(ISNUMBER(SEARCH("Party Name-",'R.M Billets Reports'!D1551)),TRIM(MID('R.M Billets Reports'!D1551,SEARCH("-",'R.M Billets Reports'!D1551)+1,200)),"")))="SHREE RADHE SHAKTI SPONGE AND POWER PVT. LTD.","SHREE RADHE",IF(IF(ISNUMBER(SEARCH("Party Name:-",'R.M Billets Reports'!D1550)),TRIM('R.M Billets Reports'!F1550),IF(ISNUMBER(SEARCH("Party Name-",'R.M Billets Reports'!D1550)),TRIM(MID('R.M Billets Reports'!D1550,SEARCH("-",'R.M Billets Reports'!D1550)+1,200)),""))&lt;&gt;"",IF(ISNUMBER(SEARCH("Party Name:-",'R.M Billets Reports'!D1550)),TRIM('R.M Billets Reports'!F1550),IF(ISNUMBER(SEARCH("Party Name-",'R.M Billets Reports'!D1550)),TRIM(MID('R.M Billets Reports'!D1550,SEARCH("-",'R.M Billets Reports'!D1550)+1,200)),"")),IF(ISNUMBER(SEARCH("Party Name:-",'R.M Billets Reports'!D1551)),TRIM('R.M Billets Reports'!F1551),IF(ISNUMBER(SEARCH("Party Name-",'R.M Billets Reports'!D1551)),TRIM(MID('R.M Billets Reports'!D1551,SEARCH("-",'R.M Billets Reports'!D1551)+1,200)),"")))))),IF(ROW()=2,"",A1550))</f>
      </c>
      <c r="B1551">
        <f>IF(OR('R.M Billets Reports'!A1550="Date-",'R.M Billets Reports'!A1550="Date:-"),'R.M Billets Reports'!B1550,IF(ROW()=2,"",B1550))</f>
      </c>
      <c r="C1551">
        <f>IF('R.M Billets Reports'!A1550="V.No.",'R.M Billets Reports'!B1550,IF(ROW()=2,"",C1550))</f>
      </c>
      <c r="D1551">
        <f>IF('R.M Billets Reports'!A1550&lt;&gt;"",'R.M Billets Reports'!A1550,IF(ROW()=2,"",D1550))</f>
      </c>
      <c r="E1551">
        <f>IF('R.M Billets Reports'!B1550="","",TRIM('R.M Billets Reports'!B1550))</f>
      </c>
      <c r="F1551">
        <f>'R.M Billets Reports'!C1550</f>
      </c>
      <c r="G1551">
        <f>'R.M Billets Reports'!D1550</f>
      </c>
      <c r="H1551">
        <f>'R.M Billets Reports'!E1550</f>
      </c>
      <c r="I1551">
        <f>'R.M Billets Reports'!F1550</f>
      </c>
      <c r="J1551">
        <f>'R.M Billets Reports'!G1550</f>
      </c>
      <c r="K1551">
        <f>'R.M Billets Reports'!H1550</f>
      </c>
      <c r="L1551">
        <f>IF('R.M Billets Reports'!I1550="","",'R.M Billets Reports'!I1550)</f>
      </c>
      <c r="M1551">
        <f t="shared" si="48"/>
      </c>
      <c r="N1551">
        <f>IF('R.M Billets Reports'!J1550="","",'R.M Billets Reports'!J1550)</f>
      </c>
      <c r="O1551">
        <f t="shared" si="49"/>
      </c>
      <c r="P1551">
        <f>IF('R.M Billets Reports'!A1550="SIZE",'R.M Billets Reports'!B1550,P1550)</f>
      </c>
    </row>
    <row r="1552" spans="1:16" x14ac:dyDescent="0.25">
      <c r="A1552">
        <f>IF(OR('R.M Billets Reports'!A1551="Date-",'R.M Billets Reports'!A1551="Date:-"),IF(IF(IF(ISNUMBER(SEARCH("Party Name:-",'R.M Billets Reports'!D1551)),TRIM('R.M Billets Reports'!F1551),IF(ISNUMBER(SEARCH("Party Name-",'R.M Billets Reports'!D1551)),TRIM(MID('R.M Billets Reports'!D1551,SEARCH("-",'R.M Billets Reports'!D1551)+1,200)),""))&lt;&gt;"",IF(ISNUMBER(SEARCH("Party Name:-",'R.M Billets Reports'!D1551)),TRIM('R.M Billets Reports'!F1551),IF(ISNUMBER(SEARCH("Party Name-",'R.M Billets Reports'!D1551)),TRIM(MID('R.M Billets Reports'!D1551,SEARCH("-",'R.M Billets Reports'!D1551)+1,200)),"")),IF(ISNUMBER(SEARCH("Party Name:-",'R.M Billets Reports'!D1552)),TRIM('R.M Billets Reports'!F1552),IF(ISNUMBER(SEARCH("Party Name-",'R.M Billets Reports'!D1552)),TRIM(MID('R.M Billets Reports'!D1552,SEARCH("-",'R.M Billets Reports'!D1552)+1,200)),"")))="VRKP ISPAT PVT LTD","VRKP",IF(IF(IF(ISNUMBER(SEARCH("Party Name:-",'R.M Billets Reports'!D1551)),TRIM('R.M Billets Reports'!F1551),IF(ISNUMBER(SEARCH("Party Name-",'R.M Billets Reports'!D1551)),TRIM(MID('R.M Billets Reports'!D1551,SEARCH("-",'R.M Billets Reports'!D1551)+1,200)),""))&lt;&gt;"",IF(ISNUMBER(SEARCH("Party Name:-",'R.M Billets Reports'!D1551)),TRIM('R.M Billets Reports'!F1551),IF(ISNUMBER(SEARCH("Party Name-",'R.M Billets Reports'!D1551)),TRIM(MID('R.M Billets Reports'!D1551,SEARCH("-",'R.M Billets Reports'!D1551)+1,200)),"")),IF(ISNUMBER(SEARCH("Party Name:-",'R.M Billets Reports'!D1552)),TRIM('R.M Billets Reports'!F1552),IF(ISNUMBER(SEARCH("Party Name-",'R.M Billets Reports'!D1552)),TRIM(MID('R.M Billets Reports'!D1552,SEARCH("-",'R.M Billets Reports'!D1552)+1,200)),"")))="SHRI RADHE","SHREE RADHE",IF(IF(IF(ISNUMBER(SEARCH("Party Name:-",'R.M Billets Reports'!D1551)),TRIM('R.M Billets Reports'!F1551),IF(ISNUMBER(SEARCH("Party Name-",'R.M Billets Reports'!D1551)),TRIM(MID('R.M Billets Reports'!D1551,SEARCH("-",'R.M Billets Reports'!D1551)+1,200)),""))&lt;&gt;"",IF(ISNUMBER(SEARCH("Party Name:-",'R.M Billets Reports'!D1551)),TRIM('R.M Billets Reports'!F1551),IF(ISNUMBER(SEARCH("Party Name-",'R.M Billets Reports'!D1551)),TRIM(MID('R.M Billets Reports'!D1551,SEARCH("-",'R.M Billets Reports'!D1551)+1,200)),"")),IF(ISNUMBER(SEARCH("Party Name:-",'R.M Billets Reports'!D1552)),TRIM('R.M Billets Reports'!F1552),IF(ISNUMBER(SEARCH("Party Name-",'R.M Billets Reports'!D1552)),TRIM(MID('R.M Billets Reports'!D1552,SEARCH("-",'R.M Billets Reports'!D1552)+1,200)),"")))="SHREE RADHE SHAKTI SPONGE AND POWER PVT. LTD.","SHREE RADHE",IF(IF(ISNUMBER(SEARCH("Party Name:-",'R.M Billets Reports'!D1551)),TRIM('R.M Billets Reports'!F1551),IF(ISNUMBER(SEARCH("Party Name-",'R.M Billets Reports'!D1551)),TRIM(MID('R.M Billets Reports'!D1551,SEARCH("-",'R.M Billets Reports'!D1551)+1,200)),""))&lt;&gt;"",IF(ISNUMBER(SEARCH("Party Name:-",'R.M Billets Reports'!D1551)),TRIM('R.M Billets Reports'!F1551),IF(ISNUMBER(SEARCH("Party Name-",'R.M Billets Reports'!D1551)),TRIM(MID('R.M Billets Reports'!D1551,SEARCH("-",'R.M Billets Reports'!D1551)+1,200)),"")),IF(ISNUMBER(SEARCH("Party Name:-",'R.M Billets Reports'!D1552)),TRIM('R.M Billets Reports'!F1552),IF(ISNUMBER(SEARCH("Party Name-",'R.M Billets Reports'!D1552)),TRIM(MID('R.M Billets Reports'!D1552,SEARCH("-",'R.M Billets Reports'!D1552)+1,200)),"")))))),IF(ROW()=2,"",A1551))</f>
      </c>
      <c r="B1552">
        <f>IF(OR('R.M Billets Reports'!A1551="Date-",'R.M Billets Reports'!A1551="Date:-"),'R.M Billets Reports'!B1551,IF(ROW()=2,"",B1551))</f>
      </c>
      <c r="C1552">
        <f>IF('R.M Billets Reports'!A1551="V.No.",'R.M Billets Reports'!B1551,IF(ROW()=2,"",C1551))</f>
      </c>
      <c r="D1552">
        <f>IF('R.M Billets Reports'!A1551&lt;&gt;"",'R.M Billets Reports'!A1551,IF(ROW()=2,"",D1551))</f>
      </c>
      <c r="E1552">
        <f>IF('R.M Billets Reports'!B1551="","",TRIM('R.M Billets Reports'!B1551))</f>
      </c>
      <c r="F1552">
        <f>'R.M Billets Reports'!C1551</f>
      </c>
      <c r="G1552">
        <f>'R.M Billets Reports'!D1551</f>
      </c>
      <c r="H1552">
        <f>'R.M Billets Reports'!E1551</f>
      </c>
      <c r="I1552">
        <f>'R.M Billets Reports'!F1551</f>
      </c>
      <c r="J1552">
        <f>'R.M Billets Reports'!G1551</f>
      </c>
      <c r="K1552">
        <f>'R.M Billets Reports'!H1551</f>
      </c>
      <c r="L1552">
        <f>IF('R.M Billets Reports'!I1551="","",'R.M Billets Reports'!I1551)</f>
      </c>
      <c r="M1552">
        <f t="shared" si="48"/>
      </c>
      <c r="N1552">
        <f>IF('R.M Billets Reports'!J1551="","",'R.M Billets Reports'!J1551)</f>
      </c>
      <c r="O1552">
        <f t="shared" si="49"/>
      </c>
      <c r="P1552">
        <f>IF('R.M Billets Reports'!A1551="SIZE",'R.M Billets Reports'!B1551,P1551)</f>
      </c>
    </row>
    <row r="1553" spans="1:16" x14ac:dyDescent="0.25">
      <c r="A1553">
        <f>IF(OR('R.M Billets Reports'!A1552="Date-",'R.M Billets Reports'!A1552="Date:-"),IF(IF(IF(ISNUMBER(SEARCH("Party Name:-",'R.M Billets Reports'!D1552)),TRIM('R.M Billets Reports'!F1552),IF(ISNUMBER(SEARCH("Party Name-",'R.M Billets Reports'!D1552)),TRIM(MID('R.M Billets Reports'!D1552,SEARCH("-",'R.M Billets Reports'!D1552)+1,200)),""))&lt;&gt;"",IF(ISNUMBER(SEARCH("Party Name:-",'R.M Billets Reports'!D1552)),TRIM('R.M Billets Reports'!F1552),IF(ISNUMBER(SEARCH("Party Name-",'R.M Billets Reports'!D1552)),TRIM(MID('R.M Billets Reports'!D1552,SEARCH("-",'R.M Billets Reports'!D1552)+1,200)),"")),IF(ISNUMBER(SEARCH("Party Name:-",'R.M Billets Reports'!D1553)),TRIM('R.M Billets Reports'!F1553),IF(ISNUMBER(SEARCH("Party Name-",'R.M Billets Reports'!D1553)),TRIM(MID('R.M Billets Reports'!D1553,SEARCH("-",'R.M Billets Reports'!D1553)+1,200)),"")))="VRKP ISPAT PVT LTD","VRKP",IF(IF(IF(ISNUMBER(SEARCH("Party Name:-",'R.M Billets Reports'!D1552)),TRIM('R.M Billets Reports'!F1552),IF(ISNUMBER(SEARCH("Party Name-",'R.M Billets Reports'!D1552)),TRIM(MID('R.M Billets Reports'!D1552,SEARCH("-",'R.M Billets Reports'!D1552)+1,200)),""))&lt;&gt;"",IF(ISNUMBER(SEARCH("Party Name:-",'R.M Billets Reports'!D1552)),TRIM('R.M Billets Reports'!F1552),IF(ISNUMBER(SEARCH("Party Name-",'R.M Billets Reports'!D1552)),TRIM(MID('R.M Billets Reports'!D1552,SEARCH("-",'R.M Billets Reports'!D1552)+1,200)),"")),IF(ISNUMBER(SEARCH("Party Name:-",'R.M Billets Reports'!D1553)),TRIM('R.M Billets Reports'!F1553),IF(ISNUMBER(SEARCH("Party Name-",'R.M Billets Reports'!D1553)),TRIM(MID('R.M Billets Reports'!D1553,SEARCH("-",'R.M Billets Reports'!D1553)+1,200)),"")))="SHRI RADHE","SHREE RADHE",IF(IF(IF(ISNUMBER(SEARCH("Party Name:-",'R.M Billets Reports'!D1552)),TRIM('R.M Billets Reports'!F1552),IF(ISNUMBER(SEARCH("Party Name-",'R.M Billets Reports'!D1552)),TRIM(MID('R.M Billets Reports'!D1552,SEARCH("-",'R.M Billets Reports'!D1552)+1,200)),""))&lt;&gt;"",IF(ISNUMBER(SEARCH("Party Name:-",'R.M Billets Reports'!D1552)),TRIM('R.M Billets Reports'!F1552),IF(ISNUMBER(SEARCH("Party Name-",'R.M Billets Reports'!D1552)),TRIM(MID('R.M Billets Reports'!D1552,SEARCH("-",'R.M Billets Reports'!D1552)+1,200)),"")),IF(ISNUMBER(SEARCH("Party Name:-",'R.M Billets Reports'!D1553)),TRIM('R.M Billets Reports'!F1553),IF(ISNUMBER(SEARCH("Party Name-",'R.M Billets Reports'!D1553)),TRIM(MID('R.M Billets Reports'!D1553,SEARCH("-",'R.M Billets Reports'!D1553)+1,200)),"")))="SHREE RADHE SHAKTI SPONGE AND POWER PVT. LTD.","SHREE RADHE",IF(IF(ISNUMBER(SEARCH("Party Name:-",'R.M Billets Reports'!D1552)),TRIM('R.M Billets Reports'!F1552),IF(ISNUMBER(SEARCH("Party Name-",'R.M Billets Reports'!D1552)),TRIM(MID('R.M Billets Reports'!D1552,SEARCH("-",'R.M Billets Reports'!D1552)+1,200)),""))&lt;&gt;"",IF(ISNUMBER(SEARCH("Party Name:-",'R.M Billets Reports'!D1552)),TRIM('R.M Billets Reports'!F1552),IF(ISNUMBER(SEARCH("Party Name-",'R.M Billets Reports'!D1552)),TRIM(MID('R.M Billets Reports'!D1552,SEARCH("-",'R.M Billets Reports'!D1552)+1,200)),"")),IF(ISNUMBER(SEARCH("Party Name:-",'R.M Billets Reports'!D1553)),TRIM('R.M Billets Reports'!F1553),IF(ISNUMBER(SEARCH("Party Name-",'R.M Billets Reports'!D1553)),TRIM(MID('R.M Billets Reports'!D1553,SEARCH("-",'R.M Billets Reports'!D1553)+1,200)),"")))))),IF(ROW()=2,"",A1552))</f>
      </c>
      <c r="B1553">
        <f>IF(OR('R.M Billets Reports'!A1552="Date-",'R.M Billets Reports'!A1552="Date:-"),'R.M Billets Reports'!B1552,IF(ROW()=2,"",B1552))</f>
      </c>
      <c r="C1553">
        <f>IF('R.M Billets Reports'!A1552="V.No.",'R.M Billets Reports'!B1552,IF(ROW()=2,"",C1552))</f>
      </c>
      <c r="D1553">
        <f>IF('R.M Billets Reports'!A1552&lt;&gt;"",'R.M Billets Reports'!A1552,IF(ROW()=2,"",D1552))</f>
      </c>
      <c r="E1553">
        <f>IF('R.M Billets Reports'!B1552="","",TRIM('R.M Billets Reports'!B1552))</f>
      </c>
      <c r="F1553">
        <f>'R.M Billets Reports'!C1552</f>
      </c>
      <c r="G1553">
        <f>'R.M Billets Reports'!D1552</f>
      </c>
      <c r="H1553">
        <f>'R.M Billets Reports'!E1552</f>
      </c>
      <c r="I1553">
        <f>'R.M Billets Reports'!F1552</f>
      </c>
      <c r="J1553">
        <f>'R.M Billets Reports'!G1552</f>
      </c>
      <c r="K1553">
        <f>'R.M Billets Reports'!H1552</f>
      </c>
      <c r="L1553">
        <f>IF('R.M Billets Reports'!I1552="","",'R.M Billets Reports'!I1552)</f>
      </c>
      <c r="M1553">
        <f t="shared" si="48"/>
      </c>
      <c r="N1553">
        <f>IF('R.M Billets Reports'!J1552="","",'R.M Billets Reports'!J1552)</f>
      </c>
      <c r="O1553">
        <f t="shared" si="49"/>
      </c>
      <c r="P1553">
        <f>IF('R.M Billets Reports'!A1552="SIZE",'R.M Billets Reports'!B1552,P1552)</f>
      </c>
    </row>
    <row r="1554" spans="1:16" x14ac:dyDescent="0.25">
      <c r="A1554">
        <f>IF(OR('R.M Billets Reports'!A1553="Date-",'R.M Billets Reports'!A1553="Date:-"),IF(IF(IF(ISNUMBER(SEARCH("Party Name:-",'R.M Billets Reports'!D1553)),TRIM('R.M Billets Reports'!F1553),IF(ISNUMBER(SEARCH("Party Name-",'R.M Billets Reports'!D1553)),TRIM(MID('R.M Billets Reports'!D1553,SEARCH("-",'R.M Billets Reports'!D1553)+1,200)),""))&lt;&gt;"",IF(ISNUMBER(SEARCH("Party Name:-",'R.M Billets Reports'!D1553)),TRIM('R.M Billets Reports'!F1553),IF(ISNUMBER(SEARCH("Party Name-",'R.M Billets Reports'!D1553)),TRIM(MID('R.M Billets Reports'!D1553,SEARCH("-",'R.M Billets Reports'!D1553)+1,200)),"")),IF(ISNUMBER(SEARCH("Party Name:-",'R.M Billets Reports'!D1554)),TRIM('R.M Billets Reports'!F1554),IF(ISNUMBER(SEARCH("Party Name-",'R.M Billets Reports'!D1554)),TRIM(MID('R.M Billets Reports'!D1554,SEARCH("-",'R.M Billets Reports'!D1554)+1,200)),"")))="VRKP ISPAT PVT LTD","VRKP",IF(IF(IF(ISNUMBER(SEARCH("Party Name:-",'R.M Billets Reports'!D1553)),TRIM('R.M Billets Reports'!F1553),IF(ISNUMBER(SEARCH("Party Name-",'R.M Billets Reports'!D1553)),TRIM(MID('R.M Billets Reports'!D1553,SEARCH("-",'R.M Billets Reports'!D1553)+1,200)),""))&lt;&gt;"",IF(ISNUMBER(SEARCH("Party Name:-",'R.M Billets Reports'!D1553)),TRIM('R.M Billets Reports'!F1553),IF(ISNUMBER(SEARCH("Party Name-",'R.M Billets Reports'!D1553)),TRIM(MID('R.M Billets Reports'!D1553,SEARCH("-",'R.M Billets Reports'!D1553)+1,200)),"")),IF(ISNUMBER(SEARCH("Party Name:-",'R.M Billets Reports'!D1554)),TRIM('R.M Billets Reports'!F1554),IF(ISNUMBER(SEARCH("Party Name-",'R.M Billets Reports'!D1554)),TRIM(MID('R.M Billets Reports'!D1554,SEARCH("-",'R.M Billets Reports'!D1554)+1,200)),"")))="SHRI RADHE","SHREE RADHE",IF(IF(IF(ISNUMBER(SEARCH("Party Name:-",'R.M Billets Reports'!D1553)),TRIM('R.M Billets Reports'!F1553),IF(ISNUMBER(SEARCH("Party Name-",'R.M Billets Reports'!D1553)),TRIM(MID('R.M Billets Reports'!D1553,SEARCH("-",'R.M Billets Reports'!D1553)+1,200)),""))&lt;&gt;"",IF(ISNUMBER(SEARCH("Party Name:-",'R.M Billets Reports'!D1553)),TRIM('R.M Billets Reports'!F1553),IF(ISNUMBER(SEARCH("Party Name-",'R.M Billets Reports'!D1553)),TRIM(MID('R.M Billets Reports'!D1553,SEARCH("-",'R.M Billets Reports'!D1553)+1,200)),"")),IF(ISNUMBER(SEARCH("Party Name:-",'R.M Billets Reports'!D1554)),TRIM('R.M Billets Reports'!F1554),IF(ISNUMBER(SEARCH("Party Name-",'R.M Billets Reports'!D1554)),TRIM(MID('R.M Billets Reports'!D1554,SEARCH("-",'R.M Billets Reports'!D1554)+1,200)),"")))="SHREE RADHE SHAKTI SPONGE AND POWER PVT. LTD.","SHREE RADHE",IF(IF(ISNUMBER(SEARCH("Party Name:-",'R.M Billets Reports'!D1553)),TRIM('R.M Billets Reports'!F1553),IF(ISNUMBER(SEARCH("Party Name-",'R.M Billets Reports'!D1553)),TRIM(MID('R.M Billets Reports'!D1553,SEARCH("-",'R.M Billets Reports'!D1553)+1,200)),""))&lt;&gt;"",IF(ISNUMBER(SEARCH("Party Name:-",'R.M Billets Reports'!D1553)),TRIM('R.M Billets Reports'!F1553),IF(ISNUMBER(SEARCH("Party Name-",'R.M Billets Reports'!D1553)),TRIM(MID('R.M Billets Reports'!D1553,SEARCH("-",'R.M Billets Reports'!D1553)+1,200)),"")),IF(ISNUMBER(SEARCH("Party Name:-",'R.M Billets Reports'!D1554)),TRIM('R.M Billets Reports'!F1554),IF(ISNUMBER(SEARCH("Party Name-",'R.M Billets Reports'!D1554)),TRIM(MID('R.M Billets Reports'!D1554,SEARCH("-",'R.M Billets Reports'!D1554)+1,200)),"")))))),IF(ROW()=2,"",A1553))</f>
      </c>
      <c r="B1554">
        <f>IF(OR('R.M Billets Reports'!A1553="Date-",'R.M Billets Reports'!A1553="Date:-"),'R.M Billets Reports'!B1553,IF(ROW()=2,"",B1553))</f>
      </c>
      <c r="C1554">
        <f>IF('R.M Billets Reports'!A1553="V.No.",'R.M Billets Reports'!B1553,IF(ROW()=2,"",C1553))</f>
      </c>
      <c r="D1554">
        <f>IF('R.M Billets Reports'!A1553&lt;&gt;"",'R.M Billets Reports'!A1553,IF(ROW()=2,"",D1553))</f>
      </c>
      <c r="E1554">
        <f>IF('R.M Billets Reports'!B1553="","",TRIM('R.M Billets Reports'!B1553))</f>
      </c>
      <c r="F1554">
        <f>'R.M Billets Reports'!C1553</f>
      </c>
      <c r="G1554">
        <f>'R.M Billets Reports'!D1553</f>
      </c>
      <c r="H1554">
        <f>'R.M Billets Reports'!E1553</f>
      </c>
      <c r="I1554">
        <f>'R.M Billets Reports'!F1553</f>
      </c>
      <c r="J1554">
        <f>'R.M Billets Reports'!G1553</f>
      </c>
      <c r="K1554">
        <f>'R.M Billets Reports'!H1553</f>
      </c>
      <c r="L1554">
        <f>IF('R.M Billets Reports'!I1553="","",'R.M Billets Reports'!I1553)</f>
      </c>
      <c r="M1554">
        <f t="shared" si="48"/>
      </c>
      <c r="N1554">
        <f>IF('R.M Billets Reports'!J1553="","",'R.M Billets Reports'!J1553)</f>
      </c>
      <c r="O1554">
        <f t="shared" si="49"/>
      </c>
      <c r="P1554">
        <f>IF('R.M Billets Reports'!A1553="SIZE",'R.M Billets Reports'!B1553,P1553)</f>
      </c>
    </row>
    <row r="1555" spans="1:16" x14ac:dyDescent="0.25">
      <c r="A1555">
        <f>IF(OR('R.M Billets Reports'!A1554="Date-",'R.M Billets Reports'!A1554="Date:-"),IF(IF(IF(ISNUMBER(SEARCH("Party Name:-",'R.M Billets Reports'!D1554)),TRIM('R.M Billets Reports'!F1554),IF(ISNUMBER(SEARCH("Party Name-",'R.M Billets Reports'!D1554)),TRIM(MID('R.M Billets Reports'!D1554,SEARCH("-",'R.M Billets Reports'!D1554)+1,200)),""))&lt;&gt;"",IF(ISNUMBER(SEARCH("Party Name:-",'R.M Billets Reports'!D1554)),TRIM('R.M Billets Reports'!F1554),IF(ISNUMBER(SEARCH("Party Name-",'R.M Billets Reports'!D1554)),TRIM(MID('R.M Billets Reports'!D1554,SEARCH("-",'R.M Billets Reports'!D1554)+1,200)),"")),IF(ISNUMBER(SEARCH("Party Name:-",'R.M Billets Reports'!D1555)),TRIM('R.M Billets Reports'!F1555),IF(ISNUMBER(SEARCH("Party Name-",'R.M Billets Reports'!D1555)),TRIM(MID('R.M Billets Reports'!D1555,SEARCH("-",'R.M Billets Reports'!D1555)+1,200)),"")))="VRKP ISPAT PVT LTD","VRKP",IF(IF(IF(ISNUMBER(SEARCH("Party Name:-",'R.M Billets Reports'!D1554)),TRIM('R.M Billets Reports'!F1554),IF(ISNUMBER(SEARCH("Party Name-",'R.M Billets Reports'!D1554)),TRIM(MID('R.M Billets Reports'!D1554,SEARCH("-",'R.M Billets Reports'!D1554)+1,200)),""))&lt;&gt;"",IF(ISNUMBER(SEARCH("Party Name:-",'R.M Billets Reports'!D1554)),TRIM('R.M Billets Reports'!F1554),IF(ISNUMBER(SEARCH("Party Name-",'R.M Billets Reports'!D1554)),TRIM(MID('R.M Billets Reports'!D1554,SEARCH("-",'R.M Billets Reports'!D1554)+1,200)),"")),IF(ISNUMBER(SEARCH("Party Name:-",'R.M Billets Reports'!D1555)),TRIM('R.M Billets Reports'!F1555),IF(ISNUMBER(SEARCH("Party Name-",'R.M Billets Reports'!D1555)),TRIM(MID('R.M Billets Reports'!D1555,SEARCH("-",'R.M Billets Reports'!D1555)+1,200)),"")))="SHRI RADHE","SHREE RADHE",IF(IF(IF(ISNUMBER(SEARCH("Party Name:-",'R.M Billets Reports'!D1554)),TRIM('R.M Billets Reports'!F1554),IF(ISNUMBER(SEARCH("Party Name-",'R.M Billets Reports'!D1554)),TRIM(MID('R.M Billets Reports'!D1554,SEARCH("-",'R.M Billets Reports'!D1554)+1,200)),""))&lt;&gt;"",IF(ISNUMBER(SEARCH("Party Name:-",'R.M Billets Reports'!D1554)),TRIM('R.M Billets Reports'!F1554),IF(ISNUMBER(SEARCH("Party Name-",'R.M Billets Reports'!D1554)),TRIM(MID('R.M Billets Reports'!D1554,SEARCH("-",'R.M Billets Reports'!D1554)+1,200)),"")),IF(ISNUMBER(SEARCH("Party Name:-",'R.M Billets Reports'!D1555)),TRIM('R.M Billets Reports'!F1555),IF(ISNUMBER(SEARCH("Party Name-",'R.M Billets Reports'!D1555)),TRIM(MID('R.M Billets Reports'!D1555,SEARCH("-",'R.M Billets Reports'!D1555)+1,200)),"")))="SHREE RADHE SHAKTI SPONGE AND POWER PVT. LTD.","SHREE RADHE",IF(IF(ISNUMBER(SEARCH("Party Name:-",'R.M Billets Reports'!D1554)),TRIM('R.M Billets Reports'!F1554),IF(ISNUMBER(SEARCH("Party Name-",'R.M Billets Reports'!D1554)),TRIM(MID('R.M Billets Reports'!D1554,SEARCH("-",'R.M Billets Reports'!D1554)+1,200)),""))&lt;&gt;"",IF(ISNUMBER(SEARCH("Party Name:-",'R.M Billets Reports'!D1554)),TRIM('R.M Billets Reports'!F1554),IF(ISNUMBER(SEARCH("Party Name-",'R.M Billets Reports'!D1554)),TRIM(MID('R.M Billets Reports'!D1554,SEARCH("-",'R.M Billets Reports'!D1554)+1,200)),"")),IF(ISNUMBER(SEARCH("Party Name:-",'R.M Billets Reports'!D1555)),TRIM('R.M Billets Reports'!F1555),IF(ISNUMBER(SEARCH("Party Name-",'R.M Billets Reports'!D1555)),TRIM(MID('R.M Billets Reports'!D1555,SEARCH("-",'R.M Billets Reports'!D1555)+1,200)),"")))))),IF(ROW()=2,"",A1554))</f>
      </c>
      <c r="B1555">
        <f>IF(OR('R.M Billets Reports'!A1554="Date-",'R.M Billets Reports'!A1554="Date:-"),'R.M Billets Reports'!B1554,IF(ROW()=2,"",B1554))</f>
      </c>
      <c r="C1555">
        <f>IF('R.M Billets Reports'!A1554="V.No.",'R.M Billets Reports'!B1554,IF(ROW()=2,"",C1554))</f>
      </c>
      <c r="D1555">
        <f>IF('R.M Billets Reports'!A1554&lt;&gt;"",'R.M Billets Reports'!A1554,IF(ROW()=2,"",D1554))</f>
      </c>
      <c r="E1555">
        <f>IF('R.M Billets Reports'!B1554="","",TRIM('R.M Billets Reports'!B1554))</f>
      </c>
      <c r="F1555">
        <f>'R.M Billets Reports'!C1554</f>
      </c>
      <c r="G1555">
        <f>'R.M Billets Reports'!D1554</f>
      </c>
      <c r="H1555">
        <f>'R.M Billets Reports'!E1554</f>
      </c>
      <c r="I1555">
        <f>'R.M Billets Reports'!F1554</f>
      </c>
      <c r="J1555">
        <f>'R.M Billets Reports'!G1554</f>
      </c>
      <c r="K1555">
        <f>'R.M Billets Reports'!H1554</f>
      </c>
      <c r="L1555">
        <f>IF('R.M Billets Reports'!I1554="","",'R.M Billets Reports'!I1554)</f>
      </c>
      <c r="M1555">
        <f t="shared" si="48"/>
      </c>
      <c r="N1555">
        <f>IF('R.M Billets Reports'!J1554="","",'R.M Billets Reports'!J1554)</f>
      </c>
      <c r="O1555">
        <f t="shared" si="49"/>
      </c>
      <c r="P1555">
        <f>IF('R.M Billets Reports'!A1554="SIZE",'R.M Billets Reports'!B1554,P1554)</f>
      </c>
    </row>
    <row r="1556" spans="1:16" x14ac:dyDescent="0.25">
      <c r="A1556">
        <f>IF(OR('R.M Billets Reports'!A1555="Date-",'R.M Billets Reports'!A1555="Date:-"),IF(IF(IF(ISNUMBER(SEARCH("Party Name:-",'R.M Billets Reports'!D1555)),TRIM('R.M Billets Reports'!F1555),IF(ISNUMBER(SEARCH("Party Name-",'R.M Billets Reports'!D1555)),TRIM(MID('R.M Billets Reports'!D1555,SEARCH("-",'R.M Billets Reports'!D1555)+1,200)),""))&lt;&gt;"",IF(ISNUMBER(SEARCH("Party Name:-",'R.M Billets Reports'!D1555)),TRIM('R.M Billets Reports'!F1555),IF(ISNUMBER(SEARCH("Party Name-",'R.M Billets Reports'!D1555)),TRIM(MID('R.M Billets Reports'!D1555,SEARCH("-",'R.M Billets Reports'!D1555)+1,200)),"")),IF(ISNUMBER(SEARCH("Party Name:-",'R.M Billets Reports'!D1556)),TRIM('R.M Billets Reports'!F1556),IF(ISNUMBER(SEARCH("Party Name-",'R.M Billets Reports'!D1556)),TRIM(MID('R.M Billets Reports'!D1556,SEARCH("-",'R.M Billets Reports'!D1556)+1,200)),"")))="VRKP ISPAT PVT LTD","VRKP",IF(IF(IF(ISNUMBER(SEARCH("Party Name:-",'R.M Billets Reports'!D1555)),TRIM('R.M Billets Reports'!F1555),IF(ISNUMBER(SEARCH("Party Name-",'R.M Billets Reports'!D1555)),TRIM(MID('R.M Billets Reports'!D1555,SEARCH("-",'R.M Billets Reports'!D1555)+1,200)),""))&lt;&gt;"",IF(ISNUMBER(SEARCH("Party Name:-",'R.M Billets Reports'!D1555)),TRIM('R.M Billets Reports'!F1555),IF(ISNUMBER(SEARCH("Party Name-",'R.M Billets Reports'!D1555)),TRIM(MID('R.M Billets Reports'!D1555,SEARCH("-",'R.M Billets Reports'!D1555)+1,200)),"")),IF(ISNUMBER(SEARCH("Party Name:-",'R.M Billets Reports'!D1556)),TRIM('R.M Billets Reports'!F1556),IF(ISNUMBER(SEARCH("Party Name-",'R.M Billets Reports'!D1556)),TRIM(MID('R.M Billets Reports'!D1556,SEARCH("-",'R.M Billets Reports'!D1556)+1,200)),"")))="SHRI RADHE","SHREE RADHE",IF(IF(IF(ISNUMBER(SEARCH("Party Name:-",'R.M Billets Reports'!D1555)),TRIM('R.M Billets Reports'!F1555),IF(ISNUMBER(SEARCH("Party Name-",'R.M Billets Reports'!D1555)),TRIM(MID('R.M Billets Reports'!D1555,SEARCH("-",'R.M Billets Reports'!D1555)+1,200)),""))&lt;&gt;"",IF(ISNUMBER(SEARCH("Party Name:-",'R.M Billets Reports'!D1555)),TRIM('R.M Billets Reports'!F1555),IF(ISNUMBER(SEARCH("Party Name-",'R.M Billets Reports'!D1555)),TRIM(MID('R.M Billets Reports'!D1555,SEARCH("-",'R.M Billets Reports'!D1555)+1,200)),"")),IF(ISNUMBER(SEARCH("Party Name:-",'R.M Billets Reports'!D1556)),TRIM('R.M Billets Reports'!F1556),IF(ISNUMBER(SEARCH("Party Name-",'R.M Billets Reports'!D1556)),TRIM(MID('R.M Billets Reports'!D1556,SEARCH("-",'R.M Billets Reports'!D1556)+1,200)),"")))="SHREE RADHE SHAKTI SPONGE AND POWER PVT. LTD.","SHREE RADHE",IF(IF(ISNUMBER(SEARCH("Party Name:-",'R.M Billets Reports'!D1555)),TRIM('R.M Billets Reports'!F1555),IF(ISNUMBER(SEARCH("Party Name-",'R.M Billets Reports'!D1555)),TRIM(MID('R.M Billets Reports'!D1555,SEARCH("-",'R.M Billets Reports'!D1555)+1,200)),""))&lt;&gt;"",IF(ISNUMBER(SEARCH("Party Name:-",'R.M Billets Reports'!D1555)),TRIM('R.M Billets Reports'!F1555),IF(ISNUMBER(SEARCH("Party Name-",'R.M Billets Reports'!D1555)),TRIM(MID('R.M Billets Reports'!D1555,SEARCH("-",'R.M Billets Reports'!D1555)+1,200)),"")),IF(ISNUMBER(SEARCH("Party Name:-",'R.M Billets Reports'!D1556)),TRIM('R.M Billets Reports'!F1556),IF(ISNUMBER(SEARCH("Party Name-",'R.M Billets Reports'!D1556)),TRIM(MID('R.M Billets Reports'!D1556,SEARCH("-",'R.M Billets Reports'!D1556)+1,200)),"")))))),IF(ROW()=2,"",A1555))</f>
      </c>
      <c r="B1556">
        <f>IF(OR('R.M Billets Reports'!A1555="Date-",'R.M Billets Reports'!A1555="Date:-"),'R.M Billets Reports'!B1555,IF(ROW()=2,"",B1555))</f>
      </c>
      <c r="C1556">
        <f>IF('R.M Billets Reports'!A1555="V.No.",'R.M Billets Reports'!B1555,IF(ROW()=2,"",C1555))</f>
      </c>
      <c r="D1556">
        <f>IF('R.M Billets Reports'!A1555&lt;&gt;"",'R.M Billets Reports'!A1555,IF(ROW()=2,"",D1555))</f>
      </c>
      <c r="E1556">
        <f>IF('R.M Billets Reports'!B1555="","",TRIM('R.M Billets Reports'!B1555))</f>
      </c>
      <c r="F1556">
        <f>'R.M Billets Reports'!C1555</f>
      </c>
      <c r="G1556">
        <f>'R.M Billets Reports'!D1555</f>
      </c>
      <c r="H1556">
        <f>'R.M Billets Reports'!E1555</f>
      </c>
      <c r="I1556">
        <f>'R.M Billets Reports'!F1555</f>
      </c>
      <c r="J1556">
        <f>'R.M Billets Reports'!G1555</f>
      </c>
      <c r="K1556">
        <f>'R.M Billets Reports'!H1555</f>
      </c>
      <c r="L1556">
        <f>IF('R.M Billets Reports'!I1555="","",'R.M Billets Reports'!I1555)</f>
      </c>
      <c r="M1556">
        <f t="shared" si="48"/>
      </c>
      <c r="N1556">
        <f>IF('R.M Billets Reports'!J1555="","",'R.M Billets Reports'!J1555)</f>
      </c>
      <c r="O1556">
        <f t="shared" si="49"/>
      </c>
      <c r="P1556">
        <f>IF('R.M Billets Reports'!A1555="SIZE",'R.M Billets Reports'!B1555,P1555)</f>
      </c>
    </row>
    <row r="1557" spans="1:16" x14ac:dyDescent="0.25">
      <c r="A1557">
        <f>IF(OR('R.M Billets Reports'!A1556="Date-",'R.M Billets Reports'!A1556="Date:-"),IF(IF(IF(ISNUMBER(SEARCH("Party Name:-",'R.M Billets Reports'!D1556)),TRIM('R.M Billets Reports'!F1556),IF(ISNUMBER(SEARCH("Party Name-",'R.M Billets Reports'!D1556)),TRIM(MID('R.M Billets Reports'!D1556,SEARCH("-",'R.M Billets Reports'!D1556)+1,200)),""))&lt;&gt;"",IF(ISNUMBER(SEARCH("Party Name:-",'R.M Billets Reports'!D1556)),TRIM('R.M Billets Reports'!F1556),IF(ISNUMBER(SEARCH("Party Name-",'R.M Billets Reports'!D1556)),TRIM(MID('R.M Billets Reports'!D1556,SEARCH("-",'R.M Billets Reports'!D1556)+1,200)),"")),IF(ISNUMBER(SEARCH("Party Name:-",'R.M Billets Reports'!D1557)),TRIM('R.M Billets Reports'!F1557),IF(ISNUMBER(SEARCH("Party Name-",'R.M Billets Reports'!D1557)),TRIM(MID('R.M Billets Reports'!D1557,SEARCH("-",'R.M Billets Reports'!D1557)+1,200)),"")))="VRKP ISPAT PVT LTD","VRKP",IF(IF(IF(ISNUMBER(SEARCH("Party Name:-",'R.M Billets Reports'!D1556)),TRIM('R.M Billets Reports'!F1556),IF(ISNUMBER(SEARCH("Party Name-",'R.M Billets Reports'!D1556)),TRIM(MID('R.M Billets Reports'!D1556,SEARCH("-",'R.M Billets Reports'!D1556)+1,200)),""))&lt;&gt;"",IF(ISNUMBER(SEARCH("Party Name:-",'R.M Billets Reports'!D1556)),TRIM('R.M Billets Reports'!F1556),IF(ISNUMBER(SEARCH("Party Name-",'R.M Billets Reports'!D1556)),TRIM(MID('R.M Billets Reports'!D1556,SEARCH("-",'R.M Billets Reports'!D1556)+1,200)),"")),IF(ISNUMBER(SEARCH("Party Name:-",'R.M Billets Reports'!D1557)),TRIM('R.M Billets Reports'!F1557),IF(ISNUMBER(SEARCH("Party Name-",'R.M Billets Reports'!D1557)),TRIM(MID('R.M Billets Reports'!D1557,SEARCH("-",'R.M Billets Reports'!D1557)+1,200)),"")))="SHRI RADHE","SHREE RADHE",IF(IF(IF(ISNUMBER(SEARCH("Party Name:-",'R.M Billets Reports'!D1556)),TRIM('R.M Billets Reports'!F1556),IF(ISNUMBER(SEARCH("Party Name-",'R.M Billets Reports'!D1556)),TRIM(MID('R.M Billets Reports'!D1556,SEARCH("-",'R.M Billets Reports'!D1556)+1,200)),""))&lt;&gt;"",IF(ISNUMBER(SEARCH("Party Name:-",'R.M Billets Reports'!D1556)),TRIM('R.M Billets Reports'!F1556),IF(ISNUMBER(SEARCH("Party Name-",'R.M Billets Reports'!D1556)),TRIM(MID('R.M Billets Reports'!D1556,SEARCH("-",'R.M Billets Reports'!D1556)+1,200)),"")),IF(ISNUMBER(SEARCH("Party Name:-",'R.M Billets Reports'!D1557)),TRIM('R.M Billets Reports'!F1557),IF(ISNUMBER(SEARCH("Party Name-",'R.M Billets Reports'!D1557)),TRIM(MID('R.M Billets Reports'!D1557,SEARCH("-",'R.M Billets Reports'!D1557)+1,200)),"")))="SHREE RADHE SHAKTI SPONGE AND POWER PVT. LTD.","SHREE RADHE",IF(IF(ISNUMBER(SEARCH("Party Name:-",'R.M Billets Reports'!D1556)),TRIM('R.M Billets Reports'!F1556),IF(ISNUMBER(SEARCH("Party Name-",'R.M Billets Reports'!D1556)),TRIM(MID('R.M Billets Reports'!D1556,SEARCH("-",'R.M Billets Reports'!D1556)+1,200)),""))&lt;&gt;"",IF(ISNUMBER(SEARCH("Party Name:-",'R.M Billets Reports'!D1556)),TRIM('R.M Billets Reports'!F1556),IF(ISNUMBER(SEARCH("Party Name-",'R.M Billets Reports'!D1556)),TRIM(MID('R.M Billets Reports'!D1556,SEARCH("-",'R.M Billets Reports'!D1556)+1,200)),"")),IF(ISNUMBER(SEARCH("Party Name:-",'R.M Billets Reports'!D1557)),TRIM('R.M Billets Reports'!F1557),IF(ISNUMBER(SEARCH("Party Name-",'R.M Billets Reports'!D1557)),TRIM(MID('R.M Billets Reports'!D1557,SEARCH("-",'R.M Billets Reports'!D1557)+1,200)),"")))))),IF(ROW()=2,"",A1556))</f>
      </c>
      <c r="B1557">
        <f>IF(OR('R.M Billets Reports'!A1556="Date-",'R.M Billets Reports'!A1556="Date:-"),'R.M Billets Reports'!B1556,IF(ROW()=2,"",B1556))</f>
      </c>
      <c r="C1557">
        <f>IF('R.M Billets Reports'!A1556="V.No.",'R.M Billets Reports'!B1556,IF(ROW()=2,"",C1556))</f>
      </c>
      <c r="D1557">
        <f>IF('R.M Billets Reports'!A1556&lt;&gt;"",'R.M Billets Reports'!A1556,IF(ROW()=2,"",D1556))</f>
      </c>
      <c r="E1557">
        <f>IF('R.M Billets Reports'!B1556="","",TRIM('R.M Billets Reports'!B1556))</f>
      </c>
      <c r="F1557">
        <f>'R.M Billets Reports'!C1556</f>
      </c>
      <c r="G1557">
        <f>'R.M Billets Reports'!D1556</f>
      </c>
      <c r="H1557">
        <f>'R.M Billets Reports'!E1556</f>
      </c>
      <c r="I1557">
        <f>'R.M Billets Reports'!F1556</f>
      </c>
      <c r="J1557">
        <f>'R.M Billets Reports'!G1556</f>
      </c>
      <c r="K1557">
        <f>'R.M Billets Reports'!H1556</f>
      </c>
      <c r="L1557">
        <f>IF('R.M Billets Reports'!I1556="","",'R.M Billets Reports'!I1556)</f>
      </c>
      <c r="M1557">
        <f t="shared" si="48"/>
      </c>
      <c r="N1557">
        <f>IF('R.M Billets Reports'!J1556="","",'R.M Billets Reports'!J1556)</f>
      </c>
      <c r="O1557">
        <f t="shared" si="49"/>
      </c>
      <c r="P1557">
        <f>IF('R.M Billets Reports'!A1556="SIZE",'R.M Billets Reports'!B1556,P1556)</f>
      </c>
    </row>
    <row r="1558" spans="1:16" x14ac:dyDescent="0.25">
      <c r="A1558">
        <f>IF(OR('R.M Billets Reports'!A1557="Date-",'R.M Billets Reports'!A1557="Date:-"),IF(IF(IF(ISNUMBER(SEARCH("Party Name:-",'R.M Billets Reports'!D1557)),TRIM('R.M Billets Reports'!F1557),IF(ISNUMBER(SEARCH("Party Name-",'R.M Billets Reports'!D1557)),TRIM(MID('R.M Billets Reports'!D1557,SEARCH("-",'R.M Billets Reports'!D1557)+1,200)),""))&lt;&gt;"",IF(ISNUMBER(SEARCH("Party Name:-",'R.M Billets Reports'!D1557)),TRIM('R.M Billets Reports'!F1557),IF(ISNUMBER(SEARCH("Party Name-",'R.M Billets Reports'!D1557)),TRIM(MID('R.M Billets Reports'!D1557,SEARCH("-",'R.M Billets Reports'!D1557)+1,200)),"")),IF(ISNUMBER(SEARCH("Party Name:-",'R.M Billets Reports'!D1558)),TRIM('R.M Billets Reports'!F1558),IF(ISNUMBER(SEARCH("Party Name-",'R.M Billets Reports'!D1558)),TRIM(MID('R.M Billets Reports'!D1558,SEARCH("-",'R.M Billets Reports'!D1558)+1,200)),"")))="VRKP ISPAT PVT LTD","VRKP",IF(IF(IF(ISNUMBER(SEARCH("Party Name:-",'R.M Billets Reports'!D1557)),TRIM('R.M Billets Reports'!F1557),IF(ISNUMBER(SEARCH("Party Name-",'R.M Billets Reports'!D1557)),TRIM(MID('R.M Billets Reports'!D1557,SEARCH("-",'R.M Billets Reports'!D1557)+1,200)),""))&lt;&gt;"",IF(ISNUMBER(SEARCH("Party Name:-",'R.M Billets Reports'!D1557)),TRIM('R.M Billets Reports'!F1557),IF(ISNUMBER(SEARCH("Party Name-",'R.M Billets Reports'!D1557)),TRIM(MID('R.M Billets Reports'!D1557,SEARCH("-",'R.M Billets Reports'!D1557)+1,200)),"")),IF(ISNUMBER(SEARCH("Party Name:-",'R.M Billets Reports'!D1558)),TRIM('R.M Billets Reports'!F1558),IF(ISNUMBER(SEARCH("Party Name-",'R.M Billets Reports'!D1558)),TRIM(MID('R.M Billets Reports'!D1558,SEARCH("-",'R.M Billets Reports'!D1558)+1,200)),"")))="SHRI RADHE","SHREE RADHE",IF(IF(IF(ISNUMBER(SEARCH("Party Name:-",'R.M Billets Reports'!D1557)),TRIM('R.M Billets Reports'!F1557),IF(ISNUMBER(SEARCH("Party Name-",'R.M Billets Reports'!D1557)),TRIM(MID('R.M Billets Reports'!D1557,SEARCH("-",'R.M Billets Reports'!D1557)+1,200)),""))&lt;&gt;"",IF(ISNUMBER(SEARCH("Party Name:-",'R.M Billets Reports'!D1557)),TRIM('R.M Billets Reports'!F1557),IF(ISNUMBER(SEARCH("Party Name-",'R.M Billets Reports'!D1557)),TRIM(MID('R.M Billets Reports'!D1557,SEARCH("-",'R.M Billets Reports'!D1557)+1,200)),"")),IF(ISNUMBER(SEARCH("Party Name:-",'R.M Billets Reports'!D1558)),TRIM('R.M Billets Reports'!F1558),IF(ISNUMBER(SEARCH("Party Name-",'R.M Billets Reports'!D1558)),TRIM(MID('R.M Billets Reports'!D1558,SEARCH("-",'R.M Billets Reports'!D1558)+1,200)),"")))="SHREE RADHE SHAKTI SPONGE AND POWER PVT. LTD.","SHREE RADHE",IF(IF(ISNUMBER(SEARCH("Party Name:-",'R.M Billets Reports'!D1557)),TRIM('R.M Billets Reports'!F1557),IF(ISNUMBER(SEARCH("Party Name-",'R.M Billets Reports'!D1557)),TRIM(MID('R.M Billets Reports'!D1557,SEARCH("-",'R.M Billets Reports'!D1557)+1,200)),""))&lt;&gt;"",IF(ISNUMBER(SEARCH("Party Name:-",'R.M Billets Reports'!D1557)),TRIM('R.M Billets Reports'!F1557),IF(ISNUMBER(SEARCH("Party Name-",'R.M Billets Reports'!D1557)),TRIM(MID('R.M Billets Reports'!D1557,SEARCH("-",'R.M Billets Reports'!D1557)+1,200)),"")),IF(ISNUMBER(SEARCH("Party Name:-",'R.M Billets Reports'!D1558)),TRIM('R.M Billets Reports'!F1558),IF(ISNUMBER(SEARCH("Party Name-",'R.M Billets Reports'!D1558)),TRIM(MID('R.M Billets Reports'!D1558,SEARCH("-",'R.M Billets Reports'!D1558)+1,200)),"")))))),IF(ROW()=2,"",A1557))</f>
      </c>
      <c r="B1558">
        <f>IF(OR('R.M Billets Reports'!A1557="Date-",'R.M Billets Reports'!A1557="Date:-"),'R.M Billets Reports'!B1557,IF(ROW()=2,"",B1557))</f>
      </c>
      <c r="C1558">
        <f>IF('R.M Billets Reports'!A1557="V.No.",'R.M Billets Reports'!B1557,IF(ROW()=2,"",C1557))</f>
      </c>
      <c r="D1558">
        <f>IF('R.M Billets Reports'!A1557&lt;&gt;"",'R.M Billets Reports'!A1557,IF(ROW()=2,"",D1557))</f>
      </c>
      <c r="E1558">
        <f>IF('R.M Billets Reports'!B1557="","",TRIM('R.M Billets Reports'!B1557))</f>
      </c>
      <c r="F1558">
        <f>'R.M Billets Reports'!C1557</f>
      </c>
      <c r="G1558">
        <f>'R.M Billets Reports'!D1557</f>
      </c>
      <c r="H1558">
        <f>'R.M Billets Reports'!E1557</f>
      </c>
      <c r="I1558">
        <f>'R.M Billets Reports'!F1557</f>
      </c>
      <c r="J1558">
        <f>'R.M Billets Reports'!G1557</f>
      </c>
      <c r="K1558">
        <f>'R.M Billets Reports'!H1557</f>
      </c>
      <c r="L1558">
        <f>IF('R.M Billets Reports'!I1557="","",'R.M Billets Reports'!I1557)</f>
      </c>
      <c r="M1558">
        <f t="shared" si="48"/>
      </c>
      <c r="N1558">
        <f>IF('R.M Billets Reports'!J1557="","",'R.M Billets Reports'!J1557)</f>
      </c>
      <c r="O1558">
        <f t="shared" si="49"/>
      </c>
      <c r="P1558">
        <f>IF('R.M Billets Reports'!A1557="SIZE",'R.M Billets Reports'!B1557,P1557)</f>
      </c>
    </row>
    <row r="1559" spans="1:16" x14ac:dyDescent="0.25">
      <c r="A1559">
        <f>IF(OR('R.M Billets Reports'!A1558="Date-",'R.M Billets Reports'!A1558="Date:-"),IF(IF(IF(ISNUMBER(SEARCH("Party Name:-",'R.M Billets Reports'!D1558)),TRIM('R.M Billets Reports'!F1558),IF(ISNUMBER(SEARCH("Party Name-",'R.M Billets Reports'!D1558)),TRIM(MID('R.M Billets Reports'!D1558,SEARCH("-",'R.M Billets Reports'!D1558)+1,200)),""))&lt;&gt;"",IF(ISNUMBER(SEARCH("Party Name:-",'R.M Billets Reports'!D1558)),TRIM('R.M Billets Reports'!F1558),IF(ISNUMBER(SEARCH("Party Name-",'R.M Billets Reports'!D1558)),TRIM(MID('R.M Billets Reports'!D1558,SEARCH("-",'R.M Billets Reports'!D1558)+1,200)),"")),IF(ISNUMBER(SEARCH("Party Name:-",'R.M Billets Reports'!D1559)),TRIM('R.M Billets Reports'!F1559),IF(ISNUMBER(SEARCH("Party Name-",'R.M Billets Reports'!D1559)),TRIM(MID('R.M Billets Reports'!D1559,SEARCH("-",'R.M Billets Reports'!D1559)+1,200)),"")))="VRKP ISPAT PVT LTD","VRKP",IF(IF(IF(ISNUMBER(SEARCH("Party Name:-",'R.M Billets Reports'!D1558)),TRIM('R.M Billets Reports'!F1558),IF(ISNUMBER(SEARCH("Party Name-",'R.M Billets Reports'!D1558)),TRIM(MID('R.M Billets Reports'!D1558,SEARCH("-",'R.M Billets Reports'!D1558)+1,200)),""))&lt;&gt;"",IF(ISNUMBER(SEARCH("Party Name:-",'R.M Billets Reports'!D1558)),TRIM('R.M Billets Reports'!F1558),IF(ISNUMBER(SEARCH("Party Name-",'R.M Billets Reports'!D1558)),TRIM(MID('R.M Billets Reports'!D1558,SEARCH("-",'R.M Billets Reports'!D1558)+1,200)),"")),IF(ISNUMBER(SEARCH("Party Name:-",'R.M Billets Reports'!D1559)),TRIM('R.M Billets Reports'!F1559),IF(ISNUMBER(SEARCH("Party Name-",'R.M Billets Reports'!D1559)),TRIM(MID('R.M Billets Reports'!D1559,SEARCH("-",'R.M Billets Reports'!D1559)+1,200)),"")))="SHRI RADHE","SHREE RADHE",IF(IF(IF(ISNUMBER(SEARCH("Party Name:-",'R.M Billets Reports'!D1558)),TRIM('R.M Billets Reports'!F1558),IF(ISNUMBER(SEARCH("Party Name-",'R.M Billets Reports'!D1558)),TRIM(MID('R.M Billets Reports'!D1558,SEARCH("-",'R.M Billets Reports'!D1558)+1,200)),""))&lt;&gt;"",IF(ISNUMBER(SEARCH("Party Name:-",'R.M Billets Reports'!D1558)),TRIM('R.M Billets Reports'!F1558),IF(ISNUMBER(SEARCH("Party Name-",'R.M Billets Reports'!D1558)),TRIM(MID('R.M Billets Reports'!D1558,SEARCH("-",'R.M Billets Reports'!D1558)+1,200)),"")),IF(ISNUMBER(SEARCH("Party Name:-",'R.M Billets Reports'!D1559)),TRIM('R.M Billets Reports'!F1559),IF(ISNUMBER(SEARCH("Party Name-",'R.M Billets Reports'!D1559)),TRIM(MID('R.M Billets Reports'!D1559,SEARCH("-",'R.M Billets Reports'!D1559)+1,200)),"")))="SHREE RADHE SHAKTI SPONGE AND POWER PVT. LTD.","SHREE RADHE",IF(IF(ISNUMBER(SEARCH("Party Name:-",'R.M Billets Reports'!D1558)),TRIM('R.M Billets Reports'!F1558),IF(ISNUMBER(SEARCH("Party Name-",'R.M Billets Reports'!D1558)),TRIM(MID('R.M Billets Reports'!D1558,SEARCH("-",'R.M Billets Reports'!D1558)+1,200)),""))&lt;&gt;"",IF(ISNUMBER(SEARCH("Party Name:-",'R.M Billets Reports'!D1558)),TRIM('R.M Billets Reports'!F1558),IF(ISNUMBER(SEARCH("Party Name-",'R.M Billets Reports'!D1558)),TRIM(MID('R.M Billets Reports'!D1558,SEARCH("-",'R.M Billets Reports'!D1558)+1,200)),"")),IF(ISNUMBER(SEARCH("Party Name:-",'R.M Billets Reports'!D1559)),TRIM('R.M Billets Reports'!F1559),IF(ISNUMBER(SEARCH("Party Name-",'R.M Billets Reports'!D1559)),TRIM(MID('R.M Billets Reports'!D1559,SEARCH("-",'R.M Billets Reports'!D1559)+1,200)),"")))))),IF(ROW()=2,"",A1558))</f>
      </c>
      <c r="B1559">
        <f>IF(OR('R.M Billets Reports'!A1558="Date-",'R.M Billets Reports'!A1558="Date:-"),'R.M Billets Reports'!B1558,IF(ROW()=2,"",B1558))</f>
      </c>
      <c r="C1559">
        <f>IF('R.M Billets Reports'!A1558="V.No.",'R.M Billets Reports'!B1558,IF(ROW()=2,"",C1558))</f>
      </c>
      <c r="D1559">
        <f>IF('R.M Billets Reports'!A1558&lt;&gt;"",'R.M Billets Reports'!A1558,IF(ROW()=2,"",D1558))</f>
      </c>
      <c r="E1559">
        <f>IF('R.M Billets Reports'!B1558="","",TRIM('R.M Billets Reports'!B1558))</f>
      </c>
      <c r="F1559">
        <f>'R.M Billets Reports'!C1558</f>
      </c>
      <c r="G1559">
        <f>'R.M Billets Reports'!D1558</f>
      </c>
      <c r="H1559">
        <f>'R.M Billets Reports'!E1558</f>
      </c>
      <c r="I1559">
        <f>'R.M Billets Reports'!F1558</f>
      </c>
      <c r="J1559">
        <f>'R.M Billets Reports'!G1558</f>
      </c>
      <c r="K1559">
        <f>'R.M Billets Reports'!H1558</f>
      </c>
      <c r="L1559">
        <f>IF('R.M Billets Reports'!I1558="","",'R.M Billets Reports'!I1558)</f>
      </c>
      <c r="M1559">
        <f t="shared" si="48"/>
      </c>
      <c r="N1559">
        <f>IF('R.M Billets Reports'!J1558="","",'R.M Billets Reports'!J1558)</f>
      </c>
      <c r="O1559">
        <f t="shared" si="49"/>
      </c>
      <c r="P1559">
        <f>IF('R.M Billets Reports'!A1558="SIZE",'R.M Billets Reports'!B1558,P1558)</f>
      </c>
    </row>
    <row r="1560" spans="1:16" x14ac:dyDescent="0.25">
      <c r="A1560">
        <f>IF(OR('R.M Billets Reports'!A1559="Date-",'R.M Billets Reports'!A1559="Date:-"),IF(IF(IF(ISNUMBER(SEARCH("Party Name:-",'R.M Billets Reports'!D1559)),TRIM('R.M Billets Reports'!F1559),IF(ISNUMBER(SEARCH("Party Name-",'R.M Billets Reports'!D1559)),TRIM(MID('R.M Billets Reports'!D1559,SEARCH("-",'R.M Billets Reports'!D1559)+1,200)),""))&lt;&gt;"",IF(ISNUMBER(SEARCH("Party Name:-",'R.M Billets Reports'!D1559)),TRIM('R.M Billets Reports'!F1559),IF(ISNUMBER(SEARCH("Party Name-",'R.M Billets Reports'!D1559)),TRIM(MID('R.M Billets Reports'!D1559,SEARCH("-",'R.M Billets Reports'!D1559)+1,200)),"")),IF(ISNUMBER(SEARCH("Party Name:-",'R.M Billets Reports'!D1560)),TRIM('R.M Billets Reports'!F1560),IF(ISNUMBER(SEARCH("Party Name-",'R.M Billets Reports'!D1560)),TRIM(MID('R.M Billets Reports'!D1560,SEARCH("-",'R.M Billets Reports'!D1560)+1,200)),"")))="VRKP ISPAT PVT LTD","VRKP",IF(IF(IF(ISNUMBER(SEARCH("Party Name:-",'R.M Billets Reports'!D1559)),TRIM('R.M Billets Reports'!F1559),IF(ISNUMBER(SEARCH("Party Name-",'R.M Billets Reports'!D1559)),TRIM(MID('R.M Billets Reports'!D1559,SEARCH("-",'R.M Billets Reports'!D1559)+1,200)),""))&lt;&gt;"",IF(ISNUMBER(SEARCH("Party Name:-",'R.M Billets Reports'!D1559)),TRIM('R.M Billets Reports'!F1559),IF(ISNUMBER(SEARCH("Party Name-",'R.M Billets Reports'!D1559)),TRIM(MID('R.M Billets Reports'!D1559,SEARCH("-",'R.M Billets Reports'!D1559)+1,200)),"")),IF(ISNUMBER(SEARCH("Party Name:-",'R.M Billets Reports'!D1560)),TRIM('R.M Billets Reports'!F1560),IF(ISNUMBER(SEARCH("Party Name-",'R.M Billets Reports'!D1560)),TRIM(MID('R.M Billets Reports'!D1560,SEARCH("-",'R.M Billets Reports'!D1560)+1,200)),"")))="SHRI RADHE","SHREE RADHE",IF(IF(IF(ISNUMBER(SEARCH("Party Name:-",'R.M Billets Reports'!D1559)),TRIM('R.M Billets Reports'!F1559),IF(ISNUMBER(SEARCH("Party Name-",'R.M Billets Reports'!D1559)),TRIM(MID('R.M Billets Reports'!D1559,SEARCH("-",'R.M Billets Reports'!D1559)+1,200)),""))&lt;&gt;"",IF(ISNUMBER(SEARCH("Party Name:-",'R.M Billets Reports'!D1559)),TRIM('R.M Billets Reports'!F1559),IF(ISNUMBER(SEARCH("Party Name-",'R.M Billets Reports'!D1559)),TRIM(MID('R.M Billets Reports'!D1559,SEARCH("-",'R.M Billets Reports'!D1559)+1,200)),"")),IF(ISNUMBER(SEARCH("Party Name:-",'R.M Billets Reports'!D1560)),TRIM('R.M Billets Reports'!F1560),IF(ISNUMBER(SEARCH("Party Name-",'R.M Billets Reports'!D1560)),TRIM(MID('R.M Billets Reports'!D1560,SEARCH("-",'R.M Billets Reports'!D1560)+1,200)),"")))="SHREE RADHE SHAKTI SPONGE AND POWER PVT. LTD.","SHREE RADHE",IF(IF(ISNUMBER(SEARCH("Party Name:-",'R.M Billets Reports'!D1559)),TRIM('R.M Billets Reports'!F1559),IF(ISNUMBER(SEARCH("Party Name-",'R.M Billets Reports'!D1559)),TRIM(MID('R.M Billets Reports'!D1559,SEARCH("-",'R.M Billets Reports'!D1559)+1,200)),""))&lt;&gt;"",IF(ISNUMBER(SEARCH("Party Name:-",'R.M Billets Reports'!D1559)),TRIM('R.M Billets Reports'!F1559),IF(ISNUMBER(SEARCH("Party Name-",'R.M Billets Reports'!D1559)),TRIM(MID('R.M Billets Reports'!D1559,SEARCH("-",'R.M Billets Reports'!D1559)+1,200)),"")),IF(ISNUMBER(SEARCH("Party Name:-",'R.M Billets Reports'!D1560)),TRIM('R.M Billets Reports'!F1560),IF(ISNUMBER(SEARCH("Party Name-",'R.M Billets Reports'!D1560)),TRIM(MID('R.M Billets Reports'!D1560,SEARCH("-",'R.M Billets Reports'!D1560)+1,200)),"")))))),IF(ROW()=2,"",A1559))</f>
      </c>
      <c r="B1560">
        <f>IF(OR('R.M Billets Reports'!A1559="Date-",'R.M Billets Reports'!A1559="Date:-"),'R.M Billets Reports'!B1559,IF(ROW()=2,"",B1559))</f>
      </c>
      <c r="C1560">
        <f>IF('R.M Billets Reports'!A1559="V.No.",'R.M Billets Reports'!B1559,IF(ROW()=2,"",C1559))</f>
      </c>
      <c r="D1560">
        <f>IF('R.M Billets Reports'!A1559&lt;&gt;"",'R.M Billets Reports'!A1559,IF(ROW()=2,"",D1559))</f>
      </c>
      <c r="E1560">
        <f>IF('R.M Billets Reports'!B1559="","",TRIM('R.M Billets Reports'!B1559))</f>
      </c>
      <c r="F1560">
        <f>'R.M Billets Reports'!C1559</f>
      </c>
      <c r="G1560">
        <f>'R.M Billets Reports'!D1559</f>
      </c>
      <c r="H1560">
        <f>'R.M Billets Reports'!E1559</f>
      </c>
      <c r="I1560">
        <f>'R.M Billets Reports'!F1559</f>
      </c>
      <c r="J1560">
        <f>'R.M Billets Reports'!G1559</f>
      </c>
      <c r="K1560">
        <f>'R.M Billets Reports'!H1559</f>
      </c>
      <c r="L1560">
        <f>IF('R.M Billets Reports'!I1559="","",'R.M Billets Reports'!I1559)</f>
      </c>
      <c r="M1560">
        <f t="shared" si="48"/>
      </c>
      <c r="N1560">
        <f>IF('R.M Billets Reports'!J1559="","",'R.M Billets Reports'!J1559)</f>
      </c>
      <c r="O1560">
        <f t="shared" si="49"/>
      </c>
      <c r="P1560">
        <f>IF('R.M Billets Reports'!A1559="SIZE",'R.M Billets Reports'!B1559,P1559)</f>
      </c>
    </row>
    <row r="1561" spans="1:16" x14ac:dyDescent="0.25">
      <c r="A1561">
        <f>IF(OR('R.M Billets Reports'!A1560="Date-",'R.M Billets Reports'!A1560="Date:-"),IF(IF(IF(ISNUMBER(SEARCH("Party Name:-",'R.M Billets Reports'!D1560)),TRIM('R.M Billets Reports'!F1560),IF(ISNUMBER(SEARCH("Party Name-",'R.M Billets Reports'!D1560)),TRIM(MID('R.M Billets Reports'!D1560,SEARCH("-",'R.M Billets Reports'!D1560)+1,200)),""))&lt;&gt;"",IF(ISNUMBER(SEARCH("Party Name:-",'R.M Billets Reports'!D1560)),TRIM('R.M Billets Reports'!F1560),IF(ISNUMBER(SEARCH("Party Name-",'R.M Billets Reports'!D1560)),TRIM(MID('R.M Billets Reports'!D1560,SEARCH("-",'R.M Billets Reports'!D1560)+1,200)),"")),IF(ISNUMBER(SEARCH("Party Name:-",'R.M Billets Reports'!D1561)),TRIM('R.M Billets Reports'!F1561),IF(ISNUMBER(SEARCH("Party Name-",'R.M Billets Reports'!D1561)),TRIM(MID('R.M Billets Reports'!D1561,SEARCH("-",'R.M Billets Reports'!D1561)+1,200)),"")))="VRKP ISPAT PVT LTD","VRKP",IF(IF(IF(ISNUMBER(SEARCH("Party Name:-",'R.M Billets Reports'!D1560)),TRIM('R.M Billets Reports'!F1560),IF(ISNUMBER(SEARCH("Party Name-",'R.M Billets Reports'!D1560)),TRIM(MID('R.M Billets Reports'!D1560,SEARCH("-",'R.M Billets Reports'!D1560)+1,200)),""))&lt;&gt;"",IF(ISNUMBER(SEARCH("Party Name:-",'R.M Billets Reports'!D1560)),TRIM('R.M Billets Reports'!F1560),IF(ISNUMBER(SEARCH("Party Name-",'R.M Billets Reports'!D1560)),TRIM(MID('R.M Billets Reports'!D1560,SEARCH("-",'R.M Billets Reports'!D1560)+1,200)),"")),IF(ISNUMBER(SEARCH("Party Name:-",'R.M Billets Reports'!D1561)),TRIM('R.M Billets Reports'!F1561),IF(ISNUMBER(SEARCH("Party Name-",'R.M Billets Reports'!D1561)),TRIM(MID('R.M Billets Reports'!D1561,SEARCH("-",'R.M Billets Reports'!D1561)+1,200)),"")))="SHRI RADHE","SHREE RADHE",IF(IF(IF(ISNUMBER(SEARCH("Party Name:-",'R.M Billets Reports'!D1560)),TRIM('R.M Billets Reports'!F1560),IF(ISNUMBER(SEARCH("Party Name-",'R.M Billets Reports'!D1560)),TRIM(MID('R.M Billets Reports'!D1560,SEARCH("-",'R.M Billets Reports'!D1560)+1,200)),""))&lt;&gt;"",IF(ISNUMBER(SEARCH("Party Name:-",'R.M Billets Reports'!D1560)),TRIM('R.M Billets Reports'!F1560),IF(ISNUMBER(SEARCH("Party Name-",'R.M Billets Reports'!D1560)),TRIM(MID('R.M Billets Reports'!D1560,SEARCH("-",'R.M Billets Reports'!D1560)+1,200)),"")),IF(ISNUMBER(SEARCH("Party Name:-",'R.M Billets Reports'!D1561)),TRIM('R.M Billets Reports'!F1561),IF(ISNUMBER(SEARCH("Party Name-",'R.M Billets Reports'!D1561)),TRIM(MID('R.M Billets Reports'!D1561,SEARCH("-",'R.M Billets Reports'!D1561)+1,200)),"")))="SHREE RADHE SHAKTI SPONGE AND POWER PVT. LTD.","SHREE RADHE",IF(IF(ISNUMBER(SEARCH("Party Name:-",'R.M Billets Reports'!D1560)),TRIM('R.M Billets Reports'!F1560),IF(ISNUMBER(SEARCH("Party Name-",'R.M Billets Reports'!D1560)),TRIM(MID('R.M Billets Reports'!D1560,SEARCH("-",'R.M Billets Reports'!D1560)+1,200)),""))&lt;&gt;"",IF(ISNUMBER(SEARCH("Party Name:-",'R.M Billets Reports'!D1560)),TRIM('R.M Billets Reports'!F1560),IF(ISNUMBER(SEARCH("Party Name-",'R.M Billets Reports'!D1560)),TRIM(MID('R.M Billets Reports'!D1560,SEARCH("-",'R.M Billets Reports'!D1560)+1,200)),"")),IF(ISNUMBER(SEARCH("Party Name:-",'R.M Billets Reports'!D1561)),TRIM('R.M Billets Reports'!F1561),IF(ISNUMBER(SEARCH("Party Name-",'R.M Billets Reports'!D1561)),TRIM(MID('R.M Billets Reports'!D1561,SEARCH("-",'R.M Billets Reports'!D1561)+1,200)),"")))))),IF(ROW()=2,"",A1560))</f>
      </c>
      <c r="B1561">
        <f>IF(OR('R.M Billets Reports'!A1560="Date-",'R.M Billets Reports'!A1560="Date:-"),'R.M Billets Reports'!B1560,IF(ROW()=2,"",B1560))</f>
      </c>
      <c r="C1561">
        <f>IF('R.M Billets Reports'!A1560="V.No.",'R.M Billets Reports'!B1560,IF(ROW()=2,"",C1560))</f>
      </c>
      <c r="D1561">
        <f>IF('R.M Billets Reports'!A1560&lt;&gt;"",'R.M Billets Reports'!A1560,IF(ROW()=2,"",D1560))</f>
      </c>
      <c r="E1561">
        <f>IF('R.M Billets Reports'!B1560="","",TRIM('R.M Billets Reports'!B1560))</f>
      </c>
      <c r="F1561">
        <f>'R.M Billets Reports'!C1560</f>
      </c>
      <c r="G1561">
        <f>'R.M Billets Reports'!D1560</f>
      </c>
      <c r="H1561">
        <f>'R.M Billets Reports'!E1560</f>
      </c>
      <c r="I1561">
        <f>'R.M Billets Reports'!F1560</f>
      </c>
      <c r="J1561">
        <f>'R.M Billets Reports'!G1560</f>
      </c>
      <c r="K1561">
        <f>'R.M Billets Reports'!H1560</f>
      </c>
      <c r="L1561">
        <f>IF('R.M Billets Reports'!I1560="","",'R.M Billets Reports'!I1560)</f>
      </c>
      <c r="M1561">
        <f t="shared" si="48"/>
      </c>
      <c r="N1561">
        <f>IF('R.M Billets Reports'!J1560="","",'R.M Billets Reports'!J1560)</f>
      </c>
      <c r="O1561">
        <f t="shared" si="49"/>
      </c>
      <c r="P1561">
        <f>IF('R.M Billets Reports'!A1560="SIZE",'R.M Billets Reports'!B1560,P1560)</f>
      </c>
    </row>
    <row r="1562" spans="1:16" x14ac:dyDescent="0.25">
      <c r="A1562">
        <f>IF(OR('R.M Billets Reports'!A1561="Date-",'R.M Billets Reports'!A1561="Date:-"),IF(IF(IF(ISNUMBER(SEARCH("Party Name:-",'R.M Billets Reports'!D1561)),TRIM('R.M Billets Reports'!F1561),IF(ISNUMBER(SEARCH("Party Name-",'R.M Billets Reports'!D1561)),TRIM(MID('R.M Billets Reports'!D1561,SEARCH("-",'R.M Billets Reports'!D1561)+1,200)),""))&lt;&gt;"",IF(ISNUMBER(SEARCH("Party Name:-",'R.M Billets Reports'!D1561)),TRIM('R.M Billets Reports'!F1561),IF(ISNUMBER(SEARCH("Party Name-",'R.M Billets Reports'!D1561)),TRIM(MID('R.M Billets Reports'!D1561,SEARCH("-",'R.M Billets Reports'!D1561)+1,200)),"")),IF(ISNUMBER(SEARCH("Party Name:-",'R.M Billets Reports'!D1562)),TRIM('R.M Billets Reports'!F1562),IF(ISNUMBER(SEARCH("Party Name-",'R.M Billets Reports'!D1562)),TRIM(MID('R.M Billets Reports'!D1562,SEARCH("-",'R.M Billets Reports'!D1562)+1,200)),"")))="VRKP ISPAT PVT LTD","VRKP",IF(IF(IF(ISNUMBER(SEARCH("Party Name:-",'R.M Billets Reports'!D1561)),TRIM('R.M Billets Reports'!F1561),IF(ISNUMBER(SEARCH("Party Name-",'R.M Billets Reports'!D1561)),TRIM(MID('R.M Billets Reports'!D1561,SEARCH("-",'R.M Billets Reports'!D1561)+1,200)),""))&lt;&gt;"",IF(ISNUMBER(SEARCH("Party Name:-",'R.M Billets Reports'!D1561)),TRIM('R.M Billets Reports'!F1561),IF(ISNUMBER(SEARCH("Party Name-",'R.M Billets Reports'!D1561)),TRIM(MID('R.M Billets Reports'!D1561,SEARCH("-",'R.M Billets Reports'!D1561)+1,200)),"")),IF(ISNUMBER(SEARCH("Party Name:-",'R.M Billets Reports'!D1562)),TRIM('R.M Billets Reports'!F1562),IF(ISNUMBER(SEARCH("Party Name-",'R.M Billets Reports'!D1562)),TRIM(MID('R.M Billets Reports'!D1562,SEARCH("-",'R.M Billets Reports'!D1562)+1,200)),"")))="SHRI RADHE","SHREE RADHE",IF(IF(IF(ISNUMBER(SEARCH("Party Name:-",'R.M Billets Reports'!D1561)),TRIM('R.M Billets Reports'!F1561),IF(ISNUMBER(SEARCH("Party Name-",'R.M Billets Reports'!D1561)),TRIM(MID('R.M Billets Reports'!D1561,SEARCH("-",'R.M Billets Reports'!D1561)+1,200)),""))&lt;&gt;"",IF(ISNUMBER(SEARCH("Party Name:-",'R.M Billets Reports'!D1561)),TRIM('R.M Billets Reports'!F1561),IF(ISNUMBER(SEARCH("Party Name-",'R.M Billets Reports'!D1561)),TRIM(MID('R.M Billets Reports'!D1561,SEARCH("-",'R.M Billets Reports'!D1561)+1,200)),"")),IF(ISNUMBER(SEARCH("Party Name:-",'R.M Billets Reports'!D1562)),TRIM('R.M Billets Reports'!F1562),IF(ISNUMBER(SEARCH("Party Name-",'R.M Billets Reports'!D1562)),TRIM(MID('R.M Billets Reports'!D1562,SEARCH("-",'R.M Billets Reports'!D1562)+1,200)),"")))="SHREE RADHE SHAKTI SPONGE AND POWER PVT. LTD.","SHREE RADHE",IF(IF(ISNUMBER(SEARCH("Party Name:-",'R.M Billets Reports'!D1561)),TRIM('R.M Billets Reports'!F1561),IF(ISNUMBER(SEARCH("Party Name-",'R.M Billets Reports'!D1561)),TRIM(MID('R.M Billets Reports'!D1561,SEARCH("-",'R.M Billets Reports'!D1561)+1,200)),""))&lt;&gt;"",IF(ISNUMBER(SEARCH("Party Name:-",'R.M Billets Reports'!D1561)),TRIM('R.M Billets Reports'!F1561),IF(ISNUMBER(SEARCH("Party Name-",'R.M Billets Reports'!D1561)),TRIM(MID('R.M Billets Reports'!D1561,SEARCH("-",'R.M Billets Reports'!D1561)+1,200)),"")),IF(ISNUMBER(SEARCH("Party Name:-",'R.M Billets Reports'!D1562)),TRIM('R.M Billets Reports'!F1562),IF(ISNUMBER(SEARCH("Party Name-",'R.M Billets Reports'!D1562)),TRIM(MID('R.M Billets Reports'!D1562,SEARCH("-",'R.M Billets Reports'!D1562)+1,200)),"")))))),IF(ROW()=2,"",A1561))</f>
      </c>
      <c r="B1562">
        <f>IF(OR('R.M Billets Reports'!A1561="Date-",'R.M Billets Reports'!A1561="Date:-"),'R.M Billets Reports'!B1561,IF(ROW()=2,"",B1561))</f>
      </c>
      <c r="C1562">
        <f>IF('R.M Billets Reports'!A1561="V.No.",'R.M Billets Reports'!B1561,IF(ROW()=2,"",C1561))</f>
      </c>
      <c r="D1562">
        <f>IF('R.M Billets Reports'!A1561&lt;&gt;"",'R.M Billets Reports'!A1561,IF(ROW()=2,"",D1561))</f>
      </c>
      <c r="E1562">
        <f>IF('R.M Billets Reports'!B1561="","",TRIM('R.M Billets Reports'!B1561))</f>
      </c>
      <c r="F1562">
        <f>'R.M Billets Reports'!C1561</f>
      </c>
      <c r="G1562">
        <f>'R.M Billets Reports'!D1561</f>
      </c>
      <c r="H1562">
        <f>'R.M Billets Reports'!E1561</f>
      </c>
      <c r="I1562">
        <f>'R.M Billets Reports'!F1561</f>
      </c>
      <c r="J1562">
        <f>'R.M Billets Reports'!G1561</f>
      </c>
      <c r="K1562">
        <f>'R.M Billets Reports'!H1561</f>
      </c>
      <c r="L1562">
        <f>IF('R.M Billets Reports'!I1561="","",'R.M Billets Reports'!I1561)</f>
      </c>
      <c r="M1562">
        <f t="shared" si="48"/>
      </c>
      <c r="N1562">
        <f>IF('R.M Billets Reports'!J1561="","",'R.M Billets Reports'!J1561)</f>
      </c>
      <c r="O1562">
        <f t="shared" si="49"/>
      </c>
      <c r="P1562">
        <f>IF('R.M Billets Reports'!A1561="SIZE",'R.M Billets Reports'!B1561,P1561)</f>
      </c>
    </row>
    <row r="1563" spans="1:16" x14ac:dyDescent="0.25">
      <c r="A1563">
        <f>IF(OR('R.M Billets Reports'!A1562="Date-",'R.M Billets Reports'!A1562="Date:-"),IF(IF(IF(ISNUMBER(SEARCH("Party Name:-",'R.M Billets Reports'!D1562)),TRIM('R.M Billets Reports'!F1562),IF(ISNUMBER(SEARCH("Party Name-",'R.M Billets Reports'!D1562)),TRIM(MID('R.M Billets Reports'!D1562,SEARCH("-",'R.M Billets Reports'!D1562)+1,200)),""))&lt;&gt;"",IF(ISNUMBER(SEARCH("Party Name:-",'R.M Billets Reports'!D1562)),TRIM('R.M Billets Reports'!F1562),IF(ISNUMBER(SEARCH("Party Name-",'R.M Billets Reports'!D1562)),TRIM(MID('R.M Billets Reports'!D1562,SEARCH("-",'R.M Billets Reports'!D1562)+1,200)),"")),IF(ISNUMBER(SEARCH("Party Name:-",'R.M Billets Reports'!D1563)),TRIM('R.M Billets Reports'!F1563),IF(ISNUMBER(SEARCH("Party Name-",'R.M Billets Reports'!D1563)),TRIM(MID('R.M Billets Reports'!D1563,SEARCH("-",'R.M Billets Reports'!D1563)+1,200)),"")))="VRKP ISPAT PVT LTD","VRKP",IF(IF(IF(ISNUMBER(SEARCH("Party Name:-",'R.M Billets Reports'!D1562)),TRIM('R.M Billets Reports'!F1562),IF(ISNUMBER(SEARCH("Party Name-",'R.M Billets Reports'!D1562)),TRIM(MID('R.M Billets Reports'!D1562,SEARCH("-",'R.M Billets Reports'!D1562)+1,200)),""))&lt;&gt;"",IF(ISNUMBER(SEARCH("Party Name:-",'R.M Billets Reports'!D1562)),TRIM('R.M Billets Reports'!F1562),IF(ISNUMBER(SEARCH("Party Name-",'R.M Billets Reports'!D1562)),TRIM(MID('R.M Billets Reports'!D1562,SEARCH("-",'R.M Billets Reports'!D1562)+1,200)),"")),IF(ISNUMBER(SEARCH("Party Name:-",'R.M Billets Reports'!D1563)),TRIM('R.M Billets Reports'!F1563),IF(ISNUMBER(SEARCH("Party Name-",'R.M Billets Reports'!D1563)),TRIM(MID('R.M Billets Reports'!D1563,SEARCH("-",'R.M Billets Reports'!D1563)+1,200)),"")))="SHRI RADHE","SHREE RADHE",IF(IF(IF(ISNUMBER(SEARCH("Party Name:-",'R.M Billets Reports'!D1562)),TRIM('R.M Billets Reports'!F1562),IF(ISNUMBER(SEARCH("Party Name-",'R.M Billets Reports'!D1562)),TRIM(MID('R.M Billets Reports'!D1562,SEARCH("-",'R.M Billets Reports'!D1562)+1,200)),""))&lt;&gt;"",IF(ISNUMBER(SEARCH("Party Name:-",'R.M Billets Reports'!D1562)),TRIM('R.M Billets Reports'!F1562),IF(ISNUMBER(SEARCH("Party Name-",'R.M Billets Reports'!D1562)),TRIM(MID('R.M Billets Reports'!D1562,SEARCH("-",'R.M Billets Reports'!D1562)+1,200)),"")),IF(ISNUMBER(SEARCH("Party Name:-",'R.M Billets Reports'!D1563)),TRIM('R.M Billets Reports'!F1563),IF(ISNUMBER(SEARCH("Party Name-",'R.M Billets Reports'!D1563)),TRIM(MID('R.M Billets Reports'!D1563,SEARCH("-",'R.M Billets Reports'!D1563)+1,200)),"")))="SHREE RADHE SHAKTI SPONGE AND POWER PVT. LTD.","SHREE RADHE",IF(IF(ISNUMBER(SEARCH("Party Name:-",'R.M Billets Reports'!D1562)),TRIM('R.M Billets Reports'!F1562),IF(ISNUMBER(SEARCH("Party Name-",'R.M Billets Reports'!D1562)),TRIM(MID('R.M Billets Reports'!D1562,SEARCH("-",'R.M Billets Reports'!D1562)+1,200)),""))&lt;&gt;"",IF(ISNUMBER(SEARCH("Party Name:-",'R.M Billets Reports'!D1562)),TRIM('R.M Billets Reports'!F1562),IF(ISNUMBER(SEARCH("Party Name-",'R.M Billets Reports'!D1562)),TRIM(MID('R.M Billets Reports'!D1562,SEARCH("-",'R.M Billets Reports'!D1562)+1,200)),"")),IF(ISNUMBER(SEARCH("Party Name:-",'R.M Billets Reports'!D1563)),TRIM('R.M Billets Reports'!F1563),IF(ISNUMBER(SEARCH("Party Name-",'R.M Billets Reports'!D1563)),TRIM(MID('R.M Billets Reports'!D1563,SEARCH("-",'R.M Billets Reports'!D1563)+1,200)),"")))))),IF(ROW()=2,"",A1562))</f>
      </c>
      <c r="B1563">
        <f>IF(OR('R.M Billets Reports'!A1562="Date-",'R.M Billets Reports'!A1562="Date:-"),'R.M Billets Reports'!B1562,IF(ROW()=2,"",B1562))</f>
      </c>
      <c r="C1563">
        <f>IF('R.M Billets Reports'!A1562="V.No.",'R.M Billets Reports'!B1562,IF(ROW()=2,"",C1562))</f>
      </c>
      <c r="D1563">
        <f>IF('R.M Billets Reports'!A1562&lt;&gt;"",'R.M Billets Reports'!A1562,IF(ROW()=2,"",D1562))</f>
      </c>
      <c r="E1563">
        <f>IF('R.M Billets Reports'!B1562="","",TRIM('R.M Billets Reports'!B1562))</f>
      </c>
      <c r="F1563">
        <f>'R.M Billets Reports'!C1562</f>
      </c>
      <c r="G1563">
        <f>'R.M Billets Reports'!D1562</f>
      </c>
      <c r="H1563">
        <f>'R.M Billets Reports'!E1562</f>
      </c>
      <c r="I1563">
        <f>'R.M Billets Reports'!F1562</f>
      </c>
      <c r="J1563">
        <f>'R.M Billets Reports'!G1562</f>
      </c>
      <c r="K1563">
        <f>'R.M Billets Reports'!H1562</f>
      </c>
      <c r="L1563">
        <f>IF('R.M Billets Reports'!I1562="","",'R.M Billets Reports'!I1562)</f>
      </c>
      <c r="M1563">
        <f t="shared" si="48"/>
      </c>
      <c r="N1563">
        <f>IF('R.M Billets Reports'!J1562="","",'R.M Billets Reports'!J1562)</f>
      </c>
      <c r="O1563">
        <f t="shared" si="49"/>
      </c>
      <c r="P1563">
        <f>IF('R.M Billets Reports'!A1562="SIZE",'R.M Billets Reports'!B1562,P1562)</f>
      </c>
    </row>
    <row r="1564" spans="1:16" x14ac:dyDescent="0.25">
      <c r="A1564">
        <f>IF(OR('R.M Billets Reports'!A1563="Date-",'R.M Billets Reports'!A1563="Date:-"),IF(IF(IF(ISNUMBER(SEARCH("Party Name:-",'R.M Billets Reports'!D1563)),TRIM('R.M Billets Reports'!F1563),IF(ISNUMBER(SEARCH("Party Name-",'R.M Billets Reports'!D1563)),TRIM(MID('R.M Billets Reports'!D1563,SEARCH("-",'R.M Billets Reports'!D1563)+1,200)),""))&lt;&gt;"",IF(ISNUMBER(SEARCH("Party Name:-",'R.M Billets Reports'!D1563)),TRIM('R.M Billets Reports'!F1563),IF(ISNUMBER(SEARCH("Party Name-",'R.M Billets Reports'!D1563)),TRIM(MID('R.M Billets Reports'!D1563,SEARCH("-",'R.M Billets Reports'!D1563)+1,200)),"")),IF(ISNUMBER(SEARCH("Party Name:-",'R.M Billets Reports'!D1564)),TRIM('R.M Billets Reports'!F1564),IF(ISNUMBER(SEARCH("Party Name-",'R.M Billets Reports'!D1564)),TRIM(MID('R.M Billets Reports'!D1564,SEARCH("-",'R.M Billets Reports'!D1564)+1,200)),"")))="VRKP ISPAT PVT LTD","VRKP",IF(IF(IF(ISNUMBER(SEARCH("Party Name:-",'R.M Billets Reports'!D1563)),TRIM('R.M Billets Reports'!F1563),IF(ISNUMBER(SEARCH("Party Name-",'R.M Billets Reports'!D1563)),TRIM(MID('R.M Billets Reports'!D1563,SEARCH("-",'R.M Billets Reports'!D1563)+1,200)),""))&lt;&gt;"",IF(ISNUMBER(SEARCH("Party Name:-",'R.M Billets Reports'!D1563)),TRIM('R.M Billets Reports'!F1563),IF(ISNUMBER(SEARCH("Party Name-",'R.M Billets Reports'!D1563)),TRIM(MID('R.M Billets Reports'!D1563,SEARCH("-",'R.M Billets Reports'!D1563)+1,200)),"")),IF(ISNUMBER(SEARCH("Party Name:-",'R.M Billets Reports'!D1564)),TRIM('R.M Billets Reports'!F1564),IF(ISNUMBER(SEARCH("Party Name-",'R.M Billets Reports'!D1564)),TRIM(MID('R.M Billets Reports'!D1564,SEARCH("-",'R.M Billets Reports'!D1564)+1,200)),"")))="SHRI RADHE","SHREE RADHE",IF(IF(IF(ISNUMBER(SEARCH("Party Name:-",'R.M Billets Reports'!D1563)),TRIM('R.M Billets Reports'!F1563),IF(ISNUMBER(SEARCH("Party Name-",'R.M Billets Reports'!D1563)),TRIM(MID('R.M Billets Reports'!D1563,SEARCH("-",'R.M Billets Reports'!D1563)+1,200)),""))&lt;&gt;"",IF(ISNUMBER(SEARCH("Party Name:-",'R.M Billets Reports'!D1563)),TRIM('R.M Billets Reports'!F1563),IF(ISNUMBER(SEARCH("Party Name-",'R.M Billets Reports'!D1563)),TRIM(MID('R.M Billets Reports'!D1563,SEARCH("-",'R.M Billets Reports'!D1563)+1,200)),"")),IF(ISNUMBER(SEARCH("Party Name:-",'R.M Billets Reports'!D1564)),TRIM('R.M Billets Reports'!F1564),IF(ISNUMBER(SEARCH("Party Name-",'R.M Billets Reports'!D1564)),TRIM(MID('R.M Billets Reports'!D1564,SEARCH("-",'R.M Billets Reports'!D1564)+1,200)),"")))="SHREE RADHE SHAKTI SPONGE AND POWER PVT. LTD.","SHREE RADHE",IF(IF(ISNUMBER(SEARCH("Party Name:-",'R.M Billets Reports'!D1563)),TRIM('R.M Billets Reports'!F1563),IF(ISNUMBER(SEARCH("Party Name-",'R.M Billets Reports'!D1563)),TRIM(MID('R.M Billets Reports'!D1563,SEARCH("-",'R.M Billets Reports'!D1563)+1,200)),""))&lt;&gt;"",IF(ISNUMBER(SEARCH("Party Name:-",'R.M Billets Reports'!D1563)),TRIM('R.M Billets Reports'!F1563),IF(ISNUMBER(SEARCH("Party Name-",'R.M Billets Reports'!D1563)),TRIM(MID('R.M Billets Reports'!D1563,SEARCH("-",'R.M Billets Reports'!D1563)+1,200)),"")),IF(ISNUMBER(SEARCH("Party Name:-",'R.M Billets Reports'!D1564)),TRIM('R.M Billets Reports'!F1564),IF(ISNUMBER(SEARCH("Party Name-",'R.M Billets Reports'!D1564)),TRIM(MID('R.M Billets Reports'!D1564,SEARCH("-",'R.M Billets Reports'!D1564)+1,200)),"")))))),IF(ROW()=2,"",A1563))</f>
      </c>
      <c r="B1564">
        <f>IF(OR('R.M Billets Reports'!A1563="Date-",'R.M Billets Reports'!A1563="Date:-"),'R.M Billets Reports'!B1563,IF(ROW()=2,"",B1563))</f>
      </c>
      <c r="C1564">
        <f>IF('R.M Billets Reports'!A1563="V.No.",'R.M Billets Reports'!B1563,IF(ROW()=2,"",C1563))</f>
      </c>
      <c r="D1564">
        <f>IF('R.M Billets Reports'!A1563&lt;&gt;"",'R.M Billets Reports'!A1563,IF(ROW()=2,"",D1563))</f>
      </c>
      <c r="E1564">
        <f>IF('R.M Billets Reports'!B1563="","",TRIM('R.M Billets Reports'!B1563))</f>
      </c>
      <c r="F1564">
        <f>'R.M Billets Reports'!C1563</f>
      </c>
      <c r="G1564">
        <f>'R.M Billets Reports'!D1563</f>
      </c>
      <c r="H1564">
        <f>'R.M Billets Reports'!E1563</f>
      </c>
      <c r="I1564">
        <f>'R.M Billets Reports'!F1563</f>
      </c>
      <c r="J1564">
        <f>'R.M Billets Reports'!G1563</f>
      </c>
      <c r="K1564">
        <f>'R.M Billets Reports'!H1563</f>
      </c>
      <c r="L1564">
        <f>IF('R.M Billets Reports'!I1563="","",'R.M Billets Reports'!I1563)</f>
      </c>
      <c r="M1564">
        <f t="shared" si="48"/>
      </c>
      <c r="N1564">
        <f>IF('R.M Billets Reports'!J1563="","",'R.M Billets Reports'!J1563)</f>
      </c>
      <c r="O1564">
        <f t="shared" si="49"/>
      </c>
      <c r="P1564">
        <f>IF('R.M Billets Reports'!A1563="SIZE",'R.M Billets Reports'!B1563,P1563)</f>
      </c>
    </row>
    <row r="1565" spans="1:16" x14ac:dyDescent="0.25">
      <c r="A1565">
        <f>IF(OR('R.M Billets Reports'!A1564="Date-",'R.M Billets Reports'!A1564="Date:-"),IF(IF(IF(ISNUMBER(SEARCH("Party Name:-",'R.M Billets Reports'!D1564)),TRIM('R.M Billets Reports'!F1564),IF(ISNUMBER(SEARCH("Party Name-",'R.M Billets Reports'!D1564)),TRIM(MID('R.M Billets Reports'!D1564,SEARCH("-",'R.M Billets Reports'!D1564)+1,200)),""))&lt;&gt;"",IF(ISNUMBER(SEARCH("Party Name:-",'R.M Billets Reports'!D1564)),TRIM('R.M Billets Reports'!F1564),IF(ISNUMBER(SEARCH("Party Name-",'R.M Billets Reports'!D1564)),TRIM(MID('R.M Billets Reports'!D1564,SEARCH("-",'R.M Billets Reports'!D1564)+1,200)),"")),IF(ISNUMBER(SEARCH("Party Name:-",'R.M Billets Reports'!D1565)),TRIM('R.M Billets Reports'!F1565),IF(ISNUMBER(SEARCH("Party Name-",'R.M Billets Reports'!D1565)),TRIM(MID('R.M Billets Reports'!D1565,SEARCH("-",'R.M Billets Reports'!D1565)+1,200)),"")))="VRKP ISPAT PVT LTD","VRKP",IF(IF(IF(ISNUMBER(SEARCH("Party Name:-",'R.M Billets Reports'!D1564)),TRIM('R.M Billets Reports'!F1564),IF(ISNUMBER(SEARCH("Party Name-",'R.M Billets Reports'!D1564)),TRIM(MID('R.M Billets Reports'!D1564,SEARCH("-",'R.M Billets Reports'!D1564)+1,200)),""))&lt;&gt;"",IF(ISNUMBER(SEARCH("Party Name:-",'R.M Billets Reports'!D1564)),TRIM('R.M Billets Reports'!F1564),IF(ISNUMBER(SEARCH("Party Name-",'R.M Billets Reports'!D1564)),TRIM(MID('R.M Billets Reports'!D1564,SEARCH("-",'R.M Billets Reports'!D1564)+1,200)),"")),IF(ISNUMBER(SEARCH("Party Name:-",'R.M Billets Reports'!D1565)),TRIM('R.M Billets Reports'!F1565),IF(ISNUMBER(SEARCH("Party Name-",'R.M Billets Reports'!D1565)),TRIM(MID('R.M Billets Reports'!D1565,SEARCH("-",'R.M Billets Reports'!D1565)+1,200)),"")))="SHRI RADHE","SHREE RADHE",IF(IF(IF(ISNUMBER(SEARCH("Party Name:-",'R.M Billets Reports'!D1564)),TRIM('R.M Billets Reports'!F1564),IF(ISNUMBER(SEARCH("Party Name-",'R.M Billets Reports'!D1564)),TRIM(MID('R.M Billets Reports'!D1564,SEARCH("-",'R.M Billets Reports'!D1564)+1,200)),""))&lt;&gt;"",IF(ISNUMBER(SEARCH("Party Name:-",'R.M Billets Reports'!D1564)),TRIM('R.M Billets Reports'!F1564),IF(ISNUMBER(SEARCH("Party Name-",'R.M Billets Reports'!D1564)),TRIM(MID('R.M Billets Reports'!D1564,SEARCH("-",'R.M Billets Reports'!D1564)+1,200)),"")),IF(ISNUMBER(SEARCH("Party Name:-",'R.M Billets Reports'!D1565)),TRIM('R.M Billets Reports'!F1565),IF(ISNUMBER(SEARCH("Party Name-",'R.M Billets Reports'!D1565)),TRIM(MID('R.M Billets Reports'!D1565,SEARCH("-",'R.M Billets Reports'!D1565)+1,200)),"")))="SHREE RADHE SHAKTI SPONGE AND POWER PVT. LTD.","SHREE RADHE",IF(IF(ISNUMBER(SEARCH("Party Name:-",'R.M Billets Reports'!D1564)),TRIM('R.M Billets Reports'!F1564),IF(ISNUMBER(SEARCH("Party Name-",'R.M Billets Reports'!D1564)),TRIM(MID('R.M Billets Reports'!D1564,SEARCH("-",'R.M Billets Reports'!D1564)+1,200)),""))&lt;&gt;"",IF(ISNUMBER(SEARCH("Party Name:-",'R.M Billets Reports'!D1564)),TRIM('R.M Billets Reports'!F1564),IF(ISNUMBER(SEARCH("Party Name-",'R.M Billets Reports'!D1564)),TRIM(MID('R.M Billets Reports'!D1564,SEARCH("-",'R.M Billets Reports'!D1564)+1,200)),"")),IF(ISNUMBER(SEARCH("Party Name:-",'R.M Billets Reports'!D1565)),TRIM('R.M Billets Reports'!F1565),IF(ISNUMBER(SEARCH("Party Name-",'R.M Billets Reports'!D1565)),TRIM(MID('R.M Billets Reports'!D1565,SEARCH("-",'R.M Billets Reports'!D1565)+1,200)),"")))))),IF(ROW()=2,"",A1564))</f>
      </c>
      <c r="B1565">
        <f>IF(OR('R.M Billets Reports'!A1564="Date-",'R.M Billets Reports'!A1564="Date:-"),'R.M Billets Reports'!B1564,IF(ROW()=2,"",B1564))</f>
      </c>
      <c r="C1565">
        <f>IF('R.M Billets Reports'!A1564="V.No.",'R.M Billets Reports'!B1564,IF(ROW()=2,"",C1564))</f>
      </c>
      <c r="D1565">
        <f>IF('R.M Billets Reports'!A1564&lt;&gt;"",'R.M Billets Reports'!A1564,IF(ROW()=2,"",D1564))</f>
      </c>
      <c r="E1565">
        <f>IF('R.M Billets Reports'!B1564="","",TRIM('R.M Billets Reports'!B1564))</f>
      </c>
      <c r="F1565">
        <f>'R.M Billets Reports'!C1564</f>
      </c>
      <c r="G1565">
        <f>'R.M Billets Reports'!D1564</f>
      </c>
      <c r="H1565">
        <f>'R.M Billets Reports'!E1564</f>
      </c>
      <c r="I1565">
        <f>'R.M Billets Reports'!F1564</f>
      </c>
      <c r="J1565">
        <f>'R.M Billets Reports'!G1564</f>
      </c>
      <c r="K1565">
        <f>'R.M Billets Reports'!H1564</f>
      </c>
      <c r="L1565">
        <f>IF('R.M Billets Reports'!I1564="","",'R.M Billets Reports'!I1564)</f>
      </c>
      <c r="M1565">
        <f t="shared" si="48"/>
      </c>
      <c r="N1565">
        <f>IF('R.M Billets Reports'!J1564="","",'R.M Billets Reports'!J1564)</f>
      </c>
      <c r="O1565">
        <f t="shared" si="49"/>
      </c>
      <c r="P1565">
        <f>IF('R.M Billets Reports'!A1564="SIZE",'R.M Billets Reports'!B1564,P1564)</f>
      </c>
    </row>
    <row r="1566" spans="1:16" x14ac:dyDescent="0.25">
      <c r="A1566">
        <f>IF(OR('R.M Billets Reports'!A1565="Date-",'R.M Billets Reports'!A1565="Date:-"),IF(IF(IF(ISNUMBER(SEARCH("Party Name:-",'R.M Billets Reports'!D1565)),TRIM('R.M Billets Reports'!F1565),IF(ISNUMBER(SEARCH("Party Name-",'R.M Billets Reports'!D1565)),TRIM(MID('R.M Billets Reports'!D1565,SEARCH("-",'R.M Billets Reports'!D1565)+1,200)),""))&lt;&gt;"",IF(ISNUMBER(SEARCH("Party Name:-",'R.M Billets Reports'!D1565)),TRIM('R.M Billets Reports'!F1565),IF(ISNUMBER(SEARCH("Party Name-",'R.M Billets Reports'!D1565)),TRIM(MID('R.M Billets Reports'!D1565,SEARCH("-",'R.M Billets Reports'!D1565)+1,200)),"")),IF(ISNUMBER(SEARCH("Party Name:-",'R.M Billets Reports'!D1566)),TRIM('R.M Billets Reports'!F1566),IF(ISNUMBER(SEARCH("Party Name-",'R.M Billets Reports'!D1566)),TRIM(MID('R.M Billets Reports'!D1566,SEARCH("-",'R.M Billets Reports'!D1566)+1,200)),"")))="VRKP ISPAT PVT LTD","VRKP",IF(IF(IF(ISNUMBER(SEARCH("Party Name:-",'R.M Billets Reports'!D1565)),TRIM('R.M Billets Reports'!F1565),IF(ISNUMBER(SEARCH("Party Name-",'R.M Billets Reports'!D1565)),TRIM(MID('R.M Billets Reports'!D1565,SEARCH("-",'R.M Billets Reports'!D1565)+1,200)),""))&lt;&gt;"",IF(ISNUMBER(SEARCH("Party Name:-",'R.M Billets Reports'!D1565)),TRIM('R.M Billets Reports'!F1565),IF(ISNUMBER(SEARCH("Party Name-",'R.M Billets Reports'!D1565)),TRIM(MID('R.M Billets Reports'!D1565,SEARCH("-",'R.M Billets Reports'!D1565)+1,200)),"")),IF(ISNUMBER(SEARCH("Party Name:-",'R.M Billets Reports'!D1566)),TRIM('R.M Billets Reports'!F1566),IF(ISNUMBER(SEARCH("Party Name-",'R.M Billets Reports'!D1566)),TRIM(MID('R.M Billets Reports'!D1566,SEARCH("-",'R.M Billets Reports'!D1566)+1,200)),"")))="SHRI RADHE","SHREE RADHE",IF(IF(IF(ISNUMBER(SEARCH("Party Name:-",'R.M Billets Reports'!D1565)),TRIM('R.M Billets Reports'!F1565),IF(ISNUMBER(SEARCH("Party Name-",'R.M Billets Reports'!D1565)),TRIM(MID('R.M Billets Reports'!D1565,SEARCH("-",'R.M Billets Reports'!D1565)+1,200)),""))&lt;&gt;"",IF(ISNUMBER(SEARCH("Party Name:-",'R.M Billets Reports'!D1565)),TRIM('R.M Billets Reports'!F1565),IF(ISNUMBER(SEARCH("Party Name-",'R.M Billets Reports'!D1565)),TRIM(MID('R.M Billets Reports'!D1565,SEARCH("-",'R.M Billets Reports'!D1565)+1,200)),"")),IF(ISNUMBER(SEARCH("Party Name:-",'R.M Billets Reports'!D1566)),TRIM('R.M Billets Reports'!F1566),IF(ISNUMBER(SEARCH("Party Name-",'R.M Billets Reports'!D1566)),TRIM(MID('R.M Billets Reports'!D1566,SEARCH("-",'R.M Billets Reports'!D1566)+1,200)),"")))="SHREE RADHE SHAKTI SPONGE AND POWER PVT. LTD.","SHREE RADHE",IF(IF(ISNUMBER(SEARCH("Party Name:-",'R.M Billets Reports'!D1565)),TRIM('R.M Billets Reports'!F1565),IF(ISNUMBER(SEARCH("Party Name-",'R.M Billets Reports'!D1565)),TRIM(MID('R.M Billets Reports'!D1565,SEARCH("-",'R.M Billets Reports'!D1565)+1,200)),""))&lt;&gt;"",IF(ISNUMBER(SEARCH("Party Name:-",'R.M Billets Reports'!D1565)),TRIM('R.M Billets Reports'!F1565),IF(ISNUMBER(SEARCH("Party Name-",'R.M Billets Reports'!D1565)),TRIM(MID('R.M Billets Reports'!D1565,SEARCH("-",'R.M Billets Reports'!D1565)+1,200)),"")),IF(ISNUMBER(SEARCH("Party Name:-",'R.M Billets Reports'!D1566)),TRIM('R.M Billets Reports'!F1566),IF(ISNUMBER(SEARCH("Party Name-",'R.M Billets Reports'!D1566)),TRIM(MID('R.M Billets Reports'!D1566,SEARCH("-",'R.M Billets Reports'!D1566)+1,200)),"")))))),IF(ROW()=2,"",A1565))</f>
      </c>
      <c r="B1566">
        <f>IF(OR('R.M Billets Reports'!A1565="Date-",'R.M Billets Reports'!A1565="Date:-"),'R.M Billets Reports'!B1565,IF(ROW()=2,"",B1565))</f>
      </c>
      <c r="C1566">
        <f>IF('R.M Billets Reports'!A1565="V.No.",'R.M Billets Reports'!B1565,IF(ROW()=2,"",C1565))</f>
      </c>
      <c r="D1566">
        <f>IF('R.M Billets Reports'!A1565&lt;&gt;"",'R.M Billets Reports'!A1565,IF(ROW()=2,"",D1565))</f>
      </c>
      <c r="E1566">
        <f>IF('R.M Billets Reports'!B1565="","",TRIM('R.M Billets Reports'!B1565))</f>
      </c>
      <c r="F1566">
        <f>'R.M Billets Reports'!C1565</f>
      </c>
      <c r="G1566">
        <f>'R.M Billets Reports'!D1565</f>
      </c>
      <c r="H1566">
        <f>'R.M Billets Reports'!E1565</f>
      </c>
      <c r="I1566">
        <f>'R.M Billets Reports'!F1565</f>
      </c>
      <c r="J1566">
        <f>'R.M Billets Reports'!G1565</f>
      </c>
      <c r="K1566">
        <f>'R.M Billets Reports'!H1565</f>
      </c>
      <c r="L1566">
        <f>IF('R.M Billets Reports'!I1565="","",'R.M Billets Reports'!I1565)</f>
      </c>
      <c r="M1566">
        <f t="shared" si="48"/>
      </c>
      <c r="N1566">
        <f>IF('R.M Billets Reports'!J1565="","",'R.M Billets Reports'!J1565)</f>
      </c>
      <c r="O1566">
        <f t="shared" si="49"/>
      </c>
      <c r="P1566">
        <f>IF('R.M Billets Reports'!A1565="SIZE",'R.M Billets Reports'!B1565,P1565)</f>
      </c>
    </row>
    <row r="1567" spans="1:16" x14ac:dyDescent="0.25">
      <c r="A1567">
        <f>IF(OR('R.M Billets Reports'!A1566="Date-",'R.M Billets Reports'!A1566="Date:-"),IF(IF(IF(ISNUMBER(SEARCH("Party Name:-",'R.M Billets Reports'!D1566)),TRIM('R.M Billets Reports'!F1566),IF(ISNUMBER(SEARCH("Party Name-",'R.M Billets Reports'!D1566)),TRIM(MID('R.M Billets Reports'!D1566,SEARCH("-",'R.M Billets Reports'!D1566)+1,200)),""))&lt;&gt;"",IF(ISNUMBER(SEARCH("Party Name:-",'R.M Billets Reports'!D1566)),TRIM('R.M Billets Reports'!F1566),IF(ISNUMBER(SEARCH("Party Name-",'R.M Billets Reports'!D1566)),TRIM(MID('R.M Billets Reports'!D1566,SEARCH("-",'R.M Billets Reports'!D1566)+1,200)),"")),IF(ISNUMBER(SEARCH("Party Name:-",'R.M Billets Reports'!D1567)),TRIM('R.M Billets Reports'!F1567),IF(ISNUMBER(SEARCH("Party Name-",'R.M Billets Reports'!D1567)),TRIM(MID('R.M Billets Reports'!D1567,SEARCH("-",'R.M Billets Reports'!D1567)+1,200)),"")))="VRKP ISPAT PVT LTD","VRKP",IF(IF(IF(ISNUMBER(SEARCH("Party Name:-",'R.M Billets Reports'!D1566)),TRIM('R.M Billets Reports'!F1566),IF(ISNUMBER(SEARCH("Party Name-",'R.M Billets Reports'!D1566)),TRIM(MID('R.M Billets Reports'!D1566,SEARCH("-",'R.M Billets Reports'!D1566)+1,200)),""))&lt;&gt;"",IF(ISNUMBER(SEARCH("Party Name:-",'R.M Billets Reports'!D1566)),TRIM('R.M Billets Reports'!F1566),IF(ISNUMBER(SEARCH("Party Name-",'R.M Billets Reports'!D1566)),TRIM(MID('R.M Billets Reports'!D1566,SEARCH("-",'R.M Billets Reports'!D1566)+1,200)),"")),IF(ISNUMBER(SEARCH("Party Name:-",'R.M Billets Reports'!D1567)),TRIM('R.M Billets Reports'!F1567),IF(ISNUMBER(SEARCH("Party Name-",'R.M Billets Reports'!D1567)),TRIM(MID('R.M Billets Reports'!D1567,SEARCH("-",'R.M Billets Reports'!D1567)+1,200)),"")))="SHRI RADHE","SHREE RADHE",IF(IF(IF(ISNUMBER(SEARCH("Party Name:-",'R.M Billets Reports'!D1566)),TRIM('R.M Billets Reports'!F1566),IF(ISNUMBER(SEARCH("Party Name-",'R.M Billets Reports'!D1566)),TRIM(MID('R.M Billets Reports'!D1566,SEARCH("-",'R.M Billets Reports'!D1566)+1,200)),""))&lt;&gt;"",IF(ISNUMBER(SEARCH("Party Name:-",'R.M Billets Reports'!D1566)),TRIM('R.M Billets Reports'!F1566),IF(ISNUMBER(SEARCH("Party Name-",'R.M Billets Reports'!D1566)),TRIM(MID('R.M Billets Reports'!D1566,SEARCH("-",'R.M Billets Reports'!D1566)+1,200)),"")),IF(ISNUMBER(SEARCH("Party Name:-",'R.M Billets Reports'!D1567)),TRIM('R.M Billets Reports'!F1567),IF(ISNUMBER(SEARCH("Party Name-",'R.M Billets Reports'!D1567)),TRIM(MID('R.M Billets Reports'!D1567,SEARCH("-",'R.M Billets Reports'!D1567)+1,200)),"")))="SHREE RADHE SHAKTI SPONGE AND POWER PVT. LTD.","SHREE RADHE",IF(IF(ISNUMBER(SEARCH("Party Name:-",'R.M Billets Reports'!D1566)),TRIM('R.M Billets Reports'!F1566),IF(ISNUMBER(SEARCH("Party Name-",'R.M Billets Reports'!D1566)),TRIM(MID('R.M Billets Reports'!D1566,SEARCH("-",'R.M Billets Reports'!D1566)+1,200)),""))&lt;&gt;"",IF(ISNUMBER(SEARCH("Party Name:-",'R.M Billets Reports'!D1566)),TRIM('R.M Billets Reports'!F1566),IF(ISNUMBER(SEARCH("Party Name-",'R.M Billets Reports'!D1566)),TRIM(MID('R.M Billets Reports'!D1566,SEARCH("-",'R.M Billets Reports'!D1566)+1,200)),"")),IF(ISNUMBER(SEARCH("Party Name:-",'R.M Billets Reports'!D1567)),TRIM('R.M Billets Reports'!F1567),IF(ISNUMBER(SEARCH("Party Name-",'R.M Billets Reports'!D1567)),TRIM(MID('R.M Billets Reports'!D1567,SEARCH("-",'R.M Billets Reports'!D1567)+1,200)),"")))))),IF(ROW()=2,"",A1566))</f>
      </c>
      <c r="B1567">
        <f>IF(OR('R.M Billets Reports'!A1566="Date-",'R.M Billets Reports'!A1566="Date:-"),'R.M Billets Reports'!B1566,IF(ROW()=2,"",B1566))</f>
      </c>
      <c r="C1567">
        <f>IF('R.M Billets Reports'!A1566="V.No.",'R.M Billets Reports'!B1566,IF(ROW()=2,"",C1566))</f>
      </c>
      <c r="D1567">
        <f>IF('R.M Billets Reports'!A1566&lt;&gt;"",'R.M Billets Reports'!A1566,IF(ROW()=2,"",D1566))</f>
      </c>
      <c r="E1567">
        <f>IF('R.M Billets Reports'!B1566="","",TRIM('R.M Billets Reports'!B1566))</f>
      </c>
      <c r="F1567">
        <f>'R.M Billets Reports'!C1566</f>
      </c>
      <c r="G1567">
        <f>'R.M Billets Reports'!D1566</f>
      </c>
      <c r="H1567">
        <f>'R.M Billets Reports'!E1566</f>
      </c>
      <c r="I1567">
        <f>'R.M Billets Reports'!F1566</f>
      </c>
      <c r="J1567">
        <f>'R.M Billets Reports'!G1566</f>
      </c>
      <c r="K1567">
        <f>'R.M Billets Reports'!H1566</f>
      </c>
      <c r="L1567">
        <f>IF('R.M Billets Reports'!I1566="","",'R.M Billets Reports'!I1566)</f>
      </c>
      <c r="M1567">
        <f t="shared" si="48"/>
      </c>
      <c r="N1567">
        <f>IF('R.M Billets Reports'!J1566="","",'R.M Billets Reports'!J1566)</f>
      </c>
      <c r="O1567">
        <f t="shared" si="49"/>
      </c>
      <c r="P1567">
        <f>IF('R.M Billets Reports'!A1566="SIZE",'R.M Billets Reports'!B1566,P1566)</f>
      </c>
    </row>
    <row r="1568" spans="1:16" x14ac:dyDescent="0.25">
      <c r="A1568">
        <f>IF(OR('R.M Billets Reports'!A1567="Date-",'R.M Billets Reports'!A1567="Date:-"),IF(IF(IF(ISNUMBER(SEARCH("Party Name:-",'R.M Billets Reports'!D1567)),TRIM('R.M Billets Reports'!F1567),IF(ISNUMBER(SEARCH("Party Name-",'R.M Billets Reports'!D1567)),TRIM(MID('R.M Billets Reports'!D1567,SEARCH("-",'R.M Billets Reports'!D1567)+1,200)),""))&lt;&gt;"",IF(ISNUMBER(SEARCH("Party Name:-",'R.M Billets Reports'!D1567)),TRIM('R.M Billets Reports'!F1567),IF(ISNUMBER(SEARCH("Party Name-",'R.M Billets Reports'!D1567)),TRIM(MID('R.M Billets Reports'!D1567,SEARCH("-",'R.M Billets Reports'!D1567)+1,200)),"")),IF(ISNUMBER(SEARCH("Party Name:-",'R.M Billets Reports'!D1568)),TRIM('R.M Billets Reports'!F1568),IF(ISNUMBER(SEARCH("Party Name-",'R.M Billets Reports'!D1568)),TRIM(MID('R.M Billets Reports'!D1568,SEARCH("-",'R.M Billets Reports'!D1568)+1,200)),"")))="VRKP ISPAT PVT LTD","VRKP",IF(IF(IF(ISNUMBER(SEARCH("Party Name:-",'R.M Billets Reports'!D1567)),TRIM('R.M Billets Reports'!F1567),IF(ISNUMBER(SEARCH("Party Name-",'R.M Billets Reports'!D1567)),TRIM(MID('R.M Billets Reports'!D1567,SEARCH("-",'R.M Billets Reports'!D1567)+1,200)),""))&lt;&gt;"",IF(ISNUMBER(SEARCH("Party Name:-",'R.M Billets Reports'!D1567)),TRIM('R.M Billets Reports'!F1567),IF(ISNUMBER(SEARCH("Party Name-",'R.M Billets Reports'!D1567)),TRIM(MID('R.M Billets Reports'!D1567,SEARCH("-",'R.M Billets Reports'!D1567)+1,200)),"")),IF(ISNUMBER(SEARCH("Party Name:-",'R.M Billets Reports'!D1568)),TRIM('R.M Billets Reports'!F1568),IF(ISNUMBER(SEARCH("Party Name-",'R.M Billets Reports'!D1568)),TRIM(MID('R.M Billets Reports'!D1568,SEARCH("-",'R.M Billets Reports'!D1568)+1,200)),"")))="SHRI RADHE","SHREE RADHE",IF(IF(IF(ISNUMBER(SEARCH("Party Name:-",'R.M Billets Reports'!D1567)),TRIM('R.M Billets Reports'!F1567),IF(ISNUMBER(SEARCH("Party Name-",'R.M Billets Reports'!D1567)),TRIM(MID('R.M Billets Reports'!D1567,SEARCH("-",'R.M Billets Reports'!D1567)+1,200)),""))&lt;&gt;"",IF(ISNUMBER(SEARCH("Party Name:-",'R.M Billets Reports'!D1567)),TRIM('R.M Billets Reports'!F1567),IF(ISNUMBER(SEARCH("Party Name-",'R.M Billets Reports'!D1567)),TRIM(MID('R.M Billets Reports'!D1567,SEARCH("-",'R.M Billets Reports'!D1567)+1,200)),"")),IF(ISNUMBER(SEARCH("Party Name:-",'R.M Billets Reports'!D1568)),TRIM('R.M Billets Reports'!F1568),IF(ISNUMBER(SEARCH("Party Name-",'R.M Billets Reports'!D1568)),TRIM(MID('R.M Billets Reports'!D1568,SEARCH("-",'R.M Billets Reports'!D1568)+1,200)),"")))="SHREE RADHE SHAKTI SPONGE AND POWER PVT. LTD.","SHREE RADHE",IF(IF(ISNUMBER(SEARCH("Party Name:-",'R.M Billets Reports'!D1567)),TRIM('R.M Billets Reports'!F1567),IF(ISNUMBER(SEARCH("Party Name-",'R.M Billets Reports'!D1567)),TRIM(MID('R.M Billets Reports'!D1567,SEARCH("-",'R.M Billets Reports'!D1567)+1,200)),""))&lt;&gt;"",IF(ISNUMBER(SEARCH("Party Name:-",'R.M Billets Reports'!D1567)),TRIM('R.M Billets Reports'!F1567),IF(ISNUMBER(SEARCH("Party Name-",'R.M Billets Reports'!D1567)),TRIM(MID('R.M Billets Reports'!D1567,SEARCH("-",'R.M Billets Reports'!D1567)+1,200)),"")),IF(ISNUMBER(SEARCH("Party Name:-",'R.M Billets Reports'!D1568)),TRIM('R.M Billets Reports'!F1568),IF(ISNUMBER(SEARCH("Party Name-",'R.M Billets Reports'!D1568)),TRIM(MID('R.M Billets Reports'!D1568,SEARCH("-",'R.M Billets Reports'!D1568)+1,200)),"")))))),IF(ROW()=2,"",A1567))</f>
      </c>
      <c r="B1568">
        <f>IF(OR('R.M Billets Reports'!A1567="Date-",'R.M Billets Reports'!A1567="Date:-"),'R.M Billets Reports'!B1567,IF(ROW()=2,"",B1567))</f>
      </c>
      <c r="C1568">
        <f>IF('R.M Billets Reports'!A1567="V.No.",'R.M Billets Reports'!B1567,IF(ROW()=2,"",C1567))</f>
      </c>
      <c r="D1568">
        <f>IF('R.M Billets Reports'!A1567&lt;&gt;"",'R.M Billets Reports'!A1567,IF(ROW()=2,"",D1567))</f>
      </c>
      <c r="E1568">
        <f>IF('R.M Billets Reports'!B1567="","",TRIM('R.M Billets Reports'!B1567))</f>
      </c>
      <c r="F1568">
        <f>'R.M Billets Reports'!C1567</f>
      </c>
      <c r="G1568">
        <f>'R.M Billets Reports'!D1567</f>
      </c>
      <c r="H1568">
        <f>'R.M Billets Reports'!E1567</f>
      </c>
      <c r="I1568">
        <f>'R.M Billets Reports'!F1567</f>
      </c>
      <c r="J1568">
        <f>'R.M Billets Reports'!G1567</f>
      </c>
      <c r="K1568">
        <f>'R.M Billets Reports'!H1567</f>
      </c>
      <c r="L1568">
        <f>IF('R.M Billets Reports'!I1567="","",'R.M Billets Reports'!I1567)</f>
      </c>
      <c r="M1568">
        <f t="shared" si="48"/>
      </c>
      <c r="N1568">
        <f>IF('R.M Billets Reports'!J1567="","",'R.M Billets Reports'!J1567)</f>
      </c>
      <c r="O1568">
        <f t="shared" si="49"/>
      </c>
      <c r="P1568">
        <f>IF('R.M Billets Reports'!A1567="SIZE",'R.M Billets Reports'!B1567,P1567)</f>
      </c>
    </row>
    <row r="1569" spans="1:16" x14ac:dyDescent="0.25">
      <c r="A1569">
        <f>IF(OR('R.M Billets Reports'!A1568="Date-",'R.M Billets Reports'!A1568="Date:-"),IF(IF(IF(ISNUMBER(SEARCH("Party Name:-",'R.M Billets Reports'!D1568)),TRIM('R.M Billets Reports'!F1568),IF(ISNUMBER(SEARCH("Party Name-",'R.M Billets Reports'!D1568)),TRIM(MID('R.M Billets Reports'!D1568,SEARCH("-",'R.M Billets Reports'!D1568)+1,200)),""))&lt;&gt;"",IF(ISNUMBER(SEARCH("Party Name:-",'R.M Billets Reports'!D1568)),TRIM('R.M Billets Reports'!F1568),IF(ISNUMBER(SEARCH("Party Name-",'R.M Billets Reports'!D1568)),TRIM(MID('R.M Billets Reports'!D1568,SEARCH("-",'R.M Billets Reports'!D1568)+1,200)),"")),IF(ISNUMBER(SEARCH("Party Name:-",'R.M Billets Reports'!D1569)),TRIM('R.M Billets Reports'!F1569),IF(ISNUMBER(SEARCH("Party Name-",'R.M Billets Reports'!D1569)),TRIM(MID('R.M Billets Reports'!D1569,SEARCH("-",'R.M Billets Reports'!D1569)+1,200)),"")))="VRKP ISPAT PVT LTD","VRKP",IF(IF(IF(ISNUMBER(SEARCH("Party Name:-",'R.M Billets Reports'!D1568)),TRIM('R.M Billets Reports'!F1568),IF(ISNUMBER(SEARCH("Party Name-",'R.M Billets Reports'!D1568)),TRIM(MID('R.M Billets Reports'!D1568,SEARCH("-",'R.M Billets Reports'!D1568)+1,200)),""))&lt;&gt;"",IF(ISNUMBER(SEARCH("Party Name:-",'R.M Billets Reports'!D1568)),TRIM('R.M Billets Reports'!F1568),IF(ISNUMBER(SEARCH("Party Name-",'R.M Billets Reports'!D1568)),TRIM(MID('R.M Billets Reports'!D1568,SEARCH("-",'R.M Billets Reports'!D1568)+1,200)),"")),IF(ISNUMBER(SEARCH("Party Name:-",'R.M Billets Reports'!D1569)),TRIM('R.M Billets Reports'!F1569),IF(ISNUMBER(SEARCH("Party Name-",'R.M Billets Reports'!D1569)),TRIM(MID('R.M Billets Reports'!D1569,SEARCH("-",'R.M Billets Reports'!D1569)+1,200)),"")))="SHRI RADHE","SHREE RADHE",IF(IF(IF(ISNUMBER(SEARCH("Party Name:-",'R.M Billets Reports'!D1568)),TRIM('R.M Billets Reports'!F1568),IF(ISNUMBER(SEARCH("Party Name-",'R.M Billets Reports'!D1568)),TRIM(MID('R.M Billets Reports'!D1568,SEARCH("-",'R.M Billets Reports'!D1568)+1,200)),""))&lt;&gt;"",IF(ISNUMBER(SEARCH("Party Name:-",'R.M Billets Reports'!D1568)),TRIM('R.M Billets Reports'!F1568),IF(ISNUMBER(SEARCH("Party Name-",'R.M Billets Reports'!D1568)),TRIM(MID('R.M Billets Reports'!D1568,SEARCH("-",'R.M Billets Reports'!D1568)+1,200)),"")),IF(ISNUMBER(SEARCH("Party Name:-",'R.M Billets Reports'!D1569)),TRIM('R.M Billets Reports'!F1569),IF(ISNUMBER(SEARCH("Party Name-",'R.M Billets Reports'!D1569)),TRIM(MID('R.M Billets Reports'!D1569,SEARCH("-",'R.M Billets Reports'!D1569)+1,200)),"")))="SHREE RADHE SHAKTI SPONGE AND POWER PVT. LTD.","SHREE RADHE",IF(IF(ISNUMBER(SEARCH("Party Name:-",'R.M Billets Reports'!D1568)),TRIM('R.M Billets Reports'!F1568),IF(ISNUMBER(SEARCH("Party Name-",'R.M Billets Reports'!D1568)),TRIM(MID('R.M Billets Reports'!D1568,SEARCH("-",'R.M Billets Reports'!D1568)+1,200)),""))&lt;&gt;"",IF(ISNUMBER(SEARCH("Party Name:-",'R.M Billets Reports'!D1568)),TRIM('R.M Billets Reports'!F1568),IF(ISNUMBER(SEARCH("Party Name-",'R.M Billets Reports'!D1568)),TRIM(MID('R.M Billets Reports'!D1568,SEARCH("-",'R.M Billets Reports'!D1568)+1,200)),"")),IF(ISNUMBER(SEARCH("Party Name:-",'R.M Billets Reports'!D1569)),TRIM('R.M Billets Reports'!F1569),IF(ISNUMBER(SEARCH("Party Name-",'R.M Billets Reports'!D1569)),TRIM(MID('R.M Billets Reports'!D1569,SEARCH("-",'R.M Billets Reports'!D1569)+1,200)),"")))))),IF(ROW()=2,"",A1568))</f>
      </c>
      <c r="B1569">
        <f>IF(OR('R.M Billets Reports'!A1568="Date-",'R.M Billets Reports'!A1568="Date:-"),'R.M Billets Reports'!B1568,IF(ROW()=2,"",B1568))</f>
      </c>
      <c r="C1569">
        <f>IF('R.M Billets Reports'!A1568="V.No.",'R.M Billets Reports'!B1568,IF(ROW()=2,"",C1568))</f>
      </c>
      <c r="D1569">
        <f>IF('R.M Billets Reports'!A1568&lt;&gt;"",'R.M Billets Reports'!A1568,IF(ROW()=2,"",D1568))</f>
      </c>
      <c r="E1569">
        <f>IF('R.M Billets Reports'!B1568="","",TRIM('R.M Billets Reports'!B1568))</f>
      </c>
      <c r="F1569">
        <f>'R.M Billets Reports'!C1568</f>
      </c>
      <c r="G1569">
        <f>'R.M Billets Reports'!D1568</f>
      </c>
      <c r="H1569">
        <f>'R.M Billets Reports'!E1568</f>
      </c>
      <c r="I1569">
        <f>'R.M Billets Reports'!F1568</f>
      </c>
      <c r="J1569">
        <f>'R.M Billets Reports'!G1568</f>
      </c>
      <c r="K1569">
        <f>'R.M Billets Reports'!H1568</f>
      </c>
      <c r="L1569">
        <f>IF('R.M Billets Reports'!I1568="","",'R.M Billets Reports'!I1568)</f>
      </c>
      <c r="M1569">
        <f t="shared" si="48"/>
      </c>
      <c r="N1569">
        <f>IF('R.M Billets Reports'!J1568="","",'R.M Billets Reports'!J1568)</f>
      </c>
      <c r="O1569">
        <f t="shared" si="49"/>
      </c>
      <c r="P1569">
        <f>IF('R.M Billets Reports'!A1568="SIZE",'R.M Billets Reports'!B1568,P1568)</f>
      </c>
    </row>
    <row r="1570" spans="1:16" x14ac:dyDescent="0.25">
      <c r="A1570">
        <f>IF(OR('R.M Billets Reports'!A1569="Date-",'R.M Billets Reports'!A1569="Date:-"),IF(IF(IF(ISNUMBER(SEARCH("Party Name:-",'R.M Billets Reports'!D1569)),TRIM('R.M Billets Reports'!F1569),IF(ISNUMBER(SEARCH("Party Name-",'R.M Billets Reports'!D1569)),TRIM(MID('R.M Billets Reports'!D1569,SEARCH("-",'R.M Billets Reports'!D1569)+1,200)),""))&lt;&gt;"",IF(ISNUMBER(SEARCH("Party Name:-",'R.M Billets Reports'!D1569)),TRIM('R.M Billets Reports'!F1569),IF(ISNUMBER(SEARCH("Party Name-",'R.M Billets Reports'!D1569)),TRIM(MID('R.M Billets Reports'!D1569,SEARCH("-",'R.M Billets Reports'!D1569)+1,200)),"")),IF(ISNUMBER(SEARCH("Party Name:-",'R.M Billets Reports'!D1570)),TRIM('R.M Billets Reports'!F1570),IF(ISNUMBER(SEARCH("Party Name-",'R.M Billets Reports'!D1570)),TRIM(MID('R.M Billets Reports'!D1570,SEARCH("-",'R.M Billets Reports'!D1570)+1,200)),"")))="VRKP ISPAT PVT LTD","VRKP",IF(IF(IF(ISNUMBER(SEARCH("Party Name:-",'R.M Billets Reports'!D1569)),TRIM('R.M Billets Reports'!F1569),IF(ISNUMBER(SEARCH("Party Name-",'R.M Billets Reports'!D1569)),TRIM(MID('R.M Billets Reports'!D1569,SEARCH("-",'R.M Billets Reports'!D1569)+1,200)),""))&lt;&gt;"",IF(ISNUMBER(SEARCH("Party Name:-",'R.M Billets Reports'!D1569)),TRIM('R.M Billets Reports'!F1569),IF(ISNUMBER(SEARCH("Party Name-",'R.M Billets Reports'!D1569)),TRIM(MID('R.M Billets Reports'!D1569,SEARCH("-",'R.M Billets Reports'!D1569)+1,200)),"")),IF(ISNUMBER(SEARCH("Party Name:-",'R.M Billets Reports'!D1570)),TRIM('R.M Billets Reports'!F1570),IF(ISNUMBER(SEARCH("Party Name-",'R.M Billets Reports'!D1570)),TRIM(MID('R.M Billets Reports'!D1570,SEARCH("-",'R.M Billets Reports'!D1570)+1,200)),"")))="SHRI RADHE","SHREE RADHE",IF(IF(IF(ISNUMBER(SEARCH("Party Name:-",'R.M Billets Reports'!D1569)),TRIM('R.M Billets Reports'!F1569),IF(ISNUMBER(SEARCH("Party Name-",'R.M Billets Reports'!D1569)),TRIM(MID('R.M Billets Reports'!D1569,SEARCH("-",'R.M Billets Reports'!D1569)+1,200)),""))&lt;&gt;"",IF(ISNUMBER(SEARCH("Party Name:-",'R.M Billets Reports'!D1569)),TRIM('R.M Billets Reports'!F1569),IF(ISNUMBER(SEARCH("Party Name-",'R.M Billets Reports'!D1569)),TRIM(MID('R.M Billets Reports'!D1569,SEARCH("-",'R.M Billets Reports'!D1569)+1,200)),"")),IF(ISNUMBER(SEARCH("Party Name:-",'R.M Billets Reports'!D1570)),TRIM('R.M Billets Reports'!F1570),IF(ISNUMBER(SEARCH("Party Name-",'R.M Billets Reports'!D1570)),TRIM(MID('R.M Billets Reports'!D1570,SEARCH("-",'R.M Billets Reports'!D1570)+1,200)),"")))="SHREE RADHE SHAKTI SPONGE AND POWER PVT. LTD.","SHREE RADHE",IF(IF(ISNUMBER(SEARCH("Party Name:-",'R.M Billets Reports'!D1569)),TRIM('R.M Billets Reports'!F1569),IF(ISNUMBER(SEARCH("Party Name-",'R.M Billets Reports'!D1569)),TRIM(MID('R.M Billets Reports'!D1569,SEARCH("-",'R.M Billets Reports'!D1569)+1,200)),""))&lt;&gt;"",IF(ISNUMBER(SEARCH("Party Name:-",'R.M Billets Reports'!D1569)),TRIM('R.M Billets Reports'!F1569),IF(ISNUMBER(SEARCH("Party Name-",'R.M Billets Reports'!D1569)),TRIM(MID('R.M Billets Reports'!D1569,SEARCH("-",'R.M Billets Reports'!D1569)+1,200)),"")),IF(ISNUMBER(SEARCH("Party Name:-",'R.M Billets Reports'!D1570)),TRIM('R.M Billets Reports'!F1570),IF(ISNUMBER(SEARCH("Party Name-",'R.M Billets Reports'!D1570)),TRIM(MID('R.M Billets Reports'!D1570,SEARCH("-",'R.M Billets Reports'!D1570)+1,200)),"")))))),IF(ROW()=2,"",A1569))</f>
      </c>
      <c r="B1570">
        <f>IF(OR('R.M Billets Reports'!A1569="Date-",'R.M Billets Reports'!A1569="Date:-"),'R.M Billets Reports'!B1569,IF(ROW()=2,"",B1569))</f>
      </c>
      <c r="C1570">
        <f>IF('R.M Billets Reports'!A1569="V.No.",'R.M Billets Reports'!B1569,IF(ROW()=2,"",C1569))</f>
      </c>
      <c r="D1570">
        <f>IF('R.M Billets Reports'!A1569&lt;&gt;"",'R.M Billets Reports'!A1569,IF(ROW()=2,"",D1569))</f>
      </c>
      <c r="E1570">
        <f>IF('R.M Billets Reports'!B1569="","",TRIM('R.M Billets Reports'!B1569))</f>
      </c>
      <c r="F1570">
        <f>'R.M Billets Reports'!C1569</f>
      </c>
      <c r="G1570">
        <f>'R.M Billets Reports'!D1569</f>
      </c>
      <c r="H1570">
        <f>'R.M Billets Reports'!E1569</f>
      </c>
      <c r="I1570">
        <f>'R.M Billets Reports'!F1569</f>
      </c>
      <c r="J1570">
        <f>'R.M Billets Reports'!G1569</f>
      </c>
      <c r="K1570">
        <f>'R.M Billets Reports'!H1569</f>
      </c>
      <c r="L1570">
        <f>IF('R.M Billets Reports'!I1569="","",'R.M Billets Reports'!I1569)</f>
      </c>
      <c r="M1570">
        <f t="shared" si="48"/>
      </c>
      <c r="N1570">
        <f>IF('R.M Billets Reports'!J1569="","",'R.M Billets Reports'!J1569)</f>
      </c>
      <c r="O1570">
        <f t="shared" si="49"/>
      </c>
      <c r="P1570">
        <f>IF('R.M Billets Reports'!A1569="SIZE",'R.M Billets Reports'!B1569,P1569)</f>
      </c>
    </row>
    <row r="1571" spans="1:16" x14ac:dyDescent="0.25">
      <c r="A1571">
        <f>IF(OR('R.M Billets Reports'!A1570="Date-",'R.M Billets Reports'!A1570="Date:-"),IF(IF(IF(ISNUMBER(SEARCH("Party Name:-",'R.M Billets Reports'!D1570)),TRIM('R.M Billets Reports'!F1570),IF(ISNUMBER(SEARCH("Party Name-",'R.M Billets Reports'!D1570)),TRIM(MID('R.M Billets Reports'!D1570,SEARCH("-",'R.M Billets Reports'!D1570)+1,200)),""))&lt;&gt;"",IF(ISNUMBER(SEARCH("Party Name:-",'R.M Billets Reports'!D1570)),TRIM('R.M Billets Reports'!F1570),IF(ISNUMBER(SEARCH("Party Name-",'R.M Billets Reports'!D1570)),TRIM(MID('R.M Billets Reports'!D1570,SEARCH("-",'R.M Billets Reports'!D1570)+1,200)),"")),IF(ISNUMBER(SEARCH("Party Name:-",'R.M Billets Reports'!D1571)),TRIM('R.M Billets Reports'!F1571),IF(ISNUMBER(SEARCH("Party Name-",'R.M Billets Reports'!D1571)),TRIM(MID('R.M Billets Reports'!D1571,SEARCH("-",'R.M Billets Reports'!D1571)+1,200)),"")))="VRKP ISPAT PVT LTD","VRKP",IF(IF(IF(ISNUMBER(SEARCH("Party Name:-",'R.M Billets Reports'!D1570)),TRIM('R.M Billets Reports'!F1570),IF(ISNUMBER(SEARCH("Party Name-",'R.M Billets Reports'!D1570)),TRIM(MID('R.M Billets Reports'!D1570,SEARCH("-",'R.M Billets Reports'!D1570)+1,200)),""))&lt;&gt;"",IF(ISNUMBER(SEARCH("Party Name:-",'R.M Billets Reports'!D1570)),TRIM('R.M Billets Reports'!F1570),IF(ISNUMBER(SEARCH("Party Name-",'R.M Billets Reports'!D1570)),TRIM(MID('R.M Billets Reports'!D1570,SEARCH("-",'R.M Billets Reports'!D1570)+1,200)),"")),IF(ISNUMBER(SEARCH("Party Name:-",'R.M Billets Reports'!D1571)),TRIM('R.M Billets Reports'!F1571),IF(ISNUMBER(SEARCH("Party Name-",'R.M Billets Reports'!D1571)),TRIM(MID('R.M Billets Reports'!D1571,SEARCH("-",'R.M Billets Reports'!D1571)+1,200)),"")))="SHRI RADHE","SHREE RADHE",IF(IF(IF(ISNUMBER(SEARCH("Party Name:-",'R.M Billets Reports'!D1570)),TRIM('R.M Billets Reports'!F1570),IF(ISNUMBER(SEARCH("Party Name-",'R.M Billets Reports'!D1570)),TRIM(MID('R.M Billets Reports'!D1570,SEARCH("-",'R.M Billets Reports'!D1570)+1,200)),""))&lt;&gt;"",IF(ISNUMBER(SEARCH("Party Name:-",'R.M Billets Reports'!D1570)),TRIM('R.M Billets Reports'!F1570),IF(ISNUMBER(SEARCH("Party Name-",'R.M Billets Reports'!D1570)),TRIM(MID('R.M Billets Reports'!D1570,SEARCH("-",'R.M Billets Reports'!D1570)+1,200)),"")),IF(ISNUMBER(SEARCH("Party Name:-",'R.M Billets Reports'!D1571)),TRIM('R.M Billets Reports'!F1571),IF(ISNUMBER(SEARCH("Party Name-",'R.M Billets Reports'!D1571)),TRIM(MID('R.M Billets Reports'!D1571,SEARCH("-",'R.M Billets Reports'!D1571)+1,200)),"")))="SHREE RADHE SHAKTI SPONGE AND POWER PVT. LTD.","SHREE RADHE",IF(IF(ISNUMBER(SEARCH("Party Name:-",'R.M Billets Reports'!D1570)),TRIM('R.M Billets Reports'!F1570),IF(ISNUMBER(SEARCH("Party Name-",'R.M Billets Reports'!D1570)),TRIM(MID('R.M Billets Reports'!D1570,SEARCH("-",'R.M Billets Reports'!D1570)+1,200)),""))&lt;&gt;"",IF(ISNUMBER(SEARCH("Party Name:-",'R.M Billets Reports'!D1570)),TRIM('R.M Billets Reports'!F1570),IF(ISNUMBER(SEARCH("Party Name-",'R.M Billets Reports'!D1570)),TRIM(MID('R.M Billets Reports'!D1570,SEARCH("-",'R.M Billets Reports'!D1570)+1,200)),"")),IF(ISNUMBER(SEARCH("Party Name:-",'R.M Billets Reports'!D1571)),TRIM('R.M Billets Reports'!F1571),IF(ISNUMBER(SEARCH("Party Name-",'R.M Billets Reports'!D1571)),TRIM(MID('R.M Billets Reports'!D1571,SEARCH("-",'R.M Billets Reports'!D1571)+1,200)),"")))))),IF(ROW()=2,"",A1570))</f>
      </c>
      <c r="B1571">
        <f>IF(OR('R.M Billets Reports'!A1570="Date-",'R.M Billets Reports'!A1570="Date:-"),'R.M Billets Reports'!B1570,IF(ROW()=2,"",B1570))</f>
      </c>
      <c r="C1571">
        <f>IF('R.M Billets Reports'!A1570="V.No.",'R.M Billets Reports'!B1570,IF(ROW()=2,"",C1570))</f>
      </c>
      <c r="D1571">
        <f>IF('R.M Billets Reports'!A1570&lt;&gt;"",'R.M Billets Reports'!A1570,IF(ROW()=2,"",D1570))</f>
      </c>
      <c r="E1571">
        <f>IF('R.M Billets Reports'!B1570="","",TRIM('R.M Billets Reports'!B1570))</f>
      </c>
      <c r="F1571">
        <f>'R.M Billets Reports'!C1570</f>
      </c>
      <c r="G1571">
        <f>'R.M Billets Reports'!D1570</f>
      </c>
      <c r="H1571">
        <f>'R.M Billets Reports'!E1570</f>
      </c>
      <c r="I1571">
        <f>'R.M Billets Reports'!F1570</f>
      </c>
      <c r="J1571">
        <f>'R.M Billets Reports'!G1570</f>
      </c>
      <c r="K1571">
        <f>'R.M Billets Reports'!H1570</f>
      </c>
      <c r="L1571">
        <f>IF('R.M Billets Reports'!I1570="","",'R.M Billets Reports'!I1570)</f>
      </c>
      <c r="M1571">
        <f t="shared" si="48"/>
      </c>
      <c r="N1571">
        <f>IF('R.M Billets Reports'!J1570="","",'R.M Billets Reports'!J1570)</f>
      </c>
      <c r="O1571">
        <f t="shared" si="49"/>
      </c>
      <c r="P1571">
        <f>IF('R.M Billets Reports'!A1570="SIZE",'R.M Billets Reports'!B1570,P1570)</f>
      </c>
    </row>
    <row r="1572" spans="1:16" x14ac:dyDescent="0.25">
      <c r="A1572">
        <f>IF(OR('R.M Billets Reports'!A1571="Date-",'R.M Billets Reports'!A1571="Date:-"),IF(IF(IF(ISNUMBER(SEARCH("Party Name:-",'R.M Billets Reports'!D1571)),TRIM('R.M Billets Reports'!F1571),IF(ISNUMBER(SEARCH("Party Name-",'R.M Billets Reports'!D1571)),TRIM(MID('R.M Billets Reports'!D1571,SEARCH("-",'R.M Billets Reports'!D1571)+1,200)),""))&lt;&gt;"",IF(ISNUMBER(SEARCH("Party Name:-",'R.M Billets Reports'!D1571)),TRIM('R.M Billets Reports'!F1571),IF(ISNUMBER(SEARCH("Party Name-",'R.M Billets Reports'!D1571)),TRIM(MID('R.M Billets Reports'!D1571,SEARCH("-",'R.M Billets Reports'!D1571)+1,200)),"")),IF(ISNUMBER(SEARCH("Party Name:-",'R.M Billets Reports'!D1572)),TRIM('R.M Billets Reports'!F1572),IF(ISNUMBER(SEARCH("Party Name-",'R.M Billets Reports'!D1572)),TRIM(MID('R.M Billets Reports'!D1572,SEARCH("-",'R.M Billets Reports'!D1572)+1,200)),"")))="VRKP ISPAT PVT LTD","VRKP",IF(IF(IF(ISNUMBER(SEARCH("Party Name:-",'R.M Billets Reports'!D1571)),TRIM('R.M Billets Reports'!F1571),IF(ISNUMBER(SEARCH("Party Name-",'R.M Billets Reports'!D1571)),TRIM(MID('R.M Billets Reports'!D1571,SEARCH("-",'R.M Billets Reports'!D1571)+1,200)),""))&lt;&gt;"",IF(ISNUMBER(SEARCH("Party Name:-",'R.M Billets Reports'!D1571)),TRIM('R.M Billets Reports'!F1571),IF(ISNUMBER(SEARCH("Party Name-",'R.M Billets Reports'!D1571)),TRIM(MID('R.M Billets Reports'!D1571,SEARCH("-",'R.M Billets Reports'!D1571)+1,200)),"")),IF(ISNUMBER(SEARCH("Party Name:-",'R.M Billets Reports'!D1572)),TRIM('R.M Billets Reports'!F1572),IF(ISNUMBER(SEARCH("Party Name-",'R.M Billets Reports'!D1572)),TRIM(MID('R.M Billets Reports'!D1572,SEARCH("-",'R.M Billets Reports'!D1572)+1,200)),"")))="SHRI RADHE","SHREE RADHE",IF(IF(IF(ISNUMBER(SEARCH("Party Name:-",'R.M Billets Reports'!D1571)),TRIM('R.M Billets Reports'!F1571),IF(ISNUMBER(SEARCH("Party Name-",'R.M Billets Reports'!D1571)),TRIM(MID('R.M Billets Reports'!D1571,SEARCH("-",'R.M Billets Reports'!D1571)+1,200)),""))&lt;&gt;"",IF(ISNUMBER(SEARCH("Party Name:-",'R.M Billets Reports'!D1571)),TRIM('R.M Billets Reports'!F1571),IF(ISNUMBER(SEARCH("Party Name-",'R.M Billets Reports'!D1571)),TRIM(MID('R.M Billets Reports'!D1571,SEARCH("-",'R.M Billets Reports'!D1571)+1,200)),"")),IF(ISNUMBER(SEARCH("Party Name:-",'R.M Billets Reports'!D1572)),TRIM('R.M Billets Reports'!F1572),IF(ISNUMBER(SEARCH("Party Name-",'R.M Billets Reports'!D1572)),TRIM(MID('R.M Billets Reports'!D1572,SEARCH("-",'R.M Billets Reports'!D1572)+1,200)),"")))="SHREE RADHE SHAKTI SPONGE AND POWER PVT. LTD.","SHREE RADHE",IF(IF(ISNUMBER(SEARCH("Party Name:-",'R.M Billets Reports'!D1571)),TRIM('R.M Billets Reports'!F1571),IF(ISNUMBER(SEARCH("Party Name-",'R.M Billets Reports'!D1571)),TRIM(MID('R.M Billets Reports'!D1571,SEARCH("-",'R.M Billets Reports'!D1571)+1,200)),""))&lt;&gt;"",IF(ISNUMBER(SEARCH("Party Name:-",'R.M Billets Reports'!D1571)),TRIM('R.M Billets Reports'!F1571),IF(ISNUMBER(SEARCH("Party Name-",'R.M Billets Reports'!D1571)),TRIM(MID('R.M Billets Reports'!D1571,SEARCH("-",'R.M Billets Reports'!D1571)+1,200)),"")),IF(ISNUMBER(SEARCH("Party Name:-",'R.M Billets Reports'!D1572)),TRIM('R.M Billets Reports'!F1572),IF(ISNUMBER(SEARCH("Party Name-",'R.M Billets Reports'!D1572)),TRIM(MID('R.M Billets Reports'!D1572,SEARCH("-",'R.M Billets Reports'!D1572)+1,200)),"")))))),IF(ROW()=2,"",A1571))</f>
      </c>
      <c r="B1572">
        <f>IF(OR('R.M Billets Reports'!A1571="Date-",'R.M Billets Reports'!A1571="Date:-"),'R.M Billets Reports'!B1571,IF(ROW()=2,"",B1571))</f>
      </c>
      <c r="C1572">
        <f>IF('R.M Billets Reports'!A1571="V.No.",'R.M Billets Reports'!B1571,IF(ROW()=2,"",C1571))</f>
      </c>
      <c r="D1572">
        <f>IF('R.M Billets Reports'!A1571&lt;&gt;"",'R.M Billets Reports'!A1571,IF(ROW()=2,"",D1571))</f>
      </c>
      <c r="E1572">
        <f>IF('R.M Billets Reports'!B1571="","",TRIM('R.M Billets Reports'!B1571))</f>
      </c>
      <c r="F1572">
        <f>'R.M Billets Reports'!C1571</f>
      </c>
      <c r="G1572">
        <f>'R.M Billets Reports'!D1571</f>
      </c>
      <c r="H1572">
        <f>'R.M Billets Reports'!E1571</f>
      </c>
      <c r="I1572">
        <f>'R.M Billets Reports'!F1571</f>
      </c>
      <c r="J1572">
        <f>'R.M Billets Reports'!G1571</f>
      </c>
      <c r="K1572">
        <f>'R.M Billets Reports'!H1571</f>
      </c>
      <c r="L1572">
        <f>IF('R.M Billets Reports'!I1571="","",'R.M Billets Reports'!I1571)</f>
      </c>
      <c r="M1572">
        <f t="shared" si="48"/>
      </c>
      <c r="N1572">
        <f>IF('R.M Billets Reports'!J1571="","",'R.M Billets Reports'!J1571)</f>
      </c>
      <c r="O1572">
        <f t="shared" si="49"/>
      </c>
      <c r="P1572">
        <f>IF('R.M Billets Reports'!A1571="SIZE",'R.M Billets Reports'!B1571,P1571)</f>
      </c>
    </row>
    <row r="1573" spans="1:16" x14ac:dyDescent="0.25">
      <c r="A1573">
        <f>IF(OR('R.M Billets Reports'!A1572="Date-",'R.M Billets Reports'!A1572="Date:-"),IF(IF(IF(ISNUMBER(SEARCH("Party Name:-",'R.M Billets Reports'!D1572)),TRIM('R.M Billets Reports'!F1572),IF(ISNUMBER(SEARCH("Party Name-",'R.M Billets Reports'!D1572)),TRIM(MID('R.M Billets Reports'!D1572,SEARCH("-",'R.M Billets Reports'!D1572)+1,200)),""))&lt;&gt;"",IF(ISNUMBER(SEARCH("Party Name:-",'R.M Billets Reports'!D1572)),TRIM('R.M Billets Reports'!F1572),IF(ISNUMBER(SEARCH("Party Name-",'R.M Billets Reports'!D1572)),TRIM(MID('R.M Billets Reports'!D1572,SEARCH("-",'R.M Billets Reports'!D1572)+1,200)),"")),IF(ISNUMBER(SEARCH("Party Name:-",'R.M Billets Reports'!D1573)),TRIM('R.M Billets Reports'!F1573),IF(ISNUMBER(SEARCH("Party Name-",'R.M Billets Reports'!D1573)),TRIM(MID('R.M Billets Reports'!D1573,SEARCH("-",'R.M Billets Reports'!D1573)+1,200)),"")))="VRKP ISPAT PVT LTD","VRKP",IF(IF(IF(ISNUMBER(SEARCH("Party Name:-",'R.M Billets Reports'!D1572)),TRIM('R.M Billets Reports'!F1572),IF(ISNUMBER(SEARCH("Party Name-",'R.M Billets Reports'!D1572)),TRIM(MID('R.M Billets Reports'!D1572,SEARCH("-",'R.M Billets Reports'!D1572)+1,200)),""))&lt;&gt;"",IF(ISNUMBER(SEARCH("Party Name:-",'R.M Billets Reports'!D1572)),TRIM('R.M Billets Reports'!F1572),IF(ISNUMBER(SEARCH("Party Name-",'R.M Billets Reports'!D1572)),TRIM(MID('R.M Billets Reports'!D1572,SEARCH("-",'R.M Billets Reports'!D1572)+1,200)),"")),IF(ISNUMBER(SEARCH("Party Name:-",'R.M Billets Reports'!D1573)),TRIM('R.M Billets Reports'!F1573),IF(ISNUMBER(SEARCH("Party Name-",'R.M Billets Reports'!D1573)),TRIM(MID('R.M Billets Reports'!D1573,SEARCH("-",'R.M Billets Reports'!D1573)+1,200)),"")))="SHRI RADHE","SHREE RADHE",IF(IF(IF(ISNUMBER(SEARCH("Party Name:-",'R.M Billets Reports'!D1572)),TRIM('R.M Billets Reports'!F1572),IF(ISNUMBER(SEARCH("Party Name-",'R.M Billets Reports'!D1572)),TRIM(MID('R.M Billets Reports'!D1572,SEARCH("-",'R.M Billets Reports'!D1572)+1,200)),""))&lt;&gt;"",IF(ISNUMBER(SEARCH("Party Name:-",'R.M Billets Reports'!D1572)),TRIM('R.M Billets Reports'!F1572),IF(ISNUMBER(SEARCH("Party Name-",'R.M Billets Reports'!D1572)),TRIM(MID('R.M Billets Reports'!D1572,SEARCH("-",'R.M Billets Reports'!D1572)+1,200)),"")),IF(ISNUMBER(SEARCH("Party Name:-",'R.M Billets Reports'!D1573)),TRIM('R.M Billets Reports'!F1573),IF(ISNUMBER(SEARCH("Party Name-",'R.M Billets Reports'!D1573)),TRIM(MID('R.M Billets Reports'!D1573,SEARCH("-",'R.M Billets Reports'!D1573)+1,200)),"")))="SHREE RADHE SHAKTI SPONGE AND POWER PVT. LTD.","SHREE RADHE",IF(IF(ISNUMBER(SEARCH("Party Name:-",'R.M Billets Reports'!D1572)),TRIM('R.M Billets Reports'!F1572),IF(ISNUMBER(SEARCH("Party Name-",'R.M Billets Reports'!D1572)),TRIM(MID('R.M Billets Reports'!D1572,SEARCH("-",'R.M Billets Reports'!D1572)+1,200)),""))&lt;&gt;"",IF(ISNUMBER(SEARCH("Party Name:-",'R.M Billets Reports'!D1572)),TRIM('R.M Billets Reports'!F1572),IF(ISNUMBER(SEARCH("Party Name-",'R.M Billets Reports'!D1572)),TRIM(MID('R.M Billets Reports'!D1572,SEARCH("-",'R.M Billets Reports'!D1572)+1,200)),"")),IF(ISNUMBER(SEARCH("Party Name:-",'R.M Billets Reports'!D1573)),TRIM('R.M Billets Reports'!F1573),IF(ISNUMBER(SEARCH("Party Name-",'R.M Billets Reports'!D1573)),TRIM(MID('R.M Billets Reports'!D1573,SEARCH("-",'R.M Billets Reports'!D1573)+1,200)),"")))))),IF(ROW()=2,"",A1572))</f>
      </c>
      <c r="B1573">
        <f>IF(OR('R.M Billets Reports'!A1572="Date-",'R.M Billets Reports'!A1572="Date:-"),'R.M Billets Reports'!B1572,IF(ROW()=2,"",B1572))</f>
      </c>
      <c r="C1573">
        <f>IF('R.M Billets Reports'!A1572="V.No.",'R.M Billets Reports'!B1572,IF(ROW()=2,"",C1572))</f>
      </c>
      <c r="D1573">
        <f>IF('R.M Billets Reports'!A1572&lt;&gt;"",'R.M Billets Reports'!A1572,IF(ROW()=2,"",D1572))</f>
      </c>
      <c r="E1573">
        <f>IF('R.M Billets Reports'!B1572="","",TRIM('R.M Billets Reports'!B1572))</f>
      </c>
      <c r="F1573">
        <f>'R.M Billets Reports'!C1572</f>
      </c>
      <c r="G1573">
        <f>'R.M Billets Reports'!D1572</f>
      </c>
      <c r="H1573">
        <f>'R.M Billets Reports'!E1572</f>
      </c>
      <c r="I1573">
        <f>'R.M Billets Reports'!F1572</f>
      </c>
      <c r="J1573">
        <f>'R.M Billets Reports'!G1572</f>
      </c>
      <c r="K1573">
        <f>'R.M Billets Reports'!H1572</f>
      </c>
      <c r="L1573">
        <f>IF('R.M Billets Reports'!I1572="","",'R.M Billets Reports'!I1572)</f>
      </c>
      <c r="M1573">
        <f t="shared" si="48"/>
      </c>
      <c r="N1573">
        <f>IF('R.M Billets Reports'!J1572="","",'R.M Billets Reports'!J1572)</f>
      </c>
      <c r="O1573">
        <f t="shared" si="49"/>
      </c>
      <c r="P1573">
        <f>IF('R.M Billets Reports'!A1572="SIZE",'R.M Billets Reports'!B1572,P1572)</f>
      </c>
    </row>
    <row r="1574" spans="1:16" x14ac:dyDescent="0.25">
      <c r="A1574">
        <f>IF(OR('R.M Billets Reports'!A1573="Date-",'R.M Billets Reports'!A1573="Date:-"),IF(IF(IF(ISNUMBER(SEARCH("Party Name:-",'R.M Billets Reports'!D1573)),TRIM('R.M Billets Reports'!F1573),IF(ISNUMBER(SEARCH("Party Name-",'R.M Billets Reports'!D1573)),TRIM(MID('R.M Billets Reports'!D1573,SEARCH("-",'R.M Billets Reports'!D1573)+1,200)),""))&lt;&gt;"",IF(ISNUMBER(SEARCH("Party Name:-",'R.M Billets Reports'!D1573)),TRIM('R.M Billets Reports'!F1573),IF(ISNUMBER(SEARCH("Party Name-",'R.M Billets Reports'!D1573)),TRIM(MID('R.M Billets Reports'!D1573,SEARCH("-",'R.M Billets Reports'!D1573)+1,200)),"")),IF(ISNUMBER(SEARCH("Party Name:-",'R.M Billets Reports'!D1574)),TRIM('R.M Billets Reports'!F1574),IF(ISNUMBER(SEARCH("Party Name-",'R.M Billets Reports'!D1574)),TRIM(MID('R.M Billets Reports'!D1574,SEARCH("-",'R.M Billets Reports'!D1574)+1,200)),"")))="VRKP ISPAT PVT LTD","VRKP",IF(IF(IF(ISNUMBER(SEARCH("Party Name:-",'R.M Billets Reports'!D1573)),TRIM('R.M Billets Reports'!F1573),IF(ISNUMBER(SEARCH("Party Name-",'R.M Billets Reports'!D1573)),TRIM(MID('R.M Billets Reports'!D1573,SEARCH("-",'R.M Billets Reports'!D1573)+1,200)),""))&lt;&gt;"",IF(ISNUMBER(SEARCH("Party Name:-",'R.M Billets Reports'!D1573)),TRIM('R.M Billets Reports'!F1573),IF(ISNUMBER(SEARCH("Party Name-",'R.M Billets Reports'!D1573)),TRIM(MID('R.M Billets Reports'!D1573,SEARCH("-",'R.M Billets Reports'!D1573)+1,200)),"")),IF(ISNUMBER(SEARCH("Party Name:-",'R.M Billets Reports'!D1574)),TRIM('R.M Billets Reports'!F1574),IF(ISNUMBER(SEARCH("Party Name-",'R.M Billets Reports'!D1574)),TRIM(MID('R.M Billets Reports'!D1574,SEARCH("-",'R.M Billets Reports'!D1574)+1,200)),"")))="SHRI RADHE","SHREE RADHE",IF(IF(IF(ISNUMBER(SEARCH("Party Name:-",'R.M Billets Reports'!D1573)),TRIM('R.M Billets Reports'!F1573),IF(ISNUMBER(SEARCH("Party Name-",'R.M Billets Reports'!D1573)),TRIM(MID('R.M Billets Reports'!D1573,SEARCH("-",'R.M Billets Reports'!D1573)+1,200)),""))&lt;&gt;"",IF(ISNUMBER(SEARCH("Party Name:-",'R.M Billets Reports'!D1573)),TRIM('R.M Billets Reports'!F1573),IF(ISNUMBER(SEARCH("Party Name-",'R.M Billets Reports'!D1573)),TRIM(MID('R.M Billets Reports'!D1573,SEARCH("-",'R.M Billets Reports'!D1573)+1,200)),"")),IF(ISNUMBER(SEARCH("Party Name:-",'R.M Billets Reports'!D1574)),TRIM('R.M Billets Reports'!F1574),IF(ISNUMBER(SEARCH("Party Name-",'R.M Billets Reports'!D1574)),TRIM(MID('R.M Billets Reports'!D1574,SEARCH("-",'R.M Billets Reports'!D1574)+1,200)),"")))="SHREE RADHE SHAKTI SPONGE AND POWER PVT. LTD.","SHREE RADHE",IF(IF(ISNUMBER(SEARCH("Party Name:-",'R.M Billets Reports'!D1573)),TRIM('R.M Billets Reports'!F1573),IF(ISNUMBER(SEARCH("Party Name-",'R.M Billets Reports'!D1573)),TRIM(MID('R.M Billets Reports'!D1573,SEARCH("-",'R.M Billets Reports'!D1573)+1,200)),""))&lt;&gt;"",IF(ISNUMBER(SEARCH("Party Name:-",'R.M Billets Reports'!D1573)),TRIM('R.M Billets Reports'!F1573),IF(ISNUMBER(SEARCH("Party Name-",'R.M Billets Reports'!D1573)),TRIM(MID('R.M Billets Reports'!D1573,SEARCH("-",'R.M Billets Reports'!D1573)+1,200)),"")),IF(ISNUMBER(SEARCH("Party Name:-",'R.M Billets Reports'!D1574)),TRIM('R.M Billets Reports'!F1574),IF(ISNUMBER(SEARCH("Party Name-",'R.M Billets Reports'!D1574)),TRIM(MID('R.M Billets Reports'!D1574,SEARCH("-",'R.M Billets Reports'!D1574)+1,200)),"")))))),IF(ROW()=2,"",A1573))</f>
      </c>
      <c r="B1574">
        <f>IF(OR('R.M Billets Reports'!A1573="Date-",'R.M Billets Reports'!A1573="Date:-"),'R.M Billets Reports'!B1573,IF(ROW()=2,"",B1573))</f>
      </c>
      <c r="C1574">
        <f>IF('R.M Billets Reports'!A1573="V.No.",'R.M Billets Reports'!B1573,IF(ROW()=2,"",C1573))</f>
      </c>
      <c r="D1574">
        <f>IF('R.M Billets Reports'!A1573&lt;&gt;"",'R.M Billets Reports'!A1573,IF(ROW()=2,"",D1573))</f>
      </c>
      <c r="E1574">
        <f>IF('R.M Billets Reports'!B1573="","",TRIM('R.M Billets Reports'!B1573))</f>
      </c>
      <c r="F1574">
        <f>'R.M Billets Reports'!C1573</f>
      </c>
      <c r="G1574">
        <f>'R.M Billets Reports'!D1573</f>
      </c>
      <c r="H1574">
        <f>'R.M Billets Reports'!E1573</f>
      </c>
      <c r="I1574">
        <f>'R.M Billets Reports'!F1573</f>
      </c>
      <c r="J1574">
        <f>'R.M Billets Reports'!G1573</f>
      </c>
      <c r="K1574">
        <f>'R.M Billets Reports'!H1573</f>
      </c>
      <c r="L1574">
        <f>IF('R.M Billets Reports'!I1573="","",'R.M Billets Reports'!I1573)</f>
      </c>
      <c r="M1574">
        <f t="shared" si="48"/>
      </c>
      <c r="N1574">
        <f>IF('R.M Billets Reports'!J1573="","",'R.M Billets Reports'!J1573)</f>
      </c>
      <c r="O1574">
        <f t="shared" si="49"/>
      </c>
      <c r="P1574">
        <f>IF('R.M Billets Reports'!A1573="SIZE",'R.M Billets Reports'!B1573,P1573)</f>
      </c>
    </row>
    <row r="1575" spans="1:16" x14ac:dyDescent="0.25">
      <c r="A1575">
        <f>IF(OR('R.M Billets Reports'!A1574="Date-",'R.M Billets Reports'!A1574="Date:-"),IF(IF(IF(ISNUMBER(SEARCH("Party Name:-",'R.M Billets Reports'!D1574)),TRIM('R.M Billets Reports'!F1574),IF(ISNUMBER(SEARCH("Party Name-",'R.M Billets Reports'!D1574)),TRIM(MID('R.M Billets Reports'!D1574,SEARCH("-",'R.M Billets Reports'!D1574)+1,200)),""))&lt;&gt;"",IF(ISNUMBER(SEARCH("Party Name:-",'R.M Billets Reports'!D1574)),TRIM('R.M Billets Reports'!F1574),IF(ISNUMBER(SEARCH("Party Name-",'R.M Billets Reports'!D1574)),TRIM(MID('R.M Billets Reports'!D1574,SEARCH("-",'R.M Billets Reports'!D1574)+1,200)),"")),IF(ISNUMBER(SEARCH("Party Name:-",'R.M Billets Reports'!D1575)),TRIM('R.M Billets Reports'!F1575),IF(ISNUMBER(SEARCH("Party Name-",'R.M Billets Reports'!D1575)),TRIM(MID('R.M Billets Reports'!D1575,SEARCH("-",'R.M Billets Reports'!D1575)+1,200)),"")))="VRKP ISPAT PVT LTD","VRKP",IF(IF(IF(ISNUMBER(SEARCH("Party Name:-",'R.M Billets Reports'!D1574)),TRIM('R.M Billets Reports'!F1574),IF(ISNUMBER(SEARCH("Party Name-",'R.M Billets Reports'!D1574)),TRIM(MID('R.M Billets Reports'!D1574,SEARCH("-",'R.M Billets Reports'!D1574)+1,200)),""))&lt;&gt;"",IF(ISNUMBER(SEARCH("Party Name:-",'R.M Billets Reports'!D1574)),TRIM('R.M Billets Reports'!F1574),IF(ISNUMBER(SEARCH("Party Name-",'R.M Billets Reports'!D1574)),TRIM(MID('R.M Billets Reports'!D1574,SEARCH("-",'R.M Billets Reports'!D1574)+1,200)),"")),IF(ISNUMBER(SEARCH("Party Name:-",'R.M Billets Reports'!D1575)),TRIM('R.M Billets Reports'!F1575),IF(ISNUMBER(SEARCH("Party Name-",'R.M Billets Reports'!D1575)),TRIM(MID('R.M Billets Reports'!D1575,SEARCH("-",'R.M Billets Reports'!D1575)+1,200)),"")))="SHRI RADHE","SHREE RADHE",IF(IF(IF(ISNUMBER(SEARCH("Party Name:-",'R.M Billets Reports'!D1574)),TRIM('R.M Billets Reports'!F1574),IF(ISNUMBER(SEARCH("Party Name-",'R.M Billets Reports'!D1574)),TRIM(MID('R.M Billets Reports'!D1574,SEARCH("-",'R.M Billets Reports'!D1574)+1,200)),""))&lt;&gt;"",IF(ISNUMBER(SEARCH("Party Name:-",'R.M Billets Reports'!D1574)),TRIM('R.M Billets Reports'!F1574),IF(ISNUMBER(SEARCH("Party Name-",'R.M Billets Reports'!D1574)),TRIM(MID('R.M Billets Reports'!D1574,SEARCH("-",'R.M Billets Reports'!D1574)+1,200)),"")),IF(ISNUMBER(SEARCH("Party Name:-",'R.M Billets Reports'!D1575)),TRIM('R.M Billets Reports'!F1575),IF(ISNUMBER(SEARCH("Party Name-",'R.M Billets Reports'!D1575)),TRIM(MID('R.M Billets Reports'!D1575,SEARCH("-",'R.M Billets Reports'!D1575)+1,200)),"")))="SHREE RADHE SHAKTI SPONGE AND POWER PVT. LTD.","SHREE RADHE",IF(IF(ISNUMBER(SEARCH("Party Name:-",'R.M Billets Reports'!D1574)),TRIM('R.M Billets Reports'!F1574),IF(ISNUMBER(SEARCH("Party Name-",'R.M Billets Reports'!D1574)),TRIM(MID('R.M Billets Reports'!D1574,SEARCH("-",'R.M Billets Reports'!D1574)+1,200)),""))&lt;&gt;"",IF(ISNUMBER(SEARCH("Party Name:-",'R.M Billets Reports'!D1574)),TRIM('R.M Billets Reports'!F1574),IF(ISNUMBER(SEARCH("Party Name-",'R.M Billets Reports'!D1574)),TRIM(MID('R.M Billets Reports'!D1574,SEARCH("-",'R.M Billets Reports'!D1574)+1,200)),"")),IF(ISNUMBER(SEARCH("Party Name:-",'R.M Billets Reports'!D1575)),TRIM('R.M Billets Reports'!F1575),IF(ISNUMBER(SEARCH("Party Name-",'R.M Billets Reports'!D1575)),TRIM(MID('R.M Billets Reports'!D1575,SEARCH("-",'R.M Billets Reports'!D1575)+1,200)),"")))))),IF(ROW()=2,"",A1574))</f>
      </c>
      <c r="B1575">
        <f>IF(OR('R.M Billets Reports'!A1574="Date-",'R.M Billets Reports'!A1574="Date:-"),'R.M Billets Reports'!B1574,IF(ROW()=2,"",B1574))</f>
      </c>
      <c r="C1575">
        <f>IF('R.M Billets Reports'!A1574="V.No.",'R.M Billets Reports'!B1574,IF(ROW()=2,"",C1574))</f>
      </c>
      <c r="D1575">
        <f>IF('R.M Billets Reports'!A1574&lt;&gt;"",'R.M Billets Reports'!A1574,IF(ROW()=2,"",D1574))</f>
      </c>
      <c r="E1575">
        <f>IF('R.M Billets Reports'!B1574="","",TRIM('R.M Billets Reports'!B1574))</f>
      </c>
      <c r="F1575">
        <f>'R.M Billets Reports'!C1574</f>
      </c>
      <c r="G1575">
        <f>'R.M Billets Reports'!D1574</f>
      </c>
      <c r="H1575">
        <f>'R.M Billets Reports'!E1574</f>
      </c>
      <c r="I1575">
        <f>'R.M Billets Reports'!F1574</f>
      </c>
      <c r="J1575">
        <f>'R.M Billets Reports'!G1574</f>
      </c>
      <c r="K1575">
        <f>'R.M Billets Reports'!H1574</f>
      </c>
      <c r="L1575">
        <f>IF('R.M Billets Reports'!I1574="","",'R.M Billets Reports'!I1574)</f>
      </c>
      <c r="M1575">
        <f t="shared" si="48"/>
      </c>
      <c r="N1575">
        <f>IF('R.M Billets Reports'!J1574="","",'R.M Billets Reports'!J1574)</f>
      </c>
      <c r="O1575">
        <f t="shared" si="49"/>
      </c>
      <c r="P1575">
        <f>IF('R.M Billets Reports'!A1574="SIZE",'R.M Billets Reports'!B1574,P1574)</f>
      </c>
    </row>
    <row r="1576" spans="1:16" x14ac:dyDescent="0.25">
      <c r="A1576">
        <f>IF(OR('R.M Billets Reports'!A1575="Date-",'R.M Billets Reports'!A1575="Date:-"),IF(IF(IF(ISNUMBER(SEARCH("Party Name:-",'R.M Billets Reports'!D1575)),TRIM('R.M Billets Reports'!F1575),IF(ISNUMBER(SEARCH("Party Name-",'R.M Billets Reports'!D1575)),TRIM(MID('R.M Billets Reports'!D1575,SEARCH("-",'R.M Billets Reports'!D1575)+1,200)),""))&lt;&gt;"",IF(ISNUMBER(SEARCH("Party Name:-",'R.M Billets Reports'!D1575)),TRIM('R.M Billets Reports'!F1575),IF(ISNUMBER(SEARCH("Party Name-",'R.M Billets Reports'!D1575)),TRIM(MID('R.M Billets Reports'!D1575,SEARCH("-",'R.M Billets Reports'!D1575)+1,200)),"")),IF(ISNUMBER(SEARCH("Party Name:-",'R.M Billets Reports'!D1576)),TRIM('R.M Billets Reports'!F1576),IF(ISNUMBER(SEARCH("Party Name-",'R.M Billets Reports'!D1576)),TRIM(MID('R.M Billets Reports'!D1576,SEARCH("-",'R.M Billets Reports'!D1576)+1,200)),"")))="VRKP ISPAT PVT LTD","VRKP",IF(IF(IF(ISNUMBER(SEARCH("Party Name:-",'R.M Billets Reports'!D1575)),TRIM('R.M Billets Reports'!F1575),IF(ISNUMBER(SEARCH("Party Name-",'R.M Billets Reports'!D1575)),TRIM(MID('R.M Billets Reports'!D1575,SEARCH("-",'R.M Billets Reports'!D1575)+1,200)),""))&lt;&gt;"",IF(ISNUMBER(SEARCH("Party Name:-",'R.M Billets Reports'!D1575)),TRIM('R.M Billets Reports'!F1575),IF(ISNUMBER(SEARCH("Party Name-",'R.M Billets Reports'!D1575)),TRIM(MID('R.M Billets Reports'!D1575,SEARCH("-",'R.M Billets Reports'!D1575)+1,200)),"")),IF(ISNUMBER(SEARCH("Party Name:-",'R.M Billets Reports'!D1576)),TRIM('R.M Billets Reports'!F1576),IF(ISNUMBER(SEARCH("Party Name-",'R.M Billets Reports'!D1576)),TRIM(MID('R.M Billets Reports'!D1576,SEARCH("-",'R.M Billets Reports'!D1576)+1,200)),"")))="SHRI RADHE","SHREE RADHE",IF(IF(IF(ISNUMBER(SEARCH("Party Name:-",'R.M Billets Reports'!D1575)),TRIM('R.M Billets Reports'!F1575),IF(ISNUMBER(SEARCH("Party Name-",'R.M Billets Reports'!D1575)),TRIM(MID('R.M Billets Reports'!D1575,SEARCH("-",'R.M Billets Reports'!D1575)+1,200)),""))&lt;&gt;"",IF(ISNUMBER(SEARCH("Party Name:-",'R.M Billets Reports'!D1575)),TRIM('R.M Billets Reports'!F1575),IF(ISNUMBER(SEARCH("Party Name-",'R.M Billets Reports'!D1575)),TRIM(MID('R.M Billets Reports'!D1575,SEARCH("-",'R.M Billets Reports'!D1575)+1,200)),"")),IF(ISNUMBER(SEARCH("Party Name:-",'R.M Billets Reports'!D1576)),TRIM('R.M Billets Reports'!F1576),IF(ISNUMBER(SEARCH("Party Name-",'R.M Billets Reports'!D1576)),TRIM(MID('R.M Billets Reports'!D1576,SEARCH("-",'R.M Billets Reports'!D1576)+1,200)),"")))="SHREE RADHE SHAKTI SPONGE AND POWER PVT. LTD.","SHREE RADHE",IF(IF(ISNUMBER(SEARCH("Party Name:-",'R.M Billets Reports'!D1575)),TRIM('R.M Billets Reports'!F1575),IF(ISNUMBER(SEARCH("Party Name-",'R.M Billets Reports'!D1575)),TRIM(MID('R.M Billets Reports'!D1575,SEARCH("-",'R.M Billets Reports'!D1575)+1,200)),""))&lt;&gt;"",IF(ISNUMBER(SEARCH("Party Name:-",'R.M Billets Reports'!D1575)),TRIM('R.M Billets Reports'!F1575),IF(ISNUMBER(SEARCH("Party Name-",'R.M Billets Reports'!D1575)),TRIM(MID('R.M Billets Reports'!D1575,SEARCH("-",'R.M Billets Reports'!D1575)+1,200)),"")),IF(ISNUMBER(SEARCH("Party Name:-",'R.M Billets Reports'!D1576)),TRIM('R.M Billets Reports'!F1576),IF(ISNUMBER(SEARCH("Party Name-",'R.M Billets Reports'!D1576)),TRIM(MID('R.M Billets Reports'!D1576,SEARCH("-",'R.M Billets Reports'!D1576)+1,200)),"")))))),IF(ROW()=2,"",A1575))</f>
      </c>
      <c r="B1576">
        <f>IF(OR('R.M Billets Reports'!A1575="Date-",'R.M Billets Reports'!A1575="Date:-"),'R.M Billets Reports'!B1575,IF(ROW()=2,"",B1575))</f>
      </c>
      <c r="C1576">
        <f>IF('R.M Billets Reports'!A1575="V.No.",'R.M Billets Reports'!B1575,IF(ROW()=2,"",C1575))</f>
      </c>
      <c r="D1576">
        <f>IF('R.M Billets Reports'!A1575&lt;&gt;"",'R.M Billets Reports'!A1575,IF(ROW()=2,"",D1575))</f>
      </c>
      <c r="E1576">
        <f>IF('R.M Billets Reports'!B1575="","",TRIM('R.M Billets Reports'!B1575))</f>
      </c>
      <c r="F1576">
        <f>'R.M Billets Reports'!C1575</f>
      </c>
      <c r="G1576">
        <f>'R.M Billets Reports'!D1575</f>
      </c>
      <c r="H1576">
        <f>'R.M Billets Reports'!E1575</f>
      </c>
      <c r="I1576">
        <f>'R.M Billets Reports'!F1575</f>
      </c>
      <c r="J1576">
        <f>'R.M Billets Reports'!G1575</f>
      </c>
      <c r="K1576">
        <f>'R.M Billets Reports'!H1575</f>
      </c>
      <c r="L1576">
        <f>IF('R.M Billets Reports'!I1575="","",'R.M Billets Reports'!I1575)</f>
      </c>
      <c r="M1576">
        <f t="shared" si="48"/>
      </c>
      <c r="N1576">
        <f>IF('R.M Billets Reports'!J1575="","",'R.M Billets Reports'!J1575)</f>
      </c>
      <c r="O1576">
        <f t="shared" si="49"/>
      </c>
      <c r="P1576">
        <f>IF('R.M Billets Reports'!A1575="SIZE",'R.M Billets Reports'!B1575,P1575)</f>
      </c>
    </row>
    <row r="1577" spans="1:16" x14ac:dyDescent="0.25">
      <c r="A1577">
        <f>IF(OR('R.M Billets Reports'!A1576="Date-",'R.M Billets Reports'!A1576="Date:-"),IF(IF(IF(ISNUMBER(SEARCH("Party Name:-",'R.M Billets Reports'!D1576)),TRIM('R.M Billets Reports'!F1576),IF(ISNUMBER(SEARCH("Party Name-",'R.M Billets Reports'!D1576)),TRIM(MID('R.M Billets Reports'!D1576,SEARCH("-",'R.M Billets Reports'!D1576)+1,200)),""))&lt;&gt;"",IF(ISNUMBER(SEARCH("Party Name:-",'R.M Billets Reports'!D1576)),TRIM('R.M Billets Reports'!F1576),IF(ISNUMBER(SEARCH("Party Name-",'R.M Billets Reports'!D1576)),TRIM(MID('R.M Billets Reports'!D1576,SEARCH("-",'R.M Billets Reports'!D1576)+1,200)),"")),IF(ISNUMBER(SEARCH("Party Name:-",'R.M Billets Reports'!D1577)),TRIM('R.M Billets Reports'!F1577),IF(ISNUMBER(SEARCH("Party Name-",'R.M Billets Reports'!D1577)),TRIM(MID('R.M Billets Reports'!D1577,SEARCH("-",'R.M Billets Reports'!D1577)+1,200)),"")))="VRKP ISPAT PVT LTD","VRKP",IF(IF(IF(ISNUMBER(SEARCH("Party Name:-",'R.M Billets Reports'!D1576)),TRIM('R.M Billets Reports'!F1576),IF(ISNUMBER(SEARCH("Party Name-",'R.M Billets Reports'!D1576)),TRIM(MID('R.M Billets Reports'!D1576,SEARCH("-",'R.M Billets Reports'!D1576)+1,200)),""))&lt;&gt;"",IF(ISNUMBER(SEARCH("Party Name:-",'R.M Billets Reports'!D1576)),TRIM('R.M Billets Reports'!F1576),IF(ISNUMBER(SEARCH("Party Name-",'R.M Billets Reports'!D1576)),TRIM(MID('R.M Billets Reports'!D1576,SEARCH("-",'R.M Billets Reports'!D1576)+1,200)),"")),IF(ISNUMBER(SEARCH("Party Name:-",'R.M Billets Reports'!D1577)),TRIM('R.M Billets Reports'!F1577),IF(ISNUMBER(SEARCH("Party Name-",'R.M Billets Reports'!D1577)),TRIM(MID('R.M Billets Reports'!D1577,SEARCH("-",'R.M Billets Reports'!D1577)+1,200)),"")))="SHRI RADHE","SHREE RADHE",IF(IF(IF(ISNUMBER(SEARCH("Party Name:-",'R.M Billets Reports'!D1576)),TRIM('R.M Billets Reports'!F1576),IF(ISNUMBER(SEARCH("Party Name-",'R.M Billets Reports'!D1576)),TRIM(MID('R.M Billets Reports'!D1576,SEARCH("-",'R.M Billets Reports'!D1576)+1,200)),""))&lt;&gt;"",IF(ISNUMBER(SEARCH("Party Name:-",'R.M Billets Reports'!D1576)),TRIM('R.M Billets Reports'!F1576),IF(ISNUMBER(SEARCH("Party Name-",'R.M Billets Reports'!D1576)),TRIM(MID('R.M Billets Reports'!D1576,SEARCH("-",'R.M Billets Reports'!D1576)+1,200)),"")),IF(ISNUMBER(SEARCH("Party Name:-",'R.M Billets Reports'!D1577)),TRIM('R.M Billets Reports'!F1577),IF(ISNUMBER(SEARCH("Party Name-",'R.M Billets Reports'!D1577)),TRIM(MID('R.M Billets Reports'!D1577,SEARCH("-",'R.M Billets Reports'!D1577)+1,200)),"")))="SHREE RADHE SHAKTI SPONGE AND POWER PVT. LTD.","SHREE RADHE",IF(IF(ISNUMBER(SEARCH("Party Name:-",'R.M Billets Reports'!D1576)),TRIM('R.M Billets Reports'!F1576),IF(ISNUMBER(SEARCH("Party Name-",'R.M Billets Reports'!D1576)),TRIM(MID('R.M Billets Reports'!D1576,SEARCH("-",'R.M Billets Reports'!D1576)+1,200)),""))&lt;&gt;"",IF(ISNUMBER(SEARCH("Party Name:-",'R.M Billets Reports'!D1576)),TRIM('R.M Billets Reports'!F1576),IF(ISNUMBER(SEARCH("Party Name-",'R.M Billets Reports'!D1576)),TRIM(MID('R.M Billets Reports'!D1576,SEARCH("-",'R.M Billets Reports'!D1576)+1,200)),"")),IF(ISNUMBER(SEARCH("Party Name:-",'R.M Billets Reports'!D1577)),TRIM('R.M Billets Reports'!F1577),IF(ISNUMBER(SEARCH("Party Name-",'R.M Billets Reports'!D1577)),TRIM(MID('R.M Billets Reports'!D1577,SEARCH("-",'R.M Billets Reports'!D1577)+1,200)),"")))))),IF(ROW()=2,"",A1576))</f>
      </c>
      <c r="B1577">
        <f>IF(OR('R.M Billets Reports'!A1576="Date-",'R.M Billets Reports'!A1576="Date:-"),'R.M Billets Reports'!B1576,IF(ROW()=2,"",B1576))</f>
      </c>
      <c r="C1577">
        <f>IF('R.M Billets Reports'!A1576="V.No.",'R.M Billets Reports'!B1576,IF(ROW()=2,"",C1576))</f>
      </c>
      <c r="D1577">
        <f>IF('R.M Billets Reports'!A1576&lt;&gt;"",'R.M Billets Reports'!A1576,IF(ROW()=2,"",D1576))</f>
      </c>
      <c r="E1577">
        <f>IF('R.M Billets Reports'!B1576="","",TRIM('R.M Billets Reports'!B1576))</f>
      </c>
      <c r="F1577">
        <f>'R.M Billets Reports'!C1576</f>
      </c>
      <c r="G1577">
        <f>'R.M Billets Reports'!D1576</f>
      </c>
      <c r="H1577">
        <f>'R.M Billets Reports'!E1576</f>
      </c>
      <c r="I1577">
        <f>'R.M Billets Reports'!F1576</f>
      </c>
      <c r="J1577">
        <f>'R.M Billets Reports'!G1576</f>
      </c>
      <c r="K1577">
        <f>'R.M Billets Reports'!H1576</f>
      </c>
      <c r="L1577">
        <f>IF('R.M Billets Reports'!I1576="","",'R.M Billets Reports'!I1576)</f>
      </c>
      <c r="M1577">
        <f t="shared" si="48"/>
      </c>
      <c r="N1577">
        <f>IF('R.M Billets Reports'!J1576="","",'R.M Billets Reports'!J1576)</f>
      </c>
      <c r="O1577">
        <f t="shared" si="49"/>
      </c>
      <c r="P1577">
        <f>IF('R.M Billets Reports'!A1576="SIZE",'R.M Billets Reports'!B1576,P1576)</f>
      </c>
    </row>
    <row r="1578" spans="1:16" x14ac:dyDescent="0.25">
      <c r="A1578">
        <f>IF(OR('R.M Billets Reports'!A1577="Date-",'R.M Billets Reports'!A1577="Date:-"),IF(IF(IF(ISNUMBER(SEARCH("Party Name:-",'R.M Billets Reports'!D1577)),TRIM('R.M Billets Reports'!F1577),IF(ISNUMBER(SEARCH("Party Name-",'R.M Billets Reports'!D1577)),TRIM(MID('R.M Billets Reports'!D1577,SEARCH("-",'R.M Billets Reports'!D1577)+1,200)),""))&lt;&gt;"",IF(ISNUMBER(SEARCH("Party Name:-",'R.M Billets Reports'!D1577)),TRIM('R.M Billets Reports'!F1577),IF(ISNUMBER(SEARCH("Party Name-",'R.M Billets Reports'!D1577)),TRIM(MID('R.M Billets Reports'!D1577,SEARCH("-",'R.M Billets Reports'!D1577)+1,200)),"")),IF(ISNUMBER(SEARCH("Party Name:-",'R.M Billets Reports'!D1578)),TRIM('R.M Billets Reports'!F1578),IF(ISNUMBER(SEARCH("Party Name-",'R.M Billets Reports'!D1578)),TRIM(MID('R.M Billets Reports'!D1578,SEARCH("-",'R.M Billets Reports'!D1578)+1,200)),"")))="VRKP ISPAT PVT LTD","VRKP",IF(IF(IF(ISNUMBER(SEARCH("Party Name:-",'R.M Billets Reports'!D1577)),TRIM('R.M Billets Reports'!F1577),IF(ISNUMBER(SEARCH("Party Name-",'R.M Billets Reports'!D1577)),TRIM(MID('R.M Billets Reports'!D1577,SEARCH("-",'R.M Billets Reports'!D1577)+1,200)),""))&lt;&gt;"",IF(ISNUMBER(SEARCH("Party Name:-",'R.M Billets Reports'!D1577)),TRIM('R.M Billets Reports'!F1577),IF(ISNUMBER(SEARCH("Party Name-",'R.M Billets Reports'!D1577)),TRIM(MID('R.M Billets Reports'!D1577,SEARCH("-",'R.M Billets Reports'!D1577)+1,200)),"")),IF(ISNUMBER(SEARCH("Party Name:-",'R.M Billets Reports'!D1578)),TRIM('R.M Billets Reports'!F1578),IF(ISNUMBER(SEARCH("Party Name-",'R.M Billets Reports'!D1578)),TRIM(MID('R.M Billets Reports'!D1578,SEARCH("-",'R.M Billets Reports'!D1578)+1,200)),"")))="SHRI RADHE","SHREE RADHE",IF(IF(IF(ISNUMBER(SEARCH("Party Name:-",'R.M Billets Reports'!D1577)),TRIM('R.M Billets Reports'!F1577),IF(ISNUMBER(SEARCH("Party Name-",'R.M Billets Reports'!D1577)),TRIM(MID('R.M Billets Reports'!D1577,SEARCH("-",'R.M Billets Reports'!D1577)+1,200)),""))&lt;&gt;"",IF(ISNUMBER(SEARCH("Party Name:-",'R.M Billets Reports'!D1577)),TRIM('R.M Billets Reports'!F1577),IF(ISNUMBER(SEARCH("Party Name-",'R.M Billets Reports'!D1577)),TRIM(MID('R.M Billets Reports'!D1577,SEARCH("-",'R.M Billets Reports'!D1577)+1,200)),"")),IF(ISNUMBER(SEARCH("Party Name:-",'R.M Billets Reports'!D1578)),TRIM('R.M Billets Reports'!F1578),IF(ISNUMBER(SEARCH("Party Name-",'R.M Billets Reports'!D1578)),TRIM(MID('R.M Billets Reports'!D1578,SEARCH("-",'R.M Billets Reports'!D1578)+1,200)),"")))="SHREE RADHE SHAKTI SPONGE AND POWER PVT. LTD.","SHREE RADHE",IF(IF(ISNUMBER(SEARCH("Party Name:-",'R.M Billets Reports'!D1577)),TRIM('R.M Billets Reports'!F1577),IF(ISNUMBER(SEARCH("Party Name-",'R.M Billets Reports'!D1577)),TRIM(MID('R.M Billets Reports'!D1577,SEARCH("-",'R.M Billets Reports'!D1577)+1,200)),""))&lt;&gt;"",IF(ISNUMBER(SEARCH("Party Name:-",'R.M Billets Reports'!D1577)),TRIM('R.M Billets Reports'!F1577),IF(ISNUMBER(SEARCH("Party Name-",'R.M Billets Reports'!D1577)),TRIM(MID('R.M Billets Reports'!D1577,SEARCH("-",'R.M Billets Reports'!D1577)+1,200)),"")),IF(ISNUMBER(SEARCH("Party Name:-",'R.M Billets Reports'!D1578)),TRIM('R.M Billets Reports'!F1578),IF(ISNUMBER(SEARCH("Party Name-",'R.M Billets Reports'!D1578)),TRIM(MID('R.M Billets Reports'!D1578,SEARCH("-",'R.M Billets Reports'!D1578)+1,200)),"")))))),IF(ROW()=2,"",A1577))</f>
      </c>
      <c r="B1578">
        <f>IF(OR('R.M Billets Reports'!A1577="Date-",'R.M Billets Reports'!A1577="Date:-"),'R.M Billets Reports'!B1577,IF(ROW()=2,"",B1577))</f>
      </c>
      <c r="C1578">
        <f>IF('R.M Billets Reports'!A1577="V.No.",'R.M Billets Reports'!B1577,IF(ROW()=2,"",C1577))</f>
      </c>
      <c r="D1578">
        <f>IF('R.M Billets Reports'!A1577&lt;&gt;"",'R.M Billets Reports'!A1577,IF(ROW()=2,"",D1577))</f>
      </c>
      <c r="E1578">
        <f>IF('R.M Billets Reports'!B1577="","",TRIM('R.M Billets Reports'!B1577))</f>
      </c>
      <c r="F1578">
        <f>'R.M Billets Reports'!C1577</f>
      </c>
      <c r="G1578">
        <f>'R.M Billets Reports'!D1577</f>
      </c>
      <c r="H1578">
        <f>'R.M Billets Reports'!E1577</f>
      </c>
      <c r="I1578">
        <f>'R.M Billets Reports'!F1577</f>
      </c>
      <c r="J1578">
        <f>'R.M Billets Reports'!G1577</f>
      </c>
      <c r="K1578">
        <f>'R.M Billets Reports'!H1577</f>
      </c>
      <c r="L1578">
        <f>IF('R.M Billets Reports'!I1577="","",'R.M Billets Reports'!I1577)</f>
      </c>
      <c r="M1578">
        <f t="shared" si="48"/>
      </c>
      <c r="N1578">
        <f>IF('R.M Billets Reports'!J1577="","",'R.M Billets Reports'!J1577)</f>
      </c>
      <c r="O1578">
        <f t="shared" si="49"/>
      </c>
      <c r="P1578">
        <f>IF('R.M Billets Reports'!A1577="SIZE",'R.M Billets Reports'!B1577,P1577)</f>
      </c>
    </row>
    <row r="1579" spans="1:16" x14ac:dyDescent="0.25">
      <c r="A1579">
        <f>IF(OR('R.M Billets Reports'!A1578="Date-",'R.M Billets Reports'!A1578="Date:-"),IF(IF(IF(ISNUMBER(SEARCH("Party Name:-",'R.M Billets Reports'!D1578)),TRIM('R.M Billets Reports'!F1578),IF(ISNUMBER(SEARCH("Party Name-",'R.M Billets Reports'!D1578)),TRIM(MID('R.M Billets Reports'!D1578,SEARCH("-",'R.M Billets Reports'!D1578)+1,200)),""))&lt;&gt;"",IF(ISNUMBER(SEARCH("Party Name:-",'R.M Billets Reports'!D1578)),TRIM('R.M Billets Reports'!F1578),IF(ISNUMBER(SEARCH("Party Name-",'R.M Billets Reports'!D1578)),TRIM(MID('R.M Billets Reports'!D1578,SEARCH("-",'R.M Billets Reports'!D1578)+1,200)),"")),IF(ISNUMBER(SEARCH("Party Name:-",'R.M Billets Reports'!D1579)),TRIM('R.M Billets Reports'!F1579),IF(ISNUMBER(SEARCH("Party Name-",'R.M Billets Reports'!D1579)),TRIM(MID('R.M Billets Reports'!D1579,SEARCH("-",'R.M Billets Reports'!D1579)+1,200)),"")))="VRKP ISPAT PVT LTD","VRKP",IF(IF(IF(ISNUMBER(SEARCH("Party Name:-",'R.M Billets Reports'!D1578)),TRIM('R.M Billets Reports'!F1578),IF(ISNUMBER(SEARCH("Party Name-",'R.M Billets Reports'!D1578)),TRIM(MID('R.M Billets Reports'!D1578,SEARCH("-",'R.M Billets Reports'!D1578)+1,200)),""))&lt;&gt;"",IF(ISNUMBER(SEARCH("Party Name:-",'R.M Billets Reports'!D1578)),TRIM('R.M Billets Reports'!F1578),IF(ISNUMBER(SEARCH("Party Name-",'R.M Billets Reports'!D1578)),TRIM(MID('R.M Billets Reports'!D1578,SEARCH("-",'R.M Billets Reports'!D1578)+1,200)),"")),IF(ISNUMBER(SEARCH("Party Name:-",'R.M Billets Reports'!D1579)),TRIM('R.M Billets Reports'!F1579),IF(ISNUMBER(SEARCH("Party Name-",'R.M Billets Reports'!D1579)),TRIM(MID('R.M Billets Reports'!D1579,SEARCH("-",'R.M Billets Reports'!D1579)+1,200)),"")))="SHRI RADHE","SHREE RADHE",IF(IF(IF(ISNUMBER(SEARCH("Party Name:-",'R.M Billets Reports'!D1578)),TRIM('R.M Billets Reports'!F1578),IF(ISNUMBER(SEARCH("Party Name-",'R.M Billets Reports'!D1578)),TRIM(MID('R.M Billets Reports'!D1578,SEARCH("-",'R.M Billets Reports'!D1578)+1,200)),""))&lt;&gt;"",IF(ISNUMBER(SEARCH("Party Name:-",'R.M Billets Reports'!D1578)),TRIM('R.M Billets Reports'!F1578),IF(ISNUMBER(SEARCH("Party Name-",'R.M Billets Reports'!D1578)),TRIM(MID('R.M Billets Reports'!D1578,SEARCH("-",'R.M Billets Reports'!D1578)+1,200)),"")),IF(ISNUMBER(SEARCH("Party Name:-",'R.M Billets Reports'!D1579)),TRIM('R.M Billets Reports'!F1579),IF(ISNUMBER(SEARCH("Party Name-",'R.M Billets Reports'!D1579)),TRIM(MID('R.M Billets Reports'!D1579,SEARCH("-",'R.M Billets Reports'!D1579)+1,200)),"")))="SHREE RADHE SHAKTI SPONGE AND POWER PVT. LTD.","SHREE RADHE",IF(IF(ISNUMBER(SEARCH("Party Name:-",'R.M Billets Reports'!D1578)),TRIM('R.M Billets Reports'!F1578),IF(ISNUMBER(SEARCH("Party Name-",'R.M Billets Reports'!D1578)),TRIM(MID('R.M Billets Reports'!D1578,SEARCH("-",'R.M Billets Reports'!D1578)+1,200)),""))&lt;&gt;"",IF(ISNUMBER(SEARCH("Party Name:-",'R.M Billets Reports'!D1578)),TRIM('R.M Billets Reports'!F1578),IF(ISNUMBER(SEARCH("Party Name-",'R.M Billets Reports'!D1578)),TRIM(MID('R.M Billets Reports'!D1578,SEARCH("-",'R.M Billets Reports'!D1578)+1,200)),"")),IF(ISNUMBER(SEARCH("Party Name:-",'R.M Billets Reports'!D1579)),TRIM('R.M Billets Reports'!F1579),IF(ISNUMBER(SEARCH("Party Name-",'R.M Billets Reports'!D1579)),TRIM(MID('R.M Billets Reports'!D1579,SEARCH("-",'R.M Billets Reports'!D1579)+1,200)),"")))))),IF(ROW()=2,"",A1578))</f>
      </c>
      <c r="B1579">
        <f>IF(OR('R.M Billets Reports'!A1578="Date-",'R.M Billets Reports'!A1578="Date:-"),'R.M Billets Reports'!B1578,IF(ROW()=2,"",B1578))</f>
      </c>
      <c r="C1579">
        <f>IF('R.M Billets Reports'!A1578="V.No.",'R.M Billets Reports'!B1578,IF(ROW()=2,"",C1578))</f>
      </c>
      <c r="D1579">
        <f>IF('R.M Billets Reports'!A1578&lt;&gt;"",'R.M Billets Reports'!A1578,IF(ROW()=2,"",D1578))</f>
      </c>
      <c r="E1579">
        <f>IF('R.M Billets Reports'!B1578="","",TRIM('R.M Billets Reports'!B1578))</f>
      </c>
      <c r="F1579">
        <f>'R.M Billets Reports'!C1578</f>
      </c>
      <c r="G1579">
        <f>'R.M Billets Reports'!D1578</f>
      </c>
      <c r="H1579">
        <f>'R.M Billets Reports'!E1578</f>
      </c>
      <c r="I1579">
        <f>'R.M Billets Reports'!F1578</f>
      </c>
      <c r="J1579">
        <f>'R.M Billets Reports'!G1578</f>
      </c>
      <c r="K1579">
        <f>'R.M Billets Reports'!H1578</f>
      </c>
      <c r="L1579">
        <f>IF('R.M Billets Reports'!I1578="","",'R.M Billets Reports'!I1578)</f>
      </c>
      <c r="M1579">
        <f t="shared" si="48"/>
      </c>
      <c r="N1579">
        <f>IF('R.M Billets Reports'!J1578="","",'R.M Billets Reports'!J1578)</f>
      </c>
      <c r="O1579">
        <f t="shared" si="49"/>
      </c>
      <c r="P1579">
        <f>IF('R.M Billets Reports'!A1578="SIZE",'R.M Billets Reports'!B1578,P1578)</f>
      </c>
    </row>
    <row r="1580" spans="1:16" x14ac:dyDescent="0.25">
      <c r="A1580">
        <f>IF(OR('R.M Billets Reports'!A1579="Date-",'R.M Billets Reports'!A1579="Date:-"),IF(IF(IF(ISNUMBER(SEARCH("Party Name:-",'R.M Billets Reports'!D1579)),TRIM('R.M Billets Reports'!F1579),IF(ISNUMBER(SEARCH("Party Name-",'R.M Billets Reports'!D1579)),TRIM(MID('R.M Billets Reports'!D1579,SEARCH("-",'R.M Billets Reports'!D1579)+1,200)),""))&lt;&gt;"",IF(ISNUMBER(SEARCH("Party Name:-",'R.M Billets Reports'!D1579)),TRIM('R.M Billets Reports'!F1579),IF(ISNUMBER(SEARCH("Party Name-",'R.M Billets Reports'!D1579)),TRIM(MID('R.M Billets Reports'!D1579,SEARCH("-",'R.M Billets Reports'!D1579)+1,200)),"")),IF(ISNUMBER(SEARCH("Party Name:-",'R.M Billets Reports'!D1580)),TRIM('R.M Billets Reports'!F1580),IF(ISNUMBER(SEARCH("Party Name-",'R.M Billets Reports'!D1580)),TRIM(MID('R.M Billets Reports'!D1580,SEARCH("-",'R.M Billets Reports'!D1580)+1,200)),"")))="VRKP ISPAT PVT LTD","VRKP",IF(IF(IF(ISNUMBER(SEARCH("Party Name:-",'R.M Billets Reports'!D1579)),TRIM('R.M Billets Reports'!F1579),IF(ISNUMBER(SEARCH("Party Name-",'R.M Billets Reports'!D1579)),TRIM(MID('R.M Billets Reports'!D1579,SEARCH("-",'R.M Billets Reports'!D1579)+1,200)),""))&lt;&gt;"",IF(ISNUMBER(SEARCH("Party Name:-",'R.M Billets Reports'!D1579)),TRIM('R.M Billets Reports'!F1579),IF(ISNUMBER(SEARCH("Party Name-",'R.M Billets Reports'!D1579)),TRIM(MID('R.M Billets Reports'!D1579,SEARCH("-",'R.M Billets Reports'!D1579)+1,200)),"")),IF(ISNUMBER(SEARCH("Party Name:-",'R.M Billets Reports'!D1580)),TRIM('R.M Billets Reports'!F1580),IF(ISNUMBER(SEARCH("Party Name-",'R.M Billets Reports'!D1580)),TRIM(MID('R.M Billets Reports'!D1580,SEARCH("-",'R.M Billets Reports'!D1580)+1,200)),"")))="SHRI RADHE","SHREE RADHE",IF(IF(IF(ISNUMBER(SEARCH("Party Name:-",'R.M Billets Reports'!D1579)),TRIM('R.M Billets Reports'!F1579),IF(ISNUMBER(SEARCH("Party Name-",'R.M Billets Reports'!D1579)),TRIM(MID('R.M Billets Reports'!D1579,SEARCH("-",'R.M Billets Reports'!D1579)+1,200)),""))&lt;&gt;"",IF(ISNUMBER(SEARCH("Party Name:-",'R.M Billets Reports'!D1579)),TRIM('R.M Billets Reports'!F1579),IF(ISNUMBER(SEARCH("Party Name-",'R.M Billets Reports'!D1579)),TRIM(MID('R.M Billets Reports'!D1579,SEARCH("-",'R.M Billets Reports'!D1579)+1,200)),"")),IF(ISNUMBER(SEARCH("Party Name:-",'R.M Billets Reports'!D1580)),TRIM('R.M Billets Reports'!F1580),IF(ISNUMBER(SEARCH("Party Name-",'R.M Billets Reports'!D1580)),TRIM(MID('R.M Billets Reports'!D1580,SEARCH("-",'R.M Billets Reports'!D1580)+1,200)),"")))="SHREE RADHE SHAKTI SPONGE AND POWER PVT. LTD.","SHREE RADHE",IF(IF(ISNUMBER(SEARCH("Party Name:-",'R.M Billets Reports'!D1579)),TRIM('R.M Billets Reports'!F1579),IF(ISNUMBER(SEARCH("Party Name-",'R.M Billets Reports'!D1579)),TRIM(MID('R.M Billets Reports'!D1579,SEARCH("-",'R.M Billets Reports'!D1579)+1,200)),""))&lt;&gt;"",IF(ISNUMBER(SEARCH("Party Name:-",'R.M Billets Reports'!D1579)),TRIM('R.M Billets Reports'!F1579),IF(ISNUMBER(SEARCH("Party Name-",'R.M Billets Reports'!D1579)),TRIM(MID('R.M Billets Reports'!D1579,SEARCH("-",'R.M Billets Reports'!D1579)+1,200)),"")),IF(ISNUMBER(SEARCH("Party Name:-",'R.M Billets Reports'!D1580)),TRIM('R.M Billets Reports'!F1580),IF(ISNUMBER(SEARCH("Party Name-",'R.M Billets Reports'!D1580)),TRIM(MID('R.M Billets Reports'!D1580,SEARCH("-",'R.M Billets Reports'!D1580)+1,200)),"")))))),IF(ROW()=2,"",A1579))</f>
      </c>
      <c r="B1580">
        <f>IF(OR('R.M Billets Reports'!A1579="Date-",'R.M Billets Reports'!A1579="Date:-"),'R.M Billets Reports'!B1579,IF(ROW()=2,"",B1579))</f>
      </c>
      <c r="C1580">
        <f>IF('R.M Billets Reports'!A1579="V.No.",'R.M Billets Reports'!B1579,IF(ROW()=2,"",C1579))</f>
      </c>
      <c r="D1580">
        <f>IF('R.M Billets Reports'!A1579&lt;&gt;"",'R.M Billets Reports'!A1579,IF(ROW()=2,"",D1579))</f>
      </c>
      <c r="E1580">
        <f>IF('R.M Billets Reports'!B1579="","",TRIM('R.M Billets Reports'!B1579))</f>
      </c>
      <c r="F1580">
        <f>'R.M Billets Reports'!C1579</f>
      </c>
      <c r="G1580">
        <f>'R.M Billets Reports'!D1579</f>
      </c>
      <c r="H1580">
        <f>'R.M Billets Reports'!E1579</f>
      </c>
      <c r="I1580">
        <f>'R.M Billets Reports'!F1579</f>
      </c>
      <c r="J1580">
        <f>'R.M Billets Reports'!G1579</f>
      </c>
      <c r="K1580">
        <f>'R.M Billets Reports'!H1579</f>
      </c>
      <c r="L1580">
        <f>IF('R.M Billets Reports'!I1579="","",'R.M Billets Reports'!I1579)</f>
      </c>
      <c r="M1580">
        <f t="shared" si="48"/>
      </c>
      <c r="N1580">
        <f>IF('R.M Billets Reports'!J1579="","",'R.M Billets Reports'!J1579)</f>
      </c>
      <c r="O1580">
        <f t="shared" si="49"/>
      </c>
      <c r="P1580">
        <f>IF('R.M Billets Reports'!A1579="SIZE",'R.M Billets Reports'!B1579,P1579)</f>
      </c>
    </row>
    <row r="1581" spans="1:16" x14ac:dyDescent="0.25">
      <c r="A1581">
        <f>IF(OR('R.M Billets Reports'!A1580="Date-",'R.M Billets Reports'!A1580="Date:-"),IF(IF(IF(ISNUMBER(SEARCH("Party Name:-",'R.M Billets Reports'!D1580)),TRIM('R.M Billets Reports'!F1580),IF(ISNUMBER(SEARCH("Party Name-",'R.M Billets Reports'!D1580)),TRIM(MID('R.M Billets Reports'!D1580,SEARCH("-",'R.M Billets Reports'!D1580)+1,200)),""))&lt;&gt;"",IF(ISNUMBER(SEARCH("Party Name:-",'R.M Billets Reports'!D1580)),TRIM('R.M Billets Reports'!F1580),IF(ISNUMBER(SEARCH("Party Name-",'R.M Billets Reports'!D1580)),TRIM(MID('R.M Billets Reports'!D1580,SEARCH("-",'R.M Billets Reports'!D1580)+1,200)),"")),IF(ISNUMBER(SEARCH("Party Name:-",'R.M Billets Reports'!D1581)),TRIM('R.M Billets Reports'!F1581),IF(ISNUMBER(SEARCH("Party Name-",'R.M Billets Reports'!D1581)),TRIM(MID('R.M Billets Reports'!D1581,SEARCH("-",'R.M Billets Reports'!D1581)+1,200)),"")))="VRKP ISPAT PVT LTD","VRKP",IF(IF(IF(ISNUMBER(SEARCH("Party Name:-",'R.M Billets Reports'!D1580)),TRIM('R.M Billets Reports'!F1580),IF(ISNUMBER(SEARCH("Party Name-",'R.M Billets Reports'!D1580)),TRIM(MID('R.M Billets Reports'!D1580,SEARCH("-",'R.M Billets Reports'!D1580)+1,200)),""))&lt;&gt;"",IF(ISNUMBER(SEARCH("Party Name:-",'R.M Billets Reports'!D1580)),TRIM('R.M Billets Reports'!F1580),IF(ISNUMBER(SEARCH("Party Name-",'R.M Billets Reports'!D1580)),TRIM(MID('R.M Billets Reports'!D1580,SEARCH("-",'R.M Billets Reports'!D1580)+1,200)),"")),IF(ISNUMBER(SEARCH("Party Name:-",'R.M Billets Reports'!D1581)),TRIM('R.M Billets Reports'!F1581),IF(ISNUMBER(SEARCH("Party Name-",'R.M Billets Reports'!D1581)),TRIM(MID('R.M Billets Reports'!D1581,SEARCH("-",'R.M Billets Reports'!D1581)+1,200)),"")))="SHRI RADHE","SHREE RADHE",IF(IF(IF(ISNUMBER(SEARCH("Party Name:-",'R.M Billets Reports'!D1580)),TRIM('R.M Billets Reports'!F1580),IF(ISNUMBER(SEARCH("Party Name-",'R.M Billets Reports'!D1580)),TRIM(MID('R.M Billets Reports'!D1580,SEARCH("-",'R.M Billets Reports'!D1580)+1,200)),""))&lt;&gt;"",IF(ISNUMBER(SEARCH("Party Name:-",'R.M Billets Reports'!D1580)),TRIM('R.M Billets Reports'!F1580),IF(ISNUMBER(SEARCH("Party Name-",'R.M Billets Reports'!D1580)),TRIM(MID('R.M Billets Reports'!D1580,SEARCH("-",'R.M Billets Reports'!D1580)+1,200)),"")),IF(ISNUMBER(SEARCH("Party Name:-",'R.M Billets Reports'!D1581)),TRIM('R.M Billets Reports'!F1581),IF(ISNUMBER(SEARCH("Party Name-",'R.M Billets Reports'!D1581)),TRIM(MID('R.M Billets Reports'!D1581,SEARCH("-",'R.M Billets Reports'!D1581)+1,200)),"")))="SHREE RADHE SHAKTI SPONGE AND POWER PVT. LTD.","SHREE RADHE",IF(IF(ISNUMBER(SEARCH("Party Name:-",'R.M Billets Reports'!D1580)),TRIM('R.M Billets Reports'!F1580),IF(ISNUMBER(SEARCH("Party Name-",'R.M Billets Reports'!D1580)),TRIM(MID('R.M Billets Reports'!D1580,SEARCH("-",'R.M Billets Reports'!D1580)+1,200)),""))&lt;&gt;"",IF(ISNUMBER(SEARCH("Party Name:-",'R.M Billets Reports'!D1580)),TRIM('R.M Billets Reports'!F1580),IF(ISNUMBER(SEARCH("Party Name-",'R.M Billets Reports'!D1580)),TRIM(MID('R.M Billets Reports'!D1580,SEARCH("-",'R.M Billets Reports'!D1580)+1,200)),"")),IF(ISNUMBER(SEARCH("Party Name:-",'R.M Billets Reports'!D1581)),TRIM('R.M Billets Reports'!F1581),IF(ISNUMBER(SEARCH("Party Name-",'R.M Billets Reports'!D1581)),TRIM(MID('R.M Billets Reports'!D1581,SEARCH("-",'R.M Billets Reports'!D1581)+1,200)),"")))))),IF(ROW()=2,"",A1580))</f>
      </c>
      <c r="B1581">
        <f>IF(OR('R.M Billets Reports'!A1580="Date-",'R.M Billets Reports'!A1580="Date:-"),'R.M Billets Reports'!B1580,IF(ROW()=2,"",B1580))</f>
      </c>
      <c r="C1581">
        <f>IF('R.M Billets Reports'!A1580="V.No.",'R.M Billets Reports'!B1580,IF(ROW()=2,"",C1580))</f>
      </c>
      <c r="D1581">
        <f>IF('R.M Billets Reports'!A1580&lt;&gt;"",'R.M Billets Reports'!A1580,IF(ROW()=2,"",D1580))</f>
      </c>
      <c r="E1581">
        <f>IF('R.M Billets Reports'!B1580="","",TRIM('R.M Billets Reports'!B1580))</f>
      </c>
      <c r="F1581">
        <f>'R.M Billets Reports'!C1580</f>
      </c>
      <c r="G1581">
        <f>'R.M Billets Reports'!D1580</f>
      </c>
      <c r="H1581">
        <f>'R.M Billets Reports'!E1580</f>
      </c>
      <c r="I1581">
        <f>'R.M Billets Reports'!F1580</f>
      </c>
      <c r="J1581">
        <f>'R.M Billets Reports'!G1580</f>
      </c>
      <c r="K1581">
        <f>'R.M Billets Reports'!H1580</f>
      </c>
      <c r="L1581">
        <f>IF('R.M Billets Reports'!I1580="","",'R.M Billets Reports'!I1580)</f>
      </c>
      <c r="M1581">
        <f t="shared" si="48"/>
      </c>
      <c r="N1581">
        <f>IF('R.M Billets Reports'!J1580="","",'R.M Billets Reports'!J1580)</f>
      </c>
      <c r="O1581">
        <f t="shared" si="49"/>
      </c>
      <c r="P1581">
        <f>IF('R.M Billets Reports'!A1580="SIZE",'R.M Billets Reports'!B1580,P1580)</f>
      </c>
    </row>
    <row r="1582" spans="1:16" x14ac:dyDescent="0.25">
      <c r="A1582">
        <f>IF(OR('R.M Billets Reports'!A1581="Date-",'R.M Billets Reports'!A1581="Date:-"),IF(IF(IF(ISNUMBER(SEARCH("Party Name:-",'R.M Billets Reports'!D1581)),TRIM('R.M Billets Reports'!F1581),IF(ISNUMBER(SEARCH("Party Name-",'R.M Billets Reports'!D1581)),TRIM(MID('R.M Billets Reports'!D1581,SEARCH("-",'R.M Billets Reports'!D1581)+1,200)),""))&lt;&gt;"",IF(ISNUMBER(SEARCH("Party Name:-",'R.M Billets Reports'!D1581)),TRIM('R.M Billets Reports'!F1581),IF(ISNUMBER(SEARCH("Party Name-",'R.M Billets Reports'!D1581)),TRIM(MID('R.M Billets Reports'!D1581,SEARCH("-",'R.M Billets Reports'!D1581)+1,200)),"")),IF(ISNUMBER(SEARCH("Party Name:-",'R.M Billets Reports'!D1582)),TRIM('R.M Billets Reports'!F1582),IF(ISNUMBER(SEARCH("Party Name-",'R.M Billets Reports'!D1582)),TRIM(MID('R.M Billets Reports'!D1582,SEARCH("-",'R.M Billets Reports'!D1582)+1,200)),"")))="VRKP ISPAT PVT LTD","VRKP",IF(IF(IF(ISNUMBER(SEARCH("Party Name:-",'R.M Billets Reports'!D1581)),TRIM('R.M Billets Reports'!F1581),IF(ISNUMBER(SEARCH("Party Name-",'R.M Billets Reports'!D1581)),TRIM(MID('R.M Billets Reports'!D1581,SEARCH("-",'R.M Billets Reports'!D1581)+1,200)),""))&lt;&gt;"",IF(ISNUMBER(SEARCH("Party Name:-",'R.M Billets Reports'!D1581)),TRIM('R.M Billets Reports'!F1581),IF(ISNUMBER(SEARCH("Party Name-",'R.M Billets Reports'!D1581)),TRIM(MID('R.M Billets Reports'!D1581,SEARCH("-",'R.M Billets Reports'!D1581)+1,200)),"")),IF(ISNUMBER(SEARCH("Party Name:-",'R.M Billets Reports'!D1582)),TRIM('R.M Billets Reports'!F1582),IF(ISNUMBER(SEARCH("Party Name-",'R.M Billets Reports'!D1582)),TRIM(MID('R.M Billets Reports'!D1582,SEARCH("-",'R.M Billets Reports'!D1582)+1,200)),"")))="SHRI RADHE","SHREE RADHE",IF(IF(IF(ISNUMBER(SEARCH("Party Name:-",'R.M Billets Reports'!D1581)),TRIM('R.M Billets Reports'!F1581),IF(ISNUMBER(SEARCH("Party Name-",'R.M Billets Reports'!D1581)),TRIM(MID('R.M Billets Reports'!D1581,SEARCH("-",'R.M Billets Reports'!D1581)+1,200)),""))&lt;&gt;"",IF(ISNUMBER(SEARCH("Party Name:-",'R.M Billets Reports'!D1581)),TRIM('R.M Billets Reports'!F1581),IF(ISNUMBER(SEARCH("Party Name-",'R.M Billets Reports'!D1581)),TRIM(MID('R.M Billets Reports'!D1581,SEARCH("-",'R.M Billets Reports'!D1581)+1,200)),"")),IF(ISNUMBER(SEARCH("Party Name:-",'R.M Billets Reports'!D1582)),TRIM('R.M Billets Reports'!F1582),IF(ISNUMBER(SEARCH("Party Name-",'R.M Billets Reports'!D1582)),TRIM(MID('R.M Billets Reports'!D1582,SEARCH("-",'R.M Billets Reports'!D1582)+1,200)),"")))="SHREE RADHE SHAKTI SPONGE AND POWER PVT. LTD.","SHREE RADHE",IF(IF(ISNUMBER(SEARCH("Party Name:-",'R.M Billets Reports'!D1581)),TRIM('R.M Billets Reports'!F1581),IF(ISNUMBER(SEARCH("Party Name-",'R.M Billets Reports'!D1581)),TRIM(MID('R.M Billets Reports'!D1581,SEARCH("-",'R.M Billets Reports'!D1581)+1,200)),""))&lt;&gt;"",IF(ISNUMBER(SEARCH("Party Name:-",'R.M Billets Reports'!D1581)),TRIM('R.M Billets Reports'!F1581),IF(ISNUMBER(SEARCH("Party Name-",'R.M Billets Reports'!D1581)),TRIM(MID('R.M Billets Reports'!D1581,SEARCH("-",'R.M Billets Reports'!D1581)+1,200)),"")),IF(ISNUMBER(SEARCH("Party Name:-",'R.M Billets Reports'!D1582)),TRIM('R.M Billets Reports'!F1582),IF(ISNUMBER(SEARCH("Party Name-",'R.M Billets Reports'!D1582)),TRIM(MID('R.M Billets Reports'!D1582,SEARCH("-",'R.M Billets Reports'!D1582)+1,200)),"")))))),IF(ROW()=2,"",A1581))</f>
      </c>
      <c r="B1582">
        <f>IF(OR('R.M Billets Reports'!A1581="Date-",'R.M Billets Reports'!A1581="Date:-"),'R.M Billets Reports'!B1581,IF(ROW()=2,"",B1581))</f>
      </c>
      <c r="C1582">
        <f>IF('R.M Billets Reports'!A1581="V.No.",'R.M Billets Reports'!B1581,IF(ROW()=2,"",C1581))</f>
      </c>
      <c r="D1582">
        <f>IF('R.M Billets Reports'!A1581&lt;&gt;"",'R.M Billets Reports'!A1581,IF(ROW()=2,"",D1581))</f>
      </c>
      <c r="E1582">
        <f>IF('R.M Billets Reports'!B1581="","",TRIM('R.M Billets Reports'!B1581))</f>
      </c>
      <c r="F1582">
        <f>'R.M Billets Reports'!C1581</f>
      </c>
      <c r="G1582">
        <f>'R.M Billets Reports'!D1581</f>
      </c>
      <c r="H1582">
        <f>'R.M Billets Reports'!E1581</f>
      </c>
      <c r="I1582">
        <f>'R.M Billets Reports'!F1581</f>
      </c>
      <c r="J1582">
        <f>'R.M Billets Reports'!G1581</f>
      </c>
      <c r="K1582">
        <f>'R.M Billets Reports'!H1581</f>
      </c>
      <c r="L1582">
        <f>IF('R.M Billets Reports'!I1581="","",'R.M Billets Reports'!I1581)</f>
      </c>
      <c r="M1582">
        <f t="shared" si="48"/>
      </c>
      <c r="N1582">
        <f>IF('R.M Billets Reports'!J1581="","",'R.M Billets Reports'!J1581)</f>
      </c>
      <c r="O1582">
        <f t="shared" si="49"/>
      </c>
      <c r="P1582">
        <f>IF('R.M Billets Reports'!A1581="SIZE",'R.M Billets Reports'!B1581,P1581)</f>
      </c>
    </row>
    <row r="1583" spans="1:16" x14ac:dyDescent="0.25">
      <c r="A1583">
        <f>IF(OR('R.M Billets Reports'!A1582="Date-",'R.M Billets Reports'!A1582="Date:-"),IF(IF(IF(ISNUMBER(SEARCH("Party Name:-",'R.M Billets Reports'!D1582)),TRIM('R.M Billets Reports'!F1582),IF(ISNUMBER(SEARCH("Party Name-",'R.M Billets Reports'!D1582)),TRIM(MID('R.M Billets Reports'!D1582,SEARCH("-",'R.M Billets Reports'!D1582)+1,200)),""))&lt;&gt;"",IF(ISNUMBER(SEARCH("Party Name:-",'R.M Billets Reports'!D1582)),TRIM('R.M Billets Reports'!F1582),IF(ISNUMBER(SEARCH("Party Name-",'R.M Billets Reports'!D1582)),TRIM(MID('R.M Billets Reports'!D1582,SEARCH("-",'R.M Billets Reports'!D1582)+1,200)),"")),IF(ISNUMBER(SEARCH("Party Name:-",'R.M Billets Reports'!D1583)),TRIM('R.M Billets Reports'!F1583),IF(ISNUMBER(SEARCH("Party Name-",'R.M Billets Reports'!D1583)),TRIM(MID('R.M Billets Reports'!D1583,SEARCH("-",'R.M Billets Reports'!D1583)+1,200)),"")))="VRKP ISPAT PVT LTD","VRKP",IF(IF(IF(ISNUMBER(SEARCH("Party Name:-",'R.M Billets Reports'!D1582)),TRIM('R.M Billets Reports'!F1582),IF(ISNUMBER(SEARCH("Party Name-",'R.M Billets Reports'!D1582)),TRIM(MID('R.M Billets Reports'!D1582,SEARCH("-",'R.M Billets Reports'!D1582)+1,200)),""))&lt;&gt;"",IF(ISNUMBER(SEARCH("Party Name:-",'R.M Billets Reports'!D1582)),TRIM('R.M Billets Reports'!F1582),IF(ISNUMBER(SEARCH("Party Name-",'R.M Billets Reports'!D1582)),TRIM(MID('R.M Billets Reports'!D1582,SEARCH("-",'R.M Billets Reports'!D1582)+1,200)),"")),IF(ISNUMBER(SEARCH("Party Name:-",'R.M Billets Reports'!D1583)),TRIM('R.M Billets Reports'!F1583),IF(ISNUMBER(SEARCH("Party Name-",'R.M Billets Reports'!D1583)),TRIM(MID('R.M Billets Reports'!D1583,SEARCH("-",'R.M Billets Reports'!D1583)+1,200)),"")))="SHRI RADHE","SHREE RADHE",IF(IF(IF(ISNUMBER(SEARCH("Party Name:-",'R.M Billets Reports'!D1582)),TRIM('R.M Billets Reports'!F1582),IF(ISNUMBER(SEARCH("Party Name-",'R.M Billets Reports'!D1582)),TRIM(MID('R.M Billets Reports'!D1582,SEARCH("-",'R.M Billets Reports'!D1582)+1,200)),""))&lt;&gt;"",IF(ISNUMBER(SEARCH("Party Name:-",'R.M Billets Reports'!D1582)),TRIM('R.M Billets Reports'!F1582),IF(ISNUMBER(SEARCH("Party Name-",'R.M Billets Reports'!D1582)),TRIM(MID('R.M Billets Reports'!D1582,SEARCH("-",'R.M Billets Reports'!D1582)+1,200)),"")),IF(ISNUMBER(SEARCH("Party Name:-",'R.M Billets Reports'!D1583)),TRIM('R.M Billets Reports'!F1583),IF(ISNUMBER(SEARCH("Party Name-",'R.M Billets Reports'!D1583)),TRIM(MID('R.M Billets Reports'!D1583,SEARCH("-",'R.M Billets Reports'!D1583)+1,200)),"")))="SHREE RADHE SHAKTI SPONGE AND POWER PVT. LTD.","SHREE RADHE",IF(IF(ISNUMBER(SEARCH("Party Name:-",'R.M Billets Reports'!D1582)),TRIM('R.M Billets Reports'!F1582),IF(ISNUMBER(SEARCH("Party Name-",'R.M Billets Reports'!D1582)),TRIM(MID('R.M Billets Reports'!D1582,SEARCH("-",'R.M Billets Reports'!D1582)+1,200)),""))&lt;&gt;"",IF(ISNUMBER(SEARCH("Party Name:-",'R.M Billets Reports'!D1582)),TRIM('R.M Billets Reports'!F1582),IF(ISNUMBER(SEARCH("Party Name-",'R.M Billets Reports'!D1582)),TRIM(MID('R.M Billets Reports'!D1582,SEARCH("-",'R.M Billets Reports'!D1582)+1,200)),"")),IF(ISNUMBER(SEARCH("Party Name:-",'R.M Billets Reports'!D1583)),TRIM('R.M Billets Reports'!F1583),IF(ISNUMBER(SEARCH("Party Name-",'R.M Billets Reports'!D1583)),TRIM(MID('R.M Billets Reports'!D1583,SEARCH("-",'R.M Billets Reports'!D1583)+1,200)),"")))))),IF(ROW()=2,"",A1582))</f>
      </c>
      <c r="B1583">
        <f>IF(OR('R.M Billets Reports'!A1582="Date-",'R.M Billets Reports'!A1582="Date:-"),'R.M Billets Reports'!B1582,IF(ROW()=2,"",B1582))</f>
      </c>
      <c r="C1583">
        <f>IF('R.M Billets Reports'!A1582="V.No.",'R.M Billets Reports'!B1582,IF(ROW()=2,"",C1582))</f>
      </c>
      <c r="D1583">
        <f>IF('R.M Billets Reports'!A1582&lt;&gt;"",'R.M Billets Reports'!A1582,IF(ROW()=2,"",D1582))</f>
      </c>
      <c r="E1583">
        <f>IF('R.M Billets Reports'!B1582="","",TRIM('R.M Billets Reports'!B1582))</f>
      </c>
      <c r="F1583">
        <f>'R.M Billets Reports'!C1582</f>
      </c>
      <c r="G1583">
        <f>'R.M Billets Reports'!D1582</f>
      </c>
      <c r="H1583">
        <f>'R.M Billets Reports'!E1582</f>
      </c>
      <c r="I1583">
        <f>'R.M Billets Reports'!F1582</f>
      </c>
      <c r="J1583">
        <f>'R.M Billets Reports'!G1582</f>
      </c>
      <c r="K1583">
        <f>'R.M Billets Reports'!H1582</f>
      </c>
      <c r="L1583">
        <f>IF('R.M Billets Reports'!I1582="","",'R.M Billets Reports'!I1582)</f>
      </c>
      <c r="M1583">
        <f t="shared" si="48"/>
      </c>
      <c r="N1583">
        <f>IF('R.M Billets Reports'!J1582="","",'R.M Billets Reports'!J1582)</f>
      </c>
      <c r="O1583">
        <f t="shared" si="49"/>
      </c>
      <c r="P1583">
        <f>IF('R.M Billets Reports'!A1582="SIZE",'R.M Billets Reports'!B1582,P1582)</f>
      </c>
    </row>
    <row r="1584" spans="1:16" x14ac:dyDescent="0.25">
      <c r="A1584">
        <f>IF(OR('R.M Billets Reports'!A1583="Date-",'R.M Billets Reports'!A1583="Date:-"),IF(IF(IF(ISNUMBER(SEARCH("Party Name:-",'R.M Billets Reports'!D1583)),TRIM('R.M Billets Reports'!F1583),IF(ISNUMBER(SEARCH("Party Name-",'R.M Billets Reports'!D1583)),TRIM(MID('R.M Billets Reports'!D1583,SEARCH("-",'R.M Billets Reports'!D1583)+1,200)),""))&lt;&gt;"",IF(ISNUMBER(SEARCH("Party Name:-",'R.M Billets Reports'!D1583)),TRIM('R.M Billets Reports'!F1583),IF(ISNUMBER(SEARCH("Party Name-",'R.M Billets Reports'!D1583)),TRIM(MID('R.M Billets Reports'!D1583,SEARCH("-",'R.M Billets Reports'!D1583)+1,200)),"")),IF(ISNUMBER(SEARCH("Party Name:-",'R.M Billets Reports'!D1584)),TRIM('R.M Billets Reports'!F1584),IF(ISNUMBER(SEARCH("Party Name-",'R.M Billets Reports'!D1584)),TRIM(MID('R.M Billets Reports'!D1584,SEARCH("-",'R.M Billets Reports'!D1584)+1,200)),"")))="VRKP ISPAT PVT LTD","VRKP",IF(IF(IF(ISNUMBER(SEARCH("Party Name:-",'R.M Billets Reports'!D1583)),TRIM('R.M Billets Reports'!F1583),IF(ISNUMBER(SEARCH("Party Name-",'R.M Billets Reports'!D1583)),TRIM(MID('R.M Billets Reports'!D1583,SEARCH("-",'R.M Billets Reports'!D1583)+1,200)),""))&lt;&gt;"",IF(ISNUMBER(SEARCH("Party Name:-",'R.M Billets Reports'!D1583)),TRIM('R.M Billets Reports'!F1583),IF(ISNUMBER(SEARCH("Party Name-",'R.M Billets Reports'!D1583)),TRIM(MID('R.M Billets Reports'!D1583,SEARCH("-",'R.M Billets Reports'!D1583)+1,200)),"")),IF(ISNUMBER(SEARCH("Party Name:-",'R.M Billets Reports'!D1584)),TRIM('R.M Billets Reports'!F1584),IF(ISNUMBER(SEARCH("Party Name-",'R.M Billets Reports'!D1584)),TRIM(MID('R.M Billets Reports'!D1584,SEARCH("-",'R.M Billets Reports'!D1584)+1,200)),"")))="SHRI RADHE","SHREE RADHE",IF(IF(IF(ISNUMBER(SEARCH("Party Name:-",'R.M Billets Reports'!D1583)),TRIM('R.M Billets Reports'!F1583),IF(ISNUMBER(SEARCH("Party Name-",'R.M Billets Reports'!D1583)),TRIM(MID('R.M Billets Reports'!D1583,SEARCH("-",'R.M Billets Reports'!D1583)+1,200)),""))&lt;&gt;"",IF(ISNUMBER(SEARCH("Party Name:-",'R.M Billets Reports'!D1583)),TRIM('R.M Billets Reports'!F1583),IF(ISNUMBER(SEARCH("Party Name-",'R.M Billets Reports'!D1583)),TRIM(MID('R.M Billets Reports'!D1583,SEARCH("-",'R.M Billets Reports'!D1583)+1,200)),"")),IF(ISNUMBER(SEARCH("Party Name:-",'R.M Billets Reports'!D1584)),TRIM('R.M Billets Reports'!F1584),IF(ISNUMBER(SEARCH("Party Name-",'R.M Billets Reports'!D1584)),TRIM(MID('R.M Billets Reports'!D1584,SEARCH("-",'R.M Billets Reports'!D1584)+1,200)),"")))="SHREE RADHE SHAKTI SPONGE AND POWER PVT. LTD.","SHREE RADHE",IF(IF(ISNUMBER(SEARCH("Party Name:-",'R.M Billets Reports'!D1583)),TRIM('R.M Billets Reports'!F1583),IF(ISNUMBER(SEARCH("Party Name-",'R.M Billets Reports'!D1583)),TRIM(MID('R.M Billets Reports'!D1583,SEARCH("-",'R.M Billets Reports'!D1583)+1,200)),""))&lt;&gt;"",IF(ISNUMBER(SEARCH("Party Name:-",'R.M Billets Reports'!D1583)),TRIM('R.M Billets Reports'!F1583),IF(ISNUMBER(SEARCH("Party Name-",'R.M Billets Reports'!D1583)),TRIM(MID('R.M Billets Reports'!D1583,SEARCH("-",'R.M Billets Reports'!D1583)+1,200)),"")),IF(ISNUMBER(SEARCH("Party Name:-",'R.M Billets Reports'!D1584)),TRIM('R.M Billets Reports'!F1584),IF(ISNUMBER(SEARCH("Party Name-",'R.M Billets Reports'!D1584)),TRIM(MID('R.M Billets Reports'!D1584,SEARCH("-",'R.M Billets Reports'!D1584)+1,200)),"")))))),IF(ROW()=2,"",A1583))</f>
      </c>
      <c r="B1584">
        <f>IF(OR('R.M Billets Reports'!A1583="Date-",'R.M Billets Reports'!A1583="Date:-"),'R.M Billets Reports'!B1583,IF(ROW()=2,"",B1583))</f>
      </c>
      <c r="C1584">
        <f>IF('R.M Billets Reports'!A1583="V.No.",'R.M Billets Reports'!B1583,IF(ROW()=2,"",C1583))</f>
      </c>
      <c r="D1584">
        <f>IF('R.M Billets Reports'!A1583&lt;&gt;"",'R.M Billets Reports'!A1583,IF(ROW()=2,"",D1583))</f>
      </c>
      <c r="E1584">
        <f>IF('R.M Billets Reports'!B1583="","",TRIM('R.M Billets Reports'!B1583))</f>
      </c>
      <c r="F1584">
        <f>'R.M Billets Reports'!C1583</f>
      </c>
      <c r="G1584">
        <f>'R.M Billets Reports'!D1583</f>
      </c>
      <c r="H1584">
        <f>'R.M Billets Reports'!E1583</f>
      </c>
      <c r="I1584">
        <f>'R.M Billets Reports'!F1583</f>
      </c>
      <c r="J1584">
        <f>'R.M Billets Reports'!G1583</f>
      </c>
      <c r="K1584">
        <f>'R.M Billets Reports'!H1583</f>
      </c>
      <c r="L1584">
        <f>IF('R.M Billets Reports'!I1583="","",'R.M Billets Reports'!I1583)</f>
      </c>
      <c r="M1584">
        <f t="shared" si="48"/>
      </c>
      <c r="N1584">
        <f>IF('R.M Billets Reports'!J1583="","",'R.M Billets Reports'!J1583)</f>
      </c>
      <c r="O1584">
        <f t="shared" si="49"/>
      </c>
      <c r="P1584">
        <f>IF('R.M Billets Reports'!A1583="SIZE",'R.M Billets Reports'!B1583,P1583)</f>
      </c>
    </row>
    <row r="1585" spans="1:16" x14ac:dyDescent="0.25">
      <c r="A1585">
        <f>IF(OR('R.M Billets Reports'!A1584="Date-",'R.M Billets Reports'!A1584="Date:-"),IF(IF(IF(ISNUMBER(SEARCH("Party Name:-",'R.M Billets Reports'!D1584)),TRIM('R.M Billets Reports'!F1584),IF(ISNUMBER(SEARCH("Party Name-",'R.M Billets Reports'!D1584)),TRIM(MID('R.M Billets Reports'!D1584,SEARCH("-",'R.M Billets Reports'!D1584)+1,200)),""))&lt;&gt;"",IF(ISNUMBER(SEARCH("Party Name:-",'R.M Billets Reports'!D1584)),TRIM('R.M Billets Reports'!F1584),IF(ISNUMBER(SEARCH("Party Name-",'R.M Billets Reports'!D1584)),TRIM(MID('R.M Billets Reports'!D1584,SEARCH("-",'R.M Billets Reports'!D1584)+1,200)),"")),IF(ISNUMBER(SEARCH("Party Name:-",'R.M Billets Reports'!D1585)),TRIM('R.M Billets Reports'!F1585),IF(ISNUMBER(SEARCH("Party Name-",'R.M Billets Reports'!D1585)),TRIM(MID('R.M Billets Reports'!D1585,SEARCH("-",'R.M Billets Reports'!D1585)+1,200)),"")))="VRKP ISPAT PVT LTD","VRKP",IF(IF(IF(ISNUMBER(SEARCH("Party Name:-",'R.M Billets Reports'!D1584)),TRIM('R.M Billets Reports'!F1584),IF(ISNUMBER(SEARCH("Party Name-",'R.M Billets Reports'!D1584)),TRIM(MID('R.M Billets Reports'!D1584,SEARCH("-",'R.M Billets Reports'!D1584)+1,200)),""))&lt;&gt;"",IF(ISNUMBER(SEARCH("Party Name:-",'R.M Billets Reports'!D1584)),TRIM('R.M Billets Reports'!F1584),IF(ISNUMBER(SEARCH("Party Name-",'R.M Billets Reports'!D1584)),TRIM(MID('R.M Billets Reports'!D1584,SEARCH("-",'R.M Billets Reports'!D1584)+1,200)),"")),IF(ISNUMBER(SEARCH("Party Name:-",'R.M Billets Reports'!D1585)),TRIM('R.M Billets Reports'!F1585),IF(ISNUMBER(SEARCH("Party Name-",'R.M Billets Reports'!D1585)),TRIM(MID('R.M Billets Reports'!D1585,SEARCH("-",'R.M Billets Reports'!D1585)+1,200)),"")))="SHRI RADHE","SHREE RADHE",IF(IF(IF(ISNUMBER(SEARCH("Party Name:-",'R.M Billets Reports'!D1584)),TRIM('R.M Billets Reports'!F1584),IF(ISNUMBER(SEARCH("Party Name-",'R.M Billets Reports'!D1584)),TRIM(MID('R.M Billets Reports'!D1584,SEARCH("-",'R.M Billets Reports'!D1584)+1,200)),""))&lt;&gt;"",IF(ISNUMBER(SEARCH("Party Name:-",'R.M Billets Reports'!D1584)),TRIM('R.M Billets Reports'!F1584),IF(ISNUMBER(SEARCH("Party Name-",'R.M Billets Reports'!D1584)),TRIM(MID('R.M Billets Reports'!D1584,SEARCH("-",'R.M Billets Reports'!D1584)+1,200)),"")),IF(ISNUMBER(SEARCH("Party Name:-",'R.M Billets Reports'!D1585)),TRIM('R.M Billets Reports'!F1585),IF(ISNUMBER(SEARCH("Party Name-",'R.M Billets Reports'!D1585)),TRIM(MID('R.M Billets Reports'!D1585,SEARCH("-",'R.M Billets Reports'!D1585)+1,200)),"")))="SHREE RADHE SHAKTI SPONGE AND POWER PVT. LTD.","SHREE RADHE",IF(IF(ISNUMBER(SEARCH("Party Name:-",'R.M Billets Reports'!D1584)),TRIM('R.M Billets Reports'!F1584),IF(ISNUMBER(SEARCH("Party Name-",'R.M Billets Reports'!D1584)),TRIM(MID('R.M Billets Reports'!D1584,SEARCH("-",'R.M Billets Reports'!D1584)+1,200)),""))&lt;&gt;"",IF(ISNUMBER(SEARCH("Party Name:-",'R.M Billets Reports'!D1584)),TRIM('R.M Billets Reports'!F1584),IF(ISNUMBER(SEARCH("Party Name-",'R.M Billets Reports'!D1584)),TRIM(MID('R.M Billets Reports'!D1584,SEARCH("-",'R.M Billets Reports'!D1584)+1,200)),"")),IF(ISNUMBER(SEARCH("Party Name:-",'R.M Billets Reports'!D1585)),TRIM('R.M Billets Reports'!F1585),IF(ISNUMBER(SEARCH("Party Name-",'R.M Billets Reports'!D1585)),TRIM(MID('R.M Billets Reports'!D1585,SEARCH("-",'R.M Billets Reports'!D1585)+1,200)),"")))))),IF(ROW()=2,"",A1584))</f>
      </c>
      <c r="B1585">
        <f>IF(OR('R.M Billets Reports'!A1584="Date-",'R.M Billets Reports'!A1584="Date:-"),'R.M Billets Reports'!B1584,IF(ROW()=2,"",B1584))</f>
      </c>
      <c r="C1585">
        <f>IF('R.M Billets Reports'!A1584="V.No.",'R.M Billets Reports'!B1584,IF(ROW()=2,"",C1584))</f>
      </c>
      <c r="D1585">
        <f>IF('R.M Billets Reports'!A1584&lt;&gt;"",'R.M Billets Reports'!A1584,IF(ROW()=2,"",D1584))</f>
      </c>
      <c r="E1585">
        <f>IF('R.M Billets Reports'!B1584="","",TRIM('R.M Billets Reports'!B1584))</f>
      </c>
      <c r="F1585">
        <f>'R.M Billets Reports'!C1584</f>
      </c>
      <c r="G1585">
        <f>'R.M Billets Reports'!D1584</f>
      </c>
      <c r="H1585">
        <f>'R.M Billets Reports'!E1584</f>
      </c>
      <c r="I1585">
        <f>'R.M Billets Reports'!F1584</f>
      </c>
      <c r="J1585">
        <f>'R.M Billets Reports'!G1584</f>
      </c>
      <c r="K1585">
        <f>'R.M Billets Reports'!H1584</f>
      </c>
      <c r="L1585">
        <f>IF('R.M Billets Reports'!I1584="","",'R.M Billets Reports'!I1584)</f>
      </c>
      <c r="M1585">
        <f t="shared" si="48"/>
      </c>
      <c r="N1585">
        <f>IF('R.M Billets Reports'!J1584="","",'R.M Billets Reports'!J1584)</f>
      </c>
      <c r="O1585">
        <f t="shared" si="49"/>
      </c>
      <c r="P1585">
        <f>IF('R.M Billets Reports'!A1584="SIZE",'R.M Billets Reports'!B1584,P1584)</f>
      </c>
    </row>
    <row r="1586" spans="1:16" x14ac:dyDescent="0.25">
      <c r="A1586">
        <f>IF(OR('R.M Billets Reports'!A1585="Date-",'R.M Billets Reports'!A1585="Date:-"),IF(IF(IF(ISNUMBER(SEARCH("Party Name:-",'R.M Billets Reports'!D1585)),TRIM('R.M Billets Reports'!F1585),IF(ISNUMBER(SEARCH("Party Name-",'R.M Billets Reports'!D1585)),TRIM(MID('R.M Billets Reports'!D1585,SEARCH("-",'R.M Billets Reports'!D1585)+1,200)),""))&lt;&gt;"",IF(ISNUMBER(SEARCH("Party Name:-",'R.M Billets Reports'!D1585)),TRIM('R.M Billets Reports'!F1585),IF(ISNUMBER(SEARCH("Party Name-",'R.M Billets Reports'!D1585)),TRIM(MID('R.M Billets Reports'!D1585,SEARCH("-",'R.M Billets Reports'!D1585)+1,200)),"")),IF(ISNUMBER(SEARCH("Party Name:-",'R.M Billets Reports'!D1586)),TRIM('R.M Billets Reports'!F1586),IF(ISNUMBER(SEARCH("Party Name-",'R.M Billets Reports'!D1586)),TRIM(MID('R.M Billets Reports'!D1586,SEARCH("-",'R.M Billets Reports'!D1586)+1,200)),"")))="VRKP ISPAT PVT LTD","VRKP",IF(IF(IF(ISNUMBER(SEARCH("Party Name:-",'R.M Billets Reports'!D1585)),TRIM('R.M Billets Reports'!F1585),IF(ISNUMBER(SEARCH("Party Name-",'R.M Billets Reports'!D1585)),TRIM(MID('R.M Billets Reports'!D1585,SEARCH("-",'R.M Billets Reports'!D1585)+1,200)),""))&lt;&gt;"",IF(ISNUMBER(SEARCH("Party Name:-",'R.M Billets Reports'!D1585)),TRIM('R.M Billets Reports'!F1585),IF(ISNUMBER(SEARCH("Party Name-",'R.M Billets Reports'!D1585)),TRIM(MID('R.M Billets Reports'!D1585,SEARCH("-",'R.M Billets Reports'!D1585)+1,200)),"")),IF(ISNUMBER(SEARCH("Party Name:-",'R.M Billets Reports'!D1586)),TRIM('R.M Billets Reports'!F1586),IF(ISNUMBER(SEARCH("Party Name-",'R.M Billets Reports'!D1586)),TRIM(MID('R.M Billets Reports'!D1586,SEARCH("-",'R.M Billets Reports'!D1586)+1,200)),"")))="SHRI RADHE","SHREE RADHE",IF(IF(IF(ISNUMBER(SEARCH("Party Name:-",'R.M Billets Reports'!D1585)),TRIM('R.M Billets Reports'!F1585),IF(ISNUMBER(SEARCH("Party Name-",'R.M Billets Reports'!D1585)),TRIM(MID('R.M Billets Reports'!D1585,SEARCH("-",'R.M Billets Reports'!D1585)+1,200)),""))&lt;&gt;"",IF(ISNUMBER(SEARCH("Party Name:-",'R.M Billets Reports'!D1585)),TRIM('R.M Billets Reports'!F1585),IF(ISNUMBER(SEARCH("Party Name-",'R.M Billets Reports'!D1585)),TRIM(MID('R.M Billets Reports'!D1585,SEARCH("-",'R.M Billets Reports'!D1585)+1,200)),"")),IF(ISNUMBER(SEARCH("Party Name:-",'R.M Billets Reports'!D1586)),TRIM('R.M Billets Reports'!F1586),IF(ISNUMBER(SEARCH("Party Name-",'R.M Billets Reports'!D1586)),TRIM(MID('R.M Billets Reports'!D1586,SEARCH("-",'R.M Billets Reports'!D1586)+1,200)),"")))="SHREE RADHE SHAKTI SPONGE AND POWER PVT. LTD.","SHREE RADHE",IF(IF(ISNUMBER(SEARCH("Party Name:-",'R.M Billets Reports'!D1585)),TRIM('R.M Billets Reports'!F1585),IF(ISNUMBER(SEARCH("Party Name-",'R.M Billets Reports'!D1585)),TRIM(MID('R.M Billets Reports'!D1585,SEARCH("-",'R.M Billets Reports'!D1585)+1,200)),""))&lt;&gt;"",IF(ISNUMBER(SEARCH("Party Name:-",'R.M Billets Reports'!D1585)),TRIM('R.M Billets Reports'!F1585),IF(ISNUMBER(SEARCH("Party Name-",'R.M Billets Reports'!D1585)),TRIM(MID('R.M Billets Reports'!D1585,SEARCH("-",'R.M Billets Reports'!D1585)+1,200)),"")),IF(ISNUMBER(SEARCH("Party Name:-",'R.M Billets Reports'!D1586)),TRIM('R.M Billets Reports'!F1586),IF(ISNUMBER(SEARCH("Party Name-",'R.M Billets Reports'!D1586)),TRIM(MID('R.M Billets Reports'!D1586,SEARCH("-",'R.M Billets Reports'!D1586)+1,200)),"")))))),IF(ROW()=2,"",A1585))</f>
      </c>
      <c r="B1586">
        <f>IF(OR('R.M Billets Reports'!A1585="Date-",'R.M Billets Reports'!A1585="Date:-"),'R.M Billets Reports'!B1585,IF(ROW()=2,"",B1585))</f>
      </c>
      <c r="C1586">
        <f>IF('R.M Billets Reports'!A1585="V.No.",'R.M Billets Reports'!B1585,IF(ROW()=2,"",C1585))</f>
      </c>
      <c r="D1586">
        <f>IF('R.M Billets Reports'!A1585&lt;&gt;"",'R.M Billets Reports'!A1585,IF(ROW()=2,"",D1585))</f>
      </c>
      <c r="E1586">
        <f>IF('R.M Billets Reports'!B1585="","",TRIM('R.M Billets Reports'!B1585))</f>
      </c>
      <c r="F1586">
        <f>'R.M Billets Reports'!C1585</f>
      </c>
      <c r="G1586">
        <f>'R.M Billets Reports'!D1585</f>
      </c>
      <c r="H1586">
        <f>'R.M Billets Reports'!E1585</f>
      </c>
      <c r="I1586">
        <f>'R.M Billets Reports'!F1585</f>
      </c>
      <c r="J1586">
        <f>'R.M Billets Reports'!G1585</f>
      </c>
      <c r="K1586">
        <f>'R.M Billets Reports'!H1585</f>
      </c>
      <c r="L1586">
        <f>IF('R.M Billets Reports'!I1585="","",'R.M Billets Reports'!I1585)</f>
      </c>
      <c r="M1586">
        <f t="shared" si="48"/>
      </c>
      <c r="N1586">
        <f>IF('R.M Billets Reports'!J1585="","",'R.M Billets Reports'!J1585)</f>
      </c>
      <c r="O1586">
        <f t="shared" si="49"/>
      </c>
      <c r="P1586">
        <f>IF('R.M Billets Reports'!A1585="SIZE",'R.M Billets Reports'!B1585,P1585)</f>
      </c>
    </row>
    <row r="1587" spans="1:16" x14ac:dyDescent="0.25">
      <c r="A1587">
        <f>IF(OR('R.M Billets Reports'!A1586="Date-",'R.M Billets Reports'!A1586="Date:-"),IF(IF(IF(ISNUMBER(SEARCH("Party Name:-",'R.M Billets Reports'!D1586)),TRIM('R.M Billets Reports'!F1586),IF(ISNUMBER(SEARCH("Party Name-",'R.M Billets Reports'!D1586)),TRIM(MID('R.M Billets Reports'!D1586,SEARCH("-",'R.M Billets Reports'!D1586)+1,200)),""))&lt;&gt;"",IF(ISNUMBER(SEARCH("Party Name:-",'R.M Billets Reports'!D1586)),TRIM('R.M Billets Reports'!F1586),IF(ISNUMBER(SEARCH("Party Name-",'R.M Billets Reports'!D1586)),TRIM(MID('R.M Billets Reports'!D1586,SEARCH("-",'R.M Billets Reports'!D1586)+1,200)),"")),IF(ISNUMBER(SEARCH("Party Name:-",'R.M Billets Reports'!D1587)),TRIM('R.M Billets Reports'!F1587),IF(ISNUMBER(SEARCH("Party Name-",'R.M Billets Reports'!D1587)),TRIM(MID('R.M Billets Reports'!D1587,SEARCH("-",'R.M Billets Reports'!D1587)+1,200)),"")))="VRKP ISPAT PVT LTD","VRKP",IF(IF(IF(ISNUMBER(SEARCH("Party Name:-",'R.M Billets Reports'!D1586)),TRIM('R.M Billets Reports'!F1586),IF(ISNUMBER(SEARCH("Party Name-",'R.M Billets Reports'!D1586)),TRIM(MID('R.M Billets Reports'!D1586,SEARCH("-",'R.M Billets Reports'!D1586)+1,200)),""))&lt;&gt;"",IF(ISNUMBER(SEARCH("Party Name:-",'R.M Billets Reports'!D1586)),TRIM('R.M Billets Reports'!F1586),IF(ISNUMBER(SEARCH("Party Name-",'R.M Billets Reports'!D1586)),TRIM(MID('R.M Billets Reports'!D1586,SEARCH("-",'R.M Billets Reports'!D1586)+1,200)),"")),IF(ISNUMBER(SEARCH("Party Name:-",'R.M Billets Reports'!D1587)),TRIM('R.M Billets Reports'!F1587),IF(ISNUMBER(SEARCH("Party Name-",'R.M Billets Reports'!D1587)),TRIM(MID('R.M Billets Reports'!D1587,SEARCH("-",'R.M Billets Reports'!D1587)+1,200)),"")))="SHRI RADHE","SHREE RADHE",IF(IF(IF(ISNUMBER(SEARCH("Party Name:-",'R.M Billets Reports'!D1586)),TRIM('R.M Billets Reports'!F1586),IF(ISNUMBER(SEARCH("Party Name-",'R.M Billets Reports'!D1586)),TRIM(MID('R.M Billets Reports'!D1586,SEARCH("-",'R.M Billets Reports'!D1586)+1,200)),""))&lt;&gt;"",IF(ISNUMBER(SEARCH("Party Name:-",'R.M Billets Reports'!D1586)),TRIM('R.M Billets Reports'!F1586),IF(ISNUMBER(SEARCH("Party Name-",'R.M Billets Reports'!D1586)),TRIM(MID('R.M Billets Reports'!D1586,SEARCH("-",'R.M Billets Reports'!D1586)+1,200)),"")),IF(ISNUMBER(SEARCH("Party Name:-",'R.M Billets Reports'!D1587)),TRIM('R.M Billets Reports'!F1587),IF(ISNUMBER(SEARCH("Party Name-",'R.M Billets Reports'!D1587)),TRIM(MID('R.M Billets Reports'!D1587,SEARCH("-",'R.M Billets Reports'!D1587)+1,200)),"")))="SHREE RADHE SHAKTI SPONGE AND POWER PVT. LTD.","SHREE RADHE",IF(IF(ISNUMBER(SEARCH("Party Name:-",'R.M Billets Reports'!D1586)),TRIM('R.M Billets Reports'!F1586),IF(ISNUMBER(SEARCH("Party Name-",'R.M Billets Reports'!D1586)),TRIM(MID('R.M Billets Reports'!D1586,SEARCH("-",'R.M Billets Reports'!D1586)+1,200)),""))&lt;&gt;"",IF(ISNUMBER(SEARCH("Party Name:-",'R.M Billets Reports'!D1586)),TRIM('R.M Billets Reports'!F1586),IF(ISNUMBER(SEARCH("Party Name-",'R.M Billets Reports'!D1586)),TRIM(MID('R.M Billets Reports'!D1586,SEARCH("-",'R.M Billets Reports'!D1586)+1,200)),"")),IF(ISNUMBER(SEARCH("Party Name:-",'R.M Billets Reports'!D1587)),TRIM('R.M Billets Reports'!F1587),IF(ISNUMBER(SEARCH("Party Name-",'R.M Billets Reports'!D1587)),TRIM(MID('R.M Billets Reports'!D1587,SEARCH("-",'R.M Billets Reports'!D1587)+1,200)),"")))))),IF(ROW()=2,"",A1586))</f>
      </c>
      <c r="B1587">
        <f>IF(OR('R.M Billets Reports'!A1586="Date-",'R.M Billets Reports'!A1586="Date:-"),'R.M Billets Reports'!B1586,IF(ROW()=2,"",B1586))</f>
      </c>
      <c r="C1587">
        <f>IF('R.M Billets Reports'!A1586="V.No.",'R.M Billets Reports'!B1586,IF(ROW()=2,"",C1586))</f>
      </c>
      <c r="D1587">
        <f>IF('R.M Billets Reports'!A1586&lt;&gt;"",'R.M Billets Reports'!A1586,IF(ROW()=2,"",D1586))</f>
      </c>
      <c r="E1587">
        <f>IF('R.M Billets Reports'!B1586="","",TRIM('R.M Billets Reports'!B1586))</f>
      </c>
      <c r="F1587">
        <f>'R.M Billets Reports'!C1586</f>
      </c>
      <c r="G1587">
        <f>'R.M Billets Reports'!D1586</f>
      </c>
      <c r="H1587">
        <f>'R.M Billets Reports'!E1586</f>
      </c>
      <c r="I1587">
        <f>'R.M Billets Reports'!F1586</f>
      </c>
      <c r="J1587">
        <f>'R.M Billets Reports'!G1586</f>
      </c>
      <c r="K1587">
        <f>'R.M Billets Reports'!H1586</f>
      </c>
      <c r="L1587">
        <f>IF('R.M Billets Reports'!I1586="","",'R.M Billets Reports'!I1586)</f>
      </c>
      <c r="M1587">
        <f t="shared" si="48"/>
      </c>
      <c r="N1587">
        <f>IF('R.M Billets Reports'!J1586="","",'R.M Billets Reports'!J1586)</f>
      </c>
      <c r="O1587">
        <f t="shared" si="49"/>
      </c>
      <c r="P1587">
        <f>IF('R.M Billets Reports'!A1586="SIZE",'R.M Billets Reports'!B1586,P1586)</f>
      </c>
    </row>
    <row r="1588" spans="1:16" x14ac:dyDescent="0.25">
      <c r="A1588">
        <f>IF(OR('R.M Billets Reports'!A1587="Date-",'R.M Billets Reports'!A1587="Date:-"),IF(IF(IF(ISNUMBER(SEARCH("Party Name:-",'R.M Billets Reports'!D1587)),TRIM('R.M Billets Reports'!F1587),IF(ISNUMBER(SEARCH("Party Name-",'R.M Billets Reports'!D1587)),TRIM(MID('R.M Billets Reports'!D1587,SEARCH("-",'R.M Billets Reports'!D1587)+1,200)),""))&lt;&gt;"",IF(ISNUMBER(SEARCH("Party Name:-",'R.M Billets Reports'!D1587)),TRIM('R.M Billets Reports'!F1587),IF(ISNUMBER(SEARCH("Party Name-",'R.M Billets Reports'!D1587)),TRIM(MID('R.M Billets Reports'!D1587,SEARCH("-",'R.M Billets Reports'!D1587)+1,200)),"")),IF(ISNUMBER(SEARCH("Party Name:-",'R.M Billets Reports'!D1588)),TRIM('R.M Billets Reports'!F1588),IF(ISNUMBER(SEARCH("Party Name-",'R.M Billets Reports'!D1588)),TRIM(MID('R.M Billets Reports'!D1588,SEARCH("-",'R.M Billets Reports'!D1588)+1,200)),"")))="VRKP ISPAT PVT LTD","VRKP",IF(IF(IF(ISNUMBER(SEARCH("Party Name:-",'R.M Billets Reports'!D1587)),TRIM('R.M Billets Reports'!F1587),IF(ISNUMBER(SEARCH("Party Name-",'R.M Billets Reports'!D1587)),TRIM(MID('R.M Billets Reports'!D1587,SEARCH("-",'R.M Billets Reports'!D1587)+1,200)),""))&lt;&gt;"",IF(ISNUMBER(SEARCH("Party Name:-",'R.M Billets Reports'!D1587)),TRIM('R.M Billets Reports'!F1587),IF(ISNUMBER(SEARCH("Party Name-",'R.M Billets Reports'!D1587)),TRIM(MID('R.M Billets Reports'!D1587,SEARCH("-",'R.M Billets Reports'!D1587)+1,200)),"")),IF(ISNUMBER(SEARCH("Party Name:-",'R.M Billets Reports'!D1588)),TRIM('R.M Billets Reports'!F1588),IF(ISNUMBER(SEARCH("Party Name-",'R.M Billets Reports'!D1588)),TRIM(MID('R.M Billets Reports'!D1588,SEARCH("-",'R.M Billets Reports'!D1588)+1,200)),"")))="SHRI RADHE","SHREE RADHE",IF(IF(IF(ISNUMBER(SEARCH("Party Name:-",'R.M Billets Reports'!D1587)),TRIM('R.M Billets Reports'!F1587),IF(ISNUMBER(SEARCH("Party Name-",'R.M Billets Reports'!D1587)),TRIM(MID('R.M Billets Reports'!D1587,SEARCH("-",'R.M Billets Reports'!D1587)+1,200)),""))&lt;&gt;"",IF(ISNUMBER(SEARCH("Party Name:-",'R.M Billets Reports'!D1587)),TRIM('R.M Billets Reports'!F1587),IF(ISNUMBER(SEARCH("Party Name-",'R.M Billets Reports'!D1587)),TRIM(MID('R.M Billets Reports'!D1587,SEARCH("-",'R.M Billets Reports'!D1587)+1,200)),"")),IF(ISNUMBER(SEARCH("Party Name:-",'R.M Billets Reports'!D1588)),TRIM('R.M Billets Reports'!F1588),IF(ISNUMBER(SEARCH("Party Name-",'R.M Billets Reports'!D1588)),TRIM(MID('R.M Billets Reports'!D1588,SEARCH("-",'R.M Billets Reports'!D1588)+1,200)),"")))="SHREE RADHE SHAKTI SPONGE AND POWER PVT. LTD.","SHREE RADHE",IF(IF(ISNUMBER(SEARCH("Party Name:-",'R.M Billets Reports'!D1587)),TRIM('R.M Billets Reports'!F1587),IF(ISNUMBER(SEARCH("Party Name-",'R.M Billets Reports'!D1587)),TRIM(MID('R.M Billets Reports'!D1587,SEARCH("-",'R.M Billets Reports'!D1587)+1,200)),""))&lt;&gt;"",IF(ISNUMBER(SEARCH("Party Name:-",'R.M Billets Reports'!D1587)),TRIM('R.M Billets Reports'!F1587),IF(ISNUMBER(SEARCH("Party Name-",'R.M Billets Reports'!D1587)),TRIM(MID('R.M Billets Reports'!D1587,SEARCH("-",'R.M Billets Reports'!D1587)+1,200)),"")),IF(ISNUMBER(SEARCH("Party Name:-",'R.M Billets Reports'!D1588)),TRIM('R.M Billets Reports'!F1588),IF(ISNUMBER(SEARCH("Party Name-",'R.M Billets Reports'!D1588)),TRIM(MID('R.M Billets Reports'!D1588,SEARCH("-",'R.M Billets Reports'!D1588)+1,200)),"")))))),IF(ROW()=2,"",A1587))</f>
      </c>
      <c r="B1588">
        <f>IF(OR('R.M Billets Reports'!A1587="Date-",'R.M Billets Reports'!A1587="Date:-"),'R.M Billets Reports'!B1587,IF(ROW()=2,"",B1587))</f>
      </c>
      <c r="C1588">
        <f>IF('R.M Billets Reports'!A1587="V.No.",'R.M Billets Reports'!B1587,IF(ROW()=2,"",C1587))</f>
      </c>
      <c r="D1588">
        <f>IF('R.M Billets Reports'!A1587&lt;&gt;"",'R.M Billets Reports'!A1587,IF(ROW()=2,"",D1587))</f>
      </c>
      <c r="E1588">
        <f>IF('R.M Billets Reports'!B1587="","",TRIM('R.M Billets Reports'!B1587))</f>
      </c>
      <c r="F1588">
        <f>'R.M Billets Reports'!C1587</f>
      </c>
      <c r="G1588">
        <f>'R.M Billets Reports'!D1587</f>
      </c>
      <c r="H1588">
        <f>'R.M Billets Reports'!E1587</f>
      </c>
      <c r="I1588">
        <f>'R.M Billets Reports'!F1587</f>
      </c>
      <c r="J1588">
        <f>'R.M Billets Reports'!G1587</f>
      </c>
      <c r="K1588">
        <f>'R.M Billets Reports'!H1587</f>
      </c>
      <c r="L1588">
        <f>IF('R.M Billets Reports'!I1587="","",'R.M Billets Reports'!I1587)</f>
      </c>
      <c r="M1588">
        <f t="shared" si="48"/>
      </c>
      <c r="N1588">
        <f>IF('R.M Billets Reports'!J1587="","",'R.M Billets Reports'!J1587)</f>
      </c>
      <c r="O1588">
        <f t="shared" si="49"/>
      </c>
      <c r="P1588">
        <f>IF('R.M Billets Reports'!A1587="SIZE",'R.M Billets Reports'!B1587,P1587)</f>
      </c>
    </row>
    <row r="1589" spans="1:16" x14ac:dyDescent="0.25">
      <c r="A1589">
        <f>IF(OR('R.M Billets Reports'!A1588="Date-",'R.M Billets Reports'!A1588="Date:-"),IF(IF(IF(ISNUMBER(SEARCH("Party Name:-",'R.M Billets Reports'!D1588)),TRIM('R.M Billets Reports'!F1588),IF(ISNUMBER(SEARCH("Party Name-",'R.M Billets Reports'!D1588)),TRIM(MID('R.M Billets Reports'!D1588,SEARCH("-",'R.M Billets Reports'!D1588)+1,200)),""))&lt;&gt;"",IF(ISNUMBER(SEARCH("Party Name:-",'R.M Billets Reports'!D1588)),TRIM('R.M Billets Reports'!F1588),IF(ISNUMBER(SEARCH("Party Name-",'R.M Billets Reports'!D1588)),TRIM(MID('R.M Billets Reports'!D1588,SEARCH("-",'R.M Billets Reports'!D1588)+1,200)),"")),IF(ISNUMBER(SEARCH("Party Name:-",'R.M Billets Reports'!D1589)),TRIM('R.M Billets Reports'!F1589),IF(ISNUMBER(SEARCH("Party Name-",'R.M Billets Reports'!D1589)),TRIM(MID('R.M Billets Reports'!D1589,SEARCH("-",'R.M Billets Reports'!D1589)+1,200)),"")))="VRKP ISPAT PVT LTD","VRKP",IF(IF(IF(ISNUMBER(SEARCH("Party Name:-",'R.M Billets Reports'!D1588)),TRIM('R.M Billets Reports'!F1588),IF(ISNUMBER(SEARCH("Party Name-",'R.M Billets Reports'!D1588)),TRIM(MID('R.M Billets Reports'!D1588,SEARCH("-",'R.M Billets Reports'!D1588)+1,200)),""))&lt;&gt;"",IF(ISNUMBER(SEARCH("Party Name:-",'R.M Billets Reports'!D1588)),TRIM('R.M Billets Reports'!F1588),IF(ISNUMBER(SEARCH("Party Name-",'R.M Billets Reports'!D1588)),TRIM(MID('R.M Billets Reports'!D1588,SEARCH("-",'R.M Billets Reports'!D1588)+1,200)),"")),IF(ISNUMBER(SEARCH("Party Name:-",'R.M Billets Reports'!D1589)),TRIM('R.M Billets Reports'!F1589),IF(ISNUMBER(SEARCH("Party Name-",'R.M Billets Reports'!D1589)),TRIM(MID('R.M Billets Reports'!D1589,SEARCH("-",'R.M Billets Reports'!D1589)+1,200)),"")))="SHRI RADHE","SHREE RADHE",IF(IF(IF(ISNUMBER(SEARCH("Party Name:-",'R.M Billets Reports'!D1588)),TRIM('R.M Billets Reports'!F1588),IF(ISNUMBER(SEARCH("Party Name-",'R.M Billets Reports'!D1588)),TRIM(MID('R.M Billets Reports'!D1588,SEARCH("-",'R.M Billets Reports'!D1588)+1,200)),""))&lt;&gt;"",IF(ISNUMBER(SEARCH("Party Name:-",'R.M Billets Reports'!D1588)),TRIM('R.M Billets Reports'!F1588),IF(ISNUMBER(SEARCH("Party Name-",'R.M Billets Reports'!D1588)),TRIM(MID('R.M Billets Reports'!D1588,SEARCH("-",'R.M Billets Reports'!D1588)+1,200)),"")),IF(ISNUMBER(SEARCH("Party Name:-",'R.M Billets Reports'!D1589)),TRIM('R.M Billets Reports'!F1589),IF(ISNUMBER(SEARCH("Party Name-",'R.M Billets Reports'!D1589)),TRIM(MID('R.M Billets Reports'!D1589,SEARCH("-",'R.M Billets Reports'!D1589)+1,200)),"")))="SHREE RADHE SHAKTI SPONGE AND POWER PVT. LTD.","SHREE RADHE",IF(IF(ISNUMBER(SEARCH("Party Name:-",'R.M Billets Reports'!D1588)),TRIM('R.M Billets Reports'!F1588),IF(ISNUMBER(SEARCH("Party Name-",'R.M Billets Reports'!D1588)),TRIM(MID('R.M Billets Reports'!D1588,SEARCH("-",'R.M Billets Reports'!D1588)+1,200)),""))&lt;&gt;"",IF(ISNUMBER(SEARCH("Party Name:-",'R.M Billets Reports'!D1588)),TRIM('R.M Billets Reports'!F1588),IF(ISNUMBER(SEARCH("Party Name-",'R.M Billets Reports'!D1588)),TRIM(MID('R.M Billets Reports'!D1588,SEARCH("-",'R.M Billets Reports'!D1588)+1,200)),"")),IF(ISNUMBER(SEARCH("Party Name:-",'R.M Billets Reports'!D1589)),TRIM('R.M Billets Reports'!F1589),IF(ISNUMBER(SEARCH("Party Name-",'R.M Billets Reports'!D1589)),TRIM(MID('R.M Billets Reports'!D1589,SEARCH("-",'R.M Billets Reports'!D1589)+1,200)),"")))))),IF(ROW()=2,"",A1588))</f>
      </c>
      <c r="B1589">
        <f>IF(OR('R.M Billets Reports'!A1588="Date-",'R.M Billets Reports'!A1588="Date:-"),'R.M Billets Reports'!B1588,IF(ROW()=2,"",B1588))</f>
      </c>
      <c r="C1589">
        <f>IF('R.M Billets Reports'!A1588="V.No.",'R.M Billets Reports'!B1588,IF(ROW()=2,"",C1588))</f>
      </c>
      <c r="D1589">
        <f>IF('R.M Billets Reports'!A1588&lt;&gt;"",'R.M Billets Reports'!A1588,IF(ROW()=2,"",D1588))</f>
      </c>
      <c r="E1589">
        <f>IF('R.M Billets Reports'!B1588="","",TRIM('R.M Billets Reports'!B1588))</f>
      </c>
      <c r="F1589">
        <f>'R.M Billets Reports'!C1588</f>
      </c>
      <c r="G1589">
        <f>'R.M Billets Reports'!D1588</f>
      </c>
      <c r="H1589">
        <f>'R.M Billets Reports'!E1588</f>
      </c>
      <c r="I1589">
        <f>'R.M Billets Reports'!F1588</f>
      </c>
      <c r="J1589">
        <f>'R.M Billets Reports'!G1588</f>
      </c>
      <c r="K1589">
        <f>'R.M Billets Reports'!H1588</f>
      </c>
      <c r="L1589">
        <f>IF('R.M Billets Reports'!I1588="","",'R.M Billets Reports'!I1588)</f>
      </c>
      <c r="M1589">
        <f t="shared" si="48"/>
      </c>
      <c r="N1589">
        <f>IF('R.M Billets Reports'!J1588="","",'R.M Billets Reports'!J1588)</f>
      </c>
      <c r="O1589">
        <f t="shared" si="49"/>
      </c>
      <c r="P1589">
        <f>IF('R.M Billets Reports'!A1588="SIZE",'R.M Billets Reports'!B1588,P1588)</f>
      </c>
    </row>
    <row r="1590" spans="1:16" x14ac:dyDescent="0.25">
      <c r="A1590">
        <f>IF(OR('R.M Billets Reports'!A1589="Date-",'R.M Billets Reports'!A1589="Date:-"),IF(IF(IF(ISNUMBER(SEARCH("Party Name:-",'R.M Billets Reports'!D1589)),TRIM('R.M Billets Reports'!F1589),IF(ISNUMBER(SEARCH("Party Name-",'R.M Billets Reports'!D1589)),TRIM(MID('R.M Billets Reports'!D1589,SEARCH("-",'R.M Billets Reports'!D1589)+1,200)),""))&lt;&gt;"",IF(ISNUMBER(SEARCH("Party Name:-",'R.M Billets Reports'!D1589)),TRIM('R.M Billets Reports'!F1589),IF(ISNUMBER(SEARCH("Party Name-",'R.M Billets Reports'!D1589)),TRIM(MID('R.M Billets Reports'!D1589,SEARCH("-",'R.M Billets Reports'!D1589)+1,200)),"")),IF(ISNUMBER(SEARCH("Party Name:-",'R.M Billets Reports'!D1590)),TRIM('R.M Billets Reports'!F1590),IF(ISNUMBER(SEARCH("Party Name-",'R.M Billets Reports'!D1590)),TRIM(MID('R.M Billets Reports'!D1590,SEARCH("-",'R.M Billets Reports'!D1590)+1,200)),"")))="VRKP ISPAT PVT LTD","VRKP",IF(IF(IF(ISNUMBER(SEARCH("Party Name:-",'R.M Billets Reports'!D1589)),TRIM('R.M Billets Reports'!F1589),IF(ISNUMBER(SEARCH("Party Name-",'R.M Billets Reports'!D1589)),TRIM(MID('R.M Billets Reports'!D1589,SEARCH("-",'R.M Billets Reports'!D1589)+1,200)),""))&lt;&gt;"",IF(ISNUMBER(SEARCH("Party Name:-",'R.M Billets Reports'!D1589)),TRIM('R.M Billets Reports'!F1589),IF(ISNUMBER(SEARCH("Party Name-",'R.M Billets Reports'!D1589)),TRIM(MID('R.M Billets Reports'!D1589,SEARCH("-",'R.M Billets Reports'!D1589)+1,200)),"")),IF(ISNUMBER(SEARCH("Party Name:-",'R.M Billets Reports'!D1590)),TRIM('R.M Billets Reports'!F1590),IF(ISNUMBER(SEARCH("Party Name-",'R.M Billets Reports'!D1590)),TRIM(MID('R.M Billets Reports'!D1590,SEARCH("-",'R.M Billets Reports'!D1590)+1,200)),"")))="SHRI RADHE","SHREE RADHE",IF(IF(IF(ISNUMBER(SEARCH("Party Name:-",'R.M Billets Reports'!D1589)),TRIM('R.M Billets Reports'!F1589),IF(ISNUMBER(SEARCH("Party Name-",'R.M Billets Reports'!D1589)),TRIM(MID('R.M Billets Reports'!D1589,SEARCH("-",'R.M Billets Reports'!D1589)+1,200)),""))&lt;&gt;"",IF(ISNUMBER(SEARCH("Party Name:-",'R.M Billets Reports'!D1589)),TRIM('R.M Billets Reports'!F1589),IF(ISNUMBER(SEARCH("Party Name-",'R.M Billets Reports'!D1589)),TRIM(MID('R.M Billets Reports'!D1589,SEARCH("-",'R.M Billets Reports'!D1589)+1,200)),"")),IF(ISNUMBER(SEARCH("Party Name:-",'R.M Billets Reports'!D1590)),TRIM('R.M Billets Reports'!F1590),IF(ISNUMBER(SEARCH("Party Name-",'R.M Billets Reports'!D1590)),TRIM(MID('R.M Billets Reports'!D1590,SEARCH("-",'R.M Billets Reports'!D1590)+1,200)),"")))="SHREE RADHE SHAKTI SPONGE AND POWER PVT. LTD.","SHREE RADHE",IF(IF(ISNUMBER(SEARCH("Party Name:-",'R.M Billets Reports'!D1589)),TRIM('R.M Billets Reports'!F1589),IF(ISNUMBER(SEARCH("Party Name-",'R.M Billets Reports'!D1589)),TRIM(MID('R.M Billets Reports'!D1589,SEARCH("-",'R.M Billets Reports'!D1589)+1,200)),""))&lt;&gt;"",IF(ISNUMBER(SEARCH("Party Name:-",'R.M Billets Reports'!D1589)),TRIM('R.M Billets Reports'!F1589),IF(ISNUMBER(SEARCH("Party Name-",'R.M Billets Reports'!D1589)),TRIM(MID('R.M Billets Reports'!D1589,SEARCH("-",'R.M Billets Reports'!D1589)+1,200)),"")),IF(ISNUMBER(SEARCH("Party Name:-",'R.M Billets Reports'!D1590)),TRIM('R.M Billets Reports'!F1590),IF(ISNUMBER(SEARCH("Party Name-",'R.M Billets Reports'!D1590)),TRIM(MID('R.M Billets Reports'!D1590,SEARCH("-",'R.M Billets Reports'!D1590)+1,200)),"")))))),IF(ROW()=2,"",A1589))</f>
      </c>
      <c r="B1590">
        <f>IF(OR('R.M Billets Reports'!A1589="Date-",'R.M Billets Reports'!A1589="Date:-"),'R.M Billets Reports'!B1589,IF(ROW()=2,"",B1589))</f>
      </c>
      <c r="C1590">
        <f>IF('R.M Billets Reports'!A1589="V.No.",'R.M Billets Reports'!B1589,IF(ROW()=2,"",C1589))</f>
      </c>
      <c r="D1590">
        <f>IF('R.M Billets Reports'!A1589&lt;&gt;"",'R.M Billets Reports'!A1589,IF(ROW()=2,"",D1589))</f>
      </c>
      <c r="E1590">
        <f>IF('R.M Billets Reports'!B1589="","",TRIM('R.M Billets Reports'!B1589))</f>
      </c>
      <c r="F1590">
        <f>'R.M Billets Reports'!C1589</f>
      </c>
      <c r="G1590">
        <f>'R.M Billets Reports'!D1589</f>
      </c>
      <c r="H1590">
        <f>'R.M Billets Reports'!E1589</f>
      </c>
      <c r="I1590">
        <f>'R.M Billets Reports'!F1589</f>
      </c>
      <c r="J1590">
        <f>'R.M Billets Reports'!G1589</f>
      </c>
      <c r="K1590">
        <f>'R.M Billets Reports'!H1589</f>
      </c>
      <c r="L1590">
        <f>IF('R.M Billets Reports'!I1589="","",'R.M Billets Reports'!I1589)</f>
      </c>
      <c r="M1590">
        <f t="shared" si="48"/>
      </c>
      <c r="N1590">
        <f>IF('R.M Billets Reports'!J1589="","",'R.M Billets Reports'!J1589)</f>
      </c>
      <c r="O1590">
        <f t="shared" si="49"/>
      </c>
      <c r="P1590">
        <f>IF('R.M Billets Reports'!A1589="SIZE",'R.M Billets Reports'!B1589,P1589)</f>
      </c>
    </row>
    <row r="1591" spans="1:16" x14ac:dyDescent="0.25">
      <c r="A1591">
        <f>IF(OR('R.M Billets Reports'!A1590="Date-",'R.M Billets Reports'!A1590="Date:-"),IF(IF(IF(ISNUMBER(SEARCH("Party Name:-",'R.M Billets Reports'!D1590)),TRIM('R.M Billets Reports'!F1590),IF(ISNUMBER(SEARCH("Party Name-",'R.M Billets Reports'!D1590)),TRIM(MID('R.M Billets Reports'!D1590,SEARCH("-",'R.M Billets Reports'!D1590)+1,200)),""))&lt;&gt;"",IF(ISNUMBER(SEARCH("Party Name:-",'R.M Billets Reports'!D1590)),TRIM('R.M Billets Reports'!F1590),IF(ISNUMBER(SEARCH("Party Name-",'R.M Billets Reports'!D1590)),TRIM(MID('R.M Billets Reports'!D1590,SEARCH("-",'R.M Billets Reports'!D1590)+1,200)),"")),IF(ISNUMBER(SEARCH("Party Name:-",'R.M Billets Reports'!D1591)),TRIM('R.M Billets Reports'!F1591),IF(ISNUMBER(SEARCH("Party Name-",'R.M Billets Reports'!D1591)),TRIM(MID('R.M Billets Reports'!D1591,SEARCH("-",'R.M Billets Reports'!D1591)+1,200)),"")))="VRKP ISPAT PVT LTD","VRKP",IF(IF(IF(ISNUMBER(SEARCH("Party Name:-",'R.M Billets Reports'!D1590)),TRIM('R.M Billets Reports'!F1590),IF(ISNUMBER(SEARCH("Party Name-",'R.M Billets Reports'!D1590)),TRIM(MID('R.M Billets Reports'!D1590,SEARCH("-",'R.M Billets Reports'!D1590)+1,200)),""))&lt;&gt;"",IF(ISNUMBER(SEARCH("Party Name:-",'R.M Billets Reports'!D1590)),TRIM('R.M Billets Reports'!F1590),IF(ISNUMBER(SEARCH("Party Name-",'R.M Billets Reports'!D1590)),TRIM(MID('R.M Billets Reports'!D1590,SEARCH("-",'R.M Billets Reports'!D1590)+1,200)),"")),IF(ISNUMBER(SEARCH("Party Name:-",'R.M Billets Reports'!D1591)),TRIM('R.M Billets Reports'!F1591),IF(ISNUMBER(SEARCH("Party Name-",'R.M Billets Reports'!D1591)),TRIM(MID('R.M Billets Reports'!D1591,SEARCH("-",'R.M Billets Reports'!D1591)+1,200)),"")))="SHRI RADHE","SHREE RADHE",IF(IF(IF(ISNUMBER(SEARCH("Party Name:-",'R.M Billets Reports'!D1590)),TRIM('R.M Billets Reports'!F1590),IF(ISNUMBER(SEARCH("Party Name-",'R.M Billets Reports'!D1590)),TRIM(MID('R.M Billets Reports'!D1590,SEARCH("-",'R.M Billets Reports'!D1590)+1,200)),""))&lt;&gt;"",IF(ISNUMBER(SEARCH("Party Name:-",'R.M Billets Reports'!D1590)),TRIM('R.M Billets Reports'!F1590),IF(ISNUMBER(SEARCH("Party Name-",'R.M Billets Reports'!D1590)),TRIM(MID('R.M Billets Reports'!D1590,SEARCH("-",'R.M Billets Reports'!D1590)+1,200)),"")),IF(ISNUMBER(SEARCH("Party Name:-",'R.M Billets Reports'!D1591)),TRIM('R.M Billets Reports'!F1591),IF(ISNUMBER(SEARCH("Party Name-",'R.M Billets Reports'!D1591)),TRIM(MID('R.M Billets Reports'!D1591,SEARCH("-",'R.M Billets Reports'!D1591)+1,200)),"")))="SHREE RADHE SHAKTI SPONGE AND POWER PVT. LTD.","SHREE RADHE",IF(IF(ISNUMBER(SEARCH("Party Name:-",'R.M Billets Reports'!D1590)),TRIM('R.M Billets Reports'!F1590),IF(ISNUMBER(SEARCH("Party Name-",'R.M Billets Reports'!D1590)),TRIM(MID('R.M Billets Reports'!D1590,SEARCH("-",'R.M Billets Reports'!D1590)+1,200)),""))&lt;&gt;"",IF(ISNUMBER(SEARCH("Party Name:-",'R.M Billets Reports'!D1590)),TRIM('R.M Billets Reports'!F1590),IF(ISNUMBER(SEARCH("Party Name-",'R.M Billets Reports'!D1590)),TRIM(MID('R.M Billets Reports'!D1590,SEARCH("-",'R.M Billets Reports'!D1590)+1,200)),"")),IF(ISNUMBER(SEARCH("Party Name:-",'R.M Billets Reports'!D1591)),TRIM('R.M Billets Reports'!F1591),IF(ISNUMBER(SEARCH("Party Name-",'R.M Billets Reports'!D1591)),TRIM(MID('R.M Billets Reports'!D1591,SEARCH("-",'R.M Billets Reports'!D1591)+1,200)),"")))))),IF(ROW()=2,"",A1590))</f>
      </c>
      <c r="B1591">
        <f>IF(OR('R.M Billets Reports'!A1590="Date-",'R.M Billets Reports'!A1590="Date:-"),'R.M Billets Reports'!B1590,IF(ROW()=2,"",B1590))</f>
      </c>
      <c r="C1591">
        <f>IF('R.M Billets Reports'!A1590="V.No.",'R.M Billets Reports'!B1590,IF(ROW()=2,"",C1590))</f>
      </c>
      <c r="D1591">
        <f>IF('R.M Billets Reports'!A1590&lt;&gt;"",'R.M Billets Reports'!A1590,IF(ROW()=2,"",D1590))</f>
      </c>
      <c r="E1591">
        <f>IF('R.M Billets Reports'!B1590="","",TRIM('R.M Billets Reports'!B1590))</f>
      </c>
      <c r="F1591">
        <f>'R.M Billets Reports'!C1590</f>
      </c>
      <c r="G1591">
        <f>'R.M Billets Reports'!D1590</f>
      </c>
      <c r="H1591">
        <f>'R.M Billets Reports'!E1590</f>
      </c>
      <c r="I1591">
        <f>'R.M Billets Reports'!F1590</f>
      </c>
      <c r="J1591">
        <f>'R.M Billets Reports'!G1590</f>
      </c>
      <c r="K1591">
        <f>'R.M Billets Reports'!H1590</f>
      </c>
      <c r="L1591">
        <f>IF('R.M Billets Reports'!I1590="","",'R.M Billets Reports'!I1590)</f>
      </c>
      <c r="M1591">
        <f t="shared" si="48"/>
      </c>
      <c r="N1591">
        <f>IF('R.M Billets Reports'!J1590="","",'R.M Billets Reports'!J1590)</f>
      </c>
      <c r="O1591">
        <f t="shared" si="49"/>
      </c>
      <c r="P1591">
        <f>IF('R.M Billets Reports'!A1590="SIZE",'R.M Billets Reports'!B1590,P1590)</f>
      </c>
    </row>
    <row r="1592" spans="1:16" x14ac:dyDescent="0.25">
      <c r="A1592">
        <f>IF(OR('R.M Billets Reports'!A1591="Date-",'R.M Billets Reports'!A1591="Date:-"),IF(IF(IF(ISNUMBER(SEARCH("Party Name:-",'R.M Billets Reports'!D1591)),TRIM('R.M Billets Reports'!F1591),IF(ISNUMBER(SEARCH("Party Name-",'R.M Billets Reports'!D1591)),TRIM(MID('R.M Billets Reports'!D1591,SEARCH("-",'R.M Billets Reports'!D1591)+1,200)),""))&lt;&gt;"",IF(ISNUMBER(SEARCH("Party Name:-",'R.M Billets Reports'!D1591)),TRIM('R.M Billets Reports'!F1591),IF(ISNUMBER(SEARCH("Party Name-",'R.M Billets Reports'!D1591)),TRIM(MID('R.M Billets Reports'!D1591,SEARCH("-",'R.M Billets Reports'!D1591)+1,200)),"")),IF(ISNUMBER(SEARCH("Party Name:-",'R.M Billets Reports'!D1592)),TRIM('R.M Billets Reports'!F1592),IF(ISNUMBER(SEARCH("Party Name-",'R.M Billets Reports'!D1592)),TRIM(MID('R.M Billets Reports'!D1592,SEARCH("-",'R.M Billets Reports'!D1592)+1,200)),"")))="VRKP ISPAT PVT LTD","VRKP",IF(IF(IF(ISNUMBER(SEARCH("Party Name:-",'R.M Billets Reports'!D1591)),TRIM('R.M Billets Reports'!F1591),IF(ISNUMBER(SEARCH("Party Name-",'R.M Billets Reports'!D1591)),TRIM(MID('R.M Billets Reports'!D1591,SEARCH("-",'R.M Billets Reports'!D1591)+1,200)),""))&lt;&gt;"",IF(ISNUMBER(SEARCH("Party Name:-",'R.M Billets Reports'!D1591)),TRIM('R.M Billets Reports'!F1591),IF(ISNUMBER(SEARCH("Party Name-",'R.M Billets Reports'!D1591)),TRIM(MID('R.M Billets Reports'!D1591,SEARCH("-",'R.M Billets Reports'!D1591)+1,200)),"")),IF(ISNUMBER(SEARCH("Party Name:-",'R.M Billets Reports'!D1592)),TRIM('R.M Billets Reports'!F1592),IF(ISNUMBER(SEARCH("Party Name-",'R.M Billets Reports'!D1592)),TRIM(MID('R.M Billets Reports'!D1592,SEARCH("-",'R.M Billets Reports'!D1592)+1,200)),"")))="SHRI RADHE","SHREE RADHE",IF(IF(IF(ISNUMBER(SEARCH("Party Name:-",'R.M Billets Reports'!D1591)),TRIM('R.M Billets Reports'!F1591),IF(ISNUMBER(SEARCH("Party Name-",'R.M Billets Reports'!D1591)),TRIM(MID('R.M Billets Reports'!D1591,SEARCH("-",'R.M Billets Reports'!D1591)+1,200)),""))&lt;&gt;"",IF(ISNUMBER(SEARCH("Party Name:-",'R.M Billets Reports'!D1591)),TRIM('R.M Billets Reports'!F1591),IF(ISNUMBER(SEARCH("Party Name-",'R.M Billets Reports'!D1591)),TRIM(MID('R.M Billets Reports'!D1591,SEARCH("-",'R.M Billets Reports'!D1591)+1,200)),"")),IF(ISNUMBER(SEARCH("Party Name:-",'R.M Billets Reports'!D1592)),TRIM('R.M Billets Reports'!F1592),IF(ISNUMBER(SEARCH("Party Name-",'R.M Billets Reports'!D1592)),TRIM(MID('R.M Billets Reports'!D1592,SEARCH("-",'R.M Billets Reports'!D1592)+1,200)),"")))="SHREE RADHE SHAKTI SPONGE AND POWER PVT. LTD.","SHREE RADHE",IF(IF(ISNUMBER(SEARCH("Party Name:-",'R.M Billets Reports'!D1591)),TRIM('R.M Billets Reports'!F1591),IF(ISNUMBER(SEARCH("Party Name-",'R.M Billets Reports'!D1591)),TRIM(MID('R.M Billets Reports'!D1591,SEARCH("-",'R.M Billets Reports'!D1591)+1,200)),""))&lt;&gt;"",IF(ISNUMBER(SEARCH("Party Name:-",'R.M Billets Reports'!D1591)),TRIM('R.M Billets Reports'!F1591),IF(ISNUMBER(SEARCH("Party Name-",'R.M Billets Reports'!D1591)),TRIM(MID('R.M Billets Reports'!D1591,SEARCH("-",'R.M Billets Reports'!D1591)+1,200)),"")),IF(ISNUMBER(SEARCH("Party Name:-",'R.M Billets Reports'!D1592)),TRIM('R.M Billets Reports'!F1592),IF(ISNUMBER(SEARCH("Party Name-",'R.M Billets Reports'!D1592)),TRIM(MID('R.M Billets Reports'!D1592,SEARCH("-",'R.M Billets Reports'!D1592)+1,200)),"")))))),IF(ROW()=2,"",A1591))</f>
      </c>
      <c r="B1592">
        <f>IF(OR('R.M Billets Reports'!A1591="Date-",'R.M Billets Reports'!A1591="Date:-"),'R.M Billets Reports'!B1591,IF(ROW()=2,"",B1591))</f>
      </c>
      <c r="C1592">
        <f>IF('R.M Billets Reports'!A1591="V.No.",'R.M Billets Reports'!B1591,IF(ROW()=2,"",C1591))</f>
      </c>
      <c r="D1592">
        <f>IF('R.M Billets Reports'!A1591&lt;&gt;"",'R.M Billets Reports'!A1591,IF(ROW()=2,"",D1591))</f>
      </c>
      <c r="E1592">
        <f>IF('R.M Billets Reports'!B1591="","",TRIM('R.M Billets Reports'!B1591))</f>
      </c>
      <c r="F1592">
        <f>'R.M Billets Reports'!C1591</f>
      </c>
      <c r="G1592">
        <f>'R.M Billets Reports'!D1591</f>
      </c>
      <c r="H1592">
        <f>'R.M Billets Reports'!E1591</f>
      </c>
      <c r="I1592">
        <f>'R.M Billets Reports'!F1591</f>
      </c>
      <c r="J1592">
        <f>'R.M Billets Reports'!G1591</f>
      </c>
      <c r="K1592">
        <f>'R.M Billets Reports'!H1591</f>
      </c>
      <c r="L1592">
        <f>IF('R.M Billets Reports'!I1591="","",'R.M Billets Reports'!I1591)</f>
      </c>
      <c r="M1592">
        <f t="shared" si="48"/>
      </c>
      <c r="N1592">
        <f>IF('R.M Billets Reports'!J1591="","",'R.M Billets Reports'!J1591)</f>
      </c>
      <c r="O1592">
        <f t="shared" si="49"/>
      </c>
      <c r="P1592">
        <f>IF('R.M Billets Reports'!A1591="SIZE",'R.M Billets Reports'!B1591,P1591)</f>
      </c>
    </row>
    <row r="1593" spans="1:16" x14ac:dyDescent="0.25">
      <c r="A1593">
        <f>IF(OR('R.M Billets Reports'!A1592="Date-",'R.M Billets Reports'!A1592="Date:-"),IF(IF(IF(ISNUMBER(SEARCH("Party Name:-",'R.M Billets Reports'!D1592)),TRIM('R.M Billets Reports'!F1592),IF(ISNUMBER(SEARCH("Party Name-",'R.M Billets Reports'!D1592)),TRIM(MID('R.M Billets Reports'!D1592,SEARCH("-",'R.M Billets Reports'!D1592)+1,200)),""))&lt;&gt;"",IF(ISNUMBER(SEARCH("Party Name:-",'R.M Billets Reports'!D1592)),TRIM('R.M Billets Reports'!F1592),IF(ISNUMBER(SEARCH("Party Name-",'R.M Billets Reports'!D1592)),TRIM(MID('R.M Billets Reports'!D1592,SEARCH("-",'R.M Billets Reports'!D1592)+1,200)),"")),IF(ISNUMBER(SEARCH("Party Name:-",'R.M Billets Reports'!D1593)),TRIM('R.M Billets Reports'!F1593),IF(ISNUMBER(SEARCH("Party Name-",'R.M Billets Reports'!D1593)),TRIM(MID('R.M Billets Reports'!D1593,SEARCH("-",'R.M Billets Reports'!D1593)+1,200)),"")))="VRKP ISPAT PVT LTD","VRKP",IF(IF(IF(ISNUMBER(SEARCH("Party Name:-",'R.M Billets Reports'!D1592)),TRIM('R.M Billets Reports'!F1592),IF(ISNUMBER(SEARCH("Party Name-",'R.M Billets Reports'!D1592)),TRIM(MID('R.M Billets Reports'!D1592,SEARCH("-",'R.M Billets Reports'!D1592)+1,200)),""))&lt;&gt;"",IF(ISNUMBER(SEARCH("Party Name:-",'R.M Billets Reports'!D1592)),TRIM('R.M Billets Reports'!F1592),IF(ISNUMBER(SEARCH("Party Name-",'R.M Billets Reports'!D1592)),TRIM(MID('R.M Billets Reports'!D1592,SEARCH("-",'R.M Billets Reports'!D1592)+1,200)),"")),IF(ISNUMBER(SEARCH("Party Name:-",'R.M Billets Reports'!D1593)),TRIM('R.M Billets Reports'!F1593),IF(ISNUMBER(SEARCH("Party Name-",'R.M Billets Reports'!D1593)),TRIM(MID('R.M Billets Reports'!D1593,SEARCH("-",'R.M Billets Reports'!D1593)+1,200)),"")))="SHRI RADHE","SHREE RADHE",IF(IF(IF(ISNUMBER(SEARCH("Party Name:-",'R.M Billets Reports'!D1592)),TRIM('R.M Billets Reports'!F1592),IF(ISNUMBER(SEARCH("Party Name-",'R.M Billets Reports'!D1592)),TRIM(MID('R.M Billets Reports'!D1592,SEARCH("-",'R.M Billets Reports'!D1592)+1,200)),""))&lt;&gt;"",IF(ISNUMBER(SEARCH("Party Name:-",'R.M Billets Reports'!D1592)),TRIM('R.M Billets Reports'!F1592),IF(ISNUMBER(SEARCH("Party Name-",'R.M Billets Reports'!D1592)),TRIM(MID('R.M Billets Reports'!D1592,SEARCH("-",'R.M Billets Reports'!D1592)+1,200)),"")),IF(ISNUMBER(SEARCH("Party Name:-",'R.M Billets Reports'!D1593)),TRIM('R.M Billets Reports'!F1593),IF(ISNUMBER(SEARCH("Party Name-",'R.M Billets Reports'!D1593)),TRIM(MID('R.M Billets Reports'!D1593,SEARCH("-",'R.M Billets Reports'!D1593)+1,200)),"")))="SHREE RADHE SHAKTI SPONGE AND POWER PVT. LTD.","SHREE RADHE",IF(IF(ISNUMBER(SEARCH("Party Name:-",'R.M Billets Reports'!D1592)),TRIM('R.M Billets Reports'!F1592),IF(ISNUMBER(SEARCH("Party Name-",'R.M Billets Reports'!D1592)),TRIM(MID('R.M Billets Reports'!D1592,SEARCH("-",'R.M Billets Reports'!D1592)+1,200)),""))&lt;&gt;"",IF(ISNUMBER(SEARCH("Party Name:-",'R.M Billets Reports'!D1592)),TRIM('R.M Billets Reports'!F1592),IF(ISNUMBER(SEARCH("Party Name-",'R.M Billets Reports'!D1592)),TRIM(MID('R.M Billets Reports'!D1592,SEARCH("-",'R.M Billets Reports'!D1592)+1,200)),"")),IF(ISNUMBER(SEARCH("Party Name:-",'R.M Billets Reports'!D1593)),TRIM('R.M Billets Reports'!F1593),IF(ISNUMBER(SEARCH("Party Name-",'R.M Billets Reports'!D1593)),TRIM(MID('R.M Billets Reports'!D1593,SEARCH("-",'R.M Billets Reports'!D1593)+1,200)),"")))))),IF(ROW()=2,"",A1592))</f>
      </c>
      <c r="B1593">
        <f>IF(OR('R.M Billets Reports'!A1592="Date-",'R.M Billets Reports'!A1592="Date:-"),'R.M Billets Reports'!B1592,IF(ROW()=2,"",B1592))</f>
      </c>
      <c r="C1593">
        <f>IF('R.M Billets Reports'!A1592="V.No.",'R.M Billets Reports'!B1592,IF(ROW()=2,"",C1592))</f>
      </c>
      <c r="D1593">
        <f>IF('R.M Billets Reports'!A1592&lt;&gt;"",'R.M Billets Reports'!A1592,IF(ROW()=2,"",D1592))</f>
      </c>
      <c r="E1593">
        <f>IF('R.M Billets Reports'!B1592="","",TRIM('R.M Billets Reports'!B1592))</f>
      </c>
      <c r="F1593">
        <f>'R.M Billets Reports'!C1592</f>
      </c>
      <c r="G1593">
        <f>'R.M Billets Reports'!D1592</f>
      </c>
      <c r="H1593">
        <f>'R.M Billets Reports'!E1592</f>
      </c>
      <c r="I1593">
        <f>'R.M Billets Reports'!F1592</f>
      </c>
      <c r="J1593">
        <f>'R.M Billets Reports'!G1592</f>
      </c>
      <c r="K1593">
        <f>'R.M Billets Reports'!H1592</f>
      </c>
      <c r="L1593">
        <f>IF('R.M Billets Reports'!I1592="","",'R.M Billets Reports'!I1592)</f>
      </c>
      <c r="M1593">
        <f t="shared" si="48"/>
      </c>
      <c r="N1593">
        <f>IF('R.M Billets Reports'!J1592="","",'R.M Billets Reports'!J1592)</f>
      </c>
      <c r="O1593">
        <f t="shared" si="49"/>
      </c>
      <c r="P1593">
        <f>IF('R.M Billets Reports'!A1592="SIZE",'R.M Billets Reports'!B1592,P1592)</f>
      </c>
    </row>
    <row r="1594" spans="1:16" x14ac:dyDescent="0.25">
      <c r="A1594">
        <f>IF(OR('R.M Billets Reports'!A1593="Date-",'R.M Billets Reports'!A1593="Date:-"),IF(IF(IF(ISNUMBER(SEARCH("Party Name:-",'R.M Billets Reports'!D1593)),TRIM('R.M Billets Reports'!F1593),IF(ISNUMBER(SEARCH("Party Name-",'R.M Billets Reports'!D1593)),TRIM(MID('R.M Billets Reports'!D1593,SEARCH("-",'R.M Billets Reports'!D1593)+1,200)),""))&lt;&gt;"",IF(ISNUMBER(SEARCH("Party Name:-",'R.M Billets Reports'!D1593)),TRIM('R.M Billets Reports'!F1593),IF(ISNUMBER(SEARCH("Party Name-",'R.M Billets Reports'!D1593)),TRIM(MID('R.M Billets Reports'!D1593,SEARCH("-",'R.M Billets Reports'!D1593)+1,200)),"")),IF(ISNUMBER(SEARCH("Party Name:-",'R.M Billets Reports'!D1594)),TRIM('R.M Billets Reports'!F1594),IF(ISNUMBER(SEARCH("Party Name-",'R.M Billets Reports'!D1594)),TRIM(MID('R.M Billets Reports'!D1594,SEARCH("-",'R.M Billets Reports'!D1594)+1,200)),"")))="VRKP ISPAT PVT LTD","VRKP",IF(IF(IF(ISNUMBER(SEARCH("Party Name:-",'R.M Billets Reports'!D1593)),TRIM('R.M Billets Reports'!F1593),IF(ISNUMBER(SEARCH("Party Name-",'R.M Billets Reports'!D1593)),TRIM(MID('R.M Billets Reports'!D1593,SEARCH("-",'R.M Billets Reports'!D1593)+1,200)),""))&lt;&gt;"",IF(ISNUMBER(SEARCH("Party Name:-",'R.M Billets Reports'!D1593)),TRIM('R.M Billets Reports'!F1593),IF(ISNUMBER(SEARCH("Party Name-",'R.M Billets Reports'!D1593)),TRIM(MID('R.M Billets Reports'!D1593,SEARCH("-",'R.M Billets Reports'!D1593)+1,200)),"")),IF(ISNUMBER(SEARCH("Party Name:-",'R.M Billets Reports'!D1594)),TRIM('R.M Billets Reports'!F1594),IF(ISNUMBER(SEARCH("Party Name-",'R.M Billets Reports'!D1594)),TRIM(MID('R.M Billets Reports'!D1594,SEARCH("-",'R.M Billets Reports'!D1594)+1,200)),"")))="SHRI RADHE","SHREE RADHE",IF(IF(IF(ISNUMBER(SEARCH("Party Name:-",'R.M Billets Reports'!D1593)),TRIM('R.M Billets Reports'!F1593),IF(ISNUMBER(SEARCH("Party Name-",'R.M Billets Reports'!D1593)),TRIM(MID('R.M Billets Reports'!D1593,SEARCH("-",'R.M Billets Reports'!D1593)+1,200)),""))&lt;&gt;"",IF(ISNUMBER(SEARCH("Party Name:-",'R.M Billets Reports'!D1593)),TRIM('R.M Billets Reports'!F1593),IF(ISNUMBER(SEARCH("Party Name-",'R.M Billets Reports'!D1593)),TRIM(MID('R.M Billets Reports'!D1593,SEARCH("-",'R.M Billets Reports'!D1593)+1,200)),"")),IF(ISNUMBER(SEARCH("Party Name:-",'R.M Billets Reports'!D1594)),TRIM('R.M Billets Reports'!F1594),IF(ISNUMBER(SEARCH("Party Name-",'R.M Billets Reports'!D1594)),TRIM(MID('R.M Billets Reports'!D1594,SEARCH("-",'R.M Billets Reports'!D1594)+1,200)),"")))="SHREE RADHE SHAKTI SPONGE AND POWER PVT. LTD.","SHREE RADHE",IF(IF(ISNUMBER(SEARCH("Party Name:-",'R.M Billets Reports'!D1593)),TRIM('R.M Billets Reports'!F1593),IF(ISNUMBER(SEARCH("Party Name-",'R.M Billets Reports'!D1593)),TRIM(MID('R.M Billets Reports'!D1593,SEARCH("-",'R.M Billets Reports'!D1593)+1,200)),""))&lt;&gt;"",IF(ISNUMBER(SEARCH("Party Name:-",'R.M Billets Reports'!D1593)),TRIM('R.M Billets Reports'!F1593),IF(ISNUMBER(SEARCH("Party Name-",'R.M Billets Reports'!D1593)),TRIM(MID('R.M Billets Reports'!D1593,SEARCH("-",'R.M Billets Reports'!D1593)+1,200)),"")),IF(ISNUMBER(SEARCH("Party Name:-",'R.M Billets Reports'!D1594)),TRIM('R.M Billets Reports'!F1594),IF(ISNUMBER(SEARCH("Party Name-",'R.M Billets Reports'!D1594)),TRIM(MID('R.M Billets Reports'!D1594,SEARCH("-",'R.M Billets Reports'!D1594)+1,200)),"")))))),IF(ROW()=2,"",A1593))</f>
      </c>
      <c r="B1594">
        <f>IF(OR('R.M Billets Reports'!A1593="Date-",'R.M Billets Reports'!A1593="Date:-"),'R.M Billets Reports'!B1593,IF(ROW()=2,"",B1593))</f>
      </c>
      <c r="C1594">
        <f>IF('R.M Billets Reports'!A1593="V.No.",'R.M Billets Reports'!B1593,IF(ROW()=2,"",C1593))</f>
      </c>
      <c r="D1594">
        <f>IF('R.M Billets Reports'!A1593&lt;&gt;"",'R.M Billets Reports'!A1593,IF(ROW()=2,"",D1593))</f>
      </c>
      <c r="E1594">
        <f>IF('R.M Billets Reports'!B1593="","",TRIM('R.M Billets Reports'!B1593))</f>
      </c>
      <c r="F1594">
        <f>'R.M Billets Reports'!C1593</f>
      </c>
      <c r="G1594">
        <f>'R.M Billets Reports'!D1593</f>
      </c>
      <c r="H1594">
        <f>'R.M Billets Reports'!E1593</f>
      </c>
      <c r="I1594">
        <f>'R.M Billets Reports'!F1593</f>
      </c>
      <c r="J1594">
        <f>'R.M Billets Reports'!G1593</f>
      </c>
      <c r="K1594">
        <f>'R.M Billets Reports'!H1593</f>
      </c>
      <c r="L1594">
        <f>IF('R.M Billets Reports'!I1593="","",'R.M Billets Reports'!I1593)</f>
      </c>
      <c r="M1594">
        <f t="shared" si="48"/>
      </c>
      <c r="N1594">
        <f>IF('R.M Billets Reports'!J1593="","",'R.M Billets Reports'!J1593)</f>
      </c>
      <c r="O1594">
        <f t="shared" si="49"/>
      </c>
      <c r="P1594">
        <f>IF('R.M Billets Reports'!A1593="SIZE",'R.M Billets Reports'!B1593,P1593)</f>
      </c>
    </row>
    <row r="1595" spans="1:16" x14ac:dyDescent="0.25">
      <c r="A1595">
        <f>IF(OR('R.M Billets Reports'!A1594="Date-",'R.M Billets Reports'!A1594="Date:-"),IF(IF(IF(ISNUMBER(SEARCH("Party Name:-",'R.M Billets Reports'!D1594)),TRIM('R.M Billets Reports'!F1594),IF(ISNUMBER(SEARCH("Party Name-",'R.M Billets Reports'!D1594)),TRIM(MID('R.M Billets Reports'!D1594,SEARCH("-",'R.M Billets Reports'!D1594)+1,200)),""))&lt;&gt;"",IF(ISNUMBER(SEARCH("Party Name:-",'R.M Billets Reports'!D1594)),TRIM('R.M Billets Reports'!F1594),IF(ISNUMBER(SEARCH("Party Name-",'R.M Billets Reports'!D1594)),TRIM(MID('R.M Billets Reports'!D1594,SEARCH("-",'R.M Billets Reports'!D1594)+1,200)),"")),IF(ISNUMBER(SEARCH("Party Name:-",'R.M Billets Reports'!D1595)),TRIM('R.M Billets Reports'!F1595),IF(ISNUMBER(SEARCH("Party Name-",'R.M Billets Reports'!D1595)),TRIM(MID('R.M Billets Reports'!D1595,SEARCH("-",'R.M Billets Reports'!D1595)+1,200)),"")))="VRKP ISPAT PVT LTD","VRKP",IF(IF(IF(ISNUMBER(SEARCH("Party Name:-",'R.M Billets Reports'!D1594)),TRIM('R.M Billets Reports'!F1594),IF(ISNUMBER(SEARCH("Party Name-",'R.M Billets Reports'!D1594)),TRIM(MID('R.M Billets Reports'!D1594,SEARCH("-",'R.M Billets Reports'!D1594)+1,200)),""))&lt;&gt;"",IF(ISNUMBER(SEARCH("Party Name:-",'R.M Billets Reports'!D1594)),TRIM('R.M Billets Reports'!F1594),IF(ISNUMBER(SEARCH("Party Name-",'R.M Billets Reports'!D1594)),TRIM(MID('R.M Billets Reports'!D1594,SEARCH("-",'R.M Billets Reports'!D1594)+1,200)),"")),IF(ISNUMBER(SEARCH("Party Name:-",'R.M Billets Reports'!D1595)),TRIM('R.M Billets Reports'!F1595),IF(ISNUMBER(SEARCH("Party Name-",'R.M Billets Reports'!D1595)),TRIM(MID('R.M Billets Reports'!D1595,SEARCH("-",'R.M Billets Reports'!D1595)+1,200)),"")))="SHRI RADHE","SHREE RADHE",IF(IF(IF(ISNUMBER(SEARCH("Party Name:-",'R.M Billets Reports'!D1594)),TRIM('R.M Billets Reports'!F1594),IF(ISNUMBER(SEARCH("Party Name-",'R.M Billets Reports'!D1594)),TRIM(MID('R.M Billets Reports'!D1594,SEARCH("-",'R.M Billets Reports'!D1594)+1,200)),""))&lt;&gt;"",IF(ISNUMBER(SEARCH("Party Name:-",'R.M Billets Reports'!D1594)),TRIM('R.M Billets Reports'!F1594),IF(ISNUMBER(SEARCH("Party Name-",'R.M Billets Reports'!D1594)),TRIM(MID('R.M Billets Reports'!D1594,SEARCH("-",'R.M Billets Reports'!D1594)+1,200)),"")),IF(ISNUMBER(SEARCH("Party Name:-",'R.M Billets Reports'!D1595)),TRIM('R.M Billets Reports'!F1595),IF(ISNUMBER(SEARCH("Party Name-",'R.M Billets Reports'!D1595)),TRIM(MID('R.M Billets Reports'!D1595,SEARCH("-",'R.M Billets Reports'!D1595)+1,200)),"")))="SHREE RADHE SHAKTI SPONGE AND POWER PVT. LTD.","SHREE RADHE",IF(IF(ISNUMBER(SEARCH("Party Name:-",'R.M Billets Reports'!D1594)),TRIM('R.M Billets Reports'!F1594),IF(ISNUMBER(SEARCH("Party Name-",'R.M Billets Reports'!D1594)),TRIM(MID('R.M Billets Reports'!D1594,SEARCH("-",'R.M Billets Reports'!D1594)+1,200)),""))&lt;&gt;"",IF(ISNUMBER(SEARCH("Party Name:-",'R.M Billets Reports'!D1594)),TRIM('R.M Billets Reports'!F1594),IF(ISNUMBER(SEARCH("Party Name-",'R.M Billets Reports'!D1594)),TRIM(MID('R.M Billets Reports'!D1594,SEARCH("-",'R.M Billets Reports'!D1594)+1,200)),"")),IF(ISNUMBER(SEARCH("Party Name:-",'R.M Billets Reports'!D1595)),TRIM('R.M Billets Reports'!F1595),IF(ISNUMBER(SEARCH("Party Name-",'R.M Billets Reports'!D1595)),TRIM(MID('R.M Billets Reports'!D1595,SEARCH("-",'R.M Billets Reports'!D1595)+1,200)),"")))))),IF(ROW()=2,"",A1594))</f>
      </c>
      <c r="B1595">
        <f>IF(OR('R.M Billets Reports'!A1594="Date-",'R.M Billets Reports'!A1594="Date:-"),'R.M Billets Reports'!B1594,IF(ROW()=2,"",B1594))</f>
      </c>
      <c r="C1595">
        <f>IF('R.M Billets Reports'!A1594="V.No.",'R.M Billets Reports'!B1594,IF(ROW()=2,"",C1594))</f>
      </c>
      <c r="D1595">
        <f>IF('R.M Billets Reports'!A1594&lt;&gt;"",'R.M Billets Reports'!A1594,IF(ROW()=2,"",D1594))</f>
      </c>
      <c r="E1595">
        <f>IF('R.M Billets Reports'!B1594="","",TRIM('R.M Billets Reports'!B1594))</f>
      </c>
      <c r="F1595">
        <f>'R.M Billets Reports'!C1594</f>
      </c>
      <c r="G1595">
        <f>'R.M Billets Reports'!D1594</f>
      </c>
      <c r="H1595">
        <f>'R.M Billets Reports'!E1594</f>
      </c>
      <c r="I1595">
        <f>'R.M Billets Reports'!F1594</f>
      </c>
      <c r="J1595">
        <f>'R.M Billets Reports'!G1594</f>
      </c>
      <c r="K1595">
        <f>'R.M Billets Reports'!H1594</f>
      </c>
      <c r="L1595">
        <f>IF('R.M Billets Reports'!I1594="","",'R.M Billets Reports'!I1594)</f>
      </c>
      <c r="M1595">
        <f t="shared" si="48"/>
      </c>
      <c r="N1595">
        <f>IF('R.M Billets Reports'!J1594="","",'R.M Billets Reports'!J1594)</f>
      </c>
      <c r="O1595">
        <f t="shared" si="49"/>
      </c>
      <c r="P1595">
        <f>IF('R.M Billets Reports'!A1594="SIZE",'R.M Billets Reports'!B1594,P1594)</f>
      </c>
    </row>
    <row r="1596" spans="1:16" x14ac:dyDescent="0.25">
      <c r="A1596">
        <f>IF(OR('R.M Billets Reports'!A1595="Date-",'R.M Billets Reports'!A1595="Date:-"),IF(IF(IF(ISNUMBER(SEARCH("Party Name:-",'R.M Billets Reports'!D1595)),TRIM('R.M Billets Reports'!F1595),IF(ISNUMBER(SEARCH("Party Name-",'R.M Billets Reports'!D1595)),TRIM(MID('R.M Billets Reports'!D1595,SEARCH("-",'R.M Billets Reports'!D1595)+1,200)),""))&lt;&gt;"",IF(ISNUMBER(SEARCH("Party Name:-",'R.M Billets Reports'!D1595)),TRIM('R.M Billets Reports'!F1595),IF(ISNUMBER(SEARCH("Party Name-",'R.M Billets Reports'!D1595)),TRIM(MID('R.M Billets Reports'!D1595,SEARCH("-",'R.M Billets Reports'!D1595)+1,200)),"")),IF(ISNUMBER(SEARCH("Party Name:-",'R.M Billets Reports'!D1596)),TRIM('R.M Billets Reports'!F1596),IF(ISNUMBER(SEARCH("Party Name-",'R.M Billets Reports'!D1596)),TRIM(MID('R.M Billets Reports'!D1596,SEARCH("-",'R.M Billets Reports'!D1596)+1,200)),"")))="VRKP ISPAT PVT LTD","VRKP",IF(IF(IF(ISNUMBER(SEARCH("Party Name:-",'R.M Billets Reports'!D1595)),TRIM('R.M Billets Reports'!F1595),IF(ISNUMBER(SEARCH("Party Name-",'R.M Billets Reports'!D1595)),TRIM(MID('R.M Billets Reports'!D1595,SEARCH("-",'R.M Billets Reports'!D1595)+1,200)),""))&lt;&gt;"",IF(ISNUMBER(SEARCH("Party Name:-",'R.M Billets Reports'!D1595)),TRIM('R.M Billets Reports'!F1595),IF(ISNUMBER(SEARCH("Party Name-",'R.M Billets Reports'!D1595)),TRIM(MID('R.M Billets Reports'!D1595,SEARCH("-",'R.M Billets Reports'!D1595)+1,200)),"")),IF(ISNUMBER(SEARCH("Party Name:-",'R.M Billets Reports'!D1596)),TRIM('R.M Billets Reports'!F1596),IF(ISNUMBER(SEARCH("Party Name-",'R.M Billets Reports'!D1596)),TRIM(MID('R.M Billets Reports'!D1596,SEARCH("-",'R.M Billets Reports'!D1596)+1,200)),"")))="SHRI RADHE","SHREE RADHE",IF(IF(IF(ISNUMBER(SEARCH("Party Name:-",'R.M Billets Reports'!D1595)),TRIM('R.M Billets Reports'!F1595),IF(ISNUMBER(SEARCH("Party Name-",'R.M Billets Reports'!D1595)),TRIM(MID('R.M Billets Reports'!D1595,SEARCH("-",'R.M Billets Reports'!D1595)+1,200)),""))&lt;&gt;"",IF(ISNUMBER(SEARCH("Party Name:-",'R.M Billets Reports'!D1595)),TRIM('R.M Billets Reports'!F1595),IF(ISNUMBER(SEARCH("Party Name-",'R.M Billets Reports'!D1595)),TRIM(MID('R.M Billets Reports'!D1595,SEARCH("-",'R.M Billets Reports'!D1595)+1,200)),"")),IF(ISNUMBER(SEARCH("Party Name:-",'R.M Billets Reports'!D1596)),TRIM('R.M Billets Reports'!F1596),IF(ISNUMBER(SEARCH("Party Name-",'R.M Billets Reports'!D1596)),TRIM(MID('R.M Billets Reports'!D1596,SEARCH("-",'R.M Billets Reports'!D1596)+1,200)),"")))="SHREE RADHE SHAKTI SPONGE AND POWER PVT. LTD.","SHREE RADHE",IF(IF(ISNUMBER(SEARCH("Party Name:-",'R.M Billets Reports'!D1595)),TRIM('R.M Billets Reports'!F1595),IF(ISNUMBER(SEARCH("Party Name-",'R.M Billets Reports'!D1595)),TRIM(MID('R.M Billets Reports'!D1595,SEARCH("-",'R.M Billets Reports'!D1595)+1,200)),""))&lt;&gt;"",IF(ISNUMBER(SEARCH("Party Name:-",'R.M Billets Reports'!D1595)),TRIM('R.M Billets Reports'!F1595),IF(ISNUMBER(SEARCH("Party Name-",'R.M Billets Reports'!D1595)),TRIM(MID('R.M Billets Reports'!D1595,SEARCH("-",'R.M Billets Reports'!D1595)+1,200)),"")),IF(ISNUMBER(SEARCH("Party Name:-",'R.M Billets Reports'!D1596)),TRIM('R.M Billets Reports'!F1596),IF(ISNUMBER(SEARCH("Party Name-",'R.M Billets Reports'!D1596)),TRIM(MID('R.M Billets Reports'!D1596,SEARCH("-",'R.M Billets Reports'!D1596)+1,200)),"")))))),IF(ROW()=2,"",A1595))</f>
      </c>
      <c r="B1596">
        <f>IF(OR('R.M Billets Reports'!A1595="Date-",'R.M Billets Reports'!A1595="Date:-"),'R.M Billets Reports'!B1595,IF(ROW()=2,"",B1595))</f>
      </c>
      <c r="C1596">
        <f>IF('R.M Billets Reports'!A1595="V.No.",'R.M Billets Reports'!B1595,IF(ROW()=2,"",C1595))</f>
      </c>
      <c r="D1596">
        <f>IF('R.M Billets Reports'!A1595&lt;&gt;"",'R.M Billets Reports'!A1595,IF(ROW()=2,"",D1595))</f>
      </c>
      <c r="E1596">
        <f>IF('R.M Billets Reports'!B1595="","",TRIM('R.M Billets Reports'!B1595))</f>
      </c>
      <c r="F1596">
        <f>'R.M Billets Reports'!C1595</f>
      </c>
      <c r="G1596">
        <f>'R.M Billets Reports'!D1595</f>
      </c>
      <c r="H1596">
        <f>'R.M Billets Reports'!E1595</f>
      </c>
      <c r="I1596">
        <f>'R.M Billets Reports'!F1595</f>
      </c>
      <c r="J1596">
        <f>'R.M Billets Reports'!G1595</f>
      </c>
      <c r="K1596">
        <f>'R.M Billets Reports'!H1595</f>
      </c>
      <c r="L1596">
        <f>IF('R.M Billets Reports'!I1595="","",'R.M Billets Reports'!I1595)</f>
      </c>
      <c r="M1596">
        <f t="shared" si="48"/>
      </c>
      <c r="N1596">
        <f>IF('R.M Billets Reports'!J1595="","",'R.M Billets Reports'!J1595)</f>
      </c>
      <c r="O1596">
        <f t="shared" si="49"/>
      </c>
      <c r="P1596">
        <f>IF('R.M Billets Reports'!A1595="SIZE",'R.M Billets Reports'!B1595,P1595)</f>
      </c>
    </row>
    <row r="1597" spans="1:16" x14ac:dyDescent="0.25">
      <c r="A1597">
        <f>IF(OR('R.M Billets Reports'!A1596="Date-",'R.M Billets Reports'!A1596="Date:-"),IF(IF(IF(ISNUMBER(SEARCH("Party Name:-",'R.M Billets Reports'!D1596)),TRIM('R.M Billets Reports'!F1596),IF(ISNUMBER(SEARCH("Party Name-",'R.M Billets Reports'!D1596)),TRIM(MID('R.M Billets Reports'!D1596,SEARCH("-",'R.M Billets Reports'!D1596)+1,200)),""))&lt;&gt;"",IF(ISNUMBER(SEARCH("Party Name:-",'R.M Billets Reports'!D1596)),TRIM('R.M Billets Reports'!F1596),IF(ISNUMBER(SEARCH("Party Name-",'R.M Billets Reports'!D1596)),TRIM(MID('R.M Billets Reports'!D1596,SEARCH("-",'R.M Billets Reports'!D1596)+1,200)),"")),IF(ISNUMBER(SEARCH("Party Name:-",'R.M Billets Reports'!D1597)),TRIM('R.M Billets Reports'!F1597),IF(ISNUMBER(SEARCH("Party Name-",'R.M Billets Reports'!D1597)),TRIM(MID('R.M Billets Reports'!D1597,SEARCH("-",'R.M Billets Reports'!D1597)+1,200)),"")))="VRKP ISPAT PVT LTD","VRKP",IF(IF(IF(ISNUMBER(SEARCH("Party Name:-",'R.M Billets Reports'!D1596)),TRIM('R.M Billets Reports'!F1596),IF(ISNUMBER(SEARCH("Party Name-",'R.M Billets Reports'!D1596)),TRIM(MID('R.M Billets Reports'!D1596,SEARCH("-",'R.M Billets Reports'!D1596)+1,200)),""))&lt;&gt;"",IF(ISNUMBER(SEARCH("Party Name:-",'R.M Billets Reports'!D1596)),TRIM('R.M Billets Reports'!F1596),IF(ISNUMBER(SEARCH("Party Name-",'R.M Billets Reports'!D1596)),TRIM(MID('R.M Billets Reports'!D1596,SEARCH("-",'R.M Billets Reports'!D1596)+1,200)),"")),IF(ISNUMBER(SEARCH("Party Name:-",'R.M Billets Reports'!D1597)),TRIM('R.M Billets Reports'!F1597),IF(ISNUMBER(SEARCH("Party Name-",'R.M Billets Reports'!D1597)),TRIM(MID('R.M Billets Reports'!D1597,SEARCH("-",'R.M Billets Reports'!D1597)+1,200)),"")))="SHRI RADHE","SHREE RADHE",IF(IF(IF(ISNUMBER(SEARCH("Party Name:-",'R.M Billets Reports'!D1596)),TRIM('R.M Billets Reports'!F1596),IF(ISNUMBER(SEARCH("Party Name-",'R.M Billets Reports'!D1596)),TRIM(MID('R.M Billets Reports'!D1596,SEARCH("-",'R.M Billets Reports'!D1596)+1,200)),""))&lt;&gt;"",IF(ISNUMBER(SEARCH("Party Name:-",'R.M Billets Reports'!D1596)),TRIM('R.M Billets Reports'!F1596),IF(ISNUMBER(SEARCH("Party Name-",'R.M Billets Reports'!D1596)),TRIM(MID('R.M Billets Reports'!D1596,SEARCH("-",'R.M Billets Reports'!D1596)+1,200)),"")),IF(ISNUMBER(SEARCH("Party Name:-",'R.M Billets Reports'!D1597)),TRIM('R.M Billets Reports'!F1597),IF(ISNUMBER(SEARCH("Party Name-",'R.M Billets Reports'!D1597)),TRIM(MID('R.M Billets Reports'!D1597,SEARCH("-",'R.M Billets Reports'!D1597)+1,200)),"")))="SHREE RADHE SHAKTI SPONGE AND POWER PVT. LTD.","SHREE RADHE",IF(IF(ISNUMBER(SEARCH("Party Name:-",'R.M Billets Reports'!D1596)),TRIM('R.M Billets Reports'!F1596),IF(ISNUMBER(SEARCH("Party Name-",'R.M Billets Reports'!D1596)),TRIM(MID('R.M Billets Reports'!D1596,SEARCH("-",'R.M Billets Reports'!D1596)+1,200)),""))&lt;&gt;"",IF(ISNUMBER(SEARCH("Party Name:-",'R.M Billets Reports'!D1596)),TRIM('R.M Billets Reports'!F1596),IF(ISNUMBER(SEARCH("Party Name-",'R.M Billets Reports'!D1596)),TRIM(MID('R.M Billets Reports'!D1596,SEARCH("-",'R.M Billets Reports'!D1596)+1,200)),"")),IF(ISNUMBER(SEARCH("Party Name:-",'R.M Billets Reports'!D1597)),TRIM('R.M Billets Reports'!F1597),IF(ISNUMBER(SEARCH("Party Name-",'R.M Billets Reports'!D1597)),TRIM(MID('R.M Billets Reports'!D1597,SEARCH("-",'R.M Billets Reports'!D1597)+1,200)),"")))))),IF(ROW()=2,"",A1596))</f>
      </c>
      <c r="B1597">
        <f>IF(OR('R.M Billets Reports'!A1596="Date-",'R.M Billets Reports'!A1596="Date:-"),'R.M Billets Reports'!B1596,IF(ROW()=2,"",B1596))</f>
      </c>
      <c r="C1597">
        <f>IF('R.M Billets Reports'!A1596="V.No.",'R.M Billets Reports'!B1596,IF(ROW()=2,"",C1596))</f>
      </c>
      <c r="D1597">
        <f>IF('R.M Billets Reports'!A1596&lt;&gt;"",'R.M Billets Reports'!A1596,IF(ROW()=2,"",D1596))</f>
      </c>
      <c r="E1597">
        <f>IF('R.M Billets Reports'!B1596="","",TRIM('R.M Billets Reports'!B1596))</f>
      </c>
      <c r="F1597">
        <f>'R.M Billets Reports'!C1596</f>
      </c>
      <c r="G1597">
        <f>'R.M Billets Reports'!D1596</f>
      </c>
      <c r="H1597">
        <f>'R.M Billets Reports'!E1596</f>
      </c>
      <c r="I1597">
        <f>'R.M Billets Reports'!F1596</f>
      </c>
      <c r="J1597">
        <f>'R.M Billets Reports'!G1596</f>
      </c>
      <c r="K1597">
        <f>'R.M Billets Reports'!H1596</f>
      </c>
      <c r="L1597">
        <f>IF('R.M Billets Reports'!I1596="","",'R.M Billets Reports'!I1596)</f>
      </c>
      <c r="M1597">
        <f t="shared" si="48"/>
      </c>
      <c r="N1597">
        <f>IF('R.M Billets Reports'!J1596="","",'R.M Billets Reports'!J1596)</f>
      </c>
      <c r="O1597">
        <f t="shared" si="49"/>
      </c>
      <c r="P1597">
        <f>IF('R.M Billets Reports'!A1596="SIZE",'R.M Billets Reports'!B1596,P1596)</f>
      </c>
    </row>
    <row r="1598" spans="1:16" x14ac:dyDescent="0.25">
      <c r="A1598">
        <f>IF(OR('R.M Billets Reports'!A1597="Date-",'R.M Billets Reports'!A1597="Date:-"),IF(IF(IF(ISNUMBER(SEARCH("Party Name:-",'R.M Billets Reports'!D1597)),TRIM('R.M Billets Reports'!F1597),IF(ISNUMBER(SEARCH("Party Name-",'R.M Billets Reports'!D1597)),TRIM(MID('R.M Billets Reports'!D1597,SEARCH("-",'R.M Billets Reports'!D1597)+1,200)),""))&lt;&gt;"",IF(ISNUMBER(SEARCH("Party Name:-",'R.M Billets Reports'!D1597)),TRIM('R.M Billets Reports'!F1597),IF(ISNUMBER(SEARCH("Party Name-",'R.M Billets Reports'!D1597)),TRIM(MID('R.M Billets Reports'!D1597,SEARCH("-",'R.M Billets Reports'!D1597)+1,200)),"")),IF(ISNUMBER(SEARCH("Party Name:-",'R.M Billets Reports'!D1598)),TRIM('R.M Billets Reports'!F1598),IF(ISNUMBER(SEARCH("Party Name-",'R.M Billets Reports'!D1598)),TRIM(MID('R.M Billets Reports'!D1598,SEARCH("-",'R.M Billets Reports'!D1598)+1,200)),"")))="VRKP ISPAT PVT LTD","VRKP",IF(IF(IF(ISNUMBER(SEARCH("Party Name:-",'R.M Billets Reports'!D1597)),TRIM('R.M Billets Reports'!F1597),IF(ISNUMBER(SEARCH("Party Name-",'R.M Billets Reports'!D1597)),TRIM(MID('R.M Billets Reports'!D1597,SEARCH("-",'R.M Billets Reports'!D1597)+1,200)),""))&lt;&gt;"",IF(ISNUMBER(SEARCH("Party Name:-",'R.M Billets Reports'!D1597)),TRIM('R.M Billets Reports'!F1597),IF(ISNUMBER(SEARCH("Party Name-",'R.M Billets Reports'!D1597)),TRIM(MID('R.M Billets Reports'!D1597,SEARCH("-",'R.M Billets Reports'!D1597)+1,200)),"")),IF(ISNUMBER(SEARCH("Party Name:-",'R.M Billets Reports'!D1598)),TRIM('R.M Billets Reports'!F1598),IF(ISNUMBER(SEARCH("Party Name-",'R.M Billets Reports'!D1598)),TRIM(MID('R.M Billets Reports'!D1598,SEARCH("-",'R.M Billets Reports'!D1598)+1,200)),"")))="SHRI RADHE","SHREE RADHE",IF(IF(IF(ISNUMBER(SEARCH("Party Name:-",'R.M Billets Reports'!D1597)),TRIM('R.M Billets Reports'!F1597),IF(ISNUMBER(SEARCH("Party Name-",'R.M Billets Reports'!D1597)),TRIM(MID('R.M Billets Reports'!D1597,SEARCH("-",'R.M Billets Reports'!D1597)+1,200)),""))&lt;&gt;"",IF(ISNUMBER(SEARCH("Party Name:-",'R.M Billets Reports'!D1597)),TRIM('R.M Billets Reports'!F1597),IF(ISNUMBER(SEARCH("Party Name-",'R.M Billets Reports'!D1597)),TRIM(MID('R.M Billets Reports'!D1597,SEARCH("-",'R.M Billets Reports'!D1597)+1,200)),"")),IF(ISNUMBER(SEARCH("Party Name:-",'R.M Billets Reports'!D1598)),TRIM('R.M Billets Reports'!F1598),IF(ISNUMBER(SEARCH("Party Name-",'R.M Billets Reports'!D1598)),TRIM(MID('R.M Billets Reports'!D1598,SEARCH("-",'R.M Billets Reports'!D1598)+1,200)),"")))="SHREE RADHE SHAKTI SPONGE AND POWER PVT. LTD.","SHREE RADHE",IF(IF(ISNUMBER(SEARCH("Party Name:-",'R.M Billets Reports'!D1597)),TRIM('R.M Billets Reports'!F1597),IF(ISNUMBER(SEARCH("Party Name-",'R.M Billets Reports'!D1597)),TRIM(MID('R.M Billets Reports'!D1597,SEARCH("-",'R.M Billets Reports'!D1597)+1,200)),""))&lt;&gt;"",IF(ISNUMBER(SEARCH("Party Name:-",'R.M Billets Reports'!D1597)),TRIM('R.M Billets Reports'!F1597),IF(ISNUMBER(SEARCH("Party Name-",'R.M Billets Reports'!D1597)),TRIM(MID('R.M Billets Reports'!D1597,SEARCH("-",'R.M Billets Reports'!D1597)+1,200)),"")),IF(ISNUMBER(SEARCH("Party Name:-",'R.M Billets Reports'!D1598)),TRIM('R.M Billets Reports'!F1598),IF(ISNUMBER(SEARCH("Party Name-",'R.M Billets Reports'!D1598)),TRIM(MID('R.M Billets Reports'!D1598,SEARCH("-",'R.M Billets Reports'!D1598)+1,200)),"")))))),IF(ROW()=2,"",A1597))</f>
      </c>
      <c r="B1598">
        <f>IF(OR('R.M Billets Reports'!A1597="Date-",'R.M Billets Reports'!A1597="Date:-"),'R.M Billets Reports'!B1597,IF(ROW()=2,"",B1597))</f>
      </c>
      <c r="C1598">
        <f>IF('R.M Billets Reports'!A1597="V.No.",'R.M Billets Reports'!B1597,IF(ROW()=2,"",C1597))</f>
      </c>
      <c r="D1598">
        <f>IF('R.M Billets Reports'!A1597&lt;&gt;"",'R.M Billets Reports'!A1597,IF(ROW()=2,"",D1597))</f>
      </c>
      <c r="E1598">
        <f>IF('R.M Billets Reports'!B1597="","",TRIM('R.M Billets Reports'!B1597))</f>
      </c>
      <c r="F1598">
        <f>'R.M Billets Reports'!C1597</f>
      </c>
      <c r="G1598">
        <f>'R.M Billets Reports'!D1597</f>
      </c>
      <c r="H1598">
        <f>'R.M Billets Reports'!E1597</f>
      </c>
      <c r="I1598">
        <f>'R.M Billets Reports'!F1597</f>
      </c>
      <c r="J1598">
        <f>'R.M Billets Reports'!G1597</f>
      </c>
      <c r="K1598">
        <f>'R.M Billets Reports'!H1597</f>
      </c>
      <c r="L1598">
        <f>IF('R.M Billets Reports'!I1597="","",'R.M Billets Reports'!I1597)</f>
      </c>
      <c r="M1598">
        <f t="shared" si="48"/>
      </c>
      <c r="N1598">
        <f>IF('R.M Billets Reports'!J1597="","",'R.M Billets Reports'!J1597)</f>
      </c>
      <c r="O1598">
        <f t="shared" si="49"/>
      </c>
      <c r="P1598">
        <f>IF('R.M Billets Reports'!A1597="SIZE",'R.M Billets Reports'!B1597,P1597)</f>
      </c>
    </row>
    <row r="1599" spans="1:16" x14ac:dyDescent="0.25">
      <c r="A1599">
        <f>IF(OR('R.M Billets Reports'!A1598="Date-",'R.M Billets Reports'!A1598="Date:-"),IF(IF(IF(ISNUMBER(SEARCH("Party Name:-",'R.M Billets Reports'!D1598)),TRIM('R.M Billets Reports'!F1598),IF(ISNUMBER(SEARCH("Party Name-",'R.M Billets Reports'!D1598)),TRIM(MID('R.M Billets Reports'!D1598,SEARCH("-",'R.M Billets Reports'!D1598)+1,200)),""))&lt;&gt;"",IF(ISNUMBER(SEARCH("Party Name:-",'R.M Billets Reports'!D1598)),TRIM('R.M Billets Reports'!F1598),IF(ISNUMBER(SEARCH("Party Name-",'R.M Billets Reports'!D1598)),TRIM(MID('R.M Billets Reports'!D1598,SEARCH("-",'R.M Billets Reports'!D1598)+1,200)),"")),IF(ISNUMBER(SEARCH("Party Name:-",'R.M Billets Reports'!D1599)),TRIM('R.M Billets Reports'!F1599),IF(ISNUMBER(SEARCH("Party Name-",'R.M Billets Reports'!D1599)),TRIM(MID('R.M Billets Reports'!D1599,SEARCH("-",'R.M Billets Reports'!D1599)+1,200)),"")))="VRKP ISPAT PVT LTD","VRKP",IF(IF(IF(ISNUMBER(SEARCH("Party Name:-",'R.M Billets Reports'!D1598)),TRIM('R.M Billets Reports'!F1598),IF(ISNUMBER(SEARCH("Party Name-",'R.M Billets Reports'!D1598)),TRIM(MID('R.M Billets Reports'!D1598,SEARCH("-",'R.M Billets Reports'!D1598)+1,200)),""))&lt;&gt;"",IF(ISNUMBER(SEARCH("Party Name:-",'R.M Billets Reports'!D1598)),TRIM('R.M Billets Reports'!F1598),IF(ISNUMBER(SEARCH("Party Name-",'R.M Billets Reports'!D1598)),TRIM(MID('R.M Billets Reports'!D1598,SEARCH("-",'R.M Billets Reports'!D1598)+1,200)),"")),IF(ISNUMBER(SEARCH("Party Name:-",'R.M Billets Reports'!D1599)),TRIM('R.M Billets Reports'!F1599),IF(ISNUMBER(SEARCH("Party Name-",'R.M Billets Reports'!D1599)),TRIM(MID('R.M Billets Reports'!D1599,SEARCH("-",'R.M Billets Reports'!D1599)+1,200)),"")))="SHRI RADHE","SHREE RADHE",IF(IF(IF(ISNUMBER(SEARCH("Party Name:-",'R.M Billets Reports'!D1598)),TRIM('R.M Billets Reports'!F1598),IF(ISNUMBER(SEARCH("Party Name-",'R.M Billets Reports'!D1598)),TRIM(MID('R.M Billets Reports'!D1598,SEARCH("-",'R.M Billets Reports'!D1598)+1,200)),""))&lt;&gt;"",IF(ISNUMBER(SEARCH("Party Name:-",'R.M Billets Reports'!D1598)),TRIM('R.M Billets Reports'!F1598),IF(ISNUMBER(SEARCH("Party Name-",'R.M Billets Reports'!D1598)),TRIM(MID('R.M Billets Reports'!D1598,SEARCH("-",'R.M Billets Reports'!D1598)+1,200)),"")),IF(ISNUMBER(SEARCH("Party Name:-",'R.M Billets Reports'!D1599)),TRIM('R.M Billets Reports'!F1599),IF(ISNUMBER(SEARCH("Party Name-",'R.M Billets Reports'!D1599)),TRIM(MID('R.M Billets Reports'!D1599,SEARCH("-",'R.M Billets Reports'!D1599)+1,200)),"")))="SHREE RADHE SHAKTI SPONGE AND POWER PVT. LTD.","SHREE RADHE",IF(IF(ISNUMBER(SEARCH("Party Name:-",'R.M Billets Reports'!D1598)),TRIM('R.M Billets Reports'!F1598),IF(ISNUMBER(SEARCH("Party Name-",'R.M Billets Reports'!D1598)),TRIM(MID('R.M Billets Reports'!D1598,SEARCH("-",'R.M Billets Reports'!D1598)+1,200)),""))&lt;&gt;"",IF(ISNUMBER(SEARCH("Party Name:-",'R.M Billets Reports'!D1598)),TRIM('R.M Billets Reports'!F1598),IF(ISNUMBER(SEARCH("Party Name-",'R.M Billets Reports'!D1598)),TRIM(MID('R.M Billets Reports'!D1598,SEARCH("-",'R.M Billets Reports'!D1598)+1,200)),"")),IF(ISNUMBER(SEARCH("Party Name:-",'R.M Billets Reports'!D1599)),TRIM('R.M Billets Reports'!F1599),IF(ISNUMBER(SEARCH("Party Name-",'R.M Billets Reports'!D1599)),TRIM(MID('R.M Billets Reports'!D1599,SEARCH("-",'R.M Billets Reports'!D1599)+1,200)),"")))))),IF(ROW()=2,"",A1598))</f>
      </c>
      <c r="B1599">
        <f>IF(OR('R.M Billets Reports'!A1598="Date-",'R.M Billets Reports'!A1598="Date:-"),'R.M Billets Reports'!B1598,IF(ROW()=2,"",B1598))</f>
      </c>
      <c r="C1599">
        <f>IF('R.M Billets Reports'!A1598="V.No.",'R.M Billets Reports'!B1598,IF(ROW()=2,"",C1598))</f>
      </c>
      <c r="D1599">
        <f>IF('R.M Billets Reports'!A1598&lt;&gt;"",'R.M Billets Reports'!A1598,IF(ROW()=2,"",D1598))</f>
      </c>
      <c r="E1599">
        <f>IF('R.M Billets Reports'!B1598="","",TRIM('R.M Billets Reports'!B1598))</f>
      </c>
      <c r="F1599">
        <f>'R.M Billets Reports'!C1598</f>
      </c>
      <c r="G1599">
        <f>'R.M Billets Reports'!D1598</f>
      </c>
      <c r="H1599">
        <f>'R.M Billets Reports'!E1598</f>
      </c>
      <c r="I1599">
        <f>'R.M Billets Reports'!F1598</f>
      </c>
      <c r="J1599">
        <f>'R.M Billets Reports'!G1598</f>
      </c>
      <c r="K1599">
        <f>'R.M Billets Reports'!H1598</f>
      </c>
      <c r="L1599">
        <f>IF('R.M Billets Reports'!I1598="","",'R.M Billets Reports'!I1598)</f>
      </c>
      <c r="M1599">
        <f t="shared" si="48"/>
      </c>
      <c r="N1599">
        <f>IF('R.M Billets Reports'!J1598="","",'R.M Billets Reports'!J1598)</f>
      </c>
      <c r="O1599">
        <f t="shared" si="49"/>
      </c>
      <c r="P1599">
        <f>IF('R.M Billets Reports'!A1598="SIZE",'R.M Billets Reports'!B1598,P1598)</f>
      </c>
    </row>
    <row r="1600" spans="1:16" x14ac:dyDescent="0.25">
      <c r="A1600">
        <f>IF(OR('R.M Billets Reports'!A1599="Date-",'R.M Billets Reports'!A1599="Date:-"),IF(IF(IF(ISNUMBER(SEARCH("Party Name:-",'R.M Billets Reports'!D1599)),TRIM('R.M Billets Reports'!F1599),IF(ISNUMBER(SEARCH("Party Name-",'R.M Billets Reports'!D1599)),TRIM(MID('R.M Billets Reports'!D1599,SEARCH("-",'R.M Billets Reports'!D1599)+1,200)),""))&lt;&gt;"",IF(ISNUMBER(SEARCH("Party Name:-",'R.M Billets Reports'!D1599)),TRIM('R.M Billets Reports'!F1599),IF(ISNUMBER(SEARCH("Party Name-",'R.M Billets Reports'!D1599)),TRIM(MID('R.M Billets Reports'!D1599,SEARCH("-",'R.M Billets Reports'!D1599)+1,200)),"")),IF(ISNUMBER(SEARCH("Party Name:-",'R.M Billets Reports'!D1600)),TRIM('R.M Billets Reports'!F1600),IF(ISNUMBER(SEARCH("Party Name-",'R.M Billets Reports'!D1600)),TRIM(MID('R.M Billets Reports'!D1600,SEARCH("-",'R.M Billets Reports'!D1600)+1,200)),"")))="VRKP ISPAT PVT LTD","VRKP",IF(IF(IF(ISNUMBER(SEARCH("Party Name:-",'R.M Billets Reports'!D1599)),TRIM('R.M Billets Reports'!F1599),IF(ISNUMBER(SEARCH("Party Name-",'R.M Billets Reports'!D1599)),TRIM(MID('R.M Billets Reports'!D1599,SEARCH("-",'R.M Billets Reports'!D1599)+1,200)),""))&lt;&gt;"",IF(ISNUMBER(SEARCH("Party Name:-",'R.M Billets Reports'!D1599)),TRIM('R.M Billets Reports'!F1599),IF(ISNUMBER(SEARCH("Party Name-",'R.M Billets Reports'!D1599)),TRIM(MID('R.M Billets Reports'!D1599,SEARCH("-",'R.M Billets Reports'!D1599)+1,200)),"")),IF(ISNUMBER(SEARCH("Party Name:-",'R.M Billets Reports'!D1600)),TRIM('R.M Billets Reports'!F1600),IF(ISNUMBER(SEARCH("Party Name-",'R.M Billets Reports'!D1600)),TRIM(MID('R.M Billets Reports'!D1600,SEARCH("-",'R.M Billets Reports'!D1600)+1,200)),"")))="SHRI RADHE","SHREE RADHE",IF(IF(IF(ISNUMBER(SEARCH("Party Name:-",'R.M Billets Reports'!D1599)),TRIM('R.M Billets Reports'!F1599),IF(ISNUMBER(SEARCH("Party Name-",'R.M Billets Reports'!D1599)),TRIM(MID('R.M Billets Reports'!D1599,SEARCH("-",'R.M Billets Reports'!D1599)+1,200)),""))&lt;&gt;"",IF(ISNUMBER(SEARCH("Party Name:-",'R.M Billets Reports'!D1599)),TRIM('R.M Billets Reports'!F1599),IF(ISNUMBER(SEARCH("Party Name-",'R.M Billets Reports'!D1599)),TRIM(MID('R.M Billets Reports'!D1599,SEARCH("-",'R.M Billets Reports'!D1599)+1,200)),"")),IF(ISNUMBER(SEARCH("Party Name:-",'R.M Billets Reports'!D1600)),TRIM('R.M Billets Reports'!F1600),IF(ISNUMBER(SEARCH("Party Name-",'R.M Billets Reports'!D1600)),TRIM(MID('R.M Billets Reports'!D1600,SEARCH("-",'R.M Billets Reports'!D1600)+1,200)),"")))="SHREE RADHE SHAKTI SPONGE AND POWER PVT. LTD.","SHREE RADHE",IF(IF(ISNUMBER(SEARCH("Party Name:-",'R.M Billets Reports'!D1599)),TRIM('R.M Billets Reports'!F1599),IF(ISNUMBER(SEARCH("Party Name-",'R.M Billets Reports'!D1599)),TRIM(MID('R.M Billets Reports'!D1599,SEARCH("-",'R.M Billets Reports'!D1599)+1,200)),""))&lt;&gt;"",IF(ISNUMBER(SEARCH("Party Name:-",'R.M Billets Reports'!D1599)),TRIM('R.M Billets Reports'!F1599),IF(ISNUMBER(SEARCH("Party Name-",'R.M Billets Reports'!D1599)),TRIM(MID('R.M Billets Reports'!D1599,SEARCH("-",'R.M Billets Reports'!D1599)+1,200)),"")),IF(ISNUMBER(SEARCH("Party Name:-",'R.M Billets Reports'!D1600)),TRIM('R.M Billets Reports'!F1600),IF(ISNUMBER(SEARCH("Party Name-",'R.M Billets Reports'!D1600)),TRIM(MID('R.M Billets Reports'!D1600,SEARCH("-",'R.M Billets Reports'!D1600)+1,200)),"")))))),IF(ROW()=2,"",A1599))</f>
      </c>
      <c r="B1600">
        <f>IF(OR('R.M Billets Reports'!A1599="Date-",'R.M Billets Reports'!A1599="Date:-"),'R.M Billets Reports'!B1599,IF(ROW()=2,"",B1599))</f>
      </c>
      <c r="C1600">
        <f>IF('R.M Billets Reports'!A1599="V.No.",'R.M Billets Reports'!B1599,IF(ROW()=2,"",C1599))</f>
      </c>
      <c r="D1600">
        <f>IF('R.M Billets Reports'!A1599&lt;&gt;"",'R.M Billets Reports'!A1599,IF(ROW()=2,"",D1599))</f>
      </c>
      <c r="E1600">
        <f>IF('R.M Billets Reports'!B1599="","",TRIM('R.M Billets Reports'!B1599))</f>
      </c>
      <c r="F1600">
        <f>'R.M Billets Reports'!C1599</f>
      </c>
      <c r="G1600">
        <f>'R.M Billets Reports'!D1599</f>
      </c>
      <c r="H1600">
        <f>'R.M Billets Reports'!E1599</f>
      </c>
      <c r="I1600">
        <f>'R.M Billets Reports'!F1599</f>
      </c>
      <c r="J1600">
        <f>'R.M Billets Reports'!G1599</f>
      </c>
      <c r="K1600">
        <f>'R.M Billets Reports'!H1599</f>
      </c>
      <c r="L1600">
        <f>IF('R.M Billets Reports'!I1599="","",'R.M Billets Reports'!I1599)</f>
      </c>
      <c r="M1600">
        <f t="shared" si="48"/>
      </c>
      <c r="N1600">
        <f>IF('R.M Billets Reports'!J1599="","",'R.M Billets Reports'!J1599)</f>
      </c>
      <c r="O1600">
        <f t="shared" si="49"/>
      </c>
      <c r="P1600">
        <f>IF('R.M Billets Reports'!A1599="SIZE",'R.M Billets Reports'!B1599,P1599)</f>
      </c>
    </row>
    <row r="1601" spans="1:16" x14ac:dyDescent="0.25">
      <c r="A1601">
        <f>IF(OR('R.M Billets Reports'!A1600="Date-",'R.M Billets Reports'!A1600="Date:-"),IF(IF(IF(ISNUMBER(SEARCH("Party Name:-",'R.M Billets Reports'!D1600)),TRIM('R.M Billets Reports'!F1600),IF(ISNUMBER(SEARCH("Party Name-",'R.M Billets Reports'!D1600)),TRIM(MID('R.M Billets Reports'!D1600,SEARCH("-",'R.M Billets Reports'!D1600)+1,200)),""))&lt;&gt;"",IF(ISNUMBER(SEARCH("Party Name:-",'R.M Billets Reports'!D1600)),TRIM('R.M Billets Reports'!F1600),IF(ISNUMBER(SEARCH("Party Name-",'R.M Billets Reports'!D1600)),TRIM(MID('R.M Billets Reports'!D1600,SEARCH("-",'R.M Billets Reports'!D1600)+1,200)),"")),IF(ISNUMBER(SEARCH("Party Name:-",'R.M Billets Reports'!D1601)),TRIM('R.M Billets Reports'!F1601),IF(ISNUMBER(SEARCH("Party Name-",'R.M Billets Reports'!D1601)),TRIM(MID('R.M Billets Reports'!D1601,SEARCH("-",'R.M Billets Reports'!D1601)+1,200)),"")))="VRKP ISPAT PVT LTD","VRKP",IF(IF(IF(ISNUMBER(SEARCH("Party Name:-",'R.M Billets Reports'!D1600)),TRIM('R.M Billets Reports'!F1600),IF(ISNUMBER(SEARCH("Party Name-",'R.M Billets Reports'!D1600)),TRIM(MID('R.M Billets Reports'!D1600,SEARCH("-",'R.M Billets Reports'!D1600)+1,200)),""))&lt;&gt;"",IF(ISNUMBER(SEARCH("Party Name:-",'R.M Billets Reports'!D1600)),TRIM('R.M Billets Reports'!F1600),IF(ISNUMBER(SEARCH("Party Name-",'R.M Billets Reports'!D1600)),TRIM(MID('R.M Billets Reports'!D1600,SEARCH("-",'R.M Billets Reports'!D1600)+1,200)),"")),IF(ISNUMBER(SEARCH("Party Name:-",'R.M Billets Reports'!D1601)),TRIM('R.M Billets Reports'!F1601),IF(ISNUMBER(SEARCH("Party Name-",'R.M Billets Reports'!D1601)),TRIM(MID('R.M Billets Reports'!D1601,SEARCH("-",'R.M Billets Reports'!D1601)+1,200)),"")))="SHRI RADHE","SHREE RADHE",IF(IF(IF(ISNUMBER(SEARCH("Party Name:-",'R.M Billets Reports'!D1600)),TRIM('R.M Billets Reports'!F1600),IF(ISNUMBER(SEARCH("Party Name-",'R.M Billets Reports'!D1600)),TRIM(MID('R.M Billets Reports'!D1600,SEARCH("-",'R.M Billets Reports'!D1600)+1,200)),""))&lt;&gt;"",IF(ISNUMBER(SEARCH("Party Name:-",'R.M Billets Reports'!D1600)),TRIM('R.M Billets Reports'!F1600),IF(ISNUMBER(SEARCH("Party Name-",'R.M Billets Reports'!D1600)),TRIM(MID('R.M Billets Reports'!D1600,SEARCH("-",'R.M Billets Reports'!D1600)+1,200)),"")),IF(ISNUMBER(SEARCH("Party Name:-",'R.M Billets Reports'!D1601)),TRIM('R.M Billets Reports'!F1601),IF(ISNUMBER(SEARCH("Party Name-",'R.M Billets Reports'!D1601)),TRIM(MID('R.M Billets Reports'!D1601,SEARCH("-",'R.M Billets Reports'!D1601)+1,200)),"")))="SHREE RADHE SHAKTI SPONGE AND POWER PVT. LTD.","SHREE RADHE",IF(IF(ISNUMBER(SEARCH("Party Name:-",'R.M Billets Reports'!D1600)),TRIM('R.M Billets Reports'!F1600),IF(ISNUMBER(SEARCH("Party Name-",'R.M Billets Reports'!D1600)),TRIM(MID('R.M Billets Reports'!D1600,SEARCH("-",'R.M Billets Reports'!D1600)+1,200)),""))&lt;&gt;"",IF(ISNUMBER(SEARCH("Party Name:-",'R.M Billets Reports'!D1600)),TRIM('R.M Billets Reports'!F1600),IF(ISNUMBER(SEARCH("Party Name-",'R.M Billets Reports'!D1600)),TRIM(MID('R.M Billets Reports'!D1600,SEARCH("-",'R.M Billets Reports'!D1600)+1,200)),"")),IF(ISNUMBER(SEARCH("Party Name:-",'R.M Billets Reports'!D1601)),TRIM('R.M Billets Reports'!F1601),IF(ISNUMBER(SEARCH("Party Name-",'R.M Billets Reports'!D1601)),TRIM(MID('R.M Billets Reports'!D1601,SEARCH("-",'R.M Billets Reports'!D1601)+1,200)),"")))))),IF(ROW()=2,"",A1600))</f>
      </c>
      <c r="B1601">
        <f>IF(OR('R.M Billets Reports'!A1600="Date-",'R.M Billets Reports'!A1600="Date:-"),'R.M Billets Reports'!B1600,IF(ROW()=2,"",B1600))</f>
      </c>
      <c r="C1601">
        <f>IF('R.M Billets Reports'!A1600="V.No.",'R.M Billets Reports'!B1600,IF(ROW()=2,"",C1600))</f>
      </c>
      <c r="D1601">
        <f>IF('R.M Billets Reports'!A1600&lt;&gt;"",'R.M Billets Reports'!A1600,IF(ROW()=2,"",D1600))</f>
      </c>
      <c r="E1601">
        <f>IF('R.M Billets Reports'!B1600="","",TRIM('R.M Billets Reports'!B1600))</f>
      </c>
      <c r="F1601">
        <f>'R.M Billets Reports'!C1600</f>
      </c>
      <c r="G1601">
        <f>'R.M Billets Reports'!D1600</f>
      </c>
      <c r="H1601">
        <f>'R.M Billets Reports'!E1600</f>
      </c>
      <c r="I1601">
        <f>'R.M Billets Reports'!F1600</f>
      </c>
      <c r="J1601">
        <f>'R.M Billets Reports'!G1600</f>
      </c>
      <c r="K1601">
        <f>'R.M Billets Reports'!H1600</f>
      </c>
      <c r="L1601">
        <f>IF('R.M Billets Reports'!I1600="","",'R.M Billets Reports'!I1600)</f>
      </c>
      <c r="M1601">
        <f t="shared" si="48"/>
      </c>
      <c r="N1601">
        <f>IF('R.M Billets Reports'!J1600="","",'R.M Billets Reports'!J1600)</f>
      </c>
      <c r="O1601">
        <f t="shared" si="49"/>
      </c>
      <c r="P1601">
        <f>IF('R.M Billets Reports'!A1600="SIZE",'R.M Billets Reports'!B1600,P1600)</f>
      </c>
    </row>
    <row r="1602" spans="1:16" x14ac:dyDescent="0.25">
      <c r="A1602">
        <f>IF(OR('R.M Billets Reports'!A1601="Date-",'R.M Billets Reports'!A1601="Date:-"),IF(IF(IF(ISNUMBER(SEARCH("Party Name:-",'R.M Billets Reports'!D1601)),TRIM('R.M Billets Reports'!F1601),IF(ISNUMBER(SEARCH("Party Name-",'R.M Billets Reports'!D1601)),TRIM(MID('R.M Billets Reports'!D1601,SEARCH("-",'R.M Billets Reports'!D1601)+1,200)),""))&lt;&gt;"",IF(ISNUMBER(SEARCH("Party Name:-",'R.M Billets Reports'!D1601)),TRIM('R.M Billets Reports'!F1601),IF(ISNUMBER(SEARCH("Party Name-",'R.M Billets Reports'!D1601)),TRIM(MID('R.M Billets Reports'!D1601,SEARCH("-",'R.M Billets Reports'!D1601)+1,200)),"")),IF(ISNUMBER(SEARCH("Party Name:-",'R.M Billets Reports'!D1602)),TRIM('R.M Billets Reports'!F1602),IF(ISNUMBER(SEARCH("Party Name-",'R.M Billets Reports'!D1602)),TRIM(MID('R.M Billets Reports'!D1602,SEARCH("-",'R.M Billets Reports'!D1602)+1,200)),"")))="VRKP ISPAT PVT LTD","VRKP",IF(IF(IF(ISNUMBER(SEARCH("Party Name:-",'R.M Billets Reports'!D1601)),TRIM('R.M Billets Reports'!F1601),IF(ISNUMBER(SEARCH("Party Name-",'R.M Billets Reports'!D1601)),TRIM(MID('R.M Billets Reports'!D1601,SEARCH("-",'R.M Billets Reports'!D1601)+1,200)),""))&lt;&gt;"",IF(ISNUMBER(SEARCH("Party Name:-",'R.M Billets Reports'!D1601)),TRIM('R.M Billets Reports'!F1601),IF(ISNUMBER(SEARCH("Party Name-",'R.M Billets Reports'!D1601)),TRIM(MID('R.M Billets Reports'!D1601,SEARCH("-",'R.M Billets Reports'!D1601)+1,200)),"")),IF(ISNUMBER(SEARCH("Party Name:-",'R.M Billets Reports'!D1602)),TRIM('R.M Billets Reports'!F1602),IF(ISNUMBER(SEARCH("Party Name-",'R.M Billets Reports'!D1602)),TRIM(MID('R.M Billets Reports'!D1602,SEARCH("-",'R.M Billets Reports'!D1602)+1,200)),"")))="SHRI RADHE","SHREE RADHE",IF(IF(IF(ISNUMBER(SEARCH("Party Name:-",'R.M Billets Reports'!D1601)),TRIM('R.M Billets Reports'!F1601),IF(ISNUMBER(SEARCH("Party Name-",'R.M Billets Reports'!D1601)),TRIM(MID('R.M Billets Reports'!D1601,SEARCH("-",'R.M Billets Reports'!D1601)+1,200)),""))&lt;&gt;"",IF(ISNUMBER(SEARCH("Party Name:-",'R.M Billets Reports'!D1601)),TRIM('R.M Billets Reports'!F1601),IF(ISNUMBER(SEARCH("Party Name-",'R.M Billets Reports'!D1601)),TRIM(MID('R.M Billets Reports'!D1601,SEARCH("-",'R.M Billets Reports'!D1601)+1,200)),"")),IF(ISNUMBER(SEARCH("Party Name:-",'R.M Billets Reports'!D1602)),TRIM('R.M Billets Reports'!F1602),IF(ISNUMBER(SEARCH("Party Name-",'R.M Billets Reports'!D1602)),TRIM(MID('R.M Billets Reports'!D1602,SEARCH("-",'R.M Billets Reports'!D1602)+1,200)),"")))="SHREE RADHE SHAKTI SPONGE AND POWER PVT. LTD.","SHREE RADHE",IF(IF(ISNUMBER(SEARCH("Party Name:-",'R.M Billets Reports'!D1601)),TRIM('R.M Billets Reports'!F1601),IF(ISNUMBER(SEARCH("Party Name-",'R.M Billets Reports'!D1601)),TRIM(MID('R.M Billets Reports'!D1601,SEARCH("-",'R.M Billets Reports'!D1601)+1,200)),""))&lt;&gt;"",IF(ISNUMBER(SEARCH("Party Name:-",'R.M Billets Reports'!D1601)),TRIM('R.M Billets Reports'!F1601),IF(ISNUMBER(SEARCH("Party Name-",'R.M Billets Reports'!D1601)),TRIM(MID('R.M Billets Reports'!D1601,SEARCH("-",'R.M Billets Reports'!D1601)+1,200)),"")),IF(ISNUMBER(SEARCH("Party Name:-",'R.M Billets Reports'!D1602)),TRIM('R.M Billets Reports'!F1602),IF(ISNUMBER(SEARCH("Party Name-",'R.M Billets Reports'!D1602)),TRIM(MID('R.M Billets Reports'!D1602,SEARCH("-",'R.M Billets Reports'!D1602)+1,200)),"")))))),IF(ROW()=2,"",A1601))</f>
      </c>
      <c r="B1602">
        <f>IF(OR('R.M Billets Reports'!A1601="Date-",'R.M Billets Reports'!A1601="Date:-"),'R.M Billets Reports'!B1601,IF(ROW()=2,"",B1601))</f>
      </c>
      <c r="C1602">
        <f>IF('R.M Billets Reports'!A1601="V.No.",'R.M Billets Reports'!B1601,IF(ROW()=2,"",C1601))</f>
      </c>
      <c r="D1602">
        <f>IF('R.M Billets Reports'!A1601&lt;&gt;"",'R.M Billets Reports'!A1601,IF(ROW()=2,"",D1601))</f>
      </c>
      <c r="E1602">
        <f>IF('R.M Billets Reports'!B1601="","",TRIM('R.M Billets Reports'!B1601))</f>
      </c>
      <c r="F1602">
        <f>'R.M Billets Reports'!C1601</f>
      </c>
      <c r="G1602">
        <f>'R.M Billets Reports'!D1601</f>
      </c>
      <c r="H1602">
        <f>'R.M Billets Reports'!E1601</f>
      </c>
      <c r="I1602">
        <f>'R.M Billets Reports'!F1601</f>
      </c>
      <c r="J1602">
        <f>'R.M Billets Reports'!G1601</f>
      </c>
      <c r="K1602">
        <f>'R.M Billets Reports'!H1601</f>
      </c>
      <c r="L1602">
        <f>IF('R.M Billets Reports'!I1601="","",'R.M Billets Reports'!I1601)</f>
      </c>
      <c r="M1602">
        <f t="shared" si="48"/>
      </c>
      <c r="N1602">
        <f>IF('R.M Billets Reports'!J1601="","",'R.M Billets Reports'!J1601)</f>
      </c>
      <c r="O1602">
        <f t="shared" si="49"/>
      </c>
      <c r="P1602">
        <f>IF('R.M Billets Reports'!A1601="SIZE",'R.M Billets Reports'!B1601,P1601)</f>
      </c>
    </row>
    <row r="1603" spans="1:16" x14ac:dyDescent="0.25">
      <c r="A1603">
        <f>IF(OR('R.M Billets Reports'!A1602="Date-",'R.M Billets Reports'!A1602="Date:-"),IF(IF(IF(ISNUMBER(SEARCH("Party Name:-",'R.M Billets Reports'!D1602)),TRIM('R.M Billets Reports'!F1602),IF(ISNUMBER(SEARCH("Party Name-",'R.M Billets Reports'!D1602)),TRIM(MID('R.M Billets Reports'!D1602,SEARCH("-",'R.M Billets Reports'!D1602)+1,200)),""))&lt;&gt;"",IF(ISNUMBER(SEARCH("Party Name:-",'R.M Billets Reports'!D1602)),TRIM('R.M Billets Reports'!F1602),IF(ISNUMBER(SEARCH("Party Name-",'R.M Billets Reports'!D1602)),TRIM(MID('R.M Billets Reports'!D1602,SEARCH("-",'R.M Billets Reports'!D1602)+1,200)),"")),IF(ISNUMBER(SEARCH("Party Name:-",'R.M Billets Reports'!D1603)),TRIM('R.M Billets Reports'!F1603),IF(ISNUMBER(SEARCH("Party Name-",'R.M Billets Reports'!D1603)),TRIM(MID('R.M Billets Reports'!D1603,SEARCH("-",'R.M Billets Reports'!D1603)+1,200)),"")))="VRKP ISPAT PVT LTD","VRKP",IF(IF(IF(ISNUMBER(SEARCH("Party Name:-",'R.M Billets Reports'!D1602)),TRIM('R.M Billets Reports'!F1602),IF(ISNUMBER(SEARCH("Party Name-",'R.M Billets Reports'!D1602)),TRIM(MID('R.M Billets Reports'!D1602,SEARCH("-",'R.M Billets Reports'!D1602)+1,200)),""))&lt;&gt;"",IF(ISNUMBER(SEARCH("Party Name:-",'R.M Billets Reports'!D1602)),TRIM('R.M Billets Reports'!F1602),IF(ISNUMBER(SEARCH("Party Name-",'R.M Billets Reports'!D1602)),TRIM(MID('R.M Billets Reports'!D1602,SEARCH("-",'R.M Billets Reports'!D1602)+1,200)),"")),IF(ISNUMBER(SEARCH("Party Name:-",'R.M Billets Reports'!D1603)),TRIM('R.M Billets Reports'!F1603),IF(ISNUMBER(SEARCH("Party Name-",'R.M Billets Reports'!D1603)),TRIM(MID('R.M Billets Reports'!D1603,SEARCH("-",'R.M Billets Reports'!D1603)+1,200)),"")))="SHRI RADHE","SHREE RADHE",IF(IF(IF(ISNUMBER(SEARCH("Party Name:-",'R.M Billets Reports'!D1602)),TRIM('R.M Billets Reports'!F1602),IF(ISNUMBER(SEARCH("Party Name-",'R.M Billets Reports'!D1602)),TRIM(MID('R.M Billets Reports'!D1602,SEARCH("-",'R.M Billets Reports'!D1602)+1,200)),""))&lt;&gt;"",IF(ISNUMBER(SEARCH("Party Name:-",'R.M Billets Reports'!D1602)),TRIM('R.M Billets Reports'!F1602),IF(ISNUMBER(SEARCH("Party Name-",'R.M Billets Reports'!D1602)),TRIM(MID('R.M Billets Reports'!D1602,SEARCH("-",'R.M Billets Reports'!D1602)+1,200)),"")),IF(ISNUMBER(SEARCH("Party Name:-",'R.M Billets Reports'!D1603)),TRIM('R.M Billets Reports'!F1603),IF(ISNUMBER(SEARCH("Party Name-",'R.M Billets Reports'!D1603)),TRIM(MID('R.M Billets Reports'!D1603,SEARCH("-",'R.M Billets Reports'!D1603)+1,200)),"")))="SHREE RADHE SHAKTI SPONGE AND POWER PVT. LTD.","SHREE RADHE",IF(IF(ISNUMBER(SEARCH("Party Name:-",'R.M Billets Reports'!D1602)),TRIM('R.M Billets Reports'!F1602),IF(ISNUMBER(SEARCH("Party Name-",'R.M Billets Reports'!D1602)),TRIM(MID('R.M Billets Reports'!D1602,SEARCH("-",'R.M Billets Reports'!D1602)+1,200)),""))&lt;&gt;"",IF(ISNUMBER(SEARCH("Party Name:-",'R.M Billets Reports'!D1602)),TRIM('R.M Billets Reports'!F1602),IF(ISNUMBER(SEARCH("Party Name-",'R.M Billets Reports'!D1602)),TRIM(MID('R.M Billets Reports'!D1602,SEARCH("-",'R.M Billets Reports'!D1602)+1,200)),"")),IF(ISNUMBER(SEARCH("Party Name:-",'R.M Billets Reports'!D1603)),TRIM('R.M Billets Reports'!F1603),IF(ISNUMBER(SEARCH("Party Name-",'R.M Billets Reports'!D1603)),TRIM(MID('R.M Billets Reports'!D1603,SEARCH("-",'R.M Billets Reports'!D1603)+1,200)),"")))))),IF(ROW()=2,"",A1602))</f>
      </c>
      <c r="B1603">
        <f>IF(OR('R.M Billets Reports'!A1602="Date-",'R.M Billets Reports'!A1602="Date:-"),'R.M Billets Reports'!B1602,IF(ROW()=2,"",B1602))</f>
      </c>
      <c r="C1603">
        <f>IF('R.M Billets Reports'!A1602="V.No.",'R.M Billets Reports'!B1602,IF(ROW()=2,"",C1602))</f>
      </c>
      <c r="D1603">
        <f>IF('R.M Billets Reports'!A1602&lt;&gt;"",'R.M Billets Reports'!A1602,IF(ROW()=2,"",D1602))</f>
      </c>
      <c r="E1603">
        <f>IF('R.M Billets Reports'!B1602="","",TRIM('R.M Billets Reports'!B1602))</f>
      </c>
      <c r="F1603">
        <f>'R.M Billets Reports'!C1602</f>
      </c>
      <c r="G1603">
        <f>'R.M Billets Reports'!D1602</f>
      </c>
      <c r="H1603">
        <f>'R.M Billets Reports'!E1602</f>
      </c>
      <c r="I1603">
        <f>'R.M Billets Reports'!F1602</f>
      </c>
      <c r="J1603">
        <f>'R.M Billets Reports'!G1602</f>
      </c>
      <c r="K1603">
        <f>'R.M Billets Reports'!H1602</f>
      </c>
      <c r="L1603">
        <f>IF('R.M Billets Reports'!I1602="","",'R.M Billets Reports'!I1602)</f>
      </c>
      <c r="M1603">
        <f t="shared" ref="M1603:M1666" si="50">IF(L1603&lt;&gt;"",L1603,IF(D1603=D1602,M1602,""))</f>
      </c>
      <c r="N1603">
        <f>IF('R.M Billets Reports'!J1602="","",'R.M Billets Reports'!J1602)</f>
      </c>
      <c r="O1603">
        <f t="shared" ref="O1603:O1666" si="51">IF(N1603&lt;&gt;"",N1603,IF(D1603=D1602,O1602,""))</f>
      </c>
      <c r="P1603">
        <f>IF('R.M Billets Reports'!A1602="SIZE",'R.M Billets Reports'!B1602,P1602)</f>
      </c>
    </row>
    <row r="1604" spans="1:16" x14ac:dyDescent="0.25">
      <c r="A1604">
        <f>IF(OR('R.M Billets Reports'!A1603="Date-",'R.M Billets Reports'!A1603="Date:-"),IF(IF(IF(ISNUMBER(SEARCH("Party Name:-",'R.M Billets Reports'!D1603)),TRIM('R.M Billets Reports'!F1603),IF(ISNUMBER(SEARCH("Party Name-",'R.M Billets Reports'!D1603)),TRIM(MID('R.M Billets Reports'!D1603,SEARCH("-",'R.M Billets Reports'!D1603)+1,200)),""))&lt;&gt;"",IF(ISNUMBER(SEARCH("Party Name:-",'R.M Billets Reports'!D1603)),TRIM('R.M Billets Reports'!F1603),IF(ISNUMBER(SEARCH("Party Name-",'R.M Billets Reports'!D1603)),TRIM(MID('R.M Billets Reports'!D1603,SEARCH("-",'R.M Billets Reports'!D1603)+1,200)),"")),IF(ISNUMBER(SEARCH("Party Name:-",'R.M Billets Reports'!D1604)),TRIM('R.M Billets Reports'!F1604),IF(ISNUMBER(SEARCH("Party Name-",'R.M Billets Reports'!D1604)),TRIM(MID('R.M Billets Reports'!D1604,SEARCH("-",'R.M Billets Reports'!D1604)+1,200)),"")))="VRKP ISPAT PVT LTD","VRKP",IF(IF(IF(ISNUMBER(SEARCH("Party Name:-",'R.M Billets Reports'!D1603)),TRIM('R.M Billets Reports'!F1603),IF(ISNUMBER(SEARCH("Party Name-",'R.M Billets Reports'!D1603)),TRIM(MID('R.M Billets Reports'!D1603,SEARCH("-",'R.M Billets Reports'!D1603)+1,200)),""))&lt;&gt;"",IF(ISNUMBER(SEARCH("Party Name:-",'R.M Billets Reports'!D1603)),TRIM('R.M Billets Reports'!F1603),IF(ISNUMBER(SEARCH("Party Name-",'R.M Billets Reports'!D1603)),TRIM(MID('R.M Billets Reports'!D1603,SEARCH("-",'R.M Billets Reports'!D1603)+1,200)),"")),IF(ISNUMBER(SEARCH("Party Name:-",'R.M Billets Reports'!D1604)),TRIM('R.M Billets Reports'!F1604),IF(ISNUMBER(SEARCH("Party Name-",'R.M Billets Reports'!D1604)),TRIM(MID('R.M Billets Reports'!D1604,SEARCH("-",'R.M Billets Reports'!D1604)+1,200)),"")))="SHRI RADHE","SHREE RADHE",IF(IF(IF(ISNUMBER(SEARCH("Party Name:-",'R.M Billets Reports'!D1603)),TRIM('R.M Billets Reports'!F1603),IF(ISNUMBER(SEARCH("Party Name-",'R.M Billets Reports'!D1603)),TRIM(MID('R.M Billets Reports'!D1603,SEARCH("-",'R.M Billets Reports'!D1603)+1,200)),""))&lt;&gt;"",IF(ISNUMBER(SEARCH("Party Name:-",'R.M Billets Reports'!D1603)),TRIM('R.M Billets Reports'!F1603),IF(ISNUMBER(SEARCH("Party Name-",'R.M Billets Reports'!D1603)),TRIM(MID('R.M Billets Reports'!D1603,SEARCH("-",'R.M Billets Reports'!D1603)+1,200)),"")),IF(ISNUMBER(SEARCH("Party Name:-",'R.M Billets Reports'!D1604)),TRIM('R.M Billets Reports'!F1604),IF(ISNUMBER(SEARCH("Party Name-",'R.M Billets Reports'!D1604)),TRIM(MID('R.M Billets Reports'!D1604,SEARCH("-",'R.M Billets Reports'!D1604)+1,200)),"")))="SHREE RADHE SHAKTI SPONGE AND POWER PVT. LTD.","SHREE RADHE",IF(IF(ISNUMBER(SEARCH("Party Name:-",'R.M Billets Reports'!D1603)),TRIM('R.M Billets Reports'!F1603),IF(ISNUMBER(SEARCH("Party Name-",'R.M Billets Reports'!D1603)),TRIM(MID('R.M Billets Reports'!D1603,SEARCH("-",'R.M Billets Reports'!D1603)+1,200)),""))&lt;&gt;"",IF(ISNUMBER(SEARCH("Party Name:-",'R.M Billets Reports'!D1603)),TRIM('R.M Billets Reports'!F1603),IF(ISNUMBER(SEARCH("Party Name-",'R.M Billets Reports'!D1603)),TRIM(MID('R.M Billets Reports'!D1603,SEARCH("-",'R.M Billets Reports'!D1603)+1,200)),"")),IF(ISNUMBER(SEARCH("Party Name:-",'R.M Billets Reports'!D1604)),TRIM('R.M Billets Reports'!F1604),IF(ISNUMBER(SEARCH("Party Name-",'R.M Billets Reports'!D1604)),TRIM(MID('R.M Billets Reports'!D1604,SEARCH("-",'R.M Billets Reports'!D1604)+1,200)),"")))))),IF(ROW()=2,"",A1603))</f>
      </c>
      <c r="B1604">
        <f>IF(OR('R.M Billets Reports'!A1603="Date-",'R.M Billets Reports'!A1603="Date:-"),'R.M Billets Reports'!B1603,IF(ROW()=2,"",B1603))</f>
      </c>
      <c r="C1604">
        <f>IF('R.M Billets Reports'!A1603="V.No.",'R.M Billets Reports'!B1603,IF(ROW()=2,"",C1603))</f>
      </c>
      <c r="D1604">
        <f>IF('R.M Billets Reports'!A1603&lt;&gt;"",'R.M Billets Reports'!A1603,IF(ROW()=2,"",D1603))</f>
      </c>
      <c r="E1604">
        <f>IF('R.M Billets Reports'!B1603="","",TRIM('R.M Billets Reports'!B1603))</f>
      </c>
      <c r="F1604">
        <f>'R.M Billets Reports'!C1603</f>
      </c>
      <c r="G1604">
        <f>'R.M Billets Reports'!D1603</f>
      </c>
      <c r="H1604">
        <f>'R.M Billets Reports'!E1603</f>
      </c>
      <c r="I1604">
        <f>'R.M Billets Reports'!F1603</f>
      </c>
      <c r="J1604">
        <f>'R.M Billets Reports'!G1603</f>
      </c>
      <c r="K1604">
        <f>'R.M Billets Reports'!H1603</f>
      </c>
      <c r="L1604">
        <f>IF('R.M Billets Reports'!I1603="","",'R.M Billets Reports'!I1603)</f>
      </c>
      <c r="M1604">
        <f t="shared" si="50"/>
      </c>
      <c r="N1604">
        <f>IF('R.M Billets Reports'!J1603="","",'R.M Billets Reports'!J1603)</f>
      </c>
      <c r="O1604">
        <f t="shared" si="51"/>
      </c>
      <c r="P1604">
        <f>IF('R.M Billets Reports'!A1603="SIZE",'R.M Billets Reports'!B1603,P1603)</f>
      </c>
    </row>
    <row r="1605" spans="1:16" x14ac:dyDescent="0.25">
      <c r="A1605">
        <f>IF(OR('R.M Billets Reports'!A1604="Date-",'R.M Billets Reports'!A1604="Date:-"),IF(IF(IF(ISNUMBER(SEARCH("Party Name:-",'R.M Billets Reports'!D1604)),TRIM('R.M Billets Reports'!F1604),IF(ISNUMBER(SEARCH("Party Name-",'R.M Billets Reports'!D1604)),TRIM(MID('R.M Billets Reports'!D1604,SEARCH("-",'R.M Billets Reports'!D1604)+1,200)),""))&lt;&gt;"",IF(ISNUMBER(SEARCH("Party Name:-",'R.M Billets Reports'!D1604)),TRIM('R.M Billets Reports'!F1604),IF(ISNUMBER(SEARCH("Party Name-",'R.M Billets Reports'!D1604)),TRIM(MID('R.M Billets Reports'!D1604,SEARCH("-",'R.M Billets Reports'!D1604)+1,200)),"")),IF(ISNUMBER(SEARCH("Party Name:-",'R.M Billets Reports'!D1605)),TRIM('R.M Billets Reports'!F1605),IF(ISNUMBER(SEARCH("Party Name-",'R.M Billets Reports'!D1605)),TRIM(MID('R.M Billets Reports'!D1605,SEARCH("-",'R.M Billets Reports'!D1605)+1,200)),"")))="VRKP ISPAT PVT LTD","VRKP",IF(IF(IF(ISNUMBER(SEARCH("Party Name:-",'R.M Billets Reports'!D1604)),TRIM('R.M Billets Reports'!F1604),IF(ISNUMBER(SEARCH("Party Name-",'R.M Billets Reports'!D1604)),TRIM(MID('R.M Billets Reports'!D1604,SEARCH("-",'R.M Billets Reports'!D1604)+1,200)),""))&lt;&gt;"",IF(ISNUMBER(SEARCH("Party Name:-",'R.M Billets Reports'!D1604)),TRIM('R.M Billets Reports'!F1604),IF(ISNUMBER(SEARCH("Party Name-",'R.M Billets Reports'!D1604)),TRIM(MID('R.M Billets Reports'!D1604,SEARCH("-",'R.M Billets Reports'!D1604)+1,200)),"")),IF(ISNUMBER(SEARCH("Party Name:-",'R.M Billets Reports'!D1605)),TRIM('R.M Billets Reports'!F1605),IF(ISNUMBER(SEARCH("Party Name-",'R.M Billets Reports'!D1605)),TRIM(MID('R.M Billets Reports'!D1605,SEARCH("-",'R.M Billets Reports'!D1605)+1,200)),"")))="SHRI RADHE","SHREE RADHE",IF(IF(IF(ISNUMBER(SEARCH("Party Name:-",'R.M Billets Reports'!D1604)),TRIM('R.M Billets Reports'!F1604),IF(ISNUMBER(SEARCH("Party Name-",'R.M Billets Reports'!D1604)),TRIM(MID('R.M Billets Reports'!D1604,SEARCH("-",'R.M Billets Reports'!D1604)+1,200)),""))&lt;&gt;"",IF(ISNUMBER(SEARCH("Party Name:-",'R.M Billets Reports'!D1604)),TRIM('R.M Billets Reports'!F1604),IF(ISNUMBER(SEARCH("Party Name-",'R.M Billets Reports'!D1604)),TRIM(MID('R.M Billets Reports'!D1604,SEARCH("-",'R.M Billets Reports'!D1604)+1,200)),"")),IF(ISNUMBER(SEARCH("Party Name:-",'R.M Billets Reports'!D1605)),TRIM('R.M Billets Reports'!F1605),IF(ISNUMBER(SEARCH("Party Name-",'R.M Billets Reports'!D1605)),TRIM(MID('R.M Billets Reports'!D1605,SEARCH("-",'R.M Billets Reports'!D1605)+1,200)),"")))="SHREE RADHE SHAKTI SPONGE AND POWER PVT. LTD.","SHREE RADHE",IF(IF(ISNUMBER(SEARCH("Party Name:-",'R.M Billets Reports'!D1604)),TRIM('R.M Billets Reports'!F1604),IF(ISNUMBER(SEARCH("Party Name-",'R.M Billets Reports'!D1604)),TRIM(MID('R.M Billets Reports'!D1604,SEARCH("-",'R.M Billets Reports'!D1604)+1,200)),""))&lt;&gt;"",IF(ISNUMBER(SEARCH("Party Name:-",'R.M Billets Reports'!D1604)),TRIM('R.M Billets Reports'!F1604),IF(ISNUMBER(SEARCH("Party Name-",'R.M Billets Reports'!D1604)),TRIM(MID('R.M Billets Reports'!D1604,SEARCH("-",'R.M Billets Reports'!D1604)+1,200)),"")),IF(ISNUMBER(SEARCH("Party Name:-",'R.M Billets Reports'!D1605)),TRIM('R.M Billets Reports'!F1605),IF(ISNUMBER(SEARCH("Party Name-",'R.M Billets Reports'!D1605)),TRIM(MID('R.M Billets Reports'!D1605,SEARCH("-",'R.M Billets Reports'!D1605)+1,200)),"")))))),IF(ROW()=2,"",A1604))</f>
      </c>
      <c r="B1605">
        <f>IF(OR('R.M Billets Reports'!A1604="Date-",'R.M Billets Reports'!A1604="Date:-"),'R.M Billets Reports'!B1604,IF(ROW()=2,"",B1604))</f>
      </c>
      <c r="C1605">
        <f>IF('R.M Billets Reports'!A1604="V.No.",'R.M Billets Reports'!B1604,IF(ROW()=2,"",C1604))</f>
      </c>
      <c r="D1605">
        <f>IF('R.M Billets Reports'!A1604&lt;&gt;"",'R.M Billets Reports'!A1604,IF(ROW()=2,"",D1604))</f>
      </c>
      <c r="E1605">
        <f>IF('R.M Billets Reports'!B1604="","",TRIM('R.M Billets Reports'!B1604))</f>
      </c>
      <c r="F1605">
        <f>'R.M Billets Reports'!C1604</f>
      </c>
      <c r="G1605">
        <f>'R.M Billets Reports'!D1604</f>
      </c>
      <c r="H1605">
        <f>'R.M Billets Reports'!E1604</f>
      </c>
      <c r="I1605">
        <f>'R.M Billets Reports'!F1604</f>
      </c>
      <c r="J1605">
        <f>'R.M Billets Reports'!G1604</f>
      </c>
      <c r="K1605">
        <f>'R.M Billets Reports'!H1604</f>
      </c>
      <c r="L1605">
        <f>IF('R.M Billets Reports'!I1604="","",'R.M Billets Reports'!I1604)</f>
      </c>
      <c r="M1605">
        <f t="shared" si="50"/>
      </c>
      <c r="N1605">
        <f>IF('R.M Billets Reports'!J1604="","",'R.M Billets Reports'!J1604)</f>
      </c>
      <c r="O1605">
        <f t="shared" si="51"/>
      </c>
      <c r="P1605">
        <f>IF('R.M Billets Reports'!A1604="SIZE",'R.M Billets Reports'!B1604,P1604)</f>
      </c>
    </row>
    <row r="1606" spans="1:16" x14ac:dyDescent="0.25">
      <c r="A1606">
        <f>IF(OR('R.M Billets Reports'!A1605="Date-",'R.M Billets Reports'!A1605="Date:-"),IF(IF(IF(ISNUMBER(SEARCH("Party Name:-",'R.M Billets Reports'!D1605)),TRIM('R.M Billets Reports'!F1605),IF(ISNUMBER(SEARCH("Party Name-",'R.M Billets Reports'!D1605)),TRIM(MID('R.M Billets Reports'!D1605,SEARCH("-",'R.M Billets Reports'!D1605)+1,200)),""))&lt;&gt;"",IF(ISNUMBER(SEARCH("Party Name:-",'R.M Billets Reports'!D1605)),TRIM('R.M Billets Reports'!F1605),IF(ISNUMBER(SEARCH("Party Name-",'R.M Billets Reports'!D1605)),TRIM(MID('R.M Billets Reports'!D1605,SEARCH("-",'R.M Billets Reports'!D1605)+1,200)),"")),IF(ISNUMBER(SEARCH("Party Name:-",'R.M Billets Reports'!D1606)),TRIM('R.M Billets Reports'!F1606),IF(ISNUMBER(SEARCH("Party Name-",'R.M Billets Reports'!D1606)),TRIM(MID('R.M Billets Reports'!D1606,SEARCH("-",'R.M Billets Reports'!D1606)+1,200)),"")))="VRKP ISPAT PVT LTD","VRKP",IF(IF(IF(ISNUMBER(SEARCH("Party Name:-",'R.M Billets Reports'!D1605)),TRIM('R.M Billets Reports'!F1605),IF(ISNUMBER(SEARCH("Party Name-",'R.M Billets Reports'!D1605)),TRIM(MID('R.M Billets Reports'!D1605,SEARCH("-",'R.M Billets Reports'!D1605)+1,200)),""))&lt;&gt;"",IF(ISNUMBER(SEARCH("Party Name:-",'R.M Billets Reports'!D1605)),TRIM('R.M Billets Reports'!F1605),IF(ISNUMBER(SEARCH("Party Name-",'R.M Billets Reports'!D1605)),TRIM(MID('R.M Billets Reports'!D1605,SEARCH("-",'R.M Billets Reports'!D1605)+1,200)),"")),IF(ISNUMBER(SEARCH("Party Name:-",'R.M Billets Reports'!D1606)),TRIM('R.M Billets Reports'!F1606),IF(ISNUMBER(SEARCH("Party Name-",'R.M Billets Reports'!D1606)),TRIM(MID('R.M Billets Reports'!D1606,SEARCH("-",'R.M Billets Reports'!D1606)+1,200)),"")))="SHRI RADHE","SHREE RADHE",IF(IF(IF(ISNUMBER(SEARCH("Party Name:-",'R.M Billets Reports'!D1605)),TRIM('R.M Billets Reports'!F1605),IF(ISNUMBER(SEARCH("Party Name-",'R.M Billets Reports'!D1605)),TRIM(MID('R.M Billets Reports'!D1605,SEARCH("-",'R.M Billets Reports'!D1605)+1,200)),""))&lt;&gt;"",IF(ISNUMBER(SEARCH("Party Name:-",'R.M Billets Reports'!D1605)),TRIM('R.M Billets Reports'!F1605),IF(ISNUMBER(SEARCH("Party Name-",'R.M Billets Reports'!D1605)),TRIM(MID('R.M Billets Reports'!D1605,SEARCH("-",'R.M Billets Reports'!D1605)+1,200)),"")),IF(ISNUMBER(SEARCH("Party Name:-",'R.M Billets Reports'!D1606)),TRIM('R.M Billets Reports'!F1606),IF(ISNUMBER(SEARCH("Party Name-",'R.M Billets Reports'!D1606)),TRIM(MID('R.M Billets Reports'!D1606,SEARCH("-",'R.M Billets Reports'!D1606)+1,200)),"")))="SHREE RADHE SHAKTI SPONGE AND POWER PVT. LTD.","SHREE RADHE",IF(IF(ISNUMBER(SEARCH("Party Name:-",'R.M Billets Reports'!D1605)),TRIM('R.M Billets Reports'!F1605),IF(ISNUMBER(SEARCH("Party Name-",'R.M Billets Reports'!D1605)),TRIM(MID('R.M Billets Reports'!D1605,SEARCH("-",'R.M Billets Reports'!D1605)+1,200)),""))&lt;&gt;"",IF(ISNUMBER(SEARCH("Party Name:-",'R.M Billets Reports'!D1605)),TRIM('R.M Billets Reports'!F1605),IF(ISNUMBER(SEARCH("Party Name-",'R.M Billets Reports'!D1605)),TRIM(MID('R.M Billets Reports'!D1605,SEARCH("-",'R.M Billets Reports'!D1605)+1,200)),"")),IF(ISNUMBER(SEARCH("Party Name:-",'R.M Billets Reports'!D1606)),TRIM('R.M Billets Reports'!F1606),IF(ISNUMBER(SEARCH("Party Name-",'R.M Billets Reports'!D1606)),TRIM(MID('R.M Billets Reports'!D1606,SEARCH("-",'R.M Billets Reports'!D1606)+1,200)),"")))))),IF(ROW()=2,"",A1605))</f>
      </c>
      <c r="B1606">
        <f>IF(OR('R.M Billets Reports'!A1605="Date-",'R.M Billets Reports'!A1605="Date:-"),'R.M Billets Reports'!B1605,IF(ROW()=2,"",B1605))</f>
      </c>
      <c r="C1606">
        <f>IF('R.M Billets Reports'!A1605="V.No.",'R.M Billets Reports'!B1605,IF(ROW()=2,"",C1605))</f>
      </c>
      <c r="D1606">
        <f>IF('R.M Billets Reports'!A1605&lt;&gt;"",'R.M Billets Reports'!A1605,IF(ROW()=2,"",D1605))</f>
      </c>
      <c r="E1606">
        <f>IF('R.M Billets Reports'!B1605="","",TRIM('R.M Billets Reports'!B1605))</f>
      </c>
      <c r="F1606">
        <f>'R.M Billets Reports'!C1605</f>
      </c>
      <c r="G1606">
        <f>'R.M Billets Reports'!D1605</f>
      </c>
      <c r="H1606">
        <f>'R.M Billets Reports'!E1605</f>
      </c>
      <c r="I1606">
        <f>'R.M Billets Reports'!F1605</f>
      </c>
      <c r="J1606">
        <f>'R.M Billets Reports'!G1605</f>
      </c>
      <c r="K1606">
        <f>'R.M Billets Reports'!H1605</f>
      </c>
      <c r="L1606">
        <f>IF('R.M Billets Reports'!I1605="","",'R.M Billets Reports'!I1605)</f>
      </c>
      <c r="M1606">
        <f t="shared" si="50"/>
      </c>
      <c r="N1606">
        <f>IF('R.M Billets Reports'!J1605="","",'R.M Billets Reports'!J1605)</f>
      </c>
      <c r="O1606">
        <f t="shared" si="51"/>
      </c>
      <c r="P1606">
        <f>IF('R.M Billets Reports'!A1605="SIZE",'R.M Billets Reports'!B1605,P1605)</f>
      </c>
    </row>
    <row r="1607" spans="1:16" x14ac:dyDescent="0.25">
      <c r="A1607">
        <f>IF(OR('R.M Billets Reports'!A1606="Date-",'R.M Billets Reports'!A1606="Date:-"),IF(IF(IF(ISNUMBER(SEARCH("Party Name:-",'R.M Billets Reports'!D1606)),TRIM('R.M Billets Reports'!F1606),IF(ISNUMBER(SEARCH("Party Name-",'R.M Billets Reports'!D1606)),TRIM(MID('R.M Billets Reports'!D1606,SEARCH("-",'R.M Billets Reports'!D1606)+1,200)),""))&lt;&gt;"",IF(ISNUMBER(SEARCH("Party Name:-",'R.M Billets Reports'!D1606)),TRIM('R.M Billets Reports'!F1606),IF(ISNUMBER(SEARCH("Party Name-",'R.M Billets Reports'!D1606)),TRIM(MID('R.M Billets Reports'!D1606,SEARCH("-",'R.M Billets Reports'!D1606)+1,200)),"")),IF(ISNUMBER(SEARCH("Party Name:-",'R.M Billets Reports'!D1607)),TRIM('R.M Billets Reports'!F1607),IF(ISNUMBER(SEARCH("Party Name-",'R.M Billets Reports'!D1607)),TRIM(MID('R.M Billets Reports'!D1607,SEARCH("-",'R.M Billets Reports'!D1607)+1,200)),"")))="VRKP ISPAT PVT LTD","VRKP",IF(IF(IF(ISNUMBER(SEARCH("Party Name:-",'R.M Billets Reports'!D1606)),TRIM('R.M Billets Reports'!F1606),IF(ISNUMBER(SEARCH("Party Name-",'R.M Billets Reports'!D1606)),TRIM(MID('R.M Billets Reports'!D1606,SEARCH("-",'R.M Billets Reports'!D1606)+1,200)),""))&lt;&gt;"",IF(ISNUMBER(SEARCH("Party Name:-",'R.M Billets Reports'!D1606)),TRIM('R.M Billets Reports'!F1606),IF(ISNUMBER(SEARCH("Party Name-",'R.M Billets Reports'!D1606)),TRIM(MID('R.M Billets Reports'!D1606,SEARCH("-",'R.M Billets Reports'!D1606)+1,200)),"")),IF(ISNUMBER(SEARCH("Party Name:-",'R.M Billets Reports'!D1607)),TRIM('R.M Billets Reports'!F1607),IF(ISNUMBER(SEARCH("Party Name-",'R.M Billets Reports'!D1607)),TRIM(MID('R.M Billets Reports'!D1607,SEARCH("-",'R.M Billets Reports'!D1607)+1,200)),"")))="SHRI RADHE","SHREE RADHE",IF(IF(IF(ISNUMBER(SEARCH("Party Name:-",'R.M Billets Reports'!D1606)),TRIM('R.M Billets Reports'!F1606),IF(ISNUMBER(SEARCH("Party Name-",'R.M Billets Reports'!D1606)),TRIM(MID('R.M Billets Reports'!D1606,SEARCH("-",'R.M Billets Reports'!D1606)+1,200)),""))&lt;&gt;"",IF(ISNUMBER(SEARCH("Party Name:-",'R.M Billets Reports'!D1606)),TRIM('R.M Billets Reports'!F1606),IF(ISNUMBER(SEARCH("Party Name-",'R.M Billets Reports'!D1606)),TRIM(MID('R.M Billets Reports'!D1606,SEARCH("-",'R.M Billets Reports'!D1606)+1,200)),"")),IF(ISNUMBER(SEARCH("Party Name:-",'R.M Billets Reports'!D1607)),TRIM('R.M Billets Reports'!F1607),IF(ISNUMBER(SEARCH("Party Name-",'R.M Billets Reports'!D1607)),TRIM(MID('R.M Billets Reports'!D1607,SEARCH("-",'R.M Billets Reports'!D1607)+1,200)),"")))="SHREE RADHE SHAKTI SPONGE AND POWER PVT. LTD.","SHREE RADHE",IF(IF(ISNUMBER(SEARCH("Party Name:-",'R.M Billets Reports'!D1606)),TRIM('R.M Billets Reports'!F1606),IF(ISNUMBER(SEARCH("Party Name-",'R.M Billets Reports'!D1606)),TRIM(MID('R.M Billets Reports'!D1606,SEARCH("-",'R.M Billets Reports'!D1606)+1,200)),""))&lt;&gt;"",IF(ISNUMBER(SEARCH("Party Name:-",'R.M Billets Reports'!D1606)),TRIM('R.M Billets Reports'!F1606),IF(ISNUMBER(SEARCH("Party Name-",'R.M Billets Reports'!D1606)),TRIM(MID('R.M Billets Reports'!D1606,SEARCH("-",'R.M Billets Reports'!D1606)+1,200)),"")),IF(ISNUMBER(SEARCH("Party Name:-",'R.M Billets Reports'!D1607)),TRIM('R.M Billets Reports'!F1607),IF(ISNUMBER(SEARCH("Party Name-",'R.M Billets Reports'!D1607)),TRIM(MID('R.M Billets Reports'!D1607,SEARCH("-",'R.M Billets Reports'!D1607)+1,200)),"")))))),IF(ROW()=2,"",A1606))</f>
      </c>
      <c r="B1607">
        <f>IF(OR('R.M Billets Reports'!A1606="Date-",'R.M Billets Reports'!A1606="Date:-"),'R.M Billets Reports'!B1606,IF(ROW()=2,"",B1606))</f>
      </c>
      <c r="C1607">
        <f>IF('R.M Billets Reports'!A1606="V.No.",'R.M Billets Reports'!B1606,IF(ROW()=2,"",C1606))</f>
      </c>
      <c r="D1607">
        <f>IF('R.M Billets Reports'!A1606&lt;&gt;"",'R.M Billets Reports'!A1606,IF(ROW()=2,"",D1606))</f>
      </c>
      <c r="E1607">
        <f>IF('R.M Billets Reports'!B1606="","",TRIM('R.M Billets Reports'!B1606))</f>
      </c>
      <c r="F1607">
        <f>'R.M Billets Reports'!C1606</f>
      </c>
      <c r="G1607">
        <f>'R.M Billets Reports'!D1606</f>
      </c>
      <c r="H1607">
        <f>'R.M Billets Reports'!E1606</f>
      </c>
      <c r="I1607">
        <f>'R.M Billets Reports'!F1606</f>
      </c>
      <c r="J1607">
        <f>'R.M Billets Reports'!G1606</f>
      </c>
      <c r="K1607">
        <f>'R.M Billets Reports'!H1606</f>
      </c>
      <c r="L1607">
        <f>IF('R.M Billets Reports'!I1606="","",'R.M Billets Reports'!I1606)</f>
      </c>
      <c r="M1607">
        <f t="shared" si="50"/>
      </c>
      <c r="N1607">
        <f>IF('R.M Billets Reports'!J1606="","",'R.M Billets Reports'!J1606)</f>
      </c>
      <c r="O1607">
        <f t="shared" si="51"/>
      </c>
      <c r="P1607">
        <f>IF('R.M Billets Reports'!A1606="SIZE",'R.M Billets Reports'!B1606,P1606)</f>
      </c>
    </row>
    <row r="1608" spans="1:16" x14ac:dyDescent="0.25">
      <c r="A1608">
        <f>IF(OR('R.M Billets Reports'!A1607="Date-",'R.M Billets Reports'!A1607="Date:-"),IF(IF(IF(ISNUMBER(SEARCH("Party Name:-",'R.M Billets Reports'!D1607)),TRIM('R.M Billets Reports'!F1607),IF(ISNUMBER(SEARCH("Party Name-",'R.M Billets Reports'!D1607)),TRIM(MID('R.M Billets Reports'!D1607,SEARCH("-",'R.M Billets Reports'!D1607)+1,200)),""))&lt;&gt;"",IF(ISNUMBER(SEARCH("Party Name:-",'R.M Billets Reports'!D1607)),TRIM('R.M Billets Reports'!F1607),IF(ISNUMBER(SEARCH("Party Name-",'R.M Billets Reports'!D1607)),TRIM(MID('R.M Billets Reports'!D1607,SEARCH("-",'R.M Billets Reports'!D1607)+1,200)),"")),IF(ISNUMBER(SEARCH("Party Name:-",'R.M Billets Reports'!D1608)),TRIM('R.M Billets Reports'!F1608),IF(ISNUMBER(SEARCH("Party Name-",'R.M Billets Reports'!D1608)),TRIM(MID('R.M Billets Reports'!D1608,SEARCH("-",'R.M Billets Reports'!D1608)+1,200)),"")))="VRKP ISPAT PVT LTD","VRKP",IF(IF(IF(ISNUMBER(SEARCH("Party Name:-",'R.M Billets Reports'!D1607)),TRIM('R.M Billets Reports'!F1607),IF(ISNUMBER(SEARCH("Party Name-",'R.M Billets Reports'!D1607)),TRIM(MID('R.M Billets Reports'!D1607,SEARCH("-",'R.M Billets Reports'!D1607)+1,200)),""))&lt;&gt;"",IF(ISNUMBER(SEARCH("Party Name:-",'R.M Billets Reports'!D1607)),TRIM('R.M Billets Reports'!F1607),IF(ISNUMBER(SEARCH("Party Name-",'R.M Billets Reports'!D1607)),TRIM(MID('R.M Billets Reports'!D1607,SEARCH("-",'R.M Billets Reports'!D1607)+1,200)),"")),IF(ISNUMBER(SEARCH("Party Name:-",'R.M Billets Reports'!D1608)),TRIM('R.M Billets Reports'!F1608),IF(ISNUMBER(SEARCH("Party Name-",'R.M Billets Reports'!D1608)),TRIM(MID('R.M Billets Reports'!D1608,SEARCH("-",'R.M Billets Reports'!D1608)+1,200)),"")))="SHRI RADHE","SHREE RADHE",IF(IF(IF(ISNUMBER(SEARCH("Party Name:-",'R.M Billets Reports'!D1607)),TRIM('R.M Billets Reports'!F1607),IF(ISNUMBER(SEARCH("Party Name-",'R.M Billets Reports'!D1607)),TRIM(MID('R.M Billets Reports'!D1607,SEARCH("-",'R.M Billets Reports'!D1607)+1,200)),""))&lt;&gt;"",IF(ISNUMBER(SEARCH("Party Name:-",'R.M Billets Reports'!D1607)),TRIM('R.M Billets Reports'!F1607),IF(ISNUMBER(SEARCH("Party Name-",'R.M Billets Reports'!D1607)),TRIM(MID('R.M Billets Reports'!D1607,SEARCH("-",'R.M Billets Reports'!D1607)+1,200)),"")),IF(ISNUMBER(SEARCH("Party Name:-",'R.M Billets Reports'!D1608)),TRIM('R.M Billets Reports'!F1608),IF(ISNUMBER(SEARCH("Party Name-",'R.M Billets Reports'!D1608)),TRIM(MID('R.M Billets Reports'!D1608,SEARCH("-",'R.M Billets Reports'!D1608)+1,200)),"")))="SHREE RADHE SHAKTI SPONGE AND POWER PVT. LTD.","SHREE RADHE",IF(IF(ISNUMBER(SEARCH("Party Name:-",'R.M Billets Reports'!D1607)),TRIM('R.M Billets Reports'!F1607),IF(ISNUMBER(SEARCH("Party Name-",'R.M Billets Reports'!D1607)),TRIM(MID('R.M Billets Reports'!D1607,SEARCH("-",'R.M Billets Reports'!D1607)+1,200)),""))&lt;&gt;"",IF(ISNUMBER(SEARCH("Party Name:-",'R.M Billets Reports'!D1607)),TRIM('R.M Billets Reports'!F1607),IF(ISNUMBER(SEARCH("Party Name-",'R.M Billets Reports'!D1607)),TRIM(MID('R.M Billets Reports'!D1607,SEARCH("-",'R.M Billets Reports'!D1607)+1,200)),"")),IF(ISNUMBER(SEARCH("Party Name:-",'R.M Billets Reports'!D1608)),TRIM('R.M Billets Reports'!F1608),IF(ISNUMBER(SEARCH("Party Name-",'R.M Billets Reports'!D1608)),TRIM(MID('R.M Billets Reports'!D1608,SEARCH("-",'R.M Billets Reports'!D1608)+1,200)),"")))))),IF(ROW()=2,"",A1607))</f>
      </c>
      <c r="B1608">
        <f>IF(OR('R.M Billets Reports'!A1607="Date-",'R.M Billets Reports'!A1607="Date:-"),'R.M Billets Reports'!B1607,IF(ROW()=2,"",B1607))</f>
      </c>
      <c r="C1608">
        <f>IF('R.M Billets Reports'!A1607="V.No.",'R.M Billets Reports'!B1607,IF(ROW()=2,"",C1607))</f>
      </c>
      <c r="D1608">
        <f>IF('R.M Billets Reports'!A1607&lt;&gt;"",'R.M Billets Reports'!A1607,IF(ROW()=2,"",D1607))</f>
      </c>
      <c r="E1608">
        <f>IF('R.M Billets Reports'!B1607="","",TRIM('R.M Billets Reports'!B1607))</f>
      </c>
      <c r="F1608">
        <f>'R.M Billets Reports'!C1607</f>
      </c>
      <c r="G1608">
        <f>'R.M Billets Reports'!D1607</f>
      </c>
      <c r="H1608">
        <f>'R.M Billets Reports'!E1607</f>
      </c>
      <c r="I1608">
        <f>'R.M Billets Reports'!F1607</f>
      </c>
      <c r="J1608">
        <f>'R.M Billets Reports'!G1607</f>
      </c>
      <c r="K1608">
        <f>'R.M Billets Reports'!H1607</f>
      </c>
      <c r="L1608">
        <f>IF('R.M Billets Reports'!I1607="","",'R.M Billets Reports'!I1607)</f>
      </c>
      <c r="M1608">
        <f t="shared" si="50"/>
      </c>
      <c r="N1608">
        <f>IF('R.M Billets Reports'!J1607="","",'R.M Billets Reports'!J1607)</f>
      </c>
      <c r="O1608">
        <f t="shared" si="51"/>
      </c>
      <c r="P1608">
        <f>IF('R.M Billets Reports'!A1607="SIZE",'R.M Billets Reports'!B1607,P1607)</f>
      </c>
    </row>
    <row r="1609" spans="1:16" x14ac:dyDescent="0.25">
      <c r="A1609">
        <f>IF(OR('R.M Billets Reports'!A1608="Date-",'R.M Billets Reports'!A1608="Date:-"),IF(IF(IF(ISNUMBER(SEARCH("Party Name:-",'R.M Billets Reports'!D1608)),TRIM('R.M Billets Reports'!F1608),IF(ISNUMBER(SEARCH("Party Name-",'R.M Billets Reports'!D1608)),TRIM(MID('R.M Billets Reports'!D1608,SEARCH("-",'R.M Billets Reports'!D1608)+1,200)),""))&lt;&gt;"",IF(ISNUMBER(SEARCH("Party Name:-",'R.M Billets Reports'!D1608)),TRIM('R.M Billets Reports'!F1608),IF(ISNUMBER(SEARCH("Party Name-",'R.M Billets Reports'!D1608)),TRIM(MID('R.M Billets Reports'!D1608,SEARCH("-",'R.M Billets Reports'!D1608)+1,200)),"")),IF(ISNUMBER(SEARCH("Party Name:-",'R.M Billets Reports'!D1609)),TRIM('R.M Billets Reports'!F1609),IF(ISNUMBER(SEARCH("Party Name-",'R.M Billets Reports'!D1609)),TRIM(MID('R.M Billets Reports'!D1609,SEARCH("-",'R.M Billets Reports'!D1609)+1,200)),"")))="VRKP ISPAT PVT LTD","VRKP",IF(IF(IF(ISNUMBER(SEARCH("Party Name:-",'R.M Billets Reports'!D1608)),TRIM('R.M Billets Reports'!F1608),IF(ISNUMBER(SEARCH("Party Name-",'R.M Billets Reports'!D1608)),TRIM(MID('R.M Billets Reports'!D1608,SEARCH("-",'R.M Billets Reports'!D1608)+1,200)),""))&lt;&gt;"",IF(ISNUMBER(SEARCH("Party Name:-",'R.M Billets Reports'!D1608)),TRIM('R.M Billets Reports'!F1608),IF(ISNUMBER(SEARCH("Party Name-",'R.M Billets Reports'!D1608)),TRIM(MID('R.M Billets Reports'!D1608,SEARCH("-",'R.M Billets Reports'!D1608)+1,200)),"")),IF(ISNUMBER(SEARCH("Party Name:-",'R.M Billets Reports'!D1609)),TRIM('R.M Billets Reports'!F1609),IF(ISNUMBER(SEARCH("Party Name-",'R.M Billets Reports'!D1609)),TRIM(MID('R.M Billets Reports'!D1609,SEARCH("-",'R.M Billets Reports'!D1609)+1,200)),"")))="SHRI RADHE","SHREE RADHE",IF(IF(IF(ISNUMBER(SEARCH("Party Name:-",'R.M Billets Reports'!D1608)),TRIM('R.M Billets Reports'!F1608),IF(ISNUMBER(SEARCH("Party Name-",'R.M Billets Reports'!D1608)),TRIM(MID('R.M Billets Reports'!D1608,SEARCH("-",'R.M Billets Reports'!D1608)+1,200)),""))&lt;&gt;"",IF(ISNUMBER(SEARCH("Party Name:-",'R.M Billets Reports'!D1608)),TRIM('R.M Billets Reports'!F1608),IF(ISNUMBER(SEARCH("Party Name-",'R.M Billets Reports'!D1608)),TRIM(MID('R.M Billets Reports'!D1608,SEARCH("-",'R.M Billets Reports'!D1608)+1,200)),"")),IF(ISNUMBER(SEARCH("Party Name:-",'R.M Billets Reports'!D1609)),TRIM('R.M Billets Reports'!F1609),IF(ISNUMBER(SEARCH("Party Name-",'R.M Billets Reports'!D1609)),TRIM(MID('R.M Billets Reports'!D1609,SEARCH("-",'R.M Billets Reports'!D1609)+1,200)),"")))="SHREE RADHE SHAKTI SPONGE AND POWER PVT. LTD.","SHREE RADHE",IF(IF(ISNUMBER(SEARCH("Party Name:-",'R.M Billets Reports'!D1608)),TRIM('R.M Billets Reports'!F1608),IF(ISNUMBER(SEARCH("Party Name-",'R.M Billets Reports'!D1608)),TRIM(MID('R.M Billets Reports'!D1608,SEARCH("-",'R.M Billets Reports'!D1608)+1,200)),""))&lt;&gt;"",IF(ISNUMBER(SEARCH("Party Name:-",'R.M Billets Reports'!D1608)),TRIM('R.M Billets Reports'!F1608),IF(ISNUMBER(SEARCH("Party Name-",'R.M Billets Reports'!D1608)),TRIM(MID('R.M Billets Reports'!D1608,SEARCH("-",'R.M Billets Reports'!D1608)+1,200)),"")),IF(ISNUMBER(SEARCH("Party Name:-",'R.M Billets Reports'!D1609)),TRIM('R.M Billets Reports'!F1609),IF(ISNUMBER(SEARCH("Party Name-",'R.M Billets Reports'!D1609)),TRIM(MID('R.M Billets Reports'!D1609,SEARCH("-",'R.M Billets Reports'!D1609)+1,200)),"")))))),IF(ROW()=2,"",A1608))</f>
      </c>
      <c r="B1609">
        <f>IF(OR('R.M Billets Reports'!A1608="Date-",'R.M Billets Reports'!A1608="Date:-"),'R.M Billets Reports'!B1608,IF(ROW()=2,"",B1608))</f>
      </c>
      <c r="C1609">
        <f>IF('R.M Billets Reports'!A1608="V.No.",'R.M Billets Reports'!B1608,IF(ROW()=2,"",C1608))</f>
      </c>
      <c r="D1609">
        <f>IF('R.M Billets Reports'!A1608&lt;&gt;"",'R.M Billets Reports'!A1608,IF(ROW()=2,"",D1608))</f>
      </c>
      <c r="E1609">
        <f>IF('R.M Billets Reports'!B1608="","",TRIM('R.M Billets Reports'!B1608))</f>
      </c>
      <c r="F1609">
        <f>'R.M Billets Reports'!C1608</f>
      </c>
      <c r="G1609">
        <f>'R.M Billets Reports'!D1608</f>
      </c>
      <c r="H1609">
        <f>'R.M Billets Reports'!E1608</f>
      </c>
      <c r="I1609">
        <f>'R.M Billets Reports'!F1608</f>
      </c>
      <c r="J1609">
        <f>'R.M Billets Reports'!G1608</f>
      </c>
      <c r="K1609">
        <f>'R.M Billets Reports'!H1608</f>
      </c>
      <c r="L1609">
        <f>IF('R.M Billets Reports'!I1608="","",'R.M Billets Reports'!I1608)</f>
      </c>
      <c r="M1609">
        <f t="shared" si="50"/>
      </c>
      <c r="N1609">
        <f>IF('R.M Billets Reports'!J1608="","",'R.M Billets Reports'!J1608)</f>
      </c>
      <c r="O1609">
        <f t="shared" si="51"/>
      </c>
      <c r="P1609">
        <f>IF('R.M Billets Reports'!A1608="SIZE",'R.M Billets Reports'!B1608,P1608)</f>
      </c>
    </row>
    <row r="1610" spans="1:16" x14ac:dyDescent="0.25">
      <c r="A1610">
        <f>IF(OR('R.M Billets Reports'!A1609="Date-",'R.M Billets Reports'!A1609="Date:-"),IF(IF(IF(ISNUMBER(SEARCH("Party Name:-",'R.M Billets Reports'!D1609)),TRIM('R.M Billets Reports'!F1609),IF(ISNUMBER(SEARCH("Party Name-",'R.M Billets Reports'!D1609)),TRIM(MID('R.M Billets Reports'!D1609,SEARCH("-",'R.M Billets Reports'!D1609)+1,200)),""))&lt;&gt;"",IF(ISNUMBER(SEARCH("Party Name:-",'R.M Billets Reports'!D1609)),TRIM('R.M Billets Reports'!F1609),IF(ISNUMBER(SEARCH("Party Name-",'R.M Billets Reports'!D1609)),TRIM(MID('R.M Billets Reports'!D1609,SEARCH("-",'R.M Billets Reports'!D1609)+1,200)),"")),IF(ISNUMBER(SEARCH("Party Name:-",'R.M Billets Reports'!D1610)),TRIM('R.M Billets Reports'!F1610),IF(ISNUMBER(SEARCH("Party Name-",'R.M Billets Reports'!D1610)),TRIM(MID('R.M Billets Reports'!D1610,SEARCH("-",'R.M Billets Reports'!D1610)+1,200)),"")))="VRKP ISPAT PVT LTD","VRKP",IF(IF(IF(ISNUMBER(SEARCH("Party Name:-",'R.M Billets Reports'!D1609)),TRIM('R.M Billets Reports'!F1609),IF(ISNUMBER(SEARCH("Party Name-",'R.M Billets Reports'!D1609)),TRIM(MID('R.M Billets Reports'!D1609,SEARCH("-",'R.M Billets Reports'!D1609)+1,200)),""))&lt;&gt;"",IF(ISNUMBER(SEARCH("Party Name:-",'R.M Billets Reports'!D1609)),TRIM('R.M Billets Reports'!F1609),IF(ISNUMBER(SEARCH("Party Name-",'R.M Billets Reports'!D1609)),TRIM(MID('R.M Billets Reports'!D1609,SEARCH("-",'R.M Billets Reports'!D1609)+1,200)),"")),IF(ISNUMBER(SEARCH("Party Name:-",'R.M Billets Reports'!D1610)),TRIM('R.M Billets Reports'!F1610),IF(ISNUMBER(SEARCH("Party Name-",'R.M Billets Reports'!D1610)),TRIM(MID('R.M Billets Reports'!D1610,SEARCH("-",'R.M Billets Reports'!D1610)+1,200)),"")))="SHRI RADHE","SHREE RADHE",IF(IF(IF(ISNUMBER(SEARCH("Party Name:-",'R.M Billets Reports'!D1609)),TRIM('R.M Billets Reports'!F1609),IF(ISNUMBER(SEARCH("Party Name-",'R.M Billets Reports'!D1609)),TRIM(MID('R.M Billets Reports'!D1609,SEARCH("-",'R.M Billets Reports'!D1609)+1,200)),""))&lt;&gt;"",IF(ISNUMBER(SEARCH("Party Name:-",'R.M Billets Reports'!D1609)),TRIM('R.M Billets Reports'!F1609),IF(ISNUMBER(SEARCH("Party Name-",'R.M Billets Reports'!D1609)),TRIM(MID('R.M Billets Reports'!D1609,SEARCH("-",'R.M Billets Reports'!D1609)+1,200)),"")),IF(ISNUMBER(SEARCH("Party Name:-",'R.M Billets Reports'!D1610)),TRIM('R.M Billets Reports'!F1610),IF(ISNUMBER(SEARCH("Party Name-",'R.M Billets Reports'!D1610)),TRIM(MID('R.M Billets Reports'!D1610,SEARCH("-",'R.M Billets Reports'!D1610)+1,200)),"")))="SHREE RADHE SHAKTI SPONGE AND POWER PVT. LTD.","SHREE RADHE",IF(IF(ISNUMBER(SEARCH("Party Name:-",'R.M Billets Reports'!D1609)),TRIM('R.M Billets Reports'!F1609),IF(ISNUMBER(SEARCH("Party Name-",'R.M Billets Reports'!D1609)),TRIM(MID('R.M Billets Reports'!D1609,SEARCH("-",'R.M Billets Reports'!D1609)+1,200)),""))&lt;&gt;"",IF(ISNUMBER(SEARCH("Party Name:-",'R.M Billets Reports'!D1609)),TRIM('R.M Billets Reports'!F1609),IF(ISNUMBER(SEARCH("Party Name-",'R.M Billets Reports'!D1609)),TRIM(MID('R.M Billets Reports'!D1609,SEARCH("-",'R.M Billets Reports'!D1609)+1,200)),"")),IF(ISNUMBER(SEARCH("Party Name:-",'R.M Billets Reports'!D1610)),TRIM('R.M Billets Reports'!F1610),IF(ISNUMBER(SEARCH("Party Name-",'R.M Billets Reports'!D1610)),TRIM(MID('R.M Billets Reports'!D1610,SEARCH("-",'R.M Billets Reports'!D1610)+1,200)),"")))))),IF(ROW()=2,"",A1609))</f>
      </c>
      <c r="B1610">
        <f>IF(OR('R.M Billets Reports'!A1609="Date-",'R.M Billets Reports'!A1609="Date:-"),'R.M Billets Reports'!B1609,IF(ROW()=2,"",B1609))</f>
      </c>
      <c r="C1610">
        <f>IF('R.M Billets Reports'!A1609="V.No.",'R.M Billets Reports'!B1609,IF(ROW()=2,"",C1609))</f>
      </c>
      <c r="D1610">
        <f>IF('R.M Billets Reports'!A1609&lt;&gt;"",'R.M Billets Reports'!A1609,IF(ROW()=2,"",D1609))</f>
      </c>
      <c r="E1610">
        <f>IF('R.M Billets Reports'!B1609="","",TRIM('R.M Billets Reports'!B1609))</f>
      </c>
      <c r="F1610">
        <f>'R.M Billets Reports'!C1609</f>
      </c>
      <c r="G1610">
        <f>'R.M Billets Reports'!D1609</f>
      </c>
      <c r="H1610">
        <f>'R.M Billets Reports'!E1609</f>
      </c>
      <c r="I1610">
        <f>'R.M Billets Reports'!F1609</f>
      </c>
      <c r="J1610">
        <f>'R.M Billets Reports'!G1609</f>
      </c>
      <c r="K1610">
        <f>'R.M Billets Reports'!H1609</f>
      </c>
      <c r="L1610">
        <f>IF('R.M Billets Reports'!I1609="","",'R.M Billets Reports'!I1609)</f>
      </c>
      <c r="M1610">
        <f t="shared" si="50"/>
      </c>
      <c r="N1610">
        <f>IF('R.M Billets Reports'!J1609="","",'R.M Billets Reports'!J1609)</f>
      </c>
      <c r="O1610">
        <f t="shared" si="51"/>
      </c>
      <c r="P1610">
        <f>IF('R.M Billets Reports'!A1609="SIZE",'R.M Billets Reports'!B1609,P1609)</f>
      </c>
    </row>
    <row r="1611" spans="1:16" x14ac:dyDescent="0.25">
      <c r="A1611">
        <f>IF(OR('R.M Billets Reports'!A1610="Date-",'R.M Billets Reports'!A1610="Date:-"),IF(IF(IF(ISNUMBER(SEARCH("Party Name:-",'R.M Billets Reports'!D1610)),TRIM('R.M Billets Reports'!F1610),IF(ISNUMBER(SEARCH("Party Name-",'R.M Billets Reports'!D1610)),TRIM(MID('R.M Billets Reports'!D1610,SEARCH("-",'R.M Billets Reports'!D1610)+1,200)),""))&lt;&gt;"",IF(ISNUMBER(SEARCH("Party Name:-",'R.M Billets Reports'!D1610)),TRIM('R.M Billets Reports'!F1610),IF(ISNUMBER(SEARCH("Party Name-",'R.M Billets Reports'!D1610)),TRIM(MID('R.M Billets Reports'!D1610,SEARCH("-",'R.M Billets Reports'!D1610)+1,200)),"")),IF(ISNUMBER(SEARCH("Party Name:-",'R.M Billets Reports'!D1611)),TRIM('R.M Billets Reports'!F1611),IF(ISNUMBER(SEARCH("Party Name-",'R.M Billets Reports'!D1611)),TRIM(MID('R.M Billets Reports'!D1611,SEARCH("-",'R.M Billets Reports'!D1611)+1,200)),"")))="VRKP ISPAT PVT LTD","VRKP",IF(IF(IF(ISNUMBER(SEARCH("Party Name:-",'R.M Billets Reports'!D1610)),TRIM('R.M Billets Reports'!F1610),IF(ISNUMBER(SEARCH("Party Name-",'R.M Billets Reports'!D1610)),TRIM(MID('R.M Billets Reports'!D1610,SEARCH("-",'R.M Billets Reports'!D1610)+1,200)),""))&lt;&gt;"",IF(ISNUMBER(SEARCH("Party Name:-",'R.M Billets Reports'!D1610)),TRIM('R.M Billets Reports'!F1610),IF(ISNUMBER(SEARCH("Party Name-",'R.M Billets Reports'!D1610)),TRIM(MID('R.M Billets Reports'!D1610,SEARCH("-",'R.M Billets Reports'!D1610)+1,200)),"")),IF(ISNUMBER(SEARCH("Party Name:-",'R.M Billets Reports'!D1611)),TRIM('R.M Billets Reports'!F1611),IF(ISNUMBER(SEARCH("Party Name-",'R.M Billets Reports'!D1611)),TRIM(MID('R.M Billets Reports'!D1611,SEARCH("-",'R.M Billets Reports'!D1611)+1,200)),"")))="SHRI RADHE","SHREE RADHE",IF(IF(IF(ISNUMBER(SEARCH("Party Name:-",'R.M Billets Reports'!D1610)),TRIM('R.M Billets Reports'!F1610),IF(ISNUMBER(SEARCH("Party Name-",'R.M Billets Reports'!D1610)),TRIM(MID('R.M Billets Reports'!D1610,SEARCH("-",'R.M Billets Reports'!D1610)+1,200)),""))&lt;&gt;"",IF(ISNUMBER(SEARCH("Party Name:-",'R.M Billets Reports'!D1610)),TRIM('R.M Billets Reports'!F1610),IF(ISNUMBER(SEARCH("Party Name-",'R.M Billets Reports'!D1610)),TRIM(MID('R.M Billets Reports'!D1610,SEARCH("-",'R.M Billets Reports'!D1610)+1,200)),"")),IF(ISNUMBER(SEARCH("Party Name:-",'R.M Billets Reports'!D1611)),TRIM('R.M Billets Reports'!F1611),IF(ISNUMBER(SEARCH("Party Name-",'R.M Billets Reports'!D1611)),TRIM(MID('R.M Billets Reports'!D1611,SEARCH("-",'R.M Billets Reports'!D1611)+1,200)),"")))="SHREE RADHE SHAKTI SPONGE AND POWER PVT. LTD.","SHREE RADHE",IF(IF(ISNUMBER(SEARCH("Party Name:-",'R.M Billets Reports'!D1610)),TRIM('R.M Billets Reports'!F1610),IF(ISNUMBER(SEARCH("Party Name-",'R.M Billets Reports'!D1610)),TRIM(MID('R.M Billets Reports'!D1610,SEARCH("-",'R.M Billets Reports'!D1610)+1,200)),""))&lt;&gt;"",IF(ISNUMBER(SEARCH("Party Name:-",'R.M Billets Reports'!D1610)),TRIM('R.M Billets Reports'!F1610),IF(ISNUMBER(SEARCH("Party Name-",'R.M Billets Reports'!D1610)),TRIM(MID('R.M Billets Reports'!D1610,SEARCH("-",'R.M Billets Reports'!D1610)+1,200)),"")),IF(ISNUMBER(SEARCH("Party Name:-",'R.M Billets Reports'!D1611)),TRIM('R.M Billets Reports'!F1611),IF(ISNUMBER(SEARCH("Party Name-",'R.M Billets Reports'!D1611)),TRIM(MID('R.M Billets Reports'!D1611,SEARCH("-",'R.M Billets Reports'!D1611)+1,200)),"")))))),IF(ROW()=2,"",A1610))</f>
      </c>
      <c r="B1611">
        <f>IF(OR('R.M Billets Reports'!A1610="Date-",'R.M Billets Reports'!A1610="Date:-"),'R.M Billets Reports'!B1610,IF(ROW()=2,"",B1610))</f>
      </c>
      <c r="C1611">
        <f>IF('R.M Billets Reports'!A1610="V.No.",'R.M Billets Reports'!B1610,IF(ROW()=2,"",C1610))</f>
      </c>
      <c r="D1611">
        <f>IF('R.M Billets Reports'!A1610&lt;&gt;"",'R.M Billets Reports'!A1610,IF(ROW()=2,"",D1610))</f>
      </c>
      <c r="E1611">
        <f>IF('R.M Billets Reports'!B1610="","",TRIM('R.M Billets Reports'!B1610))</f>
      </c>
      <c r="F1611">
        <f>'R.M Billets Reports'!C1610</f>
      </c>
      <c r="G1611">
        <f>'R.M Billets Reports'!D1610</f>
      </c>
      <c r="H1611">
        <f>'R.M Billets Reports'!E1610</f>
      </c>
      <c r="I1611">
        <f>'R.M Billets Reports'!F1610</f>
      </c>
      <c r="J1611">
        <f>'R.M Billets Reports'!G1610</f>
      </c>
      <c r="K1611">
        <f>'R.M Billets Reports'!H1610</f>
      </c>
      <c r="L1611">
        <f>IF('R.M Billets Reports'!I1610="","",'R.M Billets Reports'!I1610)</f>
      </c>
      <c r="M1611">
        <f t="shared" si="50"/>
      </c>
      <c r="N1611">
        <f>IF('R.M Billets Reports'!J1610="","",'R.M Billets Reports'!J1610)</f>
      </c>
      <c r="O1611">
        <f t="shared" si="51"/>
      </c>
      <c r="P1611">
        <f>IF('R.M Billets Reports'!A1610="SIZE",'R.M Billets Reports'!B1610,P1610)</f>
      </c>
    </row>
    <row r="1612" spans="1:16" x14ac:dyDescent="0.25">
      <c r="A1612">
        <f>IF(OR('R.M Billets Reports'!A1611="Date-",'R.M Billets Reports'!A1611="Date:-"),IF(IF(IF(ISNUMBER(SEARCH("Party Name:-",'R.M Billets Reports'!D1611)),TRIM('R.M Billets Reports'!F1611),IF(ISNUMBER(SEARCH("Party Name-",'R.M Billets Reports'!D1611)),TRIM(MID('R.M Billets Reports'!D1611,SEARCH("-",'R.M Billets Reports'!D1611)+1,200)),""))&lt;&gt;"",IF(ISNUMBER(SEARCH("Party Name:-",'R.M Billets Reports'!D1611)),TRIM('R.M Billets Reports'!F1611),IF(ISNUMBER(SEARCH("Party Name-",'R.M Billets Reports'!D1611)),TRIM(MID('R.M Billets Reports'!D1611,SEARCH("-",'R.M Billets Reports'!D1611)+1,200)),"")),IF(ISNUMBER(SEARCH("Party Name:-",'R.M Billets Reports'!D1612)),TRIM('R.M Billets Reports'!F1612),IF(ISNUMBER(SEARCH("Party Name-",'R.M Billets Reports'!D1612)),TRIM(MID('R.M Billets Reports'!D1612,SEARCH("-",'R.M Billets Reports'!D1612)+1,200)),"")))="VRKP ISPAT PVT LTD","VRKP",IF(IF(IF(ISNUMBER(SEARCH("Party Name:-",'R.M Billets Reports'!D1611)),TRIM('R.M Billets Reports'!F1611),IF(ISNUMBER(SEARCH("Party Name-",'R.M Billets Reports'!D1611)),TRIM(MID('R.M Billets Reports'!D1611,SEARCH("-",'R.M Billets Reports'!D1611)+1,200)),""))&lt;&gt;"",IF(ISNUMBER(SEARCH("Party Name:-",'R.M Billets Reports'!D1611)),TRIM('R.M Billets Reports'!F1611),IF(ISNUMBER(SEARCH("Party Name-",'R.M Billets Reports'!D1611)),TRIM(MID('R.M Billets Reports'!D1611,SEARCH("-",'R.M Billets Reports'!D1611)+1,200)),"")),IF(ISNUMBER(SEARCH("Party Name:-",'R.M Billets Reports'!D1612)),TRIM('R.M Billets Reports'!F1612),IF(ISNUMBER(SEARCH("Party Name-",'R.M Billets Reports'!D1612)),TRIM(MID('R.M Billets Reports'!D1612,SEARCH("-",'R.M Billets Reports'!D1612)+1,200)),"")))="SHRI RADHE","SHREE RADHE",IF(IF(IF(ISNUMBER(SEARCH("Party Name:-",'R.M Billets Reports'!D1611)),TRIM('R.M Billets Reports'!F1611),IF(ISNUMBER(SEARCH("Party Name-",'R.M Billets Reports'!D1611)),TRIM(MID('R.M Billets Reports'!D1611,SEARCH("-",'R.M Billets Reports'!D1611)+1,200)),""))&lt;&gt;"",IF(ISNUMBER(SEARCH("Party Name:-",'R.M Billets Reports'!D1611)),TRIM('R.M Billets Reports'!F1611),IF(ISNUMBER(SEARCH("Party Name-",'R.M Billets Reports'!D1611)),TRIM(MID('R.M Billets Reports'!D1611,SEARCH("-",'R.M Billets Reports'!D1611)+1,200)),"")),IF(ISNUMBER(SEARCH("Party Name:-",'R.M Billets Reports'!D1612)),TRIM('R.M Billets Reports'!F1612),IF(ISNUMBER(SEARCH("Party Name-",'R.M Billets Reports'!D1612)),TRIM(MID('R.M Billets Reports'!D1612,SEARCH("-",'R.M Billets Reports'!D1612)+1,200)),"")))="SHREE RADHE SHAKTI SPONGE AND POWER PVT. LTD.","SHREE RADHE",IF(IF(ISNUMBER(SEARCH("Party Name:-",'R.M Billets Reports'!D1611)),TRIM('R.M Billets Reports'!F1611),IF(ISNUMBER(SEARCH("Party Name-",'R.M Billets Reports'!D1611)),TRIM(MID('R.M Billets Reports'!D1611,SEARCH("-",'R.M Billets Reports'!D1611)+1,200)),""))&lt;&gt;"",IF(ISNUMBER(SEARCH("Party Name:-",'R.M Billets Reports'!D1611)),TRIM('R.M Billets Reports'!F1611),IF(ISNUMBER(SEARCH("Party Name-",'R.M Billets Reports'!D1611)),TRIM(MID('R.M Billets Reports'!D1611,SEARCH("-",'R.M Billets Reports'!D1611)+1,200)),"")),IF(ISNUMBER(SEARCH("Party Name:-",'R.M Billets Reports'!D1612)),TRIM('R.M Billets Reports'!F1612),IF(ISNUMBER(SEARCH("Party Name-",'R.M Billets Reports'!D1612)),TRIM(MID('R.M Billets Reports'!D1612,SEARCH("-",'R.M Billets Reports'!D1612)+1,200)),"")))))),IF(ROW()=2,"",A1611))</f>
      </c>
      <c r="B1612">
        <f>IF(OR('R.M Billets Reports'!A1611="Date-",'R.M Billets Reports'!A1611="Date:-"),'R.M Billets Reports'!B1611,IF(ROW()=2,"",B1611))</f>
      </c>
      <c r="C1612">
        <f>IF('R.M Billets Reports'!A1611="V.No.",'R.M Billets Reports'!B1611,IF(ROW()=2,"",C1611))</f>
      </c>
      <c r="D1612">
        <f>IF('R.M Billets Reports'!A1611&lt;&gt;"",'R.M Billets Reports'!A1611,IF(ROW()=2,"",D1611))</f>
      </c>
      <c r="E1612">
        <f>IF('R.M Billets Reports'!B1611="","",TRIM('R.M Billets Reports'!B1611))</f>
      </c>
      <c r="F1612">
        <f>'R.M Billets Reports'!C1611</f>
      </c>
      <c r="G1612">
        <f>'R.M Billets Reports'!D1611</f>
      </c>
      <c r="H1612">
        <f>'R.M Billets Reports'!E1611</f>
      </c>
      <c r="I1612">
        <f>'R.M Billets Reports'!F1611</f>
      </c>
      <c r="J1612">
        <f>'R.M Billets Reports'!G1611</f>
      </c>
      <c r="K1612">
        <f>'R.M Billets Reports'!H1611</f>
      </c>
      <c r="L1612">
        <f>IF('R.M Billets Reports'!I1611="","",'R.M Billets Reports'!I1611)</f>
      </c>
      <c r="M1612">
        <f t="shared" si="50"/>
      </c>
      <c r="N1612">
        <f>IF('R.M Billets Reports'!J1611="","",'R.M Billets Reports'!J1611)</f>
      </c>
      <c r="O1612">
        <f t="shared" si="51"/>
      </c>
      <c r="P1612">
        <f>IF('R.M Billets Reports'!A1611="SIZE",'R.M Billets Reports'!B1611,P1611)</f>
      </c>
    </row>
    <row r="1613" spans="1:16" x14ac:dyDescent="0.25">
      <c r="A1613">
        <f>IF(OR('R.M Billets Reports'!A1612="Date-",'R.M Billets Reports'!A1612="Date:-"),IF(IF(IF(ISNUMBER(SEARCH("Party Name:-",'R.M Billets Reports'!D1612)),TRIM('R.M Billets Reports'!F1612),IF(ISNUMBER(SEARCH("Party Name-",'R.M Billets Reports'!D1612)),TRIM(MID('R.M Billets Reports'!D1612,SEARCH("-",'R.M Billets Reports'!D1612)+1,200)),""))&lt;&gt;"",IF(ISNUMBER(SEARCH("Party Name:-",'R.M Billets Reports'!D1612)),TRIM('R.M Billets Reports'!F1612),IF(ISNUMBER(SEARCH("Party Name-",'R.M Billets Reports'!D1612)),TRIM(MID('R.M Billets Reports'!D1612,SEARCH("-",'R.M Billets Reports'!D1612)+1,200)),"")),IF(ISNUMBER(SEARCH("Party Name:-",'R.M Billets Reports'!D1613)),TRIM('R.M Billets Reports'!F1613),IF(ISNUMBER(SEARCH("Party Name-",'R.M Billets Reports'!D1613)),TRIM(MID('R.M Billets Reports'!D1613,SEARCH("-",'R.M Billets Reports'!D1613)+1,200)),"")))="VRKP ISPAT PVT LTD","VRKP",IF(IF(IF(ISNUMBER(SEARCH("Party Name:-",'R.M Billets Reports'!D1612)),TRIM('R.M Billets Reports'!F1612),IF(ISNUMBER(SEARCH("Party Name-",'R.M Billets Reports'!D1612)),TRIM(MID('R.M Billets Reports'!D1612,SEARCH("-",'R.M Billets Reports'!D1612)+1,200)),""))&lt;&gt;"",IF(ISNUMBER(SEARCH("Party Name:-",'R.M Billets Reports'!D1612)),TRIM('R.M Billets Reports'!F1612),IF(ISNUMBER(SEARCH("Party Name-",'R.M Billets Reports'!D1612)),TRIM(MID('R.M Billets Reports'!D1612,SEARCH("-",'R.M Billets Reports'!D1612)+1,200)),"")),IF(ISNUMBER(SEARCH("Party Name:-",'R.M Billets Reports'!D1613)),TRIM('R.M Billets Reports'!F1613),IF(ISNUMBER(SEARCH("Party Name-",'R.M Billets Reports'!D1613)),TRIM(MID('R.M Billets Reports'!D1613,SEARCH("-",'R.M Billets Reports'!D1613)+1,200)),"")))="SHRI RADHE","SHREE RADHE",IF(IF(IF(ISNUMBER(SEARCH("Party Name:-",'R.M Billets Reports'!D1612)),TRIM('R.M Billets Reports'!F1612),IF(ISNUMBER(SEARCH("Party Name-",'R.M Billets Reports'!D1612)),TRIM(MID('R.M Billets Reports'!D1612,SEARCH("-",'R.M Billets Reports'!D1612)+1,200)),""))&lt;&gt;"",IF(ISNUMBER(SEARCH("Party Name:-",'R.M Billets Reports'!D1612)),TRIM('R.M Billets Reports'!F1612),IF(ISNUMBER(SEARCH("Party Name-",'R.M Billets Reports'!D1612)),TRIM(MID('R.M Billets Reports'!D1612,SEARCH("-",'R.M Billets Reports'!D1612)+1,200)),"")),IF(ISNUMBER(SEARCH("Party Name:-",'R.M Billets Reports'!D1613)),TRIM('R.M Billets Reports'!F1613),IF(ISNUMBER(SEARCH("Party Name-",'R.M Billets Reports'!D1613)),TRIM(MID('R.M Billets Reports'!D1613,SEARCH("-",'R.M Billets Reports'!D1613)+1,200)),"")))="SHREE RADHE SHAKTI SPONGE AND POWER PVT. LTD.","SHREE RADHE",IF(IF(ISNUMBER(SEARCH("Party Name:-",'R.M Billets Reports'!D1612)),TRIM('R.M Billets Reports'!F1612),IF(ISNUMBER(SEARCH("Party Name-",'R.M Billets Reports'!D1612)),TRIM(MID('R.M Billets Reports'!D1612,SEARCH("-",'R.M Billets Reports'!D1612)+1,200)),""))&lt;&gt;"",IF(ISNUMBER(SEARCH("Party Name:-",'R.M Billets Reports'!D1612)),TRIM('R.M Billets Reports'!F1612),IF(ISNUMBER(SEARCH("Party Name-",'R.M Billets Reports'!D1612)),TRIM(MID('R.M Billets Reports'!D1612,SEARCH("-",'R.M Billets Reports'!D1612)+1,200)),"")),IF(ISNUMBER(SEARCH("Party Name:-",'R.M Billets Reports'!D1613)),TRIM('R.M Billets Reports'!F1613),IF(ISNUMBER(SEARCH("Party Name-",'R.M Billets Reports'!D1613)),TRIM(MID('R.M Billets Reports'!D1613,SEARCH("-",'R.M Billets Reports'!D1613)+1,200)),"")))))),IF(ROW()=2,"",A1612))</f>
      </c>
      <c r="B1613">
        <f>IF(OR('R.M Billets Reports'!A1612="Date-",'R.M Billets Reports'!A1612="Date:-"),'R.M Billets Reports'!B1612,IF(ROW()=2,"",B1612))</f>
      </c>
      <c r="C1613">
        <f>IF('R.M Billets Reports'!A1612="V.No.",'R.M Billets Reports'!B1612,IF(ROW()=2,"",C1612))</f>
      </c>
      <c r="D1613">
        <f>IF('R.M Billets Reports'!A1612&lt;&gt;"",'R.M Billets Reports'!A1612,IF(ROW()=2,"",D1612))</f>
      </c>
      <c r="E1613">
        <f>IF('R.M Billets Reports'!B1612="","",TRIM('R.M Billets Reports'!B1612))</f>
      </c>
      <c r="F1613">
        <f>'R.M Billets Reports'!C1612</f>
      </c>
      <c r="G1613">
        <f>'R.M Billets Reports'!D1612</f>
      </c>
      <c r="H1613">
        <f>'R.M Billets Reports'!E1612</f>
      </c>
      <c r="I1613">
        <f>'R.M Billets Reports'!F1612</f>
      </c>
      <c r="J1613">
        <f>'R.M Billets Reports'!G1612</f>
      </c>
      <c r="K1613">
        <f>'R.M Billets Reports'!H1612</f>
      </c>
      <c r="L1613">
        <f>IF('R.M Billets Reports'!I1612="","",'R.M Billets Reports'!I1612)</f>
      </c>
      <c r="M1613">
        <f t="shared" si="50"/>
      </c>
      <c r="N1613">
        <f>IF('R.M Billets Reports'!J1612="","",'R.M Billets Reports'!J1612)</f>
      </c>
      <c r="O1613">
        <f t="shared" si="51"/>
      </c>
      <c r="P1613">
        <f>IF('R.M Billets Reports'!A1612="SIZE",'R.M Billets Reports'!B1612,P1612)</f>
      </c>
    </row>
    <row r="1614" spans="1:16" x14ac:dyDescent="0.25">
      <c r="A1614">
        <f>IF(OR('R.M Billets Reports'!A1613="Date-",'R.M Billets Reports'!A1613="Date:-"),IF(IF(IF(ISNUMBER(SEARCH("Party Name:-",'R.M Billets Reports'!D1613)),TRIM('R.M Billets Reports'!F1613),IF(ISNUMBER(SEARCH("Party Name-",'R.M Billets Reports'!D1613)),TRIM(MID('R.M Billets Reports'!D1613,SEARCH("-",'R.M Billets Reports'!D1613)+1,200)),""))&lt;&gt;"",IF(ISNUMBER(SEARCH("Party Name:-",'R.M Billets Reports'!D1613)),TRIM('R.M Billets Reports'!F1613),IF(ISNUMBER(SEARCH("Party Name-",'R.M Billets Reports'!D1613)),TRIM(MID('R.M Billets Reports'!D1613,SEARCH("-",'R.M Billets Reports'!D1613)+1,200)),"")),IF(ISNUMBER(SEARCH("Party Name:-",'R.M Billets Reports'!D1614)),TRIM('R.M Billets Reports'!F1614),IF(ISNUMBER(SEARCH("Party Name-",'R.M Billets Reports'!D1614)),TRIM(MID('R.M Billets Reports'!D1614,SEARCH("-",'R.M Billets Reports'!D1614)+1,200)),"")))="VRKP ISPAT PVT LTD","VRKP",IF(IF(IF(ISNUMBER(SEARCH("Party Name:-",'R.M Billets Reports'!D1613)),TRIM('R.M Billets Reports'!F1613),IF(ISNUMBER(SEARCH("Party Name-",'R.M Billets Reports'!D1613)),TRIM(MID('R.M Billets Reports'!D1613,SEARCH("-",'R.M Billets Reports'!D1613)+1,200)),""))&lt;&gt;"",IF(ISNUMBER(SEARCH("Party Name:-",'R.M Billets Reports'!D1613)),TRIM('R.M Billets Reports'!F1613),IF(ISNUMBER(SEARCH("Party Name-",'R.M Billets Reports'!D1613)),TRIM(MID('R.M Billets Reports'!D1613,SEARCH("-",'R.M Billets Reports'!D1613)+1,200)),"")),IF(ISNUMBER(SEARCH("Party Name:-",'R.M Billets Reports'!D1614)),TRIM('R.M Billets Reports'!F1614),IF(ISNUMBER(SEARCH("Party Name-",'R.M Billets Reports'!D1614)),TRIM(MID('R.M Billets Reports'!D1614,SEARCH("-",'R.M Billets Reports'!D1614)+1,200)),"")))="SHRI RADHE","SHREE RADHE",IF(IF(IF(ISNUMBER(SEARCH("Party Name:-",'R.M Billets Reports'!D1613)),TRIM('R.M Billets Reports'!F1613),IF(ISNUMBER(SEARCH("Party Name-",'R.M Billets Reports'!D1613)),TRIM(MID('R.M Billets Reports'!D1613,SEARCH("-",'R.M Billets Reports'!D1613)+1,200)),""))&lt;&gt;"",IF(ISNUMBER(SEARCH("Party Name:-",'R.M Billets Reports'!D1613)),TRIM('R.M Billets Reports'!F1613),IF(ISNUMBER(SEARCH("Party Name-",'R.M Billets Reports'!D1613)),TRIM(MID('R.M Billets Reports'!D1613,SEARCH("-",'R.M Billets Reports'!D1613)+1,200)),"")),IF(ISNUMBER(SEARCH("Party Name:-",'R.M Billets Reports'!D1614)),TRIM('R.M Billets Reports'!F1614),IF(ISNUMBER(SEARCH("Party Name-",'R.M Billets Reports'!D1614)),TRIM(MID('R.M Billets Reports'!D1614,SEARCH("-",'R.M Billets Reports'!D1614)+1,200)),"")))="SHREE RADHE SHAKTI SPONGE AND POWER PVT. LTD.","SHREE RADHE",IF(IF(ISNUMBER(SEARCH("Party Name:-",'R.M Billets Reports'!D1613)),TRIM('R.M Billets Reports'!F1613),IF(ISNUMBER(SEARCH("Party Name-",'R.M Billets Reports'!D1613)),TRIM(MID('R.M Billets Reports'!D1613,SEARCH("-",'R.M Billets Reports'!D1613)+1,200)),""))&lt;&gt;"",IF(ISNUMBER(SEARCH("Party Name:-",'R.M Billets Reports'!D1613)),TRIM('R.M Billets Reports'!F1613),IF(ISNUMBER(SEARCH("Party Name-",'R.M Billets Reports'!D1613)),TRIM(MID('R.M Billets Reports'!D1613,SEARCH("-",'R.M Billets Reports'!D1613)+1,200)),"")),IF(ISNUMBER(SEARCH("Party Name:-",'R.M Billets Reports'!D1614)),TRIM('R.M Billets Reports'!F1614),IF(ISNUMBER(SEARCH("Party Name-",'R.M Billets Reports'!D1614)),TRIM(MID('R.M Billets Reports'!D1614,SEARCH("-",'R.M Billets Reports'!D1614)+1,200)),"")))))),IF(ROW()=2,"",A1613))</f>
      </c>
      <c r="B1614">
        <f>IF(OR('R.M Billets Reports'!A1613="Date-",'R.M Billets Reports'!A1613="Date:-"),'R.M Billets Reports'!B1613,IF(ROW()=2,"",B1613))</f>
      </c>
      <c r="C1614">
        <f>IF('R.M Billets Reports'!A1613="V.No.",'R.M Billets Reports'!B1613,IF(ROW()=2,"",C1613))</f>
      </c>
      <c r="D1614">
        <f>IF('R.M Billets Reports'!A1613&lt;&gt;"",'R.M Billets Reports'!A1613,IF(ROW()=2,"",D1613))</f>
      </c>
      <c r="E1614">
        <f>IF('R.M Billets Reports'!B1613="","",TRIM('R.M Billets Reports'!B1613))</f>
      </c>
      <c r="F1614">
        <f>'R.M Billets Reports'!C1613</f>
      </c>
      <c r="G1614">
        <f>'R.M Billets Reports'!D1613</f>
      </c>
      <c r="H1614">
        <f>'R.M Billets Reports'!E1613</f>
      </c>
      <c r="I1614">
        <f>'R.M Billets Reports'!F1613</f>
      </c>
      <c r="J1614">
        <f>'R.M Billets Reports'!G1613</f>
      </c>
      <c r="K1614">
        <f>'R.M Billets Reports'!H1613</f>
      </c>
      <c r="L1614">
        <f>IF('R.M Billets Reports'!I1613="","",'R.M Billets Reports'!I1613)</f>
      </c>
      <c r="M1614">
        <f t="shared" si="50"/>
      </c>
      <c r="N1614">
        <f>IF('R.M Billets Reports'!J1613="","",'R.M Billets Reports'!J1613)</f>
      </c>
      <c r="O1614">
        <f t="shared" si="51"/>
      </c>
      <c r="P1614">
        <f>IF('R.M Billets Reports'!A1613="SIZE",'R.M Billets Reports'!B1613,P1613)</f>
      </c>
    </row>
    <row r="1615" spans="1:16" x14ac:dyDescent="0.25">
      <c r="A1615">
        <f>IF(OR('R.M Billets Reports'!A1614="Date-",'R.M Billets Reports'!A1614="Date:-"),IF(IF(IF(ISNUMBER(SEARCH("Party Name:-",'R.M Billets Reports'!D1614)),TRIM('R.M Billets Reports'!F1614),IF(ISNUMBER(SEARCH("Party Name-",'R.M Billets Reports'!D1614)),TRIM(MID('R.M Billets Reports'!D1614,SEARCH("-",'R.M Billets Reports'!D1614)+1,200)),""))&lt;&gt;"",IF(ISNUMBER(SEARCH("Party Name:-",'R.M Billets Reports'!D1614)),TRIM('R.M Billets Reports'!F1614),IF(ISNUMBER(SEARCH("Party Name-",'R.M Billets Reports'!D1614)),TRIM(MID('R.M Billets Reports'!D1614,SEARCH("-",'R.M Billets Reports'!D1614)+1,200)),"")),IF(ISNUMBER(SEARCH("Party Name:-",'R.M Billets Reports'!D1615)),TRIM('R.M Billets Reports'!F1615),IF(ISNUMBER(SEARCH("Party Name-",'R.M Billets Reports'!D1615)),TRIM(MID('R.M Billets Reports'!D1615,SEARCH("-",'R.M Billets Reports'!D1615)+1,200)),"")))="VRKP ISPAT PVT LTD","VRKP",IF(IF(IF(ISNUMBER(SEARCH("Party Name:-",'R.M Billets Reports'!D1614)),TRIM('R.M Billets Reports'!F1614),IF(ISNUMBER(SEARCH("Party Name-",'R.M Billets Reports'!D1614)),TRIM(MID('R.M Billets Reports'!D1614,SEARCH("-",'R.M Billets Reports'!D1614)+1,200)),""))&lt;&gt;"",IF(ISNUMBER(SEARCH("Party Name:-",'R.M Billets Reports'!D1614)),TRIM('R.M Billets Reports'!F1614),IF(ISNUMBER(SEARCH("Party Name-",'R.M Billets Reports'!D1614)),TRIM(MID('R.M Billets Reports'!D1614,SEARCH("-",'R.M Billets Reports'!D1614)+1,200)),"")),IF(ISNUMBER(SEARCH("Party Name:-",'R.M Billets Reports'!D1615)),TRIM('R.M Billets Reports'!F1615),IF(ISNUMBER(SEARCH("Party Name-",'R.M Billets Reports'!D1615)),TRIM(MID('R.M Billets Reports'!D1615,SEARCH("-",'R.M Billets Reports'!D1615)+1,200)),"")))="SHRI RADHE","SHREE RADHE",IF(IF(IF(ISNUMBER(SEARCH("Party Name:-",'R.M Billets Reports'!D1614)),TRIM('R.M Billets Reports'!F1614),IF(ISNUMBER(SEARCH("Party Name-",'R.M Billets Reports'!D1614)),TRIM(MID('R.M Billets Reports'!D1614,SEARCH("-",'R.M Billets Reports'!D1614)+1,200)),""))&lt;&gt;"",IF(ISNUMBER(SEARCH("Party Name:-",'R.M Billets Reports'!D1614)),TRIM('R.M Billets Reports'!F1614),IF(ISNUMBER(SEARCH("Party Name-",'R.M Billets Reports'!D1614)),TRIM(MID('R.M Billets Reports'!D1614,SEARCH("-",'R.M Billets Reports'!D1614)+1,200)),"")),IF(ISNUMBER(SEARCH("Party Name:-",'R.M Billets Reports'!D1615)),TRIM('R.M Billets Reports'!F1615),IF(ISNUMBER(SEARCH("Party Name-",'R.M Billets Reports'!D1615)),TRIM(MID('R.M Billets Reports'!D1615,SEARCH("-",'R.M Billets Reports'!D1615)+1,200)),"")))="SHREE RADHE SHAKTI SPONGE AND POWER PVT. LTD.","SHREE RADHE",IF(IF(ISNUMBER(SEARCH("Party Name:-",'R.M Billets Reports'!D1614)),TRIM('R.M Billets Reports'!F1614),IF(ISNUMBER(SEARCH("Party Name-",'R.M Billets Reports'!D1614)),TRIM(MID('R.M Billets Reports'!D1614,SEARCH("-",'R.M Billets Reports'!D1614)+1,200)),""))&lt;&gt;"",IF(ISNUMBER(SEARCH("Party Name:-",'R.M Billets Reports'!D1614)),TRIM('R.M Billets Reports'!F1614),IF(ISNUMBER(SEARCH("Party Name-",'R.M Billets Reports'!D1614)),TRIM(MID('R.M Billets Reports'!D1614,SEARCH("-",'R.M Billets Reports'!D1614)+1,200)),"")),IF(ISNUMBER(SEARCH("Party Name:-",'R.M Billets Reports'!D1615)),TRIM('R.M Billets Reports'!F1615),IF(ISNUMBER(SEARCH("Party Name-",'R.M Billets Reports'!D1615)),TRIM(MID('R.M Billets Reports'!D1615,SEARCH("-",'R.M Billets Reports'!D1615)+1,200)),"")))))),IF(ROW()=2,"",A1614))</f>
      </c>
      <c r="B1615">
        <f>IF(OR('R.M Billets Reports'!A1614="Date-",'R.M Billets Reports'!A1614="Date:-"),'R.M Billets Reports'!B1614,IF(ROW()=2,"",B1614))</f>
      </c>
      <c r="C1615">
        <f>IF('R.M Billets Reports'!A1614="V.No.",'R.M Billets Reports'!B1614,IF(ROW()=2,"",C1614))</f>
      </c>
      <c r="D1615">
        <f>IF('R.M Billets Reports'!A1614&lt;&gt;"",'R.M Billets Reports'!A1614,IF(ROW()=2,"",D1614))</f>
      </c>
      <c r="E1615">
        <f>IF('R.M Billets Reports'!B1614="","",TRIM('R.M Billets Reports'!B1614))</f>
      </c>
      <c r="F1615">
        <f>'R.M Billets Reports'!C1614</f>
      </c>
      <c r="G1615">
        <f>'R.M Billets Reports'!D1614</f>
      </c>
      <c r="H1615">
        <f>'R.M Billets Reports'!E1614</f>
      </c>
      <c r="I1615">
        <f>'R.M Billets Reports'!F1614</f>
      </c>
      <c r="J1615">
        <f>'R.M Billets Reports'!G1614</f>
      </c>
      <c r="K1615">
        <f>'R.M Billets Reports'!H1614</f>
      </c>
      <c r="L1615">
        <f>IF('R.M Billets Reports'!I1614="","",'R.M Billets Reports'!I1614)</f>
      </c>
      <c r="M1615">
        <f t="shared" si="50"/>
      </c>
      <c r="N1615">
        <f>IF('R.M Billets Reports'!J1614="","",'R.M Billets Reports'!J1614)</f>
      </c>
      <c r="O1615">
        <f t="shared" si="51"/>
      </c>
      <c r="P1615">
        <f>IF('R.M Billets Reports'!A1614="SIZE",'R.M Billets Reports'!B1614,P1614)</f>
      </c>
    </row>
    <row r="1616" spans="1:16" x14ac:dyDescent="0.25">
      <c r="A1616">
        <f>IF(OR('R.M Billets Reports'!A1615="Date-",'R.M Billets Reports'!A1615="Date:-"),IF(IF(IF(ISNUMBER(SEARCH("Party Name:-",'R.M Billets Reports'!D1615)),TRIM('R.M Billets Reports'!F1615),IF(ISNUMBER(SEARCH("Party Name-",'R.M Billets Reports'!D1615)),TRIM(MID('R.M Billets Reports'!D1615,SEARCH("-",'R.M Billets Reports'!D1615)+1,200)),""))&lt;&gt;"",IF(ISNUMBER(SEARCH("Party Name:-",'R.M Billets Reports'!D1615)),TRIM('R.M Billets Reports'!F1615),IF(ISNUMBER(SEARCH("Party Name-",'R.M Billets Reports'!D1615)),TRIM(MID('R.M Billets Reports'!D1615,SEARCH("-",'R.M Billets Reports'!D1615)+1,200)),"")),IF(ISNUMBER(SEARCH("Party Name:-",'R.M Billets Reports'!D1616)),TRIM('R.M Billets Reports'!F1616),IF(ISNUMBER(SEARCH("Party Name-",'R.M Billets Reports'!D1616)),TRIM(MID('R.M Billets Reports'!D1616,SEARCH("-",'R.M Billets Reports'!D1616)+1,200)),"")))="VRKP ISPAT PVT LTD","VRKP",IF(IF(IF(ISNUMBER(SEARCH("Party Name:-",'R.M Billets Reports'!D1615)),TRIM('R.M Billets Reports'!F1615),IF(ISNUMBER(SEARCH("Party Name-",'R.M Billets Reports'!D1615)),TRIM(MID('R.M Billets Reports'!D1615,SEARCH("-",'R.M Billets Reports'!D1615)+1,200)),""))&lt;&gt;"",IF(ISNUMBER(SEARCH("Party Name:-",'R.M Billets Reports'!D1615)),TRIM('R.M Billets Reports'!F1615),IF(ISNUMBER(SEARCH("Party Name-",'R.M Billets Reports'!D1615)),TRIM(MID('R.M Billets Reports'!D1615,SEARCH("-",'R.M Billets Reports'!D1615)+1,200)),"")),IF(ISNUMBER(SEARCH("Party Name:-",'R.M Billets Reports'!D1616)),TRIM('R.M Billets Reports'!F1616),IF(ISNUMBER(SEARCH("Party Name-",'R.M Billets Reports'!D1616)),TRIM(MID('R.M Billets Reports'!D1616,SEARCH("-",'R.M Billets Reports'!D1616)+1,200)),"")))="SHRI RADHE","SHREE RADHE",IF(IF(IF(ISNUMBER(SEARCH("Party Name:-",'R.M Billets Reports'!D1615)),TRIM('R.M Billets Reports'!F1615),IF(ISNUMBER(SEARCH("Party Name-",'R.M Billets Reports'!D1615)),TRIM(MID('R.M Billets Reports'!D1615,SEARCH("-",'R.M Billets Reports'!D1615)+1,200)),""))&lt;&gt;"",IF(ISNUMBER(SEARCH("Party Name:-",'R.M Billets Reports'!D1615)),TRIM('R.M Billets Reports'!F1615),IF(ISNUMBER(SEARCH("Party Name-",'R.M Billets Reports'!D1615)),TRIM(MID('R.M Billets Reports'!D1615,SEARCH("-",'R.M Billets Reports'!D1615)+1,200)),"")),IF(ISNUMBER(SEARCH("Party Name:-",'R.M Billets Reports'!D1616)),TRIM('R.M Billets Reports'!F1616),IF(ISNUMBER(SEARCH("Party Name-",'R.M Billets Reports'!D1616)),TRIM(MID('R.M Billets Reports'!D1616,SEARCH("-",'R.M Billets Reports'!D1616)+1,200)),"")))="SHREE RADHE SHAKTI SPONGE AND POWER PVT. LTD.","SHREE RADHE",IF(IF(ISNUMBER(SEARCH("Party Name:-",'R.M Billets Reports'!D1615)),TRIM('R.M Billets Reports'!F1615),IF(ISNUMBER(SEARCH("Party Name-",'R.M Billets Reports'!D1615)),TRIM(MID('R.M Billets Reports'!D1615,SEARCH("-",'R.M Billets Reports'!D1615)+1,200)),""))&lt;&gt;"",IF(ISNUMBER(SEARCH("Party Name:-",'R.M Billets Reports'!D1615)),TRIM('R.M Billets Reports'!F1615),IF(ISNUMBER(SEARCH("Party Name-",'R.M Billets Reports'!D1615)),TRIM(MID('R.M Billets Reports'!D1615,SEARCH("-",'R.M Billets Reports'!D1615)+1,200)),"")),IF(ISNUMBER(SEARCH("Party Name:-",'R.M Billets Reports'!D1616)),TRIM('R.M Billets Reports'!F1616),IF(ISNUMBER(SEARCH("Party Name-",'R.M Billets Reports'!D1616)),TRIM(MID('R.M Billets Reports'!D1616,SEARCH("-",'R.M Billets Reports'!D1616)+1,200)),"")))))),IF(ROW()=2,"",A1615))</f>
      </c>
      <c r="B1616">
        <f>IF(OR('R.M Billets Reports'!A1615="Date-",'R.M Billets Reports'!A1615="Date:-"),'R.M Billets Reports'!B1615,IF(ROW()=2,"",B1615))</f>
      </c>
      <c r="C1616">
        <f>IF('R.M Billets Reports'!A1615="V.No.",'R.M Billets Reports'!B1615,IF(ROW()=2,"",C1615))</f>
      </c>
      <c r="D1616">
        <f>IF('R.M Billets Reports'!A1615&lt;&gt;"",'R.M Billets Reports'!A1615,IF(ROW()=2,"",D1615))</f>
      </c>
      <c r="E1616">
        <f>IF('R.M Billets Reports'!B1615="","",TRIM('R.M Billets Reports'!B1615))</f>
      </c>
      <c r="F1616">
        <f>'R.M Billets Reports'!C1615</f>
      </c>
      <c r="G1616">
        <f>'R.M Billets Reports'!D1615</f>
      </c>
      <c r="H1616">
        <f>'R.M Billets Reports'!E1615</f>
      </c>
      <c r="I1616">
        <f>'R.M Billets Reports'!F1615</f>
      </c>
      <c r="J1616">
        <f>'R.M Billets Reports'!G1615</f>
      </c>
      <c r="K1616">
        <f>'R.M Billets Reports'!H1615</f>
      </c>
      <c r="L1616">
        <f>IF('R.M Billets Reports'!I1615="","",'R.M Billets Reports'!I1615)</f>
      </c>
      <c r="M1616">
        <f t="shared" si="50"/>
      </c>
      <c r="N1616">
        <f>IF('R.M Billets Reports'!J1615="","",'R.M Billets Reports'!J1615)</f>
      </c>
      <c r="O1616">
        <f t="shared" si="51"/>
      </c>
      <c r="P1616">
        <f>IF('R.M Billets Reports'!A1615="SIZE",'R.M Billets Reports'!B1615,P1615)</f>
      </c>
    </row>
    <row r="1617" spans="1:16" x14ac:dyDescent="0.25">
      <c r="A1617">
        <f>IF(OR('R.M Billets Reports'!A1616="Date-",'R.M Billets Reports'!A1616="Date:-"),IF(IF(IF(ISNUMBER(SEARCH("Party Name:-",'R.M Billets Reports'!D1616)),TRIM('R.M Billets Reports'!F1616),IF(ISNUMBER(SEARCH("Party Name-",'R.M Billets Reports'!D1616)),TRIM(MID('R.M Billets Reports'!D1616,SEARCH("-",'R.M Billets Reports'!D1616)+1,200)),""))&lt;&gt;"",IF(ISNUMBER(SEARCH("Party Name:-",'R.M Billets Reports'!D1616)),TRIM('R.M Billets Reports'!F1616),IF(ISNUMBER(SEARCH("Party Name-",'R.M Billets Reports'!D1616)),TRIM(MID('R.M Billets Reports'!D1616,SEARCH("-",'R.M Billets Reports'!D1616)+1,200)),"")),IF(ISNUMBER(SEARCH("Party Name:-",'R.M Billets Reports'!D1617)),TRIM('R.M Billets Reports'!F1617),IF(ISNUMBER(SEARCH("Party Name-",'R.M Billets Reports'!D1617)),TRIM(MID('R.M Billets Reports'!D1617,SEARCH("-",'R.M Billets Reports'!D1617)+1,200)),"")))="VRKP ISPAT PVT LTD","VRKP",IF(IF(IF(ISNUMBER(SEARCH("Party Name:-",'R.M Billets Reports'!D1616)),TRIM('R.M Billets Reports'!F1616),IF(ISNUMBER(SEARCH("Party Name-",'R.M Billets Reports'!D1616)),TRIM(MID('R.M Billets Reports'!D1616,SEARCH("-",'R.M Billets Reports'!D1616)+1,200)),""))&lt;&gt;"",IF(ISNUMBER(SEARCH("Party Name:-",'R.M Billets Reports'!D1616)),TRIM('R.M Billets Reports'!F1616),IF(ISNUMBER(SEARCH("Party Name-",'R.M Billets Reports'!D1616)),TRIM(MID('R.M Billets Reports'!D1616,SEARCH("-",'R.M Billets Reports'!D1616)+1,200)),"")),IF(ISNUMBER(SEARCH("Party Name:-",'R.M Billets Reports'!D1617)),TRIM('R.M Billets Reports'!F1617),IF(ISNUMBER(SEARCH("Party Name-",'R.M Billets Reports'!D1617)),TRIM(MID('R.M Billets Reports'!D1617,SEARCH("-",'R.M Billets Reports'!D1617)+1,200)),"")))="SHRI RADHE","SHREE RADHE",IF(IF(IF(ISNUMBER(SEARCH("Party Name:-",'R.M Billets Reports'!D1616)),TRIM('R.M Billets Reports'!F1616),IF(ISNUMBER(SEARCH("Party Name-",'R.M Billets Reports'!D1616)),TRIM(MID('R.M Billets Reports'!D1616,SEARCH("-",'R.M Billets Reports'!D1616)+1,200)),""))&lt;&gt;"",IF(ISNUMBER(SEARCH("Party Name:-",'R.M Billets Reports'!D1616)),TRIM('R.M Billets Reports'!F1616),IF(ISNUMBER(SEARCH("Party Name-",'R.M Billets Reports'!D1616)),TRIM(MID('R.M Billets Reports'!D1616,SEARCH("-",'R.M Billets Reports'!D1616)+1,200)),"")),IF(ISNUMBER(SEARCH("Party Name:-",'R.M Billets Reports'!D1617)),TRIM('R.M Billets Reports'!F1617),IF(ISNUMBER(SEARCH("Party Name-",'R.M Billets Reports'!D1617)),TRIM(MID('R.M Billets Reports'!D1617,SEARCH("-",'R.M Billets Reports'!D1617)+1,200)),"")))="SHREE RADHE SHAKTI SPONGE AND POWER PVT. LTD.","SHREE RADHE",IF(IF(ISNUMBER(SEARCH("Party Name:-",'R.M Billets Reports'!D1616)),TRIM('R.M Billets Reports'!F1616),IF(ISNUMBER(SEARCH("Party Name-",'R.M Billets Reports'!D1616)),TRIM(MID('R.M Billets Reports'!D1616,SEARCH("-",'R.M Billets Reports'!D1616)+1,200)),""))&lt;&gt;"",IF(ISNUMBER(SEARCH("Party Name:-",'R.M Billets Reports'!D1616)),TRIM('R.M Billets Reports'!F1616),IF(ISNUMBER(SEARCH("Party Name-",'R.M Billets Reports'!D1616)),TRIM(MID('R.M Billets Reports'!D1616,SEARCH("-",'R.M Billets Reports'!D1616)+1,200)),"")),IF(ISNUMBER(SEARCH("Party Name:-",'R.M Billets Reports'!D1617)),TRIM('R.M Billets Reports'!F1617),IF(ISNUMBER(SEARCH("Party Name-",'R.M Billets Reports'!D1617)),TRIM(MID('R.M Billets Reports'!D1617,SEARCH("-",'R.M Billets Reports'!D1617)+1,200)),"")))))),IF(ROW()=2,"",A1616))</f>
      </c>
      <c r="B1617">
        <f>IF(OR('R.M Billets Reports'!A1616="Date-",'R.M Billets Reports'!A1616="Date:-"),'R.M Billets Reports'!B1616,IF(ROW()=2,"",B1616))</f>
      </c>
      <c r="C1617">
        <f>IF('R.M Billets Reports'!A1616="V.No.",'R.M Billets Reports'!B1616,IF(ROW()=2,"",C1616))</f>
      </c>
      <c r="D1617">
        <f>IF('R.M Billets Reports'!A1616&lt;&gt;"",'R.M Billets Reports'!A1616,IF(ROW()=2,"",D1616))</f>
      </c>
      <c r="E1617">
        <f>IF('R.M Billets Reports'!B1616="","",TRIM('R.M Billets Reports'!B1616))</f>
      </c>
      <c r="F1617">
        <f>'R.M Billets Reports'!C1616</f>
      </c>
      <c r="G1617">
        <f>'R.M Billets Reports'!D1616</f>
      </c>
      <c r="H1617">
        <f>'R.M Billets Reports'!E1616</f>
      </c>
      <c r="I1617">
        <f>'R.M Billets Reports'!F1616</f>
      </c>
      <c r="J1617">
        <f>'R.M Billets Reports'!G1616</f>
      </c>
      <c r="K1617">
        <f>'R.M Billets Reports'!H1616</f>
      </c>
      <c r="L1617">
        <f>IF('R.M Billets Reports'!I1616="","",'R.M Billets Reports'!I1616)</f>
      </c>
      <c r="M1617">
        <f t="shared" si="50"/>
      </c>
      <c r="N1617">
        <f>IF('R.M Billets Reports'!J1616="","",'R.M Billets Reports'!J1616)</f>
      </c>
      <c r="O1617">
        <f t="shared" si="51"/>
      </c>
      <c r="P1617">
        <f>IF('R.M Billets Reports'!A1616="SIZE",'R.M Billets Reports'!B1616,P1616)</f>
      </c>
    </row>
    <row r="1618" spans="1:16" x14ac:dyDescent="0.25">
      <c r="A1618">
        <f>IF(OR('R.M Billets Reports'!A1617="Date-",'R.M Billets Reports'!A1617="Date:-"),IF(IF(IF(ISNUMBER(SEARCH("Party Name:-",'R.M Billets Reports'!D1617)),TRIM('R.M Billets Reports'!F1617),IF(ISNUMBER(SEARCH("Party Name-",'R.M Billets Reports'!D1617)),TRIM(MID('R.M Billets Reports'!D1617,SEARCH("-",'R.M Billets Reports'!D1617)+1,200)),""))&lt;&gt;"",IF(ISNUMBER(SEARCH("Party Name:-",'R.M Billets Reports'!D1617)),TRIM('R.M Billets Reports'!F1617),IF(ISNUMBER(SEARCH("Party Name-",'R.M Billets Reports'!D1617)),TRIM(MID('R.M Billets Reports'!D1617,SEARCH("-",'R.M Billets Reports'!D1617)+1,200)),"")),IF(ISNUMBER(SEARCH("Party Name:-",'R.M Billets Reports'!D1618)),TRIM('R.M Billets Reports'!F1618),IF(ISNUMBER(SEARCH("Party Name-",'R.M Billets Reports'!D1618)),TRIM(MID('R.M Billets Reports'!D1618,SEARCH("-",'R.M Billets Reports'!D1618)+1,200)),"")))="VRKP ISPAT PVT LTD","VRKP",IF(IF(IF(ISNUMBER(SEARCH("Party Name:-",'R.M Billets Reports'!D1617)),TRIM('R.M Billets Reports'!F1617),IF(ISNUMBER(SEARCH("Party Name-",'R.M Billets Reports'!D1617)),TRIM(MID('R.M Billets Reports'!D1617,SEARCH("-",'R.M Billets Reports'!D1617)+1,200)),""))&lt;&gt;"",IF(ISNUMBER(SEARCH("Party Name:-",'R.M Billets Reports'!D1617)),TRIM('R.M Billets Reports'!F1617),IF(ISNUMBER(SEARCH("Party Name-",'R.M Billets Reports'!D1617)),TRIM(MID('R.M Billets Reports'!D1617,SEARCH("-",'R.M Billets Reports'!D1617)+1,200)),"")),IF(ISNUMBER(SEARCH("Party Name:-",'R.M Billets Reports'!D1618)),TRIM('R.M Billets Reports'!F1618),IF(ISNUMBER(SEARCH("Party Name-",'R.M Billets Reports'!D1618)),TRIM(MID('R.M Billets Reports'!D1618,SEARCH("-",'R.M Billets Reports'!D1618)+1,200)),"")))="SHRI RADHE","SHREE RADHE",IF(IF(IF(ISNUMBER(SEARCH("Party Name:-",'R.M Billets Reports'!D1617)),TRIM('R.M Billets Reports'!F1617),IF(ISNUMBER(SEARCH("Party Name-",'R.M Billets Reports'!D1617)),TRIM(MID('R.M Billets Reports'!D1617,SEARCH("-",'R.M Billets Reports'!D1617)+1,200)),""))&lt;&gt;"",IF(ISNUMBER(SEARCH("Party Name:-",'R.M Billets Reports'!D1617)),TRIM('R.M Billets Reports'!F1617),IF(ISNUMBER(SEARCH("Party Name-",'R.M Billets Reports'!D1617)),TRIM(MID('R.M Billets Reports'!D1617,SEARCH("-",'R.M Billets Reports'!D1617)+1,200)),"")),IF(ISNUMBER(SEARCH("Party Name:-",'R.M Billets Reports'!D1618)),TRIM('R.M Billets Reports'!F1618),IF(ISNUMBER(SEARCH("Party Name-",'R.M Billets Reports'!D1618)),TRIM(MID('R.M Billets Reports'!D1618,SEARCH("-",'R.M Billets Reports'!D1618)+1,200)),"")))="SHREE RADHE SHAKTI SPONGE AND POWER PVT. LTD.","SHREE RADHE",IF(IF(ISNUMBER(SEARCH("Party Name:-",'R.M Billets Reports'!D1617)),TRIM('R.M Billets Reports'!F1617),IF(ISNUMBER(SEARCH("Party Name-",'R.M Billets Reports'!D1617)),TRIM(MID('R.M Billets Reports'!D1617,SEARCH("-",'R.M Billets Reports'!D1617)+1,200)),""))&lt;&gt;"",IF(ISNUMBER(SEARCH("Party Name:-",'R.M Billets Reports'!D1617)),TRIM('R.M Billets Reports'!F1617),IF(ISNUMBER(SEARCH("Party Name-",'R.M Billets Reports'!D1617)),TRIM(MID('R.M Billets Reports'!D1617,SEARCH("-",'R.M Billets Reports'!D1617)+1,200)),"")),IF(ISNUMBER(SEARCH("Party Name:-",'R.M Billets Reports'!D1618)),TRIM('R.M Billets Reports'!F1618),IF(ISNUMBER(SEARCH("Party Name-",'R.M Billets Reports'!D1618)),TRIM(MID('R.M Billets Reports'!D1618,SEARCH("-",'R.M Billets Reports'!D1618)+1,200)),"")))))),IF(ROW()=2,"",A1617))</f>
      </c>
      <c r="B1618">
        <f>IF(OR('R.M Billets Reports'!A1617="Date-",'R.M Billets Reports'!A1617="Date:-"),'R.M Billets Reports'!B1617,IF(ROW()=2,"",B1617))</f>
      </c>
      <c r="C1618">
        <f>IF('R.M Billets Reports'!A1617="V.No.",'R.M Billets Reports'!B1617,IF(ROW()=2,"",C1617))</f>
      </c>
      <c r="D1618">
        <f>IF('R.M Billets Reports'!A1617&lt;&gt;"",'R.M Billets Reports'!A1617,IF(ROW()=2,"",D1617))</f>
      </c>
      <c r="E1618">
        <f>IF('R.M Billets Reports'!B1617="","",TRIM('R.M Billets Reports'!B1617))</f>
      </c>
      <c r="F1618">
        <f>'R.M Billets Reports'!C1617</f>
      </c>
      <c r="G1618">
        <f>'R.M Billets Reports'!D1617</f>
      </c>
      <c r="H1618">
        <f>'R.M Billets Reports'!E1617</f>
      </c>
      <c r="I1618">
        <f>'R.M Billets Reports'!F1617</f>
      </c>
      <c r="J1618">
        <f>'R.M Billets Reports'!G1617</f>
      </c>
      <c r="K1618">
        <f>'R.M Billets Reports'!H1617</f>
      </c>
      <c r="L1618">
        <f>IF('R.M Billets Reports'!I1617="","",'R.M Billets Reports'!I1617)</f>
      </c>
      <c r="M1618">
        <f t="shared" si="50"/>
      </c>
      <c r="N1618">
        <f>IF('R.M Billets Reports'!J1617="","",'R.M Billets Reports'!J1617)</f>
      </c>
      <c r="O1618">
        <f t="shared" si="51"/>
      </c>
      <c r="P1618">
        <f>IF('R.M Billets Reports'!A1617="SIZE",'R.M Billets Reports'!B1617,P1617)</f>
      </c>
    </row>
    <row r="1619" spans="1:16" x14ac:dyDescent="0.25">
      <c r="A1619">
        <f>IF(OR('R.M Billets Reports'!A1618="Date-",'R.M Billets Reports'!A1618="Date:-"),IF(IF(IF(ISNUMBER(SEARCH("Party Name:-",'R.M Billets Reports'!D1618)),TRIM('R.M Billets Reports'!F1618),IF(ISNUMBER(SEARCH("Party Name-",'R.M Billets Reports'!D1618)),TRIM(MID('R.M Billets Reports'!D1618,SEARCH("-",'R.M Billets Reports'!D1618)+1,200)),""))&lt;&gt;"",IF(ISNUMBER(SEARCH("Party Name:-",'R.M Billets Reports'!D1618)),TRIM('R.M Billets Reports'!F1618),IF(ISNUMBER(SEARCH("Party Name-",'R.M Billets Reports'!D1618)),TRIM(MID('R.M Billets Reports'!D1618,SEARCH("-",'R.M Billets Reports'!D1618)+1,200)),"")),IF(ISNUMBER(SEARCH("Party Name:-",'R.M Billets Reports'!D1619)),TRIM('R.M Billets Reports'!F1619),IF(ISNUMBER(SEARCH("Party Name-",'R.M Billets Reports'!D1619)),TRIM(MID('R.M Billets Reports'!D1619,SEARCH("-",'R.M Billets Reports'!D1619)+1,200)),"")))="VRKP ISPAT PVT LTD","VRKP",IF(IF(IF(ISNUMBER(SEARCH("Party Name:-",'R.M Billets Reports'!D1618)),TRIM('R.M Billets Reports'!F1618),IF(ISNUMBER(SEARCH("Party Name-",'R.M Billets Reports'!D1618)),TRIM(MID('R.M Billets Reports'!D1618,SEARCH("-",'R.M Billets Reports'!D1618)+1,200)),""))&lt;&gt;"",IF(ISNUMBER(SEARCH("Party Name:-",'R.M Billets Reports'!D1618)),TRIM('R.M Billets Reports'!F1618),IF(ISNUMBER(SEARCH("Party Name-",'R.M Billets Reports'!D1618)),TRIM(MID('R.M Billets Reports'!D1618,SEARCH("-",'R.M Billets Reports'!D1618)+1,200)),"")),IF(ISNUMBER(SEARCH("Party Name:-",'R.M Billets Reports'!D1619)),TRIM('R.M Billets Reports'!F1619),IF(ISNUMBER(SEARCH("Party Name-",'R.M Billets Reports'!D1619)),TRIM(MID('R.M Billets Reports'!D1619,SEARCH("-",'R.M Billets Reports'!D1619)+1,200)),"")))="SHRI RADHE","SHREE RADHE",IF(IF(IF(ISNUMBER(SEARCH("Party Name:-",'R.M Billets Reports'!D1618)),TRIM('R.M Billets Reports'!F1618),IF(ISNUMBER(SEARCH("Party Name-",'R.M Billets Reports'!D1618)),TRIM(MID('R.M Billets Reports'!D1618,SEARCH("-",'R.M Billets Reports'!D1618)+1,200)),""))&lt;&gt;"",IF(ISNUMBER(SEARCH("Party Name:-",'R.M Billets Reports'!D1618)),TRIM('R.M Billets Reports'!F1618),IF(ISNUMBER(SEARCH("Party Name-",'R.M Billets Reports'!D1618)),TRIM(MID('R.M Billets Reports'!D1618,SEARCH("-",'R.M Billets Reports'!D1618)+1,200)),"")),IF(ISNUMBER(SEARCH("Party Name:-",'R.M Billets Reports'!D1619)),TRIM('R.M Billets Reports'!F1619),IF(ISNUMBER(SEARCH("Party Name-",'R.M Billets Reports'!D1619)),TRIM(MID('R.M Billets Reports'!D1619,SEARCH("-",'R.M Billets Reports'!D1619)+1,200)),"")))="SHREE RADHE SHAKTI SPONGE AND POWER PVT. LTD.","SHREE RADHE",IF(IF(ISNUMBER(SEARCH("Party Name:-",'R.M Billets Reports'!D1618)),TRIM('R.M Billets Reports'!F1618),IF(ISNUMBER(SEARCH("Party Name-",'R.M Billets Reports'!D1618)),TRIM(MID('R.M Billets Reports'!D1618,SEARCH("-",'R.M Billets Reports'!D1618)+1,200)),""))&lt;&gt;"",IF(ISNUMBER(SEARCH("Party Name:-",'R.M Billets Reports'!D1618)),TRIM('R.M Billets Reports'!F1618),IF(ISNUMBER(SEARCH("Party Name-",'R.M Billets Reports'!D1618)),TRIM(MID('R.M Billets Reports'!D1618,SEARCH("-",'R.M Billets Reports'!D1618)+1,200)),"")),IF(ISNUMBER(SEARCH("Party Name:-",'R.M Billets Reports'!D1619)),TRIM('R.M Billets Reports'!F1619),IF(ISNUMBER(SEARCH("Party Name-",'R.M Billets Reports'!D1619)),TRIM(MID('R.M Billets Reports'!D1619,SEARCH("-",'R.M Billets Reports'!D1619)+1,200)),"")))))),IF(ROW()=2,"",A1618))</f>
      </c>
      <c r="B1619">
        <f>IF(OR('R.M Billets Reports'!A1618="Date-",'R.M Billets Reports'!A1618="Date:-"),'R.M Billets Reports'!B1618,IF(ROW()=2,"",B1618))</f>
      </c>
      <c r="C1619">
        <f>IF('R.M Billets Reports'!A1618="V.No.",'R.M Billets Reports'!B1618,IF(ROW()=2,"",C1618))</f>
      </c>
      <c r="D1619">
        <f>IF('R.M Billets Reports'!A1618&lt;&gt;"",'R.M Billets Reports'!A1618,IF(ROW()=2,"",D1618))</f>
      </c>
      <c r="E1619">
        <f>IF('R.M Billets Reports'!B1618="","",TRIM('R.M Billets Reports'!B1618))</f>
      </c>
      <c r="F1619">
        <f>'R.M Billets Reports'!C1618</f>
      </c>
      <c r="G1619">
        <f>'R.M Billets Reports'!D1618</f>
      </c>
      <c r="H1619">
        <f>'R.M Billets Reports'!E1618</f>
      </c>
      <c r="I1619">
        <f>'R.M Billets Reports'!F1618</f>
      </c>
      <c r="J1619">
        <f>'R.M Billets Reports'!G1618</f>
      </c>
      <c r="K1619">
        <f>'R.M Billets Reports'!H1618</f>
      </c>
      <c r="L1619">
        <f>IF('R.M Billets Reports'!I1618="","",'R.M Billets Reports'!I1618)</f>
      </c>
      <c r="M1619">
        <f t="shared" si="50"/>
      </c>
      <c r="N1619">
        <f>IF('R.M Billets Reports'!J1618="","",'R.M Billets Reports'!J1618)</f>
      </c>
      <c r="O1619">
        <f t="shared" si="51"/>
      </c>
      <c r="P1619">
        <f>IF('R.M Billets Reports'!A1618="SIZE",'R.M Billets Reports'!B1618,P1618)</f>
      </c>
    </row>
    <row r="1620" spans="1:16" x14ac:dyDescent="0.25">
      <c r="A1620">
        <f>IF(OR('R.M Billets Reports'!A1619="Date-",'R.M Billets Reports'!A1619="Date:-"),IF(IF(IF(ISNUMBER(SEARCH("Party Name:-",'R.M Billets Reports'!D1619)),TRIM('R.M Billets Reports'!F1619),IF(ISNUMBER(SEARCH("Party Name-",'R.M Billets Reports'!D1619)),TRIM(MID('R.M Billets Reports'!D1619,SEARCH("-",'R.M Billets Reports'!D1619)+1,200)),""))&lt;&gt;"",IF(ISNUMBER(SEARCH("Party Name:-",'R.M Billets Reports'!D1619)),TRIM('R.M Billets Reports'!F1619),IF(ISNUMBER(SEARCH("Party Name-",'R.M Billets Reports'!D1619)),TRIM(MID('R.M Billets Reports'!D1619,SEARCH("-",'R.M Billets Reports'!D1619)+1,200)),"")),IF(ISNUMBER(SEARCH("Party Name:-",'R.M Billets Reports'!D1620)),TRIM('R.M Billets Reports'!F1620),IF(ISNUMBER(SEARCH("Party Name-",'R.M Billets Reports'!D1620)),TRIM(MID('R.M Billets Reports'!D1620,SEARCH("-",'R.M Billets Reports'!D1620)+1,200)),"")))="VRKP ISPAT PVT LTD","VRKP",IF(IF(IF(ISNUMBER(SEARCH("Party Name:-",'R.M Billets Reports'!D1619)),TRIM('R.M Billets Reports'!F1619),IF(ISNUMBER(SEARCH("Party Name-",'R.M Billets Reports'!D1619)),TRIM(MID('R.M Billets Reports'!D1619,SEARCH("-",'R.M Billets Reports'!D1619)+1,200)),""))&lt;&gt;"",IF(ISNUMBER(SEARCH("Party Name:-",'R.M Billets Reports'!D1619)),TRIM('R.M Billets Reports'!F1619),IF(ISNUMBER(SEARCH("Party Name-",'R.M Billets Reports'!D1619)),TRIM(MID('R.M Billets Reports'!D1619,SEARCH("-",'R.M Billets Reports'!D1619)+1,200)),"")),IF(ISNUMBER(SEARCH("Party Name:-",'R.M Billets Reports'!D1620)),TRIM('R.M Billets Reports'!F1620),IF(ISNUMBER(SEARCH("Party Name-",'R.M Billets Reports'!D1620)),TRIM(MID('R.M Billets Reports'!D1620,SEARCH("-",'R.M Billets Reports'!D1620)+1,200)),"")))="SHRI RADHE","SHREE RADHE",IF(IF(IF(ISNUMBER(SEARCH("Party Name:-",'R.M Billets Reports'!D1619)),TRIM('R.M Billets Reports'!F1619),IF(ISNUMBER(SEARCH("Party Name-",'R.M Billets Reports'!D1619)),TRIM(MID('R.M Billets Reports'!D1619,SEARCH("-",'R.M Billets Reports'!D1619)+1,200)),""))&lt;&gt;"",IF(ISNUMBER(SEARCH("Party Name:-",'R.M Billets Reports'!D1619)),TRIM('R.M Billets Reports'!F1619),IF(ISNUMBER(SEARCH("Party Name-",'R.M Billets Reports'!D1619)),TRIM(MID('R.M Billets Reports'!D1619,SEARCH("-",'R.M Billets Reports'!D1619)+1,200)),"")),IF(ISNUMBER(SEARCH("Party Name:-",'R.M Billets Reports'!D1620)),TRIM('R.M Billets Reports'!F1620),IF(ISNUMBER(SEARCH("Party Name-",'R.M Billets Reports'!D1620)),TRIM(MID('R.M Billets Reports'!D1620,SEARCH("-",'R.M Billets Reports'!D1620)+1,200)),"")))="SHREE RADHE SHAKTI SPONGE AND POWER PVT. LTD.","SHREE RADHE",IF(IF(ISNUMBER(SEARCH("Party Name:-",'R.M Billets Reports'!D1619)),TRIM('R.M Billets Reports'!F1619),IF(ISNUMBER(SEARCH("Party Name-",'R.M Billets Reports'!D1619)),TRIM(MID('R.M Billets Reports'!D1619,SEARCH("-",'R.M Billets Reports'!D1619)+1,200)),""))&lt;&gt;"",IF(ISNUMBER(SEARCH("Party Name:-",'R.M Billets Reports'!D1619)),TRIM('R.M Billets Reports'!F1619),IF(ISNUMBER(SEARCH("Party Name-",'R.M Billets Reports'!D1619)),TRIM(MID('R.M Billets Reports'!D1619,SEARCH("-",'R.M Billets Reports'!D1619)+1,200)),"")),IF(ISNUMBER(SEARCH("Party Name:-",'R.M Billets Reports'!D1620)),TRIM('R.M Billets Reports'!F1620),IF(ISNUMBER(SEARCH("Party Name-",'R.M Billets Reports'!D1620)),TRIM(MID('R.M Billets Reports'!D1620,SEARCH("-",'R.M Billets Reports'!D1620)+1,200)),"")))))),IF(ROW()=2,"",A1619))</f>
      </c>
      <c r="B1620">
        <f>IF(OR('R.M Billets Reports'!A1619="Date-",'R.M Billets Reports'!A1619="Date:-"),'R.M Billets Reports'!B1619,IF(ROW()=2,"",B1619))</f>
      </c>
      <c r="C1620">
        <f>IF('R.M Billets Reports'!A1619="V.No.",'R.M Billets Reports'!B1619,IF(ROW()=2,"",C1619))</f>
      </c>
      <c r="D1620">
        <f>IF('R.M Billets Reports'!A1619&lt;&gt;"",'R.M Billets Reports'!A1619,IF(ROW()=2,"",D1619))</f>
      </c>
      <c r="E1620">
        <f>IF('R.M Billets Reports'!B1619="","",TRIM('R.M Billets Reports'!B1619))</f>
      </c>
      <c r="F1620">
        <f>'R.M Billets Reports'!C1619</f>
      </c>
      <c r="G1620">
        <f>'R.M Billets Reports'!D1619</f>
      </c>
      <c r="H1620">
        <f>'R.M Billets Reports'!E1619</f>
      </c>
      <c r="I1620">
        <f>'R.M Billets Reports'!F1619</f>
      </c>
      <c r="J1620">
        <f>'R.M Billets Reports'!G1619</f>
      </c>
      <c r="K1620">
        <f>'R.M Billets Reports'!H1619</f>
      </c>
      <c r="L1620">
        <f>IF('R.M Billets Reports'!I1619="","",'R.M Billets Reports'!I1619)</f>
      </c>
      <c r="M1620">
        <f t="shared" si="50"/>
      </c>
      <c r="N1620">
        <f>IF('R.M Billets Reports'!J1619="","",'R.M Billets Reports'!J1619)</f>
      </c>
      <c r="O1620">
        <f t="shared" si="51"/>
      </c>
      <c r="P1620">
        <f>IF('R.M Billets Reports'!A1619="SIZE",'R.M Billets Reports'!B1619,P1619)</f>
      </c>
    </row>
    <row r="1621" spans="1:16" x14ac:dyDescent="0.25">
      <c r="A1621">
        <f>IF(OR('R.M Billets Reports'!A1620="Date-",'R.M Billets Reports'!A1620="Date:-"),IF(IF(IF(ISNUMBER(SEARCH("Party Name:-",'R.M Billets Reports'!D1620)),TRIM('R.M Billets Reports'!F1620),IF(ISNUMBER(SEARCH("Party Name-",'R.M Billets Reports'!D1620)),TRIM(MID('R.M Billets Reports'!D1620,SEARCH("-",'R.M Billets Reports'!D1620)+1,200)),""))&lt;&gt;"",IF(ISNUMBER(SEARCH("Party Name:-",'R.M Billets Reports'!D1620)),TRIM('R.M Billets Reports'!F1620),IF(ISNUMBER(SEARCH("Party Name-",'R.M Billets Reports'!D1620)),TRIM(MID('R.M Billets Reports'!D1620,SEARCH("-",'R.M Billets Reports'!D1620)+1,200)),"")),IF(ISNUMBER(SEARCH("Party Name:-",'R.M Billets Reports'!D1621)),TRIM('R.M Billets Reports'!F1621),IF(ISNUMBER(SEARCH("Party Name-",'R.M Billets Reports'!D1621)),TRIM(MID('R.M Billets Reports'!D1621,SEARCH("-",'R.M Billets Reports'!D1621)+1,200)),"")))="VRKP ISPAT PVT LTD","VRKP",IF(IF(IF(ISNUMBER(SEARCH("Party Name:-",'R.M Billets Reports'!D1620)),TRIM('R.M Billets Reports'!F1620),IF(ISNUMBER(SEARCH("Party Name-",'R.M Billets Reports'!D1620)),TRIM(MID('R.M Billets Reports'!D1620,SEARCH("-",'R.M Billets Reports'!D1620)+1,200)),""))&lt;&gt;"",IF(ISNUMBER(SEARCH("Party Name:-",'R.M Billets Reports'!D1620)),TRIM('R.M Billets Reports'!F1620),IF(ISNUMBER(SEARCH("Party Name-",'R.M Billets Reports'!D1620)),TRIM(MID('R.M Billets Reports'!D1620,SEARCH("-",'R.M Billets Reports'!D1620)+1,200)),"")),IF(ISNUMBER(SEARCH("Party Name:-",'R.M Billets Reports'!D1621)),TRIM('R.M Billets Reports'!F1621),IF(ISNUMBER(SEARCH("Party Name-",'R.M Billets Reports'!D1621)),TRIM(MID('R.M Billets Reports'!D1621,SEARCH("-",'R.M Billets Reports'!D1621)+1,200)),"")))="SHRI RADHE","SHREE RADHE",IF(IF(IF(ISNUMBER(SEARCH("Party Name:-",'R.M Billets Reports'!D1620)),TRIM('R.M Billets Reports'!F1620),IF(ISNUMBER(SEARCH("Party Name-",'R.M Billets Reports'!D1620)),TRIM(MID('R.M Billets Reports'!D1620,SEARCH("-",'R.M Billets Reports'!D1620)+1,200)),""))&lt;&gt;"",IF(ISNUMBER(SEARCH("Party Name:-",'R.M Billets Reports'!D1620)),TRIM('R.M Billets Reports'!F1620),IF(ISNUMBER(SEARCH("Party Name-",'R.M Billets Reports'!D1620)),TRIM(MID('R.M Billets Reports'!D1620,SEARCH("-",'R.M Billets Reports'!D1620)+1,200)),"")),IF(ISNUMBER(SEARCH("Party Name:-",'R.M Billets Reports'!D1621)),TRIM('R.M Billets Reports'!F1621),IF(ISNUMBER(SEARCH("Party Name-",'R.M Billets Reports'!D1621)),TRIM(MID('R.M Billets Reports'!D1621,SEARCH("-",'R.M Billets Reports'!D1621)+1,200)),"")))="SHREE RADHE SHAKTI SPONGE AND POWER PVT. LTD.","SHREE RADHE",IF(IF(ISNUMBER(SEARCH("Party Name:-",'R.M Billets Reports'!D1620)),TRIM('R.M Billets Reports'!F1620),IF(ISNUMBER(SEARCH("Party Name-",'R.M Billets Reports'!D1620)),TRIM(MID('R.M Billets Reports'!D1620,SEARCH("-",'R.M Billets Reports'!D1620)+1,200)),""))&lt;&gt;"",IF(ISNUMBER(SEARCH("Party Name:-",'R.M Billets Reports'!D1620)),TRIM('R.M Billets Reports'!F1620),IF(ISNUMBER(SEARCH("Party Name-",'R.M Billets Reports'!D1620)),TRIM(MID('R.M Billets Reports'!D1620,SEARCH("-",'R.M Billets Reports'!D1620)+1,200)),"")),IF(ISNUMBER(SEARCH("Party Name:-",'R.M Billets Reports'!D1621)),TRIM('R.M Billets Reports'!F1621),IF(ISNUMBER(SEARCH("Party Name-",'R.M Billets Reports'!D1621)),TRIM(MID('R.M Billets Reports'!D1621,SEARCH("-",'R.M Billets Reports'!D1621)+1,200)),"")))))),IF(ROW()=2,"",A1620))</f>
      </c>
      <c r="B1621">
        <f>IF(OR('R.M Billets Reports'!A1620="Date-",'R.M Billets Reports'!A1620="Date:-"),'R.M Billets Reports'!B1620,IF(ROW()=2,"",B1620))</f>
      </c>
      <c r="C1621">
        <f>IF('R.M Billets Reports'!A1620="V.No.",'R.M Billets Reports'!B1620,IF(ROW()=2,"",C1620))</f>
      </c>
      <c r="D1621">
        <f>IF('R.M Billets Reports'!A1620&lt;&gt;"",'R.M Billets Reports'!A1620,IF(ROW()=2,"",D1620))</f>
      </c>
      <c r="E1621">
        <f>IF('R.M Billets Reports'!B1620="","",TRIM('R.M Billets Reports'!B1620))</f>
      </c>
      <c r="F1621">
        <f>'R.M Billets Reports'!C1620</f>
      </c>
      <c r="G1621">
        <f>'R.M Billets Reports'!D1620</f>
      </c>
      <c r="H1621">
        <f>'R.M Billets Reports'!E1620</f>
      </c>
      <c r="I1621">
        <f>'R.M Billets Reports'!F1620</f>
      </c>
      <c r="J1621">
        <f>'R.M Billets Reports'!G1620</f>
      </c>
      <c r="K1621">
        <f>'R.M Billets Reports'!H1620</f>
      </c>
      <c r="L1621">
        <f>IF('R.M Billets Reports'!I1620="","",'R.M Billets Reports'!I1620)</f>
      </c>
      <c r="M1621">
        <f t="shared" si="50"/>
      </c>
      <c r="N1621">
        <f>IF('R.M Billets Reports'!J1620="","",'R.M Billets Reports'!J1620)</f>
      </c>
      <c r="O1621">
        <f t="shared" si="51"/>
      </c>
      <c r="P1621">
        <f>IF('R.M Billets Reports'!A1620="SIZE",'R.M Billets Reports'!B1620,P1620)</f>
      </c>
    </row>
    <row r="1622" spans="1:16" x14ac:dyDescent="0.25">
      <c r="A1622">
        <f>IF(OR('R.M Billets Reports'!A1621="Date-",'R.M Billets Reports'!A1621="Date:-"),IF(IF(IF(ISNUMBER(SEARCH("Party Name:-",'R.M Billets Reports'!D1621)),TRIM('R.M Billets Reports'!F1621),IF(ISNUMBER(SEARCH("Party Name-",'R.M Billets Reports'!D1621)),TRIM(MID('R.M Billets Reports'!D1621,SEARCH("-",'R.M Billets Reports'!D1621)+1,200)),""))&lt;&gt;"",IF(ISNUMBER(SEARCH("Party Name:-",'R.M Billets Reports'!D1621)),TRIM('R.M Billets Reports'!F1621),IF(ISNUMBER(SEARCH("Party Name-",'R.M Billets Reports'!D1621)),TRIM(MID('R.M Billets Reports'!D1621,SEARCH("-",'R.M Billets Reports'!D1621)+1,200)),"")),IF(ISNUMBER(SEARCH("Party Name:-",'R.M Billets Reports'!D1622)),TRIM('R.M Billets Reports'!F1622),IF(ISNUMBER(SEARCH("Party Name-",'R.M Billets Reports'!D1622)),TRIM(MID('R.M Billets Reports'!D1622,SEARCH("-",'R.M Billets Reports'!D1622)+1,200)),"")))="VRKP ISPAT PVT LTD","VRKP",IF(IF(IF(ISNUMBER(SEARCH("Party Name:-",'R.M Billets Reports'!D1621)),TRIM('R.M Billets Reports'!F1621),IF(ISNUMBER(SEARCH("Party Name-",'R.M Billets Reports'!D1621)),TRIM(MID('R.M Billets Reports'!D1621,SEARCH("-",'R.M Billets Reports'!D1621)+1,200)),""))&lt;&gt;"",IF(ISNUMBER(SEARCH("Party Name:-",'R.M Billets Reports'!D1621)),TRIM('R.M Billets Reports'!F1621),IF(ISNUMBER(SEARCH("Party Name-",'R.M Billets Reports'!D1621)),TRIM(MID('R.M Billets Reports'!D1621,SEARCH("-",'R.M Billets Reports'!D1621)+1,200)),"")),IF(ISNUMBER(SEARCH("Party Name:-",'R.M Billets Reports'!D1622)),TRIM('R.M Billets Reports'!F1622),IF(ISNUMBER(SEARCH("Party Name-",'R.M Billets Reports'!D1622)),TRIM(MID('R.M Billets Reports'!D1622,SEARCH("-",'R.M Billets Reports'!D1622)+1,200)),"")))="SHRI RADHE","SHREE RADHE",IF(IF(IF(ISNUMBER(SEARCH("Party Name:-",'R.M Billets Reports'!D1621)),TRIM('R.M Billets Reports'!F1621),IF(ISNUMBER(SEARCH("Party Name-",'R.M Billets Reports'!D1621)),TRIM(MID('R.M Billets Reports'!D1621,SEARCH("-",'R.M Billets Reports'!D1621)+1,200)),""))&lt;&gt;"",IF(ISNUMBER(SEARCH("Party Name:-",'R.M Billets Reports'!D1621)),TRIM('R.M Billets Reports'!F1621),IF(ISNUMBER(SEARCH("Party Name-",'R.M Billets Reports'!D1621)),TRIM(MID('R.M Billets Reports'!D1621,SEARCH("-",'R.M Billets Reports'!D1621)+1,200)),"")),IF(ISNUMBER(SEARCH("Party Name:-",'R.M Billets Reports'!D1622)),TRIM('R.M Billets Reports'!F1622),IF(ISNUMBER(SEARCH("Party Name-",'R.M Billets Reports'!D1622)),TRIM(MID('R.M Billets Reports'!D1622,SEARCH("-",'R.M Billets Reports'!D1622)+1,200)),"")))="SHREE RADHE SHAKTI SPONGE AND POWER PVT. LTD.","SHREE RADHE",IF(IF(ISNUMBER(SEARCH("Party Name:-",'R.M Billets Reports'!D1621)),TRIM('R.M Billets Reports'!F1621),IF(ISNUMBER(SEARCH("Party Name-",'R.M Billets Reports'!D1621)),TRIM(MID('R.M Billets Reports'!D1621,SEARCH("-",'R.M Billets Reports'!D1621)+1,200)),""))&lt;&gt;"",IF(ISNUMBER(SEARCH("Party Name:-",'R.M Billets Reports'!D1621)),TRIM('R.M Billets Reports'!F1621),IF(ISNUMBER(SEARCH("Party Name-",'R.M Billets Reports'!D1621)),TRIM(MID('R.M Billets Reports'!D1621,SEARCH("-",'R.M Billets Reports'!D1621)+1,200)),"")),IF(ISNUMBER(SEARCH("Party Name:-",'R.M Billets Reports'!D1622)),TRIM('R.M Billets Reports'!F1622),IF(ISNUMBER(SEARCH("Party Name-",'R.M Billets Reports'!D1622)),TRIM(MID('R.M Billets Reports'!D1622,SEARCH("-",'R.M Billets Reports'!D1622)+1,200)),"")))))),IF(ROW()=2,"",A1621))</f>
      </c>
      <c r="B1622">
        <f>IF(OR('R.M Billets Reports'!A1621="Date-",'R.M Billets Reports'!A1621="Date:-"),'R.M Billets Reports'!B1621,IF(ROW()=2,"",B1621))</f>
      </c>
      <c r="C1622">
        <f>IF('R.M Billets Reports'!A1621="V.No.",'R.M Billets Reports'!B1621,IF(ROW()=2,"",C1621))</f>
      </c>
      <c r="D1622">
        <f>IF('R.M Billets Reports'!A1621&lt;&gt;"",'R.M Billets Reports'!A1621,IF(ROW()=2,"",D1621))</f>
      </c>
      <c r="E1622">
        <f>IF('R.M Billets Reports'!B1621="","",TRIM('R.M Billets Reports'!B1621))</f>
      </c>
      <c r="F1622">
        <f>'R.M Billets Reports'!C1621</f>
      </c>
      <c r="G1622">
        <f>'R.M Billets Reports'!D1621</f>
      </c>
      <c r="H1622">
        <f>'R.M Billets Reports'!E1621</f>
      </c>
      <c r="I1622">
        <f>'R.M Billets Reports'!F1621</f>
      </c>
      <c r="J1622">
        <f>'R.M Billets Reports'!G1621</f>
      </c>
      <c r="K1622">
        <f>'R.M Billets Reports'!H1621</f>
      </c>
      <c r="L1622">
        <f>IF('R.M Billets Reports'!I1621="","",'R.M Billets Reports'!I1621)</f>
      </c>
      <c r="M1622">
        <f t="shared" si="50"/>
      </c>
      <c r="N1622">
        <f>IF('R.M Billets Reports'!J1621="","",'R.M Billets Reports'!J1621)</f>
      </c>
      <c r="O1622">
        <f t="shared" si="51"/>
      </c>
      <c r="P1622">
        <f>IF('R.M Billets Reports'!A1621="SIZE",'R.M Billets Reports'!B1621,P1621)</f>
      </c>
    </row>
    <row r="1623" spans="1:16" x14ac:dyDescent="0.25">
      <c r="A1623">
        <f>IF(OR('R.M Billets Reports'!A1622="Date-",'R.M Billets Reports'!A1622="Date:-"),IF(IF(IF(ISNUMBER(SEARCH("Party Name:-",'R.M Billets Reports'!D1622)),TRIM('R.M Billets Reports'!F1622),IF(ISNUMBER(SEARCH("Party Name-",'R.M Billets Reports'!D1622)),TRIM(MID('R.M Billets Reports'!D1622,SEARCH("-",'R.M Billets Reports'!D1622)+1,200)),""))&lt;&gt;"",IF(ISNUMBER(SEARCH("Party Name:-",'R.M Billets Reports'!D1622)),TRIM('R.M Billets Reports'!F1622),IF(ISNUMBER(SEARCH("Party Name-",'R.M Billets Reports'!D1622)),TRIM(MID('R.M Billets Reports'!D1622,SEARCH("-",'R.M Billets Reports'!D1622)+1,200)),"")),IF(ISNUMBER(SEARCH("Party Name:-",'R.M Billets Reports'!D1623)),TRIM('R.M Billets Reports'!F1623),IF(ISNUMBER(SEARCH("Party Name-",'R.M Billets Reports'!D1623)),TRIM(MID('R.M Billets Reports'!D1623,SEARCH("-",'R.M Billets Reports'!D1623)+1,200)),"")))="VRKP ISPAT PVT LTD","VRKP",IF(IF(IF(ISNUMBER(SEARCH("Party Name:-",'R.M Billets Reports'!D1622)),TRIM('R.M Billets Reports'!F1622),IF(ISNUMBER(SEARCH("Party Name-",'R.M Billets Reports'!D1622)),TRIM(MID('R.M Billets Reports'!D1622,SEARCH("-",'R.M Billets Reports'!D1622)+1,200)),""))&lt;&gt;"",IF(ISNUMBER(SEARCH("Party Name:-",'R.M Billets Reports'!D1622)),TRIM('R.M Billets Reports'!F1622),IF(ISNUMBER(SEARCH("Party Name-",'R.M Billets Reports'!D1622)),TRIM(MID('R.M Billets Reports'!D1622,SEARCH("-",'R.M Billets Reports'!D1622)+1,200)),"")),IF(ISNUMBER(SEARCH("Party Name:-",'R.M Billets Reports'!D1623)),TRIM('R.M Billets Reports'!F1623),IF(ISNUMBER(SEARCH("Party Name-",'R.M Billets Reports'!D1623)),TRIM(MID('R.M Billets Reports'!D1623,SEARCH("-",'R.M Billets Reports'!D1623)+1,200)),"")))="SHRI RADHE","SHREE RADHE",IF(IF(IF(ISNUMBER(SEARCH("Party Name:-",'R.M Billets Reports'!D1622)),TRIM('R.M Billets Reports'!F1622),IF(ISNUMBER(SEARCH("Party Name-",'R.M Billets Reports'!D1622)),TRIM(MID('R.M Billets Reports'!D1622,SEARCH("-",'R.M Billets Reports'!D1622)+1,200)),""))&lt;&gt;"",IF(ISNUMBER(SEARCH("Party Name:-",'R.M Billets Reports'!D1622)),TRIM('R.M Billets Reports'!F1622),IF(ISNUMBER(SEARCH("Party Name-",'R.M Billets Reports'!D1622)),TRIM(MID('R.M Billets Reports'!D1622,SEARCH("-",'R.M Billets Reports'!D1622)+1,200)),"")),IF(ISNUMBER(SEARCH("Party Name:-",'R.M Billets Reports'!D1623)),TRIM('R.M Billets Reports'!F1623),IF(ISNUMBER(SEARCH("Party Name-",'R.M Billets Reports'!D1623)),TRIM(MID('R.M Billets Reports'!D1623,SEARCH("-",'R.M Billets Reports'!D1623)+1,200)),"")))="SHREE RADHE SHAKTI SPONGE AND POWER PVT. LTD.","SHREE RADHE",IF(IF(ISNUMBER(SEARCH("Party Name:-",'R.M Billets Reports'!D1622)),TRIM('R.M Billets Reports'!F1622),IF(ISNUMBER(SEARCH("Party Name-",'R.M Billets Reports'!D1622)),TRIM(MID('R.M Billets Reports'!D1622,SEARCH("-",'R.M Billets Reports'!D1622)+1,200)),""))&lt;&gt;"",IF(ISNUMBER(SEARCH("Party Name:-",'R.M Billets Reports'!D1622)),TRIM('R.M Billets Reports'!F1622),IF(ISNUMBER(SEARCH("Party Name-",'R.M Billets Reports'!D1622)),TRIM(MID('R.M Billets Reports'!D1622,SEARCH("-",'R.M Billets Reports'!D1622)+1,200)),"")),IF(ISNUMBER(SEARCH("Party Name:-",'R.M Billets Reports'!D1623)),TRIM('R.M Billets Reports'!F1623),IF(ISNUMBER(SEARCH("Party Name-",'R.M Billets Reports'!D1623)),TRIM(MID('R.M Billets Reports'!D1623,SEARCH("-",'R.M Billets Reports'!D1623)+1,200)),"")))))),IF(ROW()=2,"",A1622))</f>
      </c>
      <c r="B1623">
        <f>IF(OR('R.M Billets Reports'!A1622="Date-",'R.M Billets Reports'!A1622="Date:-"),'R.M Billets Reports'!B1622,IF(ROW()=2,"",B1622))</f>
      </c>
      <c r="C1623">
        <f>IF('R.M Billets Reports'!A1622="V.No.",'R.M Billets Reports'!B1622,IF(ROW()=2,"",C1622))</f>
      </c>
      <c r="D1623">
        <f>IF('R.M Billets Reports'!A1622&lt;&gt;"",'R.M Billets Reports'!A1622,IF(ROW()=2,"",D1622))</f>
      </c>
      <c r="E1623">
        <f>IF('R.M Billets Reports'!B1622="","",TRIM('R.M Billets Reports'!B1622))</f>
      </c>
      <c r="F1623">
        <f>'R.M Billets Reports'!C1622</f>
      </c>
      <c r="G1623">
        <f>'R.M Billets Reports'!D1622</f>
      </c>
      <c r="H1623">
        <f>'R.M Billets Reports'!E1622</f>
      </c>
      <c r="I1623">
        <f>'R.M Billets Reports'!F1622</f>
      </c>
      <c r="J1623">
        <f>'R.M Billets Reports'!G1622</f>
      </c>
      <c r="K1623">
        <f>'R.M Billets Reports'!H1622</f>
      </c>
      <c r="L1623">
        <f>IF('R.M Billets Reports'!I1622="","",'R.M Billets Reports'!I1622)</f>
      </c>
      <c r="M1623">
        <f t="shared" si="50"/>
      </c>
      <c r="N1623">
        <f>IF('R.M Billets Reports'!J1622="","",'R.M Billets Reports'!J1622)</f>
      </c>
      <c r="O1623">
        <f t="shared" si="51"/>
      </c>
      <c r="P1623">
        <f>IF('R.M Billets Reports'!A1622="SIZE",'R.M Billets Reports'!B1622,P1622)</f>
      </c>
    </row>
    <row r="1624" spans="1:16" x14ac:dyDescent="0.25">
      <c r="A1624">
        <f>IF(OR('R.M Billets Reports'!A1623="Date-",'R.M Billets Reports'!A1623="Date:-"),IF(IF(IF(ISNUMBER(SEARCH("Party Name:-",'R.M Billets Reports'!D1623)),TRIM('R.M Billets Reports'!F1623),IF(ISNUMBER(SEARCH("Party Name-",'R.M Billets Reports'!D1623)),TRIM(MID('R.M Billets Reports'!D1623,SEARCH("-",'R.M Billets Reports'!D1623)+1,200)),""))&lt;&gt;"",IF(ISNUMBER(SEARCH("Party Name:-",'R.M Billets Reports'!D1623)),TRIM('R.M Billets Reports'!F1623),IF(ISNUMBER(SEARCH("Party Name-",'R.M Billets Reports'!D1623)),TRIM(MID('R.M Billets Reports'!D1623,SEARCH("-",'R.M Billets Reports'!D1623)+1,200)),"")),IF(ISNUMBER(SEARCH("Party Name:-",'R.M Billets Reports'!D1624)),TRIM('R.M Billets Reports'!F1624),IF(ISNUMBER(SEARCH("Party Name-",'R.M Billets Reports'!D1624)),TRIM(MID('R.M Billets Reports'!D1624,SEARCH("-",'R.M Billets Reports'!D1624)+1,200)),"")))="VRKP ISPAT PVT LTD","VRKP",IF(IF(IF(ISNUMBER(SEARCH("Party Name:-",'R.M Billets Reports'!D1623)),TRIM('R.M Billets Reports'!F1623),IF(ISNUMBER(SEARCH("Party Name-",'R.M Billets Reports'!D1623)),TRIM(MID('R.M Billets Reports'!D1623,SEARCH("-",'R.M Billets Reports'!D1623)+1,200)),""))&lt;&gt;"",IF(ISNUMBER(SEARCH("Party Name:-",'R.M Billets Reports'!D1623)),TRIM('R.M Billets Reports'!F1623),IF(ISNUMBER(SEARCH("Party Name-",'R.M Billets Reports'!D1623)),TRIM(MID('R.M Billets Reports'!D1623,SEARCH("-",'R.M Billets Reports'!D1623)+1,200)),"")),IF(ISNUMBER(SEARCH("Party Name:-",'R.M Billets Reports'!D1624)),TRIM('R.M Billets Reports'!F1624),IF(ISNUMBER(SEARCH("Party Name-",'R.M Billets Reports'!D1624)),TRIM(MID('R.M Billets Reports'!D1624,SEARCH("-",'R.M Billets Reports'!D1624)+1,200)),"")))="SHRI RADHE","SHREE RADHE",IF(IF(IF(ISNUMBER(SEARCH("Party Name:-",'R.M Billets Reports'!D1623)),TRIM('R.M Billets Reports'!F1623),IF(ISNUMBER(SEARCH("Party Name-",'R.M Billets Reports'!D1623)),TRIM(MID('R.M Billets Reports'!D1623,SEARCH("-",'R.M Billets Reports'!D1623)+1,200)),""))&lt;&gt;"",IF(ISNUMBER(SEARCH("Party Name:-",'R.M Billets Reports'!D1623)),TRIM('R.M Billets Reports'!F1623),IF(ISNUMBER(SEARCH("Party Name-",'R.M Billets Reports'!D1623)),TRIM(MID('R.M Billets Reports'!D1623,SEARCH("-",'R.M Billets Reports'!D1623)+1,200)),"")),IF(ISNUMBER(SEARCH("Party Name:-",'R.M Billets Reports'!D1624)),TRIM('R.M Billets Reports'!F1624),IF(ISNUMBER(SEARCH("Party Name-",'R.M Billets Reports'!D1624)),TRIM(MID('R.M Billets Reports'!D1624,SEARCH("-",'R.M Billets Reports'!D1624)+1,200)),"")))="SHREE RADHE SHAKTI SPONGE AND POWER PVT. LTD.","SHREE RADHE",IF(IF(ISNUMBER(SEARCH("Party Name:-",'R.M Billets Reports'!D1623)),TRIM('R.M Billets Reports'!F1623),IF(ISNUMBER(SEARCH("Party Name-",'R.M Billets Reports'!D1623)),TRIM(MID('R.M Billets Reports'!D1623,SEARCH("-",'R.M Billets Reports'!D1623)+1,200)),""))&lt;&gt;"",IF(ISNUMBER(SEARCH("Party Name:-",'R.M Billets Reports'!D1623)),TRIM('R.M Billets Reports'!F1623),IF(ISNUMBER(SEARCH("Party Name-",'R.M Billets Reports'!D1623)),TRIM(MID('R.M Billets Reports'!D1623,SEARCH("-",'R.M Billets Reports'!D1623)+1,200)),"")),IF(ISNUMBER(SEARCH("Party Name:-",'R.M Billets Reports'!D1624)),TRIM('R.M Billets Reports'!F1624),IF(ISNUMBER(SEARCH("Party Name-",'R.M Billets Reports'!D1624)),TRIM(MID('R.M Billets Reports'!D1624,SEARCH("-",'R.M Billets Reports'!D1624)+1,200)),"")))))),IF(ROW()=2,"",A1623))</f>
      </c>
      <c r="B1624">
        <f>IF(OR('R.M Billets Reports'!A1623="Date-",'R.M Billets Reports'!A1623="Date:-"),'R.M Billets Reports'!B1623,IF(ROW()=2,"",B1623))</f>
      </c>
      <c r="C1624">
        <f>IF('R.M Billets Reports'!A1623="V.No.",'R.M Billets Reports'!B1623,IF(ROW()=2,"",C1623))</f>
      </c>
      <c r="D1624">
        <f>IF('R.M Billets Reports'!A1623&lt;&gt;"",'R.M Billets Reports'!A1623,IF(ROW()=2,"",D1623))</f>
      </c>
      <c r="E1624">
        <f>IF('R.M Billets Reports'!B1623="","",TRIM('R.M Billets Reports'!B1623))</f>
      </c>
      <c r="F1624">
        <f>'R.M Billets Reports'!C1623</f>
      </c>
      <c r="G1624">
        <f>'R.M Billets Reports'!D1623</f>
      </c>
      <c r="H1624">
        <f>'R.M Billets Reports'!E1623</f>
      </c>
      <c r="I1624">
        <f>'R.M Billets Reports'!F1623</f>
      </c>
      <c r="J1624">
        <f>'R.M Billets Reports'!G1623</f>
      </c>
      <c r="K1624">
        <f>'R.M Billets Reports'!H1623</f>
      </c>
      <c r="L1624">
        <f>IF('R.M Billets Reports'!I1623="","",'R.M Billets Reports'!I1623)</f>
      </c>
      <c r="M1624">
        <f t="shared" si="50"/>
      </c>
      <c r="N1624">
        <f>IF('R.M Billets Reports'!J1623="","",'R.M Billets Reports'!J1623)</f>
      </c>
      <c r="O1624">
        <f t="shared" si="51"/>
      </c>
      <c r="P1624">
        <f>IF('R.M Billets Reports'!A1623="SIZE",'R.M Billets Reports'!B1623,P1623)</f>
      </c>
    </row>
    <row r="1625" spans="1:16" x14ac:dyDescent="0.25">
      <c r="A1625">
        <f>IF(OR('R.M Billets Reports'!A1624="Date-",'R.M Billets Reports'!A1624="Date:-"),IF(IF(IF(ISNUMBER(SEARCH("Party Name:-",'R.M Billets Reports'!D1624)),TRIM('R.M Billets Reports'!F1624),IF(ISNUMBER(SEARCH("Party Name-",'R.M Billets Reports'!D1624)),TRIM(MID('R.M Billets Reports'!D1624,SEARCH("-",'R.M Billets Reports'!D1624)+1,200)),""))&lt;&gt;"",IF(ISNUMBER(SEARCH("Party Name:-",'R.M Billets Reports'!D1624)),TRIM('R.M Billets Reports'!F1624),IF(ISNUMBER(SEARCH("Party Name-",'R.M Billets Reports'!D1624)),TRIM(MID('R.M Billets Reports'!D1624,SEARCH("-",'R.M Billets Reports'!D1624)+1,200)),"")),IF(ISNUMBER(SEARCH("Party Name:-",'R.M Billets Reports'!D1625)),TRIM('R.M Billets Reports'!F1625),IF(ISNUMBER(SEARCH("Party Name-",'R.M Billets Reports'!D1625)),TRIM(MID('R.M Billets Reports'!D1625,SEARCH("-",'R.M Billets Reports'!D1625)+1,200)),"")))="VRKP ISPAT PVT LTD","VRKP",IF(IF(IF(ISNUMBER(SEARCH("Party Name:-",'R.M Billets Reports'!D1624)),TRIM('R.M Billets Reports'!F1624),IF(ISNUMBER(SEARCH("Party Name-",'R.M Billets Reports'!D1624)),TRIM(MID('R.M Billets Reports'!D1624,SEARCH("-",'R.M Billets Reports'!D1624)+1,200)),""))&lt;&gt;"",IF(ISNUMBER(SEARCH("Party Name:-",'R.M Billets Reports'!D1624)),TRIM('R.M Billets Reports'!F1624),IF(ISNUMBER(SEARCH("Party Name-",'R.M Billets Reports'!D1624)),TRIM(MID('R.M Billets Reports'!D1624,SEARCH("-",'R.M Billets Reports'!D1624)+1,200)),"")),IF(ISNUMBER(SEARCH("Party Name:-",'R.M Billets Reports'!D1625)),TRIM('R.M Billets Reports'!F1625),IF(ISNUMBER(SEARCH("Party Name-",'R.M Billets Reports'!D1625)),TRIM(MID('R.M Billets Reports'!D1625,SEARCH("-",'R.M Billets Reports'!D1625)+1,200)),"")))="SHRI RADHE","SHREE RADHE",IF(IF(IF(ISNUMBER(SEARCH("Party Name:-",'R.M Billets Reports'!D1624)),TRIM('R.M Billets Reports'!F1624),IF(ISNUMBER(SEARCH("Party Name-",'R.M Billets Reports'!D1624)),TRIM(MID('R.M Billets Reports'!D1624,SEARCH("-",'R.M Billets Reports'!D1624)+1,200)),""))&lt;&gt;"",IF(ISNUMBER(SEARCH("Party Name:-",'R.M Billets Reports'!D1624)),TRIM('R.M Billets Reports'!F1624),IF(ISNUMBER(SEARCH("Party Name-",'R.M Billets Reports'!D1624)),TRIM(MID('R.M Billets Reports'!D1624,SEARCH("-",'R.M Billets Reports'!D1624)+1,200)),"")),IF(ISNUMBER(SEARCH("Party Name:-",'R.M Billets Reports'!D1625)),TRIM('R.M Billets Reports'!F1625),IF(ISNUMBER(SEARCH("Party Name-",'R.M Billets Reports'!D1625)),TRIM(MID('R.M Billets Reports'!D1625,SEARCH("-",'R.M Billets Reports'!D1625)+1,200)),"")))="SHREE RADHE SHAKTI SPONGE AND POWER PVT. LTD.","SHREE RADHE",IF(IF(ISNUMBER(SEARCH("Party Name:-",'R.M Billets Reports'!D1624)),TRIM('R.M Billets Reports'!F1624),IF(ISNUMBER(SEARCH("Party Name-",'R.M Billets Reports'!D1624)),TRIM(MID('R.M Billets Reports'!D1624,SEARCH("-",'R.M Billets Reports'!D1624)+1,200)),""))&lt;&gt;"",IF(ISNUMBER(SEARCH("Party Name:-",'R.M Billets Reports'!D1624)),TRIM('R.M Billets Reports'!F1624),IF(ISNUMBER(SEARCH("Party Name-",'R.M Billets Reports'!D1624)),TRIM(MID('R.M Billets Reports'!D1624,SEARCH("-",'R.M Billets Reports'!D1624)+1,200)),"")),IF(ISNUMBER(SEARCH("Party Name:-",'R.M Billets Reports'!D1625)),TRIM('R.M Billets Reports'!F1625),IF(ISNUMBER(SEARCH("Party Name-",'R.M Billets Reports'!D1625)),TRIM(MID('R.M Billets Reports'!D1625,SEARCH("-",'R.M Billets Reports'!D1625)+1,200)),"")))))),IF(ROW()=2,"",A1624))</f>
      </c>
      <c r="B1625">
        <f>IF(OR('R.M Billets Reports'!A1624="Date-",'R.M Billets Reports'!A1624="Date:-"),'R.M Billets Reports'!B1624,IF(ROW()=2,"",B1624))</f>
      </c>
      <c r="C1625">
        <f>IF('R.M Billets Reports'!A1624="V.No.",'R.M Billets Reports'!B1624,IF(ROW()=2,"",C1624))</f>
      </c>
      <c r="D1625">
        <f>IF('R.M Billets Reports'!A1624&lt;&gt;"",'R.M Billets Reports'!A1624,IF(ROW()=2,"",D1624))</f>
      </c>
      <c r="E1625">
        <f>IF('R.M Billets Reports'!B1624="","",TRIM('R.M Billets Reports'!B1624))</f>
      </c>
      <c r="F1625">
        <f>'R.M Billets Reports'!C1624</f>
      </c>
      <c r="G1625">
        <f>'R.M Billets Reports'!D1624</f>
      </c>
      <c r="H1625">
        <f>'R.M Billets Reports'!E1624</f>
      </c>
      <c r="I1625">
        <f>'R.M Billets Reports'!F1624</f>
      </c>
      <c r="J1625">
        <f>'R.M Billets Reports'!G1624</f>
      </c>
      <c r="K1625">
        <f>'R.M Billets Reports'!H1624</f>
      </c>
      <c r="L1625">
        <f>IF('R.M Billets Reports'!I1624="","",'R.M Billets Reports'!I1624)</f>
      </c>
      <c r="M1625">
        <f t="shared" si="50"/>
      </c>
      <c r="N1625">
        <f>IF('R.M Billets Reports'!J1624="","",'R.M Billets Reports'!J1624)</f>
      </c>
      <c r="O1625">
        <f t="shared" si="51"/>
      </c>
      <c r="P1625">
        <f>IF('R.M Billets Reports'!A1624="SIZE",'R.M Billets Reports'!B1624,P1624)</f>
      </c>
    </row>
    <row r="1626" spans="1:16" x14ac:dyDescent="0.25">
      <c r="A1626">
        <f>IF(OR('R.M Billets Reports'!A1625="Date-",'R.M Billets Reports'!A1625="Date:-"),IF(IF(IF(ISNUMBER(SEARCH("Party Name:-",'R.M Billets Reports'!D1625)),TRIM('R.M Billets Reports'!F1625),IF(ISNUMBER(SEARCH("Party Name-",'R.M Billets Reports'!D1625)),TRIM(MID('R.M Billets Reports'!D1625,SEARCH("-",'R.M Billets Reports'!D1625)+1,200)),""))&lt;&gt;"",IF(ISNUMBER(SEARCH("Party Name:-",'R.M Billets Reports'!D1625)),TRIM('R.M Billets Reports'!F1625),IF(ISNUMBER(SEARCH("Party Name-",'R.M Billets Reports'!D1625)),TRIM(MID('R.M Billets Reports'!D1625,SEARCH("-",'R.M Billets Reports'!D1625)+1,200)),"")),IF(ISNUMBER(SEARCH("Party Name:-",'R.M Billets Reports'!D1626)),TRIM('R.M Billets Reports'!F1626),IF(ISNUMBER(SEARCH("Party Name-",'R.M Billets Reports'!D1626)),TRIM(MID('R.M Billets Reports'!D1626,SEARCH("-",'R.M Billets Reports'!D1626)+1,200)),"")))="VRKP ISPAT PVT LTD","VRKP",IF(IF(IF(ISNUMBER(SEARCH("Party Name:-",'R.M Billets Reports'!D1625)),TRIM('R.M Billets Reports'!F1625),IF(ISNUMBER(SEARCH("Party Name-",'R.M Billets Reports'!D1625)),TRIM(MID('R.M Billets Reports'!D1625,SEARCH("-",'R.M Billets Reports'!D1625)+1,200)),""))&lt;&gt;"",IF(ISNUMBER(SEARCH("Party Name:-",'R.M Billets Reports'!D1625)),TRIM('R.M Billets Reports'!F1625),IF(ISNUMBER(SEARCH("Party Name-",'R.M Billets Reports'!D1625)),TRIM(MID('R.M Billets Reports'!D1625,SEARCH("-",'R.M Billets Reports'!D1625)+1,200)),"")),IF(ISNUMBER(SEARCH("Party Name:-",'R.M Billets Reports'!D1626)),TRIM('R.M Billets Reports'!F1626),IF(ISNUMBER(SEARCH("Party Name-",'R.M Billets Reports'!D1626)),TRIM(MID('R.M Billets Reports'!D1626,SEARCH("-",'R.M Billets Reports'!D1626)+1,200)),"")))="SHRI RADHE","SHREE RADHE",IF(IF(IF(ISNUMBER(SEARCH("Party Name:-",'R.M Billets Reports'!D1625)),TRIM('R.M Billets Reports'!F1625),IF(ISNUMBER(SEARCH("Party Name-",'R.M Billets Reports'!D1625)),TRIM(MID('R.M Billets Reports'!D1625,SEARCH("-",'R.M Billets Reports'!D1625)+1,200)),""))&lt;&gt;"",IF(ISNUMBER(SEARCH("Party Name:-",'R.M Billets Reports'!D1625)),TRIM('R.M Billets Reports'!F1625),IF(ISNUMBER(SEARCH("Party Name-",'R.M Billets Reports'!D1625)),TRIM(MID('R.M Billets Reports'!D1625,SEARCH("-",'R.M Billets Reports'!D1625)+1,200)),"")),IF(ISNUMBER(SEARCH("Party Name:-",'R.M Billets Reports'!D1626)),TRIM('R.M Billets Reports'!F1626),IF(ISNUMBER(SEARCH("Party Name-",'R.M Billets Reports'!D1626)),TRIM(MID('R.M Billets Reports'!D1626,SEARCH("-",'R.M Billets Reports'!D1626)+1,200)),"")))="SHREE RADHE SHAKTI SPONGE AND POWER PVT. LTD.","SHREE RADHE",IF(IF(ISNUMBER(SEARCH("Party Name:-",'R.M Billets Reports'!D1625)),TRIM('R.M Billets Reports'!F1625),IF(ISNUMBER(SEARCH("Party Name-",'R.M Billets Reports'!D1625)),TRIM(MID('R.M Billets Reports'!D1625,SEARCH("-",'R.M Billets Reports'!D1625)+1,200)),""))&lt;&gt;"",IF(ISNUMBER(SEARCH("Party Name:-",'R.M Billets Reports'!D1625)),TRIM('R.M Billets Reports'!F1625),IF(ISNUMBER(SEARCH("Party Name-",'R.M Billets Reports'!D1625)),TRIM(MID('R.M Billets Reports'!D1625,SEARCH("-",'R.M Billets Reports'!D1625)+1,200)),"")),IF(ISNUMBER(SEARCH("Party Name:-",'R.M Billets Reports'!D1626)),TRIM('R.M Billets Reports'!F1626),IF(ISNUMBER(SEARCH("Party Name-",'R.M Billets Reports'!D1626)),TRIM(MID('R.M Billets Reports'!D1626,SEARCH("-",'R.M Billets Reports'!D1626)+1,200)),"")))))),IF(ROW()=2,"",A1625))</f>
      </c>
      <c r="B1626">
        <f>IF(OR('R.M Billets Reports'!A1625="Date-",'R.M Billets Reports'!A1625="Date:-"),'R.M Billets Reports'!B1625,IF(ROW()=2,"",B1625))</f>
      </c>
      <c r="C1626">
        <f>IF('R.M Billets Reports'!A1625="V.No.",'R.M Billets Reports'!B1625,IF(ROW()=2,"",C1625))</f>
      </c>
      <c r="D1626">
        <f>IF('R.M Billets Reports'!A1625&lt;&gt;"",'R.M Billets Reports'!A1625,IF(ROW()=2,"",D1625))</f>
      </c>
      <c r="E1626">
        <f>IF('R.M Billets Reports'!B1625="","",TRIM('R.M Billets Reports'!B1625))</f>
      </c>
      <c r="F1626">
        <f>'R.M Billets Reports'!C1625</f>
      </c>
      <c r="G1626">
        <f>'R.M Billets Reports'!D1625</f>
      </c>
      <c r="H1626">
        <f>'R.M Billets Reports'!E1625</f>
      </c>
      <c r="I1626">
        <f>'R.M Billets Reports'!F1625</f>
      </c>
      <c r="J1626">
        <f>'R.M Billets Reports'!G1625</f>
      </c>
      <c r="K1626">
        <f>'R.M Billets Reports'!H1625</f>
      </c>
      <c r="L1626">
        <f>IF('R.M Billets Reports'!I1625="","",'R.M Billets Reports'!I1625)</f>
      </c>
      <c r="M1626">
        <f t="shared" si="50"/>
      </c>
      <c r="N1626">
        <f>IF('R.M Billets Reports'!J1625="","",'R.M Billets Reports'!J1625)</f>
      </c>
      <c r="O1626">
        <f t="shared" si="51"/>
      </c>
      <c r="P1626">
        <f>IF('R.M Billets Reports'!A1625="SIZE",'R.M Billets Reports'!B1625,P1625)</f>
      </c>
    </row>
    <row r="1627" spans="1:16" x14ac:dyDescent="0.25">
      <c r="A1627">
        <f>IF(OR('R.M Billets Reports'!A1626="Date-",'R.M Billets Reports'!A1626="Date:-"),IF(IF(IF(ISNUMBER(SEARCH("Party Name:-",'R.M Billets Reports'!D1626)),TRIM('R.M Billets Reports'!F1626),IF(ISNUMBER(SEARCH("Party Name-",'R.M Billets Reports'!D1626)),TRIM(MID('R.M Billets Reports'!D1626,SEARCH("-",'R.M Billets Reports'!D1626)+1,200)),""))&lt;&gt;"",IF(ISNUMBER(SEARCH("Party Name:-",'R.M Billets Reports'!D1626)),TRIM('R.M Billets Reports'!F1626),IF(ISNUMBER(SEARCH("Party Name-",'R.M Billets Reports'!D1626)),TRIM(MID('R.M Billets Reports'!D1626,SEARCH("-",'R.M Billets Reports'!D1626)+1,200)),"")),IF(ISNUMBER(SEARCH("Party Name:-",'R.M Billets Reports'!D1627)),TRIM('R.M Billets Reports'!F1627),IF(ISNUMBER(SEARCH("Party Name-",'R.M Billets Reports'!D1627)),TRIM(MID('R.M Billets Reports'!D1627,SEARCH("-",'R.M Billets Reports'!D1627)+1,200)),"")))="VRKP ISPAT PVT LTD","VRKP",IF(IF(IF(ISNUMBER(SEARCH("Party Name:-",'R.M Billets Reports'!D1626)),TRIM('R.M Billets Reports'!F1626),IF(ISNUMBER(SEARCH("Party Name-",'R.M Billets Reports'!D1626)),TRIM(MID('R.M Billets Reports'!D1626,SEARCH("-",'R.M Billets Reports'!D1626)+1,200)),""))&lt;&gt;"",IF(ISNUMBER(SEARCH("Party Name:-",'R.M Billets Reports'!D1626)),TRIM('R.M Billets Reports'!F1626),IF(ISNUMBER(SEARCH("Party Name-",'R.M Billets Reports'!D1626)),TRIM(MID('R.M Billets Reports'!D1626,SEARCH("-",'R.M Billets Reports'!D1626)+1,200)),"")),IF(ISNUMBER(SEARCH("Party Name:-",'R.M Billets Reports'!D1627)),TRIM('R.M Billets Reports'!F1627),IF(ISNUMBER(SEARCH("Party Name-",'R.M Billets Reports'!D1627)),TRIM(MID('R.M Billets Reports'!D1627,SEARCH("-",'R.M Billets Reports'!D1627)+1,200)),"")))="SHRI RADHE","SHREE RADHE",IF(IF(IF(ISNUMBER(SEARCH("Party Name:-",'R.M Billets Reports'!D1626)),TRIM('R.M Billets Reports'!F1626),IF(ISNUMBER(SEARCH("Party Name-",'R.M Billets Reports'!D1626)),TRIM(MID('R.M Billets Reports'!D1626,SEARCH("-",'R.M Billets Reports'!D1626)+1,200)),""))&lt;&gt;"",IF(ISNUMBER(SEARCH("Party Name:-",'R.M Billets Reports'!D1626)),TRIM('R.M Billets Reports'!F1626),IF(ISNUMBER(SEARCH("Party Name-",'R.M Billets Reports'!D1626)),TRIM(MID('R.M Billets Reports'!D1626,SEARCH("-",'R.M Billets Reports'!D1626)+1,200)),"")),IF(ISNUMBER(SEARCH("Party Name:-",'R.M Billets Reports'!D1627)),TRIM('R.M Billets Reports'!F1627),IF(ISNUMBER(SEARCH("Party Name-",'R.M Billets Reports'!D1627)),TRIM(MID('R.M Billets Reports'!D1627,SEARCH("-",'R.M Billets Reports'!D1627)+1,200)),"")))="SHREE RADHE SHAKTI SPONGE AND POWER PVT. LTD.","SHREE RADHE",IF(IF(ISNUMBER(SEARCH("Party Name:-",'R.M Billets Reports'!D1626)),TRIM('R.M Billets Reports'!F1626),IF(ISNUMBER(SEARCH("Party Name-",'R.M Billets Reports'!D1626)),TRIM(MID('R.M Billets Reports'!D1626,SEARCH("-",'R.M Billets Reports'!D1626)+1,200)),""))&lt;&gt;"",IF(ISNUMBER(SEARCH("Party Name:-",'R.M Billets Reports'!D1626)),TRIM('R.M Billets Reports'!F1626),IF(ISNUMBER(SEARCH("Party Name-",'R.M Billets Reports'!D1626)),TRIM(MID('R.M Billets Reports'!D1626,SEARCH("-",'R.M Billets Reports'!D1626)+1,200)),"")),IF(ISNUMBER(SEARCH("Party Name:-",'R.M Billets Reports'!D1627)),TRIM('R.M Billets Reports'!F1627),IF(ISNUMBER(SEARCH("Party Name-",'R.M Billets Reports'!D1627)),TRIM(MID('R.M Billets Reports'!D1627,SEARCH("-",'R.M Billets Reports'!D1627)+1,200)),"")))))),IF(ROW()=2,"",A1626))</f>
      </c>
      <c r="B1627">
        <f>IF(OR('R.M Billets Reports'!A1626="Date-",'R.M Billets Reports'!A1626="Date:-"),'R.M Billets Reports'!B1626,IF(ROW()=2,"",B1626))</f>
      </c>
      <c r="C1627">
        <f>IF('R.M Billets Reports'!A1626="V.No.",'R.M Billets Reports'!B1626,IF(ROW()=2,"",C1626))</f>
      </c>
      <c r="D1627">
        <f>IF('R.M Billets Reports'!A1626&lt;&gt;"",'R.M Billets Reports'!A1626,IF(ROW()=2,"",D1626))</f>
      </c>
      <c r="E1627">
        <f>IF('R.M Billets Reports'!B1626="","",TRIM('R.M Billets Reports'!B1626))</f>
      </c>
      <c r="F1627">
        <f>'R.M Billets Reports'!C1626</f>
      </c>
      <c r="G1627">
        <f>'R.M Billets Reports'!D1626</f>
      </c>
      <c r="H1627">
        <f>'R.M Billets Reports'!E1626</f>
      </c>
      <c r="I1627">
        <f>'R.M Billets Reports'!F1626</f>
      </c>
      <c r="J1627">
        <f>'R.M Billets Reports'!G1626</f>
      </c>
      <c r="K1627">
        <f>'R.M Billets Reports'!H1626</f>
      </c>
      <c r="L1627">
        <f>IF('R.M Billets Reports'!I1626="","",'R.M Billets Reports'!I1626)</f>
      </c>
      <c r="M1627">
        <f t="shared" si="50"/>
      </c>
      <c r="N1627">
        <f>IF('R.M Billets Reports'!J1626="","",'R.M Billets Reports'!J1626)</f>
      </c>
      <c r="O1627">
        <f t="shared" si="51"/>
      </c>
      <c r="P1627">
        <f>IF('R.M Billets Reports'!A1626="SIZE",'R.M Billets Reports'!B1626,P1626)</f>
      </c>
    </row>
    <row r="1628" spans="1:16" x14ac:dyDescent="0.25">
      <c r="A1628">
        <f>IF(OR('R.M Billets Reports'!A1627="Date-",'R.M Billets Reports'!A1627="Date:-"),IF(IF(IF(ISNUMBER(SEARCH("Party Name:-",'R.M Billets Reports'!D1627)),TRIM('R.M Billets Reports'!F1627),IF(ISNUMBER(SEARCH("Party Name-",'R.M Billets Reports'!D1627)),TRIM(MID('R.M Billets Reports'!D1627,SEARCH("-",'R.M Billets Reports'!D1627)+1,200)),""))&lt;&gt;"",IF(ISNUMBER(SEARCH("Party Name:-",'R.M Billets Reports'!D1627)),TRIM('R.M Billets Reports'!F1627),IF(ISNUMBER(SEARCH("Party Name-",'R.M Billets Reports'!D1627)),TRIM(MID('R.M Billets Reports'!D1627,SEARCH("-",'R.M Billets Reports'!D1627)+1,200)),"")),IF(ISNUMBER(SEARCH("Party Name:-",'R.M Billets Reports'!D1628)),TRIM('R.M Billets Reports'!F1628),IF(ISNUMBER(SEARCH("Party Name-",'R.M Billets Reports'!D1628)),TRIM(MID('R.M Billets Reports'!D1628,SEARCH("-",'R.M Billets Reports'!D1628)+1,200)),"")))="VRKP ISPAT PVT LTD","VRKP",IF(IF(IF(ISNUMBER(SEARCH("Party Name:-",'R.M Billets Reports'!D1627)),TRIM('R.M Billets Reports'!F1627),IF(ISNUMBER(SEARCH("Party Name-",'R.M Billets Reports'!D1627)),TRIM(MID('R.M Billets Reports'!D1627,SEARCH("-",'R.M Billets Reports'!D1627)+1,200)),""))&lt;&gt;"",IF(ISNUMBER(SEARCH("Party Name:-",'R.M Billets Reports'!D1627)),TRIM('R.M Billets Reports'!F1627),IF(ISNUMBER(SEARCH("Party Name-",'R.M Billets Reports'!D1627)),TRIM(MID('R.M Billets Reports'!D1627,SEARCH("-",'R.M Billets Reports'!D1627)+1,200)),"")),IF(ISNUMBER(SEARCH("Party Name:-",'R.M Billets Reports'!D1628)),TRIM('R.M Billets Reports'!F1628),IF(ISNUMBER(SEARCH("Party Name-",'R.M Billets Reports'!D1628)),TRIM(MID('R.M Billets Reports'!D1628,SEARCH("-",'R.M Billets Reports'!D1628)+1,200)),"")))="SHRI RADHE","SHREE RADHE",IF(IF(IF(ISNUMBER(SEARCH("Party Name:-",'R.M Billets Reports'!D1627)),TRIM('R.M Billets Reports'!F1627),IF(ISNUMBER(SEARCH("Party Name-",'R.M Billets Reports'!D1627)),TRIM(MID('R.M Billets Reports'!D1627,SEARCH("-",'R.M Billets Reports'!D1627)+1,200)),""))&lt;&gt;"",IF(ISNUMBER(SEARCH("Party Name:-",'R.M Billets Reports'!D1627)),TRIM('R.M Billets Reports'!F1627),IF(ISNUMBER(SEARCH("Party Name-",'R.M Billets Reports'!D1627)),TRIM(MID('R.M Billets Reports'!D1627,SEARCH("-",'R.M Billets Reports'!D1627)+1,200)),"")),IF(ISNUMBER(SEARCH("Party Name:-",'R.M Billets Reports'!D1628)),TRIM('R.M Billets Reports'!F1628),IF(ISNUMBER(SEARCH("Party Name-",'R.M Billets Reports'!D1628)),TRIM(MID('R.M Billets Reports'!D1628,SEARCH("-",'R.M Billets Reports'!D1628)+1,200)),"")))="SHREE RADHE SHAKTI SPONGE AND POWER PVT. LTD.","SHREE RADHE",IF(IF(ISNUMBER(SEARCH("Party Name:-",'R.M Billets Reports'!D1627)),TRIM('R.M Billets Reports'!F1627),IF(ISNUMBER(SEARCH("Party Name-",'R.M Billets Reports'!D1627)),TRIM(MID('R.M Billets Reports'!D1627,SEARCH("-",'R.M Billets Reports'!D1627)+1,200)),""))&lt;&gt;"",IF(ISNUMBER(SEARCH("Party Name:-",'R.M Billets Reports'!D1627)),TRIM('R.M Billets Reports'!F1627),IF(ISNUMBER(SEARCH("Party Name-",'R.M Billets Reports'!D1627)),TRIM(MID('R.M Billets Reports'!D1627,SEARCH("-",'R.M Billets Reports'!D1627)+1,200)),"")),IF(ISNUMBER(SEARCH("Party Name:-",'R.M Billets Reports'!D1628)),TRIM('R.M Billets Reports'!F1628),IF(ISNUMBER(SEARCH("Party Name-",'R.M Billets Reports'!D1628)),TRIM(MID('R.M Billets Reports'!D1628,SEARCH("-",'R.M Billets Reports'!D1628)+1,200)),"")))))),IF(ROW()=2,"",A1627))</f>
      </c>
      <c r="B1628">
        <f>IF(OR('R.M Billets Reports'!A1627="Date-",'R.M Billets Reports'!A1627="Date:-"),'R.M Billets Reports'!B1627,IF(ROW()=2,"",B1627))</f>
      </c>
      <c r="C1628">
        <f>IF('R.M Billets Reports'!A1627="V.No.",'R.M Billets Reports'!B1627,IF(ROW()=2,"",C1627))</f>
      </c>
      <c r="D1628">
        <f>IF('R.M Billets Reports'!A1627&lt;&gt;"",'R.M Billets Reports'!A1627,IF(ROW()=2,"",D1627))</f>
      </c>
      <c r="E1628">
        <f>IF('R.M Billets Reports'!B1627="","",TRIM('R.M Billets Reports'!B1627))</f>
      </c>
      <c r="F1628">
        <f>'R.M Billets Reports'!C1627</f>
      </c>
      <c r="G1628">
        <f>'R.M Billets Reports'!D1627</f>
      </c>
      <c r="H1628">
        <f>'R.M Billets Reports'!E1627</f>
      </c>
      <c r="I1628">
        <f>'R.M Billets Reports'!F1627</f>
      </c>
      <c r="J1628">
        <f>'R.M Billets Reports'!G1627</f>
      </c>
      <c r="K1628">
        <f>'R.M Billets Reports'!H1627</f>
      </c>
      <c r="L1628">
        <f>IF('R.M Billets Reports'!I1627="","",'R.M Billets Reports'!I1627)</f>
      </c>
      <c r="M1628">
        <f t="shared" si="50"/>
      </c>
      <c r="N1628">
        <f>IF('R.M Billets Reports'!J1627="","",'R.M Billets Reports'!J1627)</f>
      </c>
      <c r="O1628">
        <f t="shared" si="51"/>
      </c>
      <c r="P1628">
        <f>IF('R.M Billets Reports'!A1627="SIZE",'R.M Billets Reports'!B1627,P1627)</f>
      </c>
    </row>
    <row r="1629" spans="1:16" x14ac:dyDescent="0.25">
      <c r="A1629">
        <f>IF(OR('R.M Billets Reports'!A1628="Date-",'R.M Billets Reports'!A1628="Date:-"),IF(IF(IF(ISNUMBER(SEARCH("Party Name:-",'R.M Billets Reports'!D1628)),TRIM('R.M Billets Reports'!F1628),IF(ISNUMBER(SEARCH("Party Name-",'R.M Billets Reports'!D1628)),TRIM(MID('R.M Billets Reports'!D1628,SEARCH("-",'R.M Billets Reports'!D1628)+1,200)),""))&lt;&gt;"",IF(ISNUMBER(SEARCH("Party Name:-",'R.M Billets Reports'!D1628)),TRIM('R.M Billets Reports'!F1628),IF(ISNUMBER(SEARCH("Party Name-",'R.M Billets Reports'!D1628)),TRIM(MID('R.M Billets Reports'!D1628,SEARCH("-",'R.M Billets Reports'!D1628)+1,200)),"")),IF(ISNUMBER(SEARCH("Party Name:-",'R.M Billets Reports'!D1629)),TRIM('R.M Billets Reports'!F1629),IF(ISNUMBER(SEARCH("Party Name-",'R.M Billets Reports'!D1629)),TRIM(MID('R.M Billets Reports'!D1629,SEARCH("-",'R.M Billets Reports'!D1629)+1,200)),"")))="VRKP ISPAT PVT LTD","VRKP",IF(IF(IF(ISNUMBER(SEARCH("Party Name:-",'R.M Billets Reports'!D1628)),TRIM('R.M Billets Reports'!F1628),IF(ISNUMBER(SEARCH("Party Name-",'R.M Billets Reports'!D1628)),TRIM(MID('R.M Billets Reports'!D1628,SEARCH("-",'R.M Billets Reports'!D1628)+1,200)),""))&lt;&gt;"",IF(ISNUMBER(SEARCH("Party Name:-",'R.M Billets Reports'!D1628)),TRIM('R.M Billets Reports'!F1628),IF(ISNUMBER(SEARCH("Party Name-",'R.M Billets Reports'!D1628)),TRIM(MID('R.M Billets Reports'!D1628,SEARCH("-",'R.M Billets Reports'!D1628)+1,200)),"")),IF(ISNUMBER(SEARCH("Party Name:-",'R.M Billets Reports'!D1629)),TRIM('R.M Billets Reports'!F1629),IF(ISNUMBER(SEARCH("Party Name-",'R.M Billets Reports'!D1629)),TRIM(MID('R.M Billets Reports'!D1629,SEARCH("-",'R.M Billets Reports'!D1629)+1,200)),"")))="SHRI RADHE","SHREE RADHE",IF(IF(IF(ISNUMBER(SEARCH("Party Name:-",'R.M Billets Reports'!D1628)),TRIM('R.M Billets Reports'!F1628),IF(ISNUMBER(SEARCH("Party Name-",'R.M Billets Reports'!D1628)),TRIM(MID('R.M Billets Reports'!D1628,SEARCH("-",'R.M Billets Reports'!D1628)+1,200)),""))&lt;&gt;"",IF(ISNUMBER(SEARCH("Party Name:-",'R.M Billets Reports'!D1628)),TRIM('R.M Billets Reports'!F1628),IF(ISNUMBER(SEARCH("Party Name-",'R.M Billets Reports'!D1628)),TRIM(MID('R.M Billets Reports'!D1628,SEARCH("-",'R.M Billets Reports'!D1628)+1,200)),"")),IF(ISNUMBER(SEARCH("Party Name:-",'R.M Billets Reports'!D1629)),TRIM('R.M Billets Reports'!F1629),IF(ISNUMBER(SEARCH("Party Name-",'R.M Billets Reports'!D1629)),TRIM(MID('R.M Billets Reports'!D1629,SEARCH("-",'R.M Billets Reports'!D1629)+1,200)),"")))="SHREE RADHE SHAKTI SPONGE AND POWER PVT. LTD.","SHREE RADHE",IF(IF(ISNUMBER(SEARCH("Party Name:-",'R.M Billets Reports'!D1628)),TRIM('R.M Billets Reports'!F1628),IF(ISNUMBER(SEARCH("Party Name-",'R.M Billets Reports'!D1628)),TRIM(MID('R.M Billets Reports'!D1628,SEARCH("-",'R.M Billets Reports'!D1628)+1,200)),""))&lt;&gt;"",IF(ISNUMBER(SEARCH("Party Name:-",'R.M Billets Reports'!D1628)),TRIM('R.M Billets Reports'!F1628),IF(ISNUMBER(SEARCH("Party Name-",'R.M Billets Reports'!D1628)),TRIM(MID('R.M Billets Reports'!D1628,SEARCH("-",'R.M Billets Reports'!D1628)+1,200)),"")),IF(ISNUMBER(SEARCH("Party Name:-",'R.M Billets Reports'!D1629)),TRIM('R.M Billets Reports'!F1629),IF(ISNUMBER(SEARCH("Party Name-",'R.M Billets Reports'!D1629)),TRIM(MID('R.M Billets Reports'!D1629,SEARCH("-",'R.M Billets Reports'!D1629)+1,200)),"")))))),IF(ROW()=2,"",A1628))</f>
      </c>
      <c r="B1629">
        <f>IF(OR('R.M Billets Reports'!A1628="Date-",'R.M Billets Reports'!A1628="Date:-"),'R.M Billets Reports'!B1628,IF(ROW()=2,"",B1628))</f>
      </c>
      <c r="C1629">
        <f>IF('R.M Billets Reports'!A1628="V.No.",'R.M Billets Reports'!B1628,IF(ROW()=2,"",C1628))</f>
      </c>
      <c r="D1629">
        <f>IF('R.M Billets Reports'!A1628&lt;&gt;"",'R.M Billets Reports'!A1628,IF(ROW()=2,"",D1628))</f>
      </c>
      <c r="E1629">
        <f>IF('R.M Billets Reports'!B1628="","",TRIM('R.M Billets Reports'!B1628))</f>
      </c>
      <c r="F1629">
        <f>'R.M Billets Reports'!C1628</f>
      </c>
      <c r="G1629">
        <f>'R.M Billets Reports'!D1628</f>
      </c>
      <c r="H1629">
        <f>'R.M Billets Reports'!E1628</f>
      </c>
      <c r="I1629">
        <f>'R.M Billets Reports'!F1628</f>
      </c>
      <c r="J1629">
        <f>'R.M Billets Reports'!G1628</f>
      </c>
      <c r="K1629">
        <f>'R.M Billets Reports'!H1628</f>
      </c>
      <c r="L1629">
        <f>IF('R.M Billets Reports'!I1628="","",'R.M Billets Reports'!I1628)</f>
      </c>
      <c r="M1629">
        <f t="shared" si="50"/>
      </c>
      <c r="N1629">
        <f>IF('R.M Billets Reports'!J1628="","",'R.M Billets Reports'!J1628)</f>
      </c>
      <c r="O1629">
        <f t="shared" si="51"/>
      </c>
      <c r="P1629">
        <f>IF('R.M Billets Reports'!A1628="SIZE",'R.M Billets Reports'!B1628,P1628)</f>
      </c>
    </row>
    <row r="1630" spans="1:16" x14ac:dyDescent="0.25">
      <c r="A1630">
        <f>IF(OR('R.M Billets Reports'!A1629="Date-",'R.M Billets Reports'!A1629="Date:-"),IF(IF(IF(ISNUMBER(SEARCH("Party Name:-",'R.M Billets Reports'!D1629)),TRIM('R.M Billets Reports'!F1629),IF(ISNUMBER(SEARCH("Party Name-",'R.M Billets Reports'!D1629)),TRIM(MID('R.M Billets Reports'!D1629,SEARCH("-",'R.M Billets Reports'!D1629)+1,200)),""))&lt;&gt;"",IF(ISNUMBER(SEARCH("Party Name:-",'R.M Billets Reports'!D1629)),TRIM('R.M Billets Reports'!F1629),IF(ISNUMBER(SEARCH("Party Name-",'R.M Billets Reports'!D1629)),TRIM(MID('R.M Billets Reports'!D1629,SEARCH("-",'R.M Billets Reports'!D1629)+1,200)),"")),IF(ISNUMBER(SEARCH("Party Name:-",'R.M Billets Reports'!D1630)),TRIM('R.M Billets Reports'!F1630),IF(ISNUMBER(SEARCH("Party Name-",'R.M Billets Reports'!D1630)),TRIM(MID('R.M Billets Reports'!D1630,SEARCH("-",'R.M Billets Reports'!D1630)+1,200)),"")))="VRKP ISPAT PVT LTD","VRKP",IF(IF(IF(ISNUMBER(SEARCH("Party Name:-",'R.M Billets Reports'!D1629)),TRIM('R.M Billets Reports'!F1629),IF(ISNUMBER(SEARCH("Party Name-",'R.M Billets Reports'!D1629)),TRIM(MID('R.M Billets Reports'!D1629,SEARCH("-",'R.M Billets Reports'!D1629)+1,200)),""))&lt;&gt;"",IF(ISNUMBER(SEARCH("Party Name:-",'R.M Billets Reports'!D1629)),TRIM('R.M Billets Reports'!F1629),IF(ISNUMBER(SEARCH("Party Name-",'R.M Billets Reports'!D1629)),TRIM(MID('R.M Billets Reports'!D1629,SEARCH("-",'R.M Billets Reports'!D1629)+1,200)),"")),IF(ISNUMBER(SEARCH("Party Name:-",'R.M Billets Reports'!D1630)),TRIM('R.M Billets Reports'!F1630),IF(ISNUMBER(SEARCH("Party Name-",'R.M Billets Reports'!D1630)),TRIM(MID('R.M Billets Reports'!D1630,SEARCH("-",'R.M Billets Reports'!D1630)+1,200)),"")))="SHRI RADHE","SHREE RADHE",IF(IF(IF(ISNUMBER(SEARCH("Party Name:-",'R.M Billets Reports'!D1629)),TRIM('R.M Billets Reports'!F1629),IF(ISNUMBER(SEARCH("Party Name-",'R.M Billets Reports'!D1629)),TRIM(MID('R.M Billets Reports'!D1629,SEARCH("-",'R.M Billets Reports'!D1629)+1,200)),""))&lt;&gt;"",IF(ISNUMBER(SEARCH("Party Name:-",'R.M Billets Reports'!D1629)),TRIM('R.M Billets Reports'!F1629),IF(ISNUMBER(SEARCH("Party Name-",'R.M Billets Reports'!D1629)),TRIM(MID('R.M Billets Reports'!D1629,SEARCH("-",'R.M Billets Reports'!D1629)+1,200)),"")),IF(ISNUMBER(SEARCH("Party Name:-",'R.M Billets Reports'!D1630)),TRIM('R.M Billets Reports'!F1630),IF(ISNUMBER(SEARCH("Party Name-",'R.M Billets Reports'!D1630)),TRIM(MID('R.M Billets Reports'!D1630,SEARCH("-",'R.M Billets Reports'!D1630)+1,200)),"")))="SHREE RADHE SHAKTI SPONGE AND POWER PVT. LTD.","SHREE RADHE",IF(IF(ISNUMBER(SEARCH("Party Name:-",'R.M Billets Reports'!D1629)),TRIM('R.M Billets Reports'!F1629),IF(ISNUMBER(SEARCH("Party Name-",'R.M Billets Reports'!D1629)),TRIM(MID('R.M Billets Reports'!D1629,SEARCH("-",'R.M Billets Reports'!D1629)+1,200)),""))&lt;&gt;"",IF(ISNUMBER(SEARCH("Party Name:-",'R.M Billets Reports'!D1629)),TRIM('R.M Billets Reports'!F1629),IF(ISNUMBER(SEARCH("Party Name-",'R.M Billets Reports'!D1629)),TRIM(MID('R.M Billets Reports'!D1629,SEARCH("-",'R.M Billets Reports'!D1629)+1,200)),"")),IF(ISNUMBER(SEARCH("Party Name:-",'R.M Billets Reports'!D1630)),TRIM('R.M Billets Reports'!F1630),IF(ISNUMBER(SEARCH("Party Name-",'R.M Billets Reports'!D1630)),TRIM(MID('R.M Billets Reports'!D1630,SEARCH("-",'R.M Billets Reports'!D1630)+1,200)),"")))))),IF(ROW()=2,"",A1629))</f>
      </c>
      <c r="B1630">
        <f>IF(OR('R.M Billets Reports'!A1629="Date-",'R.M Billets Reports'!A1629="Date:-"),'R.M Billets Reports'!B1629,IF(ROW()=2,"",B1629))</f>
      </c>
      <c r="C1630">
        <f>IF('R.M Billets Reports'!A1629="V.No.",'R.M Billets Reports'!B1629,IF(ROW()=2,"",C1629))</f>
      </c>
      <c r="D1630">
        <f>IF('R.M Billets Reports'!A1629&lt;&gt;"",'R.M Billets Reports'!A1629,IF(ROW()=2,"",D1629))</f>
      </c>
      <c r="E1630">
        <f>IF('R.M Billets Reports'!B1629="","",TRIM('R.M Billets Reports'!B1629))</f>
      </c>
      <c r="F1630">
        <f>'R.M Billets Reports'!C1629</f>
      </c>
      <c r="G1630">
        <f>'R.M Billets Reports'!D1629</f>
      </c>
      <c r="H1630">
        <f>'R.M Billets Reports'!E1629</f>
      </c>
      <c r="I1630">
        <f>'R.M Billets Reports'!F1629</f>
      </c>
      <c r="J1630">
        <f>'R.M Billets Reports'!G1629</f>
      </c>
      <c r="K1630">
        <f>'R.M Billets Reports'!H1629</f>
      </c>
      <c r="L1630">
        <f>IF('R.M Billets Reports'!I1629="","",'R.M Billets Reports'!I1629)</f>
      </c>
      <c r="M1630">
        <f t="shared" si="50"/>
      </c>
      <c r="N1630">
        <f>IF('R.M Billets Reports'!J1629="","",'R.M Billets Reports'!J1629)</f>
      </c>
      <c r="O1630">
        <f t="shared" si="51"/>
      </c>
      <c r="P1630">
        <f>IF('R.M Billets Reports'!A1629="SIZE",'R.M Billets Reports'!B1629,P1629)</f>
      </c>
    </row>
    <row r="1631" spans="1:16" x14ac:dyDescent="0.25">
      <c r="A1631">
        <f>IF(OR('R.M Billets Reports'!A1630="Date-",'R.M Billets Reports'!A1630="Date:-"),IF(IF(IF(ISNUMBER(SEARCH("Party Name:-",'R.M Billets Reports'!D1630)),TRIM('R.M Billets Reports'!F1630),IF(ISNUMBER(SEARCH("Party Name-",'R.M Billets Reports'!D1630)),TRIM(MID('R.M Billets Reports'!D1630,SEARCH("-",'R.M Billets Reports'!D1630)+1,200)),""))&lt;&gt;"",IF(ISNUMBER(SEARCH("Party Name:-",'R.M Billets Reports'!D1630)),TRIM('R.M Billets Reports'!F1630),IF(ISNUMBER(SEARCH("Party Name-",'R.M Billets Reports'!D1630)),TRIM(MID('R.M Billets Reports'!D1630,SEARCH("-",'R.M Billets Reports'!D1630)+1,200)),"")),IF(ISNUMBER(SEARCH("Party Name:-",'R.M Billets Reports'!D1631)),TRIM('R.M Billets Reports'!F1631),IF(ISNUMBER(SEARCH("Party Name-",'R.M Billets Reports'!D1631)),TRIM(MID('R.M Billets Reports'!D1631,SEARCH("-",'R.M Billets Reports'!D1631)+1,200)),"")))="VRKP ISPAT PVT LTD","VRKP",IF(IF(IF(ISNUMBER(SEARCH("Party Name:-",'R.M Billets Reports'!D1630)),TRIM('R.M Billets Reports'!F1630),IF(ISNUMBER(SEARCH("Party Name-",'R.M Billets Reports'!D1630)),TRIM(MID('R.M Billets Reports'!D1630,SEARCH("-",'R.M Billets Reports'!D1630)+1,200)),""))&lt;&gt;"",IF(ISNUMBER(SEARCH("Party Name:-",'R.M Billets Reports'!D1630)),TRIM('R.M Billets Reports'!F1630),IF(ISNUMBER(SEARCH("Party Name-",'R.M Billets Reports'!D1630)),TRIM(MID('R.M Billets Reports'!D1630,SEARCH("-",'R.M Billets Reports'!D1630)+1,200)),"")),IF(ISNUMBER(SEARCH("Party Name:-",'R.M Billets Reports'!D1631)),TRIM('R.M Billets Reports'!F1631),IF(ISNUMBER(SEARCH("Party Name-",'R.M Billets Reports'!D1631)),TRIM(MID('R.M Billets Reports'!D1631,SEARCH("-",'R.M Billets Reports'!D1631)+1,200)),"")))="SHRI RADHE","SHREE RADHE",IF(IF(IF(ISNUMBER(SEARCH("Party Name:-",'R.M Billets Reports'!D1630)),TRIM('R.M Billets Reports'!F1630),IF(ISNUMBER(SEARCH("Party Name-",'R.M Billets Reports'!D1630)),TRIM(MID('R.M Billets Reports'!D1630,SEARCH("-",'R.M Billets Reports'!D1630)+1,200)),""))&lt;&gt;"",IF(ISNUMBER(SEARCH("Party Name:-",'R.M Billets Reports'!D1630)),TRIM('R.M Billets Reports'!F1630),IF(ISNUMBER(SEARCH("Party Name-",'R.M Billets Reports'!D1630)),TRIM(MID('R.M Billets Reports'!D1630,SEARCH("-",'R.M Billets Reports'!D1630)+1,200)),"")),IF(ISNUMBER(SEARCH("Party Name:-",'R.M Billets Reports'!D1631)),TRIM('R.M Billets Reports'!F1631),IF(ISNUMBER(SEARCH("Party Name-",'R.M Billets Reports'!D1631)),TRIM(MID('R.M Billets Reports'!D1631,SEARCH("-",'R.M Billets Reports'!D1631)+1,200)),"")))="SHREE RADHE SHAKTI SPONGE AND POWER PVT. LTD.","SHREE RADHE",IF(IF(ISNUMBER(SEARCH("Party Name:-",'R.M Billets Reports'!D1630)),TRIM('R.M Billets Reports'!F1630),IF(ISNUMBER(SEARCH("Party Name-",'R.M Billets Reports'!D1630)),TRIM(MID('R.M Billets Reports'!D1630,SEARCH("-",'R.M Billets Reports'!D1630)+1,200)),""))&lt;&gt;"",IF(ISNUMBER(SEARCH("Party Name:-",'R.M Billets Reports'!D1630)),TRIM('R.M Billets Reports'!F1630),IF(ISNUMBER(SEARCH("Party Name-",'R.M Billets Reports'!D1630)),TRIM(MID('R.M Billets Reports'!D1630,SEARCH("-",'R.M Billets Reports'!D1630)+1,200)),"")),IF(ISNUMBER(SEARCH("Party Name:-",'R.M Billets Reports'!D1631)),TRIM('R.M Billets Reports'!F1631),IF(ISNUMBER(SEARCH("Party Name-",'R.M Billets Reports'!D1631)),TRIM(MID('R.M Billets Reports'!D1631,SEARCH("-",'R.M Billets Reports'!D1631)+1,200)),"")))))),IF(ROW()=2,"",A1630))</f>
      </c>
      <c r="B1631">
        <f>IF(OR('R.M Billets Reports'!A1630="Date-",'R.M Billets Reports'!A1630="Date:-"),'R.M Billets Reports'!B1630,IF(ROW()=2,"",B1630))</f>
      </c>
      <c r="C1631">
        <f>IF('R.M Billets Reports'!A1630="V.No.",'R.M Billets Reports'!B1630,IF(ROW()=2,"",C1630))</f>
      </c>
      <c r="D1631">
        <f>IF('R.M Billets Reports'!A1630&lt;&gt;"",'R.M Billets Reports'!A1630,IF(ROW()=2,"",D1630))</f>
      </c>
      <c r="E1631">
        <f>IF('R.M Billets Reports'!B1630="","",TRIM('R.M Billets Reports'!B1630))</f>
      </c>
      <c r="F1631">
        <f>'R.M Billets Reports'!C1630</f>
      </c>
      <c r="G1631">
        <f>'R.M Billets Reports'!D1630</f>
      </c>
      <c r="H1631">
        <f>'R.M Billets Reports'!E1630</f>
      </c>
      <c r="I1631">
        <f>'R.M Billets Reports'!F1630</f>
      </c>
      <c r="J1631">
        <f>'R.M Billets Reports'!G1630</f>
      </c>
      <c r="K1631">
        <f>'R.M Billets Reports'!H1630</f>
      </c>
      <c r="L1631">
        <f>IF('R.M Billets Reports'!I1630="","",'R.M Billets Reports'!I1630)</f>
      </c>
      <c r="M1631">
        <f t="shared" si="50"/>
      </c>
      <c r="N1631">
        <f>IF('R.M Billets Reports'!J1630="","",'R.M Billets Reports'!J1630)</f>
      </c>
      <c r="O1631">
        <f t="shared" si="51"/>
      </c>
      <c r="P1631">
        <f>IF('R.M Billets Reports'!A1630="SIZE",'R.M Billets Reports'!B1630,P1630)</f>
      </c>
    </row>
    <row r="1632" spans="1:16" x14ac:dyDescent="0.25">
      <c r="A1632">
        <f>IF(OR('R.M Billets Reports'!A1631="Date-",'R.M Billets Reports'!A1631="Date:-"),IF(IF(IF(ISNUMBER(SEARCH("Party Name:-",'R.M Billets Reports'!D1631)),TRIM('R.M Billets Reports'!F1631),IF(ISNUMBER(SEARCH("Party Name-",'R.M Billets Reports'!D1631)),TRIM(MID('R.M Billets Reports'!D1631,SEARCH("-",'R.M Billets Reports'!D1631)+1,200)),""))&lt;&gt;"",IF(ISNUMBER(SEARCH("Party Name:-",'R.M Billets Reports'!D1631)),TRIM('R.M Billets Reports'!F1631),IF(ISNUMBER(SEARCH("Party Name-",'R.M Billets Reports'!D1631)),TRIM(MID('R.M Billets Reports'!D1631,SEARCH("-",'R.M Billets Reports'!D1631)+1,200)),"")),IF(ISNUMBER(SEARCH("Party Name:-",'R.M Billets Reports'!D1632)),TRIM('R.M Billets Reports'!F1632),IF(ISNUMBER(SEARCH("Party Name-",'R.M Billets Reports'!D1632)),TRIM(MID('R.M Billets Reports'!D1632,SEARCH("-",'R.M Billets Reports'!D1632)+1,200)),"")))="VRKP ISPAT PVT LTD","VRKP",IF(IF(IF(ISNUMBER(SEARCH("Party Name:-",'R.M Billets Reports'!D1631)),TRIM('R.M Billets Reports'!F1631),IF(ISNUMBER(SEARCH("Party Name-",'R.M Billets Reports'!D1631)),TRIM(MID('R.M Billets Reports'!D1631,SEARCH("-",'R.M Billets Reports'!D1631)+1,200)),""))&lt;&gt;"",IF(ISNUMBER(SEARCH("Party Name:-",'R.M Billets Reports'!D1631)),TRIM('R.M Billets Reports'!F1631),IF(ISNUMBER(SEARCH("Party Name-",'R.M Billets Reports'!D1631)),TRIM(MID('R.M Billets Reports'!D1631,SEARCH("-",'R.M Billets Reports'!D1631)+1,200)),"")),IF(ISNUMBER(SEARCH("Party Name:-",'R.M Billets Reports'!D1632)),TRIM('R.M Billets Reports'!F1632),IF(ISNUMBER(SEARCH("Party Name-",'R.M Billets Reports'!D1632)),TRIM(MID('R.M Billets Reports'!D1632,SEARCH("-",'R.M Billets Reports'!D1632)+1,200)),"")))="SHRI RADHE","SHREE RADHE",IF(IF(IF(ISNUMBER(SEARCH("Party Name:-",'R.M Billets Reports'!D1631)),TRIM('R.M Billets Reports'!F1631),IF(ISNUMBER(SEARCH("Party Name-",'R.M Billets Reports'!D1631)),TRIM(MID('R.M Billets Reports'!D1631,SEARCH("-",'R.M Billets Reports'!D1631)+1,200)),""))&lt;&gt;"",IF(ISNUMBER(SEARCH("Party Name:-",'R.M Billets Reports'!D1631)),TRIM('R.M Billets Reports'!F1631),IF(ISNUMBER(SEARCH("Party Name-",'R.M Billets Reports'!D1631)),TRIM(MID('R.M Billets Reports'!D1631,SEARCH("-",'R.M Billets Reports'!D1631)+1,200)),"")),IF(ISNUMBER(SEARCH("Party Name:-",'R.M Billets Reports'!D1632)),TRIM('R.M Billets Reports'!F1632),IF(ISNUMBER(SEARCH("Party Name-",'R.M Billets Reports'!D1632)),TRIM(MID('R.M Billets Reports'!D1632,SEARCH("-",'R.M Billets Reports'!D1632)+1,200)),"")))="SHREE RADHE SHAKTI SPONGE AND POWER PVT. LTD.","SHREE RADHE",IF(IF(ISNUMBER(SEARCH("Party Name:-",'R.M Billets Reports'!D1631)),TRIM('R.M Billets Reports'!F1631),IF(ISNUMBER(SEARCH("Party Name-",'R.M Billets Reports'!D1631)),TRIM(MID('R.M Billets Reports'!D1631,SEARCH("-",'R.M Billets Reports'!D1631)+1,200)),""))&lt;&gt;"",IF(ISNUMBER(SEARCH("Party Name:-",'R.M Billets Reports'!D1631)),TRIM('R.M Billets Reports'!F1631),IF(ISNUMBER(SEARCH("Party Name-",'R.M Billets Reports'!D1631)),TRIM(MID('R.M Billets Reports'!D1631,SEARCH("-",'R.M Billets Reports'!D1631)+1,200)),"")),IF(ISNUMBER(SEARCH("Party Name:-",'R.M Billets Reports'!D1632)),TRIM('R.M Billets Reports'!F1632),IF(ISNUMBER(SEARCH("Party Name-",'R.M Billets Reports'!D1632)),TRIM(MID('R.M Billets Reports'!D1632,SEARCH("-",'R.M Billets Reports'!D1632)+1,200)),"")))))),IF(ROW()=2,"",A1631))</f>
      </c>
      <c r="B1632">
        <f>IF(OR('R.M Billets Reports'!A1631="Date-",'R.M Billets Reports'!A1631="Date:-"),'R.M Billets Reports'!B1631,IF(ROW()=2,"",B1631))</f>
      </c>
      <c r="C1632">
        <f>IF('R.M Billets Reports'!A1631="V.No.",'R.M Billets Reports'!B1631,IF(ROW()=2,"",C1631))</f>
      </c>
      <c r="D1632">
        <f>IF('R.M Billets Reports'!A1631&lt;&gt;"",'R.M Billets Reports'!A1631,IF(ROW()=2,"",D1631))</f>
      </c>
      <c r="E1632">
        <f>IF('R.M Billets Reports'!B1631="","",TRIM('R.M Billets Reports'!B1631))</f>
      </c>
      <c r="F1632">
        <f>'R.M Billets Reports'!C1631</f>
      </c>
      <c r="G1632">
        <f>'R.M Billets Reports'!D1631</f>
      </c>
      <c r="H1632">
        <f>'R.M Billets Reports'!E1631</f>
      </c>
      <c r="I1632">
        <f>'R.M Billets Reports'!F1631</f>
      </c>
      <c r="J1632">
        <f>'R.M Billets Reports'!G1631</f>
      </c>
      <c r="K1632">
        <f>'R.M Billets Reports'!H1631</f>
      </c>
      <c r="L1632">
        <f>IF('R.M Billets Reports'!I1631="","",'R.M Billets Reports'!I1631)</f>
      </c>
      <c r="M1632">
        <f t="shared" si="50"/>
      </c>
      <c r="N1632">
        <f>IF('R.M Billets Reports'!J1631="","",'R.M Billets Reports'!J1631)</f>
      </c>
      <c r="O1632">
        <f t="shared" si="51"/>
      </c>
      <c r="P1632">
        <f>IF('R.M Billets Reports'!A1631="SIZE",'R.M Billets Reports'!B1631,P1631)</f>
      </c>
    </row>
    <row r="1633" spans="1:16" x14ac:dyDescent="0.25">
      <c r="A1633">
        <f>IF(OR('R.M Billets Reports'!A1632="Date-",'R.M Billets Reports'!A1632="Date:-"),IF(IF(IF(ISNUMBER(SEARCH("Party Name:-",'R.M Billets Reports'!D1632)),TRIM('R.M Billets Reports'!F1632),IF(ISNUMBER(SEARCH("Party Name-",'R.M Billets Reports'!D1632)),TRIM(MID('R.M Billets Reports'!D1632,SEARCH("-",'R.M Billets Reports'!D1632)+1,200)),""))&lt;&gt;"",IF(ISNUMBER(SEARCH("Party Name:-",'R.M Billets Reports'!D1632)),TRIM('R.M Billets Reports'!F1632),IF(ISNUMBER(SEARCH("Party Name-",'R.M Billets Reports'!D1632)),TRIM(MID('R.M Billets Reports'!D1632,SEARCH("-",'R.M Billets Reports'!D1632)+1,200)),"")),IF(ISNUMBER(SEARCH("Party Name:-",'R.M Billets Reports'!D1633)),TRIM('R.M Billets Reports'!F1633),IF(ISNUMBER(SEARCH("Party Name-",'R.M Billets Reports'!D1633)),TRIM(MID('R.M Billets Reports'!D1633,SEARCH("-",'R.M Billets Reports'!D1633)+1,200)),"")))="VRKP ISPAT PVT LTD","VRKP",IF(IF(IF(ISNUMBER(SEARCH("Party Name:-",'R.M Billets Reports'!D1632)),TRIM('R.M Billets Reports'!F1632),IF(ISNUMBER(SEARCH("Party Name-",'R.M Billets Reports'!D1632)),TRIM(MID('R.M Billets Reports'!D1632,SEARCH("-",'R.M Billets Reports'!D1632)+1,200)),""))&lt;&gt;"",IF(ISNUMBER(SEARCH("Party Name:-",'R.M Billets Reports'!D1632)),TRIM('R.M Billets Reports'!F1632),IF(ISNUMBER(SEARCH("Party Name-",'R.M Billets Reports'!D1632)),TRIM(MID('R.M Billets Reports'!D1632,SEARCH("-",'R.M Billets Reports'!D1632)+1,200)),"")),IF(ISNUMBER(SEARCH("Party Name:-",'R.M Billets Reports'!D1633)),TRIM('R.M Billets Reports'!F1633),IF(ISNUMBER(SEARCH("Party Name-",'R.M Billets Reports'!D1633)),TRIM(MID('R.M Billets Reports'!D1633,SEARCH("-",'R.M Billets Reports'!D1633)+1,200)),"")))="SHRI RADHE","SHREE RADHE",IF(IF(IF(ISNUMBER(SEARCH("Party Name:-",'R.M Billets Reports'!D1632)),TRIM('R.M Billets Reports'!F1632),IF(ISNUMBER(SEARCH("Party Name-",'R.M Billets Reports'!D1632)),TRIM(MID('R.M Billets Reports'!D1632,SEARCH("-",'R.M Billets Reports'!D1632)+1,200)),""))&lt;&gt;"",IF(ISNUMBER(SEARCH("Party Name:-",'R.M Billets Reports'!D1632)),TRIM('R.M Billets Reports'!F1632),IF(ISNUMBER(SEARCH("Party Name-",'R.M Billets Reports'!D1632)),TRIM(MID('R.M Billets Reports'!D1632,SEARCH("-",'R.M Billets Reports'!D1632)+1,200)),"")),IF(ISNUMBER(SEARCH("Party Name:-",'R.M Billets Reports'!D1633)),TRIM('R.M Billets Reports'!F1633),IF(ISNUMBER(SEARCH("Party Name-",'R.M Billets Reports'!D1633)),TRIM(MID('R.M Billets Reports'!D1633,SEARCH("-",'R.M Billets Reports'!D1633)+1,200)),"")))="SHREE RADHE SHAKTI SPONGE AND POWER PVT. LTD.","SHREE RADHE",IF(IF(ISNUMBER(SEARCH("Party Name:-",'R.M Billets Reports'!D1632)),TRIM('R.M Billets Reports'!F1632),IF(ISNUMBER(SEARCH("Party Name-",'R.M Billets Reports'!D1632)),TRIM(MID('R.M Billets Reports'!D1632,SEARCH("-",'R.M Billets Reports'!D1632)+1,200)),""))&lt;&gt;"",IF(ISNUMBER(SEARCH("Party Name:-",'R.M Billets Reports'!D1632)),TRIM('R.M Billets Reports'!F1632),IF(ISNUMBER(SEARCH("Party Name-",'R.M Billets Reports'!D1632)),TRIM(MID('R.M Billets Reports'!D1632,SEARCH("-",'R.M Billets Reports'!D1632)+1,200)),"")),IF(ISNUMBER(SEARCH("Party Name:-",'R.M Billets Reports'!D1633)),TRIM('R.M Billets Reports'!F1633),IF(ISNUMBER(SEARCH("Party Name-",'R.M Billets Reports'!D1633)),TRIM(MID('R.M Billets Reports'!D1633,SEARCH("-",'R.M Billets Reports'!D1633)+1,200)),"")))))),IF(ROW()=2,"",A1632))</f>
      </c>
      <c r="B1633">
        <f>IF(OR('R.M Billets Reports'!A1632="Date-",'R.M Billets Reports'!A1632="Date:-"),'R.M Billets Reports'!B1632,IF(ROW()=2,"",B1632))</f>
      </c>
      <c r="C1633">
        <f>IF('R.M Billets Reports'!A1632="V.No.",'R.M Billets Reports'!B1632,IF(ROW()=2,"",C1632))</f>
      </c>
      <c r="D1633">
        <f>IF('R.M Billets Reports'!A1632&lt;&gt;"",'R.M Billets Reports'!A1632,IF(ROW()=2,"",D1632))</f>
      </c>
      <c r="E1633">
        <f>IF('R.M Billets Reports'!B1632="","",TRIM('R.M Billets Reports'!B1632))</f>
      </c>
      <c r="F1633">
        <f>'R.M Billets Reports'!C1632</f>
      </c>
      <c r="G1633">
        <f>'R.M Billets Reports'!D1632</f>
      </c>
      <c r="H1633">
        <f>'R.M Billets Reports'!E1632</f>
      </c>
      <c r="I1633">
        <f>'R.M Billets Reports'!F1632</f>
      </c>
      <c r="J1633">
        <f>'R.M Billets Reports'!G1632</f>
      </c>
      <c r="K1633">
        <f>'R.M Billets Reports'!H1632</f>
      </c>
      <c r="L1633">
        <f>IF('R.M Billets Reports'!I1632="","",'R.M Billets Reports'!I1632)</f>
      </c>
      <c r="M1633">
        <f t="shared" si="50"/>
      </c>
      <c r="N1633">
        <f>IF('R.M Billets Reports'!J1632="","",'R.M Billets Reports'!J1632)</f>
      </c>
      <c r="O1633">
        <f t="shared" si="51"/>
      </c>
      <c r="P1633">
        <f>IF('R.M Billets Reports'!A1632="SIZE",'R.M Billets Reports'!B1632,P1632)</f>
      </c>
    </row>
    <row r="1634" spans="1:16" x14ac:dyDescent="0.25">
      <c r="A1634">
        <f>IF(OR('R.M Billets Reports'!A1633="Date-",'R.M Billets Reports'!A1633="Date:-"),IF(IF(IF(ISNUMBER(SEARCH("Party Name:-",'R.M Billets Reports'!D1633)),TRIM('R.M Billets Reports'!F1633),IF(ISNUMBER(SEARCH("Party Name-",'R.M Billets Reports'!D1633)),TRIM(MID('R.M Billets Reports'!D1633,SEARCH("-",'R.M Billets Reports'!D1633)+1,200)),""))&lt;&gt;"",IF(ISNUMBER(SEARCH("Party Name:-",'R.M Billets Reports'!D1633)),TRIM('R.M Billets Reports'!F1633),IF(ISNUMBER(SEARCH("Party Name-",'R.M Billets Reports'!D1633)),TRIM(MID('R.M Billets Reports'!D1633,SEARCH("-",'R.M Billets Reports'!D1633)+1,200)),"")),IF(ISNUMBER(SEARCH("Party Name:-",'R.M Billets Reports'!D1634)),TRIM('R.M Billets Reports'!F1634),IF(ISNUMBER(SEARCH("Party Name-",'R.M Billets Reports'!D1634)),TRIM(MID('R.M Billets Reports'!D1634,SEARCH("-",'R.M Billets Reports'!D1634)+1,200)),"")))="VRKP ISPAT PVT LTD","VRKP",IF(IF(IF(ISNUMBER(SEARCH("Party Name:-",'R.M Billets Reports'!D1633)),TRIM('R.M Billets Reports'!F1633),IF(ISNUMBER(SEARCH("Party Name-",'R.M Billets Reports'!D1633)),TRIM(MID('R.M Billets Reports'!D1633,SEARCH("-",'R.M Billets Reports'!D1633)+1,200)),""))&lt;&gt;"",IF(ISNUMBER(SEARCH("Party Name:-",'R.M Billets Reports'!D1633)),TRIM('R.M Billets Reports'!F1633),IF(ISNUMBER(SEARCH("Party Name-",'R.M Billets Reports'!D1633)),TRIM(MID('R.M Billets Reports'!D1633,SEARCH("-",'R.M Billets Reports'!D1633)+1,200)),"")),IF(ISNUMBER(SEARCH("Party Name:-",'R.M Billets Reports'!D1634)),TRIM('R.M Billets Reports'!F1634),IF(ISNUMBER(SEARCH("Party Name-",'R.M Billets Reports'!D1634)),TRIM(MID('R.M Billets Reports'!D1634,SEARCH("-",'R.M Billets Reports'!D1634)+1,200)),"")))="SHRI RADHE","SHREE RADHE",IF(IF(IF(ISNUMBER(SEARCH("Party Name:-",'R.M Billets Reports'!D1633)),TRIM('R.M Billets Reports'!F1633),IF(ISNUMBER(SEARCH("Party Name-",'R.M Billets Reports'!D1633)),TRIM(MID('R.M Billets Reports'!D1633,SEARCH("-",'R.M Billets Reports'!D1633)+1,200)),""))&lt;&gt;"",IF(ISNUMBER(SEARCH("Party Name:-",'R.M Billets Reports'!D1633)),TRIM('R.M Billets Reports'!F1633),IF(ISNUMBER(SEARCH("Party Name-",'R.M Billets Reports'!D1633)),TRIM(MID('R.M Billets Reports'!D1633,SEARCH("-",'R.M Billets Reports'!D1633)+1,200)),"")),IF(ISNUMBER(SEARCH("Party Name:-",'R.M Billets Reports'!D1634)),TRIM('R.M Billets Reports'!F1634),IF(ISNUMBER(SEARCH("Party Name-",'R.M Billets Reports'!D1634)),TRIM(MID('R.M Billets Reports'!D1634,SEARCH("-",'R.M Billets Reports'!D1634)+1,200)),"")))="SHREE RADHE SHAKTI SPONGE AND POWER PVT. LTD.","SHREE RADHE",IF(IF(ISNUMBER(SEARCH("Party Name:-",'R.M Billets Reports'!D1633)),TRIM('R.M Billets Reports'!F1633),IF(ISNUMBER(SEARCH("Party Name-",'R.M Billets Reports'!D1633)),TRIM(MID('R.M Billets Reports'!D1633,SEARCH("-",'R.M Billets Reports'!D1633)+1,200)),""))&lt;&gt;"",IF(ISNUMBER(SEARCH("Party Name:-",'R.M Billets Reports'!D1633)),TRIM('R.M Billets Reports'!F1633),IF(ISNUMBER(SEARCH("Party Name-",'R.M Billets Reports'!D1633)),TRIM(MID('R.M Billets Reports'!D1633,SEARCH("-",'R.M Billets Reports'!D1633)+1,200)),"")),IF(ISNUMBER(SEARCH("Party Name:-",'R.M Billets Reports'!D1634)),TRIM('R.M Billets Reports'!F1634),IF(ISNUMBER(SEARCH("Party Name-",'R.M Billets Reports'!D1634)),TRIM(MID('R.M Billets Reports'!D1634,SEARCH("-",'R.M Billets Reports'!D1634)+1,200)),"")))))),IF(ROW()=2,"",A1633))</f>
      </c>
      <c r="B1634">
        <f>IF(OR('R.M Billets Reports'!A1633="Date-",'R.M Billets Reports'!A1633="Date:-"),'R.M Billets Reports'!B1633,IF(ROW()=2,"",B1633))</f>
      </c>
      <c r="C1634">
        <f>IF('R.M Billets Reports'!A1633="V.No.",'R.M Billets Reports'!B1633,IF(ROW()=2,"",C1633))</f>
      </c>
      <c r="D1634">
        <f>IF('R.M Billets Reports'!A1633&lt;&gt;"",'R.M Billets Reports'!A1633,IF(ROW()=2,"",D1633))</f>
      </c>
      <c r="E1634">
        <f>IF('R.M Billets Reports'!B1633="","",TRIM('R.M Billets Reports'!B1633))</f>
      </c>
      <c r="F1634">
        <f>'R.M Billets Reports'!C1633</f>
      </c>
      <c r="G1634">
        <f>'R.M Billets Reports'!D1633</f>
      </c>
      <c r="H1634">
        <f>'R.M Billets Reports'!E1633</f>
      </c>
      <c r="I1634">
        <f>'R.M Billets Reports'!F1633</f>
      </c>
      <c r="J1634">
        <f>'R.M Billets Reports'!G1633</f>
      </c>
      <c r="K1634">
        <f>'R.M Billets Reports'!H1633</f>
      </c>
      <c r="L1634">
        <f>IF('R.M Billets Reports'!I1633="","",'R.M Billets Reports'!I1633)</f>
      </c>
      <c r="M1634">
        <f t="shared" si="50"/>
      </c>
      <c r="N1634">
        <f>IF('R.M Billets Reports'!J1633="","",'R.M Billets Reports'!J1633)</f>
      </c>
      <c r="O1634">
        <f t="shared" si="51"/>
      </c>
      <c r="P1634">
        <f>IF('R.M Billets Reports'!A1633="SIZE",'R.M Billets Reports'!B1633,P1633)</f>
      </c>
    </row>
    <row r="1635" spans="1:16" x14ac:dyDescent="0.25">
      <c r="A1635">
        <f>IF(OR('R.M Billets Reports'!A1634="Date-",'R.M Billets Reports'!A1634="Date:-"),IF(IF(IF(ISNUMBER(SEARCH("Party Name:-",'R.M Billets Reports'!D1634)),TRIM('R.M Billets Reports'!F1634),IF(ISNUMBER(SEARCH("Party Name-",'R.M Billets Reports'!D1634)),TRIM(MID('R.M Billets Reports'!D1634,SEARCH("-",'R.M Billets Reports'!D1634)+1,200)),""))&lt;&gt;"",IF(ISNUMBER(SEARCH("Party Name:-",'R.M Billets Reports'!D1634)),TRIM('R.M Billets Reports'!F1634),IF(ISNUMBER(SEARCH("Party Name-",'R.M Billets Reports'!D1634)),TRIM(MID('R.M Billets Reports'!D1634,SEARCH("-",'R.M Billets Reports'!D1634)+1,200)),"")),IF(ISNUMBER(SEARCH("Party Name:-",'R.M Billets Reports'!D1635)),TRIM('R.M Billets Reports'!F1635),IF(ISNUMBER(SEARCH("Party Name-",'R.M Billets Reports'!D1635)),TRIM(MID('R.M Billets Reports'!D1635,SEARCH("-",'R.M Billets Reports'!D1635)+1,200)),"")))="VRKP ISPAT PVT LTD","VRKP",IF(IF(IF(ISNUMBER(SEARCH("Party Name:-",'R.M Billets Reports'!D1634)),TRIM('R.M Billets Reports'!F1634),IF(ISNUMBER(SEARCH("Party Name-",'R.M Billets Reports'!D1634)),TRIM(MID('R.M Billets Reports'!D1634,SEARCH("-",'R.M Billets Reports'!D1634)+1,200)),""))&lt;&gt;"",IF(ISNUMBER(SEARCH("Party Name:-",'R.M Billets Reports'!D1634)),TRIM('R.M Billets Reports'!F1634),IF(ISNUMBER(SEARCH("Party Name-",'R.M Billets Reports'!D1634)),TRIM(MID('R.M Billets Reports'!D1634,SEARCH("-",'R.M Billets Reports'!D1634)+1,200)),"")),IF(ISNUMBER(SEARCH("Party Name:-",'R.M Billets Reports'!D1635)),TRIM('R.M Billets Reports'!F1635),IF(ISNUMBER(SEARCH("Party Name-",'R.M Billets Reports'!D1635)),TRIM(MID('R.M Billets Reports'!D1635,SEARCH("-",'R.M Billets Reports'!D1635)+1,200)),"")))="SHRI RADHE","SHREE RADHE",IF(IF(IF(ISNUMBER(SEARCH("Party Name:-",'R.M Billets Reports'!D1634)),TRIM('R.M Billets Reports'!F1634),IF(ISNUMBER(SEARCH("Party Name-",'R.M Billets Reports'!D1634)),TRIM(MID('R.M Billets Reports'!D1634,SEARCH("-",'R.M Billets Reports'!D1634)+1,200)),""))&lt;&gt;"",IF(ISNUMBER(SEARCH("Party Name:-",'R.M Billets Reports'!D1634)),TRIM('R.M Billets Reports'!F1634),IF(ISNUMBER(SEARCH("Party Name-",'R.M Billets Reports'!D1634)),TRIM(MID('R.M Billets Reports'!D1634,SEARCH("-",'R.M Billets Reports'!D1634)+1,200)),"")),IF(ISNUMBER(SEARCH("Party Name:-",'R.M Billets Reports'!D1635)),TRIM('R.M Billets Reports'!F1635),IF(ISNUMBER(SEARCH("Party Name-",'R.M Billets Reports'!D1635)),TRIM(MID('R.M Billets Reports'!D1635,SEARCH("-",'R.M Billets Reports'!D1635)+1,200)),"")))="SHREE RADHE SHAKTI SPONGE AND POWER PVT. LTD.","SHREE RADHE",IF(IF(ISNUMBER(SEARCH("Party Name:-",'R.M Billets Reports'!D1634)),TRIM('R.M Billets Reports'!F1634),IF(ISNUMBER(SEARCH("Party Name-",'R.M Billets Reports'!D1634)),TRIM(MID('R.M Billets Reports'!D1634,SEARCH("-",'R.M Billets Reports'!D1634)+1,200)),""))&lt;&gt;"",IF(ISNUMBER(SEARCH("Party Name:-",'R.M Billets Reports'!D1634)),TRIM('R.M Billets Reports'!F1634),IF(ISNUMBER(SEARCH("Party Name-",'R.M Billets Reports'!D1634)),TRIM(MID('R.M Billets Reports'!D1634,SEARCH("-",'R.M Billets Reports'!D1634)+1,200)),"")),IF(ISNUMBER(SEARCH("Party Name:-",'R.M Billets Reports'!D1635)),TRIM('R.M Billets Reports'!F1635),IF(ISNUMBER(SEARCH("Party Name-",'R.M Billets Reports'!D1635)),TRIM(MID('R.M Billets Reports'!D1635,SEARCH("-",'R.M Billets Reports'!D1635)+1,200)),"")))))),IF(ROW()=2,"",A1634))</f>
      </c>
      <c r="B1635">
        <f>IF(OR('R.M Billets Reports'!A1634="Date-",'R.M Billets Reports'!A1634="Date:-"),'R.M Billets Reports'!B1634,IF(ROW()=2,"",B1634))</f>
      </c>
      <c r="C1635">
        <f>IF('R.M Billets Reports'!A1634="V.No.",'R.M Billets Reports'!B1634,IF(ROW()=2,"",C1634))</f>
      </c>
      <c r="D1635">
        <f>IF('R.M Billets Reports'!A1634&lt;&gt;"",'R.M Billets Reports'!A1634,IF(ROW()=2,"",D1634))</f>
      </c>
      <c r="E1635">
        <f>IF('R.M Billets Reports'!B1634="","",TRIM('R.M Billets Reports'!B1634))</f>
      </c>
      <c r="F1635">
        <f>'R.M Billets Reports'!C1634</f>
      </c>
      <c r="G1635">
        <f>'R.M Billets Reports'!D1634</f>
      </c>
      <c r="H1635">
        <f>'R.M Billets Reports'!E1634</f>
      </c>
      <c r="I1635">
        <f>'R.M Billets Reports'!F1634</f>
      </c>
      <c r="J1635">
        <f>'R.M Billets Reports'!G1634</f>
      </c>
      <c r="K1635">
        <f>'R.M Billets Reports'!H1634</f>
      </c>
      <c r="L1635">
        <f>IF('R.M Billets Reports'!I1634="","",'R.M Billets Reports'!I1634)</f>
      </c>
      <c r="M1635">
        <f t="shared" si="50"/>
      </c>
      <c r="N1635">
        <f>IF('R.M Billets Reports'!J1634="","",'R.M Billets Reports'!J1634)</f>
      </c>
      <c r="O1635">
        <f t="shared" si="51"/>
      </c>
      <c r="P1635">
        <f>IF('R.M Billets Reports'!A1634="SIZE",'R.M Billets Reports'!B1634,P1634)</f>
      </c>
    </row>
    <row r="1636" spans="1:16" x14ac:dyDescent="0.25">
      <c r="A1636">
        <f>IF(OR('R.M Billets Reports'!A1635="Date-",'R.M Billets Reports'!A1635="Date:-"),IF(IF(IF(ISNUMBER(SEARCH("Party Name:-",'R.M Billets Reports'!D1635)),TRIM('R.M Billets Reports'!F1635),IF(ISNUMBER(SEARCH("Party Name-",'R.M Billets Reports'!D1635)),TRIM(MID('R.M Billets Reports'!D1635,SEARCH("-",'R.M Billets Reports'!D1635)+1,200)),""))&lt;&gt;"",IF(ISNUMBER(SEARCH("Party Name:-",'R.M Billets Reports'!D1635)),TRIM('R.M Billets Reports'!F1635),IF(ISNUMBER(SEARCH("Party Name-",'R.M Billets Reports'!D1635)),TRIM(MID('R.M Billets Reports'!D1635,SEARCH("-",'R.M Billets Reports'!D1635)+1,200)),"")),IF(ISNUMBER(SEARCH("Party Name:-",'R.M Billets Reports'!D1636)),TRIM('R.M Billets Reports'!F1636),IF(ISNUMBER(SEARCH("Party Name-",'R.M Billets Reports'!D1636)),TRIM(MID('R.M Billets Reports'!D1636,SEARCH("-",'R.M Billets Reports'!D1636)+1,200)),"")))="VRKP ISPAT PVT LTD","VRKP",IF(IF(IF(ISNUMBER(SEARCH("Party Name:-",'R.M Billets Reports'!D1635)),TRIM('R.M Billets Reports'!F1635),IF(ISNUMBER(SEARCH("Party Name-",'R.M Billets Reports'!D1635)),TRIM(MID('R.M Billets Reports'!D1635,SEARCH("-",'R.M Billets Reports'!D1635)+1,200)),""))&lt;&gt;"",IF(ISNUMBER(SEARCH("Party Name:-",'R.M Billets Reports'!D1635)),TRIM('R.M Billets Reports'!F1635),IF(ISNUMBER(SEARCH("Party Name-",'R.M Billets Reports'!D1635)),TRIM(MID('R.M Billets Reports'!D1635,SEARCH("-",'R.M Billets Reports'!D1635)+1,200)),"")),IF(ISNUMBER(SEARCH("Party Name:-",'R.M Billets Reports'!D1636)),TRIM('R.M Billets Reports'!F1636),IF(ISNUMBER(SEARCH("Party Name-",'R.M Billets Reports'!D1636)),TRIM(MID('R.M Billets Reports'!D1636,SEARCH("-",'R.M Billets Reports'!D1636)+1,200)),"")))="SHRI RADHE","SHREE RADHE",IF(IF(IF(ISNUMBER(SEARCH("Party Name:-",'R.M Billets Reports'!D1635)),TRIM('R.M Billets Reports'!F1635),IF(ISNUMBER(SEARCH("Party Name-",'R.M Billets Reports'!D1635)),TRIM(MID('R.M Billets Reports'!D1635,SEARCH("-",'R.M Billets Reports'!D1635)+1,200)),""))&lt;&gt;"",IF(ISNUMBER(SEARCH("Party Name:-",'R.M Billets Reports'!D1635)),TRIM('R.M Billets Reports'!F1635),IF(ISNUMBER(SEARCH("Party Name-",'R.M Billets Reports'!D1635)),TRIM(MID('R.M Billets Reports'!D1635,SEARCH("-",'R.M Billets Reports'!D1635)+1,200)),"")),IF(ISNUMBER(SEARCH("Party Name:-",'R.M Billets Reports'!D1636)),TRIM('R.M Billets Reports'!F1636),IF(ISNUMBER(SEARCH("Party Name-",'R.M Billets Reports'!D1636)),TRIM(MID('R.M Billets Reports'!D1636,SEARCH("-",'R.M Billets Reports'!D1636)+1,200)),"")))="SHREE RADHE SHAKTI SPONGE AND POWER PVT. LTD.","SHREE RADHE",IF(IF(ISNUMBER(SEARCH("Party Name:-",'R.M Billets Reports'!D1635)),TRIM('R.M Billets Reports'!F1635),IF(ISNUMBER(SEARCH("Party Name-",'R.M Billets Reports'!D1635)),TRIM(MID('R.M Billets Reports'!D1635,SEARCH("-",'R.M Billets Reports'!D1635)+1,200)),""))&lt;&gt;"",IF(ISNUMBER(SEARCH("Party Name:-",'R.M Billets Reports'!D1635)),TRIM('R.M Billets Reports'!F1635),IF(ISNUMBER(SEARCH("Party Name-",'R.M Billets Reports'!D1635)),TRIM(MID('R.M Billets Reports'!D1635,SEARCH("-",'R.M Billets Reports'!D1635)+1,200)),"")),IF(ISNUMBER(SEARCH("Party Name:-",'R.M Billets Reports'!D1636)),TRIM('R.M Billets Reports'!F1636),IF(ISNUMBER(SEARCH("Party Name-",'R.M Billets Reports'!D1636)),TRIM(MID('R.M Billets Reports'!D1636,SEARCH("-",'R.M Billets Reports'!D1636)+1,200)),"")))))),IF(ROW()=2,"",A1635))</f>
      </c>
      <c r="B1636">
        <f>IF(OR('R.M Billets Reports'!A1635="Date-",'R.M Billets Reports'!A1635="Date:-"),'R.M Billets Reports'!B1635,IF(ROW()=2,"",B1635))</f>
      </c>
      <c r="C1636">
        <f>IF('R.M Billets Reports'!A1635="V.No.",'R.M Billets Reports'!B1635,IF(ROW()=2,"",C1635))</f>
      </c>
      <c r="D1636">
        <f>IF('R.M Billets Reports'!A1635&lt;&gt;"",'R.M Billets Reports'!A1635,IF(ROW()=2,"",D1635))</f>
      </c>
      <c r="E1636">
        <f>IF('R.M Billets Reports'!B1635="","",TRIM('R.M Billets Reports'!B1635))</f>
      </c>
      <c r="F1636">
        <f>'R.M Billets Reports'!C1635</f>
      </c>
      <c r="G1636">
        <f>'R.M Billets Reports'!D1635</f>
      </c>
      <c r="H1636">
        <f>'R.M Billets Reports'!E1635</f>
      </c>
      <c r="I1636">
        <f>'R.M Billets Reports'!F1635</f>
      </c>
      <c r="J1636">
        <f>'R.M Billets Reports'!G1635</f>
      </c>
      <c r="K1636">
        <f>'R.M Billets Reports'!H1635</f>
      </c>
      <c r="L1636">
        <f>IF('R.M Billets Reports'!I1635="","",'R.M Billets Reports'!I1635)</f>
      </c>
      <c r="M1636">
        <f t="shared" si="50"/>
      </c>
      <c r="N1636">
        <f>IF('R.M Billets Reports'!J1635="","",'R.M Billets Reports'!J1635)</f>
      </c>
      <c r="O1636">
        <f t="shared" si="51"/>
      </c>
      <c r="P1636">
        <f>IF('R.M Billets Reports'!A1635="SIZE",'R.M Billets Reports'!B1635,P1635)</f>
      </c>
    </row>
    <row r="1637" spans="1:16" x14ac:dyDescent="0.25">
      <c r="A1637">
        <f>IF(OR('R.M Billets Reports'!A1636="Date-",'R.M Billets Reports'!A1636="Date:-"),IF(IF(IF(ISNUMBER(SEARCH("Party Name:-",'R.M Billets Reports'!D1636)),TRIM('R.M Billets Reports'!F1636),IF(ISNUMBER(SEARCH("Party Name-",'R.M Billets Reports'!D1636)),TRIM(MID('R.M Billets Reports'!D1636,SEARCH("-",'R.M Billets Reports'!D1636)+1,200)),""))&lt;&gt;"",IF(ISNUMBER(SEARCH("Party Name:-",'R.M Billets Reports'!D1636)),TRIM('R.M Billets Reports'!F1636),IF(ISNUMBER(SEARCH("Party Name-",'R.M Billets Reports'!D1636)),TRIM(MID('R.M Billets Reports'!D1636,SEARCH("-",'R.M Billets Reports'!D1636)+1,200)),"")),IF(ISNUMBER(SEARCH("Party Name:-",'R.M Billets Reports'!D1637)),TRIM('R.M Billets Reports'!F1637),IF(ISNUMBER(SEARCH("Party Name-",'R.M Billets Reports'!D1637)),TRIM(MID('R.M Billets Reports'!D1637,SEARCH("-",'R.M Billets Reports'!D1637)+1,200)),"")))="VRKP ISPAT PVT LTD","VRKP",IF(IF(IF(ISNUMBER(SEARCH("Party Name:-",'R.M Billets Reports'!D1636)),TRIM('R.M Billets Reports'!F1636),IF(ISNUMBER(SEARCH("Party Name-",'R.M Billets Reports'!D1636)),TRIM(MID('R.M Billets Reports'!D1636,SEARCH("-",'R.M Billets Reports'!D1636)+1,200)),""))&lt;&gt;"",IF(ISNUMBER(SEARCH("Party Name:-",'R.M Billets Reports'!D1636)),TRIM('R.M Billets Reports'!F1636),IF(ISNUMBER(SEARCH("Party Name-",'R.M Billets Reports'!D1636)),TRIM(MID('R.M Billets Reports'!D1636,SEARCH("-",'R.M Billets Reports'!D1636)+1,200)),"")),IF(ISNUMBER(SEARCH("Party Name:-",'R.M Billets Reports'!D1637)),TRIM('R.M Billets Reports'!F1637),IF(ISNUMBER(SEARCH("Party Name-",'R.M Billets Reports'!D1637)),TRIM(MID('R.M Billets Reports'!D1637,SEARCH("-",'R.M Billets Reports'!D1637)+1,200)),"")))="SHRI RADHE","SHREE RADHE",IF(IF(IF(ISNUMBER(SEARCH("Party Name:-",'R.M Billets Reports'!D1636)),TRIM('R.M Billets Reports'!F1636),IF(ISNUMBER(SEARCH("Party Name-",'R.M Billets Reports'!D1636)),TRIM(MID('R.M Billets Reports'!D1636,SEARCH("-",'R.M Billets Reports'!D1636)+1,200)),""))&lt;&gt;"",IF(ISNUMBER(SEARCH("Party Name:-",'R.M Billets Reports'!D1636)),TRIM('R.M Billets Reports'!F1636),IF(ISNUMBER(SEARCH("Party Name-",'R.M Billets Reports'!D1636)),TRIM(MID('R.M Billets Reports'!D1636,SEARCH("-",'R.M Billets Reports'!D1636)+1,200)),"")),IF(ISNUMBER(SEARCH("Party Name:-",'R.M Billets Reports'!D1637)),TRIM('R.M Billets Reports'!F1637),IF(ISNUMBER(SEARCH("Party Name-",'R.M Billets Reports'!D1637)),TRIM(MID('R.M Billets Reports'!D1637,SEARCH("-",'R.M Billets Reports'!D1637)+1,200)),"")))="SHREE RADHE SHAKTI SPONGE AND POWER PVT. LTD.","SHREE RADHE",IF(IF(ISNUMBER(SEARCH("Party Name:-",'R.M Billets Reports'!D1636)),TRIM('R.M Billets Reports'!F1636),IF(ISNUMBER(SEARCH("Party Name-",'R.M Billets Reports'!D1636)),TRIM(MID('R.M Billets Reports'!D1636,SEARCH("-",'R.M Billets Reports'!D1636)+1,200)),""))&lt;&gt;"",IF(ISNUMBER(SEARCH("Party Name:-",'R.M Billets Reports'!D1636)),TRIM('R.M Billets Reports'!F1636),IF(ISNUMBER(SEARCH("Party Name-",'R.M Billets Reports'!D1636)),TRIM(MID('R.M Billets Reports'!D1636,SEARCH("-",'R.M Billets Reports'!D1636)+1,200)),"")),IF(ISNUMBER(SEARCH("Party Name:-",'R.M Billets Reports'!D1637)),TRIM('R.M Billets Reports'!F1637),IF(ISNUMBER(SEARCH("Party Name-",'R.M Billets Reports'!D1637)),TRIM(MID('R.M Billets Reports'!D1637,SEARCH("-",'R.M Billets Reports'!D1637)+1,200)),"")))))),IF(ROW()=2,"",A1636))</f>
      </c>
      <c r="B1637">
        <f>IF(OR('R.M Billets Reports'!A1636="Date-",'R.M Billets Reports'!A1636="Date:-"),'R.M Billets Reports'!B1636,IF(ROW()=2,"",B1636))</f>
      </c>
      <c r="C1637">
        <f>IF('R.M Billets Reports'!A1636="V.No.",'R.M Billets Reports'!B1636,IF(ROW()=2,"",C1636))</f>
      </c>
      <c r="D1637">
        <f>IF('R.M Billets Reports'!A1636&lt;&gt;"",'R.M Billets Reports'!A1636,IF(ROW()=2,"",D1636))</f>
      </c>
      <c r="E1637">
        <f>IF('R.M Billets Reports'!B1636="","",TRIM('R.M Billets Reports'!B1636))</f>
      </c>
      <c r="F1637">
        <f>'R.M Billets Reports'!C1636</f>
      </c>
      <c r="G1637">
        <f>'R.M Billets Reports'!D1636</f>
      </c>
      <c r="H1637">
        <f>'R.M Billets Reports'!E1636</f>
      </c>
      <c r="I1637">
        <f>'R.M Billets Reports'!F1636</f>
      </c>
      <c r="J1637">
        <f>'R.M Billets Reports'!G1636</f>
      </c>
      <c r="K1637">
        <f>'R.M Billets Reports'!H1636</f>
      </c>
      <c r="L1637">
        <f>IF('R.M Billets Reports'!I1636="","",'R.M Billets Reports'!I1636)</f>
      </c>
      <c r="M1637">
        <f t="shared" si="50"/>
      </c>
      <c r="N1637">
        <f>IF('R.M Billets Reports'!J1636="","",'R.M Billets Reports'!J1636)</f>
      </c>
      <c r="O1637">
        <f t="shared" si="51"/>
      </c>
      <c r="P1637">
        <f>IF('R.M Billets Reports'!A1636="SIZE",'R.M Billets Reports'!B1636,P1636)</f>
      </c>
    </row>
    <row r="1638" spans="1:16" x14ac:dyDescent="0.25">
      <c r="A1638">
        <f>IF(OR('R.M Billets Reports'!A1637="Date-",'R.M Billets Reports'!A1637="Date:-"),IF(IF(IF(ISNUMBER(SEARCH("Party Name:-",'R.M Billets Reports'!D1637)),TRIM('R.M Billets Reports'!F1637),IF(ISNUMBER(SEARCH("Party Name-",'R.M Billets Reports'!D1637)),TRIM(MID('R.M Billets Reports'!D1637,SEARCH("-",'R.M Billets Reports'!D1637)+1,200)),""))&lt;&gt;"",IF(ISNUMBER(SEARCH("Party Name:-",'R.M Billets Reports'!D1637)),TRIM('R.M Billets Reports'!F1637),IF(ISNUMBER(SEARCH("Party Name-",'R.M Billets Reports'!D1637)),TRIM(MID('R.M Billets Reports'!D1637,SEARCH("-",'R.M Billets Reports'!D1637)+1,200)),"")),IF(ISNUMBER(SEARCH("Party Name:-",'R.M Billets Reports'!D1638)),TRIM('R.M Billets Reports'!F1638),IF(ISNUMBER(SEARCH("Party Name-",'R.M Billets Reports'!D1638)),TRIM(MID('R.M Billets Reports'!D1638,SEARCH("-",'R.M Billets Reports'!D1638)+1,200)),"")))="VRKP ISPAT PVT LTD","VRKP",IF(IF(IF(ISNUMBER(SEARCH("Party Name:-",'R.M Billets Reports'!D1637)),TRIM('R.M Billets Reports'!F1637),IF(ISNUMBER(SEARCH("Party Name-",'R.M Billets Reports'!D1637)),TRIM(MID('R.M Billets Reports'!D1637,SEARCH("-",'R.M Billets Reports'!D1637)+1,200)),""))&lt;&gt;"",IF(ISNUMBER(SEARCH("Party Name:-",'R.M Billets Reports'!D1637)),TRIM('R.M Billets Reports'!F1637),IF(ISNUMBER(SEARCH("Party Name-",'R.M Billets Reports'!D1637)),TRIM(MID('R.M Billets Reports'!D1637,SEARCH("-",'R.M Billets Reports'!D1637)+1,200)),"")),IF(ISNUMBER(SEARCH("Party Name:-",'R.M Billets Reports'!D1638)),TRIM('R.M Billets Reports'!F1638),IF(ISNUMBER(SEARCH("Party Name-",'R.M Billets Reports'!D1638)),TRIM(MID('R.M Billets Reports'!D1638,SEARCH("-",'R.M Billets Reports'!D1638)+1,200)),"")))="SHRI RADHE","SHREE RADHE",IF(IF(IF(ISNUMBER(SEARCH("Party Name:-",'R.M Billets Reports'!D1637)),TRIM('R.M Billets Reports'!F1637),IF(ISNUMBER(SEARCH("Party Name-",'R.M Billets Reports'!D1637)),TRIM(MID('R.M Billets Reports'!D1637,SEARCH("-",'R.M Billets Reports'!D1637)+1,200)),""))&lt;&gt;"",IF(ISNUMBER(SEARCH("Party Name:-",'R.M Billets Reports'!D1637)),TRIM('R.M Billets Reports'!F1637),IF(ISNUMBER(SEARCH("Party Name-",'R.M Billets Reports'!D1637)),TRIM(MID('R.M Billets Reports'!D1637,SEARCH("-",'R.M Billets Reports'!D1637)+1,200)),"")),IF(ISNUMBER(SEARCH("Party Name:-",'R.M Billets Reports'!D1638)),TRIM('R.M Billets Reports'!F1638),IF(ISNUMBER(SEARCH("Party Name-",'R.M Billets Reports'!D1638)),TRIM(MID('R.M Billets Reports'!D1638,SEARCH("-",'R.M Billets Reports'!D1638)+1,200)),"")))="SHREE RADHE SHAKTI SPONGE AND POWER PVT. LTD.","SHREE RADHE",IF(IF(ISNUMBER(SEARCH("Party Name:-",'R.M Billets Reports'!D1637)),TRIM('R.M Billets Reports'!F1637),IF(ISNUMBER(SEARCH("Party Name-",'R.M Billets Reports'!D1637)),TRIM(MID('R.M Billets Reports'!D1637,SEARCH("-",'R.M Billets Reports'!D1637)+1,200)),""))&lt;&gt;"",IF(ISNUMBER(SEARCH("Party Name:-",'R.M Billets Reports'!D1637)),TRIM('R.M Billets Reports'!F1637),IF(ISNUMBER(SEARCH("Party Name-",'R.M Billets Reports'!D1637)),TRIM(MID('R.M Billets Reports'!D1637,SEARCH("-",'R.M Billets Reports'!D1637)+1,200)),"")),IF(ISNUMBER(SEARCH("Party Name:-",'R.M Billets Reports'!D1638)),TRIM('R.M Billets Reports'!F1638),IF(ISNUMBER(SEARCH("Party Name-",'R.M Billets Reports'!D1638)),TRIM(MID('R.M Billets Reports'!D1638,SEARCH("-",'R.M Billets Reports'!D1638)+1,200)),"")))))),IF(ROW()=2,"",A1637))</f>
      </c>
      <c r="B1638">
        <f>IF(OR('R.M Billets Reports'!A1637="Date-",'R.M Billets Reports'!A1637="Date:-"),'R.M Billets Reports'!B1637,IF(ROW()=2,"",B1637))</f>
      </c>
      <c r="C1638">
        <f>IF('R.M Billets Reports'!A1637="V.No.",'R.M Billets Reports'!B1637,IF(ROW()=2,"",C1637))</f>
      </c>
      <c r="D1638">
        <f>IF('R.M Billets Reports'!A1637&lt;&gt;"",'R.M Billets Reports'!A1637,IF(ROW()=2,"",D1637))</f>
      </c>
      <c r="E1638">
        <f>IF('R.M Billets Reports'!B1637="","",TRIM('R.M Billets Reports'!B1637))</f>
      </c>
      <c r="F1638">
        <f>'R.M Billets Reports'!C1637</f>
      </c>
      <c r="G1638">
        <f>'R.M Billets Reports'!D1637</f>
      </c>
      <c r="H1638">
        <f>'R.M Billets Reports'!E1637</f>
      </c>
      <c r="I1638">
        <f>'R.M Billets Reports'!F1637</f>
      </c>
      <c r="J1638">
        <f>'R.M Billets Reports'!G1637</f>
      </c>
      <c r="K1638">
        <f>'R.M Billets Reports'!H1637</f>
      </c>
      <c r="L1638">
        <f>IF('R.M Billets Reports'!I1637="","",'R.M Billets Reports'!I1637)</f>
      </c>
      <c r="M1638">
        <f t="shared" si="50"/>
      </c>
      <c r="N1638">
        <f>IF('R.M Billets Reports'!J1637="","",'R.M Billets Reports'!J1637)</f>
      </c>
      <c r="O1638">
        <f t="shared" si="51"/>
      </c>
      <c r="P1638">
        <f>IF('R.M Billets Reports'!A1637="SIZE",'R.M Billets Reports'!B1637,P1637)</f>
      </c>
    </row>
    <row r="1639" spans="1:16" x14ac:dyDescent="0.25">
      <c r="A1639">
        <f>IF(OR('R.M Billets Reports'!A1638="Date-",'R.M Billets Reports'!A1638="Date:-"),IF(IF(IF(ISNUMBER(SEARCH("Party Name:-",'R.M Billets Reports'!D1638)),TRIM('R.M Billets Reports'!F1638),IF(ISNUMBER(SEARCH("Party Name-",'R.M Billets Reports'!D1638)),TRIM(MID('R.M Billets Reports'!D1638,SEARCH("-",'R.M Billets Reports'!D1638)+1,200)),""))&lt;&gt;"",IF(ISNUMBER(SEARCH("Party Name:-",'R.M Billets Reports'!D1638)),TRIM('R.M Billets Reports'!F1638),IF(ISNUMBER(SEARCH("Party Name-",'R.M Billets Reports'!D1638)),TRIM(MID('R.M Billets Reports'!D1638,SEARCH("-",'R.M Billets Reports'!D1638)+1,200)),"")),IF(ISNUMBER(SEARCH("Party Name:-",'R.M Billets Reports'!D1639)),TRIM('R.M Billets Reports'!F1639),IF(ISNUMBER(SEARCH("Party Name-",'R.M Billets Reports'!D1639)),TRIM(MID('R.M Billets Reports'!D1639,SEARCH("-",'R.M Billets Reports'!D1639)+1,200)),"")))="VRKP ISPAT PVT LTD","VRKP",IF(IF(IF(ISNUMBER(SEARCH("Party Name:-",'R.M Billets Reports'!D1638)),TRIM('R.M Billets Reports'!F1638),IF(ISNUMBER(SEARCH("Party Name-",'R.M Billets Reports'!D1638)),TRIM(MID('R.M Billets Reports'!D1638,SEARCH("-",'R.M Billets Reports'!D1638)+1,200)),""))&lt;&gt;"",IF(ISNUMBER(SEARCH("Party Name:-",'R.M Billets Reports'!D1638)),TRIM('R.M Billets Reports'!F1638),IF(ISNUMBER(SEARCH("Party Name-",'R.M Billets Reports'!D1638)),TRIM(MID('R.M Billets Reports'!D1638,SEARCH("-",'R.M Billets Reports'!D1638)+1,200)),"")),IF(ISNUMBER(SEARCH("Party Name:-",'R.M Billets Reports'!D1639)),TRIM('R.M Billets Reports'!F1639),IF(ISNUMBER(SEARCH("Party Name-",'R.M Billets Reports'!D1639)),TRIM(MID('R.M Billets Reports'!D1639,SEARCH("-",'R.M Billets Reports'!D1639)+1,200)),"")))="SHRI RADHE","SHREE RADHE",IF(IF(IF(ISNUMBER(SEARCH("Party Name:-",'R.M Billets Reports'!D1638)),TRIM('R.M Billets Reports'!F1638),IF(ISNUMBER(SEARCH("Party Name-",'R.M Billets Reports'!D1638)),TRIM(MID('R.M Billets Reports'!D1638,SEARCH("-",'R.M Billets Reports'!D1638)+1,200)),""))&lt;&gt;"",IF(ISNUMBER(SEARCH("Party Name:-",'R.M Billets Reports'!D1638)),TRIM('R.M Billets Reports'!F1638),IF(ISNUMBER(SEARCH("Party Name-",'R.M Billets Reports'!D1638)),TRIM(MID('R.M Billets Reports'!D1638,SEARCH("-",'R.M Billets Reports'!D1638)+1,200)),"")),IF(ISNUMBER(SEARCH("Party Name:-",'R.M Billets Reports'!D1639)),TRIM('R.M Billets Reports'!F1639),IF(ISNUMBER(SEARCH("Party Name-",'R.M Billets Reports'!D1639)),TRIM(MID('R.M Billets Reports'!D1639,SEARCH("-",'R.M Billets Reports'!D1639)+1,200)),"")))="SHREE RADHE SHAKTI SPONGE AND POWER PVT. LTD.","SHREE RADHE",IF(IF(ISNUMBER(SEARCH("Party Name:-",'R.M Billets Reports'!D1638)),TRIM('R.M Billets Reports'!F1638),IF(ISNUMBER(SEARCH("Party Name-",'R.M Billets Reports'!D1638)),TRIM(MID('R.M Billets Reports'!D1638,SEARCH("-",'R.M Billets Reports'!D1638)+1,200)),""))&lt;&gt;"",IF(ISNUMBER(SEARCH("Party Name:-",'R.M Billets Reports'!D1638)),TRIM('R.M Billets Reports'!F1638),IF(ISNUMBER(SEARCH("Party Name-",'R.M Billets Reports'!D1638)),TRIM(MID('R.M Billets Reports'!D1638,SEARCH("-",'R.M Billets Reports'!D1638)+1,200)),"")),IF(ISNUMBER(SEARCH("Party Name:-",'R.M Billets Reports'!D1639)),TRIM('R.M Billets Reports'!F1639),IF(ISNUMBER(SEARCH("Party Name-",'R.M Billets Reports'!D1639)),TRIM(MID('R.M Billets Reports'!D1639,SEARCH("-",'R.M Billets Reports'!D1639)+1,200)),"")))))),IF(ROW()=2,"",A1638))</f>
      </c>
      <c r="B1639">
        <f>IF(OR('R.M Billets Reports'!A1638="Date-",'R.M Billets Reports'!A1638="Date:-"),'R.M Billets Reports'!B1638,IF(ROW()=2,"",B1638))</f>
      </c>
      <c r="C1639">
        <f>IF('R.M Billets Reports'!A1638="V.No.",'R.M Billets Reports'!B1638,IF(ROW()=2,"",C1638))</f>
      </c>
      <c r="D1639">
        <f>IF('R.M Billets Reports'!A1638&lt;&gt;"",'R.M Billets Reports'!A1638,IF(ROW()=2,"",D1638))</f>
      </c>
      <c r="E1639">
        <f>IF('R.M Billets Reports'!B1638="","",TRIM('R.M Billets Reports'!B1638))</f>
      </c>
      <c r="F1639">
        <f>'R.M Billets Reports'!C1638</f>
      </c>
      <c r="G1639">
        <f>'R.M Billets Reports'!D1638</f>
      </c>
      <c r="H1639">
        <f>'R.M Billets Reports'!E1638</f>
      </c>
      <c r="I1639">
        <f>'R.M Billets Reports'!F1638</f>
      </c>
      <c r="J1639">
        <f>'R.M Billets Reports'!G1638</f>
      </c>
      <c r="K1639">
        <f>'R.M Billets Reports'!H1638</f>
      </c>
      <c r="L1639">
        <f>IF('R.M Billets Reports'!I1638="","",'R.M Billets Reports'!I1638)</f>
      </c>
      <c r="M1639">
        <f t="shared" si="50"/>
      </c>
      <c r="N1639">
        <f>IF('R.M Billets Reports'!J1638="","",'R.M Billets Reports'!J1638)</f>
      </c>
      <c r="O1639">
        <f t="shared" si="51"/>
      </c>
      <c r="P1639">
        <f>IF('R.M Billets Reports'!A1638="SIZE",'R.M Billets Reports'!B1638,P1638)</f>
      </c>
    </row>
    <row r="1640" spans="1:16" x14ac:dyDescent="0.25">
      <c r="A1640">
        <f>IF(OR('R.M Billets Reports'!A1639="Date-",'R.M Billets Reports'!A1639="Date:-"),IF(IF(IF(ISNUMBER(SEARCH("Party Name:-",'R.M Billets Reports'!D1639)),TRIM('R.M Billets Reports'!F1639),IF(ISNUMBER(SEARCH("Party Name-",'R.M Billets Reports'!D1639)),TRIM(MID('R.M Billets Reports'!D1639,SEARCH("-",'R.M Billets Reports'!D1639)+1,200)),""))&lt;&gt;"",IF(ISNUMBER(SEARCH("Party Name:-",'R.M Billets Reports'!D1639)),TRIM('R.M Billets Reports'!F1639),IF(ISNUMBER(SEARCH("Party Name-",'R.M Billets Reports'!D1639)),TRIM(MID('R.M Billets Reports'!D1639,SEARCH("-",'R.M Billets Reports'!D1639)+1,200)),"")),IF(ISNUMBER(SEARCH("Party Name:-",'R.M Billets Reports'!D1640)),TRIM('R.M Billets Reports'!F1640),IF(ISNUMBER(SEARCH("Party Name-",'R.M Billets Reports'!D1640)),TRIM(MID('R.M Billets Reports'!D1640,SEARCH("-",'R.M Billets Reports'!D1640)+1,200)),"")))="VRKP ISPAT PVT LTD","VRKP",IF(IF(IF(ISNUMBER(SEARCH("Party Name:-",'R.M Billets Reports'!D1639)),TRIM('R.M Billets Reports'!F1639),IF(ISNUMBER(SEARCH("Party Name-",'R.M Billets Reports'!D1639)),TRIM(MID('R.M Billets Reports'!D1639,SEARCH("-",'R.M Billets Reports'!D1639)+1,200)),""))&lt;&gt;"",IF(ISNUMBER(SEARCH("Party Name:-",'R.M Billets Reports'!D1639)),TRIM('R.M Billets Reports'!F1639),IF(ISNUMBER(SEARCH("Party Name-",'R.M Billets Reports'!D1639)),TRIM(MID('R.M Billets Reports'!D1639,SEARCH("-",'R.M Billets Reports'!D1639)+1,200)),"")),IF(ISNUMBER(SEARCH("Party Name:-",'R.M Billets Reports'!D1640)),TRIM('R.M Billets Reports'!F1640),IF(ISNUMBER(SEARCH("Party Name-",'R.M Billets Reports'!D1640)),TRIM(MID('R.M Billets Reports'!D1640,SEARCH("-",'R.M Billets Reports'!D1640)+1,200)),"")))="SHRI RADHE","SHREE RADHE",IF(IF(IF(ISNUMBER(SEARCH("Party Name:-",'R.M Billets Reports'!D1639)),TRIM('R.M Billets Reports'!F1639),IF(ISNUMBER(SEARCH("Party Name-",'R.M Billets Reports'!D1639)),TRIM(MID('R.M Billets Reports'!D1639,SEARCH("-",'R.M Billets Reports'!D1639)+1,200)),""))&lt;&gt;"",IF(ISNUMBER(SEARCH("Party Name:-",'R.M Billets Reports'!D1639)),TRIM('R.M Billets Reports'!F1639),IF(ISNUMBER(SEARCH("Party Name-",'R.M Billets Reports'!D1639)),TRIM(MID('R.M Billets Reports'!D1639,SEARCH("-",'R.M Billets Reports'!D1639)+1,200)),"")),IF(ISNUMBER(SEARCH("Party Name:-",'R.M Billets Reports'!D1640)),TRIM('R.M Billets Reports'!F1640),IF(ISNUMBER(SEARCH("Party Name-",'R.M Billets Reports'!D1640)),TRIM(MID('R.M Billets Reports'!D1640,SEARCH("-",'R.M Billets Reports'!D1640)+1,200)),"")))="SHREE RADHE SHAKTI SPONGE AND POWER PVT. LTD.","SHREE RADHE",IF(IF(ISNUMBER(SEARCH("Party Name:-",'R.M Billets Reports'!D1639)),TRIM('R.M Billets Reports'!F1639),IF(ISNUMBER(SEARCH("Party Name-",'R.M Billets Reports'!D1639)),TRIM(MID('R.M Billets Reports'!D1639,SEARCH("-",'R.M Billets Reports'!D1639)+1,200)),""))&lt;&gt;"",IF(ISNUMBER(SEARCH("Party Name:-",'R.M Billets Reports'!D1639)),TRIM('R.M Billets Reports'!F1639),IF(ISNUMBER(SEARCH("Party Name-",'R.M Billets Reports'!D1639)),TRIM(MID('R.M Billets Reports'!D1639,SEARCH("-",'R.M Billets Reports'!D1639)+1,200)),"")),IF(ISNUMBER(SEARCH("Party Name:-",'R.M Billets Reports'!D1640)),TRIM('R.M Billets Reports'!F1640),IF(ISNUMBER(SEARCH("Party Name-",'R.M Billets Reports'!D1640)),TRIM(MID('R.M Billets Reports'!D1640,SEARCH("-",'R.M Billets Reports'!D1640)+1,200)),"")))))),IF(ROW()=2,"",A1639))</f>
      </c>
      <c r="B1640">
        <f>IF(OR('R.M Billets Reports'!A1639="Date-",'R.M Billets Reports'!A1639="Date:-"),'R.M Billets Reports'!B1639,IF(ROW()=2,"",B1639))</f>
      </c>
      <c r="C1640">
        <f>IF('R.M Billets Reports'!A1639="V.No.",'R.M Billets Reports'!B1639,IF(ROW()=2,"",C1639))</f>
      </c>
      <c r="D1640">
        <f>IF('R.M Billets Reports'!A1639&lt;&gt;"",'R.M Billets Reports'!A1639,IF(ROW()=2,"",D1639))</f>
      </c>
      <c r="E1640">
        <f>IF('R.M Billets Reports'!B1639="","",TRIM('R.M Billets Reports'!B1639))</f>
      </c>
      <c r="F1640">
        <f>'R.M Billets Reports'!C1639</f>
      </c>
      <c r="G1640">
        <f>'R.M Billets Reports'!D1639</f>
      </c>
      <c r="H1640">
        <f>'R.M Billets Reports'!E1639</f>
      </c>
      <c r="I1640">
        <f>'R.M Billets Reports'!F1639</f>
      </c>
      <c r="J1640">
        <f>'R.M Billets Reports'!G1639</f>
      </c>
      <c r="K1640">
        <f>'R.M Billets Reports'!H1639</f>
      </c>
      <c r="L1640">
        <f>IF('R.M Billets Reports'!I1639="","",'R.M Billets Reports'!I1639)</f>
      </c>
      <c r="M1640">
        <f t="shared" si="50"/>
      </c>
      <c r="N1640">
        <f>IF('R.M Billets Reports'!J1639="","",'R.M Billets Reports'!J1639)</f>
      </c>
      <c r="O1640">
        <f t="shared" si="51"/>
      </c>
      <c r="P1640">
        <f>IF('R.M Billets Reports'!A1639="SIZE",'R.M Billets Reports'!B1639,P1639)</f>
      </c>
    </row>
    <row r="1641" spans="1:16" x14ac:dyDescent="0.25">
      <c r="A1641">
        <f>IF(OR('R.M Billets Reports'!A1640="Date-",'R.M Billets Reports'!A1640="Date:-"),IF(IF(IF(ISNUMBER(SEARCH("Party Name:-",'R.M Billets Reports'!D1640)),TRIM('R.M Billets Reports'!F1640),IF(ISNUMBER(SEARCH("Party Name-",'R.M Billets Reports'!D1640)),TRIM(MID('R.M Billets Reports'!D1640,SEARCH("-",'R.M Billets Reports'!D1640)+1,200)),""))&lt;&gt;"",IF(ISNUMBER(SEARCH("Party Name:-",'R.M Billets Reports'!D1640)),TRIM('R.M Billets Reports'!F1640),IF(ISNUMBER(SEARCH("Party Name-",'R.M Billets Reports'!D1640)),TRIM(MID('R.M Billets Reports'!D1640,SEARCH("-",'R.M Billets Reports'!D1640)+1,200)),"")),IF(ISNUMBER(SEARCH("Party Name:-",'R.M Billets Reports'!D1641)),TRIM('R.M Billets Reports'!F1641),IF(ISNUMBER(SEARCH("Party Name-",'R.M Billets Reports'!D1641)),TRIM(MID('R.M Billets Reports'!D1641,SEARCH("-",'R.M Billets Reports'!D1641)+1,200)),"")))="VRKP ISPAT PVT LTD","VRKP",IF(IF(IF(ISNUMBER(SEARCH("Party Name:-",'R.M Billets Reports'!D1640)),TRIM('R.M Billets Reports'!F1640),IF(ISNUMBER(SEARCH("Party Name-",'R.M Billets Reports'!D1640)),TRIM(MID('R.M Billets Reports'!D1640,SEARCH("-",'R.M Billets Reports'!D1640)+1,200)),""))&lt;&gt;"",IF(ISNUMBER(SEARCH("Party Name:-",'R.M Billets Reports'!D1640)),TRIM('R.M Billets Reports'!F1640),IF(ISNUMBER(SEARCH("Party Name-",'R.M Billets Reports'!D1640)),TRIM(MID('R.M Billets Reports'!D1640,SEARCH("-",'R.M Billets Reports'!D1640)+1,200)),"")),IF(ISNUMBER(SEARCH("Party Name:-",'R.M Billets Reports'!D1641)),TRIM('R.M Billets Reports'!F1641),IF(ISNUMBER(SEARCH("Party Name-",'R.M Billets Reports'!D1641)),TRIM(MID('R.M Billets Reports'!D1641,SEARCH("-",'R.M Billets Reports'!D1641)+1,200)),"")))="SHRI RADHE","SHREE RADHE",IF(IF(IF(ISNUMBER(SEARCH("Party Name:-",'R.M Billets Reports'!D1640)),TRIM('R.M Billets Reports'!F1640),IF(ISNUMBER(SEARCH("Party Name-",'R.M Billets Reports'!D1640)),TRIM(MID('R.M Billets Reports'!D1640,SEARCH("-",'R.M Billets Reports'!D1640)+1,200)),""))&lt;&gt;"",IF(ISNUMBER(SEARCH("Party Name:-",'R.M Billets Reports'!D1640)),TRIM('R.M Billets Reports'!F1640),IF(ISNUMBER(SEARCH("Party Name-",'R.M Billets Reports'!D1640)),TRIM(MID('R.M Billets Reports'!D1640,SEARCH("-",'R.M Billets Reports'!D1640)+1,200)),"")),IF(ISNUMBER(SEARCH("Party Name:-",'R.M Billets Reports'!D1641)),TRIM('R.M Billets Reports'!F1641),IF(ISNUMBER(SEARCH("Party Name-",'R.M Billets Reports'!D1641)),TRIM(MID('R.M Billets Reports'!D1641,SEARCH("-",'R.M Billets Reports'!D1641)+1,200)),"")))="SHREE RADHE SHAKTI SPONGE AND POWER PVT. LTD.","SHREE RADHE",IF(IF(ISNUMBER(SEARCH("Party Name:-",'R.M Billets Reports'!D1640)),TRIM('R.M Billets Reports'!F1640),IF(ISNUMBER(SEARCH("Party Name-",'R.M Billets Reports'!D1640)),TRIM(MID('R.M Billets Reports'!D1640,SEARCH("-",'R.M Billets Reports'!D1640)+1,200)),""))&lt;&gt;"",IF(ISNUMBER(SEARCH("Party Name:-",'R.M Billets Reports'!D1640)),TRIM('R.M Billets Reports'!F1640),IF(ISNUMBER(SEARCH("Party Name-",'R.M Billets Reports'!D1640)),TRIM(MID('R.M Billets Reports'!D1640,SEARCH("-",'R.M Billets Reports'!D1640)+1,200)),"")),IF(ISNUMBER(SEARCH("Party Name:-",'R.M Billets Reports'!D1641)),TRIM('R.M Billets Reports'!F1641),IF(ISNUMBER(SEARCH("Party Name-",'R.M Billets Reports'!D1641)),TRIM(MID('R.M Billets Reports'!D1641,SEARCH("-",'R.M Billets Reports'!D1641)+1,200)),"")))))),IF(ROW()=2,"",A1640))</f>
      </c>
      <c r="B1641">
        <f>IF(OR('R.M Billets Reports'!A1640="Date-",'R.M Billets Reports'!A1640="Date:-"),'R.M Billets Reports'!B1640,IF(ROW()=2,"",B1640))</f>
      </c>
      <c r="C1641">
        <f>IF('R.M Billets Reports'!A1640="V.No.",'R.M Billets Reports'!B1640,IF(ROW()=2,"",C1640))</f>
      </c>
      <c r="D1641">
        <f>IF('R.M Billets Reports'!A1640&lt;&gt;"",'R.M Billets Reports'!A1640,IF(ROW()=2,"",D1640))</f>
      </c>
      <c r="E1641">
        <f>IF('R.M Billets Reports'!B1640="","",TRIM('R.M Billets Reports'!B1640))</f>
      </c>
      <c r="F1641">
        <f>'R.M Billets Reports'!C1640</f>
      </c>
      <c r="G1641">
        <f>'R.M Billets Reports'!D1640</f>
      </c>
      <c r="H1641">
        <f>'R.M Billets Reports'!E1640</f>
      </c>
      <c r="I1641">
        <f>'R.M Billets Reports'!F1640</f>
      </c>
      <c r="J1641">
        <f>'R.M Billets Reports'!G1640</f>
      </c>
      <c r="K1641">
        <f>'R.M Billets Reports'!H1640</f>
      </c>
      <c r="L1641">
        <f>IF('R.M Billets Reports'!I1640="","",'R.M Billets Reports'!I1640)</f>
      </c>
      <c r="M1641">
        <f t="shared" si="50"/>
      </c>
      <c r="N1641">
        <f>IF('R.M Billets Reports'!J1640="","",'R.M Billets Reports'!J1640)</f>
      </c>
      <c r="O1641">
        <f t="shared" si="51"/>
      </c>
      <c r="P1641">
        <f>IF('R.M Billets Reports'!A1640="SIZE",'R.M Billets Reports'!B1640,P1640)</f>
      </c>
    </row>
    <row r="1642" spans="1:16" x14ac:dyDescent="0.25">
      <c r="A1642">
        <f>IF(OR('R.M Billets Reports'!A1641="Date-",'R.M Billets Reports'!A1641="Date:-"),IF(IF(IF(ISNUMBER(SEARCH("Party Name:-",'R.M Billets Reports'!D1641)),TRIM('R.M Billets Reports'!F1641),IF(ISNUMBER(SEARCH("Party Name-",'R.M Billets Reports'!D1641)),TRIM(MID('R.M Billets Reports'!D1641,SEARCH("-",'R.M Billets Reports'!D1641)+1,200)),""))&lt;&gt;"",IF(ISNUMBER(SEARCH("Party Name:-",'R.M Billets Reports'!D1641)),TRIM('R.M Billets Reports'!F1641),IF(ISNUMBER(SEARCH("Party Name-",'R.M Billets Reports'!D1641)),TRIM(MID('R.M Billets Reports'!D1641,SEARCH("-",'R.M Billets Reports'!D1641)+1,200)),"")),IF(ISNUMBER(SEARCH("Party Name:-",'R.M Billets Reports'!D1642)),TRIM('R.M Billets Reports'!F1642),IF(ISNUMBER(SEARCH("Party Name-",'R.M Billets Reports'!D1642)),TRIM(MID('R.M Billets Reports'!D1642,SEARCH("-",'R.M Billets Reports'!D1642)+1,200)),"")))="VRKP ISPAT PVT LTD","VRKP",IF(IF(IF(ISNUMBER(SEARCH("Party Name:-",'R.M Billets Reports'!D1641)),TRIM('R.M Billets Reports'!F1641),IF(ISNUMBER(SEARCH("Party Name-",'R.M Billets Reports'!D1641)),TRIM(MID('R.M Billets Reports'!D1641,SEARCH("-",'R.M Billets Reports'!D1641)+1,200)),""))&lt;&gt;"",IF(ISNUMBER(SEARCH("Party Name:-",'R.M Billets Reports'!D1641)),TRIM('R.M Billets Reports'!F1641),IF(ISNUMBER(SEARCH("Party Name-",'R.M Billets Reports'!D1641)),TRIM(MID('R.M Billets Reports'!D1641,SEARCH("-",'R.M Billets Reports'!D1641)+1,200)),"")),IF(ISNUMBER(SEARCH("Party Name:-",'R.M Billets Reports'!D1642)),TRIM('R.M Billets Reports'!F1642),IF(ISNUMBER(SEARCH("Party Name-",'R.M Billets Reports'!D1642)),TRIM(MID('R.M Billets Reports'!D1642,SEARCH("-",'R.M Billets Reports'!D1642)+1,200)),"")))="SHRI RADHE","SHREE RADHE",IF(IF(IF(ISNUMBER(SEARCH("Party Name:-",'R.M Billets Reports'!D1641)),TRIM('R.M Billets Reports'!F1641),IF(ISNUMBER(SEARCH("Party Name-",'R.M Billets Reports'!D1641)),TRIM(MID('R.M Billets Reports'!D1641,SEARCH("-",'R.M Billets Reports'!D1641)+1,200)),""))&lt;&gt;"",IF(ISNUMBER(SEARCH("Party Name:-",'R.M Billets Reports'!D1641)),TRIM('R.M Billets Reports'!F1641),IF(ISNUMBER(SEARCH("Party Name-",'R.M Billets Reports'!D1641)),TRIM(MID('R.M Billets Reports'!D1641,SEARCH("-",'R.M Billets Reports'!D1641)+1,200)),"")),IF(ISNUMBER(SEARCH("Party Name:-",'R.M Billets Reports'!D1642)),TRIM('R.M Billets Reports'!F1642),IF(ISNUMBER(SEARCH("Party Name-",'R.M Billets Reports'!D1642)),TRIM(MID('R.M Billets Reports'!D1642,SEARCH("-",'R.M Billets Reports'!D1642)+1,200)),"")))="SHREE RADHE SHAKTI SPONGE AND POWER PVT. LTD.","SHREE RADHE",IF(IF(ISNUMBER(SEARCH("Party Name:-",'R.M Billets Reports'!D1641)),TRIM('R.M Billets Reports'!F1641),IF(ISNUMBER(SEARCH("Party Name-",'R.M Billets Reports'!D1641)),TRIM(MID('R.M Billets Reports'!D1641,SEARCH("-",'R.M Billets Reports'!D1641)+1,200)),""))&lt;&gt;"",IF(ISNUMBER(SEARCH("Party Name:-",'R.M Billets Reports'!D1641)),TRIM('R.M Billets Reports'!F1641),IF(ISNUMBER(SEARCH("Party Name-",'R.M Billets Reports'!D1641)),TRIM(MID('R.M Billets Reports'!D1641,SEARCH("-",'R.M Billets Reports'!D1641)+1,200)),"")),IF(ISNUMBER(SEARCH("Party Name:-",'R.M Billets Reports'!D1642)),TRIM('R.M Billets Reports'!F1642),IF(ISNUMBER(SEARCH("Party Name-",'R.M Billets Reports'!D1642)),TRIM(MID('R.M Billets Reports'!D1642,SEARCH("-",'R.M Billets Reports'!D1642)+1,200)),"")))))),IF(ROW()=2,"",A1641))</f>
      </c>
      <c r="B1642">
        <f>IF(OR('R.M Billets Reports'!A1641="Date-",'R.M Billets Reports'!A1641="Date:-"),'R.M Billets Reports'!B1641,IF(ROW()=2,"",B1641))</f>
      </c>
      <c r="C1642">
        <f>IF('R.M Billets Reports'!A1641="V.No.",'R.M Billets Reports'!B1641,IF(ROW()=2,"",C1641))</f>
      </c>
      <c r="D1642">
        <f>IF('R.M Billets Reports'!A1641&lt;&gt;"",'R.M Billets Reports'!A1641,IF(ROW()=2,"",D1641))</f>
      </c>
      <c r="E1642">
        <f>IF('R.M Billets Reports'!B1641="","",TRIM('R.M Billets Reports'!B1641))</f>
      </c>
      <c r="F1642">
        <f>'R.M Billets Reports'!C1641</f>
      </c>
      <c r="G1642">
        <f>'R.M Billets Reports'!D1641</f>
      </c>
      <c r="H1642">
        <f>'R.M Billets Reports'!E1641</f>
      </c>
      <c r="I1642">
        <f>'R.M Billets Reports'!F1641</f>
      </c>
      <c r="J1642">
        <f>'R.M Billets Reports'!G1641</f>
      </c>
      <c r="K1642">
        <f>'R.M Billets Reports'!H1641</f>
      </c>
      <c r="L1642">
        <f>IF('R.M Billets Reports'!I1641="","",'R.M Billets Reports'!I1641)</f>
      </c>
      <c r="M1642">
        <f t="shared" si="50"/>
      </c>
      <c r="N1642">
        <f>IF('R.M Billets Reports'!J1641="","",'R.M Billets Reports'!J1641)</f>
      </c>
      <c r="O1642">
        <f t="shared" si="51"/>
      </c>
      <c r="P1642">
        <f>IF('R.M Billets Reports'!A1641="SIZE",'R.M Billets Reports'!B1641,P1641)</f>
      </c>
    </row>
    <row r="1643" spans="1:16" x14ac:dyDescent="0.25">
      <c r="A1643">
        <f>IF(OR('R.M Billets Reports'!A1642="Date-",'R.M Billets Reports'!A1642="Date:-"),IF(IF(IF(ISNUMBER(SEARCH("Party Name:-",'R.M Billets Reports'!D1642)),TRIM('R.M Billets Reports'!F1642),IF(ISNUMBER(SEARCH("Party Name-",'R.M Billets Reports'!D1642)),TRIM(MID('R.M Billets Reports'!D1642,SEARCH("-",'R.M Billets Reports'!D1642)+1,200)),""))&lt;&gt;"",IF(ISNUMBER(SEARCH("Party Name:-",'R.M Billets Reports'!D1642)),TRIM('R.M Billets Reports'!F1642),IF(ISNUMBER(SEARCH("Party Name-",'R.M Billets Reports'!D1642)),TRIM(MID('R.M Billets Reports'!D1642,SEARCH("-",'R.M Billets Reports'!D1642)+1,200)),"")),IF(ISNUMBER(SEARCH("Party Name:-",'R.M Billets Reports'!D1643)),TRIM('R.M Billets Reports'!F1643),IF(ISNUMBER(SEARCH("Party Name-",'R.M Billets Reports'!D1643)),TRIM(MID('R.M Billets Reports'!D1643,SEARCH("-",'R.M Billets Reports'!D1643)+1,200)),"")))="VRKP ISPAT PVT LTD","VRKP",IF(IF(IF(ISNUMBER(SEARCH("Party Name:-",'R.M Billets Reports'!D1642)),TRIM('R.M Billets Reports'!F1642),IF(ISNUMBER(SEARCH("Party Name-",'R.M Billets Reports'!D1642)),TRIM(MID('R.M Billets Reports'!D1642,SEARCH("-",'R.M Billets Reports'!D1642)+1,200)),""))&lt;&gt;"",IF(ISNUMBER(SEARCH("Party Name:-",'R.M Billets Reports'!D1642)),TRIM('R.M Billets Reports'!F1642),IF(ISNUMBER(SEARCH("Party Name-",'R.M Billets Reports'!D1642)),TRIM(MID('R.M Billets Reports'!D1642,SEARCH("-",'R.M Billets Reports'!D1642)+1,200)),"")),IF(ISNUMBER(SEARCH("Party Name:-",'R.M Billets Reports'!D1643)),TRIM('R.M Billets Reports'!F1643),IF(ISNUMBER(SEARCH("Party Name-",'R.M Billets Reports'!D1643)),TRIM(MID('R.M Billets Reports'!D1643,SEARCH("-",'R.M Billets Reports'!D1643)+1,200)),"")))="SHRI RADHE","SHREE RADHE",IF(IF(IF(ISNUMBER(SEARCH("Party Name:-",'R.M Billets Reports'!D1642)),TRIM('R.M Billets Reports'!F1642),IF(ISNUMBER(SEARCH("Party Name-",'R.M Billets Reports'!D1642)),TRIM(MID('R.M Billets Reports'!D1642,SEARCH("-",'R.M Billets Reports'!D1642)+1,200)),""))&lt;&gt;"",IF(ISNUMBER(SEARCH("Party Name:-",'R.M Billets Reports'!D1642)),TRIM('R.M Billets Reports'!F1642),IF(ISNUMBER(SEARCH("Party Name-",'R.M Billets Reports'!D1642)),TRIM(MID('R.M Billets Reports'!D1642,SEARCH("-",'R.M Billets Reports'!D1642)+1,200)),"")),IF(ISNUMBER(SEARCH("Party Name:-",'R.M Billets Reports'!D1643)),TRIM('R.M Billets Reports'!F1643),IF(ISNUMBER(SEARCH("Party Name-",'R.M Billets Reports'!D1643)),TRIM(MID('R.M Billets Reports'!D1643,SEARCH("-",'R.M Billets Reports'!D1643)+1,200)),"")))="SHREE RADHE SHAKTI SPONGE AND POWER PVT. LTD.","SHREE RADHE",IF(IF(ISNUMBER(SEARCH("Party Name:-",'R.M Billets Reports'!D1642)),TRIM('R.M Billets Reports'!F1642),IF(ISNUMBER(SEARCH("Party Name-",'R.M Billets Reports'!D1642)),TRIM(MID('R.M Billets Reports'!D1642,SEARCH("-",'R.M Billets Reports'!D1642)+1,200)),""))&lt;&gt;"",IF(ISNUMBER(SEARCH("Party Name:-",'R.M Billets Reports'!D1642)),TRIM('R.M Billets Reports'!F1642),IF(ISNUMBER(SEARCH("Party Name-",'R.M Billets Reports'!D1642)),TRIM(MID('R.M Billets Reports'!D1642,SEARCH("-",'R.M Billets Reports'!D1642)+1,200)),"")),IF(ISNUMBER(SEARCH("Party Name:-",'R.M Billets Reports'!D1643)),TRIM('R.M Billets Reports'!F1643),IF(ISNUMBER(SEARCH("Party Name-",'R.M Billets Reports'!D1643)),TRIM(MID('R.M Billets Reports'!D1643,SEARCH("-",'R.M Billets Reports'!D1643)+1,200)),"")))))),IF(ROW()=2,"",A1642))</f>
      </c>
      <c r="B1643">
        <f>IF(OR('R.M Billets Reports'!A1642="Date-",'R.M Billets Reports'!A1642="Date:-"),'R.M Billets Reports'!B1642,IF(ROW()=2,"",B1642))</f>
      </c>
      <c r="C1643">
        <f>IF('R.M Billets Reports'!A1642="V.No.",'R.M Billets Reports'!B1642,IF(ROW()=2,"",C1642))</f>
      </c>
      <c r="D1643">
        <f>IF('R.M Billets Reports'!A1642&lt;&gt;"",'R.M Billets Reports'!A1642,IF(ROW()=2,"",D1642))</f>
      </c>
      <c r="E1643">
        <f>IF('R.M Billets Reports'!B1642="","",TRIM('R.M Billets Reports'!B1642))</f>
      </c>
      <c r="F1643">
        <f>'R.M Billets Reports'!C1642</f>
      </c>
      <c r="G1643">
        <f>'R.M Billets Reports'!D1642</f>
      </c>
      <c r="H1643">
        <f>'R.M Billets Reports'!E1642</f>
      </c>
      <c r="I1643">
        <f>'R.M Billets Reports'!F1642</f>
      </c>
      <c r="J1643">
        <f>'R.M Billets Reports'!G1642</f>
      </c>
      <c r="K1643">
        <f>'R.M Billets Reports'!H1642</f>
      </c>
      <c r="L1643">
        <f>IF('R.M Billets Reports'!I1642="","",'R.M Billets Reports'!I1642)</f>
      </c>
      <c r="M1643">
        <f t="shared" si="50"/>
      </c>
      <c r="N1643">
        <f>IF('R.M Billets Reports'!J1642="","",'R.M Billets Reports'!J1642)</f>
      </c>
      <c r="O1643">
        <f t="shared" si="51"/>
      </c>
      <c r="P1643">
        <f>IF('R.M Billets Reports'!A1642="SIZE",'R.M Billets Reports'!B1642,P1642)</f>
      </c>
    </row>
    <row r="1644" spans="1:16" x14ac:dyDescent="0.25">
      <c r="A1644">
        <f>IF(OR('R.M Billets Reports'!A1643="Date-",'R.M Billets Reports'!A1643="Date:-"),IF(IF(IF(ISNUMBER(SEARCH("Party Name:-",'R.M Billets Reports'!D1643)),TRIM('R.M Billets Reports'!F1643),IF(ISNUMBER(SEARCH("Party Name-",'R.M Billets Reports'!D1643)),TRIM(MID('R.M Billets Reports'!D1643,SEARCH("-",'R.M Billets Reports'!D1643)+1,200)),""))&lt;&gt;"",IF(ISNUMBER(SEARCH("Party Name:-",'R.M Billets Reports'!D1643)),TRIM('R.M Billets Reports'!F1643),IF(ISNUMBER(SEARCH("Party Name-",'R.M Billets Reports'!D1643)),TRIM(MID('R.M Billets Reports'!D1643,SEARCH("-",'R.M Billets Reports'!D1643)+1,200)),"")),IF(ISNUMBER(SEARCH("Party Name:-",'R.M Billets Reports'!D1644)),TRIM('R.M Billets Reports'!F1644),IF(ISNUMBER(SEARCH("Party Name-",'R.M Billets Reports'!D1644)),TRIM(MID('R.M Billets Reports'!D1644,SEARCH("-",'R.M Billets Reports'!D1644)+1,200)),"")))="VRKP ISPAT PVT LTD","VRKP",IF(IF(IF(ISNUMBER(SEARCH("Party Name:-",'R.M Billets Reports'!D1643)),TRIM('R.M Billets Reports'!F1643),IF(ISNUMBER(SEARCH("Party Name-",'R.M Billets Reports'!D1643)),TRIM(MID('R.M Billets Reports'!D1643,SEARCH("-",'R.M Billets Reports'!D1643)+1,200)),""))&lt;&gt;"",IF(ISNUMBER(SEARCH("Party Name:-",'R.M Billets Reports'!D1643)),TRIM('R.M Billets Reports'!F1643),IF(ISNUMBER(SEARCH("Party Name-",'R.M Billets Reports'!D1643)),TRIM(MID('R.M Billets Reports'!D1643,SEARCH("-",'R.M Billets Reports'!D1643)+1,200)),"")),IF(ISNUMBER(SEARCH("Party Name:-",'R.M Billets Reports'!D1644)),TRIM('R.M Billets Reports'!F1644),IF(ISNUMBER(SEARCH("Party Name-",'R.M Billets Reports'!D1644)),TRIM(MID('R.M Billets Reports'!D1644,SEARCH("-",'R.M Billets Reports'!D1644)+1,200)),"")))="SHRI RADHE","SHREE RADHE",IF(IF(IF(ISNUMBER(SEARCH("Party Name:-",'R.M Billets Reports'!D1643)),TRIM('R.M Billets Reports'!F1643),IF(ISNUMBER(SEARCH("Party Name-",'R.M Billets Reports'!D1643)),TRIM(MID('R.M Billets Reports'!D1643,SEARCH("-",'R.M Billets Reports'!D1643)+1,200)),""))&lt;&gt;"",IF(ISNUMBER(SEARCH("Party Name:-",'R.M Billets Reports'!D1643)),TRIM('R.M Billets Reports'!F1643),IF(ISNUMBER(SEARCH("Party Name-",'R.M Billets Reports'!D1643)),TRIM(MID('R.M Billets Reports'!D1643,SEARCH("-",'R.M Billets Reports'!D1643)+1,200)),"")),IF(ISNUMBER(SEARCH("Party Name:-",'R.M Billets Reports'!D1644)),TRIM('R.M Billets Reports'!F1644),IF(ISNUMBER(SEARCH("Party Name-",'R.M Billets Reports'!D1644)),TRIM(MID('R.M Billets Reports'!D1644,SEARCH("-",'R.M Billets Reports'!D1644)+1,200)),"")))="SHREE RADHE SHAKTI SPONGE AND POWER PVT. LTD.","SHREE RADHE",IF(IF(ISNUMBER(SEARCH("Party Name:-",'R.M Billets Reports'!D1643)),TRIM('R.M Billets Reports'!F1643),IF(ISNUMBER(SEARCH("Party Name-",'R.M Billets Reports'!D1643)),TRIM(MID('R.M Billets Reports'!D1643,SEARCH("-",'R.M Billets Reports'!D1643)+1,200)),""))&lt;&gt;"",IF(ISNUMBER(SEARCH("Party Name:-",'R.M Billets Reports'!D1643)),TRIM('R.M Billets Reports'!F1643),IF(ISNUMBER(SEARCH("Party Name-",'R.M Billets Reports'!D1643)),TRIM(MID('R.M Billets Reports'!D1643,SEARCH("-",'R.M Billets Reports'!D1643)+1,200)),"")),IF(ISNUMBER(SEARCH("Party Name:-",'R.M Billets Reports'!D1644)),TRIM('R.M Billets Reports'!F1644),IF(ISNUMBER(SEARCH("Party Name-",'R.M Billets Reports'!D1644)),TRIM(MID('R.M Billets Reports'!D1644,SEARCH("-",'R.M Billets Reports'!D1644)+1,200)),"")))))),IF(ROW()=2,"",A1643))</f>
      </c>
      <c r="B1644">
        <f>IF(OR('R.M Billets Reports'!A1643="Date-",'R.M Billets Reports'!A1643="Date:-"),'R.M Billets Reports'!B1643,IF(ROW()=2,"",B1643))</f>
      </c>
      <c r="C1644">
        <f>IF('R.M Billets Reports'!A1643="V.No.",'R.M Billets Reports'!B1643,IF(ROW()=2,"",C1643))</f>
      </c>
      <c r="D1644">
        <f>IF('R.M Billets Reports'!A1643&lt;&gt;"",'R.M Billets Reports'!A1643,IF(ROW()=2,"",D1643))</f>
      </c>
      <c r="E1644">
        <f>IF('R.M Billets Reports'!B1643="","",TRIM('R.M Billets Reports'!B1643))</f>
      </c>
      <c r="F1644">
        <f>'R.M Billets Reports'!C1643</f>
      </c>
      <c r="G1644">
        <f>'R.M Billets Reports'!D1643</f>
      </c>
      <c r="H1644">
        <f>'R.M Billets Reports'!E1643</f>
      </c>
      <c r="I1644">
        <f>'R.M Billets Reports'!F1643</f>
      </c>
      <c r="J1644">
        <f>'R.M Billets Reports'!G1643</f>
      </c>
      <c r="K1644">
        <f>'R.M Billets Reports'!H1643</f>
      </c>
      <c r="L1644">
        <f>IF('R.M Billets Reports'!I1643="","",'R.M Billets Reports'!I1643)</f>
      </c>
      <c r="M1644">
        <f t="shared" si="50"/>
      </c>
      <c r="N1644">
        <f>IF('R.M Billets Reports'!J1643="","",'R.M Billets Reports'!J1643)</f>
      </c>
      <c r="O1644">
        <f t="shared" si="51"/>
      </c>
      <c r="P1644">
        <f>IF('R.M Billets Reports'!A1643="SIZE",'R.M Billets Reports'!B1643,P1643)</f>
      </c>
    </row>
    <row r="1645" spans="1:16" x14ac:dyDescent="0.25">
      <c r="A1645">
        <f>IF(OR('R.M Billets Reports'!A1644="Date-",'R.M Billets Reports'!A1644="Date:-"),IF(IF(IF(ISNUMBER(SEARCH("Party Name:-",'R.M Billets Reports'!D1644)),TRIM('R.M Billets Reports'!F1644),IF(ISNUMBER(SEARCH("Party Name-",'R.M Billets Reports'!D1644)),TRIM(MID('R.M Billets Reports'!D1644,SEARCH("-",'R.M Billets Reports'!D1644)+1,200)),""))&lt;&gt;"",IF(ISNUMBER(SEARCH("Party Name:-",'R.M Billets Reports'!D1644)),TRIM('R.M Billets Reports'!F1644),IF(ISNUMBER(SEARCH("Party Name-",'R.M Billets Reports'!D1644)),TRIM(MID('R.M Billets Reports'!D1644,SEARCH("-",'R.M Billets Reports'!D1644)+1,200)),"")),IF(ISNUMBER(SEARCH("Party Name:-",'R.M Billets Reports'!D1645)),TRIM('R.M Billets Reports'!F1645),IF(ISNUMBER(SEARCH("Party Name-",'R.M Billets Reports'!D1645)),TRIM(MID('R.M Billets Reports'!D1645,SEARCH("-",'R.M Billets Reports'!D1645)+1,200)),"")))="VRKP ISPAT PVT LTD","VRKP",IF(IF(IF(ISNUMBER(SEARCH("Party Name:-",'R.M Billets Reports'!D1644)),TRIM('R.M Billets Reports'!F1644),IF(ISNUMBER(SEARCH("Party Name-",'R.M Billets Reports'!D1644)),TRIM(MID('R.M Billets Reports'!D1644,SEARCH("-",'R.M Billets Reports'!D1644)+1,200)),""))&lt;&gt;"",IF(ISNUMBER(SEARCH("Party Name:-",'R.M Billets Reports'!D1644)),TRIM('R.M Billets Reports'!F1644),IF(ISNUMBER(SEARCH("Party Name-",'R.M Billets Reports'!D1644)),TRIM(MID('R.M Billets Reports'!D1644,SEARCH("-",'R.M Billets Reports'!D1644)+1,200)),"")),IF(ISNUMBER(SEARCH("Party Name:-",'R.M Billets Reports'!D1645)),TRIM('R.M Billets Reports'!F1645),IF(ISNUMBER(SEARCH("Party Name-",'R.M Billets Reports'!D1645)),TRIM(MID('R.M Billets Reports'!D1645,SEARCH("-",'R.M Billets Reports'!D1645)+1,200)),"")))="SHRI RADHE","SHREE RADHE",IF(IF(IF(ISNUMBER(SEARCH("Party Name:-",'R.M Billets Reports'!D1644)),TRIM('R.M Billets Reports'!F1644),IF(ISNUMBER(SEARCH("Party Name-",'R.M Billets Reports'!D1644)),TRIM(MID('R.M Billets Reports'!D1644,SEARCH("-",'R.M Billets Reports'!D1644)+1,200)),""))&lt;&gt;"",IF(ISNUMBER(SEARCH("Party Name:-",'R.M Billets Reports'!D1644)),TRIM('R.M Billets Reports'!F1644),IF(ISNUMBER(SEARCH("Party Name-",'R.M Billets Reports'!D1644)),TRIM(MID('R.M Billets Reports'!D1644,SEARCH("-",'R.M Billets Reports'!D1644)+1,200)),"")),IF(ISNUMBER(SEARCH("Party Name:-",'R.M Billets Reports'!D1645)),TRIM('R.M Billets Reports'!F1645),IF(ISNUMBER(SEARCH("Party Name-",'R.M Billets Reports'!D1645)),TRIM(MID('R.M Billets Reports'!D1645,SEARCH("-",'R.M Billets Reports'!D1645)+1,200)),"")))="SHREE RADHE SHAKTI SPONGE AND POWER PVT. LTD.","SHREE RADHE",IF(IF(ISNUMBER(SEARCH("Party Name:-",'R.M Billets Reports'!D1644)),TRIM('R.M Billets Reports'!F1644),IF(ISNUMBER(SEARCH("Party Name-",'R.M Billets Reports'!D1644)),TRIM(MID('R.M Billets Reports'!D1644,SEARCH("-",'R.M Billets Reports'!D1644)+1,200)),""))&lt;&gt;"",IF(ISNUMBER(SEARCH("Party Name:-",'R.M Billets Reports'!D1644)),TRIM('R.M Billets Reports'!F1644),IF(ISNUMBER(SEARCH("Party Name-",'R.M Billets Reports'!D1644)),TRIM(MID('R.M Billets Reports'!D1644,SEARCH("-",'R.M Billets Reports'!D1644)+1,200)),"")),IF(ISNUMBER(SEARCH("Party Name:-",'R.M Billets Reports'!D1645)),TRIM('R.M Billets Reports'!F1645),IF(ISNUMBER(SEARCH("Party Name-",'R.M Billets Reports'!D1645)),TRIM(MID('R.M Billets Reports'!D1645,SEARCH("-",'R.M Billets Reports'!D1645)+1,200)),"")))))),IF(ROW()=2,"",A1644))</f>
      </c>
      <c r="B1645">
        <f>IF(OR('R.M Billets Reports'!A1644="Date-",'R.M Billets Reports'!A1644="Date:-"),'R.M Billets Reports'!B1644,IF(ROW()=2,"",B1644))</f>
      </c>
      <c r="C1645">
        <f>IF('R.M Billets Reports'!A1644="V.No.",'R.M Billets Reports'!B1644,IF(ROW()=2,"",C1644))</f>
      </c>
      <c r="D1645">
        <f>IF('R.M Billets Reports'!A1644&lt;&gt;"",'R.M Billets Reports'!A1644,IF(ROW()=2,"",D1644))</f>
      </c>
      <c r="E1645">
        <f>IF('R.M Billets Reports'!B1644="","",TRIM('R.M Billets Reports'!B1644))</f>
      </c>
      <c r="F1645">
        <f>'R.M Billets Reports'!C1644</f>
      </c>
      <c r="G1645">
        <f>'R.M Billets Reports'!D1644</f>
      </c>
      <c r="H1645">
        <f>'R.M Billets Reports'!E1644</f>
      </c>
      <c r="I1645">
        <f>'R.M Billets Reports'!F1644</f>
      </c>
      <c r="J1645">
        <f>'R.M Billets Reports'!G1644</f>
      </c>
      <c r="K1645">
        <f>'R.M Billets Reports'!H1644</f>
      </c>
      <c r="L1645">
        <f>IF('R.M Billets Reports'!I1644="","",'R.M Billets Reports'!I1644)</f>
      </c>
      <c r="M1645">
        <f t="shared" si="50"/>
      </c>
      <c r="N1645">
        <f>IF('R.M Billets Reports'!J1644="","",'R.M Billets Reports'!J1644)</f>
      </c>
      <c r="O1645">
        <f t="shared" si="51"/>
      </c>
      <c r="P1645">
        <f>IF('R.M Billets Reports'!A1644="SIZE",'R.M Billets Reports'!B1644,P1644)</f>
      </c>
    </row>
    <row r="1646" spans="1:16" x14ac:dyDescent="0.25">
      <c r="A1646">
        <f>IF(OR('R.M Billets Reports'!A1645="Date-",'R.M Billets Reports'!A1645="Date:-"),IF(IF(IF(ISNUMBER(SEARCH("Party Name:-",'R.M Billets Reports'!D1645)),TRIM('R.M Billets Reports'!F1645),IF(ISNUMBER(SEARCH("Party Name-",'R.M Billets Reports'!D1645)),TRIM(MID('R.M Billets Reports'!D1645,SEARCH("-",'R.M Billets Reports'!D1645)+1,200)),""))&lt;&gt;"",IF(ISNUMBER(SEARCH("Party Name:-",'R.M Billets Reports'!D1645)),TRIM('R.M Billets Reports'!F1645),IF(ISNUMBER(SEARCH("Party Name-",'R.M Billets Reports'!D1645)),TRIM(MID('R.M Billets Reports'!D1645,SEARCH("-",'R.M Billets Reports'!D1645)+1,200)),"")),IF(ISNUMBER(SEARCH("Party Name:-",'R.M Billets Reports'!D1646)),TRIM('R.M Billets Reports'!F1646),IF(ISNUMBER(SEARCH("Party Name-",'R.M Billets Reports'!D1646)),TRIM(MID('R.M Billets Reports'!D1646,SEARCH("-",'R.M Billets Reports'!D1646)+1,200)),"")))="VRKP ISPAT PVT LTD","VRKP",IF(IF(IF(ISNUMBER(SEARCH("Party Name:-",'R.M Billets Reports'!D1645)),TRIM('R.M Billets Reports'!F1645),IF(ISNUMBER(SEARCH("Party Name-",'R.M Billets Reports'!D1645)),TRIM(MID('R.M Billets Reports'!D1645,SEARCH("-",'R.M Billets Reports'!D1645)+1,200)),""))&lt;&gt;"",IF(ISNUMBER(SEARCH("Party Name:-",'R.M Billets Reports'!D1645)),TRIM('R.M Billets Reports'!F1645),IF(ISNUMBER(SEARCH("Party Name-",'R.M Billets Reports'!D1645)),TRIM(MID('R.M Billets Reports'!D1645,SEARCH("-",'R.M Billets Reports'!D1645)+1,200)),"")),IF(ISNUMBER(SEARCH("Party Name:-",'R.M Billets Reports'!D1646)),TRIM('R.M Billets Reports'!F1646),IF(ISNUMBER(SEARCH("Party Name-",'R.M Billets Reports'!D1646)),TRIM(MID('R.M Billets Reports'!D1646,SEARCH("-",'R.M Billets Reports'!D1646)+1,200)),"")))="SHRI RADHE","SHREE RADHE",IF(IF(IF(ISNUMBER(SEARCH("Party Name:-",'R.M Billets Reports'!D1645)),TRIM('R.M Billets Reports'!F1645),IF(ISNUMBER(SEARCH("Party Name-",'R.M Billets Reports'!D1645)),TRIM(MID('R.M Billets Reports'!D1645,SEARCH("-",'R.M Billets Reports'!D1645)+1,200)),""))&lt;&gt;"",IF(ISNUMBER(SEARCH("Party Name:-",'R.M Billets Reports'!D1645)),TRIM('R.M Billets Reports'!F1645),IF(ISNUMBER(SEARCH("Party Name-",'R.M Billets Reports'!D1645)),TRIM(MID('R.M Billets Reports'!D1645,SEARCH("-",'R.M Billets Reports'!D1645)+1,200)),"")),IF(ISNUMBER(SEARCH("Party Name:-",'R.M Billets Reports'!D1646)),TRIM('R.M Billets Reports'!F1646),IF(ISNUMBER(SEARCH("Party Name-",'R.M Billets Reports'!D1646)),TRIM(MID('R.M Billets Reports'!D1646,SEARCH("-",'R.M Billets Reports'!D1646)+1,200)),"")))="SHREE RADHE SHAKTI SPONGE AND POWER PVT. LTD.","SHREE RADHE",IF(IF(ISNUMBER(SEARCH("Party Name:-",'R.M Billets Reports'!D1645)),TRIM('R.M Billets Reports'!F1645),IF(ISNUMBER(SEARCH("Party Name-",'R.M Billets Reports'!D1645)),TRIM(MID('R.M Billets Reports'!D1645,SEARCH("-",'R.M Billets Reports'!D1645)+1,200)),""))&lt;&gt;"",IF(ISNUMBER(SEARCH("Party Name:-",'R.M Billets Reports'!D1645)),TRIM('R.M Billets Reports'!F1645),IF(ISNUMBER(SEARCH("Party Name-",'R.M Billets Reports'!D1645)),TRIM(MID('R.M Billets Reports'!D1645,SEARCH("-",'R.M Billets Reports'!D1645)+1,200)),"")),IF(ISNUMBER(SEARCH("Party Name:-",'R.M Billets Reports'!D1646)),TRIM('R.M Billets Reports'!F1646),IF(ISNUMBER(SEARCH("Party Name-",'R.M Billets Reports'!D1646)),TRIM(MID('R.M Billets Reports'!D1646,SEARCH("-",'R.M Billets Reports'!D1646)+1,200)),"")))))),IF(ROW()=2,"",A1645))</f>
      </c>
      <c r="B1646">
        <f>IF(OR('R.M Billets Reports'!A1645="Date-",'R.M Billets Reports'!A1645="Date:-"),'R.M Billets Reports'!B1645,IF(ROW()=2,"",B1645))</f>
      </c>
      <c r="C1646">
        <f>IF('R.M Billets Reports'!A1645="V.No.",'R.M Billets Reports'!B1645,IF(ROW()=2,"",C1645))</f>
      </c>
      <c r="D1646">
        <f>IF('R.M Billets Reports'!A1645&lt;&gt;"",'R.M Billets Reports'!A1645,IF(ROW()=2,"",D1645))</f>
      </c>
      <c r="E1646">
        <f>IF('R.M Billets Reports'!B1645="","",TRIM('R.M Billets Reports'!B1645))</f>
      </c>
      <c r="F1646">
        <f>'R.M Billets Reports'!C1645</f>
      </c>
      <c r="G1646">
        <f>'R.M Billets Reports'!D1645</f>
      </c>
      <c r="H1646">
        <f>'R.M Billets Reports'!E1645</f>
      </c>
      <c r="I1646">
        <f>'R.M Billets Reports'!F1645</f>
      </c>
      <c r="J1646">
        <f>'R.M Billets Reports'!G1645</f>
      </c>
      <c r="K1646">
        <f>'R.M Billets Reports'!H1645</f>
      </c>
      <c r="L1646">
        <f>IF('R.M Billets Reports'!I1645="","",'R.M Billets Reports'!I1645)</f>
      </c>
      <c r="M1646">
        <f t="shared" si="50"/>
      </c>
      <c r="N1646">
        <f>IF('R.M Billets Reports'!J1645="","",'R.M Billets Reports'!J1645)</f>
      </c>
      <c r="O1646">
        <f t="shared" si="51"/>
      </c>
      <c r="P1646">
        <f>IF('R.M Billets Reports'!A1645="SIZE",'R.M Billets Reports'!B1645,P1645)</f>
      </c>
    </row>
    <row r="1647" spans="1:16" x14ac:dyDescent="0.25">
      <c r="A1647">
        <f>IF(OR('R.M Billets Reports'!A1646="Date-",'R.M Billets Reports'!A1646="Date:-"),IF(IF(IF(ISNUMBER(SEARCH("Party Name:-",'R.M Billets Reports'!D1646)),TRIM('R.M Billets Reports'!F1646),IF(ISNUMBER(SEARCH("Party Name-",'R.M Billets Reports'!D1646)),TRIM(MID('R.M Billets Reports'!D1646,SEARCH("-",'R.M Billets Reports'!D1646)+1,200)),""))&lt;&gt;"",IF(ISNUMBER(SEARCH("Party Name:-",'R.M Billets Reports'!D1646)),TRIM('R.M Billets Reports'!F1646),IF(ISNUMBER(SEARCH("Party Name-",'R.M Billets Reports'!D1646)),TRIM(MID('R.M Billets Reports'!D1646,SEARCH("-",'R.M Billets Reports'!D1646)+1,200)),"")),IF(ISNUMBER(SEARCH("Party Name:-",'R.M Billets Reports'!D1647)),TRIM('R.M Billets Reports'!F1647),IF(ISNUMBER(SEARCH("Party Name-",'R.M Billets Reports'!D1647)),TRIM(MID('R.M Billets Reports'!D1647,SEARCH("-",'R.M Billets Reports'!D1647)+1,200)),"")))="VRKP ISPAT PVT LTD","VRKP",IF(IF(IF(ISNUMBER(SEARCH("Party Name:-",'R.M Billets Reports'!D1646)),TRIM('R.M Billets Reports'!F1646),IF(ISNUMBER(SEARCH("Party Name-",'R.M Billets Reports'!D1646)),TRIM(MID('R.M Billets Reports'!D1646,SEARCH("-",'R.M Billets Reports'!D1646)+1,200)),""))&lt;&gt;"",IF(ISNUMBER(SEARCH("Party Name:-",'R.M Billets Reports'!D1646)),TRIM('R.M Billets Reports'!F1646),IF(ISNUMBER(SEARCH("Party Name-",'R.M Billets Reports'!D1646)),TRIM(MID('R.M Billets Reports'!D1646,SEARCH("-",'R.M Billets Reports'!D1646)+1,200)),"")),IF(ISNUMBER(SEARCH("Party Name:-",'R.M Billets Reports'!D1647)),TRIM('R.M Billets Reports'!F1647),IF(ISNUMBER(SEARCH("Party Name-",'R.M Billets Reports'!D1647)),TRIM(MID('R.M Billets Reports'!D1647,SEARCH("-",'R.M Billets Reports'!D1647)+1,200)),"")))="SHRI RADHE","SHREE RADHE",IF(IF(IF(ISNUMBER(SEARCH("Party Name:-",'R.M Billets Reports'!D1646)),TRIM('R.M Billets Reports'!F1646),IF(ISNUMBER(SEARCH("Party Name-",'R.M Billets Reports'!D1646)),TRIM(MID('R.M Billets Reports'!D1646,SEARCH("-",'R.M Billets Reports'!D1646)+1,200)),""))&lt;&gt;"",IF(ISNUMBER(SEARCH("Party Name:-",'R.M Billets Reports'!D1646)),TRIM('R.M Billets Reports'!F1646),IF(ISNUMBER(SEARCH("Party Name-",'R.M Billets Reports'!D1646)),TRIM(MID('R.M Billets Reports'!D1646,SEARCH("-",'R.M Billets Reports'!D1646)+1,200)),"")),IF(ISNUMBER(SEARCH("Party Name:-",'R.M Billets Reports'!D1647)),TRIM('R.M Billets Reports'!F1647),IF(ISNUMBER(SEARCH("Party Name-",'R.M Billets Reports'!D1647)),TRIM(MID('R.M Billets Reports'!D1647,SEARCH("-",'R.M Billets Reports'!D1647)+1,200)),"")))="SHREE RADHE SHAKTI SPONGE AND POWER PVT. LTD.","SHREE RADHE",IF(IF(ISNUMBER(SEARCH("Party Name:-",'R.M Billets Reports'!D1646)),TRIM('R.M Billets Reports'!F1646),IF(ISNUMBER(SEARCH("Party Name-",'R.M Billets Reports'!D1646)),TRIM(MID('R.M Billets Reports'!D1646,SEARCH("-",'R.M Billets Reports'!D1646)+1,200)),""))&lt;&gt;"",IF(ISNUMBER(SEARCH("Party Name:-",'R.M Billets Reports'!D1646)),TRIM('R.M Billets Reports'!F1646),IF(ISNUMBER(SEARCH("Party Name-",'R.M Billets Reports'!D1646)),TRIM(MID('R.M Billets Reports'!D1646,SEARCH("-",'R.M Billets Reports'!D1646)+1,200)),"")),IF(ISNUMBER(SEARCH("Party Name:-",'R.M Billets Reports'!D1647)),TRIM('R.M Billets Reports'!F1647),IF(ISNUMBER(SEARCH("Party Name-",'R.M Billets Reports'!D1647)),TRIM(MID('R.M Billets Reports'!D1647,SEARCH("-",'R.M Billets Reports'!D1647)+1,200)),"")))))),IF(ROW()=2,"",A1646))</f>
      </c>
      <c r="B1647">
        <f>IF(OR('R.M Billets Reports'!A1646="Date-",'R.M Billets Reports'!A1646="Date:-"),'R.M Billets Reports'!B1646,IF(ROW()=2,"",B1646))</f>
      </c>
      <c r="C1647">
        <f>IF('R.M Billets Reports'!A1646="V.No.",'R.M Billets Reports'!B1646,IF(ROW()=2,"",C1646))</f>
      </c>
      <c r="D1647">
        <f>IF('R.M Billets Reports'!A1646&lt;&gt;"",'R.M Billets Reports'!A1646,IF(ROW()=2,"",D1646))</f>
      </c>
      <c r="E1647">
        <f>IF('R.M Billets Reports'!B1646="","",TRIM('R.M Billets Reports'!B1646))</f>
      </c>
      <c r="F1647">
        <f>'R.M Billets Reports'!C1646</f>
      </c>
      <c r="G1647">
        <f>'R.M Billets Reports'!D1646</f>
      </c>
      <c r="H1647">
        <f>'R.M Billets Reports'!E1646</f>
      </c>
      <c r="I1647">
        <f>'R.M Billets Reports'!F1646</f>
      </c>
      <c r="J1647">
        <f>'R.M Billets Reports'!G1646</f>
      </c>
      <c r="K1647">
        <f>'R.M Billets Reports'!H1646</f>
      </c>
      <c r="L1647">
        <f>IF('R.M Billets Reports'!I1646="","",'R.M Billets Reports'!I1646)</f>
      </c>
      <c r="M1647">
        <f t="shared" si="50"/>
      </c>
      <c r="N1647">
        <f>IF('R.M Billets Reports'!J1646="","",'R.M Billets Reports'!J1646)</f>
      </c>
      <c r="O1647">
        <f t="shared" si="51"/>
      </c>
      <c r="P1647">
        <f>IF('R.M Billets Reports'!A1646="SIZE",'R.M Billets Reports'!B1646,P1646)</f>
      </c>
    </row>
    <row r="1648" spans="1:16" x14ac:dyDescent="0.25">
      <c r="A1648">
        <f>IF(OR('R.M Billets Reports'!A1647="Date-",'R.M Billets Reports'!A1647="Date:-"),IF(IF(IF(ISNUMBER(SEARCH("Party Name:-",'R.M Billets Reports'!D1647)),TRIM('R.M Billets Reports'!F1647),IF(ISNUMBER(SEARCH("Party Name-",'R.M Billets Reports'!D1647)),TRIM(MID('R.M Billets Reports'!D1647,SEARCH("-",'R.M Billets Reports'!D1647)+1,200)),""))&lt;&gt;"",IF(ISNUMBER(SEARCH("Party Name:-",'R.M Billets Reports'!D1647)),TRIM('R.M Billets Reports'!F1647),IF(ISNUMBER(SEARCH("Party Name-",'R.M Billets Reports'!D1647)),TRIM(MID('R.M Billets Reports'!D1647,SEARCH("-",'R.M Billets Reports'!D1647)+1,200)),"")),IF(ISNUMBER(SEARCH("Party Name:-",'R.M Billets Reports'!D1648)),TRIM('R.M Billets Reports'!F1648),IF(ISNUMBER(SEARCH("Party Name-",'R.M Billets Reports'!D1648)),TRIM(MID('R.M Billets Reports'!D1648,SEARCH("-",'R.M Billets Reports'!D1648)+1,200)),"")))="VRKP ISPAT PVT LTD","VRKP",IF(IF(IF(ISNUMBER(SEARCH("Party Name:-",'R.M Billets Reports'!D1647)),TRIM('R.M Billets Reports'!F1647),IF(ISNUMBER(SEARCH("Party Name-",'R.M Billets Reports'!D1647)),TRIM(MID('R.M Billets Reports'!D1647,SEARCH("-",'R.M Billets Reports'!D1647)+1,200)),""))&lt;&gt;"",IF(ISNUMBER(SEARCH("Party Name:-",'R.M Billets Reports'!D1647)),TRIM('R.M Billets Reports'!F1647),IF(ISNUMBER(SEARCH("Party Name-",'R.M Billets Reports'!D1647)),TRIM(MID('R.M Billets Reports'!D1647,SEARCH("-",'R.M Billets Reports'!D1647)+1,200)),"")),IF(ISNUMBER(SEARCH("Party Name:-",'R.M Billets Reports'!D1648)),TRIM('R.M Billets Reports'!F1648),IF(ISNUMBER(SEARCH("Party Name-",'R.M Billets Reports'!D1648)),TRIM(MID('R.M Billets Reports'!D1648,SEARCH("-",'R.M Billets Reports'!D1648)+1,200)),"")))="SHRI RADHE","SHREE RADHE",IF(IF(IF(ISNUMBER(SEARCH("Party Name:-",'R.M Billets Reports'!D1647)),TRIM('R.M Billets Reports'!F1647),IF(ISNUMBER(SEARCH("Party Name-",'R.M Billets Reports'!D1647)),TRIM(MID('R.M Billets Reports'!D1647,SEARCH("-",'R.M Billets Reports'!D1647)+1,200)),""))&lt;&gt;"",IF(ISNUMBER(SEARCH("Party Name:-",'R.M Billets Reports'!D1647)),TRIM('R.M Billets Reports'!F1647),IF(ISNUMBER(SEARCH("Party Name-",'R.M Billets Reports'!D1647)),TRIM(MID('R.M Billets Reports'!D1647,SEARCH("-",'R.M Billets Reports'!D1647)+1,200)),"")),IF(ISNUMBER(SEARCH("Party Name:-",'R.M Billets Reports'!D1648)),TRIM('R.M Billets Reports'!F1648),IF(ISNUMBER(SEARCH("Party Name-",'R.M Billets Reports'!D1648)),TRIM(MID('R.M Billets Reports'!D1648,SEARCH("-",'R.M Billets Reports'!D1648)+1,200)),"")))="SHREE RADHE SHAKTI SPONGE AND POWER PVT. LTD.","SHREE RADHE",IF(IF(ISNUMBER(SEARCH("Party Name:-",'R.M Billets Reports'!D1647)),TRIM('R.M Billets Reports'!F1647),IF(ISNUMBER(SEARCH("Party Name-",'R.M Billets Reports'!D1647)),TRIM(MID('R.M Billets Reports'!D1647,SEARCH("-",'R.M Billets Reports'!D1647)+1,200)),""))&lt;&gt;"",IF(ISNUMBER(SEARCH("Party Name:-",'R.M Billets Reports'!D1647)),TRIM('R.M Billets Reports'!F1647),IF(ISNUMBER(SEARCH("Party Name-",'R.M Billets Reports'!D1647)),TRIM(MID('R.M Billets Reports'!D1647,SEARCH("-",'R.M Billets Reports'!D1647)+1,200)),"")),IF(ISNUMBER(SEARCH("Party Name:-",'R.M Billets Reports'!D1648)),TRIM('R.M Billets Reports'!F1648),IF(ISNUMBER(SEARCH("Party Name-",'R.M Billets Reports'!D1648)),TRIM(MID('R.M Billets Reports'!D1648,SEARCH("-",'R.M Billets Reports'!D1648)+1,200)),"")))))),IF(ROW()=2,"",A1647))</f>
      </c>
      <c r="B1648">
        <f>IF(OR('R.M Billets Reports'!A1647="Date-",'R.M Billets Reports'!A1647="Date:-"),'R.M Billets Reports'!B1647,IF(ROW()=2,"",B1647))</f>
      </c>
      <c r="C1648">
        <f>IF('R.M Billets Reports'!A1647="V.No.",'R.M Billets Reports'!B1647,IF(ROW()=2,"",C1647))</f>
      </c>
      <c r="D1648">
        <f>IF('R.M Billets Reports'!A1647&lt;&gt;"",'R.M Billets Reports'!A1647,IF(ROW()=2,"",D1647))</f>
      </c>
      <c r="E1648">
        <f>IF('R.M Billets Reports'!B1647="","",TRIM('R.M Billets Reports'!B1647))</f>
      </c>
      <c r="F1648">
        <f>'R.M Billets Reports'!C1647</f>
      </c>
      <c r="G1648">
        <f>'R.M Billets Reports'!D1647</f>
      </c>
      <c r="H1648">
        <f>'R.M Billets Reports'!E1647</f>
      </c>
      <c r="I1648">
        <f>'R.M Billets Reports'!F1647</f>
      </c>
      <c r="J1648">
        <f>'R.M Billets Reports'!G1647</f>
      </c>
      <c r="K1648">
        <f>'R.M Billets Reports'!H1647</f>
      </c>
      <c r="L1648">
        <f>IF('R.M Billets Reports'!I1647="","",'R.M Billets Reports'!I1647)</f>
      </c>
      <c r="M1648">
        <f t="shared" si="50"/>
      </c>
      <c r="N1648">
        <f>IF('R.M Billets Reports'!J1647="","",'R.M Billets Reports'!J1647)</f>
      </c>
      <c r="O1648">
        <f t="shared" si="51"/>
      </c>
      <c r="P1648">
        <f>IF('R.M Billets Reports'!A1647="SIZE",'R.M Billets Reports'!B1647,P1647)</f>
      </c>
    </row>
    <row r="1649" spans="1:16" x14ac:dyDescent="0.25">
      <c r="A1649">
        <f>IF(OR('R.M Billets Reports'!A1648="Date-",'R.M Billets Reports'!A1648="Date:-"),IF(IF(IF(ISNUMBER(SEARCH("Party Name:-",'R.M Billets Reports'!D1648)),TRIM('R.M Billets Reports'!F1648),IF(ISNUMBER(SEARCH("Party Name-",'R.M Billets Reports'!D1648)),TRIM(MID('R.M Billets Reports'!D1648,SEARCH("-",'R.M Billets Reports'!D1648)+1,200)),""))&lt;&gt;"",IF(ISNUMBER(SEARCH("Party Name:-",'R.M Billets Reports'!D1648)),TRIM('R.M Billets Reports'!F1648),IF(ISNUMBER(SEARCH("Party Name-",'R.M Billets Reports'!D1648)),TRIM(MID('R.M Billets Reports'!D1648,SEARCH("-",'R.M Billets Reports'!D1648)+1,200)),"")),IF(ISNUMBER(SEARCH("Party Name:-",'R.M Billets Reports'!D1649)),TRIM('R.M Billets Reports'!F1649),IF(ISNUMBER(SEARCH("Party Name-",'R.M Billets Reports'!D1649)),TRIM(MID('R.M Billets Reports'!D1649,SEARCH("-",'R.M Billets Reports'!D1649)+1,200)),"")))="VRKP ISPAT PVT LTD","VRKP",IF(IF(IF(ISNUMBER(SEARCH("Party Name:-",'R.M Billets Reports'!D1648)),TRIM('R.M Billets Reports'!F1648),IF(ISNUMBER(SEARCH("Party Name-",'R.M Billets Reports'!D1648)),TRIM(MID('R.M Billets Reports'!D1648,SEARCH("-",'R.M Billets Reports'!D1648)+1,200)),""))&lt;&gt;"",IF(ISNUMBER(SEARCH("Party Name:-",'R.M Billets Reports'!D1648)),TRIM('R.M Billets Reports'!F1648),IF(ISNUMBER(SEARCH("Party Name-",'R.M Billets Reports'!D1648)),TRIM(MID('R.M Billets Reports'!D1648,SEARCH("-",'R.M Billets Reports'!D1648)+1,200)),"")),IF(ISNUMBER(SEARCH("Party Name:-",'R.M Billets Reports'!D1649)),TRIM('R.M Billets Reports'!F1649),IF(ISNUMBER(SEARCH("Party Name-",'R.M Billets Reports'!D1649)),TRIM(MID('R.M Billets Reports'!D1649,SEARCH("-",'R.M Billets Reports'!D1649)+1,200)),"")))="SHRI RADHE","SHREE RADHE",IF(IF(IF(ISNUMBER(SEARCH("Party Name:-",'R.M Billets Reports'!D1648)),TRIM('R.M Billets Reports'!F1648),IF(ISNUMBER(SEARCH("Party Name-",'R.M Billets Reports'!D1648)),TRIM(MID('R.M Billets Reports'!D1648,SEARCH("-",'R.M Billets Reports'!D1648)+1,200)),""))&lt;&gt;"",IF(ISNUMBER(SEARCH("Party Name:-",'R.M Billets Reports'!D1648)),TRIM('R.M Billets Reports'!F1648),IF(ISNUMBER(SEARCH("Party Name-",'R.M Billets Reports'!D1648)),TRIM(MID('R.M Billets Reports'!D1648,SEARCH("-",'R.M Billets Reports'!D1648)+1,200)),"")),IF(ISNUMBER(SEARCH("Party Name:-",'R.M Billets Reports'!D1649)),TRIM('R.M Billets Reports'!F1649),IF(ISNUMBER(SEARCH("Party Name-",'R.M Billets Reports'!D1649)),TRIM(MID('R.M Billets Reports'!D1649,SEARCH("-",'R.M Billets Reports'!D1649)+1,200)),"")))="SHREE RADHE SHAKTI SPONGE AND POWER PVT. LTD.","SHREE RADHE",IF(IF(ISNUMBER(SEARCH("Party Name:-",'R.M Billets Reports'!D1648)),TRIM('R.M Billets Reports'!F1648),IF(ISNUMBER(SEARCH("Party Name-",'R.M Billets Reports'!D1648)),TRIM(MID('R.M Billets Reports'!D1648,SEARCH("-",'R.M Billets Reports'!D1648)+1,200)),""))&lt;&gt;"",IF(ISNUMBER(SEARCH("Party Name:-",'R.M Billets Reports'!D1648)),TRIM('R.M Billets Reports'!F1648),IF(ISNUMBER(SEARCH("Party Name-",'R.M Billets Reports'!D1648)),TRIM(MID('R.M Billets Reports'!D1648,SEARCH("-",'R.M Billets Reports'!D1648)+1,200)),"")),IF(ISNUMBER(SEARCH("Party Name:-",'R.M Billets Reports'!D1649)),TRIM('R.M Billets Reports'!F1649),IF(ISNUMBER(SEARCH("Party Name-",'R.M Billets Reports'!D1649)),TRIM(MID('R.M Billets Reports'!D1649,SEARCH("-",'R.M Billets Reports'!D1649)+1,200)),"")))))),IF(ROW()=2,"",A1648))</f>
      </c>
      <c r="B1649">
        <f>IF(OR('R.M Billets Reports'!A1648="Date-",'R.M Billets Reports'!A1648="Date:-"),'R.M Billets Reports'!B1648,IF(ROW()=2,"",B1648))</f>
      </c>
      <c r="C1649">
        <f>IF('R.M Billets Reports'!A1648="V.No.",'R.M Billets Reports'!B1648,IF(ROW()=2,"",C1648))</f>
      </c>
      <c r="D1649">
        <f>IF('R.M Billets Reports'!A1648&lt;&gt;"",'R.M Billets Reports'!A1648,IF(ROW()=2,"",D1648))</f>
      </c>
      <c r="E1649">
        <f>IF('R.M Billets Reports'!B1648="","",TRIM('R.M Billets Reports'!B1648))</f>
      </c>
      <c r="F1649">
        <f>'R.M Billets Reports'!C1648</f>
      </c>
      <c r="G1649">
        <f>'R.M Billets Reports'!D1648</f>
      </c>
      <c r="H1649">
        <f>'R.M Billets Reports'!E1648</f>
      </c>
      <c r="I1649">
        <f>'R.M Billets Reports'!F1648</f>
      </c>
      <c r="J1649">
        <f>'R.M Billets Reports'!G1648</f>
      </c>
      <c r="K1649">
        <f>'R.M Billets Reports'!H1648</f>
      </c>
      <c r="L1649">
        <f>IF('R.M Billets Reports'!I1648="","",'R.M Billets Reports'!I1648)</f>
      </c>
      <c r="M1649">
        <f t="shared" si="50"/>
      </c>
      <c r="N1649">
        <f>IF('R.M Billets Reports'!J1648="","",'R.M Billets Reports'!J1648)</f>
      </c>
      <c r="O1649">
        <f t="shared" si="51"/>
      </c>
      <c r="P1649">
        <f>IF('R.M Billets Reports'!A1648="SIZE",'R.M Billets Reports'!B1648,P1648)</f>
      </c>
    </row>
    <row r="1650" spans="1:16" x14ac:dyDescent="0.25">
      <c r="A1650">
        <f>IF(OR('R.M Billets Reports'!A1649="Date-",'R.M Billets Reports'!A1649="Date:-"),IF(IF(IF(ISNUMBER(SEARCH("Party Name:-",'R.M Billets Reports'!D1649)),TRIM('R.M Billets Reports'!F1649),IF(ISNUMBER(SEARCH("Party Name-",'R.M Billets Reports'!D1649)),TRIM(MID('R.M Billets Reports'!D1649,SEARCH("-",'R.M Billets Reports'!D1649)+1,200)),""))&lt;&gt;"",IF(ISNUMBER(SEARCH("Party Name:-",'R.M Billets Reports'!D1649)),TRIM('R.M Billets Reports'!F1649),IF(ISNUMBER(SEARCH("Party Name-",'R.M Billets Reports'!D1649)),TRIM(MID('R.M Billets Reports'!D1649,SEARCH("-",'R.M Billets Reports'!D1649)+1,200)),"")),IF(ISNUMBER(SEARCH("Party Name:-",'R.M Billets Reports'!D1650)),TRIM('R.M Billets Reports'!F1650),IF(ISNUMBER(SEARCH("Party Name-",'R.M Billets Reports'!D1650)),TRIM(MID('R.M Billets Reports'!D1650,SEARCH("-",'R.M Billets Reports'!D1650)+1,200)),"")))="VRKP ISPAT PVT LTD","VRKP",IF(IF(IF(ISNUMBER(SEARCH("Party Name:-",'R.M Billets Reports'!D1649)),TRIM('R.M Billets Reports'!F1649),IF(ISNUMBER(SEARCH("Party Name-",'R.M Billets Reports'!D1649)),TRIM(MID('R.M Billets Reports'!D1649,SEARCH("-",'R.M Billets Reports'!D1649)+1,200)),""))&lt;&gt;"",IF(ISNUMBER(SEARCH("Party Name:-",'R.M Billets Reports'!D1649)),TRIM('R.M Billets Reports'!F1649),IF(ISNUMBER(SEARCH("Party Name-",'R.M Billets Reports'!D1649)),TRIM(MID('R.M Billets Reports'!D1649,SEARCH("-",'R.M Billets Reports'!D1649)+1,200)),"")),IF(ISNUMBER(SEARCH("Party Name:-",'R.M Billets Reports'!D1650)),TRIM('R.M Billets Reports'!F1650),IF(ISNUMBER(SEARCH("Party Name-",'R.M Billets Reports'!D1650)),TRIM(MID('R.M Billets Reports'!D1650,SEARCH("-",'R.M Billets Reports'!D1650)+1,200)),"")))="SHRI RADHE","SHREE RADHE",IF(IF(IF(ISNUMBER(SEARCH("Party Name:-",'R.M Billets Reports'!D1649)),TRIM('R.M Billets Reports'!F1649),IF(ISNUMBER(SEARCH("Party Name-",'R.M Billets Reports'!D1649)),TRIM(MID('R.M Billets Reports'!D1649,SEARCH("-",'R.M Billets Reports'!D1649)+1,200)),""))&lt;&gt;"",IF(ISNUMBER(SEARCH("Party Name:-",'R.M Billets Reports'!D1649)),TRIM('R.M Billets Reports'!F1649),IF(ISNUMBER(SEARCH("Party Name-",'R.M Billets Reports'!D1649)),TRIM(MID('R.M Billets Reports'!D1649,SEARCH("-",'R.M Billets Reports'!D1649)+1,200)),"")),IF(ISNUMBER(SEARCH("Party Name:-",'R.M Billets Reports'!D1650)),TRIM('R.M Billets Reports'!F1650),IF(ISNUMBER(SEARCH("Party Name-",'R.M Billets Reports'!D1650)),TRIM(MID('R.M Billets Reports'!D1650,SEARCH("-",'R.M Billets Reports'!D1650)+1,200)),"")))="SHREE RADHE SHAKTI SPONGE AND POWER PVT. LTD.","SHREE RADHE",IF(IF(ISNUMBER(SEARCH("Party Name:-",'R.M Billets Reports'!D1649)),TRIM('R.M Billets Reports'!F1649),IF(ISNUMBER(SEARCH("Party Name-",'R.M Billets Reports'!D1649)),TRIM(MID('R.M Billets Reports'!D1649,SEARCH("-",'R.M Billets Reports'!D1649)+1,200)),""))&lt;&gt;"",IF(ISNUMBER(SEARCH("Party Name:-",'R.M Billets Reports'!D1649)),TRIM('R.M Billets Reports'!F1649),IF(ISNUMBER(SEARCH("Party Name-",'R.M Billets Reports'!D1649)),TRIM(MID('R.M Billets Reports'!D1649,SEARCH("-",'R.M Billets Reports'!D1649)+1,200)),"")),IF(ISNUMBER(SEARCH("Party Name:-",'R.M Billets Reports'!D1650)),TRIM('R.M Billets Reports'!F1650),IF(ISNUMBER(SEARCH("Party Name-",'R.M Billets Reports'!D1650)),TRIM(MID('R.M Billets Reports'!D1650,SEARCH("-",'R.M Billets Reports'!D1650)+1,200)),"")))))),IF(ROW()=2,"",A1649))</f>
      </c>
      <c r="B1650">
        <f>IF(OR('R.M Billets Reports'!A1649="Date-",'R.M Billets Reports'!A1649="Date:-"),'R.M Billets Reports'!B1649,IF(ROW()=2,"",B1649))</f>
      </c>
      <c r="C1650">
        <f>IF('R.M Billets Reports'!A1649="V.No.",'R.M Billets Reports'!B1649,IF(ROW()=2,"",C1649))</f>
      </c>
      <c r="D1650">
        <f>IF('R.M Billets Reports'!A1649&lt;&gt;"",'R.M Billets Reports'!A1649,IF(ROW()=2,"",D1649))</f>
      </c>
      <c r="E1650">
        <f>IF('R.M Billets Reports'!B1649="","",TRIM('R.M Billets Reports'!B1649))</f>
      </c>
      <c r="F1650">
        <f>'R.M Billets Reports'!C1649</f>
      </c>
      <c r="G1650">
        <f>'R.M Billets Reports'!D1649</f>
      </c>
      <c r="H1650">
        <f>'R.M Billets Reports'!E1649</f>
      </c>
      <c r="I1650">
        <f>'R.M Billets Reports'!F1649</f>
      </c>
      <c r="J1650">
        <f>'R.M Billets Reports'!G1649</f>
      </c>
      <c r="K1650">
        <f>'R.M Billets Reports'!H1649</f>
      </c>
      <c r="L1650">
        <f>IF('R.M Billets Reports'!I1649="","",'R.M Billets Reports'!I1649)</f>
      </c>
      <c r="M1650">
        <f t="shared" si="50"/>
      </c>
      <c r="N1650">
        <f>IF('R.M Billets Reports'!J1649="","",'R.M Billets Reports'!J1649)</f>
      </c>
      <c r="O1650">
        <f t="shared" si="51"/>
      </c>
      <c r="P1650">
        <f>IF('R.M Billets Reports'!A1649="SIZE",'R.M Billets Reports'!B1649,P1649)</f>
      </c>
    </row>
    <row r="1651" spans="1:16" x14ac:dyDescent="0.25">
      <c r="A1651">
        <f>IF(OR('R.M Billets Reports'!A1650="Date-",'R.M Billets Reports'!A1650="Date:-"),IF(IF(IF(ISNUMBER(SEARCH("Party Name:-",'R.M Billets Reports'!D1650)),TRIM('R.M Billets Reports'!F1650),IF(ISNUMBER(SEARCH("Party Name-",'R.M Billets Reports'!D1650)),TRIM(MID('R.M Billets Reports'!D1650,SEARCH("-",'R.M Billets Reports'!D1650)+1,200)),""))&lt;&gt;"",IF(ISNUMBER(SEARCH("Party Name:-",'R.M Billets Reports'!D1650)),TRIM('R.M Billets Reports'!F1650),IF(ISNUMBER(SEARCH("Party Name-",'R.M Billets Reports'!D1650)),TRIM(MID('R.M Billets Reports'!D1650,SEARCH("-",'R.M Billets Reports'!D1650)+1,200)),"")),IF(ISNUMBER(SEARCH("Party Name:-",'R.M Billets Reports'!D1651)),TRIM('R.M Billets Reports'!F1651),IF(ISNUMBER(SEARCH("Party Name-",'R.M Billets Reports'!D1651)),TRIM(MID('R.M Billets Reports'!D1651,SEARCH("-",'R.M Billets Reports'!D1651)+1,200)),"")))="VRKP ISPAT PVT LTD","VRKP",IF(IF(IF(ISNUMBER(SEARCH("Party Name:-",'R.M Billets Reports'!D1650)),TRIM('R.M Billets Reports'!F1650),IF(ISNUMBER(SEARCH("Party Name-",'R.M Billets Reports'!D1650)),TRIM(MID('R.M Billets Reports'!D1650,SEARCH("-",'R.M Billets Reports'!D1650)+1,200)),""))&lt;&gt;"",IF(ISNUMBER(SEARCH("Party Name:-",'R.M Billets Reports'!D1650)),TRIM('R.M Billets Reports'!F1650),IF(ISNUMBER(SEARCH("Party Name-",'R.M Billets Reports'!D1650)),TRIM(MID('R.M Billets Reports'!D1650,SEARCH("-",'R.M Billets Reports'!D1650)+1,200)),"")),IF(ISNUMBER(SEARCH("Party Name:-",'R.M Billets Reports'!D1651)),TRIM('R.M Billets Reports'!F1651),IF(ISNUMBER(SEARCH("Party Name-",'R.M Billets Reports'!D1651)),TRIM(MID('R.M Billets Reports'!D1651,SEARCH("-",'R.M Billets Reports'!D1651)+1,200)),"")))="SHRI RADHE","SHREE RADHE",IF(IF(IF(ISNUMBER(SEARCH("Party Name:-",'R.M Billets Reports'!D1650)),TRIM('R.M Billets Reports'!F1650),IF(ISNUMBER(SEARCH("Party Name-",'R.M Billets Reports'!D1650)),TRIM(MID('R.M Billets Reports'!D1650,SEARCH("-",'R.M Billets Reports'!D1650)+1,200)),""))&lt;&gt;"",IF(ISNUMBER(SEARCH("Party Name:-",'R.M Billets Reports'!D1650)),TRIM('R.M Billets Reports'!F1650),IF(ISNUMBER(SEARCH("Party Name-",'R.M Billets Reports'!D1650)),TRIM(MID('R.M Billets Reports'!D1650,SEARCH("-",'R.M Billets Reports'!D1650)+1,200)),"")),IF(ISNUMBER(SEARCH("Party Name:-",'R.M Billets Reports'!D1651)),TRIM('R.M Billets Reports'!F1651),IF(ISNUMBER(SEARCH("Party Name-",'R.M Billets Reports'!D1651)),TRIM(MID('R.M Billets Reports'!D1651,SEARCH("-",'R.M Billets Reports'!D1651)+1,200)),"")))="SHREE RADHE SHAKTI SPONGE AND POWER PVT. LTD.","SHREE RADHE",IF(IF(ISNUMBER(SEARCH("Party Name:-",'R.M Billets Reports'!D1650)),TRIM('R.M Billets Reports'!F1650),IF(ISNUMBER(SEARCH("Party Name-",'R.M Billets Reports'!D1650)),TRIM(MID('R.M Billets Reports'!D1650,SEARCH("-",'R.M Billets Reports'!D1650)+1,200)),""))&lt;&gt;"",IF(ISNUMBER(SEARCH("Party Name:-",'R.M Billets Reports'!D1650)),TRIM('R.M Billets Reports'!F1650),IF(ISNUMBER(SEARCH("Party Name-",'R.M Billets Reports'!D1650)),TRIM(MID('R.M Billets Reports'!D1650,SEARCH("-",'R.M Billets Reports'!D1650)+1,200)),"")),IF(ISNUMBER(SEARCH("Party Name:-",'R.M Billets Reports'!D1651)),TRIM('R.M Billets Reports'!F1651),IF(ISNUMBER(SEARCH("Party Name-",'R.M Billets Reports'!D1651)),TRIM(MID('R.M Billets Reports'!D1651,SEARCH("-",'R.M Billets Reports'!D1651)+1,200)),"")))))),IF(ROW()=2,"",A1650))</f>
      </c>
      <c r="B1651">
        <f>IF(OR('R.M Billets Reports'!A1650="Date-",'R.M Billets Reports'!A1650="Date:-"),'R.M Billets Reports'!B1650,IF(ROW()=2,"",B1650))</f>
      </c>
      <c r="C1651">
        <f>IF('R.M Billets Reports'!A1650="V.No.",'R.M Billets Reports'!B1650,IF(ROW()=2,"",C1650))</f>
      </c>
      <c r="D1651">
        <f>IF('R.M Billets Reports'!A1650&lt;&gt;"",'R.M Billets Reports'!A1650,IF(ROW()=2,"",D1650))</f>
      </c>
      <c r="E1651">
        <f>IF('R.M Billets Reports'!B1650="","",TRIM('R.M Billets Reports'!B1650))</f>
      </c>
      <c r="F1651">
        <f>'R.M Billets Reports'!C1650</f>
      </c>
      <c r="G1651">
        <f>'R.M Billets Reports'!D1650</f>
      </c>
      <c r="H1651">
        <f>'R.M Billets Reports'!E1650</f>
      </c>
      <c r="I1651">
        <f>'R.M Billets Reports'!F1650</f>
      </c>
      <c r="J1651">
        <f>'R.M Billets Reports'!G1650</f>
      </c>
      <c r="K1651">
        <f>'R.M Billets Reports'!H1650</f>
      </c>
      <c r="L1651">
        <f>IF('R.M Billets Reports'!I1650="","",'R.M Billets Reports'!I1650)</f>
      </c>
      <c r="M1651">
        <f t="shared" si="50"/>
      </c>
      <c r="N1651">
        <f>IF('R.M Billets Reports'!J1650="","",'R.M Billets Reports'!J1650)</f>
      </c>
      <c r="O1651">
        <f t="shared" si="51"/>
      </c>
      <c r="P1651">
        <f>IF('R.M Billets Reports'!A1650="SIZE",'R.M Billets Reports'!B1650,P1650)</f>
      </c>
    </row>
    <row r="1652" spans="1:16" x14ac:dyDescent="0.25">
      <c r="A1652">
        <f>IF(OR('R.M Billets Reports'!A1651="Date-",'R.M Billets Reports'!A1651="Date:-"),IF(IF(IF(ISNUMBER(SEARCH("Party Name:-",'R.M Billets Reports'!D1651)),TRIM('R.M Billets Reports'!F1651),IF(ISNUMBER(SEARCH("Party Name-",'R.M Billets Reports'!D1651)),TRIM(MID('R.M Billets Reports'!D1651,SEARCH("-",'R.M Billets Reports'!D1651)+1,200)),""))&lt;&gt;"",IF(ISNUMBER(SEARCH("Party Name:-",'R.M Billets Reports'!D1651)),TRIM('R.M Billets Reports'!F1651),IF(ISNUMBER(SEARCH("Party Name-",'R.M Billets Reports'!D1651)),TRIM(MID('R.M Billets Reports'!D1651,SEARCH("-",'R.M Billets Reports'!D1651)+1,200)),"")),IF(ISNUMBER(SEARCH("Party Name:-",'R.M Billets Reports'!D1652)),TRIM('R.M Billets Reports'!F1652),IF(ISNUMBER(SEARCH("Party Name-",'R.M Billets Reports'!D1652)),TRIM(MID('R.M Billets Reports'!D1652,SEARCH("-",'R.M Billets Reports'!D1652)+1,200)),"")))="VRKP ISPAT PVT LTD","VRKP",IF(IF(IF(ISNUMBER(SEARCH("Party Name:-",'R.M Billets Reports'!D1651)),TRIM('R.M Billets Reports'!F1651),IF(ISNUMBER(SEARCH("Party Name-",'R.M Billets Reports'!D1651)),TRIM(MID('R.M Billets Reports'!D1651,SEARCH("-",'R.M Billets Reports'!D1651)+1,200)),""))&lt;&gt;"",IF(ISNUMBER(SEARCH("Party Name:-",'R.M Billets Reports'!D1651)),TRIM('R.M Billets Reports'!F1651),IF(ISNUMBER(SEARCH("Party Name-",'R.M Billets Reports'!D1651)),TRIM(MID('R.M Billets Reports'!D1651,SEARCH("-",'R.M Billets Reports'!D1651)+1,200)),"")),IF(ISNUMBER(SEARCH("Party Name:-",'R.M Billets Reports'!D1652)),TRIM('R.M Billets Reports'!F1652),IF(ISNUMBER(SEARCH("Party Name-",'R.M Billets Reports'!D1652)),TRIM(MID('R.M Billets Reports'!D1652,SEARCH("-",'R.M Billets Reports'!D1652)+1,200)),"")))="SHRI RADHE","SHREE RADHE",IF(IF(IF(ISNUMBER(SEARCH("Party Name:-",'R.M Billets Reports'!D1651)),TRIM('R.M Billets Reports'!F1651),IF(ISNUMBER(SEARCH("Party Name-",'R.M Billets Reports'!D1651)),TRIM(MID('R.M Billets Reports'!D1651,SEARCH("-",'R.M Billets Reports'!D1651)+1,200)),""))&lt;&gt;"",IF(ISNUMBER(SEARCH("Party Name:-",'R.M Billets Reports'!D1651)),TRIM('R.M Billets Reports'!F1651),IF(ISNUMBER(SEARCH("Party Name-",'R.M Billets Reports'!D1651)),TRIM(MID('R.M Billets Reports'!D1651,SEARCH("-",'R.M Billets Reports'!D1651)+1,200)),"")),IF(ISNUMBER(SEARCH("Party Name:-",'R.M Billets Reports'!D1652)),TRIM('R.M Billets Reports'!F1652),IF(ISNUMBER(SEARCH("Party Name-",'R.M Billets Reports'!D1652)),TRIM(MID('R.M Billets Reports'!D1652,SEARCH("-",'R.M Billets Reports'!D1652)+1,200)),"")))="SHREE RADHE SHAKTI SPONGE AND POWER PVT. LTD.","SHREE RADHE",IF(IF(ISNUMBER(SEARCH("Party Name:-",'R.M Billets Reports'!D1651)),TRIM('R.M Billets Reports'!F1651),IF(ISNUMBER(SEARCH("Party Name-",'R.M Billets Reports'!D1651)),TRIM(MID('R.M Billets Reports'!D1651,SEARCH("-",'R.M Billets Reports'!D1651)+1,200)),""))&lt;&gt;"",IF(ISNUMBER(SEARCH("Party Name:-",'R.M Billets Reports'!D1651)),TRIM('R.M Billets Reports'!F1651),IF(ISNUMBER(SEARCH("Party Name-",'R.M Billets Reports'!D1651)),TRIM(MID('R.M Billets Reports'!D1651,SEARCH("-",'R.M Billets Reports'!D1651)+1,200)),"")),IF(ISNUMBER(SEARCH("Party Name:-",'R.M Billets Reports'!D1652)),TRIM('R.M Billets Reports'!F1652),IF(ISNUMBER(SEARCH("Party Name-",'R.M Billets Reports'!D1652)),TRIM(MID('R.M Billets Reports'!D1652,SEARCH("-",'R.M Billets Reports'!D1652)+1,200)),"")))))),IF(ROW()=2,"",A1651))</f>
      </c>
      <c r="B1652">
        <f>IF(OR('R.M Billets Reports'!A1651="Date-",'R.M Billets Reports'!A1651="Date:-"),'R.M Billets Reports'!B1651,IF(ROW()=2,"",B1651))</f>
      </c>
      <c r="C1652">
        <f>IF('R.M Billets Reports'!A1651="V.No.",'R.M Billets Reports'!B1651,IF(ROW()=2,"",C1651))</f>
      </c>
      <c r="D1652">
        <f>IF('R.M Billets Reports'!A1651&lt;&gt;"",'R.M Billets Reports'!A1651,IF(ROW()=2,"",D1651))</f>
      </c>
      <c r="E1652">
        <f>IF('R.M Billets Reports'!B1651="","",TRIM('R.M Billets Reports'!B1651))</f>
      </c>
      <c r="F1652">
        <f>'R.M Billets Reports'!C1651</f>
      </c>
      <c r="G1652">
        <f>'R.M Billets Reports'!D1651</f>
      </c>
      <c r="H1652">
        <f>'R.M Billets Reports'!E1651</f>
      </c>
      <c r="I1652">
        <f>'R.M Billets Reports'!F1651</f>
      </c>
      <c r="J1652">
        <f>'R.M Billets Reports'!G1651</f>
      </c>
      <c r="K1652">
        <f>'R.M Billets Reports'!H1651</f>
      </c>
      <c r="L1652">
        <f>IF('R.M Billets Reports'!I1651="","",'R.M Billets Reports'!I1651)</f>
      </c>
      <c r="M1652">
        <f t="shared" si="50"/>
      </c>
      <c r="N1652">
        <f>IF('R.M Billets Reports'!J1651="","",'R.M Billets Reports'!J1651)</f>
      </c>
      <c r="O1652">
        <f t="shared" si="51"/>
      </c>
      <c r="P1652">
        <f>IF('R.M Billets Reports'!A1651="SIZE",'R.M Billets Reports'!B1651,P1651)</f>
      </c>
    </row>
    <row r="1653" spans="1:16" x14ac:dyDescent="0.25">
      <c r="A1653">
        <f>IF(OR('R.M Billets Reports'!A1652="Date-",'R.M Billets Reports'!A1652="Date:-"),IF(IF(IF(ISNUMBER(SEARCH("Party Name:-",'R.M Billets Reports'!D1652)),TRIM('R.M Billets Reports'!F1652),IF(ISNUMBER(SEARCH("Party Name-",'R.M Billets Reports'!D1652)),TRIM(MID('R.M Billets Reports'!D1652,SEARCH("-",'R.M Billets Reports'!D1652)+1,200)),""))&lt;&gt;"",IF(ISNUMBER(SEARCH("Party Name:-",'R.M Billets Reports'!D1652)),TRIM('R.M Billets Reports'!F1652),IF(ISNUMBER(SEARCH("Party Name-",'R.M Billets Reports'!D1652)),TRIM(MID('R.M Billets Reports'!D1652,SEARCH("-",'R.M Billets Reports'!D1652)+1,200)),"")),IF(ISNUMBER(SEARCH("Party Name:-",'R.M Billets Reports'!D1653)),TRIM('R.M Billets Reports'!F1653),IF(ISNUMBER(SEARCH("Party Name-",'R.M Billets Reports'!D1653)),TRIM(MID('R.M Billets Reports'!D1653,SEARCH("-",'R.M Billets Reports'!D1653)+1,200)),"")))="VRKP ISPAT PVT LTD","VRKP",IF(IF(IF(ISNUMBER(SEARCH("Party Name:-",'R.M Billets Reports'!D1652)),TRIM('R.M Billets Reports'!F1652),IF(ISNUMBER(SEARCH("Party Name-",'R.M Billets Reports'!D1652)),TRIM(MID('R.M Billets Reports'!D1652,SEARCH("-",'R.M Billets Reports'!D1652)+1,200)),""))&lt;&gt;"",IF(ISNUMBER(SEARCH("Party Name:-",'R.M Billets Reports'!D1652)),TRIM('R.M Billets Reports'!F1652),IF(ISNUMBER(SEARCH("Party Name-",'R.M Billets Reports'!D1652)),TRIM(MID('R.M Billets Reports'!D1652,SEARCH("-",'R.M Billets Reports'!D1652)+1,200)),"")),IF(ISNUMBER(SEARCH("Party Name:-",'R.M Billets Reports'!D1653)),TRIM('R.M Billets Reports'!F1653),IF(ISNUMBER(SEARCH("Party Name-",'R.M Billets Reports'!D1653)),TRIM(MID('R.M Billets Reports'!D1653,SEARCH("-",'R.M Billets Reports'!D1653)+1,200)),"")))="SHRI RADHE","SHREE RADHE",IF(IF(IF(ISNUMBER(SEARCH("Party Name:-",'R.M Billets Reports'!D1652)),TRIM('R.M Billets Reports'!F1652),IF(ISNUMBER(SEARCH("Party Name-",'R.M Billets Reports'!D1652)),TRIM(MID('R.M Billets Reports'!D1652,SEARCH("-",'R.M Billets Reports'!D1652)+1,200)),""))&lt;&gt;"",IF(ISNUMBER(SEARCH("Party Name:-",'R.M Billets Reports'!D1652)),TRIM('R.M Billets Reports'!F1652),IF(ISNUMBER(SEARCH("Party Name-",'R.M Billets Reports'!D1652)),TRIM(MID('R.M Billets Reports'!D1652,SEARCH("-",'R.M Billets Reports'!D1652)+1,200)),"")),IF(ISNUMBER(SEARCH("Party Name:-",'R.M Billets Reports'!D1653)),TRIM('R.M Billets Reports'!F1653),IF(ISNUMBER(SEARCH("Party Name-",'R.M Billets Reports'!D1653)),TRIM(MID('R.M Billets Reports'!D1653,SEARCH("-",'R.M Billets Reports'!D1653)+1,200)),"")))="SHREE RADHE SHAKTI SPONGE AND POWER PVT. LTD.","SHREE RADHE",IF(IF(ISNUMBER(SEARCH("Party Name:-",'R.M Billets Reports'!D1652)),TRIM('R.M Billets Reports'!F1652),IF(ISNUMBER(SEARCH("Party Name-",'R.M Billets Reports'!D1652)),TRIM(MID('R.M Billets Reports'!D1652,SEARCH("-",'R.M Billets Reports'!D1652)+1,200)),""))&lt;&gt;"",IF(ISNUMBER(SEARCH("Party Name:-",'R.M Billets Reports'!D1652)),TRIM('R.M Billets Reports'!F1652),IF(ISNUMBER(SEARCH("Party Name-",'R.M Billets Reports'!D1652)),TRIM(MID('R.M Billets Reports'!D1652,SEARCH("-",'R.M Billets Reports'!D1652)+1,200)),"")),IF(ISNUMBER(SEARCH("Party Name:-",'R.M Billets Reports'!D1653)),TRIM('R.M Billets Reports'!F1653),IF(ISNUMBER(SEARCH("Party Name-",'R.M Billets Reports'!D1653)),TRIM(MID('R.M Billets Reports'!D1653,SEARCH("-",'R.M Billets Reports'!D1653)+1,200)),"")))))),IF(ROW()=2,"",A1652))</f>
      </c>
      <c r="B1653">
        <f>IF(OR('R.M Billets Reports'!A1652="Date-",'R.M Billets Reports'!A1652="Date:-"),'R.M Billets Reports'!B1652,IF(ROW()=2,"",B1652))</f>
      </c>
      <c r="C1653">
        <f>IF('R.M Billets Reports'!A1652="V.No.",'R.M Billets Reports'!B1652,IF(ROW()=2,"",C1652))</f>
      </c>
      <c r="D1653">
        <f>IF('R.M Billets Reports'!A1652&lt;&gt;"",'R.M Billets Reports'!A1652,IF(ROW()=2,"",D1652))</f>
      </c>
      <c r="E1653">
        <f>IF('R.M Billets Reports'!B1652="","",TRIM('R.M Billets Reports'!B1652))</f>
      </c>
      <c r="F1653">
        <f>'R.M Billets Reports'!C1652</f>
      </c>
      <c r="G1653">
        <f>'R.M Billets Reports'!D1652</f>
      </c>
      <c r="H1653">
        <f>'R.M Billets Reports'!E1652</f>
      </c>
      <c r="I1653">
        <f>'R.M Billets Reports'!F1652</f>
      </c>
      <c r="J1653">
        <f>'R.M Billets Reports'!G1652</f>
      </c>
      <c r="K1653">
        <f>'R.M Billets Reports'!H1652</f>
      </c>
      <c r="L1653">
        <f>IF('R.M Billets Reports'!I1652="","",'R.M Billets Reports'!I1652)</f>
      </c>
      <c r="M1653">
        <f t="shared" si="50"/>
      </c>
      <c r="N1653">
        <f>IF('R.M Billets Reports'!J1652="","",'R.M Billets Reports'!J1652)</f>
      </c>
      <c r="O1653">
        <f t="shared" si="51"/>
      </c>
      <c r="P1653">
        <f>IF('R.M Billets Reports'!A1652="SIZE",'R.M Billets Reports'!B1652,P1652)</f>
      </c>
    </row>
    <row r="1654" spans="1:16" x14ac:dyDescent="0.25">
      <c r="A1654">
        <f>IF(OR('R.M Billets Reports'!A1653="Date-",'R.M Billets Reports'!A1653="Date:-"),IF(IF(IF(ISNUMBER(SEARCH("Party Name:-",'R.M Billets Reports'!D1653)),TRIM('R.M Billets Reports'!F1653),IF(ISNUMBER(SEARCH("Party Name-",'R.M Billets Reports'!D1653)),TRIM(MID('R.M Billets Reports'!D1653,SEARCH("-",'R.M Billets Reports'!D1653)+1,200)),""))&lt;&gt;"",IF(ISNUMBER(SEARCH("Party Name:-",'R.M Billets Reports'!D1653)),TRIM('R.M Billets Reports'!F1653),IF(ISNUMBER(SEARCH("Party Name-",'R.M Billets Reports'!D1653)),TRIM(MID('R.M Billets Reports'!D1653,SEARCH("-",'R.M Billets Reports'!D1653)+1,200)),"")),IF(ISNUMBER(SEARCH("Party Name:-",'R.M Billets Reports'!D1654)),TRIM('R.M Billets Reports'!F1654),IF(ISNUMBER(SEARCH("Party Name-",'R.M Billets Reports'!D1654)),TRIM(MID('R.M Billets Reports'!D1654,SEARCH("-",'R.M Billets Reports'!D1654)+1,200)),"")))="VRKP ISPAT PVT LTD","VRKP",IF(IF(IF(ISNUMBER(SEARCH("Party Name:-",'R.M Billets Reports'!D1653)),TRIM('R.M Billets Reports'!F1653),IF(ISNUMBER(SEARCH("Party Name-",'R.M Billets Reports'!D1653)),TRIM(MID('R.M Billets Reports'!D1653,SEARCH("-",'R.M Billets Reports'!D1653)+1,200)),""))&lt;&gt;"",IF(ISNUMBER(SEARCH("Party Name:-",'R.M Billets Reports'!D1653)),TRIM('R.M Billets Reports'!F1653),IF(ISNUMBER(SEARCH("Party Name-",'R.M Billets Reports'!D1653)),TRIM(MID('R.M Billets Reports'!D1653,SEARCH("-",'R.M Billets Reports'!D1653)+1,200)),"")),IF(ISNUMBER(SEARCH("Party Name:-",'R.M Billets Reports'!D1654)),TRIM('R.M Billets Reports'!F1654),IF(ISNUMBER(SEARCH("Party Name-",'R.M Billets Reports'!D1654)),TRIM(MID('R.M Billets Reports'!D1654,SEARCH("-",'R.M Billets Reports'!D1654)+1,200)),"")))="SHRI RADHE","SHREE RADHE",IF(IF(IF(ISNUMBER(SEARCH("Party Name:-",'R.M Billets Reports'!D1653)),TRIM('R.M Billets Reports'!F1653),IF(ISNUMBER(SEARCH("Party Name-",'R.M Billets Reports'!D1653)),TRIM(MID('R.M Billets Reports'!D1653,SEARCH("-",'R.M Billets Reports'!D1653)+1,200)),""))&lt;&gt;"",IF(ISNUMBER(SEARCH("Party Name:-",'R.M Billets Reports'!D1653)),TRIM('R.M Billets Reports'!F1653),IF(ISNUMBER(SEARCH("Party Name-",'R.M Billets Reports'!D1653)),TRIM(MID('R.M Billets Reports'!D1653,SEARCH("-",'R.M Billets Reports'!D1653)+1,200)),"")),IF(ISNUMBER(SEARCH("Party Name:-",'R.M Billets Reports'!D1654)),TRIM('R.M Billets Reports'!F1654),IF(ISNUMBER(SEARCH("Party Name-",'R.M Billets Reports'!D1654)),TRIM(MID('R.M Billets Reports'!D1654,SEARCH("-",'R.M Billets Reports'!D1654)+1,200)),"")))="SHREE RADHE SHAKTI SPONGE AND POWER PVT. LTD.","SHREE RADHE",IF(IF(ISNUMBER(SEARCH("Party Name:-",'R.M Billets Reports'!D1653)),TRIM('R.M Billets Reports'!F1653),IF(ISNUMBER(SEARCH("Party Name-",'R.M Billets Reports'!D1653)),TRIM(MID('R.M Billets Reports'!D1653,SEARCH("-",'R.M Billets Reports'!D1653)+1,200)),""))&lt;&gt;"",IF(ISNUMBER(SEARCH("Party Name:-",'R.M Billets Reports'!D1653)),TRIM('R.M Billets Reports'!F1653),IF(ISNUMBER(SEARCH("Party Name-",'R.M Billets Reports'!D1653)),TRIM(MID('R.M Billets Reports'!D1653,SEARCH("-",'R.M Billets Reports'!D1653)+1,200)),"")),IF(ISNUMBER(SEARCH("Party Name:-",'R.M Billets Reports'!D1654)),TRIM('R.M Billets Reports'!F1654),IF(ISNUMBER(SEARCH("Party Name-",'R.M Billets Reports'!D1654)),TRIM(MID('R.M Billets Reports'!D1654,SEARCH("-",'R.M Billets Reports'!D1654)+1,200)),"")))))),IF(ROW()=2,"",A1653))</f>
      </c>
      <c r="B1654">
        <f>IF(OR('R.M Billets Reports'!A1653="Date-",'R.M Billets Reports'!A1653="Date:-"),'R.M Billets Reports'!B1653,IF(ROW()=2,"",B1653))</f>
      </c>
      <c r="C1654">
        <f>IF('R.M Billets Reports'!A1653="V.No.",'R.M Billets Reports'!B1653,IF(ROW()=2,"",C1653))</f>
      </c>
      <c r="D1654">
        <f>IF('R.M Billets Reports'!A1653&lt;&gt;"",'R.M Billets Reports'!A1653,IF(ROW()=2,"",D1653))</f>
      </c>
      <c r="E1654">
        <f>IF('R.M Billets Reports'!B1653="","",TRIM('R.M Billets Reports'!B1653))</f>
      </c>
      <c r="F1654">
        <f>'R.M Billets Reports'!C1653</f>
      </c>
      <c r="G1654">
        <f>'R.M Billets Reports'!D1653</f>
      </c>
      <c r="H1654">
        <f>'R.M Billets Reports'!E1653</f>
      </c>
      <c r="I1654">
        <f>'R.M Billets Reports'!F1653</f>
      </c>
      <c r="J1654">
        <f>'R.M Billets Reports'!G1653</f>
      </c>
      <c r="K1654">
        <f>'R.M Billets Reports'!H1653</f>
      </c>
      <c r="L1654">
        <f>IF('R.M Billets Reports'!I1653="","",'R.M Billets Reports'!I1653)</f>
      </c>
      <c r="M1654">
        <f t="shared" si="50"/>
      </c>
      <c r="N1654">
        <f>IF('R.M Billets Reports'!J1653="","",'R.M Billets Reports'!J1653)</f>
      </c>
      <c r="O1654">
        <f t="shared" si="51"/>
      </c>
      <c r="P1654">
        <f>IF('R.M Billets Reports'!A1653="SIZE",'R.M Billets Reports'!B1653,P1653)</f>
      </c>
    </row>
    <row r="1655" spans="1:16" x14ac:dyDescent="0.25">
      <c r="A1655">
        <f>IF(OR('R.M Billets Reports'!A1654="Date-",'R.M Billets Reports'!A1654="Date:-"),IF(IF(IF(ISNUMBER(SEARCH("Party Name:-",'R.M Billets Reports'!D1654)),TRIM('R.M Billets Reports'!F1654),IF(ISNUMBER(SEARCH("Party Name-",'R.M Billets Reports'!D1654)),TRIM(MID('R.M Billets Reports'!D1654,SEARCH("-",'R.M Billets Reports'!D1654)+1,200)),""))&lt;&gt;"",IF(ISNUMBER(SEARCH("Party Name:-",'R.M Billets Reports'!D1654)),TRIM('R.M Billets Reports'!F1654),IF(ISNUMBER(SEARCH("Party Name-",'R.M Billets Reports'!D1654)),TRIM(MID('R.M Billets Reports'!D1654,SEARCH("-",'R.M Billets Reports'!D1654)+1,200)),"")),IF(ISNUMBER(SEARCH("Party Name:-",'R.M Billets Reports'!D1655)),TRIM('R.M Billets Reports'!F1655),IF(ISNUMBER(SEARCH("Party Name-",'R.M Billets Reports'!D1655)),TRIM(MID('R.M Billets Reports'!D1655,SEARCH("-",'R.M Billets Reports'!D1655)+1,200)),"")))="VRKP ISPAT PVT LTD","VRKP",IF(IF(IF(ISNUMBER(SEARCH("Party Name:-",'R.M Billets Reports'!D1654)),TRIM('R.M Billets Reports'!F1654),IF(ISNUMBER(SEARCH("Party Name-",'R.M Billets Reports'!D1654)),TRIM(MID('R.M Billets Reports'!D1654,SEARCH("-",'R.M Billets Reports'!D1654)+1,200)),""))&lt;&gt;"",IF(ISNUMBER(SEARCH("Party Name:-",'R.M Billets Reports'!D1654)),TRIM('R.M Billets Reports'!F1654),IF(ISNUMBER(SEARCH("Party Name-",'R.M Billets Reports'!D1654)),TRIM(MID('R.M Billets Reports'!D1654,SEARCH("-",'R.M Billets Reports'!D1654)+1,200)),"")),IF(ISNUMBER(SEARCH("Party Name:-",'R.M Billets Reports'!D1655)),TRIM('R.M Billets Reports'!F1655),IF(ISNUMBER(SEARCH("Party Name-",'R.M Billets Reports'!D1655)),TRIM(MID('R.M Billets Reports'!D1655,SEARCH("-",'R.M Billets Reports'!D1655)+1,200)),"")))="SHRI RADHE","SHREE RADHE",IF(IF(IF(ISNUMBER(SEARCH("Party Name:-",'R.M Billets Reports'!D1654)),TRIM('R.M Billets Reports'!F1654),IF(ISNUMBER(SEARCH("Party Name-",'R.M Billets Reports'!D1654)),TRIM(MID('R.M Billets Reports'!D1654,SEARCH("-",'R.M Billets Reports'!D1654)+1,200)),""))&lt;&gt;"",IF(ISNUMBER(SEARCH("Party Name:-",'R.M Billets Reports'!D1654)),TRIM('R.M Billets Reports'!F1654),IF(ISNUMBER(SEARCH("Party Name-",'R.M Billets Reports'!D1654)),TRIM(MID('R.M Billets Reports'!D1654,SEARCH("-",'R.M Billets Reports'!D1654)+1,200)),"")),IF(ISNUMBER(SEARCH("Party Name:-",'R.M Billets Reports'!D1655)),TRIM('R.M Billets Reports'!F1655),IF(ISNUMBER(SEARCH("Party Name-",'R.M Billets Reports'!D1655)),TRIM(MID('R.M Billets Reports'!D1655,SEARCH("-",'R.M Billets Reports'!D1655)+1,200)),"")))="SHREE RADHE SHAKTI SPONGE AND POWER PVT. LTD.","SHREE RADHE",IF(IF(ISNUMBER(SEARCH("Party Name:-",'R.M Billets Reports'!D1654)),TRIM('R.M Billets Reports'!F1654),IF(ISNUMBER(SEARCH("Party Name-",'R.M Billets Reports'!D1654)),TRIM(MID('R.M Billets Reports'!D1654,SEARCH("-",'R.M Billets Reports'!D1654)+1,200)),""))&lt;&gt;"",IF(ISNUMBER(SEARCH("Party Name:-",'R.M Billets Reports'!D1654)),TRIM('R.M Billets Reports'!F1654),IF(ISNUMBER(SEARCH("Party Name-",'R.M Billets Reports'!D1654)),TRIM(MID('R.M Billets Reports'!D1654,SEARCH("-",'R.M Billets Reports'!D1654)+1,200)),"")),IF(ISNUMBER(SEARCH("Party Name:-",'R.M Billets Reports'!D1655)),TRIM('R.M Billets Reports'!F1655),IF(ISNUMBER(SEARCH("Party Name-",'R.M Billets Reports'!D1655)),TRIM(MID('R.M Billets Reports'!D1655,SEARCH("-",'R.M Billets Reports'!D1655)+1,200)),"")))))),IF(ROW()=2,"",A1654))</f>
      </c>
      <c r="B1655">
        <f>IF(OR('R.M Billets Reports'!A1654="Date-",'R.M Billets Reports'!A1654="Date:-"),'R.M Billets Reports'!B1654,IF(ROW()=2,"",B1654))</f>
      </c>
      <c r="C1655">
        <f>IF('R.M Billets Reports'!A1654="V.No.",'R.M Billets Reports'!B1654,IF(ROW()=2,"",C1654))</f>
      </c>
      <c r="D1655">
        <f>IF('R.M Billets Reports'!A1654&lt;&gt;"",'R.M Billets Reports'!A1654,IF(ROW()=2,"",D1654))</f>
      </c>
      <c r="E1655">
        <f>IF('R.M Billets Reports'!B1654="","",TRIM('R.M Billets Reports'!B1654))</f>
      </c>
      <c r="F1655">
        <f>'R.M Billets Reports'!C1654</f>
      </c>
      <c r="G1655">
        <f>'R.M Billets Reports'!D1654</f>
      </c>
      <c r="H1655">
        <f>'R.M Billets Reports'!E1654</f>
      </c>
      <c r="I1655">
        <f>'R.M Billets Reports'!F1654</f>
      </c>
      <c r="J1655">
        <f>'R.M Billets Reports'!G1654</f>
      </c>
      <c r="K1655">
        <f>'R.M Billets Reports'!H1654</f>
      </c>
      <c r="L1655">
        <f>IF('R.M Billets Reports'!I1654="","",'R.M Billets Reports'!I1654)</f>
      </c>
      <c r="M1655">
        <f t="shared" si="50"/>
      </c>
      <c r="N1655">
        <f>IF('R.M Billets Reports'!J1654="","",'R.M Billets Reports'!J1654)</f>
      </c>
      <c r="O1655">
        <f t="shared" si="51"/>
      </c>
      <c r="P1655">
        <f>IF('R.M Billets Reports'!A1654="SIZE",'R.M Billets Reports'!B1654,P1654)</f>
      </c>
    </row>
    <row r="1656" spans="1:16" x14ac:dyDescent="0.25">
      <c r="A1656">
        <f>IF(OR('R.M Billets Reports'!A1655="Date-",'R.M Billets Reports'!A1655="Date:-"),IF(IF(IF(ISNUMBER(SEARCH("Party Name:-",'R.M Billets Reports'!D1655)),TRIM('R.M Billets Reports'!F1655),IF(ISNUMBER(SEARCH("Party Name-",'R.M Billets Reports'!D1655)),TRIM(MID('R.M Billets Reports'!D1655,SEARCH("-",'R.M Billets Reports'!D1655)+1,200)),""))&lt;&gt;"",IF(ISNUMBER(SEARCH("Party Name:-",'R.M Billets Reports'!D1655)),TRIM('R.M Billets Reports'!F1655),IF(ISNUMBER(SEARCH("Party Name-",'R.M Billets Reports'!D1655)),TRIM(MID('R.M Billets Reports'!D1655,SEARCH("-",'R.M Billets Reports'!D1655)+1,200)),"")),IF(ISNUMBER(SEARCH("Party Name:-",'R.M Billets Reports'!D1656)),TRIM('R.M Billets Reports'!F1656),IF(ISNUMBER(SEARCH("Party Name-",'R.M Billets Reports'!D1656)),TRIM(MID('R.M Billets Reports'!D1656,SEARCH("-",'R.M Billets Reports'!D1656)+1,200)),"")))="VRKP ISPAT PVT LTD","VRKP",IF(IF(IF(ISNUMBER(SEARCH("Party Name:-",'R.M Billets Reports'!D1655)),TRIM('R.M Billets Reports'!F1655),IF(ISNUMBER(SEARCH("Party Name-",'R.M Billets Reports'!D1655)),TRIM(MID('R.M Billets Reports'!D1655,SEARCH("-",'R.M Billets Reports'!D1655)+1,200)),""))&lt;&gt;"",IF(ISNUMBER(SEARCH("Party Name:-",'R.M Billets Reports'!D1655)),TRIM('R.M Billets Reports'!F1655),IF(ISNUMBER(SEARCH("Party Name-",'R.M Billets Reports'!D1655)),TRIM(MID('R.M Billets Reports'!D1655,SEARCH("-",'R.M Billets Reports'!D1655)+1,200)),"")),IF(ISNUMBER(SEARCH("Party Name:-",'R.M Billets Reports'!D1656)),TRIM('R.M Billets Reports'!F1656),IF(ISNUMBER(SEARCH("Party Name-",'R.M Billets Reports'!D1656)),TRIM(MID('R.M Billets Reports'!D1656,SEARCH("-",'R.M Billets Reports'!D1656)+1,200)),"")))="SHRI RADHE","SHREE RADHE",IF(IF(IF(ISNUMBER(SEARCH("Party Name:-",'R.M Billets Reports'!D1655)),TRIM('R.M Billets Reports'!F1655),IF(ISNUMBER(SEARCH("Party Name-",'R.M Billets Reports'!D1655)),TRIM(MID('R.M Billets Reports'!D1655,SEARCH("-",'R.M Billets Reports'!D1655)+1,200)),""))&lt;&gt;"",IF(ISNUMBER(SEARCH("Party Name:-",'R.M Billets Reports'!D1655)),TRIM('R.M Billets Reports'!F1655),IF(ISNUMBER(SEARCH("Party Name-",'R.M Billets Reports'!D1655)),TRIM(MID('R.M Billets Reports'!D1655,SEARCH("-",'R.M Billets Reports'!D1655)+1,200)),"")),IF(ISNUMBER(SEARCH("Party Name:-",'R.M Billets Reports'!D1656)),TRIM('R.M Billets Reports'!F1656),IF(ISNUMBER(SEARCH("Party Name-",'R.M Billets Reports'!D1656)),TRIM(MID('R.M Billets Reports'!D1656,SEARCH("-",'R.M Billets Reports'!D1656)+1,200)),"")))="SHREE RADHE SHAKTI SPONGE AND POWER PVT. LTD.","SHREE RADHE",IF(IF(ISNUMBER(SEARCH("Party Name:-",'R.M Billets Reports'!D1655)),TRIM('R.M Billets Reports'!F1655),IF(ISNUMBER(SEARCH("Party Name-",'R.M Billets Reports'!D1655)),TRIM(MID('R.M Billets Reports'!D1655,SEARCH("-",'R.M Billets Reports'!D1655)+1,200)),""))&lt;&gt;"",IF(ISNUMBER(SEARCH("Party Name:-",'R.M Billets Reports'!D1655)),TRIM('R.M Billets Reports'!F1655),IF(ISNUMBER(SEARCH("Party Name-",'R.M Billets Reports'!D1655)),TRIM(MID('R.M Billets Reports'!D1655,SEARCH("-",'R.M Billets Reports'!D1655)+1,200)),"")),IF(ISNUMBER(SEARCH("Party Name:-",'R.M Billets Reports'!D1656)),TRIM('R.M Billets Reports'!F1656),IF(ISNUMBER(SEARCH("Party Name-",'R.M Billets Reports'!D1656)),TRIM(MID('R.M Billets Reports'!D1656,SEARCH("-",'R.M Billets Reports'!D1656)+1,200)),"")))))),IF(ROW()=2,"",A1655))</f>
      </c>
      <c r="B1656">
        <f>IF(OR('R.M Billets Reports'!A1655="Date-",'R.M Billets Reports'!A1655="Date:-"),'R.M Billets Reports'!B1655,IF(ROW()=2,"",B1655))</f>
      </c>
      <c r="C1656">
        <f>IF('R.M Billets Reports'!A1655="V.No.",'R.M Billets Reports'!B1655,IF(ROW()=2,"",C1655))</f>
      </c>
      <c r="D1656">
        <f>IF('R.M Billets Reports'!A1655&lt;&gt;"",'R.M Billets Reports'!A1655,IF(ROW()=2,"",D1655))</f>
      </c>
      <c r="E1656">
        <f>IF('R.M Billets Reports'!B1655="","",TRIM('R.M Billets Reports'!B1655))</f>
      </c>
      <c r="F1656">
        <f>'R.M Billets Reports'!C1655</f>
      </c>
      <c r="G1656">
        <f>'R.M Billets Reports'!D1655</f>
      </c>
      <c r="H1656">
        <f>'R.M Billets Reports'!E1655</f>
      </c>
      <c r="I1656">
        <f>'R.M Billets Reports'!F1655</f>
      </c>
      <c r="J1656">
        <f>'R.M Billets Reports'!G1655</f>
      </c>
      <c r="K1656">
        <f>'R.M Billets Reports'!H1655</f>
      </c>
      <c r="L1656">
        <f>IF('R.M Billets Reports'!I1655="","",'R.M Billets Reports'!I1655)</f>
      </c>
      <c r="M1656">
        <f t="shared" si="50"/>
      </c>
      <c r="N1656">
        <f>IF('R.M Billets Reports'!J1655="","",'R.M Billets Reports'!J1655)</f>
      </c>
      <c r="O1656">
        <f t="shared" si="51"/>
      </c>
      <c r="P1656">
        <f>IF('R.M Billets Reports'!A1655="SIZE",'R.M Billets Reports'!B1655,P1655)</f>
      </c>
    </row>
    <row r="1657" spans="1:16" x14ac:dyDescent="0.25">
      <c r="A1657">
        <f>IF(OR('R.M Billets Reports'!A1656="Date-",'R.M Billets Reports'!A1656="Date:-"),IF(IF(IF(ISNUMBER(SEARCH("Party Name:-",'R.M Billets Reports'!D1656)),TRIM('R.M Billets Reports'!F1656),IF(ISNUMBER(SEARCH("Party Name-",'R.M Billets Reports'!D1656)),TRIM(MID('R.M Billets Reports'!D1656,SEARCH("-",'R.M Billets Reports'!D1656)+1,200)),""))&lt;&gt;"",IF(ISNUMBER(SEARCH("Party Name:-",'R.M Billets Reports'!D1656)),TRIM('R.M Billets Reports'!F1656),IF(ISNUMBER(SEARCH("Party Name-",'R.M Billets Reports'!D1656)),TRIM(MID('R.M Billets Reports'!D1656,SEARCH("-",'R.M Billets Reports'!D1656)+1,200)),"")),IF(ISNUMBER(SEARCH("Party Name:-",'R.M Billets Reports'!D1657)),TRIM('R.M Billets Reports'!F1657),IF(ISNUMBER(SEARCH("Party Name-",'R.M Billets Reports'!D1657)),TRIM(MID('R.M Billets Reports'!D1657,SEARCH("-",'R.M Billets Reports'!D1657)+1,200)),"")))="VRKP ISPAT PVT LTD","VRKP",IF(IF(IF(ISNUMBER(SEARCH("Party Name:-",'R.M Billets Reports'!D1656)),TRIM('R.M Billets Reports'!F1656),IF(ISNUMBER(SEARCH("Party Name-",'R.M Billets Reports'!D1656)),TRIM(MID('R.M Billets Reports'!D1656,SEARCH("-",'R.M Billets Reports'!D1656)+1,200)),""))&lt;&gt;"",IF(ISNUMBER(SEARCH("Party Name:-",'R.M Billets Reports'!D1656)),TRIM('R.M Billets Reports'!F1656),IF(ISNUMBER(SEARCH("Party Name-",'R.M Billets Reports'!D1656)),TRIM(MID('R.M Billets Reports'!D1656,SEARCH("-",'R.M Billets Reports'!D1656)+1,200)),"")),IF(ISNUMBER(SEARCH("Party Name:-",'R.M Billets Reports'!D1657)),TRIM('R.M Billets Reports'!F1657),IF(ISNUMBER(SEARCH("Party Name-",'R.M Billets Reports'!D1657)),TRIM(MID('R.M Billets Reports'!D1657,SEARCH("-",'R.M Billets Reports'!D1657)+1,200)),"")))="SHRI RADHE","SHREE RADHE",IF(IF(IF(ISNUMBER(SEARCH("Party Name:-",'R.M Billets Reports'!D1656)),TRIM('R.M Billets Reports'!F1656),IF(ISNUMBER(SEARCH("Party Name-",'R.M Billets Reports'!D1656)),TRIM(MID('R.M Billets Reports'!D1656,SEARCH("-",'R.M Billets Reports'!D1656)+1,200)),""))&lt;&gt;"",IF(ISNUMBER(SEARCH("Party Name:-",'R.M Billets Reports'!D1656)),TRIM('R.M Billets Reports'!F1656),IF(ISNUMBER(SEARCH("Party Name-",'R.M Billets Reports'!D1656)),TRIM(MID('R.M Billets Reports'!D1656,SEARCH("-",'R.M Billets Reports'!D1656)+1,200)),"")),IF(ISNUMBER(SEARCH("Party Name:-",'R.M Billets Reports'!D1657)),TRIM('R.M Billets Reports'!F1657),IF(ISNUMBER(SEARCH("Party Name-",'R.M Billets Reports'!D1657)),TRIM(MID('R.M Billets Reports'!D1657,SEARCH("-",'R.M Billets Reports'!D1657)+1,200)),"")))="SHREE RADHE SHAKTI SPONGE AND POWER PVT. LTD.","SHREE RADHE",IF(IF(ISNUMBER(SEARCH("Party Name:-",'R.M Billets Reports'!D1656)),TRIM('R.M Billets Reports'!F1656),IF(ISNUMBER(SEARCH("Party Name-",'R.M Billets Reports'!D1656)),TRIM(MID('R.M Billets Reports'!D1656,SEARCH("-",'R.M Billets Reports'!D1656)+1,200)),""))&lt;&gt;"",IF(ISNUMBER(SEARCH("Party Name:-",'R.M Billets Reports'!D1656)),TRIM('R.M Billets Reports'!F1656),IF(ISNUMBER(SEARCH("Party Name-",'R.M Billets Reports'!D1656)),TRIM(MID('R.M Billets Reports'!D1656,SEARCH("-",'R.M Billets Reports'!D1656)+1,200)),"")),IF(ISNUMBER(SEARCH("Party Name:-",'R.M Billets Reports'!D1657)),TRIM('R.M Billets Reports'!F1657),IF(ISNUMBER(SEARCH("Party Name-",'R.M Billets Reports'!D1657)),TRIM(MID('R.M Billets Reports'!D1657,SEARCH("-",'R.M Billets Reports'!D1657)+1,200)),"")))))),IF(ROW()=2,"",A1656))</f>
      </c>
      <c r="B1657">
        <f>IF(OR('R.M Billets Reports'!A1656="Date-",'R.M Billets Reports'!A1656="Date:-"),'R.M Billets Reports'!B1656,IF(ROW()=2,"",B1656))</f>
      </c>
      <c r="C1657">
        <f>IF('R.M Billets Reports'!A1656="V.No.",'R.M Billets Reports'!B1656,IF(ROW()=2,"",C1656))</f>
      </c>
      <c r="D1657">
        <f>IF('R.M Billets Reports'!A1656&lt;&gt;"",'R.M Billets Reports'!A1656,IF(ROW()=2,"",D1656))</f>
      </c>
      <c r="E1657">
        <f>IF('R.M Billets Reports'!B1656="","",TRIM('R.M Billets Reports'!B1656))</f>
      </c>
      <c r="F1657">
        <f>'R.M Billets Reports'!C1656</f>
      </c>
      <c r="G1657">
        <f>'R.M Billets Reports'!D1656</f>
      </c>
      <c r="H1657">
        <f>'R.M Billets Reports'!E1656</f>
      </c>
      <c r="I1657">
        <f>'R.M Billets Reports'!F1656</f>
      </c>
      <c r="J1657">
        <f>'R.M Billets Reports'!G1656</f>
      </c>
      <c r="K1657">
        <f>'R.M Billets Reports'!H1656</f>
      </c>
      <c r="L1657">
        <f>IF('R.M Billets Reports'!I1656="","",'R.M Billets Reports'!I1656)</f>
      </c>
      <c r="M1657">
        <f t="shared" si="50"/>
      </c>
      <c r="N1657">
        <f>IF('R.M Billets Reports'!J1656="","",'R.M Billets Reports'!J1656)</f>
      </c>
      <c r="O1657">
        <f t="shared" si="51"/>
      </c>
      <c r="P1657">
        <f>IF('R.M Billets Reports'!A1656="SIZE",'R.M Billets Reports'!B1656,P1656)</f>
      </c>
    </row>
    <row r="1658" spans="1:16" x14ac:dyDescent="0.25">
      <c r="A1658">
        <f>IF(OR('R.M Billets Reports'!A1657="Date-",'R.M Billets Reports'!A1657="Date:-"),IF(IF(IF(ISNUMBER(SEARCH("Party Name:-",'R.M Billets Reports'!D1657)),TRIM('R.M Billets Reports'!F1657),IF(ISNUMBER(SEARCH("Party Name-",'R.M Billets Reports'!D1657)),TRIM(MID('R.M Billets Reports'!D1657,SEARCH("-",'R.M Billets Reports'!D1657)+1,200)),""))&lt;&gt;"",IF(ISNUMBER(SEARCH("Party Name:-",'R.M Billets Reports'!D1657)),TRIM('R.M Billets Reports'!F1657),IF(ISNUMBER(SEARCH("Party Name-",'R.M Billets Reports'!D1657)),TRIM(MID('R.M Billets Reports'!D1657,SEARCH("-",'R.M Billets Reports'!D1657)+1,200)),"")),IF(ISNUMBER(SEARCH("Party Name:-",'R.M Billets Reports'!D1658)),TRIM('R.M Billets Reports'!F1658),IF(ISNUMBER(SEARCH("Party Name-",'R.M Billets Reports'!D1658)),TRIM(MID('R.M Billets Reports'!D1658,SEARCH("-",'R.M Billets Reports'!D1658)+1,200)),"")))="VRKP ISPAT PVT LTD","VRKP",IF(IF(IF(ISNUMBER(SEARCH("Party Name:-",'R.M Billets Reports'!D1657)),TRIM('R.M Billets Reports'!F1657),IF(ISNUMBER(SEARCH("Party Name-",'R.M Billets Reports'!D1657)),TRIM(MID('R.M Billets Reports'!D1657,SEARCH("-",'R.M Billets Reports'!D1657)+1,200)),""))&lt;&gt;"",IF(ISNUMBER(SEARCH("Party Name:-",'R.M Billets Reports'!D1657)),TRIM('R.M Billets Reports'!F1657),IF(ISNUMBER(SEARCH("Party Name-",'R.M Billets Reports'!D1657)),TRIM(MID('R.M Billets Reports'!D1657,SEARCH("-",'R.M Billets Reports'!D1657)+1,200)),"")),IF(ISNUMBER(SEARCH("Party Name:-",'R.M Billets Reports'!D1658)),TRIM('R.M Billets Reports'!F1658),IF(ISNUMBER(SEARCH("Party Name-",'R.M Billets Reports'!D1658)),TRIM(MID('R.M Billets Reports'!D1658,SEARCH("-",'R.M Billets Reports'!D1658)+1,200)),"")))="SHRI RADHE","SHREE RADHE",IF(IF(IF(ISNUMBER(SEARCH("Party Name:-",'R.M Billets Reports'!D1657)),TRIM('R.M Billets Reports'!F1657),IF(ISNUMBER(SEARCH("Party Name-",'R.M Billets Reports'!D1657)),TRIM(MID('R.M Billets Reports'!D1657,SEARCH("-",'R.M Billets Reports'!D1657)+1,200)),""))&lt;&gt;"",IF(ISNUMBER(SEARCH("Party Name:-",'R.M Billets Reports'!D1657)),TRIM('R.M Billets Reports'!F1657),IF(ISNUMBER(SEARCH("Party Name-",'R.M Billets Reports'!D1657)),TRIM(MID('R.M Billets Reports'!D1657,SEARCH("-",'R.M Billets Reports'!D1657)+1,200)),"")),IF(ISNUMBER(SEARCH("Party Name:-",'R.M Billets Reports'!D1658)),TRIM('R.M Billets Reports'!F1658),IF(ISNUMBER(SEARCH("Party Name-",'R.M Billets Reports'!D1658)),TRIM(MID('R.M Billets Reports'!D1658,SEARCH("-",'R.M Billets Reports'!D1658)+1,200)),"")))="SHREE RADHE SHAKTI SPONGE AND POWER PVT. LTD.","SHREE RADHE",IF(IF(ISNUMBER(SEARCH("Party Name:-",'R.M Billets Reports'!D1657)),TRIM('R.M Billets Reports'!F1657),IF(ISNUMBER(SEARCH("Party Name-",'R.M Billets Reports'!D1657)),TRIM(MID('R.M Billets Reports'!D1657,SEARCH("-",'R.M Billets Reports'!D1657)+1,200)),""))&lt;&gt;"",IF(ISNUMBER(SEARCH("Party Name:-",'R.M Billets Reports'!D1657)),TRIM('R.M Billets Reports'!F1657),IF(ISNUMBER(SEARCH("Party Name-",'R.M Billets Reports'!D1657)),TRIM(MID('R.M Billets Reports'!D1657,SEARCH("-",'R.M Billets Reports'!D1657)+1,200)),"")),IF(ISNUMBER(SEARCH("Party Name:-",'R.M Billets Reports'!D1658)),TRIM('R.M Billets Reports'!F1658),IF(ISNUMBER(SEARCH("Party Name-",'R.M Billets Reports'!D1658)),TRIM(MID('R.M Billets Reports'!D1658,SEARCH("-",'R.M Billets Reports'!D1658)+1,200)),"")))))),IF(ROW()=2,"",A1657))</f>
      </c>
      <c r="B1658">
        <f>IF(OR('R.M Billets Reports'!A1657="Date-",'R.M Billets Reports'!A1657="Date:-"),'R.M Billets Reports'!B1657,IF(ROW()=2,"",B1657))</f>
      </c>
      <c r="C1658">
        <f>IF('R.M Billets Reports'!A1657="V.No.",'R.M Billets Reports'!B1657,IF(ROW()=2,"",C1657))</f>
      </c>
      <c r="D1658">
        <f>IF('R.M Billets Reports'!A1657&lt;&gt;"",'R.M Billets Reports'!A1657,IF(ROW()=2,"",D1657))</f>
      </c>
      <c r="E1658">
        <f>IF('R.M Billets Reports'!B1657="","",TRIM('R.M Billets Reports'!B1657))</f>
      </c>
      <c r="F1658">
        <f>'R.M Billets Reports'!C1657</f>
      </c>
      <c r="G1658">
        <f>'R.M Billets Reports'!D1657</f>
      </c>
      <c r="H1658">
        <f>'R.M Billets Reports'!E1657</f>
      </c>
      <c r="I1658">
        <f>'R.M Billets Reports'!F1657</f>
      </c>
      <c r="J1658">
        <f>'R.M Billets Reports'!G1657</f>
      </c>
      <c r="K1658">
        <f>'R.M Billets Reports'!H1657</f>
      </c>
      <c r="L1658">
        <f>IF('R.M Billets Reports'!I1657="","",'R.M Billets Reports'!I1657)</f>
      </c>
      <c r="M1658">
        <f t="shared" si="50"/>
      </c>
      <c r="N1658">
        <f>IF('R.M Billets Reports'!J1657="","",'R.M Billets Reports'!J1657)</f>
      </c>
      <c r="O1658">
        <f t="shared" si="51"/>
      </c>
      <c r="P1658">
        <f>IF('R.M Billets Reports'!A1657="SIZE",'R.M Billets Reports'!B1657,P1657)</f>
      </c>
    </row>
    <row r="1659" spans="1:16" x14ac:dyDescent="0.25">
      <c r="A1659">
        <f>IF(OR('R.M Billets Reports'!A1658="Date-",'R.M Billets Reports'!A1658="Date:-"),IF(IF(IF(ISNUMBER(SEARCH("Party Name:-",'R.M Billets Reports'!D1658)),TRIM('R.M Billets Reports'!F1658),IF(ISNUMBER(SEARCH("Party Name-",'R.M Billets Reports'!D1658)),TRIM(MID('R.M Billets Reports'!D1658,SEARCH("-",'R.M Billets Reports'!D1658)+1,200)),""))&lt;&gt;"",IF(ISNUMBER(SEARCH("Party Name:-",'R.M Billets Reports'!D1658)),TRIM('R.M Billets Reports'!F1658),IF(ISNUMBER(SEARCH("Party Name-",'R.M Billets Reports'!D1658)),TRIM(MID('R.M Billets Reports'!D1658,SEARCH("-",'R.M Billets Reports'!D1658)+1,200)),"")),IF(ISNUMBER(SEARCH("Party Name:-",'R.M Billets Reports'!D1659)),TRIM('R.M Billets Reports'!F1659),IF(ISNUMBER(SEARCH("Party Name-",'R.M Billets Reports'!D1659)),TRIM(MID('R.M Billets Reports'!D1659,SEARCH("-",'R.M Billets Reports'!D1659)+1,200)),"")))="VRKP ISPAT PVT LTD","VRKP",IF(IF(IF(ISNUMBER(SEARCH("Party Name:-",'R.M Billets Reports'!D1658)),TRIM('R.M Billets Reports'!F1658),IF(ISNUMBER(SEARCH("Party Name-",'R.M Billets Reports'!D1658)),TRIM(MID('R.M Billets Reports'!D1658,SEARCH("-",'R.M Billets Reports'!D1658)+1,200)),""))&lt;&gt;"",IF(ISNUMBER(SEARCH("Party Name:-",'R.M Billets Reports'!D1658)),TRIM('R.M Billets Reports'!F1658),IF(ISNUMBER(SEARCH("Party Name-",'R.M Billets Reports'!D1658)),TRIM(MID('R.M Billets Reports'!D1658,SEARCH("-",'R.M Billets Reports'!D1658)+1,200)),"")),IF(ISNUMBER(SEARCH("Party Name:-",'R.M Billets Reports'!D1659)),TRIM('R.M Billets Reports'!F1659),IF(ISNUMBER(SEARCH("Party Name-",'R.M Billets Reports'!D1659)),TRIM(MID('R.M Billets Reports'!D1659,SEARCH("-",'R.M Billets Reports'!D1659)+1,200)),"")))="SHRI RADHE","SHREE RADHE",IF(IF(IF(ISNUMBER(SEARCH("Party Name:-",'R.M Billets Reports'!D1658)),TRIM('R.M Billets Reports'!F1658),IF(ISNUMBER(SEARCH("Party Name-",'R.M Billets Reports'!D1658)),TRIM(MID('R.M Billets Reports'!D1658,SEARCH("-",'R.M Billets Reports'!D1658)+1,200)),""))&lt;&gt;"",IF(ISNUMBER(SEARCH("Party Name:-",'R.M Billets Reports'!D1658)),TRIM('R.M Billets Reports'!F1658),IF(ISNUMBER(SEARCH("Party Name-",'R.M Billets Reports'!D1658)),TRIM(MID('R.M Billets Reports'!D1658,SEARCH("-",'R.M Billets Reports'!D1658)+1,200)),"")),IF(ISNUMBER(SEARCH("Party Name:-",'R.M Billets Reports'!D1659)),TRIM('R.M Billets Reports'!F1659),IF(ISNUMBER(SEARCH("Party Name-",'R.M Billets Reports'!D1659)),TRIM(MID('R.M Billets Reports'!D1659,SEARCH("-",'R.M Billets Reports'!D1659)+1,200)),"")))="SHREE RADHE SHAKTI SPONGE AND POWER PVT. LTD.","SHREE RADHE",IF(IF(ISNUMBER(SEARCH("Party Name:-",'R.M Billets Reports'!D1658)),TRIM('R.M Billets Reports'!F1658),IF(ISNUMBER(SEARCH("Party Name-",'R.M Billets Reports'!D1658)),TRIM(MID('R.M Billets Reports'!D1658,SEARCH("-",'R.M Billets Reports'!D1658)+1,200)),""))&lt;&gt;"",IF(ISNUMBER(SEARCH("Party Name:-",'R.M Billets Reports'!D1658)),TRIM('R.M Billets Reports'!F1658),IF(ISNUMBER(SEARCH("Party Name-",'R.M Billets Reports'!D1658)),TRIM(MID('R.M Billets Reports'!D1658,SEARCH("-",'R.M Billets Reports'!D1658)+1,200)),"")),IF(ISNUMBER(SEARCH("Party Name:-",'R.M Billets Reports'!D1659)),TRIM('R.M Billets Reports'!F1659),IF(ISNUMBER(SEARCH("Party Name-",'R.M Billets Reports'!D1659)),TRIM(MID('R.M Billets Reports'!D1659,SEARCH("-",'R.M Billets Reports'!D1659)+1,200)),"")))))),IF(ROW()=2,"",A1658))</f>
      </c>
      <c r="B1659">
        <f>IF(OR('R.M Billets Reports'!A1658="Date-",'R.M Billets Reports'!A1658="Date:-"),'R.M Billets Reports'!B1658,IF(ROW()=2,"",B1658))</f>
      </c>
      <c r="C1659">
        <f>IF('R.M Billets Reports'!A1658="V.No.",'R.M Billets Reports'!B1658,IF(ROW()=2,"",C1658))</f>
      </c>
      <c r="D1659">
        <f>IF('R.M Billets Reports'!A1658&lt;&gt;"",'R.M Billets Reports'!A1658,IF(ROW()=2,"",D1658))</f>
      </c>
      <c r="E1659">
        <f>IF('R.M Billets Reports'!B1658="","",TRIM('R.M Billets Reports'!B1658))</f>
      </c>
      <c r="F1659">
        <f>'R.M Billets Reports'!C1658</f>
      </c>
      <c r="G1659">
        <f>'R.M Billets Reports'!D1658</f>
      </c>
      <c r="H1659">
        <f>'R.M Billets Reports'!E1658</f>
      </c>
      <c r="I1659">
        <f>'R.M Billets Reports'!F1658</f>
      </c>
      <c r="J1659">
        <f>'R.M Billets Reports'!G1658</f>
      </c>
      <c r="K1659">
        <f>'R.M Billets Reports'!H1658</f>
      </c>
      <c r="L1659">
        <f>IF('R.M Billets Reports'!I1658="","",'R.M Billets Reports'!I1658)</f>
      </c>
      <c r="M1659">
        <f t="shared" si="50"/>
      </c>
      <c r="N1659">
        <f>IF('R.M Billets Reports'!J1658="","",'R.M Billets Reports'!J1658)</f>
      </c>
      <c r="O1659">
        <f t="shared" si="51"/>
      </c>
      <c r="P1659">
        <f>IF('R.M Billets Reports'!A1658="SIZE",'R.M Billets Reports'!B1658,P1658)</f>
      </c>
    </row>
    <row r="1660" spans="1:16" x14ac:dyDescent="0.25">
      <c r="A1660">
        <f>IF(OR('R.M Billets Reports'!A1659="Date-",'R.M Billets Reports'!A1659="Date:-"),IF(IF(IF(ISNUMBER(SEARCH("Party Name:-",'R.M Billets Reports'!D1659)),TRIM('R.M Billets Reports'!F1659),IF(ISNUMBER(SEARCH("Party Name-",'R.M Billets Reports'!D1659)),TRIM(MID('R.M Billets Reports'!D1659,SEARCH("-",'R.M Billets Reports'!D1659)+1,200)),""))&lt;&gt;"",IF(ISNUMBER(SEARCH("Party Name:-",'R.M Billets Reports'!D1659)),TRIM('R.M Billets Reports'!F1659),IF(ISNUMBER(SEARCH("Party Name-",'R.M Billets Reports'!D1659)),TRIM(MID('R.M Billets Reports'!D1659,SEARCH("-",'R.M Billets Reports'!D1659)+1,200)),"")),IF(ISNUMBER(SEARCH("Party Name:-",'R.M Billets Reports'!D1660)),TRIM('R.M Billets Reports'!F1660),IF(ISNUMBER(SEARCH("Party Name-",'R.M Billets Reports'!D1660)),TRIM(MID('R.M Billets Reports'!D1660,SEARCH("-",'R.M Billets Reports'!D1660)+1,200)),"")))="VRKP ISPAT PVT LTD","VRKP",IF(IF(IF(ISNUMBER(SEARCH("Party Name:-",'R.M Billets Reports'!D1659)),TRIM('R.M Billets Reports'!F1659),IF(ISNUMBER(SEARCH("Party Name-",'R.M Billets Reports'!D1659)),TRIM(MID('R.M Billets Reports'!D1659,SEARCH("-",'R.M Billets Reports'!D1659)+1,200)),""))&lt;&gt;"",IF(ISNUMBER(SEARCH("Party Name:-",'R.M Billets Reports'!D1659)),TRIM('R.M Billets Reports'!F1659),IF(ISNUMBER(SEARCH("Party Name-",'R.M Billets Reports'!D1659)),TRIM(MID('R.M Billets Reports'!D1659,SEARCH("-",'R.M Billets Reports'!D1659)+1,200)),"")),IF(ISNUMBER(SEARCH("Party Name:-",'R.M Billets Reports'!D1660)),TRIM('R.M Billets Reports'!F1660),IF(ISNUMBER(SEARCH("Party Name-",'R.M Billets Reports'!D1660)),TRIM(MID('R.M Billets Reports'!D1660,SEARCH("-",'R.M Billets Reports'!D1660)+1,200)),"")))="SHRI RADHE","SHREE RADHE",IF(IF(IF(ISNUMBER(SEARCH("Party Name:-",'R.M Billets Reports'!D1659)),TRIM('R.M Billets Reports'!F1659),IF(ISNUMBER(SEARCH("Party Name-",'R.M Billets Reports'!D1659)),TRIM(MID('R.M Billets Reports'!D1659,SEARCH("-",'R.M Billets Reports'!D1659)+1,200)),""))&lt;&gt;"",IF(ISNUMBER(SEARCH("Party Name:-",'R.M Billets Reports'!D1659)),TRIM('R.M Billets Reports'!F1659),IF(ISNUMBER(SEARCH("Party Name-",'R.M Billets Reports'!D1659)),TRIM(MID('R.M Billets Reports'!D1659,SEARCH("-",'R.M Billets Reports'!D1659)+1,200)),"")),IF(ISNUMBER(SEARCH("Party Name:-",'R.M Billets Reports'!D1660)),TRIM('R.M Billets Reports'!F1660),IF(ISNUMBER(SEARCH("Party Name-",'R.M Billets Reports'!D1660)),TRIM(MID('R.M Billets Reports'!D1660,SEARCH("-",'R.M Billets Reports'!D1660)+1,200)),"")))="SHREE RADHE SHAKTI SPONGE AND POWER PVT. LTD.","SHREE RADHE",IF(IF(ISNUMBER(SEARCH("Party Name:-",'R.M Billets Reports'!D1659)),TRIM('R.M Billets Reports'!F1659),IF(ISNUMBER(SEARCH("Party Name-",'R.M Billets Reports'!D1659)),TRIM(MID('R.M Billets Reports'!D1659,SEARCH("-",'R.M Billets Reports'!D1659)+1,200)),""))&lt;&gt;"",IF(ISNUMBER(SEARCH("Party Name:-",'R.M Billets Reports'!D1659)),TRIM('R.M Billets Reports'!F1659),IF(ISNUMBER(SEARCH("Party Name-",'R.M Billets Reports'!D1659)),TRIM(MID('R.M Billets Reports'!D1659,SEARCH("-",'R.M Billets Reports'!D1659)+1,200)),"")),IF(ISNUMBER(SEARCH("Party Name:-",'R.M Billets Reports'!D1660)),TRIM('R.M Billets Reports'!F1660),IF(ISNUMBER(SEARCH("Party Name-",'R.M Billets Reports'!D1660)),TRIM(MID('R.M Billets Reports'!D1660,SEARCH("-",'R.M Billets Reports'!D1660)+1,200)),"")))))),IF(ROW()=2,"",A1659))</f>
      </c>
      <c r="B1660">
        <f>IF(OR('R.M Billets Reports'!A1659="Date-",'R.M Billets Reports'!A1659="Date:-"),'R.M Billets Reports'!B1659,IF(ROW()=2,"",B1659))</f>
      </c>
      <c r="C1660">
        <f>IF('R.M Billets Reports'!A1659="V.No.",'R.M Billets Reports'!B1659,IF(ROW()=2,"",C1659))</f>
      </c>
      <c r="D1660">
        <f>IF('R.M Billets Reports'!A1659&lt;&gt;"",'R.M Billets Reports'!A1659,IF(ROW()=2,"",D1659))</f>
      </c>
      <c r="E1660">
        <f>IF('R.M Billets Reports'!B1659="","",TRIM('R.M Billets Reports'!B1659))</f>
      </c>
      <c r="F1660">
        <f>'R.M Billets Reports'!C1659</f>
      </c>
      <c r="G1660">
        <f>'R.M Billets Reports'!D1659</f>
      </c>
      <c r="H1660">
        <f>'R.M Billets Reports'!E1659</f>
      </c>
      <c r="I1660">
        <f>'R.M Billets Reports'!F1659</f>
      </c>
      <c r="J1660">
        <f>'R.M Billets Reports'!G1659</f>
      </c>
      <c r="K1660">
        <f>'R.M Billets Reports'!H1659</f>
      </c>
      <c r="L1660">
        <f>IF('R.M Billets Reports'!I1659="","",'R.M Billets Reports'!I1659)</f>
      </c>
      <c r="M1660">
        <f t="shared" si="50"/>
      </c>
      <c r="N1660">
        <f>IF('R.M Billets Reports'!J1659="","",'R.M Billets Reports'!J1659)</f>
      </c>
      <c r="O1660">
        <f t="shared" si="51"/>
      </c>
      <c r="P1660">
        <f>IF('R.M Billets Reports'!A1659="SIZE",'R.M Billets Reports'!B1659,P1659)</f>
      </c>
    </row>
    <row r="1661" spans="1:16" x14ac:dyDescent="0.25">
      <c r="A1661">
        <f>IF(OR('R.M Billets Reports'!A1660="Date-",'R.M Billets Reports'!A1660="Date:-"),IF(IF(IF(ISNUMBER(SEARCH("Party Name:-",'R.M Billets Reports'!D1660)),TRIM('R.M Billets Reports'!F1660),IF(ISNUMBER(SEARCH("Party Name-",'R.M Billets Reports'!D1660)),TRIM(MID('R.M Billets Reports'!D1660,SEARCH("-",'R.M Billets Reports'!D1660)+1,200)),""))&lt;&gt;"",IF(ISNUMBER(SEARCH("Party Name:-",'R.M Billets Reports'!D1660)),TRIM('R.M Billets Reports'!F1660),IF(ISNUMBER(SEARCH("Party Name-",'R.M Billets Reports'!D1660)),TRIM(MID('R.M Billets Reports'!D1660,SEARCH("-",'R.M Billets Reports'!D1660)+1,200)),"")),IF(ISNUMBER(SEARCH("Party Name:-",'R.M Billets Reports'!D1661)),TRIM('R.M Billets Reports'!F1661),IF(ISNUMBER(SEARCH("Party Name-",'R.M Billets Reports'!D1661)),TRIM(MID('R.M Billets Reports'!D1661,SEARCH("-",'R.M Billets Reports'!D1661)+1,200)),"")))="VRKP ISPAT PVT LTD","VRKP",IF(IF(IF(ISNUMBER(SEARCH("Party Name:-",'R.M Billets Reports'!D1660)),TRIM('R.M Billets Reports'!F1660),IF(ISNUMBER(SEARCH("Party Name-",'R.M Billets Reports'!D1660)),TRIM(MID('R.M Billets Reports'!D1660,SEARCH("-",'R.M Billets Reports'!D1660)+1,200)),""))&lt;&gt;"",IF(ISNUMBER(SEARCH("Party Name:-",'R.M Billets Reports'!D1660)),TRIM('R.M Billets Reports'!F1660),IF(ISNUMBER(SEARCH("Party Name-",'R.M Billets Reports'!D1660)),TRIM(MID('R.M Billets Reports'!D1660,SEARCH("-",'R.M Billets Reports'!D1660)+1,200)),"")),IF(ISNUMBER(SEARCH("Party Name:-",'R.M Billets Reports'!D1661)),TRIM('R.M Billets Reports'!F1661),IF(ISNUMBER(SEARCH("Party Name-",'R.M Billets Reports'!D1661)),TRIM(MID('R.M Billets Reports'!D1661,SEARCH("-",'R.M Billets Reports'!D1661)+1,200)),"")))="SHRI RADHE","SHREE RADHE",IF(IF(IF(ISNUMBER(SEARCH("Party Name:-",'R.M Billets Reports'!D1660)),TRIM('R.M Billets Reports'!F1660),IF(ISNUMBER(SEARCH("Party Name-",'R.M Billets Reports'!D1660)),TRIM(MID('R.M Billets Reports'!D1660,SEARCH("-",'R.M Billets Reports'!D1660)+1,200)),""))&lt;&gt;"",IF(ISNUMBER(SEARCH("Party Name:-",'R.M Billets Reports'!D1660)),TRIM('R.M Billets Reports'!F1660),IF(ISNUMBER(SEARCH("Party Name-",'R.M Billets Reports'!D1660)),TRIM(MID('R.M Billets Reports'!D1660,SEARCH("-",'R.M Billets Reports'!D1660)+1,200)),"")),IF(ISNUMBER(SEARCH("Party Name:-",'R.M Billets Reports'!D1661)),TRIM('R.M Billets Reports'!F1661),IF(ISNUMBER(SEARCH("Party Name-",'R.M Billets Reports'!D1661)),TRIM(MID('R.M Billets Reports'!D1661,SEARCH("-",'R.M Billets Reports'!D1661)+1,200)),"")))="SHREE RADHE SHAKTI SPONGE AND POWER PVT. LTD.","SHREE RADHE",IF(IF(ISNUMBER(SEARCH("Party Name:-",'R.M Billets Reports'!D1660)),TRIM('R.M Billets Reports'!F1660),IF(ISNUMBER(SEARCH("Party Name-",'R.M Billets Reports'!D1660)),TRIM(MID('R.M Billets Reports'!D1660,SEARCH("-",'R.M Billets Reports'!D1660)+1,200)),""))&lt;&gt;"",IF(ISNUMBER(SEARCH("Party Name:-",'R.M Billets Reports'!D1660)),TRIM('R.M Billets Reports'!F1660),IF(ISNUMBER(SEARCH("Party Name-",'R.M Billets Reports'!D1660)),TRIM(MID('R.M Billets Reports'!D1660,SEARCH("-",'R.M Billets Reports'!D1660)+1,200)),"")),IF(ISNUMBER(SEARCH("Party Name:-",'R.M Billets Reports'!D1661)),TRIM('R.M Billets Reports'!F1661),IF(ISNUMBER(SEARCH("Party Name-",'R.M Billets Reports'!D1661)),TRIM(MID('R.M Billets Reports'!D1661,SEARCH("-",'R.M Billets Reports'!D1661)+1,200)),"")))))),IF(ROW()=2,"",A1660))</f>
      </c>
      <c r="B1661">
        <f>IF(OR('R.M Billets Reports'!A1660="Date-",'R.M Billets Reports'!A1660="Date:-"),'R.M Billets Reports'!B1660,IF(ROW()=2,"",B1660))</f>
      </c>
      <c r="C1661">
        <f>IF('R.M Billets Reports'!A1660="V.No.",'R.M Billets Reports'!B1660,IF(ROW()=2,"",C1660))</f>
      </c>
      <c r="D1661">
        <f>IF('R.M Billets Reports'!A1660&lt;&gt;"",'R.M Billets Reports'!A1660,IF(ROW()=2,"",D1660))</f>
      </c>
      <c r="E1661">
        <f>IF('R.M Billets Reports'!B1660="","",TRIM('R.M Billets Reports'!B1660))</f>
      </c>
      <c r="F1661">
        <f>'R.M Billets Reports'!C1660</f>
      </c>
      <c r="G1661">
        <f>'R.M Billets Reports'!D1660</f>
      </c>
      <c r="H1661">
        <f>'R.M Billets Reports'!E1660</f>
      </c>
      <c r="I1661">
        <f>'R.M Billets Reports'!F1660</f>
      </c>
      <c r="J1661">
        <f>'R.M Billets Reports'!G1660</f>
      </c>
      <c r="K1661">
        <f>'R.M Billets Reports'!H1660</f>
      </c>
      <c r="L1661">
        <f>IF('R.M Billets Reports'!I1660="","",'R.M Billets Reports'!I1660)</f>
      </c>
      <c r="M1661">
        <f t="shared" si="50"/>
      </c>
      <c r="N1661">
        <f>IF('R.M Billets Reports'!J1660="","",'R.M Billets Reports'!J1660)</f>
      </c>
      <c r="O1661">
        <f t="shared" si="51"/>
      </c>
      <c r="P1661">
        <f>IF('R.M Billets Reports'!A1660="SIZE",'R.M Billets Reports'!B1660,P1660)</f>
      </c>
    </row>
    <row r="1662" spans="1:16" x14ac:dyDescent="0.25">
      <c r="A1662">
        <f>IF(OR('R.M Billets Reports'!A1661="Date-",'R.M Billets Reports'!A1661="Date:-"),IF(IF(IF(ISNUMBER(SEARCH("Party Name:-",'R.M Billets Reports'!D1661)),TRIM('R.M Billets Reports'!F1661),IF(ISNUMBER(SEARCH("Party Name-",'R.M Billets Reports'!D1661)),TRIM(MID('R.M Billets Reports'!D1661,SEARCH("-",'R.M Billets Reports'!D1661)+1,200)),""))&lt;&gt;"",IF(ISNUMBER(SEARCH("Party Name:-",'R.M Billets Reports'!D1661)),TRIM('R.M Billets Reports'!F1661),IF(ISNUMBER(SEARCH("Party Name-",'R.M Billets Reports'!D1661)),TRIM(MID('R.M Billets Reports'!D1661,SEARCH("-",'R.M Billets Reports'!D1661)+1,200)),"")),IF(ISNUMBER(SEARCH("Party Name:-",'R.M Billets Reports'!D1662)),TRIM('R.M Billets Reports'!F1662),IF(ISNUMBER(SEARCH("Party Name-",'R.M Billets Reports'!D1662)),TRIM(MID('R.M Billets Reports'!D1662,SEARCH("-",'R.M Billets Reports'!D1662)+1,200)),"")))="VRKP ISPAT PVT LTD","VRKP",IF(IF(IF(ISNUMBER(SEARCH("Party Name:-",'R.M Billets Reports'!D1661)),TRIM('R.M Billets Reports'!F1661),IF(ISNUMBER(SEARCH("Party Name-",'R.M Billets Reports'!D1661)),TRIM(MID('R.M Billets Reports'!D1661,SEARCH("-",'R.M Billets Reports'!D1661)+1,200)),""))&lt;&gt;"",IF(ISNUMBER(SEARCH("Party Name:-",'R.M Billets Reports'!D1661)),TRIM('R.M Billets Reports'!F1661),IF(ISNUMBER(SEARCH("Party Name-",'R.M Billets Reports'!D1661)),TRIM(MID('R.M Billets Reports'!D1661,SEARCH("-",'R.M Billets Reports'!D1661)+1,200)),"")),IF(ISNUMBER(SEARCH("Party Name:-",'R.M Billets Reports'!D1662)),TRIM('R.M Billets Reports'!F1662),IF(ISNUMBER(SEARCH("Party Name-",'R.M Billets Reports'!D1662)),TRIM(MID('R.M Billets Reports'!D1662,SEARCH("-",'R.M Billets Reports'!D1662)+1,200)),"")))="SHRI RADHE","SHREE RADHE",IF(IF(IF(ISNUMBER(SEARCH("Party Name:-",'R.M Billets Reports'!D1661)),TRIM('R.M Billets Reports'!F1661),IF(ISNUMBER(SEARCH("Party Name-",'R.M Billets Reports'!D1661)),TRIM(MID('R.M Billets Reports'!D1661,SEARCH("-",'R.M Billets Reports'!D1661)+1,200)),""))&lt;&gt;"",IF(ISNUMBER(SEARCH("Party Name:-",'R.M Billets Reports'!D1661)),TRIM('R.M Billets Reports'!F1661),IF(ISNUMBER(SEARCH("Party Name-",'R.M Billets Reports'!D1661)),TRIM(MID('R.M Billets Reports'!D1661,SEARCH("-",'R.M Billets Reports'!D1661)+1,200)),"")),IF(ISNUMBER(SEARCH("Party Name:-",'R.M Billets Reports'!D1662)),TRIM('R.M Billets Reports'!F1662),IF(ISNUMBER(SEARCH("Party Name-",'R.M Billets Reports'!D1662)),TRIM(MID('R.M Billets Reports'!D1662,SEARCH("-",'R.M Billets Reports'!D1662)+1,200)),"")))="SHREE RADHE SHAKTI SPONGE AND POWER PVT. LTD.","SHREE RADHE",IF(IF(ISNUMBER(SEARCH("Party Name:-",'R.M Billets Reports'!D1661)),TRIM('R.M Billets Reports'!F1661),IF(ISNUMBER(SEARCH("Party Name-",'R.M Billets Reports'!D1661)),TRIM(MID('R.M Billets Reports'!D1661,SEARCH("-",'R.M Billets Reports'!D1661)+1,200)),""))&lt;&gt;"",IF(ISNUMBER(SEARCH("Party Name:-",'R.M Billets Reports'!D1661)),TRIM('R.M Billets Reports'!F1661),IF(ISNUMBER(SEARCH("Party Name-",'R.M Billets Reports'!D1661)),TRIM(MID('R.M Billets Reports'!D1661,SEARCH("-",'R.M Billets Reports'!D1661)+1,200)),"")),IF(ISNUMBER(SEARCH("Party Name:-",'R.M Billets Reports'!D1662)),TRIM('R.M Billets Reports'!F1662),IF(ISNUMBER(SEARCH("Party Name-",'R.M Billets Reports'!D1662)),TRIM(MID('R.M Billets Reports'!D1662,SEARCH("-",'R.M Billets Reports'!D1662)+1,200)),"")))))),IF(ROW()=2,"",A1661))</f>
      </c>
      <c r="B1662">
        <f>IF(OR('R.M Billets Reports'!A1661="Date-",'R.M Billets Reports'!A1661="Date:-"),'R.M Billets Reports'!B1661,IF(ROW()=2,"",B1661))</f>
      </c>
      <c r="C1662">
        <f>IF('R.M Billets Reports'!A1661="V.No.",'R.M Billets Reports'!B1661,IF(ROW()=2,"",C1661))</f>
      </c>
      <c r="D1662">
        <f>IF('R.M Billets Reports'!A1661&lt;&gt;"",'R.M Billets Reports'!A1661,IF(ROW()=2,"",D1661))</f>
      </c>
      <c r="E1662">
        <f>IF('R.M Billets Reports'!B1661="","",TRIM('R.M Billets Reports'!B1661))</f>
      </c>
      <c r="F1662">
        <f>'R.M Billets Reports'!C1661</f>
      </c>
      <c r="G1662">
        <f>'R.M Billets Reports'!D1661</f>
      </c>
      <c r="H1662">
        <f>'R.M Billets Reports'!E1661</f>
      </c>
      <c r="I1662">
        <f>'R.M Billets Reports'!F1661</f>
      </c>
      <c r="J1662">
        <f>'R.M Billets Reports'!G1661</f>
      </c>
      <c r="K1662">
        <f>'R.M Billets Reports'!H1661</f>
      </c>
      <c r="L1662">
        <f>IF('R.M Billets Reports'!I1661="","",'R.M Billets Reports'!I1661)</f>
      </c>
      <c r="M1662">
        <f t="shared" si="50"/>
      </c>
      <c r="N1662">
        <f>IF('R.M Billets Reports'!J1661="","",'R.M Billets Reports'!J1661)</f>
      </c>
      <c r="O1662">
        <f t="shared" si="51"/>
      </c>
      <c r="P1662">
        <f>IF('R.M Billets Reports'!A1661="SIZE",'R.M Billets Reports'!B1661,P1661)</f>
      </c>
    </row>
    <row r="1663" spans="1:16" x14ac:dyDescent="0.25">
      <c r="A1663">
        <f>IF(OR('R.M Billets Reports'!A1662="Date-",'R.M Billets Reports'!A1662="Date:-"),IF(IF(IF(ISNUMBER(SEARCH("Party Name:-",'R.M Billets Reports'!D1662)),TRIM('R.M Billets Reports'!F1662),IF(ISNUMBER(SEARCH("Party Name-",'R.M Billets Reports'!D1662)),TRIM(MID('R.M Billets Reports'!D1662,SEARCH("-",'R.M Billets Reports'!D1662)+1,200)),""))&lt;&gt;"",IF(ISNUMBER(SEARCH("Party Name:-",'R.M Billets Reports'!D1662)),TRIM('R.M Billets Reports'!F1662),IF(ISNUMBER(SEARCH("Party Name-",'R.M Billets Reports'!D1662)),TRIM(MID('R.M Billets Reports'!D1662,SEARCH("-",'R.M Billets Reports'!D1662)+1,200)),"")),IF(ISNUMBER(SEARCH("Party Name:-",'R.M Billets Reports'!D1663)),TRIM('R.M Billets Reports'!F1663),IF(ISNUMBER(SEARCH("Party Name-",'R.M Billets Reports'!D1663)),TRIM(MID('R.M Billets Reports'!D1663,SEARCH("-",'R.M Billets Reports'!D1663)+1,200)),"")))="VRKP ISPAT PVT LTD","VRKP",IF(IF(IF(ISNUMBER(SEARCH("Party Name:-",'R.M Billets Reports'!D1662)),TRIM('R.M Billets Reports'!F1662),IF(ISNUMBER(SEARCH("Party Name-",'R.M Billets Reports'!D1662)),TRIM(MID('R.M Billets Reports'!D1662,SEARCH("-",'R.M Billets Reports'!D1662)+1,200)),""))&lt;&gt;"",IF(ISNUMBER(SEARCH("Party Name:-",'R.M Billets Reports'!D1662)),TRIM('R.M Billets Reports'!F1662),IF(ISNUMBER(SEARCH("Party Name-",'R.M Billets Reports'!D1662)),TRIM(MID('R.M Billets Reports'!D1662,SEARCH("-",'R.M Billets Reports'!D1662)+1,200)),"")),IF(ISNUMBER(SEARCH("Party Name:-",'R.M Billets Reports'!D1663)),TRIM('R.M Billets Reports'!F1663),IF(ISNUMBER(SEARCH("Party Name-",'R.M Billets Reports'!D1663)),TRIM(MID('R.M Billets Reports'!D1663,SEARCH("-",'R.M Billets Reports'!D1663)+1,200)),"")))="SHRI RADHE","SHREE RADHE",IF(IF(IF(ISNUMBER(SEARCH("Party Name:-",'R.M Billets Reports'!D1662)),TRIM('R.M Billets Reports'!F1662),IF(ISNUMBER(SEARCH("Party Name-",'R.M Billets Reports'!D1662)),TRIM(MID('R.M Billets Reports'!D1662,SEARCH("-",'R.M Billets Reports'!D1662)+1,200)),""))&lt;&gt;"",IF(ISNUMBER(SEARCH("Party Name:-",'R.M Billets Reports'!D1662)),TRIM('R.M Billets Reports'!F1662),IF(ISNUMBER(SEARCH("Party Name-",'R.M Billets Reports'!D1662)),TRIM(MID('R.M Billets Reports'!D1662,SEARCH("-",'R.M Billets Reports'!D1662)+1,200)),"")),IF(ISNUMBER(SEARCH("Party Name:-",'R.M Billets Reports'!D1663)),TRIM('R.M Billets Reports'!F1663),IF(ISNUMBER(SEARCH("Party Name-",'R.M Billets Reports'!D1663)),TRIM(MID('R.M Billets Reports'!D1663,SEARCH("-",'R.M Billets Reports'!D1663)+1,200)),"")))="SHREE RADHE SHAKTI SPONGE AND POWER PVT. LTD.","SHREE RADHE",IF(IF(ISNUMBER(SEARCH("Party Name:-",'R.M Billets Reports'!D1662)),TRIM('R.M Billets Reports'!F1662),IF(ISNUMBER(SEARCH("Party Name-",'R.M Billets Reports'!D1662)),TRIM(MID('R.M Billets Reports'!D1662,SEARCH("-",'R.M Billets Reports'!D1662)+1,200)),""))&lt;&gt;"",IF(ISNUMBER(SEARCH("Party Name:-",'R.M Billets Reports'!D1662)),TRIM('R.M Billets Reports'!F1662),IF(ISNUMBER(SEARCH("Party Name-",'R.M Billets Reports'!D1662)),TRIM(MID('R.M Billets Reports'!D1662,SEARCH("-",'R.M Billets Reports'!D1662)+1,200)),"")),IF(ISNUMBER(SEARCH("Party Name:-",'R.M Billets Reports'!D1663)),TRIM('R.M Billets Reports'!F1663),IF(ISNUMBER(SEARCH("Party Name-",'R.M Billets Reports'!D1663)),TRIM(MID('R.M Billets Reports'!D1663,SEARCH("-",'R.M Billets Reports'!D1663)+1,200)),"")))))),IF(ROW()=2,"",A1662))</f>
      </c>
      <c r="B1663">
        <f>IF(OR('R.M Billets Reports'!A1662="Date-",'R.M Billets Reports'!A1662="Date:-"),'R.M Billets Reports'!B1662,IF(ROW()=2,"",B1662))</f>
      </c>
      <c r="C1663">
        <f>IF('R.M Billets Reports'!A1662="V.No.",'R.M Billets Reports'!B1662,IF(ROW()=2,"",C1662))</f>
      </c>
      <c r="D1663">
        <f>IF('R.M Billets Reports'!A1662&lt;&gt;"",'R.M Billets Reports'!A1662,IF(ROW()=2,"",D1662))</f>
      </c>
      <c r="E1663">
        <f>IF('R.M Billets Reports'!B1662="","",TRIM('R.M Billets Reports'!B1662))</f>
      </c>
      <c r="F1663">
        <f>'R.M Billets Reports'!C1662</f>
      </c>
      <c r="G1663">
        <f>'R.M Billets Reports'!D1662</f>
      </c>
      <c r="H1663">
        <f>'R.M Billets Reports'!E1662</f>
      </c>
      <c r="I1663">
        <f>'R.M Billets Reports'!F1662</f>
      </c>
      <c r="J1663">
        <f>'R.M Billets Reports'!G1662</f>
      </c>
      <c r="K1663">
        <f>'R.M Billets Reports'!H1662</f>
      </c>
      <c r="L1663">
        <f>IF('R.M Billets Reports'!I1662="","",'R.M Billets Reports'!I1662)</f>
      </c>
      <c r="M1663">
        <f t="shared" si="50"/>
      </c>
      <c r="N1663">
        <f>IF('R.M Billets Reports'!J1662="","",'R.M Billets Reports'!J1662)</f>
      </c>
      <c r="O1663">
        <f t="shared" si="51"/>
      </c>
      <c r="P1663">
        <f>IF('R.M Billets Reports'!A1662="SIZE",'R.M Billets Reports'!B1662,P1662)</f>
      </c>
    </row>
    <row r="1664" spans="1:16" x14ac:dyDescent="0.25">
      <c r="A1664">
        <f>IF(OR('R.M Billets Reports'!A1663="Date-",'R.M Billets Reports'!A1663="Date:-"),IF(IF(IF(ISNUMBER(SEARCH("Party Name:-",'R.M Billets Reports'!D1663)),TRIM('R.M Billets Reports'!F1663),IF(ISNUMBER(SEARCH("Party Name-",'R.M Billets Reports'!D1663)),TRIM(MID('R.M Billets Reports'!D1663,SEARCH("-",'R.M Billets Reports'!D1663)+1,200)),""))&lt;&gt;"",IF(ISNUMBER(SEARCH("Party Name:-",'R.M Billets Reports'!D1663)),TRIM('R.M Billets Reports'!F1663),IF(ISNUMBER(SEARCH("Party Name-",'R.M Billets Reports'!D1663)),TRIM(MID('R.M Billets Reports'!D1663,SEARCH("-",'R.M Billets Reports'!D1663)+1,200)),"")),IF(ISNUMBER(SEARCH("Party Name:-",'R.M Billets Reports'!D1664)),TRIM('R.M Billets Reports'!F1664),IF(ISNUMBER(SEARCH("Party Name-",'R.M Billets Reports'!D1664)),TRIM(MID('R.M Billets Reports'!D1664,SEARCH("-",'R.M Billets Reports'!D1664)+1,200)),"")))="VRKP ISPAT PVT LTD","VRKP",IF(IF(IF(ISNUMBER(SEARCH("Party Name:-",'R.M Billets Reports'!D1663)),TRIM('R.M Billets Reports'!F1663),IF(ISNUMBER(SEARCH("Party Name-",'R.M Billets Reports'!D1663)),TRIM(MID('R.M Billets Reports'!D1663,SEARCH("-",'R.M Billets Reports'!D1663)+1,200)),""))&lt;&gt;"",IF(ISNUMBER(SEARCH("Party Name:-",'R.M Billets Reports'!D1663)),TRIM('R.M Billets Reports'!F1663),IF(ISNUMBER(SEARCH("Party Name-",'R.M Billets Reports'!D1663)),TRIM(MID('R.M Billets Reports'!D1663,SEARCH("-",'R.M Billets Reports'!D1663)+1,200)),"")),IF(ISNUMBER(SEARCH("Party Name:-",'R.M Billets Reports'!D1664)),TRIM('R.M Billets Reports'!F1664),IF(ISNUMBER(SEARCH("Party Name-",'R.M Billets Reports'!D1664)),TRIM(MID('R.M Billets Reports'!D1664,SEARCH("-",'R.M Billets Reports'!D1664)+1,200)),"")))="SHRI RADHE","SHREE RADHE",IF(IF(IF(ISNUMBER(SEARCH("Party Name:-",'R.M Billets Reports'!D1663)),TRIM('R.M Billets Reports'!F1663),IF(ISNUMBER(SEARCH("Party Name-",'R.M Billets Reports'!D1663)),TRIM(MID('R.M Billets Reports'!D1663,SEARCH("-",'R.M Billets Reports'!D1663)+1,200)),""))&lt;&gt;"",IF(ISNUMBER(SEARCH("Party Name:-",'R.M Billets Reports'!D1663)),TRIM('R.M Billets Reports'!F1663),IF(ISNUMBER(SEARCH("Party Name-",'R.M Billets Reports'!D1663)),TRIM(MID('R.M Billets Reports'!D1663,SEARCH("-",'R.M Billets Reports'!D1663)+1,200)),"")),IF(ISNUMBER(SEARCH("Party Name:-",'R.M Billets Reports'!D1664)),TRIM('R.M Billets Reports'!F1664),IF(ISNUMBER(SEARCH("Party Name-",'R.M Billets Reports'!D1664)),TRIM(MID('R.M Billets Reports'!D1664,SEARCH("-",'R.M Billets Reports'!D1664)+1,200)),"")))="SHREE RADHE SHAKTI SPONGE AND POWER PVT. LTD.","SHREE RADHE",IF(IF(ISNUMBER(SEARCH("Party Name:-",'R.M Billets Reports'!D1663)),TRIM('R.M Billets Reports'!F1663),IF(ISNUMBER(SEARCH("Party Name-",'R.M Billets Reports'!D1663)),TRIM(MID('R.M Billets Reports'!D1663,SEARCH("-",'R.M Billets Reports'!D1663)+1,200)),""))&lt;&gt;"",IF(ISNUMBER(SEARCH("Party Name:-",'R.M Billets Reports'!D1663)),TRIM('R.M Billets Reports'!F1663),IF(ISNUMBER(SEARCH("Party Name-",'R.M Billets Reports'!D1663)),TRIM(MID('R.M Billets Reports'!D1663,SEARCH("-",'R.M Billets Reports'!D1663)+1,200)),"")),IF(ISNUMBER(SEARCH("Party Name:-",'R.M Billets Reports'!D1664)),TRIM('R.M Billets Reports'!F1664),IF(ISNUMBER(SEARCH("Party Name-",'R.M Billets Reports'!D1664)),TRIM(MID('R.M Billets Reports'!D1664,SEARCH("-",'R.M Billets Reports'!D1664)+1,200)),"")))))),IF(ROW()=2,"",A1663))</f>
      </c>
      <c r="B1664">
        <f>IF(OR('R.M Billets Reports'!A1663="Date-",'R.M Billets Reports'!A1663="Date:-"),'R.M Billets Reports'!B1663,IF(ROW()=2,"",B1663))</f>
      </c>
      <c r="C1664">
        <f>IF('R.M Billets Reports'!A1663="V.No.",'R.M Billets Reports'!B1663,IF(ROW()=2,"",C1663))</f>
      </c>
      <c r="D1664">
        <f>IF('R.M Billets Reports'!A1663&lt;&gt;"",'R.M Billets Reports'!A1663,IF(ROW()=2,"",D1663))</f>
      </c>
      <c r="E1664">
        <f>IF('R.M Billets Reports'!B1663="","",TRIM('R.M Billets Reports'!B1663))</f>
      </c>
      <c r="F1664">
        <f>'R.M Billets Reports'!C1663</f>
      </c>
      <c r="G1664">
        <f>'R.M Billets Reports'!D1663</f>
      </c>
      <c r="H1664">
        <f>'R.M Billets Reports'!E1663</f>
      </c>
      <c r="I1664">
        <f>'R.M Billets Reports'!F1663</f>
      </c>
      <c r="J1664">
        <f>'R.M Billets Reports'!G1663</f>
      </c>
      <c r="K1664">
        <f>'R.M Billets Reports'!H1663</f>
      </c>
      <c r="L1664">
        <f>IF('R.M Billets Reports'!I1663="","",'R.M Billets Reports'!I1663)</f>
      </c>
      <c r="M1664">
        <f t="shared" si="50"/>
      </c>
      <c r="N1664">
        <f>IF('R.M Billets Reports'!J1663="","",'R.M Billets Reports'!J1663)</f>
      </c>
      <c r="O1664">
        <f t="shared" si="51"/>
      </c>
      <c r="P1664">
        <f>IF('R.M Billets Reports'!A1663="SIZE",'R.M Billets Reports'!B1663,P1663)</f>
      </c>
    </row>
    <row r="1665" spans="1:16" x14ac:dyDescent="0.25">
      <c r="A1665">
        <f>IF(OR('R.M Billets Reports'!A1664="Date-",'R.M Billets Reports'!A1664="Date:-"),IF(IF(IF(ISNUMBER(SEARCH("Party Name:-",'R.M Billets Reports'!D1664)),TRIM('R.M Billets Reports'!F1664),IF(ISNUMBER(SEARCH("Party Name-",'R.M Billets Reports'!D1664)),TRIM(MID('R.M Billets Reports'!D1664,SEARCH("-",'R.M Billets Reports'!D1664)+1,200)),""))&lt;&gt;"",IF(ISNUMBER(SEARCH("Party Name:-",'R.M Billets Reports'!D1664)),TRIM('R.M Billets Reports'!F1664),IF(ISNUMBER(SEARCH("Party Name-",'R.M Billets Reports'!D1664)),TRIM(MID('R.M Billets Reports'!D1664,SEARCH("-",'R.M Billets Reports'!D1664)+1,200)),"")),IF(ISNUMBER(SEARCH("Party Name:-",'R.M Billets Reports'!D1665)),TRIM('R.M Billets Reports'!F1665),IF(ISNUMBER(SEARCH("Party Name-",'R.M Billets Reports'!D1665)),TRIM(MID('R.M Billets Reports'!D1665,SEARCH("-",'R.M Billets Reports'!D1665)+1,200)),"")))="VRKP ISPAT PVT LTD","VRKP",IF(IF(IF(ISNUMBER(SEARCH("Party Name:-",'R.M Billets Reports'!D1664)),TRIM('R.M Billets Reports'!F1664),IF(ISNUMBER(SEARCH("Party Name-",'R.M Billets Reports'!D1664)),TRIM(MID('R.M Billets Reports'!D1664,SEARCH("-",'R.M Billets Reports'!D1664)+1,200)),""))&lt;&gt;"",IF(ISNUMBER(SEARCH("Party Name:-",'R.M Billets Reports'!D1664)),TRIM('R.M Billets Reports'!F1664),IF(ISNUMBER(SEARCH("Party Name-",'R.M Billets Reports'!D1664)),TRIM(MID('R.M Billets Reports'!D1664,SEARCH("-",'R.M Billets Reports'!D1664)+1,200)),"")),IF(ISNUMBER(SEARCH("Party Name:-",'R.M Billets Reports'!D1665)),TRIM('R.M Billets Reports'!F1665),IF(ISNUMBER(SEARCH("Party Name-",'R.M Billets Reports'!D1665)),TRIM(MID('R.M Billets Reports'!D1665,SEARCH("-",'R.M Billets Reports'!D1665)+1,200)),"")))="SHRI RADHE","SHREE RADHE",IF(IF(IF(ISNUMBER(SEARCH("Party Name:-",'R.M Billets Reports'!D1664)),TRIM('R.M Billets Reports'!F1664),IF(ISNUMBER(SEARCH("Party Name-",'R.M Billets Reports'!D1664)),TRIM(MID('R.M Billets Reports'!D1664,SEARCH("-",'R.M Billets Reports'!D1664)+1,200)),""))&lt;&gt;"",IF(ISNUMBER(SEARCH("Party Name:-",'R.M Billets Reports'!D1664)),TRIM('R.M Billets Reports'!F1664),IF(ISNUMBER(SEARCH("Party Name-",'R.M Billets Reports'!D1664)),TRIM(MID('R.M Billets Reports'!D1664,SEARCH("-",'R.M Billets Reports'!D1664)+1,200)),"")),IF(ISNUMBER(SEARCH("Party Name:-",'R.M Billets Reports'!D1665)),TRIM('R.M Billets Reports'!F1665),IF(ISNUMBER(SEARCH("Party Name-",'R.M Billets Reports'!D1665)),TRIM(MID('R.M Billets Reports'!D1665,SEARCH("-",'R.M Billets Reports'!D1665)+1,200)),"")))="SHREE RADHE SHAKTI SPONGE AND POWER PVT. LTD.","SHREE RADHE",IF(IF(ISNUMBER(SEARCH("Party Name:-",'R.M Billets Reports'!D1664)),TRIM('R.M Billets Reports'!F1664),IF(ISNUMBER(SEARCH("Party Name-",'R.M Billets Reports'!D1664)),TRIM(MID('R.M Billets Reports'!D1664,SEARCH("-",'R.M Billets Reports'!D1664)+1,200)),""))&lt;&gt;"",IF(ISNUMBER(SEARCH("Party Name:-",'R.M Billets Reports'!D1664)),TRIM('R.M Billets Reports'!F1664),IF(ISNUMBER(SEARCH("Party Name-",'R.M Billets Reports'!D1664)),TRIM(MID('R.M Billets Reports'!D1664,SEARCH("-",'R.M Billets Reports'!D1664)+1,200)),"")),IF(ISNUMBER(SEARCH("Party Name:-",'R.M Billets Reports'!D1665)),TRIM('R.M Billets Reports'!F1665),IF(ISNUMBER(SEARCH("Party Name-",'R.M Billets Reports'!D1665)),TRIM(MID('R.M Billets Reports'!D1665,SEARCH("-",'R.M Billets Reports'!D1665)+1,200)),"")))))),IF(ROW()=2,"",A1664))</f>
      </c>
      <c r="B1665">
        <f>IF(OR('R.M Billets Reports'!A1664="Date-",'R.M Billets Reports'!A1664="Date:-"),'R.M Billets Reports'!B1664,IF(ROW()=2,"",B1664))</f>
      </c>
      <c r="C1665">
        <f>IF('R.M Billets Reports'!A1664="V.No.",'R.M Billets Reports'!B1664,IF(ROW()=2,"",C1664))</f>
      </c>
      <c r="D1665">
        <f>IF('R.M Billets Reports'!A1664&lt;&gt;"",'R.M Billets Reports'!A1664,IF(ROW()=2,"",D1664))</f>
      </c>
      <c r="E1665">
        <f>IF('R.M Billets Reports'!B1664="","",TRIM('R.M Billets Reports'!B1664))</f>
      </c>
      <c r="F1665">
        <f>'R.M Billets Reports'!C1664</f>
      </c>
      <c r="G1665">
        <f>'R.M Billets Reports'!D1664</f>
      </c>
      <c r="H1665">
        <f>'R.M Billets Reports'!E1664</f>
      </c>
      <c r="I1665">
        <f>'R.M Billets Reports'!F1664</f>
      </c>
      <c r="J1665">
        <f>'R.M Billets Reports'!G1664</f>
      </c>
      <c r="K1665">
        <f>'R.M Billets Reports'!H1664</f>
      </c>
      <c r="L1665">
        <f>IF('R.M Billets Reports'!I1664="","",'R.M Billets Reports'!I1664)</f>
      </c>
      <c r="M1665">
        <f t="shared" si="50"/>
      </c>
      <c r="N1665">
        <f>IF('R.M Billets Reports'!J1664="","",'R.M Billets Reports'!J1664)</f>
      </c>
      <c r="O1665">
        <f t="shared" si="51"/>
      </c>
      <c r="P1665">
        <f>IF('R.M Billets Reports'!A1664="SIZE",'R.M Billets Reports'!B1664,P1664)</f>
      </c>
    </row>
    <row r="1666" spans="1:16" x14ac:dyDescent="0.25">
      <c r="A1666">
        <f>IF(OR('R.M Billets Reports'!A1665="Date-",'R.M Billets Reports'!A1665="Date:-"),IF(IF(IF(ISNUMBER(SEARCH("Party Name:-",'R.M Billets Reports'!D1665)),TRIM('R.M Billets Reports'!F1665),IF(ISNUMBER(SEARCH("Party Name-",'R.M Billets Reports'!D1665)),TRIM(MID('R.M Billets Reports'!D1665,SEARCH("-",'R.M Billets Reports'!D1665)+1,200)),""))&lt;&gt;"",IF(ISNUMBER(SEARCH("Party Name:-",'R.M Billets Reports'!D1665)),TRIM('R.M Billets Reports'!F1665),IF(ISNUMBER(SEARCH("Party Name-",'R.M Billets Reports'!D1665)),TRIM(MID('R.M Billets Reports'!D1665,SEARCH("-",'R.M Billets Reports'!D1665)+1,200)),"")),IF(ISNUMBER(SEARCH("Party Name:-",'R.M Billets Reports'!D1666)),TRIM('R.M Billets Reports'!F1666),IF(ISNUMBER(SEARCH("Party Name-",'R.M Billets Reports'!D1666)),TRIM(MID('R.M Billets Reports'!D1666,SEARCH("-",'R.M Billets Reports'!D1666)+1,200)),"")))="VRKP ISPAT PVT LTD","VRKP",IF(IF(IF(ISNUMBER(SEARCH("Party Name:-",'R.M Billets Reports'!D1665)),TRIM('R.M Billets Reports'!F1665),IF(ISNUMBER(SEARCH("Party Name-",'R.M Billets Reports'!D1665)),TRIM(MID('R.M Billets Reports'!D1665,SEARCH("-",'R.M Billets Reports'!D1665)+1,200)),""))&lt;&gt;"",IF(ISNUMBER(SEARCH("Party Name:-",'R.M Billets Reports'!D1665)),TRIM('R.M Billets Reports'!F1665),IF(ISNUMBER(SEARCH("Party Name-",'R.M Billets Reports'!D1665)),TRIM(MID('R.M Billets Reports'!D1665,SEARCH("-",'R.M Billets Reports'!D1665)+1,200)),"")),IF(ISNUMBER(SEARCH("Party Name:-",'R.M Billets Reports'!D1666)),TRIM('R.M Billets Reports'!F1666),IF(ISNUMBER(SEARCH("Party Name-",'R.M Billets Reports'!D1666)),TRIM(MID('R.M Billets Reports'!D1666,SEARCH("-",'R.M Billets Reports'!D1666)+1,200)),"")))="SHRI RADHE","SHREE RADHE",IF(IF(IF(ISNUMBER(SEARCH("Party Name:-",'R.M Billets Reports'!D1665)),TRIM('R.M Billets Reports'!F1665),IF(ISNUMBER(SEARCH("Party Name-",'R.M Billets Reports'!D1665)),TRIM(MID('R.M Billets Reports'!D1665,SEARCH("-",'R.M Billets Reports'!D1665)+1,200)),""))&lt;&gt;"",IF(ISNUMBER(SEARCH("Party Name:-",'R.M Billets Reports'!D1665)),TRIM('R.M Billets Reports'!F1665),IF(ISNUMBER(SEARCH("Party Name-",'R.M Billets Reports'!D1665)),TRIM(MID('R.M Billets Reports'!D1665,SEARCH("-",'R.M Billets Reports'!D1665)+1,200)),"")),IF(ISNUMBER(SEARCH("Party Name:-",'R.M Billets Reports'!D1666)),TRIM('R.M Billets Reports'!F1666),IF(ISNUMBER(SEARCH("Party Name-",'R.M Billets Reports'!D1666)),TRIM(MID('R.M Billets Reports'!D1666,SEARCH("-",'R.M Billets Reports'!D1666)+1,200)),"")))="SHREE RADHE SHAKTI SPONGE AND POWER PVT. LTD.","SHREE RADHE",IF(IF(ISNUMBER(SEARCH("Party Name:-",'R.M Billets Reports'!D1665)),TRIM('R.M Billets Reports'!F1665),IF(ISNUMBER(SEARCH("Party Name-",'R.M Billets Reports'!D1665)),TRIM(MID('R.M Billets Reports'!D1665,SEARCH("-",'R.M Billets Reports'!D1665)+1,200)),""))&lt;&gt;"",IF(ISNUMBER(SEARCH("Party Name:-",'R.M Billets Reports'!D1665)),TRIM('R.M Billets Reports'!F1665),IF(ISNUMBER(SEARCH("Party Name-",'R.M Billets Reports'!D1665)),TRIM(MID('R.M Billets Reports'!D1665,SEARCH("-",'R.M Billets Reports'!D1665)+1,200)),"")),IF(ISNUMBER(SEARCH("Party Name:-",'R.M Billets Reports'!D1666)),TRIM('R.M Billets Reports'!F1666),IF(ISNUMBER(SEARCH("Party Name-",'R.M Billets Reports'!D1666)),TRIM(MID('R.M Billets Reports'!D1666,SEARCH("-",'R.M Billets Reports'!D1666)+1,200)),"")))))),IF(ROW()=2,"",A1665))</f>
      </c>
      <c r="B1666">
        <f>IF(OR('R.M Billets Reports'!A1665="Date-",'R.M Billets Reports'!A1665="Date:-"),'R.M Billets Reports'!B1665,IF(ROW()=2,"",B1665))</f>
      </c>
      <c r="C1666">
        <f>IF('R.M Billets Reports'!A1665="V.No.",'R.M Billets Reports'!B1665,IF(ROW()=2,"",C1665))</f>
      </c>
      <c r="D1666">
        <f>IF('R.M Billets Reports'!A1665&lt;&gt;"",'R.M Billets Reports'!A1665,IF(ROW()=2,"",D1665))</f>
      </c>
      <c r="E1666">
        <f>IF('R.M Billets Reports'!B1665="","",TRIM('R.M Billets Reports'!B1665))</f>
      </c>
      <c r="F1666">
        <f>'R.M Billets Reports'!C1665</f>
      </c>
      <c r="G1666">
        <f>'R.M Billets Reports'!D1665</f>
      </c>
      <c r="H1666">
        <f>'R.M Billets Reports'!E1665</f>
      </c>
      <c r="I1666">
        <f>'R.M Billets Reports'!F1665</f>
      </c>
      <c r="J1666">
        <f>'R.M Billets Reports'!G1665</f>
      </c>
      <c r="K1666">
        <f>'R.M Billets Reports'!H1665</f>
      </c>
      <c r="L1666">
        <f>IF('R.M Billets Reports'!I1665="","",'R.M Billets Reports'!I1665)</f>
      </c>
      <c r="M1666">
        <f t="shared" si="50"/>
      </c>
      <c r="N1666">
        <f>IF('R.M Billets Reports'!J1665="","",'R.M Billets Reports'!J1665)</f>
      </c>
      <c r="O1666">
        <f t="shared" si="51"/>
      </c>
      <c r="P1666">
        <f>IF('R.M Billets Reports'!A1665="SIZE",'R.M Billets Reports'!B1665,P1665)</f>
      </c>
    </row>
    <row r="1667" spans="1:16" x14ac:dyDescent="0.25">
      <c r="A1667">
        <f>IF(OR('R.M Billets Reports'!A1666="Date-",'R.M Billets Reports'!A1666="Date:-"),IF(IF(IF(ISNUMBER(SEARCH("Party Name:-",'R.M Billets Reports'!D1666)),TRIM('R.M Billets Reports'!F1666),IF(ISNUMBER(SEARCH("Party Name-",'R.M Billets Reports'!D1666)),TRIM(MID('R.M Billets Reports'!D1666,SEARCH("-",'R.M Billets Reports'!D1666)+1,200)),""))&lt;&gt;"",IF(ISNUMBER(SEARCH("Party Name:-",'R.M Billets Reports'!D1666)),TRIM('R.M Billets Reports'!F1666),IF(ISNUMBER(SEARCH("Party Name-",'R.M Billets Reports'!D1666)),TRIM(MID('R.M Billets Reports'!D1666,SEARCH("-",'R.M Billets Reports'!D1666)+1,200)),"")),IF(ISNUMBER(SEARCH("Party Name:-",'R.M Billets Reports'!D1667)),TRIM('R.M Billets Reports'!F1667),IF(ISNUMBER(SEARCH("Party Name-",'R.M Billets Reports'!D1667)),TRIM(MID('R.M Billets Reports'!D1667,SEARCH("-",'R.M Billets Reports'!D1667)+1,200)),"")))="VRKP ISPAT PVT LTD","VRKP",IF(IF(IF(ISNUMBER(SEARCH("Party Name:-",'R.M Billets Reports'!D1666)),TRIM('R.M Billets Reports'!F1666),IF(ISNUMBER(SEARCH("Party Name-",'R.M Billets Reports'!D1666)),TRIM(MID('R.M Billets Reports'!D1666,SEARCH("-",'R.M Billets Reports'!D1666)+1,200)),""))&lt;&gt;"",IF(ISNUMBER(SEARCH("Party Name:-",'R.M Billets Reports'!D1666)),TRIM('R.M Billets Reports'!F1666),IF(ISNUMBER(SEARCH("Party Name-",'R.M Billets Reports'!D1666)),TRIM(MID('R.M Billets Reports'!D1666,SEARCH("-",'R.M Billets Reports'!D1666)+1,200)),"")),IF(ISNUMBER(SEARCH("Party Name:-",'R.M Billets Reports'!D1667)),TRIM('R.M Billets Reports'!F1667),IF(ISNUMBER(SEARCH("Party Name-",'R.M Billets Reports'!D1667)),TRIM(MID('R.M Billets Reports'!D1667,SEARCH("-",'R.M Billets Reports'!D1667)+1,200)),"")))="SHRI RADHE","SHREE RADHE",IF(IF(IF(ISNUMBER(SEARCH("Party Name:-",'R.M Billets Reports'!D1666)),TRIM('R.M Billets Reports'!F1666),IF(ISNUMBER(SEARCH("Party Name-",'R.M Billets Reports'!D1666)),TRIM(MID('R.M Billets Reports'!D1666,SEARCH("-",'R.M Billets Reports'!D1666)+1,200)),""))&lt;&gt;"",IF(ISNUMBER(SEARCH("Party Name:-",'R.M Billets Reports'!D1666)),TRIM('R.M Billets Reports'!F1666),IF(ISNUMBER(SEARCH("Party Name-",'R.M Billets Reports'!D1666)),TRIM(MID('R.M Billets Reports'!D1666,SEARCH("-",'R.M Billets Reports'!D1666)+1,200)),"")),IF(ISNUMBER(SEARCH("Party Name:-",'R.M Billets Reports'!D1667)),TRIM('R.M Billets Reports'!F1667),IF(ISNUMBER(SEARCH("Party Name-",'R.M Billets Reports'!D1667)),TRIM(MID('R.M Billets Reports'!D1667,SEARCH("-",'R.M Billets Reports'!D1667)+1,200)),"")))="SHREE RADHE SHAKTI SPONGE AND POWER PVT. LTD.","SHREE RADHE",IF(IF(ISNUMBER(SEARCH("Party Name:-",'R.M Billets Reports'!D1666)),TRIM('R.M Billets Reports'!F1666),IF(ISNUMBER(SEARCH("Party Name-",'R.M Billets Reports'!D1666)),TRIM(MID('R.M Billets Reports'!D1666,SEARCH("-",'R.M Billets Reports'!D1666)+1,200)),""))&lt;&gt;"",IF(ISNUMBER(SEARCH("Party Name:-",'R.M Billets Reports'!D1666)),TRIM('R.M Billets Reports'!F1666),IF(ISNUMBER(SEARCH("Party Name-",'R.M Billets Reports'!D1666)),TRIM(MID('R.M Billets Reports'!D1666,SEARCH("-",'R.M Billets Reports'!D1666)+1,200)),"")),IF(ISNUMBER(SEARCH("Party Name:-",'R.M Billets Reports'!D1667)),TRIM('R.M Billets Reports'!F1667),IF(ISNUMBER(SEARCH("Party Name-",'R.M Billets Reports'!D1667)),TRIM(MID('R.M Billets Reports'!D1667,SEARCH("-",'R.M Billets Reports'!D1667)+1,200)),"")))))),IF(ROW()=2,"",A1666))</f>
      </c>
      <c r="B1667">
        <f>IF(OR('R.M Billets Reports'!A1666="Date-",'R.M Billets Reports'!A1666="Date:-"),'R.M Billets Reports'!B1666,IF(ROW()=2,"",B1666))</f>
      </c>
      <c r="C1667">
        <f>IF('R.M Billets Reports'!A1666="V.No.",'R.M Billets Reports'!B1666,IF(ROW()=2,"",C1666))</f>
      </c>
      <c r="D1667">
        <f>IF('R.M Billets Reports'!A1666&lt;&gt;"",'R.M Billets Reports'!A1666,IF(ROW()=2,"",D1666))</f>
      </c>
      <c r="E1667">
        <f>IF('R.M Billets Reports'!B1666="","",TRIM('R.M Billets Reports'!B1666))</f>
      </c>
      <c r="F1667">
        <f>'R.M Billets Reports'!C1666</f>
      </c>
      <c r="G1667">
        <f>'R.M Billets Reports'!D1666</f>
      </c>
      <c r="H1667">
        <f>'R.M Billets Reports'!E1666</f>
      </c>
      <c r="I1667">
        <f>'R.M Billets Reports'!F1666</f>
      </c>
      <c r="J1667">
        <f>'R.M Billets Reports'!G1666</f>
      </c>
      <c r="K1667">
        <f>'R.M Billets Reports'!H1666</f>
      </c>
      <c r="L1667">
        <f>IF('R.M Billets Reports'!I1666="","",'R.M Billets Reports'!I1666)</f>
      </c>
      <c r="M1667">
        <f t="shared" ref="M1667:M1730" si="52">IF(L1667&lt;&gt;"",L1667,IF(D1667=D1666,M1666,""))</f>
      </c>
      <c r="N1667">
        <f>IF('R.M Billets Reports'!J1666="","",'R.M Billets Reports'!J1666)</f>
      </c>
      <c r="O1667">
        <f t="shared" ref="O1667:O1730" si="53">IF(N1667&lt;&gt;"",N1667,IF(D1667=D1666,O1666,""))</f>
      </c>
      <c r="P1667">
        <f>IF('R.M Billets Reports'!A1666="SIZE",'R.M Billets Reports'!B1666,P1666)</f>
      </c>
    </row>
    <row r="1668" spans="1:16" x14ac:dyDescent="0.25">
      <c r="A1668">
        <f>IF(OR('R.M Billets Reports'!A1667="Date-",'R.M Billets Reports'!A1667="Date:-"),IF(IF(IF(ISNUMBER(SEARCH("Party Name:-",'R.M Billets Reports'!D1667)),TRIM('R.M Billets Reports'!F1667),IF(ISNUMBER(SEARCH("Party Name-",'R.M Billets Reports'!D1667)),TRIM(MID('R.M Billets Reports'!D1667,SEARCH("-",'R.M Billets Reports'!D1667)+1,200)),""))&lt;&gt;"",IF(ISNUMBER(SEARCH("Party Name:-",'R.M Billets Reports'!D1667)),TRIM('R.M Billets Reports'!F1667),IF(ISNUMBER(SEARCH("Party Name-",'R.M Billets Reports'!D1667)),TRIM(MID('R.M Billets Reports'!D1667,SEARCH("-",'R.M Billets Reports'!D1667)+1,200)),"")),IF(ISNUMBER(SEARCH("Party Name:-",'R.M Billets Reports'!D1668)),TRIM('R.M Billets Reports'!F1668),IF(ISNUMBER(SEARCH("Party Name-",'R.M Billets Reports'!D1668)),TRIM(MID('R.M Billets Reports'!D1668,SEARCH("-",'R.M Billets Reports'!D1668)+1,200)),"")))="VRKP ISPAT PVT LTD","VRKP",IF(IF(IF(ISNUMBER(SEARCH("Party Name:-",'R.M Billets Reports'!D1667)),TRIM('R.M Billets Reports'!F1667),IF(ISNUMBER(SEARCH("Party Name-",'R.M Billets Reports'!D1667)),TRIM(MID('R.M Billets Reports'!D1667,SEARCH("-",'R.M Billets Reports'!D1667)+1,200)),""))&lt;&gt;"",IF(ISNUMBER(SEARCH("Party Name:-",'R.M Billets Reports'!D1667)),TRIM('R.M Billets Reports'!F1667),IF(ISNUMBER(SEARCH("Party Name-",'R.M Billets Reports'!D1667)),TRIM(MID('R.M Billets Reports'!D1667,SEARCH("-",'R.M Billets Reports'!D1667)+1,200)),"")),IF(ISNUMBER(SEARCH("Party Name:-",'R.M Billets Reports'!D1668)),TRIM('R.M Billets Reports'!F1668),IF(ISNUMBER(SEARCH("Party Name-",'R.M Billets Reports'!D1668)),TRIM(MID('R.M Billets Reports'!D1668,SEARCH("-",'R.M Billets Reports'!D1668)+1,200)),"")))="SHRI RADHE","SHREE RADHE",IF(IF(IF(ISNUMBER(SEARCH("Party Name:-",'R.M Billets Reports'!D1667)),TRIM('R.M Billets Reports'!F1667),IF(ISNUMBER(SEARCH("Party Name-",'R.M Billets Reports'!D1667)),TRIM(MID('R.M Billets Reports'!D1667,SEARCH("-",'R.M Billets Reports'!D1667)+1,200)),""))&lt;&gt;"",IF(ISNUMBER(SEARCH("Party Name:-",'R.M Billets Reports'!D1667)),TRIM('R.M Billets Reports'!F1667),IF(ISNUMBER(SEARCH("Party Name-",'R.M Billets Reports'!D1667)),TRIM(MID('R.M Billets Reports'!D1667,SEARCH("-",'R.M Billets Reports'!D1667)+1,200)),"")),IF(ISNUMBER(SEARCH("Party Name:-",'R.M Billets Reports'!D1668)),TRIM('R.M Billets Reports'!F1668),IF(ISNUMBER(SEARCH("Party Name-",'R.M Billets Reports'!D1668)),TRIM(MID('R.M Billets Reports'!D1668,SEARCH("-",'R.M Billets Reports'!D1668)+1,200)),"")))="SHREE RADHE SHAKTI SPONGE AND POWER PVT. LTD.","SHREE RADHE",IF(IF(ISNUMBER(SEARCH("Party Name:-",'R.M Billets Reports'!D1667)),TRIM('R.M Billets Reports'!F1667),IF(ISNUMBER(SEARCH("Party Name-",'R.M Billets Reports'!D1667)),TRIM(MID('R.M Billets Reports'!D1667,SEARCH("-",'R.M Billets Reports'!D1667)+1,200)),""))&lt;&gt;"",IF(ISNUMBER(SEARCH("Party Name:-",'R.M Billets Reports'!D1667)),TRIM('R.M Billets Reports'!F1667),IF(ISNUMBER(SEARCH("Party Name-",'R.M Billets Reports'!D1667)),TRIM(MID('R.M Billets Reports'!D1667,SEARCH("-",'R.M Billets Reports'!D1667)+1,200)),"")),IF(ISNUMBER(SEARCH("Party Name:-",'R.M Billets Reports'!D1668)),TRIM('R.M Billets Reports'!F1668),IF(ISNUMBER(SEARCH("Party Name-",'R.M Billets Reports'!D1668)),TRIM(MID('R.M Billets Reports'!D1668,SEARCH("-",'R.M Billets Reports'!D1668)+1,200)),"")))))),IF(ROW()=2,"",A1667))</f>
      </c>
      <c r="B1668">
        <f>IF(OR('R.M Billets Reports'!A1667="Date-",'R.M Billets Reports'!A1667="Date:-"),'R.M Billets Reports'!B1667,IF(ROW()=2,"",B1667))</f>
      </c>
      <c r="C1668">
        <f>IF('R.M Billets Reports'!A1667="V.No.",'R.M Billets Reports'!B1667,IF(ROW()=2,"",C1667))</f>
      </c>
      <c r="D1668">
        <f>IF('R.M Billets Reports'!A1667&lt;&gt;"",'R.M Billets Reports'!A1667,IF(ROW()=2,"",D1667))</f>
      </c>
      <c r="E1668">
        <f>IF('R.M Billets Reports'!B1667="","",TRIM('R.M Billets Reports'!B1667))</f>
      </c>
      <c r="F1668">
        <f>'R.M Billets Reports'!C1667</f>
      </c>
      <c r="G1668">
        <f>'R.M Billets Reports'!D1667</f>
      </c>
      <c r="H1668">
        <f>'R.M Billets Reports'!E1667</f>
      </c>
      <c r="I1668">
        <f>'R.M Billets Reports'!F1667</f>
      </c>
      <c r="J1668">
        <f>'R.M Billets Reports'!G1667</f>
      </c>
      <c r="K1668">
        <f>'R.M Billets Reports'!H1667</f>
      </c>
      <c r="L1668">
        <f>IF('R.M Billets Reports'!I1667="","",'R.M Billets Reports'!I1667)</f>
      </c>
      <c r="M1668">
        <f t="shared" si="52"/>
      </c>
      <c r="N1668">
        <f>IF('R.M Billets Reports'!J1667="","",'R.M Billets Reports'!J1667)</f>
      </c>
      <c r="O1668">
        <f t="shared" si="53"/>
      </c>
      <c r="P1668">
        <f>IF('R.M Billets Reports'!A1667="SIZE",'R.M Billets Reports'!B1667,P1667)</f>
      </c>
    </row>
    <row r="1669" spans="1:16" x14ac:dyDescent="0.25">
      <c r="A1669">
        <f>IF(OR('R.M Billets Reports'!A1668="Date-",'R.M Billets Reports'!A1668="Date:-"),IF(IF(IF(ISNUMBER(SEARCH("Party Name:-",'R.M Billets Reports'!D1668)),TRIM('R.M Billets Reports'!F1668),IF(ISNUMBER(SEARCH("Party Name-",'R.M Billets Reports'!D1668)),TRIM(MID('R.M Billets Reports'!D1668,SEARCH("-",'R.M Billets Reports'!D1668)+1,200)),""))&lt;&gt;"",IF(ISNUMBER(SEARCH("Party Name:-",'R.M Billets Reports'!D1668)),TRIM('R.M Billets Reports'!F1668),IF(ISNUMBER(SEARCH("Party Name-",'R.M Billets Reports'!D1668)),TRIM(MID('R.M Billets Reports'!D1668,SEARCH("-",'R.M Billets Reports'!D1668)+1,200)),"")),IF(ISNUMBER(SEARCH("Party Name:-",'R.M Billets Reports'!D1669)),TRIM('R.M Billets Reports'!F1669),IF(ISNUMBER(SEARCH("Party Name-",'R.M Billets Reports'!D1669)),TRIM(MID('R.M Billets Reports'!D1669,SEARCH("-",'R.M Billets Reports'!D1669)+1,200)),"")))="VRKP ISPAT PVT LTD","VRKP",IF(IF(IF(ISNUMBER(SEARCH("Party Name:-",'R.M Billets Reports'!D1668)),TRIM('R.M Billets Reports'!F1668),IF(ISNUMBER(SEARCH("Party Name-",'R.M Billets Reports'!D1668)),TRIM(MID('R.M Billets Reports'!D1668,SEARCH("-",'R.M Billets Reports'!D1668)+1,200)),""))&lt;&gt;"",IF(ISNUMBER(SEARCH("Party Name:-",'R.M Billets Reports'!D1668)),TRIM('R.M Billets Reports'!F1668),IF(ISNUMBER(SEARCH("Party Name-",'R.M Billets Reports'!D1668)),TRIM(MID('R.M Billets Reports'!D1668,SEARCH("-",'R.M Billets Reports'!D1668)+1,200)),"")),IF(ISNUMBER(SEARCH("Party Name:-",'R.M Billets Reports'!D1669)),TRIM('R.M Billets Reports'!F1669),IF(ISNUMBER(SEARCH("Party Name-",'R.M Billets Reports'!D1669)),TRIM(MID('R.M Billets Reports'!D1669,SEARCH("-",'R.M Billets Reports'!D1669)+1,200)),"")))="SHRI RADHE","SHREE RADHE",IF(IF(IF(ISNUMBER(SEARCH("Party Name:-",'R.M Billets Reports'!D1668)),TRIM('R.M Billets Reports'!F1668),IF(ISNUMBER(SEARCH("Party Name-",'R.M Billets Reports'!D1668)),TRIM(MID('R.M Billets Reports'!D1668,SEARCH("-",'R.M Billets Reports'!D1668)+1,200)),""))&lt;&gt;"",IF(ISNUMBER(SEARCH("Party Name:-",'R.M Billets Reports'!D1668)),TRIM('R.M Billets Reports'!F1668),IF(ISNUMBER(SEARCH("Party Name-",'R.M Billets Reports'!D1668)),TRIM(MID('R.M Billets Reports'!D1668,SEARCH("-",'R.M Billets Reports'!D1668)+1,200)),"")),IF(ISNUMBER(SEARCH("Party Name:-",'R.M Billets Reports'!D1669)),TRIM('R.M Billets Reports'!F1669),IF(ISNUMBER(SEARCH("Party Name-",'R.M Billets Reports'!D1669)),TRIM(MID('R.M Billets Reports'!D1669,SEARCH("-",'R.M Billets Reports'!D1669)+1,200)),"")))="SHREE RADHE SHAKTI SPONGE AND POWER PVT. LTD.","SHREE RADHE",IF(IF(ISNUMBER(SEARCH("Party Name:-",'R.M Billets Reports'!D1668)),TRIM('R.M Billets Reports'!F1668),IF(ISNUMBER(SEARCH("Party Name-",'R.M Billets Reports'!D1668)),TRIM(MID('R.M Billets Reports'!D1668,SEARCH("-",'R.M Billets Reports'!D1668)+1,200)),""))&lt;&gt;"",IF(ISNUMBER(SEARCH("Party Name:-",'R.M Billets Reports'!D1668)),TRIM('R.M Billets Reports'!F1668),IF(ISNUMBER(SEARCH("Party Name-",'R.M Billets Reports'!D1668)),TRIM(MID('R.M Billets Reports'!D1668,SEARCH("-",'R.M Billets Reports'!D1668)+1,200)),"")),IF(ISNUMBER(SEARCH("Party Name:-",'R.M Billets Reports'!D1669)),TRIM('R.M Billets Reports'!F1669),IF(ISNUMBER(SEARCH("Party Name-",'R.M Billets Reports'!D1669)),TRIM(MID('R.M Billets Reports'!D1669,SEARCH("-",'R.M Billets Reports'!D1669)+1,200)),"")))))),IF(ROW()=2,"",A1668))</f>
      </c>
      <c r="B1669">
        <f>IF(OR('R.M Billets Reports'!A1668="Date-",'R.M Billets Reports'!A1668="Date:-"),'R.M Billets Reports'!B1668,IF(ROW()=2,"",B1668))</f>
      </c>
      <c r="C1669">
        <f>IF('R.M Billets Reports'!A1668="V.No.",'R.M Billets Reports'!B1668,IF(ROW()=2,"",C1668))</f>
      </c>
      <c r="D1669">
        <f>IF('R.M Billets Reports'!A1668&lt;&gt;"",'R.M Billets Reports'!A1668,IF(ROW()=2,"",D1668))</f>
      </c>
      <c r="E1669">
        <f>IF('R.M Billets Reports'!B1668="","",TRIM('R.M Billets Reports'!B1668))</f>
      </c>
      <c r="F1669">
        <f>'R.M Billets Reports'!C1668</f>
      </c>
      <c r="G1669">
        <f>'R.M Billets Reports'!D1668</f>
      </c>
      <c r="H1669">
        <f>'R.M Billets Reports'!E1668</f>
      </c>
      <c r="I1669">
        <f>'R.M Billets Reports'!F1668</f>
      </c>
      <c r="J1669">
        <f>'R.M Billets Reports'!G1668</f>
      </c>
      <c r="K1669">
        <f>'R.M Billets Reports'!H1668</f>
      </c>
      <c r="L1669">
        <f>IF('R.M Billets Reports'!I1668="","",'R.M Billets Reports'!I1668)</f>
      </c>
      <c r="M1669">
        <f t="shared" si="52"/>
      </c>
      <c r="N1669">
        <f>IF('R.M Billets Reports'!J1668="","",'R.M Billets Reports'!J1668)</f>
      </c>
      <c r="O1669">
        <f t="shared" si="53"/>
      </c>
      <c r="P1669">
        <f>IF('R.M Billets Reports'!A1668="SIZE",'R.M Billets Reports'!B1668,P1668)</f>
      </c>
    </row>
    <row r="1670" spans="1:16" x14ac:dyDescent="0.25">
      <c r="A1670">
        <f>IF(OR('R.M Billets Reports'!A1669="Date-",'R.M Billets Reports'!A1669="Date:-"),IF(IF(IF(ISNUMBER(SEARCH("Party Name:-",'R.M Billets Reports'!D1669)),TRIM('R.M Billets Reports'!F1669),IF(ISNUMBER(SEARCH("Party Name-",'R.M Billets Reports'!D1669)),TRIM(MID('R.M Billets Reports'!D1669,SEARCH("-",'R.M Billets Reports'!D1669)+1,200)),""))&lt;&gt;"",IF(ISNUMBER(SEARCH("Party Name:-",'R.M Billets Reports'!D1669)),TRIM('R.M Billets Reports'!F1669),IF(ISNUMBER(SEARCH("Party Name-",'R.M Billets Reports'!D1669)),TRIM(MID('R.M Billets Reports'!D1669,SEARCH("-",'R.M Billets Reports'!D1669)+1,200)),"")),IF(ISNUMBER(SEARCH("Party Name:-",'R.M Billets Reports'!D1670)),TRIM('R.M Billets Reports'!F1670),IF(ISNUMBER(SEARCH("Party Name-",'R.M Billets Reports'!D1670)),TRIM(MID('R.M Billets Reports'!D1670,SEARCH("-",'R.M Billets Reports'!D1670)+1,200)),"")))="VRKP ISPAT PVT LTD","VRKP",IF(IF(IF(ISNUMBER(SEARCH("Party Name:-",'R.M Billets Reports'!D1669)),TRIM('R.M Billets Reports'!F1669),IF(ISNUMBER(SEARCH("Party Name-",'R.M Billets Reports'!D1669)),TRIM(MID('R.M Billets Reports'!D1669,SEARCH("-",'R.M Billets Reports'!D1669)+1,200)),""))&lt;&gt;"",IF(ISNUMBER(SEARCH("Party Name:-",'R.M Billets Reports'!D1669)),TRIM('R.M Billets Reports'!F1669),IF(ISNUMBER(SEARCH("Party Name-",'R.M Billets Reports'!D1669)),TRIM(MID('R.M Billets Reports'!D1669,SEARCH("-",'R.M Billets Reports'!D1669)+1,200)),"")),IF(ISNUMBER(SEARCH("Party Name:-",'R.M Billets Reports'!D1670)),TRIM('R.M Billets Reports'!F1670),IF(ISNUMBER(SEARCH("Party Name-",'R.M Billets Reports'!D1670)),TRIM(MID('R.M Billets Reports'!D1670,SEARCH("-",'R.M Billets Reports'!D1670)+1,200)),"")))="SHRI RADHE","SHREE RADHE",IF(IF(IF(ISNUMBER(SEARCH("Party Name:-",'R.M Billets Reports'!D1669)),TRIM('R.M Billets Reports'!F1669),IF(ISNUMBER(SEARCH("Party Name-",'R.M Billets Reports'!D1669)),TRIM(MID('R.M Billets Reports'!D1669,SEARCH("-",'R.M Billets Reports'!D1669)+1,200)),""))&lt;&gt;"",IF(ISNUMBER(SEARCH("Party Name:-",'R.M Billets Reports'!D1669)),TRIM('R.M Billets Reports'!F1669),IF(ISNUMBER(SEARCH("Party Name-",'R.M Billets Reports'!D1669)),TRIM(MID('R.M Billets Reports'!D1669,SEARCH("-",'R.M Billets Reports'!D1669)+1,200)),"")),IF(ISNUMBER(SEARCH("Party Name:-",'R.M Billets Reports'!D1670)),TRIM('R.M Billets Reports'!F1670),IF(ISNUMBER(SEARCH("Party Name-",'R.M Billets Reports'!D1670)),TRIM(MID('R.M Billets Reports'!D1670,SEARCH("-",'R.M Billets Reports'!D1670)+1,200)),"")))="SHREE RADHE SHAKTI SPONGE AND POWER PVT. LTD.","SHREE RADHE",IF(IF(ISNUMBER(SEARCH("Party Name:-",'R.M Billets Reports'!D1669)),TRIM('R.M Billets Reports'!F1669),IF(ISNUMBER(SEARCH("Party Name-",'R.M Billets Reports'!D1669)),TRIM(MID('R.M Billets Reports'!D1669,SEARCH("-",'R.M Billets Reports'!D1669)+1,200)),""))&lt;&gt;"",IF(ISNUMBER(SEARCH("Party Name:-",'R.M Billets Reports'!D1669)),TRIM('R.M Billets Reports'!F1669),IF(ISNUMBER(SEARCH("Party Name-",'R.M Billets Reports'!D1669)),TRIM(MID('R.M Billets Reports'!D1669,SEARCH("-",'R.M Billets Reports'!D1669)+1,200)),"")),IF(ISNUMBER(SEARCH("Party Name:-",'R.M Billets Reports'!D1670)),TRIM('R.M Billets Reports'!F1670),IF(ISNUMBER(SEARCH("Party Name-",'R.M Billets Reports'!D1670)),TRIM(MID('R.M Billets Reports'!D1670,SEARCH("-",'R.M Billets Reports'!D1670)+1,200)),"")))))),IF(ROW()=2,"",A1669))</f>
      </c>
      <c r="B1670">
        <f>IF(OR('R.M Billets Reports'!A1669="Date-",'R.M Billets Reports'!A1669="Date:-"),'R.M Billets Reports'!B1669,IF(ROW()=2,"",B1669))</f>
      </c>
      <c r="C1670">
        <f>IF('R.M Billets Reports'!A1669="V.No.",'R.M Billets Reports'!B1669,IF(ROW()=2,"",C1669))</f>
      </c>
      <c r="D1670">
        <f>IF('R.M Billets Reports'!A1669&lt;&gt;"",'R.M Billets Reports'!A1669,IF(ROW()=2,"",D1669))</f>
      </c>
      <c r="E1670">
        <f>IF('R.M Billets Reports'!B1669="","",TRIM('R.M Billets Reports'!B1669))</f>
      </c>
      <c r="F1670">
        <f>'R.M Billets Reports'!C1669</f>
      </c>
      <c r="G1670">
        <f>'R.M Billets Reports'!D1669</f>
      </c>
      <c r="H1670">
        <f>'R.M Billets Reports'!E1669</f>
      </c>
      <c r="I1670">
        <f>'R.M Billets Reports'!F1669</f>
      </c>
      <c r="J1670">
        <f>'R.M Billets Reports'!G1669</f>
      </c>
      <c r="K1670">
        <f>'R.M Billets Reports'!H1669</f>
      </c>
      <c r="L1670">
        <f>IF('R.M Billets Reports'!I1669="","",'R.M Billets Reports'!I1669)</f>
      </c>
      <c r="M1670">
        <f t="shared" si="52"/>
      </c>
      <c r="N1670">
        <f>IF('R.M Billets Reports'!J1669="","",'R.M Billets Reports'!J1669)</f>
      </c>
      <c r="O1670">
        <f t="shared" si="53"/>
      </c>
      <c r="P1670">
        <f>IF('R.M Billets Reports'!A1669="SIZE",'R.M Billets Reports'!B1669,P1669)</f>
      </c>
    </row>
    <row r="1671" spans="1:16" x14ac:dyDescent="0.25">
      <c r="A1671">
        <f>IF(OR('R.M Billets Reports'!A1670="Date-",'R.M Billets Reports'!A1670="Date:-"),IF(IF(IF(ISNUMBER(SEARCH("Party Name:-",'R.M Billets Reports'!D1670)),TRIM('R.M Billets Reports'!F1670),IF(ISNUMBER(SEARCH("Party Name-",'R.M Billets Reports'!D1670)),TRIM(MID('R.M Billets Reports'!D1670,SEARCH("-",'R.M Billets Reports'!D1670)+1,200)),""))&lt;&gt;"",IF(ISNUMBER(SEARCH("Party Name:-",'R.M Billets Reports'!D1670)),TRIM('R.M Billets Reports'!F1670),IF(ISNUMBER(SEARCH("Party Name-",'R.M Billets Reports'!D1670)),TRIM(MID('R.M Billets Reports'!D1670,SEARCH("-",'R.M Billets Reports'!D1670)+1,200)),"")),IF(ISNUMBER(SEARCH("Party Name:-",'R.M Billets Reports'!D1671)),TRIM('R.M Billets Reports'!F1671),IF(ISNUMBER(SEARCH("Party Name-",'R.M Billets Reports'!D1671)),TRIM(MID('R.M Billets Reports'!D1671,SEARCH("-",'R.M Billets Reports'!D1671)+1,200)),"")))="VRKP ISPAT PVT LTD","VRKP",IF(IF(IF(ISNUMBER(SEARCH("Party Name:-",'R.M Billets Reports'!D1670)),TRIM('R.M Billets Reports'!F1670),IF(ISNUMBER(SEARCH("Party Name-",'R.M Billets Reports'!D1670)),TRIM(MID('R.M Billets Reports'!D1670,SEARCH("-",'R.M Billets Reports'!D1670)+1,200)),""))&lt;&gt;"",IF(ISNUMBER(SEARCH("Party Name:-",'R.M Billets Reports'!D1670)),TRIM('R.M Billets Reports'!F1670),IF(ISNUMBER(SEARCH("Party Name-",'R.M Billets Reports'!D1670)),TRIM(MID('R.M Billets Reports'!D1670,SEARCH("-",'R.M Billets Reports'!D1670)+1,200)),"")),IF(ISNUMBER(SEARCH("Party Name:-",'R.M Billets Reports'!D1671)),TRIM('R.M Billets Reports'!F1671),IF(ISNUMBER(SEARCH("Party Name-",'R.M Billets Reports'!D1671)),TRIM(MID('R.M Billets Reports'!D1671,SEARCH("-",'R.M Billets Reports'!D1671)+1,200)),"")))="SHRI RADHE","SHREE RADHE",IF(IF(IF(ISNUMBER(SEARCH("Party Name:-",'R.M Billets Reports'!D1670)),TRIM('R.M Billets Reports'!F1670),IF(ISNUMBER(SEARCH("Party Name-",'R.M Billets Reports'!D1670)),TRIM(MID('R.M Billets Reports'!D1670,SEARCH("-",'R.M Billets Reports'!D1670)+1,200)),""))&lt;&gt;"",IF(ISNUMBER(SEARCH("Party Name:-",'R.M Billets Reports'!D1670)),TRIM('R.M Billets Reports'!F1670),IF(ISNUMBER(SEARCH("Party Name-",'R.M Billets Reports'!D1670)),TRIM(MID('R.M Billets Reports'!D1670,SEARCH("-",'R.M Billets Reports'!D1670)+1,200)),"")),IF(ISNUMBER(SEARCH("Party Name:-",'R.M Billets Reports'!D1671)),TRIM('R.M Billets Reports'!F1671),IF(ISNUMBER(SEARCH("Party Name-",'R.M Billets Reports'!D1671)),TRIM(MID('R.M Billets Reports'!D1671,SEARCH("-",'R.M Billets Reports'!D1671)+1,200)),"")))="SHREE RADHE SHAKTI SPONGE AND POWER PVT. LTD.","SHREE RADHE",IF(IF(ISNUMBER(SEARCH("Party Name:-",'R.M Billets Reports'!D1670)),TRIM('R.M Billets Reports'!F1670),IF(ISNUMBER(SEARCH("Party Name-",'R.M Billets Reports'!D1670)),TRIM(MID('R.M Billets Reports'!D1670,SEARCH("-",'R.M Billets Reports'!D1670)+1,200)),""))&lt;&gt;"",IF(ISNUMBER(SEARCH("Party Name:-",'R.M Billets Reports'!D1670)),TRIM('R.M Billets Reports'!F1670),IF(ISNUMBER(SEARCH("Party Name-",'R.M Billets Reports'!D1670)),TRIM(MID('R.M Billets Reports'!D1670,SEARCH("-",'R.M Billets Reports'!D1670)+1,200)),"")),IF(ISNUMBER(SEARCH("Party Name:-",'R.M Billets Reports'!D1671)),TRIM('R.M Billets Reports'!F1671),IF(ISNUMBER(SEARCH("Party Name-",'R.M Billets Reports'!D1671)),TRIM(MID('R.M Billets Reports'!D1671,SEARCH("-",'R.M Billets Reports'!D1671)+1,200)),"")))))),IF(ROW()=2,"",A1670))</f>
      </c>
      <c r="B1671">
        <f>IF(OR('R.M Billets Reports'!A1670="Date-",'R.M Billets Reports'!A1670="Date:-"),'R.M Billets Reports'!B1670,IF(ROW()=2,"",B1670))</f>
      </c>
      <c r="C1671">
        <f>IF('R.M Billets Reports'!A1670="V.No.",'R.M Billets Reports'!B1670,IF(ROW()=2,"",C1670))</f>
      </c>
      <c r="D1671">
        <f>IF('R.M Billets Reports'!A1670&lt;&gt;"",'R.M Billets Reports'!A1670,IF(ROW()=2,"",D1670))</f>
      </c>
      <c r="E1671">
        <f>IF('R.M Billets Reports'!B1670="","",TRIM('R.M Billets Reports'!B1670))</f>
      </c>
      <c r="F1671">
        <f>'R.M Billets Reports'!C1670</f>
      </c>
      <c r="G1671">
        <f>'R.M Billets Reports'!D1670</f>
      </c>
      <c r="H1671">
        <f>'R.M Billets Reports'!E1670</f>
      </c>
      <c r="I1671">
        <f>'R.M Billets Reports'!F1670</f>
      </c>
      <c r="J1671">
        <f>'R.M Billets Reports'!G1670</f>
      </c>
      <c r="K1671">
        <f>'R.M Billets Reports'!H1670</f>
      </c>
      <c r="L1671">
        <f>IF('R.M Billets Reports'!I1670="","",'R.M Billets Reports'!I1670)</f>
      </c>
      <c r="M1671">
        <f t="shared" si="52"/>
      </c>
      <c r="N1671">
        <f>IF('R.M Billets Reports'!J1670="","",'R.M Billets Reports'!J1670)</f>
      </c>
      <c r="O1671">
        <f t="shared" si="53"/>
      </c>
      <c r="P1671">
        <f>IF('R.M Billets Reports'!A1670="SIZE",'R.M Billets Reports'!B1670,P1670)</f>
      </c>
    </row>
    <row r="1672" spans="1:16" x14ac:dyDescent="0.25">
      <c r="A1672">
        <f>IF(OR('R.M Billets Reports'!A1671="Date-",'R.M Billets Reports'!A1671="Date:-"),IF(IF(IF(ISNUMBER(SEARCH("Party Name:-",'R.M Billets Reports'!D1671)),TRIM('R.M Billets Reports'!F1671),IF(ISNUMBER(SEARCH("Party Name-",'R.M Billets Reports'!D1671)),TRIM(MID('R.M Billets Reports'!D1671,SEARCH("-",'R.M Billets Reports'!D1671)+1,200)),""))&lt;&gt;"",IF(ISNUMBER(SEARCH("Party Name:-",'R.M Billets Reports'!D1671)),TRIM('R.M Billets Reports'!F1671),IF(ISNUMBER(SEARCH("Party Name-",'R.M Billets Reports'!D1671)),TRIM(MID('R.M Billets Reports'!D1671,SEARCH("-",'R.M Billets Reports'!D1671)+1,200)),"")),IF(ISNUMBER(SEARCH("Party Name:-",'R.M Billets Reports'!D1672)),TRIM('R.M Billets Reports'!F1672),IF(ISNUMBER(SEARCH("Party Name-",'R.M Billets Reports'!D1672)),TRIM(MID('R.M Billets Reports'!D1672,SEARCH("-",'R.M Billets Reports'!D1672)+1,200)),"")))="VRKP ISPAT PVT LTD","VRKP",IF(IF(IF(ISNUMBER(SEARCH("Party Name:-",'R.M Billets Reports'!D1671)),TRIM('R.M Billets Reports'!F1671),IF(ISNUMBER(SEARCH("Party Name-",'R.M Billets Reports'!D1671)),TRIM(MID('R.M Billets Reports'!D1671,SEARCH("-",'R.M Billets Reports'!D1671)+1,200)),""))&lt;&gt;"",IF(ISNUMBER(SEARCH("Party Name:-",'R.M Billets Reports'!D1671)),TRIM('R.M Billets Reports'!F1671),IF(ISNUMBER(SEARCH("Party Name-",'R.M Billets Reports'!D1671)),TRIM(MID('R.M Billets Reports'!D1671,SEARCH("-",'R.M Billets Reports'!D1671)+1,200)),"")),IF(ISNUMBER(SEARCH("Party Name:-",'R.M Billets Reports'!D1672)),TRIM('R.M Billets Reports'!F1672),IF(ISNUMBER(SEARCH("Party Name-",'R.M Billets Reports'!D1672)),TRIM(MID('R.M Billets Reports'!D1672,SEARCH("-",'R.M Billets Reports'!D1672)+1,200)),"")))="SHRI RADHE","SHREE RADHE",IF(IF(IF(ISNUMBER(SEARCH("Party Name:-",'R.M Billets Reports'!D1671)),TRIM('R.M Billets Reports'!F1671),IF(ISNUMBER(SEARCH("Party Name-",'R.M Billets Reports'!D1671)),TRIM(MID('R.M Billets Reports'!D1671,SEARCH("-",'R.M Billets Reports'!D1671)+1,200)),""))&lt;&gt;"",IF(ISNUMBER(SEARCH("Party Name:-",'R.M Billets Reports'!D1671)),TRIM('R.M Billets Reports'!F1671),IF(ISNUMBER(SEARCH("Party Name-",'R.M Billets Reports'!D1671)),TRIM(MID('R.M Billets Reports'!D1671,SEARCH("-",'R.M Billets Reports'!D1671)+1,200)),"")),IF(ISNUMBER(SEARCH("Party Name:-",'R.M Billets Reports'!D1672)),TRIM('R.M Billets Reports'!F1672),IF(ISNUMBER(SEARCH("Party Name-",'R.M Billets Reports'!D1672)),TRIM(MID('R.M Billets Reports'!D1672,SEARCH("-",'R.M Billets Reports'!D1672)+1,200)),"")))="SHREE RADHE SHAKTI SPONGE AND POWER PVT. LTD.","SHREE RADHE",IF(IF(ISNUMBER(SEARCH("Party Name:-",'R.M Billets Reports'!D1671)),TRIM('R.M Billets Reports'!F1671),IF(ISNUMBER(SEARCH("Party Name-",'R.M Billets Reports'!D1671)),TRIM(MID('R.M Billets Reports'!D1671,SEARCH("-",'R.M Billets Reports'!D1671)+1,200)),""))&lt;&gt;"",IF(ISNUMBER(SEARCH("Party Name:-",'R.M Billets Reports'!D1671)),TRIM('R.M Billets Reports'!F1671),IF(ISNUMBER(SEARCH("Party Name-",'R.M Billets Reports'!D1671)),TRIM(MID('R.M Billets Reports'!D1671,SEARCH("-",'R.M Billets Reports'!D1671)+1,200)),"")),IF(ISNUMBER(SEARCH("Party Name:-",'R.M Billets Reports'!D1672)),TRIM('R.M Billets Reports'!F1672),IF(ISNUMBER(SEARCH("Party Name-",'R.M Billets Reports'!D1672)),TRIM(MID('R.M Billets Reports'!D1672,SEARCH("-",'R.M Billets Reports'!D1672)+1,200)),"")))))),IF(ROW()=2,"",A1671))</f>
      </c>
      <c r="B1672">
        <f>IF(OR('R.M Billets Reports'!A1671="Date-",'R.M Billets Reports'!A1671="Date:-"),'R.M Billets Reports'!B1671,IF(ROW()=2,"",B1671))</f>
      </c>
      <c r="C1672">
        <f>IF('R.M Billets Reports'!A1671="V.No.",'R.M Billets Reports'!B1671,IF(ROW()=2,"",C1671))</f>
      </c>
      <c r="D1672">
        <f>IF('R.M Billets Reports'!A1671&lt;&gt;"",'R.M Billets Reports'!A1671,IF(ROW()=2,"",D1671))</f>
      </c>
      <c r="E1672">
        <f>IF('R.M Billets Reports'!B1671="","",TRIM('R.M Billets Reports'!B1671))</f>
      </c>
      <c r="F1672">
        <f>'R.M Billets Reports'!C1671</f>
      </c>
      <c r="G1672">
        <f>'R.M Billets Reports'!D1671</f>
      </c>
      <c r="H1672">
        <f>'R.M Billets Reports'!E1671</f>
      </c>
      <c r="I1672">
        <f>'R.M Billets Reports'!F1671</f>
      </c>
      <c r="J1672">
        <f>'R.M Billets Reports'!G1671</f>
      </c>
      <c r="K1672">
        <f>'R.M Billets Reports'!H1671</f>
      </c>
      <c r="L1672">
        <f>IF('R.M Billets Reports'!I1671="","",'R.M Billets Reports'!I1671)</f>
      </c>
      <c r="M1672">
        <f t="shared" si="52"/>
      </c>
      <c r="N1672">
        <f>IF('R.M Billets Reports'!J1671="","",'R.M Billets Reports'!J1671)</f>
      </c>
      <c r="O1672">
        <f t="shared" si="53"/>
      </c>
      <c r="P1672">
        <f>IF('R.M Billets Reports'!A1671="SIZE",'R.M Billets Reports'!B1671,P1671)</f>
      </c>
    </row>
    <row r="1673" spans="1:16" x14ac:dyDescent="0.25">
      <c r="A1673">
        <f>IF(OR('R.M Billets Reports'!A1672="Date-",'R.M Billets Reports'!A1672="Date:-"),IF(IF(IF(ISNUMBER(SEARCH("Party Name:-",'R.M Billets Reports'!D1672)),TRIM('R.M Billets Reports'!F1672),IF(ISNUMBER(SEARCH("Party Name-",'R.M Billets Reports'!D1672)),TRIM(MID('R.M Billets Reports'!D1672,SEARCH("-",'R.M Billets Reports'!D1672)+1,200)),""))&lt;&gt;"",IF(ISNUMBER(SEARCH("Party Name:-",'R.M Billets Reports'!D1672)),TRIM('R.M Billets Reports'!F1672),IF(ISNUMBER(SEARCH("Party Name-",'R.M Billets Reports'!D1672)),TRIM(MID('R.M Billets Reports'!D1672,SEARCH("-",'R.M Billets Reports'!D1672)+1,200)),"")),IF(ISNUMBER(SEARCH("Party Name:-",'R.M Billets Reports'!D1673)),TRIM('R.M Billets Reports'!F1673),IF(ISNUMBER(SEARCH("Party Name-",'R.M Billets Reports'!D1673)),TRIM(MID('R.M Billets Reports'!D1673,SEARCH("-",'R.M Billets Reports'!D1673)+1,200)),"")))="VRKP ISPAT PVT LTD","VRKP",IF(IF(IF(ISNUMBER(SEARCH("Party Name:-",'R.M Billets Reports'!D1672)),TRIM('R.M Billets Reports'!F1672),IF(ISNUMBER(SEARCH("Party Name-",'R.M Billets Reports'!D1672)),TRIM(MID('R.M Billets Reports'!D1672,SEARCH("-",'R.M Billets Reports'!D1672)+1,200)),""))&lt;&gt;"",IF(ISNUMBER(SEARCH("Party Name:-",'R.M Billets Reports'!D1672)),TRIM('R.M Billets Reports'!F1672),IF(ISNUMBER(SEARCH("Party Name-",'R.M Billets Reports'!D1672)),TRIM(MID('R.M Billets Reports'!D1672,SEARCH("-",'R.M Billets Reports'!D1672)+1,200)),"")),IF(ISNUMBER(SEARCH("Party Name:-",'R.M Billets Reports'!D1673)),TRIM('R.M Billets Reports'!F1673),IF(ISNUMBER(SEARCH("Party Name-",'R.M Billets Reports'!D1673)),TRIM(MID('R.M Billets Reports'!D1673,SEARCH("-",'R.M Billets Reports'!D1673)+1,200)),"")))="SHRI RADHE","SHREE RADHE",IF(IF(IF(ISNUMBER(SEARCH("Party Name:-",'R.M Billets Reports'!D1672)),TRIM('R.M Billets Reports'!F1672),IF(ISNUMBER(SEARCH("Party Name-",'R.M Billets Reports'!D1672)),TRIM(MID('R.M Billets Reports'!D1672,SEARCH("-",'R.M Billets Reports'!D1672)+1,200)),""))&lt;&gt;"",IF(ISNUMBER(SEARCH("Party Name:-",'R.M Billets Reports'!D1672)),TRIM('R.M Billets Reports'!F1672),IF(ISNUMBER(SEARCH("Party Name-",'R.M Billets Reports'!D1672)),TRIM(MID('R.M Billets Reports'!D1672,SEARCH("-",'R.M Billets Reports'!D1672)+1,200)),"")),IF(ISNUMBER(SEARCH("Party Name:-",'R.M Billets Reports'!D1673)),TRIM('R.M Billets Reports'!F1673),IF(ISNUMBER(SEARCH("Party Name-",'R.M Billets Reports'!D1673)),TRIM(MID('R.M Billets Reports'!D1673,SEARCH("-",'R.M Billets Reports'!D1673)+1,200)),"")))="SHREE RADHE SHAKTI SPONGE AND POWER PVT. LTD.","SHREE RADHE",IF(IF(ISNUMBER(SEARCH("Party Name:-",'R.M Billets Reports'!D1672)),TRIM('R.M Billets Reports'!F1672),IF(ISNUMBER(SEARCH("Party Name-",'R.M Billets Reports'!D1672)),TRIM(MID('R.M Billets Reports'!D1672,SEARCH("-",'R.M Billets Reports'!D1672)+1,200)),""))&lt;&gt;"",IF(ISNUMBER(SEARCH("Party Name:-",'R.M Billets Reports'!D1672)),TRIM('R.M Billets Reports'!F1672),IF(ISNUMBER(SEARCH("Party Name-",'R.M Billets Reports'!D1672)),TRIM(MID('R.M Billets Reports'!D1672,SEARCH("-",'R.M Billets Reports'!D1672)+1,200)),"")),IF(ISNUMBER(SEARCH("Party Name:-",'R.M Billets Reports'!D1673)),TRIM('R.M Billets Reports'!F1673),IF(ISNUMBER(SEARCH("Party Name-",'R.M Billets Reports'!D1673)),TRIM(MID('R.M Billets Reports'!D1673,SEARCH("-",'R.M Billets Reports'!D1673)+1,200)),"")))))),IF(ROW()=2,"",A1672))</f>
      </c>
      <c r="B1673">
        <f>IF(OR('R.M Billets Reports'!A1672="Date-",'R.M Billets Reports'!A1672="Date:-"),'R.M Billets Reports'!B1672,IF(ROW()=2,"",B1672))</f>
      </c>
      <c r="C1673">
        <f>IF('R.M Billets Reports'!A1672="V.No.",'R.M Billets Reports'!B1672,IF(ROW()=2,"",C1672))</f>
      </c>
      <c r="D1673">
        <f>IF('R.M Billets Reports'!A1672&lt;&gt;"",'R.M Billets Reports'!A1672,IF(ROW()=2,"",D1672))</f>
      </c>
      <c r="E1673">
        <f>IF('R.M Billets Reports'!B1672="","",TRIM('R.M Billets Reports'!B1672))</f>
      </c>
      <c r="F1673">
        <f>'R.M Billets Reports'!C1672</f>
      </c>
      <c r="G1673">
        <f>'R.M Billets Reports'!D1672</f>
      </c>
      <c r="H1673">
        <f>'R.M Billets Reports'!E1672</f>
      </c>
      <c r="I1673">
        <f>'R.M Billets Reports'!F1672</f>
      </c>
      <c r="J1673">
        <f>'R.M Billets Reports'!G1672</f>
      </c>
      <c r="K1673">
        <f>'R.M Billets Reports'!H1672</f>
      </c>
      <c r="L1673">
        <f>IF('R.M Billets Reports'!I1672="","",'R.M Billets Reports'!I1672)</f>
      </c>
      <c r="M1673">
        <f t="shared" si="52"/>
      </c>
      <c r="N1673">
        <f>IF('R.M Billets Reports'!J1672="","",'R.M Billets Reports'!J1672)</f>
      </c>
      <c r="O1673">
        <f t="shared" si="53"/>
      </c>
      <c r="P1673">
        <f>IF('R.M Billets Reports'!A1672="SIZE",'R.M Billets Reports'!B1672,P1672)</f>
      </c>
    </row>
    <row r="1674" spans="1:16" x14ac:dyDescent="0.25">
      <c r="A1674">
        <f>IF(OR('R.M Billets Reports'!A1673="Date-",'R.M Billets Reports'!A1673="Date:-"),IF(IF(IF(ISNUMBER(SEARCH("Party Name:-",'R.M Billets Reports'!D1673)),TRIM('R.M Billets Reports'!F1673),IF(ISNUMBER(SEARCH("Party Name-",'R.M Billets Reports'!D1673)),TRIM(MID('R.M Billets Reports'!D1673,SEARCH("-",'R.M Billets Reports'!D1673)+1,200)),""))&lt;&gt;"",IF(ISNUMBER(SEARCH("Party Name:-",'R.M Billets Reports'!D1673)),TRIM('R.M Billets Reports'!F1673),IF(ISNUMBER(SEARCH("Party Name-",'R.M Billets Reports'!D1673)),TRIM(MID('R.M Billets Reports'!D1673,SEARCH("-",'R.M Billets Reports'!D1673)+1,200)),"")),IF(ISNUMBER(SEARCH("Party Name:-",'R.M Billets Reports'!D1674)),TRIM('R.M Billets Reports'!F1674),IF(ISNUMBER(SEARCH("Party Name-",'R.M Billets Reports'!D1674)),TRIM(MID('R.M Billets Reports'!D1674,SEARCH("-",'R.M Billets Reports'!D1674)+1,200)),"")))="VRKP ISPAT PVT LTD","VRKP",IF(IF(IF(ISNUMBER(SEARCH("Party Name:-",'R.M Billets Reports'!D1673)),TRIM('R.M Billets Reports'!F1673),IF(ISNUMBER(SEARCH("Party Name-",'R.M Billets Reports'!D1673)),TRIM(MID('R.M Billets Reports'!D1673,SEARCH("-",'R.M Billets Reports'!D1673)+1,200)),""))&lt;&gt;"",IF(ISNUMBER(SEARCH("Party Name:-",'R.M Billets Reports'!D1673)),TRIM('R.M Billets Reports'!F1673),IF(ISNUMBER(SEARCH("Party Name-",'R.M Billets Reports'!D1673)),TRIM(MID('R.M Billets Reports'!D1673,SEARCH("-",'R.M Billets Reports'!D1673)+1,200)),"")),IF(ISNUMBER(SEARCH("Party Name:-",'R.M Billets Reports'!D1674)),TRIM('R.M Billets Reports'!F1674),IF(ISNUMBER(SEARCH("Party Name-",'R.M Billets Reports'!D1674)),TRIM(MID('R.M Billets Reports'!D1674,SEARCH("-",'R.M Billets Reports'!D1674)+1,200)),"")))="SHRI RADHE","SHREE RADHE",IF(IF(IF(ISNUMBER(SEARCH("Party Name:-",'R.M Billets Reports'!D1673)),TRIM('R.M Billets Reports'!F1673),IF(ISNUMBER(SEARCH("Party Name-",'R.M Billets Reports'!D1673)),TRIM(MID('R.M Billets Reports'!D1673,SEARCH("-",'R.M Billets Reports'!D1673)+1,200)),""))&lt;&gt;"",IF(ISNUMBER(SEARCH("Party Name:-",'R.M Billets Reports'!D1673)),TRIM('R.M Billets Reports'!F1673),IF(ISNUMBER(SEARCH("Party Name-",'R.M Billets Reports'!D1673)),TRIM(MID('R.M Billets Reports'!D1673,SEARCH("-",'R.M Billets Reports'!D1673)+1,200)),"")),IF(ISNUMBER(SEARCH("Party Name:-",'R.M Billets Reports'!D1674)),TRIM('R.M Billets Reports'!F1674),IF(ISNUMBER(SEARCH("Party Name-",'R.M Billets Reports'!D1674)),TRIM(MID('R.M Billets Reports'!D1674,SEARCH("-",'R.M Billets Reports'!D1674)+1,200)),"")))="SHREE RADHE SHAKTI SPONGE AND POWER PVT. LTD.","SHREE RADHE",IF(IF(ISNUMBER(SEARCH("Party Name:-",'R.M Billets Reports'!D1673)),TRIM('R.M Billets Reports'!F1673),IF(ISNUMBER(SEARCH("Party Name-",'R.M Billets Reports'!D1673)),TRIM(MID('R.M Billets Reports'!D1673,SEARCH("-",'R.M Billets Reports'!D1673)+1,200)),""))&lt;&gt;"",IF(ISNUMBER(SEARCH("Party Name:-",'R.M Billets Reports'!D1673)),TRIM('R.M Billets Reports'!F1673),IF(ISNUMBER(SEARCH("Party Name-",'R.M Billets Reports'!D1673)),TRIM(MID('R.M Billets Reports'!D1673,SEARCH("-",'R.M Billets Reports'!D1673)+1,200)),"")),IF(ISNUMBER(SEARCH("Party Name:-",'R.M Billets Reports'!D1674)),TRIM('R.M Billets Reports'!F1674),IF(ISNUMBER(SEARCH("Party Name-",'R.M Billets Reports'!D1674)),TRIM(MID('R.M Billets Reports'!D1674,SEARCH("-",'R.M Billets Reports'!D1674)+1,200)),"")))))),IF(ROW()=2,"",A1673))</f>
      </c>
      <c r="B1674">
        <f>IF(OR('R.M Billets Reports'!A1673="Date-",'R.M Billets Reports'!A1673="Date:-"),'R.M Billets Reports'!B1673,IF(ROW()=2,"",B1673))</f>
      </c>
      <c r="C1674">
        <f>IF('R.M Billets Reports'!A1673="V.No.",'R.M Billets Reports'!B1673,IF(ROW()=2,"",C1673))</f>
      </c>
      <c r="D1674">
        <f>IF('R.M Billets Reports'!A1673&lt;&gt;"",'R.M Billets Reports'!A1673,IF(ROW()=2,"",D1673))</f>
      </c>
      <c r="E1674">
        <f>IF('R.M Billets Reports'!B1673="","",TRIM('R.M Billets Reports'!B1673))</f>
      </c>
      <c r="F1674">
        <f>'R.M Billets Reports'!C1673</f>
      </c>
      <c r="G1674">
        <f>'R.M Billets Reports'!D1673</f>
      </c>
      <c r="H1674">
        <f>'R.M Billets Reports'!E1673</f>
      </c>
      <c r="I1674">
        <f>'R.M Billets Reports'!F1673</f>
      </c>
      <c r="J1674">
        <f>'R.M Billets Reports'!G1673</f>
      </c>
      <c r="K1674">
        <f>'R.M Billets Reports'!H1673</f>
      </c>
      <c r="L1674">
        <f>IF('R.M Billets Reports'!I1673="","",'R.M Billets Reports'!I1673)</f>
      </c>
      <c r="M1674">
        <f t="shared" si="52"/>
      </c>
      <c r="N1674">
        <f>IF('R.M Billets Reports'!J1673="","",'R.M Billets Reports'!J1673)</f>
      </c>
      <c r="O1674">
        <f t="shared" si="53"/>
      </c>
      <c r="P1674">
        <f>IF('R.M Billets Reports'!A1673="SIZE",'R.M Billets Reports'!B1673,P1673)</f>
      </c>
    </row>
    <row r="1675" spans="1:16" x14ac:dyDescent="0.25">
      <c r="A1675">
        <f>IF(OR('R.M Billets Reports'!A1674="Date-",'R.M Billets Reports'!A1674="Date:-"),IF(IF(IF(ISNUMBER(SEARCH("Party Name:-",'R.M Billets Reports'!D1674)),TRIM('R.M Billets Reports'!F1674),IF(ISNUMBER(SEARCH("Party Name-",'R.M Billets Reports'!D1674)),TRIM(MID('R.M Billets Reports'!D1674,SEARCH("-",'R.M Billets Reports'!D1674)+1,200)),""))&lt;&gt;"",IF(ISNUMBER(SEARCH("Party Name:-",'R.M Billets Reports'!D1674)),TRIM('R.M Billets Reports'!F1674),IF(ISNUMBER(SEARCH("Party Name-",'R.M Billets Reports'!D1674)),TRIM(MID('R.M Billets Reports'!D1674,SEARCH("-",'R.M Billets Reports'!D1674)+1,200)),"")),IF(ISNUMBER(SEARCH("Party Name:-",'R.M Billets Reports'!D1675)),TRIM('R.M Billets Reports'!F1675),IF(ISNUMBER(SEARCH("Party Name-",'R.M Billets Reports'!D1675)),TRIM(MID('R.M Billets Reports'!D1675,SEARCH("-",'R.M Billets Reports'!D1675)+1,200)),"")))="VRKP ISPAT PVT LTD","VRKP",IF(IF(IF(ISNUMBER(SEARCH("Party Name:-",'R.M Billets Reports'!D1674)),TRIM('R.M Billets Reports'!F1674),IF(ISNUMBER(SEARCH("Party Name-",'R.M Billets Reports'!D1674)),TRIM(MID('R.M Billets Reports'!D1674,SEARCH("-",'R.M Billets Reports'!D1674)+1,200)),""))&lt;&gt;"",IF(ISNUMBER(SEARCH("Party Name:-",'R.M Billets Reports'!D1674)),TRIM('R.M Billets Reports'!F1674),IF(ISNUMBER(SEARCH("Party Name-",'R.M Billets Reports'!D1674)),TRIM(MID('R.M Billets Reports'!D1674,SEARCH("-",'R.M Billets Reports'!D1674)+1,200)),"")),IF(ISNUMBER(SEARCH("Party Name:-",'R.M Billets Reports'!D1675)),TRIM('R.M Billets Reports'!F1675),IF(ISNUMBER(SEARCH("Party Name-",'R.M Billets Reports'!D1675)),TRIM(MID('R.M Billets Reports'!D1675,SEARCH("-",'R.M Billets Reports'!D1675)+1,200)),"")))="SHRI RADHE","SHREE RADHE",IF(IF(IF(ISNUMBER(SEARCH("Party Name:-",'R.M Billets Reports'!D1674)),TRIM('R.M Billets Reports'!F1674),IF(ISNUMBER(SEARCH("Party Name-",'R.M Billets Reports'!D1674)),TRIM(MID('R.M Billets Reports'!D1674,SEARCH("-",'R.M Billets Reports'!D1674)+1,200)),""))&lt;&gt;"",IF(ISNUMBER(SEARCH("Party Name:-",'R.M Billets Reports'!D1674)),TRIM('R.M Billets Reports'!F1674),IF(ISNUMBER(SEARCH("Party Name-",'R.M Billets Reports'!D1674)),TRIM(MID('R.M Billets Reports'!D1674,SEARCH("-",'R.M Billets Reports'!D1674)+1,200)),"")),IF(ISNUMBER(SEARCH("Party Name:-",'R.M Billets Reports'!D1675)),TRIM('R.M Billets Reports'!F1675),IF(ISNUMBER(SEARCH("Party Name-",'R.M Billets Reports'!D1675)),TRIM(MID('R.M Billets Reports'!D1675,SEARCH("-",'R.M Billets Reports'!D1675)+1,200)),"")))="SHREE RADHE SHAKTI SPONGE AND POWER PVT. LTD.","SHREE RADHE",IF(IF(ISNUMBER(SEARCH("Party Name:-",'R.M Billets Reports'!D1674)),TRIM('R.M Billets Reports'!F1674),IF(ISNUMBER(SEARCH("Party Name-",'R.M Billets Reports'!D1674)),TRIM(MID('R.M Billets Reports'!D1674,SEARCH("-",'R.M Billets Reports'!D1674)+1,200)),""))&lt;&gt;"",IF(ISNUMBER(SEARCH("Party Name:-",'R.M Billets Reports'!D1674)),TRIM('R.M Billets Reports'!F1674),IF(ISNUMBER(SEARCH("Party Name-",'R.M Billets Reports'!D1674)),TRIM(MID('R.M Billets Reports'!D1674,SEARCH("-",'R.M Billets Reports'!D1674)+1,200)),"")),IF(ISNUMBER(SEARCH("Party Name:-",'R.M Billets Reports'!D1675)),TRIM('R.M Billets Reports'!F1675),IF(ISNUMBER(SEARCH("Party Name-",'R.M Billets Reports'!D1675)),TRIM(MID('R.M Billets Reports'!D1675,SEARCH("-",'R.M Billets Reports'!D1675)+1,200)),"")))))),IF(ROW()=2,"",A1674))</f>
      </c>
      <c r="B1675">
        <f>IF(OR('R.M Billets Reports'!A1674="Date-",'R.M Billets Reports'!A1674="Date:-"),'R.M Billets Reports'!B1674,IF(ROW()=2,"",B1674))</f>
      </c>
      <c r="C1675">
        <f>IF('R.M Billets Reports'!A1674="V.No.",'R.M Billets Reports'!B1674,IF(ROW()=2,"",C1674))</f>
      </c>
      <c r="D1675">
        <f>IF('R.M Billets Reports'!A1674&lt;&gt;"",'R.M Billets Reports'!A1674,IF(ROW()=2,"",D1674))</f>
      </c>
      <c r="E1675">
        <f>IF('R.M Billets Reports'!B1674="","",TRIM('R.M Billets Reports'!B1674))</f>
      </c>
      <c r="F1675">
        <f>'R.M Billets Reports'!C1674</f>
      </c>
      <c r="G1675">
        <f>'R.M Billets Reports'!D1674</f>
      </c>
      <c r="H1675">
        <f>'R.M Billets Reports'!E1674</f>
      </c>
      <c r="I1675">
        <f>'R.M Billets Reports'!F1674</f>
      </c>
      <c r="J1675">
        <f>'R.M Billets Reports'!G1674</f>
      </c>
      <c r="K1675">
        <f>'R.M Billets Reports'!H1674</f>
      </c>
      <c r="L1675">
        <f>IF('R.M Billets Reports'!I1674="","",'R.M Billets Reports'!I1674)</f>
      </c>
      <c r="M1675">
        <f t="shared" si="52"/>
      </c>
      <c r="N1675">
        <f>IF('R.M Billets Reports'!J1674="","",'R.M Billets Reports'!J1674)</f>
      </c>
      <c r="O1675">
        <f t="shared" si="53"/>
      </c>
      <c r="P1675">
        <f>IF('R.M Billets Reports'!A1674="SIZE",'R.M Billets Reports'!B1674,P1674)</f>
      </c>
    </row>
    <row r="1676" spans="1:16" x14ac:dyDescent="0.25">
      <c r="A1676">
        <f>IF(OR('R.M Billets Reports'!A1675="Date-",'R.M Billets Reports'!A1675="Date:-"),IF(IF(IF(ISNUMBER(SEARCH("Party Name:-",'R.M Billets Reports'!D1675)),TRIM('R.M Billets Reports'!F1675),IF(ISNUMBER(SEARCH("Party Name-",'R.M Billets Reports'!D1675)),TRIM(MID('R.M Billets Reports'!D1675,SEARCH("-",'R.M Billets Reports'!D1675)+1,200)),""))&lt;&gt;"",IF(ISNUMBER(SEARCH("Party Name:-",'R.M Billets Reports'!D1675)),TRIM('R.M Billets Reports'!F1675),IF(ISNUMBER(SEARCH("Party Name-",'R.M Billets Reports'!D1675)),TRIM(MID('R.M Billets Reports'!D1675,SEARCH("-",'R.M Billets Reports'!D1675)+1,200)),"")),IF(ISNUMBER(SEARCH("Party Name:-",'R.M Billets Reports'!D1676)),TRIM('R.M Billets Reports'!F1676),IF(ISNUMBER(SEARCH("Party Name-",'R.M Billets Reports'!D1676)),TRIM(MID('R.M Billets Reports'!D1676,SEARCH("-",'R.M Billets Reports'!D1676)+1,200)),"")))="VRKP ISPAT PVT LTD","VRKP",IF(IF(IF(ISNUMBER(SEARCH("Party Name:-",'R.M Billets Reports'!D1675)),TRIM('R.M Billets Reports'!F1675),IF(ISNUMBER(SEARCH("Party Name-",'R.M Billets Reports'!D1675)),TRIM(MID('R.M Billets Reports'!D1675,SEARCH("-",'R.M Billets Reports'!D1675)+1,200)),""))&lt;&gt;"",IF(ISNUMBER(SEARCH("Party Name:-",'R.M Billets Reports'!D1675)),TRIM('R.M Billets Reports'!F1675),IF(ISNUMBER(SEARCH("Party Name-",'R.M Billets Reports'!D1675)),TRIM(MID('R.M Billets Reports'!D1675,SEARCH("-",'R.M Billets Reports'!D1675)+1,200)),"")),IF(ISNUMBER(SEARCH("Party Name:-",'R.M Billets Reports'!D1676)),TRIM('R.M Billets Reports'!F1676),IF(ISNUMBER(SEARCH("Party Name-",'R.M Billets Reports'!D1676)),TRIM(MID('R.M Billets Reports'!D1676,SEARCH("-",'R.M Billets Reports'!D1676)+1,200)),"")))="SHRI RADHE","SHREE RADHE",IF(IF(IF(ISNUMBER(SEARCH("Party Name:-",'R.M Billets Reports'!D1675)),TRIM('R.M Billets Reports'!F1675),IF(ISNUMBER(SEARCH("Party Name-",'R.M Billets Reports'!D1675)),TRIM(MID('R.M Billets Reports'!D1675,SEARCH("-",'R.M Billets Reports'!D1675)+1,200)),""))&lt;&gt;"",IF(ISNUMBER(SEARCH("Party Name:-",'R.M Billets Reports'!D1675)),TRIM('R.M Billets Reports'!F1675),IF(ISNUMBER(SEARCH("Party Name-",'R.M Billets Reports'!D1675)),TRIM(MID('R.M Billets Reports'!D1675,SEARCH("-",'R.M Billets Reports'!D1675)+1,200)),"")),IF(ISNUMBER(SEARCH("Party Name:-",'R.M Billets Reports'!D1676)),TRIM('R.M Billets Reports'!F1676),IF(ISNUMBER(SEARCH("Party Name-",'R.M Billets Reports'!D1676)),TRIM(MID('R.M Billets Reports'!D1676,SEARCH("-",'R.M Billets Reports'!D1676)+1,200)),"")))="SHREE RADHE SHAKTI SPONGE AND POWER PVT. LTD.","SHREE RADHE",IF(IF(ISNUMBER(SEARCH("Party Name:-",'R.M Billets Reports'!D1675)),TRIM('R.M Billets Reports'!F1675),IF(ISNUMBER(SEARCH("Party Name-",'R.M Billets Reports'!D1675)),TRIM(MID('R.M Billets Reports'!D1675,SEARCH("-",'R.M Billets Reports'!D1675)+1,200)),""))&lt;&gt;"",IF(ISNUMBER(SEARCH("Party Name:-",'R.M Billets Reports'!D1675)),TRIM('R.M Billets Reports'!F1675),IF(ISNUMBER(SEARCH("Party Name-",'R.M Billets Reports'!D1675)),TRIM(MID('R.M Billets Reports'!D1675,SEARCH("-",'R.M Billets Reports'!D1675)+1,200)),"")),IF(ISNUMBER(SEARCH("Party Name:-",'R.M Billets Reports'!D1676)),TRIM('R.M Billets Reports'!F1676),IF(ISNUMBER(SEARCH("Party Name-",'R.M Billets Reports'!D1676)),TRIM(MID('R.M Billets Reports'!D1676,SEARCH("-",'R.M Billets Reports'!D1676)+1,200)),"")))))),IF(ROW()=2,"",A1675))</f>
      </c>
      <c r="B1676">
        <f>IF(OR('R.M Billets Reports'!A1675="Date-",'R.M Billets Reports'!A1675="Date:-"),'R.M Billets Reports'!B1675,IF(ROW()=2,"",B1675))</f>
      </c>
      <c r="C1676">
        <f>IF('R.M Billets Reports'!A1675="V.No.",'R.M Billets Reports'!B1675,IF(ROW()=2,"",C1675))</f>
      </c>
      <c r="D1676">
        <f>IF('R.M Billets Reports'!A1675&lt;&gt;"",'R.M Billets Reports'!A1675,IF(ROW()=2,"",D1675))</f>
      </c>
      <c r="E1676">
        <f>IF('R.M Billets Reports'!B1675="","",TRIM('R.M Billets Reports'!B1675))</f>
      </c>
      <c r="F1676">
        <f>'R.M Billets Reports'!C1675</f>
      </c>
      <c r="G1676">
        <f>'R.M Billets Reports'!D1675</f>
      </c>
      <c r="H1676">
        <f>'R.M Billets Reports'!E1675</f>
      </c>
      <c r="I1676">
        <f>'R.M Billets Reports'!F1675</f>
      </c>
      <c r="J1676">
        <f>'R.M Billets Reports'!G1675</f>
      </c>
      <c r="K1676">
        <f>'R.M Billets Reports'!H1675</f>
      </c>
      <c r="L1676">
        <f>IF('R.M Billets Reports'!I1675="","",'R.M Billets Reports'!I1675)</f>
      </c>
      <c r="M1676">
        <f t="shared" si="52"/>
      </c>
      <c r="N1676">
        <f>IF('R.M Billets Reports'!J1675="","",'R.M Billets Reports'!J1675)</f>
      </c>
      <c r="O1676">
        <f t="shared" si="53"/>
      </c>
      <c r="P1676">
        <f>IF('R.M Billets Reports'!A1675="SIZE",'R.M Billets Reports'!B1675,P1675)</f>
      </c>
    </row>
    <row r="1677" spans="1:16" x14ac:dyDescent="0.25">
      <c r="A1677">
        <f>IF(OR('R.M Billets Reports'!A1676="Date-",'R.M Billets Reports'!A1676="Date:-"),IF(IF(IF(ISNUMBER(SEARCH("Party Name:-",'R.M Billets Reports'!D1676)),TRIM('R.M Billets Reports'!F1676),IF(ISNUMBER(SEARCH("Party Name-",'R.M Billets Reports'!D1676)),TRIM(MID('R.M Billets Reports'!D1676,SEARCH("-",'R.M Billets Reports'!D1676)+1,200)),""))&lt;&gt;"",IF(ISNUMBER(SEARCH("Party Name:-",'R.M Billets Reports'!D1676)),TRIM('R.M Billets Reports'!F1676),IF(ISNUMBER(SEARCH("Party Name-",'R.M Billets Reports'!D1676)),TRIM(MID('R.M Billets Reports'!D1676,SEARCH("-",'R.M Billets Reports'!D1676)+1,200)),"")),IF(ISNUMBER(SEARCH("Party Name:-",'R.M Billets Reports'!D1677)),TRIM('R.M Billets Reports'!F1677),IF(ISNUMBER(SEARCH("Party Name-",'R.M Billets Reports'!D1677)),TRIM(MID('R.M Billets Reports'!D1677,SEARCH("-",'R.M Billets Reports'!D1677)+1,200)),"")))="VRKP ISPAT PVT LTD","VRKP",IF(IF(IF(ISNUMBER(SEARCH("Party Name:-",'R.M Billets Reports'!D1676)),TRIM('R.M Billets Reports'!F1676),IF(ISNUMBER(SEARCH("Party Name-",'R.M Billets Reports'!D1676)),TRIM(MID('R.M Billets Reports'!D1676,SEARCH("-",'R.M Billets Reports'!D1676)+1,200)),""))&lt;&gt;"",IF(ISNUMBER(SEARCH("Party Name:-",'R.M Billets Reports'!D1676)),TRIM('R.M Billets Reports'!F1676),IF(ISNUMBER(SEARCH("Party Name-",'R.M Billets Reports'!D1676)),TRIM(MID('R.M Billets Reports'!D1676,SEARCH("-",'R.M Billets Reports'!D1676)+1,200)),"")),IF(ISNUMBER(SEARCH("Party Name:-",'R.M Billets Reports'!D1677)),TRIM('R.M Billets Reports'!F1677),IF(ISNUMBER(SEARCH("Party Name-",'R.M Billets Reports'!D1677)),TRIM(MID('R.M Billets Reports'!D1677,SEARCH("-",'R.M Billets Reports'!D1677)+1,200)),"")))="SHRI RADHE","SHREE RADHE",IF(IF(IF(ISNUMBER(SEARCH("Party Name:-",'R.M Billets Reports'!D1676)),TRIM('R.M Billets Reports'!F1676),IF(ISNUMBER(SEARCH("Party Name-",'R.M Billets Reports'!D1676)),TRIM(MID('R.M Billets Reports'!D1676,SEARCH("-",'R.M Billets Reports'!D1676)+1,200)),""))&lt;&gt;"",IF(ISNUMBER(SEARCH("Party Name:-",'R.M Billets Reports'!D1676)),TRIM('R.M Billets Reports'!F1676),IF(ISNUMBER(SEARCH("Party Name-",'R.M Billets Reports'!D1676)),TRIM(MID('R.M Billets Reports'!D1676,SEARCH("-",'R.M Billets Reports'!D1676)+1,200)),"")),IF(ISNUMBER(SEARCH("Party Name:-",'R.M Billets Reports'!D1677)),TRIM('R.M Billets Reports'!F1677),IF(ISNUMBER(SEARCH("Party Name-",'R.M Billets Reports'!D1677)),TRIM(MID('R.M Billets Reports'!D1677,SEARCH("-",'R.M Billets Reports'!D1677)+1,200)),"")))="SHREE RADHE SHAKTI SPONGE AND POWER PVT. LTD.","SHREE RADHE",IF(IF(ISNUMBER(SEARCH("Party Name:-",'R.M Billets Reports'!D1676)),TRIM('R.M Billets Reports'!F1676),IF(ISNUMBER(SEARCH("Party Name-",'R.M Billets Reports'!D1676)),TRIM(MID('R.M Billets Reports'!D1676,SEARCH("-",'R.M Billets Reports'!D1676)+1,200)),""))&lt;&gt;"",IF(ISNUMBER(SEARCH("Party Name:-",'R.M Billets Reports'!D1676)),TRIM('R.M Billets Reports'!F1676),IF(ISNUMBER(SEARCH("Party Name-",'R.M Billets Reports'!D1676)),TRIM(MID('R.M Billets Reports'!D1676,SEARCH("-",'R.M Billets Reports'!D1676)+1,200)),"")),IF(ISNUMBER(SEARCH("Party Name:-",'R.M Billets Reports'!D1677)),TRIM('R.M Billets Reports'!F1677),IF(ISNUMBER(SEARCH("Party Name-",'R.M Billets Reports'!D1677)),TRIM(MID('R.M Billets Reports'!D1677,SEARCH("-",'R.M Billets Reports'!D1677)+1,200)),"")))))),IF(ROW()=2,"",A1676))</f>
      </c>
      <c r="B1677">
        <f>IF(OR('R.M Billets Reports'!A1676="Date-",'R.M Billets Reports'!A1676="Date:-"),'R.M Billets Reports'!B1676,IF(ROW()=2,"",B1676))</f>
      </c>
      <c r="C1677">
        <f>IF('R.M Billets Reports'!A1676="V.No.",'R.M Billets Reports'!B1676,IF(ROW()=2,"",C1676))</f>
      </c>
      <c r="D1677">
        <f>IF('R.M Billets Reports'!A1676&lt;&gt;"",'R.M Billets Reports'!A1676,IF(ROW()=2,"",D1676))</f>
      </c>
      <c r="E1677">
        <f>IF('R.M Billets Reports'!B1676="","",TRIM('R.M Billets Reports'!B1676))</f>
      </c>
      <c r="F1677">
        <f>'R.M Billets Reports'!C1676</f>
      </c>
      <c r="G1677">
        <f>'R.M Billets Reports'!D1676</f>
      </c>
      <c r="H1677">
        <f>'R.M Billets Reports'!E1676</f>
      </c>
      <c r="I1677">
        <f>'R.M Billets Reports'!F1676</f>
      </c>
      <c r="J1677">
        <f>'R.M Billets Reports'!G1676</f>
      </c>
      <c r="K1677">
        <f>'R.M Billets Reports'!H1676</f>
      </c>
      <c r="L1677">
        <f>IF('R.M Billets Reports'!I1676="","",'R.M Billets Reports'!I1676)</f>
      </c>
      <c r="M1677">
        <f t="shared" si="52"/>
      </c>
      <c r="N1677">
        <f>IF('R.M Billets Reports'!J1676="","",'R.M Billets Reports'!J1676)</f>
      </c>
      <c r="O1677">
        <f t="shared" si="53"/>
      </c>
      <c r="P1677">
        <f>IF('R.M Billets Reports'!A1676="SIZE",'R.M Billets Reports'!B1676,P1676)</f>
      </c>
    </row>
    <row r="1678" spans="1:16" x14ac:dyDescent="0.25">
      <c r="A1678">
        <f>IF(OR('R.M Billets Reports'!A1677="Date-",'R.M Billets Reports'!A1677="Date:-"),IF(IF(IF(ISNUMBER(SEARCH("Party Name:-",'R.M Billets Reports'!D1677)),TRIM('R.M Billets Reports'!F1677),IF(ISNUMBER(SEARCH("Party Name-",'R.M Billets Reports'!D1677)),TRIM(MID('R.M Billets Reports'!D1677,SEARCH("-",'R.M Billets Reports'!D1677)+1,200)),""))&lt;&gt;"",IF(ISNUMBER(SEARCH("Party Name:-",'R.M Billets Reports'!D1677)),TRIM('R.M Billets Reports'!F1677),IF(ISNUMBER(SEARCH("Party Name-",'R.M Billets Reports'!D1677)),TRIM(MID('R.M Billets Reports'!D1677,SEARCH("-",'R.M Billets Reports'!D1677)+1,200)),"")),IF(ISNUMBER(SEARCH("Party Name:-",'R.M Billets Reports'!D1678)),TRIM('R.M Billets Reports'!F1678),IF(ISNUMBER(SEARCH("Party Name-",'R.M Billets Reports'!D1678)),TRIM(MID('R.M Billets Reports'!D1678,SEARCH("-",'R.M Billets Reports'!D1678)+1,200)),"")))="VRKP ISPAT PVT LTD","VRKP",IF(IF(IF(ISNUMBER(SEARCH("Party Name:-",'R.M Billets Reports'!D1677)),TRIM('R.M Billets Reports'!F1677),IF(ISNUMBER(SEARCH("Party Name-",'R.M Billets Reports'!D1677)),TRIM(MID('R.M Billets Reports'!D1677,SEARCH("-",'R.M Billets Reports'!D1677)+1,200)),""))&lt;&gt;"",IF(ISNUMBER(SEARCH("Party Name:-",'R.M Billets Reports'!D1677)),TRIM('R.M Billets Reports'!F1677),IF(ISNUMBER(SEARCH("Party Name-",'R.M Billets Reports'!D1677)),TRIM(MID('R.M Billets Reports'!D1677,SEARCH("-",'R.M Billets Reports'!D1677)+1,200)),"")),IF(ISNUMBER(SEARCH("Party Name:-",'R.M Billets Reports'!D1678)),TRIM('R.M Billets Reports'!F1678),IF(ISNUMBER(SEARCH("Party Name-",'R.M Billets Reports'!D1678)),TRIM(MID('R.M Billets Reports'!D1678,SEARCH("-",'R.M Billets Reports'!D1678)+1,200)),"")))="SHRI RADHE","SHREE RADHE",IF(IF(IF(ISNUMBER(SEARCH("Party Name:-",'R.M Billets Reports'!D1677)),TRIM('R.M Billets Reports'!F1677),IF(ISNUMBER(SEARCH("Party Name-",'R.M Billets Reports'!D1677)),TRIM(MID('R.M Billets Reports'!D1677,SEARCH("-",'R.M Billets Reports'!D1677)+1,200)),""))&lt;&gt;"",IF(ISNUMBER(SEARCH("Party Name:-",'R.M Billets Reports'!D1677)),TRIM('R.M Billets Reports'!F1677),IF(ISNUMBER(SEARCH("Party Name-",'R.M Billets Reports'!D1677)),TRIM(MID('R.M Billets Reports'!D1677,SEARCH("-",'R.M Billets Reports'!D1677)+1,200)),"")),IF(ISNUMBER(SEARCH("Party Name:-",'R.M Billets Reports'!D1678)),TRIM('R.M Billets Reports'!F1678),IF(ISNUMBER(SEARCH("Party Name-",'R.M Billets Reports'!D1678)),TRIM(MID('R.M Billets Reports'!D1678,SEARCH("-",'R.M Billets Reports'!D1678)+1,200)),"")))="SHREE RADHE SHAKTI SPONGE AND POWER PVT. LTD.","SHREE RADHE",IF(IF(ISNUMBER(SEARCH("Party Name:-",'R.M Billets Reports'!D1677)),TRIM('R.M Billets Reports'!F1677),IF(ISNUMBER(SEARCH("Party Name-",'R.M Billets Reports'!D1677)),TRIM(MID('R.M Billets Reports'!D1677,SEARCH("-",'R.M Billets Reports'!D1677)+1,200)),""))&lt;&gt;"",IF(ISNUMBER(SEARCH("Party Name:-",'R.M Billets Reports'!D1677)),TRIM('R.M Billets Reports'!F1677),IF(ISNUMBER(SEARCH("Party Name-",'R.M Billets Reports'!D1677)),TRIM(MID('R.M Billets Reports'!D1677,SEARCH("-",'R.M Billets Reports'!D1677)+1,200)),"")),IF(ISNUMBER(SEARCH("Party Name:-",'R.M Billets Reports'!D1678)),TRIM('R.M Billets Reports'!F1678),IF(ISNUMBER(SEARCH("Party Name-",'R.M Billets Reports'!D1678)),TRIM(MID('R.M Billets Reports'!D1678,SEARCH("-",'R.M Billets Reports'!D1678)+1,200)),"")))))),IF(ROW()=2,"",A1677))</f>
      </c>
      <c r="B1678">
        <f>IF(OR('R.M Billets Reports'!A1677="Date-",'R.M Billets Reports'!A1677="Date:-"),'R.M Billets Reports'!B1677,IF(ROW()=2,"",B1677))</f>
      </c>
      <c r="C1678">
        <f>IF('R.M Billets Reports'!A1677="V.No.",'R.M Billets Reports'!B1677,IF(ROW()=2,"",C1677))</f>
      </c>
      <c r="D1678">
        <f>IF('R.M Billets Reports'!A1677&lt;&gt;"",'R.M Billets Reports'!A1677,IF(ROW()=2,"",D1677))</f>
      </c>
      <c r="E1678">
        <f>IF('R.M Billets Reports'!B1677="","",TRIM('R.M Billets Reports'!B1677))</f>
      </c>
      <c r="F1678">
        <f>'R.M Billets Reports'!C1677</f>
      </c>
      <c r="G1678">
        <f>'R.M Billets Reports'!D1677</f>
      </c>
      <c r="H1678">
        <f>'R.M Billets Reports'!E1677</f>
      </c>
      <c r="I1678">
        <f>'R.M Billets Reports'!F1677</f>
      </c>
      <c r="J1678">
        <f>'R.M Billets Reports'!G1677</f>
      </c>
      <c r="K1678">
        <f>'R.M Billets Reports'!H1677</f>
      </c>
      <c r="L1678">
        <f>IF('R.M Billets Reports'!I1677="","",'R.M Billets Reports'!I1677)</f>
      </c>
      <c r="M1678">
        <f t="shared" si="52"/>
      </c>
      <c r="N1678">
        <f>IF('R.M Billets Reports'!J1677="","",'R.M Billets Reports'!J1677)</f>
      </c>
      <c r="O1678">
        <f t="shared" si="53"/>
      </c>
      <c r="P1678">
        <f>IF('R.M Billets Reports'!A1677="SIZE",'R.M Billets Reports'!B1677,P1677)</f>
      </c>
    </row>
    <row r="1679" spans="1:16" x14ac:dyDescent="0.25">
      <c r="A1679">
        <f>IF(OR('R.M Billets Reports'!A1678="Date-",'R.M Billets Reports'!A1678="Date:-"),IF(IF(IF(ISNUMBER(SEARCH("Party Name:-",'R.M Billets Reports'!D1678)),TRIM('R.M Billets Reports'!F1678),IF(ISNUMBER(SEARCH("Party Name-",'R.M Billets Reports'!D1678)),TRIM(MID('R.M Billets Reports'!D1678,SEARCH("-",'R.M Billets Reports'!D1678)+1,200)),""))&lt;&gt;"",IF(ISNUMBER(SEARCH("Party Name:-",'R.M Billets Reports'!D1678)),TRIM('R.M Billets Reports'!F1678),IF(ISNUMBER(SEARCH("Party Name-",'R.M Billets Reports'!D1678)),TRIM(MID('R.M Billets Reports'!D1678,SEARCH("-",'R.M Billets Reports'!D1678)+1,200)),"")),IF(ISNUMBER(SEARCH("Party Name:-",'R.M Billets Reports'!D1679)),TRIM('R.M Billets Reports'!F1679),IF(ISNUMBER(SEARCH("Party Name-",'R.M Billets Reports'!D1679)),TRIM(MID('R.M Billets Reports'!D1679,SEARCH("-",'R.M Billets Reports'!D1679)+1,200)),"")))="VRKP ISPAT PVT LTD","VRKP",IF(IF(IF(ISNUMBER(SEARCH("Party Name:-",'R.M Billets Reports'!D1678)),TRIM('R.M Billets Reports'!F1678),IF(ISNUMBER(SEARCH("Party Name-",'R.M Billets Reports'!D1678)),TRIM(MID('R.M Billets Reports'!D1678,SEARCH("-",'R.M Billets Reports'!D1678)+1,200)),""))&lt;&gt;"",IF(ISNUMBER(SEARCH("Party Name:-",'R.M Billets Reports'!D1678)),TRIM('R.M Billets Reports'!F1678),IF(ISNUMBER(SEARCH("Party Name-",'R.M Billets Reports'!D1678)),TRIM(MID('R.M Billets Reports'!D1678,SEARCH("-",'R.M Billets Reports'!D1678)+1,200)),"")),IF(ISNUMBER(SEARCH("Party Name:-",'R.M Billets Reports'!D1679)),TRIM('R.M Billets Reports'!F1679),IF(ISNUMBER(SEARCH("Party Name-",'R.M Billets Reports'!D1679)),TRIM(MID('R.M Billets Reports'!D1679,SEARCH("-",'R.M Billets Reports'!D1679)+1,200)),"")))="SHRI RADHE","SHREE RADHE",IF(IF(IF(ISNUMBER(SEARCH("Party Name:-",'R.M Billets Reports'!D1678)),TRIM('R.M Billets Reports'!F1678),IF(ISNUMBER(SEARCH("Party Name-",'R.M Billets Reports'!D1678)),TRIM(MID('R.M Billets Reports'!D1678,SEARCH("-",'R.M Billets Reports'!D1678)+1,200)),""))&lt;&gt;"",IF(ISNUMBER(SEARCH("Party Name:-",'R.M Billets Reports'!D1678)),TRIM('R.M Billets Reports'!F1678),IF(ISNUMBER(SEARCH("Party Name-",'R.M Billets Reports'!D1678)),TRIM(MID('R.M Billets Reports'!D1678,SEARCH("-",'R.M Billets Reports'!D1678)+1,200)),"")),IF(ISNUMBER(SEARCH("Party Name:-",'R.M Billets Reports'!D1679)),TRIM('R.M Billets Reports'!F1679),IF(ISNUMBER(SEARCH("Party Name-",'R.M Billets Reports'!D1679)),TRIM(MID('R.M Billets Reports'!D1679,SEARCH("-",'R.M Billets Reports'!D1679)+1,200)),"")))="SHREE RADHE SHAKTI SPONGE AND POWER PVT. LTD.","SHREE RADHE",IF(IF(ISNUMBER(SEARCH("Party Name:-",'R.M Billets Reports'!D1678)),TRIM('R.M Billets Reports'!F1678),IF(ISNUMBER(SEARCH("Party Name-",'R.M Billets Reports'!D1678)),TRIM(MID('R.M Billets Reports'!D1678,SEARCH("-",'R.M Billets Reports'!D1678)+1,200)),""))&lt;&gt;"",IF(ISNUMBER(SEARCH("Party Name:-",'R.M Billets Reports'!D1678)),TRIM('R.M Billets Reports'!F1678),IF(ISNUMBER(SEARCH("Party Name-",'R.M Billets Reports'!D1678)),TRIM(MID('R.M Billets Reports'!D1678,SEARCH("-",'R.M Billets Reports'!D1678)+1,200)),"")),IF(ISNUMBER(SEARCH("Party Name:-",'R.M Billets Reports'!D1679)),TRIM('R.M Billets Reports'!F1679),IF(ISNUMBER(SEARCH("Party Name-",'R.M Billets Reports'!D1679)),TRIM(MID('R.M Billets Reports'!D1679,SEARCH("-",'R.M Billets Reports'!D1679)+1,200)),"")))))),IF(ROW()=2,"",A1678))</f>
      </c>
      <c r="B1679">
        <f>IF(OR('R.M Billets Reports'!A1678="Date-",'R.M Billets Reports'!A1678="Date:-"),'R.M Billets Reports'!B1678,IF(ROW()=2,"",B1678))</f>
      </c>
      <c r="C1679">
        <f>IF('R.M Billets Reports'!A1678="V.No.",'R.M Billets Reports'!B1678,IF(ROW()=2,"",C1678))</f>
      </c>
      <c r="D1679">
        <f>IF('R.M Billets Reports'!A1678&lt;&gt;"",'R.M Billets Reports'!A1678,IF(ROW()=2,"",D1678))</f>
      </c>
      <c r="E1679">
        <f>IF('R.M Billets Reports'!B1678="","",TRIM('R.M Billets Reports'!B1678))</f>
      </c>
      <c r="F1679">
        <f>'R.M Billets Reports'!C1678</f>
      </c>
      <c r="G1679">
        <f>'R.M Billets Reports'!D1678</f>
      </c>
      <c r="H1679">
        <f>'R.M Billets Reports'!E1678</f>
      </c>
      <c r="I1679">
        <f>'R.M Billets Reports'!F1678</f>
      </c>
      <c r="J1679">
        <f>'R.M Billets Reports'!G1678</f>
      </c>
      <c r="K1679">
        <f>'R.M Billets Reports'!H1678</f>
      </c>
      <c r="L1679">
        <f>IF('R.M Billets Reports'!I1678="","",'R.M Billets Reports'!I1678)</f>
      </c>
      <c r="M1679">
        <f t="shared" si="52"/>
      </c>
      <c r="N1679">
        <f>IF('R.M Billets Reports'!J1678="","",'R.M Billets Reports'!J1678)</f>
      </c>
      <c r="O1679">
        <f t="shared" si="53"/>
      </c>
      <c r="P1679">
        <f>IF('R.M Billets Reports'!A1678="SIZE",'R.M Billets Reports'!B1678,P1678)</f>
      </c>
    </row>
    <row r="1680" spans="1:16" x14ac:dyDescent="0.25">
      <c r="A1680">
        <f>IF(OR('R.M Billets Reports'!A1679="Date-",'R.M Billets Reports'!A1679="Date:-"),IF(IF(IF(ISNUMBER(SEARCH("Party Name:-",'R.M Billets Reports'!D1679)),TRIM('R.M Billets Reports'!F1679),IF(ISNUMBER(SEARCH("Party Name-",'R.M Billets Reports'!D1679)),TRIM(MID('R.M Billets Reports'!D1679,SEARCH("-",'R.M Billets Reports'!D1679)+1,200)),""))&lt;&gt;"",IF(ISNUMBER(SEARCH("Party Name:-",'R.M Billets Reports'!D1679)),TRIM('R.M Billets Reports'!F1679),IF(ISNUMBER(SEARCH("Party Name-",'R.M Billets Reports'!D1679)),TRIM(MID('R.M Billets Reports'!D1679,SEARCH("-",'R.M Billets Reports'!D1679)+1,200)),"")),IF(ISNUMBER(SEARCH("Party Name:-",'R.M Billets Reports'!D1680)),TRIM('R.M Billets Reports'!F1680),IF(ISNUMBER(SEARCH("Party Name-",'R.M Billets Reports'!D1680)),TRIM(MID('R.M Billets Reports'!D1680,SEARCH("-",'R.M Billets Reports'!D1680)+1,200)),"")))="VRKP ISPAT PVT LTD","VRKP",IF(IF(IF(ISNUMBER(SEARCH("Party Name:-",'R.M Billets Reports'!D1679)),TRIM('R.M Billets Reports'!F1679),IF(ISNUMBER(SEARCH("Party Name-",'R.M Billets Reports'!D1679)),TRIM(MID('R.M Billets Reports'!D1679,SEARCH("-",'R.M Billets Reports'!D1679)+1,200)),""))&lt;&gt;"",IF(ISNUMBER(SEARCH("Party Name:-",'R.M Billets Reports'!D1679)),TRIM('R.M Billets Reports'!F1679),IF(ISNUMBER(SEARCH("Party Name-",'R.M Billets Reports'!D1679)),TRIM(MID('R.M Billets Reports'!D1679,SEARCH("-",'R.M Billets Reports'!D1679)+1,200)),"")),IF(ISNUMBER(SEARCH("Party Name:-",'R.M Billets Reports'!D1680)),TRIM('R.M Billets Reports'!F1680),IF(ISNUMBER(SEARCH("Party Name-",'R.M Billets Reports'!D1680)),TRIM(MID('R.M Billets Reports'!D1680,SEARCH("-",'R.M Billets Reports'!D1680)+1,200)),"")))="SHRI RADHE","SHREE RADHE",IF(IF(IF(ISNUMBER(SEARCH("Party Name:-",'R.M Billets Reports'!D1679)),TRIM('R.M Billets Reports'!F1679),IF(ISNUMBER(SEARCH("Party Name-",'R.M Billets Reports'!D1679)),TRIM(MID('R.M Billets Reports'!D1679,SEARCH("-",'R.M Billets Reports'!D1679)+1,200)),""))&lt;&gt;"",IF(ISNUMBER(SEARCH("Party Name:-",'R.M Billets Reports'!D1679)),TRIM('R.M Billets Reports'!F1679),IF(ISNUMBER(SEARCH("Party Name-",'R.M Billets Reports'!D1679)),TRIM(MID('R.M Billets Reports'!D1679,SEARCH("-",'R.M Billets Reports'!D1679)+1,200)),"")),IF(ISNUMBER(SEARCH("Party Name:-",'R.M Billets Reports'!D1680)),TRIM('R.M Billets Reports'!F1680),IF(ISNUMBER(SEARCH("Party Name-",'R.M Billets Reports'!D1680)),TRIM(MID('R.M Billets Reports'!D1680,SEARCH("-",'R.M Billets Reports'!D1680)+1,200)),"")))="SHREE RADHE SHAKTI SPONGE AND POWER PVT. LTD.","SHREE RADHE",IF(IF(ISNUMBER(SEARCH("Party Name:-",'R.M Billets Reports'!D1679)),TRIM('R.M Billets Reports'!F1679),IF(ISNUMBER(SEARCH("Party Name-",'R.M Billets Reports'!D1679)),TRIM(MID('R.M Billets Reports'!D1679,SEARCH("-",'R.M Billets Reports'!D1679)+1,200)),""))&lt;&gt;"",IF(ISNUMBER(SEARCH("Party Name:-",'R.M Billets Reports'!D1679)),TRIM('R.M Billets Reports'!F1679),IF(ISNUMBER(SEARCH("Party Name-",'R.M Billets Reports'!D1679)),TRIM(MID('R.M Billets Reports'!D1679,SEARCH("-",'R.M Billets Reports'!D1679)+1,200)),"")),IF(ISNUMBER(SEARCH("Party Name:-",'R.M Billets Reports'!D1680)),TRIM('R.M Billets Reports'!F1680),IF(ISNUMBER(SEARCH("Party Name-",'R.M Billets Reports'!D1680)),TRIM(MID('R.M Billets Reports'!D1680,SEARCH("-",'R.M Billets Reports'!D1680)+1,200)),"")))))),IF(ROW()=2,"",A1679))</f>
      </c>
      <c r="B1680">
        <f>IF(OR('R.M Billets Reports'!A1679="Date-",'R.M Billets Reports'!A1679="Date:-"),'R.M Billets Reports'!B1679,IF(ROW()=2,"",B1679))</f>
      </c>
      <c r="C1680">
        <f>IF('R.M Billets Reports'!A1679="V.No.",'R.M Billets Reports'!B1679,IF(ROW()=2,"",C1679))</f>
      </c>
      <c r="D1680">
        <f>IF('R.M Billets Reports'!A1679&lt;&gt;"",'R.M Billets Reports'!A1679,IF(ROW()=2,"",D1679))</f>
      </c>
      <c r="E1680">
        <f>IF('R.M Billets Reports'!B1679="","",TRIM('R.M Billets Reports'!B1679))</f>
      </c>
      <c r="F1680">
        <f>'R.M Billets Reports'!C1679</f>
      </c>
      <c r="G1680">
        <f>'R.M Billets Reports'!D1679</f>
      </c>
      <c r="H1680">
        <f>'R.M Billets Reports'!E1679</f>
      </c>
      <c r="I1680">
        <f>'R.M Billets Reports'!F1679</f>
      </c>
      <c r="J1680">
        <f>'R.M Billets Reports'!G1679</f>
      </c>
      <c r="K1680">
        <f>'R.M Billets Reports'!H1679</f>
      </c>
      <c r="L1680">
        <f>IF('R.M Billets Reports'!I1679="","",'R.M Billets Reports'!I1679)</f>
      </c>
      <c r="M1680">
        <f t="shared" si="52"/>
      </c>
      <c r="N1680">
        <f>IF('R.M Billets Reports'!J1679="","",'R.M Billets Reports'!J1679)</f>
      </c>
      <c r="O1680">
        <f t="shared" si="53"/>
      </c>
      <c r="P1680">
        <f>IF('R.M Billets Reports'!A1679="SIZE",'R.M Billets Reports'!B1679,P1679)</f>
      </c>
    </row>
    <row r="1681" spans="1:16" x14ac:dyDescent="0.25">
      <c r="A1681">
        <f>IF(OR('R.M Billets Reports'!A1680="Date-",'R.M Billets Reports'!A1680="Date:-"),IF(IF(IF(ISNUMBER(SEARCH("Party Name:-",'R.M Billets Reports'!D1680)),TRIM('R.M Billets Reports'!F1680),IF(ISNUMBER(SEARCH("Party Name-",'R.M Billets Reports'!D1680)),TRIM(MID('R.M Billets Reports'!D1680,SEARCH("-",'R.M Billets Reports'!D1680)+1,200)),""))&lt;&gt;"",IF(ISNUMBER(SEARCH("Party Name:-",'R.M Billets Reports'!D1680)),TRIM('R.M Billets Reports'!F1680),IF(ISNUMBER(SEARCH("Party Name-",'R.M Billets Reports'!D1680)),TRIM(MID('R.M Billets Reports'!D1680,SEARCH("-",'R.M Billets Reports'!D1680)+1,200)),"")),IF(ISNUMBER(SEARCH("Party Name:-",'R.M Billets Reports'!D1681)),TRIM('R.M Billets Reports'!F1681),IF(ISNUMBER(SEARCH("Party Name-",'R.M Billets Reports'!D1681)),TRIM(MID('R.M Billets Reports'!D1681,SEARCH("-",'R.M Billets Reports'!D1681)+1,200)),"")))="VRKP ISPAT PVT LTD","VRKP",IF(IF(IF(ISNUMBER(SEARCH("Party Name:-",'R.M Billets Reports'!D1680)),TRIM('R.M Billets Reports'!F1680),IF(ISNUMBER(SEARCH("Party Name-",'R.M Billets Reports'!D1680)),TRIM(MID('R.M Billets Reports'!D1680,SEARCH("-",'R.M Billets Reports'!D1680)+1,200)),""))&lt;&gt;"",IF(ISNUMBER(SEARCH("Party Name:-",'R.M Billets Reports'!D1680)),TRIM('R.M Billets Reports'!F1680),IF(ISNUMBER(SEARCH("Party Name-",'R.M Billets Reports'!D1680)),TRIM(MID('R.M Billets Reports'!D1680,SEARCH("-",'R.M Billets Reports'!D1680)+1,200)),"")),IF(ISNUMBER(SEARCH("Party Name:-",'R.M Billets Reports'!D1681)),TRIM('R.M Billets Reports'!F1681),IF(ISNUMBER(SEARCH("Party Name-",'R.M Billets Reports'!D1681)),TRIM(MID('R.M Billets Reports'!D1681,SEARCH("-",'R.M Billets Reports'!D1681)+1,200)),"")))="SHRI RADHE","SHREE RADHE",IF(IF(IF(ISNUMBER(SEARCH("Party Name:-",'R.M Billets Reports'!D1680)),TRIM('R.M Billets Reports'!F1680),IF(ISNUMBER(SEARCH("Party Name-",'R.M Billets Reports'!D1680)),TRIM(MID('R.M Billets Reports'!D1680,SEARCH("-",'R.M Billets Reports'!D1680)+1,200)),""))&lt;&gt;"",IF(ISNUMBER(SEARCH("Party Name:-",'R.M Billets Reports'!D1680)),TRIM('R.M Billets Reports'!F1680),IF(ISNUMBER(SEARCH("Party Name-",'R.M Billets Reports'!D1680)),TRIM(MID('R.M Billets Reports'!D1680,SEARCH("-",'R.M Billets Reports'!D1680)+1,200)),"")),IF(ISNUMBER(SEARCH("Party Name:-",'R.M Billets Reports'!D1681)),TRIM('R.M Billets Reports'!F1681),IF(ISNUMBER(SEARCH("Party Name-",'R.M Billets Reports'!D1681)),TRIM(MID('R.M Billets Reports'!D1681,SEARCH("-",'R.M Billets Reports'!D1681)+1,200)),"")))="SHREE RADHE SHAKTI SPONGE AND POWER PVT. LTD.","SHREE RADHE",IF(IF(ISNUMBER(SEARCH("Party Name:-",'R.M Billets Reports'!D1680)),TRIM('R.M Billets Reports'!F1680),IF(ISNUMBER(SEARCH("Party Name-",'R.M Billets Reports'!D1680)),TRIM(MID('R.M Billets Reports'!D1680,SEARCH("-",'R.M Billets Reports'!D1680)+1,200)),""))&lt;&gt;"",IF(ISNUMBER(SEARCH("Party Name:-",'R.M Billets Reports'!D1680)),TRIM('R.M Billets Reports'!F1680),IF(ISNUMBER(SEARCH("Party Name-",'R.M Billets Reports'!D1680)),TRIM(MID('R.M Billets Reports'!D1680,SEARCH("-",'R.M Billets Reports'!D1680)+1,200)),"")),IF(ISNUMBER(SEARCH("Party Name:-",'R.M Billets Reports'!D1681)),TRIM('R.M Billets Reports'!F1681),IF(ISNUMBER(SEARCH("Party Name-",'R.M Billets Reports'!D1681)),TRIM(MID('R.M Billets Reports'!D1681,SEARCH("-",'R.M Billets Reports'!D1681)+1,200)),"")))))),IF(ROW()=2,"",A1680))</f>
      </c>
      <c r="B1681">
        <f>IF(OR('R.M Billets Reports'!A1680="Date-",'R.M Billets Reports'!A1680="Date:-"),'R.M Billets Reports'!B1680,IF(ROW()=2,"",B1680))</f>
      </c>
      <c r="C1681">
        <f>IF('R.M Billets Reports'!A1680="V.No.",'R.M Billets Reports'!B1680,IF(ROW()=2,"",C1680))</f>
      </c>
      <c r="D1681">
        <f>IF('R.M Billets Reports'!A1680&lt;&gt;"",'R.M Billets Reports'!A1680,IF(ROW()=2,"",D1680))</f>
      </c>
      <c r="E1681">
        <f>IF('R.M Billets Reports'!B1680="","",TRIM('R.M Billets Reports'!B1680))</f>
      </c>
      <c r="F1681">
        <f>'R.M Billets Reports'!C1680</f>
      </c>
      <c r="G1681">
        <f>'R.M Billets Reports'!D1680</f>
      </c>
      <c r="H1681">
        <f>'R.M Billets Reports'!E1680</f>
      </c>
      <c r="I1681">
        <f>'R.M Billets Reports'!F1680</f>
      </c>
      <c r="J1681">
        <f>'R.M Billets Reports'!G1680</f>
      </c>
      <c r="K1681">
        <f>'R.M Billets Reports'!H1680</f>
      </c>
      <c r="L1681">
        <f>IF('R.M Billets Reports'!I1680="","",'R.M Billets Reports'!I1680)</f>
      </c>
      <c r="M1681">
        <f t="shared" si="52"/>
      </c>
      <c r="N1681">
        <f>IF('R.M Billets Reports'!J1680="","",'R.M Billets Reports'!J1680)</f>
      </c>
      <c r="O1681">
        <f t="shared" si="53"/>
      </c>
      <c r="P1681">
        <f>IF('R.M Billets Reports'!A1680="SIZE",'R.M Billets Reports'!B1680,P1680)</f>
      </c>
    </row>
    <row r="1682" spans="1:16" x14ac:dyDescent="0.25">
      <c r="A1682">
        <f>IF(OR('R.M Billets Reports'!A1681="Date-",'R.M Billets Reports'!A1681="Date:-"),IF(IF(IF(ISNUMBER(SEARCH("Party Name:-",'R.M Billets Reports'!D1681)),TRIM('R.M Billets Reports'!F1681),IF(ISNUMBER(SEARCH("Party Name-",'R.M Billets Reports'!D1681)),TRIM(MID('R.M Billets Reports'!D1681,SEARCH("-",'R.M Billets Reports'!D1681)+1,200)),""))&lt;&gt;"",IF(ISNUMBER(SEARCH("Party Name:-",'R.M Billets Reports'!D1681)),TRIM('R.M Billets Reports'!F1681),IF(ISNUMBER(SEARCH("Party Name-",'R.M Billets Reports'!D1681)),TRIM(MID('R.M Billets Reports'!D1681,SEARCH("-",'R.M Billets Reports'!D1681)+1,200)),"")),IF(ISNUMBER(SEARCH("Party Name:-",'R.M Billets Reports'!D1682)),TRIM('R.M Billets Reports'!F1682),IF(ISNUMBER(SEARCH("Party Name-",'R.M Billets Reports'!D1682)),TRIM(MID('R.M Billets Reports'!D1682,SEARCH("-",'R.M Billets Reports'!D1682)+1,200)),"")))="VRKP ISPAT PVT LTD","VRKP",IF(IF(IF(ISNUMBER(SEARCH("Party Name:-",'R.M Billets Reports'!D1681)),TRIM('R.M Billets Reports'!F1681),IF(ISNUMBER(SEARCH("Party Name-",'R.M Billets Reports'!D1681)),TRIM(MID('R.M Billets Reports'!D1681,SEARCH("-",'R.M Billets Reports'!D1681)+1,200)),""))&lt;&gt;"",IF(ISNUMBER(SEARCH("Party Name:-",'R.M Billets Reports'!D1681)),TRIM('R.M Billets Reports'!F1681),IF(ISNUMBER(SEARCH("Party Name-",'R.M Billets Reports'!D1681)),TRIM(MID('R.M Billets Reports'!D1681,SEARCH("-",'R.M Billets Reports'!D1681)+1,200)),"")),IF(ISNUMBER(SEARCH("Party Name:-",'R.M Billets Reports'!D1682)),TRIM('R.M Billets Reports'!F1682),IF(ISNUMBER(SEARCH("Party Name-",'R.M Billets Reports'!D1682)),TRIM(MID('R.M Billets Reports'!D1682,SEARCH("-",'R.M Billets Reports'!D1682)+1,200)),"")))="SHRI RADHE","SHREE RADHE",IF(IF(IF(ISNUMBER(SEARCH("Party Name:-",'R.M Billets Reports'!D1681)),TRIM('R.M Billets Reports'!F1681),IF(ISNUMBER(SEARCH("Party Name-",'R.M Billets Reports'!D1681)),TRIM(MID('R.M Billets Reports'!D1681,SEARCH("-",'R.M Billets Reports'!D1681)+1,200)),""))&lt;&gt;"",IF(ISNUMBER(SEARCH("Party Name:-",'R.M Billets Reports'!D1681)),TRIM('R.M Billets Reports'!F1681),IF(ISNUMBER(SEARCH("Party Name-",'R.M Billets Reports'!D1681)),TRIM(MID('R.M Billets Reports'!D1681,SEARCH("-",'R.M Billets Reports'!D1681)+1,200)),"")),IF(ISNUMBER(SEARCH("Party Name:-",'R.M Billets Reports'!D1682)),TRIM('R.M Billets Reports'!F1682),IF(ISNUMBER(SEARCH("Party Name-",'R.M Billets Reports'!D1682)),TRIM(MID('R.M Billets Reports'!D1682,SEARCH("-",'R.M Billets Reports'!D1682)+1,200)),"")))="SHREE RADHE SHAKTI SPONGE AND POWER PVT. LTD.","SHREE RADHE",IF(IF(ISNUMBER(SEARCH("Party Name:-",'R.M Billets Reports'!D1681)),TRIM('R.M Billets Reports'!F1681),IF(ISNUMBER(SEARCH("Party Name-",'R.M Billets Reports'!D1681)),TRIM(MID('R.M Billets Reports'!D1681,SEARCH("-",'R.M Billets Reports'!D1681)+1,200)),""))&lt;&gt;"",IF(ISNUMBER(SEARCH("Party Name:-",'R.M Billets Reports'!D1681)),TRIM('R.M Billets Reports'!F1681),IF(ISNUMBER(SEARCH("Party Name-",'R.M Billets Reports'!D1681)),TRIM(MID('R.M Billets Reports'!D1681,SEARCH("-",'R.M Billets Reports'!D1681)+1,200)),"")),IF(ISNUMBER(SEARCH("Party Name:-",'R.M Billets Reports'!D1682)),TRIM('R.M Billets Reports'!F1682),IF(ISNUMBER(SEARCH("Party Name-",'R.M Billets Reports'!D1682)),TRIM(MID('R.M Billets Reports'!D1682,SEARCH("-",'R.M Billets Reports'!D1682)+1,200)),"")))))),IF(ROW()=2,"",A1681))</f>
      </c>
      <c r="B1682">
        <f>IF(OR('R.M Billets Reports'!A1681="Date-",'R.M Billets Reports'!A1681="Date:-"),'R.M Billets Reports'!B1681,IF(ROW()=2,"",B1681))</f>
      </c>
      <c r="C1682">
        <f>IF('R.M Billets Reports'!A1681="V.No.",'R.M Billets Reports'!B1681,IF(ROW()=2,"",C1681))</f>
      </c>
      <c r="D1682">
        <f>IF('R.M Billets Reports'!A1681&lt;&gt;"",'R.M Billets Reports'!A1681,IF(ROW()=2,"",D1681))</f>
      </c>
      <c r="E1682">
        <f>IF('R.M Billets Reports'!B1681="","",TRIM('R.M Billets Reports'!B1681))</f>
      </c>
      <c r="F1682">
        <f>'R.M Billets Reports'!C1681</f>
      </c>
      <c r="G1682">
        <f>'R.M Billets Reports'!D1681</f>
      </c>
      <c r="H1682">
        <f>'R.M Billets Reports'!E1681</f>
      </c>
      <c r="I1682">
        <f>'R.M Billets Reports'!F1681</f>
      </c>
      <c r="J1682">
        <f>'R.M Billets Reports'!G1681</f>
      </c>
      <c r="K1682">
        <f>'R.M Billets Reports'!H1681</f>
      </c>
      <c r="L1682">
        <f>IF('R.M Billets Reports'!I1681="","",'R.M Billets Reports'!I1681)</f>
      </c>
      <c r="M1682">
        <f t="shared" si="52"/>
      </c>
      <c r="N1682">
        <f>IF('R.M Billets Reports'!J1681="","",'R.M Billets Reports'!J1681)</f>
      </c>
      <c r="O1682">
        <f t="shared" si="53"/>
      </c>
      <c r="P1682">
        <f>IF('R.M Billets Reports'!A1681="SIZE",'R.M Billets Reports'!B1681,P1681)</f>
      </c>
    </row>
    <row r="1683" spans="1:16" x14ac:dyDescent="0.25">
      <c r="A1683">
        <f>IF(OR('R.M Billets Reports'!A1682="Date-",'R.M Billets Reports'!A1682="Date:-"),IF(IF(IF(ISNUMBER(SEARCH("Party Name:-",'R.M Billets Reports'!D1682)),TRIM('R.M Billets Reports'!F1682),IF(ISNUMBER(SEARCH("Party Name-",'R.M Billets Reports'!D1682)),TRIM(MID('R.M Billets Reports'!D1682,SEARCH("-",'R.M Billets Reports'!D1682)+1,200)),""))&lt;&gt;"",IF(ISNUMBER(SEARCH("Party Name:-",'R.M Billets Reports'!D1682)),TRIM('R.M Billets Reports'!F1682),IF(ISNUMBER(SEARCH("Party Name-",'R.M Billets Reports'!D1682)),TRIM(MID('R.M Billets Reports'!D1682,SEARCH("-",'R.M Billets Reports'!D1682)+1,200)),"")),IF(ISNUMBER(SEARCH("Party Name:-",'R.M Billets Reports'!D1683)),TRIM('R.M Billets Reports'!F1683),IF(ISNUMBER(SEARCH("Party Name-",'R.M Billets Reports'!D1683)),TRIM(MID('R.M Billets Reports'!D1683,SEARCH("-",'R.M Billets Reports'!D1683)+1,200)),"")))="VRKP ISPAT PVT LTD","VRKP",IF(IF(IF(ISNUMBER(SEARCH("Party Name:-",'R.M Billets Reports'!D1682)),TRIM('R.M Billets Reports'!F1682),IF(ISNUMBER(SEARCH("Party Name-",'R.M Billets Reports'!D1682)),TRIM(MID('R.M Billets Reports'!D1682,SEARCH("-",'R.M Billets Reports'!D1682)+1,200)),""))&lt;&gt;"",IF(ISNUMBER(SEARCH("Party Name:-",'R.M Billets Reports'!D1682)),TRIM('R.M Billets Reports'!F1682),IF(ISNUMBER(SEARCH("Party Name-",'R.M Billets Reports'!D1682)),TRIM(MID('R.M Billets Reports'!D1682,SEARCH("-",'R.M Billets Reports'!D1682)+1,200)),"")),IF(ISNUMBER(SEARCH("Party Name:-",'R.M Billets Reports'!D1683)),TRIM('R.M Billets Reports'!F1683),IF(ISNUMBER(SEARCH("Party Name-",'R.M Billets Reports'!D1683)),TRIM(MID('R.M Billets Reports'!D1683,SEARCH("-",'R.M Billets Reports'!D1683)+1,200)),"")))="SHRI RADHE","SHREE RADHE",IF(IF(IF(ISNUMBER(SEARCH("Party Name:-",'R.M Billets Reports'!D1682)),TRIM('R.M Billets Reports'!F1682),IF(ISNUMBER(SEARCH("Party Name-",'R.M Billets Reports'!D1682)),TRIM(MID('R.M Billets Reports'!D1682,SEARCH("-",'R.M Billets Reports'!D1682)+1,200)),""))&lt;&gt;"",IF(ISNUMBER(SEARCH("Party Name:-",'R.M Billets Reports'!D1682)),TRIM('R.M Billets Reports'!F1682),IF(ISNUMBER(SEARCH("Party Name-",'R.M Billets Reports'!D1682)),TRIM(MID('R.M Billets Reports'!D1682,SEARCH("-",'R.M Billets Reports'!D1682)+1,200)),"")),IF(ISNUMBER(SEARCH("Party Name:-",'R.M Billets Reports'!D1683)),TRIM('R.M Billets Reports'!F1683),IF(ISNUMBER(SEARCH("Party Name-",'R.M Billets Reports'!D1683)),TRIM(MID('R.M Billets Reports'!D1683,SEARCH("-",'R.M Billets Reports'!D1683)+1,200)),"")))="SHREE RADHE SHAKTI SPONGE AND POWER PVT. LTD.","SHREE RADHE",IF(IF(ISNUMBER(SEARCH("Party Name:-",'R.M Billets Reports'!D1682)),TRIM('R.M Billets Reports'!F1682),IF(ISNUMBER(SEARCH("Party Name-",'R.M Billets Reports'!D1682)),TRIM(MID('R.M Billets Reports'!D1682,SEARCH("-",'R.M Billets Reports'!D1682)+1,200)),""))&lt;&gt;"",IF(ISNUMBER(SEARCH("Party Name:-",'R.M Billets Reports'!D1682)),TRIM('R.M Billets Reports'!F1682),IF(ISNUMBER(SEARCH("Party Name-",'R.M Billets Reports'!D1682)),TRIM(MID('R.M Billets Reports'!D1682,SEARCH("-",'R.M Billets Reports'!D1682)+1,200)),"")),IF(ISNUMBER(SEARCH("Party Name:-",'R.M Billets Reports'!D1683)),TRIM('R.M Billets Reports'!F1683),IF(ISNUMBER(SEARCH("Party Name-",'R.M Billets Reports'!D1683)),TRIM(MID('R.M Billets Reports'!D1683,SEARCH("-",'R.M Billets Reports'!D1683)+1,200)),"")))))),IF(ROW()=2,"",A1682))</f>
      </c>
      <c r="B1683">
        <f>IF(OR('R.M Billets Reports'!A1682="Date-",'R.M Billets Reports'!A1682="Date:-"),'R.M Billets Reports'!B1682,IF(ROW()=2,"",B1682))</f>
      </c>
      <c r="C1683">
        <f>IF('R.M Billets Reports'!A1682="V.No.",'R.M Billets Reports'!B1682,IF(ROW()=2,"",C1682))</f>
      </c>
      <c r="D1683">
        <f>IF('R.M Billets Reports'!A1682&lt;&gt;"",'R.M Billets Reports'!A1682,IF(ROW()=2,"",D1682))</f>
      </c>
      <c r="E1683">
        <f>IF('R.M Billets Reports'!B1682="","",TRIM('R.M Billets Reports'!B1682))</f>
      </c>
      <c r="F1683">
        <f>'R.M Billets Reports'!C1682</f>
      </c>
      <c r="G1683">
        <f>'R.M Billets Reports'!D1682</f>
      </c>
      <c r="H1683">
        <f>'R.M Billets Reports'!E1682</f>
      </c>
      <c r="I1683">
        <f>'R.M Billets Reports'!F1682</f>
      </c>
      <c r="J1683">
        <f>'R.M Billets Reports'!G1682</f>
      </c>
      <c r="K1683">
        <f>'R.M Billets Reports'!H1682</f>
      </c>
      <c r="L1683">
        <f>IF('R.M Billets Reports'!I1682="","",'R.M Billets Reports'!I1682)</f>
      </c>
      <c r="M1683">
        <f t="shared" si="52"/>
      </c>
      <c r="N1683">
        <f>IF('R.M Billets Reports'!J1682="","",'R.M Billets Reports'!J1682)</f>
      </c>
      <c r="O1683">
        <f t="shared" si="53"/>
      </c>
      <c r="P1683">
        <f>IF('R.M Billets Reports'!A1682="SIZE",'R.M Billets Reports'!B1682,P1682)</f>
      </c>
    </row>
    <row r="1684" spans="1:16" x14ac:dyDescent="0.25">
      <c r="A1684">
        <f>IF(OR('R.M Billets Reports'!A1683="Date-",'R.M Billets Reports'!A1683="Date:-"),IF(IF(IF(ISNUMBER(SEARCH("Party Name:-",'R.M Billets Reports'!D1683)),TRIM('R.M Billets Reports'!F1683),IF(ISNUMBER(SEARCH("Party Name-",'R.M Billets Reports'!D1683)),TRIM(MID('R.M Billets Reports'!D1683,SEARCH("-",'R.M Billets Reports'!D1683)+1,200)),""))&lt;&gt;"",IF(ISNUMBER(SEARCH("Party Name:-",'R.M Billets Reports'!D1683)),TRIM('R.M Billets Reports'!F1683),IF(ISNUMBER(SEARCH("Party Name-",'R.M Billets Reports'!D1683)),TRIM(MID('R.M Billets Reports'!D1683,SEARCH("-",'R.M Billets Reports'!D1683)+1,200)),"")),IF(ISNUMBER(SEARCH("Party Name:-",'R.M Billets Reports'!D1684)),TRIM('R.M Billets Reports'!F1684),IF(ISNUMBER(SEARCH("Party Name-",'R.M Billets Reports'!D1684)),TRIM(MID('R.M Billets Reports'!D1684,SEARCH("-",'R.M Billets Reports'!D1684)+1,200)),"")))="VRKP ISPAT PVT LTD","VRKP",IF(IF(IF(ISNUMBER(SEARCH("Party Name:-",'R.M Billets Reports'!D1683)),TRIM('R.M Billets Reports'!F1683),IF(ISNUMBER(SEARCH("Party Name-",'R.M Billets Reports'!D1683)),TRIM(MID('R.M Billets Reports'!D1683,SEARCH("-",'R.M Billets Reports'!D1683)+1,200)),""))&lt;&gt;"",IF(ISNUMBER(SEARCH("Party Name:-",'R.M Billets Reports'!D1683)),TRIM('R.M Billets Reports'!F1683),IF(ISNUMBER(SEARCH("Party Name-",'R.M Billets Reports'!D1683)),TRIM(MID('R.M Billets Reports'!D1683,SEARCH("-",'R.M Billets Reports'!D1683)+1,200)),"")),IF(ISNUMBER(SEARCH("Party Name:-",'R.M Billets Reports'!D1684)),TRIM('R.M Billets Reports'!F1684),IF(ISNUMBER(SEARCH("Party Name-",'R.M Billets Reports'!D1684)),TRIM(MID('R.M Billets Reports'!D1684,SEARCH("-",'R.M Billets Reports'!D1684)+1,200)),"")))="SHRI RADHE","SHREE RADHE",IF(IF(IF(ISNUMBER(SEARCH("Party Name:-",'R.M Billets Reports'!D1683)),TRIM('R.M Billets Reports'!F1683),IF(ISNUMBER(SEARCH("Party Name-",'R.M Billets Reports'!D1683)),TRIM(MID('R.M Billets Reports'!D1683,SEARCH("-",'R.M Billets Reports'!D1683)+1,200)),""))&lt;&gt;"",IF(ISNUMBER(SEARCH("Party Name:-",'R.M Billets Reports'!D1683)),TRIM('R.M Billets Reports'!F1683),IF(ISNUMBER(SEARCH("Party Name-",'R.M Billets Reports'!D1683)),TRIM(MID('R.M Billets Reports'!D1683,SEARCH("-",'R.M Billets Reports'!D1683)+1,200)),"")),IF(ISNUMBER(SEARCH("Party Name:-",'R.M Billets Reports'!D1684)),TRIM('R.M Billets Reports'!F1684),IF(ISNUMBER(SEARCH("Party Name-",'R.M Billets Reports'!D1684)),TRIM(MID('R.M Billets Reports'!D1684,SEARCH("-",'R.M Billets Reports'!D1684)+1,200)),"")))="SHREE RADHE SHAKTI SPONGE AND POWER PVT. LTD.","SHREE RADHE",IF(IF(ISNUMBER(SEARCH("Party Name:-",'R.M Billets Reports'!D1683)),TRIM('R.M Billets Reports'!F1683),IF(ISNUMBER(SEARCH("Party Name-",'R.M Billets Reports'!D1683)),TRIM(MID('R.M Billets Reports'!D1683,SEARCH("-",'R.M Billets Reports'!D1683)+1,200)),""))&lt;&gt;"",IF(ISNUMBER(SEARCH("Party Name:-",'R.M Billets Reports'!D1683)),TRIM('R.M Billets Reports'!F1683),IF(ISNUMBER(SEARCH("Party Name-",'R.M Billets Reports'!D1683)),TRIM(MID('R.M Billets Reports'!D1683,SEARCH("-",'R.M Billets Reports'!D1683)+1,200)),"")),IF(ISNUMBER(SEARCH("Party Name:-",'R.M Billets Reports'!D1684)),TRIM('R.M Billets Reports'!F1684),IF(ISNUMBER(SEARCH("Party Name-",'R.M Billets Reports'!D1684)),TRIM(MID('R.M Billets Reports'!D1684,SEARCH("-",'R.M Billets Reports'!D1684)+1,200)),"")))))),IF(ROW()=2,"",A1683))</f>
      </c>
      <c r="B1684">
        <f>IF(OR('R.M Billets Reports'!A1683="Date-",'R.M Billets Reports'!A1683="Date:-"),'R.M Billets Reports'!B1683,IF(ROW()=2,"",B1683))</f>
      </c>
      <c r="C1684">
        <f>IF('R.M Billets Reports'!A1683="V.No.",'R.M Billets Reports'!B1683,IF(ROW()=2,"",C1683))</f>
      </c>
      <c r="D1684">
        <f>IF('R.M Billets Reports'!A1683&lt;&gt;"",'R.M Billets Reports'!A1683,IF(ROW()=2,"",D1683))</f>
      </c>
      <c r="E1684">
        <f>IF('R.M Billets Reports'!B1683="","",TRIM('R.M Billets Reports'!B1683))</f>
      </c>
      <c r="F1684">
        <f>'R.M Billets Reports'!C1683</f>
      </c>
      <c r="G1684">
        <f>'R.M Billets Reports'!D1683</f>
      </c>
      <c r="H1684">
        <f>'R.M Billets Reports'!E1683</f>
      </c>
      <c r="I1684">
        <f>'R.M Billets Reports'!F1683</f>
      </c>
      <c r="J1684">
        <f>'R.M Billets Reports'!G1683</f>
      </c>
      <c r="K1684">
        <f>'R.M Billets Reports'!H1683</f>
      </c>
      <c r="L1684">
        <f>IF('R.M Billets Reports'!I1683="","",'R.M Billets Reports'!I1683)</f>
      </c>
      <c r="M1684">
        <f t="shared" si="52"/>
      </c>
      <c r="N1684">
        <f>IF('R.M Billets Reports'!J1683="","",'R.M Billets Reports'!J1683)</f>
      </c>
      <c r="O1684">
        <f t="shared" si="53"/>
      </c>
      <c r="P1684">
        <f>IF('R.M Billets Reports'!A1683="SIZE",'R.M Billets Reports'!B1683,P1683)</f>
      </c>
    </row>
    <row r="1685" spans="1:16" x14ac:dyDescent="0.25">
      <c r="A1685">
        <f>IF(OR('R.M Billets Reports'!A1684="Date-",'R.M Billets Reports'!A1684="Date:-"),IF(IF(IF(ISNUMBER(SEARCH("Party Name:-",'R.M Billets Reports'!D1684)),TRIM('R.M Billets Reports'!F1684),IF(ISNUMBER(SEARCH("Party Name-",'R.M Billets Reports'!D1684)),TRIM(MID('R.M Billets Reports'!D1684,SEARCH("-",'R.M Billets Reports'!D1684)+1,200)),""))&lt;&gt;"",IF(ISNUMBER(SEARCH("Party Name:-",'R.M Billets Reports'!D1684)),TRIM('R.M Billets Reports'!F1684),IF(ISNUMBER(SEARCH("Party Name-",'R.M Billets Reports'!D1684)),TRIM(MID('R.M Billets Reports'!D1684,SEARCH("-",'R.M Billets Reports'!D1684)+1,200)),"")),IF(ISNUMBER(SEARCH("Party Name:-",'R.M Billets Reports'!D1685)),TRIM('R.M Billets Reports'!F1685),IF(ISNUMBER(SEARCH("Party Name-",'R.M Billets Reports'!D1685)),TRIM(MID('R.M Billets Reports'!D1685,SEARCH("-",'R.M Billets Reports'!D1685)+1,200)),"")))="VRKP ISPAT PVT LTD","VRKP",IF(IF(IF(ISNUMBER(SEARCH("Party Name:-",'R.M Billets Reports'!D1684)),TRIM('R.M Billets Reports'!F1684),IF(ISNUMBER(SEARCH("Party Name-",'R.M Billets Reports'!D1684)),TRIM(MID('R.M Billets Reports'!D1684,SEARCH("-",'R.M Billets Reports'!D1684)+1,200)),""))&lt;&gt;"",IF(ISNUMBER(SEARCH("Party Name:-",'R.M Billets Reports'!D1684)),TRIM('R.M Billets Reports'!F1684),IF(ISNUMBER(SEARCH("Party Name-",'R.M Billets Reports'!D1684)),TRIM(MID('R.M Billets Reports'!D1684,SEARCH("-",'R.M Billets Reports'!D1684)+1,200)),"")),IF(ISNUMBER(SEARCH("Party Name:-",'R.M Billets Reports'!D1685)),TRIM('R.M Billets Reports'!F1685),IF(ISNUMBER(SEARCH("Party Name-",'R.M Billets Reports'!D1685)),TRIM(MID('R.M Billets Reports'!D1685,SEARCH("-",'R.M Billets Reports'!D1685)+1,200)),"")))="SHRI RADHE","SHREE RADHE",IF(IF(IF(ISNUMBER(SEARCH("Party Name:-",'R.M Billets Reports'!D1684)),TRIM('R.M Billets Reports'!F1684),IF(ISNUMBER(SEARCH("Party Name-",'R.M Billets Reports'!D1684)),TRIM(MID('R.M Billets Reports'!D1684,SEARCH("-",'R.M Billets Reports'!D1684)+1,200)),""))&lt;&gt;"",IF(ISNUMBER(SEARCH("Party Name:-",'R.M Billets Reports'!D1684)),TRIM('R.M Billets Reports'!F1684),IF(ISNUMBER(SEARCH("Party Name-",'R.M Billets Reports'!D1684)),TRIM(MID('R.M Billets Reports'!D1684,SEARCH("-",'R.M Billets Reports'!D1684)+1,200)),"")),IF(ISNUMBER(SEARCH("Party Name:-",'R.M Billets Reports'!D1685)),TRIM('R.M Billets Reports'!F1685),IF(ISNUMBER(SEARCH("Party Name-",'R.M Billets Reports'!D1685)),TRIM(MID('R.M Billets Reports'!D1685,SEARCH("-",'R.M Billets Reports'!D1685)+1,200)),"")))="SHREE RADHE SHAKTI SPONGE AND POWER PVT. LTD.","SHREE RADHE",IF(IF(ISNUMBER(SEARCH("Party Name:-",'R.M Billets Reports'!D1684)),TRIM('R.M Billets Reports'!F1684),IF(ISNUMBER(SEARCH("Party Name-",'R.M Billets Reports'!D1684)),TRIM(MID('R.M Billets Reports'!D1684,SEARCH("-",'R.M Billets Reports'!D1684)+1,200)),""))&lt;&gt;"",IF(ISNUMBER(SEARCH("Party Name:-",'R.M Billets Reports'!D1684)),TRIM('R.M Billets Reports'!F1684),IF(ISNUMBER(SEARCH("Party Name-",'R.M Billets Reports'!D1684)),TRIM(MID('R.M Billets Reports'!D1684,SEARCH("-",'R.M Billets Reports'!D1684)+1,200)),"")),IF(ISNUMBER(SEARCH("Party Name:-",'R.M Billets Reports'!D1685)),TRIM('R.M Billets Reports'!F1685),IF(ISNUMBER(SEARCH("Party Name-",'R.M Billets Reports'!D1685)),TRIM(MID('R.M Billets Reports'!D1685,SEARCH("-",'R.M Billets Reports'!D1685)+1,200)),"")))))),IF(ROW()=2,"",A1684))</f>
      </c>
      <c r="B1685">
        <f>IF(OR('R.M Billets Reports'!A1684="Date-",'R.M Billets Reports'!A1684="Date:-"),'R.M Billets Reports'!B1684,IF(ROW()=2,"",B1684))</f>
      </c>
      <c r="C1685">
        <f>IF('R.M Billets Reports'!A1684="V.No.",'R.M Billets Reports'!B1684,IF(ROW()=2,"",C1684))</f>
      </c>
      <c r="D1685">
        <f>IF('R.M Billets Reports'!A1684&lt;&gt;"",'R.M Billets Reports'!A1684,IF(ROW()=2,"",D1684))</f>
      </c>
      <c r="E1685">
        <f>IF('R.M Billets Reports'!B1684="","",TRIM('R.M Billets Reports'!B1684))</f>
      </c>
      <c r="F1685">
        <f>'R.M Billets Reports'!C1684</f>
      </c>
      <c r="G1685">
        <f>'R.M Billets Reports'!D1684</f>
      </c>
      <c r="H1685">
        <f>'R.M Billets Reports'!E1684</f>
      </c>
      <c r="I1685">
        <f>'R.M Billets Reports'!F1684</f>
      </c>
      <c r="J1685">
        <f>'R.M Billets Reports'!G1684</f>
      </c>
      <c r="K1685">
        <f>'R.M Billets Reports'!H1684</f>
      </c>
      <c r="L1685">
        <f>IF('R.M Billets Reports'!I1684="","",'R.M Billets Reports'!I1684)</f>
      </c>
      <c r="M1685">
        <f t="shared" si="52"/>
      </c>
      <c r="N1685">
        <f>IF('R.M Billets Reports'!J1684="","",'R.M Billets Reports'!J1684)</f>
      </c>
      <c r="O1685">
        <f t="shared" si="53"/>
      </c>
      <c r="P1685">
        <f>IF('R.M Billets Reports'!A1684="SIZE",'R.M Billets Reports'!B1684,P1684)</f>
      </c>
    </row>
    <row r="1686" spans="1:16" x14ac:dyDescent="0.25">
      <c r="A1686">
        <f>IF(OR('R.M Billets Reports'!A1685="Date-",'R.M Billets Reports'!A1685="Date:-"),IF(IF(IF(ISNUMBER(SEARCH("Party Name:-",'R.M Billets Reports'!D1685)),TRIM('R.M Billets Reports'!F1685),IF(ISNUMBER(SEARCH("Party Name-",'R.M Billets Reports'!D1685)),TRIM(MID('R.M Billets Reports'!D1685,SEARCH("-",'R.M Billets Reports'!D1685)+1,200)),""))&lt;&gt;"",IF(ISNUMBER(SEARCH("Party Name:-",'R.M Billets Reports'!D1685)),TRIM('R.M Billets Reports'!F1685),IF(ISNUMBER(SEARCH("Party Name-",'R.M Billets Reports'!D1685)),TRIM(MID('R.M Billets Reports'!D1685,SEARCH("-",'R.M Billets Reports'!D1685)+1,200)),"")),IF(ISNUMBER(SEARCH("Party Name:-",'R.M Billets Reports'!D1686)),TRIM('R.M Billets Reports'!F1686),IF(ISNUMBER(SEARCH("Party Name-",'R.M Billets Reports'!D1686)),TRIM(MID('R.M Billets Reports'!D1686,SEARCH("-",'R.M Billets Reports'!D1686)+1,200)),"")))="VRKP ISPAT PVT LTD","VRKP",IF(IF(IF(ISNUMBER(SEARCH("Party Name:-",'R.M Billets Reports'!D1685)),TRIM('R.M Billets Reports'!F1685),IF(ISNUMBER(SEARCH("Party Name-",'R.M Billets Reports'!D1685)),TRIM(MID('R.M Billets Reports'!D1685,SEARCH("-",'R.M Billets Reports'!D1685)+1,200)),""))&lt;&gt;"",IF(ISNUMBER(SEARCH("Party Name:-",'R.M Billets Reports'!D1685)),TRIM('R.M Billets Reports'!F1685),IF(ISNUMBER(SEARCH("Party Name-",'R.M Billets Reports'!D1685)),TRIM(MID('R.M Billets Reports'!D1685,SEARCH("-",'R.M Billets Reports'!D1685)+1,200)),"")),IF(ISNUMBER(SEARCH("Party Name:-",'R.M Billets Reports'!D1686)),TRIM('R.M Billets Reports'!F1686),IF(ISNUMBER(SEARCH("Party Name-",'R.M Billets Reports'!D1686)),TRIM(MID('R.M Billets Reports'!D1686,SEARCH("-",'R.M Billets Reports'!D1686)+1,200)),"")))="SHRI RADHE","SHREE RADHE",IF(IF(IF(ISNUMBER(SEARCH("Party Name:-",'R.M Billets Reports'!D1685)),TRIM('R.M Billets Reports'!F1685),IF(ISNUMBER(SEARCH("Party Name-",'R.M Billets Reports'!D1685)),TRIM(MID('R.M Billets Reports'!D1685,SEARCH("-",'R.M Billets Reports'!D1685)+1,200)),""))&lt;&gt;"",IF(ISNUMBER(SEARCH("Party Name:-",'R.M Billets Reports'!D1685)),TRIM('R.M Billets Reports'!F1685),IF(ISNUMBER(SEARCH("Party Name-",'R.M Billets Reports'!D1685)),TRIM(MID('R.M Billets Reports'!D1685,SEARCH("-",'R.M Billets Reports'!D1685)+1,200)),"")),IF(ISNUMBER(SEARCH("Party Name:-",'R.M Billets Reports'!D1686)),TRIM('R.M Billets Reports'!F1686),IF(ISNUMBER(SEARCH("Party Name-",'R.M Billets Reports'!D1686)),TRIM(MID('R.M Billets Reports'!D1686,SEARCH("-",'R.M Billets Reports'!D1686)+1,200)),"")))="SHREE RADHE SHAKTI SPONGE AND POWER PVT. LTD.","SHREE RADHE",IF(IF(ISNUMBER(SEARCH("Party Name:-",'R.M Billets Reports'!D1685)),TRIM('R.M Billets Reports'!F1685),IF(ISNUMBER(SEARCH("Party Name-",'R.M Billets Reports'!D1685)),TRIM(MID('R.M Billets Reports'!D1685,SEARCH("-",'R.M Billets Reports'!D1685)+1,200)),""))&lt;&gt;"",IF(ISNUMBER(SEARCH("Party Name:-",'R.M Billets Reports'!D1685)),TRIM('R.M Billets Reports'!F1685),IF(ISNUMBER(SEARCH("Party Name-",'R.M Billets Reports'!D1685)),TRIM(MID('R.M Billets Reports'!D1685,SEARCH("-",'R.M Billets Reports'!D1685)+1,200)),"")),IF(ISNUMBER(SEARCH("Party Name:-",'R.M Billets Reports'!D1686)),TRIM('R.M Billets Reports'!F1686),IF(ISNUMBER(SEARCH("Party Name-",'R.M Billets Reports'!D1686)),TRIM(MID('R.M Billets Reports'!D1686,SEARCH("-",'R.M Billets Reports'!D1686)+1,200)),"")))))),IF(ROW()=2,"",A1685))</f>
      </c>
      <c r="B1686">
        <f>IF(OR('R.M Billets Reports'!A1685="Date-",'R.M Billets Reports'!A1685="Date:-"),'R.M Billets Reports'!B1685,IF(ROW()=2,"",B1685))</f>
      </c>
      <c r="C1686">
        <f>IF('R.M Billets Reports'!A1685="V.No.",'R.M Billets Reports'!B1685,IF(ROW()=2,"",C1685))</f>
      </c>
      <c r="D1686">
        <f>IF('R.M Billets Reports'!A1685&lt;&gt;"",'R.M Billets Reports'!A1685,IF(ROW()=2,"",D1685))</f>
      </c>
      <c r="E1686">
        <f>IF('R.M Billets Reports'!B1685="","",TRIM('R.M Billets Reports'!B1685))</f>
      </c>
      <c r="F1686">
        <f>'R.M Billets Reports'!C1685</f>
      </c>
      <c r="G1686">
        <f>'R.M Billets Reports'!D1685</f>
      </c>
      <c r="H1686">
        <f>'R.M Billets Reports'!E1685</f>
      </c>
      <c r="I1686">
        <f>'R.M Billets Reports'!F1685</f>
      </c>
      <c r="J1686">
        <f>'R.M Billets Reports'!G1685</f>
      </c>
      <c r="K1686">
        <f>'R.M Billets Reports'!H1685</f>
      </c>
      <c r="L1686">
        <f>IF('R.M Billets Reports'!I1685="","",'R.M Billets Reports'!I1685)</f>
      </c>
      <c r="M1686">
        <f t="shared" si="52"/>
      </c>
      <c r="N1686">
        <f>IF('R.M Billets Reports'!J1685="","",'R.M Billets Reports'!J1685)</f>
      </c>
      <c r="O1686">
        <f t="shared" si="53"/>
      </c>
      <c r="P1686">
        <f>IF('R.M Billets Reports'!A1685="SIZE",'R.M Billets Reports'!B1685,P1685)</f>
      </c>
    </row>
    <row r="1687" spans="1:16" x14ac:dyDescent="0.25">
      <c r="A1687">
        <f>IF(OR('R.M Billets Reports'!A1686="Date-",'R.M Billets Reports'!A1686="Date:-"),IF(IF(IF(ISNUMBER(SEARCH("Party Name:-",'R.M Billets Reports'!D1686)),TRIM('R.M Billets Reports'!F1686),IF(ISNUMBER(SEARCH("Party Name-",'R.M Billets Reports'!D1686)),TRIM(MID('R.M Billets Reports'!D1686,SEARCH("-",'R.M Billets Reports'!D1686)+1,200)),""))&lt;&gt;"",IF(ISNUMBER(SEARCH("Party Name:-",'R.M Billets Reports'!D1686)),TRIM('R.M Billets Reports'!F1686),IF(ISNUMBER(SEARCH("Party Name-",'R.M Billets Reports'!D1686)),TRIM(MID('R.M Billets Reports'!D1686,SEARCH("-",'R.M Billets Reports'!D1686)+1,200)),"")),IF(ISNUMBER(SEARCH("Party Name:-",'R.M Billets Reports'!D1687)),TRIM('R.M Billets Reports'!F1687),IF(ISNUMBER(SEARCH("Party Name-",'R.M Billets Reports'!D1687)),TRIM(MID('R.M Billets Reports'!D1687,SEARCH("-",'R.M Billets Reports'!D1687)+1,200)),"")))="VRKP ISPAT PVT LTD","VRKP",IF(IF(IF(ISNUMBER(SEARCH("Party Name:-",'R.M Billets Reports'!D1686)),TRIM('R.M Billets Reports'!F1686),IF(ISNUMBER(SEARCH("Party Name-",'R.M Billets Reports'!D1686)),TRIM(MID('R.M Billets Reports'!D1686,SEARCH("-",'R.M Billets Reports'!D1686)+1,200)),""))&lt;&gt;"",IF(ISNUMBER(SEARCH("Party Name:-",'R.M Billets Reports'!D1686)),TRIM('R.M Billets Reports'!F1686),IF(ISNUMBER(SEARCH("Party Name-",'R.M Billets Reports'!D1686)),TRIM(MID('R.M Billets Reports'!D1686,SEARCH("-",'R.M Billets Reports'!D1686)+1,200)),"")),IF(ISNUMBER(SEARCH("Party Name:-",'R.M Billets Reports'!D1687)),TRIM('R.M Billets Reports'!F1687),IF(ISNUMBER(SEARCH("Party Name-",'R.M Billets Reports'!D1687)),TRIM(MID('R.M Billets Reports'!D1687,SEARCH("-",'R.M Billets Reports'!D1687)+1,200)),"")))="SHRI RADHE","SHREE RADHE",IF(IF(IF(ISNUMBER(SEARCH("Party Name:-",'R.M Billets Reports'!D1686)),TRIM('R.M Billets Reports'!F1686),IF(ISNUMBER(SEARCH("Party Name-",'R.M Billets Reports'!D1686)),TRIM(MID('R.M Billets Reports'!D1686,SEARCH("-",'R.M Billets Reports'!D1686)+1,200)),""))&lt;&gt;"",IF(ISNUMBER(SEARCH("Party Name:-",'R.M Billets Reports'!D1686)),TRIM('R.M Billets Reports'!F1686),IF(ISNUMBER(SEARCH("Party Name-",'R.M Billets Reports'!D1686)),TRIM(MID('R.M Billets Reports'!D1686,SEARCH("-",'R.M Billets Reports'!D1686)+1,200)),"")),IF(ISNUMBER(SEARCH("Party Name:-",'R.M Billets Reports'!D1687)),TRIM('R.M Billets Reports'!F1687),IF(ISNUMBER(SEARCH("Party Name-",'R.M Billets Reports'!D1687)),TRIM(MID('R.M Billets Reports'!D1687,SEARCH("-",'R.M Billets Reports'!D1687)+1,200)),"")))="SHREE RADHE SHAKTI SPONGE AND POWER PVT. LTD.","SHREE RADHE",IF(IF(ISNUMBER(SEARCH("Party Name:-",'R.M Billets Reports'!D1686)),TRIM('R.M Billets Reports'!F1686),IF(ISNUMBER(SEARCH("Party Name-",'R.M Billets Reports'!D1686)),TRIM(MID('R.M Billets Reports'!D1686,SEARCH("-",'R.M Billets Reports'!D1686)+1,200)),""))&lt;&gt;"",IF(ISNUMBER(SEARCH("Party Name:-",'R.M Billets Reports'!D1686)),TRIM('R.M Billets Reports'!F1686),IF(ISNUMBER(SEARCH("Party Name-",'R.M Billets Reports'!D1686)),TRIM(MID('R.M Billets Reports'!D1686,SEARCH("-",'R.M Billets Reports'!D1686)+1,200)),"")),IF(ISNUMBER(SEARCH("Party Name:-",'R.M Billets Reports'!D1687)),TRIM('R.M Billets Reports'!F1687),IF(ISNUMBER(SEARCH("Party Name-",'R.M Billets Reports'!D1687)),TRIM(MID('R.M Billets Reports'!D1687,SEARCH("-",'R.M Billets Reports'!D1687)+1,200)),"")))))),IF(ROW()=2,"",A1686))</f>
      </c>
      <c r="B1687">
        <f>IF(OR('R.M Billets Reports'!A1686="Date-",'R.M Billets Reports'!A1686="Date:-"),'R.M Billets Reports'!B1686,IF(ROW()=2,"",B1686))</f>
      </c>
      <c r="C1687">
        <f>IF('R.M Billets Reports'!A1686="V.No.",'R.M Billets Reports'!B1686,IF(ROW()=2,"",C1686))</f>
      </c>
      <c r="D1687">
        <f>IF('R.M Billets Reports'!A1686&lt;&gt;"",'R.M Billets Reports'!A1686,IF(ROW()=2,"",D1686))</f>
      </c>
      <c r="E1687">
        <f>IF('R.M Billets Reports'!B1686="","",TRIM('R.M Billets Reports'!B1686))</f>
      </c>
      <c r="F1687">
        <f>'R.M Billets Reports'!C1686</f>
      </c>
      <c r="G1687">
        <f>'R.M Billets Reports'!D1686</f>
      </c>
      <c r="H1687">
        <f>'R.M Billets Reports'!E1686</f>
      </c>
      <c r="I1687">
        <f>'R.M Billets Reports'!F1686</f>
      </c>
      <c r="J1687">
        <f>'R.M Billets Reports'!G1686</f>
      </c>
      <c r="K1687">
        <f>'R.M Billets Reports'!H1686</f>
      </c>
      <c r="L1687">
        <f>IF('R.M Billets Reports'!I1686="","",'R.M Billets Reports'!I1686)</f>
      </c>
      <c r="M1687">
        <f t="shared" si="52"/>
      </c>
      <c r="N1687">
        <f>IF('R.M Billets Reports'!J1686="","",'R.M Billets Reports'!J1686)</f>
      </c>
      <c r="O1687">
        <f t="shared" si="53"/>
      </c>
      <c r="P1687">
        <f>IF('R.M Billets Reports'!A1686="SIZE",'R.M Billets Reports'!B1686,P1686)</f>
      </c>
    </row>
    <row r="1688" spans="1:16" x14ac:dyDescent="0.25">
      <c r="A1688">
        <f>IF(OR('R.M Billets Reports'!A1687="Date-",'R.M Billets Reports'!A1687="Date:-"),IF(IF(IF(ISNUMBER(SEARCH("Party Name:-",'R.M Billets Reports'!D1687)),TRIM('R.M Billets Reports'!F1687),IF(ISNUMBER(SEARCH("Party Name-",'R.M Billets Reports'!D1687)),TRIM(MID('R.M Billets Reports'!D1687,SEARCH("-",'R.M Billets Reports'!D1687)+1,200)),""))&lt;&gt;"",IF(ISNUMBER(SEARCH("Party Name:-",'R.M Billets Reports'!D1687)),TRIM('R.M Billets Reports'!F1687),IF(ISNUMBER(SEARCH("Party Name-",'R.M Billets Reports'!D1687)),TRIM(MID('R.M Billets Reports'!D1687,SEARCH("-",'R.M Billets Reports'!D1687)+1,200)),"")),IF(ISNUMBER(SEARCH("Party Name:-",'R.M Billets Reports'!D1688)),TRIM('R.M Billets Reports'!F1688),IF(ISNUMBER(SEARCH("Party Name-",'R.M Billets Reports'!D1688)),TRIM(MID('R.M Billets Reports'!D1688,SEARCH("-",'R.M Billets Reports'!D1688)+1,200)),"")))="VRKP ISPAT PVT LTD","VRKP",IF(IF(IF(ISNUMBER(SEARCH("Party Name:-",'R.M Billets Reports'!D1687)),TRIM('R.M Billets Reports'!F1687),IF(ISNUMBER(SEARCH("Party Name-",'R.M Billets Reports'!D1687)),TRIM(MID('R.M Billets Reports'!D1687,SEARCH("-",'R.M Billets Reports'!D1687)+1,200)),""))&lt;&gt;"",IF(ISNUMBER(SEARCH("Party Name:-",'R.M Billets Reports'!D1687)),TRIM('R.M Billets Reports'!F1687),IF(ISNUMBER(SEARCH("Party Name-",'R.M Billets Reports'!D1687)),TRIM(MID('R.M Billets Reports'!D1687,SEARCH("-",'R.M Billets Reports'!D1687)+1,200)),"")),IF(ISNUMBER(SEARCH("Party Name:-",'R.M Billets Reports'!D1688)),TRIM('R.M Billets Reports'!F1688),IF(ISNUMBER(SEARCH("Party Name-",'R.M Billets Reports'!D1688)),TRIM(MID('R.M Billets Reports'!D1688,SEARCH("-",'R.M Billets Reports'!D1688)+1,200)),"")))="SHRI RADHE","SHREE RADHE",IF(IF(IF(ISNUMBER(SEARCH("Party Name:-",'R.M Billets Reports'!D1687)),TRIM('R.M Billets Reports'!F1687),IF(ISNUMBER(SEARCH("Party Name-",'R.M Billets Reports'!D1687)),TRIM(MID('R.M Billets Reports'!D1687,SEARCH("-",'R.M Billets Reports'!D1687)+1,200)),""))&lt;&gt;"",IF(ISNUMBER(SEARCH("Party Name:-",'R.M Billets Reports'!D1687)),TRIM('R.M Billets Reports'!F1687),IF(ISNUMBER(SEARCH("Party Name-",'R.M Billets Reports'!D1687)),TRIM(MID('R.M Billets Reports'!D1687,SEARCH("-",'R.M Billets Reports'!D1687)+1,200)),"")),IF(ISNUMBER(SEARCH("Party Name:-",'R.M Billets Reports'!D1688)),TRIM('R.M Billets Reports'!F1688),IF(ISNUMBER(SEARCH("Party Name-",'R.M Billets Reports'!D1688)),TRIM(MID('R.M Billets Reports'!D1688,SEARCH("-",'R.M Billets Reports'!D1688)+1,200)),"")))="SHREE RADHE SHAKTI SPONGE AND POWER PVT. LTD.","SHREE RADHE",IF(IF(ISNUMBER(SEARCH("Party Name:-",'R.M Billets Reports'!D1687)),TRIM('R.M Billets Reports'!F1687),IF(ISNUMBER(SEARCH("Party Name-",'R.M Billets Reports'!D1687)),TRIM(MID('R.M Billets Reports'!D1687,SEARCH("-",'R.M Billets Reports'!D1687)+1,200)),""))&lt;&gt;"",IF(ISNUMBER(SEARCH("Party Name:-",'R.M Billets Reports'!D1687)),TRIM('R.M Billets Reports'!F1687),IF(ISNUMBER(SEARCH("Party Name-",'R.M Billets Reports'!D1687)),TRIM(MID('R.M Billets Reports'!D1687,SEARCH("-",'R.M Billets Reports'!D1687)+1,200)),"")),IF(ISNUMBER(SEARCH("Party Name:-",'R.M Billets Reports'!D1688)),TRIM('R.M Billets Reports'!F1688),IF(ISNUMBER(SEARCH("Party Name-",'R.M Billets Reports'!D1688)),TRIM(MID('R.M Billets Reports'!D1688,SEARCH("-",'R.M Billets Reports'!D1688)+1,200)),"")))))),IF(ROW()=2,"",A1687))</f>
      </c>
      <c r="B1688">
        <f>IF(OR('R.M Billets Reports'!A1687="Date-",'R.M Billets Reports'!A1687="Date:-"),'R.M Billets Reports'!B1687,IF(ROW()=2,"",B1687))</f>
      </c>
      <c r="C1688">
        <f>IF('R.M Billets Reports'!A1687="V.No.",'R.M Billets Reports'!B1687,IF(ROW()=2,"",C1687))</f>
      </c>
      <c r="D1688">
        <f>IF('R.M Billets Reports'!A1687&lt;&gt;"",'R.M Billets Reports'!A1687,IF(ROW()=2,"",D1687))</f>
      </c>
      <c r="E1688">
        <f>IF('R.M Billets Reports'!B1687="","",TRIM('R.M Billets Reports'!B1687))</f>
      </c>
      <c r="F1688">
        <f>'R.M Billets Reports'!C1687</f>
      </c>
      <c r="G1688">
        <f>'R.M Billets Reports'!D1687</f>
      </c>
      <c r="H1688">
        <f>'R.M Billets Reports'!E1687</f>
      </c>
      <c r="I1688">
        <f>'R.M Billets Reports'!F1687</f>
      </c>
      <c r="J1688">
        <f>'R.M Billets Reports'!G1687</f>
      </c>
      <c r="K1688">
        <f>'R.M Billets Reports'!H1687</f>
      </c>
      <c r="L1688">
        <f>IF('R.M Billets Reports'!I1687="","",'R.M Billets Reports'!I1687)</f>
      </c>
      <c r="M1688">
        <f t="shared" si="52"/>
      </c>
      <c r="N1688">
        <f>IF('R.M Billets Reports'!J1687="","",'R.M Billets Reports'!J1687)</f>
      </c>
      <c r="O1688">
        <f t="shared" si="53"/>
      </c>
      <c r="P1688">
        <f>IF('R.M Billets Reports'!A1687="SIZE",'R.M Billets Reports'!B1687,P1687)</f>
      </c>
    </row>
    <row r="1689" spans="1:16" x14ac:dyDescent="0.25">
      <c r="A1689">
        <f>IF(OR('R.M Billets Reports'!A1688="Date-",'R.M Billets Reports'!A1688="Date:-"),IF(IF(IF(ISNUMBER(SEARCH("Party Name:-",'R.M Billets Reports'!D1688)),TRIM('R.M Billets Reports'!F1688),IF(ISNUMBER(SEARCH("Party Name-",'R.M Billets Reports'!D1688)),TRIM(MID('R.M Billets Reports'!D1688,SEARCH("-",'R.M Billets Reports'!D1688)+1,200)),""))&lt;&gt;"",IF(ISNUMBER(SEARCH("Party Name:-",'R.M Billets Reports'!D1688)),TRIM('R.M Billets Reports'!F1688),IF(ISNUMBER(SEARCH("Party Name-",'R.M Billets Reports'!D1688)),TRIM(MID('R.M Billets Reports'!D1688,SEARCH("-",'R.M Billets Reports'!D1688)+1,200)),"")),IF(ISNUMBER(SEARCH("Party Name:-",'R.M Billets Reports'!D1689)),TRIM('R.M Billets Reports'!F1689),IF(ISNUMBER(SEARCH("Party Name-",'R.M Billets Reports'!D1689)),TRIM(MID('R.M Billets Reports'!D1689,SEARCH("-",'R.M Billets Reports'!D1689)+1,200)),"")))="VRKP ISPAT PVT LTD","VRKP",IF(IF(IF(ISNUMBER(SEARCH("Party Name:-",'R.M Billets Reports'!D1688)),TRIM('R.M Billets Reports'!F1688),IF(ISNUMBER(SEARCH("Party Name-",'R.M Billets Reports'!D1688)),TRIM(MID('R.M Billets Reports'!D1688,SEARCH("-",'R.M Billets Reports'!D1688)+1,200)),""))&lt;&gt;"",IF(ISNUMBER(SEARCH("Party Name:-",'R.M Billets Reports'!D1688)),TRIM('R.M Billets Reports'!F1688),IF(ISNUMBER(SEARCH("Party Name-",'R.M Billets Reports'!D1688)),TRIM(MID('R.M Billets Reports'!D1688,SEARCH("-",'R.M Billets Reports'!D1688)+1,200)),"")),IF(ISNUMBER(SEARCH("Party Name:-",'R.M Billets Reports'!D1689)),TRIM('R.M Billets Reports'!F1689),IF(ISNUMBER(SEARCH("Party Name-",'R.M Billets Reports'!D1689)),TRIM(MID('R.M Billets Reports'!D1689,SEARCH("-",'R.M Billets Reports'!D1689)+1,200)),"")))="SHRI RADHE","SHREE RADHE",IF(IF(IF(ISNUMBER(SEARCH("Party Name:-",'R.M Billets Reports'!D1688)),TRIM('R.M Billets Reports'!F1688),IF(ISNUMBER(SEARCH("Party Name-",'R.M Billets Reports'!D1688)),TRIM(MID('R.M Billets Reports'!D1688,SEARCH("-",'R.M Billets Reports'!D1688)+1,200)),""))&lt;&gt;"",IF(ISNUMBER(SEARCH("Party Name:-",'R.M Billets Reports'!D1688)),TRIM('R.M Billets Reports'!F1688),IF(ISNUMBER(SEARCH("Party Name-",'R.M Billets Reports'!D1688)),TRIM(MID('R.M Billets Reports'!D1688,SEARCH("-",'R.M Billets Reports'!D1688)+1,200)),"")),IF(ISNUMBER(SEARCH("Party Name:-",'R.M Billets Reports'!D1689)),TRIM('R.M Billets Reports'!F1689),IF(ISNUMBER(SEARCH("Party Name-",'R.M Billets Reports'!D1689)),TRIM(MID('R.M Billets Reports'!D1689,SEARCH("-",'R.M Billets Reports'!D1689)+1,200)),"")))="SHREE RADHE SHAKTI SPONGE AND POWER PVT. LTD.","SHREE RADHE",IF(IF(ISNUMBER(SEARCH("Party Name:-",'R.M Billets Reports'!D1688)),TRIM('R.M Billets Reports'!F1688),IF(ISNUMBER(SEARCH("Party Name-",'R.M Billets Reports'!D1688)),TRIM(MID('R.M Billets Reports'!D1688,SEARCH("-",'R.M Billets Reports'!D1688)+1,200)),""))&lt;&gt;"",IF(ISNUMBER(SEARCH("Party Name:-",'R.M Billets Reports'!D1688)),TRIM('R.M Billets Reports'!F1688),IF(ISNUMBER(SEARCH("Party Name-",'R.M Billets Reports'!D1688)),TRIM(MID('R.M Billets Reports'!D1688,SEARCH("-",'R.M Billets Reports'!D1688)+1,200)),"")),IF(ISNUMBER(SEARCH("Party Name:-",'R.M Billets Reports'!D1689)),TRIM('R.M Billets Reports'!F1689),IF(ISNUMBER(SEARCH("Party Name-",'R.M Billets Reports'!D1689)),TRIM(MID('R.M Billets Reports'!D1689,SEARCH("-",'R.M Billets Reports'!D1689)+1,200)),"")))))),IF(ROW()=2,"",A1688))</f>
      </c>
      <c r="B1689">
        <f>IF(OR('R.M Billets Reports'!A1688="Date-",'R.M Billets Reports'!A1688="Date:-"),'R.M Billets Reports'!B1688,IF(ROW()=2,"",B1688))</f>
      </c>
      <c r="C1689">
        <f>IF('R.M Billets Reports'!A1688="V.No.",'R.M Billets Reports'!B1688,IF(ROW()=2,"",C1688))</f>
      </c>
      <c r="D1689">
        <f>IF('R.M Billets Reports'!A1688&lt;&gt;"",'R.M Billets Reports'!A1688,IF(ROW()=2,"",D1688))</f>
      </c>
      <c r="E1689">
        <f>IF('R.M Billets Reports'!B1688="","",TRIM('R.M Billets Reports'!B1688))</f>
      </c>
      <c r="F1689">
        <f>'R.M Billets Reports'!C1688</f>
      </c>
      <c r="G1689">
        <f>'R.M Billets Reports'!D1688</f>
      </c>
      <c r="H1689">
        <f>'R.M Billets Reports'!E1688</f>
      </c>
      <c r="I1689">
        <f>'R.M Billets Reports'!F1688</f>
      </c>
      <c r="J1689">
        <f>'R.M Billets Reports'!G1688</f>
      </c>
      <c r="K1689">
        <f>'R.M Billets Reports'!H1688</f>
      </c>
      <c r="L1689">
        <f>IF('R.M Billets Reports'!I1688="","",'R.M Billets Reports'!I1688)</f>
      </c>
      <c r="M1689">
        <f t="shared" si="52"/>
      </c>
      <c r="N1689">
        <f>IF('R.M Billets Reports'!J1688="","",'R.M Billets Reports'!J1688)</f>
      </c>
      <c r="O1689">
        <f t="shared" si="53"/>
      </c>
      <c r="P1689">
        <f>IF('R.M Billets Reports'!A1688="SIZE",'R.M Billets Reports'!B1688,P1688)</f>
      </c>
    </row>
    <row r="1690" spans="1:16" x14ac:dyDescent="0.25">
      <c r="A1690">
        <f>IF(OR('R.M Billets Reports'!A1689="Date-",'R.M Billets Reports'!A1689="Date:-"),IF(IF(IF(ISNUMBER(SEARCH("Party Name:-",'R.M Billets Reports'!D1689)),TRIM('R.M Billets Reports'!F1689),IF(ISNUMBER(SEARCH("Party Name-",'R.M Billets Reports'!D1689)),TRIM(MID('R.M Billets Reports'!D1689,SEARCH("-",'R.M Billets Reports'!D1689)+1,200)),""))&lt;&gt;"",IF(ISNUMBER(SEARCH("Party Name:-",'R.M Billets Reports'!D1689)),TRIM('R.M Billets Reports'!F1689),IF(ISNUMBER(SEARCH("Party Name-",'R.M Billets Reports'!D1689)),TRIM(MID('R.M Billets Reports'!D1689,SEARCH("-",'R.M Billets Reports'!D1689)+1,200)),"")),IF(ISNUMBER(SEARCH("Party Name:-",'R.M Billets Reports'!D1690)),TRIM('R.M Billets Reports'!F1690),IF(ISNUMBER(SEARCH("Party Name-",'R.M Billets Reports'!D1690)),TRIM(MID('R.M Billets Reports'!D1690,SEARCH("-",'R.M Billets Reports'!D1690)+1,200)),"")))="VRKP ISPAT PVT LTD","VRKP",IF(IF(IF(ISNUMBER(SEARCH("Party Name:-",'R.M Billets Reports'!D1689)),TRIM('R.M Billets Reports'!F1689),IF(ISNUMBER(SEARCH("Party Name-",'R.M Billets Reports'!D1689)),TRIM(MID('R.M Billets Reports'!D1689,SEARCH("-",'R.M Billets Reports'!D1689)+1,200)),""))&lt;&gt;"",IF(ISNUMBER(SEARCH("Party Name:-",'R.M Billets Reports'!D1689)),TRIM('R.M Billets Reports'!F1689),IF(ISNUMBER(SEARCH("Party Name-",'R.M Billets Reports'!D1689)),TRIM(MID('R.M Billets Reports'!D1689,SEARCH("-",'R.M Billets Reports'!D1689)+1,200)),"")),IF(ISNUMBER(SEARCH("Party Name:-",'R.M Billets Reports'!D1690)),TRIM('R.M Billets Reports'!F1690),IF(ISNUMBER(SEARCH("Party Name-",'R.M Billets Reports'!D1690)),TRIM(MID('R.M Billets Reports'!D1690,SEARCH("-",'R.M Billets Reports'!D1690)+1,200)),"")))="SHRI RADHE","SHREE RADHE",IF(IF(IF(ISNUMBER(SEARCH("Party Name:-",'R.M Billets Reports'!D1689)),TRIM('R.M Billets Reports'!F1689),IF(ISNUMBER(SEARCH("Party Name-",'R.M Billets Reports'!D1689)),TRIM(MID('R.M Billets Reports'!D1689,SEARCH("-",'R.M Billets Reports'!D1689)+1,200)),""))&lt;&gt;"",IF(ISNUMBER(SEARCH("Party Name:-",'R.M Billets Reports'!D1689)),TRIM('R.M Billets Reports'!F1689),IF(ISNUMBER(SEARCH("Party Name-",'R.M Billets Reports'!D1689)),TRIM(MID('R.M Billets Reports'!D1689,SEARCH("-",'R.M Billets Reports'!D1689)+1,200)),"")),IF(ISNUMBER(SEARCH("Party Name:-",'R.M Billets Reports'!D1690)),TRIM('R.M Billets Reports'!F1690),IF(ISNUMBER(SEARCH("Party Name-",'R.M Billets Reports'!D1690)),TRIM(MID('R.M Billets Reports'!D1690,SEARCH("-",'R.M Billets Reports'!D1690)+1,200)),"")))="SHREE RADHE SHAKTI SPONGE AND POWER PVT. LTD.","SHREE RADHE",IF(IF(ISNUMBER(SEARCH("Party Name:-",'R.M Billets Reports'!D1689)),TRIM('R.M Billets Reports'!F1689),IF(ISNUMBER(SEARCH("Party Name-",'R.M Billets Reports'!D1689)),TRIM(MID('R.M Billets Reports'!D1689,SEARCH("-",'R.M Billets Reports'!D1689)+1,200)),""))&lt;&gt;"",IF(ISNUMBER(SEARCH("Party Name:-",'R.M Billets Reports'!D1689)),TRIM('R.M Billets Reports'!F1689),IF(ISNUMBER(SEARCH("Party Name-",'R.M Billets Reports'!D1689)),TRIM(MID('R.M Billets Reports'!D1689,SEARCH("-",'R.M Billets Reports'!D1689)+1,200)),"")),IF(ISNUMBER(SEARCH("Party Name:-",'R.M Billets Reports'!D1690)),TRIM('R.M Billets Reports'!F1690),IF(ISNUMBER(SEARCH("Party Name-",'R.M Billets Reports'!D1690)),TRIM(MID('R.M Billets Reports'!D1690,SEARCH("-",'R.M Billets Reports'!D1690)+1,200)),"")))))),IF(ROW()=2,"",A1689))</f>
      </c>
      <c r="B1690">
        <f>IF(OR('R.M Billets Reports'!A1689="Date-",'R.M Billets Reports'!A1689="Date:-"),'R.M Billets Reports'!B1689,IF(ROW()=2,"",B1689))</f>
      </c>
      <c r="C1690">
        <f>IF('R.M Billets Reports'!A1689="V.No.",'R.M Billets Reports'!B1689,IF(ROW()=2,"",C1689))</f>
      </c>
      <c r="D1690">
        <f>IF('R.M Billets Reports'!A1689&lt;&gt;"",'R.M Billets Reports'!A1689,IF(ROW()=2,"",D1689))</f>
      </c>
      <c r="E1690">
        <f>IF('R.M Billets Reports'!B1689="","",TRIM('R.M Billets Reports'!B1689))</f>
      </c>
      <c r="F1690">
        <f>'R.M Billets Reports'!C1689</f>
      </c>
      <c r="G1690">
        <f>'R.M Billets Reports'!D1689</f>
      </c>
      <c r="H1690">
        <f>'R.M Billets Reports'!E1689</f>
      </c>
      <c r="I1690">
        <f>'R.M Billets Reports'!F1689</f>
      </c>
      <c r="J1690">
        <f>'R.M Billets Reports'!G1689</f>
      </c>
      <c r="K1690">
        <f>'R.M Billets Reports'!H1689</f>
      </c>
      <c r="L1690">
        <f>IF('R.M Billets Reports'!I1689="","",'R.M Billets Reports'!I1689)</f>
      </c>
      <c r="M1690">
        <f t="shared" si="52"/>
      </c>
      <c r="N1690">
        <f>IF('R.M Billets Reports'!J1689="","",'R.M Billets Reports'!J1689)</f>
      </c>
      <c r="O1690">
        <f t="shared" si="53"/>
      </c>
      <c r="P1690">
        <f>IF('R.M Billets Reports'!A1689="SIZE",'R.M Billets Reports'!B1689,P1689)</f>
      </c>
    </row>
    <row r="1691" spans="1:16" x14ac:dyDescent="0.25">
      <c r="A1691">
        <f>IF(OR('R.M Billets Reports'!A1690="Date-",'R.M Billets Reports'!A1690="Date:-"),IF(IF(IF(ISNUMBER(SEARCH("Party Name:-",'R.M Billets Reports'!D1690)),TRIM('R.M Billets Reports'!F1690),IF(ISNUMBER(SEARCH("Party Name-",'R.M Billets Reports'!D1690)),TRIM(MID('R.M Billets Reports'!D1690,SEARCH("-",'R.M Billets Reports'!D1690)+1,200)),""))&lt;&gt;"",IF(ISNUMBER(SEARCH("Party Name:-",'R.M Billets Reports'!D1690)),TRIM('R.M Billets Reports'!F1690),IF(ISNUMBER(SEARCH("Party Name-",'R.M Billets Reports'!D1690)),TRIM(MID('R.M Billets Reports'!D1690,SEARCH("-",'R.M Billets Reports'!D1690)+1,200)),"")),IF(ISNUMBER(SEARCH("Party Name:-",'R.M Billets Reports'!D1691)),TRIM('R.M Billets Reports'!F1691),IF(ISNUMBER(SEARCH("Party Name-",'R.M Billets Reports'!D1691)),TRIM(MID('R.M Billets Reports'!D1691,SEARCH("-",'R.M Billets Reports'!D1691)+1,200)),"")))="VRKP ISPAT PVT LTD","VRKP",IF(IF(IF(ISNUMBER(SEARCH("Party Name:-",'R.M Billets Reports'!D1690)),TRIM('R.M Billets Reports'!F1690),IF(ISNUMBER(SEARCH("Party Name-",'R.M Billets Reports'!D1690)),TRIM(MID('R.M Billets Reports'!D1690,SEARCH("-",'R.M Billets Reports'!D1690)+1,200)),""))&lt;&gt;"",IF(ISNUMBER(SEARCH("Party Name:-",'R.M Billets Reports'!D1690)),TRIM('R.M Billets Reports'!F1690),IF(ISNUMBER(SEARCH("Party Name-",'R.M Billets Reports'!D1690)),TRIM(MID('R.M Billets Reports'!D1690,SEARCH("-",'R.M Billets Reports'!D1690)+1,200)),"")),IF(ISNUMBER(SEARCH("Party Name:-",'R.M Billets Reports'!D1691)),TRIM('R.M Billets Reports'!F1691),IF(ISNUMBER(SEARCH("Party Name-",'R.M Billets Reports'!D1691)),TRIM(MID('R.M Billets Reports'!D1691,SEARCH("-",'R.M Billets Reports'!D1691)+1,200)),"")))="SHRI RADHE","SHREE RADHE",IF(IF(IF(ISNUMBER(SEARCH("Party Name:-",'R.M Billets Reports'!D1690)),TRIM('R.M Billets Reports'!F1690),IF(ISNUMBER(SEARCH("Party Name-",'R.M Billets Reports'!D1690)),TRIM(MID('R.M Billets Reports'!D1690,SEARCH("-",'R.M Billets Reports'!D1690)+1,200)),""))&lt;&gt;"",IF(ISNUMBER(SEARCH("Party Name:-",'R.M Billets Reports'!D1690)),TRIM('R.M Billets Reports'!F1690),IF(ISNUMBER(SEARCH("Party Name-",'R.M Billets Reports'!D1690)),TRIM(MID('R.M Billets Reports'!D1690,SEARCH("-",'R.M Billets Reports'!D1690)+1,200)),"")),IF(ISNUMBER(SEARCH("Party Name:-",'R.M Billets Reports'!D1691)),TRIM('R.M Billets Reports'!F1691),IF(ISNUMBER(SEARCH("Party Name-",'R.M Billets Reports'!D1691)),TRIM(MID('R.M Billets Reports'!D1691,SEARCH("-",'R.M Billets Reports'!D1691)+1,200)),"")))="SHREE RADHE SHAKTI SPONGE AND POWER PVT. LTD.","SHREE RADHE",IF(IF(ISNUMBER(SEARCH("Party Name:-",'R.M Billets Reports'!D1690)),TRIM('R.M Billets Reports'!F1690),IF(ISNUMBER(SEARCH("Party Name-",'R.M Billets Reports'!D1690)),TRIM(MID('R.M Billets Reports'!D1690,SEARCH("-",'R.M Billets Reports'!D1690)+1,200)),""))&lt;&gt;"",IF(ISNUMBER(SEARCH("Party Name:-",'R.M Billets Reports'!D1690)),TRIM('R.M Billets Reports'!F1690),IF(ISNUMBER(SEARCH("Party Name-",'R.M Billets Reports'!D1690)),TRIM(MID('R.M Billets Reports'!D1690,SEARCH("-",'R.M Billets Reports'!D1690)+1,200)),"")),IF(ISNUMBER(SEARCH("Party Name:-",'R.M Billets Reports'!D1691)),TRIM('R.M Billets Reports'!F1691),IF(ISNUMBER(SEARCH("Party Name-",'R.M Billets Reports'!D1691)),TRIM(MID('R.M Billets Reports'!D1691,SEARCH("-",'R.M Billets Reports'!D1691)+1,200)),"")))))),IF(ROW()=2,"",A1690))</f>
      </c>
      <c r="B1691">
        <f>IF(OR('R.M Billets Reports'!A1690="Date-",'R.M Billets Reports'!A1690="Date:-"),'R.M Billets Reports'!B1690,IF(ROW()=2,"",B1690))</f>
      </c>
      <c r="C1691">
        <f>IF('R.M Billets Reports'!A1690="V.No.",'R.M Billets Reports'!B1690,IF(ROW()=2,"",C1690))</f>
      </c>
      <c r="D1691">
        <f>IF('R.M Billets Reports'!A1690&lt;&gt;"",'R.M Billets Reports'!A1690,IF(ROW()=2,"",D1690))</f>
      </c>
      <c r="E1691">
        <f>IF('R.M Billets Reports'!B1690="","",TRIM('R.M Billets Reports'!B1690))</f>
      </c>
      <c r="F1691">
        <f>'R.M Billets Reports'!C1690</f>
      </c>
      <c r="G1691">
        <f>'R.M Billets Reports'!D1690</f>
      </c>
      <c r="H1691">
        <f>'R.M Billets Reports'!E1690</f>
      </c>
      <c r="I1691">
        <f>'R.M Billets Reports'!F1690</f>
      </c>
      <c r="J1691">
        <f>'R.M Billets Reports'!G1690</f>
      </c>
      <c r="K1691">
        <f>'R.M Billets Reports'!H1690</f>
      </c>
      <c r="L1691">
        <f>IF('R.M Billets Reports'!I1690="","",'R.M Billets Reports'!I1690)</f>
      </c>
      <c r="M1691">
        <f t="shared" si="52"/>
      </c>
      <c r="N1691">
        <f>IF('R.M Billets Reports'!J1690="","",'R.M Billets Reports'!J1690)</f>
      </c>
      <c r="O1691">
        <f t="shared" si="53"/>
      </c>
      <c r="P1691">
        <f>IF('R.M Billets Reports'!A1690="SIZE",'R.M Billets Reports'!B1690,P1690)</f>
      </c>
    </row>
    <row r="1692" spans="1:16" x14ac:dyDescent="0.25">
      <c r="A1692">
        <f>IF(OR('R.M Billets Reports'!A1691="Date-",'R.M Billets Reports'!A1691="Date:-"),IF(IF(IF(ISNUMBER(SEARCH("Party Name:-",'R.M Billets Reports'!D1691)),TRIM('R.M Billets Reports'!F1691),IF(ISNUMBER(SEARCH("Party Name-",'R.M Billets Reports'!D1691)),TRIM(MID('R.M Billets Reports'!D1691,SEARCH("-",'R.M Billets Reports'!D1691)+1,200)),""))&lt;&gt;"",IF(ISNUMBER(SEARCH("Party Name:-",'R.M Billets Reports'!D1691)),TRIM('R.M Billets Reports'!F1691),IF(ISNUMBER(SEARCH("Party Name-",'R.M Billets Reports'!D1691)),TRIM(MID('R.M Billets Reports'!D1691,SEARCH("-",'R.M Billets Reports'!D1691)+1,200)),"")),IF(ISNUMBER(SEARCH("Party Name:-",'R.M Billets Reports'!D1692)),TRIM('R.M Billets Reports'!F1692),IF(ISNUMBER(SEARCH("Party Name-",'R.M Billets Reports'!D1692)),TRIM(MID('R.M Billets Reports'!D1692,SEARCH("-",'R.M Billets Reports'!D1692)+1,200)),"")))="VRKP ISPAT PVT LTD","VRKP",IF(IF(IF(ISNUMBER(SEARCH("Party Name:-",'R.M Billets Reports'!D1691)),TRIM('R.M Billets Reports'!F1691),IF(ISNUMBER(SEARCH("Party Name-",'R.M Billets Reports'!D1691)),TRIM(MID('R.M Billets Reports'!D1691,SEARCH("-",'R.M Billets Reports'!D1691)+1,200)),""))&lt;&gt;"",IF(ISNUMBER(SEARCH("Party Name:-",'R.M Billets Reports'!D1691)),TRIM('R.M Billets Reports'!F1691),IF(ISNUMBER(SEARCH("Party Name-",'R.M Billets Reports'!D1691)),TRIM(MID('R.M Billets Reports'!D1691,SEARCH("-",'R.M Billets Reports'!D1691)+1,200)),"")),IF(ISNUMBER(SEARCH("Party Name:-",'R.M Billets Reports'!D1692)),TRIM('R.M Billets Reports'!F1692),IF(ISNUMBER(SEARCH("Party Name-",'R.M Billets Reports'!D1692)),TRIM(MID('R.M Billets Reports'!D1692,SEARCH("-",'R.M Billets Reports'!D1692)+1,200)),"")))="SHRI RADHE","SHREE RADHE",IF(IF(IF(ISNUMBER(SEARCH("Party Name:-",'R.M Billets Reports'!D1691)),TRIM('R.M Billets Reports'!F1691),IF(ISNUMBER(SEARCH("Party Name-",'R.M Billets Reports'!D1691)),TRIM(MID('R.M Billets Reports'!D1691,SEARCH("-",'R.M Billets Reports'!D1691)+1,200)),""))&lt;&gt;"",IF(ISNUMBER(SEARCH("Party Name:-",'R.M Billets Reports'!D1691)),TRIM('R.M Billets Reports'!F1691),IF(ISNUMBER(SEARCH("Party Name-",'R.M Billets Reports'!D1691)),TRIM(MID('R.M Billets Reports'!D1691,SEARCH("-",'R.M Billets Reports'!D1691)+1,200)),"")),IF(ISNUMBER(SEARCH("Party Name:-",'R.M Billets Reports'!D1692)),TRIM('R.M Billets Reports'!F1692),IF(ISNUMBER(SEARCH("Party Name-",'R.M Billets Reports'!D1692)),TRIM(MID('R.M Billets Reports'!D1692,SEARCH("-",'R.M Billets Reports'!D1692)+1,200)),"")))="SHREE RADHE SHAKTI SPONGE AND POWER PVT. LTD.","SHREE RADHE",IF(IF(ISNUMBER(SEARCH("Party Name:-",'R.M Billets Reports'!D1691)),TRIM('R.M Billets Reports'!F1691),IF(ISNUMBER(SEARCH("Party Name-",'R.M Billets Reports'!D1691)),TRIM(MID('R.M Billets Reports'!D1691,SEARCH("-",'R.M Billets Reports'!D1691)+1,200)),""))&lt;&gt;"",IF(ISNUMBER(SEARCH("Party Name:-",'R.M Billets Reports'!D1691)),TRIM('R.M Billets Reports'!F1691),IF(ISNUMBER(SEARCH("Party Name-",'R.M Billets Reports'!D1691)),TRIM(MID('R.M Billets Reports'!D1691,SEARCH("-",'R.M Billets Reports'!D1691)+1,200)),"")),IF(ISNUMBER(SEARCH("Party Name:-",'R.M Billets Reports'!D1692)),TRIM('R.M Billets Reports'!F1692),IF(ISNUMBER(SEARCH("Party Name-",'R.M Billets Reports'!D1692)),TRIM(MID('R.M Billets Reports'!D1692,SEARCH("-",'R.M Billets Reports'!D1692)+1,200)),"")))))),IF(ROW()=2,"",A1691))</f>
      </c>
      <c r="B1692">
        <f>IF(OR('R.M Billets Reports'!A1691="Date-",'R.M Billets Reports'!A1691="Date:-"),'R.M Billets Reports'!B1691,IF(ROW()=2,"",B1691))</f>
      </c>
      <c r="C1692">
        <f>IF('R.M Billets Reports'!A1691="V.No.",'R.M Billets Reports'!B1691,IF(ROW()=2,"",C1691))</f>
      </c>
      <c r="D1692">
        <f>IF('R.M Billets Reports'!A1691&lt;&gt;"",'R.M Billets Reports'!A1691,IF(ROW()=2,"",D1691))</f>
      </c>
      <c r="E1692">
        <f>IF('R.M Billets Reports'!B1691="","",TRIM('R.M Billets Reports'!B1691))</f>
      </c>
      <c r="F1692">
        <f>'R.M Billets Reports'!C1691</f>
      </c>
      <c r="G1692">
        <f>'R.M Billets Reports'!D1691</f>
      </c>
      <c r="H1692">
        <f>'R.M Billets Reports'!E1691</f>
      </c>
      <c r="I1692">
        <f>'R.M Billets Reports'!F1691</f>
      </c>
      <c r="J1692">
        <f>'R.M Billets Reports'!G1691</f>
      </c>
      <c r="K1692">
        <f>'R.M Billets Reports'!H1691</f>
      </c>
      <c r="L1692">
        <f>IF('R.M Billets Reports'!I1691="","",'R.M Billets Reports'!I1691)</f>
      </c>
      <c r="M1692">
        <f t="shared" si="52"/>
      </c>
      <c r="N1692">
        <f>IF('R.M Billets Reports'!J1691="","",'R.M Billets Reports'!J1691)</f>
      </c>
      <c r="O1692">
        <f t="shared" si="53"/>
      </c>
      <c r="P1692">
        <f>IF('R.M Billets Reports'!A1691="SIZE",'R.M Billets Reports'!B1691,P1691)</f>
      </c>
    </row>
    <row r="1693" spans="1:16" x14ac:dyDescent="0.25">
      <c r="A1693">
        <f>IF(OR('R.M Billets Reports'!A1692="Date-",'R.M Billets Reports'!A1692="Date:-"),IF(IF(IF(ISNUMBER(SEARCH("Party Name:-",'R.M Billets Reports'!D1692)),TRIM('R.M Billets Reports'!F1692),IF(ISNUMBER(SEARCH("Party Name-",'R.M Billets Reports'!D1692)),TRIM(MID('R.M Billets Reports'!D1692,SEARCH("-",'R.M Billets Reports'!D1692)+1,200)),""))&lt;&gt;"",IF(ISNUMBER(SEARCH("Party Name:-",'R.M Billets Reports'!D1692)),TRIM('R.M Billets Reports'!F1692),IF(ISNUMBER(SEARCH("Party Name-",'R.M Billets Reports'!D1692)),TRIM(MID('R.M Billets Reports'!D1692,SEARCH("-",'R.M Billets Reports'!D1692)+1,200)),"")),IF(ISNUMBER(SEARCH("Party Name:-",'R.M Billets Reports'!D1693)),TRIM('R.M Billets Reports'!F1693),IF(ISNUMBER(SEARCH("Party Name-",'R.M Billets Reports'!D1693)),TRIM(MID('R.M Billets Reports'!D1693,SEARCH("-",'R.M Billets Reports'!D1693)+1,200)),"")))="VRKP ISPAT PVT LTD","VRKP",IF(IF(IF(ISNUMBER(SEARCH("Party Name:-",'R.M Billets Reports'!D1692)),TRIM('R.M Billets Reports'!F1692),IF(ISNUMBER(SEARCH("Party Name-",'R.M Billets Reports'!D1692)),TRIM(MID('R.M Billets Reports'!D1692,SEARCH("-",'R.M Billets Reports'!D1692)+1,200)),""))&lt;&gt;"",IF(ISNUMBER(SEARCH("Party Name:-",'R.M Billets Reports'!D1692)),TRIM('R.M Billets Reports'!F1692),IF(ISNUMBER(SEARCH("Party Name-",'R.M Billets Reports'!D1692)),TRIM(MID('R.M Billets Reports'!D1692,SEARCH("-",'R.M Billets Reports'!D1692)+1,200)),"")),IF(ISNUMBER(SEARCH("Party Name:-",'R.M Billets Reports'!D1693)),TRIM('R.M Billets Reports'!F1693),IF(ISNUMBER(SEARCH("Party Name-",'R.M Billets Reports'!D1693)),TRIM(MID('R.M Billets Reports'!D1693,SEARCH("-",'R.M Billets Reports'!D1693)+1,200)),"")))="SHRI RADHE","SHREE RADHE",IF(IF(IF(ISNUMBER(SEARCH("Party Name:-",'R.M Billets Reports'!D1692)),TRIM('R.M Billets Reports'!F1692),IF(ISNUMBER(SEARCH("Party Name-",'R.M Billets Reports'!D1692)),TRIM(MID('R.M Billets Reports'!D1692,SEARCH("-",'R.M Billets Reports'!D1692)+1,200)),""))&lt;&gt;"",IF(ISNUMBER(SEARCH("Party Name:-",'R.M Billets Reports'!D1692)),TRIM('R.M Billets Reports'!F1692),IF(ISNUMBER(SEARCH("Party Name-",'R.M Billets Reports'!D1692)),TRIM(MID('R.M Billets Reports'!D1692,SEARCH("-",'R.M Billets Reports'!D1692)+1,200)),"")),IF(ISNUMBER(SEARCH("Party Name:-",'R.M Billets Reports'!D1693)),TRIM('R.M Billets Reports'!F1693),IF(ISNUMBER(SEARCH("Party Name-",'R.M Billets Reports'!D1693)),TRIM(MID('R.M Billets Reports'!D1693,SEARCH("-",'R.M Billets Reports'!D1693)+1,200)),"")))="SHREE RADHE SHAKTI SPONGE AND POWER PVT. LTD.","SHREE RADHE",IF(IF(ISNUMBER(SEARCH("Party Name:-",'R.M Billets Reports'!D1692)),TRIM('R.M Billets Reports'!F1692),IF(ISNUMBER(SEARCH("Party Name-",'R.M Billets Reports'!D1692)),TRIM(MID('R.M Billets Reports'!D1692,SEARCH("-",'R.M Billets Reports'!D1692)+1,200)),""))&lt;&gt;"",IF(ISNUMBER(SEARCH("Party Name:-",'R.M Billets Reports'!D1692)),TRIM('R.M Billets Reports'!F1692),IF(ISNUMBER(SEARCH("Party Name-",'R.M Billets Reports'!D1692)),TRIM(MID('R.M Billets Reports'!D1692,SEARCH("-",'R.M Billets Reports'!D1692)+1,200)),"")),IF(ISNUMBER(SEARCH("Party Name:-",'R.M Billets Reports'!D1693)),TRIM('R.M Billets Reports'!F1693),IF(ISNUMBER(SEARCH("Party Name-",'R.M Billets Reports'!D1693)),TRIM(MID('R.M Billets Reports'!D1693,SEARCH("-",'R.M Billets Reports'!D1693)+1,200)),"")))))),IF(ROW()=2,"",A1692))</f>
      </c>
      <c r="B1693">
        <f>IF(OR('R.M Billets Reports'!A1692="Date-",'R.M Billets Reports'!A1692="Date:-"),'R.M Billets Reports'!B1692,IF(ROW()=2,"",B1692))</f>
      </c>
      <c r="C1693">
        <f>IF('R.M Billets Reports'!A1692="V.No.",'R.M Billets Reports'!B1692,IF(ROW()=2,"",C1692))</f>
      </c>
      <c r="D1693">
        <f>IF('R.M Billets Reports'!A1692&lt;&gt;"",'R.M Billets Reports'!A1692,IF(ROW()=2,"",D1692))</f>
      </c>
      <c r="E1693">
        <f>IF('R.M Billets Reports'!B1692="","",TRIM('R.M Billets Reports'!B1692))</f>
      </c>
      <c r="F1693">
        <f>'R.M Billets Reports'!C1692</f>
      </c>
      <c r="G1693">
        <f>'R.M Billets Reports'!D1692</f>
      </c>
      <c r="H1693">
        <f>'R.M Billets Reports'!E1692</f>
      </c>
      <c r="I1693">
        <f>'R.M Billets Reports'!F1692</f>
      </c>
      <c r="J1693">
        <f>'R.M Billets Reports'!G1692</f>
      </c>
      <c r="K1693">
        <f>'R.M Billets Reports'!H1692</f>
      </c>
      <c r="L1693">
        <f>IF('R.M Billets Reports'!I1692="","",'R.M Billets Reports'!I1692)</f>
      </c>
      <c r="M1693">
        <f t="shared" si="52"/>
      </c>
      <c r="N1693">
        <f>IF('R.M Billets Reports'!J1692="","",'R.M Billets Reports'!J1692)</f>
      </c>
      <c r="O1693">
        <f t="shared" si="53"/>
      </c>
      <c r="P1693">
        <f>IF('R.M Billets Reports'!A1692="SIZE",'R.M Billets Reports'!B1692,P1692)</f>
      </c>
    </row>
    <row r="1694" spans="1:16" x14ac:dyDescent="0.25">
      <c r="A1694">
        <f>IF(OR('R.M Billets Reports'!A1693="Date-",'R.M Billets Reports'!A1693="Date:-"),IF(IF(IF(ISNUMBER(SEARCH("Party Name:-",'R.M Billets Reports'!D1693)),TRIM('R.M Billets Reports'!F1693),IF(ISNUMBER(SEARCH("Party Name-",'R.M Billets Reports'!D1693)),TRIM(MID('R.M Billets Reports'!D1693,SEARCH("-",'R.M Billets Reports'!D1693)+1,200)),""))&lt;&gt;"",IF(ISNUMBER(SEARCH("Party Name:-",'R.M Billets Reports'!D1693)),TRIM('R.M Billets Reports'!F1693),IF(ISNUMBER(SEARCH("Party Name-",'R.M Billets Reports'!D1693)),TRIM(MID('R.M Billets Reports'!D1693,SEARCH("-",'R.M Billets Reports'!D1693)+1,200)),"")),IF(ISNUMBER(SEARCH("Party Name:-",'R.M Billets Reports'!D1694)),TRIM('R.M Billets Reports'!F1694),IF(ISNUMBER(SEARCH("Party Name-",'R.M Billets Reports'!D1694)),TRIM(MID('R.M Billets Reports'!D1694,SEARCH("-",'R.M Billets Reports'!D1694)+1,200)),"")))="VRKP ISPAT PVT LTD","VRKP",IF(IF(IF(ISNUMBER(SEARCH("Party Name:-",'R.M Billets Reports'!D1693)),TRIM('R.M Billets Reports'!F1693),IF(ISNUMBER(SEARCH("Party Name-",'R.M Billets Reports'!D1693)),TRIM(MID('R.M Billets Reports'!D1693,SEARCH("-",'R.M Billets Reports'!D1693)+1,200)),""))&lt;&gt;"",IF(ISNUMBER(SEARCH("Party Name:-",'R.M Billets Reports'!D1693)),TRIM('R.M Billets Reports'!F1693),IF(ISNUMBER(SEARCH("Party Name-",'R.M Billets Reports'!D1693)),TRIM(MID('R.M Billets Reports'!D1693,SEARCH("-",'R.M Billets Reports'!D1693)+1,200)),"")),IF(ISNUMBER(SEARCH("Party Name:-",'R.M Billets Reports'!D1694)),TRIM('R.M Billets Reports'!F1694),IF(ISNUMBER(SEARCH("Party Name-",'R.M Billets Reports'!D1694)),TRIM(MID('R.M Billets Reports'!D1694,SEARCH("-",'R.M Billets Reports'!D1694)+1,200)),"")))="SHRI RADHE","SHREE RADHE",IF(IF(IF(ISNUMBER(SEARCH("Party Name:-",'R.M Billets Reports'!D1693)),TRIM('R.M Billets Reports'!F1693),IF(ISNUMBER(SEARCH("Party Name-",'R.M Billets Reports'!D1693)),TRIM(MID('R.M Billets Reports'!D1693,SEARCH("-",'R.M Billets Reports'!D1693)+1,200)),""))&lt;&gt;"",IF(ISNUMBER(SEARCH("Party Name:-",'R.M Billets Reports'!D1693)),TRIM('R.M Billets Reports'!F1693),IF(ISNUMBER(SEARCH("Party Name-",'R.M Billets Reports'!D1693)),TRIM(MID('R.M Billets Reports'!D1693,SEARCH("-",'R.M Billets Reports'!D1693)+1,200)),"")),IF(ISNUMBER(SEARCH("Party Name:-",'R.M Billets Reports'!D1694)),TRIM('R.M Billets Reports'!F1694),IF(ISNUMBER(SEARCH("Party Name-",'R.M Billets Reports'!D1694)),TRIM(MID('R.M Billets Reports'!D1694,SEARCH("-",'R.M Billets Reports'!D1694)+1,200)),"")))="SHREE RADHE SHAKTI SPONGE AND POWER PVT. LTD.","SHREE RADHE",IF(IF(ISNUMBER(SEARCH("Party Name:-",'R.M Billets Reports'!D1693)),TRIM('R.M Billets Reports'!F1693),IF(ISNUMBER(SEARCH("Party Name-",'R.M Billets Reports'!D1693)),TRIM(MID('R.M Billets Reports'!D1693,SEARCH("-",'R.M Billets Reports'!D1693)+1,200)),""))&lt;&gt;"",IF(ISNUMBER(SEARCH("Party Name:-",'R.M Billets Reports'!D1693)),TRIM('R.M Billets Reports'!F1693),IF(ISNUMBER(SEARCH("Party Name-",'R.M Billets Reports'!D1693)),TRIM(MID('R.M Billets Reports'!D1693,SEARCH("-",'R.M Billets Reports'!D1693)+1,200)),"")),IF(ISNUMBER(SEARCH("Party Name:-",'R.M Billets Reports'!D1694)),TRIM('R.M Billets Reports'!F1694),IF(ISNUMBER(SEARCH("Party Name-",'R.M Billets Reports'!D1694)),TRIM(MID('R.M Billets Reports'!D1694,SEARCH("-",'R.M Billets Reports'!D1694)+1,200)),"")))))),IF(ROW()=2,"",A1693))</f>
      </c>
      <c r="B1694">
        <f>IF(OR('R.M Billets Reports'!A1693="Date-",'R.M Billets Reports'!A1693="Date:-"),'R.M Billets Reports'!B1693,IF(ROW()=2,"",B1693))</f>
      </c>
      <c r="C1694">
        <f>IF('R.M Billets Reports'!A1693="V.No.",'R.M Billets Reports'!B1693,IF(ROW()=2,"",C1693))</f>
      </c>
      <c r="D1694">
        <f>IF('R.M Billets Reports'!A1693&lt;&gt;"",'R.M Billets Reports'!A1693,IF(ROW()=2,"",D1693))</f>
      </c>
      <c r="E1694">
        <f>IF('R.M Billets Reports'!B1693="","",TRIM('R.M Billets Reports'!B1693))</f>
      </c>
      <c r="F1694">
        <f>'R.M Billets Reports'!C1693</f>
      </c>
      <c r="G1694">
        <f>'R.M Billets Reports'!D1693</f>
      </c>
      <c r="H1694">
        <f>'R.M Billets Reports'!E1693</f>
      </c>
      <c r="I1694">
        <f>'R.M Billets Reports'!F1693</f>
      </c>
      <c r="J1694">
        <f>'R.M Billets Reports'!G1693</f>
      </c>
      <c r="K1694">
        <f>'R.M Billets Reports'!H1693</f>
      </c>
      <c r="L1694">
        <f>IF('R.M Billets Reports'!I1693="","",'R.M Billets Reports'!I1693)</f>
      </c>
      <c r="M1694">
        <f t="shared" si="52"/>
      </c>
      <c r="N1694">
        <f>IF('R.M Billets Reports'!J1693="","",'R.M Billets Reports'!J1693)</f>
      </c>
      <c r="O1694">
        <f t="shared" si="53"/>
      </c>
      <c r="P1694">
        <f>IF('R.M Billets Reports'!A1693="SIZE",'R.M Billets Reports'!B1693,P1693)</f>
      </c>
    </row>
    <row r="1695" spans="1:16" x14ac:dyDescent="0.25">
      <c r="A1695">
        <f>IF(OR('R.M Billets Reports'!A1694="Date-",'R.M Billets Reports'!A1694="Date:-"),IF(IF(IF(ISNUMBER(SEARCH("Party Name:-",'R.M Billets Reports'!D1694)),TRIM('R.M Billets Reports'!F1694),IF(ISNUMBER(SEARCH("Party Name-",'R.M Billets Reports'!D1694)),TRIM(MID('R.M Billets Reports'!D1694,SEARCH("-",'R.M Billets Reports'!D1694)+1,200)),""))&lt;&gt;"",IF(ISNUMBER(SEARCH("Party Name:-",'R.M Billets Reports'!D1694)),TRIM('R.M Billets Reports'!F1694),IF(ISNUMBER(SEARCH("Party Name-",'R.M Billets Reports'!D1694)),TRIM(MID('R.M Billets Reports'!D1694,SEARCH("-",'R.M Billets Reports'!D1694)+1,200)),"")),IF(ISNUMBER(SEARCH("Party Name:-",'R.M Billets Reports'!D1695)),TRIM('R.M Billets Reports'!F1695),IF(ISNUMBER(SEARCH("Party Name-",'R.M Billets Reports'!D1695)),TRIM(MID('R.M Billets Reports'!D1695,SEARCH("-",'R.M Billets Reports'!D1695)+1,200)),"")))="VRKP ISPAT PVT LTD","VRKP",IF(IF(IF(ISNUMBER(SEARCH("Party Name:-",'R.M Billets Reports'!D1694)),TRIM('R.M Billets Reports'!F1694),IF(ISNUMBER(SEARCH("Party Name-",'R.M Billets Reports'!D1694)),TRIM(MID('R.M Billets Reports'!D1694,SEARCH("-",'R.M Billets Reports'!D1694)+1,200)),""))&lt;&gt;"",IF(ISNUMBER(SEARCH("Party Name:-",'R.M Billets Reports'!D1694)),TRIM('R.M Billets Reports'!F1694),IF(ISNUMBER(SEARCH("Party Name-",'R.M Billets Reports'!D1694)),TRIM(MID('R.M Billets Reports'!D1694,SEARCH("-",'R.M Billets Reports'!D1694)+1,200)),"")),IF(ISNUMBER(SEARCH("Party Name:-",'R.M Billets Reports'!D1695)),TRIM('R.M Billets Reports'!F1695),IF(ISNUMBER(SEARCH("Party Name-",'R.M Billets Reports'!D1695)),TRIM(MID('R.M Billets Reports'!D1695,SEARCH("-",'R.M Billets Reports'!D1695)+1,200)),"")))="SHRI RADHE","SHREE RADHE",IF(IF(IF(ISNUMBER(SEARCH("Party Name:-",'R.M Billets Reports'!D1694)),TRIM('R.M Billets Reports'!F1694),IF(ISNUMBER(SEARCH("Party Name-",'R.M Billets Reports'!D1694)),TRIM(MID('R.M Billets Reports'!D1694,SEARCH("-",'R.M Billets Reports'!D1694)+1,200)),""))&lt;&gt;"",IF(ISNUMBER(SEARCH("Party Name:-",'R.M Billets Reports'!D1694)),TRIM('R.M Billets Reports'!F1694),IF(ISNUMBER(SEARCH("Party Name-",'R.M Billets Reports'!D1694)),TRIM(MID('R.M Billets Reports'!D1694,SEARCH("-",'R.M Billets Reports'!D1694)+1,200)),"")),IF(ISNUMBER(SEARCH("Party Name:-",'R.M Billets Reports'!D1695)),TRIM('R.M Billets Reports'!F1695),IF(ISNUMBER(SEARCH("Party Name-",'R.M Billets Reports'!D1695)),TRIM(MID('R.M Billets Reports'!D1695,SEARCH("-",'R.M Billets Reports'!D1695)+1,200)),"")))="SHREE RADHE SHAKTI SPONGE AND POWER PVT. LTD.","SHREE RADHE",IF(IF(ISNUMBER(SEARCH("Party Name:-",'R.M Billets Reports'!D1694)),TRIM('R.M Billets Reports'!F1694),IF(ISNUMBER(SEARCH("Party Name-",'R.M Billets Reports'!D1694)),TRIM(MID('R.M Billets Reports'!D1694,SEARCH("-",'R.M Billets Reports'!D1694)+1,200)),""))&lt;&gt;"",IF(ISNUMBER(SEARCH("Party Name:-",'R.M Billets Reports'!D1694)),TRIM('R.M Billets Reports'!F1694),IF(ISNUMBER(SEARCH("Party Name-",'R.M Billets Reports'!D1694)),TRIM(MID('R.M Billets Reports'!D1694,SEARCH("-",'R.M Billets Reports'!D1694)+1,200)),"")),IF(ISNUMBER(SEARCH("Party Name:-",'R.M Billets Reports'!D1695)),TRIM('R.M Billets Reports'!F1695),IF(ISNUMBER(SEARCH("Party Name-",'R.M Billets Reports'!D1695)),TRIM(MID('R.M Billets Reports'!D1695,SEARCH("-",'R.M Billets Reports'!D1695)+1,200)),"")))))),IF(ROW()=2,"",A1694))</f>
      </c>
      <c r="B1695">
        <f>IF(OR('R.M Billets Reports'!A1694="Date-",'R.M Billets Reports'!A1694="Date:-"),'R.M Billets Reports'!B1694,IF(ROW()=2,"",B1694))</f>
      </c>
      <c r="C1695">
        <f>IF('R.M Billets Reports'!A1694="V.No.",'R.M Billets Reports'!B1694,IF(ROW()=2,"",C1694))</f>
      </c>
      <c r="D1695">
        <f>IF('R.M Billets Reports'!A1694&lt;&gt;"",'R.M Billets Reports'!A1694,IF(ROW()=2,"",D1694))</f>
      </c>
      <c r="E1695">
        <f>IF('R.M Billets Reports'!B1694="","",TRIM('R.M Billets Reports'!B1694))</f>
      </c>
      <c r="F1695">
        <f>'R.M Billets Reports'!C1694</f>
      </c>
      <c r="G1695">
        <f>'R.M Billets Reports'!D1694</f>
      </c>
      <c r="H1695">
        <f>'R.M Billets Reports'!E1694</f>
      </c>
      <c r="I1695">
        <f>'R.M Billets Reports'!F1694</f>
      </c>
      <c r="J1695">
        <f>'R.M Billets Reports'!G1694</f>
      </c>
      <c r="K1695">
        <f>'R.M Billets Reports'!H1694</f>
      </c>
      <c r="L1695">
        <f>IF('R.M Billets Reports'!I1694="","",'R.M Billets Reports'!I1694)</f>
      </c>
      <c r="M1695">
        <f t="shared" si="52"/>
      </c>
      <c r="N1695">
        <f>IF('R.M Billets Reports'!J1694="","",'R.M Billets Reports'!J1694)</f>
      </c>
      <c r="O1695">
        <f t="shared" si="53"/>
      </c>
      <c r="P1695">
        <f>IF('R.M Billets Reports'!A1694="SIZE",'R.M Billets Reports'!B1694,P1694)</f>
      </c>
    </row>
    <row r="1696" spans="1:16" x14ac:dyDescent="0.25">
      <c r="A1696">
        <f>IF(OR('R.M Billets Reports'!A1695="Date-",'R.M Billets Reports'!A1695="Date:-"),IF(IF(IF(ISNUMBER(SEARCH("Party Name:-",'R.M Billets Reports'!D1695)),TRIM('R.M Billets Reports'!F1695),IF(ISNUMBER(SEARCH("Party Name-",'R.M Billets Reports'!D1695)),TRIM(MID('R.M Billets Reports'!D1695,SEARCH("-",'R.M Billets Reports'!D1695)+1,200)),""))&lt;&gt;"",IF(ISNUMBER(SEARCH("Party Name:-",'R.M Billets Reports'!D1695)),TRIM('R.M Billets Reports'!F1695),IF(ISNUMBER(SEARCH("Party Name-",'R.M Billets Reports'!D1695)),TRIM(MID('R.M Billets Reports'!D1695,SEARCH("-",'R.M Billets Reports'!D1695)+1,200)),"")),IF(ISNUMBER(SEARCH("Party Name:-",'R.M Billets Reports'!D1696)),TRIM('R.M Billets Reports'!F1696),IF(ISNUMBER(SEARCH("Party Name-",'R.M Billets Reports'!D1696)),TRIM(MID('R.M Billets Reports'!D1696,SEARCH("-",'R.M Billets Reports'!D1696)+1,200)),"")))="VRKP ISPAT PVT LTD","VRKP",IF(IF(IF(ISNUMBER(SEARCH("Party Name:-",'R.M Billets Reports'!D1695)),TRIM('R.M Billets Reports'!F1695),IF(ISNUMBER(SEARCH("Party Name-",'R.M Billets Reports'!D1695)),TRIM(MID('R.M Billets Reports'!D1695,SEARCH("-",'R.M Billets Reports'!D1695)+1,200)),""))&lt;&gt;"",IF(ISNUMBER(SEARCH("Party Name:-",'R.M Billets Reports'!D1695)),TRIM('R.M Billets Reports'!F1695),IF(ISNUMBER(SEARCH("Party Name-",'R.M Billets Reports'!D1695)),TRIM(MID('R.M Billets Reports'!D1695,SEARCH("-",'R.M Billets Reports'!D1695)+1,200)),"")),IF(ISNUMBER(SEARCH("Party Name:-",'R.M Billets Reports'!D1696)),TRIM('R.M Billets Reports'!F1696),IF(ISNUMBER(SEARCH("Party Name-",'R.M Billets Reports'!D1696)),TRIM(MID('R.M Billets Reports'!D1696,SEARCH("-",'R.M Billets Reports'!D1696)+1,200)),"")))="SHRI RADHE","SHREE RADHE",IF(IF(IF(ISNUMBER(SEARCH("Party Name:-",'R.M Billets Reports'!D1695)),TRIM('R.M Billets Reports'!F1695),IF(ISNUMBER(SEARCH("Party Name-",'R.M Billets Reports'!D1695)),TRIM(MID('R.M Billets Reports'!D1695,SEARCH("-",'R.M Billets Reports'!D1695)+1,200)),""))&lt;&gt;"",IF(ISNUMBER(SEARCH("Party Name:-",'R.M Billets Reports'!D1695)),TRIM('R.M Billets Reports'!F1695),IF(ISNUMBER(SEARCH("Party Name-",'R.M Billets Reports'!D1695)),TRIM(MID('R.M Billets Reports'!D1695,SEARCH("-",'R.M Billets Reports'!D1695)+1,200)),"")),IF(ISNUMBER(SEARCH("Party Name:-",'R.M Billets Reports'!D1696)),TRIM('R.M Billets Reports'!F1696),IF(ISNUMBER(SEARCH("Party Name-",'R.M Billets Reports'!D1696)),TRIM(MID('R.M Billets Reports'!D1696,SEARCH("-",'R.M Billets Reports'!D1696)+1,200)),"")))="SHREE RADHE SHAKTI SPONGE AND POWER PVT. LTD.","SHREE RADHE",IF(IF(ISNUMBER(SEARCH("Party Name:-",'R.M Billets Reports'!D1695)),TRIM('R.M Billets Reports'!F1695),IF(ISNUMBER(SEARCH("Party Name-",'R.M Billets Reports'!D1695)),TRIM(MID('R.M Billets Reports'!D1695,SEARCH("-",'R.M Billets Reports'!D1695)+1,200)),""))&lt;&gt;"",IF(ISNUMBER(SEARCH("Party Name:-",'R.M Billets Reports'!D1695)),TRIM('R.M Billets Reports'!F1695),IF(ISNUMBER(SEARCH("Party Name-",'R.M Billets Reports'!D1695)),TRIM(MID('R.M Billets Reports'!D1695,SEARCH("-",'R.M Billets Reports'!D1695)+1,200)),"")),IF(ISNUMBER(SEARCH("Party Name:-",'R.M Billets Reports'!D1696)),TRIM('R.M Billets Reports'!F1696),IF(ISNUMBER(SEARCH("Party Name-",'R.M Billets Reports'!D1696)),TRIM(MID('R.M Billets Reports'!D1696,SEARCH("-",'R.M Billets Reports'!D1696)+1,200)),"")))))),IF(ROW()=2,"",A1695))</f>
      </c>
      <c r="B1696">
        <f>IF(OR('R.M Billets Reports'!A1695="Date-",'R.M Billets Reports'!A1695="Date:-"),'R.M Billets Reports'!B1695,IF(ROW()=2,"",B1695))</f>
      </c>
      <c r="C1696">
        <f>IF('R.M Billets Reports'!A1695="V.No.",'R.M Billets Reports'!B1695,IF(ROW()=2,"",C1695))</f>
      </c>
      <c r="D1696">
        <f>IF('R.M Billets Reports'!A1695&lt;&gt;"",'R.M Billets Reports'!A1695,IF(ROW()=2,"",D1695))</f>
      </c>
      <c r="E1696">
        <f>IF('R.M Billets Reports'!B1695="","",TRIM('R.M Billets Reports'!B1695))</f>
      </c>
      <c r="F1696">
        <f>'R.M Billets Reports'!C1695</f>
      </c>
      <c r="G1696">
        <f>'R.M Billets Reports'!D1695</f>
      </c>
      <c r="H1696">
        <f>'R.M Billets Reports'!E1695</f>
      </c>
      <c r="I1696">
        <f>'R.M Billets Reports'!F1695</f>
      </c>
      <c r="J1696">
        <f>'R.M Billets Reports'!G1695</f>
      </c>
      <c r="K1696">
        <f>'R.M Billets Reports'!H1695</f>
      </c>
      <c r="L1696">
        <f>IF('R.M Billets Reports'!I1695="","",'R.M Billets Reports'!I1695)</f>
      </c>
      <c r="M1696">
        <f t="shared" si="52"/>
      </c>
      <c r="N1696">
        <f>IF('R.M Billets Reports'!J1695="","",'R.M Billets Reports'!J1695)</f>
      </c>
      <c r="O1696">
        <f t="shared" si="53"/>
      </c>
      <c r="P1696">
        <f>IF('R.M Billets Reports'!A1695="SIZE",'R.M Billets Reports'!B1695,P1695)</f>
      </c>
    </row>
    <row r="1697" spans="1:16" x14ac:dyDescent="0.25">
      <c r="A1697">
        <f>IF(OR('R.M Billets Reports'!A1696="Date-",'R.M Billets Reports'!A1696="Date:-"),IF(IF(IF(ISNUMBER(SEARCH("Party Name:-",'R.M Billets Reports'!D1696)),TRIM('R.M Billets Reports'!F1696),IF(ISNUMBER(SEARCH("Party Name-",'R.M Billets Reports'!D1696)),TRIM(MID('R.M Billets Reports'!D1696,SEARCH("-",'R.M Billets Reports'!D1696)+1,200)),""))&lt;&gt;"",IF(ISNUMBER(SEARCH("Party Name:-",'R.M Billets Reports'!D1696)),TRIM('R.M Billets Reports'!F1696),IF(ISNUMBER(SEARCH("Party Name-",'R.M Billets Reports'!D1696)),TRIM(MID('R.M Billets Reports'!D1696,SEARCH("-",'R.M Billets Reports'!D1696)+1,200)),"")),IF(ISNUMBER(SEARCH("Party Name:-",'R.M Billets Reports'!D1697)),TRIM('R.M Billets Reports'!F1697),IF(ISNUMBER(SEARCH("Party Name-",'R.M Billets Reports'!D1697)),TRIM(MID('R.M Billets Reports'!D1697,SEARCH("-",'R.M Billets Reports'!D1697)+1,200)),"")))="VRKP ISPAT PVT LTD","VRKP",IF(IF(IF(ISNUMBER(SEARCH("Party Name:-",'R.M Billets Reports'!D1696)),TRIM('R.M Billets Reports'!F1696),IF(ISNUMBER(SEARCH("Party Name-",'R.M Billets Reports'!D1696)),TRIM(MID('R.M Billets Reports'!D1696,SEARCH("-",'R.M Billets Reports'!D1696)+1,200)),""))&lt;&gt;"",IF(ISNUMBER(SEARCH("Party Name:-",'R.M Billets Reports'!D1696)),TRIM('R.M Billets Reports'!F1696),IF(ISNUMBER(SEARCH("Party Name-",'R.M Billets Reports'!D1696)),TRIM(MID('R.M Billets Reports'!D1696,SEARCH("-",'R.M Billets Reports'!D1696)+1,200)),"")),IF(ISNUMBER(SEARCH("Party Name:-",'R.M Billets Reports'!D1697)),TRIM('R.M Billets Reports'!F1697),IF(ISNUMBER(SEARCH("Party Name-",'R.M Billets Reports'!D1697)),TRIM(MID('R.M Billets Reports'!D1697,SEARCH("-",'R.M Billets Reports'!D1697)+1,200)),"")))="SHRI RADHE","SHREE RADHE",IF(IF(IF(ISNUMBER(SEARCH("Party Name:-",'R.M Billets Reports'!D1696)),TRIM('R.M Billets Reports'!F1696),IF(ISNUMBER(SEARCH("Party Name-",'R.M Billets Reports'!D1696)),TRIM(MID('R.M Billets Reports'!D1696,SEARCH("-",'R.M Billets Reports'!D1696)+1,200)),""))&lt;&gt;"",IF(ISNUMBER(SEARCH("Party Name:-",'R.M Billets Reports'!D1696)),TRIM('R.M Billets Reports'!F1696),IF(ISNUMBER(SEARCH("Party Name-",'R.M Billets Reports'!D1696)),TRIM(MID('R.M Billets Reports'!D1696,SEARCH("-",'R.M Billets Reports'!D1696)+1,200)),"")),IF(ISNUMBER(SEARCH("Party Name:-",'R.M Billets Reports'!D1697)),TRIM('R.M Billets Reports'!F1697),IF(ISNUMBER(SEARCH("Party Name-",'R.M Billets Reports'!D1697)),TRIM(MID('R.M Billets Reports'!D1697,SEARCH("-",'R.M Billets Reports'!D1697)+1,200)),"")))="SHREE RADHE SHAKTI SPONGE AND POWER PVT. LTD.","SHREE RADHE",IF(IF(ISNUMBER(SEARCH("Party Name:-",'R.M Billets Reports'!D1696)),TRIM('R.M Billets Reports'!F1696),IF(ISNUMBER(SEARCH("Party Name-",'R.M Billets Reports'!D1696)),TRIM(MID('R.M Billets Reports'!D1696,SEARCH("-",'R.M Billets Reports'!D1696)+1,200)),""))&lt;&gt;"",IF(ISNUMBER(SEARCH("Party Name:-",'R.M Billets Reports'!D1696)),TRIM('R.M Billets Reports'!F1696),IF(ISNUMBER(SEARCH("Party Name-",'R.M Billets Reports'!D1696)),TRIM(MID('R.M Billets Reports'!D1696,SEARCH("-",'R.M Billets Reports'!D1696)+1,200)),"")),IF(ISNUMBER(SEARCH("Party Name:-",'R.M Billets Reports'!D1697)),TRIM('R.M Billets Reports'!F1697),IF(ISNUMBER(SEARCH("Party Name-",'R.M Billets Reports'!D1697)),TRIM(MID('R.M Billets Reports'!D1697,SEARCH("-",'R.M Billets Reports'!D1697)+1,200)),"")))))),IF(ROW()=2,"",A1696))</f>
      </c>
      <c r="B1697">
        <f>IF(OR('R.M Billets Reports'!A1696="Date-",'R.M Billets Reports'!A1696="Date:-"),'R.M Billets Reports'!B1696,IF(ROW()=2,"",B1696))</f>
      </c>
      <c r="C1697">
        <f>IF('R.M Billets Reports'!A1696="V.No.",'R.M Billets Reports'!B1696,IF(ROW()=2,"",C1696))</f>
      </c>
      <c r="D1697">
        <f>IF('R.M Billets Reports'!A1696&lt;&gt;"",'R.M Billets Reports'!A1696,IF(ROW()=2,"",D1696))</f>
      </c>
      <c r="E1697">
        <f>IF('R.M Billets Reports'!B1696="","",TRIM('R.M Billets Reports'!B1696))</f>
      </c>
      <c r="F1697">
        <f>'R.M Billets Reports'!C1696</f>
      </c>
      <c r="G1697">
        <f>'R.M Billets Reports'!D1696</f>
      </c>
      <c r="H1697">
        <f>'R.M Billets Reports'!E1696</f>
      </c>
      <c r="I1697">
        <f>'R.M Billets Reports'!F1696</f>
      </c>
      <c r="J1697">
        <f>'R.M Billets Reports'!G1696</f>
      </c>
      <c r="K1697">
        <f>'R.M Billets Reports'!H1696</f>
      </c>
      <c r="L1697">
        <f>IF('R.M Billets Reports'!I1696="","",'R.M Billets Reports'!I1696)</f>
      </c>
      <c r="M1697">
        <f t="shared" si="52"/>
      </c>
      <c r="N1697">
        <f>IF('R.M Billets Reports'!J1696="","",'R.M Billets Reports'!J1696)</f>
      </c>
      <c r="O1697">
        <f t="shared" si="53"/>
      </c>
      <c r="P1697">
        <f>IF('R.M Billets Reports'!A1696="SIZE",'R.M Billets Reports'!B1696,P1696)</f>
      </c>
    </row>
    <row r="1698" spans="1:16" x14ac:dyDescent="0.25">
      <c r="A1698">
        <f>IF(OR('R.M Billets Reports'!A1697="Date-",'R.M Billets Reports'!A1697="Date:-"),IF(IF(IF(ISNUMBER(SEARCH("Party Name:-",'R.M Billets Reports'!D1697)),TRIM('R.M Billets Reports'!F1697),IF(ISNUMBER(SEARCH("Party Name-",'R.M Billets Reports'!D1697)),TRIM(MID('R.M Billets Reports'!D1697,SEARCH("-",'R.M Billets Reports'!D1697)+1,200)),""))&lt;&gt;"",IF(ISNUMBER(SEARCH("Party Name:-",'R.M Billets Reports'!D1697)),TRIM('R.M Billets Reports'!F1697),IF(ISNUMBER(SEARCH("Party Name-",'R.M Billets Reports'!D1697)),TRIM(MID('R.M Billets Reports'!D1697,SEARCH("-",'R.M Billets Reports'!D1697)+1,200)),"")),IF(ISNUMBER(SEARCH("Party Name:-",'R.M Billets Reports'!D1698)),TRIM('R.M Billets Reports'!F1698),IF(ISNUMBER(SEARCH("Party Name-",'R.M Billets Reports'!D1698)),TRIM(MID('R.M Billets Reports'!D1698,SEARCH("-",'R.M Billets Reports'!D1698)+1,200)),"")))="VRKP ISPAT PVT LTD","VRKP",IF(IF(IF(ISNUMBER(SEARCH("Party Name:-",'R.M Billets Reports'!D1697)),TRIM('R.M Billets Reports'!F1697),IF(ISNUMBER(SEARCH("Party Name-",'R.M Billets Reports'!D1697)),TRIM(MID('R.M Billets Reports'!D1697,SEARCH("-",'R.M Billets Reports'!D1697)+1,200)),""))&lt;&gt;"",IF(ISNUMBER(SEARCH("Party Name:-",'R.M Billets Reports'!D1697)),TRIM('R.M Billets Reports'!F1697),IF(ISNUMBER(SEARCH("Party Name-",'R.M Billets Reports'!D1697)),TRIM(MID('R.M Billets Reports'!D1697,SEARCH("-",'R.M Billets Reports'!D1697)+1,200)),"")),IF(ISNUMBER(SEARCH("Party Name:-",'R.M Billets Reports'!D1698)),TRIM('R.M Billets Reports'!F1698),IF(ISNUMBER(SEARCH("Party Name-",'R.M Billets Reports'!D1698)),TRIM(MID('R.M Billets Reports'!D1698,SEARCH("-",'R.M Billets Reports'!D1698)+1,200)),"")))="SHRI RADHE","SHREE RADHE",IF(IF(IF(ISNUMBER(SEARCH("Party Name:-",'R.M Billets Reports'!D1697)),TRIM('R.M Billets Reports'!F1697),IF(ISNUMBER(SEARCH("Party Name-",'R.M Billets Reports'!D1697)),TRIM(MID('R.M Billets Reports'!D1697,SEARCH("-",'R.M Billets Reports'!D1697)+1,200)),""))&lt;&gt;"",IF(ISNUMBER(SEARCH("Party Name:-",'R.M Billets Reports'!D1697)),TRIM('R.M Billets Reports'!F1697),IF(ISNUMBER(SEARCH("Party Name-",'R.M Billets Reports'!D1697)),TRIM(MID('R.M Billets Reports'!D1697,SEARCH("-",'R.M Billets Reports'!D1697)+1,200)),"")),IF(ISNUMBER(SEARCH("Party Name:-",'R.M Billets Reports'!D1698)),TRIM('R.M Billets Reports'!F1698),IF(ISNUMBER(SEARCH("Party Name-",'R.M Billets Reports'!D1698)),TRIM(MID('R.M Billets Reports'!D1698,SEARCH("-",'R.M Billets Reports'!D1698)+1,200)),"")))="SHREE RADHE SHAKTI SPONGE AND POWER PVT. LTD.","SHREE RADHE",IF(IF(ISNUMBER(SEARCH("Party Name:-",'R.M Billets Reports'!D1697)),TRIM('R.M Billets Reports'!F1697),IF(ISNUMBER(SEARCH("Party Name-",'R.M Billets Reports'!D1697)),TRIM(MID('R.M Billets Reports'!D1697,SEARCH("-",'R.M Billets Reports'!D1697)+1,200)),""))&lt;&gt;"",IF(ISNUMBER(SEARCH("Party Name:-",'R.M Billets Reports'!D1697)),TRIM('R.M Billets Reports'!F1697),IF(ISNUMBER(SEARCH("Party Name-",'R.M Billets Reports'!D1697)),TRIM(MID('R.M Billets Reports'!D1697,SEARCH("-",'R.M Billets Reports'!D1697)+1,200)),"")),IF(ISNUMBER(SEARCH("Party Name:-",'R.M Billets Reports'!D1698)),TRIM('R.M Billets Reports'!F1698),IF(ISNUMBER(SEARCH("Party Name-",'R.M Billets Reports'!D1698)),TRIM(MID('R.M Billets Reports'!D1698,SEARCH("-",'R.M Billets Reports'!D1698)+1,200)),"")))))),IF(ROW()=2,"",A1697))</f>
      </c>
      <c r="B1698">
        <f>IF(OR('R.M Billets Reports'!A1697="Date-",'R.M Billets Reports'!A1697="Date:-"),'R.M Billets Reports'!B1697,IF(ROW()=2,"",B1697))</f>
      </c>
      <c r="C1698">
        <f>IF('R.M Billets Reports'!A1697="V.No.",'R.M Billets Reports'!B1697,IF(ROW()=2,"",C1697))</f>
      </c>
      <c r="D1698">
        <f>IF('R.M Billets Reports'!A1697&lt;&gt;"",'R.M Billets Reports'!A1697,IF(ROW()=2,"",D1697))</f>
      </c>
      <c r="E1698">
        <f>IF('R.M Billets Reports'!B1697="","",TRIM('R.M Billets Reports'!B1697))</f>
      </c>
      <c r="F1698">
        <f>'R.M Billets Reports'!C1697</f>
      </c>
      <c r="G1698">
        <f>'R.M Billets Reports'!D1697</f>
      </c>
      <c r="H1698">
        <f>'R.M Billets Reports'!E1697</f>
      </c>
      <c r="I1698">
        <f>'R.M Billets Reports'!F1697</f>
      </c>
      <c r="J1698">
        <f>'R.M Billets Reports'!G1697</f>
      </c>
      <c r="K1698">
        <f>'R.M Billets Reports'!H1697</f>
      </c>
      <c r="L1698">
        <f>IF('R.M Billets Reports'!I1697="","",'R.M Billets Reports'!I1697)</f>
      </c>
      <c r="M1698">
        <f t="shared" si="52"/>
      </c>
      <c r="N1698">
        <f>IF('R.M Billets Reports'!J1697="","",'R.M Billets Reports'!J1697)</f>
      </c>
      <c r="O1698">
        <f t="shared" si="53"/>
      </c>
      <c r="P1698">
        <f>IF('R.M Billets Reports'!A1697="SIZE",'R.M Billets Reports'!B1697,P1697)</f>
      </c>
    </row>
    <row r="1699" spans="1:16" x14ac:dyDescent="0.25">
      <c r="A1699">
        <f>IF(OR('R.M Billets Reports'!A1698="Date-",'R.M Billets Reports'!A1698="Date:-"),IF(IF(IF(ISNUMBER(SEARCH("Party Name:-",'R.M Billets Reports'!D1698)),TRIM('R.M Billets Reports'!F1698),IF(ISNUMBER(SEARCH("Party Name-",'R.M Billets Reports'!D1698)),TRIM(MID('R.M Billets Reports'!D1698,SEARCH("-",'R.M Billets Reports'!D1698)+1,200)),""))&lt;&gt;"",IF(ISNUMBER(SEARCH("Party Name:-",'R.M Billets Reports'!D1698)),TRIM('R.M Billets Reports'!F1698),IF(ISNUMBER(SEARCH("Party Name-",'R.M Billets Reports'!D1698)),TRIM(MID('R.M Billets Reports'!D1698,SEARCH("-",'R.M Billets Reports'!D1698)+1,200)),"")),IF(ISNUMBER(SEARCH("Party Name:-",'R.M Billets Reports'!D1699)),TRIM('R.M Billets Reports'!F1699),IF(ISNUMBER(SEARCH("Party Name-",'R.M Billets Reports'!D1699)),TRIM(MID('R.M Billets Reports'!D1699,SEARCH("-",'R.M Billets Reports'!D1699)+1,200)),"")))="VRKP ISPAT PVT LTD","VRKP",IF(IF(IF(ISNUMBER(SEARCH("Party Name:-",'R.M Billets Reports'!D1698)),TRIM('R.M Billets Reports'!F1698),IF(ISNUMBER(SEARCH("Party Name-",'R.M Billets Reports'!D1698)),TRIM(MID('R.M Billets Reports'!D1698,SEARCH("-",'R.M Billets Reports'!D1698)+1,200)),""))&lt;&gt;"",IF(ISNUMBER(SEARCH("Party Name:-",'R.M Billets Reports'!D1698)),TRIM('R.M Billets Reports'!F1698),IF(ISNUMBER(SEARCH("Party Name-",'R.M Billets Reports'!D1698)),TRIM(MID('R.M Billets Reports'!D1698,SEARCH("-",'R.M Billets Reports'!D1698)+1,200)),"")),IF(ISNUMBER(SEARCH("Party Name:-",'R.M Billets Reports'!D1699)),TRIM('R.M Billets Reports'!F1699),IF(ISNUMBER(SEARCH("Party Name-",'R.M Billets Reports'!D1699)),TRIM(MID('R.M Billets Reports'!D1699,SEARCH("-",'R.M Billets Reports'!D1699)+1,200)),"")))="SHRI RADHE","SHREE RADHE",IF(IF(IF(ISNUMBER(SEARCH("Party Name:-",'R.M Billets Reports'!D1698)),TRIM('R.M Billets Reports'!F1698),IF(ISNUMBER(SEARCH("Party Name-",'R.M Billets Reports'!D1698)),TRIM(MID('R.M Billets Reports'!D1698,SEARCH("-",'R.M Billets Reports'!D1698)+1,200)),""))&lt;&gt;"",IF(ISNUMBER(SEARCH("Party Name:-",'R.M Billets Reports'!D1698)),TRIM('R.M Billets Reports'!F1698),IF(ISNUMBER(SEARCH("Party Name-",'R.M Billets Reports'!D1698)),TRIM(MID('R.M Billets Reports'!D1698,SEARCH("-",'R.M Billets Reports'!D1698)+1,200)),"")),IF(ISNUMBER(SEARCH("Party Name:-",'R.M Billets Reports'!D1699)),TRIM('R.M Billets Reports'!F1699),IF(ISNUMBER(SEARCH("Party Name-",'R.M Billets Reports'!D1699)),TRIM(MID('R.M Billets Reports'!D1699,SEARCH("-",'R.M Billets Reports'!D1699)+1,200)),"")))="SHREE RADHE SHAKTI SPONGE AND POWER PVT. LTD.","SHREE RADHE",IF(IF(ISNUMBER(SEARCH("Party Name:-",'R.M Billets Reports'!D1698)),TRIM('R.M Billets Reports'!F1698),IF(ISNUMBER(SEARCH("Party Name-",'R.M Billets Reports'!D1698)),TRIM(MID('R.M Billets Reports'!D1698,SEARCH("-",'R.M Billets Reports'!D1698)+1,200)),""))&lt;&gt;"",IF(ISNUMBER(SEARCH("Party Name:-",'R.M Billets Reports'!D1698)),TRIM('R.M Billets Reports'!F1698),IF(ISNUMBER(SEARCH("Party Name-",'R.M Billets Reports'!D1698)),TRIM(MID('R.M Billets Reports'!D1698,SEARCH("-",'R.M Billets Reports'!D1698)+1,200)),"")),IF(ISNUMBER(SEARCH("Party Name:-",'R.M Billets Reports'!D1699)),TRIM('R.M Billets Reports'!F1699),IF(ISNUMBER(SEARCH("Party Name-",'R.M Billets Reports'!D1699)),TRIM(MID('R.M Billets Reports'!D1699,SEARCH("-",'R.M Billets Reports'!D1699)+1,200)),"")))))),IF(ROW()=2,"",A1698))</f>
      </c>
      <c r="B1699">
        <f>IF(OR('R.M Billets Reports'!A1698="Date-",'R.M Billets Reports'!A1698="Date:-"),'R.M Billets Reports'!B1698,IF(ROW()=2,"",B1698))</f>
      </c>
      <c r="C1699">
        <f>IF('R.M Billets Reports'!A1698="V.No.",'R.M Billets Reports'!B1698,IF(ROW()=2,"",C1698))</f>
      </c>
      <c r="D1699">
        <f>IF('R.M Billets Reports'!A1698&lt;&gt;"",'R.M Billets Reports'!A1698,IF(ROW()=2,"",D1698))</f>
      </c>
      <c r="E1699">
        <f>IF('R.M Billets Reports'!B1698="","",TRIM('R.M Billets Reports'!B1698))</f>
      </c>
      <c r="F1699">
        <f>'R.M Billets Reports'!C1698</f>
      </c>
      <c r="G1699">
        <f>'R.M Billets Reports'!D1698</f>
      </c>
      <c r="H1699">
        <f>'R.M Billets Reports'!E1698</f>
      </c>
      <c r="I1699">
        <f>'R.M Billets Reports'!F1698</f>
      </c>
      <c r="J1699">
        <f>'R.M Billets Reports'!G1698</f>
      </c>
      <c r="K1699">
        <f>'R.M Billets Reports'!H1698</f>
      </c>
      <c r="L1699">
        <f>IF('R.M Billets Reports'!I1698="","",'R.M Billets Reports'!I1698)</f>
      </c>
      <c r="M1699">
        <f t="shared" si="52"/>
      </c>
      <c r="N1699">
        <f>IF('R.M Billets Reports'!J1698="","",'R.M Billets Reports'!J1698)</f>
      </c>
      <c r="O1699">
        <f t="shared" si="53"/>
      </c>
      <c r="P1699">
        <f>IF('R.M Billets Reports'!A1698="SIZE",'R.M Billets Reports'!B1698,P1698)</f>
      </c>
    </row>
    <row r="1700" spans="1:16" x14ac:dyDescent="0.25">
      <c r="A1700">
        <f>IF(OR('R.M Billets Reports'!A1699="Date-",'R.M Billets Reports'!A1699="Date:-"),IF(IF(IF(ISNUMBER(SEARCH("Party Name:-",'R.M Billets Reports'!D1699)),TRIM('R.M Billets Reports'!F1699),IF(ISNUMBER(SEARCH("Party Name-",'R.M Billets Reports'!D1699)),TRIM(MID('R.M Billets Reports'!D1699,SEARCH("-",'R.M Billets Reports'!D1699)+1,200)),""))&lt;&gt;"",IF(ISNUMBER(SEARCH("Party Name:-",'R.M Billets Reports'!D1699)),TRIM('R.M Billets Reports'!F1699),IF(ISNUMBER(SEARCH("Party Name-",'R.M Billets Reports'!D1699)),TRIM(MID('R.M Billets Reports'!D1699,SEARCH("-",'R.M Billets Reports'!D1699)+1,200)),"")),IF(ISNUMBER(SEARCH("Party Name:-",'R.M Billets Reports'!D1700)),TRIM('R.M Billets Reports'!F1700),IF(ISNUMBER(SEARCH("Party Name-",'R.M Billets Reports'!D1700)),TRIM(MID('R.M Billets Reports'!D1700,SEARCH("-",'R.M Billets Reports'!D1700)+1,200)),"")))="VRKP ISPAT PVT LTD","VRKP",IF(IF(IF(ISNUMBER(SEARCH("Party Name:-",'R.M Billets Reports'!D1699)),TRIM('R.M Billets Reports'!F1699),IF(ISNUMBER(SEARCH("Party Name-",'R.M Billets Reports'!D1699)),TRIM(MID('R.M Billets Reports'!D1699,SEARCH("-",'R.M Billets Reports'!D1699)+1,200)),""))&lt;&gt;"",IF(ISNUMBER(SEARCH("Party Name:-",'R.M Billets Reports'!D1699)),TRIM('R.M Billets Reports'!F1699),IF(ISNUMBER(SEARCH("Party Name-",'R.M Billets Reports'!D1699)),TRIM(MID('R.M Billets Reports'!D1699,SEARCH("-",'R.M Billets Reports'!D1699)+1,200)),"")),IF(ISNUMBER(SEARCH("Party Name:-",'R.M Billets Reports'!D1700)),TRIM('R.M Billets Reports'!F1700),IF(ISNUMBER(SEARCH("Party Name-",'R.M Billets Reports'!D1700)),TRIM(MID('R.M Billets Reports'!D1700,SEARCH("-",'R.M Billets Reports'!D1700)+1,200)),"")))="SHRI RADHE","SHREE RADHE",IF(IF(IF(ISNUMBER(SEARCH("Party Name:-",'R.M Billets Reports'!D1699)),TRIM('R.M Billets Reports'!F1699),IF(ISNUMBER(SEARCH("Party Name-",'R.M Billets Reports'!D1699)),TRIM(MID('R.M Billets Reports'!D1699,SEARCH("-",'R.M Billets Reports'!D1699)+1,200)),""))&lt;&gt;"",IF(ISNUMBER(SEARCH("Party Name:-",'R.M Billets Reports'!D1699)),TRIM('R.M Billets Reports'!F1699),IF(ISNUMBER(SEARCH("Party Name-",'R.M Billets Reports'!D1699)),TRIM(MID('R.M Billets Reports'!D1699,SEARCH("-",'R.M Billets Reports'!D1699)+1,200)),"")),IF(ISNUMBER(SEARCH("Party Name:-",'R.M Billets Reports'!D1700)),TRIM('R.M Billets Reports'!F1700),IF(ISNUMBER(SEARCH("Party Name-",'R.M Billets Reports'!D1700)),TRIM(MID('R.M Billets Reports'!D1700,SEARCH("-",'R.M Billets Reports'!D1700)+1,200)),"")))="SHREE RADHE SHAKTI SPONGE AND POWER PVT. LTD.","SHREE RADHE",IF(IF(ISNUMBER(SEARCH("Party Name:-",'R.M Billets Reports'!D1699)),TRIM('R.M Billets Reports'!F1699),IF(ISNUMBER(SEARCH("Party Name-",'R.M Billets Reports'!D1699)),TRIM(MID('R.M Billets Reports'!D1699,SEARCH("-",'R.M Billets Reports'!D1699)+1,200)),""))&lt;&gt;"",IF(ISNUMBER(SEARCH("Party Name:-",'R.M Billets Reports'!D1699)),TRIM('R.M Billets Reports'!F1699),IF(ISNUMBER(SEARCH("Party Name-",'R.M Billets Reports'!D1699)),TRIM(MID('R.M Billets Reports'!D1699,SEARCH("-",'R.M Billets Reports'!D1699)+1,200)),"")),IF(ISNUMBER(SEARCH("Party Name:-",'R.M Billets Reports'!D1700)),TRIM('R.M Billets Reports'!F1700),IF(ISNUMBER(SEARCH("Party Name-",'R.M Billets Reports'!D1700)),TRIM(MID('R.M Billets Reports'!D1700,SEARCH("-",'R.M Billets Reports'!D1700)+1,200)),"")))))),IF(ROW()=2,"",A1699))</f>
      </c>
      <c r="B1700">
        <f>IF(OR('R.M Billets Reports'!A1699="Date-",'R.M Billets Reports'!A1699="Date:-"),'R.M Billets Reports'!B1699,IF(ROW()=2,"",B1699))</f>
      </c>
      <c r="C1700">
        <f>IF('R.M Billets Reports'!A1699="V.No.",'R.M Billets Reports'!B1699,IF(ROW()=2,"",C1699))</f>
      </c>
      <c r="D1700">
        <f>IF('R.M Billets Reports'!A1699&lt;&gt;"",'R.M Billets Reports'!A1699,IF(ROW()=2,"",D1699))</f>
      </c>
      <c r="E1700">
        <f>IF('R.M Billets Reports'!B1699="","",TRIM('R.M Billets Reports'!B1699))</f>
      </c>
      <c r="F1700">
        <f>'R.M Billets Reports'!C1699</f>
      </c>
      <c r="G1700">
        <f>'R.M Billets Reports'!D1699</f>
      </c>
      <c r="H1700">
        <f>'R.M Billets Reports'!E1699</f>
      </c>
      <c r="I1700">
        <f>'R.M Billets Reports'!F1699</f>
      </c>
      <c r="J1700">
        <f>'R.M Billets Reports'!G1699</f>
      </c>
      <c r="K1700">
        <f>'R.M Billets Reports'!H1699</f>
      </c>
      <c r="L1700">
        <f>IF('R.M Billets Reports'!I1699="","",'R.M Billets Reports'!I1699)</f>
      </c>
      <c r="M1700">
        <f t="shared" si="52"/>
      </c>
      <c r="N1700">
        <f>IF('R.M Billets Reports'!J1699="","",'R.M Billets Reports'!J1699)</f>
      </c>
      <c r="O1700">
        <f t="shared" si="53"/>
      </c>
      <c r="P1700">
        <f>IF('R.M Billets Reports'!A1699="SIZE",'R.M Billets Reports'!B1699,P1699)</f>
      </c>
    </row>
    <row r="1701" spans="1:16" x14ac:dyDescent="0.25">
      <c r="A1701">
        <f>IF(OR('R.M Billets Reports'!A1700="Date-",'R.M Billets Reports'!A1700="Date:-"),IF(IF(IF(ISNUMBER(SEARCH("Party Name:-",'R.M Billets Reports'!D1700)),TRIM('R.M Billets Reports'!F1700),IF(ISNUMBER(SEARCH("Party Name-",'R.M Billets Reports'!D1700)),TRIM(MID('R.M Billets Reports'!D1700,SEARCH("-",'R.M Billets Reports'!D1700)+1,200)),""))&lt;&gt;"",IF(ISNUMBER(SEARCH("Party Name:-",'R.M Billets Reports'!D1700)),TRIM('R.M Billets Reports'!F1700),IF(ISNUMBER(SEARCH("Party Name-",'R.M Billets Reports'!D1700)),TRIM(MID('R.M Billets Reports'!D1700,SEARCH("-",'R.M Billets Reports'!D1700)+1,200)),"")),IF(ISNUMBER(SEARCH("Party Name:-",'R.M Billets Reports'!D1701)),TRIM('R.M Billets Reports'!F1701),IF(ISNUMBER(SEARCH("Party Name-",'R.M Billets Reports'!D1701)),TRIM(MID('R.M Billets Reports'!D1701,SEARCH("-",'R.M Billets Reports'!D1701)+1,200)),"")))="VRKP ISPAT PVT LTD","VRKP",IF(IF(IF(ISNUMBER(SEARCH("Party Name:-",'R.M Billets Reports'!D1700)),TRIM('R.M Billets Reports'!F1700),IF(ISNUMBER(SEARCH("Party Name-",'R.M Billets Reports'!D1700)),TRIM(MID('R.M Billets Reports'!D1700,SEARCH("-",'R.M Billets Reports'!D1700)+1,200)),""))&lt;&gt;"",IF(ISNUMBER(SEARCH("Party Name:-",'R.M Billets Reports'!D1700)),TRIM('R.M Billets Reports'!F1700),IF(ISNUMBER(SEARCH("Party Name-",'R.M Billets Reports'!D1700)),TRIM(MID('R.M Billets Reports'!D1700,SEARCH("-",'R.M Billets Reports'!D1700)+1,200)),"")),IF(ISNUMBER(SEARCH("Party Name:-",'R.M Billets Reports'!D1701)),TRIM('R.M Billets Reports'!F1701),IF(ISNUMBER(SEARCH("Party Name-",'R.M Billets Reports'!D1701)),TRIM(MID('R.M Billets Reports'!D1701,SEARCH("-",'R.M Billets Reports'!D1701)+1,200)),"")))="SHRI RADHE","SHREE RADHE",IF(IF(IF(ISNUMBER(SEARCH("Party Name:-",'R.M Billets Reports'!D1700)),TRIM('R.M Billets Reports'!F1700),IF(ISNUMBER(SEARCH("Party Name-",'R.M Billets Reports'!D1700)),TRIM(MID('R.M Billets Reports'!D1700,SEARCH("-",'R.M Billets Reports'!D1700)+1,200)),""))&lt;&gt;"",IF(ISNUMBER(SEARCH("Party Name:-",'R.M Billets Reports'!D1700)),TRIM('R.M Billets Reports'!F1700),IF(ISNUMBER(SEARCH("Party Name-",'R.M Billets Reports'!D1700)),TRIM(MID('R.M Billets Reports'!D1700,SEARCH("-",'R.M Billets Reports'!D1700)+1,200)),"")),IF(ISNUMBER(SEARCH("Party Name:-",'R.M Billets Reports'!D1701)),TRIM('R.M Billets Reports'!F1701),IF(ISNUMBER(SEARCH("Party Name-",'R.M Billets Reports'!D1701)),TRIM(MID('R.M Billets Reports'!D1701,SEARCH("-",'R.M Billets Reports'!D1701)+1,200)),"")))="SHREE RADHE SHAKTI SPONGE AND POWER PVT. LTD.","SHREE RADHE",IF(IF(ISNUMBER(SEARCH("Party Name:-",'R.M Billets Reports'!D1700)),TRIM('R.M Billets Reports'!F1700),IF(ISNUMBER(SEARCH("Party Name-",'R.M Billets Reports'!D1700)),TRIM(MID('R.M Billets Reports'!D1700,SEARCH("-",'R.M Billets Reports'!D1700)+1,200)),""))&lt;&gt;"",IF(ISNUMBER(SEARCH("Party Name:-",'R.M Billets Reports'!D1700)),TRIM('R.M Billets Reports'!F1700),IF(ISNUMBER(SEARCH("Party Name-",'R.M Billets Reports'!D1700)),TRIM(MID('R.M Billets Reports'!D1700,SEARCH("-",'R.M Billets Reports'!D1700)+1,200)),"")),IF(ISNUMBER(SEARCH("Party Name:-",'R.M Billets Reports'!D1701)),TRIM('R.M Billets Reports'!F1701),IF(ISNUMBER(SEARCH("Party Name-",'R.M Billets Reports'!D1701)),TRIM(MID('R.M Billets Reports'!D1701,SEARCH("-",'R.M Billets Reports'!D1701)+1,200)),"")))))),IF(ROW()=2,"",A1700))</f>
      </c>
      <c r="B1701">
        <f>IF(OR('R.M Billets Reports'!A1700="Date-",'R.M Billets Reports'!A1700="Date:-"),'R.M Billets Reports'!B1700,IF(ROW()=2,"",B1700))</f>
      </c>
      <c r="C1701">
        <f>IF('R.M Billets Reports'!A1700="V.No.",'R.M Billets Reports'!B1700,IF(ROW()=2,"",C1700))</f>
      </c>
      <c r="D1701">
        <f>IF('R.M Billets Reports'!A1700&lt;&gt;"",'R.M Billets Reports'!A1700,IF(ROW()=2,"",D1700))</f>
      </c>
      <c r="E1701">
        <f>IF('R.M Billets Reports'!B1700="","",TRIM('R.M Billets Reports'!B1700))</f>
      </c>
      <c r="F1701">
        <f>'R.M Billets Reports'!C1700</f>
      </c>
      <c r="G1701">
        <f>'R.M Billets Reports'!D1700</f>
      </c>
      <c r="H1701">
        <f>'R.M Billets Reports'!E1700</f>
      </c>
      <c r="I1701">
        <f>'R.M Billets Reports'!F1700</f>
      </c>
      <c r="J1701">
        <f>'R.M Billets Reports'!G1700</f>
      </c>
      <c r="K1701">
        <f>'R.M Billets Reports'!H1700</f>
      </c>
      <c r="L1701">
        <f>IF('R.M Billets Reports'!I1700="","",'R.M Billets Reports'!I1700)</f>
      </c>
      <c r="M1701">
        <f t="shared" si="52"/>
      </c>
      <c r="N1701">
        <f>IF('R.M Billets Reports'!J1700="","",'R.M Billets Reports'!J1700)</f>
      </c>
      <c r="O1701">
        <f t="shared" si="53"/>
      </c>
      <c r="P1701">
        <f>IF('R.M Billets Reports'!A1700="SIZE",'R.M Billets Reports'!B1700,P1700)</f>
      </c>
    </row>
    <row r="1702" spans="1:16" x14ac:dyDescent="0.25">
      <c r="A1702">
        <f>IF(OR('R.M Billets Reports'!A1701="Date-",'R.M Billets Reports'!A1701="Date:-"),IF(IF(IF(ISNUMBER(SEARCH("Party Name:-",'R.M Billets Reports'!D1701)),TRIM('R.M Billets Reports'!F1701),IF(ISNUMBER(SEARCH("Party Name-",'R.M Billets Reports'!D1701)),TRIM(MID('R.M Billets Reports'!D1701,SEARCH("-",'R.M Billets Reports'!D1701)+1,200)),""))&lt;&gt;"",IF(ISNUMBER(SEARCH("Party Name:-",'R.M Billets Reports'!D1701)),TRIM('R.M Billets Reports'!F1701),IF(ISNUMBER(SEARCH("Party Name-",'R.M Billets Reports'!D1701)),TRIM(MID('R.M Billets Reports'!D1701,SEARCH("-",'R.M Billets Reports'!D1701)+1,200)),"")),IF(ISNUMBER(SEARCH("Party Name:-",'R.M Billets Reports'!D1702)),TRIM('R.M Billets Reports'!F1702),IF(ISNUMBER(SEARCH("Party Name-",'R.M Billets Reports'!D1702)),TRIM(MID('R.M Billets Reports'!D1702,SEARCH("-",'R.M Billets Reports'!D1702)+1,200)),"")))="VRKP ISPAT PVT LTD","VRKP",IF(IF(IF(ISNUMBER(SEARCH("Party Name:-",'R.M Billets Reports'!D1701)),TRIM('R.M Billets Reports'!F1701),IF(ISNUMBER(SEARCH("Party Name-",'R.M Billets Reports'!D1701)),TRIM(MID('R.M Billets Reports'!D1701,SEARCH("-",'R.M Billets Reports'!D1701)+1,200)),""))&lt;&gt;"",IF(ISNUMBER(SEARCH("Party Name:-",'R.M Billets Reports'!D1701)),TRIM('R.M Billets Reports'!F1701),IF(ISNUMBER(SEARCH("Party Name-",'R.M Billets Reports'!D1701)),TRIM(MID('R.M Billets Reports'!D1701,SEARCH("-",'R.M Billets Reports'!D1701)+1,200)),"")),IF(ISNUMBER(SEARCH("Party Name:-",'R.M Billets Reports'!D1702)),TRIM('R.M Billets Reports'!F1702),IF(ISNUMBER(SEARCH("Party Name-",'R.M Billets Reports'!D1702)),TRIM(MID('R.M Billets Reports'!D1702,SEARCH("-",'R.M Billets Reports'!D1702)+1,200)),"")))="SHRI RADHE","SHREE RADHE",IF(IF(IF(ISNUMBER(SEARCH("Party Name:-",'R.M Billets Reports'!D1701)),TRIM('R.M Billets Reports'!F1701),IF(ISNUMBER(SEARCH("Party Name-",'R.M Billets Reports'!D1701)),TRIM(MID('R.M Billets Reports'!D1701,SEARCH("-",'R.M Billets Reports'!D1701)+1,200)),""))&lt;&gt;"",IF(ISNUMBER(SEARCH("Party Name:-",'R.M Billets Reports'!D1701)),TRIM('R.M Billets Reports'!F1701),IF(ISNUMBER(SEARCH("Party Name-",'R.M Billets Reports'!D1701)),TRIM(MID('R.M Billets Reports'!D1701,SEARCH("-",'R.M Billets Reports'!D1701)+1,200)),"")),IF(ISNUMBER(SEARCH("Party Name:-",'R.M Billets Reports'!D1702)),TRIM('R.M Billets Reports'!F1702),IF(ISNUMBER(SEARCH("Party Name-",'R.M Billets Reports'!D1702)),TRIM(MID('R.M Billets Reports'!D1702,SEARCH("-",'R.M Billets Reports'!D1702)+1,200)),"")))="SHREE RADHE SHAKTI SPONGE AND POWER PVT. LTD.","SHREE RADHE",IF(IF(ISNUMBER(SEARCH("Party Name:-",'R.M Billets Reports'!D1701)),TRIM('R.M Billets Reports'!F1701),IF(ISNUMBER(SEARCH("Party Name-",'R.M Billets Reports'!D1701)),TRIM(MID('R.M Billets Reports'!D1701,SEARCH("-",'R.M Billets Reports'!D1701)+1,200)),""))&lt;&gt;"",IF(ISNUMBER(SEARCH("Party Name:-",'R.M Billets Reports'!D1701)),TRIM('R.M Billets Reports'!F1701),IF(ISNUMBER(SEARCH("Party Name-",'R.M Billets Reports'!D1701)),TRIM(MID('R.M Billets Reports'!D1701,SEARCH("-",'R.M Billets Reports'!D1701)+1,200)),"")),IF(ISNUMBER(SEARCH("Party Name:-",'R.M Billets Reports'!D1702)),TRIM('R.M Billets Reports'!F1702),IF(ISNUMBER(SEARCH("Party Name-",'R.M Billets Reports'!D1702)),TRIM(MID('R.M Billets Reports'!D1702,SEARCH("-",'R.M Billets Reports'!D1702)+1,200)),"")))))),IF(ROW()=2,"",A1701))</f>
      </c>
      <c r="B1702">
        <f>IF(OR('R.M Billets Reports'!A1701="Date-",'R.M Billets Reports'!A1701="Date:-"),'R.M Billets Reports'!B1701,IF(ROW()=2,"",B1701))</f>
      </c>
      <c r="C1702">
        <f>IF('R.M Billets Reports'!A1701="V.No.",'R.M Billets Reports'!B1701,IF(ROW()=2,"",C1701))</f>
      </c>
      <c r="D1702">
        <f>IF('R.M Billets Reports'!A1701&lt;&gt;"",'R.M Billets Reports'!A1701,IF(ROW()=2,"",D1701))</f>
      </c>
      <c r="E1702">
        <f>IF('R.M Billets Reports'!B1701="","",TRIM('R.M Billets Reports'!B1701))</f>
      </c>
      <c r="F1702">
        <f>'R.M Billets Reports'!C1701</f>
      </c>
      <c r="G1702">
        <f>'R.M Billets Reports'!D1701</f>
      </c>
      <c r="H1702">
        <f>'R.M Billets Reports'!E1701</f>
      </c>
      <c r="I1702">
        <f>'R.M Billets Reports'!F1701</f>
      </c>
      <c r="J1702">
        <f>'R.M Billets Reports'!G1701</f>
      </c>
      <c r="K1702">
        <f>'R.M Billets Reports'!H1701</f>
      </c>
      <c r="L1702">
        <f>IF('R.M Billets Reports'!I1701="","",'R.M Billets Reports'!I1701)</f>
      </c>
      <c r="M1702">
        <f t="shared" si="52"/>
      </c>
      <c r="N1702">
        <f>IF('R.M Billets Reports'!J1701="","",'R.M Billets Reports'!J1701)</f>
      </c>
      <c r="O1702">
        <f t="shared" si="53"/>
      </c>
      <c r="P1702">
        <f>IF('R.M Billets Reports'!A1701="SIZE",'R.M Billets Reports'!B1701,P1701)</f>
      </c>
    </row>
    <row r="1703" spans="1:16" x14ac:dyDescent="0.25">
      <c r="A1703">
        <f>IF(OR('R.M Billets Reports'!A1702="Date-",'R.M Billets Reports'!A1702="Date:-"),IF(IF(IF(ISNUMBER(SEARCH("Party Name:-",'R.M Billets Reports'!D1702)),TRIM('R.M Billets Reports'!F1702),IF(ISNUMBER(SEARCH("Party Name-",'R.M Billets Reports'!D1702)),TRIM(MID('R.M Billets Reports'!D1702,SEARCH("-",'R.M Billets Reports'!D1702)+1,200)),""))&lt;&gt;"",IF(ISNUMBER(SEARCH("Party Name:-",'R.M Billets Reports'!D1702)),TRIM('R.M Billets Reports'!F1702),IF(ISNUMBER(SEARCH("Party Name-",'R.M Billets Reports'!D1702)),TRIM(MID('R.M Billets Reports'!D1702,SEARCH("-",'R.M Billets Reports'!D1702)+1,200)),"")),IF(ISNUMBER(SEARCH("Party Name:-",'R.M Billets Reports'!D1703)),TRIM('R.M Billets Reports'!F1703),IF(ISNUMBER(SEARCH("Party Name-",'R.M Billets Reports'!D1703)),TRIM(MID('R.M Billets Reports'!D1703,SEARCH("-",'R.M Billets Reports'!D1703)+1,200)),"")))="VRKP ISPAT PVT LTD","VRKP",IF(IF(IF(ISNUMBER(SEARCH("Party Name:-",'R.M Billets Reports'!D1702)),TRIM('R.M Billets Reports'!F1702),IF(ISNUMBER(SEARCH("Party Name-",'R.M Billets Reports'!D1702)),TRIM(MID('R.M Billets Reports'!D1702,SEARCH("-",'R.M Billets Reports'!D1702)+1,200)),""))&lt;&gt;"",IF(ISNUMBER(SEARCH("Party Name:-",'R.M Billets Reports'!D1702)),TRIM('R.M Billets Reports'!F1702),IF(ISNUMBER(SEARCH("Party Name-",'R.M Billets Reports'!D1702)),TRIM(MID('R.M Billets Reports'!D1702,SEARCH("-",'R.M Billets Reports'!D1702)+1,200)),"")),IF(ISNUMBER(SEARCH("Party Name:-",'R.M Billets Reports'!D1703)),TRIM('R.M Billets Reports'!F1703),IF(ISNUMBER(SEARCH("Party Name-",'R.M Billets Reports'!D1703)),TRIM(MID('R.M Billets Reports'!D1703,SEARCH("-",'R.M Billets Reports'!D1703)+1,200)),"")))="SHRI RADHE","SHREE RADHE",IF(IF(IF(ISNUMBER(SEARCH("Party Name:-",'R.M Billets Reports'!D1702)),TRIM('R.M Billets Reports'!F1702),IF(ISNUMBER(SEARCH("Party Name-",'R.M Billets Reports'!D1702)),TRIM(MID('R.M Billets Reports'!D1702,SEARCH("-",'R.M Billets Reports'!D1702)+1,200)),""))&lt;&gt;"",IF(ISNUMBER(SEARCH("Party Name:-",'R.M Billets Reports'!D1702)),TRIM('R.M Billets Reports'!F1702),IF(ISNUMBER(SEARCH("Party Name-",'R.M Billets Reports'!D1702)),TRIM(MID('R.M Billets Reports'!D1702,SEARCH("-",'R.M Billets Reports'!D1702)+1,200)),"")),IF(ISNUMBER(SEARCH("Party Name:-",'R.M Billets Reports'!D1703)),TRIM('R.M Billets Reports'!F1703),IF(ISNUMBER(SEARCH("Party Name-",'R.M Billets Reports'!D1703)),TRIM(MID('R.M Billets Reports'!D1703,SEARCH("-",'R.M Billets Reports'!D1703)+1,200)),"")))="SHREE RADHE SHAKTI SPONGE AND POWER PVT. LTD.","SHREE RADHE",IF(IF(ISNUMBER(SEARCH("Party Name:-",'R.M Billets Reports'!D1702)),TRIM('R.M Billets Reports'!F1702),IF(ISNUMBER(SEARCH("Party Name-",'R.M Billets Reports'!D1702)),TRIM(MID('R.M Billets Reports'!D1702,SEARCH("-",'R.M Billets Reports'!D1702)+1,200)),""))&lt;&gt;"",IF(ISNUMBER(SEARCH("Party Name:-",'R.M Billets Reports'!D1702)),TRIM('R.M Billets Reports'!F1702),IF(ISNUMBER(SEARCH("Party Name-",'R.M Billets Reports'!D1702)),TRIM(MID('R.M Billets Reports'!D1702,SEARCH("-",'R.M Billets Reports'!D1702)+1,200)),"")),IF(ISNUMBER(SEARCH("Party Name:-",'R.M Billets Reports'!D1703)),TRIM('R.M Billets Reports'!F1703),IF(ISNUMBER(SEARCH("Party Name-",'R.M Billets Reports'!D1703)),TRIM(MID('R.M Billets Reports'!D1703,SEARCH("-",'R.M Billets Reports'!D1703)+1,200)),"")))))),IF(ROW()=2,"",A1702))</f>
      </c>
      <c r="B1703">
        <f>IF(OR('R.M Billets Reports'!A1702="Date-",'R.M Billets Reports'!A1702="Date:-"),'R.M Billets Reports'!B1702,IF(ROW()=2,"",B1702))</f>
      </c>
      <c r="C1703">
        <f>IF('R.M Billets Reports'!A1702="V.No.",'R.M Billets Reports'!B1702,IF(ROW()=2,"",C1702))</f>
      </c>
      <c r="D1703">
        <f>IF('R.M Billets Reports'!A1702&lt;&gt;"",'R.M Billets Reports'!A1702,IF(ROW()=2,"",D1702))</f>
      </c>
      <c r="E1703">
        <f>IF('R.M Billets Reports'!B1702="","",TRIM('R.M Billets Reports'!B1702))</f>
      </c>
      <c r="F1703">
        <f>'R.M Billets Reports'!C1702</f>
      </c>
      <c r="G1703">
        <f>'R.M Billets Reports'!D1702</f>
      </c>
      <c r="H1703">
        <f>'R.M Billets Reports'!E1702</f>
      </c>
      <c r="I1703">
        <f>'R.M Billets Reports'!F1702</f>
      </c>
      <c r="J1703">
        <f>'R.M Billets Reports'!G1702</f>
      </c>
      <c r="K1703">
        <f>'R.M Billets Reports'!H1702</f>
      </c>
      <c r="L1703">
        <f>IF('R.M Billets Reports'!I1702="","",'R.M Billets Reports'!I1702)</f>
      </c>
      <c r="M1703">
        <f t="shared" si="52"/>
      </c>
      <c r="N1703">
        <f>IF('R.M Billets Reports'!J1702="","",'R.M Billets Reports'!J1702)</f>
      </c>
      <c r="O1703">
        <f t="shared" si="53"/>
      </c>
      <c r="P1703">
        <f>IF('R.M Billets Reports'!A1702="SIZE",'R.M Billets Reports'!B1702,P1702)</f>
      </c>
    </row>
    <row r="1704" spans="1:16" x14ac:dyDescent="0.25">
      <c r="A1704">
        <f>IF(OR('R.M Billets Reports'!A1703="Date-",'R.M Billets Reports'!A1703="Date:-"),IF(IF(IF(ISNUMBER(SEARCH("Party Name:-",'R.M Billets Reports'!D1703)),TRIM('R.M Billets Reports'!F1703),IF(ISNUMBER(SEARCH("Party Name-",'R.M Billets Reports'!D1703)),TRIM(MID('R.M Billets Reports'!D1703,SEARCH("-",'R.M Billets Reports'!D1703)+1,200)),""))&lt;&gt;"",IF(ISNUMBER(SEARCH("Party Name:-",'R.M Billets Reports'!D1703)),TRIM('R.M Billets Reports'!F1703),IF(ISNUMBER(SEARCH("Party Name-",'R.M Billets Reports'!D1703)),TRIM(MID('R.M Billets Reports'!D1703,SEARCH("-",'R.M Billets Reports'!D1703)+1,200)),"")),IF(ISNUMBER(SEARCH("Party Name:-",'R.M Billets Reports'!D1704)),TRIM('R.M Billets Reports'!F1704),IF(ISNUMBER(SEARCH("Party Name-",'R.M Billets Reports'!D1704)),TRIM(MID('R.M Billets Reports'!D1704,SEARCH("-",'R.M Billets Reports'!D1704)+1,200)),"")))="VRKP ISPAT PVT LTD","VRKP",IF(IF(IF(ISNUMBER(SEARCH("Party Name:-",'R.M Billets Reports'!D1703)),TRIM('R.M Billets Reports'!F1703),IF(ISNUMBER(SEARCH("Party Name-",'R.M Billets Reports'!D1703)),TRIM(MID('R.M Billets Reports'!D1703,SEARCH("-",'R.M Billets Reports'!D1703)+1,200)),""))&lt;&gt;"",IF(ISNUMBER(SEARCH("Party Name:-",'R.M Billets Reports'!D1703)),TRIM('R.M Billets Reports'!F1703),IF(ISNUMBER(SEARCH("Party Name-",'R.M Billets Reports'!D1703)),TRIM(MID('R.M Billets Reports'!D1703,SEARCH("-",'R.M Billets Reports'!D1703)+1,200)),"")),IF(ISNUMBER(SEARCH("Party Name:-",'R.M Billets Reports'!D1704)),TRIM('R.M Billets Reports'!F1704),IF(ISNUMBER(SEARCH("Party Name-",'R.M Billets Reports'!D1704)),TRIM(MID('R.M Billets Reports'!D1704,SEARCH("-",'R.M Billets Reports'!D1704)+1,200)),"")))="SHRI RADHE","SHREE RADHE",IF(IF(IF(ISNUMBER(SEARCH("Party Name:-",'R.M Billets Reports'!D1703)),TRIM('R.M Billets Reports'!F1703),IF(ISNUMBER(SEARCH("Party Name-",'R.M Billets Reports'!D1703)),TRIM(MID('R.M Billets Reports'!D1703,SEARCH("-",'R.M Billets Reports'!D1703)+1,200)),""))&lt;&gt;"",IF(ISNUMBER(SEARCH("Party Name:-",'R.M Billets Reports'!D1703)),TRIM('R.M Billets Reports'!F1703),IF(ISNUMBER(SEARCH("Party Name-",'R.M Billets Reports'!D1703)),TRIM(MID('R.M Billets Reports'!D1703,SEARCH("-",'R.M Billets Reports'!D1703)+1,200)),"")),IF(ISNUMBER(SEARCH("Party Name:-",'R.M Billets Reports'!D1704)),TRIM('R.M Billets Reports'!F1704),IF(ISNUMBER(SEARCH("Party Name-",'R.M Billets Reports'!D1704)),TRIM(MID('R.M Billets Reports'!D1704,SEARCH("-",'R.M Billets Reports'!D1704)+1,200)),"")))="SHREE RADHE SHAKTI SPONGE AND POWER PVT. LTD.","SHREE RADHE",IF(IF(ISNUMBER(SEARCH("Party Name:-",'R.M Billets Reports'!D1703)),TRIM('R.M Billets Reports'!F1703),IF(ISNUMBER(SEARCH("Party Name-",'R.M Billets Reports'!D1703)),TRIM(MID('R.M Billets Reports'!D1703,SEARCH("-",'R.M Billets Reports'!D1703)+1,200)),""))&lt;&gt;"",IF(ISNUMBER(SEARCH("Party Name:-",'R.M Billets Reports'!D1703)),TRIM('R.M Billets Reports'!F1703),IF(ISNUMBER(SEARCH("Party Name-",'R.M Billets Reports'!D1703)),TRIM(MID('R.M Billets Reports'!D1703,SEARCH("-",'R.M Billets Reports'!D1703)+1,200)),"")),IF(ISNUMBER(SEARCH("Party Name:-",'R.M Billets Reports'!D1704)),TRIM('R.M Billets Reports'!F1704),IF(ISNUMBER(SEARCH("Party Name-",'R.M Billets Reports'!D1704)),TRIM(MID('R.M Billets Reports'!D1704,SEARCH("-",'R.M Billets Reports'!D1704)+1,200)),"")))))),IF(ROW()=2,"",A1703))</f>
      </c>
      <c r="B1704">
        <f>IF(OR('R.M Billets Reports'!A1703="Date-",'R.M Billets Reports'!A1703="Date:-"),'R.M Billets Reports'!B1703,IF(ROW()=2,"",B1703))</f>
      </c>
      <c r="C1704">
        <f>IF('R.M Billets Reports'!A1703="V.No.",'R.M Billets Reports'!B1703,IF(ROW()=2,"",C1703))</f>
      </c>
      <c r="D1704">
        <f>IF('R.M Billets Reports'!A1703&lt;&gt;"",'R.M Billets Reports'!A1703,IF(ROW()=2,"",D1703))</f>
      </c>
      <c r="E1704">
        <f>IF('R.M Billets Reports'!B1703="","",TRIM('R.M Billets Reports'!B1703))</f>
      </c>
      <c r="F1704">
        <f>'R.M Billets Reports'!C1703</f>
      </c>
      <c r="G1704">
        <f>'R.M Billets Reports'!D1703</f>
      </c>
      <c r="H1704">
        <f>'R.M Billets Reports'!E1703</f>
      </c>
      <c r="I1704">
        <f>'R.M Billets Reports'!F1703</f>
      </c>
      <c r="J1704">
        <f>'R.M Billets Reports'!G1703</f>
      </c>
      <c r="K1704">
        <f>'R.M Billets Reports'!H1703</f>
      </c>
      <c r="L1704">
        <f>IF('R.M Billets Reports'!I1703="","",'R.M Billets Reports'!I1703)</f>
      </c>
      <c r="M1704">
        <f t="shared" si="52"/>
      </c>
      <c r="N1704">
        <f>IF('R.M Billets Reports'!J1703="","",'R.M Billets Reports'!J1703)</f>
      </c>
      <c r="O1704">
        <f t="shared" si="53"/>
      </c>
      <c r="P1704">
        <f>IF('R.M Billets Reports'!A1703="SIZE",'R.M Billets Reports'!B1703,P1703)</f>
      </c>
    </row>
    <row r="1705" spans="1:16" x14ac:dyDescent="0.25">
      <c r="A1705">
        <f>IF(OR('R.M Billets Reports'!A1704="Date-",'R.M Billets Reports'!A1704="Date:-"),IF(IF(IF(ISNUMBER(SEARCH("Party Name:-",'R.M Billets Reports'!D1704)),TRIM('R.M Billets Reports'!F1704),IF(ISNUMBER(SEARCH("Party Name-",'R.M Billets Reports'!D1704)),TRIM(MID('R.M Billets Reports'!D1704,SEARCH("-",'R.M Billets Reports'!D1704)+1,200)),""))&lt;&gt;"",IF(ISNUMBER(SEARCH("Party Name:-",'R.M Billets Reports'!D1704)),TRIM('R.M Billets Reports'!F1704),IF(ISNUMBER(SEARCH("Party Name-",'R.M Billets Reports'!D1704)),TRIM(MID('R.M Billets Reports'!D1704,SEARCH("-",'R.M Billets Reports'!D1704)+1,200)),"")),IF(ISNUMBER(SEARCH("Party Name:-",'R.M Billets Reports'!D1705)),TRIM('R.M Billets Reports'!F1705),IF(ISNUMBER(SEARCH("Party Name-",'R.M Billets Reports'!D1705)),TRIM(MID('R.M Billets Reports'!D1705,SEARCH("-",'R.M Billets Reports'!D1705)+1,200)),"")))="VRKP ISPAT PVT LTD","VRKP",IF(IF(IF(ISNUMBER(SEARCH("Party Name:-",'R.M Billets Reports'!D1704)),TRIM('R.M Billets Reports'!F1704),IF(ISNUMBER(SEARCH("Party Name-",'R.M Billets Reports'!D1704)),TRIM(MID('R.M Billets Reports'!D1704,SEARCH("-",'R.M Billets Reports'!D1704)+1,200)),""))&lt;&gt;"",IF(ISNUMBER(SEARCH("Party Name:-",'R.M Billets Reports'!D1704)),TRIM('R.M Billets Reports'!F1704),IF(ISNUMBER(SEARCH("Party Name-",'R.M Billets Reports'!D1704)),TRIM(MID('R.M Billets Reports'!D1704,SEARCH("-",'R.M Billets Reports'!D1704)+1,200)),"")),IF(ISNUMBER(SEARCH("Party Name:-",'R.M Billets Reports'!D1705)),TRIM('R.M Billets Reports'!F1705),IF(ISNUMBER(SEARCH("Party Name-",'R.M Billets Reports'!D1705)),TRIM(MID('R.M Billets Reports'!D1705,SEARCH("-",'R.M Billets Reports'!D1705)+1,200)),"")))="SHRI RADHE","SHREE RADHE",IF(IF(IF(ISNUMBER(SEARCH("Party Name:-",'R.M Billets Reports'!D1704)),TRIM('R.M Billets Reports'!F1704),IF(ISNUMBER(SEARCH("Party Name-",'R.M Billets Reports'!D1704)),TRIM(MID('R.M Billets Reports'!D1704,SEARCH("-",'R.M Billets Reports'!D1704)+1,200)),""))&lt;&gt;"",IF(ISNUMBER(SEARCH("Party Name:-",'R.M Billets Reports'!D1704)),TRIM('R.M Billets Reports'!F1704),IF(ISNUMBER(SEARCH("Party Name-",'R.M Billets Reports'!D1704)),TRIM(MID('R.M Billets Reports'!D1704,SEARCH("-",'R.M Billets Reports'!D1704)+1,200)),"")),IF(ISNUMBER(SEARCH("Party Name:-",'R.M Billets Reports'!D1705)),TRIM('R.M Billets Reports'!F1705),IF(ISNUMBER(SEARCH("Party Name-",'R.M Billets Reports'!D1705)),TRIM(MID('R.M Billets Reports'!D1705,SEARCH("-",'R.M Billets Reports'!D1705)+1,200)),"")))="SHREE RADHE SHAKTI SPONGE AND POWER PVT. LTD.","SHREE RADHE",IF(IF(ISNUMBER(SEARCH("Party Name:-",'R.M Billets Reports'!D1704)),TRIM('R.M Billets Reports'!F1704),IF(ISNUMBER(SEARCH("Party Name-",'R.M Billets Reports'!D1704)),TRIM(MID('R.M Billets Reports'!D1704,SEARCH("-",'R.M Billets Reports'!D1704)+1,200)),""))&lt;&gt;"",IF(ISNUMBER(SEARCH("Party Name:-",'R.M Billets Reports'!D1704)),TRIM('R.M Billets Reports'!F1704),IF(ISNUMBER(SEARCH("Party Name-",'R.M Billets Reports'!D1704)),TRIM(MID('R.M Billets Reports'!D1704,SEARCH("-",'R.M Billets Reports'!D1704)+1,200)),"")),IF(ISNUMBER(SEARCH("Party Name:-",'R.M Billets Reports'!D1705)),TRIM('R.M Billets Reports'!F1705),IF(ISNUMBER(SEARCH("Party Name-",'R.M Billets Reports'!D1705)),TRIM(MID('R.M Billets Reports'!D1705,SEARCH("-",'R.M Billets Reports'!D1705)+1,200)),"")))))),IF(ROW()=2,"",A1704))</f>
      </c>
      <c r="B1705">
        <f>IF(OR('R.M Billets Reports'!A1704="Date-",'R.M Billets Reports'!A1704="Date:-"),'R.M Billets Reports'!B1704,IF(ROW()=2,"",B1704))</f>
      </c>
      <c r="C1705">
        <f>IF('R.M Billets Reports'!A1704="V.No.",'R.M Billets Reports'!B1704,IF(ROW()=2,"",C1704))</f>
      </c>
      <c r="D1705">
        <f>IF('R.M Billets Reports'!A1704&lt;&gt;"",'R.M Billets Reports'!A1704,IF(ROW()=2,"",D1704))</f>
      </c>
      <c r="E1705">
        <f>IF('R.M Billets Reports'!B1704="","",TRIM('R.M Billets Reports'!B1704))</f>
      </c>
      <c r="F1705">
        <f>'R.M Billets Reports'!C1704</f>
      </c>
      <c r="G1705">
        <f>'R.M Billets Reports'!D1704</f>
      </c>
      <c r="H1705">
        <f>'R.M Billets Reports'!E1704</f>
      </c>
      <c r="I1705">
        <f>'R.M Billets Reports'!F1704</f>
      </c>
      <c r="J1705">
        <f>'R.M Billets Reports'!G1704</f>
      </c>
      <c r="K1705">
        <f>'R.M Billets Reports'!H1704</f>
      </c>
      <c r="L1705">
        <f>IF('R.M Billets Reports'!I1704="","",'R.M Billets Reports'!I1704)</f>
      </c>
      <c r="M1705">
        <f t="shared" si="52"/>
      </c>
      <c r="N1705">
        <f>IF('R.M Billets Reports'!J1704="","",'R.M Billets Reports'!J1704)</f>
      </c>
      <c r="O1705">
        <f t="shared" si="53"/>
      </c>
      <c r="P1705">
        <f>IF('R.M Billets Reports'!A1704="SIZE",'R.M Billets Reports'!B1704,P1704)</f>
      </c>
    </row>
    <row r="1706" spans="1:16" x14ac:dyDescent="0.25">
      <c r="A1706">
        <f>IF(OR('R.M Billets Reports'!A1705="Date-",'R.M Billets Reports'!A1705="Date:-"),IF(IF(IF(ISNUMBER(SEARCH("Party Name:-",'R.M Billets Reports'!D1705)),TRIM('R.M Billets Reports'!F1705),IF(ISNUMBER(SEARCH("Party Name-",'R.M Billets Reports'!D1705)),TRIM(MID('R.M Billets Reports'!D1705,SEARCH("-",'R.M Billets Reports'!D1705)+1,200)),""))&lt;&gt;"",IF(ISNUMBER(SEARCH("Party Name:-",'R.M Billets Reports'!D1705)),TRIM('R.M Billets Reports'!F1705),IF(ISNUMBER(SEARCH("Party Name-",'R.M Billets Reports'!D1705)),TRIM(MID('R.M Billets Reports'!D1705,SEARCH("-",'R.M Billets Reports'!D1705)+1,200)),"")),IF(ISNUMBER(SEARCH("Party Name:-",'R.M Billets Reports'!D1706)),TRIM('R.M Billets Reports'!F1706),IF(ISNUMBER(SEARCH("Party Name-",'R.M Billets Reports'!D1706)),TRIM(MID('R.M Billets Reports'!D1706,SEARCH("-",'R.M Billets Reports'!D1706)+1,200)),"")))="VRKP ISPAT PVT LTD","VRKP",IF(IF(IF(ISNUMBER(SEARCH("Party Name:-",'R.M Billets Reports'!D1705)),TRIM('R.M Billets Reports'!F1705),IF(ISNUMBER(SEARCH("Party Name-",'R.M Billets Reports'!D1705)),TRIM(MID('R.M Billets Reports'!D1705,SEARCH("-",'R.M Billets Reports'!D1705)+1,200)),""))&lt;&gt;"",IF(ISNUMBER(SEARCH("Party Name:-",'R.M Billets Reports'!D1705)),TRIM('R.M Billets Reports'!F1705),IF(ISNUMBER(SEARCH("Party Name-",'R.M Billets Reports'!D1705)),TRIM(MID('R.M Billets Reports'!D1705,SEARCH("-",'R.M Billets Reports'!D1705)+1,200)),"")),IF(ISNUMBER(SEARCH("Party Name:-",'R.M Billets Reports'!D1706)),TRIM('R.M Billets Reports'!F1706),IF(ISNUMBER(SEARCH("Party Name-",'R.M Billets Reports'!D1706)),TRIM(MID('R.M Billets Reports'!D1706,SEARCH("-",'R.M Billets Reports'!D1706)+1,200)),"")))="SHRI RADHE","SHREE RADHE",IF(IF(IF(ISNUMBER(SEARCH("Party Name:-",'R.M Billets Reports'!D1705)),TRIM('R.M Billets Reports'!F1705),IF(ISNUMBER(SEARCH("Party Name-",'R.M Billets Reports'!D1705)),TRIM(MID('R.M Billets Reports'!D1705,SEARCH("-",'R.M Billets Reports'!D1705)+1,200)),""))&lt;&gt;"",IF(ISNUMBER(SEARCH("Party Name:-",'R.M Billets Reports'!D1705)),TRIM('R.M Billets Reports'!F1705),IF(ISNUMBER(SEARCH("Party Name-",'R.M Billets Reports'!D1705)),TRIM(MID('R.M Billets Reports'!D1705,SEARCH("-",'R.M Billets Reports'!D1705)+1,200)),"")),IF(ISNUMBER(SEARCH("Party Name:-",'R.M Billets Reports'!D1706)),TRIM('R.M Billets Reports'!F1706),IF(ISNUMBER(SEARCH("Party Name-",'R.M Billets Reports'!D1706)),TRIM(MID('R.M Billets Reports'!D1706,SEARCH("-",'R.M Billets Reports'!D1706)+1,200)),"")))="SHREE RADHE SHAKTI SPONGE AND POWER PVT. LTD.","SHREE RADHE",IF(IF(ISNUMBER(SEARCH("Party Name:-",'R.M Billets Reports'!D1705)),TRIM('R.M Billets Reports'!F1705),IF(ISNUMBER(SEARCH("Party Name-",'R.M Billets Reports'!D1705)),TRIM(MID('R.M Billets Reports'!D1705,SEARCH("-",'R.M Billets Reports'!D1705)+1,200)),""))&lt;&gt;"",IF(ISNUMBER(SEARCH("Party Name:-",'R.M Billets Reports'!D1705)),TRIM('R.M Billets Reports'!F1705),IF(ISNUMBER(SEARCH("Party Name-",'R.M Billets Reports'!D1705)),TRIM(MID('R.M Billets Reports'!D1705,SEARCH("-",'R.M Billets Reports'!D1705)+1,200)),"")),IF(ISNUMBER(SEARCH("Party Name:-",'R.M Billets Reports'!D1706)),TRIM('R.M Billets Reports'!F1706),IF(ISNUMBER(SEARCH("Party Name-",'R.M Billets Reports'!D1706)),TRIM(MID('R.M Billets Reports'!D1706,SEARCH("-",'R.M Billets Reports'!D1706)+1,200)),"")))))),IF(ROW()=2,"",A1705))</f>
      </c>
      <c r="B1706">
        <f>IF(OR('R.M Billets Reports'!A1705="Date-",'R.M Billets Reports'!A1705="Date:-"),'R.M Billets Reports'!B1705,IF(ROW()=2,"",B1705))</f>
      </c>
      <c r="C1706">
        <f>IF('R.M Billets Reports'!A1705="V.No.",'R.M Billets Reports'!B1705,IF(ROW()=2,"",C1705))</f>
      </c>
      <c r="D1706">
        <f>IF('R.M Billets Reports'!A1705&lt;&gt;"",'R.M Billets Reports'!A1705,IF(ROW()=2,"",D1705))</f>
      </c>
      <c r="E1706">
        <f>IF('R.M Billets Reports'!B1705="","",TRIM('R.M Billets Reports'!B1705))</f>
      </c>
      <c r="F1706">
        <f>'R.M Billets Reports'!C1705</f>
      </c>
      <c r="G1706">
        <f>'R.M Billets Reports'!D1705</f>
      </c>
      <c r="H1706">
        <f>'R.M Billets Reports'!E1705</f>
      </c>
      <c r="I1706">
        <f>'R.M Billets Reports'!F1705</f>
      </c>
      <c r="J1706">
        <f>'R.M Billets Reports'!G1705</f>
      </c>
      <c r="K1706">
        <f>'R.M Billets Reports'!H1705</f>
      </c>
      <c r="L1706">
        <f>IF('R.M Billets Reports'!I1705="","",'R.M Billets Reports'!I1705)</f>
      </c>
      <c r="M1706">
        <f t="shared" si="52"/>
      </c>
      <c r="N1706">
        <f>IF('R.M Billets Reports'!J1705="","",'R.M Billets Reports'!J1705)</f>
      </c>
      <c r="O1706">
        <f t="shared" si="53"/>
      </c>
      <c r="P1706">
        <f>IF('R.M Billets Reports'!A1705="SIZE",'R.M Billets Reports'!B1705,P1705)</f>
      </c>
    </row>
    <row r="1707" spans="1:16" x14ac:dyDescent="0.25">
      <c r="A1707">
        <f>IF(OR('R.M Billets Reports'!A1706="Date-",'R.M Billets Reports'!A1706="Date:-"),IF(IF(IF(ISNUMBER(SEARCH("Party Name:-",'R.M Billets Reports'!D1706)),TRIM('R.M Billets Reports'!F1706),IF(ISNUMBER(SEARCH("Party Name-",'R.M Billets Reports'!D1706)),TRIM(MID('R.M Billets Reports'!D1706,SEARCH("-",'R.M Billets Reports'!D1706)+1,200)),""))&lt;&gt;"",IF(ISNUMBER(SEARCH("Party Name:-",'R.M Billets Reports'!D1706)),TRIM('R.M Billets Reports'!F1706),IF(ISNUMBER(SEARCH("Party Name-",'R.M Billets Reports'!D1706)),TRIM(MID('R.M Billets Reports'!D1706,SEARCH("-",'R.M Billets Reports'!D1706)+1,200)),"")),IF(ISNUMBER(SEARCH("Party Name:-",'R.M Billets Reports'!D1707)),TRIM('R.M Billets Reports'!F1707),IF(ISNUMBER(SEARCH("Party Name-",'R.M Billets Reports'!D1707)),TRIM(MID('R.M Billets Reports'!D1707,SEARCH("-",'R.M Billets Reports'!D1707)+1,200)),"")))="VRKP ISPAT PVT LTD","VRKP",IF(IF(IF(ISNUMBER(SEARCH("Party Name:-",'R.M Billets Reports'!D1706)),TRIM('R.M Billets Reports'!F1706),IF(ISNUMBER(SEARCH("Party Name-",'R.M Billets Reports'!D1706)),TRIM(MID('R.M Billets Reports'!D1706,SEARCH("-",'R.M Billets Reports'!D1706)+1,200)),""))&lt;&gt;"",IF(ISNUMBER(SEARCH("Party Name:-",'R.M Billets Reports'!D1706)),TRIM('R.M Billets Reports'!F1706),IF(ISNUMBER(SEARCH("Party Name-",'R.M Billets Reports'!D1706)),TRIM(MID('R.M Billets Reports'!D1706,SEARCH("-",'R.M Billets Reports'!D1706)+1,200)),"")),IF(ISNUMBER(SEARCH("Party Name:-",'R.M Billets Reports'!D1707)),TRIM('R.M Billets Reports'!F1707),IF(ISNUMBER(SEARCH("Party Name-",'R.M Billets Reports'!D1707)),TRIM(MID('R.M Billets Reports'!D1707,SEARCH("-",'R.M Billets Reports'!D1707)+1,200)),"")))="SHRI RADHE","SHREE RADHE",IF(IF(IF(ISNUMBER(SEARCH("Party Name:-",'R.M Billets Reports'!D1706)),TRIM('R.M Billets Reports'!F1706),IF(ISNUMBER(SEARCH("Party Name-",'R.M Billets Reports'!D1706)),TRIM(MID('R.M Billets Reports'!D1706,SEARCH("-",'R.M Billets Reports'!D1706)+1,200)),""))&lt;&gt;"",IF(ISNUMBER(SEARCH("Party Name:-",'R.M Billets Reports'!D1706)),TRIM('R.M Billets Reports'!F1706),IF(ISNUMBER(SEARCH("Party Name-",'R.M Billets Reports'!D1706)),TRIM(MID('R.M Billets Reports'!D1706,SEARCH("-",'R.M Billets Reports'!D1706)+1,200)),"")),IF(ISNUMBER(SEARCH("Party Name:-",'R.M Billets Reports'!D1707)),TRIM('R.M Billets Reports'!F1707),IF(ISNUMBER(SEARCH("Party Name-",'R.M Billets Reports'!D1707)),TRIM(MID('R.M Billets Reports'!D1707,SEARCH("-",'R.M Billets Reports'!D1707)+1,200)),"")))="SHREE RADHE SHAKTI SPONGE AND POWER PVT. LTD.","SHREE RADHE",IF(IF(ISNUMBER(SEARCH("Party Name:-",'R.M Billets Reports'!D1706)),TRIM('R.M Billets Reports'!F1706),IF(ISNUMBER(SEARCH("Party Name-",'R.M Billets Reports'!D1706)),TRIM(MID('R.M Billets Reports'!D1706,SEARCH("-",'R.M Billets Reports'!D1706)+1,200)),""))&lt;&gt;"",IF(ISNUMBER(SEARCH("Party Name:-",'R.M Billets Reports'!D1706)),TRIM('R.M Billets Reports'!F1706),IF(ISNUMBER(SEARCH("Party Name-",'R.M Billets Reports'!D1706)),TRIM(MID('R.M Billets Reports'!D1706,SEARCH("-",'R.M Billets Reports'!D1706)+1,200)),"")),IF(ISNUMBER(SEARCH("Party Name:-",'R.M Billets Reports'!D1707)),TRIM('R.M Billets Reports'!F1707),IF(ISNUMBER(SEARCH("Party Name-",'R.M Billets Reports'!D1707)),TRIM(MID('R.M Billets Reports'!D1707,SEARCH("-",'R.M Billets Reports'!D1707)+1,200)),"")))))),IF(ROW()=2,"",A1706))</f>
      </c>
      <c r="B1707">
        <f>IF(OR('R.M Billets Reports'!A1706="Date-",'R.M Billets Reports'!A1706="Date:-"),'R.M Billets Reports'!B1706,IF(ROW()=2,"",B1706))</f>
      </c>
      <c r="C1707">
        <f>IF('R.M Billets Reports'!A1706="V.No.",'R.M Billets Reports'!B1706,IF(ROW()=2,"",C1706))</f>
      </c>
      <c r="D1707">
        <f>IF('R.M Billets Reports'!A1706&lt;&gt;"",'R.M Billets Reports'!A1706,IF(ROW()=2,"",D1706))</f>
      </c>
      <c r="E1707">
        <f>IF('R.M Billets Reports'!B1706="","",TRIM('R.M Billets Reports'!B1706))</f>
      </c>
      <c r="F1707">
        <f>'R.M Billets Reports'!C1706</f>
      </c>
      <c r="G1707">
        <f>'R.M Billets Reports'!D1706</f>
      </c>
      <c r="H1707">
        <f>'R.M Billets Reports'!E1706</f>
      </c>
      <c r="I1707">
        <f>'R.M Billets Reports'!F1706</f>
      </c>
      <c r="J1707">
        <f>'R.M Billets Reports'!G1706</f>
      </c>
      <c r="K1707">
        <f>'R.M Billets Reports'!H1706</f>
      </c>
      <c r="L1707">
        <f>IF('R.M Billets Reports'!I1706="","",'R.M Billets Reports'!I1706)</f>
      </c>
      <c r="M1707">
        <f t="shared" si="52"/>
      </c>
      <c r="N1707">
        <f>IF('R.M Billets Reports'!J1706="","",'R.M Billets Reports'!J1706)</f>
      </c>
      <c r="O1707">
        <f t="shared" si="53"/>
      </c>
      <c r="P1707">
        <f>IF('R.M Billets Reports'!A1706="SIZE",'R.M Billets Reports'!B1706,P1706)</f>
      </c>
    </row>
    <row r="1708" spans="1:16" x14ac:dyDescent="0.25">
      <c r="A1708">
        <f>IF(OR('R.M Billets Reports'!A1707="Date-",'R.M Billets Reports'!A1707="Date:-"),IF(IF(IF(ISNUMBER(SEARCH("Party Name:-",'R.M Billets Reports'!D1707)),TRIM('R.M Billets Reports'!F1707),IF(ISNUMBER(SEARCH("Party Name-",'R.M Billets Reports'!D1707)),TRIM(MID('R.M Billets Reports'!D1707,SEARCH("-",'R.M Billets Reports'!D1707)+1,200)),""))&lt;&gt;"",IF(ISNUMBER(SEARCH("Party Name:-",'R.M Billets Reports'!D1707)),TRIM('R.M Billets Reports'!F1707),IF(ISNUMBER(SEARCH("Party Name-",'R.M Billets Reports'!D1707)),TRIM(MID('R.M Billets Reports'!D1707,SEARCH("-",'R.M Billets Reports'!D1707)+1,200)),"")),IF(ISNUMBER(SEARCH("Party Name:-",'R.M Billets Reports'!D1708)),TRIM('R.M Billets Reports'!F1708),IF(ISNUMBER(SEARCH("Party Name-",'R.M Billets Reports'!D1708)),TRIM(MID('R.M Billets Reports'!D1708,SEARCH("-",'R.M Billets Reports'!D1708)+1,200)),"")))="VRKP ISPAT PVT LTD","VRKP",IF(IF(IF(ISNUMBER(SEARCH("Party Name:-",'R.M Billets Reports'!D1707)),TRIM('R.M Billets Reports'!F1707),IF(ISNUMBER(SEARCH("Party Name-",'R.M Billets Reports'!D1707)),TRIM(MID('R.M Billets Reports'!D1707,SEARCH("-",'R.M Billets Reports'!D1707)+1,200)),""))&lt;&gt;"",IF(ISNUMBER(SEARCH("Party Name:-",'R.M Billets Reports'!D1707)),TRIM('R.M Billets Reports'!F1707),IF(ISNUMBER(SEARCH("Party Name-",'R.M Billets Reports'!D1707)),TRIM(MID('R.M Billets Reports'!D1707,SEARCH("-",'R.M Billets Reports'!D1707)+1,200)),"")),IF(ISNUMBER(SEARCH("Party Name:-",'R.M Billets Reports'!D1708)),TRIM('R.M Billets Reports'!F1708),IF(ISNUMBER(SEARCH("Party Name-",'R.M Billets Reports'!D1708)),TRIM(MID('R.M Billets Reports'!D1708,SEARCH("-",'R.M Billets Reports'!D1708)+1,200)),"")))="SHRI RADHE","SHREE RADHE",IF(IF(IF(ISNUMBER(SEARCH("Party Name:-",'R.M Billets Reports'!D1707)),TRIM('R.M Billets Reports'!F1707),IF(ISNUMBER(SEARCH("Party Name-",'R.M Billets Reports'!D1707)),TRIM(MID('R.M Billets Reports'!D1707,SEARCH("-",'R.M Billets Reports'!D1707)+1,200)),""))&lt;&gt;"",IF(ISNUMBER(SEARCH("Party Name:-",'R.M Billets Reports'!D1707)),TRIM('R.M Billets Reports'!F1707),IF(ISNUMBER(SEARCH("Party Name-",'R.M Billets Reports'!D1707)),TRIM(MID('R.M Billets Reports'!D1707,SEARCH("-",'R.M Billets Reports'!D1707)+1,200)),"")),IF(ISNUMBER(SEARCH("Party Name:-",'R.M Billets Reports'!D1708)),TRIM('R.M Billets Reports'!F1708),IF(ISNUMBER(SEARCH("Party Name-",'R.M Billets Reports'!D1708)),TRIM(MID('R.M Billets Reports'!D1708,SEARCH("-",'R.M Billets Reports'!D1708)+1,200)),"")))="SHREE RADHE SHAKTI SPONGE AND POWER PVT. LTD.","SHREE RADHE",IF(IF(ISNUMBER(SEARCH("Party Name:-",'R.M Billets Reports'!D1707)),TRIM('R.M Billets Reports'!F1707),IF(ISNUMBER(SEARCH("Party Name-",'R.M Billets Reports'!D1707)),TRIM(MID('R.M Billets Reports'!D1707,SEARCH("-",'R.M Billets Reports'!D1707)+1,200)),""))&lt;&gt;"",IF(ISNUMBER(SEARCH("Party Name:-",'R.M Billets Reports'!D1707)),TRIM('R.M Billets Reports'!F1707),IF(ISNUMBER(SEARCH("Party Name-",'R.M Billets Reports'!D1707)),TRIM(MID('R.M Billets Reports'!D1707,SEARCH("-",'R.M Billets Reports'!D1707)+1,200)),"")),IF(ISNUMBER(SEARCH("Party Name:-",'R.M Billets Reports'!D1708)),TRIM('R.M Billets Reports'!F1708),IF(ISNUMBER(SEARCH("Party Name-",'R.M Billets Reports'!D1708)),TRIM(MID('R.M Billets Reports'!D1708,SEARCH("-",'R.M Billets Reports'!D1708)+1,200)),"")))))),IF(ROW()=2,"",A1707))</f>
      </c>
      <c r="B1708">
        <f>IF(OR('R.M Billets Reports'!A1707="Date-",'R.M Billets Reports'!A1707="Date:-"),'R.M Billets Reports'!B1707,IF(ROW()=2,"",B1707))</f>
      </c>
      <c r="C1708">
        <f>IF('R.M Billets Reports'!A1707="V.No.",'R.M Billets Reports'!B1707,IF(ROW()=2,"",C1707))</f>
      </c>
      <c r="D1708">
        <f>IF('R.M Billets Reports'!A1707&lt;&gt;"",'R.M Billets Reports'!A1707,IF(ROW()=2,"",D1707))</f>
      </c>
      <c r="E1708">
        <f>IF('R.M Billets Reports'!B1707="","",TRIM('R.M Billets Reports'!B1707))</f>
      </c>
      <c r="F1708">
        <f>'R.M Billets Reports'!C1707</f>
      </c>
      <c r="G1708">
        <f>'R.M Billets Reports'!D1707</f>
      </c>
      <c r="H1708">
        <f>'R.M Billets Reports'!E1707</f>
      </c>
      <c r="I1708">
        <f>'R.M Billets Reports'!F1707</f>
      </c>
      <c r="J1708">
        <f>'R.M Billets Reports'!G1707</f>
      </c>
      <c r="K1708">
        <f>'R.M Billets Reports'!H1707</f>
      </c>
      <c r="L1708">
        <f>IF('R.M Billets Reports'!I1707="","",'R.M Billets Reports'!I1707)</f>
      </c>
      <c r="M1708">
        <f t="shared" si="52"/>
      </c>
      <c r="N1708">
        <f>IF('R.M Billets Reports'!J1707="","",'R.M Billets Reports'!J1707)</f>
      </c>
      <c r="O1708">
        <f t="shared" si="53"/>
      </c>
      <c r="P1708">
        <f>IF('R.M Billets Reports'!A1707="SIZE",'R.M Billets Reports'!B1707,P1707)</f>
      </c>
    </row>
    <row r="1709" spans="1:16" x14ac:dyDescent="0.25">
      <c r="A1709">
        <f>IF(OR('R.M Billets Reports'!A1708="Date-",'R.M Billets Reports'!A1708="Date:-"),IF(IF(IF(ISNUMBER(SEARCH("Party Name:-",'R.M Billets Reports'!D1708)),TRIM('R.M Billets Reports'!F1708),IF(ISNUMBER(SEARCH("Party Name-",'R.M Billets Reports'!D1708)),TRIM(MID('R.M Billets Reports'!D1708,SEARCH("-",'R.M Billets Reports'!D1708)+1,200)),""))&lt;&gt;"",IF(ISNUMBER(SEARCH("Party Name:-",'R.M Billets Reports'!D1708)),TRIM('R.M Billets Reports'!F1708),IF(ISNUMBER(SEARCH("Party Name-",'R.M Billets Reports'!D1708)),TRIM(MID('R.M Billets Reports'!D1708,SEARCH("-",'R.M Billets Reports'!D1708)+1,200)),"")),IF(ISNUMBER(SEARCH("Party Name:-",'R.M Billets Reports'!D1709)),TRIM('R.M Billets Reports'!F1709),IF(ISNUMBER(SEARCH("Party Name-",'R.M Billets Reports'!D1709)),TRIM(MID('R.M Billets Reports'!D1709,SEARCH("-",'R.M Billets Reports'!D1709)+1,200)),"")))="VRKP ISPAT PVT LTD","VRKP",IF(IF(IF(ISNUMBER(SEARCH("Party Name:-",'R.M Billets Reports'!D1708)),TRIM('R.M Billets Reports'!F1708),IF(ISNUMBER(SEARCH("Party Name-",'R.M Billets Reports'!D1708)),TRIM(MID('R.M Billets Reports'!D1708,SEARCH("-",'R.M Billets Reports'!D1708)+1,200)),""))&lt;&gt;"",IF(ISNUMBER(SEARCH("Party Name:-",'R.M Billets Reports'!D1708)),TRIM('R.M Billets Reports'!F1708),IF(ISNUMBER(SEARCH("Party Name-",'R.M Billets Reports'!D1708)),TRIM(MID('R.M Billets Reports'!D1708,SEARCH("-",'R.M Billets Reports'!D1708)+1,200)),"")),IF(ISNUMBER(SEARCH("Party Name:-",'R.M Billets Reports'!D1709)),TRIM('R.M Billets Reports'!F1709),IF(ISNUMBER(SEARCH("Party Name-",'R.M Billets Reports'!D1709)),TRIM(MID('R.M Billets Reports'!D1709,SEARCH("-",'R.M Billets Reports'!D1709)+1,200)),"")))="SHRI RADHE","SHREE RADHE",IF(IF(IF(ISNUMBER(SEARCH("Party Name:-",'R.M Billets Reports'!D1708)),TRIM('R.M Billets Reports'!F1708),IF(ISNUMBER(SEARCH("Party Name-",'R.M Billets Reports'!D1708)),TRIM(MID('R.M Billets Reports'!D1708,SEARCH("-",'R.M Billets Reports'!D1708)+1,200)),""))&lt;&gt;"",IF(ISNUMBER(SEARCH("Party Name:-",'R.M Billets Reports'!D1708)),TRIM('R.M Billets Reports'!F1708),IF(ISNUMBER(SEARCH("Party Name-",'R.M Billets Reports'!D1708)),TRIM(MID('R.M Billets Reports'!D1708,SEARCH("-",'R.M Billets Reports'!D1708)+1,200)),"")),IF(ISNUMBER(SEARCH("Party Name:-",'R.M Billets Reports'!D1709)),TRIM('R.M Billets Reports'!F1709),IF(ISNUMBER(SEARCH("Party Name-",'R.M Billets Reports'!D1709)),TRIM(MID('R.M Billets Reports'!D1709,SEARCH("-",'R.M Billets Reports'!D1709)+1,200)),"")))="SHREE RADHE SHAKTI SPONGE AND POWER PVT. LTD.","SHREE RADHE",IF(IF(ISNUMBER(SEARCH("Party Name:-",'R.M Billets Reports'!D1708)),TRIM('R.M Billets Reports'!F1708),IF(ISNUMBER(SEARCH("Party Name-",'R.M Billets Reports'!D1708)),TRIM(MID('R.M Billets Reports'!D1708,SEARCH("-",'R.M Billets Reports'!D1708)+1,200)),""))&lt;&gt;"",IF(ISNUMBER(SEARCH("Party Name:-",'R.M Billets Reports'!D1708)),TRIM('R.M Billets Reports'!F1708),IF(ISNUMBER(SEARCH("Party Name-",'R.M Billets Reports'!D1708)),TRIM(MID('R.M Billets Reports'!D1708,SEARCH("-",'R.M Billets Reports'!D1708)+1,200)),"")),IF(ISNUMBER(SEARCH("Party Name:-",'R.M Billets Reports'!D1709)),TRIM('R.M Billets Reports'!F1709),IF(ISNUMBER(SEARCH("Party Name-",'R.M Billets Reports'!D1709)),TRIM(MID('R.M Billets Reports'!D1709,SEARCH("-",'R.M Billets Reports'!D1709)+1,200)),"")))))),IF(ROW()=2,"",A1708))</f>
      </c>
      <c r="B1709">
        <f>IF(OR('R.M Billets Reports'!A1708="Date-",'R.M Billets Reports'!A1708="Date:-"),'R.M Billets Reports'!B1708,IF(ROW()=2,"",B1708))</f>
      </c>
      <c r="C1709">
        <f>IF('R.M Billets Reports'!A1708="V.No.",'R.M Billets Reports'!B1708,IF(ROW()=2,"",C1708))</f>
      </c>
      <c r="D1709">
        <f>IF('R.M Billets Reports'!A1708&lt;&gt;"",'R.M Billets Reports'!A1708,IF(ROW()=2,"",D1708))</f>
      </c>
      <c r="E1709">
        <f>IF('R.M Billets Reports'!B1708="","",TRIM('R.M Billets Reports'!B1708))</f>
      </c>
      <c r="F1709">
        <f>'R.M Billets Reports'!C1708</f>
      </c>
      <c r="G1709">
        <f>'R.M Billets Reports'!D1708</f>
      </c>
      <c r="H1709">
        <f>'R.M Billets Reports'!E1708</f>
      </c>
      <c r="I1709">
        <f>'R.M Billets Reports'!F1708</f>
      </c>
      <c r="J1709">
        <f>'R.M Billets Reports'!G1708</f>
      </c>
      <c r="K1709">
        <f>'R.M Billets Reports'!H1708</f>
      </c>
      <c r="L1709">
        <f>IF('R.M Billets Reports'!I1708="","",'R.M Billets Reports'!I1708)</f>
      </c>
      <c r="M1709">
        <f t="shared" si="52"/>
      </c>
      <c r="N1709">
        <f>IF('R.M Billets Reports'!J1708="","",'R.M Billets Reports'!J1708)</f>
      </c>
      <c r="O1709">
        <f t="shared" si="53"/>
      </c>
      <c r="P1709">
        <f>IF('R.M Billets Reports'!A1708="SIZE",'R.M Billets Reports'!B1708,P1708)</f>
      </c>
    </row>
    <row r="1710" spans="1:16" x14ac:dyDescent="0.25">
      <c r="A1710">
        <f>IF(OR('R.M Billets Reports'!A1709="Date-",'R.M Billets Reports'!A1709="Date:-"),IF(IF(IF(ISNUMBER(SEARCH("Party Name:-",'R.M Billets Reports'!D1709)),TRIM('R.M Billets Reports'!F1709),IF(ISNUMBER(SEARCH("Party Name-",'R.M Billets Reports'!D1709)),TRIM(MID('R.M Billets Reports'!D1709,SEARCH("-",'R.M Billets Reports'!D1709)+1,200)),""))&lt;&gt;"",IF(ISNUMBER(SEARCH("Party Name:-",'R.M Billets Reports'!D1709)),TRIM('R.M Billets Reports'!F1709),IF(ISNUMBER(SEARCH("Party Name-",'R.M Billets Reports'!D1709)),TRIM(MID('R.M Billets Reports'!D1709,SEARCH("-",'R.M Billets Reports'!D1709)+1,200)),"")),IF(ISNUMBER(SEARCH("Party Name:-",'R.M Billets Reports'!D1710)),TRIM('R.M Billets Reports'!F1710),IF(ISNUMBER(SEARCH("Party Name-",'R.M Billets Reports'!D1710)),TRIM(MID('R.M Billets Reports'!D1710,SEARCH("-",'R.M Billets Reports'!D1710)+1,200)),"")))="VRKP ISPAT PVT LTD","VRKP",IF(IF(IF(ISNUMBER(SEARCH("Party Name:-",'R.M Billets Reports'!D1709)),TRIM('R.M Billets Reports'!F1709),IF(ISNUMBER(SEARCH("Party Name-",'R.M Billets Reports'!D1709)),TRIM(MID('R.M Billets Reports'!D1709,SEARCH("-",'R.M Billets Reports'!D1709)+1,200)),""))&lt;&gt;"",IF(ISNUMBER(SEARCH("Party Name:-",'R.M Billets Reports'!D1709)),TRIM('R.M Billets Reports'!F1709),IF(ISNUMBER(SEARCH("Party Name-",'R.M Billets Reports'!D1709)),TRIM(MID('R.M Billets Reports'!D1709,SEARCH("-",'R.M Billets Reports'!D1709)+1,200)),"")),IF(ISNUMBER(SEARCH("Party Name:-",'R.M Billets Reports'!D1710)),TRIM('R.M Billets Reports'!F1710),IF(ISNUMBER(SEARCH("Party Name-",'R.M Billets Reports'!D1710)),TRIM(MID('R.M Billets Reports'!D1710,SEARCH("-",'R.M Billets Reports'!D1710)+1,200)),"")))="SHRI RADHE","SHREE RADHE",IF(IF(IF(ISNUMBER(SEARCH("Party Name:-",'R.M Billets Reports'!D1709)),TRIM('R.M Billets Reports'!F1709),IF(ISNUMBER(SEARCH("Party Name-",'R.M Billets Reports'!D1709)),TRIM(MID('R.M Billets Reports'!D1709,SEARCH("-",'R.M Billets Reports'!D1709)+1,200)),""))&lt;&gt;"",IF(ISNUMBER(SEARCH("Party Name:-",'R.M Billets Reports'!D1709)),TRIM('R.M Billets Reports'!F1709),IF(ISNUMBER(SEARCH("Party Name-",'R.M Billets Reports'!D1709)),TRIM(MID('R.M Billets Reports'!D1709,SEARCH("-",'R.M Billets Reports'!D1709)+1,200)),"")),IF(ISNUMBER(SEARCH("Party Name:-",'R.M Billets Reports'!D1710)),TRIM('R.M Billets Reports'!F1710),IF(ISNUMBER(SEARCH("Party Name-",'R.M Billets Reports'!D1710)),TRIM(MID('R.M Billets Reports'!D1710,SEARCH("-",'R.M Billets Reports'!D1710)+1,200)),"")))="SHREE RADHE SHAKTI SPONGE AND POWER PVT. LTD.","SHREE RADHE",IF(IF(ISNUMBER(SEARCH("Party Name:-",'R.M Billets Reports'!D1709)),TRIM('R.M Billets Reports'!F1709),IF(ISNUMBER(SEARCH("Party Name-",'R.M Billets Reports'!D1709)),TRIM(MID('R.M Billets Reports'!D1709,SEARCH("-",'R.M Billets Reports'!D1709)+1,200)),""))&lt;&gt;"",IF(ISNUMBER(SEARCH("Party Name:-",'R.M Billets Reports'!D1709)),TRIM('R.M Billets Reports'!F1709),IF(ISNUMBER(SEARCH("Party Name-",'R.M Billets Reports'!D1709)),TRIM(MID('R.M Billets Reports'!D1709,SEARCH("-",'R.M Billets Reports'!D1709)+1,200)),"")),IF(ISNUMBER(SEARCH("Party Name:-",'R.M Billets Reports'!D1710)),TRIM('R.M Billets Reports'!F1710),IF(ISNUMBER(SEARCH("Party Name-",'R.M Billets Reports'!D1710)),TRIM(MID('R.M Billets Reports'!D1710,SEARCH("-",'R.M Billets Reports'!D1710)+1,200)),"")))))),IF(ROW()=2,"",A1709))</f>
      </c>
      <c r="B1710">
        <f>IF(OR('R.M Billets Reports'!A1709="Date-",'R.M Billets Reports'!A1709="Date:-"),'R.M Billets Reports'!B1709,IF(ROW()=2,"",B1709))</f>
      </c>
      <c r="C1710">
        <f>IF('R.M Billets Reports'!A1709="V.No.",'R.M Billets Reports'!B1709,IF(ROW()=2,"",C1709))</f>
      </c>
      <c r="D1710">
        <f>IF('R.M Billets Reports'!A1709&lt;&gt;"",'R.M Billets Reports'!A1709,IF(ROW()=2,"",D1709))</f>
      </c>
      <c r="E1710">
        <f>IF('R.M Billets Reports'!B1709="","",TRIM('R.M Billets Reports'!B1709))</f>
      </c>
      <c r="F1710">
        <f>'R.M Billets Reports'!C1709</f>
      </c>
      <c r="G1710">
        <f>'R.M Billets Reports'!D1709</f>
      </c>
      <c r="H1710">
        <f>'R.M Billets Reports'!E1709</f>
      </c>
      <c r="I1710">
        <f>'R.M Billets Reports'!F1709</f>
      </c>
      <c r="J1710">
        <f>'R.M Billets Reports'!G1709</f>
      </c>
      <c r="K1710">
        <f>'R.M Billets Reports'!H1709</f>
      </c>
      <c r="L1710">
        <f>IF('R.M Billets Reports'!I1709="","",'R.M Billets Reports'!I1709)</f>
      </c>
      <c r="M1710">
        <f t="shared" si="52"/>
      </c>
      <c r="N1710">
        <f>IF('R.M Billets Reports'!J1709="","",'R.M Billets Reports'!J1709)</f>
      </c>
      <c r="O1710">
        <f t="shared" si="53"/>
      </c>
      <c r="P1710">
        <f>IF('R.M Billets Reports'!A1709="SIZE",'R.M Billets Reports'!B1709,P1709)</f>
      </c>
    </row>
    <row r="1711" spans="1:16" x14ac:dyDescent="0.25">
      <c r="A1711">
        <f>IF(OR('R.M Billets Reports'!A1710="Date-",'R.M Billets Reports'!A1710="Date:-"),IF(IF(IF(ISNUMBER(SEARCH("Party Name:-",'R.M Billets Reports'!D1710)),TRIM('R.M Billets Reports'!F1710),IF(ISNUMBER(SEARCH("Party Name-",'R.M Billets Reports'!D1710)),TRIM(MID('R.M Billets Reports'!D1710,SEARCH("-",'R.M Billets Reports'!D1710)+1,200)),""))&lt;&gt;"",IF(ISNUMBER(SEARCH("Party Name:-",'R.M Billets Reports'!D1710)),TRIM('R.M Billets Reports'!F1710),IF(ISNUMBER(SEARCH("Party Name-",'R.M Billets Reports'!D1710)),TRIM(MID('R.M Billets Reports'!D1710,SEARCH("-",'R.M Billets Reports'!D1710)+1,200)),"")),IF(ISNUMBER(SEARCH("Party Name:-",'R.M Billets Reports'!D1711)),TRIM('R.M Billets Reports'!F1711),IF(ISNUMBER(SEARCH("Party Name-",'R.M Billets Reports'!D1711)),TRIM(MID('R.M Billets Reports'!D1711,SEARCH("-",'R.M Billets Reports'!D1711)+1,200)),"")))="VRKP ISPAT PVT LTD","VRKP",IF(IF(IF(ISNUMBER(SEARCH("Party Name:-",'R.M Billets Reports'!D1710)),TRIM('R.M Billets Reports'!F1710),IF(ISNUMBER(SEARCH("Party Name-",'R.M Billets Reports'!D1710)),TRIM(MID('R.M Billets Reports'!D1710,SEARCH("-",'R.M Billets Reports'!D1710)+1,200)),""))&lt;&gt;"",IF(ISNUMBER(SEARCH("Party Name:-",'R.M Billets Reports'!D1710)),TRIM('R.M Billets Reports'!F1710),IF(ISNUMBER(SEARCH("Party Name-",'R.M Billets Reports'!D1710)),TRIM(MID('R.M Billets Reports'!D1710,SEARCH("-",'R.M Billets Reports'!D1710)+1,200)),"")),IF(ISNUMBER(SEARCH("Party Name:-",'R.M Billets Reports'!D1711)),TRIM('R.M Billets Reports'!F1711),IF(ISNUMBER(SEARCH("Party Name-",'R.M Billets Reports'!D1711)),TRIM(MID('R.M Billets Reports'!D1711,SEARCH("-",'R.M Billets Reports'!D1711)+1,200)),"")))="SHRI RADHE","SHREE RADHE",IF(IF(IF(ISNUMBER(SEARCH("Party Name:-",'R.M Billets Reports'!D1710)),TRIM('R.M Billets Reports'!F1710),IF(ISNUMBER(SEARCH("Party Name-",'R.M Billets Reports'!D1710)),TRIM(MID('R.M Billets Reports'!D1710,SEARCH("-",'R.M Billets Reports'!D1710)+1,200)),""))&lt;&gt;"",IF(ISNUMBER(SEARCH("Party Name:-",'R.M Billets Reports'!D1710)),TRIM('R.M Billets Reports'!F1710),IF(ISNUMBER(SEARCH("Party Name-",'R.M Billets Reports'!D1710)),TRIM(MID('R.M Billets Reports'!D1710,SEARCH("-",'R.M Billets Reports'!D1710)+1,200)),"")),IF(ISNUMBER(SEARCH("Party Name:-",'R.M Billets Reports'!D1711)),TRIM('R.M Billets Reports'!F1711),IF(ISNUMBER(SEARCH("Party Name-",'R.M Billets Reports'!D1711)),TRIM(MID('R.M Billets Reports'!D1711,SEARCH("-",'R.M Billets Reports'!D1711)+1,200)),"")))="SHREE RADHE SHAKTI SPONGE AND POWER PVT. LTD.","SHREE RADHE",IF(IF(ISNUMBER(SEARCH("Party Name:-",'R.M Billets Reports'!D1710)),TRIM('R.M Billets Reports'!F1710),IF(ISNUMBER(SEARCH("Party Name-",'R.M Billets Reports'!D1710)),TRIM(MID('R.M Billets Reports'!D1710,SEARCH("-",'R.M Billets Reports'!D1710)+1,200)),""))&lt;&gt;"",IF(ISNUMBER(SEARCH("Party Name:-",'R.M Billets Reports'!D1710)),TRIM('R.M Billets Reports'!F1710),IF(ISNUMBER(SEARCH("Party Name-",'R.M Billets Reports'!D1710)),TRIM(MID('R.M Billets Reports'!D1710,SEARCH("-",'R.M Billets Reports'!D1710)+1,200)),"")),IF(ISNUMBER(SEARCH("Party Name:-",'R.M Billets Reports'!D1711)),TRIM('R.M Billets Reports'!F1711),IF(ISNUMBER(SEARCH("Party Name-",'R.M Billets Reports'!D1711)),TRIM(MID('R.M Billets Reports'!D1711,SEARCH("-",'R.M Billets Reports'!D1711)+1,200)),"")))))),IF(ROW()=2,"",A1710))</f>
      </c>
      <c r="B1711">
        <f>IF(OR('R.M Billets Reports'!A1710="Date-",'R.M Billets Reports'!A1710="Date:-"),'R.M Billets Reports'!B1710,IF(ROW()=2,"",B1710))</f>
      </c>
      <c r="C1711">
        <f>IF('R.M Billets Reports'!A1710="V.No.",'R.M Billets Reports'!B1710,IF(ROW()=2,"",C1710))</f>
      </c>
      <c r="D1711">
        <f>IF('R.M Billets Reports'!A1710&lt;&gt;"",'R.M Billets Reports'!A1710,IF(ROW()=2,"",D1710))</f>
      </c>
      <c r="E1711">
        <f>IF('R.M Billets Reports'!B1710="","",TRIM('R.M Billets Reports'!B1710))</f>
      </c>
      <c r="F1711">
        <f>'R.M Billets Reports'!C1710</f>
      </c>
      <c r="G1711">
        <f>'R.M Billets Reports'!D1710</f>
      </c>
      <c r="H1711">
        <f>'R.M Billets Reports'!E1710</f>
      </c>
      <c r="I1711">
        <f>'R.M Billets Reports'!F1710</f>
      </c>
      <c r="J1711">
        <f>'R.M Billets Reports'!G1710</f>
      </c>
      <c r="K1711">
        <f>'R.M Billets Reports'!H1710</f>
      </c>
      <c r="L1711">
        <f>IF('R.M Billets Reports'!I1710="","",'R.M Billets Reports'!I1710)</f>
      </c>
      <c r="M1711">
        <f t="shared" si="52"/>
      </c>
      <c r="N1711">
        <f>IF('R.M Billets Reports'!J1710="","",'R.M Billets Reports'!J1710)</f>
      </c>
      <c r="O1711">
        <f t="shared" si="53"/>
      </c>
      <c r="P1711">
        <f>IF('R.M Billets Reports'!A1710="SIZE",'R.M Billets Reports'!B1710,P1710)</f>
      </c>
    </row>
    <row r="1712" spans="1:16" x14ac:dyDescent="0.25">
      <c r="A1712">
        <f>IF(OR('R.M Billets Reports'!A1711="Date-",'R.M Billets Reports'!A1711="Date:-"),IF(IF(IF(ISNUMBER(SEARCH("Party Name:-",'R.M Billets Reports'!D1711)),TRIM('R.M Billets Reports'!F1711),IF(ISNUMBER(SEARCH("Party Name-",'R.M Billets Reports'!D1711)),TRIM(MID('R.M Billets Reports'!D1711,SEARCH("-",'R.M Billets Reports'!D1711)+1,200)),""))&lt;&gt;"",IF(ISNUMBER(SEARCH("Party Name:-",'R.M Billets Reports'!D1711)),TRIM('R.M Billets Reports'!F1711),IF(ISNUMBER(SEARCH("Party Name-",'R.M Billets Reports'!D1711)),TRIM(MID('R.M Billets Reports'!D1711,SEARCH("-",'R.M Billets Reports'!D1711)+1,200)),"")),IF(ISNUMBER(SEARCH("Party Name:-",'R.M Billets Reports'!D1712)),TRIM('R.M Billets Reports'!F1712),IF(ISNUMBER(SEARCH("Party Name-",'R.M Billets Reports'!D1712)),TRIM(MID('R.M Billets Reports'!D1712,SEARCH("-",'R.M Billets Reports'!D1712)+1,200)),"")))="VRKP ISPAT PVT LTD","VRKP",IF(IF(IF(ISNUMBER(SEARCH("Party Name:-",'R.M Billets Reports'!D1711)),TRIM('R.M Billets Reports'!F1711),IF(ISNUMBER(SEARCH("Party Name-",'R.M Billets Reports'!D1711)),TRIM(MID('R.M Billets Reports'!D1711,SEARCH("-",'R.M Billets Reports'!D1711)+1,200)),""))&lt;&gt;"",IF(ISNUMBER(SEARCH("Party Name:-",'R.M Billets Reports'!D1711)),TRIM('R.M Billets Reports'!F1711),IF(ISNUMBER(SEARCH("Party Name-",'R.M Billets Reports'!D1711)),TRIM(MID('R.M Billets Reports'!D1711,SEARCH("-",'R.M Billets Reports'!D1711)+1,200)),"")),IF(ISNUMBER(SEARCH("Party Name:-",'R.M Billets Reports'!D1712)),TRIM('R.M Billets Reports'!F1712),IF(ISNUMBER(SEARCH("Party Name-",'R.M Billets Reports'!D1712)),TRIM(MID('R.M Billets Reports'!D1712,SEARCH("-",'R.M Billets Reports'!D1712)+1,200)),"")))="SHRI RADHE","SHREE RADHE",IF(IF(IF(ISNUMBER(SEARCH("Party Name:-",'R.M Billets Reports'!D1711)),TRIM('R.M Billets Reports'!F1711),IF(ISNUMBER(SEARCH("Party Name-",'R.M Billets Reports'!D1711)),TRIM(MID('R.M Billets Reports'!D1711,SEARCH("-",'R.M Billets Reports'!D1711)+1,200)),""))&lt;&gt;"",IF(ISNUMBER(SEARCH("Party Name:-",'R.M Billets Reports'!D1711)),TRIM('R.M Billets Reports'!F1711),IF(ISNUMBER(SEARCH("Party Name-",'R.M Billets Reports'!D1711)),TRIM(MID('R.M Billets Reports'!D1711,SEARCH("-",'R.M Billets Reports'!D1711)+1,200)),"")),IF(ISNUMBER(SEARCH("Party Name:-",'R.M Billets Reports'!D1712)),TRIM('R.M Billets Reports'!F1712),IF(ISNUMBER(SEARCH("Party Name-",'R.M Billets Reports'!D1712)),TRIM(MID('R.M Billets Reports'!D1712,SEARCH("-",'R.M Billets Reports'!D1712)+1,200)),"")))="SHREE RADHE SHAKTI SPONGE AND POWER PVT. LTD.","SHREE RADHE",IF(IF(ISNUMBER(SEARCH("Party Name:-",'R.M Billets Reports'!D1711)),TRIM('R.M Billets Reports'!F1711),IF(ISNUMBER(SEARCH("Party Name-",'R.M Billets Reports'!D1711)),TRIM(MID('R.M Billets Reports'!D1711,SEARCH("-",'R.M Billets Reports'!D1711)+1,200)),""))&lt;&gt;"",IF(ISNUMBER(SEARCH("Party Name:-",'R.M Billets Reports'!D1711)),TRIM('R.M Billets Reports'!F1711),IF(ISNUMBER(SEARCH("Party Name-",'R.M Billets Reports'!D1711)),TRIM(MID('R.M Billets Reports'!D1711,SEARCH("-",'R.M Billets Reports'!D1711)+1,200)),"")),IF(ISNUMBER(SEARCH("Party Name:-",'R.M Billets Reports'!D1712)),TRIM('R.M Billets Reports'!F1712),IF(ISNUMBER(SEARCH("Party Name-",'R.M Billets Reports'!D1712)),TRIM(MID('R.M Billets Reports'!D1712,SEARCH("-",'R.M Billets Reports'!D1712)+1,200)),"")))))),IF(ROW()=2,"",A1711))</f>
      </c>
      <c r="B1712">
        <f>IF(OR('R.M Billets Reports'!A1711="Date-",'R.M Billets Reports'!A1711="Date:-"),'R.M Billets Reports'!B1711,IF(ROW()=2,"",B1711))</f>
      </c>
      <c r="C1712">
        <f>IF('R.M Billets Reports'!A1711="V.No.",'R.M Billets Reports'!B1711,IF(ROW()=2,"",C1711))</f>
      </c>
      <c r="D1712">
        <f>IF('R.M Billets Reports'!A1711&lt;&gt;"",'R.M Billets Reports'!A1711,IF(ROW()=2,"",D1711))</f>
      </c>
      <c r="E1712">
        <f>IF('R.M Billets Reports'!B1711="","",TRIM('R.M Billets Reports'!B1711))</f>
      </c>
      <c r="F1712">
        <f>'R.M Billets Reports'!C1711</f>
      </c>
      <c r="G1712">
        <f>'R.M Billets Reports'!D1711</f>
      </c>
      <c r="H1712">
        <f>'R.M Billets Reports'!E1711</f>
      </c>
      <c r="I1712">
        <f>'R.M Billets Reports'!F1711</f>
      </c>
      <c r="J1712">
        <f>'R.M Billets Reports'!G1711</f>
      </c>
      <c r="K1712">
        <f>'R.M Billets Reports'!H1711</f>
      </c>
      <c r="L1712">
        <f>IF('R.M Billets Reports'!I1711="","",'R.M Billets Reports'!I1711)</f>
      </c>
      <c r="M1712">
        <f t="shared" si="52"/>
      </c>
      <c r="N1712">
        <f>IF('R.M Billets Reports'!J1711="","",'R.M Billets Reports'!J1711)</f>
      </c>
      <c r="O1712">
        <f t="shared" si="53"/>
      </c>
      <c r="P1712">
        <f>IF('R.M Billets Reports'!A1711="SIZE",'R.M Billets Reports'!B1711,P1711)</f>
      </c>
    </row>
    <row r="1713" spans="1:16" x14ac:dyDescent="0.25">
      <c r="A1713">
        <f>IF(OR('R.M Billets Reports'!A1712="Date-",'R.M Billets Reports'!A1712="Date:-"),IF(IF(IF(ISNUMBER(SEARCH("Party Name:-",'R.M Billets Reports'!D1712)),TRIM('R.M Billets Reports'!F1712),IF(ISNUMBER(SEARCH("Party Name-",'R.M Billets Reports'!D1712)),TRIM(MID('R.M Billets Reports'!D1712,SEARCH("-",'R.M Billets Reports'!D1712)+1,200)),""))&lt;&gt;"",IF(ISNUMBER(SEARCH("Party Name:-",'R.M Billets Reports'!D1712)),TRIM('R.M Billets Reports'!F1712),IF(ISNUMBER(SEARCH("Party Name-",'R.M Billets Reports'!D1712)),TRIM(MID('R.M Billets Reports'!D1712,SEARCH("-",'R.M Billets Reports'!D1712)+1,200)),"")),IF(ISNUMBER(SEARCH("Party Name:-",'R.M Billets Reports'!D1713)),TRIM('R.M Billets Reports'!F1713),IF(ISNUMBER(SEARCH("Party Name-",'R.M Billets Reports'!D1713)),TRIM(MID('R.M Billets Reports'!D1713,SEARCH("-",'R.M Billets Reports'!D1713)+1,200)),"")))="VRKP ISPAT PVT LTD","VRKP",IF(IF(IF(ISNUMBER(SEARCH("Party Name:-",'R.M Billets Reports'!D1712)),TRIM('R.M Billets Reports'!F1712),IF(ISNUMBER(SEARCH("Party Name-",'R.M Billets Reports'!D1712)),TRIM(MID('R.M Billets Reports'!D1712,SEARCH("-",'R.M Billets Reports'!D1712)+1,200)),""))&lt;&gt;"",IF(ISNUMBER(SEARCH("Party Name:-",'R.M Billets Reports'!D1712)),TRIM('R.M Billets Reports'!F1712),IF(ISNUMBER(SEARCH("Party Name-",'R.M Billets Reports'!D1712)),TRIM(MID('R.M Billets Reports'!D1712,SEARCH("-",'R.M Billets Reports'!D1712)+1,200)),"")),IF(ISNUMBER(SEARCH("Party Name:-",'R.M Billets Reports'!D1713)),TRIM('R.M Billets Reports'!F1713),IF(ISNUMBER(SEARCH("Party Name-",'R.M Billets Reports'!D1713)),TRIM(MID('R.M Billets Reports'!D1713,SEARCH("-",'R.M Billets Reports'!D1713)+1,200)),"")))="SHRI RADHE","SHREE RADHE",IF(IF(IF(ISNUMBER(SEARCH("Party Name:-",'R.M Billets Reports'!D1712)),TRIM('R.M Billets Reports'!F1712),IF(ISNUMBER(SEARCH("Party Name-",'R.M Billets Reports'!D1712)),TRIM(MID('R.M Billets Reports'!D1712,SEARCH("-",'R.M Billets Reports'!D1712)+1,200)),""))&lt;&gt;"",IF(ISNUMBER(SEARCH("Party Name:-",'R.M Billets Reports'!D1712)),TRIM('R.M Billets Reports'!F1712),IF(ISNUMBER(SEARCH("Party Name-",'R.M Billets Reports'!D1712)),TRIM(MID('R.M Billets Reports'!D1712,SEARCH("-",'R.M Billets Reports'!D1712)+1,200)),"")),IF(ISNUMBER(SEARCH("Party Name:-",'R.M Billets Reports'!D1713)),TRIM('R.M Billets Reports'!F1713),IF(ISNUMBER(SEARCH("Party Name-",'R.M Billets Reports'!D1713)),TRIM(MID('R.M Billets Reports'!D1713,SEARCH("-",'R.M Billets Reports'!D1713)+1,200)),"")))="SHREE RADHE SHAKTI SPONGE AND POWER PVT. LTD.","SHREE RADHE",IF(IF(ISNUMBER(SEARCH("Party Name:-",'R.M Billets Reports'!D1712)),TRIM('R.M Billets Reports'!F1712),IF(ISNUMBER(SEARCH("Party Name-",'R.M Billets Reports'!D1712)),TRIM(MID('R.M Billets Reports'!D1712,SEARCH("-",'R.M Billets Reports'!D1712)+1,200)),""))&lt;&gt;"",IF(ISNUMBER(SEARCH("Party Name:-",'R.M Billets Reports'!D1712)),TRIM('R.M Billets Reports'!F1712),IF(ISNUMBER(SEARCH("Party Name-",'R.M Billets Reports'!D1712)),TRIM(MID('R.M Billets Reports'!D1712,SEARCH("-",'R.M Billets Reports'!D1712)+1,200)),"")),IF(ISNUMBER(SEARCH("Party Name:-",'R.M Billets Reports'!D1713)),TRIM('R.M Billets Reports'!F1713),IF(ISNUMBER(SEARCH("Party Name-",'R.M Billets Reports'!D1713)),TRIM(MID('R.M Billets Reports'!D1713,SEARCH("-",'R.M Billets Reports'!D1713)+1,200)),"")))))),IF(ROW()=2,"",A1712))</f>
      </c>
      <c r="B1713">
        <f>IF(OR('R.M Billets Reports'!A1712="Date-",'R.M Billets Reports'!A1712="Date:-"),'R.M Billets Reports'!B1712,IF(ROW()=2,"",B1712))</f>
      </c>
      <c r="C1713">
        <f>IF('R.M Billets Reports'!A1712="V.No.",'R.M Billets Reports'!B1712,IF(ROW()=2,"",C1712))</f>
      </c>
      <c r="D1713">
        <f>IF('R.M Billets Reports'!A1712&lt;&gt;"",'R.M Billets Reports'!A1712,IF(ROW()=2,"",D1712))</f>
      </c>
      <c r="E1713">
        <f>IF('R.M Billets Reports'!B1712="","",TRIM('R.M Billets Reports'!B1712))</f>
      </c>
      <c r="F1713">
        <f>'R.M Billets Reports'!C1712</f>
      </c>
      <c r="G1713">
        <f>'R.M Billets Reports'!D1712</f>
      </c>
      <c r="H1713">
        <f>'R.M Billets Reports'!E1712</f>
      </c>
      <c r="I1713">
        <f>'R.M Billets Reports'!F1712</f>
      </c>
      <c r="J1713">
        <f>'R.M Billets Reports'!G1712</f>
      </c>
      <c r="K1713">
        <f>'R.M Billets Reports'!H1712</f>
      </c>
      <c r="L1713">
        <f>IF('R.M Billets Reports'!I1712="","",'R.M Billets Reports'!I1712)</f>
      </c>
      <c r="M1713">
        <f t="shared" si="52"/>
      </c>
      <c r="N1713">
        <f>IF('R.M Billets Reports'!J1712="","",'R.M Billets Reports'!J1712)</f>
      </c>
      <c r="O1713">
        <f t="shared" si="53"/>
      </c>
      <c r="P1713">
        <f>IF('R.M Billets Reports'!A1712="SIZE",'R.M Billets Reports'!B1712,P1712)</f>
      </c>
    </row>
    <row r="1714" spans="1:16" x14ac:dyDescent="0.25">
      <c r="A1714">
        <f>IF(OR('R.M Billets Reports'!A1713="Date-",'R.M Billets Reports'!A1713="Date:-"),IF(IF(IF(ISNUMBER(SEARCH("Party Name:-",'R.M Billets Reports'!D1713)),TRIM('R.M Billets Reports'!F1713),IF(ISNUMBER(SEARCH("Party Name-",'R.M Billets Reports'!D1713)),TRIM(MID('R.M Billets Reports'!D1713,SEARCH("-",'R.M Billets Reports'!D1713)+1,200)),""))&lt;&gt;"",IF(ISNUMBER(SEARCH("Party Name:-",'R.M Billets Reports'!D1713)),TRIM('R.M Billets Reports'!F1713),IF(ISNUMBER(SEARCH("Party Name-",'R.M Billets Reports'!D1713)),TRIM(MID('R.M Billets Reports'!D1713,SEARCH("-",'R.M Billets Reports'!D1713)+1,200)),"")),IF(ISNUMBER(SEARCH("Party Name:-",'R.M Billets Reports'!D1714)),TRIM('R.M Billets Reports'!F1714),IF(ISNUMBER(SEARCH("Party Name-",'R.M Billets Reports'!D1714)),TRIM(MID('R.M Billets Reports'!D1714,SEARCH("-",'R.M Billets Reports'!D1714)+1,200)),"")))="VRKP ISPAT PVT LTD","VRKP",IF(IF(IF(ISNUMBER(SEARCH("Party Name:-",'R.M Billets Reports'!D1713)),TRIM('R.M Billets Reports'!F1713),IF(ISNUMBER(SEARCH("Party Name-",'R.M Billets Reports'!D1713)),TRIM(MID('R.M Billets Reports'!D1713,SEARCH("-",'R.M Billets Reports'!D1713)+1,200)),""))&lt;&gt;"",IF(ISNUMBER(SEARCH("Party Name:-",'R.M Billets Reports'!D1713)),TRIM('R.M Billets Reports'!F1713),IF(ISNUMBER(SEARCH("Party Name-",'R.M Billets Reports'!D1713)),TRIM(MID('R.M Billets Reports'!D1713,SEARCH("-",'R.M Billets Reports'!D1713)+1,200)),"")),IF(ISNUMBER(SEARCH("Party Name:-",'R.M Billets Reports'!D1714)),TRIM('R.M Billets Reports'!F1714),IF(ISNUMBER(SEARCH("Party Name-",'R.M Billets Reports'!D1714)),TRIM(MID('R.M Billets Reports'!D1714,SEARCH("-",'R.M Billets Reports'!D1714)+1,200)),"")))="SHRI RADHE","SHREE RADHE",IF(IF(IF(ISNUMBER(SEARCH("Party Name:-",'R.M Billets Reports'!D1713)),TRIM('R.M Billets Reports'!F1713),IF(ISNUMBER(SEARCH("Party Name-",'R.M Billets Reports'!D1713)),TRIM(MID('R.M Billets Reports'!D1713,SEARCH("-",'R.M Billets Reports'!D1713)+1,200)),""))&lt;&gt;"",IF(ISNUMBER(SEARCH("Party Name:-",'R.M Billets Reports'!D1713)),TRIM('R.M Billets Reports'!F1713),IF(ISNUMBER(SEARCH("Party Name-",'R.M Billets Reports'!D1713)),TRIM(MID('R.M Billets Reports'!D1713,SEARCH("-",'R.M Billets Reports'!D1713)+1,200)),"")),IF(ISNUMBER(SEARCH("Party Name:-",'R.M Billets Reports'!D1714)),TRIM('R.M Billets Reports'!F1714),IF(ISNUMBER(SEARCH("Party Name-",'R.M Billets Reports'!D1714)),TRIM(MID('R.M Billets Reports'!D1714,SEARCH("-",'R.M Billets Reports'!D1714)+1,200)),"")))="SHREE RADHE SHAKTI SPONGE AND POWER PVT. LTD.","SHREE RADHE",IF(IF(ISNUMBER(SEARCH("Party Name:-",'R.M Billets Reports'!D1713)),TRIM('R.M Billets Reports'!F1713),IF(ISNUMBER(SEARCH("Party Name-",'R.M Billets Reports'!D1713)),TRIM(MID('R.M Billets Reports'!D1713,SEARCH("-",'R.M Billets Reports'!D1713)+1,200)),""))&lt;&gt;"",IF(ISNUMBER(SEARCH("Party Name:-",'R.M Billets Reports'!D1713)),TRIM('R.M Billets Reports'!F1713),IF(ISNUMBER(SEARCH("Party Name-",'R.M Billets Reports'!D1713)),TRIM(MID('R.M Billets Reports'!D1713,SEARCH("-",'R.M Billets Reports'!D1713)+1,200)),"")),IF(ISNUMBER(SEARCH("Party Name:-",'R.M Billets Reports'!D1714)),TRIM('R.M Billets Reports'!F1714),IF(ISNUMBER(SEARCH("Party Name-",'R.M Billets Reports'!D1714)),TRIM(MID('R.M Billets Reports'!D1714,SEARCH("-",'R.M Billets Reports'!D1714)+1,200)),"")))))),IF(ROW()=2,"",A1713))</f>
      </c>
      <c r="B1714">
        <f>IF(OR('R.M Billets Reports'!A1713="Date-",'R.M Billets Reports'!A1713="Date:-"),'R.M Billets Reports'!B1713,IF(ROW()=2,"",B1713))</f>
      </c>
      <c r="C1714">
        <f>IF('R.M Billets Reports'!A1713="V.No.",'R.M Billets Reports'!B1713,IF(ROW()=2,"",C1713))</f>
      </c>
      <c r="D1714">
        <f>IF('R.M Billets Reports'!A1713&lt;&gt;"",'R.M Billets Reports'!A1713,IF(ROW()=2,"",D1713))</f>
      </c>
      <c r="E1714">
        <f>IF('R.M Billets Reports'!B1713="","",TRIM('R.M Billets Reports'!B1713))</f>
      </c>
      <c r="F1714">
        <f>'R.M Billets Reports'!C1713</f>
      </c>
      <c r="G1714">
        <f>'R.M Billets Reports'!D1713</f>
      </c>
      <c r="H1714">
        <f>'R.M Billets Reports'!E1713</f>
      </c>
      <c r="I1714">
        <f>'R.M Billets Reports'!F1713</f>
      </c>
      <c r="J1714">
        <f>'R.M Billets Reports'!G1713</f>
      </c>
      <c r="K1714">
        <f>'R.M Billets Reports'!H1713</f>
      </c>
      <c r="L1714">
        <f>IF('R.M Billets Reports'!I1713="","",'R.M Billets Reports'!I1713)</f>
      </c>
      <c r="M1714">
        <f t="shared" si="52"/>
      </c>
      <c r="N1714">
        <f>IF('R.M Billets Reports'!J1713="","",'R.M Billets Reports'!J1713)</f>
      </c>
      <c r="O1714">
        <f t="shared" si="53"/>
      </c>
      <c r="P1714">
        <f>IF('R.M Billets Reports'!A1713="SIZE",'R.M Billets Reports'!B1713,P1713)</f>
      </c>
    </row>
    <row r="1715" spans="1:16" x14ac:dyDescent="0.25">
      <c r="A1715">
        <f>IF(OR('R.M Billets Reports'!A1714="Date-",'R.M Billets Reports'!A1714="Date:-"),IF(IF(IF(ISNUMBER(SEARCH("Party Name:-",'R.M Billets Reports'!D1714)),TRIM('R.M Billets Reports'!F1714),IF(ISNUMBER(SEARCH("Party Name-",'R.M Billets Reports'!D1714)),TRIM(MID('R.M Billets Reports'!D1714,SEARCH("-",'R.M Billets Reports'!D1714)+1,200)),""))&lt;&gt;"",IF(ISNUMBER(SEARCH("Party Name:-",'R.M Billets Reports'!D1714)),TRIM('R.M Billets Reports'!F1714),IF(ISNUMBER(SEARCH("Party Name-",'R.M Billets Reports'!D1714)),TRIM(MID('R.M Billets Reports'!D1714,SEARCH("-",'R.M Billets Reports'!D1714)+1,200)),"")),IF(ISNUMBER(SEARCH("Party Name:-",'R.M Billets Reports'!D1715)),TRIM('R.M Billets Reports'!F1715),IF(ISNUMBER(SEARCH("Party Name-",'R.M Billets Reports'!D1715)),TRIM(MID('R.M Billets Reports'!D1715,SEARCH("-",'R.M Billets Reports'!D1715)+1,200)),"")))="VRKP ISPAT PVT LTD","VRKP",IF(IF(IF(ISNUMBER(SEARCH("Party Name:-",'R.M Billets Reports'!D1714)),TRIM('R.M Billets Reports'!F1714),IF(ISNUMBER(SEARCH("Party Name-",'R.M Billets Reports'!D1714)),TRIM(MID('R.M Billets Reports'!D1714,SEARCH("-",'R.M Billets Reports'!D1714)+1,200)),""))&lt;&gt;"",IF(ISNUMBER(SEARCH("Party Name:-",'R.M Billets Reports'!D1714)),TRIM('R.M Billets Reports'!F1714),IF(ISNUMBER(SEARCH("Party Name-",'R.M Billets Reports'!D1714)),TRIM(MID('R.M Billets Reports'!D1714,SEARCH("-",'R.M Billets Reports'!D1714)+1,200)),"")),IF(ISNUMBER(SEARCH("Party Name:-",'R.M Billets Reports'!D1715)),TRIM('R.M Billets Reports'!F1715),IF(ISNUMBER(SEARCH("Party Name-",'R.M Billets Reports'!D1715)),TRIM(MID('R.M Billets Reports'!D1715,SEARCH("-",'R.M Billets Reports'!D1715)+1,200)),"")))="SHRI RADHE","SHREE RADHE",IF(IF(IF(ISNUMBER(SEARCH("Party Name:-",'R.M Billets Reports'!D1714)),TRIM('R.M Billets Reports'!F1714),IF(ISNUMBER(SEARCH("Party Name-",'R.M Billets Reports'!D1714)),TRIM(MID('R.M Billets Reports'!D1714,SEARCH("-",'R.M Billets Reports'!D1714)+1,200)),""))&lt;&gt;"",IF(ISNUMBER(SEARCH("Party Name:-",'R.M Billets Reports'!D1714)),TRIM('R.M Billets Reports'!F1714),IF(ISNUMBER(SEARCH("Party Name-",'R.M Billets Reports'!D1714)),TRIM(MID('R.M Billets Reports'!D1714,SEARCH("-",'R.M Billets Reports'!D1714)+1,200)),"")),IF(ISNUMBER(SEARCH("Party Name:-",'R.M Billets Reports'!D1715)),TRIM('R.M Billets Reports'!F1715),IF(ISNUMBER(SEARCH("Party Name-",'R.M Billets Reports'!D1715)),TRIM(MID('R.M Billets Reports'!D1715,SEARCH("-",'R.M Billets Reports'!D1715)+1,200)),"")))="SHREE RADHE SHAKTI SPONGE AND POWER PVT. LTD.","SHREE RADHE",IF(IF(ISNUMBER(SEARCH("Party Name:-",'R.M Billets Reports'!D1714)),TRIM('R.M Billets Reports'!F1714),IF(ISNUMBER(SEARCH("Party Name-",'R.M Billets Reports'!D1714)),TRIM(MID('R.M Billets Reports'!D1714,SEARCH("-",'R.M Billets Reports'!D1714)+1,200)),""))&lt;&gt;"",IF(ISNUMBER(SEARCH("Party Name:-",'R.M Billets Reports'!D1714)),TRIM('R.M Billets Reports'!F1714),IF(ISNUMBER(SEARCH("Party Name-",'R.M Billets Reports'!D1714)),TRIM(MID('R.M Billets Reports'!D1714,SEARCH("-",'R.M Billets Reports'!D1714)+1,200)),"")),IF(ISNUMBER(SEARCH("Party Name:-",'R.M Billets Reports'!D1715)),TRIM('R.M Billets Reports'!F1715),IF(ISNUMBER(SEARCH("Party Name-",'R.M Billets Reports'!D1715)),TRIM(MID('R.M Billets Reports'!D1715,SEARCH("-",'R.M Billets Reports'!D1715)+1,200)),"")))))),IF(ROW()=2,"",A1714))</f>
      </c>
      <c r="B1715">
        <f>IF(OR('R.M Billets Reports'!A1714="Date-",'R.M Billets Reports'!A1714="Date:-"),'R.M Billets Reports'!B1714,IF(ROW()=2,"",B1714))</f>
      </c>
      <c r="C1715">
        <f>IF('R.M Billets Reports'!A1714="V.No.",'R.M Billets Reports'!B1714,IF(ROW()=2,"",C1714))</f>
      </c>
      <c r="D1715">
        <f>IF('R.M Billets Reports'!A1714&lt;&gt;"",'R.M Billets Reports'!A1714,IF(ROW()=2,"",D1714))</f>
      </c>
      <c r="E1715">
        <f>IF('R.M Billets Reports'!B1714="","",TRIM('R.M Billets Reports'!B1714))</f>
      </c>
      <c r="F1715">
        <f>'R.M Billets Reports'!C1714</f>
      </c>
      <c r="G1715">
        <f>'R.M Billets Reports'!D1714</f>
      </c>
      <c r="H1715">
        <f>'R.M Billets Reports'!E1714</f>
      </c>
      <c r="I1715">
        <f>'R.M Billets Reports'!F1714</f>
      </c>
      <c r="J1715">
        <f>'R.M Billets Reports'!G1714</f>
      </c>
      <c r="K1715">
        <f>'R.M Billets Reports'!H1714</f>
      </c>
      <c r="L1715">
        <f>IF('R.M Billets Reports'!I1714="","",'R.M Billets Reports'!I1714)</f>
      </c>
      <c r="M1715">
        <f t="shared" si="52"/>
      </c>
      <c r="N1715">
        <f>IF('R.M Billets Reports'!J1714="","",'R.M Billets Reports'!J1714)</f>
      </c>
      <c r="O1715">
        <f t="shared" si="53"/>
      </c>
      <c r="P1715">
        <f>IF('R.M Billets Reports'!A1714="SIZE",'R.M Billets Reports'!B1714,P1714)</f>
      </c>
    </row>
    <row r="1716" spans="1:16" x14ac:dyDescent="0.25">
      <c r="A1716">
        <f>IF(OR('R.M Billets Reports'!A1715="Date-",'R.M Billets Reports'!A1715="Date:-"),IF(IF(IF(ISNUMBER(SEARCH("Party Name:-",'R.M Billets Reports'!D1715)),TRIM('R.M Billets Reports'!F1715),IF(ISNUMBER(SEARCH("Party Name-",'R.M Billets Reports'!D1715)),TRIM(MID('R.M Billets Reports'!D1715,SEARCH("-",'R.M Billets Reports'!D1715)+1,200)),""))&lt;&gt;"",IF(ISNUMBER(SEARCH("Party Name:-",'R.M Billets Reports'!D1715)),TRIM('R.M Billets Reports'!F1715),IF(ISNUMBER(SEARCH("Party Name-",'R.M Billets Reports'!D1715)),TRIM(MID('R.M Billets Reports'!D1715,SEARCH("-",'R.M Billets Reports'!D1715)+1,200)),"")),IF(ISNUMBER(SEARCH("Party Name:-",'R.M Billets Reports'!D1716)),TRIM('R.M Billets Reports'!F1716),IF(ISNUMBER(SEARCH("Party Name-",'R.M Billets Reports'!D1716)),TRIM(MID('R.M Billets Reports'!D1716,SEARCH("-",'R.M Billets Reports'!D1716)+1,200)),"")))="VRKP ISPAT PVT LTD","VRKP",IF(IF(IF(ISNUMBER(SEARCH("Party Name:-",'R.M Billets Reports'!D1715)),TRIM('R.M Billets Reports'!F1715),IF(ISNUMBER(SEARCH("Party Name-",'R.M Billets Reports'!D1715)),TRIM(MID('R.M Billets Reports'!D1715,SEARCH("-",'R.M Billets Reports'!D1715)+1,200)),""))&lt;&gt;"",IF(ISNUMBER(SEARCH("Party Name:-",'R.M Billets Reports'!D1715)),TRIM('R.M Billets Reports'!F1715),IF(ISNUMBER(SEARCH("Party Name-",'R.M Billets Reports'!D1715)),TRIM(MID('R.M Billets Reports'!D1715,SEARCH("-",'R.M Billets Reports'!D1715)+1,200)),"")),IF(ISNUMBER(SEARCH("Party Name:-",'R.M Billets Reports'!D1716)),TRIM('R.M Billets Reports'!F1716),IF(ISNUMBER(SEARCH("Party Name-",'R.M Billets Reports'!D1716)),TRIM(MID('R.M Billets Reports'!D1716,SEARCH("-",'R.M Billets Reports'!D1716)+1,200)),"")))="SHRI RADHE","SHREE RADHE",IF(IF(IF(ISNUMBER(SEARCH("Party Name:-",'R.M Billets Reports'!D1715)),TRIM('R.M Billets Reports'!F1715),IF(ISNUMBER(SEARCH("Party Name-",'R.M Billets Reports'!D1715)),TRIM(MID('R.M Billets Reports'!D1715,SEARCH("-",'R.M Billets Reports'!D1715)+1,200)),""))&lt;&gt;"",IF(ISNUMBER(SEARCH("Party Name:-",'R.M Billets Reports'!D1715)),TRIM('R.M Billets Reports'!F1715),IF(ISNUMBER(SEARCH("Party Name-",'R.M Billets Reports'!D1715)),TRIM(MID('R.M Billets Reports'!D1715,SEARCH("-",'R.M Billets Reports'!D1715)+1,200)),"")),IF(ISNUMBER(SEARCH("Party Name:-",'R.M Billets Reports'!D1716)),TRIM('R.M Billets Reports'!F1716),IF(ISNUMBER(SEARCH("Party Name-",'R.M Billets Reports'!D1716)),TRIM(MID('R.M Billets Reports'!D1716,SEARCH("-",'R.M Billets Reports'!D1716)+1,200)),"")))="SHREE RADHE SHAKTI SPONGE AND POWER PVT. LTD.","SHREE RADHE",IF(IF(ISNUMBER(SEARCH("Party Name:-",'R.M Billets Reports'!D1715)),TRIM('R.M Billets Reports'!F1715),IF(ISNUMBER(SEARCH("Party Name-",'R.M Billets Reports'!D1715)),TRIM(MID('R.M Billets Reports'!D1715,SEARCH("-",'R.M Billets Reports'!D1715)+1,200)),""))&lt;&gt;"",IF(ISNUMBER(SEARCH("Party Name:-",'R.M Billets Reports'!D1715)),TRIM('R.M Billets Reports'!F1715),IF(ISNUMBER(SEARCH("Party Name-",'R.M Billets Reports'!D1715)),TRIM(MID('R.M Billets Reports'!D1715,SEARCH("-",'R.M Billets Reports'!D1715)+1,200)),"")),IF(ISNUMBER(SEARCH("Party Name:-",'R.M Billets Reports'!D1716)),TRIM('R.M Billets Reports'!F1716),IF(ISNUMBER(SEARCH("Party Name-",'R.M Billets Reports'!D1716)),TRIM(MID('R.M Billets Reports'!D1716,SEARCH("-",'R.M Billets Reports'!D1716)+1,200)),"")))))),IF(ROW()=2,"",A1715))</f>
      </c>
      <c r="B1716">
        <f>IF(OR('R.M Billets Reports'!A1715="Date-",'R.M Billets Reports'!A1715="Date:-"),'R.M Billets Reports'!B1715,IF(ROW()=2,"",B1715))</f>
      </c>
      <c r="C1716">
        <f>IF('R.M Billets Reports'!A1715="V.No.",'R.M Billets Reports'!B1715,IF(ROW()=2,"",C1715))</f>
      </c>
      <c r="D1716">
        <f>IF('R.M Billets Reports'!A1715&lt;&gt;"",'R.M Billets Reports'!A1715,IF(ROW()=2,"",D1715))</f>
      </c>
      <c r="E1716">
        <f>IF('R.M Billets Reports'!B1715="","",TRIM('R.M Billets Reports'!B1715))</f>
      </c>
      <c r="F1716">
        <f>'R.M Billets Reports'!C1715</f>
      </c>
      <c r="G1716">
        <f>'R.M Billets Reports'!D1715</f>
      </c>
      <c r="H1716">
        <f>'R.M Billets Reports'!E1715</f>
      </c>
      <c r="I1716">
        <f>'R.M Billets Reports'!F1715</f>
      </c>
      <c r="J1716">
        <f>'R.M Billets Reports'!G1715</f>
      </c>
      <c r="K1716">
        <f>'R.M Billets Reports'!H1715</f>
      </c>
      <c r="L1716">
        <f>IF('R.M Billets Reports'!I1715="","",'R.M Billets Reports'!I1715)</f>
      </c>
      <c r="M1716">
        <f t="shared" si="52"/>
      </c>
      <c r="N1716">
        <f>IF('R.M Billets Reports'!J1715="","",'R.M Billets Reports'!J1715)</f>
      </c>
      <c r="O1716">
        <f t="shared" si="53"/>
      </c>
      <c r="P1716">
        <f>IF('R.M Billets Reports'!A1715="SIZE",'R.M Billets Reports'!B1715,P1715)</f>
      </c>
    </row>
    <row r="1717" spans="1:16" x14ac:dyDescent="0.25">
      <c r="A1717">
        <f>IF(OR('R.M Billets Reports'!A1716="Date-",'R.M Billets Reports'!A1716="Date:-"),IF(IF(IF(ISNUMBER(SEARCH("Party Name:-",'R.M Billets Reports'!D1716)),TRIM('R.M Billets Reports'!F1716),IF(ISNUMBER(SEARCH("Party Name-",'R.M Billets Reports'!D1716)),TRIM(MID('R.M Billets Reports'!D1716,SEARCH("-",'R.M Billets Reports'!D1716)+1,200)),""))&lt;&gt;"",IF(ISNUMBER(SEARCH("Party Name:-",'R.M Billets Reports'!D1716)),TRIM('R.M Billets Reports'!F1716),IF(ISNUMBER(SEARCH("Party Name-",'R.M Billets Reports'!D1716)),TRIM(MID('R.M Billets Reports'!D1716,SEARCH("-",'R.M Billets Reports'!D1716)+1,200)),"")),IF(ISNUMBER(SEARCH("Party Name:-",'R.M Billets Reports'!D1717)),TRIM('R.M Billets Reports'!F1717),IF(ISNUMBER(SEARCH("Party Name-",'R.M Billets Reports'!D1717)),TRIM(MID('R.M Billets Reports'!D1717,SEARCH("-",'R.M Billets Reports'!D1717)+1,200)),"")))="VRKP ISPAT PVT LTD","VRKP",IF(IF(IF(ISNUMBER(SEARCH("Party Name:-",'R.M Billets Reports'!D1716)),TRIM('R.M Billets Reports'!F1716),IF(ISNUMBER(SEARCH("Party Name-",'R.M Billets Reports'!D1716)),TRIM(MID('R.M Billets Reports'!D1716,SEARCH("-",'R.M Billets Reports'!D1716)+1,200)),""))&lt;&gt;"",IF(ISNUMBER(SEARCH("Party Name:-",'R.M Billets Reports'!D1716)),TRIM('R.M Billets Reports'!F1716),IF(ISNUMBER(SEARCH("Party Name-",'R.M Billets Reports'!D1716)),TRIM(MID('R.M Billets Reports'!D1716,SEARCH("-",'R.M Billets Reports'!D1716)+1,200)),"")),IF(ISNUMBER(SEARCH("Party Name:-",'R.M Billets Reports'!D1717)),TRIM('R.M Billets Reports'!F1717),IF(ISNUMBER(SEARCH("Party Name-",'R.M Billets Reports'!D1717)),TRIM(MID('R.M Billets Reports'!D1717,SEARCH("-",'R.M Billets Reports'!D1717)+1,200)),"")))="SHRI RADHE","SHREE RADHE",IF(IF(IF(ISNUMBER(SEARCH("Party Name:-",'R.M Billets Reports'!D1716)),TRIM('R.M Billets Reports'!F1716),IF(ISNUMBER(SEARCH("Party Name-",'R.M Billets Reports'!D1716)),TRIM(MID('R.M Billets Reports'!D1716,SEARCH("-",'R.M Billets Reports'!D1716)+1,200)),""))&lt;&gt;"",IF(ISNUMBER(SEARCH("Party Name:-",'R.M Billets Reports'!D1716)),TRIM('R.M Billets Reports'!F1716),IF(ISNUMBER(SEARCH("Party Name-",'R.M Billets Reports'!D1716)),TRIM(MID('R.M Billets Reports'!D1716,SEARCH("-",'R.M Billets Reports'!D1716)+1,200)),"")),IF(ISNUMBER(SEARCH("Party Name:-",'R.M Billets Reports'!D1717)),TRIM('R.M Billets Reports'!F1717),IF(ISNUMBER(SEARCH("Party Name-",'R.M Billets Reports'!D1717)),TRIM(MID('R.M Billets Reports'!D1717,SEARCH("-",'R.M Billets Reports'!D1717)+1,200)),"")))="SHREE RADHE SHAKTI SPONGE AND POWER PVT. LTD.","SHREE RADHE",IF(IF(ISNUMBER(SEARCH("Party Name:-",'R.M Billets Reports'!D1716)),TRIM('R.M Billets Reports'!F1716),IF(ISNUMBER(SEARCH("Party Name-",'R.M Billets Reports'!D1716)),TRIM(MID('R.M Billets Reports'!D1716,SEARCH("-",'R.M Billets Reports'!D1716)+1,200)),""))&lt;&gt;"",IF(ISNUMBER(SEARCH("Party Name:-",'R.M Billets Reports'!D1716)),TRIM('R.M Billets Reports'!F1716),IF(ISNUMBER(SEARCH("Party Name-",'R.M Billets Reports'!D1716)),TRIM(MID('R.M Billets Reports'!D1716,SEARCH("-",'R.M Billets Reports'!D1716)+1,200)),"")),IF(ISNUMBER(SEARCH("Party Name:-",'R.M Billets Reports'!D1717)),TRIM('R.M Billets Reports'!F1717),IF(ISNUMBER(SEARCH("Party Name-",'R.M Billets Reports'!D1717)),TRIM(MID('R.M Billets Reports'!D1717,SEARCH("-",'R.M Billets Reports'!D1717)+1,200)),"")))))),IF(ROW()=2,"",A1716))</f>
      </c>
      <c r="B1717">
        <f>IF(OR('R.M Billets Reports'!A1716="Date-",'R.M Billets Reports'!A1716="Date:-"),'R.M Billets Reports'!B1716,IF(ROW()=2,"",B1716))</f>
      </c>
      <c r="C1717">
        <f>IF('R.M Billets Reports'!A1716="V.No.",'R.M Billets Reports'!B1716,IF(ROW()=2,"",C1716))</f>
      </c>
      <c r="D1717">
        <f>IF('R.M Billets Reports'!A1716&lt;&gt;"",'R.M Billets Reports'!A1716,IF(ROW()=2,"",D1716))</f>
      </c>
      <c r="E1717">
        <f>IF('R.M Billets Reports'!B1716="","",TRIM('R.M Billets Reports'!B1716))</f>
      </c>
      <c r="F1717">
        <f>'R.M Billets Reports'!C1716</f>
      </c>
      <c r="G1717">
        <f>'R.M Billets Reports'!D1716</f>
      </c>
      <c r="H1717">
        <f>'R.M Billets Reports'!E1716</f>
      </c>
      <c r="I1717">
        <f>'R.M Billets Reports'!F1716</f>
      </c>
      <c r="J1717">
        <f>'R.M Billets Reports'!G1716</f>
      </c>
      <c r="K1717">
        <f>'R.M Billets Reports'!H1716</f>
      </c>
      <c r="L1717">
        <f>IF('R.M Billets Reports'!I1716="","",'R.M Billets Reports'!I1716)</f>
      </c>
      <c r="M1717">
        <f t="shared" si="52"/>
      </c>
      <c r="N1717">
        <f>IF('R.M Billets Reports'!J1716="","",'R.M Billets Reports'!J1716)</f>
      </c>
      <c r="O1717">
        <f t="shared" si="53"/>
      </c>
      <c r="P1717">
        <f>IF('R.M Billets Reports'!A1716="SIZE",'R.M Billets Reports'!B1716,P1716)</f>
      </c>
    </row>
    <row r="1718" spans="1:16" x14ac:dyDescent="0.25">
      <c r="A1718">
        <f>IF(OR('R.M Billets Reports'!A1717="Date-",'R.M Billets Reports'!A1717="Date:-"),IF(IF(IF(ISNUMBER(SEARCH("Party Name:-",'R.M Billets Reports'!D1717)),TRIM('R.M Billets Reports'!F1717),IF(ISNUMBER(SEARCH("Party Name-",'R.M Billets Reports'!D1717)),TRIM(MID('R.M Billets Reports'!D1717,SEARCH("-",'R.M Billets Reports'!D1717)+1,200)),""))&lt;&gt;"",IF(ISNUMBER(SEARCH("Party Name:-",'R.M Billets Reports'!D1717)),TRIM('R.M Billets Reports'!F1717),IF(ISNUMBER(SEARCH("Party Name-",'R.M Billets Reports'!D1717)),TRIM(MID('R.M Billets Reports'!D1717,SEARCH("-",'R.M Billets Reports'!D1717)+1,200)),"")),IF(ISNUMBER(SEARCH("Party Name:-",'R.M Billets Reports'!D1718)),TRIM('R.M Billets Reports'!F1718),IF(ISNUMBER(SEARCH("Party Name-",'R.M Billets Reports'!D1718)),TRIM(MID('R.M Billets Reports'!D1718,SEARCH("-",'R.M Billets Reports'!D1718)+1,200)),"")))="VRKP ISPAT PVT LTD","VRKP",IF(IF(IF(ISNUMBER(SEARCH("Party Name:-",'R.M Billets Reports'!D1717)),TRIM('R.M Billets Reports'!F1717),IF(ISNUMBER(SEARCH("Party Name-",'R.M Billets Reports'!D1717)),TRIM(MID('R.M Billets Reports'!D1717,SEARCH("-",'R.M Billets Reports'!D1717)+1,200)),""))&lt;&gt;"",IF(ISNUMBER(SEARCH("Party Name:-",'R.M Billets Reports'!D1717)),TRIM('R.M Billets Reports'!F1717),IF(ISNUMBER(SEARCH("Party Name-",'R.M Billets Reports'!D1717)),TRIM(MID('R.M Billets Reports'!D1717,SEARCH("-",'R.M Billets Reports'!D1717)+1,200)),"")),IF(ISNUMBER(SEARCH("Party Name:-",'R.M Billets Reports'!D1718)),TRIM('R.M Billets Reports'!F1718),IF(ISNUMBER(SEARCH("Party Name-",'R.M Billets Reports'!D1718)),TRIM(MID('R.M Billets Reports'!D1718,SEARCH("-",'R.M Billets Reports'!D1718)+1,200)),"")))="SHRI RADHE","SHREE RADHE",IF(IF(IF(ISNUMBER(SEARCH("Party Name:-",'R.M Billets Reports'!D1717)),TRIM('R.M Billets Reports'!F1717),IF(ISNUMBER(SEARCH("Party Name-",'R.M Billets Reports'!D1717)),TRIM(MID('R.M Billets Reports'!D1717,SEARCH("-",'R.M Billets Reports'!D1717)+1,200)),""))&lt;&gt;"",IF(ISNUMBER(SEARCH("Party Name:-",'R.M Billets Reports'!D1717)),TRIM('R.M Billets Reports'!F1717),IF(ISNUMBER(SEARCH("Party Name-",'R.M Billets Reports'!D1717)),TRIM(MID('R.M Billets Reports'!D1717,SEARCH("-",'R.M Billets Reports'!D1717)+1,200)),"")),IF(ISNUMBER(SEARCH("Party Name:-",'R.M Billets Reports'!D1718)),TRIM('R.M Billets Reports'!F1718),IF(ISNUMBER(SEARCH("Party Name-",'R.M Billets Reports'!D1718)),TRIM(MID('R.M Billets Reports'!D1718,SEARCH("-",'R.M Billets Reports'!D1718)+1,200)),"")))="SHREE RADHE SHAKTI SPONGE AND POWER PVT. LTD.","SHREE RADHE",IF(IF(ISNUMBER(SEARCH("Party Name:-",'R.M Billets Reports'!D1717)),TRIM('R.M Billets Reports'!F1717),IF(ISNUMBER(SEARCH("Party Name-",'R.M Billets Reports'!D1717)),TRIM(MID('R.M Billets Reports'!D1717,SEARCH("-",'R.M Billets Reports'!D1717)+1,200)),""))&lt;&gt;"",IF(ISNUMBER(SEARCH("Party Name:-",'R.M Billets Reports'!D1717)),TRIM('R.M Billets Reports'!F1717),IF(ISNUMBER(SEARCH("Party Name-",'R.M Billets Reports'!D1717)),TRIM(MID('R.M Billets Reports'!D1717,SEARCH("-",'R.M Billets Reports'!D1717)+1,200)),"")),IF(ISNUMBER(SEARCH("Party Name:-",'R.M Billets Reports'!D1718)),TRIM('R.M Billets Reports'!F1718),IF(ISNUMBER(SEARCH("Party Name-",'R.M Billets Reports'!D1718)),TRIM(MID('R.M Billets Reports'!D1718,SEARCH("-",'R.M Billets Reports'!D1718)+1,200)),"")))))),IF(ROW()=2,"",A1717))</f>
      </c>
      <c r="B1718">
        <f>IF(OR('R.M Billets Reports'!A1717="Date-",'R.M Billets Reports'!A1717="Date:-"),'R.M Billets Reports'!B1717,IF(ROW()=2,"",B1717))</f>
      </c>
      <c r="C1718">
        <f>IF('R.M Billets Reports'!A1717="V.No.",'R.M Billets Reports'!B1717,IF(ROW()=2,"",C1717))</f>
      </c>
      <c r="D1718">
        <f>IF('R.M Billets Reports'!A1717&lt;&gt;"",'R.M Billets Reports'!A1717,IF(ROW()=2,"",D1717))</f>
      </c>
      <c r="E1718">
        <f>IF('R.M Billets Reports'!B1717="","",TRIM('R.M Billets Reports'!B1717))</f>
      </c>
      <c r="F1718">
        <f>'R.M Billets Reports'!C1717</f>
      </c>
      <c r="G1718">
        <f>'R.M Billets Reports'!D1717</f>
      </c>
      <c r="H1718">
        <f>'R.M Billets Reports'!E1717</f>
      </c>
      <c r="I1718">
        <f>'R.M Billets Reports'!F1717</f>
      </c>
      <c r="J1718">
        <f>'R.M Billets Reports'!G1717</f>
      </c>
      <c r="K1718">
        <f>'R.M Billets Reports'!H1717</f>
      </c>
      <c r="L1718">
        <f>IF('R.M Billets Reports'!I1717="","",'R.M Billets Reports'!I1717)</f>
      </c>
      <c r="M1718">
        <f t="shared" si="52"/>
      </c>
      <c r="N1718">
        <f>IF('R.M Billets Reports'!J1717="","",'R.M Billets Reports'!J1717)</f>
      </c>
      <c r="O1718">
        <f t="shared" si="53"/>
      </c>
      <c r="P1718">
        <f>IF('R.M Billets Reports'!A1717="SIZE",'R.M Billets Reports'!B1717,P1717)</f>
      </c>
    </row>
    <row r="1719" spans="1:16" x14ac:dyDescent="0.25">
      <c r="A1719">
        <f>IF(OR('R.M Billets Reports'!A1718="Date-",'R.M Billets Reports'!A1718="Date:-"),IF(IF(IF(ISNUMBER(SEARCH("Party Name:-",'R.M Billets Reports'!D1718)),TRIM('R.M Billets Reports'!F1718),IF(ISNUMBER(SEARCH("Party Name-",'R.M Billets Reports'!D1718)),TRIM(MID('R.M Billets Reports'!D1718,SEARCH("-",'R.M Billets Reports'!D1718)+1,200)),""))&lt;&gt;"",IF(ISNUMBER(SEARCH("Party Name:-",'R.M Billets Reports'!D1718)),TRIM('R.M Billets Reports'!F1718),IF(ISNUMBER(SEARCH("Party Name-",'R.M Billets Reports'!D1718)),TRIM(MID('R.M Billets Reports'!D1718,SEARCH("-",'R.M Billets Reports'!D1718)+1,200)),"")),IF(ISNUMBER(SEARCH("Party Name:-",'R.M Billets Reports'!D1719)),TRIM('R.M Billets Reports'!F1719),IF(ISNUMBER(SEARCH("Party Name-",'R.M Billets Reports'!D1719)),TRIM(MID('R.M Billets Reports'!D1719,SEARCH("-",'R.M Billets Reports'!D1719)+1,200)),"")))="VRKP ISPAT PVT LTD","VRKP",IF(IF(IF(ISNUMBER(SEARCH("Party Name:-",'R.M Billets Reports'!D1718)),TRIM('R.M Billets Reports'!F1718),IF(ISNUMBER(SEARCH("Party Name-",'R.M Billets Reports'!D1718)),TRIM(MID('R.M Billets Reports'!D1718,SEARCH("-",'R.M Billets Reports'!D1718)+1,200)),""))&lt;&gt;"",IF(ISNUMBER(SEARCH("Party Name:-",'R.M Billets Reports'!D1718)),TRIM('R.M Billets Reports'!F1718),IF(ISNUMBER(SEARCH("Party Name-",'R.M Billets Reports'!D1718)),TRIM(MID('R.M Billets Reports'!D1718,SEARCH("-",'R.M Billets Reports'!D1718)+1,200)),"")),IF(ISNUMBER(SEARCH("Party Name:-",'R.M Billets Reports'!D1719)),TRIM('R.M Billets Reports'!F1719),IF(ISNUMBER(SEARCH("Party Name-",'R.M Billets Reports'!D1719)),TRIM(MID('R.M Billets Reports'!D1719,SEARCH("-",'R.M Billets Reports'!D1719)+1,200)),"")))="SHRI RADHE","SHREE RADHE",IF(IF(IF(ISNUMBER(SEARCH("Party Name:-",'R.M Billets Reports'!D1718)),TRIM('R.M Billets Reports'!F1718),IF(ISNUMBER(SEARCH("Party Name-",'R.M Billets Reports'!D1718)),TRIM(MID('R.M Billets Reports'!D1718,SEARCH("-",'R.M Billets Reports'!D1718)+1,200)),""))&lt;&gt;"",IF(ISNUMBER(SEARCH("Party Name:-",'R.M Billets Reports'!D1718)),TRIM('R.M Billets Reports'!F1718),IF(ISNUMBER(SEARCH("Party Name-",'R.M Billets Reports'!D1718)),TRIM(MID('R.M Billets Reports'!D1718,SEARCH("-",'R.M Billets Reports'!D1718)+1,200)),"")),IF(ISNUMBER(SEARCH("Party Name:-",'R.M Billets Reports'!D1719)),TRIM('R.M Billets Reports'!F1719),IF(ISNUMBER(SEARCH("Party Name-",'R.M Billets Reports'!D1719)),TRIM(MID('R.M Billets Reports'!D1719,SEARCH("-",'R.M Billets Reports'!D1719)+1,200)),"")))="SHREE RADHE SHAKTI SPONGE AND POWER PVT. LTD.","SHREE RADHE",IF(IF(ISNUMBER(SEARCH("Party Name:-",'R.M Billets Reports'!D1718)),TRIM('R.M Billets Reports'!F1718),IF(ISNUMBER(SEARCH("Party Name-",'R.M Billets Reports'!D1718)),TRIM(MID('R.M Billets Reports'!D1718,SEARCH("-",'R.M Billets Reports'!D1718)+1,200)),""))&lt;&gt;"",IF(ISNUMBER(SEARCH("Party Name:-",'R.M Billets Reports'!D1718)),TRIM('R.M Billets Reports'!F1718),IF(ISNUMBER(SEARCH("Party Name-",'R.M Billets Reports'!D1718)),TRIM(MID('R.M Billets Reports'!D1718,SEARCH("-",'R.M Billets Reports'!D1718)+1,200)),"")),IF(ISNUMBER(SEARCH("Party Name:-",'R.M Billets Reports'!D1719)),TRIM('R.M Billets Reports'!F1719),IF(ISNUMBER(SEARCH("Party Name-",'R.M Billets Reports'!D1719)),TRIM(MID('R.M Billets Reports'!D1719,SEARCH("-",'R.M Billets Reports'!D1719)+1,200)),"")))))),IF(ROW()=2,"",A1718))</f>
      </c>
      <c r="B1719">
        <f>IF(OR('R.M Billets Reports'!A1718="Date-",'R.M Billets Reports'!A1718="Date:-"),'R.M Billets Reports'!B1718,IF(ROW()=2,"",B1718))</f>
      </c>
      <c r="C1719">
        <f>IF('R.M Billets Reports'!A1718="V.No.",'R.M Billets Reports'!B1718,IF(ROW()=2,"",C1718))</f>
      </c>
      <c r="D1719">
        <f>IF('R.M Billets Reports'!A1718&lt;&gt;"",'R.M Billets Reports'!A1718,IF(ROW()=2,"",D1718))</f>
      </c>
      <c r="E1719">
        <f>IF('R.M Billets Reports'!B1718="","",TRIM('R.M Billets Reports'!B1718))</f>
      </c>
      <c r="F1719">
        <f>'R.M Billets Reports'!C1718</f>
      </c>
      <c r="G1719">
        <f>'R.M Billets Reports'!D1718</f>
      </c>
      <c r="H1719">
        <f>'R.M Billets Reports'!E1718</f>
      </c>
      <c r="I1719">
        <f>'R.M Billets Reports'!F1718</f>
      </c>
      <c r="J1719">
        <f>'R.M Billets Reports'!G1718</f>
      </c>
      <c r="K1719">
        <f>'R.M Billets Reports'!H1718</f>
      </c>
      <c r="L1719">
        <f>IF('R.M Billets Reports'!I1718="","",'R.M Billets Reports'!I1718)</f>
      </c>
      <c r="M1719">
        <f t="shared" si="52"/>
      </c>
      <c r="N1719">
        <f>IF('R.M Billets Reports'!J1718="","",'R.M Billets Reports'!J1718)</f>
      </c>
      <c r="O1719">
        <f t="shared" si="53"/>
      </c>
      <c r="P1719">
        <f>IF('R.M Billets Reports'!A1718="SIZE",'R.M Billets Reports'!B1718,P1718)</f>
      </c>
    </row>
    <row r="1720" spans="1:16" x14ac:dyDescent="0.25">
      <c r="A1720">
        <f>IF(OR('R.M Billets Reports'!A1719="Date-",'R.M Billets Reports'!A1719="Date:-"),IF(IF(IF(ISNUMBER(SEARCH("Party Name:-",'R.M Billets Reports'!D1719)),TRIM('R.M Billets Reports'!F1719),IF(ISNUMBER(SEARCH("Party Name-",'R.M Billets Reports'!D1719)),TRIM(MID('R.M Billets Reports'!D1719,SEARCH("-",'R.M Billets Reports'!D1719)+1,200)),""))&lt;&gt;"",IF(ISNUMBER(SEARCH("Party Name:-",'R.M Billets Reports'!D1719)),TRIM('R.M Billets Reports'!F1719),IF(ISNUMBER(SEARCH("Party Name-",'R.M Billets Reports'!D1719)),TRIM(MID('R.M Billets Reports'!D1719,SEARCH("-",'R.M Billets Reports'!D1719)+1,200)),"")),IF(ISNUMBER(SEARCH("Party Name:-",'R.M Billets Reports'!D1720)),TRIM('R.M Billets Reports'!F1720),IF(ISNUMBER(SEARCH("Party Name-",'R.M Billets Reports'!D1720)),TRIM(MID('R.M Billets Reports'!D1720,SEARCH("-",'R.M Billets Reports'!D1720)+1,200)),"")))="VRKP ISPAT PVT LTD","VRKP",IF(IF(IF(ISNUMBER(SEARCH("Party Name:-",'R.M Billets Reports'!D1719)),TRIM('R.M Billets Reports'!F1719),IF(ISNUMBER(SEARCH("Party Name-",'R.M Billets Reports'!D1719)),TRIM(MID('R.M Billets Reports'!D1719,SEARCH("-",'R.M Billets Reports'!D1719)+1,200)),""))&lt;&gt;"",IF(ISNUMBER(SEARCH("Party Name:-",'R.M Billets Reports'!D1719)),TRIM('R.M Billets Reports'!F1719),IF(ISNUMBER(SEARCH("Party Name-",'R.M Billets Reports'!D1719)),TRIM(MID('R.M Billets Reports'!D1719,SEARCH("-",'R.M Billets Reports'!D1719)+1,200)),"")),IF(ISNUMBER(SEARCH("Party Name:-",'R.M Billets Reports'!D1720)),TRIM('R.M Billets Reports'!F1720),IF(ISNUMBER(SEARCH("Party Name-",'R.M Billets Reports'!D1720)),TRIM(MID('R.M Billets Reports'!D1720,SEARCH("-",'R.M Billets Reports'!D1720)+1,200)),"")))="SHRI RADHE","SHREE RADHE",IF(IF(IF(ISNUMBER(SEARCH("Party Name:-",'R.M Billets Reports'!D1719)),TRIM('R.M Billets Reports'!F1719),IF(ISNUMBER(SEARCH("Party Name-",'R.M Billets Reports'!D1719)),TRIM(MID('R.M Billets Reports'!D1719,SEARCH("-",'R.M Billets Reports'!D1719)+1,200)),""))&lt;&gt;"",IF(ISNUMBER(SEARCH("Party Name:-",'R.M Billets Reports'!D1719)),TRIM('R.M Billets Reports'!F1719),IF(ISNUMBER(SEARCH("Party Name-",'R.M Billets Reports'!D1719)),TRIM(MID('R.M Billets Reports'!D1719,SEARCH("-",'R.M Billets Reports'!D1719)+1,200)),"")),IF(ISNUMBER(SEARCH("Party Name:-",'R.M Billets Reports'!D1720)),TRIM('R.M Billets Reports'!F1720),IF(ISNUMBER(SEARCH("Party Name-",'R.M Billets Reports'!D1720)),TRIM(MID('R.M Billets Reports'!D1720,SEARCH("-",'R.M Billets Reports'!D1720)+1,200)),"")))="SHREE RADHE SHAKTI SPONGE AND POWER PVT. LTD.","SHREE RADHE",IF(IF(ISNUMBER(SEARCH("Party Name:-",'R.M Billets Reports'!D1719)),TRIM('R.M Billets Reports'!F1719),IF(ISNUMBER(SEARCH("Party Name-",'R.M Billets Reports'!D1719)),TRIM(MID('R.M Billets Reports'!D1719,SEARCH("-",'R.M Billets Reports'!D1719)+1,200)),""))&lt;&gt;"",IF(ISNUMBER(SEARCH("Party Name:-",'R.M Billets Reports'!D1719)),TRIM('R.M Billets Reports'!F1719),IF(ISNUMBER(SEARCH("Party Name-",'R.M Billets Reports'!D1719)),TRIM(MID('R.M Billets Reports'!D1719,SEARCH("-",'R.M Billets Reports'!D1719)+1,200)),"")),IF(ISNUMBER(SEARCH("Party Name:-",'R.M Billets Reports'!D1720)),TRIM('R.M Billets Reports'!F1720),IF(ISNUMBER(SEARCH("Party Name-",'R.M Billets Reports'!D1720)),TRIM(MID('R.M Billets Reports'!D1720,SEARCH("-",'R.M Billets Reports'!D1720)+1,200)),"")))))),IF(ROW()=2,"",A1719))</f>
      </c>
      <c r="B1720">
        <f>IF(OR('R.M Billets Reports'!A1719="Date-",'R.M Billets Reports'!A1719="Date:-"),'R.M Billets Reports'!B1719,IF(ROW()=2,"",B1719))</f>
      </c>
      <c r="C1720">
        <f>IF('R.M Billets Reports'!A1719="V.No.",'R.M Billets Reports'!B1719,IF(ROW()=2,"",C1719))</f>
      </c>
      <c r="D1720">
        <f>IF('R.M Billets Reports'!A1719&lt;&gt;"",'R.M Billets Reports'!A1719,IF(ROW()=2,"",D1719))</f>
      </c>
      <c r="E1720">
        <f>IF('R.M Billets Reports'!B1719="","",TRIM('R.M Billets Reports'!B1719))</f>
      </c>
      <c r="F1720">
        <f>'R.M Billets Reports'!C1719</f>
      </c>
      <c r="G1720">
        <f>'R.M Billets Reports'!D1719</f>
      </c>
      <c r="H1720">
        <f>'R.M Billets Reports'!E1719</f>
      </c>
      <c r="I1720">
        <f>'R.M Billets Reports'!F1719</f>
      </c>
      <c r="J1720">
        <f>'R.M Billets Reports'!G1719</f>
      </c>
      <c r="K1720">
        <f>'R.M Billets Reports'!H1719</f>
      </c>
      <c r="L1720">
        <f>IF('R.M Billets Reports'!I1719="","",'R.M Billets Reports'!I1719)</f>
      </c>
      <c r="M1720">
        <f t="shared" si="52"/>
      </c>
      <c r="N1720">
        <f>IF('R.M Billets Reports'!J1719="","",'R.M Billets Reports'!J1719)</f>
      </c>
      <c r="O1720">
        <f t="shared" si="53"/>
      </c>
      <c r="P1720">
        <f>IF('R.M Billets Reports'!A1719="SIZE",'R.M Billets Reports'!B1719,P1719)</f>
      </c>
    </row>
    <row r="1721" spans="1:16" x14ac:dyDescent="0.25">
      <c r="A1721">
        <f>IF(OR('R.M Billets Reports'!A1720="Date-",'R.M Billets Reports'!A1720="Date:-"),IF(IF(IF(ISNUMBER(SEARCH("Party Name:-",'R.M Billets Reports'!D1720)),TRIM('R.M Billets Reports'!F1720),IF(ISNUMBER(SEARCH("Party Name-",'R.M Billets Reports'!D1720)),TRIM(MID('R.M Billets Reports'!D1720,SEARCH("-",'R.M Billets Reports'!D1720)+1,200)),""))&lt;&gt;"",IF(ISNUMBER(SEARCH("Party Name:-",'R.M Billets Reports'!D1720)),TRIM('R.M Billets Reports'!F1720),IF(ISNUMBER(SEARCH("Party Name-",'R.M Billets Reports'!D1720)),TRIM(MID('R.M Billets Reports'!D1720,SEARCH("-",'R.M Billets Reports'!D1720)+1,200)),"")),IF(ISNUMBER(SEARCH("Party Name:-",'R.M Billets Reports'!D1721)),TRIM('R.M Billets Reports'!F1721),IF(ISNUMBER(SEARCH("Party Name-",'R.M Billets Reports'!D1721)),TRIM(MID('R.M Billets Reports'!D1721,SEARCH("-",'R.M Billets Reports'!D1721)+1,200)),"")))="VRKP ISPAT PVT LTD","VRKP",IF(IF(IF(ISNUMBER(SEARCH("Party Name:-",'R.M Billets Reports'!D1720)),TRIM('R.M Billets Reports'!F1720),IF(ISNUMBER(SEARCH("Party Name-",'R.M Billets Reports'!D1720)),TRIM(MID('R.M Billets Reports'!D1720,SEARCH("-",'R.M Billets Reports'!D1720)+1,200)),""))&lt;&gt;"",IF(ISNUMBER(SEARCH("Party Name:-",'R.M Billets Reports'!D1720)),TRIM('R.M Billets Reports'!F1720),IF(ISNUMBER(SEARCH("Party Name-",'R.M Billets Reports'!D1720)),TRIM(MID('R.M Billets Reports'!D1720,SEARCH("-",'R.M Billets Reports'!D1720)+1,200)),"")),IF(ISNUMBER(SEARCH("Party Name:-",'R.M Billets Reports'!D1721)),TRIM('R.M Billets Reports'!F1721),IF(ISNUMBER(SEARCH("Party Name-",'R.M Billets Reports'!D1721)),TRIM(MID('R.M Billets Reports'!D1721,SEARCH("-",'R.M Billets Reports'!D1721)+1,200)),"")))="SHRI RADHE","SHREE RADHE",IF(IF(IF(ISNUMBER(SEARCH("Party Name:-",'R.M Billets Reports'!D1720)),TRIM('R.M Billets Reports'!F1720),IF(ISNUMBER(SEARCH("Party Name-",'R.M Billets Reports'!D1720)),TRIM(MID('R.M Billets Reports'!D1720,SEARCH("-",'R.M Billets Reports'!D1720)+1,200)),""))&lt;&gt;"",IF(ISNUMBER(SEARCH("Party Name:-",'R.M Billets Reports'!D1720)),TRIM('R.M Billets Reports'!F1720),IF(ISNUMBER(SEARCH("Party Name-",'R.M Billets Reports'!D1720)),TRIM(MID('R.M Billets Reports'!D1720,SEARCH("-",'R.M Billets Reports'!D1720)+1,200)),"")),IF(ISNUMBER(SEARCH("Party Name:-",'R.M Billets Reports'!D1721)),TRIM('R.M Billets Reports'!F1721),IF(ISNUMBER(SEARCH("Party Name-",'R.M Billets Reports'!D1721)),TRIM(MID('R.M Billets Reports'!D1721,SEARCH("-",'R.M Billets Reports'!D1721)+1,200)),"")))="SHREE RADHE SHAKTI SPONGE AND POWER PVT. LTD.","SHREE RADHE",IF(IF(ISNUMBER(SEARCH("Party Name:-",'R.M Billets Reports'!D1720)),TRIM('R.M Billets Reports'!F1720),IF(ISNUMBER(SEARCH("Party Name-",'R.M Billets Reports'!D1720)),TRIM(MID('R.M Billets Reports'!D1720,SEARCH("-",'R.M Billets Reports'!D1720)+1,200)),""))&lt;&gt;"",IF(ISNUMBER(SEARCH("Party Name:-",'R.M Billets Reports'!D1720)),TRIM('R.M Billets Reports'!F1720),IF(ISNUMBER(SEARCH("Party Name-",'R.M Billets Reports'!D1720)),TRIM(MID('R.M Billets Reports'!D1720,SEARCH("-",'R.M Billets Reports'!D1720)+1,200)),"")),IF(ISNUMBER(SEARCH("Party Name:-",'R.M Billets Reports'!D1721)),TRIM('R.M Billets Reports'!F1721),IF(ISNUMBER(SEARCH("Party Name-",'R.M Billets Reports'!D1721)),TRIM(MID('R.M Billets Reports'!D1721,SEARCH("-",'R.M Billets Reports'!D1721)+1,200)),"")))))),IF(ROW()=2,"",A1720))</f>
      </c>
      <c r="B1721">
        <f>IF(OR('R.M Billets Reports'!A1720="Date-",'R.M Billets Reports'!A1720="Date:-"),'R.M Billets Reports'!B1720,IF(ROW()=2,"",B1720))</f>
      </c>
      <c r="C1721">
        <f>IF('R.M Billets Reports'!A1720="V.No.",'R.M Billets Reports'!B1720,IF(ROW()=2,"",C1720))</f>
      </c>
      <c r="D1721">
        <f>IF('R.M Billets Reports'!A1720&lt;&gt;"",'R.M Billets Reports'!A1720,IF(ROW()=2,"",D1720))</f>
      </c>
      <c r="E1721">
        <f>IF('R.M Billets Reports'!B1720="","",TRIM('R.M Billets Reports'!B1720))</f>
      </c>
      <c r="F1721">
        <f>'R.M Billets Reports'!C1720</f>
      </c>
      <c r="G1721">
        <f>'R.M Billets Reports'!D1720</f>
      </c>
      <c r="H1721">
        <f>'R.M Billets Reports'!E1720</f>
      </c>
      <c r="I1721">
        <f>'R.M Billets Reports'!F1720</f>
      </c>
      <c r="J1721">
        <f>'R.M Billets Reports'!G1720</f>
      </c>
      <c r="K1721">
        <f>'R.M Billets Reports'!H1720</f>
      </c>
      <c r="L1721">
        <f>IF('R.M Billets Reports'!I1720="","",'R.M Billets Reports'!I1720)</f>
      </c>
      <c r="M1721">
        <f t="shared" si="52"/>
      </c>
      <c r="N1721">
        <f>IF('R.M Billets Reports'!J1720="","",'R.M Billets Reports'!J1720)</f>
      </c>
      <c r="O1721">
        <f t="shared" si="53"/>
      </c>
      <c r="P1721">
        <f>IF('R.M Billets Reports'!A1720="SIZE",'R.M Billets Reports'!B1720,P1720)</f>
      </c>
    </row>
    <row r="1722" spans="1:16" x14ac:dyDescent="0.25">
      <c r="A1722">
        <f>IF(OR('R.M Billets Reports'!A1721="Date-",'R.M Billets Reports'!A1721="Date:-"),IF(IF(IF(ISNUMBER(SEARCH("Party Name:-",'R.M Billets Reports'!D1721)),TRIM('R.M Billets Reports'!F1721),IF(ISNUMBER(SEARCH("Party Name-",'R.M Billets Reports'!D1721)),TRIM(MID('R.M Billets Reports'!D1721,SEARCH("-",'R.M Billets Reports'!D1721)+1,200)),""))&lt;&gt;"",IF(ISNUMBER(SEARCH("Party Name:-",'R.M Billets Reports'!D1721)),TRIM('R.M Billets Reports'!F1721),IF(ISNUMBER(SEARCH("Party Name-",'R.M Billets Reports'!D1721)),TRIM(MID('R.M Billets Reports'!D1721,SEARCH("-",'R.M Billets Reports'!D1721)+1,200)),"")),IF(ISNUMBER(SEARCH("Party Name:-",'R.M Billets Reports'!D1722)),TRIM('R.M Billets Reports'!F1722),IF(ISNUMBER(SEARCH("Party Name-",'R.M Billets Reports'!D1722)),TRIM(MID('R.M Billets Reports'!D1722,SEARCH("-",'R.M Billets Reports'!D1722)+1,200)),"")))="VRKP ISPAT PVT LTD","VRKP",IF(IF(IF(ISNUMBER(SEARCH("Party Name:-",'R.M Billets Reports'!D1721)),TRIM('R.M Billets Reports'!F1721),IF(ISNUMBER(SEARCH("Party Name-",'R.M Billets Reports'!D1721)),TRIM(MID('R.M Billets Reports'!D1721,SEARCH("-",'R.M Billets Reports'!D1721)+1,200)),""))&lt;&gt;"",IF(ISNUMBER(SEARCH("Party Name:-",'R.M Billets Reports'!D1721)),TRIM('R.M Billets Reports'!F1721),IF(ISNUMBER(SEARCH("Party Name-",'R.M Billets Reports'!D1721)),TRIM(MID('R.M Billets Reports'!D1721,SEARCH("-",'R.M Billets Reports'!D1721)+1,200)),"")),IF(ISNUMBER(SEARCH("Party Name:-",'R.M Billets Reports'!D1722)),TRIM('R.M Billets Reports'!F1722),IF(ISNUMBER(SEARCH("Party Name-",'R.M Billets Reports'!D1722)),TRIM(MID('R.M Billets Reports'!D1722,SEARCH("-",'R.M Billets Reports'!D1722)+1,200)),"")))="SHRI RADHE","SHREE RADHE",IF(IF(IF(ISNUMBER(SEARCH("Party Name:-",'R.M Billets Reports'!D1721)),TRIM('R.M Billets Reports'!F1721),IF(ISNUMBER(SEARCH("Party Name-",'R.M Billets Reports'!D1721)),TRIM(MID('R.M Billets Reports'!D1721,SEARCH("-",'R.M Billets Reports'!D1721)+1,200)),""))&lt;&gt;"",IF(ISNUMBER(SEARCH("Party Name:-",'R.M Billets Reports'!D1721)),TRIM('R.M Billets Reports'!F1721),IF(ISNUMBER(SEARCH("Party Name-",'R.M Billets Reports'!D1721)),TRIM(MID('R.M Billets Reports'!D1721,SEARCH("-",'R.M Billets Reports'!D1721)+1,200)),"")),IF(ISNUMBER(SEARCH("Party Name:-",'R.M Billets Reports'!D1722)),TRIM('R.M Billets Reports'!F1722),IF(ISNUMBER(SEARCH("Party Name-",'R.M Billets Reports'!D1722)),TRIM(MID('R.M Billets Reports'!D1722,SEARCH("-",'R.M Billets Reports'!D1722)+1,200)),"")))="SHREE RADHE SHAKTI SPONGE AND POWER PVT. LTD.","SHREE RADHE",IF(IF(ISNUMBER(SEARCH("Party Name:-",'R.M Billets Reports'!D1721)),TRIM('R.M Billets Reports'!F1721),IF(ISNUMBER(SEARCH("Party Name-",'R.M Billets Reports'!D1721)),TRIM(MID('R.M Billets Reports'!D1721,SEARCH("-",'R.M Billets Reports'!D1721)+1,200)),""))&lt;&gt;"",IF(ISNUMBER(SEARCH("Party Name:-",'R.M Billets Reports'!D1721)),TRIM('R.M Billets Reports'!F1721),IF(ISNUMBER(SEARCH("Party Name-",'R.M Billets Reports'!D1721)),TRIM(MID('R.M Billets Reports'!D1721,SEARCH("-",'R.M Billets Reports'!D1721)+1,200)),"")),IF(ISNUMBER(SEARCH("Party Name:-",'R.M Billets Reports'!D1722)),TRIM('R.M Billets Reports'!F1722),IF(ISNUMBER(SEARCH("Party Name-",'R.M Billets Reports'!D1722)),TRIM(MID('R.M Billets Reports'!D1722,SEARCH("-",'R.M Billets Reports'!D1722)+1,200)),"")))))),IF(ROW()=2,"",A1721))</f>
      </c>
      <c r="B1722">
        <f>IF(OR('R.M Billets Reports'!A1721="Date-",'R.M Billets Reports'!A1721="Date:-"),'R.M Billets Reports'!B1721,IF(ROW()=2,"",B1721))</f>
      </c>
      <c r="C1722">
        <f>IF('R.M Billets Reports'!A1721="V.No.",'R.M Billets Reports'!B1721,IF(ROW()=2,"",C1721))</f>
      </c>
      <c r="D1722">
        <f>IF('R.M Billets Reports'!A1721&lt;&gt;"",'R.M Billets Reports'!A1721,IF(ROW()=2,"",D1721))</f>
      </c>
      <c r="E1722">
        <f>IF('R.M Billets Reports'!B1721="","",TRIM('R.M Billets Reports'!B1721))</f>
      </c>
      <c r="F1722">
        <f>'R.M Billets Reports'!C1721</f>
      </c>
      <c r="G1722">
        <f>'R.M Billets Reports'!D1721</f>
      </c>
      <c r="H1722">
        <f>'R.M Billets Reports'!E1721</f>
      </c>
      <c r="I1722">
        <f>'R.M Billets Reports'!F1721</f>
      </c>
      <c r="J1722">
        <f>'R.M Billets Reports'!G1721</f>
      </c>
      <c r="K1722">
        <f>'R.M Billets Reports'!H1721</f>
      </c>
      <c r="L1722">
        <f>IF('R.M Billets Reports'!I1721="","",'R.M Billets Reports'!I1721)</f>
      </c>
      <c r="M1722">
        <f t="shared" si="52"/>
      </c>
      <c r="N1722">
        <f>IF('R.M Billets Reports'!J1721="","",'R.M Billets Reports'!J1721)</f>
      </c>
      <c r="O1722">
        <f t="shared" si="53"/>
      </c>
      <c r="P1722">
        <f>IF('R.M Billets Reports'!A1721="SIZE",'R.M Billets Reports'!B1721,P1721)</f>
      </c>
    </row>
    <row r="1723" spans="1:16" x14ac:dyDescent="0.25">
      <c r="A1723">
        <f>IF(OR('R.M Billets Reports'!A1722="Date-",'R.M Billets Reports'!A1722="Date:-"),IF(IF(IF(ISNUMBER(SEARCH("Party Name:-",'R.M Billets Reports'!D1722)),TRIM('R.M Billets Reports'!F1722),IF(ISNUMBER(SEARCH("Party Name-",'R.M Billets Reports'!D1722)),TRIM(MID('R.M Billets Reports'!D1722,SEARCH("-",'R.M Billets Reports'!D1722)+1,200)),""))&lt;&gt;"",IF(ISNUMBER(SEARCH("Party Name:-",'R.M Billets Reports'!D1722)),TRIM('R.M Billets Reports'!F1722),IF(ISNUMBER(SEARCH("Party Name-",'R.M Billets Reports'!D1722)),TRIM(MID('R.M Billets Reports'!D1722,SEARCH("-",'R.M Billets Reports'!D1722)+1,200)),"")),IF(ISNUMBER(SEARCH("Party Name:-",'R.M Billets Reports'!D1723)),TRIM('R.M Billets Reports'!F1723),IF(ISNUMBER(SEARCH("Party Name-",'R.M Billets Reports'!D1723)),TRIM(MID('R.M Billets Reports'!D1723,SEARCH("-",'R.M Billets Reports'!D1723)+1,200)),"")))="VRKP ISPAT PVT LTD","VRKP",IF(IF(IF(ISNUMBER(SEARCH("Party Name:-",'R.M Billets Reports'!D1722)),TRIM('R.M Billets Reports'!F1722),IF(ISNUMBER(SEARCH("Party Name-",'R.M Billets Reports'!D1722)),TRIM(MID('R.M Billets Reports'!D1722,SEARCH("-",'R.M Billets Reports'!D1722)+1,200)),""))&lt;&gt;"",IF(ISNUMBER(SEARCH("Party Name:-",'R.M Billets Reports'!D1722)),TRIM('R.M Billets Reports'!F1722),IF(ISNUMBER(SEARCH("Party Name-",'R.M Billets Reports'!D1722)),TRIM(MID('R.M Billets Reports'!D1722,SEARCH("-",'R.M Billets Reports'!D1722)+1,200)),"")),IF(ISNUMBER(SEARCH("Party Name:-",'R.M Billets Reports'!D1723)),TRIM('R.M Billets Reports'!F1723),IF(ISNUMBER(SEARCH("Party Name-",'R.M Billets Reports'!D1723)),TRIM(MID('R.M Billets Reports'!D1723,SEARCH("-",'R.M Billets Reports'!D1723)+1,200)),"")))="SHRI RADHE","SHREE RADHE",IF(IF(IF(ISNUMBER(SEARCH("Party Name:-",'R.M Billets Reports'!D1722)),TRIM('R.M Billets Reports'!F1722),IF(ISNUMBER(SEARCH("Party Name-",'R.M Billets Reports'!D1722)),TRIM(MID('R.M Billets Reports'!D1722,SEARCH("-",'R.M Billets Reports'!D1722)+1,200)),""))&lt;&gt;"",IF(ISNUMBER(SEARCH("Party Name:-",'R.M Billets Reports'!D1722)),TRIM('R.M Billets Reports'!F1722),IF(ISNUMBER(SEARCH("Party Name-",'R.M Billets Reports'!D1722)),TRIM(MID('R.M Billets Reports'!D1722,SEARCH("-",'R.M Billets Reports'!D1722)+1,200)),"")),IF(ISNUMBER(SEARCH("Party Name:-",'R.M Billets Reports'!D1723)),TRIM('R.M Billets Reports'!F1723),IF(ISNUMBER(SEARCH("Party Name-",'R.M Billets Reports'!D1723)),TRIM(MID('R.M Billets Reports'!D1723,SEARCH("-",'R.M Billets Reports'!D1723)+1,200)),"")))="SHREE RADHE SHAKTI SPONGE AND POWER PVT. LTD.","SHREE RADHE",IF(IF(ISNUMBER(SEARCH("Party Name:-",'R.M Billets Reports'!D1722)),TRIM('R.M Billets Reports'!F1722),IF(ISNUMBER(SEARCH("Party Name-",'R.M Billets Reports'!D1722)),TRIM(MID('R.M Billets Reports'!D1722,SEARCH("-",'R.M Billets Reports'!D1722)+1,200)),""))&lt;&gt;"",IF(ISNUMBER(SEARCH("Party Name:-",'R.M Billets Reports'!D1722)),TRIM('R.M Billets Reports'!F1722),IF(ISNUMBER(SEARCH("Party Name-",'R.M Billets Reports'!D1722)),TRIM(MID('R.M Billets Reports'!D1722,SEARCH("-",'R.M Billets Reports'!D1722)+1,200)),"")),IF(ISNUMBER(SEARCH("Party Name:-",'R.M Billets Reports'!D1723)),TRIM('R.M Billets Reports'!F1723),IF(ISNUMBER(SEARCH("Party Name-",'R.M Billets Reports'!D1723)),TRIM(MID('R.M Billets Reports'!D1723,SEARCH("-",'R.M Billets Reports'!D1723)+1,200)),"")))))),IF(ROW()=2,"",A1722))</f>
      </c>
      <c r="B1723">
        <f>IF(OR('R.M Billets Reports'!A1722="Date-",'R.M Billets Reports'!A1722="Date:-"),'R.M Billets Reports'!B1722,IF(ROW()=2,"",B1722))</f>
      </c>
      <c r="C1723">
        <f>IF('R.M Billets Reports'!A1722="V.No.",'R.M Billets Reports'!B1722,IF(ROW()=2,"",C1722))</f>
      </c>
      <c r="D1723">
        <f>IF('R.M Billets Reports'!A1722&lt;&gt;"",'R.M Billets Reports'!A1722,IF(ROW()=2,"",D1722))</f>
      </c>
      <c r="E1723">
        <f>IF('R.M Billets Reports'!B1722="","",TRIM('R.M Billets Reports'!B1722))</f>
      </c>
      <c r="F1723">
        <f>'R.M Billets Reports'!C1722</f>
      </c>
      <c r="G1723">
        <f>'R.M Billets Reports'!D1722</f>
      </c>
      <c r="H1723">
        <f>'R.M Billets Reports'!E1722</f>
      </c>
      <c r="I1723">
        <f>'R.M Billets Reports'!F1722</f>
      </c>
      <c r="J1723">
        <f>'R.M Billets Reports'!G1722</f>
      </c>
      <c r="K1723">
        <f>'R.M Billets Reports'!H1722</f>
      </c>
      <c r="L1723">
        <f>IF('R.M Billets Reports'!I1722="","",'R.M Billets Reports'!I1722)</f>
      </c>
      <c r="M1723">
        <f t="shared" si="52"/>
      </c>
      <c r="N1723">
        <f>IF('R.M Billets Reports'!J1722="","",'R.M Billets Reports'!J1722)</f>
      </c>
      <c r="O1723">
        <f t="shared" si="53"/>
      </c>
      <c r="P1723">
        <f>IF('R.M Billets Reports'!A1722="SIZE",'R.M Billets Reports'!B1722,P1722)</f>
      </c>
    </row>
    <row r="1724" spans="1:16" x14ac:dyDescent="0.25">
      <c r="A1724">
        <f>IF(OR('R.M Billets Reports'!A1723="Date-",'R.M Billets Reports'!A1723="Date:-"),IF(IF(IF(ISNUMBER(SEARCH("Party Name:-",'R.M Billets Reports'!D1723)),TRIM('R.M Billets Reports'!F1723),IF(ISNUMBER(SEARCH("Party Name-",'R.M Billets Reports'!D1723)),TRIM(MID('R.M Billets Reports'!D1723,SEARCH("-",'R.M Billets Reports'!D1723)+1,200)),""))&lt;&gt;"",IF(ISNUMBER(SEARCH("Party Name:-",'R.M Billets Reports'!D1723)),TRIM('R.M Billets Reports'!F1723),IF(ISNUMBER(SEARCH("Party Name-",'R.M Billets Reports'!D1723)),TRIM(MID('R.M Billets Reports'!D1723,SEARCH("-",'R.M Billets Reports'!D1723)+1,200)),"")),IF(ISNUMBER(SEARCH("Party Name:-",'R.M Billets Reports'!D1724)),TRIM('R.M Billets Reports'!F1724),IF(ISNUMBER(SEARCH("Party Name-",'R.M Billets Reports'!D1724)),TRIM(MID('R.M Billets Reports'!D1724,SEARCH("-",'R.M Billets Reports'!D1724)+1,200)),"")))="VRKP ISPAT PVT LTD","VRKP",IF(IF(IF(ISNUMBER(SEARCH("Party Name:-",'R.M Billets Reports'!D1723)),TRIM('R.M Billets Reports'!F1723),IF(ISNUMBER(SEARCH("Party Name-",'R.M Billets Reports'!D1723)),TRIM(MID('R.M Billets Reports'!D1723,SEARCH("-",'R.M Billets Reports'!D1723)+1,200)),""))&lt;&gt;"",IF(ISNUMBER(SEARCH("Party Name:-",'R.M Billets Reports'!D1723)),TRIM('R.M Billets Reports'!F1723),IF(ISNUMBER(SEARCH("Party Name-",'R.M Billets Reports'!D1723)),TRIM(MID('R.M Billets Reports'!D1723,SEARCH("-",'R.M Billets Reports'!D1723)+1,200)),"")),IF(ISNUMBER(SEARCH("Party Name:-",'R.M Billets Reports'!D1724)),TRIM('R.M Billets Reports'!F1724),IF(ISNUMBER(SEARCH("Party Name-",'R.M Billets Reports'!D1724)),TRIM(MID('R.M Billets Reports'!D1724,SEARCH("-",'R.M Billets Reports'!D1724)+1,200)),"")))="SHRI RADHE","SHREE RADHE",IF(IF(IF(ISNUMBER(SEARCH("Party Name:-",'R.M Billets Reports'!D1723)),TRIM('R.M Billets Reports'!F1723),IF(ISNUMBER(SEARCH("Party Name-",'R.M Billets Reports'!D1723)),TRIM(MID('R.M Billets Reports'!D1723,SEARCH("-",'R.M Billets Reports'!D1723)+1,200)),""))&lt;&gt;"",IF(ISNUMBER(SEARCH("Party Name:-",'R.M Billets Reports'!D1723)),TRIM('R.M Billets Reports'!F1723),IF(ISNUMBER(SEARCH("Party Name-",'R.M Billets Reports'!D1723)),TRIM(MID('R.M Billets Reports'!D1723,SEARCH("-",'R.M Billets Reports'!D1723)+1,200)),"")),IF(ISNUMBER(SEARCH("Party Name:-",'R.M Billets Reports'!D1724)),TRIM('R.M Billets Reports'!F1724),IF(ISNUMBER(SEARCH("Party Name-",'R.M Billets Reports'!D1724)),TRIM(MID('R.M Billets Reports'!D1724,SEARCH("-",'R.M Billets Reports'!D1724)+1,200)),"")))="SHREE RADHE SHAKTI SPONGE AND POWER PVT. LTD.","SHREE RADHE",IF(IF(ISNUMBER(SEARCH("Party Name:-",'R.M Billets Reports'!D1723)),TRIM('R.M Billets Reports'!F1723),IF(ISNUMBER(SEARCH("Party Name-",'R.M Billets Reports'!D1723)),TRIM(MID('R.M Billets Reports'!D1723,SEARCH("-",'R.M Billets Reports'!D1723)+1,200)),""))&lt;&gt;"",IF(ISNUMBER(SEARCH("Party Name:-",'R.M Billets Reports'!D1723)),TRIM('R.M Billets Reports'!F1723),IF(ISNUMBER(SEARCH("Party Name-",'R.M Billets Reports'!D1723)),TRIM(MID('R.M Billets Reports'!D1723,SEARCH("-",'R.M Billets Reports'!D1723)+1,200)),"")),IF(ISNUMBER(SEARCH("Party Name:-",'R.M Billets Reports'!D1724)),TRIM('R.M Billets Reports'!F1724),IF(ISNUMBER(SEARCH("Party Name-",'R.M Billets Reports'!D1724)),TRIM(MID('R.M Billets Reports'!D1724,SEARCH("-",'R.M Billets Reports'!D1724)+1,200)),"")))))),IF(ROW()=2,"",A1723))</f>
      </c>
      <c r="B1724">
        <f>IF(OR('R.M Billets Reports'!A1723="Date-",'R.M Billets Reports'!A1723="Date:-"),'R.M Billets Reports'!B1723,IF(ROW()=2,"",B1723))</f>
      </c>
      <c r="C1724">
        <f>IF('R.M Billets Reports'!A1723="V.No.",'R.M Billets Reports'!B1723,IF(ROW()=2,"",C1723))</f>
      </c>
      <c r="D1724">
        <f>IF('R.M Billets Reports'!A1723&lt;&gt;"",'R.M Billets Reports'!A1723,IF(ROW()=2,"",D1723))</f>
      </c>
      <c r="E1724">
        <f>IF('R.M Billets Reports'!B1723="","",TRIM('R.M Billets Reports'!B1723))</f>
      </c>
      <c r="F1724">
        <f>'R.M Billets Reports'!C1723</f>
      </c>
      <c r="G1724">
        <f>'R.M Billets Reports'!D1723</f>
      </c>
      <c r="H1724">
        <f>'R.M Billets Reports'!E1723</f>
      </c>
      <c r="I1724">
        <f>'R.M Billets Reports'!F1723</f>
      </c>
      <c r="J1724">
        <f>'R.M Billets Reports'!G1723</f>
      </c>
      <c r="K1724">
        <f>'R.M Billets Reports'!H1723</f>
      </c>
      <c r="L1724">
        <f>IF('R.M Billets Reports'!I1723="","",'R.M Billets Reports'!I1723)</f>
      </c>
      <c r="M1724">
        <f t="shared" si="52"/>
      </c>
      <c r="N1724">
        <f>IF('R.M Billets Reports'!J1723="","",'R.M Billets Reports'!J1723)</f>
      </c>
      <c r="O1724">
        <f t="shared" si="53"/>
      </c>
      <c r="P1724">
        <f>IF('R.M Billets Reports'!A1723="SIZE",'R.M Billets Reports'!B1723,P1723)</f>
      </c>
    </row>
    <row r="1725" spans="1:16" x14ac:dyDescent="0.25">
      <c r="A1725">
        <f>IF(OR('R.M Billets Reports'!A1724="Date-",'R.M Billets Reports'!A1724="Date:-"),IF(IF(IF(ISNUMBER(SEARCH("Party Name:-",'R.M Billets Reports'!D1724)),TRIM('R.M Billets Reports'!F1724),IF(ISNUMBER(SEARCH("Party Name-",'R.M Billets Reports'!D1724)),TRIM(MID('R.M Billets Reports'!D1724,SEARCH("-",'R.M Billets Reports'!D1724)+1,200)),""))&lt;&gt;"",IF(ISNUMBER(SEARCH("Party Name:-",'R.M Billets Reports'!D1724)),TRIM('R.M Billets Reports'!F1724),IF(ISNUMBER(SEARCH("Party Name-",'R.M Billets Reports'!D1724)),TRIM(MID('R.M Billets Reports'!D1724,SEARCH("-",'R.M Billets Reports'!D1724)+1,200)),"")),IF(ISNUMBER(SEARCH("Party Name:-",'R.M Billets Reports'!D1725)),TRIM('R.M Billets Reports'!F1725),IF(ISNUMBER(SEARCH("Party Name-",'R.M Billets Reports'!D1725)),TRIM(MID('R.M Billets Reports'!D1725,SEARCH("-",'R.M Billets Reports'!D1725)+1,200)),"")))="VRKP ISPAT PVT LTD","VRKP",IF(IF(IF(ISNUMBER(SEARCH("Party Name:-",'R.M Billets Reports'!D1724)),TRIM('R.M Billets Reports'!F1724),IF(ISNUMBER(SEARCH("Party Name-",'R.M Billets Reports'!D1724)),TRIM(MID('R.M Billets Reports'!D1724,SEARCH("-",'R.M Billets Reports'!D1724)+1,200)),""))&lt;&gt;"",IF(ISNUMBER(SEARCH("Party Name:-",'R.M Billets Reports'!D1724)),TRIM('R.M Billets Reports'!F1724),IF(ISNUMBER(SEARCH("Party Name-",'R.M Billets Reports'!D1724)),TRIM(MID('R.M Billets Reports'!D1724,SEARCH("-",'R.M Billets Reports'!D1724)+1,200)),"")),IF(ISNUMBER(SEARCH("Party Name:-",'R.M Billets Reports'!D1725)),TRIM('R.M Billets Reports'!F1725),IF(ISNUMBER(SEARCH("Party Name-",'R.M Billets Reports'!D1725)),TRIM(MID('R.M Billets Reports'!D1725,SEARCH("-",'R.M Billets Reports'!D1725)+1,200)),"")))="SHRI RADHE","SHREE RADHE",IF(IF(IF(ISNUMBER(SEARCH("Party Name:-",'R.M Billets Reports'!D1724)),TRIM('R.M Billets Reports'!F1724),IF(ISNUMBER(SEARCH("Party Name-",'R.M Billets Reports'!D1724)),TRIM(MID('R.M Billets Reports'!D1724,SEARCH("-",'R.M Billets Reports'!D1724)+1,200)),""))&lt;&gt;"",IF(ISNUMBER(SEARCH("Party Name:-",'R.M Billets Reports'!D1724)),TRIM('R.M Billets Reports'!F1724),IF(ISNUMBER(SEARCH("Party Name-",'R.M Billets Reports'!D1724)),TRIM(MID('R.M Billets Reports'!D1724,SEARCH("-",'R.M Billets Reports'!D1724)+1,200)),"")),IF(ISNUMBER(SEARCH("Party Name:-",'R.M Billets Reports'!D1725)),TRIM('R.M Billets Reports'!F1725),IF(ISNUMBER(SEARCH("Party Name-",'R.M Billets Reports'!D1725)),TRIM(MID('R.M Billets Reports'!D1725,SEARCH("-",'R.M Billets Reports'!D1725)+1,200)),"")))="SHREE RADHE SHAKTI SPONGE AND POWER PVT. LTD.","SHREE RADHE",IF(IF(ISNUMBER(SEARCH("Party Name:-",'R.M Billets Reports'!D1724)),TRIM('R.M Billets Reports'!F1724),IF(ISNUMBER(SEARCH("Party Name-",'R.M Billets Reports'!D1724)),TRIM(MID('R.M Billets Reports'!D1724,SEARCH("-",'R.M Billets Reports'!D1724)+1,200)),""))&lt;&gt;"",IF(ISNUMBER(SEARCH("Party Name:-",'R.M Billets Reports'!D1724)),TRIM('R.M Billets Reports'!F1724),IF(ISNUMBER(SEARCH("Party Name-",'R.M Billets Reports'!D1724)),TRIM(MID('R.M Billets Reports'!D1724,SEARCH("-",'R.M Billets Reports'!D1724)+1,200)),"")),IF(ISNUMBER(SEARCH("Party Name:-",'R.M Billets Reports'!D1725)),TRIM('R.M Billets Reports'!F1725),IF(ISNUMBER(SEARCH("Party Name-",'R.M Billets Reports'!D1725)),TRIM(MID('R.M Billets Reports'!D1725,SEARCH("-",'R.M Billets Reports'!D1725)+1,200)),"")))))),IF(ROW()=2,"",A1724))</f>
      </c>
      <c r="B1725">
        <f>IF(OR('R.M Billets Reports'!A1724="Date-",'R.M Billets Reports'!A1724="Date:-"),'R.M Billets Reports'!B1724,IF(ROW()=2,"",B1724))</f>
      </c>
      <c r="C1725">
        <f>IF('R.M Billets Reports'!A1724="V.No.",'R.M Billets Reports'!B1724,IF(ROW()=2,"",C1724))</f>
      </c>
      <c r="D1725">
        <f>IF('R.M Billets Reports'!A1724&lt;&gt;"",'R.M Billets Reports'!A1724,IF(ROW()=2,"",D1724))</f>
      </c>
      <c r="E1725">
        <f>IF('R.M Billets Reports'!B1724="","",TRIM('R.M Billets Reports'!B1724))</f>
      </c>
      <c r="F1725">
        <f>'R.M Billets Reports'!C1724</f>
      </c>
      <c r="G1725">
        <f>'R.M Billets Reports'!D1724</f>
      </c>
      <c r="H1725">
        <f>'R.M Billets Reports'!E1724</f>
      </c>
      <c r="I1725">
        <f>'R.M Billets Reports'!F1724</f>
      </c>
      <c r="J1725">
        <f>'R.M Billets Reports'!G1724</f>
      </c>
      <c r="K1725">
        <f>'R.M Billets Reports'!H1724</f>
      </c>
      <c r="L1725">
        <f>IF('R.M Billets Reports'!I1724="","",'R.M Billets Reports'!I1724)</f>
      </c>
      <c r="M1725">
        <f t="shared" si="52"/>
      </c>
      <c r="N1725">
        <f>IF('R.M Billets Reports'!J1724="","",'R.M Billets Reports'!J1724)</f>
      </c>
      <c r="O1725">
        <f t="shared" si="53"/>
      </c>
      <c r="P1725">
        <f>IF('R.M Billets Reports'!A1724="SIZE",'R.M Billets Reports'!B1724,P1724)</f>
      </c>
    </row>
    <row r="1726" spans="1:16" x14ac:dyDescent="0.25">
      <c r="A1726">
        <f>IF(OR('R.M Billets Reports'!A1725="Date-",'R.M Billets Reports'!A1725="Date:-"),IF(IF(IF(ISNUMBER(SEARCH("Party Name:-",'R.M Billets Reports'!D1725)),TRIM('R.M Billets Reports'!F1725),IF(ISNUMBER(SEARCH("Party Name-",'R.M Billets Reports'!D1725)),TRIM(MID('R.M Billets Reports'!D1725,SEARCH("-",'R.M Billets Reports'!D1725)+1,200)),""))&lt;&gt;"",IF(ISNUMBER(SEARCH("Party Name:-",'R.M Billets Reports'!D1725)),TRIM('R.M Billets Reports'!F1725),IF(ISNUMBER(SEARCH("Party Name-",'R.M Billets Reports'!D1725)),TRIM(MID('R.M Billets Reports'!D1725,SEARCH("-",'R.M Billets Reports'!D1725)+1,200)),"")),IF(ISNUMBER(SEARCH("Party Name:-",'R.M Billets Reports'!D1726)),TRIM('R.M Billets Reports'!F1726),IF(ISNUMBER(SEARCH("Party Name-",'R.M Billets Reports'!D1726)),TRIM(MID('R.M Billets Reports'!D1726,SEARCH("-",'R.M Billets Reports'!D1726)+1,200)),"")))="VRKP ISPAT PVT LTD","VRKP",IF(IF(IF(ISNUMBER(SEARCH("Party Name:-",'R.M Billets Reports'!D1725)),TRIM('R.M Billets Reports'!F1725),IF(ISNUMBER(SEARCH("Party Name-",'R.M Billets Reports'!D1725)),TRIM(MID('R.M Billets Reports'!D1725,SEARCH("-",'R.M Billets Reports'!D1725)+1,200)),""))&lt;&gt;"",IF(ISNUMBER(SEARCH("Party Name:-",'R.M Billets Reports'!D1725)),TRIM('R.M Billets Reports'!F1725),IF(ISNUMBER(SEARCH("Party Name-",'R.M Billets Reports'!D1725)),TRIM(MID('R.M Billets Reports'!D1725,SEARCH("-",'R.M Billets Reports'!D1725)+1,200)),"")),IF(ISNUMBER(SEARCH("Party Name:-",'R.M Billets Reports'!D1726)),TRIM('R.M Billets Reports'!F1726),IF(ISNUMBER(SEARCH("Party Name-",'R.M Billets Reports'!D1726)),TRIM(MID('R.M Billets Reports'!D1726,SEARCH("-",'R.M Billets Reports'!D1726)+1,200)),"")))="SHRI RADHE","SHREE RADHE",IF(IF(IF(ISNUMBER(SEARCH("Party Name:-",'R.M Billets Reports'!D1725)),TRIM('R.M Billets Reports'!F1725),IF(ISNUMBER(SEARCH("Party Name-",'R.M Billets Reports'!D1725)),TRIM(MID('R.M Billets Reports'!D1725,SEARCH("-",'R.M Billets Reports'!D1725)+1,200)),""))&lt;&gt;"",IF(ISNUMBER(SEARCH("Party Name:-",'R.M Billets Reports'!D1725)),TRIM('R.M Billets Reports'!F1725),IF(ISNUMBER(SEARCH("Party Name-",'R.M Billets Reports'!D1725)),TRIM(MID('R.M Billets Reports'!D1725,SEARCH("-",'R.M Billets Reports'!D1725)+1,200)),"")),IF(ISNUMBER(SEARCH("Party Name:-",'R.M Billets Reports'!D1726)),TRIM('R.M Billets Reports'!F1726),IF(ISNUMBER(SEARCH("Party Name-",'R.M Billets Reports'!D1726)),TRIM(MID('R.M Billets Reports'!D1726,SEARCH("-",'R.M Billets Reports'!D1726)+1,200)),"")))="SHREE RADHE SHAKTI SPONGE AND POWER PVT. LTD.","SHREE RADHE",IF(IF(ISNUMBER(SEARCH("Party Name:-",'R.M Billets Reports'!D1725)),TRIM('R.M Billets Reports'!F1725),IF(ISNUMBER(SEARCH("Party Name-",'R.M Billets Reports'!D1725)),TRIM(MID('R.M Billets Reports'!D1725,SEARCH("-",'R.M Billets Reports'!D1725)+1,200)),""))&lt;&gt;"",IF(ISNUMBER(SEARCH("Party Name:-",'R.M Billets Reports'!D1725)),TRIM('R.M Billets Reports'!F1725),IF(ISNUMBER(SEARCH("Party Name-",'R.M Billets Reports'!D1725)),TRIM(MID('R.M Billets Reports'!D1725,SEARCH("-",'R.M Billets Reports'!D1725)+1,200)),"")),IF(ISNUMBER(SEARCH("Party Name:-",'R.M Billets Reports'!D1726)),TRIM('R.M Billets Reports'!F1726),IF(ISNUMBER(SEARCH("Party Name-",'R.M Billets Reports'!D1726)),TRIM(MID('R.M Billets Reports'!D1726,SEARCH("-",'R.M Billets Reports'!D1726)+1,200)),"")))))),IF(ROW()=2,"",A1725))</f>
      </c>
      <c r="B1726">
        <f>IF(OR('R.M Billets Reports'!A1725="Date-",'R.M Billets Reports'!A1725="Date:-"),'R.M Billets Reports'!B1725,IF(ROW()=2,"",B1725))</f>
      </c>
      <c r="C1726">
        <f>IF('R.M Billets Reports'!A1725="V.No.",'R.M Billets Reports'!B1725,IF(ROW()=2,"",C1725))</f>
      </c>
      <c r="D1726">
        <f>IF('R.M Billets Reports'!A1725&lt;&gt;"",'R.M Billets Reports'!A1725,IF(ROW()=2,"",D1725))</f>
      </c>
      <c r="E1726">
        <f>IF('R.M Billets Reports'!B1725="","",TRIM('R.M Billets Reports'!B1725))</f>
      </c>
      <c r="F1726">
        <f>'R.M Billets Reports'!C1725</f>
      </c>
      <c r="G1726">
        <f>'R.M Billets Reports'!D1725</f>
      </c>
      <c r="H1726">
        <f>'R.M Billets Reports'!E1725</f>
      </c>
      <c r="I1726">
        <f>'R.M Billets Reports'!F1725</f>
      </c>
      <c r="J1726">
        <f>'R.M Billets Reports'!G1725</f>
      </c>
      <c r="K1726">
        <f>'R.M Billets Reports'!H1725</f>
      </c>
      <c r="L1726">
        <f>IF('R.M Billets Reports'!I1725="","",'R.M Billets Reports'!I1725)</f>
      </c>
      <c r="M1726">
        <f t="shared" si="52"/>
      </c>
      <c r="N1726">
        <f>IF('R.M Billets Reports'!J1725="","",'R.M Billets Reports'!J1725)</f>
      </c>
      <c r="O1726">
        <f t="shared" si="53"/>
      </c>
      <c r="P1726">
        <f>IF('R.M Billets Reports'!A1725="SIZE",'R.M Billets Reports'!B1725,P1725)</f>
      </c>
    </row>
    <row r="1727" spans="1:16" x14ac:dyDescent="0.25">
      <c r="A1727">
        <f>IF(OR('R.M Billets Reports'!A1726="Date-",'R.M Billets Reports'!A1726="Date:-"),IF(IF(IF(ISNUMBER(SEARCH("Party Name:-",'R.M Billets Reports'!D1726)),TRIM('R.M Billets Reports'!F1726),IF(ISNUMBER(SEARCH("Party Name-",'R.M Billets Reports'!D1726)),TRIM(MID('R.M Billets Reports'!D1726,SEARCH("-",'R.M Billets Reports'!D1726)+1,200)),""))&lt;&gt;"",IF(ISNUMBER(SEARCH("Party Name:-",'R.M Billets Reports'!D1726)),TRIM('R.M Billets Reports'!F1726),IF(ISNUMBER(SEARCH("Party Name-",'R.M Billets Reports'!D1726)),TRIM(MID('R.M Billets Reports'!D1726,SEARCH("-",'R.M Billets Reports'!D1726)+1,200)),"")),IF(ISNUMBER(SEARCH("Party Name:-",'R.M Billets Reports'!D1727)),TRIM('R.M Billets Reports'!F1727),IF(ISNUMBER(SEARCH("Party Name-",'R.M Billets Reports'!D1727)),TRIM(MID('R.M Billets Reports'!D1727,SEARCH("-",'R.M Billets Reports'!D1727)+1,200)),"")))="VRKP ISPAT PVT LTD","VRKP",IF(IF(IF(ISNUMBER(SEARCH("Party Name:-",'R.M Billets Reports'!D1726)),TRIM('R.M Billets Reports'!F1726),IF(ISNUMBER(SEARCH("Party Name-",'R.M Billets Reports'!D1726)),TRIM(MID('R.M Billets Reports'!D1726,SEARCH("-",'R.M Billets Reports'!D1726)+1,200)),""))&lt;&gt;"",IF(ISNUMBER(SEARCH("Party Name:-",'R.M Billets Reports'!D1726)),TRIM('R.M Billets Reports'!F1726),IF(ISNUMBER(SEARCH("Party Name-",'R.M Billets Reports'!D1726)),TRIM(MID('R.M Billets Reports'!D1726,SEARCH("-",'R.M Billets Reports'!D1726)+1,200)),"")),IF(ISNUMBER(SEARCH("Party Name:-",'R.M Billets Reports'!D1727)),TRIM('R.M Billets Reports'!F1727),IF(ISNUMBER(SEARCH("Party Name-",'R.M Billets Reports'!D1727)),TRIM(MID('R.M Billets Reports'!D1727,SEARCH("-",'R.M Billets Reports'!D1727)+1,200)),"")))="SHRI RADHE","SHREE RADHE",IF(IF(IF(ISNUMBER(SEARCH("Party Name:-",'R.M Billets Reports'!D1726)),TRIM('R.M Billets Reports'!F1726),IF(ISNUMBER(SEARCH("Party Name-",'R.M Billets Reports'!D1726)),TRIM(MID('R.M Billets Reports'!D1726,SEARCH("-",'R.M Billets Reports'!D1726)+1,200)),""))&lt;&gt;"",IF(ISNUMBER(SEARCH("Party Name:-",'R.M Billets Reports'!D1726)),TRIM('R.M Billets Reports'!F1726),IF(ISNUMBER(SEARCH("Party Name-",'R.M Billets Reports'!D1726)),TRIM(MID('R.M Billets Reports'!D1726,SEARCH("-",'R.M Billets Reports'!D1726)+1,200)),"")),IF(ISNUMBER(SEARCH("Party Name:-",'R.M Billets Reports'!D1727)),TRIM('R.M Billets Reports'!F1727),IF(ISNUMBER(SEARCH("Party Name-",'R.M Billets Reports'!D1727)),TRIM(MID('R.M Billets Reports'!D1727,SEARCH("-",'R.M Billets Reports'!D1727)+1,200)),"")))="SHREE RADHE SHAKTI SPONGE AND POWER PVT. LTD.","SHREE RADHE",IF(IF(ISNUMBER(SEARCH("Party Name:-",'R.M Billets Reports'!D1726)),TRIM('R.M Billets Reports'!F1726),IF(ISNUMBER(SEARCH("Party Name-",'R.M Billets Reports'!D1726)),TRIM(MID('R.M Billets Reports'!D1726,SEARCH("-",'R.M Billets Reports'!D1726)+1,200)),""))&lt;&gt;"",IF(ISNUMBER(SEARCH("Party Name:-",'R.M Billets Reports'!D1726)),TRIM('R.M Billets Reports'!F1726),IF(ISNUMBER(SEARCH("Party Name-",'R.M Billets Reports'!D1726)),TRIM(MID('R.M Billets Reports'!D1726,SEARCH("-",'R.M Billets Reports'!D1726)+1,200)),"")),IF(ISNUMBER(SEARCH("Party Name:-",'R.M Billets Reports'!D1727)),TRIM('R.M Billets Reports'!F1727),IF(ISNUMBER(SEARCH("Party Name-",'R.M Billets Reports'!D1727)),TRIM(MID('R.M Billets Reports'!D1727,SEARCH("-",'R.M Billets Reports'!D1727)+1,200)),"")))))),IF(ROW()=2,"",A1726))</f>
      </c>
      <c r="B1727">
        <f>IF(OR('R.M Billets Reports'!A1726="Date-",'R.M Billets Reports'!A1726="Date:-"),'R.M Billets Reports'!B1726,IF(ROW()=2,"",B1726))</f>
      </c>
      <c r="C1727">
        <f>IF('R.M Billets Reports'!A1726="V.No.",'R.M Billets Reports'!B1726,IF(ROW()=2,"",C1726))</f>
      </c>
      <c r="D1727">
        <f>IF('R.M Billets Reports'!A1726&lt;&gt;"",'R.M Billets Reports'!A1726,IF(ROW()=2,"",D1726))</f>
      </c>
      <c r="E1727">
        <f>IF('R.M Billets Reports'!B1726="","",TRIM('R.M Billets Reports'!B1726))</f>
      </c>
      <c r="F1727">
        <f>'R.M Billets Reports'!C1726</f>
      </c>
      <c r="G1727">
        <f>'R.M Billets Reports'!D1726</f>
      </c>
      <c r="H1727">
        <f>'R.M Billets Reports'!E1726</f>
      </c>
      <c r="I1727">
        <f>'R.M Billets Reports'!F1726</f>
      </c>
      <c r="J1727">
        <f>'R.M Billets Reports'!G1726</f>
      </c>
      <c r="K1727">
        <f>'R.M Billets Reports'!H1726</f>
      </c>
      <c r="L1727">
        <f>IF('R.M Billets Reports'!I1726="","",'R.M Billets Reports'!I1726)</f>
      </c>
      <c r="M1727">
        <f t="shared" si="52"/>
      </c>
      <c r="N1727">
        <f>IF('R.M Billets Reports'!J1726="","",'R.M Billets Reports'!J1726)</f>
      </c>
      <c r="O1727">
        <f t="shared" si="53"/>
      </c>
      <c r="P1727">
        <f>IF('R.M Billets Reports'!A1726="SIZE",'R.M Billets Reports'!B1726,P1726)</f>
      </c>
    </row>
    <row r="1728" spans="1:16" x14ac:dyDescent="0.25">
      <c r="A1728">
        <f>IF(OR('R.M Billets Reports'!A1727="Date-",'R.M Billets Reports'!A1727="Date:-"),IF(IF(IF(ISNUMBER(SEARCH("Party Name:-",'R.M Billets Reports'!D1727)),TRIM('R.M Billets Reports'!F1727),IF(ISNUMBER(SEARCH("Party Name-",'R.M Billets Reports'!D1727)),TRIM(MID('R.M Billets Reports'!D1727,SEARCH("-",'R.M Billets Reports'!D1727)+1,200)),""))&lt;&gt;"",IF(ISNUMBER(SEARCH("Party Name:-",'R.M Billets Reports'!D1727)),TRIM('R.M Billets Reports'!F1727),IF(ISNUMBER(SEARCH("Party Name-",'R.M Billets Reports'!D1727)),TRIM(MID('R.M Billets Reports'!D1727,SEARCH("-",'R.M Billets Reports'!D1727)+1,200)),"")),IF(ISNUMBER(SEARCH("Party Name:-",'R.M Billets Reports'!D1728)),TRIM('R.M Billets Reports'!F1728),IF(ISNUMBER(SEARCH("Party Name-",'R.M Billets Reports'!D1728)),TRIM(MID('R.M Billets Reports'!D1728,SEARCH("-",'R.M Billets Reports'!D1728)+1,200)),"")))="VRKP ISPAT PVT LTD","VRKP",IF(IF(IF(ISNUMBER(SEARCH("Party Name:-",'R.M Billets Reports'!D1727)),TRIM('R.M Billets Reports'!F1727),IF(ISNUMBER(SEARCH("Party Name-",'R.M Billets Reports'!D1727)),TRIM(MID('R.M Billets Reports'!D1727,SEARCH("-",'R.M Billets Reports'!D1727)+1,200)),""))&lt;&gt;"",IF(ISNUMBER(SEARCH("Party Name:-",'R.M Billets Reports'!D1727)),TRIM('R.M Billets Reports'!F1727),IF(ISNUMBER(SEARCH("Party Name-",'R.M Billets Reports'!D1727)),TRIM(MID('R.M Billets Reports'!D1727,SEARCH("-",'R.M Billets Reports'!D1727)+1,200)),"")),IF(ISNUMBER(SEARCH("Party Name:-",'R.M Billets Reports'!D1728)),TRIM('R.M Billets Reports'!F1728),IF(ISNUMBER(SEARCH("Party Name-",'R.M Billets Reports'!D1728)),TRIM(MID('R.M Billets Reports'!D1728,SEARCH("-",'R.M Billets Reports'!D1728)+1,200)),"")))="SHRI RADHE","SHREE RADHE",IF(IF(IF(ISNUMBER(SEARCH("Party Name:-",'R.M Billets Reports'!D1727)),TRIM('R.M Billets Reports'!F1727),IF(ISNUMBER(SEARCH("Party Name-",'R.M Billets Reports'!D1727)),TRIM(MID('R.M Billets Reports'!D1727,SEARCH("-",'R.M Billets Reports'!D1727)+1,200)),""))&lt;&gt;"",IF(ISNUMBER(SEARCH("Party Name:-",'R.M Billets Reports'!D1727)),TRIM('R.M Billets Reports'!F1727),IF(ISNUMBER(SEARCH("Party Name-",'R.M Billets Reports'!D1727)),TRIM(MID('R.M Billets Reports'!D1727,SEARCH("-",'R.M Billets Reports'!D1727)+1,200)),"")),IF(ISNUMBER(SEARCH("Party Name:-",'R.M Billets Reports'!D1728)),TRIM('R.M Billets Reports'!F1728),IF(ISNUMBER(SEARCH("Party Name-",'R.M Billets Reports'!D1728)),TRIM(MID('R.M Billets Reports'!D1728,SEARCH("-",'R.M Billets Reports'!D1728)+1,200)),"")))="SHREE RADHE SHAKTI SPONGE AND POWER PVT. LTD.","SHREE RADHE",IF(IF(ISNUMBER(SEARCH("Party Name:-",'R.M Billets Reports'!D1727)),TRIM('R.M Billets Reports'!F1727),IF(ISNUMBER(SEARCH("Party Name-",'R.M Billets Reports'!D1727)),TRIM(MID('R.M Billets Reports'!D1727,SEARCH("-",'R.M Billets Reports'!D1727)+1,200)),""))&lt;&gt;"",IF(ISNUMBER(SEARCH("Party Name:-",'R.M Billets Reports'!D1727)),TRIM('R.M Billets Reports'!F1727),IF(ISNUMBER(SEARCH("Party Name-",'R.M Billets Reports'!D1727)),TRIM(MID('R.M Billets Reports'!D1727,SEARCH("-",'R.M Billets Reports'!D1727)+1,200)),"")),IF(ISNUMBER(SEARCH("Party Name:-",'R.M Billets Reports'!D1728)),TRIM('R.M Billets Reports'!F1728),IF(ISNUMBER(SEARCH("Party Name-",'R.M Billets Reports'!D1728)),TRIM(MID('R.M Billets Reports'!D1728,SEARCH("-",'R.M Billets Reports'!D1728)+1,200)),"")))))),IF(ROW()=2,"",A1727))</f>
      </c>
      <c r="B1728">
        <f>IF(OR('R.M Billets Reports'!A1727="Date-",'R.M Billets Reports'!A1727="Date:-"),'R.M Billets Reports'!B1727,IF(ROW()=2,"",B1727))</f>
      </c>
      <c r="C1728">
        <f>IF('R.M Billets Reports'!A1727="V.No.",'R.M Billets Reports'!B1727,IF(ROW()=2,"",C1727))</f>
      </c>
      <c r="D1728">
        <f>IF('R.M Billets Reports'!A1727&lt;&gt;"",'R.M Billets Reports'!A1727,IF(ROW()=2,"",D1727))</f>
      </c>
      <c r="E1728">
        <f>IF('R.M Billets Reports'!B1727="","",TRIM('R.M Billets Reports'!B1727))</f>
      </c>
      <c r="F1728">
        <f>'R.M Billets Reports'!C1727</f>
      </c>
      <c r="G1728">
        <f>'R.M Billets Reports'!D1727</f>
      </c>
      <c r="H1728">
        <f>'R.M Billets Reports'!E1727</f>
      </c>
      <c r="I1728">
        <f>'R.M Billets Reports'!F1727</f>
      </c>
      <c r="J1728">
        <f>'R.M Billets Reports'!G1727</f>
      </c>
      <c r="K1728">
        <f>'R.M Billets Reports'!H1727</f>
      </c>
      <c r="L1728">
        <f>IF('R.M Billets Reports'!I1727="","",'R.M Billets Reports'!I1727)</f>
      </c>
      <c r="M1728">
        <f t="shared" si="52"/>
      </c>
      <c r="N1728">
        <f>IF('R.M Billets Reports'!J1727="","",'R.M Billets Reports'!J1727)</f>
      </c>
      <c r="O1728">
        <f t="shared" si="53"/>
      </c>
      <c r="P1728">
        <f>IF('R.M Billets Reports'!A1727="SIZE",'R.M Billets Reports'!B1727,P1727)</f>
      </c>
    </row>
    <row r="1729" spans="1:16" x14ac:dyDescent="0.25">
      <c r="A1729">
        <f>IF(OR('R.M Billets Reports'!A1728="Date-",'R.M Billets Reports'!A1728="Date:-"),IF(IF(IF(ISNUMBER(SEARCH("Party Name:-",'R.M Billets Reports'!D1728)),TRIM('R.M Billets Reports'!F1728),IF(ISNUMBER(SEARCH("Party Name-",'R.M Billets Reports'!D1728)),TRIM(MID('R.M Billets Reports'!D1728,SEARCH("-",'R.M Billets Reports'!D1728)+1,200)),""))&lt;&gt;"",IF(ISNUMBER(SEARCH("Party Name:-",'R.M Billets Reports'!D1728)),TRIM('R.M Billets Reports'!F1728),IF(ISNUMBER(SEARCH("Party Name-",'R.M Billets Reports'!D1728)),TRIM(MID('R.M Billets Reports'!D1728,SEARCH("-",'R.M Billets Reports'!D1728)+1,200)),"")),IF(ISNUMBER(SEARCH("Party Name:-",'R.M Billets Reports'!D1729)),TRIM('R.M Billets Reports'!F1729),IF(ISNUMBER(SEARCH("Party Name-",'R.M Billets Reports'!D1729)),TRIM(MID('R.M Billets Reports'!D1729,SEARCH("-",'R.M Billets Reports'!D1729)+1,200)),"")))="VRKP ISPAT PVT LTD","VRKP",IF(IF(IF(ISNUMBER(SEARCH("Party Name:-",'R.M Billets Reports'!D1728)),TRIM('R.M Billets Reports'!F1728),IF(ISNUMBER(SEARCH("Party Name-",'R.M Billets Reports'!D1728)),TRIM(MID('R.M Billets Reports'!D1728,SEARCH("-",'R.M Billets Reports'!D1728)+1,200)),""))&lt;&gt;"",IF(ISNUMBER(SEARCH("Party Name:-",'R.M Billets Reports'!D1728)),TRIM('R.M Billets Reports'!F1728),IF(ISNUMBER(SEARCH("Party Name-",'R.M Billets Reports'!D1728)),TRIM(MID('R.M Billets Reports'!D1728,SEARCH("-",'R.M Billets Reports'!D1728)+1,200)),"")),IF(ISNUMBER(SEARCH("Party Name:-",'R.M Billets Reports'!D1729)),TRIM('R.M Billets Reports'!F1729),IF(ISNUMBER(SEARCH("Party Name-",'R.M Billets Reports'!D1729)),TRIM(MID('R.M Billets Reports'!D1729,SEARCH("-",'R.M Billets Reports'!D1729)+1,200)),"")))="SHRI RADHE","SHREE RADHE",IF(IF(IF(ISNUMBER(SEARCH("Party Name:-",'R.M Billets Reports'!D1728)),TRIM('R.M Billets Reports'!F1728),IF(ISNUMBER(SEARCH("Party Name-",'R.M Billets Reports'!D1728)),TRIM(MID('R.M Billets Reports'!D1728,SEARCH("-",'R.M Billets Reports'!D1728)+1,200)),""))&lt;&gt;"",IF(ISNUMBER(SEARCH("Party Name:-",'R.M Billets Reports'!D1728)),TRIM('R.M Billets Reports'!F1728),IF(ISNUMBER(SEARCH("Party Name-",'R.M Billets Reports'!D1728)),TRIM(MID('R.M Billets Reports'!D1728,SEARCH("-",'R.M Billets Reports'!D1728)+1,200)),"")),IF(ISNUMBER(SEARCH("Party Name:-",'R.M Billets Reports'!D1729)),TRIM('R.M Billets Reports'!F1729),IF(ISNUMBER(SEARCH("Party Name-",'R.M Billets Reports'!D1729)),TRIM(MID('R.M Billets Reports'!D1729,SEARCH("-",'R.M Billets Reports'!D1729)+1,200)),"")))="SHREE RADHE SHAKTI SPONGE AND POWER PVT. LTD.","SHREE RADHE",IF(IF(ISNUMBER(SEARCH("Party Name:-",'R.M Billets Reports'!D1728)),TRIM('R.M Billets Reports'!F1728),IF(ISNUMBER(SEARCH("Party Name-",'R.M Billets Reports'!D1728)),TRIM(MID('R.M Billets Reports'!D1728,SEARCH("-",'R.M Billets Reports'!D1728)+1,200)),""))&lt;&gt;"",IF(ISNUMBER(SEARCH("Party Name:-",'R.M Billets Reports'!D1728)),TRIM('R.M Billets Reports'!F1728),IF(ISNUMBER(SEARCH("Party Name-",'R.M Billets Reports'!D1728)),TRIM(MID('R.M Billets Reports'!D1728,SEARCH("-",'R.M Billets Reports'!D1728)+1,200)),"")),IF(ISNUMBER(SEARCH("Party Name:-",'R.M Billets Reports'!D1729)),TRIM('R.M Billets Reports'!F1729),IF(ISNUMBER(SEARCH("Party Name-",'R.M Billets Reports'!D1729)),TRIM(MID('R.M Billets Reports'!D1729,SEARCH("-",'R.M Billets Reports'!D1729)+1,200)),"")))))),IF(ROW()=2,"",A1728))</f>
      </c>
      <c r="B1729">
        <f>IF(OR('R.M Billets Reports'!A1728="Date-",'R.M Billets Reports'!A1728="Date:-"),'R.M Billets Reports'!B1728,IF(ROW()=2,"",B1728))</f>
      </c>
      <c r="C1729">
        <f>IF('R.M Billets Reports'!A1728="V.No.",'R.M Billets Reports'!B1728,IF(ROW()=2,"",C1728))</f>
      </c>
      <c r="D1729">
        <f>IF('R.M Billets Reports'!A1728&lt;&gt;"",'R.M Billets Reports'!A1728,IF(ROW()=2,"",D1728))</f>
      </c>
      <c r="E1729">
        <f>IF('R.M Billets Reports'!B1728="","",TRIM('R.M Billets Reports'!B1728))</f>
      </c>
      <c r="F1729">
        <f>'R.M Billets Reports'!C1728</f>
      </c>
      <c r="G1729">
        <f>'R.M Billets Reports'!D1728</f>
      </c>
      <c r="H1729">
        <f>'R.M Billets Reports'!E1728</f>
      </c>
      <c r="I1729">
        <f>'R.M Billets Reports'!F1728</f>
      </c>
      <c r="J1729">
        <f>'R.M Billets Reports'!G1728</f>
      </c>
      <c r="K1729">
        <f>'R.M Billets Reports'!H1728</f>
      </c>
      <c r="L1729">
        <f>IF('R.M Billets Reports'!I1728="","",'R.M Billets Reports'!I1728)</f>
      </c>
      <c r="M1729">
        <f t="shared" si="52"/>
      </c>
      <c r="N1729">
        <f>IF('R.M Billets Reports'!J1728="","",'R.M Billets Reports'!J1728)</f>
      </c>
      <c r="O1729">
        <f t="shared" si="53"/>
      </c>
      <c r="P1729">
        <f>IF('R.M Billets Reports'!A1728="SIZE",'R.M Billets Reports'!B1728,P1728)</f>
      </c>
    </row>
    <row r="1730" spans="1:16" x14ac:dyDescent="0.25">
      <c r="A1730">
        <f>IF(OR('R.M Billets Reports'!A1729="Date-",'R.M Billets Reports'!A1729="Date:-"),IF(IF(IF(ISNUMBER(SEARCH("Party Name:-",'R.M Billets Reports'!D1729)),TRIM('R.M Billets Reports'!F1729),IF(ISNUMBER(SEARCH("Party Name-",'R.M Billets Reports'!D1729)),TRIM(MID('R.M Billets Reports'!D1729,SEARCH("-",'R.M Billets Reports'!D1729)+1,200)),""))&lt;&gt;"",IF(ISNUMBER(SEARCH("Party Name:-",'R.M Billets Reports'!D1729)),TRIM('R.M Billets Reports'!F1729),IF(ISNUMBER(SEARCH("Party Name-",'R.M Billets Reports'!D1729)),TRIM(MID('R.M Billets Reports'!D1729,SEARCH("-",'R.M Billets Reports'!D1729)+1,200)),"")),IF(ISNUMBER(SEARCH("Party Name:-",'R.M Billets Reports'!D1730)),TRIM('R.M Billets Reports'!F1730),IF(ISNUMBER(SEARCH("Party Name-",'R.M Billets Reports'!D1730)),TRIM(MID('R.M Billets Reports'!D1730,SEARCH("-",'R.M Billets Reports'!D1730)+1,200)),"")))="VRKP ISPAT PVT LTD","VRKP",IF(IF(IF(ISNUMBER(SEARCH("Party Name:-",'R.M Billets Reports'!D1729)),TRIM('R.M Billets Reports'!F1729),IF(ISNUMBER(SEARCH("Party Name-",'R.M Billets Reports'!D1729)),TRIM(MID('R.M Billets Reports'!D1729,SEARCH("-",'R.M Billets Reports'!D1729)+1,200)),""))&lt;&gt;"",IF(ISNUMBER(SEARCH("Party Name:-",'R.M Billets Reports'!D1729)),TRIM('R.M Billets Reports'!F1729),IF(ISNUMBER(SEARCH("Party Name-",'R.M Billets Reports'!D1729)),TRIM(MID('R.M Billets Reports'!D1729,SEARCH("-",'R.M Billets Reports'!D1729)+1,200)),"")),IF(ISNUMBER(SEARCH("Party Name:-",'R.M Billets Reports'!D1730)),TRIM('R.M Billets Reports'!F1730),IF(ISNUMBER(SEARCH("Party Name-",'R.M Billets Reports'!D1730)),TRIM(MID('R.M Billets Reports'!D1730,SEARCH("-",'R.M Billets Reports'!D1730)+1,200)),"")))="SHRI RADHE","SHREE RADHE",IF(IF(IF(ISNUMBER(SEARCH("Party Name:-",'R.M Billets Reports'!D1729)),TRIM('R.M Billets Reports'!F1729),IF(ISNUMBER(SEARCH("Party Name-",'R.M Billets Reports'!D1729)),TRIM(MID('R.M Billets Reports'!D1729,SEARCH("-",'R.M Billets Reports'!D1729)+1,200)),""))&lt;&gt;"",IF(ISNUMBER(SEARCH("Party Name:-",'R.M Billets Reports'!D1729)),TRIM('R.M Billets Reports'!F1729),IF(ISNUMBER(SEARCH("Party Name-",'R.M Billets Reports'!D1729)),TRIM(MID('R.M Billets Reports'!D1729,SEARCH("-",'R.M Billets Reports'!D1729)+1,200)),"")),IF(ISNUMBER(SEARCH("Party Name:-",'R.M Billets Reports'!D1730)),TRIM('R.M Billets Reports'!F1730),IF(ISNUMBER(SEARCH("Party Name-",'R.M Billets Reports'!D1730)),TRIM(MID('R.M Billets Reports'!D1730,SEARCH("-",'R.M Billets Reports'!D1730)+1,200)),"")))="SHREE RADHE SHAKTI SPONGE AND POWER PVT. LTD.","SHREE RADHE",IF(IF(ISNUMBER(SEARCH("Party Name:-",'R.M Billets Reports'!D1729)),TRIM('R.M Billets Reports'!F1729),IF(ISNUMBER(SEARCH("Party Name-",'R.M Billets Reports'!D1729)),TRIM(MID('R.M Billets Reports'!D1729,SEARCH("-",'R.M Billets Reports'!D1729)+1,200)),""))&lt;&gt;"",IF(ISNUMBER(SEARCH("Party Name:-",'R.M Billets Reports'!D1729)),TRIM('R.M Billets Reports'!F1729),IF(ISNUMBER(SEARCH("Party Name-",'R.M Billets Reports'!D1729)),TRIM(MID('R.M Billets Reports'!D1729,SEARCH("-",'R.M Billets Reports'!D1729)+1,200)),"")),IF(ISNUMBER(SEARCH("Party Name:-",'R.M Billets Reports'!D1730)),TRIM('R.M Billets Reports'!F1730),IF(ISNUMBER(SEARCH("Party Name-",'R.M Billets Reports'!D1730)),TRIM(MID('R.M Billets Reports'!D1730,SEARCH("-",'R.M Billets Reports'!D1730)+1,200)),"")))))),IF(ROW()=2,"",A1729))</f>
      </c>
      <c r="B1730">
        <f>IF(OR('R.M Billets Reports'!A1729="Date-",'R.M Billets Reports'!A1729="Date:-"),'R.M Billets Reports'!B1729,IF(ROW()=2,"",B1729))</f>
      </c>
      <c r="C1730">
        <f>IF('R.M Billets Reports'!A1729="V.No.",'R.M Billets Reports'!B1729,IF(ROW()=2,"",C1729))</f>
      </c>
      <c r="D1730">
        <f>IF('R.M Billets Reports'!A1729&lt;&gt;"",'R.M Billets Reports'!A1729,IF(ROW()=2,"",D1729))</f>
      </c>
      <c r="E1730">
        <f>IF('R.M Billets Reports'!B1729="","",TRIM('R.M Billets Reports'!B1729))</f>
      </c>
      <c r="F1730">
        <f>'R.M Billets Reports'!C1729</f>
      </c>
      <c r="G1730">
        <f>'R.M Billets Reports'!D1729</f>
      </c>
      <c r="H1730">
        <f>'R.M Billets Reports'!E1729</f>
      </c>
      <c r="I1730">
        <f>'R.M Billets Reports'!F1729</f>
      </c>
      <c r="J1730">
        <f>'R.M Billets Reports'!G1729</f>
      </c>
      <c r="K1730">
        <f>'R.M Billets Reports'!H1729</f>
      </c>
      <c r="L1730">
        <f>IF('R.M Billets Reports'!I1729="","",'R.M Billets Reports'!I1729)</f>
      </c>
      <c r="M1730">
        <f t="shared" si="52"/>
      </c>
      <c r="N1730">
        <f>IF('R.M Billets Reports'!J1729="","",'R.M Billets Reports'!J1729)</f>
      </c>
      <c r="O1730">
        <f t="shared" si="53"/>
      </c>
      <c r="P1730">
        <f>IF('R.M Billets Reports'!A1729="SIZE",'R.M Billets Reports'!B1729,P1729)</f>
      </c>
    </row>
    <row r="1731" spans="1:16" x14ac:dyDescent="0.25">
      <c r="A1731">
        <f>IF(OR('R.M Billets Reports'!A1730="Date-",'R.M Billets Reports'!A1730="Date:-"),IF(IF(IF(ISNUMBER(SEARCH("Party Name:-",'R.M Billets Reports'!D1730)),TRIM('R.M Billets Reports'!F1730),IF(ISNUMBER(SEARCH("Party Name-",'R.M Billets Reports'!D1730)),TRIM(MID('R.M Billets Reports'!D1730,SEARCH("-",'R.M Billets Reports'!D1730)+1,200)),""))&lt;&gt;"",IF(ISNUMBER(SEARCH("Party Name:-",'R.M Billets Reports'!D1730)),TRIM('R.M Billets Reports'!F1730),IF(ISNUMBER(SEARCH("Party Name-",'R.M Billets Reports'!D1730)),TRIM(MID('R.M Billets Reports'!D1730,SEARCH("-",'R.M Billets Reports'!D1730)+1,200)),"")),IF(ISNUMBER(SEARCH("Party Name:-",'R.M Billets Reports'!D1731)),TRIM('R.M Billets Reports'!F1731),IF(ISNUMBER(SEARCH("Party Name-",'R.M Billets Reports'!D1731)),TRIM(MID('R.M Billets Reports'!D1731,SEARCH("-",'R.M Billets Reports'!D1731)+1,200)),"")))="VRKP ISPAT PVT LTD","VRKP",IF(IF(IF(ISNUMBER(SEARCH("Party Name:-",'R.M Billets Reports'!D1730)),TRIM('R.M Billets Reports'!F1730),IF(ISNUMBER(SEARCH("Party Name-",'R.M Billets Reports'!D1730)),TRIM(MID('R.M Billets Reports'!D1730,SEARCH("-",'R.M Billets Reports'!D1730)+1,200)),""))&lt;&gt;"",IF(ISNUMBER(SEARCH("Party Name:-",'R.M Billets Reports'!D1730)),TRIM('R.M Billets Reports'!F1730),IF(ISNUMBER(SEARCH("Party Name-",'R.M Billets Reports'!D1730)),TRIM(MID('R.M Billets Reports'!D1730,SEARCH("-",'R.M Billets Reports'!D1730)+1,200)),"")),IF(ISNUMBER(SEARCH("Party Name:-",'R.M Billets Reports'!D1731)),TRIM('R.M Billets Reports'!F1731),IF(ISNUMBER(SEARCH("Party Name-",'R.M Billets Reports'!D1731)),TRIM(MID('R.M Billets Reports'!D1731,SEARCH("-",'R.M Billets Reports'!D1731)+1,200)),"")))="SHRI RADHE","SHREE RADHE",IF(IF(IF(ISNUMBER(SEARCH("Party Name:-",'R.M Billets Reports'!D1730)),TRIM('R.M Billets Reports'!F1730),IF(ISNUMBER(SEARCH("Party Name-",'R.M Billets Reports'!D1730)),TRIM(MID('R.M Billets Reports'!D1730,SEARCH("-",'R.M Billets Reports'!D1730)+1,200)),""))&lt;&gt;"",IF(ISNUMBER(SEARCH("Party Name:-",'R.M Billets Reports'!D1730)),TRIM('R.M Billets Reports'!F1730),IF(ISNUMBER(SEARCH("Party Name-",'R.M Billets Reports'!D1730)),TRIM(MID('R.M Billets Reports'!D1730,SEARCH("-",'R.M Billets Reports'!D1730)+1,200)),"")),IF(ISNUMBER(SEARCH("Party Name:-",'R.M Billets Reports'!D1731)),TRIM('R.M Billets Reports'!F1731),IF(ISNUMBER(SEARCH("Party Name-",'R.M Billets Reports'!D1731)),TRIM(MID('R.M Billets Reports'!D1731,SEARCH("-",'R.M Billets Reports'!D1731)+1,200)),"")))="SHREE RADHE SHAKTI SPONGE AND POWER PVT. LTD.","SHREE RADHE",IF(IF(ISNUMBER(SEARCH("Party Name:-",'R.M Billets Reports'!D1730)),TRIM('R.M Billets Reports'!F1730),IF(ISNUMBER(SEARCH("Party Name-",'R.M Billets Reports'!D1730)),TRIM(MID('R.M Billets Reports'!D1730,SEARCH("-",'R.M Billets Reports'!D1730)+1,200)),""))&lt;&gt;"",IF(ISNUMBER(SEARCH("Party Name:-",'R.M Billets Reports'!D1730)),TRIM('R.M Billets Reports'!F1730),IF(ISNUMBER(SEARCH("Party Name-",'R.M Billets Reports'!D1730)),TRIM(MID('R.M Billets Reports'!D1730,SEARCH("-",'R.M Billets Reports'!D1730)+1,200)),"")),IF(ISNUMBER(SEARCH("Party Name:-",'R.M Billets Reports'!D1731)),TRIM('R.M Billets Reports'!F1731),IF(ISNUMBER(SEARCH("Party Name-",'R.M Billets Reports'!D1731)),TRIM(MID('R.M Billets Reports'!D1731,SEARCH("-",'R.M Billets Reports'!D1731)+1,200)),"")))))),IF(ROW()=2,"",A1730))</f>
      </c>
      <c r="B1731">
        <f>IF(OR('R.M Billets Reports'!A1730="Date-",'R.M Billets Reports'!A1730="Date:-"),'R.M Billets Reports'!B1730,IF(ROW()=2,"",B1730))</f>
      </c>
      <c r="C1731">
        <f>IF('R.M Billets Reports'!A1730="V.No.",'R.M Billets Reports'!B1730,IF(ROW()=2,"",C1730))</f>
      </c>
      <c r="D1731">
        <f>IF('R.M Billets Reports'!A1730&lt;&gt;"",'R.M Billets Reports'!A1730,IF(ROW()=2,"",D1730))</f>
      </c>
      <c r="E1731">
        <f>IF('R.M Billets Reports'!B1730="","",TRIM('R.M Billets Reports'!B1730))</f>
      </c>
      <c r="F1731">
        <f>'R.M Billets Reports'!C1730</f>
      </c>
      <c r="G1731">
        <f>'R.M Billets Reports'!D1730</f>
      </c>
      <c r="H1731">
        <f>'R.M Billets Reports'!E1730</f>
      </c>
      <c r="I1731">
        <f>'R.M Billets Reports'!F1730</f>
      </c>
      <c r="J1731">
        <f>'R.M Billets Reports'!G1730</f>
      </c>
      <c r="K1731">
        <f>'R.M Billets Reports'!H1730</f>
      </c>
      <c r="L1731">
        <f>IF('R.M Billets Reports'!I1730="","",'R.M Billets Reports'!I1730)</f>
      </c>
      <c r="M1731">
        <f t="shared" ref="M1731:M1794" si="54">IF(L1731&lt;&gt;"",L1731,IF(D1731=D1730,M1730,""))</f>
      </c>
      <c r="N1731">
        <f>IF('R.M Billets Reports'!J1730="","",'R.M Billets Reports'!J1730)</f>
      </c>
      <c r="O1731">
        <f t="shared" ref="O1731:O1794" si="55">IF(N1731&lt;&gt;"",N1731,IF(D1731=D1730,O1730,""))</f>
      </c>
      <c r="P1731">
        <f>IF('R.M Billets Reports'!A1730="SIZE",'R.M Billets Reports'!B1730,P1730)</f>
      </c>
    </row>
    <row r="1732" spans="1:16" x14ac:dyDescent="0.25">
      <c r="A1732">
        <f>IF(OR('R.M Billets Reports'!A1731="Date-",'R.M Billets Reports'!A1731="Date:-"),IF(IF(IF(ISNUMBER(SEARCH("Party Name:-",'R.M Billets Reports'!D1731)),TRIM('R.M Billets Reports'!F1731),IF(ISNUMBER(SEARCH("Party Name-",'R.M Billets Reports'!D1731)),TRIM(MID('R.M Billets Reports'!D1731,SEARCH("-",'R.M Billets Reports'!D1731)+1,200)),""))&lt;&gt;"",IF(ISNUMBER(SEARCH("Party Name:-",'R.M Billets Reports'!D1731)),TRIM('R.M Billets Reports'!F1731),IF(ISNUMBER(SEARCH("Party Name-",'R.M Billets Reports'!D1731)),TRIM(MID('R.M Billets Reports'!D1731,SEARCH("-",'R.M Billets Reports'!D1731)+1,200)),"")),IF(ISNUMBER(SEARCH("Party Name:-",'R.M Billets Reports'!D1732)),TRIM('R.M Billets Reports'!F1732),IF(ISNUMBER(SEARCH("Party Name-",'R.M Billets Reports'!D1732)),TRIM(MID('R.M Billets Reports'!D1732,SEARCH("-",'R.M Billets Reports'!D1732)+1,200)),"")))="VRKP ISPAT PVT LTD","VRKP",IF(IF(IF(ISNUMBER(SEARCH("Party Name:-",'R.M Billets Reports'!D1731)),TRIM('R.M Billets Reports'!F1731),IF(ISNUMBER(SEARCH("Party Name-",'R.M Billets Reports'!D1731)),TRIM(MID('R.M Billets Reports'!D1731,SEARCH("-",'R.M Billets Reports'!D1731)+1,200)),""))&lt;&gt;"",IF(ISNUMBER(SEARCH("Party Name:-",'R.M Billets Reports'!D1731)),TRIM('R.M Billets Reports'!F1731),IF(ISNUMBER(SEARCH("Party Name-",'R.M Billets Reports'!D1731)),TRIM(MID('R.M Billets Reports'!D1731,SEARCH("-",'R.M Billets Reports'!D1731)+1,200)),"")),IF(ISNUMBER(SEARCH("Party Name:-",'R.M Billets Reports'!D1732)),TRIM('R.M Billets Reports'!F1732),IF(ISNUMBER(SEARCH("Party Name-",'R.M Billets Reports'!D1732)),TRIM(MID('R.M Billets Reports'!D1732,SEARCH("-",'R.M Billets Reports'!D1732)+1,200)),"")))="SHRI RADHE","SHREE RADHE",IF(IF(IF(ISNUMBER(SEARCH("Party Name:-",'R.M Billets Reports'!D1731)),TRIM('R.M Billets Reports'!F1731),IF(ISNUMBER(SEARCH("Party Name-",'R.M Billets Reports'!D1731)),TRIM(MID('R.M Billets Reports'!D1731,SEARCH("-",'R.M Billets Reports'!D1731)+1,200)),""))&lt;&gt;"",IF(ISNUMBER(SEARCH("Party Name:-",'R.M Billets Reports'!D1731)),TRIM('R.M Billets Reports'!F1731),IF(ISNUMBER(SEARCH("Party Name-",'R.M Billets Reports'!D1731)),TRIM(MID('R.M Billets Reports'!D1731,SEARCH("-",'R.M Billets Reports'!D1731)+1,200)),"")),IF(ISNUMBER(SEARCH("Party Name:-",'R.M Billets Reports'!D1732)),TRIM('R.M Billets Reports'!F1732),IF(ISNUMBER(SEARCH("Party Name-",'R.M Billets Reports'!D1732)),TRIM(MID('R.M Billets Reports'!D1732,SEARCH("-",'R.M Billets Reports'!D1732)+1,200)),"")))="SHREE RADHE SHAKTI SPONGE AND POWER PVT. LTD.","SHREE RADHE",IF(IF(ISNUMBER(SEARCH("Party Name:-",'R.M Billets Reports'!D1731)),TRIM('R.M Billets Reports'!F1731),IF(ISNUMBER(SEARCH("Party Name-",'R.M Billets Reports'!D1731)),TRIM(MID('R.M Billets Reports'!D1731,SEARCH("-",'R.M Billets Reports'!D1731)+1,200)),""))&lt;&gt;"",IF(ISNUMBER(SEARCH("Party Name:-",'R.M Billets Reports'!D1731)),TRIM('R.M Billets Reports'!F1731),IF(ISNUMBER(SEARCH("Party Name-",'R.M Billets Reports'!D1731)),TRIM(MID('R.M Billets Reports'!D1731,SEARCH("-",'R.M Billets Reports'!D1731)+1,200)),"")),IF(ISNUMBER(SEARCH("Party Name:-",'R.M Billets Reports'!D1732)),TRIM('R.M Billets Reports'!F1732),IF(ISNUMBER(SEARCH("Party Name-",'R.M Billets Reports'!D1732)),TRIM(MID('R.M Billets Reports'!D1732,SEARCH("-",'R.M Billets Reports'!D1732)+1,200)),"")))))),IF(ROW()=2,"",A1731))</f>
      </c>
      <c r="B1732">
        <f>IF(OR('R.M Billets Reports'!A1731="Date-",'R.M Billets Reports'!A1731="Date:-"),'R.M Billets Reports'!B1731,IF(ROW()=2,"",B1731))</f>
      </c>
      <c r="C1732">
        <f>IF('R.M Billets Reports'!A1731="V.No.",'R.M Billets Reports'!B1731,IF(ROW()=2,"",C1731))</f>
      </c>
      <c r="D1732">
        <f>IF('R.M Billets Reports'!A1731&lt;&gt;"",'R.M Billets Reports'!A1731,IF(ROW()=2,"",D1731))</f>
      </c>
      <c r="E1732">
        <f>IF('R.M Billets Reports'!B1731="","",TRIM('R.M Billets Reports'!B1731))</f>
      </c>
      <c r="F1732">
        <f>'R.M Billets Reports'!C1731</f>
      </c>
      <c r="G1732">
        <f>'R.M Billets Reports'!D1731</f>
      </c>
      <c r="H1732">
        <f>'R.M Billets Reports'!E1731</f>
      </c>
      <c r="I1732">
        <f>'R.M Billets Reports'!F1731</f>
      </c>
      <c r="J1732">
        <f>'R.M Billets Reports'!G1731</f>
      </c>
      <c r="K1732">
        <f>'R.M Billets Reports'!H1731</f>
      </c>
      <c r="L1732">
        <f>IF('R.M Billets Reports'!I1731="","",'R.M Billets Reports'!I1731)</f>
      </c>
      <c r="M1732">
        <f t="shared" si="54"/>
      </c>
      <c r="N1732">
        <f>IF('R.M Billets Reports'!J1731="","",'R.M Billets Reports'!J1731)</f>
      </c>
      <c r="O1732">
        <f t="shared" si="55"/>
      </c>
      <c r="P1732">
        <f>IF('R.M Billets Reports'!A1731="SIZE",'R.M Billets Reports'!B1731,P1731)</f>
      </c>
    </row>
    <row r="1733" spans="1:16" x14ac:dyDescent="0.25">
      <c r="A1733">
        <f>IF(OR('R.M Billets Reports'!A1732="Date-",'R.M Billets Reports'!A1732="Date:-"),IF(IF(IF(ISNUMBER(SEARCH("Party Name:-",'R.M Billets Reports'!D1732)),TRIM('R.M Billets Reports'!F1732),IF(ISNUMBER(SEARCH("Party Name-",'R.M Billets Reports'!D1732)),TRIM(MID('R.M Billets Reports'!D1732,SEARCH("-",'R.M Billets Reports'!D1732)+1,200)),""))&lt;&gt;"",IF(ISNUMBER(SEARCH("Party Name:-",'R.M Billets Reports'!D1732)),TRIM('R.M Billets Reports'!F1732),IF(ISNUMBER(SEARCH("Party Name-",'R.M Billets Reports'!D1732)),TRIM(MID('R.M Billets Reports'!D1732,SEARCH("-",'R.M Billets Reports'!D1732)+1,200)),"")),IF(ISNUMBER(SEARCH("Party Name:-",'R.M Billets Reports'!D1733)),TRIM('R.M Billets Reports'!F1733),IF(ISNUMBER(SEARCH("Party Name-",'R.M Billets Reports'!D1733)),TRIM(MID('R.M Billets Reports'!D1733,SEARCH("-",'R.M Billets Reports'!D1733)+1,200)),"")))="VRKP ISPAT PVT LTD","VRKP",IF(IF(IF(ISNUMBER(SEARCH("Party Name:-",'R.M Billets Reports'!D1732)),TRIM('R.M Billets Reports'!F1732),IF(ISNUMBER(SEARCH("Party Name-",'R.M Billets Reports'!D1732)),TRIM(MID('R.M Billets Reports'!D1732,SEARCH("-",'R.M Billets Reports'!D1732)+1,200)),""))&lt;&gt;"",IF(ISNUMBER(SEARCH("Party Name:-",'R.M Billets Reports'!D1732)),TRIM('R.M Billets Reports'!F1732),IF(ISNUMBER(SEARCH("Party Name-",'R.M Billets Reports'!D1732)),TRIM(MID('R.M Billets Reports'!D1732,SEARCH("-",'R.M Billets Reports'!D1732)+1,200)),"")),IF(ISNUMBER(SEARCH("Party Name:-",'R.M Billets Reports'!D1733)),TRIM('R.M Billets Reports'!F1733),IF(ISNUMBER(SEARCH("Party Name-",'R.M Billets Reports'!D1733)),TRIM(MID('R.M Billets Reports'!D1733,SEARCH("-",'R.M Billets Reports'!D1733)+1,200)),"")))="SHRI RADHE","SHREE RADHE",IF(IF(IF(ISNUMBER(SEARCH("Party Name:-",'R.M Billets Reports'!D1732)),TRIM('R.M Billets Reports'!F1732),IF(ISNUMBER(SEARCH("Party Name-",'R.M Billets Reports'!D1732)),TRIM(MID('R.M Billets Reports'!D1732,SEARCH("-",'R.M Billets Reports'!D1732)+1,200)),""))&lt;&gt;"",IF(ISNUMBER(SEARCH("Party Name:-",'R.M Billets Reports'!D1732)),TRIM('R.M Billets Reports'!F1732),IF(ISNUMBER(SEARCH("Party Name-",'R.M Billets Reports'!D1732)),TRIM(MID('R.M Billets Reports'!D1732,SEARCH("-",'R.M Billets Reports'!D1732)+1,200)),"")),IF(ISNUMBER(SEARCH("Party Name:-",'R.M Billets Reports'!D1733)),TRIM('R.M Billets Reports'!F1733),IF(ISNUMBER(SEARCH("Party Name-",'R.M Billets Reports'!D1733)),TRIM(MID('R.M Billets Reports'!D1733,SEARCH("-",'R.M Billets Reports'!D1733)+1,200)),"")))="SHREE RADHE SHAKTI SPONGE AND POWER PVT. LTD.","SHREE RADHE",IF(IF(ISNUMBER(SEARCH("Party Name:-",'R.M Billets Reports'!D1732)),TRIM('R.M Billets Reports'!F1732),IF(ISNUMBER(SEARCH("Party Name-",'R.M Billets Reports'!D1732)),TRIM(MID('R.M Billets Reports'!D1732,SEARCH("-",'R.M Billets Reports'!D1732)+1,200)),""))&lt;&gt;"",IF(ISNUMBER(SEARCH("Party Name:-",'R.M Billets Reports'!D1732)),TRIM('R.M Billets Reports'!F1732),IF(ISNUMBER(SEARCH("Party Name-",'R.M Billets Reports'!D1732)),TRIM(MID('R.M Billets Reports'!D1732,SEARCH("-",'R.M Billets Reports'!D1732)+1,200)),"")),IF(ISNUMBER(SEARCH("Party Name:-",'R.M Billets Reports'!D1733)),TRIM('R.M Billets Reports'!F1733),IF(ISNUMBER(SEARCH("Party Name-",'R.M Billets Reports'!D1733)),TRIM(MID('R.M Billets Reports'!D1733,SEARCH("-",'R.M Billets Reports'!D1733)+1,200)),"")))))),IF(ROW()=2,"",A1732))</f>
      </c>
      <c r="B1733">
        <f>IF(OR('R.M Billets Reports'!A1732="Date-",'R.M Billets Reports'!A1732="Date:-"),'R.M Billets Reports'!B1732,IF(ROW()=2,"",B1732))</f>
      </c>
      <c r="C1733">
        <f>IF('R.M Billets Reports'!A1732="V.No.",'R.M Billets Reports'!B1732,IF(ROW()=2,"",C1732))</f>
      </c>
      <c r="D1733">
        <f>IF('R.M Billets Reports'!A1732&lt;&gt;"",'R.M Billets Reports'!A1732,IF(ROW()=2,"",D1732))</f>
      </c>
      <c r="E1733">
        <f>IF('R.M Billets Reports'!B1732="","",TRIM('R.M Billets Reports'!B1732))</f>
      </c>
      <c r="F1733">
        <f>'R.M Billets Reports'!C1732</f>
      </c>
      <c r="G1733">
        <f>'R.M Billets Reports'!D1732</f>
      </c>
      <c r="H1733">
        <f>'R.M Billets Reports'!E1732</f>
      </c>
      <c r="I1733">
        <f>'R.M Billets Reports'!F1732</f>
      </c>
      <c r="J1733">
        <f>'R.M Billets Reports'!G1732</f>
      </c>
      <c r="K1733">
        <f>'R.M Billets Reports'!H1732</f>
      </c>
      <c r="L1733">
        <f>IF('R.M Billets Reports'!I1732="","",'R.M Billets Reports'!I1732)</f>
      </c>
      <c r="M1733">
        <f t="shared" si="54"/>
      </c>
      <c r="N1733">
        <f>IF('R.M Billets Reports'!J1732="","",'R.M Billets Reports'!J1732)</f>
      </c>
      <c r="O1733">
        <f t="shared" si="55"/>
      </c>
      <c r="P1733">
        <f>IF('R.M Billets Reports'!A1732="SIZE",'R.M Billets Reports'!B1732,P1732)</f>
      </c>
    </row>
    <row r="1734" spans="1:16" x14ac:dyDescent="0.25">
      <c r="A1734">
        <f>IF(OR('R.M Billets Reports'!A1733="Date-",'R.M Billets Reports'!A1733="Date:-"),IF(IF(IF(ISNUMBER(SEARCH("Party Name:-",'R.M Billets Reports'!D1733)),TRIM('R.M Billets Reports'!F1733),IF(ISNUMBER(SEARCH("Party Name-",'R.M Billets Reports'!D1733)),TRIM(MID('R.M Billets Reports'!D1733,SEARCH("-",'R.M Billets Reports'!D1733)+1,200)),""))&lt;&gt;"",IF(ISNUMBER(SEARCH("Party Name:-",'R.M Billets Reports'!D1733)),TRIM('R.M Billets Reports'!F1733),IF(ISNUMBER(SEARCH("Party Name-",'R.M Billets Reports'!D1733)),TRIM(MID('R.M Billets Reports'!D1733,SEARCH("-",'R.M Billets Reports'!D1733)+1,200)),"")),IF(ISNUMBER(SEARCH("Party Name:-",'R.M Billets Reports'!D1734)),TRIM('R.M Billets Reports'!F1734),IF(ISNUMBER(SEARCH("Party Name-",'R.M Billets Reports'!D1734)),TRIM(MID('R.M Billets Reports'!D1734,SEARCH("-",'R.M Billets Reports'!D1734)+1,200)),"")))="VRKP ISPAT PVT LTD","VRKP",IF(IF(IF(ISNUMBER(SEARCH("Party Name:-",'R.M Billets Reports'!D1733)),TRIM('R.M Billets Reports'!F1733),IF(ISNUMBER(SEARCH("Party Name-",'R.M Billets Reports'!D1733)),TRIM(MID('R.M Billets Reports'!D1733,SEARCH("-",'R.M Billets Reports'!D1733)+1,200)),""))&lt;&gt;"",IF(ISNUMBER(SEARCH("Party Name:-",'R.M Billets Reports'!D1733)),TRIM('R.M Billets Reports'!F1733),IF(ISNUMBER(SEARCH("Party Name-",'R.M Billets Reports'!D1733)),TRIM(MID('R.M Billets Reports'!D1733,SEARCH("-",'R.M Billets Reports'!D1733)+1,200)),"")),IF(ISNUMBER(SEARCH("Party Name:-",'R.M Billets Reports'!D1734)),TRIM('R.M Billets Reports'!F1734),IF(ISNUMBER(SEARCH("Party Name-",'R.M Billets Reports'!D1734)),TRIM(MID('R.M Billets Reports'!D1734,SEARCH("-",'R.M Billets Reports'!D1734)+1,200)),"")))="SHRI RADHE","SHREE RADHE",IF(IF(IF(ISNUMBER(SEARCH("Party Name:-",'R.M Billets Reports'!D1733)),TRIM('R.M Billets Reports'!F1733),IF(ISNUMBER(SEARCH("Party Name-",'R.M Billets Reports'!D1733)),TRIM(MID('R.M Billets Reports'!D1733,SEARCH("-",'R.M Billets Reports'!D1733)+1,200)),""))&lt;&gt;"",IF(ISNUMBER(SEARCH("Party Name:-",'R.M Billets Reports'!D1733)),TRIM('R.M Billets Reports'!F1733),IF(ISNUMBER(SEARCH("Party Name-",'R.M Billets Reports'!D1733)),TRIM(MID('R.M Billets Reports'!D1733,SEARCH("-",'R.M Billets Reports'!D1733)+1,200)),"")),IF(ISNUMBER(SEARCH("Party Name:-",'R.M Billets Reports'!D1734)),TRIM('R.M Billets Reports'!F1734),IF(ISNUMBER(SEARCH("Party Name-",'R.M Billets Reports'!D1734)),TRIM(MID('R.M Billets Reports'!D1734,SEARCH("-",'R.M Billets Reports'!D1734)+1,200)),"")))="SHREE RADHE SHAKTI SPONGE AND POWER PVT. LTD.","SHREE RADHE",IF(IF(ISNUMBER(SEARCH("Party Name:-",'R.M Billets Reports'!D1733)),TRIM('R.M Billets Reports'!F1733),IF(ISNUMBER(SEARCH("Party Name-",'R.M Billets Reports'!D1733)),TRIM(MID('R.M Billets Reports'!D1733,SEARCH("-",'R.M Billets Reports'!D1733)+1,200)),""))&lt;&gt;"",IF(ISNUMBER(SEARCH("Party Name:-",'R.M Billets Reports'!D1733)),TRIM('R.M Billets Reports'!F1733),IF(ISNUMBER(SEARCH("Party Name-",'R.M Billets Reports'!D1733)),TRIM(MID('R.M Billets Reports'!D1733,SEARCH("-",'R.M Billets Reports'!D1733)+1,200)),"")),IF(ISNUMBER(SEARCH("Party Name:-",'R.M Billets Reports'!D1734)),TRIM('R.M Billets Reports'!F1734),IF(ISNUMBER(SEARCH("Party Name-",'R.M Billets Reports'!D1734)),TRIM(MID('R.M Billets Reports'!D1734,SEARCH("-",'R.M Billets Reports'!D1734)+1,200)),"")))))),IF(ROW()=2,"",A1733))</f>
      </c>
      <c r="B1734">
        <f>IF(OR('R.M Billets Reports'!A1733="Date-",'R.M Billets Reports'!A1733="Date:-"),'R.M Billets Reports'!B1733,IF(ROW()=2,"",B1733))</f>
      </c>
      <c r="C1734">
        <f>IF('R.M Billets Reports'!A1733="V.No.",'R.M Billets Reports'!B1733,IF(ROW()=2,"",C1733))</f>
      </c>
      <c r="D1734">
        <f>IF('R.M Billets Reports'!A1733&lt;&gt;"",'R.M Billets Reports'!A1733,IF(ROW()=2,"",D1733))</f>
      </c>
      <c r="E1734">
        <f>IF('R.M Billets Reports'!B1733="","",TRIM('R.M Billets Reports'!B1733))</f>
      </c>
      <c r="F1734">
        <f>'R.M Billets Reports'!C1733</f>
      </c>
      <c r="G1734">
        <f>'R.M Billets Reports'!D1733</f>
      </c>
      <c r="H1734">
        <f>'R.M Billets Reports'!E1733</f>
      </c>
      <c r="I1734">
        <f>'R.M Billets Reports'!F1733</f>
      </c>
      <c r="J1734">
        <f>'R.M Billets Reports'!G1733</f>
      </c>
      <c r="K1734">
        <f>'R.M Billets Reports'!H1733</f>
      </c>
      <c r="L1734">
        <f>IF('R.M Billets Reports'!I1733="","",'R.M Billets Reports'!I1733)</f>
      </c>
      <c r="M1734">
        <f t="shared" si="54"/>
      </c>
      <c r="N1734">
        <f>IF('R.M Billets Reports'!J1733="","",'R.M Billets Reports'!J1733)</f>
      </c>
      <c r="O1734">
        <f t="shared" si="55"/>
      </c>
      <c r="P1734">
        <f>IF('R.M Billets Reports'!A1733="SIZE",'R.M Billets Reports'!B1733,P1733)</f>
      </c>
    </row>
    <row r="1735" spans="1:16" x14ac:dyDescent="0.25">
      <c r="A1735">
        <f>IF(OR('R.M Billets Reports'!A1734="Date-",'R.M Billets Reports'!A1734="Date:-"),IF(IF(IF(ISNUMBER(SEARCH("Party Name:-",'R.M Billets Reports'!D1734)),TRIM('R.M Billets Reports'!F1734),IF(ISNUMBER(SEARCH("Party Name-",'R.M Billets Reports'!D1734)),TRIM(MID('R.M Billets Reports'!D1734,SEARCH("-",'R.M Billets Reports'!D1734)+1,200)),""))&lt;&gt;"",IF(ISNUMBER(SEARCH("Party Name:-",'R.M Billets Reports'!D1734)),TRIM('R.M Billets Reports'!F1734),IF(ISNUMBER(SEARCH("Party Name-",'R.M Billets Reports'!D1734)),TRIM(MID('R.M Billets Reports'!D1734,SEARCH("-",'R.M Billets Reports'!D1734)+1,200)),"")),IF(ISNUMBER(SEARCH("Party Name:-",'R.M Billets Reports'!D1735)),TRIM('R.M Billets Reports'!F1735),IF(ISNUMBER(SEARCH("Party Name-",'R.M Billets Reports'!D1735)),TRIM(MID('R.M Billets Reports'!D1735,SEARCH("-",'R.M Billets Reports'!D1735)+1,200)),"")))="VRKP ISPAT PVT LTD","VRKP",IF(IF(IF(ISNUMBER(SEARCH("Party Name:-",'R.M Billets Reports'!D1734)),TRIM('R.M Billets Reports'!F1734),IF(ISNUMBER(SEARCH("Party Name-",'R.M Billets Reports'!D1734)),TRIM(MID('R.M Billets Reports'!D1734,SEARCH("-",'R.M Billets Reports'!D1734)+1,200)),""))&lt;&gt;"",IF(ISNUMBER(SEARCH("Party Name:-",'R.M Billets Reports'!D1734)),TRIM('R.M Billets Reports'!F1734),IF(ISNUMBER(SEARCH("Party Name-",'R.M Billets Reports'!D1734)),TRIM(MID('R.M Billets Reports'!D1734,SEARCH("-",'R.M Billets Reports'!D1734)+1,200)),"")),IF(ISNUMBER(SEARCH("Party Name:-",'R.M Billets Reports'!D1735)),TRIM('R.M Billets Reports'!F1735),IF(ISNUMBER(SEARCH("Party Name-",'R.M Billets Reports'!D1735)),TRIM(MID('R.M Billets Reports'!D1735,SEARCH("-",'R.M Billets Reports'!D1735)+1,200)),"")))="SHRI RADHE","SHREE RADHE",IF(IF(IF(ISNUMBER(SEARCH("Party Name:-",'R.M Billets Reports'!D1734)),TRIM('R.M Billets Reports'!F1734),IF(ISNUMBER(SEARCH("Party Name-",'R.M Billets Reports'!D1734)),TRIM(MID('R.M Billets Reports'!D1734,SEARCH("-",'R.M Billets Reports'!D1734)+1,200)),""))&lt;&gt;"",IF(ISNUMBER(SEARCH("Party Name:-",'R.M Billets Reports'!D1734)),TRIM('R.M Billets Reports'!F1734),IF(ISNUMBER(SEARCH("Party Name-",'R.M Billets Reports'!D1734)),TRIM(MID('R.M Billets Reports'!D1734,SEARCH("-",'R.M Billets Reports'!D1734)+1,200)),"")),IF(ISNUMBER(SEARCH("Party Name:-",'R.M Billets Reports'!D1735)),TRIM('R.M Billets Reports'!F1735),IF(ISNUMBER(SEARCH("Party Name-",'R.M Billets Reports'!D1735)),TRIM(MID('R.M Billets Reports'!D1735,SEARCH("-",'R.M Billets Reports'!D1735)+1,200)),"")))="SHREE RADHE SHAKTI SPONGE AND POWER PVT. LTD.","SHREE RADHE",IF(IF(ISNUMBER(SEARCH("Party Name:-",'R.M Billets Reports'!D1734)),TRIM('R.M Billets Reports'!F1734),IF(ISNUMBER(SEARCH("Party Name-",'R.M Billets Reports'!D1734)),TRIM(MID('R.M Billets Reports'!D1734,SEARCH("-",'R.M Billets Reports'!D1734)+1,200)),""))&lt;&gt;"",IF(ISNUMBER(SEARCH("Party Name:-",'R.M Billets Reports'!D1734)),TRIM('R.M Billets Reports'!F1734),IF(ISNUMBER(SEARCH("Party Name-",'R.M Billets Reports'!D1734)),TRIM(MID('R.M Billets Reports'!D1734,SEARCH("-",'R.M Billets Reports'!D1734)+1,200)),"")),IF(ISNUMBER(SEARCH("Party Name:-",'R.M Billets Reports'!D1735)),TRIM('R.M Billets Reports'!F1735),IF(ISNUMBER(SEARCH("Party Name-",'R.M Billets Reports'!D1735)),TRIM(MID('R.M Billets Reports'!D1735,SEARCH("-",'R.M Billets Reports'!D1735)+1,200)),"")))))),IF(ROW()=2,"",A1734))</f>
      </c>
      <c r="B1735">
        <f>IF(OR('R.M Billets Reports'!A1734="Date-",'R.M Billets Reports'!A1734="Date:-"),'R.M Billets Reports'!B1734,IF(ROW()=2,"",B1734))</f>
      </c>
      <c r="C1735">
        <f>IF('R.M Billets Reports'!A1734="V.No.",'R.M Billets Reports'!B1734,IF(ROW()=2,"",C1734))</f>
      </c>
      <c r="D1735">
        <f>IF('R.M Billets Reports'!A1734&lt;&gt;"",'R.M Billets Reports'!A1734,IF(ROW()=2,"",D1734))</f>
      </c>
      <c r="E1735">
        <f>IF('R.M Billets Reports'!B1734="","",TRIM('R.M Billets Reports'!B1734))</f>
      </c>
      <c r="F1735">
        <f>'R.M Billets Reports'!C1734</f>
      </c>
      <c r="G1735">
        <f>'R.M Billets Reports'!D1734</f>
      </c>
      <c r="H1735">
        <f>'R.M Billets Reports'!E1734</f>
      </c>
      <c r="I1735">
        <f>'R.M Billets Reports'!F1734</f>
      </c>
      <c r="J1735">
        <f>'R.M Billets Reports'!G1734</f>
      </c>
      <c r="K1735">
        <f>'R.M Billets Reports'!H1734</f>
      </c>
      <c r="L1735">
        <f>IF('R.M Billets Reports'!I1734="","",'R.M Billets Reports'!I1734)</f>
      </c>
      <c r="M1735">
        <f t="shared" si="54"/>
      </c>
      <c r="N1735">
        <f>IF('R.M Billets Reports'!J1734="","",'R.M Billets Reports'!J1734)</f>
      </c>
      <c r="O1735">
        <f t="shared" si="55"/>
      </c>
      <c r="P1735">
        <f>IF('R.M Billets Reports'!A1734="SIZE",'R.M Billets Reports'!B1734,P1734)</f>
      </c>
    </row>
    <row r="1736" spans="1:16" x14ac:dyDescent="0.25">
      <c r="A1736">
        <f>IF(OR('R.M Billets Reports'!A1735="Date-",'R.M Billets Reports'!A1735="Date:-"),IF(IF(IF(ISNUMBER(SEARCH("Party Name:-",'R.M Billets Reports'!D1735)),TRIM('R.M Billets Reports'!F1735),IF(ISNUMBER(SEARCH("Party Name-",'R.M Billets Reports'!D1735)),TRIM(MID('R.M Billets Reports'!D1735,SEARCH("-",'R.M Billets Reports'!D1735)+1,200)),""))&lt;&gt;"",IF(ISNUMBER(SEARCH("Party Name:-",'R.M Billets Reports'!D1735)),TRIM('R.M Billets Reports'!F1735),IF(ISNUMBER(SEARCH("Party Name-",'R.M Billets Reports'!D1735)),TRIM(MID('R.M Billets Reports'!D1735,SEARCH("-",'R.M Billets Reports'!D1735)+1,200)),"")),IF(ISNUMBER(SEARCH("Party Name:-",'R.M Billets Reports'!D1736)),TRIM('R.M Billets Reports'!F1736),IF(ISNUMBER(SEARCH("Party Name-",'R.M Billets Reports'!D1736)),TRIM(MID('R.M Billets Reports'!D1736,SEARCH("-",'R.M Billets Reports'!D1736)+1,200)),"")))="VRKP ISPAT PVT LTD","VRKP",IF(IF(IF(ISNUMBER(SEARCH("Party Name:-",'R.M Billets Reports'!D1735)),TRIM('R.M Billets Reports'!F1735),IF(ISNUMBER(SEARCH("Party Name-",'R.M Billets Reports'!D1735)),TRIM(MID('R.M Billets Reports'!D1735,SEARCH("-",'R.M Billets Reports'!D1735)+1,200)),""))&lt;&gt;"",IF(ISNUMBER(SEARCH("Party Name:-",'R.M Billets Reports'!D1735)),TRIM('R.M Billets Reports'!F1735),IF(ISNUMBER(SEARCH("Party Name-",'R.M Billets Reports'!D1735)),TRIM(MID('R.M Billets Reports'!D1735,SEARCH("-",'R.M Billets Reports'!D1735)+1,200)),"")),IF(ISNUMBER(SEARCH("Party Name:-",'R.M Billets Reports'!D1736)),TRIM('R.M Billets Reports'!F1736),IF(ISNUMBER(SEARCH("Party Name-",'R.M Billets Reports'!D1736)),TRIM(MID('R.M Billets Reports'!D1736,SEARCH("-",'R.M Billets Reports'!D1736)+1,200)),"")))="SHRI RADHE","SHREE RADHE",IF(IF(IF(ISNUMBER(SEARCH("Party Name:-",'R.M Billets Reports'!D1735)),TRIM('R.M Billets Reports'!F1735),IF(ISNUMBER(SEARCH("Party Name-",'R.M Billets Reports'!D1735)),TRIM(MID('R.M Billets Reports'!D1735,SEARCH("-",'R.M Billets Reports'!D1735)+1,200)),""))&lt;&gt;"",IF(ISNUMBER(SEARCH("Party Name:-",'R.M Billets Reports'!D1735)),TRIM('R.M Billets Reports'!F1735),IF(ISNUMBER(SEARCH("Party Name-",'R.M Billets Reports'!D1735)),TRIM(MID('R.M Billets Reports'!D1735,SEARCH("-",'R.M Billets Reports'!D1735)+1,200)),"")),IF(ISNUMBER(SEARCH("Party Name:-",'R.M Billets Reports'!D1736)),TRIM('R.M Billets Reports'!F1736),IF(ISNUMBER(SEARCH("Party Name-",'R.M Billets Reports'!D1736)),TRIM(MID('R.M Billets Reports'!D1736,SEARCH("-",'R.M Billets Reports'!D1736)+1,200)),"")))="SHREE RADHE SHAKTI SPONGE AND POWER PVT. LTD.","SHREE RADHE",IF(IF(ISNUMBER(SEARCH("Party Name:-",'R.M Billets Reports'!D1735)),TRIM('R.M Billets Reports'!F1735),IF(ISNUMBER(SEARCH("Party Name-",'R.M Billets Reports'!D1735)),TRIM(MID('R.M Billets Reports'!D1735,SEARCH("-",'R.M Billets Reports'!D1735)+1,200)),""))&lt;&gt;"",IF(ISNUMBER(SEARCH("Party Name:-",'R.M Billets Reports'!D1735)),TRIM('R.M Billets Reports'!F1735),IF(ISNUMBER(SEARCH("Party Name-",'R.M Billets Reports'!D1735)),TRIM(MID('R.M Billets Reports'!D1735,SEARCH("-",'R.M Billets Reports'!D1735)+1,200)),"")),IF(ISNUMBER(SEARCH("Party Name:-",'R.M Billets Reports'!D1736)),TRIM('R.M Billets Reports'!F1736),IF(ISNUMBER(SEARCH("Party Name-",'R.M Billets Reports'!D1736)),TRIM(MID('R.M Billets Reports'!D1736,SEARCH("-",'R.M Billets Reports'!D1736)+1,200)),"")))))),IF(ROW()=2,"",A1735))</f>
      </c>
      <c r="B1736">
        <f>IF(OR('R.M Billets Reports'!A1735="Date-",'R.M Billets Reports'!A1735="Date:-"),'R.M Billets Reports'!B1735,IF(ROW()=2,"",B1735))</f>
      </c>
      <c r="C1736">
        <f>IF('R.M Billets Reports'!A1735="V.No.",'R.M Billets Reports'!B1735,IF(ROW()=2,"",C1735))</f>
      </c>
      <c r="D1736">
        <f>IF('R.M Billets Reports'!A1735&lt;&gt;"",'R.M Billets Reports'!A1735,IF(ROW()=2,"",D1735))</f>
      </c>
      <c r="E1736">
        <f>IF('R.M Billets Reports'!B1735="","",TRIM('R.M Billets Reports'!B1735))</f>
      </c>
      <c r="F1736">
        <f>'R.M Billets Reports'!C1735</f>
      </c>
      <c r="G1736">
        <f>'R.M Billets Reports'!D1735</f>
      </c>
      <c r="H1736">
        <f>'R.M Billets Reports'!E1735</f>
      </c>
      <c r="I1736">
        <f>'R.M Billets Reports'!F1735</f>
      </c>
      <c r="J1736">
        <f>'R.M Billets Reports'!G1735</f>
      </c>
      <c r="K1736">
        <f>'R.M Billets Reports'!H1735</f>
      </c>
      <c r="L1736">
        <f>IF('R.M Billets Reports'!I1735="","",'R.M Billets Reports'!I1735)</f>
      </c>
      <c r="M1736">
        <f t="shared" si="54"/>
      </c>
      <c r="N1736">
        <f>IF('R.M Billets Reports'!J1735="","",'R.M Billets Reports'!J1735)</f>
      </c>
      <c r="O1736">
        <f t="shared" si="55"/>
      </c>
      <c r="P1736">
        <f>IF('R.M Billets Reports'!A1735="SIZE",'R.M Billets Reports'!B1735,P1735)</f>
      </c>
    </row>
    <row r="1737" spans="1:16" x14ac:dyDescent="0.25">
      <c r="A1737">
        <f>IF(OR('R.M Billets Reports'!A1736="Date-",'R.M Billets Reports'!A1736="Date:-"),IF(IF(IF(ISNUMBER(SEARCH("Party Name:-",'R.M Billets Reports'!D1736)),TRIM('R.M Billets Reports'!F1736),IF(ISNUMBER(SEARCH("Party Name-",'R.M Billets Reports'!D1736)),TRIM(MID('R.M Billets Reports'!D1736,SEARCH("-",'R.M Billets Reports'!D1736)+1,200)),""))&lt;&gt;"",IF(ISNUMBER(SEARCH("Party Name:-",'R.M Billets Reports'!D1736)),TRIM('R.M Billets Reports'!F1736),IF(ISNUMBER(SEARCH("Party Name-",'R.M Billets Reports'!D1736)),TRIM(MID('R.M Billets Reports'!D1736,SEARCH("-",'R.M Billets Reports'!D1736)+1,200)),"")),IF(ISNUMBER(SEARCH("Party Name:-",'R.M Billets Reports'!D1737)),TRIM('R.M Billets Reports'!F1737),IF(ISNUMBER(SEARCH("Party Name-",'R.M Billets Reports'!D1737)),TRIM(MID('R.M Billets Reports'!D1737,SEARCH("-",'R.M Billets Reports'!D1737)+1,200)),"")))="VRKP ISPAT PVT LTD","VRKP",IF(IF(IF(ISNUMBER(SEARCH("Party Name:-",'R.M Billets Reports'!D1736)),TRIM('R.M Billets Reports'!F1736),IF(ISNUMBER(SEARCH("Party Name-",'R.M Billets Reports'!D1736)),TRIM(MID('R.M Billets Reports'!D1736,SEARCH("-",'R.M Billets Reports'!D1736)+1,200)),""))&lt;&gt;"",IF(ISNUMBER(SEARCH("Party Name:-",'R.M Billets Reports'!D1736)),TRIM('R.M Billets Reports'!F1736),IF(ISNUMBER(SEARCH("Party Name-",'R.M Billets Reports'!D1736)),TRIM(MID('R.M Billets Reports'!D1736,SEARCH("-",'R.M Billets Reports'!D1736)+1,200)),"")),IF(ISNUMBER(SEARCH("Party Name:-",'R.M Billets Reports'!D1737)),TRIM('R.M Billets Reports'!F1737),IF(ISNUMBER(SEARCH("Party Name-",'R.M Billets Reports'!D1737)),TRIM(MID('R.M Billets Reports'!D1737,SEARCH("-",'R.M Billets Reports'!D1737)+1,200)),"")))="SHRI RADHE","SHREE RADHE",IF(IF(IF(ISNUMBER(SEARCH("Party Name:-",'R.M Billets Reports'!D1736)),TRIM('R.M Billets Reports'!F1736),IF(ISNUMBER(SEARCH("Party Name-",'R.M Billets Reports'!D1736)),TRIM(MID('R.M Billets Reports'!D1736,SEARCH("-",'R.M Billets Reports'!D1736)+1,200)),""))&lt;&gt;"",IF(ISNUMBER(SEARCH("Party Name:-",'R.M Billets Reports'!D1736)),TRIM('R.M Billets Reports'!F1736),IF(ISNUMBER(SEARCH("Party Name-",'R.M Billets Reports'!D1736)),TRIM(MID('R.M Billets Reports'!D1736,SEARCH("-",'R.M Billets Reports'!D1736)+1,200)),"")),IF(ISNUMBER(SEARCH("Party Name:-",'R.M Billets Reports'!D1737)),TRIM('R.M Billets Reports'!F1737),IF(ISNUMBER(SEARCH("Party Name-",'R.M Billets Reports'!D1737)),TRIM(MID('R.M Billets Reports'!D1737,SEARCH("-",'R.M Billets Reports'!D1737)+1,200)),"")))="SHREE RADHE SHAKTI SPONGE AND POWER PVT. LTD.","SHREE RADHE",IF(IF(ISNUMBER(SEARCH("Party Name:-",'R.M Billets Reports'!D1736)),TRIM('R.M Billets Reports'!F1736),IF(ISNUMBER(SEARCH("Party Name-",'R.M Billets Reports'!D1736)),TRIM(MID('R.M Billets Reports'!D1736,SEARCH("-",'R.M Billets Reports'!D1736)+1,200)),""))&lt;&gt;"",IF(ISNUMBER(SEARCH("Party Name:-",'R.M Billets Reports'!D1736)),TRIM('R.M Billets Reports'!F1736),IF(ISNUMBER(SEARCH("Party Name-",'R.M Billets Reports'!D1736)),TRIM(MID('R.M Billets Reports'!D1736,SEARCH("-",'R.M Billets Reports'!D1736)+1,200)),"")),IF(ISNUMBER(SEARCH("Party Name:-",'R.M Billets Reports'!D1737)),TRIM('R.M Billets Reports'!F1737),IF(ISNUMBER(SEARCH("Party Name-",'R.M Billets Reports'!D1737)),TRIM(MID('R.M Billets Reports'!D1737,SEARCH("-",'R.M Billets Reports'!D1737)+1,200)),"")))))),IF(ROW()=2,"",A1736))</f>
      </c>
      <c r="B1737">
        <f>IF(OR('R.M Billets Reports'!A1736="Date-",'R.M Billets Reports'!A1736="Date:-"),'R.M Billets Reports'!B1736,IF(ROW()=2,"",B1736))</f>
      </c>
      <c r="C1737">
        <f>IF('R.M Billets Reports'!A1736="V.No.",'R.M Billets Reports'!B1736,IF(ROW()=2,"",C1736))</f>
      </c>
      <c r="D1737">
        <f>IF('R.M Billets Reports'!A1736&lt;&gt;"",'R.M Billets Reports'!A1736,IF(ROW()=2,"",D1736))</f>
      </c>
      <c r="E1737">
        <f>IF('R.M Billets Reports'!B1736="","",TRIM('R.M Billets Reports'!B1736))</f>
      </c>
      <c r="F1737">
        <f>'R.M Billets Reports'!C1736</f>
      </c>
      <c r="G1737">
        <f>'R.M Billets Reports'!D1736</f>
      </c>
      <c r="H1737">
        <f>'R.M Billets Reports'!E1736</f>
      </c>
      <c r="I1737">
        <f>'R.M Billets Reports'!F1736</f>
      </c>
      <c r="J1737">
        <f>'R.M Billets Reports'!G1736</f>
      </c>
      <c r="K1737">
        <f>'R.M Billets Reports'!H1736</f>
      </c>
      <c r="L1737">
        <f>IF('R.M Billets Reports'!I1736="","",'R.M Billets Reports'!I1736)</f>
      </c>
      <c r="M1737">
        <f t="shared" si="54"/>
      </c>
      <c r="N1737">
        <f>IF('R.M Billets Reports'!J1736="","",'R.M Billets Reports'!J1736)</f>
      </c>
      <c r="O1737">
        <f t="shared" si="55"/>
      </c>
      <c r="P1737">
        <f>IF('R.M Billets Reports'!A1736="SIZE",'R.M Billets Reports'!B1736,P1736)</f>
      </c>
    </row>
    <row r="1738" spans="1:16" x14ac:dyDescent="0.25">
      <c r="A1738">
        <f>IF(OR('R.M Billets Reports'!A1737="Date-",'R.M Billets Reports'!A1737="Date:-"),IF(IF(IF(ISNUMBER(SEARCH("Party Name:-",'R.M Billets Reports'!D1737)),TRIM('R.M Billets Reports'!F1737),IF(ISNUMBER(SEARCH("Party Name-",'R.M Billets Reports'!D1737)),TRIM(MID('R.M Billets Reports'!D1737,SEARCH("-",'R.M Billets Reports'!D1737)+1,200)),""))&lt;&gt;"",IF(ISNUMBER(SEARCH("Party Name:-",'R.M Billets Reports'!D1737)),TRIM('R.M Billets Reports'!F1737),IF(ISNUMBER(SEARCH("Party Name-",'R.M Billets Reports'!D1737)),TRIM(MID('R.M Billets Reports'!D1737,SEARCH("-",'R.M Billets Reports'!D1737)+1,200)),"")),IF(ISNUMBER(SEARCH("Party Name:-",'R.M Billets Reports'!D1738)),TRIM('R.M Billets Reports'!F1738),IF(ISNUMBER(SEARCH("Party Name-",'R.M Billets Reports'!D1738)),TRIM(MID('R.M Billets Reports'!D1738,SEARCH("-",'R.M Billets Reports'!D1738)+1,200)),"")))="VRKP ISPAT PVT LTD","VRKP",IF(IF(IF(ISNUMBER(SEARCH("Party Name:-",'R.M Billets Reports'!D1737)),TRIM('R.M Billets Reports'!F1737),IF(ISNUMBER(SEARCH("Party Name-",'R.M Billets Reports'!D1737)),TRIM(MID('R.M Billets Reports'!D1737,SEARCH("-",'R.M Billets Reports'!D1737)+1,200)),""))&lt;&gt;"",IF(ISNUMBER(SEARCH("Party Name:-",'R.M Billets Reports'!D1737)),TRIM('R.M Billets Reports'!F1737),IF(ISNUMBER(SEARCH("Party Name-",'R.M Billets Reports'!D1737)),TRIM(MID('R.M Billets Reports'!D1737,SEARCH("-",'R.M Billets Reports'!D1737)+1,200)),"")),IF(ISNUMBER(SEARCH("Party Name:-",'R.M Billets Reports'!D1738)),TRIM('R.M Billets Reports'!F1738),IF(ISNUMBER(SEARCH("Party Name-",'R.M Billets Reports'!D1738)),TRIM(MID('R.M Billets Reports'!D1738,SEARCH("-",'R.M Billets Reports'!D1738)+1,200)),"")))="SHRI RADHE","SHREE RADHE",IF(IF(IF(ISNUMBER(SEARCH("Party Name:-",'R.M Billets Reports'!D1737)),TRIM('R.M Billets Reports'!F1737),IF(ISNUMBER(SEARCH("Party Name-",'R.M Billets Reports'!D1737)),TRIM(MID('R.M Billets Reports'!D1737,SEARCH("-",'R.M Billets Reports'!D1737)+1,200)),""))&lt;&gt;"",IF(ISNUMBER(SEARCH("Party Name:-",'R.M Billets Reports'!D1737)),TRIM('R.M Billets Reports'!F1737),IF(ISNUMBER(SEARCH("Party Name-",'R.M Billets Reports'!D1737)),TRIM(MID('R.M Billets Reports'!D1737,SEARCH("-",'R.M Billets Reports'!D1737)+1,200)),"")),IF(ISNUMBER(SEARCH("Party Name:-",'R.M Billets Reports'!D1738)),TRIM('R.M Billets Reports'!F1738),IF(ISNUMBER(SEARCH("Party Name-",'R.M Billets Reports'!D1738)),TRIM(MID('R.M Billets Reports'!D1738,SEARCH("-",'R.M Billets Reports'!D1738)+1,200)),"")))="SHREE RADHE SHAKTI SPONGE AND POWER PVT. LTD.","SHREE RADHE",IF(IF(ISNUMBER(SEARCH("Party Name:-",'R.M Billets Reports'!D1737)),TRIM('R.M Billets Reports'!F1737),IF(ISNUMBER(SEARCH("Party Name-",'R.M Billets Reports'!D1737)),TRIM(MID('R.M Billets Reports'!D1737,SEARCH("-",'R.M Billets Reports'!D1737)+1,200)),""))&lt;&gt;"",IF(ISNUMBER(SEARCH("Party Name:-",'R.M Billets Reports'!D1737)),TRIM('R.M Billets Reports'!F1737),IF(ISNUMBER(SEARCH("Party Name-",'R.M Billets Reports'!D1737)),TRIM(MID('R.M Billets Reports'!D1737,SEARCH("-",'R.M Billets Reports'!D1737)+1,200)),"")),IF(ISNUMBER(SEARCH("Party Name:-",'R.M Billets Reports'!D1738)),TRIM('R.M Billets Reports'!F1738),IF(ISNUMBER(SEARCH("Party Name-",'R.M Billets Reports'!D1738)),TRIM(MID('R.M Billets Reports'!D1738,SEARCH("-",'R.M Billets Reports'!D1738)+1,200)),"")))))),IF(ROW()=2,"",A1737))</f>
      </c>
      <c r="B1738">
        <f>IF(OR('R.M Billets Reports'!A1737="Date-",'R.M Billets Reports'!A1737="Date:-"),'R.M Billets Reports'!B1737,IF(ROW()=2,"",B1737))</f>
      </c>
      <c r="C1738">
        <f>IF('R.M Billets Reports'!A1737="V.No.",'R.M Billets Reports'!B1737,IF(ROW()=2,"",C1737))</f>
      </c>
      <c r="D1738">
        <f>IF('R.M Billets Reports'!A1737&lt;&gt;"",'R.M Billets Reports'!A1737,IF(ROW()=2,"",D1737))</f>
      </c>
      <c r="E1738">
        <f>IF('R.M Billets Reports'!B1737="","",TRIM('R.M Billets Reports'!B1737))</f>
      </c>
      <c r="F1738">
        <f>'R.M Billets Reports'!C1737</f>
      </c>
      <c r="G1738">
        <f>'R.M Billets Reports'!D1737</f>
      </c>
      <c r="H1738">
        <f>'R.M Billets Reports'!E1737</f>
      </c>
      <c r="I1738">
        <f>'R.M Billets Reports'!F1737</f>
      </c>
      <c r="J1738">
        <f>'R.M Billets Reports'!G1737</f>
      </c>
      <c r="K1738">
        <f>'R.M Billets Reports'!H1737</f>
      </c>
      <c r="L1738">
        <f>IF('R.M Billets Reports'!I1737="","",'R.M Billets Reports'!I1737)</f>
      </c>
      <c r="M1738">
        <f t="shared" si="54"/>
      </c>
      <c r="N1738">
        <f>IF('R.M Billets Reports'!J1737="","",'R.M Billets Reports'!J1737)</f>
      </c>
      <c r="O1738">
        <f t="shared" si="55"/>
      </c>
      <c r="P1738">
        <f>IF('R.M Billets Reports'!A1737="SIZE",'R.M Billets Reports'!B1737,P1737)</f>
      </c>
    </row>
    <row r="1739" spans="1:16" x14ac:dyDescent="0.25">
      <c r="A1739">
        <f>IF(OR('R.M Billets Reports'!A1738="Date-",'R.M Billets Reports'!A1738="Date:-"),IF(IF(IF(ISNUMBER(SEARCH("Party Name:-",'R.M Billets Reports'!D1738)),TRIM('R.M Billets Reports'!F1738),IF(ISNUMBER(SEARCH("Party Name-",'R.M Billets Reports'!D1738)),TRIM(MID('R.M Billets Reports'!D1738,SEARCH("-",'R.M Billets Reports'!D1738)+1,200)),""))&lt;&gt;"",IF(ISNUMBER(SEARCH("Party Name:-",'R.M Billets Reports'!D1738)),TRIM('R.M Billets Reports'!F1738),IF(ISNUMBER(SEARCH("Party Name-",'R.M Billets Reports'!D1738)),TRIM(MID('R.M Billets Reports'!D1738,SEARCH("-",'R.M Billets Reports'!D1738)+1,200)),"")),IF(ISNUMBER(SEARCH("Party Name:-",'R.M Billets Reports'!D1739)),TRIM('R.M Billets Reports'!F1739),IF(ISNUMBER(SEARCH("Party Name-",'R.M Billets Reports'!D1739)),TRIM(MID('R.M Billets Reports'!D1739,SEARCH("-",'R.M Billets Reports'!D1739)+1,200)),"")))="VRKP ISPAT PVT LTD","VRKP",IF(IF(IF(ISNUMBER(SEARCH("Party Name:-",'R.M Billets Reports'!D1738)),TRIM('R.M Billets Reports'!F1738),IF(ISNUMBER(SEARCH("Party Name-",'R.M Billets Reports'!D1738)),TRIM(MID('R.M Billets Reports'!D1738,SEARCH("-",'R.M Billets Reports'!D1738)+1,200)),""))&lt;&gt;"",IF(ISNUMBER(SEARCH("Party Name:-",'R.M Billets Reports'!D1738)),TRIM('R.M Billets Reports'!F1738),IF(ISNUMBER(SEARCH("Party Name-",'R.M Billets Reports'!D1738)),TRIM(MID('R.M Billets Reports'!D1738,SEARCH("-",'R.M Billets Reports'!D1738)+1,200)),"")),IF(ISNUMBER(SEARCH("Party Name:-",'R.M Billets Reports'!D1739)),TRIM('R.M Billets Reports'!F1739),IF(ISNUMBER(SEARCH("Party Name-",'R.M Billets Reports'!D1739)),TRIM(MID('R.M Billets Reports'!D1739,SEARCH("-",'R.M Billets Reports'!D1739)+1,200)),"")))="SHRI RADHE","SHREE RADHE",IF(IF(IF(ISNUMBER(SEARCH("Party Name:-",'R.M Billets Reports'!D1738)),TRIM('R.M Billets Reports'!F1738),IF(ISNUMBER(SEARCH("Party Name-",'R.M Billets Reports'!D1738)),TRIM(MID('R.M Billets Reports'!D1738,SEARCH("-",'R.M Billets Reports'!D1738)+1,200)),""))&lt;&gt;"",IF(ISNUMBER(SEARCH("Party Name:-",'R.M Billets Reports'!D1738)),TRIM('R.M Billets Reports'!F1738),IF(ISNUMBER(SEARCH("Party Name-",'R.M Billets Reports'!D1738)),TRIM(MID('R.M Billets Reports'!D1738,SEARCH("-",'R.M Billets Reports'!D1738)+1,200)),"")),IF(ISNUMBER(SEARCH("Party Name:-",'R.M Billets Reports'!D1739)),TRIM('R.M Billets Reports'!F1739),IF(ISNUMBER(SEARCH("Party Name-",'R.M Billets Reports'!D1739)),TRIM(MID('R.M Billets Reports'!D1739,SEARCH("-",'R.M Billets Reports'!D1739)+1,200)),"")))="SHREE RADHE SHAKTI SPONGE AND POWER PVT. LTD.","SHREE RADHE",IF(IF(ISNUMBER(SEARCH("Party Name:-",'R.M Billets Reports'!D1738)),TRIM('R.M Billets Reports'!F1738),IF(ISNUMBER(SEARCH("Party Name-",'R.M Billets Reports'!D1738)),TRIM(MID('R.M Billets Reports'!D1738,SEARCH("-",'R.M Billets Reports'!D1738)+1,200)),""))&lt;&gt;"",IF(ISNUMBER(SEARCH("Party Name:-",'R.M Billets Reports'!D1738)),TRIM('R.M Billets Reports'!F1738),IF(ISNUMBER(SEARCH("Party Name-",'R.M Billets Reports'!D1738)),TRIM(MID('R.M Billets Reports'!D1738,SEARCH("-",'R.M Billets Reports'!D1738)+1,200)),"")),IF(ISNUMBER(SEARCH("Party Name:-",'R.M Billets Reports'!D1739)),TRIM('R.M Billets Reports'!F1739),IF(ISNUMBER(SEARCH("Party Name-",'R.M Billets Reports'!D1739)),TRIM(MID('R.M Billets Reports'!D1739,SEARCH("-",'R.M Billets Reports'!D1739)+1,200)),"")))))),IF(ROW()=2,"",A1738))</f>
      </c>
      <c r="B1739">
        <f>IF(OR('R.M Billets Reports'!A1738="Date-",'R.M Billets Reports'!A1738="Date:-"),'R.M Billets Reports'!B1738,IF(ROW()=2,"",B1738))</f>
      </c>
      <c r="C1739">
        <f>IF('R.M Billets Reports'!A1738="V.No.",'R.M Billets Reports'!B1738,IF(ROW()=2,"",C1738))</f>
      </c>
      <c r="D1739">
        <f>IF('R.M Billets Reports'!A1738&lt;&gt;"",'R.M Billets Reports'!A1738,IF(ROW()=2,"",D1738))</f>
      </c>
      <c r="E1739">
        <f>IF('R.M Billets Reports'!B1738="","",TRIM('R.M Billets Reports'!B1738))</f>
      </c>
      <c r="F1739">
        <f>'R.M Billets Reports'!C1738</f>
      </c>
      <c r="G1739">
        <f>'R.M Billets Reports'!D1738</f>
      </c>
      <c r="H1739">
        <f>'R.M Billets Reports'!E1738</f>
      </c>
      <c r="I1739">
        <f>'R.M Billets Reports'!F1738</f>
      </c>
      <c r="J1739">
        <f>'R.M Billets Reports'!G1738</f>
      </c>
      <c r="K1739">
        <f>'R.M Billets Reports'!H1738</f>
      </c>
      <c r="L1739">
        <f>IF('R.M Billets Reports'!I1738="","",'R.M Billets Reports'!I1738)</f>
      </c>
      <c r="M1739">
        <f t="shared" si="54"/>
      </c>
      <c r="N1739">
        <f>IF('R.M Billets Reports'!J1738="","",'R.M Billets Reports'!J1738)</f>
      </c>
      <c r="O1739">
        <f t="shared" si="55"/>
      </c>
      <c r="P1739">
        <f>IF('R.M Billets Reports'!A1738="SIZE",'R.M Billets Reports'!B1738,P1738)</f>
      </c>
    </row>
    <row r="1740" spans="1:16" x14ac:dyDescent="0.25">
      <c r="A1740">
        <f>IF(OR('R.M Billets Reports'!A1739="Date-",'R.M Billets Reports'!A1739="Date:-"),IF(IF(IF(ISNUMBER(SEARCH("Party Name:-",'R.M Billets Reports'!D1739)),TRIM('R.M Billets Reports'!F1739),IF(ISNUMBER(SEARCH("Party Name-",'R.M Billets Reports'!D1739)),TRIM(MID('R.M Billets Reports'!D1739,SEARCH("-",'R.M Billets Reports'!D1739)+1,200)),""))&lt;&gt;"",IF(ISNUMBER(SEARCH("Party Name:-",'R.M Billets Reports'!D1739)),TRIM('R.M Billets Reports'!F1739),IF(ISNUMBER(SEARCH("Party Name-",'R.M Billets Reports'!D1739)),TRIM(MID('R.M Billets Reports'!D1739,SEARCH("-",'R.M Billets Reports'!D1739)+1,200)),"")),IF(ISNUMBER(SEARCH("Party Name:-",'R.M Billets Reports'!D1740)),TRIM('R.M Billets Reports'!F1740),IF(ISNUMBER(SEARCH("Party Name-",'R.M Billets Reports'!D1740)),TRIM(MID('R.M Billets Reports'!D1740,SEARCH("-",'R.M Billets Reports'!D1740)+1,200)),"")))="VRKP ISPAT PVT LTD","VRKP",IF(IF(IF(ISNUMBER(SEARCH("Party Name:-",'R.M Billets Reports'!D1739)),TRIM('R.M Billets Reports'!F1739),IF(ISNUMBER(SEARCH("Party Name-",'R.M Billets Reports'!D1739)),TRIM(MID('R.M Billets Reports'!D1739,SEARCH("-",'R.M Billets Reports'!D1739)+1,200)),""))&lt;&gt;"",IF(ISNUMBER(SEARCH("Party Name:-",'R.M Billets Reports'!D1739)),TRIM('R.M Billets Reports'!F1739),IF(ISNUMBER(SEARCH("Party Name-",'R.M Billets Reports'!D1739)),TRIM(MID('R.M Billets Reports'!D1739,SEARCH("-",'R.M Billets Reports'!D1739)+1,200)),"")),IF(ISNUMBER(SEARCH("Party Name:-",'R.M Billets Reports'!D1740)),TRIM('R.M Billets Reports'!F1740),IF(ISNUMBER(SEARCH("Party Name-",'R.M Billets Reports'!D1740)),TRIM(MID('R.M Billets Reports'!D1740,SEARCH("-",'R.M Billets Reports'!D1740)+1,200)),"")))="SHRI RADHE","SHREE RADHE",IF(IF(IF(ISNUMBER(SEARCH("Party Name:-",'R.M Billets Reports'!D1739)),TRIM('R.M Billets Reports'!F1739),IF(ISNUMBER(SEARCH("Party Name-",'R.M Billets Reports'!D1739)),TRIM(MID('R.M Billets Reports'!D1739,SEARCH("-",'R.M Billets Reports'!D1739)+1,200)),""))&lt;&gt;"",IF(ISNUMBER(SEARCH("Party Name:-",'R.M Billets Reports'!D1739)),TRIM('R.M Billets Reports'!F1739),IF(ISNUMBER(SEARCH("Party Name-",'R.M Billets Reports'!D1739)),TRIM(MID('R.M Billets Reports'!D1739,SEARCH("-",'R.M Billets Reports'!D1739)+1,200)),"")),IF(ISNUMBER(SEARCH("Party Name:-",'R.M Billets Reports'!D1740)),TRIM('R.M Billets Reports'!F1740),IF(ISNUMBER(SEARCH("Party Name-",'R.M Billets Reports'!D1740)),TRIM(MID('R.M Billets Reports'!D1740,SEARCH("-",'R.M Billets Reports'!D1740)+1,200)),"")))="SHREE RADHE SHAKTI SPONGE AND POWER PVT. LTD.","SHREE RADHE",IF(IF(ISNUMBER(SEARCH("Party Name:-",'R.M Billets Reports'!D1739)),TRIM('R.M Billets Reports'!F1739),IF(ISNUMBER(SEARCH("Party Name-",'R.M Billets Reports'!D1739)),TRIM(MID('R.M Billets Reports'!D1739,SEARCH("-",'R.M Billets Reports'!D1739)+1,200)),""))&lt;&gt;"",IF(ISNUMBER(SEARCH("Party Name:-",'R.M Billets Reports'!D1739)),TRIM('R.M Billets Reports'!F1739),IF(ISNUMBER(SEARCH("Party Name-",'R.M Billets Reports'!D1739)),TRIM(MID('R.M Billets Reports'!D1739,SEARCH("-",'R.M Billets Reports'!D1739)+1,200)),"")),IF(ISNUMBER(SEARCH("Party Name:-",'R.M Billets Reports'!D1740)),TRIM('R.M Billets Reports'!F1740),IF(ISNUMBER(SEARCH("Party Name-",'R.M Billets Reports'!D1740)),TRIM(MID('R.M Billets Reports'!D1740,SEARCH("-",'R.M Billets Reports'!D1740)+1,200)),"")))))),IF(ROW()=2,"",A1739))</f>
      </c>
      <c r="B1740">
        <f>IF(OR('R.M Billets Reports'!A1739="Date-",'R.M Billets Reports'!A1739="Date:-"),'R.M Billets Reports'!B1739,IF(ROW()=2,"",B1739))</f>
      </c>
      <c r="C1740">
        <f>IF('R.M Billets Reports'!A1739="V.No.",'R.M Billets Reports'!B1739,IF(ROW()=2,"",C1739))</f>
      </c>
      <c r="D1740">
        <f>IF('R.M Billets Reports'!A1739&lt;&gt;"",'R.M Billets Reports'!A1739,IF(ROW()=2,"",D1739))</f>
      </c>
      <c r="E1740">
        <f>IF('R.M Billets Reports'!B1739="","",TRIM('R.M Billets Reports'!B1739))</f>
      </c>
      <c r="F1740">
        <f>'R.M Billets Reports'!C1739</f>
      </c>
      <c r="G1740">
        <f>'R.M Billets Reports'!D1739</f>
      </c>
      <c r="H1740">
        <f>'R.M Billets Reports'!E1739</f>
      </c>
      <c r="I1740">
        <f>'R.M Billets Reports'!F1739</f>
      </c>
      <c r="J1740">
        <f>'R.M Billets Reports'!G1739</f>
      </c>
      <c r="K1740">
        <f>'R.M Billets Reports'!H1739</f>
      </c>
      <c r="L1740">
        <f>IF('R.M Billets Reports'!I1739="","",'R.M Billets Reports'!I1739)</f>
      </c>
      <c r="M1740">
        <f t="shared" si="54"/>
      </c>
      <c r="N1740">
        <f>IF('R.M Billets Reports'!J1739="","",'R.M Billets Reports'!J1739)</f>
      </c>
      <c r="O1740">
        <f t="shared" si="55"/>
      </c>
      <c r="P1740">
        <f>IF('R.M Billets Reports'!A1739="SIZE",'R.M Billets Reports'!B1739,P1739)</f>
      </c>
    </row>
    <row r="1741" spans="1:16" x14ac:dyDescent="0.25">
      <c r="A1741">
        <f>IF(OR('R.M Billets Reports'!A1740="Date-",'R.M Billets Reports'!A1740="Date:-"),IF(IF(IF(ISNUMBER(SEARCH("Party Name:-",'R.M Billets Reports'!D1740)),TRIM('R.M Billets Reports'!F1740),IF(ISNUMBER(SEARCH("Party Name-",'R.M Billets Reports'!D1740)),TRIM(MID('R.M Billets Reports'!D1740,SEARCH("-",'R.M Billets Reports'!D1740)+1,200)),""))&lt;&gt;"",IF(ISNUMBER(SEARCH("Party Name:-",'R.M Billets Reports'!D1740)),TRIM('R.M Billets Reports'!F1740),IF(ISNUMBER(SEARCH("Party Name-",'R.M Billets Reports'!D1740)),TRIM(MID('R.M Billets Reports'!D1740,SEARCH("-",'R.M Billets Reports'!D1740)+1,200)),"")),IF(ISNUMBER(SEARCH("Party Name:-",'R.M Billets Reports'!D1741)),TRIM('R.M Billets Reports'!F1741),IF(ISNUMBER(SEARCH("Party Name-",'R.M Billets Reports'!D1741)),TRIM(MID('R.M Billets Reports'!D1741,SEARCH("-",'R.M Billets Reports'!D1741)+1,200)),"")))="VRKP ISPAT PVT LTD","VRKP",IF(IF(IF(ISNUMBER(SEARCH("Party Name:-",'R.M Billets Reports'!D1740)),TRIM('R.M Billets Reports'!F1740),IF(ISNUMBER(SEARCH("Party Name-",'R.M Billets Reports'!D1740)),TRIM(MID('R.M Billets Reports'!D1740,SEARCH("-",'R.M Billets Reports'!D1740)+1,200)),""))&lt;&gt;"",IF(ISNUMBER(SEARCH("Party Name:-",'R.M Billets Reports'!D1740)),TRIM('R.M Billets Reports'!F1740),IF(ISNUMBER(SEARCH("Party Name-",'R.M Billets Reports'!D1740)),TRIM(MID('R.M Billets Reports'!D1740,SEARCH("-",'R.M Billets Reports'!D1740)+1,200)),"")),IF(ISNUMBER(SEARCH("Party Name:-",'R.M Billets Reports'!D1741)),TRIM('R.M Billets Reports'!F1741),IF(ISNUMBER(SEARCH("Party Name-",'R.M Billets Reports'!D1741)),TRIM(MID('R.M Billets Reports'!D1741,SEARCH("-",'R.M Billets Reports'!D1741)+1,200)),"")))="SHRI RADHE","SHREE RADHE",IF(IF(IF(ISNUMBER(SEARCH("Party Name:-",'R.M Billets Reports'!D1740)),TRIM('R.M Billets Reports'!F1740),IF(ISNUMBER(SEARCH("Party Name-",'R.M Billets Reports'!D1740)),TRIM(MID('R.M Billets Reports'!D1740,SEARCH("-",'R.M Billets Reports'!D1740)+1,200)),""))&lt;&gt;"",IF(ISNUMBER(SEARCH("Party Name:-",'R.M Billets Reports'!D1740)),TRIM('R.M Billets Reports'!F1740),IF(ISNUMBER(SEARCH("Party Name-",'R.M Billets Reports'!D1740)),TRIM(MID('R.M Billets Reports'!D1740,SEARCH("-",'R.M Billets Reports'!D1740)+1,200)),"")),IF(ISNUMBER(SEARCH("Party Name:-",'R.M Billets Reports'!D1741)),TRIM('R.M Billets Reports'!F1741),IF(ISNUMBER(SEARCH("Party Name-",'R.M Billets Reports'!D1741)),TRIM(MID('R.M Billets Reports'!D1741,SEARCH("-",'R.M Billets Reports'!D1741)+1,200)),"")))="SHREE RADHE SHAKTI SPONGE AND POWER PVT. LTD.","SHREE RADHE",IF(IF(ISNUMBER(SEARCH("Party Name:-",'R.M Billets Reports'!D1740)),TRIM('R.M Billets Reports'!F1740),IF(ISNUMBER(SEARCH("Party Name-",'R.M Billets Reports'!D1740)),TRIM(MID('R.M Billets Reports'!D1740,SEARCH("-",'R.M Billets Reports'!D1740)+1,200)),""))&lt;&gt;"",IF(ISNUMBER(SEARCH("Party Name:-",'R.M Billets Reports'!D1740)),TRIM('R.M Billets Reports'!F1740),IF(ISNUMBER(SEARCH("Party Name-",'R.M Billets Reports'!D1740)),TRIM(MID('R.M Billets Reports'!D1740,SEARCH("-",'R.M Billets Reports'!D1740)+1,200)),"")),IF(ISNUMBER(SEARCH("Party Name:-",'R.M Billets Reports'!D1741)),TRIM('R.M Billets Reports'!F1741),IF(ISNUMBER(SEARCH("Party Name-",'R.M Billets Reports'!D1741)),TRIM(MID('R.M Billets Reports'!D1741,SEARCH("-",'R.M Billets Reports'!D1741)+1,200)),"")))))),IF(ROW()=2,"",A1740))</f>
      </c>
      <c r="B1741">
        <f>IF(OR('R.M Billets Reports'!A1740="Date-",'R.M Billets Reports'!A1740="Date:-"),'R.M Billets Reports'!B1740,IF(ROW()=2,"",B1740))</f>
      </c>
      <c r="C1741">
        <f>IF('R.M Billets Reports'!A1740="V.No.",'R.M Billets Reports'!B1740,IF(ROW()=2,"",C1740))</f>
      </c>
      <c r="D1741">
        <f>IF('R.M Billets Reports'!A1740&lt;&gt;"",'R.M Billets Reports'!A1740,IF(ROW()=2,"",D1740))</f>
      </c>
      <c r="E1741">
        <f>IF('R.M Billets Reports'!B1740="","",TRIM('R.M Billets Reports'!B1740))</f>
      </c>
      <c r="F1741">
        <f>'R.M Billets Reports'!C1740</f>
      </c>
      <c r="G1741">
        <f>'R.M Billets Reports'!D1740</f>
      </c>
      <c r="H1741">
        <f>'R.M Billets Reports'!E1740</f>
      </c>
      <c r="I1741">
        <f>'R.M Billets Reports'!F1740</f>
      </c>
      <c r="J1741">
        <f>'R.M Billets Reports'!G1740</f>
      </c>
      <c r="K1741">
        <f>'R.M Billets Reports'!H1740</f>
      </c>
      <c r="L1741">
        <f>IF('R.M Billets Reports'!I1740="","",'R.M Billets Reports'!I1740)</f>
      </c>
      <c r="M1741">
        <f t="shared" si="54"/>
      </c>
      <c r="N1741">
        <f>IF('R.M Billets Reports'!J1740="","",'R.M Billets Reports'!J1740)</f>
      </c>
      <c r="O1741">
        <f t="shared" si="55"/>
      </c>
      <c r="P1741">
        <f>IF('R.M Billets Reports'!A1740="SIZE",'R.M Billets Reports'!B1740,P1740)</f>
      </c>
    </row>
    <row r="1742" spans="1:16" x14ac:dyDescent="0.25">
      <c r="A1742">
        <f>IF(OR('R.M Billets Reports'!A1741="Date-",'R.M Billets Reports'!A1741="Date:-"),IF(IF(IF(ISNUMBER(SEARCH("Party Name:-",'R.M Billets Reports'!D1741)),TRIM('R.M Billets Reports'!F1741),IF(ISNUMBER(SEARCH("Party Name-",'R.M Billets Reports'!D1741)),TRIM(MID('R.M Billets Reports'!D1741,SEARCH("-",'R.M Billets Reports'!D1741)+1,200)),""))&lt;&gt;"",IF(ISNUMBER(SEARCH("Party Name:-",'R.M Billets Reports'!D1741)),TRIM('R.M Billets Reports'!F1741),IF(ISNUMBER(SEARCH("Party Name-",'R.M Billets Reports'!D1741)),TRIM(MID('R.M Billets Reports'!D1741,SEARCH("-",'R.M Billets Reports'!D1741)+1,200)),"")),IF(ISNUMBER(SEARCH("Party Name:-",'R.M Billets Reports'!D1742)),TRIM('R.M Billets Reports'!F1742),IF(ISNUMBER(SEARCH("Party Name-",'R.M Billets Reports'!D1742)),TRIM(MID('R.M Billets Reports'!D1742,SEARCH("-",'R.M Billets Reports'!D1742)+1,200)),"")))="VRKP ISPAT PVT LTD","VRKP",IF(IF(IF(ISNUMBER(SEARCH("Party Name:-",'R.M Billets Reports'!D1741)),TRIM('R.M Billets Reports'!F1741),IF(ISNUMBER(SEARCH("Party Name-",'R.M Billets Reports'!D1741)),TRIM(MID('R.M Billets Reports'!D1741,SEARCH("-",'R.M Billets Reports'!D1741)+1,200)),""))&lt;&gt;"",IF(ISNUMBER(SEARCH("Party Name:-",'R.M Billets Reports'!D1741)),TRIM('R.M Billets Reports'!F1741),IF(ISNUMBER(SEARCH("Party Name-",'R.M Billets Reports'!D1741)),TRIM(MID('R.M Billets Reports'!D1741,SEARCH("-",'R.M Billets Reports'!D1741)+1,200)),"")),IF(ISNUMBER(SEARCH("Party Name:-",'R.M Billets Reports'!D1742)),TRIM('R.M Billets Reports'!F1742),IF(ISNUMBER(SEARCH("Party Name-",'R.M Billets Reports'!D1742)),TRIM(MID('R.M Billets Reports'!D1742,SEARCH("-",'R.M Billets Reports'!D1742)+1,200)),"")))="SHRI RADHE","SHREE RADHE",IF(IF(IF(ISNUMBER(SEARCH("Party Name:-",'R.M Billets Reports'!D1741)),TRIM('R.M Billets Reports'!F1741),IF(ISNUMBER(SEARCH("Party Name-",'R.M Billets Reports'!D1741)),TRIM(MID('R.M Billets Reports'!D1741,SEARCH("-",'R.M Billets Reports'!D1741)+1,200)),""))&lt;&gt;"",IF(ISNUMBER(SEARCH("Party Name:-",'R.M Billets Reports'!D1741)),TRIM('R.M Billets Reports'!F1741),IF(ISNUMBER(SEARCH("Party Name-",'R.M Billets Reports'!D1741)),TRIM(MID('R.M Billets Reports'!D1741,SEARCH("-",'R.M Billets Reports'!D1741)+1,200)),"")),IF(ISNUMBER(SEARCH("Party Name:-",'R.M Billets Reports'!D1742)),TRIM('R.M Billets Reports'!F1742),IF(ISNUMBER(SEARCH("Party Name-",'R.M Billets Reports'!D1742)),TRIM(MID('R.M Billets Reports'!D1742,SEARCH("-",'R.M Billets Reports'!D1742)+1,200)),"")))="SHREE RADHE SHAKTI SPONGE AND POWER PVT. LTD.","SHREE RADHE",IF(IF(ISNUMBER(SEARCH("Party Name:-",'R.M Billets Reports'!D1741)),TRIM('R.M Billets Reports'!F1741),IF(ISNUMBER(SEARCH("Party Name-",'R.M Billets Reports'!D1741)),TRIM(MID('R.M Billets Reports'!D1741,SEARCH("-",'R.M Billets Reports'!D1741)+1,200)),""))&lt;&gt;"",IF(ISNUMBER(SEARCH("Party Name:-",'R.M Billets Reports'!D1741)),TRIM('R.M Billets Reports'!F1741),IF(ISNUMBER(SEARCH("Party Name-",'R.M Billets Reports'!D1741)),TRIM(MID('R.M Billets Reports'!D1741,SEARCH("-",'R.M Billets Reports'!D1741)+1,200)),"")),IF(ISNUMBER(SEARCH("Party Name:-",'R.M Billets Reports'!D1742)),TRIM('R.M Billets Reports'!F1742),IF(ISNUMBER(SEARCH("Party Name-",'R.M Billets Reports'!D1742)),TRIM(MID('R.M Billets Reports'!D1742,SEARCH("-",'R.M Billets Reports'!D1742)+1,200)),"")))))),IF(ROW()=2,"",A1741))</f>
      </c>
      <c r="B1742">
        <f>IF(OR('R.M Billets Reports'!A1741="Date-",'R.M Billets Reports'!A1741="Date:-"),'R.M Billets Reports'!B1741,IF(ROW()=2,"",B1741))</f>
      </c>
      <c r="C1742">
        <f>IF('R.M Billets Reports'!A1741="V.No.",'R.M Billets Reports'!B1741,IF(ROW()=2,"",C1741))</f>
      </c>
      <c r="D1742">
        <f>IF('R.M Billets Reports'!A1741&lt;&gt;"",'R.M Billets Reports'!A1741,IF(ROW()=2,"",D1741))</f>
      </c>
      <c r="E1742">
        <f>IF('R.M Billets Reports'!B1741="","",TRIM('R.M Billets Reports'!B1741))</f>
      </c>
      <c r="F1742">
        <f>'R.M Billets Reports'!C1741</f>
      </c>
      <c r="G1742">
        <f>'R.M Billets Reports'!D1741</f>
      </c>
      <c r="H1742">
        <f>'R.M Billets Reports'!E1741</f>
      </c>
      <c r="I1742">
        <f>'R.M Billets Reports'!F1741</f>
      </c>
      <c r="J1742">
        <f>'R.M Billets Reports'!G1741</f>
      </c>
      <c r="K1742">
        <f>'R.M Billets Reports'!H1741</f>
      </c>
      <c r="L1742">
        <f>IF('R.M Billets Reports'!I1741="","",'R.M Billets Reports'!I1741)</f>
      </c>
      <c r="M1742">
        <f t="shared" si="54"/>
      </c>
      <c r="N1742">
        <f>IF('R.M Billets Reports'!J1741="","",'R.M Billets Reports'!J1741)</f>
      </c>
      <c r="O1742">
        <f t="shared" si="55"/>
      </c>
      <c r="P1742">
        <f>IF('R.M Billets Reports'!A1741="SIZE",'R.M Billets Reports'!B1741,P1741)</f>
      </c>
    </row>
    <row r="1743" spans="1:16" x14ac:dyDescent="0.25">
      <c r="A1743">
        <f>IF(OR('R.M Billets Reports'!A1742="Date-",'R.M Billets Reports'!A1742="Date:-"),IF(IF(IF(ISNUMBER(SEARCH("Party Name:-",'R.M Billets Reports'!D1742)),TRIM('R.M Billets Reports'!F1742),IF(ISNUMBER(SEARCH("Party Name-",'R.M Billets Reports'!D1742)),TRIM(MID('R.M Billets Reports'!D1742,SEARCH("-",'R.M Billets Reports'!D1742)+1,200)),""))&lt;&gt;"",IF(ISNUMBER(SEARCH("Party Name:-",'R.M Billets Reports'!D1742)),TRIM('R.M Billets Reports'!F1742),IF(ISNUMBER(SEARCH("Party Name-",'R.M Billets Reports'!D1742)),TRIM(MID('R.M Billets Reports'!D1742,SEARCH("-",'R.M Billets Reports'!D1742)+1,200)),"")),IF(ISNUMBER(SEARCH("Party Name:-",'R.M Billets Reports'!D1743)),TRIM('R.M Billets Reports'!F1743),IF(ISNUMBER(SEARCH("Party Name-",'R.M Billets Reports'!D1743)),TRIM(MID('R.M Billets Reports'!D1743,SEARCH("-",'R.M Billets Reports'!D1743)+1,200)),"")))="VRKP ISPAT PVT LTD","VRKP",IF(IF(IF(ISNUMBER(SEARCH("Party Name:-",'R.M Billets Reports'!D1742)),TRIM('R.M Billets Reports'!F1742),IF(ISNUMBER(SEARCH("Party Name-",'R.M Billets Reports'!D1742)),TRIM(MID('R.M Billets Reports'!D1742,SEARCH("-",'R.M Billets Reports'!D1742)+1,200)),""))&lt;&gt;"",IF(ISNUMBER(SEARCH("Party Name:-",'R.M Billets Reports'!D1742)),TRIM('R.M Billets Reports'!F1742),IF(ISNUMBER(SEARCH("Party Name-",'R.M Billets Reports'!D1742)),TRIM(MID('R.M Billets Reports'!D1742,SEARCH("-",'R.M Billets Reports'!D1742)+1,200)),"")),IF(ISNUMBER(SEARCH("Party Name:-",'R.M Billets Reports'!D1743)),TRIM('R.M Billets Reports'!F1743),IF(ISNUMBER(SEARCH("Party Name-",'R.M Billets Reports'!D1743)),TRIM(MID('R.M Billets Reports'!D1743,SEARCH("-",'R.M Billets Reports'!D1743)+1,200)),"")))="SHRI RADHE","SHREE RADHE",IF(IF(IF(ISNUMBER(SEARCH("Party Name:-",'R.M Billets Reports'!D1742)),TRIM('R.M Billets Reports'!F1742),IF(ISNUMBER(SEARCH("Party Name-",'R.M Billets Reports'!D1742)),TRIM(MID('R.M Billets Reports'!D1742,SEARCH("-",'R.M Billets Reports'!D1742)+1,200)),""))&lt;&gt;"",IF(ISNUMBER(SEARCH("Party Name:-",'R.M Billets Reports'!D1742)),TRIM('R.M Billets Reports'!F1742),IF(ISNUMBER(SEARCH("Party Name-",'R.M Billets Reports'!D1742)),TRIM(MID('R.M Billets Reports'!D1742,SEARCH("-",'R.M Billets Reports'!D1742)+1,200)),"")),IF(ISNUMBER(SEARCH("Party Name:-",'R.M Billets Reports'!D1743)),TRIM('R.M Billets Reports'!F1743),IF(ISNUMBER(SEARCH("Party Name-",'R.M Billets Reports'!D1743)),TRIM(MID('R.M Billets Reports'!D1743,SEARCH("-",'R.M Billets Reports'!D1743)+1,200)),"")))="SHREE RADHE SHAKTI SPONGE AND POWER PVT. LTD.","SHREE RADHE",IF(IF(ISNUMBER(SEARCH("Party Name:-",'R.M Billets Reports'!D1742)),TRIM('R.M Billets Reports'!F1742),IF(ISNUMBER(SEARCH("Party Name-",'R.M Billets Reports'!D1742)),TRIM(MID('R.M Billets Reports'!D1742,SEARCH("-",'R.M Billets Reports'!D1742)+1,200)),""))&lt;&gt;"",IF(ISNUMBER(SEARCH("Party Name:-",'R.M Billets Reports'!D1742)),TRIM('R.M Billets Reports'!F1742),IF(ISNUMBER(SEARCH("Party Name-",'R.M Billets Reports'!D1742)),TRIM(MID('R.M Billets Reports'!D1742,SEARCH("-",'R.M Billets Reports'!D1742)+1,200)),"")),IF(ISNUMBER(SEARCH("Party Name:-",'R.M Billets Reports'!D1743)),TRIM('R.M Billets Reports'!F1743),IF(ISNUMBER(SEARCH("Party Name-",'R.M Billets Reports'!D1743)),TRIM(MID('R.M Billets Reports'!D1743,SEARCH("-",'R.M Billets Reports'!D1743)+1,200)),"")))))),IF(ROW()=2,"",A1742))</f>
      </c>
      <c r="B1743">
        <f>IF(OR('R.M Billets Reports'!A1742="Date-",'R.M Billets Reports'!A1742="Date:-"),'R.M Billets Reports'!B1742,IF(ROW()=2,"",B1742))</f>
      </c>
      <c r="C1743">
        <f>IF('R.M Billets Reports'!A1742="V.No.",'R.M Billets Reports'!B1742,IF(ROW()=2,"",C1742))</f>
      </c>
      <c r="D1743">
        <f>IF('R.M Billets Reports'!A1742&lt;&gt;"",'R.M Billets Reports'!A1742,IF(ROW()=2,"",D1742))</f>
      </c>
      <c r="E1743">
        <f>IF('R.M Billets Reports'!B1742="","",TRIM('R.M Billets Reports'!B1742))</f>
      </c>
      <c r="F1743">
        <f>'R.M Billets Reports'!C1742</f>
      </c>
      <c r="G1743">
        <f>'R.M Billets Reports'!D1742</f>
      </c>
      <c r="H1743">
        <f>'R.M Billets Reports'!E1742</f>
      </c>
      <c r="I1743">
        <f>'R.M Billets Reports'!F1742</f>
      </c>
      <c r="J1743">
        <f>'R.M Billets Reports'!G1742</f>
      </c>
      <c r="K1743">
        <f>'R.M Billets Reports'!H1742</f>
      </c>
      <c r="L1743">
        <f>IF('R.M Billets Reports'!I1742="","",'R.M Billets Reports'!I1742)</f>
      </c>
      <c r="M1743">
        <f t="shared" si="54"/>
      </c>
      <c r="N1743">
        <f>IF('R.M Billets Reports'!J1742="","",'R.M Billets Reports'!J1742)</f>
      </c>
      <c r="O1743">
        <f t="shared" si="55"/>
      </c>
      <c r="P1743">
        <f>IF('R.M Billets Reports'!A1742="SIZE",'R.M Billets Reports'!B1742,P1742)</f>
      </c>
    </row>
    <row r="1744" spans="1:16" x14ac:dyDescent="0.25">
      <c r="A1744">
        <f>IF(OR('R.M Billets Reports'!A1743="Date-",'R.M Billets Reports'!A1743="Date:-"),IF(IF(IF(ISNUMBER(SEARCH("Party Name:-",'R.M Billets Reports'!D1743)),TRIM('R.M Billets Reports'!F1743),IF(ISNUMBER(SEARCH("Party Name-",'R.M Billets Reports'!D1743)),TRIM(MID('R.M Billets Reports'!D1743,SEARCH("-",'R.M Billets Reports'!D1743)+1,200)),""))&lt;&gt;"",IF(ISNUMBER(SEARCH("Party Name:-",'R.M Billets Reports'!D1743)),TRIM('R.M Billets Reports'!F1743),IF(ISNUMBER(SEARCH("Party Name-",'R.M Billets Reports'!D1743)),TRIM(MID('R.M Billets Reports'!D1743,SEARCH("-",'R.M Billets Reports'!D1743)+1,200)),"")),IF(ISNUMBER(SEARCH("Party Name:-",'R.M Billets Reports'!D1744)),TRIM('R.M Billets Reports'!F1744),IF(ISNUMBER(SEARCH("Party Name-",'R.M Billets Reports'!D1744)),TRIM(MID('R.M Billets Reports'!D1744,SEARCH("-",'R.M Billets Reports'!D1744)+1,200)),"")))="VRKP ISPAT PVT LTD","VRKP",IF(IF(IF(ISNUMBER(SEARCH("Party Name:-",'R.M Billets Reports'!D1743)),TRIM('R.M Billets Reports'!F1743),IF(ISNUMBER(SEARCH("Party Name-",'R.M Billets Reports'!D1743)),TRIM(MID('R.M Billets Reports'!D1743,SEARCH("-",'R.M Billets Reports'!D1743)+1,200)),""))&lt;&gt;"",IF(ISNUMBER(SEARCH("Party Name:-",'R.M Billets Reports'!D1743)),TRIM('R.M Billets Reports'!F1743),IF(ISNUMBER(SEARCH("Party Name-",'R.M Billets Reports'!D1743)),TRIM(MID('R.M Billets Reports'!D1743,SEARCH("-",'R.M Billets Reports'!D1743)+1,200)),"")),IF(ISNUMBER(SEARCH("Party Name:-",'R.M Billets Reports'!D1744)),TRIM('R.M Billets Reports'!F1744),IF(ISNUMBER(SEARCH("Party Name-",'R.M Billets Reports'!D1744)),TRIM(MID('R.M Billets Reports'!D1744,SEARCH("-",'R.M Billets Reports'!D1744)+1,200)),"")))="SHRI RADHE","SHREE RADHE",IF(IF(IF(ISNUMBER(SEARCH("Party Name:-",'R.M Billets Reports'!D1743)),TRIM('R.M Billets Reports'!F1743),IF(ISNUMBER(SEARCH("Party Name-",'R.M Billets Reports'!D1743)),TRIM(MID('R.M Billets Reports'!D1743,SEARCH("-",'R.M Billets Reports'!D1743)+1,200)),""))&lt;&gt;"",IF(ISNUMBER(SEARCH("Party Name:-",'R.M Billets Reports'!D1743)),TRIM('R.M Billets Reports'!F1743),IF(ISNUMBER(SEARCH("Party Name-",'R.M Billets Reports'!D1743)),TRIM(MID('R.M Billets Reports'!D1743,SEARCH("-",'R.M Billets Reports'!D1743)+1,200)),"")),IF(ISNUMBER(SEARCH("Party Name:-",'R.M Billets Reports'!D1744)),TRIM('R.M Billets Reports'!F1744),IF(ISNUMBER(SEARCH("Party Name-",'R.M Billets Reports'!D1744)),TRIM(MID('R.M Billets Reports'!D1744,SEARCH("-",'R.M Billets Reports'!D1744)+1,200)),"")))="SHREE RADHE SHAKTI SPONGE AND POWER PVT. LTD.","SHREE RADHE",IF(IF(ISNUMBER(SEARCH("Party Name:-",'R.M Billets Reports'!D1743)),TRIM('R.M Billets Reports'!F1743),IF(ISNUMBER(SEARCH("Party Name-",'R.M Billets Reports'!D1743)),TRIM(MID('R.M Billets Reports'!D1743,SEARCH("-",'R.M Billets Reports'!D1743)+1,200)),""))&lt;&gt;"",IF(ISNUMBER(SEARCH("Party Name:-",'R.M Billets Reports'!D1743)),TRIM('R.M Billets Reports'!F1743),IF(ISNUMBER(SEARCH("Party Name-",'R.M Billets Reports'!D1743)),TRIM(MID('R.M Billets Reports'!D1743,SEARCH("-",'R.M Billets Reports'!D1743)+1,200)),"")),IF(ISNUMBER(SEARCH("Party Name:-",'R.M Billets Reports'!D1744)),TRIM('R.M Billets Reports'!F1744),IF(ISNUMBER(SEARCH("Party Name-",'R.M Billets Reports'!D1744)),TRIM(MID('R.M Billets Reports'!D1744,SEARCH("-",'R.M Billets Reports'!D1744)+1,200)),"")))))),IF(ROW()=2,"",A1743))</f>
      </c>
      <c r="B1744">
        <f>IF(OR('R.M Billets Reports'!A1743="Date-",'R.M Billets Reports'!A1743="Date:-"),'R.M Billets Reports'!B1743,IF(ROW()=2,"",B1743))</f>
      </c>
      <c r="C1744">
        <f>IF('R.M Billets Reports'!A1743="V.No.",'R.M Billets Reports'!B1743,IF(ROW()=2,"",C1743))</f>
      </c>
      <c r="D1744">
        <f>IF('R.M Billets Reports'!A1743&lt;&gt;"",'R.M Billets Reports'!A1743,IF(ROW()=2,"",D1743))</f>
      </c>
      <c r="E1744">
        <f>IF('R.M Billets Reports'!B1743="","",TRIM('R.M Billets Reports'!B1743))</f>
      </c>
      <c r="F1744">
        <f>'R.M Billets Reports'!C1743</f>
      </c>
      <c r="G1744">
        <f>'R.M Billets Reports'!D1743</f>
      </c>
      <c r="H1744">
        <f>'R.M Billets Reports'!E1743</f>
      </c>
      <c r="I1744">
        <f>'R.M Billets Reports'!F1743</f>
      </c>
      <c r="J1744">
        <f>'R.M Billets Reports'!G1743</f>
      </c>
      <c r="K1744">
        <f>'R.M Billets Reports'!H1743</f>
      </c>
      <c r="L1744">
        <f>IF('R.M Billets Reports'!I1743="","",'R.M Billets Reports'!I1743)</f>
      </c>
      <c r="M1744">
        <f t="shared" si="54"/>
      </c>
      <c r="N1744">
        <f>IF('R.M Billets Reports'!J1743="","",'R.M Billets Reports'!J1743)</f>
      </c>
      <c r="O1744">
        <f t="shared" si="55"/>
      </c>
      <c r="P1744">
        <f>IF('R.M Billets Reports'!A1743="SIZE",'R.M Billets Reports'!B1743,P1743)</f>
      </c>
    </row>
    <row r="1745" spans="1:16" x14ac:dyDescent="0.25">
      <c r="A1745">
        <f>IF(OR('R.M Billets Reports'!A1744="Date-",'R.M Billets Reports'!A1744="Date:-"),IF(IF(IF(ISNUMBER(SEARCH("Party Name:-",'R.M Billets Reports'!D1744)),TRIM('R.M Billets Reports'!F1744),IF(ISNUMBER(SEARCH("Party Name-",'R.M Billets Reports'!D1744)),TRIM(MID('R.M Billets Reports'!D1744,SEARCH("-",'R.M Billets Reports'!D1744)+1,200)),""))&lt;&gt;"",IF(ISNUMBER(SEARCH("Party Name:-",'R.M Billets Reports'!D1744)),TRIM('R.M Billets Reports'!F1744),IF(ISNUMBER(SEARCH("Party Name-",'R.M Billets Reports'!D1744)),TRIM(MID('R.M Billets Reports'!D1744,SEARCH("-",'R.M Billets Reports'!D1744)+1,200)),"")),IF(ISNUMBER(SEARCH("Party Name:-",'R.M Billets Reports'!D1745)),TRIM('R.M Billets Reports'!F1745),IF(ISNUMBER(SEARCH("Party Name-",'R.M Billets Reports'!D1745)),TRIM(MID('R.M Billets Reports'!D1745,SEARCH("-",'R.M Billets Reports'!D1745)+1,200)),"")))="VRKP ISPAT PVT LTD","VRKP",IF(IF(IF(ISNUMBER(SEARCH("Party Name:-",'R.M Billets Reports'!D1744)),TRIM('R.M Billets Reports'!F1744),IF(ISNUMBER(SEARCH("Party Name-",'R.M Billets Reports'!D1744)),TRIM(MID('R.M Billets Reports'!D1744,SEARCH("-",'R.M Billets Reports'!D1744)+1,200)),""))&lt;&gt;"",IF(ISNUMBER(SEARCH("Party Name:-",'R.M Billets Reports'!D1744)),TRIM('R.M Billets Reports'!F1744),IF(ISNUMBER(SEARCH("Party Name-",'R.M Billets Reports'!D1744)),TRIM(MID('R.M Billets Reports'!D1744,SEARCH("-",'R.M Billets Reports'!D1744)+1,200)),"")),IF(ISNUMBER(SEARCH("Party Name:-",'R.M Billets Reports'!D1745)),TRIM('R.M Billets Reports'!F1745),IF(ISNUMBER(SEARCH("Party Name-",'R.M Billets Reports'!D1745)),TRIM(MID('R.M Billets Reports'!D1745,SEARCH("-",'R.M Billets Reports'!D1745)+1,200)),"")))="SHRI RADHE","SHREE RADHE",IF(IF(IF(ISNUMBER(SEARCH("Party Name:-",'R.M Billets Reports'!D1744)),TRIM('R.M Billets Reports'!F1744),IF(ISNUMBER(SEARCH("Party Name-",'R.M Billets Reports'!D1744)),TRIM(MID('R.M Billets Reports'!D1744,SEARCH("-",'R.M Billets Reports'!D1744)+1,200)),""))&lt;&gt;"",IF(ISNUMBER(SEARCH("Party Name:-",'R.M Billets Reports'!D1744)),TRIM('R.M Billets Reports'!F1744),IF(ISNUMBER(SEARCH("Party Name-",'R.M Billets Reports'!D1744)),TRIM(MID('R.M Billets Reports'!D1744,SEARCH("-",'R.M Billets Reports'!D1744)+1,200)),"")),IF(ISNUMBER(SEARCH("Party Name:-",'R.M Billets Reports'!D1745)),TRIM('R.M Billets Reports'!F1745),IF(ISNUMBER(SEARCH("Party Name-",'R.M Billets Reports'!D1745)),TRIM(MID('R.M Billets Reports'!D1745,SEARCH("-",'R.M Billets Reports'!D1745)+1,200)),"")))="SHREE RADHE SHAKTI SPONGE AND POWER PVT. LTD.","SHREE RADHE",IF(IF(ISNUMBER(SEARCH("Party Name:-",'R.M Billets Reports'!D1744)),TRIM('R.M Billets Reports'!F1744),IF(ISNUMBER(SEARCH("Party Name-",'R.M Billets Reports'!D1744)),TRIM(MID('R.M Billets Reports'!D1744,SEARCH("-",'R.M Billets Reports'!D1744)+1,200)),""))&lt;&gt;"",IF(ISNUMBER(SEARCH("Party Name:-",'R.M Billets Reports'!D1744)),TRIM('R.M Billets Reports'!F1744),IF(ISNUMBER(SEARCH("Party Name-",'R.M Billets Reports'!D1744)),TRIM(MID('R.M Billets Reports'!D1744,SEARCH("-",'R.M Billets Reports'!D1744)+1,200)),"")),IF(ISNUMBER(SEARCH("Party Name:-",'R.M Billets Reports'!D1745)),TRIM('R.M Billets Reports'!F1745),IF(ISNUMBER(SEARCH("Party Name-",'R.M Billets Reports'!D1745)),TRIM(MID('R.M Billets Reports'!D1745,SEARCH("-",'R.M Billets Reports'!D1745)+1,200)),"")))))),IF(ROW()=2,"",A1744))</f>
      </c>
      <c r="B1745">
        <f>IF(OR('R.M Billets Reports'!A1744="Date-",'R.M Billets Reports'!A1744="Date:-"),'R.M Billets Reports'!B1744,IF(ROW()=2,"",B1744))</f>
      </c>
      <c r="C1745">
        <f>IF('R.M Billets Reports'!A1744="V.No.",'R.M Billets Reports'!B1744,IF(ROW()=2,"",C1744))</f>
      </c>
      <c r="D1745">
        <f>IF('R.M Billets Reports'!A1744&lt;&gt;"",'R.M Billets Reports'!A1744,IF(ROW()=2,"",D1744))</f>
      </c>
      <c r="E1745">
        <f>IF('R.M Billets Reports'!B1744="","",TRIM('R.M Billets Reports'!B1744))</f>
      </c>
      <c r="F1745">
        <f>'R.M Billets Reports'!C1744</f>
      </c>
      <c r="G1745">
        <f>'R.M Billets Reports'!D1744</f>
      </c>
      <c r="H1745">
        <f>'R.M Billets Reports'!E1744</f>
      </c>
      <c r="I1745">
        <f>'R.M Billets Reports'!F1744</f>
      </c>
      <c r="J1745">
        <f>'R.M Billets Reports'!G1744</f>
      </c>
      <c r="K1745">
        <f>'R.M Billets Reports'!H1744</f>
      </c>
      <c r="L1745">
        <f>IF('R.M Billets Reports'!I1744="","",'R.M Billets Reports'!I1744)</f>
      </c>
      <c r="M1745">
        <f t="shared" si="54"/>
      </c>
      <c r="N1745">
        <f>IF('R.M Billets Reports'!J1744="","",'R.M Billets Reports'!J1744)</f>
      </c>
      <c r="O1745">
        <f t="shared" si="55"/>
      </c>
      <c r="P1745">
        <f>IF('R.M Billets Reports'!A1744="SIZE",'R.M Billets Reports'!B1744,P1744)</f>
      </c>
    </row>
    <row r="1746" spans="1:16" x14ac:dyDescent="0.25">
      <c r="A1746">
        <f>IF(OR('R.M Billets Reports'!A1745="Date-",'R.M Billets Reports'!A1745="Date:-"),IF(IF(IF(ISNUMBER(SEARCH("Party Name:-",'R.M Billets Reports'!D1745)),TRIM('R.M Billets Reports'!F1745),IF(ISNUMBER(SEARCH("Party Name-",'R.M Billets Reports'!D1745)),TRIM(MID('R.M Billets Reports'!D1745,SEARCH("-",'R.M Billets Reports'!D1745)+1,200)),""))&lt;&gt;"",IF(ISNUMBER(SEARCH("Party Name:-",'R.M Billets Reports'!D1745)),TRIM('R.M Billets Reports'!F1745),IF(ISNUMBER(SEARCH("Party Name-",'R.M Billets Reports'!D1745)),TRIM(MID('R.M Billets Reports'!D1745,SEARCH("-",'R.M Billets Reports'!D1745)+1,200)),"")),IF(ISNUMBER(SEARCH("Party Name:-",'R.M Billets Reports'!D1746)),TRIM('R.M Billets Reports'!F1746),IF(ISNUMBER(SEARCH("Party Name-",'R.M Billets Reports'!D1746)),TRIM(MID('R.M Billets Reports'!D1746,SEARCH("-",'R.M Billets Reports'!D1746)+1,200)),"")))="VRKP ISPAT PVT LTD","VRKP",IF(IF(IF(ISNUMBER(SEARCH("Party Name:-",'R.M Billets Reports'!D1745)),TRIM('R.M Billets Reports'!F1745),IF(ISNUMBER(SEARCH("Party Name-",'R.M Billets Reports'!D1745)),TRIM(MID('R.M Billets Reports'!D1745,SEARCH("-",'R.M Billets Reports'!D1745)+1,200)),""))&lt;&gt;"",IF(ISNUMBER(SEARCH("Party Name:-",'R.M Billets Reports'!D1745)),TRIM('R.M Billets Reports'!F1745),IF(ISNUMBER(SEARCH("Party Name-",'R.M Billets Reports'!D1745)),TRIM(MID('R.M Billets Reports'!D1745,SEARCH("-",'R.M Billets Reports'!D1745)+1,200)),"")),IF(ISNUMBER(SEARCH("Party Name:-",'R.M Billets Reports'!D1746)),TRIM('R.M Billets Reports'!F1746),IF(ISNUMBER(SEARCH("Party Name-",'R.M Billets Reports'!D1746)),TRIM(MID('R.M Billets Reports'!D1746,SEARCH("-",'R.M Billets Reports'!D1746)+1,200)),"")))="SHRI RADHE","SHREE RADHE",IF(IF(IF(ISNUMBER(SEARCH("Party Name:-",'R.M Billets Reports'!D1745)),TRIM('R.M Billets Reports'!F1745),IF(ISNUMBER(SEARCH("Party Name-",'R.M Billets Reports'!D1745)),TRIM(MID('R.M Billets Reports'!D1745,SEARCH("-",'R.M Billets Reports'!D1745)+1,200)),""))&lt;&gt;"",IF(ISNUMBER(SEARCH("Party Name:-",'R.M Billets Reports'!D1745)),TRIM('R.M Billets Reports'!F1745),IF(ISNUMBER(SEARCH("Party Name-",'R.M Billets Reports'!D1745)),TRIM(MID('R.M Billets Reports'!D1745,SEARCH("-",'R.M Billets Reports'!D1745)+1,200)),"")),IF(ISNUMBER(SEARCH("Party Name:-",'R.M Billets Reports'!D1746)),TRIM('R.M Billets Reports'!F1746),IF(ISNUMBER(SEARCH("Party Name-",'R.M Billets Reports'!D1746)),TRIM(MID('R.M Billets Reports'!D1746,SEARCH("-",'R.M Billets Reports'!D1746)+1,200)),"")))="SHREE RADHE SHAKTI SPONGE AND POWER PVT. LTD.","SHREE RADHE",IF(IF(ISNUMBER(SEARCH("Party Name:-",'R.M Billets Reports'!D1745)),TRIM('R.M Billets Reports'!F1745),IF(ISNUMBER(SEARCH("Party Name-",'R.M Billets Reports'!D1745)),TRIM(MID('R.M Billets Reports'!D1745,SEARCH("-",'R.M Billets Reports'!D1745)+1,200)),""))&lt;&gt;"",IF(ISNUMBER(SEARCH("Party Name:-",'R.M Billets Reports'!D1745)),TRIM('R.M Billets Reports'!F1745),IF(ISNUMBER(SEARCH("Party Name-",'R.M Billets Reports'!D1745)),TRIM(MID('R.M Billets Reports'!D1745,SEARCH("-",'R.M Billets Reports'!D1745)+1,200)),"")),IF(ISNUMBER(SEARCH("Party Name:-",'R.M Billets Reports'!D1746)),TRIM('R.M Billets Reports'!F1746),IF(ISNUMBER(SEARCH("Party Name-",'R.M Billets Reports'!D1746)),TRIM(MID('R.M Billets Reports'!D1746,SEARCH("-",'R.M Billets Reports'!D1746)+1,200)),"")))))),IF(ROW()=2,"",A1745))</f>
      </c>
      <c r="B1746">
        <f>IF(OR('R.M Billets Reports'!A1745="Date-",'R.M Billets Reports'!A1745="Date:-"),'R.M Billets Reports'!B1745,IF(ROW()=2,"",B1745))</f>
      </c>
      <c r="C1746">
        <f>IF('R.M Billets Reports'!A1745="V.No.",'R.M Billets Reports'!B1745,IF(ROW()=2,"",C1745))</f>
      </c>
      <c r="D1746">
        <f>IF('R.M Billets Reports'!A1745&lt;&gt;"",'R.M Billets Reports'!A1745,IF(ROW()=2,"",D1745))</f>
      </c>
      <c r="E1746">
        <f>IF('R.M Billets Reports'!B1745="","",TRIM('R.M Billets Reports'!B1745))</f>
      </c>
      <c r="F1746">
        <f>'R.M Billets Reports'!C1745</f>
      </c>
      <c r="G1746">
        <f>'R.M Billets Reports'!D1745</f>
      </c>
      <c r="H1746">
        <f>'R.M Billets Reports'!E1745</f>
      </c>
      <c r="I1746">
        <f>'R.M Billets Reports'!F1745</f>
      </c>
      <c r="J1746">
        <f>'R.M Billets Reports'!G1745</f>
      </c>
      <c r="K1746">
        <f>'R.M Billets Reports'!H1745</f>
      </c>
      <c r="L1746">
        <f>IF('R.M Billets Reports'!I1745="","",'R.M Billets Reports'!I1745)</f>
      </c>
      <c r="M1746">
        <f t="shared" si="54"/>
      </c>
      <c r="N1746">
        <f>IF('R.M Billets Reports'!J1745="","",'R.M Billets Reports'!J1745)</f>
      </c>
      <c r="O1746">
        <f t="shared" si="55"/>
      </c>
      <c r="P1746">
        <f>IF('R.M Billets Reports'!A1745="SIZE",'R.M Billets Reports'!B1745,P1745)</f>
      </c>
    </row>
    <row r="1747" spans="1:16" x14ac:dyDescent="0.25">
      <c r="A1747">
        <f>IF(OR('R.M Billets Reports'!A1746="Date-",'R.M Billets Reports'!A1746="Date:-"),IF(IF(IF(ISNUMBER(SEARCH("Party Name:-",'R.M Billets Reports'!D1746)),TRIM('R.M Billets Reports'!F1746),IF(ISNUMBER(SEARCH("Party Name-",'R.M Billets Reports'!D1746)),TRIM(MID('R.M Billets Reports'!D1746,SEARCH("-",'R.M Billets Reports'!D1746)+1,200)),""))&lt;&gt;"",IF(ISNUMBER(SEARCH("Party Name:-",'R.M Billets Reports'!D1746)),TRIM('R.M Billets Reports'!F1746),IF(ISNUMBER(SEARCH("Party Name-",'R.M Billets Reports'!D1746)),TRIM(MID('R.M Billets Reports'!D1746,SEARCH("-",'R.M Billets Reports'!D1746)+1,200)),"")),IF(ISNUMBER(SEARCH("Party Name:-",'R.M Billets Reports'!D1747)),TRIM('R.M Billets Reports'!F1747),IF(ISNUMBER(SEARCH("Party Name-",'R.M Billets Reports'!D1747)),TRIM(MID('R.M Billets Reports'!D1747,SEARCH("-",'R.M Billets Reports'!D1747)+1,200)),"")))="VRKP ISPAT PVT LTD","VRKP",IF(IF(IF(ISNUMBER(SEARCH("Party Name:-",'R.M Billets Reports'!D1746)),TRIM('R.M Billets Reports'!F1746),IF(ISNUMBER(SEARCH("Party Name-",'R.M Billets Reports'!D1746)),TRIM(MID('R.M Billets Reports'!D1746,SEARCH("-",'R.M Billets Reports'!D1746)+1,200)),""))&lt;&gt;"",IF(ISNUMBER(SEARCH("Party Name:-",'R.M Billets Reports'!D1746)),TRIM('R.M Billets Reports'!F1746),IF(ISNUMBER(SEARCH("Party Name-",'R.M Billets Reports'!D1746)),TRIM(MID('R.M Billets Reports'!D1746,SEARCH("-",'R.M Billets Reports'!D1746)+1,200)),"")),IF(ISNUMBER(SEARCH("Party Name:-",'R.M Billets Reports'!D1747)),TRIM('R.M Billets Reports'!F1747),IF(ISNUMBER(SEARCH("Party Name-",'R.M Billets Reports'!D1747)),TRIM(MID('R.M Billets Reports'!D1747,SEARCH("-",'R.M Billets Reports'!D1747)+1,200)),"")))="SHRI RADHE","SHREE RADHE",IF(IF(IF(ISNUMBER(SEARCH("Party Name:-",'R.M Billets Reports'!D1746)),TRIM('R.M Billets Reports'!F1746),IF(ISNUMBER(SEARCH("Party Name-",'R.M Billets Reports'!D1746)),TRIM(MID('R.M Billets Reports'!D1746,SEARCH("-",'R.M Billets Reports'!D1746)+1,200)),""))&lt;&gt;"",IF(ISNUMBER(SEARCH("Party Name:-",'R.M Billets Reports'!D1746)),TRIM('R.M Billets Reports'!F1746),IF(ISNUMBER(SEARCH("Party Name-",'R.M Billets Reports'!D1746)),TRIM(MID('R.M Billets Reports'!D1746,SEARCH("-",'R.M Billets Reports'!D1746)+1,200)),"")),IF(ISNUMBER(SEARCH("Party Name:-",'R.M Billets Reports'!D1747)),TRIM('R.M Billets Reports'!F1747),IF(ISNUMBER(SEARCH("Party Name-",'R.M Billets Reports'!D1747)),TRIM(MID('R.M Billets Reports'!D1747,SEARCH("-",'R.M Billets Reports'!D1747)+1,200)),"")))="SHREE RADHE SHAKTI SPONGE AND POWER PVT. LTD.","SHREE RADHE",IF(IF(ISNUMBER(SEARCH("Party Name:-",'R.M Billets Reports'!D1746)),TRIM('R.M Billets Reports'!F1746),IF(ISNUMBER(SEARCH("Party Name-",'R.M Billets Reports'!D1746)),TRIM(MID('R.M Billets Reports'!D1746,SEARCH("-",'R.M Billets Reports'!D1746)+1,200)),""))&lt;&gt;"",IF(ISNUMBER(SEARCH("Party Name:-",'R.M Billets Reports'!D1746)),TRIM('R.M Billets Reports'!F1746),IF(ISNUMBER(SEARCH("Party Name-",'R.M Billets Reports'!D1746)),TRIM(MID('R.M Billets Reports'!D1746,SEARCH("-",'R.M Billets Reports'!D1746)+1,200)),"")),IF(ISNUMBER(SEARCH("Party Name:-",'R.M Billets Reports'!D1747)),TRIM('R.M Billets Reports'!F1747),IF(ISNUMBER(SEARCH("Party Name-",'R.M Billets Reports'!D1747)),TRIM(MID('R.M Billets Reports'!D1747,SEARCH("-",'R.M Billets Reports'!D1747)+1,200)),"")))))),IF(ROW()=2,"",A1746))</f>
      </c>
      <c r="B1747">
        <f>IF(OR('R.M Billets Reports'!A1746="Date-",'R.M Billets Reports'!A1746="Date:-"),'R.M Billets Reports'!B1746,IF(ROW()=2,"",B1746))</f>
      </c>
      <c r="C1747">
        <f>IF('R.M Billets Reports'!A1746="V.No.",'R.M Billets Reports'!B1746,IF(ROW()=2,"",C1746))</f>
      </c>
      <c r="D1747">
        <f>IF('R.M Billets Reports'!A1746&lt;&gt;"",'R.M Billets Reports'!A1746,IF(ROW()=2,"",D1746))</f>
      </c>
      <c r="E1747">
        <f>IF('R.M Billets Reports'!B1746="","",TRIM('R.M Billets Reports'!B1746))</f>
      </c>
      <c r="F1747">
        <f>'R.M Billets Reports'!C1746</f>
      </c>
      <c r="G1747">
        <f>'R.M Billets Reports'!D1746</f>
      </c>
      <c r="H1747">
        <f>'R.M Billets Reports'!E1746</f>
      </c>
      <c r="I1747">
        <f>'R.M Billets Reports'!F1746</f>
      </c>
      <c r="J1747">
        <f>'R.M Billets Reports'!G1746</f>
      </c>
      <c r="K1747">
        <f>'R.M Billets Reports'!H1746</f>
      </c>
      <c r="L1747">
        <f>IF('R.M Billets Reports'!I1746="","",'R.M Billets Reports'!I1746)</f>
      </c>
      <c r="M1747">
        <f t="shared" si="54"/>
      </c>
      <c r="N1747">
        <f>IF('R.M Billets Reports'!J1746="","",'R.M Billets Reports'!J1746)</f>
      </c>
      <c r="O1747">
        <f t="shared" si="55"/>
      </c>
      <c r="P1747">
        <f>IF('R.M Billets Reports'!A1746="SIZE",'R.M Billets Reports'!B1746,P1746)</f>
      </c>
    </row>
    <row r="1748" spans="1:16" x14ac:dyDescent="0.25">
      <c r="A1748">
        <f>IF(OR('R.M Billets Reports'!A1747="Date-",'R.M Billets Reports'!A1747="Date:-"),IF(IF(IF(ISNUMBER(SEARCH("Party Name:-",'R.M Billets Reports'!D1747)),TRIM('R.M Billets Reports'!F1747),IF(ISNUMBER(SEARCH("Party Name-",'R.M Billets Reports'!D1747)),TRIM(MID('R.M Billets Reports'!D1747,SEARCH("-",'R.M Billets Reports'!D1747)+1,200)),""))&lt;&gt;"",IF(ISNUMBER(SEARCH("Party Name:-",'R.M Billets Reports'!D1747)),TRIM('R.M Billets Reports'!F1747),IF(ISNUMBER(SEARCH("Party Name-",'R.M Billets Reports'!D1747)),TRIM(MID('R.M Billets Reports'!D1747,SEARCH("-",'R.M Billets Reports'!D1747)+1,200)),"")),IF(ISNUMBER(SEARCH("Party Name:-",'R.M Billets Reports'!D1748)),TRIM('R.M Billets Reports'!F1748),IF(ISNUMBER(SEARCH("Party Name-",'R.M Billets Reports'!D1748)),TRIM(MID('R.M Billets Reports'!D1748,SEARCH("-",'R.M Billets Reports'!D1748)+1,200)),"")))="VRKP ISPAT PVT LTD","VRKP",IF(IF(IF(ISNUMBER(SEARCH("Party Name:-",'R.M Billets Reports'!D1747)),TRIM('R.M Billets Reports'!F1747),IF(ISNUMBER(SEARCH("Party Name-",'R.M Billets Reports'!D1747)),TRIM(MID('R.M Billets Reports'!D1747,SEARCH("-",'R.M Billets Reports'!D1747)+1,200)),""))&lt;&gt;"",IF(ISNUMBER(SEARCH("Party Name:-",'R.M Billets Reports'!D1747)),TRIM('R.M Billets Reports'!F1747),IF(ISNUMBER(SEARCH("Party Name-",'R.M Billets Reports'!D1747)),TRIM(MID('R.M Billets Reports'!D1747,SEARCH("-",'R.M Billets Reports'!D1747)+1,200)),"")),IF(ISNUMBER(SEARCH("Party Name:-",'R.M Billets Reports'!D1748)),TRIM('R.M Billets Reports'!F1748),IF(ISNUMBER(SEARCH("Party Name-",'R.M Billets Reports'!D1748)),TRIM(MID('R.M Billets Reports'!D1748,SEARCH("-",'R.M Billets Reports'!D1748)+1,200)),"")))="SHRI RADHE","SHREE RADHE",IF(IF(IF(ISNUMBER(SEARCH("Party Name:-",'R.M Billets Reports'!D1747)),TRIM('R.M Billets Reports'!F1747),IF(ISNUMBER(SEARCH("Party Name-",'R.M Billets Reports'!D1747)),TRIM(MID('R.M Billets Reports'!D1747,SEARCH("-",'R.M Billets Reports'!D1747)+1,200)),""))&lt;&gt;"",IF(ISNUMBER(SEARCH("Party Name:-",'R.M Billets Reports'!D1747)),TRIM('R.M Billets Reports'!F1747),IF(ISNUMBER(SEARCH("Party Name-",'R.M Billets Reports'!D1747)),TRIM(MID('R.M Billets Reports'!D1747,SEARCH("-",'R.M Billets Reports'!D1747)+1,200)),"")),IF(ISNUMBER(SEARCH("Party Name:-",'R.M Billets Reports'!D1748)),TRIM('R.M Billets Reports'!F1748),IF(ISNUMBER(SEARCH("Party Name-",'R.M Billets Reports'!D1748)),TRIM(MID('R.M Billets Reports'!D1748,SEARCH("-",'R.M Billets Reports'!D1748)+1,200)),"")))="SHREE RADHE SHAKTI SPONGE AND POWER PVT. LTD.","SHREE RADHE",IF(IF(ISNUMBER(SEARCH("Party Name:-",'R.M Billets Reports'!D1747)),TRIM('R.M Billets Reports'!F1747),IF(ISNUMBER(SEARCH("Party Name-",'R.M Billets Reports'!D1747)),TRIM(MID('R.M Billets Reports'!D1747,SEARCH("-",'R.M Billets Reports'!D1747)+1,200)),""))&lt;&gt;"",IF(ISNUMBER(SEARCH("Party Name:-",'R.M Billets Reports'!D1747)),TRIM('R.M Billets Reports'!F1747),IF(ISNUMBER(SEARCH("Party Name-",'R.M Billets Reports'!D1747)),TRIM(MID('R.M Billets Reports'!D1747,SEARCH("-",'R.M Billets Reports'!D1747)+1,200)),"")),IF(ISNUMBER(SEARCH("Party Name:-",'R.M Billets Reports'!D1748)),TRIM('R.M Billets Reports'!F1748),IF(ISNUMBER(SEARCH("Party Name-",'R.M Billets Reports'!D1748)),TRIM(MID('R.M Billets Reports'!D1748,SEARCH("-",'R.M Billets Reports'!D1748)+1,200)),"")))))),IF(ROW()=2,"",A1747))</f>
      </c>
      <c r="B1748">
        <f>IF(OR('R.M Billets Reports'!A1747="Date-",'R.M Billets Reports'!A1747="Date:-"),'R.M Billets Reports'!B1747,IF(ROW()=2,"",B1747))</f>
      </c>
      <c r="C1748">
        <f>IF('R.M Billets Reports'!A1747="V.No.",'R.M Billets Reports'!B1747,IF(ROW()=2,"",C1747))</f>
      </c>
      <c r="D1748">
        <f>IF('R.M Billets Reports'!A1747&lt;&gt;"",'R.M Billets Reports'!A1747,IF(ROW()=2,"",D1747))</f>
      </c>
      <c r="E1748">
        <f>IF('R.M Billets Reports'!B1747="","",TRIM('R.M Billets Reports'!B1747))</f>
      </c>
      <c r="F1748">
        <f>'R.M Billets Reports'!C1747</f>
      </c>
      <c r="G1748">
        <f>'R.M Billets Reports'!D1747</f>
      </c>
      <c r="H1748">
        <f>'R.M Billets Reports'!E1747</f>
      </c>
      <c r="I1748">
        <f>'R.M Billets Reports'!F1747</f>
      </c>
      <c r="J1748">
        <f>'R.M Billets Reports'!G1747</f>
      </c>
      <c r="K1748">
        <f>'R.M Billets Reports'!H1747</f>
      </c>
      <c r="L1748">
        <f>IF('R.M Billets Reports'!I1747="","",'R.M Billets Reports'!I1747)</f>
      </c>
      <c r="M1748">
        <f t="shared" si="54"/>
      </c>
      <c r="N1748">
        <f>IF('R.M Billets Reports'!J1747="","",'R.M Billets Reports'!J1747)</f>
      </c>
      <c r="O1748">
        <f t="shared" si="55"/>
      </c>
      <c r="P1748">
        <f>IF('R.M Billets Reports'!A1747="SIZE",'R.M Billets Reports'!B1747,P1747)</f>
      </c>
    </row>
    <row r="1749" spans="1:16" x14ac:dyDescent="0.25">
      <c r="A1749">
        <f>IF(OR('R.M Billets Reports'!A1748="Date-",'R.M Billets Reports'!A1748="Date:-"),IF(IF(IF(ISNUMBER(SEARCH("Party Name:-",'R.M Billets Reports'!D1748)),TRIM('R.M Billets Reports'!F1748),IF(ISNUMBER(SEARCH("Party Name-",'R.M Billets Reports'!D1748)),TRIM(MID('R.M Billets Reports'!D1748,SEARCH("-",'R.M Billets Reports'!D1748)+1,200)),""))&lt;&gt;"",IF(ISNUMBER(SEARCH("Party Name:-",'R.M Billets Reports'!D1748)),TRIM('R.M Billets Reports'!F1748),IF(ISNUMBER(SEARCH("Party Name-",'R.M Billets Reports'!D1748)),TRIM(MID('R.M Billets Reports'!D1748,SEARCH("-",'R.M Billets Reports'!D1748)+1,200)),"")),IF(ISNUMBER(SEARCH("Party Name:-",'R.M Billets Reports'!D1749)),TRIM('R.M Billets Reports'!F1749),IF(ISNUMBER(SEARCH("Party Name-",'R.M Billets Reports'!D1749)),TRIM(MID('R.M Billets Reports'!D1749,SEARCH("-",'R.M Billets Reports'!D1749)+1,200)),"")))="VRKP ISPAT PVT LTD","VRKP",IF(IF(IF(ISNUMBER(SEARCH("Party Name:-",'R.M Billets Reports'!D1748)),TRIM('R.M Billets Reports'!F1748),IF(ISNUMBER(SEARCH("Party Name-",'R.M Billets Reports'!D1748)),TRIM(MID('R.M Billets Reports'!D1748,SEARCH("-",'R.M Billets Reports'!D1748)+1,200)),""))&lt;&gt;"",IF(ISNUMBER(SEARCH("Party Name:-",'R.M Billets Reports'!D1748)),TRIM('R.M Billets Reports'!F1748),IF(ISNUMBER(SEARCH("Party Name-",'R.M Billets Reports'!D1748)),TRIM(MID('R.M Billets Reports'!D1748,SEARCH("-",'R.M Billets Reports'!D1748)+1,200)),"")),IF(ISNUMBER(SEARCH("Party Name:-",'R.M Billets Reports'!D1749)),TRIM('R.M Billets Reports'!F1749),IF(ISNUMBER(SEARCH("Party Name-",'R.M Billets Reports'!D1749)),TRIM(MID('R.M Billets Reports'!D1749,SEARCH("-",'R.M Billets Reports'!D1749)+1,200)),"")))="SHRI RADHE","SHREE RADHE",IF(IF(IF(ISNUMBER(SEARCH("Party Name:-",'R.M Billets Reports'!D1748)),TRIM('R.M Billets Reports'!F1748),IF(ISNUMBER(SEARCH("Party Name-",'R.M Billets Reports'!D1748)),TRIM(MID('R.M Billets Reports'!D1748,SEARCH("-",'R.M Billets Reports'!D1748)+1,200)),""))&lt;&gt;"",IF(ISNUMBER(SEARCH("Party Name:-",'R.M Billets Reports'!D1748)),TRIM('R.M Billets Reports'!F1748),IF(ISNUMBER(SEARCH("Party Name-",'R.M Billets Reports'!D1748)),TRIM(MID('R.M Billets Reports'!D1748,SEARCH("-",'R.M Billets Reports'!D1748)+1,200)),"")),IF(ISNUMBER(SEARCH("Party Name:-",'R.M Billets Reports'!D1749)),TRIM('R.M Billets Reports'!F1749),IF(ISNUMBER(SEARCH("Party Name-",'R.M Billets Reports'!D1749)),TRIM(MID('R.M Billets Reports'!D1749,SEARCH("-",'R.M Billets Reports'!D1749)+1,200)),"")))="SHREE RADHE SHAKTI SPONGE AND POWER PVT. LTD.","SHREE RADHE",IF(IF(ISNUMBER(SEARCH("Party Name:-",'R.M Billets Reports'!D1748)),TRIM('R.M Billets Reports'!F1748),IF(ISNUMBER(SEARCH("Party Name-",'R.M Billets Reports'!D1748)),TRIM(MID('R.M Billets Reports'!D1748,SEARCH("-",'R.M Billets Reports'!D1748)+1,200)),""))&lt;&gt;"",IF(ISNUMBER(SEARCH("Party Name:-",'R.M Billets Reports'!D1748)),TRIM('R.M Billets Reports'!F1748),IF(ISNUMBER(SEARCH("Party Name-",'R.M Billets Reports'!D1748)),TRIM(MID('R.M Billets Reports'!D1748,SEARCH("-",'R.M Billets Reports'!D1748)+1,200)),"")),IF(ISNUMBER(SEARCH("Party Name:-",'R.M Billets Reports'!D1749)),TRIM('R.M Billets Reports'!F1749),IF(ISNUMBER(SEARCH("Party Name-",'R.M Billets Reports'!D1749)),TRIM(MID('R.M Billets Reports'!D1749,SEARCH("-",'R.M Billets Reports'!D1749)+1,200)),"")))))),IF(ROW()=2,"",A1748))</f>
      </c>
      <c r="B1749">
        <f>IF(OR('R.M Billets Reports'!A1748="Date-",'R.M Billets Reports'!A1748="Date:-"),'R.M Billets Reports'!B1748,IF(ROW()=2,"",B1748))</f>
      </c>
      <c r="C1749">
        <f>IF('R.M Billets Reports'!A1748="V.No.",'R.M Billets Reports'!B1748,IF(ROW()=2,"",C1748))</f>
      </c>
      <c r="D1749">
        <f>IF('R.M Billets Reports'!A1748&lt;&gt;"",'R.M Billets Reports'!A1748,IF(ROW()=2,"",D1748))</f>
      </c>
      <c r="E1749">
        <f>IF('R.M Billets Reports'!B1748="","",TRIM('R.M Billets Reports'!B1748))</f>
      </c>
      <c r="F1749">
        <f>'R.M Billets Reports'!C1748</f>
      </c>
      <c r="G1749">
        <f>'R.M Billets Reports'!D1748</f>
      </c>
      <c r="H1749">
        <f>'R.M Billets Reports'!E1748</f>
      </c>
      <c r="I1749">
        <f>'R.M Billets Reports'!F1748</f>
      </c>
      <c r="J1749">
        <f>'R.M Billets Reports'!G1748</f>
      </c>
      <c r="K1749">
        <f>'R.M Billets Reports'!H1748</f>
      </c>
      <c r="L1749">
        <f>IF('R.M Billets Reports'!I1748="","",'R.M Billets Reports'!I1748)</f>
      </c>
      <c r="M1749">
        <f t="shared" si="54"/>
      </c>
      <c r="N1749">
        <f>IF('R.M Billets Reports'!J1748="","",'R.M Billets Reports'!J1748)</f>
      </c>
      <c r="O1749">
        <f t="shared" si="55"/>
      </c>
      <c r="P1749">
        <f>IF('R.M Billets Reports'!A1748="SIZE",'R.M Billets Reports'!B1748,P1748)</f>
      </c>
    </row>
    <row r="1750" spans="1:16" x14ac:dyDescent="0.25">
      <c r="A1750">
        <f>IF(OR('R.M Billets Reports'!A1749="Date-",'R.M Billets Reports'!A1749="Date:-"),IF(IF(IF(ISNUMBER(SEARCH("Party Name:-",'R.M Billets Reports'!D1749)),TRIM('R.M Billets Reports'!F1749),IF(ISNUMBER(SEARCH("Party Name-",'R.M Billets Reports'!D1749)),TRIM(MID('R.M Billets Reports'!D1749,SEARCH("-",'R.M Billets Reports'!D1749)+1,200)),""))&lt;&gt;"",IF(ISNUMBER(SEARCH("Party Name:-",'R.M Billets Reports'!D1749)),TRIM('R.M Billets Reports'!F1749),IF(ISNUMBER(SEARCH("Party Name-",'R.M Billets Reports'!D1749)),TRIM(MID('R.M Billets Reports'!D1749,SEARCH("-",'R.M Billets Reports'!D1749)+1,200)),"")),IF(ISNUMBER(SEARCH("Party Name:-",'R.M Billets Reports'!D1750)),TRIM('R.M Billets Reports'!F1750),IF(ISNUMBER(SEARCH("Party Name-",'R.M Billets Reports'!D1750)),TRIM(MID('R.M Billets Reports'!D1750,SEARCH("-",'R.M Billets Reports'!D1750)+1,200)),"")))="VRKP ISPAT PVT LTD","VRKP",IF(IF(IF(ISNUMBER(SEARCH("Party Name:-",'R.M Billets Reports'!D1749)),TRIM('R.M Billets Reports'!F1749),IF(ISNUMBER(SEARCH("Party Name-",'R.M Billets Reports'!D1749)),TRIM(MID('R.M Billets Reports'!D1749,SEARCH("-",'R.M Billets Reports'!D1749)+1,200)),""))&lt;&gt;"",IF(ISNUMBER(SEARCH("Party Name:-",'R.M Billets Reports'!D1749)),TRIM('R.M Billets Reports'!F1749),IF(ISNUMBER(SEARCH("Party Name-",'R.M Billets Reports'!D1749)),TRIM(MID('R.M Billets Reports'!D1749,SEARCH("-",'R.M Billets Reports'!D1749)+1,200)),"")),IF(ISNUMBER(SEARCH("Party Name:-",'R.M Billets Reports'!D1750)),TRIM('R.M Billets Reports'!F1750),IF(ISNUMBER(SEARCH("Party Name-",'R.M Billets Reports'!D1750)),TRIM(MID('R.M Billets Reports'!D1750,SEARCH("-",'R.M Billets Reports'!D1750)+1,200)),"")))="SHRI RADHE","SHREE RADHE",IF(IF(IF(ISNUMBER(SEARCH("Party Name:-",'R.M Billets Reports'!D1749)),TRIM('R.M Billets Reports'!F1749),IF(ISNUMBER(SEARCH("Party Name-",'R.M Billets Reports'!D1749)),TRIM(MID('R.M Billets Reports'!D1749,SEARCH("-",'R.M Billets Reports'!D1749)+1,200)),""))&lt;&gt;"",IF(ISNUMBER(SEARCH("Party Name:-",'R.M Billets Reports'!D1749)),TRIM('R.M Billets Reports'!F1749),IF(ISNUMBER(SEARCH("Party Name-",'R.M Billets Reports'!D1749)),TRIM(MID('R.M Billets Reports'!D1749,SEARCH("-",'R.M Billets Reports'!D1749)+1,200)),"")),IF(ISNUMBER(SEARCH("Party Name:-",'R.M Billets Reports'!D1750)),TRIM('R.M Billets Reports'!F1750),IF(ISNUMBER(SEARCH("Party Name-",'R.M Billets Reports'!D1750)),TRIM(MID('R.M Billets Reports'!D1750,SEARCH("-",'R.M Billets Reports'!D1750)+1,200)),"")))="SHREE RADHE SHAKTI SPONGE AND POWER PVT. LTD.","SHREE RADHE",IF(IF(ISNUMBER(SEARCH("Party Name:-",'R.M Billets Reports'!D1749)),TRIM('R.M Billets Reports'!F1749),IF(ISNUMBER(SEARCH("Party Name-",'R.M Billets Reports'!D1749)),TRIM(MID('R.M Billets Reports'!D1749,SEARCH("-",'R.M Billets Reports'!D1749)+1,200)),""))&lt;&gt;"",IF(ISNUMBER(SEARCH("Party Name:-",'R.M Billets Reports'!D1749)),TRIM('R.M Billets Reports'!F1749),IF(ISNUMBER(SEARCH("Party Name-",'R.M Billets Reports'!D1749)),TRIM(MID('R.M Billets Reports'!D1749,SEARCH("-",'R.M Billets Reports'!D1749)+1,200)),"")),IF(ISNUMBER(SEARCH("Party Name:-",'R.M Billets Reports'!D1750)),TRIM('R.M Billets Reports'!F1750),IF(ISNUMBER(SEARCH("Party Name-",'R.M Billets Reports'!D1750)),TRIM(MID('R.M Billets Reports'!D1750,SEARCH("-",'R.M Billets Reports'!D1750)+1,200)),"")))))),IF(ROW()=2,"",A1749))</f>
      </c>
      <c r="B1750">
        <f>IF(OR('R.M Billets Reports'!A1749="Date-",'R.M Billets Reports'!A1749="Date:-"),'R.M Billets Reports'!B1749,IF(ROW()=2,"",B1749))</f>
      </c>
      <c r="C1750">
        <f>IF('R.M Billets Reports'!A1749="V.No.",'R.M Billets Reports'!B1749,IF(ROW()=2,"",C1749))</f>
      </c>
      <c r="D1750">
        <f>IF('R.M Billets Reports'!A1749&lt;&gt;"",'R.M Billets Reports'!A1749,IF(ROW()=2,"",D1749))</f>
      </c>
      <c r="E1750">
        <f>IF('R.M Billets Reports'!B1749="","",TRIM('R.M Billets Reports'!B1749))</f>
      </c>
      <c r="F1750">
        <f>'R.M Billets Reports'!C1749</f>
      </c>
      <c r="G1750">
        <f>'R.M Billets Reports'!D1749</f>
      </c>
      <c r="H1750">
        <f>'R.M Billets Reports'!E1749</f>
      </c>
      <c r="I1750">
        <f>'R.M Billets Reports'!F1749</f>
      </c>
      <c r="J1750">
        <f>'R.M Billets Reports'!G1749</f>
      </c>
      <c r="K1750">
        <f>'R.M Billets Reports'!H1749</f>
      </c>
      <c r="L1750">
        <f>IF('R.M Billets Reports'!I1749="","",'R.M Billets Reports'!I1749)</f>
      </c>
      <c r="M1750">
        <f t="shared" si="54"/>
      </c>
      <c r="N1750">
        <f>IF('R.M Billets Reports'!J1749="","",'R.M Billets Reports'!J1749)</f>
      </c>
      <c r="O1750">
        <f t="shared" si="55"/>
      </c>
      <c r="P1750">
        <f>IF('R.M Billets Reports'!A1749="SIZE",'R.M Billets Reports'!B1749,P1749)</f>
      </c>
    </row>
    <row r="1751" spans="1:16" x14ac:dyDescent="0.25">
      <c r="A1751">
        <f>IF(OR('R.M Billets Reports'!A1750="Date-",'R.M Billets Reports'!A1750="Date:-"),IF(IF(IF(ISNUMBER(SEARCH("Party Name:-",'R.M Billets Reports'!D1750)),TRIM('R.M Billets Reports'!F1750),IF(ISNUMBER(SEARCH("Party Name-",'R.M Billets Reports'!D1750)),TRIM(MID('R.M Billets Reports'!D1750,SEARCH("-",'R.M Billets Reports'!D1750)+1,200)),""))&lt;&gt;"",IF(ISNUMBER(SEARCH("Party Name:-",'R.M Billets Reports'!D1750)),TRIM('R.M Billets Reports'!F1750),IF(ISNUMBER(SEARCH("Party Name-",'R.M Billets Reports'!D1750)),TRIM(MID('R.M Billets Reports'!D1750,SEARCH("-",'R.M Billets Reports'!D1750)+1,200)),"")),IF(ISNUMBER(SEARCH("Party Name:-",'R.M Billets Reports'!D1751)),TRIM('R.M Billets Reports'!F1751),IF(ISNUMBER(SEARCH("Party Name-",'R.M Billets Reports'!D1751)),TRIM(MID('R.M Billets Reports'!D1751,SEARCH("-",'R.M Billets Reports'!D1751)+1,200)),"")))="VRKP ISPAT PVT LTD","VRKP",IF(IF(IF(ISNUMBER(SEARCH("Party Name:-",'R.M Billets Reports'!D1750)),TRIM('R.M Billets Reports'!F1750),IF(ISNUMBER(SEARCH("Party Name-",'R.M Billets Reports'!D1750)),TRIM(MID('R.M Billets Reports'!D1750,SEARCH("-",'R.M Billets Reports'!D1750)+1,200)),""))&lt;&gt;"",IF(ISNUMBER(SEARCH("Party Name:-",'R.M Billets Reports'!D1750)),TRIM('R.M Billets Reports'!F1750),IF(ISNUMBER(SEARCH("Party Name-",'R.M Billets Reports'!D1750)),TRIM(MID('R.M Billets Reports'!D1750,SEARCH("-",'R.M Billets Reports'!D1750)+1,200)),"")),IF(ISNUMBER(SEARCH("Party Name:-",'R.M Billets Reports'!D1751)),TRIM('R.M Billets Reports'!F1751),IF(ISNUMBER(SEARCH("Party Name-",'R.M Billets Reports'!D1751)),TRIM(MID('R.M Billets Reports'!D1751,SEARCH("-",'R.M Billets Reports'!D1751)+1,200)),"")))="SHRI RADHE","SHREE RADHE",IF(IF(IF(ISNUMBER(SEARCH("Party Name:-",'R.M Billets Reports'!D1750)),TRIM('R.M Billets Reports'!F1750),IF(ISNUMBER(SEARCH("Party Name-",'R.M Billets Reports'!D1750)),TRIM(MID('R.M Billets Reports'!D1750,SEARCH("-",'R.M Billets Reports'!D1750)+1,200)),""))&lt;&gt;"",IF(ISNUMBER(SEARCH("Party Name:-",'R.M Billets Reports'!D1750)),TRIM('R.M Billets Reports'!F1750),IF(ISNUMBER(SEARCH("Party Name-",'R.M Billets Reports'!D1750)),TRIM(MID('R.M Billets Reports'!D1750,SEARCH("-",'R.M Billets Reports'!D1750)+1,200)),"")),IF(ISNUMBER(SEARCH("Party Name:-",'R.M Billets Reports'!D1751)),TRIM('R.M Billets Reports'!F1751),IF(ISNUMBER(SEARCH("Party Name-",'R.M Billets Reports'!D1751)),TRIM(MID('R.M Billets Reports'!D1751,SEARCH("-",'R.M Billets Reports'!D1751)+1,200)),"")))="SHREE RADHE SHAKTI SPONGE AND POWER PVT. LTD.","SHREE RADHE",IF(IF(ISNUMBER(SEARCH("Party Name:-",'R.M Billets Reports'!D1750)),TRIM('R.M Billets Reports'!F1750),IF(ISNUMBER(SEARCH("Party Name-",'R.M Billets Reports'!D1750)),TRIM(MID('R.M Billets Reports'!D1750,SEARCH("-",'R.M Billets Reports'!D1750)+1,200)),""))&lt;&gt;"",IF(ISNUMBER(SEARCH("Party Name:-",'R.M Billets Reports'!D1750)),TRIM('R.M Billets Reports'!F1750),IF(ISNUMBER(SEARCH("Party Name-",'R.M Billets Reports'!D1750)),TRIM(MID('R.M Billets Reports'!D1750,SEARCH("-",'R.M Billets Reports'!D1750)+1,200)),"")),IF(ISNUMBER(SEARCH("Party Name:-",'R.M Billets Reports'!D1751)),TRIM('R.M Billets Reports'!F1751),IF(ISNUMBER(SEARCH("Party Name-",'R.M Billets Reports'!D1751)),TRIM(MID('R.M Billets Reports'!D1751,SEARCH("-",'R.M Billets Reports'!D1751)+1,200)),"")))))),IF(ROW()=2,"",A1750))</f>
      </c>
      <c r="B1751">
        <f>IF(OR('R.M Billets Reports'!A1750="Date-",'R.M Billets Reports'!A1750="Date:-"),'R.M Billets Reports'!B1750,IF(ROW()=2,"",B1750))</f>
      </c>
      <c r="C1751">
        <f>IF('R.M Billets Reports'!A1750="V.No.",'R.M Billets Reports'!B1750,IF(ROW()=2,"",C1750))</f>
      </c>
      <c r="D1751">
        <f>IF('R.M Billets Reports'!A1750&lt;&gt;"",'R.M Billets Reports'!A1750,IF(ROW()=2,"",D1750))</f>
      </c>
      <c r="E1751">
        <f>IF('R.M Billets Reports'!B1750="","",TRIM('R.M Billets Reports'!B1750))</f>
      </c>
      <c r="F1751">
        <f>'R.M Billets Reports'!C1750</f>
      </c>
      <c r="G1751">
        <f>'R.M Billets Reports'!D1750</f>
      </c>
      <c r="H1751">
        <f>'R.M Billets Reports'!E1750</f>
      </c>
      <c r="I1751">
        <f>'R.M Billets Reports'!F1750</f>
      </c>
      <c r="J1751">
        <f>'R.M Billets Reports'!G1750</f>
      </c>
      <c r="K1751">
        <f>'R.M Billets Reports'!H1750</f>
      </c>
      <c r="L1751">
        <f>IF('R.M Billets Reports'!I1750="","",'R.M Billets Reports'!I1750)</f>
      </c>
      <c r="M1751">
        <f t="shared" si="54"/>
      </c>
      <c r="N1751">
        <f>IF('R.M Billets Reports'!J1750="","",'R.M Billets Reports'!J1750)</f>
      </c>
      <c r="O1751">
        <f t="shared" si="55"/>
      </c>
      <c r="P1751">
        <f>IF('R.M Billets Reports'!A1750="SIZE",'R.M Billets Reports'!B1750,P1750)</f>
      </c>
    </row>
    <row r="1752" spans="1:16" x14ac:dyDescent="0.25">
      <c r="A1752">
        <f>IF(OR('R.M Billets Reports'!A1751="Date-",'R.M Billets Reports'!A1751="Date:-"),IF(IF(IF(ISNUMBER(SEARCH("Party Name:-",'R.M Billets Reports'!D1751)),TRIM('R.M Billets Reports'!F1751),IF(ISNUMBER(SEARCH("Party Name-",'R.M Billets Reports'!D1751)),TRIM(MID('R.M Billets Reports'!D1751,SEARCH("-",'R.M Billets Reports'!D1751)+1,200)),""))&lt;&gt;"",IF(ISNUMBER(SEARCH("Party Name:-",'R.M Billets Reports'!D1751)),TRIM('R.M Billets Reports'!F1751),IF(ISNUMBER(SEARCH("Party Name-",'R.M Billets Reports'!D1751)),TRIM(MID('R.M Billets Reports'!D1751,SEARCH("-",'R.M Billets Reports'!D1751)+1,200)),"")),IF(ISNUMBER(SEARCH("Party Name:-",'R.M Billets Reports'!D1752)),TRIM('R.M Billets Reports'!F1752),IF(ISNUMBER(SEARCH("Party Name-",'R.M Billets Reports'!D1752)),TRIM(MID('R.M Billets Reports'!D1752,SEARCH("-",'R.M Billets Reports'!D1752)+1,200)),"")))="VRKP ISPAT PVT LTD","VRKP",IF(IF(IF(ISNUMBER(SEARCH("Party Name:-",'R.M Billets Reports'!D1751)),TRIM('R.M Billets Reports'!F1751),IF(ISNUMBER(SEARCH("Party Name-",'R.M Billets Reports'!D1751)),TRIM(MID('R.M Billets Reports'!D1751,SEARCH("-",'R.M Billets Reports'!D1751)+1,200)),""))&lt;&gt;"",IF(ISNUMBER(SEARCH("Party Name:-",'R.M Billets Reports'!D1751)),TRIM('R.M Billets Reports'!F1751),IF(ISNUMBER(SEARCH("Party Name-",'R.M Billets Reports'!D1751)),TRIM(MID('R.M Billets Reports'!D1751,SEARCH("-",'R.M Billets Reports'!D1751)+1,200)),"")),IF(ISNUMBER(SEARCH("Party Name:-",'R.M Billets Reports'!D1752)),TRIM('R.M Billets Reports'!F1752),IF(ISNUMBER(SEARCH("Party Name-",'R.M Billets Reports'!D1752)),TRIM(MID('R.M Billets Reports'!D1752,SEARCH("-",'R.M Billets Reports'!D1752)+1,200)),"")))="SHRI RADHE","SHREE RADHE",IF(IF(IF(ISNUMBER(SEARCH("Party Name:-",'R.M Billets Reports'!D1751)),TRIM('R.M Billets Reports'!F1751),IF(ISNUMBER(SEARCH("Party Name-",'R.M Billets Reports'!D1751)),TRIM(MID('R.M Billets Reports'!D1751,SEARCH("-",'R.M Billets Reports'!D1751)+1,200)),""))&lt;&gt;"",IF(ISNUMBER(SEARCH("Party Name:-",'R.M Billets Reports'!D1751)),TRIM('R.M Billets Reports'!F1751),IF(ISNUMBER(SEARCH("Party Name-",'R.M Billets Reports'!D1751)),TRIM(MID('R.M Billets Reports'!D1751,SEARCH("-",'R.M Billets Reports'!D1751)+1,200)),"")),IF(ISNUMBER(SEARCH("Party Name:-",'R.M Billets Reports'!D1752)),TRIM('R.M Billets Reports'!F1752),IF(ISNUMBER(SEARCH("Party Name-",'R.M Billets Reports'!D1752)),TRIM(MID('R.M Billets Reports'!D1752,SEARCH("-",'R.M Billets Reports'!D1752)+1,200)),"")))="SHREE RADHE SHAKTI SPONGE AND POWER PVT. LTD.","SHREE RADHE",IF(IF(ISNUMBER(SEARCH("Party Name:-",'R.M Billets Reports'!D1751)),TRIM('R.M Billets Reports'!F1751),IF(ISNUMBER(SEARCH("Party Name-",'R.M Billets Reports'!D1751)),TRIM(MID('R.M Billets Reports'!D1751,SEARCH("-",'R.M Billets Reports'!D1751)+1,200)),""))&lt;&gt;"",IF(ISNUMBER(SEARCH("Party Name:-",'R.M Billets Reports'!D1751)),TRIM('R.M Billets Reports'!F1751),IF(ISNUMBER(SEARCH("Party Name-",'R.M Billets Reports'!D1751)),TRIM(MID('R.M Billets Reports'!D1751,SEARCH("-",'R.M Billets Reports'!D1751)+1,200)),"")),IF(ISNUMBER(SEARCH("Party Name:-",'R.M Billets Reports'!D1752)),TRIM('R.M Billets Reports'!F1752),IF(ISNUMBER(SEARCH("Party Name-",'R.M Billets Reports'!D1752)),TRIM(MID('R.M Billets Reports'!D1752,SEARCH("-",'R.M Billets Reports'!D1752)+1,200)),"")))))),IF(ROW()=2,"",A1751))</f>
      </c>
      <c r="B1752">
        <f>IF(OR('R.M Billets Reports'!A1751="Date-",'R.M Billets Reports'!A1751="Date:-"),'R.M Billets Reports'!B1751,IF(ROW()=2,"",B1751))</f>
      </c>
      <c r="C1752">
        <f>IF('R.M Billets Reports'!A1751="V.No.",'R.M Billets Reports'!B1751,IF(ROW()=2,"",C1751))</f>
      </c>
      <c r="D1752">
        <f>IF('R.M Billets Reports'!A1751&lt;&gt;"",'R.M Billets Reports'!A1751,IF(ROW()=2,"",D1751))</f>
      </c>
      <c r="E1752">
        <f>IF('R.M Billets Reports'!B1751="","",TRIM('R.M Billets Reports'!B1751))</f>
      </c>
      <c r="F1752">
        <f>'R.M Billets Reports'!C1751</f>
      </c>
      <c r="G1752">
        <f>'R.M Billets Reports'!D1751</f>
      </c>
      <c r="H1752">
        <f>'R.M Billets Reports'!E1751</f>
      </c>
      <c r="I1752">
        <f>'R.M Billets Reports'!F1751</f>
      </c>
      <c r="J1752">
        <f>'R.M Billets Reports'!G1751</f>
      </c>
      <c r="K1752">
        <f>'R.M Billets Reports'!H1751</f>
      </c>
      <c r="L1752">
        <f>IF('R.M Billets Reports'!I1751="","",'R.M Billets Reports'!I1751)</f>
      </c>
      <c r="M1752">
        <f t="shared" si="54"/>
      </c>
      <c r="N1752">
        <f>IF('R.M Billets Reports'!J1751="","",'R.M Billets Reports'!J1751)</f>
      </c>
      <c r="O1752">
        <f t="shared" si="55"/>
      </c>
      <c r="P1752">
        <f>IF('R.M Billets Reports'!A1751="SIZE",'R.M Billets Reports'!B1751,P1751)</f>
      </c>
    </row>
    <row r="1753" spans="1:16" x14ac:dyDescent="0.25">
      <c r="A1753">
        <f>IF(OR('R.M Billets Reports'!A1752="Date-",'R.M Billets Reports'!A1752="Date:-"),IF(IF(IF(ISNUMBER(SEARCH("Party Name:-",'R.M Billets Reports'!D1752)),TRIM('R.M Billets Reports'!F1752),IF(ISNUMBER(SEARCH("Party Name-",'R.M Billets Reports'!D1752)),TRIM(MID('R.M Billets Reports'!D1752,SEARCH("-",'R.M Billets Reports'!D1752)+1,200)),""))&lt;&gt;"",IF(ISNUMBER(SEARCH("Party Name:-",'R.M Billets Reports'!D1752)),TRIM('R.M Billets Reports'!F1752),IF(ISNUMBER(SEARCH("Party Name-",'R.M Billets Reports'!D1752)),TRIM(MID('R.M Billets Reports'!D1752,SEARCH("-",'R.M Billets Reports'!D1752)+1,200)),"")),IF(ISNUMBER(SEARCH("Party Name:-",'R.M Billets Reports'!D1753)),TRIM('R.M Billets Reports'!F1753),IF(ISNUMBER(SEARCH("Party Name-",'R.M Billets Reports'!D1753)),TRIM(MID('R.M Billets Reports'!D1753,SEARCH("-",'R.M Billets Reports'!D1753)+1,200)),"")))="VRKP ISPAT PVT LTD","VRKP",IF(IF(IF(ISNUMBER(SEARCH("Party Name:-",'R.M Billets Reports'!D1752)),TRIM('R.M Billets Reports'!F1752),IF(ISNUMBER(SEARCH("Party Name-",'R.M Billets Reports'!D1752)),TRIM(MID('R.M Billets Reports'!D1752,SEARCH("-",'R.M Billets Reports'!D1752)+1,200)),""))&lt;&gt;"",IF(ISNUMBER(SEARCH("Party Name:-",'R.M Billets Reports'!D1752)),TRIM('R.M Billets Reports'!F1752),IF(ISNUMBER(SEARCH("Party Name-",'R.M Billets Reports'!D1752)),TRIM(MID('R.M Billets Reports'!D1752,SEARCH("-",'R.M Billets Reports'!D1752)+1,200)),"")),IF(ISNUMBER(SEARCH("Party Name:-",'R.M Billets Reports'!D1753)),TRIM('R.M Billets Reports'!F1753),IF(ISNUMBER(SEARCH("Party Name-",'R.M Billets Reports'!D1753)),TRIM(MID('R.M Billets Reports'!D1753,SEARCH("-",'R.M Billets Reports'!D1753)+1,200)),"")))="SHRI RADHE","SHREE RADHE",IF(IF(IF(ISNUMBER(SEARCH("Party Name:-",'R.M Billets Reports'!D1752)),TRIM('R.M Billets Reports'!F1752),IF(ISNUMBER(SEARCH("Party Name-",'R.M Billets Reports'!D1752)),TRIM(MID('R.M Billets Reports'!D1752,SEARCH("-",'R.M Billets Reports'!D1752)+1,200)),""))&lt;&gt;"",IF(ISNUMBER(SEARCH("Party Name:-",'R.M Billets Reports'!D1752)),TRIM('R.M Billets Reports'!F1752),IF(ISNUMBER(SEARCH("Party Name-",'R.M Billets Reports'!D1752)),TRIM(MID('R.M Billets Reports'!D1752,SEARCH("-",'R.M Billets Reports'!D1752)+1,200)),"")),IF(ISNUMBER(SEARCH("Party Name:-",'R.M Billets Reports'!D1753)),TRIM('R.M Billets Reports'!F1753),IF(ISNUMBER(SEARCH("Party Name-",'R.M Billets Reports'!D1753)),TRIM(MID('R.M Billets Reports'!D1753,SEARCH("-",'R.M Billets Reports'!D1753)+1,200)),"")))="SHREE RADHE SHAKTI SPONGE AND POWER PVT. LTD.","SHREE RADHE",IF(IF(ISNUMBER(SEARCH("Party Name:-",'R.M Billets Reports'!D1752)),TRIM('R.M Billets Reports'!F1752),IF(ISNUMBER(SEARCH("Party Name-",'R.M Billets Reports'!D1752)),TRIM(MID('R.M Billets Reports'!D1752,SEARCH("-",'R.M Billets Reports'!D1752)+1,200)),""))&lt;&gt;"",IF(ISNUMBER(SEARCH("Party Name:-",'R.M Billets Reports'!D1752)),TRIM('R.M Billets Reports'!F1752),IF(ISNUMBER(SEARCH("Party Name-",'R.M Billets Reports'!D1752)),TRIM(MID('R.M Billets Reports'!D1752,SEARCH("-",'R.M Billets Reports'!D1752)+1,200)),"")),IF(ISNUMBER(SEARCH("Party Name:-",'R.M Billets Reports'!D1753)),TRIM('R.M Billets Reports'!F1753),IF(ISNUMBER(SEARCH("Party Name-",'R.M Billets Reports'!D1753)),TRIM(MID('R.M Billets Reports'!D1753,SEARCH("-",'R.M Billets Reports'!D1753)+1,200)),"")))))),IF(ROW()=2,"",A1752))</f>
      </c>
      <c r="B1753">
        <f>IF(OR('R.M Billets Reports'!A1752="Date-",'R.M Billets Reports'!A1752="Date:-"),'R.M Billets Reports'!B1752,IF(ROW()=2,"",B1752))</f>
      </c>
      <c r="C1753">
        <f>IF('R.M Billets Reports'!A1752="V.No.",'R.M Billets Reports'!B1752,IF(ROW()=2,"",C1752))</f>
      </c>
      <c r="D1753">
        <f>IF('R.M Billets Reports'!A1752&lt;&gt;"",'R.M Billets Reports'!A1752,IF(ROW()=2,"",D1752))</f>
      </c>
      <c r="E1753">
        <f>IF('R.M Billets Reports'!B1752="","",TRIM('R.M Billets Reports'!B1752))</f>
      </c>
      <c r="F1753">
        <f>'R.M Billets Reports'!C1752</f>
      </c>
      <c r="G1753">
        <f>'R.M Billets Reports'!D1752</f>
      </c>
      <c r="H1753">
        <f>'R.M Billets Reports'!E1752</f>
      </c>
      <c r="I1753">
        <f>'R.M Billets Reports'!F1752</f>
      </c>
      <c r="J1753">
        <f>'R.M Billets Reports'!G1752</f>
      </c>
      <c r="K1753">
        <f>'R.M Billets Reports'!H1752</f>
      </c>
      <c r="L1753">
        <f>IF('R.M Billets Reports'!I1752="","",'R.M Billets Reports'!I1752)</f>
      </c>
      <c r="M1753">
        <f t="shared" si="54"/>
      </c>
      <c r="N1753">
        <f>IF('R.M Billets Reports'!J1752="","",'R.M Billets Reports'!J1752)</f>
      </c>
      <c r="O1753">
        <f t="shared" si="55"/>
      </c>
      <c r="P1753">
        <f>IF('R.M Billets Reports'!A1752="SIZE",'R.M Billets Reports'!B1752,P1752)</f>
      </c>
    </row>
    <row r="1754" spans="1:16" x14ac:dyDescent="0.25">
      <c r="A1754">
        <f>IF(OR('R.M Billets Reports'!A1753="Date-",'R.M Billets Reports'!A1753="Date:-"),IF(IF(IF(ISNUMBER(SEARCH("Party Name:-",'R.M Billets Reports'!D1753)),TRIM('R.M Billets Reports'!F1753),IF(ISNUMBER(SEARCH("Party Name-",'R.M Billets Reports'!D1753)),TRIM(MID('R.M Billets Reports'!D1753,SEARCH("-",'R.M Billets Reports'!D1753)+1,200)),""))&lt;&gt;"",IF(ISNUMBER(SEARCH("Party Name:-",'R.M Billets Reports'!D1753)),TRIM('R.M Billets Reports'!F1753),IF(ISNUMBER(SEARCH("Party Name-",'R.M Billets Reports'!D1753)),TRIM(MID('R.M Billets Reports'!D1753,SEARCH("-",'R.M Billets Reports'!D1753)+1,200)),"")),IF(ISNUMBER(SEARCH("Party Name:-",'R.M Billets Reports'!D1754)),TRIM('R.M Billets Reports'!F1754),IF(ISNUMBER(SEARCH("Party Name-",'R.M Billets Reports'!D1754)),TRIM(MID('R.M Billets Reports'!D1754,SEARCH("-",'R.M Billets Reports'!D1754)+1,200)),"")))="VRKP ISPAT PVT LTD","VRKP",IF(IF(IF(ISNUMBER(SEARCH("Party Name:-",'R.M Billets Reports'!D1753)),TRIM('R.M Billets Reports'!F1753),IF(ISNUMBER(SEARCH("Party Name-",'R.M Billets Reports'!D1753)),TRIM(MID('R.M Billets Reports'!D1753,SEARCH("-",'R.M Billets Reports'!D1753)+1,200)),""))&lt;&gt;"",IF(ISNUMBER(SEARCH("Party Name:-",'R.M Billets Reports'!D1753)),TRIM('R.M Billets Reports'!F1753),IF(ISNUMBER(SEARCH("Party Name-",'R.M Billets Reports'!D1753)),TRIM(MID('R.M Billets Reports'!D1753,SEARCH("-",'R.M Billets Reports'!D1753)+1,200)),"")),IF(ISNUMBER(SEARCH("Party Name:-",'R.M Billets Reports'!D1754)),TRIM('R.M Billets Reports'!F1754),IF(ISNUMBER(SEARCH("Party Name-",'R.M Billets Reports'!D1754)),TRIM(MID('R.M Billets Reports'!D1754,SEARCH("-",'R.M Billets Reports'!D1754)+1,200)),"")))="SHRI RADHE","SHREE RADHE",IF(IF(IF(ISNUMBER(SEARCH("Party Name:-",'R.M Billets Reports'!D1753)),TRIM('R.M Billets Reports'!F1753),IF(ISNUMBER(SEARCH("Party Name-",'R.M Billets Reports'!D1753)),TRIM(MID('R.M Billets Reports'!D1753,SEARCH("-",'R.M Billets Reports'!D1753)+1,200)),""))&lt;&gt;"",IF(ISNUMBER(SEARCH("Party Name:-",'R.M Billets Reports'!D1753)),TRIM('R.M Billets Reports'!F1753),IF(ISNUMBER(SEARCH("Party Name-",'R.M Billets Reports'!D1753)),TRIM(MID('R.M Billets Reports'!D1753,SEARCH("-",'R.M Billets Reports'!D1753)+1,200)),"")),IF(ISNUMBER(SEARCH("Party Name:-",'R.M Billets Reports'!D1754)),TRIM('R.M Billets Reports'!F1754),IF(ISNUMBER(SEARCH("Party Name-",'R.M Billets Reports'!D1754)),TRIM(MID('R.M Billets Reports'!D1754,SEARCH("-",'R.M Billets Reports'!D1754)+1,200)),"")))="SHREE RADHE SHAKTI SPONGE AND POWER PVT. LTD.","SHREE RADHE",IF(IF(ISNUMBER(SEARCH("Party Name:-",'R.M Billets Reports'!D1753)),TRIM('R.M Billets Reports'!F1753),IF(ISNUMBER(SEARCH("Party Name-",'R.M Billets Reports'!D1753)),TRIM(MID('R.M Billets Reports'!D1753,SEARCH("-",'R.M Billets Reports'!D1753)+1,200)),""))&lt;&gt;"",IF(ISNUMBER(SEARCH("Party Name:-",'R.M Billets Reports'!D1753)),TRIM('R.M Billets Reports'!F1753),IF(ISNUMBER(SEARCH("Party Name-",'R.M Billets Reports'!D1753)),TRIM(MID('R.M Billets Reports'!D1753,SEARCH("-",'R.M Billets Reports'!D1753)+1,200)),"")),IF(ISNUMBER(SEARCH("Party Name:-",'R.M Billets Reports'!D1754)),TRIM('R.M Billets Reports'!F1754),IF(ISNUMBER(SEARCH("Party Name-",'R.M Billets Reports'!D1754)),TRIM(MID('R.M Billets Reports'!D1754,SEARCH("-",'R.M Billets Reports'!D1754)+1,200)),"")))))),IF(ROW()=2,"",A1753))</f>
      </c>
      <c r="B1754">
        <f>IF(OR('R.M Billets Reports'!A1753="Date-",'R.M Billets Reports'!A1753="Date:-"),'R.M Billets Reports'!B1753,IF(ROW()=2,"",B1753))</f>
      </c>
      <c r="C1754">
        <f>IF('R.M Billets Reports'!A1753="V.No.",'R.M Billets Reports'!B1753,IF(ROW()=2,"",C1753))</f>
      </c>
      <c r="D1754">
        <f>IF('R.M Billets Reports'!A1753&lt;&gt;"",'R.M Billets Reports'!A1753,IF(ROW()=2,"",D1753))</f>
      </c>
      <c r="E1754">
        <f>IF('R.M Billets Reports'!B1753="","",TRIM('R.M Billets Reports'!B1753))</f>
      </c>
      <c r="F1754">
        <f>'R.M Billets Reports'!C1753</f>
      </c>
      <c r="G1754">
        <f>'R.M Billets Reports'!D1753</f>
      </c>
      <c r="H1754">
        <f>'R.M Billets Reports'!E1753</f>
      </c>
      <c r="I1754">
        <f>'R.M Billets Reports'!F1753</f>
      </c>
      <c r="J1754">
        <f>'R.M Billets Reports'!G1753</f>
      </c>
      <c r="K1754">
        <f>'R.M Billets Reports'!H1753</f>
      </c>
      <c r="L1754">
        <f>IF('R.M Billets Reports'!I1753="","",'R.M Billets Reports'!I1753)</f>
      </c>
      <c r="M1754">
        <f t="shared" si="54"/>
      </c>
      <c r="N1754">
        <f>IF('R.M Billets Reports'!J1753="","",'R.M Billets Reports'!J1753)</f>
      </c>
      <c r="O1754">
        <f t="shared" si="55"/>
      </c>
      <c r="P1754">
        <f>IF('R.M Billets Reports'!A1753="SIZE",'R.M Billets Reports'!B1753,P1753)</f>
      </c>
    </row>
    <row r="1755" spans="1:16" x14ac:dyDescent="0.25">
      <c r="A1755">
        <f>IF(OR('R.M Billets Reports'!A1754="Date-",'R.M Billets Reports'!A1754="Date:-"),IF(IF(IF(ISNUMBER(SEARCH("Party Name:-",'R.M Billets Reports'!D1754)),TRIM('R.M Billets Reports'!F1754),IF(ISNUMBER(SEARCH("Party Name-",'R.M Billets Reports'!D1754)),TRIM(MID('R.M Billets Reports'!D1754,SEARCH("-",'R.M Billets Reports'!D1754)+1,200)),""))&lt;&gt;"",IF(ISNUMBER(SEARCH("Party Name:-",'R.M Billets Reports'!D1754)),TRIM('R.M Billets Reports'!F1754),IF(ISNUMBER(SEARCH("Party Name-",'R.M Billets Reports'!D1754)),TRIM(MID('R.M Billets Reports'!D1754,SEARCH("-",'R.M Billets Reports'!D1754)+1,200)),"")),IF(ISNUMBER(SEARCH("Party Name:-",'R.M Billets Reports'!D1755)),TRIM('R.M Billets Reports'!F1755),IF(ISNUMBER(SEARCH("Party Name-",'R.M Billets Reports'!D1755)),TRIM(MID('R.M Billets Reports'!D1755,SEARCH("-",'R.M Billets Reports'!D1755)+1,200)),"")))="VRKP ISPAT PVT LTD","VRKP",IF(IF(IF(ISNUMBER(SEARCH("Party Name:-",'R.M Billets Reports'!D1754)),TRIM('R.M Billets Reports'!F1754),IF(ISNUMBER(SEARCH("Party Name-",'R.M Billets Reports'!D1754)),TRIM(MID('R.M Billets Reports'!D1754,SEARCH("-",'R.M Billets Reports'!D1754)+1,200)),""))&lt;&gt;"",IF(ISNUMBER(SEARCH("Party Name:-",'R.M Billets Reports'!D1754)),TRIM('R.M Billets Reports'!F1754),IF(ISNUMBER(SEARCH("Party Name-",'R.M Billets Reports'!D1754)),TRIM(MID('R.M Billets Reports'!D1754,SEARCH("-",'R.M Billets Reports'!D1754)+1,200)),"")),IF(ISNUMBER(SEARCH("Party Name:-",'R.M Billets Reports'!D1755)),TRIM('R.M Billets Reports'!F1755),IF(ISNUMBER(SEARCH("Party Name-",'R.M Billets Reports'!D1755)),TRIM(MID('R.M Billets Reports'!D1755,SEARCH("-",'R.M Billets Reports'!D1755)+1,200)),"")))="SHRI RADHE","SHREE RADHE",IF(IF(IF(ISNUMBER(SEARCH("Party Name:-",'R.M Billets Reports'!D1754)),TRIM('R.M Billets Reports'!F1754),IF(ISNUMBER(SEARCH("Party Name-",'R.M Billets Reports'!D1754)),TRIM(MID('R.M Billets Reports'!D1754,SEARCH("-",'R.M Billets Reports'!D1754)+1,200)),""))&lt;&gt;"",IF(ISNUMBER(SEARCH("Party Name:-",'R.M Billets Reports'!D1754)),TRIM('R.M Billets Reports'!F1754),IF(ISNUMBER(SEARCH("Party Name-",'R.M Billets Reports'!D1754)),TRIM(MID('R.M Billets Reports'!D1754,SEARCH("-",'R.M Billets Reports'!D1754)+1,200)),"")),IF(ISNUMBER(SEARCH("Party Name:-",'R.M Billets Reports'!D1755)),TRIM('R.M Billets Reports'!F1755),IF(ISNUMBER(SEARCH("Party Name-",'R.M Billets Reports'!D1755)),TRIM(MID('R.M Billets Reports'!D1755,SEARCH("-",'R.M Billets Reports'!D1755)+1,200)),"")))="SHREE RADHE SHAKTI SPONGE AND POWER PVT. LTD.","SHREE RADHE",IF(IF(ISNUMBER(SEARCH("Party Name:-",'R.M Billets Reports'!D1754)),TRIM('R.M Billets Reports'!F1754),IF(ISNUMBER(SEARCH("Party Name-",'R.M Billets Reports'!D1754)),TRIM(MID('R.M Billets Reports'!D1754,SEARCH("-",'R.M Billets Reports'!D1754)+1,200)),""))&lt;&gt;"",IF(ISNUMBER(SEARCH("Party Name:-",'R.M Billets Reports'!D1754)),TRIM('R.M Billets Reports'!F1754),IF(ISNUMBER(SEARCH("Party Name-",'R.M Billets Reports'!D1754)),TRIM(MID('R.M Billets Reports'!D1754,SEARCH("-",'R.M Billets Reports'!D1754)+1,200)),"")),IF(ISNUMBER(SEARCH("Party Name:-",'R.M Billets Reports'!D1755)),TRIM('R.M Billets Reports'!F1755),IF(ISNUMBER(SEARCH("Party Name-",'R.M Billets Reports'!D1755)),TRIM(MID('R.M Billets Reports'!D1755,SEARCH("-",'R.M Billets Reports'!D1755)+1,200)),"")))))),IF(ROW()=2,"",A1754))</f>
      </c>
      <c r="B1755">
        <f>IF(OR('R.M Billets Reports'!A1754="Date-",'R.M Billets Reports'!A1754="Date:-"),'R.M Billets Reports'!B1754,IF(ROW()=2,"",B1754))</f>
      </c>
      <c r="C1755">
        <f>IF('R.M Billets Reports'!A1754="V.No.",'R.M Billets Reports'!B1754,IF(ROW()=2,"",C1754))</f>
      </c>
      <c r="D1755">
        <f>IF('R.M Billets Reports'!A1754&lt;&gt;"",'R.M Billets Reports'!A1754,IF(ROW()=2,"",D1754))</f>
      </c>
      <c r="E1755">
        <f>IF('R.M Billets Reports'!B1754="","",TRIM('R.M Billets Reports'!B1754))</f>
      </c>
      <c r="F1755">
        <f>'R.M Billets Reports'!C1754</f>
      </c>
      <c r="G1755">
        <f>'R.M Billets Reports'!D1754</f>
      </c>
      <c r="H1755">
        <f>'R.M Billets Reports'!E1754</f>
      </c>
      <c r="I1755">
        <f>'R.M Billets Reports'!F1754</f>
      </c>
      <c r="J1755">
        <f>'R.M Billets Reports'!G1754</f>
      </c>
      <c r="K1755">
        <f>'R.M Billets Reports'!H1754</f>
      </c>
      <c r="L1755">
        <f>IF('R.M Billets Reports'!I1754="","",'R.M Billets Reports'!I1754)</f>
      </c>
      <c r="M1755">
        <f t="shared" si="54"/>
      </c>
      <c r="N1755">
        <f>IF('R.M Billets Reports'!J1754="","",'R.M Billets Reports'!J1754)</f>
      </c>
      <c r="O1755">
        <f t="shared" si="55"/>
      </c>
      <c r="P1755">
        <f>IF('R.M Billets Reports'!A1754="SIZE",'R.M Billets Reports'!B1754,P1754)</f>
      </c>
    </row>
    <row r="1756" spans="1:16" x14ac:dyDescent="0.25">
      <c r="A1756">
        <f>IF(OR('R.M Billets Reports'!A1755="Date-",'R.M Billets Reports'!A1755="Date:-"),IF(IF(IF(ISNUMBER(SEARCH("Party Name:-",'R.M Billets Reports'!D1755)),TRIM('R.M Billets Reports'!F1755),IF(ISNUMBER(SEARCH("Party Name-",'R.M Billets Reports'!D1755)),TRIM(MID('R.M Billets Reports'!D1755,SEARCH("-",'R.M Billets Reports'!D1755)+1,200)),""))&lt;&gt;"",IF(ISNUMBER(SEARCH("Party Name:-",'R.M Billets Reports'!D1755)),TRIM('R.M Billets Reports'!F1755),IF(ISNUMBER(SEARCH("Party Name-",'R.M Billets Reports'!D1755)),TRIM(MID('R.M Billets Reports'!D1755,SEARCH("-",'R.M Billets Reports'!D1755)+1,200)),"")),IF(ISNUMBER(SEARCH("Party Name:-",'R.M Billets Reports'!D1756)),TRIM('R.M Billets Reports'!F1756),IF(ISNUMBER(SEARCH("Party Name-",'R.M Billets Reports'!D1756)),TRIM(MID('R.M Billets Reports'!D1756,SEARCH("-",'R.M Billets Reports'!D1756)+1,200)),"")))="VRKP ISPAT PVT LTD","VRKP",IF(IF(IF(ISNUMBER(SEARCH("Party Name:-",'R.M Billets Reports'!D1755)),TRIM('R.M Billets Reports'!F1755),IF(ISNUMBER(SEARCH("Party Name-",'R.M Billets Reports'!D1755)),TRIM(MID('R.M Billets Reports'!D1755,SEARCH("-",'R.M Billets Reports'!D1755)+1,200)),""))&lt;&gt;"",IF(ISNUMBER(SEARCH("Party Name:-",'R.M Billets Reports'!D1755)),TRIM('R.M Billets Reports'!F1755),IF(ISNUMBER(SEARCH("Party Name-",'R.M Billets Reports'!D1755)),TRIM(MID('R.M Billets Reports'!D1755,SEARCH("-",'R.M Billets Reports'!D1755)+1,200)),"")),IF(ISNUMBER(SEARCH("Party Name:-",'R.M Billets Reports'!D1756)),TRIM('R.M Billets Reports'!F1756),IF(ISNUMBER(SEARCH("Party Name-",'R.M Billets Reports'!D1756)),TRIM(MID('R.M Billets Reports'!D1756,SEARCH("-",'R.M Billets Reports'!D1756)+1,200)),"")))="SHRI RADHE","SHREE RADHE",IF(IF(IF(ISNUMBER(SEARCH("Party Name:-",'R.M Billets Reports'!D1755)),TRIM('R.M Billets Reports'!F1755),IF(ISNUMBER(SEARCH("Party Name-",'R.M Billets Reports'!D1755)),TRIM(MID('R.M Billets Reports'!D1755,SEARCH("-",'R.M Billets Reports'!D1755)+1,200)),""))&lt;&gt;"",IF(ISNUMBER(SEARCH("Party Name:-",'R.M Billets Reports'!D1755)),TRIM('R.M Billets Reports'!F1755),IF(ISNUMBER(SEARCH("Party Name-",'R.M Billets Reports'!D1755)),TRIM(MID('R.M Billets Reports'!D1755,SEARCH("-",'R.M Billets Reports'!D1755)+1,200)),"")),IF(ISNUMBER(SEARCH("Party Name:-",'R.M Billets Reports'!D1756)),TRIM('R.M Billets Reports'!F1756),IF(ISNUMBER(SEARCH("Party Name-",'R.M Billets Reports'!D1756)),TRIM(MID('R.M Billets Reports'!D1756,SEARCH("-",'R.M Billets Reports'!D1756)+1,200)),"")))="SHREE RADHE SHAKTI SPONGE AND POWER PVT. LTD.","SHREE RADHE",IF(IF(ISNUMBER(SEARCH("Party Name:-",'R.M Billets Reports'!D1755)),TRIM('R.M Billets Reports'!F1755),IF(ISNUMBER(SEARCH("Party Name-",'R.M Billets Reports'!D1755)),TRIM(MID('R.M Billets Reports'!D1755,SEARCH("-",'R.M Billets Reports'!D1755)+1,200)),""))&lt;&gt;"",IF(ISNUMBER(SEARCH("Party Name:-",'R.M Billets Reports'!D1755)),TRIM('R.M Billets Reports'!F1755),IF(ISNUMBER(SEARCH("Party Name-",'R.M Billets Reports'!D1755)),TRIM(MID('R.M Billets Reports'!D1755,SEARCH("-",'R.M Billets Reports'!D1755)+1,200)),"")),IF(ISNUMBER(SEARCH("Party Name:-",'R.M Billets Reports'!D1756)),TRIM('R.M Billets Reports'!F1756),IF(ISNUMBER(SEARCH("Party Name-",'R.M Billets Reports'!D1756)),TRIM(MID('R.M Billets Reports'!D1756,SEARCH("-",'R.M Billets Reports'!D1756)+1,200)),"")))))),IF(ROW()=2,"",A1755))</f>
      </c>
      <c r="B1756">
        <f>IF(OR('R.M Billets Reports'!A1755="Date-",'R.M Billets Reports'!A1755="Date:-"),'R.M Billets Reports'!B1755,IF(ROW()=2,"",B1755))</f>
      </c>
      <c r="C1756">
        <f>IF('R.M Billets Reports'!A1755="V.No.",'R.M Billets Reports'!B1755,IF(ROW()=2,"",C1755))</f>
      </c>
      <c r="D1756">
        <f>IF('R.M Billets Reports'!A1755&lt;&gt;"",'R.M Billets Reports'!A1755,IF(ROW()=2,"",D1755))</f>
      </c>
      <c r="E1756">
        <f>IF('R.M Billets Reports'!B1755="","",TRIM('R.M Billets Reports'!B1755))</f>
      </c>
      <c r="F1756">
        <f>'R.M Billets Reports'!C1755</f>
      </c>
      <c r="G1756">
        <f>'R.M Billets Reports'!D1755</f>
      </c>
      <c r="H1756">
        <f>'R.M Billets Reports'!E1755</f>
      </c>
      <c r="I1756">
        <f>'R.M Billets Reports'!F1755</f>
      </c>
      <c r="J1756">
        <f>'R.M Billets Reports'!G1755</f>
      </c>
      <c r="K1756">
        <f>'R.M Billets Reports'!H1755</f>
      </c>
      <c r="L1756">
        <f>IF('R.M Billets Reports'!I1755="","",'R.M Billets Reports'!I1755)</f>
      </c>
      <c r="M1756">
        <f t="shared" si="54"/>
      </c>
      <c r="N1756">
        <f>IF('R.M Billets Reports'!J1755="","",'R.M Billets Reports'!J1755)</f>
      </c>
      <c r="O1756">
        <f t="shared" si="55"/>
      </c>
      <c r="P1756">
        <f>IF('R.M Billets Reports'!A1755="SIZE",'R.M Billets Reports'!B1755,P1755)</f>
      </c>
    </row>
    <row r="1757" spans="1:16" x14ac:dyDescent="0.25">
      <c r="A1757">
        <f>IF(OR('R.M Billets Reports'!A1756="Date-",'R.M Billets Reports'!A1756="Date:-"),IF(IF(IF(ISNUMBER(SEARCH("Party Name:-",'R.M Billets Reports'!D1756)),TRIM('R.M Billets Reports'!F1756),IF(ISNUMBER(SEARCH("Party Name-",'R.M Billets Reports'!D1756)),TRIM(MID('R.M Billets Reports'!D1756,SEARCH("-",'R.M Billets Reports'!D1756)+1,200)),""))&lt;&gt;"",IF(ISNUMBER(SEARCH("Party Name:-",'R.M Billets Reports'!D1756)),TRIM('R.M Billets Reports'!F1756),IF(ISNUMBER(SEARCH("Party Name-",'R.M Billets Reports'!D1756)),TRIM(MID('R.M Billets Reports'!D1756,SEARCH("-",'R.M Billets Reports'!D1756)+1,200)),"")),IF(ISNUMBER(SEARCH("Party Name:-",'R.M Billets Reports'!D1757)),TRIM('R.M Billets Reports'!F1757),IF(ISNUMBER(SEARCH("Party Name-",'R.M Billets Reports'!D1757)),TRIM(MID('R.M Billets Reports'!D1757,SEARCH("-",'R.M Billets Reports'!D1757)+1,200)),"")))="VRKP ISPAT PVT LTD","VRKP",IF(IF(IF(ISNUMBER(SEARCH("Party Name:-",'R.M Billets Reports'!D1756)),TRIM('R.M Billets Reports'!F1756),IF(ISNUMBER(SEARCH("Party Name-",'R.M Billets Reports'!D1756)),TRIM(MID('R.M Billets Reports'!D1756,SEARCH("-",'R.M Billets Reports'!D1756)+1,200)),""))&lt;&gt;"",IF(ISNUMBER(SEARCH("Party Name:-",'R.M Billets Reports'!D1756)),TRIM('R.M Billets Reports'!F1756),IF(ISNUMBER(SEARCH("Party Name-",'R.M Billets Reports'!D1756)),TRIM(MID('R.M Billets Reports'!D1756,SEARCH("-",'R.M Billets Reports'!D1756)+1,200)),"")),IF(ISNUMBER(SEARCH("Party Name:-",'R.M Billets Reports'!D1757)),TRIM('R.M Billets Reports'!F1757),IF(ISNUMBER(SEARCH("Party Name-",'R.M Billets Reports'!D1757)),TRIM(MID('R.M Billets Reports'!D1757,SEARCH("-",'R.M Billets Reports'!D1757)+1,200)),"")))="SHRI RADHE","SHREE RADHE",IF(IF(IF(ISNUMBER(SEARCH("Party Name:-",'R.M Billets Reports'!D1756)),TRIM('R.M Billets Reports'!F1756),IF(ISNUMBER(SEARCH("Party Name-",'R.M Billets Reports'!D1756)),TRIM(MID('R.M Billets Reports'!D1756,SEARCH("-",'R.M Billets Reports'!D1756)+1,200)),""))&lt;&gt;"",IF(ISNUMBER(SEARCH("Party Name:-",'R.M Billets Reports'!D1756)),TRIM('R.M Billets Reports'!F1756),IF(ISNUMBER(SEARCH("Party Name-",'R.M Billets Reports'!D1756)),TRIM(MID('R.M Billets Reports'!D1756,SEARCH("-",'R.M Billets Reports'!D1756)+1,200)),"")),IF(ISNUMBER(SEARCH("Party Name:-",'R.M Billets Reports'!D1757)),TRIM('R.M Billets Reports'!F1757),IF(ISNUMBER(SEARCH("Party Name-",'R.M Billets Reports'!D1757)),TRIM(MID('R.M Billets Reports'!D1757,SEARCH("-",'R.M Billets Reports'!D1757)+1,200)),"")))="SHREE RADHE SHAKTI SPONGE AND POWER PVT. LTD.","SHREE RADHE",IF(IF(ISNUMBER(SEARCH("Party Name:-",'R.M Billets Reports'!D1756)),TRIM('R.M Billets Reports'!F1756),IF(ISNUMBER(SEARCH("Party Name-",'R.M Billets Reports'!D1756)),TRIM(MID('R.M Billets Reports'!D1756,SEARCH("-",'R.M Billets Reports'!D1756)+1,200)),""))&lt;&gt;"",IF(ISNUMBER(SEARCH("Party Name:-",'R.M Billets Reports'!D1756)),TRIM('R.M Billets Reports'!F1756),IF(ISNUMBER(SEARCH("Party Name-",'R.M Billets Reports'!D1756)),TRIM(MID('R.M Billets Reports'!D1756,SEARCH("-",'R.M Billets Reports'!D1756)+1,200)),"")),IF(ISNUMBER(SEARCH("Party Name:-",'R.M Billets Reports'!D1757)),TRIM('R.M Billets Reports'!F1757),IF(ISNUMBER(SEARCH("Party Name-",'R.M Billets Reports'!D1757)),TRIM(MID('R.M Billets Reports'!D1757,SEARCH("-",'R.M Billets Reports'!D1757)+1,200)),"")))))),IF(ROW()=2,"",A1756))</f>
      </c>
      <c r="B1757">
        <f>IF(OR('R.M Billets Reports'!A1756="Date-",'R.M Billets Reports'!A1756="Date:-"),'R.M Billets Reports'!B1756,IF(ROW()=2,"",B1756))</f>
      </c>
      <c r="C1757">
        <f>IF('R.M Billets Reports'!A1756="V.No.",'R.M Billets Reports'!B1756,IF(ROW()=2,"",C1756))</f>
      </c>
      <c r="D1757">
        <f>IF('R.M Billets Reports'!A1756&lt;&gt;"",'R.M Billets Reports'!A1756,IF(ROW()=2,"",D1756))</f>
      </c>
      <c r="E1757">
        <f>IF('R.M Billets Reports'!B1756="","",TRIM('R.M Billets Reports'!B1756))</f>
      </c>
      <c r="F1757">
        <f>'R.M Billets Reports'!C1756</f>
      </c>
      <c r="G1757">
        <f>'R.M Billets Reports'!D1756</f>
      </c>
      <c r="H1757">
        <f>'R.M Billets Reports'!E1756</f>
      </c>
      <c r="I1757">
        <f>'R.M Billets Reports'!F1756</f>
      </c>
      <c r="J1757">
        <f>'R.M Billets Reports'!G1756</f>
      </c>
      <c r="K1757">
        <f>'R.M Billets Reports'!H1756</f>
      </c>
      <c r="L1757">
        <f>IF('R.M Billets Reports'!I1756="","",'R.M Billets Reports'!I1756)</f>
      </c>
      <c r="M1757">
        <f t="shared" si="54"/>
      </c>
      <c r="N1757">
        <f>IF('R.M Billets Reports'!J1756="","",'R.M Billets Reports'!J1756)</f>
      </c>
      <c r="O1757">
        <f t="shared" si="55"/>
      </c>
      <c r="P1757">
        <f>IF('R.M Billets Reports'!A1756="SIZE",'R.M Billets Reports'!B1756,P1756)</f>
      </c>
    </row>
    <row r="1758" spans="1:16" x14ac:dyDescent="0.25">
      <c r="A1758">
        <f>IF(OR('R.M Billets Reports'!A1757="Date-",'R.M Billets Reports'!A1757="Date:-"),IF(IF(IF(ISNUMBER(SEARCH("Party Name:-",'R.M Billets Reports'!D1757)),TRIM('R.M Billets Reports'!F1757),IF(ISNUMBER(SEARCH("Party Name-",'R.M Billets Reports'!D1757)),TRIM(MID('R.M Billets Reports'!D1757,SEARCH("-",'R.M Billets Reports'!D1757)+1,200)),""))&lt;&gt;"",IF(ISNUMBER(SEARCH("Party Name:-",'R.M Billets Reports'!D1757)),TRIM('R.M Billets Reports'!F1757),IF(ISNUMBER(SEARCH("Party Name-",'R.M Billets Reports'!D1757)),TRIM(MID('R.M Billets Reports'!D1757,SEARCH("-",'R.M Billets Reports'!D1757)+1,200)),"")),IF(ISNUMBER(SEARCH("Party Name:-",'R.M Billets Reports'!D1758)),TRIM('R.M Billets Reports'!F1758),IF(ISNUMBER(SEARCH("Party Name-",'R.M Billets Reports'!D1758)),TRIM(MID('R.M Billets Reports'!D1758,SEARCH("-",'R.M Billets Reports'!D1758)+1,200)),"")))="VRKP ISPAT PVT LTD","VRKP",IF(IF(IF(ISNUMBER(SEARCH("Party Name:-",'R.M Billets Reports'!D1757)),TRIM('R.M Billets Reports'!F1757),IF(ISNUMBER(SEARCH("Party Name-",'R.M Billets Reports'!D1757)),TRIM(MID('R.M Billets Reports'!D1757,SEARCH("-",'R.M Billets Reports'!D1757)+1,200)),""))&lt;&gt;"",IF(ISNUMBER(SEARCH("Party Name:-",'R.M Billets Reports'!D1757)),TRIM('R.M Billets Reports'!F1757),IF(ISNUMBER(SEARCH("Party Name-",'R.M Billets Reports'!D1757)),TRIM(MID('R.M Billets Reports'!D1757,SEARCH("-",'R.M Billets Reports'!D1757)+1,200)),"")),IF(ISNUMBER(SEARCH("Party Name:-",'R.M Billets Reports'!D1758)),TRIM('R.M Billets Reports'!F1758),IF(ISNUMBER(SEARCH("Party Name-",'R.M Billets Reports'!D1758)),TRIM(MID('R.M Billets Reports'!D1758,SEARCH("-",'R.M Billets Reports'!D1758)+1,200)),"")))="SHRI RADHE","SHREE RADHE",IF(IF(IF(ISNUMBER(SEARCH("Party Name:-",'R.M Billets Reports'!D1757)),TRIM('R.M Billets Reports'!F1757),IF(ISNUMBER(SEARCH("Party Name-",'R.M Billets Reports'!D1757)),TRIM(MID('R.M Billets Reports'!D1757,SEARCH("-",'R.M Billets Reports'!D1757)+1,200)),""))&lt;&gt;"",IF(ISNUMBER(SEARCH("Party Name:-",'R.M Billets Reports'!D1757)),TRIM('R.M Billets Reports'!F1757),IF(ISNUMBER(SEARCH("Party Name-",'R.M Billets Reports'!D1757)),TRIM(MID('R.M Billets Reports'!D1757,SEARCH("-",'R.M Billets Reports'!D1757)+1,200)),"")),IF(ISNUMBER(SEARCH("Party Name:-",'R.M Billets Reports'!D1758)),TRIM('R.M Billets Reports'!F1758),IF(ISNUMBER(SEARCH("Party Name-",'R.M Billets Reports'!D1758)),TRIM(MID('R.M Billets Reports'!D1758,SEARCH("-",'R.M Billets Reports'!D1758)+1,200)),"")))="SHREE RADHE SHAKTI SPONGE AND POWER PVT. LTD.","SHREE RADHE",IF(IF(ISNUMBER(SEARCH("Party Name:-",'R.M Billets Reports'!D1757)),TRIM('R.M Billets Reports'!F1757),IF(ISNUMBER(SEARCH("Party Name-",'R.M Billets Reports'!D1757)),TRIM(MID('R.M Billets Reports'!D1757,SEARCH("-",'R.M Billets Reports'!D1757)+1,200)),""))&lt;&gt;"",IF(ISNUMBER(SEARCH("Party Name:-",'R.M Billets Reports'!D1757)),TRIM('R.M Billets Reports'!F1757),IF(ISNUMBER(SEARCH("Party Name-",'R.M Billets Reports'!D1757)),TRIM(MID('R.M Billets Reports'!D1757,SEARCH("-",'R.M Billets Reports'!D1757)+1,200)),"")),IF(ISNUMBER(SEARCH("Party Name:-",'R.M Billets Reports'!D1758)),TRIM('R.M Billets Reports'!F1758),IF(ISNUMBER(SEARCH("Party Name-",'R.M Billets Reports'!D1758)),TRIM(MID('R.M Billets Reports'!D1758,SEARCH("-",'R.M Billets Reports'!D1758)+1,200)),"")))))),IF(ROW()=2,"",A1757))</f>
      </c>
      <c r="B1758">
        <f>IF(OR('R.M Billets Reports'!A1757="Date-",'R.M Billets Reports'!A1757="Date:-"),'R.M Billets Reports'!B1757,IF(ROW()=2,"",B1757))</f>
      </c>
      <c r="C1758">
        <f>IF('R.M Billets Reports'!A1757="V.No.",'R.M Billets Reports'!B1757,IF(ROW()=2,"",C1757))</f>
      </c>
      <c r="D1758">
        <f>IF('R.M Billets Reports'!A1757&lt;&gt;"",'R.M Billets Reports'!A1757,IF(ROW()=2,"",D1757))</f>
      </c>
      <c r="E1758">
        <f>IF('R.M Billets Reports'!B1757="","",TRIM('R.M Billets Reports'!B1757))</f>
      </c>
      <c r="F1758">
        <f>'R.M Billets Reports'!C1757</f>
      </c>
      <c r="G1758">
        <f>'R.M Billets Reports'!D1757</f>
      </c>
      <c r="H1758">
        <f>'R.M Billets Reports'!E1757</f>
      </c>
      <c r="I1758">
        <f>'R.M Billets Reports'!F1757</f>
      </c>
      <c r="J1758">
        <f>'R.M Billets Reports'!G1757</f>
      </c>
      <c r="K1758">
        <f>'R.M Billets Reports'!H1757</f>
      </c>
      <c r="L1758">
        <f>IF('R.M Billets Reports'!I1757="","",'R.M Billets Reports'!I1757)</f>
      </c>
      <c r="M1758">
        <f t="shared" si="54"/>
      </c>
      <c r="N1758">
        <f>IF('R.M Billets Reports'!J1757="","",'R.M Billets Reports'!J1757)</f>
      </c>
      <c r="O1758">
        <f t="shared" si="55"/>
      </c>
      <c r="P1758">
        <f>IF('R.M Billets Reports'!A1757="SIZE",'R.M Billets Reports'!B1757,P1757)</f>
      </c>
    </row>
    <row r="1759" spans="1:16" x14ac:dyDescent="0.25">
      <c r="A1759">
        <f>IF(OR('R.M Billets Reports'!A1758="Date-",'R.M Billets Reports'!A1758="Date:-"),IF(IF(IF(ISNUMBER(SEARCH("Party Name:-",'R.M Billets Reports'!D1758)),TRIM('R.M Billets Reports'!F1758),IF(ISNUMBER(SEARCH("Party Name-",'R.M Billets Reports'!D1758)),TRIM(MID('R.M Billets Reports'!D1758,SEARCH("-",'R.M Billets Reports'!D1758)+1,200)),""))&lt;&gt;"",IF(ISNUMBER(SEARCH("Party Name:-",'R.M Billets Reports'!D1758)),TRIM('R.M Billets Reports'!F1758),IF(ISNUMBER(SEARCH("Party Name-",'R.M Billets Reports'!D1758)),TRIM(MID('R.M Billets Reports'!D1758,SEARCH("-",'R.M Billets Reports'!D1758)+1,200)),"")),IF(ISNUMBER(SEARCH("Party Name:-",'R.M Billets Reports'!D1759)),TRIM('R.M Billets Reports'!F1759),IF(ISNUMBER(SEARCH("Party Name-",'R.M Billets Reports'!D1759)),TRIM(MID('R.M Billets Reports'!D1759,SEARCH("-",'R.M Billets Reports'!D1759)+1,200)),"")))="VRKP ISPAT PVT LTD","VRKP",IF(IF(IF(ISNUMBER(SEARCH("Party Name:-",'R.M Billets Reports'!D1758)),TRIM('R.M Billets Reports'!F1758),IF(ISNUMBER(SEARCH("Party Name-",'R.M Billets Reports'!D1758)),TRIM(MID('R.M Billets Reports'!D1758,SEARCH("-",'R.M Billets Reports'!D1758)+1,200)),""))&lt;&gt;"",IF(ISNUMBER(SEARCH("Party Name:-",'R.M Billets Reports'!D1758)),TRIM('R.M Billets Reports'!F1758),IF(ISNUMBER(SEARCH("Party Name-",'R.M Billets Reports'!D1758)),TRIM(MID('R.M Billets Reports'!D1758,SEARCH("-",'R.M Billets Reports'!D1758)+1,200)),"")),IF(ISNUMBER(SEARCH("Party Name:-",'R.M Billets Reports'!D1759)),TRIM('R.M Billets Reports'!F1759),IF(ISNUMBER(SEARCH("Party Name-",'R.M Billets Reports'!D1759)),TRIM(MID('R.M Billets Reports'!D1759,SEARCH("-",'R.M Billets Reports'!D1759)+1,200)),"")))="SHRI RADHE","SHREE RADHE",IF(IF(IF(ISNUMBER(SEARCH("Party Name:-",'R.M Billets Reports'!D1758)),TRIM('R.M Billets Reports'!F1758),IF(ISNUMBER(SEARCH("Party Name-",'R.M Billets Reports'!D1758)),TRIM(MID('R.M Billets Reports'!D1758,SEARCH("-",'R.M Billets Reports'!D1758)+1,200)),""))&lt;&gt;"",IF(ISNUMBER(SEARCH("Party Name:-",'R.M Billets Reports'!D1758)),TRIM('R.M Billets Reports'!F1758),IF(ISNUMBER(SEARCH("Party Name-",'R.M Billets Reports'!D1758)),TRIM(MID('R.M Billets Reports'!D1758,SEARCH("-",'R.M Billets Reports'!D1758)+1,200)),"")),IF(ISNUMBER(SEARCH("Party Name:-",'R.M Billets Reports'!D1759)),TRIM('R.M Billets Reports'!F1759),IF(ISNUMBER(SEARCH("Party Name-",'R.M Billets Reports'!D1759)),TRIM(MID('R.M Billets Reports'!D1759,SEARCH("-",'R.M Billets Reports'!D1759)+1,200)),"")))="SHREE RADHE SHAKTI SPONGE AND POWER PVT. LTD.","SHREE RADHE",IF(IF(ISNUMBER(SEARCH("Party Name:-",'R.M Billets Reports'!D1758)),TRIM('R.M Billets Reports'!F1758),IF(ISNUMBER(SEARCH("Party Name-",'R.M Billets Reports'!D1758)),TRIM(MID('R.M Billets Reports'!D1758,SEARCH("-",'R.M Billets Reports'!D1758)+1,200)),""))&lt;&gt;"",IF(ISNUMBER(SEARCH("Party Name:-",'R.M Billets Reports'!D1758)),TRIM('R.M Billets Reports'!F1758),IF(ISNUMBER(SEARCH("Party Name-",'R.M Billets Reports'!D1758)),TRIM(MID('R.M Billets Reports'!D1758,SEARCH("-",'R.M Billets Reports'!D1758)+1,200)),"")),IF(ISNUMBER(SEARCH("Party Name:-",'R.M Billets Reports'!D1759)),TRIM('R.M Billets Reports'!F1759),IF(ISNUMBER(SEARCH("Party Name-",'R.M Billets Reports'!D1759)),TRIM(MID('R.M Billets Reports'!D1759,SEARCH("-",'R.M Billets Reports'!D1759)+1,200)),"")))))),IF(ROW()=2,"",A1758))</f>
      </c>
      <c r="B1759">
        <f>IF(OR('R.M Billets Reports'!A1758="Date-",'R.M Billets Reports'!A1758="Date:-"),'R.M Billets Reports'!B1758,IF(ROW()=2,"",B1758))</f>
      </c>
      <c r="C1759">
        <f>IF('R.M Billets Reports'!A1758="V.No.",'R.M Billets Reports'!B1758,IF(ROW()=2,"",C1758))</f>
      </c>
      <c r="D1759">
        <f>IF('R.M Billets Reports'!A1758&lt;&gt;"",'R.M Billets Reports'!A1758,IF(ROW()=2,"",D1758))</f>
      </c>
      <c r="E1759">
        <f>IF('R.M Billets Reports'!B1758="","",TRIM('R.M Billets Reports'!B1758))</f>
      </c>
      <c r="F1759">
        <f>'R.M Billets Reports'!C1758</f>
      </c>
      <c r="G1759">
        <f>'R.M Billets Reports'!D1758</f>
      </c>
      <c r="H1759">
        <f>'R.M Billets Reports'!E1758</f>
      </c>
      <c r="I1759">
        <f>'R.M Billets Reports'!F1758</f>
      </c>
      <c r="J1759">
        <f>'R.M Billets Reports'!G1758</f>
      </c>
      <c r="K1759">
        <f>'R.M Billets Reports'!H1758</f>
      </c>
      <c r="L1759">
        <f>IF('R.M Billets Reports'!I1758="","",'R.M Billets Reports'!I1758)</f>
      </c>
      <c r="M1759">
        <f t="shared" si="54"/>
      </c>
      <c r="N1759">
        <f>IF('R.M Billets Reports'!J1758="","",'R.M Billets Reports'!J1758)</f>
      </c>
      <c r="O1759">
        <f t="shared" si="55"/>
      </c>
      <c r="P1759">
        <f>IF('R.M Billets Reports'!A1758="SIZE",'R.M Billets Reports'!B1758,P1758)</f>
      </c>
    </row>
    <row r="1760" spans="1:16" x14ac:dyDescent="0.25">
      <c r="A1760">
        <f>IF(OR('R.M Billets Reports'!A1759="Date-",'R.M Billets Reports'!A1759="Date:-"),IF(IF(IF(ISNUMBER(SEARCH("Party Name:-",'R.M Billets Reports'!D1759)),TRIM('R.M Billets Reports'!F1759),IF(ISNUMBER(SEARCH("Party Name-",'R.M Billets Reports'!D1759)),TRIM(MID('R.M Billets Reports'!D1759,SEARCH("-",'R.M Billets Reports'!D1759)+1,200)),""))&lt;&gt;"",IF(ISNUMBER(SEARCH("Party Name:-",'R.M Billets Reports'!D1759)),TRIM('R.M Billets Reports'!F1759),IF(ISNUMBER(SEARCH("Party Name-",'R.M Billets Reports'!D1759)),TRIM(MID('R.M Billets Reports'!D1759,SEARCH("-",'R.M Billets Reports'!D1759)+1,200)),"")),IF(ISNUMBER(SEARCH("Party Name:-",'R.M Billets Reports'!D1760)),TRIM('R.M Billets Reports'!F1760),IF(ISNUMBER(SEARCH("Party Name-",'R.M Billets Reports'!D1760)),TRIM(MID('R.M Billets Reports'!D1760,SEARCH("-",'R.M Billets Reports'!D1760)+1,200)),"")))="VRKP ISPAT PVT LTD","VRKP",IF(IF(IF(ISNUMBER(SEARCH("Party Name:-",'R.M Billets Reports'!D1759)),TRIM('R.M Billets Reports'!F1759),IF(ISNUMBER(SEARCH("Party Name-",'R.M Billets Reports'!D1759)),TRIM(MID('R.M Billets Reports'!D1759,SEARCH("-",'R.M Billets Reports'!D1759)+1,200)),""))&lt;&gt;"",IF(ISNUMBER(SEARCH("Party Name:-",'R.M Billets Reports'!D1759)),TRIM('R.M Billets Reports'!F1759),IF(ISNUMBER(SEARCH("Party Name-",'R.M Billets Reports'!D1759)),TRIM(MID('R.M Billets Reports'!D1759,SEARCH("-",'R.M Billets Reports'!D1759)+1,200)),"")),IF(ISNUMBER(SEARCH("Party Name:-",'R.M Billets Reports'!D1760)),TRIM('R.M Billets Reports'!F1760),IF(ISNUMBER(SEARCH("Party Name-",'R.M Billets Reports'!D1760)),TRIM(MID('R.M Billets Reports'!D1760,SEARCH("-",'R.M Billets Reports'!D1760)+1,200)),"")))="SHRI RADHE","SHREE RADHE",IF(IF(IF(ISNUMBER(SEARCH("Party Name:-",'R.M Billets Reports'!D1759)),TRIM('R.M Billets Reports'!F1759),IF(ISNUMBER(SEARCH("Party Name-",'R.M Billets Reports'!D1759)),TRIM(MID('R.M Billets Reports'!D1759,SEARCH("-",'R.M Billets Reports'!D1759)+1,200)),""))&lt;&gt;"",IF(ISNUMBER(SEARCH("Party Name:-",'R.M Billets Reports'!D1759)),TRIM('R.M Billets Reports'!F1759),IF(ISNUMBER(SEARCH("Party Name-",'R.M Billets Reports'!D1759)),TRIM(MID('R.M Billets Reports'!D1759,SEARCH("-",'R.M Billets Reports'!D1759)+1,200)),"")),IF(ISNUMBER(SEARCH("Party Name:-",'R.M Billets Reports'!D1760)),TRIM('R.M Billets Reports'!F1760),IF(ISNUMBER(SEARCH("Party Name-",'R.M Billets Reports'!D1760)),TRIM(MID('R.M Billets Reports'!D1760,SEARCH("-",'R.M Billets Reports'!D1760)+1,200)),"")))="SHREE RADHE SHAKTI SPONGE AND POWER PVT. LTD.","SHREE RADHE",IF(IF(ISNUMBER(SEARCH("Party Name:-",'R.M Billets Reports'!D1759)),TRIM('R.M Billets Reports'!F1759),IF(ISNUMBER(SEARCH("Party Name-",'R.M Billets Reports'!D1759)),TRIM(MID('R.M Billets Reports'!D1759,SEARCH("-",'R.M Billets Reports'!D1759)+1,200)),""))&lt;&gt;"",IF(ISNUMBER(SEARCH("Party Name:-",'R.M Billets Reports'!D1759)),TRIM('R.M Billets Reports'!F1759),IF(ISNUMBER(SEARCH("Party Name-",'R.M Billets Reports'!D1759)),TRIM(MID('R.M Billets Reports'!D1759,SEARCH("-",'R.M Billets Reports'!D1759)+1,200)),"")),IF(ISNUMBER(SEARCH("Party Name:-",'R.M Billets Reports'!D1760)),TRIM('R.M Billets Reports'!F1760),IF(ISNUMBER(SEARCH("Party Name-",'R.M Billets Reports'!D1760)),TRIM(MID('R.M Billets Reports'!D1760,SEARCH("-",'R.M Billets Reports'!D1760)+1,200)),"")))))),IF(ROW()=2,"",A1759))</f>
      </c>
      <c r="B1760">
        <f>IF(OR('R.M Billets Reports'!A1759="Date-",'R.M Billets Reports'!A1759="Date:-"),'R.M Billets Reports'!B1759,IF(ROW()=2,"",B1759))</f>
      </c>
      <c r="C1760">
        <f>IF('R.M Billets Reports'!A1759="V.No.",'R.M Billets Reports'!B1759,IF(ROW()=2,"",C1759))</f>
      </c>
      <c r="D1760">
        <f>IF('R.M Billets Reports'!A1759&lt;&gt;"",'R.M Billets Reports'!A1759,IF(ROW()=2,"",D1759))</f>
      </c>
      <c r="E1760">
        <f>IF('R.M Billets Reports'!B1759="","",TRIM('R.M Billets Reports'!B1759))</f>
      </c>
      <c r="F1760">
        <f>'R.M Billets Reports'!C1759</f>
      </c>
      <c r="G1760">
        <f>'R.M Billets Reports'!D1759</f>
      </c>
      <c r="H1760">
        <f>'R.M Billets Reports'!E1759</f>
      </c>
      <c r="I1760">
        <f>'R.M Billets Reports'!F1759</f>
      </c>
      <c r="J1760">
        <f>'R.M Billets Reports'!G1759</f>
      </c>
      <c r="K1760">
        <f>'R.M Billets Reports'!H1759</f>
      </c>
      <c r="L1760">
        <f>IF('R.M Billets Reports'!I1759="","",'R.M Billets Reports'!I1759)</f>
      </c>
      <c r="M1760">
        <f t="shared" si="54"/>
      </c>
      <c r="N1760">
        <f>IF('R.M Billets Reports'!J1759="","",'R.M Billets Reports'!J1759)</f>
      </c>
      <c r="O1760">
        <f t="shared" si="55"/>
      </c>
      <c r="P1760">
        <f>IF('R.M Billets Reports'!A1759="SIZE",'R.M Billets Reports'!B1759,P1759)</f>
      </c>
    </row>
    <row r="1761" spans="1:16" x14ac:dyDescent="0.25">
      <c r="A1761">
        <f>IF(OR('R.M Billets Reports'!A1760="Date-",'R.M Billets Reports'!A1760="Date:-"),IF(IF(IF(ISNUMBER(SEARCH("Party Name:-",'R.M Billets Reports'!D1760)),TRIM('R.M Billets Reports'!F1760),IF(ISNUMBER(SEARCH("Party Name-",'R.M Billets Reports'!D1760)),TRIM(MID('R.M Billets Reports'!D1760,SEARCH("-",'R.M Billets Reports'!D1760)+1,200)),""))&lt;&gt;"",IF(ISNUMBER(SEARCH("Party Name:-",'R.M Billets Reports'!D1760)),TRIM('R.M Billets Reports'!F1760),IF(ISNUMBER(SEARCH("Party Name-",'R.M Billets Reports'!D1760)),TRIM(MID('R.M Billets Reports'!D1760,SEARCH("-",'R.M Billets Reports'!D1760)+1,200)),"")),IF(ISNUMBER(SEARCH("Party Name:-",'R.M Billets Reports'!D1761)),TRIM('R.M Billets Reports'!F1761),IF(ISNUMBER(SEARCH("Party Name-",'R.M Billets Reports'!D1761)),TRIM(MID('R.M Billets Reports'!D1761,SEARCH("-",'R.M Billets Reports'!D1761)+1,200)),"")))="VRKP ISPAT PVT LTD","VRKP",IF(IF(IF(ISNUMBER(SEARCH("Party Name:-",'R.M Billets Reports'!D1760)),TRIM('R.M Billets Reports'!F1760),IF(ISNUMBER(SEARCH("Party Name-",'R.M Billets Reports'!D1760)),TRIM(MID('R.M Billets Reports'!D1760,SEARCH("-",'R.M Billets Reports'!D1760)+1,200)),""))&lt;&gt;"",IF(ISNUMBER(SEARCH("Party Name:-",'R.M Billets Reports'!D1760)),TRIM('R.M Billets Reports'!F1760),IF(ISNUMBER(SEARCH("Party Name-",'R.M Billets Reports'!D1760)),TRIM(MID('R.M Billets Reports'!D1760,SEARCH("-",'R.M Billets Reports'!D1760)+1,200)),"")),IF(ISNUMBER(SEARCH("Party Name:-",'R.M Billets Reports'!D1761)),TRIM('R.M Billets Reports'!F1761),IF(ISNUMBER(SEARCH("Party Name-",'R.M Billets Reports'!D1761)),TRIM(MID('R.M Billets Reports'!D1761,SEARCH("-",'R.M Billets Reports'!D1761)+1,200)),"")))="SHRI RADHE","SHREE RADHE",IF(IF(IF(ISNUMBER(SEARCH("Party Name:-",'R.M Billets Reports'!D1760)),TRIM('R.M Billets Reports'!F1760),IF(ISNUMBER(SEARCH("Party Name-",'R.M Billets Reports'!D1760)),TRIM(MID('R.M Billets Reports'!D1760,SEARCH("-",'R.M Billets Reports'!D1760)+1,200)),""))&lt;&gt;"",IF(ISNUMBER(SEARCH("Party Name:-",'R.M Billets Reports'!D1760)),TRIM('R.M Billets Reports'!F1760),IF(ISNUMBER(SEARCH("Party Name-",'R.M Billets Reports'!D1760)),TRIM(MID('R.M Billets Reports'!D1760,SEARCH("-",'R.M Billets Reports'!D1760)+1,200)),"")),IF(ISNUMBER(SEARCH("Party Name:-",'R.M Billets Reports'!D1761)),TRIM('R.M Billets Reports'!F1761),IF(ISNUMBER(SEARCH("Party Name-",'R.M Billets Reports'!D1761)),TRIM(MID('R.M Billets Reports'!D1761,SEARCH("-",'R.M Billets Reports'!D1761)+1,200)),"")))="SHREE RADHE SHAKTI SPONGE AND POWER PVT. LTD.","SHREE RADHE",IF(IF(ISNUMBER(SEARCH("Party Name:-",'R.M Billets Reports'!D1760)),TRIM('R.M Billets Reports'!F1760),IF(ISNUMBER(SEARCH("Party Name-",'R.M Billets Reports'!D1760)),TRIM(MID('R.M Billets Reports'!D1760,SEARCH("-",'R.M Billets Reports'!D1760)+1,200)),""))&lt;&gt;"",IF(ISNUMBER(SEARCH("Party Name:-",'R.M Billets Reports'!D1760)),TRIM('R.M Billets Reports'!F1760),IF(ISNUMBER(SEARCH("Party Name-",'R.M Billets Reports'!D1760)),TRIM(MID('R.M Billets Reports'!D1760,SEARCH("-",'R.M Billets Reports'!D1760)+1,200)),"")),IF(ISNUMBER(SEARCH("Party Name:-",'R.M Billets Reports'!D1761)),TRIM('R.M Billets Reports'!F1761),IF(ISNUMBER(SEARCH("Party Name-",'R.M Billets Reports'!D1761)),TRIM(MID('R.M Billets Reports'!D1761,SEARCH("-",'R.M Billets Reports'!D1761)+1,200)),"")))))),IF(ROW()=2,"",A1760))</f>
      </c>
      <c r="B1761">
        <f>IF(OR('R.M Billets Reports'!A1760="Date-",'R.M Billets Reports'!A1760="Date:-"),'R.M Billets Reports'!B1760,IF(ROW()=2,"",B1760))</f>
      </c>
      <c r="C1761">
        <f>IF('R.M Billets Reports'!A1760="V.No.",'R.M Billets Reports'!B1760,IF(ROW()=2,"",C1760))</f>
      </c>
      <c r="D1761">
        <f>IF('R.M Billets Reports'!A1760&lt;&gt;"",'R.M Billets Reports'!A1760,IF(ROW()=2,"",D1760))</f>
      </c>
      <c r="E1761">
        <f>IF('R.M Billets Reports'!B1760="","",TRIM('R.M Billets Reports'!B1760))</f>
      </c>
      <c r="F1761">
        <f>'R.M Billets Reports'!C1760</f>
      </c>
      <c r="G1761">
        <f>'R.M Billets Reports'!D1760</f>
      </c>
      <c r="H1761">
        <f>'R.M Billets Reports'!E1760</f>
      </c>
      <c r="I1761">
        <f>'R.M Billets Reports'!F1760</f>
      </c>
      <c r="J1761">
        <f>'R.M Billets Reports'!G1760</f>
      </c>
      <c r="K1761">
        <f>'R.M Billets Reports'!H1760</f>
      </c>
      <c r="L1761">
        <f>IF('R.M Billets Reports'!I1760="","",'R.M Billets Reports'!I1760)</f>
      </c>
      <c r="M1761">
        <f t="shared" si="54"/>
      </c>
      <c r="N1761">
        <f>IF('R.M Billets Reports'!J1760="","",'R.M Billets Reports'!J1760)</f>
      </c>
      <c r="O1761">
        <f t="shared" si="55"/>
      </c>
      <c r="P1761">
        <f>IF('R.M Billets Reports'!A1760="SIZE",'R.M Billets Reports'!B1760,P1760)</f>
      </c>
    </row>
    <row r="1762" spans="1:16" x14ac:dyDescent="0.25">
      <c r="A1762">
        <f>IF(OR('R.M Billets Reports'!A1761="Date-",'R.M Billets Reports'!A1761="Date:-"),IF(IF(IF(ISNUMBER(SEARCH("Party Name:-",'R.M Billets Reports'!D1761)),TRIM('R.M Billets Reports'!F1761),IF(ISNUMBER(SEARCH("Party Name-",'R.M Billets Reports'!D1761)),TRIM(MID('R.M Billets Reports'!D1761,SEARCH("-",'R.M Billets Reports'!D1761)+1,200)),""))&lt;&gt;"",IF(ISNUMBER(SEARCH("Party Name:-",'R.M Billets Reports'!D1761)),TRIM('R.M Billets Reports'!F1761),IF(ISNUMBER(SEARCH("Party Name-",'R.M Billets Reports'!D1761)),TRIM(MID('R.M Billets Reports'!D1761,SEARCH("-",'R.M Billets Reports'!D1761)+1,200)),"")),IF(ISNUMBER(SEARCH("Party Name:-",'R.M Billets Reports'!D1762)),TRIM('R.M Billets Reports'!F1762),IF(ISNUMBER(SEARCH("Party Name-",'R.M Billets Reports'!D1762)),TRIM(MID('R.M Billets Reports'!D1762,SEARCH("-",'R.M Billets Reports'!D1762)+1,200)),"")))="VRKP ISPAT PVT LTD","VRKP",IF(IF(IF(ISNUMBER(SEARCH("Party Name:-",'R.M Billets Reports'!D1761)),TRIM('R.M Billets Reports'!F1761),IF(ISNUMBER(SEARCH("Party Name-",'R.M Billets Reports'!D1761)),TRIM(MID('R.M Billets Reports'!D1761,SEARCH("-",'R.M Billets Reports'!D1761)+1,200)),""))&lt;&gt;"",IF(ISNUMBER(SEARCH("Party Name:-",'R.M Billets Reports'!D1761)),TRIM('R.M Billets Reports'!F1761),IF(ISNUMBER(SEARCH("Party Name-",'R.M Billets Reports'!D1761)),TRIM(MID('R.M Billets Reports'!D1761,SEARCH("-",'R.M Billets Reports'!D1761)+1,200)),"")),IF(ISNUMBER(SEARCH("Party Name:-",'R.M Billets Reports'!D1762)),TRIM('R.M Billets Reports'!F1762),IF(ISNUMBER(SEARCH("Party Name-",'R.M Billets Reports'!D1762)),TRIM(MID('R.M Billets Reports'!D1762,SEARCH("-",'R.M Billets Reports'!D1762)+1,200)),"")))="SHRI RADHE","SHREE RADHE",IF(IF(IF(ISNUMBER(SEARCH("Party Name:-",'R.M Billets Reports'!D1761)),TRIM('R.M Billets Reports'!F1761),IF(ISNUMBER(SEARCH("Party Name-",'R.M Billets Reports'!D1761)),TRIM(MID('R.M Billets Reports'!D1761,SEARCH("-",'R.M Billets Reports'!D1761)+1,200)),""))&lt;&gt;"",IF(ISNUMBER(SEARCH("Party Name:-",'R.M Billets Reports'!D1761)),TRIM('R.M Billets Reports'!F1761),IF(ISNUMBER(SEARCH("Party Name-",'R.M Billets Reports'!D1761)),TRIM(MID('R.M Billets Reports'!D1761,SEARCH("-",'R.M Billets Reports'!D1761)+1,200)),"")),IF(ISNUMBER(SEARCH("Party Name:-",'R.M Billets Reports'!D1762)),TRIM('R.M Billets Reports'!F1762),IF(ISNUMBER(SEARCH("Party Name-",'R.M Billets Reports'!D1762)),TRIM(MID('R.M Billets Reports'!D1762,SEARCH("-",'R.M Billets Reports'!D1762)+1,200)),"")))="SHREE RADHE SHAKTI SPONGE AND POWER PVT. LTD.","SHREE RADHE",IF(IF(ISNUMBER(SEARCH("Party Name:-",'R.M Billets Reports'!D1761)),TRIM('R.M Billets Reports'!F1761),IF(ISNUMBER(SEARCH("Party Name-",'R.M Billets Reports'!D1761)),TRIM(MID('R.M Billets Reports'!D1761,SEARCH("-",'R.M Billets Reports'!D1761)+1,200)),""))&lt;&gt;"",IF(ISNUMBER(SEARCH("Party Name:-",'R.M Billets Reports'!D1761)),TRIM('R.M Billets Reports'!F1761),IF(ISNUMBER(SEARCH("Party Name-",'R.M Billets Reports'!D1761)),TRIM(MID('R.M Billets Reports'!D1761,SEARCH("-",'R.M Billets Reports'!D1761)+1,200)),"")),IF(ISNUMBER(SEARCH("Party Name:-",'R.M Billets Reports'!D1762)),TRIM('R.M Billets Reports'!F1762),IF(ISNUMBER(SEARCH("Party Name-",'R.M Billets Reports'!D1762)),TRIM(MID('R.M Billets Reports'!D1762,SEARCH("-",'R.M Billets Reports'!D1762)+1,200)),"")))))),IF(ROW()=2,"",A1761))</f>
      </c>
      <c r="B1762">
        <f>IF(OR('R.M Billets Reports'!A1761="Date-",'R.M Billets Reports'!A1761="Date:-"),'R.M Billets Reports'!B1761,IF(ROW()=2,"",B1761))</f>
      </c>
      <c r="C1762">
        <f>IF('R.M Billets Reports'!A1761="V.No.",'R.M Billets Reports'!B1761,IF(ROW()=2,"",C1761))</f>
      </c>
      <c r="D1762">
        <f>IF('R.M Billets Reports'!A1761&lt;&gt;"",'R.M Billets Reports'!A1761,IF(ROW()=2,"",D1761))</f>
      </c>
      <c r="E1762">
        <f>IF('R.M Billets Reports'!B1761="","",TRIM('R.M Billets Reports'!B1761))</f>
      </c>
      <c r="F1762">
        <f>'R.M Billets Reports'!C1761</f>
      </c>
      <c r="G1762">
        <f>'R.M Billets Reports'!D1761</f>
      </c>
      <c r="H1762">
        <f>'R.M Billets Reports'!E1761</f>
      </c>
      <c r="I1762">
        <f>'R.M Billets Reports'!F1761</f>
      </c>
      <c r="J1762">
        <f>'R.M Billets Reports'!G1761</f>
      </c>
      <c r="K1762">
        <f>'R.M Billets Reports'!H1761</f>
      </c>
      <c r="L1762">
        <f>IF('R.M Billets Reports'!I1761="","",'R.M Billets Reports'!I1761)</f>
      </c>
      <c r="M1762">
        <f t="shared" si="54"/>
      </c>
      <c r="N1762">
        <f>IF('R.M Billets Reports'!J1761="","",'R.M Billets Reports'!J1761)</f>
      </c>
      <c r="O1762">
        <f t="shared" si="55"/>
      </c>
      <c r="P1762">
        <f>IF('R.M Billets Reports'!A1761="SIZE",'R.M Billets Reports'!B1761,P1761)</f>
      </c>
    </row>
    <row r="1763" spans="1:16" x14ac:dyDescent="0.25">
      <c r="A1763">
        <f>IF(OR('R.M Billets Reports'!A1762="Date-",'R.M Billets Reports'!A1762="Date:-"),IF(IF(IF(ISNUMBER(SEARCH("Party Name:-",'R.M Billets Reports'!D1762)),TRIM('R.M Billets Reports'!F1762),IF(ISNUMBER(SEARCH("Party Name-",'R.M Billets Reports'!D1762)),TRIM(MID('R.M Billets Reports'!D1762,SEARCH("-",'R.M Billets Reports'!D1762)+1,200)),""))&lt;&gt;"",IF(ISNUMBER(SEARCH("Party Name:-",'R.M Billets Reports'!D1762)),TRIM('R.M Billets Reports'!F1762),IF(ISNUMBER(SEARCH("Party Name-",'R.M Billets Reports'!D1762)),TRIM(MID('R.M Billets Reports'!D1762,SEARCH("-",'R.M Billets Reports'!D1762)+1,200)),"")),IF(ISNUMBER(SEARCH("Party Name:-",'R.M Billets Reports'!D1763)),TRIM('R.M Billets Reports'!F1763),IF(ISNUMBER(SEARCH("Party Name-",'R.M Billets Reports'!D1763)),TRIM(MID('R.M Billets Reports'!D1763,SEARCH("-",'R.M Billets Reports'!D1763)+1,200)),"")))="VRKP ISPAT PVT LTD","VRKP",IF(IF(IF(ISNUMBER(SEARCH("Party Name:-",'R.M Billets Reports'!D1762)),TRIM('R.M Billets Reports'!F1762),IF(ISNUMBER(SEARCH("Party Name-",'R.M Billets Reports'!D1762)),TRIM(MID('R.M Billets Reports'!D1762,SEARCH("-",'R.M Billets Reports'!D1762)+1,200)),""))&lt;&gt;"",IF(ISNUMBER(SEARCH("Party Name:-",'R.M Billets Reports'!D1762)),TRIM('R.M Billets Reports'!F1762),IF(ISNUMBER(SEARCH("Party Name-",'R.M Billets Reports'!D1762)),TRIM(MID('R.M Billets Reports'!D1762,SEARCH("-",'R.M Billets Reports'!D1762)+1,200)),"")),IF(ISNUMBER(SEARCH("Party Name:-",'R.M Billets Reports'!D1763)),TRIM('R.M Billets Reports'!F1763),IF(ISNUMBER(SEARCH("Party Name-",'R.M Billets Reports'!D1763)),TRIM(MID('R.M Billets Reports'!D1763,SEARCH("-",'R.M Billets Reports'!D1763)+1,200)),"")))="SHRI RADHE","SHREE RADHE",IF(IF(IF(ISNUMBER(SEARCH("Party Name:-",'R.M Billets Reports'!D1762)),TRIM('R.M Billets Reports'!F1762),IF(ISNUMBER(SEARCH("Party Name-",'R.M Billets Reports'!D1762)),TRIM(MID('R.M Billets Reports'!D1762,SEARCH("-",'R.M Billets Reports'!D1762)+1,200)),""))&lt;&gt;"",IF(ISNUMBER(SEARCH("Party Name:-",'R.M Billets Reports'!D1762)),TRIM('R.M Billets Reports'!F1762),IF(ISNUMBER(SEARCH("Party Name-",'R.M Billets Reports'!D1762)),TRIM(MID('R.M Billets Reports'!D1762,SEARCH("-",'R.M Billets Reports'!D1762)+1,200)),"")),IF(ISNUMBER(SEARCH("Party Name:-",'R.M Billets Reports'!D1763)),TRIM('R.M Billets Reports'!F1763),IF(ISNUMBER(SEARCH("Party Name-",'R.M Billets Reports'!D1763)),TRIM(MID('R.M Billets Reports'!D1763,SEARCH("-",'R.M Billets Reports'!D1763)+1,200)),"")))="SHREE RADHE SHAKTI SPONGE AND POWER PVT. LTD.","SHREE RADHE",IF(IF(ISNUMBER(SEARCH("Party Name:-",'R.M Billets Reports'!D1762)),TRIM('R.M Billets Reports'!F1762),IF(ISNUMBER(SEARCH("Party Name-",'R.M Billets Reports'!D1762)),TRIM(MID('R.M Billets Reports'!D1762,SEARCH("-",'R.M Billets Reports'!D1762)+1,200)),""))&lt;&gt;"",IF(ISNUMBER(SEARCH("Party Name:-",'R.M Billets Reports'!D1762)),TRIM('R.M Billets Reports'!F1762),IF(ISNUMBER(SEARCH("Party Name-",'R.M Billets Reports'!D1762)),TRIM(MID('R.M Billets Reports'!D1762,SEARCH("-",'R.M Billets Reports'!D1762)+1,200)),"")),IF(ISNUMBER(SEARCH("Party Name:-",'R.M Billets Reports'!D1763)),TRIM('R.M Billets Reports'!F1763),IF(ISNUMBER(SEARCH("Party Name-",'R.M Billets Reports'!D1763)),TRIM(MID('R.M Billets Reports'!D1763,SEARCH("-",'R.M Billets Reports'!D1763)+1,200)),"")))))),IF(ROW()=2,"",A1762))</f>
      </c>
      <c r="B1763">
        <f>IF(OR('R.M Billets Reports'!A1762="Date-",'R.M Billets Reports'!A1762="Date:-"),'R.M Billets Reports'!B1762,IF(ROW()=2,"",B1762))</f>
      </c>
      <c r="C1763">
        <f>IF('R.M Billets Reports'!A1762="V.No.",'R.M Billets Reports'!B1762,IF(ROW()=2,"",C1762))</f>
      </c>
      <c r="D1763">
        <f>IF('R.M Billets Reports'!A1762&lt;&gt;"",'R.M Billets Reports'!A1762,IF(ROW()=2,"",D1762))</f>
      </c>
      <c r="E1763">
        <f>IF('R.M Billets Reports'!B1762="","",TRIM('R.M Billets Reports'!B1762))</f>
      </c>
      <c r="F1763">
        <f>'R.M Billets Reports'!C1762</f>
      </c>
      <c r="G1763">
        <f>'R.M Billets Reports'!D1762</f>
      </c>
      <c r="H1763">
        <f>'R.M Billets Reports'!E1762</f>
      </c>
      <c r="I1763">
        <f>'R.M Billets Reports'!F1762</f>
      </c>
      <c r="J1763">
        <f>'R.M Billets Reports'!G1762</f>
      </c>
      <c r="K1763">
        <f>'R.M Billets Reports'!H1762</f>
      </c>
      <c r="L1763">
        <f>IF('R.M Billets Reports'!I1762="","",'R.M Billets Reports'!I1762)</f>
      </c>
      <c r="M1763">
        <f t="shared" si="54"/>
      </c>
      <c r="N1763">
        <f>IF('R.M Billets Reports'!J1762="","",'R.M Billets Reports'!J1762)</f>
      </c>
      <c r="O1763">
        <f t="shared" si="55"/>
      </c>
      <c r="P1763">
        <f>IF('R.M Billets Reports'!A1762="SIZE",'R.M Billets Reports'!B1762,P1762)</f>
      </c>
    </row>
    <row r="1764" spans="1:16" x14ac:dyDescent="0.25">
      <c r="A1764">
        <f>IF(OR('R.M Billets Reports'!A1763="Date-",'R.M Billets Reports'!A1763="Date:-"),IF(IF(IF(ISNUMBER(SEARCH("Party Name:-",'R.M Billets Reports'!D1763)),TRIM('R.M Billets Reports'!F1763),IF(ISNUMBER(SEARCH("Party Name-",'R.M Billets Reports'!D1763)),TRIM(MID('R.M Billets Reports'!D1763,SEARCH("-",'R.M Billets Reports'!D1763)+1,200)),""))&lt;&gt;"",IF(ISNUMBER(SEARCH("Party Name:-",'R.M Billets Reports'!D1763)),TRIM('R.M Billets Reports'!F1763),IF(ISNUMBER(SEARCH("Party Name-",'R.M Billets Reports'!D1763)),TRIM(MID('R.M Billets Reports'!D1763,SEARCH("-",'R.M Billets Reports'!D1763)+1,200)),"")),IF(ISNUMBER(SEARCH("Party Name:-",'R.M Billets Reports'!D1764)),TRIM('R.M Billets Reports'!F1764),IF(ISNUMBER(SEARCH("Party Name-",'R.M Billets Reports'!D1764)),TRIM(MID('R.M Billets Reports'!D1764,SEARCH("-",'R.M Billets Reports'!D1764)+1,200)),"")))="VRKP ISPAT PVT LTD","VRKP",IF(IF(IF(ISNUMBER(SEARCH("Party Name:-",'R.M Billets Reports'!D1763)),TRIM('R.M Billets Reports'!F1763),IF(ISNUMBER(SEARCH("Party Name-",'R.M Billets Reports'!D1763)),TRIM(MID('R.M Billets Reports'!D1763,SEARCH("-",'R.M Billets Reports'!D1763)+1,200)),""))&lt;&gt;"",IF(ISNUMBER(SEARCH("Party Name:-",'R.M Billets Reports'!D1763)),TRIM('R.M Billets Reports'!F1763),IF(ISNUMBER(SEARCH("Party Name-",'R.M Billets Reports'!D1763)),TRIM(MID('R.M Billets Reports'!D1763,SEARCH("-",'R.M Billets Reports'!D1763)+1,200)),"")),IF(ISNUMBER(SEARCH("Party Name:-",'R.M Billets Reports'!D1764)),TRIM('R.M Billets Reports'!F1764),IF(ISNUMBER(SEARCH("Party Name-",'R.M Billets Reports'!D1764)),TRIM(MID('R.M Billets Reports'!D1764,SEARCH("-",'R.M Billets Reports'!D1764)+1,200)),"")))="SHRI RADHE","SHREE RADHE",IF(IF(IF(ISNUMBER(SEARCH("Party Name:-",'R.M Billets Reports'!D1763)),TRIM('R.M Billets Reports'!F1763),IF(ISNUMBER(SEARCH("Party Name-",'R.M Billets Reports'!D1763)),TRIM(MID('R.M Billets Reports'!D1763,SEARCH("-",'R.M Billets Reports'!D1763)+1,200)),""))&lt;&gt;"",IF(ISNUMBER(SEARCH("Party Name:-",'R.M Billets Reports'!D1763)),TRIM('R.M Billets Reports'!F1763),IF(ISNUMBER(SEARCH("Party Name-",'R.M Billets Reports'!D1763)),TRIM(MID('R.M Billets Reports'!D1763,SEARCH("-",'R.M Billets Reports'!D1763)+1,200)),"")),IF(ISNUMBER(SEARCH("Party Name:-",'R.M Billets Reports'!D1764)),TRIM('R.M Billets Reports'!F1764),IF(ISNUMBER(SEARCH("Party Name-",'R.M Billets Reports'!D1764)),TRIM(MID('R.M Billets Reports'!D1764,SEARCH("-",'R.M Billets Reports'!D1764)+1,200)),"")))="SHREE RADHE SHAKTI SPONGE AND POWER PVT. LTD.","SHREE RADHE",IF(IF(ISNUMBER(SEARCH("Party Name:-",'R.M Billets Reports'!D1763)),TRIM('R.M Billets Reports'!F1763),IF(ISNUMBER(SEARCH("Party Name-",'R.M Billets Reports'!D1763)),TRIM(MID('R.M Billets Reports'!D1763,SEARCH("-",'R.M Billets Reports'!D1763)+1,200)),""))&lt;&gt;"",IF(ISNUMBER(SEARCH("Party Name:-",'R.M Billets Reports'!D1763)),TRIM('R.M Billets Reports'!F1763),IF(ISNUMBER(SEARCH("Party Name-",'R.M Billets Reports'!D1763)),TRIM(MID('R.M Billets Reports'!D1763,SEARCH("-",'R.M Billets Reports'!D1763)+1,200)),"")),IF(ISNUMBER(SEARCH("Party Name:-",'R.M Billets Reports'!D1764)),TRIM('R.M Billets Reports'!F1764),IF(ISNUMBER(SEARCH("Party Name-",'R.M Billets Reports'!D1764)),TRIM(MID('R.M Billets Reports'!D1764,SEARCH("-",'R.M Billets Reports'!D1764)+1,200)),"")))))),IF(ROW()=2,"",A1763))</f>
      </c>
      <c r="B1764">
        <f>IF(OR('R.M Billets Reports'!A1763="Date-",'R.M Billets Reports'!A1763="Date:-"),'R.M Billets Reports'!B1763,IF(ROW()=2,"",B1763))</f>
      </c>
      <c r="C1764">
        <f>IF('R.M Billets Reports'!A1763="V.No.",'R.M Billets Reports'!B1763,IF(ROW()=2,"",C1763))</f>
      </c>
      <c r="D1764">
        <f>IF('R.M Billets Reports'!A1763&lt;&gt;"",'R.M Billets Reports'!A1763,IF(ROW()=2,"",D1763))</f>
      </c>
      <c r="E1764">
        <f>IF('R.M Billets Reports'!B1763="","",TRIM('R.M Billets Reports'!B1763))</f>
      </c>
      <c r="F1764">
        <f>'R.M Billets Reports'!C1763</f>
      </c>
      <c r="G1764">
        <f>'R.M Billets Reports'!D1763</f>
      </c>
      <c r="H1764">
        <f>'R.M Billets Reports'!E1763</f>
      </c>
      <c r="I1764">
        <f>'R.M Billets Reports'!F1763</f>
      </c>
      <c r="J1764">
        <f>'R.M Billets Reports'!G1763</f>
      </c>
      <c r="K1764">
        <f>'R.M Billets Reports'!H1763</f>
      </c>
      <c r="L1764">
        <f>IF('R.M Billets Reports'!I1763="","",'R.M Billets Reports'!I1763)</f>
      </c>
      <c r="M1764">
        <f t="shared" si="54"/>
      </c>
      <c r="N1764">
        <f>IF('R.M Billets Reports'!J1763="","",'R.M Billets Reports'!J1763)</f>
      </c>
      <c r="O1764">
        <f t="shared" si="55"/>
      </c>
      <c r="P1764">
        <f>IF('R.M Billets Reports'!A1763="SIZE",'R.M Billets Reports'!B1763,P1763)</f>
      </c>
    </row>
    <row r="1765" spans="1:16" x14ac:dyDescent="0.25">
      <c r="A1765">
        <f>IF(OR('R.M Billets Reports'!A1764="Date-",'R.M Billets Reports'!A1764="Date:-"),IF(IF(IF(ISNUMBER(SEARCH("Party Name:-",'R.M Billets Reports'!D1764)),TRIM('R.M Billets Reports'!F1764),IF(ISNUMBER(SEARCH("Party Name-",'R.M Billets Reports'!D1764)),TRIM(MID('R.M Billets Reports'!D1764,SEARCH("-",'R.M Billets Reports'!D1764)+1,200)),""))&lt;&gt;"",IF(ISNUMBER(SEARCH("Party Name:-",'R.M Billets Reports'!D1764)),TRIM('R.M Billets Reports'!F1764),IF(ISNUMBER(SEARCH("Party Name-",'R.M Billets Reports'!D1764)),TRIM(MID('R.M Billets Reports'!D1764,SEARCH("-",'R.M Billets Reports'!D1764)+1,200)),"")),IF(ISNUMBER(SEARCH("Party Name:-",'R.M Billets Reports'!D1765)),TRIM('R.M Billets Reports'!F1765),IF(ISNUMBER(SEARCH("Party Name-",'R.M Billets Reports'!D1765)),TRIM(MID('R.M Billets Reports'!D1765,SEARCH("-",'R.M Billets Reports'!D1765)+1,200)),"")))="VRKP ISPAT PVT LTD","VRKP",IF(IF(IF(ISNUMBER(SEARCH("Party Name:-",'R.M Billets Reports'!D1764)),TRIM('R.M Billets Reports'!F1764),IF(ISNUMBER(SEARCH("Party Name-",'R.M Billets Reports'!D1764)),TRIM(MID('R.M Billets Reports'!D1764,SEARCH("-",'R.M Billets Reports'!D1764)+1,200)),""))&lt;&gt;"",IF(ISNUMBER(SEARCH("Party Name:-",'R.M Billets Reports'!D1764)),TRIM('R.M Billets Reports'!F1764),IF(ISNUMBER(SEARCH("Party Name-",'R.M Billets Reports'!D1764)),TRIM(MID('R.M Billets Reports'!D1764,SEARCH("-",'R.M Billets Reports'!D1764)+1,200)),"")),IF(ISNUMBER(SEARCH("Party Name:-",'R.M Billets Reports'!D1765)),TRIM('R.M Billets Reports'!F1765),IF(ISNUMBER(SEARCH("Party Name-",'R.M Billets Reports'!D1765)),TRIM(MID('R.M Billets Reports'!D1765,SEARCH("-",'R.M Billets Reports'!D1765)+1,200)),"")))="SHRI RADHE","SHREE RADHE",IF(IF(IF(ISNUMBER(SEARCH("Party Name:-",'R.M Billets Reports'!D1764)),TRIM('R.M Billets Reports'!F1764),IF(ISNUMBER(SEARCH("Party Name-",'R.M Billets Reports'!D1764)),TRIM(MID('R.M Billets Reports'!D1764,SEARCH("-",'R.M Billets Reports'!D1764)+1,200)),""))&lt;&gt;"",IF(ISNUMBER(SEARCH("Party Name:-",'R.M Billets Reports'!D1764)),TRIM('R.M Billets Reports'!F1764),IF(ISNUMBER(SEARCH("Party Name-",'R.M Billets Reports'!D1764)),TRIM(MID('R.M Billets Reports'!D1764,SEARCH("-",'R.M Billets Reports'!D1764)+1,200)),"")),IF(ISNUMBER(SEARCH("Party Name:-",'R.M Billets Reports'!D1765)),TRIM('R.M Billets Reports'!F1765),IF(ISNUMBER(SEARCH("Party Name-",'R.M Billets Reports'!D1765)),TRIM(MID('R.M Billets Reports'!D1765,SEARCH("-",'R.M Billets Reports'!D1765)+1,200)),"")))="SHREE RADHE SHAKTI SPONGE AND POWER PVT. LTD.","SHREE RADHE",IF(IF(ISNUMBER(SEARCH("Party Name:-",'R.M Billets Reports'!D1764)),TRIM('R.M Billets Reports'!F1764),IF(ISNUMBER(SEARCH("Party Name-",'R.M Billets Reports'!D1764)),TRIM(MID('R.M Billets Reports'!D1764,SEARCH("-",'R.M Billets Reports'!D1764)+1,200)),""))&lt;&gt;"",IF(ISNUMBER(SEARCH("Party Name:-",'R.M Billets Reports'!D1764)),TRIM('R.M Billets Reports'!F1764),IF(ISNUMBER(SEARCH("Party Name-",'R.M Billets Reports'!D1764)),TRIM(MID('R.M Billets Reports'!D1764,SEARCH("-",'R.M Billets Reports'!D1764)+1,200)),"")),IF(ISNUMBER(SEARCH("Party Name:-",'R.M Billets Reports'!D1765)),TRIM('R.M Billets Reports'!F1765),IF(ISNUMBER(SEARCH("Party Name-",'R.M Billets Reports'!D1765)),TRIM(MID('R.M Billets Reports'!D1765,SEARCH("-",'R.M Billets Reports'!D1765)+1,200)),"")))))),IF(ROW()=2,"",A1764))</f>
      </c>
      <c r="B1765">
        <f>IF(OR('R.M Billets Reports'!A1764="Date-",'R.M Billets Reports'!A1764="Date:-"),'R.M Billets Reports'!B1764,IF(ROW()=2,"",B1764))</f>
      </c>
      <c r="C1765">
        <f>IF('R.M Billets Reports'!A1764="V.No.",'R.M Billets Reports'!B1764,IF(ROW()=2,"",C1764))</f>
      </c>
      <c r="D1765">
        <f>IF('R.M Billets Reports'!A1764&lt;&gt;"",'R.M Billets Reports'!A1764,IF(ROW()=2,"",D1764))</f>
      </c>
      <c r="E1765">
        <f>IF('R.M Billets Reports'!B1764="","",TRIM('R.M Billets Reports'!B1764))</f>
      </c>
      <c r="F1765">
        <f>'R.M Billets Reports'!C1764</f>
      </c>
      <c r="G1765">
        <f>'R.M Billets Reports'!D1764</f>
      </c>
      <c r="H1765">
        <f>'R.M Billets Reports'!E1764</f>
      </c>
      <c r="I1765">
        <f>'R.M Billets Reports'!F1764</f>
      </c>
      <c r="J1765">
        <f>'R.M Billets Reports'!G1764</f>
      </c>
      <c r="K1765">
        <f>'R.M Billets Reports'!H1764</f>
      </c>
      <c r="L1765">
        <f>IF('R.M Billets Reports'!I1764="","",'R.M Billets Reports'!I1764)</f>
      </c>
      <c r="M1765">
        <f t="shared" si="54"/>
      </c>
      <c r="N1765">
        <f>IF('R.M Billets Reports'!J1764="","",'R.M Billets Reports'!J1764)</f>
      </c>
      <c r="O1765">
        <f t="shared" si="55"/>
      </c>
      <c r="P1765">
        <f>IF('R.M Billets Reports'!A1764="SIZE",'R.M Billets Reports'!B1764,P1764)</f>
      </c>
    </row>
    <row r="1766" spans="1:16" x14ac:dyDescent="0.25">
      <c r="A1766">
        <f>IF(OR('R.M Billets Reports'!A1765="Date-",'R.M Billets Reports'!A1765="Date:-"),IF(IF(IF(ISNUMBER(SEARCH("Party Name:-",'R.M Billets Reports'!D1765)),TRIM('R.M Billets Reports'!F1765),IF(ISNUMBER(SEARCH("Party Name-",'R.M Billets Reports'!D1765)),TRIM(MID('R.M Billets Reports'!D1765,SEARCH("-",'R.M Billets Reports'!D1765)+1,200)),""))&lt;&gt;"",IF(ISNUMBER(SEARCH("Party Name:-",'R.M Billets Reports'!D1765)),TRIM('R.M Billets Reports'!F1765),IF(ISNUMBER(SEARCH("Party Name-",'R.M Billets Reports'!D1765)),TRIM(MID('R.M Billets Reports'!D1765,SEARCH("-",'R.M Billets Reports'!D1765)+1,200)),"")),IF(ISNUMBER(SEARCH("Party Name:-",'R.M Billets Reports'!D1766)),TRIM('R.M Billets Reports'!F1766),IF(ISNUMBER(SEARCH("Party Name-",'R.M Billets Reports'!D1766)),TRIM(MID('R.M Billets Reports'!D1766,SEARCH("-",'R.M Billets Reports'!D1766)+1,200)),"")))="VRKP ISPAT PVT LTD","VRKP",IF(IF(IF(ISNUMBER(SEARCH("Party Name:-",'R.M Billets Reports'!D1765)),TRIM('R.M Billets Reports'!F1765),IF(ISNUMBER(SEARCH("Party Name-",'R.M Billets Reports'!D1765)),TRIM(MID('R.M Billets Reports'!D1765,SEARCH("-",'R.M Billets Reports'!D1765)+1,200)),""))&lt;&gt;"",IF(ISNUMBER(SEARCH("Party Name:-",'R.M Billets Reports'!D1765)),TRIM('R.M Billets Reports'!F1765),IF(ISNUMBER(SEARCH("Party Name-",'R.M Billets Reports'!D1765)),TRIM(MID('R.M Billets Reports'!D1765,SEARCH("-",'R.M Billets Reports'!D1765)+1,200)),"")),IF(ISNUMBER(SEARCH("Party Name:-",'R.M Billets Reports'!D1766)),TRIM('R.M Billets Reports'!F1766),IF(ISNUMBER(SEARCH("Party Name-",'R.M Billets Reports'!D1766)),TRIM(MID('R.M Billets Reports'!D1766,SEARCH("-",'R.M Billets Reports'!D1766)+1,200)),"")))="SHRI RADHE","SHREE RADHE",IF(IF(IF(ISNUMBER(SEARCH("Party Name:-",'R.M Billets Reports'!D1765)),TRIM('R.M Billets Reports'!F1765),IF(ISNUMBER(SEARCH("Party Name-",'R.M Billets Reports'!D1765)),TRIM(MID('R.M Billets Reports'!D1765,SEARCH("-",'R.M Billets Reports'!D1765)+1,200)),""))&lt;&gt;"",IF(ISNUMBER(SEARCH("Party Name:-",'R.M Billets Reports'!D1765)),TRIM('R.M Billets Reports'!F1765),IF(ISNUMBER(SEARCH("Party Name-",'R.M Billets Reports'!D1765)),TRIM(MID('R.M Billets Reports'!D1765,SEARCH("-",'R.M Billets Reports'!D1765)+1,200)),"")),IF(ISNUMBER(SEARCH("Party Name:-",'R.M Billets Reports'!D1766)),TRIM('R.M Billets Reports'!F1766),IF(ISNUMBER(SEARCH("Party Name-",'R.M Billets Reports'!D1766)),TRIM(MID('R.M Billets Reports'!D1766,SEARCH("-",'R.M Billets Reports'!D1766)+1,200)),"")))="SHREE RADHE SHAKTI SPONGE AND POWER PVT. LTD.","SHREE RADHE",IF(IF(ISNUMBER(SEARCH("Party Name:-",'R.M Billets Reports'!D1765)),TRIM('R.M Billets Reports'!F1765),IF(ISNUMBER(SEARCH("Party Name-",'R.M Billets Reports'!D1765)),TRIM(MID('R.M Billets Reports'!D1765,SEARCH("-",'R.M Billets Reports'!D1765)+1,200)),""))&lt;&gt;"",IF(ISNUMBER(SEARCH("Party Name:-",'R.M Billets Reports'!D1765)),TRIM('R.M Billets Reports'!F1765),IF(ISNUMBER(SEARCH("Party Name-",'R.M Billets Reports'!D1765)),TRIM(MID('R.M Billets Reports'!D1765,SEARCH("-",'R.M Billets Reports'!D1765)+1,200)),"")),IF(ISNUMBER(SEARCH("Party Name:-",'R.M Billets Reports'!D1766)),TRIM('R.M Billets Reports'!F1766),IF(ISNUMBER(SEARCH("Party Name-",'R.M Billets Reports'!D1766)),TRIM(MID('R.M Billets Reports'!D1766,SEARCH("-",'R.M Billets Reports'!D1766)+1,200)),"")))))),IF(ROW()=2,"",A1765))</f>
      </c>
      <c r="B1766">
        <f>IF(OR('R.M Billets Reports'!A1765="Date-",'R.M Billets Reports'!A1765="Date:-"),'R.M Billets Reports'!B1765,IF(ROW()=2,"",B1765))</f>
      </c>
      <c r="C1766">
        <f>IF('R.M Billets Reports'!A1765="V.No.",'R.M Billets Reports'!B1765,IF(ROW()=2,"",C1765))</f>
      </c>
      <c r="D1766">
        <f>IF('R.M Billets Reports'!A1765&lt;&gt;"",'R.M Billets Reports'!A1765,IF(ROW()=2,"",D1765))</f>
      </c>
      <c r="E1766">
        <f>IF('R.M Billets Reports'!B1765="","",TRIM('R.M Billets Reports'!B1765))</f>
      </c>
      <c r="F1766">
        <f>'R.M Billets Reports'!C1765</f>
      </c>
      <c r="G1766">
        <f>'R.M Billets Reports'!D1765</f>
      </c>
      <c r="H1766">
        <f>'R.M Billets Reports'!E1765</f>
      </c>
      <c r="I1766">
        <f>'R.M Billets Reports'!F1765</f>
      </c>
      <c r="J1766">
        <f>'R.M Billets Reports'!G1765</f>
      </c>
      <c r="K1766">
        <f>'R.M Billets Reports'!H1765</f>
      </c>
      <c r="L1766">
        <f>IF('R.M Billets Reports'!I1765="","",'R.M Billets Reports'!I1765)</f>
      </c>
      <c r="M1766">
        <f t="shared" si="54"/>
      </c>
      <c r="N1766">
        <f>IF('R.M Billets Reports'!J1765="","",'R.M Billets Reports'!J1765)</f>
      </c>
      <c r="O1766">
        <f t="shared" si="55"/>
      </c>
      <c r="P1766">
        <f>IF('R.M Billets Reports'!A1765="SIZE",'R.M Billets Reports'!B1765,P1765)</f>
      </c>
    </row>
    <row r="1767" spans="1:16" x14ac:dyDescent="0.25">
      <c r="A1767">
        <f>IF(OR('R.M Billets Reports'!A1766="Date-",'R.M Billets Reports'!A1766="Date:-"),IF(IF(IF(ISNUMBER(SEARCH("Party Name:-",'R.M Billets Reports'!D1766)),TRIM('R.M Billets Reports'!F1766),IF(ISNUMBER(SEARCH("Party Name-",'R.M Billets Reports'!D1766)),TRIM(MID('R.M Billets Reports'!D1766,SEARCH("-",'R.M Billets Reports'!D1766)+1,200)),""))&lt;&gt;"",IF(ISNUMBER(SEARCH("Party Name:-",'R.M Billets Reports'!D1766)),TRIM('R.M Billets Reports'!F1766),IF(ISNUMBER(SEARCH("Party Name-",'R.M Billets Reports'!D1766)),TRIM(MID('R.M Billets Reports'!D1766,SEARCH("-",'R.M Billets Reports'!D1766)+1,200)),"")),IF(ISNUMBER(SEARCH("Party Name:-",'R.M Billets Reports'!D1767)),TRIM('R.M Billets Reports'!F1767),IF(ISNUMBER(SEARCH("Party Name-",'R.M Billets Reports'!D1767)),TRIM(MID('R.M Billets Reports'!D1767,SEARCH("-",'R.M Billets Reports'!D1767)+1,200)),"")))="VRKP ISPAT PVT LTD","VRKP",IF(IF(IF(ISNUMBER(SEARCH("Party Name:-",'R.M Billets Reports'!D1766)),TRIM('R.M Billets Reports'!F1766),IF(ISNUMBER(SEARCH("Party Name-",'R.M Billets Reports'!D1766)),TRIM(MID('R.M Billets Reports'!D1766,SEARCH("-",'R.M Billets Reports'!D1766)+1,200)),""))&lt;&gt;"",IF(ISNUMBER(SEARCH("Party Name:-",'R.M Billets Reports'!D1766)),TRIM('R.M Billets Reports'!F1766),IF(ISNUMBER(SEARCH("Party Name-",'R.M Billets Reports'!D1766)),TRIM(MID('R.M Billets Reports'!D1766,SEARCH("-",'R.M Billets Reports'!D1766)+1,200)),"")),IF(ISNUMBER(SEARCH("Party Name:-",'R.M Billets Reports'!D1767)),TRIM('R.M Billets Reports'!F1767),IF(ISNUMBER(SEARCH("Party Name-",'R.M Billets Reports'!D1767)),TRIM(MID('R.M Billets Reports'!D1767,SEARCH("-",'R.M Billets Reports'!D1767)+1,200)),"")))="SHRI RADHE","SHREE RADHE",IF(IF(IF(ISNUMBER(SEARCH("Party Name:-",'R.M Billets Reports'!D1766)),TRIM('R.M Billets Reports'!F1766),IF(ISNUMBER(SEARCH("Party Name-",'R.M Billets Reports'!D1766)),TRIM(MID('R.M Billets Reports'!D1766,SEARCH("-",'R.M Billets Reports'!D1766)+1,200)),""))&lt;&gt;"",IF(ISNUMBER(SEARCH("Party Name:-",'R.M Billets Reports'!D1766)),TRIM('R.M Billets Reports'!F1766),IF(ISNUMBER(SEARCH("Party Name-",'R.M Billets Reports'!D1766)),TRIM(MID('R.M Billets Reports'!D1766,SEARCH("-",'R.M Billets Reports'!D1766)+1,200)),"")),IF(ISNUMBER(SEARCH("Party Name:-",'R.M Billets Reports'!D1767)),TRIM('R.M Billets Reports'!F1767),IF(ISNUMBER(SEARCH("Party Name-",'R.M Billets Reports'!D1767)),TRIM(MID('R.M Billets Reports'!D1767,SEARCH("-",'R.M Billets Reports'!D1767)+1,200)),"")))="SHREE RADHE SHAKTI SPONGE AND POWER PVT. LTD.","SHREE RADHE",IF(IF(ISNUMBER(SEARCH("Party Name:-",'R.M Billets Reports'!D1766)),TRIM('R.M Billets Reports'!F1766),IF(ISNUMBER(SEARCH("Party Name-",'R.M Billets Reports'!D1766)),TRIM(MID('R.M Billets Reports'!D1766,SEARCH("-",'R.M Billets Reports'!D1766)+1,200)),""))&lt;&gt;"",IF(ISNUMBER(SEARCH("Party Name:-",'R.M Billets Reports'!D1766)),TRIM('R.M Billets Reports'!F1766),IF(ISNUMBER(SEARCH("Party Name-",'R.M Billets Reports'!D1766)),TRIM(MID('R.M Billets Reports'!D1766,SEARCH("-",'R.M Billets Reports'!D1766)+1,200)),"")),IF(ISNUMBER(SEARCH("Party Name:-",'R.M Billets Reports'!D1767)),TRIM('R.M Billets Reports'!F1767),IF(ISNUMBER(SEARCH("Party Name-",'R.M Billets Reports'!D1767)),TRIM(MID('R.M Billets Reports'!D1767,SEARCH("-",'R.M Billets Reports'!D1767)+1,200)),"")))))),IF(ROW()=2,"",A1766))</f>
      </c>
      <c r="B1767">
        <f>IF(OR('R.M Billets Reports'!A1766="Date-",'R.M Billets Reports'!A1766="Date:-"),'R.M Billets Reports'!B1766,IF(ROW()=2,"",B1766))</f>
      </c>
      <c r="C1767">
        <f>IF('R.M Billets Reports'!A1766="V.No.",'R.M Billets Reports'!B1766,IF(ROW()=2,"",C1766))</f>
      </c>
      <c r="D1767">
        <f>IF('R.M Billets Reports'!A1766&lt;&gt;"",'R.M Billets Reports'!A1766,IF(ROW()=2,"",D1766))</f>
      </c>
      <c r="E1767">
        <f>IF('R.M Billets Reports'!B1766="","",TRIM('R.M Billets Reports'!B1766))</f>
      </c>
      <c r="F1767">
        <f>'R.M Billets Reports'!C1766</f>
      </c>
      <c r="G1767">
        <f>'R.M Billets Reports'!D1766</f>
      </c>
      <c r="H1767">
        <f>'R.M Billets Reports'!E1766</f>
      </c>
      <c r="I1767">
        <f>'R.M Billets Reports'!F1766</f>
      </c>
      <c r="J1767">
        <f>'R.M Billets Reports'!G1766</f>
      </c>
      <c r="K1767">
        <f>'R.M Billets Reports'!H1766</f>
      </c>
      <c r="L1767">
        <f>IF('R.M Billets Reports'!I1766="","",'R.M Billets Reports'!I1766)</f>
      </c>
      <c r="M1767">
        <f t="shared" si="54"/>
      </c>
      <c r="N1767">
        <f>IF('R.M Billets Reports'!J1766="","",'R.M Billets Reports'!J1766)</f>
      </c>
      <c r="O1767">
        <f t="shared" si="55"/>
      </c>
      <c r="P1767">
        <f>IF('R.M Billets Reports'!A1766="SIZE",'R.M Billets Reports'!B1766,P1766)</f>
      </c>
    </row>
    <row r="1768" spans="1:16" x14ac:dyDescent="0.25">
      <c r="A1768">
        <f>IF(OR('R.M Billets Reports'!A1767="Date-",'R.M Billets Reports'!A1767="Date:-"),IF(IF(IF(ISNUMBER(SEARCH("Party Name:-",'R.M Billets Reports'!D1767)),TRIM('R.M Billets Reports'!F1767),IF(ISNUMBER(SEARCH("Party Name-",'R.M Billets Reports'!D1767)),TRIM(MID('R.M Billets Reports'!D1767,SEARCH("-",'R.M Billets Reports'!D1767)+1,200)),""))&lt;&gt;"",IF(ISNUMBER(SEARCH("Party Name:-",'R.M Billets Reports'!D1767)),TRIM('R.M Billets Reports'!F1767),IF(ISNUMBER(SEARCH("Party Name-",'R.M Billets Reports'!D1767)),TRIM(MID('R.M Billets Reports'!D1767,SEARCH("-",'R.M Billets Reports'!D1767)+1,200)),"")),IF(ISNUMBER(SEARCH("Party Name:-",'R.M Billets Reports'!D1768)),TRIM('R.M Billets Reports'!F1768),IF(ISNUMBER(SEARCH("Party Name-",'R.M Billets Reports'!D1768)),TRIM(MID('R.M Billets Reports'!D1768,SEARCH("-",'R.M Billets Reports'!D1768)+1,200)),"")))="VRKP ISPAT PVT LTD","VRKP",IF(IF(IF(ISNUMBER(SEARCH("Party Name:-",'R.M Billets Reports'!D1767)),TRIM('R.M Billets Reports'!F1767),IF(ISNUMBER(SEARCH("Party Name-",'R.M Billets Reports'!D1767)),TRIM(MID('R.M Billets Reports'!D1767,SEARCH("-",'R.M Billets Reports'!D1767)+1,200)),""))&lt;&gt;"",IF(ISNUMBER(SEARCH("Party Name:-",'R.M Billets Reports'!D1767)),TRIM('R.M Billets Reports'!F1767),IF(ISNUMBER(SEARCH("Party Name-",'R.M Billets Reports'!D1767)),TRIM(MID('R.M Billets Reports'!D1767,SEARCH("-",'R.M Billets Reports'!D1767)+1,200)),"")),IF(ISNUMBER(SEARCH("Party Name:-",'R.M Billets Reports'!D1768)),TRIM('R.M Billets Reports'!F1768),IF(ISNUMBER(SEARCH("Party Name-",'R.M Billets Reports'!D1768)),TRIM(MID('R.M Billets Reports'!D1768,SEARCH("-",'R.M Billets Reports'!D1768)+1,200)),"")))="SHRI RADHE","SHREE RADHE",IF(IF(IF(ISNUMBER(SEARCH("Party Name:-",'R.M Billets Reports'!D1767)),TRIM('R.M Billets Reports'!F1767),IF(ISNUMBER(SEARCH("Party Name-",'R.M Billets Reports'!D1767)),TRIM(MID('R.M Billets Reports'!D1767,SEARCH("-",'R.M Billets Reports'!D1767)+1,200)),""))&lt;&gt;"",IF(ISNUMBER(SEARCH("Party Name:-",'R.M Billets Reports'!D1767)),TRIM('R.M Billets Reports'!F1767),IF(ISNUMBER(SEARCH("Party Name-",'R.M Billets Reports'!D1767)),TRIM(MID('R.M Billets Reports'!D1767,SEARCH("-",'R.M Billets Reports'!D1767)+1,200)),"")),IF(ISNUMBER(SEARCH("Party Name:-",'R.M Billets Reports'!D1768)),TRIM('R.M Billets Reports'!F1768),IF(ISNUMBER(SEARCH("Party Name-",'R.M Billets Reports'!D1768)),TRIM(MID('R.M Billets Reports'!D1768,SEARCH("-",'R.M Billets Reports'!D1768)+1,200)),"")))="SHREE RADHE SHAKTI SPONGE AND POWER PVT. LTD.","SHREE RADHE",IF(IF(ISNUMBER(SEARCH("Party Name:-",'R.M Billets Reports'!D1767)),TRIM('R.M Billets Reports'!F1767),IF(ISNUMBER(SEARCH("Party Name-",'R.M Billets Reports'!D1767)),TRIM(MID('R.M Billets Reports'!D1767,SEARCH("-",'R.M Billets Reports'!D1767)+1,200)),""))&lt;&gt;"",IF(ISNUMBER(SEARCH("Party Name:-",'R.M Billets Reports'!D1767)),TRIM('R.M Billets Reports'!F1767),IF(ISNUMBER(SEARCH("Party Name-",'R.M Billets Reports'!D1767)),TRIM(MID('R.M Billets Reports'!D1767,SEARCH("-",'R.M Billets Reports'!D1767)+1,200)),"")),IF(ISNUMBER(SEARCH("Party Name:-",'R.M Billets Reports'!D1768)),TRIM('R.M Billets Reports'!F1768),IF(ISNUMBER(SEARCH("Party Name-",'R.M Billets Reports'!D1768)),TRIM(MID('R.M Billets Reports'!D1768,SEARCH("-",'R.M Billets Reports'!D1768)+1,200)),"")))))),IF(ROW()=2,"",A1767))</f>
      </c>
      <c r="B1768">
        <f>IF(OR('R.M Billets Reports'!A1767="Date-",'R.M Billets Reports'!A1767="Date:-"),'R.M Billets Reports'!B1767,IF(ROW()=2,"",B1767))</f>
      </c>
      <c r="C1768">
        <f>IF('R.M Billets Reports'!A1767="V.No.",'R.M Billets Reports'!B1767,IF(ROW()=2,"",C1767))</f>
      </c>
      <c r="D1768">
        <f>IF('R.M Billets Reports'!A1767&lt;&gt;"",'R.M Billets Reports'!A1767,IF(ROW()=2,"",D1767))</f>
      </c>
      <c r="E1768">
        <f>IF('R.M Billets Reports'!B1767="","",TRIM('R.M Billets Reports'!B1767))</f>
      </c>
      <c r="F1768">
        <f>'R.M Billets Reports'!C1767</f>
      </c>
      <c r="G1768">
        <f>'R.M Billets Reports'!D1767</f>
      </c>
      <c r="H1768">
        <f>'R.M Billets Reports'!E1767</f>
      </c>
      <c r="I1768">
        <f>'R.M Billets Reports'!F1767</f>
      </c>
      <c r="J1768">
        <f>'R.M Billets Reports'!G1767</f>
      </c>
      <c r="K1768">
        <f>'R.M Billets Reports'!H1767</f>
      </c>
      <c r="L1768">
        <f>IF('R.M Billets Reports'!I1767="","",'R.M Billets Reports'!I1767)</f>
      </c>
      <c r="M1768">
        <f t="shared" si="54"/>
      </c>
      <c r="N1768">
        <f>IF('R.M Billets Reports'!J1767="","",'R.M Billets Reports'!J1767)</f>
      </c>
      <c r="O1768">
        <f t="shared" si="55"/>
      </c>
      <c r="P1768">
        <f>IF('R.M Billets Reports'!A1767="SIZE",'R.M Billets Reports'!B1767,P1767)</f>
      </c>
    </row>
    <row r="1769" spans="1:16" x14ac:dyDescent="0.25">
      <c r="A1769">
        <f>IF(OR('R.M Billets Reports'!A1768="Date-",'R.M Billets Reports'!A1768="Date:-"),IF(IF(IF(ISNUMBER(SEARCH("Party Name:-",'R.M Billets Reports'!D1768)),TRIM('R.M Billets Reports'!F1768),IF(ISNUMBER(SEARCH("Party Name-",'R.M Billets Reports'!D1768)),TRIM(MID('R.M Billets Reports'!D1768,SEARCH("-",'R.M Billets Reports'!D1768)+1,200)),""))&lt;&gt;"",IF(ISNUMBER(SEARCH("Party Name:-",'R.M Billets Reports'!D1768)),TRIM('R.M Billets Reports'!F1768),IF(ISNUMBER(SEARCH("Party Name-",'R.M Billets Reports'!D1768)),TRIM(MID('R.M Billets Reports'!D1768,SEARCH("-",'R.M Billets Reports'!D1768)+1,200)),"")),IF(ISNUMBER(SEARCH("Party Name:-",'R.M Billets Reports'!D1769)),TRIM('R.M Billets Reports'!F1769),IF(ISNUMBER(SEARCH("Party Name-",'R.M Billets Reports'!D1769)),TRIM(MID('R.M Billets Reports'!D1769,SEARCH("-",'R.M Billets Reports'!D1769)+1,200)),"")))="VRKP ISPAT PVT LTD","VRKP",IF(IF(IF(ISNUMBER(SEARCH("Party Name:-",'R.M Billets Reports'!D1768)),TRIM('R.M Billets Reports'!F1768),IF(ISNUMBER(SEARCH("Party Name-",'R.M Billets Reports'!D1768)),TRIM(MID('R.M Billets Reports'!D1768,SEARCH("-",'R.M Billets Reports'!D1768)+1,200)),""))&lt;&gt;"",IF(ISNUMBER(SEARCH("Party Name:-",'R.M Billets Reports'!D1768)),TRIM('R.M Billets Reports'!F1768),IF(ISNUMBER(SEARCH("Party Name-",'R.M Billets Reports'!D1768)),TRIM(MID('R.M Billets Reports'!D1768,SEARCH("-",'R.M Billets Reports'!D1768)+1,200)),"")),IF(ISNUMBER(SEARCH("Party Name:-",'R.M Billets Reports'!D1769)),TRIM('R.M Billets Reports'!F1769),IF(ISNUMBER(SEARCH("Party Name-",'R.M Billets Reports'!D1769)),TRIM(MID('R.M Billets Reports'!D1769,SEARCH("-",'R.M Billets Reports'!D1769)+1,200)),"")))="SHRI RADHE","SHREE RADHE",IF(IF(IF(ISNUMBER(SEARCH("Party Name:-",'R.M Billets Reports'!D1768)),TRIM('R.M Billets Reports'!F1768),IF(ISNUMBER(SEARCH("Party Name-",'R.M Billets Reports'!D1768)),TRIM(MID('R.M Billets Reports'!D1768,SEARCH("-",'R.M Billets Reports'!D1768)+1,200)),""))&lt;&gt;"",IF(ISNUMBER(SEARCH("Party Name:-",'R.M Billets Reports'!D1768)),TRIM('R.M Billets Reports'!F1768),IF(ISNUMBER(SEARCH("Party Name-",'R.M Billets Reports'!D1768)),TRIM(MID('R.M Billets Reports'!D1768,SEARCH("-",'R.M Billets Reports'!D1768)+1,200)),"")),IF(ISNUMBER(SEARCH("Party Name:-",'R.M Billets Reports'!D1769)),TRIM('R.M Billets Reports'!F1769),IF(ISNUMBER(SEARCH("Party Name-",'R.M Billets Reports'!D1769)),TRIM(MID('R.M Billets Reports'!D1769,SEARCH("-",'R.M Billets Reports'!D1769)+1,200)),"")))="SHREE RADHE SHAKTI SPONGE AND POWER PVT. LTD.","SHREE RADHE",IF(IF(ISNUMBER(SEARCH("Party Name:-",'R.M Billets Reports'!D1768)),TRIM('R.M Billets Reports'!F1768),IF(ISNUMBER(SEARCH("Party Name-",'R.M Billets Reports'!D1768)),TRIM(MID('R.M Billets Reports'!D1768,SEARCH("-",'R.M Billets Reports'!D1768)+1,200)),""))&lt;&gt;"",IF(ISNUMBER(SEARCH("Party Name:-",'R.M Billets Reports'!D1768)),TRIM('R.M Billets Reports'!F1768),IF(ISNUMBER(SEARCH("Party Name-",'R.M Billets Reports'!D1768)),TRIM(MID('R.M Billets Reports'!D1768,SEARCH("-",'R.M Billets Reports'!D1768)+1,200)),"")),IF(ISNUMBER(SEARCH("Party Name:-",'R.M Billets Reports'!D1769)),TRIM('R.M Billets Reports'!F1769),IF(ISNUMBER(SEARCH("Party Name-",'R.M Billets Reports'!D1769)),TRIM(MID('R.M Billets Reports'!D1769,SEARCH("-",'R.M Billets Reports'!D1769)+1,200)),"")))))),IF(ROW()=2,"",A1768))</f>
      </c>
      <c r="B1769">
        <f>IF(OR('R.M Billets Reports'!A1768="Date-",'R.M Billets Reports'!A1768="Date:-"),'R.M Billets Reports'!B1768,IF(ROW()=2,"",B1768))</f>
      </c>
      <c r="C1769">
        <f>IF('R.M Billets Reports'!A1768="V.No.",'R.M Billets Reports'!B1768,IF(ROW()=2,"",C1768))</f>
      </c>
      <c r="D1769">
        <f>IF('R.M Billets Reports'!A1768&lt;&gt;"",'R.M Billets Reports'!A1768,IF(ROW()=2,"",D1768))</f>
      </c>
      <c r="E1769">
        <f>IF('R.M Billets Reports'!B1768="","",TRIM('R.M Billets Reports'!B1768))</f>
      </c>
      <c r="F1769">
        <f>'R.M Billets Reports'!C1768</f>
      </c>
      <c r="G1769">
        <f>'R.M Billets Reports'!D1768</f>
      </c>
      <c r="H1769">
        <f>'R.M Billets Reports'!E1768</f>
      </c>
      <c r="I1769">
        <f>'R.M Billets Reports'!F1768</f>
      </c>
      <c r="J1769">
        <f>'R.M Billets Reports'!G1768</f>
      </c>
      <c r="K1769">
        <f>'R.M Billets Reports'!H1768</f>
      </c>
      <c r="L1769">
        <f>IF('R.M Billets Reports'!I1768="","",'R.M Billets Reports'!I1768)</f>
      </c>
      <c r="M1769">
        <f t="shared" si="54"/>
      </c>
      <c r="N1769">
        <f>IF('R.M Billets Reports'!J1768="","",'R.M Billets Reports'!J1768)</f>
      </c>
      <c r="O1769">
        <f t="shared" si="55"/>
      </c>
      <c r="P1769">
        <f>IF('R.M Billets Reports'!A1768="SIZE",'R.M Billets Reports'!B1768,P1768)</f>
      </c>
    </row>
    <row r="1770" spans="1:16" x14ac:dyDescent="0.25">
      <c r="A1770">
        <f>IF(OR('R.M Billets Reports'!A1769="Date-",'R.M Billets Reports'!A1769="Date:-"),IF(IF(IF(ISNUMBER(SEARCH("Party Name:-",'R.M Billets Reports'!D1769)),TRIM('R.M Billets Reports'!F1769),IF(ISNUMBER(SEARCH("Party Name-",'R.M Billets Reports'!D1769)),TRIM(MID('R.M Billets Reports'!D1769,SEARCH("-",'R.M Billets Reports'!D1769)+1,200)),""))&lt;&gt;"",IF(ISNUMBER(SEARCH("Party Name:-",'R.M Billets Reports'!D1769)),TRIM('R.M Billets Reports'!F1769),IF(ISNUMBER(SEARCH("Party Name-",'R.M Billets Reports'!D1769)),TRIM(MID('R.M Billets Reports'!D1769,SEARCH("-",'R.M Billets Reports'!D1769)+1,200)),"")),IF(ISNUMBER(SEARCH("Party Name:-",'R.M Billets Reports'!D1770)),TRIM('R.M Billets Reports'!F1770),IF(ISNUMBER(SEARCH("Party Name-",'R.M Billets Reports'!D1770)),TRIM(MID('R.M Billets Reports'!D1770,SEARCH("-",'R.M Billets Reports'!D1770)+1,200)),"")))="VRKP ISPAT PVT LTD","VRKP",IF(IF(IF(ISNUMBER(SEARCH("Party Name:-",'R.M Billets Reports'!D1769)),TRIM('R.M Billets Reports'!F1769),IF(ISNUMBER(SEARCH("Party Name-",'R.M Billets Reports'!D1769)),TRIM(MID('R.M Billets Reports'!D1769,SEARCH("-",'R.M Billets Reports'!D1769)+1,200)),""))&lt;&gt;"",IF(ISNUMBER(SEARCH("Party Name:-",'R.M Billets Reports'!D1769)),TRIM('R.M Billets Reports'!F1769),IF(ISNUMBER(SEARCH("Party Name-",'R.M Billets Reports'!D1769)),TRIM(MID('R.M Billets Reports'!D1769,SEARCH("-",'R.M Billets Reports'!D1769)+1,200)),"")),IF(ISNUMBER(SEARCH("Party Name:-",'R.M Billets Reports'!D1770)),TRIM('R.M Billets Reports'!F1770),IF(ISNUMBER(SEARCH("Party Name-",'R.M Billets Reports'!D1770)),TRIM(MID('R.M Billets Reports'!D1770,SEARCH("-",'R.M Billets Reports'!D1770)+1,200)),"")))="SHRI RADHE","SHREE RADHE",IF(IF(IF(ISNUMBER(SEARCH("Party Name:-",'R.M Billets Reports'!D1769)),TRIM('R.M Billets Reports'!F1769),IF(ISNUMBER(SEARCH("Party Name-",'R.M Billets Reports'!D1769)),TRIM(MID('R.M Billets Reports'!D1769,SEARCH("-",'R.M Billets Reports'!D1769)+1,200)),""))&lt;&gt;"",IF(ISNUMBER(SEARCH("Party Name:-",'R.M Billets Reports'!D1769)),TRIM('R.M Billets Reports'!F1769),IF(ISNUMBER(SEARCH("Party Name-",'R.M Billets Reports'!D1769)),TRIM(MID('R.M Billets Reports'!D1769,SEARCH("-",'R.M Billets Reports'!D1769)+1,200)),"")),IF(ISNUMBER(SEARCH("Party Name:-",'R.M Billets Reports'!D1770)),TRIM('R.M Billets Reports'!F1770),IF(ISNUMBER(SEARCH("Party Name-",'R.M Billets Reports'!D1770)),TRIM(MID('R.M Billets Reports'!D1770,SEARCH("-",'R.M Billets Reports'!D1770)+1,200)),"")))="SHREE RADHE SHAKTI SPONGE AND POWER PVT. LTD.","SHREE RADHE",IF(IF(ISNUMBER(SEARCH("Party Name:-",'R.M Billets Reports'!D1769)),TRIM('R.M Billets Reports'!F1769),IF(ISNUMBER(SEARCH("Party Name-",'R.M Billets Reports'!D1769)),TRIM(MID('R.M Billets Reports'!D1769,SEARCH("-",'R.M Billets Reports'!D1769)+1,200)),""))&lt;&gt;"",IF(ISNUMBER(SEARCH("Party Name:-",'R.M Billets Reports'!D1769)),TRIM('R.M Billets Reports'!F1769),IF(ISNUMBER(SEARCH("Party Name-",'R.M Billets Reports'!D1769)),TRIM(MID('R.M Billets Reports'!D1769,SEARCH("-",'R.M Billets Reports'!D1769)+1,200)),"")),IF(ISNUMBER(SEARCH("Party Name:-",'R.M Billets Reports'!D1770)),TRIM('R.M Billets Reports'!F1770),IF(ISNUMBER(SEARCH("Party Name-",'R.M Billets Reports'!D1770)),TRIM(MID('R.M Billets Reports'!D1770,SEARCH("-",'R.M Billets Reports'!D1770)+1,200)),"")))))),IF(ROW()=2,"",A1769))</f>
      </c>
      <c r="B1770">
        <f>IF(OR('R.M Billets Reports'!A1769="Date-",'R.M Billets Reports'!A1769="Date:-"),'R.M Billets Reports'!B1769,IF(ROW()=2,"",B1769))</f>
      </c>
      <c r="C1770">
        <f>IF('R.M Billets Reports'!A1769="V.No.",'R.M Billets Reports'!B1769,IF(ROW()=2,"",C1769))</f>
      </c>
      <c r="D1770">
        <f>IF('R.M Billets Reports'!A1769&lt;&gt;"",'R.M Billets Reports'!A1769,IF(ROW()=2,"",D1769))</f>
      </c>
      <c r="E1770">
        <f>IF('R.M Billets Reports'!B1769="","",TRIM('R.M Billets Reports'!B1769))</f>
      </c>
      <c r="F1770">
        <f>'R.M Billets Reports'!C1769</f>
      </c>
      <c r="G1770">
        <f>'R.M Billets Reports'!D1769</f>
      </c>
      <c r="H1770">
        <f>'R.M Billets Reports'!E1769</f>
      </c>
      <c r="I1770">
        <f>'R.M Billets Reports'!F1769</f>
      </c>
      <c r="J1770">
        <f>'R.M Billets Reports'!G1769</f>
      </c>
      <c r="K1770">
        <f>'R.M Billets Reports'!H1769</f>
      </c>
      <c r="L1770">
        <f>IF('R.M Billets Reports'!I1769="","",'R.M Billets Reports'!I1769)</f>
      </c>
      <c r="M1770">
        <f t="shared" si="54"/>
      </c>
      <c r="N1770">
        <f>IF('R.M Billets Reports'!J1769="","",'R.M Billets Reports'!J1769)</f>
      </c>
      <c r="O1770">
        <f t="shared" si="55"/>
      </c>
      <c r="P1770">
        <f>IF('R.M Billets Reports'!A1769="SIZE",'R.M Billets Reports'!B1769,P1769)</f>
      </c>
    </row>
    <row r="1771" spans="1:16" x14ac:dyDescent="0.25">
      <c r="A1771">
        <f>IF(OR('R.M Billets Reports'!A1770="Date-",'R.M Billets Reports'!A1770="Date:-"),IF(IF(IF(ISNUMBER(SEARCH("Party Name:-",'R.M Billets Reports'!D1770)),TRIM('R.M Billets Reports'!F1770),IF(ISNUMBER(SEARCH("Party Name-",'R.M Billets Reports'!D1770)),TRIM(MID('R.M Billets Reports'!D1770,SEARCH("-",'R.M Billets Reports'!D1770)+1,200)),""))&lt;&gt;"",IF(ISNUMBER(SEARCH("Party Name:-",'R.M Billets Reports'!D1770)),TRIM('R.M Billets Reports'!F1770),IF(ISNUMBER(SEARCH("Party Name-",'R.M Billets Reports'!D1770)),TRIM(MID('R.M Billets Reports'!D1770,SEARCH("-",'R.M Billets Reports'!D1770)+1,200)),"")),IF(ISNUMBER(SEARCH("Party Name:-",'R.M Billets Reports'!D1771)),TRIM('R.M Billets Reports'!F1771),IF(ISNUMBER(SEARCH("Party Name-",'R.M Billets Reports'!D1771)),TRIM(MID('R.M Billets Reports'!D1771,SEARCH("-",'R.M Billets Reports'!D1771)+1,200)),"")))="VRKP ISPAT PVT LTD","VRKP",IF(IF(IF(ISNUMBER(SEARCH("Party Name:-",'R.M Billets Reports'!D1770)),TRIM('R.M Billets Reports'!F1770),IF(ISNUMBER(SEARCH("Party Name-",'R.M Billets Reports'!D1770)),TRIM(MID('R.M Billets Reports'!D1770,SEARCH("-",'R.M Billets Reports'!D1770)+1,200)),""))&lt;&gt;"",IF(ISNUMBER(SEARCH("Party Name:-",'R.M Billets Reports'!D1770)),TRIM('R.M Billets Reports'!F1770),IF(ISNUMBER(SEARCH("Party Name-",'R.M Billets Reports'!D1770)),TRIM(MID('R.M Billets Reports'!D1770,SEARCH("-",'R.M Billets Reports'!D1770)+1,200)),"")),IF(ISNUMBER(SEARCH("Party Name:-",'R.M Billets Reports'!D1771)),TRIM('R.M Billets Reports'!F1771),IF(ISNUMBER(SEARCH("Party Name-",'R.M Billets Reports'!D1771)),TRIM(MID('R.M Billets Reports'!D1771,SEARCH("-",'R.M Billets Reports'!D1771)+1,200)),"")))="SHRI RADHE","SHREE RADHE",IF(IF(IF(ISNUMBER(SEARCH("Party Name:-",'R.M Billets Reports'!D1770)),TRIM('R.M Billets Reports'!F1770),IF(ISNUMBER(SEARCH("Party Name-",'R.M Billets Reports'!D1770)),TRIM(MID('R.M Billets Reports'!D1770,SEARCH("-",'R.M Billets Reports'!D1770)+1,200)),""))&lt;&gt;"",IF(ISNUMBER(SEARCH("Party Name:-",'R.M Billets Reports'!D1770)),TRIM('R.M Billets Reports'!F1770),IF(ISNUMBER(SEARCH("Party Name-",'R.M Billets Reports'!D1770)),TRIM(MID('R.M Billets Reports'!D1770,SEARCH("-",'R.M Billets Reports'!D1770)+1,200)),"")),IF(ISNUMBER(SEARCH("Party Name:-",'R.M Billets Reports'!D1771)),TRIM('R.M Billets Reports'!F1771),IF(ISNUMBER(SEARCH("Party Name-",'R.M Billets Reports'!D1771)),TRIM(MID('R.M Billets Reports'!D1771,SEARCH("-",'R.M Billets Reports'!D1771)+1,200)),"")))="SHREE RADHE SHAKTI SPONGE AND POWER PVT. LTD.","SHREE RADHE",IF(IF(ISNUMBER(SEARCH("Party Name:-",'R.M Billets Reports'!D1770)),TRIM('R.M Billets Reports'!F1770),IF(ISNUMBER(SEARCH("Party Name-",'R.M Billets Reports'!D1770)),TRIM(MID('R.M Billets Reports'!D1770,SEARCH("-",'R.M Billets Reports'!D1770)+1,200)),""))&lt;&gt;"",IF(ISNUMBER(SEARCH("Party Name:-",'R.M Billets Reports'!D1770)),TRIM('R.M Billets Reports'!F1770),IF(ISNUMBER(SEARCH("Party Name-",'R.M Billets Reports'!D1770)),TRIM(MID('R.M Billets Reports'!D1770,SEARCH("-",'R.M Billets Reports'!D1770)+1,200)),"")),IF(ISNUMBER(SEARCH("Party Name:-",'R.M Billets Reports'!D1771)),TRIM('R.M Billets Reports'!F1771),IF(ISNUMBER(SEARCH("Party Name-",'R.M Billets Reports'!D1771)),TRIM(MID('R.M Billets Reports'!D1771,SEARCH("-",'R.M Billets Reports'!D1771)+1,200)),"")))))),IF(ROW()=2,"",A1770))</f>
      </c>
      <c r="B1771">
        <f>IF(OR('R.M Billets Reports'!A1770="Date-",'R.M Billets Reports'!A1770="Date:-"),'R.M Billets Reports'!B1770,IF(ROW()=2,"",B1770))</f>
      </c>
      <c r="C1771">
        <f>IF('R.M Billets Reports'!A1770="V.No.",'R.M Billets Reports'!B1770,IF(ROW()=2,"",C1770))</f>
      </c>
      <c r="D1771">
        <f>IF('R.M Billets Reports'!A1770&lt;&gt;"",'R.M Billets Reports'!A1770,IF(ROW()=2,"",D1770))</f>
      </c>
      <c r="E1771">
        <f>IF('R.M Billets Reports'!B1770="","",TRIM('R.M Billets Reports'!B1770))</f>
      </c>
      <c r="F1771">
        <f>'R.M Billets Reports'!C1770</f>
      </c>
      <c r="G1771">
        <f>'R.M Billets Reports'!D1770</f>
      </c>
      <c r="H1771">
        <f>'R.M Billets Reports'!E1770</f>
      </c>
      <c r="I1771">
        <f>'R.M Billets Reports'!F1770</f>
      </c>
      <c r="J1771">
        <f>'R.M Billets Reports'!G1770</f>
      </c>
      <c r="K1771">
        <f>'R.M Billets Reports'!H1770</f>
      </c>
      <c r="L1771">
        <f>IF('R.M Billets Reports'!I1770="","",'R.M Billets Reports'!I1770)</f>
      </c>
      <c r="M1771">
        <f t="shared" si="54"/>
      </c>
      <c r="N1771">
        <f>IF('R.M Billets Reports'!J1770="","",'R.M Billets Reports'!J1770)</f>
      </c>
      <c r="O1771">
        <f t="shared" si="55"/>
      </c>
      <c r="P1771">
        <f>IF('R.M Billets Reports'!A1770="SIZE",'R.M Billets Reports'!B1770,P1770)</f>
      </c>
    </row>
    <row r="1772" spans="1:16" x14ac:dyDescent="0.25">
      <c r="A1772">
        <f>IF(OR('R.M Billets Reports'!A1771="Date-",'R.M Billets Reports'!A1771="Date:-"),IF(IF(IF(ISNUMBER(SEARCH("Party Name:-",'R.M Billets Reports'!D1771)),TRIM('R.M Billets Reports'!F1771),IF(ISNUMBER(SEARCH("Party Name-",'R.M Billets Reports'!D1771)),TRIM(MID('R.M Billets Reports'!D1771,SEARCH("-",'R.M Billets Reports'!D1771)+1,200)),""))&lt;&gt;"",IF(ISNUMBER(SEARCH("Party Name:-",'R.M Billets Reports'!D1771)),TRIM('R.M Billets Reports'!F1771),IF(ISNUMBER(SEARCH("Party Name-",'R.M Billets Reports'!D1771)),TRIM(MID('R.M Billets Reports'!D1771,SEARCH("-",'R.M Billets Reports'!D1771)+1,200)),"")),IF(ISNUMBER(SEARCH("Party Name:-",'R.M Billets Reports'!D1772)),TRIM('R.M Billets Reports'!F1772),IF(ISNUMBER(SEARCH("Party Name-",'R.M Billets Reports'!D1772)),TRIM(MID('R.M Billets Reports'!D1772,SEARCH("-",'R.M Billets Reports'!D1772)+1,200)),"")))="VRKP ISPAT PVT LTD","VRKP",IF(IF(IF(ISNUMBER(SEARCH("Party Name:-",'R.M Billets Reports'!D1771)),TRIM('R.M Billets Reports'!F1771),IF(ISNUMBER(SEARCH("Party Name-",'R.M Billets Reports'!D1771)),TRIM(MID('R.M Billets Reports'!D1771,SEARCH("-",'R.M Billets Reports'!D1771)+1,200)),""))&lt;&gt;"",IF(ISNUMBER(SEARCH("Party Name:-",'R.M Billets Reports'!D1771)),TRIM('R.M Billets Reports'!F1771),IF(ISNUMBER(SEARCH("Party Name-",'R.M Billets Reports'!D1771)),TRIM(MID('R.M Billets Reports'!D1771,SEARCH("-",'R.M Billets Reports'!D1771)+1,200)),"")),IF(ISNUMBER(SEARCH("Party Name:-",'R.M Billets Reports'!D1772)),TRIM('R.M Billets Reports'!F1772),IF(ISNUMBER(SEARCH("Party Name-",'R.M Billets Reports'!D1772)),TRIM(MID('R.M Billets Reports'!D1772,SEARCH("-",'R.M Billets Reports'!D1772)+1,200)),"")))="SHRI RADHE","SHREE RADHE",IF(IF(IF(ISNUMBER(SEARCH("Party Name:-",'R.M Billets Reports'!D1771)),TRIM('R.M Billets Reports'!F1771),IF(ISNUMBER(SEARCH("Party Name-",'R.M Billets Reports'!D1771)),TRIM(MID('R.M Billets Reports'!D1771,SEARCH("-",'R.M Billets Reports'!D1771)+1,200)),""))&lt;&gt;"",IF(ISNUMBER(SEARCH("Party Name:-",'R.M Billets Reports'!D1771)),TRIM('R.M Billets Reports'!F1771),IF(ISNUMBER(SEARCH("Party Name-",'R.M Billets Reports'!D1771)),TRIM(MID('R.M Billets Reports'!D1771,SEARCH("-",'R.M Billets Reports'!D1771)+1,200)),"")),IF(ISNUMBER(SEARCH("Party Name:-",'R.M Billets Reports'!D1772)),TRIM('R.M Billets Reports'!F1772),IF(ISNUMBER(SEARCH("Party Name-",'R.M Billets Reports'!D1772)),TRIM(MID('R.M Billets Reports'!D1772,SEARCH("-",'R.M Billets Reports'!D1772)+1,200)),"")))="SHREE RADHE SHAKTI SPONGE AND POWER PVT. LTD.","SHREE RADHE",IF(IF(ISNUMBER(SEARCH("Party Name:-",'R.M Billets Reports'!D1771)),TRIM('R.M Billets Reports'!F1771),IF(ISNUMBER(SEARCH("Party Name-",'R.M Billets Reports'!D1771)),TRIM(MID('R.M Billets Reports'!D1771,SEARCH("-",'R.M Billets Reports'!D1771)+1,200)),""))&lt;&gt;"",IF(ISNUMBER(SEARCH("Party Name:-",'R.M Billets Reports'!D1771)),TRIM('R.M Billets Reports'!F1771),IF(ISNUMBER(SEARCH("Party Name-",'R.M Billets Reports'!D1771)),TRIM(MID('R.M Billets Reports'!D1771,SEARCH("-",'R.M Billets Reports'!D1771)+1,200)),"")),IF(ISNUMBER(SEARCH("Party Name:-",'R.M Billets Reports'!D1772)),TRIM('R.M Billets Reports'!F1772),IF(ISNUMBER(SEARCH("Party Name-",'R.M Billets Reports'!D1772)),TRIM(MID('R.M Billets Reports'!D1772,SEARCH("-",'R.M Billets Reports'!D1772)+1,200)),"")))))),IF(ROW()=2,"",A1771))</f>
      </c>
      <c r="B1772">
        <f>IF(OR('R.M Billets Reports'!A1771="Date-",'R.M Billets Reports'!A1771="Date:-"),'R.M Billets Reports'!B1771,IF(ROW()=2,"",B1771))</f>
      </c>
      <c r="C1772">
        <f>IF('R.M Billets Reports'!A1771="V.No.",'R.M Billets Reports'!B1771,IF(ROW()=2,"",C1771))</f>
      </c>
      <c r="D1772">
        <f>IF('R.M Billets Reports'!A1771&lt;&gt;"",'R.M Billets Reports'!A1771,IF(ROW()=2,"",D1771))</f>
      </c>
      <c r="E1772">
        <f>IF('R.M Billets Reports'!B1771="","",TRIM('R.M Billets Reports'!B1771))</f>
      </c>
      <c r="F1772">
        <f>'R.M Billets Reports'!C1771</f>
      </c>
      <c r="G1772">
        <f>'R.M Billets Reports'!D1771</f>
      </c>
      <c r="H1772">
        <f>'R.M Billets Reports'!E1771</f>
      </c>
      <c r="I1772">
        <f>'R.M Billets Reports'!F1771</f>
      </c>
      <c r="J1772">
        <f>'R.M Billets Reports'!G1771</f>
      </c>
      <c r="K1772">
        <f>'R.M Billets Reports'!H1771</f>
      </c>
      <c r="L1772">
        <f>IF('R.M Billets Reports'!I1771="","",'R.M Billets Reports'!I1771)</f>
      </c>
      <c r="M1772">
        <f t="shared" si="54"/>
      </c>
      <c r="N1772">
        <f>IF('R.M Billets Reports'!J1771="","",'R.M Billets Reports'!J1771)</f>
      </c>
      <c r="O1772">
        <f t="shared" si="55"/>
      </c>
      <c r="P1772">
        <f>IF('R.M Billets Reports'!A1771="SIZE",'R.M Billets Reports'!B1771,P1771)</f>
      </c>
    </row>
    <row r="1773" spans="1:16" x14ac:dyDescent="0.25">
      <c r="A1773">
        <f>IF(OR('R.M Billets Reports'!A1772="Date-",'R.M Billets Reports'!A1772="Date:-"),IF(IF(IF(ISNUMBER(SEARCH("Party Name:-",'R.M Billets Reports'!D1772)),TRIM('R.M Billets Reports'!F1772),IF(ISNUMBER(SEARCH("Party Name-",'R.M Billets Reports'!D1772)),TRIM(MID('R.M Billets Reports'!D1772,SEARCH("-",'R.M Billets Reports'!D1772)+1,200)),""))&lt;&gt;"",IF(ISNUMBER(SEARCH("Party Name:-",'R.M Billets Reports'!D1772)),TRIM('R.M Billets Reports'!F1772),IF(ISNUMBER(SEARCH("Party Name-",'R.M Billets Reports'!D1772)),TRIM(MID('R.M Billets Reports'!D1772,SEARCH("-",'R.M Billets Reports'!D1772)+1,200)),"")),IF(ISNUMBER(SEARCH("Party Name:-",'R.M Billets Reports'!D1773)),TRIM('R.M Billets Reports'!F1773),IF(ISNUMBER(SEARCH("Party Name-",'R.M Billets Reports'!D1773)),TRIM(MID('R.M Billets Reports'!D1773,SEARCH("-",'R.M Billets Reports'!D1773)+1,200)),"")))="VRKP ISPAT PVT LTD","VRKP",IF(IF(IF(ISNUMBER(SEARCH("Party Name:-",'R.M Billets Reports'!D1772)),TRIM('R.M Billets Reports'!F1772),IF(ISNUMBER(SEARCH("Party Name-",'R.M Billets Reports'!D1772)),TRIM(MID('R.M Billets Reports'!D1772,SEARCH("-",'R.M Billets Reports'!D1772)+1,200)),""))&lt;&gt;"",IF(ISNUMBER(SEARCH("Party Name:-",'R.M Billets Reports'!D1772)),TRIM('R.M Billets Reports'!F1772),IF(ISNUMBER(SEARCH("Party Name-",'R.M Billets Reports'!D1772)),TRIM(MID('R.M Billets Reports'!D1772,SEARCH("-",'R.M Billets Reports'!D1772)+1,200)),"")),IF(ISNUMBER(SEARCH("Party Name:-",'R.M Billets Reports'!D1773)),TRIM('R.M Billets Reports'!F1773),IF(ISNUMBER(SEARCH("Party Name-",'R.M Billets Reports'!D1773)),TRIM(MID('R.M Billets Reports'!D1773,SEARCH("-",'R.M Billets Reports'!D1773)+1,200)),"")))="SHRI RADHE","SHREE RADHE",IF(IF(IF(ISNUMBER(SEARCH("Party Name:-",'R.M Billets Reports'!D1772)),TRIM('R.M Billets Reports'!F1772),IF(ISNUMBER(SEARCH("Party Name-",'R.M Billets Reports'!D1772)),TRIM(MID('R.M Billets Reports'!D1772,SEARCH("-",'R.M Billets Reports'!D1772)+1,200)),""))&lt;&gt;"",IF(ISNUMBER(SEARCH("Party Name:-",'R.M Billets Reports'!D1772)),TRIM('R.M Billets Reports'!F1772),IF(ISNUMBER(SEARCH("Party Name-",'R.M Billets Reports'!D1772)),TRIM(MID('R.M Billets Reports'!D1772,SEARCH("-",'R.M Billets Reports'!D1772)+1,200)),"")),IF(ISNUMBER(SEARCH("Party Name:-",'R.M Billets Reports'!D1773)),TRIM('R.M Billets Reports'!F1773),IF(ISNUMBER(SEARCH("Party Name-",'R.M Billets Reports'!D1773)),TRIM(MID('R.M Billets Reports'!D1773,SEARCH("-",'R.M Billets Reports'!D1773)+1,200)),"")))="SHREE RADHE SHAKTI SPONGE AND POWER PVT. LTD.","SHREE RADHE",IF(IF(ISNUMBER(SEARCH("Party Name:-",'R.M Billets Reports'!D1772)),TRIM('R.M Billets Reports'!F1772),IF(ISNUMBER(SEARCH("Party Name-",'R.M Billets Reports'!D1772)),TRIM(MID('R.M Billets Reports'!D1772,SEARCH("-",'R.M Billets Reports'!D1772)+1,200)),""))&lt;&gt;"",IF(ISNUMBER(SEARCH("Party Name:-",'R.M Billets Reports'!D1772)),TRIM('R.M Billets Reports'!F1772),IF(ISNUMBER(SEARCH("Party Name-",'R.M Billets Reports'!D1772)),TRIM(MID('R.M Billets Reports'!D1772,SEARCH("-",'R.M Billets Reports'!D1772)+1,200)),"")),IF(ISNUMBER(SEARCH("Party Name:-",'R.M Billets Reports'!D1773)),TRIM('R.M Billets Reports'!F1773),IF(ISNUMBER(SEARCH("Party Name-",'R.M Billets Reports'!D1773)),TRIM(MID('R.M Billets Reports'!D1773,SEARCH("-",'R.M Billets Reports'!D1773)+1,200)),"")))))),IF(ROW()=2,"",A1772))</f>
      </c>
      <c r="B1773">
        <f>IF(OR('R.M Billets Reports'!A1772="Date-",'R.M Billets Reports'!A1772="Date:-"),'R.M Billets Reports'!B1772,IF(ROW()=2,"",B1772))</f>
      </c>
      <c r="C1773">
        <f>IF('R.M Billets Reports'!A1772="V.No.",'R.M Billets Reports'!B1772,IF(ROW()=2,"",C1772))</f>
      </c>
      <c r="D1773">
        <f>IF('R.M Billets Reports'!A1772&lt;&gt;"",'R.M Billets Reports'!A1772,IF(ROW()=2,"",D1772))</f>
      </c>
      <c r="E1773">
        <f>IF('R.M Billets Reports'!B1772="","",TRIM('R.M Billets Reports'!B1772))</f>
      </c>
      <c r="F1773">
        <f>'R.M Billets Reports'!C1772</f>
      </c>
      <c r="G1773">
        <f>'R.M Billets Reports'!D1772</f>
      </c>
      <c r="H1773">
        <f>'R.M Billets Reports'!E1772</f>
      </c>
      <c r="I1773">
        <f>'R.M Billets Reports'!F1772</f>
      </c>
      <c r="J1773">
        <f>'R.M Billets Reports'!G1772</f>
      </c>
      <c r="K1773">
        <f>'R.M Billets Reports'!H1772</f>
      </c>
      <c r="L1773">
        <f>IF('R.M Billets Reports'!I1772="","",'R.M Billets Reports'!I1772)</f>
      </c>
      <c r="M1773">
        <f t="shared" si="54"/>
      </c>
      <c r="N1773">
        <f>IF('R.M Billets Reports'!J1772="","",'R.M Billets Reports'!J1772)</f>
      </c>
      <c r="O1773">
        <f t="shared" si="55"/>
      </c>
      <c r="P1773">
        <f>IF('R.M Billets Reports'!A1772="SIZE",'R.M Billets Reports'!B1772,P1772)</f>
      </c>
    </row>
    <row r="1774" spans="1:16" x14ac:dyDescent="0.25">
      <c r="A1774">
        <f>IF(OR('R.M Billets Reports'!A1773="Date-",'R.M Billets Reports'!A1773="Date:-"),IF(IF(IF(ISNUMBER(SEARCH("Party Name:-",'R.M Billets Reports'!D1773)),TRIM('R.M Billets Reports'!F1773),IF(ISNUMBER(SEARCH("Party Name-",'R.M Billets Reports'!D1773)),TRIM(MID('R.M Billets Reports'!D1773,SEARCH("-",'R.M Billets Reports'!D1773)+1,200)),""))&lt;&gt;"",IF(ISNUMBER(SEARCH("Party Name:-",'R.M Billets Reports'!D1773)),TRIM('R.M Billets Reports'!F1773),IF(ISNUMBER(SEARCH("Party Name-",'R.M Billets Reports'!D1773)),TRIM(MID('R.M Billets Reports'!D1773,SEARCH("-",'R.M Billets Reports'!D1773)+1,200)),"")),IF(ISNUMBER(SEARCH("Party Name:-",'R.M Billets Reports'!D1774)),TRIM('R.M Billets Reports'!F1774),IF(ISNUMBER(SEARCH("Party Name-",'R.M Billets Reports'!D1774)),TRIM(MID('R.M Billets Reports'!D1774,SEARCH("-",'R.M Billets Reports'!D1774)+1,200)),"")))="VRKP ISPAT PVT LTD","VRKP",IF(IF(IF(ISNUMBER(SEARCH("Party Name:-",'R.M Billets Reports'!D1773)),TRIM('R.M Billets Reports'!F1773),IF(ISNUMBER(SEARCH("Party Name-",'R.M Billets Reports'!D1773)),TRIM(MID('R.M Billets Reports'!D1773,SEARCH("-",'R.M Billets Reports'!D1773)+1,200)),""))&lt;&gt;"",IF(ISNUMBER(SEARCH("Party Name:-",'R.M Billets Reports'!D1773)),TRIM('R.M Billets Reports'!F1773),IF(ISNUMBER(SEARCH("Party Name-",'R.M Billets Reports'!D1773)),TRIM(MID('R.M Billets Reports'!D1773,SEARCH("-",'R.M Billets Reports'!D1773)+1,200)),"")),IF(ISNUMBER(SEARCH("Party Name:-",'R.M Billets Reports'!D1774)),TRIM('R.M Billets Reports'!F1774),IF(ISNUMBER(SEARCH("Party Name-",'R.M Billets Reports'!D1774)),TRIM(MID('R.M Billets Reports'!D1774,SEARCH("-",'R.M Billets Reports'!D1774)+1,200)),"")))="SHRI RADHE","SHREE RADHE",IF(IF(IF(ISNUMBER(SEARCH("Party Name:-",'R.M Billets Reports'!D1773)),TRIM('R.M Billets Reports'!F1773),IF(ISNUMBER(SEARCH("Party Name-",'R.M Billets Reports'!D1773)),TRIM(MID('R.M Billets Reports'!D1773,SEARCH("-",'R.M Billets Reports'!D1773)+1,200)),""))&lt;&gt;"",IF(ISNUMBER(SEARCH("Party Name:-",'R.M Billets Reports'!D1773)),TRIM('R.M Billets Reports'!F1773),IF(ISNUMBER(SEARCH("Party Name-",'R.M Billets Reports'!D1773)),TRIM(MID('R.M Billets Reports'!D1773,SEARCH("-",'R.M Billets Reports'!D1773)+1,200)),"")),IF(ISNUMBER(SEARCH("Party Name:-",'R.M Billets Reports'!D1774)),TRIM('R.M Billets Reports'!F1774),IF(ISNUMBER(SEARCH("Party Name-",'R.M Billets Reports'!D1774)),TRIM(MID('R.M Billets Reports'!D1774,SEARCH("-",'R.M Billets Reports'!D1774)+1,200)),"")))="SHREE RADHE SHAKTI SPONGE AND POWER PVT. LTD.","SHREE RADHE",IF(IF(ISNUMBER(SEARCH("Party Name:-",'R.M Billets Reports'!D1773)),TRIM('R.M Billets Reports'!F1773),IF(ISNUMBER(SEARCH("Party Name-",'R.M Billets Reports'!D1773)),TRIM(MID('R.M Billets Reports'!D1773,SEARCH("-",'R.M Billets Reports'!D1773)+1,200)),""))&lt;&gt;"",IF(ISNUMBER(SEARCH("Party Name:-",'R.M Billets Reports'!D1773)),TRIM('R.M Billets Reports'!F1773),IF(ISNUMBER(SEARCH("Party Name-",'R.M Billets Reports'!D1773)),TRIM(MID('R.M Billets Reports'!D1773,SEARCH("-",'R.M Billets Reports'!D1773)+1,200)),"")),IF(ISNUMBER(SEARCH("Party Name:-",'R.M Billets Reports'!D1774)),TRIM('R.M Billets Reports'!F1774),IF(ISNUMBER(SEARCH("Party Name-",'R.M Billets Reports'!D1774)),TRIM(MID('R.M Billets Reports'!D1774,SEARCH("-",'R.M Billets Reports'!D1774)+1,200)),"")))))),IF(ROW()=2,"",A1773))</f>
      </c>
      <c r="B1774">
        <f>IF(OR('R.M Billets Reports'!A1773="Date-",'R.M Billets Reports'!A1773="Date:-"),'R.M Billets Reports'!B1773,IF(ROW()=2,"",B1773))</f>
      </c>
      <c r="C1774">
        <f>IF('R.M Billets Reports'!A1773="V.No.",'R.M Billets Reports'!B1773,IF(ROW()=2,"",C1773))</f>
      </c>
      <c r="D1774">
        <f>IF('R.M Billets Reports'!A1773&lt;&gt;"",'R.M Billets Reports'!A1773,IF(ROW()=2,"",D1773))</f>
      </c>
      <c r="E1774">
        <f>IF('R.M Billets Reports'!B1773="","",TRIM('R.M Billets Reports'!B1773))</f>
      </c>
      <c r="F1774">
        <f>'R.M Billets Reports'!C1773</f>
      </c>
      <c r="G1774">
        <f>'R.M Billets Reports'!D1773</f>
      </c>
      <c r="H1774">
        <f>'R.M Billets Reports'!E1773</f>
      </c>
      <c r="I1774">
        <f>'R.M Billets Reports'!F1773</f>
      </c>
      <c r="J1774">
        <f>'R.M Billets Reports'!G1773</f>
      </c>
      <c r="K1774">
        <f>'R.M Billets Reports'!H1773</f>
      </c>
      <c r="L1774">
        <f>IF('R.M Billets Reports'!I1773="","",'R.M Billets Reports'!I1773)</f>
      </c>
      <c r="M1774">
        <f t="shared" si="54"/>
      </c>
      <c r="N1774">
        <f>IF('R.M Billets Reports'!J1773="","",'R.M Billets Reports'!J1773)</f>
      </c>
      <c r="O1774">
        <f t="shared" si="55"/>
      </c>
      <c r="P1774">
        <f>IF('R.M Billets Reports'!A1773="SIZE",'R.M Billets Reports'!B1773,P1773)</f>
      </c>
    </row>
    <row r="1775" spans="1:16" x14ac:dyDescent="0.25">
      <c r="A1775">
        <f>IF(OR('R.M Billets Reports'!A1774="Date-",'R.M Billets Reports'!A1774="Date:-"),IF(IF(IF(ISNUMBER(SEARCH("Party Name:-",'R.M Billets Reports'!D1774)),TRIM('R.M Billets Reports'!F1774),IF(ISNUMBER(SEARCH("Party Name-",'R.M Billets Reports'!D1774)),TRIM(MID('R.M Billets Reports'!D1774,SEARCH("-",'R.M Billets Reports'!D1774)+1,200)),""))&lt;&gt;"",IF(ISNUMBER(SEARCH("Party Name:-",'R.M Billets Reports'!D1774)),TRIM('R.M Billets Reports'!F1774),IF(ISNUMBER(SEARCH("Party Name-",'R.M Billets Reports'!D1774)),TRIM(MID('R.M Billets Reports'!D1774,SEARCH("-",'R.M Billets Reports'!D1774)+1,200)),"")),IF(ISNUMBER(SEARCH("Party Name:-",'R.M Billets Reports'!D1775)),TRIM('R.M Billets Reports'!F1775),IF(ISNUMBER(SEARCH("Party Name-",'R.M Billets Reports'!D1775)),TRIM(MID('R.M Billets Reports'!D1775,SEARCH("-",'R.M Billets Reports'!D1775)+1,200)),"")))="VRKP ISPAT PVT LTD","VRKP",IF(IF(IF(ISNUMBER(SEARCH("Party Name:-",'R.M Billets Reports'!D1774)),TRIM('R.M Billets Reports'!F1774),IF(ISNUMBER(SEARCH("Party Name-",'R.M Billets Reports'!D1774)),TRIM(MID('R.M Billets Reports'!D1774,SEARCH("-",'R.M Billets Reports'!D1774)+1,200)),""))&lt;&gt;"",IF(ISNUMBER(SEARCH("Party Name:-",'R.M Billets Reports'!D1774)),TRIM('R.M Billets Reports'!F1774),IF(ISNUMBER(SEARCH("Party Name-",'R.M Billets Reports'!D1774)),TRIM(MID('R.M Billets Reports'!D1774,SEARCH("-",'R.M Billets Reports'!D1774)+1,200)),"")),IF(ISNUMBER(SEARCH("Party Name:-",'R.M Billets Reports'!D1775)),TRIM('R.M Billets Reports'!F1775),IF(ISNUMBER(SEARCH("Party Name-",'R.M Billets Reports'!D1775)),TRIM(MID('R.M Billets Reports'!D1775,SEARCH("-",'R.M Billets Reports'!D1775)+1,200)),"")))="SHRI RADHE","SHREE RADHE",IF(IF(IF(ISNUMBER(SEARCH("Party Name:-",'R.M Billets Reports'!D1774)),TRIM('R.M Billets Reports'!F1774),IF(ISNUMBER(SEARCH("Party Name-",'R.M Billets Reports'!D1774)),TRIM(MID('R.M Billets Reports'!D1774,SEARCH("-",'R.M Billets Reports'!D1774)+1,200)),""))&lt;&gt;"",IF(ISNUMBER(SEARCH("Party Name:-",'R.M Billets Reports'!D1774)),TRIM('R.M Billets Reports'!F1774),IF(ISNUMBER(SEARCH("Party Name-",'R.M Billets Reports'!D1774)),TRIM(MID('R.M Billets Reports'!D1774,SEARCH("-",'R.M Billets Reports'!D1774)+1,200)),"")),IF(ISNUMBER(SEARCH("Party Name:-",'R.M Billets Reports'!D1775)),TRIM('R.M Billets Reports'!F1775),IF(ISNUMBER(SEARCH("Party Name-",'R.M Billets Reports'!D1775)),TRIM(MID('R.M Billets Reports'!D1775,SEARCH("-",'R.M Billets Reports'!D1775)+1,200)),"")))="SHREE RADHE SHAKTI SPONGE AND POWER PVT. LTD.","SHREE RADHE",IF(IF(ISNUMBER(SEARCH("Party Name:-",'R.M Billets Reports'!D1774)),TRIM('R.M Billets Reports'!F1774),IF(ISNUMBER(SEARCH("Party Name-",'R.M Billets Reports'!D1774)),TRIM(MID('R.M Billets Reports'!D1774,SEARCH("-",'R.M Billets Reports'!D1774)+1,200)),""))&lt;&gt;"",IF(ISNUMBER(SEARCH("Party Name:-",'R.M Billets Reports'!D1774)),TRIM('R.M Billets Reports'!F1774),IF(ISNUMBER(SEARCH("Party Name-",'R.M Billets Reports'!D1774)),TRIM(MID('R.M Billets Reports'!D1774,SEARCH("-",'R.M Billets Reports'!D1774)+1,200)),"")),IF(ISNUMBER(SEARCH("Party Name:-",'R.M Billets Reports'!D1775)),TRIM('R.M Billets Reports'!F1775),IF(ISNUMBER(SEARCH("Party Name-",'R.M Billets Reports'!D1775)),TRIM(MID('R.M Billets Reports'!D1775,SEARCH("-",'R.M Billets Reports'!D1775)+1,200)),"")))))),IF(ROW()=2,"",A1774))</f>
      </c>
      <c r="B1775">
        <f>IF(OR('R.M Billets Reports'!A1774="Date-",'R.M Billets Reports'!A1774="Date:-"),'R.M Billets Reports'!B1774,IF(ROW()=2,"",B1774))</f>
      </c>
      <c r="C1775">
        <f>IF('R.M Billets Reports'!A1774="V.No.",'R.M Billets Reports'!B1774,IF(ROW()=2,"",C1774))</f>
      </c>
      <c r="D1775">
        <f>IF('R.M Billets Reports'!A1774&lt;&gt;"",'R.M Billets Reports'!A1774,IF(ROW()=2,"",D1774))</f>
      </c>
      <c r="E1775">
        <f>IF('R.M Billets Reports'!B1774="","",TRIM('R.M Billets Reports'!B1774))</f>
      </c>
      <c r="F1775">
        <f>'R.M Billets Reports'!C1774</f>
      </c>
      <c r="G1775">
        <f>'R.M Billets Reports'!D1774</f>
      </c>
      <c r="H1775">
        <f>'R.M Billets Reports'!E1774</f>
      </c>
      <c r="I1775">
        <f>'R.M Billets Reports'!F1774</f>
      </c>
      <c r="J1775">
        <f>'R.M Billets Reports'!G1774</f>
      </c>
      <c r="K1775">
        <f>'R.M Billets Reports'!H1774</f>
      </c>
      <c r="L1775">
        <f>IF('R.M Billets Reports'!I1774="","",'R.M Billets Reports'!I1774)</f>
      </c>
      <c r="M1775">
        <f t="shared" si="54"/>
      </c>
      <c r="N1775">
        <f>IF('R.M Billets Reports'!J1774="","",'R.M Billets Reports'!J1774)</f>
      </c>
      <c r="O1775">
        <f t="shared" si="55"/>
      </c>
      <c r="P1775">
        <f>IF('R.M Billets Reports'!A1774="SIZE",'R.M Billets Reports'!B1774,P1774)</f>
      </c>
    </row>
    <row r="1776" spans="1:16" x14ac:dyDescent="0.25">
      <c r="A1776">
        <f>IF(OR('R.M Billets Reports'!A1775="Date-",'R.M Billets Reports'!A1775="Date:-"),IF(IF(IF(ISNUMBER(SEARCH("Party Name:-",'R.M Billets Reports'!D1775)),TRIM('R.M Billets Reports'!F1775),IF(ISNUMBER(SEARCH("Party Name-",'R.M Billets Reports'!D1775)),TRIM(MID('R.M Billets Reports'!D1775,SEARCH("-",'R.M Billets Reports'!D1775)+1,200)),""))&lt;&gt;"",IF(ISNUMBER(SEARCH("Party Name:-",'R.M Billets Reports'!D1775)),TRIM('R.M Billets Reports'!F1775),IF(ISNUMBER(SEARCH("Party Name-",'R.M Billets Reports'!D1775)),TRIM(MID('R.M Billets Reports'!D1775,SEARCH("-",'R.M Billets Reports'!D1775)+1,200)),"")),IF(ISNUMBER(SEARCH("Party Name:-",'R.M Billets Reports'!D1776)),TRIM('R.M Billets Reports'!F1776),IF(ISNUMBER(SEARCH("Party Name-",'R.M Billets Reports'!D1776)),TRIM(MID('R.M Billets Reports'!D1776,SEARCH("-",'R.M Billets Reports'!D1776)+1,200)),"")))="VRKP ISPAT PVT LTD","VRKP",IF(IF(IF(ISNUMBER(SEARCH("Party Name:-",'R.M Billets Reports'!D1775)),TRIM('R.M Billets Reports'!F1775),IF(ISNUMBER(SEARCH("Party Name-",'R.M Billets Reports'!D1775)),TRIM(MID('R.M Billets Reports'!D1775,SEARCH("-",'R.M Billets Reports'!D1775)+1,200)),""))&lt;&gt;"",IF(ISNUMBER(SEARCH("Party Name:-",'R.M Billets Reports'!D1775)),TRIM('R.M Billets Reports'!F1775),IF(ISNUMBER(SEARCH("Party Name-",'R.M Billets Reports'!D1775)),TRIM(MID('R.M Billets Reports'!D1775,SEARCH("-",'R.M Billets Reports'!D1775)+1,200)),"")),IF(ISNUMBER(SEARCH("Party Name:-",'R.M Billets Reports'!D1776)),TRIM('R.M Billets Reports'!F1776),IF(ISNUMBER(SEARCH("Party Name-",'R.M Billets Reports'!D1776)),TRIM(MID('R.M Billets Reports'!D1776,SEARCH("-",'R.M Billets Reports'!D1776)+1,200)),"")))="SHRI RADHE","SHREE RADHE",IF(IF(IF(ISNUMBER(SEARCH("Party Name:-",'R.M Billets Reports'!D1775)),TRIM('R.M Billets Reports'!F1775),IF(ISNUMBER(SEARCH("Party Name-",'R.M Billets Reports'!D1775)),TRIM(MID('R.M Billets Reports'!D1775,SEARCH("-",'R.M Billets Reports'!D1775)+1,200)),""))&lt;&gt;"",IF(ISNUMBER(SEARCH("Party Name:-",'R.M Billets Reports'!D1775)),TRIM('R.M Billets Reports'!F1775),IF(ISNUMBER(SEARCH("Party Name-",'R.M Billets Reports'!D1775)),TRIM(MID('R.M Billets Reports'!D1775,SEARCH("-",'R.M Billets Reports'!D1775)+1,200)),"")),IF(ISNUMBER(SEARCH("Party Name:-",'R.M Billets Reports'!D1776)),TRIM('R.M Billets Reports'!F1776),IF(ISNUMBER(SEARCH("Party Name-",'R.M Billets Reports'!D1776)),TRIM(MID('R.M Billets Reports'!D1776,SEARCH("-",'R.M Billets Reports'!D1776)+1,200)),"")))="SHREE RADHE SHAKTI SPONGE AND POWER PVT. LTD.","SHREE RADHE",IF(IF(ISNUMBER(SEARCH("Party Name:-",'R.M Billets Reports'!D1775)),TRIM('R.M Billets Reports'!F1775),IF(ISNUMBER(SEARCH("Party Name-",'R.M Billets Reports'!D1775)),TRIM(MID('R.M Billets Reports'!D1775,SEARCH("-",'R.M Billets Reports'!D1775)+1,200)),""))&lt;&gt;"",IF(ISNUMBER(SEARCH("Party Name:-",'R.M Billets Reports'!D1775)),TRIM('R.M Billets Reports'!F1775),IF(ISNUMBER(SEARCH("Party Name-",'R.M Billets Reports'!D1775)),TRIM(MID('R.M Billets Reports'!D1775,SEARCH("-",'R.M Billets Reports'!D1775)+1,200)),"")),IF(ISNUMBER(SEARCH("Party Name:-",'R.M Billets Reports'!D1776)),TRIM('R.M Billets Reports'!F1776),IF(ISNUMBER(SEARCH("Party Name-",'R.M Billets Reports'!D1776)),TRIM(MID('R.M Billets Reports'!D1776,SEARCH("-",'R.M Billets Reports'!D1776)+1,200)),"")))))),IF(ROW()=2,"",A1775))</f>
      </c>
      <c r="B1776">
        <f>IF(OR('R.M Billets Reports'!A1775="Date-",'R.M Billets Reports'!A1775="Date:-"),'R.M Billets Reports'!B1775,IF(ROW()=2,"",B1775))</f>
      </c>
      <c r="C1776">
        <f>IF('R.M Billets Reports'!A1775="V.No.",'R.M Billets Reports'!B1775,IF(ROW()=2,"",C1775))</f>
      </c>
      <c r="D1776">
        <f>IF('R.M Billets Reports'!A1775&lt;&gt;"",'R.M Billets Reports'!A1775,IF(ROW()=2,"",D1775))</f>
      </c>
      <c r="E1776">
        <f>IF('R.M Billets Reports'!B1775="","",TRIM('R.M Billets Reports'!B1775))</f>
      </c>
      <c r="F1776">
        <f>'R.M Billets Reports'!C1775</f>
      </c>
      <c r="G1776">
        <f>'R.M Billets Reports'!D1775</f>
      </c>
      <c r="H1776">
        <f>'R.M Billets Reports'!E1775</f>
      </c>
      <c r="I1776">
        <f>'R.M Billets Reports'!F1775</f>
      </c>
      <c r="J1776">
        <f>'R.M Billets Reports'!G1775</f>
      </c>
      <c r="K1776">
        <f>'R.M Billets Reports'!H1775</f>
      </c>
      <c r="L1776">
        <f>IF('R.M Billets Reports'!I1775="","",'R.M Billets Reports'!I1775)</f>
      </c>
      <c r="M1776">
        <f t="shared" si="54"/>
      </c>
      <c r="N1776">
        <f>IF('R.M Billets Reports'!J1775="","",'R.M Billets Reports'!J1775)</f>
      </c>
      <c r="O1776">
        <f t="shared" si="55"/>
      </c>
      <c r="P1776">
        <f>IF('R.M Billets Reports'!A1775="SIZE",'R.M Billets Reports'!B1775,P1775)</f>
      </c>
    </row>
    <row r="1777" spans="1:16" x14ac:dyDescent="0.25">
      <c r="A1777">
        <f>IF(OR('R.M Billets Reports'!A1776="Date-",'R.M Billets Reports'!A1776="Date:-"),IF(IF(IF(ISNUMBER(SEARCH("Party Name:-",'R.M Billets Reports'!D1776)),TRIM('R.M Billets Reports'!F1776),IF(ISNUMBER(SEARCH("Party Name-",'R.M Billets Reports'!D1776)),TRIM(MID('R.M Billets Reports'!D1776,SEARCH("-",'R.M Billets Reports'!D1776)+1,200)),""))&lt;&gt;"",IF(ISNUMBER(SEARCH("Party Name:-",'R.M Billets Reports'!D1776)),TRIM('R.M Billets Reports'!F1776),IF(ISNUMBER(SEARCH("Party Name-",'R.M Billets Reports'!D1776)),TRIM(MID('R.M Billets Reports'!D1776,SEARCH("-",'R.M Billets Reports'!D1776)+1,200)),"")),IF(ISNUMBER(SEARCH("Party Name:-",'R.M Billets Reports'!D1777)),TRIM('R.M Billets Reports'!F1777),IF(ISNUMBER(SEARCH("Party Name-",'R.M Billets Reports'!D1777)),TRIM(MID('R.M Billets Reports'!D1777,SEARCH("-",'R.M Billets Reports'!D1777)+1,200)),"")))="VRKP ISPAT PVT LTD","VRKP",IF(IF(IF(ISNUMBER(SEARCH("Party Name:-",'R.M Billets Reports'!D1776)),TRIM('R.M Billets Reports'!F1776),IF(ISNUMBER(SEARCH("Party Name-",'R.M Billets Reports'!D1776)),TRIM(MID('R.M Billets Reports'!D1776,SEARCH("-",'R.M Billets Reports'!D1776)+1,200)),""))&lt;&gt;"",IF(ISNUMBER(SEARCH("Party Name:-",'R.M Billets Reports'!D1776)),TRIM('R.M Billets Reports'!F1776),IF(ISNUMBER(SEARCH("Party Name-",'R.M Billets Reports'!D1776)),TRIM(MID('R.M Billets Reports'!D1776,SEARCH("-",'R.M Billets Reports'!D1776)+1,200)),"")),IF(ISNUMBER(SEARCH("Party Name:-",'R.M Billets Reports'!D1777)),TRIM('R.M Billets Reports'!F1777),IF(ISNUMBER(SEARCH("Party Name-",'R.M Billets Reports'!D1777)),TRIM(MID('R.M Billets Reports'!D1777,SEARCH("-",'R.M Billets Reports'!D1777)+1,200)),"")))="SHRI RADHE","SHREE RADHE",IF(IF(IF(ISNUMBER(SEARCH("Party Name:-",'R.M Billets Reports'!D1776)),TRIM('R.M Billets Reports'!F1776),IF(ISNUMBER(SEARCH("Party Name-",'R.M Billets Reports'!D1776)),TRIM(MID('R.M Billets Reports'!D1776,SEARCH("-",'R.M Billets Reports'!D1776)+1,200)),""))&lt;&gt;"",IF(ISNUMBER(SEARCH("Party Name:-",'R.M Billets Reports'!D1776)),TRIM('R.M Billets Reports'!F1776),IF(ISNUMBER(SEARCH("Party Name-",'R.M Billets Reports'!D1776)),TRIM(MID('R.M Billets Reports'!D1776,SEARCH("-",'R.M Billets Reports'!D1776)+1,200)),"")),IF(ISNUMBER(SEARCH("Party Name:-",'R.M Billets Reports'!D1777)),TRIM('R.M Billets Reports'!F1777),IF(ISNUMBER(SEARCH("Party Name-",'R.M Billets Reports'!D1777)),TRIM(MID('R.M Billets Reports'!D1777,SEARCH("-",'R.M Billets Reports'!D1777)+1,200)),"")))="SHREE RADHE SHAKTI SPONGE AND POWER PVT. LTD.","SHREE RADHE",IF(IF(ISNUMBER(SEARCH("Party Name:-",'R.M Billets Reports'!D1776)),TRIM('R.M Billets Reports'!F1776),IF(ISNUMBER(SEARCH("Party Name-",'R.M Billets Reports'!D1776)),TRIM(MID('R.M Billets Reports'!D1776,SEARCH("-",'R.M Billets Reports'!D1776)+1,200)),""))&lt;&gt;"",IF(ISNUMBER(SEARCH("Party Name:-",'R.M Billets Reports'!D1776)),TRIM('R.M Billets Reports'!F1776),IF(ISNUMBER(SEARCH("Party Name-",'R.M Billets Reports'!D1776)),TRIM(MID('R.M Billets Reports'!D1776,SEARCH("-",'R.M Billets Reports'!D1776)+1,200)),"")),IF(ISNUMBER(SEARCH("Party Name:-",'R.M Billets Reports'!D1777)),TRIM('R.M Billets Reports'!F1777),IF(ISNUMBER(SEARCH("Party Name-",'R.M Billets Reports'!D1777)),TRIM(MID('R.M Billets Reports'!D1777,SEARCH("-",'R.M Billets Reports'!D1777)+1,200)),"")))))),IF(ROW()=2,"",A1776))</f>
      </c>
      <c r="B1777">
        <f>IF(OR('R.M Billets Reports'!A1776="Date-",'R.M Billets Reports'!A1776="Date:-"),'R.M Billets Reports'!B1776,IF(ROW()=2,"",B1776))</f>
      </c>
      <c r="C1777">
        <f>IF('R.M Billets Reports'!A1776="V.No.",'R.M Billets Reports'!B1776,IF(ROW()=2,"",C1776))</f>
      </c>
      <c r="D1777">
        <f>IF('R.M Billets Reports'!A1776&lt;&gt;"",'R.M Billets Reports'!A1776,IF(ROW()=2,"",D1776))</f>
      </c>
      <c r="E1777">
        <f>IF('R.M Billets Reports'!B1776="","",TRIM('R.M Billets Reports'!B1776))</f>
      </c>
      <c r="F1777">
        <f>'R.M Billets Reports'!C1776</f>
      </c>
      <c r="G1777">
        <f>'R.M Billets Reports'!D1776</f>
      </c>
      <c r="H1777">
        <f>'R.M Billets Reports'!E1776</f>
      </c>
      <c r="I1777">
        <f>'R.M Billets Reports'!F1776</f>
      </c>
      <c r="J1777">
        <f>'R.M Billets Reports'!G1776</f>
      </c>
      <c r="K1777">
        <f>'R.M Billets Reports'!H1776</f>
      </c>
      <c r="L1777">
        <f>IF('R.M Billets Reports'!I1776="","",'R.M Billets Reports'!I1776)</f>
      </c>
      <c r="M1777">
        <f t="shared" si="54"/>
      </c>
      <c r="N1777">
        <f>IF('R.M Billets Reports'!J1776="","",'R.M Billets Reports'!J1776)</f>
      </c>
      <c r="O1777">
        <f t="shared" si="55"/>
      </c>
      <c r="P1777">
        <f>IF('R.M Billets Reports'!A1776="SIZE",'R.M Billets Reports'!B1776,P1776)</f>
      </c>
    </row>
    <row r="1778" spans="1:16" x14ac:dyDescent="0.25">
      <c r="A1778">
        <f>IF(OR('R.M Billets Reports'!A1777="Date-",'R.M Billets Reports'!A1777="Date:-"),IF(IF(IF(ISNUMBER(SEARCH("Party Name:-",'R.M Billets Reports'!D1777)),TRIM('R.M Billets Reports'!F1777),IF(ISNUMBER(SEARCH("Party Name-",'R.M Billets Reports'!D1777)),TRIM(MID('R.M Billets Reports'!D1777,SEARCH("-",'R.M Billets Reports'!D1777)+1,200)),""))&lt;&gt;"",IF(ISNUMBER(SEARCH("Party Name:-",'R.M Billets Reports'!D1777)),TRIM('R.M Billets Reports'!F1777),IF(ISNUMBER(SEARCH("Party Name-",'R.M Billets Reports'!D1777)),TRIM(MID('R.M Billets Reports'!D1777,SEARCH("-",'R.M Billets Reports'!D1777)+1,200)),"")),IF(ISNUMBER(SEARCH("Party Name:-",'R.M Billets Reports'!D1778)),TRIM('R.M Billets Reports'!F1778),IF(ISNUMBER(SEARCH("Party Name-",'R.M Billets Reports'!D1778)),TRIM(MID('R.M Billets Reports'!D1778,SEARCH("-",'R.M Billets Reports'!D1778)+1,200)),"")))="VRKP ISPAT PVT LTD","VRKP",IF(IF(IF(ISNUMBER(SEARCH("Party Name:-",'R.M Billets Reports'!D1777)),TRIM('R.M Billets Reports'!F1777),IF(ISNUMBER(SEARCH("Party Name-",'R.M Billets Reports'!D1777)),TRIM(MID('R.M Billets Reports'!D1777,SEARCH("-",'R.M Billets Reports'!D1777)+1,200)),""))&lt;&gt;"",IF(ISNUMBER(SEARCH("Party Name:-",'R.M Billets Reports'!D1777)),TRIM('R.M Billets Reports'!F1777),IF(ISNUMBER(SEARCH("Party Name-",'R.M Billets Reports'!D1777)),TRIM(MID('R.M Billets Reports'!D1777,SEARCH("-",'R.M Billets Reports'!D1777)+1,200)),"")),IF(ISNUMBER(SEARCH("Party Name:-",'R.M Billets Reports'!D1778)),TRIM('R.M Billets Reports'!F1778),IF(ISNUMBER(SEARCH("Party Name-",'R.M Billets Reports'!D1778)),TRIM(MID('R.M Billets Reports'!D1778,SEARCH("-",'R.M Billets Reports'!D1778)+1,200)),"")))="SHRI RADHE","SHREE RADHE",IF(IF(IF(ISNUMBER(SEARCH("Party Name:-",'R.M Billets Reports'!D1777)),TRIM('R.M Billets Reports'!F1777),IF(ISNUMBER(SEARCH("Party Name-",'R.M Billets Reports'!D1777)),TRIM(MID('R.M Billets Reports'!D1777,SEARCH("-",'R.M Billets Reports'!D1777)+1,200)),""))&lt;&gt;"",IF(ISNUMBER(SEARCH("Party Name:-",'R.M Billets Reports'!D1777)),TRIM('R.M Billets Reports'!F1777),IF(ISNUMBER(SEARCH("Party Name-",'R.M Billets Reports'!D1777)),TRIM(MID('R.M Billets Reports'!D1777,SEARCH("-",'R.M Billets Reports'!D1777)+1,200)),"")),IF(ISNUMBER(SEARCH("Party Name:-",'R.M Billets Reports'!D1778)),TRIM('R.M Billets Reports'!F1778),IF(ISNUMBER(SEARCH("Party Name-",'R.M Billets Reports'!D1778)),TRIM(MID('R.M Billets Reports'!D1778,SEARCH("-",'R.M Billets Reports'!D1778)+1,200)),"")))="SHREE RADHE SHAKTI SPONGE AND POWER PVT. LTD.","SHREE RADHE",IF(IF(ISNUMBER(SEARCH("Party Name:-",'R.M Billets Reports'!D1777)),TRIM('R.M Billets Reports'!F1777),IF(ISNUMBER(SEARCH("Party Name-",'R.M Billets Reports'!D1777)),TRIM(MID('R.M Billets Reports'!D1777,SEARCH("-",'R.M Billets Reports'!D1777)+1,200)),""))&lt;&gt;"",IF(ISNUMBER(SEARCH("Party Name:-",'R.M Billets Reports'!D1777)),TRIM('R.M Billets Reports'!F1777),IF(ISNUMBER(SEARCH("Party Name-",'R.M Billets Reports'!D1777)),TRIM(MID('R.M Billets Reports'!D1777,SEARCH("-",'R.M Billets Reports'!D1777)+1,200)),"")),IF(ISNUMBER(SEARCH("Party Name:-",'R.M Billets Reports'!D1778)),TRIM('R.M Billets Reports'!F1778),IF(ISNUMBER(SEARCH("Party Name-",'R.M Billets Reports'!D1778)),TRIM(MID('R.M Billets Reports'!D1778,SEARCH("-",'R.M Billets Reports'!D1778)+1,200)),"")))))),IF(ROW()=2,"",A1777))</f>
      </c>
      <c r="B1778">
        <f>IF(OR('R.M Billets Reports'!A1777="Date-",'R.M Billets Reports'!A1777="Date:-"),'R.M Billets Reports'!B1777,IF(ROW()=2,"",B1777))</f>
      </c>
      <c r="C1778">
        <f>IF('R.M Billets Reports'!A1777="V.No.",'R.M Billets Reports'!B1777,IF(ROW()=2,"",C1777))</f>
      </c>
      <c r="D1778">
        <f>IF('R.M Billets Reports'!A1777&lt;&gt;"",'R.M Billets Reports'!A1777,IF(ROW()=2,"",D1777))</f>
      </c>
      <c r="E1778">
        <f>IF('R.M Billets Reports'!B1777="","",TRIM('R.M Billets Reports'!B1777))</f>
      </c>
      <c r="F1778">
        <f>'R.M Billets Reports'!C1777</f>
      </c>
      <c r="G1778">
        <f>'R.M Billets Reports'!D1777</f>
      </c>
      <c r="H1778">
        <f>'R.M Billets Reports'!E1777</f>
      </c>
      <c r="I1778">
        <f>'R.M Billets Reports'!F1777</f>
      </c>
      <c r="J1778">
        <f>'R.M Billets Reports'!G1777</f>
      </c>
      <c r="K1778">
        <f>'R.M Billets Reports'!H1777</f>
      </c>
      <c r="L1778">
        <f>IF('R.M Billets Reports'!I1777="","",'R.M Billets Reports'!I1777)</f>
      </c>
      <c r="M1778">
        <f t="shared" si="54"/>
      </c>
      <c r="N1778">
        <f>IF('R.M Billets Reports'!J1777="","",'R.M Billets Reports'!J1777)</f>
      </c>
      <c r="O1778">
        <f t="shared" si="55"/>
      </c>
      <c r="P1778">
        <f>IF('R.M Billets Reports'!A1777="SIZE",'R.M Billets Reports'!B1777,P1777)</f>
      </c>
    </row>
    <row r="1779" spans="1:16" x14ac:dyDescent="0.25">
      <c r="A1779">
        <f>IF(OR('R.M Billets Reports'!A1778="Date-",'R.M Billets Reports'!A1778="Date:-"),IF(IF(IF(ISNUMBER(SEARCH("Party Name:-",'R.M Billets Reports'!D1778)),TRIM('R.M Billets Reports'!F1778),IF(ISNUMBER(SEARCH("Party Name-",'R.M Billets Reports'!D1778)),TRIM(MID('R.M Billets Reports'!D1778,SEARCH("-",'R.M Billets Reports'!D1778)+1,200)),""))&lt;&gt;"",IF(ISNUMBER(SEARCH("Party Name:-",'R.M Billets Reports'!D1778)),TRIM('R.M Billets Reports'!F1778),IF(ISNUMBER(SEARCH("Party Name-",'R.M Billets Reports'!D1778)),TRIM(MID('R.M Billets Reports'!D1778,SEARCH("-",'R.M Billets Reports'!D1778)+1,200)),"")),IF(ISNUMBER(SEARCH("Party Name:-",'R.M Billets Reports'!D1779)),TRIM('R.M Billets Reports'!F1779),IF(ISNUMBER(SEARCH("Party Name-",'R.M Billets Reports'!D1779)),TRIM(MID('R.M Billets Reports'!D1779,SEARCH("-",'R.M Billets Reports'!D1779)+1,200)),"")))="VRKP ISPAT PVT LTD","VRKP",IF(IF(IF(ISNUMBER(SEARCH("Party Name:-",'R.M Billets Reports'!D1778)),TRIM('R.M Billets Reports'!F1778),IF(ISNUMBER(SEARCH("Party Name-",'R.M Billets Reports'!D1778)),TRIM(MID('R.M Billets Reports'!D1778,SEARCH("-",'R.M Billets Reports'!D1778)+1,200)),""))&lt;&gt;"",IF(ISNUMBER(SEARCH("Party Name:-",'R.M Billets Reports'!D1778)),TRIM('R.M Billets Reports'!F1778),IF(ISNUMBER(SEARCH("Party Name-",'R.M Billets Reports'!D1778)),TRIM(MID('R.M Billets Reports'!D1778,SEARCH("-",'R.M Billets Reports'!D1778)+1,200)),"")),IF(ISNUMBER(SEARCH("Party Name:-",'R.M Billets Reports'!D1779)),TRIM('R.M Billets Reports'!F1779),IF(ISNUMBER(SEARCH("Party Name-",'R.M Billets Reports'!D1779)),TRIM(MID('R.M Billets Reports'!D1779,SEARCH("-",'R.M Billets Reports'!D1779)+1,200)),"")))="SHRI RADHE","SHREE RADHE",IF(IF(IF(ISNUMBER(SEARCH("Party Name:-",'R.M Billets Reports'!D1778)),TRIM('R.M Billets Reports'!F1778),IF(ISNUMBER(SEARCH("Party Name-",'R.M Billets Reports'!D1778)),TRIM(MID('R.M Billets Reports'!D1778,SEARCH("-",'R.M Billets Reports'!D1778)+1,200)),""))&lt;&gt;"",IF(ISNUMBER(SEARCH("Party Name:-",'R.M Billets Reports'!D1778)),TRIM('R.M Billets Reports'!F1778),IF(ISNUMBER(SEARCH("Party Name-",'R.M Billets Reports'!D1778)),TRIM(MID('R.M Billets Reports'!D1778,SEARCH("-",'R.M Billets Reports'!D1778)+1,200)),"")),IF(ISNUMBER(SEARCH("Party Name:-",'R.M Billets Reports'!D1779)),TRIM('R.M Billets Reports'!F1779),IF(ISNUMBER(SEARCH("Party Name-",'R.M Billets Reports'!D1779)),TRIM(MID('R.M Billets Reports'!D1779,SEARCH("-",'R.M Billets Reports'!D1779)+1,200)),"")))="SHREE RADHE SHAKTI SPONGE AND POWER PVT. LTD.","SHREE RADHE",IF(IF(ISNUMBER(SEARCH("Party Name:-",'R.M Billets Reports'!D1778)),TRIM('R.M Billets Reports'!F1778),IF(ISNUMBER(SEARCH("Party Name-",'R.M Billets Reports'!D1778)),TRIM(MID('R.M Billets Reports'!D1778,SEARCH("-",'R.M Billets Reports'!D1778)+1,200)),""))&lt;&gt;"",IF(ISNUMBER(SEARCH("Party Name:-",'R.M Billets Reports'!D1778)),TRIM('R.M Billets Reports'!F1778),IF(ISNUMBER(SEARCH("Party Name-",'R.M Billets Reports'!D1778)),TRIM(MID('R.M Billets Reports'!D1778,SEARCH("-",'R.M Billets Reports'!D1778)+1,200)),"")),IF(ISNUMBER(SEARCH("Party Name:-",'R.M Billets Reports'!D1779)),TRIM('R.M Billets Reports'!F1779),IF(ISNUMBER(SEARCH("Party Name-",'R.M Billets Reports'!D1779)),TRIM(MID('R.M Billets Reports'!D1779,SEARCH("-",'R.M Billets Reports'!D1779)+1,200)),"")))))),IF(ROW()=2,"",A1778))</f>
      </c>
      <c r="B1779">
        <f>IF(OR('R.M Billets Reports'!A1778="Date-",'R.M Billets Reports'!A1778="Date:-"),'R.M Billets Reports'!B1778,IF(ROW()=2,"",B1778))</f>
      </c>
      <c r="C1779">
        <f>IF('R.M Billets Reports'!A1778="V.No.",'R.M Billets Reports'!B1778,IF(ROW()=2,"",C1778))</f>
      </c>
      <c r="D1779">
        <f>IF('R.M Billets Reports'!A1778&lt;&gt;"",'R.M Billets Reports'!A1778,IF(ROW()=2,"",D1778))</f>
      </c>
      <c r="E1779">
        <f>IF('R.M Billets Reports'!B1778="","",TRIM('R.M Billets Reports'!B1778))</f>
      </c>
      <c r="F1779">
        <f>'R.M Billets Reports'!C1778</f>
      </c>
      <c r="G1779">
        <f>'R.M Billets Reports'!D1778</f>
      </c>
      <c r="H1779">
        <f>'R.M Billets Reports'!E1778</f>
      </c>
      <c r="I1779">
        <f>'R.M Billets Reports'!F1778</f>
      </c>
      <c r="J1779">
        <f>'R.M Billets Reports'!G1778</f>
      </c>
      <c r="K1779">
        <f>'R.M Billets Reports'!H1778</f>
      </c>
      <c r="L1779">
        <f>IF('R.M Billets Reports'!I1778="","",'R.M Billets Reports'!I1778)</f>
      </c>
      <c r="M1779">
        <f t="shared" si="54"/>
      </c>
      <c r="N1779">
        <f>IF('R.M Billets Reports'!J1778="","",'R.M Billets Reports'!J1778)</f>
      </c>
      <c r="O1779">
        <f t="shared" si="55"/>
      </c>
      <c r="P1779">
        <f>IF('R.M Billets Reports'!A1778="SIZE",'R.M Billets Reports'!B1778,P1778)</f>
      </c>
    </row>
    <row r="1780" spans="1:16" x14ac:dyDescent="0.25">
      <c r="A1780">
        <f>IF(OR('R.M Billets Reports'!A1779="Date-",'R.M Billets Reports'!A1779="Date:-"),IF(IF(IF(ISNUMBER(SEARCH("Party Name:-",'R.M Billets Reports'!D1779)),TRIM('R.M Billets Reports'!F1779),IF(ISNUMBER(SEARCH("Party Name-",'R.M Billets Reports'!D1779)),TRIM(MID('R.M Billets Reports'!D1779,SEARCH("-",'R.M Billets Reports'!D1779)+1,200)),""))&lt;&gt;"",IF(ISNUMBER(SEARCH("Party Name:-",'R.M Billets Reports'!D1779)),TRIM('R.M Billets Reports'!F1779),IF(ISNUMBER(SEARCH("Party Name-",'R.M Billets Reports'!D1779)),TRIM(MID('R.M Billets Reports'!D1779,SEARCH("-",'R.M Billets Reports'!D1779)+1,200)),"")),IF(ISNUMBER(SEARCH("Party Name:-",'R.M Billets Reports'!D1780)),TRIM('R.M Billets Reports'!F1780),IF(ISNUMBER(SEARCH("Party Name-",'R.M Billets Reports'!D1780)),TRIM(MID('R.M Billets Reports'!D1780,SEARCH("-",'R.M Billets Reports'!D1780)+1,200)),"")))="VRKP ISPAT PVT LTD","VRKP",IF(IF(IF(ISNUMBER(SEARCH("Party Name:-",'R.M Billets Reports'!D1779)),TRIM('R.M Billets Reports'!F1779),IF(ISNUMBER(SEARCH("Party Name-",'R.M Billets Reports'!D1779)),TRIM(MID('R.M Billets Reports'!D1779,SEARCH("-",'R.M Billets Reports'!D1779)+1,200)),""))&lt;&gt;"",IF(ISNUMBER(SEARCH("Party Name:-",'R.M Billets Reports'!D1779)),TRIM('R.M Billets Reports'!F1779),IF(ISNUMBER(SEARCH("Party Name-",'R.M Billets Reports'!D1779)),TRIM(MID('R.M Billets Reports'!D1779,SEARCH("-",'R.M Billets Reports'!D1779)+1,200)),"")),IF(ISNUMBER(SEARCH("Party Name:-",'R.M Billets Reports'!D1780)),TRIM('R.M Billets Reports'!F1780),IF(ISNUMBER(SEARCH("Party Name-",'R.M Billets Reports'!D1780)),TRIM(MID('R.M Billets Reports'!D1780,SEARCH("-",'R.M Billets Reports'!D1780)+1,200)),"")))="SHRI RADHE","SHREE RADHE",IF(IF(IF(ISNUMBER(SEARCH("Party Name:-",'R.M Billets Reports'!D1779)),TRIM('R.M Billets Reports'!F1779),IF(ISNUMBER(SEARCH("Party Name-",'R.M Billets Reports'!D1779)),TRIM(MID('R.M Billets Reports'!D1779,SEARCH("-",'R.M Billets Reports'!D1779)+1,200)),""))&lt;&gt;"",IF(ISNUMBER(SEARCH("Party Name:-",'R.M Billets Reports'!D1779)),TRIM('R.M Billets Reports'!F1779),IF(ISNUMBER(SEARCH("Party Name-",'R.M Billets Reports'!D1779)),TRIM(MID('R.M Billets Reports'!D1779,SEARCH("-",'R.M Billets Reports'!D1779)+1,200)),"")),IF(ISNUMBER(SEARCH("Party Name:-",'R.M Billets Reports'!D1780)),TRIM('R.M Billets Reports'!F1780),IF(ISNUMBER(SEARCH("Party Name-",'R.M Billets Reports'!D1780)),TRIM(MID('R.M Billets Reports'!D1780,SEARCH("-",'R.M Billets Reports'!D1780)+1,200)),"")))="SHREE RADHE SHAKTI SPONGE AND POWER PVT. LTD.","SHREE RADHE",IF(IF(ISNUMBER(SEARCH("Party Name:-",'R.M Billets Reports'!D1779)),TRIM('R.M Billets Reports'!F1779),IF(ISNUMBER(SEARCH("Party Name-",'R.M Billets Reports'!D1779)),TRIM(MID('R.M Billets Reports'!D1779,SEARCH("-",'R.M Billets Reports'!D1779)+1,200)),""))&lt;&gt;"",IF(ISNUMBER(SEARCH("Party Name:-",'R.M Billets Reports'!D1779)),TRIM('R.M Billets Reports'!F1779),IF(ISNUMBER(SEARCH("Party Name-",'R.M Billets Reports'!D1779)),TRIM(MID('R.M Billets Reports'!D1779,SEARCH("-",'R.M Billets Reports'!D1779)+1,200)),"")),IF(ISNUMBER(SEARCH("Party Name:-",'R.M Billets Reports'!D1780)),TRIM('R.M Billets Reports'!F1780),IF(ISNUMBER(SEARCH("Party Name-",'R.M Billets Reports'!D1780)),TRIM(MID('R.M Billets Reports'!D1780,SEARCH("-",'R.M Billets Reports'!D1780)+1,200)),"")))))),IF(ROW()=2,"",A1779))</f>
      </c>
      <c r="B1780">
        <f>IF(OR('R.M Billets Reports'!A1779="Date-",'R.M Billets Reports'!A1779="Date:-"),'R.M Billets Reports'!B1779,IF(ROW()=2,"",B1779))</f>
      </c>
      <c r="C1780">
        <f>IF('R.M Billets Reports'!A1779="V.No.",'R.M Billets Reports'!B1779,IF(ROW()=2,"",C1779))</f>
      </c>
      <c r="D1780">
        <f>IF('R.M Billets Reports'!A1779&lt;&gt;"",'R.M Billets Reports'!A1779,IF(ROW()=2,"",D1779))</f>
      </c>
      <c r="E1780">
        <f>IF('R.M Billets Reports'!B1779="","",TRIM('R.M Billets Reports'!B1779))</f>
      </c>
      <c r="F1780">
        <f>'R.M Billets Reports'!C1779</f>
      </c>
      <c r="G1780">
        <f>'R.M Billets Reports'!D1779</f>
      </c>
      <c r="H1780">
        <f>'R.M Billets Reports'!E1779</f>
      </c>
      <c r="I1780">
        <f>'R.M Billets Reports'!F1779</f>
      </c>
      <c r="J1780">
        <f>'R.M Billets Reports'!G1779</f>
      </c>
      <c r="K1780">
        <f>'R.M Billets Reports'!H1779</f>
      </c>
      <c r="L1780">
        <f>IF('R.M Billets Reports'!I1779="","",'R.M Billets Reports'!I1779)</f>
      </c>
      <c r="M1780">
        <f t="shared" si="54"/>
      </c>
      <c r="N1780">
        <f>IF('R.M Billets Reports'!J1779="","",'R.M Billets Reports'!J1779)</f>
      </c>
      <c r="O1780">
        <f t="shared" si="55"/>
      </c>
      <c r="P1780">
        <f>IF('R.M Billets Reports'!A1779="SIZE",'R.M Billets Reports'!B1779,P1779)</f>
      </c>
    </row>
    <row r="1781" spans="1:16" x14ac:dyDescent="0.25">
      <c r="A1781">
        <f>IF(OR('R.M Billets Reports'!A1780="Date-",'R.M Billets Reports'!A1780="Date:-"),IF(IF(IF(ISNUMBER(SEARCH("Party Name:-",'R.M Billets Reports'!D1780)),TRIM('R.M Billets Reports'!F1780),IF(ISNUMBER(SEARCH("Party Name-",'R.M Billets Reports'!D1780)),TRIM(MID('R.M Billets Reports'!D1780,SEARCH("-",'R.M Billets Reports'!D1780)+1,200)),""))&lt;&gt;"",IF(ISNUMBER(SEARCH("Party Name:-",'R.M Billets Reports'!D1780)),TRIM('R.M Billets Reports'!F1780),IF(ISNUMBER(SEARCH("Party Name-",'R.M Billets Reports'!D1780)),TRIM(MID('R.M Billets Reports'!D1780,SEARCH("-",'R.M Billets Reports'!D1780)+1,200)),"")),IF(ISNUMBER(SEARCH("Party Name:-",'R.M Billets Reports'!D1781)),TRIM('R.M Billets Reports'!F1781),IF(ISNUMBER(SEARCH("Party Name-",'R.M Billets Reports'!D1781)),TRIM(MID('R.M Billets Reports'!D1781,SEARCH("-",'R.M Billets Reports'!D1781)+1,200)),"")))="VRKP ISPAT PVT LTD","VRKP",IF(IF(IF(ISNUMBER(SEARCH("Party Name:-",'R.M Billets Reports'!D1780)),TRIM('R.M Billets Reports'!F1780),IF(ISNUMBER(SEARCH("Party Name-",'R.M Billets Reports'!D1780)),TRIM(MID('R.M Billets Reports'!D1780,SEARCH("-",'R.M Billets Reports'!D1780)+1,200)),""))&lt;&gt;"",IF(ISNUMBER(SEARCH("Party Name:-",'R.M Billets Reports'!D1780)),TRIM('R.M Billets Reports'!F1780),IF(ISNUMBER(SEARCH("Party Name-",'R.M Billets Reports'!D1780)),TRIM(MID('R.M Billets Reports'!D1780,SEARCH("-",'R.M Billets Reports'!D1780)+1,200)),"")),IF(ISNUMBER(SEARCH("Party Name:-",'R.M Billets Reports'!D1781)),TRIM('R.M Billets Reports'!F1781),IF(ISNUMBER(SEARCH("Party Name-",'R.M Billets Reports'!D1781)),TRIM(MID('R.M Billets Reports'!D1781,SEARCH("-",'R.M Billets Reports'!D1781)+1,200)),"")))="SHRI RADHE","SHREE RADHE",IF(IF(IF(ISNUMBER(SEARCH("Party Name:-",'R.M Billets Reports'!D1780)),TRIM('R.M Billets Reports'!F1780),IF(ISNUMBER(SEARCH("Party Name-",'R.M Billets Reports'!D1780)),TRIM(MID('R.M Billets Reports'!D1780,SEARCH("-",'R.M Billets Reports'!D1780)+1,200)),""))&lt;&gt;"",IF(ISNUMBER(SEARCH("Party Name:-",'R.M Billets Reports'!D1780)),TRIM('R.M Billets Reports'!F1780),IF(ISNUMBER(SEARCH("Party Name-",'R.M Billets Reports'!D1780)),TRIM(MID('R.M Billets Reports'!D1780,SEARCH("-",'R.M Billets Reports'!D1780)+1,200)),"")),IF(ISNUMBER(SEARCH("Party Name:-",'R.M Billets Reports'!D1781)),TRIM('R.M Billets Reports'!F1781),IF(ISNUMBER(SEARCH("Party Name-",'R.M Billets Reports'!D1781)),TRIM(MID('R.M Billets Reports'!D1781,SEARCH("-",'R.M Billets Reports'!D1781)+1,200)),"")))="SHREE RADHE SHAKTI SPONGE AND POWER PVT. LTD.","SHREE RADHE",IF(IF(ISNUMBER(SEARCH("Party Name:-",'R.M Billets Reports'!D1780)),TRIM('R.M Billets Reports'!F1780),IF(ISNUMBER(SEARCH("Party Name-",'R.M Billets Reports'!D1780)),TRIM(MID('R.M Billets Reports'!D1780,SEARCH("-",'R.M Billets Reports'!D1780)+1,200)),""))&lt;&gt;"",IF(ISNUMBER(SEARCH("Party Name:-",'R.M Billets Reports'!D1780)),TRIM('R.M Billets Reports'!F1780),IF(ISNUMBER(SEARCH("Party Name-",'R.M Billets Reports'!D1780)),TRIM(MID('R.M Billets Reports'!D1780,SEARCH("-",'R.M Billets Reports'!D1780)+1,200)),"")),IF(ISNUMBER(SEARCH("Party Name:-",'R.M Billets Reports'!D1781)),TRIM('R.M Billets Reports'!F1781),IF(ISNUMBER(SEARCH("Party Name-",'R.M Billets Reports'!D1781)),TRIM(MID('R.M Billets Reports'!D1781,SEARCH("-",'R.M Billets Reports'!D1781)+1,200)),"")))))),IF(ROW()=2,"",A1780))</f>
      </c>
      <c r="B1781">
        <f>IF(OR('R.M Billets Reports'!A1780="Date-",'R.M Billets Reports'!A1780="Date:-"),'R.M Billets Reports'!B1780,IF(ROW()=2,"",B1780))</f>
      </c>
      <c r="C1781">
        <f>IF('R.M Billets Reports'!A1780="V.No.",'R.M Billets Reports'!B1780,IF(ROW()=2,"",C1780))</f>
      </c>
      <c r="D1781">
        <f>IF('R.M Billets Reports'!A1780&lt;&gt;"",'R.M Billets Reports'!A1780,IF(ROW()=2,"",D1780))</f>
      </c>
      <c r="E1781">
        <f>IF('R.M Billets Reports'!B1780="","",TRIM('R.M Billets Reports'!B1780))</f>
      </c>
      <c r="F1781">
        <f>'R.M Billets Reports'!C1780</f>
      </c>
      <c r="G1781">
        <f>'R.M Billets Reports'!D1780</f>
      </c>
      <c r="H1781">
        <f>'R.M Billets Reports'!E1780</f>
      </c>
      <c r="I1781">
        <f>'R.M Billets Reports'!F1780</f>
      </c>
      <c r="J1781">
        <f>'R.M Billets Reports'!G1780</f>
      </c>
      <c r="K1781">
        <f>'R.M Billets Reports'!H1780</f>
      </c>
      <c r="L1781">
        <f>IF('R.M Billets Reports'!I1780="","",'R.M Billets Reports'!I1780)</f>
      </c>
      <c r="M1781">
        <f t="shared" si="54"/>
      </c>
      <c r="N1781">
        <f>IF('R.M Billets Reports'!J1780="","",'R.M Billets Reports'!J1780)</f>
      </c>
      <c r="O1781">
        <f t="shared" si="55"/>
      </c>
      <c r="P1781">
        <f>IF('R.M Billets Reports'!A1780="SIZE",'R.M Billets Reports'!B1780,P1780)</f>
      </c>
    </row>
    <row r="1782" spans="1:16" x14ac:dyDescent="0.25">
      <c r="A1782">
        <f>IF(OR('R.M Billets Reports'!A1781="Date-",'R.M Billets Reports'!A1781="Date:-"),IF(IF(IF(ISNUMBER(SEARCH("Party Name:-",'R.M Billets Reports'!D1781)),TRIM('R.M Billets Reports'!F1781),IF(ISNUMBER(SEARCH("Party Name-",'R.M Billets Reports'!D1781)),TRIM(MID('R.M Billets Reports'!D1781,SEARCH("-",'R.M Billets Reports'!D1781)+1,200)),""))&lt;&gt;"",IF(ISNUMBER(SEARCH("Party Name:-",'R.M Billets Reports'!D1781)),TRIM('R.M Billets Reports'!F1781),IF(ISNUMBER(SEARCH("Party Name-",'R.M Billets Reports'!D1781)),TRIM(MID('R.M Billets Reports'!D1781,SEARCH("-",'R.M Billets Reports'!D1781)+1,200)),"")),IF(ISNUMBER(SEARCH("Party Name:-",'R.M Billets Reports'!D1782)),TRIM('R.M Billets Reports'!F1782),IF(ISNUMBER(SEARCH("Party Name-",'R.M Billets Reports'!D1782)),TRIM(MID('R.M Billets Reports'!D1782,SEARCH("-",'R.M Billets Reports'!D1782)+1,200)),"")))="VRKP ISPAT PVT LTD","VRKP",IF(IF(IF(ISNUMBER(SEARCH("Party Name:-",'R.M Billets Reports'!D1781)),TRIM('R.M Billets Reports'!F1781),IF(ISNUMBER(SEARCH("Party Name-",'R.M Billets Reports'!D1781)),TRIM(MID('R.M Billets Reports'!D1781,SEARCH("-",'R.M Billets Reports'!D1781)+1,200)),""))&lt;&gt;"",IF(ISNUMBER(SEARCH("Party Name:-",'R.M Billets Reports'!D1781)),TRIM('R.M Billets Reports'!F1781),IF(ISNUMBER(SEARCH("Party Name-",'R.M Billets Reports'!D1781)),TRIM(MID('R.M Billets Reports'!D1781,SEARCH("-",'R.M Billets Reports'!D1781)+1,200)),"")),IF(ISNUMBER(SEARCH("Party Name:-",'R.M Billets Reports'!D1782)),TRIM('R.M Billets Reports'!F1782),IF(ISNUMBER(SEARCH("Party Name-",'R.M Billets Reports'!D1782)),TRIM(MID('R.M Billets Reports'!D1782,SEARCH("-",'R.M Billets Reports'!D1782)+1,200)),"")))="SHRI RADHE","SHREE RADHE",IF(IF(IF(ISNUMBER(SEARCH("Party Name:-",'R.M Billets Reports'!D1781)),TRIM('R.M Billets Reports'!F1781),IF(ISNUMBER(SEARCH("Party Name-",'R.M Billets Reports'!D1781)),TRIM(MID('R.M Billets Reports'!D1781,SEARCH("-",'R.M Billets Reports'!D1781)+1,200)),""))&lt;&gt;"",IF(ISNUMBER(SEARCH("Party Name:-",'R.M Billets Reports'!D1781)),TRIM('R.M Billets Reports'!F1781),IF(ISNUMBER(SEARCH("Party Name-",'R.M Billets Reports'!D1781)),TRIM(MID('R.M Billets Reports'!D1781,SEARCH("-",'R.M Billets Reports'!D1781)+1,200)),"")),IF(ISNUMBER(SEARCH("Party Name:-",'R.M Billets Reports'!D1782)),TRIM('R.M Billets Reports'!F1782),IF(ISNUMBER(SEARCH("Party Name-",'R.M Billets Reports'!D1782)),TRIM(MID('R.M Billets Reports'!D1782,SEARCH("-",'R.M Billets Reports'!D1782)+1,200)),"")))="SHREE RADHE SHAKTI SPONGE AND POWER PVT. LTD.","SHREE RADHE",IF(IF(ISNUMBER(SEARCH("Party Name:-",'R.M Billets Reports'!D1781)),TRIM('R.M Billets Reports'!F1781),IF(ISNUMBER(SEARCH("Party Name-",'R.M Billets Reports'!D1781)),TRIM(MID('R.M Billets Reports'!D1781,SEARCH("-",'R.M Billets Reports'!D1781)+1,200)),""))&lt;&gt;"",IF(ISNUMBER(SEARCH("Party Name:-",'R.M Billets Reports'!D1781)),TRIM('R.M Billets Reports'!F1781),IF(ISNUMBER(SEARCH("Party Name-",'R.M Billets Reports'!D1781)),TRIM(MID('R.M Billets Reports'!D1781,SEARCH("-",'R.M Billets Reports'!D1781)+1,200)),"")),IF(ISNUMBER(SEARCH("Party Name:-",'R.M Billets Reports'!D1782)),TRIM('R.M Billets Reports'!F1782),IF(ISNUMBER(SEARCH("Party Name-",'R.M Billets Reports'!D1782)),TRIM(MID('R.M Billets Reports'!D1782,SEARCH("-",'R.M Billets Reports'!D1782)+1,200)),"")))))),IF(ROW()=2,"",A1781))</f>
      </c>
      <c r="B1782">
        <f>IF(OR('R.M Billets Reports'!A1781="Date-",'R.M Billets Reports'!A1781="Date:-"),'R.M Billets Reports'!B1781,IF(ROW()=2,"",B1781))</f>
      </c>
      <c r="C1782">
        <f>IF('R.M Billets Reports'!A1781="V.No.",'R.M Billets Reports'!B1781,IF(ROW()=2,"",C1781))</f>
      </c>
      <c r="D1782">
        <f>IF('R.M Billets Reports'!A1781&lt;&gt;"",'R.M Billets Reports'!A1781,IF(ROW()=2,"",D1781))</f>
      </c>
      <c r="E1782">
        <f>IF('R.M Billets Reports'!B1781="","",TRIM('R.M Billets Reports'!B1781))</f>
      </c>
      <c r="F1782">
        <f>'R.M Billets Reports'!C1781</f>
      </c>
      <c r="G1782">
        <f>'R.M Billets Reports'!D1781</f>
      </c>
      <c r="H1782">
        <f>'R.M Billets Reports'!E1781</f>
      </c>
      <c r="I1782">
        <f>'R.M Billets Reports'!F1781</f>
      </c>
      <c r="J1782">
        <f>'R.M Billets Reports'!G1781</f>
      </c>
      <c r="K1782">
        <f>'R.M Billets Reports'!H1781</f>
      </c>
      <c r="L1782">
        <f>IF('R.M Billets Reports'!I1781="","",'R.M Billets Reports'!I1781)</f>
      </c>
      <c r="M1782">
        <f t="shared" si="54"/>
      </c>
      <c r="N1782">
        <f>IF('R.M Billets Reports'!J1781="","",'R.M Billets Reports'!J1781)</f>
      </c>
      <c r="O1782">
        <f t="shared" si="55"/>
      </c>
      <c r="P1782">
        <f>IF('R.M Billets Reports'!A1781="SIZE",'R.M Billets Reports'!B1781,P1781)</f>
      </c>
    </row>
    <row r="1783" spans="1:16" x14ac:dyDescent="0.25">
      <c r="A1783">
        <f>IF(OR('R.M Billets Reports'!A1782="Date-",'R.M Billets Reports'!A1782="Date:-"),IF(IF(IF(ISNUMBER(SEARCH("Party Name:-",'R.M Billets Reports'!D1782)),TRIM('R.M Billets Reports'!F1782),IF(ISNUMBER(SEARCH("Party Name-",'R.M Billets Reports'!D1782)),TRIM(MID('R.M Billets Reports'!D1782,SEARCH("-",'R.M Billets Reports'!D1782)+1,200)),""))&lt;&gt;"",IF(ISNUMBER(SEARCH("Party Name:-",'R.M Billets Reports'!D1782)),TRIM('R.M Billets Reports'!F1782),IF(ISNUMBER(SEARCH("Party Name-",'R.M Billets Reports'!D1782)),TRIM(MID('R.M Billets Reports'!D1782,SEARCH("-",'R.M Billets Reports'!D1782)+1,200)),"")),IF(ISNUMBER(SEARCH("Party Name:-",'R.M Billets Reports'!D1783)),TRIM('R.M Billets Reports'!F1783),IF(ISNUMBER(SEARCH("Party Name-",'R.M Billets Reports'!D1783)),TRIM(MID('R.M Billets Reports'!D1783,SEARCH("-",'R.M Billets Reports'!D1783)+1,200)),"")))="VRKP ISPAT PVT LTD","VRKP",IF(IF(IF(ISNUMBER(SEARCH("Party Name:-",'R.M Billets Reports'!D1782)),TRIM('R.M Billets Reports'!F1782),IF(ISNUMBER(SEARCH("Party Name-",'R.M Billets Reports'!D1782)),TRIM(MID('R.M Billets Reports'!D1782,SEARCH("-",'R.M Billets Reports'!D1782)+1,200)),""))&lt;&gt;"",IF(ISNUMBER(SEARCH("Party Name:-",'R.M Billets Reports'!D1782)),TRIM('R.M Billets Reports'!F1782),IF(ISNUMBER(SEARCH("Party Name-",'R.M Billets Reports'!D1782)),TRIM(MID('R.M Billets Reports'!D1782,SEARCH("-",'R.M Billets Reports'!D1782)+1,200)),"")),IF(ISNUMBER(SEARCH("Party Name:-",'R.M Billets Reports'!D1783)),TRIM('R.M Billets Reports'!F1783),IF(ISNUMBER(SEARCH("Party Name-",'R.M Billets Reports'!D1783)),TRIM(MID('R.M Billets Reports'!D1783,SEARCH("-",'R.M Billets Reports'!D1783)+1,200)),"")))="SHRI RADHE","SHREE RADHE",IF(IF(IF(ISNUMBER(SEARCH("Party Name:-",'R.M Billets Reports'!D1782)),TRIM('R.M Billets Reports'!F1782),IF(ISNUMBER(SEARCH("Party Name-",'R.M Billets Reports'!D1782)),TRIM(MID('R.M Billets Reports'!D1782,SEARCH("-",'R.M Billets Reports'!D1782)+1,200)),""))&lt;&gt;"",IF(ISNUMBER(SEARCH("Party Name:-",'R.M Billets Reports'!D1782)),TRIM('R.M Billets Reports'!F1782),IF(ISNUMBER(SEARCH("Party Name-",'R.M Billets Reports'!D1782)),TRIM(MID('R.M Billets Reports'!D1782,SEARCH("-",'R.M Billets Reports'!D1782)+1,200)),"")),IF(ISNUMBER(SEARCH("Party Name:-",'R.M Billets Reports'!D1783)),TRIM('R.M Billets Reports'!F1783),IF(ISNUMBER(SEARCH("Party Name-",'R.M Billets Reports'!D1783)),TRIM(MID('R.M Billets Reports'!D1783,SEARCH("-",'R.M Billets Reports'!D1783)+1,200)),"")))="SHREE RADHE SHAKTI SPONGE AND POWER PVT. LTD.","SHREE RADHE",IF(IF(ISNUMBER(SEARCH("Party Name:-",'R.M Billets Reports'!D1782)),TRIM('R.M Billets Reports'!F1782),IF(ISNUMBER(SEARCH("Party Name-",'R.M Billets Reports'!D1782)),TRIM(MID('R.M Billets Reports'!D1782,SEARCH("-",'R.M Billets Reports'!D1782)+1,200)),""))&lt;&gt;"",IF(ISNUMBER(SEARCH("Party Name:-",'R.M Billets Reports'!D1782)),TRIM('R.M Billets Reports'!F1782),IF(ISNUMBER(SEARCH("Party Name-",'R.M Billets Reports'!D1782)),TRIM(MID('R.M Billets Reports'!D1782,SEARCH("-",'R.M Billets Reports'!D1782)+1,200)),"")),IF(ISNUMBER(SEARCH("Party Name:-",'R.M Billets Reports'!D1783)),TRIM('R.M Billets Reports'!F1783),IF(ISNUMBER(SEARCH("Party Name-",'R.M Billets Reports'!D1783)),TRIM(MID('R.M Billets Reports'!D1783,SEARCH("-",'R.M Billets Reports'!D1783)+1,200)),"")))))),IF(ROW()=2,"",A1782))</f>
      </c>
      <c r="B1783">
        <f>IF(OR('R.M Billets Reports'!A1782="Date-",'R.M Billets Reports'!A1782="Date:-"),'R.M Billets Reports'!B1782,IF(ROW()=2,"",B1782))</f>
      </c>
      <c r="C1783">
        <f>IF('R.M Billets Reports'!A1782="V.No.",'R.M Billets Reports'!B1782,IF(ROW()=2,"",C1782))</f>
      </c>
      <c r="D1783">
        <f>IF('R.M Billets Reports'!A1782&lt;&gt;"",'R.M Billets Reports'!A1782,IF(ROW()=2,"",D1782))</f>
      </c>
      <c r="E1783">
        <f>IF('R.M Billets Reports'!B1782="","",TRIM('R.M Billets Reports'!B1782))</f>
      </c>
      <c r="F1783">
        <f>'R.M Billets Reports'!C1782</f>
      </c>
      <c r="G1783">
        <f>'R.M Billets Reports'!D1782</f>
      </c>
      <c r="H1783">
        <f>'R.M Billets Reports'!E1782</f>
      </c>
      <c r="I1783">
        <f>'R.M Billets Reports'!F1782</f>
      </c>
      <c r="J1783">
        <f>'R.M Billets Reports'!G1782</f>
      </c>
      <c r="K1783">
        <f>'R.M Billets Reports'!H1782</f>
      </c>
      <c r="L1783">
        <f>IF('R.M Billets Reports'!I1782="","",'R.M Billets Reports'!I1782)</f>
      </c>
      <c r="M1783">
        <f t="shared" si="54"/>
      </c>
      <c r="N1783">
        <f>IF('R.M Billets Reports'!J1782="","",'R.M Billets Reports'!J1782)</f>
      </c>
      <c r="O1783">
        <f t="shared" si="55"/>
      </c>
      <c r="P1783">
        <f>IF('R.M Billets Reports'!A1782="SIZE",'R.M Billets Reports'!B1782,P1782)</f>
      </c>
    </row>
    <row r="1784" spans="1:16" x14ac:dyDescent="0.25">
      <c r="A1784">
        <f>IF(OR('R.M Billets Reports'!A1783="Date-",'R.M Billets Reports'!A1783="Date:-"),IF(IF(IF(ISNUMBER(SEARCH("Party Name:-",'R.M Billets Reports'!D1783)),TRIM('R.M Billets Reports'!F1783),IF(ISNUMBER(SEARCH("Party Name-",'R.M Billets Reports'!D1783)),TRIM(MID('R.M Billets Reports'!D1783,SEARCH("-",'R.M Billets Reports'!D1783)+1,200)),""))&lt;&gt;"",IF(ISNUMBER(SEARCH("Party Name:-",'R.M Billets Reports'!D1783)),TRIM('R.M Billets Reports'!F1783),IF(ISNUMBER(SEARCH("Party Name-",'R.M Billets Reports'!D1783)),TRIM(MID('R.M Billets Reports'!D1783,SEARCH("-",'R.M Billets Reports'!D1783)+1,200)),"")),IF(ISNUMBER(SEARCH("Party Name:-",'R.M Billets Reports'!D1784)),TRIM('R.M Billets Reports'!F1784),IF(ISNUMBER(SEARCH("Party Name-",'R.M Billets Reports'!D1784)),TRIM(MID('R.M Billets Reports'!D1784,SEARCH("-",'R.M Billets Reports'!D1784)+1,200)),"")))="VRKP ISPAT PVT LTD","VRKP",IF(IF(IF(ISNUMBER(SEARCH("Party Name:-",'R.M Billets Reports'!D1783)),TRIM('R.M Billets Reports'!F1783),IF(ISNUMBER(SEARCH("Party Name-",'R.M Billets Reports'!D1783)),TRIM(MID('R.M Billets Reports'!D1783,SEARCH("-",'R.M Billets Reports'!D1783)+1,200)),""))&lt;&gt;"",IF(ISNUMBER(SEARCH("Party Name:-",'R.M Billets Reports'!D1783)),TRIM('R.M Billets Reports'!F1783),IF(ISNUMBER(SEARCH("Party Name-",'R.M Billets Reports'!D1783)),TRIM(MID('R.M Billets Reports'!D1783,SEARCH("-",'R.M Billets Reports'!D1783)+1,200)),"")),IF(ISNUMBER(SEARCH("Party Name:-",'R.M Billets Reports'!D1784)),TRIM('R.M Billets Reports'!F1784),IF(ISNUMBER(SEARCH("Party Name-",'R.M Billets Reports'!D1784)),TRIM(MID('R.M Billets Reports'!D1784,SEARCH("-",'R.M Billets Reports'!D1784)+1,200)),"")))="SHRI RADHE","SHREE RADHE",IF(IF(IF(ISNUMBER(SEARCH("Party Name:-",'R.M Billets Reports'!D1783)),TRIM('R.M Billets Reports'!F1783),IF(ISNUMBER(SEARCH("Party Name-",'R.M Billets Reports'!D1783)),TRIM(MID('R.M Billets Reports'!D1783,SEARCH("-",'R.M Billets Reports'!D1783)+1,200)),""))&lt;&gt;"",IF(ISNUMBER(SEARCH("Party Name:-",'R.M Billets Reports'!D1783)),TRIM('R.M Billets Reports'!F1783),IF(ISNUMBER(SEARCH("Party Name-",'R.M Billets Reports'!D1783)),TRIM(MID('R.M Billets Reports'!D1783,SEARCH("-",'R.M Billets Reports'!D1783)+1,200)),"")),IF(ISNUMBER(SEARCH("Party Name:-",'R.M Billets Reports'!D1784)),TRIM('R.M Billets Reports'!F1784),IF(ISNUMBER(SEARCH("Party Name-",'R.M Billets Reports'!D1784)),TRIM(MID('R.M Billets Reports'!D1784,SEARCH("-",'R.M Billets Reports'!D1784)+1,200)),"")))="SHREE RADHE SHAKTI SPONGE AND POWER PVT. LTD.","SHREE RADHE",IF(IF(ISNUMBER(SEARCH("Party Name:-",'R.M Billets Reports'!D1783)),TRIM('R.M Billets Reports'!F1783),IF(ISNUMBER(SEARCH("Party Name-",'R.M Billets Reports'!D1783)),TRIM(MID('R.M Billets Reports'!D1783,SEARCH("-",'R.M Billets Reports'!D1783)+1,200)),""))&lt;&gt;"",IF(ISNUMBER(SEARCH("Party Name:-",'R.M Billets Reports'!D1783)),TRIM('R.M Billets Reports'!F1783),IF(ISNUMBER(SEARCH("Party Name-",'R.M Billets Reports'!D1783)),TRIM(MID('R.M Billets Reports'!D1783,SEARCH("-",'R.M Billets Reports'!D1783)+1,200)),"")),IF(ISNUMBER(SEARCH("Party Name:-",'R.M Billets Reports'!D1784)),TRIM('R.M Billets Reports'!F1784),IF(ISNUMBER(SEARCH("Party Name-",'R.M Billets Reports'!D1784)),TRIM(MID('R.M Billets Reports'!D1784,SEARCH("-",'R.M Billets Reports'!D1784)+1,200)),"")))))),IF(ROW()=2,"",A1783))</f>
      </c>
      <c r="B1784">
        <f>IF(OR('R.M Billets Reports'!A1783="Date-",'R.M Billets Reports'!A1783="Date:-"),'R.M Billets Reports'!B1783,IF(ROW()=2,"",B1783))</f>
      </c>
      <c r="C1784">
        <f>IF('R.M Billets Reports'!A1783="V.No.",'R.M Billets Reports'!B1783,IF(ROW()=2,"",C1783))</f>
      </c>
      <c r="D1784">
        <f>IF('R.M Billets Reports'!A1783&lt;&gt;"",'R.M Billets Reports'!A1783,IF(ROW()=2,"",D1783))</f>
      </c>
      <c r="E1784">
        <f>IF('R.M Billets Reports'!B1783="","",TRIM('R.M Billets Reports'!B1783))</f>
      </c>
      <c r="F1784">
        <f>'R.M Billets Reports'!C1783</f>
      </c>
      <c r="G1784">
        <f>'R.M Billets Reports'!D1783</f>
      </c>
      <c r="H1784">
        <f>'R.M Billets Reports'!E1783</f>
      </c>
      <c r="I1784">
        <f>'R.M Billets Reports'!F1783</f>
      </c>
      <c r="J1784">
        <f>'R.M Billets Reports'!G1783</f>
      </c>
      <c r="K1784">
        <f>'R.M Billets Reports'!H1783</f>
      </c>
      <c r="L1784">
        <f>IF('R.M Billets Reports'!I1783="","",'R.M Billets Reports'!I1783)</f>
      </c>
      <c r="M1784">
        <f t="shared" si="54"/>
      </c>
      <c r="N1784">
        <f>IF('R.M Billets Reports'!J1783="","",'R.M Billets Reports'!J1783)</f>
      </c>
      <c r="O1784">
        <f t="shared" si="55"/>
      </c>
      <c r="P1784">
        <f>IF('R.M Billets Reports'!A1783="SIZE",'R.M Billets Reports'!B1783,P1783)</f>
      </c>
    </row>
    <row r="1785" spans="1:16" x14ac:dyDescent="0.25">
      <c r="A1785">
        <f>IF(OR('R.M Billets Reports'!A1784="Date-",'R.M Billets Reports'!A1784="Date:-"),IF(IF(IF(ISNUMBER(SEARCH("Party Name:-",'R.M Billets Reports'!D1784)),TRIM('R.M Billets Reports'!F1784),IF(ISNUMBER(SEARCH("Party Name-",'R.M Billets Reports'!D1784)),TRIM(MID('R.M Billets Reports'!D1784,SEARCH("-",'R.M Billets Reports'!D1784)+1,200)),""))&lt;&gt;"",IF(ISNUMBER(SEARCH("Party Name:-",'R.M Billets Reports'!D1784)),TRIM('R.M Billets Reports'!F1784),IF(ISNUMBER(SEARCH("Party Name-",'R.M Billets Reports'!D1784)),TRIM(MID('R.M Billets Reports'!D1784,SEARCH("-",'R.M Billets Reports'!D1784)+1,200)),"")),IF(ISNUMBER(SEARCH("Party Name:-",'R.M Billets Reports'!D1785)),TRIM('R.M Billets Reports'!F1785),IF(ISNUMBER(SEARCH("Party Name-",'R.M Billets Reports'!D1785)),TRIM(MID('R.M Billets Reports'!D1785,SEARCH("-",'R.M Billets Reports'!D1785)+1,200)),"")))="VRKP ISPAT PVT LTD","VRKP",IF(IF(IF(ISNUMBER(SEARCH("Party Name:-",'R.M Billets Reports'!D1784)),TRIM('R.M Billets Reports'!F1784),IF(ISNUMBER(SEARCH("Party Name-",'R.M Billets Reports'!D1784)),TRIM(MID('R.M Billets Reports'!D1784,SEARCH("-",'R.M Billets Reports'!D1784)+1,200)),""))&lt;&gt;"",IF(ISNUMBER(SEARCH("Party Name:-",'R.M Billets Reports'!D1784)),TRIM('R.M Billets Reports'!F1784),IF(ISNUMBER(SEARCH("Party Name-",'R.M Billets Reports'!D1784)),TRIM(MID('R.M Billets Reports'!D1784,SEARCH("-",'R.M Billets Reports'!D1784)+1,200)),"")),IF(ISNUMBER(SEARCH("Party Name:-",'R.M Billets Reports'!D1785)),TRIM('R.M Billets Reports'!F1785),IF(ISNUMBER(SEARCH("Party Name-",'R.M Billets Reports'!D1785)),TRIM(MID('R.M Billets Reports'!D1785,SEARCH("-",'R.M Billets Reports'!D1785)+1,200)),"")))="SHRI RADHE","SHREE RADHE",IF(IF(IF(ISNUMBER(SEARCH("Party Name:-",'R.M Billets Reports'!D1784)),TRIM('R.M Billets Reports'!F1784),IF(ISNUMBER(SEARCH("Party Name-",'R.M Billets Reports'!D1784)),TRIM(MID('R.M Billets Reports'!D1784,SEARCH("-",'R.M Billets Reports'!D1784)+1,200)),""))&lt;&gt;"",IF(ISNUMBER(SEARCH("Party Name:-",'R.M Billets Reports'!D1784)),TRIM('R.M Billets Reports'!F1784),IF(ISNUMBER(SEARCH("Party Name-",'R.M Billets Reports'!D1784)),TRIM(MID('R.M Billets Reports'!D1784,SEARCH("-",'R.M Billets Reports'!D1784)+1,200)),"")),IF(ISNUMBER(SEARCH("Party Name:-",'R.M Billets Reports'!D1785)),TRIM('R.M Billets Reports'!F1785),IF(ISNUMBER(SEARCH("Party Name-",'R.M Billets Reports'!D1785)),TRIM(MID('R.M Billets Reports'!D1785,SEARCH("-",'R.M Billets Reports'!D1785)+1,200)),"")))="SHREE RADHE SHAKTI SPONGE AND POWER PVT. LTD.","SHREE RADHE",IF(IF(ISNUMBER(SEARCH("Party Name:-",'R.M Billets Reports'!D1784)),TRIM('R.M Billets Reports'!F1784),IF(ISNUMBER(SEARCH("Party Name-",'R.M Billets Reports'!D1784)),TRIM(MID('R.M Billets Reports'!D1784,SEARCH("-",'R.M Billets Reports'!D1784)+1,200)),""))&lt;&gt;"",IF(ISNUMBER(SEARCH("Party Name:-",'R.M Billets Reports'!D1784)),TRIM('R.M Billets Reports'!F1784),IF(ISNUMBER(SEARCH("Party Name-",'R.M Billets Reports'!D1784)),TRIM(MID('R.M Billets Reports'!D1784,SEARCH("-",'R.M Billets Reports'!D1784)+1,200)),"")),IF(ISNUMBER(SEARCH("Party Name:-",'R.M Billets Reports'!D1785)),TRIM('R.M Billets Reports'!F1785),IF(ISNUMBER(SEARCH("Party Name-",'R.M Billets Reports'!D1785)),TRIM(MID('R.M Billets Reports'!D1785,SEARCH("-",'R.M Billets Reports'!D1785)+1,200)),"")))))),IF(ROW()=2,"",A1784))</f>
      </c>
      <c r="B1785">
        <f>IF(OR('R.M Billets Reports'!A1784="Date-",'R.M Billets Reports'!A1784="Date:-"),'R.M Billets Reports'!B1784,IF(ROW()=2,"",B1784))</f>
      </c>
      <c r="C1785">
        <f>IF('R.M Billets Reports'!A1784="V.No.",'R.M Billets Reports'!B1784,IF(ROW()=2,"",C1784))</f>
      </c>
      <c r="D1785">
        <f>IF('R.M Billets Reports'!A1784&lt;&gt;"",'R.M Billets Reports'!A1784,IF(ROW()=2,"",D1784))</f>
      </c>
      <c r="E1785">
        <f>IF('R.M Billets Reports'!B1784="","",TRIM('R.M Billets Reports'!B1784))</f>
      </c>
      <c r="F1785">
        <f>'R.M Billets Reports'!C1784</f>
      </c>
      <c r="G1785">
        <f>'R.M Billets Reports'!D1784</f>
      </c>
      <c r="H1785">
        <f>'R.M Billets Reports'!E1784</f>
      </c>
      <c r="I1785">
        <f>'R.M Billets Reports'!F1784</f>
      </c>
      <c r="J1785">
        <f>'R.M Billets Reports'!G1784</f>
      </c>
      <c r="K1785">
        <f>'R.M Billets Reports'!H1784</f>
      </c>
      <c r="L1785">
        <f>IF('R.M Billets Reports'!I1784="","",'R.M Billets Reports'!I1784)</f>
      </c>
      <c r="M1785">
        <f t="shared" si="54"/>
      </c>
      <c r="N1785">
        <f>IF('R.M Billets Reports'!J1784="","",'R.M Billets Reports'!J1784)</f>
      </c>
      <c r="O1785">
        <f t="shared" si="55"/>
      </c>
      <c r="P1785">
        <f>IF('R.M Billets Reports'!A1784="SIZE",'R.M Billets Reports'!B1784,P1784)</f>
      </c>
    </row>
    <row r="1786" spans="1:16" x14ac:dyDescent="0.25">
      <c r="A1786">
        <f>IF(OR('R.M Billets Reports'!A1785="Date-",'R.M Billets Reports'!A1785="Date:-"),IF(IF(IF(ISNUMBER(SEARCH("Party Name:-",'R.M Billets Reports'!D1785)),TRIM('R.M Billets Reports'!F1785),IF(ISNUMBER(SEARCH("Party Name-",'R.M Billets Reports'!D1785)),TRIM(MID('R.M Billets Reports'!D1785,SEARCH("-",'R.M Billets Reports'!D1785)+1,200)),""))&lt;&gt;"",IF(ISNUMBER(SEARCH("Party Name:-",'R.M Billets Reports'!D1785)),TRIM('R.M Billets Reports'!F1785),IF(ISNUMBER(SEARCH("Party Name-",'R.M Billets Reports'!D1785)),TRIM(MID('R.M Billets Reports'!D1785,SEARCH("-",'R.M Billets Reports'!D1785)+1,200)),"")),IF(ISNUMBER(SEARCH("Party Name:-",'R.M Billets Reports'!D1786)),TRIM('R.M Billets Reports'!F1786),IF(ISNUMBER(SEARCH("Party Name-",'R.M Billets Reports'!D1786)),TRIM(MID('R.M Billets Reports'!D1786,SEARCH("-",'R.M Billets Reports'!D1786)+1,200)),"")))="VRKP ISPAT PVT LTD","VRKP",IF(IF(IF(ISNUMBER(SEARCH("Party Name:-",'R.M Billets Reports'!D1785)),TRIM('R.M Billets Reports'!F1785),IF(ISNUMBER(SEARCH("Party Name-",'R.M Billets Reports'!D1785)),TRIM(MID('R.M Billets Reports'!D1785,SEARCH("-",'R.M Billets Reports'!D1785)+1,200)),""))&lt;&gt;"",IF(ISNUMBER(SEARCH("Party Name:-",'R.M Billets Reports'!D1785)),TRIM('R.M Billets Reports'!F1785),IF(ISNUMBER(SEARCH("Party Name-",'R.M Billets Reports'!D1785)),TRIM(MID('R.M Billets Reports'!D1785,SEARCH("-",'R.M Billets Reports'!D1785)+1,200)),"")),IF(ISNUMBER(SEARCH("Party Name:-",'R.M Billets Reports'!D1786)),TRIM('R.M Billets Reports'!F1786),IF(ISNUMBER(SEARCH("Party Name-",'R.M Billets Reports'!D1786)),TRIM(MID('R.M Billets Reports'!D1786,SEARCH("-",'R.M Billets Reports'!D1786)+1,200)),"")))="SHRI RADHE","SHREE RADHE",IF(IF(IF(ISNUMBER(SEARCH("Party Name:-",'R.M Billets Reports'!D1785)),TRIM('R.M Billets Reports'!F1785),IF(ISNUMBER(SEARCH("Party Name-",'R.M Billets Reports'!D1785)),TRIM(MID('R.M Billets Reports'!D1785,SEARCH("-",'R.M Billets Reports'!D1785)+1,200)),""))&lt;&gt;"",IF(ISNUMBER(SEARCH("Party Name:-",'R.M Billets Reports'!D1785)),TRIM('R.M Billets Reports'!F1785),IF(ISNUMBER(SEARCH("Party Name-",'R.M Billets Reports'!D1785)),TRIM(MID('R.M Billets Reports'!D1785,SEARCH("-",'R.M Billets Reports'!D1785)+1,200)),"")),IF(ISNUMBER(SEARCH("Party Name:-",'R.M Billets Reports'!D1786)),TRIM('R.M Billets Reports'!F1786),IF(ISNUMBER(SEARCH("Party Name-",'R.M Billets Reports'!D1786)),TRIM(MID('R.M Billets Reports'!D1786,SEARCH("-",'R.M Billets Reports'!D1786)+1,200)),"")))="SHREE RADHE SHAKTI SPONGE AND POWER PVT. LTD.","SHREE RADHE",IF(IF(ISNUMBER(SEARCH("Party Name:-",'R.M Billets Reports'!D1785)),TRIM('R.M Billets Reports'!F1785),IF(ISNUMBER(SEARCH("Party Name-",'R.M Billets Reports'!D1785)),TRIM(MID('R.M Billets Reports'!D1785,SEARCH("-",'R.M Billets Reports'!D1785)+1,200)),""))&lt;&gt;"",IF(ISNUMBER(SEARCH("Party Name:-",'R.M Billets Reports'!D1785)),TRIM('R.M Billets Reports'!F1785),IF(ISNUMBER(SEARCH("Party Name-",'R.M Billets Reports'!D1785)),TRIM(MID('R.M Billets Reports'!D1785,SEARCH("-",'R.M Billets Reports'!D1785)+1,200)),"")),IF(ISNUMBER(SEARCH("Party Name:-",'R.M Billets Reports'!D1786)),TRIM('R.M Billets Reports'!F1786),IF(ISNUMBER(SEARCH("Party Name-",'R.M Billets Reports'!D1786)),TRIM(MID('R.M Billets Reports'!D1786,SEARCH("-",'R.M Billets Reports'!D1786)+1,200)),"")))))),IF(ROW()=2,"",A1785))</f>
      </c>
      <c r="B1786">
        <f>IF(OR('R.M Billets Reports'!A1785="Date-",'R.M Billets Reports'!A1785="Date:-"),'R.M Billets Reports'!B1785,IF(ROW()=2,"",B1785))</f>
      </c>
      <c r="C1786">
        <f>IF('R.M Billets Reports'!A1785="V.No.",'R.M Billets Reports'!B1785,IF(ROW()=2,"",C1785))</f>
      </c>
      <c r="D1786">
        <f>IF('R.M Billets Reports'!A1785&lt;&gt;"",'R.M Billets Reports'!A1785,IF(ROW()=2,"",D1785))</f>
      </c>
      <c r="E1786">
        <f>IF('R.M Billets Reports'!B1785="","",TRIM('R.M Billets Reports'!B1785))</f>
      </c>
      <c r="F1786">
        <f>'R.M Billets Reports'!C1785</f>
      </c>
      <c r="G1786">
        <f>'R.M Billets Reports'!D1785</f>
      </c>
      <c r="H1786">
        <f>'R.M Billets Reports'!E1785</f>
      </c>
      <c r="I1786">
        <f>'R.M Billets Reports'!F1785</f>
      </c>
      <c r="J1786">
        <f>'R.M Billets Reports'!G1785</f>
      </c>
      <c r="K1786">
        <f>'R.M Billets Reports'!H1785</f>
      </c>
      <c r="L1786">
        <f>IF('R.M Billets Reports'!I1785="","",'R.M Billets Reports'!I1785)</f>
      </c>
      <c r="M1786">
        <f t="shared" si="54"/>
      </c>
      <c r="N1786">
        <f>IF('R.M Billets Reports'!J1785="","",'R.M Billets Reports'!J1785)</f>
      </c>
      <c r="O1786">
        <f t="shared" si="55"/>
      </c>
      <c r="P1786">
        <f>IF('R.M Billets Reports'!A1785="SIZE",'R.M Billets Reports'!B1785,P1785)</f>
      </c>
    </row>
    <row r="1787" spans="1:16" x14ac:dyDescent="0.25">
      <c r="A1787">
        <f>IF(OR('R.M Billets Reports'!A1786="Date-",'R.M Billets Reports'!A1786="Date:-"),IF(IF(IF(ISNUMBER(SEARCH("Party Name:-",'R.M Billets Reports'!D1786)),TRIM('R.M Billets Reports'!F1786),IF(ISNUMBER(SEARCH("Party Name-",'R.M Billets Reports'!D1786)),TRIM(MID('R.M Billets Reports'!D1786,SEARCH("-",'R.M Billets Reports'!D1786)+1,200)),""))&lt;&gt;"",IF(ISNUMBER(SEARCH("Party Name:-",'R.M Billets Reports'!D1786)),TRIM('R.M Billets Reports'!F1786),IF(ISNUMBER(SEARCH("Party Name-",'R.M Billets Reports'!D1786)),TRIM(MID('R.M Billets Reports'!D1786,SEARCH("-",'R.M Billets Reports'!D1786)+1,200)),"")),IF(ISNUMBER(SEARCH("Party Name:-",'R.M Billets Reports'!D1787)),TRIM('R.M Billets Reports'!F1787),IF(ISNUMBER(SEARCH("Party Name-",'R.M Billets Reports'!D1787)),TRIM(MID('R.M Billets Reports'!D1787,SEARCH("-",'R.M Billets Reports'!D1787)+1,200)),"")))="VRKP ISPAT PVT LTD","VRKP",IF(IF(IF(ISNUMBER(SEARCH("Party Name:-",'R.M Billets Reports'!D1786)),TRIM('R.M Billets Reports'!F1786),IF(ISNUMBER(SEARCH("Party Name-",'R.M Billets Reports'!D1786)),TRIM(MID('R.M Billets Reports'!D1786,SEARCH("-",'R.M Billets Reports'!D1786)+1,200)),""))&lt;&gt;"",IF(ISNUMBER(SEARCH("Party Name:-",'R.M Billets Reports'!D1786)),TRIM('R.M Billets Reports'!F1786),IF(ISNUMBER(SEARCH("Party Name-",'R.M Billets Reports'!D1786)),TRIM(MID('R.M Billets Reports'!D1786,SEARCH("-",'R.M Billets Reports'!D1786)+1,200)),"")),IF(ISNUMBER(SEARCH("Party Name:-",'R.M Billets Reports'!D1787)),TRIM('R.M Billets Reports'!F1787),IF(ISNUMBER(SEARCH("Party Name-",'R.M Billets Reports'!D1787)),TRIM(MID('R.M Billets Reports'!D1787,SEARCH("-",'R.M Billets Reports'!D1787)+1,200)),"")))="SHRI RADHE","SHREE RADHE",IF(IF(IF(ISNUMBER(SEARCH("Party Name:-",'R.M Billets Reports'!D1786)),TRIM('R.M Billets Reports'!F1786),IF(ISNUMBER(SEARCH("Party Name-",'R.M Billets Reports'!D1786)),TRIM(MID('R.M Billets Reports'!D1786,SEARCH("-",'R.M Billets Reports'!D1786)+1,200)),""))&lt;&gt;"",IF(ISNUMBER(SEARCH("Party Name:-",'R.M Billets Reports'!D1786)),TRIM('R.M Billets Reports'!F1786),IF(ISNUMBER(SEARCH("Party Name-",'R.M Billets Reports'!D1786)),TRIM(MID('R.M Billets Reports'!D1786,SEARCH("-",'R.M Billets Reports'!D1786)+1,200)),"")),IF(ISNUMBER(SEARCH("Party Name:-",'R.M Billets Reports'!D1787)),TRIM('R.M Billets Reports'!F1787),IF(ISNUMBER(SEARCH("Party Name-",'R.M Billets Reports'!D1787)),TRIM(MID('R.M Billets Reports'!D1787,SEARCH("-",'R.M Billets Reports'!D1787)+1,200)),"")))="SHREE RADHE SHAKTI SPONGE AND POWER PVT. LTD.","SHREE RADHE",IF(IF(ISNUMBER(SEARCH("Party Name:-",'R.M Billets Reports'!D1786)),TRIM('R.M Billets Reports'!F1786),IF(ISNUMBER(SEARCH("Party Name-",'R.M Billets Reports'!D1786)),TRIM(MID('R.M Billets Reports'!D1786,SEARCH("-",'R.M Billets Reports'!D1786)+1,200)),""))&lt;&gt;"",IF(ISNUMBER(SEARCH("Party Name:-",'R.M Billets Reports'!D1786)),TRIM('R.M Billets Reports'!F1786),IF(ISNUMBER(SEARCH("Party Name-",'R.M Billets Reports'!D1786)),TRIM(MID('R.M Billets Reports'!D1786,SEARCH("-",'R.M Billets Reports'!D1786)+1,200)),"")),IF(ISNUMBER(SEARCH("Party Name:-",'R.M Billets Reports'!D1787)),TRIM('R.M Billets Reports'!F1787),IF(ISNUMBER(SEARCH("Party Name-",'R.M Billets Reports'!D1787)),TRIM(MID('R.M Billets Reports'!D1787,SEARCH("-",'R.M Billets Reports'!D1787)+1,200)),"")))))),IF(ROW()=2,"",A1786))</f>
      </c>
      <c r="B1787">
        <f>IF(OR('R.M Billets Reports'!A1786="Date-",'R.M Billets Reports'!A1786="Date:-"),'R.M Billets Reports'!B1786,IF(ROW()=2,"",B1786))</f>
      </c>
      <c r="C1787">
        <f>IF('R.M Billets Reports'!A1786="V.No.",'R.M Billets Reports'!B1786,IF(ROW()=2,"",C1786))</f>
      </c>
      <c r="D1787">
        <f>IF('R.M Billets Reports'!A1786&lt;&gt;"",'R.M Billets Reports'!A1786,IF(ROW()=2,"",D1786))</f>
      </c>
      <c r="E1787">
        <f>IF('R.M Billets Reports'!B1786="","",TRIM('R.M Billets Reports'!B1786))</f>
      </c>
      <c r="F1787">
        <f>'R.M Billets Reports'!C1786</f>
      </c>
      <c r="G1787">
        <f>'R.M Billets Reports'!D1786</f>
      </c>
      <c r="H1787">
        <f>'R.M Billets Reports'!E1786</f>
      </c>
      <c r="I1787">
        <f>'R.M Billets Reports'!F1786</f>
      </c>
      <c r="J1787">
        <f>'R.M Billets Reports'!G1786</f>
      </c>
      <c r="K1787">
        <f>'R.M Billets Reports'!H1786</f>
      </c>
      <c r="L1787">
        <f>IF('R.M Billets Reports'!I1786="","",'R.M Billets Reports'!I1786)</f>
      </c>
      <c r="M1787">
        <f t="shared" si="54"/>
      </c>
      <c r="N1787">
        <f>IF('R.M Billets Reports'!J1786="","",'R.M Billets Reports'!J1786)</f>
      </c>
      <c r="O1787">
        <f t="shared" si="55"/>
      </c>
      <c r="P1787">
        <f>IF('R.M Billets Reports'!A1786="SIZE",'R.M Billets Reports'!B1786,P1786)</f>
      </c>
    </row>
    <row r="1788" spans="1:16" x14ac:dyDescent="0.25">
      <c r="A1788">
        <f>IF(OR('R.M Billets Reports'!A1787="Date-",'R.M Billets Reports'!A1787="Date:-"),IF(IF(IF(ISNUMBER(SEARCH("Party Name:-",'R.M Billets Reports'!D1787)),TRIM('R.M Billets Reports'!F1787),IF(ISNUMBER(SEARCH("Party Name-",'R.M Billets Reports'!D1787)),TRIM(MID('R.M Billets Reports'!D1787,SEARCH("-",'R.M Billets Reports'!D1787)+1,200)),""))&lt;&gt;"",IF(ISNUMBER(SEARCH("Party Name:-",'R.M Billets Reports'!D1787)),TRIM('R.M Billets Reports'!F1787),IF(ISNUMBER(SEARCH("Party Name-",'R.M Billets Reports'!D1787)),TRIM(MID('R.M Billets Reports'!D1787,SEARCH("-",'R.M Billets Reports'!D1787)+1,200)),"")),IF(ISNUMBER(SEARCH("Party Name:-",'R.M Billets Reports'!D1788)),TRIM('R.M Billets Reports'!F1788),IF(ISNUMBER(SEARCH("Party Name-",'R.M Billets Reports'!D1788)),TRIM(MID('R.M Billets Reports'!D1788,SEARCH("-",'R.M Billets Reports'!D1788)+1,200)),"")))="VRKP ISPAT PVT LTD","VRKP",IF(IF(IF(ISNUMBER(SEARCH("Party Name:-",'R.M Billets Reports'!D1787)),TRIM('R.M Billets Reports'!F1787),IF(ISNUMBER(SEARCH("Party Name-",'R.M Billets Reports'!D1787)),TRIM(MID('R.M Billets Reports'!D1787,SEARCH("-",'R.M Billets Reports'!D1787)+1,200)),""))&lt;&gt;"",IF(ISNUMBER(SEARCH("Party Name:-",'R.M Billets Reports'!D1787)),TRIM('R.M Billets Reports'!F1787),IF(ISNUMBER(SEARCH("Party Name-",'R.M Billets Reports'!D1787)),TRIM(MID('R.M Billets Reports'!D1787,SEARCH("-",'R.M Billets Reports'!D1787)+1,200)),"")),IF(ISNUMBER(SEARCH("Party Name:-",'R.M Billets Reports'!D1788)),TRIM('R.M Billets Reports'!F1788),IF(ISNUMBER(SEARCH("Party Name-",'R.M Billets Reports'!D1788)),TRIM(MID('R.M Billets Reports'!D1788,SEARCH("-",'R.M Billets Reports'!D1788)+1,200)),"")))="SHRI RADHE","SHREE RADHE",IF(IF(IF(ISNUMBER(SEARCH("Party Name:-",'R.M Billets Reports'!D1787)),TRIM('R.M Billets Reports'!F1787),IF(ISNUMBER(SEARCH("Party Name-",'R.M Billets Reports'!D1787)),TRIM(MID('R.M Billets Reports'!D1787,SEARCH("-",'R.M Billets Reports'!D1787)+1,200)),""))&lt;&gt;"",IF(ISNUMBER(SEARCH("Party Name:-",'R.M Billets Reports'!D1787)),TRIM('R.M Billets Reports'!F1787),IF(ISNUMBER(SEARCH("Party Name-",'R.M Billets Reports'!D1787)),TRIM(MID('R.M Billets Reports'!D1787,SEARCH("-",'R.M Billets Reports'!D1787)+1,200)),"")),IF(ISNUMBER(SEARCH("Party Name:-",'R.M Billets Reports'!D1788)),TRIM('R.M Billets Reports'!F1788),IF(ISNUMBER(SEARCH("Party Name-",'R.M Billets Reports'!D1788)),TRIM(MID('R.M Billets Reports'!D1788,SEARCH("-",'R.M Billets Reports'!D1788)+1,200)),"")))="SHREE RADHE SHAKTI SPONGE AND POWER PVT. LTD.","SHREE RADHE",IF(IF(ISNUMBER(SEARCH("Party Name:-",'R.M Billets Reports'!D1787)),TRIM('R.M Billets Reports'!F1787),IF(ISNUMBER(SEARCH("Party Name-",'R.M Billets Reports'!D1787)),TRIM(MID('R.M Billets Reports'!D1787,SEARCH("-",'R.M Billets Reports'!D1787)+1,200)),""))&lt;&gt;"",IF(ISNUMBER(SEARCH("Party Name:-",'R.M Billets Reports'!D1787)),TRIM('R.M Billets Reports'!F1787),IF(ISNUMBER(SEARCH("Party Name-",'R.M Billets Reports'!D1787)),TRIM(MID('R.M Billets Reports'!D1787,SEARCH("-",'R.M Billets Reports'!D1787)+1,200)),"")),IF(ISNUMBER(SEARCH("Party Name:-",'R.M Billets Reports'!D1788)),TRIM('R.M Billets Reports'!F1788),IF(ISNUMBER(SEARCH("Party Name-",'R.M Billets Reports'!D1788)),TRIM(MID('R.M Billets Reports'!D1788,SEARCH("-",'R.M Billets Reports'!D1788)+1,200)),"")))))),IF(ROW()=2,"",A1787))</f>
      </c>
      <c r="B1788">
        <f>IF(OR('R.M Billets Reports'!A1787="Date-",'R.M Billets Reports'!A1787="Date:-"),'R.M Billets Reports'!B1787,IF(ROW()=2,"",B1787))</f>
      </c>
      <c r="C1788">
        <f>IF('R.M Billets Reports'!A1787="V.No.",'R.M Billets Reports'!B1787,IF(ROW()=2,"",C1787))</f>
      </c>
      <c r="D1788">
        <f>IF('R.M Billets Reports'!A1787&lt;&gt;"",'R.M Billets Reports'!A1787,IF(ROW()=2,"",D1787))</f>
      </c>
      <c r="E1788">
        <f>IF('R.M Billets Reports'!B1787="","",TRIM('R.M Billets Reports'!B1787))</f>
      </c>
      <c r="F1788">
        <f>'R.M Billets Reports'!C1787</f>
      </c>
      <c r="G1788">
        <f>'R.M Billets Reports'!D1787</f>
      </c>
      <c r="H1788">
        <f>'R.M Billets Reports'!E1787</f>
      </c>
      <c r="I1788">
        <f>'R.M Billets Reports'!F1787</f>
      </c>
      <c r="J1788">
        <f>'R.M Billets Reports'!G1787</f>
      </c>
      <c r="K1788">
        <f>'R.M Billets Reports'!H1787</f>
      </c>
      <c r="L1788">
        <f>IF('R.M Billets Reports'!I1787="","",'R.M Billets Reports'!I1787)</f>
      </c>
      <c r="M1788">
        <f t="shared" si="54"/>
      </c>
      <c r="N1788">
        <f>IF('R.M Billets Reports'!J1787="","",'R.M Billets Reports'!J1787)</f>
      </c>
      <c r="O1788">
        <f t="shared" si="55"/>
      </c>
      <c r="P1788">
        <f>IF('R.M Billets Reports'!A1787="SIZE",'R.M Billets Reports'!B1787,P1787)</f>
      </c>
    </row>
    <row r="1789" spans="1:16" x14ac:dyDescent="0.25">
      <c r="A1789">
        <f>IF(OR('R.M Billets Reports'!A1788="Date-",'R.M Billets Reports'!A1788="Date:-"),IF(IF(IF(ISNUMBER(SEARCH("Party Name:-",'R.M Billets Reports'!D1788)),TRIM('R.M Billets Reports'!F1788),IF(ISNUMBER(SEARCH("Party Name-",'R.M Billets Reports'!D1788)),TRIM(MID('R.M Billets Reports'!D1788,SEARCH("-",'R.M Billets Reports'!D1788)+1,200)),""))&lt;&gt;"",IF(ISNUMBER(SEARCH("Party Name:-",'R.M Billets Reports'!D1788)),TRIM('R.M Billets Reports'!F1788),IF(ISNUMBER(SEARCH("Party Name-",'R.M Billets Reports'!D1788)),TRIM(MID('R.M Billets Reports'!D1788,SEARCH("-",'R.M Billets Reports'!D1788)+1,200)),"")),IF(ISNUMBER(SEARCH("Party Name:-",'R.M Billets Reports'!D1789)),TRIM('R.M Billets Reports'!F1789),IF(ISNUMBER(SEARCH("Party Name-",'R.M Billets Reports'!D1789)),TRIM(MID('R.M Billets Reports'!D1789,SEARCH("-",'R.M Billets Reports'!D1789)+1,200)),"")))="VRKP ISPAT PVT LTD","VRKP",IF(IF(IF(ISNUMBER(SEARCH("Party Name:-",'R.M Billets Reports'!D1788)),TRIM('R.M Billets Reports'!F1788),IF(ISNUMBER(SEARCH("Party Name-",'R.M Billets Reports'!D1788)),TRIM(MID('R.M Billets Reports'!D1788,SEARCH("-",'R.M Billets Reports'!D1788)+1,200)),""))&lt;&gt;"",IF(ISNUMBER(SEARCH("Party Name:-",'R.M Billets Reports'!D1788)),TRIM('R.M Billets Reports'!F1788),IF(ISNUMBER(SEARCH("Party Name-",'R.M Billets Reports'!D1788)),TRIM(MID('R.M Billets Reports'!D1788,SEARCH("-",'R.M Billets Reports'!D1788)+1,200)),"")),IF(ISNUMBER(SEARCH("Party Name:-",'R.M Billets Reports'!D1789)),TRIM('R.M Billets Reports'!F1789),IF(ISNUMBER(SEARCH("Party Name-",'R.M Billets Reports'!D1789)),TRIM(MID('R.M Billets Reports'!D1789,SEARCH("-",'R.M Billets Reports'!D1789)+1,200)),"")))="SHRI RADHE","SHREE RADHE",IF(IF(IF(ISNUMBER(SEARCH("Party Name:-",'R.M Billets Reports'!D1788)),TRIM('R.M Billets Reports'!F1788),IF(ISNUMBER(SEARCH("Party Name-",'R.M Billets Reports'!D1788)),TRIM(MID('R.M Billets Reports'!D1788,SEARCH("-",'R.M Billets Reports'!D1788)+1,200)),""))&lt;&gt;"",IF(ISNUMBER(SEARCH("Party Name:-",'R.M Billets Reports'!D1788)),TRIM('R.M Billets Reports'!F1788),IF(ISNUMBER(SEARCH("Party Name-",'R.M Billets Reports'!D1788)),TRIM(MID('R.M Billets Reports'!D1788,SEARCH("-",'R.M Billets Reports'!D1788)+1,200)),"")),IF(ISNUMBER(SEARCH("Party Name:-",'R.M Billets Reports'!D1789)),TRIM('R.M Billets Reports'!F1789),IF(ISNUMBER(SEARCH("Party Name-",'R.M Billets Reports'!D1789)),TRIM(MID('R.M Billets Reports'!D1789,SEARCH("-",'R.M Billets Reports'!D1789)+1,200)),"")))="SHREE RADHE SHAKTI SPONGE AND POWER PVT. LTD.","SHREE RADHE",IF(IF(ISNUMBER(SEARCH("Party Name:-",'R.M Billets Reports'!D1788)),TRIM('R.M Billets Reports'!F1788),IF(ISNUMBER(SEARCH("Party Name-",'R.M Billets Reports'!D1788)),TRIM(MID('R.M Billets Reports'!D1788,SEARCH("-",'R.M Billets Reports'!D1788)+1,200)),""))&lt;&gt;"",IF(ISNUMBER(SEARCH("Party Name:-",'R.M Billets Reports'!D1788)),TRIM('R.M Billets Reports'!F1788),IF(ISNUMBER(SEARCH("Party Name-",'R.M Billets Reports'!D1788)),TRIM(MID('R.M Billets Reports'!D1788,SEARCH("-",'R.M Billets Reports'!D1788)+1,200)),"")),IF(ISNUMBER(SEARCH("Party Name:-",'R.M Billets Reports'!D1789)),TRIM('R.M Billets Reports'!F1789),IF(ISNUMBER(SEARCH("Party Name-",'R.M Billets Reports'!D1789)),TRIM(MID('R.M Billets Reports'!D1789,SEARCH("-",'R.M Billets Reports'!D1789)+1,200)),"")))))),IF(ROW()=2,"",A1788))</f>
      </c>
      <c r="B1789">
        <f>IF(OR('R.M Billets Reports'!A1788="Date-",'R.M Billets Reports'!A1788="Date:-"),'R.M Billets Reports'!B1788,IF(ROW()=2,"",B1788))</f>
      </c>
      <c r="C1789">
        <f>IF('R.M Billets Reports'!A1788="V.No.",'R.M Billets Reports'!B1788,IF(ROW()=2,"",C1788))</f>
      </c>
      <c r="D1789">
        <f>IF('R.M Billets Reports'!A1788&lt;&gt;"",'R.M Billets Reports'!A1788,IF(ROW()=2,"",D1788))</f>
      </c>
      <c r="E1789">
        <f>IF('R.M Billets Reports'!B1788="","",TRIM('R.M Billets Reports'!B1788))</f>
      </c>
      <c r="F1789">
        <f>'R.M Billets Reports'!C1788</f>
      </c>
      <c r="G1789">
        <f>'R.M Billets Reports'!D1788</f>
      </c>
      <c r="H1789">
        <f>'R.M Billets Reports'!E1788</f>
      </c>
      <c r="I1789">
        <f>'R.M Billets Reports'!F1788</f>
      </c>
      <c r="J1789">
        <f>'R.M Billets Reports'!G1788</f>
      </c>
      <c r="K1789">
        <f>'R.M Billets Reports'!H1788</f>
      </c>
      <c r="L1789">
        <f>IF('R.M Billets Reports'!I1788="","",'R.M Billets Reports'!I1788)</f>
      </c>
      <c r="M1789">
        <f t="shared" si="54"/>
      </c>
      <c r="N1789">
        <f>IF('R.M Billets Reports'!J1788="","",'R.M Billets Reports'!J1788)</f>
      </c>
      <c r="O1789">
        <f t="shared" si="55"/>
      </c>
      <c r="P1789">
        <f>IF('R.M Billets Reports'!A1788="SIZE",'R.M Billets Reports'!B1788,P1788)</f>
      </c>
    </row>
    <row r="1790" spans="1:16" x14ac:dyDescent="0.25">
      <c r="A1790">
        <f>IF(OR('R.M Billets Reports'!A1789="Date-",'R.M Billets Reports'!A1789="Date:-"),IF(IF(IF(ISNUMBER(SEARCH("Party Name:-",'R.M Billets Reports'!D1789)),TRIM('R.M Billets Reports'!F1789),IF(ISNUMBER(SEARCH("Party Name-",'R.M Billets Reports'!D1789)),TRIM(MID('R.M Billets Reports'!D1789,SEARCH("-",'R.M Billets Reports'!D1789)+1,200)),""))&lt;&gt;"",IF(ISNUMBER(SEARCH("Party Name:-",'R.M Billets Reports'!D1789)),TRIM('R.M Billets Reports'!F1789),IF(ISNUMBER(SEARCH("Party Name-",'R.M Billets Reports'!D1789)),TRIM(MID('R.M Billets Reports'!D1789,SEARCH("-",'R.M Billets Reports'!D1789)+1,200)),"")),IF(ISNUMBER(SEARCH("Party Name:-",'R.M Billets Reports'!D1790)),TRIM('R.M Billets Reports'!F1790),IF(ISNUMBER(SEARCH("Party Name-",'R.M Billets Reports'!D1790)),TRIM(MID('R.M Billets Reports'!D1790,SEARCH("-",'R.M Billets Reports'!D1790)+1,200)),"")))="VRKP ISPAT PVT LTD","VRKP",IF(IF(IF(ISNUMBER(SEARCH("Party Name:-",'R.M Billets Reports'!D1789)),TRIM('R.M Billets Reports'!F1789),IF(ISNUMBER(SEARCH("Party Name-",'R.M Billets Reports'!D1789)),TRIM(MID('R.M Billets Reports'!D1789,SEARCH("-",'R.M Billets Reports'!D1789)+1,200)),""))&lt;&gt;"",IF(ISNUMBER(SEARCH("Party Name:-",'R.M Billets Reports'!D1789)),TRIM('R.M Billets Reports'!F1789),IF(ISNUMBER(SEARCH("Party Name-",'R.M Billets Reports'!D1789)),TRIM(MID('R.M Billets Reports'!D1789,SEARCH("-",'R.M Billets Reports'!D1789)+1,200)),"")),IF(ISNUMBER(SEARCH("Party Name:-",'R.M Billets Reports'!D1790)),TRIM('R.M Billets Reports'!F1790),IF(ISNUMBER(SEARCH("Party Name-",'R.M Billets Reports'!D1790)),TRIM(MID('R.M Billets Reports'!D1790,SEARCH("-",'R.M Billets Reports'!D1790)+1,200)),"")))="SHRI RADHE","SHREE RADHE",IF(IF(IF(ISNUMBER(SEARCH("Party Name:-",'R.M Billets Reports'!D1789)),TRIM('R.M Billets Reports'!F1789),IF(ISNUMBER(SEARCH("Party Name-",'R.M Billets Reports'!D1789)),TRIM(MID('R.M Billets Reports'!D1789,SEARCH("-",'R.M Billets Reports'!D1789)+1,200)),""))&lt;&gt;"",IF(ISNUMBER(SEARCH("Party Name:-",'R.M Billets Reports'!D1789)),TRIM('R.M Billets Reports'!F1789),IF(ISNUMBER(SEARCH("Party Name-",'R.M Billets Reports'!D1789)),TRIM(MID('R.M Billets Reports'!D1789,SEARCH("-",'R.M Billets Reports'!D1789)+1,200)),"")),IF(ISNUMBER(SEARCH("Party Name:-",'R.M Billets Reports'!D1790)),TRIM('R.M Billets Reports'!F1790),IF(ISNUMBER(SEARCH("Party Name-",'R.M Billets Reports'!D1790)),TRIM(MID('R.M Billets Reports'!D1790,SEARCH("-",'R.M Billets Reports'!D1790)+1,200)),"")))="SHREE RADHE SHAKTI SPONGE AND POWER PVT. LTD.","SHREE RADHE",IF(IF(ISNUMBER(SEARCH("Party Name:-",'R.M Billets Reports'!D1789)),TRIM('R.M Billets Reports'!F1789),IF(ISNUMBER(SEARCH("Party Name-",'R.M Billets Reports'!D1789)),TRIM(MID('R.M Billets Reports'!D1789,SEARCH("-",'R.M Billets Reports'!D1789)+1,200)),""))&lt;&gt;"",IF(ISNUMBER(SEARCH("Party Name:-",'R.M Billets Reports'!D1789)),TRIM('R.M Billets Reports'!F1789),IF(ISNUMBER(SEARCH("Party Name-",'R.M Billets Reports'!D1789)),TRIM(MID('R.M Billets Reports'!D1789,SEARCH("-",'R.M Billets Reports'!D1789)+1,200)),"")),IF(ISNUMBER(SEARCH("Party Name:-",'R.M Billets Reports'!D1790)),TRIM('R.M Billets Reports'!F1790),IF(ISNUMBER(SEARCH("Party Name-",'R.M Billets Reports'!D1790)),TRIM(MID('R.M Billets Reports'!D1790,SEARCH("-",'R.M Billets Reports'!D1790)+1,200)),"")))))),IF(ROW()=2,"",A1789))</f>
      </c>
      <c r="B1790">
        <f>IF(OR('R.M Billets Reports'!A1789="Date-",'R.M Billets Reports'!A1789="Date:-"),'R.M Billets Reports'!B1789,IF(ROW()=2,"",B1789))</f>
      </c>
      <c r="C1790">
        <f>IF('R.M Billets Reports'!A1789="V.No.",'R.M Billets Reports'!B1789,IF(ROW()=2,"",C1789))</f>
      </c>
      <c r="D1790">
        <f>IF('R.M Billets Reports'!A1789&lt;&gt;"",'R.M Billets Reports'!A1789,IF(ROW()=2,"",D1789))</f>
      </c>
      <c r="E1790">
        <f>IF('R.M Billets Reports'!B1789="","",TRIM('R.M Billets Reports'!B1789))</f>
      </c>
      <c r="F1790">
        <f>'R.M Billets Reports'!C1789</f>
      </c>
      <c r="G1790">
        <f>'R.M Billets Reports'!D1789</f>
      </c>
      <c r="H1790">
        <f>'R.M Billets Reports'!E1789</f>
      </c>
      <c r="I1790">
        <f>'R.M Billets Reports'!F1789</f>
      </c>
      <c r="J1790">
        <f>'R.M Billets Reports'!G1789</f>
      </c>
      <c r="K1790">
        <f>'R.M Billets Reports'!H1789</f>
      </c>
      <c r="L1790">
        <f>IF('R.M Billets Reports'!I1789="","",'R.M Billets Reports'!I1789)</f>
      </c>
      <c r="M1790">
        <f t="shared" si="54"/>
      </c>
      <c r="N1790">
        <f>IF('R.M Billets Reports'!J1789="","",'R.M Billets Reports'!J1789)</f>
      </c>
      <c r="O1790">
        <f t="shared" si="55"/>
      </c>
      <c r="P1790">
        <f>IF('R.M Billets Reports'!A1789="SIZE",'R.M Billets Reports'!B1789,P1789)</f>
      </c>
    </row>
    <row r="1791" spans="1:16" x14ac:dyDescent="0.25">
      <c r="A1791">
        <f>IF(OR('R.M Billets Reports'!A1790="Date-",'R.M Billets Reports'!A1790="Date:-"),IF(IF(IF(ISNUMBER(SEARCH("Party Name:-",'R.M Billets Reports'!D1790)),TRIM('R.M Billets Reports'!F1790),IF(ISNUMBER(SEARCH("Party Name-",'R.M Billets Reports'!D1790)),TRIM(MID('R.M Billets Reports'!D1790,SEARCH("-",'R.M Billets Reports'!D1790)+1,200)),""))&lt;&gt;"",IF(ISNUMBER(SEARCH("Party Name:-",'R.M Billets Reports'!D1790)),TRIM('R.M Billets Reports'!F1790),IF(ISNUMBER(SEARCH("Party Name-",'R.M Billets Reports'!D1790)),TRIM(MID('R.M Billets Reports'!D1790,SEARCH("-",'R.M Billets Reports'!D1790)+1,200)),"")),IF(ISNUMBER(SEARCH("Party Name:-",'R.M Billets Reports'!D1791)),TRIM('R.M Billets Reports'!F1791),IF(ISNUMBER(SEARCH("Party Name-",'R.M Billets Reports'!D1791)),TRIM(MID('R.M Billets Reports'!D1791,SEARCH("-",'R.M Billets Reports'!D1791)+1,200)),"")))="VRKP ISPAT PVT LTD","VRKP",IF(IF(IF(ISNUMBER(SEARCH("Party Name:-",'R.M Billets Reports'!D1790)),TRIM('R.M Billets Reports'!F1790),IF(ISNUMBER(SEARCH("Party Name-",'R.M Billets Reports'!D1790)),TRIM(MID('R.M Billets Reports'!D1790,SEARCH("-",'R.M Billets Reports'!D1790)+1,200)),""))&lt;&gt;"",IF(ISNUMBER(SEARCH("Party Name:-",'R.M Billets Reports'!D1790)),TRIM('R.M Billets Reports'!F1790),IF(ISNUMBER(SEARCH("Party Name-",'R.M Billets Reports'!D1790)),TRIM(MID('R.M Billets Reports'!D1790,SEARCH("-",'R.M Billets Reports'!D1790)+1,200)),"")),IF(ISNUMBER(SEARCH("Party Name:-",'R.M Billets Reports'!D1791)),TRIM('R.M Billets Reports'!F1791),IF(ISNUMBER(SEARCH("Party Name-",'R.M Billets Reports'!D1791)),TRIM(MID('R.M Billets Reports'!D1791,SEARCH("-",'R.M Billets Reports'!D1791)+1,200)),"")))="SHRI RADHE","SHREE RADHE",IF(IF(IF(ISNUMBER(SEARCH("Party Name:-",'R.M Billets Reports'!D1790)),TRIM('R.M Billets Reports'!F1790),IF(ISNUMBER(SEARCH("Party Name-",'R.M Billets Reports'!D1790)),TRIM(MID('R.M Billets Reports'!D1790,SEARCH("-",'R.M Billets Reports'!D1790)+1,200)),""))&lt;&gt;"",IF(ISNUMBER(SEARCH("Party Name:-",'R.M Billets Reports'!D1790)),TRIM('R.M Billets Reports'!F1790),IF(ISNUMBER(SEARCH("Party Name-",'R.M Billets Reports'!D1790)),TRIM(MID('R.M Billets Reports'!D1790,SEARCH("-",'R.M Billets Reports'!D1790)+1,200)),"")),IF(ISNUMBER(SEARCH("Party Name:-",'R.M Billets Reports'!D1791)),TRIM('R.M Billets Reports'!F1791),IF(ISNUMBER(SEARCH("Party Name-",'R.M Billets Reports'!D1791)),TRIM(MID('R.M Billets Reports'!D1791,SEARCH("-",'R.M Billets Reports'!D1791)+1,200)),"")))="SHREE RADHE SHAKTI SPONGE AND POWER PVT. LTD.","SHREE RADHE",IF(IF(ISNUMBER(SEARCH("Party Name:-",'R.M Billets Reports'!D1790)),TRIM('R.M Billets Reports'!F1790),IF(ISNUMBER(SEARCH("Party Name-",'R.M Billets Reports'!D1790)),TRIM(MID('R.M Billets Reports'!D1790,SEARCH("-",'R.M Billets Reports'!D1790)+1,200)),""))&lt;&gt;"",IF(ISNUMBER(SEARCH("Party Name:-",'R.M Billets Reports'!D1790)),TRIM('R.M Billets Reports'!F1790),IF(ISNUMBER(SEARCH("Party Name-",'R.M Billets Reports'!D1790)),TRIM(MID('R.M Billets Reports'!D1790,SEARCH("-",'R.M Billets Reports'!D1790)+1,200)),"")),IF(ISNUMBER(SEARCH("Party Name:-",'R.M Billets Reports'!D1791)),TRIM('R.M Billets Reports'!F1791),IF(ISNUMBER(SEARCH("Party Name-",'R.M Billets Reports'!D1791)),TRIM(MID('R.M Billets Reports'!D1791,SEARCH("-",'R.M Billets Reports'!D1791)+1,200)),"")))))),IF(ROW()=2,"",A1790))</f>
      </c>
      <c r="B1791">
        <f>IF(OR('R.M Billets Reports'!A1790="Date-",'R.M Billets Reports'!A1790="Date:-"),'R.M Billets Reports'!B1790,IF(ROW()=2,"",B1790))</f>
      </c>
      <c r="C1791">
        <f>IF('R.M Billets Reports'!A1790="V.No.",'R.M Billets Reports'!B1790,IF(ROW()=2,"",C1790))</f>
      </c>
      <c r="D1791">
        <f>IF('R.M Billets Reports'!A1790&lt;&gt;"",'R.M Billets Reports'!A1790,IF(ROW()=2,"",D1790))</f>
      </c>
      <c r="E1791">
        <f>IF('R.M Billets Reports'!B1790="","",TRIM('R.M Billets Reports'!B1790))</f>
      </c>
      <c r="F1791">
        <f>'R.M Billets Reports'!C1790</f>
      </c>
      <c r="G1791">
        <f>'R.M Billets Reports'!D1790</f>
      </c>
      <c r="H1791">
        <f>'R.M Billets Reports'!E1790</f>
      </c>
      <c r="I1791">
        <f>'R.M Billets Reports'!F1790</f>
      </c>
      <c r="J1791">
        <f>'R.M Billets Reports'!G1790</f>
      </c>
      <c r="K1791">
        <f>'R.M Billets Reports'!H1790</f>
      </c>
      <c r="L1791">
        <f>IF('R.M Billets Reports'!I1790="","",'R.M Billets Reports'!I1790)</f>
      </c>
      <c r="M1791">
        <f t="shared" si="54"/>
      </c>
      <c r="N1791">
        <f>IF('R.M Billets Reports'!J1790="","",'R.M Billets Reports'!J1790)</f>
      </c>
      <c r="O1791">
        <f t="shared" si="55"/>
      </c>
      <c r="P1791">
        <f>IF('R.M Billets Reports'!A1790="SIZE",'R.M Billets Reports'!B1790,P1790)</f>
      </c>
    </row>
    <row r="1792" spans="1:16" x14ac:dyDescent="0.25">
      <c r="A1792">
        <f>IF(OR('R.M Billets Reports'!A1791="Date-",'R.M Billets Reports'!A1791="Date:-"),IF(IF(IF(ISNUMBER(SEARCH("Party Name:-",'R.M Billets Reports'!D1791)),TRIM('R.M Billets Reports'!F1791),IF(ISNUMBER(SEARCH("Party Name-",'R.M Billets Reports'!D1791)),TRIM(MID('R.M Billets Reports'!D1791,SEARCH("-",'R.M Billets Reports'!D1791)+1,200)),""))&lt;&gt;"",IF(ISNUMBER(SEARCH("Party Name:-",'R.M Billets Reports'!D1791)),TRIM('R.M Billets Reports'!F1791),IF(ISNUMBER(SEARCH("Party Name-",'R.M Billets Reports'!D1791)),TRIM(MID('R.M Billets Reports'!D1791,SEARCH("-",'R.M Billets Reports'!D1791)+1,200)),"")),IF(ISNUMBER(SEARCH("Party Name:-",'R.M Billets Reports'!D1792)),TRIM('R.M Billets Reports'!F1792),IF(ISNUMBER(SEARCH("Party Name-",'R.M Billets Reports'!D1792)),TRIM(MID('R.M Billets Reports'!D1792,SEARCH("-",'R.M Billets Reports'!D1792)+1,200)),"")))="VRKP ISPAT PVT LTD","VRKP",IF(IF(IF(ISNUMBER(SEARCH("Party Name:-",'R.M Billets Reports'!D1791)),TRIM('R.M Billets Reports'!F1791),IF(ISNUMBER(SEARCH("Party Name-",'R.M Billets Reports'!D1791)),TRIM(MID('R.M Billets Reports'!D1791,SEARCH("-",'R.M Billets Reports'!D1791)+1,200)),""))&lt;&gt;"",IF(ISNUMBER(SEARCH("Party Name:-",'R.M Billets Reports'!D1791)),TRIM('R.M Billets Reports'!F1791),IF(ISNUMBER(SEARCH("Party Name-",'R.M Billets Reports'!D1791)),TRIM(MID('R.M Billets Reports'!D1791,SEARCH("-",'R.M Billets Reports'!D1791)+1,200)),"")),IF(ISNUMBER(SEARCH("Party Name:-",'R.M Billets Reports'!D1792)),TRIM('R.M Billets Reports'!F1792),IF(ISNUMBER(SEARCH("Party Name-",'R.M Billets Reports'!D1792)),TRIM(MID('R.M Billets Reports'!D1792,SEARCH("-",'R.M Billets Reports'!D1792)+1,200)),"")))="SHRI RADHE","SHREE RADHE",IF(IF(IF(ISNUMBER(SEARCH("Party Name:-",'R.M Billets Reports'!D1791)),TRIM('R.M Billets Reports'!F1791),IF(ISNUMBER(SEARCH("Party Name-",'R.M Billets Reports'!D1791)),TRIM(MID('R.M Billets Reports'!D1791,SEARCH("-",'R.M Billets Reports'!D1791)+1,200)),""))&lt;&gt;"",IF(ISNUMBER(SEARCH("Party Name:-",'R.M Billets Reports'!D1791)),TRIM('R.M Billets Reports'!F1791),IF(ISNUMBER(SEARCH("Party Name-",'R.M Billets Reports'!D1791)),TRIM(MID('R.M Billets Reports'!D1791,SEARCH("-",'R.M Billets Reports'!D1791)+1,200)),"")),IF(ISNUMBER(SEARCH("Party Name:-",'R.M Billets Reports'!D1792)),TRIM('R.M Billets Reports'!F1792),IF(ISNUMBER(SEARCH("Party Name-",'R.M Billets Reports'!D1792)),TRIM(MID('R.M Billets Reports'!D1792,SEARCH("-",'R.M Billets Reports'!D1792)+1,200)),"")))="SHREE RADHE SHAKTI SPONGE AND POWER PVT. LTD.","SHREE RADHE",IF(IF(ISNUMBER(SEARCH("Party Name:-",'R.M Billets Reports'!D1791)),TRIM('R.M Billets Reports'!F1791),IF(ISNUMBER(SEARCH("Party Name-",'R.M Billets Reports'!D1791)),TRIM(MID('R.M Billets Reports'!D1791,SEARCH("-",'R.M Billets Reports'!D1791)+1,200)),""))&lt;&gt;"",IF(ISNUMBER(SEARCH("Party Name:-",'R.M Billets Reports'!D1791)),TRIM('R.M Billets Reports'!F1791),IF(ISNUMBER(SEARCH("Party Name-",'R.M Billets Reports'!D1791)),TRIM(MID('R.M Billets Reports'!D1791,SEARCH("-",'R.M Billets Reports'!D1791)+1,200)),"")),IF(ISNUMBER(SEARCH("Party Name:-",'R.M Billets Reports'!D1792)),TRIM('R.M Billets Reports'!F1792),IF(ISNUMBER(SEARCH("Party Name-",'R.M Billets Reports'!D1792)),TRIM(MID('R.M Billets Reports'!D1792,SEARCH("-",'R.M Billets Reports'!D1792)+1,200)),"")))))),IF(ROW()=2,"",A1791))</f>
      </c>
      <c r="B1792">
        <f>IF(OR('R.M Billets Reports'!A1791="Date-",'R.M Billets Reports'!A1791="Date:-"),'R.M Billets Reports'!B1791,IF(ROW()=2,"",B1791))</f>
      </c>
      <c r="C1792">
        <f>IF('R.M Billets Reports'!A1791="V.No.",'R.M Billets Reports'!B1791,IF(ROW()=2,"",C1791))</f>
      </c>
      <c r="D1792">
        <f>IF('R.M Billets Reports'!A1791&lt;&gt;"",'R.M Billets Reports'!A1791,IF(ROW()=2,"",D1791))</f>
      </c>
      <c r="E1792">
        <f>IF('R.M Billets Reports'!B1791="","",TRIM('R.M Billets Reports'!B1791))</f>
      </c>
      <c r="F1792">
        <f>'R.M Billets Reports'!C1791</f>
      </c>
      <c r="G1792">
        <f>'R.M Billets Reports'!D1791</f>
      </c>
      <c r="H1792">
        <f>'R.M Billets Reports'!E1791</f>
      </c>
      <c r="I1792">
        <f>'R.M Billets Reports'!F1791</f>
      </c>
      <c r="J1792">
        <f>'R.M Billets Reports'!G1791</f>
      </c>
      <c r="K1792">
        <f>'R.M Billets Reports'!H1791</f>
      </c>
      <c r="L1792">
        <f>IF('R.M Billets Reports'!I1791="","",'R.M Billets Reports'!I1791)</f>
      </c>
      <c r="M1792">
        <f t="shared" si="54"/>
      </c>
      <c r="N1792">
        <f>IF('R.M Billets Reports'!J1791="","",'R.M Billets Reports'!J1791)</f>
      </c>
      <c r="O1792">
        <f t="shared" si="55"/>
      </c>
      <c r="P1792">
        <f>IF('R.M Billets Reports'!A1791="SIZE",'R.M Billets Reports'!B1791,P1791)</f>
      </c>
    </row>
    <row r="1793" spans="1:16" x14ac:dyDescent="0.25">
      <c r="A1793">
        <f>IF(OR('R.M Billets Reports'!A1792="Date-",'R.M Billets Reports'!A1792="Date:-"),IF(IF(IF(ISNUMBER(SEARCH("Party Name:-",'R.M Billets Reports'!D1792)),TRIM('R.M Billets Reports'!F1792),IF(ISNUMBER(SEARCH("Party Name-",'R.M Billets Reports'!D1792)),TRIM(MID('R.M Billets Reports'!D1792,SEARCH("-",'R.M Billets Reports'!D1792)+1,200)),""))&lt;&gt;"",IF(ISNUMBER(SEARCH("Party Name:-",'R.M Billets Reports'!D1792)),TRIM('R.M Billets Reports'!F1792),IF(ISNUMBER(SEARCH("Party Name-",'R.M Billets Reports'!D1792)),TRIM(MID('R.M Billets Reports'!D1792,SEARCH("-",'R.M Billets Reports'!D1792)+1,200)),"")),IF(ISNUMBER(SEARCH("Party Name:-",'R.M Billets Reports'!D1793)),TRIM('R.M Billets Reports'!F1793),IF(ISNUMBER(SEARCH("Party Name-",'R.M Billets Reports'!D1793)),TRIM(MID('R.M Billets Reports'!D1793,SEARCH("-",'R.M Billets Reports'!D1793)+1,200)),"")))="VRKP ISPAT PVT LTD","VRKP",IF(IF(IF(ISNUMBER(SEARCH("Party Name:-",'R.M Billets Reports'!D1792)),TRIM('R.M Billets Reports'!F1792),IF(ISNUMBER(SEARCH("Party Name-",'R.M Billets Reports'!D1792)),TRIM(MID('R.M Billets Reports'!D1792,SEARCH("-",'R.M Billets Reports'!D1792)+1,200)),""))&lt;&gt;"",IF(ISNUMBER(SEARCH("Party Name:-",'R.M Billets Reports'!D1792)),TRIM('R.M Billets Reports'!F1792),IF(ISNUMBER(SEARCH("Party Name-",'R.M Billets Reports'!D1792)),TRIM(MID('R.M Billets Reports'!D1792,SEARCH("-",'R.M Billets Reports'!D1792)+1,200)),"")),IF(ISNUMBER(SEARCH("Party Name:-",'R.M Billets Reports'!D1793)),TRIM('R.M Billets Reports'!F1793),IF(ISNUMBER(SEARCH("Party Name-",'R.M Billets Reports'!D1793)),TRIM(MID('R.M Billets Reports'!D1793,SEARCH("-",'R.M Billets Reports'!D1793)+1,200)),"")))="SHRI RADHE","SHREE RADHE",IF(IF(IF(ISNUMBER(SEARCH("Party Name:-",'R.M Billets Reports'!D1792)),TRIM('R.M Billets Reports'!F1792),IF(ISNUMBER(SEARCH("Party Name-",'R.M Billets Reports'!D1792)),TRIM(MID('R.M Billets Reports'!D1792,SEARCH("-",'R.M Billets Reports'!D1792)+1,200)),""))&lt;&gt;"",IF(ISNUMBER(SEARCH("Party Name:-",'R.M Billets Reports'!D1792)),TRIM('R.M Billets Reports'!F1792),IF(ISNUMBER(SEARCH("Party Name-",'R.M Billets Reports'!D1792)),TRIM(MID('R.M Billets Reports'!D1792,SEARCH("-",'R.M Billets Reports'!D1792)+1,200)),"")),IF(ISNUMBER(SEARCH("Party Name:-",'R.M Billets Reports'!D1793)),TRIM('R.M Billets Reports'!F1793),IF(ISNUMBER(SEARCH("Party Name-",'R.M Billets Reports'!D1793)),TRIM(MID('R.M Billets Reports'!D1793,SEARCH("-",'R.M Billets Reports'!D1793)+1,200)),"")))="SHREE RADHE SHAKTI SPONGE AND POWER PVT. LTD.","SHREE RADHE",IF(IF(ISNUMBER(SEARCH("Party Name:-",'R.M Billets Reports'!D1792)),TRIM('R.M Billets Reports'!F1792),IF(ISNUMBER(SEARCH("Party Name-",'R.M Billets Reports'!D1792)),TRIM(MID('R.M Billets Reports'!D1792,SEARCH("-",'R.M Billets Reports'!D1792)+1,200)),""))&lt;&gt;"",IF(ISNUMBER(SEARCH("Party Name:-",'R.M Billets Reports'!D1792)),TRIM('R.M Billets Reports'!F1792),IF(ISNUMBER(SEARCH("Party Name-",'R.M Billets Reports'!D1792)),TRIM(MID('R.M Billets Reports'!D1792,SEARCH("-",'R.M Billets Reports'!D1792)+1,200)),"")),IF(ISNUMBER(SEARCH("Party Name:-",'R.M Billets Reports'!D1793)),TRIM('R.M Billets Reports'!F1793),IF(ISNUMBER(SEARCH("Party Name-",'R.M Billets Reports'!D1793)),TRIM(MID('R.M Billets Reports'!D1793,SEARCH("-",'R.M Billets Reports'!D1793)+1,200)),"")))))),IF(ROW()=2,"",A1792))</f>
      </c>
      <c r="B1793">
        <f>IF(OR('R.M Billets Reports'!A1792="Date-",'R.M Billets Reports'!A1792="Date:-"),'R.M Billets Reports'!B1792,IF(ROW()=2,"",B1792))</f>
      </c>
      <c r="C1793">
        <f>IF('R.M Billets Reports'!A1792="V.No.",'R.M Billets Reports'!B1792,IF(ROW()=2,"",C1792))</f>
      </c>
      <c r="D1793">
        <f>IF('R.M Billets Reports'!A1792&lt;&gt;"",'R.M Billets Reports'!A1792,IF(ROW()=2,"",D1792))</f>
      </c>
      <c r="E1793">
        <f>IF('R.M Billets Reports'!B1792="","",TRIM('R.M Billets Reports'!B1792))</f>
      </c>
      <c r="F1793">
        <f>'R.M Billets Reports'!C1792</f>
      </c>
      <c r="G1793">
        <f>'R.M Billets Reports'!D1792</f>
      </c>
      <c r="H1793">
        <f>'R.M Billets Reports'!E1792</f>
      </c>
      <c r="I1793">
        <f>'R.M Billets Reports'!F1792</f>
      </c>
      <c r="J1793">
        <f>'R.M Billets Reports'!G1792</f>
      </c>
      <c r="K1793">
        <f>'R.M Billets Reports'!H1792</f>
      </c>
      <c r="L1793">
        <f>IF('R.M Billets Reports'!I1792="","",'R.M Billets Reports'!I1792)</f>
      </c>
      <c r="M1793">
        <f t="shared" si="54"/>
      </c>
      <c r="N1793">
        <f>IF('R.M Billets Reports'!J1792="","",'R.M Billets Reports'!J1792)</f>
      </c>
      <c r="O1793">
        <f t="shared" si="55"/>
      </c>
      <c r="P1793">
        <f>IF('R.M Billets Reports'!A1792="SIZE",'R.M Billets Reports'!B1792,P1792)</f>
      </c>
    </row>
    <row r="1794" spans="1:16" x14ac:dyDescent="0.25">
      <c r="A1794">
        <f>IF(OR('R.M Billets Reports'!A1793="Date-",'R.M Billets Reports'!A1793="Date:-"),IF(IF(IF(ISNUMBER(SEARCH("Party Name:-",'R.M Billets Reports'!D1793)),TRIM('R.M Billets Reports'!F1793),IF(ISNUMBER(SEARCH("Party Name-",'R.M Billets Reports'!D1793)),TRIM(MID('R.M Billets Reports'!D1793,SEARCH("-",'R.M Billets Reports'!D1793)+1,200)),""))&lt;&gt;"",IF(ISNUMBER(SEARCH("Party Name:-",'R.M Billets Reports'!D1793)),TRIM('R.M Billets Reports'!F1793),IF(ISNUMBER(SEARCH("Party Name-",'R.M Billets Reports'!D1793)),TRIM(MID('R.M Billets Reports'!D1793,SEARCH("-",'R.M Billets Reports'!D1793)+1,200)),"")),IF(ISNUMBER(SEARCH("Party Name:-",'R.M Billets Reports'!D1794)),TRIM('R.M Billets Reports'!F1794),IF(ISNUMBER(SEARCH("Party Name-",'R.M Billets Reports'!D1794)),TRIM(MID('R.M Billets Reports'!D1794,SEARCH("-",'R.M Billets Reports'!D1794)+1,200)),"")))="VRKP ISPAT PVT LTD","VRKP",IF(IF(IF(ISNUMBER(SEARCH("Party Name:-",'R.M Billets Reports'!D1793)),TRIM('R.M Billets Reports'!F1793),IF(ISNUMBER(SEARCH("Party Name-",'R.M Billets Reports'!D1793)),TRIM(MID('R.M Billets Reports'!D1793,SEARCH("-",'R.M Billets Reports'!D1793)+1,200)),""))&lt;&gt;"",IF(ISNUMBER(SEARCH("Party Name:-",'R.M Billets Reports'!D1793)),TRIM('R.M Billets Reports'!F1793),IF(ISNUMBER(SEARCH("Party Name-",'R.M Billets Reports'!D1793)),TRIM(MID('R.M Billets Reports'!D1793,SEARCH("-",'R.M Billets Reports'!D1793)+1,200)),"")),IF(ISNUMBER(SEARCH("Party Name:-",'R.M Billets Reports'!D1794)),TRIM('R.M Billets Reports'!F1794),IF(ISNUMBER(SEARCH("Party Name-",'R.M Billets Reports'!D1794)),TRIM(MID('R.M Billets Reports'!D1794,SEARCH("-",'R.M Billets Reports'!D1794)+1,200)),"")))="SHRI RADHE","SHREE RADHE",IF(IF(IF(ISNUMBER(SEARCH("Party Name:-",'R.M Billets Reports'!D1793)),TRIM('R.M Billets Reports'!F1793),IF(ISNUMBER(SEARCH("Party Name-",'R.M Billets Reports'!D1793)),TRIM(MID('R.M Billets Reports'!D1793,SEARCH("-",'R.M Billets Reports'!D1793)+1,200)),""))&lt;&gt;"",IF(ISNUMBER(SEARCH("Party Name:-",'R.M Billets Reports'!D1793)),TRIM('R.M Billets Reports'!F1793),IF(ISNUMBER(SEARCH("Party Name-",'R.M Billets Reports'!D1793)),TRIM(MID('R.M Billets Reports'!D1793,SEARCH("-",'R.M Billets Reports'!D1793)+1,200)),"")),IF(ISNUMBER(SEARCH("Party Name:-",'R.M Billets Reports'!D1794)),TRIM('R.M Billets Reports'!F1794),IF(ISNUMBER(SEARCH("Party Name-",'R.M Billets Reports'!D1794)),TRIM(MID('R.M Billets Reports'!D1794,SEARCH("-",'R.M Billets Reports'!D1794)+1,200)),"")))="SHREE RADHE SHAKTI SPONGE AND POWER PVT. LTD.","SHREE RADHE",IF(IF(ISNUMBER(SEARCH("Party Name:-",'R.M Billets Reports'!D1793)),TRIM('R.M Billets Reports'!F1793),IF(ISNUMBER(SEARCH("Party Name-",'R.M Billets Reports'!D1793)),TRIM(MID('R.M Billets Reports'!D1793,SEARCH("-",'R.M Billets Reports'!D1793)+1,200)),""))&lt;&gt;"",IF(ISNUMBER(SEARCH("Party Name:-",'R.M Billets Reports'!D1793)),TRIM('R.M Billets Reports'!F1793),IF(ISNUMBER(SEARCH("Party Name-",'R.M Billets Reports'!D1793)),TRIM(MID('R.M Billets Reports'!D1793,SEARCH("-",'R.M Billets Reports'!D1793)+1,200)),"")),IF(ISNUMBER(SEARCH("Party Name:-",'R.M Billets Reports'!D1794)),TRIM('R.M Billets Reports'!F1794),IF(ISNUMBER(SEARCH("Party Name-",'R.M Billets Reports'!D1794)),TRIM(MID('R.M Billets Reports'!D1794,SEARCH("-",'R.M Billets Reports'!D1794)+1,200)),"")))))),IF(ROW()=2,"",A1793))</f>
      </c>
      <c r="B1794">
        <f>IF(OR('R.M Billets Reports'!A1793="Date-",'R.M Billets Reports'!A1793="Date:-"),'R.M Billets Reports'!B1793,IF(ROW()=2,"",B1793))</f>
      </c>
      <c r="C1794">
        <f>IF('R.M Billets Reports'!A1793="V.No.",'R.M Billets Reports'!B1793,IF(ROW()=2,"",C1793))</f>
      </c>
      <c r="D1794">
        <f>IF('R.M Billets Reports'!A1793&lt;&gt;"",'R.M Billets Reports'!A1793,IF(ROW()=2,"",D1793))</f>
      </c>
      <c r="E1794">
        <f>IF('R.M Billets Reports'!B1793="","",TRIM('R.M Billets Reports'!B1793))</f>
      </c>
      <c r="F1794">
        <f>'R.M Billets Reports'!C1793</f>
      </c>
      <c r="G1794">
        <f>'R.M Billets Reports'!D1793</f>
      </c>
      <c r="H1794">
        <f>'R.M Billets Reports'!E1793</f>
      </c>
      <c r="I1794">
        <f>'R.M Billets Reports'!F1793</f>
      </c>
      <c r="J1794">
        <f>'R.M Billets Reports'!G1793</f>
      </c>
      <c r="K1794">
        <f>'R.M Billets Reports'!H1793</f>
      </c>
      <c r="L1794">
        <f>IF('R.M Billets Reports'!I1793="","",'R.M Billets Reports'!I1793)</f>
      </c>
      <c r="M1794">
        <f t="shared" si="54"/>
      </c>
      <c r="N1794">
        <f>IF('R.M Billets Reports'!J1793="","",'R.M Billets Reports'!J1793)</f>
      </c>
      <c r="O1794">
        <f t="shared" si="55"/>
      </c>
      <c r="P1794">
        <f>IF('R.M Billets Reports'!A1793="SIZE",'R.M Billets Reports'!B1793,P1793)</f>
      </c>
    </row>
    <row r="1795" spans="1:16" x14ac:dyDescent="0.25">
      <c r="A1795">
        <f>IF(OR('R.M Billets Reports'!A1794="Date-",'R.M Billets Reports'!A1794="Date:-"),IF(IF(IF(ISNUMBER(SEARCH("Party Name:-",'R.M Billets Reports'!D1794)),TRIM('R.M Billets Reports'!F1794),IF(ISNUMBER(SEARCH("Party Name-",'R.M Billets Reports'!D1794)),TRIM(MID('R.M Billets Reports'!D1794,SEARCH("-",'R.M Billets Reports'!D1794)+1,200)),""))&lt;&gt;"",IF(ISNUMBER(SEARCH("Party Name:-",'R.M Billets Reports'!D1794)),TRIM('R.M Billets Reports'!F1794),IF(ISNUMBER(SEARCH("Party Name-",'R.M Billets Reports'!D1794)),TRIM(MID('R.M Billets Reports'!D1794,SEARCH("-",'R.M Billets Reports'!D1794)+1,200)),"")),IF(ISNUMBER(SEARCH("Party Name:-",'R.M Billets Reports'!D1795)),TRIM('R.M Billets Reports'!F1795),IF(ISNUMBER(SEARCH("Party Name-",'R.M Billets Reports'!D1795)),TRIM(MID('R.M Billets Reports'!D1795,SEARCH("-",'R.M Billets Reports'!D1795)+1,200)),"")))="VRKP ISPAT PVT LTD","VRKP",IF(IF(IF(ISNUMBER(SEARCH("Party Name:-",'R.M Billets Reports'!D1794)),TRIM('R.M Billets Reports'!F1794),IF(ISNUMBER(SEARCH("Party Name-",'R.M Billets Reports'!D1794)),TRIM(MID('R.M Billets Reports'!D1794,SEARCH("-",'R.M Billets Reports'!D1794)+1,200)),""))&lt;&gt;"",IF(ISNUMBER(SEARCH("Party Name:-",'R.M Billets Reports'!D1794)),TRIM('R.M Billets Reports'!F1794),IF(ISNUMBER(SEARCH("Party Name-",'R.M Billets Reports'!D1794)),TRIM(MID('R.M Billets Reports'!D1794,SEARCH("-",'R.M Billets Reports'!D1794)+1,200)),"")),IF(ISNUMBER(SEARCH("Party Name:-",'R.M Billets Reports'!D1795)),TRIM('R.M Billets Reports'!F1795),IF(ISNUMBER(SEARCH("Party Name-",'R.M Billets Reports'!D1795)),TRIM(MID('R.M Billets Reports'!D1795,SEARCH("-",'R.M Billets Reports'!D1795)+1,200)),"")))="SHRI RADHE","SHREE RADHE",IF(IF(IF(ISNUMBER(SEARCH("Party Name:-",'R.M Billets Reports'!D1794)),TRIM('R.M Billets Reports'!F1794),IF(ISNUMBER(SEARCH("Party Name-",'R.M Billets Reports'!D1794)),TRIM(MID('R.M Billets Reports'!D1794,SEARCH("-",'R.M Billets Reports'!D1794)+1,200)),""))&lt;&gt;"",IF(ISNUMBER(SEARCH("Party Name:-",'R.M Billets Reports'!D1794)),TRIM('R.M Billets Reports'!F1794),IF(ISNUMBER(SEARCH("Party Name-",'R.M Billets Reports'!D1794)),TRIM(MID('R.M Billets Reports'!D1794,SEARCH("-",'R.M Billets Reports'!D1794)+1,200)),"")),IF(ISNUMBER(SEARCH("Party Name:-",'R.M Billets Reports'!D1795)),TRIM('R.M Billets Reports'!F1795),IF(ISNUMBER(SEARCH("Party Name-",'R.M Billets Reports'!D1795)),TRIM(MID('R.M Billets Reports'!D1795,SEARCH("-",'R.M Billets Reports'!D1795)+1,200)),"")))="SHREE RADHE SHAKTI SPONGE AND POWER PVT. LTD.","SHREE RADHE",IF(IF(ISNUMBER(SEARCH("Party Name:-",'R.M Billets Reports'!D1794)),TRIM('R.M Billets Reports'!F1794),IF(ISNUMBER(SEARCH("Party Name-",'R.M Billets Reports'!D1794)),TRIM(MID('R.M Billets Reports'!D1794,SEARCH("-",'R.M Billets Reports'!D1794)+1,200)),""))&lt;&gt;"",IF(ISNUMBER(SEARCH("Party Name:-",'R.M Billets Reports'!D1794)),TRIM('R.M Billets Reports'!F1794),IF(ISNUMBER(SEARCH("Party Name-",'R.M Billets Reports'!D1794)),TRIM(MID('R.M Billets Reports'!D1794,SEARCH("-",'R.M Billets Reports'!D1794)+1,200)),"")),IF(ISNUMBER(SEARCH("Party Name:-",'R.M Billets Reports'!D1795)),TRIM('R.M Billets Reports'!F1795),IF(ISNUMBER(SEARCH("Party Name-",'R.M Billets Reports'!D1795)),TRIM(MID('R.M Billets Reports'!D1795,SEARCH("-",'R.M Billets Reports'!D1795)+1,200)),"")))))),IF(ROW()=2,"",A1794))</f>
      </c>
      <c r="B1795">
        <f>IF(OR('R.M Billets Reports'!A1794="Date-",'R.M Billets Reports'!A1794="Date:-"),'R.M Billets Reports'!B1794,IF(ROW()=2,"",B1794))</f>
      </c>
      <c r="C1795">
        <f>IF('R.M Billets Reports'!A1794="V.No.",'R.M Billets Reports'!B1794,IF(ROW()=2,"",C1794))</f>
      </c>
      <c r="D1795">
        <f>IF('R.M Billets Reports'!A1794&lt;&gt;"",'R.M Billets Reports'!A1794,IF(ROW()=2,"",D1794))</f>
      </c>
      <c r="E1795">
        <f>IF('R.M Billets Reports'!B1794="","",TRIM('R.M Billets Reports'!B1794))</f>
      </c>
      <c r="F1795">
        <f>'R.M Billets Reports'!C1794</f>
      </c>
      <c r="G1795">
        <f>'R.M Billets Reports'!D1794</f>
      </c>
      <c r="H1795">
        <f>'R.M Billets Reports'!E1794</f>
      </c>
      <c r="I1795">
        <f>'R.M Billets Reports'!F1794</f>
      </c>
      <c r="J1795">
        <f>'R.M Billets Reports'!G1794</f>
      </c>
      <c r="K1795">
        <f>'R.M Billets Reports'!H1794</f>
      </c>
      <c r="L1795">
        <f>IF('R.M Billets Reports'!I1794="","",'R.M Billets Reports'!I1794)</f>
      </c>
      <c r="M1795">
        <f t="shared" ref="M1795:M1858" si="56">IF(L1795&lt;&gt;"",L1795,IF(D1795=D1794,M1794,""))</f>
      </c>
      <c r="N1795">
        <f>IF('R.M Billets Reports'!J1794="","",'R.M Billets Reports'!J1794)</f>
      </c>
      <c r="O1795">
        <f t="shared" ref="O1795:O1858" si="57">IF(N1795&lt;&gt;"",N1795,IF(D1795=D1794,O1794,""))</f>
      </c>
      <c r="P1795">
        <f>IF('R.M Billets Reports'!A1794="SIZE",'R.M Billets Reports'!B1794,P1794)</f>
      </c>
    </row>
    <row r="1796" spans="1:16" x14ac:dyDescent="0.25">
      <c r="A1796">
        <f>IF(OR('R.M Billets Reports'!A1795="Date-",'R.M Billets Reports'!A1795="Date:-"),IF(IF(IF(ISNUMBER(SEARCH("Party Name:-",'R.M Billets Reports'!D1795)),TRIM('R.M Billets Reports'!F1795),IF(ISNUMBER(SEARCH("Party Name-",'R.M Billets Reports'!D1795)),TRIM(MID('R.M Billets Reports'!D1795,SEARCH("-",'R.M Billets Reports'!D1795)+1,200)),""))&lt;&gt;"",IF(ISNUMBER(SEARCH("Party Name:-",'R.M Billets Reports'!D1795)),TRIM('R.M Billets Reports'!F1795),IF(ISNUMBER(SEARCH("Party Name-",'R.M Billets Reports'!D1795)),TRIM(MID('R.M Billets Reports'!D1795,SEARCH("-",'R.M Billets Reports'!D1795)+1,200)),"")),IF(ISNUMBER(SEARCH("Party Name:-",'R.M Billets Reports'!D1796)),TRIM('R.M Billets Reports'!F1796),IF(ISNUMBER(SEARCH("Party Name-",'R.M Billets Reports'!D1796)),TRIM(MID('R.M Billets Reports'!D1796,SEARCH("-",'R.M Billets Reports'!D1796)+1,200)),"")))="VRKP ISPAT PVT LTD","VRKP",IF(IF(IF(ISNUMBER(SEARCH("Party Name:-",'R.M Billets Reports'!D1795)),TRIM('R.M Billets Reports'!F1795),IF(ISNUMBER(SEARCH("Party Name-",'R.M Billets Reports'!D1795)),TRIM(MID('R.M Billets Reports'!D1795,SEARCH("-",'R.M Billets Reports'!D1795)+1,200)),""))&lt;&gt;"",IF(ISNUMBER(SEARCH("Party Name:-",'R.M Billets Reports'!D1795)),TRIM('R.M Billets Reports'!F1795),IF(ISNUMBER(SEARCH("Party Name-",'R.M Billets Reports'!D1795)),TRIM(MID('R.M Billets Reports'!D1795,SEARCH("-",'R.M Billets Reports'!D1795)+1,200)),"")),IF(ISNUMBER(SEARCH("Party Name:-",'R.M Billets Reports'!D1796)),TRIM('R.M Billets Reports'!F1796),IF(ISNUMBER(SEARCH("Party Name-",'R.M Billets Reports'!D1796)),TRIM(MID('R.M Billets Reports'!D1796,SEARCH("-",'R.M Billets Reports'!D1796)+1,200)),"")))="SHRI RADHE","SHREE RADHE",IF(IF(IF(ISNUMBER(SEARCH("Party Name:-",'R.M Billets Reports'!D1795)),TRIM('R.M Billets Reports'!F1795),IF(ISNUMBER(SEARCH("Party Name-",'R.M Billets Reports'!D1795)),TRIM(MID('R.M Billets Reports'!D1795,SEARCH("-",'R.M Billets Reports'!D1795)+1,200)),""))&lt;&gt;"",IF(ISNUMBER(SEARCH("Party Name:-",'R.M Billets Reports'!D1795)),TRIM('R.M Billets Reports'!F1795),IF(ISNUMBER(SEARCH("Party Name-",'R.M Billets Reports'!D1795)),TRIM(MID('R.M Billets Reports'!D1795,SEARCH("-",'R.M Billets Reports'!D1795)+1,200)),"")),IF(ISNUMBER(SEARCH("Party Name:-",'R.M Billets Reports'!D1796)),TRIM('R.M Billets Reports'!F1796),IF(ISNUMBER(SEARCH("Party Name-",'R.M Billets Reports'!D1796)),TRIM(MID('R.M Billets Reports'!D1796,SEARCH("-",'R.M Billets Reports'!D1796)+1,200)),"")))="SHREE RADHE SHAKTI SPONGE AND POWER PVT. LTD.","SHREE RADHE",IF(IF(ISNUMBER(SEARCH("Party Name:-",'R.M Billets Reports'!D1795)),TRIM('R.M Billets Reports'!F1795),IF(ISNUMBER(SEARCH("Party Name-",'R.M Billets Reports'!D1795)),TRIM(MID('R.M Billets Reports'!D1795,SEARCH("-",'R.M Billets Reports'!D1795)+1,200)),""))&lt;&gt;"",IF(ISNUMBER(SEARCH("Party Name:-",'R.M Billets Reports'!D1795)),TRIM('R.M Billets Reports'!F1795),IF(ISNUMBER(SEARCH("Party Name-",'R.M Billets Reports'!D1795)),TRIM(MID('R.M Billets Reports'!D1795,SEARCH("-",'R.M Billets Reports'!D1795)+1,200)),"")),IF(ISNUMBER(SEARCH("Party Name:-",'R.M Billets Reports'!D1796)),TRIM('R.M Billets Reports'!F1796),IF(ISNUMBER(SEARCH("Party Name-",'R.M Billets Reports'!D1796)),TRIM(MID('R.M Billets Reports'!D1796,SEARCH("-",'R.M Billets Reports'!D1796)+1,200)),"")))))),IF(ROW()=2,"",A1795))</f>
      </c>
      <c r="B1796">
        <f>IF(OR('R.M Billets Reports'!A1795="Date-",'R.M Billets Reports'!A1795="Date:-"),'R.M Billets Reports'!B1795,IF(ROW()=2,"",B1795))</f>
      </c>
      <c r="C1796">
        <f>IF('R.M Billets Reports'!A1795="V.No.",'R.M Billets Reports'!B1795,IF(ROW()=2,"",C1795))</f>
      </c>
      <c r="D1796">
        <f>IF('R.M Billets Reports'!A1795&lt;&gt;"",'R.M Billets Reports'!A1795,IF(ROW()=2,"",D1795))</f>
      </c>
      <c r="E1796">
        <f>IF('R.M Billets Reports'!B1795="","",TRIM('R.M Billets Reports'!B1795))</f>
      </c>
      <c r="F1796">
        <f>'R.M Billets Reports'!C1795</f>
      </c>
      <c r="G1796">
        <f>'R.M Billets Reports'!D1795</f>
      </c>
      <c r="H1796">
        <f>'R.M Billets Reports'!E1795</f>
      </c>
      <c r="I1796">
        <f>'R.M Billets Reports'!F1795</f>
      </c>
      <c r="J1796">
        <f>'R.M Billets Reports'!G1795</f>
      </c>
      <c r="K1796">
        <f>'R.M Billets Reports'!H1795</f>
      </c>
      <c r="L1796">
        <f>IF('R.M Billets Reports'!I1795="","",'R.M Billets Reports'!I1795)</f>
      </c>
      <c r="M1796">
        <f t="shared" si="56"/>
      </c>
      <c r="N1796">
        <f>IF('R.M Billets Reports'!J1795="","",'R.M Billets Reports'!J1795)</f>
      </c>
      <c r="O1796">
        <f t="shared" si="57"/>
      </c>
      <c r="P1796">
        <f>IF('R.M Billets Reports'!A1795="SIZE",'R.M Billets Reports'!B1795,P1795)</f>
      </c>
    </row>
    <row r="1797" spans="1:16" x14ac:dyDescent="0.25">
      <c r="A1797">
        <f>IF(OR('R.M Billets Reports'!A1796="Date-",'R.M Billets Reports'!A1796="Date:-"),IF(IF(IF(ISNUMBER(SEARCH("Party Name:-",'R.M Billets Reports'!D1796)),TRIM('R.M Billets Reports'!F1796),IF(ISNUMBER(SEARCH("Party Name-",'R.M Billets Reports'!D1796)),TRIM(MID('R.M Billets Reports'!D1796,SEARCH("-",'R.M Billets Reports'!D1796)+1,200)),""))&lt;&gt;"",IF(ISNUMBER(SEARCH("Party Name:-",'R.M Billets Reports'!D1796)),TRIM('R.M Billets Reports'!F1796),IF(ISNUMBER(SEARCH("Party Name-",'R.M Billets Reports'!D1796)),TRIM(MID('R.M Billets Reports'!D1796,SEARCH("-",'R.M Billets Reports'!D1796)+1,200)),"")),IF(ISNUMBER(SEARCH("Party Name:-",'R.M Billets Reports'!D1797)),TRIM('R.M Billets Reports'!F1797),IF(ISNUMBER(SEARCH("Party Name-",'R.M Billets Reports'!D1797)),TRIM(MID('R.M Billets Reports'!D1797,SEARCH("-",'R.M Billets Reports'!D1797)+1,200)),"")))="VRKP ISPAT PVT LTD","VRKP",IF(IF(IF(ISNUMBER(SEARCH("Party Name:-",'R.M Billets Reports'!D1796)),TRIM('R.M Billets Reports'!F1796),IF(ISNUMBER(SEARCH("Party Name-",'R.M Billets Reports'!D1796)),TRIM(MID('R.M Billets Reports'!D1796,SEARCH("-",'R.M Billets Reports'!D1796)+1,200)),""))&lt;&gt;"",IF(ISNUMBER(SEARCH("Party Name:-",'R.M Billets Reports'!D1796)),TRIM('R.M Billets Reports'!F1796),IF(ISNUMBER(SEARCH("Party Name-",'R.M Billets Reports'!D1796)),TRIM(MID('R.M Billets Reports'!D1796,SEARCH("-",'R.M Billets Reports'!D1796)+1,200)),"")),IF(ISNUMBER(SEARCH("Party Name:-",'R.M Billets Reports'!D1797)),TRIM('R.M Billets Reports'!F1797),IF(ISNUMBER(SEARCH("Party Name-",'R.M Billets Reports'!D1797)),TRIM(MID('R.M Billets Reports'!D1797,SEARCH("-",'R.M Billets Reports'!D1797)+1,200)),"")))="SHRI RADHE","SHREE RADHE",IF(IF(IF(ISNUMBER(SEARCH("Party Name:-",'R.M Billets Reports'!D1796)),TRIM('R.M Billets Reports'!F1796),IF(ISNUMBER(SEARCH("Party Name-",'R.M Billets Reports'!D1796)),TRIM(MID('R.M Billets Reports'!D1796,SEARCH("-",'R.M Billets Reports'!D1796)+1,200)),""))&lt;&gt;"",IF(ISNUMBER(SEARCH("Party Name:-",'R.M Billets Reports'!D1796)),TRIM('R.M Billets Reports'!F1796),IF(ISNUMBER(SEARCH("Party Name-",'R.M Billets Reports'!D1796)),TRIM(MID('R.M Billets Reports'!D1796,SEARCH("-",'R.M Billets Reports'!D1796)+1,200)),"")),IF(ISNUMBER(SEARCH("Party Name:-",'R.M Billets Reports'!D1797)),TRIM('R.M Billets Reports'!F1797),IF(ISNUMBER(SEARCH("Party Name-",'R.M Billets Reports'!D1797)),TRIM(MID('R.M Billets Reports'!D1797,SEARCH("-",'R.M Billets Reports'!D1797)+1,200)),"")))="SHREE RADHE SHAKTI SPONGE AND POWER PVT. LTD.","SHREE RADHE",IF(IF(ISNUMBER(SEARCH("Party Name:-",'R.M Billets Reports'!D1796)),TRIM('R.M Billets Reports'!F1796),IF(ISNUMBER(SEARCH("Party Name-",'R.M Billets Reports'!D1796)),TRIM(MID('R.M Billets Reports'!D1796,SEARCH("-",'R.M Billets Reports'!D1796)+1,200)),""))&lt;&gt;"",IF(ISNUMBER(SEARCH("Party Name:-",'R.M Billets Reports'!D1796)),TRIM('R.M Billets Reports'!F1796),IF(ISNUMBER(SEARCH("Party Name-",'R.M Billets Reports'!D1796)),TRIM(MID('R.M Billets Reports'!D1796,SEARCH("-",'R.M Billets Reports'!D1796)+1,200)),"")),IF(ISNUMBER(SEARCH("Party Name:-",'R.M Billets Reports'!D1797)),TRIM('R.M Billets Reports'!F1797),IF(ISNUMBER(SEARCH("Party Name-",'R.M Billets Reports'!D1797)),TRIM(MID('R.M Billets Reports'!D1797,SEARCH("-",'R.M Billets Reports'!D1797)+1,200)),"")))))),IF(ROW()=2,"",A1796))</f>
      </c>
      <c r="B1797">
        <f>IF(OR('R.M Billets Reports'!A1796="Date-",'R.M Billets Reports'!A1796="Date:-"),'R.M Billets Reports'!B1796,IF(ROW()=2,"",B1796))</f>
      </c>
      <c r="C1797">
        <f>IF('R.M Billets Reports'!A1796="V.No.",'R.M Billets Reports'!B1796,IF(ROW()=2,"",C1796))</f>
      </c>
      <c r="D1797">
        <f>IF('R.M Billets Reports'!A1796&lt;&gt;"",'R.M Billets Reports'!A1796,IF(ROW()=2,"",D1796))</f>
      </c>
      <c r="E1797">
        <f>IF('R.M Billets Reports'!B1796="","",TRIM('R.M Billets Reports'!B1796))</f>
      </c>
      <c r="F1797">
        <f>'R.M Billets Reports'!C1796</f>
      </c>
      <c r="G1797">
        <f>'R.M Billets Reports'!D1796</f>
      </c>
      <c r="H1797">
        <f>'R.M Billets Reports'!E1796</f>
      </c>
      <c r="I1797">
        <f>'R.M Billets Reports'!F1796</f>
      </c>
      <c r="J1797">
        <f>'R.M Billets Reports'!G1796</f>
      </c>
      <c r="K1797">
        <f>'R.M Billets Reports'!H1796</f>
      </c>
      <c r="L1797">
        <f>IF('R.M Billets Reports'!I1796="","",'R.M Billets Reports'!I1796)</f>
      </c>
      <c r="M1797">
        <f t="shared" si="56"/>
      </c>
      <c r="N1797">
        <f>IF('R.M Billets Reports'!J1796="","",'R.M Billets Reports'!J1796)</f>
      </c>
      <c r="O1797">
        <f t="shared" si="57"/>
      </c>
      <c r="P1797">
        <f>IF('R.M Billets Reports'!A1796="SIZE",'R.M Billets Reports'!B1796,P1796)</f>
      </c>
    </row>
    <row r="1798" spans="1:16" x14ac:dyDescent="0.25">
      <c r="A1798">
        <f>IF(OR('R.M Billets Reports'!A1797="Date-",'R.M Billets Reports'!A1797="Date:-"),IF(IF(IF(ISNUMBER(SEARCH("Party Name:-",'R.M Billets Reports'!D1797)),TRIM('R.M Billets Reports'!F1797),IF(ISNUMBER(SEARCH("Party Name-",'R.M Billets Reports'!D1797)),TRIM(MID('R.M Billets Reports'!D1797,SEARCH("-",'R.M Billets Reports'!D1797)+1,200)),""))&lt;&gt;"",IF(ISNUMBER(SEARCH("Party Name:-",'R.M Billets Reports'!D1797)),TRIM('R.M Billets Reports'!F1797),IF(ISNUMBER(SEARCH("Party Name-",'R.M Billets Reports'!D1797)),TRIM(MID('R.M Billets Reports'!D1797,SEARCH("-",'R.M Billets Reports'!D1797)+1,200)),"")),IF(ISNUMBER(SEARCH("Party Name:-",'R.M Billets Reports'!D1798)),TRIM('R.M Billets Reports'!F1798),IF(ISNUMBER(SEARCH("Party Name-",'R.M Billets Reports'!D1798)),TRIM(MID('R.M Billets Reports'!D1798,SEARCH("-",'R.M Billets Reports'!D1798)+1,200)),"")))="VRKP ISPAT PVT LTD","VRKP",IF(IF(IF(ISNUMBER(SEARCH("Party Name:-",'R.M Billets Reports'!D1797)),TRIM('R.M Billets Reports'!F1797),IF(ISNUMBER(SEARCH("Party Name-",'R.M Billets Reports'!D1797)),TRIM(MID('R.M Billets Reports'!D1797,SEARCH("-",'R.M Billets Reports'!D1797)+1,200)),""))&lt;&gt;"",IF(ISNUMBER(SEARCH("Party Name:-",'R.M Billets Reports'!D1797)),TRIM('R.M Billets Reports'!F1797),IF(ISNUMBER(SEARCH("Party Name-",'R.M Billets Reports'!D1797)),TRIM(MID('R.M Billets Reports'!D1797,SEARCH("-",'R.M Billets Reports'!D1797)+1,200)),"")),IF(ISNUMBER(SEARCH("Party Name:-",'R.M Billets Reports'!D1798)),TRIM('R.M Billets Reports'!F1798),IF(ISNUMBER(SEARCH("Party Name-",'R.M Billets Reports'!D1798)),TRIM(MID('R.M Billets Reports'!D1798,SEARCH("-",'R.M Billets Reports'!D1798)+1,200)),"")))="SHRI RADHE","SHREE RADHE",IF(IF(IF(ISNUMBER(SEARCH("Party Name:-",'R.M Billets Reports'!D1797)),TRIM('R.M Billets Reports'!F1797),IF(ISNUMBER(SEARCH("Party Name-",'R.M Billets Reports'!D1797)),TRIM(MID('R.M Billets Reports'!D1797,SEARCH("-",'R.M Billets Reports'!D1797)+1,200)),""))&lt;&gt;"",IF(ISNUMBER(SEARCH("Party Name:-",'R.M Billets Reports'!D1797)),TRIM('R.M Billets Reports'!F1797),IF(ISNUMBER(SEARCH("Party Name-",'R.M Billets Reports'!D1797)),TRIM(MID('R.M Billets Reports'!D1797,SEARCH("-",'R.M Billets Reports'!D1797)+1,200)),"")),IF(ISNUMBER(SEARCH("Party Name:-",'R.M Billets Reports'!D1798)),TRIM('R.M Billets Reports'!F1798),IF(ISNUMBER(SEARCH("Party Name-",'R.M Billets Reports'!D1798)),TRIM(MID('R.M Billets Reports'!D1798,SEARCH("-",'R.M Billets Reports'!D1798)+1,200)),"")))="SHREE RADHE SHAKTI SPONGE AND POWER PVT. LTD.","SHREE RADHE",IF(IF(ISNUMBER(SEARCH("Party Name:-",'R.M Billets Reports'!D1797)),TRIM('R.M Billets Reports'!F1797),IF(ISNUMBER(SEARCH("Party Name-",'R.M Billets Reports'!D1797)),TRIM(MID('R.M Billets Reports'!D1797,SEARCH("-",'R.M Billets Reports'!D1797)+1,200)),""))&lt;&gt;"",IF(ISNUMBER(SEARCH("Party Name:-",'R.M Billets Reports'!D1797)),TRIM('R.M Billets Reports'!F1797),IF(ISNUMBER(SEARCH("Party Name-",'R.M Billets Reports'!D1797)),TRIM(MID('R.M Billets Reports'!D1797,SEARCH("-",'R.M Billets Reports'!D1797)+1,200)),"")),IF(ISNUMBER(SEARCH("Party Name:-",'R.M Billets Reports'!D1798)),TRIM('R.M Billets Reports'!F1798),IF(ISNUMBER(SEARCH("Party Name-",'R.M Billets Reports'!D1798)),TRIM(MID('R.M Billets Reports'!D1798,SEARCH("-",'R.M Billets Reports'!D1798)+1,200)),"")))))),IF(ROW()=2,"",A1797))</f>
      </c>
      <c r="B1798">
        <f>IF(OR('R.M Billets Reports'!A1797="Date-",'R.M Billets Reports'!A1797="Date:-"),'R.M Billets Reports'!B1797,IF(ROW()=2,"",B1797))</f>
      </c>
      <c r="C1798">
        <f>IF('R.M Billets Reports'!A1797="V.No.",'R.M Billets Reports'!B1797,IF(ROW()=2,"",C1797))</f>
      </c>
      <c r="D1798">
        <f>IF('R.M Billets Reports'!A1797&lt;&gt;"",'R.M Billets Reports'!A1797,IF(ROW()=2,"",D1797))</f>
      </c>
      <c r="E1798">
        <f>IF('R.M Billets Reports'!B1797="","",TRIM('R.M Billets Reports'!B1797))</f>
      </c>
      <c r="F1798">
        <f>'R.M Billets Reports'!C1797</f>
      </c>
      <c r="G1798">
        <f>'R.M Billets Reports'!D1797</f>
      </c>
      <c r="H1798">
        <f>'R.M Billets Reports'!E1797</f>
      </c>
      <c r="I1798">
        <f>'R.M Billets Reports'!F1797</f>
      </c>
      <c r="J1798">
        <f>'R.M Billets Reports'!G1797</f>
      </c>
      <c r="K1798">
        <f>'R.M Billets Reports'!H1797</f>
      </c>
      <c r="L1798">
        <f>IF('R.M Billets Reports'!I1797="","",'R.M Billets Reports'!I1797)</f>
      </c>
      <c r="M1798">
        <f t="shared" si="56"/>
      </c>
      <c r="N1798">
        <f>IF('R.M Billets Reports'!J1797="","",'R.M Billets Reports'!J1797)</f>
      </c>
      <c r="O1798">
        <f t="shared" si="57"/>
      </c>
      <c r="P1798">
        <f>IF('R.M Billets Reports'!A1797="SIZE",'R.M Billets Reports'!B1797,P1797)</f>
      </c>
    </row>
    <row r="1799" spans="1:16" x14ac:dyDescent="0.25">
      <c r="A1799">
        <f>IF(OR('R.M Billets Reports'!A1798="Date-",'R.M Billets Reports'!A1798="Date:-"),IF(IF(IF(ISNUMBER(SEARCH("Party Name:-",'R.M Billets Reports'!D1798)),TRIM('R.M Billets Reports'!F1798),IF(ISNUMBER(SEARCH("Party Name-",'R.M Billets Reports'!D1798)),TRIM(MID('R.M Billets Reports'!D1798,SEARCH("-",'R.M Billets Reports'!D1798)+1,200)),""))&lt;&gt;"",IF(ISNUMBER(SEARCH("Party Name:-",'R.M Billets Reports'!D1798)),TRIM('R.M Billets Reports'!F1798),IF(ISNUMBER(SEARCH("Party Name-",'R.M Billets Reports'!D1798)),TRIM(MID('R.M Billets Reports'!D1798,SEARCH("-",'R.M Billets Reports'!D1798)+1,200)),"")),IF(ISNUMBER(SEARCH("Party Name:-",'R.M Billets Reports'!D1799)),TRIM('R.M Billets Reports'!F1799),IF(ISNUMBER(SEARCH("Party Name-",'R.M Billets Reports'!D1799)),TRIM(MID('R.M Billets Reports'!D1799,SEARCH("-",'R.M Billets Reports'!D1799)+1,200)),"")))="VRKP ISPAT PVT LTD","VRKP",IF(IF(IF(ISNUMBER(SEARCH("Party Name:-",'R.M Billets Reports'!D1798)),TRIM('R.M Billets Reports'!F1798),IF(ISNUMBER(SEARCH("Party Name-",'R.M Billets Reports'!D1798)),TRIM(MID('R.M Billets Reports'!D1798,SEARCH("-",'R.M Billets Reports'!D1798)+1,200)),""))&lt;&gt;"",IF(ISNUMBER(SEARCH("Party Name:-",'R.M Billets Reports'!D1798)),TRIM('R.M Billets Reports'!F1798),IF(ISNUMBER(SEARCH("Party Name-",'R.M Billets Reports'!D1798)),TRIM(MID('R.M Billets Reports'!D1798,SEARCH("-",'R.M Billets Reports'!D1798)+1,200)),"")),IF(ISNUMBER(SEARCH("Party Name:-",'R.M Billets Reports'!D1799)),TRIM('R.M Billets Reports'!F1799),IF(ISNUMBER(SEARCH("Party Name-",'R.M Billets Reports'!D1799)),TRIM(MID('R.M Billets Reports'!D1799,SEARCH("-",'R.M Billets Reports'!D1799)+1,200)),"")))="SHRI RADHE","SHREE RADHE",IF(IF(IF(ISNUMBER(SEARCH("Party Name:-",'R.M Billets Reports'!D1798)),TRIM('R.M Billets Reports'!F1798),IF(ISNUMBER(SEARCH("Party Name-",'R.M Billets Reports'!D1798)),TRIM(MID('R.M Billets Reports'!D1798,SEARCH("-",'R.M Billets Reports'!D1798)+1,200)),""))&lt;&gt;"",IF(ISNUMBER(SEARCH("Party Name:-",'R.M Billets Reports'!D1798)),TRIM('R.M Billets Reports'!F1798),IF(ISNUMBER(SEARCH("Party Name-",'R.M Billets Reports'!D1798)),TRIM(MID('R.M Billets Reports'!D1798,SEARCH("-",'R.M Billets Reports'!D1798)+1,200)),"")),IF(ISNUMBER(SEARCH("Party Name:-",'R.M Billets Reports'!D1799)),TRIM('R.M Billets Reports'!F1799),IF(ISNUMBER(SEARCH("Party Name-",'R.M Billets Reports'!D1799)),TRIM(MID('R.M Billets Reports'!D1799,SEARCH("-",'R.M Billets Reports'!D1799)+1,200)),"")))="SHREE RADHE SHAKTI SPONGE AND POWER PVT. LTD.","SHREE RADHE",IF(IF(ISNUMBER(SEARCH("Party Name:-",'R.M Billets Reports'!D1798)),TRIM('R.M Billets Reports'!F1798),IF(ISNUMBER(SEARCH("Party Name-",'R.M Billets Reports'!D1798)),TRIM(MID('R.M Billets Reports'!D1798,SEARCH("-",'R.M Billets Reports'!D1798)+1,200)),""))&lt;&gt;"",IF(ISNUMBER(SEARCH("Party Name:-",'R.M Billets Reports'!D1798)),TRIM('R.M Billets Reports'!F1798),IF(ISNUMBER(SEARCH("Party Name-",'R.M Billets Reports'!D1798)),TRIM(MID('R.M Billets Reports'!D1798,SEARCH("-",'R.M Billets Reports'!D1798)+1,200)),"")),IF(ISNUMBER(SEARCH("Party Name:-",'R.M Billets Reports'!D1799)),TRIM('R.M Billets Reports'!F1799),IF(ISNUMBER(SEARCH("Party Name-",'R.M Billets Reports'!D1799)),TRIM(MID('R.M Billets Reports'!D1799,SEARCH("-",'R.M Billets Reports'!D1799)+1,200)),"")))))),IF(ROW()=2,"",A1798))</f>
      </c>
      <c r="B1799">
        <f>IF(OR('R.M Billets Reports'!A1798="Date-",'R.M Billets Reports'!A1798="Date:-"),'R.M Billets Reports'!B1798,IF(ROW()=2,"",B1798))</f>
      </c>
      <c r="C1799">
        <f>IF('R.M Billets Reports'!A1798="V.No.",'R.M Billets Reports'!B1798,IF(ROW()=2,"",C1798))</f>
      </c>
      <c r="D1799">
        <f>IF('R.M Billets Reports'!A1798&lt;&gt;"",'R.M Billets Reports'!A1798,IF(ROW()=2,"",D1798))</f>
      </c>
      <c r="E1799">
        <f>IF('R.M Billets Reports'!B1798="","",TRIM('R.M Billets Reports'!B1798))</f>
      </c>
      <c r="F1799">
        <f>'R.M Billets Reports'!C1798</f>
      </c>
      <c r="G1799">
        <f>'R.M Billets Reports'!D1798</f>
      </c>
      <c r="H1799">
        <f>'R.M Billets Reports'!E1798</f>
      </c>
      <c r="I1799">
        <f>'R.M Billets Reports'!F1798</f>
      </c>
      <c r="J1799">
        <f>'R.M Billets Reports'!G1798</f>
      </c>
      <c r="K1799">
        <f>'R.M Billets Reports'!H1798</f>
      </c>
      <c r="L1799">
        <f>IF('R.M Billets Reports'!I1798="","",'R.M Billets Reports'!I1798)</f>
      </c>
      <c r="M1799">
        <f t="shared" si="56"/>
      </c>
      <c r="N1799">
        <f>IF('R.M Billets Reports'!J1798="","",'R.M Billets Reports'!J1798)</f>
      </c>
      <c r="O1799">
        <f t="shared" si="57"/>
      </c>
      <c r="P1799">
        <f>IF('R.M Billets Reports'!A1798="SIZE",'R.M Billets Reports'!B1798,P1798)</f>
      </c>
    </row>
    <row r="1800" spans="1:16" x14ac:dyDescent="0.25">
      <c r="A1800">
        <f>IF(OR('R.M Billets Reports'!A1799="Date-",'R.M Billets Reports'!A1799="Date:-"),IF(IF(IF(ISNUMBER(SEARCH("Party Name:-",'R.M Billets Reports'!D1799)),TRIM('R.M Billets Reports'!F1799),IF(ISNUMBER(SEARCH("Party Name-",'R.M Billets Reports'!D1799)),TRIM(MID('R.M Billets Reports'!D1799,SEARCH("-",'R.M Billets Reports'!D1799)+1,200)),""))&lt;&gt;"",IF(ISNUMBER(SEARCH("Party Name:-",'R.M Billets Reports'!D1799)),TRIM('R.M Billets Reports'!F1799),IF(ISNUMBER(SEARCH("Party Name-",'R.M Billets Reports'!D1799)),TRIM(MID('R.M Billets Reports'!D1799,SEARCH("-",'R.M Billets Reports'!D1799)+1,200)),"")),IF(ISNUMBER(SEARCH("Party Name:-",'R.M Billets Reports'!D1800)),TRIM('R.M Billets Reports'!F1800),IF(ISNUMBER(SEARCH("Party Name-",'R.M Billets Reports'!D1800)),TRIM(MID('R.M Billets Reports'!D1800,SEARCH("-",'R.M Billets Reports'!D1800)+1,200)),"")))="VRKP ISPAT PVT LTD","VRKP",IF(IF(IF(ISNUMBER(SEARCH("Party Name:-",'R.M Billets Reports'!D1799)),TRIM('R.M Billets Reports'!F1799),IF(ISNUMBER(SEARCH("Party Name-",'R.M Billets Reports'!D1799)),TRIM(MID('R.M Billets Reports'!D1799,SEARCH("-",'R.M Billets Reports'!D1799)+1,200)),""))&lt;&gt;"",IF(ISNUMBER(SEARCH("Party Name:-",'R.M Billets Reports'!D1799)),TRIM('R.M Billets Reports'!F1799),IF(ISNUMBER(SEARCH("Party Name-",'R.M Billets Reports'!D1799)),TRIM(MID('R.M Billets Reports'!D1799,SEARCH("-",'R.M Billets Reports'!D1799)+1,200)),"")),IF(ISNUMBER(SEARCH("Party Name:-",'R.M Billets Reports'!D1800)),TRIM('R.M Billets Reports'!F1800),IF(ISNUMBER(SEARCH("Party Name-",'R.M Billets Reports'!D1800)),TRIM(MID('R.M Billets Reports'!D1800,SEARCH("-",'R.M Billets Reports'!D1800)+1,200)),"")))="SHRI RADHE","SHREE RADHE",IF(IF(IF(ISNUMBER(SEARCH("Party Name:-",'R.M Billets Reports'!D1799)),TRIM('R.M Billets Reports'!F1799),IF(ISNUMBER(SEARCH("Party Name-",'R.M Billets Reports'!D1799)),TRIM(MID('R.M Billets Reports'!D1799,SEARCH("-",'R.M Billets Reports'!D1799)+1,200)),""))&lt;&gt;"",IF(ISNUMBER(SEARCH("Party Name:-",'R.M Billets Reports'!D1799)),TRIM('R.M Billets Reports'!F1799),IF(ISNUMBER(SEARCH("Party Name-",'R.M Billets Reports'!D1799)),TRIM(MID('R.M Billets Reports'!D1799,SEARCH("-",'R.M Billets Reports'!D1799)+1,200)),"")),IF(ISNUMBER(SEARCH("Party Name:-",'R.M Billets Reports'!D1800)),TRIM('R.M Billets Reports'!F1800),IF(ISNUMBER(SEARCH("Party Name-",'R.M Billets Reports'!D1800)),TRIM(MID('R.M Billets Reports'!D1800,SEARCH("-",'R.M Billets Reports'!D1800)+1,200)),"")))="SHREE RADHE SHAKTI SPONGE AND POWER PVT. LTD.","SHREE RADHE",IF(IF(ISNUMBER(SEARCH("Party Name:-",'R.M Billets Reports'!D1799)),TRIM('R.M Billets Reports'!F1799),IF(ISNUMBER(SEARCH("Party Name-",'R.M Billets Reports'!D1799)),TRIM(MID('R.M Billets Reports'!D1799,SEARCH("-",'R.M Billets Reports'!D1799)+1,200)),""))&lt;&gt;"",IF(ISNUMBER(SEARCH("Party Name:-",'R.M Billets Reports'!D1799)),TRIM('R.M Billets Reports'!F1799),IF(ISNUMBER(SEARCH("Party Name-",'R.M Billets Reports'!D1799)),TRIM(MID('R.M Billets Reports'!D1799,SEARCH("-",'R.M Billets Reports'!D1799)+1,200)),"")),IF(ISNUMBER(SEARCH("Party Name:-",'R.M Billets Reports'!D1800)),TRIM('R.M Billets Reports'!F1800),IF(ISNUMBER(SEARCH("Party Name-",'R.M Billets Reports'!D1800)),TRIM(MID('R.M Billets Reports'!D1800,SEARCH("-",'R.M Billets Reports'!D1800)+1,200)),"")))))),IF(ROW()=2,"",A1799))</f>
      </c>
      <c r="B1800">
        <f>IF(OR('R.M Billets Reports'!A1799="Date-",'R.M Billets Reports'!A1799="Date:-"),'R.M Billets Reports'!B1799,IF(ROW()=2,"",B1799))</f>
      </c>
      <c r="C1800">
        <f>IF('R.M Billets Reports'!A1799="V.No.",'R.M Billets Reports'!B1799,IF(ROW()=2,"",C1799))</f>
      </c>
      <c r="D1800">
        <f>IF('R.M Billets Reports'!A1799&lt;&gt;"",'R.M Billets Reports'!A1799,IF(ROW()=2,"",D1799))</f>
      </c>
      <c r="E1800">
        <f>IF('R.M Billets Reports'!B1799="","",TRIM('R.M Billets Reports'!B1799))</f>
      </c>
      <c r="F1800">
        <f>'R.M Billets Reports'!C1799</f>
      </c>
      <c r="G1800">
        <f>'R.M Billets Reports'!D1799</f>
      </c>
      <c r="H1800">
        <f>'R.M Billets Reports'!E1799</f>
      </c>
      <c r="I1800">
        <f>'R.M Billets Reports'!F1799</f>
      </c>
      <c r="J1800">
        <f>'R.M Billets Reports'!G1799</f>
      </c>
      <c r="K1800">
        <f>'R.M Billets Reports'!H1799</f>
      </c>
      <c r="L1800">
        <f>IF('R.M Billets Reports'!I1799="","",'R.M Billets Reports'!I1799)</f>
      </c>
      <c r="M1800">
        <f t="shared" si="56"/>
      </c>
      <c r="N1800">
        <f>IF('R.M Billets Reports'!J1799="","",'R.M Billets Reports'!J1799)</f>
      </c>
      <c r="O1800">
        <f t="shared" si="57"/>
      </c>
      <c r="P1800">
        <f>IF('R.M Billets Reports'!A1799="SIZE",'R.M Billets Reports'!B1799,P1799)</f>
      </c>
    </row>
    <row r="1801" spans="1:16" x14ac:dyDescent="0.25">
      <c r="A1801">
        <f>IF(OR('R.M Billets Reports'!A1800="Date-",'R.M Billets Reports'!A1800="Date:-"),IF(IF(IF(ISNUMBER(SEARCH("Party Name:-",'R.M Billets Reports'!D1800)),TRIM('R.M Billets Reports'!F1800),IF(ISNUMBER(SEARCH("Party Name-",'R.M Billets Reports'!D1800)),TRIM(MID('R.M Billets Reports'!D1800,SEARCH("-",'R.M Billets Reports'!D1800)+1,200)),""))&lt;&gt;"",IF(ISNUMBER(SEARCH("Party Name:-",'R.M Billets Reports'!D1800)),TRIM('R.M Billets Reports'!F1800),IF(ISNUMBER(SEARCH("Party Name-",'R.M Billets Reports'!D1800)),TRIM(MID('R.M Billets Reports'!D1800,SEARCH("-",'R.M Billets Reports'!D1800)+1,200)),"")),IF(ISNUMBER(SEARCH("Party Name:-",'R.M Billets Reports'!D1801)),TRIM('R.M Billets Reports'!F1801),IF(ISNUMBER(SEARCH("Party Name-",'R.M Billets Reports'!D1801)),TRIM(MID('R.M Billets Reports'!D1801,SEARCH("-",'R.M Billets Reports'!D1801)+1,200)),"")))="VRKP ISPAT PVT LTD","VRKP",IF(IF(IF(ISNUMBER(SEARCH("Party Name:-",'R.M Billets Reports'!D1800)),TRIM('R.M Billets Reports'!F1800),IF(ISNUMBER(SEARCH("Party Name-",'R.M Billets Reports'!D1800)),TRIM(MID('R.M Billets Reports'!D1800,SEARCH("-",'R.M Billets Reports'!D1800)+1,200)),""))&lt;&gt;"",IF(ISNUMBER(SEARCH("Party Name:-",'R.M Billets Reports'!D1800)),TRIM('R.M Billets Reports'!F1800),IF(ISNUMBER(SEARCH("Party Name-",'R.M Billets Reports'!D1800)),TRIM(MID('R.M Billets Reports'!D1800,SEARCH("-",'R.M Billets Reports'!D1800)+1,200)),"")),IF(ISNUMBER(SEARCH("Party Name:-",'R.M Billets Reports'!D1801)),TRIM('R.M Billets Reports'!F1801),IF(ISNUMBER(SEARCH("Party Name-",'R.M Billets Reports'!D1801)),TRIM(MID('R.M Billets Reports'!D1801,SEARCH("-",'R.M Billets Reports'!D1801)+1,200)),"")))="SHRI RADHE","SHREE RADHE",IF(IF(IF(ISNUMBER(SEARCH("Party Name:-",'R.M Billets Reports'!D1800)),TRIM('R.M Billets Reports'!F1800),IF(ISNUMBER(SEARCH("Party Name-",'R.M Billets Reports'!D1800)),TRIM(MID('R.M Billets Reports'!D1800,SEARCH("-",'R.M Billets Reports'!D1800)+1,200)),""))&lt;&gt;"",IF(ISNUMBER(SEARCH("Party Name:-",'R.M Billets Reports'!D1800)),TRIM('R.M Billets Reports'!F1800),IF(ISNUMBER(SEARCH("Party Name-",'R.M Billets Reports'!D1800)),TRIM(MID('R.M Billets Reports'!D1800,SEARCH("-",'R.M Billets Reports'!D1800)+1,200)),"")),IF(ISNUMBER(SEARCH("Party Name:-",'R.M Billets Reports'!D1801)),TRIM('R.M Billets Reports'!F1801),IF(ISNUMBER(SEARCH("Party Name-",'R.M Billets Reports'!D1801)),TRIM(MID('R.M Billets Reports'!D1801,SEARCH("-",'R.M Billets Reports'!D1801)+1,200)),"")))="SHREE RADHE SHAKTI SPONGE AND POWER PVT. LTD.","SHREE RADHE",IF(IF(ISNUMBER(SEARCH("Party Name:-",'R.M Billets Reports'!D1800)),TRIM('R.M Billets Reports'!F1800),IF(ISNUMBER(SEARCH("Party Name-",'R.M Billets Reports'!D1800)),TRIM(MID('R.M Billets Reports'!D1800,SEARCH("-",'R.M Billets Reports'!D1800)+1,200)),""))&lt;&gt;"",IF(ISNUMBER(SEARCH("Party Name:-",'R.M Billets Reports'!D1800)),TRIM('R.M Billets Reports'!F1800),IF(ISNUMBER(SEARCH("Party Name-",'R.M Billets Reports'!D1800)),TRIM(MID('R.M Billets Reports'!D1800,SEARCH("-",'R.M Billets Reports'!D1800)+1,200)),"")),IF(ISNUMBER(SEARCH("Party Name:-",'R.M Billets Reports'!D1801)),TRIM('R.M Billets Reports'!F1801),IF(ISNUMBER(SEARCH("Party Name-",'R.M Billets Reports'!D1801)),TRIM(MID('R.M Billets Reports'!D1801,SEARCH("-",'R.M Billets Reports'!D1801)+1,200)),"")))))),IF(ROW()=2,"",A1800))</f>
      </c>
      <c r="B1801">
        <f>IF(OR('R.M Billets Reports'!A1800="Date-",'R.M Billets Reports'!A1800="Date:-"),'R.M Billets Reports'!B1800,IF(ROW()=2,"",B1800))</f>
      </c>
      <c r="C1801">
        <f>IF('R.M Billets Reports'!A1800="V.No.",'R.M Billets Reports'!B1800,IF(ROW()=2,"",C1800))</f>
      </c>
      <c r="D1801">
        <f>IF('R.M Billets Reports'!A1800&lt;&gt;"",'R.M Billets Reports'!A1800,IF(ROW()=2,"",D1800))</f>
      </c>
      <c r="E1801">
        <f>IF('R.M Billets Reports'!B1800="","",TRIM('R.M Billets Reports'!B1800))</f>
      </c>
      <c r="F1801">
        <f>'R.M Billets Reports'!C1800</f>
      </c>
      <c r="G1801">
        <f>'R.M Billets Reports'!D1800</f>
      </c>
      <c r="H1801">
        <f>'R.M Billets Reports'!E1800</f>
      </c>
      <c r="I1801">
        <f>'R.M Billets Reports'!F1800</f>
      </c>
      <c r="J1801">
        <f>'R.M Billets Reports'!G1800</f>
      </c>
      <c r="K1801">
        <f>'R.M Billets Reports'!H1800</f>
      </c>
      <c r="L1801">
        <f>IF('R.M Billets Reports'!I1800="","",'R.M Billets Reports'!I1800)</f>
      </c>
      <c r="M1801">
        <f t="shared" si="56"/>
      </c>
      <c r="N1801">
        <f>IF('R.M Billets Reports'!J1800="","",'R.M Billets Reports'!J1800)</f>
      </c>
      <c r="O1801">
        <f t="shared" si="57"/>
      </c>
      <c r="P1801">
        <f>IF('R.M Billets Reports'!A1800="SIZE",'R.M Billets Reports'!B1800,P1800)</f>
      </c>
    </row>
    <row r="1802" spans="1:16" x14ac:dyDescent="0.25">
      <c r="A1802">
        <f>IF(OR('R.M Billets Reports'!A1801="Date-",'R.M Billets Reports'!A1801="Date:-"),IF(IF(IF(ISNUMBER(SEARCH("Party Name:-",'R.M Billets Reports'!D1801)),TRIM('R.M Billets Reports'!F1801),IF(ISNUMBER(SEARCH("Party Name-",'R.M Billets Reports'!D1801)),TRIM(MID('R.M Billets Reports'!D1801,SEARCH("-",'R.M Billets Reports'!D1801)+1,200)),""))&lt;&gt;"",IF(ISNUMBER(SEARCH("Party Name:-",'R.M Billets Reports'!D1801)),TRIM('R.M Billets Reports'!F1801),IF(ISNUMBER(SEARCH("Party Name-",'R.M Billets Reports'!D1801)),TRIM(MID('R.M Billets Reports'!D1801,SEARCH("-",'R.M Billets Reports'!D1801)+1,200)),"")),IF(ISNUMBER(SEARCH("Party Name:-",'R.M Billets Reports'!D1802)),TRIM('R.M Billets Reports'!F1802),IF(ISNUMBER(SEARCH("Party Name-",'R.M Billets Reports'!D1802)),TRIM(MID('R.M Billets Reports'!D1802,SEARCH("-",'R.M Billets Reports'!D1802)+1,200)),"")))="VRKP ISPAT PVT LTD","VRKP",IF(IF(IF(ISNUMBER(SEARCH("Party Name:-",'R.M Billets Reports'!D1801)),TRIM('R.M Billets Reports'!F1801),IF(ISNUMBER(SEARCH("Party Name-",'R.M Billets Reports'!D1801)),TRIM(MID('R.M Billets Reports'!D1801,SEARCH("-",'R.M Billets Reports'!D1801)+1,200)),""))&lt;&gt;"",IF(ISNUMBER(SEARCH("Party Name:-",'R.M Billets Reports'!D1801)),TRIM('R.M Billets Reports'!F1801),IF(ISNUMBER(SEARCH("Party Name-",'R.M Billets Reports'!D1801)),TRIM(MID('R.M Billets Reports'!D1801,SEARCH("-",'R.M Billets Reports'!D1801)+1,200)),"")),IF(ISNUMBER(SEARCH("Party Name:-",'R.M Billets Reports'!D1802)),TRIM('R.M Billets Reports'!F1802),IF(ISNUMBER(SEARCH("Party Name-",'R.M Billets Reports'!D1802)),TRIM(MID('R.M Billets Reports'!D1802,SEARCH("-",'R.M Billets Reports'!D1802)+1,200)),"")))="SHRI RADHE","SHREE RADHE",IF(IF(IF(ISNUMBER(SEARCH("Party Name:-",'R.M Billets Reports'!D1801)),TRIM('R.M Billets Reports'!F1801),IF(ISNUMBER(SEARCH("Party Name-",'R.M Billets Reports'!D1801)),TRIM(MID('R.M Billets Reports'!D1801,SEARCH("-",'R.M Billets Reports'!D1801)+1,200)),""))&lt;&gt;"",IF(ISNUMBER(SEARCH("Party Name:-",'R.M Billets Reports'!D1801)),TRIM('R.M Billets Reports'!F1801),IF(ISNUMBER(SEARCH("Party Name-",'R.M Billets Reports'!D1801)),TRIM(MID('R.M Billets Reports'!D1801,SEARCH("-",'R.M Billets Reports'!D1801)+1,200)),"")),IF(ISNUMBER(SEARCH("Party Name:-",'R.M Billets Reports'!D1802)),TRIM('R.M Billets Reports'!F1802),IF(ISNUMBER(SEARCH("Party Name-",'R.M Billets Reports'!D1802)),TRIM(MID('R.M Billets Reports'!D1802,SEARCH("-",'R.M Billets Reports'!D1802)+1,200)),"")))="SHREE RADHE SHAKTI SPONGE AND POWER PVT. LTD.","SHREE RADHE",IF(IF(ISNUMBER(SEARCH("Party Name:-",'R.M Billets Reports'!D1801)),TRIM('R.M Billets Reports'!F1801),IF(ISNUMBER(SEARCH("Party Name-",'R.M Billets Reports'!D1801)),TRIM(MID('R.M Billets Reports'!D1801,SEARCH("-",'R.M Billets Reports'!D1801)+1,200)),""))&lt;&gt;"",IF(ISNUMBER(SEARCH("Party Name:-",'R.M Billets Reports'!D1801)),TRIM('R.M Billets Reports'!F1801),IF(ISNUMBER(SEARCH("Party Name-",'R.M Billets Reports'!D1801)),TRIM(MID('R.M Billets Reports'!D1801,SEARCH("-",'R.M Billets Reports'!D1801)+1,200)),"")),IF(ISNUMBER(SEARCH("Party Name:-",'R.M Billets Reports'!D1802)),TRIM('R.M Billets Reports'!F1802),IF(ISNUMBER(SEARCH("Party Name-",'R.M Billets Reports'!D1802)),TRIM(MID('R.M Billets Reports'!D1802,SEARCH("-",'R.M Billets Reports'!D1802)+1,200)),"")))))),IF(ROW()=2,"",A1801))</f>
      </c>
      <c r="B1802">
        <f>IF(OR('R.M Billets Reports'!A1801="Date-",'R.M Billets Reports'!A1801="Date:-"),'R.M Billets Reports'!B1801,IF(ROW()=2,"",B1801))</f>
      </c>
      <c r="C1802">
        <f>IF('R.M Billets Reports'!A1801="V.No.",'R.M Billets Reports'!B1801,IF(ROW()=2,"",C1801))</f>
      </c>
      <c r="D1802">
        <f>IF('R.M Billets Reports'!A1801&lt;&gt;"",'R.M Billets Reports'!A1801,IF(ROW()=2,"",D1801))</f>
      </c>
      <c r="E1802">
        <f>IF('R.M Billets Reports'!B1801="","",TRIM('R.M Billets Reports'!B1801))</f>
      </c>
      <c r="F1802">
        <f>'R.M Billets Reports'!C1801</f>
      </c>
      <c r="G1802">
        <f>'R.M Billets Reports'!D1801</f>
      </c>
      <c r="H1802">
        <f>'R.M Billets Reports'!E1801</f>
      </c>
      <c r="I1802">
        <f>'R.M Billets Reports'!F1801</f>
      </c>
      <c r="J1802">
        <f>'R.M Billets Reports'!G1801</f>
      </c>
      <c r="K1802">
        <f>'R.M Billets Reports'!H1801</f>
      </c>
      <c r="L1802">
        <f>IF('R.M Billets Reports'!I1801="","",'R.M Billets Reports'!I1801)</f>
      </c>
      <c r="M1802">
        <f t="shared" si="56"/>
      </c>
      <c r="N1802">
        <f>IF('R.M Billets Reports'!J1801="","",'R.M Billets Reports'!J1801)</f>
      </c>
      <c r="O1802">
        <f t="shared" si="57"/>
      </c>
      <c r="P1802">
        <f>IF('R.M Billets Reports'!A1801="SIZE",'R.M Billets Reports'!B1801,P1801)</f>
      </c>
    </row>
    <row r="1803" spans="1:16" x14ac:dyDescent="0.25">
      <c r="A1803">
        <f>IF(OR('R.M Billets Reports'!A1802="Date-",'R.M Billets Reports'!A1802="Date:-"),IF(IF(IF(ISNUMBER(SEARCH("Party Name:-",'R.M Billets Reports'!D1802)),TRIM('R.M Billets Reports'!F1802),IF(ISNUMBER(SEARCH("Party Name-",'R.M Billets Reports'!D1802)),TRIM(MID('R.M Billets Reports'!D1802,SEARCH("-",'R.M Billets Reports'!D1802)+1,200)),""))&lt;&gt;"",IF(ISNUMBER(SEARCH("Party Name:-",'R.M Billets Reports'!D1802)),TRIM('R.M Billets Reports'!F1802),IF(ISNUMBER(SEARCH("Party Name-",'R.M Billets Reports'!D1802)),TRIM(MID('R.M Billets Reports'!D1802,SEARCH("-",'R.M Billets Reports'!D1802)+1,200)),"")),IF(ISNUMBER(SEARCH("Party Name:-",'R.M Billets Reports'!D1803)),TRIM('R.M Billets Reports'!F1803),IF(ISNUMBER(SEARCH("Party Name-",'R.M Billets Reports'!D1803)),TRIM(MID('R.M Billets Reports'!D1803,SEARCH("-",'R.M Billets Reports'!D1803)+1,200)),"")))="VRKP ISPAT PVT LTD","VRKP",IF(IF(IF(ISNUMBER(SEARCH("Party Name:-",'R.M Billets Reports'!D1802)),TRIM('R.M Billets Reports'!F1802),IF(ISNUMBER(SEARCH("Party Name-",'R.M Billets Reports'!D1802)),TRIM(MID('R.M Billets Reports'!D1802,SEARCH("-",'R.M Billets Reports'!D1802)+1,200)),""))&lt;&gt;"",IF(ISNUMBER(SEARCH("Party Name:-",'R.M Billets Reports'!D1802)),TRIM('R.M Billets Reports'!F1802),IF(ISNUMBER(SEARCH("Party Name-",'R.M Billets Reports'!D1802)),TRIM(MID('R.M Billets Reports'!D1802,SEARCH("-",'R.M Billets Reports'!D1802)+1,200)),"")),IF(ISNUMBER(SEARCH("Party Name:-",'R.M Billets Reports'!D1803)),TRIM('R.M Billets Reports'!F1803),IF(ISNUMBER(SEARCH("Party Name-",'R.M Billets Reports'!D1803)),TRIM(MID('R.M Billets Reports'!D1803,SEARCH("-",'R.M Billets Reports'!D1803)+1,200)),"")))="SHRI RADHE","SHREE RADHE",IF(IF(IF(ISNUMBER(SEARCH("Party Name:-",'R.M Billets Reports'!D1802)),TRIM('R.M Billets Reports'!F1802),IF(ISNUMBER(SEARCH("Party Name-",'R.M Billets Reports'!D1802)),TRIM(MID('R.M Billets Reports'!D1802,SEARCH("-",'R.M Billets Reports'!D1802)+1,200)),""))&lt;&gt;"",IF(ISNUMBER(SEARCH("Party Name:-",'R.M Billets Reports'!D1802)),TRIM('R.M Billets Reports'!F1802),IF(ISNUMBER(SEARCH("Party Name-",'R.M Billets Reports'!D1802)),TRIM(MID('R.M Billets Reports'!D1802,SEARCH("-",'R.M Billets Reports'!D1802)+1,200)),"")),IF(ISNUMBER(SEARCH("Party Name:-",'R.M Billets Reports'!D1803)),TRIM('R.M Billets Reports'!F1803),IF(ISNUMBER(SEARCH("Party Name-",'R.M Billets Reports'!D1803)),TRIM(MID('R.M Billets Reports'!D1803,SEARCH("-",'R.M Billets Reports'!D1803)+1,200)),"")))="SHREE RADHE SHAKTI SPONGE AND POWER PVT. LTD.","SHREE RADHE",IF(IF(ISNUMBER(SEARCH("Party Name:-",'R.M Billets Reports'!D1802)),TRIM('R.M Billets Reports'!F1802),IF(ISNUMBER(SEARCH("Party Name-",'R.M Billets Reports'!D1802)),TRIM(MID('R.M Billets Reports'!D1802,SEARCH("-",'R.M Billets Reports'!D1802)+1,200)),""))&lt;&gt;"",IF(ISNUMBER(SEARCH("Party Name:-",'R.M Billets Reports'!D1802)),TRIM('R.M Billets Reports'!F1802),IF(ISNUMBER(SEARCH("Party Name-",'R.M Billets Reports'!D1802)),TRIM(MID('R.M Billets Reports'!D1802,SEARCH("-",'R.M Billets Reports'!D1802)+1,200)),"")),IF(ISNUMBER(SEARCH("Party Name:-",'R.M Billets Reports'!D1803)),TRIM('R.M Billets Reports'!F1803),IF(ISNUMBER(SEARCH("Party Name-",'R.M Billets Reports'!D1803)),TRIM(MID('R.M Billets Reports'!D1803,SEARCH("-",'R.M Billets Reports'!D1803)+1,200)),"")))))),IF(ROW()=2,"",A1802))</f>
      </c>
      <c r="B1803">
        <f>IF(OR('R.M Billets Reports'!A1802="Date-",'R.M Billets Reports'!A1802="Date:-"),'R.M Billets Reports'!B1802,IF(ROW()=2,"",B1802))</f>
      </c>
      <c r="C1803">
        <f>IF('R.M Billets Reports'!A1802="V.No.",'R.M Billets Reports'!B1802,IF(ROW()=2,"",C1802))</f>
      </c>
      <c r="D1803">
        <f>IF('R.M Billets Reports'!A1802&lt;&gt;"",'R.M Billets Reports'!A1802,IF(ROW()=2,"",D1802))</f>
      </c>
      <c r="E1803">
        <f>IF('R.M Billets Reports'!B1802="","",TRIM('R.M Billets Reports'!B1802))</f>
      </c>
      <c r="F1803">
        <f>'R.M Billets Reports'!C1802</f>
      </c>
      <c r="G1803">
        <f>'R.M Billets Reports'!D1802</f>
      </c>
      <c r="H1803">
        <f>'R.M Billets Reports'!E1802</f>
      </c>
      <c r="I1803">
        <f>'R.M Billets Reports'!F1802</f>
      </c>
      <c r="J1803">
        <f>'R.M Billets Reports'!G1802</f>
      </c>
      <c r="K1803">
        <f>'R.M Billets Reports'!H1802</f>
      </c>
      <c r="L1803">
        <f>IF('R.M Billets Reports'!I1802="","",'R.M Billets Reports'!I1802)</f>
      </c>
      <c r="M1803">
        <f t="shared" si="56"/>
      </c>
      <c r="N1803">
        <f>IF('R.M Billets Reports'!J1802="","",'R.M Billets Reports'!J1802)</f>
      </c>
      <c r="O1803">
        <f t="shared" si="57"/>
      </c>
      <c r="P1803">
        <f>IF('R.M Billets Reports'!A1802="SIZE",'R.M Billets Reports'!B1802,P1802)</f>
      </c>
    </row>
    <row r="1804" spans="1:16" x14ac:dyDescent="0.25">
      <c r="A1804">
        <f>IF(OR('R.M Billets Reports'!A1803="Date-",'R.M Billets Reports'!A1803="Date:-"),IF(IF(IF(ISNUMBER(SEARCH("Party Name:-",'R.M Billets Reports'!D1803)),TRIM('R.M Billets Reports'!F1803),IF(ISNUMBER(SEARCH("Party Name-",'R.M Billets Reports'!D1803)),TRIM(MID('R.M Billets Reports'!D1803,SEARCH("-",'R.M Billets Reports'!D1803)+1,200)),""))&lt;&gt;"",IF(ISNUMBER(SEARCH("Party Name:-",'R.M Billets Reports'!D1803)),TRIM('R.M Billets Reports'!F1803),IF(ISNUMBER(SEARCH("Party Name-",'R.M Billets Reports'!D1803)),TRIM(MID('R.M Billets Reports'!D1803,SEARCH("-",'R.M Billets Reports'!D1803)+1,200)),"")),IF(ISNUMBER(SEARCH("Party Name:-",'R.M Billets Reports'!D1804)),TRIM('R.M Billets Reports'!F1804),IF(ISNUMBER(SEARCH("Party Name-",'R.M Billets Reports'!D1804)),TRIM(MID('R.M Billets Reports'!D1804,SEARCH("-",'R.M Billets Reports'!D1804)+1,200)),"")))="VRKP ISPAT PVT LTD","VRKP",IF(IF(IF(ISNUMBER(SEARCH("Party Name:-",'R.M Billets Reports'!D1803)),TRIM('R.M Billets Reports'!F1803),IF(ISNUMBER(SEARCH("Party Name-",'R.M Billets Reports'!D1803)),TRIM(MID('R.M Billets Reports'!D1803,SEARCH("-",'R.M Billets Reports'!D1803)+1,200)),""))&lt;&gt;"",IF(ISNUMBER(SEARCH("Party Name:-",'R.M Billets Reports'!D1803)),TRIM('R.M Billets Reports'!F1803),IF(ISNUMBER(SEARCH("Party Name-",'R.M Billets Reports'!D1803)),TRIM(MID('R.M Billets Reports'!D1803,SEARCH("-",'R.M Billets Reports'!D1803)+1,200)),"")),IF(ISNUMBER(SEARCH("Party Name:-",'R.M Billets Reports'!D1804)),TRIM('R.M Billets Reports'!F1804),IF(ISNUMBER(SEARCH("Party Name-",'R.M Billets Reports'!D1804)),TRIM(MID('R.M Billets Reports'!D1804,SEARCH("-",'R.M Billets Reports'!D1804)+1,200)),"")))="SHRI RADHE","SHREE RADHE",IF(IF(IF(ISNUMBER(SEARCH("Party Name:-",'R.M Billets Reports'!D1803)),TRIM('R.M Billets Reports'!F1803),IF(ISNUMBER(SEARCH("Party Name-",'R.M Billets Reports'!D1803)),TRIM(MID('R.M Billets Reports'!D1803,SEARCH("-",'R.M Billets Reports'!D1803)+1,200)),""))&lt;&gt;"",IF(ISNUMBER(SEARCH("Party Name:-",'R.M Billets Reports'!D1803)),TRIM('R.M Billets Reports'!F1803),IF(ISNUMBER(SEARCH("Party Name-",'R.M Billets Reports'!D1803)),TRIM(MID('R.M Billets Reports'!D1803,SEARCH("-",'R.M Billets Reports'!D1803)+1,200)),"")),IF(ISNUMBER(SEARCH("Party Name:-",'R.M Billets Reports'!D1804)),TRIM('R.M Billets Reports'!F1804),IF(ISNUMBER(SEARCH("Party Name-",'R.M Billets Reports'!D1804)),TRIM(MID('R.M Billets Reports'!D1804,SEARCH("-",'R.M Billets Reports'!D1804)+1,200)),"")))="SHREE RADHE SHAKTI SPONGE AND POWER PVT. LTD.","SHREE RADHE",IF(IF(ISNUMBER(SEARCH("Party Name:-",'R.M Billets Reports'!D1803)),TRIM('R.M Billets Reports'!F1803),IF(ISNUMBER(SEARCH("Party Name-",'R.M Billets Reports'!D1803)),TRIM(MID('R.M Billets Reports'!D1803,SEARCH("-",'R.M Billets Reports'!D1803)+1,200)),""))&lt;&gt;"",IF(ISNUMBER(SEARCH("Party Name:-",'R.M Billets Reports'!D1803)),TRIM('R.M Billets Reports'!F1803),IF(ISNUMBER(SEARCH("Party Name-",'R.M Billets Reports'!D1803)),TRIM(MID('R.M Billets Reports'!D1803,SEARCH("-",'R.M Billets Reports'!D1803)+1,200)),"")),IF(ISNUMBER(SEARCH("Party Name:-",'R.M Billets Reports'!D1804)),TRIM('R.M Billets Reports'!F1804),IF(ISNUMBER(SEARCH("Party Name-",'R.M Billets Reports'!D1804)),TRIM(MID('R.M Billets Reports'!D1804,SEARCH("-",'R.M Billets Reports'!D1804)+1,200)),"")))))),IF(ROW()=2,"",A1803))</f>
      </c>
      <c r="B1804">
        <f>IF(OR('R.M Billets Reports'!A1803="Date-",'R.M Billets Reports'!A1803="Date:-"),'R.M Billets Reports'!B1803,IF(ROW()=2,"",B1803))</f>
      </c>
      <c r="C1804">
        <f>IF('R.M Billets Reports'!A1803="V.No.",'R.M Billets Reports'!B1803,IF(ROW()=2,"",C1803))</f>
      </c>
      <c r="D1804">
        <f>IF('R.M Billets Reports'!A1803&lt;&gt;"",'R.M Billets Reports'!A1803,IF(ROW()=2,"",D1803))</f>
      </c>
      <c r="E1804">
        <f>IF('R.M Billets Reports'!B1803="","",TRIM('R.M Billets Reports'!B1803))</f>
      </c>
      <c r="F1804">
        <f>'R.M Billets Reports'!C1803</f>
      </c>
      <c r="G1804">
        <f>'R.M Billets Reports'!D1803</f>
      </c>
      <c r="H1804">
        <f>'R.M Billets Reports'!E1803</f>
      </c>
      <c r="I1804">
        <f>'R.M Billets Reports'!F1803</f>
      </c>
      <c r="J1804">
        <f>'R.M Billets Reports'!G1803</f>
      </c>
      <c r="K1804">
        <f>'R.M Billets Reports'!H1803</f>
      </c>
      <c r="L1804">
        <f>IF('R.M Billets Reports'!I1803="","",'R.M Billets Reports'!I1803)</f>
      </c>
      <c r="M1804">
        <f t="shared" si="56"/>
      </c>
      <c r="N1804">
        <f>IF('R.M Billets Reports'!J1803="","",'R.M Billets Reports'!J1803)</f>
      </c>
      <c r="O1804">
        <f t="shared" si="57"/>
      </c>
      <c r="P1804">
        <f>IF('R.M Billets Reports'!A1803="SIZE",'R.M Billets Reports'!B1803,P1803)</f>
      </c>
    </row>
    <row r="1805" spans="1:16" x14ac:dyDescent="0.25">
      <c r="A1805">
        <f>IF(OR('R.M Billets Reports'!A1804="Date-",'R.M Billets Reports'!A1804="Date:-"),IF(IF(IF(ISNUMBER(SEARCH("Party Name:-",'R.M Billets Reports'!D1804)),TRIM('R.M Billets Reports'!F1804),IF(ISNUMBER(SEARCH("Party Name-",'R.M Billets Reports'!D1804)),TRIM(MID('R.M Billets Reports'!D1804,SEARCH("-",'R.M Billets Reports'!D1804)+1,200)),""))&lt;&gt;"",IF(ISNUMBER(SEARCH("Party Name:-",'R.M Billets Reports'!D1804)),TRIM('R.M Billets Reports'!F1804),IF(ISNUMBER(SEARCH("Party Name-",'R.M Billets Reports'!D1804)),TRIM(MID('R.M Billets Reports'!D1804,SEARCH("-",'R.M Billets Reports'!D1804)+1,200)),"")),IF(ISNUMBER(SEARCH("Party Name:-",'R.M Billets Reports'!D1805)),TRIM('R.M Billets Reports'!F1805),IF(ISNUMBER(SEARCH("Party Name-",'R.M Billets Reports'!D1805)),TRIM(MID('R.M Billets Reports'!D1805,SEARCH("-",'R.M Billets Reports'!D1805)+1,200)),"")))="VRKP ISPAT PVT LTD","VRKP",IF(IF(IF(ISNUMBER(SEARCH("Party Name:-",'R.M Billets Reports'!D1804)),TRIM('R.M Billets Reports'!F1804),IF(ISNUMBER(SEARCH("Party Name-",'R.M Billets Reports'!D1804)),TRIM(MID('R.M Billets Reports'!D1804,SEARCH("-",'R.M Billets Reports'!D1804)+1,200)),""))&lt;&gt;"",IF(ISNUMBER(SEARCH("Party Name:-",'R.M Billets Reports'!D1804)),TRIM('R.M Billets Reports'!F1804),IF(ISNUMBER(SEARCH("Party Name-",'R.M Billets Reports'!D1804)),TRIM(MID('R.M Billets Reports'!D1804,SEARCH("-",'R.M Billets Reports'!D1804)+1,200)),"")),IF(ISNUMBER(SEARCH("Party Name:-",'R.M Billets Reports'!D1805)),TRIM('R.M Billets Reports'!F1805),IF(ISNUMBER(SEARCH("Party Name-",'R.M Billets Reports'!D1805)),TRIM(MID('R.M Billets Reports'!D1805,SEARCH("-",'R.M Billets Reports'!D1805)+1,200)),"")))="SHRI RADHE","SHREE RADHE",IF(IF(IF(ISNUMBER(SEARCH("Party Name:-",'R.M Billets Reports'!D1804)),TRIM('R.M Billets Reports'!F1804),IF(ISNUMBER(SEARCH("Party Name-",'R.M Billets Reports'!D1804)),TRIM(MID('R.M Billets Reports'!D1804,SEARCH("-",'R.M Billets Reports'!D1804)+1,200)),""))&lt;&gt;"",IF(ISNUMBER(SEARCH("Party Name:-",'R.M Billets Reports'!D1804)),TRIM('R.M Billets Reports'!F1804),IF(ISNUMBER(SEARCH("Party Name-",'R.M Billets Reports'!D1804)),TRIM(MID('R.M Billets Reports'!D1804,SEARCH("-",'R.M Billets Reports'!D1804)+1,200)),"")),IF(ISNUMBER(SEARCH("Party Name:-",'R.M Billets Reports'!D1805)),TRIM('R.M Billets Reports'!F1805),IF(ISNUMBER(SEARCH("Party Name-",'R.M Billets Reports'!D1805)),TRIM(MID('R.M Billets Reports'!D1805,SEARCH("-",'R.M Billets Reports'!D1805)+1,200)),"")))="SHREE RADHE SHAKTI SPONGE AND POWER PVT. LTD.","SHREE RADHE",IF(IF(ISNUMBER(SEARCH("Party Name:-",'R.M Billets Reports'!D1804)),TRIM('R.M Billets Reports'!F1804),IF(ISNUMBER(SEARCH("Party Name-",'R.M Billets Reports'!D1804)),TRIM(MID('R.M Billets Reports'!D1804,SEARCH("-",'R.M Billets Reports'!D1804)+1,200)),""))&lt;&gt;"",IF(ISNUMBER(SEARCH("Party Name:-",'R.M Billets Reports'!D1804)),TRIM('R.M Billets Reports'!F1804),IF(ISNUMBER(SEARCH("Party Name-",'R.M Billets Reports'!D1804)),TRIM(MID('R.M Billets Reports'!D1804,SEARCH("-",'R.M Billets Reports'!D1804)+1,200)),"")),IF(ISNUMBER(SEARCH("Party Name:-",'R.M Billets Reports'!D1805)),TRIM('R.M Billets Reports'!F1805),IF(ISNUMBER(SEARCH("Party Name-",'R.M Billets Reports'!D1805)),TRIM(MID('R.M Billets Reports'!D1805,SEARCH("-",'R.M Billets Reports'!D1805)+1,200)),"")))))),IF(ROW()=2,"",A1804))</f>
      </c>
      <c r="B1805">
        <f>IF(OR('R.M Billets Reports'!A1804="Date-",'R.M Billets Reports'!A1804="Date:-"),'R.M Billets Reports'!B1804,IF(ROW()=2,"",B1804))</f>
      </c>
      <c r="C1805">
        <f>IF('R.M Billets Reports'!A1804="V.No.",'R.M Billets Reports'!B1804,IF(ROW()=2,"",C1804))</f>
      </c>
      <c r="D1805">
        <f>IF('R.M Billets Reports'!A1804&lt;&gt;"",'R.M Billets Reports'!A1804,IF(ROW()=2,"",D1804))</f>
      </c>
      <c r="E1805">
        <f>IF('R.M Billets Reports'!B1804="","",TRIM('R.M Billets Reports'!B1804))</f>
      </c>
      <c r="F1805">
        <f>'R.M Billets Reports'!C1804</f>
      </c>
      <c r="G1805">
        <f>'R.M Billets Reports'!D1804</f>
      </c>
      <c r="H1805">
        <f>'R.M Billets Reports'!E1804</f>
      </c>
      <c r="I1805">
        <f>'R.M Billets Reports'!F1804</f>
      </c>
      <c r="J1805">
        <f>'R.M Billets Reports'!G1804</f>
      </c>
      <c r="K1805">
        <f>'R.M Billets Reports'!H1804</f>
      </c>
      <c r="L1805">
        <f>IF('R.M Billets Reports'!I1804="","",'R.M Billets Reports'!I1804)</f>
      </c>
      <c r="M1805">
        <f t="shared" si="56"/>
      </c>
      <c r="N1805">
        <f>IF('R.M Billets Reports'!J1804="","",'R.M Billets Reports'!J1804)</f>
      </c>
      <c r="O1805">
        <f t="shared" si="57"/>
      </c>
      <c r="P1805">
        <f>IF('R.M Billets Reports'!A1804="SIZE",'R.M Billets Reports'!B1804,P1804)</f>
      </c>
    </row>
    <row r="1806" spans="1:16" x14ac:dyDescent="0.25">
      <c r="A1806">
        <f>IF(OR('R.M Billets Reports'!A1805="Date-",'R.M Billets Reports'!A1805="Date:-"),IF(IF(IF(ISNUMBER(SEARCH("Party Name:-",'R.M Billets Reports'!D1805)),TRIM('R.M Billets Reports'!F1805),IF(ISNUMBER(SEARCH("Party Name-",'R.M Billets Reports'!D1805)),TRIM(MID('R.M Billets Reports'!D1805,SEARCH("-",'R.M Billets Reports'!D1805)+1,200)),""))&lt;&gt;"",IF(ISNUMBER(SEARCH("Party Name:-",'R.M Billets Reports'!D1805)),TRIM('R.M Billets Reports'!F1805),IF(ISNUMBER(SEARCH("Party Name-",'R.M Billets Reports'!D1805)),TRIM(MID('R.M Billets Reports'!D1805,SEARCH("-",'R.M Billets Reports'!D1805)+1,200)),"")),IF(ISNUMBER(SEARCH("Party Name:-",'R.M Billets Reports'!D1806)),TRIM('R.M Billets Reports'!F1806),IF(ISNUMBER(SEARCH("Party Name-",'R.M Billets Reports'!D1806)),TRIM(MID('R.M Billets Reports'!D1806,SEARCH("-",'R.M Billets Reports'!D1806)+1,200)),"")))="VRKP ISPAT PVT LTD","VRKP",IF(IF(IF(ISNUMBER(SEARCH("Party Name:-",'R.M Billets Reports'!D1805)),TRIM('R.M Billets Reports'!F1805),IF(ISNUMBER(SEARCH("Party Name-",'R.M Billets Reports'!D1805)),TRIM(MID('R.M Billets Reports'!D1805,SEARCH("-",'R.M Billets Reports'!D1805)+1,200)),""))&lt;&gt;"",IF(ISNUMBER(SEARCH("Party Name:-",'R.M Billets Reports'!D1805)),TRIM('R.M Billets Reports'!F1805),IF(ISNUMBER(SEARCH("Party Name-",'R.M Billets Reports'!D1805)),TRIM(MID('R.M Billets Reports'!D1805,SEARCH("-",'R.M Billets Reports'!D1805)+1,200)),"")),IF(ISNUMBER(SEARCH("Party Name:-",'R.M Billets Reports'!D1806)),TRIM('R.M Billets Reports'!F1806),IF(ISNUMBER(SEARCH("Party Name-",'R.M Billets Reports'!D1806)),TRIM(MID('R.M Billets Reports'!D1806,SEARCH("-",'R.M Billets Reports'!D1806)+1,200)),"")))="SHRI RADHE","SHREE RADHE",IF(IF(IF(ISNUMBER(SEARCH("Party Name:-",'R.M Billets Reports'!D1805)),TRIM('R.M Billets Reports'!F1805),IF(ISNUMBER(SEARCH("Party Name-",'R.M Billets Reports'!D1805)),TRIM(MID('R.M Billets Reports'!D1805,SEARCH("-",'R.M Billets Reports'!D1805)+1,200)),""))&lt;&gt;"",IF(ISNUMBER(SEARCH("Party Name:-",'R.M Billets Reports'!D1805)),TRIM('R.M Billets Reports'!F1805),IF(ISNUMBER(SEARCH("Party Name-",'R.M Billets Reports'!D1805)),TRIM(MID('R.M Billets Reports'!D1805,SEARCH("-",'R.M Billets Reports'!D1805)+1,200)),"")),IF(ISNUMBER(SEARCH("Party Name:-",'R.M Billets Reports'!D1806)),TRIM('R.M Billets Reports'!F1806),IF(ISNUMBER(SEARCH("Party Name-",'R.M Billets Reports'!D1806)),TRIM(MID('R.M Billets Reports'!D1806,SEARCH("-",'R.M Billets Reports'!D1806)+1,200)),"")))="SHREE RADHE SHAKTI SPONGE AND POWER PVT. LTD.","SHREE RADHE",IF(IF(ISNUMBER(SEARCH("Party Name:-",'R.M Billets Reports'!D1805)),TRIM('R.M Billets Reports'!F1805),IF(ISNUMBER(SEARCH("Party Name-",'R.M Billets Reports'!D1805)),TRIM(MID('R.M Billets Reports'!D1805,SEARCH("-",'R.M Billets Reports'!D1805)+1,200)),""))&lt;&gt;"",IF(ISNUMBER(SEARCH("Party Name:-",'R.M Billets Reports'!D1805)),TRIM('R.M Billets Reports'!F1805),IF(ISNUMBER(SEARCH("Party Name-",'R.M Billets Reports'!D1805)),TRIM(MID('R.M Billets Reports'!D1805,SEARCH("-",'R.M Billets Reports'!D1805)+1,200)),"")),IF(ISNUMBER(SEARCH("Party Name:-",'R.M Billets Reports'!D1806)),TRIM('R.M Billets Reports'!F1806),IF(ISNUMBER(SEARCH("Party Name-",'R.M Billets Reports'!D1806)),TRIM(MID('R.M Billets Reports'!D1806,SEARCH("-",'R.M Billets Reports'!D1806)+1,200)),"")))))),IF(ROW()=2,"",A1805))</f>
      </c>
      <c r="B1806">
        <f>IF(OR('R.M Billets Reports'!A1805="Date-",'R.M Billets Reports'!A1805="Date:-"),'R.M Billets Reports'!B1805,IF(ROW()=2,"",B1805))</f>
      </c>
      <c r="C1806">
        <f>IF('R.M Billets Reports'!A1805="V.No.",'R.M Billets Reports'!B1805,IF(ROW()=2,"",C1805))</f>
      </c>
      <c r="D1806">
        <f>IF('R.M Billets Reports'!A1805&lt;&gt;"",'R.M Billets Reports'!A1805,IF(ROW()=2,"",D1805))</f>
      </c>
      <c r="E1806">
        <f>IF('R.M Billets Reports'!B1805="","",TRIM('R.M Billets Reports'!B1805))</f>
      </c>
      <c r="F1806">
        <f>'R.M Billets Reports'!C1805</f>
      </c>
      <c r="G1806">
        <f>'R.M Billets Reports'!D1805</f>
      </c>
      <c r="H1806">
        <f>'R.M Billets Reports'!E1805</f>
      </c>
      <c r="I1806">
        <f>'R.M Billets Reports'!F1805</f>
      </c>
      <c r="J1806">
        <f>'R.M Billets Reports'!G1805</f>
      </c>
      <c r="K1806">
        <f>'R.M Billets Reports'!H1805</f>
      </c>
      <c r="L1806">
        <f>IF('R.M Billets Reports'!I1805="","",'R.M Billets Reports'!I1805)</f>
      </c>
      <c r="M1806">
        <f t="shared" si="56"/>
      </c>
      <c r="N1806">
        <f>IF('R.M Billets Reports'!J1805="","",'R.M Billets Reports'!J1805)</f>
      </c>
      <c r="O1806">
        <f t="shared" si="57"/>
      </c>
      <c r="P1806">
        <f>IF('R.M Billets Reports'!A1805="SIZE",'R.M Billets Reports'!B1805,P1805)</f>
      </c>
    </row>
    <row r="1807" spans="1:16" x14ac:dyDescent="0.25">
      <c r="A1807">
        <f>IF(OR('R.M Billets Reports'!A1806="Date-",'R.M Billets Reports'!A1806="Date:-"),IF(IF(IF(ISNUMBER(SEARCH("Party Name:-",'R.M Billets Reports'!D1806)),TRIM('R.M Billets Reports'!F1806),IF(ISNUMBER(SEARCH("Party Name-",'R.M Billets Reports'!D1806)),TRIM(MID('R.M Billets Reports'!D1806,SEARCH("-",'R.M Billets Reports'!D1806)+1,200)),""))&lt;&gt;"",IF(ISNUMBER(SEARCH("Party Name:-",'R.M Billets Reports'!D1806)),TRIM('R.M Billets Reports'!F1806),IF(ISNUMBER(SEARCH("Party Name-",'R.M Billets Reports'!D1806)),TRIM(MID('R.M Billets Reports'!D1806,SEARCH("-",'R.M Billets Reports'!D1806)+1,200)),"")),IF(ISNUMBER(SEARCH("Party Name:-",'R.M Billets Reports'!D1807)),TRIM('R.M Billets Reports'!F1807),IF(ISNUMBER(SEARCH("Party Name-",'R.M Billets Reports'!D1807)),TRIM(MID('R.M Billets Reports'!D1807,SEARCH("-",'R.M Billets Reports'!D1807)+1,200)),"")))="VRKP ISPAT PVT LTD","VRKP",IF(IF(IF(ISNUMBER(SEARCH("Party Name:-",'R.M Billets Reports'!D1806)),TRIM('R.M Billets Reports'!F1806),IF(ISNUMBER(SEARCH("Party Name-",'R.M Billets Reports'!D1806)),TRIM(MID('R.M Billets Reports'!D1806,SEARCH("-",'R.M Billets Reports'!D1806)+1,200)),""))&lt;&gt;"",IF(ISNUMBER(SEARCH("Party Name:-",'R.M Billets Reports'!D1806)),TRIM('R.M Billets Reports'!F1806),IF(ISNUMBER(SEARCH("Party Name-",'R.M Billets Reports'!D1806)),TRIM(MID('R.M Billets Reports'!D1806,SEARCH("-",'R.M Billets Reports'!D1806)+1,200)),"")),IF(ISNUMBER(SEARCH("Party Name:-",'R.M Billets Reports'!D1807)),TRIM('R.M Billets Reports'!F1807),IF(ISNUMBER(SEARCH("Party Name-",'R.M Billets Reports'!D1807)),TRIM(MID('R.M Billets Reports'!D1807,SEARCH("-",'R.M Billets Reports'!D1807)+1,200)),"")))="SHRI RADHE","SHREE RADHE",IF(IF(IF(ISNUMBER(SEARCH("Party Name:-",'R.M Billets Reports'!D1806)),TRIM('R.M Billets Reports'!F1806),IF(ISNUMBER(SEARCH("Party Name-",'R.M Billets Reports'!D1806)),TRIM(MID('R.M Billets Reports'!D1806,SEARCH("-",'R.M Billets Reports'!D1806)+1,200)),""))&lt;&gt;"",IF(ISNUMBER(SEARCH("Party Name:-",'R.M Billets Reports'!D1806)),TRIM('R.M Billets Reports'!F1806),IF(ISNUMBER(SEARCH("Party Name-",'R.M Billets Reports'!D1806)),TRIM(MID('R.M Billets Reports'!D1806,SEARCH("-",'R.M Billets Reports'!D1806)+1,200)),"")),IF(ISNUMBER(SEARCH("Party Name:-",'R.M Billets Reports'!D1807)),TRIM('R.M Billets Reports'!F1807),IF(ISNUMBER(SEARCH("Party Name-",'R.M Billets Reports'!D1807)),TRIM(MID('R.M Billets Reports'!D1807,SEARCH("-",'R.M Billets Reports'!D1807)+1,200)),"")))="SHREE RADHE SHAKTI SPONGE AND POWER PVT. LTD.","SHREE RADHE",IF(IF(ISNUMBER(SEARCH("Party Name:-",'R.M Billets Reports'!D1806)),TRIM('R.M Billets Reports'!F1806),IF(ISNUMBER(SEARCH("Party Name-",'R.M Billets Reports'!D1806)),TRIM(MID('R.M Billets Reports'!D1806,SEARCH("-",'R.M Billets Reports'!D1806)+1,200)),""))&lt;&gt;"",IF(ISNUMBER(SEARCH("Party Name:-",'R.M Billets Reports'!D1806)),TRIM('R.M Billets Reports'!F1806),IF(ISNUMBER(SEARCH("Party Name-",'R.M Billets Reports'!D1806)),TRIM(MID('R.M Billets Reports'!D1806,SEARCH("-",'R.M Billets Reports'!D1806)+1,200)),"")),IF(ISNUMBER(SEARCH("Party Name:-",'R.M Billets Reports'!D1807)),TRIM('R.M Billets Reports'!F1807),IF(ISNUMBER(SEARCH("Party Name-",'R.M Billets Reports'!D1807)),TRIM(MID('R.M Billets Reports'!D1807,SEARCH("-",'R.M Billets Reports'!D1807)+1,200)),"")))))),IF(ROW()=2,"",A1806))</f>
      </c>
      <c r="B1807">
        <f>IF(OR('R.M Billets Reports'!A1806="Date-",'R.M Billets Reports'!A1806="Date:-"),'R.M Billets Reports'!B1806,IF(ROW()=2,"",B1806))</f>
      </c>
      <c r="C1807">
        <f>IF('R.M Billets Reports'!A1806="V.No.",'R.M Billets Reports'!B1806,IF(ROW()=2,"",C1806))</f>
      </c>
      <c r="D1807">
        <f>IF('R.M Billets Reports'!A1806&lt;&gt;"",'R.M Billets Reports'!A1806,IF(ROW()=2,"",D1806))</f>
      </c>
      <c r="E1807">
        <f>IF('R.M Billets Reports'!B1806="","",TRIM('R.M Billets Reports'!B1806))</f>
      </c>
      <c r="F1807">
        <f>'R.M Billets Reports'!C1806</f>
      </c>
      <c r="G1807">
        <f>'R.M Billets Reports'!D1806</f>
      </c>
      <c r="H1807">
        <f>'R.M Billets Reports'!E1806</f>
      </c>
      <c r="I1807">
        <f>'R.M Billets Reports'!F1806</f>
      </c>
      <c r="J1807">
        <f>'R.M Billets Reports'!G1806</f>
      </c>
      <c r="K1807">
        <f>'R.M Billets Reports'!H1806</f>
      </c>
      <c r="L1807">
        <f>IF('R.M Billets Reports'!I1806="","",'R.M Billets Reports'!I1806)</f>
      </c>
      <c r="M1807">
        <f t="shared" si="56"/>
      </c>
      <c r="N1807">
        <f>IF('R.M Billets Reports'!J1806="","",'R.M Billets Reports'!J1806)</f>
      </c>
      <c r="O1807">
        <f t="shared" si="57"/>
      </c>
      <c r="P1807">
        <f>IF('R.M Billets Reports'!A1806="SIZE",'R.M Billets Reports'!B1806,P1806)</f>
      </c>
    </row>
    <row r="1808" spans="1:16" x14ac:dyDescent="0.25">
      <c r="A1808">
        <f>IF(OR('R.M Billets Reports'!A1807="Date-",'R.M Billets Reports'!A1807="Date:-"),IF(IF(IF(ISNUMBER(SEARCH("Party Name:-",'R.M Billets Reports'!D1807)),TRIM('R.M Billets Reports'!F1807),IF(ISNUMBER(SEARCH("Party Name-",'R.M Billets Reports'!D1807)),TRIM(MID('R.M Billets Reports'!D1807,SEARCH("-",'R.M Billets Reports'!D1807)+1,200)),""))&lt;&gt;"",IF(ISNUMBER(SEARCH("Party Name:-",'R.M Billets Reports'!D1807)),TRIM('R.M Billets Reports'!F1807),IF(ISNUMBER(SEARCH("Party Name-",'R.M Billets Reports'!D1807)),TRIM(MID('R.M Billets Reports'!D1807,SEARCH("-",'R.M Billets Reports'!D1807)+1,200)),"")),IF(ISNUMBER(SEARCH("Party Name:-",'R.M Billets Reports'!D1808)),TRIM('R.M Billets Reports'!F1808),IF(ISNUMBER(SEARCH("Party Name-",'R.M Billets Reports'!D1808)),TRIM(MID('R.M Billets Reports'!D1808,SEARCH("-",'R.M Billets Reports'!D1808)+1,200)),"")))="VRKP ISPAT PVT LTD","VRKP",IF(IF(IF(ISNUMBER(SEARCH("Party Name:-",'R.M Billets Reports'!D1807)),TRIM('R.M Billets Reports'!F1807),IF(ISNUMBER(SEARCH("Party Name-",'R.M Billets Reports'!D1807)),TRIM(MID('R.M Billets Reports'!D1807,SEARCH("-",'R.M Billets Reports'!D1807)+1,200)),""))&lt;&gt;"",IF(ISNUMBER(SEARCH("Party Name:-",'R.M Billets Reports'!D1807)),TRIM('R.M Billets Reports'!F1807),IF(ISNUMBER(SEARCH("Party Name-",'R.M Billets Reports'!D1807)),TRIM(MID('R.M Billets Reports'!D1807,SEARCH("-",'R.M Billets Reports'!D1807)+1,200)),"")),IF(ISNUMBER(SEARCH("Party Name:-",'R.M Billets Reports'!D1808)),TRIM('R.M Billets Reports'!F1808),IF(ISNUMBER(SEARCH("Party Name-",'R.M Billets Reports'!D1808)),TRIM(MID('R.M Billets Reports'!D1808,SEARCH("-",'R.M Billets Reports'!D1808)+1,200)),"")))="SHRI RADHE","SHREE RADHE",IF(IF(IF(ISNUMBER(SEARCH("Party Name:-",'R.M Billets Reports'!D1807)),TRIM('R.M Billets Reports'!F1807),IF(ISNUMBER(SEARCH("Party Name-",'R.M Billets Reports'!D1807)),TRIM(MID('R.M Billets Reports'!D1807,SEARCH("-",'R.M Billets Reports'!D1807)+1,200)),""))&lt;&gt;"",IF(ISNUMBER(SEARCH("Party Name:-",'R.M Billets Reports'!D1807)),TRIM('R.M Billets Reports'!F1807),IF(ISNUMBER(SEARCH("Party Name-",'R.M Billets Reports'!D1807)),TRIM(MID('R.M Billets Reports'!D1807,SEARCH("-",'R.M Billets Reports'!D1807)+1,200)),"")),IF(ISNUMBER(SEARCH("Party Name:-",'R.M Billets Reports'!D1808)),TRIM('R.M Billets Reports'!F1808),IF(ISNUMBER(SEARCH("Party Name-",'R.M Billets Reports'!D1808)),TRIM(MID('R.M Billets Reports'!D1808,SEARCH("-",'R.M Billets Reports'!D1808)+1,200)),"")))="SHREE RADHE SHAKTI SPONGE AND POWER PVT. LTD.","SHREE RADHE",IF(IF(ISNUMBER(SEARCH("Party Name:-",'R.M Billets Reports'!D1807)),TRIM('R.M Billets Reports'!F1807),IF(ISNUMBER(SEARCH("Party Name-",'R.M Billets Reports'!D1807)),TRIM(MID('R.M Billets Reports'!D1807,SEARCH("-",'R.M Billets Reports'!D1807)+1,200)),""))&lt;&gt;"",IF(ISNUMBER(SEARCH("Party Name:-",'R.M Billets Reports'!D1807)),TRIM('R.M Billets Reports'!F1807),IF(ISNUMBER(SEARCH("Party Name-",'R.M Billets Reports'!D1807)),TRIM(MID('R.M Billets Reports'!D1807,SEARCH("-",'R.M Billets Reports'!D1807)+1,200)),"")),IF(ISNUMBER(SEARCH("Party Name:-",'R.M Billets Reports'!D1808)),TRIM('R.M Billets Reports'!F1808),IF(ISNUMBER(SEARCH("Party Name-",'R.M Billets Reports'!D1808)),TRIM(MID('R.M Billets Reports'!D1808,SEARCH("-",'R.M Billets Reports'!D1808)+1,200)),"")))))),IF(ROW()=2,"",A1807))</f>
      </c>
      <c r="B1808">
        <f>IF(OR('R.M Billets Reports'!A1807="Date-",'R.M Billets Reports'!A1807="Date:-"),'R.M Billets Reports'!B1807,IF(ROW()=2,"",B1807))</f>
      </c>
      <c r="C1808">
        <f>IF('R.M Billets Reports'!A1807="V.No.",'R.M Billets Reports'!B1807,IF(ROW()=2,"",C1807))</f>
      </c>
      <c r="D1808">
        <f>IF('R.M Billets Reports'!A1807&lt;&gt;"",'R.M Billets Reports'!A1807,IF(ROW()=2,"",D1807))</f>
      </c>
      <c r="E1808">
        <f>IF('R.M Billets Reports'!B1807="","",TRIM('R.M Billets Reports'!B1807))</f>
      </c>
      <c r="F1808">
        <f>'R.M Billets Reports'!C1807</f>
      </c>
      <c r="G1808">
        <f>'R.M Billets Reports'!D1807</f>
      </c>
      <c r="H1808">
        <f>'R.M Billets Reports'!E1807</f>
      </c>
      <c r="I1808">
        <f>'R.M Billets Reports'!F1807</f>
      </c>
      <c r="J1808">
        <f>'R.M Billets Reports'!G1807</f>
      </c>
      <c r="K1808">
        <f>'R.M Billets Reports'!H1807</f>
      </c>
      <c r="L1808">
        <f>IF('R.M Billets Reports'!I1807="","",'R.M Billets Reports'!I1807)</f>
      </c>
      <c r="M1808">
        <f t="shared" si="56"/>
      </c>
      <c r="N1808">
        <f>IF('R.M Billets Reports'!J1807="","",'R.M Billets Reports'!J1807)</f>
      </c>
      <c r="O1808">
        <f t="shared" si="57"/>
      </c>
      <c r="P1808">
        <f>IF('R.M Billets Reports'!A1807="SIZE",'R.M Billets Reports'!B1807,P1807)</f>
      </c>
    </row>
    <row r="1809" spans="1:16" x14ac:dyDescent="0.25">
      <c r="A1809">
        <f>IF(OR('R.M Billets Reports'!A1808="Date-",'R.M Billets Reports'!A1808="Date:-"),IF(IF(IF(ISNUMBER(SEARCH("Party Name:-",'R.M Billets Reports'!D1808)),TRIM('R.M Billets Reports'!F1808),IF(ISNUMBER(SEARCH("Party Name-",'R.M Billets Reports'!D1808)),TRIM(MID('R.M Billets Reports'!D1808,SEARCH("-",'R.M Billets Reports'!D1808)+1,200)),""))&lt;&gt;"",IF(ISNUMBER(SEARCH("Party Name:-",'R.M Billets Reports'!D1808)),TRIM('R.M Billets Reports'!F1808),IF(ISNUMBER(SEARCH("Party Name-",'R.M Billets Reports'!D1808)),TRIM(MID('R.M Billets Reports'!D1808,SEARCH("-",'R.M Billets Reports'!D1808)+1,200)),"")),IF(ISNUMBER(SEARCH("Party Name:-",'R.M Billets Reports'!D1809)),TRIM('R.M Billets Reports'!F1809),IF(ISNUMBER(SEARCH("Party Name-",'R.M Billets Reports'!D1809)),TRIM(MID('R.M Billets Reports'!D1809,SEARCH("-",'R.M Billets Reports'!D1809)+1,200)),"")))="VRKP ISPAT PVT LTD","VRKP",IF(IF(IF(ISNUMBER(SEARCH("Party Name:-",'R.M Billets Reports'!D1808)),TRIM('R.M Billets Reports'!F1808),IF(ISNUMBER(SEARCH("Party Name-",'R.M Billets Reports'!D1808)),TRIM(MID('R.M Billets Reports'!D1808,SEARCH("-",'R.M Billets Reports'!D1808)+1,200)),""))&lt;&gt;"",IF(ISNUMBER(SEARCH("Party Name:-",'R.M Billets Reports'!D1808)),TRIM('R.M Billets Reports'!F1808),IF(ISNUMBER(SEARCH("Party Name-",'R.M Billets Reports'!D1808)),TRIM(MID('R.M Billets Reports'!D1808,SEARCH("-",'R.M Billets Reports'!D1808)+1,200)),"")),IF(ISNUMBER(SEARCH("Party Name:-",'R.M Billets Reports'!D1809)),TRIM('R.M Billets Reports'!F1809),IF(ISNUMBER(SEARCH("Party Name-",'R.M Billets Reports'!D1809)),TRIM(MID('R.M Billets Reports'!D1809,SEARCH("-",'R.M Billets Reports'!D1809)+1,200)),"")))="SHRI RADHE","SHREE RADHE",IF(IF(IF(ISNUMBER(SEARCH("Party Name:-",'R.M Billets Reports'!D1808)),TRIM('R.M Billets Reports'!F1808),IF(ISNUMBER(SEARCH("Party Name-",'R.M Billets Reports'!D1808)),TRIM(MID('R.M Billets Reports'!D1808,SEARCH("-",'R.M Billets Reports'!D1808)+1,200)),""))&lt;&gt;"",IF(ISNUMBER(SEARCH("Party Name:-",'R.M Billets Reports'!D1808)),TRIM('R.M Billets Reports'!F1808),IF(ISNUMBER(SEARCH("Party Name-",'R.M Billets Reports'!D1808)),TRIM(MID('R.M Billets Reports'!D1808,SEARCH("-",'R.M Billets Reports'!D1808)+1,200)),"")),IF(ISNUMBER(SEARCH("Party Name:-",'R.M Billets Reports'!D1809)),TRIM('R.M Billets Reports'!F1809),IF(ISNUMBER(SEARCH("Party Name-",'R.M Billets Reports'!D1809)),TRIM(MID('R.M Billets Reports'!D1809,SEARCH("-",'R.M Billets Reports'!D1809)+1,200)),"")))="SHREE RADHE SHAKTI SPONGE AND POWER PVT. LTD.","SHREE RADHE",IF(IF(ISNUMBER(SEARCH("Party Name:-",'R.M Billets Reports'!D1808)),TRIM('R.M Billets Reports'!F1808),IF(ISNUMBER(SEARCH("Party Name-",'R.M Billets Reports'!D1808)),TRIM(MID('R.M Billets Reports'!D1808,SEARCH("-",'R.M Billets Reports'!D1808)+1,200)),""))&lt;&gt;"",IF(ISNUMBER(SEARCH("Party Name:-",'R.M Billets Reports'!D1808)),TRIM('R.M Billets Reports'!F1808),IF(ISNUMBER(SEARCH("Party Name-",'R.M Billets Reports'!D1808)),TRIM(MID('R.M Billets Reports'!D1808,SEARCH("-",'R.M Billets Reports'!D1808)+1,200)),"")),IF(ISNUMBER(SEARCH("Party Name:-",'R.M Billets Reports'!D1809)),TRIM('R.M Billets Reports'!F1809),IF(ISNUMBER(SEARCH("Party Name-",'R.M Billets Reports'!D1809)),TRIM(MID('R.M Billets Reports'!D1809,SEARCH("-",'R.M Billets Reports'!D1809)+1,200)),"")))))),IF(ROW()=2,"",A1808))</f>
      </c>
      <c r="B1809">
        <f>IF(OR('R.M Billets Reports'!A1808="Date-",'R.M Billets Reports'!A1808="Date:-"),'R.M Billets Reports'!B1808,IF(ROW()=2,"",B1808))</f>
      </c>
      <c r="C1809">
        <f>IF('R.M Billets Reports'!A1808="V.No.",'R.M Billets Reports'!B1808,IF(ROW()=2,"",C1808))</f>
      </c>
      <c r="D1809">
        <f>IF('R.M Billets Reports'!A1808&lt;&gt;"",'R.M Billets Reports'!A1808,IF(ROW()=2,"",D1808))</f>
      </c>
      <c r="E1809">
        <f>IF('R.M Billets Reports'!B1808="","",TRIM('R.M Billets Reports'!B1808))</f>
      </c>
      <c r="F1809">
        <f>'R.M Billets Reports'!C1808</f>
      </c>
      <c r="G1809">
        <f>'R.M Billets Reports'!D1808</f>
      </c>
      <c r="H1809">
        <f>'R.M Billets Reports'!E1808</f>
      </c>
      <c r="I1809">
        <f>'R.M Billets Reports'!F1808</f>
      </c>
      <c r="J1809">
        <f>'R.M Billets Reports'!G1808</f>
      </c>
      <c r="K1809">
        <f>'R.M Billets Reports'!H1808</f>
      </c>
      <c r="L1809">
        <f>IF('R.M Billets Reports'!I1808="","",'R.M Billets Reports'!I1808)</f>
      </c>
      <c r="M1809">
        <f t="shared" si="56"/>
      </c>
      <c r="N1809">
        <f>IF('R.M Billets Reports'!J1808="","",'R.M Billets Reports'!J1808)</f>
      </c>
      <c r="O1809">
        <f t="shared" si="57"/>
      </c>
      <c r="P1809">
        <f>IF('R.M Billets Reports'!A1808="SIZE",'R.M Billets Reports'!B1808,P1808)</f>
      </c>
    </row>
    <row r="1810" spans="1:16" x14ac:dyDescent="0.25">
      <c r="A1810">
        <f>IF(OR('R.M Billets Reports'!A1809="Date-",'R.M Billets Reports'!A1809="Date:-"),IF(IF(IF(ISNUMBER(SEARCH("Party Name:-",'R.M Billets Reports'!D1809)),TRIM('R.M Billets Reports'!F1809),IF(ISNUMBER(SEARCH("Party Name-",'R.M Billets Reports'!D1809)),TRIM(MID('R.M Billets Reports'!D1809,SEARCH("-",'R.M Billets Reports'!D1809)+1,200)),""))&lt;&gt;"",IF(ISNUMBER(SEARCH("Party Name:-",'R.M Billets Reports'!D1809)),TRIM('R.M Billets Reports'!F1809),IF(ISNUMBER(SEARCH("Party Name-",'R.M Billets Reports'!D1809)),TRIM(MID('R.M Billets Reports'!D1809,SEARCH("-",'R.M Billets Reports'!D1809)+1,200)),"")),IF(ISNUMBER(SEARCH("Party Name:-",'R.M Billets Reports'!D1810)),TRIM('R.M Billets Reports'!F1810),IF(ISNUMBER(SEARCH("Party Name-",'R.M Billets Reports'!D1810)),TRIM(MID('R.M Billets Reports'!D1810,SEARCH("-",'R.M Billets Reports'!D1810)+1,200)),"")))="VRKP ISPAT PVT LTD","VRKP",IF(IF(IF(ISNUMBER(SEARCH("Party Name:-",'R.M Billets Reports'!D1809)),TRIM('R.M Billets Reports'!F1809),IF(ISNUMBER(SEARCH("Party Name-",'R.M Billets Reports'!D1809)),TRIM(MID('R.M Billets Reports'!D1809,SEARCH("-",'R.M Billets Reports'!D1809)+1,200)),""))&lt;&gt;"",IF(ISNUMBER(SEARCH("Party Name:-",'R.M Billets Reports'!D1809)),TRIM('R.M Billets Reports'!F1809),IF(ISNUMBER(SEARCH("Party Name-",'R.M Billets Reports'!D1809)),TRIM(MID('R.M Billets Reports'!D1809,SEARCH("-",'R.M Billets Reports'!D1809)+1,200)),"")),IF(ISNUMBER(SEARCH("Party Name:-",'R.M Billets Reports'!D1810)),TRIM('R.M Billets Reports'!F1810),IF(ISNUMBER(SEARCH("Party Name-",'R.M Billets Reports'!D1810)),TRIM(MID('R.M Billets Reports'!D1810,SEARCH("-",'R.M Billets Reports'!D1810)+1,200)),"")))="SHRI RADHE","SHREE RADHE",IF(IF(IF(ISNUMBER(SEARCH("Party Name:-",'R.M Billets Reports'!D1809)),TRIM('R.M Billets Reports'!F1809),IF(ISNUMBER(SEARCH("Party Name-",'R.M Billets Reports'!D1809)),TRIM(MID('R.M Billets Reports'!D1809,SEARCH("-",'R.M Billets Reports'!D1809)+1,200)),""))&lt;&gt;"",IF(ISNUMBER(SEARCH("Party Name:-",'R.M Billets Reports'!D1809)),TRIM('R.M Billets Reports'!F1809),IF(ISNUMBER(SEARCH("Party Name-",'R.M Billets Reports'!D1809)),TRIM(MID('R.M Billets Reports'!D1809,SEARCH("-",'R.M Billets Reports'!D1809)+1,200)),"")),IF(ISNUMBER(SEARCH("Party Name:-",'R.M Billets Reports'!D1810)),TRIM('R.M Billets Reports'!F1810),IF(ISNUMBER(SEARCH("Party Name-",'R.M Billets Reports'!D1810)),TRIM(MID('R.M Billets Reports'!D1810,SEARCH("-",'R.M Billets Reports'!D1810)+1,200)),"")))="SHREE RADHE SHAKTI SPONGE AND POWER PVT. LTD.","SHREE RADHE",IF(IF(ISNUMBER(SEARCH("Party Name:-",'R.M Billets Reports'!D1809)),TRIM('R.M Billets Reports'!F1809),IF(ISNUMBER(SEARCH("Party Name-",'R.M Billets Reports'!D1809)),TRIM(MID('R.M Billets Reports'!D1809,SEARCH("-",'R.M Billets Reports'!D1809)+1,200)),""))&lt;&gt;"",IF(ISNUMBER(SEARCH("Party Name:-",'R.M Billets Reports'!D1809)),TRIM('R.M Billets Reports'!F1809),IF(ISNUMBER(SEARCH("Party Name-",'R.M Billets Reports'!D1809)),TRIM(MID('R.M Billets Reports'!D1809,SEARCH("-",'R.M Billets Reports'!D1809)+1,200)),"")),IF(ISNUMBER(SEARCH("Party Name:-",'R.M Billets Reports'!D1810)),TRIM('R.M Billets Reports'!F1810),IF(ISNUMBER(SEARCH("Party Name-",'R.M Billets Reports'!D1810)),TRIM(MID('R.M Billets Reports'!D1810,SEARCH("-",'R.M Billets Reports'!D1810)+1,200)),"")))))),IF(ROW()=2,"",A1809))</f>
      </c>
      <c r="B1810">
        <f>IF(OR('R.M Billets Reports'!A1809="Date-",'R.M Billets Reports'!A1809="Date:-"),'R.M Billets Reports'!B1809,IF(ROW()=2,"",B1809))</f>
      </c>
      <c r="C1810">
        <f>IF('R.M Billets Reports'!A1809="V.No.",'R.M Billets Reports'!B1809,IF(ROW()=2,"",C1809))</f>
      </c>
      <c r="D1810">
        <f>IF('R.M Billets Reports'!A1809&lt;&gt;"",'R.M Billets Reports'!A1809,IF(ROW()=2,"",D1809))</f>
      </c>
      <c r="E1810">
        <f>IF('R.M Billets Reports'!B1809="","",TRIM('R.M Billets Reports'!B1809))</f>
      </c>
      <c r="F1810">
        <f>'R.M Billets Reports'!C1809</f>
      </c>
      <c r="G1810">
        <f>'R.M Billets Reports'!D1809</f>
      </c>
      <c r="H1810">
        <f>'R.M Billets Reports'!E1809</f>
      </c>
      <c r="I1810">
        <f>'R.M Billets Reports'!F1809</f>
      </c>
      <c r="J1810">
        <f>'R.M Billets Reports'!G1809</f>
      </c>
      <c r="K1810">
        <f>'R.M Billets Reports'!H1809</f>
      </c>
      <c r="L1810">
        <f>IF('R.M Billets Reports'!I1809="","",'R.M Billets Reports'!I1809)</f>
      </c>
      <c r="M1810">
        <f t="shared" si="56"/>
      </c>
      <c r="N1810">
        <f>IF('R.M Billets Reports'!J1809="","",'R.M Billets Reports'!J1809)</f>
      </c>
      <c r="O1810">
        <f t="shared" si="57"/>
      </c>
      <c r="P1810">
        <f>IF('R.M Billets Reports'!A1809="SIZE",'R.M Billets Reports'!B1809,P1809)</f>
      </c>
    </row>
    <row r="1811" spans="1:16" x14ac:dyDescent="0.25">
      <c r="A1811">
        <f>IF(OR('R.M Billets Reports'!A1810="Date-",'R.M Billets Reports'!A1810="Date:-"),IF(IF(IF(ISNUMBER(SEARCH("Party Name:-",'R.M Billets Reports'!D1810)),TRIM('R.M Billets Reports'!F1810),IF(ISNUMBER(SEARCH("Party Name-",'R.M Billets Reports'!D1810)),TRIM(MID('R.M Billets Reports'!D1810,SEARCH("-",'R.M Billets Reports'!D1810)+1,200)),""))&lt;&gt;"",IF(ISNUMBER(SEARCH("Party Name:-",'R.M Billets Reports'!D1810)),TRIM('R.M Billets Reports'!F1810),IF(ISNUMBER(SEARCH("Party Name-",'R.M Billets Reports'!D1810)),TRIM(MID('R.M Billets Reports'!D1810,SEARCH("-",'R.M Billets Reports'!D1810)+1,200)),"")),IF(ISNUMBER(SEARCH("Party Name:-",'R.M Billets Reports'!D1811)),TRIM('R.M Billets Reports'!F1811),IF(ISNUMBER(SEARCH("Party Name-",'R.M Billets Reports'!D1811)),TRIM(MID('R.M Billets Reports'!D1811,SEARCH("-",'R.M Billets Reports'!D1811)+1,200)),"")))="VRKP ISPAT PVT LTD","VRKP",IF(IF(IF(ISNUMBER(SEARCH("Party Name:-",'R.M Billets Reports'!D1810)),TRIM('R.M Billets Reports'!F1810),IF(ISNUMBER(SEARCH("Party Name-",'R.M Billets Reports'!D1810)),TRIM(MID('R.M Billets Reports'!D1810,SEARCH("-",'R.M Billets Reports'!D1810)+1,200)),""))&lt;&gt;"",IF(ISNUMBER(SEARCH("Party Name:-",'R.M Billets Reports'!D1810)),TRIM('R.M Billets Reports'!F1810),IF(ISNUMBER(SEARCH("Party Name-",'R.M Billets Reports'!D1810)),TRIM(MID('R.M Billets Reports'!D1810,SEARCH("-",'R.M Billets Reports'!D1810)+1,200)),"")),IF(ISNUMBER(SEARCH("Party Name:-",'R.M Billets Reports'!D1811)),TRIM('R.M Billets Reports'!F1811),IF(ISNUMBER(SEARCH("Party Name-",'R.M Billets Reports'!D1811)),TRIM(MID('R.M Billets Reports'!D1811,SEARCH("-",'R.M Billets Reports'!D1811)+1,200)),"")))="SHRI RADHE","SHREE RADHE",IF(IF(IF(ISNUMBER(SEARCH("Party Name:-",'R.M Billets Reports'!D1810)),TRIM('R.M Billets Reports'!F1810),IF(ISNUMBER(SEARCH("Party Name-",'R.M Billets Reports'!D1810)),TRIM(MID('R.M Billets Reports'!D1810,SEARCH("-",'R.M Billets Reports'!D1810)+1,200)),""))&lt;&gt;"",IF(ISNUMBER(SEARCH("Party Name:-",'R.M Billets Reports'!D1810)),TRIM('R.M Billets Reports'!F1810),IF(ISNUMBER(SEARCH("Party Name-",'R.M Billets Reports'!D1810)),TRIM(MID('R.M Billets Reports'!D1810,SEARCH("-",'R.M Billets Reports'!D1810)+1,200)),"")),IF(ISNUMBER(SEARCH("Party Name:-",'R.M Billets Reports'!D1811)),TRIM('R.M Billets Reports'!F1811),IF(ISNUMBER(SEARCH("Party Name-",'R.M Billets Reports'!D1811)),TRIM(MID('R.M Billets Reports'!D1811,SEARCH("-",'R.M Billets Reports'!D1811)+1,200)),"")))="SHREE RADHE SHAKTI SPONGE AND POWER PVT. LTD.","SHREE RADHE",IF(IF(ISNUMBER(SEARCH("Party Name:-",'R.M Billets Reports'!D1810)),TRIM('R.M Billets Reports'!F1810),IF(ISNUMBER(SEARCH("Party Name-",'R.M Billets Reports'!D1810)),TRIM(MID('R.M Billets Reports'!D1810,SEARCH("-",'R.M Billets Reports'!D1810)+1,200)),""))&lt;&gt;"",IF(ISNUMBER(SEARCH("Party Name:-",'R.M Billets Reports'!D1810)),TRIM('R.M Billets Reports'!F1810),IF(ISNUMBER(SEARCH("Party Name-",'R.M Billets Reports'!D1810)),TRIM(MID('R.M Billets Reports'!D1810,SEARCH("-",'R.M Billets Reports'!D1810)+1,200)),"")),IF(ISNUMBER(SEARCH("Party Name:-",'R.M Billets Reports'!D1811)),TRIM('R.M Billets Reports'!F1811),IF(ISNUMBER(SEARCH("Party Name-",'R.M Billets Reports'!D1811)),TRIM(MID('R.M Billets Reports'!D1811,SEARCH("-",'R.M Billets Reports'!D1811)+1,200)),"")))))),IF(ROW()=2,"",A1810))</f>
      </c>
      <c r="B1811">
        <f>IF(OR('R.M Billets Reports'!A1810="Date-",'R.M Billets Reports'!A1810="Date:-"),'R.M Billets Reports'!B1810,IF(ROW()=2,"",B1810))</f>
      </c>
      <c r="C1811">
        <f>IF('R.M Billets Reports'!A1810="V.No.",'R.M Billets Reports'!B1810,IF(ROW()=2,"",C1810))</f>
      </c>
      <c r="D1811">
        <f>IF('R.M Billets Reports'!A1810&lt;&gt;"",'R.M Billets Reports'!A1810,IF(ROW()=2,"",D1810))</f>
      </c>
      <c r="E1811">
        <f>IF('R.M Billets Reports'!B1810="","",TRIM('R.M Billets Reports'!B1810))</f>
      </c>
      <c r="F1811">
        <f>'R.M Billets Reports'!C1810</f>
      </c>
      <c r="G1811">
        <f>'R.M Billets Reports'!D1810</f>
      </c>
      <c r="H1811">
        <f>'R.M Billets Reports'!E1810</f>
      </c>
      <c r="I1811">
        <f>'R.M Billets Reports'!F1810</f>
      </c>
      <c r="J1811">
        <f>'R.M Billets Reports'!G1810</f>
      </c>
      <c r="K1811">
        <f>'R.M Billets Reports'!H1810</f>
      </c>
      <c r="L1811">
        <f>IF('R.M Billets Reports'!I1810="","",'R.M Billets Reports'!I1810)</f>
      </c>
      <c r="M1811">
        <f t="shared" si="56"/>
      </c>
      <c r="N1811">
        <f>IF('R.M Billets Reports'!J1810="","",'R.M Billets Reports'!J1810)</f>
      </c>
      <c r="O1811">
        <f t="shared" si="57"/>
      </c>
      <c r="P1811">
        <f>IF('R.M Billets Reports'!A1810="SIZE",'R.M Billets Reports'!B1810,P1810)</f>
      </c>
    </row>
    <row r="1812" spans="1:16" x14ac:dyDescent="0.25">
      <c r="A1812">
        <f>IF(OR('R.M Billets Reports'!A1811="Date-",'R.M Billets Reports'!A1811="Date:-"),IF(IF(IF(ISNUMBER(SEARCH("Party Name:-",'R.M Billets Reports'!D1811)),TRIM('R.M Billets Reports'!F1811),IF(ISNUMBER(SEARCH("Party Name-",'R.M Billets Reports'!D1811)),TRIM(MID('R.M Billets Reports'!D1811,SEARCH("-",'R.M Billets Reports'!D1811)+1,200)),""))&lt;&gt;"",IF(ISNUMBER(SEARCH("Party Name:-",'R.M Billets Reports'!D1811)),TRIM('R.M Billets Reports'!F1811),IF(ISNUMBER(SEARCH("Party Name-",'R.M Billets Reports'!D1811)),TRIM(MID('R.M Billets Reports'!D1811,SEARCH("-",'R.M Billets Reports'!D1811)+1,200)),"")),IF(ISNUMBER(SEARCH("Party Name:-",'R.M Billets Reports'!D1812)),TRIM('R.M Billets Reports'!F1812),IF(ISNUMBER(SEARCH("Party Name-",'R.M Billets Reports'!D1812)),TRIM(MID('R.M Billets Reports'!D1812,SEARCH("-",'R.M Billets Reports'!D1812)+1,200)),"")))="VRKP ISPAT PVT LTD","VRKP",IF(IF(IF(ISNUMBER(SEARCH("Party Name:-",'R.M Billets Reports'!D1811)),TRIM('R.M Billets Reports'!F1811),IF(ISNUMBER(SEARCH("Party Name-",'R.M Billets Reports'!D1811)),TRIM(MID('R.M Billets Reports'!D1811,SEARCH("-",'R.M Billets Reports'!D1811)+1,200)),""))&lt;&gt;"",IF(ISNUMBER(SEARCH("Party Name:-",'R.M Billets Reports'!D1811)),TRIM('R.M Billets Reports'!F1811),IF(ISNUMBER(SEARCH("Party Name-",'R.M Billets Reports'!D1811)),TRIM(MID('R.M Billets Reports'!D1811,SEARCH("-",'R.M Billets Reports'!D1811)+1,200)),"")),IF(ISNUMBER(SEARCH("Party Name:-",'R.M Billets Reports'!D1812)),TRIM('R.M Billets Reports'!F1812),IF(ISNUMBER(SEARCH("Party Name-",'R.M Billets Reports'!D1812)),TRIM(MID('R.M Billets Reports'!D1812,SEARCH("-",'R.M Billets Reports'!D1812)+1,200)),"")))="SHRI RADHE","SHREE RADHE",IF(IF(IF(ISNUMBER(SEARCH("Party Name:-",'R.M Billets Reports'!D1811)),TRIM('R.M Billets Reports'!F1811),IF(ISNUMBER(SEARCH("Party Name-",'R.M Billets Reports'!D1811)),TRIM(MID('R.M Billets Reports'!D1811,SEARCH("-",'R.M Billets Reports'!D1811)+1,200)),""))&lt;&gt;"",IF(ISNUMBER(SEARCH("Party Name:-",'R.M Billets Reports'!D1811)),TRIM('R.M Billets Reports'!F1811),IF(ISNUMBER(SEARCH("Party Name-",'R.M Billets Reports'!D1811)),TRIM(MID('R.M Billets Reports'!D1811,SEARCH("-",'R.M Billets Reports'!D1811)+1,200)),"")),IF(ISNUMBER(SEARCH("Party Name:-",'R.M Billets Reports'!D1812)),TRIM('R.M Billets Reports'!F1812),IF(ISNUMBER(SEARCH("Party Name-",'R.M Billets Reports'!D1812)),TRIM(MID('R.M Billets Reports'!D1812,SEARCH("-",'R.M Billets Reports'!D1812)+1,200)),"")))="SHREE RADHE SHAKTI SPONGE AND POWER PVT. LTD.","SHREE RADHE",IF(IF(ISNUMBER(SEARCH("Party Name:-",'R.M Billets Reports'!D1811)),TRIM('R.M Billets Reports'!F1811),IF(ISNUMBER(SEARCH("Party Name-",'R.M Billets Reports'!D1811)),TRIM(MID('R.M Billets Reports'!D1811,SEARCH("-",'R.M Billets Reports'!D1811)+1,200)),""))&lt;&gt;"",IF(ISNUMBER(SEARCH("Party Name:-",'R.M Billets Reports'!D1811)),TRIM('R.M Billets Reports'!F1811),IF(ISNUMBER(SEARCH("Party Name-",'R.M Billets Reports'!D1811)),TRIM(MID('R.M Billets Reports'!D1811,SEARCH("-",'R.M Billets Reports'!D1811)+1,200)),"")),IF(ISNUMBER(SEARCH("Party Name:-",'R.M Billets Reports'!D1812)),TRIM('R.M Billets Reports'!F1812),IF(ISNUMBER(SEARCH("Party Name-",'R.M Billets Reports'!D1812)),TRIM(MID('R.M Billets Reports'!D1812,SEARCH("-",'R.M Billets Reports'!D1812)+1,200)),"")))))),IF(ROW()=2,"",A1811))</f>
      </c>
      <c r="B1812">
        <f>IF(OR('R.M Billets Reports'!A1811="Date-",'R.M Billets Reports'!A1811="Date:-"),'R.M Billets Reports'!B1811,IF(ROW()=2,"",B1811))</f>
      </c>
      <c r="C1812">
        <f>IF('R.M Billets Reports'!A1811="V.No.",'R.M Billets Reports'!B1811,IF(ROW()=2,"",C1811))</f>
      </c>
      <c r="D1812">
        <f>IF('R.M Billets Reports'!A1811&lt;&gt;"",'R.M Billets Reports'!A1811,IF(ROW()=2,"",D1811))</f>
      </c>
      <c r="E1812">
        <f>IF('R.M Billets Reports'!B1811="","",TRIM('R.M Billets Reports'!B1811))</f>
      </c>
      <c r="F1812">
        <f>'R.M Billets Reports'!C1811</f>
      </c>
      <c r="G1812">
        <f>'R.M Billets Reports'!D1811</f>
      </c>
      <c r="H1812">
        <f>'R.M Billets Reports'!E1811</f>
      </c>
      <c r="I1812">
        <f>'R.M Billets Reports'!F1811</f>
      </c>
      <c r="J1812">
        <f>'R.M Billets Reports'!G1811</f>
      </c>
      <c r="K1812">
        <f>'R.M Billets Reports'!H1811</f>
      </c>
      <c r="L1812">
        <f>IF('R.M Billets Reports'!I1811="","",'R.M Billets Reports'!I1811)</f>
      </c>
      <c r="M1812">
        <f t="shared" si="56"/>
      </c>
      <c r="N1812">
        <f>IF('R.M Billets Reports'!J1811="","",'R.M Billets Reports'!J1811)</f>
      </c>
      <c r="O1812">
        <f t="shared" si="57"/>
      </c>
      <c r="P1812">
        <f>IF('R.M Billets Reports'!A1811="SIZE",'R.M Billets Reports'!B1811,P1811)</f>
      </c>
    </row>
    <row r="1813" spans="1:16" x14ac:dyDescent="0.25">
      <c r="A1813">
        <f>IF(OR('R.M Billets Reports'!A1812="Date-",'R.M Billets Reports'!A1812="Date:-"),IF(IF(IF(ISNUMBER(SEARCH("Party Name:-",'R.M Billets Reports'!D1812)),TRIM('R.M Billets Reports'!F1812),IF(ISNUMBER(SEARCH("Party Name-",'R.M Billets Reports'!D1812)),TRIM(MID('R.M Billets Reports'!D1812,SEARCH("-",'R.M Billets Reports'!D1812)+1,200)),""))&lt;&gt;"",IF(ISNUMBER(SEARCH("Party Name:-",'R.M Billets Reports'!D1812)),TRIM('R.M Billets Reports'!F1812),IF(ISNUMBER(SEARCH("Party Name-",'R.M Billets Reports'!D1812)),TRIM(MID('R.M Billets Reports'!D1812,SEARCH("-",'R.M Billets Reports'!D1812)+1,200)),"")),IF(ISNUMBER(SEARCH("Party Name:-",'R.M Billets Reports'!D1813)),TRIM('R.M Billets Reports'!F1813),IF(ISNUMBER(SEARCH("Party Name-",'R.M Billets Reports'!D1813)),TRIM(MID('R.M Billets Reports'!D1813,SEARCH("-",'R.M Billets Reports'!D1813)+1,200)),"")))="VRKP ISPAT PVT LTD","VRKP",IF(IF(IF(ISNUMBER(SEARCH("Party Name:-",'R.M Billets Reports'!D1812)),TRIM('R.M Billets Reports'!F1812),IF(ISNUMBER(SEARCH("Party Name-",'R.M Billets Reports'!D1812)),TRIM(MID('R.M Billets Reports'!D1812,SEARCH("-",'R.M Billets Reports'!D1812)+1,200)),""))&lt;&gt;"",IF(ISNUMBER(SEARCH("Party Name:-",'R.M Billets Reports'!D1812)),TRIM('R.M Billets Reports'!F1812),IF(ISNUMBER(SEARCH("Party Name-",'R.M Billets Reports'!D1812)),TRIM(MID('R.M Billets Reports'!D1812,SEARCH("-",'R.M Billets Reports'!D1812)+1,200)),"")),IF(ISNUMBER(SEARCH("Party Name:-",'R.M Billets Reports'!D1813)),TRIM('R.M Billets Reports'!F1813),IF(ISNUMBER(SEARCH("Party Name-",'R.M Billets Reports'!D1813)),TRIM(MID('R.M Billets Reports'!D1813,SEARCH("-",'R.M Billets Reports'!D1813)+1,200)),"")))="SHRI RADHE","SHREE RADHE",IF(IF(IF(ISNUMBER(SEARCH("Party Name:-",'R.M Billets Reports'!D1812)),TRIM('R.M Billets Reports'!F1812),IF(ISNUMBER(SEARCH("Party Name-",'R.M Billets Reports'!D1812)),TRIM(MID('R.M Billets Reports'!D1812,SEARCH("-",'R.M Billets Reports'!D1812)+1,200)),""))&lt;&gt;"",IF(ISNUMBER(SEARCH("Party Name:-",'R.M Billets Reports'!D1812)),TRIM('R.M Billets Reports'!F1812),IF(ISNUMBER(SEARCH("Party Name-",'R.M Billets Reports'!D1812)),TRIM(MID('R.M Billets Reports'!D1812,SEARCH("-",'R.M Billets Reports'!D1812)+1,200)),"")),IF(ISNUMBER(SEARCH("Party Name:-",'R.M Billets Reports'!D1813)),TRIM('R.M Billets Reports'!F1813),IF(ISNUMBER(SEARCH("Party Name-",'R.M Billets Reports'!D1813)),TRIM(MID('R.M Billets Reports'!D1813,SEARCH("-",'R.M Billets Reports'!D1813)+1,200)),"")))="SHREE RADHE SHAKTI SPONGE AND POWER PVT. LTD.","SHREE RADHE",IF(IF(ISNUMBER(SEARCH("Party Name:-",'R.M Billets Reports'!D1812)),TRIM('R.M Billets Reports'!F1812),IF(ISNUMBER(SEARCH("Party Name-",'R.M Billets Reports'!D1812)),TRIM(MID('R.M Billets Reports'!D1812,SEARCH("-",'R.M Billets Reports'!D1812)+1,200)),""))&lt;&gt;"",IF(ISNUMBER(SEARCH("Party Name:-",'R.M Billets Reports'!D1812)),TRIM('R.M Billets Reports'!F1812),IF(ISNUMBER(SEARCH("Party Name-",'R.M Billets Reports'!D1812)),TRIM(MID('R.M Billets Reports'!D1812,SEARCH("-",'R.M Billets Reports'!D1812)+1,200)),"")),IF(ISNUMBER(SEARCH("Party Name:-",'R.M Billets Reports'!D1813)),TRIM('R.M Billets Reports'!F1813),IF(ISNUMBER(SEARCH("Party Name-",'R.M Billets Reports'!D1813)),TRIM(MID('R.M Billets Reports'!D1813,SEARCH("-",'R.M Billets Reports'!D1813)+1,200)),"")))))),IF(ROW()=2,"",A1812))</f>
      </c>
      <c r="B1813">
        <f>IF(OR('R.M Billets Reports'!A1812="Date-",'R.M Billets Reports'!A1812="Date:-"),'R.M Billets Reports'!B1812,IF(ROW()=2,"",B1812))</f>
      </c>
      <c r="C1813">
        <f>IF('R.M Billets Reports'!A1812="V.No.",'R.M Billets Reports'!B1812,IF(ROW()=2,"",C1812))</f>
      </c>
      <c r="D1813">
        <f>IF('R.M Billets Reports'!A1812&lt;&gt;"",'R.M Billets Reports'!A1812,IF(ROW()=2,"",D1812))</f>
      </c>
      <c r="E1813">
        <f>IF('R.M Billets Reports'!B1812="","",TRIM('R.M Billets Reports'!B1812))</f>
      </c>
      <c r="F1813">
        <f>'R.M Billets Reports'!C1812</f>
      </c>
      <c r="G1813">
        <f>'R.M Billets Reports'!D1812</f>
      </c>
      <c r="H1813">
        <f>'R.M Billets Reports'!E1812</f>
      </c>
      <c r="I1813">
        <f>'R.M Billets Reports'!F1812</f>
      </c>
      <c r="J1813">
        <f>'R.M Billets Reports'!G1812</f>
      </c>
      <c r="K1813">
        <f>'R.M Billets Reports'!H1812</f>
      </c>
      <c r="L1813">
        <f>IF('R.M Billets Reports'!I1812="","",'R.M Billets Reports'!I1812)</f>
      </c>
      <c r="M1813">
        <f t="shared" si="56"/>
      </c>
      <c r="N1813">
        <f>IF('R.M Billets Reports'!J1812="","",'R.M Billets Reports'!J1812)</f>
      </c>
      <c r="O1813">
        <f t="shared" si="57"/>
      </c>
      <c r="P1813">
        <f>IF('R.M Billets Reports'!A1812="SIZE",'R.M Billets Reports'!B1812,P1812)</f>
      </c>
    </row>
    <row r="1814" spans="1:16" x14ac:dyDescent="0.25">
      <c r="A1814">
        <f>IF(OR('R.M Billets Reports'!A1813="Date-",'R.M Billets Reports'!A1813="Date:-"),IF(IF(IF(ISNUMBER(SEARCH("Party Name:-",'R.M Billets Reports'!D1813)),TRIM('R.M Billets Reports'!F1813),IF(ISNUMBER(SEARCH("Party Name-",'R.M Billets Reports'!D1813)),TRIM(MID('R.M Billets Reports'!D1813,SEARCH("-",'R.M Billets Reports'!D1813)+1,200)),""))&lt;&gt;"",IF(ISNUMBER(SEARCH("Party Name:-",'R.M Billets Reports'!D1813)),TRIM('R.M Billets Reports'!F1813),IF(ISNUMBER(SEARCH("Party Name-",'R.M Billets Reports'!D1813)),TRIM(MID('R.M Billets Reports'!D1813,SEARCH("-",'R.M Billets Reports'!D1813)+1,200)),"")),IF(ISNUMBER(SEARCH("Party Name:-",'R.M Billets Reports'!D1814)),TRIM('R.M Billets Reports'!F1814),IF(ISNUMBER(SEARCH("Party Name-",'R.M Billets Reports'!D1814)),TRIM(MID('R.M Billets Reports'!D1814,SEARCH("-",'R.M Billets Reports'!D1814)+1,200)),"")))="VRKP ISPAT PVT LTD","VRKP",IF(IF(IF(ISNUMBER(SEARCH("Party Name:-",'R.M Billets Reports'!D1813)),TRIM('R.M Billets Reports'!F1813),IF(ISNUMBER(SEARCH("Party Name-",'R.M Billets Reports'!D1813)),TRIM(MID('R.M Billets Reports'!D1813,SEARCH("-",'R.M Billets Reports'!D1813)+1,200)),""))&lt;&gt;"",IF(ISNUMBER(SEARCH("Party Name:-",'R.M Billets Reports'!D1813)),TRIM('R.M Billets Reports'!F1813),IF(ISNUMBER(SEARCH("Party Name-",'R.M Billets Reports'!D1813)),TRIM(MID('R.M Billets Reports'!D1813,SEARCH("-",'R.M Billets Reports'!D1813)+1,200)),"")),IF(ISNUMBER(SEARCH("Party Name:-",'R.M Billets Reports'!D1814)),TRIM('R.M Billets Reports'!F1814),IF(ISNUMBER(SEARCH("Party Name-",'R.M Billets Reports'!D1814)),TRIM(MID('R.M Billets Reports'!D1814,SEARCH("-",'R.M Billets Reports'!D1814)+1,200)),"")))="SHRI RADHE","SHREE RADHE",IF(IF(IF(ISNUMBER(SEARCH("Party Name:-",'R.M Billets Reports'!D1813)),TRIM('R.M Billets Reports'!F1813),IF(ISNUMBER(SEARCH("Party Name-",'R.M Billets Reports'!D1813)),TRIM(MID('R.M Billets Reports'!D1813,SEARCH("-",'R.M Billets Reports'!D1813)+1,200)),""))&lt;&gt;"",IF(ISNUMBER(SEARCH("Party Name:-",'R.M Billets Reports'!D1813)),TRIM('R.M Billets Reports'!F1813),IF(ISNUMBER(SEARCH("Party Name-",'R.M Billets Reports'!D1813)),TRIM(MID('R.M Billets Reports'!D1813,SEARCH("-",'R.M Billets Reports'!D1813)+1,200)),"")),IF(ISNUMBER(SEARCH("Party Name:-",'R.M Billets Reports'!D1814)),TRIM('R.M Billets Reports'!F1814),IF(ISNUMBER(SEARCH("Party Name-",'R.M Billets Reports'!D1814)),TRIM(MID('R.M Billets Reports'!D1814,SEARCH("-",'R.M Billets Reports'!D1814)+1,200)),"")))="SHREE RADHE SHAKTI SPONGE AND POWER PVT. LTD.","SHREE RADHE",IF(IF(ISNUMBER(SEARCH("Party Name:-",'R.M Billets Reports'!D1813)),TRIM('R.M Billets Reports'!F1813),IF(ISNUMBER(SEARCH("Party Name-",'R.M Billets Reports'!D1813)),TRIM(MID('R.M Billets Reports'!D1813,SEARCH("-",'R.M Billets Reports'!D1813)+1,200)),""))&lt;&gt;"",IF(ISNUMBER(SEARCH("Party Name:-",'R.M Billets Reports'!D1813)),TRIM('R.M Billets Reports'!F1813),IF(ISNUMBER(SEARCH("Party Name-",'R.M Billets Reports'!D1813)),TRIM(MID('R.M Billets Reports'!D1813,SEARCH("-",'R.M Billets Reports'!D1813)+1,200)),"")),IF(ISNUMBER(SEARCH("Party Name:-",'R.M Billets Reports'!D1814)),TRIM('R.M Billets Reports'!F1814),IF(ISNUMBER(SEARCH("Party Name-",'R.M Billets Reports'!D1814)),TRIM(MID('R.M Billets Reports'!D1814,SEARCH("-",'R.M Billets Reports'!D1814)+1,200)),"")))))),IF(ROW()=2,"",A1813))</f>
      </c>
      <c r="B1814">
        <f>IF(OR('R.M Billets Reports'!A1813="Date-",'R.M Billets Reports'!A1813="Date:-"),'R.M Billets Reports'!B1813,IF(ROW()=2,"",B1813))</f>
      </c>
      <c r="C1814">
        <f>IF('R.M Billets Reports'!A1813="V.No.",'R.M Billets Reports'!B1813,IF(ROW()=2,"",C1813))</f>
      </c>
      <c r="D1814">
        <f>IF('R.M Billets Reports'!A1813&lt;&gt;"",'R.M Billets Reports'!A1813,IF(ROW()=2,"",D1813))</f>
      </c>
      <c r="E1814">
        <f>IF('R.M Billets Reports'!B1813="","",TRIM('R.M Billets Reports'!B1813))</f>
      </c>
      <c r="F1814">
        <f>'R.M Billets Reports'!C1813</f>
      </c>
      <c r="G1814">
        <f>'R.M Billets Reports'!D1813</f>
      </c>
      <c r="H1814">
        <f>'R.M Billets Reports'!E1813</f>
      </c>
      <c r="I1814">
        <f>'R.M Billets Reports'!F1813</f>
      </c>
      <c r="J1814">
        <f>'R.M Billets Reports'!G1813</f>
      </c>
      <c r="K1814">
        <f>'R.M Billets Reports'!H1813</f>
      </c>
      <c r="L1814">
        <f>IF('R.M Billets Reports'!I1813="","",'R.M Billets Reports'!I1813)</f>
      </c>
      <c r="M1814">
        <f t="shared" si="56"/>
      </c>
      <c r="N1814">
        <f>IF('R.M Billets Reports'!J1813="","",'R.M Billets Reports'!J1813)</f>
      </c>
      <c r="O1814">
        <f t="shared" si="57"/>
      </c>
      <c r="P1814">
        <f>IF('R.M Billets Reports'!A1813="SIZE",'R.M Billets Reports'!B1813,P1813)</f>
      </c>
    </row>
    <row r="1815" spans="1:16" x14ac:dyDescent="0.25">
      <c r="A1815">
        <f>IF(OR('R.M Billets Reports'!A1814="Date-",'R.M Billets Reports'!A1814="Date:-"),IF(IF(IF(ISNUMBER(SEARCH("Party Name:-",'R.M Billets Reports'!D1814)),TRIM('R.M Billets Reports'!F1814),IF(ISNUMBER(SEARCH("Party Name-",'R.M Billets Reports'!D1814)),TRIM(MID('R.M Billets Reports'!D1814,SEARCH("-",'R.M Billets Reports'!D1814)+1,200)),""))&lt;&gt;"",IF(ISNUMBER(SEARCH("Party Name:-",'R.M Billets Reports'!D1814)),TRIM('R.M Billets Reports'!F1814),IF(ISNUMBER(SEARCH("Party Name-",'R.M Billets Reports'!D1814)),TRIM(MID('R.M Billets Reports'!D1814,SEARCH("-",'R.M Billets Reports'!D1814)+1,200)),"")),IF(ISNUMBER(SEARCH("Party Name:-",'R.M Billets Reports'!D1815)),TRIM('R.M Billets Reports'!F1815),IF(ISNUMBER(SEARCH("Party Name-",'R.M Billets Reports'!D1815)),TRIM(MID('R.M Billets Reports'!D1815,SEARCH("-",'R.M Billets Reports'!D1815)+1,200)),"")))="VRKP ISPAT PVT LTD","VRKP",IF(IF(IF(ISNUMBER(SEARCH("Party Name:-",'R.M Billets Reports'!D1814)),TRIM('R.M Billets Reports'!F1814),IF(ISNUMBER(SEARCH("Party Name-",'R.M Billets Reports'!D1814)),TRIM(MID('R.M Billets Reports'!D1814,SEARCH("-",'R.M Billets Reports'!D1814)+1,200)),""))&lt;&gt;"",IF(ISNUMBER(SEARCH("Party Name:-",'R.M Billets Reports'!D1814)),TRIM('R.M Billets Reports'!F1814),IF(ISNUMBER(SEARCH("Party Name-",'R.M Billets Reports'!D1814)),TRIM(MID('R.M Billets Reports'!D1814,SEARCH("-",'R.M Billets Reports'!D1814)+1,200)),"")),IF(ISNUMBER(SEARCH("Party Name:-",'R.M Billets Reports'!D1815)),TRIM('R.M Billets Reports'!F1815),IF(ISNUMBER(SEARCH("Party Name-",'R.M Billets Reports'!D1815)),TRIM(MID('R.M Billets Reports'!D1815,SEARCH("-",'R.M Billets Reports'!D1815)+1,200)),"")))="SHRI RADHE","SHREE RADHE",IF(IF(IF(ISNUMBER(SEARCH("Party Name:-",'R.M Billets Reports'!D1814)),TRIM('R.M Billets Reports'!F1814),IF(ISNUMBER(SEARCH("Party Name-",'R.M Billets Reports'!D1814)),TRIM(MID('R.M Billets Reports'!D1814,SEARCH("-",'R.M Billets Reports'!D1814)+1,200)),""))&lt;&gt;"",IF(ISNUMBER(SEARCH("Party Name:-",'R.M Billets Reports'!D1814)),TRIM('R.M Billets Reports'!F1814),IF(ISNUMBER(SEARCH("Party Name-",'R.M Billets Reports'!D1814)),TRIM(MID('R.M Billets Reports'!D1814,SEARCH("-",'R.M Billets Reports'!D1814)+1,200)),"")),IF(ISNUMBER(SEARCH("Party Name:-",'R.M Billets Reports'!D1815)),TRIM('R.M Billets Reports'!F1815),IF(ISNUMBER(SEARCH("Party Name-",'R.M Billets Reports'!D1815)),TRIM(MID('R.M Billets Reports'!D1815,SEARCH("-",'R.M Billets Reports'!D1815)+1,200)),"")))="SHREE RADHE SHAKTI SPONGE AND POWER PVT. LTD.","SHREE RADHE",IF(IF(ISNUMBER(SEARCH("Party Name:-",'R.M Billets Reports'!D1814)),TRIM('R.M Billets Reports'!F1814),IF(ISNUMBER(SEARCH("Party Name-",'R.M Billets Reports'!D1814)),TRIM(MID('R.M Billets Reports'!D1814,SEARCH("-",'R.M Billets Reports'!D1814)+1,200)),""))&lt;&gt;"",IF(ISNUMBER(SEARCH("Party Name:-",'R.M Billets Reports'!D1814)),TRIM('R.M Billets Reports'!F1814),IF(ISNUMBER(SEARCH("Party Name-",'R.M Billets Reports'!D1814)),TRIM(MID('R.M Billets Reports'!D1814,SEARCH("-",'R.M Billets Reports'!D1814)+1,200)),"")),IF(ISNUMBER(SEARCH("Party Name:-",'R.M Billets Reports'!D1815)),TRIM('R.M Billets Reports'!F1815),IF(ISNUMBER(SEARCH("Party Name-",'R.M Billets Reports'!D1815)),TRIM(MID('R.M Billets Reports'!D1815,SEARCH("-",'R.M Billets Reports'!D1815)+1,200)),"")))))),IF(ROW()=2,"",A1814))</f>
      </c>
      <c r="B1815">
        <f>IF(OR('R.M Billets Reports'!A1814="Date-",'R.M Billets Reports'!A1814="Date:-"),'R.M Billets Reports'!B1814,IF(ROW()=2,"",B1814))</f>
      </c>
      <c r="C1815">
        <f>IF('R.M Billets Reports'!A1814="V.No.",'R.M Billets Reports'!B1814,IF(ROW()=2,"",C1814))</f>
      </c>
      <c r="D1815">
        <f>IF('R.M Billets Reports'!A1814&lt;&gt;"",'R.M Billets Reports'!A1814,IF(ROW()=2,"",D1814))</f>
      </c>
      <c r="E1815">
        <f>IF('R.M Billets Reports'!B1814="","",TRIM('R.M Billets Reports'!B1814))</f>
      </c>
      <c r="F1815">
        <f>'R.M Billets Reports'!C1814</f>
      </c>
      <c r="G1815">
        <f>'R.M Billets Reports'!D1814</f>
      </c>
      <c r="H1815">
        <f>'R.M Billets Reports'!E1814</f>
      </c>
      <c r="I1815">
        <f>'R.M Billets Reports'!F1814</f>
      </c>
      <c r="J1815">
        <f>'R.M Billets Reports'!G1814</f>
      </c>
      <c r="K1815">
        <f>'R.M Billets Reports'!H1814</f>
      </c>
      <c r="L1815">
        <f>IF('R.M Billets Reports'!I1814="","",'R.M Billets Reports'!I1814)</f>
      </c>
      <c r="M1815">
        <f t="shared" si="56"/>
      </c>
      <c r="N1815">
        <f>IF('R.M Billets Reports'!J1814="","",'R.M Billets Reports'!J1814)</f>
      </c>
      <c r="O1815">
        <f t="shared" si="57"/>
      </c>
      <c r="P1815">
        <f>IF('R.M Billets Reports'!A1814="SIZE",'R.M Billets Reports'!B1814,P1814)</f>
      </c>
    </row>
    <row r="1816" spans="1:16" x14ac:dyDescent="0.25">
      <c r="A1816">
        <f>IF(OR('R.M Billets Reports'!A1815="Date-",'R.M Billets Reports'!A1815="Date:-"),IF(IF(IF(ISNUMBER(SEARCH("Party Name:-",'R.M Billets Reports'!D1815)),TRIM('R.M Billets Reports'!F1815),IF(ISNUMBER(SEARCH("Party Name-",'R.M Billets Reports'!D1815)),TRIM(MID('R.M Billets Reports'!D1815,SEARCH("-",'R.M Billets Reports'!D1815)+1,200)),""))&lt;&gt;"",IF(ISNUMBER(SEARCH("Party Name:-",'R.M Billets Reports'!D1815)),TRIM('R.M Billets Reports'!F1815),IF(ISNUMBER(SEARCH("Party Name-",'R.M Billets Reports'!D1815)),TRIM(MID('R.M Billets Reports'!D1815,SEARCH("-",'R.M Billets Reports'!D1815)+1,200)),"")),IF(ISNUMBER(SEARCH("Party Name:-",'R.M Billets Reports'!D1816)),TRIM('R.M Billets Reports'!F1816),IF(ISNUMBER(SEARCH("Party Name-",'R.M Billets Reports'!D1816)),TRIM(MID('R.M Billets Reports'!D1816,SEARCH("-",'R.M Billets Reports'!D1816)+1,200)),"")))="VRKP ISPAT PVT LTD","VRKP",IF(IF(IF(ISNUMBER(SEARCH("Party Name:-",'R.M Billets Reports'!D1815)),TRIM('R.M Billets Reports'!F1815),IF(ISNUMBER(SEARCH("Party Name-",'R.M Billets Reports'!D1815)),TRIM(MID('R.M Billets Reports'!D1815,SEARCH("-",'R.M Billets Reports'!D1815)+1,200)),""))&lt;&gt;"",IF(ISNUMBER(SEARCH("Party Name:-",'R.M Billets Reports'!D1815)),TRIM('R.M Billets Reports'!F1815),IF(ISNUMBER(SEARCH("Party Name-",'R.M Billets Reports'!D1815)),TRIM(MID('R.M Billets Reports'!D1815,SEARCH("-",'R.M Billets Reports'!D1815)+1,200)),"")),IF(ISNUMBER(SEARCH("Party Name:-",'R.M Billets Reports'!D1816)),TRIM('R.M Billets Reports'!F1816),IF(ISNUMBER(SEARCH("Party Name-",'R.M Billets Reports'!D1816)),TRIM(MID('R.M Billets Reports'!D1816,SEARCH("-",'R.M Billets Reports'!D1816)+1,200)),"")))="SHRI RADHE","SHREE RADHE",IF(IF(IF(ISNUMBER(SEARCH("Party Name:-",'R.M Billets Reports'!D1815)),TRIM('R.M Billets Reports'!F1815),IF(ISNUMBER(SEARCH("Party Name-",'R.M Billets Reports'!D1815)),TRIM(MID('R.M Billets Reports'!D1815,SEARCH("-",'R.M Billets Reports'!D1815)+1,200)),""))&lt;&gt;"",IF(ISNUMBER(SEARCH("Party Name:-",'R.M Billets Reports'!D1815)),TRIM('R.M Billets Reports'!F1815),IF(ISNUMBER(SEARCH("Party Name-",'R.M Billets Reports'!D1815)),TRIM(MID('R.M Billets Reports'!D1815,SEARCH("-",'R.M Billets Reports'!D1815)+1,200)),"")),IF(ISNUMBER(SEARCH("Party Name:-",'R.M Billets Reports'!D1816)),TRIM('R.M Billets Reports'!F1816),IF(ISNUMBER(SEARCH("Party Name-",'R.M Billets Reports'!D1816)),TRIM(MID('R.M Billets Reports'!D1816,SEARCH("-",'R.M Billets Reports'!D1816)+1,200)),"")))="SHREE RADHE SHAKTI SPONGE AND POWER PVT. LTD.","SHREE RADHE",IF(IF(ISNUMBER(SEARCH("Party Name:-",'R.M Billets Reports'!D1815)),TRIM('R.M Billets Reports'!F1815),IF(ISNUMBER(SEARCH("Party Name-",'R.M Billets Reports'!D1815)),TRIM(MID('R.M Billets Reports'!D1815,SEARCH("-",'R.M Billets Reports'!D1815)+1,200)),""))&lt;&gt;"",IF(ISNUMBER(SEARCH("Party Name:-",'R.M Billets Reports'!D1815)),TRIM('R.M Billets Reports'!F1815),IF(ISNUMBER(SEARCH("Party Name-",'R.M Billets Reports'!D1815)),TRIM(MID('R.M Billets Reports'!D1815,SEARCH("-",'R.M Billets Reports'!D1815)+1,200)),"")),IF(ISNUMBER(SEARCH("Party Name:-",'R.M Billets Reports'!D1816)),TRIM('R.M Billets Reports'!F1816),IF(ISNUMBER(SEARCH("Party Name-",'R.M Billets Reports'!D1816)),TRIM(MID('R.M Billets Reports'!D1816,SEARCH("-",'R.M Billets Reports'!D1816)+1,200)),"")))))),IF(ROW()=2,"",A1815))</f>
      </c>
      <c r="B1816">
        <f>IF(OR('R.M Billets Reports'!A1815="Date-",'R.M Billets Reports'!A1815="Date:-"),'R.M Billets Reports'!B1815,IF(ROW()=2,"",B1815))</f>
      </c>
      <c r="C1816">
        <f>IF('R.M Billets Reports'!A1815="V.No.",'R.M Billets Reports'!B1815,IF(ROW()=2,"",C1815))</f>
      </c>
      <c r="D1816">
        <f>IF('R.M Billets Reports'!A1815&lt;&gt;"",'R.M Billets Reports'!A1815,IF(ROW()=2,"",D1815))</f>
      </c>
      <c r="E1816">
        <f>IF('R.M Billets Reports'!B1815="","",TRIM('R.M Billets Reports'!B1815))</f>
      </c>
      <c r="F1816">
        <f>'R.M Billets Reports'!C1815</f>
      </c>
      <c r="G1816">
        <f>'R.M Billets Reports'!D1815</f>
      </c>
      <c r="H1816">
        <f>'R.M Billets Reports'!E1815</f>
      </c>
      <c r="I1816">
        <f>'R.M Billets Reports'!F1815</f>
      </c>
      <c r="J1816">
        <f>'R.M Billets Reports'!G1815</f>
      </c>
      <c r="K1816">
        <f>'R.M Billets Reports'!H1815</f>
      </c>
      <c r="L1816">
        <f>IF('R.M Billets Reports'!I1815="","",'R.M Billets Reports'!I1815)</f>
      </c>
      <c r="M1816">
        <f t="shared" si="56"/>
      </c>
      <c r="N1816">
        <f>IF('R.M Billets Reports'!J1815="","",'R.M Billets Reports'!J1815)</f>
      </c>
      <c r="O1816">
        <f t="shared" si="57"/>
      </c>
      <c r="P1816">
        <f>IF('R.M Billets Reports'!A1815="SIZE",'R.M Billets Reports'!B1815,P1815)</f>
      </c>
    </row>
    <row r="1817" spans="1:16" x14ac:dyDescent="0.25">
      <c r="A1817">
        <f>IF(OR('R.M Billets Reports'!A1816="Date-",'R.M Billets Reports'!A1816="Date:-"),IF(IF(IF(ISNUMBER(SEARCH("Party Name:-",'R.M Billets Reports'!D1816)),TRIM('R.M Billets Reports'!F1816),IF(ISNUMBER(SEARCH("Party Name-",'R.M Billets Reports'!D1816)),TRIM(MID('R.M Billets Reports'!D1816,SEARCH("-",'R.M Billets Reports'!D1816)+1,200)),""))&lt;&gt;"",IF(ISNUMBER(SEARCH("Party Name:-",'R.M Billets Reports'!D1816)),TRIM('R.M Billets Reports'!F1816),IF(ISNUMBER(SEARCH("Party Name-",'R.M Billets Reports'!D1816)),TRIM(MID('R.M Billets Reports'!D1816,SEARCH("-",'R.M Billets Reports'!D1816)+1,200)),"")),IF(ISNUMBER(SEARCH("Party Name:-",'R.M Billets Reports'!D1817)),TRIM('R.M Billets Reports'!F1817),IF(ISNUMBER(SEARCH("Party Name-",'R.M Billets Reports'!D1817)),TRIM(MID('R.M Billets Reports'!D1817,SEARCH("-",'R.M Billets Reports'!D1817)+1,200)),"")))="VRKP ISPAT PVT LTD","VRKP",IF(IF(IF(ISNUMBER(SEARCH("Party Name:-",'R.M Billets Reports'!D1816)),TRIM('R.M Billets Reports'!F1816),IF(ISNUMBER(SEARCH("Party Name-",'R.M Billets Reports'!D1816)),TRIM(MID('R.M Billets Reports'!D1816,SEARCH("-",'R.M Billets Reports'!D1816)+1,200)),""))&lt;&gt;"",IF(ISNUMBER(SEARCH("Party Name:-",'R.M Billets Reports'!D1816)),TRIM('R.M Billets Reports'!F1816),IF(ISNUMBER(SEARCH("Party Name-",'R.M Billets Reports'!D1816)),TRIM(MID('R.M Billets Reports'!D1816,SEARCH("-",'R.M Billets Reports'!D1816)+1,200)),"")),IF(ISNUMBER(SEARCH("Party Name:-",'R.M Billets Reports'!D1817)),TRIM('R.M Billets Reports'!F1817),IF(ISNUMBER(SEARCH("Party Name-",'R.M Billets Reports'!D1817)),TRIM(MID('R.M Billets Reports'!D1817,SEARCH("-",'R.M Billets Reports'!D1817)+1,200)),"")))="SHRI RADHE","SHREE RADHE",IF(IF(IF(ISNUMBER(SEARCH("Party Name:-",'R.M Billets Reports'!D1816)),TRIM('R.M Billets Reports'!F1816),IF(ISNUMBER(SEARCH("Party Name-",'R.M Billets Reports'!D1816)),TRIM(MID('R.M Billets Reports'!D1816,SEARCH("-",'R.M Billets Reports'!D1816)+1,200)),""))&lt;&gt;"",IF(ISNUMBER(SEARCH("Party Name:-",'R.M Billets Reports'!D1816)),TRIM('R.M Billets Reports'!F1816),IF(ISNUMBER(SEARCH("Party Name-",'R.M Billets Reports'!D1816)),TRIM(MID('R.M Billets Reports'!D1816,SEARCH("-",'R.M Billets Reports'!D1816)+1,200)),"")),IF(ISNUMBER(SEARCH("Party Name:-",'R.M Billets Reports'!D1817)),TRIM('R.M Billets Reports'!F1817),IF(ISNUMBER(SEARCH("Party Name-",'R.M Billets Reports'!D1817)),TRIM(MID('R.M Billets Reports'!D1817,SEARCH("-",'R.M Billets Reports'!D1817)+1,200)),"")))="SHREE RADHE SHAKTI SPONGE AND POWER PVT. LTD.","SHREE RADHE",IF(IF(ISNUMBER(SEARCH("Party Name:-",'R.M Billets Reports'!D1816)),TRIM('R.M Billets Reports'!F1816),IF(ISNUMBER(SEARCH("Party Name-",'R.M Billets Reports'!D1816)),TRIM(MID('R.M Billets Reports'!D1816,SEARCH("-",'R.M Billets Reports'!D1816)+1,200)),""))&lt;&gt;"",IF(ISNUMBER(SEARCH("Party Name:-",'R.M Billets Reports'!D1816)),TRIM('R.M Billets Reports'!F1816),IF(ISNUMBER(SEARCH("Party Name-",'R.M Billets Reports'!D1816)),TRIM(MID('R.M Billets Reports'!D1816,SEARCH("-",'R.M Billets Reports'!D1816)+1,200)),"")),IF(ISNUMBER(SEARCH("Party Name:-",'R.M Billets Reports'!D1817)),TRIM('R.M Billets Reports'!F1817),IF(ISNUMBER(SEARCH("Party Name-",'R.M Billets Reports'!D1817)),TRIM(MID('R.M Billets Reports'!D1817,SEARCH("-",'R.M Billets Reports'!D1817)+1,200)),"")))))),IF(ROW()=2,"",A1816))</f>
      </c>
      <c r="B1817">
        <f>IF(OR('R.M Billets Reports'!A1816="Date-",'R.M Billets Reports'!A1816="Date:-"),'R.M Billets Reports'!B1816,IF(ROW()=2,"",B1816))</f>
      </c>
      <c r="C1817">
        <f>IF('R.M Billets Reports'!A1816="V.No.",'R.M Billets Reports'!B1816,IF(ROW()=2,"",C1816))</f>
      </c>
      <c r="D1817">
        <f>IF('R.M Billets Reports'!A1816&lt;&gt;"",'R.M Billets Reports'!A1816,IF(ROW()=2,"",D1816))</f>
      </c>
      <c r="E1817">
        <f>IF('R.M Billets Reports'!B1816="","",TRIM('R.M Billets Reports'!B1816))</f>
      </c>
      <c r="F1817">
        <f>'R.M Billets Reports'!C1816</f>
      </c>
      <c r="G1817">
        <f>'R.M Billets Reports'!D1816</f>
      </c>
      <c r="H1817">
        <f>'R.M Billets Reports'!E1816</f>
      </c>
      <c r="I1817">
        <f>'R.M Billets Reports'!F1816</f>
      </c>
      <c r="J1817">
        <f>'R.M Billets Reports'!G1816</f>
      </c>
      <c r="K1817">
        <f>'R.M Billets Reports'!H1816</f>
      </c>
      <c r="L1817">
        <f>IF('R.M Billets Reports'!I1816="","",'R.M Billets Reports'!I1816)</f>
      </c>
      <c r="M1817">
        <f t="shared" si="56"/>
      </c>
      <c r="N1817">
        <f>IF('R.M Billets Reports'!J1816="","",'R.M Billets Reports'!J1816)</f>
      </c>
      <c r="O1817">
        <f t="shared" si="57"/>
      </c>
      <c r="P1817">
        <f>IF('R.M Billets Reports'!A1816="SIZE",'R.M Billets Reports'!B1816,P1816)</f>
      </c>
    </row>
    <row r="1818" spans="1:16" x14ac:dyDescent="0.25">
      <c r="A1818">
        <f>IF(OR('R.M Billets Reports'!A1817="Date-",'R.M Billets Reports'!A1817="Date:-"),IF(IF(IF(ISNUMBER(SEARCH("Party Name:-",'R.M Billets Reports'!D1817)),TRIM('R.M Billets Reports'!F1817),IF(ISNUMBER(SEARCH("Party Name-",'R.M Billets Reports'!D1817)),TRIM(MID('R.M Billets Reports'!D1817,SEARCH("-",'R.M Billets Reports'!D1817)+1,200)),""))&lt;&gt;"",IF(ISNUMBER(SEARCH("Party Name:-",'R.M Billets Reports'!D1817)),TRIM('R.M Billets Reports'!F1817),IF(ISNUMBER(SEARCH("Party Name-",'R.M Billets Reports'!D1817)),TRIM(MID('R.M Billets Reports'!D1817,SEARCH("-",'R.M Billets Reports'!D1817)+1,200)),"")),IF(ISNUMBER(SEARCH("Party Name:-",'R.M Billets Reports'!D1818)),TRIM('R.M Billets Reports'!F1818),IF(ISNUMBER(SEARCH("Party Name-",'R.M Billets Reports'!D1818)),TRIM(MID('R.M Billets Reports'!D1818,SEARCH("-",'R.M Billets Reports'!D1818)+1,200)),"")))="VRKP ISPAT PVT LTD","VRKP",IF(IF(IF(ISNUMBER(SEARCH("Party Name:-",'R.M Billets Reports'!D1817)),TRIM('R.M Billets Reports'!F1817),IF(ISNUMBER(SEARCH("Party Name-",'R.M Billets Reports'!D1817)),TRIM(MID('R.M Billets Reports'!D1817,SEARCH("-",'R.M Billets Reports'!D1817)+1,200)),""))&lt;&gt;"",IF(ISNUMBER(SEARCH("Party Name:-",'R.M Billets Reports'!D1817)),TRIM('R.M Billets Reports'!F1817),IF(ISNUMBER(SEARCH("Party Name-",'R.M Billets Reports'!D1817)),TRIM(MID('R.M Billets Reports'!D1817,SEARCH("-",'R.M Billets Reports'!D1817)+1,200)),"")),IF(ISNUMBER(SEARCH("Party Name:-",'R.M Billets Reports'!D1818)),TRIM('R.M Billets Reports'!F1818),IF(ISNUMBER(SEARCH("Party Name-",'R.M Billets Reports'!D1818)),TRIM(MID('R.M Billets Reports'!D1818,SEARCH("-",'R.M Billets Reports'!D1818)+1,200)),"")))="SHRI RADHE","SHREE RADHE",IF(IF(IF(ISNUMBER(SEARCH("Party Name:-",'R.M Billets Reports'!D1817)),TRIM('R.M Billets Reports'!F1817),IF(ISNUMBER(SEARCH("Party Name-",'R.M Billets Reports'!D1817)),TRIM(MID('R.M Billets Reports'!D1817,SEARCH("-",'R.M Billets Reports'!D1817)+1,200)),""))&lt;&gt;"",IF(ISNUMBER(SEARCH("Party Name:-",'R.M Billets Reports'!D1817)),TRIM('R.M Billets Reports'!F1817),IF(ISNUMBER(SEARCH("Party Name-",'R.M Billets Reports'!D1817)),TRIM(MID('R.M Billets Reports'!D1817,SEARCH("-",'R.M Billets Reports'!D1817)+1,200)),"")),IF(ISNUMBER(SEARCH("Party Name:-",'R.M Billets Reports'!D1818)),TRIM('R.M Billets Reports'!F1818),IF(ISNUMBER(SEARCH("Party Name-",'R.M Billets Reports'!D1818)),TRIM(MID('R.M Billets Reports'!D1818,SEARCH("-",'R.M Billets Reports'!D1818)+1,200)),"")))="SHREE RADHE SHAKTI SPONGE AND POWER PVT. LTD.","SHREE RADHE",IF(IF(ISNUMBER(SEARCH("Party Name:-",'R.M Billets Reports'!D1817)),TRIM('R.M Billets Reports'!F1817),IF(ISNUMBER(SEARCH("Party Name-",'R.M Billets Reports'!D1817)),TRIM(MID('R.M Billets Reports'!D1817,SEARCH("-",'R.M Billets Reports'!D1817)+1,200)),""))&lt;&gt;"",IF(ISNUMBER(SEARCH("Party Name:-",'R.M Billets Reports'!D1817)),TRIM('R.M Billets Reports'!F1817),IF(ISNUMBER(SEARCH("Party Name-",'R.M Billets Reports'!D1817)),TRIM(MID('R.M Billets Reports'!D1817,SEARCH("-",'R.M Billets Reports'!D1817)+1,200)),"")),IF(ISNUMBER(SEARCH("Party Name:-",'R.M Billets Reports'!D1818)),TRIM('R.M Billets Reports'!F1818),IF(ISNUMBER(SEARCH("Party Name-",'R.M Billets Reports'!D1818)),TRIM(MID('R.M Billets Reports'!D1818,SEARCH("-",'R.M Billets Reports'!D1818)+1,200)),"")))))),IF(ROW()=2,"",A1817))</f>
      </c>
      <c r="B1818">
        <f>IF(OR('R.M Billets Reports'!A1817="Date-",'R.M Billets Reports'!A1817="Date:-"),'R.M Billets Reports'!B1817,IF(ROW()=2,"",B1817))</f>
      </c>
      <c r="C1818">
        <f>IF('R.M Billets Reports'!A1817="V.No.",'R.M Billets Reports'!B1817,IF(ROW()=2,"",C1817))</f>
      </c>
      <c r="D1818">
        <f>IF('R.M Billets Reports'!A1817&lt;&gt;"",'R.M Billets Reports'!A1817,IF(ROW()=2,"",D1817))</f>
      </c>
      <c r="E1818">
        <f>IF('R.M Billets Reports'!B1817="","",TRIM('R.M Billets Reports'!B1817))</f>
      </c>
      <c r="F1818">
        <f>'R.M Billets Reports'!C1817</f>
      </c>
      <c r="G1818">
        <f>'R.M Billets Reports'!D1817</f>
      </c>
      <c r="H1818">
        <f>'R.M Billets Reports'!E1817</f>
      </c>
      <c r="I1818">
        <f>'R.M Billets Reports'!F1817</f>
      </c>
      <c r="J1818">
        <f>'R.M Billets Reports'!G1817</f>
      </c>
      <c r="K1818">
        <f>'R.M Billets Reports'!H1817</f>
      </c>
      <c r="L1818">
        <f>IF('R.M Billets Reports'!I1817="","",'R.M Billets Reports'!I1817)</f>
      </c>
      <c r="M1818">
        <f t="shared" si="56"/>
      </c>
      <c r="N1818">
        <f>IF('R.M Billets Reports'!J1817="","",'R.M Billets Reports'!J1817)</f>
      </c>
      <c r="O1818">
        <f t="shared" si="57"/>
      </c>
      <c r="P1818">
        <f>IF('R.M Billets Reports'!A1817="SIZE",'R.M Billets Reports'!B1817,P1817)</f>
      </c>
    </row>
    <row r="1819" spans="1:16" x14ac:dyDescent="0.25">
      <c r="A1819">
        <f>IF(OR('R.M Billets Reports'!A1818="Date-",'R.M Billets Reports'!A1818="Date:-"),IF(IF(IF(ISNUMBER(SEARCH("Party Name:-",'R.M Billets Reports'!D1818)),TRIM('R.M Billets Reports'!F1818),IF(ISNUMBER(SEARCH("Party Name-",'R.M Billets Reports'!D1818)),TRIM(MID('R.M Billets Reports'!D1818,SEARCH("-",'R.M Billets Reports'!D1818)+1,200)),""))&lt;&gt;"",IF(ISNUMBER(SEARCH("Party Name:-",'R.M Billets Reports'!D1818)),TRIM('R.M Billets Reports'!F1818),IF(ISNUMBER(SEARCH("Party Name-",'R.M Billets Reports'!D1818)),TRIM(MID('R.M Billets Reports'!D1818,SEARCH("-",'R.M Billets Reports'!D1818)+1,200)),"")),IF(ISNUMBER(SEARCH("Party Name:-",'R.M Billets Reports'!D1819)),TRIM('R.M Billets Reports'!F1819),IF(ISNUMBER(SEARCH("Party Name-",'R.M Billets Reports'!D1819)),TRIM(MID('R.M Billets Reports'!D1819,SEARCH("-",'R.M Billets Reports'!D1819)+1,200)),"")))="VRKP ISPAT PVT LTD","VRKP",IF(IF(IF(ISNUMBER(SEARCH("Party Name:-",'R.M Billets Reports'!D1818)),TRIM('R.M Billets Reports'!F1818),IF(ISNUMBER(SEARCH("Party Name-",'R.M Billets Reports'!D1818)),TRIM(MID('R.M Billets Reports'!D1818,SEARCH("-",'R.M Billets Reports'!D1818)+1,200)),""))&lt;&gt;"",IF(ISNUMBER(SEARCH("Party Name:-",'R.M Billets Reports'!D1818)),TRIM('R.M Billets Reports'!F1818),IF(ISNUMBER(SEARCH("Party Name-",'R.M Billets Reports'!D1818)),TRIM(MID('R.M Billets Reports'!D1818,SEARCH("-",'R.M Billets Reports'!D1818)+1,200)),"")),IF(ISNUMBER(SEARCH("Party Name:-",'R.M Billets Reports'!D1819)),TRIM('R.M Billets Reports'!F1819),IF(ISNUMBER(SEARCH("Party Name-",'R.M Billets Reports'!D1819)),TRIM(MID('R.M Billets Reports'!D1819,SEARCH("-",'R.M Billets Reports'!D1819)+1,200)),"")))="SHRI RADHE","SHREE RADHE",IF(IF(IF(ISNUMBER(SEARCH("Party Name:-",'R.M Billets Reports'!D1818)),TRIM('R.M Billets Reports'!F1818),IF(ISNUMBER(SEARCH("Party Name-",'R.M Billets Reports'!D1818)),TRIM(MID('R.M Billets Reports'!D1818,SEARCH("-",'R.M Billets Reports'!D1818)+1,200)),""))&lt;&gt;"",IF(ISNUMBER(SEARCH("Party Name:-",'R.M Billets Reports'!D1818)),TRIM('R.M Billets Reports'!F1818),IF(ISNUMBER(SEARCH("Party Name-",'R.M Billets Reports'!D1818)),TRIM(MID('R.M Billets Reports'!D1818,SEARCH("-",'R.M Billets Reports'!D1818)+1,200)),"")),IF(ISNUMBER(SEARCH("Party Name:-",'R.M Billets Reports'!D1819)),TRIM('R.M Billets Reports'!F1819),IF(ISNUMBER(SEARCH("Party Name-",'R.M Billets Reports'!D1819)),TRIM(MID('R.M Billets Reports'!D1819,SEARCH("-",'R.M Billets Reports'!D1819)+1,200)),"")))="SHREE RADHE SHAKTI SPONGE AND POWER PVT. LTD.","SHREE RADHE",IF(IF(ISNUMBER(SEARCH("Party Name:-",'R.M Billets Reports'!D1818)),TRIM('R.M Billets Reports'!F1818),IF(ISNUMBER(SEARCH("Party Name-",'R.M Billets Reports'!D1818)),TRIM(MID('R.M Billets Reports'!D1818,SEARCH("-",'R.M Billets Reports'!D1818)+1,200)),""))&lt;&gt;"",IF(ISNUMBER(SEARCH("Party Name:-",'R.M Billets Reports'!D1818)),TRIM('R.M Billets Reports'!F1818),IF(ISNUMBER(SEARCH("Party Name-",'R.M Billets Reports'!D1818)),TRIM(MID('R.M Billets Reports'!D1818,SEARCH("-",'R.M Billets Reports'!D1818)+1,200)),"")),IF(ISNUMBER(SEARCH("Party Name:-",'R.M Billets Reports'!D1819)),TRIM('R.M Billets Reports'!F1819),IF(ISNUMBER(SEARCH("Party Name-",'R.M Billets Reports'!D1819)),TRIM(MID('R.M Billets Reports'!D1819,SEARCH("-",'R.M Billets Reports'!D1819)+1,200)),"")))))),IF(ROW()=2,"",A1818))</f>
      </c>
      <c r="B1819">
        <f>IF(OR('R.M Billets Reports'!A1818="Date-",'R.M Billets Reports'!A1818="Date:-"),'R.M Billets Reports'!B1818,IF(ROW()=2,"",B1818))</f>
      </c>
      <c r="C1819">
        <f>IF('R.M Billets Reports'!A1818="V.No.",'R.M Billets Reports'!B1818,IF(ROW()=2,"",C1818))</f>
      </c>
      <c r="D1819">
        <f>IF('R.M Billets Reports'!A1818&lt;&gt;"",'R.M Billets Reports'!A1818,IF(ROW()=2,"",D1818))</f>
      </c>
      <c r="E1819">
        <f>IF('R.M Billets Reports'!B1818="","",TRIM('R.M Billets Reports'!B1818))</f>
      </c>
      <c r="F1819">
        <f>'R.M Billets Reports'!C1818</f>
      </c>
      <c r="G1819">
        <f>'R.M Billets Reports'!D1818</f>
      </c>
      <c r="H1819">
        <f>'R.M Billets Reports'!E1818</f>
      </c>
      <c r="I1819">
        <f>'R.M Billets Reports'!F1818</f>
      </c>
      <c r="J1819">
        <f>'R.M Billets Reports'!G1818</f>
      </c>
      <c r="K1819">
        <f>'R.M Billets Reports'!H1818</f>
      </c>
      <c r="L1819">
        <f>IF('R.M Billets Reports'!I1818="","",'R.M Billets Reports'!I1818)</f>
      </c>
      <c r="M1819">
        <f t="shared" si="56"/>
      </c>
      <c r="N1819">
        <f>IF('R.M Billets Reports'!J1818="","",'R.M Billets Reports'!J1818)</f>
      </c>
      <c r="O1819">
        <f t="shared" si="57"/>
      </c>
      <c r="P1819">
        <f>IF('R.M Billets Reports'!A1818="SIZE",'R.M Billets Reports'!B1818,P1818)</f>
      </c>
    </row>
    <row r="1820" spans="1:16" x14ac:dyDescent="0.25">
      <c r="A1820">
        <f>IF(OR('R.M Billets Reports'!A1819="Date-",'R.M Billets Reports'!A1819="Date:-"),IF(IF(IF(ISNUMBER(SEARCH("Party Name:-",'R.M Billets Reports'!D1819)),TRIM('R.M Billets Reports'!F1819),IF(ISNUMBER(SEARCH("Party Name-",'R.M Billets Reports'!D1819)),TRIM(MID('R.M Billets Reports'!D1819,SEARCH("-",'R.M Billets Reports'!D1819)+1,200)),""))&lt;&gt;"",IF(ISNUMBER(SEARCH("Party Name:-",'R.M Billets Reports'!D1819)),TRIM('R.M Billets Reports'!F1819),IF(ISNUMBER(SEARCH("Party Name-",'R.M Billets Reports'!D1819)),TRIM(MID('R.M Billets Reports'!D1819,SEARCH("-",'R.M Billets Reports'!D1819)+1,200)),"")),IF(ISNUMBER(SEARCH("Party Name:-",'R.M Billets Reports'!D1820)),TRIM('R.M Billets Reports'!F1820),IF(ISNUMBER(SEARCH("Party Name-",'R.M Billets Reports'!D1820)),TRIM(MID('R.M Billets Reports'!D1820,SEARCH("-",'R.M Billets Reports'!D1820)+1,200)),"")))="VRKP ISPAT PVT LTD","VRKP",IF(IF(IF(ISNUMBER(SEARCH("Party Name:-",'R.M Billets Reports'!D1819)),TRIM('R.M Billets Reports'!F1819),IF(ISNUMBER(SEARCH("Party Name-",'R.M Billets Reports'!D1819)),TRIM(MID('R.M Billets Reports'!D1819,SEARCH("-",'R.M Billets Reports'!D1819)+1,200)),""))&lt;&gt;"",IF(ISNUMBER(SEARCH("Party Name:-",'R.M Billets Reports'!D1819)),TRIM('R.M Billets Reports'!F1819),IF(ISNUMBER(SEARCH("Party Name-",'R.M Billets Reports'!D1819)),TRIM(MID('R.M Billets Reports'!D1819,SEARCH("-",'R.M Billets Reports'!D1819)+1,200)),"")),IF(ISNUMBER(SEARCH("Party Name:-",'R.M Billets Reports'!D1820)),TRIM('R.M Billets Reports'!F1820),IF(ISNUMBER(SEARCH("Party Name-",'R.M Billets Reports'!D1820)),TRIM(MID('R.M Billets Reports'!D1820,SEARCH("-",'R.M Billets Reports'!D1820)+1,200)),"")))="SHRI RADHE","SHREE RADHE",IF(IF(IF(ISNUMBER(SEARCH("Party Name:-",'R.M Billets Reports'!D1819)),TRIM('R.M Billets Reports'!F1819),IF(ISNUMBER(SEARCH("Party Name-",'R.M Billets Reports'!D1819)),TRIM(MID('R.M Billets Reports'!D1819,SEARCH("-",'R.M Billets Reports'!D1819)+1,200)),""))&lt;&gt;"",IF(ISNUMBER(SEARCH("Party Name:-",'R.M Billets Reports'!D1819)),TRIM('R.M Billets Reports'!F1819),IF(ISNUMBER(SEARCH("Party Name-",'R.M Billets Reports'!D1819)),TRIM(MID('R.M Billets Reports'!D1819,SEARCH("-",'R.M Billets Reports'!D1819)+1,200)),"")),IF(ISNUMBER(SEARCH("Party Name:-",'R.M Billets Reports'!D1820)),TRIM('R.M Billets Reports'!F1820),IF(ISNUMBER(SEARCH("Party Name-",'R.M Billets Reports'!D1820)),TRIM(MID('R.M Billets Reports'!D1820,SEARCH("-",'R.M Billets Reports'!D1820)+1,200)),"")))="SHREE RADHE SHAKTI SPONGE AND POWER PVT. LTD.","SHREE RADHE",IF(IF(ISNUMBER(SEARCH("Party Name:-",'R.M Billets Reports'!D1819)),TRIM('R.M Billets Reports'!F1819),IF(ISNUMBER(SEARCH("Party Name-",'R.M Billets Reports'!D1819)),TRIM(MID('R.M Billets Reports'!D1819,SEARCH("-",'R.M Billets Reports'!D1819)+1,200)),""))&lt;&gt;"",IF(ISNUMBER(SEARCH("Party Name:-",'R.M Billets Reports'!D1819)),TRIM('R.M Billets Reports'!F1819),IF(ISNUMBER(SEARCH("Party Name-",'R.M Billets Reports'!D1819)),TRIM(MID('R.M Billets Reports'!D1819,SEARCH("-",'R.M Billets Reports'!D1819)+1,200)),"")),IF(ISNUMBER(SEARCH("Party Name:-",'R.M Billets Reports'!D1820)),TRIM('R.M Billets Reports'!F1820),IF(ISNUMBER(SEARCH("Party Name-",'R.M Billets Reports'!D1820)),TRIM(MID('R.M Billets Reports'!D1820,SEARCH("-",'R.M Billets Reports'!D1820)+1,200)),"")))))),IF(ROW()=2,"",A1819))</f>
      </c>
      <c r="B1820">
        <f>IF(OR('R.M Billets Reports'!A1819="Date-",'R.M Billets Reports'!A1819="Date:-"),'R.M Billets Reports'!B1819,IF(ROW()=2,"",B1819))</f>
      </c>
      <c r="C1820">
        <f>IF('R.M Billets Reports'!A1819="V.No.",'R.M Billets Reports'!B1819,IF(ROW()=2,"",C1819))</f>
      </c>
      <c r="D1820">
        <f>IF('R.M Billets Reports'!A1819&lt;&gt;"",'R.M Billets Reports'!A1819,IF(ROW()=2,"",D1819))</f>
      </c>
      <c r="E1820">
        <f>IF('R.M Billets Reports'!B1819="","",TRIM('R.M Billets Reports'!B1819))</f>
      </c>
      <c r="F1820">
        <f>'R.M Billets Reports'!C1819</f>
      </c>
      <c r="G1820">
        <f>'R.M Billets Reports'!D1819</f>
      </c>
      <c r="H1820">
        <f>'R.M Billets Reports'!E1819</f>
      </c>
      <c r="I1820">
        <f>'R.M Billets Reports'!F1819</f>
      </c>
      <c r="J1820">
        <f>'R.M Billets Reports'!G1819</f>
      </c>
      <c r="K1820">
        <f>'R.M Billets Reports'!H1819</f>
      </c>
      <c r="L1820">
        <f>IF('R.M Billets Reports'!I1819="","",'R.M Billets Reports'!I1819)</f>
      </c>
      <c r="M1820">
        <f t="shared" si="56"/>
      </c>
      <c r="N1820">
        <f>IF('R.M Billets Reports'!J1819="","",'R.M Billets Reports'!J1819)</f>
      </c>
      <c r="O1820">
        <f t="shared" si="57"/>
      </c>
      <c r="P1820">
        <f>IF('R.M Billets Reports'!A1819="SIZE",'R.M Billets Reports'!B1819,P1819)</f>
      </c>
    </row>
    <row r="1821" spans="1:16" x14ac:dyDescent="0.25">
      <c r="A1821">
        <f>IF(OR('R.M Billets Reports'!A1820="Date-",'R.M Billets Reports'!A1820="Date:-"),IF(IF(IF(ISNUMBER(SEARCH("Party Name:-",'R.M Billets Reports'!D1820)),TRIM('R.M Billets Reports'!F1820),IF(ISNUMBER(SEARCH("Party Name-",'R.M Billets Reports'!D1820)),TRIM(MID('R.M Billets Reports'!D1820,SEARCH("-",'R.M Billets Reports'!D1820)+1,200)),""))&lt;&gt;"",IF(ISNUMBER(SEARCH("Party Name:-",'R.M Billets Reports'!D1820)),TRIM('R.M Billets Reports'!F1820),IF(ISNUMBER(SEARCH("Party Name-",'R.M Billets Reports'!D1820)),TRIM(MID('R.M Billets Reports'!D1820,SEARCH("-",'R.M Billets Reports'!D1820)+1,200)),"")),IF(ISNUMBER(SEARCH("Party Name:-",'R.M Billets Reports'!D1821)),TRIM('R.M Billets Reports'!F1821),IF(ISNUMBER(SEARCH("Party Name-",'R.M Billets Reports'!D1821)),TRIM(MID('R.M Billets Reports'!D1821,SEARCH("-",'R.M Billets Reports'!D1821)+1,200)),"")))="VRKP ISPAT PVT LTD","VRKP",IF(IF(IF(ISNUMBER(SEARCH("Party Name:-",'R.M Billets Reports'!D1820)),TRIM('R.M Billets Reports'!F1820),IF(ISNUMBER(SEARCH("Party Name-",'R.M Billets Reports'!D1820)),TRIM(MID('R.M Billets Reports'!D1820,SEARCH("-",'R.M Billets Reports'!D1820)+1,200)),""))&lt;&gt;"",IF(ISNUMBER(SEARCH("Party Name:-",'R.M Billets Reports'!D1820)),TRIM('R.M Billets Reports'!F1820),IF(ISNUMBER(SEARCH("Party Name-",'R.M Billets Reports'!D1820)),TRIM(MID('R.M Billets Reports'!D1820,SEARCH("-",'R.M Billets Reports'!D1820)+1,200)),"")),IF(ISNUMBER(SEARCH("Party Name:-",'R.M Billets Reports'!D1821)),TRIM('R.M Billets Reports'!F1821),IF(ISNUMBER(SEARCH("Party Name-",'R.M Billets Reports'!D1821)),TRIM(MID('R.M Billets Reports'!D1821,SEARCH("-",'R.M Billets Reports'!D1821)+1,200)),"")))="SHRI RADHE","SHREE RADHE",IF(IF(IF(ISNUMBER(SEARCH("Party Name:-",'R.M Billets Reports'!D1820)),TRIM('R.M Billets Reports'!F1820),IF(ISNUMBER(SEARCH("Party Name-",'R.M Billets Reports'!D1820)),TRIM(MID('R.M Billets Reports'!D1820,SEARCH("-",'R.M Billets Reports'!D1820)+1,200)),""))&lt;&gt;"",IF(ISNUMBER(SEARCH("Party Name:-",'R.M Billets Reports'!D1820)),TRIM('R.M Billets Reports'!F1820),IF(ISNUMBER(SEARCH("Party Name-",'R.M Billets Reports'!D1820)),TRIM(MID('R.M Billets Reports'!D1820,SEARCH("-",'R.M Billets Reports'!D1820)+1,200)),"")),IF(ISNUMBER(SEARCH("Party Name:-",'R.M Billets Reports'!D1821)),TRIM('R.M Billets Reports'!F1821),IF(ISNUMBER(SEARCH("Party Name-",'R.M Billets Reports'!D1821)),TRIM(MID('R.M Billets Reports'!D1821,SEARCH("-",'R.M Billets Reports'!D1821)+1,200)),"")))="SHREE RADHE SHAKTI SPONGE AND POWER PVT. LTD.","SHREE RADHE",IF(IF(ISNUMBER(SEARCH("Party Name:-",'R.M Billets Reports'!D1820)),TRIM('R.M Billets Reports'!F1820),IF(ISNUMBER(SEARCH("Party Name-",'R.M Billets Reports'!D1820)),TRIM(MID('R.M Billets Reports'!D1820,SEARCH("-",'R.M Billets Reports'!D1820)+1,200)),""))&lt;&gt;"",IF(ISNUMBER(SEARCH("Party Name:-",'R.M Billets Reports'!D1820)),TRIM('R.M Billets Reports'!F1820),IF(ISNUMBER(SEARCH("Party Name-",'R.M Billets Reports'!D1820)),TRIM(MID('R.M Billets Reports'!D1820,SEARCH("-",'R.M Billets Reports'!D1820)+1,200)),"")),IF(ISNUMBER(SEARCH("Party Name:-",'R.M Billets Reports'!D1821)),TRIM('R.M Billets Reports'!F1821),IF(ISNUMBER(SEARCH("Party Name-",'R.M Billets Reports'!D1821)),TRIM(MID('R.M Billets Reports'!D1821,SEARCH("-",'R.M Billets Reports'!D1821)+1,200)),"")))))),IF(ROW()=2,"",A1820))</f>
      </c>
      <c r="B1821">
        <f>IF(OR('R.M Billets Reports'!A1820="Date-",'R.M Billets Reports'!A1820="Date:-"),'R.M Billets Reports'!B1820,IF(ROW()=2,"",B1820))</f>
      </c>
      <c r="C1821">
        <f>IF('R.M Billets Reports'!A1820="V.No.",'R.M Billets Reports'!B1820,IF(ROW()=2,"",C1820))</f>
      </c>
      <c r="D1821">
        <f>IF('R.M Billets Reports'!A1820&lt;&gt;"",'R.M Billets Reports'!A1820,IF(ROW()=2,"",D1820))</f>
      </c>
      <c r="E1821">
        <f>IF('R.M Billets Reports'!B1820="","",TRIM('R.M Billets Reports'!B1820))</f>
      </c>
      <c r="F1821">
        <f>'R.M Billets Reports'!C1820</f>
      </c>
      <c r="G1821">
        <f>'R.M Billets Reports'!D1820</f>
      </c>
      <c r="H1821">
        <f>'R.M Billets Reports'!E1820</f>
      </c>
      <c r="I1821">
        <f>'R.M Billets Reports'!F1820</f>
      </c>
      <c r="J1821">
        <f>'R.M Billets Reports'!G1820</f>
      </c>
      <c r="K1821">
        <f>'R.M Billets Reports'!H1820</f>
      </c>
      <c r="L1821">
        <f>IF('R.M Billets Reports'!I1820="","",'R.M Billets Reports'!I1820)</f>
      </c>
      <c r="M1821">
        <f t="shared" si="56"/>
      </c>
      <c r="N1821">
        <f>IF('R.M Billets Reports'!J1820="","",'R.M Billets Reports'!J1820)</f>
      </c>
      <c r="O1821">
        <f t="shared" si="57"/>
      </c>
      <c r="P1821">
        <f>IF('R.M Billets Reports'!A1820="SIZE",'R.M Billets Reports'!B1820,P1820)</f>
      </c>
    </row>
    <row r="1822" spans="1:16" x14ac:dyDescent="0.25">
      <c r="A1822">
        <f>IF(OR('R.M Billets Reports'!A1821="Date-",'R.M Billets Reports'!A1821="Date:-"),IF(IF(IF(ISNUMBER(SEARCH("Party Name:-",'R.M Billets Reports'!D1821)),TRIM('R.M Billets Reports'!F1821),IF(ISNUMBER(SEARCH("Party Name-",'R.M Billets Reports'!D1821)),TRIM(MID('R.M Billets Reports'!D1821,SEARCH("-",'R.M Billets Reports'!D1821)+1,200)),""))&lt;&gt;"",IF(ISNUMBER(SEARCH("Party Name:-",'R.M Billets Reports'!D1821)),TRIM('R.M Billets Reports'!F1821),IF(ISNUMBER(SEARCH("Party Name-",'R.M Billets Reports'!D1821)),TRIM(MID('R.M Billets Reports'!D1821,SEARCH("-",'R.M Billets Reports'!D1821)+1,200)),"")),IF(ISNUMBER(SEARCH("Party Name:-",'R.M Billets Reports'!D1822)),TRIM('R.M Billets Reports'!F1822),IF(ISNUMBER(SEARCH("Party Name-",'R.M Billets Reports'!D1822)),TRIM(MID('R.M Billets Reports'!D1822,SEARCH("-",'R.M Billets Reports'!D1822)+1,200)),"")))="VRKP ISPAT PVT LTD","VRKP",IF(IF(IF(ISNUMBER(SEARCH("Party Name:-",'R.M Billets Reports'!D1821)),TRIM('R.M Billets Reports'!F1821),IF(ISNUMBER(SEARCH("Party Name-",'R.M Billets Reports'!D1821)),TRIM(MID('R.M Billets Reports'!D1821,SEARCH("-",'R.M Billets Reports'!D1821)+1,200)),""))&lt;&gt;"",IF(ISNUMBER(SEARCH("Party Name:-",'R.M Billets Reports'!D1821)),TRIM('R.M Billets Reports'!F1821),IF(ISNUMBER(SEARCH("Party Name-",'R.M Billets Reports'!D1821)),TRIM(MID('R.M Billets Reports'!D1821,SEARCH("-",'R.M Billets Reports'!D1821)+1,200)),"")),IF(ISNUMBER(SEARCH("Party Name:-",'R.M Billets Reports'!D1822)),TRIM('R.M Billets Reports'!F1822),IF(ISNUMBER(SEARCH("Party Name-",'R.M Billets Reports'!D1822)),TRIM(MID('R.M Billets Reports'!D1822,SEARCH("-",'R.M Billets Reports'!D1822)+1,200)),"")))="SHRI RADHE","SHREE RADHE",IF(IF(IF(ISNUMBER(SEARCH("Party Name:-",'R.M Billets Reports'!D1821)),TRIM('R.M Billets Reports'!F1821),IF(ISNUMBER(SEARCH("Party Name-",'R.M Billets Reports'!D1821)),TRIM(MID('R.M Billets Reports'!D1821,SEARCH("-",'R.M Billets Reports'!D1821)+1,200)),""))&lt;&gt;"",IF(ISNUMBER(SEARCH("Party Name:-",'R.M Billets Reports'!D1821)),TRIM('R.M Billets Reports'!F1821),IF(ISNUMBER(SEARCH("Party Name-",'R.M Billets Reports'!D1821)),TRIM(MID('R.M Billets Reports'!D1821,SEARCH("-",'R.M Billets Reports'!D1821)+1,200)),"")),IF(ISNUMBER(SEARCH("Party Name:-",'R.M Billets Reports'!D1822)),TRIM('R.M Billets Reports'!F1822),IF(ISNUMBER(SEARCH("Party Name-",'R.M Billets Reports'!D1822)),TRIM(MID('R.M Billets Reports'!D1822,SEARCH("-",'R.M Billets Reports'!D1822)+1,200)),"")))="SHREE RADHE SHAKTI SPONGE AND POWER PVT. LTD.","SHREE RADHE",IF(IF(ISNUMBER(SEARCH("Party Name:-",'R.M Billets Reports'!D1821)),TRIM('R.M Billets Reports'!F1821),IF(ISNUMBER(SEARCH("Party Name-",'R.M Billets Reports'!D1821)),TRIM(MID('R.M Billets Reports'!D1821,SEARCH("-",'R.M Billets Reports'!D1821)+1,200)),""))&lt;&gt;"",IF(ISNUMBER(SEARCH("Party Name:-",'R.M Billets Reports'!D1821)),TRIM('R.M Billets Reports'!F1821),IF(ISNUMBER(SEARCH("Party Name-",'R.M Billets Reports'!D1821)),TRIM(MID('R.M Billets Reports'!D1821,SEARCH("-",'R.M Billets Reports'!D1821)+1,200)),"")),IF(ISNUMBER(SEARCH("Party Name:-",'R.M Billets Reports'!D1822)),TRIM('R.M Billets Reports'!F1822),IF(ISNUMBER(SEARCH("Party Name-",'R.M Billets Reports'!D1822)),TRIM(MID('R.M Billets Reports'!D1822,SEARCH("-",'R.M Billets Reports'!D1822)+1,200)),"")))))),IF(ROW()=2,"",A1821))</f>
      </c>
      <c r="B1822">
        <f>IF(OR('R.M Billets Reports'!A1821="Date-",'R.M Billets Reports'!A1821="Date:-"),'R.M Billets Reports'!B1821,IF(ROW()=2,"",B1821))</f>
      </c>
      <c r="C1822">
        <f>IF('R.M Billets Reports'!A1821="V.No.",'R.M Billets Reports'!B1821,IF(ROW()=2,"",C1821))</f>
      </c>
      <c r="D1822">
        <f>IF('R.M Billets Reports'!A1821&lt;&gt;"",'R.M Billets Reports'!A1821,IF(ROW()=2,"",D1821))</f>
      </c>
      <c r="E1822">
        <f>IF('R.M Billets Reports'!B1821="","",TRIM('R.M Billets Reports'!B1821))</f>
      </c>
      <c r="F1822">
        <f>'R.M Billets Reports'!C1821</f>
      </c>
      <c r="G1822">
        <f>'R.M Billets Reports'!D1821</f>
      </c>
      <c r="H1822">
        <f>'R.M Billets Reports'!E1821</f>
      </c>
      <c r="I1822">
        <f>'R.M Billets Reports'!F1821</f>
      </c>
      <c r="J1822">
        <f>'R.M Billets Reports'!G1821</f>
      </c>
      <c r="K1822">
        <f>'R.M Billets Reports'!H1821</f>
      </c>
      <c r="L1822">
        <f>IF('R.M Billets Reports'!I1821="","",'R.M Billets Reports'!I1821)</f>
      </c>
      <c r="M1822">
        <f t="shared" si="56"/>
      </c>
      <c r="N1822">
        <f>IF('R.M Billets Reports'!J1821="","",'R.M Billets Reports'!J1821)</f>
      </c>
      <c r="O1822">
        <f t="shared" si="57"/>
      </c>
      <c r="P1822">
        <f>IF('R.M Billets Reports'!A1821="SIZE",'R.M Billets Reports'!B1821,P1821)</f>
      </c>
    </row>
    <row r="1823" spans="1:16" x14ac:dyDescent="0.25">
      <c r="A1823">
        <f>IF(OR('R.M Billets Reports'!A1822="Date-",'R.M Billets Reports'!A1822="Date:-"),IF(IF(IF(ISNUMBER(SEARCH("Party Name:-",'R.M Billets Reports'!D1822)),TRIM('R.M Billets Reports'!F1822),IF(ISNUMBER(SEARCH("Party Name-",'R.M Billets Reports'!D1822)),TRIM(MID('R.M Billets Reports'!D1822,SEARCH("-",'R.M Billets Reports'!D1822)+1,200)),""))&lt;&gt;"",IF(ISNUMBER(SEARCH("Party Name:-",'R.M Billets Reports'!D1822)),TRIM('R.M Billets Reports'!F1822),IF(ISNUMBER(SEARCH("Party Name-",'R.M Billets Reports'!D1822)),TRIM(MID('R.M Billets Reports'!D1822,SEARCH("-",'R.M Billets Reports'!D1822)+1,200)),"")),IF(ISNUMBER(SEARCH("Party Name:-",'R.M Billets Reports'!D1823)),TRIM('R.M Billets Reports'!F1823),IF(ISNUMBER(SEARCH("Party Name-",'R.M Billets Reports'!D1823)),TRIM(MID('R.M Billets Reports'!D1823,SEARCH("-",'R.M Billets Reports'!D1823)+1,200)),"")))="VRKP ISPAT PVT LTD","VRKP",IF(IF(IF(ISNUMBER(SEARCH("Party Name:-",'R.M Billets Reports'!D1822)),TRIM('R.M Billets Reports'!F1822),IF(ISNUMBER(SEARCH("Party Name-",'R.M Billets Reports'!D1822)),TRIM(MID('R.M Billets Reports'!D1822,SEARCH("-",'R.M Billets Reports'!D1822)+1,200)),""))&lt;&gt;"",IF(ISNUMBER(SEARCH("Party Name:-",'R.M Billets Reports'!D1822)),TRIM('R.M Billets Reports'!F1822),IF(ISNUMBER(SEARCH("Party Name-",'R.M Billets Reports'!D1822)),TRIM(MID('R.M Billets Reports'!D1822,SEARCH("-",'R.M Billets Reports'!D1822)+1,200)),"")),IF(ISNUMBER(SEARCH("Party Name:-",'R.M Billets Reports'!D1823)),TRIM('R.M Billets Reports'!F1823),IF(ISNUMBER(SEARCH("Party Name-",'R.M Billets Reports'!D1823)),TRIM(MID('R.M Billets Reports'!D1823,SEARCH("-",'R.M Billets Reports'!D1823)+1,200)),"")))="SHRI RADHE","SHREE RADHE",IF(IF(IF(ISNUMBER(SEARCH("Party Name:-",'R.M Billets Reports'!D1822)),TRIM('R.M Billets Reports'!F1822),IF(ISNUMBER(SEARCH("Party Name-",'R.M Billets Reports'!D1822)),TRIM(MID('R.M Billets Reports'!D1822,SEARCH("-",'R.M Billets Reports'!D1822)+1,200)),""))&lt;&gt;"",IF(ISNUMBER(SEARCH("Party Name:-",'R.M Billets Reports'!D1822)),TRIM('R.M Billets Reports'!F1822),IF(ISNUMBER(SEARCH("Party Name-",'R.M Billets Reports'!D1822)),TRIM(MID('R.M Billets Reports'!D1822,SEARCH("-",'R.M Billets Reports'!D1822)+1,200)),"")),IF(ISNUMBER(SEARCH("Party Name:-",'R.M Billets Reports'!D1823)),TRIM('R.M Billets Reports'!F1823),IF(ISNUMBER(SEARCH("Party Name-",'R.M Billets Reports'!D1823)),TRIM(MID('R.M Billets Reports'!D1823,SEARCH("-",'R.M Billets Reports'!D1823)+1,200)),"")))="SHREE RADHE SHAKTI SPONGE AND POWER PVT. LTD.","SHREE RADHE",IF(IF(ISNUMBER(SEARCH("Party Name:-",'R.M Billets Reports'!D1822)),TRIM('R.M Billets Reports'!F1822),IF(ISNUMBER(SEARCH("Party Name-",'R.M Billets Reports'!D1822)),TRIM(MID('R.M Billets Reports'!D1822,SEARCH("-",'R.M Billets Reports'!D1822)+1,200)),""))&lt;&gt;"",IF(ISNUMBER(SEARCH("Party Name:-",'R.M Billets Reports'!D1822)),TRIM('R.M Billets Reports'!F1822),IF(ISNUMBER(SEARCH("Party Name-",'R.M Billets Reports'!D1822)),TRIM(MID('R.M Billets Reports'!D1822,SEARCH("-",'R.M Billets Reports'!D1822)+1,200)),"")),IF(ISNUMBER(SEARCH("Party Name:-",'R.M Billets Reports'!D1823)),TRIM('R.M Billets Reports'!F1823),IF(ISNUMBER(SEARCH("Party Name-",'R.M Billets Reports'!D1823)),TRIM(MID('R.M Billets Reports'!D1823,SEARCH("-",'R.M Billets Reports'!D1823)+1,200)),"")))))),IF(ROW()=2,"",A1822))</f>
      </c>
      <c r="B1823">
        <f>IF(OR('R.M Billets Reports'!A1822="Date-",'R.M Billets Reports'!A1822="Date:-"),'R.M Billets Reports'!B1822,IF(ROW()=2,"",B1822))</f>
      </c>
      <c r="C1823">
        <f>IF('R.M Billets Reports'!A1822="V.No.",'R.M Billets Reports'!B1822,IF(ROW()=2,"",C1822))</f>
      </c>
      <c r="D1823">
        <f>IF('R.M Billets Reports'!A1822&lt;&gt;"",'R.M Billets Reports'!A1822,IF(ROW()=2,"",D1822))</f>
      </c>
      <c r="E1823">
        <f>IF('R.M Billets Reports'!B1822="","",TRIM('R.M Billets Reports'!B1822))</f>
      </c>
      <c r="F1823">
        <f>'R.M Billets Reports'!C1822</f>
      </c>
      <c r="G1823">
        <f>'R.M Billets Reports'!D1822</f>
      </c>
      <c r="H1823">
        <f>'R.M Billets Reports'!E1822</f>
      </c>
      <c r="I1823">
        <f>'R.M Billets Reports'!F1822</f>
      </c>
      <c r="J1823">
        <f>'R.M Billets Reports'!G1822</f>
      </c>
      <c r="K1823">
        <f>'R.M Billets Reports'!H1822</f>
      </c>
      <c r="L1823">
        <f>IF('R.M Billets Reports'!I1822="","",'R.M Billets Reports'!I1822)</f>
      </c>
      <c r="M1823">
        <f t="shared" si="56"/>
      </c>
      <c r="N1823">
        <f>IF('R.M Billets Reports'!J1822="","",'R.M Billets Reports'!J1822)</f>
      </c>
      <c r="O1823">
        <f t="shared" si="57"/>
      </c>
      <c r="P1823">
        <f>IF('R.M Billets Reports'!A1822="SIZE",'R.M Billets Reports'!B1822,P1822)</f>
      </c>
    </row>
    <row r="1824" spans="1:16" x14ac:dyDescent="0.25">
      <c r="A1824">
        <f>IF(OR('R.M Billets Reports'!A1823="Date-",'R.M Billets Reports'!A1823="Date:-"),IF(IF(IF(ISNUMBER(SEARCH("Party Name:-",'R.M Billets Reports'!D1823)),TRIM('R.M Billets Reports'!F1823),IF(ISNUMBER(SEARCH("Party Name-",'R.M Billets Reports'!D1823)),TRIM(MID('R.M Billets Reports'!D1823,SEARCH("-",'R.M Billets Reports'!D1823)+1,200)),""))&lt;&gt;"",IF(ISNUMBER(SEARCH("Party Name:-",'R.M Billets Reports'!D1823)),TRIM('R.M Billets Reports'!F1823),IF(ISNUMBER(SEARCH("Party Name-",'R.M Billets Reports'!D1823)),TRIM(MID('R.M Billets Reports'!D1823,SEARCH("-",'R.M Billets Reports'!D1823)+1,200)),"")),IF(ISNUMBER(SEARCH("Party Name:-",'R.M Billets Reports'!D1824)),TRIM('R.M Billets Reports'!F1824),IF(ISNUMBER(SEARCH("Party Name-",'R.M Billets Reports'!D1824)),TRIM(MID('R.M Billets Reports'!D1824,SEARCH("-",'R.M Billets Reports'!D1824)+1,200)),"")))="VRKP ISPAT PVT LTD","VRKP",IF(IF(IF(ISNUMBER(SEARCH("Party Name:-",'R.M Billets Reports'!D1823)),TRIM('R.M Billets Reports'!F1823),IF(ISNUMBER(SEARCH("Party Name-",'R.M Billets Reports'!D1823)),TRIM(MID('R.M Billets Reports'!D1823,SEARCH("-",'R.M Billets Reports'!D1823)+1,200)),""))&lt;&gt;"",IF(ISNUMBER(SEARCH("Party Name:-",'R.M Billets Reports'!D1823)),TRIM('R.M Billets Reports'!F1823),IF(ISNUMBER(SEARCH("Party Name-",'R.M Billets Reports'!D1823)),TRIM(MID('R.M Billets Reports'!D1823,SEARCH("-",'R.M Billets Reports'!D1823)+1,200)),"")),IF(ISNUMBER(SEARCH("Party Name:-",'R.M Billets Reports'!D1824)),TRIM('R.M Billets Reports'!F1824),IF(ISNUMBER(SEARCH("Party Name-",'R.M Billets Reports'!D1824)),TRIM(MID('R.M Billets Reports'!D1824,SEARCH("-",'R.M Billets Reports'!D1824)+1,200)),"")))="SHRI RADHE","SHREE RADHE",IF(IF(IF(ISNUMBER(SEARCH("Party Name:-",'R.M Billets Reports'!D1823)),TRIM('R.M Billets Reports'!F1823),IF(ISNUMBER(SEARCH("Party Name-",'R.M Billets Reports'!D1823)),TRIM(MID('R.M Billets Reports'!D1823,SEARCH("-",'R.M Billets Reports'!D1823)+1,200)),""))&lt;&gt;"",IF(ISNUMBER(SEARCH("Party Name:-",'R.M Billets Reports'!D1823)),TRIM('R.M Billets Reports'!F1823),IF(ISNUMBER(SEARCH("Party Name-",'R.M Billets Reports'!D1823)),TRIM(MID('R.M Billets Reports'!D1823,SEARCH("-",'R.M Billets Reports'!D1823)+1,200)),"")),IF(ISNUMBER(SEARCH("Party Name:-",'R.M Billets Reports'!D1824)),TRIM('R.M Billets Reports'!F1824),IF(ISNUMBER(SEARCH("Party Name-",'R.M Billets Reports'!D1824)),TRIM(MID('R.M Billets Reports'!D1824,SEARCH("-",'R.M Billets Reports'!D1824)+1,200)),"")))="SHREE RADHE SHAKTI SPONGE AND POWER PVT. LTD.","SHREE RADHE",IF(IF(ISNUMBER(SEARCH("Party Name:-",'R.M Billets Reports'!D1823)),TRIM('R.M Billets Reports'!F1823),IF(ISNUMBER(SEARCH("Party Name-",'R.M Billets Reports'!D1823)),TRIM(MID('R.M Billets Reports'!D1823,SEARCH("-",'R.M Billets Reports'!D1823)+1,200)),""))&lt;&gt;"",IF(ISNUMBER(SEARCH("Party Name:-",'R.M Billets Reports'!D1823)),TRIM('R.M Billets Reports'!F1823),IF(ISNUMBER(SEARCH("Party Name-",'R.M Billets Reports'!D1823)),TRIM(MID('R.M Billets Reports'!D1823,SEARCH("-",'R.M Billets Reports'!D1823)+1,200)),"")),IF(ISNUMBER(SEARCH("Party Name:-",'R.M Billets Reports'!D1824)),TRIM('R.M Billets Reports'!F1824),IF(ISNUMBER(SEARCH("Party Name-",'R.M Billets Reports'!D1824)),TRIM(MID('R.M Billets Reports'!D1824,SEARCH("-",'R.M Billets Reports'!D1824)+1,200)),"")))))),IF(ROW()=2,"",A1823))</f>
      </c>
      <c r="B1824">
        <f>IF(OR('R.M Billets Reports'!A1823="Date-",'R.M Billets Reports'!A1823="Date:-"),'R.M Billets Reports'!B1823,IF(ROW()=2,"",B1823))</f>
      </c>
      <c r="C1824">
        <f>IF('R.M Billets Reports'!A1823="V.No.",'R.M Billets Reports'!B1823,IF(ROW()=2,"",C1823))</f>
      </c>
      <c r="D1824">
        <f>IF('R.M Billets Reports'!A1823&lt;&gt;"",'R.M Billets Reports'!A1823,IF(ROW()=2,"",D1823))</f>
      </c>
      <c r="E1824">
        <f>IF('R.M Billets Reports'!B1823="","",TRIM('R.M Billets Reports'!B1823))</f>
      </c>
      <c r="F1824">
        <f>'R.M Billets Reports'!C1823</f>
      </c>
      <c r="G1824">
        <f>'R.M Billets Reports'!D1823</f>
      </c>
      <c r="H1824">
        <f>'R.M Billets Reports'!E1823</f>
      </c>
      <c r="I1824">
        <f>'R.M Billets Reports'!F1823</f>
      </c>
      <c r="J1824">
        <f>'R.M Billets Reports'!G1823</f>
      </c>
      <c r="K1824">
        <f>'R.M Billets Reports'!H1823</f>
      </c>
      <c r="L1824">
        <f>IF('R.M Billets Reports'!I1823="","",'R.M Billets Reports'!I1823)</f>
      </c>
      <c r="M1824">
        <f t="shared" si="56"/>
      </c>
      <c r="N1824">
        <f>IF('R.M Billets Reports'!J1823="","",'R.M Billets Reports'!J1823)</f>
      </c>
      <c r="O1824">
        <f t="shared" si="57"/>
      </c>
      <c r="P1824">
        <f>IF('R.M Billets Reports'!A1823="SIZE",'R.M Billets Reports'!B1823,P1823)</f>
      </c>
    </row>
    <row r="1825" spans="1:16" x14ac:dyDescent="0.25">
      <c r="A1825">
        <f>IF(OR('R.M Billets Reports'!A1824="Date-",'R.M Billets Reports'!A1824="Date:-"),IF(IF(IF(ISNUMBER(SEARCH("Party Name:-",'R.M Billets Reports'!D1824)),TRIM('R.M Billets Reports'!F1824),IF(ISNUMBER(SEARCH("Party Name-",'R.M Billets Reports'!D1824)),TRIM(MID('R.M Billets Reports'!D1824,SEARCH("-",'R.M Billets Reports'!D1824)+1,200)),""))&lt;&gt;"",IF(ISNUMBER(SEARCH("Party Name:-",'R.M Billets Reports'!D1824)),TRIM('R.M Billets Reports'!F1824),IF(ISNUMBER(SEARCH("Party Name-",'R.M Billets Reports'!D1824)),TRIM(MID('R.M Billets Reports'!D1824,SEARCH("-",'R.M Billets Reports'!D1824)+1,200)),"")),IF(ISNUMBER(SEARCH("Party Name:-",'R.M Billets Reports'!D1825)),TRIM('R.M Billets Reports'!F1825),IF(ISNUMBER(SEARCH("Party Name-",'R.M Billets Reports'!D1825)),TRIM(MID('R.M Billets Reports'!D1825,SEARCH("-",'R.M Billets Reports'!D1825)+1,200)),"")))="VRKP ISPAT PVT LTD","VRKP",IF(IF(IF(ISNUMBER(SEARCH("Party Name:-",'R.M Billets Reports'!D1824)),TRIM('R.M Billets Reports'!F1824),IF(ISNUMBER(SEARCH("Party Name-",'R.M Billets Reports'!D1824)),TRIM(MID('R.M Billets Reports'!D1824,SEARCH("-",'R.M Billets Reports'!D1824)+1,200)),""))&lt;&gt;"",IF(ISNUMBER(SEARCH("Party Name:-",'R.M Billets Reports'!D1824)),TRIM('R.M Billets Reports'!F1824),IF(ISNUMBER(SEARCH("Party Name-",'R.M Billets Reports'!D1824)),TRIM(MID('R.M Billets Reports'!D1824,SEARCH("-",'R.M Billets Reports'!D1824)+1,200)),"")),IF(ISNUMBER(SEARCH("Party Name:-",'R.M Billets Reports'!D1825)),TRIM('R.M Billets Reports'!F1825),IF(ISNUMBER(SEARCH("Party Name-",'R.M Billets Reports'!D1825)),TRIM(MID('R.M Billets Reports'!D1825,SEARCH("-",'R.M Billets Reports'!D1825)+1,200)),"")))="SHRI RADHE","SHREE RADHE",IF(IF(IF(ISNUMBER(SEARCH("Party Name:-",'R.M Billets Reports'!D1824)),TRIM('R.M Billets Reports'!F1824),IF(ISNUMBER(SEARCH("Party Name-",'R.M Billets Reports'!D1824)),TRIM(MID('R.M Billets Reports'!D1824,SEARCH("-",'R.M Billets Reports'!D1824)+1,200)),""))&lt;&gt;"",IF(ISNUMBER(SEARCH("Party Name:-",'R.M Billets Reports'!D1824)),TRIM('R.M Billets Reports'!F1824),IF(ISNUMBER(SEARCH("Party Name-",'R.M Billets Reports'!D1824)),TRIM(MID('R.M Billets Reports'!D1824,SEARCH("-",'R.M Billets Reports'!D1824)+1,200)),"")),IF(ISNUMBER(SEARCH("Party Name:-",'R.M Billets Reports'!D1825)),TRIM('R.M Billets Reports'!F1825),IF(ISNUMBER(SEARCH("Party Name-",'R.M Billets Reports'!D1825)),TRIM(MID('R.M Billets Reports'!D1825,SEARCH("-",'R.M Billets Reports'!D1825)+1,200)),"")))="SHREE RADHE SHAKTI SPONGE AND POWER PVT. LTD.","SHREE RADHE",IF(IF(ISNUMBER(SEARCH("Party Name:-",'R.M Billets Reports'!D1824)),TRIM('R.M Billets Reports'!F1824),IF(ISNUMBER(SEARCH("Party Name-",'R.M Billets Reports'!D1824)),TRIM(MID('R.M Billets Reports'!D1824,SEARCH("-",'R.M Billets Reports'!D1824)+1,200)),""))&lt;&gt;"",IF(ISNUMBER(SEARCH("Party Name:-",'R.M Billets Reports'!D1824)),TRIM('R.M Billets Reports'!F1824),IF(ISNUMBER(SEARCH("Party Name-",'R.M Billets Reports'!D1824)),TRIM(MID('R.M Billets Reports'!D1824,SEARCH("-",'R.M Billets Reports'!D1824)+1,200)),"")),IF(ISNUMBER(SEARCH("Party Name:-",'R.M Billets Reports'!D1825)),TRIM('R.M Billets Reports'!F1825),IF(ISNUMBER(SEARCH("Party Name-",'R.M Billets Reports'!D1825)),TRIM(MID('R.M Billets Reports'!D1825,SEARCH("-",'R.M Billets Reports'!D1825)+1,200)),"")))))),IF(ROW()=2,"",A1824))</f>
      </c>
      <c r="B1825">
        <f>IF(OR('R.M Billets Reports'!A1824="Date-",'R.M Billets Reports'!A1824="Date:-"),'R.M Billets Reports'!B1824,IF(ROW()=2,"",B1824))</f>
      </c>
      <c r="C1825">
        <f>IF('R.M Billets Reports'!A1824="V.No.",'R.M Billets Reports'!B1824,IF(ROW()=2,"",C1824))</f>
      </c>
      <c r="D1825">
        <f>IF('R.M Billets Reports'!A1824&lt;&gt;"",'R.M Billets Reports'!A1824,IF(ROW()=2,"",D1824))</f>
      </c>
      <c r="E1825">
        <f>IF('R.M Billets Reports'!B1824="","",TRIM('R.M Billets Reports'!B1824))</f>
      </c>
      <c r="F1825">
        <f>'R.M Billets Reports'!C1824</f>
      </c>
      <c r="G1825">
        <f>'R.M Billets Reports'!D1824</f>
      </c>
      <c r="H1825">
        <f>'R.M Billets Reports'!E1824</f>
      </c>
      <c r="I1825">
        <f>'R.M Billets Reports'!F1824</f>
      </c>
      <c r="J1825">
        <f>'R.M Billets Reports'!G1824</f>
      </c>
      <c r="K1825">
        <f>'R.M Billets Reports'!H1824</f>
      </c>
      <c r="L1825">
        <f>IF('R.M Billets Reports'!I1824="","",'R.M Billets Reports'!I1824)</f>
      </c>
      <c r="M1825">
        <f t="shared" si="56"/>
      </c>
      <c r="N1825">
        <f>IF('R.M Billets Reports'!J1824="","",'R.M Billets Reports'!J1824)</f>
      </c>
      <c r="O1825">
        <f t="shared" si="57"/>
      </c>
      <c r="P1825">
        <f>IF('R.M Billets Reports'!A1824="SIZE",'R.M Billets Reports'!B1824,P1824)</f>
      </c>
    </row>
    <row r="1826" spans="1:16" x14ac:dyDescent="0.25">
      <c r="A1826">
        <f>IF(OR('R.M Billets Reports'!A1825="Date-",'R.M Billets Reports'!A1825="Date:-"),IF(IF(IF(ISNUMBER(SEARCH("Party Name:-",'R.M Billets Reports'!D1825)),TRIM('R.M Billets Reports'!F1825),IF(ISNUMBER(SEARCH("Party Name-",'R.M Billets Reports'!D1825)),TRIM(MID('R.M Billets Reports'!D1825,SEARCH("-",'R.M Billets Reports'!D1825)+1,200)),""))&lt;&gt;"",IF(ISNUMBER(SEARCH("Party Name:-",'R.M Billets Reports'!D1825)),TRIM('R.M Billets Reports'!F1825),IF(ISNUMBER(SEARCH("Party Name-",'R.M Billets Reports'!D1825)),TRIM(MID('R.M Billets Reports'!D1825,SEARCH("-",'R.M Billets Reports'!D1825)+1,200)),"")),IF(ISNUMBER(SEARCH("Party Name:-",'R.M Billets Reports'!D1826)),TRIM('R.M Billets Reports'!F1826),IF(ISNUMBER(SEARCH("Party Name-",'R.M Billets Reports'!D1826)),TRIM(MID('R.M Billets Reports'!D1826,SEARCH("-",'R.M Billets Reports'!D1826)+1,200)),"")))="VRKP ISPAT PVT LTD","VRKP",IF(IF(IF(ISNUMBER(SEARCH("Party Name:-",'R.M Billets Reports'!D1825)),TRIM('R.M Billets Reports'!F1825),IF(ISNUMBER(SEARCH("Party Name-",'R.M Billets Reports'!D1825)),TRIM(MID('R.M Billets Reports'!D1825,SEARCH("-",'R.M Billets Reports'!D1825)+1,200)),""))&lt;&gt;"",IF(ISNUMBER(SEARCH("Party Name:-",'R.M Billets Reports'!D1825)),TRIM('R.M Billets Reports'!F1825),IF(ISNUMBER(SEARCH("Party Name-",'R.M Billets Reports'!D1825)),TRIM(MID('R.M Billets Reports'!D1825,SEARCH("-",'R.M Billets Reports'!D1825)+1,200)),"")),IF(ISNUMBER(SEARCH("Party Name:-",'R.M Billets Reports'!D1826)),TRIM('R.M Billets Reports'!F1826),IF(ISNUMBER(SEARCH("Party Name-",'R.M Billets Reports'!D1826)),TRIM(MID('R.M Billets Reports'!D1826,SEARCH("-",'R.M Billets Reports'!D1826)+1,200)),"")))="SHRI RADHE","SHREE RADHE",IF(IF(IF(ISNUMBER(SEARCH("Party Name:-",'R.M Billets Reports'!D1825)),TRIM('R.M Billets Reports'!F1825),IF(ISNUMBER(SEARCH("Party Name-",'R.M Billets Reports'!D1825)),TRIM(MID('R.M Billets Reports'!D1825,SEARCH("-",'R.M Billets Reports'!D1825)+1,200)),""))&lt;&gt;"",IF(ISNUMBER(SEARCH("Party Name:-",'R.M Billets Reports'!D1825)),TRIM('R.M Billets Reports'!F1825),IF(ISNUMBER(SEARCH("Party Name-",'R.M Billets Reports'!D1825)),TRIM(MID('R.M Billets Reports'!D1825,SEARCH("-",'R.M Billets Reports'!D1825)+1,200)),"")),IF(ISNUMBER(SEARCH("Party Name:-",'R.M Billets Reports'!D1826)),TRIM('R.M Billets Reports'!F1826),IF(ISNUMBER(SEARCH("Party Name-",'R.M Billets Reports'!D1826)),TRIM(MID('R.M Billets Reports'!D1826,SEARCH("-",'R.M Billets Reports'!D1826)+1,200)),"")))="SHREE RADHE SHAKTI SPONGE AND POWER PVT. LTD.","SHREE RADHE",IF(IF(ISNUMBER(SEARCH("Party Name:-",'R.M Billets Reports'!D1825)),TRIM('R.M Billets Reports'!F1825),IF(ISNUMBER(SEARCH("Party Name-",'R.M Billets Reports'!D1825)),TRIM(MID('R.M Billets Reports'!D1825,SEARCH("-",'R.M Billets Reports'!D1825)+1,200)),""))&lt;&gt;"",IF(ISNUMBER(SEARCH("Party Name:-",'R.M Billets Reports'!D1825)),TRIM('R.M Billets Reports'!F1825),IF(ISNUMBER(SEARCH("Party Name-",'R.M Billets Reports'!D1825)),TRIM(MID('R.M Billets Reports'!D1825,SEARCH("-",'R.M Billets Reports'!D1825)+1,200)),"")),IF(ISNUMBER(SEARCH("Party Name:-",'R.M Billets Reports'!D1826)),TRIM('R.M Billets Reports'!F1826),IF(ISNUMBER(SEARCH("Party Name-",'R.M Billets Reports'!D1826)),TRIM(MID('R.M Billets Reports'!D1826,SEARCH("-",'R.M Billets Reports'!D1826)+1,200)),"")))))),IF(ROW()=2,"",A1825))</f>
      </c>
      <c r="B1826">
        <f>IF(OR('R.M Billets Reports'!A1825="Date-",'R.M Billets Reports'!A1825="Date:-"),'R.M Billets Reports'!B1825,IF(ROW()=2,"",B1825))</f>
      </c>
      <c r="C1826">
        <f>IF('R.M Billets Reports'!A1825="V.No.",'R.M Billets Reports'!B1825,IF(ROW()=2,"",C1825))</f>
      </c>
      <c r="D1826">
        <f>IF('R.M Billets Reports'!A1825&lt;&gt;"",'R.M Billets Reports'!A1825,IF(ROW()=2,"",D1825))</f>
      </c>
      <c r="E1826">
        <f>IF('R.M Billets Reports'!B1825="","",TRIM('R.M Billets Reports'!B1825))</f>
      </c>
      <c r="F1826">
        <f>'R.M Billets Reports'!C1825</f>
      </c>
      <c r="G1826">
        <f>'R.M Billets Reports'!D1825</f>
      </c>
      <c r="H1826">
        <f>'R.M Billets Reports'!E1825</f>
      </c>
      <c r="I1826">
        <f>'R.M Billets Reports'!F1825</f>
      </c>
      <c r="J1826">
        <f>'R.M Billets Reports'!G1825</f>
      </c>
      <c r="K1826">
        <f>'R.M Billets Reports'!H1825</f>
      </c>
      <c r="L1826">
        <f>IF('R.M Billets Reports'!I1825="","",'R.M Billets Reports'!I1825)</f>
      </c>
      <c r="M1826">
        <f t="shared" si="56"/>
      </c>
      <c r="N1826">
        <f>IF('R.M Billets Reports'!J1825="","",'R.M Billets Reports'!J1825)</f>
      </c>
      <c r="O1826">
        <f t="shared" si="57"/>
      </c>
      <c r="P1826">
        <f>IF('R.M Billets Reports'!A1825="SIZE",'R.M Billets Reports'!B1825,P1825)</f>
      </c>
    </row>
    <row r="1827" spans="1:16" x14ac:dyDescent="0.25">
      <c r="A1827">
        <f>IF(OR('R.M Billets Reports'!A1826="Date-",'R.M Billets Reports'!A1826="Date:-"),IF(IF(IF(ISNUMBER(SEARCH("Party Name:-",'R.M Billets Reports'!D1826)),TRIM('R.M Billets Reports'!F1826),IF(ISNUMBER(SEARCH("Party Name-",'R.M Billets Reports'!D1826)),TRIM(MID('R.M Billets Reports'!D1826,SEARCH("-",'R.M Billets Reports'!D1826)+1,200)),""))&lt;&gt;"",IF(ISNUMBER(SEARCH("Party Name:-",'R.M Billets Reports'!D1826)),TRIM('R.M Billets Reports'!F1826),IF(ISNUMBER(SEARCH("Party Name-",'R.M Billets Reports'!D1826)),TRIM(MID('R.M Billets Reports'!D1826,SEARCH("-",'R.M Billets Reports'!D1826)+1,200)),"")),IF(ISNUMBER(SEARCH("Party Name:-",'R.M Billets Reports'!D1827)),TRIM('R.M Billets Reports'!F1827),IF(ISNUMBER(SEARCH("Party Name-",'R.M Billets Reports'!D1827)),TRIM(MID('R.M Billets Reports'!D1827,SEARCH("-",'R.M Billets Reports'!D1827)+1,200)),"")))="VRKP ISPAT PVT LTD","VRKP",IF(IF(IF(ISNUMBER(SEARCH("Party Name:-",'R.M Billets Reports'!D1826)),TRIM('R.M Billets Reports'!F1826),IF(ISNUMBER(SEARCH("Party Name-",'R.M Billets Reports'!D1826)),TRIM(MID('R.M Billets Reports'!D1826,SEARCH("-",'R.M Billets Reports'!D1826)+1,200)),""))&lt;&gt;"",IF(ISNUMBER(SEARCH("Party Name:-",'R.M Billets Reports'!D1826)),TRIM('R.M Billets Reports'!F1826),IF(ISNUMBER(SEARCH("Party Name-",'R.M Billets Reports'!D1826)),TRIM(MID('R.M Billets Reports'!D1826,SEARCH("-",'R.M Billets Reports'!D1826)+1,200)),"")),IF(ISNUMBER(SEARCH("Party Name:-",'R.M Billets Reports'!D1827)),TRIM('R.M Billets Reports'!F1827),IF(ISNUMBER(SEARCH("Party Name-",'R.M Billets Reports'!D1827)),TRIM(MID('R.M Billets Reports'!D1827,SEARCH("-",'R.M Billets Reports'!D1827)+1,200)),"")))="SHRI RADHE","SHREE RADHE",IF(IF(IF(ISNUMBER(SEARCH("Party Name:-",'R.M Billets Reports'!D1826)),TRIM('R.M Billets Reports'!F1826),IF(ISNUMBER(SEARCH("Party Name-",'R.M Billets Reports'!D1826)),TRIM(MID('R.M Billets Reports'!D1826,SEARCH("-",'R.M Billets Reports'!D1826)+1,200)),""))&lt;&gt;"",IF(ISNUMBER(SEARCH("Party Name:-",'R.M Billets Reports'!D1826)),TRIM('R.M Billets Reports'!F1826),IF(ISNUMBER(SEARCH("Party Name-",'R.M Billets Reports'!D1826)),TRIM(MID('R.M Billets Reports'!D1826,SEARCH("-",'R.M Billets Reports'!D1826)+1,200)),"")),IF(ISNUMBER(SEARCH("Party Name:-",'R.M Billets Reports'!D1827)),TRIM('R.M Billets Reports'!F1827),IF(ISNUMBER(SEARCH("Party Name-",'R.M Billets Reports'!D1827)),TRIM(MID('R.M Billets Reports'!D1827,SEARCH("-",'R.M Billets Reports'!D1827)+1,200)),"")))="SHREE RADHE SHAKTI SPONGE AND POWER PVT. LTD.","SHREE RADHE",IF(IF(ISNUMBER(SEARCH("Party Name:-",'R.M Billets Reports'!D1826)),TRIM('R.M Billets Reports'!F1826),IF(ISNUMBER(SEARCH("Party Name-",'R.M Billets Reports'!D1826)),TRIM(MID('R.M Billets Reports'!D1826,SEARCH("-",'R.M Billets Reports'!D1826)+1,200)),""))&lt;&gt;"",IF(ISNUMBER(SEARCH("Party Name:-",'R.M Billets Reports'!D1826)),TRIM('R.M Billets Reports'!F1826),IF(ISNUMBER(SEARCH("Party Name-",'R.M Billets Reports'!D1826)),TRIM(MID('R.M Billets Reports'!D1826,SEARCH("-",'R.M Billets Reports'!D1826)+1,200)),"")),IF(ISNUMBER(SEARCH("Party Name:-",'R.M Billets Reports'!D1827)),TRIM('R.M Billets Reports'!F1827),IF(ISNUMBER(SEARCH("Party Name-",'R.M Billets Reports'!D1827)),TRIM(MID('R.M Billets Reports'!D1827,SEARCH("-",'R.M Billets Reports'!D1827)+1,200)),"")))))),IF(ROW()=2,"",A1826))</f>
      </c>
      <c r="B1827">
        <f>IF(OR('R.M Billets Reports'!A1826="Date-",'R.M Billets Reports'!A1826="Date:-"),'R.M Billets Reports'!B1826,IF(ROW()=2,"",B1826))</f>
      </c>
      <c r="C1827">
        <f>IF('R.M Billets Reports'!A1826="V.No.",'R.M Billets Reports'!B1826,IF(ROW()=2,"",C1826))</f>
      </c>
      <c r="D1827">
        <f>IF('R.M Billets Reports'!A1826&lt;&gt;"",'R.M Billets Reports'!A1826,IF(ROW()=2,"",D1826))</f>
      </c>
      <c r="E1827">
        <f>IF('R.M Billets Reports'!B1826="","",TRIM('R.M Billets Reports'!B1826))</f>
      </c>
      <c r="F1827">
        <f>'R.M Billets Reports'!C1826</f>
      </c>
      <c r="G1827">
        <f>'R.M Billets Reports'!D1826</f>
      </c>
      <c r="H1827">
        <f>'R.M Billets Reports'!E1826</f>
      </c>
      <c r="I1827">
        <f>'R.M Billets Reports'!F1826</f>
      </c>
      <c r="J1827">
        <f>'R.M Billets Reports'!G1826</f>
      </c>
      <c r="K1827">
        <f>'R.M Billets Reports'!H1826</f>
      </c>
      <c r="L1827">
        <f>IF('R.M Billets Reports'!I1826="","",'R.M Billets Reports'!I1826)</f>
      </c>
      <c r="M1827">
        <f t="shared" si="56"/>
      </c>
      <c r="N1827">
        <f>IF('R.M Billets Reports'!J1826="","",'R.M Billets Reports'!J1826)</f>
      </c>
      <c r="O1827">
        <f t="shared" si="57"/>
      </c>
      <c r="P1827">
        <f>IF('R.M Billets Reports'!A1826="SIZE",'R.M Billets Reports'!B1826,P1826)</f>
      </c>
    </row>
    <row r="1828" spans="1:16" x14ac:dyDescent="0.25">
      <c r="A1828">
        <f>IF(OR('R.M Billets Reports'!A1827="Date-",'R.M Billets Reports'!A1827="Date:-"),IF(IF(IF(ISNUMBER(SEARCH("Party Name:-",'R.M Billets Reports'!D1827)),TRIM('R.M Billets Reports'!F1827),IF(ISNUMBER(SEARCH("Party Name-",'R.M Billets Reports'!D1827)),TRIM(MID('R.M Billets Reports'!D1827,SEARCH("-",'R.M Billets Reports'!D1827)+1,200)),""))&lt;&gt;"",IF(ISNUMBER(SEARCH("Party Name:-",'R.M Billets Reports'!D1827)),TRIM('R.M Billets Reports'!F1827),IF(ISNUMBER(SEARCH("Party Name-",'R.M Billets Reports'!D1827)),TRIM(MID('R.M Billets Reports'!D1827,SEARCH("-",'R.M Billets Reports'!D1827)+1,200)),"")),IF(ISNUMBER(SEARCH("Party Name:-",'R.M Billets Reports'!D1828)),TRIM('R.M Billets Reports'!F1828),IF(ISNUMBER(SEARCH("Party Name-",'R.M Billets Reports'!D1828)),TRIM(MID('R.M Billets Reports'!D1828,SEARCH("-",'R.M Billets Reports'!D1828)+1,200)),"")))="VRKP ISPAT PVT LTD","VRKP",IF(IF(IF(ISNUMBER(SEARCH("Party Name:-",'R.M Billets Reports'!D1827)),TRIM('R.M Billets Reports'!F1827),IF(ISNUMBER(SEARCH("Party Name-",'R.M Billets Reports'!D1827)),TRIM(MID('R.M Billets Reports'!D1827,SEARCH("-",'R.M Billets Reports'!D1827)+1,200)),""))&lt;&gt;"",IF(ISNUMBER(SEARCH("Party Name:-",'R.M Billets Reports'!D1827)),TRIM('R.M Billets Reports'!F1827),IF(ISNUMBER(SEARCH("Party Name-",'R.M Billets Reports'!D1827)),TRIM(MID('R.M Billets Reports'!D1827,SEARCH("-",'R.M Billets Reports'!D1827)+1,200)),"")),IF(ISNUMBER(SEARCH("Party Name:-",'R.M Billets Reports'!D1828)),TRIM('R.M Billets Reports'!F1828),IF(ISNUMBER(SEARCH("Party Name-",'R.M Billets Reports'!D1828)),TRIM(MID('R.M Billets Reports'!D1828,SEARCH("-",'R.M Billets Reports'!D1828)+1,200)),"")))="SHRI RADHE","SHREE RADHE",IF(IF(IF(ISNUMBER(SEARCH("Party Name:-",'R.M Billets Reports'!D1827)),TRIM('R.M Billets Reports'!F1827),IF(ISNUMBER(SEARCH("Party Name-",'R.M Billets Reports'!D1827)),TRIM(MID('R.M Billets Reports'!D1827,SEARCH("-",'R.M Billets Reports'!D1827)+1,200)),""))&lt;&gt;"",IF(ISNUMBER(SEARCH("Party Name:-",'R.M Billets Reports'!D1827)),TRIM('R.M Billets Reports'!F1827),IF(ISNUMBER(SEARCH("Party Name-",'R.M Billets Reports'!D1827)),TRIM(MID('R.M Billets Reports'!D1827,SEARCH("-",'R.M Billets Reports'!D1827)+1,200)),"")),IF(ISNUMBER(SEARCH("Party Name:-",'R.M Billets Reports'!D1828)),TRIM('R.M Billets Reports'!F1828),IF(ISNUMBER(SEARCH("Party Name-",'R.M Billets Reports'!D1828)),TRIM(MID('R.M Billets Reports'!D1828,SEARCH("-",'R.M Billets Reports'!D1828)+1,200)),"")))="SHREE RADHE SHAKTI SPONGE AND POWER PVT. LTD.","SHREE RADHE",IF(IF(ISNUMBER(SEARCH("Party Name:-",'R.M Billets Reports'!D1827)),TRIM('R.M Billets Reports'!F1827),IF(ISNUMBER(SEARCH("Party Name-",'R.M Billets Reports'!D1827)),TRIM(MID('R.M Billets Reports'!D1827,SEARCH("-",'R.M Billets Reports'!D1827)+1,200)),""))&lt;&gt;"",IF(ISNUMBER(SEARCH("Party Name:-",'R.M Billets Reports'!D1827)),TRIM('R.M Billets Reports'!F1827),IF(ISNUMBER(SEARCH("Party Name-",'R.M Billets Reports'!D1827)),TRIM(MID('R.M Billets Reports'!D1827,SEARCH("-",'R.M Billets Reports'!D1827)+1,200)),"")),IF(ISNUMBER(SEARCH("Party Name:-",'R.M Billets Reports'!D1828)),TRIM('R.M Billets Reports'!F1828),IF(ISNUMBER(SEARCH("Party Name-",'R.M Billets Reports'!D1828)),TRIM(MID('R.M Billets Reports'!D1828,SEARCH("-",'R.M Billets Reports'!D1828)+1,200)),"")))))),IF(ROW()=2,"",A1827))</f>
      </c>
      <c r="B1828">
        <f>IF(OR('R.M Billets Reports'!A1827="Date-",'R.M Billets Reports'!A1827="Date:-"),'R.M Billets Reports'!B1827,IF(ROW()=2,"",B1827))</f>
      </c>
      <c r="C1828">
        <f>IF('R.M Billets Reports'!A1827="V.No.",'R.M Billets Reports'!B1827,IF(ROW()=2,"",C1827))</f>
      </c>
      <c r="D1828">
        <f>IF('R.M Billets Reports'!A1827&lt;&gt;"",'R.M Billets Reports'!A1827,IF(ROW()=2,"",D1827))</f>
      </c>
      <c r="E1828">
        <f>IF('R.M Billets Reports'!B1827="","",TRIM('R.M Billets Reports'!B1827))</f>
      </c>
      <c r="F1828">
        <f>'R.M Billets Reports'!C1827</f>
      </c>
      <c r="G1828">
        <f>'R.M Billets Reports'!D1827</f>
      </c>
      <c r="H1828">
        <f>'R.M Billets Reports'!E1827</f>
      </c>
      <c r="I1828">
        <f>'R.M Billets Reports'!F1827</f>
      </c>
      <c r="J1828">
        <f>'R.M Billets Reports'!G1827</f>
      </c>
      <c r="K1828">
        <f>'R.M Billets Reports'!H1827</f>
      </c>
      <c r="L1828">
        <f>IF('R.M Billets Reports'!I1827="","",'R.M Billets Reports'!I1827)</f>
      </c>
      <c r="M1828">
        <f t="shared" si="56"/>
      </c>
      <c r="N1828">
        <f>IF('R.M Billets Reports'!J1827="","",'R.M Billets Reports'!J1827)</f>
      </c>
      <c r="O1828">
        <f t="shared" si="57"/>
      </c>
      <c r="P1828">
        <f>IF('R.M Billets Reports'!A1827="SIZE",'R.M Billets Reports'!B1827,P1827)</f>
      </c>
    </row>
    <row r="1829" spans="1:16" x14ac:dyDescent="0.25">
      <c r="A1829">
        <f>IF(OR('R.M Billets Reports'!A1828="Date-",'R.M Billets Reports'!A1828="Date:-"),IF(IF(IF(ISNUMBER(SEARCH("Party Name:-",'R.M Billets Reports'!D1828)),TRIM('R.M Billets Reports'!F1828),IF(ISNUMBER(SEARCH("Party Name-",'R.M Billets Reports'!D1828)),TRIM(MID('R.M Billets Reports'!D1828,SEARCH("-",'R.M Billets Reports'!D1828)+1,200)),""))&lt;&gt;"",IF(ISNUMBER(SEARCH("Party Name:-",'R.M Billets Reports'!D1828)),TRIM('R.M Billets Reports'!F1828),IF(ISNUMBER(SEARCH("Party Name-",'R.M Billets Reports'!D1828)),TRIM(MID('R.M Billets Reports'!D1828,SEARCH("-",'R.M Billets Reports'!D1828)+1,200)),"")),IF(ISNUMBER(SEARCH("Party Name:-",'R.M Billets Reports'!D1829)),TRIM('R.M Billets Reports'!F1829),IF(ISNUMBER(SEARCH("Party Name-",'R.M Billets Reports'!D1829)),TRIM(MID('R.M Billets Reports'!D1829,SEARCH("-",'R.M Billets Reports'!D1829)+1,200)),"")))="VRKP ISPAT PVT LTD","VRKP",IF(IF(IF(ISNUMBER(SEARCH("Party Name:-",'R.M Billets Reports'!D1828)),TRIM('R.M Billets Reports'!F1828),IF(ISNUMBER(SEARCH("Party Name-",'R.M Billets Reports'!D1828)),TRIM(MID('R.M Billets Reports'!D1828,SEARCH("-",'R.M Billets Reports'!D1828)+1,200)),""))&lt;&gt;"",IF(ISNUMBER(SEARCH("Party Name:-",'R.M Billets Reports'!D1828)),TRIM('R.M Billets Reports'!F1828),IF(ISNUMBER(SEARCH("Party Name-",'R.M Billets Reports'!D1828)),TRIM(MID('R.M Billets Reports'!D1828,SEARCH("-",'R.M Billets Reports'!D1828)+1,200)),"")),IF(ISNUMBER(SEARCH("Party Name:-",'R.M Billets Reports'!D1829)),TRIM('R.M Billets Reports'!F1829),IF(ISNUMBER(SEARCH("Party Name-",'R.M Billets Reports'!D1829)),TRIM(MID('R.M Billets Reports'!D1829,SEARCH("-",'R.M Billets Reports'!D1829)+1,200)),"")))="SHRI RADHE","SHREE RADHE",IF(IF(IF(ISNUMBER(SEARCH("Party Name:-",'R.M Billets Reports'!D1828)),TRIM('R.M Billets Reports'!F1828),IF(ISNUMBER(SEARCH("Party Name-",'R.M Billets Reports'!D1828)),TRIM(MID('R.M Billets Reports'!D1828,SEARCH("-",'R.M Billets Reports'!D1828)+1,200)),""))&lt;&gt;"",IF(ISNUMBER(SEARCH("Party Name:-",'R.M Billets Reports'!D1828)),TRIM('R.M Billets Reports'!F1828),IF(ISNUMBER(SEARCH("Party Name-",'R.M Billets Reports'!D1828)),TRIM(MID('R.M Billets Reports'!D1828,SEARCH("-",'R.M Billets Reports'!D1828)+1,200)),"")),IF(ISNUMBER(SEARCH("Party Name:-",'R.M Billets Reports'!D1829)),TRIM('R.M Billets Reports'!F1829),IF(ISNUMBER(SEARCH("Party Name-",'R.M Billets Reports'!D1829)),TRIM(MID('R.M Billets Reports'!D1829,SEARCH("-",'R.M Billets Reports'!D1829)+1,200)),"")))="SHREE RADHE SHAKTI SPONGE AND POWER PVT. LTD.","SHREE RADHE",IF(IF(ISNUMBER(SEARCH("Party Name:-",'R.M Billets Reports'!D1828)),TRIM('R.M Billets Reports'!F1828),IF(ISNUMBER(SEARCH("Party Name-",'R.M Billets Reports'!D1828)),TRIM(MID('R.M Billets Reports'!D1828,SEARCH("-",'R.M Billets Reports'!D1828)+1,200)),""))&lt;&gt;"",IF(ISNUMBER(SEARCH("Party Name:-",'R.M Billets Reports'!D1828)),TRIM('R.M Billets Reports'!F1828),IF(ISNUMBER(SEARCH("Party Name-",'R.M Billets Reports'!D1828)),TRIM(MID('R.M Billets Reports'!D1828,SEARCH("-",'R.M Billets Reports'!D1828)+1,200)),"")),IF(ISNUMBER(SEARCH("Party Name:-",'R.M Billets Reports'!D1829)),TRIM('R.M Billets Reports'!F1829),IF(ISNUMBER(SEARCH("Party Name-",'R.M Billets Reports'!D1829)),TRIM(MID('R.M Billets Reports'!D1829,SEARCH("-",'R.M Billets Reports'!D1829)+1,200)),"")))))),IF(ROW()=2,"",A1828))</f>
      </c>
      <c r="B1829">
        <f>IF(OR('R.M Billets Reports'!A1828="Date-",'R.M Billets Reports'!A1828="Date:-"),'R.M Billets Reports'!B1828,IF(ROW()=2,"",B1828))</f>
      </c>
      <c r="C1829">
        <f>IF('R.M Billets Reports'!A1828="V.No.",'R.M Billets Reports'!B1828,IF(ROW()=2,"",C1828))</f>
      </c>
      <c r="D1829">
        <f>IF('R.M Billets Reports'!A1828&lt;&gt;"",'R.M Billets Reports'!A1828,IF(ROW()=2,"",D1828))</f>
      </c>
      <c r="E1829">
        <f>IF('R.M Billets Reports'!B1828="","",TRIM('R.M Billets Reports'!B1828))</f>
      </c>
      <c r="F1829">
        <f>'R.M Billets Reports'!C1828</f>
      </c>
      <c r="G1829">
        <f>'R.M Billets Reports'!D1828</f>
      </c>
      <c r="H1829">
        <f>'R.M Billets Reports'!E1828</f>
      </c>
      <c r="I1829">
        <f>'R.M Billets Reports'!F1828</f>
      </c>
      <c r="J1829">
        <f>'R.M Billets Reports'!G1828</f>
      </c>
      <c r="K1829">
        <f>'R.M Billets Reports'!H1828</f>
      </c>
      <c r="L1829">
        <f>IF('R.M Billets Reports'!I1828="","",'R.M Billets Reports'!I1828)</f>
      </c>
      <c r="M1829">
        <f t="shared" si="56"/>
      </c>
      <c r="N1829">
        <f>IF('R.M Billets Reports'!J1828="","",'R.M Billets Reports'!J1828)</f>
      </c>
      <c r="O1829">
        <f t="shared" si="57"/>
      </c>
      <c r="P1829">
        <f>IF('R.M Billets Reports'!A1828="SIZE",'R.M Billets Reports'!B1828,P1828)</f>
      </c>
    </row>
    <row r="1830" spans="1:16" x14ac:dyDescent="0.25">
      <c r="A1830">
        <f>IF(OR('R.M Billets Reports'!A1829="Date-",'R.M Billets Reports'!A1829="Date:-"),IF(IF(IF(ISNUMBER(SEARCH("Party Name:-",'R.M Billets Reports'!D1829)),TRIM('R.M Billets Reports'!F1829),IF(ISNUMBER(SEARCH("Party Name-",'R.M Billets Reports'!D1829)),TRIM(MID('R.M Billets Reports'!D1829,SEARCH("-",'R.M Billets Reports'!D1829)+1,200)),""))&lt;&gt;"",IF(ISNUMBER(SEARCH("Party Name:-",'R.M Billets Reports'!D1829)),TRIM('R.M Billets Reports'!F1829),IF(ISNUMBER(SEARCH("Party Name-",'R.M Billets Reports'!D1829)),TRIM(MID('R.M Billets Reports'!D1829,SEARCH("-",'R.M Billets Reports'!D1829)+1,200)),"")),IF(ISNUMBER(SEARCH("Party Name:-",'R.M Billets Reports'!D1830)),TRIM('R.M Billets Reports'!F1830),IF(ISNUMBER(SEARCH("Party Name-",'R.M Billets Reports'!D1830)),TRIM(MID('R.M Billets Reports'!D1830,SEARCH("-",'R.M Billets Reports'!D1830)+1,200)),"")))="VRKP ISPAT PVT LTD","VRKP",IF(IF(IF(ISNUMBER(SEARCH("Party Name:-",'R.M Billets Reports'!D1829)),TRIM('R.M Billets Reports'!F1829),IF(ISNUMBER(SEARCH("Party Name-",'R.M Billets Reports'!D1829)),TRIM(MID('R.M Billets Reports'!D1829,SEARCH("-",'R.M Billets Reports'!D1829)+1,200)),""))&lt;&gt;"",IF(ISNUMBER(SEARCH("Party Name:-",'R.M Billets Reports'!D1829)),TRIM('R.M Billets Reports'!F1829),IF(ISNUMBER(SEARCH("Party Name-",'R.M Billets Reports'!D1829)),TRIM(MID('R.M Billets Reports'!D1829,SEARCH("-",'R.M Billets Reports'!D1829)+1,200)),"")),IF(ISNUMBER(SEARCH("Party Name:-",'R.M Billets Reports'!D1830)),TRIM('R.M Billets Reports'!F1830),IF(ISNUMBER(SEARCH("Party Name-",'R.M Billets Reports'!D1830)),TRIM(MID('R.M Billets Reports'!D1830,SEARCH("-",'R.M Billets Reports'!D1830)+1,200)),"")))="SHRI RADHE","SHREE RADHE",IF(IF(IF(ISNUMBER(SEARCH("Party Name:-",'R.M Billets Reports'!D1829)),TRIM('R.M Billets Reports'!F1829),IF(ISNUMBER(SEARCH("Party Name-",'R.M Billets Reports'!D1829)),TRIM(MID('R.M Billets Reports'!D1829,SEARCH("-",'R.M Billets Reports'!D1829)+1,200)),""))&lt;&gt;"",IF(ISNUMBER(SEARCH("Party Name:-",'R.M Billets Reports'!D1829)),TRIM('R.M Billets Reports'!F1829),IF(ISNUMBER(SEARCH("Party Name-",'R.M Billets Reports'!D1829)),TRIM(MID('R.M Billets Reports'!D1829,SEARCH("-",'R.M Billets Reports'!D1829)+1,200)),"")),IF(ISNUMBER(SEARCH("Party Name:-",'R.M Billets Reports'!D1830)),TRIM('R.M Billets Reports'!F1830),IF(ISNUMBER(SEARCH("Party Name-",'R.M Billets Reports'!D1830)),TRIM(MID('R.M Billets Reports'!D1830,SEARCH("-",'R.M Billets Reports'!D1830)+1,200)),"")))="SHREE RADHE SHAKTI SPONGE AND POWER PVT. LTD.","SHREE RADHE",IF(IF(ISNUMBER(SEARCH("Party Name:-",'R.M Billets Reports'!D1829)),TRIM('R.M Billets Reports'!F1829),IF(ISNUMBER(SEARCH("Party Name-",'R.M Billets Reports'!D1829)),TRIM(MID('R.M Billets Reports'!D1829,SEARCH("-",'R.M Billets Reports'!D1829)+1,200)),""))&lt;&gt;"",IF(ISNUMBER(SEARCH("Party Name:-",'R.M Billets Reports'!D1829)),TRIM('R.M Billets Reports'!F1829),IF(ISNUMBER(SEARCH("Party Name-",'R.M Billets Reports'!D1829)),TRIM(MID('R.M Billets Reports'!D1829,SEARCH("-",'R.M Billets Reports'!D1829)+1,200)),"")),IF(ISNUMBER(SEARCH("Party Name:-",'R.M Billets Reports'!D1830)),TRIM('R.M Billets Reports'!F1830),IF(ISNUMBER(SEARCH("Party Name-",'R.M Billets Reports'!D1830)),TRIM(MID('R.M Billets Reports'!D1830,SEARCH("-",'R.M Billets Reports'!D1830)+1,200)),"")))))),IF(ROW()=2,"",A1829))</f>
      </c>
      <c r="B1830">
        <f>IF(OR('R.M Billets Reports'!A1829="Date-",'R.M Billets Reports'!A1829="Date:-"),'R.M Billets Reports'!B1829,IF(ROW()=2,"",B1829))</f>
      </c>
      <c r="C1830">
        <f>IF('R.M Billets Reports'!A1829="V.No.",'R.M Billets Reports'!B1829,IF(ROW()=2,"",C1829))</f>
      </c>
      <c r="D1830">
        <f>IF('R.M Billets Reports'!A1829&lt;&gt;"",'R.M Billets Reports'!A1829,IF(ROW()=2,"",D1829))</f>
      </c>
      <c r="E1830">
        <f>IF('R.M Billets Reports'!B1829="","",TRIM('R.M Billets Reports'!B1829))</f>
      </c>
      <c r="F1830">
        <f>'R.M Billets Reports'!C1829</f>
      </c>
      <c r="G1830">
        <f>'R.M Billets Reports'!D1829</f>
      </c>
      <c r="H1830">
        <f>'R.M Billets Reports'!E1829</f>
      </c>
      <c r="I1830">
        <f>'R.M Billets Reports'!F1829</f>
      </c>
      <c r="J1830">
        <f>'R.M Billets Reports'!G1829</f>
      </c>
      <c r="K1830">
        <f>'R.M Billets Reports'!H1829</f>
      </c>
      <c r="L1830">
        <f>IF('R.M Billets Reports'!I1829="","",'R.M Billets Reports'!I1829)</f>
      </c>
      <c r="M1830">
        <f t="shared" si="56"/>
      </c>
      <c r="N1830">
        <f>IF('R.M Billets Reports'!J1829="","",'R.M Billets Reports'!J1829)</f>
      </c>
      <c r="O1830">
        <f t="shared" si="57"/>
      </c>
      <c r="P1830">
        <f>IF('R.M Billets Reports'!A1829="SIZE",'R.M Billets Reports'!B1829,P1829)</f>
      </c>
    </row>
    <row r="1831" spans="1:16" x14ac:dyDescent="0.25">
      <c r="A1831">
        <f>IF(OR('R.M Billets Reports'!A1830="Date-",'R.M Billets Reports'!A1830="Date:-"),IF(IF(IF(ISNUMBER(SEARCH("Party Name:-",'R.M Billets Reports'!D1830)),TRIM('R.M Billets Reports'!F1830),IF(ISNUMBER(SEARCH("Party Name-",'R.M Billets Reports'!D1830)),TRIM(MID('R.M Billets Reports'!D1830,SEARCH("-",'R.M Billets Reports'!D1830)+1,200)),""))&lt;&gt;"",IF(ISNUMBER(SEARCH("Party Name:-",'R.M Billets Reports'!D1830)),TRIM('R.M Billets Reports'!F1830),IF(ISNUMBER(SEARCH("Party Name-",'R.M Billets Reports'!D1830)),TRIM(MID('R.M Billets Reports'!D1830,SEARCH("-",'R.M Billets Reports'!D1830)+1,200)),"")),IF(ISNUMBER(SEARCH("Party Name:-",'R.M Billets Reports'!D1831)),TRIM('R.M Billets Reports'!F1831),IF(ISNUMBER(SEARCH("Party Name-",'R.M Billets Reports'!D1831)),TRIM(MID('R.M Billets Reports'!D1831,SEARCH("-",'R.M Billets Reports'!D1831)+1,200)),"")))="VRKP ISPAT PVT LTD","VRKP",IF(IF(IF(ISNUMBER(SEARCH("Party Name:-",'R.M Billets Reports'!D1830)),TRIM('R.M Billets Reports'!F1830),IF(ISNUMBER(SEARCH("Party Name-",'R.M Billets Reports'!D1830)),TRIM(MID('R.M Billets Reports'!D1830,SEARCH("-",'R.M Billets Reports'!D1830)+1,200)),""))&lt;&gt;"",IF(ISNUMBER(SEARCH("Party Name:-",'R.M Billets Reports'!D1830)),TRIM('R.M Billets Reports'!F1830),IF(ISNUMBER(SEARCH("Party Name-",'R.M Billets Reports'!D1830)),TRIM(MID('R.M Billets Reports'!D1830,SEARCH("-",'R.M Billets Reports'!D1830)+1,200)),"")),IF(ISNUMBER(SEARCH("Party Name:-",'R.M Billets Reports'!D1831)),TRIM('R.M Billets Reports'!F1831),IF(ISNUMBER(SEARCH("Party Name-",'R.M Billets Reports'!D1831)),TRIM(MID('R.M Billets Reports'!D1831,SEARCH("-",'R.M Billets Reports'!D1831)+1,200)),"")))="SHRI RADHE","SHREE RADHE",IF(IF(IF(ISNUMBER(SEARCH("Party Name:-",'R.M Billets Reports'!D1830)),TRIM('R.M Billets Reports'!F1830),IF(ISNUMBER(SEARCH("Party Name-",'R.M Billets Reports'!D1830)),TRIM(MID('R.M Billets Reports'!D1830,SEARCH("-",'R.M Billets Reports'!D1830)+1,200)),""))&lt;&gt;"",IF(ISNUMBER(SEARCH("Party Name:-",'R.M Billets Reports'!D1830)),TRIM('R.M Billets Reports'!F1830),IF(ISNUMBER(SEARCH("Party Name-",'R.M Billets Reports'!D1830)),TRIM(MID('R.M Billets Reports'!D1830,SEARCH("-",'R.M Billets Reports'!D1830)+1,200)),"")),IF(ISNUMBER(SEARCH("Party Name:-",'R.M Billets Reports'!D1831)),TRIM('R.M Billets Reports'!F1831),IF(ISNUMBER(SEARCH("Party Name-",'R.M Billets Reports'!D1831)),TRIM(MID('R.M Billets Reports'!D1831,SEARCH("-",'R.M Billets Reports'!D1831)+1,200)),"")))="SHREE RADHE SHAKTI SPONGE AND POWER PVT. LTD.","SHREE RADHE",IF(IF(ISNUMBER(SEARCH("Party Name:-",'R.M Billets Reports'!D1830)),TRIM('R.M Billets Reports'!F1830),IF(ISNUMBER(SEARCH("Party Name-",'R.M Billets Reports'!D1830)),TRIM(MID('R.M Billets Reports'!D1830,SEARCH("-",'R.M Billets Reports'!D1830)+1,200)),""))&lt;&gt;"",IF(ISNUMBER(SEARCH("Party Name:-",'R.M Billets Reports'!D1830)),TRIM('R.M Billets Reports'!F1830),IF(ISNUMBER(SEARCH("Party Name-",'R.M Billets Reports'!D1830)),TRIM(MID('R.M Billets Reports'!D1830,SEARCH("-",'R.M Billets Reports'!D1830)+1,200)),"")),IF(ISNUMBER(SEARCH("Party Name:-",'R.M Billets Reports'!D1831)),TRIM('R.M Billets Reports'!F1831),IF(ISNUMBER(SEARCH("Party Name-",'R.M Billets Reports'!D1831)),TRIM(MID('R.M Billets Reports'!D1831,SEARCH("-",'R.M Billets Reports'!D1831)+1,200)),"")))))),IF(ROW()=2,"",A1830))</f>
      </c>
      <c r="B1831">
        <f>IF(OR('R.M Billets Reports'!A1830="Date-",'R.M Billets Reports'!A1830="Date:-"),'R.M Billets Reports'!B1830,IF(ROW()=2,"",B1830))</f>
      </c>
      <c r="C1831">
        <f>IF('R.M Billets Reports'!A1830="V.No.",'R.M Billets Reports'!B1830,IF(ROW()=2,"",C1830))</f>
      </c>
      <c r="D1831">
        <f>IF('R.M Billets Reports'!A1830&lt;&gt;"",'R.M Billets Reports'!A1830,IF(ROW()=2,"",D1830))</f>
      </c>
      <c r="E1831">
        <f>IF('R.M Billets Reports'!B1830="","",TRIM('R.M Billets Reports'!B1830))</f>
      </c>
      <c r="F1831">
        <f>'R.M Billets Reports'!C1830</f>
      </c>
      <c r="G1831">
        <f>'R.M Billets Reports'!D1830</f>
      </c>
      <c r="H1831">
        <f>'R.M Billets Reports'!E1830</f>
      </c>
      <c r="I1831">
        <f>'R.M Billets Reports'!F1830</f>
      </c>
      <c r="J1831">
        <f>'R.M Billets Reports'!G1830</f>
      </c>
      <c r="K1831">
        <f>'R.M Billets Reports'!H1830</f>
      </c>
      <c r="L1831">
        <f>IF('R.M Billets Reports'!I1830="","",'R.M Billets Reports'!I1830)</f>
      </c>
      <c r="M1831">
        <f t="shared" si="56"/>
      </c>
      <c r="N1831">
        <f>IF('R.M Billets Reports'!J1830="","",'R.M Billets Reports'!J1830)</f>
      </c>
      <c r="O1831">
        <f t="shared" si="57"/>
      </c>
      <c r="P1831">
        <f>IF('R.M Billets Reports'!A1830="SIZE",'R.M Billets Reports'!B1830,P1830)</f>
      </c>
    </row>
    <row r="1832" spans="1:16" x14ac:dyDescent="0.25">
      <c r="A1832">
        <f>IF(OR('R.M Billets Reports'!A1831="Date-",'R.M Billets Reports'!A1831="Date:-"),IF(IF(IF(ISNUMBER(SEARCH("Party Name:-",'R.M Billets Reports'!D1831)),TRIM('R.M Billets Reports'!F1831),IF(ISNUMBER(SEARCH("Party Name-",'R.M Billets Reports'!D1831)),TRIM(MID('R.M Billets Reports'!D1831,SEARCH("-",'R.M Billets Reports'!D1831)+1,200)),""))&lt;&gt;"",IF(ISNUMBER(SEARCH("Party Name:-",'R.M Billets Reports'!D1831)),TRIM('R.M Billets Reports'!F1831),IF(ISNUMBER(SEARCH("Party Name-",'R.M Billets Reports'!D1831)),TRIM(MID('R.M Billets Reports'!D1831,SEARCH("-",'R.M Billets Reports'!D1831)+1,200)),"")),IF(ISNUMBER(SEARCH("Party Name:-",'R.M Billets Reports'!D1832)),TRIM('R.M Billets Reports'!F1832),IF(ISNUMBER(SEARCH("Party Name-",'R.M Billets Reports'!D1832)),TRIM(MID('R.M Billets Reports'!D1832,SEARCH("-",'R.M Billets Reports'!D1832)+1,200)),"")))="VRKP ISPAT PVT LTD","VRKP",IF(IF(IF(ISNUMBER(SEARCH("Party Name:-",'R.M Billets Reports'!D1831)),TRIM('R.M Billets Reports'!F1831),IF(ISNUMBER(SEARCH("Party Name-",'R.M Billets Reports'!D1831)),TRIM(MID('R.M Billets Reports'!D1831,SEARCH("-",'R.M Billets Reports'!D1831)+1,200)),""))&lt;&gt;"",IF(ISNUMBER(SEARCH("Party Name:-",'R.M Billets Reports'!D1831)),TRIM('R.M Billets Reports'!F1831),IF(ISNUMBER(SEARCH("Party Name-",'R.M Billets Reports'!D1831)),TRIM(MID('R.M Billets Reports'!D1831,SEARCH("-",'R.M Billets Reports'!D1831)+1,200)),"")),IF(ISNUMBER(SEARCH("Party Name:-",'R.M Billets Reports'!D1832)),TRIM('R.M Billets Reports'!F1832),IF(ISNUMBER(SEARCH("Party Name-",'R.M Billets Reports'!D1832)),TRIM(MID('R.M Billets Reports'!D1832,SEARCH("-",'R.M Billets Reports'!D1832)+1,200)),"")))="SHRI RADHE","SHREE RADHE",IF(IF(IF(ISNUMBER(SEARCH("Party Name:-",'R.M Billets Reports'!D1831)),TRIM('R.M Billets Reports'!F1831),IF(ISNUMBER(SEARCH("Party Name-",'R.M Billets Reports'!D1831)),TRIM(MID('R.M Billets Reports'!D1831,SEARCH("-",'R.M Billets Reports'!D1831)+1,200)),""))&lt;&gt;"",IF(ISNUMBER(SEARCH("Party Name:-",'R.M Billets Reports'!D1831)),TRIM('R.M Billets Reports'!F1831),IF(ISNUMBER(SEARCH("Party Name-",'R.M Billets Reports'!D1831)),TRIM(MID('R.M Billets Reports'!D1831,SEARCH("-",'R.M Billets Reports'!D1831)+1,200)),"")),IF(ISNUMBER(SEARCH("Party Name:-",'R.M Billets Reports'!D1832)),TRIM('R.M Billets Reports'!F1832),IF(ISNUMBER(SEARCH("Party Name-",'R.M Billets Reports'!D1832)),TRIM(MID('R.M Billets Reports'!D1832,SEARCH("-",'R.M Billets Reports'!D1832)+1,200)),"")))="SHREE RADHE SHAKTI SPONGE AND POWER PVT. LTD.","SHREE RADHE",IF(IF(ISNUMBER(SEARCH("Party Name:-",'R.M Billets Reports'!D1831)),TRIM('R.M Billets Reports'!F1831),IF(ISNUMBER(SEARCH("Party Name-",'R.M Billets Reports'!D1831)),TRIM(MID('R.M Billets Reports'!D1831,SEARCH("-",'R.M Billets Reports'!D1831)+1,200)),""))&lt;&gt;"",IF(ISNUMBER(SEARCH("Party Name:-",'R.M Billets Reports'!D1831)),TRIM('R.M Billets Reports'!F1831),IF(ISNUMBER(SEARCH("Party Name-",'R.M Billets Reports'!D1831)),TRIM(MID('R.M Billets Reports'!D1831,SEARCH("-",'R.M Billets Reports'!D1831)+1,200)),"")),IF(ISNUMBER(SEARCH("Party Name:-",'R.M Billets Reports'!D1832)),TRIM('R.M Billets Reports'!F1832),IF(ISNUMBER(SEARCH("Party Name-",'R.M Billets Reports'!D1832)),TRIM(MID('R.M Billets Reports'!D1832,SEARCH("-",'R.M Billets Reports'!D1832)+1,200)),"")))))),IF(ROW()=2,"",A1831))</f>
      </c>
      <c r="B1832">
        <f>IF(OR('R.M Billets Reports'!A1831="Date-",'R.M Billets Reports'!A1831="Date:-"),'R.M Billets Reports'!B1831,IF(ROW()=2,"",B1831))</f>
      </c>
      <c r="C1832">
        <f>IF('R.M Billets Reports'!A1831="V.No.",'R.M Billets Reports'!B1831,IF(ROW()=2,"",C1831))</f>
      </c>
      <c r="D1832">
        <f>IF('R.M Billets Reports'!A1831&lt;&gt;"",'R.M Billets Reports'!A1831,IF(ROW()=2,"",D1831))</f>
      </c>
      <c r="E1832">
        <f>IF('R.M Billets Reports'!B1831="","",TRIM('R.M Billets Reports'!B1831))</f>
      </c>
      <c r="F1832">
        <f>'R.M Billets Reports'!C1831</f>
      </c>
      <c r="G1832">
        <f>'R.M Billets Reports'!D1831</f>
      </c>
      <c r="H1832">
        <f>'R.M Billets Reports'!E1831</f>
      </c>
      <c r="I1832">
        <f>'R.M Billets Reports'!F1831</f>
      </c>
      <c r="J1832">
        <f>'R.M Billets Reports'!G1831</f>
      </c>
      <c r="K1832">
        <f>'R.M Billets Reports'!H1831</f>
      </c>
      <c r="L1832">
        <f>IF('R.M Billets Reports'!I1831="","",'R.M Billets Reports'!I1831)</f>
      </c>
      <c r="M1832">
        <f t="shared" si="56"/>
      </c>
      <c r="N1832">
        <f>IF('R.M Billets Reports'!J1831="","",'R.M Billets Reports'!J1831)</f>
      </c>
      <c r="O1832">
        <f t="shared" si="57"/>
      </c>
      <c r="P1832">
        <f>IF('R.M Billets Reports'!A1831="SIZE",'R.M Billets Reports'!B1831,P1831)</f>
      </c>
    </row>
    <row r="1833" spans="1:16" x14ac:dyDescent="0.25">
      <c r="A1833">
        <f>IF(OR('R.M Billets Reports'!A1832="Date-",'R.M Billets Reports'!A1832="Date:-"),IF(IF(IF(ISNUMBER(SEARCH("Party Name:-",'R.M Billets Reports'!D1832)),TRIM('R.M Billets Reports'!F1832),IF(ISNUMBER(SEARCH("Party Name-",'R.M Billets Reports'!D1832)),TRIM(MID('R.M Billets Reports'!D1832,SEARCH("-",'R.M Billets Reports'!D1832)+1,200)),""))&lt;&gt;"",IF(ISNUMBER(SEARCH("Party Name:-",'R.M Billets Reports'!D1832)),TRIM('R.M Billets Reports'!F1832),IF(ISNUMBER(SEARCH("Party Name-",'R.M Billets Reports'!D1832)),TRIM(MID('R.M Billets Reports'!D1832,SEARCH("-",'R.M Billets Reports'!D1832)+1,200)),"")),IF(ISNUMBER(SEARCH("Party Name:-",'R.M Billets Reports'!D1833)),TRIM('R.M Billets Reports'!F1833),IF(ISNUMBER(SEARCH("Party Name-",'R.M Billets Reports'!D1833)),TRIM(MID('R.M Billets Reports'!D1833,SEARCH("-",'R.M Billets Reports'!D1833)+1,200)),"")))="VRKP ISPAT PVT LTD","VRKP",IF(IF(IF(ISNUMBER(SEARCH("Party Name:-",'R.M Billets Reports'!D1832)),TRIM('R.M Billets Reports'!F1832),IF(ISNUMBER(SEARCH("Party Name-",'R.M Billets Reports'!D1832)),TRIM(MID('R.M Billets Reports'!D1832,SEARCH("-",'R.M Billets Reports'!D1832)+1,200)),""))&lt;&gt;"",IF(ISNUMBER(SEARCH("Party Name:-",'R.M Billets Reports'!D1832)),TRIM('R.M Billets Reports'!F1832),IF(ISNUMBER(SEARCH("Party Name-",'R.M Billets Reports'!D1832)),TRIM(MID('R.M Billets Reports'!D1832,SEARCH("-",'R.M Billets Reports'!D1832)+1,200)),"")),IF(ISNUMBER(SEARCH("Party Name:-",'R.M Billets Reports'!D1833)),TRIM('R.M Billets Reports'!F1833),IF(ISNUMBER(SEARCH("Party Name-",'R.M Billets Reports'!D1833)),TRIM(MID('R.M Billets Reports'!D1833,SEARCH("-",'R.M Billets Reports'!D1833)+1,200)),"")))="SHRI RADHE","SHREE RADHE",IF(IF(IF(ISNUMBER(SEARCH("Party Name:-",'R.M Billets Reports'!D1832)),TRIM('R.M Billets Reports'!F1832),IF(ISNUMBER(SEARCH("Party Name-",'R.M Billets Reports'!D1832)),TRIM(MID('R.M Billets Reports'!D1832,SEARCH("-",'R.M Billets Reports'!D1832)+1,200)),""))&lt;&gt;"",IF(ISNUMBER(SEARCH("Party Name:-",'R.M Billets Reports'!D1832)),TRIM('R.M Billets Reports'!F1832),IF(ISNUMBER(SEARCH("Party Name-",'R.M Billets Reports'!D1832)),TRIM(MID('R.M Billets Reports'!D1832,SEARCH("-",'R.M Billets Reports'!D1832)+1,200)),"")),IF(ISNUMBER(SEARCH("Party Name:-",'R.M Billets Reports'!D1833)),TRIM('R.M Billets Reports'!F1833),IF(ISNUMBER(SEARCH("Party Name-",'R.M Billets Reports'!D1833)),TRIM(MID('R.M Billets Reports'!D1833,SEARCH("-",'R.M Billets Reports'!D1833)+1,200)),"")))="SHREE RADHE SHAKTI SPONGE AND POWER PVT. LTD.","SHREE RADHE",IF(IF(ISNUMBER(SEARCH("Party Name:-",'R.M Billets Reports'!D1832)),TRIM('R.M Billets Reports'!F1832),IF(ISNUMBER(SEARCH("Party Name-",'R.M Billets Reports'!D1832)),TRIM(MID('R.M Billets Reports'!D1832,SEARCH("-",'R.M Billets Reports'!D1832)+1,200)),""))&lt;&gt;"",IF(ISNUMBER(SEARCH("Party Name:-",'R.M Billets Reports'!D1832)),TRIM('R.M Billets Reports'!F1832),IF(ISNUMBER(SEARCH("Party Name-",'R.M Billets Reports'!D1832)),TRIM(MID('R.M Billets Reports'!D1832,SEARCH("-",'R.M Billets Reports'!D1832)+1,200)),"")),IF(ISNUMBER(SEARCH("Party Name:-",'R.M Billets Reports'!D1833)),TRIM('R.M Billets Reports'!F1833),IF(ISNUMBER(SEARCH("Party Name-",'R.M Billets Reports'!D1833)),TRIM(MID('R.M Billets Reports'!D1833,SEARCH("-",'R.M Billets Reports'!D1833)+1,200)),"")))))),IF(ROW()=2,"",A1832))</f>
      </c>
      <c r="B1833">
        <f>IF(OR('R.M Billets Reports'!A1832="Date-",'R.M Billets Reports'!A1832="Date:-"),'R.M Billets Reports'!B1832,IF(ROW()=2,"",B1832))</f>
      </c>
      <c r="C1833">
        <f>IF('R.M Billets Reports'!A1832="V.No.",'R.M Billets Reports'!B1832,IF(ROW()=2,"",C1832))</f>
      </c>
      <c r="D1833">
        <f>IF('R.M Billets Reports'!A1832&lt;&gt;"",'R.M Billets Reports'!A1832,IF(ROW()=2,"",D1832))</f>
      </c>
      <c r="E1833">
        <f>IF('R.M Billets Reports'!B1832="","",TRIM('R.M Billets Reports'!B1832))</f>
      </c>
      <c r="F1833">
        <f>'R.M Billets Reports'!C1832</f>
      </c>
      <c r="G1833">
        <f>'R.M Billets Reports'!D1832</f>
      </c>
      <c r="H1833">
        <f>'R.M Billets Reports'!E1832</f>
      </c>
      <c r="I1833">
        <f>'R.M Billets Reports'!F1832</f>
      </c>
      <c r="J1833">
        <f>'R.M Billets Reports'!G1832</f>
      </c>
      <c r="K1833">
        <f>'R.M Billets Reports'!H1832</f>
      </c>
      <c r="L1833">
        <f>IF('R.M Billets Reports'!I1832="","",'R.M Billets Reports'!I1832)</f>
      </c>
      <c r="M1833">
        <f t="shared" si="56"/>
      </c>
      <c r="N1833">
        <f>IF('R.M Billets Reports'!J1832="","",'R.M Billets Reports'!J1832)</f>
      </c>
      <c r="O1833">
        <f t="shared" si="57"/>
      </c>
      <c r="P1833">
        <f>IF('R.M Billets Reports'!A1832="SIZE",'R.M Billets Reports'!B1832,P1832)</f>
      </c>
    </row>
    <row r="1834" spans="1:16" x14ac:dyDescent="0.25">
      <c r="A1834">
        <f>IF(OR('R.M Billets Reports'!A1833="Date-",'R.M Billets Reports'!A1833="Date:-"),IF(IF(IF(ISNUMBER(SEARCH("Party Name:-",'R.M Billets Reports'!D1833)),TRIM('R.M Billets Reports'!F1833),IF(ISNUMBER(SEARCH("Party Name-",'R.M Billets Reports'!D1833)),TRIM(MID('R.M Billets Reports'!D1833,SEARCH("-",'R.M Billets Reports'!D1833)+1,200)),""))&lt;&gt;"",IF(ISNUMBER(SEARCH("Party Name:-",'R.M Billets Reports'!D1833)),TRIM('R.M Billets Reports'!F1833),IF(ISNUMBER(SEARCH("Party Name-",'R.M Billets Reports'!D1833)),TRIM(MID('R.M Billets Reports'!D1833,SEARCH("-",'R.M Billets Reports'!D1833)+1,200)),"")),IF(ISNUMBER(SEARCH("Party Name:-",'R.M Billets Reports'!D1834)),TRIM('R.M Billets Reports'!F1834),IF(ISNUMBER(SEARCH("Party Name-",'R.M Billets Reports'!D1834)),TRIM(MID('R.M Billets Reports'!D1834,SEARCH("-",'R.M Billets Reports'!D1834)+1,200)),"")))="VRKP ISPAT PVT LTD","VRKP",IF(IF(IF(ISNUMBER(SEARCH("Party Name:-",'R.M Billets Reports'!D1833)),TRIM('R.M Billets Reports'!F1833),IF(ISNUMBER(SEARCH("Party Name-",'R.M Billets Reports'!D1833)),TRIM(MID('R.M Billets Reports'!D1833,SEARCH("-",'R.M Billets Reports'!D1833)+1,200)),""))&lt;&gt;"",IF(ISNUMBER(SEARCH("Party Name:-",'R.M Billets Reports'!D1833)),TRIM('R.M Billets Reports'!F1833),IF(ISNUMBER(SEARCH("Party Name-",'R.M Billets Reports'!D1833)),TRIM(MID('R.M Billets Reports'!D1833,SEARCH("-",'R.M Billets Reports'!D1833)+1,200)),"")),IF(ISNUMBER(SEARCH("Party Name:-",'R.M Billets Reports'!D1834)),TRIM('R.M Billets Reports'!F1834),IF(ISNUMBER(SEARCH("Party Name-",'R.M Billets Reports'!D1834)),TRIM(MID('R.M Billets Reports'!D1834,SEARCH("-",'R.M Billets Reports'!D1834)+1,200)),"")))="SHRI RADHE","SHREE RADHE",IF(IF(IF(ISNUMBER(SEARCH("Party Name:-",'R.M Billets Reports'!D1833)),TRIM('R.M Billets Reports'!F1833),IF(ISNUMBER(SEARCH("Party Name-",'R.M Billets Reports'!D1833)),TRIM(MID('R.M Billets Reports'!D1833,SEARCH("-",'R.M Billets Reports'!D1833)+1,200)),""))&lt;&gt;"",IF(ISNUMBER(SEARCH("Party Name:-",'R.M Billets Reports'!D1833)),TRIM('R.M Billets Reports'!F1833),IF(ISNUMBER(SEARCH("Party Name-",'R.M Billets Reports'!D1833)),TRIM(MID('R.M Billets Reports'!D1833,SEARCH("-",'R.M Billets Reports'!D1833)+1,200)),"")),IF(ISNUMBER(SEARCH("Party Name:-",'R.M Billets Reports'!D1834)),TRIM('R.M Billets Reports'!F1834),IF(ISNUMBER(SEARCH("Party Name-",'R.M Billets Reports'!D1834)),TRIM(MID('R.M Billets Reports'!D1834,SEARCH("-",'R.M Billets Reports'!D1834)+1,200)),"")))="SHREE RADHE SHAKTI SPONGE AND POWER PVT. LTD.","SHREE RADHE",IF(IF(ISNUMBER(SEARCH("Party Name:-",'R.M Billets Reports'!D1833)),TRIM('R.M Billets Reports'!F1833),IF(ISNUMBER(SEARCH("Party Name-",'R.M Billets Reports'!D1833)),TRIM(MID('R.M Billets Reports'!D1833,SEARCH("-",'R.M Billets Reports'!D1833)+1,200)),""))&lt;&gt;"",IF(ISNUMBER(SEARCH("Party Name:-",'R.M Billets Reports'!D1833)),TRIM('R.M Billets Reports'!F1833),IF(ISNUMBER(SEARCH("Party Name-",'R.M Billets Reports'!D1833)),TRIM(MID('R.M Billets Reports'!D1833,SEARCH("-",'R.M Billets Reports'!D1833)+1,200)),"")),IF(ISNUMBER(SEARCH("Party Name:-",'R.M Billets Reports'!D1834)),TRIM('R.M Billets Reports'!F1834),IF(ISNUMBER(SEARCH("Party Name-",'R.M Billets Reports'!D1834)),TRIM(MID('R.M Billets Reports'!D1834,SEARCH("-",'R.M Billets Reports'!D1834)+1,200)),"")))))),IF(ROW()=2,"",A1833))</f>
      </c>
      <c r="B1834">
        <f>IF(OR('R.M Billets Reports'!A1833="Date-",'R.M Billets Reports'!A1833="Date:-"),'R.M Billets Reports'!B1833,IF(ROW()=2,"",B1833))</f>
      </c>
      <c r="C1834">
        <f>IF('R.M Billets Reports'!A1833="V.No.",'R.M Billets Reports'!B1833,IF(ROW()=2,"",C1833))</f>
      </c>
      <c r="D1834">
        <f>IF('R.M Billets Reports'!A1833&lt;&gt;"",'R.M Billets Reports'!A1833,IF(ROW()=2,"",D1833))</f>
      </c>
      <c r="E1834">
        <f>IF('R.M Billets Reports'!B1833="","",TRIM('R.M Billets Reports'!B1833))</f>
      </c>
      <c r="F1834">
        <f>'R.M Billets Reports'!C1833</f>
      </c>
      <c r="G1834">
        <f>'R.M Billets Reports'!D1833</f>
      </c>
      <c r="H1834">
        <f>'R.M Billets Reports'!E1833</f>
      </c>
      <c r="I1834">
        <f>'R.M Billets Reports'!F1833</f>
      </c>
      <c r="J1834">
        <f>'R.M Billets Reports'!G1833</f>
      </c>
      <c r="K1834">
        <f>'R.M Billets Reports'!H1833</f>
      </c>
      <c r="L1834">
        <f>IF('R.M Billets Reports'!I1833="","",'R.M Billets Reports'!I1833)</f>
      </c>
      <c r="M1834">
        <f t="shared" si="56"/>
      </c>
      <c r="N1834">
        <f>IF('R.M Billets Reports'!J1833="","",'R.M Billets Reports'!J1833)</f>
      </c>
      <c r="O1834">
        <f t="shared" si="57"/>
      </c>
      <c r="P1834">
        <f>IF('R.M Billets Reports'!A1833="SIZE",'R.M Billets Reports'!B1833,P1833)</f>
      </c>
    </row>
    <row r="1835" spans="1:16" x14ac:dyDescent="0.25">
      <c r="A1835">
        <f>IF(OR('R.M Billets Reports'!A1834="Date-",'R.M Billets Reports'!A1834="Date:-"),IF(IF(IF(ISNUMBER(SEARCH("Party Name:-",'R.M Billets Reports'!D1834)),TRIM('R.M Billets Reports'!F1834),IF(ISNUMBER(SEARCH("Party Name-",'R.M Billets Reports'!D1834)),TRIM(MID('R.M Billets Reports'!D1834,SEARCH("-",'R.M Billets Reports'!D1834)+1,200)),""))&lt;&gt;"",IF(ISNUMBER(SEARCH("Party Name:-",'R.M Billets Reports'!D1834)),TRIM('R.M Billets Reports'!F1834),IF(ISNUMBER(SEARCH("Party Name-",'R.M Billets Reports'!D1834)),TRIM(MID('R.M Billets Reports'!D1834,SEARCH("-",'R.M Billets Reports'!D1834)+1,200)),"")),IF(ISNUMBER(SEARCH("Party Name:-",'R.M Billets Reports'!D1835)),TRIM('R.M Billets Reports'!F1835),IF(ISNUMBER(SEARCH("Party Name-",'R.M Billets Reports'!D1835)),TRIM(MID('R.M Billets Reports'!D1835,SEARCH("-",'R.M Billets Reports'!D1835)+1,200)),"")))="VRKP ISPAT PVT LTD","VRKP",IF(IF(IF(ISNUMBER(SEARCH("Party Name:-",'R.M Billets Reports'!D1834)),TRIM('R.M Billets Reports'!F1834),IF(ISNUMBER(SEARCH("Party Name-",'R.M Billets Reports'!D1834)),TRIM(MID('R.M Billets Reports'!D1834,SEARCH("-",'R.M Billets Reports'!D1834)+1,200)),""))&lt;&gt;"",IF(ISNUMBER(SEARCH("Party Name:-",'R.M Billets Reports'!D1834)),TRIM('R.M Billets Reports'!F1834),IF(ISNUMBER(SEARCH("Party Name-",'R.M Billets Reports'!D1834)),TRIM(MID('R.M Billets Reports'!D1834,SEARCH("-",'R.M Billets Reports'!D1834)+1,200)),"")),IF(ISNUMBER(SEARCH("Party Name:-",'R.M Billets Reports'!D1835)),TRIM('R.M Billets Reports'!F1835),IF(ISNUMBER(SEARCH("Party Name-",'R.M Billets Reports'!D1835)),TRIM(MID('R.M Billets Reports'!D1835,SEARCH("-",'R.M Billets Reports'!D1835)+1,200)),"")))="SHRI RADHE","SHREE RADHE",IF(IF(IF(ISNUMBER(SEARCH("Party Name:-",'R.M Billets Reports'!D1834)),TRIM('R.M Billets Reports'!F1834),IF(ISNUMBER(SEARCH("Party Name-",'R.M Billets Reports'!D1834)),TRIM(MID('R.M Billets Reports'!D1834,SEARCH("-",'R.M Billets Reports'!D1834)+1,200)),""))&lt;&gt;"",IF(ISNUMBER(SEARCH("Party Name:-",'R.M Billets Reports'!D1834)),TRIM('R.M Billets Reports'!F1834),IF(ISNUMBER(SEARCH("Party Name-",'R.M Billets Reports'!D1834)),TRIM(MID('R.M Billets Reports'!D1834,SEARCH("-",'R.M Billets Reports'!D1834)+1,200)),"")),IF(ISNUMBER(SEARCH("Party Name:-",'R.M Billets Reports'!D1835)),TRIM('R.M Billets Reports'!F1835),IF(ISNUMBER(SEARCH("Party Name-",'R.M Billets Reports'!D1835)),TRIM(MID('R.M Billets Reports'!D1835,SEARCH("-",'R.M Billets Reports'!D1835)+1,200)),"")))="SHREE RADHE SHAKTI SPONGE AND POWER PVT. LTD.","SHREE RADHE",IF(IF(ISNUMBER(SEARCH("Party Name:-",'R.M Billets Reports'!D1834)),TRIM('R.M Billets Reports'!F1834),IF(ISNUMBER(SEARCH("Party Name-",'R.M Billets Reports'!D1834)),TRIM(MID('R.M Billets Reports'!D1834,SEARCH("-",'R.M Billets Reports'!D1834)+1,200)),""))&lt;&gt;"",IF(ISNUMBER(SEARCH("Party Name:-",'R.M Billets Reports'!D1834)),TRIM('R.M Billets Reports'!F1834),IF(ISNUMBER(SEARCH("Party Name-",'R.M Billets Reports'!D1834)),TRIM(MID('R.M Billets Reports'!D1834,SEARCH("-",'R.M Billets Reports'!D1834)+1,200)),"")),IF(ISNUMBER(SEARCH("Party Name:-",'R.M Billets Reports'!D1835)),TRIM('R.M Billets Reports'!F1835),IF(ISNUMBER(SEARCH("Party Name-",'R.M Billets Reports'!D1835)),TRIM(MID('R.M Billets Reports'!D1835,SEARCH("-",'R.M Billets Reports'!D1835)+1,200)),"")))))),IF(ROW()=2,"",A1834))</f>
      </c>
      <c r="B1835">
        <f>IF(OR('R.M Billets Reports'!A1834="Date-",'R.M Billets Reports'!A1834="Date:-"),'R.M Billets Reports'!B1834,IF(ROW()=2,"",B1834))</f>
      </c>
      <c r="C1835">
        <f>IF('R.M Billets Reports'!A1834="V.No.",'R.M Billets Reports'!B1834,IF(ROW()=2,"",C1834))</f>
      </c>
      <c r="D1835">
        <f>IF('R.M Billets Reports'!A1834&lt;&gt;"",'R.M Billets Reports'!A1834,IF(ROW()=2,"",D1834))</f>
      </c>
      <c r="E1835">
        <f>IF('R.M Billets Reports'!B1834="","",TRIM('R.M Billets Reports'!B1834))</f>
      </c>
      <c r="F1835">
        <f>'R.M Billets Reports'!C1834</f>
      </c>
      <c r="G1835">
        <f>'R.M Billets Reports'!D1834</f>
      </c>
      <c r="H1835">
        <f>'R.M Billets Reports'!E1834</f>
      </c>
      <c r="I1835">
        <f>'R.M Billets Reports'!F1834</f>
      </c>
      <c r="J1835">
        <f>'R.M Billets Reports'!G1834</f>
      </c>
      <c r="K1835">
        <f>'R.M Billets Reports'!H1834</f>
      </c>
      <c r="L1835">
        <f>IF('R.M Billets Reports'!I1834="","",'R.M Billets Reports'!I1834)</f>
      </c>
      <c r="M1835">
        <f t="shared" si="56"/>
      </c>
      <c r="N1835">
        <f>IF('R.M Billets Reports'!J1834="","",'R.M Billets Reports'!J1834)</f>
      </c>
      <c r="O1835">
        <f t="shared" si="57"/>
      </c>
      <c r="P1835">
        <f>IF('R.M Billets Reports'!A1834="SIZE",'R.M Billets Reports'!B1834,P1834)</f>
      </c>
    </row>
    <row r="1836" spans="1:16" x14ac:dyDescent="0.25">
      <c r="A1836">
        <f>IF(OR('R.M Billets Reports'!A1835="Date-",'R.M Billets Reports'!A1835="Date:-"),IF(IF(IF(ISNUMBER(SEARCH("Party Name:-",'R.M Billets Reports'!D1835)),TRIM('R.M Billets Reports'!F1835),IF(ISNUMBER(SEARCH("Party Name-",'R.M Billets Reports'!D1835)),TRIM(MID('R.M Billets Reports'!D1835,SEARCH("-",'R.M Billets Reports'!D1835)+1,200)),""))&lt;&gt;"",IF(ISNUMBER(SEARCH("Party Name:-",'R.M Billets Reports'!D1835)),TRIM('R.M Billets Reports'!F1835),IF(ISNUMBER(SEARCH("Party Name-",'R.M Billets Reports'!D1835)),TRIM(MID('R.M Billets Reports'!D1835,SEARCH("-",'R.M Billets Reports'!D1835)+1,200)),"")),IF(ISNUMBER(SEARCH("Party Name:-",'R.M Billets Reports'!D1836)),TRIM('R.M Billets Reports'!F1836),IF(ISNUMBER(SEARCH("Party Name-",'R.M Billets Reports'!D1836)),TRIM(MID('R.M Billets Reports'!D1836,SEARCH("-",'R.M Billets Reports'!D1836)+1,200)),"")))="VRKP ISPAT PVT LTD","VRKP",IF(IF(IF(ISNUMBER(SEARCH("Party Name:-",'R.M Billets Reports'!D1835)),TRIM('R.M Billets Reports'!F1835),IF(ISNUMBER(SEARCH("Party Name-",'R.M Billets Reports'!D1835)),TRIM(MID('R.M Billets Reports'!D1835,SEARCH("-",'R.M Billets Reports'!D1835)+1,200)),""))&lt;&gt;"",IF(ISNUMBER(SEARCH("Party Name:-",'R.M Billets Reports'!D1835)),TRIM('R.M Billets Reports'!F1835),IF(ISNUMBER(SEARCH("Party Name-",'R.M Billets Reports'!D1835)),TRIM(MID('R.M Billets Reports'!D1835,SEARCH("-",'R.M Billets Reports'!D1835)+1,200)),"")),IF(ISNUMBER(SEARCH("Party Name:-",'R.M Billets Reports'!D1836)),TRIM('R.M Billets Reports'!F1836),IF(ISNUMBER(SEARCH("Party Name-",'R.M Billets Reports'!D1836)),TRIM(MID('R.M Billets Reports'!D1836,SEARCH("-",'R.M Billets Reports'!D1836)+1,200)),"")))="SHRI RADHE","SHREE RADHE",IF(IF(IF(ISNUMBER(SEARCH("Party Name:-",'R.M Billets Reports'!D1835)),TRIM('R.M Billets Reports'!F1835),IF(ISNUMBER(SEARCH("Party Name-",'R.M Billets Reports'!D1835)),TRIM(MID('R.M Billets Reports'!D1835,SEARCH("-",'R.M Billets Reports'!D1835)+1,200)),""))&lt;&gt;"",IF(ISNUMBER(SEARCH("Party Name:-",'R.M Billets Reports'!D1835)),TRIM('R.M Billets Reports'!F1835),IF(ISNUMBER(SEARCH("Party Name-",'R.M Billets Reports'!D1835)),TRIM(MID('R.M Billets Reports'!D1835,SEARCH("-",'R.M Billets Reports'!D1835)+1,200)),"")),IF(ISNUMBER(SEARCH("Party Name:-",'R.M Billets Reports'!D1836)),TRIM('R.M Billets Reports'!F1836),IF(ISNUMBER(SEARCH("Party Name-",'R.M Billets Reports'!D1836)),TRIM(MID('R.M Billets Reports'!D1836,SEARCH("-",'R.M Billets Reports'!D1836)+1,200)),"")))="SHREE RADHE SHAKTI SPONGE AND POWER PVT. LTD.","SHREE RADHE",IF(IF(ISNUMBER(SEARCH("Party Name:-",'R.M Billets Reports'!D1835)),TRIM('R.M Billets Reports'!F1835),IF(ISNUMBER(SEARCH("Party Name-",'R.M Billets Reports'!D1835)),TRIM(MID('R.M Billets Reports'!D1835,SEARCH("-",'R.M Billets Reports'!D1835)+1,200)),""))&lt;&gt;"",IF(ISNUMBER(SEARCH("Party Name:-",'R.M Billets Reports'!D1835)),TRIM('R.M Billets Reports'!F1835),IF(ISNUMBER(SEARCH("Party Name-",'R.M Billets Reports'!D1835)),TRIM(MID('R.M Billets Reports'!D1835,SEARCH("-",'R.M Billets Reports'!D1835)+1,200)),"")),IF(ISNUMBER(SEARCH("Party Name:-",'R.M Billets Reports'!D1836)),TRIM('R.M Billets Reports'!F1836),IF(ISNUMBER(SEARCH("Party Name-",'R.M Billets Reports'!D1836)),TRIM(MID('R.M Billets Reports'!D1836,SEARCH("-",'R.M Billets Reports'!D1836)+1,200)),"")))))),IF(ROW()=2,"",A1835))</f>
      </c>
      <c r="B1836">
        <f>IF(OR('R.M Billets Reports'!A1835="Date-",'R.M Billets Reports'!A1835="Date:-"),'R.M Billets Reports'!B1835,IF(ROW()=2,"",B1835))</f>
      </c>
      <c r="C1836">
        <f>IF('R.M Billets Reports'!A1835="V.No.",'R.M Billets Reports'!B1835,IF(ROW()=2,"",C1835))</f>
      </c>
      <c r="D1836">
        <f>IF('R.M Billets Reports'!A1835&lt;&gt;"",'R.M Billets Reports'!A1835,IF(ROW()=2,"",D1835))</f>
      </c>
      <c r="E1836">
        <f>IF('R.M Billets Reports'!B1835="","",TRIM('R.M Billets Reports'!B1835))</f>
      </c>
      <c r="F1836">
        <f>'R.M Billets Reports'!C1835</f>
      </c>
      <c r="G1836">
        <f>'R.M Billets Reports'!D1835</f>
      </c>
      <c r="H1836">
        <f>'R.M Billets Reports'!E1835</f>
      </c>
      <c r="I1836">
        <f>'R.M Billets Reports'!F1835</f>
      </c>
      <c r="J1836">
        <f>'R.M Billets Reports'!G1835</f>
      </c>
      <c r="K1836">
        <f>'R.M Billets Reports'!H1835</f>
      </c>
      <c r="L1836">
        <f>IF('R.M Billets Reports'!I1835="","",'R.M Billets Reports'!I1835)</f>
      </c>
      <c r="M1836">
        <f t="shared" si="56"/>
      </c>
      <c r="N1836">
        <f>IF('R.M Billets Reports'!J1835="","",'R.M Billets Reports'!J1835)</f>
      </c>
      <c r="O1836">
        <f t="shared" si="57"/>
      </c>
      <c r="P1836">
        <f>IF('R.M Billets Reports'!A1835="SIZE",'R.M Billets Reports'!B1835,P1835)</f>
      </c>
    </row>
    <row r="1837" spans="1:16" x14ac:dyDescent="0.25">
      <c r="A1837">
        <f>IF(OR('R.M Billets Reports'!A1836="Date-",'R.M Billets Reports'!A1836="Date:-"),IF(IF(IF(ISNUMBER(SEARCH("Party Name:-",'R.M Billets Reports'!D1836)),TRIM('R.M Billets Reports'!F1836),IF(ISNUMBER(SEARCH("Party Name-",'R.M Billets Reports'!D1836)),TRIM(MID('R.M Billets Reports'!D1836,SEARCH("-",'R.M Billets Reports'!D1836)+1,200)),""))&lt;&gt;"",IF(ISNUMBER(SEARCH("Party Name:-",'R.M Billets Reports'!D1836)),TRIM('R.M Billets Reports'!F1836),IF(ISNUMBER(SEARCH("Party Name-",'R.M Billets Reports'!D1836)),TRIM(MID('R.M Billets Reports'!D1836,SEARCH("-",'R.M Billets Reports'!D1836)+1,200)),"")),IF(ISNUMBER(SEARCH("Party Name:-",'R.M Billets Reports'!D1837)),TRIM('R.M Billets Reports'!F1837),IF(ISNUMBER(SEARCH("Party Name-",'R.M Billets Reports'!D1837)),TRIM(MID('R.M Billets Reports'!D1837,SEARCH("-",'R.M Billets Reports'!D1837)+1,200)),"")))="VRKP ISPAT PVT LTD","VRKP",IF(IF(IF(ISNUMBER(SEARCH("Party Name:-",'R.M Billets Reports'!D1836)),TRIM('R.M Billets Reports'!F1836),IF(ISNUMBER(SEARCH("Party Name-",'R.M Billets Reports'!D1836)),TRIM(MID('R.M Billets Reports'!D1836,SEARCH("-",'R.M Billets Reports'!D1836)+1,200)),""))&lt;&gt;"",IF(ISNUMBER(SEARCH("Party Name:-",'R.M Billets Reports'!D1836)),TRIM('R.M Billets Reports'!F1836),IF(ISNUMBER(SEARCH("Party Name-",'R.M Billets Reports'!D1836)),TRIM(MID('R.M Billets Reports'!D1836,SEARCH("-",'R.M Billets Reports'!D1836)+1,200)),"")),IF(ISNUMBER(SEARCH("Party Name:-",'R.M Billets Reports'!D1837)),TRIM('R.M Billets Reports'!F1837),IF(ISNUMBER(SEARCH("Party Name-",'R.M Billets Reports'!D1837)),TRIM(MID('R.M Billets Reports'!D1837,SEARCH("-",'R.M Billets Reports'!D1837)+1,200)),"")))="SHRI RADHE","SHREE RADHE",IF(IF(IF(ISNUMBER(SEARCH("Party Name:-",'R.M Billets Reports'!D1836)),TRIM('R.M Billets Reports'!F1836),IF(ISNUMBER(SEARCH("Party Name-",'R.M Billets Reports'!D1836)),TRIM(MID('R.M Billets Reports'!D1836,SEARCH("-",'R.M Billets Reports'!D1836)+1,200)),""))&lt;&gt;"",IF(ISNUMBER(SEARCH("Party Name:-",'R.M Billets Reports'!D1836)),TRIM('R.M Billets Reports'!F1836),IF(ISNUMBER(SEARCH("Party Name-",'R.M Billets Reports'!D1836)),TRIM(MID('R.M Billets Reports'!D1836,SEARCH("-",'R.M Billets Reports'!D1836)+1,200)),"")),IF(ISNUMBER(SEARCH("Party Name:-",'R.M Billets Reports'!D1837)),TRIM('R.M Billets Reports'!F1837),IF(ISNUMBER(SEARCH("Party Name-",'R.M Billets Reports'!D1837)),TRIM(MID('R.M Billets Reports'!D1837,SEARCH("-",'R.M Billets Reports'!D1837)+1,200)),"")))="SHREE RADHE SHAKTI SPONGE AND POWER PVT. LTD.","SHREE RADHE",IF(IF(ISNUMBER(SEARCH("Party Name:-",'R.M Billets Reports'!D1836)),TRIM('R.M Billets Reports'!F1836),IF(ISNUMBER(SEARCH("Party Name-",'R.M Billets Reports'!D1836)),TRIM(MID('R.M Billets Reports'!D1836,SEARCH("-",'R.M Billets Reports'!D1836)+1,200)),""))&lt;&gt;"",IF(ISNUMBER(SEARCH("Party Name:-",'R.M Billets Reports'!D1836)),TRIM('R.M Billets Reports'!F1836),IF(ISNUMBER(SEARCH("Party Name-",'R.M Billets Reports'!D1836)),TRIM(MID('R.M Billets Reports'!D1836,SEARCH("-",'R.M Billets Reports'!D1836)+1,200)),"")),IF(ISNUMBER(SEARCH("Party Name:-",'R.M Billets Reports'!D1837)),TRIM('R.M Billets Reports'!F1837),IF(ISNUMBER(SEARCH("Party Name-",'R.M Billets Reports'!D1837)),TRIM(MID('R.M Billets Reports'!D1837,SEARCH("-",'R.M Billets Reports'!D1837)+1,200)),"")))))),IF(ROW()=2,"",A1836))</f>
      </c>
      <c r="B1837">
        <f>IF(OR('R.M Billets Reports'!A1836="Date-",'R.M Billets Reports'!A1836="Date:-"),'R.M Billets Reports'!B1836,IF(ROW()=2,"",B1836))</f>
      </c>
      <c r="C1837">
        <f>IF('R.M Billets Reports'!A1836="V.No.",'R.M Billets Reports'!B1836,IF(ROW()=2,"",C1836))</f>
      </c>
      <c r="D1837">
        <f>IF('R.M Billets Reports'!A1836&lt;&gt;"",'R.M Billets Reports'!A1836,IF(ROW()=2,"",D1836))</f>
      </c>
      <c r="E1837">
        <f>IF('R.M Billets Reports'!B1836="","",TRIM('R.M Billets Reports'!B1836))</f>
      </c>
      <c r="F1837">
        <f>'R.M Billets Reports'!C1836</f>
      </c>
      <c r="G1837">
        <f>'R.M Billets Reports'!D1836</f>
      </c>
      <c r="H1837">
        <f>'R.M Billets Reports'!E1836</f>
      </c>
      <c r="I1837">
        <f>'R.M Billets Reports'!F1836</f>
      </c>
      <c r="J1837">
        <f>'R.M Billets Reports'!G1836</f>
      </c>
      <c r="K1837">
        <f>'R.M Billets Reports'!H1836</f>
      </c>
      <c r="L1837">
        <f>IF('R.M Billets Reports'!I1836="","",'R.M Billets Reports'!I1836)</f>
      </c>
      <c r="M1837">
        <f t="shared" si="56"/>
      </c>
      <c r="N1837">
        <f>IF('R.M Billets Reports'!J1836="","",'R.M Billets Reports'!J1836)</f>
      </c>
      <c r="O1837">
        <f t="shared" si="57"/>
      </c>
      <c r="P1837">
        <f>IF('R.M Billets Reports'!A1836="SIZE",'R.M Billets Reports'!B1836,P1836)</f>
      </c>
    </row>
    <row r="1838" spans="1:16" x14ac:dyDescent="0.25">
      <c r="A1838">
        <f>IF(OR('R.M Billets Reports'!A1837="Date-",'R.M Billets Reports'!A1837="Date:-"),IF(IF(IF(ISNUMBER(SEARCH("Party Name:-",'R.M Billets Reports'!D1837)),TRIM('R.M Billets Reports'!F1837),IF(ISNUMBER(SEARCH("Party Name-",'R.M Billets Reports'!D1837)),TRIM(MID('R.M Billets Reports'!D1837,SEARCH("-",'R.M Billets Reports'!D1837)+1,200)),""))&lt;&gt;"",IF(ISNUMBER(SEARCH("Party Name:-",'R.M Billets Reports'!D1837)),TRIM('R.M Billets Reports'!F1837),IF(ISNUMBER(SEARCH("Party Name-",'R.M Billets Reports'!D1837)),TRIM(MID('R.M Billets Reports'!D1837,SEARCH("-",'R.M Billets Reports'!D1837)+1,200)),"")),IF(ISNUMBER(SEARCH("Party Name:-",'R.M Billets Reports'!D1838)),TRIM('R.M Billets Reports'!F1838),IF(ISNUMBER(SEARCH("Party Name-",'R.M Billets Reports'!D1838)),TRIM(MID('R.M Billets Reports'!D1838,SEARCH("-",'R.M Billets Reports'!D1838)+1,200)),"")))="VRKP ISPAT PVT LTD","VRKP",IF(IF(IF(ISNUMBER(SEARCH("Party Name:-",'R.M Billets Reports'!D1837)),TRIM('R.M Billets Reports'!F1837),IF(ISNUMBER(SEARCH("Party Name-",'R.M Billets Reports'!D1837)),TRIM(MID('R.M Billets Reports'!D1837,SEARCH("-",'R.M Billets Reports'!D1837)+1,200)),""))&lt;&gt;"",IF(ISNUMBER(SEARCH("Party Name:-",'R.M Billets Reports'!D1837)),TRIM('R.M Billets Reports'!F1837),IF(ISNUMBER(SEARCH("Party Name-",'R.M Billets Reports'!D1837)),TRIM(MID('R.M Billets Reports'!D1837,SEARCH("-",'R.M Billets Reports'!D1837)+1,200)),"")),IF(ISNUMBER(SEARCH("Party Name:-",'R.M Billets Reports'!D1838)),TRIM('R.M Billets Reports'!F1838),IF(ISNUMBER(SEARCH("Party Name-",'R.M Billets Reports'!D1838)),TRIM(MID('R.M Billets Reports'!D1838,SEARCH("-",'R.M Billets Reports'!D1838)+1,200)),"")))="SHRI RADHE","SHREE RADHE",IF(IF(IF(ISNUMBER(SEARCH("Party Name:-",'R.M Billets Reports'!D1837)),TRIM('R.M Billets Reports'!F1837),IF(ISNUMBER(SEARCH("Party Name-",'R.M Billets Reports'!D1837)),TRIM(MID('R.M Billets Reports'!D1837,SEARCH("-",'R.M Billets Reports'!D1837)+1,200)),""))&lt;&gt;"",IF(ISNUMBER(SEARCH("Party Name:-",'R.M Billets Reports'!D1837)),TRIM('R.M Billets Reports'!F1837),IF(ISNUMBER(SEARCH("Party Name-",'R.M Billets Reports'!D1837)),TRIM(MID('R.M Billets Reports'!D1837,SEARCH("-",'R.M Billets Reports'!D1837)+1,200)),"")),IF(ISNUMBER(SEARCH("Party Name:-",'R.M Billets Reports'!D1838)),TRIM('R.M Billets Reports'!F1838),IF(ISNUMBER(SEARCH("Party Name-",'R.M Billets Reports'!D1838)),TRIM(MID('R.M Billets Reports'!D1838,SEARCH("-",'R.M Billets Reports'!D1838)+1,200)),"")))="SHREE RADHE SHAKTI SPONGE AND POWER PVT. LTD.","SHREE RADHE",IF(IF(ISNUMBER(SEARCH("Party Name:-",'R.M Billets Reports'!D1837)),TRIM('R.M Billets Reports'!F1837),IF(ISNUMBER(SEARCH("Party Name-",'R.M Billets Reports'!D1837)),TRIM(MID('R.M Billets Reports'!D1837,SEARCH("-",'R.M Billets Reports'!D1837)+1,200)),""))&lt;&gt;"",IF(ISNUMBER(SEARCH("Party Name:-",'R.M Billets Reports'!D1837)),TRIM('R.M Billets Reports'!F1837),IF(ISNUMBER(SEARCH("Party Name-",'R.M Billets Reports'!D1837)),TRIM(MID('R.M Billets Reports'!D1837,SEARCH("-",'R.M Billets Reports'!D1837)+1,200)),"")),IF(ISNUMBER(SEARCH("Party Name:-",'R.M Billets Reports'!D1838)),TRIM('R.M Billets Reports'!F1838),IF(ISNUMBER(SEARCH("Party Name-",'R.M Billets Reports'!D1838)),TRIM(MID('R.M Billets Reports'!D1838,SEARCH("-",'R.M Billets Reports'!D1838)+1,200)),"")))))),IF(ROW()=2,"",A1837))</f>
      </c>
      <c r="B1838">
        <f>IF(OR('R.M Billets Reports'!A1837="Date-",'R.M Billets Reports'!A1837="Date:-"),'R.M Billets Reports'!B1837,IF(ROW()=2,"",B1837))</f>
      </c>
      <c r="C1838">
        <f>IF('R.M Billets Reports'!A1837="V.No.",'R.M Billets Reports'!B1837,IF(ROW()=2,"",C1837))</f>
      </c>
      <c r="D1838">
        <f>IF('R.M Billets Reports'!A1837&lt;&gt;"",'R.M Billets Reports'!A1837,IF(ROW()=2,"",D1837))</f>
      </c>
      <c r="E1838">
        <f>IF('R.M Billets Reports'!B1837="","",TRIM('R.M Billets Reports'!B1837))</f>
      </c>
      <c r="F1838">
        <f>'R.M Billets Reports'!C1837</f>
      </c>
      <c r="G1838">
        <f>'R.M Billets Reports'!D1837</f>
      </c>
      <c r="H1838">
        <f>'R.M Billets Reports'!E1837</f>
      </c>
      <c r="I1838">
        <f>'R.M Billets Reports'!F1837</f>
      </c>
      <c r="J1838">
        <f>'R.M Billets Reports'!G1837</f>
      </c>
      <c r="K1838">
        <f>'R.M Billets Reports'!H1837</f>
      </c>
      <c r="L1838">
        <f>IF('R.M Billets Reports'!I1837="","",'R.M Billets Reports'!I1837)</f>
      </c>
      <c r="M1838">
        <f t="shared" si="56"/>
      </c>
      <c r="N1838">
        <f>IF('R.M Billets Reports'!J1837="","",'R.M Billets Reports'!J1837)</f>
      </c>
      <c r="O1838">
        <f t="shared" si="57"/>
      </c>
      <c r="P1838">
        <f>IF('R.M Billets Reports'!A1837="SIZE",'R.M Billets Reports'!B1837,P1837)</f>
      </c>
    </row>
    <row r="1839" spans="1:16" x14ac:dyDescent="0.25">
      <c r="A1839">
        <f>IF(OR('R.M Billets Reports'!A1838="Date-",'R.M Billets Reports'!A1838="Date:-"),IF(IF(IF(ISNUMBER(SEARCH("Party Name:-",'R.M Billets Reports'!D1838)),TRIM('R.M Billets Reports'!F1838),IF(ISNUMBER(SEARCH("Party Name-",'R.M Billets Reports'!D1838)),TRIM(MID('R.M Billets Reports'!D1838,SEARCH("-",'R.M Billets Reports'!D1838)+1,200)),""))&lt;&gt;"",IF(ISNUMBER(SEARCH("Party Name:-",'R.M Billets Reports'!D1838)),TRIM('R.M Billets Reports'!F1838),IF(ISNUMBER(SEARCH("Party Name-",'R.M Billets Reports'!D1838)),TRIM(MID('R.M Billets Reports'!D1838,SEARCH("-",'R.M Billets Reports'!D1838)+1,200)),"")),IF(ISNUMBER(SEARCH("Party Name:-",'R.M Billets Reports'!D1839)),TRIM('R.M Billets Reports'!F1839),IF(ISNUMBER(SEARCH("Party Name-",'R.M Billets Reports'!D1839)),TRIM(MID('R.M Billets Reports'!D1839,SEARCH("-",'R.M Billets Reports'!D1839)+1,200)),"")))="VRKP ISPAT PVT LTD","VRKP",IF(IF(IF(ISNUMBER(SEARCH("Party Name:-",'R.M Billets Reports'!D1838)),TRIM('R.M Billets Reports'!F1838),IF(ISNUMBER(SEARCH("Party Name-",'R.M Billets Reports'!D1838)),TRIM(MID('R.M Billets Reports'!D1838,SEARCH("-",'R.M Billets Reports'!D1838)+1,200)),""))&lt;&gt;"",IF(ISNUMBER(SEARCH("Party Name:-",'R.M Billets Reports'!D1838)),TRIM('R.M Billets Reports'!F1838),IF(ISNUMBER(SEARCH("Party Name-",'R.M Billets Reports'!D1838)),TRIM(MID('R.M Billets Reports'!D1838,SEARCH("-",'R.M Billets Reports'!D1838)+1,200)),"")),IF(ISNUMBER(SEARCH("Party Name:-",'R.M Billets Reports'!D1839)),TRIM('R.M Billets Reports'!F1839),IF(ISNUMBER(SEARCH("Party Name-",'R.M Billets Reports'!D1839)),TRIM(MID('R.M Billets Reports'!D1839,SEARCH("-",'R.M Billets Reports'!D1839)+1,200)),"")))="SHRI RADHE","SHREE RADHE",IF(IF(IF(ISNUMBER(SEARCH("Party Name:-",'R.M Billets Reports'!D1838)),TRIM('R.M Billets Reports'!F1838),IF(ISNUMBER(SEARCH("Party Name-",'R.M Billets Reports'!D1838)),TRIM(MID('R.M Billets Reports'!D1838,SEARCH("-",'R.M Billets Reports'!D1838)+1,200)),""))&lt;&gt;"",IF(ISNUMBER(SEARCH("Party Name:-",'R.M Billets Reports'!D1838)),TRIM('R.M Billets Reports'!F1838),IF(ISNUMBER(SEARCH("Party Name-",'R.M Billets Reports'!D1838)),TRIM(MID('R.M Billets Reports'!D1838,SEARCH("-",'R.M Billets Reports'!D1838)+1,200)),"")),IF(ISNUMBER(SEARCH("Party Name:-",'R.M Billets Reports'!D1839)),TRIM('R.M Billets Reports'!F1839),IF(ISNUMBER(SEARCH("Party Name-",'R.M Billets Reports'!D1839)),TRIM(MID('R.M Billets Reports'!D1839,SEARCH("-",'R.M Billets Reports'!D1839)+1,200)),"")))="SHREE RADHE SHAKTI SPONGE AND POWER PVT. LTD.","SHREE RADHE",IF(IF(ISNUMBER(SEARCH("Party Name:-",'R.M Billets Reports'!D1838)),TRIM('R.M Billets Reports'!F1838),IF(ISNUMBER(SEARCH("Party Name-",'R.M Billets Reports'!D1838)),TRIM(MID('R.M Billets Reports'!D1838,SEARCH("-",'R.M Billets Reports'!D1838)+1,200)),""))&lt;&gt;"",IF(ISNUMBER(SEARCH("Party Name:-",'R.M Billets Reports'!D1838)),TRIM('R.M Billets Reports'!F1838),IF(ISNUMBER(SEARCH("Party Name-",'R.M Billets Reports'!D1838)),TRIM(MID('R.M Billets Reports'!D1838,SEARCH("-",'R.M Billets Reports'!D1838)+1,200)),"")),IF(ISNUMBER(SEARCH("Party Name:-",'R.M Billets Reports'!D1839)),TRIM('R.M Billets Reports'!F1839),IF(ISNUMBER(SEARCH("Party Name-",'R.M Billets Reports'!D1839)),TRIM(MID('R.M Billets Reports'!D1839,SEARCH("-",'R.M Billets Reports'!D1839)+1,200)),"")))))),IF(ROW()=2,"",A1838))</f>
      </c>
      <c r="B1839">
        <f>IF(OR('R.M Billets Reports'!A1838="Date-",'R.M Billets Reports'!A1838="Date:-"),'R.M Billets Reports'!B1838,IF(ROW()=2,"",B1838))</f>
      </c>
      <c r="C1839">
        <f>IF('R.M Billets Reports'!A1838="V.No.",'R.M Billets Reports'!B1838,IF(ROW()=2,"",C1838))</f>
      </c>
      <c r="D1839">
        <f>IF('R.M Billets Reports'!A1838&lt;&gt;"",'R.M Billets Reports'!A1838,IF(ROW()=2,"",D1838))</f>
      </c>
      <c r="E1839">
        <f>IF('R.M Billets Reports'!B1838="","",TRIM('R.M Billets Reports'!B1838))</f>
      </c>
      <c r="F1839">
        <f>'R.M Billets Reports'!C1838</f>
      </c>
      <c r="G1839">
        <f>'R.M Billets Reports'!D1838</f>
      </c>
      <c r="H1839">
        <f>'R.M Billets Reports'!E1838</f>
      </c>
      <c r="I1839">
        <f>'R.M Billets Reports'!F1838</f>
      </c>
      <c r="J1839">
        <f>'R.M Billets Reports'!G1838</f>
      </c>
      <c r="K1839">
        <f>'R.M Billets Reports'!H1838</f>
      </c>
      <c r="L1839">
        <f>IF('R.M Billets Reports'!I1838="","",'R.M Billets Reports'!I1838)</f>
      </c>
      <c r="M1839">
        <f t="shared" si="56"/>
      </c>
      <c r="N1839">
        <f>IF('R.M Billets Reports'!J1838="","",'R.M Billets Reports'!J1838)</f>
      </c>
      <c r="O1839">
        <f t="shared" si="57"/>
      </c>
      <c r="P1839">
        <f>IF('R.M Billets Reports'!A1838="SIZE",'R.M Billets Reports'!B1838,P1838)</f>
      </c>
    </row>
    <row r="1840" spans="1:16" x14ac:dyDescent="0.25">
      <c r="A1840">
        <f>IF(OR('R.M Billets Reports'!A1839="Date-",'R.M Billets Reports'!A1839="Date:-"),IF(IF(IF(ISNUMBER(SEARCH("Party Name:-",'R.M Billets Reports'!D1839)),TRIM('R.M Billets Reports'!F1839),IF(ISNUMBER(SEARCH("Party Name-",'R.M Billets Reports'!D1839)),TRIM(MID('R.M Billets Reports'!D1839,SEARCH("-",'R.M Billets Reports'!D1839)+1,200)),""))&lt;&gt;"",IF(ISNUMBER(SEARCH("Party Name:-",'R.M Billets Reports'!D1839)),TRIM('R.M Billets Reports'!F1839),IF(ISNUMBER(SEARCH("Party Name-",'R.M Billets Reports'!D1839)),TRIM(MID('R.M Billets Reports'!D1839,SEARCH("-",'R.M Billets Reports'!D1839)+1,200)),"")),IF(ISNUMBER(SEARCH("Party Name:-",'R.M Billets Reports'!D1840)),TRIM('R.M Billets Reports'!F1840),IF(ISNUMBER(SEARCH("Party Name-",'R.M Billets Reports'!D1840)),TRIM(MID('R.M Billets Reports'!D1840,SEARCH("-",'R.M Billets Reports'!D1840)+1,200)),"")))="VRKP ISPAT PVT LTD","VRKP",IF(IF(IF(ISNUMBER(SEARCH("Party Name:-",'R.M Billets Reports'!D1839)),TRIM('R.M Billets Reports'!F1839),IF(ISNUMBER(SEARCH("Party Name-",'R.M Billets Reports'!D1839)),TRIM(MID('R.M Billets Reports'!D1839,SEARCH("-",'R.M Billets Reports'!D1839)+1,200)),""))&lt;&gt;"",IF(ISNUMBER(SEARCH("Party Name:-",'R.M Billets Reports'!D1839)),TRIM('R.M Billets Reports'!F1839),IF(ISNUMBER(SEARCH("Party Name-",'R.M Billets Reports'!D1839)),TRIM(MID('R.M Billets Reports'!D1839,SEARCH("-",'R.M Billets Reports'!D1839)+1,200)),"")),IF(ISNUMBER(SEARCH("Party Name:-",'R.M Billets Reports'!D1840)),TRIM('R.M Billets Reports'!F1840),IF(ISNUMBER(SEARCH("Party Name-",'R.M Billets Reports'!D1840)),TRIM(MID('R.M Billets Reports'!D1840,SEARCH("-",'R.M Billets Reports'!D1840)+1,200)),"")))="SHRI RADHE","SHREE RADHE",IF(IF(IF(ISNUMBER(SEARCH("Party Name:-",'R.M Billets Reports'!D1839)),TRIM('R.M Billets Reports'!F1839),IF(ISNUMBER(SEARCH("Party Name-",'R.M Billets Reports'!D1839)),TRIM(MID('R.M Billets Reports'!D1839,SEARCH("-",'R.M Billets Reports'!D1839)+1,200)),""))&lt;&gt;"",IF(ISNUMBER(SEARCH("Party Name:-",'R.M Billets Reports'!D1839)),TRIM('R.M Billets Reports'!F1839),IF(ISNUMBER(SEARCH("Party Name-",'R.M Billets Reports'!D1839)),TRIM(MID('R.M Billets Reports'!D1839,SEARCH("-",'R.M Billets Reports'!D1839)+1,200)),"")),IF(ISNUMBER(SEARCH("Party Name:-",'R.M Billets Reports'!D1840)),TRIM('R.M Billets Reports'!F1840),IF(ISNUMBER(SEARCH("Party Name-",'R.M Billets Reports'!D1840)),TRIM(MID('R.M Billets Reports'!D1840,SEARCH("-",'R.M Billets Reports'!D1840)+1,200)),"")))="SHREE RADHE SHAKTI SPONGE AND POWER PVT. LTD.","SHREE RADHE",IF(IF(ISNUMBER(SEARCH("Party Name:-",'R.M Billets Reports'!D1839)),TRIM('R.M Billets Reports'!F1839),IF(ISNUMBER(SEARCH("Party Name-",'R.M Billets Reports'!D1839)),TRIM(MID('R.M Billets Reports'!D1839,SEARCH("-",'R.M Billets Reports'!D1839)+1,200)),""))&lt;&gt;"",IF(ISNUMBER(SEARCH("Party Name:-",'R.M Billets Reports'!D1839)),TRIM('R.M Billets Reports'!F1839),IF(ISNUMBER(SEARCH("Party Name-",'R.M Billets Reports'!D1839)),TRIM(MID('R.M Billets Reports'!D1839,SEARCH("-",'R.M Billets Reports'!D1839)+1,200)),"")),IF(ISNUMBER(SEARCH("Party Name:-",'R.M Billets Reports'!D1840)),TRIM('R.M Billets Reports'!F1840),IF(ISNUMBER(SEARCH("Party Name-",'R.M Billets Reports'!D1840)),TRIM(MID('R.M Billets Reports'!D1840,SEARCH("-",'R.M Billets Reports'!D1840)+1,200)),"")))))),IF(ROW()=2,"",A1839))</f>
      </c>
      <c r="B1840">
        <f>IF(OR('R.M Billets Reports'!A1839="Date-",'R.M Billets Reports'!A1839="Date:-"),'R.M Billets Reports'!B1839,IF(ROW()=2,"",B1839))</f>
      </c>
      <c r="C1840">
        <f>IF('R.M Billets Reports'!A1839="V.No.",'R.M Billets Reports'!B1839,IF(ROW()=2,"",C1839))</f>
      </c>
      <c r="D1840">
        <f>IF('R.M Billets Reports'!A1839&lt;&gt;"",'R.M Billets Reports'!A1839,IF(ROW()=2,"",D1839))</f>
      </c>
      <c r="E1840">
        <f>IF('R.M Billets Reports'!B1839="","",TRIM('R.M Billets Reports'!B1839))</f>
      </c>
      <c r="F1840">
        <f>'R.M Billets Reports'!C1839</f>
      </c>
      <c r="G1840">
        <f>'R.M Billets Reports'!D1839</f>
      </c>
      <c r="H1840">
        <f>'R.M Billets Reports'!E1839</f>
      </c>
      <c r="I1840">
        <f>'R.M Billets Reports'!F1839</f>
      </c>
      <c r="J1840">
        <f>'R.M Billets Reports'!G1839</f>
      </c>
      <c r="K1840">
        <f>'R.M Billets Reports'!H1839</f>
      </c>
      <c r="L1840">
        <f>IF('R.M Billets Reports'!I1839="","",'R.M Billets Reports'!I1839)</f>
      </c>
      <c r="M1840">
        <f t="shared" si="56"/>
      </c>
      <c r="N1840">
        <f>IF('R.M Billets Reports'!J1839="","",'R.M Billets Reports'!J1839)</f>
      </c>
      <c r="O1840">
        <f t="shared" si="57"/>
      </c>
      <c r="P1840">
        <f>IF('R.M Billets Reports'!A1839="SIZE",'R.M Billets Reports'!B1839,P1839)</f>
      </c>
    </row>
    <row r="1841" spans="1:16" x14ac:dyDescent="0.25">
      <c r="A1841">
        <f>IF(OR('R.M Billets Reports'!A1840="Date-",'R.M Billets Reports'!A1840="Date:-"),IF(IF(IF(ISNUMBER(SEARCH("Party Name:-",'R.M Billets Reports'!D1840)),TRIM('R.M Billets Reports'!F1840),IF(ISNUMBER(SEARCH("Party Name-",'R.M Billets Reports'!D1840)),TRIM(MID('R.M Billets Reports'!D1840,SEARCH("-",'R.M Billets Reports'!D1840)+1,200)),""))&lt;&gt;"",IF(ISNUMBER(SEARCH("Party Name:-",'R.M Billets Reports'!D1840)),TRIM('R.M Billets Reports'!F1840),IF(ISNUMBER(SEARCH("Party Name-",'R.M Billets Reports'!D1840)),TRIM(MID('R.M Billets Reports'!D1840,SEARCH("-",'R.M Billets Reports'!D1840)+1,200)),"")),IF(ISNUMBER(SEARCH("Party Name:-",'R.M Billets Reports'!D1841)),TRIM('R.M Billets Reports'!F1841),IF(ISNUMBER(SEARCH("Party Name-",'R.M Billets Reports'!D1841)),TRIM(MID('R.M Billets Reports'!D1841,SEARCH("-",'R.M Billets Reports'!D1841)+1,200)),"")))="VRKP ISPAT PVT LTD","VRKP",IF(IF(IF(ISNUMBER(SEARCH("Party Name:-",'R.M Billets Reports'!D1840)),TRIM('R.M Billets Reports'!F1840),IF(ISNUMBER(SEARCH("Party Name-",'R.M Billets Reports'!D1840)),TRIM(MID('R.M Billets Reports'!D1840,SEARCH("-",'R.M Billets Reports'!D1840)+1,200)),""))&lt;&gt;"",IF(ISNUMBER(SEARCH("Party Name:-",'R.M Billets Reports'!D1840)),TRIM('R.M Billets Reports'!F1840),IF(ISNUMBER(SEARCH("Party Name-",'R.M Billets Reports'!D1840)),TRIM(MID('R.M Billets Reports'!D1840,SEARCH("-",'R.M Billets Reports'!D1840)+1,200)),"")),IF(ISNUMBER(SEARCH("Party Name:-",'R.M Billets Reports'!D1841)),TRIM('R.M Billets Reports'!F1841),IF(ISNUMBER(SEARCH("Party Name-",'R.M Billets Reports'!D1841)),TRIM(MID('R.M Billets Reports'!D1841,SEARCH("-",'R.M Billets Reports'!D1841)+1,200)),"")))="SHRI RADHE","SHREE RADHE",IF(IF(IF(ISNUMBER(SEARCH("Party Name:-",'R.M Billets Reports'!D1840)),TRIM('R.M Billets Reports'!F1840),IF(ISNUMBER(SEARCH("Party Name-",'R.M Billets Reports'!D1840)),TRIM(MID('R.M Billets Reports'!D1840,SEARCH("-",'R.M Billets Reports'!D1840)+1,200)),""))&lt;&gt;"",IF(ISNUMBER(SEARCH("Party Name:-",'R.M Billets Reports'!D1840)),TRIM('R.M Billets Reports'!F1840),IF(ISNUMBER(SEARCH("Party Name-",'R.M Billets Reports'!D1840)),TRIM(MID('R.M Billets Reports'!D1840,SEARCH("-",'R.M Billets Reports'!D1840)+1,200)),"")),IF(ISNUMBER(SEARCH("Party Name:-",'R.M Billets Reports'!D1841)),TRIM('R.M Billets Reports'!F1841),IF(ISNUMBER(SEARCH("Party Name-",'R.M Billets Reports'!D1841)),TRIM(MID('R.M Billets Reports'!D1841,SEARCH("-",'R.M Billets Reports'!D1841)+1,200)),"")))="SHREE RADHE SHAKTI SPONGE AND POWER PVT. LTD.","SHREE RADHE",IF(IF(ISNUMBER(SEARCH("Party Name:-",'R.M Billets Reports'!D1840)),TRIM('R.M Billets Reports'!F1840),IF(ISNUMBER(SEARCH("Party Name-",'R.M Billets Reports'!D1840)),TRIM(MID('R.M Billets Reports'!D1840,SEARCH("-",'R.M Billets Reports'!D1840)+1,200)),""))&lt;&gt;"",IF(ISNUMBER(SEARCH("Party Name:-",'R.M Billets Reports'!D1840)),TRIM('R.M Billets Reports'!F1840),IF(ISNUMBER(SEARCH("Party Name-",'R.M Billets Reports'!D1840)),TRIM(MID('R.M Billets Reports'!D1840,SEARCH("-",'R.M Billets Reports'!D1840)+1,200)),"")),IF(ISNUMBER(SEARCH("Party Name:-",'R.M Billets Reports'!D1841)),TRIM('R.M Billets Reports'!F1841),IF(ISNUMBER(SEARCH("Party Name-",'R.M Billets Reports'!D1841)),TRIM(MID('R.M Billets Reports'!D1841,SEARCH("-",'R.M Billets Reports'!D1841)+1,200)),"")))))),IF(ROW()=2,"",A1840))</f>
      </c>
      <c r="B1841">
        <f>IF(OR('R.M Billets Reports'!A1840="Date-",'R.M Billets Reports'!A1840="Date:-"),'R.M Billets Reports'!B1840,IF(ROW()=2,"",B1840))</f>
      </c>
      <c r="C1841">
        <f>IF('R.M Billets Reports'!A1840="V.No.",'R.M Billets Reports'!B1840,IF(ROW()=2,"",C1840))</f>
      </c>
      <c r="D1841">
        <f>IF('R.M Billets Reports'!A1840&lt;&gt;"",'R.M Billets Reports'!A1840,IF(ROW()=2,"",D1840))</f>
      </c>
      <c r="E1841">
        <f>IF('R.M Billets Reports'!B1840="","",TRIM('R.M Billets Reports'!B1840))</f>
      </c>
      <c r="F1841">
        <f>'R.M Billets Reports'!C1840</f>
      </c>
      <c r="G1841">
        <f>'R.M Billets Reports'!D1840</f>
      </c>
      <c r="H1841">
        <f>'R.M Billets Reports'!E1840</f>
      </c>
      <c r="I1841">
        <f>'R.M Billets Reports'!F1840</f>
      </c>
      <c r="J1841">
        <f>'R.M Billets Reports'!G1840</f>
      </c>
      <c r="K1841">
        <f>'R.M Billets Reports'!H1840</f>
      </c>
      <c r="L1841">
        <f>IF('R.M Billets Reports'!I1840="","",'R.M Billets Reports'!I1840)</f>
      </c>
      <c r="M1841">
        <f t="shared" si="56"/>
      </c>
      <c r="N1841">
        <f>IF('R.M Billets Reports'!J1840="","",'R.M Billets Reports'!J1840)</f>
      </c>
      <c r="O1841">
        <f t="shared" si="57"/>
      </c>
      <c r="P1841">
        <f>IF('R.M Billets Reports'!A1840="SIZE",'R.M Billets Reports'!B1840,P1840)</f>
      </c>
    </row>
    <row r="1842" spans="1:16" x14ac:dyDescent="0.25">
      <c r="A1842">
        <f>IF(OR('R.M Billets Reports'!A1841="Date-",'R.M Billets Reports'!A1841="Date:-"),IF(IF(IF(ISNUMBER(SEARCH("Party Name:-",'R.M Billets Reports'!D1841)),TRIM('R.M Billets Reports'!F1841),IF(ISNUMBER(SEARCH("Party Name-",'R.M Billets Reports'!D1841)),TRIM(MID('R.M Billets Reports'!D1841,SEARCH("-",'R.M Billets Reports'!D1841)+1,200)),""))&lt;&gt;"",IF(ISNUMBER(SEARCH("Party Name:-",'R.M Billets Reports'!D1841)),TRIM('R.M Billets Reports'!F1841),IF(ISNUMBER(SEARCH("Party Name-",'R.M Billets Reports'!D1841)),TRIM(MID('R.M Billets Reports'!D1841,SEARCH("-",'R.M Billets Reports'!D1841)+1,200)),"")),IF(ISNUMBER(SEARCH("Party Name:-",'R.M Billets Reports'!D1842)),TRIM('R.M Billets Reports'!F1842),IF(ISNUMBER(SEARCH("Party Name-",'R.M Billets Reports'!D1842)),TRIM(MID('R.M Billets Reports'!D1842,SEARCH("-",'R.M Billets Reports'!D1842)+1,200)),"")))="VRKP ISPAT PVT LTD","VRKP",IF(IF(IF(ISNUMBER(SEARCH("Party Name:-",'R.M Billets Reports'!D1841)),TRIM('R.M Billets Reports'!F1841),IF(ISNUMBER(SEARCH("Party Name-",'R.M Billets Reports'!D1841)),TRIM(MID('R.M Billets Reports'!D1841,SEARCH("-",'R.M Billets Reports'!D1841)+1,200)),""))&lt;&gt;"",IF(ISNUMBER(SEARCH("Party Name:-",'R.M Billets Reports'!D1841)),TRIM('R.M Billets Reports'!F1841),IF(ISNUMBER(SEARCH("Party Name-",'R.M Billets Reports'!D1841)),TRIM(MID('R.M Billets Reports'!D1841,SEARCH("-",'R.M Billets Reports'!D1841)+1,200)),"")),IF(ISNUMBER(SEARCH("Party Name:-",'R.M Billets Reports'!D1842)),TRIM('R.M Billets Reports'!F1842),IF(ISNUMBER(SEARCH("Party Name-",'R.M Billets Reports'!D1842)),TRIM(MID('R.M Billets Reports'!D1842,SEARCH("-",'R.M Billets Reports'!D1842)+1,200)),"")))="SHRI RADHE","SHREE RADHE",IF(IF(IF(ISNUMBER(SEARCH("Party Name:-",'R.M Billets Reports'!D1841)),TRIM('R.M Billets Reports'!F1841),IF(ISNUMBER(SEARCH("Party Name-",'R.M Billets Reports'!D1841)),TRIM(MID('R.M Billets Reports'!D1841,SEARCH("-",'R.M Billets Reports'!D1841)+1,200)),""))&lt;&gt;"",IF(ISNUMBER(SEARCH("Party Name:-",'R.M Billets Reports'!D1841)),TRIM('R.M Billets Reports'!F1841),IF(ISNUMBER(SEARCH("Party Name-",'R.M Billets Reports'!D1841)),TRIM(MID('R.M Billets Reports'!D1841,SEARCH("-",'R.M Billets Reports'!D1841)+1,200)),"")),IF(ISNUMBER(SEARCH("Party Name:-",'R.M Billets Reports'!D1842)),TRIM('R.M Billets Reports'!F1842),IF(ISNUMBER(SEARCH("Party Name-",'R.M Billets Reports'!D1842)),TRIM(MID('R.M Billets Reports'!D1842,SEARCH("-",'R.M Billets Reports'!D1842)+1,200)),"")))="SHREE RADHE SHAKTI SPONGE AND POWER PVT. LTD.","SHREE RADHE",IF(IF(ISNUMBER(SEARCH("Party Name:-",'R.M Billets Reports'!D1841)),TRIM('R.M Billets Reports'!F1841),IF(ISNUMBER(SEARCH("Party Name-",'R.M Billets Reports'!D1841)),TRIM(MID('R.M Billets Reports'!D1841,SEARCH("-",'R.M Billets Reports'!D1841)+1,200)),""))&lt;&gt;"",IF(ISNUMBER(SEARCH("Party Name:-",'R.M Billets Reports'!D1841)),TRIM('R.M Billets Reports'!F1841),IF(ISNUMBER(SEARCH("Party Name-",'R.M Billets Reports'!D1841)),TRIM(MID('R.M Billets Reports'!D1841,SEARCH("-",'R.M Billets Reports'!D1841)+1,200)),"")),IF(ISNUMBER(SEARCH("Party Name:-",'R.M Billets Reports'!D1842)),TRIM('R.M Billets Reports'!F1842),IF(ISNUMBER(SEARCH("Party Name-",'R.M Billets Reports'!D1842)),TRIM(MID('R.M Billets Reports'!D1842,SEARCH("-",'R.M Billets Reports'!D1842)+1,200)),"")))))),IF(ROW()=2,"",A1841))</f>
      </c>
      <c r="B1842">
        <f>IF(OR('R.M Billets Reports'!A1841="Date-",'R.M Billets Reports'!A1841="Date:-"),'R.M Billets Reports'!B1841,IF(ROW()=2,"",B1841))</f>
      </c>
      <c r="C1842">
        <f>IF('R.M Billets Reports'!A1841="V.No.",'R.M Billets Reports'!B1841,IF(ROW()=2,"",C1841))</f>
      </c>
      <c r="D1842">
        <f>IF('R.M Billets Reports'!A1841&lt;&gt;"",'R.M Billets Reports'!A1841,IF(ROW()=2,"",D1841))</f>
      </c>
      <c r="E1842">
        <f>IF('R.M Billets Reports'!B1841="","",TRIM('R.M Billets Reports'!B1841))</f>
      </c>
      <c r="F1842">
        <f>'R.M Billets Reports'!C1841</f>
      </c>
      <c r="G1842">
        <f>'R.M Billets Reports'!D1841</f>
      </c>
      <c r="H1842">
        <f>'R.M Billets Reports'!E1841</f>
      </c>
      <c r="I1842">
        <f>'R.M Billets Reports'!F1841</f>
      </c>
      <c r="J1842">
        <f>'R.M Billets Reports'!G1841</f>
      </c>
      <c r="K1842">
        <f>'R.M Billets Reports'!H1841</f>
      </c>
      <c r="L1842">
        <f>IF('R.M Billets Reports'!I1841="","",'R.M Billets Reports'!I1841)</f>
      </c>
      <c r="M1842">
        <f t="shared" si="56"/>
      </c>
      <c r="N1842">
        <f>IF('R.M Billets Reports'!J1841="","",'R.M Billets Reports'!J1841)</f>
      </c>
      <c r="O1842">
        <f t="shared" si="57"/>
      </c>
      <c r="P1842">
        <f>IF('R.M Billets Reports'!A1841="SIZE",'R.M Billets Reports'!B1841,P1841)</f>
      </c>
    </row>
    <row r="1843" spans="1:16" x14ac:dyDescent="0.25">
      <c r="A1843">
        <f>IF(OR('R.M Billets Reports'!A1842="Date-",'R.M Billets Reports'!A1842="Date:-"),IF(IF(IF(ISNUMBER(SEARCH("Party Name:-",'R.M Billets Reports'!D1842)),TRIM('R.M Billets Reports'!F1842),IF(ISNUMBER(SEARCH("Party Name-",'R.M Billets Reports'!D1842)),TRIM(MID('R.M Billets Reports'!D1842,SEARCH("-",'R.M Billets Reports'!D1842)+1,200)),""))&lt;&gt;"",IF(ISNUMBER(SEARCH("Party Name:-",'R.M Billets Reports'!D1842)),TRIM('R.M Billets Reports'!F1842),IF(ISNUMBER(SEARCH("Party Name-",'R.M Billets Reports'!D1842)),TRIM(MID('R.M Billets Reports'!D1842,SEARCH("-",'R.M Billets Reports'!D1842)+1,200)),"")),IF(ISNUMBER(SEARCH("Party Name:-",'R.M Billets Reports'!D1843)),TRIM('R.M Billets Reports'!F1843),IF(ISNUMBER(SEARCH("Party Name-",'R.M Billets Reports'!D1843)),TRIM(MID('R.M Billets Reports'!D1843,SEARCH("-",'R.M Billets Reports'!D1843)+1,200)),"")))="VRKP ISPAT PVT LTD","VRKP",IF(IF(IF(ISNUMBER(SEARCH("Party Name:-",'R.M Billets Reports'!D1842)),TRIM('R.M Billets Reports'!F1842),IF(ISNUMBER(SEARCH("Party Name-",'R.M Billets Reports'!D1842)),TRIM(MID('R.M Billets Reports'!D1842,SEARCH("-",'R.M Billets Reports'!D1842)+1,200)),""))&lt;&gt;"",IF(ISNUMBER(SEARCH("Party Name:-",'R.M Billets Reports'!D1842)),TRIM('R.M Billets Reports'!F1842),IF(ISNUMBER(SEARCH("Party Name-",'R.M Billets Reports'!D1842)),TRIM(MID('R.M Billets Reports'!D1842,SEARCH("-",'R.M Billets Reports'!D1842)+1,200)),"")),IF(ISNUMBER(SEARCH("Party Name:-",'R.M Billets Reports'!D1843)),TRIM('R.M Billets Reports'!F1843),IF(ISNUMBER(SEARCH("Party Name-",'R.M Billets Reports'!D1843)),TRIM(MID('R.M Billets Reports'!D1843,SEARCH("-",'R.M Billets Reports'!D1843)+1,200)),"")))="SHRI RADHE","SHREE RADHE",IF(IF(IF(ISNUMBER(SEARCH("Party Name:-",'R.M Billets Reports'!D1842)),TRIM('R.M Billets Reports'!F1842),IF(ISNUMBER(SEARCH("Party Name-",'R.M Billets Reports'!D1842)),TRIM(MID('R.M Billets Reports'!D1842,SEARCH("-",'R.M Billets Reports'!D1842)+1,200)),""))&lt;&gt;"",IF(ISNUMBER(SEARCH("Party Name:-",'R.M Billets Reports'!D1842)),TRIM('R.M Billets Reports'!F1842),IF(ISNUMBER(SEARCH("Party Name-",'R.M Billets Reports'!D1842)),TRIM(MID('R.M Billets Reports'!D1842,SEARCH("-",'R.M Billets Reports'!D1842)+1,200)),"")),IF(ISNUMBER(SEARCH("Party Name:-",'R.M Billets Reports'!D1843)),TRIM('R.M Billets Reports'!F1843),IF(ISNUMBER(SEARCH("Party Name-",'R.M Billets Reports'!D1843)),TRIM(MID('R.M Billets Reports'!D1843,SEARCH("-",'R.M Billets Reports'!D1843)+1,200)),"")))="SHREE RADHE SHAKTI SPONGE AND POWER PVT. LTD.","SHREE RADHE",IF(IF(ISNUMBER(SEARCH("Party Name:-",'R.M Billets Reports'!D1842)),TRIM('R.M Billets Reports'!F1842),IF(ISNUMBER(SEARCH("Party Name-",'R.M Billets Reports'!D1842)),TRIM(MID('R.M Billets Reports'!D1842,SEARCH("-",'R.M Billets Reports'!D1842)+1,200)),""))&lt;&gt;"",IF(ISNUMBER(SEARCH("Party Name:-",'R.M Billets Reports'!D1842)),TRIM('R.M Billets Reports'!F1842),IF(ISNUMBER(SEARCH("Party Name-",'R.M Billets Reports'!D1842)),TRIM(MID('R.M Billets Reports'!D1842,SEARCH("-",'R.M Billets Reports'!D1842)+1,200)),"")),IF(ISNUMBER(SEARCH("Party Name:-",'R.M Billets Reports'!D1843)),TRIM('R.M Billets Reports'!F1843),IF(ISNUMBER(SEARCH("Party Name-",'R.M Billets Reports'!D1843)),TRIM(MID('R.M Billets Reports'!D1843,SEARCH("-",'R.M Billets Reports'!D1843)+1,200)),"")))))),IF(ROW()=2,"",A1842))</f>
      </c>
      <c r="B1843">
        <f>IF(OR('R.M Billets Reports'!A1842="Date-",'R.M Billets Reports'!A1842="Date:-"),'R.M Billets Reports'!B1842,IF(ROW()=2,"",B1842))</f>
      </c>
      <c r="C1843">
        <f>IF('R.M Billets Reports'!A1842="V.No.",'R.M Billets Reports'!B1842,IF(ROW()=2,"",C1842))</f>
      </c>
      <c r="D1843">
        <f>IF('R.M Billets Reports'!A1842&lt;&gt;"",'R.M Billets Reports'!A1842,IF(ROW()=2,"",D1842))</f>
      </c>
      <c r="E1843">
        <f>IF('R.M Billets Reports'!B1842="","",TRIM('R.M Billets Reports'!B1842))</f>
      </c>
      <c r="F1843">
        <f>'R.M Billets Reports'!C1842</f>
      </c>
      <c r="G1843">
        <f>'R.M Billets Reports'!D1842</f>
      </c>
      <c r="H1843">
        <f>'R.M Billets Reports'!E1842</f>
      </c>
      <c r="I1843">
        <f>'R.M Billets Reports'!F1842</f>
      </c>
      <c r="J1843">
        <f>'R.M Billets Reports'!G1842</f>
      </c>
      <c r="K1843">
        <f>'R.M Billets Reports'!H1842</f>
      </c>
      <c r="L1843">
        <f>IF('R.M Billets Reports'!I1842="","",'R.M Billets Reports'!I1842)</f>
      </c>
      <c r="M1843">
        <f t="shared" si="56"/>
      </c>
      <c r="N1843">
        <f>IF('R.M Billets Reports'!J1842="","",'R.M Billets Reports'!J1842)</f>
      </c>
      <c r="O1843">
        <f t="shared" si="57"/>
      </c>
      <c r="P1843">
        <f>IF('R.M Billets Reports'!A1842="SIZE",'R.M Billets Reports'!B1842,P1842)</f>
      </c>
    </row>
    <row r="1844" spans="1:16" x14ac:dyDescent="0.25">
      <c r="A1844">
        <f>IF(OR('R.M Billets Reports'!A1843="Date-",'R.M Billets Reports'!A1843="Date:-"),IF(IF(IF(ISNUMBER(SEARCH("Party Name:-",'R.M Billets Reports'!D1843)),TRIM('R.M Billets Reports'!F1843),IF(ISNUMBER(SEARCH("Party Name-",'R.M Billets Reports'!D1843)),TRIM(MID('R.M Billets Reports'!D1843,SEARCH("-",'R.M Billets Reports'!D1843)+1,200)),""))&lt;&gt;"",IF(ISNUMBER(SEARCH("Party Name:-",'R.M Billets Reports'!D1843)),TRIM('R.M Billets Reports'!F1843),IF(ISNUMBER(SEARCH("Party Name-",'R.M Billets Reports'!D1843)),TRIM(MID('R.M Billets Reports'!D1843,SEARCH("-",'R.M Billets Reports'!D1843)+1,200)),"")),IF(ISNUMBER(SEARCH("Party Name:-",'R.M Billets Reports'!D1844)),TRIM('R.M Billets Reports'!F1844),IF(ISNUMBER(SEARCH("Party Name-",'R.M Billets Reports'!D1844)),TRIM(MID('R.M Billets Reports'!D1844,SEARCH("-",'R.M Billets Reports'!D1844)+1,200)),"")))="VRKP ISPAT PVT LTD","VRKP",IF(IF(IF(ISNUMBER(SEARCH("Party Name:-",'R.M Billets Reports'!D1843)),TRIM('R.M Billets Reports'!F1843),IF(ISNUMBER(SEARCH("Party Name-",'R.M Billets Reports'!D1843)),TRIM(MID('R.M Billets Reports'!D1843,SEARCH("-",'R.M Billets Reports'!D1843)+1,200)),""))&lt;&gt;"",IF(ISNUMBER(SEARCH("Party Name:-",'R.M Billets Reports'!D1843)),TRIM('R.M Billets Reports'!F1843),IF(ISNUMBER(SEARCH("Party Name-",'R.M Billets Reports'!D1843)),TRIM(MID('R.M Billets Reports'!D1843,SEARCH("-",'R.M Billets Reports'!D1843)+1,200)),"")),IF(ISNUMBER(SEARCH("Party Name:-",'R.M Billets Reports'!D1844)),TRIM('R.M Billets Reports'!F1844),IF(ISNUMBER(SEARCH("Party Name-",'R.M Billets Reports'!D1844)),TRIM(MID('R.M Billets Reports'!D1844,SEARCH("-",'R.M Billets Reports'!D1844)+1,200)),"")))="SHRI RADHE","SHREE RADHE",IF(IF(IF(ISNUMBER(SEARCH("Party Name:-",'R.M Billets Reports'!D1843)),TRIM('R.M Billets Reports'!F1843),IF(ISNUMBER(SEARCH("Party Name-",'R.M Billets Reports'!D1843)),TRIM(MID('R.M Billets Reports'!D1843,SEARCH("-",'R.M Billets Reports'!D1843)+1,200)),""))&lt;&gt;"",IF(ISNUMBER(SEARCH("Party Name:-",'R.M Billets Reports'!D1843)),TRIM('R.M Billets Reports'!F1843),IF(ISNUMBER(SEARCH("Party Name-",'R.M Billets Reports'!D1843)),TRIM(MID('R.M Billets Reports'!D1843,SEARCH("-",'R.M Billets Reports'!D1843)+1,200)),"")),IF(ISNUMBER(SEARCH("Party Name:-",'R.M Billets Reports'!D1844)),TRIM('R.M Billets Reports'!F1844),IF(ISNUMBER(SEARCH("Party Name-",'R.M Billets Reports'!D1844)),TRIM(MID('R.M Billets Reports'!D1844,SEARCH("-",'R.M Billets Reports'!D1844)+1,200)),"")))="SHREE RADHE SHAKTI SPONGE AND POWER PVT. LTD.","SHREE RADHE",IF(IF(ISNUMBER(SEARCH("Party Name:-",'R.M Billets Reports'!D1843)),TRIM('R.M Billets Reports'!F1843),IF(ISNUMBER(SEARCH("Party Name-",'R.M Billets Reports'!D1843)),TRIM(MID('R.M Billets Reports'!D1843,SEARCH("-",'R.M Billets Reports'!D1843)+1,200)),""))&lt;&gt;"",IF(ISNUMBER(SEARCH("Party Name:-",'R.M Billets Reports'!D1843)),TRIM('R.M Billets Reports'!F1843),IF(ISNUMBER(SEARCH("Party Name-",'R.M Billets Reports'!D1843)),TRIM(MID('R.M Billets Reports'!D1843,SEARCH("-",'R.M Billets Reports'!D1843)+1,200)),"")),IF(ISNUMBER(SEARCH("Party Name:-",'R.M Billets Reports'!D1844)),TRIM('R.M Billets Reports'!F1844),IF(ISNUMBER(SEARCH("Party Name-",'R.M Billets Reports'!D1844)),TRIM(MID('R.M Billets Reports'!D1844,SEARCH("-",'R.M Billets Reports'!D1844)+1,200)),"")))))),IF(ROW()=2,"",A1843))</f>
      </c>
      <c r="B1844">
        <f>IF(OR('R.M Billets Reports'!A1843="Date-",'R.M Billets Reports'!A1843="Date:-"),'R.M Billets Reports'!B1843,IF(ROW()=2,"",B1843))</f>
      </c>
      <c r="C1844">
        <f>IF('R.M Billets Reports'!A1843="V.No.",'R.M Billets Reports'!B1843,IF(ROW()=2,"",C1843))</f>
      </c>
      <c r="D1844">
        <f>IF('R.M Billets Reports'!A1843&lt;&gt;"",'R.M Billets Reports'!A1843,IF(ROW()=2,"",D1843))</f>
      </c>
      <c r="E1844">
        <f>IF('R.M Billets Reports'!B1843="","",TRIM('R.M Billets Reports'!B1843))</f>
      </c>
      <c r="F1844">
        <f>'R.M Billets Reports'!C1843</f>
      </c>
      <c r="G1844">
        <f>'R.M Billets Reports'!D1843</f>
      </c>
      <c r="H1844">
        <f>'R.M Billets Reports'!E1843</f>
      </c>
      <c r="I1844">
        <f>'R.M Billets Reports'!F1843</f>
      </c>
      <c r="J1844">
        <f>'R.M Billets Reports'!G1843</f>
      </c>
      <c r="K1844">
        <f>'R.M Billets Reports'!H1843</f>
      </c>
      <c r="L1844">
        <f>IF('R.M Billets Reports'!I1843="","",'R.M Billets Reports'!I1843)</f>
      </c>
      <c r="M1844">
        <f t="shared" si="56"/>
      </c>
      <c r="N1844">
        <f>IF('R.M Billets Reports'!J1843="","",'R.M Billets Reports'!J1843)</f>
      </c>
      <c r="O1844">
        <f t="shared" si="57"/>
      </c>
      <c r="P1844">
        <f>IF('R.M Billets Reports'!A1843="SIZE",'R.M Billets Reports'!B1843,P1843)</f>
      </c>
    </row>
    <row r="1845" spans="1:16" x14ac:dyDescent="0.25">
      <c r="A1845">
        <f>IF(OR('R.M Billets Reports'!A1844="Date-",'R.M Billets Reports'!A1844="Date:-"),IF(IF(IF(ISNUMBER(SEARCH("Party Name:-",'R.M Billets Reports'!D1844)),TRIM('R.M Billets Reports'!F1844),IF(ISNUMBER(SEARCH("Party Name-",'R.M Billets Reports'!D1844)),TRIM(MID('R.M Billets Reports'!D1844,SEARCH("-",'R.M Billets Reports'!D1844)+1,200)),""))&lt;&gt;"",IF(ISNUMBER(SEARCH("Party Name:-",'R.M Billets Reports'!D1844)),TRIM('R.M Billets Reports'!F1844),IF(ISNUMBER(SEARCH("Party Name-",'R.M Billets Reports'!D1844)),TRIM(MID('R.M Billets Reports'!D1844,SEARCH("-",'R.M Billets Reports'!D1844)+1,200)),"")),IF(ISNUMBER(SEARCH("Party Name:-",'R.M Billets Reports'!D1845)),TRIM('R.M Billets Reports'!F1845),IF(ISNUMBER(SEARCH("Party Name-",'R.M Billets Reports'!D1845)),TRIM(MID('R.M Billets Reports'!D1845,SEARCH("-",'R.M Billets Reports'!D1845)+1,200)),"")))="VRKP ISPAT PVT LTD","VRKP",IF(IF(IF(ISNUMBER(SEARCH("Party Name:-",'R.M Billets Reports'!D1844)),TRIM('R.M Billets Reports'!F1844),IF(ISNUMBER(SEARCH("Party Name-",'R.M Billets Reports'!D1844)),TRIM(MID('R.M Billets Reports'!D1844,SEARCH("-",'R.M Billets Reports'!D1844)+1,200)),""))&lt;&gt;"",IF(ISNUMBER(SEARCH("Party Name:-",'R.M Billets Reports'!D1844)),TRIM('R.M Billets Reports'!F1844),IF(ISNUMBER(SEARCH("Party Name-",'R.M Billets Reports'!D1844)),TRIM(MID('R.M Billets Reports'!D1844,SEARCH("-",'R.M Billets Reports'!D1844)+1,200)),"")),IF(ISNUMBER(SEARCH("Party Name:-",'R.M Billets Reports'!D1845)),TRIM('R.M Billets Reports'!F1845),IF(ISNUMBER(SEARCH("Party Name-",'R.M Billets Reports'!D1845)),TRIM(MID('R.M Billets Reports'!D1845,SEARCH("-",'R.M Billets Reports'!D1845)+1,200)),"")))="SHRI RADHE","SHREE RADHE",IF(IF(IF(ISNUMBER(SEARCH("Party Name:-",'R.M Billets Reports'!D1844)),TRIM('R.M Billets Reports'!F1844),IF(ISNUMBER(SEARCH("Party Name-",'R.M Billets Reports'!D1844)),TRIM(MID('R.M Billets Reports'!D1844,SEARCH("-",'R.M Billets Reports'!D1844)+1,200)),""))&lt;&gt;"",IF(ISNUMBER(SEARCH("Party Name:-",'R.M Billets Reports'!D1844)),TRIM('R.M Billets Reports'!F1844),IF(ISNUMBER(SEARCH("Party Name-",'R.M Billets Reports'!D1844)),TRIM(MID('R.M Billets Reports'!D1844,SEARCH("-",'R.M Billets Reports'!D1844)+1,200)),"")),IF(ISNUMBER(SEARCH("Party Name:-",'R.M Billets Reports'!D1845)),TRIM('R.M Billets Reports'!F1845),IF(ISNUMBER(SEARCH("Party Name-",'R.M Billets Reports'!D1845)),TRIM(MID('R.M Billets Reports'!D1845,SEARCH("-",'R.M Billets Reports'!D1845)+1,200)),"")))="SHREE RADHE SHAKTI SPONGE AND POWER PVT. LTD.","SHREE RADHE",IF(IF(ISNUMBER(SEARCH("Party Name:-",'R.M Billets Reports'!D1844)),TRIM('R.M Billets Reports'!F1844),IF(ISNUMBER(SEARCH("Party Name-",'R.M Billets Reports'!D1844)),TRIM(MID('R.M Billets Reports'!D1844,SEARCH("-",'R.M Billets Reports'!D1844)+1,200)),""))&lt;&gt;"",IF(ISNUMBER(SEARCH("Party Name:-",'R.M Billets Reports'!D1844)),TRIM('R.M Billets Reports'!F1844),IF(ISNUMBER(SEARCH("Party Name-",'R.M Billets Reports'!D1844)),TRIM(MID('R.M Billets Reports'!D1844,SEARCH("-",'R.M Billets Reports'!D1844)+1,200)),"")),IF(ISNUMBER(SEARCH("Party Name:-",'R.M Billets Reports'!D1845)),TRIM('R.M Billets Reports'!F1845),IF(ISNUMBER(SEARCH("Party Name-",'R.M Billets Reports'!D1845)),TRIM(MID('R.M Billets Reports'!D1845,SEARCH("-",'R.M Billets Reports'!D1845)+1,200)),"")))))),IF(ROW()=2,"",A1844))</f>
      </c>
      <c r="B1845">
        <f>IF(OR('R.M Billets Reports'!A1844="Date-",'R.M Billets Reports'!A1844="Date:-"),'R.M Billets Reports'!B1844,IF(ROW()=2,"",B1844))</f>
      </c>
      <c r="C1845">
        <f>IF('R.M Billets Reports'!A1844="V.No.",'R.M Billets Reports'!B1844,IF(ROW()=2,"",C1844))</f>
      </c>
      <c r="D1845">
        <f>IF('R.M Billets Reports'!A1844&lt;&gt;"",'R.M Billets Reports'!A1844,IF(ROW()=2,"",D1844))</f>
      </c>
      <c r="E1845">
        <f>IF('R.M Billets Reports'!B1844="","",TRIM('R.M Billets Reports'!B1844))</f>
      </c>
      <c r="F1845">
        <f>'R.M Billets Reports'!C1844</f>
      </c>
      <c r="G1845">
        <f>'R.M Billets Reports'!D1844</f>
      </c>
      <c r="H1845">
        <f>'R.M Billets Reports'!E1844</f>
      </c>
      <c r="I1845">
        <f>'R.M Billets Reports'!F1844</f>
      </c>
      <c r="J1845">
        <f>'R.M Billets Reports'!G1844</f>
      </c>
      <c r="K1845">
        <f>'R.M Billets Reports'!H1844</f>
      </c>
      <c r="L1845">
        <f>IF('R.M Billets Reports'!I1844="","",'R.M Billets Reports'!I1844)</f>
      </c>
      <c r="M1845">
        <f t="shared" si="56"/>
      </c>
      <c r="N1845">
        <f>IF('R.M Billets Reports'!J1844="","",'R.M Billets Reports'!J1844)</f>
      </c>
      <c r="O1845">
        <f t="shared" si="57"/>
      </c>
      <c r="P1845">
        <f>IF('R.M Billets Reports'!A1844="SIZE",'R.M Billets Reports'!B1844,P1844)</f>
      </c>
    </row>
    <row r="1846" spans="1:16" x14ac:dyDescent="0.25">
      <c r="A1846">
        <f>IF(OR('R.M Billets Reports'!A1845="Date-",'R.M Billets Reports'!A1845="Date:-"),IF(IF(IF(ISNUMBER(SEARCH("Party Name:-",'R.M Billets Reports'!D1845)),TRIM('R.M Billets Reports'!F1845),IF(ISNUMBER(SEARCH("Party Name-",'R.M Billets Reports'!D1845)),TRIM(MID('R.M Billets Reports'!D1845,SEARCH("-",'R.M Billets Reports'!D1845)+1,200)),""))&lt;&gt;"",IF(ISNUMBER(SEARCH("Party Name:-",'R.M Billets Reports'!D1845)),TRIM('R.M Billets Reports'!F1845),IF(ISNUMBER(SEARCH("Party Name-",'R.M Billets Reports'!D1845)),TRIM(MID('R.M Billets Reports'!D1845,SEARCH("-",'R.M Billets Reports'!D1845)+1,200)),"")),IF(ISNUMBER(SEARCH("Party Name:-",'R.M Billets Reports'!D1846)),TRIM('R.M Billets Reports'!F1846),IF(ISNUMBER(SEARCH("Party Name-",'R.M Billets Reports'!D1846)),TRIM(MID('R.M Billets Reports'!D1846,SEARCH("-",'R.M Billets Reports'!D1846)+1,200)),"")))="VRKP ISPAT PVT LTD","VRKP",IF(IF(IF(ISNUMBER(SEARCH("Party Name:-",'R.M Billets Reports'!D1845)),TRIM('R.M Billets Reports'!F1845),IF(ISNUMBER(SEARCH("Party Name-",'R.M Billets Reports'!D1845)),TRIM(MID('R.M Billets Reports'!D1845,SEARCH("-",'R.M Billets Reports'!D1845)+1,200)),""))&lt;&gt;"",IF(ISNUMBER(SEARCH("Party Name:-",'R.M Billets Reports'!D1845)),TRIM('R.M Billets Reports'!F1845),IF(ISNUMBER(SEARCH("Party Name-",'R.M Billets Reports'!D1845)),TRIM(MID('R.M Billets Reports'!D1845,SEARCH("-",'R.M Billets Reports'!D1845)+1,200)),"")),IF(ISNUMBER(SEARCH("Party Name:-",'R.M Billets Reports'!D1846)),TRIM('R.M Billets Reports'!F1846),IF(ISNUMBER(SEARCH("Party Name-",'R.M Billets Reports'!D1846)),TRIM(MID('R.M Billets Reports'!D1846,SEARCH("-",'R.M Billets Reports'!D1846)+1,200)),"")))="SHRI RADHE","SHREE RADHE",IF(IF(IF(ISNUMBER(SEARCH("Party Name:-",'R.M Billets Reports'!D1845)),TRIM('R.M Billets Reports'!F1845),IF(ISNUMBER(SEARCH("Party Name-",'R.M Billets Reports'!D1845)),TRIM(MID('R.M Billets Reports'!D1845,SEARCH("-",'R.M Billets Reports'!D1845)+1,200)),""))&lt;&gt;"",IF(ISNUMBER(SEARCH("Party Name:-",'R.M Billets Reports'!D1845)),TRIM('R.M Billets Reports'!F1845),IF(ISNUMBER(SEARCH("Party Name-",'R.M Billets Reports'!D1845)),TRIM(MID('R.M Billets Reports'!D1845,SEARCH("-",'R.M Billets Reports'!D1845)+1,200)),"")),IF(ISNUMBER(SEARCH("Party Name:-",'R.M Billets Reports'!D1846)),TRIM('R.M Billets Reports'!F1846),IF(ISNUMBER(SEARCH("Party Name-",'R.M Billets Reports'!D1846)),TRIM(MID('R.M Billets Reports'!D1846,SEARCH("-",'R.M Billets Reports'!D1846)+1,200)),"")))="SHREE RADHE SHAKTI SPONGE AND POWER PVT. LTD.","SHREE RADHE",IF(IF(ISNUMBER(SEARCH("Party Name:-",'R.M Billets Reports'!D1845)),TRIM('R.M Billets Reports'!F1845),IF(ISNUMBER(SEARCH("Party Name-",'R.M Billets Reports'!D1845)),TRIM(MID('R.M Billets Reports'!D1845,SEARCH("-",'R.M Billets Reports'!D1845)+1,200)),""))&lt;&gt;"",IF(ISNUMBER(SEARCH("Party Name:-",'R.M Billets Reports'!D1845)),TRIM('R.M Billets Reports'!F1845),IF(ISNUMBER(SEARCH("Party Name-",'R.M Billets Reports'!D1845)),TRIM(MID('R.M Billets Reports'!D1845,SEARCH("-",'R.M Billets Reports'!D1845)+1,200)),"")),IF(ISNUMBER(SEARCH("Party Name:-",'R.M Billets Reports'!D1846)),TRIM('R.M Billets Reports'!F1846),IF(ISNUMBER(SEARCH("Party Name-",'R.M Billets Reports'!D1846)),TRIM(MID('R.M Billets Reports'!D1846,SEARCH("-",'R.M Billets Reports'!D1846)+1,200)),"")))))),IF(ROW()=2,"",A1845))</f>
      </c>
      <c r="B1846">
        <f>IF(OR('R.M Billets Reports'!A1845="Date-",'R.M Billets Reports'!A1845="Date:-"),'R.M Billets Reports'!B1845,IF(ROW()=2,"",B1845))</f>
      </c>
      <c r="C1846">
        <f>IF('R.M Billets Reports'!A1845="V.No.",'R.M Billets Reports'!B1845,IF(ROW()=2,"",C1845))</f>
      </c>
      <c r="D1846">
        <f>IF('R.M Billets Reports'!A1845&lt;&gt;"",'R.M Billets Reports'!A1845,IF(ROW()=2,"",D1845))</f>
      </c>
      <c r="E1846">
        <f>IF('R.M Billets Reports'!B1845="","",TRIM('R.M Billets Reports'!B1845))</f>
      </c>
      <c r="F1846">
        <f>'R.M Billets Reports'!C1845</f>
      </c>
      <c r="G1846">
        <f>'R.M Billets Reports'!D1845</f>
      </c>
      <c r="H1846">
        <f>'R.M Billets Reports'!E1845</f>
      </c>
      <c r="I1846">
        <f>'R.M Billets Reports'!F1845</f>
      </c>
      <c r="J1846">
        <f>'R.M Billets Reports'!G1845</f>
      </c>
      <c r="K1846">
        <f>'R.M Billets Reports'!H1845</f>
      </c>
      <c r="L1846">
        <f>IF('R.M Billets Reports'!I1845="","",'R.M Billets Reports'!I1845)</f>
      </c>
      <c r="M1846">
        <f t="shared" si="56"/>
      </c>
      <c r="N1846">
        <f>IF('R.M Billets Reports'!J1845="","",'R.M Billets Reports'!J1845)</f>
      </c>
      <c r="O1846">
        <f t="shared" si="57"/>
      </c>
      <c r="P1846">
        <f>IF('R.M Billets Reports'!A1845="SIZE",'R.M Billets Reports'!B1845,P1845)</f>
      </c>
    </row>
    <row r="1847" spans="1:16" x14ac:dyDescent="0.25">
      <c r="A1847">
        <f>IF(OR('R.M Billets Reports'!A1846="Date-",'R.M Billets Reports'!A1846="Date:-"),IF(IF(IF(ISNUMBER(SEARCH("Party Name:-",'R.M Billets Reports'!D1846)),TRIM('R.M Billets Reports'!F1846),IF(ISNUMBER(SEARCH("Party Name-",'R.M Billets Reports'!D1846)),TRIM(MID('R.M Billets Reports'!D1846,SEARCH("-",'R.M Billets Reports'!D1846)+1,200)),""))&lt;&gt;"",IF(ISNUMBER(SEARCH("Party Name:-",'R.M Billets Reports'!D1846)),TRIM('R.M Billets Reports'!F1846),IF(ISNUMBER(SEARCH("Party Name-",'R.M Billets Reports'!D1846)),TRIM(MID('R.M Billets Reports'!D1846,SEARCH("-",'R.M Billets Reports'!D1846)+1,200)),"")),IF(ISNUMBER(SEARCH("Party Name:-",'R.M Billets Reports'!D1847)),TRIM('R.M Billets Reports'!F1847),IF(ISNUMBER(SEARCH("Party Name-",'R.M Billets Reports'!D1847)),TRIM(MID('R.M Billets Reports'!D1847,SEARCH("-",'R.M Billets Reports'!D1847)+1,200)),"")))="VRKP ISPAT PVT LTD","VRKP",IF(IF(IF(ISNUMBER(SEARCH("Party Name:-",'R.M Billets Reports'!D1846)),TRIM('R.M Billets Reports'!F1846),IF(ISNUMBER(SEARCH("Party Name-",'R.M Billets Reports'!D1846)),TRIM(MID('R.M Billets Reports'!D1846,SEARCH("-",'R.M Billets Reports'!D1846)+1,200)),""))&lt;&gt;"",IF(ISNUMBER(SEARCH("Party Name:-",'R.M Billets Reports'!D1846)),TRIM('R.M Billets Reports'!F1846),IF(ISNUMBER(SEARCH("Party Name-",'R.M Billets Reports'!D1846)),TRIM(MID('R.M Billets Reports'!D1846,SEARCH("-",'R.M Billets Reports'!D1846)+1,200)),"")),IF(ISNUMBER(SEARCH("Party Name:-",'R.M Billets Reports'!D1847)),TRIM('R.M Billets Reports'!F1847),IF(ISNUMBER(SEARCH("Party Name-",'R.M Billets Reports'!D1847)),TRIM(MID('R.M Billets Reports'!D1847,SEARCH("-",'R.M Billets Reports'!D1847)+1,200)),"")))="SHRI RADHE","SHREE RADHE",IF(IF(IF(ISNUMBER(SEARCH("Party Name:-",'R.M Billets Reports'!D1846)),TRIM('R.M Billets Reports'!F1846),IF(ISNUMBER(SEARCH("Party Name-",'R.M Billets Reports'!D1846)),TRIM(MID('R.M Billets Reports'!D1846,SEARCH("-",'R.M Billets Reports'!D1846)+1,200)),""))&lt;&gt;"",IF(ISNUMBER(SEARCH("Party Name:-",'R.M Billets Reports'!D1846)),TRIM('R.M Billets Reports'!F1846),IF(ISNUMBER(SEARCH("Party Name-",'R.M Billets Reports'!D1846)),TRIM(MID('R.M Billets Reports'!D1846,SEARCH("-",'R.M Billets Reports'!D1846)+1,200)),"")),IF(ISNUMBER(SEARCH("Party Name:-",'R.M Billets Reports'!D1847)),TRIM('R.M Billets Reports'!F1847),IF(ISNUMBER(SEARCH("Party Name-",'R.M Billets Reports'!D1847)),TRIM(MID('R.M Billets Reports'!D1847,SEARCH("-",'R.M Billets Reports'!D1847)+1,200)),"")))="SHREE RADHE SHAKTI SPONGE AND POWER PVT. LTD.","SHREE RADHE",IF(IF(ISNUMBER(SEARCH("Party Name:-",'R.M Billets Reports'!D1846)),TRIM('R.M Billets Reports'!F1846),IF(ISNUMBER(SEARCH("Party Name-",'R.M Billets Reports'!D1846)),TRIM(MID('R.M Billets Reports'!D1846,SEARCH("-",'R.M Billets Reports'!D1846)+1,200)),""))&lt;&gt;"",IF(ISNUMBER(SEARCH("Party Name:-",'R.M Billets Reports'!D1846)),TRIM('R.M Billets Reports'!F1846),IF(ISNUMBER(SEARCH("Party Name-",'R.M Billets Reports'!D1846)),TRIM(MID('R.M Billets Reports'!D1846,SEARCH("-",'R.M Billets Reports'!D1846)+1,200)),"")),IF(ISNUMBER(SEARCH("Party Name:-",'R.M Billets Reports'!D1847)),TRIM('R.M Billets Reports'!F1847),IF(ISNUMBER(SEARCH("Party Name-",'R.M Billets Reports'!D1847)),TRIM(MID('R.M Billets Reports'!D1847,SEARCH("-",'R.M Billets Reports'!D1847)+1,200)),"")))))),IF(ROW()=2,"",A1846))</f>
      </c>
      <c r="B1847">
        <f>IF(OR('R.M Billets Reports'!A1846="Date-",'R.M Billets Reports'!A1846="Date:-"),'R.M Billets Reports'!B1846,IF(ROW()=2,"",B1846))</f>
      </c>
      <c r="C1847">
        <f>IF('R.M Billets Reports'!A1846="V.No.",'R.M Billets Reports'!B1846,IF(ROW()=2,"",C1846))</f>
      </c>
      <c r="D1847">
        <f>IF('R.M Billets Reports'!A1846&lt;&gt;"",'R.M Billets Reports'!A1846,IF(ROW()=2,"",D1846))</f>
      </c>
      <c r="E1847">
        <f>IF('R.M Billets Reports'!B1846="","",TRIM('R.M Billets Reports'!B1846))</f>
      </c>
      <c r="F1847">
        <f>'R.M Billets Reports'!C1846</f>
      </c>
      <c r="G1847">
        <f>'R.M Billets Reports'!D1846</f>
      </c>
      <c r="H1847">
        <f>'R.M Billets Reports'!E1846</f>
      </c>
      <c r="I1847">
        <f>'R.M Billets Reports'!F1846</f>
      </c>
      <c r="J1847">
        <f>'R.M Billets Reports'!G1846</f>
      </c>
      <c r="K1847">
        <f>'R.M Billets Reports'!H1846</f>
      </c>
      <c r="L1847">
        <f>IF('R.M Billets Reports'!I1846="","",'R.M Billets Reports'!I1846)</f>
      </c>
      <c r="M1847">
        <f t="shared" si="56"/>
      </c>
      <c r="N1847">
        <f>IF('R.M Billets Reports'!J1846="","",'R.M Billets Reports'!J1846)</f>
      </c>
      <c r="O1847">
        <f t="shared" si="57"/>
      </c>
      <c r="P1847">
        <f>IF('R.M Billets Reports'!A1846="SIZE",'R.M Billets Reports'!B1846,P1846)</f>
      </c>
    </row>
    <row r="1848" spans="1:16" x14ac:dyDescent="0.25">
      <c r="A1848">
        <f>IF(OR('R.M Billets Reports'!A1847="Date-",'R.M Billets Reports'!A1847="Date:-"),IF(IF(IF(ISNUMBER(SEARCH("Party Name:-",'R.M Billets Reports'!D1847)),TRIM('R.M Billets Reports'!F1847),IF(ISNUMBER(SEARCH("Party Name-",'R.M Billets Reports'!D1847)),TRIM(MID('R.M Billets Reports'!D1847,SEARCH("-",'R.M Billets Reports'!D1847)+1,200)),""))&lt;&gt;"",IF(ISNUMBER(SEARCH("Party Name:-",'R.M Billets Reports'!D1847)),TRIM('R.M Billets Reports'!F1847),IF(ISNUMBER(SEARCH("Party Name-",'R.M Billets Reports'!D1847)),TRIM(MID('R.M Billets Reports'!D1847,SEARCH("-",'R.M Billets Reports'!D1847)+1,200)),"")),IF(ISNUMBER(SEARCH("Party Name:-",'R.M Billets Reports'!D1848)),TRIM('R.M Billets Reports'!F1848),IF(ISNUMBER(SEARCH("Party Name-",'R.M Billets Reports'!D1848)),TRIM(MID('R.M Billets Reports'!D1848,SEARCH("-",'R.M Billets Reports'!D1848)+1,200)),"")))="VRKP ISPAT PVT LTD","VRKP",IF(IF(IF(ISNUMBER(SEARCH("Party Name:-",'R.M Billets Reports'!D1847)),TRIM('R.M Billets Reports'!F1847),IF(ISNUMBER(SEARCH("Party Name-",'R.M Billets Reports'!D1847)),TRIM(MID('R.M Billets Reports'!D1847,SEARCH("-",'R.M Billets Reports'!D1847)+1,200)),""))&lt;&gt;"",IF(ISNUMBER(SEARCH("Party Name:-",'R.M Billets Reports'!D1847)),TRIM('R.M Billets Reports'!F1847),IF(ISNUMBER(SEARCH("Party Name-",'R.M Billets Reports'!D1847)),TRIM(MID('R.M Billets Reports'!D1847,SEARCH("-",'R.M Billets Reports'!D1847)+1,200)),"")),IF(ISNUMBER(SEARCH("Party Name:-",'R.M Billets Reports'!D1848)),TRIM('R.M Billets Reports'!F1848),IF(ISNUMBER(SEARCH("Party Name-",'R.M Billets Reports'!D1848)),TRIM(MID('R.M Billets Reports'!D1848,SEARCH("-",'R.M Billets Reports'!D1848)+1,200)),"")))="SHRI RADHE","SHREE RADHE",IF(IF(IF(ISNUMBER(SEARCH("Party Name:-",'R.M Billets Reports'!D1847)),TRIM('R.M Billets Reports'!F1847),IF(ISNUMBER(SEARCH("Party Name-",'R.M Billets Reports'!D1847)),TRIM(MID('R.M Billets Reports'!D1847,SEARCH("-",'R.M Billets Reports'!D1847)+1,200)),""))&lt;&gt;"",IF(ISNUMBER(SEARCH("Party Name:-",'R.M Billets Reports'!D1847)),TRIM('R.M Billets Reports'!F1847),IF(ISNUMBER(SEARCH("Party Name-",'R.M Billets Reports'!D1847)),TRIM(MID('R.M Billets Reports'!D1847,SEARCH("-",'R.M Billets Reports'!D1847)+1,200)),"")),IF(ISNUMBER(SEARCH("Party Name:-",'R.M Billets Reports'!D1848)),TRIM('R.M Billets Reports'!F1848),IF(ISNUMBER(SEARCH("Party Name-",'R.M Billets Reports'!D1848)),TRIM(MID('R.M Billets Reports'!D1848,SEARCH("-",'R.M Billets Reports'!D1848)+1,200)),"")))="SHREE RADHE SHAKTI SPONGE AND POWER PVT. LTD.","SHREE RADHE",IF(IF(ISNUMBER(SEARCH("Party Name:-",'R.M Billets Reports'!D1847)),TRIM('R.M Billets Reports'!F1847),IF(ISNUMBER(SEARCH("Party Name-",'R.M Billets Reports'!D1847)),TRIM(MID('R.M Billets Reports'!D1847,SEARCH("-",'R.M Billets Reports'!D1847)+1,200)),""))&lt;&gt;"",IF(ISNUMBER(SEARCH("Party Name:-",'R.M Billets Reports'!D1847)),TRIM('R.M Billets Reports'!F1847),IF(ISNUMBER(SEARCH("Party Name-",'R.M Billets Reports'!D1847)),TRIM(MID('R.M Billets Reports'!D1847,SEARCH("-",'R.M Billets Reports'!D1847)+1,200)),"")),IF(ISNUMBER(SEARCH("Party Name:-",'R.M Billets Reports'!D1848)),TRIM('R.M Billets Reports'!F1848),IF(ISNUMBER(SEARCH("Party Name-",'R.M Billets Reports'!D1848)),TRIM(MID('R.M Billets Reports'!D1848,SEARCH("-",'R.M Billets Reports'!D1848)+1,200)),"")))))),IF(ROW()=2,"",A1847))</f>
      </c>
      <c r="B1848">
        <f>IF(OR('R.M Billets Reports'!A1847="Date-",'R.M Billets Reports'!A1847="Date:-"),'R.M Billets Reports'!B1847,IF(ROW()=2,"",B1847))</f>
      </c>
      <c r="C1848">
        <f>IF('R.M Billets Reports'!A1847="V.No.",'R.M Billets Reports'!B1847,IF(ROW()=2,"",C1847))</f>
      </c>
      <c r="D1848">
        <f>IF('R.M Billets Reports'!A1847&lt;&gt;"",'R.M Billets Reports'!A1847,IF(ROW()=2,"",D1847))</f>
      </c>
      <c r="E1848">
        <f>IF('R.M Billets Reports'!B1847="","",TRIM('R.M Billets Reports'!B1847))</f>
      </c>
      <c r="F1848">
        <f>'R.M Billets Reports'!C1847</f>
      </c>
      <c r="G1848">
        <f>'R.M Billets Reports'!D1847</f>
      </c>
      <c r="H1848">
        <f>'R.M Billets Reports'!E1847</f>
      </c>
      <c r="I1848">
        <f>'R.M Billets Reports'!F1847</f>
      </c>
      <c r="J1848">
        <f>'R.M Billets Reports'!G1847</f>
      </c>
      <c r="K1848">
        <f>'R.M Billets Reports'!H1847</f>
      </c>
      <c r="L1848">
        <f>IF('R.M Billets Reports'!I1847="","",'R.M Billets Reports'!I1847)</f>
      </c>
      <c r="M1848">
        <f t="shared" si="56"/>
      </c>
      <c r="N1848">
        <f>IF('R.M Billets Reports'!J1847="","",'R.M Billets Reports'!J1847)</f>
      </c>
      <c r="O1848">
        <f t="shared" si="57"/>
      </c>
      <c r="P1848">
        <f>IF('R.M Billets Reports'!A1847="SIZE",'R.M Billets Reports'!B1847,P1847)</f>
      </c>
    </row>
    <row r="1849" spans="1:16" x14ac:dyDescent="0.25">
      <c r="A1849">
        <f>IF(OR('R.M Billets Reports'!A1848="Date-",'R.M Billets Reports'!A1848="Date:-"),IF(IF(IF(ISNUMBER(SEARCH("Party Name:-",'R.M Billets Reports'!D1848)),TRIM('R.M Billets Reports'!F1848),IF(ISNUMBER(SEARCH("Party Name-",'R.M Billets Reports'!D1848)),TRIM(MID('R.M Billets Reports'!D1848,SEARCH("-",'R.M Billets Reports'!D1848)+1,200)),""))&lt;&gt;"",IF(ISNUMBER(SEARCH("Party Name:-",'R.M Billets Reports'!D1848)),TRIM('R.M Billets Reports'!F1848),IF(ISNUMBER(SEARCH("Party Name-",'R.M Billets Reports'!D1848)),TRIM(MID('R.M Billets Reports'!D1848,SEARCH("-",'R.M Billets Reports'!D1848)+1,200)),"")),IF(ISNUMBER(SEARCH("Party Name:-",'R.M Billets Reports'!D1849)),TRIM('R.M Billets Reports'!F1849),IF(ISNUMBER(SEARCH("Party Name-",'R.M Billets Reports'!D1849)),TRIM(MID('R.M Billets Reports'!D1849,SEARCH("-",'R.M Billets Reports'!D1849)+1,200)),"")))="VRKP ISPAT PVT LTD","VRKP",IF(IF(IF(ISNUMBER(SEARCH("Party Name:-",'R.M Billets Reports'!D1848)),TRIM('R.M Billets Reports'!F1848),IF(ISNUMBER(SEARCH("Party Name-",'R.M Billets Reports'!D1848)),TRIM(MID('R.M Billets Reports'!D1848,SEARCH("-",'R.M Billets Reports'!D1848)+1,200)),""))&lt;&gt;"",IF(ISNUMBER(SEARCH("Party Name:-",'R.M Billets Reports'!D1848)),TRIM('R.M Billets Reports'!F1848),IF(ISNUMBER(SEARCH("Party Name-",'R.M Billets Reports'!D1848)),TRIM(MID('R.M Billets Reports'!D1848,SEARCH("-",'R.M Billets Reports'!D1848)+1,200)),"")),IF(ISNUMBER(SEARCH("Party Name:-",'R.M Billets Reports'!D1849)),TRIM('R.M Billets Reports'!F1849),IF(ISNUMBER(SEARCH("Party Name-",'R.M Billets Reports'!D1849)),TRIM(MID('R.M Billets Reports'!D1849,SEARCH("-",'R.M Billets Reports'!D1849)+1,200)),"")))="SHRI RADHE","SHREE RADHE",IF(IF(IF(ISNUMBER(SEARCH("Party Name:-",'R.M Billets Reports'!D1848)),TRIM('R.M Billets Reports'!F1848),IF(ISNUMBER(SEARCH("Party Name-",'R.M Billets Reports'!D1848)),TRIM(MID('R.M Billets Reports'!D1848,SEARCH("-",'R.M Billets Reports'!D1848)+1,200)),""))&lt;&gt;"",IF(ISNUMBER(SEARCH("Party Name:-",'R.M Billets Reports'!D1848)),TRIM('R.M Billets Reports'!F1848),IF(ISNUMBER(SEARCH("Party Name-",'R.M Billets Reports'!D1848)),TRIM(MID('R.M Billets Reports'!D1848,SEARCH("-",'R.M Billets Reports'!D1848)+1,200)),"")),IF(ISNUMBER(SEARCH("Party Name:-",'R.M Billets Reports'!D1849)),TRIM('R.M Billets Reports'!F1849),IF(ISNUMBER(SEARCH("Party Name-",'R.M Billets Reports'!D1849)),TRIM(MID('R.M Billets Reports'!D1849,SEARCH("-",'R.M Billets Reports'!D1849)+1,200)),"")))="SHREE RADHE SHAKTI SPONGE AND POWER PVT. LTD.","SHREE RADHE",IF(IF(ISNUMBER(SEARCH("Party Name:-",'R.M Billets Reports'!D1848)),TRIM('R.M Billets Reports'!F1848),IF(ISNUMBER(SEARCH("Party Name-",'R.M Billets Reports'!D1848)),TRIM(MID('R.M Billets Reports'!D1848,SEARCH("-",'R.M Billets Reports'!D1848)+1,200)),""))&lt;&gt;"",IF(ISNUMBER(SEARCH("Party Name:-",'R.M Billets Reports'!D1848)),TRIM('R.M Billets Reports'!F1848),IF(ISNUMBER(SEARCH("Party Name-",'R.M Billets Reports'!D1848)),TRIM(MID('R.M Billets Reports'!D1848,SEARCH("-",'R.M Billets Reports'!D1848)+1,200)),"")),IF(ISNUMBER(SEARCH("Party Name:-",'R.M Billets Reports'!D1849)),TRIM('R.M Billets Reports'!F1849),IF(ISNUMBER(SEARCH("Party Name-",'R.M Billets Reports'!D1849)),TRIM(MID('R.M Billets Reports'!D1849,SEARCH("-",'R.M Billets Reports'!D1849)+1,200)),"")))))),IF(ROW()=2,"",A1848))</f>
      </c>
      <c r="B1849">
        <f>IF(OR('R.M Billets Reports'!A1848="Date-",'R.M Billets Reports'!A1848="Date:-"),'R.M Billets Reports'!B1848,IF(ROW()=2,"",B1848))</f>
      </c>
      <c r="C1849">
        <f>IF('R.M Billets Reports'!A1848="V.No.",'R.M Billets Reports'!B1848,IF(ROW()=2,"",C1848))</f>
      </c>
      <c r="D1849">
        <f>IF('R.M Billets Reports'!A1848&lt;&gt;"",'R.M Billets Reports'!A1848,IF(ROW()=2,"",D1848))</f>
      </c>
      <c r="E1849">
        <f>IF('R.M Billets Reports'!B1848="","",TRIM('R.M Billets Reports'!B1848))</f>
      </c>
      <c r="F1849">
        <f>'R.M Billets Reports'!C1848</f>
      </c>
      <c r="G1849">
        <f>'R.M Billets Reports'!D1848</f>
      </c>
      <c r="H1849">
        <f>'R.M Billets Reports'!E1848</f>
      </c>
      <c r="I1849">
        <f>'R.M Billets Reports'!F1848</f>
      </c>
      <c r="J1849">
        <f>'R.M Billets Reports'!G1848</f>
      </c>
      <c r="K1849">
        <f>'R.M Billets Reports'!H1848</f>
      </c>
      <c r="L1849">
        <f>IF('R.M Billets Reports'!I1848="","",'R.M Billets Reports'!I1848)</f>
      </c>
      <c r="M1849">
        <f t="shared" si="56"/>
      </c>
      <c r="N1849">
        <f>IF('R.M Billets Reports'!J1848="","",'R.M Billets Reports'!J1848)</f>
      </c>
      <c r="O1849">
        <f t="shared" si="57"/>
      </c>
      <c r="P1849">
        <f>IF('R.M Billets Reports'!A1848="SIZE",'R.M Billets Reports'!B1848,P1848)</f>
      </c>
    </row>
    <row r="1850" spans="1:16" x14ac:dyDescent="0.25">
      <c r="A1850">
        <f>IF(OR('R.M Billets Reports'!A1849="Date-",'R.M Billets Reports'!A1849="Date:-"),IF(IF(IF(ISNUMBER(SEARCH("Party Name:-",'R.M Billets Reports'!D1849)),TRIM('R.M Billets Reports'!F1849),IF(ISNUMBER(SEARCH("Party Name-",'R.M Billets Reports'!D1849)),TRIM(MID('R.M Billets Reports'!D1849,SEARCH("-",'R.M Billets Reports'!D1849)+1,200)),""))&lt;&gt;"",IF(ISNUMBER(SEARCH("Party Name:-",'R.M Billets Reports'!D1849)),TRIM('R.M Billets Reports'!F1849),IF(ISNUMBER(SEARCH("Party Name-",'R.M Billets Reports'!D1849)),TRIM(MID('R.M Billets Reports'!D1849,SEARCH("-",'R.M Billets Reports'!D1849)+1,200)),"")),IF(ISNUMBER(SEARCH("Party Name:-",'R.M Billets Reports'!D1850)),TRIM('R.M Billets Reports'!F1850),IF(ISNUMBER(SEARCH("Party Name-",'R.M Billets Reports'!D1850)),TRIM(MID('R.M Billets Reports'!D1850,SEARCH("-",'R.M Billets Reports'!D1850)+1,200)),"")))="VRKP ISPAT PVT LTD","VRKP",IF(IF(IF(ISNUMBER(SEARCH("Party Name:-",'R.M Billets Reports'!D1849)),TRIM('R.M Billets Reports'!F1849),IF(ISNUMBER(SEARCH("Party Name-",'R.M Billets Reports'!D1849)),TRIM(MID('R.M Billets Reports'!D1849,SEARCH("-",'R.M Billets Reports'!D1849)+1,200)),""))&lt;&gt;"",IF(ISNUMBER(SEARCH("Party Name:-",'R.M Billets Reports'!D1849)),TRIM('R.M Billets Reports'!F1849),IF(ISNUMBER(SEARCH("Party Name-",'R.M Billets Reports'!D1849)),TRIM(MID('R.M Billets Reports'!D1849,SEARCH("-",'R.M Billets Reports'!D1849)+1,200)),"")),IF(ISNUMBER(SEARCH("Party Name:-",'R.M Billets Reports'!D1850)),TRIM('R.M Billets Reports'!F1850),IF(ISNUMBER(SEARCH("Party Name-",'R.M Billets Reports'!D1850)),TRIM(MID('R.M Billets Reports'!D1850,SEARCH("-",'R.M Billets Reports'!D1850)+1,200)),"")))="SHRI RADHE","SHREE RADHE",IF(IF(IF(ISNUMBER(SEARCH("Party Name:-",'R.M Billets Reports'!D1849)),TRIM('R.M Billets Reports'!F1849),IF(ISNUMBER(SEARCH("Party Name-",'R.M Billets Reports'!D1849)),TRIM(MID('R.M Billets Reports'!D1849,SEARCH("-",'R.M Billets Reports'!D1849)+1,200)),""))&lt;&gt;"",IF(ISNUMBER(SEARCH("Party Name:-",'R.M Billets Reports'!D1849)),TRIM('R.M Billets Reports'!F1849),IF(ISNUMBER(SEARCH("Party Name-",'R.M Billets Reports'!D1849)),TRIM(MID('R.M Billets Reports'!D1849,SEARCH("-",'R.M Billets Reports'!D1849)+1,200)),"")),IF(ISNUMBER(SEARCH("Party Name:-",'R.M Billets Reports'!D1850)),TRIM('R.M Billets Reports'!F1850),IF(ISNUMBER(SEARCH("Party Name-",'R.M Billets Reports'!D1850)),TRIM(MID('R.M Billets Reports'!D1850,SEARCH("-",'R.M Billets Reports'!D1850)+1,200)),"")))="SHREE RADHE SHAKTI SPONGE AND POWER PVT. LTD.","SHREE RADHE",IF(IF(ISNUMBER(SEARCH("Party Name:-",'R.M Billets Reports'!D1849)),TRIM('R.M Billets Reports'!F1849),IF(ISNUMBER(SEARCH("Party Name-",'R.M Billets Reports'!D1849)),TRIM(MID('R.M Billets Reports'!D1849,SEARCH("-",'R.M Billets Reports'!D1849)+1,200)),""))&lt;&gt;"",IF(ISNUMBER(SEARCH("Party Name:-",'R.M Billets Reports'!D1849)),TRIM('R.M Billets Reports'!F1849),IF(ISNUMBER(SEARCH("Party Name-",'R.M Billets Reports'!D1849)),TRIM(MID('R.M Billets Reports'!D1849,SEARCH("-",'R.M Billets Reports'!D1849)+1,200)),"")),IF(ISNUMBER(SEARCH("Party Name:-",'R.M Billets Reports'!D1850)),TRIM('R.M Billets Reports'!F1850),IF(ISNUMBER(SEARCH("Party Name-",'R.M Billets Reports'!D1850)),TRIM(MID('R.M Billets Reports'!D1850,SEARCH("-",'R.M Billets Reports'!D1850)+1,200)),"")))))),IF(ROW()=2,"",A1849))</f>
      </c>
      <c r="B1850">
        <f>IF(OR('R.M Billets Reports'!A1849="Date-",'R.M Billets Reports'!A1849="Date:-"),'R.M Billets Reports'!B1849,IF(ROW()=2,"",B1849))</f>
      </c>
      <c r="C1850">
        <f>IF('R.M Billets Reports'!A1849="V.No.",'R.M Billets Reports'!B1849,IF(ROW()=2,"",C1849))</f>
      </c>
      <c r="D1850">
        <f>IF('R.M Billets Reports'!A1849&lt;&gt;"",'R.M Billets Reports'!A1849,IF(ROW()=2,"",D1849))</f>
      </c>
      <c r="E1850">
        <f>IF('R.M Billets Reports'!B1849="","",TRIM('R.M Billets Reports'!B1849))</f>
      </c>
      <c r="F1850">
        <f>'R.M Billets Reports'!C1849</f>
      </c>
      <c r="G1850">
        <f>'R.M Billets Reports'!D1849</f>
      </c>
      <c r="H1850">
        <f>'R.M Billets Reports'!E1849</f>
      </c>
      <c r="I1850">
        <f>'R.M Billets Reports'!F1849</f>
      </c>
      <c r="J1850">
        <f>'R.M Billets Reports'!G1849</f>
      </c>
      <c r="K1850">
        <f>'R.M Billets Reports'!H1849</f>
      </c>
      <c r="L1850">
        <f>IF('R.M Billets Reports'!I1849="","",'R.M Billets Reports'!I1849)</f>
      </c>
      <c r="M1850">
        <f t="shared" si="56"/>
      </c>
      <c r="N1850">
        <f>IF('R.M Billets Reports'!J1849="","",'R.M Billets Reports'!J1849)</f>
      </c>
      <c r="O1850">
        <f t="shared" si="57"/>
      </c>
      <c r="P1850">
        <f>IF('R.M Billets Reports'!A1849="SIZE",'R.M Billets Reports'!B1849,P1849)</f>
      </c>
    </row>
    <row r="1851" spans="1:16" x14ac:dyDescent="0.25">
      <c r="A1851">
        <f>IF(OR('R.M Billets Reports'!A1850="Date-",'R.M Billets Reports'!A1850="Date:-"),IF(IF(IF(ISNUMBER(SEARCH("Party Name:-",'R.M Billets Reports'!D1850)),TRIM('R.M Billets Reports'!F1850),IF(ISNUMBER(SEARCH("Party Name-",'R.M Billets Reports'!D1850)),TRIM(MID('R.M Billets Reports'!D1850,SEARCH("-",'R.M Billets Reports'!D1850)+1,200)),""))&lt;&gt;"",IF(ISNUMBER(SEARCH("Party Name:-",'R.M Billets Reports'!D1850)),TRIM('R.M Billets Reports'!F1850),IF(ISNUMBER(SEARCH("Party Name-",'R.M Billets Reports'!D1850)),TRIM(MID('R.M Billets Reports'!D1850,SEARCH("-",'R.M Billets Reports'!D1850)+1,200)),"")),IF(ISNUMBER(SEARCH("Party Name:-",'R.M Billets Reports'!D1851)),TRIM('R.M Billets Reports'!F1851),IF(ISNUMBER(SEARCH("Party Name-",'R.M Billets Reports'!D1851)),TRIM(MID('R.M Billets Reports'!D1851,SEARCH("-",'R.M Billets Reports'!D1851)+1,200)),"")))="VRKP ISPAT PVT LTD","VRKP",IF(IF(IF(ISNUMBER(SEARCH("Party Name:-",'R.M Billets Reports'!D1850)),TRIM('R.M Billets Reports'!F1850),IF(ISNUMBER(SEARCH("Party Name-",'R.M Billets Reports'!D1850)),TRIM(MID('R.M Billets Reports'!D1850,SEARCH("-",'R.M Billets Reports'!D1850)+1,200)),""))&lt;&gt;"",IF(ISNUMBER(SEARCH("Party Name:-",'R.M Billets Reports'!D1850)),TRIM('R.M Billets Reports'!F1850),IF(ISNUMBER(SEARCH("Party Name-",'R.M Billets Reports'!D1850)),TRIM(MID('R.M Billets Reports'!D1850,SEARCH("-",'R.M Billets Reports'!D1850)+1,200)),"")),IF(ISNUMBER(SEARCH("Party Name:-",'R.M Billets Reports'!D1851)),TRIM('R.M Billets Reports'!F1851),IF(ISNUMBER(SEARCH("Party Name-",'R.M Billets Reports'!D1851)),TRIM(MID('R.M Billets Reports'!D1851,SEARCH("-",'R.M Billets Reports'!D1851)+1,200)),"")))="SHRI RADHE","SHREE RADHE",IF(IF(IF(ISNUMBER(SEARCH("Party Name:-",'R.M Billets Reports'!D1850)),TRIM('R.M Billets Reports'!F1850),IF(ISNUMBER(SEARCH("Party Name-",'R.M Billets Reports'!D1850)),TRIM(MID('R.M Billets Reports'!D1850,SEARCH("-",'R.M Billets Reports'!D1850)+1,200)),""))&lt;&gt;"",IF(ISNUMBER(SEARCH("Party Name:-",'R.M Billets Reports'!D1850)),TRIM('R.M Billets Reports'!F1850),IF(ISNUMBER(SEARCH("Party Name-",'R.M Billets Reports'!D1850)),TRIM(MID('R.M Billets Reports'!D1850,SEARCH("-",'R.M Billets Reports'!D1850)+1,200)),"")),IF(ISNUMBER(SEARCH("Party Name:-",'R.M Billets Reports'!D1851)),TRIM('R.M Billets Reports'!F1851),IF(ISNUMBER(SEARCH("Party Name-",'R.M Billets Reports'!D1851)),TRIM(MID('R.M Billets Reports'!D1851,SEARCH("-",'R.M Billets Reports'!D1851)+1,200)),"")))="SHREE RADHE SHAKTI SPONGE AND POWER PVT. LTD.","SHREE RADHE",IF(IF(ISNUMBER(SEARCH("Party Name:-",'R.M Billets Reports'!D1850)),TRIM('R.M Billets Reports'!F1850),IF(ISNUMBER(SEARCH("Party Name-",'R.M Billets Reports'!D1850)),TRIM(MID('R.M Billets Reports'!D1850,SEARCH("-",'R.M Billets Reports'!D1850)+1,200)),""))&lt;&gt;"",IF(ISNUMBER(SEARCH("Party Name:-",'R.M Billets Reports'!D1850)),TRIM('R.M Billets Reports'!F1850),IF(ISNUMBER(SEARCH("Party Name-",'R.M Billets Reports'!D1850)),TRIM(MID('R.M Billets Reports'!D1850,SEARCH("-",'R.M Billets Reports'!D1850)+1,200)),"")),IF(ISNUMBER(SEARCH("Party Name:-",'R.M Billets Reports'!D1851)),TRIM('R.M Billets Reports'!F1851),IF(ISNUMBER(SEARCH("Party Name-",'R.M Billets Reports'!D1851)),TRIM(MID('R.M Billets Reports'!D1851,SEARCH("-",'R.M Billets Reports'!D1851)+1,200)),"")))))),IF(ROW()=2,"",A1850))</f>
      </c>
      <c r="B1851">
        <f>IF(OR('R.M Billets Reports'!A1850="Date-",'R.M Billets Reports'!A1850="Date:-"),'R.M Billets Reports'!B1850,IF(ROW()=2,"",B1850))</f>
      </c>
      <c r="C1851">
        <f>IF('R.M Billets Reports'!A1850="V.No.",'R.M Billets Reports'!B1850,IF(ROW()=2,"",C1850))</f>
      </c>
      <c r="D1851">
        <f>IF('R.M Billets Reports'!A1850&lt;&gt;"",'R.M Billets Reports'!A1850,IF(ROW()=2,"",D1850))</f>
      </c>
      <c r="E1851">
        <f>IF('R.M Billets Reports'!B1850="","",TRIM('R.M Billets Reports'!B1850))</f>
      </c>
      <c r="F1851">
        <f>'R.M Billets Reports'!C1850</f>
      </c>
      <c r="G1851">
        <f>'R.M Billets Reports'!D1850</f>
      </c>
      <c r="H1851">
        <f>'R.M Billets Reports'!E1850</f>
      </c>
      <c r="I1851">
        <f>'R.M Billets Reports'!F1850</f>
      </c>
      <c r="J1851">
        <f>'R.M Billets Reports'!G1850</f>
      </c>
      <c r="K1851">
        <f>'R.M Billets Reports'!H1850</f>
      </c>
      <c r="L1851">
        <f>IF('R.M Billets Reports'!I1850="","",'R.M Billets Reports'!I1850)</f>
      </c>
      <c r="M1851">
        <f t="shared" si="56"/>
      </c>
      <c r="N1851">
        <f>IF('R.M Billets Reports'!J1850="","",'R.M Billets Reports'!J1850)</f>
      </c>
      <c r="O1851">
        <f t="shared" si="57"/>
      </c>
      <c r="P1851">
        <f>IF('R.M Billets Reports'!A1850="SIZE",'R.M Billets Reports'!B1850,P1850)</f>
      </c>
    </row>
    <row r="1852" spans="1:16" x14ac:dyDescent="0.25">
      <c r="A1852">
        <f>IF(OR('R.M Billets Reports'!A1851="Date-",'R.M Billets Reports'!A1851="Date:-"),IF(IF(IF(ISNUMBER(SEARCH("Party Name:-",'R.M Billets Reports'!D1851)),TRIM('R.M Billets Reports'!F1851),IF(ISNUMBER(SEARCH("Party Name-",'R.M Billets Reports'!D1851)),TRIM(MID('R.M Billets Reports'!D1851,SEARCH("-",'R.M Billets Reports'!D1851)+1,200)),""))&lt;&gt;"",IF(ISNUMBER(SEARCH("Party Name:-",'R.M Billets Reports'!D1851)),TRIM('R.M Billets Reports'!F1851),IF(ISNUMBER(SEARCH("Party Name-",'R.M Billets Reports'!D1851)),TRIM(MID('R.M Billets Reports'!D1851,SEARCH("-",'R.M Billets Reports'!D1851)+1,200)),"")),IF(ISNUMBER(SEARCH("Party Name:-",'R.M Billets Reports'!D1852)),TRIM('R.M Billets Reports'!F1852),IF(ISNUMBER(SEARCH("Party Name-",'R.M Billets Reports'!D1852)),TRIM(MID('R.M Billets Reports'!D1852,SEARCH("-",'R.M Billets Reports'!D1852)+1,200)),"")))="VRKP ISPAT PVT LTD","VRKP",IF(IF(IF(ISNUMBER(SEARCH("Party Name:-",'R.M Billets Reports'!D1851)),TRIM('R.M Billets Reports'!F1851),IF(ISNUMBER(SEARCH("Party Name-",'R.M Billets Reports'!D1851)),TRIM(MID('R.M Billets Reports'!D1851,SEARCH("-",'R.M Billets Reports'!D1851)+1,200)),""))&lt;&gt;"",IF(ISNUMBER(SEARCH("Party Name:-",'R.M Billets Reports'!D1851)),TRIM('R.M Billets Reports'!F1851),IF(ISNUMBER(SEARCH("Party Name-",'R.M Billets Reports'!D1851)),TRIM(MID('R.M Billets Reports'!D1851,SEARCH("-",'R.M Billets Reports'!D1851)+1,200)),"")),IF(ISNUMBER(SEARCH("Party Name:-",'R.M Billets Reports'!D1852)),TRIM('R.M Billets Reports'!F1852),IF(ISNUMBER(SEARCH("Party Name-",'R.M Billets Reports'!D1852)),TRIM(MID('R.M Billets Reports'!D1852,SEARCH("-",'R.M Billets Reports'!D1852)+1,200)),"")))="SHRI RADHE","SHREE RADHE",IF(IF(IF(ISNUMBER(SEARCH("Party Name:-",'R.M Billets Reports'!D1851)),TRIM('R.M Billets Reports'!F1851),IF(ISNUMBER(SEARCH("Party Name-",'R.M Billets Reports'!D1851)),TRIM(MID('R.M Billets Reports'!D1851,SEARCH("-",'R.M Billets Reports'!D1851)+1,200)),""))&lt;&gt;"",IF(ISNUMBER(SEARCH("Party Name:-",'R.M Billets Reports'!D1851)),TRIM('R.M Billets Reports'!F1851),IF(ISNUMBER(SEARCH("Party Name-",'R.M Billets Reports'!D1851)),TRIM(MID('R.M Billets Reports'!D1851,SEARCH("-",'R.M Billets Reports'!D1851)+1,200)),"")),IF(ISNUMBER(SEARCH("Party Name:-",'R.M Billets Reports'!D1852)),TRIM('R.M Billets Reports'!F1852),IF(ISNUMBER(SEARCH("Party Name-",'R.M Billets Reports'!D1852)),TRIM(MID('R.M Billets Reports'!D1852,SEARCH("-",'R.M Billets Reports'!D1852)+1,200)),"")))="SHREE RADHE SHAKTI SPONGE AND POWER PVT. LTD.","SHREE RADHE",IF(IF(ISNUMBER(SEARCH("Party Name:-",'R.M Billets Reports'!D1851)),TRIM('R.M Billets Reports'!F1851),IF(ISNUMBER(SEARCH("Party Name-",'R.M Billets Reports'!D1851)),TRIM(MID('R.M Billets Reports'!D1851,SEARCH("-",'R.M Billets Reports'!D1851)+1,200)),""))&lt;&gt;"",IF(ISNUMBER(SEARCH("Party Name:-",'R.M Billets Reports'!D1851)),TRIM('R.M Billets Reports'!F1851),IF(ISNUMBER(SEARCH("Party Name-",'R.M Billets Reports'!D1851)),TRIM(MID('R.M Billets Reports'!D1851,SEARCH("-",'R.M Billets Reports'!D1851)+1,200)),"")),IF(ISNUMBER(SEARCH("Party Name:-",'R.M Billets Reports'!D1852)),TRIM('R.M Billets Reports'!F1852),IF(ISNUMBER(SEARCH("Party Name-",'R.M Billets Reports'!D1852)),TRIM(MID('R.M Billets Reports'!D1852,SEARCH("-",'R.M Billets Reports'!D1852)+1,200)),"")))))),IF(ROW()=2,"",A1851))</f>
      </c>
      <c r="B1852">
        <f>IF(OR('R.M Billets Reports'!A1851="Date-",'R.M Billets Reports'!A1851="Date:-"),'R.M Billets Reports'!B1851,IF(ROW()=2,"",B1851))</f>
      </c>
      <c r="C1852">
        <f>IF('R.M Billets Reports'!A1851="V.No.",'R.M Billets Reports'!B1851,IF(ROW()=2,"",C1851))</f>
      </c>
      <c r="D1852">
        <f>IF('R.M Billets Reports'!A1851&lt;&gt;"",'R.M Billets Reports'!A1851,IF(ROW()=2,"",D1851))</f>
      </c>
      <c r="E1852">
        <f>IF('R.M Billets Reports'!B1851="","",TRIM('R.M Billets Reports'!B1851))</f>
      </c>
      <c r="F1852">
        <f>'R.M Billets Reports'!C1851</f>
      </c>
      <c r="G1852">
        <f>'R.M Billets Reports'!D1851</f>
      </c>
      <c r="H1852">
        <f>'R.M Billets Reports'!E1851</f>
      </c>
      <c r="I1852">
        <f>'R.M Billets Reports'!F1851</f>
      </c>
      <c r="J1852">
        <f>'R.M Billets Reports'!G1851</f>
      </c>
      <c r="K1852">
        <f>'R.M Billets Reports'!H1851</f>
      </c>
      <c r="L1852">
        <f>IF('R.M Billets Reports'!I1851="","",'R.M Billets Reports'!I1851)</f>
      </c>
      <c r="M1852">
        <f t="shared" si="56"/>
      </c>
      <c r="N1852">
        <f>IF('R.M Billets Reports'!J1851="","",'R.M Billets Reports'!J1851)</f>
      </c>
      <c r="O1852">
        <f t="shared" si="57"/>
      </c>
      <c r="P1852">
        <f>IF('R.M Billets Reports'!A1851="SIZE",'R.M Billets Reports'!B1851,P1851)</f>
      </c>
    </row>
    <row r="1853" spans="1:16" x14ac:dyDescent="0.25">
      <c r="A1853">
        <f>IF(OR('R.M Billets Reports'!A1852="Date-",'R.M Billets Reports'!A1852="Date:-"),IF(IF(IF(ISNUMBER(SEARCH("Party Name:-",'R.M Billets Reports'!D1852)),TRIM('R.M Billets Reports'!F1852),IF(ISNUMBER(SEARCH("Party Name-",'R.M Billets Reports'!D1852)),TRIM(MID('R.M Billets Reports'!D1852,SEARCH("-",'R.M Billets Reports'!D1852)+1,200)),""))&lt;&gt;"",IF(ISNUMBER(SEARCH("Party Name:-",'R.M Billets Reports'!D1852)),TRIM('R.M Billets Reports'!F1852),IF(ISNUMBER(SEARCH("Party Name-",'R.M Billets Reports'!D1852)),TRIM(MID('R.M Billets Reports'!D1852,SEARCH("-",'R.M Billets Reports'!D1852)+1,200)),"")),IF(ISNUMBER(SEARCH("Party Name:-",'R.M Billets Reports'!D1853)),TRIM('R.M Billets Reports'!F1853),IF(ISNUMBER(SEARCH("Party Name-",'R.M Billets Reports'!D1853)),TRIM(MID('R.M Billets Reports'!D1853,SEARCH("-",'R.M Billets Reports'!D1853)+1,200)),"")))="VRKP ISPAT PVT LTD","VRKP",IF(IF(IF(ISNUMBER(SEARCH("Party Name:-",'R.M Billets Reports'!D1852)),TRIM('R.M Billets Reports'!F1852),IF(ISNUMBER(SEARCH("Party Name-",'R.M Billets Reports'!D1852)),TRIM(MID('R.M Billets Reports'!D1852,SEARCH("-",'R.M Billets Reports'!D1852)+1,200)),""))&lt;&gt;"",IF(ISNUMBER(SEARCH("Party Name:-",'R.M Billets Reports'!D1852)),TRIM('R.M Billets Reports'!F1852),IF(ISNUMBER(SEARCH("Party Name-",'R.M Billets Reports'!D1852)),TRIM(MID('R.M Billets Reports'!D1852,SEARCH("-",'R.M Billets Reports'!D1852)+1,200)),"")),IF(ISNUMBER(SEARCH("Party Name:-",'R.M Billets Reports'!D1853)),TRIM('R.M Billets Reports'!F1853),IF(ISNUMBER(SEARCH("Party Name-",'R.M Billets Reports'!D1853)),TRIM(MID('R.M Billets Reports'!D1853,SEARCH("-",'R.M Billets Reports'!D1853)+1,200)),"")))="SHRI RADHE","SHREE RADHE",IF(IF(IF(ISNUMBER(SEARCH("Party Name:-",'R.M Billets Reports'!D1852)),TRIM('R.M Billets Reports'!F1852),IF(ISNUMBER(SEARCH("Party Name-",'R.M Billets Reports'!D1852)),TRIM(MID('R.M Billets Reports'!D1852,SEARCH("-",'R.M Billets Reports'!D1852)+1,200)),""))&lt;&gt;"",IF(ISNUMBER(SEARCH("Party Name:-",'R.M Billets Reports'!D1852)),TRIM('R.M Billets Reports'!F1852),IF(ISNUMBER(SEARCH("Party Name-",'R.M Billets Reports'!D1852)),TRIM(MID('R.M Billets Reports'!D1852,SEARCH("-",'R.M Billets Reports'!D1852)+1,200)),"")),IF(ISNUMBER(SEARCH("Party Name:-",'R.M Billets Reports'!D1853)),TRIM('R.M Billets Reports'!F1853),IF(ISNUMBER(SEARCH("Party Name-",'R.M Billets Reports'!D1853)),TRIM(MID('R.M Billets Reports'!D1853,SEARCH("-",'R.M Billets Reports'!D1853)+1,200)),"")))="SHREE RADHE SHAKTI SPONGE AND POWER PVT. LTD.","SHREE RADHE",IF(IF(ISNUMBER(SEARCH("Party Name:-",'R.M Billets Reports'!D1852)),TRIM('R.M Billets Reports'!F1852),IF(ISNUMBER(SEARCH("Party Name-",'R.M Billets Reports'!D1852)),TRIM(MID('R.M Billets Reports'!D1852,SEARCH("-",'R.M Billets Reports'!D1852)+1,200)),""))&lt;&gt;"",IF(ISNUMBER(SEARCH("Party Name:-",'R.M Billets Reports'!D1852)),TRIM('R.M Billets Reports'!F1852),IF(ISNUMBER(SEARCH("Party Name-",'R.M Billets Reports'!D1852)),TRIM(MID('R.M Billets Reports'!D1852,SEARCH("-",'R.M Billets Reports'!D1852)+1,200)),"")),IF(ISNUMBER(SEARCH("Party Name:-",'R.M Billets Reports'!D1853)),TRIM('R.M Billets Reports'!F1853),IF(ISNUMBER(SEARCH("Party Name-",'R.M Billets Reports'!D1853)),TRIM(MID('R.M Billets Reports'!D1853,SEARCH("-",'R.M Billets Reports'!D1853)+1,200)),"")))))),IF(ROW()=2,"",A1852))</f>
      </c>
      <c r="B1853">
        <f>IF(OR('R.M Billets Reports'!A1852="Date-",'R.M Billets Reports'!A1852="Date:-"),'R.M Billets Reports'!B1852,IF(ROW()=2,"",B1852))</f>
      </c>
      <c r="C1853">
        <f>IF('R.M Billets Reports'!A1852="V.No.",'R.M Billets Reports'!B1852,IF(ROW()=2,"",C1852))</f>
      </c>
      <c r="D1853">
        <f>IF('R.M Billets Reports'!A1852&lt;&gt;"",'R.M Billets Reports'!A1852,IF(ROW()=2,"",D1852))</f>
      </c>
      <c r="E1853">
        <f>IF('R.M Billets Reports'!B1852="","",TRIM('R.M Billets Reports'!B1852))</f>
      </c>
      <c r="F1853">
        <f>'R.M Billets Reports'!C1852</f>
      </c>
      <c r="G1853">
        <f>'R.M Billets Reports'!D1852</f>
      </c>
      <c r="H1853">
        <f>'R.M Billets Reports'!E1852</f>
      </c>
      <c r="I1853">
        <f>'R.M Billets Reports'!F1852</f>
      </c>
      <c r="J1853">
        <f>'R.M Billets Reports'!G1852</f>
      </c>
      <c r="K1853">
        <f>'R.M Billets Reports'!H1852</f>
      </c>
      <c r="L1853">
        <f>IF('R.M Billets Reports'!I1852="","",'R.M Billets Reports'!I1852)</f>
      </c>
      <c r="M1853">
        <f t="shared" si="56"/>
      </c>
      <c r="N1853">
        <f>IF('R.M Billets Reports'!J1852="","",'R.M Billets Reports'!J1852)</f>
      </c>
      <c r="O1853">
        <f t="shared" si="57"/>
      </c>
      <c r="P1853">
        <f>IF('R.M Billets Reports'!A1852="SIZE",'R.M Billets Reports'!B1852,P1852)</f>
      </c>
    </row>
    <row r="1854" spans="1:16" x14ac:dyDescent="0.25">
      <c r="A1854">
        <f>IF(OR('R.M Billets Reports'!A1853="Date-",'R.M Billets Reports'!A1853="Date:-"),IF(IF(IF(ISNUMBER(SEARCH("Party Name:-",'R.M Billets Reports'!D1853)),TRIM('R.M Billets Reports'!F1853),IF(ISNUMBER(SEARCH("Party Name-",'R.M Billets Reports'!D1853)),TRIM(MID('R.M Billets Reports'!D1853,SEARCH("-",'R.M Billets Reports'!D1853)+1,200)),""))&lt;&gt;"",IF(ISNUMBER(SEARCH("Party Name:-",'R.M Billets Reports'!D1853)),TRIM('R.M Billets Reports'!F1853),IF(ISNUMBER(SEARCH("Party Name-",'R.M Billets Reports'!D1853)),TRIM(MID('R.M Billets Reports'!D1853,SEARCH("-",'R.M Billets Reports'!D1853)+1,200)),"")),IF(ISNUMBER(SEARCH("Party Name:-",'R.M Billets Reports'!D1854)),TRIM('R.M Billets Reports'!F1854),IF(ISNUMBER(SEARCH("Party Name-",'R.M Billets Reports'!D1854)),TRIM(MID('R.M Billets Reports'!D1854,SEARCH("-",'R.M Billets Reports'!D1854)+1,200)),"")))="VRKP ISPAT PVT LTD","VRKP",IF(IF(IF(ISNUMBER(SEARCH("Party Name:-",'R.M Billets Reports'!D1853)),TRIM('R.M Billets Reports'!F1853),IF(ISNUMBER(SEARCH("Party Name-",'R.M Billets Reports'!D1853)),TRIM(MID('R.M Billets Reports'!D1853,SEARCH("-",'R.M Billets Reports'!D1853)+1,200)),""))&lt;&gt;"",IF(ISNUMBER(SEARCH("Party Name:-",'R.M Billets Reports'!D1853)),TRIM('R.M Billets Reports'!F1853),IF(ISNUMBER(SEARCH("Party Name-",'R.M Billets Reports'!D1853)),TRIM(MID('R.M Billets Reports'!D1853,SEARCH("-",'R.M Billets Reports'!D1853)+1,200)),"")),IF(ISNUMBER(SEARCH("Party Name:-",'R.M Billets Reports'!D1854)),TRIM('R.M Billets Reports'!F1854),IF(ISNUMBER(SEARCH("Party Name-",'R.M Billets Reports'!D1854)),TRIM(MID('R.M Billets Reports'!D1854,SEARCH("-",'R.M Billets Reports'!D1854)+1,200)),"")))="SHRI RADHE","SHREE RADHE",IF(IF(IF(ISNUMBER(SEARCH("Party Name:-",'R.M Billets Reports'!D1853)),TRIM('R.M Billets Reports'!F1853),IF(ISNUMBER(SEARCH("Party Name-",'R.M Billets Reports'!D1853)),TRIM(MID('R.M Billets Reports'!D1853,SEARCH("-",'R.M Billets Reports'!D1853)+1,200)),""))&lt;&gt;"",IF(ISNUMBER(SEARCH("Party Name:-",'R.M Billets Reports'!D1853)),TRIM('R.M Billets Reports'!F1853),IF(ISNUMBER(SEARCH("Party Name-",'R.M Billets Reports'!D1853)),TRIM(MID('R.M Billets Reports'!D1853,SEARCH("-",'R.M Billets Reports'!D1853)+1,200)),"")),IF(ISNUMBER(SEARCH("Party Name:-",'R.M Billets Reports'!D1854)),TRIM('R.M Billets Reports'!F1854),IF(ISNUMBER(SEARCH("Party Name-",'R.M Billets Reports'!D1854)),TRIM(MID('R.M Billets Reports'!D1854,SEARCH("-",'R.M Billets Reports'!D1854)+1,200)),"")))="SHREE RADHE SHAKTI SPONGE AND POWER PVT. LTD.","SHREE RADHE",IF(IF(ISNUMBER(SEARCH("Party Name:-",'R.M Billets Reports'!D1853)),TRIM('R.M Billets Reports'!F1853),IF(ISNUMBER(SEARCH("Party Name-",'R.M Billets Reports'!D1853)),TRIM(MID('R.M Billets Reports'!D1853,SEARCH("-",'R.M Billets Reports'!D1853)+1,200)),""))&lt;&gt;"",IF(ISNUMBER(SEARCH("Party Name:-",'R.M Billets Reports'!D1853)),TRIM('R.M Billets Reports'!F1853),IF(ISNUMBER(SEARCH("Party Name-",'R.M Billets Reports'!D1853)),TRIM(MID('R.M Billets Reports'!D1853,SEARCH("-",'R.M Billets Reports'!D1853)+1,200)),"")),IF(ISNUMBER(SEARCH("Party Name:-",'R.M Billets Reports'!D1854)),TRIM('R.M Billets Reports'!F1854),IF(ISNUMBER(SEARCH("Party Name-",'R.M Billets Reports'!D1854)),TRIM(MID('R.M Billets Reports'!D1854,SEARCH("-",'R.M Billets Reports'!D1854)+1,200)),"")))))),IF(ROW()=2,"",A1853))</f>
      </c>
      <c r="B1854">
        <f>IF(OR('R.M Billets Reports'!A1853="Date-",'R.M Billets Reports'!A1853="Date:-"),'R.M Billets Reports'!B1853,IF(ROW()=2,"",B1853))</f>
      </c>
      <c r="C1854">
        <f>IF('R.M Billets Reports'!A1853="V.No.",'R.M Billets Reports'!B1853,IF(ROW()=2,"",C1853))</f>
      </c>
      <c r="D1854">
        <f>IF('R.M Billets Reports'!A1853&lt;&gt;"",'R.M Billets Reports'!A1853,IF(ROW()=2,"",D1853))</f>
      </c>
      <c r="E1854">
        <f>IF('R.M Billets Reports'!B1853="","",TRIM('R.M Billets Reports'!B1853))</f>
      </c>
      <c r="F1854">
        <f>'R.M Billets Reports'!C1853</f>
      </c>
      <c r="G1854">
        <f>'R.M Billets Reports'!D1853</f>
      </c>
      <c r="H1854">
        <f>'R.M Billets Reports'!E1853</f>
      </c>
      <c r="I1854">
        <f>'R.M Billets Reports'!F1853</f>
      </c>
      <c r="J1854">
        <f>'R.M Billets Reports'!G1853</f>
      </c>
      <c r="K1854">
        <f>'R.M Billets Reports'!H1853</f>
      </c>
      <c r="L1854">
        <f>IF('R.M Billets Reports'!I1853="","",'R.M Billets Reports'!I1853)</f>
      </c>
      <c r="M1854">
        <f t="shared" si="56"/>
      </c>
      <c r="N1854">
        <f>IF('R.M Billets Reports'!J1853="","",'R.M Billets Reports'!J1853)</f>
      </c>
      <c r="O1854">
        <f t="shared" si="57"/>
      </c>
      <c r="P1854">
        <f>IF('R.M Billets Reports'!A1853="SIZE",'R.M Billets Reports'!B1853,P1853)</f>
      </c>
    </row>
    <row r="1855" spans="1:16" x14ac:dyDescent="0.25">
      <c r="A1855">
        <f>IF(OR('R.M Billets Reports'!A1854="Date-",'R.M Billets Reports'!A1854="Date:-"),IF(IF(IF(ISNUMBER(SEARCH("Party Name:-",'R.M Billets Reports'!D1854)),TRIM('R.M Billets Reports'!F1854),IF(ISNUMBER(SEARCH("Party Name-",'R.M Billets Reports'!D1854)),TRIM(MID('R.M Billets Reports'!D1854,SEARCH("-",'R.M Billets Reports'!D1854)+1,200)),""))&lt;&gt;"",IF(ISNUMBER(SEARCH("Party Name:-",'R.M Billets Reports'!D1854)),TRIM('R.M Billets Reports'!F1854),IF(ISNUMBER(SEARCH("Party Name-",'R.M Billets Reports'!D1854)),TRIM(MID('R.M Billets Reports'!D1854,SEARCH("-",'R.M Billets Reports'!D1854)+1,200)),"")),IF(ISNUMBER(SEARCH("Party Name:-",'R.M Billets Reports'!D1855)),TRIM('R.M Billets Reports'!F1855),IF(ISNUMBER(SEARCH("Party Name-",'R.M Billets Reports'!D1855)),TRIM(MID('R.M Billets Reports'!D1855,SEARCH("-",'R.M Billets Reports'!D1855)+1,200)),"")))="VRKP ISPAT PVT LTD","VRKP",IF(IF(IF(ISNUMBER(SEARCH("Party Name:-",'R.M Billets Reports'!D1854)),TRIM('R.M Billets Reports'!F1854),IF(ISNUMBER(SEARCH("Party Name-",'R.M Billets Reports'!D1854)),TRIM(MID('R.M Billets Reports'!D1854,SEARCH("-",'R.M Billets Reports'!D1854)+1,200)),""))&lt;&gt;"",IF(ISNUMBER(SEARCH("Party Name:-",'R.M Billets Reports'!D1854)),TRIM('R.M Billets Reports'!F1854),IF(ISNUMBER(SEARCH("Party Name-",'R.M Billets Reports'!D1854)),TRIM(MID('R.M Billets Reports'!D1854,SEARCH("-",'R.M Billets Reports'!D1854)+1,200)),"")),IF(ISNUMBER(SEARCH("Party Name:-",'R.M Billets Reports'!D1855)),TRIM('R.M Billets Reports'!F1855),IF(ISNUMBER(SEARCH("Party Name-",'R.M Billets Reports'!D1855)),TRIM(MID('R.M Billets Reports'!D1855,SEARCH("-",'R.M Billets Reports'!D1855)+1,200)),"")))="SHRI RADHE","SHREE RADHE",IF(IF(IF(ISNUMBER(SEARCH("Party Name:-",'R.M Billets Reports'!D1854)),TRIM('R.M Billets Reports'!F1854),IF(ISNUMBER(SEARCH("Party Name-",'R.M Billets Reports'!D1854)),TRIM(MID('R.M Billets Reports'!D1854,SEARCH("-",'R.M Billets Reports'!D1854)+1,200)),""))&lt;&gt;"",IF(ISNUMBER(SEARCH("Party Name:-",'R.M Billets Reports'!D1854)),TRIM('R.M Billets Reports'!F1854),IF(ISNUMBER(SEARCH("Party Name-",'R.M Billets Reports'!D1854)),TRIM(MID('R.M Billets Reports'!D1854,SEARCH("-",'R.M Billets Reports'!D1854)+1,200)),"")),IF(ISNUMBER(SEARCH("Party Name:-",'R.M Billets Reports'!D1855)),TRIM('R.M Billets Reports'!F1855),IF(ISNUMBER(SEARCH("Party Name-",'R.M Billets Reports'!D1855)),TRIM(MID('R.M Billets Reports'!D1855,SEARCH("-",'R.M Billets Reports'!D1855)+1,200)),"")))="SHREE RADHE SHAKTI SPONGE AND POWER PVT. LTD.","SHREE RADHE",IF(IF(ISNUMBER(SEARCH("Party Name:-",'R.M Billets Reports'!D1854)),TRIM('R.M Billets Reports'!F1854),IF(ISNUMBER(SEARCH("Party Name-",'R.M Billets Reports'!D1854)),TRIM(MID('R.M Billets Reports'!D1854,SEARCH("-",'R.M Billets Reports'!D1854)+1,200)),""))&lt;&gt;"",IF(ISNUMBER(SEARCH("Party Name:-",'R.M Billets Reports'!D1854)),TRIM('R.M Billets Reports'!F1854),IF(ISNUMBER(SEARCH("Party Name-",'R.M Billets Reports'!D1854)),TRIM(MID('R.M Billets Reports'!D1854,SEARCH("-",'R.M Billets Reports'!D1854)+1,200)),"")),IF(ISNUMBER(SEARCH("Party Name:-",'R.M Billets Reports'!D1855)),TRIM('R.M Billets Reports'!F1855),IF(ISNUMBER(SEARCH("Party Name-",'R.M Billets Reports'!D1855)),TRIM(MID('R.M Billets Reports'!D1855,SEARCH("-",'R.M Billets Reports'!D1855)+1,200)),"")))))),IF(ROW()=2,"",A1854))</f>
      </c>
      <c r="B1855">
        <f>IF(OR('R.M Billets Reports'!A1854="Date-",'R.M Billets Reports'!A1854="Date:-"),'R.M Billets Reports'!B1854,IF(ROW()=2,"",B1854))</f>
      </c>
      <c r="C1855">
        <f>IF('R.M Billets Reports'!A1854="V.No.",'R.M Billets Reports'!B1854,IF(ROW()=2,"",C1854))</f>
      </c>
      <c r="D1855">
        <f>IF('R.M Billets Reports'!A1854&lt;&gt;"",'R.M Billets Reports'!A1854,IF(ROW()=2,"",D1854))</f>
      </c>
      <c r="E1855">
        <f>IF('R.M Billets Reports'!B1854="","",TRIM('R.M Billets Reports'!B1854))</f>
      </c>
      <c r="F1855">
        <f>'R.M Billets Reports'!C1854</f>
      </c>
      <c r="G1855">
        <f>'R.M Billets Reports'!D1854</f>
      </c>
      <c r="H1855">
        <f>'R.M Billets Reports'!E1854</f>
      </c>
      <c r="I1855">
        <f>'R.M Billets Reports'!F1854</f>
      </c>
      <c r="J1855">
        <f>'R.M Billets Reports'!G1854</f>
      </c>
      <c r="K1855">
        <f>'R.M Billets Reports'!H1854</f>
      </c>
      <c r="L1855">
        <f>IF('R.M Billets Reports'!I1854="","",'R.M Billets Reports'!I1854)</f>
      </c>
      <c r="M1855">
        <f t="shared" si="56"/>
      </c>
      <c r="N1855">
        <f>IF('R.M Billets Reports'!J1854="","",'R.M Billets Reports'!J1854)</f>
      </c>
      <c r="O1855">
        <f t="shared" si="57"/>
      </c>
      <c r="P1855">
        <f>IF('R.M Billets Reports'!A1854="SIZE",'R.M Billets Reports'!B1854,P1854)</f>
      </c>
    </row>
    <row r="1856" spans="1:16" x14ac:dyDescent="0.25">
      <c r="A1856">
        <f>IF(OR('R.M Billets Reports'!A1855="Date-",'R.M Billets Reports'!A1855="Date:-"),IF(IF(IF(ISNUMBER(SEARCH("Party Name:-",'R.M Billets Reports'!D1855)),TRIM('R.M Billets Reports'!F1855),IF(ISNUMBER(SEARCH("Party Name-",'R.M Billets Reports'!D1855)),TRIM(MID('R.M Billets Reports'!D1855,SEARCH("-",'R.M Billets Reports'!D1855)+1,200)),""))&lt;&gt;"",IF(ISNUMBER(SEARCH("Party Name:-",'R.M Billets Reports'!D1855)),TRIM('R.M Billets Reports'!F1855),IF(ISNUMBER(SEARCH("Party Name-",'R.M Billets Reports'!D1855)),TRIM(MID('R.M Billets Reports'!D1855,SEARCH("-",'R.M Billets Reports'!D1855)+1,200)),"")),IF(ISNUMBER(SEARCH("Party Name:-",'R.M Billets Reports'!D1856)),TRIM('R.M Billets Reports'!F1856),IF(ISNUMBER(SEARCH("Party Name-",'R.M Billets Reports'!D1856)),TRIM(MID('R.M Billets Reports'!D1856,SEARCH("-",'R.M Billets Reports'!D1856)+1,200)),"")))="VRKP ISPAT PVT LTD","VRKP",IF(IF(IF(ISNUMBER(SEARCH("Party Name:-",'R.M Billets Reports'!D1855)),TRIM('R.M Billets Reports'!F1855),IF(ISNUMBER(SEARCH("Party Name-",'R.M Billets Reports'!D1855)),TRIM(MID('R.M Billets Reports'!D1855,SEARCH("-",'R.M Billets Reports'!D1855)+1,200)),""))&lt;&gt;"",IF(ISNUMBER(SEARCH("Party Name:-",'R.M Billets Reports'!D1855)),TRIM('R.M Billets Reports'!F1855),IF(ISNUMBER(SEARCH("Party Name-",'R.M Billets Reports'!D1855)),TRIM(MID('R.M Billets Reports'!D1855,SEARCH("-",'R.M Billets Reports'!D1855)+1,200)),"")),IF(ISNUMBER(SEARCH("Party Name:-",'R.M Billets Reports'!D1856)),TRIM('R.M Billets Reports'!F1856),IF(ISNUMBER(SEARCH("Party Name-",'R.M Billets Reports'!D1856)),TRIM(MID('R.M Billets Reports'!D1856,SEARCH("-",'R.M Billets Reports'!D1856)+1,200)),"")))="SHRI RADHE","SHREE RADHE",IF(IF(IF(ISNUMBER(SEARCH("Party Name:-",'R.M Billets Reports'!D1855)),TRIM('R.M Billets Reports'!F1855),IF(ISNUMBER(SEARCH("Party Name-",'R.M Billets Reports'!D1855)),TRIM(MID('R.M Billets Reports'!D1855,SEARCH("-",'R.M Billets Reports'!D1855)+1,200)),""))&lt;&gt;"",IF(ISNUMBER(SEARCH("Party Name:-",'R.M Billets Reports'!D1855)),TRIM('R.M Billets Reports'!F1855),IF(ISNUMBER(SEARCH("Party Name-",'R.M Billets Reports'!D1855)),TRIM(MID('R.M Billets Reports'!D1855,SEARCH("-",'R.M Billets Reports'!D1855)+1,200)),"")),IF(ISNUMBER(SEARCH("Party Name:-",'R.M Billets Reports'!D1856)),TRIM('R.M Billets Reports'!F1856),IF(ISNUMBER(SEARCH("Party Name-",'R.M Billets Reports'!D1856)),TRIM(MID('R.M Billets Reports'!D1856,SEARCH("-",'R.M Billets Reports'!D1856)+1,200)),"")))="SHREE RADHE SHAKTI SPONGE AND POWER PVT. LTD.","SHREE RADHE",IF(IF(ISNUMBER(SEARCH("Party Name:-",'R.M Billets Reports'!D1855)),TRIM('R.M Billets Reports'!F1855),IF(ISNUMBER(SEARCH("Party Name-",'R.M Billets Reports'!D1855)),TRIM(MID('R.M Billets Reports'!D1855,SEARCH("-",'R.M Billets Reports'!D1855)+1,200)),""))&lt;&gt;"",IF(ISNUMBER(SEARCH("Party Name:-",'R.M Billets Reports'!D1855)),TRIM('R.M Billets Reports'!F1855),IF(ISNUMBER(SEARCH("Party Name-",'R.M Billets Reports'!D1855)),TRIM(MID('R.M Billets Reports'!D1855,SEARCH("-",'R.M Billets Reports'!D1855)+1,200)),"")),IF(ISNUMBER(SEARCH("Party Name:-",'R.M Billets Reports'!D1856)),TRIM('R.M Billets Reports'!F1856),IF(ISNUMBER(SEARCH("Party Name-",'R.M Billets Reports'!D1856)),TRIM(MID('R.M Billets Reports'!D1856,SEARCH("-",'R.M Billets Reports'!D1856)+1,200)),"")))))),IF(ROW()=2,"",A1855))</f>
      </c>
      <c r="B1856">
        <f>IF(OR('R.M Billets Reports'!A1855="Date-",'R.M Billets Reports'!A1855="Date:-"),'R.M Billets Reports'!B1855,IF(ROW()=2,"",B1855))</f>
      </c>
      <c r="C1856">
        <f>IF('R.M Billets Reports'!A1855="V.No.",'R.M Billets Reports'!B1855,IF(ROW()=2,"",C1855))</f>
      </c>
      <c r="D1856">
        <f>IF('R.M Billets Reports'!A1855&lt;&gt;"",'R.M Billets Reports'!A1855,IF(ROW()=2,"",D1855))</f>
      </c>
      <c r="E1856">
        <f>IF('R.M Billets Reports'!B1855="","",TRIM('R.M Billets Reports'!B1855))</f>
      </c>
      <c r="F1856">
        <f>'R.M Billets Reports'!C1855</f>
      </c>
      <c r="G1856">
        <f>'R.M Billets Reports'!D1855</f>
      </c>
      <c r="H1856">
        <f>'R.M Billets Reports'!E1855</f>
      </c>
      <c r="I1856">
        <f>'R.M Billets Reports'!F1855</f>
      </c>
      <c r="J1856">
        <f>'R.M Billets Reports'!G1855</f>
      </c>
      <c r="K1856">
        <f>'R.M Billets Reports'!H1855</f>
      </c>
      <c r="L1856">
        <f>IF('R.M Billets Reports'!I1855="","",'R.M Billets Reports'!I1855)</f>
      </c>
      <c r="M1856">
        <f t="shared" si="56"/>
      </c>
      <c r="N1856">
        <f>IF('R.M Billets Reports'!J1855="","",'R.M Billets Reports'!J1855)</f>
      </c>
      <c r="O1856">
        <f t="shared" si="57"/>
      </c>
      <c r="P1856">
        <f>IF('R.M Billets Reports'!A1855="SIZE",'R.M Billets Reports'!B1855,P1855)</f>
      </c>
    </row>
    <row r="1857" spans="1:16" x14ac:dyDescent="0.25">
      <c r="A1857">
        <f>IF(OR('R.M Billets Reports'!A1856="Date-",'R.M Billets Reports'!A1856="Date:-"),IF(IF(IF(ISNUMBER(SEARCH("Party Name:-",'R.M Billets Reports'!D1856)),TRIM('R.M Billets Reports'!F1856),IF(ISNUMBER(SEARCH("Party Name-",'R.M Billets Reports'!D1856)),TRIM(MID('R.M Billets Reports'!D1856,SEARCH("-",'R.M Billets Reports'!D1856)+1,200)),""))&lt;&gt;"",IF(ISNUMBER(SEARCH("Party Name:-",'R.M Billets Reports'!D1856)),TRIM('R.M Billets Reports'!F1856),IF(ISNUMBER(SEARCH("Party Name-",'R.M Billets Reports'!D1856)),TRIM(MID('R.M Billets Reports'!D1856,SEARCH("-",'R.M Billets Reports'!D1856)+1,200)),"")),IF(ISNUMBER(SEARCH("Party Name:-",'R.M Billets Reports'!D1857)),TRIM('R.M Billets Reports'!F1857),IF(ISNUMBER(SEARCH("Party Name-",'R.M Billets Reports'!D1857)),TRIM(MID('R.M Billets Reports'!D1857,SEARCH("-",'R.M Billets Reports'!D1857)+1,200)),"")))="VRKP ISPAT PVT LTD","VRKP",IF(IF(IF(ISNUMBER(SEARCH("Party Name:-",'R.M Billets Reports'!D1856)),TRIM('R.M Billets Reports'!F1856),IF(ISNUMBER(SEARCH("Party Name-",'R.M Billets Reports'!D1856)),TRIM(MID('R.M Billets Reports'!D1856,SEARCH("-",'R.M Billets Reports'!D1856)+1,200)),""))&lt;&gt;"",IF(ISNUMBER(SEARCH("Party Name:-",'R.M Billets Reports'!D1856)),TRIM('R.M Billets Reports'!F1856),IF(ISNUMBER(SEARCH("Party Name-",'R.M Billets Reports'!D1856)),TRIM(MID('R.M Billets Reports'!D1856,SEARCH("-",'R.M Billets Reports'!D1856)+1,200)),"")),IF(ISNUMBER(SEARCH("Party Name:-",'R.M Billets Reports'!D1857)),TRIM('R.M Billets Reports'!F1857),IF(ISNUMBER(SEARCH("Party Name-",'R.M Billets Reports'!D1857)),TRIM(MID('R.M Billets Reports'!D1857,SEARCH("-",'R.M Billets Reports'!D1857)+1,200)),"")))="SHRI RADHE","SHREE RADHE",IF(IF(IF(ISNUMBER(SEARCH("Party Name:-",'R.M Billets Reports'!D1856)),TRIM('R.M Billets Reports'!F1856),IF(ISNUMBER(SEARCH("Party Name-",'R.M Billets Reports'!D1856)),TRIM(MID('R.M Billets Reports'!D1856,SEARCH("-",'R.M Billets Reports'!D1856)+1,200)),""))&lt;&gt;"",IF(ISNUMBER(SEARCH("Party Name:-",'R.M Billets Reports'!D1856)),TRIM('R.M Billets Reports'!F1856),IF(ISNUMBER(SEARCH("Party Name-",'R.M Billets Reports'!D1856)),TRIM(MID('R.M Billets Reports'!D1856,SEARCH("-",'R.M Billets Reports'!D1856)+1,200)),"")),IF(ISNUMBER(SEARCH("Party Name:-",'R.M Billets Reports'!D1857)),TRIM('R.M Billets Reports'!F1857),IF(ISNUMBER(SEARCH("Party Name-",'R.M Billets Reports'!D1857)),TRIM(MID('R.M Billets Reports'!D1857,SEARCH("-",'R.M Billets Reports'!D1857)+1,200)),"")))="SHREE RADHE SHAKTI SPONGE AND POWER PVT. LTD.","SHREE RADHE",IF(IF(ISNUMBER(SEARCH("Party Name:-",'R.M Billets Reports'!D1856)),TRIM('R.M Billets Reports'!F1856),IF(ISNUMBER(SEARCH("Party Name-",'R.M Billets Reports'!D1856)),TRIM(MID('R.M Billets Reports'!D1856,SEARCH("-",'R.M Billets Reports'!D1856)+1,200)),""))&lt;&gt;"",IF(ISNUMBER(SEARCH("Party Name:-",'R.M Billets Reports'!D1856)),TRIM('R.M Billets Reports'!F1856),IF(ISNUMBER(SEARCH("Party Name-",'R.M Billets Reports'!D1856)),TRIM(MID('R.M Billets Reports'!D1856,SEARCH("-",'R.M Billets Reports'!D1856)+1,200)),"")),IF(ISNUMBER(SEARCH("Party Name:-",'R.M Billets Reports'!D1857)),TRIM('R.M Billets Reports'!F1857),IF(ISNUMBER(SEARCH("Party Name-",'R.M Billets Reports'!D1857)),TRIM(MID('R.M Billets Reports'!D1857,SEARCH("-",'R.M Billets Reports'!D1857)+1,200)),"")))))),IF(ROW()=2,"",A1856))</f>
      </c>
      <c r="B1857">
        <f>IF(OR('R.M Billets Reports'!A1856="Date-",'R.M Billets Reports'!A1856="Date:-"),'R.M Billets Reports'!B1856,IF(ROW()=2,"",B1856))</f>
      </c>
      <c r="C1857">
        <f>IF('R.M Billets Reports'!A1856="V.No.",'R.M Billets Reports'!B1856,IF(ROW()=2,"",C1856))</f>
      </c>
      <c r="D1857">
        <f>IF('R.M Billets Reports'!A1856&lt;&gt;"",'R.M Billets Reports'!A1856,IF(ROW()=2,"",D1856))</f>
      </c>
      <c r="E1857">
        <f>IF('R.M Billets Reports'!B1856="","",TRIM('R.M Billets Reports'!B1856))</f>
      </c>
      <c r="F1857">
        <f>'R.M Billets Reports'!C1856</f>
      </c>
      <c r="G1857">
        <f>'R.M Billets Reports'!D1856</f>
      </c>
      <c r="H1857">
        <f>'R.M Billets Reports'!E1856</f>
      </c>
      <c r="I1857">
        <f>'R.M Billets Reports'!F1856</f>
      </c>
      <c r="J1857">
        <f>'R.M Billets Reports'!G1856</f>
      </c>
      <c r="K1857">
        <f>'R.M Billets Reports'!H1856</f>
      </c>
      <c r="L1857">
        <f>IF('R.M Billets Reports'!I1856="","",'R.M Billets Reports'!I1856)</f>
      </c>
      <c r="M1857">
        <f t="shared" si="56"/>
      </c>
      <c r="N1857">
        <f>IF('R.M Billets Reports'!J1856="","",'R.M Billets Reports'!J1856)</f>
      </c>
      <c r="O1857">
        <f t="shared" si="57"/>
      </c>
      <c r="P1857">
        <f>IF('R.M Billets Reports'!A1856="SIZE",'R.M Billets Reports'!B1856,P1856)</f>
      </c>
    </row>
    <row r="1858" spans="1:16" x14ac:dyDescent="0.25">
      <c r="A1858">
        <f>IF(OR('R.M Billets Reports'!A1857="Date-",'R.M Billets Reports'!A1857="Date:-"),IF(IF(IF(ISNUMBER(SEARCH("Party Name:-",'R.M Billets Reports'!D1857)),TRIM('R.M Billets Reports'!F1857),IF(ISNUMBER(SEARCH("Party Name-",'R.M Billets Reports'!D1857)),TRIM(MID('R.M Billets Reports'!D1857,SEARCH("-",'R.M Billets Reports'!D1857)+1,200)),""))&lt;&gt;"",IF(ISNUMBER(SEARCH("Party Name:-",'R.M Billets Reports'!D1857)),TRIM('R.M Billets Reports'!F1857),IF(ISNUMBER(SEARCH("Party Name-",'R.M Billets Reports'!D1857)),TRIM(MID('R.M Billets Reports'!D1857,SEARCH("-",'R.M Billets Reports'!D1857)+1,200)),"")),IF(ISNUMBER(SEARCH("Party Name:-",'R.M Billets Reports'!D1858)),TRIM('R.M Billets Reports'!F1858),IF(ISNUMBER(SEARCH("Party Name-",'R.M Billets Reports'!D1858)),TRIM(MID('R.M Billets Reports'!D1858,SEARCH("-",'R.M Billets Reports'!D1858)+1,200)),"")))="VRKP ISPAT PVT LTD","VRKP",IF(IF(IF(ISNUMBER(SEARCH("Party Name:-",'R.M Billets Reports'!D1857)),TRIM('R.M Billets Reports'!F1857),IF(ISNUMBER(SEARCH("Party Name-",'R.M Billets Reports'!D1857)),TRIM(MID('R.M Billets Reports'!D1857,SEARCH("-",'R.M Billets Reports'!D1857)+1,200)),""))&lt;&gt;"",IF(ISNUMBER(SEARCH("Party Name:-",'R.M Billets Reports'!D1857)),TRIM('R.M Billets Reports'!F1857),IF(ISNUMBER(SEARCH("Party Name-",'R.M Billets Reports'!D1857)),TRIM(MID('R.M Billets Reports'!D1857,SEARCH("-",'R.M Billets Reports'!D1857)+1,200)),"")),IF(ISNUMBER(SEARCH("Party Name:-",'R.M Billets Reports'!D1858)),TRIM('R.M Billets Reports'!F1858),IF(ISNUMBER(SEARCH("Party Name-",'R.M Billets Reports'!D1858)),TRIM(MID('R.M Billets Reports'!D1858,SEARCH("-",'R.M Billets Reports'!D1858)+1,200)),"")))="SHRI RADHE","SHREE RADHE",IF(IF(IF(ISNUMBER(SEARCH("Party Name:-",'R.M Billets Reports'!D1857)),TRIM('R.M Billets Reports'!F1857),IF(ISNUMBER(SEARCH("Party Name-",'R.M Billets Reports'!D1857)),TRIM(MID('R.M Billets Reports'!D1857,SEARCH("-",'R.M Billets Reports'!D1857)+1,200)),""))&lt;&gt;"",IF(ISNUMBER(SEARCH("Party Name:-",'R.M Billets Reports'!D1857)),TRIM('R.M Billets Reports'!F1857),IF(ISNUMBER(SEARCH("Party Name-",'R.M Billets Reports'!D1857)),TRIM(MID('R.M Billets Reports'!D1857,SEARCH("-",'R.M Billets Reports'!D1857)+1,200)),"")),IF(ISNUMBER(SEARCH("Party Name:-",'R.M Billets Reports'!D1858)),TRIM('R.M Billets Reports'!F1858),IF(ISNUMBER(SEARCH("Party Name-",'R.M Billets Reports'!D1858)),TRIM(MID('R.M Billets Reports'!D1858,SEARCH("-",'R.M Billets Reports'!D1858)+1,200)),"")))="SHREE RADHE SHAKTI SPONGE AND POWER PVT. LTD.","SHREE RADHE",IF(IF(ISNUMBER(SEARCH("Party Name:-",'R.M Billets Reports'!D1857)),TRIM('R.M Billets Reports'!F1857),IF(ISNUMBER(SEARCH("Party Name-",'R.M Billets Reports'!D1857)),TRIM(MID('R.M Billets Reports'!D1857,SEARCH("-",'R.M Billets Reports'!D1857)+1,200)),""))&lt;&gt;"",IF(ISNUMBER(SEARCH("Party Name:-",'R.M Billets Reports'!D1857)),TRIM('R.M Billets Reports'!F1857),IF(ISNUMBER(SEARCH("Party Name-",'R.M Billets Reports'!D1857)),TRIM(MID('R.M Billets Reports'!D1857,SEARCH("-",'R.M Billets Reports'!D1857)+1,200)),"")),IF(ISNUMBER(SEARCH("Party Name:-",'R.M Billets Reports'!D1858)),TRIM('R.M Billets Reports'!F1858),IF(ISNUMBER(SEARCH("Party Name-",'R.M Billets Reports'!D1858)),TRIM(MID('R.M Billets Reports'!D1858,SEARCH("-",'R.M Billets Reports'!D1858)+1,200)),"")))))),IF(ROW()=2,"",A1857))</f>
      </c>
      <c r="B1858">
        <f>IF(OR('R.M Billets Reports'!A1857="Date-",'R.M Billets Reports'!A1857="Date:-"),'R.M Billets Reports'!B1857,IF(ROW()=2,"",B1857))</f>
      </c>
      <c r="C1858">
        <f>IF('R.M Billets Reports'!A1857="V.No.",'R.M Billets Reports'!B1857,IF(ROW()=2,"",C1857))</f>
      </c>
      <c r="D1858">
        <f>IF('R.M Billets Reports'!A1857&lt;&gt;"",'R.M Billets Reports'!A1857,IF(ROW()=2,"",D1857))</f>
      </c>
      <c r="E1858">
        <f>IF('R.M Billets Reports'!B1857="","",TRIM('R.M Billets Reports'!B1857))</f>
      </c>
      <c r="F1858">
        <f>'R.M Billets Reports'!C1857</f>
      </c>
      <c r="G1858">
        <f>'R.M Billets Reports'!D1857</f>
      </c>
      <c r="H1858">
        <f>'R.M Billets Reports'!E1857</f>
      </c>
      <c r="I1858">
        <f>'R.M Billets Reports'!F1857</f>
      </c>
      <c r="J1858">
        <f>'R.M Billets Reports'!G1857</f>
      </c>
      <c r="K1858">
        <f>'R.M Billets Reports'!H1857</f>
      </c>
      <c r="L1858">
        <f>IF('R.M Billets Reports'!I1857="","",'R.M Billets Reports'!I1857)</f>
      </c>
      <c r="M1858">
        <f t="shared" si="56"/>
      </c>
      <c r="N1858">
        <f>IF('R.M Billets Reports'!J1857="","",'R.M Billets Reports'!J1857)</f>
      </c>
      <c r="O1858">
        <f t="shared" si="57"/>
      </c>
      <c r="P1858">
        <f>IF('R.M Billets Reports'!A1857="SIZE",'R.M Billets Reports'!B1857,P1857)</f>
      </c>
    </row>
    <row r="1859" spans="1:16" x14ac:dyDescent="0.25">
      <c r="A1859">
        <f>IF(OR('R.M Billets Reports'!A1858="Date-",'R.M Billets Reports'!A1858="Date:-"),IF(IF(IF(ISNUMBER(SEARCH("Party Name:-",'R.M Billets Reports'!D1858)),TRIM('R.M Billets Reports'!F1858),IF(ISNUMBER(SEARCH("Party Name-",'R.M Billets Reports'!D1858)),TRIM(MID('R.M Billets Reports'!D1858,SEARCH("-",'R.M Billets Reports'!D1858)+1,200)),""))&lt;&gt;"",IF(ISNUMBER(SEARCH("Party Name:-",'R.M Billets Reports'!D1858)),TRIM('R.M Billets Reports'!F1858),IF(ISNUMBER(SEARCH("Party Name-",'R.M Billets Reports'!D1858)),TRIM(MID('R.M Billets Reports'!D1858,SEARCH("-",'R.M Billets Reports'!D1858)+1,200)),"")),IF(ISNUMBER(SEARCH("Party Name:-",'R.M Billets Reports'!D1859)),TRIM('R.M Billets Reports'!F1859),IF(ISNUMBER(SEARCH("Party Name-",'R.M Billets Reports'!D1859)),TRIM(MID('R.M Billets Reports'!D1859,SEARCH("-",'R.M Billets Reports'!D1859)+1,200)),"")))="VRKP ISPAT PVT LTD","VRKP",IF(IF(IF(ISNUMBER(SEARCH("Party Name:-",'R.M Billets Reports'!D1858)),TRIM('R.M Billets Reports'!F1858),IF(ISNUMBER(SEARCH("Party Name-",'R.M Billets Reports'!D1858)),TRIM(MID('R.M Billets Reports'!D1858,SEARCH("-",'R.M Billets Reports'!D1858)+1,200)),""))&lt;&gt;"",IF(ISNUMBER(SEARCH("Party Name:-",'R.M Billets Reports'!D1858)),TRIM('R.M Billets Reports'!F1858),IF(ISNUMBER(SEARCH("Party Name-",'R.M Billets Reports'!D1858)),TRIM(MID('R.M Billets Reports'!D1858,SEARCH("-",'R.M Billets Reports'!D1858)+1,200)),"")),IF(ISNUMBER(SEARCH("Party Name:-",'R.M Billets Reports'!D1859)),TRIM('R.M Billets Reports'!F1859),IF(ISNUMBER(SEARCH("Party Name-",'R.M Billets Reports'!D1859)),TRIM(MID('R.M Billets Reports'!D1859,SEARCH("-",'R.M Billets Reports'!D1859)+1,200)),"")))="SHRI RADHE","SHREE RADHE",IF(IF(IF(ISNUMBER(SEARCH("Party Name:-",'R.M Billets Reports'!D1858)),TRIM('R.M Billets Reports'!F1858),IF(ISNUMBER(SEARCH("Party Name-",'R.M Billets Reports'!D1858)),TRIM(MID('R.M Billets Reports'!D1858,SEARCH("-",'R.M Billets Reports'!D1858)+1,200)),""))&lt;&gt;"",IF(ISNUMBER(SEARCH("Party Name:-",'R.M Billets Reports'!D1858)),TRIM('R.M Billets Reports'!F1858),IF(ISNUMBER(SEARCH("Party Name-",'R.M Billets Reports'!D1858)),TRIM(MID('R.M Billets Reports'!D1858,SEARCH("-",'R.M Billets Reports'!D1858)+1,200)),"")),IF(ISNUMBER(SEARCH("Party Name:-",'R.M Billets Reports'!D1859)),TRIM('R.M Billets Reports'!F1859),IF(ISNUMBER(SEARCH("Party Name-",'R.M Billets Reports'!D1859)),TRIM(MID('R.M Billets Reports'!D1859,SEARCH("-",'R.M Billets Reports'!D1859)+1,200)),"")))="SHREE RADHE SHAKTI SPONGE AND POWER PVT. LTD.","SHREE RADHE",IF(IF(ISNUMBER(SEARCH("Party Name:-",'R.M Billets Reports'!D1858)),TRIM('R.M Billets Reports'!F1858),IF(ISNUMBER(SEARCH("Party Name-",'R.M Billets Reports'!D1858)),TRIM(MID('R.M Billets Reports'!D1858,SEARCH("-",'R.M Billets Reports'!D1858)+1,200)),""))&lt;&gt;"",IF(ISNUMBER(SEARCH("Party Name:-",'R.M Billets Reports'!D1858)),TRIM('R.M Billets Reports'!F1858),IF(ISNUMBER(SEARCH("Party Name-",'R.M Billets Reports'!D1858)),TRIM(MID('R.M Billets Reports'!D1858,SEARCH("-",'R.M Billets Reports'!D1858)+1,200)),"")),IF(ISNUMBER(SEARCH("Party Name:-",'R.M Billets Reports'!D1859)),TRIM('R.M Billets Reports'!F1859),IF(ISNUMBER(SEARCH("Party Name-",'R.M Billets Reports'!D1859)),TRIM(MID('R.M Billets Reports'!D1859,SEARCH("-",'R.M Billets Reports'!D1859)+1,200)),"")))))),IF(ROW()=2,"",A1858))</f>
      </c>
      <c r="B1859">
        <f>IF(OR('R.M Billets Reports'!A1858="Date-",'R.M Billets Reports'!A1858="Date:-"),'R.M Billets Reports'!B1858,IF(ROW()=2,"",B1858))</f>
      </c>
      <c r="C1859">
        <f>IF('R.M Billets Reports'!A1858="V.No.",'R.M Billets Reports'!B1858,IF(ROW()=2,"",C1858))</f>
      </c>
      <c r="D1859">
        <f>IF('R.M Billets Reports'!A1858&lt;&gt;"",'R.M Billets Reports'!A1858,IF(ROW()=2,"",D1858))</f>
      </c>
      <c r="E1859">
        <f>IF('R.M Billets Reports'!B1858="","",TRIM('R.M Billets Reports'!B1858))</f>
      </c>
      <c r="F1859">
        <f>'R.M Billets Reports'!C1858</f>
      </c>
      <c r="G1859">
        <f>'R.M Billets Reports'!D1858</f>
      </c>
      <c r="H1859">
        <f>'R.M Billets Reports'!E1858</f>
      </c>
      <c r="I1859">
        <f>'R.M Billets Reports'!F1858</f>
      </c>
      <c r="J1859">
        <f>'R.M Billets Reports'!G1858</f>
      </c>
      <c r="K1859">
        <f>'R.M Billets Reports'!H1858</f>
      </c>
      <c r="L1859">
        <f>IF('R.M Billets Reports'!I1858="","",'R.M Billets Reports'!I1858)</f>
      </c>
      <c r="M1859">
        <f t="shared" ref="M1859:M1922" si="58">IF(L1859&lt;&gt;"",L1859,IF(D1859=D1858,M1858,""))</f>
      </c>
      <c r="N1859">
        <f>IF('R.M Billets Reports'!J1858="","",'R.M Billets Reports'!J1858)</f>
      </c>
      <c r="O1859">
        <f t="shared" ref="O1859:O1922" si="59">IF(N1859&lt;&gt;"",N1859,IF(D1859=D1858,O1858,""))</f>
      </c>
      <c r="P1859">
        <f>IF('R.M Billets Reports'!A1858="SIZE",'R.M Billets Reports'!B1858,P1858)</f>
      </c>
    </row>
    <row r="1860" spans="1:16" x14ac:dyDescent="0.25">
      <c r="A1860">
        <f>IF(OR('R.M Billets Reports'!A1859="Date-",'R.M Billets Reports'!A1859="Date:-"),IF(IF(IF(ISNUMBER(SEARCH("Party Name:-",'R.M Billets Reports'!D1859)),TRIM('R.M Billets Reports'!F1859),IF(ISNUMBER(SEARCH("Party Name-",'R.M Billets Reports'!D1859)),TRIM(MID('R.M Billets Reports'!D1859,SEARCH("-",'R.M Billets Reports'!D1859)+1,200)),""))&lt;&gt;"",IF(ISNUMBER(SEARCH("Party Name:-",'R.M Billets Reports'!D1859)),TRIM('R.M Billets Reports'!F1859),IF(ISNUMBER(SEARCH("Party Name-",'R.M Billets Reports'!D1859)),TRIM(MID('R.M Billets Reports'!D1859,SEARCH("-",'R.M Billets Reports'!D1859)+1,200)),"")),IF(ISNUMBER(SEARCH("Party Name:-",'R.M Billets Reports'!D1860)),TRIM('R.M Billets Reports'!F1860),IF(ISNUMBER(SEARCH("Party Name-",'R.M Billets Reports'!D1860)),TRIM(MID('R.M Billets Reports'!D1860,SEARCH("-",'R.M Billets Reports'!D1860)+1,200)),"")))="VRKP ISPAT PVT LTD","VRKP",IF(IF(IF(ISNUMBER(SEARCH("Party Name:-",'R.M Billets Reports'!D1859)),TRIM('R.M Billets Reports'!F1859),IF(ISNUMBER(SEARCH("Party Name-",'R.M Billets Reports'!D1859)),TRIM(MID('R.M Billets Reports'!D1859,SEARCH("-",'R.M Billets Reports'!D1859)+1,200)),""))&lt;&gt;"",IF(ISNUMBER(SEARCH("Party Name:-",'R.M Billets Reports'!D1859)),TRIM('R.M Billets Reports'!F1859),IF(ISNUMBER(SEARCH("Party Name-",'R.M Billets Reports'!D1859)),TRIM(MID('R.M Billets Reports'!D1859,SEARCH("-",'R.M Billets Reports'!D1859)+1,200)),"")),IF(ISNUMBER(SEARCH("Party Name:-",'R.M Billets Reports'!D1860)),TRIM('R.M Billets Reports'!F1860),IF(ISNUMBER(SEARCH("Party Name-",'R.M Billets Reports'!D1860)),TRIM(MID('R.M Billets Reports'!D1860,SEARCH("-",'R.M Billets Reports'!D1860)+1,200)),"")))="SHRI RADHE","SHREE RADHE",IF(IF(IF(ISNUMBER(SEARCH("Party Name:-",'R.M Billets Reports'!D1859)),TRIM('R.M Billets Reports'!F1859),IF(ISNUMBER(SEARCH("Party Name-",'R.M Billets Reports'!D1859)),TRIM(MID('R.M Billets Reports'!D1859,SEARCH("-",'R.M Billets Reports'!D1859)+1,200)),""))&lt;&gt;"",IF(ISNUMBER(SEARCH("Party Name:-",'R.M Billets Reports'!D1859)),TRIM('R.M Billets Reports'!F1859),IF(ISNUMBER(SEARCH("Party Name-",'R.M Billets Reports'!D1859)),TRIM(MID('R.M Billets Reports'!D1859,SEARCH("-",'R.M Billets Reports'!D1859)+1,200)),"")),IF(ISNUMBER(SEARCH("Party Name:-",'R.M Billets Reports'!D1860)),TRIM('R.M Billets Reports'!F1860),IF(ISNUMBER(SEARCH("Party Name-",'R.M Billets Reports'!D1860)),TRIM(MID('R.M Billets Reports'!D1860,SEARCH("-",'R.M Billets Reports'!D1860)+1,200)),"")))="SHREE RADHE SHAKTI SPONGE AND POWER PVT. LTD.","SHREE RADHE",IF(IF(ISNUMBER(SEARCH("Party Name:-",'R.M Billets Reports'!D1859)),TRIM('R.M Billets Reports'!F1859),IF(ISNUMBER(SEARCH("Party Name-",'R.M Billets Reports'!D1859)),TRIM(MID('R.M Billets Reports'!D1859,SEARCH("-",'R.M Billets Reports'!D1859)+1,200)),""))&lt;&gt;"",IF(ISNUMBER(SEARCH("Party Name:-",'R.M Billets Reports'!D1859)),TRIM('R.M Billets Reports'!F1859),IF(ISNUMBER(SEARCH("Party Name-",'R.M Billets Reports'!D1859)),TRIM(MID('R.M Billets Reports'!D1859,SEARCH("-",'R.M Billets Reports'!D1859)+1,200)),"")),IF(ISNUMBER(SEARCH("Party Name:-",'R.M Billets Reports'!D1860)),TRIM('R.M Billets Reports'!F1860),IF(ISNUMBER(SEARCH("Party Name-",'R.M Billets Reports'!D1860)),TRIM(MID('R.M Billets Reports'!D1860,SEARCH("-",'R.M Billets Reports'!D1860)+1,200)),"")))))),IF(ROW()=2,"",A1859))</f>
      </c>
      <c r="B1860">
        <f>IF(OR('R.M Billets Reports'!A1859="Date-",'R.M Billets Reports'!A1859="Date:-"),'R.M Billets Reports'!B1859,IF(ROW()=2,"",B1859))</f>
      </c>
      <c r="C1860">
        <f>IF('R.M Billets Reports'!A1859="V.No.",'R.M Billets Reports'!B1859,IF(ROW()=2,"",C1859))</f>
      </c>
      <c r="D1860">
        <f>IF('R.M Billets Reports'!A1859&lt;&gt;"",'R.M Billets Reports'!A1859,IF(ROW()=2,"",D1859))</f>
      </c>
      <c r="E1860">
        <f>IF('R.M Billets Reports'!B1859="","",TRIM('R.M Billets Reports'!B1859))</f>
      </c>
      <c r="F1860">
        <f>'R.M Billets Reports'!C1859</f>
      </c>
      <c r="G1860">
        <f>'R.M Billets Reports'!D1859</f>
      </c>
      <c r="H1860">
        <f>'R.M Billets Reports'!E1859</f>
      </c>
      <c r="I1860">
        <f>'R.M Billets Reports'!F1859</f>
      </c>
      <c r="J1860">
        <f>'R.M Billets Reports'!G1859</f>
      </c>
      <c r="K1860">
        <f>'R.M Billets Reports'!H1859</f>
      </c>
      <c r="L1860">
        <f>IF('R.M Billets Reports'!I1859="","",'R.M Billets Reports'!I1859)</f>
      </c>
      <c r="M1860">
        <f t="shared" si="58"/>
      </c>
      <c r="N1860">
        <f>IF('R.M Billets Reports'!J1859="","",'R.M Billets Reports'!J1859)</f>
      </c>
      <c r="O1860">
        <f t="shared" si="59"/>
      </c>
      <c r="P1860">
        <f>IF('R.M Billets Reports'!A1859="SIZE",'R.M Billets Reports'!B1859,P1859)</f>
      </c>
    </row>
    <row r="1861" spans="1:16" x14ac:dyDescent="0.25">
      <c r="A1861">
        <f>IF(OR('R.M Billets Reports'!A1860="Date-",'R.M Billets Reports'!A1860="Date:-"),IF(IF(IF(ISNUMBER(SEARCH("Party Name:-",'R.M Billets Reports'!D1860)),TRIM('R.M Billets Reports'!F1860),IF(ISNUMBER(SEARCH("Party Name-",'R.M Billets Reports'!D1860)),TRIM(MID('R.M Billets Reports'!D1860,SEARCH("-",'R.M Billets Reports'!D1860)+1,200)),""))&lt;&gt;"",IF(ISNUMBER(SEARCH("Party Name:-",'R.M Billets Reports'!D1860)),TRIM('R.M Billets Reports'!F1860),IF(ISNUMBER(SEARCH("Party Name-",'R.M Billets Reports'!D1860)),TRIM(MID('R.M Billets Reports'!D1860,SEARCH("-",'R.M Billets Reports'!D1860)+1,200)),"")),IF(ISNUMBER(SEARCH("Party Name:-",'R.M Billets Reports'!D1861)),TRIM('R.M Billets Reports'!F1861),IF(ISNUMBER(SEARCH("Party Name-",'R.M Billets Reports'!D1861)),TRIM(MID('R.M Billets Reports'!D1861,SEARCH("-",'R.M Billets Reports'!D1861)+1,200)),"")))="VRKP ISPAT PVT LTD","VRKP",IF(IF(IF(ISNUMBER(SEARCH("Party Name:-",'R.M Billets Reports'!D1860)),TRIM('R.M Billets Reports'!F1860),IF(ISNUMBER(SEARCH("Party Name-",'R.M Billets Reports'!D1860)),TRIM(MID('R.M Billets Reports'!D1860,SEARCH("-",'R.M Billets Reports'!D1860)+1,200)),""))&lt;&gt;"",IF(ISNUMBER(SEARCH("Party Name:-",'R.M Billets Reports'!D1860)),TRIM('R.M Billets Reports'!F1860),IF(ISNUMBER(SEARCH("Party Name-",'R.M Billets Reports'!D1860)),TRIM(MID('R.M Billets Reports'!D1860,SEARCH("-",'R.M Billets Reports'!D1860)+1,200)),"")),IF(ISNUMBER(SEARCH("Party Name:-",'R.M Billets Reports'!D1861)),TRIM('R.M Billets Reports'!F1861),IF(ISNUMBER(SEARCH("Party Name-",'R.M Billets Reports'!D1861)),TRIM(MID('R.M Billets Reports'!D1861,SEARCH("-",'R.M Billets Reports'!D1861)+1,200)),"")))="SHRI RADHE","SHREE RADHE",IF(IF(IF(ISNUMBER(SEARCH("Party Name:-",'R.M Billets Reports'!D1860)),TRIM('R.M Billets Reports'!F1860),IF(ISNUMBER(SEARCH("Party Name-",'R.M Billets Reports'!D1860)),TRIM(MID('R.M Billets Reports'!D1860,SEARCH("-",'R.M Billets Reports'!D1860)+1,200)),""))&lt;&gt;"",IF(ISNUMBER(SEARCH("Party Name:-",'R.M Billets Reports'!D1860)),TRIM('R.M Billets Reports'!F1860),IF(ISNUMBER(SEARCH("Party Name-",'R.M Billets Reports'!D1860)),TRIM(MID('R.M Billets Reports'!D1860,SEARCH("-",'R.M Billets Reports'!D1860)+1,200)),"")),IF(ISNUMBER(SEARCH("Party Name:-",'R.M Billets Reports'!D1861)),TRIM('R.M Billets Reports'!F1861),IF(ISNUMBER(SEARCH("Party Name-",'R.M Billets Reports'!D1861)),TRIM(MID('R.M Billets Reports'!D1861,SEARCH("-",'R.M Billets Reports'!D1861)+1,200)),"")))="SHREE RADHE SHAKTI SPONGE AND POWER PVT. LTD.","SHREE RADHE",IF(IF(ISNUMBER(SEARCH("Party Name:-",'R.M Billets Reports'!D1860)),TRIM('R.M Billets Reports'!F1860),IF(ISNUMBER(SEARCH("Party Name-",'R.M Billets Reports'!D1860)),TRIM(MID('R.M Billets Reports'!D1860,SEARCH("-",'R.M Billets Reports'!D1860)+1,200)),""))&lt;&gt;"",IF(ISNUMBER(SEARCH("Party Name:-",'R.M Billets Reports'!D1860)),TRIM('R.M Billets Reports'!F1860),IF(ISNUMBER(SEARCH("Party Name-",'R.M Billets Reports'!D1860)),TRIM(MID('R.M Billets Reports'!D1860,SEARCH("-",'R.M Billets Reports'!D1860)+1,200)),"")),IF(ISNUMBER(SEARCH("Party Name:-",'R.M Billets Reports'!D1861)),TRIM('R.M Billets Reports'!F1861),IF(ISNUMBER(SEARCH("Party Name-",'R.M Billets Reports'!D1861)),TRIM(MID('R.M Billets Reports'!D1861,SEARCH("-",'R.M Billets Reports'!D1861)+1,200)),"")))))),IF(ROW()=2,"",A1860))</f>
      </c>
      <c r="B1861">
        <f>IF(OR('R.M Billets Reports'!A1860="Date-",'R.M Billets Reports'!A1860="Date:-"),'R.M Billets Reports'!B1860,IF(ROW()=2,"",B1860))</f>
      </c>
      <c r="C1861">
        <f>IF('R.M Billets Reports'!A1860="V.No.",'R.M Billets Reports'!B1860,IF(ROW()=2,"",C1860))</f>
      </c>
      <c r="D1861">
        <f>IF('R.M Billets Reports'!A1860&lt;&gt;"",'R.M Billets Reports'!A1860,IF(ROW()=2,"",D1860))</f>
      </c>
      <c r="E1861">
        <f>IF('R.M Billets Reports'!B1860="","",TRIM('R.M Billets Reports'!B1860))</f>
      </c>
      <c r="F1861">
        <f>'R.M Billets Reports'!C1860</f>
      </c>
      <c r="G1861">
        <f>'R.M Billets Reports'!D1860</f>
      </c>
      <c r="H1861">
        <f>'R.M Billets Reports'!E1860</f>
      </c>
      <c r="I1861">
        <f>'R.M Billets Reports'!F1860</f>
      </c>
      <c r="J1861">
        <f>'R.M Billets Reports'!G1860</f>
      </c>
      <c r="K1861">
        <f>'R.M Billets Reports'!H1860</f>
      </c>
      <c r="L1861">
        <f>IF('R.M Billets Reports'!I1860="","",'R.M Billets Reports'!I1860)</f>
      </c>
      <c r="M1861">
        <f t="shared" si="58"/>
      </c>
      <c r="N1861">
        <f>IF('R.M Billets Reports'!J1860="","",'R.M Billets Reports'!J1860)</f>
      </c>
      <c r="O1861">
        <f t="shared" si="59"/>
      </c>
      <c r="P1861">
        <f>IF('R.M Billets Reports'!A1860="SIZE",'R.M Billets Reports'!B1860,P1860)</f>
      </c>
    </row>
    <row r="1862" spans="1:16" x14ac:dyDescent="0.25">
      <c r="A1862">
        <f>IF(OR('R.M Billets Reports'!A1861="Date-",'R.M Billets Reports'!A1861="Date:-"),IF(IF(IF(ISNUMBER(SEARCH("Party Name:-",'R.M Billets Reports'!D1861)),TRIM('R.M Billets Reports'!F1861),IF(ISNUMBER(SEARCH("Party Name-",'R.M Billets Reports'!D1861)),TRIM(MID('R.M Billets Reports'!D1861,SEARCH("-",'R.M Billets Reports'!D1861)+1,200)),""))&lt;&gt;"",IF(ISNUMBER(SEARCH("Party Name:-",'R.M Billets Reports'!D1861)),TRIM('R.M Billets Reports'!F1861),IF(ISNUMBER(SEARCH("Party Name-",'R.M Billets Reports'!D1861)),TRIM(MID('R.M Billets Reports'!D1861,SEARCH("-",'R.M Billets Reports'!D1861)+1,200)),"")),IF(ISNUMBER(SEARCH("Party Name:-",'R.M Billets Reports'!D1862)),TRIM('R.M Billets Reports'!F1862),IF(ISNUMBER(SEARCH("Party Name-",'R.M Billets Reports'!D1862)),TRIM(MID('R.M Billets Reports'!D1862,SEARCH("-",'R.M Billets Reports'!D1862)+1,200)),"")))="VRKP ISPAT PVT LTD","VRKP",IF(IF(IF(ISNUMBER(SEARCH("Party Name:-",'R.M Billets Reports'!D1861)),TRIM('R.M Billets Reports'!F1861),IF(ISNUMBER(SEARCH("Party Name-",'R.M Billets Reports'!D1861)),TRIM(MID('R.M Billets Reports'!D1861,SEARCH("-",'R.M Billets Reports'!D1861)+1,200)),""))&lt;&gt;"",IF(ISNUMBER(SEARCH("Party Name:-",'R.M Billets Reports'!D1861)),TRIM('R.M Billets Reports'!F1861),IF(ISNUMBER(SEARCH("Party Name-",'R.M Billets Reports'!D1861)),TRIM(MID('R.M Billets Reports'!D1861,SEARCH("-",'R.M Billets Reports'!D1861)+1,200)),"")),IF(ISNUMBER(SEARCH("Party Name:-",'R.M Billets Reports'!D1862)),TRIM('R.M Billets Reports'!F1862),IF(ISNUMBER(SEARCH("Party Name-",'R.M Billets Reports'!D1862)),TRIM(MID('R.M Billets Reports'!D1862,SEARCH("-",'R.M Billets Reports'!D1862)+1,200)),"")))="SHRI RADHE","SHREE RADHE",IF(IF(IF(ISNUMBER(SEARCH("Party Name:-",'R.M Billets Reports'!D1861)),TRIM('R.M Billets Reports'!F1861),IF(ISNUMBER(SEARCH("Party Name-",'R.M Billets Reports'!D1861)),TRIM(MID('R.M Billets Reports'!D1861,SEARCH("-",'R.M Billets Reports'!D1861)+1,200)),""))&lt;&gt;"",IF(ISNUMBER(SEARCH("Party Name:-",'R.M Billets Reports'!D1861)),TRIM('R.M Billets Reports'!F1861),IF(ISNUMBER(SEARCH("Party Name-",'R.M Billets Reports'!D1861)),TRIM(MID('R.M Billets Reports'!D1861,SEARCH("-",'R.M Billets Reports'!D1861)+1,200)),"")),IF(ISNUMBER(SEARCH("Party Name:-",'R.M Billets Reports'!D1862)),TRIM('R.M Billets Reports'!F1862),IF(ISNUMBER(SEARCH("Party Name-",'R.M Billets Reports'!D1862)),TRIM(MID('R.M Billets Reports'!D1862,SEARCH("-",'R.M Billets Reports'!D1862)+1,200)),"")))="SHREE RADHE SHAKTI SPONGE AND POWER PVT. LTD.","SHREE RADHE",IF(IF(ISNUMBER(SEARCH("Party Name:-",'R.M Billets Reports'!D1861)),TRIM('R.M Billets Reports'!F1861),IF(ISNUMBER(SEARCH("Party Name-",'R.M Billets Reports'!D1861)),TRIM(MID('R.M Billets Reports'!D1861,SEARCH("-",'R.M Billets Reports'!D1861)+1,200)),""))&lt;&gt;"",IF(ISNUMBER(SEARCH("Party Name:-",'R.M Billets Reports'!D1861)),TRIM('R.M Billets Reports'!F1861),IF(ISNUMBER(SEARCH("Party Name-",'R.M Billets Reports'!D1861)),TRIM(MID('R.M Billets Reports'!D1861,SEARCH("-",'R.M Billets Reports'!D1861)+1,200)),"")),IF(ISNUMBER(SEARCH("Party Name:-",'R.M Billets Reports'!D1862)),TRIM('R.M Billets Reports'!F1862),IF(ISNUMBER(SEARCH("Party Name-",'R.M Billets Reports'!D1862)),TRIM(MID('R.M Billets Reports'!D1862,SEARCH("-",'R.M Billets Reports'!D1862)+1,200)),"")))))),IF(ROW()=2,"",A1861))</f>
      </c>
      <c r="B1862">
        <f>IF(OR('R.M Billets Reports'!A1861="Date-",'R.M Billets Reports'!A1861="Date:-"),'R.M Billets Reports'!B1861,IF(ROW()=2,"",B1861))</f>
      </c>
      <c r="C1862">
        <f>IF('R.M Billets Reports'!A1861="V.No.",'R.M Billets Reports'!B1861,IF(ROW()=2,"",C1861))</f>
      </c>
      <c r="D1862">
        <f>IF('R.M Billets Reports'!A1861&lt;&gt;"",'R.M Billets Reports'!A1861,IF(ROW()=2,"",D1861))</f>
      </c>
      <c r="E1862">
        <f>IF('R.M Billets Reports'!B1861="","",TRIM('R.M Billets Reports'!B1861))</f>
      </c>
      <c r="F1862">
        <f>'R.M Billets Reports'!C1861</f>
      </c>
      <c r="G1862">
        <f>'R.M Billets Reports'!D1861</f>
      </c>
      <c r="H1862">
        <f>'R.M Billets Reports'!E1861</f>
      </c>
      <c r="I1862">
        <f>'R.M Billets Reports'!F1861</f>
      </c>
      <c r="J1862">
        <f>'R.M Billets Reports'!G1861</f>
      </c>
      <c r="K1862">
        <f>'R.M Billets Reports'!H1861</f>
      </c>
      <c r="L1862">
        <f>IF('R.M Billets Reports'!I1861="","",'R.M Billets Reports'!I1861)</f>
      </c>
      <c r="M1862">
        <f t="shared" si="58"/>
      </c>
      <c r="N1862">
        <f>IF('R.M Billets Reports'!J1861="","",'R.M Billets Reports'!J1861)</f>
      </c>
      <c r="O1862">
        <f t="shared" si="59"/>
      </c>
      <c r="P1862">
        <f>IF('R.M Billets Reports'!A1861="SIZE",'R.M Billets Reports'!B1861,P1861)</f>
      </c>
    </row>
    <row r="1863" spans="1:16" x14ac:dyDescent="0.25">
      <c r="A1863">
        <f>IF(OR('R.M Billets Reports'!A1862="Date-",'R.M Billets Reports'!A1862="Date:-"),IF(IF(IF(ISNUMBER(SEARCH("Party Name:-",'R.M Billets Reports'!D1862)),TRIM('R.M Billets Reports'!F1862),IF(ISNUMBER(SEARCH("Party Name-",'R.M Billets Reports'!D1862)),TRIM(MID('R.M Billets Reports'!D1862,SEARCH("-",'R.M Billets Reports'!D1862)+1,200)),""))&lt;&gt;"",IF(ISNUMBER(SEARCH("Party Name:-",'R.M Billets Reports'!D1862)),TRIM('R.M Billets Reports'!F1862),IF(ISNUMBER(SEARCH("Party Name-",'R.M Billets Reports'!D1862)),TRIM(MID('R.M Billets Reports'!D1862,SEARCH("-",'R.M Billets Reports'!D1862)+1,200)),"")),IF(ISNUMBER(SEARCH("Party Name:-",'R.M Billets Reports'!D1863)),TRIM('R.M Billets Reports'!F1863),IF(ISNUMBER(SEARCH("Party Name-",'R.M Billets Reports'!D1863)),TRIM(MID('R.M Billets Reports'!D1863,SEARCH("-",'R.M Billets Reports'!D1863)+1,200)),"")))="VRKP ISPAT PVT LTD","VRKP",IF(IF(IF(ISNUMBER(SEARCH("Party Name:-",'R.M Billets Reports'!D1862)),TRIM('R.M Billets Reports'!F1862),IF(ISNUMBER(SEARCH("Party Name-",'R.M Billets Reports'!D1862)),TRIM(MID('R.M Billets Reports'!D1862,SEARCH("-",'R.M Billets Reports'!D1862)+1,200)),""))&lt;&gt;"",IF(ISNUMBER(SEARCH("Party Name:-",'R.M Billets Reports'!D1862)),TRIM('R.M Billets Reports'!F1862),IF(ISNUMBER(SEARCH("Party Name-",'R.M Billets Reports'!D1862)),TRIM(MID('R.M Billets Reports'!D1862,SEARCH("-",'R.M Billets Reports'!D1862)+1,200)),"")),IF(ISNUMBER(SEARCH("Party Name:-",'R.M Billets Reports'!D1863)),TRIM('R.M Billets Reports'!F1863),IF(ISNUMBER(SEARCH("Party Name-",'R.M Billets Reports'!D1863)),TRIM(MID('R.M Billets Reports'!D1863,SEARCH("-",'R.M Billets Reports'!D1863)+1,200)),"")))="SHRI RADHE","SHREE RADHE",IF(IF(IF(ISNUMBER(SEARCH("Party Name:-",'R.M Billets Reports'!D1862)),TRIM('R.M Billets Reports'!F1862),IF(ISNUMBER(SEARCH("Party Name-",'R.M Billets Reports'!D1862)),TRIM(MID('R.M Billets Reports'!D1862,SEARCH("-",'R.M Billets Reports'!D1862)+1,200)),""))&lt;&gt;"",IF(ISNUMBER(SEARCH("Party Name:-",'R.M Billets Reports'!D1862)),TRIM('R.M Billets Reports'!F1862),IF(ISNUMBER(SEARCH("Party Name-",'R.M Billets Reports'!D1862)),TRIM(MID('R.M Billets Reports'!D1862,SEARCH("-",'R.M Billets Reports'!D1862)+1,200)),"")),IF(ISNUMBER(SEARCH("Party Name:-",'R.M Billets Reports'!D1863)),TRIM('R.M Billets Reports'!F1863),IF(ISNUMBER(SEARCH("Party Name-",'R.M Billets Reports'!D1863)),TRIM(MID('R.M Billets Reports'!D1863,SEARCH("-",'R.M Billets Reports'!D1863)+1,200)),"")))="SHREE RADHE SHAKTI SPONGE AND POWER PVT. LTD.","SHREE RADHE",IF(IF(ISNUMBER(SEARCH("Party Name:-",'R.M Billets Reports'!D1862)),TRIM('R.M Billets Reports'!F1862),IF(ISNUMBER(SEARCH("Party Name-",'R.M Billets Reports'!D1862)),TRIM(MID('R.M Billets Reports'!D1862,SEARCH("-",'R.M Billets Reports'!D1862)+1,200)),""))&lt;&gt;"",IF(ISNUMBER(SEARCH("Party Name:-",'R.M Billets Reports'!D1862)),TRIM('R.M Billets Reports'!F1862),IF(ISNUMBER(SEARCH("Party Name-",'R.M Billets Reports'!D1862)),TRIM(MID('R.M Billets Reports'!D1862,SEARCH("-",'R.M Billets Reports'!D1862)+1,200)),"")),IF(ISNUMBER(SEARCH("Party Name:-",'R.M Billets Reports'!D1863)),TRIM('R.M Billets Reports'!F1863),IF(ISNUMBER(SEARCH("Party Name-",'R.M Billets Reports'!D1863)),TRIM(MID('R.M Billets Reports'!D1863,SEARCH("-",'R.M Billets Reports'!D1863)+1,200)),"")))))),IF(ROW()=2,"",A1862))</f>
      </c>
      <c r="B1863">
        <f>IF(OR('R.M Billets Reports'!A1862="Date-",'R.M Billets Reports'!A1862="Date:-"),'R.M Billets Reports'!B1862,IF(ROW()=2,"",B1862))</f>
      </c>
      <c r="C1863">
        <f>IF('R.M Billets Reports'!A1862="V.No.",'R.M Billets Reports'!B1862,IF(ROW()=2,"",C1862))</f>
      </c>
      <c r="D1863">
        <f>IF('R.M Billets Reports'!A1862&lt;&gt;"",'R.M Billets Reports'!A1862,IF(ROW()=2,"",D1862))</f>
      </c>
      <c r="E1863">
        <f>IF('R.M Billets Reports'!B1862="","",TRIM('R.M Billets Reports'!B1862))</f>
      </c>
      <c r="F1863">
        <f>'R.M Billets Reports'!C1862</f>
      </c>
      <c r="G1863">
        <f>'R.M Billets Reports'!D1862</f>
      </c>
      <c r="H1863">
        <f>'R.M Billets Reports'!E1862</f>
      </c>
      <c r="I1863">
        <f>'R.M Billets Reports'!F1862</f>
      </c>
      <c r="J1863">
        <f>'R.M Billets Reports'!G1862</f>
      </c>
      <c r="K1863">
        <f>'R.M Billets Reports'!H1862</f>
      </c>
      <c r="L1863">
        <f>IF('R.M Billets Reports'!I1862="","",'R.M Billets Reports'!I1862)</f>
      </c>
      <c r="M1863">
        <f t="shared" si="58"/>
      </c>
      <c r="N1863">
        <f>IF('R.M Billets Reports'!J1862="","",'R.M Billets Reports'!J1862)</f>
      </c>
      <c r="O1863">
        <f t="shared" si="59"/>
      </c>
      <c r="P1863">
        <f>IF('R.M Billets Reports'!A1862="SIZE",'R.M Billets Reports'!B1862,P1862)</f>
      </c>
    </row>
    <row r="1864" spans="1:16" x14ac:dyDescent="0.25">
      <c r="A1864">
        <f>IF(OR('R.M Billets Reports'!A1863="Date-",'R.M Billets Reports'!A1863="Date:-"),IF(IF(IF(ISNUMBER(SEARCH("Party Name:-",'R.M Billets Reports'!D1863)),TRIM('R.M Billets Reports'!F1863),IF(ISNUMBER(SEARCH("Party Name-",'R.M Billets Reports'!D1863)),TRIM(MID('R.M Billets Reports'!D1863,SEARCH("-",'R.M Billets Reports'!D1863)+1,200)),""))&lt;&gt;"",IF(ISNUMBER(SEARCH("Party Name:-",'R.M Billets Reports'!D1863)),TRIM('R.M Billets Reports'!F1863),IF(ISNUMBER(SEARCH("Party Name-",'R.M Billets Reports'!D1863)),TRIM(MID('R.M Billets Reports'!D1863,SEARCH("-",'R.M Billets Reports'!D1863)+1,200)),"")),IF(ISNUMBER(SEARCH("Party Name:-",'R.M Billets Reports'!D1864)),TRIM('R.M Billets Reports'!F1864),IF(ISNUMBER(SEARCH("Party Name-",'R.M Billets Reports'!D1864)),TRIM(MID('R.M Billets Reports'!D1864,SEARCH("-",'R.M Billets Reports'!D1864)+1,200)),"")))="VRKP ISPAT PVT LTD","VRKP",IF(IF(IF(ISNUMBER(SEARCH("Party Name:-",'R.M Billets Reports'!D1863)),TRIM('R.M Billets Reports'!F1863),IF(ISNUMBER(SEARCH("Party Name-",'R.M Billets Reports'!D1863)),TRIM(MID('R.M Billets Reports'!D1863,SEARCH("-",'R.M Billets Reports'!D1863)+1,200)),""))&lt;&gt;"",IF(ISNUMBER(SEARCH("Party Name:-",'R.M Billets Reports'!D1863)),TRIM('R.M Billets Reports'!F1863),IF(ISNUMBER(SEARCH("Party Name-",'R.M Billets Reports'!D1863)),TRIM(MID('R.M Billets Reports'!D1863,SEARCH("-",'R.M Billets Reports'!D1863)+1,200)),"")),IF(ISNUMBER(SEARCH("Party Name:-",'R.M Billets Reports'!D1864)),TRIM('R.M Billets Reports'!F1864),IF(ISNUMBER(SEARCH("Party Name-",'R.M Billets Reports'!D1864)),TRIM(MID('R.M Billets Reports'!D1864,SEARCH("-",'R.M Billets Reports'!D1864)+1,200)),"")))="SHRI RADHE","SHREE RADHE",IF(IF(IF(ISNUMBER(SEARCH("Party Name:-",'R.M Billets Reports'!D1863)),TRIM('R.M Billets Reports'!F1863),IF(ISNUMBER(SEARCH("Party Name-",'R.M Billets Reports'!D1863)),TRIM(MID('R.M Billets Reports'!D1863,SEARCH("-",'R.M Billets Reports'!D1863)+1,200)),""))&lt;&gt;"",IF(ISNUMBER(SEARCH("Party Name:-",'R.M Billets Reports'!D1863)),TRIM('R.M Billets Reports'!F1863),IF(ISNUMBER(SEARCH("Party Name-",'R.M Billets Reports'!D1863)),TRIM(MID('R.M Billets Reports'!D1863,SEARCH("-",'R.M Billets Reports'!D1863)+1,200)),"")),IF(ISNUMBER(SEARCH("Party Name:-",'R.M Billets Reports'!D1864)),TRIM('R.M Billets Reports'!F1864),IF(ISNUMBER(SEARCH("Party Name-",'R.M Billets Reports'!D1864)),TRIM(MID('R.M Billets Reports'!D1864,SEARCH("-",'R.M Billets Reports'!D1864)+1,200)),"")))="SHREE RADHE SHAKTI SPONGE AND POWER PVT. LTD.","SHREE RADHE",IF(IF(ISNUMBER(SEARCH("Party Name:-",'R.M Billets Reports'!D1863)),TRIM('R.M Billets Reports'!F1863),IF(ISNUMBER(SEARCH("Party Name-",'R.M Billets Reports'!D1863)),TRIM(MID('R.M Billets Reports'!D1863,SEARCH("-",'R.M Billets Reports'!D1863)+1,200)),""))&lt;&gt;"",IF(ISNUMBER(SEARCH("Party Name:-",'R.M Billets Reports'!D1863)),TRIM('R.M Billets Reports'!F1863),IF(ISNUMBER(SEARCH("Party Name-",'R.M Billets Reports'!D1863)),TRIM(MID('R.M Billets Reports'!D1863,SEARCH("-",'R.M Billets Reports'!D1863)+1,200)),"")),IF(ISNUMBER(SEARCH("Party Name:-",'R.M Billets Reports'!D1864)),TRIM('R.M Billets Reports'!F1864),IF(ISNUMBER(SEARCH("Party Name-",'R.M Billets Reports'!D1864)),TRIM(MID('R.M Billets Reports'!D1864,SEARCH("-",'R.M Billets Reports'!D1864)+1,200)),"")))))),IF(ROW()=2,"",A1863))</f>
      </c>
      <c r="B1864">
        <f>IF(OR('R.M Billets Reports'!A1863="Date-",'R.M Billets Reports'!A1863="Date:-"),'R.M Billets Reports'!B1863,IF(ROW()=2,"",B1863))</f>
      </c>
      <c r="C1864">
        <f>IF('R.M Billets Reports'!A1863="V.No.",'R.M Billets Reports'!B1863,IF(ROW()=2,"",C1863))</f>
      </c>
      <c r="D1864">
        <f>IF('R.M Billets Reports'!A1863&lt;&gt;"",'R.M Billets Reports'!A1863,IF(ROW()=2,"",D1863))</f>
      </c>
      <c r="E1864">
        <f>IF('R.M Billets Reports'!B1863="","",TRIM('R.M Billets Reports'!B1863))</f>
      </c>
      <c r="F1864">
        <f>'R.M Billets Reports'!C1863</f>
      </c>
      <c r="G1864">
        <f>'R.M Billets Reports'!D1863</f>
      </c>
      <c r="H1864">
        <f>'R.M Billets Reports'!E1863</f>
      </c>
      <c r="I1864">
        <f>'R.M Billets Reports'!F1863</f>
      </c>
      <c r="J1864">
        <f>'R.M Billets Reports'!G1863</f>
      </c>
      <c r="K1864">
        <f>'R.M Billets Reports'!H1863</f>
      </c>
      <c r="L1864">
        <f>IF('R.M Billets Reports'!I1863="","",'R.M Billets Reports'!I1863)</f>
      </c>
      <c r="M1864">
        <f t="shared" si="58"/>
      </c>
      <c r="N1864">
        <f>IF('R.M Billets Reports'!J1863="","",'R.M Billets Reports'!J1863)</f>
      </c>
      <c r="O1864">
        <f t="shared" si="59"/>
      </c>
      <c r="P1864">
        <f>IF('R.M Billets Reports'!A1863="SIZE",'R.M Billets Reports'!B1863,P1863)</f>
      </c>
    </row>
    <row r="1865" spans="1:16" x14ac:dyDescent="0.25">
      <c r="A1865">
        <f>IF(OR('R.M Billets Reports'!A1864="Date-",'R.M Billets Reports'!A1864="Date:-"),IF(IF(IF(ISNUMBER(SEARCH("Party Name:-",'R.M Billets Reports'!D1864)),TRIM('R.M Billets Reports'!F1864),IF(ISNUMBER(SEARCH("Party Name-",'R.M Billets Reports'!D1864)),TRIM(MID('R.M Billets Reports'!D1864,SEARCH("-",'R.M Billets Reports'!D1864)+1,200)),""))&lt;&gt;"",IF(ISNUMBER(SEARCH("Party Name:-",'R.M Billets Reports'!D1864)),TRIM('R.M Billets Reports'!F1864),IF(ISNUMBER(SEARCH("Party Name-",'R.M Billets Reports'!D1864)),TRIM(MID('R.M Billets Reports'!D1864,SEARCH("-",'R.M Billets Reports'!D1864)+1,200)),"")),IF(ISNUMBER(SEARCH("Party Name:-",'R.M Billets Reports'!D1865)),TRIM('R.M Billets Reports'!F1865),IF(ISNUMBER(SEARCH("Party Name-",'R.M Billets Reports'!D1865)),TRIM(MID('R.M Billets Reports'!D1865,SEARCH("-",'R.M Billets Reports'!D1865)+1,200)),"")))="VRKP ISPAT PVT LTD","VRKP",IF(IF(IF(ISNUMBER(SEARCH("Party Name:-",'R.M Billets Reports'!D1864)),TRIM('R.M Billets Reports'!F1864),IF(ISNUMBER(SEARCH("Party Name-",'R.M Billets Reports'!D1864)),TRIM(MID('R.M Billets Reports'!D1864,SEARCH("-",'R.M Billets Reports'!D1864)+1,200)),""))&lt;&gt;"",IF(ISNUMBER(SEARCH("Party Name:-",'R.M Billets Reports'!D1864)),TRIM('R.M Billets Reports'!F1864),IF(ISNUMBER(SEARCH("Party Name-",'R.M Billets Reports'!D1864)),TRIM(MID('R.M Billets Reports'!D1864,SEARCH("-",'R.M Billets Reports'!D1864)+1,200)),"")),IF(ISNUMBER(SEARCH("Party Name:-",'R.M Billets Reports'!D1865)),TRIM('R.M Billets Reports'!F1865),IF(ISNUMBER(SEARCH("Party Name-",'R.M Billets Reports'!D1865)),TRIM(MID('R.M Billets Reports'!D1865,SEARCH("-",'R.M Billets Reports'!D1865)+1,200)),"")))="SHRI RADHE","SHREE RADHE",IF(IF(IF(ISNUMBER(SEARCH("Party Name:-",'R.M Billets Reports'!D1864)),TRIM('R.M Billets Reports'!F1864),IF(ISNUMBER(SEARCH("Party Name-",'R.M Billets Reports'!D1864)),TRIM(MID('R.M Billets Reports'!D1864,SEARCH("-",'R.M Billets Reports'!D1864)+1,200)),""))&lt;&gt;"",IF(ISNUMBER(SEARCH("Party Name:-",'R.M Billets Reports'!D1864)),TRIM('R.M Billets Reports'!F1864),IF(ISNUMBER(SEARCH("Party Name-",'R.M Billets Reports'!D1864)),TRIM(MID('R.M Billets Reports'!D1864,SEARCH("-",'R.M Billets Reports'!D1864)+1,200)),"")),IF(ISNUMBER(SEARCH("Party Name:-",'R.M Billets Reports'!D1865)),TRIM('R.M Billets Reports'!F1865),IF(ISNUMBER(SEARCH("Party Name-",'R.M Billets Reports'!D1865)),TRIM(MID('R.M Billets Reports'!D1865,SEARCH("-",'R.M Billets Reports'!D1865)+1,200)),"")))="SHREE RADHE SHAKTI SPONGE AND POWER PVT. LTD.","SHREE RADHE",IF(IF(ISNUMBER(SEARCH("Party Name:-",'R.M Billets Reports'!D1864)),TRIM('R.M Billets Reports'!F1864),IF(ISNUMBER(SEARCH("Party Name-",'R.M Billets Reports'!D1864)),TRIM(MID('R.M Billets Reports'!D1864,SEARCH("-",'R.M Billets Reports'!D1864)+1,200)),""))&lt;&gt;"",IF(ISNUMBER(SEARCH("Party Name:-",'R.M Billets Reports'!D1864)),TRIM('R.M Billets Reports'!F1864),IF(ISNUMBER(SEARCH("Party Name-",'R.M Billets Reports'!D1864)),TRIM(MID('R.M Billets Reports'!D1864,SEARCH("-",'R.M Billets Reports'!D1864)+1,200)),"")),IF(ISNUMBER(SEARCH("Party Name:-",'R.M Billets Reports'!D1865)),TRIM('R.M Billets Reports'!F1865),IF(ISNUMBER(SEARCH("Party Name-",'R.M Billets Reports'!D1865)),TRIM(MID('R.M Billets Reports'!D1865,SEARCH("-",'R.M Billets Reports'!D1865)+1,200)),"")))))),IF(ROW()=2,"",A1864))</f>
      </c>
      <c r="B1865">
        <f>IF(OR('R.M Billets Reports'!A1864="Date-",'R.M Billets Reports'!A1864="Date:-"),'R.M Billets Reports'!B1864,IF(ROW()=2,"",B1864))</f>
      </c>
      <c r="C1865">
        <f>IF('R.M Billets Reports'!A1864="V.No.",'R.M Billets Reports'!B1864,IF(ROW()=2,"",C1864))</f>
      </c>
      <c r="D1865">
        <f>IF('R.M Billets Reports'!A1864&lt;&gt;"",'R.M Billets Reports'!A1864,IF(ROW()=2,"",D1864))</f>
      </c>
      <c r="E1865">
        <f>IF('R.M Billets Reports'!B1864="","",TRIM('R.M Billets Reports'!B1864))</f>
      </c>
      <c r="F1865">
        <f>'R.M Billets Reports'!C1864</f>
      </c>
      <c r="G1865">
        <f>'R.M Billets Reports'!D1864</f>
      </c>
      <c r="H1865">
        <f>'R.M Billets Reports'!E1864</f>
      </c>
      <c r="I1865">
        <f>'R.M Billets Reports'!F1864</f>
      </c>
      <c r="J1865">
        <f>'R.M Billets Reports'!G1864</f>
      </c>
      <c r="K1865">
        <f>'R.M Billets Reports'!H1864</f>
      </c>
      <c r="L1865">
        <f>IF('R.M Billets Reports'!I1864="","",'R.M Billets Reports'!I1864)</f>
      </c>
      <c r="M1865">
        <f t="shared" si="58"/>
      </c>
      <c r="N1865">
        <f>IF('R.M Billets Reports'!J1864="","",'R.M Billets Reports'!J1864)</f>
      </c>
      <c r="O1865">
        <f t="shared" si="59"/>
      </c>
      <c r="P1865">
        <f>IF('R.M Billets Reports'!A1864="SIZE",'R.M Billets Reports'!B1864,P1864)</f>
      </c>
    </row>
    <row r="1866" spans="1:16" x14ac:dyDescent="0.25">
      <c r="A1866">
        <f>IF(OR('R.M Billets Reports'!A1865="Date-",'R.M Billets Reports'!A1865="Date:-"),IF(IF(IF(ISNUMBER(SEARCH("Party Name:-",'R.M Billets Reports'!D1865)),TRIM('R.M Billets Reports'!F1865),IF(ISNUMBER(SEARCH("Party Name-",'R.M Billets Reports'!D1865)),TRIM(MID('R.M Billets Reports'!D1865,SEARCH("-",'R.M Billets Reports'!D1865)+1,200)),""))&lt;&gt;"",IF(ISNUMBER(SEARCH("Party Name:-",'R.M Billets Reports'!D1865)),TRIM('R.M Billets Reports'!F1865),IF(ISNUMBER(SEARCH("Party Name-",'R.M Billets Reports'!D1865)),TRIM(MID('R.M Billets Reports'!D1865,SEARCH("-",'R.M Billets Reports'!D1865)+1,200)),"")),IF(ISNUMBER(SEARCH("Party Name:-",'R.M Billets Reports'!D1866)),TRIM('R.M Billets Reports'!F1866),IF(ISNUMBER(SEARCH("Party Name-",'R.M Billets Reports'!D1866)),TRIM(MID('R.M Billets Reports'!D1866,SEARCH("-",'R.M Billets Reports'!D1866)+1,200)),"")))="VRKP ISPAT PVT LTD","VRKP",IF(IF(IF(ISNUMBER(SEARCH("Party Name:-",'R.M Billets Reports'!D1865)),TRIM('R.M Billets Reports'!F1865),IF(ISNUMBER(SEARCH("Party Name-",'R.M Billets Reports'!D1865)),TRIM(MID('R.M Billets Reports'!D1865,SEARCH("-",'R.M Billets Reports'!D1865)+1,200)),""))&lt;&gt;"",IF(ISNUMBER(SEARCH("Party Name:-",'R.M Billets Reports'!D1865)),TRIM('R.M Billets Reports'!F1865),IF(ISNUMBER(SEARCH("Party Name-",'R.M Billets Reports'!D1865)),TRIM(MID('R.M Billets Reports'!D1865,SEARCH("-",'R.M Billets Reports'!D1865)+1,200)),"")),IF(ISNUMBER(SEARCH("Party Name:-",'R.M Billets Reports'!D1866)),TRIM('R.M Billets Reports'!F1866),IF(ISNUMBER(SEARCH("Party Name-",'R.M Billets Reports'!D1866)),TRIM(MID('R.M Billets Reports'!D1866,SEARCH("-",'R.M Billets Reports'!D1866)+1,200)),"")))="SHRI RADHE","SHREE RADHE",IF(IF(IF(ISNUMBER(SEARCH("Party Name:-",'R.M Billets Reports'!D1865)),TRIM('R.M Billets Reports'!F1865),IF(ISNUMBER(SEARCH("Party Name-",'R.M Billets Reports'!D1865)),TRIM(MID('R.M Billets Reports'!D1865,SEARCH("-",'R.M Billets Reports'!D1865)+1,200)),""))&lt;&gt;"",IF(ISNUMBER(SEARCH("Party Name:-",'R.M Billets Reports'!D1865)),TRIM('R.M Billets Reports'!F1865),IF(ISNUMBER(SEARCH("Party Name-",'R.M Billets Reports'!D1865)),TRIM(MID('R.M Billets Reports'!D1865,SEARCH("-",'R.M Billets Reports'!D1865)+1,200)),"")),IF(ISNUMBER(SEARCH("Party Name:-",'R.M Billets Reports'!D1866)),TRIM('R.M Billets Reports'!F1866),IF(ISNUMBER(SEARCH("Party Name-",'R.M Billets Reports'!D1866)),TRIM(MID('R.M Billets Reports'!D1866,SEARCH("-",'R.M Billets Reports'!D1866)+1,200)),"")))="SHREE RADHE SHAKTI SPONGE AND POWER PVT. LTD.","SHREE RADHE",IF(IF(ISNUMBER(SEARCH("Party Name:-",'R.M Billets Reports'!D1865)),TRIM('R.M Billets Reports'!F1865),IF(ISNUMBER(SEARCH("Party Name-",'R.M Billets Reports'!D1865)),TRIM(MID('R.M Billets Reports'!D1865,SEARCH("-",'R.M Billets Reports'!D1865)+1,200)),""))&lt;&gt;"",IF(ISNUMBER(SEARCH("Party Name:-",'R.M Billets Reports'!D1865)),TRIM('R.M Billets Reports'!F1865),IF(ISNUMBER(SEARCH("Party Name-",'R.M Billets Reports'!D1865)),TRIM(MID('R.M Billets Reports'!D1865,SEARCH("-",'R.M Billets Reports'!D1865)+1,200)),"")),IF(ISNUMBER(SEARCH("Party Name:-",'R.M Billets Reports'!D1866)),TRIM('R.M Billets Reports'!F1866),IF(ISNUMBER(SEARCH("Party Name-",'R.M Billets Reports'!D1866)),TRIM(MID('R.M Billets Reports'!D1866,SEARCH("-",'R.M Billets Reports'!D1866)+1,200)),"")))))),IF(ROW()=2,"",A1865))</f>
      </c>
      <c r="B1866">
        <f>IF(OR('R.M Billets Reports'!A1865="Date-",'R.M Billets Reports'!A1865="Date:-"),'R.M Billets Reports'!B1865,IF(ROW()=2,"",B1865))</f>
      </c>
      <c r="C1866">
        <f>IF('R.M Billets Reports'!A1865="V.No.",'R.M Billets Reports'!B1865,IF(ROW()=2,"",C1865))</f>
      </c>
      <c r="D1866">
        <f>IF('R.M Billets Reports'!A1865&lt;&gt;"",'R.M Billets Reports'!A1865,IF(ROW()=2,"",D1865))</f>
      </c>
      <c r="E1866">
        <f>IF('R.M Billets Reports'!B1865="","",TRIM('R.M Billets Reports'!B1865))</f>
      </c>
      <c r="F1866">
        <f>'R.M Billets Reports'!C1865</f>
      </c>
      <c r="G1866">
        <f>'R.M Billets Reports'!D1865</f>
      </c>
      <c r="H1866">
        <f>'R.M Billets Reports'!E1865</f>
      </c>
      <c r="I1866">
        <f>'R.M Billets Reports'!F1865</f>
      </c>
      <c r="J1866">
        <f>'R.M Billets Reports'!G1865</f>
      </c>
      <c r="K1866">
        <f>'R.M Billets Reports'!H1865</f>
      </c>
      <c r="L1866">
        <f>IF('R.M Billets Reports'!I1865="","",'R.M Billets Reports'!I1865)</f>
      </c>
      <c r="M1866">
        <f t="shared" si="58"/>
      </c>
      <c r="N1866">
        <f>IF('R.M Billets Reports'!J1865="","",'R.M Billets Reports'!J1865)</f>
      </c>
      <c r="O1866">
        <f t="shared" si="59"/>
      </c>
      <c r="P1866">
        <f>IF('R.M Billets Reports'!A1865="SIZE",'R.M Billets Reports'!B1865,P1865)</f>
      </c>
    </row>
    <row r="1867" spans="1:16" x14ac:dyDescent="0.25">
      <c r="A1867">
        <f>IF(OR('R.M Billets Reports'!A1866="Date-",'R.M Billets Reports'!A1866="Date:-"),IF(IF(IF(ISNUMBER(SEARCH("Party Name:-",'R.M Billets Reports'!D1866)),TRIM('R.M Billets Reports'!F1866),IF(ISNUMBER(SEARCH("Party Name-",'R.M Billets Reports'!D1866)),TRIM(MID('R.M Billets Reports'!D1866,SEARCH("-",'R.M Billets Reports'!D1866)+1,200)),""))&lt;&gt;"",IF(ISNUMBER(SEARCH("Party Name:-",'R.M Billets Reports'!D1866)),TRIM('R.M Billets Reports'!F1866),IF(ISNUMBER(SEARCH("Party Name-",'R.M Billets Reports'!D1866)),TRIM(MID('R.M Billets Reports'!D1866,SEARCH("-",'R.M Billets Reports'!D1866)+1,200)),"")),IF(ISNUMBER(SEARCH("Party Name:-",'R.M Billets Reports'!D1867)),TRIM('R.M Billets Reports'!F1867),IF(ISNUMBER(SEARCH("Party Name-",'R.M Billets Reports'!D1867)),TRIM(MID('R.M Billets Reports'!D1867,SEARCH("-",'R.M Billets Reports'!D1867)+1,200)),"")))="VRKP ISPAT PVT LTD","VRKP",IF(IF(IF(ISNUMBER(SEARCH("Party Name:-",'R.M Billets Reports'!D1866)),TRIM('R.M Billets Reports'!F1866),IF(ISNUMBER(SEARCH("Party Name-",'R.M Billets Reports'!D1866)),TRIM(MID('R.M Billets Reports'!D1866,SEARCH("-",'R.M Billets Reports'!D1866)+1,200)),""))&lt;&gt;"",IF(ISNUMBER(SEARCH("Party Name:-",'R.M Billets Reports'!D1866)),TRIM('R.M Billets Reports'!F1866),IF(ISNUMBER(SEARCH("Party Name-",'R.M Billets Reports'!D1866)),TRIM(MID('R.M Billets Reports'!D1866,SEARCH("-",'R.M Billets Reports'!D1866)+1,200)),"")),IF(ISNUMBER(SEARCH("Party Name:-",'R.M Billets Reports'!D1867)),TRIM('R.M Billets Reports'!F1867),IF(ISNUMBER(SEARCH("Party Name-",'R.M Billets Reports'!D1867)),TRIM(MID('R.M Billets Reports'!D1867,SEARCH("-",'R.M Billets Reports'!D1867)+1,200)),"")))="SHRI RADHE","SHREE RADHE",IF(IF(IF(ISNUMBER(SEARCH("Party Name:-",'R.M Billets Reports'!D1866)),TRIM('R.M Billets Reports'!F1866),IF(ISNUMBER(SEARCH("Party Name-",'R.M Billets Reports'!D1866)),TRIM(MID('R.M Billets Reports'!D1866,SEARCH("-",'R.M Billets Reports'!D1866)+1,200)),""))&lt;&gt;"",IF(ISNUMBER(SEARCH("Party Name:-",'R.M Billets Reports'!D1866)),TRIM('R.M Billets Reports'!F1866),IF(ISNUMBER(SEARCH("Party Name-",'R.M Billets Reports'!D1866)),TRIM(MID('R.M Billets Reports'!D1866,SEARCH("-",'R.M Billets Reports'!D1866)+1,200)),"")),IF(ISNUMBER(SEARCH("Party Name:-",'R.M Billets Reports'!D1867)),TRIM('R.M Billets Reports'!F1867),IF(ISNUMBER(SEARCH("Party Name-",'R.M Billets Reports'!D1867)),TRIM(MID('R.M Billets Reports'!D1867,SEARCH("-",'R.M Billets Reports'!D1867)+1,200)),"")))="SHREE RADHE SHAKTI SPONGE AND POWER PVT. LTD.","SHREE RADHE",IF(IF(ISNUMBER(SEARCH("Party Name:-",'R.M Billets Reports'!D1866)),TRIM('R.M Billets Reports'!F1866),IF(ISNUMBER(SEARCH("Party Name-",'R.M Billets Reports'!D1866)),TRIM(MID('R.M Billets Reports'!D1866,SEARCH("-",'R.M Billets Reports'!D1866)+1,200)),""))&lt;&gt;"",IF(ISNUMBER(SEARCH("Party Name:-",'R.M Billets Reports'!D1866)),TRIM('R.M Billets Reports'!F1866),IF(ISNUMBER(SEARCH("Party Name-",'R.M Billets Reports'!D1866)),TRIM(MID('R.M Billets Reports'!D1866,SEARCH("-",'R.M Billets Reports'!D1866)+1,200)),"")),IF(ISNUMBER(SEARCH("Party Name:-",'R.M Billets Reports'!D1867)),TRIM('R.M Billets Reports'!F1867),IF(ISNUMBER(SEARCH("Party Name-",'R.M Billets Reports'!D1867)),TRIM(MID('R.M Billets Reports'!D1867,SEARCH("-",'R.M Billets Reports'!D1867)+1,200)),"")))))),IF(ROW()=2,"",A1866))</f>
      </c>
      <c r="B1867">
        <f>IF(OR('R.M Billets Reports'!A1866="Date-",'R.M Billets Reports'!A1866="Date:-"),'R.M Billets Reports'!B1866,IF(ROW()=2,"",B1866))</f>
      </c>
      <c r="C1867">
        <f>IF('R.M Billets Reports'!A1866="V.No.",'R.M Billets Reports'!B1866,IF(ROW()=2,"",C1866))</f>
      </c>
      <c r="D1867">
        <f>IF('R.M Billets Reports'!A1866&lt;&gt;"",'R.M Billets Reports'!A1866,IF(ROW()=2,"",D1866))</f>
      </c>
      <c r="E1867">
        <f>IF('R.M Billets Reports'!B1866="","",TRIM('R.M Billets Reports'!B1866))</f>
      </c>
      <c r="F1867">
        <f>'R.M Billets Reports'!C1866</f>
      </c>
      <c r="G1867">
        <f>'R.M Billets Reports'!D1866</f>
      </c>
      <c r="H1867">
        <f>'R.M Billets Reports'!E1866</f>
      </c>
      <c r="I1867">
        <f>'R.M Billets Reports'!F1866</f>
      </c>
      <c r="J1867">
        <f>'R.M Billets Reports'!G1866</f>
      </c>
      <c r="K1867">
        <f>'R.M Billets Reports'!H1866</f>
      </c>
      <c r="L1867">
        <f>IF('R.M Billets Reports'!I1866="","",'R.M Billets Reports'!I1866)</f>
      </c>
      <c r="M1867">
        <f t="shared" si="58"/>
      </c>
      <c r="N1867">
        <f>IF('R.M Billets Reports'!J1866="","",'R.M Billets Reports'!J1866)</f>
      </c>
      <c r="O1867">
        <f t="shared" si="59"/>
      </c>
      <c r="P1867">
        <f>IF('R.M Billets Reports'!A1866="SIZE",'R.M Billets Reports'!B1866,P1866)</f>
      </c>
    </row>
    <row r="1868" spans="1:16" x14ac:dyDescent="0.25">
      <c r="A1868">
        <f>IF(OR('R.M Billets Reports'!A1867="Date-",'R.M Billets Reports'!A1867="Date:-"),IF(IF(IF(ISNUMBER(SEARCH("Party Name:-",'R.M Billets Reports'!D1867)),TRIM('R.M Billets Reports'!F1867),IF(ISNUMBER(SEARCH("Party Name-",'R.M Billets Reports'!D1867)),TRIM(MID('R.M Billets Reports'!D1867,SEARCH("-",'R.M Billets Reports'!D1867)+1,200)),""))&lt;&gt;"",IF(ISNUMBER(SEARCH("Party Name:-",'R.M Billets Reports'!D1867)),TRIM('R.M Billets Reports'!F1867),IF(ISNUMBER(SEARCH("Party Name-",'R.M Billets Reports'!D1867)),TRIM(MID('R.M Billets Reports'!D1867,SEARCH("-",'R.M Billets Reports'!D1867)+1,200)),"")),IF(ISNUMBER(SEARCH("Party Name:-",'R.M Billets Reports'!D1868)),TRIM('R.M Billets Reports'!F1868),IF(ISNUMBER(SEARCH("Party Name-",'R.M Billets Reports'!D1868)),TRIM(MID('R.M Billets Reports'!D1868,SEARCH("-",'R.M Billets Reports'!D1868)+1,200)),"")))="VRKP ISPAT PVT LTD","VRKP",IF(IF(IF(ISNUMBER(SEARCH("Party Name:-",'R.M Billets Reports'!D1867)),TRIM('R.M Billets Reports'!F1867),IF(ISNUMBER(SEARCH("Party Name-",'R.M Billets Reports'!D1867)),TRIM(MID('R.M Billets Reports'!D1867,SEARCH("-",'R.M Billets Reports'!D1867)+1,200)),""))&lt;&gt;"",IF(ISNUMBER(SEARCH("Party Name:-",'R.M Billets Reports'!D1867)),TRIM('R.M Billets Reports'!F1867),IF(ISNUMBER(SEARCH("Party Name-",'R.M Billets Reports'!D1867)),TRIM(MID('R.M Billets Reports'!D1867,SEARCH("-",'R.M Billets Reports'!D1867)+1,200)),"")),IF(ISNUMBER(SEARCH("Party Name:-",'R.M Billets Reports'!D1868)),TRIM('R.M Billets Reports'!F1868),IF(ISNUMBER(SEARCH("Party Name-",'R.M Billets Reports'!D1868)),TRIM(MID('R.M Billets Reports'!D1868,SEARCH("-",'R.M Billets Reports'!D1868)+1,200)),"")))="SHRI RADHE","SHREE RADHE",IF(IF(IF(ISNUMBER(SEARCH("Party Name:-",'R.M Billets Reports'!D1867)),TRIM('R.M Billets Reports'!F1867),IF(ISNUMBER(SEARCH("Party Name-",'R.M Billets Reports'!D1867)),TRIM(MID('R.M Billets Reports'!D1867,SEARCH("-",'R.M Billets Reports'!D1867)+1,200)),""))&lt;&gt;"",IF(ISNUMBER(SEARCH("Party Name:-",'R.M Billets Reports'!D1867)),TRIM('R.M Billets Reports'!F1867),IF(ISNUMBER(SEARCH("Party Name-",'R.M Billets Reports'!D1867)),TRIM(MID('R.M Billets Reports'!D1867,SEARCH("-",'R.M Billets Reports'!D1867)+1,200)),"")),IF(ISNUMBER(SEARCH("Party Name:-",'R.M Billets Reports'!D1868)),TRIM('R.M Billets Reports'!F1868),IF(ISNUMBER(SEARCH("Party Name-",'R.M Billets Reports'!D1868)),TRIM(MID('R.M Billets Reports'!D1868,SEARCH("-",'R.M Billets Reports'!D1868)+1,200)),"")))="SHREE RADHE SHAKTI SPONGE AND POWER PVT. LTD.","SHREE RADHE",IF(IF(ISNUMBER(SEARCH("Party Name:-",'R.M Billets Reports'!D1867)),TRIM('R.M Billets Reports'!F1867),IF(ISNUMBER(SEARCH("Party Name-",'R.M Billets Reports'!D1867)),TRIM(MID('R.M Billets Reports'!D1867,SEARCH("-",'R.M Billets Reports'!D1867)+1,200)),""))&lt;&gt;"",IF(ISNUMBER(SEARCH("Party Name:-",'R.M Billets Reports'!D1867)),TRIM('R.M Billets Reports'!F1867),IF(ISNUMBER(SEARCH("Party Name-",'R.M Billets Reports'!D1867)),TRIM(MID('R.M Billets Reports'!D1867,SEARCH("-",'R.M Billets Reports'!D1867)+1,200)),"")),IF(ISNUMBER(SEARCH("Party Name:-",'R.M Billets Reports'!D1868)),TRIM('R.M Billets Reports'!F1868),IF(ISNUMBER(SEARCH("Party Name-",'R.M Billets Reports'!D1868)),TRIM(MID('R.M Billets Reports'!D1868,SEARCH("-",'R.M Billets Reports'!D1868)+1,200)),"")))))),IF(ROW()=2,"",A1867))</f>
      </c>
      <c r="B1868">
        <f>IF(OR('R.M Billets Reports'!A1867="Date-",'R.M Billets Reports'!A1867="Date:-"),'R.M Billets Reports'!B1867,IF(ROW()=2,"",B1867))</f>
      </c>
      <c r="C1868">
        <f>IF('R.M Billets Reports'!A1867="V.No.",'R.M Billets Reports'!B1867,IF(ROW()=2,"",C1867))</f>
      </c>
      <c r="D1868">
        <f>IF('R.M Billets Reports'!A1867&lt;&gt;"",'R.M Billets Reports'!A1867,IF(ROW()=2,"",D1867))</f>
      </c>
      <c r="E1868">
        <f>IF('R.M Billets Reports'!B1867="","",TRIM('R.M Billets Reports'!B1867))</f>
      </c>
      <c r="F1868">
        <f>'R.M Billets Reports'!C1867</f>
      </c>
      <c r="G1868">
        <f>'R.M Billets Reports'!D1867</f>
      </c>
      <c r="H1868">
        <f>'R.M Billets Reports'!E1867</f>
      </c>
      <c r="I1868">
        <f>'R.M Billets Reports'!F1867</f>
      </c>
      <c r="J1868">
        <f>'R.M Billets Reports'!G1867</f>
      </c>
      <c r="K1868">
        <f>'R.M Billets Reports'!H1867</f>
      </c>
      <c r="L1868">
        <f>IF('R.M Billets Reports'!I1867="","",'R.M Billets Reports'!I1867)</f>
      </c>
      <c r="M1868">
        <f t="shared" si="58"/>
      </c>
      <c r="N1868">
        <f>IF('R.M Billets Reports'!J1867="","",'R.M Billets Reports'!J1867)</f>
      </c>
      <c r="O1868">
        <f t="shared" si="59"/>
      </c>
      <c r="P1868">
        <f>IF('R.M Billets Reports'!A1867="SIZE",'R.M Billets Reports'!B1867,P1867)</f>
      </c>
    </row>
    <row r="1869" spans="1:16" x14ac:dyDescent="0.25">
      <c r="A1869">
        <f>IF(OR('R.M Billets Reports'!A1868="Date-",'R.M Billets Reports'!A1868="Date:-"),IF(IF(IF(ISNUMBER(SEARCH("Party Name:-",'R.M Billets Reports'!D1868)),TRIM('R.M Billets Reports'!F1868),IF(ISNUMBER(SEARCH("Party Name-",'R.M Billets Reports'!D1868)),TRIM(MID('R.M Billets Reports'!D1868,SEARCH("-",'R.M Billets Reports'!D1868)+1,200)),""))&lt;&gt;"",IF(ISNUMBER(SEARCH("Party Name:-",'R.M Billets Reports'!D1868)),TRIM('R.M Billets Reports'!F1868),IF(ISNUMBER(SEARCH("Party Name-",'R.M Billets Reports'!D1868)),TRIM(MID('R.M Billets Reports'!D1868,SEARCH("-",'R.M Billets Reports'!D1868)+1,200)),"")),IF(ISNUMBER(SEARCH("Party Name:-",'R.M Billets Reports'!D1869)),TRIM('R.M Billets Reports'!F1869),IF(ISNUMBER(SEARCH("Party Name-",'R.M Billets Reports'!D1869)),TRIM(MID('R.M Billets Reports'!D1869,SEARCH("-",'R.M Billets Reports'!D1869)+1,200)),"")))="VRKP ISPAT PVT LTD","VRKP",IF(IF(IF(ISNUMBER(SEARCH("Party Name:-",'R.M Billets Reports'!D1868)),TRIM('R.M Billets Reports'!F1868),IF(ISNUMBER(SEARCH("Party Name-",'R.M Billets Reports'!D1868)),TRIM(MID('R.M Billets Reports'!D1868,SEARCH("-",'R.M Billets Reports'!D1868)+1,200)),""))&lt;&gt;"",IF(ISNUMBER(SEARCH("Party Name:-",'R.M Billets Reports'!D1868)),TRIM('R.M Billets Reports'!F1868),IF(ISNUMBER(SEARCH("Party Name-",'R.M Billets Reports'!D1868)),TRIM(MID('R.M Billets Reports'!D1868,SEARCH("-",'R.M Billets Reports'!D1868)+1,200)),"")),IF(ISNUMBER(SEARCH("Party Name:-",'R.M Billets Reports'!D1869)),TRIM('R.M Billets Reports'!F1869),IF(ISNUMBER(SEARCH("Party Name-",'R.M Billets Reports'!D1869)),TRIM(MID('R.M Billets Reports'!D1869,SEARCH("-",'R.M Billets Reports'!D1869)+1,200)),"")))="SHRI RADHE","SHREE RADHE",IF(IF(IF(ISNUMBER(SEARCH("Party Name:-",'R.M Billets Reports'!D1868)),TRIM('R.M Billets Reports'!F1868),IF(ISNUMBER(SEARCH("Party Name-",'R.M Billets Reports'!D1868)),TRIM(MID('R.M Billets Reports'!D1868,SEARCH("-",'R.M Billets Reports'!D1868)+1,200)),""))&lt;&gt;"",IF(ISNUMBER(SEARCH("Party Name:-",'R.M Billets Reports'!D1868)),TRIM('R.M Billets Reports'!F1868),IF(ISNUMBER(SEARCH("Party Name-",'R.M Billets Reports'!D1868)),TRIM(MID('R.M Billets Reports'!D1868,SEARCH("-",'R.M Billets Reports'!D1868)+1,200)),"")),IF(ISNUMBER(SEARCH("Party Name:-",'R.M Billets Reports'!D1869)),TRIM('R.M Billets Reports'!F1869),IF(ISNUMBER(SEARCH("Party Name-",'R.M Billets Reports'!D1869)),TRIM(MID('R.M Billets Reports'!D1869,SEARCH("-",'R.M Billets Reports'!D1869)+1,200)),"")))="SHREE RADHE SHAKTI SPONGE AND POWER PVT. LTD.","SHREE RADHE",IF(IF(ISNUMBER(SEARCH("Party Name:-",'R.M Billets Reports'!D1868)),TRIM('R.M Billets Reports'!F1868),IF(ISNUMBER(SEARCH("Party Name-",'R.M Billets Reports'!D1868)),TRIM(MID('R.M Billets Reports'!D1868,SEARCH("-",'R.M Billets Reports'!D1868)+1,200)),""))&lt;&gt;"",IF(ISNUMBER(SEARCH("Party Name:-",'R.M Billets Reports'!D1868)),TRIM('R.M Billets Reports'!F1868),IF(ISNUMBER(SEARCH("Party Name-",'R.M Billets Reports'!D1868)),TRIM(MID('R.M Billets Reports'!D1868,SEARCH("-",'R.M Billets Reports'!D1868)+1,200)),"")),IF(ISNUMBER(SEARCH("Party Name:-",'R.M Billets Reports'!D1869)),TRIM('R.M Billets Reports'!F1869),IF(ISNUMBER(SEARCH("Party Name-",'R.M Billets Reports'!D1869)),TRIM(MID('R.M Billets Reports'!D1869,SEARCH("-",'R.M Billets Reports'!D1869)+1,200)),"")))))),IF(ROW()=2,"",A1868))</f>
      </c>
      <c r="B1869">
        <f>IF(OR('R.M Billets Reports'!A1868="Date-",'R.M Billets Reports'!A1868="Date:-"),'R.M Billets Reports'!B1868,IF(ROW()=2,"",B1868))</f>
      </c>
      <c r="C1869">
        <f>IF('R.M Billets Reports'!A1868="V.No.",'R.M Billets Reports'!B1868,IF(ROW()=2,"",C1868))</f>
      </c>
      <c r="D1869">
        <f>IF('R.M Billets Reports'!A1868&lt;&gt;"",'R.M Billets Reports'!A1868,IF(ROW()=2,"",D1868))</f>
      </c>
      <c r="E1869">
        <f>IF('R.M Billets Reports'!B1868="","",TRIM('R.M Billets Reports'!B1868))</f>
      </c>
      <c r="F1869">
        <f>'R.M Billets Reports'!C1868</f>
      </c>
      <c r="G1869">
        <f>'R.M Billets Reports'!D1868</f>
      </c>
      <c r="H1869">
        <f>'R.M Billets Reports'!E1868</f>
      </c>
      <c r="I1869">
        <f>'R.M Billets Reports'!F1868</f>
      </c>
      <c r="J1869">
        <f>'R.M Billets Reports'!G1868</f>
      </c>
      <c r="K1869">
        <f>'R.M Billets Reports'!H1868</f>
      </c>
      <c r="L1869">
        <f>IF('R.M Billets Reports'!I1868="","",'R.M Billets Reports'!I1868)</f>
      </c>
      <c r="M1869">
        <f t="shared" si="58"/>
      </c>
      <c r="N1869">
        <f>IF('R.M Billets Reports'!J1868="","",'R.M Billets Reports'!J1868)</f>
      </c>
      <c r="O1869">
        <f t="shared" si="59"/>
      </c>
      <c r="P1869">
        <f>IF('R.M Billets Reports'!A1868="SIZE",'R.M Billets Reports'!B1868,P1868)</f>
      </c>
    </row>
    <row r="1870" spans="1:16" x14ac:dyDescent="0.25">
      <c r="A1870">
        <f>IF(OR('R.M Billets Reports'!A1869="Date-",'R.M Billets Reports'!A1869="Date:-"),IF(IF(IF(ISNUMBER(SEARCH("Party Name:-",'R.M Billets Reports'!D1869)),TRIM('R.M Billets Reports'!F1869),IF(ISNUMBER(SEARCH("Party Name-",'R.M Billets Reports'!D1869)),TRIM(MID('R.M Billets Reports'!D1869,SEARCH("-",'R.M Billets Reports'!D1869)+1,200)),""))&lt;&gt;"",IF(ISNUMBER(SEARCH("Party Name:-",'R.M Billets Reports'!D1869)),TRIM('R.M Billets Reports'!F1869),IF(ISNUMBER(SEARCH("Party Name-",'R.M Billets Reports'!D1869)),TRIM(MID('R.M Billets Reports'!D1869,SEARCH("-",'R.M Billets Reports'!D1869)+1,200)),"")),IF(ISNUMBER(SEARCH("Party Name:-",'R.M Billets Reports'!D1870)),TRIM('R.M Billets Reports'!F1870),IF(ISNUMBER(SEARCH("Party Name-",'R.M Billets Reports'!D1870)),TRIM(MID('R.M Billets Reports'!D1870,SEARCH("-",'R.M Billets Reports'!D1870)+1,200)),"")))="VRKP ISPAT PVT LTD","VRKP",IF(IF(IF(ISNUMBER(SEARCH("Party Name:-",'R.M Billets Reports'!D1869)),TRIM('R.M Billets Reports'!F1869),IF(ISNUMBER(SEARCH("Party Name-",'R.M Billets Reports'!D1869)),TRIM(MID('R.M Billets Reports'!D1869,SEARCH("-",'R.M Billets Reports'!D1869)+1,200)),""))&lt;&gt;"",IF(ISNUMBER(SEARCH("Party Name:-",'R.M Billets Reports'!D1869)),TRIM('R.M Billets Reports'!F1869),IF(ISNUMBER(SEARCH("Party Name-",'R.M Billets Reports'!D1869)),TRIM(MID('R.M Billets Reports'!D1869,SEARCH("-",'R.M Billets Reports'!D1869)+1,200)),"")),IF(ISNUMBER(SEARCH("Party Name:-",'R.M Billets Reports'!D1870)),TRIM('R.M Billets Reports'!F1870),IF(ISNUMBER(SEARCH("Party Name-",'R.M Billets Reports'!D1870)),TRIM(MID('R.M Billets Reports'!D1870,SEARCH("-",'R.M Billets Reports'!D1870)+1,200)),"")))="SHRI RADHE","SHREE RADHE",IF(IF(IF(ISNUMBER(SEARCH("Party Name:-",'R.M Billets Reports'!D1869)),TRIM('R.M Billets Reports'!F1869),IF(ISNUMBER(SEARCH("Party Name-",'R.M Billets Reports'!D1869)),TRIM(MID('R.M Billets Reports'!D1869,SEARCH("-",'R.M Billets Reports'!D1869)+1,200)),""))&lt;&gt;"",IF(ISNUMBER(SEARCH("Party Name:-",'R.M Billets Reports'!D1869)),TRIM('R.M Billets Reports'!F1869),IF(ISNUMBER(SEARCH("Party Name-",'R.M Billets Reports'!D1869)),TRIM(MID('R.M Billets Reports'!D1869,SEARCH("-",'R.M Billets Reports'!D1869)+1,200)),"")),IF(ISNUMBER(SEARCH("Party Name:-",'R.M Billets Reports'!D1870)),TRIM('R.M Billets Reports'!F1870),IF(ISNUMBER(SEARCH("Party Name-",'R.M Billets Reports'!D1870)),TRIM(MID('R.M Billets Reports'!D1870,SEARCH("-",'R.M Billets Reports'!D1870)+1,200)),"")))="SHREE RADHE SHAKTI SPONGE AND POWER PVT. LTD.","SHREE RADHE",IF(IF(ISNUMBER(SEARCH("Party Name:-",'R.M Billets Reports'!D1869)),TRIM('R.M Billets Reports'!F1869),IF(ISNUMBER(SEARCH("Party Name-",'R.M Billets Reports'!D1869)),TRIM(MID('R.M Billets Reports'!D1869,SEARCH("-",'R.M Billets Reports'!D1869)+1,200)),""))&lt;&gt;"",IF(ISNUMBER(SEARCH("Party Name:-",'R.M Billets Reports'!D1869)),TRIM('R.M Billets Reports'!F1869),IF(ISNUMBER(SEARCH("Party Name-",'R.M Billets Reports'!D1869)),TRIM(MID('R.M Billets Reports'!D1869,SEARCH("-",'R.M Billets Reports'!D1869)+1,200)),"")),IF(ISNUMBER(SEARCH("Party Name:-",'R.M Billets Reports'!D1870)),TRIM('R.M Billets Reports'!F1870),IF(ISNUMBER(SEARCH("Party Name-",'R.M Billets Reports'!D1870)),TRIM(MID('R.M Billets Reports'!D1870,SEARCH("-",'R.M Billets Reports'!D1870)+1,200)),"")))))),IF(ROW()=2,"",A1869))</f>
      </c>
      <c r="B1870">
        <f>IF(OR('R.M Billets Reports'!A1869="Date-",'R.M Billets Reports'!A1869="Date:-"),'R.M Billets Reports'!B1869,IF(ROW()=2,"",B1869))</f>
      </c>
      <c r="C1870">
        <f>IF('R.M Billets Reports'!A1869="V.No.",'R.M Billets Reports'!B1869,IF(ROW()=2,"",C1869))</f>
      </c>
      <c r="D1870">
        <f>IF('R.M Billets Reports'!A1869&lt;&gt;"",'R.M Billets Reports'!A1869,IF(ROW()=2,"",D1869))</f>
      </c>
      <c r="E1870">
        <f>IF('R.M Billets Reports'!B1869="","",TRIM('R.M Billets Reports'!B1869))</f>
      </c>
      <c r="F1870">
        <f>'R.M Billets Reports'!C1869</f>
      </c>
      <c r="G1870">
        <f>'R.M Billets Reports'!D1869</f>
      </c>
      <c r="H1870">
        <f>'R.M Billets Reports'!E1869</f>
      </c>
      <c r="I1870">
        <f>'R.M Billets Reports'!F1869</f>
      </c>
      <c r="J1870">
        <f>'R.M Billets Reports'!G1869</f>
      </c>
      <c r="K1870">
        <f>'R.M Billets Reports'!H1869</f>
      </c>
      <c r="L1870">
        <f>IF('R.M Billets Reports'!I1869="","",'R.M Billets Reports'!I1869)</f>
      </c>
      <c r="M1870">
        <f t="shared" si="58"/>
      </c>
      <c r="N1870">
        <f>IF('R.M Billets Reports'!J1869="","",'R.M Billets Reports'!J1869)</f>
      </c>
      <c r="O1870">
        <f t="shared" si="59"/>
      </c>
      <c r="P1870">
        <f>IF('R.M Billets Reports'!A1869="SIZE",'R.M Billets Reports'!B1869,P1869)</f>
      </c>
    </row>
    <row r="1871" spans="1:16" x14ac:dyDescent="0.25">
      <c r="A1871">
        <f>IF(OR('R.M Billets Reports'!A1870="Date-",'R.M Billets Reports'!A1870="Date:-"),IF(IF(IF(ISNUMBER(SEARCH("Party Name:-",'R.M Billets Reports'!D1870)),TRIM('R.M Billets Reports'!F1870),IF(ISNUMBER(SEARCH("Party Name-",'R.M Billets Reports'!D1870)),TRIM(MID('R.M Billets Reports'!D1870,SEARCH("-",'R.M Billets Reports'!D1870)+1,200)),""))&lt;&gt;"",IF(ISNUMBER(SEARCH("Party Name:-",'R.M Billets Reports'!D1870)),TRIM('R.M Billets Reports'!F1870),IF(ISNUMBER(SEARCH("Party Name-",'R.M Billets Reports'!D1870)),TRIM(MID('R.M Billets Reports'!D1870,SEARCH("-",'R.M Billets Reports'!D1870)+1,200)),"")),IF(ISNUMBER(SEARCH("Party Name:-",'R.M Billets Reports'!D1871)),TRIM('R.M Billets Reports'!F1871),IF(ISNUMBER(SEARCH("Party Name-",'R.M Billets Reports'!D1871)),TRIM(MID('R.M Billets Reports'!D1871,SEARCH("-",'R.M Billets Reports'!D1871)+1,200)),"")))="VRKP ISPAT PVT LTD","VRKP",IF(IF(IF(ISNUMBER(SEARCH("Party Name:-",'R.M Billets Reports'!D1870)),TRIM('R.M Billets Reports'!F1870),IF(ISNUMBER(SEARCH("Party Name-",'R.M Billets Reports'!D1870)),TRIM(MID('R.M Billets Reports'!D1870,SEARCH("-",'R.M Billets Reports'!D1870)+1,200)),""))&lt;&gt;"",IF(ISNUMBER(SEARCH("Party Name:-",'R.M Billets Reports'!D1870)),TRIM('R.M Billets Reports'!F1870),IF(ISNUMBER(SEARCH("Party Name-",'R.M Billets Reports'!D1870)),TRIM(MID('R.M Billets Reports'!D1870,SEARCH("-",'R.M Billets Reports'!D1870)+1,200)),"")),IF(ISNUMBER(SEARCH("Party Name:-",'R.M Billets Reports'!D1871)),TRIM('R.M Billets Reports'!F1871),IF(ISNUMBER(SEARCH("Party Name-",'R.M Billets Reports'!D1871)),TRIM(MID('R.M Billets Reports'!D1871,SEARCH("-",'R.M Billets Reports'!D1871)+1,200)),"")))="SHRI RADHE","SHREE RADHE",IF(IF(IF(ISNUMBER(SEARCH("Party Name:-",'R.M Billets Reports'!D1870)),TRIM('R.M Billets Reports'!F1870),IF(ISNUMBER(SEARCH("Party Name-",'R.M Billets Reports'!D1870)),TRIM(MID('R.M Billets Reports'!D1870,SEARCH("-",'R.M Billets Reports'!D1870)+1,200)),""))&lt;&gt;"",IF(ISNUMBER(SEARCH("Party Name:-",'R.M Billets Reports'!D1870)),TRIM('R.M Billets Reports'!F1870),IF(ISNUMBER(SEARCH("Party Name-",'R.M Billets Reports'!D1870)),TRIM(MID('R.M Billets Reports'!D1870,SEARCH("-",'R.M Billets Reports'!D1870)+1,200)),"")),IF(ISNUMBER(SEARCH("Party Name:-",'R.M Billets Reports'!D1871)),TRIM('R.M Billets Reports'!F1871),IF(ISNUMBER(SEARCH("Party Name-",'R.M Billets Reports'!D1871)),TRIM(MID('R.M Billets Reports'!D1871,SEARCH("-",'R.M Billets Reports'!D1871)+1,200)),"")))="SHREE RADHE SHAKTI SPONGE AND POWER PVT. LTD.","SHREE RADHE",IF(IF(ISNUMBER(SEARCH("Party Name:-",'R.M Billets Reports'!D1870)),TRIM('R.M Billets Reports'!F1870),IF(ISNUMBER(SEARCH("Party Name-",'R.M Billets Reports'!D1870)),TRIM(MID('R.M Billets Reports'!D1870,SEARCH("-",'R.M Billets Reports'!D1870)+1,200)),""))&lt;&gt;"",IF(ISNUMBER(SEARCH("Party Name:-",'R.M Billets Reports'!D1870)),TRIM('R.M Billets Reports'!F1870),IF(ISNUMBER(SEARCH("Party Name-",'R.M Billets Reports'!D1870)),TRIM(MID('R.M Billets Reports'!D1870,SEARCH("-",'R.M Billets Reports'!D1870)+1,200)),"")),IF(ISNUMBER(SEARCH("Party Name:-",'R.M Billets Reports'!D1871)),TRIM('R.M Billets Reports'!F1871),IF(ISNUMBER(SEARCH("Party Name-",'R.M Billets Reports'!D1871)),TRIM(MID('R.M Billets Reports'!D1871,SEARCH("-",'R.M Billets Reports'!D1871)+1,200)),"")))))),IF(ROW()=2,"",A1870))</f>
      </c>
      <c r="B1871">
        <f>IF(OR('R.M Billets Reports'!A1870="Date-",'R.M Billets Reports'!A1870="Date:-"),'R.M Billets Reports'!B1870,IF(ROW()=2,"",B1870))</f>
      </c>
      <c r="C1871">
        <f>IF('R.M Billets Reports'!A1870="V.No.",'R.M Billets Reports'!B1870,IF(ROW()=2,"",C1870))</f>
      </c>
      <c r="D1871">
        <f>IF('R.M Billets Reports'!A1870&lt;&gt;"",'R.M Billets Reports'!A1870,IF(ROW()=2,"",D1870))</f>
      </c>
      <c r="E1871">
        <f>IF('R.M Billets Reports'!B1870="","",TRIM('R.M Billets Reports'!B1870))</f>
      </c>
      <c r="F1871">
        <f>'R.M Billets Reports'!C1870</f>
      </c>
      <c r="G1871">
        <f>'R.M Billets Reports'!D1870</f>
      </c>
      <c r="H1871">
        <f>'R.M Billets Reports'!E1870</f>
      </c>
      <c r="I1871">
        <f>'R.M Billets Reports'!F1870</f>
      </c>
      <c r="J1871">
        <f>'R.M Billets Reports'!G1870</f>
      </c>
      <c r="K1871">
        <f>'R.M Billets Reports'!H1870</f>
      </c>
      <c r="L1871">
        <f>IF('R.M Billets Reports'!I1870="","",'R.M Billets Reports'!I1870)</f>
      </c>
      <c r="M1871">
        <f t="shared" si="58"/>
      </c>
      <c r="N1871">
        <f>IF('R.M Billets Reports'!J1870="","",'R.M Billets Reports'!J1870)</f>
      </c>
      <c r="O1871">
        <f t="shared" si="59"/>
      </c>
      <c r="P1871">
        <f>IF('R.M Billets Reports'!A1870="SIZE",'R.M Billets Reports'!B1870,P1870)</f>
      </c>
    </row>
    <row r="1872" spans="1:16" x14ac:dyDescent="0.25">
      <c r="A1872">
        <f>IF(OR('R.M Billets Reports'!A1871="Date-",'R.M Billets Reports'!A1871="Date:-"),IF(IF(IF(ISNUMBER(SEARCH("Party Name:-",'R.M Billets Reports'!D1871)),TRIM('R.M Billets Reports'!F1871),IF(ISNUMBER(SEARCH("Party Name-",'R.M Billets Reports'!D1871)),TRIM(MID('R.M Billets Reports'!D1871,SEARCH("-",'R.M Billets Reports'!D1871)+1,200)),""))&lt;&gt;"",IF(ISNUMBER(SEARCH("Party Name:-",'R.M Billets Reports'!D1871)),TRIM('R.M Billets Reports'!F1871),IF(ISNUMBER(SEARCH("Party Name-",'R.M Billets Reports'!D1871)),TRIM(MID('R.M Billets Reports'!D1871,SEARCH("-",'R.M Billets Reports'!D1871)+1,200)),"")),IF(ISNUMBER(SEARCH("Party Name:-",'R.M Billets Reports'!D1872)),TRIM('R.M Billets Reports'!F1872),IF(ISNUMBER(SEARCH("Party Name-",'R.M Billets Reports'!D1872)),TRIM(MID('R.M Billets Reports'!D1872,SEARCH("-",'R.M Billets Reports'!D1872)+1,200)),"")))="VRKP ISPAT PVT LTD","VRKP",IF(IF(IF(ISNUMBER(SEARCH("Party Name:-",'R.M Billets Reports'!D1871)),TRIM('R.M Billets Reports'!F1871),IF(ISNUMBER(SEARCH("Party Name-",'R.M Billets Reports'!D1871)),TRIM(MID('R.M Billets Reports'!D1871,SEARCH("-",'R.M Billets Reports'!D1871)+1,200)),""))&lt;&gt;"",IF(ISNUMBER(SEARCH("Party Name:-",'R.M Billets Reports'!D1871)),TRIM('R.M Billets Reports'!F1871),IF(ISNUMBER(SEARCH("Party Name-",'R.M Billets Reports'!D1871)),TRIM(MID('R.M Billets Reports'!D1871,SEARCH("-",'R.M Billets Reports'!D1871)+1,200)),"")),IF(ISNUMBER(SEARCH("Party Name:-",'R.M Billets Reports'!D1872)),TRIM('R.M Billets Reports'!F1872),IF(ISNUMBER(SEARCH("Party Name-",'R.M Billets Reports'!D1872)),TRIM(MID('R.M Billets Reports'!D1872,SEARCH("-",'R.M Billets Reports'!D1872)+1,200)),"")))="SHRI RADHE","SHREE RADHE",IF(IF(IF(ISNUMBER(SEARCH("Party Name:-",'R.M Billets Reports'!D1871)),TRIM('R.M Billets Reports'!F1871),IF(ISNUMBER(SEARCH("Party Name-",'R.M Billets Reports'!D1871)),TRIM(MID('R.M Billets Reports'!D1871,SEARCH("-",'R.M Billets Reports'!D1871)+1,200)),""))&lt;&gt;"",IF(ISNUMBER(SEARCH("Party Name:-",'R.M Billets Reports'!D1871)),TRIM('R.M Billets Reports'!F1871),IF(ISNUMBER(SEARCH("Party Name-",'R.M Billets Reports'!D1871)),TRIM(MID('R.M Billets Reports'!D1871,SEARCH("-",'R.M Billets Reports'!D1871)+1,200)),"")),IF(ISNUMBER(SEARCH("Party Name:-",'R.M Billets Reports'!D1872)),TRIM('R.M Billets Reports'!F1872),IF(ISNUMBER(SEARCH("Party Name-",'R.M Billets Reports'!D1872)),TRIM(MID('R.M Billets Reports'!D1872,SEARCH("-",'R.M Billets Reports'!D1872)+1,200)),"")))="SHREE RADHE SHAKTI SPONGE AND POWER PVT. LTD.","SHREE RADHE",IF(IF(ISNUMBER(SEARCH("Party Name:-",'R.M Billets Reports'!D1871)),TRIM('R.M Billets Reports'!F1871),IF(ISNUMBER(SEARCH("Party Name-",'R.M Billets Reports'!D1871)),TRIM(MID('R.M Billets Reports'!D1871,SEARCH("-",'R.M Billets Reports'!D1871)+1,200)),""))&lt;&gt;"",IF(ISNUMBER(SEARCH("Party Name:-",'R.M Billets Reports'!D1871)),TRIM('R.M Billets Reports'!F1871),IF(ISNUMBER(SEARCH("Party Name-",'R.M Billets Reports'!D1871)),TRIM(MID('R.M Billets Reports'!D1871,SEARCH("-",'R.M Billets Reports'!D1871)+1,200)),"")),IF(ISNUMBER(SEARCH("Party Name:-",'R.M Billets Reports'!D1872)),TRIM('R.M Billets Reports'!F1872),IF(ISNUMBER(SEARCH("Party Name-",'R.M Billets Reports'!D1872)),TRIM(MID('R.M Billets Reports'!D1872,SEARCH("-",'R.M Billets Reports'!D1872)+1,200)),"")))))),IF(ROW()=2,"",A1871))</f>
      </c>
      <c r="B1872">
        <f>IF(OR('R.M Billets Reports'!A1871="Date-",'R.M Billets Reports'!A1871="Date:-"),'R.M Billets Reports'!B1871,IF(ROW()=2,"",B1871))</f>
      </c>
      <c r="C1872">
        <f>IF('R.M Billets Reports'!A1871="V.No.",'R.M Billets Reports'!B1871,IF(ROW()=2,"",C1871))</f>
      </c>
      <c r="D1872">
        <f>IF('R.M Billets Reports'!A1871&lt;&gt;"",'R.M Billets Reports'!A1871,IF(ROW()=2,"",D1871))</f>
      </c>
      <c r="E1872">
        <f>IF('R.M Billets Reports'!B1871="","",TRIM('R.M Billets Reports'!B1871))</f>
      </c>
      <c r="F1872">
        <f>'R.M Billets Reports'!C1871</f>
      </c>
      <c r="G1872">
        <f>'R.M Billets Reports'!D1871</f>
      </c>
      <c r="H1872">
        <f>'R.M Billets Reports'!E1871</f>
      </c>
      <c r="I1872">
        <f>'R.M Billets Reports'!F1871</f>
      </c>
      <c r="J1872">
        <f>'R.M Billets Reports'!G1871</f>
      </c>
      <c r="K1872">
        <f>'R.M Billets Reports'!H1871</f>
      </c>
      <c r="L1872">
        <f>IF('R.M Billets Reports'!I1871="","",'R.M Billets Reports'!I1871)</f>
      </c>
      <c r="M1872">
        <f t="shared" si="58"/>
      </c>
      <c r="N1872">
        <f>IF('R.M Billets Reports'!J1871="","",'R.M Billets Reports'!J1871)</f>
      </c>
      <c r="O1872">
        <f t="shared" si="59"/>
      </c>
      <c r="P1872">
        <f>IF('R.M Billets Reports'!A1871="SIZE",'R.M Billets Reports'!B1871,P1871)</f>
      </c>
    </row>
    <row r="1873" spans="1:16" x14ac:dyDescent="0.25">
      <c r="A1873">
        <f>IF(OR('R.M Billets Reports'!A1872="Date-",'R.M Billets Reports'!A1872="Date:-"),IF(IF(IF(ISNUMBER(SEARCH("Party Name:-",'R.M Billets Reports'!D1872)),TRIM('R.M Billets Reports'!F1872),IF(ISNUMBER(SEARCH("Party Name-",'R.M Billets Reports'!D1872)),TRIM(MID('R.M Billets Reports'!D1872,SEARCH("-",'R.M Billets Reports'!D1872)+1,200)),""))&lt;&gt;"",IF(ISNUMBER(SEARCH("Party Name:-",'R.M Billets Reports'!D1872)),TRIM('R.M Billets Reports'!F1872),IF(ISNUMBER(SEARCH("Party Name-",'R.M Billets Reports'!D1872)),TRIM(MID('R.M Billets Reports'!D1872,SEARCH("-",'R.M Billets Reports'!D1872)+1,200)),"")),IF(ISNUMBER(SEARCH("Party Name:-",'R.M Billets Reports'!D1873)),TRIM('R.M Billets Reports'!F1873),IF(ISNUMBER(SEARCH("Party Name-",'R.M Billets Reports'!D1873)),TRIM(MID('R.M Billets Reports'!D1873,SEARCH("-",'R.M Billets Reports'!D1873)+1,200)),"")))="VRKP ISPAT PVT LTD","VRKP",IF(IF(IF(ISNUMBER(SEARCH("Party Name:-",'R.M Billets Reports'!D1872)),TRIM('R.M Billets Reports'!F1872),IF(ISNUMBER(SEARCH("Party Name-",'R.M Billets Reports'!D1872)),TRIM(MID('R.M Billets Reports'!D1872,SEARCH("-",'R.M Billets Reports'!D1872)+1,200)),""))&lt;&gt;"",IF(ISNUMBER(SEARCH("Party Name:-",'R.M Billets Reports'!D1872)),TRIM('R.M Billets Reports'!F1872),IF(ISNUMBER(SEARCH("Party Name-",'R.M Billets Reports'!D1872)),TRIM(MID('R.M Billets Reports'!D1872,SEARCH("-",'R.M Billets Reports'!D1872)+1,200)),"")),IF(ISNUMBER(SEARCH("Party Name:-",'R.M Billets Reports'!D1873)),TRIM('R.M Billets Reports'!F1873),IF(ISNUMBER(SEARCH("Party Name-",'R.M Billets Reports'!D1873)),TRIM(MID('R.M Billets Reports'!D1873,SEARCH("-",'R.M Billets Reports'!D1873)+1,200)),"")))="SHRI RADHE","SHREE RADHE",IF(IF(IF(ISNUMBER(SEARCH("Party Name:-",'R.M Billets Reports'!D1872)),TRIM('R.M Billets Reports'!F1872),IF(ISNUMBER(SEARCH("Party Name-",'R.M Billets Reports'!D1872)),TRIM(MID('R.M Billets Reports'!D1872,SEARCH("-",'R.M Billets Reports'!D1872)+1,200)),""))&lt;&gt;"",IF(ISNUMBER(SEARCH("Party Name:-",'R.M Billets Reports'!D1872)),TRIM('R.M Billets Reports'!F1872),IF(ISNUMBER(SEARCH("Party Name-",'R.M Billets Reports'!D1872)),TRIM(MID('R.M Billets Reports'!D1872,SEARCH("-",'R.M Billets Reports'!D1872)+1,200)),"")),IF(ISNUMBER(SEARCH("Party Name:-",'R.M Billets Reports'!D1873)),TRIM('R.M Billets Reports'!F1873),IF(ISNUMBER(SEARCH("Party Name-",'R.M Billets Reports'!D1873)),TRIM(MID('R.M Billets Reports'!D1873,SEARCH("-",'R.M Billets Reports'!D1873)+1,200)),"")))="SHREE RADHE SHAKTI SPONGE AND POWER PVT. LTD.","SHREE RADHE",IF(IF(ISNUMBER(SEARCH("Party Name:-",'R.M Billets Reports'!D1872)),TRIM('R.M Billets Reports'!F1872),IF(ISNUMBER(SEARCH("Party Name-",'R.M Billets Reports'!D1872)),TRIM(MID('R.M Billets Reports'!D1872,SEARCH("-",'R.M Billets Reports'!D1872)+1,200)),""))&lt;&gt;"",IF(ISNUMBER(SEARCH("Party Name:-",'R.M Billets Reports'!D1872)),TRIM('R.M Billets Reports'!F1872),IF(ISNUMBER(SEARCH("Party Name-",'R.M Billets Reports'!D1872)),TRIM(MID('R.M Billets Reports'!D1872,SEARCH("-",'R.M Billets Reports'!D1872)+1,200)),"")),IF(ISNUMBER(SEARCH("Party Name:-",'R.M Billets Reports'!D1873)),TRIM('R.M Billets Reports'!F1873),IF(ISNUMBER(SEARCH("Party Name-",'R.M Billets Reports'!D1873)),TRIM(MID('R.M Billets Reports'!D1873,SEARCH("-",'R.M Billets Reports'!D1873)+1,200)),"")))))),IF(ROW()=2,"",A1872))</f>
      </c>
      <c r="B1873">
        <f>IF(OR('R.M Billets Reports'!A1872="Date-",'R.M Billets Reports'!A1872="Date:-"),'R.M Billets Reports'!B1872,IF(ROW()=2,"",B1872))</f>
      </c>
      <c r="C1873">
        <f>IF('R.M Billets Reports'!A1872="V.No.",'R.M Billets Reports'!B1872,IF(ROW()=2,"",C1872))</f>
      </c>
      <c r="D1873">
        <f>IF('R.M Billets Reports'!A1872&lt;&gt;"",'R.M Billets Reports'!A1872,IF(ROW()=2,"",D1872))</f>
      </c>
      <c r="E1873">
        <f>IF('R.M Billets Reports'!B1872="","",TRIM('R.M Billets Reports'!B1872))</f>
      </c>
      <c r="F1873">
        <f>'R.M Billets Reports'!C1872</f>
      </c>
      <c r="G1873">
        <f>'R.M Billets Reports'!D1872</f>
      </c>
      <c r="H1873">
        <f>'R.M Billets Reports'!E1872</f>
      </c>
      <c r="I1873">
        <f>'R.M Billets Reports'!F1872</f>
      </c>
      <c r="J1873">
        <f>'R.M Billets Reports'!G1872</f>
      </c>
      <c r="K1873">
        <f>'R.M Billets Reports'!H1872</f>
      </c>
      <c r="L1873">
        <f>IF('R.M Billets Reports'!I1872="","",'R.M Billets Reports'!I1872)</f>
      </c>
      <c r="M1873">
        <f t="shared" si="58"/>
      </c>
      <c r="N1873">
        <f>IF('R.M Billets Reports'!J1872="","",'R.M Billets Reports'!J1872)</f>
      </c>
      <c r="O1873">
        <f t="shared" si="59"/>
      </c>
      <c r="P1873">
        <f>IF('R.M Billets Reports'!A1872="SIZE",'R.M Billets Reports'!B1872,P1872)</f>
      </c>
    </row>
    <row r="1874" spans="1:16" x14ac:dyDescent="0.25">
      <c r="A1874">
        <f>IF(OR('R.M Billets Reports'!A1873="Date-",'R.M Billets Reports'!A1873="Date:-"),IF(IF(IF(ISNUMBER(SEARCH("Party Name:-",'R.M Billets Reports'!D1873)),TRIM('R.M Billets Reports'!F1873),IF(ISNUMBER(SEARCH("Party Name-",'R.M Billets Reports'!D1873)),TRIM(MID('R.M Billets Reports'!D1873,SEARCH("-",'R.M Billets Reports'!D1873)+1,200)),""))&lt;&gt;"",IF(ISNUMBER(SEARCH("Party Name:-",'R.M Billets Reports'!D1873)),TRIM('R.M Billets Reports'!F1873),IF(ISNUMBER(SEARCH("Party Name-",'R.M Billets Reports'!D1873)),TRIM(MID('R.M Billets Reports'!D1873,SEARCH("-",'R.M Billets Reports'!D1873)+1,200)),"")),IF(ISNUMBER(SEARCH("Party Name:-",'R.M Billets Reports'!D1874)),TRIM('R.M Billets Reports'!F1874),IF(ISNUMBER(SEARCH("Party Name-",'R.M Billets Reports'!D1874)),TRIM(MID('R.M Billets Reports'!D1874,SEARCH("-",'R.M Billets Reports'!D1874)+1,200)),"")))="VRKP ISPAT PVT LTD","VRKP",IF(IF(IF(ISNUMBER(SEARCH("Party Name:-",'R.M Billets Reports'!D1873)),TRIM('R.M Billets Reports'!F1873),IF(ISNUMBER(SEARCH("Party Name-",'R.M Billets Reports'!D1873)),TRIM(MID('R.M Billets Reports'!D1873,SEARCH("-",'R.M Billets Reports'!D1873)+1,200)),""))&lt;&gt;"",IF(ISNUMBER(SEARCH("Party Name:-",'R.M Billets Reports'!D1873)),TRIM('R.M Billets Reports'!F1873),IF(ISNUMBER(SEARCH("Party Name-",'R.M Billets Reports'!D1873)),TRIM(MID('R.M Billets Reports'!D1873,SEARCH("-",'R.M Billets Reports'!D1873)+1,200)),"")),IF(ISNUMBER(SEARCH("Party Name:-",'R.M Billets Reports'!D1874)),TRIM('R.M Billets Reports'!F1874),IF(ISNUMBER(SEARCH("Party Name-",'R.M Billets Reports'!D1874)),TRIM(MID('R.M Billets Reports'!D1874,SEARCH("-",'R.M Billets Reports'!D1874)+1,200)),"")))="SHRI RADHE","SHREE RADHE",IF(IF(IF(ISNUMBER(SEARCH("Party Name:-",'R.M Billets Reports'!D1873)),TRIM('R.M Billets Reports'!F1873),IF(ISNUMBER(SEARCH("Party Name-",'R.M Billets Reports'!D1873)),TRIM(MID('R.M Billets Reports'!D1873,SEARCH("-",'R.M Billets Reports'!D1873)+1,200)),""))&lt;&gt;"",IF(ISNUMBER(SEARCH("Party Name:-",'R.M Billets Reports'!D1873)),TRIM('R.M Billets Reports'!F1873),IF(ISNUMBER(SEARCH("Party Name-",'R.M Billets Reports'!D1873)),TRIM(MID('R.M Billets Reports'!D1873,SEARCH("-",'R.M Billets Reports'!D1873)+1,200)),"")),IF(ISNUMBER(SEARCH("Party Name:-",'R.M Billets Reports'!D1874)),TRIM('R.M Billets Reports'!F1874),IF(ISNUMBER(SEARCH("Party Name-",'R.M Billets Reports'!D1874)),TRIM(MID('R.M Billets Reports'!D1874,SEARCH("-",'R.M Billets Reports'!D1874)+1,200)),"")))="SHREE RADHE SHAKTI SPONGE AND POWER PVT. LTD.","SHREE RADHE",IF(IF(ISNUMBER(SEARCH("Party Name:-",'R.M Billets Reports'!D1873)),TRIM('R.M Billets Reports'!F1873),IF(ISNUMBER(SEARCH("Party Name-",'R.M Billets Reports'!D1873)),TRIM(MID('R.M Billets Reports'!D1873,SEARCH("-",'R.M Billets Reports'!D1873)+1,200)),""))&lt;&gt;"",IF(ISNUMBER(SEARCH("Party Name:-",'R.M Billets Reports'!D1873)),TRIM('R.M Billets Reports'!F1873),IF(ISNUMBER(SEARCH("Party Name-",'R.M Billets Reports'!D1873)),TRIM(MID('R.M Billets Reports'!D1873,SEARCH("-",'R.M Billets Reports'!D1873)+1,200)),"")),IF(ISNUMBER(SEARCH("Party Name:-",'R.M Billets Reports'!D1874)),TRIM('R.M Billets Reports'!F1874),IF(ISNUMBER(SEARCH("Party Name-",'R.M Billets Reports'!D1874)),TRIM(MID('R.M Billets Reports'!D1874,SEARCH("-",'R.M Billets Reports'!D1874)+1,200)),"")))))),IF(ROW()=2,"",A1873))</f>
      </c>
      <c r="B1874">
        <f>IF(OR('R.M Billets Reports'!A1873="Date-",'R.M Billets Reports'!A1873="Date:-"),'R.M Billets Reports'!B1873,IF(ROW()=2,"",B1873))</f>
      </c>
      <c r="C1874">
        <f>IF('R.M Billets Reports'!A1873="V.No.",'R.M Billets Reports'!B1873,IF(ROW()=2,"",C1873))</f>
      </c>
      <c r="D1874">
        <f>IF('R.M Billets Reports'!A1873&lt;&gt;"",'R.M Billets Reports'!A1873,IF(ROW()=2,"",D1873))</f>
      </c>
      <c r="E1874">
        <f>IF('R.M Billets Reports'!B1873="","",TRIM('R.M Billets Reports'!B1873))</f>
      </c>
      <c r="F1874">
        <f>'R.M Billets Reports'!C1873</f>
      </c>
      <c r="G1874">
        <f>'R.M Billets Reports'!D1873</f>
      </c>
      <c r="H1874">
        <f>'R.M Billets Reports'!E1873</f>
      </c>
      <c r="I1874">
        <f>'R.M Billets Reports'!F1873</f>
      </c>
      <c r="J1874">
        <f>'R.M Billets Reports'!G1873</f>
      </c>
      <c r="K1874">
        <f>'R.M Billets Reports'!H1873</f>
      </c>
      <c r="L1874">
        <f>IF('R.M Billets Reports'!I1873="","",'R.M Billets Reports'!I1873)</f>
      </c>
      <c r="M1874">
        <f t="shared" si="58"/>
      </c>
      <c r="N1874">
        <f>IF('R.M Billets Reports'!J1873="","",'R.M Billets Reports'!J1873)</f>
      </c>
      <c r="O1874">
        <f t="shared" si="59"/>
      </c>
      <c r="P1874">
        <f>IF('R.M Billets Reports'!A1873="SIZE",'R.M Billets Reports'!B1873,P1873)</f>
      </c>
    </row>
    <row r="1875" spans="1:16" x14ac:dyDescent="0.25">
      <c r="A1875">
        <f>IF(OR('R.M Billets Reports'!A1874="Date-",'R.M Billets Reports'!A1874="Date:-"),IF(IF(IF(ISNUMBER(SEARCH("Party Name:-",'R.M Billets Reports'!D1874)),TRIM('R.M Billets Reports'!F1874),IF(ISNUMBER(SEARCH("Party Name-",'R.M Billets Reports'!D1874)),TRIM(MID('R.M Billets Reports'!D1874,SEARCH("-",'R.M Billets Reports'!D1874)+1,200)),""))&lt;&gt;"",IF(ISNUMBER(SEARCH("Party Name:-",'R.M Billets Reports'!D1874)),TRIM('R.M Billets Reports'!F1874),IF(ISNUMBER(SEARCH("Party Name-",'R.M Billets Reports'!D1874)),TRIM(MID('R.M Billets Reports'!D1874,SEARCH("-",'R.M Billets Reports'!D1874)+1,200)),"")),IF(ISNUMBER(SEARCH("Party Name:-",'R.M Billets Reports'!D1875)),TRIM('R.M Billets Reports'!F1875),IF(ISNUMBER(SEARCH("Party Name-",'R.M Billets Reports'!D1875)),TRIM(MID('R.M Billets Reports'!D1875,SEARCH("-",'R.M Billets Reports'!D1875)+1,200)),"")))="VRKP ISPAT PVT LTD","VRKP",IF(IF(IF(ISNUMBER(SEARCH("Party Name:-",'R.M Billets Reports'!D1874)),TRIM('R.M Billets Reports'!F1874),IF(ISNUMBER(SEARCH("Party Name-",'R.M Billets Reports'!D1874)),TRIM(MID('R.M Billets Reports'!D1874,SEARCH("-",'R.M Billets Reports'!D1874)+1,200)),""))&lt;&gt;"",IF(ISNUMBER(SEARCH("Party Name:-",'R.M Billets Reports'!D1874)),TRIM('R.M Billets Reports'!F1874),IF(ISNUMBER(SEARCH("Party Name-",'R.M Billets Reports'!D1874)),TRIM(MID('R.M Billets Reports'!D1874,SEARCH("-",'R.M Billets Reports'!D1874)+1,200)),"")),IF(ISNUMBER(SEARCH("Party Name:-",'R.M Billets Reports'!D1875)),TRIM('R.M Billets Reports'!F1875),IF(ISNUMBER(SEARCH("Party Name-",'R.M Billets Reports'!D1875)),TRIM(MID('R.M Billets Reports'!D1875,SEARCH("-",'R.M Billets Reports'!D1875)+1,200)),"")))="SHRI RADHE","SHREE RADHE",IF(IF(IF(ISNUMBER(SEARCH("Party Name:-",'R.M Billets Reports'!D1874)),TRIM('R.M Billets Reports'!F1874),IF(ISNUMBER(SEARCH("Party Name-",'R.M Billets Reports'!D1874)),TRIM(MID('R.M Billets Reports'!D1874,SEARCH("-",'R.M Billets Reports'!D1874)+1,200)),""))&lt;&gt;"",IF(ISNUMBER(SEARCH("Party Name:-",'R.M Billets Reports'!D1874)),TRIM('R.M Billets Reports'!F1874),IF(ISNUMBER(SEARCH("Party Name-",'R.M Billets Reports'!D1874)),TRIM(MID('R.M Billets Reports'!D1874,SEARCH("-",'R.M Billets Reports'!D1874)+1,200)),"")),IF(ISNUMBER(SEARCH("Party Name:-",'R.M Billets Reports'!D1875)),TRIM('R.M Billets Reports'!F1875),IF(ISNUMBER(SEARCH("Party Name-",'R.M Billets Reports'!D1875)),TRIM(MID('R.M Billets Reports'!D1875,SEARCH("-",'R.M Billets Reports'!D1875)+1,200)),"")))="SHREE RADHE SHAKTI SPONGE AND POWER PVT. LTD.","SHREE RADHE",IF(IF(ISNUMBER(SEARCH("Party Name:-",'R.M Billets Reports'!D1874)),TRIM('R.M Billets Reports'!F1874),IF(ISNUMBER(SEARCH("Party Name-",'R.M Billets Reports'!D1874)),TRIM(MID('R.M Billets Reports'!D1874,SEARCH("-",'R.M Billets Reports'!D1874)+1,200)),""))&lt;&gt;"",IF(ISNUMBER(SEARCH("Party Name:-",'R.M Billets Reports'!D1874)),TRIM('R.M Billets Reports'!F1874),IF(ISNUMBER(SEARCH("Party Name-",'R.M Billets Reports'!D1874)),TRIM(MID('R.M Billets Reports'!D1874,SEARCH("-",'R.M Billets Reports'!D1874)+1,200)),"")),IF(ISNUMBER(SEARCH("Party Name:-",'R.M Billets Reports'!D1875)),TRIM('R.M Billets Reports'!F1875),IF(ISNUMBER(SEARCH("Party Name-",'R.M Billets Reports'!D1875)),TRIM(MID('R.M Billets Reports'!D1875,SEARCH("-",'R.M Billets Reports'!D1875)+1,200)),"")))))),IF(ROW()=2,"",A1874))</f>
      </c>
      <c r="B1875">
        <f>IF(OR('R.M Billets Reports'!A1874="Date-",'R.M Billets Reports'!A1874="Date:-"),'R.M Billets Reports'!B1874,IF(ROW()=2,"",B1874))</f>
      </c>
      <c r="C1875">
        <f>IF('R.M Billets Reports'!A1874="V.No.",'R.M Billets Reports'!B1874,IF(ROW()=2,"",C1874))</f>
      </c>
      <c r="D1875">
        <f>IF('R.M Billets Reports'!A1874&lt;&gt;"",'R.M Billets Reports'!A1874,IF(ROW()=2,"",D1874))</f>
      </c>
      <c r="E1875">
        <f>IF('R.M Billets Reports'!B1874="","",TRIM('R.M Billets Reports'!B1874))</f>
      </c>
      <c r="F1875">
        <f>'R.M Billets Reports'!C1874</f>
      </c>
      <c r="G1875">
        <f>'R.M Billets Reports'!D1874</f>
      </c>
      <c r="H1875">
        <f>'R.M Billets Reports'!E1874</f>
      </c>
      <c r="I1875">
        <f>'R.M Billets Reports'!F1874</f>
      </c>
      <c r="J1875">
        <f>'R.M Billets Reports'!G1874</f>
      </c>
      <c r="K1875">
        <f>'R.M Billets Reports'!H1874</f>
      </c>
      <c r="L1875">
        <f>IF('R.M Billets Reports'!I1874="","",'R.M Billets Reports'!I1874)</f>
      </c>
      <c r="M1875">
        <f t="shared" si="58"/>
      </c>
      <c r="N1875">
        <f>IF('R.M Billets Reports'!J1874="","",'R.M Billets Reports'!J1874)</f>
      </c>
      <c r="O1875">
        <f t="shared" si="59"/>
      </c>
      <c r="P1875">
        <f>IF('R.M Billets Reports'!A1874="SIZE",'R.M Billets Reports'!B1874,P1874)</f>
      </c>
    </row>
    <row r="1876" spans="1:16" x14ac:dyDescent="0.25">
      <c r="A1876">
        <f>IF(OR('R.M Billets Reports'!A1875="Date-",'R.M Billets Reports'!A1875="Date:-"),IF(IF(IF(ISNUMBER(SEARCH("Party Name:-",'R.M Billets Reports'!D1875)),TRIM('R.M Billets Reports'!F1875),IF(ISNUMBER(SEARCH("Party Name-",'R.M Billets Reports'!D1875)),TRIM(MID('R.M Billets Reports'!D1875,SEARCH("-",'R.M Billets Reports'!D1875)+1,200)),""))&lt;&gt;"",IF(ISNUMBER(SEARCH("Party Name:-",'R.M Billets Reports'!D1875)),TRIM('R.M Billets Reports'!F1875),IF(ISNUMBER(SEARCH("Party Name-",'R.M Billets Reports'!D1875)),TRIM(MID('R.M Billets Reports'!D1875,SEARCH("-",'R.M Billets Reports'!D1875)+1,200)),"")),IF(ISNUMBER(SEARCH("Party Name:-",'R.M Billets Reports'!D1876)),TRIM('R.M Billets Reports'!F1876),IF(ISNUMBER(SEARCH("Party Name-",'R.M Billets Reports'!D1876)),TRIM(MID('R.M Billets Reports'!D1876,SEARCH("-",'R.M Billets Reports'!D1876)+1,200)),"")))="VRKP ISPAT PVT LTD","VRKP",IF(IF(IF(ISNUMBER(SEARCH("Party Name:-",'R.M Billets Reports'!D1875)),TRIM('R.M Billets Reports'!F1875),IF(ISNUMBER(SEARCH("Party Name-",'R.M Billets Reports'!D1875)),TRIM(MID('R.M Billets Reports'!D1875,SEARCH("-",'R.M Billets Reports'!D1875)+1,200)),""))&lt;&gt;"",IF(ISNUMBER(SEARCH("Party Name:-",'R.M Billets Reports'!D1875)),TRIM('R.M Billets Reports'!F1875),IF(ISNUMBER(SEARCH("Party Name-",'R.M Billets Reports'!D1875)),TRIM(MID('R.M Billets Reports'!D1875,SEARCH("-",'R.M Billets Reports'!D1875)+1,200)),"")),IF(ISNUMBER(SEARCH("Party Name:-",'R.M Billets Reports'!D1876)),TRIM('R.M Billets Reports'!F1876),IF(ISNUMBER(SEARCH("Party Name-",'R.M Billets Reports'!D1876)),TRIM(MID('R.M Billets Reports'!D1876,SEARCH("-",'R.M Billets Reports'!D1876)+1,200)),"")))="SHRI RADHE","SHREE RADHE",IF(IF(IF(ISNUMBER(SEARCH("Party Name:-",'R.M Billets Reports'!D1875)),TRIM('R.M Billets Reports'!F1875),IF(ISNUMBER(SEARCH("Party Name-",'R.M Billets Reports'!D1875)),TRIM(MID('R.M Billets Reports'!D1875,SEARCH("-",'R.M Billets Reports'!D1875)+1,200)),""))&lt;&gt;"",IF(ISNUMBER(SEARCH("Party Name:-",'R.M Billets Reports'!D1875)),TRIM('R.M Billets Reports'!F1875),IF(ISNUMBER(SEARCH("Party Name-",'R.M Billets Reports'!D1875)),TRIM(MID('R.M Billets Reports'!D1875,SEARCH("-",'R.M Billets Reports'!D1875)+1,200)),"")),IF(ISNUMBER(SEARCH("Party Name:-",'R.M Billets Reports'!D1876)),TRIM('R.M Billets Reports'!F1876),IF(ISNUMBER(SEARCH("Party Name-",'R.M Billets Reports'!D1876)),TRIM(MID('R.M Billets Reports'!D1876,SEARCH("-",'R.M Billets Reports'!D1876)+1,200)),"")))="SHREE RADHE SHAKTI SPONGE AND POWER PVT. LTD.","SHREE RADHE",IF(IF(ISNUMBER(SEARCH("Party Name:-",'R.M Billets Reports'!D1875)),TRIM('R.M Billets Reports'!F1875),IF(ISNUMBER(SEARCH("Party Name-",'R.M Billets Reports'!D1875)),TRIM(MID('R.M Billets Reports'!D1875,SEARCH("-",'R.M Billets Reports'!D1875)+1,200)),""))&lt;&gt;"",IF(ISNUMBER(SEARCH("Party Name:-",'R.M Billets Reports'!D1875)),TRIM('R.M Billets Reports'!F1875),IF(ISNUMBER(SEARCH("Party Name-",'R.M Billets Reports'!D1875)),TRIM(MID('R.M Billets Reports'!D1875,SEARCH("-",'R.M Billets Reports'!D1875)+1,200)),"")),IF(ISNUMBER(SEARCH("Party Name:-",'R.M Billets Reports'!D1876)),TRIM('R.M Billets Reports'!F1876),IF(ISNUMBER(SEARCH("Party Name-",'R.M Billets Reports'!D1876)),TRIM(MID('R.M Billets Reports'!D1876,SEARCH("-",'R.M Billets Reports'!D1876)+1,200)),"")))))),IF(ROW()=2,"",A1875))</f>
      </c>
      <c r="B1876">
        <f>IF(OR('R.M Billets Reports'!A1875="Date-",'R.M Billets Reports'!A1875="Date:-"),'R.M Billets Reports'!B1875,IF(ROW()=2,"",B1875))</f>
      </c>
      <c r="C1876">
        <f>IF('R.M Billets Reports'!A1875="V.No.",'R.M Billets Reports'!B1875,IF(ROW()=2,"",C1875))</f>
      </c>
      <c r="D1876">
        <f>IF('R.M Billets Reports'!A1875&lt;&gt;"",'R.M Billets Reports'!A1875,IF(ROW()=2,"",D1875))</f>
      </c>
      <c r="E1876">
        <f>IF('R.M Billets Reports'!B1875="","",TRIM('R.M Billets Reports'!B1875))</f>
      </c>
      <c r="F1876">
        <f>'R.M Billets Reports'!C1875</f>
      </c>
      <c r="G1876">
        <f>'R.M Billets Reports'!D1875</f>
      </c>
      <c r="H1876">
        <f>'R.M Billets Reports'!E1875</f>
      </c>
      <c r="I1876">
        <f>'R.M Billets Reports'!F1875</f>
      </c>
      <c r="J1876">
        <f>'R.M Billets Reports'!G1875</f>
      </c>
      <c r="K1876">
        <f>'R.M Billets Reports'!H1875</f>
      </c>
      <c r="L1876">
        <f>IF('R.M Billets Reports'!I1875="","",'R.M Billets Reports'!I1875)</f>
      </c>
      <c r="M1876">
        <f t="shared" si="58"/>
      </c>
      <c r="N1876">
        <f>IF('R.M Billets Reports'!J1875="","",'R.M Billets Reports'!J1875)</f>
      </c>
      <c r="O1876">
        <f t="shared" si="59"/>
      </c>
      <c r="P1876">
        <f>IF('R.M Billets Reports'!A1875="SIZE",'R.M Billets Reports'!B1875,P1875)</f>
      </c>
    </row>
    <row r="1877" spans="1:16" x14ac:dyDescent="0.25">
      <c r="A1877">
        <f>IF(OR('R.M Billets Reports'!A1876="Date-",'R.M Billets Reports'!A1876="Date:-"),IF(IF(IF(ISNUMBER(SEARCH("Party Name:-",'R.M Billets Reports'!D1876)),TRIM('R.M Billets Reports'!F1876),IF(ISNUMBER(SEARCH("Party Name-",'R.M Billets Reports'!D1876)),TRIM(MID('R.M Billets Reports'!D1876,SEARCH("-",'R.M Billets Reports'!D1876)+1,200)),""))&lt;&gt;"",IF(ISNUMBER(SEARCH("Party Name:-",'R.M Billets Reports'!D1876)),TRIM('R.M Billets Reports'!F1876),IF(ISNUMBER(SEARCH("Party Name-",'R.M Billets Reports'!D1876)),TRIM(MID('R.M Billets Reports'!D1876,SEARCH("-",'R.M Billets Reports'!D1876)+1,200)),"")),IF(ISNUMBER(SEARCH("Party Name:-",'R.M Billets Reports'!D1877)),TRIM('R.M Billets Reports'!F1877),IF(ISNUMBER(SEARCH("Party Name-",'R.M Billets Reports'!D1877)),TRIM(MID('R.M Billets Reports'!D1877,SEARCH("-",'R.M Billets Reports'!D1877)+1,200)),"")))="VRKP ISPAT PVT LTD","VRKP",IF(IF(IF(ISNUMBER(SEARCH("Party Name:-",'R.M Billets Reports'!D1876)),TRIM('R.M Billets Reports'!F1876),IF(ISNUMBER(SEARCH("Party Name-",'R.M Billets Reports'!D1876)),TRIM(MID('R.M Billets Reports'!D1876,SEARCH("-",'R.M Billets Reports'!D1876)+1,200)),""))&lt;&gt;"",IF(ISNUMBER(SEARCH("Party Name:-",'R.M Billets Reports'!D1876)),TRIM('R.M Billets Reports'!F1876),IF(ISNUMBER(SEARCH("Party Name-",'R.M Billets Reports'!D1876)),TRIM(MID('R.M Billets Reports'!D1876,SEARCH("-",'R.M Billets Reports'!D1876)+1,200)),"")),IF(ISNUMBER(SEARCH("Party Name:-",'R.M Billets Reports'!D1877)),TRIM('R.M Billets Reports'!F1877),IF(ISNUMBER(SEARCH("Party Name-",'R.M Billets Reports'!D1877)),TRIM(MID('R.M Billets Reports'!D1877,SEARCH("-",'R.M Billets Reports'!D1877)+1,200)),"")))="SHRI RADHE","SHREE RADHE",IF(IF(IF(ISNUMBER(SEARCH("Party Name:-",'R.M Billets Reports'!D1876)),TRIM('R.M Billets Reports'!F1876),IF(ISNUMBER(SEARCH("Party Name-",'R.M Billets Reports'!D1876)),TRIM(MID('R.M Billets Reports'!D1876,SEARCH("-",'R.M Billets Reports'!D1876)+1,200)),""))&lt;&gt;"",IF(ISNUMBER(SEARCH("Party Name:-",'R.M Billets Reports'!D1876)),TRIM('R.M Billets Reports'!F1876),IF(ISNUMBER(SEARCH("Party Name-",'R.M Billets Reports'!D1876)),TRIM(MID('R.M Billets Reports'!D1876,SEARCH("-",'R.M Billets Reports'!D1876)+1,200)),"")),IF(ISNUMBER(SEARCH("Party Name:-",'R.M Billets Reports'!D1877)),TRIM('R.M Billets Reports'!F1877),IF(ISNUMBER(SEARCH("Party Name-",'R.M Billets Reports'!D1877)),TRIM(MID('R.M Billets Reports'!D1877,SEARCH("-",'R.M Billets Reports'!D1877)+1,200)),"")))="SHREE RADHE SHAKTI SPONGE AND POWER PVT. LTD.","SHREE RADHE",IF(IF(ISNUMBER(SEARCH("Party Name:-",'R.M Billets Reports'!D1876)),TRIM('R.M Billets Reports'!F1876),IF(ISNUMBER(SEARCH("Party Name-",'R.M Billets Reports'!D1876)),TRIM(MID('R.M Billets Reports'!D1876,SEARCH("-",'R.M Billets Reports'!D1876)+1,200)),""))&lt;&gt;"",IF(ISNUMBER(SEARCH("Party Name:-",'R.M Billets Reports'!D1876)),TRIM('R.M Billets Reports'!F1876),IF(ISNUMBER(SEARCH("Party Name-",'R.M Billets Reports'!D1876)),TRIM(MID('R.M Billets Reports'!D1876,SEARCH("-",'R.M Billets Reports'!D1876)+1,200)),"")),IF(ISNUMBER(SEARCH("Party Name:-",'R.M Billets Reports'!D1877)),TRIM('R.M Billets Reports'!F1877),IF(ISNUMBER(SEARCH("Party Name-",'R.M Billets Reports'!D1877)),TRIM(MID('R.M Billets Reports'!D1877,SEARCH("-",'R.M Billets Reports'!D1877)+1,200)),"")))))),IF(ROW()=2,"",A1876))</f>
      </c>
      <c r="B1877">
        <f>IF(OR('R.M Billets Reports'!A1876="Date-",'R.M Billets Reports'!A1876="Date:-"),'R.M Billets Reports'!B1876,IF(ROW()=2,"",B1876))</f>
      </c>
      <c r="C1877">
        <f>IF('R.M Billets Reports'!A1876="V.No.",'R.M Billets Reports'!B1876,IF(ROW()=2,"",C1876))</f>
      </c>
      <c r="D1877">
        <f>IF('R.M Billets Reports'!A1876&lt;&gt;"",'R.M Billets Reports'!A1876,IF(ROW()=2,"",D1876))</f>
      </c>
      <c r="E1877">
        <f>IF('R.M Billets Reports'!B1876="","",TRIM('R.M Billets Reports'!B1876))</f>
      </c>
      <c r="F1877">
        <f>'R.M Billets Reports'!C1876</f>
      </c>
      <c r="G1877">
        <f>'R.M Billets Reports'!D1876</f>
      </c>
      <c r="H1877">
        <f>'R.M Billets Reports'!E1876</f>
      </c>
      <c r="I1877">
        <f>'R.M Billets Reports'!F1876</f>
      </c>
      <c r="J1877">
        <f>'R.M Billets Reports'!G1876</f>
      </c>
      <c r="K1877">
        <f>'R.M Billets Reports'!H1876</f>
      </c>
      <c r="L1877">
        <f>IF('R.M Billets Reports'!I1876="","",'R.M Billets Reports'!I1876)</f>
      </c>
      <c r="M1877">
        <f t="shared" si="58"/>
      </c>
      <c r="N1877">
        <f>IF('R.M Billets Reports'!J1876="","",'R.M Billets Reports'!J1876)</f>
      </c>
      <c r="O1877">
        <f t="shared" si="59"/>
      </c>
      <c r="P1877">
        <f>IF('R.M Billets Reports'!A1876="SIZE",'R.M Billets Reports'!B1876,P1876)</f>
      </c>
    </row>
    <row r="1878" spans="1:16" x14ac:dyDescent="0.25">
      <c r="A1878">
        <f>IF(OR('R.M Billets Reports'!A1877="Date-",'R.M Billets Reports'!A1877="Date:-"),IF(IF(IF(ISNUMBER(SEARCH("Party Name:-",'R.M Billets Reports'!D1877)),TRIM('R.M Billets Reports'!F1877),IF(ISNUMBER(SEARCH("Party Name-",'R.M Billets Reports'!D1877)),TRIM(MID('R.M Billets Reports'!D1877,SEARCH("-",'R.M Billets Reports'!D1877)+1,200)),""))&lt;&gt;"",IF(ISNUMBER(SEARCH("Party Name:-",'R.M Billets Reports'!D1877)),TRIM('R.M Billets Reports'!F1877),IF(ISNUMBER(SEARCH("Party Name-",'R.M Billets Reports'!D1877)),TRIM(MID('R.M Billets Reports'!D1877,SEARCH("-",'R.M Billets Reports'!D1877)+1,200)),"")),IF(ISNUMBER(SEARCH("Party Name:-",'R.M Billets Reports'!D1878)),TRIM('R.M Billets Reports'!F1878),IF(ISNUMBER(SEARCH("Party Name-",'R.M Billets Reports'!D1878)),TRIM(MID('R.M Billets Reports'!D1878,SEARCH("-",'R.M Billets Reports'!D1878)+1,200)),"")))="VRKP ISPAT PVT LTD","VRKP",IF(IF(IF(ISNUMBER(SEARCH("Party Name:-",'R.M Billets Reports'!D1877)),TRIM('R.M Billets Reports'!F1877),IF(ISNUMBER(SEARCH("Party Name-",'R.M Billets Reports'!D1877)),TRIM(MID('R.M Billets Reports'!D1877,SEARCH("-",'R.M Billets Reports'!D1877)+1,200)),""))&lt;&gt;"",IF(ISNUMBER(SEARCH("Party Name:-",'R.M Billets Reports'!D1877)),TRIM('R.M Billets Reports'!F1877),IF(ISNUMBER(SEARCH("Party Name-",'R.M Billets Reports'!D1877)),TRIM(MID('R.M Billets Reports'!D1877,SEARCH("-",'R.M Billets Reports'!D1877)+1,200)),"")),IF(ISNUMBER(SEARCH("Party Name:-",'R.M Billets Reports'!D1878)),TRIM('R.M Billets Reports'!F1878),IF(ISNUMBER(SEARCH("Party Name-",'R.M Billets Reports'!D1878)),TRIM(MID('R.M Billets Reports'!D1878,SEARCH("-",'R.M Billets Reports'!D1878)+1,200)),"")))="SHRI RADHE","SHREE RADHE",IF(IF(IF(ISNUMBER(SEARCH("Party Name:-",'R.M Billets Reports'!D1877)),TRIM('R.M Billets Reports'!F1877),IF(ISNUMBER(SEARCH("Party Name-",'R.M Billets Reports'!D1877)),TRIM(MID('R.M Billets Reports'!D1877,SEARCH("-",'R.M Billets Reports'!D1877)+1,200)),""))&lt;&gt;"",IF(ISNUMBER(SEARCH("Party Name:-",'R.M Billets Reports'!D1877)),TRIM('R.M Billets Reports'!F1877),IF(ISNUMBER(SEARCH("Party Name-",'R.M Billets Reports'!D1877)),TRIM(MID('R.M Billets Reports'!D1877,SEARCH("-",'R.M Billets Reports'!D1877)+1,200)),"")),IF(ISNUMBER(SEARCH("Party Name:-",'R.M Billets Reports'!D1878)),TRIM('R.M Billets Reports'!F1878),IF(ISNUMBER(SEARCH("Party Name-",'R.M Billets Reports'!D1878)),TRIM(MID('R.M Billets Reports'!D1878,SEARCH("-",'R.M Billets Reports'!D1878)+1,200)),"")))="SHREE RADHE SHAKTI SPONGE AND POWER PVT. LTD.","SHREE RADHE",IF(IF(ISNUMBER(SEARCH("Party Name:-",'R.M Billets Reports'!D1877)),TRIM('R.M Billets Reports'!F1877),IF(ISNUMBER(SEARCH("Party Name-",'R.M Billets Reports'!D1877)),TRIM(MID('R.M Billets Reports'!D1877,SEARCH("-",'R.M Billets Reports'!D1877)+1,200)),""))&lt;&gt;"",IF(ISNUMBER(SEARCH("Party Name:-",'R.M Billets Reports'!D1877)),TRIM('R.M Billets Reports'!F1877),IF(ISNUMBER(SEARCH("Party Name-",'R.M Billets Reports'!D1877)),TRIM(MID('R.M Billets Reports'!D1877,SEARCH("-",'R.M Billets Reports'!D1877)+1,200)),"")),IF(ISNUMBER(SEARCH("Party Name:-",'R.M Billets Reports'!D1878)),TRIM('R.M Billets Reports'!F1878),IF(ISNUMBER(SEARCH("Party Name-",'R.M Billets Reports'!D1878)),TRIM(MID('R.M Billets Reports'!D1878,SEARCH("-",'R.M Billets Reports'!D1878)+1,200)),"")))))),IF(ROW()=2,"",A1877))</f>
      </c>
      <c r="B1878">
        <f>IF(OR('R.M Billets Reports'!A1877="Date-",'R.M Billets Reports'!A1877="Date:-"),'R.M Billets Reports'!B1877,IF(ROW()=2,"",B1877))</f>
      </c>
      <c r="C1878">
        <f>IF('R.M Billets Reports'!A1877="V.No.",'R.M Billets Reports'!B1877,IF(ROW()=2,"",C1877))</f>
      </c>
      <c r="D1878">
        <f>IF('R.M Billets Reports'!A1877&lt;&gt;"",'R.M Billets Reports'!A1877,IF(ROW()=2,"",D1877))</f>
      </c>
      <c r="E1878">
        <f>IF('R.M Billets Reports'!B1877="","",TRIM('R.M Billets Reports'!B1877))</f>
      </c>
      <c r="F1878">
        <f>'R.M Billets Reports'!C1877</f>
      </c>
      <c r="G1878">
        <f>'R.M Billets Reports'!D1877</f>
      </c>
      <c r="H1878">
        <f>'R.M Billets Reports'!E1877</f>
      </c>
      <c r="I1878">
        <f>'R.M Billets Reports'!F1877</f>
      </c>
      <c r="J1878">
        <f>'R.M Billets Reports'!G1877</f>
      </c>
      <c r="K1878">
        <f>'R.M Billets Reports'!H1877</f>
      </c>
      <c r="L1878">
        <f>IF('R.M Billets Reports'!I1877="","",'R.M Billets Reports'!I1877)</f>
      </c>
      <c r="M1878">
        <f t="shared" si="58"/>
      </c>
      <c r="N1878">
        <f>IF('R.M Billets Reports'!J1877="","",'R.M Billets Reports'!J1877)</f>
      </c>
      <c r="O1878">
        <f t="shared" si="59"/>
      </c>
      <c r="P1878">
        <f>IF('R.M Billets Reports'!A1877="SIZE",'R.M Billets Reports'!B1877,P1877)</f>
      </c>
    </row>
    <row r="1879" spans="1:16" x14ac:dyDescent="0.25">
      <c r="A1879">
        <f>IF(OR('R.M Billets Reports'!A1878="Date-",'R.M Billets Reports'!A1878="Date:-"),IF(IF(IF(ISNUMBER(SEARCH("Party Name:-",'R.M Billets Reports'!D1878)),TRIM('R.M Billets Reports'!F1878),IF(ISNUMBER(SEARCH("Party Name-",'R.M Billets Reports'!D1878)),TRIM(MID('R.M Billets Reports'!D1878,SEARCH("-",'R.M Billets Reports'!D1878)+1,200)),""))&lt;&gt;"",IF(ISNUMBER(SEARCH("Party Name:-",'R.M Billets Reports'!D1878)),TRIM('R.M Billets Reports'!F1878),IF(ISNUMBER(SEARCH("Party Name-",'R.M Billets Reports'!D1878)),TRIM(MID('R.M Billets Reports'!D1878,SEARCH("-",'R.M Billets Reports'!D1878)+1,200)),"")),IF(ISNUMBER(SEARCH("Party Name:-",'R.M Billets Reports'!D1879)),TRIM('R.M Billets Reports'!F1879),IF(ISNUMBER(SEARCH("Party Name-",'R.M Billets Reports'!D1879)),TRIM(MID('R.M Billets Reports'!D1879,SEARCH("-",'R.M Billets Reports'!D1879)+1,200)),"")))="VRKP ISPAT PVT LTD","VRKP",IF(IF(IF(ISNUMBER(SEARCH("Party Name:-",'R.M Billets Reports'!D1878)),TRIM('R.M Billets Reports'!F1878),IF(ISNUMBER(SEARCH("Party Name-",'R.M Billets Reports'!D1878)),TRIM(MID('R.M Billets Reports'!D1878,SEARCH("-",'R.M Billets Reports'!D1878)+1,200)),""))&lt;&gt;"",IF(ISNUMBER(SEARCH("Party Name:-",'R.M Billets Reports'!D1878)),TRIM('R.M Billets Reports'!F1878),IF(ISNUMBER(SEARCH("Party Name-",'R.M Billets Reports'!D1878)),TRIM(MID('R.M Billets Reports'!D1878,SEARCH("-",'R.M Billets Reports'!D1878)+1,200)),"")),IF(ISNUMBER(SEARCH("Party Name:-",'R.M Billets Reports'!D1879)),TRIM('R.M Billets Reports'!F1879),IF(ISNUMBER(SEARCH("Party Name-",'R.M Billets Reports'!D1879)),TRIM(MID('R.M Billets Reports'!D1879,SEARCH("-",'R.M Billets Reports'!D1879)+1,200)),"")))="SHRI RADHE","SHREE RADHE",IF(IF(IF(ISNUMBER(SEARCH("Party Name:-",'R.M Billets Reports'!D1878)),TRIM('R.M Billets Reports'!F1878),IF(ISNUMBER(SEARCH("Party Name-",'R.M Billets Reports'!D1878)),TRIM(MID('R.M Billets Reports'!D1878,SEARCH("-",'R.M Billets Reports'!D1878)+1,200)),""))&lt;&gt;"",IF(ISNUMBER(SEARCH("Party Name:-",'R.M Billets Reports'!D1878)),TRIM('R.M Billets Reports'!F1878),IF(ISNUMBER(SEARCH("Party Name-",'R.M Billets Reports'!D1878)),TRIM(MID('R.M Billets Reports'!D1878,SEARCH("-",'R.M Billets Reports'!D1878)+1,200)),"")),IF(ISNUMBER(SEARCH("Party Name:-",'R.M Billets Reports'!D1879)),TRIM('R.M Billets Reports'!F1879),IF(ISNUMBER(SEARCH("Party Name-",'R.M Billets Reports'!D1879)),TRIM(MID('R.M Billets Reports'!D1879,SEARCH("-",'R.M Billets Reports'!D1879)+1,200)),"")))="SHREE RADHE SHAKTI SPONGE AND POWER PVT. LTD.","SHREE RADHE",IF(IF(ISNUMBER(SEARCH("Party Name:-",'R.M Billets Reports'!D1878)),TRIM('R.M Billets Reports'!F1878),IF(ISNUMBER(SEARCH("Party Name-",'R.M Billets Reports'!D1878)),TRIM(MID('R.M Billets Reports'!D1878,SEARCH("-",'R.M Billets Reports'!D1878)+1,200)),""))&lt;&gt;"",IF(ISNUMBER(SEARCH("Party Name:-",'R.M Billets Reports'!D1878)),TRIM('R.M Billets Reports'!F1878),IF(ISNUMBER(SEARCH("Party Name-",'R.M Billets Reports'!D1878)),TRIM(MID('R.M Billets Reports'!D1878,SEARCH("-",'R.M Billets Reports'!D1878)+1,200)),"")),IF(ISNUMBER(SEARCH("Party Name:-",'R.M Billets Reports'!D1879)),TRIM('R.M Billets Reports'!F1879),IF(ISNUMBER(SEARCH("Party Name-",'R.M Billets Reports'!D1879)),TRIM(MID('R.M Billets Reports'!D1879,SEARCH("-",'R.M Billets Reports'!D1879)+1,200)),"")))))),IF(ROW()=2,"",A1878))</f>
      </c>
      <c r="B1879">
        <f>IF(OR('R.M Billets Reports'!A1878="Date-",'R.M Billets Reports'!A1878="Date:-"),'R.M Billets Reports'!B1878,IF(ROW()=2,"",B1878))</f>
      </c>
      <c r="C1879">
        <f>IF('R.M Billets Reports'!A1878="V.No.",'R.M Billets Reports'!B1878,IF(ROW()=2,"",C1878))</f>
      </c>
      <c r="D1879">
        <f>IF('R.M Billets Reports'!A1878&lt;&gt;"",'R.M Billets Reports'!A1878,IF(ROW()=2,"",D1878))</f>
      </c>
      <c r="E1879">
        <f>IF('R.M Billets Reports'!B1878="","",TRIM('R.M Billets Reports'!B1878))</f>
      </c>
      <c r="F1879">
        <f>'R.M Billets Reports'!C1878</f>
      </c>
      <c r="G1879">
        <f>'R.M Billets Reports'!D1878</f>
      </c>
      <c r="H1879">
        <f>'R.M Billets Reports'!E1878</f>
      </c>
      <c r="I1879">
        <f>'R.M Billets Reports'!F1878</f>
      </c>
      <c r="J1879">
        <f>'R.M Billets Reports'!G1878</f>
      </c>
      <c r="K1879">
        <f>'R.M Billets Reports'!H1878</f>
      </c>
      <c r="L1879">
        <f>IF('R.M Billets Reports'!I1878="","",'R.M Billets Reports'!I1878)</f>
      </c>
      <c r="M1879">
        <f t="shared" si="58"/>
      </c>
      <c r="N1879">
        <f>IF('R.M Billets Reports'!J1878="","",'R.M Billets Reports'!J1878)</f>
      </c>
      <c r="O1879">
        <f t="shared" si="59"/>
      </c>
      <c r="P1879">
        <f>IF('R.M Billets Reports'!A1878="SIZE",'R.M Billets Reports'!B1878,P1878)</f>
      </c>
    </row>
    <row r="1880" spans="1:16" x14ac:dyDescent="0.25">
      <c r="A1880">
        <f>IF(OR('R.M Billets Reports'!A1879="Date-",'R.M Billets Reports'!A1879="Date:-"),IF(IF(IF(ISNUMBER(SEARCH("Party Name:-",'R.M Billets Reports'!D1879)),TRIM('R.M Billets Reports'!F1879),IF(ISNUMBER(SEARCH("Party Name-",'R.M Billets Reports'!D1879)),TRIM(MID('R.M Billets Reports'!D1879,SEARCH("-",'R.M Billets Reports'!D1879)+1,200)),""))&lt;&gt;"",IF(ISNUMBER(SEARCH("Party Name:-",'R.M Billets Reports'!D1879)),TRIM('R.M Billets Reports'!F1879),IF(ISNUMBER(SEARCH("Party Name-",'R.M Billets Reports'!D1879)),TRIM(MID('R.M Billets Reports'!D1879,SEARCH("-",'R.M Billets Reports'!D1879)+1,200)),"")),IF(ISNUMBER(SEARCH("Party Name:-",'R.M Billets Reports'!D1880)),TRIM('R.M Billets Reports'!F1880),IF(ISNUMBER(SEARCH("Party Name-",'R.M Billets Reports'!D1880)),TRIM(MID('R.M Billets Reports'!D1880,SEARCH("-",'R.M Billets Reports'!D1880)+1,200)),"")))="VRKP ISPAT PVT LTD","VRKP",IF(IF(IF(ISNUMBER(SEARCH("Party Name:-",'R.M Billets Reports'!D1879)),TRIM('R.M Billets Reports'!F1879),IF(ISNUMBER(SEARCH("Party Name-",'R.M Billets Reports'!D1879)),TRIM(MID('R.M Billets Reports'!D1879,SEARCH("-",'R.M Billets Reports'!D1879)+1,200)),""))&lt;&gt;"",IF(ISNUMBER(SEARCH("Party Name:-",'R.M Billets Reports'!D1879)),TRIM('R.M Billets Reports'!F1879),IF(ISNUMBER(SEARCH("Party Name-",'R.M Billets Reports'!D1879)),TRIM(MID('R.M Billets Reports'!D1879,SEARCH("-",'R.M Billets Reports'!D1879)+1,200)),"")),IF(ISNUMBER(SEARCH("Party Name:-",'R.M Billets Reports'!D1880)),TRIM('R.M Billets Reports'!F1880),IF(ISNUMBER(SEARCH("Party Name-",'R.M Billets Reports'!D1880)),TRIM(MID('R.M Billets Reports'!D1880,SEARCH("-",'R.M Billets Reports'!D1880)+1,200)),"")))="SHRI RADHE","SHREE RADHE",IF(IF(IF(ISNUMBER(SEARCH("Party Name:-",'R.M Billets Reports'!D1879)),TRIM('R.M Billets Reports'!F1879),IF(ISNUMBER(SEARCH("Party Name-",'R.M Billets Reports'!D1879)),TRIM(MID('R.M Billets Reports'!D1879,SEARCH("-",'R.M Billets Reports'!D1879)+1,200)),""))&lt;&gt;"",IF(ISNUMBER(SEARCH("Party Name:-",'R.M Billets Reports'!D1879)),TRIM('R.M Billets Reports'!F1879),IF(ISNUMBER(SEARCH("Party Name-",'R.M Billets Reports'!D1879)),TRIM(MID('R.M Billets Reports'!D1879,SEARCH("-",'R.M Billets Reports'!D1879)+1,200)),"")),IF(ISNUMBER(SEARCH("Party Name:-",'R.M Billets Reports'!D1880)),TRIM('R.M Billets Reports'!F1880),IF(ISNUMBER(SEARCH("Party Name-",'R.M Billets Reports'!D1880)),TRIM(MID('R.M Billets Reports'!D1880,SEARCH("-",'R.M Billets Reports'!D1880)+1,200)),"")))="SHREE RADHE SHAKTI SPONGE AND POWER PVT. LTD.","SHREE RADHE",IF(IF(ISNUMBER(SEARCH("Party Name:-",'R.M Billets Reports'!D1879)),TRIM('R.M Billets Reports'!F1879),IF(ISNUMBER(SEARCH("Party Name-",'R.M Billets Reports'!D1879)),TRIM(MID('R.M Billets Reports'!D1879,SEARCH("-",'R.M Billets Reports'!D1879)+1,200)),""))&lt;&gt;"",IF(ISNUMBER(SEARCH("Party Name:-",'R.M Billets Reports'!D1879)),TRIM('R.M Billets Reports'!F1879),IF(ISNUMBER(SEARCH("Party Name-",'R.M Billets Reports'!D1879)),TRIM(MID('R.M Billets Reports'!D1879,SEARCH("-",'R.M Billets Reports'!D1879)+1,200)),"")),IF(ISNUMBER(SEARCH("Party Name:-",'R.M Billets Reports'!D1880)),TRIM('R.M Billets Reports'!F1880),IF(ISNUMBER(SEARCH("Party Name-",'R.M Billets Reports'!D1880)),TRIM(MID('R.M Billets Reports'!D1880,SEARCH("-",'R.M Billets Reports'!D1880)+1,200)),"")))))),IF(ROW()=2,"",A1879))</f>
      </c>
      <c r="B1880">
        <f>IF(OR('R.M Billets Reports'!A1879="Date-",'R.M Billets Reports'!A1879="Date:-"),'R.M Billets Reports'!B1879,IF(ROW()=2,"",B1879))</f>
      </c>
      <c r="C1880">
        <f>IF('R.M Billets Reports'!A1879="V.No.",'R.M Billets Reports'!B1879,IF(ROW()=2,"",C1879))</f>
      </c>
      <c r="D1880">
        <f>IF('R.M Billets Reports'!A1879&lt;&gt;"",'R.M Billets Reports'!A1879,IF(ROW()=2,"",D1879))</f>
      </c>
      <c r="E1880">
        <f>IF('R.M Billets Reports'!B1879="","",TRIM('R.M Billets Reports'!B1879))</f>
      </c>
      <c r="F1880">
        <f>'R.M Billets Reports'!C1879</f>
      </c>
      <c r="G1880">
        <f>'R.M Billets Reports'!D1879</f>
      </c>
      <c r="H1880">
        <f>'R.M Billets Reports'!E1879</f>
      </c>
      <c r="I1880">
        <f>'R.M Billets Reports'!F1879</f>
      </c>
      <c r="J1880">
        <f>'R.M Billets Reports'!G1879</f>
      </c>
      <c r="K1880">
        <f>'R.M Billets Reports'!H1879</f>
      </c>
      <c r="L1880">
        <f>IF('R.M Billets Reports'!I1879="","",'R.M Billets Reports'!I1879)</f>
      </c>
      <c r="M1880">
        <f t="shared" si="58"/>
      </c>
      <c r="N1880">
        <f>IF('R.M Billets Reports'!J1879="","",'R.M Billets Reports'!J1879)</f>
      </c>
      <c r="O1880">
        <f t="shared" si="59"/>
      </c>
      <c r="P1880">
        <f>IF('R.M Billets Reports'!A1879="SIZE",'R.M Billets Reports'!B1879,P1879)</f>
      </c>
    </row>
    <row r="1881" spans="1:16" x14ac:dyDescent="0.25">
      <c r="A1881">
        <f>IF(OR('R.M Billets Reports'!A1880="Date-",'R.M Billets Reports'!A1880="Date:-"),IF(IF(IF(ISNUMBER(SEARCH("Party Name:-",'R.M Billets Reports'!D1880)),TRIM('R.M Billets Reports'!F1880),IF(ISNUMBER(SEARCH("Party Name-",'R.M Billets Reports'!D1880)),TRIM(MID('R.M Billets Reports'!D1880,SEARCH("-",'R.M Billets Reports'!D1880)+1,200)),""))&lt;&gt;"",IF(ISNUMBER(SEARCH("Party Name:-",'R.M Billets Reports'!D1880)),TRIM('R.M Billets Reports'!F1880),IF(ISNUMBER(SEARCH("Party Name-",'R.M Billets Reports'!D1880)),TRIM(MID('R.M Billets Reports'!D1880,SEARCH("-",'R.M Billets Reports'!D1880)+1,200)),"")),IF(ISNUMBER(SEARCH("Party Name:-",'R.M Billets Reports'!D1881)),TRIM('R.M Billets Reports'!F1881),IF(ISNUMBER(SEARCH("Party Name-",'R.M Billets Reports'!D1881)),TRIM(MID('R.M Billets Reports'!D1881,SEARCH("-",'R.M Billets Reports'!D1881)+1,200)),"")))="VRKP ISPAT PVT LTD","VRKP",IF(IF(IF(ISNUMBER(SEARCH("Party Name:-",'R.M Billets Reports'!D1880)),TRIM('R.M Billets Reports'!F1880),IF(ISNUMBER(SEARCH("Party Name-",'R.M Billets Reports'!D1880)),TRIM(MID('R.M Billets Reports'!D1880,SEARCH("-",'R.M Billets Reports'!D1880)+1,200)),""))&lt;&gt;"",IF(ISNUMBER(SEARCH("Party Name:-",'R.M Billets Reports'!D1880)),TRIM('R.M Billets Reports'!F1880),IF(ISNUMBER(SEARCH("Party Name-",'R.M Billets Reports'!D1880)),TRIM(MID('R.M Billets Reports'!D1880,SEARCH("-",'R.M Billets Reports'!D1880)+1,200)),"")),IF(ISNUMBER(SEARCH("Party Name:-",'R.M Billets Reports'!D1881)),TRIM('R.M Billets Reports'!F1881),IF(ISNUMBER(SEARCH("Party Name-",'R.M Billets Reports'!D1881)),TRIM(MID('R.M Billets Reports'!D1881,SEARCH("-",'R.M Billets Reports'!D1881)+1,200)),"")))="SHRI RADHE","SHREE RADHE",IF(IF(IF(ISNUMBER(SEARCH("Party Name:-",'R.M Billets Reports'!D1880)),TRIM('R.M Billets Reports'!F1880),IF(ISNUMBER(SEARCH("Party Name-",'R.M Billets Reports'!D1880)),TRIM(MID('R.M Billets Reports'!D1880,SEARCH("-",'R.M Billets Reports'!D1880)+1,200)),""))&lt;&gt;"",IF(ISNUMBER(SEARCH("Party Name:-",'R.M Billets Reports'!D1880)),TRIM('R.M Billets Reports'!F1880),IF(ISNUMBER(SEARCH("Party Name-",'R.M Billets Reports'!D1880)),TRIM(MID('R.M Billets Reports'!D1880,SEARCH("-",'R.M Billets Reports'!D1880)+1,200)),"")),IF(ISNUMBER(SEARCH("Party Name:-",'R.M Billets Reports'!D1881)),TRIM('R.M Billets Reports'!F1881),IF(ISNUMBER(SEARCH("Party Name-",'R.M Billets Reports'!D1881)),TRIM(MID('R.M Billets Reports'!D1881,SEARCH("-",'R.M Billets Reports'!D1881)+1,200)),"")))="SHREE RADHE SHAKTI SPONGE AND POWER PVT. LTD.","SHREE RADHE",IF(IF(ISNUMBER(SEARCH("Party Name:-",'R.M Billets Reports'!D1880)),TRIM('R.M Billets Reports'!F1880),IF(ISNUMBER(SEARCH("Party Name-",'R.M Billets Reports'!D1880)),TRIM(MID('R.M Billets Reports'!D1880,SEARCH("-",'R.M Billets Reports'!D1880)+1,200)),""))&lt;&gt;"",IF(ISNUMBER(SEARCH("Party Name:-",'R.M Billets Reports'!D1880)),TRIM('R.M Billets Reports'!F1880),IF(ISNUMBER(SEARCH("Party Name-",'R.M Billets Reports'!D1880)),TRIM(MID('R.M Billets Reports'!D1880,SEARCH("-",'R.M Billets Reports'!D1880)+1,200)),"")),IF(ISNUMBER(SEARCH("Party Name:-",'R.M Billets Reports'!D1881)),TRIM('R.M Billets Reports'!F1881),IF(ISNUMBER(SEARCH("Party Name-",'R.M Billets Reports'!D1881)),TRIM(MID('R.M Billets Reports'!D1881,SEARCH("-",'R.M Billets Reports'!D1881)+1,200)),"")))))),IF(ROW()=2,"",A1880))</f>
      </c>
      <c r="B1881">
        <f>IF(OR('R.M Billets Reports'!A1880="Date-",'R.M Billets Reports'!A1880="Date:-"),'R.M Billets Reports'!B1880,IF(ROW()=2,"",B1880))</f>
      </c>
      <c r="C1881">
        <f>IF('R.M Billets Reports'!A1880="V.No.",'R.M Billets Reports'!B1880,IF(ROW()=2,"",C1880))</f>
      </c>
      <c r="D1881">
        <f>IF('R.M Billets Reports'!A1880&lt;&gt;"",'R.M Billets Reports'!A1880,IF(ROW()=2,"",D1880))</f>
      </c>
      <c r="E1881">
        <f>IF('R.M Billets Reports'!B1880="","",TRIM('R.M Billets Reports'!B1880))</f>
      </c>
      <c r="F1881">
        <f>'R.M Billets Reports'!C1880</f>
      </c>
      <c r="G1881">
        <f>'R.M Billets Reports'!D1880</f>
      </c>
      <c r="H1881">
        <f>'R.M Billets Reports'!E1880</f>
      </c>
      <c r="I1881">
        <f>'R.M Billets Reports'!F1880</f>
      </c>
      <c r="J1881">
        <f>'R.M Billets Reports'!G1880</f>
      </c>
      <c r="K1881">
        <f>'R.M Billets Reports'!H1880</f>
      </c>
      <c r="L1881">
        <f>IF('R.M Billets Reports'!I1880="","",'R.M Billets Reports'!I1880)</f>
      </c>
      <c r="M1881">
        <f t="shared" si="58"/>
      </c>
      <c r="N1881">
        <f>IF('R.M Billets Reports'!J1880="","",'R.M Billets Reports'!J1880)</f>
      </c>
      <c r="O1881">
        <f t="shared" si="59"/>
      </c>
      <c r="P1881">
        <f>IF('R.M Billets Reports'!A1880="SIZE",'R.M Billets Reports'!B1880,P1880)</f>
      </c>
    </row>
    <row r="1882" spans="1:16" x14ac:dyDescent="0.25">
      <c r="A1882">
        <f>IF(OR('R.M Billets Reports'!A1881="Date-",'R.M Billets Reports'!A1881="Date:-"),IF(IF(IF(ISNUMBER(SEARCH("Party Name:-",'R.M Billets Reports'!D1881)),TRIM('R.M Billets Reports'!F1881),IF(ISNUMBER(SEARCH("Party Name-",'R.M Billets Reports'!D1881)),TRIM(MID('R.M Billets Reports'!D1881,SEARCH("-",'R.M Billets Reports'!D1881)+1,200)),""))&lt;&gt;"",IF(ISNUMBER(SEARCH("Party Name:-",'R.M Billets Reports'!D1881)),TRIM('R.M Billets Reports'!F1881),IF(ISNUMBER(SEARCH("Party Name-",'R.M Billets Reports'!D1881)),TRIM(MID('R.M Billets Reports'!D1881,SEARCH("-",'R.M Billets Reports'!D1881)+1,200)),"")),IF(ISNUMBER(SEARCH("Party Name:-",'R.M Billets Reports'!D1882)),TRIM('R.M Billets Reports'!F1882),IF(ISNUMBER(SEARCH("Party Name-",'R.M Billets Reports'!D1882)),TRIM(MID('R.M Billets Reports'!D1882,SEARCH("-",'R.M Billets Reports'!D1882)+1,200)),"")))="VRKP ISPAT PVT LTD","VRKP",IF(IF(IF(ISNUMBER(SEARCH("Party Name:-",'R.M Billets Reports'!D1881)),TRIM('R.M Billets Reports'!F1881),IF(ISNUMBER(SEARCH("Party Name-",'R.M Billets Reports'!D1881)),TRIM(MID('R.M Billets Reports'!D1881,SEARCH("-",'R.M Billets Reports'!D1881)+1,200)),""))&lt;&gt;"",IF(ISNUMBER(SEARCH("Party Name:-",'R.M Billets Reports'!D1881)),TRIM('R.M Billets Reports'!F1881),IF(ISNUMBER(SEARCH("Party Name-",'R.M Billets Reports'!D1881)),TRIM(MID('R.M Billets Reports'!D1881,SEARCH("-",'R.M Billets Reports'!D1881)+1,200)),"")),IF(ISNUMBER(SEARCH("Party Name:-",'R.M Billets Reports'!D1882)),TRIM('R.M Billets Reports'!F1882),IF(ISNUMBER(SEARCH("Party Name-",'R.M Billets Reports'!D1882)),TRIM(MID('R.M Billets Reports'!D1882,SEARCH("-",'R.M Billets Reports'!D1882)+1,200)),"")))="SHRI RADHE","SHREE RADHE",IF(IF(IF(ISNUMBER(SEARCH("Party Name:-",'R.M Billets Reports'!D1881)),TRIM('R.M Billets Reports'!F1881),IF(ISNUMBER(SEARCH("Party Name-",'R.M Billets Reports'!D1881)),TRIM(MID('R.M Billets Reports'!D1881,SEARCH("-",'R.M Billets Reports'!D1881)+1,200)),""))&lt;&gt;"",IF(ISNUMBER(SEARCH("Party Name:-",'R.M Billets Reports'!D1881)),TRIM('R.M Billets Reports'!F1881),IF(ISNUMBER(SEARCH("Party Name-",'R.M Billets Reports'!D1881)),TRIM(MID('R.M Billets Reports'!D1881,SEARCH("-",'R.M Billets Reports'!D1881)+1,200)),"")),IF(ISNUMBER(SEARCH("Party Name:-",'R.M Billets Reports'!D1882)),TRIM('R.M Billets Reports'!F1882),IF(ISNUMBER(SEARCH("Party Name-",'R.M Billets Reports'!D1882)),TRIM(MID('R.M Billets Reports'!D1882,SEARCH("-",'R.M Billets Reports'!D1882)+1,200)),"")))="SHREE RADHE SHAKTI SPONGE AND POWER PVT. LTD.","SHREE RADHE",IF(IF(ISNUMBER(SEARCH("Party Name:-",'R.M Billets Reports'!D1881)),TRIM('R.M Billets Reports'!F1881),IF(ISNUMBER(SEARCH("Party Name-",'R.M Billets Reports'!D1881)),TRIM(MID('R.M Billets Reports'!D1881,SEARCH("-",'R.M Billets Reports'!D1881)+1,200)),""))&lt;&gt;"",IF(ISNUMBER(SEARCH("Party Name:-",'R.M Billets Reports'!D1881)),TRIM('R.M Billets Reports'!F1881),IF(ISNUMBER(SEARCH("Party Name-",'R.M Billets Reports'!D1881)),TRIM(MID('R.M Billets Reports'!D1881,SEARCH("-",'R.M Billets Reports'!D1881)+1,200)),"")),IF(ISNUMBER(SEARCH("Party Name:-",'R.M Billets Reports'!D1882)),TRIM('R.M Billets Reports'!F1882),IF(ISNUMBER(SEARCH("Party Name-",'R.M Billets Reports'!D1882)),TRIM(MID('R.M Billets Reports'!D1882,SEARCH("-",'R.M Billets Reports'!D1882)+1,200)),"")))))),IF(ROW()=2,"",A1881))</f>
      </c>
      <c r="B1882">
        <f>IF(OR('R.M Billets Reports'!A1881="Date-",'R.M Billets Reports'!A1881="Date:-"),'R.M Billets Reports'!B1881,IF(ROW()=2,"",B1881))</f>
      </c>
      <c r="C1882">
        <f>IF('R.M Billets Reports'!A1881="V.No.",'R.M Billets Reports'!B1881,IF(ROW()=2,"",C1881))</f>
      </c>
      <c r="D1882">
        <f>IF('R.M Billets Reports'!A1881&lt;&gt;"",'R.M Billets Reports'!A1881,IF(ROW()=2,"",D1881))</f>
      </c>
      <c r="E1882">
        <f>IF('R.M Billets Reports'!B1881="","",TRIM('R.M Billets Reports'!B1881))</f>
      </c>
      <c r="F1882">
        <f>'R.M Billets Reports'!C1881</f>
      </c>
      <c r="G1882">
        <f>'R.M Billets Reports'!D1881</f>
      </c>
      <c r="H1882">
        <f>'R.M Billets Reports'!E1881</f>
      </c>
      <c r="I1882">
        <f>'R.M Billets Reports'!F1881</f>
      </c>
      <c r="J1882">
        <f>'R.M Billets Reports'!G1881</f>
      </c>
      <c r="K1882">
        <f>'R.M Billets Reports'!H1881</f>
      </c>
      <c r="L1882">
        <f>IF('R.M Billets Reports'!I1881="","",'R.M Billets Reports'!I1881)</f>
      </c>
      <c r="M1882">
        <f t="shared" si="58"/>
      </c>
      <c r="N1882">
        <f>IF('R.M Billets Reports'!J1881="","",'R.M Billets Reports'!J1881)</f>
      </c>
      <c r="O1882">
        <f t="shared" si="59"/>
      </c>
      <c r="P1882">
        <f>IF('R.M Billets Reports'!A1881="SIZE",'R.M Billets Reports'!B1881,P1881)</f>
      </c>
    </row>
    <row r="1883" spans="1:16" x14ac:dyDescent="0.25">
      <c r="A1883">
        <f>IF(OR('R.M Billets Reports'!A1882="Date-",'R.M Billets Reports'!A1882="Date:-"),IF(IF(IF(ISNUMBER(SEARCH("Party Name:-",'R.M Billets Reports'!D1882)),TRIM('R.M Billets Reports'!F1882),IF(ISNUMBER(SEARCH("Party Name-",'R.M Billets Reports'!D1882)),TRIM(MID('R.M Billets Reports'!D1882,SEARCH("-",'R.M Billets Reports'!D1882)+1,200)),""))&lt;&gt;"",IF(ISNUMBER(SEARCH("Party Name:-",'R.M Billets Reports'!D1882)),TRIM('R.M Billets Reports'!F1882),IF(ISNUMBER(SEARCH("Party Name-",'R.M Billets Reports'!D1882)),TRIM(MID('R.M Billets Reports'!D1882,SEARCH("-",'R.M Billets Reports'!D1882)+1,200)),"")),IF(ISNUMBER(SEARCH("Party Name:-",'R.M Billets Reports'!D1883)),TRIM('R.M Billets Reports'!F1883),IF(ISNUMBER(SEARCH("Party Name-",'R.M Billets Reports'!D1883)),TRIM(MID('R.M Billets Reports'!D1883,SEARCH("-",'R.M Billets Reports'!D1883)+1,200)),"")))="VRKP ISPAT PVT LTD","VRKP",IF(IF(IF(ISNUMBER(SEARCH("Party Name:-",'R.M Billets Reports'!D1882)),TRIM('R.M Billets Reports'!F1882),IF(ISNUMBER(SEARCH("Party Name-",'R.M Billets Reports'!D1882)),TRIM(MID('R.M Billets Reports'!D1882,SEARCH("-",'R.M Billets Reports'!D1882)+1,200)),""))&lt;&gt;"",IF(ISNUMBER(SEARCH("Party Name:-",'R.M Billets Reports'!D1882)),TRIM('R.M Billets Reports'!F1882),IF(ISNUMBER(SEARCH("Party Name-",'R.M Billets Reports'!D1882)),TRIM(MID('R.M Billets Reports'!D1882,SEARCH("-",'R.M Billets Reports'!D1882)+1,200)),"")),IF(ISNUMBER(SEARCH("Party Name:-",'R.M Billets Reports'!D1883)),TRIM('R.M Billets Reports'!F1883),IF(ISNUMBER(SEARCH("Party Name-",'R.M Billets Reports'!D1883)),TRIM(MID('R.M Billets Reports'!D1883,SEARCH("-",'R.M Billets Reports'!D1883)+1,200)),"")))="SHRI RADHE","SHREE RADHE",IF(IF(IF(ISNUMBER(SEARCH("Party Name:-",'R.M Billets Reports'!D1882)),TRIM('R.M Billets Reports'!F1882),IF(ISNUMBER(SEARCH("Party Name-",'R.M Billets Reports'!D1882)),TRIM(MID('R.M Billets Reports'!D1882,SEARCH("-",'R.M Billets Reports'!D1882)+1,200)),""))&lt;&gt;"",IF(ISNUMBER(SEARCH("Party Name:-",'R.M Billets Reports'!D1882)),TRIM('R.M Billets Reports'!F1882),IF(ISNUMBER(SEARCH("Party Name-",'R.M Billets Reports'!D1882)),TRIM(MID('R.M Billets Reports'!D1882,SEARCH("-",'R.M Billets Reports'!D1882)+1,200)),"")),IF(ISNUMBER(SEARCH("Party Name:-",'R.M Billets Reports'!D1883)),TRIM('R.M Billets Reports'!F1883),IF(ISNUMBER(SEARCH("Party Name-",'R.M Billets Reports'!D1883)),TRIM(MID('R.M Billets Reports'!D1883,SEARCH("-",'R.M Billets Reports'!D1883)+1,200)),"")))="SHREE RADHE SHAKTI SPONGE AND POWER PVT. LTD.","SHREE RADHE",IF(IF(ISNUMBER(SEARCH("Party Name:-",'R.M Billets Reports'!D1882)),TRIM('R.M Billets Reports'!F1882),IF(ISNUMBER(SEARCH("Party Name-",'R.M Billets Reports'!D1882)),TRIM(MID('R.M Billets Reports'!D1882,SEARCH("-",'R.M Billets Reports'!D1882)+1,200)),""))&lt;&gt;"",IF(ISNUMBER(SEARCH("Party Name:-",'R.M Billets Reports'!D1882)),TRIM('R.M Billets Reports'!F1882),IF(ISNUMBER(SEARCH("Party Name-",'R.M Billets Reports'!D1882)),TRIM(MID('R.M Billets Reports'!D1882,SEARCH("-",'R.M Billets Reports'!D1882)+1,200)),"")),IF(ISNUMBER(SEARCH("Party Name:-",'R.M Billets Reports'!D1883)),TRIM('R.M Billets Reports'!F1883),IF(ISNUMBER(SEARCH("Party Name-",'R.M Billets Reports'!D1883)),TRIM(MID('R.M Billets Reports'!D1883,SEARCH("-",'R.M Billets Reports'!D1883)+1,200)),"")))))),IF(ROW()=2,"",A1882))</f>
      </c>
      <c r="B1883">
        <f>IF(OR('R.M Billets Reports'!A1882="Date-",'R.M Billets Reports'!A1882="Date:-"),'R.M Billets Reports'!B1882,IF(ROW()=2,"",B1882))</f>
      </c>
      <c r="C1883">
        <f>IF('R.M Billets Reports'!A1882="V.No.",'R.M Billets Reports'!B1882,IF(ROW()=2,"",C1882))</f>
      </c>
      <c r="D1883">
        <f>IF('R.M Billets Reports'!A1882&lt;&gt;"",'R.M Billets Reports'!A1882,IF(ROW()=2,"",D1882))</f>
      </c>
      <c r="E1883">
        <f>IF('R.M Billets Reports'!B1882="","",TRIM('R.M Billets Reports'!B1882))</f>
      </c>
      <c r="F1883">
        <f>'R.M Billets Reports'!C1882</f>
      </c>
      <c r="G1883">
        <f>'R.M Billets Reports'!D1882</f>
      </c>
      <c r="H1883">
        <f>'R.M Billets Reports'!E1882</f>
      </c>
      <c r="I1883">
        <f>'R.M Billets Reports'!F1882</f>
      </c>
      <c r="J1883">
        <f>'R.M Billets Reports'!G1882</f>
      </c>
      <c r="K1883">
        <f>'R.M Billets Reports'!H1882</f>
      </c>
      <c r="L1883">
        <f>IF('R.M Billets Reports'!I1882="","",'R.M Billets Reports'!I1882)</f>
      </c>
      <c r="M1883">
        <f t="shared" si="58"/>
      </c>
      <c r="N1883">
        <f>IF('R.M Billets Reports'!J1882="","",'R.M Billets Reports'!J1882)</f>
      </c>
      <c r="O1883">
        <f t="shared" si="59"/>
      </c>
      <c r="P1883">
        <f>IF('R.M Billets Reports'!A1882="SIZE",'R.M Billets Reports'!B1882,P1882)</f>
      </c>
    </row>
    <row r="1884" spans="1:16" x14ac:dyDescent="0.25">
      <c r="A1884">
        <f>IF(OR('R.M Billets Reports'!A1883="Date-",'R.M Billets Reports'!A1883="Date:-"),IF(IF(IF(ISNUMBER(SEARCH("Party Name:-",'R.M Billets Reports'!D1883)),TRIM('R.M Billets Reports'!F1883),IF(ISNUMBER(SEARCH("Party Name-",'R.M Billets Reports'!D1883)),TRIM(MID('R.M Billets Reports'!D1883,SEARCH("-",'R.M Billets Reports'!D1883)+1,200)),""))&lt;&gt;"",IF(ISNUMBER(SEARCH("Party Name:-",'R.M Billets Reports'!D1883)),TRIM('R.M Billets Reports'!F1883),IF(ISNUMBER(SEARCH("Party Name-",'R.M Billets Reports'!D1883)),TRIM(MID('R.M Billets Reports'!D1883,SEARCH("-",'R.M Billets Reports'!D1883)+1,200)),"")),IF(ISNUMBER(SEARCH("Party Name:-",'R.M Billets Reports'!D1884)),TRIM('R.M Billets Reports'!F1884),IF(ISNUMBER(SEARCH("Party Name-",'R.M Billets Reports'!D1884)),TRIM(MID('R.M Billets Reports'!D1884,SEARCH("-",'R.M Billets Reports'!D1884)+1,200)),"")))="VRKP ISPAT PVT LTD","VRKP",IF(IF(IF(ISNUMBER(SEARCH("Party Name:-",'R.M Billets Reports'!D1883)),TRIM('R.M Billets Reports'!F1883),IF(ISNUMBER(SEARCH("Party Name-",'R.M Billets Reports'!D1883)),TRIM(MID('R.M Billets Reports'!D1883,SEARCH("-",'R.M Billets Reports'!D1883)+1,200)),""))&lt;&gt;"",IF(ISNUMBER(SEARCH("Party Name:-",'R.M Billets Reports'!D1883)),TRIM('R.M Billets Reports'!F1883),IF(ISNUMBER(SEARCH("Party Name-",'R.M Billets Reports'!D1883)),TRIM(MID('R.M Billets Reports'!D1883,SEARCH("-",'R.M Billets Reports'!D1883)+1,200)),"")),IF(ISNUMBER(SEARCH("Party Name:-",'R.M Billets Reports'!D1884)),TRIM('R.M Billets Reports'!F1884),IF(ISNUMBER(SEARCH("Party Name-",'R.M Billets Reports'!D1884)),TRIM(MID('R.M Billets Reports'!D1884,SEARCH("-",'R.M Billets Reports'!D1884)+1,200)),"")))="SHRI RADHE","SHREE RADHE",IF(IF(IF(ISNUMBER(SEARCH("Party Name:-",'R.M Billets Reports'!D1883)),TRIM('R.M Billets Reports'!F1883),IF(ISNUMBER(SEARCH("Party Name-",'R.M Billets Reports'!D1883)),TRIM(MID('R.M Billets Reports'!D1883,SEARCH("-",'R.M Billets Reports'!D1883)+1,200)),""))&lt;&gt;"",IF(ISNUMBER(SEARCH("Party Name:-",'R.M Billets Reports'!D1883)),TRIM('R.M Billets Reports'!F1883),IF(ISNUMBER(SEARCH("Party Name-",'R.M Billets Reports'!D1883)),TRIM(MID('R.M Billets Reports'!D1883,SEARCH("-",'R.M Billets Reports'!D1883)+1,200)),"")),IF(ISNUMBER(SEARCH("Party Name:-",'R.M Billets Reports'!D1884)),TRIM('R.M Billets Reports'!F1884),IF(ISNUMBER(SEARCH("Party Name-",'R.M Billets Reports'!D1884)),TRIM(MID('R.M Billets Reports'!D1884,SEARCH("-",'R.M Billets Reports'!D1884)+1,200)),"")))="SHREE RADHE SHAKTI SPONGE AND POWER PVT. LTD.","SHREE RADHE",IF(IF(ISNUMBER(SEARCH("Party Name:-",'R.M Billets Reports'!D1883)),TRIM('R.M Billets Reports'!F1883),IF(ISNUMBER(SEARCH("Party Name-",'R.M Billets Reports'!D1883)),TRIM(MID('R.M Billets Reports'!D1883,SEARCH("-",'R.M Billets Reports'!D1883)+1,200)),""))&lt;&gt;"",IF(ISNUMBER(SEARCH("Party Name:-",'R.M Billets Reports'!D1883)),TRIM('R.M Billets Reports'!F1883),IF(ISNUMBER(SEARCH("Party Name-",'R.M Billets Reports'!D1883)),TRIM(MID('R.M Billets Reports'!D1883,SEARCH("-",'R.M Billets Reports'!D1883)+1,200)),"")),IF(ISNUMBER(SEARCH("Party Name:-",'R.M Billets Reports'!D1884)),TRIM('R.M Billets Reports'!F1884),IF(ISNUMBER(SEARCH("Party Name-",'R.M Billets Reports'!D1884)),TRIM(MID('R.M Billets Reports'!D1884,SEARCH("-",'R.M Billets Reports'!D1884)+1,200)),"")))))),IF(ROW()=2,"",A1883))</f>
      </c>
      <c r="B1884">
        <f>IF(OR('R.M Billets Reports'!A1883="Date-",'R.M Billets Reports'!A1883="Date:-"),'R.M Billets Reports'!B1883,IF(ROW()=2,"",B1883))</f>
      </c>
      <c r="C1884">
        <f>IF('R.M Billets Reports'!A1883="V.No.",'R.M Billets Reports'!B1883,IF(ROW()=2,"",C1883))</f>
      </c>
      <c r="D1884">
        <f>IF('R.M Billets Reports'!A1883&lt;&gt;"",'R.M Billets Reports'!A1883,IF(ROW()=2,"",D1883))</f>
      </c>
      <c r="E1884">
        <f>IF('R.M Billets Reports'!B1883="","",TRIM('R.M Billets Reports'!B1883))</f>
      </c>
      <c r="F1884">
        <f>'R.M Billets Reports'!C1883</f>
      </c>
      <c r="G1884">
        <f>'R.M Billets Reports'!D1883</f>
      </c>
      <c r="H1884">
        <f>'R.M Billets Reports'!E1883</f>
      </c>
      <c r="I1884">
        <f>'R.M Billets Reports'!F1883</f>
      </c>
      <c r="J1884">
        <f>'R.M Billets Reports'!G1883</f>
      </c>
      <c r="K1884">
        <f>'R.M Billets Reports'!H1883</f>
      </c>
      <c r="L1884">
        <f>IF('R.M Billets Reports'!I1883="","",'R.M Billets Reports'!I1883)</f>
      </c>
      <c r="M1884">
        <f t="shared" si="58"/>
      </c>
      <c r="N1884">
        <f>IF('R.M Billets Reports'!J1883="","",'R.M Billets Reports'!J1883)</f>
      </c>
      <c r="O1884">
        <f t="shared" si="59"/>
      </c>
      <c r="P1884">
        <f>IF('R.M Billets Reports'!A1883="SIZE",'R.M Billets Reports'!B1883,P1883)</f>
      </c>
    </row>
    <row r="1885" spans="1:16" x14ac:dyDescent="0.25">
      <c r="A1885">
        <f>IF(OR('R.M Billets Reports'!A1884="Date-",'R.M Billets Reports'!A1884="Date:-"),IF(IF(IF(ISNUMBER(SEARCH("Party Name:-",'R.M Billets Reports'!D1884)),TRIM('R.M Billets Reports'!F1884),IF(ISNUMBER(SEARCH("Party Name-",'R.M Billets Reports'!D1884)),TRIM(MID('R.M Billets Reports'!D1884,SEARCH("-",'R.M Billets Reports'!D1884)+1,200)),""))&lt;&gt;"",IF(ISNUMBER(SEARCH("Party Name:-",'R.M Billets Reports'!D1884)),TRIM('R.M Billets Reports'!F1884),IF(ISNUMBER(SEARCH("Party Name-",'R.M Billets Reports'!D1884)),TRIM(MID('R.M Billets Reports'!D1884,SEARCH("-",'R.M Billets Reports'!D1884)+1,200)),"")),IF(ISNUMBER(SEARCH("Party Name:-",'R.M Billets Reports'!D1885)),TRIM('R.M Billets Reports'!F1885),IF(ISNUMBER(SEARCH("Party Name-",'R.M Billets Reports'!D1885)),TRIM(MID('R.M Billets Reports'!D1885,SEARCH("-",'R.M Billets Reports'!D1885)+1,200)),"")))="VRKP ISPAT PVT LTD","VRKP",IF(IF(IF(ISNUMBER(SEARCH("Party Name:-",'R.M Billets Reports'!D1884)),TRIM('R.M Billets Reports'!F1884),IF(ISNUMBER(SEARCH("Party Name-",'R.M Billets Reports'!D1884)),TRIM(MID('R.M Billets Reports'!D1884,SEARCH("-",'R.M Billets Reports'!D1884)+1,200)),""))&lt;&gt;"",IF(ISNUMBER(SEARCH("Party Name:-",'R.M Billets Reports'!D1884)),TRIM('R.M Billets Reports'!F1884),IF(ISNUMBER(SEARCH("Party Name-",'R.M Billets Reports'!D1884)),TRIM(MID('R.M Billets Reports'!D1884,SEARCH("-",'R.M Billets Reports'!D1884)+1,200)),"")),IF(ISNUMBER(SEARCH("Party Name:-",'R.M Billets Reports'!D1885)),TRIM('R.M Billets Reports'!F1885),IF(ISNUMBER(SEARCH("Party Name-",'R.M Billets Reports'!D1885)),TRIM(MID('R.M Billets Reports'!D1885,SEARCH("-",'R.M Billets Reports'!D1885)+1,200)),"")))="SHRI RADHE","SHREE RADHE",IF(IF(IF(ISNUMBER(SEARCH("Party Name:-",'R.M Billets Reports'!D1884)),TRIM('R.M Billets Reports'!F1884),IF(ISNUMBER(SEARCH("Party Name-",'R.M Billets Reports'!D1884)),TRIM(MID('R.M Billets Reports'!D1884,SEARCH("-",'R.M Billets Reports'!D1884)+1,200)),""))&lt;&gt;"",IF(ISNUMBER(SEARCH("Party Name:-",'R.M Billets Reports'!D1884)),TRIM('R.M Billets Reports'!F1884),IF(ISNUMBER(SEARCH("Party Name-",'R.M Billets Reports'!D1884)),TRIM(MID('R.M Billets Reports'!D1884,SEARCH("-",'R.M Billets Reports'!D1884)+1,200)),"")),IF(ISNUMBER(SEARCH("Party Name:-",'R.M Billets Reports'!D1885)),TRIM('R.M Billets Reports'!F1885),IF(ISNUMBER(SEARCH("Party Name-",'R.M Billets Reports'!D1885)),TRIM(MID('R.M Billets Reports'!D1885,SEARCH("-",'R.M Billets Reports'!D1885)+1,200)),"")))="SHREE RADHE SHAKTI SPONGE AND POWER PVT. LTD.","SHREE RADHE",IF(IF(ISNUMBER(SEARCH("Party Name:-",'R.M Billets Reports'!D1884)),TRIM('R.M Billets Reports'!F1884),IF(ISNUMBER(SEARCH("Party Name-",'R.M Billets Reports'!D1884)),TRIM(MID('R.M Billets Reports'!D1884,SEARCH("-",'R.M Billets Reports'!D1884)+1,200)),""))&lt;&gt;"",IF(ISNUMBER(SEARCH("Party Name:-",'R.M Billets Reports'!D1884)),TRIM('R.M Billets Reports'!F1884),IF(ISNUMBER(SEARCH("Party Name-",'R.M Billets Reports'!D1884)),TRIM(MID('R.M Billets Reports'!D1884,SEARCH("-",'R.M Billets Reports'!D1884)+1,200)),"")),IF(ISNUMBER(SEARCH("Party Name:-",'R.M Billets Reports'!D1885)),TRIM('R.M Billets Reports'!F1885),IF(ISNUMBER(SEARCH("Party Name-",'R.M Billets Reports'!D1885)),TRIM(MID('R.M Billets Reports'!D1885,SEARCH("-",'R.M Billets Reports'!D1885)+1,200)),"")))))),IF(ROW()=2,"",A1884))</f>
      </c>
      <c r="B1885">
        <f>IF(OR('R.M Billets Reports'!A1884="Date-",'R.M Billets Reports'!A1884="Date:-"),'R.M Billets Reports'!B1884,IF(ROW()=2,"",B1884))</f>
      </c>
      <c r="C1885">
        <f>IF('R.M Billets Reports'!A1884="V.No.",'R.M Billets Reports'!B1884,IF(ROW()=2,"",C1884))</f>
      </c>
      <c r="D1885">
        <f>IF('R.M Billets Reports'!A1884&lt;&gt;"",'R.M Billets Reports'!A1884,IF(ROW()=2,"",D1884))</f>
      </c>
      <c r="E1885">
        <f>IF('R.M Billets Reports'!B1884="","",TRIM('R.M Billets Reports'!B1884))</f>
      </c>
      <c r="F1885">
        <f>'R.M Billets Reports'!C1884</f>
      </c>
      <c r="G1885">
        <f>'R.M Billets Reports'!D1884</f>
      </c>
      <c r="H1885">
        <f>'R.M Billets Reports'!E1884</f>
      </c>
      <c r="I1885">
        <f>'R.M Billets Reports'!F1884</f>
      </c>
      <c r="J1885">
        <f>'R.M Billets Reports'!G1884</f>
      </c>
      <c r="K1885">
        <f>'R.M Billets Reports'!H1884</f>
      </c>
      <c r="L1885">
        <f>IF('R.M Billets Reports'!I1884="","",'R.M Billets Reports'!I1884)</f>
      </c>
      <c r="M1885">
        <f t="shared" si="58"/>
      </c>
      <c r="N1885">
        <f>IF('R.M Billets Reports'!J1884="","",'R.M Billets Reports'!J1884)</f>
      </c>
      <c r="O1885">
        <f t="shared" si="59"/>
      </c>
      <c r="P1885">
        <f>IF('R.M Billets Reports'!A1884="SIZE",'R.M Billets Reports'!B1884,P1884)</f>
      </c>
    </row>
    <row r="1886" spans="1:16" x14ac:dyDescent="0.25">
      <c r="A1886">
        <f>IF(OR('R.M Billets Reports'!A1885="Date-",'R.M Billets Reports'!A1885="Date:-"),IF(IF(IF(ISNUMBER(SEARCH("Party Name:-",'R.M Billets Reports'!D1885)),TRIM('R.M Billets Reports'!F1885),IF(ISNUMBER(SEARCH("Party Name-",'R.M Billets Reports'!D1885)),TRIM(MID('R.M Billets Reports'!D1885,SEARCH("-",'R.M Billets Reports'!D1885)+1,200)),""))&lt;&gt;"",IF(ISNUMBER(SEARCH("Party Name:-",'R.M Billets Reports'!D1885)),TRIM('R.M Billets Reports'!F1885),IF(ISNUMBER(SEARCH("Party Name-",'R.M Billets Reports'!D1885)),TRIM(MID('R.M Billets Reports'!D1885,SEARCH("-",'R.M Billets Reports'!D1885)+1,200)),"")),IF(ISNUMBER(SEARCH("Party Name:-",'R.M Billets Reports'!D1886)),TRIM('R.M Billets Reports'!F1886),IF(ISNUMBER(SEARCH("Party Name-",'R.M Billets Reports'!D1886)),TRIM(MID('R.M Billets Reports'!D1886,SEARCH("-",'R.M Billets Reports'!D1886)+1,200)),"")))="VRKP ISPAT PVT LTD","VRKP",IF(IF(IF(ISNUMBER(SEARCH("Party Name:-",'R.M Billets Reports'!D1885)),TRIM('R.M Billets Reports'!F1885),IF(ISNUMBER(SEARCH("Party Name-",'R.M Billets Reports'!D1885)),TRIM(MID('R.M Billets Reports'!D1885,SEARCH("-",'R.M Billets Reports'!D1885)+1,200)),""))&lt;&gt;"",IF(ISNUMBER(SEARCH("Party Name:-",'R.M Billets Reports'!D1885)),TRIM('R.M Billets Reports'!F1885),IF(ISNUMBER(SEARCH("Party Name-",'R.M Billets Reports'!D1885)),TRIM(MID('R.M Billets Reports'!D1885,SEARCH("-",'R.M Billets Reports'!D1885)+1,200)),"")),IF(ISNUMBER(SEARCH("Party Name:-",'R.M Billets Reports'!D1886)),TRIM('R.M Billets Reports'!F1886),IF(ISNUMBER(SEARCH("Party Name-",'R.M Billets Reports'!D1886)),TRIM(MID('R.M Billets Reports'!D1886,SEARCH("-",'R.M Billets Reports'!D1886)+1,200)),"")))="SHRI RADHE","SHREE RADHE",IF(IF(IF(ISNUMBER(SEARCH("Party Name:-",'R.M Billets Reports'!D1885)),TRIM('R.M Billets Reports'!F1885),IF(ISNUMBER(SEARCH("Party Name-",'R.M Billets Reports'!D1885)),TRIM(MID('R.M Billets Reports'!D1885,SEARCH("-",'R.M Billets Reports'!D1885)+1,200)),""))&lt;&gt;"",IF(ISNUMBER(SEARCH("Party Name:-",'R.M Billets Reports'!D1885)),TRIM('R.M Billets Reports'!F1885),IF(ISNUMBER(SEARCH("Party Name-",'R.M Billets Reports'!D1885)),TRIM(MID('R.M Billets Reports'!D1885,SEARCH("-",'R.M Billets Reports'!D1885)+1,200)),"")),IF(ISNUMBER(SEARCH("Party Name:-",'R.M Billets Reports'!D1886)),TRIM('R.M Billets Reports'!F1886),IF(ISNUMBER(SEARCH("Party Name-",'R.M Billets Reports'!D1886)),TRIM(MID('R.M Billets Reports'!D1886,SEARCH("-",'R.M Billets Reports'!D1886)+1,200)),"")))="SHREE RADHE SHAKTI SPONGE AND POWER PVT. LTD.","SHREE RADHE",IF(IF(ISNUMBER(SEARCH("Party Name:-",'R.M Billets Reports'!D1885)),TRIM('R.M Billets Reports'!F1885),IF(ISNUMBER(SEARCH("Party Name-",'R.M Billets Reports'!D1885)),TRIM(MID('R.M Billets Reports'!D1885,SEARCH("-",'R.M Billets Reports'!D1885)+1,200)),""))&lt;&gt;"",IF(ISNUMBER(SEARCH("Party Name:-",'R.M Billets Reports'!D1885)),TRIM('R.M Billets Reports'!F1885),IF(ISNUMBER(SEARCH("Party Name-",'R.M Billets Reports'!D1885)),TRIM(MID('R.M Billets Reports'!D1885,SEARCH("-",'R.M Billets Reports'!D1885)+1,200)),"")),IF(ISNUMBER(SEARCH("Party Name:-",'R.M Billets Reports'!D1886)),TRIM('R.M Billets Reports'!F1886),IF(ISNUMBER(SEARCH("Party Name-",'R.M Billets Reports'!D1886)),TRIM(MID('R.M Billets Reports'!D1886,SEARCH("-",'R.M Billets Reports'!D1886)+1,200)),"")))))),IF(ROW()=2,"",A1885))</f>
      </c>
      <c r="B1886">
        <f>IF(OR('R.M Billets Reports'!A1885="Date-",'R.M Billets Reports'!A1885="Date:-"),'R.M Billets Reports'!B1885,IF(ROW()=2,"",B1885))</f>
      </c>
      <c r="C1886">
        <f>IF('R.M Billets Reports'!A1885="V.No.",'R.M Billets Reports'!B1885,IF(ROW()=2,"",C1885))</f>
      </c>
      <c r="D1886">
        <f>IF('R.M Billets Reports'!A1885&lt;&gt;"",'R.M Billets Reports'!A1885,IF(ROW()=2,"",D1885))</f>
      </c>
      <c r="E1886">
        <f>IF('R.M Billets Reports'!B1885="","",TRIM('R.M Billets Reports'!B1885))</f>
      </c>
      <c r="F1886">
        <f>'R.M Billets Reports'!C1885</f>
      </c>
      <c r="G1886">
        <f>'R.M Billets Reports'!D1885</f>
      </c>
      <c r="H1886">
        <f>'R.M Billets Reports'!E1885</f>
      </c>
      <c r="I1886">
        <f>'R.M Billets Reports'!F1885</f>
      </c>
      <c r="J1886">
        <f>'R.M Billets Reports'!G1885</f>
      </c>
      <c r="K1886">
        <f>'R.M Billets Reports'!H1885</f>
      </c>
      <c r="L1886">
        <f>IF('R.M Billets Reports'!I1885="","",'R.M Billets Reports'!I1885)</f>
      </c>
      <c r="M1886">
        <f t="shared" si="58"/>
      </c>
      <c r="N1886">
        <f>IF('R.M Billets Reports'!J1885="","",'R.M Billets Reports'!J1885)</f>
      </c>
      <c r="O1886">
        <f t="shared" si="59"/>
      </c>
      <c r="P1886">
        <f>IF('R.M Billets Reports'!A1885="SIZE",'R.M Billets Reports'!B1885,P1885)</f>
      </c>
    </row>
    <row r="1887" spans="1:16" x14ac:dyDescent="0.25">
      <c r="A1887">
        <f>IF(OR('R.M Billets Reports'!A1886="Date-",'R.M Billets Reports'!A1886="Date:-"),IF(IF(IF(ISNUMBER(SEARCH("Party Name:-",'R.M Billets Reports'!D1886)),TRIM('R.M Billets Reports'!F1886),IF(ISNUMBER(SEARCH("Party Name-",'R.M Billets Reports'!D1886)),TRIM(MID('R.M Billets Reports'!D1886,SEARCH("-",'R.M Billets Reports'!D1886)+1,200)),""))&lt;&gt;"",IF(ISNUMBER(SEARCH("Party Name:-",'R.M Billets Reports'!D1886)),TRIM('R.M Billets Reports'!F1886),IF(ISNUMBER(SEARCH("Party Name-",'R.M Billets Reports'!D1886)),TRIM(MID('R.M Billets Reports'!D1886,SEARCH("-",'R.M Billets Reports'!D1886)+1,200)),"")),IF(ISNUMBER(SEARCH("Party Name:-",'R.M Billets Reports'!D1887)),TRIM('R.M Billets Reports'!F1887),IF(ISNUMBER(SEARCH("Party Name-",'R.M Billets Reports'!D1887)),TRIM(MID('R.M Billets Reports'!D1887,SEARCH("-",'R.M Billets Reports'!D1887)+1,200)),"")))="VRKP ISPAT PVT LTD","VRKP",IF(IF(IF(ISNUMBER(SEARCH("Party Name:-",'R.M Billets Reports'!D1886)),TRIM('R.M Billets Reports'!F1886),IF(ISNUMBER(SEARCH("Party Name-",'R.M Billets Reports'!D1886)),TRIM(MID('R.M Billets Reports'!D1886,SEARCH("-",'R.M Billets Reports'!D1886)+1,200)),""))&lt;&gt;"",IF(ISNUMBER(SEARCH("Party Name:-",'R.M Billets Reports'!D1886)),TRIM('R.M Billets Reports'!F1886),IF(ISNUMBER(SEARCH("Party Name-",'R.M Billets Reports'!D1886)),TRIM(MID('R.M Billets Reports'!D1886,SEARCH("-",'R.M Billets Reports'!D1886)+1,200)),"")),IF(ISNUMBER(SEARCH("Party Name:-",'R.M Billets Reports'!D1887)),TRIM('R.M Billets Reports'!F1887),IF(ISNUMBER(SEARCH("Party Name-",'R.M Billets Reports'!D1887)),TRIM(MID('R.M Billets Reports'!D1887,SEARCH("-",'R.M Billets Reports'!D1887)+1,200)),"")))="SHRI RADHE","SHREE RADHE",IF(IF(IF(ISNUMBER(SEARCH("Party Name:-",'R.M Billets Reports'!D1886)),TRIM('R.M Billets Reports'!F1886),IF(ISNUMBER(SEARCH("Party Name-",'R.M Billets Reports'!D1886)),TRIM(MID('R.M Billets Reports'!D1886,SEARCH("-",'R.M Billets Reports'!D1886)+1,200)),""))&lt;&gt;"",IF(ISNUMBER(SEARCH("Party Name:-",'R.M Billets Reports'!D1886)),TRIM('R.M Billets Reports'!F1886),IF(ISNUMBER(SEARCH("Party Name-",'R.M Billets Reports'!D1886)),TRIM(MID('R.M Billets Reports'!D1886,SEARCH("-",'R.M Billets Reports'!D1886)+1,200)),"")),IF(ISNUMBER(SEARCH("Party Name:-",'R.M Billets Reports'!D1887)),TRIM('R.M Billets Reports'!F1887),IF(ISNUMBER(SEARCH("Party Name-",'R.M Billets Reports'!D1887)),TRIM(MID('R.M Billets Reports'!D1887,SEARCH("-",'R.M Billets Reports'!D1887)+1,200)),"")))="SHREE RADHE SHAKTI SPONGE AND POWER PVT. LTD.","SHREE RADHE",IF(IF(ISNUMBER(SEARCH("Party Name:-",'R.M Billets Reports'!D1886)),TRIM('R.M Billets Reports'!F1886),IF(ISNUMBER(SEARCH("Party Name-",'R.M Billets Reports'!D1886)),TRIM(MID('R.M Billets Reports'!D1886,SEARCH("-",'R.M Billets Reports'!D1886)+1,200)),""))&lt;&gt;"",IF(ISNUMBER(SEARCH("Party Name:-",'R.M Billets Reports'!D1886)),TRIM('R.M Billets Reports'!F1886),IF(ISNUMBER(SEARCH("Party Name-",'R.M Billets Reports'!D1886)),TRIM(MID('R.M Billets Reports'!D1886,SEARCH("-",'R.M Billets Reports'!D1886)+1,200)),"")),IF(ISNUMBER(SEARCH("Party Name:-",'R.M Billets Reports'!D1887)),TRIM('R.M Billets Reports'!F1887),IF(ISNUMBER(SEARCH("Party Name-",'R.M Billets Reports'!D1887)),TRIM(MID('R.M Billets Reports'!D1887,SEARCH("-",'R.M Billets Reports'!D1887)+1,200)),"")))))),IF(ROW()=2,"",A1886))</f>
      </c>
      <c r="B1887">
        <f>IF(OR('R.M Billets Reports'!A1886="Date-",'R.M Billets Reports'!A1886="Date:-"),'R.M Billets Reports'!B1886,IF(ROW()=2,"",B1886))</f>
      </c>
      <c r="C1887">
        <f>IF('R.M Billets Reports'!A1886="V.No.",'R.M Billets Reports'!B1886,IF(ROW()=2,"",C1886))</f>
      </c>
      <c r="D1887">
        <f>IF('R.M Billets Reports'!A1886&lt;&gt;"",'R.M Billets Reports'!A1886,IF(ROW()=2,"",D1886))</f>
      </c>
      <c r="E1887">
        <f>IF('R.M Billets Reports'!B1886="","",TRIM('R.M Billets Reports'!B1886))</f>
      </c>
      <c r="F1887">
        <f>'R.M Billets Reports'!C1886</f>
      </c>
      <c r="G1887">
        <f>'R.M Billets Reports'!D1886</f>
      </c>
      <c r="H1887">
        <f>'R.M Billets Reports'!E1886</f>
      </c>
      <c r="I1887">
        <f>'R.M Billets Reports'!F1886</f>
      </c>
      <c r="J1887">
        <f>'R.M Billets Reports'!G1886</f>
      </c>
      <c r="K1887">
        <f>'R.M Billets Reports'!H1886</f>
      </c>
      <c r="L1887">
        <f>IF('R.M Billets Reports'!I1886="","",'R.M Billets Reports'!I1886)</f>
      </c>
      <c r="M1887">
        <f t="shared" si="58"/>
      </c>
      <c r="N1887">
        <f>IF('R.M Billets Reports'!J1886="","",'R.M Billets Reports'!J1886)</f>
      </c>
      <c r="O1887">
        <f t="shared" si="59"/>
      </c>
      <c r="P1887">
        <f>IF('R.M Billets Reports'!A1886="SIZE",'R.M Billets Reports'!B1886,P1886)</f>
      </c>
    </row>
    <row r="1888" spans="1:16" x14ac:dyDescent="0.25">
      <c r="A1888">
        <f>IF(OR('R.M Billets Reports'!A1887="Date-",'R.M Billets Reports'!A1887="Date:-"),IF(IF(IF(ISNUMBER(SEARCH("Party Name:-",'R.M Billets Reports'!D1887)),TRIM('R.M Billets Reports'!F1887),IF(ISNUMBER(SEARCH("Party Name-",'R.M Billets Reports'!D1887)),TRIM(MID('R.M Billets Reports'!D1887,SEARCH("-",'R.M Billets Reports'!D1887)+1,200)),""))&lt;&gt;"",IF(ISNUMBER(SEARCH("Party Name:-",'R.M Billets Reports'!D1887)),TRIM('R.M Billets Reports'!F1887),IF(ISNUMBER(SEARCH("Party Name-",'R.M Billets Reports'!D1887)),TRIM(MID('R.M Billets Reports'!D1887,SEARCH("-",'R.M Billets Reports'!D1887)+1,200)),"")),IF(ISNUMBER(SEARCH("Party Name:-",'R.M Billets Reports'!D1888)),TRIM('R.M Billets Reports'!F1888),IF(ISNUMBER(SEARCH("Party Name-",'R.M Billets Reports'!D1888)),TRIM(MID('R.M Billets Reports'!D1888,SEARCH("-",'R.M Billets Reports'!D1888)+1,200)),"")))="VRKP ISPAT PVT LTD","VRKP",IF(IF(IF(ISNUMBER(SEARCH("Party Name:-",'R.M Billets Reports'!D1887)),TRIM('R.M Billets Reports'!F1887),IF(ISNUMBER(SEARCH("Party Name-",'R.M Billets Reports'!D1887)),TRIM(MID('R.M Billets Reports'!D1887,SEARCH("-",'R.M Billets Reports'!D1887)+1,200)),""))&lt;&gt;"",IF(ISNUMBER(SEARCH("Party Name:-",'R.M Billets Reports'!D1887)),TRIM('R.M Billets Reports'!F1887),IF(ISNUMBER(SEARCH("Party Name-",'R.M Billets Reports'!D1887)),TRIM(MID('R.M Billets Reports'!D1887,SEARCH("-",'R.M Billets Reports'!D1887)+1,200)),"")),IF(ISNUMBER(SEARCH("Party Name:-",'R.M Billets Reports'!D1888)),TRIM('R.M Billets Reports'!F1888),IF(ISNUMBER(SEARCH("Party Name-",'R.M Billets Reports'!D1888)),TRIM(MID('R.M Billets Reports'!D1888,SEARCH("-",'R.M Billets Reports'!D1888)+1,200)),"")))="SHRI RADHE","SHREE RADHE",IF(IF(IF(ISNUMBER(SEARCH("Party Name:-",'R.M Billets Reports'!D1887)),TRIM('R.M Billets Reports'!F1887),IF(ISNUMBER(SEARCH("Party Name-",'R.M Billets Reports'!D1887)),TRIM(MID('R.M Billets Reports'!D1887,SEARCH("-",'R.M Billets Reports'!D1887)+1,200)),""))&lt;&gt;"",IF(ISNUMBER(SEARCH("Party Name:-",'R.M Billets Reports'!D1887)),TRIM('R.M Billets Reports'!F1887),IF(ISNUMBER(SEARCH("Party Name-",'R.M Billets Reports'!D1887)),TRIM(MID('R.M Billets Reports'!D1887,SEARCH("-",'R.M Billets Reports'!D1887)+1,200)),"")),IF(ISNUMBER(SEARCH("Party Name:-",'R.M Billets Reports'!D1888)),TRIM('R.M Billets Reports'!F1888),IF(ISNUMBER(SEARCH("Party Name-",'R.M Billets Reports'!D1888)),TRIM(MID('R.M Billets Reports'!D1888,SEARCH("-",'R.M Billets Reports'!D1888)+1,200)),"")))="SHREE RADHE SHAKTI SPONGE AND POWER PVT. LTD.","SHREE RADHE",IF(IF(ISNUMBER(SEARCH("Party Name:-",'R.M Billets Reports'!D1887)),TRIM('R.M Billets Reports'!F1887),IF(ISNUMBER(SEARCH("Party Name-",'R.M Billets Reports'!D1887)),TRIM(MID('R.M Billets Reports'!D1887,SEARCH("-",'R.M Billets Reports'!D1887)+1,200)),""))&lt;&gt;"",IF(ISNUMBER(SEARCH("Party Name:-",'R.M Billets Reports'!D1887)),TRIM('R.M Billets Reports'!F1887),IF(ISNUMBER(SEARCH("Party Name-",'R.M Billets Reports'!D1887)),TRIM(MID('R.M Billets Reports'!D1887,SEARCH("-",'R.M Billets Reports'!D1887)+1,200)),"")),IF(ISNUMBER(SEARCH("Party Name:-",'R.M Billets Reports'!D1888)),TRIM('R.M Billets Reports'!F1888),IF(ISNUMBER(SEARCH("Party Name-",'R.M Billets Reports'!D1888)),TRIM(MID('R.M Billets Reports'!D1888,SEARCH("-",'R.M Billets Reports'!D1888)+1,200)),"")))))),IF(ROW()=2,"",A1887))</f>
      </c>
      <c r="B1888">
        <f>IF(OR('R.M Billets Reports'!A1887="Date-",'R.M Billets Reports'!A1887="Date:-"),'R.M Billets Reports'!B1887,IF(ROW()=2,"",B1887))</f>
      </c>
      <c r="C1888">
        <f>IF('R.M Billets Reports'!A1887="V.No.",'R.M Billets Reports'!B1887,IF(ROW()=2,"",C1887))</f>
      </c>
      <c r="D1888">
        <f>IF('R.M Billets Reports'!A1887&lt;&gt;"",'R.M Billets Reports'!A1887,IF(ROW()=2,"",D1887))</f>
      </c>
      <c r="E1888">
        <f>IF('R.M Billets Reports'!B1887="","",TRIM('R.M Billets Reports'!B1887))</f>
      </c>
      <c r="F1888">
        <f>'R.M Billets Reports'!C1887</f>
      </c>
      <c r="G1888">
        <f>'R.M Billets Reports'!D1887</f>
      </c>
      <c r="H1888">
        <f>'R.M Billets Reports'!E1887</f>
      </c>
      <c r="I1888">
        <f>'R.M Billets Reports'!F1887</f>
      </c>
      <c r="J1888">
        <f>'R.M Billets Reports'!G1887</f>
      </c>
      <c r="K1888">
        <f>'R.M Billets Reports'!H1887</f>
      </c>
      <c r="L1888">
        <f>IF('R.M Billets Reports'!I1887="","",'R.M Billets Reports'!I1887)</f>
      </c>
      <c r="M1888">
        <f t="shared" si="58"/>
      </c>
      <c r="N1888">
        <f>IF('R.M Billets Reports'!J1887="","",'R.M Billets Reports'!J1887)</f>
      </c>
      <c r="O1888">
        <f t="shared" si="59"/>
      </c>
      <c r="P1888">
        <f>IF('R.M Billets Reports'!A1887="SIZE",'R.M Billets Reports'!B1887,P1887)</f>
      </c>
    </row>
    <row r="1889" spans="1:16" x14ac:dyDescent="0.25">
      <c r="A1889">
        <f>IF(OR('R.M Billets Reports'!A1888="Date-",'R.M Billets Reports'!A1888="Date:-"),IF(IF(IF(ISNUMBER(SEARCH("Party Name:-",'R.M Billets Reports'!D1888)),TRIM('R.M Billets Reports'!F1888),IF(ISNUMBER(SEARCH("Party Name-",'R.M Billets Reports'!D1888)),TRIM(MID('R.M Billets Reports'!D1888,SEARCH("-",'R.M Billets Reports'!D1888)+1,200)),""))&lt;&gt;"",IF(ISNUMBER(SEARCH("Party Name:-",'R.M Billets Reports'!D1888)),TRIM('R.M Billets Reports'!F1888),IF(ISNUMBER(SEARCH("Party Name-",'R.M Billets Reports'!D1888)),TRIM(MID('R.M Billets Reports'!D1888,SEARCH("-",'R.M Billets Reports'!D1888)+1,200)),"")),IF(ISNUMBER(SEARCH("Party Name:-",'R.M Billets Reports'!D1889)),TRIM('R.M Billets Reports'!F1889),IF(ISNUMBER(SEARCH("Party Name-",'R.M Billets Reports'!D1889)),TRIM(MID('R.M Billets Reports'!D1889,SEARCH("-",'R.M Billets Reports'!D1889)+1,200)),"")))="VRKP ISPAT PVT LTD","VRKP",IF(IF(IF(ISNUMBER(SEARCH("Party Name:-",'R.M Billets Reports'!D1888)),TRIM('R.M Billets Reports'!F1888),IF(ISNUMBER(SEARCH("Party Name-",'R.M Billets Reports'!D1888)),TRIM(MID('R.M Billets Reports'!D1888,SEARCH("-",'R.M Billets Reports'!D1888)+1,200)),""))&lt;&gt;"",IF(ISNUMBER(SEARCH("Party Name:-",'R.M Billets Reports'!D1888)),TRIM('R.M Billets Reports'!F1888),IF(ISNUMBER(SEARCH("Party Name-",'R.M Billets Reports'!D1888)),TRIM(MID('R.M Billets Reports'!D1888,SEARCH("-",'R.M Billets Reports'!D1888)+1,200)),"")),IF(ISNUMBER(SEARCH("Party Name:-",'R.M Billets Reports'!D1889)),TRIM('R.M Billets Reports'!F1889),IF(ISNUMBER(SEARCH("Party Name-",'R.M Billets Reports'!D1889)),TRIM(MID('R.M Billets Reports'!D1889,SEARCH("-",'R.M Billets Reports'!D1889)+1,200)),"")))="SHRI RADHE","SHREE RADHE",IF(IF(IF(ISNUMBER(SEARCH("Party Name:-",'R.M Billets Reports'!D1888)),TRIM('R.M Billets Reports'!F1888),IF(ISNUMBER(SEARCH("Party Name-",'R.M Billets Reports'!D1888)),TRIM(MID('R.M Billets Reports'!D1888,SEARCH("-",'R.M Billets Reports'!D1888)+1,200)),""))&lt;&gt;"",IF(ISNUMBER(SEARCH("Party Name:-",'R.M Billets Reports'!D1888)),TRIM('R.M Billets Reports'!F1888),IF(ISNUMBER(SEARCH("Party Name-",'R.M Billets Reports'!D1888)),TRIM(MID('R.M Billets Reports'!D1888,SEARCH("-",'R.M Billets Reports'!D1888)+1,200)),"")),IF(ISNUMBER(SEARCH("Party Name:-",'R.M Billets Reports'!D1889)),TRIM('R.M Billets Reports'!F1889),IF(ISNUMBER(SEARCH("Party Name-",'R.M Billets Reports'!D1889)),TRIM(MID('R.M Billets Reports'!D1889,SEARCH("-",'R.M Billets Reports'!D1889)+1,200)),"")))="SHREE RADHE SHAKTI SPONGE AND POWER PVT. LTD.","SHREE RADHE",IF(IF(ISNUMBER(SEARCH("Party Name:-",'R.M Billets Reports'!D1888)),TRIM('R.M Billets Reports'!F1888),IF(ISNUMBER(SEARCH("Party Name-",'R.M Billets Reports'!D1888)),TRIM(MID('R.M Billets Reports'!D1888,SEARCH("-",'R.M Billets Reports'!D1888)+1,200)),""))&lt;&gt;"",IF(ISNUMBER(SEARCH("Party Name:-",'R.M Billets Reports'!D1888)),TRIM('R.M Billets Reports'!F1888),IF(ISNUMBER(SEARCH("Party Name-",'R.M Billets Reports'!D1888)),TRIM(MID('R.M Billets Reports'!D1888,SEARCH("-",'R.M Billets Reports'!D1888)+1,200)),"")),IF(ISNUMBER(SEARCH("Party Name:-",'R.M Billets Reports'!D1889)),TRIM('R.M Billets Reports'!F1889),IF(ISNUMBER(SEARCH("Party Name-",'R.M Billets Reports'!D1889)),TRIM(MID('R.M Billets Reports'!D1889,SEARCH("-",'R.M Billets Reports'!D1889)+1,200)),"")))))),IF(ROW()=2,"",A1888))</f>
      </c>
      <c r="B1889">
        <f>IF(OR('R.M Billets Reports'!A1888="Date-",'R.M Billets Reports'!A1888="Date:-"),'R.M Billets Reports'!B1888,IF(ROW()=2,"",B1888))</f>
      </c>
      <c r="C1889">
        <f>IF('R.M Billets Reports'!A1888="V.No.",'R.M Billets Reports'!B1888,IF(ROW()=2,"",C1888))</f>
      </c>
      <c r="D1889">
        <f>IF('R.M Billets Reports'!A1888&lt;&gt;"",'R.M Billets Reports'!A1888,IF(ROW()=2,"",D1888))</f>
      </c>
      <c r="E1889">
        <f>IF('R.M Billets Reports'!B1888="","",TRIM('R.M Billets Reports'!B1888))</f>
      </c>
      <c r="F1889">
        <f>'R.M Billets Reports'!C1888</f>
      </c>
      <c r="G1889">
        <f>'R.M Billets Reports'!D1888</f>
      </c>
      <c r="H1889">
        <f>'R.M Billets Reports'!E1888</f>
      </c>
      <c r="I1889">
        <f>'R.M Billets Reports'!F1888</f>
      </c>
      <c r="J1889">
        <f>'R.M Billets Reports'!G1888</f>
      </c>
      <c r="K1889">
        <f>'R.M Billets Reports'!H1888</f>
      </c>
      <c r="L1889">
        <f>IF('R.M Billets Reports'!I1888="","",'R.M Billets Reports'!I1888)</f>
      </c>
      <c r="M1889">
        <f t="shared" si="58"/>
      </c>
      <c r="N1889">
        <f>IF('R.M Billets Reports'!J1888="","",'R.M Billets Reports'!J1888)</f>
      </c>
      <c r="O1889">
        <f t="shared" si="59"/>
      </c>
      <c r="P1889">
        <f>IF('R.M Billets Reports'!A1888="SIZE",'R.M Billets Reports'!B1888,P1888)</f>
      </c>
    </row>
    <row r="1890" spans="1:16" x14ac:dyDescent="0.25">
      <c r="A1890">
        <f>IF(OR('R.M Billets Reports'!A1889="Date-",'R.M Billets Reports'!A1889="Date:-"),IF(IF(IF(ISNUMBER(SEARCH("Party Name:-",'R.M Billets Reports'!D1889)),TRIM('R.M Billets Reports'!F1889),IF(ISNUMBER(SEARCH("Party Name-",'R.M Billets Reports'!D1889)),TRIM(MID('R.M Billets Reports'!D1889,SEARCH("-",'R.M Billets Reports'!D1889)+1,200)),""))&lt;&gt;"",IF(ISNUMBER(SEARCH("Party Name:-",'R.M Billets Reports'!D1889)),TRIM('R.M Billets Reports'!F1889),IF(ISNUMBER(SEARCH("Party Name-",'R.M Billets Reports'!D1889)),TRIM(MID('R.M Billets Reports'!D1889,SEARCH("-",'R.M Billets Reports'!D1889)+1,200)),"")),IF(ISNUMBER(SEARCH("Party Name:-",'R.M Billets Reports'!D1890)),TRIM('R.M Billets Reports'!F1890),IF(ISNUMBER(SEARCH("Party Name-",'R.M Billets Reports'!D1890)),TRIM(MID('R.M Billets Reports'!D1890,SEARCH("-",'R.M Billets Reports'!D1890)+1,200)),"")))="VRKP ISPAT PVT LTD","VRKP",IF(IF(IF(ISNUMBER(SEARCH("Party Name:-",'R.M Billets Reports'!D1889)),TRIM('R.M Billets Reports'!F1889),IF(ISNUMBER(SEARCH("Party Name-",'R.M Billets Reports'!D1889)),TRIM(MID('R.M Billets Reports'!D1889,SEARCH("-",'R.M Billets Reports'!D1889)+1,200)),""))&lt;&gt;"",IF(ISNUMBER(SEARCH("Party Name:-",'R.M Billets Reports'!D1889)),TRIM('R.M Billets Reports'!F1889),IF(ISNUMBER(SEARCH("Party Name-",'R.M Billets Reports'!D1889)),TRIM(MID('R.M Billets Reports'!D1889,SEARCH("-",'R.M Billets Reports'!D1889)+1,200)),"")),IF(ISNUMBER(SEARCH("Party Name:-",'R.M Billets Reports'!D1890)),TRIM('R.M Billets Reports'!F1890),IF(ISNUMBER(SEARCH("Party Name-",'R.M Billets Reports'!D1890)),TRIM(MID('R.M Billets Reports'!D1890,SEARCH("-",'R.M Billets Reports'!D1890)+1,200)),"")))="SHRI RADHE","SHREE RADHE",IF(IF(IF(ISNUMBER(SEARCH("Party Name:-",'R.M Billets Reports'!D1889)),TRIM('R.M Billets Reports'!F1889),IF(ISNUMBER(SEARCH("Party Name-",'R.M Billets Reports'!D1889)),TRIM(MID('R.M Billets Reports'!D1889,SEARCH("-",'R.M Billets Reports'!D1889)+1,200)),""))&lt;&gt;"",IF(ISNUMBER(SEARCH("Party Name:-",'R.M Billets Reports'!D1889)),TRIM('R.M Billets Reports'!F1889),IF(ISNUMBER(SEARCH("Party Name-",'R.M Billets Reports'!D1889)),TRIM(MID('R.M Billets Reports'!D1889,SEARCH("-",'R.M Billets Reports'!D1889)+1,200)),"")),IF(ISNUMBER(SEARCH("Party Name:-",'R.M Billets Reports'!D1890)),TRIM('R.M Billets Reports'!F1890),IF(ISNUMBER(SEARCH("Party Name-",'R.M Billets Reports'!D1890)),TRIM(MID('R.M Billets Reports'!D1890,SEARCH("-",'R.M Billets Reports'!D1890)+1,200)),"")))="SHREE RADHE SHAKTI SPONGE AND POWER PVT. LTD.","SHREE RADHE",IF(IF(ISNUMBER(SEARCH("Party Name:-",'R.M Billets Reports'!D1889)),TRIM('R.M Billets Reports'!F1889),IF(ISNUMBER(SEARCH("Party Name-",'R.M Billets Reports'!D1889)),TRIM(MID('R.M Billets Reports'!D1889,SEARCH("-",'R.M Billets Reports'!D1889)+1,200)),""))&lt;&gt;"",IF(ISNUMBER(SEARCH("Party Name:-",'R.M Billets Reports'!D1889)),TRIM('R.M Billets Reports'!F1889),IF(ISNUMBER(SEARCH("Party Name-",'R.M Billets Reports'!D1889)),TRIM(MID('R.M Billets Reports'!D1889,SEARCH("-",'R.M Billets Reports'!D1889)+1,200)),"")),IF(ISNUMBER(SEARCH("Party Name:-",'R.M Billets Reports'!D1890)),TRIM('R.M Billets Reports'!F1890),IF(ISNUMBER(SEARCH("Party Name-",'R.M Billets Reports'!D1890)),TRIM(MID('R.M Billets Reports'!D1890,SEARCH("-",'R.M Billets Reports'!D1890)+1,200)),"")))))),IF(ROW()=2,"",A1889))</f>
      </c>
      <c r="B1890">
        <f>IF(OR('R.M Billets Reports'!A1889="Date-",'R.M Billets Reports'!A1889="Date:-"),'R.M Billets Reports'!B1889,IF(ROW()=2,"",B1889))</f>
      </c>
      <c r="C1890">
        <f>IF('R.M Billets Reports'!A1889="V.No.",'R.M Billets Reports'!B1889,IF(ROW()=2,"",C1889))</f>
      </c>
      <c r="D1890">
        <f>IF('R.M Billets Reports'!A1889&lt;&gt;"",'R.M Billets Reports'!A1889,IF(ROW()=2,"",D1889))</f>
      </c>
      <c r="E1890">
        <f>IF('R.M Billets Reports'!B1889="","",TRIM('R.M Billets Reports'!B1889))</f>
      </c>
      <c r="F1890">
        <f>'R.M Billets Reports'!C1889</f>
      </c>
      <c r="G1890">
        <f>'R.M Billets Reports'!D1889</f>
      </c>
      <c r="H1890">
        <f>'R.M Billets Reports'!E1889</f>
      </c>
      <c r="I1890">
        <f>'R.M Billets Reports'!F1889</f>
      </c>
      <c r="J1890">
        <f>'R.M Billets Reports'!G1889</f>
      </c>
      <c r="K1890">
        <f>'R.M Billets Reports'!H1889</f>
      </c>
      <c r="L1890">
        <f>IF('R.M Billets Reports'!I1889="","",'R.M Billets Reports'!I1889)</f>
      </c>
      <c r="M1890">
        <f t="shared" si="58"/>
      </c>
      <c r="N1890">
        <f>IF('R.M Billets Reports'!J1889="","",'R.M Billets Reports'!J1889)</f>
      </c>
      <c r="O1890">
        <f t="shared" si="59"/>
      </c>
      <c r="P1890">
        <f>IF('R.M Billets Reports'!A1889="SIZE",'R.M Billets Reports'!B1889,P1889)</f>
      </c>
    </row>
    <row r="1891" spans="1:16" x14ac:dyDescent="0.25">
      <c r="A1891">
        <f>IF(OR('R.M Billets Reports'!A1890="Date-",'R.M Billets Reports'!A1890="Date:-"),IF(IF(IF(ISNUMBER(SEARCH("Party Name:-",'R.M Billets Reports'!D1890)),TRIM('R.M Billets Reports'!F1890),IF(ISNUMBER(SEARCH("Party Name-",'R.M Billets Reports'!D1890)),TRIM(MID('R.M Billets Reports'!D1890,SEARCH("-",'R.M Billets Reports'!D1890)+1,200)),""))&lt;&gt;"",IF(ISNUMBER(SEARCH("Party Name:-",'R.M Billets Reports'!D1890)),TRIM('R.M Billets Reports'!F1890),IF(ISNUMBER(SEARCH("Party Name-",'R.M Billets Reports'!D1890)),TRIM(MID('R.M Billets Reports'!D1890,SEARCH("-",'R.M Billets Reports'!D1890)+1,200)),"")),IF(ISNUMBER(SEARCH("Party Name:-",'R.M Billets Reports'!D1891)),TRIM('R.M Billets Reports'!F1891),IF(ISNUMBER(SEARCH("Party Name-",'R.M Billets Reports'!D1891)),TRIM(MID('R.M Billets Reports'!D1891,SEARCH("-",'R.M Billets Reports'!D1891)+1,200)),"")))="VRKP ISPAT PVT LTD","VRKP",IF(IF(IF(ISNUMBER(SEARCH("Party Name:-",'R.M Billets Reports'!D1890)),TRIM('R.M Billets Reports'!F1890),IF(ISNUMBER(SEARCH("Party Name-",'R.M Billets Reports'!D1890)),TRIM(MID('R.M Billets Reports'!D1890,SEARCH("-",'R.M Billets Reports'!D1890)+1,200)),""))&lt;&gt;"",IF(ISNUMBER(SEARCH("Party Name:-",'R.M Billets Reports'!D1890)),TRIM('R.M Billets Reports'!F1890),IF(ISNUMBER(SEARCH("Party Name-",'R.M Billets Reports'!D1890)),TRIM(MID('R.M Billets Reports'!D1890,SEARCH("-",'R.M Billets Reports'!D1890)+1,200)),"")),IF(ISNUMBER(SEARCH("Party Name:-",'R.M Billets Reports'!D1891)),TRIM('R.M Billets Reports'!F1891),IF(ISNUMBER(SEARCH("Party Name-",'R.M Billets Reports'!D1891)),TRIM(MID('R.M Billets Reports'!D1891,SEARCH("-",'R.M Billets Reports'!D1891)+1,200)),"")))="SHRI RADHE","SHREE RADHE",IF(IF(IF(ISNUMBER(SEARCH("Party Name:-",'R.M Billets Reports'!D1890)),TRIM('R.M Billets Reports'!F1890),IF(ISNUMBER(SEARCH("Party Name-",'R.M Billets Reports'!D1890)),TRIM(MID('R.M Billets Reports'!D1890,SEARCH("-",'R.M Billets Reports'!D1890)+1,200)),""))&lt;&gt;"",IF(ISNUMBER(SEARCH("Party Name:-",'R.M Billets Reports'!D1890)),TRIM('R.M Billets Reports'!F1890),IF(ISNUMBER(SEARCH("Party Name-",'R.M Billets Reports'!D1890)),TRIM(MID('R.M Billets Reports'!D1890,SEARCH("-",'R.M Billets Reports'!D1890)+1,200)),"")),IF(ISNUMBER(SEARCH("Party Name:-",'R.M Billets Reports'!D1891)),TRIM('R.M Billets Reports'!F1891),IF(ISNUMBER(SEARCH("Party Name-",'R.M Billets Reports'!D1891)),TRIM(MID('R.M Billets Reports'!D1891,SEARCH("-",'R.M Billets Reports'!D1891)+1,200)),"")))="SHREE RADHE SHAKTI SPONGE AND POWER PVT. LTD.","SHREE RADHE",IF(IF(ISNUMBER(SEARCH("Party Name:-",'R.M Billets Reports'!D1890)),TRIM('R.M Billets Reports'!F1890),IF(ISNUMBER(SEARCH("Party Name-",'R.M Billets Reports'!D1890)),TRIM(MID('R.M Billets Reports'!D1890,SEARCH("-",'R.M Billets Reports'!D1890)+1,200)),""))&lt;&gt;"",IF(ISNUMBER(SEARCH("Party Name:-",'R.M Billets Reports'!D1890)),TRIM('R.M Billets Reports'!F1890),IF(ISNUMBER(SEARCH("Party Name-",'R.M Billets Reports'!D1890)),TRIM(MID('R.M Billets Reports'!D1890,SEARCH("-",'R.M Billets Reports'!D1890)+1,200)),"")),IF(ISNUMBER(SEARCH("Party Name:-",'R.M Billets Reports'!D1891)),TRIM('R.M Billets Reports'!F1891),IF(ISNUMBER(SEARCH("Party Name-",'R.M Billets Reports'!D1891)),TRIM(MID('R.M Billets Reports'!D1891,SEARCH("-",'R.M Billets Reports'!D1891)+1,200)),"")))))),IF(ROW()=2,"",A1890))</f>
      </c>
      <c r="B1891">
        <f>IF(OR('R.M Billets Reports'!A1890="Date-",'R.M Billets Reports'!A1890="Date:-"),'R.M Billets Reports'!B1890,IF(ROW()=2,"",B1890))</f>
      </c>
      <c r="C1891">
        <f>IF('R.M Billets Reports'!A1890="V.No.",'R.M Billets Reports'!B1890,IF(ROW()=2,"",C1890))</f>
      </c>
      <c r="D1891">
        <f>IF('R.M Billets Reports'!A1890&lt;&gt;"",'R.M Billets Reports'!A1890,IF(ROW()=2,"",D1890))</f>
      </c>
      <c r="E1891">
        <f>IF('R.M Billets Reports'!B1890="","",TRIM('R.M Billets Reports'!B1890))</f>
      </c>
      <c r="F1891">
        <f>'R.M Billets Reports'!C1890</f>
      </c>
      <c r="G1891">
        <f>'R.M Billets Reports'!D1890</f>
      </c>
      <c r="H1891">
        <f>'R.M Billets Reports'!E1890</f>
      </c>
      <c r="I1891">
        <f>'R.M Billets Reports'!F1890</f>
      </c>
      <c r="J1891">
        <f>'R.M Billets Reports'!G1890</f>
      </c>
      <c r="K1891">
        <f>'R.M Billets Reports'!H1890</f>
      </c>
      <c r="L1891">
        <f>IF('R.M Billets Reports'!I1890="","",'R.M Billets Reports'!I1890)</f>
      </c>
      <c r="M1891">
        <f t="shared" si="58"/>
      </c>
      <c r="N1891">
        <f>IF('R.M Billets Reports'!J1890="","",'R.M Billets Reports'!J1890)</f>
      </c>
      <c r="O1891">
        <f t="shared" si="59"/>
      </c>
      <c r="P1891">
        <f>IF('R.M Billets Reports'!A1890="SIZE",'R.M Billets Reports'!B1890,P1890)</f>
      </c>
    </row>
    <row r="1892" spans="1:16" x14ac:dyDescent="0.25">
      <c r="A1892">
        <f>IF(OR('R.M Billets Reports'!A1891="Date-",'R.M Billets Reports'!A1891="Date:-"),IF(IF(IF(ISNUMBER(SEARCH("Party Name:-",'R.M Billets Reports'!D1891)),TRIM('R.M Billets Reports'!F1891),IF(ISNUMBER(SEARCH("Party Name-",'R.M Billets Reports'!D1891)),TRIM(MID('R.M Billets Reports'!D1891,SEARCH("-",'R.M Billets Reports'!D1891)+1,200)),""))&lt;&gt;"",IF(ISNUMBER(SEARCH("Party Name:-",'R.M Billets Reports'!D1891)),TRIM('R.M Billets Reports'!F1891),IF(ISNUMBER(SEARCH("Party Name-",'R.M Billets Reports'!D1891)),TRIM(MID('R.M Billets Reports'!D1891,SEARCH("-",'R.M Billets Reports'!D1891)+1,200)),"")),IF(ISNUMBER(SEARCH("Party Name:-",'R.M Billets Reports'!D1892)),TRIM('R.M Billets Reports'!F1892),IF(ISNUMBER(SEARCH("Party Name-",'R.M Billets Reports'!D1892)),TRIM(MID('R.M Billets Reports'!D1892,SEARCH("-",'R.M Billets Reports'!D1892)+1,200)),"")))="VRKP ISPAT PVT LTD","VRKP",IF(IF(IF(ISNUMBER(SEARCH("Party Name:-",'R.M Billets Reports'!D1891)),TRIM('R.M Billets Reports'!F1891),IF(ISNUMBER(SEARCH("Party Name-",'R.M Billets Reports'!D1891)),TRIM(MID('R.M Billets Reports'!D1891,SEARCH("-",'R.M Billets Reports'!D1891)+1,200)),""))&lt;&gt;"",IF(ISNUMBER(SEARCH("Party Name:-",'R.M Billets Reports'!D1891)),TRIM('R.M Billets Reports'!F1891),IF(ISNUMBER(SEARCH("Party Name-",'R.M Billets Reports'!D1891)),TRIM(MID('R.M Billets Reports'!D1891,SEARCH("-",'R.M Billets Reports'!D1891)+1,200)),"")),IF(ISNUMBER(SEARCH("Party Name:-",'R.M Billets Reports'!D1892)),TRIM('R.M Billets Reports'!F1892),IF(ISNUMBER(SEARCH("Party Name-",'R.M Billets Reports'!D1892)),TRIM(MID('R.M Billets Reports'!D1892,SEARCH("-",'R.M Billets Reports'!D1892)+1,200)),"")))="SHRI RADHE","SHREE RADHE",IF(IF(IF(ISNUMBER(SEARCH("Party Name:-",'R.M Billets Reports'!D1891)),TRIM('R.M Billets Reports'!F1891),IF(ISNUMBER(SEARCH("Party Name-",'R.M Billets Reports'!D1891)),TRIM(MID('R.M Billets Reports'!D1891,SEARCH("-",'R.M Billets Reports'!D1891)+1,200)),""))&lt;&gt;"",IF(ISNUMBER(SEARCH("Party Name:-",'R.M Billets Reports'!D1891)),TRIM('R.M Billets Reports'!F1891),IF(ISNUMBER(SEARCH("Party Name-",'R.M Billets Reports'!D1891)),TRIM(MID('R.M Billets Reports'!D1891,SEARCH("-",'R.M Billets Reports'!D1891)+1,200)),"")),IF(ISNUMBER(SEARCH("Party Name:-",'R.M Billets Reports'!D1892)),TRIM('R.M Billets Reports'!F1892),IF(ISNUMBER(SEARCH("Party Name-",'R.M Billets Reports'!D1892)),TRIM(MID('R.M Billets Reports'!D1892,SEARCH("-",'R.M Billets Reports'!D1892)+1,200)),"")))="SHREE RADHE SHAKTI SPONGE AND POWER PVT. LTD.","SHREE RADHE",IF(IF(ISNUMBER(SEARCH("Party Name:-",'R.M Billets Reports'!D1891)),TRIM('R.M Billets Reports'!F1891),IF(ISNUMBER(SEARCH("Party Name-",'R.M Billets Reports'!D1891)),TRIM(MID('R.M Billets Reports'!D1891,SEARCH("-",'R.M Billets Reports'!D1891)+1,200)),""))&lt;&gt;"",IF(ISNUMBER(SEARCH("Party Name:-",'R.M Billets Reports'!D1891)),TRIM('R.M Billets Reports'!F1891),IF(ISNUMBER(SEARCH("Party Name-",'R.M Billets Reports'!D1891)),TRIM(MID('R.M Billets Reports'!D1891,SEARCH("-",'R.M Billets Reports'!D1891)+1,200)),"")),IF(ISNUMBER(SEARCH("Party Name:-",'R.M Billets Reports'!D1892)),TRIM('R.M Billets Reports'!F1892),IF(ISNUMBER(SEARCH("Party Name-",'R.M Billets Reports'!D1892)),TRIM(MID('R.M Billets Reports'!D1892,SEARCH("-",'R.M Billets Reports'!D1892)+1,200)),"")))))),IF(ROW()=2,"",A1891))</f>
      </c>
      <c r="B1892">
        <f>IF(OR('R.M Billets Reports'!A1891="Date-",'R.M Billets Reports'!A1891="Date:-"),'R.M Billets Reports'!B1891,IF(ROW()=2,"",B1891))</f>
      </c>
      <c r="C1892">
        <f>IF('R.M Billets Reports'!A1891="V.No.",'R.M Billets Reports'!B1891,IF(ROW()=2,"",C1891))</f>
      </c>
      <c r="D1892">
        <f>IF('R.M Billets Reports'!A1891&lt;&gt;"",'R.M Billets Reports'!A1891,IF(ROW()=2,"",D1891))</f>
      </c>
      <c r="E1892">
        <f>IF('R.M Billets Reports'!B1891="","",TRIM('R.M Billets Reports'!B1891))</f>
      </c>
      <c r="F1892">
        <f>'R.M Billets Reports'!C1891</f>
      </c>
      <c r="G1892">
        <f>'R.M Billets Reports'!D1891</f>
      </c>
      <c r="H1892">
        <f>'R.M Billets Reports'!E1891</f>
      </c>
      <c r="I1892">
        <f>'R.M Billets Reports'!F1891</f>
      </c>
      <c r="J1892">
        <f>'R.M Billets Reports'!G1891</f>
      </c>
      <c r="K1892">
        <f>'R.M Billets Reports'!H1891</f>
      </c>
      <c r="L1892">
        <f>IF('R.M Billets Reports'!I1891="","",'R.M Billets Reports'!I1891)</f>
      </c>
      <c r="M1892">
        <f t="shared" si="58"/>
      </c>
      <c r="N1892">
        <f>IF('R.M Billets Reports'!J1891="","",'R.M Billets Reports'!J1891)</f>
      </c>
      <c r="O1892">
        <f t="shared" si="59"/>
      </c>
      <c r="P1892">
        <f>IF('R.M Billets Reports'!A1891="SIZE",'R.M Billets Reports'!B1891,P1891)</f>
      </c>
    </row>
    <row r="1893" spans="1:16" x14ac:dyDescent="0.25">
      <c r="A1893">
        <f>IF(OR('R.M Billets Reports'!A1892="Date-",'R.M Billets Reports'!A1892="Date:-"),IF(IF(IF(ISNUMBER(SEARCH("Party Name:-",'R.M Billets Reports'!D1892)),TRIM('R.M Billets Reports'!F1892),IF(ISNUMBER(SEARCH("Party Name-",'R.M Billets Reports'!D1892)),TRIM(MID('R.M Billets Reports'!D1892,SEARCH("-",'R.M Billets Reports'!D1892)+1,200)),""))&lt;&gt;"",IF(ISNUMBER(SEARCH("Party Name:-",'R.M Billets Reports'!D1892)),TRIM('R.M Billets Reports'!F1892),IF(ISNUMBER(SEARCH("Party Name-",'R.M Billets Reports'!D1892)),TRIM(MID('R.M Billets Reports'!D1892,SEARCH("-",'R.M Billets Reports'!D1892)+1,200)),"")),IF(ISNUMBER(SEARCH("Party Name:-",'R.M Billets Reports'!D1893)),TRIM('R.M Billets Reports'!F1893),IF(ISNUMBER(SEARCH("Party Name-",'R.M Billets Reports'!D1893)),TRIM(MID('R.M Billets Reports'!D1893,SEARCH("-",'R.M Billets Reports'!D1893)+1,200)),"")))="VRKP ISPAT PVT LTD","VRKP",IF(IF(IF(ISNUMBER(SEARCH("Party Name:-",'R.M Billets Reports'!D1892)),TRIM('R.M Billets Reports'!F1892),IF(ISNUMBER(SEARCH("Party Name-",'R.M Billets Reports'!D1892)),TRIM(MID('R.M Billets Reports'!D1892,SEARCH("-",'R.M Billets Reports'!D1892)+1,200)),""))&lt;&gt;"",IF(ISNUMBER(SEARCH("Party Name:-",'R.M Billets Reports'!D1892)),TRIM('R.M Billets Reports'!F1892),IF(ISNUMBER(SEARCH("Party Name-",'R.M Billets Reports'!D1892)),TRIM(MID('R.M Billets Reports'!D1892,SEARCH("-",'R.M Billets Reports'!D1892)+1,200)),"")),IF(ISNUMBER(SEARCH("Party Name:-",'R.M Billets Reports'!D1893)),TRIM('R.M Billets Reports'!F1893),IF(ISNUMBER(SEARCH("Party Name-",'R.M Billets Reports'!D1893)),TRIM(MID('R.M Billets Reports'!D1893,SEARCH("-",'R.M Billets Reports'!D1893)+1,200)),"")))="SHRI RADHE","SHREE RADHE",IF(IF(IF(ISNUMBER(SEARCH("Party Name:-",'R.M Billets Reports'!D1892)),TRIM('R.M Billets Reports'!F1892),IF(ISNUMBER(SEARCH("Party Name-",'R.M Billets Reports'!D1892)),TRIM(MID('R.M Billets Reports'!D1892,SEARCH("-",'R.M Billets Reports'!D1892)+1,200)),""))&lt;&gt;"",IF(ISNUMBER(SEARCH("Party Name:-",'R.M Billets Reports'!D1892)),TRIM('R.M Billets Reports'!F1892),IF(ISNUMBER(SEARCH("Party Name-",'R.M Billets Reports'!D1892)),TRIM(MID('R.M Billets Reports'!D1892,SEARCH("-",'R.M Billets Reports'!D1892)+1,200)),"")),IF(ISNUMBER(SEARCH("Party Name:-",'R.M Billets Reports'!D1893)),TRIM('R.M Billets Reports'!F1893),IF(ISNUMBER(SEARCH("Party Name-",'R.M Billets Reports'!D1893)),TRIM(MID('R.M Billets Reports'!D1893,SEARCH("-",'R.M Billets Reports'!D1893)+1,200)),"")))="SHREE RADHE SHAKTI SPONGE AND POWER PVT. LTD.","SHREE RADHE",IF(IF(ISNUMBER(SEARCH("Party Name:-",'R.M Billets Reports'!D1892)),TRIM('R.M Billets Reports'!F1892),IF(ISNUMBER(SEARCH("Party Name-",'R.M Billets Reports'!D1892)),TRIM(MID('R.M Billets Reports'!D1892,SEARCH("-",'R.M Billets Reports'!D1892)+1,200)),""))&lt;&gt;"",IF(ISNUMBER(SEARCH("Party Name:-",'R.M Billets Reports'!D1892)),TRIM('R.M Billets Reports'!F1892),IF(ISNUMBER(SEARCH("Party Name-",'R.M Billets Reports'!D1892)),TRIM(MID('R.M Billets Reports'!D1892,SEARCH("-",'R.M Billets Reports'!D1892)+1,200)),"")),IF(ISNUMBER(SEARCH("Party Name:-",'R.M Billets Reports'!D1893)),TRIM('R.M Billets Reports'!F1893),IF(ISNUMBER(SEARCH("Party Name-",'R.M Billets Reports'!D1893)),TRIM(MID('R.M Billets Reports'!D1893,SEARCH("-",'R.M Billets Reports'!D1893)+1,200)),"")))))),IF(ROW()=2,"",A1892))</f>
      </c>
      <c r="B1893">
        <f>IF(OR('R.M Billets Reports'!A1892="Date-",'R.M Billets Reports'!A1892="Date:-"),'R.M Billets Reports'!B1892,IF(ROW()=2,"",B1892))</f>
      </c>
      <c r="C1893">
        <f>IF('R.M Billets Reports'!A1892="V.No.",'R.M Billets Reports'!B1892,IF(ROW()=2,"",C1892))</f>
      </c>
      <c r="D1893">
        <f>IF('R.M Billets Reports'!A1892&lt;&gt;"",'R.M Billets Reports'!A1892,IF(ROW()=2,"",D1892))</f>
      </c>
      <c r="E1893">
        <f>IF('R.M Billets Reports'!B1892="","",TRIM('R.M Billets Reports'!B1892))</f>
      </c>
      <c r="F1893">
        <f>'R.M Billets Reports'!C1892</f>
      </c>
      <c r="G1893">
        <f>'R.M Billets Reports'!D1892</f>
      </c>
      <c r="H1893">
        <f>'R.M Billets Reports'!E1892</f>
      </c>
      <c r="I1893">
        <f>'R.M Billets Reports'!F1892</f>
      </c>
      <c r="J1893">
        <f>'R.M Billets Reports'!G1892</f>
      </c>
      <c r="K1893">
        <f>'R.M Billets Reports'!H1892</f>
      </c>
      <c r="L1893">
        <f>IF('R.M Billets Reports'!I1892="","",'R.M Billets Reports'!I1892)</f>
      </c>
      <c r="M1893">
        <f t="shared" si="58"/>
      </c>
      <c r="N1893">
        <f>IF('R.M Billets Reports'!J1892="","",'R.M Billets Reports'!J1892)</f>
      </c>
      <c r="O1893">
        <f t="shared" si="59"/>
      </c>
      <c r="P1893">
        <f>IF('R.M Billets Reports'!A1892="SIZE",'R.M Billets Reports'!B1892,P1892)</f>
      </c>
    </row>
    <row r="1894" spans="1:16" x14ac:dyDescent="0.25">
      <c r="A1894">
        <f>IF(OR('R.M Billets Reports'!A1893="Date-",'R.M Billets Reports'!A1893="Date:-"),IF(IF(IF(ISNUMBER(SEARCH("Party Name:-",'R.M Billets Reports'!D1893)),TRIM('R.M Billets Reports'!F1893),IF(ISNUMBER(SEARCH("Party Name-",'R.M Billets Reports'!D1893)),TRIM(MID('R.M Billets Reports'!D1893,SEARCH("-",'R.M Billets Reports'!D1893)+1,200)),""))&lt;&gt;"",IF(ISNUMBER(SEARCH("Party Name:-",'R.M Billets Reports'!D1893)),TRIM('R.M Billets Reports'!F1893),IF(ISNUMBER(SEARCH("Party Name-",'R.M Billets Reports'!D1893)),TRIM(MID('R.M Billets Reports'!D1893,SEARCH("-",'R.M Billets Reports'!D1893)+1,200)),"")),IF(ISNUMBER(SEARCH("Party Name:-",'R.M Billets Reports'!D1894)),TRIM('R.M Billets Reports'!F1894),IF(ISNUMBER(SEARCH("Party Name-",'R.M Billets Reports'!D1894)),TRIM(MID('R.M Billets Reports'!D1894,SEARCH("-",'R.M Billets Reports'!D1894)+1,200)),"")))="VRKP ISPAT PVT LTD","VRKP",IF(IF(IF(ISNUMBER(SEARCH("Party Name:-",'R.M Billets Reports'!D1893)),TRIM('R.M Billets Reports'!F1893),IF(ISNUMBER(SEARCH("Party Name-",'R.M Billets Reports'!D1893)),TRIM(MID('R.M Billets Reports'!D1893,SEARCH("-",'R.M Billets Reports'!D1893)+1,200)),""))&lt;&gt;"",IF(ISNUMBER(SEARCH("Party Name:-",'R.M Billets Reports'!D1893)),TRIM('R.M Billets Reports'!F1893),IF(ISNUMBER(SEARCH("Party Name-",'R.M Billets Reports'!D1893)),TRIM(MID('R.M Billets Reports'!D1893,SEARCH("-",'R.M Billets Reports'!D1893)+1,200)),"")),IF(ISNUMBER(SEARCH("Party Name:-",'R.M Billets Reports'!D1894)),TRIM('R.M Billets Reports'!F1894),IF(ISNUMBER(SEARCH("Party Name-",'R.M Billets Reports'!D1894)),TRIM(MID('R.M Billets Reports'!D1894,SEARCH("-",'R.M Billets Reports'!D1894)+1,200)),"")))="SHRI RADHE","SHREE RADHE",IF(IF(IF(ISNUMBER(SEARCH("Party Name:-",'R.M Billets Reports'!D1893)),TRIM('R.M Billets Reports'!F1893),IF(ISNUMBER(SEARCH("Party Name-",'R.M Billets Reports'!D1893)),TRIM(MID('R.M Billets Reports'!D1893,SEARCH("-",'R.M Billets Reports'!D1893)+1,200)),""))&lt;&gt;"",IF(ISNUMBER(SEARCH("Party Name:-",'R.M Billets Reports'!D1893)),TRIM('R.M Billets Reports'!F1893),IF(ISNUMBER(SEARCH("Party Name-",'R.M Billets Reports'!D1893)),TRIM(MID('R.M Billets Reports'!D1893,SEARCH("-",'R.M Billets Reports'!D1893)+1,200)),"")),IF(ISNUMBER(SEARCH("Party Name:-",'R.M Billets Reports'!D1894)),TRIM('R.M Billets Reports'!F1894),IF(ISNUMBER(SEARCH("Party Name-",'R.M Billets Reports'!D1894)),TRIM(MID('R.M Billets Reports'!D1894,SEARCH("-",'R.M Billets Reports'!D1894)+1,200)),"")))="SHREE RADHE SHAKTI SPONGE AND POWER PVT. LTD.","SHREE RADHE",IF(IF(ISNUMBER(SEARCH("Party Name:-",'R.M Billets Reports'!D1893)),TRIM('R.M Billets Reports'!F1893),IF(ISNUMBER(SEARCH("Party Name-",'R.M Billets Reports'!D1893)),TRIM(MID('R.M Billets Reports'!D1893,SEARCH("-",'R.M Billets Reports'!D1893)+1,200)),""))&lt;&gt;"",IF(ISNUMBER(SEARCH("Party Name:-",'R.M Billets Reports'!D1893)),TRIM('R.M Billets Reports'!F1893),IF(ISNUMBER(SEARCH("Party Name-",'R.M Billets Reports'!D1893)),TRIM(MID('R.M Billets Reports'!D1893,SEARCH("-",'R.M Billets Reports'!D1893)+1,200)),"")),IF(ISNUMBER(SEARCH("Party Name:-",'R.M Billets Reports'!D1894)),TRIM('R.M Billets Reports'!F1894),IF(ISNUMBER(SEARCH("Party Name-",'R.M Billets Reports'!D1894)),TRIM(MID('R.M Billets Reports'!D1894,SEARCH("-",'R.M Billets Reports'!D1894)+1,200)),"")))))),IF(ROW()=2,"",A1893))</f>
      </c>
      <c r="B1894">
        <f>IF(OR('R.M Billets Reports'!A1893="Date-",'R.M Billets Reports'!A1893="Date:-"),'R.M Billets Reports'!B1893,IF(ROW()=2,"",B1893))</f>
      </c>
      <c r="C1894">
        <f>IF('R.M Billets Reports'!A1893="V.No.",'R.M Billets Reports'!B1893,IF(ROW()=2,"",C1893))</f>
      </c>
      <c r="D1894">
        <f>IF('R.M Billets Reports'!A1893&lt;&gt;"",'R.M Billets Reports'!A1893,IF(ROW()=2,"",D1893))</f>
      </c>
      <c r="E1894">
        <f>IF('R.M Billets Reports'!B1893="","",TRIM('R.M Billets Reports'!B1893))</f>
      </c>
      <c r="F1894">
        <f>'R.M Billets Reports'!C1893</f>
      </c>
      <c r="G1894">
        <f>'R.M Billets Reports'!D1893</f>
      </c>
      <c r="H1894">
        <f>'R.M Billets Reports'!E1893</f>
      </c>
      <c r="I1894">
        <f>'R.M Billets Reports'!F1893</f>
      </c>
      <c r="J1894">
        <f>'R.M Billets Reports'!G1893</f>
      </c>
      <c r="K1894">
        <f>'R.M Billets Reports'!H1893</f>
      </c>
      <c r="L1894">
        <f>IF('R.M Billets Reports'!I1893="","",'R.M Billets Reports'!I1893)</f>
      </c>
      <c r="M1894">
        <f t="shared" si="58"/>
      </c>
      <c r="N1894">
        <f>IF('R.M Billets Reports'!J1893="","",'R.M Billets Reports'!J1893)</f>
      </c>
      <c r="O1894">
        <f t="shared" si="59"/>
      </c>
      <c r="P1894">
        <f>IF('R.M Billets Reports'!A1893="SIZE",'R.M Billets Reports'!B1893,P1893)</f>
      </c>
    </row>
    <row r="1895" spans="1:16" x14ac:dyDescent="0.25">
      <c r="A1895">
        <f>IF(OR('R.M Billets Reports'!A1894="Date-",'R.M Billets Reports'!A1894="Date:-"),IF(IF(IF(ISNUMBER(SEARCH("Party Name:-",'R.M Billets Reports'!D1894)),TRIM('R.M Billets Reports'!F1894),IF(ISNUMBER(SEARCH("Party Name-",'R.M Billets Reports'!D1894)),TRIM(MID('R.M Billets Reports'!D1894,SEARCH("-",'R.M Billets Reports'!D1894)+1,200)),""))&lt;&gt;"",IF(ISNUMBER(SEARCH("Party Name:-",'R.M Billets Reports'!D1894)),TRIM('R.M Billets Reports'!F1894),IF(ISNUMBER(SEARCH("Party Name-",'R.M Billets Reports'!D1894)),TRIM(MID('R.M Billets Reports'!D1894,SEARCH("-",'R.M Billets Reports'!D1894)+1,200)),"")),IF(ISNUMBER(SEARCH("Party Name:-",'R.M Billets Reports'!D1895)),TRIM('R.M Billets Reports'!F1895),IF(ISNUMBER(SEARCH("Party Name-",'R.M Billets Reports'!D1895)),TRIM(MID('R.M Billets Reports'!D1895,SEARCH("-",'R.M Billets Reports'!D1895)+1,200)),"")))="VRKP ISPAT PVT LTD","VRKP",IF(IF(IF(ISNUMBER(SEARCH("Party Name:-",'R.M Billets Reports'!D1894)),TRIM('R.M Billets Reports'!F1894),IF(ISNUMBER(SEARCH("Party Name-",'R.M Billets Reports'!D1894)),TRIM(MID('R.M Billets Reports'!D1894,SEARCH("-",'R.M Billets Reports'!D1894)+1,200)),""))&lt;&gt;"",IF(ISNUMBER(SEARCH("Party Name:-",'R.M Billets Reports'!D1894)),TRIM('R.M Billets Reports'!F1894),IF(ISNUMBER(SEARCH("Party Name-",'R.M Billets Reports'!D1894)),TRIM(MID('R.M Billets Reports'!D1894,SEARCH("-",'R.M Billets Reports'!D1894)+1,200)),"")),IF(ISNUMBER(SEARCH("Party Name:-",'R.M Billets Reports'!D1895)),TRIM('R.M Billets Reports'!F1895),IF(ISNUMBER(SEARCH("Party Name-",'R.M Billets Reports'!D1895)),TRIM(MID('R.M Billets Reports'!D1895,SEARCH("-",'R.M Billets Reports'!D1895)+1,200)),"")))="SHRI RADHE","SHREE RADHE",IF(IF(IF(ISNUMBER(SEARCH("Party Name:-",'R.M Billets Reports'!D1894)),TRIM('R.M Billets Reports'!F1894),IF(ISNUMBER(SEARCH("Party Name-",'R.M Billets Reports'!D1894)),TRIM(MID('R.M Billets Reports'!D1894,SEARCH("-",'R.M Billets Reports'!D1894)+1,200)),""))&lt;&gt;"",IF(ISNUMBER(SEARCH("Party Name:-",'R.M Billets Reports'!D1894)),TRIM('R.M Billets Reports'!F1894),IF(ISNUMBER(SEARCH("Party Name-",'R.M Billets Reports'!D1894)),TRIM(MID('R.M Billets Reports'!D1894,SEARCH("-",'R.M Billets Reports'!D1894)+1,200)),"")),IF(ISNUMBER(SEARCH("Party Name:-",'R.M Billets Reports'!D1895)),TRIM('R.M Billets Reports'!F1895),IF(ISNUMBER(SEARCH("Party Name-",'R.M Billets Reports'!D1895)),TRIM(MID('R.M Billets Reports'!D1895,SEARCH("-",'R.M Billets Reports'!D1895)+1,200)),"")))="SHREE RADHE SHAKTI SPONGE AND POWER PVT. LTD.","SHREE RADHE",IF(IF(ISNUMBER(SEARCH("Party Name:-",'R.M Billets Reports'!D1894)),TRIM('R.M Billets Reports'!F1894),IF(ISNUMBER(SEARCH("Party Name-",'R.M Billets Reports'!D1894)),TRIM(MID('R.M Billets Reports'!D1894,SEARCH("-",'R.M Billets Reports'!D1894)+1,200)),""))&lt;&gt;"",IF(ISNUMBER(SEARCH("Party Name:-",'R.M Billets Reports'!D1894)),TRIM('R.M Billets Reports'!F1894),IF(ISNUMBER(SEARCH("Party Name-",'R.M Billets Reports'!D1894)),TRIM(MID('R.M Billets Reports'!D1894,SEARCH("-",'R.M Billets Reports'!D1894)+1,200)),"")),IF(ISNUMBER(SEARCH("Party Name:-",'R.M Billets Reports'!D1895)),TRIM('R.M Billets Reports'!F1895),IF(ISNUMBER(SEARCH("Party Name-",'R.M Billets Reports'!D1895)),TRIM(MID('R.M Billets Reports'!D1895,SEARCH("-",'R.M Billets Reports'!D1895)+1,200)),"")))))),IF(ROW()=2,"",A1894))</f>
      </c>
      <c r="B1895">
        <f>IF(OR('R.M Billets Reports'!A1894="Date-",'R.M Billets Reports'!A1894="Date:-"),'R.M Billets Reports'!B1894,IF(ROW()=2,"",B1894))</f>
      </c>
      <c r="C1895">
        <f>IF('R.M Billets Reports'!A1894="V.No.",'R.M Billets Reports'!B1894,IF(ROW()=2,"",C1894))</f>
      </c>
      <c r="D1895">
        <f>IF('R.M Billets Reports'!A1894&lt;&gt;"",'R.M Billets Reports'!A1894,IF(ROW()=2,"",D1894))</f>
      </c>
      <c r="E1895">
        <f>IF('R.M Billets Reports'!B1894="","",TRIM('R.M Billets Reports'!B1894))</f>
      </c>
      <c r="F1895">
        <f>'R.M Billets Reports'!C1894</f>
      </c>
      <c r="G1895">
        <f>'R.M Billets Reports'!D1894</f>
      </c>
      <c r="H1895">
        <f>'R.M Billets Reports'!E1894</f>
      </c>
      <c r="I1895">
        <f>'R.M Billets Reports'!F1894</f>
      </c>
      <c r="J1895">
        <f>'R.M Billets Reports'!G1894</f>
      </c>
      <c r="K1895">
        <f>'R.M Billets Reports'!H1894</f>
      </c>
      <c r="L1895">
        <f>IF('R.M Billets Reports'!I1894="","",'R.M Billets Reports'!I1894)</f>
      </c>
      <c r="M1895">
        <f t="shared" si="58"/>
      </c>
      <c r="N1895">
        <f>IF('R.M Billets Reports'!J1894="","",'R.M Billets Reports'!J1894)</f>
      </c>
      <c r="O1895">
        <f t="shared" si="59"/>
      </c>
      <c r="P1895">
        <f>IF('R.M Billets Reports'!A1894="SIZE",'R.M Billets Reports'!B1894,P1894)</f>
      </c>
    </row>
    <row r="1896" spans="1:16" x14ac:dyDescent="0.25">
      <c r="A1896">
        <f>IF(OR('R.M Billets Reports'!A1895="Date-",'R.M Billets Reports'!A1895="Date:-"),IF(IF(IF(ISNUMBER(SEARCH("Party Name:-",'R.M Billets Reports'!D1895)),TRIM('R.M Billets Reports'!F1895),IF(ISNUMBER(SEARCH("Party Name-",'R.M Billets Reports'!D1895)),TRIM(MID('R.M Billets Reports'!D1895,SEARCH("-",'R.M Billets Reports'!D1895)+1,200)),""))&lt;&gt;"",IF(ISNUMBER(SEARCH("Party Name:-",'R.M Billets Reports'!D1895)),TRIM('R.M Billets Reports'!F1895),IF(ISNUMBER(SEARCH("Party Name-",'R.M Billets Reports'!D1895)),TRIM(MID('R.M Billets Reports'!D1895,SEARCH("-",'R.M Billets Reports'!D1895)+1,200)),"")),IF(ISNUMBER(SEARCH("Party Name:-",'R.M Billets Reports'!D1896)),TRIM('R.M Billets Reports'!F1896),IF(ISNUMBER(SEARCH("Party Name-",'R.M Billets Reports'!D1896)),TRIM(MID('R.M Billets Reports'!D1896,SEARCH("-",'R.M Billets Reports'!D1896)+1,200)),"")))="VRKP ISPAT PVT LTD","VRKP",IF(IF(IF(ISNUMBER(SEARCH("Party Name:-",'R.M Billets Reports'!D1895)),TRIM('R.M Billets Reports'!F1895),IF(ISNUMBER(SEARCH("Party Name-",'R.M Billets Reports'!D1895)),TRIM(MID('R.M Billets Reports'!D1895,SEARCH("-",'R.M Billets Reports'!D1895)+1,200)),""))&lt;&gt;"",IF(ISNUMBER(SEARCH("Party Name:-",'R.M Billets Reports'!D1895)),TRIM('R.M Billets Reports'!F1895),IF(ISNUMBER(SEARCH("Party Name-",'R.M Billets Reports'!D1895)),TRIM(MID('R.M Billets Reports'!D1895,SEARCH("-",'R.M Billets Reports'!D1895)+1,200)),"")),IF(ISNUMBER(SEARCH("Party Name:-",'R.M Billets Reports'!D1896)),TRIM('R.M Billets Reports'!F1896),IF(ISNUMBER(SEARCH("Party Name-",'R.M Billets Reports'!D1896)),TRIM(MID('R.M Billets Reports'!D1896,SEARCH("-",'R.M Billets Reports'!D1896)+1,200)),"")))="SHRI RADHE","SHREE RADHE",IF(IF(IF(ISNUMBER(SEARCH("Party Name:-",'R.M Billets Reports'!D1895)),TRIM('R.M Billets Reports'!F1895),IF(ISNUMBER(SEARCH("Party Name-",'R.M Billets Reports'!D1895)),TRIM(MID('R.M Billets Reports'!D1895,SEARCH("-",'R.M Billets Reports'!D1895)+1,200)),""))&lt;&gt;"",IF(ISNUMBER(SEARCH("Party Name:-",'R.M Billets Reports'!D1895)),TRIM('R.M Billets Reports'!F1895),IF(ISNUMBER(SEARCH("Party Name-",'R.M Billets Reports'!D1895)),TRIM(MID('R.M Billets Reports'!D1895,SEARCH("-",'R.M Billets Reports'!D1895)+1,200)),"")),IF(ISNUMBER(SEARCH("Party Name:-",'R.M Billets Reports'!D1896)),TRIM('R.M Billets Reports'!F1896),IF(ISNUMBER(SEARCH("Party Name-",'R.M Billets Reports'!D1896)),TRIM(MID('R.M Billets Reports'!D1896,SEARCH("-",'R.M Billets Reports'!D1896)+1,200)),"")))="SHREE RADHE SHAKTI SPONGE AND POWER PVT. LTD.","SHREE RADHE",IF(IF(ISNUMBER(SEARCH("Party Name:-",'R.M Billets Reports'!D1895)),TRIM('R.M Billets Reports'!F1895),IF(ISNUMBER(SEARCH("Party Name-",'R.M Billets Reports'!D1895)),TRIM(MID('R.M Billets Reports'!D1895,SEARCH("-",'R.M Billets Reports'!D1895)+1,200)),""))&lt;&gt;"",IF(ISNUMBER(SEARCH("Party Name:-",'R.M Billets Reports'!D1895)),TRIM('R.M Billets Reports'!F1895),IF(ISNUMBER(SEARCH("Party Name-",'R.M Billets Reports'!D1895)),TRIM(MID('R.M Billets Reports'!D1895,SEARCH("-",'R.M Billets Reports'!D1895)+1,200)),"")),IF(ISNUMBER(SEARCH("Party Name:-",'R.M Billets Reports'!D1896)),TRIM('R.M Billets Reports'!F1896),IF(ISNUMBER(SEARCH("Party Name-",'R.M Billets Reports'!D1896)),TRIM(MID('R.M Billets Reports'!D1896,SEARCH("-",'R.M Billets Reports'!D1896)+1,200)),"")))))),IF(ROW()=2,"",A1895))</f>
      </c>
      <c r="B1896">
        <f>IF(OR('R.M Billets Reports'!A1895="Date-",'R.M Billets Reports'!A1895="Date:-"),'R.M Billets Reports'!B1895,IF(ROW()=2,"",B1895))</f>
      </c>
      <c r="C1896">
        <f>IF('R.M Billets Reports'!A1895="V.No.",'R.M Billets Reports'!B1895,IF(ROW()=2,"",C1895))</f>
      </c>
      <c r="D1896">
        <f>IF('R.M Billets Reports'!A1895&lt;&gt;"",'R.M Billets Reports'!A1895,IF(ROW()=2,"",D1895))</f>
      </c>
      <c r="E1896">
        <f>IF('R.M Billets Reports'!B1895="","",TRIM('R.M Billets Reports'!B1895))</f>
      </c>
      <c r="F1896">
        <f>'R.M Billets Reports'!C1895</f>
      </c>
      <c r="G1896">
        <f>'R.M Billets Reports'!D1895</f>
      </c>
      <c r="H1896">
        <f>'R.M Billets Reports'!E1895</f>
      </c>
      <c r="I1896">
        <f>'R.M Billets Reports'!F1895</f>
      </c>
      <c r="J1896">
        <f>'R.M Billets Reports'!G1895</f>
      </c>
      <c r="K1896">
        <f>'R.M Billets Reports'!H1895</f>
      </c>
      <c r="L1896">
        <f>IF('R.M Billets Reports'!I1895="","",'R.M Billets Reports'!I1895)</f>
      </c>
      <c r="M1896">
        <f t="shared" si="58"/>
      </c>
      <c r="N1896">
        <f>IF('R.M Billets Reports'!J1895="","",'R.M Billets Reports'!J1895)</f>
      </c>
      <c r="O1896">
        <f t="shared" si="59"/>
      </c>
      <c r="P1896">
        <f>IF('R.M Billets Reports'!A1895="SIZE",'R.M Billets Reports'!B1895,P1895)</f>
      </c>
    </row>
    <row r="1897" spans="1:16" x14ac:dyDescent="0.25">
      <c r="A1897">
        <f>IF(OR('R.M Billets Reports'!A1896="Date-",'R.M Billets Reports'!A1896="Date:-"),IF(IF(IF(ISNUMBER(SEARCH("Party Name:-",'R.M Billets Reports'!D1896)),TRIM('R.M Billets Reports'!F1896),IF(ISNUMBER(SEARCH("Party Name-",'R.M Billets Reports'!D1896)),TRIM(MID('R.M Billets Reports'!D1896,SEARCH("-",'R.M Billets Reports'!D1896)+1,200)),""))&lt;&gt;"",IF(ISNUMBER(SEARCH("Party Name:-",'R.M Billets Reports'!D1896)),TRIM('R.M Billets Reports'!F1896),IF(ISNUMBER(SEARCH("Party Name-",'R.M Billets Reports'!D1896)),TRIM(MID('R.M Billets Reports'!D1896,SEARCH("-",'R.M Billets Reports'!D1896)+1,200)),"")),IF(ISNUMBER(SEARCH("Party Name:-",'R.M Billets Reports'!D1897)),TRIM('R.M Billets Reports'!F1897),IF(ISNUMBER(SEARCH("Party Name-",'R.M Billets Reports'!D1897)),TRIM(MID('R.M Billets Reports'!D1897,SEARCH("-",'R.M Billets Reports'!D1897)+1,200)),"")))="VRKP ISPAT PVT LTD","VRKP",IF(IF(IF(ISNUMBER(SEARCH("Party Name:-",'R.M Billets Reports'!D1896)),TRIM('R.M Billets Reports'!F1896),IF(ISNUMBER(SEARCH("Party Name-",'R.M Billets Reports'!D1896)),TRIM(MID('R.M Billets Reports'!D1896,SEARCH("-",'R.M Billets Reports'!D1896)+1,200)),""))&lt;&gt;"",IF(ISNUMBER(SEARCH("Party Name:-",'R.M Billets Reports'!D1896)),TRIM('R.M Billets Reports'!F1896),IF(ISNUMBER(SEARCH("Party Name-",'R.M Billets Reports'!D1896)),TRIM(MID('R.M Billets Reports'!D1896,SEARCH("-",'R.M Billets Reports'!D1896)+1,200)),"")),IF(ISNUMBER(SEARCH("Party Name:-",'R.M Billets Reports'!D1897)),TRIM('R.M Billets Reports'!F1897),IF(ISNUMBER(SEARCH("Party Name-",'R.M Billets Reports'!D1897)),TRIM(MID('R.M Billets Reports'!D1897,SEARCH("-",'R.M Billets Reports'!D1897)+1,200)),"")))="SHRI RADHE","SHREE RADHE",IF(IF(IF(ISNUMBER(SEARCH("Party Name:-",'R.M Billets Reports'!D1896)),TRIM('R.M Billets Reports'!F1896),IF(ISNUMBER(SEARCH("Party Name-",'R.M Billets Reports'!D1896)),TRIM(MID('R.M Billets Reports'!D1896,SEARCH("-",'R.M Billets Reports'!D1896)+1,200)),""))&lt;&gt;"",IF(ISNUMBER(SEARCH("Party Name:-",'R.M Billets Reports'!D1896)),TRIM('R.M Billets Reports'!F1896),IF(ISNUMBER(SEARCH("Party Name-",'R.M Billets Reports'!D1896)),TRIM(MID('R.M Billets Reports'!D1896,SEARCH("-",'R.M Billets Reports'!D1896)+1,200)),"")),IF(ISNUMBER(SEARCH("Party Name:-",'R.M Billets Reports'!D1897)),TRIM('R.M Billets Reports'!F1897),IF(ISNUMBER(SEARCH("Party Name-",'R.M Billets Reports'!D1897)),TRIM(MID('R.M Billets Reports'!D1897,SEARCH("-",'R.M Billets Reports'!D1897)+1,200)),"")))="SHREE RADHE SHAKTI SPONGE AND POWER PVT. LTD.","SHREE RADHE",IF(IF(ISNUMBER(SEARCH("Party Name:-",'R.M Billets Reports'!D1896)),TRIM('R.M Billets Reports'!F1896),IF(ISNUMBER(SEARCH("Party Name-",'R.M Billets Reports'!D1896)),TRIM(MID('R.M Billets Reports'!D1896,SEARCH("-",'R.M Billets Reports'!D1896)+1,200)),""))&lt;&gt;"",IF(ISNUMBER(SEARCH("Party Name:-",'R.M Billets Reports'!D1896)),TRIM('R.M Billets Reports'!F1896),IF(ISNUMBER(SEARCH("Party Name-",'R.M Billets Reports'!D1896)),TRIM(MID('R.M Billets Reports'!D1896,SEARCH("-",'R.M Billets Reports'!D1896)+1,200)),"")),IF(ISNUMBER(SEARCH("Party Name:-",'R.M Billets Reports'!D1897)),TRIM('R.M Billets Reports'!F1897),IF(ISNUMBER(SEARCH("Party Name-",'R.M Billets Reports'!D1897)),TRIM(MID('R.M Billets Reports'!D1897,SEARCH("-",'R.M Billets Reports'!D1897)+1,200)),"")))))),IF(ROW()=2,"",A1896))</f>
      </c>
      <c r="B1897">
        <f>IF(OR('R.M Billets Reports'!A1896="Date-",'R.M Billets Reports'!A1896="Date:-"),'R.M Billets Reports'!B1896,IF(ROW()=2,"",B1896))</f>
      </c>
      <c r="C1897">
        <f>IF('R.M Billets Reports'!A1896="V.No.",'R.M Billets Reports'!B1896,IF(ROW()=2,"",C1896))</f>
      </c>
      <c r="D1897">
        <f>IF('R.M Billets Reports'!A1896&lt;&gt;"",'R.M Billets Reports'!A1896,IF(ROW()=2,"",D1896))</f>
      </c>
      <c r="E1897">
        <f>IF('R.M Billets Reports'!B1896="","",TRIM('R.M Billets Reports'!B1896))</f>
      </c>
      <c r="F1897">
        <f>'R.M Billets Reports'!C1896</f>
      </c>
      <c r="G1897">
        <f>'R.M Billets Reports'!D1896</f>
      </c>
      <c r="H1897">
        <f>'R.M Billets Reports'!E1896</f>
      </c>
      <c r="I1897">
        <f>'R.M Billets Reports'!F1896</f>
      </c>
      <c r="J1897">
        <f>'R.M Billets Reports'!G1896</f>
      </c>
      <c r="K1897">
        <f>'R.M Billets Reports'!H1896</f>
      </c>
      <c r="L1897">
        <f>IF('R.M Billets Reports'!I1896="","",'R.M Billets Reports'!I1896)</f>
      </c>
      <c r="M1897">
        <f t="shared" si="58"/>
      </c>
      <c r="N1897">
        <f>IF('R.M Billets Reports'!J1896="","",'R.M Billets Reports'!J1896)</f>
      </c>
      <c r="O1897">
        <f t="shared" si="59"/>
      </c>
      <c r="P1897">
        <f>IF('R.M Billets Reports'!A1896="SIZE",'R.M Billets Reports'!B1896,P1896)</f>
      </c>
    </row>
    <row r="1898" spans="1:16" x14ac:dyDescent="0.25">
      <c r="A1898">
        <f>IF(OR('R.M Billets Reports'!A1897="Date-",'R.M Billets Reports'!A1897="Date:-"),IF(IF(IF(ISNUMBER(SEARCH("Party Name:-",'R.M Billets Reports'!D1897)),TRIM('R.M Billets Reports'!F1897),IF(ISNUMBER(SEARCH("Party Name-",'R.M Billets Reports'!D1897)),TRIM(MID('R.M Billets Reports'!D1897,SEARCH("-",'R.M Billets Reports'!D1897)+1,200)),""))&lt;&gt;"",IF(ISNUMBER(SEARCH("Party Name:-",'R.M Billets Reports'!D1897)),TRIM('R.M Billets Reports'!F1897),IF(ISNUMBER(SEARCH("Party Name-",'R.M Billets Reports'!D1897)),TRIM(MID('R.M Billets Reports'!D1897,SEARCH("-",'R.M Billets Reports'!D1897)+1,200)),"")),IF(ISNUMBER(SEARCH("Party Name:-",'R.M Billets Reports'!D1898)),TRIM('R.M Billets Reports'!F1898),IF(ISNUMBER(SEARCH("Party Name-",'R.M Billets Reports'!D1898)),TRIM(MID('R.M Billets Reports'!D1898,SEARCH("-",'R.M Billets Reports'!D1898)+1,200)),"")))="VRKP ISPAT PVT LTD","VRKP",IF(IF(IF(ISNUMBER(SEARCH("Party Name:-",'R.M Billets Reports'!D1897)),TRIM('R.M Billets Reports'!F1897),IF(ISNUMBER(SEARCH("Party Name-",'R.M Billets Reports'!D1897)),TRIM(MID('R.M Billets Reports'!D1897,SEARCH("-",'R.M Billets Reports'!D1897)+1,200)),""))&lt;&gt;"",IF(ISNUMBER(SEARCH("Party Name:-",'R.M Billets Reports'!D1897)),TRIM('R.M Billets Reports'!F1897),IF(ISNUMBER(SEARCH("Party Name-",'R.M Billets Reports'!D1897)),TRIM(MID('R.M Billets Reports'!D1897,SEARCH("-",'R.M Billets Reports'!D1897)+1,200)),"")),IF(ISNUMBER(SEARCH("Party Name:-",'R.M Billets Reports'!D1898)),TRIM('R.M Billets Reports'!F1898),IF(ISNUMBER(SEARCH("Party Name-",'R.M Billets Reports'!D1898)),TRIM(MID('R.M Billets Reports'!D1898,SEARCH("-",'R.M Billets Reports'!D1898)+1,200)),"")))="SHRI RADHE","SHREE RADHE",IF(IF(IF(ISNUMBER(SEARCH("Party Name:-",'R.M Billets Reports'!D1897)),TRIM('R.M Billets Reports'!F1897),IF(ISNUMBER(SEARCH("Party Name-",'R.M Billets Reports'!D1897)),TRIM(MID('R.M Billets Reports'!D1897,SEARCH("-",'R.M Billets Reports'!D1897)+1,200)),""))&lt;&gt;"",IF(ISNUMBER(SEARCH("Party Name:-",'R.M Billets Reports'!D1897)),TRIM('R.M Billets Reports'!F1897),IF(ISNUMBER(SEARCH("Party Name-",'R.M Billets Reports'!D1897)),TRIM(MID('R.M Billets Reports'!D1897,SEARCH("-",'R.M Billets Reports'!D1897)+1,200)),"")),IF(ISNUMBER(SEARCH("Party Name:-",'R.M Billets Reports'!D1898)),TRIM('R.M Billets Reports'!F1898),IF(ISNUMBER(SEARCH("Party Name-",'R.M Billets Reports'!D1898)),TRIM(MID('R.M Billets Reports'!D1898,SEARCH("-",'R.M Billets Reports'!D1898)+1,200)),"")))="SHREE RADHE SHAKTI SPONGE AND POWER PVT. LTD.","SHREE RADHE",IF(IF(ISNUMBER(SEARCH("Party Name:-",'R.M Billets Reports'!D1897)),TRIM('R.M Billets Reports'!F1897),IF(ISNUMBER(SEARCH("Party Name-",'R.M Billets Reports'!D1897)),TRIM(MID('R.M Billets Reports'!D1897,SEARCH("-",'R.M Billets Reports'!D1897)+1,200)),""))&lt;&gt;"",IF(ISNUMBER(SEARCH("Party Name:-",'R.M Billets Reports'!D1897)),TRIM('R.M Billets Reports'!F1897),IF(ISNUMBER(SEARCH("Party Name-",'R.M Billets Reports'!D1897)),TRIM(MID('R.M Billets Reports'!D1897,SEARCH("-",'R.M Billets Reports'!D1897)+1,200)),"")),IF(ISNUMBER(SEARCH("Party Name:-",'R.M Billets Reports'!D1898)),TRIM('R.M Billets Reports'!F1898),IF(ISNUMBER(SEARCH("Party Name-",'R.M Billets Reports'!D1898)),TRIM(MID('R.M Billets Reports'!D1898,SEARCH("-",'R.M Billets Reports'!D1898)+1,200)),"")))))),IF(ROW()=2,"",A1897))</f>
      </c>
      <c r="B1898">
        <f>IF(OR('R.M Billets Reports'!A1897="Date-",'R.M Billets Reports'!A1897="Date:-"),'R.M Billets Reports'!B1897,IF(ROW()=2,"",B1897))</f>
      </c>
      <c r="C1898">
        <f>IF('R.M Billets Reports'!A1897="V.No.",'R.M Billets Reports'!B1897,IF(ROW()=2,"",C1897))</f>
      </c>
      <c r="D1898">
        <f>IF('R.M Billets Reports'!A1897&lt;&gt;"",'R.M Billets Reports'!A1897,IF(ROW()=2,"",D1897))</f>
      </c>
      <c r="E1898">
        <f>IF('R.M Billets Reports'!B1897="","",TRIM('R.M Billets Reports'!B1897))</f>
      </c>
      <c r="F1898">
        <f>'R.M Billets Reports'!C1897</f>
      </c>
      <c r="G1898">
        <f>'R.M Billets Reports'!D1897</f>
      </c>
      <c r="H1898">
        <f>'R.M Billets Reports'!E1897</f>
      </c>
      <c r="I1898">
        <f>'R.M Billets Reports'!F1897</f>
      </c>
      <c r="J1898">
        <f>'R.M Billets Reports'!G1897</f>
      </c>
      <c r="K1898">
        <f>'R.M Billets Reports'!H1897</f>
      </c>
      <c r="L1898">
        <f>IF('R.M Billets Reports'!I1897="","",'R.M Billets Reports'!I1897)</f>
      </c>
      <c r="M1898">
        <f t="shared" si="58"/>
      </c>
      <c r="N1898">
        <f>IF('R.M Billets Reports'!J1897="","",'R.M Billets Reports'!J1897)</f>
      </c>
      <c r="O1898">
        <f t="shared" si="59"/>
      </c>
      <c r="P1898">
        <f>IF('R.M Billets Reports'!A1897="SIZE",'R.M Billets Reports'!B1897,P1897)</f>
      </c>
    </row>
    <row r="1899" spans="1:16" x14ac:dyDescent="0.25">
      <c r="A1899">
        <f>IF(OR('R.M Billets Reports'!A1898="Date-",'R.M Billets Reports'!A1898="Date:-"),IF(IF(IF(ISNUMBER(SEARCH("Party Name:-",'R.M Billets Reports'!D1898)),TRIM('R.M Billets Reports'!F1898),IF(ISNUMBER(SEARCH("Party Name-",'R.M Billets Reports'!D1898)),TRIM(MID('R.M Billets Reports'!D1898,SEARCH("-",'R.M Billets Reports'!D1898)+1,200)),""))&lt;&gt;"",IF(ISNUMBER(SEARCH("Party Name:-",'R.M Billets Reports'!D1898)),TRIM('R.M Billets Reports'!F1898),IF(ISNUMBER(SEARCH("Party Name-",'R.M Billets Reports'!D1898)),TRIM(MID('R.M Billets Reports'!D1898,SEARCH("-",'R.M Billets Reports'!D1898)+1,200)),"")),IF(ISNUMBER(SEARCH("Party Name:-",'R.M Billets Reports'!D1899)),TRIM('R.M Billets Reports'!F1899),IF(ISNUMBER(SEARCH("Party Name-",'R.M Billets Reports'!D1899)),TRIM(MID('R.M Billets Reports'!D1899,SEARCH("-",'R.M Billets Reports'!D1899)+1,200)),"")))="VRKP ISPAT PVT LTD","VRKP",IF(IF(IF(ISNUMBER(SEARCH("Party Name:-",'R.M Billets Reports'!D1898)),TRIM('R.M Billets Reports'!F1898),IF(ISNUMBER(SEARCH("Party Name-",'R.M Billets Reports'!D1898)),TRIM(MID('R.M Billets Reports'!D1898,SEARCH("-",'R.M Billets Reports'!D1898)+1,200)),""))&lt;&gt;"",IF(ISNUMBER(SEARCH("Party Name:-",'R.M Billets Reports'!D1898)),TRIM('R.M Billets Reports'!F1898),IF(ISNUMBER(SEARCH("Party Name-",'R.M Billets Reports'!D1898)),TRIM(MID('R.M Billets Reports'!D1898,SEARCH("-",'R.M Billets Reports'!D1898)+1,200)),"")),IF(ISNUMBER(SEARCH("Party Name:-",'R.M Billets Reports'!D1899)),TRIM('R.M Billets Reports'!F1899),IF(ISNUMBER(SEARCH("Party Name-",'R.M Billets Reports'!D1899)),TRIM(MID('R.M Billets Reports'!D1899,SEARCH("-",'R.M Billets Reports'!D1899)+1,200)),"")))="SHRI RADHE","SHREE RADHE",IF(IF(IF(ISNUMBER(SEARCH("Party Name:-",'R.M Billets Reports'!D1898)),TRIM('R.M Billets Reports'!F1898),IF(ISNUMBER(SEARCH("Party Name-",'R.M Billets Reports'!D1898)),TRIM(MID('R.M Billets Reports'!D1898,SEARCH("-",'R.M Billets Reports'!D1898)+1,200)),""))&lt;&gt;"",IF(ISNUMBER(SEARCH("Party Name:-",'R.M Billets Reports'!D1898)),TRIM('R.M Billets Reports'!F1898),IF(ISNUMBER(SEARCH("Party Name-",'R.M Billets Reports'!D1898)),TRIM(MID('R.M Billets Reports'!D1898,SEARCH("-",'R.M Billets Reports'!D1898)+1,200)),"")),IF(ISNUMBER(SEARCH("Party Name:-",'R.M Billets Reports'!D1899)),TRIM('R.M Billets Reports'!F1899),IF(ISNUMBER(SEARCH("Party Name-",'R.M Billets Reports'!D1899)),TRIM(MID('R.M Billets Reports'!D1899,SEARCH("-",'R.M Billets Reports'!D1899)+1,200)),"")))="SHREE RADHE SHAKTI SPONGE AND POWER PVT. LTD.","SHREE RADHE",IF(IF(ISNUMBER(SEARCH("Party Name:-",'R.M Billets Reports'!D1898)),TRIM('R.M Billets Reports'!F1898),IF(ISNUMBER(SEARCH("Party Name-",'R.M Billets Reports'!D1898)),TRIM(MID('R.M Billets Reports'!D1898,SEARCH("-",'R.M Billets Reports'!D1898)+1,200)),""))&lt;&gt;"",IF(ISNUMBER(SEARCH("Party Name:-",'R.M Billets Reports'!D1898)),TRIM('R.M Billets Reports'!F1898),IF(ISNUMBER(SEARCH("Party Name-",'R.M Billets Reports'!D1898)),TRIM(MID('R.M Billets Reports'!D1898,SEARCH("-",'R.M Billets Reports'!D1898)+1,200)),"")),IF(ISNUMBER(SEARCH("Party Name:-",'R.M Billets Reports'!D1899)),TRIM('R.M Billets Reports'!F1899),IF(ISNUMBER(SEARCH("Party Name-",'R.M Billets Reports'!D1899)),TRIM(MID('R.M Billets Reports'!D1899,SEARCH("-",'R.M Billets Reports'!D1899)+1,200)),"")))))),IF(ROW()=2,"",A1898))</f>
      </c>
      <c r="B1899">
        <f>IF(OR('R.M Billets Reports'!A1898="Date-",'R.M Billets Reports'!A1898="Date:-"),'R.M Billets Reports'!B1898,IF(ROW()=2,"",B1898))</f>
      </c>
      <c r="C1899">
        <f>IF('R.M Billets Reports'!A1898="V.No.",'R.M Billets Reports'!B1898,IF(ROW()=2,"",C1898))</f>
      </c>
      <c r="D1899">
        <f>IF('R.M Billets Reports'!A1898&lt;&gt;"",'R.M Billets Reports'!A1898,IF(ROW()=2,"",D1898))</f>
      </c>
      <c r="E1899">
        <f>IF('R.M Billets Reports'!B1898="","",TRIM('R.M Billets Reports'!B1898))</f>
      </c>
      <c r="F1899">
        <f>'R.M Billets Reports'!C1898</f>
      </c>
      <c r="G1899">
        <f>'R.M Billets Reports'!D1898</f>
      </c>
      <c r="H1899">
        <f>'R.M Billets Reports'!E1898</f>
      </c>
      <c r="I1899">
        <f>'R.M Billets Reports'!F1898</f>
      </c>
      <c r="J1899">
        <f>'R.M Billets Reports'!G1898</f>
      </c>
      <c r="K1899">
        <f>'R.M Billets Reports'!H1898</f>
      </c>
      <c r="L1899">
        <f>IF('R.M Billets Reports'!I1898="","",'R.M Billets Reports'!I1898)</f>
      </c>
      <c r="M1899">
        <f t="shared" si="58"/>
      </c>
      <c r="N1899">
        <f>IF('R.M Billets Reports'!J1898="","",'R.M Billets Reports'!J1898)</f>
      </c>
      <c r="O1899">
        <f t="shared" si="59"/>
      </c>
      <c r="P1899">
        <f>IF('R.M Billets Reports'!A1898="SIZE",'R.M Billets Reports'!B1898,P1898)</f>
      </c>
    </row>
    <row r="1900" spans="1:16" x14ac:dyDescent="0.25">
      <c r="A1900">
        <f>IF(OR('R.M Billets Reports'!A1899="Date-",'R.M Billets Reports'!A1899="Date:-"),IF(IF(IF(ISNUMBER(SEARCH("Party Name:-",'R.M Billets Reports'!D1899)),TRIM('R.M Billets Reports'!F1899),IF(ISNUMBER(SEARCH("Party Name-",'R.M Billets Reports'!D1899)),TRIM(MID('R.M Billets Reports'!D1899,SEARCH("-",'R.M Billets Reports'!D1899)+1,200)),""))&lt;&gt;"",IF(ISNUMBER(SEARCH("Party Name:-",'R.M Billets Reports'!D1899)),TRIM('R.M Billets Reports'!F1899),IF(ISNUMBER(SEARCH("Party Name-",'R.M Billets Reports'!D1899)),TRIM(MID('R.M Billets Reports'!D1899,SEARCH("-",'R.M Billets Reports'!D1899)+1,200)),"")),IF(ISNUMBER(SEARCH("Party Name:-",'R.M Billets Reports'!D1900)),TRIM('R.M Billets Reports'!F1900),IF(ISNUMBER(SEARCH("Party Name-",'R.M Billets Reports'!D1900)),TRIM(MID('R.M Billets Reports'!D1900,SEARCH("-",'R.M Billets Reports'!D1900)+1,200)),"")))="VRKP ISPAT PVT LTD","VRKP",IF(IF(IF(ISNUMBER(SEARCH("Party Name:-",'R.M Billets Reports'!D1899)),TRIM('R.M Billets Reports'!F1899),IF(ISNUMBER(SEARCH("Party Name-",'R.M Billets Reports'!D1899)),TRIM(MID('R.M Billets Reports'!D1899,SEARCH("-",'R.M Billets Reports'!D1899)+1,200)),""))&lt;&gt;"",IF(ISNUMBER(SEARCH("Party Name:-",'R.M Billets Reports'!D1899)),TRIM('R.M Billets Reports'!F1899),IF(ISNUMBER(SEARCH("Party Name-",'R.M Billets Reports'!D1899)),TRIM(MID('R.M Billets Reports'!D1899,SEARCH("-",'R.M Billets Reports'!D1899)+1,200)),"")),IF(ISNUMBER(SEARCH("Party Name:-",'R.M Billets Reports'!D1900)),TRIM('R.M Billets Reports'!F1900),IF(ISNUMBER(SEARCH("Party Name-",'R.M Billets Reports'!D1900)),TRIM(MID('R.M Billets Reports'!D1900,SEARCH("-",'R.M Billets Reports'!D1900)+1,200)),"")))="SHRI RADHE","SHREE RADHE",IF(IF(IF(ISNUMBER(SEARCH("Party Name:-",'R.M Billets Reports'!D1899)),TRIM('R.M Billets Reports'!F1899),IF(ISNUMBER(SEARCH("Party Name-",'R.M Billets Reports'!D1899)),TRIM(MID('R.M Billets Reports'!D1899,SEARCH("-",'R.M Billets Reports'!D1899)+1,200)),""))&lt;&gt;"",IF(ISNUMBER(SEARCH("Party Name:-",'R.M Billets Reports'!D1899)),TRIM('R.M Billets Reports'!F1899),IF(ISNUMBER(SEARCH("Party Name-",'R.M Billets Reports'!D1899)),TRIM(MID('R.M Billets Reports'!D1899,SEARCH("-",'R.M Billets Reports'!D1899)+1,200)),"")),IF(ISNUMBER(SEARCH("Party Name:-",'R.M Billets Reports'!D1900)),TRIM('R.M Billets Reports'!F1900),IF(ISNUMBER(SEARCH("Party Name-",'R.M Billets Reports'!D1900)),TRIM(MID('R.M Billets Reports'!D1900,SEARCH("-",'R.M Billets Reports'!D1900)+1,200)),"")))="SHREE RADHE SHAKTI SPONGE AND POWER PVT. LTD.","SHREE RADHE",IF(IF(ISNUMBER(SEARCH("Party Name:-",'R.M Billets Reports'!D1899)),TRIM('R.M Billets Reports'!F1899),IF(ISNUMBER(SEARCH("Party Name-",'R.M Billets Reports'!D1899)),TRIM(MID('R.M Billets Reports'!D1899,SEARCH("-",'R.M Billets Reports'!D1899)+1,200)),""))&lt;&gt;"",IF(ISNUMBER(SEARCH("Party Name:-",'R.M Billets Reports'!D1899)),TRIM('R.M Billets Reports'!F1899),IF(ISNUMBER(SEARCH("Party Name-",'R.M Billets Reports'!D1899)),TRIM(MID('R.M Billets Reports'!D1899,SEARCH("-",'R.M Billets Reports'!D1899)+1,200)),"")),IF(ISNUMBER(SEARCH("Party Name:-",'R.M Billets Reports'!D1900)),TRIM('R.M Billets Reports'!F1900),IF(ISNUMBER(SEARCH("Party Name-",'R.M Billets Reports'!D1900)),TRIM(MID('R.M Billets Reports'!D1900,SEARCH("-",'R.M Billets Reports'!D1900)+1,200)),"")))))),IF(ROW()=2,"",A1899))</f>
      </c>
      <c r="B1900">
        <f>IF(OR('R.M Billets Reports'!A1899="Date-",'R.M Billets Reports'!A1899="Date:-"),'R.M Billets Reports'!B1899,IF(ROW()=2,"",B1899))</f>
      </c>
      <c r="C1900">
        <f>IF('R.M Billets Reports'!A1899="V.No.",'R.M Billets Reports'!B1899,IF(ROW()=2,"",C1899))</f>
      </c>
      <c r="D1900">
        <f>IF('R.M Billets Reports'!A1899&lt;&gt;"",'R.M Billets Reports'!A1899,IF(ROW()=2,"",D1899))</f>
      </c>
      <c r="E1900">
        <f>IF('R.M Billets Reports'!B1899="","",TRIM('R.M Billets Reports'!B1899))</f>
      </c>
      <c r="F1900">
        <f>'R.M Billets Reports'!C1899</f>
      </c>
      <c r="G1900">
        <f>'R.M Billets Reports'!D1899</f>
      </c>
      <c r="H1900">
        <f>'R.M Billets Reports'!E1899</f>
      </c>
      <c r="I1900">
        <f>'R.M Billets Reports'!F1899</f>
      </c>
      <c r="J1900">
        <f>'R.M Billets Reports'!G1899</f>
      </c>
      <c r="K1900">
        <f>'R.M Billets Reports'!H1899</f>
      </c>
      <c r="L1900">
        <f>IF('R.M Billets Reports'!I1899="","",'R.M Billets Reports'!I1899)</f>
      </c>
      <c r="M1900">
        <f t="shared" si="58"/>
      </c>
      <c r="N1900">
        <f>IF('R.M Billets Reports'!J1899="","",'R.M Billets Reports'!J1899)</f>
      </c>
      <c r="O1900">
        <f t="shared" si="59"/>
      </c>
      <c r="P1900">
        <f>IF('R.M Billets Reports'!A1899="SIZE",'R.M Billets Reports'!B1899,P1899)</f>
      </c>
    </row>
    <row r="1901" spans="1:16" x14ac:dyDescent="0.25">
      <c r="A1901">
        <f>IF(OR('R.M Billets Reports'!A1900="Date-",'R.M Billets Reports'!A1900="Date:-"),IF(IF(IF(ISNUMBER(SEARCH("Party Name:-",'R.M Billets Reports'!D1900)),TRIM('R.M Billets Reports'!F1900),IF(ISNUMBER(SEARCH("Party Name-",'R.M Billets Reports'!D1900)),TRIM(MID('R.M Billets Reports'!D1900,SEARCH("-",'R.M Billets Reports'!D1900)+1,200)),""))&lt;&gt;"",IF(ISNUMBER(SEARCH("Party Name:-",'R.M Billets Reports'!D1900)),TRIM('R.M Billets Reports'!F1900),IF(ISNUMBER(SEARCH("Party Name-",'R.M Billets Reports'!D1900)),TRIM(MID('R.M Billets Reports'!D1900,SEARCH("-",'R.M Billets Reports'!D1900)+1,200)),"")),IF(ISNUMBER(SEARCH("Party Name:-",'R.M Billets Reports'!D1901)),TRIM('R.M Billets Reports'!F1901),IF(ISNUMBER(SEARCH("Party Name-",'R.M Billets Reports'!D1901)),TRIM(MID('R.M Billets Reports'!D1901,SEARCH("-",'R.M Billets Reports'!D1901)+1,200)),"")))="VRKP ISPAT PVT LTD","VRKP",IF(IF(IF(ISNUMBER(SEARCH("Party Name:-",'R.M Billets Reports'!D1900)),TRIM('R.M Billets Reports'!F1900),IF(ISNUMBER(SEARCH("Party Name-",'R.M Billets Reports'!D1900)),TRIM(MID('R.M Billets Reports'!D1900,SEARCH("-",'R.M Billets Reports'!D1900)+1,200)),""))&lt;&gt;"",IF(ISNUMBER(SEARCH("Party Name:-",'R.M Billets Reports'!D1900)),TRIM('R.M Billets Reports'!F1900),IF(ISNUMBER(SEARCH("Party Name-",'R.M Billets Reports'!D1900)),TRIM(MID('R.M Billets Reports'!D1900,SEARCH("-",'R.M Billets Reports'!D1900)+1,200)),"")),IF(ISNUMBER(SEARCH("Party Name:-",'R.M Billets Reports'!D1901)),TRIM('R.M Billets Reports'!F1901),IF(ISNUMBER(SEARCH("Party Name-",'R.M Billets Reports'!D1901)),TRIM(MID('R.M Billets Reports'!D1901,SEARCH("-",'R.M Billets Reports'!D1901)+1,200)),"")))="SHRI RADHE","SHREE RADHE",IF(IF(IF(ISNUMBER(SEARCH("Party Name:-",'R.M Billets Reports'!D1900)),TRIM('R.M Billets Reports'!F1900),IF(ISNUMBER(SEARCH("Party Name-",'R.M Billets Reports'!D1900)),TRIM(MID('R.M Billets Reports'!D1900,SEARCH("-",'R.M Billets Reports'!D1900)+1,200)),""))&lt;&gt;"",IF(ISNUMBER(SEARCH("Party Name:-",'R.M Billets Reports'!D1900)),TRIM('R.M Billets Reports'!F1900),IF(ISNUMBER(SEARCH("Party Name-",'R.M Billets Reports'!D1900)),TRIM(MID('R.M Billets Reports'!D1900,SEARCH("-",'R.M Billets Reports'!D1900)+1,200)),"")),IF(ISNUMBER(SEARCH("Party Name:-",'R.M Billets Reports'!D1901)),TRIM('R.M Billets Reports'!F1901),IF(ISNUMBER(SEARCH("Party Name-",'R.M Billets Reports'!D1901)),TRIM(MID('R.M Billets Reports'!D1901,SEARCH("-",'R.M Billets Reports'!D1901)+1,200)),"")))="SHREE RADHE SHAKTI SPONGE AND POWER PVT. LTD.","SHREE RADHE",IF(IF(ISNUMBER(SEARCH("Party Name:-",'R.M Billets Reports'!D1900)),TRIM('R.M Billets Reports'!F1900),IF(ISNUMBER(SEARCH("Party Name-",'R.M Billets Reports'!D1900)),TRIM(MID('R.M Billets Reports'!D1900,SEARCH("-",'R.M Billets Reports'!D1900)+1,200)),""))&lt;&gt;"",IF(ISNUMBER(SEARCH("Party Name:-",'R.M Billets Reports'!D1900)),TRIM('R.M Billets Reports'!F1900),IF(ISNUMBER(SEARCH("Party Name-",'R.M Billets Reports'!D1900)),TRIM(MID('R.M Billets Reports'!D1900,SEARCH("-",'R.M Billets Reports'!D1900)+1,200)),"")),IF(ISNUMBER(SEARCH("Party Name:-",'R.M Billets Reports'!D1901)),TRIM('R.M Billets Reports'!F1901),IF(ISNUMBER(SEARCH("Party Name-",'R.M Billets Reports'!D1901)),TRIM(MID('R.M Billets Reports'!D1901,SEARCH("-",'R.M Billets Reports'!D1901)+1,200)),"")))))),IF(ROW()=2,"",A1900))</f>
      </c>
      <c r="B1901">
        <f>IF(OR('R.M Billets Reports'!A1900="Date-",'R.M Billets Reports'!A1900="Date:-"),'R.M Billets Reports'!B1900,IF(ROW()=2,"",B1900))</f>
      </c>
      <c r="C1901">
        <f>IF('R.M Billets Reports'!A1900="V.No.",'R.M Billets Reports'!B1900,IF(ROW()=2,"",C1900))</f>
      </c>
      <c r="D1901">
        <f>IF('R.M Billets Reports'!A1900&lt;&gt;"",'R.M Billets Reports'!A1900,IF(ROW()=2,"",D1900))</f>
      </c>
      <c r="E1901">
        <f>IF('R.M Billets Reports'!B1900="","",TRIM('R.M Billets Reports'!B1900))</f>
      </c>
      <c r="F1901">
        <f>'R.M Billets Reports'!C1900</f>
      </c>
      <c r="G1901">
        <f>'R.M Billets Reports'!D1900</f>
      </c>
      <c r="H1901">
        <f>'R.M Billets Reports'!E1900</f>
      </c>
      <c r="I1901">
        <f>'R.M Billets Reports'!F1900</f>
      </c>
      <c r="J1901">
        <f>'R.M Billets Reports'!G1900</f>
      </c>
      <c r="K1901">
        <f>'R.M Billets Reports'!H1900</f>
      </c>
      <c r="L1901">
        <f>IF('R.M Billets Reports'!I1900="","",'R.M Billets Reports'!I1900)</f>
      </c>
      <c r="M1901">
        <f t="shared" si="58"/>
      </c>
      <c r="N1901">
        <f>IF('R.M Billets Reports'!J1900="","",'R.M Billets Reports'!J1900)</f>
      </c>
      <c r="O1901">
        <f t="shared" si="59"/>
      </c>
      <c r="P1901">
        <f>IF('R.M Billets Reports'!A1900="SIZE",'R.M Billets Reports'!B1900,P1900)</f>
      </c>
    </row>
    <row r="1902" spans="1:16" x14ac:dyDescent="0.25">
      <c r="A1902">
        <f>IF(OR('R.M Billets Reports'!A1901="Date-",'R.M Billets Reports'!A1901="Date:-"),IF(IF(IF(ISNUMBER(SEARCH("Party Name:-",'R.M Billets Reports'!D1901)),TRIM('R.M Billets Reports'!F1901),IF(ISNUMBER(SEARCH("Party Name-",'R.M Billets Reports'!D1901)),TRIM(MID('R.M Billets Reports'!D1901,SEARCH("-",'R.M Billets Reports'!D1901)+1,200)),""))&lt;&gt;"",IF(ISNUMBER(SEARCH("Party Name:-",'R.M Billets Reports'!D1901)),TRIM('R.M Billets Reports'!F1901),IF(ISNUMBER(SEARCH("Party Name-",'R.M Billets Reports'!D1901)),TRIM(MID('R.M Billets Reports'!D1901,SEARCH("-",'R.M Billets Reports'!D1901)+1,200)),"")),IF(ISNUMBER(SEARCH("Party Name:-",'R.M Billets Reports'!D1902)),TRIM('R.M Billets Reports'!F1902),IF(ISNUMBER(SEARCH("Party Name-",'R.M Billets Reports'!D1902)),TRIM(MID('R.M Billets Reports'!D1902,SEARCH("-",'R.M Billets Reports'!D1902)+1,200)),"")))="VRKP ISPAT PVT LTD","VRKP",IF(IF(IF(ISNUMBER(SEARCH("Party Name:-",'R.M Billets Reports'!D1901)),TRIM('R.M Billets Reports'!F1901),IF(ISNUMBER(SEARCH("Party Name-",'R.M Billets Reports'!D1901)),TRIM(MID('R.M Billets Reports'!D1901,SEARCH("-",'R.M Billets Reports'!D1901)+1,200)),""))&lt;&gt;"",IF(ISNUMBER(SEARCH("Party Name:-",'R.M Billets Reports'!D1901)),TRIM('R.M Billets Reports'!F1901),IF(ISNUMBER(SEARCH("Party Name-",'R.M Billets Reports'!D1901)),TRIM(MID('R.M Billets Reports'!D1901,SEARCH("-",'R.M Billets Reports'!D1901)+1,200)),"")),IF(ISNUMBER(SEARCH("Party Name:-",'R.M Billets Reports'!D1902)),TRIM('R.M Billets Reports'!F1902),IF(ISNUMBER(SEARCH("Party Name-",'R.M Billets Reports'!D1902)),TRIM(MID('R.M Billets Reports'!D1902,SEARCH("-",'R.M Billets Reports'!D1902)+1,200)),"")))="SHRI RADHE","SHREE RADHE",IF(IF(IF(ISNUMBER(SEARCH("Party Name:-",'R.M Billets Reports'!D1901)),TRIM('R.M Billets Reports'!F1901),IF(ISNUMBER(SEARCH("Party Name-",'R.M Billets Reports'!D1901)),TRIM(MID('R.M Billets Reports'!D1901,SEARCH("-",'R.M Billets Reports'!D1901)+1,200)),""))&lt;&gt;"",IF(ISNUMBER(SEARCH("Party Name:-",'R.M Billets Reports'!D1901)),TRIM('R.M Billets Reports'!F1901),IF(ISNUMBER(SEARCH("Party Name-",'R.M Billets Reports'!D1901)),TRIM(MID('R.M Billets Reports'!D1901,SEARCH("-",'R.M Billets Reports'!D1901)+1,200)),"")),IF(ISNUMBER(SEARCH("Party Name:-",'R.M Billets Reports'!D1902)),TRIM('R.M Billets Reports'!F1902),IF(ISNUMBER(SEARCH("Party Name-",'R.M Billets Reports'!D1902)),TRIM(MID('R.M Billets Reports'!D1902,SEARCH("-",'R.M Billets Reports'!D1902)+1,200)),"")))="SHREE RADHE SHAKTI SPONGE AND POWER PVT. LTD.","SHREE RADHE",IF(IF(ISNUMBER(SEARCH("Party Name:-",'R.M Billets Reports'!D1901)),TRIM('R.M Billets Reports'!F1901),IF(ISNUMBER(SEARCH("Party Name-",'R.M Billets Reports'!D1901)),TRIM(MID('R.M Billets Reports'!D1901,SEARCH("-",'R.M Billets Reports'!D1901)+1,200)),""))&lt;&gt;"",IF(ISNUMBER(SEARCH("Party Name:-",'R.M Billets Reports'!D1901)),TRIM('R.M Billets Reports'!F1901),IF(ISNUMBER(SEARCH("Party Name-",'R.M Billets Reports'!D1901)),TRIM(MID('R.M Billets Reports'!D1901,SEARCH("-",'R.M Billets Reports'!D1901)+1,200)),"")),IF(ISNUMBER(SEARCH("Party Name:-",'R.M Billets Reports'!D1902)),TRIM('R.M Billets Reports'!F1902),IF(ISNUMBER(SEARCH("Party Name-",'R.M Billets Reports'!D1902)),TRIM(MID('R.M Billets Reports'!D1902,SEARCH("-",'R.M Billets Reports'!D1902)+1,200)),"")))))),IF(ROW()=2,"",A1901))</f>
      </c>
      <c r="B1902">
        <f>IF(OR('R.M Billets Reports'!A1901="Date-",'R.M Billets Reports'!A1901="Date:-"),'R.M Billets Reports'!B1901,IF(ROW()=2,"",B1901))</f>
      </c>
      <c r="C1902">
        <f>IF('R.M Billets Reports'!A1901="V.No.",'R.M Billets Reports'!B1901,IF(ROW()=2,"",C1901))</f>
      </c>
      <c r="D1902">
        <f>IF('R.M Billets Reports'!A1901&lt;&gt;"",'R.M Billets Reports'!A1901,IF(ROW()=2,"",D1901))</f>
      </c>
      <c r="E1902">
        <f>IF('R.M Billets Reports'!B1901="","",TRIM('R.M Billets Reports'!B1901))</f>
      </c>
      <c r="F1902">
        <f>'R.M Billets Reports'!C1901</f>
      </c>
      <c r="G1902">
        <f>'R.M Billets Reports'!D1901</f>
      </c>
      <c r="H1902">
        <f>'R.M Billets Reports'!E1901</f>
      </c>
      <c r="I1902">
        <f>'R.M Billets Reports'!F1901</f>
      </c>
      <c r="J1902">
        <f>'R.M Billets Reports'!G1901</f>
      </c>
      <c r="K1902">
        <f>'R.M Billets Reports'!H1901</f>
      </c>
      <c r="L1902">
        <f>IF('R.M Billets Reports'!I1901="","",'R.M Billets Reports'!I1901)</f>
      </c>
      <c r="M1902">
        <f t="shared" si="58"/>
      </c>
      <c r="N1902">
        <f>IF('R.M Billets Reports'!J1901="","",'R.M Billets Reports'!J1901)</f>
      </c>
      <c r="O1902">
        <f t="shared" si="59"/>
      </c>
      <c r="P1902">
        <f>IF('R.M Billets Reports'!A1901="SIZE",'R.M Billets Reports'!B1901,P1901)</f>
      </c>
    </row>
    <row r="1903" spans="1:16" x14ac:dyDescent="0.25">
      <c r="A1903">
        <f>IF(OR('R.M Billets Reports'!A1902="Date-",'R.M Billets Reports'!A1902="Date:-"),IF(IF(IF(ISNUMBER(SEARCH("Party Name:-",'R.M Billets Reports'!D1902)),TRIM('R.M Billets Reports'!F1902),IF(ISNUMBER(SEARCH("Party Name-",'R.M Billets Reports'!D1902)),TRIM(MID('R.M Billets Reports'!D1902,SEARCH("-",'R.M Billets Reports'!D1902)+1,200)),""))&lt;&gt;"",IF(ISNUMBER(SEARCH("Party Name:-",'R.M Billets Reports'!D1902)),TRIM('R.M Billets Reports'!F1902),IF(ISNUMBER(SEARCH("Party Name-",'R.M Billets Reports'!D1902)),TRIM(MID('R.M Billets Reports'!D1902,SEARCH("-",'R.M Billets Reports'!D1902)+1,200)),"")),IF(ISNUMBER(SEARCH("Party Name:-",'R.M Billets Reports'!D1903)),TRIM('R.M Billets Reports'!F1903),IF(ISNUMBER(SEARCH("Party Name-",'R.M Billets Reports'!D1903)),TRIM(MID('R.M Billets Reports'!D1903,SEARCH("-",'R.M Billets Reports'!D1903)+1,200)),"")))="VRKP ISPAT PVT LTD","VRKP",IF(IF(IF(ISNUMBER(SEARCH("Party Name:-",'R.M Billets Reports'!D1902)),TRIM('R.M Billets Reports'!F1902),IF(ISNUMBER(SEARCH("Party Name-",'R.M Billets Reports'!D1902)),TRIM(MID('R.M Billets Reports'!D1902,SEARCH("-",'R.M Billets Reports'!D1902)+1,200)),""))&lt;&gt;"",IF(ISNUMBER(SEARCH("Party Name:-",'R.M Billets Reports'!D1902)),TRIM('R.M Billets Reports'!F1902),IF(ISNUMBER(SEARCH("Party Name-",'R.M Billets Reports'!D1902)),TRIM(MID('R.M Billets Reports'!D1902,SEARCH("-",'R.M Billets Reports'!D1902)+1,200)),"")),IF(ISNUMBER(SEARCH("Party Name:-",'R.M Billets Reports'!D1903)),TRIM('R.M Billets Reports'!F1903),IF(ISNUMBER(SEARCH("Party Name-",'R.M Billets Reports'!D1903)),TRIM(MID('R.M Billets Reports'!D1903,SEARCH("-",'R.M Billets Reports'!D1903)+1,200)),"")))="SHRI RADHE","SHREE RADHE",IF(IF(IF(ISNUMBER(SEARCH("Party Name:-",'R.M Billets Reports'!D1902)),TRIM('R.M Billets Reports'!F1902),IF(ISNUMBER(SEARCH("Party Name-",'R.M Billets Reports'!D1902)),TRIM(MID('R.M Billets Reports'!D1902,SEARCH("-",'R.M Billets Reports'!D1902)+1,200)),""))&lt;&gt;"",IF(ISNUMBER(SEARCH("Party Name:-",'R.M Billets Reports'!D1902)),TRIM('R.M Billets Reports'!F1902),IF(ISNUMBER(SEARCH("Party Name-",'R.M Billets Reports'!D1902)),TRIM(MID('R.M Billets Reports'!D1902,SEARCH("-",'R.M Billets Reports'!D1902)+1,200)),"")),IF(ISNUMBER(SEARCH("Party Name:-",'R.M Billets Reports'!D1903)),TRIM('R.M Billets Reports'!F1903),IF(ISNUMBER(SEARCH("Party Name-",'R.M Billets Reports'!D1903)),TRIM(MID('R.M Billets Reports'!D1903,SEARCH("-",'R.M Billets Reports'!D1903)+1,200)),"")))="SHREE RADHE SHAKTI SPONGE AND POWER PVT. LTD.","SHREE RADHE",IF(IF(ISNUMBER(SEARCH("Party Name:-",'R.M Billets Reports'!D1902)),TRIM('R.M Billets Reports'!F1902),IF(ISNUMBER(SEARCH("Party Name-",'R.M Billets Reports'!D1902)),TRIM(MID('R.M Billets Reports'!D1902,SEARCH("-",'R.M Billets Reports'!D1902)+1,200)),""))&lt;&gt;"",IF(ISNUMBER(SEARCH("Party Name:-",'R.M Billets Reports'!D1902)),TRIM('R.M Billets Reports'!F1902),IF(ISNUMBER(SEARCH("Party Name-",'R.M Billets Reports'!D1902)),TRIM(MID('R.M Billets Reports'!D1902,SEARCH("-",'R.M Billets Reports'!D1902)+1,200)),"")),IF(ISNUMBER(SEARCH("Party Name:-",'R.M Billets Reports'!D1903)),TRIM('R.M Billets Reports'!F1903),IF(ISNUMBER(SEARCH("Party Name-",'R.M Billets Reports'!D1903)),TRIM(MID('R.M Billets Reports'!D1903,SEARCH("-",'R.M Billets Reports'!D1903)+1,200)),"")))))),IF(ROW()=2,"",A1902))</f>
      </c>
      <c r="B1903">
        <f>IF(OR('R.M Billets Reports'!A1902="Date-",'R.M Billets Reports'!A1902="Date:-"),'R.M Billets Reports'!B1902,IF(ROW()=2,"",B1902))</f>
      </c>
      <c r="C1903">
        <f>IF('R.M Billets Reports'!A1902="V.No.",'R.M Billets Reports'!B1902,IF(ROW()=2,"",C1902))</f>
      </c>
      <c r="D1903">
        <f>IF('R.M Billets Reports'!A1902&lt;&gt;"",'R.M Billets Reports'!A1902,IF(ROW()=2,"",D1902))</f>
      </c>
      <c r="E1903">
        <f>IF('R.M Billets Reports'!B1902="","",TRIM('R.M Billets Reports'!B1902))</f>
      </c>
      <c r="F1903">
        <f>'R.M Billets Reports'!C1902</f>
      </c>
      <c r="G1903">
        <f>'R.M Billets Reports'!D1902</f>
      </c>
      <c r="H1903">
        <f>'R.M Billets Reports'!E1902</f>
      </c>
      <c r="I1903">
        <f>'R.M Billets Reports'!F1902</f>
      </c>
      <c r="J1903">
        <f>'R.M Billets Reports'!G1902</f>
      </c>
      <c r="K1903">
        <f>'R.M Billets Reports'!H1902</f>
      </c>
      <c r="L1903">
        <f>IF('R.M Billets Reports'!I1902="","",'R.M Billets Reports'!I1902)</f>
      </c>
      <c r="M1903">
        <f t="shared" si="58"/>
      </c>
      <c r="N1903">
        <f>IF('R.M Billets Reports'!J1902="","",'R.M Billets Reports'!J1902)</f>
      </c>
      <c r="O1903">
        <f t="shared" si="59"/>
      </c>
      <c r="P1903">
        <f>IF('R.M Billets Reports'!A1902="SIZE",'R.M Billets Reports'!B1902,P1902)</f>
      </c>
    </row>
    <row r="1904" spans="1:16" x14ac:dyDescent="0.25">
      <c r="A1904">
        <f>IF(OR('R.M Billets Reports'!A1903="Date-",'R.M Billets Reports'!A1903="Date:-"),IF(IF(IF(ISNUMBER(SEARCH("Party Name:-",'R.M Billets Reports'!D1903)),TRIM('R.M Billets Reports'!F1903),IF(ISNUMBER(SEARCH("Party Name-",'R.M Billets Reports'!D1903)),TRIM(MID('R.M Billets Reports'!D1903,SEARCH("-",'R.M Billets Reports'!D1903)+1,200)),""))&lt;&gt;"",IF(ISNUMBER(SEARCH("Party Name:-",'R.M Billets Reports'!D1903)),TRIM('R.M Billets Reports'!F1903),IF(ISNUMBER(SEARCH("Party Name-",'R.M Billets Reports'!D1903)),TRIM(MID('R.M Billets Reports'!D1903,SEARCH("-",'R.M Billets Reports'!D1903)+1,200)),"")),IF(ISNUMBER(SEARCH("Party Name:-",'R.M Billets Reports'!D1904)),TRIM('R.M Billets Reports'!F1904),IF(ISNUMBER(SEARCH("Party Name-",'R.M Billets Reports'!D1904)),TRIM(MID('R.M Billets Reports'!D1904,SEARCH("-",'R.M Billets Reports'!D1904)+1,200)),"")))="VRKP ISPAT PVT LTD","VRKP",IF(IF(IF(ISNUMBER(SEARCH("Party Name:-",'R.M Billets Reports'!D1903)),TRIM('R.M Billets Reports'!F1903),IF(ISNUMBER(SEARCH("Party Name-",'R.M Billets Reports'!D1903)),TRIM(MID('R.M Billets Reports'!D1903,SEARCH("-",'R.M Billets Reports'!D1903)+1,200)),""))&lt;&gt;"",IF(ISNUMBER(SEARCH("Party Name:-",'R.M Billets Reports'!D1903)),TRIM('R.M Billets Reports'!F1903),IF(ISNUMBER(SEARCH("Party Name-",'R.M Billets Reports'!D1903)),TRIM(MID('R.M Billets Reports'!D1903,SEARCH("-",'R.M Billets Reports'!D1903)+1,200)),"")),IF(ISNUMBER(SEARCH("Party Name:-",'R.M Billets Reports'!D1904)),TRIM('R.M Billets Reports'!F1904),IF(ISNUMBER(SEARCH("Party Name-",'R.M Billets Reports'!D1904)),TRIM(MID('R.M Billets Reports'!D1904,SEARCH("-",'R.M Billets Reports'!D1904)+1,200)),"")))="SHRI RADHE","SHREE RADHE",IF(IF(IF(ISNUMBER(SEARCH("Party Name:-",'R.M Billets Reports'!D1903)),TRIM('R.M Billets Reports'!F1903),IF(ISNUMBER(SEARCH("Party Name-",'R.M Billets Reports'!D1903)),TRIM(MID('R.M Billets Reports'!D1903,SEARCH("-",'R.M Billets Reports'!D1903)+1,200)),""))&lt;&gt;"",IF(ISNUMBER(SEARCH("Party Name:-",'R.M Billets Reports'!D1903)),TRIM('R.M Billets Reports'!F1903),IF(ISNUMBER(SEARCH("Party Name-",'R.M Billets Reports'!D1903)),TRIM(MID('R.M Billets Reports'!D1903,SEARCH("-",'R.M Billets Reports'!D1903)+1,200)),"")),IF(ISNUMBER(SEARCH("Party Name:-",'R.M Billets Reports'!D1904)),TRIM('R.M Billets Reports'!F1904),IF(ISNUMBER(SEARCH("Party Name-",'R.M Billets Reports'!D1904)),TRIM(MID('R.M Billets Reports'!D1904,SEARCH("-",'R.M Billets Reports'!D1904)+1,200)),"")))="SHREE RADHE SHAKTI SPONGE AND POWER PVT. LTD.","SHREE RADHE",IF(IF(ISNUMBER(SEARCH("Party Name:-",'R.M Billets Reports'!D1903)),TRIM('R.M Billets Reports'!F1903),IF(ISNUMBER(SEARCH("Party Name-",'R.M Billets Reports'!D1903)),TRIM(MID('R.M Billets Reports'!D1903,SEARCH("-",'R.M Billets Reports'!D1903)+1,200)),""))&lt;&gt;"",IF(ISNUMBER(SEARCH("Party Name:-",'R.M Billets Reports'!D1903)),TRIM('R.M Billets Reports'!F1903),IF(ISNUMBER(SEARCH("Party Name-",'R.M Billets Reports'!D1903)),TRIM(MID('R.M Billets Reports'!D1903,SEARCH("-",'R.M Billets Reports'!D1903)+1,200)),"")),IF(ISNUMBER(SEARCH("Party Name:-",'R.M Billets Reports'!D1904)),TRIM('R.M Billets Reports'!F1904),IF(ISNUMBER(SEARCH("Party Name-",'R.M Billets Reports'!D1904)),TRIM(MID('R.M Billets Reports'!D1904,SEARCH("-",'R.M Billets Reports'!D1904)+1,200)),"")))))),IF(ROW()=2,"",A1903))</f>
      </c>
      <c r="B1904">
        <f>IF(OR('R.M Billets Reports'!A1903="Date-",'R.M Billets Reports'!A1903="Date:-"),'R.M Billets Reports'!B1903,IF(ROW()=2,"",B1903))</f>
      </c>
      <c r="C1904">
        <f>IF('R.M Billets Reports'!A1903="V.No.",'R.M Billets Reports'!B1903,IF(ROW()=2,"",C1903))</f>
      </c>
      <c r="D1904">
        <f>IF('R.M Billets Reports'!A1903&lt;&gt;"",'R.M Billets Reports'!A1903,IF(ROW()=2,"",D1903))</f>
      </c>
      <c r="E1904">
        <f>IF('R.M Billets Reports'!B1903="","",TRIM('R.M Billets Reports'!B1903))</f>
      </c>
      <c r="F1904">
        <f>'R.M Billets Reports'!C1903</f>
      </c>
      <c r="G1904">
        <f>'R.M Billets Reports'!D1903</f>
      </c>
      <c r="H1904">
        <f>'R.M Billets Reports'!E1903</f>
      </c>
      <c r="I1904">
        <f>'R.M Billets Reports'!F1903</f>
      </c>
      <c r="J1904">
        <f>'R.M Billets Reports'!G1903</f>
      </c>
      <c r="K1904">
        <f>'R.M Billets Reports'!H1903</f>
      </c>
      <c r="L1904">
        <f>IF('R.M Billets Reports'!I1903="","",'R.M Billets Reports'!I1903)</f>
      </c>
      <c r="M1904">
        <f t="shared" si="58"/>
      </c>
      <c r="N1904">
        <f>IF('R.M Billets Reports'!J1903="","",'R.M Billets Reports'!J1903)</f>
      </c>
      <c r="O1904">
        <f t="shared" si="59"/>
      </c>
      <c r="P1904">
        <f>IF('R.M Billets Reports'!A1903="SIZE",'R.M Billets Reports'!B1903,P1903)</f>
      </c>
    </row>
    <row r="1905" spans="1:16" x14ac:dyDescent="0.25">
      <c r="A1905">
        <f>IF(OR('R.M Billets Reports'!A1904="Date-",'R.M Billets Reports'!A1904="Date:-"),IF(IF(IF(ISNUMBER(SEARCH("Party Name:-",'R.M Billets Reports'!D1904)),TRIM('R.M Billets Reports'!F1904),IF(ISNUMBER(SEARCH("Party Name-",'R.M Billets Reports'!D1904)),TRIM(MID('R.M Billets Reports'!D1904,SEARCH("-",'R.M Billets Reports'!D1904)+1,200)),""))&lt;&gt;"",IF(ISNUMBER(SEARCH("Party Name:-",'R.M Billets Reports'!D1904)),TRIM('R.M Billets Reports'!F1904),IF(ISNUMBER(SEARCH("Party Name-",'R.M Billets Reports'!D1904)),TRIM(MID('R.M Billets Reports'!D1904,SEARCH("-",'R.M Billets Reports'!D1904)+1,200)),"")),IF(ISNUMBER(SEARCH("Party Name:-",'R.M Billets Reports'!D1905)),TRIM('R.M Billets Reports'!F1905),IF(ISNUMBER(SEARCH("Party Name-",'R.M Billets Reports'!D1905)),TRIM(MID('R.M Billets Reports'!D1905,SEARCH("-",'R.M Billets Reports'!D1905)+1,200)),"")))="VRKP ISPAT PVT LTD","VRKP",IF(IF(IF(ISNUMBER(SEARCH("Party Name:-",'R.M Billets Reports'!D1904)),TRIM('R.M Billets Reports'!F1904),IF(ISNUMBER(SEARCH("Party Name-",'R.M Billets Reports'!D1904)),TRIM(MID('R.M Billets Reports'!D1904,SEARCH("-",'R.M Billets Reports'!D1904)+1,200)),""))&lt;&gt;"",IF(ISNUMBER(SEARCH("Party Name:-",'R.M Billets Reports'!D1904)),TRIM('R.M Billets Reports'!F1904),IF(ISNUMBER(SEARCH("Party Name-",'R.M Billets Reports'!D1904)),TRIM(MID('R.M Billets Reports'!D1904,SEARCH("-",'R.M Billets Reports'!D1904)+1,200)),"")),IF(ISNUMBER(SEARCH("Party Name:-",'R.M Billets Reports'!D1905)),TRIM('R.M Billets Reports'!F1905),IF(ISNUMBER(SEARCH("Party Name-",'R.M Billets Reports'!D1905)),TRIM(MID('R.M Billets Reports'!D1905,SEARCH("-",'R.M Billets Reports'!D1905)+1,200)),"")))="SHRI RADHE","SHREE RADHE",IF(IF(IF(ISNUMBER(SEARCH("Party Name:-",'R.M Billets Reports'!D1904)),TRIM('R.M Billets Reports'!F1904),IF(ISNUMBER(SEARCH("Party Name-",'R.M Billets Reports'!D1904)),TRIM(MID('R.M Billets Reports'!D1904,SEARCH("-",'R.M Billets Reports'!D1904)+1,200)),""))&lt;&gt;"",IF(ISNUMBER(SEARCH("Party Name:-",'R.M Billets Reports'!D1904)),TRIM('R.M Billets Reports'!F1904),IF(ISNUMBER(SEARCH("Party Name-",'R.M Billets Reports'!D1904)),TRIM(MID('R.M Billets Reports'!D1904,SEARCH("-",'R.M Billets Reports'!D1904)+1,200)),"")),IF(ISNUMBER(SEARCH("Party Name:-",'R.M Billets Reports'!D1905)),TRIM('R.M Billets Reports'!F1905),IF(ISNUMBER(SEARCH("Party Name-",'R.M Billets Reports'!D1905)),TRIM(MID('R.M Billets Reports'!D1905,SEARCH("-",'R.M Billets Reports'!D1905)+1,200)),"")))="SHREE RADHE SHAKTI SPONGE AND POWER PVT. LTD.","SHREE RADHE",IF(IF(ISNUMBER(SEARCH("Party Name:-",'R.M Billets Reports'!D1904)),TRIM('R.M Billets Reports'!F1904),IF(ISNUMBER(SEARCH("Party Name-",'R.M Billets Reports'!D1904)),TRIM(MID('R.M Billets Reports'!D1904,SEARCH("-",'R.M Billets Reports'!D1904)+1,200)),""))&lt;&gt;"",IF(ISNUMBER(SEARCH("Party Name:-",'R.M Billets Reports'!D1904)),TRIM('R.M Billets Reports'!F1904),IF(ISNUMBER(SEARCH("Party Name-",'R.M Billets Reports'!D1904)),TRIM(MID('R.M Billets Reports'!D1904,SEARCH("-",'R.M Billets Reports'!D1904)+1,200)),"")),IF(ISNUMBER(SEARCH("Party Name:-",'R.M Billets Reports'!D1905)),TRIM('R.M Billets Reports'!F1905),IF(ISNUMBER(SEARCH("Party Name-",'R.M Billets Reports'!D1905)),TRIM(MID('R.M Billets Reports'!D1905,SEARCH("-",'R.M Billets Reports'!D1905)+1,200)),"")))))),IF(ROW()=2,"",A1904))</f>
      </c>
      <c r="B1905">
        <f>IF(OR('R.M Billets Reports'!A1904="Date-",'R.M Billets Reports'!A1904="Date:-"),'R.M Billets Reports'!B1904,IF(ROW()=2,"",B1904))</f>
      </c>
      <c r="C1905">
        <f>IF('R.M Billets Reports'!A1904="V.No.",'R.M Billets Reports'!B1904,IF(ROW()=2,"",C1904))</f>
      </c>
      <c r="D1905">
        <f>IF('R.M Billets Reports'!A1904&lt;&gt;"",'R.M Billets Reports'!A1904,IF(ROW()=2,"",D1904))</f>
      </c>
      <c r="E1905">
        <f>IF('R.M Billets Reports'!B1904="","",TRIM('R.M Billets Reports'!B1904))</f>
      </c>
      <c r="F1905">
        <f>'R.M Billets Reports'!C1904</f>
      </c>
      <c r="G1905">
        <f>'R.M Billets Reports'!D1904</f>
      </c>
      <c r="H1905">
        <f>'R.M Billets Reports'!E1904</f>
      </c>
      <c r="I1905">
        <f>'R.M Billets Reports'!F1904</f>
      </c>
      <c r="J1905">
        <f>'R.M Billets Reports'!G1904</f>
      </c>
      <c r="K1905">
        <f>'R.M Billets Reports'!H1904</f>
      </c>
      <c r="L1905">
        <f>IF('R.M Billets Reports'!I1904="","",'R.M Billets Reports'!I1904)</f>
      </c>
      <c r="M1905">
        <f t="shared" si="58"/>
      </c>
      <c r="N1905">
        <f>IF('R.M Billets Reports'!J1904="","",'R.M Billets Reports'!J1904)</f>
      </c>
      <c r="O1905">
        <f t="shared" si="59"/>
      </c>
      <c r="P1905">
        <f>IF('R.M Billets Reports'!A1904="SIZE",'R.M Billets Reports'!B1904,P1904)</f>
      </c>
    </row>
    <row r="1906" spans="1:16" x14ac:dyDescent="0.25">
      <c r="A1906">
        <f>IF(OR('R.M Billets Reports'!A1905="Date-",'R.M Billets Reports'!A1905="Date:-"),IF(IF(IF(ISNUMBER(SEARCH("Party Name:-",'R.M Billets Reports'!D1905)),TRIM('R.M Billets Reports'!F1905),IF(ISNUMBER(SEARCH("Party Name-",'R.M Billets Reports'!D1905)),TRIM(MID('R.M Billets Reports'!D1905,SEARCH("-",'R.M Billets Reports'!D1905)+1,200)),""))&lt;&gt;"",IF(ISNUMBER(SEARCH("Party Name:-",'R.M Billets Reports'!D1905)),TRIM('R.M Billets Reports'!F1905),IF(ISNUMBER(SEARCH("Party Name-",'R.M Billets Reports'!D1905)),TRIM(MID('R.M Billets Reports'!D1905,SEARCH("-",'R.M Billets Reports'!D1905)+1,200)),"")),IF(ISNUMBER(SEARCH("Party Name:-",'R.M Billets Reports'!D1906)),TRIM('R.M Billets Reports'!F1906),IF(ISNUMBER(SEARCH("Party Name-",'R.M Billets Reports'!D1906)),TRIM(MID('R.M Billets Reports'!D1906,SEARCH("-",'R.M Billets Reports'!D1906)+1,200)),"")))="VRKP ISPAT PVT LTD","VRKP",IF(IF(IF(ISNUMBER(SEARCH("Party Name:-",'R.M Billets Reports'!D1905)),TRIM('R.M Billets Reports'!F1905),IF(ISNUMBER(SEARCH("Party Name-",'R.M Billets Reports'!D1905)),TRIM(MID('R.M Billets Reports'!D1905,SEARCH("-",'R.M Billets Reports'!D1905)+1,200)),""))&lt;&gt;"",IF(ISNUMBER(SEARCH("Party Name:-",'R.M Billets Reports'!D1905)),TRIM('R.M Billets Reports'!F1905),IF(ISNUMBER(SEARCH("Party Name-",'R.M Billets Reports'!D1905)),TRIM(MID('R.M Billets Reports'!D1905,SEARCH("-",'R.M Billets Reports'!D1905)+1,200)),"")),IF(ISNUMBER(SEARCH("Party Name:-",'R.M Billets Reports'!D1906)),TRIM('R.M Billets Reports'!F1906),IF(ISNUMBER(SEARCH("Party Name-",'R.M Billets Reports'!D1906)),TRIM(MID('R.M Billets Reports'!D1906,SEARCH("-",'R.M Billets Reports'!D1906)+1,200)),"")))="SHRI RADHE","SHREE RADHE",IF(IF(IF(ISNUMBER(SEARCH("Party Name:-",'R.M Billets Reports'!D1905)),TRIM('R.M Billets Reports'!F1905),IF(ISNUMBER(SEARCH("Party Name-",'R.M Billets Reports'!D1905)),TRIM(MID('R.M Billets Reports'!D1905,SEARCH("-",'R.M Billets Reports'!D1905)+1,200)),""))&lt;&gt;"",IF(ISNUMBER(SEARCH("Party Name:-",'R.M Billets Reports'!D1905)),TRIM('R.M Billets Reports'!F1905),IF(ISNUMBER(SEARCH("Party Name-",'R.M Billets Reports'!D1905)),TRIM(MID('R.M Billets Reports'!D1905,SEARCH("-",'R.M Billets Reports'!D1905)+1,200)),"")),IF(ISNUMBER(SEARCH("Party Name:-",'R.M Billets Reports'!D1906)),TRIM('R.M Billets Reports'!F1906),IF(ISNUMBER(SEARCH("Party Name-",'R.M Billets Reports'!D1906)),TRIM(MID('R.M Billets Reports'!D1906,SEARCH("-",'R.M Billets Reports'!D1906)+1,200)),"")))="SHREE RADHE SHAKTI SPONGE AND POWER PVT. LTD.","SHREE RADHE",IF(IF(ISNUMBER(SEARCH("Party Name:-",'R.M Billets Reports'!D1905)),TRIM('R.M Billets Reports'!F1905),IF(ISNUMBER(SEARCH("Party Name-",'R.M Billets Reports'!D1905)),TRIM(MID('R.M Billets Reports'!D1905,SEARCH("-",'R.M Billets Reports'!D1905)+1,200)),""))&lt;&gt;"",IF(ISNUMBER(SEARCH("Party Name:-",'R.M Billets Reports'!D1905)),TRIM('R.M Billets Reports'!F1905),IF(ISNUMBER(SEARCH("Party Name-",'R.M Billets Reports'!D1905)),TRIM(MID('R.M Billets Reports'!D1905,SEARCH("-",'R.M Billets Reports'!D1905)+1,200)),"")),IF(ISNUMBER(SEARCH("Party Name:-",'R.M Billets Reports'!D1906)),TRIM('R.M Billets Reports'!F1906),IF(ISNUMBER(SEARCH("Party Name-",'R.M Billets Reports'!D1906)),TRIM(MID('R.M Billets Reports'!D1906,SEARCH("-",'R.M Billets Reports'!D1906)+1,200)),"")))))),IF(ROW()=2,"",A1905))</f>
      </c>
      <c r="B1906">
        <f>IF(OR('R.M Billets Reports'!A1905="Date-",'R.M Billets Reports'!A1905="Date:-"),'R.M Billets Reports'!B1905,IF(ROW()=2,"",B1905))</f>
      </c>
      <c r="C1906">
        <f>IF('R.M Billets Reports'!A1905="V.No.",'R.M Billets Reports'!B1905,IF(ROW()=2,"",C1905))</f>
      </c>
      <c r="D1906">
        <f>IF('R.M Billets Reports'!A1905&lt;&gt;"",'R.M Billets Reports'!A1905,IF(ROW()=2,"",D1905))</f>
      </c>
      <c r="E1906">
        <f>IF('R.M Billets Reports'!B1905="","",TRIM('R.M Billets Reports'!B1905))</f>
      </c>
      <c r="F1906">
        <f>'R.M Billets Reports'!C1905</f>
      </c>
      <c r="G1906">
        <f>'R.M Billets Reports'!D1905</f>
      </c>
      <c r="H1906">
        <f>'R.M Billets Reports'!E1905</f>
      </c>
      <c r="I1906">
        <f>'R.M Billets Reports'!F1905</f>
      </c>
      <c r="J1906">
        <f>'R.M Billets Reports'!G1905</f>
      </c>
      <c r="K1906">
        <f>'R.M Billets Reports'!H1905</f>
      </c>
      <c r="L1906">
        <f>IF('R.M Billets Reports'!I1905="","",'R.M Billets Reports'!I1905)</f>
      </c>
      <c r="M1906">
        <f t="shared" si="58"/>
      </c>
      <c r="N1906">
        <f>IF('R.M Billets Reports'!J1905="","",'R.M Billets Reports'!J1905)</f>
      </c>
      <c r="O1906">
        <f t="shared" si="59"/>
      </c>
      <c r="P1906">
        <f>IF('R.M Billets Reports'!A1905="SIZE",'R.M Billets Reports'!B1905,P1905)</f>
      </c>
    </row>
    <row r="1907" spans="1:16" x14ac:dyDescent="0.25">
      <c r="A1907">
        <f>IF(OR('R.M Billets Reports'!A1906="Date-",'R.M Billets Reports'!A1906="Date:-"),IF(IF(IF(ISNUMBER(SEARCH("Party Name:-",'R.M Billets Reports'!D1906)),TRIM('R.M Billets Reports'!F1906),IF(ISNUMBER(SEARCH("Party Name-",'R.M Billets Reports'!D1906)),TRIM(MID('R.M Billets Reports'!D1906,SEARCH("-",'R.M Billets Reports'!D1906)+1,200)),""))&lt;&gt;"",IF(ISNUMBER(SEARCH("Party Name:-",'R.M Billets Reports'!D1906)),TRIM('R.M Billets Reports'!F1906),IF(ISNUMBER(SEARCH("Party Name-",'R.M Billets Reports'!D1906)),TRIM(MID('R.M Billets Reports'!D1906,SEARCH("-",'R.M Billets Reports'!D1906)+1,200)),"")),IF(ISNUMBER(SEARCH("Party Name:-",'R.M Billets Reports'!D1907)),TRIM('R.M Billets Reports'!F1907),IF(ISNUMBER(SEARCH("Party Name-",'R.M Billets Reports'!D1907)),TRIM(MID('R.M Billets Reports'!D1907,SEARCH("-",'R.M Billets Reports'!D1907)+1,200)),"")))="VRKP ISPAT PVT LTD","VRKP",IF(IF(IF(ISNUMBER(SEARCH("Party Name:-",'R.M Billets Reports'!D1906)),TRIM('R.M Billets Reports'!F1906),IF(ISNUMBER(SEARCH("Party Name-",'R.M Billets Reports'!D1906)),TRIM(MID('R.M Billets Reports'!D1906,SEARCH("-",'R.M Billets Reports'!D1906)+1,200)),""))&lt;&gt;"",IF(ISNUMBER(SEARCH("Party Name:-",'R.M Billets Reports'!D1906)),TRIM('R.M Billets Reports'!F1906),IF(ISNUMBER(SEARCH("Party Name-",'R.M Billets Reports'!D1906)),TRIM(MID('R.M Billets Reports'!D1906,SEARCH("-",'R.M Billets Reports'!D1906)+1,200)),"")),IF(ISNUMBER(SEARCH("Party Name:-",'R.M Billets Reports'!D1907)),TRIM('R.M Billets Reports'!F1907),IF(ISNUMBER(SEARCH("Party Name-",'R.M Billets Reports'!D1907)),TRIM(MID('R.M Billets Reports'!D1907,SEARCH("-",'R.M Billets Reports'!D1907)+1,200)),"")))="SHRI RADHE","SHREE RADHE",IF(IF(IF(ISNUMBER(SEARCH("Party Name:-",'R.M Billets Reports'!D1906)),TRIM('R.M Billets Reports'!F1906),IF(ISNUMBER(SEARCH("Party Name-",'R.M Billets Reports'!D1906)),TRIM(MID('R.M Billets Reports'!D1906,SEARCH("-",'R.M Billets Reports'!D1906)+1,200)),""))&lt;&gt;"",IF(ISNUMBER(SEARCH("Party Name:-",'R.M Billets Reports'!D1906)),TRIM('R.M Billets Reports'!F1906),IF(ISNUMBER(SEARCH("Party Name-",'R.M Billets Reports'!D1906)),TRIM(MID('R.M Billets Reports'!D1906,SEARCH("-",'R.M Billets Reports'!D1906)+1,200)),"")),IF(ISNUMBER(SEARCH("Party Name:-",'R.M Billets Reports'!D1907)),TRIM('R.M Billets Reports'!F1907),IF(ISNUMBER(SEARCH("Party Name-",'R.M Billets Reports'!D1907)),TRIM(MID('R.M Billets Reports'!D1907,SEARCH("-",'R.M Billets Reports'!D1907)+1,200)),"")))="SHREE RADHE SHAKTI SPONGE AND POWER PVT. LTD.","SHREE RADHE",IF(IF(ISNUMBER(SEARCH("Party Name:-",'R.M Billets Reports'!D1906)),TRIM('R.M Billets Reports'!F1906),IF(ISNUMBER(SEARCH("Party Name-",'R.M Billets Reports'!D1906)),TRIM(MID('R.M Billets Reports'!D1906,SEARCH("-",'R.M Billets Reports'!D1906)+1,200)),""))&lt;&gt;"",IF(ISNUMBER(SEARCH("Party Name:-",'R.M Billets Reports'!D1906)),TRIM('R.M Billets Reports'!F1906),IF(ISNUMBER(SEARCH("Party Name-",'R.M Billets Reports'!D1906)),TRIM(MID('R.M Billets Reports'!D1906,SEARCH("-",'R.M Billets Reports'!D1906)+1,200)),"")),IF(ISNUMBER(SEARCH("Party Name:-",'R.M Billets Reports'!D1907)),TRIM('R.M Billets Reports'!F1907),IF(ISNUMBER(SEARCH("Party Name-",'R.M Billets Reports'!D1907)),TRIM(MID('R.M Billets Reports'!D1907,SEARCH("-",'R.M Billets Reports'!D1907)+1,200)),"")))))),IF(ROW()=2,"",A1906))</f>
      </c>
      <c r="B1907">
        <f>IF(OR('R.M Billets Reports'!A1906="Date-",'R.M Billets Reports'!A1906="Date:-"),'R.M Billets Reports'!B1906,IF(ROW()=2,"",B1906))</f>
      </c>
      <c r="C1907">
        <f>IF('R.M Billets Reports'!A1906="V.No.",'R.M Billets Reports'!B1906,IF(ROW()=2,"",C1906))</f>
      </c>
      <c r="D1907">
        <f>IF('R.M Billets Reports'!A1906&lt;&gt;"",'R.M Billets Reports'!A1906,IF(ROW()=2,"",D1906))</f>
      </c>
      <c r="E1907">
        <f>IF('R.M Billets Reports'!B1906="","",TRIM('R.M Billets Reports'!B1906))</f>
      </c>
      <c r="F1907">
        <f>'R.M Billets Reports'!C1906</f>
      </c>
      <c r="G1907">
        <f>'R.M Billets Reports'!D1906</f>
      </c>
      <c r="H1907">
        <f>'R.M Billets Reports'!E1906</f>
      </c>
      <c r="I1907">
        <f>'R.M Billets Reports'!F1906</f>
      </c>
      <c r="J1907">
        <f>'R.M Billets Reports'!G1906</f>
      </c>
      <c r="K1907">
        <f>'R.M Billets Reports'!H1906</f>
      </c>
      <c r="L1907">
        <f>IF('R.M Billets Reports'!I1906="","",'R.M Billets Reports'!I1906)</f>
      </c>
      <c r="M1907">
        <f t="shared" si="58"/>
      </c>
      <c r="N1907">
        <f>IF('R.M Billets Reports'!J1906="","",'R.M Billets Reports'!J1906)</f>
      </c>
      <c r="O1907">
        <f t="shared" si="59"/>
      </c>
      <c r="P1907">
        <f>IF('R.M Billets Reports'!A1906="SIZE",'R.M Billets Reports'!B1906,P1906)</f>
      </c>
    </row>
    <row r="1908" spans="1:16" x14ac:dyDescent="0.25">
      <c r="A1908">
        <f>IF(OR('R.M Billets Reports'!A1907="Date-",'R.M Billets Reports'!A1907="Date:-"),IF(IF(IF(ISNUMBER(SEARCH("Party Name:-",'R.M Billets Reports'!D1907)),TRIM('R.M Billets Reports'!F1907),IF(ISNUMBER(SEARCH("Party Name-",'R.M Billets Reports'!D1907)),TRIM(MID('R.M Billets Reports'!D1907,SEARCH("-",'R.M Billets Reports'!D1907)+1,200)),""))&lt;&gt;"",IF(ISNUMBER(SEARCH("Party Name:-",'R.M Billets Reports'!D1907)),TRIM('R.M Billets Reports'!F1907),IF(ISNUMBER(SEARCH("Party Name-",'R.M Billets Reports'!D1907)),TRIM(MID('R.M Billets Reports'!D1907,SEARCH("-",'R.M Billets Reports'!D1907)+1,200)),"")),IF(ISNUMBER(SEARCH("Party Name:-",'R.M Billets Reports'!D1908)),TRIM('R.M Billets Reports'!F1908),IF(ISNUMBER(SEARCH("Party Name-",'R.M Billets Reports'!D1908)),TRIM(MID('R.M Billets Reports'!D1908,SEARCH("-",'R.M Billets Reports'!D1908)+1,200)),"")))="VRKP ISPAT PVT LTD","VRKP",IF(IF(IF(ISNUMBER(SEARCH("Party Name:-",'R.M Billets Reports'!D1907)),TRIM('R.M Billets Reports'!F1907),IF(ISNUMBER(SEARCH("Party Name-",'R.M Billets Reports'!D1907)),TRIM(MID('R.M Billets Reports'!D1907,SEARCH("-",'R.M Billets Reports'!D1907)+1,200)),""))&lt;&gt;"",IF(ISNUMBER(SEARCH("Party Name:-",'R.M Billets Reports'!D1907)),TRIM('R.M Billets Reports'!F1907),IF(ISNUMBER(SEARCH("Party Name-",'R.M Billets Reports'!D1907)),TRIM(MID('R.M Billets Reports'!D1907,SEARCH("-",'R.M Billets Reports'!D1907)+1,200)),"")),IF(ISNUMBER(SEARCH("Party Name:-",'R.M Billets Reports'!D1908)),TRIM('R.M Billets Reports'!F1908),IF(ISNUMBER(SEARCH("Party Name-",'R.M Billets Reports'!D1908)),TRIM(MID('R.M Billets Reports'!D1908,SEARCH("-",'R.M Billets Reports'!D1908)+1,200)),"")))="SHRI RADHE","SHREE RADHE",IF(IF(IF(ISNUMBER(SEARCH("Party Name:-",'R.M Billets Reports'!D1907)),TRIM('R.M Billets Reports'!F1907),IF(ISNUMBER(SEARCH("Party Name-",'R.M Billets Reports'!D1907)),TRIM(MID('R.M Billets Reports'!D1907,SEARCH("-",'R.M Billets Reports'!D1907)+1,200)),""))&lt;&gt;"",IF(ISNUMBER(SEARCH("Party Name:-",'R.M Billets Reports'!D1907)),TRIM('R.M Billets Reports'!F1907),IF(ISNUMBER(SEARCH("Party Name-",'R.M Billets Reports'!D1907)),TRIM(MID('R.M Billets Reports'!D1907,SEARCH("-",'R.M Billets Reports'!D1907)+1,200)),"")),IF(ISNUMBER(SEARCH("Party Name:-",'R.M Billets Reports'!D1908)),TRIM('R.M Billets Reports'!F1908),IF(ISNUMBER(SEARCH("Party Name-",'R.M Billets Reports'!D1908)),TRIM(MID('R.M Billets Reports'!D1908,SEARCH("-",'R.M Billets Reports'!D1908)+1,200)),"")))="SHREE RADHE SHAKTI SPONGE AND POWER PVT. LTD.","SHREE RADHE",IF(IF(ISNUMBER(SEARCH("Party Name:-",'R.M Billets Reports'!D1907)),TRIM('R.M Billets Reports'!F1907),IF(ISNUMBER(SEARCH("Party Name-",'R.M Billets Reports'!D1907)),TRIM(MID('R.M Billets Reports'!D1907,SEARCH("-",'R.M Billets Reports'!D1907)+1,200)),""))&lt;&gt;"",IF(ISNUMBER(SEARCH("Party Name:-",'R.M Billets Reports'!D1907)),TRIM('R.M Billets Reports'!F1907),IF(ISNUMBER(SEARCH("Party Name-",'R.M Billets Reports'!D1907)),TRIM(MID('R.M Billets Reports'!D1907,SEARCH("-",'R.M Billets Reports'!D1907)+1,200)),"")),IF(ISNUMBER(SEARCH("Party Name:-",'R.M Billets Reports'!D1908)),TRIM('R.M Billets Reports'!F1908),IF(ISNUMBER(SEARCH("Party Name-",'R.M Billets Reports'!D1908)),TRIM(MID('R.M Billets Reports'!D1908,SEARCH("-",'R.M Billets Reports'!D1908)+1,200)),"")))))),IF(ROW()=2,"",A1907))</f>
      </c>
      <c r="B1908">
        <f>IF(OR('R.M Billets Reports'!A1907="Date-",'R.M Billets Reports'!A1907="Date:-"),'R.M Billets Reports'!B1907,IF(ROW()=2,"",B1907))</f>
      </c>
      <c r="C1908">
        <f>IF('R.M Billets Reports'!A1907="V.No.",'R.M Billets Reports'!B1907,IF(ROW()=2,"",C1907))</f>
      </c>
      <c r="D1908">
        <f>IF('R.M Billets Reports'!A1907&lt;&gt;"",'R.M Billets Reports'!A1907,IF(ROW()=2,"",D1907))</f>
      </c>
      <c r="E1908">
        <f>IF('R.M Billets Reports'!B1907="","",TRIM('R.M Billets Reports'!B1907))</f>
      </c>
      <c r="F1908">
        <f>'R.M Billets Reports'!C1907</f>
      </c>
      <c r="G1908">
        <f>'R.M Billets Reports'!D1907</f>
      </c>
      <c r="H1908">
        <f>'R.M Billets Reports'!E1907</f>
      </c>
      <c r="I1908">
        <f>'R.M Billets Reports'!F1907</f>
      </c>
      <c r="J1908">
        <f>'R.M Billets Reports'!G1907</f>
      </c>
      <c r="K1908">
        <f>'R.M Billets Reports'!H1907</f>
      </c>
      <c r="L1908">
        <f>IF('R.M Billets Reports'!I1907="","",'R.M Billets Reports'!I1907)</f>
      </c>
      <c r="M1908">
        <f t="shared" si="58"/>
      </c>
      <c r="N1908">
        <f>IF('R.M Billets Reports'!J1907="","",'R.M Billets Reports'!J1907)</f>
      </c>
      <c r="O1908">
        <f t="shared" si="59"/>
      </c>
      <c r="P1908">
        <f>IF('R.M Billets Reports'!A1907="SIZE",'R.M Billets Reports'!B1907,P1907)</f>
      </c>
    </row>
    <row r="1909" spans="1:16" x14ac:dyDescent="0.25">
      <c r="A1909">
        <f>IF(OR('R.M Billets Reports'!A1908="Date-",'R.M Billets Reports'!A1908="Date:-"),IF(IF(IF(ISNUMBER(SEARCH("Party Name:-",'R.M Billets Reports'!D1908)),TRIM('R.M Billets Reports'!F1908),IF(ISNUMBER(SEARCH("Party Name-",'R.M Billets Reports'!D1908)),TRIM(MID('R.M Billets Reports'!D1908,SEARCH("-",'R.M Billets Reports'!D1908)+1,200)),""))&lt;&gt;"",IF(ISNUMBER(SEARCH("Party Name:-",'R.M Billets Reports'!D1908)),TRIM('R.M Billets Reports'!F1908),IF(ISNUMBER(SEARCH("Party Name-",'R.M Billets Reports'!D1908)),TRIM(MID('R.M Billets Reports'!D1908,SEARCH("-",'R.M Billets Reports'!D1908)+1,200)),"")),IF(ISNUMBER(SEARCH("Party Name:-",'R.M Billets Reports'!D1909)),TRIM('R.M Billets Reports'!F1909),IF(ISNUMBER(SEARCH("Party Name-",'R.M Billets Reports'!D1909)),TRIM(MID('R.M Billets Reports'!D1909,SEARCH("-",'R.M Billets Reports'!D1909)+1,200)),"")))="VRKP ISPAT PVT LTD","VRKP",IF(IF(IF(ISNUMBER(SEARCH("Party Name:-",'R.M Billets Reports'!D1908)),TRIM('R.M Billets Reports'!F1908),IF(ISNUMBER(SEARCH("Party Name-",'R.M Billets Reports'!D1908)),TRIM(MID('R.M Billets Reports'!D1908,SEARCH("-",'R.M Billets Reports'!D1908)+1,200)),""))&lt;&gt;"",IF(ISNUMBER(SEARCH("Party Name:-",'R.M Billets Reports'!D1908)),TRIM('R.M Billets Reports'!F1908),IF(ISNUMBER(SEARCH("Party Name-",'R.M Billets Reports'!D1908)),TRIM(MID('R.M Billets Reports'!D1908,SEARCH("-",'R.M Billets Reports'!D1908)+1,200)),"")),IF(ISNUMBER(SEARCH("Party Name:-",'R.M Billets Reports'!D1909)),TRIM('R.M Billets Reports'!F1909),IF(ISNUMBER(SEARCH("Party Name-",'R.M Billets Reports'!D1909)),TRIM(MID('R.M Billets Reports'!D1909,SEARCH("-",'R.M Billets Reports'!D1909)+1,200)),"")))="SHRI RADHE","SHREE RADHE",IF(IF(IF(ISNUMBER(SEARCH("Party Name:-",'R.M Billets Reports'!D1908)),TRIM('R.M Billets Reports'!F1908),IF(ISNUMBER(SEARCH("Party Name-",'R.M Billets Reports'!D1908)),TRIM(MID('R.M Billets Reports'!D1908,SEARCH("-",'R.M Billets Reports'!D1908)+1,200)),""))&lt;&gt;"",IF(ISNUMBER(SEARCH("Party Name:-",'R.M Billets Reports'!D1908)),TRIM('R.M Billets Reports'!F1908),IF(ISNUMBER(SEARCH("Party Name-",'R.M Billets Reports'!D1908)),TRIM(MID('R.M Billets Reports'!D1908,SEARCH("-",'R.M Billets Reports'!D1908)+1,200)),"")),IF(ISNUMBER(SEARCH("Party Name:-",'R.M Billets Reports'!D1909)),TRIM('R.M Billets Reports'!F1909),IF(ISNUMBER(SEARCH("Party Name-",'R.M Billets Reports'!D1909)),TRIM(MID('R.M Billets Reports'!D1909,SEARCH("-",'R.M Billets Reports'!D1909)+1,200)),"")))="SHREE RADHE SHAKTI SPONGE AND POWER PVT. LTD.","SHREE RADHE",IF(IF(ISNUMBER(SEARCH("Party Name:-",'R.M Billets Reports'!D1908)),TRIM('R.M Billets Reports'!F1908),IF(ISNUMBER(SEARCH("Party Name-",'R.M Billets Reports'!D1908)),TRIM(MID('R.M Billets Reports'!D1908,SEARCH("-",'R.M Billets Reports'!D1908)+1,200)),""))&lt;&gt;"",IF(ISNUMBER(SEARCH("Party Name:-",'R.M Billets Reports'!D1908)),TRIM('R.M Billets Reports'!F1908),IF(ISNUMBER(SEARCH("Party Name-",'R.M Billets Reports'!D1908)),TRIM(MID('R.M Billets Reports'!D1908,SEARCH("-",'R.M Billets Reports'!D1908)+1,200)),"")),IF(ISNUMBER(SEARCH("Party Name:-",'R.M Billets Reports'!D1909)),TRIM('R.M Billets Reports'!F1909),IF(ISNUMBER(SEARCH("Party Name-",'R.M Billets Reports'!D1909)),TRIM(MID('R.M Billets Reports'!D1909,SEARCH("-",'R.M Billets Reports'!D1909)+1,200)),"")))))),IF(ROW()=2,"",A1908))</f>
      </c>
      <c r="B1909">
        <f>IF(OR('R.M Billets Reports'!A1908="Date-",'R.M Billets Reports'!A1908="Date:-"),'R.M Billets Reports'!B1908,IF(ROW()=2,"",B1908))</f>
      </c>
      <c r="C1909">
        <f>IF('R.M Billets Reports'!A1908="V.No.",'R.M Billets Reports'!B1908,IF(ROW()=2,"",C1908))</f>
      </c>
      <c r="D1909">
        <f>IF('R.M Billets Reports'!A1908&lt;&gt;"",'R.M Billets Reports'!A1908,IF(ROW()=2,"",D1908))</f>
      </c>
      <c r="E1909">
        <f>IF('R.M Billets Reports'!B1908="","",TRIM('R.M Billets Reports'!B1908))</f>
      </c>
      <c r="F1909">
        <f>'R.M Billets Reports'!C1908</f>
      </c>
      <c r="G1909">
        <f>'R.M Billets Reports'!D1908</f>
      </c>
      <c r="H1909">
        <f>'R.M Billets Reports'!E1908</f>
      </c>
      <c r="I1909">
        <f>'R.M Billets Reports'!F1908</f>
      </c>
      <c r="J1909">
        <f>'R.M Billets Reports'!G1908</f>
      </c>
      <c r="K1909">
        <f>'R.M Billets Reports'!H1908</f>
      </c>
      <c r="L1909">
        <f>IF('R.M Billets Reports'!I1908="","",'R.M Billets Reports'!I1908)</f>
      </c>
      <c r="M1909">
        <f t="shared" si="58"/>
      </c>
      <c r="N1909">
        <f>IF('R.M Billets Reports'!J1908="","",'R.M Billets Reports'!J1908)</f>
      </c>
      <c r="O1909">
        <f t="shared" si="59"/>
      </c>
      <c r="P1909">
        <f>IF('R.M Billets Reports'!A1908="SIZE",'R.M Billets Reports'!B1908,P1908)</f>
      </c>
    </row>
    <row r="1910" spans="1:16" x14ac:dyDescent="0.25">
      <c r="A1910">
        <f>IF(OR('R.M Billets Reports'!A1909="Date-",'R.M Billets Reports'!A1909="Date:-"),IF(IF(IF(ISNUMBER(SEARCH("Party Name:-",'R.M Billets Reports'!D1909)),TRIM('R.M Billets Reports'!F1909),IF(ISNUMBER(SEARCH("Party Name-",'R.M Billets Reports'!D1909)),TRIM(MID('R.M Billets Reports'!D1909,SEARCH("-",'R.M Billets Reports'!D1909)+1,200)),""))&lt;&gt;"",IF(ISNUMBER(SEARCH("Party Name:-",'R.M Billets Reports'!D1909)),TRIM('R.M Billets Reports'!F1909),IF(ISNUMBER(SEARCH("Party Name-",'R.M Billets Reports'!D1909)),TRIM(MID('R.M Billets Reports'!D1909,SEARCH("-",'R.M Billets Reports'!D1909)+1,200)),"")),IF(ISNUMBER(SEARCH("Party Name:-",'R.M Billets Reports'!D1910)),TRIM('R.M Billets Reports'!F1910),IF(ISNUMBER(SEARCH("Party Name-",'R.M Billets Reports'!D1910)),TRIM(MID('R.M Billets Reports'!D1910,SEARCH("-",'R.M Billets Reports'!D1910)+1,200)),"")))="VRKP ISPAT PVT LTD","VRKP",IF(IF(IF(ISNUMBER(SEARCH("Party Name:-",'R.M Billets Reports'!D1909)),TRIM('R.M Billets Reports'!F1909),IF(ISNUMBER(SEARCH("Party Name-",'R.M Billets Reports'!D1909)),TRIM(MID('R.M Billets Reports'!D1909,SEARCH("-",'R.M Billets Reports'!D1909)+1,200)),""))&lt;&gt;"",IF(ISNUMBER(SEARCH("Party Name:-",'R.M Billets Reports'!D1909)),TRIM('R.M Billets Reports'!F1909),IF(ISNUMBER(SEARCH("Party Name-",'R.M Billets Reports'!D1909)),TRIM(MID('R.M Billets Reports'!D1909,SEARCH("-",'R.M Billets Reports'!D1909)+1,200)),"")),IF(ISNUMBER(SEARCH("Party Name:-",'R.M Billets Reports'!D1910)),TRIM('R.M Billets Reports'!F1910),IF(ISNUMBER(SEARCH("Party Name-",'R.M Billets Reports'!D1910)),TRIM(MID('R.M Billets Reports'!D1910,SEARCH("-",'R.M Billets Reports'!D1910)+1,200)),"")))="SHRI RADHE","SHREE RADHE",IF(IF(IF(ISNUMBER(SEARCH("Party Name:-",'R.M Billets Reports'!D1909)),TRIM('R.M Billets Reports'!F1909),IF(ISNUMBER(SEARCH("Party Name-",'R.M Billets Reports'!D1909)),TRIM(MID('R.M Billets Reports'!D1909,SEARCH("-",'R.M Billets Reports'!D1909)+1,200)),""))&lt;&gt;"",IF(ISNUMBER(SEARCH("Party Name:-",'R.M Billets Reports'!D1909)),TRIM('R.M Billets Reports'!F1909),IF(ISNUMBER(SEARCH("Party Name-",'R.M Billets Reports'!D1909)),TRIM(MID('R.M Billets Reports'!D1909,SEARCH("-",'R.M Billets Reports'!D1909)+1,200)),"")),IF(ISNUMBER(SEARCH("Party Name:-",'R.M Billets Reports'!D1910)),TRIM('R.M Billets Reports'!F1910),IF(ISNUMBER(SEARCH("Party Name-",'R.M Billets Reports'!D1910)),TRIM(MID('R.M Billets Reports'!D1910,SEARCH("-",'R.M Billets Reports'!D1910)+1,200)),"")))="SHREE RADHE SHAKTI SPONGE AND POWER PVT. LTD.","SHREE RADHE",IF(IF(ISNUMBER(SEARCH("Party Name:-",'R.M Billets Reports'!D1909)),TRIM('R.M Billets Reports'!F1909),IF(ISNUMBER(SEARCH("Party Name-",'R.M Billets Reports'!D1909)),TRIM(MID('R.M Billets Reports'!D1909,SEARCH("-",'R.M Billets Reports'!D1909)+1,200)),""))&lt;&gt;"",IF(ISNUMBER(SEARCH("Party Name:-",'R.M Billets Reports'!D1909)),TRIM('R.M Billets Reports'!F1909),IF(ISNUMBER(SEARCH("Party Name-",'R.M Billets Reports'!D1909)),TRIM(MID('R.M Billets Reports'!D1909,SEARCH("-",'R.M Billets Reports'!D1909)+1,200)),"")),IF(ISNUMBER(SEARCH("Party Name:-",'R.M Billets Reports'!D1910)),TRIM('R.M Billets Reports'!F1910),IF(ISNUMBER(SEARCH("Party Name-",'R.M Billets Reports'!D1910)),TRIM(MID('R.M Billets Reports'!D1910,SEARCH("-",'R.M Billets Reports'!D1910)+1,200)),"")))))),IF(ROW()=2,"",A1909))</f>
      </c>
      <c r="B1910">
        <f>IF(OR('R.M Billets Reports'!A1909="Date-",'R.M Billets Reports'!A1909="Date:-"),'R.M Billets Reports'!B1909,IF(ROW()=2,"",B1909))</f>
      </c>
      <c r="C1910">
        <f>IF('R.M Billets Reports'!A1909="V.No.",'R.M Billets Reports'!B1909,IF(ROW()=2,"",C1909))</f>
      </c>
      <c r="D1910">
        <f>IF('R.M Billets Reports'!A1909&lt;&gt;"",'R.M Billets Reports'!A1909,IF(ROW()=2,"",D1909))</f>
      </c>
      <c r="E1910">
        <f>IF('R.M Billets Reports'!B1909="","",TRIM('R.M Billets Reports'!B1909))</f>
      </c>
      <c r="F1910">
        <f>'R.M Billets Reports'!C1909</f>
      </c>
      <c r="G1910">
        <f>'R.M Billets Reports'!D1909</f>
      </c>
      <c r="H1910">
        <f>'R.M Billets Reports'!E1909</f>
      </c>
      <c r="I1910">
        <f>'R.M Billets Reports'!F1909</f>
      </c>
      <c r="J1910">
        <f>'R.M Billets Reports'!G1909</f>
      </c>
      <c r="K1910">
        <f>'R.M Billets Reports'!H1909</f>
      </c>
      <c r="L1910">
        <f>IF('R.M Billets Reports'!I1909="","",'R.M Billets Reports'!I1909)</f>
      </c>
      <c r="M1910">
        <f t="shared" si="58"/>
      </c>
      <c r="N1910">
        <f>IF('R.M Billets Reports'!J1909="","",'R.M Billets Reports'!J1909)</f>
      </c>
      <c r="O1910">
        <f t="shared" si="59"/>
      </c>
      <c r="P1910">
        <f>IF('R.M Billets Reports'!A1909="SIZE",'R.M Billets Reports'!B1909,P1909)</f>
      </c>
    </row>
    <row r="1911" spans="1:16" x14ac:dyDescent="0.25">
      <c r="A1911">
        <f>IF(OR('R.M Billets Reports'!A1910="Date-",'R.M Billets Reports'!A1910="Date:-"),IF(IF(IF(ISNUMBER(SEARCH("Party Name:-",'R.M Billets Reports'!D1910)),TRIM('R.M Billets Reports'!F1910),IF(ISNUMBER(SEARCH("Party Name-",'R.M Billets Reports'!D1910)),TRIM(MID('R.M Billets Reports'!D1910,SEARCH("-",'R.M Billets Reports'!D1910)+1,200)),""))&lt;&gt;"",IF(ISNUMBER(SEARCH("Party Name:-",'R.M Billets Reports'!D1910)),TRIM('R.M Billets Reports'!F1910),IF(ISNUMBER(SEARCH("Party Name-",'R.M Billets Reports'!D1910)),TRIM(MID('R.M Billets Reports'!D1910,SEARCH("-",'R.M Billets Reports'!D1910)+1,200)),"")),IF(ISNUMBER(SEARCH("Party Name:-",'R.M Billets Reports'!D1911)),TRIM('R.M Billets Reports'!F1911),IF(ISNUMBER(SEARCH("Party Name-",'R.M Billets Reports'!D1911)),TRIM(MID('R.M Billets Reports'!D1911,SEARCH("-",'R.M Billets Reports'!D1911)+1,200)),"")))="VRKP ISPAT PVT LTD","VRKP",IF(IF(IF(ISNUMBER(SEARCH("Party Name:-",'R.M Billets Reports'!D1910)),TRIM('R.M Billets Reports'!F1910),IF(ISNUMBER(SEARCH("Party Name-",'R.M Billets Reports'!D1910)),TRIM(MID('R.M Billets Reports'!D1910,SEARCH("-",'R.M Billets Reports'!D1910)+1,200)),""))&lt;&gt;"",IF(ISNUMBER(SEARCH("Party Name:-",'R.M Billets Reports'!D1910)),TRIM('R.M Billets Reports'!F1910),IF(ISNUMBER(SEARCH("Party Name-",'R.M Billets Reports'!D1910)),TRIM(MID('R.M Billets Reports'!D1910,SEARCH("-",'R.M Billets Reports'!D1910)+1,200)),"")),IF(ISNUMBER(SEARCH("Party Name:-",'R.M Billets Reports'!D1911)),TRIM('R.M Billets Reports'!F1911),IF(ISNUMBER(SEARCH("Party Name-",'R.M Billets Reports'!D1911)),TRIM(MID('R.M Billets Reports'!D1911,SEARCH("-",'R.M Billets Reports'!D1911)+1,200)),"")))="SHRI RADHE","SHREE RADHE",IF(IF(IF(ISNUMBER(SEARCH("Party Name:-",'R.M Billets Reports'!D1910)),TRIM('R.M Billets Reports'!F1910),IF(ISNUMBER(SEARCH("Party Name-",'R.M Billets Reports'!D1910)),TRIM(MID('R.M Billets Reports'!D1910,SEARCH("-",'R.M Billets Reports'!D1910)+1,200)),""))&lt;&gt;"",IF(ISNUMBER(SEARCH("Party Name:-",'R.M Billets Reports'!D1910)),TRIM('R.M Billets Reports'!F1910),IF(ISNUMBER(SEARCH("Party Name-",'R.M Billets Reports'!D1910)),TRIM(MID('R.M Billets Reports'!D1910,SEARCH("-",'R.M Billets Reports'!D1910)+1,200)),"")),IF(ISNUMBER(SEARCH("Party Name:-",'R.M Billets Reports'!D1911)),TRIM('R.M Billets Reports'!F1911),IF(ISNUMBER(SEARCH("Party Name-",'R.M Billets Reports'!D1911)),TRIM(MID('R.M Billets Reports'!D1911,SEARCH("-",'R.M Billets Reports'!D1911)+1,200)),"")))="SHREE RADHE SHAKTI SPONGE AND POWER PVT. LTD.","SHREE RADHE",IF(IF(ISNUMBER(SEARCH("Party Name:-",'R.M Billets Reports'!D1910)),TRIM('R.M Billets Reports'!F1910),IF(ISNUMBER(SEARCH("Party Name-",'R.M Billets Reports'!D1910)),TRIM(MID('R.M Billets Reports'!D1910,SEARCH("-",'R.M Billets Reports'!D1910)+1,200)),""))&lt;&gt;"",IF(ISNUMBER(SEARCH("Party Name:-",'R.M Billets Reports'!D1910)),TRIM('R.M Billets Reports'!F1910),IF(ISNUMBER(SEARCH("Party Name-",'R.M Billets Reports'!D1910)),TRIM(MID('R.M Billets Reports'!D1910,SEARCH("-",'R.M Billets Reports'!D1910)+1,200)),"")),IF(ISNUMBER(SEARCH("Party Name:-",'R.M Billets Reports'!D1911)),TRIM('R.M Billets Reports'!F1911),IF(ISNUMBER(SEARCH("Party Name-",'R.M Billets Reports'!D1911)),TRIM(MID('R.M Billets Reports'!D1911,SEARCH("-",'R.M Billets Reports'!D1911)+1,200)),"")))))),IF(ROW()=2,"",A1910))</f>
      </c>
      <c r="B1911">
        <f>IF(OR('R.M Billets Reports'!A1910="Date-",'R.M Billets Reports'!A1910="Date:-"),'R.M Billets Reports'!B1910,IF(ROW()=2,"",B1910))</f>
      </c>
      <c r="C1911">
        <f>IF('R.M Billets Reports'!A1910="V.No.",'R.M Billets Reports'!B1910,IF(ROW()=2,"",C1910))</f>
      </c>
      <c r="D1911">
        <f>IF('R.M Billets Reports'!A1910&lt;&gt;"",'R.M Billets Reports'!A1910,IF(ROW()=2,"",D1910))</f>
      </c>
      <c r="E1911">
        <f>IF('R.M Billets Reports'!B1910="","",TRIM('R.M Billets Reports'!B1910))</f>
      </c>
      <c r="F1911">
        <f>'R.M Billets Reports'!C1910</f>
      </c>
      <c r="G1911">
        <f>'R.M Billets Reports'!D1910</f>
      </c>
      <c r="H1911">
        <f>'R.M Billets Reports'!E1910</f>
      </c>
      <c r="I1911">
        <f>'R.M Billets Reports'!F1910</f>
      </c>
      <c r="J1911">
        <f>'R.M Billets Reports'!G1910</f>
      </c>
      <c r="K1911">
        <f>'R.M Billets Reports'!H1910</f>
      </c>
      <c r="L1911">
        <f>IF('R.M Billets Reports'!I1910="","",'R.M Billets Reports'!I1910)</f>
      </c>
      <c r="M1911">
        <f t="shared" si="58"/>
      </c>
      <c r="N1911">
        <f>IF('R.M Billets Reports'!J1910="","",'R.M Billets Reports'!J1910)</f>
      </c>
      <c r="O1911">
        <f t="shared" si="59"/>
      </c>
      <c r="P1911">
        <f>IF('R.M Billets Reports'!A1910="SIZE",'R.M Billets Reports'!B1910,P1910)</f>
      </c>
    </row>
    <row r="1912" spans="1:16" x14ac:dyDescent="0.25">
      <c r="A1912">
        <f>IF(OR('R.M Billets Reports'!A1911="Date-",'R.M Billets Reports'!A1911="Date:-"),IF(IF(IF(ISNUMBER(SEARCH("Party Name:-",'R.M Billets Reports'!D1911)),TRIM('R.M Billets Reports'!F1911),IF(ISNUMBER(SEARCH("Party Name-",'R.M Billets Reports'!D1911)),TRIM(MID('R.M Billets Reports'!D1911,SEARCH("-",'R.M Billets Reports'!D1911)+1,200)),""))&lt;&gt;"",IF(ISNUMBER(SEARCH("Party Name:-",'R.M Billets Reports'!D1911)),TRIM('R.M Billets Reports'!F1911),IF(ISNUMBER(SEARCH("Party Name-",'R.M Billets Reports'!D1911)),TRIM(MID('R.M Billets Reports'!D1911,SEARCH("-",'R.M Billets Reports'!D1911)+1,200)),"")),IF(ISNUMBER(SEARCH("Party Name:-",'R.M Billets Reports'!D1912)),TRIM('R.M Billets Reports'!F1912),IF(ISNUMBER(SEARCH("Party Name-",'R.M Billets Reports'!D1912)),TRIM(MID('R.M Billets Reports'!D1912,SEARCH("-",'R.M Billets Reports'!D1912)+1,200)),"")))="VRKP ISPAT PVT LTD","VRKP",IF(IF(IF(ISNUMBER(SEARCH("Party Name:-",'R.M Billets Reports'!D1911)),TRIM('R.M Billets Reports'!F1911),IF(ISNUMBER(SEARCH("Party Name-",'R.M Billets Reports'!D1911)),TRIM(MID('R.M Billets Reports'!D1911,SEARCH("-",'R.M Billets Reports'!D1911)+1,200)),""))&lt;&gt;"",IF(ISNUMBER(SEARCH("Party Name:-",'R.M Billets Reports'!D1911)),TRIM('R.M Billets Reports'!F1911),IF(ISNUMBER(SEARCH("Party Name-",'R.M Billets Reports'!D1911)),TRIM(MID('R.M Billets Reports'!D1911,SEARCH("-",'R.M Billets Reports'!D1911)+1,200)),"")),IF(ISNUMBER(SEARCH("Party Name:-",'R.M Billets Reports'!D1912)),TRIM('R.M Billets Reports'!F1912),IF(ISNUMBER(SEARCH("Party Name-",'R.M Billets Reports'!D1912)),TRIM(MID('R.M Billets Reports'!D1912,SEARCH("-",'R.M Billets Reports'!D1912)+1,200)),"")))="SHRI RADHE","SHREE RADHE",IF(IF(IF(ISNUMBER(SEARCH("Party Name:-",'R.M Billets Reports'!D1911)),TRIM('R.M Billets Reports'!F1911),IF(ISNUMBER(SEARCH("Party Name-",'R.M Billets Reports'!D1911)),TRIM(MID('R.M Billets Reports'!D1911,SEARCH("-",'R.M Billets Reports'!D1911)+1,200)),""))&lt;&gt;"",IF(ISNUMBER(SEARCH("Party Name:-",'R.M Billets Reports'!D1911)),TRIM('R.M Billets Reports'!F1911),IF(ISNUMBER(SEARCH("Party Name-",'R.M Billets Reports'!D1911)),TRIM(MID('R.M Billets Reports'!D1911,SEARCH("-",'R.M Billets Reports'!D1911)+1,200)),"")),IF(ISNUMBER(SEARCH("Party Name:-",'R.M Billets Reports'!D1912)),TRIM('R.M Billets Reports'!F1912),IF(ISNUMBER(SEARCH("Party Name-",'R.M Billets Reports'!D1912)),TRIM(MID('R.M Billets Reports'!D1912,SEARCH("-",'R.M Billets Reports'!D1912)+1,200)),"")))="SHREE RADHE SHAKTI SPONGE AND POWER PVT. LTD.","SHREE RADHE",IF(IF(ISNUMBER(SEARCH("Party Name:-",'R.M Billets Reports'!D1911)),TRIM('R.M Billets Reports'!F1911),IF(ISNUMBER(SEARCH("Party Name-",'R.M Billets Reports'!D1911)),TRIM(MID('R.M Billets Reports'!D1911,SEARCH("-",'R.M Billets Reports'!D1911)+1,200)),""))&lt;&gt;"",IF(ISNUMBER(SEARCH("Party Name:-",'R.M Billets Reports'!D1911)),TRIM('R.M Billets Reports'!F1911),IF(ISNUMBER(SEARCH("Party Name-",'R.M Billets Reports'!D1911)),TRIM(MID('R.M Billets Reports'!D1911,SEARCH("-",'R.M Billets Reports'!D1911)+1,200)),"")),IF(ISNUMBER(SEARCH("Party Name:-",'R.M Billets Reports'!D1912)),TRIM('R.M Billets Reports'!F1912),IF(ISNUMBER(SEARCH("Party Name-",'R.M Billets Reports'!D1912)),TRIM(MID('R.M Billets Reports'!D1912,SEARCH("-",'R.M Billets Reports'!D1912)+1,200)),"")))))),IF(ROW()=2,"",A1911))</f>
      </c>
      <c r="B1912">
        <f>IF(OR('R.M Billets Reports'!A1911="Date-",'R.M Billets Reports'!A1911="Date:-"),'R.M Billets Reports'!B1911,IF(ROW()=2,"",B1911))</f>
      </c>
      <c r="C1912">
        <f>IF('R.M Billets Reports'!A1911="V.No.",'R.M Billets Reports'!B1911,IF(ROW()=2,"",C1911))</f>
      </c>
      <c r="D1912">
        <f>IF('R.M Billets Reports'!A1911&lt;&gt;"",'R.M Billets Reports'!A1911,IF(ROW()=2,"",D1911))</f>
      </c>
      <c r="E1912">
        <f>IF('R.M Billets Reports'!B1911="","",TRIM('R.M Billets Reports'!B1911))</f>
      </c>
      <c r="F1912">
        <f>'R.M Billets Reports'!C1911</f>
      </c>
      <c r="G1912">
        <f>'R.M Billets Reports'!D1911</f>
      </c>
      <c r="H1912">
        <f>'R.M Billets Reports'!E1911</f>
      </c>
      <c r="I1912">
        <f>'R.M Billets Reports'!F1911</f>
      </c>
      <c r="J1912">
        <f>'R.M Billets Reports'!G1911</f>
      </c>
      <c r="K1912">
        <f>'R.M Billets Reports'!H1911</f>
      </c>
      <c r="L1912">
        <f>IF('R.M Billets Reports'!I1911="","",'R.M Billets Reports'!I1911)</f>
      </c>
      <c r="M1912">
        <f t="shared" si="58"/>
      </c>
      <c r="N1912">
        <f>IF('R.M Billets Reports'!J1911="","",'R.M Billets Reports'!J1911)</f>
      </c>
      <c r="O1912">
        <f t="shared" si="59"/>
      </c>
      <c r="P1912">
        <f>IF('R.M Billets Reports'!A1911="SIZE",'R.M Billets Reports'!B1911,P1911)</f>
      </c>
    </row>
    <row r="1913" spans="1:16" x14ac:dyDescent="0.25">
      <c r="A1913">
        <f>IF(OR('R.M Billets Reports'!A1912="Date-",'R.M Billets Reports'!A1912="Date:-"),IF(IF(IF(ISNUMBER(SEARCH("Party Name:-",'R.M Billets Reports'!D1912)),TRIM('R.M Billets Reports'!F1912),IF(ISNUMBER(SEARCH("Party Name-",'R.M Billets Reports'!D1912)),TRIM(MID('R.M Billets Reports'!D1912,SEARCH("-",'R.M Billets Reports'!D1912)+1,200)),""))&lt;&gt;"",IF(ISNUMBER(SEARCH("Party Name:-",'R.M Billets Reports'!D1912)),TRIM('R.M Billets Reports'!F1912),IF(ISNUMBER(SEARCH("Party Name-",'R.M Billets Reports'!D1912)),TRIM(MID('R.M Billets Reports'!D1912,SEARCH("-",'R.M Billets Reports'!D1912)+1,200)),"")),IF(ISNUMBER(SEARCH("Party Name:-",'R.M Billets Reports'!D1913)),TRIM('R.M Billets Reports'!F1913),IF(ISNUMBER(SEARCH("Party Name-",'R.M Billets Reports'!D1913)),TRIM(MID('R.M Billets Reports'!D1913,SEARCH("-",'R.M Billets Reports'!D1913)+1,200)),"")))="VRKP ISPAT PVT LTD","VRKP",IF(IF(IF(ISNUMBER(SEARCH("Party Name:-",'R.M Billets Reports'!D1912)),TRIM('R.M Billets Reports'!F1912),IF(ISNUMBER(SEARCH("Party Name-",'R.M Billets Reports'!D1912)),TRIM(MID('R.M Billets Reports'!D1912,SEARCH("-",'R.M Billets Reports'!D1912)+1,200)),""))&lt;&gt;"",IF(ISNUMBER(SEARCH("Party Name:-",'R.M Billets Reports'!D1912)),TRIM('R.M Billets Reports'!F1912),IF(ISNUMBER(SEARCH("Party Name-",'R.M Billets Reports'!D1912)),TRIM(MID('R.M Billets Reports'!D1912,SEARCH("-",'R.M Billets Reports'!D1912)+1,200)),"")),IF(ISNUMBER(SEARCH("Party Name:-",'R.M Billets Reports'!D1913)),TRIM('R.M Billets Reports'!F1913),IF(ISNUMBER(SEARCH("Party Name-",'R.M Billets Reports'!D1913)),TRIM(MID('R.M Billets Reports'!D1913,SEARCH("-",'R.M Billets Reports'!D1913)+1,200)),"")))="SHRI RADHE","SHREE RADHE",IF(IF(IF(ISNUMBER(SEARCH("Party Name:-",'R.M Billets Reports'!D1912)),TRIM('R.M Billets Reports'!F1912),IF(ISNUMBER(SEARCH("Party Name-",'R.M Billets Reports'!D1912)),TRIM(MID('R.M Billets Reports'!D1912,SEARCH("-",'R.M Billets Reports'!D1912)+1,200)),""))&lt;&gt;"",IF(ISNUMBER(SEARCH("Party Name:-",'R.M Billets Reports'!D1912)),TRIM('R.M Billets Reports'!F1912),IF(ISNUMBER(SEARCH("Party Name-",'R.M Billets Reports'!D1912)),TRIM(MID('R.M Billets Reports'!D1912,SEARCH("-",'R.M Billets Reports'!D1912)+1,200)),"")),IF(ISNUMBER(SEARCH("Party Name:-",'R.M Billets Reports'!D1913)),TRIM('R.M Billets Reports'!F1913),IF(ISNUMBER(SEARCH("Party Name-",'R.M Billets Reports'!D1913)),TRIM(MID('R.M Billets Reports'!D1913,SEARCH("-",'R.M Billets Reports'!D1913)+1,200)),"")))="SHREE RADHE SHAKTI SPONGE AND POWER PVT. LTD.","SHREE RADHE",IF(IF(ISNUMBER(SEARCH("Party Name:-",'R.M Billets Reports'!D1912)),TRIM('R.M Billets Reports'!F1912),IF(ISNUMBER(SEARCH("Party Name-",'R.M Billets Reports'!D1912)),TRIM(MID('R.M Billets Reports'!D1912,SEARCH("-",'R.M Billets Reports'!D1912)+1,200)),""))&lt;&gt;"",IF(ISNUMBER(SEARCH("Party Name:-",'R.M Billets Reports'!D1912)),TRIM('R.M Billets Reports'!F1912),IF(ISNUMBER(SEARCH("Party Name-",'R.M Billets Reports'!D1912)),TRIM(MID('R.M Billets Reports'!D1912,SEARCH("-",'R.M Billets Reports'!D1912)+1,200)),"")),IF(ISNUMBER(SEARCH("Party Name:-",'R.M Billets Reports'!D1913)),TRIM('R.M Billets Reports'!F1913),IF(ISNUMBER(SEARCH("Party Name-",'R.M Billets Reports'!D1913)),TRIM(MID('R.M Billets Reports'!D1913,SEARCH("-",'R.M Billets Reports'!D1913)+1,200)),"")))))),IF(ROW()=2,"",A1912))</f>
      </c>
      <c r="B1913">
        <f>IF(OR('R.M Billets Reports'!A1912="Date-",'R.M Billets Reports'!A1912="Date:-"),'R.M Billets Reports'!B1912,IF(ROW()=2,"",B1912))</f>
      </c>
      <c r="C1913">
        <f>IF('R.M Billets Reports'!A1912="V.No.",'R.M Billets Reports'!B1912,IF(ROW()=2,"",C1912))</f>
      </c>
      <c r="D1913">
        <f>IF('R.M Billets Reports'!A1912&lt;&gt;"",'R.M Billets Reports'!A1912,IF(ROW()=2,"",D1912))</f>
      </c>
      <c r="E1913">
        <f>IF('R.M Billets Reports'!B1912="","",TRIM('R.M Billets Reports'!B1912))</f>
      </c>
      <c r="F1913">
        <f>'R.M Billets Reports'!C1912</f>
      </c>
      <c r="G1913">
        <f>'R.M Billets Reports'!D1912</f>
      </c>
      <c r="H1913">
        <f>'R.M Billets Reports'!E1912</f>
      </c>
      <c r="I1913">
        <f>'R.M Billets Reports'!F1912</f>
      </c>
      <c r="J1913">
        <f>'R.M Billets Reports'!G1912</f>
      </c>
      <c r="K1913">
        <f>'R.M Billets Reports'!H1912</f>
      </c>
      <c r="L1913">
        <f>IF('R.M Billets Reports'!I1912="","",'R.M Billets Reports'!I1912)</f>
      </c>
      <c r="M1913">
        <f t="shared" si="58"/>
      </c>
      <c r="N1913">
        <f>IF('R.M Billets Reports'!J1912="","",'R.M Billets Reports'!J1912)</f>
      </c>
      <c r="O1913">
        <f t="shared" si="59"/>
      </c>
      <c r="P1913">
        <f>IF('R.M Billets Reports'!A1912="SIZE",'R.M Billets Reports'!B1912,P1912)</f>
      </c>
    </row>
    <row r="1914" spans="1:16" x14ac:dyDescent="0.25">
      <c r="A1914">
        <f>IF(OR('R.M Billets Reports'!A1913="Date-",'R.M Billets Reports'!A1913="Date:-"),IF(IF(IF(ISNUMBER(SEARCH("Party Name:-",'R.M Billets Reports'!D1913)),TRIM('R.M Billets Reports'!F1913),IF(ISNUMBER(SEARCH("Party Name-",'R.M Billets Reports'!D1913)),TRIM(MID('R.M Billets Reports'!D1913,SEARCH("-",'R.M Billets Reports'!D1913)+1,200)),""))&lt;&gt;"",IF(ISNUMBER(SEARCH("Party Name:-",'R.M Billets Reports'!D1913)),TRIM('R.M Billets Reports'!F1913),IF(ISNUMBER(SEARCH("Party Name-",'R.M Billets Reports'!D1913)),TRIM(MID('R.M Billets Reports'!D1913,SEARCH("-",'R.M Billets Reports'!D1913)+1,200)),"")),IF(ISNUMBER(SEARCH("Party Name:-",'R.M Billets Reports'!D1914)),TRIM('R.M Billets Reports'!F1914),IF(ISNUMBER(SEARCH("Party Name-",'R.M Billets Reports'!D1914)),TRIM(MID('R.M Billets Reports'!D1914,SEARCH("-",'R.M Billets Reports'!D1914)+1,200)),"")))="VRKP ISPAT PVT LTD","VRKP",IF(IF(IF(ISNUMBER(SEARCH("Party Name:-",'R.M Billets Reports'!D1913)),TRIM('R.M Billets Reports'!F1913),IF(ISNUMBER(SEARCH("Party Name-",'R.M Billets Reports'!D1913)),TRIM(MID('R.M Billets Reports'!D1913,SEARCH("-",'R.M Billets Reports'!D1913)+1,200)),""))&lt;&gt;"",IF(ISNUMBER(SEARCH("Party Name:-",'R.M Billets Reports'!D1913)),TRIM('R.M Billets Reports'!F1913),IF(ISNUMBER(SEARCH("Party Name-",'R.M Billets Reports'!D1913)),TRIM(MID('R.M Billets Reports'!D1913,SEARCH("-",'R.M Billets Reports'!D1913)+1,200)),"")),IF(ISNUMBER(SEARCH("Party Name:-",'R.M Billets Reports'!D1914)),TRIM('R.M Billets Reports'!F1914),IF(ISNUMBER(SEARCH("Party Name-",'R.M Billets Reports'!D1914)),TRIM(MID('R.M Billets Reports'!D1914,SEARCH("-",'R.M Billets Reports'!D1914)+1,200)),"")))="SHRI RADHE","SHREE RADHE",IF(IF(IF(ISNUMBER(SEARCH("Party Name:-",'R.M Billets Reports'!D1913)),TRIM('R.M Billets Reports'!F1913),IF(ISNUMBER(SEARCH("Party Name-",'R.M Billets Reports'!D1913)),TRIM(MID('R.M Billets Reports'!D1913,SEARCH("-",'R.M Billets Reports'!D1913)+1,200)),""))&lt;&gt;"",IF(ISNUMBER(SEARCH("Party Name:-",'R.M Billets Reports'!D1913)),TRIM('R.M Billets Reports'!F1913),IF(ISNUMBER(SEARCH("Party Name-",'R.M Billets Reports'!D1913)),TRIM(MID('R.M Billets Reports'!D1913,SEARCH("-",'R.M Billets Reports'!D1913)+1,200)),"")),IF(ISNUMBER(SEARCH("Party Name:-",'R.M Billets Reports'!D1914)),TRIM('R.M Billets Reports'!F1914),IF(ISNUMBER(SEARCH("Party Name-",'R.M Billets Reports'!D1914)),TRIM(MID('R.M Billets Reports'!D1914,SEARCH("-",'R.M Billets Reports'!D1914)+1,200)),"")))="SHREE RADHE SHAKTI SPONGE AND POWER PVT. LTD.","SHREE RADHE",IF(IF(ISNUMBER(SEARCH("Party Name:-",'R.M Billets Reports'!D1913)),TRIM('R.M Billets Reports'!F1913),IF(ISNUMBER(SEARCH("Party Name-",'R.M Billets Reports'!D1913)),TRIM(MID('R.M Billets Reports'!D1913,SEARCH("-",'R.M Billets Reports'!D1913)+1,200)),""))&lt;&gt;"",IF(ISNUMBER(SEARCH("Party Name:-",'R.M Billets Reports'!D1913)),TRIM('R.M Billets Reports'!F1913),IF(ISNUMBER(SEARCH("Party Name-",'R.M Billets Reports'!D1913)),TRIM(MID('R.M Billets Reports'!D1913,SEARCH("-",'R.M Billets Reports'!D1913)+1,200)),"")),IF(ISNUMBER(SEARCH("Party Name:-",'R.M Billets Reports'!D1914)),TRIM('R.M Billets Reports'!F1914),IF(ISNUMBER(SEARCH("Party Name-",'R.M Billets Reports'!D1914)),TRIM(MID('R.M Billets Reports'!D1914,SEARCH("-",'R.M Billets Reports'!D1914)+1,200)),"")))))),IF(ROW()=2,"",A1913))</f>
      </c>
      <c r="B1914">
        <f>IF(OR('R.M Billets Reports'!A1913="Date-",'R.M Billets Reports'!A1913="Date:-"),'R.M Billets Reports'!B1913,IF(ROW()=2,"",B1913))</f>
      </c>
      <c r="C1914">
        <f>IF('R.M Billets Reports'!A1913="V.No.",'R.M Billets Reports'!B1913,IF(ROW()=2,"",C1913))</f>
      </c>
      <c r="D1914">
        <f>IF('R.M Billets Reports'!A1913&lt;&gt;"",'R.M Billets Reports'!A1913,IF(ROW()=2,"",D1913))</f>
      </c>
      <c r="E1914">
        <f>IF('R.M Billets Reports'!B1913="","",TRIM('R.M Billets Reports'!B1913))</f>
      </c>
      <c r="F1914">
        <f>'R.M Billets Reports'!C1913</f>
      </c>
      <c r="G1914">
        <f>'R.M Billets Reports'!D1913</f>
      </c>
      <c r="H1914">
        <f>'R.M Billets Reports'!E1913</f>
      </c>
      <c r="I1914">
        <f>'R.M Billets Reports'!F1913</f>
      </c>
      <c r="J1914">
        <f>'R.M Billets Reports'!G1913</f>
      </c>
      <c r="K1914">
        <f>'R.M Billets Reports'!H1913</f>
      </c>
      <c r="L1914">
        <f>IF('R.M Billets Reports'!I1913="","",'R.M Billets Reports'!I1913)</f>
      </c>
      <c r="M1914">
        <f t="shared" si="58"/>
      </c>
      <c r="N1914">
        <f>IF('R.M Billets Reports'!J1913="","",'R.M Billets Reports'!J1913)</f>
      </c>
      <c r="O1914">
        <f t="shared" si="59"/>
      </c>
      <c r="P1914">
        <f>IF('R.M Billets Reports'!A1913="SIZE",'R.M Billets Reports'!B1913,P1913)</f>
      </c>
    </row>
    <row r="1915" spans="1:16" x14ac:dyDescent="0.25">
      <c r="A1915">
        <f>IF(OR('R.M Billets Reports'!A1914="Date-",'R.M Billets Reports'!A1914="Date:-"),IF(IF(IF(ISNUMBER(SEARCH("Party Name:-",'R.M Billets Reports'!D1914)),TRIM('R.M Billets Reports'!F1914),IF(ISNUMBER(SEARCH("Party Name-",'R.M Billets Reports'!D1914)),TRIM(MID('R.M Billets Reports'!D1914,SEARCH("-",'R.M Billets Reports'!D1914)+1,200)),""))&lt;&gt;"",IF(ISNUMBER(SEARCH("Party Name:-",'R.M Billets Reports'!D1914)),TRIM('R.M Billets Reports'!F1914),IF(ISNUMBER(SEARCH("Party Name-",'R.M Billets Reports'!D1914)),TRIM(MID('R.M Billets Reports'!D1914,SEARCH("-",'R.M Billets Reports'!D1914)+1,200)),"")),IF(ISNUMBER(SEARCH("Party Name:-",'R.M Billets Reports'!D1915)),TRIM('R.M Billets Reports'!F1915),IF(ISNUMBER(SEARCH("Party Name-",'R.M Billets Reports'!D1915)),TRIM(MID('R.M Billets Reports'!D1915,SEARCH("-",'R.M Billets Reports'!D1915)+1,200)),"")))="VRKP ISPAT PVT LTD","VRKP",IF(IF(IF(ISNUMBER(SEARCH("Party Name:-",'R.M Billets Reports'!D1914)),TRIM('R.M Billets Reports'!F1914),IF(ISNUMBER(SEARCH("Party Name-",'R.M Billets Reports'!D1914)),TRIM(MID('R.M Billets Reports'!D1914,SEARCH("-",'R.M Billets Reports'!D1914)+1,200)),""))&lt;&gt;"",IF(ISNUMBER(SEARCH("Party Name:-",'R.M Billets Reports'!D1914)),TRIM('R.M Billets Reports'!F1914),IF(ISNUMBER(SEARCH("Party Name-",'R.M Billets Reports'!D1914)),TRIM(MID('R.M Billets Reports'!D1914,SEARCH("-",'R.M Billets Reports'!D1914)+1,200)),"")),IF(ISNUMBER(SEARCH("Party Name:-",'R.M Billets Reports'!D1915)),TRIM('R.M Billets Reports'!F1915),IF(ISNUMBER(SEARCH("Party Name-",'R.M Billets Reports'!D1915)),TRIM(MID('R.M Billets Reports'!D1915,SEARCH("-",'R.M Billets Reports'!D1915)+1,200)),"")))="SHRI RADHE","SHREE RADHE",IF(IF(IF(ISNUMBER(SEARCH("Party Name:-",'R.M Billets Reports'!D1914)),TRIM('R.M Billets Reports'!F1914),IF(ISNUMBER(SEARCH("Party Name-",'R.M Billets Reports'!D1914)),TRIM(MID('R.M Billets Reports'!D1914,SEARCH("-",'R.M Billets Reports'!D1914)+1,200)),""))&lt;&gt;"",IF(ISNUMBER(SEARCH("Party Name:-",'R.M Billets Reports'!D1914)),TRIM('R.M Billets Reports'!F1914),IF(ISNUMBER(SEARCH("Party Name-",'R.M Billets Reports'!D1914)),TRIM(MID('R.M Billets Reports'!D1914,SEARCH("-",'R.M Billets Reports'!D1914)+1,200)),"")),IF(ISNUMBER(SEARCH("Party Name:-",'R.M Billets Reports'!D1915)),TRIM('R.M Billets Reports'!F1915),IF(ISNUMBER(SEARCH("Party Name-",'R.M Billets Reports'!D1915)),TRIM(MID('R.M Billets Reports'!D1915,SEARCH("-",'R.M Billets Reports'!D1915)+1,200)),"")))="SHREE RADHE SHAKTI SPONGE AND POWER PVT. LTD.","SHREE RADHE",IF(IF(ISNUMBER(SEARCH("Party Name:-",'R.M Billets Reports'!D1914)),TRIM('R.M Billets Reports'!F1914),IF(ISNUMBER(SEARCH("Party Name-",'R.M Billets Reports'!D1914)),TRIM(MID('R.M Billets Reports'!D1914,SEARCH("-",'R.M Billets Reports'!D1914)+1,200)),""))&lt;&gt;"",IF(ISNUMBER(SEARCH("Party Name:-",'R.M Billets Reports'!D1914)),TRIM('R.M Billets Reports'!F1914),IF(ISNUMBER(SEARCH("Party Name-",'R.M Billets Reports'!D1914)),TRIM(MID('R.M Billets Reports'!D1914,SEARCH("-",'R.M Billets Reports'!D1914)+1,200)),"")),IF(ISNUMBER(SEARCH("Party Name:-",'R.M Billets Reports'!D1915)),TRIM('R.M Billets Reports'!F1915),IF(ISNUMBER(SEARCH("Party Name-",'R.M Billets Reports'!D1915)),TRIM(MID('R.M Billets Reports'!D1915,SEARCH("-",'R.M Billets Reports'!D1915)+1,200)),"")))))),IF(ROW()=2,"",A1914))</f>
      </c>
      <c r="B1915">
        <f>IF(OR('R.M Billets Reports'!A1914="Date-",'R.M Billets Reports'!A1914="Date:-"),'R.M Billets Reports'!B1914,IF(ROW()=2,"",B1914))</f>
      </c>
      <c r="C1915">
        <f>IF('R.M Billets Reports'!A1914="V.No.",'R.M Billets Reports'!B1914,IF(ROW()=2,"",C1914))</f>
      </c>
      <c r="D1915">
        <f>IF('R.M Billets Reports'!A1914&lt;&gt;"",'R.M Billets Reports'!A1914,IF(ROW()=2,"",D1914))</f>
      </c>
      <c r="E1915">
        <f>IF('R.M Billets Reports'!B1914="","",TRIM('R.M Billets Reports'!B1914))</f>
      </c>
      <c r="F1915">
        <f>'R.M Billets Reports'!C1914</f>
      </c>
      <c r="G1915">
        <f>'R.M Billets Reports'!D1914</f>
      </c>
      <c r="H1915">
        <f>'R.M Billets Reports'!E1914</f>
      </c>
      <c r="I1915">
        <f>'R.M Billets Reports'!F1914</f>
      </c>
      <c r="J1915">
        <f>'R.M Billets Reports'!G1914</f>
      </c>
      <c r="K1915">
        <f>'R.M Billets Reports'!H1914</f>
      </c>
      <c r="L1915">
        <f>IF('R.M Billets Reports'!I1914="","",'R.M Billets Reports'!I1914)</f>
      </c>
      <c r="M1915">
        <f t="shared" si="58"/>
      </c>
      <c r="N1915">
        <f>IF('R.M Billets Reports'!J1914="","",'R.M Billets Reports'!J1914)</f>
      </c>
      <c r="O1915">
        <f t="shared" si="59"/>
      </c>
      <c r="P1915">
        <f>IF('R.M Billets Reports'!A1914="SIZE",'R.M Billets Reports'!B1914,P1914)</f>
      </c>
    </row>
    <row r="1916" spans="1:16" x14ac:dyDescent="0.25">
      <c r="A1916">
        <f>IF(OR('R.M Billets Reports'!A1915="Date-",'R.M Billets Reports'!A1915="Date:-"),IF(IF(IF(ISNUMBER(SEARCH("Party Name:-",'R.M Billets Reports'!D1915)),TRIM('R.M Billets Reports'!F1915),IF(ISNUMBER(SEARCH("Party Name-",'R.M Billets Reports'!D1915)),TRIM(MID('R.M Billets Reports'!D1915,SEARCH("-",'R.M Billets Reports'!D1915)+1,200)),""))&lt;&gt;"",IF(ISNUMBER(SEARCH("Party Name:-",'R.M Billets Reports'!D1915)),TRIM('R.M Billets Reports'!F1915),IF(ISNUMBER(SEARCH("Party Name-",'R.M Billets Reports'!D1915)),TRIM(MID('R.M Billets Reports'!D1915,SEARCH("-",'R.M Billets Reports'!D1915)+1,200)),"")),IF(ISNUMBER(SEARCH("Party Name:-",'R.M Billets Reports'!D1916)),TRIM('R.M Billets Reports'!F1916),IF(ISNUMBER(SEARCH("Party Name-",'R.M Billets Reports'!D1916)),TRIM(MID('R.M Billets Reports'!D1916,SEARCH("-",'R.M Billets Reports'!D1916)+1,200)),"")))="VRKP ISPAT PVT LTD","VRKP",IF(IF(IF(ISNUMBER(SEARCH("Party Name:-",'R.M Billets Reports'!D1915)),TRIM('R.M Billets Reports'!F1915),IF(ISNUMBER(SEARCH("Party Name-",'R.M Billets Reports'!D1915)),TRIM(MID('R.M Billets Reports'!D1915,SEARCH("-",'R.M Billets Reports'!D1915)+1,200)),""))&lt;&gt;"",IF(ISNUMBER(SEARCH("Party Name:-",'R.M Billets Reports'!D1915)),TRIM('R.M Billets Reports'!F1915),IF(ISNUMBER(SEARCH("Party Name-",'R.M Billets Reports'!D1915)),TRIM(MID('R.M Billets Reports'!D1915,SEARCH("-",'R.M Billets Reports'!D1915)+1,200)),"")),IF(ISNUMBER(SEARCH("Party Name:-",'R.M Billets Reports'!D1916)),TRIM('R.M Billets Reports'!F1916),IF(ISNUMBER(SEARCH("Party Name-",'R.M Billets Reports'!D1916)),TRIM(MID('R.M Billets Reports'!D1916,SEARCH("-",'R.M Billets Reports'!D1916)+1,200)),"")))="SHRI RADHE","SHREE RADHE",IF(IF(IF(ISNUMBER(SEARCH("Party Name:-",'R.M Billets Reports'!D1915)),TRIM('R.M Billets Reports'!F1915),IF(ISNUMBER(SEARCH("Party Name-",'R.M Billets Reports'!D1915)),TRIM(MID('R.M Billets Reports'!D1915,SEARCH("-",'R.M Billets Reports'!D1915)+1,200)),""))&lt;&gt;"",IF(ISNUMBER(SEARCH("Party Name:-",'R.M Billets Reports'!D1915)),TRIM('R.M Billets Reports'!F1915),IF(ISNUMBER(SEARCH("Party Name-",'R.M Billets Reports'!D1915)),TRIM(MID('R.M Billets Reports'!D1915,SEARCH("-",'R.M Billets Reports'!D1915)+1,200)),"")),IF(ISNUMBER(SEARCH("Party Name:-",'R.M Billets Reports'!D1916)),TRIM('R.M Billets Reports'!F1916),IF(ISNUMBER(SEARCH("Party Name-",'R.M Billets Reports'!D1916)),TRIM(MID('R.M Billets Reports'!D1916,SEARCH("-",'R.M Billets Reports'!D1916)+1,200)),"")))="SHREE RADHE SHAKTI SPONGE AND POWER PVT. LTD.","SHREE RADHE",IF(IF(ISNUMBER(SEARCH("Party Name:-",'R.M Billets Reports'!D1915)),TRIM('R.M Billets Reports'!F1915),IF(ISNUMBER(SEARCH("Party Name-",'R.M Billets Reports'!D1915)),TRIM(MID('R.M Billets Reports'!D1915,SEARCH("-",'R.M Billets Reports'!D1915)+1,200)),""))&lt;&gt;"",IF(ISNUMBER(SEARCH("Party Name:-",'R.M Billets Reports'!D1915)),TRIM('R.M Billets Reports'!F1915),IF(ISNUMBER(SEARCH("Party Name-",'R.M Billets Reports'!D1915)),TRIM(MID('R.M Billets Reports'!D1915,SEARCH("-",'R.M Billets Reports'!D1915)+1,200)),"")),IF(ISNUMBER(SEARCH("Party Name:-",'R.M Billets Reports'!D1916)),TRIM('R.M Billets Reports'!F1916),IF(ISNUMBER(SEARCH("Party Name-",'R.M Billets Reports'!D1916)),TRIM(MID('R.M Billets Reports'!D1916,SEARCH("-",'R.M Billets Reports'!D1916)+1,200)),"")))))),IF(ROW()=2,"",A1915))</f>
      </c>
      <c r="B1916">
        <f>IF(OR('R.M Billets Reports'!A1915="Date-",'R.M Billets Reports'!A1915="Date:-"),'R.M Billets Reports'!B1915,IF(ROW()=2,"",B1915))</f>
      </c>
      <c r="C1916">
        <f>IF('R.M Billets Reports'!A1915="V.No.",'R.M Billets Reports'!B1915,IF(ROW()=2,"",C1915))</f>
      </c>
      <c r="D1916">
        <f>IF('R.M Billets Reports'!A1915&lt;&gt;"",'R.M Billets Reports'!A1915,IF(ROW()=2,"",D1915))</f>
      </c>
      <c r="E1916">
        <f>IF('R.M Billets Reports'!B1915="","",TRIM('R.M Billets Reports'!B1915))</f>
      </c>
      <c r="F1916">
        <f>'R.M Billets Reports'!C1915</f>
      </c>
      <c r="G1916">
        <f>'R.M Billets Reports'!D1915</f>
      </c>
      <c r="H1916">
        <f>'R.M Billets Reports'!E1915</f>
      </c>
      <c r="I1916">
        <f>'R.M Billets Reports'!F1915</f>
      </c>
      <c r="J1916">
        <f>'R.M Billets Reports'!G1915</f>
      </c>
      <c r="K1916">
        <f>'R.M Billets Reports'!H1915</f>
      </c>
      <c r="L1916">
        <f>IF('R.M Billets Reports'!I1915="","",'R.M Billets Reports'!I1915)</f>
      </c>
      <c r="M1916">
        <f t="shared" si="58"/>
      </c>
      <c r="N1916">
        <f>IF('R.M Billets Reports'!J1915="","",'R.M Billets Reports'!J1915)</f>
      </c>
      <c r="O1916">
        <f t="shared" si="59"/>
      </c>
      <c r="P1916">
        <f>IF('R.M Billets Reports'!A1915="SIZE",'R.M Billets Reports'!B1915,P1915)</f>
      </c>
    </row>
    <row r="1917" spans="1:16" x14ac:dyDescent="0.25">
      <c r="A1917">
        <f>IF(OR('R.M Billets Reports'!A1916="Date-",'R.M Billets Reports'!A1916="Date:-"),IF(IF(IF(ISNUMBER(SEARCH("Party Name:-",'R.M Billets Reports'!D1916)),TRIM('R.M Billets Reports'!F1916),IF(ISNUMBER(SEARCH("Party Name-",'R.M Billets Reports'!D1916)),TRIM(MID('R.M Billets Reports'!D1916,SEARCH("-",'R.M Billets Reports'!D1916)+1,200)),""))&lt;&gt;"",IF(ISNUMBER(SEARCH("Party Name:-",'R.M Billets Reports'!D1916)),TRIM('R.M Billets Reports'!F1916),IF(ISNUMBER(SEARCH("Party Name-",'R.M Billets Reports'!D1916)),TRIM(MID('R.M Billets Reports'!D1916,SEARCH("-",'R.M Billets Reports'!D1916)+1,200)),"")),IF(ISNUMBER(SEARCH("Party Name:-",'R.M Billets Reports'!D1917)),TRIM('R.M Billets Reports'!F1917),IF(ISNUMBER(SEARCH("Party Name-",'R.M Billets Reports'!D1917)),TRIM(MID('R.M Billets Reports'!D1917,SEARCH("-",'R.M Billets Reports'!D1917)+1,200)),"")))="VRKP ISPAT PVT LTD","VRKP",IF(IF(IF(ISNUMBER(SEARCH("Party Name:-",'R.M Billets Reports'!D1916)),TRIM('R.M Billets Reports'!F1916),IF(ISNUMBER(SEARCH("Party Name-",'R.M Billets Reports'!D1916)),TRIM(MID('R.M Billets Reports'!D1916,SEARCH("-",'R.M Billets Reports'!D1916)+1,200)),""))&lt;&gt;"",IF(ISNUMBER(SEARCH("Party Name:-",'R.M Billets Reports'!D1916)),TRIM('R.M Billets Reports'!F1916),IF(ISNUMBER(SEARCH("Party Name-",'R.M Billets Reports'!D1916)),TRIM(MID('R.M Billets Reports'!D1916,SEARCH("-",'R.M Billets Reports'!D1916)+1,200)),"")),IF(ISNUMBER(SEARCH("Party Name:-",'R.M Billets Reports'!D1917)),TRIM('R.M Billets Reports'!F1917),IF(ISNUMBER(SEARCH("Party Name-",'R.M Billets Reports'!D1917)),TRIM(MID('R.M Billets Reports'!D1917,SEARCH("-",'R.M Billets Reports'!D1917)+1,200)),"")))="SHRI RADHE","SHREE RADHE",IF(IF(IF(ISNUMBER(SEARCH("Party Name:-",'R.M Billets Reports'!D1916)),TRIM('R.M Billets Reports'!F1916),IF(ISNUMBER(SEARCH("Party Name-",'R.M Billets Reports'!D1916)),TRIM(MID('R.M Billets Reports'!D1916,SEARCH("-",'R.M Billets Reports'!D1916)+1,200)),""))&lt;&gt;"",IF(ISNUMBER(SEARCH("Party Name:-",'R.M Billets Reports'!D1916)),TRIM('R.M Billets Reports'!F1916),IF(ISNUMBER(SEARCH("Party Name-",'R.M Billets Reports'!D1916)),TRIM(MID('R.M Billets Reports'!D1916,SEARCH("-",'R.M Billets Reports'!D1916)+1,200)),"")),IF(ISNUMBER(SEARCH("Party Name:-",'R.M Billets Reports'!D1917)),TRIM('R.M Billets Reports'!F1917),IF(ISNUMBER(SEARCH("Party Name-",'R.M Billets Reports'!D1917)),TRIM(MID('R.M Billets Reports'!D1917,SEARCH("-",'R.M Billets Reports'!D1917)+1,200)),"")))="SHREE RADHE SHAKTI SPONGE AND POWER PVT. LTD.","SHREE RADHE",IF(IF(ISNUMBER(SEARCH("Party Name:-",'R.M Billets Reports'!D1916)),TRIM('R.M Billets Reports'!F1916),IF(ISNUMBER(SEARCH("Party Name-",'R.M Billets Reports'!D1916)),TRIM(MID('R.M Billets Reports'!D1916,SEARCH("-",'R.M Billets Reports'!D1916)+1,200)),""))&lt;&gt;"",IF(ISNUMBER(SEARCH("Party Name:-",'R.M Billets Reports'!D1916)),TRIM('R.M Billets Reports'!F1916),IF(ISNUMBER(SEARCH("Party Name-",'R.M Billets Reports'!D1916)),TRIM(MID('R.M Billets Reports'!D1916,SEARCH("-",'R.M Billets Reports'!D1916)+1,200)),"")),IF(ISNUMBER(SEARCH("Party Name:-",'R.M Billets Reports'!D1917)),TRIM('R.M Billets Reports'!F1917),IF(ISNUMBER(SEARCH("Party Name-",'R.M Billets Reports'!D1917)),TRIM(MID('R.M Billets Reports'!D1917,SEARCH("-",'R.M Billets Reports'!D1917)+1,200)),"")))))),IF(ROW()=2,"",A1916))</f>
      </c>
      <c r="B1917">
        <f>IF(OR('R.M Billets Reports'!A1916="Date-",'R.M Billets Reports'!A1916="Date:-"),'R.M Billets Reports'!B1916,IF(ROW()=2,"",B1916))</f>
      </c>
      <c r="C1917">
        <f>IF('R.M Billets Reports'!A1916="V.No.",'R.M Billets Reports'!B1916,IF(ROW()=2,"",C1916))</f>
      </c>
      <c r="D1917">
        <f>IF('R.M Billets Reports'!A1916&lt;&gt;"",'R.M Billets Reports'!A1916,IF(ROW()=2,"",D1916))</f>
      </c>
      <c r="E1917">
        <f>IF('R.M Billets Reports'!B1916="","",TRIM('R.M Billets Reports'!B1916))</f>
      </c>
      <c r="F1917">
        <f>'R.M Billets Reports'!C1916</f>
      </c>
      <c r="G1917">
        <f>'R.M Billets Reports'!D1916</f>
      </c>
      <c r="H1917">
        <f>'R.M Billets Reports'!E1916</f>
      </c>
      <c r="I1917">
        <f>'R.M Billets Reports'!F1916</f>
      </c>
      <c r="J1917">
        <f>'R.M Billets Reports'!G1916</f>
      </c>
      <c r="K1917">
        <f>'R.M Billets Reports'!H1916</f>
      </c>
      <c r="L1917">
        <f>IF('R.M Billets Reports'!I1916="","",'R.M Billets Reports'!I1916)</f>
      </c>
      <c r="M1917">
        <f t="shared" si="58"/>
      </c>
      <c r="N1917">
        <f>IF('R.M Billets Reports'!J1916="","",'R.M Billets Reports'!J1916)</f>
      </c>
      <c r="O1917">
        <f t="shared" si="59"/>
      </c>
      <c r="P1917">
        <f>IF('R.M Billets Reports'!A1916="SIZE",'R.M Billets Reports'!B1916,P1916)</f>
      </c>
    </row>
    <row r="1918" spans="1:16" x14ac:dyDescent="0.25">
      <c r="A1918">
        <f>IF(OR('R.M Billets Reports'!A1917="Date-",'R.M Billets Reports'!A1917="Date:-"),IF(IF(IF(ISNUMBER(SEARCH("Party Name:-",'R.M Billets Reports'!D1917)),TRIM('R.M Billets Reports'!F1917),IF(ISNUMBER(SEARCH("Party Name-",'R.M Billets Reports'!D1917)),TRIM(MID('R.M Billets Reports'!D1917,SEARCH("-",'R.M Billets Reports'!D1917)+1,200)),""))&lt;&gt;"",IF(ISNUMBER(SEARCH("Party Name:-",'R.M Billets Reports'!D1917)),TRIM('R.M Billets Reports'!F1917),IF(ISNUMBER(SEARCH("Party Name-",'R.M Billets Reports'!D1917)),TRIM(MID('R.M Billets Reports'!D1917,SEARCH("-",'R.M Billets Reports'!D1917)+1,200)),"")),IF(ISNUMBER(SEARCH("Party Name:-",'R.M Billets Reports'!D1918)),TRIM('R.M Billets Reports'!F1918),IF(ISNUMBER(SEARCH("Party Name-",'R.M Billets Reports'!D1918)),TRIM(MID('R.M Billets Reports'!D1918,SEARCH("-",'R.M Billets Reports'!D1918)+1,200)),"")))="VRKP ISPAT PVT LTD","VRKP",IF(IF(IF(ISNUMBER(SEARCH("Party Name:-",'R.M Billets Reports'!D1917)),TRIM('R.M Billets Reports'!F1917),IF(ISNUMBER(SEARCH("Party Name-",'R.M Billets Reports'!D1917)),TRIM(MID('R.M Billets Reports'!D1917,SEARCH("-",'R.M Billets Reports'!D1917)+1,200)),""))&lt;&gt;"",IF(ISNUMBER(SEARCH("Party Name:-",'R.M Billets Reports'!D1917)),TRIM('R.M Billets Reports'!F1917),IF(ISNUMBER(SEARCH("Party Name-",'R.M Billets Reports'!D1917)),TRIM(MID('R.M Billets Reports'!D1917,SEARCH("-",'R.M Billets Reports'!D1917)+1,200)),"")),IF(ISNUMBER(SEARCH("Party Name:-",'R.M Billets Reports'!D1918)),TRIM('R.M Billets Reports'!F1918),IF(ISNUMBER(SEARCH("Party Name-",'R.M Billets Reports'!D1918)),TRIM(MID('R.M Billets Reports'!D1918,SEARCH("-",'R.M Billets Reports'!D1918)+1,200)),"")))="SHRI RADHE","SHREE RADHE",IF(IF(IF(ISNUMBER(SEARCH("Party Name:-",'R.M Billets Reports'!D1917)),TRIM('R.M Billets Reports'!F1917),IF(ISNUMBER(SEARCH("Party Name-",'R.M Billets Reports'!D1917)),TRIM(MID('R.M Billets Reports'!D1917,SEARCH("-",'R.M Billets Reports'!D1917)+1,200)),""))&lt;&gt;"",IF(ISNUMBER(SEARCH("Party Name:-",'R.M Billets Reports'!D1917)),TRIM('R.M Billets Reports'!F1917),IF(ISNUMBER(SEARCH("Party Name-",'R.M Billets Reports'!D1917)),TRIM(MID('R.M Billets Reports'!D1917,SEARCH("-",'R.M Billets Reports'!D1917)+1,200)),"")),IF(ISNUMBER(SEARCH("Party Name:-",'R.M Billets Reports'!D1918)),TRIM('R.M Billets Reports'!F1918),IF(ISNUMBER(SEARCH("Party Name-",'R.M Billets Reports'!D1918)),TRIM(MID('R.M Billets Reports'!D1918,SEARCH("-",'R.M Billets Reports'!D1918)+1,200)),"")))="SHREE RADHE SHAKTI SPONGE AND POWER PVT. LTD.","SHREE RADHE",IF(IF(ISNUMBER(SEARCH("Party Name:-",'R.M Billets Reports'!D1917)),TRIM('R.M Billets Reports'!F1917),IF(ISNUMBER(SEARCH("Party Name-",'R.M Billets Reports'!D1917)),TRIM(MID('R.M Billets Reports'!D1917,SEARCH("-",'R.M Billets Reports'!D1917)+1,200)),""))&lt;&gt;"",IF(ISNUMBER(SEARCH("Party Name:-",'R.M Billets Reports'!D1917)),TRIM('R.M Billets Reports'!F1917),IF(ISNUMBER(SEARCH("Party Name-",'R.M Billets Reports'!D1917)),TRIM(MID('R.M Billets Reports'!D1917,SEARCH("-",'R.M Billets Reports'!D1917)+1,200)),"")),IF(ISNUMBER(SEARCH("Party Name:-",'R.M Billets Reports'!D1918)),TRIM('R.M Billets Reports'!F1918),IF(ISNUMBER(SEARCH("Party Name-",'R.M Billets Reports'!D1918)),TRIM(MID('R.M Billets Reports'!D1918,SEARCH("-",'R.M Billets Reports'!D1918)+1,200)),"")))))),IF(ROW()=2,"",A1917))</f>
      </c>
      <c r="B1918">
        <f>IF(OR('R.M Billets Reports'!A1917="Date-",'R.M Billets Reports'!A1917="Date:-"),'R.M Billets Reports'!B1917,IF(ROW()=2,"",B1917))</f>
      </c>
      <c r="C1918">
        <f>IF('R.M Billets Reports'!A1917="V.No.",'R.M Billets Reports'!B1917,IF(ROW()=2,"",C1917))</f>
      </c>
      <c r="D1918">
        <f>IF('R.M Billets Reports'!A1917&lt;&gt;"",'R.M Billets Reports'!A1917,IF(ROW()=2,"",D1917))</f>
      </c>
      <c r="E1918">
        <f>IF('R.M Billets Reports'!B1917="","",TRIM('R.M Billets Reports'!B1917))</f>
      </c>
      <c r="F1918">
        <f>'R.M Billets Reports'!C1917</f>
      </c>
      <c r="G1918">
        <f>'R.M Billets Reports'!D1917</f>
      </c>
      <c r="H1918">
        <f>'R.M Billets Reports'!E1917</f>
      </c>
      <c r="I1918">
        <f>'R.M Billets Reports'!F1917</f>
      </c>
      <c r="J1918">
        <f>'R.M Billets Reports'!G1917</f>
      </c>
      <c r="K1918">
        <f>'R.M Billets Reports'!H1917</f>
      </c>
      <c r="L1918">
        <f>IF('R.M Billets Reports'!I1917="","",'R.M Billets Reports'!I1917)</f>
      </c>
      <c r="M1918">
        <f t="shared" si="58"/>
      </c>
      <c r="N1918">
        <f>IF('R.M Billets Reports'!J1917="","",'R.M Billets Reports'!J1917)</f>
      </c>
      <c r="O1918">
        <f t="shared" si="59"/>
      </c>
      <c r="P1918">
        <f>IF('R.M Billets Reports'!A1917="SIZE",'R.M Billets Reports'!B1917,P1917)</f>
      </c>
    </row>
    <row r="1919" spans="1:16" x14ac:dyDescent="0.25">
      <c r="A1919">
        <f>IF(OR('R.M Billets Reports'!A1918="Date-",'R.M Billets Reports'!A1918="Date:-"),IF(IF(IF(ISNUMBER(SEARCH("Party Name:-",'R.M Billets Reports'!D1918)),TRIM('R.M Billets Reports'!F1918),IF(ISNUMBER(SEARCH("Party Name-",'R.M Billets Reports'!D1918)),TRIM(MID('R.M Billets Reports'!D1918,SEARCH("-",'R.M Billets Reports'!D1918)+1,200)),""))&lt;&gt;"",IF(ISNUMBER(SEARCH("Party Name:-",'R.M Billets Reports'!D1918)),TRIM('R.M Billets Reports'!F1918),IF(ISNUMBER(SEARCH("Party Name-",'R.M Billets Reports'!D1918)),TRIM(MID('R.M Billets Reports'!D1918,SEARCH("-",'R.M Billets Reports'!D1918)+1,200)),"")),IF(ISNUMBER(SEARCH("Party Name:-",'R.M Billets Reports'!D1919)),TRIM('R.M Billets Reports'!F1919),IF(ISNUMBER(SEARCH("Party Name-",'R.M Billets Reports'!D1919)),TRIM(MID('R.M Billets Reports'!D1919,SEARCH("-",'R.M Billets Reports'!D1919)+1,200)),"")))="VRKP ISPAT PVT LTD","VRKP",IF(IF(IF(ISNUMBER(SEARCH("Party Name:-",'R.M Billets Reports'!D1918)),TRIM('R.M Billets Reports'!F1918),IF(ISNUMBER(SEARCH("Party Name-",'R.M Billets Reports'!D1918)),TRIM(MID('R.M Billets Reports'!D1918,SEARCH("-",'R.M Billets Reports'!D1918)+1,200)),""))&lt;&gt;"",IF(ISNUMBER(SEARCH("Party Name:-",'R.M Billets Reports'!D1918)),TRIM('R.M Billets Reports'!F1918),IF(ISNUMBER(SEARCH("Party Name-",'R.M Billets Reports'!D1918)),TRIM(MID('R.M Billets Reports'!D1918,SEARCH("-",'R.M Billets Reports'!D1918)+1,200)),"")),IF(ISNUMBER(SEARCH("Party Name:-",'R.M Billets Reports'!D1919)),TRIM('R.M Billets Reports'!F1919),IF(ISNUMBER(SEARCH("Party Name-",'R.M Billets Reports'!D1919)),TRIM(MID('R.M Billets Reports'!D1919,SEARCH("-",'R.M Billets Reports'!D1919)+1,200)),"")))="SHRI RADHE","SHREE RADHE",IF(IF(IF(ISNUMBER(SEARCH("Party Name:-",'R.M Billets Reports'!D1918)),TRIM('R.M Billets Reports'!F1918),IF(ISNUMBER(SEARCH("Party Name-",'R.M Billets Reports'!D1918)),TRIM(MID('R.M Billets Reports'!D1918,SEARCH("-",'R.M Billets Reports'!D1918)+1,200)),""))&lt;&gt;"",IF(ISNUMBER(SEARCH("Party Name:-",'R.M Billets Reports'!D1918)),TRIM('R.M Billets Reports'!F1918),IF(ISNUMBER(SEARCH("Party Name-",'R.M Billets Reports'!D1918)),TRIM(MID('R.M Billets Reports'!D1918,SEARCH("-",'R.M Billets Reports'!D1918)+1,200)),"")),IF(ISNUMBER(SEARCH("Party Name:-",'R.M Billets Reports'!D1919)),TRIM('R.M Billets Reports'!F1919),IF(ISNUMBER(SEARCH("Party Name-",'R.M Billets Reports'!D1919)),TRIM(MID('R.M Billets Reports'!D1919,SEARCH("-",'R.M Billets Reports'!D1919)+1,200)),"")))="SHREE RADHE SHAKTI SPONGE AND POWER PVT. LTD.","SHREE RADHE",IF(IF(ISNUMBER(SEARCH("Party Name:-",'R.M Billets Reports'!D1918)),TRIM('R.M Billets Reports'!F1918),IF(ISNUMBER(SEARCH("Party Name-",'R.M Billets Reports'!D1918)),TRIM(MID('R.M Billets Reports'!D1918,SEARCH("-",'R.M Billets Reports'!D1918)+1,200)),""))&lt;&gt;"",IF(ISNUMBER(SEARCH("Party Name:-",'R.M Billets Reports'!D1918)),TRIM('R.M Billets Reports'!F1918),IF(ISNUMBER(SEARCH("Party Name-",'R.M Billets Reports'!D1918)),TRIM(MID('R.M Billets Reports'!D1918,SEARCH("-",'R.M Billets Reports'!D1918)+1,200)),"")),IF(ISNUMBER(SEARCH("Party Name:-",'R.M Billets Reports'!D1919)),TRIM('R.M Billets Reports'!F1919),IF(ISNUMBER(SEARCH("Party Name-",'R.M Billets Reports'!D1919)),TRIM(MID('R.M Billets Reports'!D1919,SEARCH("-",'R.M Billets Reports'!D1919)+1,200)),"")))))),IF(ROW()=2,"",A1918))</f>
      </c>
      <c r="B1919">
        <f>IF(OR('R.M Billets Reports'!A1918="Date-",'R.M Billets Reports'!A1918="Date:-"),'R.M Billets Reports'!B1918,IF(ROW()=2,"",B1918))</f>
      </c>
      <c r="C1919">
        <f>IF('R.M Billets Reports'!A1918="V.No.",'R.M Billets Reports'!B1918,IF(ROW()=2,"",C1918))</f>
      </c>
      <c r="D1919">
        <f>IF('R.M Billets Reports'!A1918&lt;&gt;"",'R.M Billets Reports'!A1918,IF(ROW()=2,"",D1918))</f>
      </c>
      <c r="E1919">
        <f>IF('R.M Billets Reports'!B1918="","",TRIM('R.M Billets Reports'!B1918))</f>
      </c>
      <c r="F1919">
        <f>'R.M Billets Reports'!C1918</f>
      </c>
      <c r="G1919">
        <f>'R.M Billets Reports'!D1918</f>
      </c>
      <c r="H1919">
        <f>'R.M Billets Reports'!E1918</f>
      </c>
      <c r="I1919">
        <f>'R.M Billets Reports'!F1918</f>
      </c>
      <c r="J1919">
        <f>'R.M Billets Reports'!G1918</f>
      </c>
      <c r="K1919">
        <f>'R.M Billets Reports'!H1918</f>
      </c>
      <c r="L1919">
        <f>IF('R.M Billets Reports'!I1918="","",'R.M Billets Reports'!I1918)</f>
      </c>
      <c r="M1919">
        <f t="shared" si="58"/>
      </c>
      <c r="N1919">
        <f>IF('R.M Billets Reports'!J1918="","",'R.M Billets Reports'!J1918)</f>
      </c>
      <c r="O1919">
        <f t="shared" si="59"/>
      </c>
      <c r="P1919">
        <f>IF('R.M Billets Reports'!A1918="SIZE",'R.M Billets Reports'!B1918,P1918)</f>
      </c>
    </row>
    <row r="1920" spans="1:16" x14ac:dyDescent="0.25">
      <c r="A1920">
        <f>IF(OR('R.M Billets Reports'!A1919="Date-",'R.M Billets Reports'!A1919="Date:-"),IF(IF(IF(ISNUMBER(SEARCH("Party Name:-",'R.M Billets Reports'!D1919)),TRIM('R.M Billets Reports'!F1919),IF(ISNUMBER(SEARCH("Party Name-",'R.M Billets Reports'!D1919)),TRIM(MID('R.M Billets Reports'!D1919,SEARCH("-",'R.M Billets Reports'!D1919)+1,200)),""))&lt;&gt;"",IF(ISNUMBER(SEARCH("Party Name:-",'R.M Billets Reports'!D1919)),TRIM('R.M Billets Reports'!F1919),IF(ISNUMBER(SEARCH("Party Name-",'R.M Billets Reports'!D1919)),TRIM(MID('R.M Billets Reports'!D1919,SEARCH("-",'R.M Billets Reports'!D1919)+1,200)),"")),IF(ISNUMBER(SEARCH("Party Name:-",'R.M Billets Reports'!D1920)),TRIM('R.M Billets Reports'!F1920),IF(ISNUMBER(SEARCH("Party Name-",'R.M Billets Reports'!D1920)),TRIM(MID('R.M Billets Reports'!D1920,SEARCH("-",'R.M Billets Reports'!D1920)+1,200)),"")))="VRKP ISPAT PVT LTD","VRKP",IF(IF(IF(ISNUMBER(SEARCH("Party Name:-",'R.M Billets Reports'!D1919)),TRIM('R.M Billets Reports'!F1919),IF(ISNUMBER(SEARCH("Party Name-",'R.M Billets Reports'!D1919)),TRIM(MID('R.M Billets Reports'!D1919,SEARCH("-",'R.M Billets Reports'!D1919)+1,200)),""))&lt;&gt;"",IF(ISNUMBER(SEARCH("Party Name:-",'R.M Billets Reports'!D1919)),TRIM('R.M Billets Reports'!F1919),IF(ISNUMBER(SEARCH("Party Name-",'R.M Billets Reports'!D1919)),TRIM(MID('R.M Billets Reports'!D1919,SEARCH("-",'R.M Billets Reports'!D1919)+1,200)),"")),IF(ISNUMBER(SEARCH("Party Name:-",'R.M Billets Reports'!D1920)),TRIM('R.M Billets Reports'!F1920),IF(ISNUMBER(SEARCH("Party Name-",'R.M Billets Reports'!D1920)),TRIM(MID('R.M Billets Reports'!D1920,SEARCH("-",'R.M Billets Reports'!D1920)+1,200)),"")))="SHRI RADHE","SHREE RADHE",IF(IF(IF(ISNUMBER(SEARCH("Party Name:-",'R.M Billets Reports'!D1919)),TRIM('R.M Billets Reports'!F1919),IF(ISNUMBER(SEARCH("Party Name-",'R.M Billets Reports'!D1919)),TRIM(MID('R.M Billets Reports'!D1919,SEARCH("-",'R.M Billets Reports'!D1919)+1,200)),""))&lt;&gt;"",IF(ISNUMBER(SEARCH("Party Name:-",'R.M Billets Reports'!D1919)),TRIM('R.M Billets Reports'!F1919),IF(ISNUMBER(SEARCH("Party Name-",'R.M Billets Reports'!D1919)),TRIM(MID('R.M Billets Reports'!D1919,SEARCH("-",'R.M Billets Reports'!D1919)+1,200)),"")),IF(ISNUMBER(SEARCH("Party Name:-",'R.M Billets Reports'!D1920)),TRIM('R.M Billets Reports'!F1920),IF(ISNUMBER(SEARCH("Party Name-",'R.M Billets Reports'!D1920)),TRIM(MID('R.M Billets Reports'!D1920,SEARCH("-",'R.M Billets Reports'!D1920)+1,200)),"")))="SHREE RADHE SHAKTI SPONGE AND POWER PVT. LTD.","SHREE RADHE",IF(IF(ISNUMBER(SEARCH("Party Name:-",'R.M Billets Reports'!D1919)),TRIM('R.M Billets Reports'!F1919),IF(ISNUMBER(SEARCH("Party Name-",'R.M Billets Reports'!D1919)),TRIM(MID('R.M Billets Reports'!D1919,SEARCH("-",'R.M Billets Reports'!D1919)+1,200)),""))&lt;&gt;"",IF(ISNUMBER(SEARCH("Party Name:-",'R.M Billets Reports'!D1919)),TRIM('R.M Billets Reports'!F1919),IF(ISNUMBER(SEARCH("Party Name-",'R.M Billets Reports'!D1919)),TRIM(MID('R.M Billets Reports'!D1919,SEARCH("-",'R.M Billets Reports'!D1919)+1,200)),"")),IF(ISNUMBER(SEARCH("Party Name:-",'R.M Billets Reports'!D1920)),TRIM('R.M Billets Reports'!F1920),IF(ISNUMBER(SEARCH("Party Name-",'R.M Billets Reports'!D1920)),TRIM(MID('R.M Billets Reports'!D1920,SEARCH("-",'R.M Billets Reports'!D1920)+1,200)),"")))))),IF(ROW()=2,"",A1919))</f>
      </c>
      <c r="B1920">
        <f>IF(OR('R.M Billets Reports'!A1919="Date-",'R.M Billets Reports'!A1919="Date:-"),'R.M Billets Reports'!B1919,IF(ROW()=2,"",B1919))</f>
      </c>
      <c r="C1920">
        <f>IF('R.M Billets Reports'!A1919="V.No.",'R.M Billets Reports'!B1919,IF(ROW()=2,"",C1919))</f>
      </c>
      <c r="D1920">
        <f>IF('R.M Billets Reports'!A1919&lt;&gt;"",'R.M Billets Reports'!A1919,IF(ROW()=2,"",D1919))</f>
      </c>
      <c r="E1920">
        <f>IF('R.M Billets Reports'!B1919="","",TRIM('R.M Billets Reports'!B1919))</f>
      </c>
      <c r="F1920">
        <f>'R.M Billets Reports'!C1919</f>
      </c>
      <c r="G1920">
        <f>'R.M Billets Reports'!D1919</f>
      </c>
      <c r="H1920">
        <f>'R.M Billets Reports'!E1919</f>
      </c>
      <c r="I1920">
        <f>'R.M Billets Reports'!F1919</f>
      </c>
      <c r="J1920">
        <f>'R.M Billets Reports'!G1919</f>
      </c>
      <c r="K1920">
        <f>'R.M Billets Reports'!H1919</f>
      </c>
      <c r="L1920">
        <f>IF('R.M Billets Reports'!I1919="","",'R.M Billets Reports'!I1919)</f>
      </c>
      <c r="M1920">
        <f t="shared" si="58"/>
      </c>
      <c r="N1920">
        <f>IF('R.M Billets Reports'!J1919="","",'R.M Billets Reports'!J1919)</f>
      </c>
      <c r="O1920">
        <f t="shared" si="59"/>
      </c>
      <c r="P1920">
        <f>IF('R.M Billets Reports'!A1919="SIZE",'R.M Billets Reports'!B1919,P1919)</f>
      </c>
    </row>
    <row r="1921" spans="1:16" x14ac:dyDescent="0.25">
      <c r="A1921">
        <f>IF(OR('R.M Billets Reports'!A1920="Date-",'R.M Billets Reports'!A1920="Date:-"),IF(IF(IF(ISNUMBER(SEARCH("Party Name:-",'R.M Billets Reports'!D1920)),TRIM('R.M Billets Reports'!F1920),IF(ISNUMBER(SEARCH("Party Name-",'R.M Billets Reports'!D1920)),TRIM(MID('R.M Billets Reports'!D1920,SEARCH("-",'R.M Billets Reports'!D1920)+1,200)),""))&lt;&gt;"",IF(ISNUMBER(SEARCH("Party Name:-",'R.M Billets Reports'!D1920)),TRIM('R.M Billets Reports'!F1920),IF(ISNUMBER(SEARCH("Party Name-",'R.M Billets Reports'!D1920)),TRIM(MID('R.M Billets Reports'!D1920,SEARCH("-",'R.M Billets Reports'!D1920)+1,200)),"")),IF(ISNUMBER(SEARCH("Party Name:-",'R.M Billets Reports'!D1921)),TRIM('R.M Billets Reports'!F1921),IF(ISNUMBER(SEARCH("Party Name-",'R.M Billets Reports'!D1921)),TRIM(MID('R.M Billets Reports'!D1921,SEARCH("-",'R.M Billets Reports'!D1921)+1,200)),"")))="VRKP ISPAT PVT LTD","VRKP",IF(IF(IF(ISNUMBER(SEARCH("Party Name:-",'R.M Billets Reports'!D1920)),TRIM('R.M Billets Reports'!F1920),IF(ISNUMBER(SEARCH("Party Name-",'R.M Billets Reports'!D1920)),TRIM(MID('R.M Billets Reports'!D1920,SEARCH("-",'R.M Billets Reports'!D1920)+1,200)),""))&lt;&gt;"",IF(ISNUMBER(SEARCH("Party Name:-",'R.M Billets Reports'!D1920)),TRIM('R.M Billets Reports'!F1920),IF(ISNUMBER(SEARCH("Party Name-",'R.M Billets Reports'!D1920)),TRIM(MID('R.M Billets Reports'!D1920,SEARCH("-",'R.M Billets Reports'!D1920)+1,200)),"")),IF(ISNUMBER(SEARCH("Party Name:-",'R.M Billets Reports'!D1921)),TRIM('R.M Billets Reports'!F1921),IF(ISNUMBER(SEARCH("Party Name-",'R.M Billets Reports'!D1921)),TRIM(MID('R.M Billets Reports'!D1921,SEARCH("-",'R.M Billets Reports'!D1921)+1,200)),"")))="SHRI RADHE","SHREE RADHE",IF(IF(IF(ISNUMBER(SEARCH("Party Name:-",'R.M Billets Reports'!D1920)),TRIM('R.M Billets Reports'!F1920),IF(ISNUMBER(SEARCH("Party Name-",'R.M Billets Reports'!D1920)),TRIM(MID('R.M Billets Reports'!D1920,SEARCH("-",'R.M Billets Reports'!D1920)+1,200)),""))&lt;&gt;"",IF(ISNUMBER(SEARCH("Party Name:-",'R.M Billets Reports'!D1920)),TRIM('R.M Billets Reports'!F1920),IF(ISNUMBER(SEARCH("Party Name-",'R.M Billets Reports'!D1920)),TRIM(MID('R.M Billets Reports'!D1920,SEARCH("-",'R.M Billets Reports'!D1920)+1,200)),"")),IF(ISNUMBER(SEARCH("Party Name:-",'R.M Billets Reports'!D1921)),TRIM('R.M Billets Reports'!F1921),IF(ISNUMBER(SEARCH("Party Name-",'R.M Billets Reports'!D1921)),TRIM(MID('R.M Billets Reports'!D1921,SEARCH("-",'R.M Billets Reports'!D1921)+1,200)),"")))="SHREE RADHE SHAKTI SPONGE AND POWER PVT. LTD.","SHREE RADHE",IF(IF(ISNUMBER(SEARCH("Party Name:-",'R.M Billets Reports'!D1920)),TRIM('R.M Billets Reports'!F1920),IF(ISNUMBER(SEARCH("Party Name-",'R.M Billets Reports'!D1920)),TRIM(MID('R.M Billets Reports'!D1920,SEARCH("-",'R.M Billets Reports'!D1920)+1,200)),""))&lt;&gt;"",IF(ISNUMBER(SEARCH("Party Name:-",'R.M Billets Reports'!D1920)),TRIM('R.M Billets Reports'!F1920),IF(ISNUMBER(SEARCH("Party Name-",'R.M Billets Reports'!D1920)),TRIM(MID('R.M Billets Reports'!D1920,SEARCH("-",'R.M Billets Reports'!D1920)+1,200)),"")),IF(ISNUMBER(SEARCH("Party Name:-",'R.M Billets Reports'!D1921)),TRIM('R.M Billets Reports'!F1921),IF(ISNUMBER(SEARCH("Party Name-",'R.M Billets Reports'!D1921)),TRIM(MID('R.M Billets Reports'!D1921,SEARCH("-",'R.M Billets Reports'!D1921)+1,200)),"")))))),IF(ROW()=2,"",A1920))</f>
      </c>
      <c r="B1921">
        <f>IF(OR('R.M Billets Reports'!A1920="Date-",'R.M Billets Reports'!A1920="Date:-"),'R.M Billets Reports'!B1920,IF(ROW()=2,"",B1920))</f>
      </c>
      <c r="C1921">
        <f>IF('R.M Billets Reports'!A1920="V.No.",'R.M Billets Reports'!B1920,IF(ROW()=2,"",C1920))</f>
      </c>
      <c r="D1921">
        <f>IF('R.M Billets Reports'!A1920&lt;&gt;"",'R.M Billets Reports'!A1920,IF(ROW()=2,"",D1920))</f>
      </c>
      <c r="E1921">
        <f>IF('R.M Billets Reports'!B1920="","",TRIM('R.M Billets Reports'!B1920))</f>
      </c>
      <c r="F1921">
        <f>'R.M Billets Reports'!C1920</f>
      </c>
      <c r="G1921">
        <f>'R.M Billets Reports'!D1920</f>
      </c>
      <c r="H1921">
        <f>'R.M Billets Reports'!E1920</f>
      </c>
      <c r="I1921">
        <f>'R.M Billets Reports'!F1920</f>
      </c>
      <c r="J1921">
        <f>'R.M Billets Reports'!G1920</f>
      </c>
      <c r="K1921">
        <f>'R.M Billets Reports'!H1920</f>
      </c>
      <c r="L1921">
        <f>IF('R.M Billets Reports'!I1920="","",'R.M Billets Reports'!I1920)</f>
      </c>
      <c r="M1921">
        <f t="shared" si="58"/>
      </c>
      <c r="N1921">
        <f>IF('R.M Billets Reports'!J1920="","",'R.M Billets Reports'!J1920)</f>
      </c>
      <c r="O1921">
        <f t="shared" si="59"/>
      </c>
      <c r="P1921">
        <f>IF('R.M Billets Reports'!A1920="SIZE",'R.M Billets Reports'!B1920,P1920)</f>
      </c>
    </row>
    <row r="1922" spans="1:16" x14ac:dyDescent="0.25">
      <c r="A1922">
        <f>IF(OR('R.M Billets Reports'!A1921="Date-",'R.M Billets Reports'!A1921="Date:-"),IF(IF(IF(ISNUMBER(SEARCH("Party Name:-",'R.M Billets Reports'!D1921)),TRIM('R.M Billets Reports'!F1921),IF(ISNUMBER(SEARCH("Party Name-",'R.M Billets Reports'!D1921)),TRIM(MID('R.M Billets Reports'!D1921,SEARCH("-",'R.M Billets Reports'!D1921)+1,200)),""))&lt;&gt;"",IF(ISNUMBER(SEARCH("Party Name:-",'R.M Billets Reports'!D1921)),TRIM('R.M Billets Reports'!F1921),IF(ISNUMBER(SEARCH("Party Name-",'R.M Billets Reports'!D1921)),TRIM(MID('R.M Billets Reports'!D1921,SEARCH("-",'R.M Billets Reports'!D1921)+1,200)),"")),IF(ISNUMBER(SEARCH("Party Name:-",'R.M Billets Reports'!D1922)),TRIM('R.M Billets Reports'!F1922),IF(ISNUMBER(SEARCH("Party Name-",'R.M Billets Reports'!D1922)),TRIM(MID('R.M Billets Reports'!D1922,SEARCH("-",'R.M Billets Reports'!D1922)+1,200)),"")))="VRKP ISPAT PVT LTD","VRKP",IF(IF(IF(ISNUMBER(SEARCH("Party Name:-",'R.M Billets Reports'!D1921)),TRIM('R.M Billets Reports'!F1921),IF(ISNUMBER(SEARCH("Party Name-",'R.M Billets Reports'!D1921)),TRIM(MID('R.M Billets Reports'!D1921,SEARCH("-",'R.M Billets Reports'!D1921)+1,200)),""))&lt;&gt;"",IF(ISNUMBER(SEARCH("Party Name:-",'R.M Billets Reports'!D1921)),TRIM('R.M Billets Reports'!F1921),IF(ISNUMBER(SEARCH("Party Name-",'R.M Billets Reports'!D1921)),TRIM(MID('R.M Billets Reports'!D1921,SEARCH("-",'R.M Billets Reports'!D1921)+1,200)),"")),IF(ISNUMBER(SEARCH("Party Name:-",'R.M Billets Reports'!D1922)),TRIM('R.M Billets Reports'!F1922),IF(ISNUMBER(SEARCH("Party Name-",'R.M Billets Reports'!D1922)),TRIM(MID('R.M Billets Reports'!D1922,SEARCH("-",'R.M Billets Reports'!D1922)+1,200)),"")))="SHRI RADHE","SHREE RADHE",IF(IF(IF(ISNUMBER(SEARCH("Party Name:-",'R.M Billets Reports'!D1921)),TRIM('R.M Billets Reports'!F1921),IF(ISNUMBER(SEARCH("Party Name-",'R.M Billets Reports'!D1921)),TRIM(MID('R.M Billets Reports'!D1921,SEARCH("-",'R.M Billets Reports'!D1921)+1,200)),""))&lt;&gt;"",IF(ISNUMBER(SEARCH("Party Name:-",'R.M Billets Reports'!D1921)),TRIM('R.M Billets Reports'!F1921),IF(ISNUMBER(SEARCH("Party Name-",'R.M Billets Reports'!D1921)),TRIM(MID('R.M Billets Reports'!D1921,SEARCH("-",'R.M Billets Reports'!D1921)+1,200)),"")),IF(ISNUMBER(SEARCH("Party Name:-",'R.M Billets Reports'!D1922)),TRIM('R.M Billets Reports'!F1922),IF(ISNUMBER(SEARCH("Party Name-",'R.M Billets Reports'!D1922)),TRIM(MID('R.M Billets Reports'!D1922,SEARCH("-",'R.M Billets Reports'!D1922)+1,200)),"")))="SHREE RADHE SHAKTI SPONGE AND POWER PVT. LTD.","SHREE RADHE",IF(IF(ISNUMBER(SEARCH("Party Name:-",'R.M Billets Reports'!D1921)),TRIM('R.M Billets Reports'!F1921),IF(ISNUMBER(SEARCH("Party Name-",'R.M Billets Reports'!D1921)),TRIM(MID('R.M Billets Reports'!D1921,SEARCH("-",'R.M Billets Reports'!D1921)+1,200)),""))&lt;&gt;"",IF(ISNUMBER(SEARCH("Party Name:-",'R.M Billets Reports'!D1921)),TRIM('R.M Billets Reports'!F1921),IF(ISNUMBER(SEARCH("Party Name-",'R.M Billets Reports'!D1921)),TRIM(MID('R.M Billets Reports'!D1921,SEARCH("-",'R.M Billets Reports'!D1921)+1,200)),"")),IF(ISNUMBER(SEARCH("Party Name:-",'R.M Billets Reports'!D1922)),TRIM('R.M Billets Reports'!F1922),IF(ISNUMBER(SEARCH("Party Name-",'R.M Billets Reports'!D1922)),TRIM(MID('R.M Billets Reports'!D1922,SEARCH("-",'R.M Billets Reports'!D1922)+1,200)),"")))))),IF(ROW()=2,"",A1921))</f>
      </c>
      <c r="B1922">
        <f>IF(OR('R.M Billets Reports'!A1921="Date-",'R.M Billets Reports'!A1921="Date:-"),'R.M Billets Reports'!B1921,IF(ROW()=2,"",B1921))</f>
      </c>
      <c r="C1922">
        <f>IF('R.M Billets Reports'!A1921="V.No.",'R.M Billets Reports'!B1921,IF(ROW()=2,"",C1921))</f>
      </c>
      <c r="D1922">
        <f>IF('R.M Billets Reports'!A1921&lt;&gt;"",'R.M Billets Reports'!A1921,IF(ROW()=2,"",D1921))</f>
      </c>
      <c r="E1922">
        <f>IF('R.M Billets Reports'!B1921="","",TRIM('R.M Billets Reports'!B1921))</f>
      </c>
      <c r="F1922">
        <f>'R.M Billets Reports'!C1921</f>
      </c>
      <c r="G1922">
        <f>'R.M Billets Reports'!D1921</f>
      </c>
      <c r="H1922">
        <f>'R.M Billets Reports'!E1921</f>
      </c>
      <c r="I1922">
        <f>'R.M Billets Reports'!F1921</f>
      </c>
      <c r="J1922">
        <f>'R.M Billets Reports'!G1921</f>
      </c>
      <c r="K1922">
        <f>'R.M Billets Reports'!H1921</f>
      </c>
      <c r="L1922">
        <f>IF('R.M Billets Reports'!I1921="","",'R.M Billets Reports'!I1921)</f>
      </c>
      <c r="M1922">
        <f t="shared" si="58"/>
      </c>
      <c r="N1922">
        <f>IF('R.M Billets Reports'!J1921="","",'R.M Billets Reports'!J1921)</f>
      </c>
      <c r="O1922">
        <f t="shared" si="59"/>
      </c>
      <c r="P1922">
        <f>IF('R.M Billets Reports'!A1921="SIZE",'R.M Billets Reports'!B1921,P1921)</f>
      </c>
    </row>
    <row r="1923" spans="1:16" x14ac:dyDescent="0.25">
      <c r="A1923">
        <f>IF(OR('R.M Billets Reports'!A1922="Date-",'R.M Billets Reports'!A1922="Date:-"),IF(IF(IF(ISNUMBER(SEARCH("Party Name:-",'R.M Billets Reports'!D1922)),TRIM('R.M Billets Reports'!F1922),IF(ISNUMBER(SEARCH("Party Name-",'R.M Billets Reports'!D1922)),TRIM(MID('R.M Billets Reports'!D1922,SEARCH("-",'R.M Billets Reports'!D1922)+1,200)),""))&lt;&gt;"",IF(ISNUMBER(SEARCH("Party Name:-",'R.M Billets Reports'!D1922)),TRIM('R.M Billets Reports'!F1922),IF(ISNUMBER(SEARCH("Party Name-",'R.M Billets Reports'!D1922)),TRIM(MID('R.M Billets Reports'!D1922,SEARCH("-",'R.M Billets Reports'!D1922)+1,200)),"")),IF(ISNUMBER(SEARCH("Party Name:-",'R.M Billets Reports'!D1923)),TRIM('R.M Billets Reports'!F1923),IF(ISNUMBER(SEARCH("Party Name-",'R.M Billets Reports'!D1923)),TRIM(MID('R.M Billets Reports'!D1923,SEARCH("-",'R.M Billets Reports'!D1923)+1,200)),"")))="VRKP ISPAT PVT LTD","VRKP",IF(IF(IF(ISNUMBER(SEARCH("Party Name:-",'R.M Billets Reports'!D1922)),TRIM('R.M Billets Reports'!F1922),IF(ISNUMBER(SEARCH("Party Name-",'R.M Billets Reports'!D1922)),TRIM(MID('R.M Billets Reports'!D1922,SEARCH("-",'R.M Billets Reports'!D1922)+1,200)),""))&lt;&gt;"",IF(ISNUMBER(SEARCH("Party Name:-",'R.M Billets Reports'!D1922)),TRIM('R.M Billets Reports'!F1922),IF(ISNUMBER(SEARCH("Party Name-",'R.M Billets Reports'!D1922)),TRIM(MID('R.M Billets Reports'!D1922,SEARCH("-",'R.M Billets Reports'!D1922)+1,200)),"")),IF(ISNUMBER(SEARCH("Party Name:-",'R.M Billets Reports'!D1923)),TRIM('R.M Billets Reports'!F1923),IF(ISNUMBER(SEARCH("Party Name-",'R.M Billets Reports'!D1923)),TRIM(MID('R.M Billets Reports'!D1923,SEARCH("-",'R.M Billets Reports'!D1923)+1,200)),"")))="SHRI RADHE","SHREE RADHE",IF(IF(IF(ISNUMBER(SEARCH("Party Name:-",'R.M Billets Reports'!D1922)),TRIM('R.M Billets Reports'!F1922),IF(ISNUMBER(SEARCH("Party Name-",'R.M Billets Reports'!D1922)),TRIM(MID('R.M Billets Reports'!D1922,SEARCH("-",'R.M Billets Reports'!D1922)+1,200)),""))&lt;&gt;"",IF(ISNUMBER(SEARCH("Party Name:-",'R.M Billets Reports'!D1922)),TRIM('R.M Billets Reports'!F1922),IF(ISNUMBER(SEARCH("Party Name-",'R.M Billets Reports'!D1922)),TRIM(MID('R.M Billets Reports'!D1922,SEARCH("-",'R.M Billets Reports'!D1922)+1,200)),"")),IF(ISNUMBER(SEARCH("Party Name:-",'R.M Billets Reports'!D1923)),TRIM('R.M Billets Reports'!F1923),IF(ISNUMBER(SEARCH("Party Name-",'R.M Billets Reports'!D1923)),TRIM(MID('R.M Billets Reports'!D1923,SEARCH("-",'R.M Billets Reports'!D1923)+1,200)),"")))="SHREE RADHE SHAKTI SPONGE AND POWER PVT. LTD.","SHREE RADHE",IF(IF(ISNUMBER(SEARCH("Party Name:-",'R.M Billets Reports'!D1922)),TRIM('R.M Billets Reports'!F1922),IF(ISNUMBER(SEARCH("Party Name-",'R.M Billets Reports'!D1922)),TRIM(MID('R.M Billets Reports'!D1922,SEARCH("-",'R.M Billets Reports'!D1922)+1,200)),""))&lt;&gt;"",IF(ISNUMBER(SEARCH("Party Name:-",'R.M Billets Reports'!D1922)),TRIM('R.M Billets Reports'!F1922),IF(ISNUMBER(SEARCH("Party Name-",'R.M Billets Reports'!D1922)),TRIM(MID('R.M Billets Reports'!D1922,SEARCH("-",'R.M Billets Reports'!D1922)+1,200)),"")),IF(ISNUMBER(SEARCH("Party Name:-",'R.M Billets Reports'!D1923)),TRIM('R.M Billets Reports'!F1923),IF(ISNUMBER(SEARCH("Party Name-",'R.M Billets Reports'!D1923)),TRIM(MID('R.M Billets Reports'!D1923,SEARCH("-",'R.M Billets Reports'!D1923)+1,200)),"")))))),IF(ROW()=2,"",A1922))</f>
      </c>
      <c r="B1923">
        <f>IF(OR('R.M Billets Reports'!A1922="Date-",'R.M Billets Reports'!A1922="Date:-"),'R.M Billets Reports'!B1922,IF(ROW()=2,"",B1922))</f>
      </c>
      <c r="C1923">
        <f>IF('R.M Billets Reports'!A1922="V.No.",'R.M Billets Reports'!B1922,IF(ROW()=2,"",C1922))</f>
      </c>
      <c r="D1923">
        <f>IF('R.M Billets Reports'!A1922&lt;&gt;"",'R.M Billets Reports'!A1922,IF(ROW()=2,"",D1922))</f>
      </c>
      <c r="E1923">
        <f>IF('R.M Billets Reports'!B1922="","",TRIM('R.M Billets Reports'!B1922))</f>
      </c>
      <c r="F1923">
        <f>'R.M Billets Reports'!C1922</f>
      </c>
      <c r="G1923">
        <f>'R.M Billets Reports'!D1922</f>
      </c>
      <c r="H1923">
        <f>'R.M Billets Reports'!E1922</f>
      </c>
      <c r="I1923">
        <f>'R.M Billets Reports'!F1922</f>
      </c>
      <c r="J1923">
        <f>'R.M Billets Reports'!G1922</f>
      </c>
      <c r="K1923">
        <f>'R.M Billets Reports'!H1922</f>
      </c>
      <c r="L1923">
        <f>IF('R.M Billets Reports'!I1922="","",'R.M Billets Reports'!I1922)</f>
      </c>
      <c r="M1923">
        <f t="shared" ref="M1923:M1986" si="60">IF(L1923&lt;&gt;"",L1923,IF(D1923=D1922,M1922,""))</f>
      </c>
      <c r="N1923">
        <f>IF('R.M Billets Reports'!J1922="","",'R.M Billets Reports'!J1922)</f>
      </c>
      <c r="O1923">
        <f t="shared" ref="O1923:O1986" si="61">IF(N1923&lt;&gt;"",N1923,IF(D1923=D1922,O1922,""))</f>
      </c>
      <c r="P1923">
        <f>IF('R.M Billets Reports'!A1922="SIZE",'R.M Billets Reports'!B1922,P1922)</f>
      </c>
    </row>
    <row r="1924" spans="1:16" x14ac:dyDescent="0.25">
      <c r="A1924">
        <f>IF(OR('R.M Billets Reports'!A1923="Date-",'R.M Billets Reports'!A1923="Date:-"),IF(IF(IF(ISNUMBER(SEARCH("Party Name:-",'R.M Billets Reports'!D1923)),TRIM('R.M Billets Reports'!F1923),IF(ISNUMBER(SEARCH("Party Name-",'R.M Billets Reports'!D1923)),TRIM(MID('R.M Billets Reports'!D1923,SEARCH("-",'R.M Billets Reports'!D1923)+1,200)),""))&lt;&gt;"",IF(ISNUMBER(SEARCH("Party Name:-",'R.M Billets Reports'!D1923)),TRIM('R.M Billets Reports'!F1923),IF(ISNUMBER(SEARCH("Party Name-",'R.M Billets Reports'!D1923)),TRIM(MID('R.M Billets Reports'!D1923,SEARCH("-",'R.M Billets Reports'!D1923)+1,200)),"")),IF(ISNUMBER(SEARCH("Party Name:-",'R.M Billets Reports'!D1924)),TRIM('R.M Billets Reports'!F1924),IF(ISNUMBER(SEARCH("Party Name-",'R.M Billets Reports'!D1924)),TRIM(MID('R.M Billets Reports'!D1924,SEARCH("-",'R.M Billets Reports'!D1924)+1,200)),"")))="VRKP ISPAT PVT LTD","VRKP",IF(IF(IF(ISNUMBER(SEARCH("Party Name:-",'R.M Billets Reports'!D1923)),TRIM('R.M Billets Reports'!F1923),IF(ISNUMBER(SEARCH("Party Name-",'R.M Billets Reports'!D1923)),TRIM(MID('R.M Billets Reports'!D1923,SEARCH("-",'R.M Billets Reports'!D1923)+1,200)),""))&lt;&gt;"",IF(ISNUMBER(SEARCH("Party Name:-",'R.M Billets Reports'!D1923)),TRIM('R.M Billets Reports'!F1923),IF(ISNUMBER(SEARCH("Party Name-",'R.M Billets Reports'!D1923)),TRIM(MID('R.M Billets Reports'!D1923,SEARCH("-",'R.M Billets Reports'!D1923)+1,200)),"")),IF(ISNUMBER(SEARCH("Party Name:-",'R.M Billets Reports'!D1924)),TRIM('R.M Billets Reports'!F1924),IF(ISNUMBER(SEARCH("Party Name-",'R.M Billets Reports'!D1924)),TRIM(MID('R.M Billets Reports'!D1924,SEARCH("-",'R.M Billets Reports'!D1924)+1,200)),"")))="SHRI RADHE","SHREE RADHE",IF(IF(IF(ISNUMBER(SEARCH("Party Name:-",'R.M Billets Reports'!D1923)),TRIM('R.M Billets Reports'!F1923),IF(ISNUMBER(SEARCH("Party Name-",'R.M Billets Reports'!D1923)),TRIM(MID('R.M Billets Reports'!D1923,SEARCH("-",'R.M Billets Reports'!D1923)+1,200)),""))&lt;&gt;"",IF(ISNUMBER(SEARCH("Party Name:-",'R.M Billets Reports'!D1923)),TRIM('R.M Billets Reports'!F1923),IF(ISNUMBER(SEARCH("Party Name-",'R.M Billets Reports'!D1923)),TRIM(MID('R.M Billets Reports'!D1923,SEARCH("-",'R.M Billets Reports'!D1923)+1,200)),"")),IF(ISNUMBER(SEARCH("Party Name:-",'R.M Billets Reports'!D1924)),TRIM('R.M Billets Reports'!F1924),IF(ISNUMBER(SEARCH("Party Name-",'R.M Billets Reports'!D1924)),TRIM(MID('R.M Billets Reports'!D1924,SEARCH("-",'R.M Billets Reports'!D1924)+1,200)),"")))="SHREE RADHE SHAKTI SPONGE AND POWER PVT. LTD.","SHREE RADHE",IF(IF(ISNUMBER(SEARCH("Party Name:-",'R.M Billets Reports'!D1923)),TRIM('R.M Billets Reports'!F1923),IF(ISNUMBER(SEARCH("Party Name-",'R.M Billets Reports'!D1923)),TRIM(MID('R.M Billets Reports'!D1923,SEARCH("-",'R.M Billets Reports'!D1923)+1,200)),""))&lt;&gt;"",IF(ISNUMBER(SEARCH("Party Name:-",'R.M Billets Reports'!D1923)),TRIM('R.M Billets Reports'!F1923),IF(ISNUMBER(SEARCH("Party Name-",'R.M Billets Reports'!D1923)),TRIM(MID('R.M Billets Reports'!D1923,SEARCH("-",'R.M Billets Reports'!D1923)+1,200)),"")),IF(ISNUMBER(SEARCH("Party Name:-",'R.M Billets Reports'!D1924)),TRIM('R.M Billets Reports'!F1924),IF(ISNUMBER(SEARCH("Party Name-",'R.M Billets Reports'!D1924)),TRIM(MID('R.M Billets Reports'!D1924,SEARCH("-",'R.M Billets Reports'!D1924)+1,200)),"")))))),IF(ROW()=2,"",A1923))</f>
      </c>
      <c r="B1924">
        <f>IF(OR('R.M Billets Reports'!A1923="Date-",'R.M Billets Reports'!A1923="Date:-"),'R.M Billets Reports'!B1923,IF(ROW()=2,"",B1923))</f>
      </c>
      <c r="C1924">
        <f>IF('R.M Billets Reports'!A1923="V.No.",'R.M Billets Reports'!B1923,IF(ROW()=2,"",C1923))</f>
      </c>
      <c r="D1924">
        <f>IF('R.M Billets Reports'!A1923&lt;&gt;"",'R.M Billets Reports'!A1923,IF(ROW()=2,"",D1923))</f>
      </c>
      <c r="E1924">
        <f>IF('R.M Billets Reports'!B1923="","",TRIM('R.M Billets Reports'!B1923))</f>
      </c>
      <c r="F1924">
        <f>'R.M Billets Reports'!C1923</f>
      </c>
      <c r="G1924">
        <f>'R.M Billets Reports'!D1923</f>
      </c>
      <c r="H1924">
        <f>'R.M Billets Reports'!E1923</f>
      </c>
      <c r="I1924">
        <f>'R.M Billets Reports'!F1923</f>
      </c>
      <c r="J1924">
        <f>'R.M Billets Reports'!G1923</f>
      </c>
      <c r="K1924">
        <f>'R.M Billets Reports'!H1923</f>
      </c>
      <c r="L1924">
        <f>IF('R.M Billets Reports'!I1923="","",'R.M Billets Reports'!I1923)</f>
      </c>
      <c r="M1924">
        <f t="shared" si="60"/>
      </c>
      <c r="N1924">
        <f>IF('R.M Billets Reports'!J1923="","",'R.M Billets Reports'!J1923)</f>
      </c>
      <c r="O1924">
        <f t="shared" si="61"/>
      </c>
      <c r="P1924">
        <f>IF('R.M Billets Reports'!A1923="SIZE",'R.M Billets Reports'!B1923,P1923)</f>
      </c>
    </row>
    <row r="1925" spans="1:16" x14ac:dyDescent="0.25">
      <c r="A1925">
        <f>IF(OR('R.M Billets Reports'!A1924="Date-",'R.M Billets Reports'!A1924="Date:-"),IF(IF(IF(ISNUMBER(SEARCH("Party Name:-",'R.M Billets Reports'!D1924)),TRIM('R.M Billets Reports'!F1924),IF(ISNUMBER(SEARCH("Party Name-",'R.M Billets Reports'!D1924)),TRIM(MID('R.M Billets Reports'!D1924,SEARCH("-",'R.M Billets Reports'!D1924)+1,200)),""))&lt;&gt;"",IF(ISNUMBER(SEARCH("Party Name:-",'R.M Billets Reports'!D1924)),TRIM('R.M Billets Reports'!F1924),IF(ISNUMBER(SEARCH("Party Name-",'R.M Billets Reports'!D1924)),TRIM(MID('R.M Billets Reports'!D1924,SEARCH("-",'R.M Billets Reports'!D1924)+1,200)),"")),IF(ISNUMBER(SEARCH("Party Name:-",'R.M Billets Reports'!D1925)),TRIM('R.M Billets Reports'!F1925),IF(ISNUMBER(SEARCH("Party Name-",'R.M Billets Reports'!D1925)),TRIM(MID('R.M Billets Reports'!D1925,SEARCH("-",'R.M Billets Reports'!D1925)+1,200)),"")))="VRKP ISPAT PVT LTD","VRKP",IF(IF(IF(ISNUMBER(SEARCH("Party Name:-",'R.M Billets Reports'!D1924)),TRIM('R.M Billets Reports'!F1924),IF(ISNUMBER(SEARCH("Party Name-",'R.M Billets Reports'!D1924)),TRIM(MID('R.M Billets Reports'!D1924,SEARCH("-",'R.M Billets Reports'!D1924)+1,200)),""))&lt;&gt;"",IF(ISNUMBER(SEARCH("Party Name:-",'R.M Billets Reports'!D1924)),TRIM('R.M Billets Reports'!F1924),IF(ISNUMBER(SEARCH("Party Name-",'R.M Billets Reports'!D1924)),TRIM(MID('R.M Billets Reports'!D1924,SEARCH("-",'R.M Billets Reports'!D1924)+1,200)),"")),IF(ISNUMBER(SEARCH("Party Name:-",'R.M Billets Reports'!D1925)),TRIM('R.M Billets Reports'!F1925),IF(ISNUMBER(SEARCH("Party Name-",'R.M Billets Reports'!D1925)),TRIM(MID('R.M Billets Reports'!D1925,SEARCH("-",'R.M Billets Reports'!D1925)+1,200)),"")))="SHRI RADHE","SHREE RADHE",IF(IF(IF(ISNUMBER(SEARCH("Party Name:-",'R.M Billets Reports'!D1924)),TRIM('R.M Billets Reports'!F1924),IF(ISNUMBER(SEARCH("Party Name-",'R.M Billets Reports'!D1924)),TRIM(MID('R.M Billets Reports'!D1924,SEARCH("-",'R.M Billets Reports'!D1924)+1,200)),""))&lt;&gt;"",IF(ISNUMBER(SEARCH("Party Name:-",'R.M Billets Reports'!D1924)),TRIM('R.M Billets Reports'!F1924),IF(ISNUMBER(SEARCH("Party Name-",'R.M Billets Reports'!D1924)),TRIM(MID('R.M Billets Reports'!D1924,SEARCH("-",'R.M Billets Reports'!D1924)+1,200)),"")),IF(ISNUMBER(SEARCH("Party Name:-",'R.M Billets Reports'!D1925)),TRIM('R.M Billets Reports'!F1925),IF(ISNUMBER(SEARCH("Party Name-",'R.M Billets Reports'!D1925)),TRIM(MID('R.M Billets Reports'!D1925,SEARCH("-",'R.M Billets Reports'!D1925)+1,200)),"")))="SHREE RADHE SHAKTI SPONGE AND POWER PVT. LTD.","SHREE RADHE",IF(IF(ISNUMBER(SEARCH("Party Name:-",'R.M Billets Reports'!D1924)),TRIM('R.M Billets Reports'!F1924),IF(ISNUMBER(SEARCH("Party Name-",'R.M Billets Reports'!D1924)),TRIM(MID('R.M Billets Reports'!D1924,SEARCH("-",'R.M Billets Reports'!D1924)+1,200)),""))&lt;&gt;"",IF(ISNUMBER(SEARCH("Party Name:-",'R.M Billets Reports'!D1924)),TRIM('R.M Billets Reports'!F1924),IF(ISNUMBER(SEARCH("Party Name-",'R.M Billets Reports'!D1924)),TRIM(MID('R.M Billets Reports'!D1924,SEARCH("-",'R.M Billets Reports'!D1924)+1,200)),"")),IF(ISNUMBER(SEARCH("Party Name:-",'R.M Billets Reports'!D1925)),TRIM('R.M Billets Reports'!F1925),IF(ISNUMBER(SEARCH("Party Name-",'R.M Billets Reports'!D1925)),TRIM(MID('R.M Billets Reports'!D1925,SEARCH("-",'R.M Billets Reports'!D1925)+1,200)),"")))))),IF(ROW()=2,"",A1924))</f>
      </c>
      <c r="B1925">
        <f>IF(OR('R.M Billets Reports'!A1924="Date-",'R.M Billets Reports'!A1924="Date:-"),'R.M Billets Reports'!B1924,IF(ROW()=2,"",B1924))</f>
      </c>
      <c r="C1925">
        <f>IF('R.M Billets Reports'!A1924="V.No.",'R.M Billets Reports'!B1924,IF(ROW()=2,"",C1924))</f>
      </c>
      <c r="D1925">
        <f>IF('R.M Billets Reports'!A1924&lt;&gt;"",'R.M Billets Reports'!A1924,IF(ROW()=2,"",D1924))</f>
      </c>
      <c r="E1925">
        <f>IF('R.M Billets Reports'!B1924="","",TRIM('R.M Billets Reports'!B1924))</f>
      </c>
      <c r="F1925">
        <f>'R.M Billets Reports'!C1924</f>
      </c>
      <c r="G1925">
        <f>'R.M Billets Reports'!D1924</f>
      </c>
      <c r="H1925">
        <f>'R.M Billets Reports'!E1924</f>
      </c>
      <c r="I1925">
        <f>'R.M Billets Reports'!F1924</f>
      </c>
      <c r="J1925">
        <f>'R.M Billets Reports'!G1924</f>
      </c>
      <c r="K1925">
        <f>'R.M Billets Reports'!H1924</f>
      </c>
      <c r="L1925">
        <f>IF('R.M Billets Reports'!I1924="","",'R.M Billets Reports'!I1924)</f>
      </c>
      <c r="M1925">
        <f t="shared" si="60"/>
      </c>
      <c r="N1925">
        <f>IF('R.M Billets Reports'!J1924="","",'R.M Billets Reports'!J1924)</f>
      </c>
      <c r="O1925">
        <f t="shared" si="61"/>
      </c>
      <c r="P1925">
        <f>IF('R.M Billets Reports'!A1924="SIZE",'R.M Billets Reports'!B1924,P1924)</f>
      </c>
    </row>
    <row r="1926" spans="1:16" x14ac:dyDescent="0.25">
      <c r="A1926">
        <f>IF(OR('R.M Billets Reports'!A1925="Date-",'R.M Billets Reports'!A1925="Date:-"),IF(IF(IF(ISNUMBER(SEARCH("Party Name:-",'R.M Billets Reports'!D1925)),TRIM('R.M Billets Reports'!F1925),IF(ISNUMBER(SEARCH("Party Name-",'R.M Billets Reports'!D1925)),TRIM(MID('R.M Billets Reports'!D1925,SEARCH("-",'R.M Billets Reports'!D1925)+1,200)),""))&lt;&gt;"",IF(ISNUMBER(SEARCH("Party Name:-",'R.M Billets Reports'!D1925)),TRIM('R.M Billets Reports'!F1925),IF(ISNUMBER(SEARCH("Party Name-",'R.M Billets Reports'!D1925)),TRIM(MID('R.M Billets Reports'!D1925,SEARCH("-",'R.M Billets Reports'!D1925)+1,200)),"")),IF(ISNUMBER(SEARCH("Party Name:-",'R.M Billets Reports'!D1926)),TRIM('R.M Billets Reports'!F1926),IF(ISNUMBER(SEARCH("Party Name-",'R.M Billets Reports'!D1926)),TRIM(MID('R.M Billets Reports'!D1926,SEARCH("-",'R.M Billets Reports'!D1926)+1,200)),"")))="VRKP ISPAT PVT LTD","VRKP",IF(IF(IF(ISNUMBER(SEARCH("Party Name:-",'R.M Billets Reports'!D1925)),TRIM('R.M Billets Reports'!F1925),IF(ISNUMBER(SEARCH("Party Name-",'R.M Billets Reports'!D1925)),TRIM(MID('R.M Billets Reports'!D1925,SEARCH("-",'R.M Billets Reports'!D1925)+1,200)),""))&lt;&gt;"",IF(ISNUMBER(SEARCH("Party Name:-",'R.M Billets Reports'!D1925)),TRIM('R.M Billets Reports'!F1925),IF(ISNUMBER(SEARCH("Party Name-",'R.M Billets Reports'!D1925)),TRIM(MID('R.M Billets Reports'!D1925,SEARCH("-",'R.M Billets Reports'!D1925)+1,200)),"")),IF(ISNUMBER(SEARCH("Party Name:-",'R.M Billets Reports'!D1926)),TRIM('R.M Billets Reports'!F1926),IF(ISNUMBER(SEARCH("Party Name-",'R.M Billets Reports'!D1926)),TRIM(MID('R.M Billets Reports'!D1926,SEARCH("-",'R.M Billets Reports'!D1926)+1,200)),"")))="SHRI RADHE","SHREE RADHE",IF(IF(IF(ISNUMBER(SEARCH("Party Name:-",'R.M Billets Reports'!D1925)),TRIM('R.M Billets Reports'!F1925),IF(ISNUMBER(SEARCH("Party Name-",'R.M Billets Reports'!D1925)),TRIM(MID('R.M Billets Reports'!D1925,SEARCH("-",'R.M Billets Reports'!D1925)+1,200)),""))&lt;&gt;"",IF(ISNUMBER(SEARCH("Party Name:-",'R.M Billets Reports'!D1925)),TRIM('R.M Billets Reports'!F1925),IF(ISNUMBER(SEARCH("Party Name-",'R.M Billets Reports'!D1925)),TRIM(MID('R.M Billets Reports'!D1925,SEARCH("-",'R.M Billets Reports'!D1925)+1,200)),"")),IF(ISNUMBER(SEARCH("Party Name:-",'R.M Billets Reports'!D1926)),TRIM('R.M Billets Reports'!F1926),IF(ISNUMBER(SEARCH("Party Name-",'R.M Billets Reports'!D1926)),TRIM(MID('R.M Billets Reports'!D1926,SEARCH("-",'R.M Billets Reports'!D1926)+1,200)),"")))="SHREE RADHE SHAKTI SPONGE AND POWER PVT. LTD.","SHREE RADHE",IF(IF(ISNUMBER(SEARCH("Party Name:-",'R.M Billets Reports'!D1925)),TRIM('R.M Billets Reports'!F1925),IF(ISNUMBER(SEARCH("Party Name-",'R.M Billets Reports'!D1925)),TRIM(MID('R.M Billets Reports'!D1925,SEARCH("-",'R.M Billets Reports'!D1925)+1,200)),""))&lt;&gt;"",IF(ISNUMBER(SEARCH("Party Name:-",'R.M Billets Reports'!D1925)),TRIM('R.M Billets Reports'!F1925),IF(ISNUMBER(SEARCH("Party Name-",'R.M Billets Reports'!D1925)),TRIM(MID('R.M Billets Reports'!D1925,SEARCH("-",'R.M Billets Reports'!D1925)+1,200)),"")),IF(ISNUMBER(SEARCH("Party Name:-",'R.M Billets Reports'!D1926)),TRIM('R.M Billets Reports'!F1926),IF(ISNUMBER(SEARCH("Party Name-",'R.M Billets Reports'!D1926)),TRIM(MID('R.M Billets Reports'!D1926,SEARCH("-",'R.M Billets Reports'!D1926)+1,200)),"")))))),IF(ROW()=2,"",A1925))</f>
      </c>
      <c r="B1926">
        <f>IF(OR('R.M Billets Reports'!A1925="Date-",'R.M Billets Reports'!A1925="Date:-"),'R.M Billets Reports'!B1925,IF(ROW()=2,"",B1925))</f>
      </c>
      <c r="C1926">
        <f>IF('R.M Billets Reports'!A1925="V.No.",'R.M Billets Reports'!B1925,IF(ROW()=2,"",C1925))</f>
      </c>
      <c r="D1926">
        <f>IF('R.M Billets Reports'!A1925&lt;&gt;"",'R.M Billets Reports'!A1925,IF(ROW()=2,"",D1925))</f>
      </c>
      <c r="E1926">
        <f>IF('R.M Billets Reports'!B1925="","",TRIM('R.M Billets Reports'!B1925))</f>
      </c>
      <c r="F1926">
        <f>'R.M Billets Reports'!C1925</f>
      </c>
      <c r="G1926">
        <f>'R.M Billets Reports'!D1925</f>
      </c>
      <c r="H1926">
        <f>'R.M Billets Reports'!E1925</f>
      </c>
      <c r="I1926">
        <f>'R.M Billets Reports'!F1925</f>
      </c>
      <c r="J1926">
        <f>'R.M Billets Reports'!G1925</f>
      </c>
      <c r="K1926">
        <f>'R.M Billets Reports'!H1925</f>
      </c>
      <c r="L1926">
        <f>IF('R.M Billets Reports'!I1925="","",'R.M Billets Reports'!I1925)</f>
      </c>
      <c r="M1926">
        <f t="shared" si="60"/>
      </c>
      <c r="N1926">
        <f>IF('R.M Billets Reports'!J1925="","",'R.M Billets Reports'!J1925)</f>
      </c>
      <c r="O1926">
        <f t="shared" si="61"/>
      </c>
      <c r="P1926">
        <f>IF('R.M Billets Reports'!A1925="SIZE",'R.M Billets Reports'!B1925,P1925)</f>
      </c>
    </row>
    <row r="1927" spans="1:16" x14ac:dyDescent="0.25">
      <c r="A1927">
        <f>IF(OR('R.M Billets Reports'!A1926="Date-",'R.M Billets Reports'!A1926="Date:-"),IF(IF(IF(ISNUMBER(SEARCH("Party Name:-",'R.M Billets Reports'!D1926)),TRIM('R.M Billets Reports'!F1926),IF(ISNUMBER(SEARCH("Party Name-",'R.M Billets Reports'!D1926)),TRIM(MID('R.M Billets Reports'!D1926,SEARCH("-",'R.M Billets Reports'!D1926)+1,200)),""))&lt;&gt;"",IF(ISNUMBER(SEARCH("Party Name:-",'R.M Billets Reports'!D1926)),TRIM('R.M Billets Reports'!F1926),IF(ISNUMBER(SEARCH("Party Name-",'R.M Billets Reports'!D1926)),TRIM(MID('R.M Billets Reports'!D1926,SEARCH("-",'R.M Billets Reports'!D1926)+1,200)),"")),IF(ISNUMBER(SEARCH("Party Name:-",'R.M Billets Reports'!D1927)),TRIM('R.M Billets Reports'!F1927),IF(ISNUMBER(SEARCH("Party Name-",'R.M Billets Reports'!D1927)),TRIM(MID('R.M Billets Reports'!D1927,SEARCH("-",'R.M Billets Reports'!D1927)+1,200)),"")))="VRKP ISPAT PVT LTD","VRKP",IF(IF(IF(ISNUMBER(SEARCH("Party Name:-",'R.M Billets Reports'!D1926)),TRIM('R.M Billets Reports'!F1926),IF(ISNUMBER(SEARCH("Party Name-",'R.M Billets Reports'!D1926)),TRIM(MID('R.M Billets Reports'!D1926,SEARCH("-",'R.M Billets Reports'!D1926)+1,200)),""))&lt;&gt;"",IF(ISNUMBER(SEARCH("Party Name:-",'R.M Billets Reports'!D1926)),TRIM('R.M Billets Reports'!F1926),IF(ISNUMBER(SEARCH("Party Name-",'R.M Billets Reports'!D1926)),TRIM(MID('R.M Billets Reports'!D1926,SEARCH("-",'R.M Billets Reports'!D1926)+1,200)),"")),IF(ISNUMBER(SEARCH("Party Name:-",'R.M Billets Reports'!D1927)),TRIM('R.M Billets Reports'!F1927),IF(ISNUMBER(SEARCH("Party Name-",'R.M Billets Reports'!D1927)),TRIM(MID('R.M Billets Reports'!D1927,SEARCH("-",'R.M Billets Reports'!D1927)+1,200)),"")))="SHRI RADHE","SHREE RADHE",IF(IF(IF(ISNUMBER(SEARCH("Party Name:-",'R.M Billets Reports'!D1926)),TRIM('R.M Billets Reports'!F1926),IF(ISNUMBER(SEARCH("Party Name-",'R.M Billets Reports'!D1926)),TRIM(MID('R.M Billets Reports'!D1926,SEARCH("-",'R.M Billets Reports'!D1926)+1,200)),""))&lt;&gt;"",IF(ISNUMBER(SEARCH("Party Name:-",'R.M Billets Reports'!D1926)),TRIM('R.M Billets Reports'!F1926),IF(ISNUMBER(SEARCH("Party Name-",'R.M Billets Reports'!D1926)),TRIM(MID('R.M Billets Reports'!D1926,SEARCH("-",'R.M Billets Reports'!D1926)+1,200)),"")),IF(ISNUMBER(SEARCH("Party Name:-",'R.M Billets Reports'!D1927)),TRIM('R.M Billets Reports'!F1927),IF(ISNUMBER(SEARCH("Party Name-",'R.M Billets Reports'!D1927)),TRIM(MID('R.M Billets Reports'!D1927,SEARCH("-",'R.M Billets Reports'!D1927)+1,200)),"")))="SHREE RADHE SHAKTI SPONGE AND POWER PVT. LTD.","SHREE RADHE",IF(IF(ISNUMBER(SEARCH("Party Name:-",'R.M Billets Reports'!D1926)),TRIM('R.M Billets Reports'!F1926),IF(ISNUMBER(SEARCH("Party Name-",'R.M Billets Reports'!D1926)),TRIM(MID('R.M Billets Reports'!D1926,SEARCH("-",'R.M Billets Reports'!D1926)+1,200)),""))&lt;&gt;"",IF(ISNUMBER(SEARCH("Party Name:-",'R.M Billets Reports'!D1926)),TRIM('R.M Billets Reports'!F1926),IF(ISNUMBER(SEARCH("Party Name-",'R.M Billets Reports'!D1926)),TRIM(MID('R.M Billets Reports'!D1926,SEARCH("-",'R.M Billets Reports'!D1926)+1,200)),"")),IF(ISNUMBER(SEARCH("Party Name:-",'R.M Billets Reports'!D1927)),TRIM('R.M Billets Reports'!F1927),IF(ISNUMBER(SEARCH("Party Name-",'R.M Billets Reports'!D1927)),TRIM(MID('R.M Billets Reports'!D1927,SEARCH("-",'R.M Billets Reports'!D1927)+1,200)),"")))))),IF(ROW()=2,"",A1926))</f>
      </c>
      <c r="B1927">
        <f>IF(OR('R.M Billets Reports'!A1926="Date-",'R.M Billets Reports'!A1926="Date:-"),'R.M Billets Reports'!B1926,IF(ROW()=2,"",B1926))</f>
      </c>
      <c r="C1927">
        <f>IF('R.M Billets Reports'!A1926="V.No.",'R.M Billets Reports'!B1926,IF(ROW()=2,"",C1926))</f>
      </c>
      <c r="D1927">
        <f>IF('R.M Billets Reports'!A1926&lt;&gt;"",'R.M Billets Reports'!A1926,IF(ROW()=2,"",D1926))</f>
      </c>
      <c r="E1927">
        <f>IF('R.M Billets Reports'!B1926="","",TRIM('R.M Billets Reports'!B1926))</f>
      </c>
      <c r="F1927">
        <f>'R.M Billets Reports'!C1926</f>
      </c>
      <c r="G1927">
        <f>'R.M Billets Reports'!D1926</f>
      </c>
      <c r="H1927">
        <f>'R.M Billets Reports'!E1926</f>
      </c>
      <c r="I1927">
        <f>'R.M Billets Reports'!F1926</f>
      </c>
      <c r="J1927">
        <f>'R.M Billets Reports'!G1926</f>
      </c>
      <c r="K1927">
        <f>'R.M Billets Reports'!H1926</f>
      </c>
      <c r="L1927">
        <f>IF('R.M Billets Reports'!I1926="","",'R.M Billets Reports'!I1926)</f>
      </c>
      <c r="M1927">
        <f t="shared" si="60"/>
      </c>
      <c r="N1927">
        <f>IF('R.M Billets Reports'!J1926="","",'R.M Billets Reports'!J1926)</f>
      </c>
      <c r="O1927">
        <f t="shared" si="61"/>
      </c>
      <c r="P1927">
        <f>IF('R.M Billets Reports'!A1926="SIZE",'R.M Billets Reports'!B1926,P1926)</f>
      </c>
    </row>
    <row r="1928" spans="1:16" x14ac:dyDescent="0.25">
      <c r="A1928">
        <f>IF(OR('R.M Billets Reports'!A1927="Date-",'R.M Billets Reports'!A1927="Date:-"),IF(IF(IF(ISNUMBER(SEARCH("Party Name:-",'R.M Billets Reports'!D1927)),TRIM('R.M Billets Reports'!F1927),IF(ISNUMBER(SEARCH("Party Name-",'R.M Billets Reports'!D1927)),TRIM(MID('R.M Billets Reports'!D1927,SEARCH("-",'R.M Billets Reports'!D1927)+1,200)),""))&lt;&gt;"",IF(ISNUMBER(SEARCH("Party Name:-",'R.M Billets Reports'!D1927)),TRIM('R.M Billets Reports'!F1927),IF(ISNUMBER(SEARCH("Party Name-",'R.M Billets Reports'!D1927)),TRIM(MID('R.M Billets Reports'!D1927,SEARCH("-",'R.M Billets Reports'!D1927)+1,200)),"")),IF(ISNUMBER(SEARCH("Party Name:-",'R.M Billets Reports'!D1928)),TRIM('R.M Billets Reports'!F1928),IF(ISNUMBER(SEARCH("Party Name-",'R.M Billets Reports'!D1928)),TRIM(MID('R.M Billets Reports'!D1928,SEARCH("-",'R.M Billets Reports'!D1928)+1,200)),"")))="VRKP ISPAT PVT LTD","VRKP",IF(IF(IF(ISNUMBER(SEARCH("Party Name:-",'R.M Billets Reports'!D1927)),TRIM('R.M Billets Reports'!F1927),IF(ISNUMBER(SEARCH("Party Name-",'R.M Billets Reports'!D1927)),TRIM(MID('R.M Billets Reports'!D1927,SEARCH("-",'R.M Billets Reports'!D1927)+1,200)),""))&lt;&gt;"",IF(ISNUMBER(SEARCH("Party Name:-",'R.M Billets Reports'!D1927)),TRIM('R.M Billets Reports'!F1927),IF(ISNUMBER(SEARCH("Party Name-",'R.M Billets Reports'!D1927)),TRIM(MID('R.M Billets Reports'!D1927,SEARCH("-",'R.M Billets Reports'!D1927)+1,200)),"")),IF(ISNUMBER(SEARCH("Party Name:-",'R.M Billets Reports'!D1928)),TRIM('R.M Billets Reports'!F1928),IF(ISNUMBER(SEARCH("Party Name-",'R.M Billets Reports'!D1928)),TRIM(MID('R.M Billets Reports'!D1928,SEARCH("-",'R.M Billets Reports'!D1928)+1,200)),"")))="SHRI RADHE","SHREE RADHE",IF(IF(IF(ISNUMBER(SEARCH("Party Name:-",'R.M Billets Reports'!D1927)),TRIM('R.M Billets Reports'!F1927),IF(ISNUMBER(SEARCH("Party Name-",'R.M Billets Reports'!D1927)),TRIM(MID('R.M Billets Reports'!D1927,SEARCH("-",'R.M Billets Reports'!D1927)+1,200)),""))&lt;&gt;"",IF(ISNUMBER(SEARCH("Party Name:-",'R.M Billets Reports'!D1927)),TRIM('R.M Billets Reports'!F1927),IF(ISNUMBER(SEARCH("Party Name-",'R.M Billets Reports'!D1927)),TRIM(MID('R.M Billets Reports'!D1927,SEARCH("-",'R.M Billets Reports'!D1927)+1,200)),"")),IF(ISNUMBER(SEARCH("Party Name:-",'R.M Billets Reports'!D1928)),TRIM('R.M Billets Reports'!F1928),IF(ISNUMBER(SEARCH("Party Name-",'R.M Billets Reports'!D1928)),TRIM(MID('R.M Billets Reports'!D1928,SEARCH("-",'R.M Billets Reports'!D1928)+1,200)),"")))="SHREE RADHE SHAKTI SPONGE AND POWER PVT. LTD.","SHREE RADHE",IF(IF(ISNUMBER(SEARCH("Party Name:-",'R.M Billets Reports'!D1927)),TRIM('R.M Billets Reports'!F1927),IF(ISNUMBER(SEARCH("Party Name-",'R.M Billets Reports'!D1927)),TRIM(MID('R.M Billets Reports'!D1927,SEARCH("-",'R.M Billets Reports'!D1927)+1,200)),""))&lt;&gt;"",IF(ISNUMBER(SEARCH("Party Name:-",'R.M Billets Reports'!D1927)),TRIM('R.M Billets Reports'!F1927),IF(ISNUMBER(SEARCH("Party Name-",'R.M Billets Reports'!D1927)),TRIM(MID('R.M Billets Reports'!D1927,SEARCH("-",'R.M Billets Reports'!D1927)+1,200)),"")),IF(ISNUMBER(SEARCH("Party Name:-",'R.M Billets Reports'!D1928)),TRIM('R.M Billets Reports'!F1928),IF(ISNUMBER(SEARCH("Party Name-",'R.M Billets Reports'!D1928)),TRIM(MID('R.M Billets Reports'!D1928,SEARCH("-",'R.M Billets Reports'!D1928)+1,200)),"")))))),IF(ROW()=2,"",A1927))</f>
      </c>
      <c r="B1928">
        <f>IF(OR('R.M Billets Reports'!A1927="Date-",'R.M Billets Reports'!A1927="Date:-"),'R.M Billets Reports'!B1927,IF(ROW()=2,"",B1927))</f>
      </c>
      <c r="C1928">
        <f>IF('R.M Billets Reports'!A1927="V.No.",'R.M Billets Reports'!B1927,IF(ROW()=2,"",C1927))</f>
      </c>
      <c r="D1928">
        <f>IF('R.M Billets Reports'!A1927&lt;&gt;"",'R.M Billets Reports'!A1927,IF(ROW()=2,"",D1927))</f>
      </c>
      <c r="E1928">
        <f>IF('R.M Billets Reports'!B1927="","",TRIM('R.M Billets Reports'!B1927))</f>
      </c>
      <c r="F1928">
        <f>'R.M Billets Reports'!C1927</f>
      </c>
      <c r="G1928">
        <f>'R.M Billets Reports'!D1927</f>
      </c>
      <c r="H1928">
        <f>'R.M Billets Reports'!E1927</f>
      </c>
      <c r="I1928">
        <f>'R.M Billets Reports'!F1927</f>
      </c>
      <c r="J1928">
        <f>'R.M Billets Reports'!G1927</f>
      </c>
      <c r="K1928">
        <f>'R.M Billets Reports'!H1927</f>
      </c>
      <c r="L1928">
        <f>IF('R.M Billets Reports'!I1927="","",'R.M Billets Reports'!I1927)</f>
      </c>
      <c r="M1928">
        <f t="shared" si="60"/>
      </c>
      <c r="N1928">
        <f>IF('R.M Billets Reports'!J1927="","",'R.M Billets Reports'!J1927)</f>
      </c>
      <c r="O1928">
        <f t="shared" si="61"/>
      </c>
      <c r="P1928">
        <f>IF('R.M Billets Reports'!A1927="SIZE",'R.M Billets Reports'!B1927,P1927)</f>
      </c>
    </row>
    <row r="1929" spans="1:16" x14ac:dyDescent="0.25">
      <c r="A1929">
        <f>IF(OR('R.M Billets Reports'!A1928="Date-",'R.M Billets Reports'!A1928="Date:-"),IF(IF(IF(ISNUMBER(SEARCH("Party Name:-",'R.M Billets Reports'!D1928)),TRIM('R.M Billets Reports'!F1928),IF(ISNUMBER(SEARCH("Party Name-",'R.M Billets Reports'!D1928)),TRIM(MID('R.M Billets Reports'!D1928,SEARCH("-",'R.M Billets Reports'!D1928)+1,200)),""))&lt;&gt;"",IF(ISNUMBER(SEARCH("Party Name:-",'R.M Billets Reports'!D1928)),TRIM('R.M Billets Reports'!F1928),IF(ISNUMBER(SEARCH("Party Name-",'R.M Billets Reports'!D1928)),TRIM(MID('R.M Billets Reports'!D1928,SEARCH("-",'R.M Billets Reports'!D1928)+1,200)),"")),IF(ISNUMBER(SEARCH("Party Name:-",'R.M Billets Reports'!D1929)),TRIM('R.M Billets Reports'!F1929),IF(ISNUMBER(SEARCH("Party Name-",'R.M Billets Reports'!D1929)),TRIM(MID('R.M Billets Reports'!D1929,SEARCH("-",'R.M Billets Reports'!D1929)+1,200)),"")))="VRKP ISPAT PVT LTD","VRKP",IF(IF(IF(ISNUMBER(SEARCH("Party Name:-",'R.M Billets Reports'!D1928)),TRIM('R.M Billets Reports'!F1928),IF(ISNUMBER(SEARCH("Party Name-",'R.M Billets Reports'!D1928)),TRIM(MID('R.M Billets Reports'!D1928,SEARCH("-",'R.M Billets Reports'!D1928)+1,200)),""))&lt;&gt;"",IF(ISNUMBER(SEARCH("Party Name:-",'R.M Billets Reports'!D1928)),TRIM('R.M Billets Reports'!F1928),IF(ISNUMBER(SEARCH("Party Name-",'R.M Billets Reports'!D1928)),TRIM(MID('R.M Billets Reports'!D1928,SEARCH("-",'R.M Billets Reports'!D1928)+1,200)),"")),IF(ISNUMBER(SEARCH("Party Name:-",'R.M Billets Reports'!D1929)),TRIM('R.M Billets Reports'!F1929),IF(ISNUMBER(SEARCH("Party Name-",'R.M Billets Reports'!D1929)),TRIM(MID('R.M Billets Reports'!D1929,SEARCH("-",'R.M Billets Reports'!D1929)+1,200)),"")))="SHRI RADHE","SHREE RADHE",IF(IF(IF(ISNUMBER(SEARCH("Party Name:-",'R.M Billets Reports'!D1928)),TRIM('R.M Billets Reports'!F1928),IF(ISNUMBER(SEARCH("Party Name-",'R.M Billets Reports'!D1928)),TRIM(MID('R.M Billets Reports'!D1928,SEARCH("-",'R.M Billets Reports'!D1928)+1,200)),""))&lt;&gt;"",IF(ISNUMBER(SEARCH("Party Name:-",'R.M Billets Reports'!D1928)),TRIM('R.M Billets Reports'!F1928),IF(ISNUMBER(SEARCH("Party Name-",'R.M Billets Reports'!D1928)),TRIM(MID('R.M Billets Reports'!D1928,SEARCH("-",'R.M Billets Reports'!D1928)+1,200)),"")),IF(ISNUMBER(SEARCH("Party Name:-",'R.M Billets Reports'!D1929)),TRIM('R.M Billets Reports'!F1929),IF(ISNUMBER(SEARCH("Party Name-",'R.M Billets Reports'!D1929)),TRIM(MID('R.M Billets Reports'!D1929,SEARCH("-",'R.M Billets Reports'!D1929)+1,200)),"")))="SHREE RADHE SHAKTI SPONGE AND POWER PVT. LTD.","SHREE RADHE",IF(IF(ISNUMBER(SEARCH("Party Name:-",'R.M Billets Reports'!D1928)),TRIM('R.M Billets Reports'!F1928),IF(ISNUMBER(SEARCH("Party Name-",'R.M Billets Reports'!D1928)),TRIM(MID('R.M Billets Reports'!D1928,SEARCH("-",'R.M Billets Reports'!D1928)+1,200)),""))&lt;&gt;"",IF(ISNUMBER(SEARCH("Party Name:-",'R.M Billets Reports'!D1928)),TRIM('R.M Billets Reports'!F1928),IF(ISNUMBER(SEARCH("Party Name-",'R.M Billets Reports'!D1928)),TRIM(MID('R.M Billets Reports'!D1928,SEARCH("-",'R.M Billets Reports'!D1928)+1,200)),"")),IF(ISNUMBER(SEARCH("Party Name:-",'R.M Billets Reports'!D1929)),TRIM('R.M Billets Reports'!F1929),IF(ISNUMBER(SEARCH("Party Name-",'R.M Billets Reports'!D1929)),TRIM(MID('R.M Billets Reports'!D1929,SEARCH("-",'R.M Billets Reports'!D1929)+1,200)),"")))))),IF(ROW()=2,"",A1928))</f>
      </c>
      <c r="B1929">
        <f>IF(OR('R.M Billets Reports'!A1928="Date-",'R.M Billets Reports'!A1928="Date:-"),'R.M Billets Reports'!B1928,IF(ROW()=2,"",B1928))</f>
      </c>
      <c r="C1929">
        <f>IF('R.M Billets Reports'!A1928="V.No.",'R.M Billets Reports'!B1928,IF(ROW()=2,"",C1928))</f>
      </c>
      <c r="D1929">
        <f>IF('R.M Billets Reports'!A1928&lt;&gt;"",'R.M Billets Reports'!A1928,IF(ROW()=2,"",D1928))</f>
      </c>
      <c r="E1929">
        <f>IF('R.M Billets Reports'!B1928="","",TRIM('R.M Billets Reports'!B1928))</f>
      </c>
      <c r="F1929">
        <f>'R.M Billets Reports'!C1928</f>
      </c>
      <c r="G1929">
        <f>'R.M Billets Reports'!D1928</f>
      </c>
      <c r="H1929">
        <f>'R.M Billets Reports'!E1928</f>
      </c>
      <c r="I1929">
        <f>'R.M Billets Reports'!F1928</f>
      </c>
      <c r="J1929">
        <f>'R.M Billets Reports'!G1928</f>
      </c>
      <c r="K1929">
        <f>'R.M Billets Reports'!H1928</f>
      </c>
      <c r="L1929">
        <f>IF('R.M Billets Reports'!I1928="","",'R.M Billets Reports'!I1928)</f>
      </c>
      <c r="M1929">
        <f t="shared" si="60"/>
      </c>
      <c r="N1929">
        <f>IF('R.M Billets Reports'!J1928="","",'R.M Billets Reports'!J1928)</f>
      </c>
      <c r="O1929">
        <f t="shared" si="61"/>
      </c>
      <c r="P1929">
        <f>IF('R.M Billets Reports'!A1928="SIZE",'R.M Billets Reports'!B1928,P1928)</f>
      </c>
    </row>
    <row r="1930" spans="1:16" x14ac:dyDescent="0.25">
      <c r="A1930">
        <f>IF(OR('R.M Billets Reports'!A1929="Date-",'R.M Billets Reports'!A1929="Date:-"),IF(IF(IF(ISNUMBER(SEARCH("Party Name:-",'R.M Billets Reports'!D1929)),TRIM('R.M Billets Reports'!F1929),IF(ISNUMBER(SEARCH("Party Name-",'R.M Billets Reports'!D1929)),TRIM(MID('R.M Billets Reports'!D1929,SEARCH("-",'R.M Billets Reports'!D1929)+1,200)),""))&lt;&gt;"",IF(ISNUMBER(SEARCH("Party Name:-",'R.M Billets Reports'!D1929)),TRIM('R.M Billets Reports'!F1929),IF(ISNUMBER(SEARCH("Party Name-",'R.M Billets Reports'!D1929)),TRIM(MID('R.M Billets Reports'!D1929,SEARCH("-",'R.M Billets Reports'!D1929)+1,200)),"")),IF(ISNUMBER(SEARCH("Party Name:-",'R.M Billets Reports'!D1930)),TRIM('R.M Billets Reports'!F1930),IF(ISNUMBER(SEARCH("Party Name-",'R.M Billets Reports'!D1930)),TRIM(MID('R.M Billets Reports'!D1930,SEARCH("-",'R.M Billets Reports'!D1930)+1,200)),"")))="VRKP ISPAT PVT LTD","VRKP",IF(IF(IF(ISNUMBER(SEARCH("Party Name:-",'R.M Billets Reports'!D1929)),TRIM('R.M Billets Reports'!F1929),IF(ISNUMBER(SEARCH("Party Name-",'R.M Billets Reports'!D1929)),TRIM(MID('R.M Billets Reports'!D1929,SEARCH("-",'R.M Billets Reports'!D1929)+1,200)),""))&lt;&gt;"",IF(ISNUMBER(SEARCH("Party Name:-",'R.M Billets Reports'!D1929)),TRIM('R.M Billets Reports'!F1929),IF(ISNUMBER(SEARCH("Party Name-",'R.M Billets Reports'!D1929)),TRIM(MID('R.M Billets Reports'!D1929,SEARCH("-",'R.M Billets Reports'!D1929)+1,200)),"")),IF(ISNUMBER(SEARCH("Party Name:-",'R.M Billets Reports'!D1930)),TRIM('R.M Billets Reports'!F1930),IF(ISNUMBER(SEARCH("Party Name-",'R.M Billets Reports'!D1930)),TRIM(MID('R.M Billets Reports'!D1930,SEARCH("-",'R.M Billets Reports'!D1930)+1,200)),"")))="SHRI RADHE","SHREE RADHE",IF(IF(IF(ISNUMBER(SEARCH("Party Name:-",'R.M Billets Reports'!D1929)),TRIM('R.M Billets Reports'!F1929),IF(ISNUMBER(SEARCH("Party Name-",'R.M Billets Reports'!D1929)),TRIM(MID('R.M Billets Reports'!D1929,SEARCH("-",'R.M Billets Reports'!D1929)+1,200)),""))&lt;&gt;"",IF(ISNUMBER(SEARCH("Party Name:-",'R.M Billets Reports'!D1929)),TRIM('R.M Billets Reports'!F1929),IF(ISNUMBER(SEARCH("Party Name-",'R.M Billets Reports'!D1929)),TRIM(MID('R.M Billets Reports'!D1929,SEARCH("-",'R.M Billets Reports'!D1929)+1,200)),"")),IF(ISNUMBER(SEARCH("Party Name:-",'R.M Billets Reports'!D1930)),TRIM('R.M Billets Reports'!F1930),IF(ISNUMBER(SEARCH("Party Name-",'R.M Billets Reports'!D1930)),TRIM(MID('R.M Billets Reports'!D1930,SEARCH("-",'R.M Billets Reports'!D1930)+1,200)),"")))="SHREE RADHE SHAKTI SPONGE AND POWER PVT. LTD.","SHREE RADHE",IF(IF(ISNUMBER(SEARCH("Party Name:-",'R.M Billets Reports'!D1929)),TRIM('R.M Billets Reports'!F1929),IF(ISNUMBER(SEARCH("Party Name-",'R.M Billets Reports'!D1929)),TRIM(MID('R.M Billets Reports'!D1929,SEARCH("-",'R.M Billets Reports'!D1929)+1,200)),""))&lt;&gt;"",IF(ISNUMBER(SEARCH("Party Name:-",'R.M Billets Reports'!D1929)),TRIM('R.M Billets Reports'!F1929),IF(ISNUMBER(SEARCH("Party Name-",'R.M Billets Reports'!D1929)),TRIM(MID('R.M Billets Reports'!D1929,SEARCH("-",'R.M Billets Reports'!D1929)+1,200)),"")),IF(ISNUMBER(SEARCH("Party Name:-",'R.M Billets Reports'!D1930)),TRIM('R.M Billets Reports'!F1930),IF(ISNUMBER(SEARCH("Party Name-",'R.M Billets Reports'!D1930)),TRIM(MID('R.M Billets Reports'!D1930,SEARCH("-",'R.M Billets Reports'!D1930)+1,200)),"")))))),IF(ROW()=2,"",A1929))</f>
      </c>
      <c r="B1930">
        <f>IF(OR('R.M Billets Reports'!A1929="Date-",'R.M Billets Reports'!A1929="Date:-"),'R.M Billets Reports'!B1929,IF(ROW()=2,"",B1929))</f>
      </c>
      <c r="C1930">
        <f>IF('R.M Billets Reports'!A1929="V.No.",'R.M Billets Reports'!B1929,IF(ROW()=2,"",C1929))</f>
      </c>
      <c r="D1930">
        <f>IF('R.M Billets Reports'!A1929&lt;&gt;"",'R.M Billets Reports'!A1929,IF(ROW()=2,"",D1929))</f>
      </c>
      <c r="E1930">
        <f>IF('R.M Billets Reports'!B1929="","",TRIM('R.M Billets Reports'!B1929))</f>
      </c>
      <c r="F1930">
        <f>'R.M Billets Reports'!C1929</f>
      </c>
      <c r="G1930">
        <f>'R.M Billets Reports'!D1929</f>
      </c>
      <c r="H1930">
        <f>'R.M Billets Reports'!E1929</f>
      </c>
      <c r="I1930">
        <f>'R.M Billets Reports'!F1929</f>
      </c>
      <c r="J1930">
        <f>'R.M Billets Reports'!G1929</f>
      </c>
      <c r="K1930">
        <f>'R.M Billets Reports'!H1929</f>
      </c>
      <c r="L1930">
        <f>IF('R.M Billets Reports'!I1929="","",'R.M Billets Reports'!I1929)</f>
      </c>
      <c r="M1930">
        <f t="shared" si="60"/>
      </c>
      <c r="N1930">
        <f>IF('R.M Billets Reports'!J1929="","",'R.M Billets Reports'!J1929)</f>
      </c>
      <c r="O1930">
        <f t="shared" si="61"/>
      </c>
      <c r="P1930">
        <f>IF('R.M Billets Reports'!A1929="SIZE",'R.M Billets Reports'!B1929,P1929)</f>
      </c>
    </row>
    <row r="1931" spans="1:16" x14ac:dyDescent="0.25">
      <c r="A1931">
        <f>IF(OR('R.M Billets Reports'!A1930="Date-",'R.M Billets Reports'!A1930="Date:-"),IF(IF(IF(ISNUMBER(SEARCH("Party Name:-",'R.M Billets Reports'!D1930)),TRIM('R.M Billets Reports'!F1930),IF(ISNUMBER(SEARCH("Party Name-",'R.M Billets Reports'!D1930)),TRIM(MID('R.M Billets Reports'!D1930,SEARCH("-",'R.M Billets Reports'!D1930)+1,200)),""))&lt;&gt;"",IF(ISNUMBER(SEARCH("Party Name:-",'R.M Billets Reports'!D1930)),TRIM('R.M Billets Reports'!F1930),IF(ISNUMBER(SEARCH("Party Name-",'R.M Billets Reports'!D1930)),TRIM(MID('R.M Billets Reports'!D1930,SEARCH("-",'R.M Billets Reports'!D1930)+1,200)),"")),IF(ISNUMBER(SEARCH("Party Name:-",'R.M Billets Reports'!D1931)),TRIM('R.M Billets Reports'!F1931),IF(ISNUMBER(SEARCH("Party Name-",'R.M Billets Reports'!D1931)),TRIM(MID('R.M Billets Reports'!D1931,SEARCH("-",'R.M Billets Reports'!D1931)+1,200)),"")))="VRKP ISPAT PVT LTD","VRKP",IF(IF(IF(ISNUMBER(SEARCH("Party Name:-",'R.M Billets Reports'!D1930)),TRIM('R.M Billets Reports'!F1930),IF(ISNUMBER(SEARCH("Party Name-",'R.M Billets Reports'!D1930)),TRIM(MID('R.M Billets Reports'!D1930,SEARCH("-",'R.M Billets Reports'!D1930)+1,200)),""))&lt;&gt;"",IF(ISNUMBER(SEARCH("Party Name:-",'R.M Billets Reports'!D1930)),TRIM('R.M Billets Reports'!F1930),IF(ISNUMBER(SEARCH("Party Name-",'R.M Billets Reports'!D1930)),TRIM(MID('R.M Billets Reports'!D1930,SEARCH("-",'R.M Billets Reports'!D1930)+1,200)),"")),IF(ISNUMBER(SEARCH("Party Name:-",'R.M Billets Reports'!D1931)),TRIM('R.M Billets Reports'!F1931),IF(ISNUMBER(SEARCH("Party Name-",'R.M Billets Reports'!D1931)),TRIM(MID('R.M Billets Reports'!D1931,SEARCH("-",'R.M Billets Reports'!D1931)+1,200)),"")))="SHRI RADHE","SHREE RADHE",IF(IF(IF(ISNUMBER(SEARCH("Party Name:-",'R.M Billets Reports'!D1930)),TRIM('R.M Billets Reports'!F1930),IF(ISNUMBER(SEARCH("Party Name-",'R.M Billets Reports'!D1930)),TRIM(MID('R.M Billets Reports'!D1930,SEARCH("-",'R.M Billets Reports'!D1930)+1,200)),""))&lt;&gt;"",IF(ISNUMBER(SEARCH("Party Name:-",'R.M Billets Reports'!D1930)),TRIM('R.M Billets Reports'!F1930),IF(ISNUMBER(SEARCH("Party Name-",'R.M Billets Reports'!D1930)),TRIM(MID('R.M Billets Reports'!D1930,SEARCH("-",'R.M Billets Reports'!D1930)+1,200)),"")),IF(ISNUMBER(SEARCH("Party Name:-",'R.M Billets Reports'!D1931)),TRIM('R.M Billets Reports'!F1931),IF(ISNUMBER(SEARCH("Party Name-",'R.M Billets Reports'!D1931)),TRIM(MID('R.M Billets Reports'!D1931,SEARCH("-",'R.M Billets Reports'!D1931)+1,200)),"")))="SHREE RADHE SHAKTI SPONGE AND POWER PVT. LTD.","SHREE RADHE",IF(IF(ISNUMBER(SEARCH("Party Name:-",'R.M Billets Reports'!D1930)),TRIM('R.M Billets Reports'!F1930),IF(ISNUMBER(SEARCH("Party Name-",'R.M Billets Reports'!D1930)),TRIM(MID('R.M Billets Reports'!D1930,SEARCH("-",'R.M Billets Reports'!D1930)+1,200)),""))&lt;&gt;"",IF(ISNUMBER(SEARCH("Party Name:-",'R.M Billets Reports'!D1930)),TRIM('R.M Billets Reports'!F1930),IF(ISNUMBER(SEARCH("Party Name-",'R.M Billets Reports'!D1930)),TRIM(MID('R.M Billets Reports'!D1930,SEARCH("-",'R.M Billets Reports'!D1930)+1,200)),"")),IF(ISNUMBER(SEARCH("Party Name:-",'R.M Billets Reports'!D1931)),TRIM('R.M Billets Reports'!F1931),IF(ISNUMBER(SEARCH("Party Name-",'R.M Billets Reports'!D1931)),TRIM(MID('R.M Billets Reports'!D1931,SEARCH("-",'R.M Billets Reports'!D1931)+1,200)),"")))))),IF(ROW()=2,"",A1930))</f>
      </c>
      <c r="B1931">
        <f>IF(OR('R.M Billets Reports'!A1930="Date-",'R.M Billets Reports'!A1930="Date:-"),'R.M Billets Reports'!B1930,IF(ROW()=2,"",B1930))</f>
      </c>
      <c r="C1931">
        <f>IF('R.M Billets Reports'!A1930="V.No.",'R.M Billets Reports'!B1930,IF(ROW()=2,"",C1930))</f>
      </c>
      <c r="D1931">
        <f>IF('R.M Billets Reports'!A1930&lt;&gt;"",'R.M Billets Reports'!A1930,IF(ROW()=2,"",D1930))</f>
      </c>
      <c r="E1931">
        <f>IF('R.M Billets Reports'!B1930="","",TRIM('R.M Billets Reports'!B1930))</f>
      </c>
      <c r="F1931">
        <f>'R.M Billets Reports'!C1930</f>
      </c>
      <c r="G1931">
        <f>'R.M Billets Reports'!D1930</f>
      </c>
      <c r="H1931">
        <f>'R.M Billets Reports'!E1930</f>
      </c>
      <c r="I1931">
        <f>'R.M Billets Reports'!F1930</f>
      </c>
      <c r="J1931">
        <f>'R.M Billets Reports'!G1930</f>
      </c>
      <c r="K1931">
        <f>'R.M Billets Reports'!H1930</f>
      </c>
      <c r="L1931">
        <f>IF('R.M Billets Reports'!I1930="","",'R.M Billets Reports'!I1930)</f>
      </c>
      <c r="M1931">
        <f t="shared" si="60"/>
      </c>
      <c r="N1931">
        <f>IF('R.M Billets Reports'!J1930="","",'R.M Billets Reports'!J1930)</f>
      </c>
      <c r="O1931">
        <f t="shared" si="61"/>
      </c>
      <c r="P1931">
        <f>IF('R.M Billets Reports'!A1930="SIZE",'R.M Billets Reports'!B1930,P1930)</f>
      </c>
    </row>
    <row r="1932" spans="1:16" x14ac:dyDescent="0.25">
      <c r="A1932">
        <f>IF(OR('R.M Billets Reports'!A1931="Date-",'R.M Billets Reports'!A1931="Date:-"),IF(IF(IF(ISNUMBER(SEARCH("Party Name:-",'R.M Billets Reports'!D1931)),TRIM('R.M Billets Reports'!F1931),IF(ISNUMBER(SEARCH("Party Name-",'R.M Billets Reports'!D1931)),TRIM(MID('R.M Billets Reports'!D1931,SEARCH("-",'R.M Billets Reports'!D1931)+1,200)),""))&lt;&gt;"",IF(ISNUMBER(SEARCH("Party Name:-",'R.M Billets Reports'!D1931)),TRIM('R.M Billets Reports'!F1931),IF(ISNUMBER(SEARCH("Party Name-",'R.M Billets Reports'!D1931)),TRIM(MID('R.M Billets Reports'!D1931,SEARCH("-",'R.M Billets Reports'!D1931)+1,200)),"")),IF(ISNUMBER(SEARCH("Party Name:-",'R.M Billets Reports'!D1932)),TRIM('R.M Billets Reports'!F1932),IF(ISNUMBER(SEARCH("Party Name-",'R.M Billets Reports'!D1932)),TRIM(MID('R.M Billets Reports'!D1932,SEARCH("-",'R.M Billets Reports'!D1932)+1,200)),"")))="VRKP ISPAT PVT LTD","VRKP",IF(IF(IF(ISNUMBER(SEARCH("Party Name:-",'R.M Billets Reports'!D1931)),TRIM('R.M Billets Reports'!F1931),IF(ISNUMBER(SEARCH("Party Name-",'R.M Billets Reports'!D1931)),TRIM(MID('R.M Billets Reports'!D1931,SEARCH("-",'R.M Billets Reports'!D1931)+1,200)),""))&lt;&gt;"",IF(ISNUMBER(SEARCH("Party Name:-",'R.M Billets Reports'!D1931)),TRIM('R.M Billets Reports'!F1931),IF(ISNUMBER(SEARCH("Party Name-",'R.M Billets Reports'!D1931)),TRIM(MID('R.M Billets Reports'!D1931,SEARCH("-",'R.M Billets Reports'!D1931)+1,200)),"")),IF(ISNUMBER(SEARCH("Party Name:-",'R.M Billets Reports'!D1932)),TRIM('R.M Billets Reports'!F1932),IF(ISNUMBER(SEARCH("Party Name-",'R.M Billets Reports'!D1932)),TRIM(MID('R.M Billets Reports'!D1932,SEARCH("-",'R.M Billets Reports'!D1932)+1,200)),"")))="SHRI RADHE","SHREE RADHE",IF(IF(IF(ISNUMBER(SEARCH("Party Name:-",'R.M Billets Reports'!D1931)),TRIM('R.M Billets Reports'!F1931),IF(ISNUMBER(SEARCH("Party Name-",'R.M Billets Reports'!D1931)),TRIM(MID('R.M Billets Reports'!D1931,SEARCH("-",'R.M Billets Reports'!D1931)+1,200)),""))&lt;&gt;"",IF(ISNUMBER(SEARCH("Party Name:-",'R.M Billets Reports'!D1931)),TRIM('R.M Billets Reports'!F1931),IF(ISNUMBER(SEARCH("Party Name-",'R.M Billets Reports'!D1931)),TRIM(MID('R.M Billets Reports'!D1931,SEARCH("-",'R.M Billets Reports'!D1931)+1,200)),"")),IF(ISNUMBER(SEARCH("Party Name:-",'R.M Billets Reports'!D1932)),TRIM('R.M Billets Reports'!F1932),IF(ISNUMBER(SEARCH("Party Name-",'R.M Billets Reports'!D1932)),TRIM(MID('R.M Billets Reports'!D1932,SEARCH("-",'R.M Billets Reports'!D1932)+1,200)),"")))="SHREE RADHE SHAKTI SPONGE AND POWER PVT. LTD.","SHREE RADHE",IF(IF(ISNUMBER(SEARCH("Party Name:-",'R.M Billets Reports'!D1931)),TRIM('R.M Billets Reports'!F1931),IF(ISNUMBER(SEARCH("Party Name-",'R.M Billets Reports'!D1931)),TRIM(MID('R.M Billets Reports'!D1931,SEARCH("-",'R.M Billets Reports'!D1931)+1,200)),""))&lt;&gt;"",IF(ISNUMBER(SEARCH("Party Name:-",'R.M Billets Reports'!D1931)),TRIM('R.M Billets Reports'!F1931),IF(ISNUMBER(SEARCH("Party Name-",'R.M Billets Reports'!D1931)),TRIM(MID('R.M Billets Reports'!D1931,SEARCH("-",'R.M Billets Reports'!D1931)+1,200)),"")),IF(ISNUMBER(SEARCH("Party Name:-",'R.M Billets Reports'!D1932)),TRIM('R.M Billets Reports'!F1932),IF(ISNUMBER(SEARCH("Party Name-",'R.M Billets Reports'!D1932)),TRIM(MID('R.M Billets Reports'!D1932,SEARCH("-",'R.M Billets Reports'!D1932)+1,200)),"")))))),IF(ROW()=2,"",A1931))</f>
      </c>
      <c r="B1932">
        <f>IF(OR('R.M Billets Reports'!A1931="Date-",'R.M Billets Reports'!A1931="Date:-"),'R.M Billets Reports'!B1931,IF(ROW()=2,"",B1931))</f>
      </c>
      <c r="C1932">
        <f>IF('R.M Billets Reports'!A1931="V.No.",'R.M Billets Reports'!B1931,IF(ROW()=2,"",C1931))</f>
      </c>
      <c r="D1932">
        <f>IF('R.M Billets Reports'!A1931&lt;&gt;"",'R.M Billets Reports'!A1931,IF(ROW()=2,"",D1931))</f>
      </c>
      <c r="E1932">
        <f>IF('R.M Billets Reports'!B1931="","",TRIM('R.M Billets Reports'!B1931))</f>
      </c>
      <c r="F1932">
        <f>'R.M Billets Reports'!C1931</f>
      </c>
      <c r="G1932">
        <f>'R.M Billets Reports'!D1931</f>
      </c>
      <c r="H1932">
        <f>'R.M Billets Reports'!E1931</f>
      </c>
      <c r="I1932">
        <f>'R.M Billets Reports'!F1931</f>
      </c>
      <c r="J1932">
        <f>'R.M Billets Reports'!G1931</f>
      </c>
      <c r="K1932">
        <f>'R.M Billets Reports'!H1931</f>
      </c>
      <c r="L1932">
        <f>IF('R.M Billets Reports'!I1931="","",'R.M Billets Reports'!I1931)</f>
      </c>
      <c r="M1932">
        <f t="shared" si="60"/>
      </c>
      <c r="N1932">
        <f>IF('R.M Billets Reports'!J1931="","",'R.M Billets Reports'!J1931)</f>
      </c>
      <c r="O1932">
        <f t="shared" si="61"/>
      </c>
      <c r="P1932">
        <f>IF('R.M Billets Reports'!A1931="SIZE",'R.M Billets Reports'!B1931,P1931)</f>
      </c>
    </row>
    <row r="1933" spans="1:16" x14ac:dyDescent="0.25">
      <c r="A1933">
        <f>IF(OR('R.M Billets Reports'!A1932="Date-",'R.M Billets Reports'!A1932="Date:-"),IF(IF(IF(ISNUMBER(SEARCH("Party Name:-",'R.M Billets Reports'!D1932)),TRIM('R.M Billets Reports'!F1932),IF(ISNUMBER(SEARCH("Party Name-",'R.M Billets Reports'!D1932)),TRIM(MID('R.M Billets Reports'!D1932,SEARCH("-",'R.M Billets Reports'!D1932)+1,200)),""))&lt;&gt;"",IF(ISNUMBER(SEARCH("Party Name:-",'R.M Billets Reports'!D1932)),TRIM('R.M Billets Reports'!F1932),IF(ISNUMBER(SEARCH("Party Name-",'R.M Billets Reports'!D1932)),TRIM(MID('R.M Billets Reports'!D1932,SEARCH("-",'R.M Billets Reports'!D1932)+1,200)),"")),IF(ISNUMBER(SEARCH("Party Name:-",'R.M Billets Reports'!D1933)),TRIM('R.M Billets Reports'!F1933),IF(ISNUMBER(SEARCH("Party Name-",'R.M Billets Reports'!D1933)),TRIM(MID('R.M Billets Reports'!D1933,SEARCH("-",'R.M Billets Reports'!D1933)+1,200)),"")))="VRKP ISPAT PVT LTD","VRKP",IF(IF(IF(ISNUMBER(SEARCH("Party Name:-",'R.M Billets Reports'!D1932)),TRIM('R.M Billets Reports'!F1932),IF(ISNUMBER(SEARCH("Party Name-",'R.M Billets Reports'!D1932)),TRIM(MID('R.M Billets Reports'!D1932,SEARCH("-",'R.M Billets Reports'!D1932)+1,200)),""))&lt;&gt;"",IF(ISNUMBER(SEARCH("Party Name:-",'R.M Billets Reports'!D1932)),TRIM('R.M Billets Reports'!F1932),IF(ISNUMBER(SEARCH("Party Name-",'R.M Billets Reports'!D1932)),TRIM(MID('R.M Billets Reports'!D1932,SEARCH("-",'R.M Billets Reports'!D1932)+1,200)),"")),IF(ISNUMBER(SEARCH("Party Name:-",'R.M Billets Reports'!D1933)),TRIM('R.M Billets Reports'!F1933),IF(ISNUMBER(SEARCH("Party Name-",'R.M Billets Reports'!D1933)),TRIM(MID('R.M Billets Reports'!D1933,SEARCH("-",'R.M Billets Reports'!D1933)+1,200)),"")))="SHRI RADHE","SHREE RADHE",IF(IF(IF(ISNUMBER(SEARCH("Party Name:-",'R.M Billets Reports'!D1932)),TRIM('R.M Billets Reports'!F1932),IF(ISNUMBER(SEARCH("Party Name-",'R.M Billets Reports'!D1932)),TRIM(MID('R.M Billets Reports'!D1932,SEARCH("-",'R.M Billets Reports'!D1932)+1,200)),""))&lt;&gt;"",IF(ISNUMBER(SEARCH("Party Name:-",'R.M Billets Reports'!D1932)),TRIM('R.M Billets Reports'!F1932),IF(ISNUMBER(SEARCH("Party Name-",'R.M Billets Reports'!D1932)),TRIM(MID('R.M Billets Reports'!D1932,SEARCH("-",'R.M Billets Reports'!D1932)+1,200)),"")),IF(ISNUMBER(SEARCH("Party Name:-",'R.M Billets Reports'!D1933)),TRIM('R.M Billets Reports'!F1933),IF(ISNUMBER(SEARCH("Party Name-",'R.M Billets Reports'!D1933)),TRIM(MID('R.M Billets Reports'!D1933,SEARCH("-",'R.M Billets Reports'!D1933)+1,200)),"")))="SHREE RADHE SHAKTI SPONGE AND POWER PVT. LTD.","SHREE RADHE",IF(IF(ISNUMBER(SEARCH("Party Name:-",'R.M Billets Reports'!D1932)),TRIM('R.M Billets Reports'!F1932),IF(ISNUMBER(SEARCH("Party Name-",'R.M Billets Reports'!D1932)),TRIM(MID('R.M Billets Reports'!D1932,SEARCH("-",'R.M Billets Reports'!D1932)+1,200)),""))&lt;&gt;"",IF(ISNUMBER(SEARCH("Party Name:-",'R.M Billets Reports'!D1932)),TRIM('R.M Billets Reports'!F1932),IF(ISNUMBER(SEARCH("Party Name-",'R.M Billets Reports'!D1932)),TRIM(MID('R.M Billets Reports'!D1932,SEARCH("-",'R.M Billets Reports'!D1932)+1,200)),"")),IF(ISNUMBER(SEARCH("Party Name:-",'R.M Billets Reports'!D1933)),TRIM('R.M Billets Reports'!F1933),IF(ISNUMBER(SEARCH("Party Name-",'R.M Billets Reports'!D1933)),TRIM(MID('R.M Billets Reports'!D1933,SEARCH("-",'R.M Billets Reports'!D1933)+1,200)),"")))))),IF(ROW()=2,"",A1932))</f>
      </c>
      <c r="B1933">
        <f>IF(OR('R.M Billets Reports'!A1932="Date-",'R.M Billets Reports'!A1932="Date:-"),'R.M Billets Reports'!B1932,IF(ROW()=2,"",B1932))</f>
      </c>
      <c r="C1933">
        <f>IF('R.M Billets Reports'!A1932="V.No.",'R.M Billets Reports'!B1932,IF(ROW()=2,"",C1932))</f>
      </c>
      <c r="D1933">
        <f>IF('R.M Billets Reports'!A1932&lt;&gt;"",'R.M Billets Reports'!A1932,IF(ROW()=2,"",D1932))</f>
      </c>
      <c r="E1933">
        <f>IF('R.M Billets Reports'!B1932="","",TRIM('R.M Billets Reports'!B1932))</f>
      </c>
      <c r="F1933">
        <f>'R.M Billets Reports'!C1932</f>
      </c>
      <c r="G1933">
        <f>'R.M Billets Reports'!D1932</f>
      </c>
      <c r="H1933">
        <f>'R.M Billets Reports'!E1932</f>
      </c>
      <c r="I1933">
        <f>'R.M Billets Reports'!F1932</f>
      </c>
      <c r="J1933">
        <f>'R.M Billets Reports'!G1932</f>
      </c>
      <c r="K1933">
        <f>'R.M Billets Reports'!H1932</f>
      </c>
      <c r="L1933">
        <f>IF('R.M Billets Reports'!I1932="","",'R.M Billets Reports'!I1932)</f>
      </c>
      <c r="M1933">
        <f t="shared" si="60"/>
      </c>
      <c r="N1933">
        <f>IF('R.M Billets Reports'!J1932="","",'R.M Billets Reports'!J1932)</f>
      </c>
      <c r="O1933">
        <f t="shared" si="61"/>
      </c>
      <c r="P1933">
        <f>IF('R.M Billets Reports'!A1932="SIZE",'R.M Billets Reports'!B1932,P1932)</f>
      </c>
    </row>
    <row r="1934" spans="1:16" x14ac:dyDescent="0.25">
      <c r="A1934">
        <f>IF(OR('R.M Billets Reports'!A1933="Date-",'R.M Billets Reports'!A1933="Date:-"),IF(IF(IF(ISNUMBER(SEARCH("Party Name:-",'R.M Billets Reports'!D1933)),TRIM('R.M Billets Reports'!F1933),IF(ISNUMBER(SEARCH("Party Name-",'R.M Billets Reports'!D1933)),TRIM(MID('R.M Billets Reports'!D1933,SEARCH("-",'R.M Billets Reports'!D1933)+1,200)),""))&lt;&gt;"",IF(ISNUMBER(SEARCH("Party Name:-",'R.M Billets Reports'!D1933)),TRIM('R.M Billets Reports'!F1933),IF(ISNUMBER(SEARCH("Party Name-",'R.M Billets Reports'!D1933)),TRIM(MID('R.M Billets Reports'!D1933,SEARCH("-",'R.M Billets Reports'!D1933)+1,200)),"")),IF(ISNUMBER(SEARCH("Party Name:-",'R.M Billets Reports'!D1934)),TRIM('R.M Billets Reports'!F1934),IF(ISNUMBER(SEARCH("Party Name-",'R.M Billets Reports'!D1934)),TRIM(MID('R.M Billets Reports'!D1934,SEARCH("-",'R.M Billets Reports'!D1934)+1,200)),"")))="VRKP ISPAT PVT LTD","VRKP",IF(IF(IF(ISNUMBER(SEARCH("Party Name:-",'R.M Billets Reports'!D1933)),TRIM('R.M Billets Reports'!F1933),IF(ISNUMBER(SEARCH("Party Name-",'R.M Billets Reports'!D1933)),TRIM(MID('R.M Billets Reports'!D1933,SEARCH("-",'R.M Billets Reports'!D1933)+1,200)),""))&lt;&gt;"",IF(ISNUMBER(SEARCH("Party Name:-",'R.M Billets Reports'!D1933)),TRIM('R.M Billets Reports'!F1933),IF(ISNUMBER(SEARCH("Party Name-",'R.M Billets Reports'!D1933)),TRIM(MID('R.M Billets Reports'!D1933,SEARCH("-",'R.M Billets Reports'!D1933)+1,200)),"")),IF(ISNUMBER(SEARCH("Party Name:-",'R.M Billets Reports'!D1934)),TRIM('R.M Billets Reports'!F1934),IF(ISNUMBER(SEARCH("Party Name-",'R.M Billets Reports'!D1934)),TRIM(MID('R.M Billets Reports'!D1934,SEARCH("-",'R.M Billets Reports'!D1934)+1,200)),"")))="SHRI RADHE","SHREE RADHE",IF(IF(IF(ISNUMBER(SEARCH("Party Name:-",'R.M Billets Reports'!D1933)),TRIM('R.M Billets Reports'!F1933),IF(ISNUMBER(SEARCH("Party Name-",'R.M Billets Reports'!D1933)),TRIM(MID('R.M Billets Reports'!D1933,SEARCH("-",'R.M Billets Reports'!D1933)+1,200)),""))&lt;&gt;"",IF(ISNUMBER(SEARCH("Party Name:-",'R.M Billets Reports'!D1933)),TRIM('R.M Billets Reports'!F1933),IF(ISNUMBER(SEARCH("Party Name-",'R.M Billets Reports'!D1933)),TRIM(MID('R.M Billets Reports'!D1933,SEARCH("-",'R.M Billets Reports'!D1933)+1,200)),"")),IF(ISNUMBER(SEARCH("Party Name:-",'R.M Billets Reports'!D1934)),TRIM('R.M Billets Reports'!F1934),IF(ISNUMBER(SEARCH("Party Name-",'R.M Billets Reports'!D1934)),TRIM(MID('R.M Billets Reports'!D1934,SEARCH("-",'R.M Billets Reports'!D1934)+1,200)),"")))="SHREE RADHE SHAKTI SPONGE AND POWER PVT. LTD.","SHREE RADHE",IF(IF(ISNUMBER(SEARCH("Party Name:-",'R.M Billets Reports'!D1933)),TRIM('R.M Billets Reports'!F1933),IF(ISNUMBER(SEARCH("Party Name-",'R.M Billets Reports'!D1933)),TRIM(MID('R.M Billets Reports'!D1933,SEARCH("-",'R.M Billets Reports'!D1933)+1,200)),""))&lt;&gt;"",IF(ISNUMBER(SEARCH("Party Name:-",'R.M Billets Reports'!D1933)),TRIM('R.M Billets Reports'!F1933),IF(ISNUMBER(SEARCH("Party Name-",'R.M Billets Reports'!D1933)),TRIM(MID('R.M Billets Reports'!D1933,SEARCH("-",'R.M Billets Reports'!D1933)+1,200)),"")),IF(ISNUMBER(SEARCH("Party Name:-",'R.M Billets Reports'!D1934)),TRIM('R.M Billets Reports'!F1934),IF(ISNUMBER(SEARCH("Party Name-",'R.M Billets Reports'!D1934)),TRIM(MID('R.M Billets Reports'!D1934,SEARCH("-",'R.M Billets Reports'!D1934)+1,200)),"")))))),IF(ROW()=2,"",A1933))</f>
      </c>
      <c r="B1934">
        <f>IF(OR('R.M Billets Reports'!A1933="Date-",'R.M Billets Reports'!A1933="Date:-"),'R.M Billets Reports'!B1933,IF(ROW()=2,"",B1933))</f>
      </c>
      <c r="C1934">
        <f>IF('R.M Billets Reports'!A1933="V.No.",'R.M Billets Reports'!B1933,IF(ROW()=2,"",C1933))</f>
      </c>
      <c r="D1934">
        <f>IF('R.M Billets Reports'!A1933&lt;&gt;"",'R.M Billets Reports'!A1933,IF(ROW()=2,"",D1933))</f>
      </c>
      <c r="E1934">
        <f>IF('R.M Billets Reports'!B1933="","",TRIM('R.M Billets Reports'!B1933))</f>
      </c>
      <c r="F1934">
        <f>'R.M Billets Reports'!C1933</f>
      </c>
      <c r="G1934">
        <f>'R.M Billets Reports'!D1933</f>
      </c>
      <c r="H1934">
        <f>'R.M Billets Reports'!E1933</f>
      </c>
      <c r="I1934">
        <f>'R.M Billets Reports'!F1933</f>
      </c>
      <c r="J1934">
        <f>'R.M Billets Reports'!G1933</f>
      </c>
      <c r="K1934">
        <f>'R.M Billets Reports'!H1933</f>
      </c>
      <c r="L1934">
        <f>IF('R.M Billets Reports'!I1933="","",'R.M Billets Reports'!I1933)</f>
      </c>
      <c r="M1934">
        <f t="shared" si="60"/>
      </c>
      <c r="N1934">
        <f>IF('R.M Billets Reports'!J1933="","",'R.M Billets Reports'!J1933)</f>
      </c>
      <c r="O1934">
        <f t="shared" si="61"/>
      </c>
      <c r="P1934">
        <f>IF('R.M Billets Reports'!A1933="SIZE",'R.M Billets Reports'!B1933,P1933)</f>
      </c>
    </row>
    <row r="1935" spans="1:16" x14ac:dyDescent="0.25">
      <c r="A1935">
        <f>IF(OR('R.M Billets Reports'!A1934="Date-",'R.M Billets Reports'!A1934="Date:-"),IF(IF(IF(ISNUMBER(SEARCH("Party Name:-",'R.M Billets Reports'!D1934)),TRIM('R.M Billets Reports'!F1934),IF(ISNUMBER(SEARCH("Party Name-",'R.M Billets Reports'!D1934)),TRIM(MID('R.M Billets Reports'!D1934,SEARCH("-",'R.M Billets Reports'!D1934)+1,200)),""))&lt;&gt;"",IF(ISNUMBER(SEARCH("Party Name:-",'R.M Billets Reports'!D1934)),TRIM('R.M Billets Reports'!F1934),IF(ISNUMBER(SEARCH("Party Name-",'R.M Billets Reports'!D1934)),TRIM(MID('R.M Billets Reports'!D1934,SEARCH("-",'R.M Billets Reports'!D1934)+1,200)),"")),IF(ISNUMBER(SEARCH("Party Name:-",'R.M Billets Reports'!D1935)),TRIM('R.M Billets Reports'!F1935),IF(ISNUMBER(SEARCH("Party Name-",'R.M Billets Reports'!D1935)),TRIM(MID('R.M Billets Reports'!D1935,SEARCH("-",'R.M Billets Reports'!D1935)+1,200)),"")))="VRKP ISPAT PVT LTD","VRKP",IF(IF(IF(ISNUMBER(SEARCH("Party Name:-",'R.M Billets Reports'!D1934)),TRIM('R.M Billets Reports'!F1934),IF(ISNUMBER(SEARCH("Party Name-",'R.M Billets Reports'!D1934)),TRIM(MID('R.M Billets Reports'!D1934,SEARCH("-",'R.M Billets Reports'!D1934)+1,200)),""))&lt;&gt;"",IF(ISNUMBER(SEARCH("Party Name:-",'R.M Billets Reports'!D1934)),TRIM('R.M Billets Reports'!F1934),IF(ISNUMBER(SEARCH("Party Name-",'R.M Billets Reports'!D1934)),TRIM(MID('R.M Billets Reports'!D1934,SEARCH("-",'R.M Billets Reports'!D1934)+1,200)),"")),IF(ISNUMBER(SEARCH("Party Name:-",'R.M Billets Reports'!D1935)),TRIM('R.M Billets Reports'!F1935),IF(ISNUMBER(SEARCH("Party Name-",'R.M Billets Reports'!D1935)),TRIM(MID('R.M Billets Reports'!D1935,SEARCH("-",'R.M Billets Reports'!D1935)+1,200)),"")))="SHRI RADHE","SHREE RADHE",IF(IF(IF(ISNUMBER(SEARCH("Party Name:-",'R.M Billets Reports'!D1934)),TRIM('R.M Billets Reports'!F1934),IF(ISNUMBER(SEARCH("Party Name-",'R.M Billets Reports'!D1934)),TRIM(MID('R.M Billets Reports'!D1934,SEARCH("-",'R.M Billets Reports'!D1934)+1,200)),""))&lt;&gt;"",IF(ISNUMBER(SEARCH("Party Name:-",'R.M Billets Reports'!D1934)),TRIM('R.M Billets Reports'!F1934),IF(ISNUMBER(SEARCH("Party Name-",'R.M Billets Reports'!D1934)),TRIM(MID('R.M Billets Reports'!D1934,SEARCH("-",'R.M Billets Reports'!D1934)+1,200)),"")),IF(ISNUMBER(SEARCH("Party Name:-",'R.M Billets Reports'!D1935)),TRIM('R.M Billets Reports'!F1935),IF(ISNUMBER(SEARCH("Party Name-",'R.M Billets Reports'!D1935)),TRIM(MID('R.M Billets Reports'!D1935,SEARCH("-",'R.M Billets Reports'!D1935)+1,200)),"")))="SHREE RADHE SHAKTI SPONGE AND POWER PVT. LTD.","SHREE RADHE",IF(IF(ISNUMBER(SEARCH("Party Name:-",'R.M Billets Reports'!D1934)),TRIM('R.M Billets Reports'!F1934),IF(ISNUMBER(SEARCH("Party Name-",'R.M Billets Reports'!D1934)),TRIM(MID('R.M Billets Reports'!D1934,SEARCH("-",'R.M Billets Reports'!D1934)+1,200)),""))&lt;&gt;"",IF(ISNUMBER(SEARCH("Party Name:-",'R.M Billets Reports'!D1934)),TRIM('R.M Billets Reports'!F1934),IF(ISNUMBER(SEARCH("Party Name-",'R.M Billets Reports'!D1934)),TRIM(MID('R.M Billets Reports'!D1934,SEARCH("-",'R.M Billets Reports'!D1934)+1,200)),"")),IF(ISNUMBER(SEARCH("Party Name:-",'R.M Billets Reports'!D1935)),TRIM('R.M Billets Reports'!F1935),IF(ISNUMBER(SEARCH("Party Name-",'R.M Billets Reports'!D1935)),TRIM(MID('R.M Billets Reports'!D1935,SEARCH("-",'R.M Billets Reports'!D1935)+1,200)),"")))))),IF(ROW()=2,"",A1934))</f>
      </c>
      <c r="B1935">
        <f>IF(OR('R.M Billets Reports'!A1934="Date-",'R.M Billets Reports'!A1934="Date:-"),'R.M Billets Reports'!B1934,IF(ROW()=2,"",B1934))</f>
      </c>
      <c r="C1935">
        <f>IF('R.M Billets Reports'!A1934="V.No.",'R.M Billets Reports'!B1934,IF(ROW()=2,"",C1934))</f>
      </c>
      <c r="D1935">
        <f>IF('R.M Billets Reports'!A1934&lt;&gt;"",'R.M Billets Reports'!A1934,IF(ROW()=2,"",D1934))</f>
      </c>
      <c r="E1935">
        <f>IF('R.M Billets Reports'!B1934="","",TRIM('R.M Billets Reports'!B1934))</f>
      </c>
      <c r="F1935">
        <f>'R.M Billets Reports'!C1934</f>
      </c>
      <c r="G1935">
        <f>'R.M Billets Reports'!D1934</f>
      </c>
      <c r="H1935">
        <f>'R.M Billets Reports'!E1934</f>
      </c>
      <c r="I1935">
        <f>'R.M Billets Reports'!F1934</f>
      </c>
      <c r="J1935">
        <f>'R.M Billets Reports'!G1934</f>
      </c>
      <c r="K1935">
        <f>'R.M Billets Reports'!H1934</f>
      </c>
      <c r="L1935">
        <f>IF('R.M Billets Reports'!I1934="","",'R.M Billets Reports'!I1934)</f>
      </c>
      <c r="M1935">
        <f t="shared" si="60"/>
      </c>
      <c r="N1935">
        <f>IF('R.M Billets Reports'!J1934="","",'R.M Billets Reports'!J1934)</f>
      </c>
      <c r="O1935">
        <f t="shared" si="61"/>
      </c>
      <c r="P1935">
        <f>IF('R.M Billets Reports'!A1934="SIZE",'R.M Billets Reports'!B1934,P1934)</f>
      </c>
    </row>
    <row r="1936" spans="1:16" x14ac:dyDescent="0.25">
      <c r="A1936">
        <f>IF(OR('R.M Billets Reports'!A1935="Date-",'R.M Billets Reports'!A1935="Date:-"),IF(IF(IF(ISNUMBER(SEARCH("Party Name:-",'R.M Billets Reports'!D1935)),TRIM('R.M Billets Reports'!F1935),IF(ISNUMBER(SEARCH("Party Name-",'R.M Billets Reports'!D1935)),TRIM(MID('R.M Billets Reports'!D1935,SEARCH("-",'R.M Billets Reports'!D1935)+1,200)),""))&lt;&gt;"",IF(ISNUMBER(SEARCH("Party Name:-",'R.M Billets Reports'!D1935)),TRIM('R.M Billets Reports'!F1935),IF(ISNUMBER(SEARCH("Party Name-",'R.M Billets Reports'!D1935)),TRIM(MID('R.M Billets Reports'!D1935,SEARCH("-",'R.M Billets Reports'!D1935)+1,200)),"")),IF(ISNUMBER(SEARCH("Party Name:-",'R.M Billets Reports'!D1936)),TRIM('R.M Billets Reports'!F1936),IF(ISNUMBER(SEARCH("Party Name-",'R.M Billets Reports'!D1936)),TRIM(MID('R.M Billets Reports'!D1936,SEARCH("-",'R.M Billets Reports'!D1936)+1,200)),"")))="VRKP ISPAT PVT LTD","VRKP",IF(IF(IF(ISNUMBER(SEARCH("Party Name:-",'R.M Billets Reports'!D1935)),TRIM('R.M Billets Reports'!F1935),IF(ISNUMBER(SEARCH("Party Name-",'R.M Billets Reports'!D1935)),TRIM(MID('R.M Billets Reports'!D1935,SEARCH("-",'R.M Billets Reports'!D1935)+1,200)),""))&lt;&gt;"",IF(ISNUMBER(SEARCH("Party Name:-",'R.M Billets Reports'!D1935)),TRIM('R.M Billets Reports'!F1935),IF(ISNUMBER(SEARCH("Party Name-",'R.M Billets Reports'!D1935)),TRIM(MID('R.M Billets Reports'!D1935,SEARCH("-",'R.M Billets Reports'!D1935)+1,200)),"")),IF(ISNUMBER(SEARCH("Party Name:-",'R.M Billets Reports'!D1936)),TRIM('R.M Billets Reports'!F1936),IF(ISNUMBER(SEARCH("Party Name-",'R.M Billets Reports'!D1936)),TRIM(MID('R.M Billets Reports'!D1936,SEARCH("-",'R.M Billets Reports'!D1936)+1,200)),"")))="SHRI RADHE","SHREE RADHE",IF(IF(IF(ISNUMBER(SEARCH("Party Name:-",'R.M Billets Reports'!D1935)),TRIM('R.M Billets Reports'!F1935),IF(ISNUMBER(SEARCH("Party Name-",'R.M Billets Reports'!D1935)),TRIM(MID('R.M Billets Reports'!D1935,SEARCH("-",'R.M Billets Reports'!D1935)+1,200)),""))&lt;&gt;"",IF(ISNUMBER(SEARCH("Party Name:-",'R.M Billets Reports'!D1935)),TRIM('R.M Billets Reports'!F1935),IF(ISNUMBER(SEARCH("Party Name-",'R.M Billets Reports'!D1935)),TRIM(MID('R.M Billets Reports'!D1935,SEARCH("-",'R.M Billets Reports'!D1935)+1,200)),"")),IF(ISNUMBER(SEARCH("Party Name:-",'R.M Billets Reports'!D1936)),TRIM('R.M Billets Reports'!F1936),IF(ISNUMBER(SEARCH("Party Name-",'R.M Billets Reports'!D1936)),TRIM(MID('R.M Billets Reports'!D1936,SEARCH("-",'R.M Billets Reports'!D1936)+1,200)),"")))="SHREE RADHE SHAKTI SPONGE AND POWER PVT. LTD.","SHREE RADHE",IF(IF(ISNUMBER(SEARCH("Party Name:-",'R.M Billets Reports'!D1935)),TRIM('R.M Billets Reports'!F1935),IF(ISNUMBER(SEARCH("Party Name-",'R.M Billets Reports'!D1935)),TRIM(MID('R.M Billets Reports'!D1935,SEARCH("-",'R.M Billets Reports'!D1935)+1,200)),""))&lt;&gt;"",IF(ISNUMBER(SEARCH("Party Name:-",'R.M Billets Reports'!D1935)),TRIM('R.M Billets Reports'!F1935),IF(ISNUMBER(SEARCH("Party Name-",'R.M Billets Reports'!D1935)),TRIM(MID('R.M Billets Reports'!D1935,SEARCH("-",'R.M Billets Reports'!D1935)+1,200)),"")),IF(ISNUMBER(SEARCH("Party Name:-",'R.M Billets Reports'!D1936)),TRIM('R.M Billets Reports'!F1936),IF(ISNUMBER(SEARCH("Party Name-",'R.M Billets Reports'!D1936)),TRIM(MID('R.M Billets Reports'!D1936,SEARCH("-",'R.M Billets Reports'!D1936)+1,200)),"")))))),IF(ROW()=2,"",A1935))</f>
      </c>
      <c r="B1936">
        <f>IF(OR('R.M Billets Reports'!A1935="Date-",'R.M Billets Reports'!A1935="Date:-"),'R.M Billets Reports'!B1935,IF(ROW()=2,"",B1935))</f>
      </c>
      <c r="C1936">
        <f>IF('R.M Billets Reports'!A1935="V.No.",'R.M Billets Reports'!B1935,IF(ROW()=2,"",C1935))</f>
      </c>
      <c r="D1936">
        <f>IF('R.M Billets Reports'!A1935&lt;&gt;"",'R.M Billets Reports'!A1935,IF(ROW()=2,"",D1935))</f>
      </c>
      <c r="E1936">
        <f>IF('R.M Billets Reports'!B1935="","",TRIM('R.M Billets Reports'!B1935))</f>
      </c>
      <c r="F1936">
        <f>'R.M Billets Reports'!C1935</f>
      </c>
      <c r="G1936">
        <f>'R.M Billets Reports'!D1935</f>
      </c>
      <c r="H1936">
        <f>'R.M Billets Reports'!E1935</f>
      </c>
      <c r="I1936">
        <f>'R.M Billets Reports'!F1935</f>
      </c>
      <c r="J1936">
        <f>'R.M Billets Reports'!G1935</f>
      </c>
      <c r="K1936">
        <f>'R.M Billets Reports'!H1935</f>
      </c>
      <c r="L1936">
        <f>IF('R.M Billets Reports'!I1935="","",'R.M Billets Reports'!I1935)</f>
      </c>
      <c r="M1936">
        <f t="shared" si="60"/>
      </c>
      <c r="N1936">
        <f>IF('R.M Billets Reports'!J1935="","",'R.M Billets Reports'!J1935)</f>
      </c>
      <c r="O1936">
        <f t="shared" si="61"/>
      </c>
      <c r="P1936">
        <f>IF('R.M Billets Reports'!A1935="SIZE",'R.M Billets Reports'!B1935,P1935)</f>
      </c>
    </row>
    <row r="1937" spans="1:16" x14ac:dyDescent="0.25">
      <c r="A1937">
        <f>IF(OR('R.M Billets Reports'!A1936="Date-",'R.M Billets Reports'!A1936="Date:-"),IF(IF(IF(ISNUMBER(SEARCH("Party Name:-",'R.M Billets Reports'!D1936)),TRIM('R.M Billets Reports'!F1936),IF(ISNUMBER(SEARCH("Party Name-",'R.M Billets Reports'!D1936)),TRIM(MID('R.M Billets Reports'!D1936,SEARCH("-",'R.M Billets Reports'!D1936)+1,200)),""))&lt;&gt;"",IF(ISNUMBER(SEARCH("Party Name:-",'R.M Billets Reports'!D1936)),TRIM('R.M Billets Reports'!F1936),IF(ISNUMBER(SEARCH("Party Name-",'R.M Billets Reports'!D1936)),TRIM(MID('R.M Billets Reports'!D1936,SEARCH("-",'R.M Billets Reports'!D1936)+1,200)),"")),IF(ISNUMBER(SEARCH("Party Name:-",'R.M Billets Reports'!D1937)),TRIM('R.M Billets Reports'!F1937),IF(ISNUMBER(SEARCH("Party Name-",'R.M Billets Reports'!D1937)),TRIM(MID('R.M Billets Reports'!D1937,SEARCH("-",'R.M Billets Reports'!D1937)+1,200)),"")))="VRKP ISPAT PVT LTD","VRKP",IF(IF(IF(ISNUMBER(SEARCH("Party Name:-",'R.M Billets Reports'!D1936)),TRIM('R.M Billets Reports'!F1936),IF(ISNUMBER(SEARCH("Party Name-",'R.M Billets Reports'!D1936)),TRIM(MID('R.M Billets Reports'!D1936,SEARCH("-",'R.M Billets Reports'!D1936)+1,200)),""))&lt;&gt;"",IF(ISNUMBER(SEARCH("Party Name:-",'R.M Billets Reports'!D1936)),TRIM('R.M Billets Reports'!F1936),IF(ISNUMBER(SEARCH("Party Name-",'R.M Billets Reports'!D1936)),TRIM(MID('R.M Billets Reports'!D1936,SEARCH("-",'R.M Billets Reports'!D1936)+1,200)),"")),IF(ISNUMBER(SEARCH("Party Name:-",'R.M Billets Reports'!D1937)),TRIM('R.M Billets Reports'!F1937),IF(ISNUMBER(SEARCH("Party Name-",'R.M Billets Reports'!D1937)),TRIM(MID('R.M Billets Reports'!D1937,SEARCH("-",'R.M Billets Reports'!D1937)+1,200)),"")))="SHRI RADHE","SHREE RADHE",IF(IF(IF(ISNUMBER(SEARCH("Party Name:-",'R.M Billets Reports'!D1936)),TRIM('R.M Billets Reports'!F1936),IF(ISNUMBER(SEARCH("Party Name-",'R.M Billets Reports'!D1936)),TRIM(MID('R.M Billets Reports'!D1936,SEARCH("-",'R.M Billets Reports'!D1936)+1,200)),""))&lt;&gt;"",IF(ISNUMBER(SEARCH("Party Name:-",'R.M Billets Reports'!D1936)),TRIM('R.M Billets Reports'!F1936),IF(ISNUMBER(SEARCH("Party Name-",'R.M Billets Reports'!D1936)),TRIM(MID('R.M Billets Reports'!D1936,SEARCH("-",'R.M Billets Reports'!D1936)+1,200)),"")),IF(ISNUMBER(SEARCH("Party Name:-",'R.M Billets Reports'!D1937)),TRIM('R.M Billets Reports'!F1937),IF(ISNUMBER(SEARCH("Party Name-",'R.M Billets Reports'!D1937)),TRIM(MID('R.M Billets Reports'!D1937,SEARCH("-",'R.M Billets Reports'!D1937)+1,200)),"")))="SHREE RADHE SHAKTI SPONGE AND POWER PVT. LTD.","SHREE RADHE",IF(IF(ISNUMBER(SEARCH("Party Name:-",'R.M Billets Reports'!D1936)),TRIM('R.M Billets Reports'!F1936),IF(ISNUMBER(SEARCH("Party Name-",'R.M Billets Reports'!D1936)),TRIM(MID('R.M Billets Reports'!D1936,SEARCH("-",'R.M Billets Reports'!D1936)+1,200)),""))&lt;&gt;"",IF(ISNUMBER(SEARCH("Party Name:-",'R.M Billets Reports'!D1936)),TRIM('R.M Billets Reports'!F1936),IF(ISNUMBER(SEARCH("Party Name-",'R.M Billets Reports'!D1936)),TRIM(MID('R.M Billets Reports'!D1936,SEARCH("-",'R.M Billets Reports'!D1936)+1,200)),"")),IF(ISNUMBER(SEARCH("Party Name:-",'R.M Billets Reports'!D1937)),TRIM('R.M Billets Reports'!F1937),IF(ISNUMBER(SEARCH("Party Name-",'R.M Billets Reports'!D1937)),TRIM(MID('R.M Billets Reports'!D1937,SEARCH("-",'R.M Billets Reports'!D1937)+1,200)),"")))))),IF(ROW()=2,"",A1936))</f>
      </c>
      <c r="B1937">
        <f>IF(OR('R.M Billets Reports'!A1936="Date-",'R.M Billets Reports'!A1936="Date:-"),'R.M Billets Reports'!B1936,IF(ROW()=2,"",B1936))</f>
      </c>
      <c r="C1937">
        <f>IF('R.M Billets Reports'!A1936="V.No.",'R.M Billets Reports'!B1936,IF(ROW()=2,"",C1936))</f>
      </c>
      <c r="D1937">
        <f>IF('R.M Billets Reports'!A1936&lt;&gt;"",'R.M Billets Reports'!A1936,IF(ROW()=2,"",D1936))</f>
      </c>
      <c r="E1937">
        <f>IF('R.M Billets Reports'!B1936="","",TRIM('R.M Billets Reports'!B1936))</f>
      </c>
      <c r="F1937">
        <f>'R.M Billets Reports'!C1936</f>
      </c>
      <c r="G1937">
        <f>'R.M Billets Reports'!D1936</f>
      </c>
      <c r="H1937">
        <f>'R.M Billets Reports'!E1936</f>
      </c>
      <c r="I1937">
        <f>'R.M Billets Reports'!F1936</f>
      </c>
      <c r="J1937">
        <f>'R.M Billets Reports'!G1936</f>
      </c>
      <c r="K1937">
        <f>'R.M Billets Reports'!H1936</f>
      </c>
      <c r="L1937">
        <f>IF('R.M Billets Reports'!I1936="","",'R.M Billets Reports'!I1936)</f>
      </c>
      <c r="M1937">
        <f t="shared" si="60"/>
      </c>
      <c r="N1937">
        <f>IF('R.M Billets Reports'!J1936="","",'R.M Billets Reports'!J1936)</f>
      </c>
      <c r="O1937">
        <f t="shared" si="61"/>
      </c>
      <c r="P1937">
        <f>IF('R.M Billets Reports'!A1936="SIZE",'R.M Billets Reports'!B1936,P1936)</f>
      </c>
    </row>
    <row r="1938" spans="1:16" x14ac:dyDescent="0.25">
      <c r="A1938">
        <f>IF(OR('R.M Billets Reports'!A1937="Date-",'R.M Billets Reports'!A1937="Date:-"),IF(IF(IF(ISNUMBER(SEARCH("Party Name:-",'R.M Billets Reports'!D1937)),TRIM('R.M Billets Reports'!F1937),IF(ISNUMBER(SEARCH("Party Name-",'R.M Billets Reports'!D1937)),TRIM(MID('R.M Billets Reports'!D1937,SEARCH("-",'R.M Billets Reports'!D1937)+1,200)),""))&lt;&gt;"",IF(ISNUMBER(SEARCH("Party Name:-",'R.M Billets Reports'!D1937)),TRIM('R.M Billets Reports'!F1937),IF(ISNUMBER(SEARCH("Party Name-",'R.M Billets Reports'!D1937)),TRIM(MID('R.M Billets Reports'!D1937,SEARCH("-",'R.M Billets Reports'!D1937)+1,200)),"")),IF(ISNUMBER(SEARCH("Party Name:-",'R.M Billets Reports'!D1938)),TRIM('R.M Billets Reports'!F1938),IF(ISNUMBER(SEARCH("Party Name-",'R.M Billets Reports'!D1938)),TRIM(MID('R.M Billets Reports'!D1938,SEARCH("-",'R.M Billets Reports'!D1938)+1,200)),"")))="VRKP ISPAT PVT LTD","VRKP",IF(IF(IF(ISNUMBER(SEARCH("Party Name:-",'R.M Billets Reports'!D1937)),TRIM('R.M Billets Reports'!F1937),IF(ISNUMBER(SEARCH("Party Name-",'R.M Billets Reports'!D1937)),TRIM(MID('R.M Billets Reports'!D1937,SEARCH("-",'R.M Billets Reports'!D1937)+1,200)),""))&lt;&gt;"",IF(ISNUMBER(SEARCH("Party Name:-",'R.M Billets Reports'!D1937)),TRIM('R.M Billets Reports'!F1937),IF(ISNUMBER(SEARCH("Party Name-",'R.M Billets Reports'!D1937)),TRIM(MID('R.M Billets Reports'!D1937,SEARCH("-",'R.M Billets Reports'!D1937)+1,200)),"")),IF(ISNUMBER(SEARCH("Party Name:-",'R.M Billets Reports'!D1938)),TRIM('R.M Billets Reports'!F1938),IF(ISNUMBER(SEARCH("Party Name-",'R.M Billets Reports'!D1938)),TRIM(MID('R.M Billets Reports'!D1938,SEARCH("-",'R.M Billets Reports'!D1938)+1,200)),"")))="SHRI RADHE","SHREE RADHE",IF(IF(IF(ISNUMBER(SEARCH("Party Name:-",'R.M Billets Reports'!D1937)),TRIM('R.M Billets Reports'!F1937),IF(ISNUMBER(SEARCH("Party Name-",'R.M Billets Reports'!D1937)),TRIM(MID('R.M Billets Reports'!D1937,SEARCH("-",'R.M Billets Reports'!D1937)+1,200)),""))&lt;&gt;"",IF(ISNUMBER(SEARCH("Party Name:-",'R.M Billets Reports'!D1937)),TRIM('R.M Billets Reports'!F1937),IF(ISNUMBER(SEARCH("Party Name-",'R.M Billets Reports'!D1937)),TRIM(MID('R.M Billets Reports'!D1937,SEARCH("-",'R.M Billets Reports'!D1937)+1,200)),"")),IF(ISNUMBER(SEARCH("Party Name:-",'R.M Billets Reports'!D1938)),TRIM('R.M Billets Reports'!F1938),IF(ISNUMBER(SEARCH("Party Name-",'R.M Billets Reports'!D1938)),TRIM(MID('R.M Billets Reports'!D1938,SEARCH("-",'R.M Billets Reports'!D1938)+1,200)),"")))="SHREE RADHE SHAKTI SPONGE AND POWER PVT. LTD.","SHREE RADHE",IF(IF(ISNUMBER(SEARCH("Party Name:-",'R.M Billets Reports'!D1937)),TRIM('R.M Billets Reports'!F1937),IF(ISNUMBER(SEARCH("Party Name-",'R.M Billets Reports'!D1937)),TRIM(MID('R.M Billets Reports'!D1937,SEARCH("-",'R.M Billets Reports'!D1937)+1,200)),""))&lt;&gt;"",IF(ISNUMBER(SEARCH("Party Name:-",'R.M Billets Reports'!D1937)),TRIM('R.M Billets Reports'!F1937),IF(ISNUMBER(SEARCH("Party Name-",'R.M Billets Reports'!D1937)),TRIM(MID('R.M Billets Reports'!D1937,SEARCH("-",'R.M Billets Reports'!D1937)+1,200)),"")),IF(ISNUMBER(SEARCH("Party Name:-",'R.M Billets Reports'!D1938)),TRIM('R.M Billets Reports'!F1938),IF(ISNUMBER(SEARCH("Party Name-",'R.M Billets Reports'!D1938)),TRIM(MID('R.M Billets Reports'!D1938,SEARCH("-",'R.M Billets Reports'!D1938)+1,200)),"")))))),IF(ROW()=2,"",A1937))</f>
      </c>
      <c r="B1938">
        <f>IF(OR('R.M Billets Reports'!A1937="Date-",'R.M Billets Reports'!A1937="Date:-"),'R.M Billets Reports'!B1937,IF(ROW()=2,"",B1937))</f>
      </c>
      <c r="C1938">
        <f>IF('R.M Billets Reports'!A1937="V.No.",'R.M Billets Reports'!B1937,IF(ROW()=2,"",C1937))</f>
      </c>
      <c r="D1938">
        <f>IF('R.M Billets Reports'!A1937&lt;&gt;"",'R.M Billets Reports'!A1937,IF(ROW()=2,"",D1937))</f>
      </c>
      <c r="E1938">
        <f>IF('R.M Billets Reports'!B1937="","",TRIM('R.M Billets Reports'!B1937))</f>
      </c>
      <c r="F1938">
        <f>'R.M Billets Reports'!C1937</f>
      </c>
      <c r="G1938">
        <f>'R.M Billets Reports'!D1937</f>
      </c>
      <c r="H1938">
        <f>'R.M Billets Reports'!E1937</f>
      </c>
      <c r="I1938">
        <f>'R.M Billets Reports'!F1937</f>
      </c>
      <c r="J1938">
        <f>'R.M Billets Reports'!G1937</f>
      </c>
      <c r="K1938">
        <f>'R.M Billets Reports'!H1937</f>
      </c>
      <c r="L1938">
        <f>IF('R.M Billets Reports'!I1937="","",'R.M Billets Reports'!I1937)</f>
      </c>
      <c r="M1938">
        <f t="shared" si="60"/>
      </c>
      <c r="N1938">
        <f>IF('R.M Billets Reports'!J1937="","",'R.M Billets Reports'!J1937)</f>
      </c>
      <c r="O1938">
        <f t="shared" si="61"/>
      </c>
      <c r="P1938">
        <f>IF('R.M Billets Reports'!A1937="SIZE",'R.M Billets Reports'!B1937,P1937)</f>
      </c>
    </row>
    <row r="1939" spans="1:16" x14ac:dyDescent="0.25">
      <c r="A1939">
        <f>IF(OR('R.M Billets Reports'!A1938="Date-",'R.M Billets Reports'!A1938="Date:-"),IF(IF(IF(ISNUMBER(SEARCH("Party Name:-",'R.M Billets Reports'!D1938)),TRIM('R.M Billets Reports'!F1938),IF(ISNUMBER(SEARCH("Party Name-",'R.M Billets Reports'!D1938)),TRIM(MID('R.M Billets Reports'!D1938,SEARCH("-",'R.M Billets Reports'!D1938)+1,200)),""))&lt;&gt;"",IF(ISNUMBER(SEARCH("Party Name:-",'R.M Billets Reports'!D1938)),TRIM('R.M Billets Reports'!F1938),IF(ISNUMBER(SEARCH("Party Name-",'R.M Billets Reports'!D1938)),TRIM(MID('R.M Billets Reports'!D1938,SEARCH("-",'R.M Billets Reports'!D1938)+1,200)),"")),IF(ISNUMBER(SEARCH("Party Name:-",'R.M Billets Reports'!D1939)),TRIM('R.M Billets Reports'!F1939),IF(ISNUMBER(SEARCH("Party Name-",'R.M Billets Reports'!D1939)),TRIM(MID('R.M Billets Reports'!D1939,SEARCH("-",'R.M Billets Reports'!D1939)+1,200)),"")))="VRKP ISPAT PVT LTD","VRKP",IF(IF(IF(ISNUMBER(SEARCH("Party Name:-",'R.M Billets Reports'!D1938)),TRIM('R.M Billets Reports'!F1938),IF(ISNUMBER(SEARCH("Party Name-",'R.M Billets Reports'!D1938)),TRIM(MID('R.M Billets Reports'!D1938,SEARCH("-",'R.M Billets Reports'!D1938)+1,200)),""))&lt;&gt;"",IF(ISNUMBER(SEARCH("Party Name:-",'R.M Billets Reports'!D1938)),TRIM('R.M Billets Reports'!F1938),IF(ISNUMBER(SEARCH("Party Name-",'R.M Billets Reports'!D1938)),TRIM(MID('R.M Billets Reports'!D1938,SEARCH("-",'R.M Billets Reports'!D1938)+1,200)),"")),IF(ISNUMBER(SEARCH("Party Name:-",'R.M Billets Reports'!D1939)),TRIM('R.M Billets Reports'!F1939),IF(ISNUMBER(SEARCH("Party Name-",'R.M Billets Reports'!D1939)),TRIM(MID('R.M Billets Reports'!D1939,SEARCH("-",'R.M Billets Reports'!D1939)+1,200)),"")))="SHRI RADHE","SHREE RADHE",IF(IF(IF(ISNUMBER(SEARCH("Party Name:-",'R.M Billets Reports'!D1938)),TRIM('R.M Billets Reports'!F1938),IF(ISNUMBER(SEARCH("Party Name-",'R.M Billets Reports'!D1938)),TRIM(MID('R.M Billets Reports'!D1938,SEARCH("-",'R.M Billets Reports'!D1938)+1,200)),""))&lt;&gt;"",IF(ISNUMBER(SEARCH("Party Name:-",'R.M Billets Reports'!D1938)),TRIM('R.M Billets Reports'!F1938),IF(ISNUMBER(SEARCH("Party Name-",'R.M Billets Reports'!D1938)),TRIM(MID('R.M Billets Reports'!D1938,SEARCH("-",'R.M Billets Reports'!D1938)+1,200)),"")),IF(ISNUMBER(SEARCH("Party Name:-",'R.M Billets Reports'!D1939)),TRIM('R.M Billets Reports'!F1939),IF(ISNUMBER(SEARCH("Party Name-",'R.M Billets Reports'!D1939)),TRIM(MID('R.M Billets Reports'!D1939,SEARCH("-",'R.M Billets Reports'!D1939)+1,200)),"")))="SHREE RADHE SHAKTI SPONGE AND POWER PVT. LTD.","SHREE RADHE",IF(IF(ISNUMBER(SEARCH("Party Name:-",'R.M Billets Reports'!D1938)),TRIM('R.M Billets Reports'!F1938),IF(ISNUMBER(SEARCH("Party Name-",'R.M Billets Reports'!D1938)),TRIM(MID('R.M Billets Reports'!D1938,SEARCH("-",'R.M Billets Reports'!D1938)+1,200)),""))&lt;&gt;"",IF(ISNUMBER(SEARCH("Party Name:-",'R.M Billets Reports'!D1938)),TRIM('R.M Billets Reports'!F1938),IF(ISNUMBER(SEARCH("Party Name-",'R.M Billets Reports'!D1938)),TRIM(MID('R.M Billets Reports'!D1938,SEARCH("-",'R.M Billets Reports'!D1938)+1,200)),"")),IF(ISNUMBER(SEARCH("Party Name:-",'R.M Billets Reports'!D1939)),TRIM('R.M Billets Reports'!F1939),IF(ISNUMBER(SEARCH("Party Name-",'R.M Billets Reports'!D1939)),TRIM(MID('R.M Billets Reports'!D1939,SEARCH("-",'R.M Billets Reports'!D1939)+1,200)),"")))))),IF(ROW()=2,"",A1938))</f>
      </c>
      <c r="B1939">
        <f>IF(OR('R.M Billets Reports'!A1938="Date-",'R.M Billets Reports'!A1938="Date:-"),'R.M Billets Reports'!B1938,IF(ROW()=2,"",B1938))</f>
      </c>
      <c r="C1939">
        <f>IF('R.M Billets Reports'!A1938="V.No.",'R.M Billets Reports'!B1938,IF(ROW()=2,"",C1938))</f>
      </c>
      <c r="D1939">
        <f>IF('R.M Billets Reports'!A1938&lt;&gt;"",'R.M Billets Reports'!A1938,IF(ROW()=2,"",D1938))</f>
      </c>
      <c r="E1939">
        <f>IF('R.M Billets Reports'!B1938="","",TRIM('R.M Billets Reports'!B1938))</f>
      </c>
      <c r="F1939">
        <f>'R.M Billets Reports'!C1938</f>
      </c>
      <c r="G1939">
        <f>'R.M Billets Reports'!D1938</f>
      </c>
      <c r="H1939">
        <f>'R.M Billets Reports'!E1938</f>
      </c>
      <c r="I1939">
        <f>'R.M Billets Reports'!F1938</f>
      </c>
      <c r="J1939">
        <f>'R.M Billets Reports'!G1938</f>
      </c>
      <c r="K1939">
        <f>'R.M Billets Reports'!H1938</f>
      </c>
      <c r="L1939">
        <f>IF('R.M Billets Reports'!I1938="","",'R.M Billets Reports'!I1938)</f>
      </c>
      <c r="M1939">
        <f t="shared" si="60"/>
      </c>
      <c r="N1939">
        <f>IF('R.M Billets Reports'!J1938="","",'R.M Billets Reports'!J1938)</f>
      </c>
      <c r="O1939">
        <f t="shared" si="61"/>
      </c>
      <c r="P1939">
        <f>IF('R.M Billets Reports'!A1938="SIZE",'R.M Billets Reports'!B1938,P1938)</f>
      </c>
    </row>
    <row r="1940" spans="1:16" x14ac:dyDescent="0.25">
      <c r="A1940">
        <f>IF(OR('R.M Billets Reports'!A1939="Date-",'R.M Billets Reports'!A1939="Date:-"),IF(IF(IF(ISNUMBER(SEARCH("Party Name:-",'R.M Billets Reports'!D1939)),TRIM('R.M Billets Reports'!F1939),IF(ISNUMBER(SEARCH("Party Name-",'R.M Billets Reports'!D1939)),TRIM(MID('R.M Billets Reports'!D1939,SEARCH("-",'R.M Billets Reports'!D1939)+1,200)),""))&lt;&gt;"",IF(ISNUMBER(SEARCH("Party Name:-",'R.M Billets Reports'!D1939)),TRIM('R.M Billets Reports'!F1939),IF(ISNUMBER(SEARCH("Party Name-",'R.M Billets Reports'!D1939)),TRIM(MID('R.M Billets Reports'!D1939,SEARCH("-",'R.M Billets Reports'!D1939)+1,200)),"")),IF(ISNUMBER(SEARCH("Party Name:-",'R.M Billets Reports'!D1940)),TRIM('R.M Billets Reports'!F1940),IF(ISNUMBER(SEARCH("Party Name-",'R.M Billets Reports'!D1940)),TRIM(MID('R.M Billets Reports'!D1940,SEARCH("-",'R.M Billets Reports'!D1940)+1,200)),"")))="VRKP ISPAT PVT LTD","VRKP",IF(IF(IF(ISNUMBER(SEARCH("Party Name:-",'R.M Billets Reports'!D1939)),TRIM('R.M Billets Reports'!F1939),IF(ISNUMBER(SEARCH("Party Name-",'R.M Billets Reports'!D1939)),TRIM(MID('R.M Billets Reports'!D1939,SEARCH("-",'R.M Billets Reports'!D1939)+1,200)),""))&lt;&gt;"",IF(ISNUMBER(SEARCH("Party Name:-",'R.M Billets Reports'!D1939)),TRIM('R.M Billets Reports'!F1939),IF(ISNUMBER(SEARCH("Party Name-",'R.M Billets Reports'!D1939)),TRIM(MID('R.M Billets Reports'!D1939,SEARCH("-",'R.M Billets Reports'!D1939)+1,200)),"")),IF(ISNUMBER(SEARCH("Party Name:-",'R.M Billets Reports'!D1940)),TRIM('R.M Billets Reports'!F1940),IF(ISNUMBER(SEARCH("Party Name-",'R.M Billets Reports'!D1940)),TRIM(MID('R.M Billets Reports'!D1940,SEARCH("-",'R.M Billets Reports'!D1940)+1,200)),"")))="SHRI RADHE","SHREE RADHE",IF(IF(IF(ISNUMBER(SEARCH("Party Name:-",'R.M Billets Reports'!D1939)),TRIM('R.M Billets Reports'!F1939),IF(ISNUMBER(SEARCH("Party Name-",'R.M Billets Reports'!D1939)),TRIM(MID('R.M Billets Reports'!D1939,SEARCH("-",'R.M Billets Reports'!D1939)+1,200)),""))&lt;&gt;"",IF(ISNUMBER(SEARCH("Party Name:-",'R.M Billets Reports'!D1939)),TRIM('R.M Billets Reports'!F1939),IF(ISNUMBER(SEARCH("Party Name-",'R.M Billets Reports'!D1939)),TRIM(MID('R.M Billets Reports'!D1939,SEARCH("-",'R.M Billets Reports'!D1939)+1,200)),"")),IF(ISNUMBER(SEARCH("Party Name:-",'R.M Billets Reports'!D1940)),TRIM('R.M Billets Reports'!F1940),IF(ISNUMBER(SEARCH("Party Name-",'R.M Billets Reports'!D1940)),TRIM(MID('R.M Billets Reports'!D1940,SEARCH("-",'R.M Billets Reports'!D1940)+1,200)),"")))="SHREE RADHE SHAKTI SPONGE AND POWER PVT. LTD.","SHREE RADHE",IF(IF(ISNUMBER(SEARCH("Party Name:-",'R.M Billets Reports'!D1939)),TRIM('R.M Billets Reports'!F1939),IF(ISNUMBER(SEARCH("Party Name-",'R.M Billets Reports'!D1939)),TRIM(MID('R.M Billets Reports'!D1939,SEARCH("-",'R.M Billets Reports'!D1939)+1,200)),""))&lt;&gt;"",IF(ISNUMBER(SEARCH("Party Name:-",'R.M Billets Reports'!D1939)),TRIM('R.M Billets Reports'!F1939),IF(ISNUMBER(SEARCH("Party Name-",'R.M Billets Reports'!D1939)),TRIM(MID('R.M Billets Reports'!D1939,SEARCH("-",'R.M Billets Reports'!D1939)+1,200)),"")),IF(ISNUMBER(SEARCH("Party Name:-",'R.M Billets Reports'!D1940)),TRIM('R.M Billets Reports'!F1940),IF(ISNUMBER(SEARCH("Party Name-",'R.M Billets Reports'!D1940)),TRIM(MID('R.M Billets Reports'!D1940,SEARCH("-",'R.M Billets Reports'!D1940)+1,200)),"")))))),IF(ROW()=2,"",A1939))</f>
      </c>
      <c r="B1940">
        <f>IF(OR('R.M Billets Reports'!A1939="Date-",'R.M Billets Reports'!A1939="Date:-"),'R.M Billets Reports'!B1939,IF(ROW()=2,"",B1939))</f>
      </c>
      <c r="C1940">
        <f>IF('R.M Billets Reports'!A1939="V.No.",'R.M Billets Reports'!B1939,IF(ROW()=2,"",C1939))</f>
      </c>
      <c r="D1940">
        <f>IF('R.M Billets Reports'!A1939&lt;&gt;"",'R.M Billets Reports'!A1939,IF(ROW()=2,"",D1939))</f>
      </c>
      <c r="E1940">
        <f>IF('R.M Billets Reports'!B1939="","",TRIM('R.M Billets Reports'!B1939))</f>
      </c>
      <c r="F1940">
        <f>'R.M Billets Reports'!C1939</f>
      </c>
      <c r="G1940">
        <f>'R.M Billets Reports'!D1939</f>
      </c>
      <c r="H1940">
        <f>'R.M Billets Reports'!E1939</f>
      </c>
      <c r="I1940">
        <f>'R.M Billets Reports'!F1939</f>
      </c>
      <c r="J1940">
        <f>'R.M Billets Reports'!G1939</f>
      </c>
      <c r="K1940">
        <f>'R.M Billets Reports'!H1939</f>
      </c>
      <c r="L1940">
        <f>IF('R.M Billets Reports'!I1939="","",'R.M Billets Reports'!I1939)</f>
      </c>
      <c r="M1940">
        <f t="shared" si="60"/>
      </c>
      <c r="N1940">
        <f>IF('R.M Billets Reports'!J1939="","",'R.M Billets Reports'!J1939)</f>
      </c>
      <c r="O1940">
        <f t="shared" si="61"/>
      </c>
      <c r="P1940">
        <f>IF('R.M Billets Reports'!A1939="SIZE",'R.M Billets Reports'!B1939,P1939)</f>
      </c>
    </row>
    <row r="1941" spans="1:16" x14ac:dyDescent="0.25">
      <c r="A1941">
        <f>IF(OR('R.M Billets Reports'!A1940="Date-",'R.M Billets Reports'!A1940="Date:-"),IF(IF(IF(ISNUMBER(SEARCH("Party Name:-",'R.M Billets Reports'!D1940)),TRIM('R.M Billets Reports'!F1940),IF(ISNUMBER(SEARCH("Party Name-",'R.M Billets Reports'!D1940)),TRIM(MID('R.M Billets Reports'!D1940,SEARCH("-",'R.M Billets Reports'!D1940)+1,200)),""))&lt;&gt;"",IF(ISNUMBER(SEARCH("Party Name:-",'R.M Billets Reports'!D1940)),TRIM('R.M Billets Reports'!F1940),IF(ISNUMBER(SEARCH("Party Name-",'R.M Billets Reports'!D1940)),TRIM(MID('R.M Billets Reports'!D1940,SEARCH("-",'R.M Billets Reports'!D1940)+1,200)),"")),IF(ISNUMBER(SEARCH("Party Name:-",'R.M Billets Reports'!D1941)),TRIM('R.M Billets Reports'!F1941),IF(ISNUMBER(SEARCH("Party Name-",'R.M Billets Reports'!D1941)),TRIM(MID('R.M Billets Reports'!D1941,SEARCH("-",'R.M Billets Reports'!D1941)+1,200)),"")))="VRKP ISPAT PVT LTD","VRKP",IF(IF(IF(ISNUMBER(SEARCH("Party Name:-",'R.M Billets Reports'!D1940)),TRIM('R.M Billets Reports'!F1940),IF(ISNUMBER(SEARCH("Party Name-",'R.M Billets Reports'!D1940)),TRIM(MID('R.M Billets Reports'!D1940,SEARCH("-",'R.M Billets Reports'!D1940)+1,200)),""))&lt;&gt;"",IF(ISNUMBER(SEARCH("Party Name:-",'R.M Billets Reports'!D1940)),TRIM('R.M Billets Reports'!F1940),IF(ISNUMBER(SEARCH("Party Name-",'R.M Billets Reports'!D1940)),TRIM(MID('R.M Billets Reports'!D1940,SEARCH("-",'R.M Billets Reports'!D1940)+1,200)),"")),IF(ISNUMBER(SEARCH("Party Name:-",'R.M Billets Reports'!D1941)),TRIM('R.M Billets Reports'!F1941),IF(ISNUMBER(SEARCH("Party Name-",'R.M Billets Reports'!D1941)),TRIM(MID('R.M Billets Reports'!D1941,SEARCH("-",'R.M Billets Reports'!D1941)+1,200)),"")))="SHRI RADHE","SHREE RADHE",IF(IF(IF(ISNUMBER(SEARCH("Party Name:-",'R.M Billets Reports'!D1940)),TRIM('R.M Billets Reports'!F1940),IF(ISNUMBER(SEARCH("Party Name-",'R.M Billets Reports'!D1940)),TRIM(MID('R.M Billets Reports'!D1940,SEARCH("-",'R.M Billets Reports'!D1940)+1,200)),""))&lt;&gt;"",IF(ISNUMBER(SEARCH("Party Name:-",'R.M Billets Reports'!D1940)),TRIM('R.M Billets Reports'!F1940),IF(ISNUMBER(SEARCH("Party Name-",'R.M Billets Reports'!D1940)),TRIM(MID('R.M Billets Reports'!D1940,SEARCH("-",'R.M Billets Reports'!D1940)+1,200)),"")),IF(ISNUMBER(SEARCH("Party Name:-",'R.M Billets Reports'!D1941)),TRIM('R.M Billets Reports'!F1941),IF(ISNUMBER(SEARCH("Party Name-",'R.M Billets Reports'!D1941)),TRIM(MID('R.M Billets Reports'!D1941,SEARCH("-",'R.M Billets Reports'!D1941)+1,200)),"")))="SHREE RADHE SHAKTI SPONGE AND POWER PVT. LTD.","SHREE RADHE",IF(IF(ISNUMBER(SEARCH("Party Name:-",'R.M Billets Reports'!D1940)),TRIM('R.M Billets Reports'!F1940),IF(ISNUMBER(SEARCH("Party Name-",'R.M Billets Reports'!D1940)),TRIM(MID('R.M Billets Reports'!D1940,SEARCH("-",'R.M Billets Reports'!D1940)+1,200)),""))&lt;&gt;"",IF(ISNUMBER(SEARCH("Party Name:-",'R.M Billets Reports'!D1940)),TRIM('R.M Billets Reports'!F1940),IF(ISNUMBER(SEARCH("Party Name-",'R.M Billets Reports'!D1940)),TRIM(MID('R.M Billets Reports'!D1940,SEARCH("-",'R.M Billets Reports'!D1940)+1,200)),"")),IF(ISNUMBER(SEARCH("Party Name:-",'R.M Billets Reports'!D1941)),TRIM('R.M Billets Reports'!F1941),IF(ISNUMBER(SEARCH("Party Name-",'R.M Billets Reports'!D1941)),TRIM(MID('R.M Billets Reports'!D1941,SEARCH("-",'R.M Billets Reports'!D1941)+1,200)),"")))))),IF(ROW()=2,"",A1940))</f>
      </c>
      <c r="B1941">
        <f>IF(OR('R.M Billets Reports'!A1940="Date-",'R.M Billets Reports'!A1940="Date:-"),'R.M Billets Reports'!B1940,IF(ROW()=2,"",B1940))</f>
      </c>
      <c r="C1941">
        <f>IF('R.M Billets Reports'!A1940="V.No.",'R.M Billets Reports'!B1940,IF(ROW()=2,"",C1940))</f>
      </c>
      <c r="D1941">
        <f>IF('R.M Billets Reports'!A1940&lt;&gt;"",'R.M Billets Reports'!A1940,IF(ROW()=2,"",D1940))</f>
      </c>
      <c r="E1941">
        <f>IF('R.M Billets Reports'!B1940="","",TRIM('R.M Billets Reports'!B1940))</f>
      </c>
      <c r="F1941">
        <f>'R.M Billets Reports'!C1940</f>
      </c>
      <c r="G1941">
        <f>'R.M Billets Reports'!D1940</f>
      </c>
      <c r="H1941">
        <f>'R.M Billets Reports'!E1940</f>
      </c>
      <c r="I1941">
        <f>'R.M Billets Reports'!F1940</f>
      </c>
      <c r="J1941">
        <f>'R.M Billets Reports'!G1940</f>
      </c>
      <c r="K1941">
        <f>'R.M Billets Reports'!H1940</f>
      </c>
      <c r="L1941">
        <f>IF('R.M Billets Reports'!I1940="","",'R.M Billets Reports'!I1940)</f>
      </c>
      <c r="M1941">
        <f t="shared" si="60"/>
      </c>
      <c r="N1941">
        <f>IF('R.M Billets Reports'!J1940="","",'R.M Billets Reports'!J1940)</f>
      </c>
      <c r="O1941">
        <f t="shared" si="61"/>
      </c>
      <c r="P1941">
        <f>IF('R.M Billets Reports'!A1940="SIZE",'R.M Billets Reports'!B1940,P1940)</f>
      </c>
    </row>
    <row r="1942" spans="1:16" x14ac:dyDescent="0.25">
      <c r="A1942">
        <f>IF(OR('R.M Billets Reports'!A1941="Date-",'R.M Billets Reports'!A1941="Date:-"),IF(IF(IF(ISNUMBER(SEARCH("Party Name:-",'R.M Billets Reports'!D1941)),TRIM('R.M Billets Reports'!F1941),IF(ISNUMBER(SEARCH("Party Name-",'R.M Billets Reports'!D1941)),TRIM(MID('R.M Billets Reports'!D1941,SEARCH("-",'R.M Billets Reports'!D1941)+1,200)),""))&lt;&gt;"",IF(ISNUMBER(SEARCH("Party Name:-",'R.M Billets Reports'!D1941)),TRIM('R.M Billets Reports'!F1941),IF(ISNUMBER(SEARCH("Party Name-",'R.M Billets Reports'!D1941)),TRIM(MID('R.M Billets Reports'!D1941,SEARCH("-",'R.M Billets Reports'!D1941)+1,200)),"")),IF(ISNUMBER(SEARCH("Party Name:-",'R.M Billets Reports'!D1942)),TRIM('R.M Billets Reports'!F1942),IF(ISNUMBER(SEARCH("Party Name-",'R.M Billets Reports'!D1942)),TRIM(MID('R.M Billets Reports'!D1942,SEARCH("-",'R.M Billets Reports'!D1942)+1,200)),"")))="VRKP ISPAT PVT LTD","VRKP",IF(IF(IF(ISNUMBER(SEARCH("Party Name:-",'R.M Billets Reports'!D1941)),TRIM('R.M Billets Reports'!F1941),IF(ISNUMBER(SEARCH("Party Name-",'R.M Billets Reports'!D1941)),TRIM(MID('R.M Billets Reports'!D1941,SEARCH("-",'R.M Billets Reports'!D1941)+1,200)),""))&lt;&gt;"",IF(ISNUMBER(SEARCH("Party Name:-",'R.M Billets Reports'!D1941)),TRIM('R.M Billets Reports'!F1941),IF(ISNUMBER(SEARCH("Party Name-",'R.M Billets Reports'!D1941)),TRIM(MID('R.M Billets Reports'!D1941,SEARCH("-",'R.M Billets Reports'!D1941)+1,200)),"")),IF(ISNUMBER(SEARCH("Party Name:-",'R.M Billets Reports'!D1942)),TRIM('R.M Billets Reports'!F1942),IF(ISNUMBER(SEARCH("Party Name-",'R.M Billets Reports'!D1942)),TRIM(MID('R.M Billets Reports'!D1942,SEARCH("-",'R.M Billets Reports'!D1942)+1,200)),"")))="SHRI RADHE","SHREE RADHE",IF(IF(IF(ISNUMBER(SEARCH("Party Name:-",'R.M Billets Reports'!D1941)),TRIM('R.M Billets Reports'!F1941),IF(ISNUMBER(SEARCH("Party Name-",'R.M Billets Reports'!D1941)),TRIM(MID('R.M Billets Reports'!D1941,SEARCH("-",'R.M Billets Reports'!D1941)+1,200)),""))&lt;&gt;"",IF(ISNUMBER(SEARCH("Party Name:-",'R.M Billets Reports'!D1941)),TRIM('R.M Billets Reports'!F1941),IF(ISNUMBER(SEARCH("Party Name-",'R.M Billets Reports'!D1941)),TRIM(MID('R.M Billets Reports'!D1941,SEARCH("-",'R.M Billets Reports'!D1941)+1,200)),"")),IF(ISNUMBER(SEARCH("Party Name:-",'R.M Billets Reports'!D1942)),TRIM('R.M Billets Reports'!F1942),IF(ISNUMBER(SEARCH("Party Name-",'R.M Billets Reports'!D1942)),TRIM(MID('R.M Billets Reports'!D1942,SEARCH("-",'R.M Billets Reports'!D1942)+1,200)),"")))="SHREE RADHE SHAKTI SPONGE AND POWER PVT. LTD.","SHREE RADHE",IF(IF(ISNUMBER(SEARCH("Party Name:-",'R.M Billets Reports'!D1941)),TRIM('R.M Billets Reports'!F1941),IF(ISNUMBER(SEARCH("Party Name-",'R.M Billets Reports'!D1941)),TRIM(MID('R.M Billets Reports'!D1941,SEARCH("-",'R.M Billets Reports'!D1941)+1,200)),""))&lt;&gt;"",IF(ISNUMBER(SEARCH("Party Name:-",'R.M Billets Reports'!D1941)),TRIM('R.M Billets Reports'!F1941),IF(ISNUMBER(SEARCH("Party Name-",'R.M Billets Reports'!D1941)),TRIM(MID('R.M Billets Reports'!D1941,SEARCH("-",'R.M Billets Reports'!D1941)+1,200)),"")),IF(ISNUMBER(SEARCH("Party Name:-",'R.M Billets Reports'!D1942)),TRIM('R.M Billets Reports'!F1942),IF(ISNUMBER(SEARCH("Party Name-",'R.M Billets Reports'!D1942)),TRIM(MID('R.M Billets Reports'!D1942,SEARCH("-",'R.M Billets Reports'!D1942)+1,200)),"")))))),IF(ROW()=2,"",A1941))</f>
      </c>
      <c r="B1942">
        <f>IF(OR('R.M Billets Reports'!A1941="Date-",'R.M Billets Reports'!A1941="Date:-"),'R.M Billets Reports'!B1941,IF(ROW()=2,"",B1941))</f>
      </c>
      <c r="C1942">
        <f>IF('R.M Billets Reports'!A1941="V.No.",'R.M Billets Reports'!B1941,IF(ROW()=2,"",C1941))</f>
      </c>
      <c r="D1942">
        <f>IF('R.M Billets Reports'!A1941&lt;&gt;"",'R.M Billets Reports'!A1941,IF(ROW()=2,"",D1941))</f>
      </c>
      <c r="E1942">
        <f>IF('R.M Billets Reports'!B1941="","",TRIM('R.M Billets Reports'!B1941))</f>
      </c>
      <c r="F1942">
        <f>'R.M Billets Reports'!C1941</f>
      </c>
      <c r="G1942">
        <f>'R.M Billets Reports'!D1941</f>
      </c>
      <c r="H1942">
        <f>'R.M Billets Reports'!E1941</f>
      </c>
      <c r="I1942">
        <f>'R.M Billets Reports'!F1941</f>
      </c>
      <c r="J1942">
        <f>'R.M Billets Reports'!G1941</f>
      </c>
      <c r="K1942">
        <f>'R.M Billets Reports'!H1941</f>
      </c>
      <c r="L1942">
        <f>IF('R.M Billets Reports'!I1941="","",'R.M Billets Reports'!I1941)</f>
      </c>
      <c r="M1942">
        <f t="shared" si="60"/>
      </c>
      <c r="N1942">
        <f>IF('R.M Billets Reports'!J1941="","",'R.M Billets Reports'!J1941)</f>
      </c>
      <c r="O1942">
        <f t="shared" si="61"/>
      </c>
      <c r="P1942">
        <f>IF('R.M Billets Reports'!A1941="SIZE",'R.M Billets Reports'!B1941,P1941)</f>
      </c>
    </row>
    <row r="1943" spans="1:16" x14ac:dyDescent="0.25">
      <c r="A1943">
        <f>IF(OR('R.M Billets Reports'!A1942="Date-",'R.M Billets Reports'!A1942="Date:-"),IF(IF(IF(ISNUMBER(SEARCH("Party Name:-",'R.M Billets Reports'!D1942)),TRIM('R.M Billets Reports'!F1942),IF(ISNUMBER(SEARCH("Party Name-",'R.M Billets Reports'!D1942)),TRIM(MID('R.M Billets Reports'!D1942,SEARCH("-",'R.M Billets Reports'!D1942)+1,200)),""))&lt;&gt;"",IF(ISNUMBER(SEARCH("Party Name:-",'R.M Billets Reports'!D1942)),TRIM('R.M Billets Reports'!F1942),IF(ISNUMBER(SEARCH("Party Name-",'R.M Billets Reports'!D1942)),TRIM(MID('R.M Billets Reports'!D1942,SEARCH("-",'R.M Billets Reports'!D1942)+1,200)),"")),IF(ISNUMBER(SEARCH("Party Name:-",'R.M Billets Reports'!D1943)),TRIM('R.M Billets Reports'!F1943),IF(ISNUMBER(SEARCH("Party Name-",'R.M Billets Reports'!D1943)),TRIM(MID('R.M Billets Reports'!D1943,SEARCH("-",'R.M Billets Reports'!D1943)+1,200)),"")))="VRKP ISPAT PVT LTD","VRKP",IF(IF(IF(ISNUMBER(SEARCH("Party Name:-",'R.M Billets Reports'!D1942)),TRIM('R.M Billets Reports'!F1942),IF(ISNUMBER(SEARCH("Party Name-",'R.M Billets Reports'!D1942)),TRIM(MID('R.M Billets Reports'!D1942,SEARCH("-",'R.M Billets Reports'!D1942)+1,200)),""))&lt;&gt;"",IF(ISNUMBER(SEARCH("Party Name:-",'R.M Billets Reports'!D1942)),TRIM('R.M Billets Reports'!F1942),IF(ISNUMBER(SEARCH("Party Name-",'R.M Billets Reports'!D1942)),TRIM(MID('R.M Billets Reports'!D1942,SEARCH("-",'R.M Billets Reports'!D1942)+1,200)),"")),IF(ISNUMBER(SEARCH("Party Name:-",'R.M Billets Reports'!D1943)),TRIM('R.M Billets Reports'!F1943),IF(ISNUMBER(SEARCH("Party Name-",'R.M Billets Reports'!D1943)),TRIM(MID('R.M Billets Reports'!D1943,SEARCH("-",'R.M Billets Reports'!D1943)+1,200)),"")))="SHRI RADHE","SHREE RADHE",IF(IF(IF(ISNUMBER(SEARCH("Party Name:-",'R.M Billets Reports'!D1942)),TRIM('R.M Billets Reports'!F1942),IF(ISNUMBER(SEARCH("Party Name-",'R.M Billets Reports'!D1942)),TRIM(MID('R.M Billets Reports'!D1942,SEARCH("-",'R.M Billets Reports'!D1942)+1,200)),""))&lt;&gt;"",IF(ISNUMBER(SEARCH("Party Name:-",'R.M Billets Reports'!D1942)),TRIM('R.M Billets Reports'!F1942),IF(ISNUMBER(SEARCH("Party Name-",'R.M Billets Reports'!D1942)),TRIM(MID('R.M Billets Reports'!D1942,SEARCH("-",'R.M Billets Reports'!D1942)+1,200)),"")),IF(ISNUMBER(SEARCH("Party Name:-",'R.M Billets Reports'!D1943)),TRIM('R.M Billets Reports'!F1943),IF(ISNUMBER(SEARCH("Party Name-",'R.M Billets Reports'!D1943)),TRIM(MID('R.M Billets Reports'!D1943,SEARCH("-",'R.M Billets Reports'!D1943)+1,200)),"")))="SHREE RADHE SHAKTI SPONGE AND POWER PVT. LTD.","SHREE RADHE",IF(IF(ISNUMBER(SEARCH("Party Name:-",'R.M Billets Reports'!D1942)),TRIM('R.M Billets Reports'!F1942),IF(ISNUMBER(SEARCH("Party Name-",'R.M Billets Reports'!D1942)),TRIM(MID('R.M Billets Reports'!D1942,SEARCH("-",'R.M Billets Reports'!D1942)+1,200)),""))&lt;&gt;"",IF(ISNUMBER(SEARCH("Party Name:-",'R.M Billets Reports'!D1942)),TRIM('R.M Billets Reports'!F1942),IF(ISNUMBER(SEARCH("Party Name-",'R.M Billets Reports'!D1942)),TRIM(MID('R.M Billets Reports'!D1942,SEARCH("-",'R.M Billets Reports'!D1942)+1,200)),"")),IF(ISNUMBER(SEARCH("Party Name:-",'R.M Billets Reports'!D1943)),TRIM('R.M Billets Reports'!F1943),IF(ISNUMBER(SEARCH("Party Name-",'R.M Billets Reports'!D1943)),TRIM(MID('R.M Billets Reports'!D1943,SEARCH("-",'R.M Billets Reports'!D1943)+1,200)),"")))))),IF(ROW()=2,"",A1942))</f>
      </c>
      <c r="B1943">
        <f>IF(OR('R.M Billets Reports'!A1942="Date-",'R.M Billets Reports'!A1942="Date:-"),'R.M Billets Reports'!B1942,IF(ROW()=2,"",B1942))</f>
      </c>
      <c r="C1943">
        <f>IF('R.M Billets Reports'!A1942="V.No.",'R.M Billets Reports'!B1942,IF(ROW()=2,"",C1942))</f>
      </c>
      <c r="D1943">
        <f>IF('R.M Billets Reports'!A1942&lt;&gt;"",'R.M Billets Reports'!A1942,IF(ROW()=2,"",D1942))</f>
      </c>
      <c r="E1943">
        <f>IF('R.M Billets Reports'!B1942="","",TRIM('R.M Billets Reports'!B1942))</f>
      </c>
      <c r="F1943">
        <f>'R.M Billets Reports'!C1942</f>
      </c>
      <c r="G1943">
        <f>'R.M Billets Reports'!D1942</f>
      </c>
      <c r="H1943">
        <f>'R.M Billets Reports'!E1942</f>
      </c>
      <c r="I1943">
        <f>'R.M Billets Reports'!F1942</f>
      </c>
      <c r="J1943">
        <f>'R.M Billets Reports'!G1942</f>
      </c>
      <c r="K1943">
        <f>'R.M Billets Reports'!H1942</f>
      </c>
      <c r="L1943">
        <f>IF('R.M Billets Reports'!I1942="","",'R.M Billets Reports'!I1942)</f>
      </c>
      <c r="M1943">
        <f t="shared" si="60"/>
      </c>
      <c r="N1943">
        <f>IF('R.M Billets Reports'!J1942="","",'R.M Billets Reports'!J1942)</f>
      </c>
      <c r="O1943">
        <f t="shared" si="61"/>
      </c>
      <c r="P1943">
        <f>IF('R.M Billets Reports'!A1942="SIZE",'R.M Billets Reports'!B1942,P1942)</f>
      </c>
    </row>
    <row r="1944" spans="1:16" x14ac:dyDescent="0.25">
      <c r="A1944">
        <f>IF(OR('R.M Billets Reports'!A1943="Date-",'R.M Billets Reports'!A1943="Date:-"),IF(IF(IF(ISNUMBER(SEARCH("Party Name:-",'R.M Billets Reports'!D1943)),TRIM('R.M Billets Reports'!F1943),IF(ISNUMBER(SEARCH("Party Name-",'R.M Billets Reports'!D1943)),TRIM(MID('R.M Billets Reports'!D1943,SEARCH("-",'R.M Billets Reports'!D1943)+1,200)),""))&lt;&gt;"",IF(ISNUMBER(SEARCH("Party Name:-",'R.M Billets Reports'!D1943)),TRIM('R.M Billets Reports'!F1943),IF(ISNUMBER(SEARCH("Party Name-",'R.M Billets Reports'!D1943)),TRIM(MID('R.M Billets Reports'!D1943,SEARCH("-",'R.M Billets Reports'!D1943)+1,200)),"")),IF(ISNUMBER(SEARCH("Party Name:-",'R.M Billets Reports'!D1944)),TRIM('R.M Billets Reports'!F1944),IF(ISNUMBER(SEARCH("Party Name-",'R.M Billets Reports'!D1944)),TRIM(MID('R.M Billets Reports'!D1944,SEARCH("-",'R.M Billets Reports'!D1944)+1,200)),"")))="VRKP ISPAT PVT LTD","VRKP",IF(IF(IF(ISNUMBER(SEARCH("Party Name:-",'R.M Billets Reports'!D1943)),TRIM('R.M Billets Reports'!F1943),IF(ISNUMBER(SEARCH("Party Name-",'R.M Billets Reports'!D1943)),TRIM(MID('R.M Billets Reports'!D1943,SEARCH("-",'R.M Billets Reports'!D1943)+1,200)),""))&lt;&gt;"",IF(ISNUMBER(SEARCH("Party Name:-",'R.M Billets Reports'!D1943)),TRIM('R.M Billets Reports'!F1943),IF(ISNUMBER(SEARCH("Party Name-",'R.M Billets Reports'!D1943)),TRIM(MID('R.M Billets Reports'!D1943,SEARCH("-",'R.M Billets Reports'!D1943)+1,200)),"")),IF(ISNUMBER(SEARCH("Party Name:-",'R.M Billets Reports'!D1944)),TRIM('R.M Billets Reports'!F1944),IF(ISNUMBER(SEARCH("Party Name-",'R.M Billets Reports'!D1944)),TRIM(MID('R.M Billets Reports'!D1944,SEARCH("-",'R.M Billets Reports'!D1944)+1,200)),"")))="SHRI RADHE","SHREE RADHE",IF(IF(IF(ISNUMBER(SEARCH("Party Name:-",'R.M Billets Reports'!D1943)),TRIM('R.M Billets Reports'!F1943),IF(ISNUMBER(SEARCH("Party Name-",'R.M Billets Reports'!D1943)),TRIM(MID('R.M Billets Reports'!D1943,SEARCH("-",'R.M Billets Reports'!D1943)+1,200)),""))&lt;&gt;"",IF(ISNUMBER(SEARCH("Party Name:-",'R.M Billets Reports'!D1943)),TRIM('R.M Billets Reports'!F1943),IF(ISNUMBER(SEARCH("Party Name-",'R.M Billets Reports'!D1943)),TRIM(MID('R.M Billets Reports'!D1943,SEARCH("-",'R.M Billets Reports'!D1943)+1,200)),"")),IF(ISNUMBER(SEARCH("Party Name:-",'R.M Billets Reports'!D1944)),TRIM('R.M Billets Reports'!F1944),IF(ISNUMBER(SEARCH("Party Name-",'R.M Billets Reports'!D1944)),TRIM(MID('R.M Billets Reports'!D1944,SEARCH("-",'R.M Billets Reports'!D1944)+1,200)),"")))="SHREE RADHE SHAKTI SPONGE AND POWER PVT. LTD.","SHREE RADHE",IF(IF(ISNUMBER(SEARCH("Party Name:-",'R.M Billets Reports'!D1943)),TRIM('R.M Billets Reports'!F1943),IF(ISNUMBER(SEARCH("Party Name-",'R.M Billets Reports'!D1943)),TRIM(MID('R.M Billets Reports'!D1943,SEARCH("-",'R.M Billets Reports'!D1943)+1,200)),""))&lt;&gt;"",IF(ISNUMBER(SEARCH("Party Name:-",'R.M Billets Reports'!D1943)),TRIM('R.M Billets Reports'!F1943),IF(ISNUMBER(SEARCH("Party Name-",'R.M Billets Reports'!D1943)),TRIM(MID('R.M Billets Reports'!D1943,SEARCH("-",'R.M Billets Reports'!D1943)+1,200)),"")),IF(ISNUMBER(SEARCH("Party Name:-",'R.M Billets Reports'!D1944)),TRIM('R.M Billets Reports'!F1944),IF(ISNUMBER(SEARCH("Party Name-",'R.M Billets Reports'!D1944)),TRIM(MID('R.M Billets Reports'!D1944,SEARCH("-",'R.M Billets Reports'!D1944)+1,200)),"")))))),IF(ROW()=2,"",A1943))</f>
      </c>
      <c r="B1944">
        <f>IF(OR('R.M Billets Reports'!A1943="Date-",'R.M Billets Reports'!A1943="Date:-"),'R.M Billets Reports'!B1943,IF(ROW()=2,"",B1943))</f>
      </c>
      <c r="C1944">
        <f>IF('R.M Billets Reports'!A1943="V.No.",'R.M Billets Reports'!B1943,IF(ROW()=2,"",C1943))</f>
      </c>
      <c r="D1944">
        <f>IF('R.M Billets Reports'!A1943&lt;&gt;"",'R.M Billets Reports'!A1943,IF(ROW()=2,"",D1943))</f>
      </c>
      <c r="E1944">
        <f>IF('R.M Billets Reports'!B1943="","",TRIM('R.M Billets Reports'!B1943))</f>
      </c>
      <c r="F1944">
        <f>'R.M Billets Reports'!C1943</f>
      </c>
      <c r="G1944">
        <f>'R.M Billets Reports'!D1943</f>
      </c>
      <c r="H1944">
        <f>'R.M Billets Reports'!E1943</f>
      </c>
      <c r="I1944">
        <f>'R.M Billets Reports'!F1943</f>
      </c>
      <c r="J1944">
        <f>'R.M Billets Reports'!G1943</f>
      </c>
      <c r="K1944">
        <f>'R.M Billets Reports'!H1943</f>
      </c>
      <c r="L1944">
        <f>IF('R.M Billets Reports'!I1943="","",'R.M Billets Reports'!I1943)</f>
      </c>
      <c r="M1944">
        <f t="shared" si="60"/>
      </c>
      <c r="N1944">
        <f>IF('R.M Billets Reports'!J1943="","",'R.M Billets Reports'!J1943)</f>
      </c>
      <c r="O1944">
        <f t="shared" si="61"/>
      </c>
      <c r="P1944">
        <f>IF('R.M Billets Reports'!A1943="SIZE",'R.M Billets Reports'!B1943,P1943)</f>
      </c>
    </row>
    <row r="1945" spans="1:16" x14ac:dyDescent="0.25">
      <c r="A1945">
        <f>IF(OR('R.M Billets Reports'!A1944="Date-",'R.M Billets Reports'!A1944="Date:-"),IF(IF(IF(ISNUMBER(SEARCH("Party Name:-",'R.M Billets Reports'!D1944)),TRIM('R.M Billets Reports'!F1944),IF(ISNUMBER(SEARCH("Party Name-",'R.M Billets Reports'!D1944)),TRIM(MID('R.M Billets Reports'!D1944,SEARCH("-",'R.M Billets Reports'!D1944)+1,200)),""))&lt;&gt;"",IF(ISNUMBER(SEARCH("Party Name:-",'R.M Billets Reports'!D1944)),TRIM('R.M Billets Reports'!F1944),IF(ISNUMBER(SEARCH("Party Name-",'R.M Billets Reports'!D1944)),TRIM(MID('R.M Billets Reports'!D1944,SEARCH("-",'R.M Billets Reports'!D1944)+1,200)),"")),IF(ISNUMBER(SEARCH("Party Name:-",'R.M Billets Reports'!D1945)),TRIM('R.M Billets Reports'!F1945),IF(ISNUMBER(SEARCH("Party Name-",'R.M Billets Reports'!D1945)),TRIM(MID('R.M Billets Reports'!D1945,SEARCH("-",'R.M Billets Reports'!D1945)+1,200)),"")))="VRKP ISPAT PVT LTD","VRKP",IF(IF(IF(ISNUMBER(SEARCH("Party Name:-",'R.M Billets Reports'!D1944)),TRIM('R.M Billets Reports'!F1944),IF(ISNUMBER(SEARCH("Party Name-",'R.M Billets Reports'!D1944)),TRIM(MID('R.M Billets Reports'!D1944,SEARCH("-",'R.M Billets Reports'!D1944)+1,200)),""))&lt;&gt;"",IF(ISNUMBER(SEARCH("Party Name:-",'R.M Billets Reports'!D1944)),TRIM('R.M Billets Reports'!F1944),IF(ISNUMBER(SEARCH("Party Name-",'R.M Billets Reports'!D1944)),TRIM(MID('R.M Billets Reports'!D1944,SEARCH("-",'R.M Billets Reports'!D1944)+1,200)),"")),IF(ISNUMBER(SEARCH("Party Name:-",'R.M Billets Reports'!D1945)),TRIM('R.M Billets Reports'!F1945),IF(ISNUMBER(SEARCH("Party Name-",'R.M Billets Reports'!D1945)),TRIM(MID('R.M Billets Reports'!D1945,SEARCH("-",'R.M Billets Reports'!D1945)+1,200)),"")))="SHRI RADHE","SHREE RADHE",IF(IF(IF(ISNUMBER(SEARCH("Party Name:-",'R.M Billets Reports'!D1944)),TRIM('R.M Billets Reports'!F1944),IF(ISNUMBER(SEARCH("Party Name-",'R.M Billets Reports'!D1944)),TRIM(MID('R.M Billets Reports'!D1944,SEARCH("-",'R.M Billets Reports'!D1944)+1,200)),""))&lt;&gt;"",IF(ISNUMBER(SEARCH("Party Name:-",'R.M Billets Reports'!D1944)),TRIM('R.M Billets Reports'!F1944),IF(ISNUMBER(SEARCH("Party Name-",'R.M Billets Reports'!D1944)),TRIM(MID('R.M Billets Reports'!D1944,SEARCH("-",'R.M Billets Reports'!D1944)+1,200)),"")),IF(ISNUMBER(SEARCH("Party Name:-",'R.M Billets Reports'!D1945)),TRIM('R.M Billets Reports'!F1945),IF(ISNUMBER(SEARCH("Party Name-",'R.M Billets Reports'!D1945)),TRIM(MID('R.M Billets Reports'!D1945,SEARCH("-",'R.M Billets Reports'!D1945)+1,200)),"")))="SHREE RADHE SHAKTI SPONGE AND POWER PVT. LTD.","SHREE RADHE",IF(IF(ISNUMBER(SEARCH("Party Name:-",'R.M Billets Reports'!D1944)),TRIM('R.M Billets Reports'!F1944),IF(ISNUMBER(SEARCH("Party Name-",'R.M Billets Reports'!D1944)),TRIM(MID('R.M Billets Reports'!D1944,SEARCH("-",'R.M Billets Reports'!D1944)+1,200)),""))&lt;&gt;"",IF(ISNUMBER(SEARCH("Party Name:-",'R.M Billets Reports'!D1944)),TRIM('R.M Billets Reports'!F1944),IF(ISNUMBER(SEARCH("Party Name-",'R.M Billets Reports'!D1944)),TRIM(MID('R.M Billets Reports'!D1944,SEARCH("-",'R.M Billets Reports'!D1944)+1,200)),"")),IF(ISNUMBER(SEARCH("Party Name:-",'R.M Billets Reports'!D1945)),TRIM('R.M Billets Reports'!F1945),IF(ISNUMBER(SEARCH("Party Name-",'R.M Billets Reports'!D1945)),TRIM(MID('R.M Billets Reports'!D1945,SEARCH("-",'R.M Billets Reports'!D1945)+1,200)),"")))))),IF(ROW()=2,"",A1944))</f>
      </c>
      <c r="B1945">
        <f>IF(OR('R.M Billets Reports'!A1944="Date-",'R.M Billets Reports'!A1944="Date:-"),'R.M Billets Reports'!B1944,IF(ROW()=2,"",B1944))</f>
      </c>
      <c r="C1945">
        <f>IF('R.M Billets Reports'!A1944="V.No.",'R.M Billets Reports'!B1944,IF(ROW()=2,"",C1944))</f>
      </c>
      <c r="D1945">
        <f>IF('R.M Billets Reports'!A1944&lt;&gt;"",'R.M Billets Reports'!A1944,IF(ROW()=2,"",D1944))</f>
      </c>
      <c r="E1945">
        <f>IF('R.M Billets Reports'!B1944="","",TRIM('R.M Billets Reports'!B1944))</f>
      </c>
      <c r="F1945">
        <f>'R.M Billets Reports'!C1944</f>
      </c>
      <c r="G1945">
        <f>'R.M Billets Reports'!D1944</f>
      </c>
      <c r="H1945">
        <f>'R.M Billets Reports'!E1944</f>
      </c>
      <c r="I1945">
        <f>'R.M Billets Reports'!F1944</f>
      </c>
      <c r="J1945">
        <f>'R.M Billets Reports'!G1944</f>
      </c>
      <c r="K1945">
        <f>'R.M Billets Reports'!H1944</f>
      </c>
      <c r="L1945">
        <f>IF('R.M Billets Reports'!I1944="","",'R.M Billets Reports'!I1944)</f>
      </c>
      <c r="M1945">
        <f t="shared" si="60"/>
      </c>
      <c r="N1945">
        <f>IF('R.M Billets Reports'!J1944="","",'R.M Billets Reports'!J1944)</f>
      </c>
      <c r="O1945">
        <f t="shared" si="61"/>
      </c>
      <c r="P1945">
        <f>IF('R.M Billets Reports'!A1944="SIZE",'R.M Billets Reports'!B1944,P1944)</f>
      </c>
    </row>
    <row r="1946" spans="1:16" x14ac:dyDescent="0.25">
      <c r="A1946">
        <f>IF(OR('R.M Billets Reports'!A1945="Date-",'R.M Billets Reports'!A1945="Date:-"),IF(IF(IF(ISNUMBER(SEARCH("Party Name:-",'R.M Billets Reports'!D1945)),TRIM('R.M Billets Reports'!F1945),IF(ISNUMBER(SEARCH("Party Name-",'R.M Billets Reports'!D1945)),TRIM(MID('R.M Billets Reports'!D1945,SEARCH("-",'R.M Billets Reports'!D1945)+1,200)),""))&lt;&gt;"",IF(ISNUMBER(SEARCH("Party Name:-",'R.M Billets Reports'!D1945)),TRIM('R.M Billets Reports'!F1945),IF(ISNUMBER(SEARCH("Party Name-",'R.M Billets Reports'!D1945)),TRIM(MID('R.M Billets Reports'!D1945,SEARCH("-",'R.M Billets Reports'!D1945)+1,200)),"")),IF(ISNUMBER(SEARCH("Party Name:-",'R.M Billets Reports'!D1946)),TRIM('R.M Billets Reports'!F1946),IF(ISNUMBER(SEARCH("Party Name-",'R.M Billets Reports'!D1946)),TRIM(MID('R.M Billets Reports'!D1946,SEARCH("-",'R.M Billets Reports'!D1946)+1,200)),"")))="VRKP ISPAT PVT LTD","VRKP",IF(IF(IF(ISNUMBER(SEARCH("Party Name:-",'R.M Billets Reports'!D1945)),TRIM('R.M Billets Reports'!F1945),IF(ISNUMBER(SEARCH("Party Name-",'R.M Billets Reports'!D1945)),TRIM(MID('R.M Billets Reports'!D1945,SEARCH("-",'R.M Billets Reports'!D1945)+1,200)),""))&lt;&gt;"",IF(ISNUMBER(SEARCH("Party Name:-",'R.M Billets Reports'!D1945)),TRIM('R.M Billets Reports'!F1945),IF(ISNUMBER(SEARCH("Party Name-",'R.M Billets Reports'!D1945)),TRIM(MID('R.M Billets Reports'!D1945,SEARCH("-",'R.M Billets Reports'!D1945)+1,200)),"")),IF(ISNUMBER(SEARCH("Party Name:-",'R.M Billets Reports'!D1946)),TRIM('R.M Billets Reports'!F1946),IF(ISNUMBER(SEARCH("Party Name-",'R.M Billets Reports'!D1946)),TRIM(MID('R.M Billets Reports'!D1946,SEARCH("-",'R.M Billets Reports'!D1946)+1,200)),"")))="SHRI RADHE","SHREE RADHE",IF(IF(IF(ISNUMBER(SEARCH("Party Name:-",'R.M Billets Reports'!D1945)),TRIM('R.M Billets Reports'!F1945),IF(ISNUMBER(SEARCH("Party Name-",'R.M Billets Reports'!D1945)),TRIM(MID('R.M Billets Reports'!D1945,SEARCH("-",'R.M Billets Reports'!D1945)+1,200)),""))&lt;&gt;"",IF(ISNUMBER(SEARCH("Party Name:-",'R.M Billets Reports'!D1945)),TRIM('R.M Billets Reports'!F1945),IF(ISNUMBER(SEARCH("Party Name-",'R.M Billets Reports'!D1945)),TRIM(MID('R.M Billets Reports'!D1945,SEARCH("-",'R.M Billets Reports'!D1945)+1,200)),"")),IF(ISNUMBER(SEARCH("Party Name:-",'R.M Billets Reports'!D1946)),TRIM('R.M Billets Reports'!F1946),IF(ISNUMBER(SEARCH("Party Name-",'R.M Billets Reports'!D1946)),TRIM(MID('R.M Billets Reports'!D1946,SEARCH("-",'R.M Billets Reports'!D1946)+1,200)),"")))="SHREE RADHE SHAKTI SPONGE AND POWER PVT. LTD.","SHREE RADHE",IF(IF(ISNUMBER(SEARCH("Party Name:-",'R.M Billets Reports'!D1945)),TRIM('R.M Billets Reports'!F1945),IF(ISNUMBER(SEARCH("Party Name-",'R.M Billets Reports'!D1945)),TRIM(MID('R.M Billets Reports'!D1945,SEARCH("-",'R.M Billets Reports'!D1945)+1,200)),""))&lt;&gt;"",IF(ISNUMBER(SEARCH("Party Name:-",'R.M Billets Reports'!D1945)),TRIM('R.M Billets Reports'!F1945),IF(ISNUMBER(SEARCH("Party Name-",'R.M Billets Reports'!D1945)),TRIM(MID('R.M Billets Reports'!D1945,SEARCH("-",'R.M Billets Reports'!D1945)+1,200)),"")),IF(ISNUMBER(SEARCH("Party Name:-",'R.M Billets Reports'!D1946)),TRIM('R.M Billets Reports'!F1946),IF(ISNUMBER(SEARCH("Party Name-",'R.M Billets Reports'!D1946)),TRIM(MID('R.M Billets Reports'!D1946,SEARCH("-",'R.M Billets Reports'!D1946)+1,200)),"")))))),IF(ROW()=2,"",A1945))</f>
      </c>
      <c r="B1946">
        <f>IF(OR('R.M Billets Reports'!A1945="Date-",'R.M Billets Reports'!A1945="Date:-"),'R.M Billets Reports'!B1945,IF(ROW()=2,"",B1945))</f>
      </c>
      <c r="C1946">
        <f>IF('R.M Billets Reports'!A1945="V.No.",'R.M Billets Reports'!B1945,IF(ROW()=2,"",C1945))</f>
      </c>
      <c r="D1946">
        <f>IF('R.M Billets Reports'!A1945&lt;&gt;"",'R.M Billets Reports'!A1945,IF(ROW()=2,"",D1945))</f>
      </c>
      <c r="E1946">
        <f>IF('R.M Billets Reports'!B1945="","",TRIM('R.M Billets Reports'!B1945))</f>
      </c>
      <c r="F1946">
        <f>'R.M Billets Reports'!C1945</f>
      </c>
      <c r="G1946">
        <f>'R.M Billets Reports'!D1945</f>
      </c>
      <c r="H1946">
        <f>'R.M Billets Reports'!E1945</f>
      </c>
      <c r="I1946">
        <f>'R.M Billets Reports'!F1945</f>
      </c>
      <c r="J1946">
        <f>'R.M Billets Reports'!G1945</f>
      </c>
      <c r="K1946">
        <f>'R.M Billets Reports'!H1945</f>
      </c>
      <c r="L1946">
        <f>IF('R.M Billets Reports'!I1945="","",'R.M Billets Reports'!I1945)</f>
      </c>
      <c r="M1946">
        <f t="shared" si="60"/>
      </c>
      <c r="N1946">
        <f>IF('R.M Billets Reports'!J1945="","",'R.M Billets Reports'!J1945)</f>
      </c>
      <c r="O1946">
        <f t="shared" si="61"/>
      </c>
      <c r="P1946">
        <f>IF('R.M Billets Reports'!A1945="SIZE",'R.M Billets Reports'!B1945,P1945)</f>
      </c>
    </row>
    <row r="1947" spans="1:16" x14ac:dyDescent="0.25">
      <c r="A1947">
        <f>IF(OR('R.M Billets Reports'!A1946="Date-",'R.M Billets Reports'!A1946="Date:-"),IF(IF(IF(ISNUMBER(SEARCH("Party Name:-",'R.M Billets Reports'!D1946)),TRIM('R.M Billets Reports'!F1946),IF(ISNUMBER(SEARCH("Party Name-",'R.M Billets Reports'!D1946)),TRIM(MID('R.M Billets Reports'!D1946,SEARCH("-",'R.M Billets Reports'!D1946)+1,200)),""))&lt;&gt;"",IF(ISNUMBER(SEARCH("Party Name:-",'R.M Billets Reports'!D1946)),TRIM('R.M Billets Reports'!F1946),IF(ISNUMBER(SEARCH("Party Name-",'R.M Billets Reports'!D1946)),TRIM(MID('R.M Billets Reports'!D1946,SEARCH("-",'R.M Billets Reports'!D1946)+1,200)),"")),IF(ISNUMBER(SEARCH("Party Name:-",'R.M Billets Reports'!D1947)),TRIM('R.M Billets Reports'!F1947),IF(ISNUMBER(SEARCH("Party Name-",'R.M Billets Reports'!D1947)),TRIM(MID('R.M Billets Reports'!D1947,SEARCH("-",'R.M Billets Reports'!D1947)+1,200)),"")))="VRKP ISPAT PVT LTD","VRKP",IF(IF(IF(ISNUMBER(SEARCH("Party Name:-",'R.M Billets Reports'!D1946)),TRIM('R.M Billets Reports'!F1946),IF(ISNUMBER(SEARCH("Party Name-",'R.M Billets Reports'!D1946)),TRIM(MID('R.M Billets Reports'!D1946,SEARCH("-",'R.M Billets Reports'!D1946)+1,200)),""))&lt;&gt;"",IF(ISNUMBER(SEARCH("Party Name:-",'R.M Billets Reports'!D1946)),TRIM('R.M Billets Reports'!F1946),IF(ISNUMBER(SEARCH("Party Name-",'R.M Billets Reports'!D1946)),TRIM(MID('R.M Billets Reports'!D1946,SEARCH("-",'R.M Billets Reports'!D1946)+1,200)),"")),IF(ISNUMBER(SEARCH("Party Name:-",'R.M Billets Reports'!D1947)),TRIM('R.M Billets Reports'!F1947),IF(ISNUMBER(SEARCH("Party Name-",'R.M Billets Reports'!D1947)),TRIM(MID('R.M Billets Reports'!D1947,SEARCH("-",'R.M Billets Reports'!D1947)+1,200)),"")))="SHRI RADHE","SHREE RADHE",IF(IF(IF(ISNUMBER(SEARCH("Party Name:-",'R.M Billets Reports'!D1946)),TRIM('R.M Billets Reports'!F1946),IF(ISNUMBER(SEARCH("Party Name-",'R.M Billets Reports'!D1946)),TRIM(MID('R.M Billets Reports'!D1946,SEARCH("-",'R.M Billets Reports'!D1946)+1,200)),""))&lt;&gt;"",IF(ISNUMBER(SEARCH("Party Name:-",'R.M Billets Reports'!D1946)),TRIM('R.M Billets Reports'!F1946),IF(ISNUMBER(SEARCH("Party Name-",'R.M Billets Reports'!D1946)),TRIM(MID('R.M Billets Reports'!D1946,SEARCH("-",'R.M Billets Reports'!D1946)+1,200)),"")),IF(ISNUMBER(SEARCH("Party Name:-",'R.M Billets Reports'!D1947)),TRIM('R.M Billets Reports'!F1947),IF(ISNUMBER(SEARCH("Party Name-",'R.M Billets Reports'!D1947)),TRIM(MID('R.M Billets Reports'!D1947,SEARCH("-",'R.M Billets Reports'!D1947)+1,200)),"")))="SHREE RADHE SHAKTI SPONGE AND POWER PVT. LTD.","SHREE RADHE",IF(IF(ISNUMBER(SEARCH("Party Name:-",'R.M Billets Reports'!D1946)),TRIM('R.M Billets Reports'!F1946),IF(ISNUMBER(SEARCH("Party Name-",'R.M Billets Reports'!D1946)),TRIM(MID('R.M Billets Reports'!D1946,SEARCH("-",'R.M Billets Reports'!D1946)+1,200)),""))&lt;&gt;"",IF(ISNUMBER(SEARCH("Party Name:-",'R.M Billets Reports'!D1946)),TRIM('R.M Billets Reports'!F1946),IF(ISNUMBER(SEARCH("Party Name-",'R.M Billets Reports'!D1946)),TRIM(MID('R.M Billets Reports'!D1946,SEARCH("-",'R.M Billets Reports'!D1946)+1,200)),"")),IF(ISNUMBER(SEARCH("Party Name:-",'R.M Billets Reports'!D1947)),TRIM('R.M Billets Reports'!F1947),IF(ISNUMBER(SEARCH("Party Name-",'R.M Billets Reports'!D1947)),TRIM(MID('R.M Billets Reports'!D1947,SEARCH("-",'R.M Billets Reports'!D1947)+1,200)),"")))))),IF(ROW()=2,"",A1946))</f>
      </c>
      <c r="B1947">
        <f>IF(OR('R.M Billets Reports'!A1946="Date-",'R.M Billets Reports'!A1946="Date:-"),'R.M Billets Reports'!B1946,IF(ROW()=2,"",B1946))</f>
      </c>
      <c r="C1947">
        <f>IF('R.M Billets Reports'!A1946="V.No.",'R.M Billets Reports'!B1946,IF(ROW()=2,"",C1946))</f>
      </c>
      <c r="D1947">
        <f>IF('R.M Billets Reports'!A1946&lt;&gt;"",'R.M Billets Reports'!A1946,IF(ROW()=2,"",D1946))</f>
      </c>
      <c r="E1947">
        <f>IF('R.M Billets Reports'!B1946="","",TRIM('R.M Billets Reports'!B1946))</f>
      </c>
      <c r="F1947">
        <f>'R.M Billets Reports'!C1946</f>
      </c>
      <c r="G1947">
        <f>'R.M Billets Reports'!D1946</f>
      </c>
      <c r="H1947">
        <f>'R.M Billets Reports'!E1946</f>
      </c>
      <c r="I1947">
        <f>'R.M Billets Reports'!F1946</f>
      </c>
      <c r="J1947">
        <f>'R.M Billets Reports'!G1946</f>
      </c>
      <c r="K1947">
        <f>'R.M Billets Reports'!H1946</f>
      </c>
      <c r="L1947">
        <f>IF('R.M Billets Reports'!I1946="","",'R.M Billets Reports'!I1946)</f>
      </c>
      <c r="M1947">
        <f t="shared" si="60"/>
      </c>
      <c r="N1947">
        <f>IF('R.M Billets Reports'!J1946="","",'R.M Billets Reports'!J1946)</f>
      </c>
      <c r="O1947">
        <f t="shared" si="61"/>
      </c>
      <c r="P1947">
        <f>IF('R.M Billets Reports'!A1946="SIZE",'R.M Billets Reports'!B1946,P1946)</f>
      </c>
    </row>
    <row r="1948" spans="1:16" x14ac:dyDescent="0.25">
      <c r="A1948">
        <f>IF(OR('R.M Billets Reports'!A1947="Date-",'R.M Billets Reports'!A1947="Date:-"),IF(IF(IF(ISNUMBER(SEARCH("Party Name:-",'R.M Billets Reports'!D1947)),TRIM('R.M Billets Reports'!F1947),IF(ISNUMBER(SEARCH("Party Name-",'R.M Billets Reports'!D1947)),TRIM(MID('R.M Billets Reports'!D1947,SEARCH("-",'R.M Billets Reports'!D1947)+1,200)),""))&lt;&gt;"",IF(ISNUMBER(SEARCH("Party Name:-",'R.M Billets Reports'!D1947)),TRIM('R.M Billets Reports'!F1947),IF(ISNUMBER(SEARCH("Party Name-",'R.M Billets Reports'!D1947)),TRIM(MID('R.M Billets Reports'!D1947,SEARCH("-",'R.M Billets Reports'!D1947)+1,200)),"")),IF(ISNUMBER(SEARCH("Party Name:-",'R.M Billets Reports'!D1948)),TRIM('R.M Billets Reports'!F1948),IF(ISNUMBER(SEARCH("Party Name-",'R.M Billets Reports'!D1948)),TRIM(MID('R.M Billets Reports'!D1948,SEARCH("-",'R.M Billets Reports'!D1948)+1,200)),"")))="VRKP ISPAT PVT LTD","VRKP",IF(IF(IF(ISNUMBER(SEARCH("Party Name:-",'R.M Billets Reports'!D1947)),TRIM('R.M Billets Reports'!F1947),IF(ISNUMBER(SEARCH("Party Name-",'R.M Billets Reports'!D1947)),TRIM(MID('R.M Billets Reports'!D1947,SEARCH("-",'R.M Billets Reports'!D1947)+1,200)),""))&lt;&gt;"",IF(ISNUMBER(SEARCH("Party Name:-",'R.M Billets Reports'!D1947)),TRIM('R.M Billets Reports'!F1947),IF(ISNUMBER(SEARCH("Party Name-",'R.M Billets Reports'!D1947)),TRIM(MID('R.M Billets Reports'!D1947,SEARCH("-",'R.M Billets Reports'!D1947)+1,200)),"")),IF(ISNUMBER(SEARCH("Party Name:-",'R.M Billets Reports'!D1948)),TRIM('R.M Billets Reports'!F1948),IF(ISNUMBER(SEARCH("Party Name-",'R.M Billets Reports'!D1948)),TRIM(MID('R.M Billets Reports'!D1948,SEARCH("-",'R.M Billets Reports'!D1948)+1,200)),"")))="SHRI RADHE","SHREE RADHE",IF(IF(IF(ISNUMBER(SEARCH("Party Name:-",'R.M Billets Reports'!D1947)),TRIM('R.M Billets Reports'!F1947),IF(ISNUMBER(SEARCH("Party Name-",'R.M Billets Reports'!D1947)),TRIM(MID('R.M Billets Reports'!D1947,SEARCH("-",'R.M Billets Reports'!D1947)+1,200)),""))&lt;&gt;"",IF(ISNUMBER(SEARCH("Party Name:-",'R.M Billets Reports'!D1947)),TRIM('R.M Billets Reports'!F1947),IF(ISNUMBER(SEARCH("Party Name-",'R.M Billets Reports'!D1947)),TRIM(MID('R.M Billets Reports'!D1947,SEARCH("-",'R.M Billets Reports'!D1947)+1,200)),"")),IF(ISNUMBER(SEARCH("Party Name:-",'R.M Billets Reports'!D1948)),TRIM('R.M Billets Reports'!F1948),IF(ISNUMBER(SEARCH("Party Name-",'R.M Billets Reports'!D1948)),TRIM(MID('R.M Billets Reports'!D1948,SEARCH("-",'R.M Billets Reports'!D1948)+1,200)),"")))="SHREE RADHE SHAKTI SPONGE AND POWER PVT. LTD.","SHREE RADHE",IF(IF(ISNUMBER(SEARCH("Party Name:-",'R.M Billets Reports'!D1947)),TRIM('R.M Billets Reports'!F1947),IF(ISNUMBER(SEARCH("Party Name-",'R.M Billets Reports'!D1947)),TRIM(MID('R.M Billets Reports'!D1947,SEARCH("-",'R.M Billets Reports'!D1947)+1,200)),""))&lt;&gt;"",IF(ISNUMBER(SEARCH("Party Name:-",'R.M Billets Reports'!D1947)),TRIM('R.M Billets Reports'!F1947),IF(ISNUMBER(SEARCH("Party Name-",'R.M Billets Reports'!D1947)),TRIM(MID('R.M Billets Reports'!D1947,SEARCH("-",'R.M Billets Reports'!D1947)+1,200)),"")),IF(ISNUMBER(SEARCH("Party Name:-",'R.M Billets Reports'!D1948)),TRIM('R.M Billets Reports'!F1948),IF(ISNUMBER(SEARCH("Party Name-",'R.M Billets Reports'!D1948)),TRIM(MID('R.M Billets Reports'!D1948,SEARCH("-",'R.M Billets Reports'!D1948)+1,200)),"")))))),IF(ROW()=2,"",A1947))</f>
      </c>
      <c r="B1948">
        <f>IF(OR('R.M Billets Reports'!A1947="Date-",'R.M Billets Reports'!A1947="Date:-"),'R.M Billets Reports'!B1947,IF(ROW()=2,"",B1947))</f>
      </c>
      <c r="C1948">
        <f>IF('R.M Billets Reports'!A1947="V.No.",'R.M Billets Reports'!B1947,IF(ROW()=2,"",C1947))</f>
      </c>
      <c r="D1948">
        <f>IF('R.M Billets Reports'!A1947&lt;&gt;"",'R.M Billets Reports'!A1947,IF(ROW()=2,"",D1947))</f>
      </c>
      <c r="E1948">
        <f>IF('R.M Billets Reports'!B1947="","",TRIM('R.M Billets Reports'!B1947))</f>
      </c>
      <c r="F1948">
        <f>'R.M Billets Reports'!C1947</f>
      </c>
      <c r="G1948">
        <f>'R.M Billets Reports'!D1947</f>
      </c>
      <c r="H1948">
        <f>'R.M Billets Reports'!E1947</f>
      </c>
      <c r="I1948">
        <f>'R.M Billets Reports'!F1947</f>
      </c>
      <c r="J1948">
        <f>'R.M Billets Reports'!G1947</f>
      </c>
      <c r="K1948">
        <f>'R.M Billets Reports'!H1947</f>
      </c>
      <c r="L1948">
        <f>IF('R.M Billets Reports'!I1947="","",'R.M Billets Reports'!I1947)</f>
      </c>
      <c r="M1948">
        <f t="shared" si="60"/>
      </c>
      <c r="N1948">
        <f>IF('R.M Billets Reports'!J1947="","",'R.M Billets Reports'!J1947)</f>
      </c>
      <c r="O1948">
        <f t="shared" si="61"/>
      </c>
      <c r="P1948">
        <f>IF('R.M Billets Reports'!A1947="SIZE",'R.M Billets Reports'!B1947,P1947)</f>
      </c>
    </row>
    <row r="1949" spans="1:16" x14ac:dyDescent="0.25">
      <c r="A1949">
        <f>IF(OR('R.M Billets Reports'!A1948="Date-",'R.M Billets Reports'!A1948="Date:-"),IF(IF(IF(ISNUMBER(SEARCH("Party Name:-",'R.M Billets Reports'!D1948)),TRIM('R.M Billets Reports'!F1948),IF(ISNUMBER(SEARCH("Party Name-",'R.M Billets Reports'!D1948)),TRIM(MID('R.M Billets Reports'!D1948,SEARCH("-",'R.M Billets Reports'!D1948)+1,200)),""))&lt;&gt;"",IF(ISNUMBER(SEARCH("Party Name:-",'R.M Billets Reports'!D1948)),TRIM('R.M Billets Reports'!F1948),IF(ISNUMBER(SEARCH("Party Name-",'R.M Billets Reports'!D1948)),TRIM(MID('R.M Billets Reports'!D1948,SEARCH("-",'R.M Billets Reports'!D1948)+1,200)),"")),IF(ISNUMBER(SEARCH("Party Name:-",'R.M Billets Reports'!D1949)),TRIM('R.M Billets Reports'!F1949),IF(ISNUMBER(SEARCH("Party Name-",'R.M Billets Reports'!D1949)),TRIM(MID('R.M Billets Reports'!D1949,SEARCH("-",'R.M Billets Reports'!D1949)+1,200)),"")))="VRKP ISPAT PVT LTD","VRKP",IF(IF(IF(ISNUMBER(SEARCH("Party Name:-",'R.M Billets Reports'!D1948)),TRIM('R.M Billets Reports'!F1948),IF(ISNUMBER(SEARCH("Party Name-",'R.M Billets Reports'!D1948)),TRIM(MID('R.M Billets Reports'!D1948,SEARCH("-",'R.M Billets Reports'!D1948)+1,200)),""))&lt;&gt;"",IF(ISNUMBER(SEARCH("Party Name:-",'R.M Billets Reports'!D1948)),TRIM('R.M Billets Reports'!F1948),IF(ISNUMBER(SEARCH("Party Name-",'R.M Billets Reports'!D1948)),TRIM(MID('R.M Billets Reports'!D1948,SEARCH("-",'R.M Billets Reports'!D1948)+1,200)),"")),IF(ISNUMBER(SEARCH("Party Name:-",'R.M Billets Reports'!D1949)),TRIM('R.M Billets Reports'!F1949),IF(ISNUMBER(SEARCH("Party Name-",'R.M Billets Reports'!D1949)),TRIM(MID('R.M Billets Reports'!D1949,SEARCH("-",'R.M Billets Reports'!D1949)+1,200)),"")))="SHRI RADHE","SHREE RADHE",IF(IF(IF(ISNUMBER(SEARCH("Party Name:-",'R.M Billets Reports'!D1948)),TRIM('R.M Billets Reports'!F1948),IF(ISNUMBER(SEARCH("Party Name-",'R.M Billets Reports'!D1948)),TRIM(MID('R.M Billets Reports'!D1948,SEARCH("-",'R.M Billets Reports'!D1948)+1,200)),""))&lt;&gt;"",IF(ISNUMBER(SEARCH("Party Name:-",'R.M Billets Reports'!D1948)),TRIM('R.M Billets Reports'!F1948),IF(ISNUMBER(SEARCH("Party Name-",'R.M Billets Reports'!D1948)),TRIM(MID('R.M Billets Reports'!D1948,SEARCH("-",'R.M Billets Reports'!D1948)+1,200)),"")),IF(ISNUMBER(SEARCH("Party Name:-",'R.M Billets Reports'!D1949)),TRIM('R.M Billets Reports'!F1949),IF(ISNUMBER(SEARCH("Party Name-",'R.M Billets Reports'!D1949)),TRIM(MID('R.M Billets Reports'!D1949,SEARCH("-",'R.M Billets Reports'!D1949)+1,200)),"")))="SHREE RADHE SHAKTI SPONGE AND POWER PVT. LTD.","SHREE RADHE",IF(IF(ISNUMBER(SEARCH("Party Name:-",'R.M Billets Reports'!D1948)),TRIM('R.M Billets Reports'!F1948),IF(ISNUMBER(SEARCH("Party Name-",'R.M Billets Reports'!D1948)),TRIM(MID('R.M Billets Reports'!D1948,SEARCH("-",'R.M Billets Reports'!D1948)+1,200)),""))&lt;&gt;"",IF(ISNUMBER(SEARCH("Party Name:-",'R.M Billets Reports'!D1948)),TRIM('R.M Billets Reports'!F1948),IF(ISNUMBER(SEARCH("Party Name-",'R.M Billets Reports'!D1948)),TRIM(MID('R.M Billets Reports'!D1948,SEARCH("-",'R.M Billets Reports'!D1948)+1,200)),"")),IF(ISNUMBER(SEARCH("Party Name:-",'R.M Billets Reports'!D1949)),TRIM('R.M Billets Reports'!F1949),IF(ISNUMBER(SEARCH("Party Name-",'R.M Billets Reports'!D1949)),TRIM(MID('R.M Billets Reports'!D1949,SEARCH("-",'R.M Billets Reports'!D1949)+1,200)),"")))))),IF(ROW()=2,"",A1948))</f>
      </c>
      <c r="B1949">
        <f>IF(OR('R.M Billets Reports'!A1948="Date-",'R.M Billets Reports'!A1948="Date:-"),'R.M Billets Reports'!B1948,IF(ROW()=2,"",B1948))</f>
      </c>
      <c r="C1949">
        <f>IF('R.M Billets Reports'!A1948="V.No.",'R.M Billets Reports'!B1948,IF(ROW()=2,"",C1948))</f>
      </c>
      <c r="D1949">
        <f>IF('R.M Billets Reports'!A1948&lt;&gt;"",'R.M Billets Reports'!A1948,IF(ROW()=2,"",D1948))</f>
      </c>
      <c r="E1949">
        <f>IF('R.M Billets Reports'!B1948="","",TRIM('R.M Billets Reports'!B1948))</f>
      </c>
      <c r="F1949">
        <f>'R.M Billets Reports'!C1948</f>
      </c>
      <c r="G1949">
        <f>'R.M Billets Reports'!D1948</f>
      </c>
      <c r="H1949">
        <f>'R.M Billets Reports'!E1948</f>
      </c>
      <c r="I1949">
        <f>'R.M Billets Reports'!F1948</f>
      </c>
      <c r="J1949">
        <f>'R.M Billets Reports'!G1948</f>
      </c>
      <c r="K1949">
        <f>'R.M Billets Reports'!H1948</f>
      </c>
      <c r="L1949">
        <f>IF('R.M Billets Reports'!I1948="","",'R.M Billets Reports'!I1948)</f>
      </c>
      <c r="M1949">
        <f t="shared" si="60"/>
      </c>
      <c r="N1949">
        <f>IF('R.M Billets Reports'!J1948="","",'R.M Billets Reports'!J1948)</f>
      </c>
      <c r="O1949">
        <f t="shared" si="61"/>
      </c>
      <c r="P1949">
        <f>IF('R.M Billets Reports'!A1948="SIZE",'R.M Billets Reports'!B1948,P1948)</f>
      </c>
    </row>
    <row r="1950" spans="1:16" x14ac:dyDescent="0.25">
      <c r="A1950">
        <f>IF(OR('R.M Billets Reports'!A1949="Date-",'R.M Billets Reports'!A1949="Date:-"),IF(IF(IF(ISNUMBER(SEARCH("Party Name:-",'R.M Billets Reports'!D1949)),TRIM('R.M Billets Reports'!F1949),IF(ISNUMBER(SEARCH("Party Name-",'R.M Billets Reports'!D1949)),TRIM(MID('R.M Billets Reports'!D1949,SEARCH("-",'R.M Billets Reports'!D1949)+1,200)),""))&lt;&gt;"",IF(ISNUMBER(SEARCH("Party Name:-",'R.M Billets Reports'!D1949)),TRIM('R.M Billets Reports'!F1949),IF(ISNUMBER(SEARCH("Party Name-",'R.M Billets Reports'!D1949)),TRIM(MID('R.M Billets Reports'!D1949,SEARCH("-",'R.M Billets Reports'!D1949)+1,200)),"")),IF(ISNUMBER(SEARCH("Party Name:-",'R.M Billets Reports'!D1950)),TRIM('R.M Billets Reports'!F1950),IF(ISNUMBER(SEARCH("Party Name-",'R.M Billets Reports'!D1950)),TRIM(MID('R.M Billets Reports'!D1950,SEARCH("-",'R.M Billets Reports'!D1950)+1,200)),"")))="VRKP ISPAT PVT LTD","VRKP",IF(IF(IF(ISNUMBER(SEARCH("Party Name:-",'R.M Billets Reports'!D1949)),TRIM('R.M Billets Reports'!F1949),IF(ISNUMBER(SEARCH("Party Name-",'R.M Billets Reports'!D1949)),TRIM(MID('R.M Billets Reports'!D1949,SEARCH("-",'R.M Billets Reports'!D1949)+1,200)),""))&lt;&gt;"",IF(ISNUMBER(SEARCH("Party Name:-",'R.M Billets Reports'!D1949)),TRIM('R.M Billets Reports'!F1949),IF(ISNUMBER(SEARCH("Party Name-",'R.M Billets Reports'!D1949)),TRIM(MID('R.M Billets Reports'!D1949,SEARCH("-",'R.M Billets Reports'!D1949)+1,200)),"")),IF(ISNUMBER(SEARCH("Party Name:-",'R.M Billets Reports'!D1950)),TRIM('R.M Billets Reports'!F1950),IF(ISNUMBER(SEARCH("Party Name-",'R.M Billets Reports'!D1950)),TRIM(MID('R.M Billets Reports'!D1950,SEARCH("-",'R.M Billets Reports'!D1950)+1,200)),"")))="SHRI RADHE","SHREE RADHE",IF(IF(IF(ISNUMBER(SEARCH("Party Name:-",'R.M Billets Reports'!D1949)),TRIM('R.M Billets Reports'!F1949),IF(ISNUMBER(SEARCH("Party Name-",'R.M Billets Reports'!D1949)),TRIM(MID('R.M Billets Reports'!D1949,SEARCH("-",'R.M Billets Reports'!D1949)+1,200)),""))&lt;&gt;"",IF(ISNUMBER(SEARCH("Party Name:-",'R.M Billets Reports'!D1949)),TRIM('R.M Billets Reports'!F1949),IF(ISNUMBER(SEARCH("Party Name-",'R.M Billets Reports'!D1949)),TRIM(MID('R.M Billets Reports'!D1949,SEARCH("-",'R.M Billets Reports'!D1949)+1,200)),"")),IF(ISNUMBER(SEARCH("Party Name:-",'R.M Billets Reports'!D1950)),TRIM('R.M Billets Reports'!F1950),IF(ISNUMBER(SEARCH("Party Name-",'R.M Billets Reports'!D1950)),TRIM(MID('R.M Billets Reports'!D1950,SEARCH("-",'R.M Billets Reports'!D1950)+1,200)),"")))="SHREE RADHE SHAKTI SPONGE AND POWER PVT. LTD.","SHREE RADHE",IF(IF(ISNUMBER(SEARCH("Party Name:-",'R.M Billets Reports'!D1949)),TRIM('R.M Billets Reports'!F1949),IF(ISNUMBER(SEARCH("Party Name-",'R.M Billets Reports'!D1949)),TRIM(MID('R.M Billets Reports'!D1949,SEARCH("-",'R.M Billets Reports'!D1949)+1,200)),""))&lt;&gt;"",IF(ISNUMBER(SEARCH("Party Name:-",'R.M Billets Reports'!D1949)),TRIM('R.M Billets Reports'!F1949),IF(ISNUMBER(SEARCH("Party Name-",'R.M Billets Reports'!D1949)),TRIM(MID('R.M Billets Reports'!D1949,SEARCH("-",'R.M Billets Reports'!D1949)+1,200)),"")),IF(ISNUMBER(SEARCH("Party Name:-",'R.M Billets Reports'!D1950)),TRIM('R.M Billets Reports'!F1950),IF(ISNUMBER(SEARCH("Party Name-",'R.M Billets Reports'!D1950)),TRIM(MID('R.M Billets Reports'!D1950,SEARCH("-",'R.M Billets Reports'!D1950)+1,200)),"")))))),IF(ROW()=2,"",A1949))</f>
      </c>
      <c r="B1950">
        <f>IF(OR('R.M Billets Reports'!A1949="Date-",'R.M Billets Reports'!A1949="Date:-"),'R.M Billets Reports'!B1949,IF(ROW()=2,"",B1949))</f>
      </c>
      <c r="C1950">
        <f>IF('R.M Billets Reports'!A1949="V.No.",'R.M Billets Reports'!B1949,IF(ROW()=2,"",C1949))</f>
      </c>
      <c r="D1950">
        <f>IF('R.M Billets Reports'!A1949&lt;&gt;"",'R.M Billets Reports'!A1949,IF(ROW()=2,"",D1949))</f>
      </c>
      <c r="E1950">
        <f>IF('R.M Billets Reports'!B1949="","",TRIM('R.M Billets Reports'!B1949))</f>
      </c>
      <c r="F1950">
        <f>'R.M Billets Reports'!C1949</f>
      </c>
      <c r="G1950">
        <f>'R.M Billets Reports'!D1949</f>
      </c>
      <c r="H1950">
        <f>'R.M Billets Reports'!E1949</f>
      </c>
      <c r="I1950">
        <f>'R.M Billets Reports'!F1949</f>
      </c>
      <c r="J1950">
        <f>'R.M Billets Reports'!G1949</f>
      </c>
      <c r="K1950">
        <f>'R.M Billets Reports'!H1949</f>
      </c>
      <c r="L1950">
        <f>IF('R.M Billets Reports'!I1949="","",'R.M Billets Reports'!I1949)</f>
      </c>
      <c r="M1950">
        <f t="shared" si="60"/>
      </c>
      <c r="N1950">
        <f>IF('R.M Billets Reports'!J1949="","",'R.M Billets Reports'!J1949)</f>
      </c>
      <c r="O1950">
        <f t="shared" si="61"/>
      </c>
      <c r="P1950">
        <f>IF('R.M Billets Reports'!A1949="SIZE",'R.M Billets Reports'!B1949,P1949)</f>
      </c>
    </row>
    <row r="1951" spans="1:16" x14ac:dyDescent="0.25">
      <c r="A1951">
        <f>IF(OR('R.M Billets Reports'!A1950="Date-",'R.M Billets Reports'!A1950="Date:-"),IF(IF(IF(ISNUMBER(SEARCH("Party Name:-",'R.M Billets Reports'!D1950)),TRIM('R.M Billets Reports'!F1950),IF(ISNUMBER(SEARCH("Party Name-",'R.M Billets Reports'!D1950)),TRIM(MID('R.M Billets Reports'!D1950,SEARCH("-",'R.M Billets Reports'!D1950)+1,200)),""))&lt;&gt;"",IF(ISNUMBER(SEARCH("Party Name:-",'R.M Billets Reports'!D1950)),TRIM('R.M Billets Reports'!F1950),IF(ISNUMBER(SEARCH("Party Name-",'R.M Billets Reports'!D1950)),TRIM(MID('R.M Billets Reports'!D1950,SEARCH("-",'R.M Billets Reports'!D1950)+1,200)),"")),IF(ISNUMBER(SEARCH("Party Name:-",'R.M Billets Reports'!D1951)),TRIM('R.M Billets Reports'!F1951),IF(ISNUMBER(SEARCH("Party Name-",'R.M Billets Reports'!D1951)),TRIM(MID('R.M Billets Reports'!D1951,SEARCH("-",'R.M Billets Reports'!D1951)+1,200)),"")))="VRKP ISPAT PVT LTD","VRKP",IF(IF(IF(ISNUMBER(SEARCH("Party Name:-",'R.M Billets Reports'!D1950)),TRIM('R.M Billets Reports'!F1950),IF(ISNUMBER(SEARCH("Party Name-",'R.M Billets Reports'!D1950)),TRIM(MID('R.M Billets Reports'!D1950,SEARCH("-",'R.M Billets Reports'!D1950)+1,200)),""))&lt;&gt;"",IF(ISNUMBER(SEARCH("Party Name:-",'R.M Billets Reports'!D1950)),TRIM('R.M Billets Reports'!F1950),IF(ISNUMBER(SEARCH("Party Name-",'R.M Billets Reports'!D1950)),TRIM(MID('R.M Billets Reports'!D1950,SEARCH("-",'R.M Billets Reports'!D1950)+1,200)),"")),IF(ISNUMBER(SEARCH("Party Name:-",'R.M Billets Reports'!D1951)),TRIM('R.M Billets Reports'!F1951),IF(ISNUMBER(SEARCH("Party Name-",'R.M Billets Reports'!D1951)),TRIM(MID('R.M Billets Reports'!D1951,SEARCH("-",'R.M Billets Reports'!D1951)+1,200)),"")))="SHRI RADHE","SHREE RADHE",IF(IF(IF(ISNUMBER(SEARCH("Party Name:-",'R.M Billets Reports'!D1950)),TRIM('R.M Billets Reports'!F1950),IF(ISNUMBER(SEARCH("Party Name-",'R.M Billets Reports'!D1950)),TRIM(MID('R.M Billets Reports'!D1950,SEARCH("-",'R.M Billets Reports'!D1950)+1,200)),""))&lt;&gt;"",IF(ISNUMBER(SEARCH("Party Name:-",'R.M Billets Reports'!D1950)),TRIM('R.M Billets Reports'!F1950),IF(ISNUMBER(SEARCH("Party Name-",'R.M Billets Reports'!D1950)),TRIM(MID('R.M Billets Reports'!D1950,SEARCH("-",'R.M Billets Reports'!D1950)+1,200)),"")),IF(ISNUMBER(SEARCH("Party Name:-",'R.M Billets Reports'!D1951)),TRIM('R.M Billets Reports'!F1951),IF(ISNUMBER(SEARCH("Party Name-",'R.M Billets Reports'!D1951)),TRIM(MID('R.M Billets Reports'!D1951,SEARCH("-",'R.M Billets Reports'!D1951)+1,200)),"")))="SHREE RADHE SHAKTI SPONGE AND POWER PVT. LTD.","SHREE RADHE",IF(IF(ISNUMBER(SEARCH("Party Name:-",'R.M Billets Reports'!D1950)),TRIM('R.M Billets Reports'!F1950),IF(ISNUMBER(SEARCH("Party Name-",'R.M Billets Reports'!D1950)),TRIM(MID('R.M Billets Reports'!D1950,SEARCH("-",'R.M Billets Reports'!D1950)+1,200)),""))&lt;&gt;"",IF(ISNUMBER(SEARCH("Party Name:-",'R.M Billets Reports'!D1950)),TRIM('R.M Billets Reports'!F1950),IF(ISNUMBER(SEARCH("Party Name-",'R.M Billets Reports'!D1950)),TRIM(MID('R.M Billets Reports'!D1950,SEARCH("-",'R.M Billets Reports'!D1950)+1,200)),"")),IF(ISNUMBER(SEARCH("Party Name:-",'R.M Billets Reports'!D1951)),TRIM('R.M Billets Reports'!F1951),IF(ISNUMBER(SEARCH("Party Name-",'R.M Billets Reports'!D1951)),TRIM(MID('R.M Billets Reports'!D1951,SEARCH("-",'R.M Billets Reports'!D1951)+1,200)),"")))))),IF(ROW()=2,"",A1950))</f>
      </c>
      <c r="B1951">
        <f>IF(OR('R.M Billets Reports'!A1950="Date-",'R.M Billets Reports'!A1950="Date:-"),'R.M Billets Reports'!B1950,IF(ROW()=2,"",B1950))</f>
      </c>
      <c r="C1951">
        <f>IF('R.M Billets Reports'!A1950="V.No.",'R.M Billets Reports'!B1950,IF(ROW()=2,"",C1950))</f>
      </c>
      <c r="D1951">
        <f>IF('R.M Billets Reports'!A1950&lt;&gt;"",'R.M Billets Reports'!A1950,IF(ROW()=2,"",D1950))</f>
      </c>
      <c r="E1951">
        <f>IF('R.M Billets Reports'!B1950="","",TRIM('R.M Billets Reports'!B1950))</f>
      </c>
      <c r="F1951">
        <f>'R.M Billets Reports'!C1950</f>
      </c>
      <c r="G1951">
        <f>'R.M Billets Reports'!D1950</f>
      </c>
      <c r="H1951">
        <f>'R.M Billets Reports'!E1950</f>
      </c>
      <c r="I1951">
        <f>'R.M Billets Reports'!F1950</f>
      </c>
      <c r="J1951">
        <f>'R.M Billets Reports'!G1950</f>
      </c>
      <c r="K1951">
        <f>'R.M Billets Reports'!H1950</f>
      </c>
      <c r="L1951">
        <f>IF('R.M Billets Reports'!I1950="","",'R.M Billets Reports'!I1950)</f>
      </c>
      <c r="M1951">
        <f t="shared" si="60"/>
      </c>
      <c r="N1951">
        <f>IF('R.M Billets Reports'!J1950="","",'R.M Billets Reports'!J1950)</f>
      </c>
      <c r="O1951">
        <f t="shared" si="61"/>
      </c>
      <c r="P1951">
        <f>IF('R.M Billets Reports'!A1950="SIZE",'R.M Billets Reports'!B1950,P1950)</f>
      </c>
    </row>
    <row r="1952" spans="1:16" x14ac:dyDescent="0.25">
      <c r="A1952">
        <f>IF(OR('R.M Billets Reports'!A1951="Date-",'R.M Billets Reports'!A1951="Date:-"),IF(IF(IF(ISNUMBER(SEARCH("Party Name:-",'R.M Billets Reports'!D1951)),TRIM('R.M Billets Reports'!F1951),IF(ISNUMBER(SEARCH("Party Name-",'R.M Billets Reports'!D1951)),TRIM(MID('R.M Billets Reports'!D1951,SEARCH("-",'R.M Billets Reports'!D1951)+1,200)),""))&lt;&gt;"",IF(ISNUMBER(SEARCH("Party Name:-",'R.M Billets Reports'!D1951)),TRIM('R.M Billets Reports'!F1951),IF(ISNUMBER(SEARCH("Party Name-",'R.M Billets Reports'!D1951)),TRIM(MID('R.M Billets Reports'!D1951,SEARCH("-",'R.M Billets Reports'!D1951)+1,200)),"")),IF(ISNUMBER(SEARCH("Party Name:-",'R.M Billets Reports'!D1952)),TRIM('R.M Billets Reports'!F1952),IF(ISNUMBER(SEARCH("Party Name-",'R.M Billets Reports'!D1952)),TRIM(MID('R.M Billets Reports'!D1952,SEARCH("-",'R.M Billets Reports'!D1952)+1,200)),"")))="VRKP ISPAT PVT LTD","VRKP",IF(IF(IF(ISNUMBER(SEARCH("Party Name:-",'R.M Billets Reports'!D1951)),TRIM('R.M Billets Reports'!F1951),IF(ISNUMBER(SEARCH("Party Name-",'R.M Billets Reports'!D1951)),TRIM(MID('R.M Billets Reports'!D1951,SEARCH("-",'R.M Billets Reports'!D1951)+1,200)),""))&lt;&gt;"",IF(ISNUMBER(SEARCH("Party Name:-",'R.M Billets Reports'!D1951)),TRIM('R.M Billets Reports'!F1951),IF(ISNUMBER(SEARCH("Party Name-",'R.M Billets Reports'!D1951)),TRIM(MID('R.M Billets Reports'!D1951,SEARCH("-",'R.M Billets Reports'!D1951)+1,200)),"")),IF(ISNUMBER(SEARCH("Party Name:-",'R.M Billets Reports'!D1952)),TRIM('R.M Billets Reports'!F1952),IF(ISNUMBER(SEARCH("Party Name-",'R.M Billets Reports'!D1952)),TRIM(MID('R.M Billets Reports'!D1952,SEARCH("-",'R.M Billets Reports'!D1952)+1,200)),"")))="SHRI RADHE","SHREE RADHE",IF(IF(IF(ISNUMBER(SEARCH("Party Name:-",'R.M Billets Reports'!D1951)),TRIM('R.M Billets Reports'!F1951),IF(ISNUMBER(SEARCH("Party Name-",'R.M Billets Reports'!D1951)),TRIM(MID('R.M Billets Reports'!D1951,SEARCH("-",'R.M Billets Reports'!D1951)+1,200)),""))&lt;&gt;"",IF(ISNUMBER(SEARCH("Party Name:-",'R.M Billets Reports'!D1951)),TRIM('R.M Billets Reports'!F1951),IF(ISNUMBER(SEARCH("Party Name-",'R.M Billets Reports'!D1951)),TRIM(MID('R.M Billets Reports'!D1951,SEARCH("-",'R.M Billets Reports'!D1951)+1,200)),"")),IF(ISNUMBER(SEARCH("Party Name:-",'R.M Billets Reports'!D1952)),TRIM('R.M Billets Reports'!F1952),IF(ISNUMBER(SEARCH("Party Name-",'R.M Billets Reports'!D1952)),TRIM(MID('R.M Billets Reports'!D1952,SEARCH("-",'R.M Billets Reports'!D1952)+1,200)),"")))="SHREE RADHE SHAKTI SPONGE AND POWER PVT. LTD.","SHREE RADHE",IF(IF(ISNUMBER(SEARCH("Party Name:-",'R.M Billets Reports'!D1951)),TRIM('R.M Billets Reports'!F1951),IF(ISNUMBER(SEARCH("Party Name-",'R.M Billets Reports'!D1951)),TRIM(MID('R.M Billets Reports'!D1951,SEARCH("-",'R.M Billets Reports'!D1951)+1,200)),""))&lt;&gt;"",IF(ISNUMBER(SEARCH("Party Name:-",'R.M Billets Reports'!D1951)),TRIM('R.M Billets Reports'!F1951),IF(ISNUMBER(SEARCH("Party Name-",'R.M Billets Reports'!D1951)),TRIM(MID('R.M Billets Reports'!D1951,SEARCH("-",'R.M Billets Reports'!D1951)+1,200)),"")),IF(ISNUMBER(SEARCH("Party Name:-",'R.M Billets Reports'!D1952)),TRIM('R.M Billets Reports'!F1952),IF(ISNUMBER(SEARCH("Party Name-",'R.M Billets Reports'!D1952)),TRIM(MID('R.M Billets Reports'!D1952,SEARCH("-",'R.M Billets Reports'!D1952)+1,200)),"")))))),IF(ROW()=2,"",A1951))</f>
      </c>
      <c r="B1952">
        <f>IF(OR('R.M Billets Reports'!A1951="Date-",'R.M Billets Reports'!A1951="Date:-"),'R.M Billets Reports'!B1951,IF(ROW()=2,"",B1951))</f>
      </c>
      <c r="C1952">
        <f>IF('R.M Billets Reports'!A1951="V.No.",'R.M Billets Reports'!B1951,IF(ROW()=2,"",C1951))</f>
      </c>
      <c r="D1952">
        <f>IF('R.M Billets Reports'!A1951&lt;&gt;"",'R.M Billets Reports'!A1951,IF(ROW()=2,"",D1951))</f>
      </c>
      <c r="E1952">
        <f>IF('R.M Billets Reports'!B1951="","",TRIM('R.M Billets Reports'!B1951))</f>
      </c>
      <c r="F1952">
        <f>'R.M Billets Reports'!C1951</f>
      </c>
      <c r="G1952">
        <f>'R.M Billets Reports'!D1951</f>
      </c>
      <c r="H1952">
        <f>'R.M Billets Reports'!E1951</f>
      </c>
      <c r="I1952">
        <f>'R.M Billets Reports'!F1951</f>
      </c>
      <c r="J1952">
        <f>'R.M Billets Reports'!G1951</f>
      </c>
      <c r="K1952">
        <f>'R.M Billets Reports'!H1951</f>
      </c>
      <c r="L1952">
        <f>IF('R.M Billets Reports'!I1951="","",'R.M Billets Reports'!I1951)</f>
      </c>
      <c r="M1952">
        <f t="shared" si="60"/>
      </c>
      <c r="N1952">
        <f>IF('R.M Billets Reports'!J1951="","",'R.M Billets Reports'!J1951)</f>
      </c>
      <c r="O1952">
        <f t="shared" si="61"/>
      </c>
      <c r="P1952">
        <f>IF('R.M Billets Reports'!A1951="SIZE",'R.M Billets Reports'!B1951,P1951)</f>
      </c>
    </row>
    <row r="1953" spans="1:16" x14ac:dyDescent="0.25">
      <c r="A1953">
        <f>IF(OR('R.M Billets Reports'!A1952="Date-",'R.M Billets Reports'!A1952="Date:-"),IF(IF(IF(ISNUMBER(SEARCH("Party Name:-",'R.M Billets Reports'!D1952)),TRIM('R.M Billets Reports'!F1952),IF(ISNUMBER(SEARCH("Party Name-",'R.M Billets Reports'!D1952)),TRIM(MID('R.M Billets Reports'!D1952,SEARCH("-",'R.M Billets Reports'!D1952)+1,200)),""))&lt;&gt;"",IF(ISNUMBER(SEARCH("Party Name:-",'R.M Billets Reports'!D1952)),TRIM('R.M Billets Reports'!F1952),IF(ISNUMBER(SEARCH("Party Name-",'R.M Billets Reports'!D1952)),TRIM(MID('R.M Billets Reports'!D1952,SEARCH("-",'R.M Billets Reports'!D1952)+1,200)),"")),IF(ISNUMBER(SEARCH("Party Name:-",'R.M Billets Reports'!D1953)),TRIM('R.M Billets Reports'!F1953),IF(ISNUMBER(SEARCH("Party Name-",'R.M Billets Reports'!D1953)),TRIM(MID('R.M Billets Reports'!D1953,SEARCH("-",'R.M Billets Reports'!D1953)+1,200)),"")))="VRKP ISPAT PVT LTD","VRKP",IF(IF(IF(ISNUMBER(SEARCH("Party Name:-",'R.M Billets Reports'!D1952)),TRIM('R.M Billets Reports'!F1952),IF(ISNUMBER(SEARCH("Party Name-",'R.M Billets Reports'!D1952)),TRIM(MID('R.M Billets Reports'!D1952,SEARCH("-",'R.M Billets Reports'!D1952)+1,200)),""))&lt;&gt;"",IF(ISNUMBER(SEARCH("Party Name:-",'R.M Billets Reports'!D1952)),TRIM('R.M Billets Reports'!F1952),IF(ISNUMBER(SEARCH("Party Name-",'R.M Billets Reports'!D1952)),TRIM(MID('R.M Billets Reports'!D1952,SEARCH("-",'R.M Billets Reports'!D1952)+1,200)),"")),IF(ISNUMBER(SEARCH("Party Name:-",'R.M Billets Reports'!D1953)),TRIM('R.M Billets Reports'!F1953),IF(ISNUMBER(SEARCH("Party Name-",'R.M Billets Reports'!D1953)),TRIM(MID('R.M Billets Reports'!D1953,SEARCH("-",'R.M Billets Reports'!D1953)+1,200)),"")))="SHRI RADHE","SHREE RADHE",IF(IF(IF(ISNUMBER(SEARCH("Party Name:-",'R.M Billets Reports'!D1952)),TRIM('R.M Billets Reports'!F1952),IF(ISNUMBER(SEARCH("Party Name-",'R.M Billets Reports'!D1952)),TRIM(MID('R.M Billets Reports'!D1952,SEARCH("-",'R.M Billets Reports'!D1952)+1,200)),""))&lt;&gt;"",IF(ISNUMBER(SEARCH("Party Name:-",'R.M Billets Reports'!D1952)),TRIM('R.M Billets Reports'!F1952),IF(ISNUMBER(SEARCH("Party Name-",'R.M Billets Reports'!D1952)),TRIM(MID('R.M Billets Reports'!D1952,SEARCH("-",'R.M Billets Reports'!D1952)+1,200)),"")),IF(ISNUMBER(SEARCH("Party Name:-",'R.M Billets Reports'!D1953)),TRIM('R.M Billets Reports'!F1953),IF(ISNUMBER(SEARCH("Party Name-",'R.M Billets Reports'!D1953)),TRIM(MID('R.M Billets Reports'!D1953,SEARCH("-",'R.M Billets Reports'!D1953)+1,200)),"")))="SHREE RADHE SHAKTI SPONGE AND POWER PVT. LTD.","SHREE RADHE",IF(IF(ISNUMBER(SEARCH("Party Name:-",'R.M Billets Reports'!D1952)),TRIM('R.M Billets Reports'!F1952),IF(ISNUMBER(SEARCH("Party Name-",'R.M Billets Reports'!D1952)),TRIM(MID('R.M Billets Reports'!D1952,SEARCH("-",'R.M Billets Reports'!D1952)+1,200)),""))&lt;&gt;"",IF(ISNUMBER(SEARCH("Party Name:-",'R.M Billets Reports'!D1952)),TRIM('R.M Billets Reports'!F1952),IF(ISNUMBER(SEARCH("Party Name-",'R.M Billets Reports'!D1952)),TRIM(MID('R.M Billets Reports'!D1952,SEARCH("-",'R.M Billets Reports'!D1952)+1,200)),"")),IF(ISNUMBER(SEARCH("Party Name:-",'R.M Billets Reports'!D1953)),TRIM('R.M Billets Reports'!F1953),IF(ISNUMBER(SEARCH("Party Name-",'R.M Billets Reports'!D1953)),TRIM(MID('R.M Billets Reports'!D1953,SEARCH("-",'R.M Billets Reports'!D1953)+1,200)),"")))))),IF(ROW()=2,"",A1952))</f>
      </c>
      <c r="B1953">
        <f>IF(OR('R.M Billets Reports'!A1952="Date-",'R.M Billets Reports'!A1952="Date:-"),'R.M Billets Reports'!B1952,IF(ROW()=2,"",B1952))</f>
      </c>
      <c r="C1953">
        <f>IF('R.M Billets Reports'!A1952="V.No.",'R.M Billets Reports'!B1952,IF(ROW()=2,"",C1952))</f>
      </c>
      <c r="D1953">
        <f>IF('R.M Billets Reports'!A1952&lt;&gt;"",'R.M Billets Reports'!A1952,IF(ROW()=2,"",D1952))</f>
      </c>
      <c r="E1953">
        <f>IF('R.M Billets Reports'!B1952="","",TRIM('R.M Billets Reports'!B1952))</f>
      </c>
      <c r="F1953">
        <f>'R.M Billets Reports'!C1952</f>
      </c>
      <c r="G1953">
        <f>'R.M Billets Reports'!D1952</f>
      </c>
      <c r="H1953">
        <f>'R.M Billets Reports'!E1952</f>
      </c>
      <c r="I1953">
        <f>'R.M Billets Reports'!F1952</f>
      </c>
      <c r="J1953">
        <f>'R.M Billets Reports'!G1952</f>
      </c>
      <c r="K1953">
        <f>'R.M Billets Reports'!H1952</f>
      </c>
      <c r="L1953">
        <f>IF('R.M Billets Reports'!I1952="","",'R.M Billets Reports'!I1952)</f>
      </c>
      <c r="M1953">
        <f t="shared" si="60"/>
      </c>
      <c r="N1953">
        <f>IF('R.M Billets Reports'!J1952="","",'R.M Billets Reports'!J1952)</f>
      </c>
      <c r="O1953">
        <f t="shared" si="61"/>
      </c>
      <c r="P1953">
        <f>IF('R.M Billets Reports'!A1952="SIZE",'R.M Billets Reports'!B1952,P1952)</f>
      </c>
    </row>
    <row r="1954" spans="1:16" x14ac:dyDescent="0.25">
      <c r="A1954">
        <f>IF(OR('R.M Billets Reports'!A1953="Date-",'R.M Billets Reports'!A1953="Date:-"),IF(IF(IF(ISNUMBER(SEARCH("Party Name:-",'R.M Billets Reports'!D1953)),TRIM('R.M Billets Reports'!F1953),IF(ISNUMBER(SEARCH("Party Name-",'R.M Billets Reports'!D1953)),TRIM(MID('R.M Billets Reports'!D1953,SEARCH("-",'R.M Billets Reports'!D1953)+1,200)),""))&lt;&gt;"",IF(ISNUMBER(SEARCH("Party Name:-",'R.M Billets Reports'!D1953)),TRIM('R.M Billets Reports'!F1953),IF(ISNUMBER(SEARCH("Party Name-",'R.M Billets Reports'!D1953)),TRIM(MID('R.M Billets Reports'!D1953,SEARCH("-",'R.M Billets Reports'!D1953)+1,200)),"")),IF(ISNUMBER(SEARCH("Party Name:-",'R.M Billets Reports'!D1954)),TRIM('R.M Billets Reports'!F1954),IF(ISNUMBER(SEARCH("Party Name-",'R.M Billets Reports'!D1954)),TRIM(MID('R.M Billets Reports'!D1954,SEARCH("-",'R.M Billets Reports'!D1954)+1,200)),"")))="VRKP ISPAT PVT LTD","VRKP",IF(IF(IF(ISNUMBER(SEARCH("Party Name:-",'R.M Billets Reports'!D1953)),TRIM('R.M Billets Reports'!F1953),IF(ISNUMBER(SEARCH("Party Name-",'R.M Billets Reports'!D1953)),TRIM(MID('R.M Billets Reports'!D1953,SEARCH("-",'R.M Billets Reports'!D1953)+1,200)),""))&lt;&gt;"",IF(ISNUMBER(SEARCH("Party Name:-",'R.M Billets Reports'!D1953)),TRIM('R.M Billets Reports'!F1953),IF(ISNUMBER(SEARCH("Party Name-",'R.M Billets Reports'!D1953)),TRIM(MID('R.M Billets Reports'!D1953,SEARCH("-",'R.M Billets Reports'!D1953)+1,200)),"")),IF(ISNUMBER(SEARCH("Party Name:-",'R.M Billets Reports'!D1954)),TRIM('R.M Billets Reports'!F1954),IF(ISNUMBER(SEARCH("Party Name-",'R.M Billets Reports'!D1954)),TRIM(MID('R.M Billets Reports'!D1954,SEARCH("-",'R.M Billets Reports'!D1954)+1,200)),"")))="SHRI RADHE","SHREE RADHE",IF(IF(IF(ISNUMBER(SEARCH("Party Name:-",'R.M Billets Reports'!D1953)),TRIM('R.M Billets Reports'!F1953),IF(ISNUMBER(SEARCH("Party Name-",'R.M Billets Reports'!D1953)),TRIM(MID('R.M Billets Reports'!D1953,SEARCH("-",'R.M Billets Reports'!D1953)+1,200)),""))&lt;&gt;"",IF(ISNUMBER(SEARCH("Party Name:-",'R.M Billets Reports'!D1953)),TRIM('R.M Billets Reports'!F1953),IF(ISNUMBER(SEARCH("Party Name-",'R.M Billets Reports'!D1953)),TRIM(MID('R.M Billets Reports'!D1953,SEARCH("-",'R.M Billets Reports'!D1953)+1,200)),"")),IF(ISNUMBER(SEARCH("Party Name:-",'R.M Billets Reports'!D1954)),TRIM('R.M Billets Reports'!F1954),IF(ISNUMBER(SEARCH("Party Name-",'R.M Billets Reports'!D1954)),TRIM(MID('R.M Billets Reports'!D1954,SEARCH("-",'R.M Billets Reports'!D1954)+1,200)),"")))="SHREE RADHE SHAKTI SPONGE AND POWER PVT. LTD.","SHREE RADHE",IF(IF(ISNUMBER(SEARCH("Party Name:-",'R.M Billets Reports'!D1953)),TRIM('R.M Billets Reports'!F1953),IF(ISNUMBER(SEARCH("Party Name-",'R.M Billets Reports'!D1953)),TRIM(MID('R.M Billets Reports'!D1953,SEARCH("-",'R.M Billets Reports'!D1953)+1,200)),""))&lt;&gt;"",IF(ISNUMBER(SEARCH("Party Name:-",'R.M Billets Reports'!D1953)),TRIM('R.M Billets Reports'!F1953),IF(ISNUMBER(SEARCH("Party Name-",'R.M Billets Reports'!D1953)),TRIM(MID('R.M Billets Reports'!D1953,SEARCH("-",'R.M Billets Reports'!D1953)+1,200)),"")),IF(ISNUMBER(SEARCH("Party Name:-",'R.M Billets Reports'!D1954)),TRIM('R.M Billets Reports'!F1954),IF(ISNUMBER(SEARCH("Party Name-",'R.M Billets Reports'!D1954)),TRIM(MID('R.M Billets Reports'!D1954,SEARCH("-",'R.M Billets Reports'!D1954)+1,200)),"")))))),IF(ROW()=2,"",A1953))</f>
      </c>
      <c r="B1954">
        <f>IF(OR('R.M Billets Reports'!A1953="Date-",'R.M Billets Reports'!A1953="Date:-"),'R.M Billets Reports'!B1953,IF(ROW()=2,"",B1953))</f>
      </c>
      <c r="C1954">
        <f>IF('R.M Billets Reports'!A1953="V.No.",'R.M Billets Reports'!B1953,IF(ROW()=2,"",C1953))</f>
      </c>
      <c r="D1954">
        <f>IF('R.M Billets Reports'!A1953&lt;&gt;"",'R.M Billets Reports'!A1953,IF(ROW()=2,"",D1953))</f>
      </c>
      <c r="E1954">
        <f>IF('R.M Billets Reports'!B1953="","",TRIM('R.M Billets Reports'!B1953))</f>
      </c>
      <c r="F1954">
        <f>'R.M Billets Reports'!C1953</f>
      </c>
      <c r="G1954">
        <f>'R.M Billets Reports'!D1953</f>
      </c>
      <c r="H1954">
        <f>'R.M Billets Reports'!E1953</f>
      </c>
      <c r="I1954">
        <f>'R.M Billets Reports'!F1953</f>
      </c>
      <c r="J1954">
        <f>'R.M Billets Reports'!G1953</f>
      </c>
      <c r="K1954">
        <f>'R.M Billets Reports'!H1953</f>
      </c>
      <c r="L1954">
        <f>IF('R.M Billets Reports'!I1953="","",'R.M Billets Reports'!I1953)</f>
      </c>
      <c r="M1954">
        <f t="shared" si="60"/>
      </c>
      <c r="N1954">
        <f>IF('R.M Billets Reports'!J1953="","",'R.M Billets Reports'!J1953)</f>
      </c>
      <c r="O1954">
        <f t="shared" si="61"/>
      </c>
      <c r="P1954">
        <f>IF('R.M Billets Reports'!A1953="SIZE",'R.M Billets Reports'!B1953,P1953)</f>
      </c>
    </row>
    <row r="1955" spans="1:16" x14ac:dyDescent="0.25">
      <c r="A1955">
        <f>IF(OR('R.M Billets Reports'!A1954="Date-",'R.M Billets Reports'!A1954="Date:-"),IF(IF(IF(ISNUMBER(SEARCH("Party Name:-",'R.M Billets Reports'!D1954)),TRIM('R.M Billets Reports'!F1954),IF(ISNUMBER(SEARCH("Party Name-",'R.M Billets Reports'!D1954)),TRIM(MID('R.M Billets Reports'!D1954,SEARCH("-",'R.M Billets Reports'!D1954)+1,200)),""))&lt;&gt;"",IF(ISNUMBER(SEARCH("Party Name:-",'R.M Billets Reports'!D1954)),TRIM('R.M Billets Reports'!F1954),IF(ISNUMBER(SEARCH("Party Name-",'R.M Billets Reports'!D1954)),TRIM(MID('R.M Billets Reports'!D1954,SEARCH("-",'R.M Billets Reports'!D1954)+1,200)),"")),IF(ISNUMBER(SEARCH("Party Name:-",'R.M Billets Reports'!D1955)),TRIM('R.M Billets Reports'!F1955),IF(ISNUMBER(SEARCH("Party Name-",'R.M Billets Reports'!D1955)),TRIM(MID('R.M Billets Reports'!D1955,SEARCH("-",'R.M Billets Reports'!D1955)+1,200)),"")))="VRKP ISPAT PVT LTD","VRKP",IF(IF(IF(ISNUMBER(SEARCH("Party Name:-",'R.M Billets Reports'!D1954)),TRIM('R.M Billets Reports'!F1954),IF(ISNUMBER(SEARCH("Party Name-",'R.M Billets Reports'!D1954)),TRIM(MID('R.M Billets Reports'!D1954,SEARCH("-",'R.M Billets Reports'!D1954)+1,200)),""))&lt;&gt;"",IF(ISNUMBER(SEARCH("Party Name:-",'R.M Billets Reports'!D1954)),TRIM('R.M Billets Reports'!F1954),IF(ISNUMBER(SEARCH("Party Name-",'R.M Billets Reports'!D1954)),TRIM(MID('R.M Billets Reports'!D1954,SEARCH("-",'R.M Billets Reports'!D1954)+1,200)),"")),IF(ISNUMBER(SEARCH("Party Name:-",'R.M Billets Reports'!D1955)),TRIM('R.M Billets Reports'!F1955),IF(ISNUMBER(SEARCH("Party Name-",'R.M Billets Reports'!D1955)),TRIM(MID('R.M Billets Reports'!D1955,SEARCH("-",'R.M Billets Reports'!D1955)+1,200)),"")))="SHRI RADHE","SHREE RADHE",IF(IF(IF(ISNUMBER(SEARCH("Party Name:-",'R.M Billets Reports'!D1954)),TRIM('R.M Billets Reports'!F1954),IF(ISNUMBER(SEARCH("Party Name-",'R.M Billets Reports'!D1954)),TRIM(MID('R.M Billets Reports'!D1954,SEARCH("-",'R.M Billets Reports'!D1954)+1,200)),""))&lt;&gt;"",IF(ISNUMBER(SEARCH("Party Name:-",'R.M Billets Reports'!D1954)),TRIM('R.M Billets Reports'!F1954),IF(ISNUMBER(SEARCH("Party Name-",'R.M Billets Reports'!D1954)),TRIM(MID('R.M Billets Reports'!D1954,SEARCH("-",'R.M Billets Reports'!D1954)+1,200)),"")),IF(ISNUMBER(SEARCH("Party Name:-",'R.M Billets Reports'!D1955)),TRIM('R.M Billets Reports'!F1955),IF(ISNUMBER(SEARCH("Party Name-",'R.M Billets Reports'!D1955)),TRIM(MID('R.M Billets Reports'!D1955,SEARCH("-",'R.M Billets Reports'!D1955)+1,200)),"")))="SHREE RADHE SHAKTI SPONGE AND POWER PVT. LTD.","SHREE RADHE",IF(IF(ISNUMBER(SEARCH("Party Name:-",'R.M Billets Reports'!D1954)),TRIM('R.M Billets Reports'!F1954),IF(ISNUMBER(SEARCH("Party Name-",'R.M Billets Reports'!D1954)),TRIM(MID('R.M Billets Reports'!D1954,SEARCH("-",'R.M Billets Reports'!D1954)+1,200)),""))&lt;&gt;"",IF(ISNUMBER(SEARCH("Party Name:-",'R.M Billets Reports'!D1954)),TRIM('R.M Billets Reports'!F1954),IF(ISNUMBER(SEARCH("Party Name-",'R.M Billets Reports'!D1954)),TRIM(MID('R.M Billets Reports'!D1954,SEARCH("-",'R.M Billets Reports'!D1954)+1,200)),"")),IF(ISNUMBER(SEARCH("Party Name:-",'R.M Billets Reports'!D1955)),TRIM('R.M Billets Reports'!F1955),IF(ISNUMBER(SEARCH("Party Name-",'R.M Billets Reports'!D1955)),TRIM(MID('R.M Billets Reports'!D1955,SEARCH("-",'R.M Billets Reports'!D1955)+1,200)),"")))))),IF(ROW()=2,"",A1954))</f>
      </c>
      <c r="B1955">
        <f>IF(OR('R.M Billets Reports'!A1954="Date-",'R.M Billets Reports'!A1954="Date:-"),'R.M Billets Reports'!B1954,IF(ROW()=2,"",B1954))</f>
      </c>
      <c r="C1955">
        <f>IF('R.M Billets Reports'!A1954="V.No.",'R.M Billets Reports'!B1954,IF(ROW()=2,"",C1954))</f>
      </c>
      <c r="D1955">
        <f>IF('R.M Billets Reports'!A1954&lt;&gt;"",'R.M Billets Reports'!A1954,IF(ROW()=2,"",D1954))</f>
      </c>
      <c r="E1955">
        <f>IF('R.M Billets Reports'!B1954="","",TRIM('R.M Billets Reports'!B1954))</f>
      </c>
      <c r="F1955">
        <f>'R.M Billets Reports'!C1954</f>
      </c>
      <c r="G1955">
        <f>'R.M Billets Reports'!D1954</f>
      </c>
      <c r="H1955">
        <f>'R.M Billets Reports'!E1954</f>
      </c>
      <c r="I1955">
        <f>'R.M Billets Reports'!F1954</f>
      </c>
      <c r="J1955">
        <f>'R.M Billets Reports'!G1954</f>
      </c>
      <c r="K1955">
        <f>'R.M Billets Reports'!H1954</f>
      </c>
      <c r="L1955">
        <f>IF('R.M Billets Reports'!I1954="","",'R.M Billets Reports'!I1954)</f>
      </c>
      <c r="M1955">
        <f t="shared" si="60"/>
      </c>
      <c r="N1955">
        <f>IF('R.M Billets Reports'!J1954="","",'R.M Billets Reports'!J1954)</f>
      </c>
      <c r="O1955">
        <f t="shared" si="61"/>
      </c>
      <c r="P1955">
        <f>IF('R.M Billets Reports'!A1954="SIZE",'R.M Billets Reports'!B1954,P1954)</f>
      </c>
    </row>
    <row r="1956" spans="1:16" x14ac:dyDescent="0.25">
      <c r="A1956">
        <f>IF(OR('R.M Billets Reports'!A1955="Date-",'R.M Billets Reports'!A1955="Date:-"),IF(IF(IF(ISNUMBER(SEARCH("Party Name:-",'R.M Billets Reports'!D1955)),TRIM('R.M Billets Reports'!F1955),IF(ISNUMBER(SEARCH("Party Name-",'R.M Billets Reports'!D1955)),TRIM(MID('R.M Billets Reports'!D1955,SEARCH("-",'R.M Billets Reports'!D1955)+1,200)),""))&lt;&gt;"",IF(ISNUMBER(SEARCH("Party Name:-",'R.M Billets Reports'!D1955)),TRIM('R.M Billets Reports'!F1955),IF(ISNUMBER(SEARCH("Party Name-",'R.M Billets Reports'!D1955)),TRIM(MID('R.M Billets Reports'!D1955,SEARCH("-",'R.M Billets Reports'!D1955)+1,200)),"")),IF(ISNUMBER(SEARCH("Party Name:-",'R.M Billets Reports'!D1956)),TRIM('R.M Billets Reports'!F1956),IF(ISNUMBER(SEARCH("Party Name-",'R.M Billets Reports'!D1956)),TRIM(MID('R.M Billets Reports'!D1956,SEARCH("-",'R.M Billets Reports'!D1956)+1,200)),"")))="VRKP ISPAT PVT LTD","VRKP",IF(IF(IF(ISNUMBER(SEARCH("Party Name:-",'R.M Billets Reports'!D1955)),TRIM('R.M Billets Reports'!F1955),IF(ISNUMBER(SEARCH("Party Name-",'R.M Billets Reports'!D1955)),TRIM(MID('R.M Billets Reports'!D1955,SEARCH("-",'R.M Billets Reports'!D1955)+1,200)),""))&lt;&gt;"",IF(ISNUMBER(SEARCH("Party Name:-",'R.M Billets Reports'!D1955)),TRIM('R.M Billets Reports'!F1955),IF(ISNUMBER(SEARCH("Party Name-",'R.M Billets Reports'!D1955)),TRIM(MID('R.M Billets Reports'!D1955,SEARCH("-",'R.M Billets Reports'!D1955)+1,200)),"")),IF(ISNUMBER(SEARCH("Party Name:-",'R.M Billets Reports'!D1956)),TRIM('R.M Billets Reports'!F1956),IF(ISNUMBER(SEARCH("Party Name-",'R.M Billets Reports'!D1956)),TRIM(MID('R.M Billets Reports'!D1956,SEARCH("-",'R.M Billets Reports'!D1956)+1,200)),"")))="SHRI RADHE","SHREE RADHE",IF(IF(IF(ISNUMBER(SEARCH("Party Name:-",'R.M Billets Reports'!D1955)),TRIM('R.M Billets Reports'!F1955),IF(ISNUMBER(SEARCH("Party Name-",'R.M Billets Reports'!D1955)),TRIM(MID('R.M Billets Reports'!D1955,SEARCH("-",'R.M Billets Reports'!D1955)+1,200)),""))&lt;&gt;"",IF(ISNUMBER(SEARCH("Party Name:-",'R.M Billets Reports'!D1955)),TRIM('R.M Billets Reports'!F1955),IF(ISNUMBER(SEARCH("Party Name-",'R.M Billets Reports'!D1955)),TRIM(MID('R.M Billets Reports'!D1955,SEARCH("-",'R.M Billets Reports'!D1955)+1,200)),"")),IF(ISNUMBER(SEARCH("Party Name:-",'R.M Billets Reports'!D1956)),TRIM('R.M Billets Reports'!F1956),IF(ISNUMBER(SEARCH("Party Name-",'R.M Billets Reports'!D1956)),TRIM(MID('R.M Billets Reports'!D1956,SEARCH("-",'R.M Billets Reports'!D1956)+1,200)),"")))="SHREE RADHE SHAKTI SPONGE AND POWER PVT. LTD.","SHREE RADHE",IF(IF(ISNUMBER(SEARCH("Party Name:-",'R.M Billets Reports'!D1955)),TRIM('R.M Billets Reports'!F1955),IF(ISNUMBER(SEARCH("Party Name-",'R.M Billets Reports'!D1955)),TRIM(MID('R.M Billets Reports'!D1955,SEARCH("-",'R.M Billets Reports'!D1955)+1,200)),""))&lt;&gt;"",IF(ISNUMBER(SEARCH("Party Name:-",'R.M Billets Reports'!D1955)),TRIM('R.M Billets Reports'!F1955),IF(ISNUMBER(SEARCH("Party Name-",'R.M Billets Reports'!D1955)),TRIM(MID('R.M Billets Reports'!D1955,SEARCH("-",'R.M Billets Reports'!D1955)+1,200)),"")),IF(ISNUMBER(SEARCH("Party Name:-",'R.M Billets Reports'!D1956)),TRIM('R.M Billets Reports'!F1956),IF(ISNUMBER(SEARCH("Party Name-",'R.M Billets Reports'!D1956)),TRIM(MID('R.M Billets Reports'!D1956,SEARCH("-",'R.M Billets Reports'!D1956)+1,200)),"")))))),IF(ROW()=2,"",A1955))</f>
      </c>
      <c r="B1956">
        <f>IF(OR('R.M Billets Reports'!A1955="Date-",'R.M Billets Reports'!A1955="Date:-"),'R.M Billets Reports'!B1955,IF(ROW()=2,"",B1955))</f>
      </c>
      <c r="C1956">
        <f>IF('R.M Billets Reports'!A1955="V.No.",'R.M Billets Reports'!B1955,IF(ROW()=2,"",C1955))</f>
      </c>
      <c r="D1956">
        <f>IF('R.M Billets Reports'!A1955&lt;&gt;"",'R.M Billets Reports'!A1955,IF(ROW()=2,"",D1955))</f>
      </c>
      <c r="E1956">
        <f>IF('R.M Billets Reports'!B1955="","",TRIM('R.M Billets Reports'!B1955))</f>
      </c>
      <c r="F1956">
        <f>'R.M Billets Reports'!C1955</f>
      </c>
      <c r="G1956">
        <f>'R.M Billets Reports'!D1955</f>
      </c>
      <c r="H1956">
        <f>'R.M Billets Reports'!E1955</f>
      </c>
      <c r="I1956">
        <f>'R.M Billets Reports'!F1955</f>
      </c>
      <c r="J1956">
        <f>'R.M Billets Reports'!G1955</f>
      </c>
      <c r="K1956">
        <f>'R.M Billets Reports'!H1955</f>
      </c>
      <c r="L1956">
        <f>IF('R.M Billets Reports'!I1955="","",'R.M Billets Reports'!I1955)</f>
      </c>
      <c r="M1956">
        <f t="shared" si="60"/>
      </c>
      <c r="N1956">
        <f>IF('R.M Billets Reports'!J1955="","",'R.M Billets Reports'!J1955)</f>
      </c>
      <c r="O1956">
        <f t="shared" si="61"/>
      </c>
      <c r="P1956">
        <f>IF('R.M Billets Reports'!A1955="SIZE",'R.M Billets Reports'!B1955,P1955)</f>
      </c>
    </row>
    <row r="1957" spans="1:16" x14ac:dyDescent="0.25">
      <c r="A1957">
        <f>IF(OR('R.M Billets Reports'!A1956="Date-",'R.M Billets Reports'!A1956="Date:-"),IF(IF(IF(ISNUMBER(SEARCH("Party Name:-",'R.M Billets Reports'!D1956)),TRIM('R.M Billets Reports'!F1956),IF(ISNUMBER(SEARCH("Party Name-",'R.M Billets Reports'!D1956)),TRIM(MID('R.M Billets Reports'!D1956,SEARCH("-",'R.M Billets Reports'!D1956)+1,200)),""))&lt;&gt;"",IF(ISNUMBER(SEARCH("Party Name:-",'R.M Billets Reports'!D1956)),TRIM('R.M Billets Reports'!F1956),IF(ISNUMBER(SEARCH("Party Name-",'R.M Billets Reports'!D1956)),TRIM(MID('R.M Billets Reports'!D1956,SEARCH("-",'R.M Billets Reports'!D1956)+1,200)),"")),IF(ISNUMBER(SEARCH("Party Name:-",'R.M Billets Reports'!D1957)),TRIM('R.M Billets Reports'!F1957),IF(ISNUMBER(SEARCH("Party Name-",'R.M Billets Reports'!D1957)),TRIM(MID('R.M Billets Reports'!D1957,SEARCH("-",'R.M Billets Reports'!D1957)+1,200)),"")))="VRKP ISPAT PVT LTD","VRKP",IF(IF(IF(ISNUMBER(SEARCH("Party Name:-",'R.M Billets Reports'!D1956)),TRIM('R.M Billets Reports'!F1956),IF(ISNUMBER(SEARCH("Party Name-",'R.M Billets Reports'!D1956)),TRIM(MID('R.M Billets Reports'!D1956,SEARCH("-",'R.M Billets Reports'!D1956)+1,200)),""))&lt;&gt;"",IF(ISNUMBER(SEARCH("Party Name:-",'R.M Billets Reports'!D1956)),TRIM('R.M Billets Reports'!F1956),IF(ISNUMBER(SEARCH("Party Name-",'R.M Billets Reports'!D1956)),TRIM(MID('R.M Billets Reports'!D1956,SEARCH("-",'R.M Billets Reports'!D1956)+1,200)),"")),IF(ISNUMBER(SEARCH("Party Name:-",'R.M Billets Reports'!D1957)),TRIM('R.M Billets Reports'!F1957),IF(ISNUMBER(SEARCH("Party Name-",'R.M Billets Reports'!D1957)),TRIM(MID('R.M Billets Reports'!D1957,SEARCH("-",'R.M Billets Reports'!D1957)+1,200)),"")))="SHRI RADHE","SHREE RADHE",IF(IF(IF(ISNUMBER(SEARCH("Party Name:-",'R.M Billets Reports'!D1956)),TRIM('R.M Billets Reports'!F1956),IF(ISNUMBER(SEARCH("Party Name-",'R.M Billets Reports'!D1956)),TRIM(MID('R.M Billets Reports'!D1956,SEARCH("-",'R.M Billets Reports'!D1956)+1,200)),""))&lt;&gt;"",IF(ISNUMBER(SEARCH("Party Name:-",'R.M Billets Reports'!D1956)),TRIM('R.M Billets Reports'!F1956),IF(ISNUMBER(SEARCH("Party Name-",'R.M Billets Reports'!D1956)),TRIM(MID('R.M Billets Reports'!D1956,SEARCH("-",'R.M Billets Reports'!D1956)+1,200)),"")),IF(ISNUMBER(SEARCH("Party Name:-",'R.M Billets Reports'!D1957)),TRIM('R.M Billets Reports'!F1957),IF(ISNUMBER(SEARCH("Party Name-",'R.M Billets Reports'!D1957)),TRIM(MID('R.M Billets Reports'!D1957,SEARCH("-",'R.M Billets Reports'!D1957)+1,200)),"")))="SHREE RADHE SHAKTI SPONGE AND POWER PVT. LTD.","SHREE RADHE",IF(IF(ISNUMBER(SEARCH("Party Name:-",'R.M Billets Reports'!D1956)),TRIM('R.M Billets Reports'!F1956),IF(ISNUMBER(SEARCH("Party Name-",'R.M Billets Reports'!D1956)),TRIM(MID('R.M Billets Reports'!D1956,SEARCH("-",'R.M Billets Reports'!D1956)+1,200)),""))&lt;&gt;"",IF(ISNUMBER(SEARCH("Party Name:-",'R.M Billets Reports'!D1956)),TRIM('R.M Billets Reports'!F1956),IF(ISNUMBER(SEARCH("Party Name-",'R.M Billets Reports'!D1956)),TRIM(MID('R.M Billets Reports'!D1956,SEARCH("-",'R.M Billets Reports'!D1956)+1,200)),"")),IF(ISNUMBER(SEARCH("Party Name:-",'R.M Billets Reports'!D1957)),TRIM('R.M Billets Reports'!F1957),IF(ISNUMBER(SEARCH("Party Name-",'R.M Billets Reports'!D1957)),TRIM(MID('R.M Billets Reports'!D1957,SEARCH("-",'R.M Billets Reports'!D1957)+1,200)),"")))))),IF(ROW()=2,"",A1956))</f>
      </c>
      <c r="B1957">
        <f>IF(OR('R.M Billets Reports'!A1956="Date-",'R.M Billets Reports'!A1956="Date:-"),'R.M Billets Reports'!B1956,IF(ROW()=2,"",B1956))</f>
      </c>
      <c r="C1957">
        <f>IF('R.M Billets Reports'!A1956="V.No.",'R.M Billets Reports'!B1956,IF(ROW()=2,"",C1956))</f>
      </c>
      <c r="D1957">
        <f>IF('R.M Billets Reports'!A1956&lt;&gt;"",'R.M Billets Reports'!A1956,IF(ROW()=2,"",D1956))</f>
      </c>
      <c r="E1957">
        <f>IF('R.M Billets Reports'!B1956="","",TRIM('R.M Billets Reports'!B1956))</f>
      </c>
      <c r="F1957">
        <f>'R.M Billets Reports'!C1956</f>
      </c>
      <c r="G1957">
        <f>'R.M Billets Reports'!D1956</f>
      </c>
      <c r="H1957">
        <f>'R.M Billets Reports'!E1956</f>
      </c>
      <c r="I1957">
        <f>'R.M Billets Reports'!F1956</f>
      </c>
      <c r="J1957">
        <f>'R.M Billets Reports'!G1956</f>
      </c>
      <c r="K1957">
        <f>'R.M Billets Reports'!H1956</f>
      </c>
      <c r="L1957">
        <f>IF('R.M Billets Reports'!I1956="","",'R.M Billets Reports'!I1956)</f>
      </c>
      <c r="M1957">
        <f t="shared" si="60"/>
      </c>
      <c r="N1957">
        <f>IF('R.M Billets Reports'!J1956="","",'R.M Billets Reports'!J1956)</f>
      </c>
      <c r="O1957">
        <f t="shared" si="61"/>
      </c>
      <c r="P1957">
        <f>IF('R.M Billets Reports'!A1956="SIZE",'R.M Billets Reports'!B1956,P1956)</f>
      </c>
    </row>
    <row r="1958" spans="1:16" x14ac:dyDescent="0.25">
      <c r="A1958">
        <f>IF(OR('R.M Billets Reports'!A1957="Date-",'R.M Billets Reports'!A1957="Date:-"),IF(IF(IF(ISNUMBER(SEARCH("Party Name:-",'R.M Billets Reports'!D1957)),TRIM('R.M Billets Reports'!F1957),IF(ISNUMBER(SEARCH("Party Name-",'R.M Billets Reports'!D1957)),TRIM(MID('R.M Billets Reports'!D1957,SEARCH("-",'R.M Billets Reports'!D1957)+1,200)),""))&lt;&gt;"",IF(ISNUMBER(SEARCH("Party Name:-",'R.M Billets Reports'!D1957)),TRIM('R.M Billets Reports'!F1957),IF(ISNUMBER(SEARCH("Party Name-",'R.M Billets Reports'!D1957)),TRIM(MID('R.M Billets Reports'!D1957,SEARCH("-",'R.M Billets Reports'!D1957)+1,200)),"")),IF(ISNUMBER(SEARCH("Party Name:-",'R.M Billets Reports'!D1958)),TRIM('R.M Billets Reports'!F1958),IF(ISNUMBER(SEARCH("Party Name-",'R.M Billets Reports'!D1958)),TRIM(MID('R.M Billets Reports'!D1958,SEARCH("-",'R.M Billets Reports'!D1958)+1,200)),"")))="VRKP ISPAT PVT LTD","VRKP",IF(IF(IF(ISNUMBER(SEARCH("Party Name:-",'R.M Billets Reports'!D1957)),TRIM('R.M Billets Reports'!F1957),IF(ISNUMBER(SEARCH("Party Name-",'R.M Billets Reports'!D1957)),TRIM(MID('R.M Billets Reports'!D1957,SEARCH("-",'R.M Billets Reports'!D1957)+1,200)),""))&lt;&gt;"",IF(ISNUMBER(SEARCH("Party Name:-",'R.M Billets Reports'!D1957)),TRIM('R.M Billets Reports'!F1957),IF(ISNUMBER(SEARCH("Party Name-",'R.M Billets Reports'!D1957)),TRIM(MID('R.M Billets Reports'!D1957,SEARCH("-",'R.M Billets Reports'!D1957)+1,200)),"")),IF(ISNUMBER(SEARCH("Party Name:-",'R.M Billets Reports'!D1958)),TRIM('R.M Billets Reports'!F1958),IF(ISNUMBER(SEARCH("Party Name-",'R.M Billets Reports'!D1958)),TRIM(MID('R.M Billets Reports'!D1958,SEARCH("-",'R.M Billets Reports'!D1958)+1,200)),"")))="SHRI RADHE","SHREE RADHE",IF(IF(IF(ISNUMBER(SEARCH("Party Name:-",'R.M Billets Reports'!D1957)),TRIM('R.M Billets Reports'!F1957),IF(ISNUMBER(SEARCH("Party Name-",'R.M Billets Reports'!D1957)),TRIM(MID('R.M Billets Reports'!D1957,SEARCH("-",'R.M Billets Reports'!D1957)+1,200)),""))&lt;&gt;"",IF(ISNUMBER(SEARCH("Party Name:-",'R.M Billets Reports'!D1957)),TRIM('R.M Billets Reports'!F1957),IF(ISNUMBER(SEARCH("Party Name-",'R.M Billets Reports'!D1957)),TRIM(MID('R.M Billets Reports'!D1957,SEARCH("-",'R.M Billets Reports'!D1957)+1,200)),"")),IF(ISNUMBER(SEARCH("Party Name:-",'R.M Billets Reports'!D1958)),TRIM('R.M Billets Reports'!F1958),IF(ISNUMBER(SEARCH("Party Name-",'R.M Billets Reports'!D1958)),TRIM(MID('R.M Billets Reports'!D1958,SEARCH("-",'R.M Billets Reports'!D1958)+1,200)),"")))="SHREE RADHE SHAKTI SPONGE AND POWER PVT. LTD.","SHREE RADHE",IF(IF(ISNUMBER(SEARCH("Party Name:-",'R.M Billets Reports'!D1957)),TRIM('R.M Billets Reports'!F1957),IF(ISNUMBER(SEARCH("Party Name-",'R.M Billets Reports'!D1957)),TRIM(MID('R.M Billets Reports'!D1957,SEARCH("-",'R.M Billets Reports'!D1957)+1,200)),""))&lt;&gt;"",IF(ISNUMBER(SEARCH("Party Name:-",'R.M Billets Reports'!D1957)),TRIM('R.M Billets Reports'!F1957),IF(ISNUMBER(SEARCH("Party Name-",'R.M Billets Reports'!D1957)),TRIM(MID('R.M Billets Reports'!D1957,SEARCH("-",'R.M Billets Reports'!D1957)+1,200)),"")),IF(ISNUMBER(SEARCH("Party Name:-",'R.M Billets Reports'!D1958)),TRIM('R.M Billets Reports'!F1958),IF(ISNUMBER(SEARCH("Party Name-",'R.M Billets Reports'!D1958)),TRIM(MID('R.M Billets Reports'!D1958,SEARCH("-",'R.M Billets Reports'!D1958)+1,200)),"")))))),IF(ROW()=2,"",A1957))</f>
      </c>
      <c r="B1958">
        <f>IF(OR('R.M Billets Reports'!A1957="Date-",'R.M Billets Reports'!A1957="Date:-"),'R.M Billets Reports'!B1957,IF(ROW()=2,"",B1957))</f>
      </c>
      <c r="C1958">
        <f>IF('R.M Billets Reports'!A1957="V.No.",'R.M Billets Reports'!B1957,IF(ROW()=2,"",C1957))</f>
      </c>
      <c r="D1958">
        <f>IF('R.M Billets Reports'!A1957&lt;&gt;"",'R.M Billets Reports'!A1957,IF(ROW()=2,"",D1957))</f>
      </c>
      <c r="E1958">
        <f>IF('R.M Billets Reports'!B1957="","",TRIM('R.M Billets Reports'!B1957))</f>
      </c>
      <c r="F1958">
        <f>'R.M Billets Reports'!C1957</f>
      </c>
      <c r="G1958">
        <f>'R.M Billets Reports'!D1957</f>
      </c>
      <c r="H1958">
        <f>'R.M Billets Reports'!E1957</f>
      </c>
      <c r="I1958">
        <f>'R.M Billets Reports'!F1957</f>
      </c>
      <c r="J1958">
        <f>'R.M Billets Reports'!G1957</f>
      </c>
      <c r="K1958">
        <f>'R.M Billets Reports'!H1957</f>
      </c>
      <c r="L1958">
        <f>IF('R.M Billets Reports'!I1957="","",'R.M Billets Reports'!I1957)</f>
      </c>
      <c r="M1958">
        <f t="shared" si="60"/>
      </c>
      <c r="N1958">
        <f>IF('R.M Billets Reports'!J1957="","",'R.M Billets Reports'!J1957)</f>
      </c>
      <c r="O1958">
        <f t="shared" si="61"/>
      </c>
      <c r="P1958">
        <f>IF('R.M Billets Reports'!A1957="SIZE",'R.M Billets Reports'!B1957,P1957)</f>
      </c>
    </row>
    <row r="1959" spans="1:16" x14ac:dyDescent="0.25">
      <c r="A1959">
        <f>IF(OR('R.M Billets Reports'!A1958="Date-",'R.M Billets Reports'!A1958="Date:-"),IF(IF(IF(ISNUMBER(SEARCH("Party Name:-",'R.M Billets Reports'!D1958)),TRIM('R.M Billets Reports'!F1958),IF(ISNUMBER(SEARCH("Party Name-",'R.M Billets Reports'!D1958)),TRIM(MID('R.M Billets Reports'!D1958,SEARCH("-",'R.M Billets Reports'!D1958)+1,200)),""))&lt;&gt;"",IF(ISNUMBER(SEARCH("Party Name:-",'R.M Billets Reports'!D1958)),TRIM('R.M Billets Reports'!F1958),IF(ISNUMBER(SEARCH("Party Name-",'R.M Billets Reports'!D1958)),TRIM(MID('R.M Billets Reports'!D1958,SEARCH("-",'R.M Billets Reports'!D1958)+1,200)),"")),IF(ISNUMBER(SEARCH("Party Name:-",'R.M Billets Reports'!D1959)),TRIM('R.M Billets Reports'!F1959),IF(ISNUMBER(SEARCH("Party Name-",'R.M Billets Reports'!D1959)),TRIM(MID('R.M Billets Reports'!D1959,SEARCH("-",'R.M Billets Reports'!D1959)+1,200)),"")))="VRKP ISPAT PVT LTD","VRKP",IF(IF(IF(ISNUMBER(SEARCH("Party Name:-",'R.M Billets Reports'!D1958)),TRIM('R.M Billets Reports'!F1958),IF(ISNUMBER(SEARCH("Party Name-",'R.M Billets Reports'!D1958)),TRIM(MID('R.M Billets Reports'!D1958,SEARCH("-",'R.M Billets Reports'!D1958)+1,200)),""))&lt;&gt;"",IF(ISNUMBER(SEARCH("Party Name:-",'R.M Billets Reports'!D1958)),TRIM('R.M Billets Reports'!F1958),IF(ISNUMBER(SEARCH("Party Name-",'R.M Billets Reports'!D1958)),TRIM(MID('R.M Billets Reports'!D1958,SEARCH("-",'R.M Billets Reports'!D1958)+1,200)),"")),IF(ISNUMBER(SEARCH("Party Name:-",'R.M Billets Reports'!D1959)),TRIM('R.M Billets Reports'!F1959),IF(ISNUMBER(SEARCH("Party Name-",'R.M Billets Reports'!D1959)),TRIM(MID('R.M Billets Reports'!D1959,SEARCH("-",'R.M Billets Reports'!D1959)+1,200)),"")))="SHRI RADHE","SHREE RADHE",IF(IF(IF(ISNUMBER(SEARCH("Party Name:-",'R.M Billets Reports'!D1958)),TRIM('R.M Billets Reports'!F1958),IF(ISNUMBER(SEARCH("Party Name-",'R.M Billets Reports'!D1958)),TRIM(MID('R.M Billets Reports'!D1958,SEARCH("-",'R.M Billets Reports'!D1958)+1,200)),""))&lt;&gt;"",IF(ISNUMBER(SEARCH("Party Name:-",'R.M Billets Reports'!D1958)),TRIM('R.M Billets Reports'!F1958),IF(ISNUMBER(SEARCH("Party Name-",'R.M Billets Reports'!D1958)),TRIM(MID('R.M Billets Reports'!D1958,SEARCH("-",'R.M Billets Reports'!D1958)+1,200)),"")),IF(ISNUMBER(SEARCH("Party Name:-",'R.M Billets Reports'!D1959)),TRIM('R.M Billets Reports'!F1959),IF(ISNUMBER(SEARCH("Party Name-",'R.M Billets Reports'!D1959)),TRIM(MID('R.M Billets Reports'!D1959,SEARCH("-",'R.M Billets Reports'!D1959)+1,200)),"")))="SHREE RADHE SHAKTI SPONGE AND POWER PVT. LTD.","SHREE RADHE",IF(IF(ISNUMBER(SEARCH("Party Name:-",'R.M Billets Reports'!D1958)),TRIM('R.M Billets Reports'!F1958),IF(ISNUMBER(SEARCH("Party Name-",'R.M Billets Reports'!D1958)),TRIM(MID('R.M Billets Reports'!D1958,SEARCH("-",'R.M Billets Reports'!D1958)+1,200)),""))&lt;&gt;"",IF(ISNUMBER(SEARCH("Party Name:-",'R.M Billets Reports'!D1958)),TRIM('R.M Billets Reports'!F1958),IF(ISNUMBER(SEARCH("Party Name-",'R.M Billets Reports'!D1958)),TRIM(MID('R.M Billets Reports'!D1958,SEARCH("-",'R.M Billets Reports'!D1958)+1,200)),"")),IF(ISNUMBER(SEARCH("Party Name:-",'R.M Billets Reports'!D1959)),TRIM('R.M Billets Reports'!F1959),IF(ISNUMBER(SEARCH("Party Name-",'R.M Billets Reports'!D1959)),TRIM(MID('R.M Billets Reports'!D1959,SEARCH("-",'R.M Billets Reports'!D1959)+1,200)),"")))))),IF(ROW()=2,"",A1958))</f>
      </c>
      <c r="B1959">
        <f>IF(OR('R.M Billets Reports'!A1958="Date-",'R.M Billets Reports'!A1958="Date:-"),'R.M Billets Reports'!B1958,IF(ROW()=2,"",B1958))</f>
      </c>
      <c r="C1959">
        <f>IF('R.M Billets Reports'!A1958="V.No.",'R.M Billets Reports'!B1958,IF(ROW()=2,"",C1958))</f>
      </c>
      <c r="D1959">
        <f>IF('R.M Billets Reports'!A1958&lt;&gt;"",'R.M Billets Reports'!A1958,IF(ROW()=2,"",D1958))</f>
      </c>
      <c r="E1959">
        <f>IF('R.M Billets Reports'!B1958="","",TRIM('R.M Billets Reports'!B1958))</f>
      </c>
      <c r="F1959">
        <f>'R.M Billets Reports'!C1958</f>
      </c>
      <c r="G1959">
        <f>'R.M Billets Reports'!D1958</f>
      </c>
      <c r="H1959">
        <f>'R.M Billets Reports'!E1958</f>
      </c>
      <c r="I1959">
        <f>'R.M Billets Reports'!F1958</f>
      </c>
      <c r="J1959">
        <f>'R.M Billets Reports'!G1958</f>
      </c>
      <c r="K1959">
        <f>'R.M Billets Reports'!H1958</f>
      </c>
      <c r="L1959">
        <f>IF('R.M Billets Reports'!I1958="","",'R.M Billets Reports'!I1958)</f>
      </c>
      <c r="M1959">
        <f t="shared" si="60"/>
      </c>
      <c r="N1959">
        <f>IF('R.M Billets Reports'!J1958="","",'R.M Billets Reports'!J1958)</f>
      </c>
      <c r="O1959">
        <f t="shared" si="61"/>
      </c>
      <c r="P1959">
        <f>IF('R.M Billets Reports'!A1958="SIZE",'R.M Billets Reports'!B1958,P1958)</f>
      </c>
    </row>
    <row r="1960" spans="1:16" x14ac:dyDescent="0.25">
      <c r="A1960">
        <f>IF(OR('R.M Billets Reports'!A1959="Date-",'R.M Billets Reports'!A1959="Date:-"),IF(IF(IF(ISNUMBER(SEARCH("Party Name:-",'R.M Billets Reports'!D1959)),TRIM('R.M Billets Reports'!F1959),IF(ISNUMBER(SEARCH("Party Name-",'R.M Billets Reports'!D1959)),TRIM(MID('R.M Billets Reports'!D1959,SEARCH("-",'R.M Billets Reports'!D1959)+1,200)),""))&lt;&gt;"",IF(ISNUMBER(SEARCH("Party Name:-",'R.M Billets Reports'!D1959)),TRIM('R.M Billets Reports'!F1959),IF(ISNUMBER(SEARCH("Party Name-",'R.M Billets Reports'!D1959)),TRIM(MID('R.M Billets Reports'!D1959,SEARCH("-",'R.M Billets Reports'!D1959)+1,200)),"")),IF(ISNUMBER(SEARCH("Party Name:-",'R.M Billets Reports'!D1960)),TRIM('R.M Billets Reports'!F1960),IF(ISNUMBER(SEARCH("Party Name-",'R.M Billets Reports'!D1960)),TRIM(MID('R.M Billets Reports'!D1960,SEARCH("-",'R.M Billets Reports'!D1960)+1,200)),"")))="VRKP ISPAT PVT LTD","VRKP",IF(IF(IF(ISNUMBER(SEARCH("Party Name:-",'R.M Billets Reports'!D1959)),TRIM('R.M Billets Reports'!F1959),IF(ISNUMBER(SEARCH("Party Name-",'R.M Billets Reports'!D1959)),TRIM(MID('R.M Billets Reports'!D1959,SEARCH("-",'R.M Billets Reports'!D1959)+1,200)),""))&lt;&gt;"",IF(ISNUMBER(SEARCH("Party Name:-",'R.M Billets Reports'!D1959)),TRIM('R.M Billets Reports'!F1959),IF(ISNUMBER(SEARCH("Party Name-",'R.M Billets Reports'!D1959)),TRIM(MID('R.M Billets Reports'!D1959,SEARCH("-",'R.M Billets Reports'!D1959)+1,200)),"")),IF(ISNUMBER(SEARCH("Party Name:-",'R.M Billets Reports'!D1960)),TRIM('R.M Billets Reports'!F1960),IF(ISNUMBER(SEARCH("Party Name-",'R.M Billets Reports'!D1960)),TRIM(MID('R.M Billets Reports'!D1960,SEARCH("-",'R.M Billets Reports'!D1960)+1,200)),"")))="SHRI RADHE","SHREE RADHE",IF(IF(IF(ISNUMBER(SEARCH("Party Name:-",'R.M Billets Reports'!D1959)),TRIM('R.M Billets Reports'!F1959),IF(ISNUMBER(SEARCH("Party Name-",'R.M Billets Reports'!D1959)),TRIM(MID('R.M Billets Reports'!D1959,SEARCH("-",'R.M Billets Reports'!D1959)+1,200)),""))&lt;&gt;"",IF(ISNUMBER(SEARCH("Party Name:-",'R.M Billets Reports'!D1959)),TRIM('R.M Billets Reports'!F1959),IF(ISNUMBER(SEARCH("Party Name-",'R.M Billets Reports'!D1959)),TRIM(MID('R.M Billets Reports'!D1959,SEARCH("-",'R.M Billets Reports'!D1959)+1,200)),"")),IF(ISNUMBER(SEARCH("Party Name:-",'R.M Billets Reports'!D1960)),TRIM('R.M Billets Reports'!F1960),IF(ISNUMBER(SEARCH("Party Name-",'R.M Billets Reports'!D1960)),TRIM(MID('R.M Billets Reports'!D1960,SEARCH("-",'R.M Billets Reports'!D1960)+1,200)),"")))="SHREE RADHE SHAKTI SPONGE AND POWER PVT. LTD.","SHREE RADHE",IF(IF(ISNUMBER(SEARCH("Party Name:-",'R.M Billets Reports'!D1959)),TRIM('R.M Billets Reports'!F1959),IF(ISNUMBER(SEARCH("Party Name-",'R.M Billets Reports'!D1959)),TRIM(MID('R.M Billets Reports'!D1959,SEARCH("-",'R.M Billets Reports'!D1959)+1,200)),""))&lt;&gt;"",IF(ISNUMBER(SEARCH("Party Name:-",'R.M Billets Reports'!D1959)),TRIM('R.M Billets Reports'!F1959),IF(ISNUMBER(SEARCH("Party Name-",'R.M Billets Reports'!D1959)),TRIM(MID('R.M Billets Reports'!D1959,SEARCH("-",'R.M Billets Reports'!D1959)+1,200)),"")),IF(ISNUMBER(SEARCH("Party Name:-",'R.M Billets Reports'!D1960)),TRIM('R.M Billets Reports'!F1960),IF(ISNUMBER(SEARCH("Party Name-",'R.M Billets Reports'!D1960)),TRIM(MID('R.M Billets Reports'!D1960,SEARCH("-",'R.M Billets Reports'!D1960)+1,200)),"")))))),IF(ROW()=2,"",A1959))</f>
      </c>
      <c r="B1960">
        <f>IF(OR('R.M Billets Reports'!A1959="Date-",'R.M Billets Reports'!A1959="Date:-"),'R.M Billets Reports'!B1959,IF(ROW()=2,"",B1959))</f>
      </c>
      <c r="C1960">
        <f>IF('R.M Billets Reports'!A1959="V.No.",'R.M Billets Reports'!B1959,IF(ROW()=2,"",C1959))</f>
      </c>
      <c r="D1960">
        <f>IF('R.M Billets Reports'!A1959&lt;&gt;"",'R.M Billets Reports'!A1959,IF(ROW()=2,"",D1959))</f>
      </c>
      <c r="E1960">
        <f>IF('R.M Billets Reports'!B1959="","",TRIM('R.M Billets Reports'!B1959))</f>
      </c>
      <c r="F1960">
        <f>'R.M Billets Reports'!C1959</f>
      </c>
      <c r="G1960">
        <f>'R.M Billets Reports'!D1959</f>
      </c>
      <c r="H1960">
        <f>'R.M Billets Reports'!E1959</f>
      </c>
      <c r="I1960">
        <f>'R.M Billets Reports'!F1959</f>
      </c>
      <c r="J1960">
        <f>'R.M Billets Reports'!G1959</f>
      </c>
      <c r="K1960">
        <f>'R.M Billets Reports'!H1959</f>
      </c>
      <c r="L1960">
        <f>IF('R.M Billets Reports'!I1959="","",'R.M Billets Reports'!I1959)</f>
      </c>
      <c r="M1960">
        <f t="shared" si="60"/>
      </c>
      <c r="N1960">
        <f>IF('R.M Billets Reports'!J1959="","",'R.M Billets Reports'!J1959)</f>
      </c>
      <c r="O1960">
        <f t="shared" si="61"/>
      </c>
      <c r="P1960">
        <f>IF('R.M Billets Reports'!A1959="SIZE",'R.M Billets Reports'!B1959,P1959)</f>
      </c>
    </row>
    <row r="1961" spans="1:16" x14ac:dyDescent="0.25">
      <c r="A1961">
        <f>IF(OR('R.M Billets Reports'!A1960="Date-",'R.M Billets Reports'!A1960="Date:-"),IF(IF(IF(ISNUMBER(SEARCH("Party Name:-",'R.M Billets Reports'!D1960)),TRIM('R.M Billets Reports'!F1960),IF(ISNUMBER(SEARCH("Party Name-",'R.M Billets Reports'!D1960)),TRIM(MID('R.M Billets Reports'!D1960,SEARCH("-",'R.M Billets Reports'!D1960)+1,200)),""))&lt;&gt;"",IF(ISNUMBER(SEARCH("Party Name:-",'R.M Billets Reports'!D1960)),TRIM('R.M Billets Reports'!F1960),IF(ISNUMBER(SEARCH("Party Name-",'R.M Billets Reports'!D1960)),TRIM(MID('R.M Billets Reports'!D1960,SEARCH("-",'R.M Billets Reports'!D1960)+1,200)),"")),IF(ISNUMBER(SEARCH("Party Name:-",'R.M Billets Reports'!D1961)),TRIM('R.M Billets Reports'!F1961),IF(ISNUMBER(SEARCH("Party Name-",'R.M Billets Reports'!D1961)),TRIM(MID('R.M Billets Reports'!D1961,SEARCH("-",'R.M Billets Reports'!D1961)+1,200)),"")))="VRKP ISPAT PVT LTD","VRKP",IF(IF(IF(ISNUMBER(SEARCH("Party Name:-",'R.M Billets Reports'!D1960)),TRIM('R.M Billets Reports'!F1960),IF(ISNUMBER(SEARCH("Party Name-",'R.M Billets Reports'!D1960)),TRIM(MID('R.M Billets Reports'!D1960,SEARCH("-",'R.M Billets Reports'!D1960)+1,200)),""))&lt;&gt;"",IF(ISNUMBER(SEARCH("Party Name:-",'R.M Billets Reports'!D1960)),TRIM('R.M Billets Reports'!F1960),IF(ISNUMBER(SEARCH("Party Name-",'R.M Billets Reports'!D1960)),TRIM(MID('R.M Billets Reports'!D1960,SEARCH("-",'R.M Billets Reports'!D1960)+1,200)),"")),IF(ISNUMBER(SEARCH("Party Name:-",'R.M Billets Reports'!D1961)),TRIM('R.M Billets Reports'!F1961),IF(ISNUMBER(SEARCH("Party Name-",'R.M Billets Reports'!D1961)),TRIM(MID('R.M Billets Reports'!D1961,SEARCH("-",'R.M Billets Reports'!D1961)+1,200)),"")))="SHRI RADHE","SHREE RADHE",IF(IF(IF(ISNUMBER(SEARCH("Party Name:-",'R.M Billets Reports'!D1960)),TRIM('R.M Billets Reports'!F1960),IF(ISNUMBER(SEARCH("Party Name-",'R.M Billets Reports'!D1960)),TRIM(MID('R.M Billets Reports'!D1960,SEARCH("-",'R.M Billets Reports'!D1960)+1,200)),""))&lt;&gt;"",IF(ISNUMBER(SEARCH("Party Name:-",'R.M Billets Reports'!D1960)),TRIM('R.M Billets Reports'!F1960),IF(ISNUMBER(SEARCH("Party Name-",'R.M Billets Reports'!D1960)),TRIM(MID('R.M Billets Reports'!D1960,SEARCH("-",'R.M Billets Reports'!D1960)+1,200)),"")),IF(ISNUMBER(SEARCH("Party Name:-",'R.M Billets Reports'!D1961)),TRIM('R.M Billets Reports'!F1961),IF(ISNUMBER(SEARCH("Party Name-",'R.M Billets Reports'!D1961)),TRIM(MID('R.M Billets Reports'!D1961,SEARCH("-",'R.M Billets Reports'!D1961)+1,200)),"")))="SHREE RADHE SHAKTI SPONGE AND POWER PVT. LTD.","SHREE RADHE",IF(IF(ISNUMBER(SEARCH("Party Name:-",'R.M Billets Reports'!D1960)),TRIM('R.M Billets Reports'!F1960),IF(ISNUMBER(SEARCH("Party Name-",'R.M Billets Reports'!D1960)),TRIM(MID('R.M Billets Reports'!D1960,SEARCH("-",'R.M Billets Reports'!D1960)+1,200)),""))&lt;&gt;"",IF(ISNUMBER(SEARCH("Party Name:-",'R.M Billets Reports'!D1960)),TRIM('R.M Billets Reports'!F1960),IF(ISNUMBER(SEARCH("Party Name-",'R.M Billets Reports'!D1960)),TRIM(MID('R.M Billets Reports'!D1960,SEARCH("-",'R.M Billets Reports'!D1960)+1,200)),"")),IF(ISNUMBER(SEARCH("Party Name:-",'R.M Billets Reports'!D1961)),TRIM('R.M Billets Reports'!F1961),IF(ISNUMBER(SEARCH("Party Name-",'R.M Billets Reports'!D1961)),TRIM(MID('R.M Billets Reports'!D1961,SEARCH("-",'R.M Billets Reports'!D1961)+1,200)),"")))))),IF(ROW()=2,"",A1960))</f>
      </c>
      <c r="B1961">
        <f>IF(OR('R.M Billets Reports'!A1960="Date-",'R.M Billets Reports'!A1960="Date:-"),'R.M Billets Reports'!B1960,IF(ROW()=2,"",B1960))</f>
      </c>
      <c r="C1961">
        <f>IF('R.M Billets Reports'!A1960="V.No.",'R.M Billets Reports'!B1960,IF(ROW()=2,"",C1960))</f>
      </c>
      <c r="D1961">
        <f>IF('R.M Billets Reports'!A1960&lt;&gt;"",'R.M Billets Reports'!A1960,IF(ROW()=2,"",D1960))</f>
      </c>
      <c r="E1961">
        <f>IF('R.M Billets Reports'!B1960="","",TRIM('R.M Billets Reports'!B1960))</f>
      </c>
      <c r="F1961">
        <f>'R.M Billets Reports'!C1960</f>
      </c>
      <c r="G1961">
        <f>'R.M Billets Reports'!D1960</f>
      </c>
      <c r="H1961">
        <f>'R.M Billets Reports'!E1960</f>
      </c>
      <c r="I1961">
        <f>'R.M Billets Reports'!F1960</f>
      </c>
      <c r="J1961">
        <f>'R.M Billets Reports'!G1960</f>
      </c>
      <c r="K1961">
        <f>'R.M Billets Reports'!H1960</f>
      </c>
      <c r="L1961">
        <f>IF('R.M Billets Reports'!I1960="","",'R.M Billets Reports'!I1960)</f>
      </c>
      <c r="M1961">
        <f t="shared" si="60"/>
      </c>
      <c r="N1961">
        <f>IF('R.M Billets Reports'!J1960="","",'R.M Billets Reports'!J1960)</f>
      </c>
      <c r="O1961">
        <f t="shared" si="61"/>
      </c>
      <c r="P1961">
        <f>IF('R.M Billets Reports'!A1960="SIZE",'R.M Billets Reports'!B1960,P1960)</f>
      </c>
    </row>
    <row r="1962" spans="1:16" x14ac:dyDescent="0.25">
      <c r="A1962">
        <f>IF(OR('R.M Billets Reports'!A1961="Date-",'R.M Billets Reports'!A1961="Date:-"),IF(IF(IF(ISNUMBER(SEARCH("Party Name:-",'R.M Billets Reports'!D1961)),TRIM('R.M Billets Reports'!F1961),IF(ISNUMBER(SEARCH("Party Name-",'R.M Billets Reports'!D1961)),TRIM(MID('R.M Billets Reports'!D1961,SEARCH("-",'R.M Billets Reports'!D1961)+1,200)),""))&lt;&gt;"",IF(ISNUMBER(SEARCH("Party Name:-",'R.M Billets Reports'!D1961)),TRIM('R.M Billets Reports'!F1961),IF(ISNUMBER(SEARCH("Party Name-",'R.M Billets Reports'!D1961)),TRIM(MID('R.M Billets Reports'!D1961,SEARCH("-",'R.M Billets Reports'!D1961)+1,200)),"")),IF(ISNUMBER(SEARCH("Party Name:-",'R.M Billets Reports'!D1962)),TRIM('R.M Billets Reports'!F1962),IF(ISNUMBER(SEARCH("Party Name-",'R.M Billets Reports'!D1962)),TRIM(MID('R.M Billets Reports'!D1962,SEARCH("-",'R.M Billets Reports'!D1962)+1,200)),"")))="VRKP ISPAT PVT LTD","VRKP",IF(IF(IF(ISNUMBER(SEARCH("Party Name:-",'R.M Billets Reports'!D1961)),TRIM('R.M Billets Reports'!F1961),IF(ISNUMBER(SEARCH("Party Name-",'R.M Billets Reports'!D1961)),TRIM(MID('R.M Billets Reports'!D1961,SEARCH("-",'R.M Billets Reports'!D1961)+1,200)),""))&lt;&gt;"",IF(ISNUMBER(SEARCH("Party Name:-",'R.M Billets Reports'!D1961)),TRIM('R.M Billets Reports'!F1961),IF(ISNUMBER(SEARCH("Party Name-",'R.M Billets Reports'!D1961)),TRIM(MID('R.M Billets Reports'!D1961,SEARCH("-",'R.M Billets Reports'!D1961)+1,200)),"")),IF(ISNUMBER(SEARCH("Party Name:-",'R.M Billets Reports'!D1962)),TRIM('R.M Billets Reports'!F1962),IF(ISNUMBER(SEARCH("Party Name-",'R.M Billets Reports'!D1962)),TRIM(MID('R.M Billets Reports'!D1962,SEARCH("-",'R.M Billets Reports'!D1962)+1,200)),"")))="SHRI RADHE","SHREE RADHE",IF(IF(IF(ISNUMBER(SEARCH("Party Name:-",'R.M Billets Reports'!D1961)),TRIM('R.M Billets Reports'!F1961),IF(ISNUMBER(SEARCH("Party Name-",'R.M Billets Reports'!D1961)),TRIM(MID('R.M Billets Reports'!D1961,SEARCH("-",'R.M Billets Reports'!D1961)+1,200)),""))&lt;&gt;"",IF(ISNUMBER(SEARCH("Party Name:-",'R.M Billets Reports'!D1961)),TRIM('R.M Billets Reports'!F1961),IF(ISNUMBER(SEARCH("Party Name-",'R.M Billets Reports'!D1961)),TRIM(MID('R.M Billets Reports'!D1961,SEARCH("-",'R.M Billets Reports'!D1961)+1,200)),"")),IF(ISNUMBER(SEARCH("Party Name:-",'R.M Billets Reports'!D1962)),TRIM('R.M Billets Reports'!F1962),IF(ISNUMBER(SEARCH("Party Name-",'R.M Billets Reports'!D1962)),TRIM(MID('R.M Billets Reports'!D1962,SEARCH("-",'R.M Billets Reports'!D1962)+1,200)),"")))="SHREE RADHE SHAKTI SPONGE AND POWER PVT. LTD.","SHREE RADHE",IF(IF(ISNUMBER(SEARCH("Party Name:-",'R.M Billets Reports'!D1961)),TRIM('R.M Billets Reports'!F1961),IF(ISNUMBER(SEARCH("Party Name-",'R.M Billets Reports'!D1961)),TRIM(MID('R.M Billets Reports'!D1961,SEARCH("-",'R.M Billets Reports'!D1961)+1,200)),""))&lt;&gt;"",IF(ISNUMBER(SEARCH("Party Name:-",'R.M Billets Reports'!D1961)),TRIM('R.M Billets Reports'!F1961),IF(ISNUMBER(SEARCH("Party Name-",'R.M Billets Reports'!D1961)),TRIM(MID('R.M Billets Reports'!D1961,SEARCH("-",'R.M Billets Reports'!D1961)+1,200)),"")),IF(ISNUMBER(SEARCH("Party Name:-",'R.M Billets Reports'!D1962)),TRIM('R.M Billets Reports'!F1962),IF(ISNUMBER(SEARCH("Party Name-",'R.M Billets Reports'!D1962)),TRIM(MID('R.M Billets Reports'!D1962,SEARCH("-",'R.M Billets Reports'!D1962)+1,200)),"")))))),IF(ROW()=2,"",A1961))</f>
      </c>
      <c r="B1962">
        <f>IF(OR('R.M Billets Reports'!A1961="Date-",'R.M Billets Reports'!A1961="Date:-"),'R.M Billets Reports'!B1961,IF(ROW()=2,"",B1961))</f>
      </c>
      <c r="C1962">
        <f>IF('R.M Billets Reports'!A1961="V.No.",'R.M Billets Reports'!B1961,IF(ROW()=2,"",C1961))</f>
      </c>
      <c r="D1962">
        <f>IF('R.M Billets Reports'!A1961&lt;&gt;"",'R.M Billets Reports'!A1961,IF(ROW()=2,"",D1961))</f>
      </c>
      <c r="E1962">
        <f>IF('R.M Billets Reports'!B1961="","",TRIM('R.M Billets Reports'!B1961))</f>
      </c>
      <c r="F1962">
        <f>'R.M Billets Reports'!C1961</f>
      </c>
      <c r="G1962">
        <f>'R.M Billets Reports'!D1961</f>
      </c>
      <c r="H1962">
        <f>'R.M Billets Reports'!E1961</f>
      </c>
      <c r="I1962">
        <f>'R.M Billets Reports'!F1961</f>
      </c>
      <c r="J1962">
        <f>'R.M Billets Reports'!G1961</f>
      </c>
      <c r="K1962">
        <f>'R.M Billets Reports'!H1961</f>
      </c>
      <c r="L1962">
        <f>IF('R.M Billets Reports'!I1961="","",'R.M Billets Reports'!I1961)</f>
      </c>
      <c r="M1962">
        <f t="shared" si="60"/>
      </c>
      <c r="N1962">
        <f>IF('R.M Billets Reports'!J1961="","",'R.M Billets Reports'!J1961)</f>
      </c>
      <c r="O1962">
        <f t="shared" si="61"/>
      </c>
      <c r="P1962">
        <f>IF('R.M Billets Reports'!A1961="SIZE",'R.M Billets Reports'!B1961,P1961)</f>
      </c>
    </row>
    <row r="1963" spans="1:16" x14ac:dyDescent="0.25">
      <c r="A1963">
        <f>IF(OR('R.M Billets Reports'!A1962="Date-",'R.M Billets Reports'!A1962="Date:-"),IF(IF(IF(ISNUMBER(SEARCH("Party Name:-",'R.M Billets Reports'!D1962)),TRIM('R.M Billets Reports'!F1962),IF(ISNUMBER(SEARCH("Party Name-",'R.M Billets Reports'!D1962)),TRIM(MID('R.M Billets Reports'!D1962,SEARCH("-",'R.M Billets Reports'!D1962)+1,200)),""))&lt;&gt;"",IF(ISNUMBER(SEARCH("Party Name:-",'R.M Billets Reports'!D1962)),TRIM('R.M Billets Reports'!F1962),IF(ISNUMBER(SEARCH("Party Name-",'R.M Billets Reports'!D1962)),TRIM(MID('R.M Billets Reports'!D1962,SEARCH("-",'R.M Billets Reports'!D1962)+1,200)),"")),IF(ISNUMBER(SEARCH("Party Name:-",'R.M Billets Reports'!D1963)),TRIM('R.M Billets Reports'!F1963),IF(ISNUMBER(SEARCH("Party Name-",'R.M Billets Reports'!D1963)),TRIM(MID('R.M Billets Reports'!D1963,SEARCH("-",'R.M Billets Reports'!D1963)+1,200)),"")))="VRKP ISPAT PVT LTD","VRKP",IF(IF(IF(ISNUMBER(SEARCH("Party Name:-",'R.M Billets Reports'!D1962)),TRIM('R.M Billets Reports'!F1962),IF(ISNUMBER(SEARCH("Party Name-",'R.M Billets Reports'!D1962)),TRIM(MID('R.M Billets Reports'!D1962,SEARCH("-",'R.M Billets Reports'!D1962)+1,200)),""))&lt;&gt;"",IF(ISNUMBER(SEARCH("Party Name:-",'R.M Billets Reports'!D1962)),TRIM('R.M Billets Reports'!F1962),IF(ISNUMBER(SEARCH("Party Name-",'R.M Billets Reports'!D1962)),TRIM(MID('R.M Billets Reports'!D1962,SEARCH("-",'R.M Billets Reports'!D1962)+1,200)),"")),IF(ISNUMBER(SEARCH("Party Name:-",'R.M Billets Reports'!D1963)),TRIM('R.M Billets Reports'!F1963),IF(ISNUMBER(SEARCH("Party Name-",'R.M Billets Reports'!D1963)),TRIM(MID('R.M Billets Reports'!D1963,SEARCH("-",'R.M Billets Reports'!D1963)+1,200)),"")))="SHRI RADHE","SHREE RADHE",IF(IF(IF(ISNUMBER(SEARCH("Party Name:-",'R.M Billets Reports'!D1962)),TRIM('R.M Billets Reports'!F1962),IF(ISNUMBER(SEARCH("Party Name-",'R.M Billets Reports'!D1962)),TRIM(MID('R.M Billets Reports'!D1962,SEARCH("-",'R.M Billets Reports'!D1962)+1,200)),""))&lt;&gt;"",IF(ISNUMBER(SEARCH("Party Name:-",'R.M Billets Reports'!D1962)),TRIM('R.M Billets Reports'!F1962),IF(ISNUMBER(SEARCH("Party Name-",'R.M Billets Reports'!D1962)),TRIM(MID('R.M Billets Reports'!D1962,SEARCH("-",'R.M Billets Reports'!D1962)+1,200)),"")),IF(ISNUMBER(SEARCH("Party Name:-",'R.M Billets Reports'!D1963)),TRIM('R.M Billets Reports'!F1963),IF(ISNUMBER(SEARCH("Party Name-",'R.M Billets Reports'!D1963)),TRIM(MID('R.M Billets Reports'!D1963,SEARCH("-",'R.M Billets Reports'!D1963)+1,200)),"")))="SHREE RADHE SHAKTI SPONGE AND POWER PVT. LTD.","SHREE RADHE",IF(IF(ISNUMBER(SEARCH("Party Name:-",'R.M Billets Reports'!D1962)),TRIM('R.M Billets Reports'!F1962),IF(ISNUMBER(SEARCH("Party Name-",'R.M Billets Reports'!D1962)),TRIM(MID('R.M Billets Reports'!D1962,SEARCH("-",'R.M Billets Reports'!D1962)+1,200)),""))&lt;&gt;"",IF(ISNUMBER(SEARCH("Party Name:-",'R.M Billets Reports'!D1962)),TRIM('R.M Billets Reports'!F1962),IF(ISNUMBER(SEARCH("Party Name-",'R.M Billets Reports'!D1962)),TRIM(MID('R.M Billets Reports'!D1962,SEARCH("-",'R.M Billets Reports'!D1962)+1,200)),"")),IF(ISNUMBER(SEARCH("Party Name:-",'R.M Billets Reports'!D1963)),TRIM('R.M Billets Reports'!F1963),IF(ISNUMBER(SEARCH("Party Name-",'R.M Billets Reports'!D1963)),TRIM(MID('R.M Billets Reports'!D1963,SEARCH("-",'R.M Billets Reports'!D1963)+1,200)),"")))))),IF(ROW()=2,"",A1962))</f>
      </c>
      <c r="B1963">
        <f>IF(OR('R.M Billets Reports'!A1962="Date-",'R.M Billets Reports'!A1962="Date:-"),'R.M Billets Reports'!B1962,IF(ROW()=2,"",B1962))</f>
      </c>
      <c r="C1963">
        <f>IF('R.M Billets Reports'!A1962="V.No.",'R.M Billets Reports'!B1962,IF(ROW()=2,"",C1962))</f>
      </c>
      <c r="D1963">
        <f>IF('R.M Billets Reports'!A1962&lt;&gt;"",'R.M Billets Reports'!A1962,IF(ROW()=2,"",D1962))</f>
      </c>
      <c r="E1963">
        <f>IF('R.M Billets Reports'!B1962="","",TRIM('R.M Billets Reports'!B1962))</f>
      </c>
      <c r="F1963">
        <f>'R.M Billets Reports'!C1962</f>
      </c>
      <c r="G1963">
        <f>'R.M Billets Reports'!D1962</f>
      </c>
      <c r="H1963">
        <f>'R.M Billets Reports'!E1962</f>
      </c>
      <c r="I1963">
        <f>'R.M Billets Reports'!F1962</f>
      </c>
      <c r="J1963">
        <f>'R.M Billets Reports'!G1962</f>
      </c>
      <c r="K1963">
        <f>'R.M Billets Reports'!H1962</f>
      </c>
      <c r="L1963">
        <f>IF('R.M Billets Reports'!I1962="","",'R.M Billets Reports'!I1962)</f>
      </c>
      <c r="M1963">
        <f t="shared" si="60"/>
      </c>
      <c r="N1963">
        <f>IF('R.M Billets Reports'!J1962="","",'R.M Billets Reports'!J1962)</f>
      </c>
      <c r="O1963">
        <f t="shared" si="61"/>
      </c>
      <c r="P1963">
        <f>IF('R.M Billets Reports'!A1962="SIZE",'R.M Billets Reports'!B1962,P1962)</f>
      </c>
    </row>
    <row r="1964" spans="1:16" x14ac:dyDescent="0.25">
      <c r="A1964">
        <f>IF(OR('R.M Billets Reports'!A1963="Date-",'R.M Billets Reports'!A1963="Date:-"),IF(IF(IF(ISNUMBER(SEARCH("Party Name:-",'R.M Billets Reports'!D1963)),TRIM('R.M Billets Reports'!F1963),IF(ISNUMBER(SEARCH("Party Name-",'R.M Billets Reports'!D1963)),TRIM(MID('R.M Billets Reports'!D1963,SEARCH("-",'R.M Billets Reports'!D1963)+1,200)),""))&lt;&gt;"",IF(ISNUMBER(SEARCH("Party Name:-",'R.M Billets Reports'!D1963)),TRIM('R.M Billets Reports'!F1963),IF(ISNUMBER(SEARCH("Party Name-",'R.M Billets Reports'!D1963)),TRIM(MID('R.M Billets Reports'!D1963,SEARCH("-",'R.M Billets Reports'!D1963)+1,200)),"")),IF(ISNUMBER(SEARCH("Party Name:-",'R.M Billets Reports'!D1964)),TRIM('R.M Billets Reports'!F1964),IF(ISNUMBER(SEARCH("Party Name-",'R.M Billets Reports'!D1964)),TRIM(MID('R.M Billets Reports'!D1964,SEARCH("-",'R.M Billets Reports'!D1964)+1,200)),"")))="VRKP ISPAT PVT LTD","VRKP",IF(IF(IF(ISNUMBER(SEARCH("Party Name:-",'R.M Billets Reports'!D1963)),TRIM('R.M Billets Reports'!F1963),IF(ISNUMBER(SEARCH("Party Name-",'R.M Billets Reports'!D1963)),TRIM(MID('R.M Billets Reports'!D1963,SEARCH("-",'R.M Billets Reports'!D1963)+1,200)),""))&lt;&gt;"",IF(ISNUMBER(SEARCH("Party Name:-",'R.M Billets Reports'!D1963)),TRIM('R.M Billets Reports'!F1963),IF(ISNUMBER(SEARCH("Party Name-",'R.M Billets Reports'!D1963)),TRIM(MID('R.M Billets Reports'!D1963,SEARCH("-",'R.M Billets Reports'!D1963)+1,200)),"")),IF(ISNUMBER(SEARCH("Party Name:-",'R.M Billets Reports'!D1964)),TRIM('R.M Billets Reports'!F1964),IF(ISNUMBER(SEARCH("Party Name-",'R.M Billets Reports'!D1964)),TRIM(MID('R.M Billets Reports'!D1964,SEARCH("-",'R.M Billets Reports'!D1964)+1,200)),"")))="SHRI RADHE","SHREE RADHE",IF(IF(IF(ISNUMBER(SEARCH("Party Name:-",'R.M Billets Reports'!D1963)),TRIM('R.M Billets Reports'!F1963),IF(ISNUMBER(SEARCH("Party Name-",'R.M Billets Reports'!D1963)),TRIM(MID('R.M Billets Reports'!D1963,SEARCH("-",'R.M Billets Reports'!D1963)+1,200)),""))&lt;&gt;"",IF(ISNUMBER(SEARCH("Party Name:-",'R.M Billets Reports'!D1963)),TRIM('R.M Billets Reports'!F1963),IF(ISNUMBER(SEARCH("Party Name-",'R.M Billets Reports'!D1963)),TRIM(MID('R.M Billets Reports'!D1963,SEARCH("-",'R.M Billets Reports'!D1963)+1,200)),"")),IF(ISNUMBER(SEARCH("Party Name:-",'R.M Billets Reports'!D1964)),TRIM('R.M Billets Reports'!F1964),IF(ISNUMBER(SEARCH("Party Name-",'R.M Billets Reports'!D1964)),TRIM(MID('R.M Billets Reports'!D1964,SEARCH("-",'R.M Billets Reports'!D1964)+1,200)),"")))="SHREE RADHE SHAKTI SPONGE AND POWER PVT. LTD.","SHREE RADHE",IF(IF(ISNUMBER(SEARCH("Party Name:-",'R.M Billets Reports'!D1963)),TRIM('R.M Billets Reports'!F1963),IF(ISNUMBER(SEARCH("Party Name-",'R.M Billets Reports'!D1963)),TRIM(MID('R.M Billets Reports'!D1963,SEARCH("-",'R.M Billets Reports'!D1963)+1,200)),""))&lt;&gt;"",IF(ISNUMBER(SEARCH("Party Name:-",'R.M Billets Reports'!D1963)),TRIM('R.M Billets Reports'!F1963),IF(ISNUMBER(SEARCH("Party Name-",'R.M Billets Reports'!D1963)),TRIM(MID('R.M Billets Reports'!D1963,SEARCH("-",'R.M Billets Reports'!D1963)+1,200)),"")),IF(ISNUMBER(SEARCH("Party Name:-",'R.M Billets Reports'!D1964)),TRIM('R.M Billets Reports'!F1964),IF(ISNUMBER(SEARCH("Party Name-",'R.M Billets Reports'!D1964)),TRIM(MID('R.M Billets Reports'!D1964,SEARCH("-",'R.M Billets Reports'!D1964)+1,200)),"")))))),IF(ROW()=2,"",A1963))</f>
      </c>
      <c r="B1964">
        <f>IF(OR('R.M Billets Reports'!A1963="Date-",'R.M Billets Reports'!A1963="Date:-"),'R.M Billets Reports'!B1963,IF(ROW()=2,"",B1963))</f>
      </c>
      <c r="C1964">
        <f>IF('R.M Billets Reports'!A1963="V.No.",'R.M Billets Reports'!B1963,IF(ROW()=2,"",C1963))</f>
      </c>
      <c r="D1964">
        <f>IF('R.M Billets Reports'!A1963&lt;&gt;"",'R.M Billets Reports'!A1963,IF(ROW()=2,"",D1963))</f>
      </c>
      <c r="E1964">
        <f>IF('R.M Billets Reports'!B1963="","",TRIM('R.M Billets Reports'!B1963))</f>
      </c>
      <c r="F1964">
        <f>'R.M Billets Reports'!C1963</f>
      </c>
      <c r="G1964">
        <f>'R.M Billets Reports'!D1963</f>
      </c>
      <c r="H1964">
        <f>'R.M Billets Reports'!E1963</f>
      </c>
      <c r="I1964">
        <f>'R.M Billets Reports'!F1963</f>
      </c>
      <c r="J1964">
        <f>'R.M Billets Reports'!G1963</f>
      </c>
      <c r="K1964">
        <f>'R.M Billets Reports'!H1963</f>
      </c>
      <c r="L1964">
        <f>IF('R.M Billets Reports'!I1963="","",'R.M Billets Reports'!I1963)</f>
      </c>
      <c r="M1964">
        <f t="shared" si="60"/>
      </c>
      <c r="N1964">
        <f>IF('R.M Billets Reports'!J1963="","",'R.M Billets Reports'!J1963)</f>
      </c>
      <c r="O1964">
        <f t="shared" si="61"/>
      </c>
      <c r="P1964">
        <f>IF('R.M Billets Reports'!A1963="SIZE",'R.M Billets Reports'!B1963,P1963)</f>
      </c>
    </row>
    <row r="1965" spans="1:16" x14ac:dyDescent="0.25">
      <c r="A1965">
        <f>IF(OR('R.M Billets Reports'!A1964="Date-",'R.M Billets Reports'!A1964="Date:-"),IF(IF(IF(ISNUMBER(SEARCH("Party Name:-",'R.M Billets Reports'!D1964)),TRIM('R.M Billets Reports'!F1964),IF(ISNUMBER(SEARCH("Party Name-",'R.M Billets Reports'!D1964)),TRIM(MID('R.M Billets Reports'!D1964,SEARCH("-",'R.M Billets Reports'!D1964)+1,200)),""))&lt;&gt;"",IF(ISNUMBER(SEARCH("Party Name:-",'R.M Billets Reports'!D1964)),TRIM('R.M Billets Reports'!F1964),IF(ISNUMBER(SEARCH("Party Name-",'R.M Billets Reports'!D1964)),TRIM(MID('R.M Billets Reports'!D1964,SEARCH("-",'R.M Billets Reports'!D1964)+1,200)),"")),IF(ISNUMBER(SEARCH("Party Name:-",'R.M Billets Reports'!D1965)),TRIM('R.M Billets Reports'!F1965),IF(ISNUMBER(SEARCH("Party Name-",'R.M Billets Reports'!D1965)),TRIM(MID('R.M Billets Reports'!D1965,SEARCH("-",'R.M Billets Reports'!D1965)+1,200)),"")))="VRKP ISPAT PVT LTD","VRKP",IF(IF(IF(ISNUMBER(SEARCH("Party Name:-",'R.M Billets Reports'!D1964)),TRIM('R.M Billets Reports'!F1964),IF(ISNUMBER(SEARCH("Party Name-",'R.M Billets Reports'!D1964)),TRIM(MID('R.M Billets Reports'!D1964,SEARCH("-",'R.M Billets Reports'!D1964)+1,200)),""))&lt;&gt;"",IF(ISNUMBER(SEARCH("Party Name:-",'R.M Billets Reports'!D1964)),TRIM('R.M Billets Reports'!F1964),IF(ISNUMBER(SEARCH("Party Name-",'R.M Billets Reports'!D1964)),TRIM(MID('R.M Billets Reports'!D1964,SEARCH("-",'R.M Billets Reports'!D1964)+1,200)),"")),IF(ISNUMBER(SEARCH("Party Name:-",'R.M Billets Reports'!D1965)),TRIM('R.M Billets Reports'!F1965),IF(ISNUMBER(SEARCH("Party Name-",'R.M Billets Reports'!D1965)),TRIM(MID('R.M Billets Reports'!D1965,SEARCH("-",'R.M Billets Reports'!D1965)+1,200)),"")))="SHRI RADHE","SHREE RADHE",IF(IF(IF(ISNUMBER(SEARCH("Party Name:-",'R.M Billets Reports'!D1964)),TRIM('R.M Billets Reports'!F1964),IF(ISNUMBER(SEARCH("Party Name-",'R.M Billets Reports'!D1964)),TRIM(MID('R.M Billets Reports'!D1964,SEARCH("-",'R.M Billets Reports'!D1964)+1,200)),""))&lt;&gt;"",IF(ISNUMBER(SEARCH("Party Name:-",'R.M Billets Reports'!D1964)),TRIM('R.M Billets Reports'!F1964),IF(ISNUMBER(SEARCH("Party Name-",'R.M Billets Reports'!D1964)),TRIM(MID('R.M Billets Reports'!D1964,SEARCH("-",'R.M Billets Reports'!D1964)+1,200)),"")),IF(ISNUMBER(SEARCH("Party Name:-",'R.M Billets Reports'!D1965)),TRIM('R.M Billets Reports'!F1965),IF(ISNUMBER(SEARCH("Party Name-",'R.M Billets Reports'!D1965)),TRIM(MID('R.M Billets Reports'!D1965,SEARCH("-",'R.M Billets Reports'!D1965)+1,200)),"")))="SHREE RADHE SHAKTI SPONGE AND POWER PVT. LTD.","SHREE RADHE",IF(IF(ISNUMBER(SEARCH("Party Name:-",'R.M Billets Reports'!D1964)),TRIM('R.M Billets Reports'!F1964),IF(ISNUMBER(SEARCH("Party Name-",'R.M Billets Reports'!D1964)),TRIM(MID('R.M Billets Reports'!D1964,SEARCH("-",'R.M Billets Reports'!D1964)+1,200)),""))&lt;&gt;"",IF(ISNUMBER(SEARCH("Party Name:-",'R.M Billets Reports'!D1964)),TRIM('R.M Billets Reports'!F1964),IF(ISNUMBER(SEARCH("Party Name-",'R.M Billets Reports'!D1964)),TRIM(MID('R.M Billets Reports'!D1964,SEARCH("-",'R.M Billets Reports'!D1964)+1,200)),"")),IF(ISNUMBER(SEARCH("Party Name:-",'R.M Billets Reports'!D1965)),TRIM('R.M Billets Reports'!F1965),IF(ISNUMBER(SEARCH("Party Name-",'R.M Billets Reports'!D1965)),TRIM(MID('R.M Billets Reports'!D1965,SEARCH("-",'R.M Billets Reports'!D1965)+1,200)),"")))))),IF(ROW()=2,"",A1964))</f>
      </c>
      <c r="B1965">
        <f>IF(OR('R.M Billets Reports'!A1964="Date-",'R.M Billets Reports'!A1964="Date:-"),'R.M Billets Reports'!B1964,IF(ROW()=2,"",B1964))</f>
      </c>
      <c r="C1965">
        <f>IF('R.M Billets Reports'!A1964="V.No.",'R.M Billets Reports'!B1964,IF(ROW()=2,"",C1964))</f>
      </c>
      <c r="D1965">
        <f>IF('R.M Billets Reports'!A1964&lt;&gt;"",'R.M Billets Reports'!A1964,IF(ROW()=2,"",D1964))</f>
      </c>
      <c r="E1965">
        <f>IF('R.M Billets Reports'!B1964="","",TRIM('R.M Billets Reports'!B1964))</f>
      </c>
      <c r="F1965">
        <f>'R.M Billets Reports'!C1964</f>
      </c>
      <c r="G1965">
        <f>'R.M Billets Reports'!D1964</f>
      </c>
      <c r="H1965">
        <f>'R.M Billets Reports'!E1964</f>
      </c>
      <c r="I1965">
        <f>'R.M Billets Reports'!F1964</f>
      </c>
      <c r="J1965">
        <f>'R.M Billets Reports'!G1964</f>
      </c>
      <c r="K1965">
        <f>'R.M Billets Reports'!H1964</f>
      </c>
      <c r="L1965">
        <f>IF('R.M Billets Reports'!I1964="","",'R.M Billets Reports'!I1964)</f>
      </c>
      <c r="M1965">
        <f t="shared" si="60"/>
      </c>
      <c r="N1965">
        <f>IF('R.M Billets Reports'!J1964="","",'R.M Billets Reports'!J1964)</f>
      </c>
      <c r="O1965">
        <f t="shared" si="61"/>
      </c>
      <c r="P1965">
        <f>IF('R.M Billets Reports'!A1964="SIZE",'R.M Billets Reports'!B1964,P1964)</f>
      </c>
    </row>
    <row r="1966" spans="1:16" x14ac:dyDescent="0.25">
      <c r="A1966">
        <f>IF(OR('R.M Billets Reports'!A1965="Date-",'R.M Billets Reports'!A1965="Date:-"),IF(IF(IF(ISNUMBER(SEARCH("Party Name:-",'R.M Billets Reports'!D1965)),TRIM('R.M Billets Reports'!F1965),IF(ISNUMBER(SEARCH("Party Name-",'R.M Billets Reports'!D1965)),TRIM(MID('R.M Billets Reports'!D1965,SEARCH("-",'R.M Billets Reports'!D1965)+1,200)),""))&lt;&gt;"",IF(ISNUMBER(SEARCH("Party Name:-",'R.M Billets Reports'!D1965)),TRIM('R.M Billets Reports'!F1965),IF(ISNUMBER(SEARCH("Party Name-",'R.M Billets Reports'!D1965)),TRIM(MID('R.M Billets Reports'!D1965,SEARCH("-",'R.M Billets Reports'!D1965)+1,200)),"")),IF(ISNUMBER(SEARCH("Party Name:-",'R.M Billets Reports'!D1966)),TRIM('R.M Billets Reports'!F1966),IF(ISNUMBER(SEARCH("Party Name-",'R.M Billets Reports'!D1966)),TRIM(MID('R.M Billets Reports'!D1966,SEARCH("-",'R.M Billets Reports'!D1966)+1,200)),"")))="VRKP ISPAT PVT LTD","VRKP",IF(IF(IF(ISNUMBER(SEARCH("Party Name:-",'R.M Billets Reports'!D1965)),TRIM('R.M Billets Reports'!F1965),IF(ISNUMBER(SEARCH("Party Name-",'R.M Billets Reports'!D1965)),TRIM(MID('R.M Billets Reports'!D1965,SEARCH("-",'R.M Billets Reports'!D1965)+1,200)),""))&lt;&gt;"",IF(ISNUMBER(SEARCH("Party Name:-",'R.M Billets Reports'!D1965)),TRIM('R.M Billets Reports'!F1965),IF(ISNUMBER(SEARCH("Party Name-",'R.M Billets Reports'!D1965)),TRIM(MID('R.M Billets Reports'!D1965,SEARCH("-",'R.M Billets Reports'!D1965)+1,200)),"")),IF(ISNUMBER(SEARCH("Party Name:-",'R.M Billets Reports'!D1966)),TRIM('R.M Billets Reports'!F1966),IF(ISNUMBER(SEARCH("Party Name-",'R.M Billets Reports'!D1966)),TRIM(MID('R.M Billets Reports'!D1966,SEARCH("-",'R.M Billets Reports'!D1966)+1,200)),"")))="SHRI RADHE","SHREE RADHE",IF(IF(IF(ISNUMBER(SEARCH("Party Name:-",'R.M Billets Reports'!D1965)),TRIM('R.M Billets Reports'!F1965),IF(ISNUMBER(SEARCH("Party Name-",'R.M Billets Reports'!D1965)),TRIM(MID('R.M Billets Reports'!D1965,SEARCH("-",'R.M Billets Reports'!D1965)+1,200)),""))&lt;&gt;"",IF(ISNUMBER(SEARCH("Party Name:-",'R.M Billets Reports'!D1965)),TRIM('R.M Billets Reports'!F1965),IF(ISNUMBER(SEARCH("Party Name-",'R.M Billets Reports'!D1965)),TRIM(MID('R.M Billets Reports'!D1965,SEARCH("-",'R.M Billets Reports'!D1965)+1,200)),"")),IF(ISNUMBER(SEARCH("Party Name:-",'R.M Billets Reports'!D1966)),TRIM('R.M Billets Reports'!F1966),IF(ISNUMBER(SEARCH("Party Name-",'R.M Billets Reports'!D1966)),TRIM(MID('R.M Billets Reports'!D1966,SEARCH("-",'R.M Billets Reports'!D1966)+1,200)),"")))="SHREE RADHE SHAKTI SPONGE AND POWER PVT. LTD.","SHREE RADHE",IF(IF(ISNUMBER(SEARCH("Party Name:-",'R.M Billets Reports'!D1965)),TRIM('R.M Billets Reports'!F1965),IF(ISNUMBER(SEARCH("Party Name-",'R.M Billets Reports'!D1965)),TRIM(MID('R.M Billets Reports'!D1965,SEARCH("-",'R.M Billets Reports'!D1965)+1,200)),""))&lt;&gt;"",IF(ISNUMBER(SEARCH("Party Name:-",'R.M Billets Reports'!D1965)),TRIM('R.M Billets Reports'!F1965),IF(ISNUMBER(SEARCH("Party Name-",'R.M Billets Reports'!D1965)),TRIM(MID('R.M Billets Reports'!D1965,SEARCH("-",'R.M Billets Reports'!D1965)+1,200)),"")),IF(ISNUMBER(SEARCH("Party Name:-",'R.M Billets Reports'!D1966)),TRIM('R.M Billets Reports'!F1966),IF(ISNUMBER(SEARCH("Party Name-",'R.M Billets Reports'!D1966)),TRIM(MID('R.M Billets Reports'!D1966,SEARCH("-",'R.M Billets Reports'!D1966)+1,200)),"")))))),IF(ROW()=2,"",A1965))</f>
      </c>
      <c r="B1966">
        <f>IF(OR('R.M Billets Reports'!A1965="Date-",'R.M Billets Reports'!A1965="Date:-"),'R.M Billets Reports'!B1965,IF(ROW()=2,"",B1965))</f>
      </c>
      <c r="C1966">
        <f>IF('R.M Billets Reports'!A1965="V.No.",'R.M Billets Reports'!B1965,IF(ROW()=2,"",C1965))</f>
      </c>
      <c r="D1966">
        <f>IF('R.M Billets Reports'!A1965&lt;&gt;"",'R.M Billets Reports'!A1965,IF(ROW()=2,"",D1965))</f>
      </c>
      <c r="E1966">
        <f>IF('R.M Billets Reports'!B1965="","",TRIM('R.M Billets Reports'!B1965))</f>
      </c>
      <c r="F1966">
        <f>'R.M Billets Reports'!C1965</f>
      </c>
      <c r="G1966">
        <f>'R.M Billets Reports'!D1965</f>
      </c>
      <c r="H1966">
        <f>'R.M Billets Reports'!E1965</f>
      </c>
      <c r="I1966">
        <f>'R.M Billets Reports'!F1965</f>
      </c>
      <c r="J1966">
        <f>'R.M Billets Reports'!G1965</f>
      </c>
      <c r="K1966">
        <f>'R.M Billets Reports'!H1965</f>
      </c>
      <c r="L1966">
        <f>IF('R.M Billets Reports'!I1965="","",'R.M Billets Reports'!I1965)</f>
      </c>
      <c r="M1966">
        <f t="shared" si="60"/>
      </c>
      <c r="N1966">
        <f>IF('R.M Billets Reports'!J1965="","",'R.M Billets Reports'!J1965)</f>
      </c>
      <c r="O1966">
        <f t="shared" si="61"/>
      </c>
      <c r="P1966">
        <f>IF('R.M Billets Reports'!A1965="SIZE",'R.M Billets Reports'!B1965,P1965)</f>
      </c>
    </row>
    <row r="1967" spans="1:16" x14ac:dyDescent="0.25">
      <c r="A1967">
        <f>IF(OR('R.M Billets Reports'!A1966="Date-",'R.M Billets Reports'!A1966="Date:-"),IF(IF(IF(ISNUMBER(SEARCH("Party Name:-",'R.M Billets Reports'!D1966)),TRIM('R.M Billets Reports'!F1966),IF(ISNUMBER(SEARCH("Party Name-",'R.M Billets Reports'!D1966)),TRIM(MID('R.M Billets Reports'!D1966,SEARCH("-",'R.M Billets Reports'!D1966)+1,200)),""))&lt;&gt;"",IF(ISNUMBER(SEARCH("Party Name:-",'R.M Billets Reports'!D1966)),TRIM('R.M Billets Reports'!F1966),IF(ISNUMBER(SEARCH("Party Name-",'R.M Billets Reports'!D1966)),TRIM(MID('R.M Billets Reports'!D1966,SEARCH("-",'R.M Billets Reports'!D1966)+1,200)),"")),IF(ISNUMBER(SEARCH("Party Name:-",'R.M Billets Reports'!D1967)),TRIM('R.M Billets Reports'!F1967),IF(ISNUMBER(SEARCH("Party Name-",'R.M Billets Reports'!D1967)),TRIM(MID('R.M Billets Reports'!D1967,SEARCH("-",'R.M Billets Reports'!D1967)+1,200)),"")))="VRKP ISPAT PVT LTD","VRKP",IF(IF(IF(ISNUMBER(SEARCH("Party Name:-",'R.M Billets Reports'!D1966)),TRIM('R.M Billets Reports'!F1966),IF(ISNUMBER(SEARCH("Party Name-",'R.M Billets Reports'!D1966)),TRIM(MID('R.M Billets Reports'!D1966,SEARCH("-",'R.M Billets Reports'!D1966)+1,200)),""))&lt;&gt;"",IF(ISNUMBER(SEARCH("Party Name:-",'R.M Billets Reports'!D1966)),TRIM('R.M Billets Reports'!F1966),IF(ISNUMBER(SEARCH("Party Name-",'R.M Billets Reports'!D1966)),TRIM(MID('R.M Billets Reports'!D1966,SEARCH("-",'R.M Billets Reports'!D1966)+1,200)),"")),IF(ISNUMBER(SEARCH("Party Name:-",'R.M Billets Reports'!D1967)),TRIM('R.M Billets Reports'!F1967),IF(ISNUMBER(SEARCH("Party Name-",'R.M Billets Reports'!D1967)),TRIM(MID('R.M Billets Reports'!D1967,SEARCH("-",'R.M Billets Reports'!D1967)+1,200)),"")))="SHRI RADHE","SHREE RADHE",IF(IF(IF(ISNUMBER(SEARCH("Party Name:-",'R.M Billets Reports'!D1966)),TRIM('R.M Billets Reports'!F1966),IF(ISNUMBER(SEARCH("Party Name-",'R.M Billets Reports'!D1966)),TRIM(MID('R.M Billets Reports'!D1966,SEARCH("-",'R.M Billets Reports'!D1966)+1,200)),""))&lt;&gt;"",IF(ISNUMBER(SEARCH("Party Name:-",'R.M Billets Reports'!D1966)),TRIM('R.M Billets Reports'!F1966),IF(ISNUMBER(SEARCH("Party Name-",'R.M Billets Reports'!D1966)),TRIM(MID('R.M Billets Reports'!D1966,SEARCH("-",'R.M Billets Reports'!D1966)+1,200)),"")),IF(ISNUMBER(SEARCH("Party Name:-",'R.M Billets Reports'!D1967)),TRIM('R.M Billets Reports'!F1967),IF(ISNUMBER(SEARCH("Party Name-",'R.M Billets Reports'!D1967)),TRIM(MID('R.M Billets Reports'!D1967,SEARCH("-",'R.M Billets Reports'!D1967)+1,200)),"")))="SHREE RADHE SHAKTI SPONGE AND POWER PVT. LTD.","SHREE RADHE",IF(IF(ISNUMBER(SEARCH("Party Name:-",'R.M Billets Reports'!D1966)),TRIM('R.M Billets Reports'!F1966),IF(ISNUMBER(SEARCH("Party Name-",'R.M Billets Reports'!D1966)),TRIM(MID('R.M Billets Reports'!D1966,SEARCH("-",'R.M Billets Reports'!D1966)+1,200)),""))&lt;&gt;"",IF(ISNUMBER(SEARCH("Party Name:-",'R.M Billets Reports'!D1966)),TRIM('R.M Billets Reports'!F1966),IF(ISNUMBER(SEARCH("Party Name-",'R.M Billets Reports'!D1966)),TRIM(MID('R.M Billets Reports'!D1966,SEARCH("-",'R.M Billets Reports'!D1966)+1,200)),"")),IF(ISNUMBER(SEARCH("Party Name:-",'R.M Billets Reports'!D1967)),TRIM('R.M Billets Reports'!F1967),IF(ISNUMBER(SEARCH("Party Name-",'R.M Billets Reports'!D1967)),TRIM(MID('R.M Billets Reports'!D1967,SEARCH("-",'R.M Billets Reports'!D1967)+1,200)),"")))))),IF(ROW()=2,"",A1966))</f>
      </c>
      <c r="B1967">
        <f>IF(OR('R.M Billets Reports'!A1966="Date-",'R.M Billets Reports'!A1966="Date:-"),'R.M Billets Reports'!B1966,IF(ROW()=2,"",B1966))</f>
      </c>
      <c r="C1967">
        <f>IF('R.M Billets Reports'!A1966="V.No.",'R.M Billets Reports'!B1966,IF(ROW()=2,"",C1966))</f>
      </c>
      <c r="D1967">
        <f>IF('R.M Billets Reports'!A1966&lt;&gt;"",'R.M Billets Reports'!A1966,IF(ROW()=2,"",D1966))</f>
      </c>
      <c r="E1967">
        <f>IF('R.M Billets Reports'!B1966="","",TRIM('R.M Billets Reports'!B1966))</f>
      </c>
      <c r="F1967">
        <f>'R.M Billets Reports'!C1966</f>
      </c>
      <c r="G1967">
        <f>'R.M Billets Reports'!D1966</f>
      </c>
      <c r="H1967">
        <f>'R.M Billets Reports'!E1966</f>
      </c>
      <c r="I1967">
        <f>'R.M Billets Reports'!F1966</f>
      </c>
      <c r="J1967">
        <f>'R.M Billets Reports'!G1966</f>
      </c>
      <c r="K1967">
        <f>'R.M Billets Reports'!H1966</f>
      </c>
      <c r="L1967">
        <f>IF('R.M Billets Reports'!I1966="","",'R.M Billets Reports'!I1966)</f>
      </c>
      <c r="M1967">
        <f t="shared" si="60"/>
      </c>
      <c r="N1967">
        <f>IF('R.M Billets Reports'!J1966="","",'R.M Billets Reports'!J1966)</f>
      </c>
      <c r="O1967">
        <f t="shared" si="61"/>
      </c>
      <c r="P1967">
        <f>IF('R.M Billets Reports'!A1966="SIZE",'R.M Billets Reports'!B1966,P1966)</f>
      </c>
    </row>
    <row r="1968" spans="1:16" x14ac:dyDescent="0.25">
      <c r="A1968">
        <f>IF(OR('R.M Billets Reports'!A1967="Date-",'R.M Billets Reports'!A1967="Date:-"),IF(IF(IF(ISNUMBER(SEARCH("Party Name:-",'R.M Billets Reports'!D1967)),TRIM('R.M Billets Reports'!F1967),IF(ISNUMBER(SEARCH("Party Name-",'R.M Billets Reports'!D1967)),TRIM(MID('R.M Billets Reports'!D1967,SEARCH("-",'R.M Billets Reports'!D1967)+1,200)),""))&lt;&gt;"",IF(ISNUMBER(SEARCH("Party Name:-",'R.M Billets Reports'!D1967)),TRIM('R.M Billets Reports'!F1967),IF(ISNUMBER(SEARCH("Party Name-",'R.M Billets Reports'!D1967)),TRIM(MID('R.M Billets Reports'!D1967,SEARCH("-",'R.M Billets Reports'!D1967)+1,200)),"")),IF(ISNUMBER(SEARCH("Party Name:-",'R.M Billets Reports'!D1968)),TRIM('R.M Billets Reports'!F1968),IF(ISNUMBER(SEARCH("Party Name-",'R.M Billets Reports'!D1968)),TRIM(MID('R.M Billets Reports'!D1968,SEARCH("-",'R.M Billets Reports'!D1968)+1,200)),"")))="VRKP ISPAT PVT LTD","VRKP",IF(IF(IF(ISNUMBER(SEARCH("Party Name:-",'R.M Billets Reports'!D1967)),TRIM('R.M Billets Reports'!F1967),IF(ISNUMBER(SEARCH("Party Name-",'R.M Billets Reports'!D1967)),TRIM(MID('R.M Billets Reports'!D1967,SEARCH("-",'R.M Billets Reports'!D1967)+1,200)),""))&lt;&gt;"",IF(ISNUMBER(SEARCH("Party Name:-",'R.M Billets Reports'!D1967)),TRIM('R.M Billets Reports'!F1967),IF(ISNUMBER(SEARCH("Party Name-",'R.M Billets Reports'!D1967)),TRIM(MID('R.M Billets Reports'!D1967,SEARCH("-",'R.M Billets Reports'!D1967)+1,200)),"")),IF(ISNUMBER(SEARCH("Party Name:-",'R.M Billets Reports'!D1968)),TRIM('R.M Billets Reports'!F1968),IF(ISNUMBER(SEARCH("Party Name-",'R.M Billets Reports'!D1968)),TRIM(MID('R.M Billets Reports'!D1968,SEARCH("-",'R.M Billets Reports'!D1968)+1,200)),"")))="SHRI RADHE","SHREE RADHE",IF(IF(IF(ISNUMBER(SEARCH("Party Name:-",'R.M Billets Reports'!D1967)),TRIM('R.M Billets Reports'!F1967),IF(ISNUMBER(SEARCH("Party Name-",'R.M Billets Reports'!D1967)),TRIM(MID('R.M Billets Reports'!D1967,SEARCH("-",'R.M Billets Reports'!D1967)+1,200)),""))&lt;&gt;"",IF(ISNUMBER(SEARCH("Party Name:-",'R.M Billets Reports'!D1967)),TRIM('R.M Billets Reports'!F1967),IF(ISNUMBER(SEARCH("Party Name-",'R.M Billets Reports'!D1967)),TRIM(MID('R.M Billets Reports'!D1967,SEARCH("-",'R.M Billets Reports'!D1967)+1,200)),"")),IF(ISNUMBER(SEARCH("Party Name:-",'R.M Billets Reports'!D1968)),TRIM('R.M Billets Reports'!F1968),IF(ISNUMBER(SEARCH("Party Name-",'R.M Billets Reports'!D1968)),TRIM(MID('R.M Billets Reports'!D1968,SEARCH("-",'R.M Billets Reports'!D1968)+1,200)),"")))="SHREE RADHE SHAKTI SPONGE AND POWER PVT. LTD.","SHREE RADHE",IF(IF(ISNUMBER(SEARCH("Party Name:-",'R.M Billets Reports'!D1967)),TRIM('R.M Billets Reports'!F1967),IF(ISNUMBER(SEARCH("Party Name-",'R.M Billets Reports'!D1967)),TRIM(MID('R.M Billets Reports'!D1967,SEARCH("-",'R.M Billets Reports'!D1967)+1,200)),""))&lt;&gt;"",IF(ISNUMBER(SEARCH("Party Name:-",'R.M Billets Reports'!D1967)),TRIM('R.M Billets Reports'!F1967),IF(ISNUMBER(SEARCH("Party Name-",'R.M Billets Reports'!D1967)),TRIM(MID('R.M Billets Reports'!D1967,SEARCH("-",'R.M Billets Reports'!D1967)+1,200)),"")),IF(ISNUMBER(SEARCH("Party Name:-",'R.M Billets Reports'!D1968)),TRIM('R.M Billets Reports'!F1968),IF(ISNUMBER(SEARCH("Party Name-",'R.M Billets Reports'!D1968)),TRIM(MID('R.M Billets Reports'!D1968,SEARCH("-",'R.M Billets Reports'!D1968)+1,200)),"")))))),IF(ROW()=2,"",A1967))</f>
      </c>
      <c r="B1968">
        <f>IF(OR('R.M Billets Reports'!A1967="Date-",'R.M Billets Reports'!A1967="Date:-"),'R.M Billets Reports'!B1967,IF(ROW()=2,"",B1967))</f>
      </c>
      <c r="C1968">
        <f>IF('R.M Billets Reports'!A1967="V.No.",'R.M Billets Reports'!B1967,IF(ROW()=2,"",C1967))</f>
      </c>
      <c r="D1968">
        <f>IF('R.M Billets Reports'!A1967&lt;&gt;"",'R.M Billets Reports'!A1967,IF(ROW()=2,"",D1967))</f>
      </c>
      <c r="E1968">
        <f>IF('R.M Billets Reports'!B1967="","",TRIM('R.M Billets Reports'!B1967))</f>
      </c>
      <c r="F1968">
        <f>'R.M Billets Reports'!C1967</f>
      </c>
      <c r="G1968">
        <f>'R.M Billets Reports'!D1967</f>
      </c>
      <c r="H1968">
        <f>'R.M Billets Reports'!E1967</f>
      </c>
      <c r="I1968">
        <f>'R.M Billets Reports'!F1967</f>
      </c>
      <c r="J1968">
        <f>'R.M Billets Reports'!G1967</f>
      </c>
      <c r="K1968">
        <f>'R.M Billets Reports'!H1967</f>
      </c>
      <c r="L1968">
        <f>IF('R.M Billets Reports'!I1967="","",'R.M Billets Reports'!I1967)</f>
      </c>
      <c r="M1968">
        <f t="shared" si="60"/>
      </c>
      <c r="N1968">
        <f>IF('R.M Billets Reports'!J1967="","",'R.M Billets Reports'!J1967)</f>
      </c>
      <c r="O1968">
        <f t="shared" si="61"/>
      </c>
      <c r="P1968">
        <f>IF('R.M Billets Reports'!A1967="SIZE",'R.M Billets Reports'!B1967,P1967)</f>
      </c>
    </row>
    <row r="1969" spans="1:16" x14ac:dyDescent="0.25">
      <c r="A1969">
        <f>IF(OR('R.M Billets Reports'!A1968="Date-",'R.M Billets Reports'!A1968="Date:-"),IF(IF(IF(ISNUMBER(SEARCH("Party Name:-",'R.M Billets Reports'!D1968)),TRIM('R.M Billets Reports'!F1968),IF(ISNUMBER(SEARCH("Party Name-",'R.M Billets Reports'!D1968)),TRIM(MID('R.M Billets Reports'!D1968,SEARCH("-",'R.M Billets Reports'!D1968)+1,200)),""))&lt;&gt;"",IF(ISNUMBER(SEARCH("Party Name:-",'R.M Billets Reports'!D1968)),TRIM('R.M Billets Reports'!F1968),IF(ISNUMBER(SEARCH("Party Name-",'R.M Billets Reports'!D1968)),TRIM(MID('R.M Billets Reports'!D1968,SEARCH("-",'R.M Billets Reports'!D1968)+1,200)),"")),IF(ISNUMBER(SEARCH("Party Name:-",'R.M Billets Reports'!D1969)),TRIM('R.M Billets Reports'!F1969),IF(ISNUMBER(SEARCH("Party Name-",'R.M Billets Reports'!D1969)),TRIM(MID('R.M Billets Reports'!D1969,SEARCH("-",'R.M Billets Reports'!D1969)+1,200)),"")))="VRKP ISPAT PVT LTD","VRKP",IF(IF(IF(ISNUMBER(SEARCH("Party Name:-",'R.M Billets Reports'!D1968)),TRIM('R.M Billets Reports'!F1968),IF(ISNUMBER(SEARCH("Party Name-",'R.M Billets Reports'!D1968)),TRIM(MID('R.M Billets Reports'!D1968,SEARCH("-",'R.M Billets Reports'!D1968)+1,200)),""))&lt;&gt;"",IF(ISNUMBER(SEARCH("Party Name:-",'R.M Billets Reports'!D1968)),TRIM('R.M Billets Reports'!F1968),IF(ISNUMBER(SEARCH("Party Name-",'R.M Billets Reports'!D1968)),TRIM(MID('R.M Billets Reports'!D1968,SEARCH("-",'R.M Billets Reports'!D1968)+1,200)),"")),IF(ISNUMBER(SEARCH("Party Name:-",'R.M Billets Reports'!D1969)),TRIM('R.M Billets Reports'!F1969),IF(ISNUMBER(SEARCH("Party Name-",'R.M Billets Reports'!D1969)),TRIM(MID('R.M Billets Reports'!D1969,SEARCH("-",'R.M Billets Reports'!D1969)+1,200)),"")))="SHRI RADHE","SHREE RADHE",IF(IF(IF(ISNUMBER(SEARCH("Party Name:-",'R.M Billets Reports'!D1968)),TRIM('R.M Billets Reports'!F1968),IF(ISNUMBER(SEARCH("Party Name-",'R.M Billets Reports'!D1968)),TRIM(MID('R.M Billets Reports'!D1968,SEARCH("-",'R.M Billets Reports'!D1968)+1,200)),""))&lt;&gt;"",IF(ISNUMBER(SEARCH("Party Name:-",'R.M Billets Reports'!D1968)),TRIM('R.M Billets Reports'!F1968),IF(ISNUMBER(SEARCH("Party Name-",'R.M Billets Reports'!D1968)),TRIM(MID('R.M Billets Reports'!D1968,SEARCH("-",'R.M Billets Reports'!D1968)+1,200)),"")),IF(ISNUMBER(SEARCH("Party Name:-",'R.M Billets Reports'!D1969)),TRIM('R.M Billets Reports'!F1969),IF(ISNUMBER(SEARCH("Party Name-",'R.M Billets Reports'!D1969)),TRIM(MID('R.M Billets Reports'!D1969,SEARCH("-",'R.M Billets Reports'!D1969)+1,200)),"")))="SHREE RADHE SHAKTI SPONGE AND POWER PVT. LTD.","SHREE RADHE",IF(IF(ISNUMBER(SEARCH("Party Name:-",'R.M Billets Reports'!D1968)),TRIM('R.M Billets Reports'!F1968),IF(ISNUMBER(SEARCH("Party Name-",'R.M Billets Reports'!D1968)),TRIM(MID('R.M Billets Reports'!D1968,SEARCH("-",'R.M Billets Reports'!D1968)+1,200)),""))&lt;&gt;"",IF(ISNUMBER(SEARCH("Party Name:-",'R.M Billets Reports'!D1968)),TRIM('R.M Billets Reports'!F1968),IF(ISNUMBER(SEARCH("Party Name-",'R.M Billets Reports'!D1968)),TRIM(MID('R.M Billets Reports'!D1968,SEARCH("-",'R.M Billets Reports'!D1968)+1,200)),"")),IF(ISNUMBER(SEARCH("Party Name:-",'R.M Billets Reports'!D1969)),TRIM('R.M Billets Reports'!F1969),IF(ISNUMBER(SEARCH("Party Name-",'R.M Billets Reports'!D1969)),TRIM(MID('R.M Billets Reports'!D1969,SEARCH("-",'R.M Billets Reports'!D1969)+1,200)),"")))))),IF(ROW()=2,"",A1968))</f>
      </c>
      <c r="B1969">
        <f>IF(OR('R.M Billets Reports'!A1968="Date-",'R.M Billets Reports'!A1968="Date:-"),'R.M Billets Reports'!B1968,IF(ROW()=2,"",B1968))</f>
      </c>
      <c r="C1969">
        <f>IF('R.M Billets Reports'!A1968="V.No.",'R.M Billets Reports'!B1968,IF(ROW()=2,"",C1968))</f>
      </c>
      <c r="D1969">
        <f>IF('R.M Billets Reports'!A1968&lt;&gt;"",'R.M Billets Reports'!A1968,IF(ROW()=2,"",D1968))</f>
      </c>
      <c r="E1969">
        <f>IF('R.M Billets Reports'!B1968="","",TRIM('R.M Billets Reports'!B1968))</f>
      </c>
      <c r="F1969">
        <f>'R.M Billets Reports'!C1968</f>
      </c>
      <c r="G1969">
        <f>'R.M Billets Reports'!D1968</f>
      </c>
      <c r="H1969">
        <f>'R.M Billets Reports'!E1968</f>
      </c>
      <c r="I1969">
        <f>'R.M Billets Reports'!F1968</f>
      </c>
      <c r="J1969">
        <f>'R.M Billets Reports'!G1968</f>
      </c>
      <c r="K1969">
        <f>'R.M Billets Reports'!H1968</f>
      </c>
      <c r="L1969">
        <f>IF('R.M Billets Reports'!I1968="","",'R.M Billets Reports'!I1968)</f>
      </c>
      <c r="M1969">
        <f t="shared" si="60"/>
      </c>
      <c r="N1969">
        <f>IF('R.M Billets Reports'!J1968="","",'R.M Billets Reports'!J1968)</f>
      </c>
      <c r="O1969">
        <f t="shared" si="61"/>
      </c>
      <c r="P1969">
        <f>IF('R.M Billets Reports'!A1968="SIZE",'R.M Billets Reports'!B1968,P1968)</f>
      </c>
    </row>
    <row r="1970" spans="1:16" x14ac:dyDescent="0.25">
      <c r="A1970">
        <f>IF(OR('R.M Billets Reports'!A1969="Date-",'R.M Billets Reports'!A1969="Date:-"),IF(IF(IF(ISNUMBER(SEARCH("Party Name:-",'R.M Billets Reports'!D1969)),TRIM('R.M Billets Reports'!F1969),IF(ISNUMBER(SEARCH("Party Name-",'R.M Billets Reports'!D1969)),TRIM(MID('R.M Billets Reports'!D1969,SEARCH("-",'R.M Billets Reports'!D1969)+1,200)),""))&lt;&gt;"",IF(ISNUMBER(SEARCH("Party Name:-",'R.M Billets Reports'!D1969)),TRIM('R.M Billets Reports'!F1969),IF(ISNUMBER(SEARCH("Party Name-",'R.M Billets Reports'!D1969)),TRIM(MID('R.M Billets Reports'!D1969,SEARCH("-",'R.M Billets Reports'!D1969)+1,200)),"")),IF(ISNUMBER(SEARCH("Party Name:-",'R.M Billets Reports'!D1970)),TRIM('R.M Billets Reports'!F1970),IF(ISNUMBER(SEARCH("Party Name-",'R.M Billets Reports'!D1970)),TRIM(MID('R.M Billets Reports'!D1970,SEARCH("-",'R.M Billets Reports'!D1970)+1,200)),"")))="VRKP ISPAT PVT LTD","VRKP",IF(IF(IF(ISNUMBER(SEARCH("Party Name:-",'R.M Billets Reports'!D1969)),TRIM('R.M Billets Reports'!F1969),IF(ISNUMBER(SEARCH("Party Name-",'R.M Billets Reports'!D1969)),TRIM(MID('R.M Billets Reports'!D1969,SEARCH("-",'R.M Billets Reports'!D1969)+1,200)),""))&lt;&gt;"",IF(ISNUMBER(SEARCH("Party Name:-",'R.M Billets Reports'!D1969)),TRIM('R.M Billets Reports'!F1969),IF(ISNUMBER(SEARCH("Party Name-",'R.M Billets Reports'!D1969)),TRIM(MID('R.M Billets Reports'!D1969,SEARCH("-",'R.M Billets Reports'!D1969)+1,200)),"")),IF(ISNUMBER(SEARCH("Party Name:-",'R.M Billets Reports'!D1970)),TRIM('R.M Billets Reports'!F1970),IF(ISNUMBER(SEARCH("Party Name-",'R.M Billets Reports'!D1970)),TRIM(MID('R.M Billets Reports'!D1970,SEARCH("-",'R.M Billets Reports'!D1970)+1,200)),"")))="SHRI RADHE","SHREE RADHE",IF(IF(IF(ISNUMBER(SEARCH("Party Name:-",'R.M Billets Reports'!D1969)),TRIM('R.M Billets Reports'!F1969),IF(ISNUMBER(SEARCH("Party Name-",'R.M Billets Reports'!D1969)),TRIM(MID('R.M Billets Reports'!D1969,SEARCH("-",'R.M Billets Reports'!D1969)+1,200)),""))&lt;&gt;"",IF(ISNUMBER(SEARCH("Party Name:-",'R.M Billets Reports'!D1969)),TRIM('R.M Billets Reports'!F1969),IF(ISNUMBER(SEARCH("Party Name-",'R.M Billets Reports'!D1969)),TRIM(MID('R.M Billets Reports'!D1969,SEARCH("-",'R.M Billets Reports'!D1969)+1,200)),"")),IF(ISNUMBER(SEARCH("Party Name:-",'R.M Billets Reports'!D1970)),TRIM('R.M Billets Reports'!F1970),IF(ISNUMBER(SEARCH("Party Name-",'R.M Billets Reports'!D1970)),TRIM(MID('R.M Billets Reports'!D1970,SEARCH("-",'R.M Billets Reports'!D1970)+1,200)),"")))="SHREE RADHE SHAKTI SPONGE AND POWER PVT. LTD.","SHREE RADHE",IF(IF(ISNUMBER(SEARCH("Party Name:-",'R.M Billets Reports'!D1969)),TRIM('R.M Billets Reports'!F1969),IF(ISNUMBER(SEARCH("Party Name-",'R.M Billets Reports'!D1969)),TRIM(MID('R.M Billets Reports'!D1969,SEARCH("-",'R.M Billets Reports'!D1969)+1,200)),""))&lt;&gt;"",IF(ISNUMBER(SEARCH("Party Name:-",'R.M Billets Reports'!D1969)),TRIM('R.M Billets Reports'!F1969),IF(ISNUMBER(SEARCH("Party Name-",'R.M Billets Reports'!D1969)),TRIM(MID('R.M Billets Reports'!D1969,SEARCH("-",'R.M Billets Reports'!D1969)+1,200)),"")),IF(ISNUMBER(SEARCH("Party Name:-",'R.M Billets Reports'!D1970)),TRIM('R.M Billets Reports'!F1970),IF(ISNUMBER(SEARCH("Party Name-",'R.M Billets Reports'!D1970)),TRIM(MID('R.M Billets Reports'!D1970,SEARCH("-",'R.M Billets Reports'!D1970)+1,200)),"")))))),IF(ROW()=2,"",A1969))</f>
      </c>
      <c r="B1970">
        <f>IF(OR('R.M Billets Reports'!A1969="Date-",'R.M Billets Reports'!A1969="Date:-"),'R.M Billets Reports'!B1969,IF(ROW()=2,"",B1969))</f>
      </c>
      <c r="C1970">
        <f>IF('R.M Billets Reports'!A1969="V.No.",'R.M Billets Reports'!B1969,IF(ROW()=2,"",C1969))</f>
      </c>
      <c r="D1970">
        <f>IF('R.M Billets Reports'!A1969&lt;&gt;"",'R.M Billets Reports'!A1969,IF(ROW()=2,"",D1969))</f>
      </c>
      <c r="E1970">
        <f>IF('R.M Billets Reports'!B1969="","",TRIM('R.M Billets Reports'!B1969))</f>
      </c>
      <c r="F1970">
        <f>'R.M Billets Reports'!C1969</f>
      </c>
      <c r="G1970">
        <f>'R.M Billets Reports'!D1969</f>
      </c>
      <c r="H1970">
        <f>'R.M Billets Reports'!E1969</f>
      </c>
      <c r="I1970">
        <f>'R.M Billets Reports'!F1969</f>
      </c>
      <c r="J1970">
        <f>'R.M Billets Reports'!G1969</f>
      </c>
      <c r="K1970">
        <f>'R.M Billets Reports'!H1969</f>
      </c>
      <c r="L1970">
        <f>IF('R.M Billets Reports'!I1969="","",'R.M Billets Reports'!I1969)</f>
      </c>
      <c r="M1970">
        <f t="shared" si="60"/>
      </c>
      <c r="N1970">
        <f>IF('R.M Billets Reports'!J1969="","",'R.M Billets Reports'!J1969)</f>
      </c>
      <c r="O1970">
        <f t="shared" si="61"/>
      </c>
      <c r="P1970">
        <f>IF('R.M Billets Reports'!A1969="SIZE",'R.M Billets Reports'!B1969,P1969)</f>
      </c>
    </row>
    <row r="1971" spans="1:16" x14ac:dyDescent="0.25">
      <c r="A1971">
        <f>IF(OR('R.M Billets Reports'!A1970="Date-",'R.M Billets Reports'!A1970="Date:-"),IF(IF(IF(ISNUMBER(SEARCH("Party Name:-",'R.M Billets Reports'!D1970)),TRIM('R.M Billets Reports'!F1970),IF(ISNUMBER(SEARCH("Party Name-",'R.M Billets Reports'!D1970)),TRIM(MID('R.M Billets Reports'!D1970,SEARCH("-",'R.M Billets Reports'!D1970)+1,200)),""))&lt;&gt;"",IF(ISNUMBER(SEARCH("Party Name:-",'R.M Billets Reports'!D1970)),TRIM('R.M Billets Reports'!F1970),IF(ISNUMBER(SEARCH("Party Name-",'R.M Billets Reports'!D1970)),TRIM(MID('R.M Billets Reports'!D1970,SEARCH("-",'R.M Billets Reports'!D1970)+1,200)),"")),IF(ISNUMBER(SEARCH("Party Name:-",'R.M Billets Reports'!D1971)),TRIM('R.M Billets Reports'!F1971),IF(ISNUMBER(SEARCH("Party Name-",'R.M Billets Reports'!D1971)),TRIM(MID('R.M Billets Reports'!D1971,SEARCH("-",'R.M Billets Reports'!D1971)+1,200)),"")))="VRKP ISPAT PVT LTD","VRKP",IF(IF(IF(ISNUMBER(SEARCH("Party Name:-",'R.M Billets Reports'!D1970)),TRIM('R.M Billets Reports'!F1970),IF(ISNUMBER(SEARCH("Party Name-",'R.M Billets Reports'!D1970)),TRIM(MID('R.M Billets Reports'!D1970,SEARCH("-",'R.M Billets Reports'!D1970)+1,200)),""))&lt;&gt;"",IF(ISNUMBER(SEARCH("Party Name:-",'R.M Billets Reports'!D1970)),TRIM('R.M Billets Reports'!F1970),IF(ISNUMBER(SEARCH("Party Name-",'R.M Billets Reports'!D1970)),TRIM(MID('R.M Billets Reports'!D1970,SEARCH("-",'R.M Billets Reports'!D1970)+1,200)),"")),IF(ISNUMBER(SEARCH("Party Name:-",'R.M Billets Reports'!D1971)),TRIM('R.M Billets Reports'!F1971),IF(ISNUMBER(SEARCH("Party Name-",'R.M Billets Reports'!D1971)),TRIM(MID('R.M Billets Reports'!D1971,SEARCH("-",'R.M Billets Reports'!D1971)+1,200)),"")))="SHRI RADHE","SHREE RADHE",IF(IF(IF(ISNUMBER(SEARCH("Party Name:-",'R.M Billets Reports'!D1970)),TRIM('R.M Billets Reports'!F1970),IF(ISNUMBER(SEARCH("Party Name-",'R.M Billets Reports'!D1970)),TRIM(MID('R.M Billets Reports'!D1970,SEARCH("-",'R.M Billets Reports'!D1970)+1,200)),""))&lt;&gt;"",IF(ISNUMBER(SEARCH("Party Name:-",'R.M Billets Reports'!D1970)),TRIM('R.M Billets Reports'!F1970),IF(ISNUMBER(SEARCH("Party Name-",'R.M Billets Reports'!D1970)),TRIM(MID('R.M Billets Reports'!D1970,SEARCH("-",'R.M Billets Reports'!D1970)+1,200)),"")),IF(ISNUMBER(SEARCH("Party Name:-",'R.M Billets Reports'!D1971)),TRIM('R.M Billets Reports'!F1971),IF(ISNUMBER(SEARCH("Party Name-",'R.M Billets Reports'!D1971)),TRIM(MID('R.M Billets Reports'!D1971,SEARCH("-",'R.M Billets Reports'!D1971)+1,200)),"")))="SHREE RADHE SHAKTI SPONGE AND POWER PVT. LTD.","SHREE RADHE",IF(IF(ISNUMBER(SEARCH("Party Name:-",'R.M Billets Reports'!D1970)),TRIM('R.M Billets Reports'!F1970),IF(ISNUMBER(SEARCH("Party Name-",'R.M Billets Reports'!D1970)),TRIM(MID('R.M Billets Reports'!D1970,SEARCH("-",'R.M Billets Reports'!D1970)+1,200)),""))&lt;&gt;"",IF(ISNUMBER(SEARCH("Party Name:-",'R.M Billets Reports'!D1970)),TRIM('R.M Billets Reports'!F1970),IF(ISNUMBER(SEARCH("Party Name-",'R.M Billets Reports'!D1970)),TRIM(MID('R.M Billets Reports'!D1970,SEARCH("-",'R.M Billets Reports'!D1970)+1,200)),"")),IF(ISNUMBER(SEARCH("Party Name:-",'R.M Billets Reports'!D1971)),TRIM('R.M Billets Reports'!F1971),IF(ISNUMBER(SEARCH("Party Name-",'R.M Billets Reports'!D1971)),TRIM(MID('R.M Billets Reports'!D1971,SEARCH("-",'R.M Billets Reports'!D1971)+1,200)),"")))))),IF(ROW()=2,"",A1970))</f>
      </c>
      <c r="B1971">
        <f>IF(OR('R.M Billets Reports'!A1970="Date-",'R.M Billets Reports'!A1970="Date:-"),'R.M Billets Reports'!B1970,IF(ROW()=2,"",B1970))</f>
      </c>
      <c r="C1971">
        <f>IF('R.M Billets Reports'!A1970="V.No.",'R.M Billets Reports'!B1970,IF(ROW()=2,"",C1970))</f>
      </c>
      <c r="D1971">
        <f>IF('R.M Billets Reports'!A1970&lt;&gt;"",'R.M Billets Reports'!A1970,IF(ROW()=2,"",D1970))</f>
      </c>
      <c r="E1971">
        <f>IF('R.M Billets Reports'!B1970="","",TRIM('R.M Billets Reports'!B1970))</f>
      </c>
      <c r="F1971">
        <f>'R.M Billets Reports'!C1970</f>
      </c>
      <c r="G1971">
        <f>'R.M Billets Reports'!D1970</f>
      </c>
      <c r="H1971">
        <f>'R.M Billets Reports'!E1970</f>
      </c>
      <c r="I1971">
        <f>'R.M Billets Reports'!F1970</f>
      </c>
      <c r="J1971">
        <f>'R.M Billets Reports'!G1970</f>
      </c>
      <c r="K1971">
        <f>'R.M Billets Reports'!H1970</f>
      </c>
      <c r="L1971">
        <f>IF('R.M Billets Reports'!I1970="","",'R.M Billets Reports'!I1970)</f>
      </c>
      <c r="M1971">
        <f t="shared" si="60"/>
      </c>
      <c r="N1971">
        <f>IF('R.M Billets Reports'!J1970="","",'R.M Billets Reports'!J1970)</f>
      </c>
      <c r="O1971">
        <f t="shared" si="61"/>
      </c>
      <c r="P1971">
        <f>IF('R.M Billets Reports'!A1970="SIZE",'R.M Billets Reports'!B1970,P1970)</f>
      </c>
    </row>
    <row r="1972" spans="1:16" x14ac:dyDescent="0.25">
      <c r="A1972">
        <f>IF(OR('R.M Billets Reports'!A1971="Date-",'R.M Billets Reports'!A1971="Date:-"),IF(IF(IF(ISNUMBER(SEARCH("Party Name:-",'R.M Billets Reports'!D1971)),TRIM('R.M Billets Reports'!F1971),IF(ISNUMBER(SEARCH("Party Name-",'R.M Billets Reports'!D1971)),TRIM(MID('R.M Billets Reports'!D1971,SEARCH("-",'R.M Billets Reports'!D1971)+1,200)),""))&lt;&gt;"",IF(ISNUMBER(SEARCH("Party Name:-",'R.M Billets Reports'!D1971)),TRIM('R.M Billets Reports'!F1971),IF(ISNUMBER(SEARCH("Party Name-",'R.M Billets Reports'!D1971)),TRIM(MID('R.M Billets Reports'!D1971,SEARCH("-",'R.M Billets Reports'!D1971)+1,200)),"")),IF(ISNUMBER(SEARCH("Party Name:-",'R.M Billets Reports'!D1972)),TRIM('R.M Billets Reports'!F1972),IF(ISNUMBER(SEARCH("Party Name-",'R.M Billets Reports'!D1972)),TRIM(MID('R.M Billets Reports'!D1972,SEARCH("-",'R.M Billets Reports'!D1972)+1,200)),"")))="VRKP ISPAT PVT LTD","VRKP",IF(IF(IF(ISNUMBER(SEARCH("Party Name:-",'R.M Billets Reports'!D1971)),TRIM('R.M Billets Reports'!F1971),IF(ISNUMBER(SEARCH("Party Name-",'R.M Billets Reports'!D1971)),TRIM(MID('R.M Billets Reports'!D1971,SEARCH("-",'R.M Billets Reports'!D1971)+1,200)),""))&lt;&gt;"",IF(ISNUMBER(SEARCH("Party Name:-",'R.M Billets Reports'!D1971)),TRIM('R.M Billets Reports'!F1971),IF(ISNUMBER(SEARCH("Party Name-",'R.M Billets Reports'!D1971)),TRIM(MID('R.M Billets Reports'!D1971,SEARCH("-",'R.M Billets Reports'!D1971)+1,200)),"")),IF(ISNUMBER(SEARCH("Party Name:-",'R.M Billets Reports'!D1972)),TRIM('R.M Billets Reports'!F1972),IF(ISNUMBER(SEARCH("Party Name-",'R.M Billets Reports'!D1972)),TRIM(MID('R.M Billets Reports'!D1972,SEARCH("-",'R.M Billets Reports'!D1972)+1,200)),"")))="SHRI RADHE","SHREE RADHE",IF(IF(IF(ISNUMBER(SEARCH("Party Name:-",'R.M Billets Reports'!D1971)),TRIM('R.M Billets Reports'!F1971),IF(ISNUMBER(SEARCH("Party Name-",'R.M Billets Reports'!D1971)),TRIM(MID('R.M Billets Reports'!D1971,SEARCH("-",'R.M Billets Reports'!D1971)+1,200)),""))&lt;&gt;"",IF(ISNUMBER(SEARCH("Party Name:-",'R.M Billets Reports'!D1971)),TRIM('R.M Billets Reports'!F1971),IF(ISNUMBER(SEARCH("Party Name-",'R.M Billets Reports'!D1971)),TRIM(MID('R.M Billets Reports'!D1971,SEARCH("-",'R.M Billets Reports'!D1971)+1,200)),"")),IF(ISNUMBER(SEARCH("Party Name:-",'R.M Billets Reports'!D1972)),TRIM('R.M Billets Reports'!F1972),IF(ISNUMBER(SEARCH("Party Name-",'R.M Billets Reports'!D1972)),TRIM(MID('R.M Billets Reports'!D1972,SEARCH("-",'R.M Billets Reports'!D1972)+1,200)),"")))="SHREE RADHE SHAKTI SPONGE AND POWER PVT. LTD.","SHREE RADHE",IF(IF(ISNUMBER(SEARCH("Party Name:-",'R.M Billets Reports'!D1971)),TRIM('R.M Billets Reports'!F1971),IF(ISNUMBER(SEARCH("Party Name-",'R.M Billets Reports'!D1971)),TRIM(MID('R.M Billets Reports'!D1971,SEARCH("-",'R.M Billets Reports'!D1971)+1,200)),""))&lt;&gt;"",IF(ISNUMBER(SEARCH("Party Name:-",'R.M Billets Reports'!D1971)),TRIM('R.M Billets Reports'!F1971),IF(ISNUMBER(SEARCH("Party Name-",'R.M Billets Reports'!D1971)),TRIM(MID('R.M Billets Reports'!D1971,SEARCH("-",'R.M Billets Reports'!D1971)+1,200)),"")),IF(ISNUMBER(SEARCH("Party Name:-",'R.M Billets Reports'!D1972)),TRIM('R.M Billets Reports'!F1972),IF(ISNUMBER(SEARCH("Party Name-",'R.M Billets Reports'!D1972)),TRIM(MID('R.M Billets Reports'!D1972,SEARCH("-",'R.M Billets Reports'!D1972)+1,200)),"")))))),IF(ROW()=2,"",A1971))</f>
      </c>
      <c r="B1972">
        <f>IF(OR('R.M Billets Reports'!A1971="Date-",'R.M Billets Reports'!A1971="Date:-"),'R.M Billets Reports'!B1971,IF(ROW()=2,"",B1971))</f>
      </c>
      <c r="C1972">
        <f>IF('R.M Billets Reports'!A1971="V.No.",'R.M Billets Reports'!B1971,IF(ROW()=2,"",C1971))</f>
      </c>
      <c r="D1972">
        <f>IF('R.M Billets Reports'!A1971&lt;&gt;"",'R.M Billets Reports'!A1971,IF(ROW()=2,"",D1971))</f>
      </c>
      <c r="E1972">
        <f>IF('R.M Billets Reports'!B1971="","",TRIM('R.M Billets Reports'!B1971))</f>
      </c>
      <c r="F1972">
        <f>'R.M Billets Reports'!C1971</f>
      </c>
      <c r="G1972">
        <f>'R.M Billets Reports'!D1971</f>
      </c>
      <c r="H1972">
        <f>'R.M Billets Reports'!E1971</f>
      </c>
      <c r="I1972">
        <f>'R.M Billets Reports'!F1971</f>
      </c>
      <c r="J1972">
        <f>'R.M Billets Reports'!G1971</f>
      </c>
      <c r="K1972">
        <f>'R.M Billets Reports'!H1971</f>
      </c>
      <c r="L1972">
        <f>IF('R.M Billets Reports'!I1971="","",'R.M Billets Reports'!I1971)</f>
      </c>
      <c r="M1972">
        <f t="shared" si="60"/>
      </c>
      <c r="N1972">
        <f>IF('R.M Billets Reports'!J1971="","",'R.M Billets Reports'!J1971)</f>
      </c>
      <c r="O1972">
        <f t="shared" si="61"/>
      </c>
      <c r="P1972">
        <f>IF('R.M Billets Reports'!A1971="SIZE",'R.M Billets Reports'!B1971,P1971)</f>
      </c>
    </row>
    <row r="1973" spans="1:16" x14ac:dyDescent="0.25">
      <c r="A1973">
        <f>IF(OR('R.M Billets Reports'!A1972="Date-",'R.M Billets Reports'!A1972="Date:-"),IF(IF(IF(ISNUMBER(SEARCH("Party Name:-",'R.M Billets Reports'!D1972)),TRIM('R.M Billets Reports'!F1972),IF(ISNUMBER(SEARCH("Party Name-",'R.M Billets Reports'!D1972)),TRIM(MID('R.M Billets Reports'!D1972,SEARCH("-",'R.M Billets Reports'!D1972)+1,200)),""))&lt;&gt;"",IF(ISNUMBER(SEARCH("Party Name:-",'R.M Billets Reports'!D1972)),TRIM('R.M Billets Reports'!F1972),IF(ISNUMBER(SEARCH("Party Name-",'R.M Billets Reports'!D1972)),TRIM(MID('R.M Billets Reports'!D1972,SEARCH("-",'R.M Billets Reports'!D1972)+1,200)),"")),IF(ISNUMBER(SEARCH("Party Name:-",'R.M Billets Reports'!D1973)),TRIM('R.M Billets Reports'!F1973),IF(ISNUMBER(SEARCH("Party Name-",'R.M Billets Reports'!D1973)),TRIM(MID('R.M Billets Reports'!D1973,SEARCH("-",'R.M Billets Reports'!D1973)+1,200)),"")))="VRKP ISPAT PVT LTD","VRKP",IF(IF(IF(ISNUMBER(SEARCH("Party Name:-",'R.M Billets Reports'!D1972)),TRIM('R.M Billets Reports'!F1972),IF(ISNUMBER(SEARCH("Party Name-",'R.M Billets Reports'!D1972)),TRIM(MID('R.M Billets Reports'!D1972,SEARCH("-",'R.M Billets Reports'!D1972)+1,200)),""))&lt;&gt;"",IF(ISNUMBER(SEARCH("Party Name:-",'R.M Billets Reports'!D1972)),TRIM('R.M Billets Reports'!F1972),IF(ISNUMBER(SEARCH("Party Name-",'R.M Billets Reports'!D1972)),TRIM(MID('R.M Billets Reports'!D1972,SEARCH("-",'R.M Billets Reports'!D1972)+1,200)),"")),IF(ISNUMBER(SEARCH("Party Name:-",'R.M Billets Reports'!D1973)),TRIM('R.M Billets Reports'!F1973),IF(ISNUMBER(SEARCH("Party Name-",'R.M Billets Reports'!D1973)),TRIM(MID('R.M Billets Reports'!D1973,SEARCH("-",'R.M Billets Reports'!D1973)+1,200)),"")))="SHRI RADHE","SHREE RADHE",IF(IF(IF(ISNUMBER(SEARCH("Party Name:-",'R.M Billets Reports'!D1972)),TRIM('R.M Billets Reports'!F1972),IF(ISNUMBER(SEARCH("Party Name-",'R.M Billets Reports'!D1972)),TRIM(MID('R.M Billets Reports'!D1972,SEARCH("-",'R.M Billets Reports'!D1972)+1,200)),""))&lt;&gt;"",IF(ISNUMBER(SEARCH("Party Name:-",'R.M Billets Reports'!D1972)),TRIM('R.M Billets Reports'!F1972),IF(ISNUMBER(SEARCH("Party Name-",'R.M Billets Reports'!D1972)),TRIM(MID('R.M Billets Reports'!D1972,SEARCH("-",'R.M Billets Reports'!D1972)+1,200)),"")),IF(ISNUMBER(SEARCH("Party Name:-",'R.M Billets Reports'!D1973)),TRIM('R.M Billets Reports'!F1973),IF(ISNUMBER(SEARCH("Party Name-",'R.M Billets Reports'!D1973)),TRIM(MID('R.M Billets Reports'!D1973,SEARCH("-",'R.M Billets Reports'!D1973)+1,200)),"")))="SHREE RADHE SHAKTI SPONGE AND POWER PVT. LTD.","SHREE RADHE",IF(IF(ISNUMBER(SEARCH("Party Name:-",'R.M Billets Reports'!D1972)),TRIM('R.M Billets Reports'!F1972),IF(ISNUMBER(SEARCH("Party Name-",'R.M Billets Reports'!D1972)),TRIM(MID('R.M Billets Reports'!D1972,SEARCH("-",'R.M Billets Reports'!D1972)+1,200)),""))&lt;&gt;"",IF(ISNUMBER(SEARCH("Party Name:-",'R.M Billets Reports'!D1972)),TRIM('R.M Billets Reports'!F1972),IF(ISNUMBER(SEARCH("Party Name-",'R.M Billets Reports'!D1972)),TRIM(MID('R.M Billets Reports'!D1972,SEARCH("-",'R.M Billets Reports'!D1972)+1,200)),"")),IF(ISNUMBER(SEARCH("Party Name:-",'R.M Billets Reports'!D1973)),TRIM('R.M Billets Reports'!F1973),IF(ISNUMBER(SEARCH("Party Name-",'R.M Billets Reports'!D1973)),TRIM(MID('R.M Billets Reports'!D1973,SEARCH("-",'R.M Billets Reports'!D1973)+1,200)),"")))))),IF(ROW()=2,"",A1972))</f>
      </c>
      <c r="B1973">
        <f>IF(OR('R.M Billets Reports'!A1972="Date-",'R.M Billets Reports'!A1972="Date:-"),'R.M Billets Reports'!B1972,IF(ROW()=2,"",B1972))</f>
      </c>
      <c r="C1973">
        <f>IF('R.M Billets Reports'!A1972="V.No.",'R.M Billets Reports'!B1972,IF(ROW()=2,"",C1972))</f>
      </c>
      <c r="D1973">
        <f>IF('R.M Billets Reports'!A1972&lt;&gt;"",'R.M Billets Reports'!A1972,IF(ROW()=2,"",D1972))</f>
      </c>
      <c r="E1973">
        <f>IF('R.M Billets Reports'!B1972="","",TRIM('R.M Billets Reports'!B1972))</f>
      </c>
      <c r="F1973">
        <f>'R.M Billets Reports'!C1972</f>
      </c>
      <c r="G1973">
        <f>'R.M Billets Reports'!D1972</f>
      </c>
      <c r="H1973">
        <f>'R.M Billets Reports'!E1972</f>
      </c>
      <c r="I1973">
        <f>'R.M Billets Reports'!F1972</f>
      </c>
      <c r="J1973">
        <f>'R.M Billets Reports'!G1972</f>
      </c>
      <c r="K1973">
        <f>'R.M Billets Reports'!H1972</f>
      </c>
      <c r="L1973">
        <f>IF('R.M Billets Reports'!I1972="","",'R.M Billets Reports'!I1972)</f>
      </c>
      <c r="M1973">
        <f t="shared" si="60"/>
      </c>
      <c r="N1973">
        <f>IF('R.M Billets Reports'!J1972="","",'R.M Billets Reports'!J1972)</f>
      </c>
      <c r="O1973">
        <f t="shared" si="61"/>
      </c>
      <c r="P1973">
        <f>IF('R.M Billets Reports'!A1972="SIZE",'R.M Billets Reports'!B1972,P1972)</f>
      </c>
    </row>
    <row r="1974" spans="1:16" x14ac:dyDescent="0.25">
      <c r="A1974">
        <f>IF(OR('R.M Billets Reports'!A1973="Date-",'R.M Billets Reports'!A1973="Date:-"),IF(IF(IF(ISNUMBER(SEARCH("Party Name:-",'R.M Billets Reports'!D1973)),TRIM('R.M Billets Reports'!F1973),IF(ISNUMBER(SEARCH("Party Name-",'R.M Billets Reports'!D1973)),TRIM(MID('R.M Billets Reports'!D1973,SEARCH("-",'R.M Billets Reports'!D1973)+1,200)),""))&lt;&gt;"",IF(ISNUMBER(SEARCH("Party Name:-",'R.M Billets Reports'!D1973)),TRIM('R.M Billets Reports'!F1973),IF(ISNUMBER(SEARCH("Party Name-",'R.M Billets Reports'!D1973)),TRIM(MID('R.M Billets Reports'!D1973,SEARCH("-",'R.M Billets Reports'!D1973)+1,200)),"")),IF(ISNUMBER(SEARCH("Party Name:-",'R.M Billets Reports'!D1974)),TRIM('R.M Billets Reports'!F1974),IF(ISNUMBER(SEARCH("Party Name-",'R.M Billets Reports'!D1974)),TRIM(MID('R.M Billets Reports'!D1974,SEARCH("-",'R.M Billets Reports'!D1974)+1,200)),"")))="VRKP ISPAT PVT LTD","VRKP",IF(IF(IF(ISNUMBER(SEARCH("Party Name:-",'R.M Billets Reports'!D1973)),TRIM('R.M Billets Reports'!F1973),IF(ISNUMBER(SEARCH("Party Name-",'R.M Billets Reports'!D1973)),TRIM(MID('R.M Billets Reports'!D1973,SEARCH("-",'R.M Billets Reports'!D1973)+1,200)),""))&lt;&gt;"",IF(ISNUMBER(SEARCH("Party Name:-",'R.M Billets Reports'!D1973)),TRIM('R.M Billets Reports'!F1973),IF(ISNUMBER(SEARCH("Party Name-",'R.M Billets Reports'!D1973)),TRIM(MID('R.M Billets Reports'!D1973,SEARCH("-",'R.M Billets Reports'!D1973)+1,200)),"")),IF(ISNUMBER(SEARCH("Party Name:-",'R.M Billets Reports'!D1974)),TRIM('R.M Billets Reports'!F1974),IF(ISNUMBER(SEARCH("Party Name-",'R.M Billets Reports'!D1974)),TRIM(MID('R.M Billets Reports'!D1974,SEARCH("-",'R.M Billets Reports'!D1974)+1,200)),"")))="SHRI RADHE","SHREE RADHE",IF(IF(IF(ISNUMBER(SEARCH("Party Name:-",'R.M Billets Reports'!D1973)),TRIM('R.M Billets Reports'!F1973),IF(ISNUMBER(SEARCH("Party Name-",'R.M Billets Reports'!D1973)),TRIM(MID('R.M Billets Reports'!D1973,SEARCH("-",'R.M Billets Reports'!D1973)+1,200)),""))&lt;&gt;"",IF(ISNUMBER(SEARCH("Party Name:-",'R.M Billets Reports'!D1973)),TRIM('R.M Billets Reports'!F1973),IF(ISNUMBER(SEARCH("Party Name-",'R.M Billets Reports'!D1973)),TRIM(MID('R.M Billets Reports'!D1973,SEARCH("-",'R.M Billets Reports'!D1973)+1,200)),"")),IF(ISNUMBER(SEARCH("Party Name:-",'R.M Billets Reports'!D1974)),TRIM('R.M Billets Reports'!F1974),IF(ISNUMBER(SEARCH("Party Name-",'R.M Billets Reports'!D1974)),TRIM(MID('R.M Billets Reports'!D1974,SEARCH("-",'R.M Billets Reports'!D1974)+1,200)),"")))="SHREE RADHE SHAKTI SPONGE AND POWER PVT. LTD.","SHREE RADHE",IF(IF(ISNUMBER(SEARCH("Party Name:-",'R.M Billets Reports'!D1973)),TRIM('R.M Billets Reports'!F1973),IF(ISNUMBER(SEARCH("Party Name-",'R.M Billets Reports'!D1973)),TRIM(MID('R.M Billets Reports'!D1973,SEARCH("-",'R.M Billets Reports'!D1973)+1,200)),""))&lt;&gt;"",IF(ISNUMBER(SEARCH("Party Name:-",'R.M Billets Reports'!D1973)),TRIM('R.M Billets Reports'!F1973),IF(ISNUMBER(SEARCH("Party Name-",'R.M Billets Reports'!D1973)),TRIM(MID('R.M Billets Reports'!D1973,SEARCH("-",'R.M Billets Reports'!D1973)+1,200)),"")),IF(ISNUMBER(SEARCH("Party Name:-",'R.M Billets Reports'!D1974)),TRIM('R.M Billets Reports'!F1974),IF(ISNUMBER(SEARCH("Party Name-",'R.M Billets Reports'!D1974)),TRIM(MID('R.M Billets Reports'!D1974,SEARCH("-",'R.M Billets Reports'!D1974)+1,200)),"")))))),IF(ROW()=2,"",A1973))</f>
      </c>
      <c r="B1974">
        <f>IF(OR('R.M Billets Reports'!A1973="Date-",'R.M Billets Reports'!A1973="Date:-"),'R.M Billets Reports'!B1973,IF(ROW()=2,"",B1973))</f>
      </c>
      <c r="C1974">
        <f>IF('R.M Billets Reports'!A1973="V.No.",'R.M Billets Reports'!B1973,IF(ROW()=2,"",C1973))</f>
      </c>
      <c r="D1974">
        <f>IF('R.M Billets Reports'!A1973&lt;&gt;"",'R.M Billets Reports'!A1973,IF(ROW()=2,"",D1973))</f>
      </c>
      <c r="E1974">
        <f>IF('R.M Billets Reports'!B1973="","",TRIM('R.M Billets Reports'!B1973))</f>
      </c>
      <c r="F1974">
        <f>'R.M Billets Reports'!C1973</f>
      </c>
      <c r="G1974">
        <f>'R.M Billets Reports'!D1973</f>
      </c>
      <c r="H1974">
        <f>'R.M Billets Reports'!E1973</f>
      </c>
      <c r="I1974">
        <f>'R.M Billets Reports'!F1973</f>
      </c>
      <c r="J1974">
        <f>'R.M Billets Reports'!G1973</f>
      </c>
      <c r="K1974">
        <f>'R.M Billets Reports'!H1973</f>
      </c>
      <c r="L1974">
        <f>IF('R.M Billets Reports'!I1973="","",'R.M Billets Reports'!I1973)</f>
      </c>
      <c r="M1974">
        <f t="shared" si="60"/>
      </c>
      <c r="N1974">
        <f>IF('R.M Billets Reports'!J1973="","",'R.M Billets Reports'!J1973)</f>
      </c>
      <c r="O1974">
        <f t="shared" si="61"/>
      </c>
      <c r="P1974">
        <f>IF('R.M Billets Reports'!A1973="SIZE",'R.M Billets Reports'!B1973,P1973)</f>
      </c>
    </row>
    <row r="1975" spans="1:16" x14ac:dyDescent="0.25">
      <c r="A1975">
        <f>IF(OR('R.M Billets Reports'!A1974="Date-",'R.M Billets Reports'!A1974="Date:-"),IF(IF(IF(ISNUMBER(SEARCH("Party Name:-",'R.M Billets Reports'!D1974)),TRIM('R.M Billets Reports'!F1974),IF(ISNUMBER(SEARCH("Party Name-",'R.M Billets Reports'!D1974)),TRIM(MID('R.M Billets Reports'!D1974,SEARCH("-",'R.M Billets Reports'!D1974)+1,200)),""))&lt;&gt;"",IF(ISNUMBER(SEARCH("Party Name:-",'R.M Billets Reports'!D1974)),TRIM('R.M Billets Reports'!F1974),IF(ISNUMBER(SEARCH("Party Name-",'R.M Billets Reports'!D1974)),TRIM(MID('R.M Billets Reports'!D1974,SEARCH("-",'R.M Billets Reports'!D1974)+1,200)),"")),IF(ISNUMBER(SEARCH("Party Name:-",'R.M Billets Reports'!D1975)),TRIM('R.M Billets Reports'!F1975),IF(ISNUMBER(SEARCH("Party Name-",'R.M Billets Reports'!D1975)),TRIM(MID('R.M Billets Reports'!D1975,SEARCH("-",'R.M Billets Reports'!D1975)+1,200)),"")))="VRKP ISPAT PVT LTD","VRKP",IF(IF(IF(ISNUMBER(SEARCH("Party Name:-",'R.M Billets Reports'!D1974)),TRIM('R.M Billets Reports'!F1974),IF(ISNUMBER(SEARCH("Party Name-",'R.M Billets Reports'!D1974)),TRIM(MID('R.M Billets Reports'!D1974,SEARCH("-",'R.M Billets Reports'!D1974)+1,200)),""))&lt;&gt;"",IF(ISNUMBER(SEARCH("Party Name:-",'R.M Billets Reports'!D1974)),TRIM('R.M Billets Reports'!F1974),IF(ISNUMBER(SEARCH("Party Name-",'R.M Billets Reports'!D1974)),TRIM(MID('R.M Billets Reports'!D1974,SEARCH("-",'R.M Billets Reports'!D1974)+1,200)),"")),IF(ISNUMBER(SEARCH("Party Name:-",'R.M Billets Reports'!D1975)),TRIM('R.M Billets Reports'!F1975),IF(ISNUMBER(SEARCH("Party Name-",'R.M Billets Reports'!D1975)),TRIM(MID('R.M Billets Reports'!D1975,SEARCH("-",'R.M Billets Reports'!D1975)+1,200)),"")))="SHRI RADHE","SHREE RADHE",IF(IF(IF(ISNUMBER(SEARCH("Party Name:-",'R.M Billets Reports'!D1974)),TRIM('R.M Billets Reports'!F1974),IF(ISNUMBER(SEARCH("Party Name-",'R.M Billets Reports'!D1974)),TRIM(MID('R.M Billets Reports'!D1974,SEARCH("-",'R.M Billets Reports'!D1974)+1,200)),""))&lt;&gt;"",IF(ISNUMBER(SEARCH("Party Name:-",'R.M Billets Reports'!D1974)),TRIM('R.M Billets Reports'!F1974),IF(ISNUMBER(SEARCH("Party Name-",'R.M Billets Reports'!D1974)),TRIM(MID('R.M Billets Reports'!D1974,SEARCH("-",'R.M Billets Reports'!D1974)+1,200)),"")),IF(ISNUMBER(SEARCH("Party Name:-",'R.M Billets Reports'!D1975)),TRIM('R.M Billets Reports'!F1975),IF(ISNUMBER(SEARCH("Party Name-",'R.M Billets Reports'!D1975)),TRIM(MID('R.M Billets Reports'!D1975,SEARCH("-",'R.M Billets Reports'!D1975)+1,200)),"")))="SHREE RADHE SHAKTI SPONGE AND POWER PVT. LTD.","SHREE RADHE",IF(IF(ISNUMBER(SEARCH("Party Name:-",'R.M Billets Reports'!D1974)),TRIM('R.M Billets Reports'!F1974),IF(ISNUMBER(SEARCH("Party Name-",'R.M Billets Reports'!D1974)),TRIM(MID('R.M Billets Reports'!D1974,SEARCH("-",'R.M Billets Reports'!D1974)+1,200)),""))&lt;&gt;"",IF(ISNUMBER(SEARCH("Party Name:-",'R.M Billets Reports'!D1974)),TRIM('R.M Billets Reports'!F1974),IF(ISNUMBER(SEARCH("Party Name-",'R.M Billets Reports'!D1974)),TRIM(MID('R.M Billets Reports'!D1974,SEARCH("-",'R.M Billets Reports'!D1974)+1,200)),"")),IF(ISNUMBER(SEARCH("Party Name:-",'R.M Billets Reports'!D1975)),TRIM('R.M Billets Reports'!F1975),IF(ISNUMBER(SEARCH("Party Name-",'R.M Billets Reports'!D1975)),TRIM(MID('R.M Billets Reports'!D1975,SEARCH("-",'R.M Billets Reports'!D1975)+1,200)),"")))))),IF(ROW()=2,"",A1974))</f>
      </c>
      <c r="B1975">
        <f>IF(OR('R.M Billets Reports'!A1974="Date-",'R.M Billets Reports'!A1974="Date:-"),'R.M Billets Reports'!B1974,IF(ROW()=2,"",B1974))</f>
      </c>
      <c r="C1975">
        <f>IF('R.M Billets Reports'!A1974="V.No.",'R.M Billets Reports'!B1974,IF(ROW()=2,"",C1974))</f>
      </c>
      <c r="D1975">
        <f>IF('R.M Billets Reports'!A1974&lt;&gt;"",'R.M Billets Reports'!A1974,IF(ROW()=2,"",D1974))</f>
      </c>
      <c r="E1975">
        <f>IF('R.M Billets Reports'!B1974="","",TRIM('R.M Billets Reports'!B1974))</f>
      </c>
      <c r="F1975">
        <f>'R.M Billets Reports'!C1974</f>
      </c>
      <c r="G1975">
        <f>'R.M Billets Reports'!D1974</f>
      </c>
      <c r="H1975">
        <f>'R.M Billets Reports'!E1974</f>
      </c>
      <c r="I1975">
        <f>'R.M Billets Reports'!F1974</f>
      </c>
      <c r="J1975">
        <f>'R.M Billets Reports'!G1974</f>
      </c>
      <c r="K1975">
        <f>'R.M Billets Reports'!H1974</f>
      </c>
      <c r="L1975">
        <f>IF('R.M Billets Reports'!I1974="","",'R.M Billets Reports'!I1974)</f>
      </c>
      <c r="M1975">
        <f t="shared" si="60"/>
      </c>
      <c r="N1975">
        <f>IF('R.M Billets Reports'!J1974="","",'R.M Billets Reports'!J1974)</f>
      </c>
      <c r="O1975">
        <f t="shared" si="61"/>
      </c>
      <c r="P1975">
        <f>IF('R.M Billets Reports'!A1974="SIZE",'R.M Billets Reports'!B1974,P1974)</f>
      </c>
    </row>
    <row r="1976" spans="1:16" x14ac:dyDescent="0.25">
      <c r="A1976">
        <f>IF(OR('R.M Billets Reports'!A1975="Date-",'R.M Billets Reports'!A1975="Date:-"),IF(IF(IF(ISNUMBER(SEARCH("Party Name:-",'R.M Billets Reports'!D1975)),TRIM('R.M Billets Reports'!F1975),IF(ISNUMBER(SEARCH("Party Name-",'R.M Billets Reports'!D1975)),TRIM(MID('R.M Billets Reports'!D1975,SEARCH("-",'R.M Billets Reports'!D1975)+1,200)),""))&lt;&gt;"",IF(ISNUMBER(SEARCH("Party Name:-",'R.M Billets Reports'!D1975)),TRIM('R.M Billets Reports'!F1975),IF(ISNUMBER(SEARCH("Party Name-",'R.M Billets Reports'!D1975)),TRIM(MID('R.M Billets Reports'!D1975,SEARCH("-",'R.M Billets Reports'!D1975)+1,200)),"")),IF(ISNUMBER(SEARCH("Party Name:-",'R.M Billets Reports'!D1976)),TRIM('R.M Billets Reports'!F1976),IF(ISNUMBER(SEARCH("Party Name-",'R.M Billets Reports'!D1976)),TRIM(MID('R.M Billets Reports'!D1976,SEARCH("-",'R.M Billets Reports'!D1976)+1,200)),"")))="VRKP ISPAT PVT LTD","VRKP",IF(IF(IF(ISNUMBER(SEARCH("Party Name:-",'R.M Billets Reports'!D1975)),TRIM('R.M Billets Reports'!F1975),IF(ISNUMBER(SEARCH("Party Name-",'R.M Billets Reports'!D1975)),TRIM(MID('R.M Billets Reports'!D1975,SEARCH("-",'R.M Billets Reports'!D1975)+1,200)),""))&lt;&gt;"",IF(ISNUMBER(SEARCH("Party Name:-",'R.M Billets Reports'!D1975)),TRIM('R.M Billets Reports'!F1975),IF(ISNUMBER(SEARCH("Party Name-",'R.M Billets Reports'!D1975)),TRIM(MID('R.M Billets Reports'!D1975,SEARCH("-",'R.M Billets Reports'!D1975)+1,200)),"")),IF(ISNUMBER(SEARCH("Party Name:-",'R.M Billets Reports'!D1976)),TRIM('R.M Billets Reports'!F1976),IF(ISNUMBER(SEARCH("Party Name-",'R.M Billets Reports'!D1976)),TRIM(MID('R.M Billets Reports'!D1976,SEARCH("-",'R.M Billets Reports'!D1976)+1,200)),"")))="SHRI RADHE","SHREE RADHE",IF(IF(IF(ISNUMBER(SEARCH("Party Name:-",'R.M Billets Reports'!D1975)),TRIM('R.M Billets Reports'!F1975),IF(ISNUMBER(SEARCH("Party Name-",'R.M Billets Reports'!D1975)),TRIM(MID('R.M Billets Reports'!D1975,SEARCH("-",'R.M Billets Reports'!D1975)+1,200)),""))&lt;&gt;"",IF(ISNUMBER(SEARCH("Party Name:-",'R.M Billets Reports'!D1975)),TRIM('R.M Billets Reports'!F1975),IF(ISNUMBER(SEARCH("Party Name-",'R.M Billets Reports'!D1975)),TRIM(MID('R.M Billets Reports'!D1975,SEARCH("-",'R.M Billets Reports'!D1975)+1,200)),"")),IF(ISNUMBER(SEARCH("Party Name:-",'R.M Billets Reports'!D1976)),TRIM('R.M Billets Reports'!F1976),IF(ISNUMBER(SEARCH("Party Name-",'R.M Billets Reports'!D1976)),TRIM(MID('R.M Billets Reports'!D1976,SEARCH("-",'R.M Billets Reports'!D1976)+1,200)),"")))="SHREE RADHE SHAKTI SPONGE AND POWER PVT. LTD.","SHREE RADHE",IF(IF(ISNUMBER(SEARCH("Party Name:-",'R.M Billets Reports'!D1975)),TRIM('R.M Billets Reports'!F1975),IF(ISNUMBER(SEARCH("Party Name-",'R.M Billets Reports'!D1975)),TRIM(MID('R.M Billets Reports'!D1975,SEARCH("-",'R.M Billets Reports'!D1975)+1,200)),""))&lt;&gt;"",IF(ISNUMBER(SEARCH("Party Name:-",'R.M Billets Reports'!D1975)),TRIM('R.M Billets Reports'!F1975),IF(ISNUMBER(SEARCH("Party Name-",'R.M Billets Reports'!D1975)),TRIM(MID('R.M Billets Reports'!D1975,SEARCH("-",'R.M Billets Reports'!D1975)+1,200)),"")),IF(ISNUMBER(SEARCH("Party Name:-",'R.M Billets Reports'!D1976)),TRIM('R.M Billets Reports'!F1976),IF(ISNUMBER(SEARCH("Party Name-",'R.M Billets Reports'!D1976)),TRIM(MID('R.M Billets Reports'!D1976,SEARCH("-",'R.M Billets Reports'!D1976)+1,200)),"")))))),IF(ROW()=2,"",A1975))</f>
      </c>
      <c r="B1976">
        <f>IF(OR('R.M Billets Reports'!A1975="Date-",'R.M Billets Reports'!A1975="Date:-"),'R.M Billets Reports'!B1975,IF(ROW()=2,"",B1975))</f>
      </c>
      <c r="C1976">
        <f>IF('R.M Billets Reports'!A1975="V.No.",'R.M Billets Reports'!B1975,IF(ROW()=2,"",C1975))</f>
      </c>
      <c r="D1976">
        <f>IF('R.M Billets Reports'!A1975&lt;&gt;"",'R.M Billets Reports'!A1975,IF(ROW()=2,"",D1975))</f>
      </c>
      <c r="E1976">
        <f>IF('R.M Billets Reports'!B1975="","",TRIM('R.M Billets Reports'!B1975))</f>
      </c>
      <c r="F1976">
        <f>'R.M Billets Reports'!C1975</f>
      </c>
      <c r="G1976">
        <f>'R.M Billets Reports'!D1975</f>
      </c>
      <c r="H1976">
        <f>'R.M Billets Reports'!E1975</f>
      </c>
      <c r="I1976">
        <f>'R.M Billets Reports'!F1975</f>
      </c>
      <c r="J1976">
        <f>'R.M Billets Reports'!G1975</f>
      </c>
      <c r="K1976">
        <f>'R.M Billets Reports'!H1975</f>
      </c>
      <c r="L1976">
        <f>IF('R.M Billets Reports'!I1975="","",'R.M Billets Reports'!I1975)</f>
      </c>
      <c r="M1976">
        <f t="shared" si="60"/>
      </c>
      <c r="N1976">
        <f>IF('R.M Billets Reports'!J1975="","",'R.M Billets Reports'!J1975)</f>
      </c>
      <c r="O1976">
        <f t="shared" si="61"/>
      </c>
      <c r="P1976">
        <f>IF('R.M Billets Reports'!A1975="SIZE",'R.M Billets Reports'!B1975,P1975)</f>
      </c>
    </row>
    <row r="1977" spans="1:16" x14ac:dyDescent="0.25">
      <c r="A1977">
        <f>IF(OR('R.M Billets Reports'!A1976="Date-",'R.M Billets Reports'!A1976="Date:-"),IF(IF(IF(ISNUMBER(SEARCH("Party Name:-",'R.M Billets Reports'!D1976)),TRIM('R.M Billets Reports'!F1976),IF(ISNUMBER(SEARCH("Party Name-",'R.M Billets Reports'!D1976)),TRIM(MID('R.M Billets Reports'!D1976,SEARCH("-",'R.M Billets Reports'!D1976)+1,200)),""))&lt;&gt;"",IF(ISNUMBER(SEARCH("Party Name:-",'R.M Billets Reports'!D1976)),TRIM('R.M Billets Reports'!F1976),IF(ISNUMBER(SEARCH("Party Name-",'R.M Billets Reports'!D1976)),TRIM(MID('R.M Billets Reports'!D1976,SEARCH("-",'R.M Billets Reports'!D1976)+1,200)),"")),IF(ISNUMBER(SEARCH("Party Name:-",'R.M Billets Reports'!D1977)),TRIM('R.M Billets Reports'!F1977),IF(ISNUMBER(SEARCH("Party Name-",'R.M Billets Reports'!D1977)),TRIM(MID('R.M Billets Reports'!D1977,SEARCH("-",'R.M Billets Reports'!D1977)+1,200)),"")))="VRKP ISPAT PVT LTD","VRKP",IF(IF(IF(ISNUMBER(SEARCH("Party Name:-",'R.M Billets Reports'!D1976)),TRIM('R.M Billets Reports'!F1976),IF(ISNUMBER(SEARCH("Party Name-",'R.M Billets Reports'!D1976)),TRIM(MID('R.M Billets Reports'!D1976,SEARCH("-",'R.M Billets Reports'!D1976)+1,200)),""))&lt;&gt;"",IF(ISNUMBER(SEARCH("Party Name:-",'R.M Billets Reports'!D1976)),TRIM('R.M Billets Reports'!F1976),IF(ISNUMBER(SEARCH("Party Name-",'R.M Billets Reports'!D1976)),TRIM(MID('R.M Billets Reports'!D1976,SEARCH("-",'R.M Billets Reports'!D1976)+1,200)),"")),IF(ISNUMBER(SEARCH("Party Name:-",'R.M Billets Reports'!D1977)),TRIM('R.M Billets Reports'!F1977),IF(ISNUMBER(SEARCH("Party Name-",'R.M Billets Reports'!D1977)),TRIM(MID('R.M Billets Reports'!D1977,SEARCH("-",'R.M Billets Reports'!D1977)+1,200)),"")))="SHRI RADHE","SHREE RADHE",IF(IF(IF(ISNUMBER(SEARCH("Party Name:-",'R.M Billets Reports'!D1976)),TRIM('R.M Billets Reports'!F1976),IF(ISNUMBER(SEARCH("Party Name-",'R.M Billets Reports'!D1976)),TRIM(MID('R.M Billets Reports'!D1976,SEARCH("-",'R.M Billets Reports'!D1976)+1,200)),""))&lt;&gt;"",IF(ISNUMBER(SEARCH("Party Name:-",'R.M Billets Reports'!D1976)),TRIM('R.M Billets Reports'!F1976),IF(ISNUMBER(SEARCH("Party Name-",'R.M Billets Reports'!D1976)),TRIM(MID('R.M Billets Reports'!D1976,SEARCH("-",'R.M Billets Reports'!D1976)+1,200)),"")),IF(ISNUMBER(SEARCH("Party Name:-",'R.M Billets Reports'!D1977)),TRIM('R.M Billets Reports'!F1977),IF(ISNUMBER(SEARCH("Party Name-",'R.M Billets Reports'!D1977)),TRIM(MID('R.M Billets Reports'!D1977,SEARCH("-",'R.M Billets Reports'!D1977)+1,200)),"")))="SHREE RADHE SHAKTI SPONGE AND POWER PVT. LTD.","SHREE RADHE",IF(IF(ISNUMBER(SEARCH("Party Name:-",'R.M Billets Reports'!D1976)),TRIM('R.M Billets Reports'!F1976),IF(ISNUMBER(SEARCH("Party Name-",'R.M Billets Reports'!D1976)),TRIM(MID('R.M Billets Reports'!D1976,SEARCH("-",'R.M Billets Reports'!D1976)+1,200)),""))&lt;&gt;"",IF(ISNUMBER(SEARCH("Party Name:-",'R.M Billets Reports'!D1976)),TRIM('R.M Billets Reports'!F1976),IF(ISNUMBER(SEARCH("Party Name-",'R.M Billets Reports'!D1976)),TRIM(MID('R.M Billets Reports'!D1976,SEARCH("-",'R.M Billets Reports'!D1976)+1,200)),"")),IF(ISNUMBER(SEARCH("Party Name:-",'R.M Billets Reports'!D1977)),TRIM('R.M Billets Reports'!F1977),IF(ISNUMBER(SEARCH("Party Name-",'R.M Billets Reports'!D1977)),TRIM(MID('R.M Billets Reports'!D1977,SEARCH("-",'R.M Billets Reports'!D1977)+1,200)),"")))))),IF(ROW()=2,"",A1976))</f>
      </c>
      <c r="B1977">
        <f>IF(OR('R.M Billets Reports'!A1976="Date-",'R.M Billets Reports'!A1976="Date:-"),'R.M Billets Reports'!B1976,IF(ROW()=2,"",B1976))</f>
      </c>
      <c r="C1977">
        <f>IF('R.M Billets Reports'!A1976="V.No.",'R.M Billets Reports'!B1976,IF(ROW()=2,"",C1976))</f>
      </c>
      <c r="D1977">
        <f>IF('R.M Billets Reports'!A1976&lt;&gt;"",'R.M Billets Reports'!A1976,IF(ROW()=2,"",D1976))</f>
      </c>
      <c r="E1977">
        <f>IF('R.M Billets Reports'!B1976="","",TRIM('R.M Billets Reports'!B1976))</f>
      </c>
      <c r="F1977">
        <f>'R.M Billets Reports'!C1976</f>
      </c>
      <c r="G1977">
        <f>'R.M Billets Reports'!D1976</f>
      </c>
      <c r="H1977">
        <f>'R.M Billets Reports'!E1976</f>
      </c>
      <c r="I1977">
        <f>'R.M Billets Reports'!F1976</f>
      </c>
      <c r="J1977">
        <f>'R.M Billets Reports'!G1976</f>
      </c>
      <c r="K1977">
        <f>'R.M Billets Reports'!H1976</f>
      </c>
      <c r="L1977">
        <f>IF('R.M Billets Reports'!I1976="","",'R.M Billets Reports'!I1976)</f>
      </c>
      <c r="M1977">
        <f t="shared" si="60"/>
      </c>
      <c r="N1977">
        <f>IF('R.M Billets Reports'!J1976="","",'R.M Billets Reports'!J1976)</f>
      </c>
      <c r="O1977">
        <f t="shared" si="61"/>
      </c>
      <c r="P1977">
        <f>IF('R.M Billets Reports'!A1976="SIZE",'R.M Billets Reports'!B1976,P1976)</f>
      </c>
    </row>
    <row r="1978" spans="1:16" x14ac:dyDescent="0.25">
      <c r="A1978">
        <f>IF(OR('R.M Billets Reports'!A1977="Date-",'R.M Billets Reports'!A1977="Date:-"),IF(IF(IF(ISNUMBER(SEARCH("Party Name:-",'R.M Billets Reports'!D1977)),TRIM('R.M Billets Reports'!F1977),IF(ISNUMBER(SEARCH("Party Name-",'R.M Billets Reports'!D1977)),TRIM(MID('R.M Billets Reports'!D1977,SEARCH("-",'R.M Billets Reports'!D1977)+1,200)),""))&lt;&gt;"",IF(ISNUMBER(SEARCH("Party Name:-",'R.M Billets Reports'!D1977)),TRIM('R.M Billets Reports'!F1977),IF(ISNUMBER(SEARCH("Party Name-",'R.M Billets Reports'!D1977)),TRIM(MID('R.M Billets Reports'!D1977,SEARCH("-",'R.M Billets Reports'!D1977)+1,200)),"")),IF(ISNUMBER(SEARCH("Party Name:-",'R.M Billets Reports'!D1978)),TRIM('R.M Billets Reports'!F1978),IF(ISNUMBER(SEARCH("Party Name-",'R.M Billets Reports'!D1978)),TRIM(MID('R.M Billets Reports'!D1978,SEARCH("-",'R.M Billets Reports'!D1978)+1,200)),"")))="VRKP ISPAT PVT LTD","VRKP",IF(IF(IF(ISNUMBER(SEARCH("Party Name:-",'R.M Billets Reports'!D1977)),TRIM('R.M Billets Reports'!F1977),IF(ISNUMBER(SEARCH("Party Name-",'R.M Billets Reports'!D1977)),TRIM(MID('R.M Billets Reports'!D1977,SEARCH("-",'R.M Billets Reports'!D1977)+1,200)),""))&lt;&gt;"",IF(ISNUMBER(SEARCH("Party Name:-",'R.M Billets Reports'!D1977)),TRIM('R.M Billets Reports'!F1977),IF(ISNUMBER(SEARCH("Party Name-",'R.M Billets Reports'!D1977)),TRIM(MID('R.M Billets Reports'!D1977,SEARCH("-",'R.M Billets Reports'!D1977)+1,200)),"")),IF(ISNUMBER(SEARCH("Party Name:-",'R.M Billets Reports'!D1978)),TRIM('R.M Billets Reports'!F1978),IF(ISNUMBER(SEARCH("Party Name-",'R.M Billets Reports'!D1978)),TRIM(MID('R.M Billets Reports'!D1978,SEARCH("-",'R.M Billets Reports'!D1978)+1,200)),"")))="SHRI RADHE","SHREE RADHE",IF(IF(IF(ISNUMBER(SEARCH("Party Name:-",'R.M Billets Reports'!D1977)),TRIM('R.M Billets Reports'!F1977),IF(ISNUMBER(SEARCH("Party Name-",'R.M Billets Reports'!D1977)),TRIM(MID('R.M Billets Reports'!D1977,SEARCH("-",'R.M Billets Reports'!D1977)+1,200)),""))&lt;&gt;"",IF(ISNUMBER(SEARCH("Party Name:-",'R.M Billets Reports'!D1977)),TRIM('R.M Billets Reports'!F1977),IF(ISNUMBER(SEARCH("Party Name-",'R.M Billets Reports'!D1977)),TRIM(MID('R.M Billets Reports'!D1977,SEARCH("-",'R.M Billets Reports'!D1977)+1,200)),"")),IF(ISNUMBER(SEARCH("Party Name:-",'R.M Billets Reports'!D1978)),TRIM('R.M Billets Reports'!F1978),IF(ISNUMBER(SEARCH("Party Name-",'R.M Billets Reports'!D1978)),TRIM(MID('R.M Billets Reports'!D1978,SEARCH("-",'R.M Billets Reports'!D1978)+1,200)),"")))="SHREE RADHE SHAKTI SPONGE AND POWER PVT. LTD.","SHREE RADHE",IF(IF(ISNUMBER(SEARCH("Party Name:-",'R.M Billets Reports'!D1977)),TRIM('R.M Billets Reports'!F1977),IF(ISNUMBER(SEARCH("Party Name-",'R.M Billets Reports'!D1977)),TRIM(MID('R.M Billets Reports'!D1977,SEARCH("-",'R.M Billets Reports'!D1977)+1,200)),""))&lt;&gt;"",IF(ISNUMBER(SEARCH("Party Name:-",'R.M Billets Reports'!D1977)),TRIM('R.M Billets Reports'!F1977),IF(ISNUMBER(SEARCH("Party Name-",'R.M Billets Reports'!D1977)),TRIM(MID('R.M Billets Reports'!D1977,SEARCH("-",'R.M Billets Reports'!D1977)+1,200)),"")),IF(ISNUMBER(SEARCH("Party Name:-",'R.M Billets Reports'!D1978)),TRIM('R.M Billets Reports'!F1978),IF(ISNUMBER(SEARCH("Party Name-",'R.M Billets Reports'!D1978)),TRIM(MID('R.M Billets Reports'!D1978,SEARCH("-",'R.M Billets Reports'!D1978)+1,200)),"")))))),IF(ROW()=2,"",A1977))</f>
      </c>
      <c r="B1978">
        <f>IF(OR('R.M Billets Reports'!A1977="Date-",'R.M Billets Reports'!A1977="Date:-"),'R.M Billets Reports'!B1977,IF(ROW()=2,"",B1977))</f>
      </c>
      <c r="C1978">
        <f>IF('R.M Billets Reports'!A1977="V.No.",'R.M Billets Reports'!B1977,IF(ROW()=2,"",C1977))</f>
      </c>
      <c r="D1978">
        <f>IF('R.M Billets Reports'!A1977&lt;&gt;"",'R.M Billets Reports'!A1977,IF(ROW()=2,"",D1977))</f>
      </c>
      <c r="E1978">
        <f>IF('R.M Billets Reports'!B1977="","",TRIM('R.M Billets Reports'!B1977))</f>
      </c>
      <c r="F1978">
        <f>'R.M Billets Reports'!C1977</f>
      </c>
      <c r="G1978">
        <f>'R.M Billets Reports'!D1977</f>
      </c>
      <c r="H1978">
        <f>'R.M Billets Reports'!E1977</f>
      </c>
      <c r="I1978">
        <f>'R.M Billets Reports'!F1977</f>
      </c>
      <c r="J1978">
        <f>'R.M Billets Reports'!G1977</f>
      </c>
      <c r="K1978">
        <f>'R.M Billets Reports'!H1977</f>
      </c>
      <c r="L1978">
        <f>IF('R.M Billets Reports'!I1977="","",'R.M Billets Reports'!I1977)</f>
      </c>
      <c r="M1978">
        <f t="shared" si="60"/>
      </c>
      <c r="N1978">
        <f>IF('R.M Billets Reports'!J1977="","",'R.M Billets Reports'!J1977)</f>
      </c>
      <c r="O1978">
        <f t="shared" si="61"/>
      </c>
      <c r="P1978">
        <f>IF('R.M Billets Reports'!A1977="SIZE",'R.M Billets Reports'!B1977,P1977)</f>
      </c>
    </row>
    <row r="1979" spans="1:16" x14ac:dyDescent="0.25">
      <c r="A1979">
        <f>IF(OR('R.M Billets Reports'!A1978="Date-",'R.M Billets Reports'!A1978="Date:-"),IF(IF(IF(ISNUMBER(SEARCH("Party Name:-",'R.M Billets Reports'!D1978)),TRIM('R.M Billets Reports'!F1978),IF(ISNUMBER(SEARCH("Party Name-",'R.M Billets Reports'!D1978)),TRIM(MID('R.M Billets Reports'!D1978,SEARCH("-",'R.M Billets Reports'!D1978)+1,200)),""))&lt;&gt;"",IF(ISNUMBER(SEARCH("Party Name:-",'R.M Billets Reports'!D1978)),TRIM('R.M Billets Reports'!F1978),IF(ISNUMBER(SEARCH("Party Name-",'R.M Billets Reports'!D1978)),TRIM(MID('R.M Billets Reports'!D1978,SEARCH("-",'R.M Billets Reports'!D1978)+1,200)),"")),IF(ISNUMBER(SEARCH("Party Name:-",'R.M Billets Reports'!D1979)),TRIM('R.M Billets Reports'!F1979),IF(ISNUMBER(SEARCH("Party Name-",'R.M Billets Reports'!D1979)),TRIM(MID('R.M Billets Reports'!D1979,SEARCH("-",'R.M Billets Reports'!D1979)+1,200)),"")))="VRKP ISPAT PVT LTD","VRKP",IF(IF(IF(ISNUMBER(SEARCH("Party Name:-",'R.M Billets Reports'!D1978)),TRIM('R.M Billets Reports'!F1978),IF(ISNUMBER(SEARCH("Party Name-",'R.M Billets Reports'!D1978)),TRIM(MID('R.M Billets Reports'!D1978,SEARCH("-",'R.M Billets Reports'!D1978)+1,200)),""))&lt;&gt;"",IF(ISNUMBER(SEARCH("Party Name:-",'R.M Billets Reports'!D1978)),TRIM('R.M Billets Reports'!F1978),IF(ISNUMBER(SEARCH("Party Name-",'R.M Billets Reports'!D1978)),TRIM(MID('R.M Billets Reports'!D1978,SEARCH("-",'R.M Billets Reports'!D1978)+1,200)),"")),IF(ISNUMBER(SEARCH("Party Name:-",'R.M Billets Reports'!D1979)),TRIM('R.M Billets Reports'!F1979),IF(ISNUMBER(SEARCH("Party Name-",'R.M Billets Reports'!D1979)),TRIM(MID('R.M Billets Reports'!D1979,SEARCH("-",'R.M Billets Reports'!D1979)+1,200)),"")))="SHRI RADHE","SHREE RADHE",IF(IF(IF(ISNUMBER(SEARCH("Party Name:-",'R.M Billets Reports'!D1978)),TRIM('R.M Billets Reports'!F1978),IF(ISNUMBER(SEARCH("Party Name-",'R.M Billets Reports'!D1978)),TRIM(MID('R.M Billets Reports'!D1978,SEARCH("-",'R.M Billets Reports'!D1978)+1,200)),""))&lt;&gt;"",IF(ISNUMBER(SEARCH("Party Name:-",'R.M Billets Reports'!D1978)),TRIM('R.M Billets Reports'!F1978),IF(ISNUMBER(SEARCH("Party Name-",'R.M Billets Reports'!D1978)),TRIM(MID('R.M Billets Reports'!D1978,SEARCH("-",'R.M Billets Reports'!D1978)+1,200)),"")),IF(ISNUMBER(SEARCH("Party Name:-",'R.M Billets Reports'!D1979)),TRIM('R.M Billets Reports'!F1979),IF(ISNUMBER(SEARCH("Party Name-",'R.M Billets Reports'!D1979)),TRIM(MID('R.M Billets Reports'!D1979,SEARCH("-",'R.M Billets Reports'!D1979)+1,200)),"")))="SHREE RADHE SHAKTI SPONGE AND POWER PVT. LTD.","SHREE RADHE",IF(IF(ISNUMBER(SEARCH("Party Name:-",'R.M Billets Reports'!D1978)),TRIM('R.M Billets Reports'!F1978),IF(ISNUMBER(SEARCH("Party Name-",'R.M Billets Reports'!D1978)),TRIM(MID('R.M Billets Reports'!D1978,SEARCH("-",'R.M Billets Reports'!D1978)+1,200)),""))&lt;&gt;"",IF(ISNUMBER(SEARCH("Party Name:-",'R.M Billets Reports'!D1978)),TRIM('R.M Billets Reports'!F1978),IF(ISNUMBER(SEARCH("Party Name-",'R.M Billets Reports'!D1978)),TRIM(MID('R.M Billets Reports'!D1978,SEARCH("-",'R.M Billets Reports'!D1978)+1,200)),"")),IF(ISNUMBER(SEARCH("Party Name:-",'R.M Billets Reports'!D1979)),TRIM('R.M Billets Reports'!F1979),IF(ISNUMBER(SEARCH("Party Name-",'R.M Billets Reports'!D1979)),TRIM(MID('R.M Billets Reports'!D1979,SEARCH("-",'R.M Billets Reports'!D1979)+1,200)),"")))))),IF(ROW()=2,"",A1978))</f>
      </c>
      <c r="B1979">
        <f>IF(OR('R.M Billets Reports'!A1978="Date-",'R.M Billets Reports'!A1978="Date:-"),'R.M Billets Reports'!B1978,IF(ROW()=2,"",B1978))</f>
      </c>
      <c r="C1979">
        <f>IF('R.M Billets Reports'!A1978="V.No.",'R.M Billets Reports'!B1978,IF(ROW()=2,"",C1978))</f>
      </c>
      <c r="D1979">
        <f>IF('R.M Billets Reports'!A1978&lt;&gt;"",'R.M Billets Reports'!A1978,IF(ROW()=2,"",D1978))</f>
      </c>
      <c r="E1979">
        <f>IF('R.M Billets Reports'!B1978="","",TRIM('R.M Billets Reports'!B1978))</f>
      </c>
      <c r="F1979">
        <f>'R.M Billets Reports'!C1978</f>
      </c>
      <c r="G1979">
        <f>'R.M Billets Reports'!D1978</f>
      </c>
      <c r="H1979">
        <f>'R.M Billets Reports'!E1978</f>
      </c>
      <c r="I1979">
        <f>'R.M Billets Reports'!F1978</f>
      </c>
      <c r="J1979">
        <f>'R.M Billets Reports'!G1978</f>
      </c>
      <c r="K1979">
        <f>'R.M Billets Reports'!H1978</f>
      </c>
      <c r="L1979">
        <f>IF('R.M Billets Reports'!I1978="","",'R.M Billets Reports'!I1978)</f>
      </c>
      <c r="M1979">
        <f t="shared" si="60"/>
      </c>
      <c r="N1979">
        <f>IF('R.M Billets Reports'!J1978="","",'R.M Billets Reports'!J1978)</f>
      </c>
      <c r="O1979">
        <f t="shared" si="61"/>
      </c>
      <c r="P1979">
        <f>IF('R.M Billets Reports'!A1978="SIZE",'R.M Billets Reports'!B1978,P1978)</f>
      </c>
    </row>
    <row r="1980" spans="1:16" x14ac:dyDescent="0.25">
      <c r="A1980">
        <f>IF(OR('R.M Billets Reports'!A1979="Date-",'R.M Billets Reports'!A1979="Date:-"),IF(IF(IF(ISNUMBER(SEARCH("Party Name:-",'R.M Billets Reports'!D1979)),TRIM('R.M Billets Reports'!F1979),IF(ISNUMBER(SEARCH("Party Name-",'R.M Billets Reports'!D1979)),TRIM(MID('R.M Billets Reports'!D1979,SEARCH("-",'R.M Billets Reports'!D1979)+1,200)),""))&lt;&gt;"",IF(ISNUMBER(SEARCH("Party Name:-",'R.M Billets Reports'!D1979)),TRIM('R.M Billets Reports'!F1979),IF(ISNUMBER(SEARCH("Party Name-",'R.M Billets Reports'!D1979)),TRIM(MID('R.M Billets Reports'!D1979,SEARCH("-",'R.M Billets Reports'!D1979)+1,200)),"")),IF(ISNUMBER(SEARCH("Party Name:-",'R.M Billets Reports'!D1980)),TRIM('R.M Billets Reports'!F1980),IF(ISNUMBER(SEARCH("Party Name-",'R.M Billets Reports'!D1980)),TRIM(MID('R.M Billets Reports'!D1980,SEARCH("-",'R.M Billets Reports'!D1980)+1,200)),"")))="VRKP ISPAT PVT LTD","VRKP",IF(IF(IF(ISNUMBER(SEARCH("Party Name:-",'R.M Billets Reports'!D1979)),TRIM('R.M Billets Reports'!F1979),IF(ISNUMBER(SEARCH("Party Name-",'R.M Billets Reports'!D1979)),TRIM(MID('R.M Billets Reports'!D1979,SEARCH("-",'R.M Billets Reports'!D1979)+1,200)),""))&lt;&gt;"",IF(ISNUMBER(SEARCH("Party Name:-",'R.M Billets Reports'!D1979)),TRIM('R.M Billets Reports'!F1979),IF(ISNUMBER(SEARCH("Party Name-",'R.M Billets Reports'!D1979)),TRIM(MID('R.M Billets Reports'!D1979,SEARCH("-",'R.M Billets Reports'!D1979)+1,200)),"")),IF(ISNUMBER(SEARCH("Party Name:-",'R.M Billets Reports'!D1980)),TRIM('R.M Billets Reports'!F1980),IF(ISNUMBER(SEARCH("Party Name-",'R.M Billets Reports'!D1980)),TRIM(MID('R.M Billets Reports'!D1980,SEARCH("-",'R.M Billets Reports'!D1980)+1,200)),"")))="SHRI RADHE","SHREE RADHE",IF(IF(IF(ISNUMBER(SEARCH("Party Name:-",'R.M Billets Reports'!D1979)),TRIM('R.M Billets Reports'!F1979),IF(ISNUMBER(SEARCH("Party Name-",'R.M Billets Reports'!D1979)),TRIM(MID('R.M Billets Reports'!D1979,SEARCH("-",'R.M Billets Reports'!D1979)+1,200)),""))&lt;&gt;"",IF(ISNUMBER(SEARCH("Party Name:-",'R.M Billets Reports'!D1979)),TRIM('R.M Billets Reports'!F1979),IF(ISNUMBER(SEARCH("Party Name-",'R.M Billets Reports'!D1979)),TRIM(MID('R.M Billets Reports'!D1979,SEARCH("-",'R.M Billets Reports'!D1979)+1,200)),"")),IF(ISNUMBER(SEARCH("Party Name:-",'R.M Billets Reports'!D1980)),TRIM('R.M Billets Reports'!F1980),IF(ISNUMBER(SEARCH("Party Name-",'R.M Billets Reports'!D1980)),TRIM(MID('R.M Billets Reports'!D1980,SEARCH("-",'R.M Billets Reports'!D1980)+1,200)),"")))="SHREE RADHE SHAKTI SPONGE AND POWER PVT. LTD.","SHREE RADHE",IF(IF(ISNUMBER(SEARCH("Party Name:-",'R.M Billets Reports'!D1979)),TRIM('R.M Billets Reports'!F1979),IF(ISNUMBER(SEARCH("Party Name-",'R.M Billets Reports'!D1979)),TRIM(MID('R.M Billets Reports'!D1979,SEARCH("-",'R.M Billets Reports'!D1979)+1,200)),""))&lt;&gt;"",IF(ISNUMBER(SEARCH("Party Name:-",'R.M Billets Reports'!D1979)),TRIM('R.M Billets Reports'!F1979),IF(ISNUMBER(SEARCH("Party Name-",'R.M Billets Reports'!D1979)),TRIM(MID('R.M Billets Reports'!D1979,SEARCH("-",'R.M Billets Reports'!D1979)+1,200)),"")),IF(ISNUMBER(SEARCH("Party Name:-",'R.M Billets Reports'!D1980)),TRIM('R.M Billets Reports'!F1980),IF(ISNUMBER(SEARCH("Party Name-",'R.M Billets Reports'!D1980)),TRIM(MID('R.M Billets Reports'!D1980,SEARCH("-",'R.M Billets Reports'!D1980)+1,200)),"")))))),IF(ROW()=2,"",A1979))</f>
      </c>
      <c r="B1980">
        <f>IF(OR('R.M Billets Reports'!A1979="Date-",'R.M Billets Reports'!A1979="Date:-"),'R.M Billets Reports'!B1979,IF(ROW()=2,"",B1979))</f>
      </c>
      <c r="C1980">
        <f>IF('R.M Billets Reports'!A1979="V.No.",'R.M Billets Reports'!B1979,IF(ROW()=2,"",C1979))</f>
      </c>
      <c r="D1980">
        <f>IF('R.M Billets Reports'!A1979&lt;&gt;"",'R.M Billets Reports'!A1979,IF(ROW()=2,"",D1979))</f>
      </c>
      <c r="E1980">
        <f>IF('R.M Billets Reports'!B1979="","",TRIM('R.M Billets Reports'!B1979))</f>
      </c>
      <c r="F1980">
        <f>'R.M Billets Reports'!C1979</f>
      </c>
      <c r="G1980">
        <f>'R.M Billets Reports'!D1979</f>
      </c>
      <c r="H1980">
        <f>'R.M Billets Reports'!E1979</f>
      </c>
      <c r="I1980">
        <f>'R.M Billets Reports'!F1979</f>
      </c>
      <c r="J1980">
        <f>'R.M Billets Reports'!G1979</f>
      </c>
      <c r="K1980">
        <f>'R.M Billets Reports'!H1979</f>
      </c>
      <c r="L1980">
        <f>IF('R.M Billets Reports'!I1979="","",'R.M Billets Reports'!I1979)</f>
      </c>
      <c r="M1980">
        <f t="shared" si="60"/>
      </c>
      <c r="N1980">
        <f>IF('R.M Billets Reports'!J1979="","",'R.M Billets Reports'!J1979)</f>
      </c>
      <c r="O1980">
        <f t="shared" si="61"/>
      </c>
      <c r="P1980">
        <f>IF('R.M Billets Reports'!A1979="SIZE",'R.M Billets Reports'!B1979,P1979)</f>
      </c>
    </row>
    <row r="1981" spans="1:16" x14ac:dyDescent="0.25">
      <c r="A1981">
        <f>IF(OR('R.M Billets Reports'!A1980="Date-",'R.M Billets Reports'!A1980="Date:-"),IF(IF(IF(ISNUMBER(SEARCH("Party Name:-",'R.M Billets Reports'!D1980)),TRIM('R.M Billets Reports'!F1980),IF(ISNUMBER(SEARCH("Party Name-",'R.M Billets Reports'!D1980)),TRIM(MID('R.M Billets Reports'!D1980,SEARCH("-",'R.M Billets Reports'!D1980)+1,200)),""))&lt;&gt;"",IF(ISNUMBER(SEARCH("Party Name:-",'R.M Billets Reports'!D1980)),TRIM('R.M Billets Reports'!F1980),IF(ISNUMBER(SEARCH("Party Name-",'R.M Billets Reports'!D1980)),TRIM(MID('R.M Billets Reports'!D1980,SEARCH("-",'R.M Billets Reports'!D1980)+1,200)),"")),IF(ISNUMBER(SEARCH("Party Name:-",'R.M Billets Reports'!D1981)),TRIM('R.M Billets Reports'!F1981),IF(ISNUMBER(SEARCH("Party Name-",'R.M Billets Reports'!D1981)),TRIM(MID('R.M Billets Reports'!D1981,SEARCH("-",'R.M Billets Reports'!D1981)+1,200)),"")))="VRKP ISPAT PVT LTD","VRKP",IF(IF(IF(ISNUMBER(SEARCH("Party Name:-",'R.M Billets Reports'!D1980)),TRIM('R.M Billets Reports'!F1980),IF(ISNUMBER(SEARCH("Party Name-",'R.M Billets Reports'!D1980)),TRIM(MID('R.M Billets Reports'!D1980,SEARCH("-",'R.M Billets Reports'!D1980)+1,200)),""))&lt;&gt;"",IF(ISNUMBER(SEARCH("Party Name:-",'R.M Billets Reports'!D1980)),TRIM('R.M Billets Reports'!F1980),IF(ISNUMBER(SEARCH("Party Name-",'R.M Billets Reports'!D1980)),TRIM(MID('R.M Billets Reports'!D1980,SEARCH("-",'R.M Billets Reports'!D1980)+1,200)),"")),IF(ISNUMBER(SEARCH("Party Name:-",'R.M Billets Reports'!D1981)),TRIM('R.M Billets Reports'!F1981),IF(ISNUMBER(SEARCH("Party Name-",'R.M Billets Reports'!D1981)),TRIM(MID('R.M Billets Reports'!D1981,SEARCH("-",'R.M Billets Reports'!D1981)+1,200)),"")))="SHRI RADHE","SHREE RADHE",IF(IF(IF(ISNUMBER(SEARCH("Party Name:-",'R.M Billets Reports'!D1980)),TRIM('R.M Billets Reports'!F1980),IF(ISNUMBER(SEARCH("Party Name-",'R.M Billets Reports'!D1980)),TRIM(MID('R.M Billets Reports'!D1980,SEARCH("-",'R.M Billets Reports'!D1980)+1,200)),""))&lt;&gt;"",IF(ISNUMBER(SEARCH("Party Name:-",'R.M Billets Reports'!D1980)),TRIM('R.M Billets Reports'!F1980),IF(ISNUMBER(SEARCH("Party Name-",'R.M Billets Reports'!D1980)),TRIM(MID('R.M Billets Reports'!D1980,SEARCH("-",'R.M Billets Reports'!D1980)+1,200)),"")),IF(ISNUMBER(SEARCH("Party Name:-",'R.M Billets Reports'!D1981)),TRIM('R.M Billets Reports'!F1981),IF(ISNUMBER(SEARCH("Party Name-",'R.M Billets Reports'!D1981)),TRIM(MID('R.M Billets Reports'!D1981,SEARCH("-",'R.M Billets Reports'!D1981)+1,200)),"")))="SHREE RADHE SHAKTI SPONGE AND POWER PVT. LTD.","SHREE RADHE",IF(IF(ISNUMBER(SEARCH("Party Name:-",'R.M Billets Reports'!D1980)),TRIM('R.M Billets Reports'!F1980),IF(ISNUMBER(SEARCH("Party Name-",'R.M Billets Reports'!D1980)),TRIM(MID('R.M Billets Reports'!D1980,SEARCH("-",'R.M Billets Reports'!D1980)+1,200)),""))&lt;&gt;"",IF(ISNUMBER(SEARCH("Party Name:-",'R.M Billets Reports'!D1980)),TRIM('R.M Billets Reports'!F1980),IF(ISNUMBER(SEARCH("Party Name-",'R.M Billets Reports'!D1980)),TRIM(MID('R.M Billets Reports'!D1980,SEARCH("-",'R.M Billets Reports'!D1980)+1,200)),"")),IF(ISNUMBER(SEARCH("Party Name:-",'R.M Billets Reports'!D1981)),TRIM('R.M Billets Reports'!F1981),IF(ISNUMBER(SEARCH("Party Name-",'R.M Billets Reports'!D1981)),TRIM(MID('R.M Billets Reports'!D1981,SEARCH("-",'R.M Billets Reports'!D1981)+1,200)),"")))))),IF(ROW()=2,"",A1980))</f>
      </c>
      <c r="B1981">
        <f>IF(OR('R.M Billets Reports'!A1980="Date-",'R.M Billets Reports'!A1980="Date:-"),'R.M Billets Reports'!B1980,IF(ROW()=2,"",B1980))</f>
      </c>
      <c r="C1981">
        <f>IF('R.M Billets Reports'!A1980="V.No.",'R.M Billets Reports'!B1980,IF(ROW()=2,"",C1980))</f>
      </c>
      <c r="D1981">
        <f>IF('R.M Billets Reports'!A1980&lt;&gt;"",'R.M Billets Reports'!A1980,IF(ROW()=2,"",D1980))</f>
      </c>
      <c r="E1981">
        <f>IF('R.M Billets Reports'!B1980="","",TRIM('R.M Billets Reports'!B1980))</f>
      </c>
      <c r="F1981">
        <f>'R.M Billets Reports'!C1980</f>
      </c>
      <c r="G1981">
        <f>'R.M Billets Reports'!D1980</f>
      </c>
      <c r="H1981">
        <f>'R.M Billets Reports'!E1980</f>
      </c>
      <c r="I1981">
        <f>'R.M Billets Reports'!F1980</f>
      </c>
      <c r="J1981">
        <f>'R.M Billets Reports'!G1980</f>
      </c>
      <c r="K1981">
        <f>'R.M Billets Reports'!H1980</f>
      </c>
      <c r="L1981">
        <f>IF('R.M Billets Reports'!I1980="","",'R.M Billets Reports'!I1980)</f>
      </c>
      <c r="M1981">
        <f t="shared" si="60"/>
      </c>
      <c r="N1981">
        <f>IF('R.M Billets Reports'!J1980="","",'R.M Billets Reports'!J1980)</f>
      </c>
      <c r="O1981">
        <f t="shared" si="61"/>
      </c>
      <c r="P1981">
        <f>IF('R.M Billets Reports'!A1980="SIZE",'R.M Billets Reports'!B1980,P1980)</f>
      </c>
    </row>
    <row r="1982" spans="1:16" x14ac:dyDescent="0.25">
      <c r="A1982">
        <f>IF(OR('R.M Billets Reports'!A1981="Date-",'R.M Billets Reports'!A1981="Date:-"),IF(IF(IF(ISNUMBER(SEARCH("Party Name:-",'R.M Billets Reports'!D1981)),TRIM('R.M Billets Reports'!F1981),IF(ISNUMBER(SEARCH("Party Name-",'R.M Billets Reports'!D1981)),TRIM(MID('R.M Billets Reports'!D1981,SEARCH("-",'R.M Billets Reports'!D1981)+1,200)),""))&lt;&gt;"",IF(ISNUMBER(SEARCH("Party Name:-",'R.M Billets Reports'!D1981)),TRIM('R.M Billets Reports'!F1981),IF(ISNUMBER(SEARCH("Party Name-",'R.M Billets Reports'!D1981)),TRIM(MID('R.M Billets Reports'!D1981,SEARCH("-",'R.M Billets Reports'!D1981)+1,200)),"")),IF(ISNUMBER(SEARCH("Party Name:-",'R.M Billets Reports'!D1982)),TRIM('R.M Billets Reports'!F1982),IF(ISNUMBER(SEARCH("Party Name-",'R.M Billets Reports'!D1982)),TRIM(MID('R.M Billets Reports'!D1982,SEARCH("-",'R.M Billets Reports'!D1982)+1,200)),"")))="VRKP ISPAT PVT LTD","VRKP",IF(IF(IF(ISNUMBER(SEARCH("Party Name:-",'R.M Billets Reports'!D1981)),TRIM('R.M Billets Reports'!F1981),IF(ISNUMBER(SEARCH("Party Name-",'R.M Billets Reports'!D1981)),TRIM(MID('R.M Billets Reports'!D1981,SEARCH("-",'R.M Billets Reports'!D1981)+1,200)),""))&lt;&gt;"",IF(ISNUMBER(SEARCH("Party Name:-",'R.M Billets Reports'!D1981)),TRIM('R.M Billets Reports'!F1981),IF(ISNUMBER(SEARCH("Party Name-",'R.M Billets Reports'!D1981)),TRIM(MID('R.M Billets Reports'!D1981,SEARCH("-",'R.M Billets Reports'!D1981)+1,200)),"")),IF(ISNUMBER(SEARCH("Party Name:-",'R.M Billets Reports'!D1982)),TRIM('R.M Billets Reports'!F1982),IF(ISNUMBER(SEARCH("Party Name-",'R.M Billets Reports'!D1982)),TRIM(MID('R.M Billets Reports'!D1982,SEARCH("-",'R.M Billets Reports'!D1982)+1,200)),"")))="SHRI RADHE","SHREE RADHE",IF(IF(IF(ISNUMBER(SEARCH("Party Name:-",'R.M Billets Reports'!D1981)),TRIM('R.M Billets Reports'!F1981),IF(ISNUMBER(SEARCH("Party Name-",'R.M Billets Reports'!D1981)),TRIM(MID('R.M Billets Reports'!D1981,SEARCH("-",'R.M Billets Reports'!D1981)+1,200)),""))&lt;&gt;"",IF(ISNUMBER(SEARCH("Party Name:-",'R.M Billets Reports'!D1981)),TRIM('R.M Billets Reports'!F1981),IF(ISNUMBER(SEARCH("Party Name-",'R.M Billets Reports'!D1981)),TRIM(MID('R.M Billets Reports'!D1981,SEARCH("-",'R.M Billets Reports'!D1981)+1,200)),"")),IF(ISNUMBER(SEARCH("Party Name:-",'R.M Billets Reports'!D1982)),TRIM('R.M Billets Reports'!F1982),IF(ISNUMBER(SEARCH("Party Name-",'R.M Billets Reports'!D1982)),TRIM(MID('R.M Billets Reports'!D1982,SEARCH("-",'R.M Billets Reports'!D1982)+1,200)),"")))="SHREE RADHE SHAKTI SPONGE AND POWER PVT. LTD.","SHREE RADHE",IF(IF(ISNUMBER(SEARCH("Party Name:-",'R.M Billets Reports'!D1981)),TRIM('R.M Billets Reports'!F1981),IF(ISNUMBER(SEARCH("Party Name-",'R.M Billets Reports'!D1981)),TRIM(MID('R.M Billets Reports'!D1981,SEARCH("-",'R.M Billets Reports'!D1981)+1,200)),""))&lt;&gt;"",IF(ISNUMBER(SEARCH("Party Name:-",'R.M Billets Reports'!D1981)),TRIM('R.M Billets Reports'!F1981),IF(ISNUMBER(SEARCH("Party Name-",'R.M Billets Reports'!D1981)),TRIM(MID('R.M Billets Reports'!D1981,SEARCH("-",'R.M Billets Reports'!D1981)+1,200)),"")),IF(ISNUMBER(SEARCH("Party Name:-",'R.M Billets Reports'!D1982)),TRIM('R.M Billets Reports'!F1982),IF(ISNUMBER(SEARCH("Party Name-",'R.M Billets Reports'!D1982)),TRIM(MID('R.M Billets Reports'!D1982,SEARCH("-",'R.M Billets Reports'!D1982)+1,200)),"")))))),IF(ROW()=2,"",A1981))</f>
      </c>
      <c r="B1982">
        <f>IF(OR('R.M Billets Reports'!A1981="Date-",'R.M Billets Reports'!A1981="Date:-"),'R.M Billets Reports'!B1981,IF(ROW()=2,"",B1981))</f>
      </c>
      <c r="C1982">
        <f>IF('R.M Billets Reports'!A1981="V.No.",'R.M Billets Reports'!B1981,IF(ROW()=2,"",C1981))</f>
      </c>
      <c r="D1982">
        <f>IF('R.M Billets Reports'!A1981&lt;&gt;"",'R.M Billets Reports'!A1981,IF(ROW()=2,"",D1981))</f>
      </c>
      <c r="E1982">
        <f>IF('R.M Billets Reports'!B1981="","",TRIM('R.M Billets Reports'!B1981))</f>
      </c>
      <c r="F1982">
        <f>'R.M Billets Reports'!C1981</f>
      </c>
      <c r="G1982">
        <f>'R.M Billets Reports'!D1981</f>
      </c>
      <c r="H1982">
        <f>'R.M Billets Reports'!E1981</f>
      </c>
      <c r="I1982">
        <f>'R.M Billets Reports'!F1981</f>
      </c>
      <c r="J1982">
        <f>'R.M Billets Reports'!G1981</f>
      </c>
      <c r="K1982">
        <f>'R.M Billets Reports'!H1981</f>
      </c>
      <c r="L1982">
        <f>IF('R.M Billets Reports'!I1981="","",'R.M Billets Reports'!I1981)</f>
      </c>
      <c r="M1982">
        <f t="shared" si="60"/>
      </c>
      <c r="N1982">
        <f>IF('R.M Billets Reports'!J1981="","",'R.M Billets Reports'!J1981)</f>
      </c>
      <c r="O1982">
        <f t="shared" si="61"/>
      </c>
      <c r="P1982">
        <f>IF('R.M Billets Reports'!A1981="SIZE",'R.M Billets Reports'!B1981,P1981)</f>
      </c>
    </row>
    <row r="1983" spans="1:16" x14ac:dyDescent="0.25">
      <c r="A1983">
        <f>IF(OR('R.M Billets Reports'!A1982="Date-",'R.M Billets Reports'!A1982="Date:-"),IF(IF(IF(ISNUMBER(SEARCH("Party Name:-",'R.M Billets Reports'!D1982)),TRIM('R.M Billets Reports'!F1982),IF(ISNUMBER(SEARCH("Party Name-",'R.M Billets Reports'!D1982)),TRIM(MID('R.M Billets Reports'!D1982,SEARCH("-",'R.M Billets Reports'!D1982)+1,200)),""))&lt;&gt;"",IF(ISNUMBER(SEARCH("Party Name:-",'R.M Billets Reports'!D1982)),TRIM('R.M Billets Reports'!F1982),IF(ISNUMBER(SEARCH("Party Name-",'R.M Billets Reports'!D1982)),TRIM(MID('R.M Billets Reports'!D1982,SEARCH("-",'R.M Billets Reports'!D1982)+1,200)),"")),IF(ISNUMBER(SEARCH("Party Name:-",'R.M Billets Reports'!D1983)),TRIM('R.M Billets Reports'!F1983),IF(ISNUMBER(SEARCH("Party Name-",'R.M Billets Reports'!D1983)),TRIM(MID('R.M Billets Reports'!D1983,SEARCH("-",'R.M Billets Reports'!D1983)+1,200)),"")))="VRKP ISPAT PVT LTD","VRKP",IF(IF(IF(ISNUMBER(SEARCH("Party Name:-",'R.M Billets Reports'!D1982)),TRIM('R.M Billets Reports'!F1982),IF(ISNUMBER(SEARCH("Party Name-",'R.M Billets Reports'!D1982)),TRIM(MID('R.M Billets Reports'!D1982,SEARCH("-",'R.M Billets Reports'!D1982)+1,200)),""))&lt;&gt;"",IF(ISNUMBER(SEARCH("Party Name:-",'R.M Billets Reports'!D1982)),TRIM('R.M Billets Reports'!F1982),IF(ISNUMBER(SEARCH("Party Name-",'R.M Billets Reports'!D1982)),TRIM(MID('R.M Billets Reports'!D1982,SEARCH("-",'R.M Billets Reports'!D1982)+1,200)),"")),IF(ISNUMBER(SEARCH("Party Name:-",'R.M Billets Reports'!D1983)),TRIM('R.M Billets Reports'!F1983),IF(ISNUMBER(SEARCH("Party Name-",'R.M Billets Reports'!D1983)),TRIM(MID('R.M Billets Reports'!D1983,SEARCH("-",'R.M Billets Reports'!D1983)+1,200)),"")))="SHRI RADHE","SHREE RADHE",IF(IF(IF(ISNUMBER(SEARCH("Party Name:-",'R.M Billets Reports'!D1982)),TRIM('R.M Billets Reports'!F1982),IF(ISNUMBER(SEARCH("Party Name-",'R.M Billets Reports'!D1982)),TRIM(MID('R.M Billets Reports'!D1982,SEARCH("-",'R.M Billets Reports'!D1982)+1,200)),""))&lt;&gt;"",IF(ISNUMBER(SEARCH("Party Name:-",'R.M Billets Reports'!D1982)),TRIM('R.M Billets Reports'!F1982),IF(ISNUMBER(SEARCH("Party Name-",'R.M Billets Reports'!D1982)),TRIM(MID('R.M Billets Reports'!D1982,SEARCH("-",'R.M Billets Reports'!D1982)+1,200)),"")),IF(ISNUMBER(SEARCH("Party Name:-",'R.M Billets Reports'!D1983)),TRIM('R.M Billets Reports'!F1983),IF(ISNUMBER(SEARCH("Party Name-",'R.M Billets Reports'!D1983)),TRIM(MID('R.M Billets Reports'!D1983,SEARCH("-",'R.M Billets Reports'!D1983)+1,200)),"")))="SHREE RADHE SHAKTI SPONGE AND POWER PVT. LTD.","SHREE RADHE",IF(IF(ISNUMBER(SEARCH("Party Name:-",'R.M Billets Reports'!D1982)),TRIM('R.M Billets Reports'!F1982),IF(ISNUMBER(SEARCH("Party Name-",'R.M Billets Reports'!D1982)),TRIM(MID('R.M Billets Reports'!D1982,SEARCH("-",'R.M Billets Reports'!D1982)+1,200)),""))&lt;&gt;"",IF(ISNUMBER(SEARCH("Party Name:-",'R.M Billets Reports'!D1982)),TRIM('R.M Billets Reports'!F1982),IF(ISNUMBER(SEARCH("Party Name-",'R.M Billets Reports'!D1982)),TRIM(MID('R.M Billets Reports'!D1982,SEARCH("-",'R.M Billets Reports'!D1982)+1,200)),"")),IF(ISNUMBER(SEARCH("Party Name:-",'R.M Billets Reports'!D1983)),TRIM('R.M Billets Reports'!F1983),IF(ISNUMBER(SEARCH("Party Name-",'R.M Billets Reports'!D1983)),TRIM(MID('R.M Billets Reports'!D1983,SEARCH("-",'R.M Billets Reports'!D1983)+1,200)),"")))))),IF(ROW()=2,"",A1982))</f>
      </c>
      <c r="B1983">
        <f>IF(OR('R.M Billets Reports'!A1982="Date-",'R.M Billets Reports'!A1982="Date:-"),'R.M Billets Reports'!B1982,IF(ROW()=2,"",B1982))</f>
      </c>
      <c r="C1983">
        <f>IF('R.M Billets Reports'!A1982="V.No.",'R.M Billets Reports'!B1982,IF(ROW()=2,"",C1982))</f>
      </c>
      <c r="D1983">
        <f>IF('R.M Billets Reports'!A1982&lt;&gt;"",'R.M Billets Reports'!A1982,IF(ROW()=2,"",D1982))</f>
      </c>
      <c r="E1983">
        <f>IF('R.M Billets Reports'!B1982="","",TRIM('R.M Billets Reports'!B1982))</f>
      </c>
      <c r="F1983">
        <f>'R.M Billets Reports'!C1982</f>
      </c>
      <c r="G1983">
        <f>'R.M Billets Reports'!D1982</f>
      </c>
      <c r="H1983">
        <f>'R.M Billets Reports'!E1982</f>
      </c>
      <c r="I1983">
        <f>'R.M Billets Reports'!F1982</f>
      </c>
      <c r="J1983">
        <f>'R.M Billets Reports'!G1982</f>
      </c>
      <c r="K1983">
        <f>'R.M Billets Reports'!H1982</f>
      </c>
      <c r="L1983">
        <f>IF('R.M Billets Reports'!I1982="","",'R.M Billets Reports'!I1982)</f>
      </c>
      <c r="M1983">
        <f t="shared" si="60"/>
      </c>
      <c r="N1983">
        <f>IF('R.M Billets Reports'!J1982="","",'R.M Billets Reports'!J1982)</f>
      </c>
      <c r="O1983">
        <f t="shared" si="61"/>
      </c>
      <c r="P1983">
        <f>IF('R.M Billets Reports'!A1982="SIZE",'R.M Billets Reports'!B1982,P1982)</f>
      </c>
    </row>
    <row r="1984" spans="1:16" x14ac:dyDescent="0.25">
      <c r="A1984">
        <f>IF(OR('R.M Billets Reports'!A1983="Date-",'R.M Billets Reports'!A1983="Date:-"),IF(IF(IF(ISNUMBER(SEARCH("Party Name:-",'R.M Billets Reports'!D1983)),TRIM('R.M Billets Reports'!F1983),IF(ISNUMBER(SEARCH("Party Name-",'R.M Billets Reports'!D1983)),TRIM(MID('R.M Billets Reports'!D1983,SEARCH("-",'R.M Billets Reports'!D1983)+1,200)),""))&lt;&gt;"",IF(ISNUMBER(SEARCH("Party Name:-",'R.M Billets Reports'!D1983)),TRIM('R.M Billets Reports'!F1983),IF(ISNUMBER(SEARCH("Party Name-",'R.M Billets Reports'!D1983)),TRIM(MID('R.M Billets Reports'!D1983,SEARCH("-",'R.M Billets Reports'!D1983)+1,200)),"")),IF(ISNUMBER(SEARCH("Party Name:-",'R.M Billets Reports'!D1984)),TRIM('R.M Billets Reports'!F1984),IF(ISNUMBER(SEARCH("Party Name-",'R.M Billets Reports'!D1984)),TRIM(MID('R.M Billets Reports'!D1984,SEARCH("-",'R.M Billets Reports'!D1984)+1,200)),"")))="VRKP ISPAT PVT LTD","VRKP",IF(IF(IF(ISNUMBER(SEARCH("Party Name:-",'R.M Billets Reports'!D1983)),TRIM('R.M Billets Reports'!F1983),IF(ISNUMBER(SEARCH("Party Name-",'R.M Billets Reports'!D1983)),TRIM(MID('R.M Billets Reports'!D1983,SEARCH("-",'R.M Billets Reports'!D1983)+1,200)),""))&lt;&gt;"",IF(ISNUMBER(SEARCH("Party Name:-",'R.M Billets Reports'!D1983)),TRIM('R.M Billets Reports'!F1983),IF(ISNUMBER(SEARCH("Party Name-",'R.M Billets Reports'!D1983)),TRIM(MID('R.M Billets Reports'!D1983,SEARCH("-",'R.M Billets Reports'!D1983)+1,200)),"")),IF(ISNUMBER(SEARCH("Party Name:-",'R.M Billets Reports'!D1984)),TRIM('R.M Billets Reports'!F1984),IF(ISNUMBER(SEARCH("Party Name-",'R.M Billets Reports'!D1984)),TRIM(MID('R.M Billets Reports'!D1984,SEARCH("-",'R.M Billets Reports'!D1984)+1,200)),"")))="SHRI RADHE","SHREE RADHE",IF(IF(IF(ISNUMBER(SEARCH("Party Name:-",'R.M Billets Reports'!D1983)),TRIM('R.M Billets Reports'!F1983),IF(ISNUMBER(SEARCH("Party Name-",'R.M Billets Reports'!D1983)),TRIM(MID('R.M Billets Reports'!D1983,SEARCH("-",'R.M Billets Reports'!D1983)+1,200)),""))&lt;&gt;"",IF(ISNUMBER(SEARCH("Party Name:-",'R.M Billets Reports'!D1983)),TRIM('R.M Billets Reports'!F1983),IF(ISNUMBER(SEARCH("Party Name-",'R.M Billets Reports'!D1983)),TRIM(MID('R.M Billets Reports'!D1983,SEARCH("-",'R.M Billets Reports'!D1983)+1,200)),"")),IF(ISNUMBER(SEARCH("Party Name:-",'R.M Billets Reports'!D1984)),TRIM('R.M Billets Reports'!F1984),IF(ISNUMBER(SEARCH("Party Name-",'R.M Billets Reports'!D1984)),TRIM(MID('R.M Billets Reports'!D1984,SEARCH("-",'R.M Billets Reports'!D1984)+1,200)),"")))="SHREE RADHE SHAKTI SPONGE AND POWER PVT. LTD.","SHREE RADHE",IF(IF(ISNUMBER(SEARCH("Party Name:-",'R.M Billets Reports'!D1983)),TRIM('R.M Billets Reports'!F1983),IF(ISNUMBER(SEARCH("Party Name-",'R.M Billets Reports'!D1983)),TRIM(MID('R.M Billets Reports'!D1983,SEARCH("-",'R.M Billets Reports'!D1983)+1,200)),""))&lt;&gt;"",IF(ISNUMBER(SEARCH("Party Name:-",'R.M Billets Reports'!D1983)),TRIM('R.M Billets Reports'!F1983),IF(ISNUMBER(SEARCH("Party Name-",'R.M Billets Reports'!D1983)),TRIM(MID('R.M Billets Reports'!D1983,SEARCH("-",'R.M Billets Reports'!D1983)+1,200)),"")),IF(ISNUMBER(SEARCH("Party Name:-",'R.M Billets Reports'!D1984)),TRIM('R.M Billets Reports'!F1984),IF(ISNUMBER(SEARCH("Party Name-",'R.M Billets Reports'!D1984)),TRIM(MID('R.M Billets Reports'!D1984,SEARCH("-",'R.M Billets Reports'!D1984)+1,200)),"")))))),IF(ROW()=2,"",A1983))</f>
      </c>
      <c r="B1984">
        <f>IF(OR('R.M Billets Reports'!A1983="Date-",'R.M Billets Reports'!A1983="Date:-"),'R.M Billets Reports'!B1983,IF(ROW()=2,"",B1983))</f>
      </c>
      <c r="C1984">
        <f>IF('R.M Billets Reports'!A1983="V.No.",'R.M Billets Reports'!B1983,IF(ROW()=2,"",C1983))</f>
      </c>
      <c r="D1984">
        <f>IF('R.M Billets Reports'!A1983&lt;&gt;"",'R.M Billets Reports'!A1983,IF(ROW()=2,"",D1983))</f>
      </c>
      <c r="E1984">
        <f>IF('R.M Billets Reports'!B1983="","",TRIM('R.M Billets Reports'!B1983))</f>
      </c>
      <c r="F1984">
        <f>'R.M Billets Reports'!C1983</f>
      </c>
      <c r="G1984">
        <f>'R.M Billets Reports'!D1983</f>
      </c>
      <c r="H1984">
        <f>'R.M Billets Reports'!E1983</f>
      </c>
      <c r="I1984">
        <f>'R.M Billets Reports'!F1983</f>
      </c>
      <c r="J1984">
        <f>'R.M Billets Reports'!G1983</f>
      </c>
      <c r="K1984">
        <f>'R.M Billets Reports'!H1983</f>
      </c>
      <c r="L1984">
        <f>IF('R.M Billets Reports'!I1983="","",'R.M Billets Reports'!I1983)</f>
      </c>
      <c r="M1984">
        <f t="shared" si="60"/>
      </c>
      <c r="N1984">
        <f>IF('R.M Billets Reports'!J1983="","",'R.M Billets Reports'!J1983)</f>
      </c>
      <c r="O1984">
        <f t="shared" si="61"/>
      </c>
      <c r="P1984">
        <f>IF('R.M Billets Reports'!A1983="SIZE",'R.M Billets Reports'!B1983,P1983)</f>
      </c>
    </row>
    <row r="1985" spans="1:16" x14ac:dyDescent="0.25">
      <c r="A1985">
        <f>IF(OR('R.M Billets Reports'!A1984="Date-",'R.M Billets Reports'!A1984="Date:-"),IF(IF(IF(ISNUMBER(SEARCH("Party Name:-",'R.M Billets Reports'!D1984)),TRIM('R.M Billets Reports'!F1984),IF(ISNUMBER(SEARCH("Party Name-",'R.M Billets Reports'!D1984)),TRIM(MID('R.M Billets Reports'!D1984,SEARCH("-",'R.M Billets Reports'!D1984)+1,200)),""))&lt;&gt;"",IF(ISNUMBER(SEARCH("Party Name:-",'R.M Billets Reports'!D1984)),TRIM('R.M Billets Reports'!F1984),IF(ISNUMBER(SEARCH("Party Name-",'R.M Billets Reports'!D1984)),TRIM(MID('R.M Billets Reports'!D1984,SEARCH("-",'R.M Billets Reports'!D1984)+1,200)),"")),IF(ISNUMBER(SEARCH("Party Name:-",'R.M Billets Reports'!D1985)),TRIM('R.M Billets Reports'!F1985),IF(ISNUMBER(SEARCH("Party Name-",'R.M Billets Reports'!D1985)),TRIM(MID('R.M Billets Reports'!D1985,SEARCH("-",'R.M Billets Reports'!D1985)+1,200)),"")))="VRKP ISPAT PVT LTD","VRKP",IF(IF(IF(ISNUMBER(SEARCH("Party Name:-",'R.M Billets Reports'!D1984)),TRIM('R.M Billets Reports'!F1984),IF(ISNUMBER(SEARCH("Party Name-",'R.M Billets Reports'!D1984)),TRIM(MID('R.M Billets Reports'!D1984,SEARCH("-",'R.M Billets Reports'!D1984)+1,200)),""))&lt;&gt;"",IF(ISNUMBER(SEARCH("Party Name:-",'R.M Billets Reports'!D1984)),TRIM('R.M Billets Reports'!F1984),IF(ISNUMBER(SEARCH("Party Name-",'R.M Billets Reports'!D1984)),TRIM(MID('R.M Billets Reports'!D1984,SEARCH("-",'R.M Billets Reports'!D1984)+1,200)),"")),IF(ISNUMBER(SEARCH("Party Name:-",'R.M Billets Reports'!D1985)),TRIM('R.M Billets Reports'!F1985),IF(ISNUMBER(SEARCH("Party Name-",'R.M Billets Reports'!D1985)),TRIM(MID('R.M Billets Reports'!D1985,SEARCH("-",'R.M Billets Reports'!D1985)+1,200)),"")))="SHRI RADHE","SHREE RADHE",IF(IF(IF(ISNUMBER(SEARCH("Party Name:-",'R.M Billets Reports'!D1984)),TRIM('R.M Billets Reports'!F1984),IF(ISNUMBER(SEARCH("Party Name-",'R.M Billets Reports'!D1984)),TRIM(MID('R.M Billets Reports'!D1984,SEARCH("-",'R.M Billets Reports'!D1984)+1,200)),""))&lt;&gt;"",IF(ISNUMBER(SEARCH("Party Name:-",'R.M Billets Reports'!D1984)),TRIM('R.M Billets Reports'!F1984),IF(ISNUMBER(SEARCH("Party Name-",'R.M Billets Reports'!D1984)),TRIM(MID('R.M Billets Reports'!D1984,SEARCH("-",'R.M Billets Reports'!D1984)+1,200)),"")),IF(ISNUMBER(SEARCH("Party Name:-",'R.M Billets Reports'!D1985)),TRIM('R.M Billets Reports'!F1985),IF(ISNUMBER(SEARCH("Party Name-",'R.M Billets Reports'!D1985)),TRIM(MID('R.M Billets Reports'!D1985,SEARCH("-",'R.M Billets Reports'!D1985)+1,200)),"")))="SHREE RADHE SHAKTI SPONGE AND POWER PVT. LTD.","SHREE RADHE",IF(IF(ISNUMBER(SEARCH("Party Name:-",'R.M Billets Reports'!D1984)),TRIM('R.M Billets Reports'!F1984),IF(ISNUMBER(SEARCH("Party Name-",'R.M Billets Reports'!D1984)),TRIM(MID('R.M Billets Reports'!D1984,SEARCH("-",'R.M Billets Reports'!D1984)+1,200)),""))&lt;&gt;"",IF(ISNUMBER(SEARCH("Party Name:-",'R.M Billets Reports'!D1984)),TRIM('R.M Billets Reports'!F1984),IF(ISNUMBER(SEARCH("Party Name-",'R.M Billets Reports'!D1984)),TRIM(MID('R.M Billets Reports'!D1984,SEARCH("-",'R.M Billets Reports'!D1984)+1,200)),"")),IF(ISNUMBER(SEARCH("Party Name:-",'R.M Billets Reports'!D1985)),TRIM('R.M Billets Reports'!F1985),IF(ISNUMBER(SEARCH("Party Name-",'R.M Billets Reports'!D1985)),TRIM(MID('R.M Billets Reports'!D1985,SEARCH("-",'R.M Billets Reports'!D1985)+1,200)),"")))))),IF(ROW()=2,"",A1984))</f>
      </c>
      <c r="B1985">
        <f>IF(OR('R.M Billets Reports'!A1984="Date-",'R.M Billets Reports'!A1984="Date:-"),'R.M Billets Reports'!B1984,IF(ROW()=2,"",B1984))</f>
      </c>
      <c r="C1985">
        <f>IF('R.M Billets Reports'!A1984="V.No.",'R.M Billets Reports'!B1984,IF(ROW()=2,"",C1984))</f>
      </c>
      <c r="D1985">
        <f>IF('R.M Billets Reports'!A1984&lt;&gt;"",'R.M Billets Reports'!A1984,IF(ROW()=2,"",D1984))</f>
      </c>
      <c r="E1985">
        <f>IF('R.M Billets Reports'!B1984="","",TRIM('R.M Billets Reports'!B1984))</f>
      </c>
      <c r="F1985">
        <f>'R.M Billets Reports'!C1984</f>
      </c>
      <c r="G1985">
        <f>'R.M Billets Reports'!D1984</f>
      </c>
      <c r="H1985">
        <f>'R.M Billets Reports'!E1984</f>
      </c>
      <c r="I1985">
        <f>'R.M Billets Reports'!F1984</f>
      </c>
      <c r="J1985">
        <f>'R.M Billets Reports'!G1984</f>
      </c>
      <c r="K1985">
        <f>'R.M Billets Reports'!H1984</f>
      </c>
      <c r="L1985">
        <f>IF('R.M Billets Reports'!I1984="","",'R.M Billets Reports'!I1984)</f>
      </c>
      <c r="M1985">
        <f t="shared" si="60"/>
      </c>
      <c r="N1985">
        <f>IF('R.M Billets Reports'!J1984="","",'R.M Billets Reports'!J1984)</f>
      </c>
      <c r="O1985">
        <f t="shared" si="61"/>
      </c>
      <c r="P1985">
        <f>IF('R.M Billets Reports'!A1984="SIZE",'R.M Billets Reports'!B1984,P1984)</f>
      </c>
    </row>
    <row r="1986" spans="1:16" x14ac:dyDescent="0.25">
      <c r="A1986">
        <f>IF(OR('R.M Billets Reports'!A1985="Date-",'R.M Billets Reports'!A1985="Date:-"),IF(IF(IF(ISNUMBER(SEARCH("Party Name:-",'R.M Billets Reports'!D1985)),TRIM('R.M Billets Reports'!F1985),IF(ISNUMBER(SEARCH("Party Name-",'R.M Billets Reports'!D1985)),TRIM(MID('R.M Billets Reports'!D1985,SEARCH("-",'R.M Billets Reports'!D1985)+1,200)),""))&lt;&gt;"",IF(ISNUMBER(SEARCH("Party Name:-",'R.M Billets Reports'!D1985)),TRIM('R.M Billets Reports'!F1985),IF(ISNUMBER(SEARCH("Party Name-",'R.M Billets Reports'!D1985)),TRIM(MID('R.M Billets Reports'!D1985,SEARCH("-",'R.M Billets Reports'!D1985)+1,200)),"")),IF(ISNUMBER(SEARCH("Party Name:-",'R.M Billets Reports'!D1986)),TRIM('R.M Billets Reports'!F1986),IF(ISNUMBER(SEARCH("Party Name-",'R.M Billets Reports'!D1986)),TRIM(MID('R.M Billets Reports'!D1986,SEARCH("-",'R.M Billets Reports'!D1986)+1,200)),"")))="VRKP ISPAT PVT LTD","VRKP",IF(IF(IF(ISNUMBER(SEARCH("Party Name:-",'R.M Billets Reports'!D1985)),TRIM('R.M Billets Reports'!F1985),IF(ISNUMBER(SEARCH("Party Name-",'R.M Billets Reports'!D1985)),TRIM(MID('R.M Billets Reports'!D1985,SEARCH("-",'R.M Billets Reports'!D1985)+1,200)),""))&lt;&gt;"",IF(ISNUMBER(SEARCH("Party Name:-",'R.M Billets Reports'!D1985)),TRIM('R.M Billets Reports'!F1985),IF(ISNUMBER(SEARCH("Party Name-",'R.M Billets Reports'!D1985)),TRIM(MID('R.M Billets Reports'!D1985,SEARCH("-",'R.M Billets Reports'!D1985)+1,200)),"")),IF(ISNUMBER(SEARCH("Party Name:-",'R.M Billets Reports'!D1986)),TRIM('R.M Billets Reports'!F1986),IF(ISNUMBER(SEARCH("Party Name-",'R.M Billets Reports'!D1986)),TRIM(MID('R.M Billets Reports'!D1986,SEARCH("-",'R.M Billets Reports'!D1986)+1,200)),"")))="SHRI RADHE","SHREE RADHE",IF(IF(IF(ISNUMBER(SEARCH("Party Name:-",'R.M Billets Reports'!D1985)),TRIM('R.M Billets Reports'!F1985),IF(ISNUMBER(SEARCH("Party Name-",'R.M Billets Reports'!D1985)),TRIM(MID('R.M Billets Reports'!D1985,SEARCH("-",'R.M Billets Reports'!D1985)+1,200)),""))&lt;&gt;"",IF(ISNUMBER(SEARCH("Party Name:-",'R.M Billets Reports'!D1985)),TRIM('R.M Billets Reports'!F1985),IF(ISNUMBER(SEARCH("Party Name-",'R.M Billets Reports'!D1985)),TRIM(MID('R.M Billets Reports'!D1985,SEARCH("-",'R.M Billets Reports'!D1985)+1,200)),"")),IF(ISNUMBER(SEARCH("Party Name:-",'R.M Billets Reports'!D1986)),TRIM('R.M Billets Reports'!F1986),IF(ISNUMBER(SEARCH("Party Name-",'R.M Billets Reports'!D1986)),TRIM(MID('R.M Billets Reports'!D1986,SEARCH("-",'R.M Billets Reports'!D1986)+1,200)),"")))="SHREE RADHE SHAKTI SPONGE AND POWER PVT. LTD.","SHREE RADHE",IF(IF(ISNUMBER(SEARCH("Party Name:-",'R.M Billets Reports'!D1985)),TRIM('R.M Billets Reports'!F1985),IF(ISNUMBER(SEARCH("Party Name-",'R.M Billets Reports'!D1985)),TRIM(MID('R.M Billets Reports'!D1985,SEARCH("-",'R.M Billets Reports'!D1985)+1,200)),""))&lt;&gt;"",IF(ISNUMBER(SEARCH("Party Name:-",'R.M Billets Reports'!D1985)),TRIM('R.M Billets Reports'!F1985),IF(ISNUMBER(SEARCH("Party Name-",'R.M Billets Reports'!D1985)),TRIM(MID('R.M Billets Reports'!D1985,SEARCH("-",'R.M Billets Reports'!D1985)+1,200)),"")),IF(ISNUMBER(SEARCH("Party Name:-",'R.M Billets Reports'!D1986)),TRIM('R.M Billets Reports'!F1986),IF(ISNUMBER(SEARCH("Party Name-",'R.M Billets Reports'!D1986)),TRIM(MID('R.M Billets Reports'!D1986,SEARCH("-",'R.M Billets Reports'!D1986)+1,200)),"")))))),IF(ROW()=2,"",A1985))</f>
      </c>
      <c r="B1986">
        <f>IF(OR('R.M Billets Reports'!A1985="Date-",'R.M Billets Reports'!A1985="Date:-"),'R.M Billets Reports'!B1985,IF(ROW()=2,"",B1985))</f>
      </c>
      <c r="C1986">
        <f>IF('R.M Billets Reports'!A1985="V.No.",'R.M Billets Reports'!B1985,IF(ROW()=2,"",C1985))</f>
      </c>
      <c r="D1986">
        <f>IF('R.M Billets Reports'!A1985&lt;&gt;"",'R.M Billets Reports'!A1985,IF(ROW()=2,"",D1985))</f>
      </c>
      <c r="E1986">
        <f>IF('R.M Billets Reports'!B1985="","",TRIM('R.M Billets Reports'!B1985))</f>
      </c>
      <c r="F1986">
        <f>'R.M Billets Reports'!C1985</f>
      </c>
      <c r="G1986">
        <f>'R.M Billets Reports'!D1985</f>
      </c>
      <c r="H1986">
        <f>'R.M Billets Reports'!E1985</f>
      </c>
      <c r="I1986">
        <f>'R.M Billets Reports'!F1985</f>
      </c>
      <c r="J1986">
        <f>'R.M Billets Reports'!G1985</f>
      </c>
      <c r="K1986">
        <f>'R.M Billets Reports'!H1985</f>
      </c>
      <c r="L1986">
        <f>IF('R.M Billets Reports'!I1985="","",'R.M Billets Reports'!I1985)</f>
      </c>
      <c r="M1986">
        <f t="shared" si="60"/>
      </c>
      <c r="N1986">
        <f>IF('R.M Billets Reports'!J1985="","",'R.M Billets Reports'!J1985)</f>
      </c>
      <c r="O1986">
        <f t="shared" si="61"/>
      </c>
      <c r="P1986">
        <f>IF('R.M Billets Reports'!A1985="SIZE",'R.M Billets Reports'!B1985,P1985)</f>
      </c>
    </row>
    <row r="1987" spans="1:16" x14ac:dyDescent="0.25">
      <c r="A1987">
        <f>IF(OR('R.M Billets Reports'!A1986="Date-",'R.M Billets Reports'!A1986="Date:-"),IF(IF(IF(ISNUMBER(SEARCH("Party Name:-",'R.M Billets Reports'!D1986)),TRIM('R.M Billets Reports'!F1986),IF(ISNUMBER(SEARCH("Party Name-",'R.M Billets Reports'!D1986)),TRIM(MID('R.M Billets Reports'!D1986,SEARCH("-",'R.M Billets Reports'!D1986)+1,200)),""))&lt;&gt;"",IF(ISNUMBER(SEARCH("Party Name:-",'R.M Billets Reports'!D1986)),TRIM('R.M Billets Reports'!F1986),IF(ISNUMBER(SEARCH("Party Name-",'R.M Billets Reports'!D1986)),TRIM(MID('R.M Billets Reports'!D1986,SEARCH("-",'R.M Billets Reports'!D1986)+1,200)),"")),IF(ISNUMBER(SEARCH("Party Name:-",'R.M Billets Reports'!D1987)),TRIM('R.M Billets Reports'!F1987),IF(ISNUMBER(SEARCH("Party Name-",'R.M Billets Reports'!D1987)),TRIM(MID('R.M Billets Reports'!D1987,SEARCH("-",'R.M Billets Reports'!D1987)+1,200)),"")))="VRKP ISPAT PVT LTD","VRKP",IF(IF(IF(ISNUMBER(SEARCH("Party Name:-",'R.M Billets Reports'!D1986)),TRIM('R.M Billets Reports'!F1986),IF(ISNUMBER(SEARCH("Party Name-",'R.M Billets Reports'!D1986)),TRIM(MID('R.M Billets Reports'!D1986,SEARCH("-",'R.M Billets Reports'!D1986)+1,200)),""))&lt;&gt;"",IF(ISNUMBER(SEARCH("Party Name:-",'R.M Billets Reports'!D1986)),TRIM('R.M Billets Reports'!F1986),IF(ISNUMBER(SEARCH("Party Name-",'R.M Billets Reports'!D1986)),TRIM(MID('R.M Billets Reports'!D1986,SEARCH("-",'R.M Billets Reports'!D1986)+1,200)),"")),IF(ISNUMBER(SEARCH("Party Name:-",'R.M Billets Reports'!D1987)),TRIM('R.M Billets Reports'!F1987),IF(ISNUMBER(SEARCH("Party Name-",'R.M Billets Reports'!D1987)),TRIM(MID('R.M Billets Reports'!D1987,SEARCH("-",'R.M Billets Reports'!D1987)+1,200)),"")))="SHRI RADHE","SHREE RADHE",IF(IF(IF(ISNUMBER(SEARCH("Party Name:-",'R.M Billets Reports'!D1986)),TRIM('R.M Billets Reports'!F1986),IF(ISNUMBER(SEARCH("Party Name-",'R.M Billets Reports'!D1986)),TRIM(MID('R.M Billets Reports'!D1986,SEARCH("-",'R.M Billets Reports'!D1986)+1,200)),""))&lt;&gt;"",IF(ISNUMBER(SEARCH("Party Name:-",'R.M Billets Reports'!D1986)),TRIM('R.M Billets Reports'!F1986),IF(ISNUMBER(SEARCH("Party Name-",'R.M Billets Reports'!D1986)),TRIM(MID('R.M Billets Reports'!D1986,SEARCH("-",'R.M Billets Reports'!D1986)+1,200)),"")),IF(ISNUMBER(SEARCH("Party Name:-",'R.M Billets Reports'!D1987)),TRIM('R.M Billets Reports'!F1987),IF(ISNUMBER(SEARCH("Party Name-",'R.M Billets Reports'!D1987)),TRIM(MID('R.M Billets Reports'!D1987,SEARCH("-",'R.M Billets Reports'!D1987)+1,200)),"")))="SHREE RADHE SHAKTI SPONGE AND POWER PVT. LTD.","SHREE RADHE",IF(IF(ISNUMBER(SEARCH("Party Name:-",'R.M Billets Reports'!D1986)),TRIM('R.M Billets Reports'!F1986),IF(ISNUMBER(SEARCH("Party Name-",'R.M Billets Reports'!D1986)),TRIM(MID('R.M Billets Reports'!D1986,SEARCH("-",'R.M Billets Reports'!D1986)+1,200)),""))&lt;&gt;"",IF(ISNUMBER(SEARCH("Party Name:-",'R.M Billets Reports'!D1986)),TRIM('R.M Billets Reports'!F1986),IF(ISNUMBER(SEARCH("Party Name-",'R.M Billets Reports'!D1986)),TRIM(MID('R.M Billets Reports'!D1986,SEARCH("-",'R.M Billets Reports'!D1986)+1,200)),"")),IF(ISNUMBER(SEARCH("Party Name:-",'R.M Billets Reports'!D1987)),TRIM('R.M Billets Reports'!F1987),IF(ISNUMBER(SEARCH("Party Name-",'R.M Billets Reports'!D1987)),TRIM(MID('R.M Billets Reports'!D1987,SEARCH("-",'R.M Billets Reports'!D1987)+1,200)),"")))))),IF(ROW()=2,"",A1986))</f>
      </c>
      <c r="B1987">
        <f>IF(OR('R.M Billets Reports'!A1986="Date-",'R.M Billets Reports'!A1986="Date:-"),'R.M Billets Reports'!B1986,IF(ROW()=2,"",B1986))</f>
      </c>
      <c r="C1987">
        <f>IF('R.M Billets Reports'!A1986="V.No.",'R.M Billets Reports'!B1986,IF(ROW()=2,"",C1986))</f>
      </c>
      <c r="D1987">
        <f>IF('R.M Billets Reports'!A1986&lt;&gt;"",'R.M Billets Reports'!A1986,IF(ROW()=2,"",D1986))</f>
      </c>
      <c r="E1987">
        <f>IF('R.M Billets Reports'!B1986="","",TRIM('R.M Billets Reports'!B1986))</f>
      </c>
      <c r="F1987">
        <f>'R.M Billets Reports'!C1986</f>
      </c>
      <c r="G1987">
        <f>'R.M Billets Reports'!D1986</f>
      </c>
      <c r="H1987">
        <f>'R.M Billets Reports'!E1986</f>
      </c>
      <c r="I1987">
        <f>'R.M Billets Reports'!F1986</f>
      </c>
      <c r="J1987">
        <f>'R.M Billets Reports'!G1986</f>
      </c>
      <c r="K1987">
        <f>'R.M Billets Reports'!H1986</f>
      </c>
      <c r="L1987">
        <f>IF('R.M Billets Reports'!I1986="","",'R.M Billets Reports'!I1986)</f>
      </c>
      <c r="M1987">
        <f t="shared" ref="M1987:M2050" si="62">IF(L1987&lt;&gt;"",L1987,IF(D1987=D1986,M1986,""))</f>
      </c>
      <c r="N1987">
        <f>IF('R.M Billets Reports'!J1986="","",'R.M Billets Reports'!J1986)</f>
      </c>
      <c r="O1987">
        <f t="shared" ref="O1987:O2050" si="63">IF(N1987&lt;&gt;"",N1987,IF(D1987=D1986,O1986,""))</f>
      </c>
      <c r="P1987">
        <f>IF('R.M Billets Reports'!A1986="SIZE",'R.M Billets Reports'!B1986,P1986)</f>
      </c>
    </row>
    <row r="1988" spans="1:16" x14ac:dyDescent="0.25">
      <c r="A1988">
        <f>IF(OR('R.M Billets Reports'!A1987="Date-",'R.M Billets Reports'!A1987="Date:-"),IF(IF(IF(ISNUMBER(SEARCH("Party Name:-",'R.M Billets Reports'!D1987)),TRIM('R.M Billets Reports'!F1987),IF(ISNUMBER(SEARCH("Party Name-",'R.M Billets Reports'!D1987)),TRIM(MID('R.M Billets Reports'!D1987,SEARCH("-",'R.M Billets Reports'!D1987)+1,200)),""))&lt;&gt;"",IF(ISNUMBER(SEARCH("Party Name:-",'R.M Billets Reports'!D1987)),TRIM('R.M Billets Reports'!F1987),IF(ISNUMBER(SEARCH("Party Name-",'R.M Billets Reports'!D1987)),TRIM(MID('R.M Billets Reports'!D1987,SEARCH("-",'R.M Billets Reports'!D1987)+1,200)),"")),IF(ISNUMBER(SEARCH("Party Name:-",'R.M Billets Reports'!D1988)),TRIM('R.M Billets Reports'!F1988),IF(ISNUMBER(SEARCH("Party Name-",'R.M Billets Reports'!D1988)),TRIM(MID('R.M Billets Reports'!D1988,SEARCH("-",'R.M Billets Reports'!D1988)+1,200)),"")))="VRKP ISPAT PVT LTD","VRKP",IF(IF(IF(ISNUMBER(SEARCH("Party Name:-",'R.M Billets Reports'!D1987)),TRIM('R.M Billets Reports'!F1987),IF(ISNUMBER(SEARCH("Party Name-",'R.M Billets Reports'!D1987)),TRIM(MID('R.M Billets Reports'!D1987,SEARCH("-",'R.M Billets Reports'!D1987)+1,200)),""))&lt;&gt;"",IF(ISNUMBER(SEARCH("Party Name:-",'R.M Billets Reports'!D1987)),TRIM('R.M Billets Reports'!F1987),IF(ISNUMBER(SEARCH("Party Name-",'R.M Billets Reports'!D1987)),TRIM(MID('R.M Billets Reports'!D1987,SEARCH("-",'R.M Billets Reports'!D1987)+1,200)),"")),IF(ISNUMBER(SEARCH("Party Name:-",'R.M Billets Reports'!D1988)),TRIM('R.M Billets Reports'!F1988),IF(ISNUMBER(SEARCH("Party Name-",'R.M Billets Reports'!D1988)),TRIM(MID('R.M Billets Reports'!D1988,SEARCH("-",'R.M Billets Reports'!D1988)+1,200)),"")))="SHRI RADHE","SHREE RADHE",IF(IF(IF(ISNUMBER(SEARCH("Party Name:-",'R.M Billets Reports'!D1987)),TRIM('R.M Billets Reports'!F1987),IF(ISNUMBER(SEARCH("Party Name-",'R.M Billets Reports'!D1987)),TRIM(MID('R.M Billets Reports'!D1987,SEARCH("-",'R.M Billets Reports'!D1987)+1,200)),""))&lt;&gt;"",IF(ISNUMBER(SEARCH("Party Name:-",'R.M Billets Reports'!D1987)),TRIM('R.M Billets Reports'!F1987),IF(ISNUMBER(SEARCH("Party Name-",'R.M Billets Reports'!D1987)),TRIM(MID('R.M Billets Reports'!D1987,SEARCH("-",'R.M Billets Reports'!D1987)+1,200)),"")),IF(ISNUMBER(SEARCH("Party Name:-",'R.M Billets Reports'!D1988)),TRIM('R.M Billets Reports'!F1988),IF(ISNUMBER(SEARCH("Party Name-",'R.M Billets Reports'!D1988)),TRIM(MID('R.M Billets Reports'!D1988,SEARCH("-",'R.M Billets Reports'!D1988)+1,200)),"")))="SHREE RADHE SHAKTI SPONGE AND POWER PVT. LTD.","SHREE RADHE",IF(IF(ISNUMBER(SEARCH("Party Name:-",'R.M Billets Reports'!D1987)),TRIM('R.M Billets Reports'!F1987),IF(ISNUMBER(SEARCH("Party Name-",'R.M Billets Reports'!D1987)),TRIM(MID('R.M Billets Reports'!D1987,SEARCH("-",'R.M Billets Reports'!D1987)+1,200)),""))&lt;&gt;"",IF(ISNUMBER(SEARCH("Party Name:-",'R.M Billets Reports'!D1987)),TRIM('R.M Billets Reports'!F1987),IF(ISNUMBER(SEARCH("Party Name-",'R.M Billets Reports'!D1987)),TRIM(MID('R.M Billets Reports'!D1987,SEARCH("-",'R.M Billets Reports'!D1987)+1,200)),"")),IF(ISNUMBER(SEARCH("Party Name:-",'R.M Billets Reports'!D1988)),TRIM('R.M Billets Reports'!F1988),IF(ISNUMBER(SEARCH("Party Name-",'R.M Billets Reports'!D1988)),TRIM(MID('R.M Billets Reports'!D1988,SEARCH("-",'R.M Billets Reports'!D1988)+1,200)),"")))))),IF(ROW()=2,"",A1987))</f>
      </c>
      <c r="B1988">
        <f>IF(OR('R.M Billets Reports'!A1987="Date-",'R.M Billets Reports'!A1987="Date:-"),'R.M Billets Reports'!B1987,IF(ROW()=2,"",B1987))</f>
      </c>
      <c r="C1988">
        <f>IF('R.M Billets Reports'!A1987="V.No.",'R.M Billets Reports'!B1987,IF(ROW()=2,"",C1987))</f>
      </c>
      <c r="D1988">
        <f>IF('R.M Billets Reports'!A1987&lt;&gt;"",'R.M Billets Reports'!A1987,IF(ROW()=2,"",D1987))</f>
      </c>
      <c r="E1988">
        <f>IF('R.M Billets Reports'!B1987="","",TRIM('R.M Billets Reports'!B1987))</f>
      </c>
      <c r="F1988">
        <f>'R.M Billets Reports'!C1987</f>
      </c>
      <c r="G1988">
        <f>'R.M Billets Reports'!D1987</f>
      </c>
      <c r="H1988">
        <f>'R.M Billets Reports'!E1987</f>
      </c>
      <c r="I1988">
        <f>'R.M Billets Reports'!F1987</f>
      </c>
      <c r="J1988">
        <f>'R.M Billets Reports'!G1987</f>
      </c>
      <c r="K1988">
        <f>'R.M Billets Reports'!H1987</f>
      </c>
      <c r="L1988">
        <f>IF('R.M Billets Reports'!I1987="","",'R.M Billets Reports'!I1987)</f>
      </c>
      <c r="M1988">
        <f t="shared" si="62"/>
      </c>
      <c r="N1988">
        <f>IF('R.M Billets Reports'!J1987="","",'R.M Billets Reports'!J1987)</f>
      </c>
      <c r="O1988">
        <f t="shared" si="63"/>
      </c>
      <c r="P1988">
        <f>IF('R.M Billets Reports'!A1987="SIZE",'R.M Billets Reports'!B1987,P1987)</f>
      </c>
    </row>
    <row r="1989" spans="1:16" x14ac:dyDescent="0.25">
      <c r="A1989">
        <f>IF(OR('R.M Billets Reports'!A1988="Date-",'R.M Billets Reports'!A1988="Date:-"),IF(IF(IF(ISNUMBER(SEARCH("Party Name:-",'R.M Billets Reports'!D1988)),TRIM('R.M Billets Reports'!F1988),IF(ISNUMBER(SEARCH("Party Name-",'R.M Billets Reports'!D1988)),TRIM(MID('R.M Billets Reports'!D1988,SEARCH("-",'R.M Billets Reports'!D1988)+1,200)),""))&lt;&gt;"",IF(ISNUMBER(SEARCH("Party Name:-",'R.M Billets Reports'!D1988)),TRIM('R.M Billets Reports'!F1988),IF(ISNUMBER(SEARCH("Party Name-",'R.M Billets Reports'!D1988)),TRIM(MID('R.M Billets Reports'!D1988,SEARCH("-",'R.M Billets Reports'!D1988)+1,200)),"")),IF(ISNUMBER(SEARCH("Party Name:-",'R.M Billets Reports'!D1989)),TRIM('R.M Billets Reports'!F1989),IF(ISNUMBER(SEARCH("Party Name-",'R.M Billets Reports'!D1989)),TRIM(MID('R.M Billets Reports'!D1989,SEARCH("-",'R.M Billets Reports'!D1989)+1,200)),"")))="VRKP ISPAT PVT LTD","VRKP",IF(IF(IF(ISNUMBER(SEARCH("Party Name:-",'R.M Billets Reports'!D1988)),TRIM('R.M Billets Reports'!F1988),IF(ISNUMBER(SEARCH("Party Name-",'R.M Billets Reports'!D1988)),TRIM(MID('R.M Billets Reports'!D1988,SEARCH("-",'R.M Billets Reports'!D1988)+1,200)),""))&lt;&gt;"",IF(ISNUMBER(SEARCH("Party Name:-",'R.M Billets Reports'!D1988)),TRIM('R.M Billets Reports'!F1988),IF(ISNUMBER(SEARCH("Party Name-",'R.M Billets Reports'!D1988)),TRIM(MID('R.M Billets Reports'!D1988,SEARCH("-",'R.M Billets Reports'!D1988)+1,200)),"")),IF(ISNUMBER(SEARCH("Party Name:-",'R.M Billets Reports'!D1989)),TRIM('R.M Billets Reports'!F1989),IF(ISNUMBER(SEARCH("Party Name-",'R.M Billets Reports'!D1989)),TRIM(MID('R.M Billets Reports'!D1989,SEARCH("-",'R.M Billets Reports'!D1989)+1,200)),"")))="SHRI RADHE","SHREE RADHE",IF(IF(IF(ISNUMBER(SEARCH("Party Name:-",'R.M Billets Reports'!D1988)),TRIM('R.M Billets Reports'!F1988),IF(ISNUMBER(SEARCH("Party Name-",'R.M Billets Reports'!D1988)),TRIM(MID('R.M Billets Reports'!D1988,SEARCH("-",'R.M Billets Reports'!D1988)+1,200)),""))&lt;&gt;"",IF(ISNUMBER(SEARCH("Party Name:-",'R.M Billets Reports'!D1988)),TRIM('R.M Billets Reports'!F1988),IF(ISNUMBER(SEARCH("Party Name-",'R.M Billets Reports'!D1988)),TRIM(MID('R.M Billets Reports'!D1988,SEARCH("-",'R.M Billets Reports'!D1988)+1,200)),"")),IF(ISNUMBER(SEARCH("Party Name:-",'R.M Billets Reports'!D1989)),TRIM('R.M Billets Reports'!F1989),IF(ISNUMBER(SEARCH("Party Name-",'R.M Billets Reports'!D1989)),TRIM(MID('R.M Billets Reports'!D1989,SEARCH("-",'R.M Billets Reports'!D1989)+1,200)),"")))="SHREE RADHE SHAKTI SPONGE AND POWER PVT. LTD.","SHREE RADHE",IF(IF(ISNUMBER(SEARCH("Party Name:-",'R.M Billets Reports'!D1988)),TRIM('R.M Billets Reports'!F1988),IF(ISNUMBER(SEARCH("Party Name-",'R.M Billets Reports'!D1988)),TRIM(MID('R.M Billets Reports'!D1988,SEARCH("-",'R.M Billets Reports'!D1988)+1,200)),""))&lt;&gt;"",IF(ISNUMBER(SEARCH("Party Name:-",'R.M Billets Reports'!D1988)),TRIM('R.M Billets Reports'!F1988),IF(ISNUMBER(SEARCH("Party Name-",'R.M Billets Reports'!D1988)),TRIM(MID('R.M Billets Reports'!D1988,SEARCH("-",'R.M Billets Reports'!D1988)+1,200)),"")),IF(ISNUMBER(SEARCH("Party Name:-",'R.M Billets Reports'!D1989)),TRIM('R.M Billets Reports'!F1989),IF(ISNUMBER(SEARCH("Party Name-",'R.M Billets Reports'!D1989)),TRIM(MID('R.M Billets Reports'!D1989,SEARCH("-",'R.M Billets Reports'!D1989)+1,200)),"")))))),IF(ROW()=2,"",A1988))</f>
      </c>
      <c r="B1989">
        <f>IF(OR('R.M Billets Reports'!A1988="Date-",'R.M Billets Reports'!A1988="Date:-"),'R.M Billets Reports'!B1988,IF(ROW()=2,"",B1988))</f>
      </c>
      <c r="C1989">
        <f>IF('R.M Billets Reports'!A1988="V.No.",'R.M Billets Reports'!B1988,IF(ROW()=2,"",C1988))</f>
      </c>
      <c r="D1989">
        <f>IF('R.M Billets Reports'!A1988&lt;&gt;"",'R.M Billets Reports'!A1988,IF(ROW()=2,"",D1988))</f>
      </c>
      <c r="E1989">
        <f>IF('R.M Billets Reports'!B1988="","",TRIM('R.M Billets Reports'!B1988))</f>
      </c>
      <c r="F1989">
        <f>'R.M Billets Reports'!C1988</f>
      </c>
      <c r="G1989">
        <f>'R.M Billets Reports'!D1988</f>
      </c>
      <c r="H1989">
        <f>'R.M Billets Reports'!E1988</f>
      </c>
      <c r="I1989">
        <f>'R.M Billets Reports'!F1988</f>
      </c>
      <c r="J1989">
        <f>'R.M Billets Reports'!G1988</f>
      </c>
      <c r="K1989">
        <f>'R.M Billets Reports'!H1988</f>
      </c>
      <c r="L1989">
        <f>IF('R.M Billets Reports'!I1988="","",'R.M Billets Reports'!I1988)</f>
      </c>
      <c r="M1989">
        <f t="shared" si="62"/>
      </c>
      <c r="N1989">
        <f>IF('R.M Billets Reports'!J1988="","",'R.M Billets Reports'!J1988)</f>
      </c>
      <c r="O1989">
        <f t="shared" si="63"/>
      </c>
      <c r="P1989">
        <f>IF('R.M Billets Reports'!A1988="SIZE",'R.M Billets Reports'!B1988,P1988)</f>
      </c>
    </row>
    <row r="1990" spans="1:16" x14ac:dyDescent="0.25">
      <c r="A1990">
        <f>IF(OR('R.M Billets Reports'!A1989="Date-",'R.M Billets Reports'!A1989="Date:-"),IF(IF(IF(ISNUMBER(SEARCH("Party Name:-",'R.M Billets Reports'!D1989)),TRIM('R.M Billets Reports'!F1989),IF(ISNUMBER(SEARCH("Party Name-",'R.M Billets Reports'!D1989)),TRIM(MID('R.M Billets Reports'!D1989,SEARCH("-",'R.M Billets Reports'!D1989)+1,200)),""))&lt;&gt;"",IF(ISNUMBER(SEARCH("Party Name:-",'R.M Billets Reports'!D1989)),TRIM('R.M Billets Reports'!F1989),IF(ISNUMBER(SEARCH("Party Name-",'R.M Billets Reports'!D1989)),TRIM(MID('R.M Billets Reports'!D1989,SEARCH("-",'R.M Billets Reports'!D1989)+1,200)),"")),IF(ISNUMBER(SEARCH("Party Name:-",'R.M Billets Reports'!D1990)),TRIM('R.M Billets Reports'!F1990),IF(ISNUMBER(SEARCH("Party Name-",'R.M Billets Reports'!D1990)),TRIM(MID('R.M Billets Reports'!D1990,SEARCH("-",'R.M Billets Reports'!D1990)+1,200)),"")))="VRKP ISPAT PVT LTD","VRKP",IF(IF(IF(ISNUMBER(SEARCH("Party Name:-",'R.M Billets Reports'!D1989)),TRIM('R.M Billets Reports'!F1989),IF(ISNUMBER(SEARCH("Party Name-",'R.M Billets Reports'!D1989)),TRIM(MID('R.M Billets Reports'!D1989,SEARCH("-",'R.M Billets Reports'!D1989)+1,200)),""))&lt;&gt;"",IF(ISNUMBER(SEARCH("Party Name:-",'R.M Billets Reports'!D1989)),TRIM('R.M Billets Reports'!F1989),IF(ISNUMBER(SEARCH("Party Name-",'R.M Billets Reports'!D1989)),TRIM(MID('R.M Billets Reports'!D1989,SEARCH("-",'R.M Billets Reports'!D1989)+1,200)),"")),IF(ISNUMBER(SEARCH("Party Name:-",'R.M Billets Reports'!D1990)),TRIM('R.M Billets Reports'!F1990),IF(ISNUMBER(SEARCH("Party Name-",'R.M Billets Reports'!D1990)),TRIM(MID('R.M Billets Reports'!D1990,SEARCH("-",'R.M Billets Reports'!D1990)+1,200)),"")))="SHRI RADHE","SHREE RADHE",IF(IF(IF(ISNUMBER(SEARCH("Party Name:-",'R.M Billets Reports'!D1989)),TRIM('R.M Billets Reports'!F1989),IF(ISNUMBER(SEARCH("Party Name-",'R.M Billets Reports'!D1989)),TRIM(MID('R.M Billets Reports'!D1989,SEARCH("-",'R.M Billets Reports'!D1989)+1,200)),""))&lt;&gt;"",IF(ISNUMBER(SEARCH("Party Name:-",'R.M Billets Reports'!D1989)),TRIM('R.M Billets Reports'!F1989),IF(ISNUMBER(SEARCH("Party Name-",'R.M Billets Reports'!D1989)),TRIM(MID('R.M Billets Reports'!D1989,SEARCH("-",'R.M Billets Reports'!D1989)+1,200)),"")),IF(ISNUMBER(SEARCH("Party Name:-",'R.M Billets Reports'!D1990)),TRIM('R.M Billets Reports'!F1990),IF(ISNUMBER(SEARCH("Party Name-",'R.M Billets Reports'!D1990)),TRIM(MID('R.M Billets Reports'!D1990,SEARCH("-",'R.M Billets Reports'!D1990)+1,200)),"")))="SHREE RADHE SHAKTI SPONGE AND POWER PVT. LTD.","SHREE RADHE",IF(IF(ISNUMBER(SEARCH("Party Name:-",'R.M Billets Reports'!D1989)),TRIM('R.M Billets Reports'!F1989),IF(ISNUMBER(SEARCH("Party Name-",'R.M Billets Reports'!D1989)),TRIM(MID('R.M Billets Reports'!D1989,SEARCH("-",'R.M Billets Reports'!D1989)+1,200)),""))&lt;&gt;"",IF(ISNUMBER(SEARCH("Party Name:-",'R.M Billets Reports'!D1989)),TRIM('R.M Billets Reports'!F1989),IF(ISNUMBER(SEARCH("Party Name-",'R.M Billets Reports'!D1989)),TRIM(MID('R.M Billets Reports'!D1989,SEARCH("-",'R.M Billets Reports'!D1989)+1,200)),"")),IF(ISNUMBER(SEARCH("Party Name:-",'R.M Billets Reports'!D1990)),TRIM('R.M Billets Reports'!F1990),IF(ISNUMBER(SEARCH("Party Name-",'R.M Billets Reports'!D1990)),TRIM(MID('R.M Billets Reports'!D1990,SEARCH("-",'R.M Billets Reports'!D1990)+1,200)),"")))))),IF(ROW()=2,"",A1989))</f>
      </c>
      <c r="B1990">
        <f>IF(OR('R.M Billets Reports'!A1989="Date-",'R.M Billets Reports'!A1989="Date:-"),'R.M Billets Reports'!B1989,IF(ROW()=2,"",B1989))</f>
      </c>
      <c r="C1990">
        <f>IF('R.M Billets Reports'!A1989="V.No.",'R.M Billets Reports'!B1989,IF(ROW()=2,"",C1989))</f>
      </c>
      <c r="D1990">
        <f>IF('R.M Billets Reports'!A1989&lt;&gt;"",'R.M Billets Reports'!A1989,IF(ROW()=2,"",D1989))</f>
      </c>
      <c r="E1990">
        <f>IF('R.M Billets Reports'!B1989="","",TRIM('R.M Billets Reports'!B1989))</f>
      </c>
      <c r="F1990">
        <f>'R.M Billets Reports'!C1989</f>
      </c>
      <c r="G1990">
        <f>'R.M Billets Reports'!D1989</f>
      </c>
      <c r="H1990">
        <f>'R.M Billets Reports'!E1989</f>
      </c>
      <c r="I1990">
        <f>'R.M Billets Reports'!F1989</f>
      </c>
      <c r="J1990">
        <f>'R.M Billets Reports'!G1989</f>
      </c>
      <c r="K1990">
        <f>'R.M Billets Reports'!H1989</f>
      </c>
      <c r="L1990">
        <f>IF('R.M Billets Reports'!I1989="","",'R.M Billets Reports'!I1989)</f>
      </c>
      <c r="M1990">
        <f t="shared" si="62"/>
      </c>
      <c r="N1990">
        <f>IF('R.M Billets Reports'!J1989="","",'R.M Billets Reports'!J1989)</f>
      </c>
      <c r="O1990">
        <f t="shared" si="63"/>
      </c>
      <c r="P1990">
        <f>IF('R.M Billets Reports'!A1989="SIZE",'R.M Billets Reports'!B1989,P1989)</f>
      </c>
    </row>
    <row r="1991" spans="1:16" x14ac:dyDescent="0.25">
      <c r="A1991">
        <f>IF(OR('R.M Billets Reports'!A1990="Date-",'R.M Billets Reports'!A1990="Date:-"),IF(IF(IF(ISNUMBER(SEARCH("Party Name:-",'R.M Billets Reports'!D1990)),TRIM('R.M Billets Reports'!F1990),IF(ISNUMBER(SEARCH("Party Name-",'R.M Billets Reports'!D1990)),TRIM(MID('R.M Billets Reports'!D1990,SEARCH("-",'R.M Billets Reports'!D1990)+1,200)),""))&lt;&gt;"",IF(ISNUMBER(SEARCH("Party Name:-",'R.M Billets Reports'!D1990)),TRIM('R.M Billets Reports'!F1990),IF(ISNUMBER(SEARCH("Party Name-",'R.M Billets Reports'!D1990)),TRIM(MID('R.M Billets Reports'!D1990,SEARCH("-",'R.M Billets Reports'!D1990)+1,200)),"")),IF(ISNUMBER(SEARCH("Party Name:-",'R.M Billets Reports'!D1991)),TRIM('R.M Billets Reports'!F1991),IF(ISNUMBER(SEARCH("Party Name-",'R.M Billets Reports'!D1991)),TRIM(MID('R.M Billets Reports'!D1991,SEARCH("-",'R.M Billets Reports'!D1991)+1,200)),"")))="VRKP ISPAT PVT LTD","VRKP",IF(IF(IF(ISNUMBER(SEARCH("Party Name:-",'R.M Billets Reports'!D1990)),TRIM('R.M Billets Reports'!F1990),IF(ISNUMBER(SEARCH("Party Name-",'R.M Billets Reports'!D1990)),TRIM(MID('R.M Billets Reports'!D1990,SEARCH("-",'R.M Billets Reports'!D1990)+1,200)),""))&lt;&gt;"",IF(ISNUMBER(SEARCH("Party Name:-",'R.M Billets Reports'!D1990)),TRIM('R.M Billets Reports'!F1990),IF(ISNUMBER(SEARCH("Party Name-",'R.M Billets Reports'!D1990)),TRIM(MID('R.M Billets Reports'!D1990,SEARCH("-",'R.M Billets Reports'!D1990)+1,200)),"")),IF(ISNUMBER(SEARCH("Party Name:-",'R.M Billets Reports'!D1991)),TRIM('R.M Billets Reports'!F1991),IF(ISNUMBER(SEARCH("Party Name-",'R.M Billets Reports'!D1991)),TRIM(MID('R.M Billets Reports'!D1991,SEARCH("-",'R.M Billets Reports'!D1991)+1,200)),"")))="SHRI RADHE","SHREE RADHE",IF(IF(IF(ISNUMBER(SEARCH("Party Name:-",'R.M Billets Reports'!D1990)),TRIM('R.M Billets Reports'!F1990),IF(ISNUMBER(SEARCH("Party Name-",'R.M Billets Reports'!D1990)),TRIM(MID('R.M Billets Reports'!D1990,SEARCH("-",'R.M Billets Reports'!D1990)+1,200)),""))&lt;&gt;"",IF(ISNUMBER(SEARCH("Party Name:-",'R.M Billets Reports'!D1990)),TRIM('R.M Billets Reports'!F1990),IF(ISNUMBER(SEARCH("Party Name-",'R.M Billets Reports'!D1990)),TRIM(MID('R.M Billets Reports'!D1990,SEARCH("-",'R.M Billets Reports'!D1990)+1,200)),"")),IF(ISNUMBER(SEARCH("Party Name:-",'R.M Billets Reports'!D1991)),TRIM('R.M Billets Reports'!F1991),IF(ISNUMBER(SEARCH("Party Name-",'R.M Billets Reports'!D1991)),TRIM(MID('R.M Billets Reports'!D1991,SEARCH("-",'R.M Billets Reports'!D1991)+1,200)),"")))="SHREE RADHE SHAKTI SPONGE AND POWER PVT. LTD.","SHREE RADHE",IF(IF(ISNUMBER(SEARCH("Party Name:-",'R.M Billets Reports'!D1990)),TRIM('R.M Billets Reports'!F1990),IF(ISNUMBER(SEARCH("Party Name-",'R.M Billets Reports'!D1990)),TRIM(MID('R.M Billets Reports'!D1990,SEARCH("-",'R.M Billets Reports'!D1990)+1,200)),""))&lt;&gt;"",IF(ISNUMBER(SEARCH("Party Name:-",'R.M Billets Reports'!D1990)),TRIM('R.M Billets Reports'!F1990),IF(ISNUMBER(SEARCH("Party Name-",'R.M Billets Reports'!D1990)),TRIM(MID('R.M Billets Reports'!D1990,SEARCH("-",'R.M Billets Reports'!D1990)+1,200)),"")),IF(ISNUMBER(SEARCH("Party Name:-",'R.M Billets Reports'!D1991)),TRIM('R.M Billets Reports'!F1991),IF(ISNUMBER(SEARCH("Party Name-",'R.M Billets Reports'!D1991)),TRIM(MID('R.M Billets Reports'!D1991,SEARCH("-",'R.M Billets Reports'!D1991)+1,200)),"")))))),IF(ROW()=2,"",A1990))</f>
      </c>
      <c r="B1991">
        <f>IF(OR('R.M Billets Reports'!A1990="Date-",'R.M Billets Reports'!A1990="Date:-"),'R.M Billets Reports'!B1990,IF(ROW()=2,"",B1990))</f>
      </c>
      <c r="C1991">
        <f>IF('R.M Billets Reports'!A1990="V.No.",'R.M Billets Reports'!B1990,IF(ROW()=2,"",C1990))</f>
      </c>
      <c r="D1991">
        <f>IF('R.M Billets Reports'!A1990&lt;&gt;"",'R.M Billets Reports'!A1990,IF(ROW()=2,"",D1990))</f>
      </c>
      <c r="E1991">
        <f>IF('R.M Billets Reports'!B1990="","",TRIM('R.M Billets Reports'!B1990))</f>
      </c>
      <c r="F1991">
        <f>'R.M Billets Reports'!C1990</f>
      </c>
      <c r="G1991">
        <f>'R.M Billets Reports'!D1990</f>
      </c>
      <c r="H1991">
        <f>'R.M Billets Reports'!E1990</f>
      </c>
      <c r="I1991">
        <f>'R.M Billets Reports'!F1990</f>
      </c>
      <c r="J1991">
        <f>'R.M Billets Reports'!G1990</f>
      </c>
      <c r="K1991">
        <f>'R.M Billets Reports'!H1990</f>
      </c>
      <c r="L1991">
        <f>IF('R.M Billets Reports'!I1990="","",'R.M Billets Reports'!I1990)</f>
      </c>
      <c r="M1991">
        <f t="shared" si="62"/>
      </c>
      <c r="N1991">
        <f>IF('R.M Billets Reports'!J1990="","",'R.M Billets Reports'!J1990)</f>
      </c>
      <c r="O1991">
        <f t="shared" si="63"/>
      </c>
      <c r="P1991">
        <f>IF('R.M Billets Reports'!A1990="SIZE",'R.M Billets Reports'!B1990,P1990)</f>
      </c>
    </row>
    <row r="1992" spans="1:16" x14ac:dyDescent="0.25">
      <c r="A1992">
        <f>IF(OR('R.M Billets Reports'!A1991="Date-",'R.M Billets Reports'!A1991="Date:-"),IF(IF(IF(ISNUMBER(SEARCH("Party Name:-",'R.M Billets Reports'!D1991)),TRIM('R.M Billets Reports'!F1991),IF(ISNUMBER(SEARCH("Party Name-",'R.M Billets Reports'!D1991)),TRIM(MID('R.M Billets Reports'!D1991,SEARCH("-",'R.M Billets Reports'!D1991)+1,200)),""))&lt;&gt;"",IF(ISNUMBER(SEARCH("Party Name:-",'R.M Billets Reports'!D1991)),TRIM('R.M Billets Reports'!F1991),IF(ISNUMBER(SEARCH("Party Name-",'R.M Billets Reports'!D1991)),TRIM(MID('R.M Billets Reports'!D1991,SEARCH("-",'R.M Billets Reports'!D1991)+1,200)),"")),IF(ISNUMBER(SEARCH("Party Name:-",'R.M Billets Reports'!D1992)),TRIM('R.M Billets Reports'!F1992),IF(ISNUMBER(SEARCH("Party Name-",'R.M Billets Reports'!D1992)),TRIM(MID('R.M Billets Reports'!D1992,SEARCH("-",'R.M Billets Reports'!D1992)+1,200)),"")))="VRKP ISPAT PVT LTD","VRKP",IF(IF(IF(ISNUMBER(SEARCH("Party Name:-",'R.M Billets Reports'!D1991)),TRIM('R.M Billets Reports'!F1991),IF(ISNUMBER(SEARCH("Party Name-",'R.M Billets Reports'!D1991)),TRIM(MID('R.M Billets Reports'!D1991,SEARCH("-",'R.M Billets Reports'!D1991)+1,200)),""))&lt;&gt;"",IF(ISNUMBER(SEARCH("Party Name:-",'R.M Billets Reports'!D1991)),TRIM('R.M Billets Reports'!F1991),IF(ISNUMBER(SEARCH("Party Name-",'R.M Billets Reports'!D1991)),TRIM(MID('R.M Billets Reports'!D1991,SEARCH("-",'R.M Billets Reports'!D1991)+1,200)),"")),IF(ISNUMBER(SEARCH("Party Name:-",'R.M Billets Reports'!D1992)),TRIM('R.M Billets Reports'!F1992),IF(ISNUMBER(SEARCH("Party Name-",'R.M Billets Reports'!D1992)),TRIM(MID('R.M Billets Reports'!D1992,SEARCH("-",'R.M Billets Reports'!D1992)+1,200)),"")))="SHRI RADHE","SHREE RADHE",IF(IF(IF(ISNUMBER(SEARCH("Party Name:-",'R.M Billets Reports'!D1991)),TRIM('R.M Billets Reports'!F1991),IF(ISNUMBER(SEARCH("Party Name-",'R.M Billets Reports'!D1991)),TRIM(MID('R.M Billets Reports'!D1991,SEARCH("-",'R.M Billets Reports'!D1991)+1,200)),""))&lt;&gt;"",IF(ISNUMBER(SEARCH("Party Name:-",'R.M Billets Reports'!D1991)),TRIM('R.M Billets Reports'!F1991),IF(ISNUMBER(SEARCH("Party Name-",'R.M Billets Reports'!D1991)),TRIM(MID('R.M Billets Reports'!D1991,SEARCH("-",'R.M Billets Reports'!D1991)+1,200)),"")),IF(ISNUMBER(SEARCH("Party Name:-",'R.M Billets Reports'!D1992)),TRIM('R.M Billets Reports'!F1992),IF(ISNUMBER(SEARCH("Party Name-",'R.M Billets Reports'!D1992)),TRIM(MID('R.M Billets Reports'!D1992,SEARCH("-",'R.M Billets Reports'!D1992)+1,200)),"")))="SHREE RADHE SHAKTI SPONGE AND POWER PVT. LTD.","SHREE RADHE",IF(IF(ISNUMBER(SEARCH("Party Name:-",'R.M Billets Reports'!D1991)),TRIM('R.M Billets Reports'!F1991),IF(ISNUMBER(SEARCH("Party Name-",'R.M Billets Reports'!D1991)),TRIM(MID('R.M Billets Reports'!D1991,SEARCH("-",'R.M Billets Reports'!D1991)+1,200)),""))&lt;&gt;"",IF(ISNUMBER(SEARCH("Party Name:-",'R.M Billets Reports'!D1991)),TRIM('R.M Billets Reports'!F1991),IF(ISNUMBER(SEARCH("Party Name-",'R.M Billets Reports'!D1991)),TRIM(MID('R.M Billets Reports'!D1991,SEARCH("-",'R.M Billets Reports'!D1991)+1,200)),"")),IF(ISNUMBER(SEARCH("Party Name:-",'R.M Billets Reports'!D1992)),TRIM('R.M Billets Reports'!F1992),IF(ISNUMBER(SEARCH("Party Name-",'R.M Billets Reports'!D1992)),TRIM(MID('R.M Billets Reports'!D1992,SEARCH("-",'R.M Billets Reports'!D1992)+1,200)),"")))))),IF(ROW()=2,"",A1991))</f>
      </c>
      <c r="B1992">
        <f>IF(OR('R.M Billets Reports'!A1991="Date-",'R.M Billets Reports'!A1991="Date:-"),'R.M Billets Reports'!B1991,IF(ROW()=2,"",B1991))</f>
      </c>
      <c r="C1992">
        <f>IF('R.M Billets Reports'!A1991="V.No.",'R.M Billets Reports'!B1991,IF(ROW()=2,"",C1991))</f>
      </c>
      <c r="D1992">
        <f>IF('R.M Billets Reports'!A1991&lt;&gt;"",'R.M Billets Reports'!A1991,IF(ROW()=2,"",D1991))</f>
      </c>
      <c r="E1992">
        <f>IF('R.M Billets Reports'!B1991="","",TRIM('R.M Billets Reports'!B1991))</f>
      </c>
      <c r="F1992">
        <f>'R.M Billets Reports'!C1991</f>
      </c>
      <c r="G1992">
        <f>'R.M Billets Reports'!D1991</f>
      </c>
      <c r="H1992">
        <f>'R.M Billets Reports'!E1991</f>
      </c>
      <c r="I1992">
        <f>'R.M Billets Reports'!F1991</f>
      </c>
      <c r="J1992">
        <f>'R.M Billets Reports'!G1991</f>
      </c>
      <c r="K1992">
        <f>'R.M Billets Reports'!H1991</f>
      </c>
      <c r="L1992">
        <f>IF('R.M Billets Reports'!I1991="","",'R.M Billets Reports'!I1991)</f>
      </c>
      <c r="M1992">
        <f t="shared" si="62"/>
      </c>
      <c r="N1992">
        <f>IF('R.M Billets Reports'!J1991="","",'R.M Billets Reports'!J1991)</f>
      </c>
      <c r="O1992">
        <f t="shared" si="63"/>
      </c>
      <c r="P1992">
        <f>IF('R.M Billets Reports'!A1991="SIZE",'R.M Billets Reports'!B1991,P1991)</f>
      </c>
    </row>
    <row r="1993" spans="1:16" x14ac:dyDescent="0.25">
      <c r="A1993">
        <f>IF(OR('R.M Billets Reports'!A1992="Date-",'R.M Billets Reports'!A1992="Date:-"),IF(IF(IF(ISNUMBER(SEARCH("Party Name:-",'R.M Billets Reports'!D1992)),TRIM('R.M Billets Reports'!F1992),IF(ISNUMBER(SEARCH("Party Name-",'R.M Billets Reports'!D1992)),TRIM(MID('R.M Billets Reports'!D1992,SEARCH("-",'R.M Billets Reports'!D1992)+1,200)),""))&lt;&gt;"",IF(ISNUMBER(SEARCH("Party Name:-",'R.M Billets Reports'!D1992)),TRIM('R.M Billets Reports'!F1992),IF(ISNUMBER(SEARCH("Party Name-",'R.M Billets Reports'!D1992)),TRIM(MID('R.M Billets Reports'!D1992,SEARCH("-",'R.M Billets Reports'!D1992)+1,200)),"")),IF(ISNUMBER(SEARCH("Party Name:-",'R.M Billets Reports'!D1993)),TRIM('R.M Billets Reports'!F1993),IF(ISNUMBER(SEARCH("Party Name-",'R.M Billets Reports'!D1993)),TRIM(MID('R.M Billets Reports'!D1993,SEARCH("-",'R.M Billets Reports'!D1993)+1,200)),"")))="VRKP ISPAT PVT LTD","VRKP",IF(IF(IF(ISNUMBER(SEARCH("Party Name:-",'R.M Billets Reports'!D1992)),TRIM('R.M Billets Reports'!F1992),IF(ISNUMBER(SEARCH("Party Name-",'R.M Billets Reports'!D1992)),TRIM(MID('R.M Billets Reports'!D1992,SEARCH("-",'R.M Billets Reports'!D1992)+1,200)),""))&lt;&gt;"",IF(ISNUMBER(SEARCH("Party Name:-",'R.M Billets Reports'!D1992)),TRIM('R.M Billets Reports'!F1992),IF(ISNUMBER(SEARCH("Party Name-",'R.M Billets Reports'!D1992)),TRIM(MID('R.M Billets Reports'!D1992,SEARCH("-",'R.M Billets Reports'!D1992)+1,200)),"")),IF(ISNUMBER(SEARCH("Party Name:-",'R.M Billets Reports'!D1993)),TRIM('R.M Billets Reports'!F1993),IF(ISNUMBER(SEARCH("Party Name-",'R.M Billets Reports'!D1993)),TRIM(MID('R.M Billets Reports'!D1993,SEARCH("-",'R.M Billets Reports'!D1993)+1,200)),"")))="SHRI RADHE","SHREE RADHE",IF(IF(IF(ISNUMBER(SEARCH("Party Name:-",'R.M Billets Reports'!D1992)),TRIM('R.M Billets Reports'!F1992),IF(ISNUMBER(SEARCH("Party Name-",'R.M Billets Reports'!D1992)),TRIM(MID('R.M Billets Reports'!D1992,SEARCH("-",'R.M Billets Reports'!D1992)+1,200)),""))&lt;&gt;"",IF(ISNUMBER(SEARCH("Party Name:-",'R.M Billets Reports'!D1992)),TRIM('R.M Billets Reports'!F1992),IF(ISNUMBER(SEARCH("Party Name-",'R.M Billets Reports'!D1992)),TRIM(MID('R.M Billets Reports'!D1992,SEARCH("-",'R.M Billets Reports'!D1992)+1,200)),"")),IF(ISNUMBER(SEARCH("Party Name:-",'R.M Billets Reports'!D1993)),TRIM('R.M Billets Reports'!F1993),IF(ISNUMBER(SEARCH("Party Name-",'R.M Billets Reports'!D1993)),TRIM(MID('R.M Billets Reports'!D1993,SEARCH("-",'R.M Billets Reports'!D1993)+1,200)),"")))="SHREE RADHE SHAKTI SPONGE AND POWER PVT. LTD.","SHREE RADHE",IF(IF(ISNUMBER(SEARCH("Party Name:-",'R.M Billets Reports'!D1992)),TRIM('R.M Billets Reports'!F1992),IF(ISNUMBER(SEARCH("Party Name-",'R.M Billets Reports'!D1992)),TRIM(MID('R.M Billets Reports'!D1992,SEARCH("-",'R.M Billets Reports'!D1992)+1,200)),""))&lt;&gt;"",IF(ISNUMBER(SEARCH("Party Name:-",'R.M Billets Reports'!D1992)),TRIM('R.M Billets Reports'!F1992),IF(ISNUMBER(SEARCH("Party Name-",'R.M Billets Reports'!D1992)),TRIM(MID('R.M Billets Reports'!D1992,SEARCH("-",'R.M Billets Reports'!D1992)+1,200)),"")),IF(ISNUMBER(SEARCH("Party Name:-",'R.M Billets Reports'!D1993)),TRIM('R.M Billets Reports'!F1993),IF(ISNUMBER(SEARCH("Party Name-",'R.M Billets Reports'!D1993)),TRIM(MID('R.M Billets Reports'!D1993,SEARCH("-",'R.M Billets Reports'!D1993)+1,200)),"")))))),IF(ROW()=2,"",A1992))</f>
      </c>
      <c r="B1993">
        <f>IF(OR('R.M Billets Reports'!A1992="Date-",'R.M Billets Reports'!A1992="Date:-"),'R.M Billets Reports'!B1992,IF(ROW()=2,"",B1992))</f>
      </c>
      <c r="C1993">
        <f>IF('R.M Billets Reports'!A1992="V.No.",'R.M Billets Reports'!B1992,IF(ROW()=2,"",C1992))</f>
      </c>
      <c r="D1993">
        <f>IF('R.M Billets Reports'!A1992&lt;&gt;"",'R.M Billets Reports'!A1992,IF(ROW()=2,"",D1992))</f>
      </c>
      <c r="E1993">
        <f>IF('R.M Billets Reports'!B1992="","",TRIM('R.M Billets Reports'!B1992))</f>
      </c>
      <c r="F1993">
        <f>'R.M Billets Reports'!C1992</f>
      </c>
      <c r="G1993">
        <f>'R.M Billets Reports'!D1992</f>
      </c>
      <c r="H1993">
        <f>'R.M Billets Reports'!E1992</f>
      </c>
      <c r="I1993">
        <f>'R.M Billets Reports'!F1992</f>
      </c>
      <c r="J1993">
        <f>'R.M Billets Reports'!G1992</f>
      </c>
      <c r="K1993">
        <f>'R.M Billets Reports'!H1992</f>
      </c>
      <c r="L1993">
        <f>IF('R.M Billets Reports'!I1992="","",'R.M Billets Reports'!I1992)</f>
      </c>
      <c r="M1993">
        <f t="shared" si="62"/>
      </c>
      <c r="N1993">
        <f>IF('R.M Billets Reports'!J1992="","",'R.M Billets Reports'!J1992)</f>
      </c>
      <c r="O1993">
        <f t="shared" si="63"/>
      </c>
      <c r="P1993">
        <f>IF('R.M Billets Reports'!A1992="SIZE",'R.M Billets Reports'!B1992,P1992)</f>
      </c>
    </row>
    <row r="1994" spans="1:16" x14ac:dyDescent="0.25">
      <c r="A1994">
        <f>IF(OR('R.M Billets Reports'!A1993="Date-",'R.M Billets Reports'!A1993="Date:-"),IF(IF(IF(ISNUMBER(SEARCH("Party Name:-",'R.M Billets Reports'!D1993)),TRIM('R.M Billets Reports'!F1993),IF(ISNUMBER(SEARCH("Party Name-",'R.M Billets Reports'!D1993)),TRIM(MID('R.M Billets Reports'!D1993,SEARCH("-",'R.M Billets Reports'!D1993)+1,200)),""))&lt;&gt;"",IF(ISNUMBER(SEARCH("Party Name:-",'R.M Billets Reports'!D1993)),TRIM('R.M Billets Reports'!F1993),IF(ISNUMBER(SEARCH("Party Name-",'R.M Billets Reports'!D1993)),TRIM(MID('R.M Billets Reports'!D1993,SEARCH("-",'R.M Billets Reports'!D1993)+1,200)),"")),IF(ISNUMBER(SEARCH("Party Name:-",'R.M Billets Reports'!D1994)),TRIM('R.M Billets Reports'!F1994),IF(ISNUMBER(SEARCH("Party Name-",'R.M Billets Reports'!D1994)),TRIM(MID('R.M Billets Reports'!D1994,SEARCH("-",'R.M Billets Reports'!D1994)+1,200)),"")))="VRKP ISPAT PVT LTD","VRKP",IF(IF(IF(ISNUMBER(SEARCH("Party Name:-",'R.M Billets Reports'!D1993)),TRIM('R.M Billets Reports'!F1993),IF(ISNUMBER(SEARCH("Party Name-",'R.M Billets Reports'!D1993)),TRIM(MID('R.M Billets Reports'!D1993,SEARCH("-",'R.M Billets Reports'!D1993)+1,200)),""))&lt;&gt;"",IF(ISNUMBER(SEARCH("Party Name:-",'R.M Billets Reports'!D1993)),TRIM('R.M Billets Reports'!F1993),IF(ISNUMBER(SEARCH("Party Name-",'R.M Billets Reports'!D1993)),TRIM(MID('R.M Billets Reports'!D1993,SEARCH("-",'R.M Billets Reports'!D1993)+1,200)),"")),IF(ISNUMBER(SEARCH("Party Name:-",'R.M Billets Reports'!D1994)),TRIM('R.M Billets Reports'!F1994),IF(ISNUMBER(SEARCH("Party Name-",'R.M Billets Reports'!D1994)),TRIM(MID('R.M Billets Reports'!D1994,SEARCH("-",'R.M Billets Reports'!D1994)+1,200)),"")))="SHRI RADHE","SHREE RADHE",IF(IF(IF(ISNUMBER(SEARCH("Party Name:-",'R.M Billets Reports'!D1993)),TRIM('R.M Billets Reports'!F1993),IF(ISNUMBER(SEARCH("Party Name-",'R.M Billets Reports'!D1993)),TRIM(MID('R.M Billets Reports'!D1993,SEARCH("-",'R.M Billets Reports'!D1993)+1,200)),""))&lt;&gt;"",IF(ISNUMBER(SEARCH("Party Name:-",'R.M Billets Reports'!D1993)),TRIM('R.M Billets Reports'!F1993),IF(ISNUMBER(SEARCH("Party Name-",'R.M Billets Reports'!D1993)),TRIM(MID('R.M Billets Reports'!D1993,SEARCH("-",'R.M Billets Reports'!D1993)+1,200)),"")),IF(ISNUMBER(SEARCH("Party Name:-",'R.M Billets Reports'!D1994)),TRIM('R.M Billets Reports'!F1994),IF(ISNUMBER(SEARCH("Party Name-",'R.M Billets Reports'!D1994)),TRIM(MID('R.M Billets Reports'!D1994,SEARCH("-",'R.M Billets Reports'!D1994)+1,200)),"")))="SHREE RADHE SHAKTI SPONGE AND POWER PVT. LTD.","SHREE RADHE",IF(IF(ISNUMBER(SEARCH("Party Name:-",'R.M Billets Reports'!D1993)),TRIM('R.M Billets Reports'!F1993),IF(ISNUMBER(SEARCH("Party Name-",'R.M Billets Reports'!D1993)),TRIM(MID('R.M Billets Reports'!D1993,SEARCH("-",'R.M Billets Reports'!D1993)+1,200)),""))&lt;&gt;"",IF(ISNUMBER(SEARCH("Party Name:-",'R.M Billets Reports'!D1993)),TRIM('R.M Billets Reports'!F1993),IF(ISNUMBER(SEARCH("Party Name-",'R.M Billets Reports'!D1993)),TRIM(MID('R.M Billets Reports'!D1993,SEARCH("-",'R.M Billets Reports'!D1993)+1,200)),"")),IF(ISNUMBER(SEARCH("Party Name:-",'R.M Billets Reports'!D1994)),TRIM('R.M Billets Reports'!F1994),IF(ISNUMBER(SEARCH("Party Name-",'R.M Billets Reports'!D1994)),TRIM(MID('R.M Billets Reports'!D1994,SEARCH("-",'R.M Billets Reports'!D1994)+1,200)),"")))))),IF(ROW()=2,"",A1993))</f>
      </c>
      <c r="B1994">
        <f>IF(OR('R.M Billets Reports'!A1993="Date-",'R.M Billets Reports'!A1993="Date:-"),'R.M Billets Reports'!B1993,IF(ROW()=2,"",B1993))</f>
      </c>
      <c r="C1994">
        <f>IF('R.M Billets Reports'!A1993="V.No.",'R.M Billets Reports'!B1993,IF(ROW()=2,"",C1993))</f>
      </c>
      <c r="D1994">
        <f>IF('R.M Billets Reports'!A1993&lt;&gt;"",'R.M Billets Reports'!A1993,IF(ROW()=2,"",D1993))</f>
      </c>
      <c r="E1994">
        <f>IF('R.M Billets Reports'!B1993="","",TRIM('R.M Billets Reports'!B1993))</f>
      </c>
      <c r="F1994">
        <f>'R.M Billets Reports'!C1993</f>
      </c>
      <c r="G1994">
        <f>'R.M Billets Reports'!D1993</f>
      </c>
      <c r="H1994">
        <f>'R.M Billets Reports'!E1993</f>
      </c>
      <c r="I1994">
        <f>'R.M Billets Reports'!F1993</f>
      </c>
      <c r="J1994">
        <f>'R.M Billets Reports'!G1993</f>
      </c>
      <c r="K1994">
        <f>'R.M Billets Reports'!H1993</f>
      </c>
      <c r="L1994">
        <f>IF('R.M Billets Reports'!I1993="","",'R.M Billets Reports'!I1993)</f>
      </c>
      <c r="M1994">
        <f t="shared" si="62"/>
      </c>
      <c r="N1994">
        <f>IF('R.M Billets Reports'!J1993="","",'R.M Billets Reports'!J1993)</f>
      </c>
      <c r="O1994">
        <f t="shared" si="63"/>
      </c>
      <c r="P1994">
        <f>IF('R.M Billets Reports'!A1993="SIZE",'R.M Billets Reports'!B1993,P1993)</f>
      </c>
    </row>
    <row r="1995" spans="1:16" x14ac:dyDescent="0.25">
      <c r="A1995">
        <f>IF(OR('R.M Billets Reports'!A1994="Date-",'R.M Billets Reports'!A1994="Date:-"),IF(IF(IF(ISNUMBER(SEARCH("Party Name:-",'R.M Billets Reports'!D1994)),TRIM('R.M Billets Reports'!F1994),IF(ISNUMBER(SEARCH("Party Name-",'R.M Billets Reports'!D1994)),TRIM(MID('R.M Billets Reports'!D1994,SEARCH("-",'R.M Billets Reports'!D1994)+1,200)),""))&lt;&gt;"",IF(ISNUMBER(SEARCH("Party Name:-",'R.M Billets Reports'!D1994)),TRIM('R.M Billets Reports'!F1994),IF(ISNUMBER(SEARCH("Party Name-",'R.M Billets Reports'!D1994)),TRIM(MID('R.M Billets Reports'!D1994,SEARCH("-",'R.M Billets Reports'!D1994)+1,200)),"")),IF(ISNUMBER(SEARCH("Party Name:-",'R.M Billets Reports'!D1995)),TRIM('R.M Billets Reports'!F1995),IF(ISNUMBER(SEARCH("Party Name-",'R.M Billets Reports'!D1995)),TRIM(MID('R.M Billets Reports'!D1995,SEARCH("-",'R.M Billets Reports'!D1995)+1,200)),"")))="VRKP ISPAT PVT LTD","VRKP",IF(IF(IF(ISNUMBER(SEARCH("Party Name:-",'R.M Billets Reports'!D1994)),TRIM('R.M Billets Reports'!F1994),IF(ISNUMBER(SEARCH("Party Name-",'R.M Billets Reports'!D1994)),TRIM(MID('R.M Billets Reports'!D1994,SEARCH("-",'R.M Billets Reports'!D1994)+1,200)),""))&lt;&gt;"",IF(ISNUMBER(SEARCH("Party Name:-",'R.M Billets Reports'!D1994)),TRIM('R.M Billets Reports'!F1994),IF(ISNUMBER(SEARCH("Party Name-",'R.M Billets Reports'!D1994)),TRIM(MID('R.M Billets Reports'!D1994,SEARCH("-",'R.M Billets Reports'!D1994)+1,200)),"")),IF(ISNUMBER(SEARCH("Party Name:-",'R.M Billets Reports'!D1995)),TRIM('R.M Billets Reports'!F1995),IF(ISNUMBER(SEARCH("Party Name-",'R.M Billets Reports'!D1995)),TRIM(MID('R.M Billets Reports'!D1995,SEARCH("-",'R.M Billets Reports'!D1995)+1,200)),"")))="SHRI RADHE","SHREE RADHE",IF(IF(IF(ISNUMBER(SEARCH("Party Name:-",'R.M Billets Reports'!D1994)),TRIM('R.M Billets Reports'!F1994),IF(ISNUMBER(SEARCH("Party Name-",'R.M Billets Reports'!D1994)),TRIM(MID('R.M Billets Reports'!D1994,SEARCH("-",'R.M Billets Reports'!D1994)+1,200)),""))&lt;&gt;"",IF(ISNUMBER(SEARCH("Party Name:-",'R.M Billets Reports'!D1994)),TRIM('R.M Billets Reports'!F1994),IF(ISNUMBER(SEARCH("Party Name-",'R.M Billets Reports'!D1994)),TRIM(MID('R.M Billets Reports'!D1994,SEARCH("-",'R.M Billets Reports'!D1994)+1,200)),"")),IF(ISNUMBER(SEARCH("Party Name:-",'R.M Billets Reports'!D1995)),TRIM('R.M Billets Reports'!F1995),IF(ISNUMBER(SEARCH("Party Name-",'R.M Billets Reports'!D1995)),TRIM(MID('R.M Billets Reports'!D1995,SEARCH("-",'R.M Billets Reports'!D1995)+1,200)),"")))="SHREE RADHE SHAKTI SPONGE AND POWER PVT. LTD.","SHREE RADHE",IF(IF(ISNUMBER(SEARCH("Party Name:-",'R.M Billets Reports'!D1994)),TRIM('R.M Billets Reports'!F1994),IF(ISNUMBER(SEARCH("Party Name-",'R.M Billets Reports'!D1994)),TRIM(MID('R.M Billets Reports'!D1994,SEARCH("-",'R.M Billets Reports'!D1994)+1,200)),""))&lt;&gt;"",IF(ISNUMBER(SEARCH("Party Name:-",'R.M Billets Reports'!D1994)),TRIM('R.M Billets Reports'!F1994),IF(ISNUMBER(SEARCH("Party Name-",'R.M Billets Reports'!D1994)),TRIM(MID('R.M Billets Reports'!D1994,SEARCH("-",'R.M Billets Reports'!D1994)+1,200)),"")),IF(ISNUMBER(SEARCH("Party Name:-",'R.M Billets Reports'!D1995)),TRIM('R.M Billets Reports'!F1995),IF(ISNUMBER(SEARCH("Party Name-",'R.M Billets Reports'!D1995)),TRIM(MID('R.M Billets Reports'!D1995,SEARCH("-",'R.M Billets Reports'!D1995)+1,200)),"")))))),IF(ROW()=2,"",A1994))</f>
      </c>
      <c r="B1995">
        <f>IF(OR('R.M Billets Reports'!A1994="Date-",'R.M Billets Reports'!A1994="Date:-"),'R.M Billets Reports'!B1994,IF(ROW()=2,"",B1994))</f>
      </c>
      <c r="C1995">
        <f>IF('R.M Billets Reports'!A1994="V.No.",'R.M Billets Reports'!B1994,IF(ROW()=2,"",C1994))</f>
      </c>
      <c r="D1995">
        <f>IF('R.M Billets Reports'!A1994&lt;&gt;"",'R.M Billets Reports'!A1994,IF(ROW()=2,"",D1994))</f>
      </c>
      <c r="E1995">
        <f>IF('R.M Billets Reports'!B1994="","",TRIM('R.M Billets Reports'!B1994))</f>
      </c>
      <c r="F1995">
        <f>'R.M Billets Reports'!C1994</f>
      </c>
      <c r="G1995">
        <f>'R.M Billets Reports'!D1994</f>
      </c>
      <c r="H1995">
        <f>'R.M Billets Reports'!E1994</f>
      </c>
      <c r="I1995">
        <f>'R.M Billets Reports'!F1994</f>
      </c>
      <c r="J1995">
        <f>'R.M Billets Reports'!G1994</f>
      </c>
      <c r="K1995">
        <f>'R.M Billets Reports'!H1994</f>
      </c>
      <c r="L1995">
        <f>IF('R.M Billets Reports'!I1994="","",'R.M Billets Reports'!I1994)</f>
      </c>
      <c r="M1995">
        <f t="shared" si="62"/>
      </c>
      <c r="N1995">
        <f>IF('R.M Billets Reports'!J1994="","",'R.M Billets Reports'!J1994)</f>
      </c>
      <c r="O1995">
        <f t="shared" si="63"/>
      </c>
      <c r="P1995">
        <f>IF('R.M Billets Reports'!A1994="SIZE",'R.M Billets Reports'!B1994,P1994)</f>
      </c>
    </row>
    <row r="1996" spans="1:16" x14ac:dyDescent="0.25">
      <c r="A1996">
        <f>IF(OR('R.M Billets Reports'!A1995="Date-",'R.M Billets Reports'!A1995="Date:-"),IF(IF(IF(ISNUMBER(SEARCH("Party Name:-",'R.M Billets Reports'!D1995)),TRIM('R.M Billets Reports'!F1995),IF(ISNUMBER(SEARCH("Party Name-",'R.M Billets Reports'!D1995)),TRIM(MID('R.M Billets Reports'!D1995,SEARCH("-",'R.M Billets Reports'!D1995)+1,200)),""))&lt;&gt;"",IF(ISNUMBER(SEARCH("Party Name:-",'R.M Billets Reports'!D1995)),TRIM('R.M Billets Reports'!F1995),IF(ISNUMBER(SEARCH("Party Name-",'R.M Billets Reports'!D1995)),TRIM(MID('R.M Billets Reports'!D1995,SEARCH("-",'R.M Billets Reports'!D1995)+1,200)),"")),IF(ISNUMBER(SEARCH("Party Name:-",'R.M Billets Reports'!D1996)),TRIM('R.M Billets Reports'!F1996),IF(ISNUMBER(SEARCH("Party Name-",'R.M Billets Reports'!D1996)),TRIM(MID('R.M Billets Reports'!D1996,SEARCH("-",'R.M Billets Reports'!D1996)+1,200)),"")))="VRKP ISPAT PVT LTD","VRKP",IF(IF(IF(ISNUMBER(SEARCH("Party Name:-",'R.M Billets Reports'!D1995)),TRIM('R.M Billets Reports'!F1995),IF(ISNUMBER(SEARCH("Party Name-",'R.M Billets Reports'!D1995)),TRIM(MID('R.M Billets Reports'!D1995,SEARCH("-",'R.M Billets Reports'!D1995)+1,200)),""))&lt;&gt;"",IF(ISNUMBER(SEARCH("Party Name:-",'R.M Billets Reports'!D1995)),TRIM('R.M Billets Reports'!F1995),IF(ISNUMBER(SEARCH("Party Name-",'R.M Billets Reports'!D1995)),TRIM(MID('R.M Billets Reports'!D1995,SEARCH("-",'R.M Billets Reports'!D1995)+1,200)),"")),IF(ISNUMBER(SEARCH("Party Name:-",'R.M Billets Reports'!D1996)),TRIM('R.M Billets Reports'!F1996),IF(ISNUMBER(SEARCH("Party Name-",'R.M Billets Reports'!D1996)),TRIM(MID('R.M Billets Reports'!D1996,SEARCH("-",'R.M Billets Reports'!D1996)+1,200)),"")))="SHRI RADHE","SHREE RADHE",IF(IF(IF(ISNUMBER(SEARCH("Party Name:-",'R.M Billets Reports'!D1995)),TRIM('R.M Billets Reports'!F1995),IF(ISNUMBER(SEARCH("Party Name-",'R.M Billets Reports'!D1995)),TRIM(MID('R.M Billets Reports'!D1995,SEARCH("-",'R.M Billets Reports'!D1995)+1,200)),""))&lt;&gt;"",IF(ISNUMBER(SEARCH("Party Name:-",'R.M Billets Reports'!D1995)),TRIM('R.M Billets Reports'!F1995),IF(ISNUMBER(SEARCH("Party Name-",'R.M Billets Reports'!D1995)),TRIM(MID('R.M Billets Reports'!D1995,SEARCH("-",'R.M Billets Reports'!D1995)+1,200)),"")),IF(ISNUMBER(SEARCH("Party Name:-",'R.M Billets Reports'!D1996)),TRIM('R.M Billets Reports'!F1996),IF(ISNUMBER(SEARCH("Party Name-",'R.M Billets Reports'!D1996)),TRIM(MID('R.M Billets Reports'!D1996,SEARCH("-",'R.M Billets Reports'!D1996)+1,200)),"")))="SHREE RADHE SHAKTI SPONGE AND POWER PVT. LTD.","SHREE RADHE",IF(IF(ISNUMBER(SEARCH("Party Name:-",'R.M Billets Reports'!D1995)),TRIM('R.M Billets Reports'!F1995),IF(ISNUMBER(SEARCH("Party Name-",'R.M Billets Reports'!D1995)),TRIM(MID('R.M Billets Reports'!D1995,SEARCH("-",'R.M Billets Reports'!D1995)+1,200)),""))&lt;&gt;"",IF(ISNUMBER(SEARCH("Party Name:-",'R.M Billets Reports'!D1995)),TRIM('R.M Billets Reports'!F1995),IF(ISNUMBER(SEARCH("Party Name-",'R.M Billets Reports'!D1995)),TRIM(MID('R.M Billets Reports'!D1995,SEARCH("-",'R.M Billets Reports'!D1995)+1,200)),"")),IF(ISNUMBER(SEARCH("Party Name:-",'R.M Billets Reports'!D1996)),TRIM('R.M Billets Reports'!F1996),IF(ISNUMBER(SEARCH("Party Name-",'R.M Billets Reports'!D1996)),TRIM(MID('R.M Billets Reports'!D1996,SEARCH("-",'R.M Billets Reports'!D1996)+1,200)),"")))))),IF(ROW()=2,"",A1995))</f>
      </c>
      <c r="B1996">
        <f>IF(OR('R.M Billets Reports'!A1995="Date-",'R.M Billets Reports'!A1995="Date:-"),'R.M Billets Reports'!B1995,IF(ROW()=2,"",B1995))</f>
      </c>
      <c r="C1996">
        <f>IF('R.M Billets Reports'!A1995="V.No.",'R.M Billets Reports'!B1995,IF(ROW()=2,"",C1995))</f>
      </c>
      <c r="D1996">
        <f>IF('R.M Billets Reports'!A1995&lt;&gt;"",'R.M Billets Reports'!A1995,IF(ROW()=2,"",D1995))</f>
      </c>
      <c r="E1996">
        <f>IF('R.M Billets Reports'!B1995="","",TRIM('R.M Billets Reports'!B1995))</f>
      </c>
      <c r="F1996">
        <f>'R.M Billets Reports'!C1995</f>
      </c>
      <c r="G1996">
        <f>'R.M Billets Reports'!D1995</f>
      </c>
      <c r="H1996">
        <f>'R.M Billets Reports'!E1995</f>
      </c>
      <c r="I1996">
        <f>'R.M Billets Reports'!F1995</f>
      </c>
      <c r="J1996">
        <f>'R.M Billets Reports'!G1995</f>
      </c>
      <c r="K1996">
        <f>'R.M Billets Reports'!H1995</f>
      </c>
      <c r="L1996">
        <f>IF('R.M Billets Reports'!I1995="","",'R.M Billets Reports'!I1995)</f>
      </c>
      <c r="M1996">
        <f t="shared" si="62"/>
      </c>
      <c r="N1996">
        <f>IF('R.M Billets Reports'!J1995="","",'R.M Billets Reports'!J1995)</f>
      </c>
      <c r="O1996">
        <f t="shared" si="63"/>
      </c>
      <c r="P1996">
        <f>IF('R.M Billets Reports'!A1995="SIZE",'R.M Billets Reports'!B1995,P1995)</f>
      </c>
    </row>
    <row r="1997" spans="1:16" x14ac:dyDescent="0.25">
      <c r="A1997">
        <f>IF(OR('R.M Billets Reports'!A1996="Date-",'R.M Billets Reports'!A1996="Date:-"),IF(IF(IF(ISNUMBER(SEARCH("Party Name:-",'R.M Billets Reports'!D1996)),TRIM('R.M Billets Reports'!F1996),IF(ISNUMBER(SEARCH("Party Name-",'R.M Billets Reports'!D1996)),TRIM(MID('R.M Billets Reports'!D1996,SEARCH("-",'R.M Billets Reports'!D1996)+1,200)),""))&lt;&gt;"",IF(ISNUMBER(SEARCH("Party Name:-",'R.M Billets Reports'!D1996)),TRIM('R.M Billets Reports'!F1996),IF(ISNUMBER(SEARCH("Party Name-",'R.M Billets Reports'!D1996)),TRIM(MID('R.M Billets Reports'!D1996,SEARCH("-",'R.M Billets Reports'!D1996)+1,200)),"")),IF(ISNUMBER(SEARCH("Party Name:-",'R.M Billets Reports'!D1997)),TRIM('R.M Billets Reports'!F1997),IF(ISNUMBER(SEARCH("Party Name-",'R.M Billets Reports'!D1997)),TRIM(MID('R.M Billets Reports'!D1997,SEARCH("-",'R.M Billets Reports'!D1997)+1,200)),"")))="VRKP ISPAT PVT LTD","VRKP",IF(IF(IF(ISNUMBER(SEARCH("Party Name:-",'R.M Billets Reports'!D1996)),TRIM('R.M Billets Reports'!F1996),IF(ISNUMBER(SEARCH("Party Name-",'R.M Billets Reports'!D1996)),TRIM(MID('R.M Billets Reports'!D1996,SEARCH("-",'R.M Billets Reports'!D1996)+1,200)),""))&lt;&gt;"",IF(ISNUMBER(SEARCH("Party Name:-",'R.M Billets Reports'!D1996)),TRIM('R.M Billets Reports'!F1996),IF(ISNUMBER(SEARCH("Party Name-",'R.M Billets Reports'!D1996)),TRIM(MID('R.M Billets Reports'!D1996,SEARCH("-",'R.M Billets Reports'!D1996)+1,200)),"")),IF(ISNUMBER(SEARCH("Party Name:-",'R.M Billets Reports'!D1997)),TRIM('R.M Billets Reports'!F1997),IF(ISNUMBER(SEARCH("Party Name-",'R.M Billets Reports'!D1997)),TRIM(MID('R.M Billets Reports'!D1997,SEARCH("-",'R.M Billets Reports'!D1997)+1,200)),"")))="SHRI RADHE","SHREE RADHE",IF(IF(IF(ISNUMBER(SEARCH("Party Name:-",'R.M Billets Reports'!D1996)),TRIM('R.M Billets Reports'!F1996),IF(ISNUMBER(SEARCH("Party Name-",'R.M Billets Reports'!D1996)),TRIM(MID('R.M Billets Reports'!D1996,SEARCH("-",'R.M Billets Reports'!D1996)+1,200)),""))&lt;&gt;"",IF(ISNUMBER(SEARCH("Party Name:-",'R.M Billets Reports'!D1996)),TRIM('R.M Billets Reports'!F1996),IF(ISNUMBER(SEARCH("Party Name-",'R.M Billets Reports'!D1996)),TRIM(MID('R.M Billets Reports'!D1996,SEARCH("-",'R.M Billets Reports'!D1996)+1,200)),"")),IF(ISNUMBER(SEARCH("Party Name:-",'R.M Billets Reports'!D1997)),TRIM('R.M Billets Reports'!F1997),IF(ISNUMBER(SEARCH("Party Name-",'R.M Billets Reports'!D1997)),TRIM(MID('R.M Billets Reports'!D1997,SEARCH("-",'R.M Billets Reports'!D1997)+1,200)),"")))="SHREE RADHE SHAKTI SPONGE AND POWER PVT. LTD.","SHREE RADHE",IF(IF(ISNUMBER(SEARCH("Party Name:-",'R.M Billets Reports'!D1996)),TRIM('R.M Billets Reports'!F1996),IF(ISNUMBER(SEARCH("Party Name-",'R.M Billets Reports'!D1996)),TRIM(MID('R.M Billets Reports'!D1996,SEARCH("-",'R.M Billets Reports'!D1996)+1,200)),""))&lt;&gt;"",IF(ISNUMBER(SEARCH("Party Name:-",'R.M Billets Reports'!D1996)),TRIM('R.M Billets Reports'!F1996),IF(ISNUMBER(SEARCH("Party Name-",'R.M Billets Reports'!D1996)),TRIM(MID('R.M Billets Reports'!D1996,SEARCH("-",'R.M Billets Reports'!D1996)+1,200)),"")),IF(ISNUMBER(SEARCH("Party Name:-",'R.M Billets Reports'!D1997)),TRIM('R.M Billets Reports'!F1997),IF(ISNUMBER(SEARCH("Party Name-",'R.M Billets Reports'!D1997)),TRIM(MID('R.M Billets Reports'!D1997,SEARCH("-",'R.M Billets Reports'!D1997)+1,200)),"")))))),IF(ROW()=2,"",A1996))</f>
      </c>
      <c r="B1997">
        <f>IF(OR('R.M Billets Reports'!A1996="Date-",'R.M Billets Reports'!A1996="Date:-"),'R.M Billets Reports'!B1996,IF(ROW()=2,"",B1996))</f>
      </c>
      <c r="C1997">
        <f>IF('R.M Billets Reports'!A1996="V.No.",'R.M Billets Reports'!B1996,IF(ROW()=2,"",C1996))</f>
      </c>
      <c r="D1997">
        <f>IF('R.M Billets Reports'!A1996&lt;&gt;"",'R.M Billets Reports'!A1996,IF(ROW()=2,"",D1996))</f>
      </c>
      <c r="E1997">
        <f>IF('R.M Billets Reports'!B1996="","",TRIM('R.M Billets Reports'!B1996))</f>
      </c>
      <c r="F1997">
        <f>'R.M Billets Reports'!C1996</f>
      </c>
      <c r="G1997">
        <f>'R.M Billets Reports'!D1996</f>
      </c>
      <c r="H1997">
        <f>'R.M Billets Reports'!E1996</f>
      </c>
      <c r="I1997">
        <f>'R.M Billets Reports'!F1996</f>
      </c>
      <c r="J1997">
        <f>'R.M Billets Reports'!G1996</f>
      </c>
      <c r="K1997">
        <f>'R.M Billets Reports'!H1996</f>
      </c>
      <c r="L1997">
        <f>IF('R.M Billets Reports'!I1996="","",'R.M Billets Reports'!I1996)</f>
      </c>
      <c r="M1997">
        <f t="shared" si="62"/>
      </c>
      <c r="N1997">
        <f>IF('R.M Billets Reports'!J1996="","",'R.M Billets Reports'!J1996)</f>
      </c>
      <c r="O1997">
        <f t="shared" si="63"/>
      </c>
      <c r="P1997">
        <f>IF('R.M Billets Reports'!A1996="SIZE",'R.M Billets Reports'!B1996,P1996)</f>
      </c>
    </row>
    <row r="1998" spans="1:16" x14ac:dyDescent="0.25">
      <c r="A1998">
        <f>IF(OR('R.M Billets Reports'!A1997="Date-",'R.M Billets Reports'!A1997="Date:-"),IF(IF(IF(ISNUMBER(SEARCH("Party Name:-",'R.M Billets Reports'!D1997)),TRIM('R.M Billets Reports'!F1997),IF(ISNUMBER(SEARCH("Party Name-",'R.M Billets Reports'!D1997)),TRIM(MID('R.M Billets Reports'!D1997,SEARCH("-",'R.M Billets Reports'!D1997)+1,200)),""))&lt;&gt;"",IF(ISNUMBER(SEARCH("Party Name:-",'R.M Billets Reports'!D1997)),TRIM('R.M Billets Reports'!F1997),IF(ISNUMBER(SEARCH("Party Name-",'R.M Billets Reports'!D1997)),TRIM(MID('R.M Billets Reports'!D1997,SEARCH("-",'R.M Billets Reports'!D1997)+1,200)),"")),IF(ISNUMBER(SEARCH("Party Name:-",'R.M Billets Reports'!D1998)),TRIM('R.M Billets Reports'!F1998),IF(ISNUMBER(SEARCH("Party Name-",'R.M Billets Reports'!D1998)),TRIM(MID('R.M Billets Reports'!D1998,SEARCH("-",'R.M Billets Reports'!D1998)+1,200)),"")))="VRKP ISPAT PVT LTD","VRKP",IF(IF(IF(ISNUMBER(SEARCH("Party Name:-",'R.M Billets Reports'!D1997)),TRIM('R.M Billets Reports'!F1997),IF(ISNUMBER(SEARCH("Party Name-",'R.M Billets Reports'!D1997)),TRIM(MID('R.M Billets Reports'!D1997,SEARCH("-",'R.M Billets Reports'!D1997)+1,200)),""))&lt;&gt;"",IF(ISNUMBER(SEARCH("Party Name:-",'R.M Billets Reports'!D1997)),TRIM('R.M Billets Reports'!F1997),IF(ISNUMBER(SEARCH("Party Name-",'R.M Billets Reports'!D1997)),TRIM(MID('R.M Billets Reports'!D1997,SEARCH("-",'R.M Billets Reports'!D1997)+1,200)),"")),IF(ISNUMBER(SEARCH("Party Name:-",'R.M Billets Reports'!D1998)),TRIM('R.M Billets Reports'!F1998),IF(ISNUMBER(SEARCH("Party Name-",'R.M Billets Reports'!D1998)),TRIM(MID('R.M Billets Reports'!D1998,SEARCH("-",'R.M Billets Reports'!D1998)+1,200)),"")))="SHRI RADHE","SHREE RADHE",IF(IF(IF(ISNUMBER(SEARCH("Party Name:-",'R.M Billets Reports'!D1997)),TRIM('R.M Billets Reports'!F1997),IF(ISNUMBER(SEARCH("Party Name-",'R.M Billets Reports'!D1997)),TRIM(MID('R.M Billets Reports'!D1997,SEARCH("-",'R.M Billets Reports'!D1997)+1,200)),""))&lt;&gt;"",IF(ISNUMBER(SEARCH("Party Name:-",'R.M Billets Reports'!D1997)),TRIM('R.M Billets Reports'!F1997),IF(ISNUMBER(SEARCH("Party Name-",'R.M Billets Reports'!D1997)),TRIM(MID('R.M Billets Reports'!D1997,SEARCH("-",'R.M Billets Reports'!D1997)+1,200)),"")),IF(ISNUMBER(SEARCH("Party Name:-",'R.M Billets Reports'!D1998)),TRIM('R.M Billets Reports'!F1998),IF(ISNUMBER(SEARCH("Party Name-",'R.M Billets Reports'!D1998)),TRIM(MID('R.M Billets Reports'!D1998,SEARCH("-",'R.M Billets Reports'!D1998)+1,200)),"")))="SHREE RADHE SHAKTI SPONGE AND POWER PVT. LTD.","SHREE RADHE",IF(IF(ISNUMBER(SEARCH("Party Name:-",'R.M Billets Reports'!D1997)),TRIM('R.M Billets Reports'!F1997),IF(ISNUMBER(SEARCH("Party Name-",'R.M Billets Reports'!D1997)),TRIM(MID('R.M Billets Reports'!D1997,SEARCH("-",'R.M Billets Reports'!D1997)+1,200)),""))&lt;&gt;"",IF(ISNUMBER(SEARCH("Party Name:-",'R.M Billets Reports'!D1997)),TRIM('R.M Billets Reports'!F1997),IF(ISNUMBER(SEARCH("Party Name-",'R.M Billets Reports'!D1997)),TRIM(MID('R.M Billets Reports'!D1997,SEARCH("-",'R.M Billets Reports'!D1997)+1,200)),"")),IF(ISNUMBER(SEARCH("Party Name:-",'R.M Billets Reports'!D1998)),TRIM('R.M Billets Reports'!F1998),IF(ISNUMBER(SEARCH("Party Name-",'R.M Billets Reports'!D1998)),TRIM(MID('R.M Billets Reports'!D1998,SEARCH("-",'R.M Billets Reports'!D1998)+1,200)),"")))))),IF(ROW()=2,"",A1997))</f>
      </c>
      <c r="B1998">
        <f>IF(OR('R.M Billets Reports'!A1997="Date-",'R.M Billets Reports'!A1997="Date:-"),'R.M Billets Reports'!B1997,IF(ROW()=2,"",B1997))</f>
      </c>
      <c r="C1998">
        <f>IF('R.M Billets Reports'!A1997="V.No.",'R.M Billets Reports'!B1997,IF(ROW()=2,"",C1997))</f>
      </c>
      <c r="D1998">
        <f>IF('R.M Billets Reports'!A1997&lt;&gt;"",'R.M Billets Reports'!A1997,IF(ROW()=2,"",D1997))</f>
      </c>
      <c r="E1998">
        <f>IF('R.M Billets Reports'!B1997="","",TRIM('R.M Billets Reports'!B1997))</f>
      </c>
      <c r="F1998">
        <f>'R.M Billets Reports'!C1997</f>
      </c>
      <c r="G1998">
        <f>'R.M Billets Reports'!D1997</f>
      </c>
      <c r="H1998">
        <f>'R.M Billets Reports'!E1997</f>
      </c>
      <c r="I1998">
        <f>'R.M Billets Reports'!F1997</f>
      </c>
      <c r="J1998">
        <f>'R.M Billets Reports'!G1997</f>
      </c>
      <c r="K1998">
        <f>'R.M Billets Reports'!H1997</f>
      </c>
      <c r="L1998">
        <f>IF('R.M Billets Reports'!I1997="","",'R.M Billets Reports'!I1997)</f>
      </c>
      <c r="M1998">
        <f t="shared" si="62"/>
      </c>
      <c r="N1998">
        <f>IF('R.M Billets Reports'!J1997="","",'R.M Billets Reports'!J1997)</f>
      </c>
      <c r="O1998">
        <f t="shared" si="63"/>
      </c>
      <c r="P1998">
        <f>IF('R.M Billets Reports'!A1997="SIZE",'R.M Billets Reports'!B1997,P1997)</f>
      </c>
    </row>
    <row r="1999" spans="1:16" x14ac:dyDescent="0.25">
      <c r="A1999">
        <f>IF(OR('R.M Billets Reports'!A1998="Date-",'R.M Billets Reports'!A1998="Date:-"),IF(IF(IF(ISNUMBER(SEARCH("Party Name:-",'R.M Billets Reports'!D1998)),TRIM('R.M Billets Reports'!F1998),IF(ISNUMBER(SEARCH("Party Name-",'R.M Billets Reports'!D1998)),TRIM(MID('R.M Billets Reports'!D1998,SEARCH("-",'R.M Billets Reports'!D1998)+1,200)),""))&lt;&gt;"",IF(ISNUMBER(SEARCH("Party Name:-",'R.M Billets Reports'!D1998)),TRIM('R.M Billets Reports'!F1998),IF(ISNUMBER(SEARCH("Party Name-",'R.M Billets Reports'!D1998)),TRIM(MID('R.M Billets Reports'!D1998,SEARCH("-",'R.M Billets Reports'!D1998)+1,200)),"")),IF(ISNUMBER(SEARCH("Party Name:-",'R.M Billets Reports'!D1999)),TRIM('R.M Billets Reports'!F1999),IF(ISNUMBER(SEARCH("Party Name-",'R.M Billets Reports'!D1999)),TRIM(MID('R.M Billets Reports'!D1999,SEARCH("-",'R.M Billets Reports'!D1999)+1,200)),"")))="VRKP ISPAT PVT LTD","VRKP",IF(IF(IF(ISNUMBER(SEARCH("Party Name:-",'R.M Billets Reports'!D1998)),TRIM('R.M Billets Reports'!F1998),IF(ISNUMBER(SEARCH("Party Name-",'R.M Billets Reports'!D1998)),TRIM(MID('R.M Billets Reports'!D1998,SEARCH("-",'R.M Billets Reports'!D1998)+1,200)),""))&lt;&gt;"",IF(ISNUMBER(SEARCH("Party Name:-",'R.M Billets Reports'!D1998)),TRIM('R.M Billets Reports'!F1998),IF(ISNUMBER(SEARCH("Party Name-",'R.M Billets Reports'!D1998)),TRIM(MID('R.M Billets Reports'!D1998,SEARCH("-",'R.M Billets Reports'!D1998)+1,200)),"")),IF(ISNUMBER(SEARCH("Party Name:-",'R.M Billets Reports'!D1999)),TRIM('R.M Billets Reports'!F1999),IF(ISNUMBER(SEARCH("Party Name-",'R.M Billets Reports'!D1999)),TRIM(MID('R.M Billets Reports'!D1999,SEARCH("-",'R.M Billets Reports'!D1999)+1,200)),"")))="SHRI RADHE","SHREE RADHE",IF(IF(IF(ISNUMBER(SEARCH("Party Name:-",'R.M Billets Reports'!D1998)),TRIM('R.M Billets Reports'!F1998),IF(ISNUMBER(SEARCH("Party Name-",'R.M Billets Reports'!D1998)),TRIM(MID('R.M Billets Reports'!D1998,SEARCH("-",'R.M Billets Reports'!D1998)+1,200)),""))&lt;&gt;"",IF(ISNUMBER(SEARCH("Party Name:-",'R.M Billets Reports'!D1998)),TRIM('R.M Billets Reports'!F1998),IF(ISNUMBER(SEARCH("Party Name-",'R.M Billets Reports'!D1998)),TRIM(MID('R.M Billets Reports'!D1998,SEARCH("-",'R.M Billets Reports'!D1998)+1,200)),"")),IF(ISNUMBER(SEARCH("Party Name:-",'R.M Billets Reports'!D1999)),TRIM('R.M Billets Reports'!F1999),IF(ISNUMBER(SEARCH("Party Name-",'R.M Billets Reports'!D1999)),TRIM(MID('R.M Billets Reports'!D1999,SEARCH("-",'R.M Billets Reports'!D1999)+1,200)),"")))="SHREE RADHE SHAKTI SPONGE AND POWER PVT. LTD.","SHREE RADHE",IF(IF(ISNUMBER(SEARCH("Party Name:-",'R.M Billets Reports'!D1998)),TRIM('R.M Billets Reports'!F1998),IF(ISNUMBER(SEARCH("Party Name-",'R.M Billets Reports'!D1998)),TRIM(MID('R.M Billets Reports'!D1998,SEARCH("-",'R.M Billets Reports'!D1998)+1,200)),""))&lt;&gt;"",IF(ISNUMBER(SEARCH("Party Name:-",'R.M Billets Reports'!D1998)),TRIM('R.M Billets Reports'!F1998),IF(ISNUMBER(SEARCH("Party Name-",'R.M Billets Reports'!D1998)),TRIM(MID('R.M Billets Reports'!D1998,SEARCH("-",'R.M Billets Reports'!D1998)+1,200)),"")),IF(ISNUMBER(SEARCH("Party Name:-",'R.M Billets Reports'!D1999)),TRIM('R.M Billets Reports'!F1999),IF(ISNUMBER(SEARCH("Party Name-",'R.M Billets Reports'!D1999)),TRIM(MID('R.M Billets Reports'!D1999,SEARCH("-",'R.M Billets Reports'!D1999)+1,200)),"")))))),IF(ROW()=2,"",A1998))</f>
      </c>
      <c r="B1999">
        <f>IF(OR('R.M Billets Reports'!A1998="Date-",'R.M Billets Reports'!A1998="Date:-"),'R.M Billets Reports'!B1998,IF(ROW()=2,"",B1998))</f>
      </c>
      <c r="C1999">
        <f>IF('R.M Billets Reports'!A1998="V.No.",'R.M Billets Reports'!B1998,IF(ROW()=2,"",C1998))</f>
      </c>
      <c r="D1999">
        <f>IF('R.M Billets Reports'!A1998&lt;&gt;"",'R.M Billets Reports'!A1998,IF(ROW()=2,"",D1998))</f>
      </c>
      <c r="E1999">
        <f>IF('R.M Billets Reports'!B1998="","",TRIM('R.M Billets Reports'!B1998))</f>
      </c>
      <c r="F1999">
        <f>'R.M Billets Reports'!C1998</f>
      </c>
      <c r="G1999">
        <f>'R.M Billets Reports'!D1998</f>
      </c>
      <c r="H1999">
        <f>'R.M Billets Reports'!E1998</f>
      </c>
      <c r="I1999">
        <f>'R.M Billets Reports'!F1998</f>
      </c>
      <c r="J1999">
        <f>'R.M Billets Reports'!G1998</f>
      </c>
      <c r="K1999">
        <f>'R.M Billets Reports'!H1998</f>
      </c>
      <c r="L1999">
        <f>IF('R.M Billets Reports'!I1998="","",'R.M Billets Reports'!I1998)</f>
      </c>
      <c r="M1999">
        <f t="shared" si="62"/>
      </c>
      <c r="N1999">
        <f>IF('R.M Billets Reports'!J1998="","",'R.M Billets Reports'!J1998)</f>
      </c>
      <c r="O1999">
        <f t="shared" si="63"/>
      </c>
      <c r="P1999">
        <f>IF('R.M Billets Reports'!A1998="SIZE",'R.M Billets Reports'!B1998,P1998)</f>
      </c>
    </row>
    <row r="2000" spans="1:16" x14ac:dyDescent="0.25">
      <c r="A2000">
        <f>IF(OR('R.M Billets Reports'!A1999="Date-",'R.M Billets Reports'!A1999="Date:-"),IF(IF(IF(ISNUMBER(SEARCH("Party Name:-",'R.M Billets Reports'!D1999)),TRIM('R.M Billets Reports'!F1999),IF(ISNUMBER(SEARCH("Party Name-",'R.M Billets Reports'!D1999)),TRIM(MID('R.M Billets Reports'!D1999,SEARCH("-",'R.M Billets Reports'!D1999)+1,200)),""))&lt;&gt;"",IF(ISNUMBER(SEARCH("Party Name:-",'R.M Billets Reports'!D1999)),TRIM('R.M Billets Reports'!F1999),IF(ISNUMBER(SEARCH("Party Name-",'R.M Billets Reports'!D1999)),TRIM(MID('R.M Billets Reports'!D1999,SEARCH("-",'R.M Billets Reports'!D1999)+1,200)),"")),IF(ISNUMBER(SEARCH("Party Name:-",'R.M Billets Reports'!D2000)),TRIM('R.M Billets Reports'!F2000),IF(ISNUMBER(SEARCH("Party Name-",'R.M Billets Reports'!D2000)),TRIM(MID('R.M Billets Reports'!D2000,SEARCH("-",'R.M Billets Reports'!D2000)+1,200)),"")))="VRKP ISPAT PVT LTD","VRKP",IF(IF(IF(ISNUMBER(SEARCH("Party Name:-",'R.M Billets Reports'!D1999)),TRIM('R.M Billets Reports'!F1999),IF(ISNUMBER(SEARCH("Party Name-",'R.M Billets Reports'!D1999)),TRIM(MID('R.M Billets Reports'!D1999,SEARCH("-",'R.M Billets Reports'!D1999)+1,200)),""))&lt;&gt;"",IF(ISNUMBER(SEARCH("Party Name:-",'R.M Billets Reports'!D1999)),TRIM('R.M Billets Reports'!F1999),IF(ISNUMBER(SEARCH("Party Name-",'R.M Billets Reports'!D1999)),TRIM(MID('R.M Billets Reports'!D1999,SEARCH("-",'R.M Billets Reports'!D1999)+1,200)),"")),IF(ISNUMBER(SEARCH("Party Name:-",'R.M Billets Reports'!D2000)),TRIM('R.M Billets Reports'!F2000),IF(ISNUMBER(SEARCH("Party Name-",'R.M Billets Reports'!D2000)),TRIM(MID('R.M Billets Reports'!D2000,SEARCH("-",'R.M Billets Reports'!D2000)+1,200)),"")))="SHRI RADHE","SHREE RADHE",IF(IF(IF(ISNUMBER(SEARCH("Party Name:-",'R.M Billets Reports'!D1999)),TRIM('R.M Billets Reports'!F1999),IF(ISNUMBER(SEARCH("Party Name-",'R.M Billets Reports'!D1999)),TRIM(MID('R.M Billets Reports'!D1999,SEARCH("-",'R.M Billets Reports'!D1999)+1,200)),""))&lt;&gt;"",IF(ISNUMBER(SEARCH("Party Name:-",'R.M Billets Reports'!D1999)),TRIM('R.M Billets Reports'!F1999),IF(ISNUMBER(SEARCH("Party Name-",'R.M Billets Reports'!D1999)),TRIM(MID('R.M Billets Reports'!D1999,SEARCH("-",'R.M Billets Reports'!D1999)+1,200)),"")),IF(ISNUMBER(SEARCH("Party Name:-",'R.M Billets Reports'!D2000)),TRIM('R.M Billets Reports'!F2000),IF(ISNUMBER(SEARCH("Party Name-",'R.M Billets Reports'!D2000)),TRIM(MID('R.M Billets Reports'!D2000,SEARCH("-",'R.M Billets Reports'!D2000)+1,200)),"")))="SHREE RADHE SHAKTI SPONGE AND POWER PVT. LTD.","SHREE RADHE",IF(IF(ISNUMBER(SEARCH("Party Name:-",'R.M Billets Reports'!D1999)),TRIM('R.M Billets Reports'!F1999),IF(ISNUMBER(SEARCH("Party Name-",'R.M Billets Reports'!D1999)),TRIM(MID('R.M Billets Reports'!D1999,SEARCH("-",'R.M Billets Reports'!D1999)+1,200)),""))&lt;&gt;"",IF(ISNUMBER(SEARCH("Party Name:-",'R.M Billets Reports'!D1999)),TRIM('R.M Billets Reports'!F1999),IF(ISNUMBER(SEARCH("Party Name-",'R.M Billets Reports'!D1999)),TRIM(MID('R.M Billets Reports'!D1999,SEARCH("-",'R.M Billets Reports'!D1999)+1,200)),"")),IF(ISNUMBER(SEARCH("Party Name:-",'R.M Billets Reports'!D2000)),TRIM('R.M Billets Reports'!F2000),IF(ISNUMBER(SEARCH("Party Name-",'R.M Billets Reports'!D2000)),TRIM(MID('R.M Billets Reports'!D2000,SEARCH("-",'R.M Billets Reports'!D2000)+1,200)),"")))))),IF(ROW()=2,"",A1999))</f>
      </c>
      <c r="B2000">
        <f>IF(OR('R.M Billets Reports'!A1999="Date-",'R.M Billets Reports'!A1999="Date:-"),'R.M Billets Reports'!B1999,IF(ROW()=2,"",B1999))</f>
      </c>
      <c r="C2000">
        <f>IF('R.M Billets Reports'!A1999="V.No.",'R.M Billets Reports'!B1999,IF(ROW()=2,"",C1999))</f>
      </c>
      <c r="D2000">
        <f>IF('R.M Billets Reports'!A1999&lt;&gt;"",'R.M Billets Reports'!A1999,IF(ROW()=2,"",D1999))</f>
      </c>
      <c r="E2000">
        <f>IF('R.M Billets Reports'!B1999="","",TRIM('R.M Billets Reports'!B1999))</f>
      </c>
      <c r="F2000">
        <f>'R.M Billets Reports'!C1999</f>
      </c>
      <c r="G2000">
        <f>'R.M Billets Reports'!D1999</f>
      </c>
      <c r="H2000">
        <f>'R.M Billets Reports'!E1999</f>
      </c>
      <c r="I2000">
        <f>'R.M Billets Reports'!F1999</f>
      </c>
      <c r="J2000">
        <f>'R.M Billets Reports'!G1999</f>
      </c>
      <c r="K2000">
        <f>'R.M Billets Reports'!H1999</f>
      </c>
      <c r="L2000">
        <f>IF('R.M Billets Reports'!I1999="","",'R.M Billets Reports'!I1999)</f>
      </c>
      <c r="M2000">
        <f t="shared" si="62"/>
      </c>
      <c r="N2000">
        <f>IF('R.M Billets Reports'!J1999="","",'R.M Billets Reports'!J1999)</f>
      </c>
      <c r="O2000">
        <f t="shared" si="63"/>
      </c>
      <c r="P2000">
        <f>IF('R.M Billets Reports'!A1999="SIZE",'R.M Billets Reports'!B1999,P1999)</f>
      </c>
    </row>
    <row r="2001" spans="1:16" x14ac:dyDescent="0.25">
      <c r="A2001">
        <f>IF(OR('R.M Billets Reports'!A2000="Date-",'R.M Billets Reports'!A2000="Date:-"),IF(IF(IF(ISNUMBER(SEARCH("Party Name:-",'R.M Billets Reports'!D2000)),TRIM('R.M Billets Reports'!F2000),IF(ISNUMBER(SEARCH("Party Name-",'R.M Billets Reports'!D2000)),TRIM(MID('R.M Billets Reports'!D2000,SEARCH("-",'R.M Billets Reports'!D2000)+1,200)),""))&lt;&gt;"",IF(ISNUMBER(SEARCH("Party Name:-",'R.M Billets Reports'!D2000)),TRIM('R.M Billets Reports'!F2000),IF(ISNUMBER(SEARCH("Party Name-",'R.M Billets Reports'!D2000)),TRIM(MID('R.M Billets Reports'!D2000,SEARCH("-",'R.M Billets Reports'!D2000)+1,200)),"")),IF(ISNUMBER(SEARCH("Party Name:-",'R.M Billets Reports'!D2001)),TRIM('R.M Billets Reports'!F2001),IF(ISNUMBER(SEARCH("Party Name-",'R.M Billets Reports'!D2001)),TRIM(MID('R.M Billets Reports'!D2001,SEARCH("-",'R.M Billets Reports'!D2001)+1,200)),"")))="VRKP ISPAT PVT LTD","VRKP",IF(IF(IF(ISNUMBER(SEARCH("Party Name:-",'R.M Billets Reports'!D2000)),TRIM('R.M Billets Reports'!F2000),IF(ISNUMBER(SEARCH("Party Name-",'R.M Billets Reports'!D2000)),TRIM(MID('R.M Billets Reports'!D2000,SEARCH("-",'R.M Billets Reports'!D2000)+1,200)),""))&lt;&gt;"",IF(ISNUMBER(SEARCH("Party Name:-",'R.M Billets Reports'!D2000)),TRIM('R.M Billets Reports'!F2000),IF(ISNUMBER(SEARCH("Party Name-",'R.M Billets Reports'!D2000)),TRIM(MID('R.M Billets Reports'!D2000,SEARCH("-",'R.M Billets Reports'!D2000)+1,200)),"")),IF(ISNUMBER(SEARCH("Party Name:-",'R.M Billets Reports'!D2001)),TRIM('R.M Billets Reports'!F2001),IF(ISNUMBER(SEARCH("Party Name-",'R.M Billets Reports'!D2001)),TRIM(MID('R.M Billets Reports'!D2001,SEARCH("-",'R.M Billets Reports'!D2001)+1,200)),"")))="SHRI RADHE","SHREE RADHE",IF(IF(IF(ISNUMBER(SEARCH("Party Name:-",'R.M Billets Reports'!D2000)),TRIM('R.M Billets Reports'!F2000),IF(ISNUMBER(SEARCH("Party Name-",'R.M Billets Reports'!D2000)),TRIM(MID('R.M Billets Reports'!D2000,SEARCH("-",'R.M Billets Reports'!D2000)+1,200)),""))&lt;&gt;"",IF(ISNUMBER(SEARCH("Party Name:-",'R.M Billets Reports'!D2000)),TRIM('R.M Billets Reports'!F2000),IF(ISNUMBER(SEARCH("Party Name-",'R.M Billets Reports'!D2000)),TRIM(MID('R.M Billets Reports'!D2000,SEARCH("-",'R.M Billets Reports'!D2000)+1,200)),"")),IF(ISNUMBER(SEARCH("Party Name:-",'R.M Billets Reports'!D2001)),TRIM('R.M Billets Reports'!F2001),IF(ISNUMBER(SEARCH("Party Name-",'R.M Billets Reports'!D2001)),TRIM(MID('R.M Billets Reports'!D2001,SEARCH("-",'R.M Billets Reports'!D2001)+1,200)),"")))="SHREE RADHE SHAKTI SPONGE AND POWER PVT. LTD.","SHREE RADHE",IF(IF(ISNUMBER(SEARCH("Party Name:-",'R.M Billets Reports'!D2000)),TRIM('R.M Billets Reports'!F2000),IF(ISNUMBER(SEARCH("Party Name-",'R.M Billets Reports'!D2000)),TRIM(MID('R.M Billets Reports'!D2000,SEARCH("-",'R.M Billets Reports'!D2000)+1,200)),""))&lt;&gt;"",IF(ISNUMBER(SEARCH("Party Name:-",'R.M Billets Reports'!D2000)),TRIM('R.M Billets Reports'!F2000),IF(ISNUMBER(SEARCH("Party Name-",'R.M Billets Reports'!D2000)),TRIM(MID('R.M Billets Reports'!D2000,SEARCH("-",'R.M Billets Reports'!D2000)+1,200)),"")),IF(ISNUMBER(SEARCH("Party Name:-",'R.M Billets Reports'!D2001)),TRIM('R.M Billets Reports'!F2001),IF(ISNUMBER(SEARCH("Party Name-",'R.M Billets Reports'!D2001)),TRIM(MID('R.M Billets Reports'!D2001,SEARCH("-",'R.M Billets Reports'!D2001)+1,200)),"")))))),IF(ROW()=2,"",A2000))</f>
      </c>
      <c r="B2001">
        <f>IF(OR('R.M Billets Reports'!A2000="Date-",'R.M Billets Reports'!A2000="Date:-"),'R.M Billets Reports'!B2000,IF(ROW()=2,"",B2000))</f>
      </c>
      <c r="C2001">
        <f>IF('R.M Billets Reports'!A2000="V.No.",'R.M Billets Reports'!B2000,IF(ROW()=2,"",C2000))</f>
      </c>
      <c r="D2001">
        <f>IF('R.M Billets Reports'!A2000&lt;&gt;"",'R.M Billets Reports'!A2000,IF(ROW()=2,"",D2000))</f>
      </c>
      <c r="E2001">
        <f>IF('R.M Billets Reports'!B2000="","",TRIM('R.M Billets Reports'!B2000))</f>
      </c>
      <c r="F2001">
        <f>'R.M Billets Reports'!C2000</f>
      </c>
      <c r="G2001">
        <f>'R.M Billets Reports'!D2000</f>
      </c>
      <c r="H2001">
        <f>'R.M Billets Reports'!E2000</f>
      </c>
      <c r="I2001">
        <f>'R.M Billets Reports'!F2000</f>
      </c>
      <c r="J2001">
        <f>'R.M Billets Reports'!G2000</f>
      </c>
      <c r="K2001">
        <f>'R.M Billets Reports'!H2000</f>
      </c>
      <c r="L2001">
        <f>IF('R.M Billets Reports'!I2000="","",'R.M Billets Reports'!I2000)</f>
      </c>
      <c r="M2001">
        <f t="shared" si="62"/>
      </c>
      <c r="N2001">
        <f>IF('R.M Billets Reports'!J2000="","",'R.M Billets Reports'!J2000)</f>
      </c>
      <c r="O2001">
        <f t="shared" si="63"/>
      </c>
      <c r="P2001">
        <f>IF('R.M Billets Reports'!A2000="SIZE",'R.M Billets Reports'!B2000,P2000)</f>
      </c>
    </row>
    <row r="2002" spans="1:16" x14ac:dyDescent="0.25">
      <c r="A2002">
        <f>IF(OR('R.M Billets Reports'!A2001="Date-",'R.M Billets Reports'!A2001="Date:-"),IF(IF(IF(ISNUMBER(SEARCH("Party Name:-",'R.M Billets Reports'!D2001)),TRIM('R.M Billets Reports'!F2001),IF(ISNUMBER(SEARCH("Party Name-",'R.M Billets Reports'!D2001)),TRIM(MID('R.M Billets Reports'!D2001,SEARCH("-",'R.M Billets Reports'!D2001)+1,200)),""))&lt;&gt;"",IF(ISNUMBER(SEARCH("Party Name:-",'R.M Billets Reports'!D2001)),TRIM('R.M Billets Reports'!F2001),IF(ISNUMBER(SEARCH("Party Name-",'R.M Billets Reports'!D2001)),TRIM(MID('R.M Billets Reports'!D2001,SEARCH("-",'R.M Billets Reports'!D2001)+1,200)),"")),IF(ISNUMBER(SEARCH("Party Name:-",'R.M Billets Reports'!D2002)),TRIM('R.M Billets Reports'!F2002),IF(ISNUMBER(SEARCH("Party Name-",'R.M Billets Reports'!D2002)),TRIM(MID('R.M Billets Reports'!D2002,SEARCH("-",'R.M Billets Reports'!D2002)+1,200)),"")))="VRKP ISPAT PVT LTD","VRKP",IF(IF(IF(ISNUMBER(SEARCH("Party Name:-",'R.M Billets Reports'!D2001)),TRIM('R.M Billets Reports'!F2001),IF(ISNUMBER(SEARCH("Party Name-",'R.M Billets Reports'!D2001)),TRIM(MID('R.M Billets Reports'!D2001,SEARCH("-",'R.M Billets Reports'!D2001)+1,200)),""))&lt;&gt;"",IF(ISNUMBER(SEARCH("Party Name:-",'R.M Billets Reports'!D2001)),TRIM('R.M Billets Reports'!F2001),IF(ISNUMBER(SEARCH("Party Name-",'R.M Billets Reports'!D2001)),TRIM(MID('R.M Billets Reports'!D2001,SEARCH("-",'R.M Billets Reports'!D2001)+1,200)),"")),IF(ISNUMBER(SEARCH("Party Name:-",'R.M Billets Reports'!D2002)),TRIM('R.M Billets Reports'!F2002),IF(ISNUMBER(SEARCH("Party Name-",'R.M Billets Reports'!D2002)),TRIM(MID('R.M Billets Reports'!D2002,SEARCH("-",'R.M Billets Reports'!D2002)+1,200)),"")))="SHRI RADHE","SHREE RADHE",IF(IF(IF(ISNUMBER(SEARCH("Party Name:-",'R.M Billets Reports'!D2001)),TRIM('R.M Billets Reports'!F2001),IF(ISNUMBER(SEARCH("Party Name-",'R.M Billets Reports'!D2001)),TRIM(MID('R.M Billets Reports'!D2001,SEARCH("-",'R.M Billets Reports'!D2001)+1,200)),""))&lt;&gt;"",IF(ISNUMBER(SEARCH("Party Name:-",'R.M Billets Reports'!D2001)),TRIM('R.M Billets Reports'!F2001),IF(ISNUMBER(SEARCH("Party Name-",'R.M Billets Reports'!D2001)),TRIM(MID('R.M Billets Reports'!D2001,SEARCH("-",'R.M Billets Reports'!D2001)+1,200)),"")),IF(ISNUMBER(SEARCH("Party Name:-",'R.M Billets Reports'!D2002)),TRIM('R.M Billets Reports'!F2002),IF(ISNUMBER(SEARCH("Party Name-",'R.M Billets Reports'!D2002)),TRIM(MID('R.M Billets Reports'!D2002,SEARCH("-",'R.M Billets Reports'!D2002)+1,200)),"")))="SHREE RADHE SHAKTI SPONGE AND POWER PVT. LTD.","SHREE RADHE",IF(IF(ISNUMBER(SEARCH("Party Name:-",'R.M Billets Reports'!D2001)),TRIM('R.M Billets Reports'!F2001),IF(ISNUMBER(SEARCH("Party Name-",'R.M Billets Reports'!D2001)),TRIM(MID('R.M Billets Reports'!D2001,SEARCH("-",'R.M Billets Reports'!D2001)+1,200)),""))&lt;&gt;"",IF(ISNUMBER(SEARCH("Party Name:-",'R.M Billets Reports'!D2001)),TRIM('R.M Billets Reports'!F2001),IF(ISNUMBER(SEARCH("Party Name-",'R.M Billets Reports'!D2001)),TRIM(MID('R.M Billets Reports'!D2001,SEARCH("-",'R.M Billets Reports'!D2001)+1,200)),"")),IF(ISNUMBER(SEARCH("Party Name:-",'R.M Billets Reports'!D2002)),TRIM('R.M Billets Reports'!F2002),IF(ISNUMBER(SEARCH("Party Name-",'R.M Billets Reports'!D2002)),TRIM(MID('R.M Billets Reports'!D2002,SEARCH("-",'R.M Billets Reports'!D2002)+1,200)),"")))))),IF(ROW()=2,"",A2001))</f>
      </c>
      <c r="B2002">
        <f>IF(OR('R.M Billets Reports'!A2001="Date-",'R.M Billets Reports'!A2001="Date:-"),'R.M Billets Reports'!B2001,IF(ROW()=2,"",B2001))</f>
      </c>
      <c r="C2002">
        <f>IF('R.M Billets Reports'!A2001="V.No.",'R.M Billets Reports'!B2001,IF(ROW()=2,"",C2001))</f>
      </c>
      <c r="D2002">
        <f>IF('R.M Billets Reports'!A2001&lt;&gt;"",'R.M Billets Reports'!A2001,IF(ROW()=2,"",D2001))</f>
      </c>
      <c r="E2002">
        <f>IF('R.M Billets Reports'!B2001="","",TRIM('R.M Billets Reports'!B2001))</f>
      </c>
      <c r="F2002">
        <f>'R.M Billets Reports'!C2001</f>
      </c>
      <c r="G2002">
        <f>'R.M Billets Reports'!D2001</f>
      </c>
      <c r="H2002">
        <f>'R.M Billets Reports'!E2001</f>
      </c>
      <c r="I2002">
        <f>'R.M Billets Reports'!F2001</f>
      </c>
      <c r="J2002">
        <f>'R.M Billets Reports'!G2001</f>
      </c>
      <c r="K2002">
        <f>'R.M Billets Reports'!H2001</f>
      </c>
      <c r="L2002">
        <f>IF('R.M Billets Reports'!I2001="","",'R.M Billets Reports'!I2001)</f>
      </c>
      <c r="M2002">
        <f t="shared" si="62"/>
      </c>
      <c r="N2002">
        <f>IF('R.M Billets Reports'!J2001="","",'R.M Billets Reports'!J2001)</f>
      </c>
      <c r="O2002">
        <f t="shared" si="63"/>
      </c>
      <c r="P2002">
        <f>IF('R.M Billets Reports'!A2001="SIZE",'R.M Billets Reports'!B2001,P2001)</f>
      </c>
    </row>
    <row r="2003" spans="1:16" x14ac:dyDescent="0.25">
      <c r="A2003">
        <f>IF(OR('R.M Billets Reports'!A2002="Date-",'R.M Billets Reports'!A2002="Date:-"),IF(IF(IF(ISNUMBER(SEARCH("Party Name:-",'R.M Billets Reports'!D2002)),TRIM('R.M Billets Reports'!F2002),IF(ISNUMBER(SEARCH("Party Name-",'R.M Billets Reports'!D2002)),TRIM(MID('R.M Billets Reports'!D2002,SEARCH("-",'R.M Billets Reports'!D2002)+1,200)),""))&lt;&gt;"",IF(ISNUMBER(SEARCH("Party Name:-",'R.M Billets Reports'!D2002)),TRIM('R.M Billets Reports'!F2002),IF(ISNUMBER(SEARCH("Party Name-",'R.M Billets Reports'!D2002)),TRIM(MID('R.M Billets Reports'!D2002,SEARCH("-",'R.M Billets Reports'!D2002)+1,200)),"")),IF(ISNUMBER(SEARCH("Party Name:-",'R.M Billets Reports'!D2003)),TRIM('R.M Billets Reports'!F2003),IF(ISNUMBER(SEARCH("Party Name-",'R.M Billets Reports'!D2003)),TRIM(MID('R.M Billets Reports'!D2003,SEARCH("-",'R.M Billets Reports'!D2003)+1,200)),"")))="VRKP ISPAT PVT LTD","VRKP",IF(IF(IF(ISNUMBER(SEARCH("Party Name:-",'R.M Billets Reports'!D2002)),TRIM('R.M Billets Reports'!F2002),IF(ISNUMBER(SEARCH("Party Name-",'R.M Billets Reports'!D2002)),TRIM(MID('R.M Billets Reports'!D2002,SEARCH("-",'R.M Billets Reports'!D2002)+1,200)),""))&lt;&gt;"",IF(ISNUMBER(SEARCH("Party Name:-",'R.M Billets Reports'!D2002)),TRIM('R.M Billets Reports'!F2002),IF(ISNUMBER(SEARCH("Party Name-",'R.M Billets Reports'!D2002)),TRIM(MID('R.M Billets Reports'!D2002,SEARCH("-",'R.M Billets Reports'!D2002)+1,200)),"")),IF(ISNUMBER(SEARCH("Party Name:-",'R.M Billets Reports'!D2003)),TRIM('R.M Billets Reports'!F2003),IF(ISNUMBER(SEARCH("Party Name-",'R.M Billets Reports'!D2003)),TRIM(MID('R.M Billets Reports'!D2003,SEARCH("-",'R.M Billets Reports'!D2003)+1,200)),"")))="SHRI RADHE","SHREE RADHE",IF(IF(IF(ISNUMBER(SEARCH("Party Name:-",'R.M Billets Reports'!D2002)),TRIM('R.M Billets Reports'!F2002),IF(ISNUMBER(SEARCH("Party Name-",'R.M Billets Reports'!D2002)),TRIM(MID('R.M Billets Reports'!D2002,SEARCH("-",'R.M Billets Reports'!D2002)+1,200)),""))&lt;&gt;"",IF(ISNUMBER(SEARCH("Party Name:-",'R.M Billets Reports'!D2002)),TRIM('R.M Billets Reports'!F2002),IF(ISNUMBER(SEARCH("Party Name-",'R.M Billets Reports'!D2002)),TRIM(MID('R.M Billets Reports'!D2002,SEARCH("-",'R.M Billets Reports'!D2002)+1,200)),"")),IF(ISNUMBER(SEARCH("Party Name:-",'R.M Billets Reports'!D2003)),TRIM('R.M Billets Reports'!F2003),IF(ISNUMBER(SEARCH("Party Name-",'R.M Billets Reports'!D2003)),TRIM(MID('R.M Billets Reports'!D2003,SEARCH("-",'R.M Billets Reports'!D2003)+1,200)),"")))="SHREE RADHE SHAKTI SPONGE AND POWER PVT. LTD.","SHREE RADHE",IF(IF(ISNUMBER(SEARCH("Party Name:-",'R.M Billets Reports'!D2002)),TRIM('R.M Billets Reports'!F2002),IF(ISNUMBER(SEARCH("Party Name-",'R.M Billets Reports'!D2002)),TRIM(MID('R.M Billets Reports'!D2002,SEARCH("-",'R.M Billets Reports'!D2002)+1,200)),""))&lt;&gt;"",IF(ISNUMBER(SEARCH("Party Name:-",'R.M Billets Reports'!D2002)),TRIM('R.M Billets Reports'!F2002),IF(ISNUMBER(SEARCH("Party Name-",'R.M Billets Reports'!D2002)),TRIM(MID('R.M Billets Reports'!D2002,SEARCH("-",'R.M Billets Reports'!D2002)+1,200)),"")),IF(ISNUMBER(SEARCH("Party Name:-",'R.M Billets Reports'!D2003)),TRIM('R.M Billets Reports'!F2003),IF(ISNUMBER(SEARCH("Party Name-",'R.M Billets Reports'!D2003)),TRIM(MID('R.M Billets Reports'!D2003,SEARCH("-",'R.M Billets Reports'!D2003)+1,200)),"")))))),IF(ROW()=2,"",A2002))</f>
      </c>
      <c r="B2003">
        <f>IF(OR('R.M Billets Reports'!A2002="Date-",'R.M Billets Reports'!A2002="Date:-"),'R.M Billets Reports'!B2002,IF(ROW()=2,"",B2002))</f>
      </c>
      <c r="C2003">
        <f>IF('R.M Billets Reports'!A2002="V.No.",'R.M Billets Reports'!B2002,IF(ROW()=2,"",C2002))</f>
      </c>
      <c r="D2003">
        <f>IF('R.M Billets Reports'!A2002&lt;&gt;"",'R.M Billets Reports'!A2002,IF(ROW()=2,"",D2002))</f>
      </c>
      <c r="E2003">
        <f>IF('R.M Billets Reports'!B2002="","",TRIM('R.M Billets Reports'!B2002))</f>
      </c>
      <c r="F2003">
        <f>'R.M Billets Reports'!C2002</f>
      </c>
      <c r="G2003">
        <f>'R.M Billets Reports'!D2002</f>
      </c>
      <c r="H2003">
        <f>'R.M Billets Reports'!E2002</f>
      </c>
      <c r="I2003">
        <f>'R.M Billets Reports'!F2002</f>
      </c>
      <c r="J2003">
        <f>'R.M Billets Reports'!G2002</f>
      </c>
      <c r="K2003">
        <f>'R.M Billets Reports'!H2002</f>
      </c>
      <c r="L2003">
        <f>IF('R.M Billets Reports'!I2002="","",'R.M Billets Reports'!I2002)</f>
      </c>
      <c r="M2003">
        <f t="shared" si="62"/>
      </c>
      <c r="N2003">
        <f>IF('R.M Billets Reports'!J2002="","",'R.M Billets Reports'!J2002)</f>
      </c>
      <c r="O2003">
        <f t="shared" si="63"/>
      </c>
      <c r="P2003">
        <f>IF('R.M Billets Reports'!A2002="SIZE",'R.M Billets Reports'!B2002,P2002)</f>
      </c>
    </row>
    <row r="2004" spans="1:16" x14ac:dyDescent="0.25">
      <c r="A2004">
        <f>IF(OR('R.M Billets Reports'!A2003="Date-",'R.M Billets Reports'!A2003="Date:-"),IF(IF(IF(ISNUMBER(SEARCH("Party Name:-",'R.M Billets Reports'!D2003)),TRIM('R.M Billets Reports'!F2003),IF(ISNUMBER(SEARCH("Party Name-",'R.M Billets Reports'!D2003)),TRIM(MID('R.M Billets Reports'!D2003,SEARCH("-",'R.M Billets Reports'!D2003)+1,200)),""))&lt;&gt;"",IF(ISNUMBER(SEARCH("Party Name:-",'R.M Billets Reports'!D2003)),TRIM('R.M Billets Reports'!F2003),IF(ISNUMBER(SEARCH("Party Name-",'R.M Billets Reports'!D2003)),TRIM(MID('R.M Billets Reports'!D2003,SEARCH("-",'R.M Billets Reports'!D2003)+1,200)),"")),IF(ISNUMBER(SEARCH("Party Name:-",'R.M Billets Reports'!D2004)),TRIM('R.M Billets Reports'!F2004),IF(ISNUMBER(SEARCH("Party Name-",'R.M Billets Reports'!D2004)),TRIM(MID('R.M Billets Reports'!D2004,SEARCH("-",'R.M Billets Reports'!D2004)+1,200)),"")))="VRKP ISPAT PVT LTD","VRKP",IF(IF(IF(ISNUMBER(SEARCH("Party Name:-",'R.M Billets Reports'!D2003)),TRIM('R.M Billets Reports'!F2003),IF(ISNUMBER(SEARCH("Party Name-",'R.M Billets Reports'!D2003)),TRIM(MID('R.M Billets Reports'!D2003,SEARCH("-",'R.M Billets Reports'!D2003)+1,200)),""))&lt;&gt;"",IF(ISNUMBER(SEARCH("Party Name:-",'R.M Billets Reports'!D2003)),TRIM('R.M Billets Reports'!F2003),IF(ISNUMBER(SEARCH("Party Name-",'R.M Billets Reports'!D2003)),TRIM(MID('R.M Billets Reports'!D2003,SEARCH("-",'R.M Billets Reports'!D2003)+1,200)),"")),IF(ISNUMBER(SEARCH("Party Name:-",'R.M Billets Reports'!D2004)),TRIM('R.M Billets Reports'!F2004),IF(ISNUMBER(SEARCH("Party Name-",'R.M Billets Reports'!D2004)),TRIM(MID('R.M Billets Reports'!D2004,SEARCH("-",'R.M Billets Reports'!D2004)+1,200)),"")))="SHRI RADHE","SHREE RADHE",IF(IF(IF(ISNUMBER(SEARCH("Party Name:-",'R.M Billets Reports'!D2003)),TRIM('R.M Billets Reports'!F2003),IF(ISNUMBER(SEARCH("Party Name-",'R.M Billets Reports'!D2003)),TRIM(MID('R.M Billets Reports'!D2003,SEARCH("-",'R.M Billets Reports'!D2003)+1,200)),""))&lt;&gt;"",IF(ISNUMBER(SEARCH("Party Name:-",'R.M Billets Reports'!D2003)),TRIM('R.M Billets Reports'!F2003),IF(ISNUMBER(SEARCH("Party Name-",'R.M Billets Reports'!D2003)),TRIM(MID('R.M Billets Reports'!D2003,SEARCH("-",'R.M Billets Reports'!D2003)+1,200)),"")),IF(ISNUMBER(SEARCH("Party Name:-",'R.M Billets Reports'!D2004)),TRIM('R.M Billets Reports'!F2004),IF(ISNUMBER(SEARCH("Party Name-",'R.M Billets Reports'!D2004)),TRIM(MID('R.M Billets Reports'!D2004,SEARCH("-",'R.M Billets Reports'!D2004)+1,200)),"")))="SHREE RADHE SHAKTI SPONGE AND POWER PVT. LTD.","SHREE RADHE",IF(IF(ISNUMBER(SEARCH("Party Name:-",'R.M Billets Reports'!D2003)),TRIM('R.M Billets Reports'!F2003),IF(ISNUMBER(SEARCH("Party Name-",'R.M Billets Reports'!D2003)),TRIM(MID('R.M Billets Reports'!D2003,SEARCH("-",'R.M Billets Reports'!D2003)+1,200)),""))&lt;&gt;"",IF(ISNUMBER(SEARCH("Party Name:-",'R.M Billets Reports'!D2003)),TRIM('R.M Billets Reports'!F2003),IF(ISNUMBER(SEARCH("Party Name-",'R.M Billets Reports'!D2003)),TRIM(MID('R.M Billets Reports'!D2003,SEARCH("-",'R.M Billets Reports'!D2003)+1,200)),"")),IF(ISNUMBER(SEARCH("Party Name:-",'R.M Billets Reports'!D2004)),TRIM('R.M Billets Reports'!F2004),IF(ISNUMBER(SEARCH("Party Name-",'R.M Billets Reports'!D2004)),TRIM(MID('R.M Billets Reports'!D2004,SEARCH("-",'R.M Billets Reports'!D2004)+1,200)),"")))))),IF(ROW()=2,"",A2003))</f>
      </c>
      <c r="B2004">
        <f>IF(OR('R.M Billets Reports'!A2003="Date-",'R.M Billets Reports'!A2003="Date:-"),'R.M Billets Reports'!B2003,IF(ROW()=2,"",B2003))</f>
      </c>
      <c r="C2004">
        <f>IF('R.M Billets Reports'!A2003="V.No.",'R.M Billets Reports'!B2003,IF(ROW()=2,"",C2003))</f>
      </c>
      <c r="D2004">
        <f>IF('R.M Billets Reports'!A2003&lt;&gt;"",'R.M Billets Reports'!A2003,IF(ROW()=2,"",D2003))</f>
      </c>
      <c r="E2004">
        <f>IF('R.M Billets Reports'!B2003="","",TRIM('R.M Billets Reports'!B2003))</f>
      </c>
      <c r="F2004">
        <f>'R.M Billets Reports'!C2003</f>
      </c>
      <c r="G2004">
        <f>'R.M Billets Reports'!D2003</f>
      </c>
      <c r="H2004">
        <f>'R.M Billets Reports'!E2003</f>
      </c>
      <c r="I2004">
        <f>'R.M Billets Reports'!F2003</f>
      </c>
      <c r="J2004">
        <f>'R.M Billets Reports'!G2003</f>
      </c>
      <c r="K2004">
        <f>'R.M Billets Reports'!H2003</f>
      </c>
      <c r="L2004">
        <f>IF('R.M Billets Reports'!I2003="","",'R.M Billets Reports'!I2003)</f>
      </c>
      <c r="M2004">
        <f t="shared" si="62"/>
      </c>
      <c r="N2004">
        <f>IF('R.M Billets Reports'!J2003="","",'R.M Billets Reports'!J2003)</f>
      </c>
      <c r="O2004">
        <f t="shared" si="63"/>
      </c>
      <c r="P2004">
        <f>IF('R.M Billets Reports'!A2003="SIZE",'R.M Billets Reports'!B2003,P2003)</f>
      </c>
    </row>
    <row r="2005" spans="1:16" x14ac:dyDescent="0.25">
      <c r="A2005">
        <f>IF(OR('R.M Billets Reports'!A2004="Date-",'R.M Billets Reports'!A2004="Date:-"),IF(IF(IF(ISNUMBER(SEARCH("Party Name:-",'R.M Billets Reports'!D2004)),TRIM('R.M Billets Reports'!F2004),IF(ISNUMBER(SEARCH("Party Name-",'R.M Billets Reports'!D2004)),TRIM(MID('R.M Billets Reports'!D2004,SEARCH("-",'R.M Billets Reports'!D2004)+1,200)),""))&lt;&gt;"",IF(ISNUMBER(SEARCH("Party Name:-",'R.M Billets Reports'!D2004)),TRIM('R.M Billets Reports'!F2004),IF(ISNUMBER(SEARCH("Party Name-",'R.M Billets Reports'!D2004)),TRIM(MID('R.M Billets Reports'!D2004,SEARCH("-",'R.M Billets Reports'!D2004)+1,200)),"")),IF(ISNUMBER(SEARCH("Party Name:-",'R.M Billets Reports'!D2005)),TRIM('R.M Billets Reports'!F2005),IF(ISNUMBER(SEARCH("Party Name-",'R.M Billets Reports'!D2005)),TRIM(MID('R.M Billets Reports'!D2005,SEARCH("-",'R.M Billets Reports'!D2005)+1,200)),"")))="VRKP ISPAT PVT LTD","VRKP",IF(IF(IF(ISNUMBER(SEARCH("Party Name:-",'R.M Billets Reports'!D2004)),TRIM('R.M Billets Reports'!F2004),IF(ISNUMBER(SEARCH("Party Name-",'R.M Billets Reports'!D2004)),TRIM(MID('R.M Billets Reports'!D2004,SEARCH("-",'R.M Billets Reports'!D2004)+1,200)),""))&lt;&gt;"",IF(ISNUMBER(SEARCH("Party Name:-",'R.M Billets Reports'!D2004)),TRIM('R.M Billets Reports'!F2004),IF(ISNUMBER(SEARCH("Party Name-",'R.M Billets Reports'!D2004)),TRIM(MID('R.M Billets Reports'!D2004,SEARCH("-",'R.M Billets Reports'!D2004)+1,200)),"")),IF(ISNUMBER(SEARCH("Party Name:-",'R.M Billets Reports'!D2005)),TRIM('R.M Billets Reports'!F2005),IF(ISNUMBER(SEARCH("Party Name-",'R.M Billets Reports'!D2005)),TRIM(MID('R.M Billets Reports'!D2005,SEARCH("-",'R.M Billets Reports'!D2005)+1,200)),"")))="SHRI RADHE","SHREE RADHE",IF(IF(IF(ISNUMBER(SEARCH("Party Name:-",'R.M Billets Reports'!D2004)),TRIM('R.M Billets Reports'!F2004),IF(ISNUMBER(SEARCH("Party Name-",'R.M Billets Reports'!D2004)),TRIM(MID('R.M Billets Reports'!D2004,SEARCH("-",'R.M Billets Reports'!D2004)+1,200)),""))&lt;&gt;"",IF(ISNUMBER(SEARCH("Party Name:-",'R.M Billets Reports'!D2004)),TRIM('R.M Billets Reports'!F2004),IF(ISNUMBER(SEARCH("Party Name-",'R.M Billets Reports'!D2004)),TRIM(MID('R.M Billets Reports'!D2004,SEARCH("-",'R.M Billets Reports'!D2004)+1,200)),"")),IF(ISNUMBER(SEARCH("Party Name:-",'R.M Billets Reports'!D2005)),TRIM('R.M Billets Reports'!F2005),IF(ISNUMBER(SEARCH("Party Name-",'R.M Billets Reports'!D2005)),TRIM(MID('R.M Billets Reports'!D2005,SEARCH("-",'R.M Billets Reports'!D2005)+1,200)),"")))="SHREE RADHE SHAKTI SPONGE AND POWER PVT. LTD.","SHREE RADHE",IF(IF(ISNUMBER(SEARCH("Party Name:-",'R.M Billets Reports'!D2004)),TRIM('R.M Billets Reports'!F2004),IF(ISNUMBER(SEARCH("Party Name-",'R.M Billets Reports'!D2004)),TRIM(MID('R.M Billets Reports'!D2004,SEARCH("-",'R.M Billets Reports'!D2004)+1,200)),""))&lt;&gt;"",IF(ISNUMBER(SEARCH("Party Name:-",'R.M Billets Reports'!D2004)),TRIM('R.M Billets Reports'!F2004),IF(ISNUMBER(SEARCH("Party Name-",'R.M Billets Reports'!D2004)),TRIM(MID('R.M Billets Reports'!D2004,SEARCH("-",'R.M Billets Reports'!D2004)+1,200)),"")),IF(ISNUMBER(SEARCH("Party Name:-",'R.M Billets Reports'!D2005)),TRIM('R.M Billets Reports'!F2005),IF(ISNUMBER(SEARCH("Party Name-",'R.M Billets Reports'!D2005)),TRIM(MID('R.M Billets Reports'!D2005,SEARCH("-",'R.M Billets Reports'!D2005)+1,200)),"")))))),IF(ROW()=2,"",A2004))</f>
      </c>
      <c r="B2005">
        <f>IF(OR('R.M Billets Reports'!A2004="Date-",'R.M Billets Reports'!A2004="Date:-"),'R.M Billets Reports'!B2004,IF(ROW()=2,"",B2004))</f>
      </c>
      <c r="C2005">
        <f>IF('R.M Billets Reports'!A2004="V.No.",'R.M Billets Reports'!B2004,IF(ROW()=2,"",C2004))</f>
      </c>
      <c r="D2005">
        <f>IF('R.M Billets Reports'!A2004&lt;&gt;"",'R.M Billets Reports'!A2004,IF(ROW()=2,"",D2004))</f>
      </c>
      <c r="E2005">
        <f>IF('R.M Billets Reports'!B2004="","",TRIM('R.M Billets Reports'!B2004))</f>
      </c>
      <c r="F2005">
        <f>'R.M Billets Reports'!C2004</f>
      </c>
      <c r="G2005">
        <f>'R.M Billets Reports'!D2004</f>
      </c>
      <c r="H2005">
        <f>'R.M Billets Reports'!E2004</f>
      </c>
      <c r="I2005">
        <f>'R.M Billets Reports'!F2004</f>
      </c>
      <c r="J2005">
        <f>'R.M Billets Reports'!G2004</f>
      </c>
      <c r="K2005">
        <f>'R.M Billets Reports'!H2004</f>
      </c>
      <c r="L2005">
        <f>IF('R.M Billets Reports'!I2004="","",'R.M Billets Reports'!I2004)</f>
      </c>
      <c r="M2005">
        <f t="shared" si="62"/>
      </c>
      <c r="N2005">
        <f>IF('R.M Billets Reports'!J2004="","",'R.M Billets Reports'!J2004)</f>
      </c>
      <c r="O2005">
        <f t="shared" si="63"/>
      </c>
      <c r="P2005">
        <f>IF('R.M Billets Reports'!A2004="SIZE",'R.M Billets Reports'!B2004,P2004)</f>
      </c>
    </row>
    <row r="2006" spans="1:16" x14ac:dyDescent="0.25">
      <c r="A2006">
        <f>IF(OR('R.M Billets Reports'!A2005="Date-",'R.M Billets Reports'!A2005="Date:-"),IF(IF(IF(ISNUMBER(SEARCH("Party Name:-",'R.M Billets Reports'!D2005)),TRIM('R.M Billets Reports'!F2005),IF(ISNUMBER(SEARCH("Party Name-",'R.M Billets Reports'!D2005)),TRIM(MID('R.M Billets Reports'!D2005,SEARCH("-",'R.M Billets Reports'!D2005)+1,200)),""))&lt;&gt;"",IF(ISNUMBER(SEARCH("Party Name:-",'R.M Billets Reports'!D2005)),TRIM('R.M Billets Reports'!F2005),IF(ISNUMBER(SEARCH("Party Name-",'R.M Billets Reports'!D2005)),TRIM(MID('R.M Billets Reports'!D2005,SEARCH("-",'R.M Billets Reports'!D2005)+1,200)),"")),IF(ISNUMBER(SEARCH("Party Name:-",'R.M Billets Reports'!D2006)),TRIM('R.M Billets Reports'!F2006),IF(ISNUMBER(SEARCH("Party Name-",'R.M Billets Reports'!D2006)),TRIM(MID('R.M Billets Reports'!D2006,SEARCH("-",'R.M Billets Reports'!D2006)+1,200)),"")))="VRKP ISPAT PVT LTD","VRKP",IF(IF(IF(ISNUMBER(SEARCH("Party Name:-",'R.M Billets Reports'!D2005)),TRIM('R.M Billets Reports'!F2005),IF(ISNUMBER(SEARCH("Party Name-",'R.M Billets Reports'!D2005)),TRIM(MID('R.M Billets Reports'!D2005,SEARCH("-",'R.M Billets Reports'!D2005)+1,200)),""))&lt;&gt;"",IF(ISNUMBER(SEARCH("Party Name:-",'R.M Billets Reports'!D2005)),TRIM('R.M Billets Reports'!F2005),IF(ISNUMBER(SEARCH("Party Name-",'R.M Billets Reports'!D2005)),TRIM(MID('R.M Billets Reports'!D2005,SEARCH("-",'R.M Billets Reports'!D2005)+1,200)),"")),IF(ISNUMBER(SEARCH("Party Name:-",'R.M Billets Reports'!D2006)),TRIM('R.M Billets Reports'!F2006),IF(ISNUMBER(SEARCH("Party Name-",'R.M Billets Reports'!D2006)),TRIM(MID('R.M Billets Reports'!D2006,SEARCH("-",'R.M Billets Reports'!D2006)+1,200)),"")))="SHRI RADHE","SHREE RADHE",IF(IF(IF(ISNUMBER(SEARCH("Party Name:-",'R.M Billets Reports'!D2005)),TRIM('R.M Billets Reports'!F2005),IF(ISNUMBER(SEARCH("Party Name-",'R.M Billets Reports'!D2005)),TRIM(MID('R.M Billets Reports'!D2005,SEARCH("-",'R.M Billets Reports'!D2005)+1,200)),""))&lt;&gt;"",IF(ISNUMBER(SEARCH("Party Name:-",'R.M Billets Reports'!D2005)),TRIM('R.M Billets Reports'!F2005),IF(ISNUMBER(SEARCH("Party Name-",'R.M Billets Reports'!D2005)),TRIM(MID('R.M Billets Reports'!D2005,SEARCH("-",'R.M Billets Reports'!D2005)+1,200)),"")),IF(ISNUMBER(SEARCH("Party Name:-",'R.M Billets Reports'!D2006)),TRIM('R.M Billets Reports'!F2006),IF(ISNUMBER(SEARCH("Party Name-",'R.M Billets Reports'!D2006)),TRIM(MID('R.M Billets Reports'!D2006,SEARCH("-",'R.M Billets Reports'!D2006)+1,200)),"")))="SHREE RADHE SHAKTI SPONGE AND POWER PVT. LTD.","SHREE RADHE",IF(IF(ISNUMBER(SEARCH("Party Name:-",'R.M Billets Reports'!D2005)),TRIM('R.M Billets Reports'!F2005),IF(ISNUMBER(SEARCH("Party Name-",'R.M Billets Reports'!D2005)),TRIM(MID('R.M Billets Reports'!D2005,SEARCH("-",'R.M Billets Reports'!D2005)+1,200)),""))&lt;&gt;"",IF(ISNUMBER(SEARCH("Party Name:-",'R.M Billets Reports'!D2005)),TRIM('R.M Billets Reports'!F2005),IF(ISNUMBER(SEARCH("Party Name-",'R.M Billets Reports'!D2005)),TRIM(MID('R.M Billets Reports'!D2005,SEARCH("-",'R.M Billets Reports'!D2005)+1,200)),"")),IF(ISNUMBER(SEARCH("Party Name:-",'R.M Billets Reports'!D2006)),TRIM('R.M Billets Reports'!F2006),IF(ISNUMBER(SEARCH("Party Name-",'R.M Billets Reports'!D2006)),TRIM(MID('R.M Billets Reports'!D2006,SEARCH("-",'R.M Billets Reports'!D2006)+1,200)),"")))))),IF(ROW()=2,"",A2005))</f>
      </c>
      <c r="B2006">
        <f>IF(OR('R.M Billets Reports'!A2005="Date-",'R.M Billets Reports'!A2005="Date:-"),'R.M Billets Reports'!B2005,IF(ROW()=2,"",B2005))</f>
      </c>
      <c r="C2006">
        <f>IF('R.M Billets Reports'!A2005="V.No.",'R.M Billets Reports'!B2005,IF(ROW()=2,"",C2005))</f>
      </c>
      <c r="D2006">
        <f>IF('R.M Billets Reports'!A2005&lt;&gt;"",'R.M Billets Reports'!A2005,IF(ROW()=2,"",D2005))</f>
      </c>
      <c r="E2006">
        <f>IF('R.M Billets Reports'!B2005="","",TRIM('R.M Billets Reports'!B2005))</f>
      </c>
      <c r="F2006">
        <f>'R.M Billets Reports'!C2005</f>
      </c>
      <c r="G2006">
        <f>'R.M Billets Reports'!D2005</f>
      </c>
      <c r="H2006">
        <f>'R.M Billets Reports'!E2005</f>
      </c>
      <c r="I2006">
        <f>'R.M Billets Reports'!F2005</f>
      </c>
      <c r="J2006">
        <f>'R.M Billets Reports'!G2005</f>
      </c>
      <c r="K2006">
        <f>'R.M Billets Reports'!H2005</f>
      </c>
      <c r="L2006">
        <f>IF('R.M Billets Reports'!I2005="","",'R.M Billets Reports'!I2005)</f>
      </c>
      <c r="M2006">
        <f t="shared" si="62"/>
      </c>
      <c r="N2006">
        <f>IF('R.M Billets Reports'!J2005="","",'R.M Billets Reports'!J2005)</f>
      </c>
      <c r="O2006">
        <f t="shared" si="63"/>
      </c>
      <c r="P2006">
        <f>IF('R.M Billets Reports'!A2005="SIZE",'R.M Billets Reports'!B2005,P2005)</f>
      </c>
    </row>
    <row r="2007" spans="1:16" x14ac:dyDescent="0.25">
      <c r="A2007">
        <f>IF(OR('R.M Billets Reports'!A2006="Date-",'R.M Billets Reports'!A2006="Date:-"),IF(IF(IF(ISNUMBER(SEARCH("Party Name:-",'R.M Billets Reports'!D2006)),TRIM('R.M Billets Reports'!F2006),IF(ISNUMBER(SEARCH("Party Name-",'R.M Billets Reports'!D2006)),TRIM(MID('R.M Billets Reports'!D2006,SEARCH("-",'R.M Billets Reports'!D2006)+1,200)),""))&lt;&gt;"",IF(ISNUMBER(SEARCH("Party Name:-",'R.M Billets Reports'!D2006)),TRIM('R.M Billets Reports'!F2006),IF(ISNUMBER(SEARCH("Party Name-",'R.M Billets Reports'!D2006)),TRIM(MID('R.M Billets Reports'!D2006,SEARCH("-",'R.M Billets Reports'!D2006)+1,200)),"")),IF(ISNUMBER(SEARCH("Party Name:-",'R.M Billets Reports'!D2007)),TRIM('R.M Billets Reports'!F2007),IF(ISNUMBER(SEARCH("Party Name-",'R.M Billets Reports'!D2007)),TRIM(MID('R.M Billets Reports'!D2007,SEARCH("-",'R.M Billets Reports'!D2007)+1,200)),"")))="VRKP ISPAT PVT LTD","VRKP",IF(IF(IF(ISNUMBER(SEARCH("Party Name:-",'R.M Billets Reports'!D2006)),TRIM('R.M Billets Reports'!F2006),IF(ISNUMBER(SEARCH("Party Name-",'R.M Billets Reports'!D2006)),TRIM(MID('R.M Billets Reports'!D2006,SEARCH("-",'R.M Billets Reports'!D2006)+1,200)),""))&lt;&gt;"",IF(ISNUMBER(SEARCH("Party Name:-",'R.M Billets Reports'!D2006)),TRIM('R.M Billets Reports'!F2006),IF(ISNUMBER(SEARCH("Party Name-",'R.M Billets Reports'!D2006)),TRIM(MID('R.M Billets Reports'!D2006,SEARCH("-",'R.M Billets Reports'!D2006)+1,200)),"")),IF(ISNUMBER(SEARCH("Party Name:-",'R.M Billets Reports'!D2007)),TRIM('R.M Billets Reports'!F2007),IF(ISNUMBER(SEARCH("Party Name-",'R.M Billets Reports'!D2007)),TRIM(MID('R.M Billets Reports'!D2007,SEARCH("-",'R.M Billets Reports'!D2007)+1,200)),"")))="SHRI RADHE","SHREE RADHE",IF(IF(IF(ISNUMBER(SEARCH("Party Name:-",'R.M Billets Reports'!D2006)),TRIM('R.M Billets Reports'!F2006),IF(ISNUMBER(SEARCH("Party Name-",'R.M Billets Reports'!D2006)),TRIM(MID('R.M Billets Reports'!D2006,SEARCH("-",'R.M Billets Reports'!D2006)+1,200)),""))&lt;&gt;"",IF(ISNUMBER(SEARCH("Party Name:-",'R.M Billets Reports'!D2006)),TRIM('R.M Billets Reports'!F2006),IF(ISNUMBER(SEARCH("Party Name-",'R.M Billets Reports'!D2006)),TRIM(MID('R.M Billets Reports'!D2006,SEARCH("-",'R.M Billets Reports'!D2006)+1,200)),"")),IF(ISNUMBER(SEARCH("Party Name:-",'R.M Billets Reports'!D2007)),TRIM('R.M Billets Reports'!F2007),IF(ISNUMBER(SEARCH("Party Name-",'R.M Billets Reports'!D2007)),TRIM(MID('R.M Billets Reports'!D2007,SEARCH("-",'R.M Billets Reports'!D2007)+1,200)),"")))="SHREE RADHE SHAKTI SPONGE AND POWER PVT. LTD.","SHREE RADHE",IF(IF(ISNUMBER(SEARCH("Party Name:-",'R.M Billets Reports'!D2006)),TRIM('R.M Billets Reports'!F2006),IF(ISNUMBER(SEARCH("Party Name-",'R.M Billets Reports'!D2006)),TRIM(MID('R.M Billets Reports'!D2006,SEARCH("-",'R.M Billets Reports'!D2006)+1,200)),""))&lt;&gt;"",IF(ISNUMBER(SEARCH("Party Name:-",'R.M Billets Reports'!D2006)),TRIM('R.M Billets Reports'!F2006),IF(ISNUMBER(SEARCH("Party Name-",'R.M Billets Reports'!D2006)),TRIM(MID('R.M Billets Reports'!D2006,SEARCH("-",'R.M Billets Reports'!D2006)+1,200)),"")),IF(ISNUMBER(SEARCH("Party Name:-",'R.M Billets Reports'!D2007)),TRIM('R.M Billets Reports'!F2007),IF(ISNUMBER(SEARCH("Party Name-",'R.M Billets Reports'!D2007)),TRIM(MID('R.M Billets Reports'!D2007,SEARCH("-",'R.M Billets Reports'!D2007)+1,200)),"")))))),IF(ROW()=2,"",A2006))</f>
      </c>
      <c r="B2007">
        <f>IF(OR('R.M Billets Reports'!A2006="Date-",'R.M Billets Reports'!A2006="Date:-"),'R.M Billets Reports'!B2006,IF(ROW()=2,"",B2006))</f>
      </c>
      <c r="C2007">
        <f>IF('R.M Billets Reports'!A2006="V.No.",'R.M Billets Reports'!B2006,IF(ROW()=2,"",C2006))</f>
      </c>
      <c r="D2007">
        <f>IF('R.M Billets Reports'!A2006&lt;&gt;"",'R.M Billets Reports'!A2006,IF(ROW()=2,"",D2006))</f>
      </c>
      <c r="E2007">
        <f>IF('R.M Billets Reports'!B2006="","",TRIM('R.M Billets Reports'!B2006))</f>
      </c>
      <c r="F2007">
        <f>'R.M Billets Reports'!C2006</f>
      </c>
      <c r="G2007">
        <f>'R.M Billets Reports'!D2006</f>
      </c>
      <c r="H2007">
        <f>'R.M Billets Reports'!E2006</f>
      </c>
      <c r="I2007">
        <f>'R.M Billets Reports'!F2006</f>
      </c>
      <c r="J2007">
        <f>'R.M Billets Reports'!G2006</f>
      </c>
      <c r="K2007">
        <f>'R.M Billets Reports'!H2006</f>
      </c>
      <c r="L2007">
        <f>IF('R.M Billets Reports'!I2006="","",'R.M Billets Reports'!I2006)</f>
      </c>
      <c r="M2007">
        <f t="shared" si="62"/>
      </c>
      <c r="N2007">
        <f>IF('R.M Billets Reports'!J2006="","",'R.M Billets Reports'!J2006)</f>
      </c>
      <c r="O2007">
        <f t="shared" si="63"/>
      </c>
      <c r="P2007">
        <f>IF('R.M Billets Reports'!A2006="SIZE",'R.M Billets Reports'!B2006,P2006)</f>
      </c>
    </row>
    <row r="2008" spans="1:16" x14ac:dyDescent="0.25">
      <c r="A2008">
        <f>IF(OR('R.M Billets Reports'!A2007="Date-",'R.M Billets Reports'!A2007="Date:-"),IF(IF(IF(ISNUMBER(SEARCH("Party Name:-",'R.M Billets Reports'!D2007)),TRIM('R.M Billets Reports'!F2007),IF(ISNUMBER(SEARCH("Party Name-",'R.M Billets Reports'!D2007)),TRIM(MID('R.M Billets Reports'!D2007,SEARCH("-",'R.M Billets Reports'!D2007)+1,200)),""))&lt;&gt;"",IF(ISNUMBER(SEARCH("Party Name:-",'R.M Billets Reports'!D2007)),TRIM('R.M Billets Reports'!F2007),IF(ISNUMBER(SEARCH("Party Name-",'R.M Billets Reports'!D2007)),TRIM(MID('R.M Billets Reports'!D2007,SEARCH("-",'R.M Billets Reports'!D2007)+1,200)),"")),IF(ISNUMBER(SEARCH("Party Name:-",'R.M Billets Reports'!D2008)),TRIM('R.M Billets Reports'!F2008),IF(ISNUMBER(SEARCH("Party Name-",'R.M Billets Reports'!D2008)),TRIM(MID('R.M Billets Reports'!D2008,SEARCH("-",'R.M Billets Reports'!D2008)+1,200)),"")))="VRKP ISPAT PVT LTD","VRKP",IF(IF(IF(ISNUMBER(SEARCH("Party Name:-",'R.M Billets Reports'!D2007)),TRIM('R.M Billets Reports'!F2007),IF(ISNUMBER(SEARCH("Party Name-",'R.M Billets Reports'!D2007)),TRIM(MID('R.M Billets Reports'!D2007,SEARCH("-",'R.M Billets Reports'!D2007)+1,200)),""))&lt;&gt;"",IF(ISNUMBER(SEARCH("Party Name:-",'R.M Billets Reports'!D2007)),TRIM('R.M Billets Reports'!F2007),IF(ISNUMBER(SEARCH("Party Name-",'R.M Billets Reports'!D2007)),TRIM(MID('R.M Billets Reports'!D2007,SEARCH("-",'R.M Billets Reports'!D2007)+1,200)),"")),IF(ISNUMBER(SEARCH("Party Name:-",'R.M Billets Reports'!D2008)),TRIM('R.M Billets Reports'!F2008),IF(ISNUMBER(SEARCH("Party Name-",'R.M Billets Reports'!D2008)),TRIM(MID('R.M Billets Reports'!D2008,SEARCH("-",'R.M Billets Reports'!D2008)+1,200)),"")))="SHRI RADHE","SHREE RADHE",IF(IF(IF(ISNUMBER(SEARCH("Party Name:-",'R.M Billets Reports'!D2007)),TRIM('R.M Billets Reports'!F2007),IF(ISNUMBER(SEARCH("Party Name-",'R.M Billets Reports'!D2007)),TRIM(MID('R.M Billets Reports'!D2007,SEARCH("-",'R.M Billets Reports'!D2007)+1,200)),""))&lt;&gt;"",IF(ISNUMBER(SEARCH("Party Name:-",'R.M Billets Reports'!D2007)),TRIM('R.M Billets Reports'!F2007),IF(ISNUMBER(SEARCH("Party Name-",'R.M Billets Reports'!D2007)),TRIM(MID('R.M Billets Reports'!D2007,SEARCH("-",'R.M Billets Reports'!D2007)+1,200)),"")),IF(ISNUMBER(SEARCH("Party Name:-",'R.M Billets Reports'!D2008)),TRIM('R.M Billets Reports'!F2008),IF(ISNUMBER(SEARCH("Party Name-",'R.M Billets Reports'!D2008)),TRIM(MID('R.M Billets Reports'!D2008,SEARCH("-",'R.M Billets Reports'!D2008)+1,200)),"")))="SHREE RADHE SHAKTI SPONGE AND POWER PVT. LTD.","SHREE RADHE",IF(IF(ISNUMBER(SEARCH("Party Name:-",'R.M Billets Reports'!D2007)),TRIM('R.M Billets Reports'!F2007),IF(ISNUMBER(SEARCH("Party Name-",'R.M Billets Reports'!D2007)),TRIM(MID('R.M Billets Reports'!D2007,SEARCH("-",'R.M Billets Reports'!D2007)+1,200)),""))&lt;&gt;"",IF(ISNUMBER(SEARCH("Party Name:-",'R.M Billets Reports'!D2007)),TRIM('R.M Billets Reports'!F2007),IF(ISNUMBER(SEARCH("Party Name-",'R.M Billets Reports'!D2007)),TRIM(MID('R.M Billets Reports'!D2007,SEARCH("-",'R.M Billets Reports'!D2007)+1,200)),"")),IF(ISNUMBER(SEARCH("Party Name:-",'R.M Billets Reports'!D2008)),TRIM('R.M Billets Reports'!F2008),IF(ISNUMBER(SEARCH("Party Name-",'R.M Billets Reports'!D2008)),TRIM(MID('R.M Billets Reports'!D2008,SEARCH("-",'R.M Billets Reports'!D2008)+1,200)),"")))))),IF(ROW()=2,"",A2007))</f>
      </c>
      <c r="B2008">
        <f>IF(OR('R.M Billets Reports'!A2007="Date-",'R.M Billets Reports'!A2007="Date:-"),'R.M Billets Reports'!B2007,IF(ROW()=2,"",B2007))</f>
      </c>
      <c r="C2008">
        <f>IF('R.M Billets Reports'!A2007="V.No.",'R.M Billets Reports'!B2007,IF(ROW()=2,"",C2007))</f>
      </c>
      <c r="D2008">
        <f>IF('R.M Billets Reports'!A2007&lt;&gt;"",'R.M Billets Reports'!A2007,IF(ROW()=2,"",D2007))</f>
      </c>
      <c r="E2008">
        <f>IF('R.M Billets Reports'!B2007="","",TRIM('R.M Billets Reports'!B2007))</f>
      </c>
      <c r="F2008">
        <f>'R.M Billets Reports'!C2007</f>
      </c>
      <c r="G2008">
        <f>'R.M Billets Reports'!D2007</f>
      </c>
      <c r="H2008">
        <f>'R.M Billets Reports'!E2007</f>
      </c>
      <c r="I2008">
        <f>'R.M Billets Reports'!F2007</f>
      </c>
      <c r="J2008">
        <f>'R.M Billets Reports'!G2007</f>
      </c>
      <c r="K2008">
        <f>'R.M Billets Reports'!H2007</f>
      </c>
      <c r="L2008">
        <f>IF('R.M Billets Reports'!I2007="","",'R.M Billets Reports'!I2007)</f>
      </c>
      <c r="M2008">
        <f t="shared" si="62"/>
      </c>
      <c r="N2008">
        <f>IF('R.M Billets Reports'!J2007="","",'R.M Billets Reports'!J2007)</f>
      </c>
      <c r="O2008">
        <f t="shared" si="63"/>
      </c>
      <c r="P2008">
        <f>IF('R.M Billets Reports'!A2007="SIZE",'R.M Billets Reports'!B2007,P2007)</f>
      </c>
    </row>
    <row r="2009" spans="1:16" x14ac:dyDescent="0.25">
      <c r="A2009">
        <f>IF(OR('R.M Billets Reports'!A2008="Date-",'R.M Billets Reports'!A2008="Date:-"),IF(IF(IF(ISNUMBER(SEARCH("Party Name:-",'R.M Billets Reports'!D2008)),TRIM('R.M Billets Reports'!F2008),IF(ISNUMBER(SEARCH("Party Name-",'R.M Billets Reports'!D2008)),TRIM(MID('R.M Billets Reports'!D2008,SEARCH("-",'R.M Billets Reports'!D2008)+1,200)),""))&lt;&gt;"",IF(ISNUMBER(SEARCH("Party Name:-",'R.M Billets Reports'!D2008)),TRIM('R.M Billets Reports'!F2008),IF(ISNUMBER(SEARCH("Party Name-",'R.M Billets Reports'!D2008)),TRIM(MID('R.M Billets Reports'!D2008,SEARCH("-",'R.M Billets Reports'!D2008)+1,200)),"")),IF(ISNUMBER(SEARCH("Party Name:-",'R.M Billets Reports'!D2009)),TRIM('R.M Billets Reports'!F2009),IF(ISNUMBER(SEARCH("Party Name-",'R.M Billets Reports'!D2009)),TRIM(MID('R.M Billets Reports'!D2009,SEARCH("-",'R.M Billets Reports'!D2009)+1,200)),"")))="VRKP ISPAT PVT LTD","VRKP",IF(IF(IF(ISNUMBER(SEARCH("Party Name:-",'R.M Billets Reports'!D2008)),TRIM('R.M Billets Reports'!F2008),IF(ISNUMBER(SEARCH("Party Name-",'R.M Billets Reports'!D2008)),TRIM(MID('R.M Billets Reports'!D2008,SEARCH("-",'R.M Billets Reports'!D2008)+1,200)),""))&lt;&gt;"",IF(ISNUMBER(SEARCH("Party Name:-",'R.M Billets Reports'!D2008)),TRIM('R.M Billets Reports'!F2008),IF(ISNUMBER(SEARCH("Party Name-",'R.M Billets Reports'!D2008)),TRIM(MID('R.M Billets Reports'!D2008,SEARCH("-",'R.M Billets Reports'!D2008)+1,200)),"")),IF(ISNUMBER(SEARCH("Party Name:-",'R.M Billets Reports'!D2009)),TRIM('R.M Billets Reports'!F2009),IF(ISNUMBER(SEARCH("Party Name-",'R.M Billets Reports'!D2009)),TRIM(MID('R.M Billets Reports'!D2009,SEARCH("-",'R.M Billets Reports'!D2009)+1,200)),"")))="SHRI RADHE","SHREE RADHE",IF(IF(IF(ISNUMBER(SEARCH("Party Name:-",'R.M Billets Reports'!D2008)),TRIM('R.M Billets Reports'!F2008),IF(ISNUMBER(SEARCH("Party Name-",'R.M Billets Reports'!D2008)),TRIM(MID('R.M Billets Reports'!D2008,SEARCH("-",'R.M Billets Reports'!D2008)+1,200)),""))&lt;&gt;"",IF(ISNUMBER(SEARCH("Party Name:-",'R.M Billets Reports'!D2008)),TRIM('R.M Billets Reports'!F2008),IF(ISNUMBER(SEARCH("Party Name-",'R.M Billets Reports'!D2008)),TRIM(MID('R.M Billets Reports'!D2008,SEARCH("-",'R.M Billets Reports'!D2008)+1,200)),"")),IF(ISNUMBER(SEARCH("Party Name:-",'R.M Billets Reports'!D2009)),TRIM('R.M Billets Reports'!F2009),IF(ISNUMBER(SEARCH("Party Name-",'R.M Billets Reports'!D2009)),TRIM(MID('R.M Billets Reports'!D2009,SEARCH("-",'R.M Billets Reports'!D2009)+1,200)),"")))="SHREE RADHE SHAKTI SPONGE AND POWER PVT. LTD.","SHREE RADHE",IF(IF(ISNUMBER(SEARCH("Party Name:-",'R.M Billets Reports'!D2008)),TRIM('R.M Billets Reports'!F2008),IF(ISNUMBER(SEARCH("Party Name-",'R.M Billets Reports'!D2008)),TRIM(MID('R.M Billets Reports'!D2008,SEARCH("-",'R.M Billets Reports'!D2008)+1,200)),""))&lt;&gt;"",IF(ISNUMBER(SEARCH("Party Name:-",'R.M Billets Reports'!D2008)),TRIM('R.M Billets Reports'!F2008),IF(ISNUMBER(SEARCH("Party Name-",'R.M Billets Reports'!D2008)),TRIM(MID('R.M Billets Reports'!D2008,SEARCH("-",'R.M Billets Reports'!D2008)+1,200)),"")),IF(ISNUMBER(SEARCH("Party Name:-",'R.M Billets Reports'!D2009)),TRIM('R.M Billets Reports'!F2009),IF(ISNUMBER(SEARCH("Party Name-",'R.M Billets Reports'!D2009)),TRIM(MID('R.M Billets Reports'!D2009,SEARCH("-",'R.M Billets Reports'!D2009)+1,200)),"")))))),IF(ROW()=2,"",A2008))</f>
      </c>
      <c r="B2009">
        <f>IF(OR('R.M Billets Reports'!A2008="Date-",'R.M Billets Reports'!A2008="Date:-"),'R.M Billets Reports'!B2008,IF(ROW()=2,"",B2008))</f>
      </c>
      <c r="C2009">
        <f>IF('R.M Billets Reports'!A2008="V.No.",'R.M Billets Reports'!B2008,IF(ROW()=2,"",C2008))</f>
      </c>
      <c r="D2009">
        <f>IF('R.M Billets Reports'!A2008&lt;&gt;"",'R.M Billets Reports'!A2008,IF(ROW()=2,"",D2008))</f>
      </c>
      <c r="E2009">
        <f>IF('R.M Billets Reports'!B2008="","",TRIM('R.M Billets Reports'!B2008))</f>
      </c>
      <c r="F2009">
        <f>'R.M Billets Reports'!C2008</f>
      </c>
      <c r="G2009">
        <f>'R.M Billets Reports'!D2008</f>
      </c>
      <c r="H2009">
        <f>'R.M Billets Reports'!E2008</f>
      </c>
      <c r="I2009">
        <f>'R.M Billets Reports'!F2008</f>
      </c>
      <c r="J2009">
        <f>'R.M Billets Reports'!G2008</f>
      </c>
      <c r="K2009">
        <f>'R.M Billets Reports'!H2008</f>
      </c>
      <c r="L2009">
        <f>IF('R.M Billets Reports'!I2008="","",'R.M Billets Reports'!I2008)</f>
      </c>
      <c r="M2009">
        <f t="shared" si="62"/>
      </c>
      <c r="N2009">
        <f>IF('R.M Billets Reports'!J2008="","",'R.M Billets Reports'!J2008)</f>
      </c>
      <c r="O2009">
        <f t="shared" si="63"/>
      </c>
      <c r="P2009">
        <f>IF('R.M Billets Reports'!A2008="SIZE",'R.M Billets Reports'!B2008,P2008)</f>
      </c>
    </row>
    <row r="2010" spans="1:16" x14ac:dyDescent="0.25">
      <c r="A2010">
        <f>IF(OR('R.M Billets Reports'!A2009="Date-",'R.M Billets Reports'!A2009="Date:-"),IF(IF(IF(ISNUMBER(SEARCH("Party Name:-",'R.M Billets Reports'!D2009)),TRIM('R.M Billets Reports'!F2009),IF(ISNUMBER(SEARCH("Party Name-",'R.M Billets Reports'!D2009)),TRIM(MID('R.M Billets Reports'!D2009,SEARCH("-",'R.M Billets Reports'!D2009)+1,200)),""))&lt;&gt;"",IF(ISNUMBER(SEARCH("Party Name:-",'R.M Billets Reports'!D2009)),TRIM('R.M Billets Reports'!F2009),IF(ISNUMBER(SEARCH("Party Name-",'R.M Billets Reports'!D2009)),TRIM(MID('R.M Billets Reports'!D2009,SEARCH("-",'R.M Billets Reports'!D2009)+1,200)),"")),IF(ISNUMBER(SEARCH("Party Name:-",'R.M Billets Reports'!D2010)),TRIM('R.M Billets Reports'!F2010),IF(ISNUMBER(SEARCH("Party Name-",'R.M Billets Reports'!D2010)),TRIM(MID('R.M Billets Reports'!D2010,SEARCH("-",'R.M Billets Reports'!D2010)+1,200)),"")))="VRKP ISPAT PVT LTD","VRKP",IF(IF(IF(ISNUMBER(SEARCH("Party Name:-",'R.M Billets Reports'!D2009)),TRIM('R.M Billets Reports'!F2009),IF(ISNUMBER(SEARCH("Party Name-",'R.M Billets Reports'!D2009)),TRIM(MID('R.M Billets Reports'!D2009,SEARCH("-",'R.M Billets Reports'!D2009)+1,200)),""))&lt;&gt;"",IF(ISNUMBER(SEARCH("Party Name:-",'R.M Billets Reports'!D2009)),TRIM('R.M Billets Reports'!F2009),IF(ISNUMBER(SEARCH("Party Name-",'R.M Billets Reports'!D2009)),TRIM(MID('R.M Billets Reports'!D2009,SEARCH("-",'R.M Billets Reports'!D2009)+1,200)),"")),IF(ISNUMBER(SEARCH("Party Name:-",'R.M Billets Reports'!D2010)),TRIM('R.M Billets Reports'!F2010),IF(ISNUMBER(SEARCH("Party Name-",'R.M Billets Reports'!D2010)),TRIM(MID('R.M Billets Reports'!D2010,SEARCH("-",'R.M Billets Reports'!D2010)+1,200)),"")))="SHRI RADHE","SHREE RADHE",IF(IF(IF(ISNUMBER(SEARCH("Party Name:-",'R.M Billets Reports'!D2009)),TRIM('R.M Billets Reports'!F2009),IF(ISNUMBER(SEARCH("Party Name-",'R.M Billets Reports'!D2009)),TRIM(MID('R.M Billets Reports'!D2009,SEARCH("-",'R.M Billets Reports'!D2009)+1,200)),""))&lt;&gt;"",IF(ISNUMBER(SEARCH("Party Name:-",'R.M Billets Reports'!D2009)),TRIM('R.M Billets Reports'!F2009),IF(ISNUMBER(SEARCH("Party Name-",'R.M Billets Reports'!D2009)),TRIM(MID('R.M Billets Reports'!D2009,SEARCH("-",'R.M Billets Reports'!D2009)+1,200)),"")),IF(ISNUMBER(SEARCH("Party Name:-",'R.M Billets Reports'!D2010)),TRIM('R.M Billets Reports'!F2010),IF(ISNUMBER(SEARCH("Party Name-",'R.M Billets Reports'!D2010)),TRIM(MID('R.M Billets Reports'!D2010,SEARCH("-",'R.M Billets Reports'!D2010)+1,200)),"")))="SHREE RADHE SHAKTI SPONGE AND POWER PVT. LTD.","SHREE RADHE",IF(IF(ISNUMBER(SEARCH("Party Name:-",'R.M Billets Reports'!D2009)),TRIM('R.M Billets Reports'!F2009),IF(ISNUMBER(SEARCH("Party Name-",'R.M Billets Reports'!D2009)),TRIM(MID('R.M Billets Reports'!D2009,SEARCH("-",'R.M Billets Reports'!D2009)+1,200)),""))&lt;&gt;"",IF(ISNUMBER(SEARCH("Party Name:-",'R.M Billets Reports'!D2009)),TRIM('R.M Billets Reports'!F2009),IF(ISNUMBER(SEARCH("Party Name-",'R.M Billets Reports'!D2009)),TRIM(MID('R.M Billets Reports'!D2009,SEARCH("-",'R.M Billets Reports'!D2009)+1,200)),"")),IF(ISNUMBER(SEARCH("Party Name:-",'R.M Billets Reports'!D2010)),TRIM('R.M Billets Reports'!F2010),IF(ISNUMBER(SEARCH("Party Name-",'R.M Billets Reports'!D2010)),TRIM(MID('R.M Billets Reports'!D2010,SEARCH("-",'R.M Billets Reports'!D2010)+1,200)),"")))))),IF(ROW()=2,"",A2009))</f>
      </c>
      <c r="B2010">
        <f>IF(OR('R.M Billets Reports'!A2009="Date-",'R.M Billets Reports'!A2009="Date:-"),'R.M Billets Reports'!B2009,IF(ROW()=2,"",B2009))</f>
      </c>
      <c r="C2010">
        <f>IF('R.M Billets Reports'!A2009="V.No.",'R.M Billets Reports'!B2009,IF(ROW()=2,"",C2009))</f>
      </c>
      <c r="D2010">
        <f>IF('R.M Billets Reports'!A2009&lt;&gt;"",'R.M Billets Reports'!A2009,IF(ROW()=2,"",D2009))</f>
      </c>
      <c r="E2010">
        <f>IF('R.M Billets Reports'!B2009="","",TRIM('R.M Billets Reports'!B2009))</f>
      </c>
      <c r="F2010">
        <f>'R.M Billets Reports'!C2009</f>
      </c>
      <c r="G2010">
        <f>'R.M Billets Reports'!D2009</f>
      </c>
      <c r="H2010">
        <f>'R.M Billets Reports'!E2009</f>
      </c>
      <c r="I2010">
        <f>'R.M Billets Reports'!F2009</f>
      </c>
      <c r="J2010">
        <f>'R.M Billets Reports'!G2009</f>
      </c>
      <c r="K2010">
        <f>'R.M Billets Reports'!H2009</f>
      </c>
      <c r="L2010">
        <f>IF('R.M Billets Reports'!I2009="","",'R.M Billets Reports'!I2009)</f>
      </c>
      <c r="M2010">
        <f t="shared" si="62"/>
      </c>
      <c r="N2010">
        <f>IF('R.M Billets Reports'!J2009="","",'R.M Billets Reports'!J2009)</f>
      </c>
      <c r="O2010">
        <f t="shared" si="63"/>
      </c>
      <c r="P2010">
        <f>IF('R.M Billets Reports'!A2009="SIZE",'R.M Billets Reports'!B2009,P2009)</f>
      </c>
    </row>
    <row r="2011" spans="1:16" x14ac:dyDescent="0.25">
      <c r="A2011">
        <f>IF(OR('R.M Billets Reports'!A2010="Date-",'R.M Billets Reports'!A2010="Date:-"),IF(IF(IF(ISNUMBER(SEARCH("Party Name:-",'R.M Billets Reports'!D2010)),TRIM('R.M Billets Reports'!F2010),IF(ISNUMBER(SEARCH("Party Name-",'R.M Billets Reports'!D2010)),TRIM(MID('R.M Billets Reports'!D2010,SEARCH("-",'R.M Billets Reports'!D2010)+1,200)),""))&lt;&gt;"",IF(ISNUMBER(SEARCH("Party Name:-",'R.M Billets Reports'!D2010)),TRIM('R.M Billets Reports'!F2010),IF(ISNUMBER(SEARCH("Party Name-",'R.M Billets Reports'!D2010)),TRIM(MID('R.M Billets Reports'!D2010,SEARCH("-",'R.M Billets Reports'!D2010)+1,200)),"")),IF(ISNUMBER(SEARCH("Party Name:-",'R.M Billets Reports'!D2011)),TRIM('R.M Billets Reports'!F2011),IF(ISNUMBER(SEARCH("Party Name-",'R.M Billets Reports'!D2011)),TRIM(MID('R.M Billets Reports'!D2011,SEARCH("-",'R.M Billets Reports'!D2011)+1,200)),"")))="VRKP ISPAT PVT LTD","VRKP",IF(IF(IF(ISNUMBER(SEARCH("Party Name:-",'R.M Billets Reports'!D2010)),TRIM('R.M Billets Reports'!F2010),IF(ISNUMBER(SEARCH("Party Name-",'R.M Billets Reports'!D2010)),TRIM(MID('R.M Billets Reports'!D2010,SEARCH("-",'R.M Billets Reports'!D2010)+1,200)),""))&lt;&gt;"",IF(ISNUMBER(SEARCH("Party Name:-",'R.M Billets Reports'!D2010)),TRIM('R.M Billets Reports'!F2010),IF(ISNUMBER(SEARCH("Party Name-",'R.M Billets Reports'!D2010)),TRIM(MID('R.M Billets Reports'!D2010,SEARCH("-",'R.M Billets Reports'!D2010)+1,200)),"")),IF(ISNUMBER(SEARCH("Party Name:-",'R.M Billets Reports'!D2011)),TRIM('R.M Billets Reports'!F2011),IF(ISNUMBER(SEARCH("Party Name-",'R.M Billets Reports'!D2011)),TRIM(MID('R.M Billets Reports'!D2011,SEARCH("-",'R.M Billets Reports'!D2011)+1,200)),"")))="SHRI RADHE","SHREE RADHE",IF(IF(IF(ISNUMBER(SEARCH("Party Name:-",'R.M Billets Reports'!D2010)),TRIM('R.M Billets Reports'!F2010),IF(ISNUMBER(SEARCH("Party Name-",'R.M Billets Reports'!D2010)),TRIM(MID('R.M Billets Reports'!D2010,SEARCH("-",'R.M Billets Reports'!D2010)+1,200)),""))&lt;&gt;"",IF(ISNUMBER(SEARCH("Party Name:-",'R.M Billets Reports'!D2010)),TRIM('R.M Billets Reports'!F2010),IF(ISNUMBER(SEARCH("Party Name-",'R.M Billets Reports'!D2010)),TRIM(MID('R.M Billets Reports'!D2010,SEARCH("-",'R.M Billets Reports'!D2010)+1,200)),"")),IF(ISNUMBER(SEARCH("Party Name:-",'R.M Billets Reports'!D2011)),TRIM('R.M Billets Reports'!F2011),IF(ISNUMBER(SEARCH("Party Name-",'R.M Billets Reports'!D2011)),TRIM(MID('R.M Billets Reports'!D2011,SEARCH("-",'R.M Billets Reports'!D2011)+1,200)),"")))="SHREE RADHE SHAKTI SPONGE AND POWER PVT. LTD.","SHREE RADHE",IF(IF(ISNUMBER(SEARCH("Party Name:-",'R.M Billets Reports'!D2010)),TRIM('R.M Billets Reports'!F2010),IF(ISNUMBER(SEARCH("Party Name-",'R.M Billets Reports'!D2010)),TRIM(MID('R.M Billets Reports'!D2010,SEARCH("-",'R.M Billets Reports'!D2010)+1,200)),""))&lt;&gt;"",IF(ISNUMBER(SEARCH("Party Name:-",'R.M Billets Reports'!D2010)),TRIM('R.M Billets Reports'!F2010),IF(ISNUMBER(SEARCH("Party Name-",'R.M Billets Reports'!D2010)),TRIM(MID('R.M Billets Reports'!D2010,SEARCH("-",'R.M Billets Reports'!D2010)+1,200)),"")),IF(ISNUMBER(SEARCH("Party Name:-",'R.M Billets Reports'!D2011)),TRIM('R.M Billets Reports'!F2011),IF(ISNUMBER(SEARCH("Party Name-",'R.M Billets Reports'!D2011)),TRIM(MID('R.M Billets Reports'!D2011,SEARCH("-",'R.M Billets Reports'!D2011)+1,200)),"")))))),IF(ROW()=2,"",A2010))</f>
      </c>
      <c r="B2011">
        <f>IF(OR('R.M Billets Reports'!A2010="Date-",'R.M Billets Reports'!A2010="Date:-"),'R.M Billets Reports'!B2010,IF(ROW()=2,"",B2010))</f>
      </c>
      <c r="C2011">
        <f>IF('R.M Billets Reports'!A2010="V.No.",'R.M Billets Reports'!B2010,IF(ROW()=2,"",C2010))</f>
      </c>
      <c r="D2011">
        <f>IF('R.M Billets Reports'!A2010&lt;&gt;"",'R.M Billets Reports'!A2010,IF(ROW()=2,"",D2010))</f>
      </c>
      <c r="E2011">
        <f>IF('R.M Billets Reports'!B2010="","",TRIM('R.M Billets Reports'!B2010))</f>
      </c>
      <c r="F2011">
        <f>'R.M Billets Reports'!C2010</f>
      </c>
      <c r="G2011">
        <f>'R.M Billets Reports'!D2010</f>
      </c>
      <c r="H2011">
        <f>'R.M Billets Reports'!E2010</f>
      </c>
      <c r="I2011">
        <f>'R.M Billets Reports'!F2010</f>
      </c>
      <c r="J2011">
        <f>'R.M Billets Reports'!G2010</f>
      </c>
      <c r="K2011">
        <f>'R.M Billets Reports'!H2010</f>
      </c>
      <c r="L2011">
        <f>IF('R.M Billets Reports'!I2010="","",'R.M Billets Reports'!I2010)</f>
      </c>
      <c r="M2011">
        <f t="shared" si="62"/>
      </c>
      <c r="N2011">
        <f>IF('R.M Billets Reports'!J2010="","",'R.M Billets Reports'!J2010)</f>
      </c>
      <c r="O2011">
        <f t="shared" si="63"/>
      </c>
      <c r="P2011">
        <f>IF('R.M Billets Reports'!A2010="SIZE",'R.M Billets Reports'!B2010,P2010)</f>
      </c>
    </row>
    <row r="2012" spans="1:16" x14ac:dyDescent="0.25">
      <c r="A2012">
        <f>IF(OR('R.M Billets Reports'!A2011="Date-",'R.M Billets Reports'!A2011="Date:-"),IF(IF(IF(ISNUMBER(SEARCH("Party Name:-",'R.M Billets Reports'!D2011)),TRIM('R.M Billets Reports'!F2011),IF(ISNUMBER(SEARCH("Party Name-",'R.M Billets Reports'!D2011)),TRIM(MID('R.M Billets Reports'!D2011,SEARCH("-",'R.M Billets Reports'!D2011)+1,200)),""))&lt;&gt;"",IF(ISNUMBER(SEARCH("Party Name:-",'R.M Billets Reports'!D2011)),TRIM('R.M Billets Reports'!F2011),IF(ISNUMBER(SEARCH("Party Name-",'R.M Billets Reports'!D2011)),TRIM(MID('R.M Billets Reports'!D2011,SEARCH("-",'R.M Billets Reports'!D2011)+1,200)),"")),IF(ISNUMBER(SEARCH("Party Name:-",'R.M Billets Reports'!D2012)),TRIM('R.M Billets Reports'!F2012),IF(ISNUMBER(SEARCH("Party Name-",'R.M Billets Reports'!D2012)),TRIM(MID('R.M Billets Reports'!D2012,SEARCH("-",'R.M Billets Reports'!D2012)+1,200)),"")))="VRKP ISPAT PVT LTD","VRKP",IF(IF(IF(ISNUMBER(SEARCH("Party Name:-",'R.M Billets Reports'!D2011)),TRIM('R.M Billets Reports'!F2011),IF(ISNUMBER(SEARCH("Party Name-",'R.M Billets Reports'!D2011)),TRIM(MID('R.M Billets Reports'!D2011,SEARCH("-",'R.M Billets Reports'!D2011)+1,200)),""))&lt;&gt;"",IF(ISNUMBER(SEARCH("Party Name:-",'R.M Billets Reports'!D2011)),TRIM('R.M Billets Reports'!F2011),IF(ISNUMBER(SEARCH("Party Name-",'R.M Billets Reports'!D2011)),TRIM(MID('R.M Billets Reports'!D2011,SEARCH("-",'R.M Billets Reports'!D2011)+1,200)),"")),IF(ISNUMBER(SEARCH("Party Name:-",'R.M Billets Reports'!D2012)),TRIM('R.M Billets Reports'!F2012),IF(ISNUMBER(SEARCH("Party Name-",'R.M Billets Reports'!D2012)),TRIM(MID('R.M Billets Reports'!D2012,SEARCH("-",'R.M Billets Reports'!D2012)+1,200)),"")))="SHRI RADHE","SHREE RADHE",IF(IF(IF(ISNUMBER(SEARCH("Party Name:-",'R.M Billets Reports'!D2011)),TRIM('R.M Billets Reports'!F2011),IF(ISNUMBER(SEARCH("Party Name-",'R.M Billets Reports'!D2011)),TRIM(MID('R.M Billets Reports'!D2011,SEARCH("-",'R.M Billets Reports'!D2011)+1,200)),""))&lt;&gt;"",IF(ISNUMBER(SEARCH("Party Name:-",'R.M Billets Reports'!D2011)),TRIM('R.M Billets Reports'!F2011),IF(ISNUMBER(SEARCH("Party Name-",'R.M Billets Reports'!D2011)),TRIM(MID('R.M Billets Reports'!D2011,SEARCH("-",'R.M Billets Reports'!D2011)+1,200)),"")),IF(ISNUMBER(SEARCH("Party Name:-",'R.M Billets Reports'!D2012)),TRIM('R.M Billets Reports'!F2012),IF(ISNUMBER(SEARCH("Party Name-",'R.M Billets Reports'!D2012)),TRIM(MID('R.M Billets Reports'!D2012,SEARCH("-",'R.M Billets Reports'!D2012)+1,200)),"")))="SHREE RADHE SHAKTI SPONGE AND POWER PVT. LTD.","SHREE RADHE",IF(IF(ISNUMBER(SEARCH("Party Name:-",'R.M Billets Reports'!D2011)),TRIM('R.M Billets Reports'!F2011),IF(ISNUMBER(SEARCH("Party Name-",'R.M Billets Reports'!D2011)),TRIM(MID('R.M Billets Reports'!D2011,SEARCH("-",'R.M Billets Reports'!D2011)+1,200)),""))&lt;&gt;"",IF(ISNUMBER(SEARCH("Party Name:-",'R.M Billets Reports'!D2011)),TRIM('R.M Billets Reports'!F2011),IF(ISNUMBER(SEARCH("Party Name-",'R.M Billets Reports'!D2011)),TRIM(MID('R.M Billets Reports'!D2011,SEARCH("-",'R.M Billets Reports'!D2011)+1,200)),"")),IF(ISNUMBER(SEARCH("Party Name:-",'R.M Billets Reports'!D2012)),TRIM('R.M Billets Reports'!F2012),IF(ISNUMBER(SEARCH("Party Name-",'R.M Billets Reports'!D2012)),TRIM(MID('R.M Billets Reports'!D2012,SEARCH("-",'R.M Billets Reports'!D2012)+1,200)),"")))))),IF(ROW()=2,"",A2011))</f>
      </c>
      <c r="B2012">
        <f>IF(OR('R.M Billets Reports'!A2011="Date-",'R.M Billets Reports'!A2011="Date:-"),'R.M Billets Reports'!B2011,IF(ROW()=2,"",B2011))</f>
      </c>
      <c r="C2012">
        <f>IF('R.M Billets Reports'!A2011="V.No.",'R.M Billets Reports'!B2011,IF(ROW()=2,"",C2011))</f>
      </c>
      <c r="D2012">
        <f>IF('R.M Billets Reports'!A2011&lt;&gt;"",'R.M Billets Reports'!A2011,IF(ROW()=2,"",D2011))</f>
      </c>
      <c r="E2012">
        <f>IF('R.M Billets Reports'!B2011="","",TRIM('R.M Billets Reports'!B2011))</f>
      </c>
      <c r="F2012">
        <f>'R.M Billets Reports'!C2011</f>
      </c>
      <c r="G2012">
        <f>'R.M Billets Reports'!D2011</f>
      </c>
      <c r="H2012">
        <f>'R.M Billets Reports'!E2011</f>
      </c>
      <c r="I2012">
        <f>'R.M Billets Reports'!F2011</f>
      </c>
      <c r="J2012">
        <f>'R.M Billets Reports'!G2011</f>
      </c>
      <c r="K2012">
        <f>'R.M Billets Reports'!H2011</f>
      </c>
      <c r="L2012">
        <f>IF('R.M Billets Reports'!I2011="","",'R.M Billets Reports'!I2011)</f>
      </c>
      <c r="M2012">
        <f t="shared" si="62"/>
      </c>
      <c r="N2012">
        <f>IF('R.M Billets Reports'!J2011="","",'R.M Billets Reports'!J2011)</f>
      </c>
      <c r="O2012">
        <f t="shared" si="63"/>
      </c>
      <c r="P2012">
        <f>IF('R.M Billets Reports'!A2011="SIZE",'R.M Billets Reports'!B2011,P2011)</f>
      </c>
    </row>
    <row r="2013" spans="1:16" x14ac:dyDescent="0.25">
      <c r="A2013">
        <f>IF(OR('R.M Billets Reports'!A2012="Date-",'R.M Billets Reports'!A2012="Date:-"),IF(IF(IF(ISNUMBER(SEARCH("Party Name:-",'R.M Billets Reports'!D2012)),TRIM('R.M Billets Reports'!F2012),IF(ISNUMBER(SEARCH("Party Name-",'R.M Billets Reports'!D2012)),TRIM(MID('R.M Billets Reports'!D2012,SEARCH("-",'R.M Billets Reports'!D2012)+1,200)),""))&lt;&gt;"",IF(ISNUMBER(SEARCH("Party Name:-",'R.M Billets Reports'!D2012)),TRIM('R.M Billets Reports'!F2012),IF(ISNUMBER(SEARCH("Party Name-",'R.M Billets Reports'!D2012)),TRIM(MID('R.M Billets Reports'!D2012,SEARCH("-",'R.M Billets Reports'!D2012)+1,200)),"")),IF(ISNUMBER(SEARCH("Party Name:-",'R.M Billets Reports'!D2013)),TRIM('R.M Billets Reports'!F2013),IF(ISNUMBER(SEARCH("Party Name-",'R.M Billets Reports'!D2013)),TRIM(MID('R.M Billets Reports'!D2013,SEARCH("-",'R.M Billets Reports'!D2013)+1,200)),"")))="VRKP ISPAT PVT LTD","VRKP",IF(IF(IF(ISNUMBER(SEARCH("Party Name:-",'R.M Billets Reports'!D2012)),TRIM('R.M Billets Reports'!F2012),IF(ISNUMBER(SEARCH("Party Name-",'R.M Billets Reports'!D2012)),TRIM(MID('R.M Billets Reports'!D2012,SEARCH("-",'R.M Billets Reports'!D2012)+1,200)),""))&lt;&gt;"",IF(ISNUMBER(SEARCH("Party Name:-",'R.M Billets Reports'!D2012)),TRIM('R.M Billets Reports'!F2012),IF(ISNUMBER(SEARCH("Party Name-",'R.M Billets Reports'!D2012)),TRIM(MID('R.M Billets Reports'!D2012,SEARCH("-",'R.M Billets Reports'!D2012)+1,200)),"")),IF(ISNUMBER(SEARCH("Party Name:-",'R.M Billets Reports'!D2013)),TRIM('R.M Billets Reports'!F2013),IF(ISNUMBER(SEARCH("Party Name-",'R.M Billets Reports'!D2013)),TRIM(MID('R.M Billets Reports'!D2013,SEARCH("-",'R.M Billets Reports'!D2013)+1,200)),"")))="SHRI RADHE","SHREE RADHE",IF(IF(IF(ISNUMBER(SEARCH("Party Name:-",'R.M Billets Reports'!D2012)),TRIM('R.M Billets Reports'!F2012),IF(ISNUMBER(SEARCH("Party Name-",'R.M Billets Reports'!D2012)),TRIM(MID('R.M Billets Reports'!D2012,SEARCH("-",'R.M Billets Reports'!D2012)+1,200)),""))&lt;&gt;"",IF(ISNUMBER(SEARCH("Party Name:-",'R.M Billets Reports'!D2012)),TRIM('R.M Billets Reports'!F2012),IF(ISNUMBER(SEARCH("Party Name-",'R.M Billets Reports'!D2012)),TRIM(MID('R.M Billets Reports'!D2012,SEARCH("-",'R.M Billets Reports'!D2012)+1,200)),"")),IF(ISNUMBER(SEARCH("Party Name:-",'R.M Billets Reports'!D2013)),TRIM('R.M Billets Reports'!F2013),IF(ISNUMBER(SEARCH("Party Name-",'R.M Billets Reports'!D2013)),TRIM(MID('R.M Billets Reports'!D2013,SEARCH("-",'R.M Billets Reports'!D2013)+1,200)),"")))="SHREE RADHE SHAKTI SPONGE AND POWER PVT. LTD.","SHREE RADHE",IF(IF(ISNUMBER(SEARCH("Party Name:-",'R.M Billets Reports'!D2012)),TRIM('R.M Billets Reports'!F2012),IF(ISNUMBER(SEARCH("Party Name-",'R.M Billets Reports'!D2012)),TRIM(MID('R.M Billets Reports'!D2012,SEARCH("-",'R.M Billets Reports'!D2012)+1,200)),""))&lt;&gt;"",IF(ISNUMBER(SEARCH("Party Name:-",'R.M Billets Reports'!D2012)),TRIM('R.M Billets Reports'!F2012),IF(ISNUMBER(SEARCH("Party Name-",'R.M Billets Reports'!D2012)),TRIM(MID('R.M Billets Reports'!D2012,SEARCH("-",'R.M Billets Reports'!D2012)+1,200)),"")),IF(ISNUMBER(SEARCH("Party Name:-",'R.M Billets Reports'!D2013)),TRIM('R.M Billets Reports'!F2013),IF(ISNUMBER(SEARCH("Party Name-",'R.M Billets Reports'!D2013)),TRIM(MID('R.M Billets Reports'!D2013,SEARCH("-",'R.M Billets Reports'!D2013)+1,200)),"")))))),IF(ROW()=2,"",A2012))</f>
      </c>
      <c r="B2013">
        <f>IF(OR('R.M Billets Reports'!A2012="Date-",'R.M Billets Reports'!A2012="Date:-"),'R.M Billets Reports'!B2012,IF(ROW()=2,"",B2012))</f>
      </c>
      <c r="C2013">
        <f>IF('R.M Billets Reports'!A2012="V.No.",'R.M Billets Reports'!B2012,IF(ROW()=2,"",C2012))</f>
      </c>
      <c r="D2013">
        <f>IF('R.M Billets Reports'!A2012&lt;&gt;"",'R.M Billets Reports'!A2012,IF(ROW()=2,"",D2012))</f>
      </c>
      <c r="E2013">
        <f>IF('R.M Billets Reports'!B2012="","",TRIM('R.M Billets Reports'!B2012))</f>
      </c>
      <c r="F2013">
        <f>'R.M Billets Reports'!C2012</f>
      </c>
      <c r="G2013">
        <f>'R.M Billets Reports'!D2012</f>
      </c>
      <c r="H2013">
        <f>'R.M Billets Reports'!E2012</f>
      </c>
      <c r="I2013">
        <f>'R.M Billets Reports'!F2012</f>
      </c>
      <c r="J2013">
        <f>'R.M Billets Reports'!G2012</f>
      </c>
      <c r="K2013">
        <f>'R.M Billets Reports'!H2012</f>
      </c>
      <c r="L2013">
        <f>IF('R.M Billets Reports'!I2012="","",'R.M Billets Reports'!I2012)</f>
      </c>
      <c r="M2013">
        <f t="shared" si="62"/>
      </c>
      <c r="N2013">
        <f>IF('R.M Billets Reports'!J2012="","",'R.M Billets Reports'!J2012)</f>
      </c>
      <c r="O2013">
        <f t="shared" si="63"/>
      </c>
      <c r="P2013">
        <f>IF('R.M Billets Reports'!A2012="SIZE",'R.M Billets Reports'!B2012,P2012)</f>
      </c>
    </row>
    <row r="2014" spans="1:16" x14ac:dyDescent="0.25">
      <c r="A2014">
        <f>IF(OR('R.M Billets Reports'!A2013="Date-",'R.M Billets Reports'!A2013="Date:-"),IF(IF(IF(ISNUMBER(SEARCH("Party Name:-",'R.M Billets Reports'!D2013)),TRIM('R.M Billets Reports'!F2013),IF(ISNUMBER(SEARCH("Party Name-",'R.M Billets Reports'!D2013)),TRIM(MID('R.M Billets Reports'!D2013,SEARCH("-",'R.M Billets Reports'!D2013)+1,200)),""))&lt;&gt;"",IF(ISNUMBER(SEARCH("Party Name:-",'R.M Billets Reports'!D2013)),TRIM('R.M Billets Reports'!F2013),IF(ISNUMBER(SEARCH("Party Name-",'R.M Billets Reports'!D2013)),TRIM(MID('R.M Billets Reports'!D2013,SEARCH("-",'R.M Billets Reports'!D2013)+1,200)),"")),IF(ISNUMBER(SEARCH("Party Name:-",'R.M Billets Reports'!D2014)),TRIM('R.M Billets Reports'!F2014),IF(ISNUMBER(SEARCH("Party Name-",'R.M Billets Reports'!D2014)),TRIM(MID('R.M Billets Reports'!D2014,SEARCH("-",'R.M Billets Reports'!D2014)+1,200)),"")))="VRKP ISPAT PVT LTD","VRKP",IF(IF(IF(ISNUMBER(SEARCH("Party Name:-",'R.M Billets Reports'!D2013)),TRIM('R.M Billets Reports'!F2013),IF(ISNUMBER(SEARCH("Party Name-",'R.M Billets Reports'!D2013)),TRIM(MID('R.M Billets Reports'!D2013,SEARCH("-",'R.M Billets Reports'!D2013)+1,200)),""))&lt;&gt;"",IF(ISNUMBER(SEARCH("Party Name:-",'R.M Billets Reports'!D2013)),TRIM('R.M Billets Reports'!F2013),IF(ISNUMBER(SEARCH("Party Name-",'R.M Billets Reports'!D2013)),TRIM(MID('R.M Billets Reports'!D2013,SEARCH("-",'R.M Billets Reports'!D2013)+1,200)),"")),IF(ISNUMBER(SEARCH("Party Name:-",'R.M Billets Reports'!D2014)),TRIM('R.M Billets Reports'!F2014),IF(ISNUMBER(SEARCH("Party Name-",'R.M Billets Reports'!D2014)),TRIM(MID('R.M Billets Reports'!D2014,SEARCH("-",'R.M Billets Reports'!D2014)+1,200)),"")))="SHRI RADHE","SHREE RADHE",IF(IF(IF(ISNUMBER(SEARCH("Party Name:-",'R.M Billets Reports'!D2013)),TRIM('R.M Billets Reports'!F2013),IF(ISNUMBER(SEARCH("Party Name-",'R.M Billets Reports'!D2013)),TRIM(MID('R.M Billets Reports'!D2013,SEARCH("-",'R.M Billets Reports'!D2013)+1,200)),""))&lt;&gt;"",IF(ISNUMBER(SEARCH("Party Name:-",'R.M Billets Reports'!D2013)),TRIM('R.M Billets Reports'!F2013),IF(ISNUMBER(SEARCH("Party Name-",'R.M Billets Reports'!D2013)),TRIM(MID('R.M Billets Reports'!D2013,SEARCH("-",'R.M Billets Reports'!D2013)+1,200)),"")),IF(ISNUMBER(SEARCH("Party Name:-",'R.M Billets Reports'!D2014)),TRIM('R.M Billets Reports'!F2014),IF(ISNUMBER(SEARCH("Party Name-",'R.M Billets Reports'!D2014)),TRIM(MID('R.M Billets Reports'!D2014,SEARCH("-",'R.M Billets Reports'!D2014)+1,200)),"")))="SHREE RADHE SHAKTI SPONGE AND POWER PVT. LTD.","SHREE RADHE",IF(IF(ISNUMBER(SEARCH("Party Name:-",'R.M Billets Reports'!D2013)),TRIM('R.M Billets Reports'!F2013),IF(ISNUMBER(SEARCH("Party Name-",'R.M Billets Reports'!D2013)),TRIM(MID('R.M Billets Reports'!D2013,SEARCH("-",'R.M Billets Reports'!D2013)+1,200)),""))&lt;&gt;"",IF(ISNUMBER(SEARCH("Party Name:-",'R.M Billets Reports'!D2013)),TRIM('R.M Billets Reports'!F2013),IF(ISNUMBER(SEARCH("Party Name-",'R.M Billets Reports'!D2013)),TRIM(MID('R.M Billets Reports'!D2013,SEARCH("-",'R.M Billets Reports'!D2013)+1,200)),"")),IF(ISNUMBER(SEARCH("Party Name:-",'R.M Billets Reports'!D2014)),TRIM('R.M Billets Reports'!F2014),IF(ISNUMBER(SEARCH("Party Name-",'R.M Billets Reports'!D2014)),TRIM(MID('R.M Billets Reports'!D2014,SEARCH("-",'R.M Billets Reports'!D2014)+1,200)),"")))))),IF(ROW()=2,"",A2013))</f>
      </c>
      <c r="B2014">
        <f>IF(OR('R.M Billets Reports'!A2013="Date-",'R.M Billets Reports'!A2013="Date:-"),'R.M Billets Reports'!B2013,IF(ROW()=2,"",B2013))</f>
      </c>
      <c r="C2014">
        <f>IF('R.M Billets Reports'!A2013="V.No.",'R.M Billets Reports'!B2013,IF(ROW()=2,"",C2013))</f>
      </c>
      <c r="D2014">
        <f>IF('R.M Billets Reports'!A2013&lt;&gt;"",'R.M Billets Reports'!A2013,IF(ROW()=2,"",D2013))</f>
      </c>
      <c r="E2014">
        <f>IF('R.M Billets Reports'!B2013="","",TRIM('R.M Billets Reports'!B2013))</f>
      </c>
      <c r="F2014">
        <f>'R.M Billets Reports'!C2013</f>
      </c>
      <c r="G2014">
        <f>'R.M Billets Reports'!D2013</f>
      </c>
      <c r="H2014">
        <f>'R.M Billets Reports'!E2013</f>
      </c>
      <c r="I2014">
        <f>'R.M Billets Reports'!F2013</f>
      </c>
      <c r="J2014">
        <f>'R.M Billets Reports'!G2013</f>
      </c>
      <c r="K2014">
        <f>'R.M Billets Reports'!H2013</f>
      </c>
      <c r="L2014">
        <f>IF('R.M Billets Reports'!I2013="","",'R.M Billets Reports'!I2013)</f>
      </c>
      <c r="M2014">
        <f t="shared" si="62"/>
      </c>
      <c r="N2014">
        <f>IF('R.M Billets Reports'!J2013="","",'R.M Billets Reports'!J2013)</f>
      </c>
      <c r="O2014">
        <f t="shared" si="63"/>
      </c>
      <c r="P2014">
        <f>IF('R.M Billets Reports'!A2013="SIZE",'R.M Billets Reports'!B2013,P2013)</f>
      </c>
    </row>
    <row r="2015" spans="1:16" x14ac:dyDescent="0.25">
      <c r="A2015">
        <f>IF(OR('R.M Billets Reports'!A2014="Date-",'R.M Billets Reports'!A2014="Date:-"),IF(IF(IF(ISNUMBER(SEARCH("Party Name:-",'R.M Billets Reports'!D2014)),TRIM('R.M Billets Reports'!F2014),IF(ISNUMBER(SEARCH("Party Name-",'R.M Billets Reports'!D2014)),TRIM(MID('R.M Billets Reports'!D2014,SEARCH("-",'R.M Billets Reports'!D2014)+1,200)),""))&lt;&gt;"",IF(ISNUMBER(SEARCH("Party Name:-",'R.M Billets Reports'!D2014)),TRIM('R.M Billets Reports'!F2014),IF(ISNUMBER(SEARCH("Party Name-",'R.M Billets Reports'!D2014)),TRIM(MID('R.M Billets Reports'!D2014,SEARCH("-",'R.M Billets Reports'!D2014)+1,200)),"")),IF(ISNUMBER(SEARCH("Party Name:-",'R.M Billets Reports'!D2015)),TRIM('R.M Billets Reports'!F2015),IF(ISNUMBER(SEARCH("Party Name-",'R.M Billets Reports'!D2015)),TRIM(MID('R.M Billets Reports'!D2015,SEARCH("-",'R.M Billets Reports'!D2015)+1,200)),"")))="VRKP ISPAT PVT LTD","VRKP",IF(IF(IF(ISNUMBER(SEARCH("Party Name:-",'R.M Billets Reports'!D2014)),TRIM('R.M Billets Reports'!F2014),IF(ISNUMBER(SEARCH("Party Name-",'R.M Billets Reports'!D2014)),TRIM(MID('R.M Billets Reports'!D2014,SEARCH("-",'R.M Billets Reports'!D2014)+1,200)),""))&lt;&gt;"",IF(ISNUMBER(SEARCH("Party Name:-",'R.M Billets Reports'!D2014)),TRIM('R.M Billets Reports'!F2014),IF(ISNUMBER(SEARCH("Party Name-",'R.M Billets Reports'!D2014)),TRIM(MID('R.M Billets Reports'!D2014,SEARCH("-",'R.M Billets Reports'!D2014)+1,200)),"")),IF(ISNUMBER(SEARCH("Party Name:-",'R.M Billets Reports'!D2015)),TRIM('R.M Billets Reports'!F2015),IF(ISNUMBER(SEARCH("Party Name-",'R.M Billets Reports'!D2015)),TRIM(MID('R.M Billets Reports'!D2015,SEARCH("-",'R.M Billets Reports'!D2015)+1,200)),"")))="SHRI RADHE","SHREE RADHE",IF(IF(IF(ISNUMBER(SEARCH("Party Name:-",'R.M Billets Reports'!D2014)),TRIM('R.M Billets Reports'!F2014),IF(ISNUMBER(SEARCH("Party Name-",'R.M Billets Reports'!D2014)),TRIM(MID('R.M Billets Reports'!D2014,SEARCH("-",'R.M Billets Reports'!D2014)+1,200)),""))&lt;&gt;"",IF(ISNUMBER(SEARCH("Party Name:-",'R.M Billets Reports'!D2014)),TRIM('R.M Billets Reports'!F2014),IF(ISNUMBER(SEARCH("Party Name-",'R.M Billets Reports'!D2014)),TRIM(MID('R.M Billets Reports'!D2014,SEARCH("-",'R.M Billets Reports'!D2014)+1,200)),"")),IF(ISNUMBER(SEARCH("Party Name:-",'R.M Billets Reports'!D2015)),TRIM('R.M Billets Reports'!F2015),IF(ISNUMBER(SEARCH("Party Name-",'R.M Billets Reports'!D2015)),TRIM(MID('R.M Billets Reports'!D2015,SEARCH("-",'R.M Billets Reports'!D2015)+1,200)),"")))="SHREE RADHE SHAKTI SPONGE AND POWER PVT. LTD.","SHREE RADHE",IF(IF(ISNUMBER(SEARCH("Party Name:-",'R.M Billets Reports'!D2014)),TRIM('R.M Billets Reports'!F2014),IF(ISNUMBER(SEARCH("Party Name-",'R.M Billets Reports'!D2014)),TRIM(MID('R.M Billets Reports'!D2014,SEARCH("-",'R.M Billets Reports'!D2014)+1,200)),""))&lt;&gt;"",IF(ISNUMBER(SEARCH("Party Name:-",'R.M Billets Reports'!D2014)),TRIM('R.M Billets Reports'!F2014),IF(ISNUMBER(SEARCH("Party Name-",'R.M Billets Reports'!D2014)),TRIM(MID('R.M Billets Reports'!D2014,SEARCH("-",'R.M Billets Reports'!D2014)+1,200)),"")),IF(ISNUMBER(SEARCH("Party Name:-",'R.M Billets Reports'!D2015)),TRIM('R.M Billets Reports'!F2015),IF(ISNUMBER(SEARCH("Party Name-",'R.M Billets Reports'!D2015)),TRIM(MID('R.M Billets Reports'!D2015,SEARCH("-",'R.M Billets Reports'!D2015)+1,200)),"")))))),IF(ROW()=2,"",A2014))</f>
      </c>
      <c r="B2015">
        <f>IF(OR('R.M Billets Reports'!A2014="Date-",'R.M Billets Reports'!A2014="Date:-"),'R.M Billets Reports'!B2014,IF(ROW()=2,"",B2014))</f>
      </c>
      <c r="C2015">
        <f>IF('R.M Billets Reports'!A2014="V.No.",'R.M Billets Reports'!B2014,IF(ROW()=2,"",C2014))</f>
      </c>
      <c r="D2015">
        <f>IF('R.M Billets Reports'!A2014&lt;&gt;"",'R.M Billets Reports'!A2014,IF(ROW()=2,"",D2014))</f>
      </c>
      <c r="E2015">
        <f>IF('R.M Billets Reports'!B2014="","",TRIM('R.M Billets Reports'!B2014))</f>
      </c>
      <c r="F2015">
        <f>'R.M Billets Reports'!C2014</f>
      </c>
      <c r="G2015">
        <f>'R.M Billets Reports'!D2014</f>
      </c>
      <c r="H2015">
        <f>'R.M Billets Reports'!E2014</f>
      </c>
      <c r="I2015">
        <f>'R.M Billets Reports'!F2014</f>
      </c>
      <c r="J2015">
        <f>'R.M Billets Reports'!G2014</f>
      </c>
      <c r="K2015">
        <f>'R.M Billets Reports'!H2014</f>
      </c>
      <c r="L2015">
        <f>IF('R.M Billets Reports'!I2014="","",'R.M Billets Reports'!I2014)</f>
      </c>
      <c r="M2015">
        <f t="shared" si="62"/>
      </c>
      <c r="N2015">
        <f>IF('R.M Billets Reports'!J2014="","",'R.M Billets Reports'!J2014)</f>
      </c>
      <c r="O2015">
        <f t="shared" si="63"/>
      </c>
      <c r="P2015">
        <f>IF('R.M Billets Reports'!A2014="SIZE",'R.M Billets Reports'!B2014,P2014)</f>
      </c>
    </row>
    <row r="2016" spans="1:16" x14ac:dyDescent="0.25">
      <c r="A2016">
        <f>IF(OR('R.M Billets Reports'!A2015="Date-",'R.M Billets Reports'!A2015="Date:-"),IF(IF(IF(ISNUMBER(SEARCH("Party Name:-",'R.M Billets Reports'!D2015)),TRIM('R.M Billets Reports'!F2015),IF(ISNUMBER(SEARCH("Party Name-",'R.M Billets Reports'!D2015)),TRIM(MID('R.M Billets Reports'!D2015,SEARCH("-",'R.M Billets Reports'!D2015)+1,200)),""))&lt;&gt;"",IF(ISNUMBER(SEARCH("Party Name:-",'R.M Billets Reports'!D2015)),TRIM('R.M Billets Reports'!F2015),IF(ISNUMBER(SEARCH("Party Name-",'R.M Billets Reports'!D2015)),TRIM(MID('R.M Billets Reports'!D2015,SEARCH("-",'R.M Billets Reports'!D2015)+1,200)),"")),IF(ISNUMBER(SEARCH("Party Name:-",'R.M Billets Reports'!D2016)),TRIM('R.M Billets Reports'!F2016),IF(ISNUMBER(SEARCH("Party Name-",'R.M Billets Reports'!D2016)),TRIM(MID('R.M Billets Reports'!D2016,SEARCH("-",'R.M Billets Reports'!D2016)+1,200)),"")))="VRKP ISPAT PVT LTD","VRKP",IF(IF(IF(ISNUMBER(SEARCH("Party Name:-",'R.M Billets Reports'!D2015)),TRIM('R.M Billets Reports'!F2015),IF(ISNUMBER(SEARCH("Party Name-",'R.M Billets Reports'!D2015)),TRIM(MID('R.M Billets Reports'!D2015,SEARCH("-",'R.M Billets Reports'!D2015)+1,200)),""))&lt;&gt;"",IF(ISNUMBER(SEARCH("Party Name:-",'R.M Billets Reports'!D2015)),TRIM('R.M Billets Reports'!F2015),IF(ISNUMBER(SEARCH("Party Name-",'R.M Billets Reports'!D2015)),TRIM(MID('R.M Billets Reports'!D2015,SEARCH("-",'R.M Billets Reports'!D2015)+1,200)),"")),IF(ISNUMBER(SEARCH("Party Name:-",'R.M Billets Reports'!D2016)),TRIM('R.M Billets Reports'!F2016),IF(ISNUMBER(SEARCH("Party Name-",'R.M Billets Reports'!D2016)),TRIM(MID('R.M Billets Reports'!D2016,SEARCH("-",'R.M Billets Reports'!D2016)+1,200)),"")))="SHRI RADHE","SHREE RADHE",IF(IF(IF(ISNUMBER(SEARCH("Party Name:-",'R.M Billets Reports'!D2015)),TRIM('R.M Billets Reports'!F2015),IF(ISNUMBER(SEARCH("Party Name-",'R.M Billets Reports'!D2015)),TRIM(MID('R.M Billets Reports'!D2015,SEARCH("-",'R.M Billets Reports'!D2015)+1,200)),""))&lt;&gt;"",IF(ISNUMBER(SEARCH("Party Name:-",'R.M Billets Reports'!D2015)),TRIM('R.M Billets Reports'!F2015),IF(ISNUMBER(SEARCH("Party Name-",'R.M Billets Reports'!D2015)),TRIM(MID('R.M Billets Reports'!D2015,SEARCH("-",'R.M Billets Reports'!D2015)+1,200)),"")),IF(ISNUMBER(SEARCH("Party Name:-",'R.M Billets Reports'!D2016)),TRIM('R.M Billets Reports'!F2016),IF(ISNUMBER(SEARCH("Party Name-",'R.M Billets Reports'!D2016)),TRIM(MID('R.M Billets Reports'!D2016,SEARCH("-",'R.M Billets Reports'!D2016)+1,200)),"")))="SHREE RADHE SHAKTI SPONGE AND POWER PVT. LTD.","SHREE RADHE",IF(IF(ISNUMBER(SEARCH("Party Name:-",'R.M Billets Reports'!D2015)),TRIM('R.M Billets Reports'!F2015),IF(ISNUMBER(SEARCH("Party Name-",'R.M Billets Reports'!D2015)),TRIM(MID('R.M Billets Reports'!D2015,SEARCH("-",'R.M Billets Reports'!D2015)+1,200)),""))&lt;&gt;"",IF(ISNUMBER(SEARCH("Party Name:-",'R.M Billets Reports'!D2015)),TRIM('R.M Billets Reports'!F2015),IF(ISNUMBER(SEARCH("Party Name-",'R.M Billets Reports'!D2015)),TRIM(MID('R.M Billets Reports'!D2015,SEARCH("-",'R.M Billets Reports'!D2015)+1,200)),"")),IF(ISNUMBER(SEARCH("Party Name:-",'R.M Billets Reports'!D2016)),TRIM('R.M Billets Reports'!F2016),IF(ISNUMBER(SEARCH("Party Name-",'R.M Billets Reports'!D2016)),TRIM(MID('R.M Billets Reports'!D2016,SEARCH("-",'R.M Billets Reports'!D2016)+1,200)),"")))))),IF(ROW()=2,"",A2015))</f>
      </c>
      <c r="B2016">
        <f>IF(OR('R.M Billets Reports'!A2015="Date-",'R.M Billets Reports'!A2015="Date:-"),'R.M Billets Reports'!B2015,IF(ROW()=2,"",B2015))</f>
      </c>
      <c r="C2016">
        <f>IF('R.M Billets Reports'!A2015="V.No.",'R.M Billets Reports'!B2015,IF(ROW()=2,"",C2015))</f>
      </c>
      <c r="D2016">
        <f>IF('R.M Billets Reports'!A2015&lt;&gt;"",'R.M Billets Reports'!A2015,IF(ROW()=2,"",D2015))</f>
      </c>
      <c r="E2016">
        <f>IF('R.M Billets Reports'!B2015="","",TRIM('R.M Billets Reports'!B2015))</f>
      </c>
      <c r="F2016">
        <f>'R.M Billets Reports'!C2015</f>
      </c>
      <c r="G2016">
        <f>'R.M Billets Reports'!D2015</f>
      </c>
      <c r="H2016">
        <f>'R.M Billets Reports'!E2015</f>
      </c>
      <c r="I2016">
        <f>'R.M Billets Reports'!F2015</f>
      </c>
      <c r="J2016">
        <f>'R.M Billets Reports'!G2015</f>
      </c>
      <c r="K2016">
        <f>'R.M Billets Reports'!H2015</f>
      </c>
      <c r="L2016">
        <f>IF('R.M Billets Reports'!I2015="","",'R.M Billets Reports'!I2015)</f>
      </c>
      <c r="M2016">
        <f t="shared" si="62"/>
      </c>
      <c r="N2016">
        <f>IF('R.M Billets Reports'!J2015="","",'R.M Billets Reports'!J2015)</f>
      </c>
      <c r="O2016">
        <f t="shared" si="63"/>
      </c>
      <c r="P2016">
        <f>IF('R.M Billets Reports'!A2015="SIZE",'R.M Billets Reports'!B2015,P2015)</f>
      </c>
    </row>
    <row r="2017" spans="1:16" x14ac:dyDescent="0.25">
      <c r="A2017">
        <f>IF(OR('R.M Billets Reports'!A2016="Date-",'R.M Billets Reports'!A2016="Date:-"),IF(IF(IF(ISNUMBER(SEARCH("Party Name:-",'R.M Billets Reports'!D2016)),TRIM('R.M Billets Reports'!F2016),IF(ISNUMBER(SEARCH("Party Name-",'R.M Billets Reports'!D2016)),TRIM(MID('R.M Billets Reports'!D2016,SEARCH("-",'R.M Billets Reports'!D2016)+1,200)),""))&lt;&gt;"",IF(ISNUMBER(SEARCH("Party Name:-",'R.M Billets Reports'!D2016)),TRIM('R.M Billets Reports'!F2016),IF(ISNUMBER(SEARCH("Party Name-",'R.M Billets Reports'!D2016)),TRIM(MID('R.M Billets Reports'!D2016,SEARCH("-",'R.M Billets Reports'!D2016)+1,200)),"")),IF(ISNUMBER(SEARCH("Party Name:-",'R.M Billets Reports'!D2017)),TRIM('R.M Billets Reports'!F2017),IF(ISNUMBER(SEARCH("Party Name-",'R.M Billets Reports'!D2017)),TRIM(MID('R.M Billets Reports'!D2017,SEARCH("-",'R.M Billets Reports'!D2017)+1,200)),"")))="VRKP ISPAT PVT LTD","VRKP",IF(IF(IF(ISNUMBER(SEARCH("Party Name:-",'R.M Billets Reports'!D2016)),TRIM('R.M Billets Reports'!F2016),IF(ISNUMBER(SEARCH("Party Name-",'R.M Billets Reports'!D2016)),TRIM(MID('R.M Billets Reports'!D2016,SEARCH("-",'R.M Billets Reports'!D2016)+1,200)),""))&lt;&gt;"",IF(ISNUMBER(SEARCH("Party Name:-",'R.M Billets Reports'!D2016)),TRIM('R.M Billets Reports'!F2016),IF(ISNUMBER(SEARCH("Party Name-",'R.M Billets Reports'!D2016)),TRIM(MID('R.M Billets Reports'!D2016,SEARCH("-",'R.M Billets Reports'!D2016)+1,200)),"")),IF(ISNUMBER(SEARCH("Party Name:-",'R.M Billets Reports'!D2017)),TRIM('R.M Billets Reports'!F2017),IF(ISNUMBER(SEARCH("Party Name-",'R.M Billets Reports'!D2017)),TRIM(MID('R.M Billets Reports'!D2017,SEARCH("-",'R.M Billets Reports'!D2017)+1,200)),"")))="SHRI RADHE","SHREE RADHE",IF(IF(IF(ISNUMBER(SEARCH("Party Name:-",'R.M Billets Reports'!D2016)),TRIM('R.M Billets Reports'!F2016),IF(ISNUMBER(SEARCH("Party Name-",'R.M Billets Reports'!D2016)),TRIM(MID('R.M Billets Reports'!D2016,SEARCH("-",'R.M Billets Reports'!D2016)+1,200)),""))&lt;&gt;"",IF(ISNUMBER(SEARCH("Party Name:-",'R.M Billets Reports'!D2016)),TRIM('R.M Billets Reports'!F2016),IF(ISNUMBER(SEARCH("Party Name-",'R.M Billets Reports'!D2016)),TRIM(MID('R.M Billets Reports'!D2016,SEARCH("-",'R.M Billets Reports'!D2016)+1,200)),"")),IF(ISNUMBER(SEARCH("Party Name:-",'R.M Billets Reports'!D2017)),TRIM('R.M Billets Reports'!F2017),IF(ISNUMBER(SEARCH("Party Name-",'R.M Billets Reports'!D2017)),TRIM(MID('R.M Billets Reports'!D2017,SEARCH("-",'R.M Billets Reports'!D2017)+1,200)),"")))="SHREE RADHE SHAKTI SPONGE AND POWER PVT. LTD.","SHREE RADHE",IF(IF(ISNUMBER(SEARCH("Party Name:-",'R.M Billets Reports'!D2016)),TRIM('R.M Billets Reports'!F2016),IF(ISNUMBER(SEARCH("Party Name-",'R.M Billets Reports'!D2016)),TRIM(MID('R.M Billets Reports'!D2016,SEARCH("-",'R.M Billets Reports'!D2016)+1,200)),""))&lt;&gt;"",IF(ISNUMBER(SEARCH("Party Name:-",'R.M Billets Reports'!D2016)),TRIM('R.M Billets Reports'!F2016),IF(ISNUMBER(SEARCH("Party Name-",'R.M Billets Reports'!D2016)),TRIM(MID('R.M Billets Reports'!D2016,SEARCH("-",'R.M Billets Reports'!D2016)+1,200)),"")),IF(ISNUMBER(SEARCH("Party Name:-",'R.M Billets Reports'!D2017)),TRIM('R.M Billets Reports'!F2017),IF(ISNUMBER(SEARCH("Party Name-",'R.M Billets Reports'!D2017)),TRIM(MID('R.M Billets Reports'!D2017,SEARCH("-",'R.M Billets Reports'!D2017)+1,200)),"")))))),IF(ROW()=2,"",A2016))</f>
      </c>
      <c r="B2017">
        <f>IF(OR('R.M Billets Reports'!A2016="Date-",'R.M Billets Reports'!A2016="Date:-"),'R.M Billets Reports'!B2016,IF(ROW()=2,"",B2016))</f>
      </c>
      <c r="C2017">
        <f>IF('R.M Billets Reports'!A2016="V.No.",'R.M Billets Reports'!B2016,IF(ROW()=2,"",C2016))</f>
      </c>
      <c r="D2017">
        <f>IF('R.M Billets Reports'!A2016&lt;&gt;"",'R.M Billets Reports'!A2016,IF(ROW()=2,"",D2016))</f>
      </c>
      <c r="E2017">
        <f>IF('R.M Billets Reports'!B2016="","",TRIM('R.M Billets Reports'!B2016))</f>
      </c>
      <c r="F2017">
        <f>'R.M Billets Reports'!C2016</f>
      </c>
      <c r="G2017">
        <f>'R.M Billets Reports'!D2016</f>
      </c>
      <c r="H2017">
        <f>'R.M Billets Reports'!E2016</f>
      </c>
      <c r="I2017">
        <f>'R.M Billets Reports'!F2016</f>
      </c>
      <c r="J2017">
        <f>'R.M Billets Reports'!G2016</f>
      </c>
      <c r="K2017">
        <f>'R.M Billets Reports'!H2016</f>
      </c>
      <c r="L2017">
        <f>IF('R.M Billets Reports'!I2016="","",'R.M Billets Reports'!I2016)</f>
      </c>
      <c r="M2017">
        <f t="shared" si="62"/>
      </c>
      <c r="N2017">
        <f>IF('R.M Billets Reports'!J2016="","",'R.M Billets Reports'!J2016)</f>
      </c>
      <c r="O2017">
        <f t="shared" si="63"/>
      </c>
      <c r="P2017">
        <f>IF('R.M Billets Reports'!A2016="SIZE",'R.M Billets Reports'!B2016,P2016)</f>
      </c>
    </row>
    <row r="2018" spans="1:16" x14ac:dyDescent="0.25">
      <c r="A2018">
        <f>IF(OR('R.M Billets Reports'!A2017="Date-",'R.M Billets Reports'!A2017="Date:-"),IF(IF(IF(ISNUMBER(SEARCH("Party Name:-",'R.M Billets Reports'!D2017)),TRIM('R.M Billets Reports'!F2017),IF(ISNUMBER(SEARCH("Party Name-",'R.M Billets Reports'!D2017)),TRIM(MID('R.M Billets Reports'!D2017,SEARCH("-",'R.M Billets Reports'!D2017)+1,200)),""))&lt;&gt;"",IF(ISNUMBER(SEARCH("Party Name:-",'R.M Billets Reports'!D2017)),TRIM('R.M Billets Reports'!F2017),IF(ISNUMBER(SEARCH("Party Name-",'R.M Billets Reports'!D2017)),TRIM(MID('R.M Billets Reports'!D2017,SEARCH("-",'R.M Billets Reports'!D2017)+1,200)),"")),IF(ISNUMBER(SEARCH("Party Name:-",'R.M Billets Reports'!D2018)),TRIM('R.M Billets Reports'!F2018),IF(ISNUMBER(SEARCH("Party Name-",'R.M Billets Reports'!D2018)),TRIM(MID('R.M Billets Reports'!D2018,SEARCH("-",'R.M Billets Reports'!D2018)+1,200)),"")))="VRKP ISPAT PVT LTD","VRKP",IF(IF(IF(ISNUMBER(SEARCH("Party Name:-",'R.M Billets Reports'!D2017)),TRIM('R.M Billets Reports'!F2017),IF(ISNUMBER(SEARCH("Party Name-",'R.M Billets Reports'!D2017)),TRIM(MID('R.M Billets Reports'!D2017,SEARCH("-",'R.M Billets Reports'!D2017)+1,200)),""))&lt;&gt;"",IF(ISNUMBER(SEARCH("Party Name:-",'R.M Billets Reports'!D2017)),TRIM('R.M Billets Reports'!F2017),IF(ISNUMBER(SEARCH("Party Name-",'R.M Billets Reports'!D2017)),TRIM(MID('R.M Billets Reports'!D2017,SEARCH("-",'R.M Billets Reports'!D2017)+1,200)),"")),IF(ISNUMBER(SEARCH("Party Name:-",'R.M Billets Reports'!D2018)),TRIM('R.M Billets Reports'!F2018),IF(ISNUMBER(SEARCH("Party Name-",'R.M Billets Reports'!D2018)),TRIM(MID('R.M Billets Reports'!D2018,SEARCH("-",'R.M Billets Reports'!D2018)+1,200)),"")))="SHRI RADHE","SHREE RADHE",IF(IF(IF(ISNUMBER(SEARCH("Party Name:-",'R.M Billets Reports'!D2017)),TRIM('R.M Billets Reports'!F2017),IF(ISNUMBER(SEARCH("Party Name-",'R.M Billets Reports'!D2017)),TRIM(MID('R.M Billets Reports'!D2017,SEARCH("-",'R.M Billets Reports'!D2017)+1,200)),""))&lt;&gt;"",IF(ISNUMBER(SEARCH("Party Name:-",'R.M Billets Reports'!D2017)),TRIM('R.M Billets Reports'!F2017),IF(ISNUMBER(SEARCH("Party Name-",'R.M Billets Reports'!D2017)),TRIM(MID('R.M Billets Reports'!D2017,SEARCH("-",'R.M Billets Reports'!D2017)+1,200)),"")),IF(ISNUMBER(SEARCH("Party Name:-",'R.M Billets Reports'!D2018)),TRIM('R.M Billets Reports'!F2018),IF(ISNUMBER(SEARCH("Party Name-",'R.M Billets Reports'!D2018)),TRIM(MID('R.M Billets Reports'!D2018,SEARCH("-",'R.M Billets Reports'!D2018)+1,200)),"")))="SHREE RADHE SHAKTI SPONGE AND POWER PVT. LTD.","SHREE RADHE",IF(IF(ISNUMBER(SEARCH("Party Name:-",'R.M Billets Reports'!D2017)),TRIM('R.M Billets Reports'!F2017),IF(ISNUMBER(SEARCH("Party Name-",'R.M Billets Reports'!D2017)),TRIM(MID('R.M Billets Reports'!D2017,SEARCH("-",'R.M Billets Reports'!D2017)+1,200)),""))&lt;&gt;"",IF(ISNUMBER(SEARCH("Party Name:-",'R.M Billets Reports'!D2017)),TRIM('R.M Billets Reports'!F2017),IF(ISNUMBER(SEARCH("Party Name-",'R.M Billets Reports'!D2017)),TRIM(MID('R.M Billets Reports'!D2017,SEARCH("-",'R.M Billets Reports'!D2017)+1,200)),"")),IF(ISNUMBER(SEARCH("Party Name:-",'R.M Billets Reports'!D2018)),TRIM('R.M Billets Reports'!F2018),IF(ISNUMBER(SEARCH("Party Name-",'R.M Billets Reports'!D2018)),TRIM(MID('R.M Billets Reports'!D2018,SEARCH("-",'R.M Billets Reports'!D2018)+1,200)),"")))))),IF(ROW()=2,"",A2017))</f>
      </c>
      <c r="B2018">
        <f>IF(OR('R.M Billets Reports'!A2017="Date-",'R.M Billets Reports'!A2017="Date:-"),'R.M Billets Reports'!B2017,IF(ROW()=2,"",B2017))</f>
      </c>
      <c r="C2018">
        <f>IF('R.M Billets Reports'!A2017="V.No.",'R.M Billets Reports'!B2017,IF(ROW()=2,"",C2017))</f>
      </c>
      <c r="D2018">
        <f>IF('R.M Billets Reports'!A2017&lt;&gt;"",'R.M Billets Reports'!A2017,IF(ROW()=2,"",D2017))</f>
      </c>
      <c r="E2018">
        <f>IF('R.M Billets Reports'!B2017="","",TRIM('R.M Billets Reports'!B2017))</f>
      </c>
      <c r="F2018">
        <f>'R.M Billets Reports'!C2017</f>
      </c>
      <c r="G2018">
        <f>'R.M Billets Reports'!D2017</f>
      </c>
      <c r="H2018">
        <f>'R.M Billets Reports'!E2017</f>
      </c>
      <c r="I2018">
        <f>'R.M Billets Reports'!F2017</f>
      </c>
      <c r="J2018">
        <f>'R.M Billets Reports'!G2017</f>
      </c>
      <c r="K2018">
        <f>'R.M Billets Reports'!H2017</f>
      </c>
      <c r="L2018">
        <f>IF('R.M Billets Reports'!I2017="","",'R.M Billets Reports'!I2017)</f>
      </c>
      <c r="M2018">
        <f t="shared" si="62"/>
      </c>
      <c r="N2018">
        <f>IF('R.M Billets Reports'!J2017="","",'R.M Billets Reports'!J2017)</f>
      </c>
      <c r="O2018">
        <f t="shared" si="63"/>
      </c>
      <c r="P2018">
        <f>IF('R.M Billets Reports'!A2017="SIZE",'R.M Billets Reports'!B2017,P2017)</f>
      </c>
    </row>
    <row r="2019" spans="1:16" x14ac:dyDescent="0.25">
      <c r="A2019">
        <f>IF(OR('R.M Billets Reports'!A2018="Date-",'R.M Billets Reports'!A2018="Date:-"),IF(IF(IF(ISNUMBER(SEARCH("Party Name:-",'R.M Billets Reports'!D2018)),TRIM('R.M Billets Reports'!F2018),IF(ISNUMBER(SEARCH("Party Name-",'R.M Billets Reports'!D2018)),TRIM(MID('R.M Billets Reports'!D2018,SEARCH("-",'R.M Billets Reports'!D2018)+1,200)),""))&lt;&gt;"",IF(ISNUMBER(SEARCH("Party Name:-",'R.M Billets Reports'!D2018)),TRIM('R.M Billets Reports'!F2018),IF(ISNUMBER(SEARCH("Party Name-",'R.M Billets Reports'!D2018)),TRIM(MID('R.M Billets Reports'!D2018,SEARCH("-",'R.M Billets Reports'!D2018)+1,200)),"")),IF(ISNUMBER(SEARCH("Party Name:-",'R.M Billets Reports'!D2019)),TRIM('R.M Billets Reports'!F2019),IF(ISNUMBER(SEARCH("Party Name-",'R.M Billets Reports'!D2019)),TRIM(MID('R.M Billets Reports'!D2019,SEARCH("-",'R.M Billets Reports'!D2019)+1,200)),"")))="VRKP ISPAT PVT LTD","VRKP",IF(IF(IF(ISNUMBER(SEARCH("Party Name:-",'R.M Billets Reports'!D2018)),TRIM('R.M Billets Reports'!F2018),IF(ISNUMBER(SEARCH("Party Name-",'R.M Billets Reports'!D2018)),TRIM(MID('R.M Billets Reports'!D2018,SEARCH("-",'R.M Billets Reports'!D2018)+1,200)),""))&lt;&gt;"",IF(ISNUMBER(SEARCH("Party Name:-",'R.M Billets Reports'!D2018)),TRIM('R.M Billets Reports'!F2018),IF(ISNUMBER(SEARCH("Party Name-",'R.M Billets Reports'!D2018)),TRIM(MID('R.M Billets Reports'!D2018,SEARCH("-",'R.M Billets Reports'!D2018)+1,200)),"")),IF(ISNUMBER(SEARCH("Party Name:-",'R.M Billets Reports'!D2019)),TRIM('R.M Billets Reports'!F2019),IF(ISNUMBER(SEARCH("Party Name-",'R.M Billets Reports'!D2019)),TRIM(MID('R.M Billets Reports'!D2019,SEARCH("-",'R.M Billets Reports'!D2019)+1,200)),"")))="SHRI RADHE","SHREE RADHE",IF(IF(IF(ISNUMBER(SEARCH("Party Name:-",'R.M Billets Reports'!D2018)),TRIM('R.M Billets Reports'!F2018),IF(ISNUMBER(SEARCH("Party Name-",'R.M Billets Reports'!D2018)),TRIM(MID('R.M Billets Reports'!D2018,SEARCH("-",'R.M Billets Reports'!D2018)+1,200)),""))&lt;&gt;"",IF(ISNUMBER(SEARCH("Party Name:-",'R.M Billets Reports'!D2018)),TRIM('R.M Billets Reports'!F2018),IF(ISNUMBER(SEARCH("Party Name-",'R.M Billets Reports'!D2018)),TRIM(MID('R.M Billets Reports'!D2018,SEARCH("-",'R.M Billets Reports'!D2018)+1,200)),"")),IF(ISNUMBER(SEARCH("Party Name:-",'R.M Billets Reports'!D2019)),TRIM('R.M Billets Reports'!F2019),IF(ISNUMBER(SEARCH("Party Name-",'R.M Billets Reports'!D2019)),TRIM(MID('R.M Billets Reports'!D2019,SEARCH("-",'R.M Billets Reports'!D2019)+1,200)),"")))="SHREE RADHE SHAKTI SPONGE AND POWER PVT. LTD.","SHREE RADHE",IF(IF(ISNUMBER(SEARCH("Party Name:-",'R.M Billets Reports'!D2018)),TRIM('R.M Billets Reports'!F2018),IF(ISNUMBER(SEARCH("Party Name-",'R.M Billets Reports'!D2018)),TRIM(MID('R.M Billets Reports'!D2018,SEARCH("-",'R.M Billets Reports'!D2018)+1,200)),""))&lt;&gt;"",IF(ISNUMBER(SEARCH("Party Name:-",'R.M Billets Reports'!D2018)),TRIM('R.M Billets Reports'!F2018),IF(ISNUMBER(SEARCH("Party Name-",'R.M Billets Reports'!D2018)),TRIM(MID('R.M Billets Reports'!D2018,SEARCH("-",'R.M Billets Reports'!D2018)+1,200)),"")),IF(ISNUMBER(SEARCH("Party Name:-",'R.M Billets Reports'!D2019)),TRIM('R.M Billets Reports'!F2019),IF(ISNUMBER(SEARCH("Party Name-",'R.M Billets Reports'!D2019)),TRIM(MID('R.M Billets Reports'!D2019,SEARCH("-",'R.M Billets Reports'!D2019)+1,200)),"")))))),IF(ROW()=2,"",A2018))</f>
      </c>
      <c r="B2019">
        <f>IF(OR('R.M Billets Reports'!A2018="Date-",'R.M Billets Reports'!A2018="Date:-"),'R.M Billets Reports'!B2018,IF(ROW()=2,"",B2018))</f>
      </c>
      <c r="C2019">
        <f>IF('R.M Billets Reports'!A2018="V.No.",'R.M Billets Reports'!B2018,IF(ROW()=2,"",C2018))</f>
      </c>
      <c r="D2019">
        <f>IF('R.M Billets Reports'!A2018&lt;&gt;"",'R.M Billets Reports'!A2018,IF(ROW()=2,"",D2018))</f>
      </c>
      <c r="E2019">
        <f>IF('R.M Billets Reports'!B2018="","",TRIM('R.M Billets Reports'!B2018))</f>
      </c>
      <c r="F2019">
        <f>'R.M Billets Reports'!C2018</f>
      </c>
      <c r="G2019">
        <f>'R.M Billets Reports'!D2018</f>
      </c>
      <c r="H2019">
        <f>'R.M Billets Reports'!E2018</f>
      </c>
      <c r="I2019">
        <f>'R.M Billets Reports'!F2018</f>
      </c>
      <c r="J2019">
        <f>'R.M Billets Reports'!G2018</f>
      </c>
      <c r="K2019">
        <f>'R.M Billets Reports'!H2018</f>
      </c>
      <c r="L2019">
        <f>IF('R.M Billets Reports'!I2018="","",'R.M Billets Reports'!I2018)</f>
      </c>
      <c r="M2019">
        <f t="shared" si="62"/>
      </c>
      <c r="N2019">
        <f>IF('R.M Billets Reports'!J2018="","",'R.M Billets Reports'!J2018)</f>
      </c>
      <c r="O2019">
        <f t="shared" si="63"/>
      </c>
      <c r="P2019">
        <f>IF('R.M Billets Reports'!A2018="SIZE",'R.M Billets Reports'!B2018,P2018)</f>
      </c>
    </row>
    <row r="2020" spans="1:16" x14ac:dyDescent="0.25">
      <c r="A2020">
        <f>IF(OR('R.M Billets Reports'!A2019="Date-",'R.M Billets Reports'!A2019="Date:-"),IF(IF(IF(ISNUMBER(SEARCH("Party Name:-",'R.M Billets Reports'!D2019)),TRIM('R.M Billets Reports'!F2019),IF(ISNUMBER(SEARCH("Party Name-",'R.M Billets Reports'!D2019)),TRIM(MID('R.M Billets Reports'!D2019,SEARCH("-",'R.M Billets Reports'!D2019)+1,200)),""))&lt;&gt;"",IF(ISNUMBER(SEARCH("Party Name:-",'R.M Billets Reports'!D2019)),TRIM('R.M Billets Reports'!F2019),IF(ISNUMBER(SEARCH("Party Name-",'R.M Billets Reports'!D2019)),TRIM(MID('R.M Billets Reports'!D2019,SEARCH("-",'R.M Billets Reports'!D2019)+1,200)),"")),IF(ISNUMBER(SEARCH("Party Name:-",'R.M Billets Reports'!D2020)),TRIM('R.M Billets Reports'!F2020),IF(ISNUMBER(SEARCH("Party Name-",'R.M Billets Reports'!D2020)),TRIM(MID('R.M Billets Reports'!D2020,SEARCH("-",'R.M Billets Reports'!D2020)+1,200)),"")))="VRKP ISPAT PVT LTD","VRKP",IF(IF(IF(ISNUMBER(SEARCH("Party Name:-",'R.M Billets Reports'!D2019)),TRIM('R.M Billets Reports'!F2019),IF(ISNUMBER(SEARCH("Party Name-",'R.M Billets Reports'!D2019)),TRIM(MID('R.M Billets Reports'!D2019,SEARCH("-",'R.M Billets Reports'!D2019)+1,200)),""))&lt;&gt;"",IF(ISNUMBER(SEARCH("Party Name:-",'R.M Billets Reports'!D2019)),TRIM('R.M Billets Reports'!F2019),IF(ISNUMBER(SEARCH("Party Name-",'R.M Billets Reports'!D2019)),TRIM(MID('R.M Billets Reports'!D2019,SEARCH("-",'R.M Billets Reports'!D2019)+1,200)),"")),IF(ISNUMBER(SEARCH("Party Name:-",'R.M Billets Reports'!D2020)),TRIM('R.M Billets Reports'!F2020),IF(ISNUMBER(SEARCH("Party Name-",'R.M Billets Reports'!D2020)),TRIM(MID('R.M Billets Reports'!D2020,SEARCH("-",'R.M Billets Reports'!D2020)+1,200)),"")))="SHRI RADHE","SHREE RADHE",IF(IF(IF(ISNUMBER(SEARCH("Party Name:-",'R.M Billets Reports'!D2019)),TRIM('R.M Billets Reports'!F2019),IF(ISNUMBER(SEARCH("Party Name-",'R.M Billets Reports'!D2019)),TRIM(MID('R.M Billets Reports'!D2019,SEARCH("-",'R.M Billets Reports'!D2019)+1,200)),""))&lt;&gt;"",IF(ISNUMBER(SEARCH("Party Name:-",'R.M Billets Reports'!D2019)),TRIM('R.M Billets Reports'!F2019),IF(ISNUMBER(SEARCH("Party Name-",'R.M Billets Reports'!D2019)),TRIM(MID('R.M Billets Reports'!D2019,SEARCH("-",'R.M Billets Reports'!D2019)+1,200)),"")),IF(ISNUMBER(SEARCH("Party Name:-",'R.M Billets Reports'!D2020)),TRIM('R.M Billets Reports'!F2020),IF(ISNUMBER(SEARCH("Party Name-",'R.M Billets Reports'!D2020)),TRIM(MID('R.M Billets Reports'!D2020,SEARCH("-",'R.M Billets Reports'!D2020)+1,200)),"")))="SHREE RADHE SHAKTI SPONGE AND POWER PVT. LTD.","SHREE RADHE",IF(IF(ISNUMBER(SEARCH("Party Name:-",'R.M Billets Reports'!D2019)),TRIM('R.M Billets Reports'!F2019),IF(ISNUMBER(SEARCH("Party Name-",'R.M Billets Reports'!D2019)),TRIM(MID('R.M Billets Reports'!D2019,SEARCH("-",'R.M Billets Reports'!D2019)+1,200)),""))&lt;&gt;"",IF(ISNUMBER(SEARCH("Party Name:-",'R.M Billets Reports'!D2019)),TRIM('R.M Billets Reports'!F2019),IF(ISNUMBER(SEARCH("Party Name-",'R.M Billets Reports'!D2019)),TRIM(MID('R.M Billets Reports'!D2019,SEARCH("-",'R.M Billets Reports'!D2019)+1,200)),"")),IF(ISNUMBER(SEARCH("Party Name:-",'R.M Billets Reports'!D2020)),TRIM('R.M Billets Reports'!F2020),IF(ISNUMBER(SEARCH("Party Name-",'R.M Billets Reports'!D2020)),TRIM(MID('R.M Billets Reports'!D2020,SEARCH("-",'R.M Billets Reports'!D2020)+1,200)),"")))))),IF(ROW()=2,"",A2019))</f>
      </c>
      <c r="B2020">
        <f>IF(OR('R.M Billets Reports'!A2019="Date-",'R.M Billets Reports'!A2019="Date:-"),'R.M Billets Reports'!B2019,IF(ROW()=2,"",B2019))</f>
      </c>
      <c r="C2020">
        <f>IF('R.M Billets Reports'!A2019="V.No.",'R.M Billets Reports'!B2019,IF(ROW()=2,"",C2019))</f>
      </c>
      <c r="D2020">
        <f>IF('R.M Billets Reports'!A2019&lt;&gt;"",'R.M Billets Reports'!A2019,IF(ROW()=2,"",D2019))</f>
      </c>
      <c r="E2020">
        <f>IF('R.M Billets Reports'!B2019="","",TRIM('R.M Billets Reports'!B2019))</f>
      </c>
      <c r="F2020">
        <f>'R.M Billets Reports'!C2019</f>
      </c>
      <c r="G2020">
        <f>'R.M Billets Reports'!D2019</f>
      </c>
      <c r="H2020">
        <f>'R.M Billets Reports'!E2019</f>
      </c>
      <c r="I2020">
        <f>'R.M Billets Reports'!F2019</f>
      </c>
      <c r="J2020">
        <f>'R.M Billets Reports'!G2019</f>
      </c>
      <c r="K2020">
        <f>'R.M Billets Reports'!H2019</f>
      </c>
      <c r="L2020">
        <f>IF('R.M Billets Reports'!I2019="","",'R.M Billets Reports'!I2019)</f>
      </c>
      <c r="M2020">
        <f t="shared" si="62"/>
      </c>
      <c r="N2020">
        <f>IF('R.M Billets Reports'!J2019="","",'R.M Billets Reports'!J2019)</f>
      </c>
      <c r="O2020">
        <f t="shared" si="63"/>
      </c>
      <c r="P2020">
        <f>IF('R.M Billets Reports'!A2019="SIZE",'R.M Billets Reports'!B2019,P2019)</f>
      </c>
    </row>
    <row r="2021" spans="1:16" x14ac:dyDescent="0.25">
      <c r="A2021">
        <f>IF(OR('R.M Billets Reports'!A2020="Date-",'R.M Billets Reports'!A2020="Date:-"),IF(IF(IF(ISNUMBER(SEARCH("Party Name:-",'R.M Billets Reports'!D2020)),TRIM('R.M Billets Reports'!F2020),IF(ISNUMBER(SEARCH("Party Name-",'R.M Billets Reports'!D2020)),TRIM(MID('R.M Billets Reports'!D2020,SEARCH("-",'R.M Billets Reports'!D2020)+1,200)),""))&lt;&gt;"",IF(ISNUMBER(SEARCH("Party Name:-",'R.M Billets Reports'!D2020)),TRIM('R.M Billets Reports'!F2020),IF(ISNUMBER(SEARCH("Party Name-",'R.M Billets Reports'!D2020)),TRIM(MID('R.M Billets Reports'!D2020,SEARCH("-",'R.M Billets Reports'!D2020)+1,200)),"")),IF(ISNUMBER(SEARCH("Party Name:-",'R.M Billets Reports'!D2021)),TRIM('R.M Billets Reports'!F2021),IF(ISNUMBER(SEARCH("Party Name-",'R.M Billets Reports'!D2021)),TRIM(MID('R.M Billets Reports'!D2021,SEARCH("-",'R.M Billets Reports'!D2021)+1,200)),"")))="VRKP ISPAT PVT LTD","VRKP",IF(IF(IF(ISNUMBER(SEARCH("Party Name:-",'R.M Billets Reports'!D2020)),TRIM('R.M Billets Reports'!F2020),IF(ISNUMBER(SEARCH("Party Name-",'R.M Billets Reports'!D2020)),TRIM(MID('R.M Billets Reports'!D2020,SEARCH("-",'R.M Billets Reports'!D2020)+1,200)),""))&lt;&gt;"",IF(ISNUMBER(SEARCH("Party Name:-",'R.M Billets Reports'!D2020)),TRIM('R.M Billets Reports'!F2020),IF(ISNUMBER(SEARCH("Party Name-",'R.M Billets Reports'!D2020)),TRIM(MID('R.M Billets Reports'!D2020,SEARCH("-",'R.M Billets Reports'!D2020)+1,200)),"")),IF(ISNUMBER(SEARCH("Party Name:-",'R.M Billets Reports'!D2021)),TRIM('R.M Billets Reports'!F2021),IF(ISNUMBER(SEARCH("Party Name-",'R.M Billets Reports'!D2021)),TRIM(MID('R.M Billets Reports'!D2021,SEARCH("-",'R.M Billets Reports'!D2021)+1,200)),"")))="SHRI RADHE","SHREE RADHE",IF(IF(IF(ISNUMBER(SEARCH("Party Name:-",'R.M Billets Reports'!D2020)),TRIM('R.M Billets Reports'!F2020),IF(ISNUMBER(SEARCH("Party Name-",'R.M Billets Reports'!D2020)),TRIM(MID('R.M Billets Reports'!D2020,SEARCH("-",'R.M Billets Reports'!D2020)+1,200)),""))&lt;&gt;"",IF(ISNUMBER(SEARCH("Party Name:-",'R.M Billets Reports'!D2020)),TRIM('R.M Billets Reports'!F2020),IF(ISNUMBER(SEARCH("Party Name-",'R.M Billets Reports'!D2020)),TRIM(MID('R.M Billets Reports'!D2020,SEARCH("-",'R.M Billets Reports'!D2020)+1,200)),"")),IF(ISNUMBER(SEARCH("Party Name:-",'R.M Billets Reports'!D2021)),TRIM('R.M Billets Reports'!F2021),IF(ISNUMBER(SEARCH("Party Name-",'R.M Billets Reports'!D2021)),TRIM(MID('R.M Billets Reports'!D2021,SEARCH("-",'R.M Billets Reports'!D2021)+1,200)),"")))="SHREE RADHE SHAKTI SPONGE AND POWER PVT. LTD.","SHREE RADHE",IF(IF(ISNUMBER(SEARCH("Party Name:-",'R.M Billets Reports'!D2020)),TRIM('R.M Billets Reports'!F2020),IF(ISNUMBER(SEARCH("Party Name-",'R.M Billets Reports'!D2020)),TRIM(MID('R.M Billets Reports'!D2020,SEARCH("-",'R.M Billets Reports'!D2020)+1,200)),""))&lt;&gt;"",IF(ISNUMBER(SEARCH("Party Name:-",'R.M Billets Reports'!D2020)),TRIM('R.M Billets Reports'!F2020),IF(ISNUMBER(SEARCH("Party Name-",'R.M Billets Reports'!D2020)),TRIM(MID('R.M Billets Reports'!D2020,SEARCH("-",'R.M Billets Reports'!D2020)+1,200)),"")),IF(ISNUMBER(SEARCH("Party Name:-",'R.M Billets Reports'!D2021)),TRIM('R.M Billets Reports'!F2021),IF(ISNUMBER(SEARCH("Party Name-",'R.M Billets Reports'!D2021)),TRIM(MID('R.M Billets Reports'!D2021,SEARCH("-",'R.M Billets Reports'!D2021)+1,200)),"")))))),IF(ROW()=2,"",A2020))</f>
      </c>
      <c r="B2021">
        <f>IF(OR('R.M Billets Reports'!A2020="Date-",'R.M Billets Reports'!A2020="Date:-"),'R.M Billets Reports'!B2020,IF(ROW()=2,"",B2020))</f>
      </c>
      <c r="C2021">
        <f>IF('R.M Billets Reports'!A2020="V.No.",'R.M Billets Reports'!B2020,IF(ROW()=2,"",C2020))</f>
      </c>
      <c r="D2021">
        <f>IF('R.M Billets Reports'!A2020&lt;&gt;"",'R.M Billets Reports'!A2020,IF(ROW()=2,"",D2020))</f>
      </c>
      <c r="E2021">
        <f>IF('R.M Billets Reports'!B2020="","",TRIM('R.M Billets Reports'!B2020))</f>
      </c>
      <c r="F2021">
        <f>'R.M Billets Reports'!C2020</f>
      </c>
      <c r="G2021">
        <f>'R.M Billets Reports'!D2020</f>
      </c>
      <c r="H2021">
        <f>'R.M Billets Reports'!E2020</f>
      </c>
      <c r="I2021">
        <f>'R.M Billets Reports'!F2020</f>
      </c>
      <c r="J2021">
        <f>'R.M Billets Reports'!G2020</f>
      </c>
      <c r="K2021">
        <f>'R.M Billets Reports'!H2020</f>
      </c>
      <c r="L2021">
        <f>IF('R.M Billets Reports'!I2020="","",'R.M Billets Reports'!I2020)</f>
      </c>
      <c r="M2021">
        <f t="shared" si="62"/>
      </c>
      <c r="N2021">
        <f>IF('R.M Billets Reports'!J2020="","",'R.M Billets Reports'!J2020)</f>
      </c>
      <c r="O2021">
        <f t="shared" si="63"/>
      </c>
      <c r="P2021">
        <f>IF('R.M Billets Reports'!A2020="SIZE",'R.M Billets Reports'!B2020,P2020)</f>
      </c>
    </row>
    <row r="2022" spans="1:16" x14ac:dyDescent="0.25">
      <c r="A2022">
        <f>IF(OR('R.M Billets Reports'!A2021="Date-",'R.M Billets Reports'!A2021="Date:-"),IF(IF(IF(ISNUMBER(SEARCH("Party Name:-",'R.M Billets Reports'!D2021)),TRIM('R.M Billets Reports'!F2021),IF(ISNUMBER(SEARCH("Party Name-",'R.M Billets Reports'!D2021)),TRIM(MID('R.M Billets Reports'!D2021,SEARCH("-",'R.M Billets Reports'!D2021)+1,200)),""))&lt;&gt;"",IF(ISNUMBER(SEARCH("Party Name:-",'R.M Billets Reports'!D2021)),TRIM('R.M Billets Reports'!F2021),IF(ISNUMBER(SEARCH("Party Name-",'R.M Billets Reports'!D2021)),TRIM(MID('R.M Billets Reports'!D2021,SEARCH("-",'R.M Billets Reports'!D2021)+1,200)),"")),IF(ISNUMBER(SEARCH("Party Name:-",'R.M Billets Reports'!D2022)),TRIM('R.M Billets Reports'!F2022),IF(ISNUMBER(SEARCH("Party Name-",'R.M Billets Reports'!D2022)),TRIM(MID('R.M Billets Reports'!D2022,SEARCH("-",'R.M Billets Reports'!D2022)+1,200)),"")))="VRKP ISPAT PVT LTD","VRKP",IF(IF(IF(ISNUMBER(SEARCH("Party Name:-",'R.M Billets Reports'!D2021)),TRIM('R.M Billets Reports'!F2021),IF(ISNUMBER(SEARCH("Party Name-",'R.M Billets Reports'!D2021)),TRIM(MID('R.M Billets Reports'!D2021,SEARCH("-",'R.M Billets Reports'!D2021)+1,200)),""))&lt;&gt;"",IF(ISNUMBER(SEARCH("Party Name:-",'R.M Billets Reports'!D2021)),TRIM('R.M Billets Reports'!F2021),IF(ISNUMBER(SEARCH("Party Name-",'R.M Billets Reports'!D2021)),TRIM(MID('R.M Billets Reports'!D2021,SEARCH("-",'R.M Billets Reports'!D2021)+1,200)),"")),IF(ISNUMBER(SEARCH("Party Name:-",'R.M Billets Reports'!D2022)),TRIM('R.M Billets Reports'!F2022),IF(ISNUMBER(SEARCH("Party Name-",'R.M Billets Reports'!D2022)),TRIM(MID('R.M Billets Reports'!D2022,SEARCH("-",'R.M Billets Reports'!D2022)+1,200)),"")))="SHRI RADHE","SHREE RADHE",IF(IF(IF(ISNUMBER(SEARCH("Party Name:-",'R.M Billets Reports'!D2021)),TRIM('R.M Billets Reports'!F2021),IF(ISNUMBER(SEARCH("Party Name-",'R.M Billets Reports'!D2021)),TRIM(MID('R.M Billets Reports'!D2021,SEARCH("-",'R.M Billets Reports'!D2021)+1,200)),""))&lt;&gt;"",IF(ISNUMBER(SEARCH("Party Name:-",'R.M Billets Reports'!D2021)),TRIM('R.M Billets Reports'!F2021),IF(ISNUMBER(SEARCH("Party Name-",'R.M Billets Reports'!D2021)),TRIM(MID('R.M Billets Reports'!D2021,SEARCH("-",'R.M Billets Reports'!D2021)+1,200)),"")),IF(ISNUMBER(SEARCH("Party Name:-",'R.M Billets Reports'!D2022)),TRIM('R.M Billets Reports'!F2022),IF(ISNUMBER(SEARCH("Party Name-",'R.M Billets Reports'!D2022)),TRIM(MID('R.M Billets Reports'!D2022,SEARCH("-",'R.M Billets Reports'!D2022)+1,200)),"")))="SHREE RADHE SHAKTI SPONGE AND POWER PVT. LTD.","SHREE RADHE",IF(IF(ISNUMBER(SEARCH("Party Name:-",'R.M Billets Reports'!D2021)),TRIM('R.M Billets Reports'!F2021),IF(ISNUMBER(SEARCH("Party Name-",'R.M Billets Reports'!D2021)),TRIM(MID('R.M Billets Reports'!D2021,SEARCH("-",'R.M Billets Reports'!D2021)+1,200)),""))&lt;&gt;"",IF(ISNUMBER(SEARCH("Party Name:-",'R.M Billets Reports'!D2021)),TRIM('R.M Billets Reports'!F2021),IF(ISNUMBER(SEARCH("Party Name-",'R.M Billets Reports'!D2021)),TRIM(MID('R.M Billets Reports'!D2021,SEARCH("-",'R.M Billets Reports'!D2021)+1,200)),"")),IF(ISNUMBER(SEARCH("Party Name:-",'R.M Billets Reports'!D2022)),TRIM('R.M Billets Reports'!F2022),IF(ISNUMBER(SEARCH("Party Name-",'R.M Billets Reports'!D2022)),TRIM(MID('R.M Billets Reports'!D2022,SEARCH("-",'R.M Billets Reports'!D2022)+1,200)),"")))))),IF(ROW()=2,"",A2021))</f>
      </c>
      <c r="B2022">
        <f>IF(OR('R.M Billets Reports'!A2021="Date-",'R.M Billets Reports'!A2021="Date:-"),'R.M Billets Reports'!B2021,IF(ROW()=2,"",B2021))</f>
      </c>
      <c r="C2022">
        <f>IF('R.M Billets Reports'!A2021="V.No.",'R.M Billets Reports'!B2021,IF(ROW()=2,"",C2021))</f>
      </c>
      <c r="D2022">
        <f>IF('R.M Billets Reports'!A2021&lt;&gt;"",'R.M Billets Reports'!A2021,IF(ROW()=2,"",D2021))</f>
      </c>
      <c r="E2022">
        <f>IF('R.M Billets Reports'!B2021="","",TRIM('R.M Billets Reports'!B2021))</f>
      </c>
      <c r="F2022">
        <f>'R.M Billets Reports'!C2021</f>
      </c>
      <c r="G2022">
        <f>'R.M Billets Reports'!D2021</f>
      </c>
      <c r="H2022">
        <f>'R.M Billets Reports'!E2021</f>
      </c>
      <c r="I2022">
        <f>'R.M Billets Reports'!F2021</f>
      </c>
      <c r="J2022">
        <f>'R.M Billets Reports'!G2021</f>
      </c>
      <c r="K2022">
        <f>'R.M Billets Reports'!H2021</f>
      </c>
      <c r="L2022">
        <f>IF('R.M Billets Reports'!I2021="","",'R.M Billets Reports'!I2021)</f>
      </c>
      <c r="M2022">
        <f t="shared" si="62"/>
      </c>
      <c r="N2022">
        <f>IF('R.M Billets Reports'!J2021="","",'R.M Billets Reports'!J2021)</f>
      </c>
      <c r="O2022">
        <f t="shared" si="63"/>
      </c>
      <c r="P2022">
        <f>IF('R.M Billets Reports'!A2021="SIZE",'R.M Billets Reports'!B2021,P2021)</f>
      </c>
    </row>
    <row r="2023" spans="1:16" x14ac:dyDescent="0.25">
      <c r="A2023">
        <f>IF(OR('R.M Billets Reports'!A2022="Date-",'R.M Billets Reports'!A2022="Date:-"),IF(IF(IF(ISNUMBER(SEARCH("Party Name:-",'R.M Billets Reports'!D2022)),TRIM('R.M Billets Reports'!F2022),IF(ISNUMBER(SEARCH("Party Name-",'R.M Billets Reports'!D2022)),TRIM(MID('R.M Billets Reports'!D2022,SEARCH("-",'R.M Billets Reports'!D2022)+1,200)),""))&lt;&gt;"",IF(ISNUMBER(SEARCH("Party Name:-",'R.M Billets Reports'!D2022)),TRIM('R.M Billets Reports'!F2022),IF(ISNUMBER(SEARCH("Party Name-",'R.M Billets Reports'!D2022)),TRIM(MID('R.M Billets Reports'!D2022,SEARCH("-",'R.M Billets Reports'!D2022)+1,200)),"")),IF(ISNUMBER(SEARCH("Party Name:-",'R.M Billets Reports'!D2023)),TRIM('R.M Billets Reports'!F2023),IF(ISNUMBER(SEARCH("Party Name-",'R.M Billets Reports'!D2023)),TRIM(MID('R.M Billets Reports'!D2023,SEARCH("-",'R.M Billets Reports'!D2023)+1,200)),"")))="VRKP ISPAT PVT LTD","VRKP",IF(IF(IF(ISNUMBER(SEARCH("Party Name:-",'R.M Billets Reports'!D2022)),TRIM('R.M Billets Reports'!F2022),IF(ISNUMBER(SEARCH("Party Name-",'R.M Billets Reports'!D2022)),TRIM(MID('R.M Billets Reports'!D2022,SEARCH("-",'R.M Billets Reports'!D2022)+1,200)),""))&lt;&gt;"",IF(ISNUMBER(SEARCH("Party Name:-",'R.M Billets Reports'!D2022)),TRIM('R.M Billets Reports'!F2022),IF(ISNUMBER(SEARCH("Party Name-",'R.M Billets Reports'!D2022)),TRIM(MID('R.M Billets Reports'!D2022,SEARCH("-",'R.M Billets Reports'!D2022)+1,200)),"")),IF(ISNUMBER(SEARCH("Party Name:-",'R.M Billets Reports'!D2023)),TRIM('R.M Billets Reports'!F2023),IF(ISNUMBER(SEARCH("Party Name-",'R.M Billets Reports'!D2023)),TRIM(MID('R.M Billets Reports'!D2023,SEARCH("-",'R.M Billets Reports'!D2023)+1,200)),"")))="SHRI RADHE","SHREE RADHE",IF(IF(IF(ISNUMBER(SEARCH("Party Name:-",'R.M Billets Reports'!D2022)),TRIM('R.M Billets Reports'!F2022),IF(ISNUMBER(SEARCH("Party Name-",'R.M Billets Reports'!D2022)),TRIM(MID('R.M Billets Reports'!D2022,SEARCH("-",'R.M Billets Reports'!D2022)+1,200)),""))&lt;&gt;"",IF(ISNUMBER(SEARCH("Party Name:-",'R.M Billets Reports'!D2022)),TRIM('R.M Billets Reports'!F2022),IF(ISNUMBER(SEARCH("Party Name-",'R.M Billets Reports'!D2022)),TRIM(MID('R.M Billets Reports'!D2022,SEARCH("-",'R.M Billets Reports'!D2022)+1,200)),"")),IF(ISNUMBER(SEARCH("Party Name:-",'R.M Billets Reports'!D2023)),TRIM('R.M Billets Reports'!F2023),IF(ISNUMBER(SEARCH("Party Name-",'R.M Billets Reports'!D2023)),TRIM(MID('R.M Billets Reports'!D2023,SEARCH("-",'R.M Billets Reports'!D2023)+1,200)),"")))="SHREE RADHE SHAKTI SPONGE AND POWER PVT. LTD.","SHREE RADHE",IF(IF(ISNUMBER(SEARCH("Party Name:-",'R.M Billets Reports'!D2022)),TRIM('R.M Billets Reports'!F2022),IF(ISNUMBER(SEARCH("Party Name-",'R.M Billets Reports'!D2022)),TRIM(MID('R.M Billets Reports'!D2022,SEARCH("-",'R.M Billets Reports'!D2022)+1,200)),""))&lt;&gt;"",IF(ISNUMBER(SEARCH("Party Name:-",'R.M Billets Reports'!D2022)),TRIM('R.M Billets Reports'!F2022),IF(ISNUMBER(SEARCH("Party Name-",'R.M Billets Reports'!D2022)),TRIM(MID('R.M Billets Reports'!D2022,SEARCH("-",'R.M Billets Reports'!D2022)+1,200)),"")),IF(ISNUMBER(SEARCH("Party Name:-",'R.M Billets Reports'!D2023)),TRIM('R.M Billets Reports'!F2023),IF(ISNUMBER(SEARCH("Party Name-",'R.M Billets Reports'!D2023)),TRIM(MID('R.M Billets Reports'!D2023,SEARCH("-",'R.M Billets Reports'!D2023)+1,200)),"")))))),IF(ROW()=2,"",A2022))</f>
      </c>
      <c r="B2023">
        <f>IF(OR('R.M Billets Reports'!A2022="Date-",'R.M Billets Reports'!A2022="Date:-"),'R.M Billets Reports'!B2022,IF(ROW()=2,"",B2022))</f>
      </c>
      <c r="C2023">
        <f>IF('R.M Billets Reports'!A2022="V.No.",'R.M Billets Reports'!B2022,IF(ROW()=2,"",C2022))</f>
      </c>
      <c r="D2023">
        <f>IF('R.M Billets Reports'!A2022&lt;&gt;"",'R.M Billets Reports'!A2022,IF(ROW()=2,"",D2022))</f>
      </c>
      <c r="E2023">
        <f>IF('R.M Billets Reports'!B2022="","",TRIM('R.M Billets Reports'!B2022))</f>
      </c>
      <c r="F2023">
        <f>'R.M Billets Reports'!C2022</f>
      </c>
      <c r="G2023">
        <f>'R.M Billets Reports'!D2022</f>
      </c>
      <c r="H2023">
        <f>'R.M Billets Reports'!E2022</f>
      </c>
      <c r="I2023">
        <f>'R.M Billets Reports'!F2022</f>
      </c>
      <c r="J2023">
        <f>'R.M Billets Reports'!G2022</f>
      </c>
      <c r="K2023">
        <f>'R.M Billets Reports'!H2022</f>
      </c>
      <c r="L2023">
        <f>IF('R.M Billets Reports'!I2022="","",'R.M Billets Reports'!I2022)</f>
      </c>
      <c r="M2023">
        <f t="shared" si="62"/>
      </c>
      <c r="N2023">
        <f>IF('R.M Billets Reports'!J2022="","",'R.M Billets Reports'!J2022)</f>
      </c>
      <c r="O2023">
        <f t="shared" si="63"/>
      </c>
      <c r="P2023">
        <f>IF('R.M Billets Reports'!A2022="SIZE",'R.M Billets Reports'!B2022,P2022)</f>
      </c>
    </row>
    <row r="2024" spans="1:16" x14ac:dyDescent="0.25">
      <c r="A2024">
        <f>IF(OR('R.M Billets Reports'!A2023="Date-",'R.M Billets Reports'!A2023="Date:-"),IF(IF(IF(ISNUMBER(SEARCH("Party Name:-",'R.M Billets Reports'!D2023)),TRIM('R.M Billets Reports'!F2023),IF(ISNUMBER(SEARCH("Party Name-",'R.M Billets Reports'!D2023)),TRIM(MID('R.M Billets Reports'!D2023,SEARCH("-",'R.M Billets Reports'!D2023)+1,200)),""))&lt;&gt;"",IF(ISNUMBER(SEARCH("Party Name:-",'R.M Billets Reports'!D2023)),TRIM('R.M Billets Reports'!F2023),IF(ISNUMBER(SEARCH("Party Name-",'R.M Billets Reports'!D2023)),TRIM(MID('R.M Billets Reports'!D2023,SEARCH("-",'R.M Billets Reports'!D2023)+1,200)),"")),IF(ISNUMBER(SEARCH("Party Name:-",'R.M Billets Reports'!D2024)),TRIM('R.M Billets Reports'!F2024),IF(ISNUMBER(SEARCH("Party Name-",'R.M Billets Reports'!D2024)),TRIM(MID('R.M Billets Reports'!D2024,SEARCH("-",'R.M Billets Reports'!D2024)+1,200)),"")))="VRKP ISPAT PVT LTD","VRKP",IF(IF(IF(ISNUMBER(SEARCH("Party Name:-",'R.M Billets Reports'!D2023)),TRIM('R.M Billets Reports'!F2023),IF(ISNUMBER(SEARCH("Party Name-",'R.M Billets Reports'!D2023)),TRIM(MID('R.M Billets Reports'!D2023,SEARCH("-",'R.M Billets Reports'!D2023)+1,200)),""))&lt;&gt;"",IF(ISNUMBER(SEARCH("Party Name:-",'R.M Billets Reports'!D2023)),TRIM('R.M Billets Reports'!F2023),IF(ISNUMBER(SEARCH("Party Name-",'R.M Billets Reports'!D2023)),TRIM(MID('R.M Billets Reports'!D2023,SEARCH("-",'R.M Billets Reports'!D2023)+1,200)),"")),IF(ISNUMBER(SEARCH("Party Name:-",'R.M Billets Reports'!D2024)),TRIM('R.M Billets Reports'!F2024),IF(ISNUMBER(SEARCH("Party Name-",'R.M Billets Reports'!D2024)),TRIM(MID('R.M Billets Reports'!D2024,SEARCH("-",'R.M Billets Reports'!D2024)+1,200)),"")))="SHRI RADHE","SHREE RADHE",IF(IF(IF(ISNUMBER(SEARCH("Party Name:-",'R.M Billets Reports'!D2023)),TRIM('R.M Billets Reports'!F2023),IF(ISNUMBER(SEARCH("Party Name-",'R.M Billets Reports'!D2023)),TRIM(MID('R.M Billets Reports'!D2023,SEARCH("-",'R.M Billets Reports'!D2023)+1,200)),""))&lt;&gt;"",IF(ISNUMBER(SEARCH("Party Name:-",'R.M Billets Reports'!D2023)),TRIM('R.M Billets Reports'!F2023),IF(ISNUMBER(SEARCH("Party Name-",'R.M Billets Reports'!D2023)),TRIM(MID('R.M Billets Reports'!D2023,SEARCH("-",'R.M Billets Reports'!D2023)+1,200)),"")),IF(ISNUMBER(SEARCH("Party Name:-",'R.M Billets Reports'!D2024)),TRIM('R.M Billets Reports'!F2024),IF(ISNUMBER(SEARCH("Party Name-",'R.M Billets Reports'!D2024)),TRIM(MID('R.M Billets Reports'!D2024,SEARCH("-",'R.M Billets Reports'!D2024)+1,200)),"")))="SHREE RADHE SHAKTI SPONGE AND POWER PVT. LTD.","SHREE RADHE",IF(IF(ISNUMBER(SEARCH("Party Name:-",'R.M Billets Reports'!D2023)),TRIM('R.M Billets Reports'!F2023),IF(ISNUMBER(SEARCH("Party Name-",'R.M Billets Reports'!D2023)),TRIM(MID('R.M Billets Reports'!D2023,SEARCH("-",'R.M Billets Reports'!D2023)+1,200)),""))&lt;&gt;"",IF(ISNUMBER(SEARCH("Party Name:-",'R.M Billets Reports'!D2023)),TRIM('R.M Billets Reports'!F2023),IF(ISNUMBER(SEARCH("Party Name-",'R.M Billets Reports'!D2023)),TRIM(MID('R.M Billets Reports'!D2023,SEARCH("-",'R.M Billets Reports'!D2023)+1,200)),"")),IF(ISNUMBER(SEARCH("Party Name:-",'R.M Billets Reports'!D2024)),TRIM('R.M Billets Reports'!F2024),IF(ISNUMBER(SEARCH("Party Name-",'R.M Billets Reports'!D2024)),TRIM(MID('R.M Billets Reports'!D2024,SEARCH("-",'R.M Billets Reports'!D2024)+1,200)),"")))))),IF(ROW()=2,"",A2023))</f>
      </c>
      <c r="B2024">
        <f>IF(OR('R.M Billets Reports'!A2023="Date-",'R.M Billets Reports'!A2023="Date:-"),'R.M Billets Reports'!B2023,IF(ROW()=2,"",B2023))</f>
      </c>
      <c r="C2024">
        <f>IF('R.M Billets Reports'!A2023="V.No.",'R.M Billets Reports'!B2023,IF(ROW()=2,"",C2023))</f>
      </c>
      <c r="D2024">
        <f>IF('R.M Billets Reports'!A2023&lt;&gt;"",'R.M Billets Reports'!A2023,IF(ROW()=2,"",D2023))</f>
      </c>
      <c r="E2024">
        <f>IF('R.M Billets Reports'!B2023="","",TRIM('R.M Billets Reports'!B2023))</f>
      </c>
      <c r="F2024">
        <f>'R.M Billets Reports'!C2023</f>
      </c>
      <c r="G2024">
        <f>'R.M Billets Reports'!D2023</f>
      </c>
      <c r="H2024">
        <f>'R.M Billets Reports'!E2023</f>
      </c>
      <c r="I2024">
        <f>'R.M Billets Reports'!F2023</f>
      </c>
      <c r="J2024">
        <f>'R.M Billets Reports'!G2023</f>
      </c>
      <c r="K2024">
        <f>'R.M Billets Reports'!H2023</f>
      </c>
      <c r="L2024">
        <f>IF('R.M Billets Reports'!I2023="","",'R.M Billets Reports'!I2023)</f>
      </c>
      <c r="M2024">
        <f t="shared" si="62"/>
      </c>
      <c r="N2024">
        <f>IF('R.M Billets Reports'!J2023="","",'R.M Billets Reports'!J2023)</f>
      </c>
      <c r="O2024">
        <f t="shared" si="63"/>
      </c>
      <c r="P2024">
        <f>IF('R.M Billets Reports'!A2023="SIZE",'R.M Billets Reports'!B2023,P2023)</f>
      </c>
    </row>
    <row r="2025" spans="1:16" x14ac:dyDescent="0.25">
      <c r="A2025">
        <f>IF(OR('R.M Billets Reports'!A2024="Date-",'R.M Billets Reports'!A2024="Date:-"),IF(IF(IF(ISNUMBER(SEARCH("Party Name:-",'R.M Billets Reports'!D2024)),TRIM('R.M Billets Reports'!F2024),IF(ISNUMBER(SEARCH("Party Name-",'R.M Billets Reports'!D2024)),TRIM(MID('R.M Billets Reports'!D2024,SEARCH("-",'R.M Billets Reports'!D2024)+1,200)),""))&lt;&gt;"",IF(ISNUMBER(SEARCH("Party Name:-",'R.M Billets Reports'!D2024)),TRIM('R.M Billets Reports'!F2024),IF(ISNUMBER(SEARCH("Party Name-",'R.M Billets Reports'!D2024)),TRIM(MID('R.M Billets Reports'!D2024,SEARCH("-",'R.M Billets Reports'!D2024)+1,200)),"")),IF(ISNUMBER(SEARCH("Party Name:-",'R.M Billets Reports'!D2025)),TRIM('R.M Billets Reports'!F2025),IF(ISNUMBER(SEARCH("Party Name-",'R.M Billets Reports'!D2025)),TRIM(MID('R.M Billets Reports'!D2025,SEARCH("-",'R.M Billets Reports'!D2025)+1,200)),"")))="VRKP ISPAT PVT LTD","VRKP",IF(IF(IF(ISNUMBER(SEARCH("Party Name:-",'R.M Billets Reports'!D2024)),TRIM('R.M Billets Reports'!F2024),IF(ISNUMBER(SEARCH("Party Name-",'R.M Billets Reports'!D2024)),TRIM(MID('R.M Billets Reports'!D2024,SEARCH("-",'R.M Billets Reports'!D2024)+1,200)),""))&lt;&gt;"",IF(ISNUMBER(SEARCH("Party Name:-",'R.M Billets Reports'!D2024)),TRIM('R.M Billets Reports'!F2024),IF(ISNUMBER(SEARCH("Party Name-",'R.M Billets Reports'!D2024)),TRIM(MID('R.M Billets Reports'!D2024,SEARCH("-",'R.M Billets Reports'!D2024)+1,200)),"")),IF(ISNUMBER(SEARCH("Party Name:-",'R.M Billets Reports'!D2025)),TRIM('R.M Billets Reports'!F2025),IF(ISNUMBER(SEARCH("Party Name-",'R.M Billets Reports'!D2025)),TRIM(MID('R.M Billets Reports'!D2025,SEARCH("-",'R.M Billets Reports'!D2025)+1,200)),"")))="SHRI RADHE","SHREE RADHE",IF(IF(IF(ISNUMBER(SEARCH("Party Name:-",'R.M Billets Reports'!D2024)),TRIM('R.M Billets Reports'!F2024),IF(ISNUMBER(SEARCH("Party Name-",'R.M Billets Reports'!D2024)),TRIM(MID('R.M Billets Reports'!D2024,SEARCH("-",'R.M Billets Reports'!D2024)+1,200)),""))&lt;&gt;"",IF(ISNUMBER(SEARCH("Party Name:-",'R.M Billets Reports'!D2024)),TRIM('R.M Billets Reports'!F2024),IF(ISNUMBER(SEARCH("Party Name-",'R.M Billets Reports'!D2024)),TRIM(MID('R.M Billets Reports'!D2024,SEARCH("-",'R.M Billets Reports'!D2024)+1,200)),"")),IF(ISNUMBER(SEARCH("Party Name:-",'R.M Billets Reports'!D2025)),TRIM('R.M Billets Reports'!F2025),IF(ISNUMBER(SEARCH("Party Name-",'R.M Billets Reports'!D2025)),TRIM(MID('R.M Billets Reports'!D2025,SEARCH("-",'R.M Billets Reports'!D2025)+1,200)),"")))="SHREE RADHE SHAKTI SPONGE AND POWER PVT. LTD.","SHREE RADHE",IF(IF(ISNUMBER(SEARCH("Party Name:-",'R.M Billets Reports'!D2024)),TRIM('R.M Billets Reports'!F2024),IF(ISNUMBER(SEARCH("Party Name-",'R.M Billets Reports'!D2024)),TRIM(MID('R.M Billets Reports'!D2024,SEARCH("-",'R.M Billets Reports'!D2024)+1,200)),""))&lt;&gt;"",IF(ISNUMBER(SEARCH("Party Name:-",'R.M Billets Reports'!D2024)),TRIM('R.M Billets Reports'!F2024),IF(ISNUMBER(SEARCH("Party Name-",'R.M Billets Reports'!D2024)),TRIM(MID('R.M Billets Reports'!D2024,SEARCH("-",'R.M Billets Reports'!D2024)+1,200)),"")),IF(ISNUMBER(SEARCH("Party Name:-",'R.M Billets Reports'!D2025)),TRIM('R.M Billets Reports'!F2025),IF(ISNUMBER(SEARCH("Party Name-",'R.M Billets Reports'!D2025)),TRIM(MID('R.M Billets Reports'!D2025,SEARCH("-",'R.M Billets Reports'!D2025)+1,200)),"")))))),IF(ROW()=2,"",A2024))</f>
      </c>
      <c r="B2025">
        <f>IF(OR('R.M Billets Reports'!A2024="Date-",'R.M Billets Reports'!A2024="Date:-"),'R.M Billets Reports'!B2024,IF(ROW()=2,"",B2024))</f>
      </c>
      <c r="C2025">
        <f>IF('R.M Billets Reports'!A2024="V.No.",'R.M Billets Reports'!B2024,IF(ROW()=2,"",C2024))</f>
      </c>
      <c r="D2025">
        <f>IF('R.M Billets Reports'!A2024&lt;&gt;"",'R.M Billets Reports'!A2024,IF(ROW()=2,"",D2024))</f>
      </c>
      <c r="E2025">
        <f>IF('R.M Billets Reports'!B2024="","",TRIM('R.M Billets Reports'!B2024))</f>
      </c>
      <c r="F2025">
        <f>'R.M Billets Reports'!C2024</f>
      </c>
      <c r="G2025">
        <f>'R.M Billets Reports'!D2024</f>
      </c>
      <c r="H2025">
        <f>'R.M Billets Reports'!E2024</f>
      </c>
      <c r="I2025">
        <f>'R.M Billets Reports'!F2024</f>
      </c>
      <c r="J2025">
        <f>'R.M Billets Reports'!G2024</f>
      </c>
      <c r="K2025">
        <f>'R.M Billets Reports'!H2024</f>
      </c>
      <c r="L2025">
        <f>IF('R.M Billets Reports'!I2024="","",'R.M Billets Reports'!I2024)</f>
      </c>
      <c r="M2025">
        <f t="shared" si="62"/>
      </c>
      <c r="N2025">
        <f>IF('R.M Billets Reports'!J2024="","",'R.M Billets Reports'!J2024)</f>
      </c>
      <c r="O2025">
        <f t="shared" si="63"/>
      </c>
      <c r="P2025">
        <f>IF('R.M Billets Reports'!A2024="SIZE",'R.M Billets Reports'!B2024,P2024)</f>
      </c>
    </row>
    <row r="2026" spans="1:16" x14ac:dyDescent="0.25">
      <c r="A2026">
        <f>IF(OR('R.M Billets Reports'!A2025="Date-",'R.M Billets Reports'!A2025="Date:-"),IF(IF(IF(ISNUMBER(SEARCH("Party Name:-",'R.M Billets Reports'!D2025)),TRIM('R.M Billets Reports'!F2025),IF(ISNUMBER(SEARCH("Party Name-",'R.M Billets Reports'!D2025)),TRIM(MID('R.M Billets Reports'!D2025,SEARCH("-",'R.M Billets Reports'!D2025)+1,200)),""))&lt;&gt;"",IF(ISNUMBER(SEARCH("Party Name:-",'R.M Billets Reports'!D2025)),TRIM('R.M Billets Reports'!F2025),IF(ISNUMBER(SEARCH("Party Name-",'R.M Billets Reports'!D2025)),TRIM(MID('R.M Billets Reports'!D2025,SEARCH("-",'R.M Billets Reports'!D2025)+1,200)),"")),IF(ISNUMBER(SEARCH("Party Name:-",'R.M Billets Reports'!D2026)),TRIM('R.M Billets Reports'!F2026),IF(ISNUMBER(SEARCH("Party Name-",'R.M Billets Reports'!D2026)),TRIM(MID('R.M Billets Reports'!D2026,SEARCH("-",'R.M Billets Reports'!D2026)+1,200)),"")))="VRKP ISPAT PVT LTD","VRKP",IF(IF(IF(ISNUMBER(SEARCH("Party Name:-",'R.M Billets Reports'!D2025)),TRIM('R.M Billets Reports'!F2025),IF(ISNUMBER(SEARCH("Party Name-",'R.M Billets Reports'!D2025)),TRIM(MID('R.M Billets Reports'!D2025,SEARCH("-",'R.M Billets Reports'!D2025)+1,200)),""))&lt;&gt;"",IF(ISNUMBER(SEARCH("Party Name:-",'R.M Billets Reports'!D2025)),TRIM('R.M Billets Reports'!F2025),IF(ISNUMBER(SEARCH("Party Name-",'R.M Billets Reports'!D2025)),TRIM(MID('R.M Billets Reports'!D2025,SEARCH("-",'R.M Billets Reports'!D2025)+1,200)),"")),IF(ISNUMBER(SEARCH("Party Name:-",'R.M Billets Reports'!D2026)),TRIM('R.M Billets Reports'!F2026),IF(ISNUMBER(SEARCH("Party Name-",'R.M Billets Reports'!D2026)),TRIM(MID('R.M Billets Reports'!D2026,SEARCH("-",'R.M Billets Reports'!D2026)+1,200)),"")))="SHRI RADHE","SHREE RADHE",IF(IF(IF(ISNUMBER(SEARCH("Party Name:-",'R.M Billets Reports'!D2025)),TRIM('R.M Billets Reports'!F2025),IF(ISNUMBER(SEARCH("Party Name-",'R.M Billets Reports'!D2025)),TRIM(MID('R.M Billets Reports'!D2025,SEARCH("-",'R.M Billets Reports'!D2025)+1,200)),""))&lt;&gt;"",IF(ISNUMBER(SEARCH("Party Name:-",'R.M Billets Reports'!D2025)),TRIM('R.M Billets Reports'!F2025),IF(ISNUMBER(SEARCH("Party Name-",'R.M Billets Reports'!D2025)),TRIM(MID('R.M Billets Reports'!D2025,SEARCH("-",'R.M Billets Reports'!D2025)+1,200)),"")),IF(ISNUMBER(SEARCH("Party Name:-",'R.M Billets Reports'!D2026)),TRIM('R.M Billets Reports'!F2026),IF(ISNUMBER(SEARCH("Party Name-",'R.M Billets Reports'!D2026)),TRIM(MID('R.M Billets Reports'!D2026,SEARCH("-",'R.M Billets Reports'!D2026)+1,200)),"")))="SHREE RADHE SHAKTI SPONGE AND POWER PVT. LTD.","SHREE RADHE",IF(IF(ISNUMBER(SEARCH("Party Name:-",'R.M Billets Reports'!D2025)),TRIM('R.M Billets Reports'!F2025),IF(ISNUMBER(SEARCH("Party Name-",'R.M Billets Reports'!D2025)),TRIM(MID('R.M Billets Reports'!D2025,SEARCH("-",'R.M Billets Reports'!D2025)+1,200)),""))&lt;&gt;"",IF(ISNUMBER(SEARCH("Party Name:-",'R.M Billets Reports'!D2025)),TRIM('R.M Billets Reports'!F2025),IF(ISNUMBER(SEARCH("Party Name-",'R.M Billets Reports'!D2025)),TRIM(MID('R.M Billets Reports'!D2025,SEARCH("-",'R.M Billets Reports'!D2025)+1,200)),"")),IF(ISNUMBER(SEARCH("Party Name:-",'R.M Billets Reports'!D2026)),TRIM('R.M Billets Reports'!F2026),IF(ISNUMBER(SEARCH("Party Name-",'R.M Billets Reports'!D2026)),TRIM(MID('R.M Billets Reports'!D2026,SEARCH("-",'R.M Billets Reports'!D2026)+1,200)),"")))))),IF(ROW()=2,"",A2025))</f>
      </c>
      <c r="B2026">
        <f>IF(OR('R.M Billets Reports'!A2025="Date-",'R.M Billets Reports'!A2025="Date:-"),'R.M Billets Reports'!B2025,IF(ROW()=2,"",B2025))</f>
      </c>
      <c r="C2026">
        <f>IF('R.M Billets Reports'!A2025="V.No.",'R.M Billets Reports'!B2025,IF(ROW()=2,"",C2025))</f>
      </c>
      <c r="D2026">
        <f>IF('R.M Billets Reports'!A2025&lt;&gt;"",'R.M Billets Reports'!A2025,IF(ROW()=2,"",D2025))</f>
      </c>
      <c r="E2026">
        <f>IF('R.M Billets Reports'!B2025="","",TRIM('R.M Billets Reports'!B2025))</f>
      </c>
      <c r="F2026">
        <f>'R.M Billets Reports'!C2025</f>
      </c>
      <c r="G2026">
        <f>'R.M Billets Reports'!D2025</f>
      </c>
      <c r="H2026">
        <f>'R.M Billets Reports'!E2025</f>
      </c>
      <c r="I2026">
        <f>'R.M Billets Reports'!F2025</f>
      </c>
      <c r="J2026">
        <f>'R.M Billets Reports'!G2025</f>
      </c>
      <c r="K2026">
        <f>'R.M Billets Reports'!H2025</f>
      </c>
      <c r="L2026">
        <f>IF('R.M Billets Reports'!I2025="","",'R.M Billets Reports'!I2025)</f>
      </c>
      <c r="M2026">
        <f t="shared" si="62"/>
      </c>
      <c r="N2026">
        <f>IF('R.M Billets Reports'!J2025="","",'R.M Billets Reports'!J2025)</f>
      </c>
      <c r="O2026">
        <f t="shared" si="63"/>
      </c>
      <c r="P2026">
        <f>IF('R.M Billets Reports'!A2025="SIZE",'R.M Billets Reports'!B2025,P2025)</f>
      </c>
    </row>
    <row r="2027" spans="1:16" x14ac:dyDescent="0.25">
      <c r="A2027">
        <f>IF(OR('R.M Billets Reports'!A2026="Date-",'R.M Billets Reports'!A2026="Date:-"),IF(IF(IF(ISNUMBER(SEARCH("Party Name:-",'R.M Billets Reports'!D2026)),TRIM('R.M Billets Reports'!F2026),IF(ISNUMBER(SEARCH("Party Name-",'R.M Billets Reports'!D2026)),TRIM(MID('R.M Billets Reports'!D2026,SEARCH("-",'R.M Billets Reports'!D2026)+1,200)),""))&lt;&gt;"",IF(ISNUMBER(SEARCH("Party Name:-",'R.M Billets Reports'!D2026)),TRIM('R.M Billets Reports'!F2026),IF(ISNUMBER(SEARCH("Party Name-",'R.M Billets Reports'!D2026)),TRIM(MID('R.M Billets Reports'!D2026,SEARCH("-",'R.M Billets Reports'!D2026)+1,200)),"")),IF(ISNUMBER(SEARCH("Party Name:-",'R.M Billets Reports'!D2027)),TRIM('R.M Billets Reports'!F2027),IF(ISNUMBER(SEARCH("Party Name-",'R.M Billets Reports'!D2027)),TRIM(MID('R.M Billets Reports'!D2027,SEARCH("-",'R.M Billets Reports'!D2027)+1,200)),"")))="VRKP ISPAT PVT LTD","VRKP",IF(IF(IF(ISNUMBER(SEARCH("Party Name:-",'R.M Billets Reports'!D2026)),TRIM('R.M Billets Reports'!F2026),IF(ISNUMBER(SEARCH("Party Name-",'R.M Billets Reports'!D2026)),TRIM(MID('R.M Billets Reports'!D2026,SEARCH("-",'R.M Billets Reports'!D2026)+1,200)),""))&lt;&gt;"",IF(ISNUMBER(SEARCH("Party Name:-",'R.M Billets Reports'!D2026)),TRIM('R.M Billets Reports'!F2026),IF(ISNUMBER(SEARCH("Party Name-",'R.M Billets Reports'!D2026)),TRIM(MID('R.M Billets Reports'!D2026,SEARCH("-",'R.M Billets Reports'!D2026)+1,200)),"")),IF(ISNUMBER(SEARCH("Party Name:-",'R.M Billets Reports'!D2027)),TRIM('R.M Billets Reports'!F2027),IF(ISNUMBER(SEARCH("Party Name-",'R.M Billets Reports'!D2027)),TRIM(MID('R.M Billets Reports'!D2027,SEARCH("-",'R.M Billets Reports'!D2027)+1,200)),"")))="SHRI RADHE","SHREE RADHE",IF(IF(IF(ISNUMBER(SEARCH("Party Name:-",'R.M Billets Reports'!D2026)),TRIM('R.M Billets Reports'!F2026),IF(ISNUMBER(SEARCH("Party Name-",'R.M Billets Reports'!D2026)),TRIM(MID('R.M Billets Reports'!D2026,SEARCH("-",'R.M Billets Reports'!D2026)+1,200)),""))&lt;&gt;"",IF(ISNUMBER(SEARCH("Party Name:-",'R.M Billets Reports'!D2026)),TRIM('R.M Billets Reports'!F2026),IF(ISNUMBER(SEARCH("Party Name-",'R.M Billets Reports'!D2026)),TRIM(MID('R.M Billets Reports'!D2026,SEARCH("-",'R.M Billets Reports'!D2026)+1,200)),"")),IF(ISNUMBER(SEARCH("Party Name:-",'R.M Billets Reports'!D2027)),TRIM('R.M Billets Reports'!F2027),IF(ISNUMBER(SEARCH("Party Name-",'R.M Billets Reports'!D2027)),TRIM(MID('R.M Billets Reports'!D2027,SEARCH("-",'R.M Billets Reports'!D2027)+1,200)),"")))="SHREE RADHE SHAKTI SPONGE AND POWER PVT. LTD.","SHREE RADHE",IF(IF(ISNUMBER(SEARCH("Party Name:-",'R.M Billets Reports'!D2026)),TRIM('R.M Billets Reports'!F2026),IF(ISNUMBER(SEARCH("Party Name-",'R.M Billets Reports'!D2026)),TRIM(MID('R.M Billets Reports'!D2026,SEARCH("-",'R.M Billets Reports'!D2026)+1,200)),""))&lt;&gt;"",IF(ISNUMBER(SEARCH("Party Name:-",'R.M Billets Reports'!D2026)),TRIM('R.M Billets Reports'!F2026),IF(ISNUMBER(SEARCH("Party Name-",'R.M Billets Reports'!D2026)),TRIM(MID('R.M Billets Reports'!D2026,SEARCH("-",'R.M Billets Reports'!D2026)+1,200)),"")),IF(ISNUMBER(SEARCH("Party Name:-",'R.M Billets Reports'!D2027)),TRIM('R.M Billets Reports'!F2027),IF(ISNUMBER(SEARCH("Party Name-",'R.M Billets Reports'!D2027)),TRIM(MID('R.M Billets Reports'!D2027,SEARCH("-",'R.M Billets Reports'!D2027)+1,200)),"")))))),IF(ROW()=2,"",A2026))</f>
      </c>
      <c r="B2027">
        <f>IF(OR('R.M Billets Reports'!A2026="Date-",'R.M Billets Reports'!A2026="Date:-"),'R.M Billets Reports'!B2026,IF(ROW()=2,"",B2026))</f>
      </c>
      <c r="C2027">
        <f>IF('R.M Billets Reports'!A2026="V.No.",'R.M Billets Reports'!B2026,IF(ROW()=2,"",C2026))</f>
      </c>
      <c r="D2027">
        <f>IF('R.M Billets Reports'!A2026&lt;&gt;"",'R.M Billets Reports'!A2026,IF(ROW()=2,"",D2026))</f>
      </c>
      <c r="E2027">
        <f>IF('R.M Billets Reports'!B2026="","",TRIM('R.M Billets Reports'!B2026))</f>
      </c>
      <c r="F2027">
        <f>'R.M Billets Reports'!C2026</f>
      </c>
      <c r="G2027">
        <f>'R.M Billets Reports'!D2026</f>
      </c>
      <c r="H2027">
        <f>'R.M Billets Reports'!E2026</f>
      </c>
      <c r="I2027">
        <f>'R.M Billets Reports'!F2026</f>
      </c>
      <c r="J2027">
        <f>'R.M Billets Reports'!G2026</f>
      </c>
      <c r="K2027">
        <f>'R.M Billets Reports'!H2026</f>
      </c>
      <c r="L2027">
        <f>IF('R.M Billets Reports'!I2026="","",'R.M Billets Reports'!I2026)</f>
      </c>
      <c r="M2027">
        <f t="shared" si="62"/>
      </c>
      <c r="N2027">
        <f>IF('R.M Billets Reports'!J2026="","",'R.M Billets Reports'!J2026)</f>
      </c>
      <c r="O2027">
        <f t="shared" si="63"/>
      </c>
      <c r="P2027">
        <f>IF('R.M Billets Reports'!A2026="SIZE",'R.M Billets Reports'!B2026,P2026)</f>
      </c>
    </row>
    <row r="2028" spans="1:16" x14ac:dyDescent="0.25">
      <c r="A2028">
        <f>IF(OR('R.M Billets Reports'!A2027="Date-",'R.M Billets Reports'!A2027="Date:-"),IF(IF(IF(ISNUMBER(SEARCH("Party Name:-",'R.M Billets Reports'!D2027)),TRIM('R.M Billets Reports'!F2027),IF(ISNUMBER(SEARCH("Party Name-",'R.M Billets Reports'!D2027)),TRIM(MID('R.M Billets Reports'!D2027,SEARCH("-",'R.M Billets Reports'!D2027)+1,200)),""))&lt;&gt;"",IF(ISNUMBER(SEARCH("Party Name:-",'R.M Billets Reports'!D2027)),TRIM('R.M Billets Reports'!F2027),IF(ISNUMBER(SEARCH("Party Name-",'R.M Billets Reports'!D2027)),TRIM(MID('R.M Billets Reports'!D2027,SEARCH("-",'R.M Billets Reports'!D2027)+1,200)),"")),IF(ISNUMBER(SEARCH("Party Name:-",'R.M Billets Reports'!D2028)),TRIM('R.M Billets Reports'!F2028),IF(ISNUMBER(SEARCH("Party Name-",'R.M Billets Reports'!D2028)),TRIM(MID('R.M Billets Reports'!D2028,SEARCH("-",'R.M Billets Reports'!D2028)+1,200)),"")))="VRKP ISPAT PVT LTD","VRKP",IF(IF(IF(ISNUMBER(SEARCH("Party Name:-",'R.M Billets Reports'!D2027)),TRIM('R.M Billets Reports'!F2027),IF(ISNUMBER(SEARCH("Party Name-",'R.M Billets Reports'!D2027)),TRIM(MID('R.M Billets Reports'!D2027,SEARCH("-",'R.M Billets Reports'!D2027)+1,200)),""))&lt;&gt;"",IF(ISNUMBER(SEARCH("Party Name:-",'R.M Billets Reports'!D2027)),TRIM('R.M Billets Reports'!F2027),IF(ISNUMBER(SEARCH("Party Name-",'R.M Billets Reports'!D2027)),TRIM(MID('R.M Billets Reports'!D2027,SEARCH("-",'R.M Billets Reports'!D2027)+1,200)),"")),IF(ISNUMBER(SEARCH("Party Name:-",'R.M Billets Reports'!D2028)),TRIM('R.M Billets Reports'!F2028),IF(ISNUMBER(SEARCH("Party Name-",'R.M Billets Reports'!D2028)),TRIM(MID('R.M Billets Reports'!D2028,SEARCH("-",'R.M Billets Reports'!D2028)+1,200)),"")))="SHRI RADHE","SHREE RADHE",IF(IF(IF(ISNUMBER(SEARCH("Party Name:-",'R.M Billets Reports'!D2027)),TRIM('R.M Billets Reports'!F2027),IF(ISNUMBER(SEARCH("Party Name-",'R.M Billets Reports'!D2027)),TRIM(MID('R.M Billets Reports'!D2027,SEARCH("-",'R.M Billets Reports'!D2027)+1,200)),""))&lt;&gt;"",IF(ISNUMBER(SEARCH("Party Name:-",'R.M Billets Reports'!D2027)),TRIM('R.M Billets Reports'!F2027),IF(ISNUMBER(SEARCH("Party Name-",'R.M Billets Reports'!D2027)),TRIM(MID('R.M Billets Reports'!D2027,SEARCH("-",'R.M Billets Reports'!D2027)+1,200)),"")),IF(ISNUMBER(SEARCH("Party Name:-",'R.M Billets Reports'!D2028)),TRIM('R.M Billets Reports'!F2028),IF(ISNUMBER(SEARCH("Party Name-",'R.M Billets Reports'!D2028)),TRIM(MID('R.M Billets Reports'!D2028,SEARCH("-",'R.M Billets Reports'!D2028)+1,200)),"")))="SHREE RADHE SHAKTI SPONGE AND POWER PVT. LTD.","SHREE RADHE",IF(IF(ISNUMBER(SEARCH("Party Name:-",'R.M Billets Reports'!D2027)),TRIM('R.M Billets Reports'!F2027),IF(ISNUMBER(SEARCH("Party Name-",'R.M Billets Reports'!D2027)),TRIM(MID('R.M Billets Reports'!D2027,SEARCH("-",'R.M Billets Reports'!D2027)+1,200)),""))&lt;&gt;"",IF(ISNUMBER(SEARCH("Party Name:-",'R.M Billets Reports'!D2027)),TRIM('R.M Billets Reports'!F2027),IF(ISNUMBER(SEARCH("Party Name-",'R.M Billets Reports'!D2027)),TRIM(MID('R.M Billets Reports'!D2027,SEARCH("-",'R.M Billets Reports'!D2027)+1,200)),"")),IF(ISNUMBER(SEARCH("Party Name:-",'R.M Billets Reports'!D2028)),TRIM('R.M Billets Reports'!F2028),IF(ISNUMBER(SEARCH("Party Name-",'R.M Billets Reports'!D2028)),TRIM(MID('R.M Billets Reports'!D2028,SEARCH("-",'R.M Billets Reports'!D2028)+1,200)),"")))))),IF(ROW()=2,"",A2027))</f>
      </c>
      <c r="B2028">
        <f>IF(OR('R.M Billets Reports'!A2027="Date-",'R.M Billets Reports'!A2027="Date:-"),'R.M Billets Reports'!B2027,IF(ROW()=2,"",B2027))</f>
      </c>
      <c r="C2028">
        <f>IF('R.M Billets Reports'!A2027="V.No.",'R.M Billets Reports'!B2027,IF(ROW()=2,"",C2027))</f>
      </c>
      <c r="D2028">
        <f>IF('R.M Billets Reports'!A2027&lt;&gt;"",'R.M Billets Reports'!A2027,IF(ROW()=2,"",D2027))</f>
      </c>
      <c r="E2028">
        <f>IF('R.M Billets Reports'!B2027="","",TRIM('R.M Billets Reports'!B2027))</f>
      </c>
      <c r="F2028">
        <f>'R.M Billets Reports'!C2027</f>
      </c>
      <c r="G2028">
        <f>'R.M Billets Reports'!D2027</f>
      </c>
      <c r="H2028">
        <f>'R.M Billets Reports'!E2027</f>
      </c>
      <c r="I2028">
        <f>'R.M Billets Reports'!F2027</f>
      </c>
      <c r="J2028">
        <f>'R.M Billets Reports'!G2027</f>
      </c>
      <c r="K2028">
        <f>'R.M Billets Reports'!H2027</f>
      </c>
      <c r="L2028">
        <f>IF('R.M Billets Reports'!I2027="","",'R.M Billets Reports'!I2027)</f>
      </c>
      <c r="M2028">
        <f t="shared" si="62"/>
      </c>
      <c r="N2028">
        <f>IF('R.M Billets Reports'!J2027="","",'R.M Billets Reports'!J2027)</f>
      </c>
      <c r="O2028">
        <f t="shared" si="63"/>
      </c>
      <c r="P2028">
        <f>IF('R.M Billets Reports'!A2027="SIZE",'R.M Billets Reports'!B2027,P2027)</f>
      </c>
    </row>
    <row r="2029" spans="1:16" x14ac:dyDescent="0.25">
      <c r="A2029">
        <f>IF(OR('R.M Billets Reports'!A2028="Date-",'R.M Billets Reports'!A2028="Date:-"),IF(IF(IF(ISNUMBER(SEARCH("Party Name:-",'R.M Billets Reports'!D2028)),TRIM('R.M Billets Reports'!F2028),IF(ISNUMBER(SEARCH("Party Name-",'R.M Billets Reports'!D2028)),TRIM(MID('R.M Billets Reports'!D2028,SEARCH("-",'R.M Billets Reports'!D2028)+1,200)),""))&lt;&gt;"",IF(ISNUMBER(SEARCH("Party Name:-",'R.M Billets Reports'!D2028)),TRIM('R.M Billets Reports'!F2028),IF(ISNUMBER(SEARCH("Party Name-",'R.M Billets Reports'!D2028)),TRIM(MID('R.M Billets Reports'!D2028,SEARCH("-",'R.M Billets Reports'!D2028)+1,200)),"")),IF(ISNUMBER(SEARCH("Party Name:-",'R.M Billets Reports'!D2029)),TRIM('R.M Billets Reports'!F2029),IF(ISNUMBER(SEARCH("Party Name-",'R.M Billets Reports'!D2029)),TRIM(MID('R.M Billets Reports'!D2029,SEARCH("-",'R.M Billets Reports'!D2029)+1,200)),"")))="VRKP ISPAT PVT LTD","VRKP",IF(IF(IF(ISNUMBER(SEARCH("Party Name:-",'R.M Billets Reports'!D2028)),TRIM('R.M Billets Reports'!F2028),IF(ISNUMBER(SEARCH("Party Name-",'R.M Billets Reports'!D2028)),TRIM(MID('R.M Billets Reports'!D2028,SEARCH("-",'R.M Billets Reports'!D2028)+1,200)),""))&lt;&gt;"",IF(ISNUMBER(SEARCH("Party Name:-",'R.M Billets Reports'!D2028)),TRIM('R.M Billets Reports'!F2028),IF(ISNUMBER(SEARCH("Party Name-",'R.M Billets Reports'!D2028)),TRIM(MID('R.M Billets Reports'!D2028,SEARCH("-",'R.M Billets Reports'!D2028)+1,200)),"")),IF(ISNUMBER(SEARCH("Party Name:-",'R.M Billets Reports'!D2029)),TRIM('R.M Billets Reports'!F2029),IF(ISNUMBER(SEARCH("Party Name-",'R.M Billets Reports'!D2029)),TRIM(MID('R.M Billets Reports'!D2029,SEARCH("-",'R.M Billets Reports'!D2029)+1,200)),"")))="SHRI RADHE","SHREE RADHE",IF(IF(IF(ISNUMBER(SEARCH("Party Name:-",'R.M Billets Reports'!D2028)),TRIM('R.M Billets Reports'!F2028),IF(ISNUMBER(SEARCH("Party Name-",'R.M Billets Reports'!D2028)),TRIM(MID('R.M Billets Reports'!D2028,SEARCH("-",'R.M Billets Reports'!D2028)+1,200)),""))&lt;&gt;"",IF(ISNUMBER(SEARCH("Party Name:-",'R.M Billets Reports'!D2028)),TRIM('R.M Billets Reports'!F2028),IF(ISNUMBER(SEARCH("Party Name-",'R.M Billets Reports'!D2028)),TRIM(MID('R.M Billets Reports'!D2028,SEARCH("-",'R.M Billets Reports'!D2028)+1,200)),"")),IF(ISNUMBER(SEARCH("Party Name:-",'R.M Billets Reports'!D2029)),TRIM('R.M Billets Reports'!F2029),IF(ISNUMBER(SEARCH("Party Name-",'R.M Billets Reports'!D2029)),TRIM(MID('R.M Billets Reports'!D2029,SEARCH("-",'R.M Billets Reports'!D2029)+1,200)),"")))="SHREE RADHE SHAKTI SPONGE AND POWER PVT. LTD.","SHREE RADHE",IF(IF(ISNUMBER(SEARCH("Party Name:-",'R.M Billets Reports'!D2028)),TRIM('R.M Billets Reports'!F2028),IF(ISNUMBER(SEARCH("Party Name-",'R.M Billets Reports'!D2028)),TRIM(MID('R.M Billets Reports'!D2028,SEARCH("-",'R.M Billets Reports'!D2028)+1,200)),""))&lt;&gt;"",IF(ISNUMBER(SEARCH("Party Name:-",'R.M Billets Reports'!D2028)),TRIM('R.M Billets Reports'!F2028),IF(ISNUMBER(SEARCH("Party Name-",'R.M Billets Reports'!D2028)),TRIM(MID('R.M Billets Reports'!D2028,SEARCH("-",'R.M Billets Reports'!D2028)+1,200)),"")),IF(ISNUMBER(SEARCH("Party Name:-",'R.M Billets Reports'!D2029)),TRIM('R.M Billets Reports'!F2029),IF(ISNUMBER(SEARCH("Party Name-",'R.M Billets Reports'!D2029)),TRIM(MID('R.M Billets Reports'!D2029,SEARCH("-",'R.M Billets Reports'!D2029)+1,200)),"")))))),IF(ROW()=2,"",A2028))</f>
      </c>
      <c r="B2029">
        <f>IF(OR('R.M Billets Reports'!A2028="Date-",'R.M Billets Reports'!A2028="Date:-"),'R.M Billets Reports'!B2028,IF(ROW()=2,"",B2028))</f>
      </c>
      <c r="C2029">
        <f>IF('R.M Billets Reports'!A2028="V.No.",'R.M Billets Reports'!B2028,IF(ROW()=2,"",C2028))</f>
      </c>
      <c r="D2029">
        <f>IF('R.M Billets Reports'!A2028&lt;&gt;"",'R.M Billets Reports'!A2028,IF(ROW()=2,"",D2028))</f>
      </c>
      <c r="E2029">
        <f>IF('R.M Billets Reports'!B2028="","",TRIM('R.M Billets Reports'!B2028))</f>
      </c>
      <c r="F2029">
        <f>'R.M Billets Reports'!C2028</f>
      </c>
      <c r="G2029">
        <f>'R.M Billets Reports'!D2028</f>
      </c>
      <c r="H2029">
        <f>'R.M Billets Reports'!E2028</f>
      </c>
      <c r="I2029">
        <f>'R.M Billets Reports'!F2028</f>
      </c>
      <c r="J2029">
        <f>'R.M Billets Reports'!G2028</f>
      </c>
      <c r="K2029">
        <f>'R.M Billets Reports'!H2028</f>
      </c>
      <c r="L2029">
        <f>IF('R.M Billets Reports'!I2028="","",'R.M Billets Reports'!I2028)</f>
      </c>
      <c r="M2029">
        <f t="shared" si="62"/>
      </c>
      <c r="N2029">
        <f>IF('R.M Billets Reports'!J2028="","",'R.M Billets Reports'!J2028)</f>
      </c>
      <c r="O2029">
        <f t="shared" si="63"/>
      </c>
      <c r="P2029">
        <f>IF('R.M Billets Reports'!A2028="SIZE",'R.M Billets Reports'!B2028,P2028)</f>
      </c>
    </row>
    <row r="2030" spans="1:16" x14ac:dyDescent="0.25">
      <c r="A2030">
        <f>IF(OR('R.M Billets Reports'!A2029="Date-",'R.M Billets Reports'!A2029="Date:-"),IF(IF(IF(ISNUMBER(SEARCH("Party Name:-",'R.M Billets Reports'!D2029)),TRIM('R.M Billets Reports'!F2029),IF(ISNUMBER(SEARCH("Party Name-",'R.M Billets Reports'!D2029)),TRIM(MID('R.M Billets Reports'!D2029,SEARCH("-",'R.M Billets Reports'!D2029)+1,200)),""))&lt;&gt;"",IF(ISNUMBER(SEARCH("Party Name:-",'R.M Billets Reports'!D2029)),TRIM('R.M Billets Reports'!F2029),IF(ISNUMBER(SEARCH("Party Name-",'R.M Billets Reports'!D2029)),TRIM(MID('R.M Billets Reports'!D2029,SEARCH("-",'R.M Billets Reports'!D2029)+1,200)),"")),IF(ISNUMBER(SEARCH("Party Name:-",'R.M Billets Reports'!D2030)),TRIM('R.M Billets Reports'!F2030),IF(ISNUMBER(SEARCH("Party Name-",'R.M Billets Reports'!D2030)),TRIM(MID('R.M Billets Reports'!D2030,SEARCH("-",'R.M Billets Reports'!D2030)+1,200)),"")))="VRKP ISPAT PVT LTD","VRKP",IF(IF(IF(ISNUMBER(SEARCH("Party Name:-",'R.M Billets Reports'!D2029)),TRIM('R.M Billets Reports'!F2029),IF(ISNUMBER(SEARCH("Party Name-",'R.M Billets Reports'!D2029)),TRIM(MID('R.M Billets Reports'!D2029,SEARCH("-",'R.M Billets Reports'!D2029)+1,200)),""))&lt;&gt;"",IF(ISNUMBER(SEARCH("Party Name:-",'R.M Billets Reports'!D2029)),TRIM('R.M Billets Reports'!F2029),IF(ISNUMBER(SEARCH("Party Name-",'R.M Billets Reports'!D2029)),TRIM(MID('R.M Billets Reports'!D2029,SEARCH("-",'R.M Billets Reports'!D2029)+1,200)),"")),IF(ISNUMBER(SEARCH("Party Name:-",'R.M Billets Reports'!D2030)),TRIM('R.M Billets Reports'!F2030),IF(ISNUMBER(SEARCH("Party Name-",'R.M Billets Reports'!D2030)),TRIM(MID('R.M Billets Reports'!D2030,SEARCH("-",'R.M Billets Reports'!D2030)+1,200)),"")))="SHRI RADHE","SHREE RADHE",IF(IF(IF(ISNUMBER(SEARCH("Party Name:-",'R.M Billets Reports'!D2029)),TRIM('R.M Billets Reports'!F2029),IF(ISNUMBER(SEARCH("Party Name-",'R.M Billets Reports'!D2029)),TRIM(MID('R.M Billets Reports'!D2029,SEARCH("-",'R.M Billets Reports'!D2029)+1,200)),""))&lt;&gt;"",IF(ISNUMBER(SEARCH("Party Name:-",'R.M Billets Reports'!D2029)),TRIM('R.M Billets Reports'!F2029),IF(ISNUMBER(SEARCH("Party Name-",'R.M Billets Reports'!D2029)),TRIM(MID('R.M Billets Reports'!D2029,SEARCH("-",'R.M Billets Reports'!D2029)+1,200)),"")),IF(ISNUMBER(SEARCH("Party Name:-",'R.M Billets Reports'!D2030)),TRIM('R.M Billets Reports'!F2030),IF(ISNUMBER(SEARCH("Party Name-",'R.M Billets Reports'!D2030)),TRIM(MID('R.M Billets Reports'!D2030,SEARCH("-",'R.M Billets Reports'!D2030)+1,200)),"")))="SHREE RADHE SHAKTI SPONGE AND POWER PVT. LTD.","SHREE RADHE",IF(IF(ISNUMBER(SEARCH("Party Name:-",'R.M Billets Reports'!D2029)),TRIM('R.M Billets Reports'!F2029),IF(ISNUMBER(SEARCH("Party Name-",'R.M Billets Reports'!D2029)),TRIM(MID('R.M Billets Reports'!D2029,SEARCH("-",'R.M Billets Reports'!D2029)+1,200)),""))&lt;&gt;"",IF(ISNUMBER(SEARCH("Party Name:-",'R.M Billets Reports'!D2029)),TRIM('R.M Billets Reports'!F2029),IF(ISNUMBER(SEARCH("Party Name-",'R.M Billets Reports'!D2029)),TRIM(MID('R.M Billets Reports'!D2029,SEARCH("-",'R.M Billets Reports'!D2029)+1,200)),"")),IF(ISNUMBER(SEARCH("Party Name:-",'R.M Billets Reports'!D2030)),TRIM('R.M Billets Reports'!F2030),IF(ISNUMBER(SEARCH("Party Name-",'R.M Billets Reports'!D2030)),TRIM(MID('R.M Billets Reports'!D2030,SEARCH("-",'R.M Billets Reports'!D2030)+1,200)),"")))))),IF(ROW()=2,"",A2029))</f>
      </c>
      <c r="B2030">
        <f>IF(OR('R.M Billets Reports'!A2029="Date-",'R.M Billets Reports'!A2029="Date:-"),'R.M Billets Reports'!B2029,IF(ROW()=2,"",B2029))</f>
      </c>
      <c r="C2030">
        <f>IF('R.M Billets Reports'!A2029="V.No.",'R.M Billets Reports'!B2029,IF(ROW()=2,"",C2029))</f>
      </c>
      <c r="D2030">
        <f>IF('R.M Billets Reports'!A2029&lt;&gt;"",'R.M Billets Reports'!A2029,IF(ROW()=2,"",D2029))</f>
      </c>
      <c r="E2030">
        <f>IF('R.M Billets Reports'!B2029="","",TRIM('R.M Billets Reports'!B2029))</f>
      </c>
      <c r="F2030">
        <f>'R.M Billets Reports'!C2029</f>
      </c>
      <c r="G2030">
        <f>'R.M Billets Reports'!D2029</f>
      </c>
      <c r="H2030">
        <f>'R.M Billets Reports'!E2029</f>
      </c>
      <c r="I2030">
        <f>'R.M Billets Reports'!F2029</f>
      </c>
      <c r="J2030">
        <f>'R.M Billets Reports'!G2029</f>
      </c>
      <c r="K2030">
        <f>'R.M Billets Reports'!H2029</f>
      </c>
      <c r="L2030">
        <f>IF('R.M Billets Reports'!I2029="","",'R.M Billets Reports'!I2029)</f>
      </c>
      <c r="M2030">
        <f t="shared" si="62"/>
      </c>
      <c r="N2030">
        <f>IF('R.M Billets Reports'!J2029="","",'R.M Billets Reports'!J2029)</f>
      </c>
      <c r="O2030">
        <f t="shared" si="63"/>
      </c>
      <c r="P2030">
        <f>IF('R.M Billets Reports'!A2029="SIZE",'R.M Billets Reports'!B2029,P2029)</f>
      </c>
    </row>
    <row r="2031" spans="1:16" x14ac:dyDescent="0.25">
      <c r="A2031">
        <f>IF(OR('R.M Billets Reports'!A2030="Date-",'R.M Billets Reports'!A2030="Date:-"),IF(IF(IF(ISNUMBER(SEARCH("Party Name:-",'R.M Billets Reports'!D2030)),TRIM('R.M Billets Reports'!F2030),IF(ISNUMBER(SEARCH("Party Name-",'R.M Billets Reports'!D2030)),TRIM(MID('R.M Billets Reports'!D2030,SEARCH("-",'R.M Billets Reports'!D2030)+1,200)),""))&lt;&gt;"",IF(ISNUMBER(SEARCH("Party Name:-",'R.M Billets Reports'!D2030)),TRIM('R.M Billets Reports'!F2030),IF(ISNUMBER(SEARCH("Party Name-",'R.M Billets Reports'!D2030)),TRIM(MID('R.M Billets Reports'!D2030,SEARCH("-",'R.M Billets Reports'!D2030)+1,200)),"")),IF(ISNUMBER(SEARCH("Party Name:-",'R.M Billets Reports'!D2031)),TRIM('R.M Billets Reports'!F2031),IF(ISNUMBER(SEARCH("Party Name-",'R.M Billets Reports'!D2031)),TRIM(MID('R.M Billets Reports'!D2031,SEARCH("-",'R.M Billets Reports'!D2031)+1,200)),"")))="VRKP ISPAT PVT LTD","VRKP",IF(IF(IF(ISNUMBER(SEARCH("Party Name:-",'R.M Billets Reports'!D2030)),TRIM('R.M Billets Reports'!F2030),IF(ISNUMBER(SEARCH("Party Name-",'R.M Billets Reports'!D2030)),TRIM(MID('R.M Billets Reports'!D2030,SEARCH("-",'R.M Billets Reports'!D2030)+1,200)),""))&lt;&gt;"",IF(ISNUMBER(SEARCH("Party Name:-",'R.M Billets Reports'!D2030)),TRIM('R.M Billets Reports'!F2030),IF(ISNUMBER(SEARCH("Party Name-",'R.M Billets Reports'!D2030)),TRIM(MID('R.M Billets Reports'!D2030,SEARCH("-",'R.M Billets Reports'!D2030)+1,200)),"")),IF(ISNUMBER(SEARCH("Party Name:-",'R.M Billets Reports'!D2031)),TRIM('R.M Billets Reports'!F2031),IF(ISNUMBER(SEARCH("Party Name-",'R.M Billets Reports'!D2031)),TRIM(MID('R.M Billets Reports'!D2031,SEARCH("-",'R.M Billets Reports'!D2031)+1,200)),"")))="SHRI RADHE","SHREE RADHE",IF(IF(IF(ISNUMBER(SEARCH("Party Name:-",'R.M Billets Reports'!D2030)),TRIM('R.M Billets Reports'!F2030),IF(ISNUMBER(SEARCH("Party Name-",'R.M Billets Reports'!D2030)),TRIM(MID('R.M Billets Reports'!D2030,SEARCH("-",'R.M Billets Reports'!D2030)+1,200)),""))&lt;&gt;"",IF(ISNUMBER(SEARCH("Party Name:-",'R.M Billets Reports'!D2030)),TRIM('R.M Billets Reports'!F2030),IF(ISNUMBER(SEARCH("Party Name-",'R.M Billets Reports'!D2030)),TRIM(MID('R.M Billets Reports'!D2030,SEARCH("-",'R.M Billets Reports'!D2030)+1,200)),"")),IF(ISNUMBER(SEARCH("Party Name:-",'R.M Billets Reports'!D2031)),TRIM('R.M Billets Reports'!F2031),IF(ISNUMBER(SEARCH("Party Name-",'R.M Billets Reports'!D2031)),TRIM(MID('R.M Billets Reports'!D2031,SEARCH("-",'R.M Billets Reports'!D2031)+1,200)),"")))="SHREE RADHE SHAKTI SPONGE AND POWER PVT. LTD.","SHREE RADHE",IF(IF(ISNUMBER(SEARCH("Party Name:-",'R.M Billets Reports'!D2030)),TRIM('R.M Billets Reports'!F2030),IF(ISNUMBER(SEARCH("Party Name-",'R.M Billets Reports'!D2030)),TRIM(MID('R.M Billets Reports'!D2030,SEARCH("-",'R.M Billets Reports'!D2030)+1,200)),""))&lt;&gt;"",IF(ISNUMBER(SEARCH("Party Name:-",'R.M Billets Reports'!D2030)),TRIM('R.M Billets Reports'!F2030),IF(ISNUMBER(SEARCH("Party Name-",'R.M Billets Reports'!D2030)),TRIM(MID('R.M Billets Reports'!D2030,SEARCH("-",'R.M Billets Reports'!D2030)+1,200)),"")),IF(ISNUMBER(SEARCH("Party Name:-",'R.M Billets Reports'!D2031)),TRIM('R.M Billets Reports'!F2031),IF(ISNUMBER(SEARCH("Party Name-",'R.M Billets Reports'!D2031)),TRIM(MID('R.M Billets Reports'!D2031,SEARCH("-",'R.M Billets Reports'!D2031)+1,200)),"")))))),IF(ROW()=2,"",A2030))</f>
      </c>
      <c r="B2031">
        <f>IF(OR('R.M Billets Reports'!A2030="Date-",'R.M Billets Reports'!A2030="Date:-"),'R.M Billets Reports'!B2030,IF(ROW()=2,"",B2030))</f>
      </c>
      <c r="C2031">
        <f>IF('R.M Billets Reports'!A2030="V.No.",'R.M Billets Reports'!B2030,IF(ROW()=2,"",C2030))</f>
      </c>
      <c r="D2031">
        <f>IF('R.M Billets Reports'!A2030&lt;&gt;"",'R.M Billets Reports'!A2030,IF(ROW()=2,"",D2030))</f>
      </c>
      <c r="E2031">
        <f>IF('R.M Billets Reports'!B2030="","",TRIM('R.M Billets Reports'!B2030))</f>
      </c>
      <c r="F2031">
        <f>'R.M Billets Reports'!C2030</f>
      </c>
      <c r="G2031">
        <f>'R.M Billets Reports'!D2030</f>
      </c>
      <c r="H2031">
        <f>'R.M Billets Reports'!E2030</f>
      </c>
      <c r="I2031">
        <f>'R.M Billets Reports'!F2030</f>
      </c>
      <c r="J2031">
        <f>'R.M Billets Reports'!G2030</f>
      </c>
      <c r="K2031">
        <f>'R.M Billets Reports'!H2030</f>
      </c>
      <c r="L2031">
        <f>IF('R.M Billets Reports'!I2030="","",'R.M Billets Reports'!I2030)</f>
      </c>
      <c r="M2031">
        <f t="shared" si="62"/>
      </c>
      <c r="N2031">
        <f>IF('R.M Billets Reports'!J2030="","",'R.M Billets Reports'!J2030)</f>
      </c>
      <c r="O2031">
        <f t="shared" si="63"/>
      </c>
      <c r="P2031">
        <f>IF('R.M Billets Reports'!A2030="SIZE",'R.M Billets Reports'!B2030,P2030)</f>
      </c>
    </row>
    <row r="2032" spans="1:16" x14ac:dyDescent="0.25">
      <c r="A2032">
        <f>IF(OR('R.M Billets Reports'!A2031="Date-",'R.M Billets Reports'!A2031="Date:-"),IF(IF(IF(ISNUMBER(SEARCH("Party Name:-",'R.M Billets Reports'!D2031)),TRIM('R.M Billets Reports'!F2031),IF(ISNUMBER(SEARCH("Party Name-",'R.M Billets Reports'!D2031)),TRIM(MID('R.M Billets Reports'!D2031,SEARCH("-",'R.M Billets Reports'!D2031)+1,200)),""))&lt;&gt;"",IF(ISNUMBER(SEARCH("Party Name:-",'R.M Billets Reports'!D2031)),TRIM('R.M Billets Reports'!F2031),IF(ISNUMBER(SEARCH("Party Name-",'R.M Billets Reports'!D2031)),TRIM(MID('R.M Billets Reports'!D2031,SEARCH("-",'R.M Billets Reports'!D2031)+1,200)),"")),IF(ISNUMBER(SEARCH("Party Name:-",'R.M Billets Reports'!D2032)),TRIM('R.M Billets Reports'!F2032),IF(ISNUMBER(SEARCH("Party Name-",'R.M Billets Reports'!D2032)),TRIM(MID('R.M Billets Reports'!D2032,SEARCH("-",'R.M Billets Reports'!D2032)+1,200)),"")))="VRKP ISPAT PVT LTD","VRKP",IF(IF(IF(ISNUMBER(SEARCH("Party Name:-",'R.M Billets Reports'!D2031)),TRIM('R.M Billets Reports'!F2031),IF(ISNUMBER(SEARCH("Party Name-",'R.M Billets Reports'!D2031)),TRIM(MID('R.M Billets Reports'!D2031,SEARCH("-",'R.M Billets Reports'!D2031)+1,200)),""))&lt;&gt;"",IF(ISNUMBER(SEARCH("Party Name:-",'R.M Billets Reports'!D2031)),TRIM('R.M Billets Reports'!F2031),IF(ISNUMBER(SEARCH("Party Name-",'R.M Billets Reports'!D2031)),TRIM(MID('R.M Billets Reports'!D2031,SEARCH("-",'R.M Billets Reports'!D2031)+1,200)),"")),IF(ISNUMBER(SEARCH("Party Name:-",'R.M Billets Reports'!D2032)),TRIM('R.M Billets Reports'!F2032),IF(ISNUMBER(SEARCH("Party Name-",'R.M Billets Reports'!D2032)),TRIM(MID('R.M Billets Reports'!D2032,SEARCH("-",'R.M Billets Reports'!D2032)+1,200)),"")))="SHRI RADHE","SHREE RADHE",IF(IF(IF(ISNUMBER(SEARCH("Party Name:-",'R.M Billets Reports'!D2031)),TRIM('R.M Billets Reports'!F2031),IF(ISNUMBER(SEARCH("Party Name-",'R.M Billets Reports'!D2031)),TRIM(MID('R.M Billets Reports'!D2031,SEARCH("-",'R.M Billets Reports'!D2031)+1,200)),""))&lt;&gt;"",IF(ISNUMBER(SEARCH("Party Name:-",'R.M Billets Reports'!D2031)),TRIM('R.M Billets Reports'!F2031),IF(ISNUMBER(SEARCH("Party Name-",'R.M Billets Reports'!D2031)),TRIM(MID('R.M Billets Reports'!D2031,SEARCH("-",'R.M Billets Reports'!D2031)+1,200)),"")),IF(ISNUMBER(SEARCH("Party Name:-",'R.M Billets Reports'!D2032)),TRIM('R.M Billets Reports'!F2032),IF(ISNUMBER(SEARCH("Party Name-",'R.M Billets Reports'!D2032)),TRIM(MID('R.M Billets Reports'!D2032,SEARCH("-",'R.M Billets Reports'!D2032)+1,200)),"")))="SHREE RADHE SHAKTI SPONGE AND POWER PVT. LTD.","SHREE RADHE",IF(IF(ISNUMBER(SEARCH("Party Name:-",'R.M Billets Reports'!D2031)),TRIM('R.M Billets Reports'!F2031),IF(ISNUMBER(SEARCH("Party Name-",'R.M Billets Reports'!D2031)),TRIM(MID('R.M Billets Reports'!D2031,SEARCH("-",'R.M Billets Reports'!D2031)+1,200)),""))&lt;&gt;"",IF(ISNUMBER(SEARCH("Party Name:-",'R.M Billets Reports'!D2031)),TRIM('R.M Billets Reports'!F2031),IF(ISNUMBER(SEARCH("Party Name-",'R.M Billets Reports'!D2031)),TRIM(MID('R.M Billets Reports'!D2031,SEARCH("-",'R.M Billets Reports'!D2031)+1,200)),"")),IF(ISNUMBER(SEARCH("Party Name:-",'R.M Billets Reports'!D2032)),TRIM('R.M Billets Reports'!F2032),IF(ISNUMBER(SEARCH("Party Name-",'R.M Billets Reports'!D2032)),TRIM(MID('R.M Billets Reports'!D2032,SEARCH("-",'R.M Billets Reports'!D2032)+1,200)),"")))))),IF(ROW()=2,"",A2031))</f>
      </c>
      <c r="B2032">
        <f>IF(OR('R.M Billets Reports'!A2031="Date-",'R.M Billets Reports'!A2031="Date:-"),'R.M Billets Reports'!B2031,IF(ROW()=2,"",B2031))</f>
      </c>
      <c r="C2032">
        <f>IF('R.M Billets Reports'!A2031="V.No.",'R.M Billets Reports'!B2031,IF(ROW()=2,"",C2031))</f>
      </c>
      <c r="D2032">
        <f>IF('R.M Billets Reports'!A2031&lt;&gt;"",'R.M Billets Reports'!A2031,IF(ROW()=2,"",D2031))</f>
      </c>
      <c r="E2032">
        <f>IF('R.M Billets Reports'!B2031="","",TRIM('R.M Billets Reports'!B2031))</f>
      </c>
      <c r="F2032">
        <f>'R.M Billets Reports'!C2031</f>
      </c>
      <c r="G2032">
        <f>'R.M Billets Reports'!D2031</f>
      </c>
      <c r="H2032">
        <f>'R.M Billets Reports'!E2031</f>
      </c>
      <c r="I2032">
        <f>'R.M Billets Reports'!F2031</f>
      </c>
      <c r="J2032">
        <f>'R.M Billets Reports'!G2031</f>
      </c>
      <c r="K2032">
        <f>'R.M Billets Reports'!H2031</f>
      </c>
      <c r="L2032">
        <f>IF('R.M Billets Reports'!I2031="","",'R.M Billets Reports'!I2031)</f>
      </c>
      <c r="M2032">
        <f t="shared" si="62"/>
      </c>
      <c r="N2032">
        <f>IF('R.M Billets Reports'!J2031="","",'R.M Billets Reports'!J2031)</f>
      </c>
      <c r="O2032">
        <f t="shared" si="63"/>
      </c>
      <c r="P2032">
        <f>IF('R.M Billets Reports'!A2031="SIZE",'R.M Billets Reports'!B2031,P2031)</f>
      </c>
    </row>
    <row r="2033" spans="1:16" x14ac:dyDescent="0.25">
      <c r="A2033">
        <f>IF(OR('R.M Billets Reports'!A2032="Date-",'R.M Billets Reports'!A2032="Date:-"),IF(IF(IF(ISNUMBER(SEARCH("Party Name:-",'R.M Billets Reports'!D2032)),TRIM('R.M Billets Reports'!F2032),IF(ISNUMBER(SEARCH("Party Name-",'R.M Billets Reports'!D2032)),TRIM(MID('R.M Billets Reports'!D2032,SEARCH("-",'R.M Billets Reports'!D2032)+1,200)),""))&lt;&gt;"",IF(ISNUMBER(SEARCH("Party Name:-",'R.M Billets Reports'!D2032)),TRIM('R.M Billets Reports'!F2032),IF(ISNUMBER(SEARCH("Party Name-",'R.M Billets Reports'!D2032)),TRIM(MID('R.M Billets Reports'!D2032,SEARCH("-",'R.M Billets Reports'!D2032)+1,200)),"")),IF(ISNUMBER(SEARCH("Party Name:-",'R.M Billets Reports'!D2033)),TRIM('R.M Billets Reports'!F2033),IF(ISNUMBER(SEARCH("Party Name-",'R.M Billets Reports'!D2033)),TRIM(MID('R.M Billets Reports'!D2033,SEARCH("-",'R.M Billets Reports'!D2033)+1,200)),"")))="VRKP ISPAT PVT LTD","VRKP",IF(IF(IF(ISNUMBER(SEARCH("Party Name:-",'R.M Billets Reports'!D2032)),TRIM('R.M Billets Reports'!F2032),IF(ISNUMBER(SEARCH("Party Name-",'R.M Billets Reports'!D2032)),TRIM(MID('R.M Billets Reports'!D2032,SEARCH("-",'R.M Billets Reports'!D2032)+1,200)),""))&lt;&gt;"",IF(ISNUMBER(SEARCH("Party Name:-",'R.M Billets Reports'!D2032)),TRIM('R.M Billets Reports'!F2032),IF(ISNUMBER(SEARCH("Party Name-",'R.M Billets Reports'!D2032)),TRIM(MID('R.M Billets Reports'!D2032,SEARCH("-",'R.M Billets Reports'!D2032)+1,200)),"")),IF(ISNUMBER(SEARCH("Party Name:-",'R.M Billets Reports'!D2033)),TRIM('R.M Billets Reports'!F2033),IF(ISNUMBER(SEARCH("Party Name-",'R.M Billets Reports'!D2033)),TRIM(MID('R.M Billets Reports'!D2033,SEARCH("-",'R.M Billets Reports'!D2033)+1,200)),"")))="SHRI RADHE","SHREE RADHE",IF(IF(IF(ISNUMBER(SEARCH("Party Name:-",'R.M Billets Reports'!D2032)),TRIM('R.M Billets Reports'!F2032),IF(ISNUMBER(SEARCH("Party Name-",'R.M Billets Reports'!D2032)),TRIM(MID('R.M Billets Reports'!D2032,SEARCH("-",'R.M Billets Reports'!D2032)+1,200)),""))&lt;&gt;"",IF(ISNUMBER(SEARCH("Party Name:-",'R.M Billets Reports'!D2032)),TRIM('R.M Billets Reports'!F2032),IF(ISNUMBER(SEARCH("Party Name-",'R.M Billets Reports'!D2032)),TRIM(MID('R.M Billets Reports'!D2032,SEARCH("-",'R.M Billets Reports'!D2032)+1,200)),"")),IF(ISNUMBER(SEARCH("Party Name:-",'R.M Billets Reports'!D2033)),TRIM('R.M Billets Reports'!F2033),IF(ISNUMBER(SEARCH("Party Name-",'R.M Billets Reports'!D2033)),TRIM(MID('R.M Billets Reports'!D2033,SEARCH("-",'R.M Billets Reports'!D2033)+1,200)),"")))="SHREE RADHE SHAKTI SPONGE AND POWER PVT. LTD.","SHREE RADHE",IF(IF(ISNUMBER(SEARCH("Party Name:-",'R.M Billets Reports'!D2032)),TRIM('R.M Billets Reports'!F2032),IF(ISNUMBER(SEARCH("Party Name-",'R.M Billets Reports'!D2032)),TRIM(MID('R.M Billets Reports'!D2032,SEARCH("-",'R.M Billets Reports'!D2032)+1,200)),""))&lt;&gt;"",IF(ISNUMBER(SEARCH("Party Name:-",'R.M Billets Reports'!D2032)),TRIM('R.M Billets Reports'!F2032),IF(ISNUMBER(SEARCH("Party Name-",'R.M Billets Reports'!D2032)),TRIM(MID('R.M Billets Reports'!D2032,SEARCH("-",'R.M Billets Reports'!D2032)+1,200)),"")),IF(ISNUMBER(SEARCH("Party Name:-",'R.M Billets Reports'!D2033)),TRIM('R.M Billets Reports'!F2033),IF(ISNUMBER(SEARCH("Party Name-",'R.M Billets Reports'!D2033)),TRIM(MID('R.M Billets Reports'!D2033,SEARCH("-",'R.M Billets Reports'!D2033)+1,200)),"")))))),IF(ROW()=2,"",A2032))</f>
      </c>
      <c r="B2033">
        <f>IF(OR('R.M Billets Reports'!A2032="Date-",'R.M Billets Reports'!A2032="Date:-"),'R.M Billets Reports'!B2032,IF(ROW()=2,"",B2032))</f>
      </c>
      <c r="C2033">
        <f>IF('R.M Billets Reports'!A2032="V.No.",'R.M Billets Reports'!B2032,IF(ROW()=2,"",C2032))</f>
      </c>
      <c r="D2033">
        <f>IF('R.M Billets Reports'!A2032&lt;&gt;"",'R.M Billets Reports'!A2032,IF(ROW()=2,"",D2032))</f>
      </c>
      <c r="E2033">
        <f>IF('R.M Billets Reports'!B2032="","",TRIM('R.M Billets Reports'!B2032))</f>
      </c>
      <c r="F2033">
        <f>'R.M Billets Reports'!C2032</f>
      </c>
      <c r="G2033">
        <f>'R.M Billets Reports'!D2032</f>
      </c>
      <c r="H2033">
        <f>'R.M Billets Reports'!E2032</f>
      </c>
      <c r="I2033">
        <f>'R.M Billets Reports'!F2032</f>
      </c>
      <c r="J2033">
        <f>'R.M Billets Reports'!G2032</f>
      </c>
      <c r="K2033">
        <f>'R.M Billets Reports'!H2032</f>
      </c>
      <c r="L2033">
        <f>IF('R.M Billets Reports'!I2032="","",'R.M Billets Reports'!I2032)</f>
      </c>
      <c r="M2033">
        <f t="shared" si="62"/>
      </c>
      <c r="N2033">
        <f>IF('R.M Billets Reports'!J2032="","",'R.M Billets Reports'!J2032)</f>
      </c>
      <c r="O2033">
        <f t="shared" si="63"/>
      </c>
      <c r="P2033">
        <f>IF('R.M Billets Reports'!A2032="SIZE",'R.M Billets Reports'!B2032,P2032)</f>
      </c>
    </row>
    <row r="2034" spans="1:16" x14ac:dyDescent="0.25">
      <c r="A2034">
        <f>IF(OR('R.M Billets Reports'!A2033="Date-",'R.M Billets Reports'!A2033="Date:-"),IF(IF(IF(ISNUMBER(SEARCH("Party Name:-",'R.M Billets Reports'!D2033)),TRIM('R.M Billets Reports'!F2033),IF(ISNUMBER(SEARCH("Party Name-",'R.M Billets Reports'!D2033)),TRIM(MID('R.M Billets Reports'!D2033,SEARCH("-",'R.M Billets Reports'!D2033)+1,200)),""))&lt;&gt;"",IF(ISNUMBER(SEARCH("Party Name:-",'R.M Billets Reports'!D2033)),TRIM('R.M Billets Reports'!F2033),IF(ISNUMBER(SEARCH("Party Name-",'R.M Billets Reports'!D2033)),TRIM(MID('R.M Billets Reports'!D2033,SEARCH("-",'R.M Billets Reports'!D2033)+1,200)),"")),IF(ISNUMBER(SEARCH("Party Name:-",'R.M Billets Reports'!D2034)),TRIM('R.M Billets Reports'!F2034),IF(ISNUMBER(SEARCH("Party Name-",'R.M Billets Reports'!D2034)),TRIM(MID('R.M Billets Reports'!D2034,SEARCH("-",'R.M Billets Reports'!D2034)+1,200)),"")))="VRKP ISPAT PVT LTD","VRKP",IF(IF(IF(ISNUMBER(SEARCH("Party Name:-",'R.M Billets Reports'!D2033)),TRIM('R.M Billets Reports'!F2033),IF(ISNUMBER(SEARCH("Party Name-",'R.M Billets Reports'!D2033)),TRIM(MID('R.M Billets Reports'!D2033,SEARCH("-",'R.M Billets Reports'!D2033)+1,200)),""))&lt;&gt;"",IF(ISNUMBER(SEARCH("Party Name:-",'R.M Billets Reports'!D2033)),TRIM('R.M Billets Reports'!F2033),IF(ISNUMBER(SEARCH("Party Name-",'R.M Billets Reports'!D2033)),TRIM(MID('R.M Billets Reports'!D2033,SEARCH("-",'R.M Billets Reports'!D2033)+1,200)),"")),IF(ISNUMBER(SEARCH("Party Name:-",'R.M Billets Reports'!D2034)),TRIM('R.M Billets Reports'!F2034),IF(ISNUMBER(SEARCH("Party Name-",'R.M Billets Reports'!D2034)),TRIM(MID('R.M Billets Reports'!D2034,SEARCH("-",'R.M Billets Reports'!D2034)+1,200)),"")))="SHRI RADHE","SHREE RADHE",IF(IF(IF(ISNUMBER(SEARCH("Party Name:-",'R.M Billets Reports'!D2033)),TRIM('R.M Billets Reports'!F2033),IF(ISNUMBER(SEARCH("Party Name-",'R.M Billets Reports'!D2033)),TRIM(MID('R.M Billets Reports'!D2033,SEARCH("-",'R.M Billets Reports'!D2033)+1,200)),""))&lt;&gt;"",IF(ISNUMBER(SEARCH("Party Name:-",'R.M Billets Reports'!D2033)),TRIM('R.M Billets Reports'!F2033),IF(ISNUMBER(SEARCH("Party Name-",'R.M Billets Reports'!D2033)),TRIM(MID('R.M Billets Reports'!D2033,SEARCH("-",'R.M Billets Reports'!D2033)+1,200)),"")),IF(ISNUMBER(SEARCH("Party Name:-",'R.M Billets Reports'!D2034)),TRIM('R.M Billets Reports'!F2034),IF(ISNUMBER(SEARCH("Party Name-",'R.M Billets Reports'!D2034)),TRIM(MID('R.M Billets Reports'!D2034,SEARCH("-",'R.M Billets Reports'!D2034)+1,200)),"")))="SHREE RADHE SHAKTI SPONGE AND POWER PVT. LTD.","SHREE RADHE",IF(IF(ISNUMBER(SEARCH("Party Name:-",'R.M Billets Reports'!D2033)),TRIM('R.M Billets Reports'!F2033),IF(ISNUMBER(SEARCH("Party Name-",'R.M Billets Reports'!D2033)),TRIM(MID('R.M Billets Reports'!D2033,SEARCH("-",'R.M Billets Reports'!D2033)+1,200)),""))&lt;&gt;"",IF(ISNUMBER(SEARCH("Party Name:-",'R.M Billets Reports'!D2033)),TRIM('R.M Billets Reports'!F2033),IF(ISNUMBER(SEARCH("Party Name-",'R.M Billets Reports'!D2033)),TRIM(MID('R.M Billets Reports'!D2033,SEARCH("-",'R.M Billets Reports'!D2033)+1,200)),"")),IF(ISNUMBER(SEARCH("Party Name:-",'R.M Billets Reports'!D2034)),TRIM('R.M Billets Reports'!F2034),IF(ISNUMBER(SEARCH("Party Name-",'R.M Billets Reports'!D2034)),TRIM(MID('R.M Billets Reports'!D2034,SEARCH("-",'R.M Billets Reports'!D2034)+1,200)),"")))))),IF(ROW()=2,"",A2033))</f>
      </c>
      <c r="B2034">
        <f>IF(OR('R.M Billets Reports'!A2033="Date-",'R.M Billets Reports'!A2033="Date:-"),'R.M Billets Reports'!B2033,IF(ROW()=2,"",B2033))</f>
      </c>
      <c r="C2034">
        <f>IF('R.M Billets Reports'!A2033="V.No.",'R.M Billets Reports'!B2033,IF(ROW()=2,"",C2033))</f>
      </c>
      <c r="D2034">
        <f>IF('R.M Billets Reports'!A2033&lt;&gt;"",'R.M Billets Reports'!A2033,IF(ROW()=2,"",D2033))</f>
      </c>
      <c r="E2034">
        <f>IF('R.M Billets Reports'!B2033="","",TRIM('R.M Billets Reports'!B2033))</f>
      </c>
      <c r="F2034">
        <f>'R.M Billets Reports'!C2033</f>
      </c>
      <c r="G2034">
        <f>'R.M Billets Reports'!D2033</f>
      </c>
      <c r="H2034">
        <f>'R.M Billets Reports'!E2033</f>
      </c>
      <c r="I2034">
        <f>'R.M Billets Reports'!F2033</f>
      </c>
      <c r="J2034">
        <f>'R.M Billets Reports'!G2033</f>
      </c>
      <c r="K2034">
        <f>'R.M Billets Reports'!H2033</f>
      </c>
      <c r="L2034">
        <f>IF('R.M Billets Reports'!I2033="","",'R.M Billets Reports'!I2033)</f>
      </c>
      <c r="M2034">
        <f t="shared" si="62"/>
      </c>
      <c r="N2034">
        <f>IF('R.M Billets Reports'!J2033="","",'R.M Billets Reports'!J2033)</f>
      </c>
      <c r="O2034">
        <f t="shared" si="63"/>
      </c>
      <c r="P2034">
        <f>IF('R.M Billets Reports'!A2033="SIZE",'R.M Billets Reports'!B2033,P2033)</f>
      </c>
    </row>
    <row r="2035" spans="1:16" x14ac:dyDescent="0.25">
      <c r="A2035">
        <f>IF(OR('R.M Billets Reports'!A2034="Date-",'R.M Billets Reports'!A2034="Date:-"),IF(IF(IF(ISNUMBER(SEARCH("Party Name:-",'R.M Billets Reports'!D2034)),TRIM('R.M Billets Reports'!F2034),IF(ISNUMBER(SEARCH("Party Name-",'R.M Billets Reports'!D2034)),TRIM(MID('R.M Billets Reports'!D2034,SEARCH("-",'R.M Billets Reports'!D2034)+1,200)),""))&lt;&gt;"",IF(ISNUMBER(SEARCH("Party Name:-",'R.M Billets Reports'!D2034)),TRIM('R.M Billets Reports'!F2034),IF(ISNUMBER(SEARCH("Party Name-",'R.M Billets Reports'!D2034)),TRIM(MID('R.M Billets Reports'!D2034,SEARCH("-",'R.M Billets Reports'!D2034)+1,200)),"")),IF(ISNUMBER(SEARCH("Party Name:-",'R.M Billets Reports'!D2035)),TRIM('R.M Billets Reports'!F2035),IF(ISNUMBER(SEARCH("Party Name-",'R.M Billets Reports'!D2035)),TRIM(MID('R.M Billets Reports'!D2035,SEARCH("-",'R.M Billets Reports'!D2035)+1,200)),"")))="VRKP ISPAT PVT LTD","VRKP",IF(IF(IF(ISNUMBER(SEARCH("Party Name:-",'R.M Billets Reports'!D2034)),TRIM('R.M Billets Reports'!F2034),IF(ISNUMBER(SEARCH("Party Name-",'R.M Billets Reports'!D2034)),TRIM(MID('R.M Billets Reports'!D2034,SEARCH("-",'R.M Billets Reports'!D2034)+1,200)),""))&lt;&gt;"",IF(ISNUMBER(SEARCH("Party Name:-",'R.M Billets Reports'!D2034)),TRIM('R.M Billets Reports'!F2034),IF(ISNUMBER(SEARCH("Party Name-",'R.M Billets Reports'!D2034)),TRIM(MID('R.M Billets Reports'!D2034,SEARCH("-",'R.M Billets Reports'!D2034)+1,200)),"")),IF(ISNUMBER(SEARCH("Party Name:-",'R.M Billets Reports'!D2035)),TRIM('R.M Billets Reports'!F2035),IF(ISNUMBER(SEARCH("Party Name-",'R.M Billets Reports'!D2035)),TRIM(MID('R.M Billets Reports'!D2035,SEARCH("-",'R.M Billets Reports'!D2035)+1,200)),"")))="SHRI RADHE","SHREE RADHE",IF(IF(IF(ISNUMBER(SEARCH("Party Name:-",'R.M Billets Reports'!D2034)),TRIM('R.M Billets Reports'!F2034),IF(ISNUMBER(SEARCH("Party Name-",'R.M Billets Reports'!D2034)),TRIM(MID('R.M Billets Reports'!D2034,SEARCH("-",'R.M Billets Reports'!D2034)+1,200)),""))&lt;&gt;"",IF(ISNUMBER(SEARCH("Party Name:-",'R.M Billets Reports'!D2034)),TRIM('R.M Billets Reports'!F2034),IF(ISNUMBER(SEARCH("Party Name-",'R.M Billets Reports'!D2034)),TRIM(MID('R.M Billets Reports'!D2034,SEARCH("-",'R.M Billets Reports'!D2034)+1,200)),"")),IF(ISNUMBER(SEARCH("Party Name:-",'R.M Billets Reports'!D2035)),TRIM('R.M Billets Reports'!F2035),IF(ISNUMBER(SEARCH("Party Name-",'R.M Billets Reports'!D2035)),TRIM(MID('R.M Billets Reports'!D2035,SEARCH("-",'R.M Billets Reports'!D2035)+1,200)),"")))="SHREE RADHE SHAKTI SPONGE AND POWER PVT. LTD.","SHREE RADHE",IF(IF(ISNUMBER(SEARCH("Party Name:-",'R.M Billets Reports'!D2034)),TRIM('R.M Billets Reports'!F2034),IF(ISNUMBER(SEARCH("Party Name-",'R.M Billets Reports'!D2034)),TRIM(MID('R.M Billets Reports'!D2034,SEARCH("-",'R.M Billets Reports'!D2034)+1,200)),""))&lt;&gt;"",IF(ISNUMBER(SEARCH("Party Name:-",'R.M Billets Reports'!D2034)),TRIM('R.M Billets Reports'!F2034),IF(ISNUMBER(SEARCH("Party Name-",'R.M Billets Reports'!D2034)),TRIM(MID('R.M Billets Reports'!D2034,SEARCH("-",'R.M Billets Reports'!D2034)+1,200)),"")),IF(ISNUMBER(SEARCH("Party Name:-",'R.M Billets Reports'!D2035)),TRIM('R.M Billets Reports'!F2035),IF(ISNUMBER(SEARCH("Party Name-",'R.M Billets Reports'!D2035)),TRIM(MID('R.M Billets Reports'!D2035,SEARCH("-",'R.M Billets Reports'!D2035)+1,200)),"")))))),IF(ROW()=2,"",A2034))</f>
      </c>
      <c r="B2035">
        <f>IF(OR('R.M Billets Reports'!A2034="Date-",'R.M Billets Reports'!A2034="Date:-"),'R.M Billets Reports'!B2034,IF(ROW()=2,"",B2034))</f>
      </c>
      <c r="C2035">
        <f>IF('R.M Billets Reports'!A2034="V.No.",'R.M Billets Reports'!B2034,IF(ROW()=2,"",C2034))</f>
      </c>
      <c r="D2035">
        <f>IF('R.M Billets Reports'!A2034&lt;&gt;"",'R.M Billets Reports'!A2034,IF(ROW()=2,"",D2034))</f>
      </c>
      <c r="E2035">
        <f>IF('R.M Billets Reports'!B2034="","",TRIM('R.M Billets Reports'!B2034))</f>
      </c>
      <c r="F2035">
        <f>'R.M Billets Reports'!C2034</f>
      </c>
      <c r="G2035">
        <f>'R.M Billets Reports'!D2034</f>
      </c>
      <c r="H2035">
        <f>'R.M Billets Reports'!E2034</f>
      </c>
      <c r="I2035">
        <f>'R.M Billets Reports'!F2034</f>
      </c>
      <c r="J2035">
        <f>'R.M Billets Reports'!G2034</f>
      </c>
      <c r="K2035">
        <f>'R.M Billets Reports'!H2034</f>
      </c>
      <c r="L2035">
        <f>IF('R.M Billets Reports'!I2034="","",'R.M Billets Reports'!I2034)</f>
      </c>
      <c r="M2035">
        <f t="shared" si="62"/>
      </c>
      <c r="N2035">
        <f>IF('R.M Billets Reports'!J2034="","",'R.M Billets Reports'!J2034)</f>
      </c>
      <c r="O2035">
        <f t="shared" si="63"/>
      </c>
      <c r="P2035">
        <f>IF('R.M Billets Reports'!A2034="SIZE",'R.M Billets Reports'!B2034,P2034)</f>
      </c>
    </row>
    <row r="2036" spans="1:16" x14ac:dyDescent="0.25">
      <c r="A2036">
        <f>IF(OR('R.M Billets Reports'!A2035="Date-",'R.M Billets Reports'!A2035="Date:-"),IF(IF(IF(ISNUMBER(SEARCH("Party Name:-",'R.M Billets Reports'!D2035)),TRIM('R.M Billets Reports'!F2035),IF(ISNUMBER(SEARCH("Party Name-",'R.M Billets Reports'!D2035)),TRIM(MID('R.M Billets Reports'!D2035,SEARCH("-",'R.M Billets Reports'!D2035)+1,200)),""))&lt;&gt;"",IF(ISNUMBER(SEARCH("Party Name:-",'R.M Billets Reports'!D2035)),TRIM('R.M Billets Reports'!F2035),IF(ISNUMBER(SEARCH("Party Name-",'R.M Billets Reports'!D2035)),TRIM(MID('R.M Billets Reports'!D2035,SEARCH("-",'R.M Billets Reports'!D2035)+1,200)),"")),IF(ISNUMBER(SEARCH("Party Name:-",'R.M Billets Reports'!D2036)),TRIM('R.M Billets Reports'!F2036),IF(ISNUMBER(SEARCH("Party Name-",'R.M Billets Reports'!D2036)),TRIM(MID('R.M Billets Reports'!D2036,SEARCH("-",'R.M Billets Reports'!D2036)+1,200)),"")))="VRKP ISPAT PVT LTD","VRKP",IF(IF(IF(ISNUMBER(SEARCH("Party Name:-",'R.M Billets Reports'!D2035)),TRIM('R.M Billets Reports'!F2035),IF(ISNUMBER(SEARCH("Party Name-",'R.M Billets Reports'!D2035)),TRIM(MID('R.M Billets Reports'!D2035,SEARCH("-",'R.M Billets Reports'!D2035)+1,200)),""))&lt;&gt;"",IF(ISNUMBER(SEARCH("Party Name:-",'R.M Billets Reports'!D2035)),TRIM('R.M Billets Reports'!F2035),IF(ISNUMBER(SEARCH("Party Name-",'R.M Billets Reports'!D2035)),TRIM(MID('R.M Billets Reports'!D2035,SEARCH("-",'R.M Billets Reports'!D2035)+1,200)),"")),IF(ISNUMBER(SEARCH("Party Name:-",'R.M Billets Reports'!D2036)),TRIM('R.M Billets Reports'!F2036),IF(ISNUMBER(SEARCH("Party Name-",'R.M Billets Reports'!D2036)),TRIM(MID('R.M Billets Reports'!D2036,SEARCH("-",'R.M Billets Reports'!D2036)+1,200)),"")))="SHRI RADHE","SHREE RADHE",IF(IF(IF(ISNUMBER(SEARCH("Party Name:-",'R.M Billets Reports'!D2035)),TRIM('R.M Billets Reports'!F2035),IF(ISNUMBER(SEARCH("Party Name-",'R.M Billets Reports'!D2035)),TRIM(MID('R.M Billets Reports'!D2035,SEARCH("-",'R.M Billets Reports'!D2035)+1,200)),""))&lt;&gt;"",IF(ISNUMBER(SEARCH("Party Name:-",'R.M Billets Reports'!D2035)),TRIM('R.M Billets Reports'!F2035),IF(ISNUMBER(SEARCH("Party Name-",'R.M Billets Reports'!D2035)),TRIM(MID('R.M Billets Reports'!D2035,SEARCH("-",'R.M Billets Reports'!D2035)+1,200)),"")),IF(ISNUMBER(SEARCH("Party Name:-",'R.M Billets Reports'!D2036)),TRIM('R.M Billets Reports'!F2036),IF(ISNUMBER(SEARCH("Party Name-",'R.M Billets Reports'!D2036)),TRIM(MID('R.M Billets Reports'!D2036,SEARCH("-",'R.M Billets Reports'!D2036)+1,200)),"")))="SHREE RADHE SHAKTI SPONGE AND POWER PVT. LTD.","SHREE RADHE",IF(IF(ISNUMBER(SEARCH("Party Name:-",'R.M Billets Reports'!D2035)),TRIM('R.M Billets Reports'!F2035),IF(ISNUMBER(SEARCH("Party Name-",'R.M Billets Reports'!D2035)),TRIM(MID('R.M Billets Reports'!D2035,SEARCH("-",'R.M Billets Reports'!D2035)+1,200)),""))&lt;&gt;"",IF(ISNUMBER(SEARCH("Party Name:-",'R.M Billets Reports'!D2035)),TRIM('R.M Billets Reports'!F2035),IF(ISNUMBER(SEARCH("Party Name-",'R.M Billets Reports'!D2035)),TRIM(MID('R.M Billets Reports'!D2035,SEARCH("-",'R.M Billets Reports'!D2035)+1,200)),"")),IF(ISNUMBER(SEARCH("Party Name:-",'R.M Billets Reports'!D2036)),TRIM('R.M Billets Reports'!F2036),IF(ISNUMBER(SEARCH("Party Name-",'R.M Billets Reports'!D2036)),TRIM(MID('R.M Billets Reports'!D2036,SEARCH("-",'R.M Billets Reports'!D2036)+1,200)),"")))))),IF(ROW()=2,"",A2035))</f>
      </c>
      <c r="B2036">
        <f>IF(OR('R.M Billets Reports'!A2035="Date-",'R.M Billets Reports'!A2035="Date:-"),'R.M Billets Reports'!B2035,IF(ROW()=2,"",B2035))</f>
      </c>
      <c r="C2036">
        <f>IF('R.M Billets Reports'!A2035="V.No.",'R.M Billets Reports'!B2035,IF(ROW()=2,"",C2035))</f>
      </c>
      <c r="D2036">
        <f>IF('R.M Billets Reports'!A2035&lt;&gt;"",'R.M Billets Reports'!A2035,IF(ROW()=2,"",D2035))</f>
      </c>
      <c r="E2036">
        <f>IF('R.M Billets Reports'!B2035="","",TRIM('R.M Billets Reports'!B2035))</f>
      </c>
      <c r="F2036">
        <f>'R.M Billets Reports'!C2035</f>
      </c>
      <c r="G2036">
        <f>'R.M Billets Reports'!D2035</f>
      </c>
      <c r="H2036">
        <f>'R.M Billets Reports'!E2035</f>
      </c>
      <c r="I2036">
        <f>'R.M Billets Reports'!F2035</f>
      </c>
      <c r="J2036">
        <f>'R.M Billets Reports'!G2035</f>
      </c>
      <c r="K2036">
        <f>'R.M Billets Reports'!H2035</f>
      </c>
      <c r="L2036">
        <f>IF('R.M Billets Reports'!I2035="","",'R.M Billets Reports'!I2035)</f>
      </c>
      <c r="M2036">
        <f t="shared" si="62"/>
      </c>
      <c r="N2036">
        <f>IF('R.M Billets Reports'!J2035="","",'R.M Billets Reports'!J2035)</f>
      </c>
      <c r="O2036">
        <f t="shared" si="63"/>
      </c>
      <c r="P2036">
        <f>IF('R.M Billets Reports'!A2035="SIZE",'R.M Billets Reports'!B2035,P2035)</f>
      </c>
    </row>
    <row r="2037" spans="1:16" x14ac:dyDescent="0.25">
      <c r="A2037">
        <f>IF(OR('R.M Billets Reports'!A2036="Date-",'R.M Billets Reports'!A2036="Date:-"),IF(IF(IF(ISNUMBER(SEARCH("Party Name:-",'R.M Billets Reports'!D2036)),TRIM('R.M Billets Reports'!F2036),IF(ISNUMBER(SEARCH("Party Name-",'R.M Billets Reports'!D2036)),TRIM(MID('R.M Billets Reports'!D2036,SEARCH("-",'R.M Billets Reports'!D2036)+1,200)),""))&lt;&gt;"",IF(ISNUMBER(SEARCH("Party Name:-",'R.M Billets Reports'!D2036)),TRIM('R.M Billets Reports'!F2036),IF(ISNUMBER(SEARCH("Party Name-",'R.M Billets Reports'!D2036)),TRIM(MID('R.M Billets Reports'!D2036,SEARCH("-",'R.M Billets Reports'!D2036)+1,200)),"")),IF(ISNUMBER(SEARCH("Party Name:-",'R.M Billets Reports'!D2037)),TRIM('R.M Billets Reports'!F2037),IF(ISNUMBER(SEARCH("Party Name-",'R.M Billets Reports'!D2037)),TRIM(MID('R.M Billets Reports'!D2037,SEARCH("-",'R.M Billets Reports'!D2037)+1,200)),"")))="VRKP ISPAT PVT LTD","VRKP",IF(IF(IF(ISNUMBER(SEARCH("Party Name:-",'R.M Billets Reports'!D2036)),TRIM('R.M Billets Reports'!F2036),IF(ISNUMBER(SEARCH("Party Name-",'R.M Billets Reports'!D2036)),TRIM(MID('R.M Billets Reports'!D2036,SEARCH("-",'R.M Billets Reports'!D2036)+1,200)),""))&lt;&gt;"",IF(ISNUMBER(SEARCH("Party Name:-",'R.M Billets Reports'!D2036)),TRIM('R.M Billets Reports'!F2036),IF(ISNUMBER(SEARCH("Party Name-",'R.M Billets Reports'!D2036)),TRIM(MID('R.M Billets Reports'!D2036,SEARCH("-",'R.M Billets Reports'!D2036)+1,200)),"")),IF(ISNUMBER(SEARCH("Party Name:-",'R.M Billets Reports'!D2037)),TRIM('R.M Billets Reports'!F2037),IF(ISNUMBER(SEARCH("Party Name-",'R.M Billets Reports'!D2037)),TRIM(MID('R.M Billets Reports'!D2037,SEARCH("-",'R.M Billets Reports'!D2037)+1,200)),"")))="SHRI RADHE","SHREE RADHE",IF(IF(IF(ISNUMBER(SEARCH("Party Name:-",'R.M Billets Reports'!D2036)),TRIM('R.M Billets Reports'!F2036),IF(ISNUMBER(SEARCH("Party Name-",'R.M Billets Reports'!D2036)),TRIM(MID('R.M Billets Reports'!D2036,SEARCH("-",'R.M Billets Reports'!D2036)+1,200)),""))&lt;&gt;"",IF(ISNUMBER(SEARCH("Party Name:-",'R.M Billets Reports'!D2036)),TRIM('R.M Billets Reports'!F2036),IF(ISNUMBER(SEARCH("Party Name-",'R.M Billets Reports'!D2036)),TRIM(MID('R.M Billets Reports'!D2036,SEARCH("-",'R.M Billets Reports'!D2036)+1,200)),"")),IF(ISNUMBER(SEARCH("Party Name:-",'R.M Billets Reports'!D2037)),TRIM('R.M Billets Reports'!F2037),IF(ISNUMBER(SEARCH("Party Name-",'R.M Billets Reports'!D2037)),TRIM(MID('R.M Billets Reports'!D2037,SEARCH("-",'R.M Billets Reports'!D2037)+1,200)),"")))="SHREE RADHE SHAKTI SPONGE AND POWER PVT. LTD.","SHREE RADHE",IF(IF(ISNUMBER(SEARCH("Party Name:-",'R.M Billets Reports'!D2036)),TRIM('R.M Billets Reports'!F2036),IF(ISNUMBER(SEARCH("Party Name-",'R.M Billets Reports'!D2036)),TRIM(MID('R.M Billets Reports'!D2036,SEARCH("-",'R.M Billets Reports'!D2036)+1,200)),""))&lt;&gt;"",IF(ISNUMBER(SEARCH("Party Name:-",'R.M Billets Reports'!D2036)),TRIM('R.M Billets Reports'!F2036),IF(ISNUMBER(SEARCH("Party Name-",'R.M Billets Reports'!D2036)),TRIM(MID('R.M Billets Reports'!D2036,SEARCH("-",'R.M Billets Reports'!D2036)+1,200)),"")),IF(ISNUMBER(SEARCH("Party Name:-",'R.M Billets Reports'!D2037)),TRIM('R.M Billets Reports'!F2037),IF(ISNUMBER(SEARCH("Party Name-",'R.M Billets Reports'!D2037)),TRIM(MID('R.M Billets Reports'!D2037,SEARCH("-",'R.M Billets Reports'!D2037)+1,200)),"")))))),IF(ROW()=2,"",A2036))</f>
      </c>
      <c r="B2037">
        <f>IF(OR('R.M Billets Reports'!A2036="Date-",'R.M Billets Reports'!A2036="Date:-"),'R.M Billets Reports'!B2036,IF(ROW()=2,"",B2036))</f>
      </c>
      <c r="C2037">
        <f>IF('R.M Billets Reports'!A2036="V.No.",'R.M Billets Reports'!B2036,IF(ROW()=2,"",C2036))</f>
      </c>
      <c r="D2037">
        <f>IF('R.M Billets Reports'!A2036&lt;&gt;"",'R.M Billets Reports'!A2036,IF(ROW()=2,"",D2036))</f>
      </c>
      <c r="E2037">
        <f>IF('R.M Billets Reports'!B2036="","",TRIM('R.M Billets Reports'!B2036))</f>
      </c>
      <c r="F2037">
        <f>'R.M Billets Reports'!C2036</f>
      </c>
      <c r="G2037">
        <f>'R.M Billets Reports'!D2036</f>
      </c>
      <c r="H2037">
        <f>'R.M Billets Reports'!E2036</f>
      </c>
      <c r="I2037">
        <f>'R.M Billets Reports'!F2036</f>
      </c>
      <c r="J2037">
        <f>'R.M Billets Reports'!G2036</f>
      </c>
      <c r="K2037">
        <f>'R.M Billets Reports'!H2036</f>
      </c>
      <c r="L2037">
        <f>IF('R.M Billets Reports'!I2036="","",'R.M Billets Reports'!I2036)</f>
      </c>
      <c r="M2037">
        <f t="shared" si="62"/>
      </c>
      <c r="N2037">
        <f>IF('R.M Billets Reports'!J2036="","",'R.M Billets Reports'!J2036)</f>
      </c>
      <c r="O2037">
        <f t="shared" si="63"/>
      </c>
      <c r="P2037">
        <f>IF('R.M Billets Reports'!A2036="SIZE",'R.M Billets Reports'!B2036,P2036)</f>
      </c>
    </row>
    <row r="2038" spans="1:16" x14ac:dyDescent="0.25">
      <c r="A2038">
        <f>IF(OR('R.M Billets Reports'!A2037="Date-",'R.M Billets Reports'!A2037="Date:-"),IF(IF(IF(ISNUMBER(SEARCH("Party Name:-",'R.M Billets Reports'!D2037)),TRIM('R.M Billets Reports'!F2037),IF(ISNUMBER(SEARCH("Party Name-",'R.M Billets Reports'!D2037)),TRIM(MID('R.M Billets Reports'!D2037,SEARCH("-",'R.M Billets Reports'!D2037)+1,200)),""))&lt;&gt;"",IF(ISNUMBER(SEARCH("Party Name:-",'R.M Billets Reports'!D2037)),TRIM('R.M Billets Reports'!F2037),IF(ISNUMBER(SEARCH("Party Name-",'R.M Billets Reports'!D2037)),TRIM(MID('R.M Billets Reports'!D2037,SEARCH("-",'R.M Billets Reports'!D2037)+1,200)),"")),IF(ISNUMBER(SEARCH("Party Name:-",'R.M Billets Reports'!D2038)),TRIM('R.M Billets Reports'!F2038),IF(ISNUMBER(SEARCH("Party Name-",'R.M Billets Reports'!D2038)),TRIM(MID('R.M Billets Reports'!D2038,SEARCH("-",'R.M Billets Reports'!D2038)+1,200)),"")))="VRKP ISPAT PVT LTD","VRKP",IF(IF(IF(ISNUMBER(SEARCH("Party Name:-",'R.M Billets Reports'!D2037)),TRIM('R.M Billets Reports'!F2037),IF(ISNUMBER(SEARCH("Party Name-",'R.M Billets Reports'!D2037)),TRIM(MID('R.M Billets Reports'!D2037,SEARCH("-",'R.M Billets Reports'!D2037)+1,200)),""))&lt;&gt;"",IF(ISNUMBER(SEARCH("Party Name:-",'R.M Billets Reports'!D2037)),TRIM('R.M Billets Reports'!F2037),IF(ISNUMBER(SEARCH("Party Name-",'R.M Billets Reports'!D2037)),TRIM(MID('R.M Billets Reports'!D2037,SEARCH("-",'R.M Billets Reports'!D2037)+1,200)),"")),IF(ISNUMBER(SEARCH("Party Name:-",'R.M Billets Reports'!D2038)),TRIM('R.M Billets Reports'!F2038),IF(ISNUMBER(SEARCH("Party Name-",'R.M Billets Reports'!D2038)),TRIM(MID('R.M Billets Reports'!D2038,SEARCH("-",'R.M Billets Reports'!D2038)+1,200)),"")))="SHRI RADHE","SHREE RADHE",IF(IF(IF(ISNUMBER(SEARCH("Party Name:-",'R.M Billets Reports'!D2037)),TRIM('R.M Billets Reports'!F2037),IF(ISNUMBER(SEARCH("Party Name-",'R.M Billets Reports'!D2037)),TRIM(MID('R.M Billets Reports'!D2037,SEARCH("-",'R.M Billets Reports'!D2037)+1,200)),""))&lt;&gt;"",IF(ISNUMBER(SEARCH("Party Name:-",'R.M Billets Reports'!D2037)),TRIM('R.M Billets Reports'!F2037),IF(ISNUMBER(SEARCH("Party Name-",'R.M Billets Reports'!D2037)),TRIM(MID('R.M Billets Reports'!D2037,SEARCH("-",'R.M Billets Reports'!D2037)+1,200)),"")),IF(ISNUMBER(SEARCH("Party Name:-",'R.M Billets Reports'!D2038)),TRIM('R.M Billets Reports'!F2038),IF(ISNUMBER(SEARCH("Party Name-",'R.M Billets Reports'!D2038)),TRIM(MID('R.M Billets Reports'!D2038,SEARCH("-",'R.M Billets Reports'!D2038)+1,200)),"")))="SHREE RADHE SHAKTI SPONGE AND POWER PVT. LTD.","SHREE RADHE",IF(IF(ISNUMBER(SEARCH("Party Name:-",'R.M Billets Reports'!D2037)),TRIM('R.M Billets Reports'!F2037),IF(ISNUMBER(SEARCH("Party Name-",'R.M Billets Reports'!D2037)),TRIM(MID('R.M Billets Reports'!D2037,SEARCH("-",'R.M Billets Reports'!D2037)+1,200)),""))&lt;&gt;"",IF(ISNUMBER(SEARCH("Party Name:-",'R.M Billets Reports'!D2037)),TRIM('R.M Billets Reports'!F2037),IF(ISNUMBER(SEARCH("Party Name-",'R.M Billets Reports'!D2037)),TRIM(MID('R.M Billets Reports'!D2037,SEARCH("-",'R.M Billets Reports'!D2037)+1,200)),"")),IF(ISNUMBER(SEARCH("Party Name:-",'R.M Billets Reports'!D2038)),TRIM('R.M Billets Reports'!F2038),IF(ISNUMBER(SEARCH("Party Name-",'R.M Billets Reports'!D2038)),TRIM(MID('R.M Billets Reports'!D2038,SEARCH("-",'R.M Billets Reports'!D2038)+1,200)),"")))))),IF(ROW()=2,"",A2037))</f>
      </c>
      <c r="B2038">
        <f>IF(OR('R.M Billets Reports'!A2037="Date-",'R.M Billets Reports'!A2037="Date:-"),'R.M Billets Reports'!B2037,IF(ROW()=2,"",B2037))</f>
      </c>
      <c r="C2038">
        <f>IF('R.M Billets Reports'!A2037="V.No.",'R.M Billets Reports'!B2037,IF(ROW()=2,"",C2037))</f>
      </c>
      <c r="D2038">
        <f>IF('R.M Billets Reports'!A2037&lt;&gt;"",'R.M Billets Reports'!A2037,IF(ROW()=2,"",D2037))</f>
      </c>
      <c r="E2038">
        <f>IF('R.M Billets Reports'!B2037="","",TRIM('R.M Billets Reports'!B2037))</f>
      </c>
      <c r="F2038">
        <f>'R.M Billets Reports'!C2037</f>
      </c>
      <c r="G2038">
        <f>'R.M Billets Reports'!D2037</f>
      </c>
      <c r="H2038">
        <f>'R.M Billets Reports'!E2037</f>
      </c>
      <c r="I2038">
        <f>'R.M Billets Reports'!F2037</f>
      </c>
      <c r="J2038">
        <f>'R.M Billets Reports'!G2037</f>
      </c>
      <c r="K2038">
        <f>'R.M Billets Reports'!H2037</f>
      </c>
      <c r="L2038">
        <f>IF('R.M Billets Reports'!I2037="","",'R.M Billets Reports'!I2037)</f>
      </c>
      <c r="M2038">
        <f t="shared" si="62"/>
      </c>
      <c r="N2038">
        <f>IF('R.M Billets Reports'!J2037="","",'R.M Billets Reports'!J2037)</f>
      </c>
      <c r="O2038">
        <f t="shared" si="63"/>
      </c>
      <c r="P2038">
        <f>IF('R.M Billets Reports'!A2037="SIZE",'R.M Billets Reports'!B2037,P2037)</f>
      </c>
    </row>
    <row r="2039" spans="1:16" x14ac:dyDescent="0.25">
      <c r="A2039">
        <f>IF(OR('R.M Billets Reports'!A2038="Date-",'R.M Billets Reports'!A2038="Date:-"),IF(IF(IF(ISNUMBER(SEARCH("Party Name:-",'R.M Billets Reports'!D2038)),TRIM('R.M Billets Reports'!F2038),IF(ISNUMBER(SEARCH("Party Name-",'R.M Billets Reports'!D2038)),TRIM(MID('R.M Billets Reports'!D2038,SEARCH("-",'R.M Billets Reports'!D2038)+1,200)),""))&lt;&gt;"",IF(ISNUMBER(SEARCH("Party Name:-",'R.M Billets Reports'!D2038)),TRIM('R.M Billets Reports'!F2038),IF(ISNUMBER(SEARCH("Party Name-",'R.M Billets Reports'!D2038)),TRIM(MID('R.M Billets Reports'!D2038,SEARCH("-",'R.M Billets Reports'!D2038)+1,200)),"")),IF(ISNUMBER(SEARCH("Party Name:-",'R.M Billets Reports'!D2039)),TRIM('R.M Billets Reports'!F2039),IF(ISNUMBER(SEARCH("Party Name-",'R.M Billets Reports'!D2039)),TRIM(MID('R.M Billets Reports'!D2039,SEARCH("-",'R.M Billets Reports'!D2039)+1,200)),"")))="VRKP ISPAT PVT LTD","VRKP",IF(IF(IF(ISNUMBER(SEARCH("Party Name:-",'R.M Billets Reports'!D2038)),TRIM('R.M Billets Reports'!F2038),IF(ISNUMBER(SEARCH("Party Name-",'R.M Billets Reports'!D2038)),TRIM(MID('R.M Billets Reports'!D2038,SEARCH("-",'R.M Billets Reports'!D2038)+1,200)),""))&lt;&gt;"",IF(ISNUMBER(SEARCH("Party Name:-",'R.M Billets Reports'!D2038)),TRIM('R.M Billets Reports'!F2038),IF(ISNUMBER(SEARCH("Party Name-",'R.M Billets Reports'!D2038)),TRIM(MID('R.M Billets Reports'!D2038,SEARCH("-",'R.M Billets Reports'!D2038)+1,200)),"")),IF(ISNUMBER(SEARCH("Party Name:-",'R.M Billets Reports'!D2039)),TRIM('R.M Billets Reports'!F2039),IF(ISNUMBER(SEARCH("Party Name-",'R.M Billets Reports'!D2039)),TRIM(MID('R.M Billets Reports'!D2039,SEARCH("-",'R.M Billets Reports'!D2039)+1,200)),"")))="SHRI RADHE","SHREE RADHE",IF(IF(IF(ISNUMBER(SEARCH("Party Name:-",'R.M Billets Reports'!D2038)),TRIM('R.M Billets Reports'!F2038),IF(ISNUMBER(SEARCH("Party Name-",'R.M Billets Reports'!D2038)),TRIM(MID('R.M Billets Reports'!D2038,SEARCH("-",'R.M Billets Reports'!D2038)+1,200)),""))&lt;&gt;"",IF(ISNUMBER(SEARCH("Party Name:-",'R.M Billets Reports'!D2038)),TRIM('R.M Billets Reports'!F2038),IF(ISNUMBER(SEARCH("Party Name-",'R.M Billets Reports'!D2038)),TRIM(MID('R.M Billets Reports'!D2038,SEARCH("-",'R.M Billets Reports'!D2038)+1,200)),"")),IF(ISNUMBER(SEARCH("Party Name:-",'R.M Billets Reports'!D2039)),TRIM('R.M Billets Reports'!F2039),IF(ISNUMBER(SEARCH("Party Name-",'R.M Billets Reports'!D2039)),TRIM(MID('R.M Billets Reports'!D2039,SEARCH("-",'R.M Billets Reports'!D2039)+1,200)),"")))="SHREE RADHE SHAKTI SPONGE AND POWER PVT. LTD.","SHREE RADHE",IF(IF(ISNUMBER(SEARCH("Party Name:-",'R.M Billets Reports'!D2038)),TRIM('R.M Billets Reports'!F2038),IF(ISNUMBER(SEARCH("Party Name-",'R.M Billets Reports'!D2038)),TRIM(MID('R.M Billets Reports'!D2038,SEARCH("-",'R.M Billets Reports'!D2038)+1,200)),""))&lt;&gt;"",IF(ISNUMBER(SEARCH("Party Name:-",'R.M Billets Reports'!D2038)),TRIM('R.M Billets Reports'!F2038),IF(ISNUMBER(SEARCH("Party Name-",'R.M Billets Reports'!D2038)),TRIM(MID('R.M Billets Reports'!D2038,SEARCH("-",'R.M Billets Reports'!D2038)+1,200)),"")),IF(ISNUMBER(SEARCH("Party Name:-",'R.M Billets Reports'!D2039)),TRIM('R.M Billets Reports'!F2039),IF(ISNUMBER(SEARCH("Party Name-",'R.M Billets Reports'!D2039)),TRIM(MID('R.M Billets Reports'!D2039,SEARCH("-",'R.M Billets Reports'!D2039)+1,200)),"")))))),IF(ROW()=2,"",A2038))</f>
      </c>
      <c r="B2039">
        <f>IF(OR('R.M Billets Reports'!A2038="Date-",'R.M Billets Reports'!A2038="Date:-"),'R.M Billets Reports'!B2038,IF(ROW()=2,"",B2038))</f>
      </c>
      <c r="C2039">
        <f>IF('R.M Billets Reports'!A2038="V.No.",'R.M Billets Reports'!B2038,IF(ROW()=2,"",C2038))</f>
      </c>
      <c r="D2039">
        <f>IF('R.M Billets Reports'!A2038&lt;&gt;"",'R.M Billets Reports'!A2038,IF(ROW()=2,"",D2038))</f>
      </c>
      <c r="E2039">
        <f>IF('R.M Billets Reports'!B2038="","",TRIM('R.M Billets Reports'!B2038))</f>
      </c>
      <c r="F2039">
        <f>'R.M Billets Reports'!C2038</f>
      </c>
      <c r="G2039">
        <f>'R.M Billets Reports'!D2038</f>
      </c>
      <c r="H2039">
        <f>'R.M Billets Reports'!E2038</f>
      </c>
      <c r="I2039">
        <f>'R.M Billets Reports'!F2038</f>
      </c>
      <c r="J2039">
        <f>'R.M Billets Reports'!G2038</f>
      </c>
      <c r="K2039">
        <f>'R.M Billets Reports'!H2038</f>
      </c>
      <c r="L2039">
        <f>IF('R.M Billets Reports'!I2038="","",'R.M Billets Reports'!I2038)</f>
      </c>
      <c r="M2039">
        <f t="shared" si="62"/>
      </c>
      <c r="N2039">
        <f>IF('R.M Billets Reports'!J2038="","",'R.M Billets Reports'!J2038)</f>
      </c>
      <c r="O2039">
        <f t="shared" si="63"/>
      </c>
      <c r="P2039">
        <f>IF('R.M Billets Reports'!A2038="SIZE",'R.M Billets Reports'!B2038,P2038)</f>
      </c>
    </row>
    <row r="2040" spans="1:16" x14ac:dyDescent="0.25">
      <c r="A2040">
        <f>IF(OR('R.M Billets Reports'!A2039="Date-",'R.M Billets Reports'!A2039="Date:-"),IF(IF(IF(ISNUMBER(SEARCH("Party Name:-",'R.M Billets Reports'!D2039)),TRIM('R.M Billets Reports'!F2039),IF(ISNUMBER(SEARCH("Party Name-",'R.M Billets Reports'!D2039)),TRIM(MID('R.M Billets Reports'!D2039,SEARCH("-",'R.M Billets Reports'!D2039)+1,200)),""))&lt;&gt;"",IF(ISNUMBER(SEARCH("Party Name:-",'R.M Billets Reports'!D2039)),TRIM('R.M Billets Reports'!F2039),IF(ISNUMBER(SEARCH("Party Name-",'R.M Billets Reports'!D2039)),TRIM(MID('R.M Billets Reports'!D2039,SEARCH("-",'R.M Billets Reports'!D2039)+1,200)),"")),IF(ISNUMBER(SEARCH("Party Name:-",'R.M Billets Reports'!D2040)),TRIM('R.M Billets Reports'!F2040),IF(ISNUMBER(SEARCH("Party Name-",'R.M Billets Reports'!D2040)),TRIM(MID('R.M Billets Reports'!D2040,SEARCH("-",'R.M Billets Reports'!D2040)+1,200)),"")))="VRKP ISPAT PVT LTD","VRKP",IF(IF(IF(ISNUMBER(SEARCH("Party Name:-",'R.M Billets Reports'!D2039)),TRIM('R.M Billets Reports'!F2039),IF(ISNUMBER(SEARCH("Party Name-",'R.M Billets Reports'!D2039)),TRIM(MID('R.M Billets Reports'!D2039,SEARCH("-",'R.M Billets Reports'!D2039)+1,200)),""))&lt;&gt;"",IF(ISNUMBER(SEARCH("Party Name:-",'R.M Billets Reports'!D2039)),TRIM('R.M Billets Reports'!F2039),IF(ISNUMBER(SEARCH("Party Name-",'R.M Billets Reports'!D2039)),TRIM(MID('R.M Billets Reports'!D2039,SEARCH("-",'R.M Billets Reports'!D2039)+1,200)),"")),IF(ISNUMBER(SEARCH("Party Name:-",'R.M Billets Reports'!D2040)),TRIM('R.M Billets Reports'!F2040),IF(ISNUMBER(SEARCH("Party Name-",'R.M Billets Reports'!D2040)),TRIM(MID('R.M Billets Reports'!D2040,SEARCH("-",'R.M Billets Reports'!D2040)+1,200)),"")))="SHRI RADHE","SHREE RADHE",IF(IF(IF(ISNUMBER(SEARCH("Party Name:-",'R.M Billets Reports'!D2039)),TRIM('R.M Billets Reports'!F2039),IF(ISNUMBER(SEARCH("Party Name-",'R.M Billets Reports'!D2039)),TRIM(MID('R.M Billets Reports'!D2039,SEARCH("-",'R.M Billets Reports'!D2039)+1,200)),""))&lt;&gt;"",IF(ISNUMBER(SEARCH("Party Name:-",'R.M Billets Reports'!D2039)),TRIM('R.M Billets Reports'!F2039),IF(ISNUMBER(SEARCH("Party Name-",'R.M Billets Reports'!D2039)),TRIM(MID('R.M Billets Reports'!D2039,SEARCH("-",'R.M Billets Reports'!D2039)+1,200)),"")),IF(ISNUMBER(SEARCH("Party Name:-",'R.M Billets Reports'!D2040)),TRIM('R.M Billets Reports'!F2040),IF(ISNUMBER(SEARCH("Party Name-",'R.M Billets Reports'!D2040)),TRIM(MID('R.M Billets Reports'!D2040,SEARCH("-",'R.M Billets Reports'!D2040)+1,200)),"")))="SHREE RADHE SHAKTI SPONGE AND POWER PVT. LTD.","SHREE RADHE",IF(IF(ISNUMBER(SEARCH("Party Name:-",'R.M Billets Reports'!D2039)),TRIM('R.M Billets Reports'!F2039),IF(ISNUMBER(SEARCH("Party Name-",'R.M Billets Reports'!D2039)),TRIM(MID('R.M Billets Reports'!D2039,SEARCH("-",'R.M Billets Reports'!D2039)+1,200)),""))&lt;&gt;"",IF(ISNUMBER(SEARCH("Party Name:-",'R.M Billets Reports'!D2039)),TRIM('R.M Billets Reports'!F2039),IF(ISNUMBER(SEARCH("Party Name-",'R.M Billets Reports'!D2039)),TRIM(MID('R.M Billets Reports'!D2039,SEARCH("-",'R.M Billets Reports'!D2039)+1,200)),"")),IF(ISNUMBER(SEARCH("Party Name:-",'R.M Billets Reports'!D2040)),TRIM('R.M Billets Reports'!F2040),IF(ISNUMBER(SEARCH("Party Name-",'R.M Billets Reports'!D2040)),TRIM(MID('R.M Billets Reports'!D2040,SEARCH("-",'R.M Billets Reports'!D2040)+1,200)),"")))))),IF(ROW()=2,"",A2039))</f>
      </c>
      <c r="B2040">
        <f>IF(OR('R.M Billets Reports'!A2039="Date-",'R.M Billets Reports'!A2039="Date:-"),'R.M Billets Reports'!B2039,IF(ROW()=2,"",B2039))</f>
      </c>
      <c r="C2040">
        <f>IF('R.M Billets Reports'!A2039="V.No.",'R.M Billets Reports'!B2039,IF(ROW()=2,"",C2039))</f>
      </c>
      <c r="D2040">
        <f>IF('R.M Billets Reports'!A2039&lt;&gt;"",'R.M Billets Reports'!A2039,IF(ROW()=2,"",D2039))</f>
      </c>
      <c r="E2040">
        <f>IF('R.M Billets Reports'!B2039="","",TRIM('R.M Billets Reports'!B2039))</f>
      </c>
      <c r="F2040">
        <f>'R.M Billets Reports'!C2039</f>
      </c>
      <c r="G2040">
        <f>'R.M Billets Reports'!D2039</f>
      </c>
      <c r="H2040">
        <f>'R.M Billets Reports'!E2039</f>
      </c>
      <c r="I2040">
        <f>'R.M Billets Reports'!F2039</f>
      </c>
      <c r="J2040">
        <f>'R.M Billets Reports'!G2039</f>
      </c>
      <c r="K2040">
        <f>'R.M Billets Reports'!H2039</f>
      </c>
      <c r="L2040">
        <f>IF('R.M Billets Reports'!I2039="","",'R.M Billets Reports'!I2039)</f>
      </c>
      <c r="M2040">
        <f t="shared" si="62"/>
      </c>
      <c r="N2040">
        <f>IF('R.M Billets Reports'!J2039="","",'R.M Billets Reports'!J2039)</f>
      </c>
      <c r="O2040">
        <f t="shared" si="63"/>
      </c>
      <c r="P2040">
        <f>IF('R.M Billets Reports'!A2039="SIZE",'R.M Billets Reports'!B2039,P2039)</f>
      </c>
    </row>
    <row r="2041" spans="1:16" x14ac:dyDescent="0.25">
      <c r="A2041">
        <f>IF(OR('R.M Billets Reports'!A2040="Date-",'R.M Billets Reports'!A2040="Date:-"),IF(IF(IF(ISNUMBER(SEARCH("Party Name:-",'R.M Billets Reports'!D2040)),TRIM('R.M Billets Reports'!F2040),IF(ISNUMBER(SEARCH("Party Name-",'R.M Billets Reports'!D2040)),TRIM(MID('R.M Billets Reports'!D2040,SEARCH("-",'R.M Billets Reports'!D2040)+1,200)),""))&lt;&gt;"",IF(ISNUMBER(SEARCH("Party Name:-",'R.M Billets Reports'!D2040)),TRIM('R.M Billets Reports'!F2040),IF(ISNUMBER(SEARCH("Party Name-",'R.M Billets Reports'!D2040)),TRIM(MID('R.M Billets Reports'!D2040,SEARCH("-",'R.M Billets Reports'!D2040)+1,200)),"")),IF(ISNUMBER(SEARCH("Party Name:-",'R.M Billets Reports'!D2041)),TRIM('R.M Billets Reports'!F2041),IF(ISNUMBER(SEARCH("Party Name-",'R.M Billets Reports'!D2041)),TRIM(MID('R.M Billets Reports'!D2041,SEARCH("-",'R.M Billets Reports'!D2041)+1,200)),"")))="VRKP ISPAT PVT LTD","VRKP",IF(IF(IF(ISNUMBER(SEARCH("Party Name:-",'R.M Billets Reports'!D2040)),TRIM('R.M Billets Reports'!F2040),IF(ISNUMBER(SEARCH("Party Name-",'R.M Billets Reports'!D2040)),TRIM(MID('R.M Billets Reports'!D2040,SEARCH("-",'R.M Billets Reports'!D2040)+1,200)),""))&lt;&gt;"",IF(ISNUMBER(SEARCH("Party Name:-",'R.M Billets Reports'!D2040)),TRIM('R.M Billets Reports'!F2040),IF(ISNUMBER(SEARCH("Party Name-",'R.M Billets Reports'!D2040)),TRIM(MID('R.M Billets Reports'!D2040,SEARCH("-",'R.M Billets Reports'!D2040)+1,200)),"")),IF(ISNUMBER(SEARCH("Party Name:-",'R.M Billets Reports'!D2041)),TRIM('R.M Billets Reports'!F2041),IF(ISNUMBER(SEARCH("Party Name-",'R.M Billets Reports'!D2041)),TRIM(MID('R.M Billets Reports'!D2041,SEARCH("-",'R.M Billets Reports'!D2041)+1,200)),"")))="SHRI RADHE","SHREE RADHE",IF(IF(IF(ISNUMBER(SEARCH("Party Name:-",'R.M Billets Reports'!D2040)),TRIM('R.M Billets Reports'!F2040),IF(ISNUMBER(SEARCH("Party Name-",'R.M Billets Reports'!D2040)),TRIM(MID('R.M Billets Reports'!D2040,SEARCH("-",'R.M Billets Reports'!D2040)+1,200)),""))&lt;&gt;"",IF(ISNUMBER(SEARCH("Party Name:-",'R.M Billets Reports'!D2040)),TRIM('R.M Billets Reports'!F2040),IF(ISNUMBER(SEARCH("Party Name-",'R.M Billets Reports'!D2040)),TRIM(MID('R.M Billets Reports'!D2040,SEARCH("-",'R.M Billets Reports'!D2040)+1,200)),"")),IF(ISNUMBER(SEARCH("Party Name:-",'R.M Billets Reports'!D2041)),TRIM('R.M Billets Reports'!F2041),IF(ISNUMBER(SEARCH("Party Name-",'R.M Billets Reports'!D2041)),TRIM(MID('R.M Billets Reports'!D2041,SEARCH("-",'R.M Billets Reports'!D2041)+1,200)),"")))="SHREE RADHE SHAKTI SPONGE AND POWER PVT. LTD.","SHREE RADHE",IF(IF(ISNUMBER(SEARCH("Party Name:-",'R.M Billets Reports'!D2040)),TRIM('R.M Billets Reports'!F2040),IF(ISNUMBER(SEARCH("Party Name-",'R.M Billets Reports'!D2040)),TRIM(MID('R.M Billets Reports'!D2040,SEARCH("-",'R.M Billets Reports'!D2040)+1,200)),""))&lt;&gt;"",IF(ISNUMBER(SEARCH("Party Name:-",'R.M Billets Reports'!D2040)),TRIM('R.M Billets Reports'!F2040),IF(ISNUMBER(SEARCH("Party Name-",'R.M Billets Reports'!D2040)),TRIM(MID('R.M Billets Reports'!D2040,SEARCH("-",'R.M Billets Reports'!D2040)+1,200)),"")),IF(ISNUMBER(SEARCH("Party Name:-",'R.M Billets Reports'!D2041)),TRIM('R.M Billets Reports'!F2041),IF(ISNUMBER(SEARCH("Party Name-",'R.M Billets Reports'!D2041)),TRIM(MID('R.M Billets Reports'!D2041,SEARCH("-",'R.M Billets Reports'!D2041)+1,200)),"")))))),IF(ROW()=2,"",A2040))</f>
      </c>
      <c r="B2041">
        <f>IF(OR('R.M Billets Reports'!A2040="Date-",'R.M Billets Reports'!A2040="Date:-"),'R.M Billets Reports'!B2040,IF(ROW()=2,"",B2040))</f>
      </c>
      <c r="C2041">
        <f>IF('R.M Billets Reports'!A2040="V.No.",'R.M Billets Reports'!B2040,IF(ROW()=2,"",C2040))</f>
      </c>
      <c r="D2041">
        <f>IF('R.M Billets Reports'!A2040&lt;&gt;"",'R.M Billets Reports'!A2040,IF(ROW()=2,"",D2040))</f>
      </c>
      <c r="E2041">
        <f>IF('R.M Billets Reports'!B2040="","",TRIM('R.M Billets Reports'!B2040))</f>
      </c>
      <c r="F2041">
        <f>'R.M Billets Reports'!C2040</f>
      </c>
      <c r="G2041">
        <f>'R.M Billets Reports'!D2040</f>
      </c>
      <c r="H2041">
        <f>'R.M Billets Reports'!E2040</f>
      </c>
      <c r="I2041">
        <f>'R.M Billets Reports'!F2040</f>
      </c>
      <c r="J2041">
        <f>'R.M Billets Reports'!G2040</f>
      </c>
      <c r="K2041">
        <f>'R.M Billets Reports'!H2040</f>
      </c>
      <c r="L2041">
        <f>IF('R.M Billets Reports'!I2040="","",'R.M Billets Reports'!I2040)</f>
      </c>
      <c r="M2041">
        <f t="shared" si="62"/>
      </c>
      <c r="N2041">
        <f>IF('R.M Billets Reports'!J2040="","",'R.M Billets Reports'!J2040)</f>
      </c>
      <c r="O2041">
        <f t="shared" si="63"/>
      </c>
      <c r="P2041">
        <f>IF('R.M Billets Reports'!A2040="SIZE",'R.M Billets Reports'!B2040,P2040)</f>
      </c>
    </row>
    <row r="2042" spans="1:16" x14ac:dyDescent="0.25">
      <c r="A2042">
        <f>IF(OR('R.M Billets Reports'!A2041="Date-",'R.M Billets Reports'!A2041="Date:-"),IF(IF(IF(ISNUMBER(SEARCH("Party Name:-",'R.M Billets Reports'!D2041)),TRIM('R.M Billets Reports'!F2041),IF(ISNUMBER(SEARCH("Party Name-",'R.M Billets Reports'!D2041)),TRIM(MID('R.M Billets Reports'!D2041,SEARCH("-",'R.M Billets Reports'!D2041)+1,200)),""))&lt;&gt;"",IF(ISNUMBER(SEARCH("Party Name:-",'R.M Billets Reports'!D2041)),TRIM('R.M Billets Reports'!F2041),IF(ISNUMBER(SEARCH("Party Name-",'R.M Billets Reports'!D2041)),TRIM(MID('R.M Billets Reports'!D2041,SEARCH("-",'R.M Billets Reports'!D2041)+1,200)),"")),IF(ISNUMBER(SEARCH("Party Name:-",'R.M Billets Reports'!D2042)),TRIM('R.M Billets Reports'!F2042),IF(ISNUMBER(SEARCH("Party Name-",'R.M Billets Reports'!D2042)),TRIM(MID('R.M Billets Reports'!D2042,SEARCH("-",'R.M Billets Reports'!D2042)+1,200)),"")))="VRKP ISPAT PVT LTD","VRKP",IF(IF(IF(ISNUMBER(SEARCH("Party Name:-",'R.M Billets Reports'!D2041)),TRIM('R.M Billets Reports'!F2041),IF(ISNUMBER(SEARCH("Party Name-",'R.M Billets Reports'!D2041)),TRIM(MID('R.M Billets Reports'!D2041,SEARCH("-",'R.M Billets Reports'!D2041)+1,200)),""))&lt;&gt;"",IF(ISNUMBER(SEARCH("Party Name:-",'R.M Billets Reports'!D2041)),TRIM('R.M Billets Reports'!F2041),IF(ISNUMBER(SEARCH("Party Name-",'R.M Billets Reports'!D2041)),TRIM(MID('R.M Billets Reports'!D2041,SEARCH("-",'R.M Billets Reports'!D2041)+1,200)),"")),IF(ISNUMBER(SEARCH("Party Name:-",'R.M Billets Reports'!D2042)),TRIM('R.M Billets Reports'!F2042),IF(ISNUMBER(SEARCH("Party Name-",'R.M Billets Reports'!D2042)),TRIM(MID('R.M Billets Reports'!D2042,SEARCH("-",'R.M Billets Reports'!D2042)+1,200)),"")))="SHRI RADHE","SHREE RADHE",IF(IF(IF(ISNUMBER(SEARCH("Party Name:-",'R.M Billets Reports'!D2041)),TRIM('R.M Billets Reports'!F2041),IF(ISNUMBER(SEARCH("Party Name-",'R.M Billets Reports'!D2041)),TRIM(MID('R.M Billets Reports'!D2041,SEARCH("-",'R.M Billets Reports'!D2041)+1,200)),""))&lt;&gt;"",IF(ISNUMBER(SEARCH("Party Name:-",'R.M Billets Reports'!D2041)),TRIM('R.M Billets Reports'!F2041),IF(ISNUMBER(SEARCH("Party Name-",'R.M Billets Reports'!D2041)),TRIM(MID('R.M Billets Reports'!D2041,SEARCH("-",'R.M Billets Reports'!D2041)+1,200)),"")),IF(ISNUMBER(SEARCH("Party Name:-",'R.M Billets Reports'!D2042)),TRIM('R.M Billets Reports'!F2042),IF(ISNUMBER(SEARCH("Party Name-",'R.M Billets Reports'!D2042)),TRIM(MID('R.M Billets Reports'!D2042,SEARCH("-",'R.M Billets Reports'!D2042)+1,200)),"")))="SHREE RADHE SHAKTI SPONGE AND POWER PVT. LTD.","SHREE RADHE",IF(IF(ISNUMBER(SEARCH("Party Name:-",'R.M Billets Reports'!D2041)),TRIM('R.M Billets Reports'!F2041),IF(ISNUMBER(SEARCH("Party Name-",'R.M Billets Reports'!D2041)),TRIM(MID('R.M Billets Reports'!D2041,SEARCH("-",'R.M Billets Reports'!D2041)+1,200)),""))&lt;&gt;"",IF(ISNUMBER(SEARCH("Party Name:-",'R.M Billets Reports'!D2041)),TRIM('R.M Billets Reports'!F2041),IF(ISNUMBER(SEARCH("Party Name-",'R.M Billets Reports'!D2041)),TRIM(MID('R.M Billets Reports'!D2041,SEARCH("-",'R.M Billets Reports'!D2041)+1,200)),"")),IF(ISNUMBER(SEARCH("Party Name:-",'R.M Billets Reports'!D2042)),TRIM('R.M Billets Reports'!F2042),IF(ISNUMBER(SEARCH("Party Name-",'R.M Billets Reports'!D2042)),TRIM(MID('R.M Billets Reports'!D2042,SEARCH("-",'R.M Billets Reports'!D2042)+1,200)),"")))))),IF(ROW()=2,"",A2041))</f>
      </c>
      <c r="B2042">
        <f>IF(OR('R.M Billets Reports'!A2041="Date-",'R.M Billets Reports'!A2041="Date:-"),'R.M Billets Reports'!B2041,IF(ROW()=2,"",B2041))</f>
      </c>
      <c r="C2042">
        <f>IF('R.M Billets Reports'!A2041="V.No.",'R.M Billets Reports'!B2041,IF(ROW()=2,"",C2041))</f>
      </c>
      <c r="D2042">
        <f>IF('R.M Billets Reports'!A2041&lt;&gt;"",'R.M Billets Reports'!A2041,IF(ROW()=2,"",D2041))</f>
      </c>
      <c r="E2042">
        <f>IF('R.M Billets Reports'!B2041="","",TRIM('R.M Billets Reports'!B2041))</f>
      </c>
      <c r="F2042">
        <f>'R.M Billets Reports'!C2041</f>
      </c>
      <c r="G2042">
        <f>'R.M Billets Reports'!D2041</f>
      </c>
      <c r="H2042">
        <f>'R.M Billets Reports'!E2041</f>
      </c>
      <c r="I2042">
        <f>'R.M Billets Reports'!F2041</f>
      </c>
      <c r="J2042">
        <f>'R.M Billets Reports'!G2041</f>
      </c>
      <c r="K2042">
        <f>'R.M Billets Reports'!H2041</f>
      </c>
      <c r="L2042">
        <f>IF('R.M Billets Reports'!I2041="","",'R.M Billets Reports'!I2041)</f>
      </c>
      <c r="M2042">
        <f t="shared" si="62"/>
      </c>
      <c r="N2042">
        <f>IF('R.M Billets Reports'!J2041="","",'R.M Billets Reports'!J2041)</f>
      </c>
      <c r="O2042">
        <f t="shared" si="63"/>
      </c>
      <c r="P2042">
        <f>IF('R.M Billets Reports'!A2041="SIZE",'R.M Billets Reports'!B2041,P2041)</f>
      </c>
    </row>
    <row r="2043" spans="1:16" x14ac:dyDescent="0.25">
      <c r="A2043">
        <f>IF(OR('R.M Billets Reports'!A2042="Date-",'R.M Billets Reports'!A2042="Date:-"),IF(IF(IF(ISNUMBER(SEARCH("Party Name:-",'R.M Billets Reports'!D2042)),TRIM('R.M Billets Reports'!F2042),IF(ISNUMBER(SEARCH("Party Name-",'R.M Billets Reports'!D2042)),TRIM(MID('R.M Billets Reports'!D2042,SEARCH("-",'R.M Billets Reports'!D2042)+1,200)),""))&lt;&gt;"",IF(ISNUMBER(SEARCH("Party Name:-",'R.M Billets Reports'!D2042)),TRIM('R.M Billets Reports'!F2042),IF(ISNUMBER(SEARCH("Party Name-",'R.M Billets Reports'!D2042)),TRIM(MID('R.M Billets Reports'!D2042,SEARCH("-",'R.M Billets Reports'!D2042)+1,200)),"")),IF(ISNUMBER(SEARCH("Party Name:-",'R.M Billets Reports'!D2043)),TRIM('R.M Billets Reports'!F2043),IF(ISNUMBER(SEARCH("Party Name-",'R.M Billets Reports'!D2043)),TRIM(MID('R.M Billets Reports'!D2043,SEARCH("-",'R.M Billets Reports'!D2043)+1,200)),"")))="VRKP ISPAT PVT LTD","VRKP",IF(IF(IF(ISNUMBER(SEARCH("Party Name:-",'R.M Billets Reports'!D2042)),TRIM('R.M Billets Reports'!F2042),IF(ISNUMBER(SEARCH("Party Name-",'R.M Billets Reports'!D2042)),TRIM(MID('R.M Billets Reports'!D2042,SEARCH("-",'R.M Billets Reports'!D2042)+1,200)),""))&lt;&gt;"",IF(ISNUMBER(SEARCH("Party Name:-",'R.M Billets Reports'!D2042)),TRIM('R.M Billets Reports'!F2042),IF(ISNUMBER(SEARCH("Party Name-",'R.M Billets Reports'!D2042)),TRIM(MID('R.M Billets Reports'!D2042,SEARCH("-",'R.M Billets Reports'!D2042)+1,200)),"")),IF(ISNUMBER(SEARCH("Party Name:-",'R.M Billets Reports'!D2043)),TRIM('R.M Billets Reports'!F2043),IF(ISNUMBER(SEARCH("Party Name-",'R.M Billets Reports'!D2043)),TRIM(MID('R.M Billets Reports'!D2043,SEARCH("-",'R.M Billets Reports'!D2043)+1,200)),"")))="SHRI RADHE","SHREE RADHE",IF(IF(IF(ISNUMBER(SEARCH("Party Name:-",'R.M Billets Reports'!D2042)),TRIM('R.M Billets Reports'!F2042),IF(ISNUMBER(SEARCH("Party Name-",'R.M Billets Reports'!D2042)),TRIM(MID('R.M Billets Reports'!D2042,SEARCH("-",'R.M Billets Reports'!D2042)+1,200)),""))&lt;&gt;"",IF(ISNUMBER(SEARCH("Party Name:-",'R.M Billets Reports'!D2042)),TRIM('R.M Billets Reports'!F2042),IF(ISNUMBER(SEARCH("Party Name-",'R.M Billets Reports'!D2042)),TRIM(MID('R.M Billets Reports'!D2042,SEARCH("-",'R.M Billets Reports'!D2042)+1,200)),"")),IF(ISNUMBER(SEARCH("Party Name:-",'R.M Billets Reports'!D2043)),TRIM('R.M Billets Reports'!F2043),IF(ISNUMBER(SEARCH("Party Name-",'R.M Billets Reports'!D2043)),TRIM(MID('R.M Billets Reports'!D2043,SEARCH("-",'R.M Billets Reports'!D2043)+1,200)),"")))="SHREE RADHE SHAKTI SPONGE AND POWER PVT. LTD.","SHREE RADHE",IF(IF(ISNUMBER(SEARCH("Party Name:-",'R.M Billets Reports'!D2042)),TRIM('R.M Billets Reports'!F2042),IF(ISNUMBER(SEARCH("Party Name-",'R.M Billets Reports'!D2042)),TRIM(MID('R.M Billets Reports'!D2042,SEARCH("-",'R.M Billets Reports'!D2042)+1,200)),""))&lt;&gt;"",IF(ISNUMBER(SEARCH("Party Name:-",'R.M Billets Reports'!D2042)),TRIM('R.M Billets Reports'!F2042),IF(ISNUMBER(SEARCH("Party Name-",'R.M Billets Reports'!D2042)),TRIM(MID('R.M Billets Reports'!D2042,SEARCH("-",'R.M Billets Reports'!D2042)+1,200)),"")),IF(ISNUMBER(SEARCH("Party Name:-",'R.M Billets Reports'!D2043)),TRIM('R.M Billets Reports'!F2043),IF(ISNUMBER(SEARCH("Party Name-",'R.M Billets Reports'!D2043)),TRIM(MID('R.M Billets Reports'!D2043,SEARCH("-",'R.M Billets Reports'!D2043)+1,200)),"")))))),IF(ROW()=2,"",A2042))</f>
      </c>
      <c r="B2043">
        <f>IF(OR('R.M Billets Reports'!A2042="Date-",'R.M Billets Reports'!A2042="Date:-"),'R.M Billets Reports'!B2042,IF(ROW()=2,"",B2042))</f>
      </c>
      <c r="C2043">
        <f>IF('R.M Billets Reports'!A2042="V.No.",'R.M Billets Reports'!B2042,IF(ROW()=2,"",C2042))</f>
      </c>
      <c r="D2043">
        <f>IF('R.M Billets Reports'!A2042&lt;&gt;"",'R.M Billets Reports'!A2042,IF(ROW()=2,"",D2042))</f>
      </c>
      <c r="E2043">
        <f>IF('R.M Billets Reports'!B2042="","",TRIM('R.M Billets Reports'!B2042))</f>
      </c>
      <c r="F2043">
        <f>'R.M Billets Reports'!C2042</f>
      </c>
      <c r="G2043">
        <f>'R.M Billets Reports'!D2042</f>
      </c>
      <c r="H2043">
        <f>'R.M Billets Reports'!E2042</f>
      </c>
      <c r="I2043">
        <f>'R.M Billets Reports'!F2042</f>
      </c>
      <c r="J2043">
        <f>'R.M Billets Reports'!G2042</f>
      </c>
      <c r="K2043">
        <f>'R.M Billets Reports'!H2042</f>
      </c>
      <c r="L2043">
        <f>IF('R.M Billets Reports'!I2042="","",'R.M Billets Reports'!I2042)</f>
      </c>
      <c r="M2043">
        <f t="shared" si="62"/>
      </c>
      <c r="N2043">
        <f>IF('R.M Billets Reports'!J2042="","",'R.M Billets Reports'!J2042)</f>
      </c>
      <c r="O2043">
        <f t="shared" si="63"/>
      </c>
      <c r="P2043">
        <f>IF('R.M Billets Reports'!A2042="SIZE",'R.M Billets Reports'!B2042,P2042)</f>
      </c>
    </row>
    <row r="2044" spans="1:16" x14ac:dyDescent="0.25">
      <c r="A2044">
        <f>IF(OR('R.M Billets Reports'!A2043="Date-",'R.M Billets Reports'!A2043="Date:-"),IF(IF(IF(ISNUMBER(SEARCH("Party Name:-",'R.M Billets Reports'!D2043)),TRIM('R.M Billets Reports'!F2043),IF(ISNUMBER(SEARCH("Party Name-",'R.M Billets Reports'!D2043)),TRIM(MID('R.M Billets Reports'!D2043,SEARCH("-",'R.M Billets Reports'!D2043)+1,200)),""))&lt;&gt;"",IF(ISNUMBER(SEARCH("Party Name:-",'R.M Billets Reports'!D2043)),TRIM('R.M Billets Reports'!F2043),IF(ISNUMBER(SEARCH("Party Name-",'R.M Billets Reports'!D2043)),TRIM(MID('R.M Billets Reports'!D2043,SEARCH("-",'R.M Billets Reports'!D2043)+1,200)),"")),IF(ISNUMBER(SEARCH("Party Name:-",'R.M Billets Reports'!D2044)),TRIM('R.M Billets Reports'!F2044),IF(ISNUMBER(SEARCH("Party Name-",'R.M Billets Reports'!D2044)),TRIM(MID('R.M Billets Reports'!D2044,SEARCH("-",'R.M Billets Reports'!D2044)+1,200)),"")))="VRKP ISPAT PVT LTD","VRKP",IF(IF(IF(ISNUMBER(SEARCH("Party Name:-",'R.M Billets Reports'!D2043)),TRIM('R.M Billets Reports'!F2043),IF(ISNUMBER(SEARCH("Party Name-",'R.M Billets Reports'!D2043)),TRIM(MID('R.M Billets Reports'!D2043,SEARCH("-",'R.M Billets Reports'!D2043)+1,200)),""))&lt;&gt;"",IF(ISNUMBER(SEARCH("Party Name:-",'R.M Billets Reports'!D2043)),TRIM('R.M Billets Reports'!F2043),IF(ISNUMBER(SEARCH("Party Name-",'R.M Billets Reports'!D2043)),TRIM(MID('R.M Billets Reports'!D2043,SEARCH("-",'R.M Billets Reports'!D2043)+1,200)),"")),IF(ISNUMBER(SEARCH("Party Name:-",'R.M Billets Reports'!D2044)),TRIM('R.M Billets Reports'!F2044),IF(ISNUMBER(SEARCH("Party Name-",'R.M Billets Reports'!D2044)),TRIM(MID('R.M Billets Reports'!D2044,SEARCH("-",'R.M Billets Reports'!D2044)+1,200)),"")))="SHRI RADHE","SHREE RADHE",IF(IF(IF(ISNUMBER(SEARCH("Party Name:-",'R.M Billets Reports'!D2043)),TRIM('R.M Billets Reports'!F2043),IF(ISNUMBER(SEARCH("Party Name-",'R.M Billets Reports'!D2043)),TRIM(MID('R.M Billets Reports'!D2043,SEARCH("-",'R.M Billets Reports'!D2043)+1,200)),""))&lt;&gt;"",IF(ISNUMBER(SEARCH("Party Name:-",'R.M Billets Reports'!D2043)),TRIM('R.M Billets Reports'!F2043),IF(ISNUMBER(SEARCH("Party Name-",'R.M Billets Reports'!D2043)),TRIM(MID('R.M Billets Reports'!D2043,SEARCH("-",'R.M Billets Reports'!D2043)+1,200)),"")),IF(ISNUMBER(SEARCH("Party Name:-",'R.M Billets Reports'!D2044)),TRIM('R.M Billets Reports'!F2044),IF(ISNUMBER(SEARCH("Party Name-",'R.M Billets Reports'!D2044)),TRIM(MID('R.M Billets Reports'!D2044,SEARCH("-",'R.M Billets Reports'!D2044)+1,200)),"")))="SHREE RADHE SHAKTI SPONGE AND POWER PVT. LTD.","SHREE RADHE",IF(IF(ISNUMBER(SEARCH("Party Name:-",'R.M Billets Reports'!D2043)),TRIM('R.M Billets Reports'!F2043),IF(ISNUMBER(SEARCH("Party Name-",'R.M Billets Reports'!D2043)),TRIM(MID('R.M Billets Reports'!D2043,SEARCH("-",'R.M Billets Reports'!D2043)+1,200)),""))&lt;&gt;"",IF(ISNUMBER(SEARCH("Party Name:-",'R.M Billets Reports'!D2043)),TRIM('R.M Billets Reports'!F2043),IF(ISNUMBER(SEARCH("Party Name-",'R.M Billets Reports'!D2043)),TRIM(MID('R.M Billets Reports'!D2043,SEARCH("-",'R.M Billets Reports'!D2043)+1,200)),"")),IF(ISNUMBER(SEARCH("Party Name:-",'R.M Billets Reports'!D2044)),TRIM('R.M Billets Reports'!F2044),IF(ISNUMBER(SEARCH("Party Name-",'R.M Billets Reports'!D2044)),TRIM(MID('R.M Billets Reports'!D2044,SEARCH("-",'R.M Billets Reports'!D2044)+1,200)),"")))))),IF(ROW()=2,"",A2043))</f>
      </c>
      <c r="B2044">
        <f>IF(OR('R.M Billets Reports'!A2043="Date-",'R.M Billets Reports'!A2043="Date:-"),'R.M Billets Reports'!B2043,IF(ROW()=2,"",B2043))</f>
      </c>
      <c r="C2044">
        <f>IF('R.M Billets Reports'!A2043="V.No.",'R.M Billets Reports'!B2043,IF(ROW()=2,"",C2043))</f>
      </c>
      <c r="D2044">
        <f>IF('R.M Billets Reports'!A2043&lt;&gt;"",'R.M Billets Reports'!A2043,IF(ROW()=2,"",D2043))</f>
      </c>
      <c r="E2044">
        <f>IF('R.M Billets Reports'!B2043="","",TRIM('R.M Billets Reports'!B2043))</f>
      </c>
      <c r="F2044">
        <f>'R.M Billets Reports'!C2043</f>
      </c>
      <c r="G2044">
        <f>'R.M Billets Reports'!D2043</f>
      </c>
      <c r="H2044">
        <f>'R.M Billets Reports'!E2043</f>
      </c>
      <c r="I2044">
        <f>'R.M Billets Reports'!F2043</f>
      </c>
      <c r="J2044">
        <f>'R.M Billets Reports'!G2043</f>
      </c>
      <c r="K2044">
        <f>'R.M Billets Reports'!H2043</f>
      </c>
      <c r="L2044">
        <f>IF('R.M Billets Reports'!I2043="","",'R.M Billets Reports'!I2043)</f>
      </c>
      <c r="M2044">
        <f t="shared" si="62"/>
      </c>
      <c r="N2044">
        <f>IF('R.M Billets Reports'!J2043="","",'R.M Billets Reports'!J2043)</f>
      </c>
      <c r="O2044">
        <f t="shared" si="63"/>
      </c>
      <c r="P2044">
        <f>IF('R.M Billets Reports'!A2043="SIZE",'R.M Billets Reports'!B2043,P2043)</f>
      </c>
    </row>
    <row r="2045" spans="1:16" x14ac:dyDescent="0.25">
      <c r="A2045">
        <f>IF(OR('R.M Billets Reports'!A2044="Date-",'R.M Billets Reports'!A2044="Date:-"),IF(IF(IF(ISNUMBER(SEARCH("Party Name:-",'R.M Billets Reports'!D2044)),TRIM('R.M Billets Reports'!F2044),IF(ISNUMBER(SEARCH("Party Name-",'R.M Billets Reports'!D2044)),TRIM(MID('R.M Billets Reports'!D2044,SEARCH("-",'R.M Billets Reports'!D2044)+1,200)),""))&lt;&gt;"",IF(ISNUMBER(SEARCH("Party Name:-",'R.M Billets Reports'!D2044)),TRIM('R.M Billets Reports'!F2044),IF(ISNUMBER(SEARCH("Party Name-",'R.M Billets Reports'!D2044)),TRIM(MID('R.M Billets Reports'!D2044,SEARCH("-",'R.M Billets Reports'!D2044)+1,200)),"")),IF(ISNUMBER(SEARCH("Party Name:-",'R.M Billets Reports'!D2045)),TRIM('R.M Billets Reports'!F2045),IF(ISNUMBER(SEARCH("Party Name-",'R.M Billets Reports'!D2045)),TRIM(MID('R.M Billets Reports'!D2045,SEARCH("-",'R.M Billets Reports'!D2045)+1,200)),"")))="VRKP ISPAT PVT LTD","VRKP",IF(IF(IF(ISNUMBER(SEARCH("Party Name:-",'R.M Billets Reports'!D2044)),TRIM('R.M Billets Reports'!F2044),IF(ISNUMBER(SEARCH("Party Name-",'R.M Billets Reports'!D2044)),TRIM(MID('R.M Billets Reports'!D2044,SEARCH("-",'R.M Billets Reports'!D2044)+1,200)),""))&lt;&gt;"",IF(ISNUMBER(SEARCH("Party Name:-",'R.M Billets Reports'!D2044)),TRIM('R.M Billets Reports'!F2044),IF(ISNUMBER(SEARCH("Party Name-",'R.M Billets Reports'!D2044)),TRIM(MID('R.M Billets Reports'!D2044,SEARCH("-",'R.M Billets Reports'!D2044)+1,200)),"")),IF(ISNUMBER(SEARCH("Party Name:-",'R.M Billets Reports'!D2045)),TRIM('R.M Billets Reports'!F2045),IF(ISNUMBER(SEARCH("Party Name-",'R.M Billets Reports'!D2045)),TRIM(MID('R.M Billets Reports'!D2045,SEARCH("-",'R.M Billets Reports'!D2045)+1,200)),"")))="SHRI RADHE","SHREE RADHE",IF(IF(IF(ISNUMBER(SEARCH("Party Name:-",'R.M Billets Reports'!D2044)),TRIM('R.M Billets Reports'!F2044),IF(ISNUMBER(SEARCH("Party Name-",'R.M Billets Reports'!D2044)),TRIM(MID('R.M Billets Reports'!D2044,SEARCH("-",'R.M Billets Reports'!D2044)+1,200)),""))&lt;&gt;"",IF(ISNUMBER(SEARCH("Party Name:-",'R.M Billets Reports'!D2044)),TRIM('R.M Billets Reports'!F2044),IF(ISNUMBER(SEARCH("Party Name-",'R.M Billets Reports'!D2044)),TRIM(MID('R.M Billets Reports'!D2044,SEARCH("-",'R.M Billets Reports'!D2044)+1,200)),"")),IF(ISNUMBER(SEARCH("Party Name:-",'R.M Billets Reports'!D2045)),TRIM('R.M Billets Reports'!F2045),IF(ISNUMBER(SEARCH("Party Name-",'R.M Billets Reports'!D2045)),TRIM(MID('R.M Billets Reports'!D2045,SEARCH("-",'R.M Billets Reports'!D2045)+1,200)),"")))="SHREE RADHE SHAKTI SPONGE AND POWER PVT. LTD.","SHREE RADHE",IF(IF(ISNUMBER(SEARCH("Party Name:-",'R.M Billets Reports'!D2044)),TRIM('R.M Billets Reports'!F2044),IF(ISNUMBER(SEARCH("Party Name-",'R.M Billets Reports'!D2044)),TRIM(MID('R.M Billets Reports'!D2044,SEARCH("-",'R.M Billets Reports'!D2044)+1,200)),""))&lt;&gt;"",IF(ISNUMBER(SEARCH("Party Name:-",'R.M Billets Reports'!D2044)),TRIM('R.M Billets Reports'!F2044),IF(ISNUMBER(SEARCH("Party Name-",'R.M Billets Reports'!D2044)),TRIM(MID('R.M Billets Reports'!D2044,SEARCH("-",'R.M Billets Reports'!D2044)+1,200)),"")),IF(ISNUMBER(SEARCH("Party Name:-",'R.M Billets Reports'!D2045)),TRIM('R.M Billets Reports'!F2045),IF(ISNUMBER(SEARCH("Party Name-",'R.M Billets Reports'!D2045)),TRIM(MID('R.M Billets Reports'!D2045,SEARCH("-",'R.M Billets Reports'!D2045)+1,200)),"")))))),IF(ROW()=2,"",A2044))</f>
      </c>
      <c r="B2045">
        <f>IF(OR('R.M Billets Reports'!A2044="Date-",'R.M Billets Reports'!A2044="Date:-"),'R.M Billets Reports'!B2044,IF(ROW()=2,"",B2044))</f>
      </c>
      <c r="C2045">
        <f>IF('R.M Billets Reports'!A2044="V.No.",'R.M Billets Reports'!B2044,IF(ROW()=2,"",C2044))</f>
      </c>
      <c r="D2045">
        <f>IF('R.M Billets Reports'!A2044&lt;&gt;"",'R.M Billets Reports'!A2044,IF(ROW()=2,"",D2044))</f>
      </c>
      <c r="E2045">
        <f>IF('R.M Billets Reports'!B2044="","",TRIM('R.M Billets Reports'!B2044))</f>
      </c>
      <c r="F2045">
        <f>'R.M Billets Reports'!C2044</f>
      </c>
      <c r="G2045">
        <f>'R.M Billets Reports'!D2044</f>
      </c>
      <c r="H2045">
        <f>'R.M Billets Reports'!E2044</f>
      </c>
      <c r="I2045">
        <f>'R.M Billets Reports'!F2044</f>
      </c>
      <c r="J2045">
        <f>'R.M Billets Reports'!G2044</f>
      </c>
      <c r="K2045">
        <f>'R.M Billets Reports'!H2044</f>
      </c>
      <c r="L2045">
        <f>IF('R.M Billets Reports'!I2044="","",'R.M Billets Reports'!I2044)</f>
      </c>
      <c r="M2045">
        <f t="shared" si="62"/>
      </c>
      <c r="N2045">
        <f>IF('R.M Billets Reports'!J2044="","",'R.M Billets Reports'!J2044)</f>
      </c>
      <c r="O2045">
        <f t="shared" si="63"/>
      </c>
      <c r="P2045">
        <f>IF('R.M Billets Reports'!A2044="SIZE",'R.M Billets Reports'!B2044,P2044)</f>
      </c>
    </row>
    <row r="2046" spans="1:16" x14ac:dyDescent="0.25">
      <c r="A2046">
        <f>IF(OR('R.M Billets Reports'!A2045="Date-",'R.M Billets Reports'!A2045="Date:-"),IF(IF(IF(ISNUMBER(SEARCH("Party Name:-",'R.M Billets Reports'!D2045)),TRIM('R.M Billets Reports'!F2045),IF(ISNUMBER(SEARCH("Party Name-",'R.M Billets Reports'!D2045)),TRIM(MID('R.M Billets Reports'!D2045,SEARCH("-",'R.M Billets Reports'!D2045)+1,200)),""))&lt;&gt;"",IF(ISNUMBER(SEARCH("Party Name:-",'R.M Billets Reports'!D2045)),TRIM('R.M Billets Reports'!F2045),IF(ISNUMBER(SEARCH("Party Name-",'R.M Billets Reports'!D2045)),TRIM(MID('R.M Billets Reports'!D2045,SEARCH("-",'R.M Billets Reports'!D2045)+1,200)),"")),IF(ISNUMBER(SEARCH("Party Name:-",'R.M Billets Reports'!D2046)),TRIM('R.M Billets Reports'!F2046),IF(ISNUMBER(SEARCH("Party Name-",'R.M Billets Reports'!D2046)),TRIM(MID('R.M Billets Reports'!D2046,SEARCH("-",'R.M Billets Reports'!D2046)+1,200)),"")))="VRKP ISPAT PVT LTD","VRKP",IF(IF(IF(ISNUMBER(SEARCH("Party Name:-",'R.M Billets Reports'!D2045)),TRIM('R.M Billets Reports'!F2045),IF(ISNUMBER(SEARCH("Party Name-",'R.M Billets Reports'!D2045)),TRIM(MID('R.M Billets Reports'!D2045,SEARCH("-",'R.M Billets Reports'!D2045)+1,200)),""))&lt;&gt;"",IF(ISNUMBER(SEARCH("Party Name:-",'R.M Billets Reports'!D2045)),TRIM('R.M Billets Reports'!F2045),IF(ISNUMBER(SEARCH("Party Name-",'R.M Billets Reports'!D2045)),TRIM(MID('R.M Billets Reports'!D2045,SEARCH("-",'R.M Billets Reports'!D2045)+1,200)),"")),IF(ISNUMBER(SEARCH("Party Name:-",'R.M Billets Reports'!D2046)),TRIM('R.M Billets Reports'!F2046),IF(ISNUMBER(SEARCH("Party Name-",'R.M Billets Reports'!D2046)),TRIM(MID('R.M Billets Reports'!D2046,SEARCH("-",'R.M Billets Reports'!D2046)+1,200)),"")))="SHRI RADHE","SHREE RADHE",IF(IF(IF(ISNUMBER(SEARCH("Party Name:-",'R.M Billets Reports'!D2045)),TRIM('R.M Billets Reports'!F2045),IF(ISNUMBER(SEARCH("Party Name-",'R.M Billets Reports'!D2045)),TRIM(MID('R.M Billets Reports'!D2045,SEARCH("-",'R.M Billets Reports'!D2045)+1,200)),""))&lt;&gt;"",IF(ISNUMBER(SEARCH("Party Name:-",'R.M Billets Reports'!D2045)),TRIM('R.M Billets Reports'!F2045),IF(ISNUMBER(SEARCH("Party Name-",'R.M Billets Reports'!D2045)),TRIM(MID('R.M Billets Reports'!D2045,SEARCH("-",'R.M Billets Reports'!D2045)+1,200)),"")),IF(ISNUMBER(SEARCH("Party Name:-",'R.M Billets Reports'!D2046)),TRIM('R.M Billets Reports'!F2046),IF(ISNUMBER(SEARCH("Party Name-",'R.M Billets Reports'!D2046)),TRIM(MID('R.M Billets Reports'!D2046,SEARCH("-",'R.M Billets Reports'!D2046)+1,200)),"")))="SHREE RADHE SHAKTI SPONGE AND POWER PVT. LTD.","SHREE RADHE",IF(IF(ISNUMBER(SEARCH("Party Name:-",'R.M Billets Reports'!D2045)),TRIM('R.M Billets Reports'!F2045),IF(ISNUMBER(SEARCH("Party Name-",'R.M Billets Reports'!D2045)),TRIM(MID('R.M Billets Reports'!D2045,SEARCH("-",'R.M Billets Reports'!D2045)+1,200)),""))&lt;&gt;"",IF(ISNUMBER(SEARCH("Party Name:-",'R.M Billets Reports'!D2045)),TRIM('R.M Billets Reports'!F2045),IF(ISNUMBER(SEARCH("Party Name-",'R.M Billets Reports'!D2045)),TRIM(MID('R.M Billets Reports'!D2045,SEARCH("-",'R.M Billets Reports'!D2045)+1,200)),"")),IF(ISNUMBER(SEARCH("Party Name:-",'R.M Billets Reports'!D2046)),TRIM('R.M Billets Reports'!F2046),IF(ISNUMBER(SEARCH("Party Name-",'R.M Billets Reports'!D2046)),TRIM(MID('R.M Billets Reports'!D2046,SEARCH("-",'R.M Billets Reports'!D2046)+1,200)),"")))))),IF(ROW()=2,"",A2045))</f>
      </c>
      <c r="B2046">
        <f>IF(OR('R.M Billets Reports'!A2045="Date-",'R.M Billets Reports'!A2045="Date:-"),'R.M Billets Reports'!B2045,IF(ROW()=2,"",B2045))</f>
      </c>
      <c r="C2046">
        <f>IF('R.M Billets Reports'!A2045="V.No.",'R.M Billets Reports'!B2045,IF(ROW()=2,"",C2045))</f>
      </c>
      <c r="D2046">
        <f>IF('R.M Billets Reports'!A2045&lt;&gt;"",'R.M Billets Reports'!A2045,IF(ROW()=2,"",D2045))</f>
      </c>
      <c r="E2046">
        <f>IF('R.M Billets Reports'!B2045="","",TRIM('R.M Billets Reports'!B2045))</f>
      </c>
      <c r="F2046">
        <f>'R.M Billets Reports'!C2045</f>
      </c>
      <c r="G2046">
        <f>'R.M Billets Reports'!D2045</f>
      </c>
      <c r="H2046">
        <f>'R.M Billets Reports'!E2045</f>
      </c>
      <c r="I2046">
        <f>'R.M Billets Reports'!F2045</f>
      </c>
      <c r="J2046">
        <f>'R.M Billets Reports'!G2045</f>
      </c>
      <c r="K2046">
        <f>'R.M Billets Reports'!H2045</f>
      </c>
      <c r="L2046">
        <f>IF('R.M Billets Reports'!I2045="","",'R.M Billets Reports'!I2045)</f>
      </c>
      <c r="M2046">
        <f t="shared" si="62"/>
      </c>
      <c r="N2046">
        <f>IF('R.M Billets Reports'!J2045="","",'R.M Billets Reports'!J2045)</f>
      </c>
      <c r="O2046">
        <f t="shared" si="63"/>
      </c>
      <c r="P2046">
        <f>IF('R.M Billets Reports'!A2045="SIZE",'R.M Billets Reports'!B2045,P2045)</f>
      </c>
    </row>
    <row r="2047" spans="1:16" x14ac:dyDescent="0.25">
      <c r="A2047">
        <f>IF(OR('R.M Billets Reports'!A2046="Date-",'R.M Billets Reports'!A2046="Date:-"),IF(IF(IF(ISNUMBER(SEARCH("Party Name:-",'R.M Billets Reports'!D2046)),TRIM('R.M Billets Reports'!F2046),IF(ISNUMBER(SEARCH("Party Name-",'R.M Billets Reports'!D2046)),TRIM(MID('R.M Billets Reports'!D2046,SEARCH("-",'R.M Billets Reports'!D2046)+1,200)),""))&lt;&gt;"",IF(ISNUMBER(SEARCH("Party Name:-",'R.M Billets Reports'!D2046)),TRIM('R.M Billets Reports'!F2046),IF(ISNUMBER(SEARCH("Party Name-",'R.M Billets Reports'!D2046)),TRIM(MID('R.M Billets Reports'!D2046,SEARCH("-",'R.M Billets Reports'!D2046)+1,200)),"")),IF(ISNUMBER(SEARCH("Party Name:-",'R.M Billets Reports'!D2047)),TRIM('R.M Billets Reports'!F2047),IF(ISNUMBER(SEARCH("Party Name-",'R.M Billets Reports'!D2047)),TRIM(MID('R.M Billets Reports'!D2047,SEARCH("-",'R.M Billets Reports'!D2047)+1,200)),"")))="VRKP ISPAT PVT LTD","VRKP",IF(IF(IF(ISNUMBER(SEARCH("Party Name:-",'R.M Billets Reports'!D2046)),TRIM('R.M Billets Reports'!F2046),IF(ISNUMBER(SEARCH("Party Name-",'R.M Billets Reports'!D2046)),TRIM(MID('R.M Billets Reports'!D2046,SEARCH("-",'R.M Billets Reports'!D2046)+1,200)),""))&lt;&gt;"",IF(ISNUMBER(SEARCH("Party Name:-",'R.M Billets Reports'!D2046)),TRIM('R.M Billets Reports'!F2046),IF(ISNUMBER(SEARCH("Party Name-",'R.M Billets Reports'!D2046)),TRIM(MID('R.M Billets Reports'!D2046,SEARCH("-",'R.M Billets Reports'!D2046)+1,200)),"")),IF(ISNUMBER(SEARCH("Party Name:-",'R.M Billets Reports'!D2047)),TRIM('R.M Billets Reports'!F2047),IF(ISNUMBER(SEARCH("Party Name-",'R.M Billets Reports'!D2047)),TRIM(MID('R.M Billets Reports'!D2047,SEARCH("-",'R.M Billets Reports'!D2047)+1,200)),"")))="SHRI RADHE","SHREE RADHE",IF(IF(IF(ISNUMBER(SEARCH("Party Name:-",'R.M Billets Reports'!D2046)),TRIM('R.M Billets Reports'!F2046),IF(ISNUMBER(SEARCH("Party Name-",'R.M Billets Reports'!D2046)),TRIM(MID('R.M Billets Reports'!D2046,SEARCH("-",'R.M Billets Reports'!D2046)+1,200)),""))&lt;&gt;"",IF(ISNUMBER(SEARCH("Party Name:-",'R.M Billets Reports'!D2046)),TRIM('R.M Billets Reports'!F2046),IF(ISNUMBER(SEARCH("Party Name-",'R.M Billets Reports'!D2046)),TRIM(MID('R.M Billets Reports'!D2046,SEARCH("-",'R.M Billets Reports'!D2046)+1,200)),"")),IF(ISNUMBER(SEARCH("Party Name:-",'R.M Billets Reports'!D2047)),TRIM('R.M Billets Reports'!F2047),IF(ISNUMBER(SEARCH("Party Name-",'R.M Billets Reports'!D2047)),TRIM(MID('R.M Billets Reports'!D2047,SEARCH("-",'R.M Billets Reports'!D2047)+1,200)),"")))="SHREE RADHE SHAKTI SPONGE AND POWER PVT. LTD.","SHREE RADHE",IF(IF(ISNUMBER(SEARCH("Party Name:-",'R.M Billets Reports'!D2046)),TRIM('R.M Billets Reports'!F2046),IF(ISNUMBER(SEARCH("Party Name-",'R.M Billets Reports'!D2046)),TRIM(MID('R.M Billets Reports'!D2046,SEARCH("-",'R.M Billets Reports'!D2046)+1,200)),""))&lt;&gt;"",IF(ISNUMBER(SEARCH("Party Name:-",'R.M Billets Reports'!D2046)),TRIM('R.M Billets Reports'!F2046),IF(ISNUMBER(SEARCH("Party Name-",'R.M Billets Reports'!D2046)),TRIM(MID('R.M Billets Reports'!D2046,SEARCH("-",'R.M Billets Reports'!D2046)+1,200)),"")),IF(ISNUMBER(SEARCH("Party Name:-",'R.M Billets Reports'!D2047)),TRIM('R.M Billets Reports'!F2047),IF(ISNUMBER(SEARCH("Party Name-",'R.M Billets Reports'!D2047)),TRIM(MID('R.M Billets Reports'!D2047,SEARCH("-",'R.M Billets Reports'!D2047)+1,200)),"")))))),IF(ROW()=2,"",A2046))</f>
      </c>
      <c r="B2047">
        <f>IF(OR('R.M Billets Reports'!A2046="Date-",'R.M Billets Reports'!A2046="Date:-"),'R.M Billets Reports'!B2046,IF(ROW()=2,"",B2046))</f>
      </c>
      <c r="C2047">
        <f>IF('R.M Billets Reports'!A2046="V.No.",'R.M Billets Reports'!B2046,IF(ROW()=2,"",C2046))</f>
      </c>
      <c r="D2047">
        <f>IF('R.M Billets Reports'!A2046&lt;&gt;"",'R.M Billets Reports'!A2046,IF(ROW()=2,"",D2046))</f>
      </c>
      <c r="E2047">
        <f>IF('R.M Billets Reports'!B2046="","",TRIM('R.M Billets Reports'!B2046))</f>
      </c>
      <c r="F2047">
        <f>'R.M Billets Reports'!C2046</f>
      </c>
      <c r="G2047">
        <f>'R.M Billets Reports'!D2046</f>
      </c>
      <c r="H2047">
        <f>'R.M Billets Reports'!E2046</f>
      </c>
      <c r="I2047">
        <f>'R.M Billets Reports'!F2046</f>
      </c>
      <c r="J2047">
        <f>'R.M Billets Reports'!G2046</f>
      </c>
      <c r="K2047">
        <f>'R.M Billets Reports'!H2046</f>
      </c>
      <c r="L2047">
        <f>IF('R.M Billets Reports'!I2046="","",'R.M Billets Reports'!I2046)</f>
      </c>
      <c r="M2047">
        <f t="shared" si="62"/>
      </c>
      <c r="N2047">
        <f>IF('R.M Billets Reports'!J2046="","",'R.M Billets Reports'!J2046)</f>
      </c>
      <c r="O2047">
        <f t="shared" si="63"/>
      </c>
      <c r="P2047">
        <f>IF('R.M Billets Reports'!A2046="SIZE",'R.M Billets Reports'!B2046,P2046)</f>
      </c>
    </row>
    <row r="2048" spans="1:16" x14ac:dyDescent="0.25">
      <c r="A2048">
        <f>IF(OR('R.M Billets Reports'!A2047="Date-",'R.M Billets Reports'!A2047="Date:-"),IF(IF(IF(ISNUMBER(SEARCH("Party Name:-",'R.M Billets Reports'!D2047)),TRIM('R.M Billets Reports'!F2047),IF(ISNUMBER(SEARCH("Party Name-",'R.M Billets Reports'!D2047)),TRIM(MID('R.M Billets Reports'!D2047,SEARCH("-",'R.M Billets Reports'!D2047)+1,200)),""))&lt;&gt;"",IF(ISNUMBER(SEARCH("Party Name:-",'R.M Billets Reports'!D2047)),TRIM('R.M Billets Reports'!F2047),IF(ISNUMBER(SEARCH("Party Name-",'R.M Billets Reports'!D2047)),TRIM(MID('R.M Billets Reports'!D2047,SEARCH("-",'R.M Billets Reports'!D2047)+1,200)),"")),IF(ISNUMBER(SEARCH("Party Name:-",'R.M Billets Reports'!D2048)),TRIM('R.M Billets Reports'!F2048),IF(ISNUMBER(SEARCH("Party Name-",'R.M Billets Reports'!D2048)),TRIM(MID('R.M Billets Reports'!D2048,SEARCH("-",'R.M Billets Reports'!D2048)+1,200)),"")))="VRKP ISPAT PVT LTD","VRKP",IF(IF(IF(ISNUMBER(SEARCH("Party Name:-",'R.M Billets Reports'!D2047)),TRIM('R.M Billets Reports'!F2047),IF(ISNUMBER(SEARCH("Party Name-",'R.M Billets Reports'!D2047)),TRIM(MID('R.M Billets Reports'!D2047,SEARCH("-",'R.M Billets Reports'!D2047)+1,200)),""))&lt;&gt;"",IF(ISNUMBER(SEARCH("Party Name:-",'R.M Billets Reports'!D2047)),TRIM('R.M Billets Reports'!F2047),IF(ISNUMBER(SEARCH("Party Name-",'R.M Billets Reports'!D2047)),TRIM(MID('R.M Billets Reports'!D2047,SEARCH("-",'R.M Billets Reports'!D2047)+1,200)),"")),IF(ISNUMBER(SEARCH("Party Name:-",'R.M Billets Reports'!D2048)),TRIM('R.M Billets Reports'!F2048),IF(ISNUMBER(SEARCH("Party Name-",'R.M Billets Reports'!D2048)),TRIM(MID('R.M Billets Reports'!D2048,SEARCH("-",'R.M Billets Reports'!D2048)+1,200)),"")))="SHRI RADHE","SHREE RADHE",IF(IF(IF(ISNUMBER(SEARCH("Party Name:-",'R.M Billets Reports'!D2047)),TRIM('R.M Billets Reports'!F2047),IF(ISNUMBER(SEARCH("Party Name-",'R.M Billets Reports'!D2047)),TRIM(MID('R.M Billets Reports'!D2047,SEARCH("-",'R.M Billets Reports'!D2047)+1,200)),""))&lt;&gt;"",IF(ISNUMBER(SEARCH("Party Name:-",'R.M Billets Reports'!D2047)),TRIM('R.M Billets Reports'!F2047),IF(ISNUMBER(SEARCH("Party Name-",'R.M Billets Reports'!D2047)),TRIM(MID('R.M Billets Reports'!D2047,SEARCH("-",'R.M Billets Reports'!D2047)+1,200)),"")),IF(ISNUMBER(SEARCH("Party Name:-",'R.M Billets Reports'!D2048)),TRIM('R.M Billets Reports'!F2048),IF(ISNUMBER(SEARCH("Party Name-",'R.M Billets Reports'!D2048)),TRIM(MID('R.M Billets Reports'!D2048,SEARCH("-",'R.M Billets Reports'!D2048)+1,200)),"")))="SHREE RADHE SHAKTI SPONGE AND POWER PVT. LTD.","SHREE RADHE",IF(IF(ISNUMBER(SEARCH("Party Name:-",'R.M Billets Reports'!D2047)),TRIM('R.M Billets Reports'!F2047),IF(ISNUMBER(SEARCH("Party Name-",'R.M Billets Reports'!D2047)),TRIM(MID('R.M Billets Reports'!D2047,SEARCH("-",'R.M Billets Reports'!D2047)+1,200)),""))&lt;&gt;"",IF(ISNUMBER(SEARCH("Party Name:-",'R.M Billets Reports'!D2047)),TRIM('R.M Billets Reports'!F2047),IF(ISNUMBER(SEARCH("Party Name-",'R.M Billets Reports'!D2047)),TRIM(MID('R.M Billets Reports'!D2047,SEARCH("-",'R.M Billets Reports'!D2047)+1,200)),"")),IF(ISNUMBER(SEARCH("Party Name:-",'R.M Billets Reports'!D2048)),TRIM('R.M Billets Reports'!F2048),IF(ISNUMBER(SEARCH("Party Name-",'R.M Billets Reports'!D2048)),TRIM(MID('R.M Billets Reports'!D2048,SEARCH("-",'R.M Billets Reports'!D2048)+1,200)),"")))))),IF(ROW()=2,"",A2047))</f>
      </c>
      <c r="B2048">
        <f>IF(OR('R.M Billets Reports'!A2047="Date-",'R.M Billets Reports'!A2047="Date:-"),'R.M Billets Reports'!B2047,IF(ROW()=2,"",B2047))</f>
      </c>
      <c r="C2048">
        <f>IF('R.M Billets Reports'!A2047="V.No.",'R.M Billets Reports'!B2047,IF(ROW()=2,"",C2047))</f>
      </c>
      <c r="D2048">
        <f>IF('R.M Billets Reports'!A2047&lt;&gt;"",'R.M Billets Reports'!A2047,IF(ROW()=2,"",D2047))</f>
      </c>
      <c r="E2048">
        <f>IF('R.M Billets Reports'!B2047="","",TRIM('R.M Billets Reports'!B2047))</f>
      </c>
      <c r="F2048">
        <f>'R.M Billets Reports'!C2047</f>
      </c>
      <c r="G2048">
        <f>'R.M Billets Reports'!D2047</f>
      </c>
      <c r="H2048">
        <f>'R.M Billets Reports'!E2047</f>
      </c>
      <c r="I2048">
        <f>'R.M Billets Reports'!F2047</f>
      </c>
      <c r="J2048">
        <f>'R.M Billets Reports'!G2047</f>
      </c>
      <c r="K2048">
        <f>'R.M Billets Reports'!H2047</f>
      </c>
      <c r="L2048">
        <f>IF('R.M Billets Reports'!I2047="","",'R.M Billets Reports'!I2047)</f>
      </c>
      <c r="M2048">
        <f t="shared" si="62"/>
      </c>
      <c r="N2048">
        <f>IF('R.M Billets Reports'!J2047="","",'R.M Billets Reports'!J2047)</f>
      </c>
      <c r="O2048">
        <f t="shared" si="63"/>
      </c>
      <c r="P2048">
        <f>IF('R.M Billets Reports'!A2047="SIZE",'R.M Billets Reports'!B2047,P2047)</f>
      </c>
    </row>
    <row r="2049" spans="1:16" x14ac:dyDescent="0.25">
      <c r="A2049">
        <f>IF(OR('R.M Billets Reports'!A2048="Date-",'R.M Billets Reports'!A2048="Date:-"),IF(IF(IF(ISNUMBER(SEARCH("Party Name:-",'R.M Billets Reports'!D2048)),TRIM('R.M Billets Reports'!F2048),IF(ISNUMBER(SEARCH("Party Name-",'R.M Billets Reports'!D2048)),TRIM(MID('R.M Billets Reports'!D2048,SEARCH("-",'R.M Billets Reports'!D2048)+1,200)),""))&lt;&gt;"",IF(ISNUMBER(SEARCH("Party Name:-",'R.M Billets Reports'!D2048)),TRIM('R.M Billets Reports'!F2048),IF(ISNUMBER(SEARCH("Party Name-",'R.M Billets Reports'!D2048)),TRIM(MID('R.M Billets Reports'!D2048,SEARCH("-",'R.M Billets Reports'!D2048)+1,200)),"")),IF(ISNUMBER(SEARCH("Party Name:-",'R.M Billets Reports'!D2049)),TRIM('R.M Billets Reports'!F2049),IF(ISNUMBER(SEARCH("Party Name-",'R.M Billets Reports'!D2049)),TRIM(MID('R.M Billets Reports'!D2049,SEARCH("-",'R.M Billets Reports'!D2049)+1,200)),"")))="VRKP ISPAT PVT LTD","VRKP",IF(IF(IF(ISNUMBER(SEARCH("Party Name:-",'R.M Billets Reports'!D2048)),TRIM('R.M Billets Reports'!F2048),IF(ISNUMBER(SEARCH("Party Name-",'R.M Billets Reports'!D2048)),TRIM(MID('R.M Billets Reports'!D2048,SEARCH("-",'R.M Billets Reports'!D2048)+1,200)),""))&lt;&gt;"",IF(ISNUMBER(SEARCH("Party Name:-",'R.M Billets Reports'!D2048)),TRIM('R.M Billets Reports'!F2048),IF(ISNUMBER(SEARCH("Party Name-",'R.M Billets Reports'!D2048)),TRIM(MID('R.M Billets Reports'!D2048,SEARCH("-",'R.M Billets Reports'!D2048)+1,200)),"")),IF(ISNUMBER(SEARCH("Party Name:-",'R.M Billets Reports'!D2049)),TRIM('R.M Billets Reports'!F2049),IF(ISNUMBER(SEARCH("Party Name-",'R.M Billets Reports'!D2049)),TRIM(MID('R.M Billets Reports'!D2049,SEARCH("-",'R.M Billets Reports'!D2049)+1,200)),"")))="SHRI RADHE","SHREE RADHE",IF(IF(IF(ISNUMBER(SEARCH("Party Name:-",'R.M Billets Reports'!D2048)),TRIM('R.M Billets Reports'!F2048),IF(ISNUMBER(SEARCH("Party Name-",'R.M Billets Reports'!D2048)),TRIM(MID('R.M Billets Reports'!D2048,SEARCH("-",'R.M Billets Reports'!D2048)+1,200)),""))&lt;&gt;"",IF(ISNUMBER(SEARCH("Party Name:-",'R.M Billets Reports'!D2048)),TRIM('R.M Billets Reports'!F2048),IF(ISNUMBER(SEARCH("Party Name-",'R.M Billets Reports'!D2048)),TRIM(MID('R.M Billets Reports'!D2048,SEARCH("-",'R.M Billets Reports'!D2048)+1,200)),"")),IF(ISNUMBER(SEARCH("Party Name:-",'R.M Billets Reports'!D2049)),TRIM('R.M Billets Reports'!F2049),IF(ISNUMBER(SEARCH("Party Name-",'R.M Billets Reports'!D2049)),TRIM(MID('R.M Billets Reports'!D2049,SEARCH("-",'R.M Billets Reports'!D2049)+1,200)),"")))="SHREE RADHE SHAKTI SPONGE AND POWER PVT. LTD.","SHREE RADHE",IF(IF(ISNUMBER(SEARCH("Party Name:-",'R.M Billets Reports'!D2048)),TRIM('R.M Billets Reports'!F2048),IF(ISNUMBER(SEARCH("Party Name-",'R.M Billets Reports'!D2048)),TRIM(MID('R.M Billets Reports'!D2048,SEARCH("-",'R.M Billets Reports'!D2048)+1,200)),""))&lt;&gt;"",IF(ISNUMBER(SEARCH("Party Name:-",'R.M Billets Reports'!D2048)),TRIM('R.M Billets Reports'!F2048),IF(ISNUMBER(SEARCH("Party Name-",'R.M Billets Reports'!D2048)),TRIM(MID('R.M Billets Reports'!D2048,SEARCH("-",'R.M Billets Reports'!D2048)+1,200)),"")),IF(ISNUMBER(SEARCH("Party Name:-",'R.M Billets Reports'!D2049)),TRIM('R.M Billets Reports'!F2049),IF(ISNUMBER(SEARCH("Party Name-",'R.M Billets Reports'!D2049)),TRIM(MID('R.M Billets Reports'!D2049,SEARCH("-",'R.M Billets Reports'!D2049)+1,200)),"")))))),IF(ROW()=2,"",A2048))</f>
      </c>
      <c r="B2049">
        <f>IF(OR('R.M Billets Reports'!A2048="Date-",'R.M Billets Reports'!A2048="Date:-"),'R.M Billets Reports'!B2048,IF(ROW()=2,"",B2048))</f>
      </c>
      <c r="C2049">
        <f>IF('R.M Billets Reports'!A2048="V.No.",'R.M Billets Reports'!B2048,IF(ROW()=2,"",C2048))</f>
      </c>
      <c r="D2049">
        <f>IF('R.M Billets Reports'!A2048&lt;&gt;"",'R.M Billets Reports'!A2048,IF(ROW()=2,"",D2048))</f>
      </c>
      <c r="E2049">
        <f>IF('R.M Billets Reports'!B2048="","",TRIM('R.M Billets Reports'!B2048))</f>
      </c>
      <c r="F2049">
        <f>'R.M Billets Reports'!C2048</f>
      </c>
      <c r="G2049">
        <f>'R.M Billets Reports'!D2048</f>
      </c>
      <c r="H2049">
        <f>'R.M Billets Reports'!E2048</f>
      </c>
      <c r="I2049">
        <f>'R.M Billets Reports'!F2048</f>
      </c>
      <c r="J2049">
        <f>'R.M Billets Reports'!G2048</f>
      </c>
      <c r="K2049">
        <f>'R.M Billets Reports'!H2048</f>
      </c>
      <c r="L2049">
        <f>IF('R.M Billets Reports'!I2048="","",'R.M Billets Reports'!I2048)</f>
      </c>
      <c r="M2049">
        <f t="shared" si="62"/>
      </c>
      <c r="N2049">
        <f>IF('R.M Billets Reports'!J2048="","",'R.M Billets Reports'!J2048)</f>
      </c>
      <c r="O2049">
        <f t="shared" si="63"/>
      </c>
      <c r="P2049">
        <f>IF('R.M Billets Reports'!A2048="SIZE",'R.M Billets Reports'!B2048,P2048)</f>
      </c>
    </row>
    <row r="2050" spans="1:16" x14ac:dyDescent="0.25">
      <c r="A2050">
        <f>IF(OR('R.M Billets Reports'!A2049="Date-",'R.M Billets Reports'!A2049="Date:-"),IF(IF(IF(ISNUMBER(SEARCH("Party Name:-",'R.M Billets Reports'!D2049)),TRIM('R.M Billets Reports'!F2049),IF(ISNUMBER(SEARCH("Party Name-",'R.M Billets Reports'!D2049)),TRIM(MID('R.M Billets Reports'!D2049,SEARCH("-",'R.M Billets Reports'!D2049)+1,200)),""))&lt;&gt;"",IF(ISNUMBER(SEARCH("Party Name:-",'R.M Billets Reports'!D2049)),TRIM('R.M Billets Reports'!F2049),IF(ISNUMBER(SEARCH("Party Name-",'R.M Billets Reports'!D2049)),TRIM(MID('R.M Billets Reports'!D2049,SEARCH("-",'R.M Billets Reports'!D2049)+1,200)),"")),IF(ISNUMBER(SEARCH("Party Name:-",'R.M Billets Reports'!D2050)),TRIM('R.M Billets Reports'!F2050),IF(ISNUMBER(SEARCH("Party Name-",'R.M Billets Reports'!D2050)),TRIM(MID('R.M Billets Reports'!D2050,SEARCH("-",'R.M Billets Reports'!D2050)+1,200)),"")))="VRKP ISPAT PVT LTD","VRKP",IF(IF(IF(ISNUMBER(SEARCH("Party Name:-",'R.M Billets Reports'!D2049)),TRIM('R.M Billets Reports'!F2049),IF(ISNUMBER(SEARCH("Party Name-",'R.M Billets Reports'!D2049)),TRIM(MID('R.M Billets Reports'!D2049,SEARCH("-",'R.M Billets Reports'!D2049)+1,200)),""))&lt;&gt;"",IF(ISNUMBER(SEARCH("Party Name:-",'R.M Billets Reports'!D2049)),TRIM('R.M Billets Reports'!F2049),IF(ISNUMBER(SEARCH("Party Name-",'R.M Billets Reports'!D2049)),TRIM(MID('R.M Billets Reports'!D2049,SEARCH("-",'R.M Billets Reports'!D2049)+1,200)),"")),IF(ISNUMBER(SEARCH("Party Name:-",'R.M Billets Reports'!D2050)),TRIM('R.M Billets Reports'!F2050),IF(ISNUMBER(SEARCH("Party Name-",'R.M Billets Reports'!D2050)),TRIM(MID('R.M Billets Reports'!D2050,SEARCH("-",'R.M Billets Reports'!D2050)+1,200)),"")))="SHRI RADHE","SHREE RADHE",IF(IF(IF(ISNUMBER(SEARCH("Party Name:-",'R.M Billets Reports'!D2049)),TRIM('R.M Billets Reports'!F2049),IF(ISNUMBER(SEARCH("Party Name-",'R.M Billets Reports'!D2049)),TRIM(MID('R.M Billets Reports'!D2049,SEARCH("-",'R.M Billets Reports'!D2049)+1,200)),""))&lt;&gt;"",IF(ISNUMBER(SEARCH("Party Name:-",'R.M Billets Reports'!D2049)),TRIM('R.M Billets Reports'!F2049),IF(ISNUMBER(SEARCH("Party Name-",'R.M Billets Reports'!D2049)),TRIM(MID('R.M Billets Reports'!D2049,SEARCH("-",'R.M Billets Reports'!D2049)+1,200)),"")),IF(ISNUMBER(SEARCH("Party Name:-",'R.M Billets Reports'!D2050)),TRIM('R.M Billets Reports'!F2050),IF(ISNUMBER(SEARCH("Party Name-",'R.M Billets Reports'!D2050)),TRIM(MID('R.M Billets Reports'!D2050,SEARCH("-",'R.M Billets Reports'!D2050)+1,200)),"")))="SHREE RADHE SHAKTI SPONGE AND POWER PVT. LTD.","SHREE RADHE",IF(IF(ISNUMBER(SEARCH("Party Name:-",'R.M Billets Reports'!D2049)),TRIM('R.M Billets Reports'!F2049),IF(ISNUMBER(SEARCH("Party Name-",'R.M Billets Reports'!D2049)),TRIM(MID('R.M Billets Reports'!D2049,SEARCH("-",'R.M Billets Reports'!D2049)+1,200)),""))&lt;&gt;"",IF(ISNUMBER(SEARCH("Party Name:-",'R.M Billets Reports'!D2049)),TRIM('R.M Billets Reports'!F2049),IF(ISNUMBER(SEARCH("Party Name-",'R.M Billets Reports'!D2049)),TRIM(MID('R.M Billets Reports'!D2049,SEARCH("-",'R.M Billets Reports'!D2049)+1,200)),"")),IF(ISNUMBER(SEARCH("Party Name:-",'R.M Billets Reports'!D2050)),TRIM('R.M Billets Reports'!F2050),IF(ISNUMBER(SEARCH("Party Name-",'R.M Billets Reports'!D2050)),TRIM(MID('R.M Billets Reports'!D2050,SEARCH("-",'R.M Billets Reports'!D2050)+1,200)),"")))))),IF(ROW()=2,"",A2049))</f>
      </c>
      <c r="B2050">
        <f>IF(OR('R.M Billets Reports'!A2049="Date-",'R.M Billets Reports'!A2049="Date:-"),'R.M Billets Reports'!B2049,IF(ROW()=2,"",B2049))</f>
      </c>
      <c r="C2050">
        <f>IF('R.M Billets Reports'!A2049="V.No.",'R.M Billets Reports'!B2049,IF(ROW()=2,"",C2049))</f>
      </c>
      <c r="D2050">
        <f>IF('R.M Billets Reports'!A2049&lt;&gt;"",'R.M Billets Reports'!A2049,IF(ROW()=2,"",D2049))</f>
      </c>
      <c r="E2050">
        <f>IF('R.M Billets Reports'!B2049="","",TRIM('R.M Billets Reports'!B2049))</f>
      </c>
      <c r="F2050">
        <f>'R.M Billets Reports'!C2049</f>
      </c>
      <c r="G2050">
        <f>'R.M Billets Reports'!D2049</f>
      </c>
      <c r="H2050">
        <f>'R.M Billets Reports'!E2049</f>
      </c>
      <c r="I2050">
        <f>'R.M Billets Reports'!F2049</f>
      </c>
      <c r="J2050">
        <f>'R.M Billets Reports'!G2049</f>
      </c>
      <c r="K2050">
        <f>'R.M Billets Reports'!H2049</f>
      </c>
      <c r="L2050">
        <f>IF('R.M Billets Reports'!I2049="","",'R.M Billets Reports'!I2049)</f>
      </c>
      <c r="M2050">
        <f t="shared" si="62"/>
      </c>
      <c r="N2050">
        <f>IF('R.M Billets Reports'!J2049="","",'R.M Billets Reports'!J2049)</f>
      </c>
      <c r="O2050">
        <f t="shared" si="63"/>
      </c>
      <c r="P2050">
        <f>IF('R.M Billets Reports'!A2049="SIZE",'R.M Billets Reports'!B2049,P2049)</f>
      </c>
    </row>
    <row r="2051" spans="1:16" x14ac:dyDescent="0.25">
      <c r="A2051">
        <f>IF(OR('R.M Billets Reports'!A2050="Date-",'R.M Billets Reports'!A2050="Date:-"),IF(IF(IF(ISNUMBER(SEARCH("Party Name:-",'R.M Billets Reports'!D2050)),TRIM('R.M Billets Reports'!F2050),IF(ISNUMBER(SEARCH("Party Name-",'R.M Billets Reports'!D2050)),TRIM(MID('R.M Billets Reports'!D2050,SEARCH("-",'R.M Billets Reports'!D2050)+1,200)),""))&lt;&gt;"",IF(ISNUMBER(SEARCH("Party Name:-",'R.M Billets Reports'!D2050)),TRIM('R.M Billets Reports'!F2050),IF(ISNUMBER(SEARCH("Party Name-",'R.M Billets Reports'!D2050)),TRIM(MID('R.M Billets Reports'!D2050,SEARCH("-",'R.M Billets Reports'!D2050)+1,200)),"")),IF(ISNUMBER(SEARCH("Party Name:-",'R.M Billets Reports'!D2051)),TRIM('R.M Billets Reports'!F2051),IF(ISNUMBER(SEARCH("Party Name-",'R.M Billets Reports'!D2051)),TRIM(MID('R.M Billets Reports'!D2051,SEARCH("-",'R.M Billets Reports'!D2051)+1,200)),"")))="VRKP ISPAT PVT LTD","VRKP",IF(IF(IF(ISNUMBER(SEARCH("Party Name:-",'R.M Billets Reports'!D2050)),TRIM('R.M Billets Reports'!F2050),IF(ISNUMBER(SEARCH("Party Name-",'R.M Billets Reports'!D2050)),TRIM(MID('R.M Billets Reports'!D2050,SEARCH("-",'R.M Billets Reports'!D2050)+1,200)),""))&lt;&gt;"",IF(ISNUMBER(SEARCH("Party Name:-",'R.M Billets Reports'!D2050)),TRIM('R.M Billets Reports'!F2050),IF(ISNUMBER(SEARCH("Party Name-",'R.M Billets Reports'!D2050)),TRIM(MID('R.M Billets Reports'!D2050,SEARCH("-",'R.M Billets Reports'!D2050)+1,200)),"")),IF(ISNUMBER(SEARCH("Party Name:-",'R.M Billets Reports'!D2051)),TRIM('R.M Billets Reports'!F2051),IF(ISNUMBER(SEARCH("Party Name-",'R.M Billets Reports'!D2051)),TRIM(MID('R.M Billets Reports'!D2051,SEARCH("-",'R.M Billets Reports'!D2051)+1,200)),"")))="SHRI RADHE","SHREE RADHE",IF(IF(IF(ISNUMBER(SEARCH("Party Name:-",'R.M Billets Reports'!D2050)),TRIM('R.M Billets Reports'!F2050),IF(ISNUMBER(SEARCH("Party Name-",'R.M Billets Reports'!D2050)),TRIM(MID('R.M Billets Reports'!D2050,SEARCH("-",'R.M Billets Reports'!D2050)+1,200)),""))&lt;&gt;"",IF(ISNUMBER(SEARCH("Party Name:-",'R.M Billets Reports'!D2050)),TRIM('R.M Billets Reports'!F2050),IF(ISNUMBER(SEARCH("Party Name-",'R.M Billets Reports'!D2050)),TRIM(MID('R.M Billets Reports'!D2050,SEARCH("-",'R.M Billets Reports'!D2050)+1,200)),"")),IF(ISNUMBER(SEARCH("Party Name:-",'R.M Billets Reports'!D2051)),TRIM('R.M Billets Reports'!F2051),IF(ISNUMBER(SEARCH("Party Name-",'R.M Billets Reports'!D2051)),TRIM(MID('R.M Billets Reports'!D2051,SEARCH("-",'R.M Billets Reports'!D2051)+1,200)),"")))="SHREE RADHE SHAKTI SPONGE AND POWER PVT. LTD.","SHREE RADHE",IF(IF(ISNUMBER(SEARCH("Party Name:-",'R.M Billets Reports'!D2050)),TRIM('R.M Billets Reports'!F2050),IF(ISNUMBER(SEARCH("Party Name-",'R.M Billets Reports'!D2050)),TRIM(MID('R.M Billets Reports'!D2050,SEARCH("-",'R.M Billets Reports'!D2050)+1,200)),""))&lt;&gt;"",IF(ISNUMBER(SEARCH("Party Name:-",'R.M Billets Reports'!D2050)),TRIM('R.M Billets Reports'!F2050),IF(ISNUMBER(SEARCH("Party Name-",'R.M Billets Reports'!D2050)),TRIM(MID('R.M Billets Reports'!D2050,SEARCH("-",'R.M Billets Reports'!D2050)+1,200)),"")),IF(ISNUMBER(SEARCH("Party Name:-",'R.M Billets Reports'!D2051)),TRIM('R.M Billets Reports'!F2051),IF(ISNUMBER(SEARCH("Party Name-",'R.M Billets Reports'!D2051)),TRIM(MID('R.M Billets Reports'!D2051,SEARCH("-",'R.M Billets Reports'!D2051)+1,200)),"")))))),IF(ROW()=2,"",A2050))</f>
      </c>
      <c r="B2051">
        <f>IF(OR('R.M Billets Reports'!A2050="Date-",'R.M Billets Reports'!A2050="Date:-"),'R.M Billets Reports'!B2050,IF(ROW()=2,"",B2050))</f>
      </c>
      <c r="C2051">
        <f>IF('R.M Billets Reports'!A2050="V.No.",'R.M Billets Reports'!B2050,IF(ROW()=2,"",C2050))</f>
      </c>
      <c r="D2051">
        <f>IF('R.M Billets Reports'!A2050&lt;&gt;"",'R.M Billets Reports'!A2050,IF(ROW()=2,"",D2050))</f>
      </c>
      <c r="E2051">
        <f>IF('R.M Billets Reports'!B2050="","",TRIM('R.M Billets Reports'!B2050))</f>
      </c>
      <c r="F2051">
        <f>'R.M Billets Reports'!C2050</f>
      </c>
      <c r="G2051">
        <f>'R.M Billets Reports'!D2050</f>
      </c>
      <c r="H2051">
        <f>'R.M Billets Reports'!E2050</f>
      </c>
      <c r="I2051">
        <f>'R.M Billets Reports'!F2050</f>
      </c>
      <c r="J2051">
        <f>'R.M Billets Reports'!G2050</f>
      </c>
      <c r="K2051">
        <f>'R.M Billets Reports'!H2050</f>
      </c>
      <c r="L2051">
        <f>IF('R.M Billets Reports'!I2050="","",'R.M Billets Reports'!I2050)</f>
      </c>
      <c r="M2051">
        <f t="shared" ref="M2051:M2114" si="64">IF(L2051&lt;&gt;"",L2051,IF(D2051=D2050,M2050,""))</f>
      </c>
      <c r="N2051">
        <f>IF('R.M Billets Reports'!J2050="","",'R.M Billets Reports'!J2050)</f>
      </c>
      <c r="O2051">
        <f t="shared" ref="O2051:O2114" si="65">IF(N2051&lt;&gt;"",N2051,IF(D2051=D2050,O2050,""))</f>
      </c>
      <c r="P2051">
        <f>IF('R.M Billets Reports'!A2050="SIZE",'R.M Billets Reports'!B2050,P2050)</f>
      </c>
    </row>
    <row r="2052" spans="1:16" x14ac:dyDescent="0.25">
      <c r="A2052">
        <f>IF(OR('R.M Billets Reports'!A2051="Date-",'R.M Billets Reports'!A2051="Date:-"),IF(IF(IF(ISNUMBER(SEARCH("Party Name:-",'R.M Billets Reports'!D2051)),TRIM('R.M Billets Reports'!F2051),IF(ISNUMBER(SEARCH("Party Name-",'R.M Billets Reports'!D2051)),TRIM(MID('R.M Billets Reports'!D2051,SEARCH("-",'R.M Billets Reports'!D2051)+1,200)),""))&lt;&gt;"",IF(ISNUMBER(SEARCH("Party Name:-",'R.M Billets Reports'!D2051)),TRIM('R.M Billets Reports'!F2051),IF(ISNUMBER(SEARCH("Party Name-",'R.M Billets Reports'!D2051)),TRIM(MID('R.M Billets Reports'!D2051,SEARCH("-",'R.M Billets Reports'!D2051)+1,200)),"")),IF(ISNUMBER(SEARCH("Party Name:-",'R.M Billets Reports'!D2052)),TRIM('R.M Billets Reports'!F2052),IF(ISNUMBER(SEARCH("Party Name-",'R.M Billets Reports'!D2052)),TRIM(MID('R.M Billets Reports'!D2052,SEARCH("-",'R.M Billets Reports'!D2052)+1,200)),"")))="VRKP ISPAT PVT LTD","VRKP",IF(IF(IF(ISNUMBER(SEARCH("Party Name:-",'R.M Billets Reports'!D2051)),TRIM('R.M Billets Reports'!F2051),IF(ISNUMBER(SEARCH("Party Name-",'R.M Billets Reports'!D2051)),TRIM(MID('R.M Billets Reports'!D2051,SEARCH("-",'R.M Billets Reports'!D2051)+1,200)),""))&lt;&gt;"",IF(ISNUMBER(SEARCH("Party Name:-",'R.M Billets Reports'!D2051)),TRIM('R.M Billets Reports'!F2051),IF(ISNUMBER(SEARCH("Party Name-",'R.M Billets Reports'!D2051)),TRIM(MID('R.M Billets Reports'!D2051,SEARCH("-",'R.M Billets Reports'!D2051)+1,200)),"")),IF(ISNUMBER(SEARCH("Party Name:-",'R.M Billets Reports'!D2052)),TRIM('R.M Billets Reports'!F2052),IF(ISNUMBER(SEARCH("Party Name-",'R.M Billets Reports'!D2052)),TRIM(MID('R.M Billets Reports'!D2052,SEARCH("-",'R.M Billets Reports'!D2052)+1,200)),"")))="SHRI RADHE","SHREE RADHE",IF(IF(IF(ISNUMBER(SEARCH("Party Name:-",'R.M Billets Reports'!D2051)),TRIM('R.M Billets Reports'!F2051),IF(ISNUMBER(SEARCH("Party Name-",'R.M Billets Reports'!D2051)),TRIM(MID('R.M Billets Reports'!D2051,SEARCH("-",'R.M Billets Reports'!D2051)+1,200)),""))&lt;&gt;"",IF(ISNUMBER(SEARCH("Party Name:-",'R.M Billets Reports'!D2051)),TRIM('R.M Billets Reports'!F2051),IF(ISNUMBER(SEARCH("Party Name-",'R.M Billets Reports'!D2051)),TRIM(MID('R.M Billets Reports'!D2051,SEARCH("-",'R.M Billets Reports'!D2051)+1,200)),"")),IF(ISNUMBER(SEARCH("Party Name:-",'R.M Billets Reports'!D2052)),TRIM('R.M Billets Reports'!F2052),IF(ISNUMBER(SEARCH("Party Name-",'R.M Billets Reports'!D2052)),TRIM(MID('R.M Billets Reports'!D2052,SEARCH("-",'R.M Billets Reports'!D2052)+1,200)),"")))="SHREE RADHE SHAKTI SPONGE AND POWER PVT. LTD.","SHREE RADHE",IF(IF(ISNUMBER(SEARCH("Party Name:-",'R.M Billets Reports'!D2051)),TRIM('R.M Billets Reports'!F2051),IF(ISNUMBER(SEARCH("Party Name-",'R.M Billets Reports'!D2051)),TRIM(MID('R.M Billets Reports'!D2051,SEARCH("-",'R.M Billets Reports'!D2051)+1,200)),""))&lt;&gt;"",IF(ISNUMBER(SEARCH("Party Name:-",'R.M Billets Reports'!D2051)),TRIM('R.M Billets Reports'!F2051),IF(ISNUMBER(SEARCH("Party Name-",'R.M Billets Reports'!D2051)),TRIM(MID('R.M Billets Reports'!D2051,SEARCH("-",'R.M Billets Reports'!D2051)+1,200)),"")),IF(ISNUMBER(SEARCH("Party Name:-",'R.M Billets Reports'!D2052)),TRIM('R.M Billets Reports'!F2052),IF(ISNUMBER(SEARCH("Party Name-",'R.M Billets Reports'!D2052)),TRIM(MID('R.M Billets Reports'!D2052,SEARCH("-",'R.M Billets Reports'!D2052)+1,200)),"")))))),IF(ROW()=2,"",A2051))</f>
      </c>
      <c r="B2052">
        <f>IF(OR('R.M Billets Reports'!A2051="Date-",'R.M Billets Reports'!A2051="Date:-"),'R.M Billets Reports'!B2051,IF(ROW()=2,"",B2051))</f>
      </c>
      <c r="C2052">
        <f>IF('R.M Billets Reports'!A2051="V.No.",'R.M Billets Reports'!B2051,IF(ROW()=2,"",C2051))</f>
      </c>
      <c r="D2052">
        <f>IF('R.M Billets Reports'!A2051&lt;&gt;"",'R.M Billets Reports'!A2051,IF(ROW()=2,"",D2051))</f>
      </c>
      <c r="E2052">
        <f>IF('R.M Billets Reports'!B2051="","",TRIM('R.M Billets Reports'!B2051))</f>
      </c>
      <c r="F2052">
        <f>'R.M Billets Reports'!C2051</f>
      </c>
      <c r="G2052">
        <f>'R.M Billets Reports'!D2051</f>
      </c>
      <c r="H2052">
        <f>'R.M Billets Reports'!E2051</f>
      </c>
      <c r="I2052">
        <f>'R.M Billets Reports'!F2051</f>
      </c>
      <c r="J2052">
        <f>'R.M Billets Reports'!G2051</f>
      </c>
      <c r="K2052">
        <f>'R.M Billets Reports'!H2051</f>
      </c>
      <c r="L2052">
        <f>IF('R.M Billets Reports'!I2051="","",'R.M Billets Reports'!I2051)</f>
      </c>
      <c r="M2052">
        <f t="shared" si="64"/>
      </c>
      <c r="N2052">
        <f>IF('R.M Billets Reports'!J2051="","",'R.M Billets Reports'!J2051)</f>
      </c>
      <c r="O2052">
        <f t="shared" si="65"/>
      </c>
      <c r="P2052">
        <f>IF('R.M Billets Reports'!A2051="SIZE",'R.M Billets Reports'!B2051,P2051)</f>
      </c>
    </row>
    <row r="2053" spans="1:16" x14ac:dyDescent="0.25">
      <c r="A2053">
        <f>IF(OR('R.M Billets Reports'!A2052="Date-",'R.M Billets Reports'!A2052="Date:-"),IF(IF(IF(ISNUMBER(SEARCH("Party Name:-",'R.M Billets Reports'!D2052)),TRIM('R.M Billets Reports'!F2052),IF(ISNUMBER(SEARCH("Party Name-",'R.M Billets Reports'!D2052)),TRIM(MID('R.M Billets Reports'!D2052,SEARCH("-",'R.M Billets Reports'!D2052)+1,200)),""))&lt;&gt;"",IF(ISNUMBER(SEARCH("Party Name:-",'R.M Billets Reports'!D2052)),TRIM('R.M Billets Reports'!F2052),IF(ISNUMBER(SEARCH("Party Name-",'R.M Billets Reports'!D2052)),TRIM(MID('R.M Billets Reports'!D2052,SEARCH("-",'R.M Billets Reports'!D2052)+1,200)),"")),IF(ISNUMBER(SEARCH("Party Name:-",'R.M Billets Reports'!D2053)),TRIM('R.M Billets Reports'!F2053),IF(ISNUMBER(SEARCH("Party Name-",'R.M Billets Reports'!D2053)),TRIM(MID('R.M Billets Reports'!D2053,SEARCH("-",'R.M Billets Reports'!D2053)+1,200)),"")))="VRKP ISPAT PVT LTD","VRKP",IF(IF(IF(ISNUMBER(SEARCH("Party Name:-",'R.M Billets Reports'!D2052)),TRIM('R.M Billets Reports'!F2052),IF(ISNUMBER(SEARCH("Party Name-",'R.M Billets Reports'!D2052)),TRIM(MID('R.M Billets Reports'!D2052,SEARCH("-",'R.M Billets Reports'!D2052)+1,200)),""))&lt;&gt;"",IF(ISNUMBER(SEARCH("Party Name:-",'R.M Billets Reports'!D2052)),TRIM('R.M Billets Reports'!F2052),IF(ISNUMBER(SEARCH("Party Name-",'R.M Billets Reports'!D2052)),TRIM(MID('R.M Billets Reports'!D2052,SEARCH("-",'R.M Billets Reports'!D2052)+1,200)),"")),IF(ISNUMBER(SEARCH("Party Name:-",'R.M Billets Reports'!D2053)),TRIM('R.M Billets Reports'!F2053),IF(ISNUMBER(SEARCH("Party Name-",'R.M Billets Reports'!D2053)),TRIM(MID('R.M Billets Reports'!D2053,SEARCH("-",'R.M Billets Reports'!D2053)+1,200)),"")))="SHRI RADHE","SHREE RADHE",IF(IF(IF(ISNUMBER(SEARCH("Party Name:-",'R.M Billets Reports'!D2052)),TRIM('R.M Billets Reports'!F2052),IF(ISNUMBER(SEARCH("Party Name-",'R.M Billets Reports'!D2052)),TRIM(MID('R.M Billets Reports'!D2052,SEARCH("-",'R.M Billets Reports'!D2052)+1,200)),""))&lt;&gt;"",IF(ISNUMBER(SEARCH("Party Name:-",'R.M Billets Reports'!D2052)),TRIM('R.M Billets Reports'!F2052),IF(ISNUMBER(SEARCH("Party Name-",'R.M Billets Reports'!D2052)),TRIM(MID('R.M Billets Reports'!D2052,SEARCH("-",'R.M Billets Reports'!D2052)+1,200)),"")),IF(ISNUMBER(SEARCH("Party Name:-",'R.M Billets Reports'!D2053)),TRIM('R.M Billets Reports'!F2053),IF(ISNUMBER(SEARCH("Party Name-",'R.M Billets Reports'!D2053)),TRIM(MID('R.M Billets Reports'!D2053,SEARCH("-",'R.M Billets Reports'!D2053)+1,200)),"")))="SHREE RADHE SHAKTI SPONGE AND POWER PVT. LTD.","SHREE RADHE",IF(IF(ISNUMBER(SEARCH("Party Name:-",'R.M Billets Reports'!D2052)),TRIM('R.M Billets Reports'!F2052),IF(ISNUMBER(SEARCH("Party Name-",'R.M Billets Reports'!D2052)),TRIM(MID('R.M Billets Reports'!D2052,SEARCH("-",'R.M Billets Reports'!D2052)+1,200)),""))&lt;&gt;"",IF(ISNUMBER(SEARCH("Party Name:-",'R.M Billets Reports'!D2052)),TRIM('R.M Billets Reports'!F2052),IF(ISNUMBER(SEARCH("Party Name-",'R.M Billets Reports'!D2052)),TRIM(MID('R.M Billets Reports'!D2052,SEARCH("-",'R.M Billets Reports'!D2052)+1,200)),"")),IF(ISNUMBER(SEARCH("Party Name:-",'R.M Billets Reports'!D2053)),TRIM('R.M Billets Reports'!F2053),IF(ISNUMBER(SEARCH("Party Name-",'R.M Billets Reports'!D2053)),TRIM(MID('R.M Billets Reports'!D2053,SEARCH("-",'R.M Billets Reports'!D2053)+1,200)),"")))))),IF(ROW()=2,"",A2052))</f>
      </c>
      <c r="B2053">
        <f>IF(OR('R.M Billets Reports'!A2052="Date-",'R.M Billets Reports'!A2052="Date:-"),'R.M Billets Reports'!B2052,IF(ROW()=2,"",B2052))</f>
      </c>
      <c r="C2053">
        <f>IF('R.M Billets Reports'!A2052="V.No.",'R.M Billets Reports'!B2052,IF(ROW()=2,"",C2052))</f>
      </c>
      <c r="D2053">
        <f>IF('R.M Billets Reports'!A2052&lt;&gt;"",'R.M Billets Reports'!A2052,IF(ROW()=2,"",D2052))</f>
      </c>
      <c r="E2053">
        <f>IF('R.M Billets Reports'!B2052="","",TRIM('R.M Billets Reports'!B2052))</f>
      </c>
      <c r="F2053">
        <f>'R.M Billets Reports'!C2052</f>
      </c>
      <c r="G2053">
        <f>'R.M Billets Reports'!D2052</f>
      </c>
      <c r="H2053">
        <f>'R.M Billets Reports'!E2052</f>
      </c>
      <c r="I2053">
        <f>'R.M Billets Reports'!F2052</f>
      </c>
      <c r="J2053">
        <f>'R.M Billets Reports'!G2052</f>
      </c>
      <c r="K2053">
        <f>'R.M Billets Reports'!H2052</f>
      </c>
      <c r="L2053">
        <f>IF('R.M Billets Reports'!I2052="","",'R.M Billets Reports'!I2052)</f>
      </c>
      <c r="M2053">
        <f t="shared" si="64"/>
      </c>
      <c r="N2053">
        <f>IF('R.M Billets Reports'!J2052="","",'R.M Billets Reports'!J2052)</f>
      </c>
      <c r="O2053">
        <f t="shared" si="65"/>
      </c>
      <c r="P2053">
        <f>IF('R.M Billets Reports'!A2052="SIZE",'R.M Billets Reports'!B2052,P2052)</f>
      </c>
    </row>
    <row r="2054" spans="1:16" x14ac:dyDescent="0.25">
      <c r="A2054">
        <f>IF(OR('R.M Billets Reports'!A2053="Date-",'R.M Billets Reports'!A2053="Date:-"),IF(IF(IF(ISNUMBER(SEARCH("Party Name:-",'R.M Billets Reports'!D2053)),TRIM('R.M Billets Reports'!F2053),IF(ISNUMBER(SEARCH("Party Name-",'R.M Billets Reports'!D2053)),TRIM(MID('R.M Billets Reports'!D2053,SEARCH("-",'R.M Billets Reports'!D2053)+1,200)),""))&lt;&gt;"",IF(ISNUMBER(SEARCH("Party Name:-",'R.M Billets Reports'!D2053)),TRIM('R.M Billets Reports'!F2053),IF(ISNUMBER(SEARCH("Party Name-",'R.M Billets Reports'!D2053)),TRIM(MID('R.M Billets Reports'!D2053,SEARCH("-",'R.M Billets Reports'!D2053)+1,200)),"")),IF(ISNUMBER(SEARCH("Party Name:-",'R.M Billets Reports'!D2054)),TRIM('R.M Billets Reports'!F2054),IF(ISNUMBER(SEARCH("Party Name-",'R.M Billets Reports'!D2054)),TRIM(MID('R.M Billets Reports'!D2054,SEARCH("-",'R.M Billets Reports'!D2054)+1,200)),"")))="VRKP ISPAT PVT LTD","VRKP",IF(IF(IF(ISNUMBER(SEARCH("Party Name:-",'R.M Billets Reports'!D2053)),TRIM('R.M Billets Reports'!F2053),IF(ISNUMBER(SEARCH("Party Name-",'R.M Billets Reports'!D2053)),TRIM(MID('R.M Billets Reports'!D2053,SEARCH("-",'R.M Billets Reports'!D2053)+1,200)),""))&lt;&gt;"",IF(ISNUMBER(SEARCH("Party Name:-",'R.M Billets Reports'!D2053)),TRIM('R.M Billets Reports'!F2053),IF(ISNUMBER(SEARCH("Party Name-",'R.M Billets Reports'!D2053)),TRIM(MID('R.M Billets Reports'!D2053,SEARCH("-",'R.M Billets Reports'!D2053)+1,200)),"")),IF(ISNUMBER(SEARCH("Party Name:-",'R.M Billets Reports'!D2054)),TRIM('R.M Billets Reports'!F2054),IF(ISNUMBER(SEARCH("Party Name-",'R.M Billets Reports'!D2054)),TRIM(MID('R.M Billets Reports'!D2054,SEARCH("-",'R.M Billets Reports'!D2054)+1,200)),"")))="SHRI RADHE","SHREE RADHE",IF(IF(IF(ISNUMBER(SEARCH("Party Name:-",'R.M Billets Reports'!D2053)),TRIM('R.M Billets Reports'!F2053),IF(ISNUMBER(SEARCH("Party Name-",'R.M Billets Reports'!D2053)),TRIM(MID('R.M Billets Reports'!D2053,SEARCH("-",'R.M Billets Reports'!D2053)+1,200)),""))&lt;&gt;"",IF(ISNUMBER(SEARCH("Party Name:-",'R.M Billets Reports'!D2053)),TRIM('R.M Billets Reports'!F2053),IF(ISNUMBER(SEARCH("Party Name-",'R.M Billets Reports'!D2053)),TRIM(MID('R.M Billets Reports'!D2053,SEARCH("-",'R.M Billets Reports'!D2053)+1,200)),"")),IF(ISNUMBER(SEARCH("Party Name:-",'R.M Billets Reports'!D2054)),TRIM('R.M Billets Reports'!F2054),IF(ISNUMBER(SEARCH("Party Name-",'R.M Billets Reports'!D2054)),TRIM(MID('R.M Billets Reports'!D2054,SEARCH("-",'R.M Billets Reports'!D2054)+1,200)),"")))="SHREE RADHE SHAKTI SPONGE AND POWER PVT. LTD.","SHREE RADHE",IF(IF(ISNUMBER(SEARCH("Party Name:-",'R.M Billets Reports'!D2053)),TRIM('R.M Billets Reports'!F2053),IF(ISNUMBER(SEARCH("Party Name-",'R.M Billets Reports'!D2053)),TRIM(MID('R.M Billets Reports'!D2053,SEARCH("-",'R.M Billets Reports'!D2053)+1,200)),""))&lt;&gt;"",IF(ISNUMBER(SEARCH("Party Name:-",'R.M Billets Reports'!D2053)),TRIM('R.M Billets Reports'!F2053),IF(ISNUMBER(SEARCH("Party Name-",'R.M Billets Reports'!D2053)),TRIM(MID('R.M Billets Reports'!D2053,SEARCH("-",'R.M Billets Reports'!D2053)+1,200)),"")),IF(ISNUMBER(SEARCH("Party Name:-",'R.M Billets Reports'!D2054)),TRIM('R.M Billets Reports'!F2054),IF(ISNUMBER(SEARCH("Party Name-",'R.M Billets Reports'!D2054)),TRIM(MID('R.M Billets Reports'!D2054,SEARCH("-",'R.M Billets Reports'!D2054)+1,200)),"")))))),IF(ROW()=2,"",A2053))</f>
      </c>
      <c r="B2054">
        <f>IF(OR('R.M Billets Reports'!A2053="Date-",'R.M Billets Reports'!A2053="Date:-"),'R.M Billets Reports'!B2053,IF(ROW()=2,"",B2053))</f>
      </c>
      <c r="C2054">
        <f>IF('R.M Billets Reports'!A2053="V.No.",'R.M Billets Reports'!B2053,IF(ROW()=2,"",C2053))</f>
      </c>
      <c r="D2054">
        <f>IF('R.M Billets Reports'!A2053&lt;&gt;"",'R.M Billets Reports'!A2053,IF(ROW()=2,"",D2053))</f>
      </c>
      <c r="E2054">
        <f>IF('R.M Billets Reports'!B2053="","",TRIM('R.M Billets Reports'!B2053))</f>
      </c>
      <c r="F2054">
        <f>'R.M Billets Reports'!C2053</f>
      </c>
      <c r="G2054">
        <f>'R.M Billets Reports'!D2053</f>
      </c>
      <c r="H2054">
        <f>'R.M Billets Reports'!E2053</f>
      </c>
      <c r="I2054">
        <f>'R.M Billets Reports'!F2053</f>
      </c>
      <c r="J2054">
        <f>'R.M Billets Reports'!G2053</f>
      </c>
      <c r="K2054">
        <f>'R.M Billets Reports'!H2053</f>
      </c>
      <c r="L2054">
        <f>IF('R.M Billets Reports'!I2053="","",'R.M Billets Reports'!I2053)</f>
      </c>
      <c r="M2054">
        <f t="shared" si="64"/>
      </c>
      <c r="N2054">
        <f>IF('R.M Billets Reports'!J2053="","",'R.M Billets Reports'!J2053)</f>
      </c>
      <c r="O2054">
        <f t="shared" si="65"/>
      </c>
      <c r="P2054">
        <f>IF('R.M Billets Reports'!A2053="SIZE",'R.M Billets Reports'!B2053,P2053)</f>
      </c>
    </row>
    <row r="2055" spans="1:16" x14ac:dyDescent="0.25">
      <c r="A2055">
        <f>IF(OR('R.M Billets Reports'!A2054="Date-",'R.M Billets Reports'!A2054="Date:-"),IF(IF(IF(ISNUMBER(SEARCH("Party Name:-",'R.M Billets Reports'!D2054)),TRIM('R.M Billets Reports'!F2054),IF(ISNUMBER(SEARCH("Party Name-",'R.M Billets Reports'!D2054)),TRIM(MID('R.M Billets Reports'!D2054,SEARCH("-",'R.M Billets Reports'!D2054)+1,200)),""))&lt;&gt;"",IF(ISNUMBER(SEARCH("Party Name:-",'R.M Billets Reports'!D2054)),TRIM('R.M Billets Reports'!F2054),IF(ISNUMBER(SEARCH("Party Name-",'R.M Billets Reports'!D2054)),TRIM(MID('R.M Billets Reports'!D2054,SEARCH("-",'R.M Billets Reports'!D2054)+1,200)),"")),IF(ISNUMBER(SEARCH("Party Name:-",'R.M Billets Reports'!D2055)),TRIM('R.M Billets Reports'!F2055),IF(ISNUMBER(SEARCH("Party Name-",'R.M Billets Reports'!D2055)),TRIM(MID('R.M Billets Reports'!D2055,SEARCH("-",'R.M Billets Reports'!D2055)+1,200)),"")))="VRKP ISPAT PVT LTD","VRKP",IF(IF(IF(ISNUMBER(SEARCH("Party Name:-",'R.M Billets Reports'!D2054)),TRIM('R.M Billets Reports'!F2054),IF(ISNUMBER(SEARCH("Party Name-",'R.M Billets Reports'!D2054)),TRIM(MID('R.M Billets Reports'!D2054,SEARCH("-",'R.M Billets Reports'!D2054)+1,200)),""))&lt;&gt;"",IF(ISNUMBER(SEARCH("Party Name:-",'R.M Billets Reports'!D2054)),TRIM('R.M Billets Reports'!F2054),IF(ISNUMBER(SEARCH("Party Name-",'R.M Billets Reports'!D2054)),TRIM(MID('R.M Billets Reports'!D2054,SEARCH("-",'R.M Billets Reports'!D2054)+1,200)),"")),IF(ISNUMBER(SEARCH("Party Name:-",'R.M Billets Reports'!D2055)),TRIM('R.M Billets Reports'!F2055),IF(ISNUMBER(SEARCH("Party Name-",'R.M Billets Reports'!D2055)),TRIM(MID('R.M Billets Reports'!D2055,SEARCH("-",'R.M Billets Reports'!D2055)+1,200)),"")))="SHRI RADHE","SHREE RADHE",IF(IF(IF(ISNUMBER(SEARCH("Party Name:-",'R.M Billets Reports'!D2054)),TRIM('R.M Billets Reports'!F2054),IF(ISNUMBER(SEARCH("Party Name-",'R.M Billets Reports'!D2054)),TRIM(MID('R.M Billets Reports'!D2054,SEARCH("-",'R.M Billets Reports'!D2054)+1,200)),""))&lt;&gt;"",IF(ISNUMBER(SEARCH("Party Name:-",'R.M Billets Reports'!D2054)),TRIM('R.M Billets Reports'!F2054),IF(ISNUMBER(SEARCH("Party Name-",'R.M Billets Reports'!D2054)),TRIM(MID('R.M Billets Reports'!D2054,SEARCH("-",'R.M Billets Reports'!D2054)+1,200)),"")),IF(ISNUMBER(SEARCH("Party Name:-",'R.M Billets Reports'!D2055)),TRIM('R.M Billets Reports'!F2055),IF(ISNUMBER(SEARCH("Party Name-",'R.M Billets Reports'!D2055)),TRIM(MID('R.M Billets Reports'!D2055,SEARCH("-",'R.M Billets Reports'!D2055)+1,200)),"")))="SHREE RADHE SHAKTI SPONGE AND POWER PVT. LTD.","SHREE RADHE",IF(IF(ISNUMBER(SEARCH("Party Name:-",'R.M Billets Reports'!D2054)),TRIM('R.M Billets Reports'!F2054),IF(ISNUMBER(SEARCH("Party Name-",'R.M Billets Reports'!D2054)),TRIM(MID('R.M Billets Reports'!D2054,SEARCH("-",'R.M Billets Reports'!D2054)+1,200)),""))&lt;&gt;"",IF(ISNUMBER(SEARCH("Party Name:-",'R.M Billets Reports'!D2054)),TRIM('R.M Billets Reports'!F2054),IF(ISNUMBER(SEARCH("Party Name-",'R.M Billets Reports'!D2054)),TRIM(MID('R.M Billets Reports'!D2054,SEARCH("-",'R.M Billets Reports'!D2054)+1,200)),"")),IF(ISNUMBER(SEARCH("Party Name:-",'R.M Billets Reports'!D2055)),TRIM('R.M Billets Reports'!F2055),IF(ISNUMBER(SEARCH("Party Name-",'R.M Billets Reports'!D2055)),TRIM(MID('R.M Billets Reports'!D2055,SEARCH("-",'R.M Billets Reports'!D2055)+1,200)),"")))))),IF(ROW()=2,"",A2054))</f>
      </c>
      <c r="B2055">
        <f>IF(OR('R.M Billets Reports'!A2054="Date-",'R.M Billets Reports'!A2054="Date:-"),'R.M Billets Reports'!B2054,IF(ROW()=2,"",B2054))</f>
      </c>
      <c r="C2055">
        <f>IF('R.M Billets Reports'!A2054="V.No.",'R.M Billets Reports'!B2054,IF(ROW()=2,"",C2054))</f>
      </c>
      <c r="D2055">
        <f>IF('R.M Billets Reports'!A2054&lt;&gt;"",'R.M Billets Reports'!A2054,IF(ROW()=2,"",D2054))</f>
      </c>
      <c r="E2055">
        <f>IF('R.M Billets Reports'!B2054="","",TRIM('R.M Billets Reports'!B2054))</f>
      </c>
      <c r="F2055">
        <f>'R.M Billets Reports'!C2054</f>
      </c>
      <c r="G2055">
        <f>'R.M Billets Reports'!D2054</f>
      </c>
      <c r="H2055">
        <f>'R.M Billets Reports'!E2054</f>
      </c>
      <c r="I2055">
        <f>'R.M Billets Reports'!F2054</f>
      </c>
      <c r="J2055">
        <f>'R.M Billets Reports'!G2054</f>
      </c>
      <c r="K2055">
        <f>'R.M Billets Reports'!H2054</f>
      </c>
      <c r="L2055">
        <f>IF('R.M Billets Reports'!I2054="","",'R.M Billets Reports'!I2054)</f>
      </c>
      <c r="M2055">
        <f t="shared" si="64"/>
      </c>
      <c r="N2055">
        <f>IF('R.M Billets Reports'!J2054="","",'R.M Billets Reports'!J2054)</f>
      </c>
      <c r="O2055">
        <f t="shared" si="65"/>
      </c>
      <c r="P2055">
        <f>IF('R.M Billets Reports'!A2054="SIZE",'R.M Billets Reports'!B2054,P2054)</f>
      </c>
    </row>
    <row r="2056" spans="1:16" x14ac:dyDescent="0.25">
      <c r="A2056">
        <f>IF(OR('R.M Billets Reports'!A2055="Date-",'R.M Billets Reports'!A2055="Date:-"),IF(IF(IF(ISNUMBER(SEARCH("Party Name:-",'R.M Billets Reports'!D2055)),TRIM('R.M Billets Reports'!F2055),IF(ISNUMBER(SEARCH("Party Name-",'R.M Billets Reports'!D2055)),TRIM(MID('R.M Billets Reports'!D2055,SEARCH("-",'R.M Billets Reports'!D2055)+1,200)),""))&lt;&gt;"",IF(ISNUMBER(SEARCH("Party Name:-",'R.M Billets Reports'!D2055)),TRIM('R.M Billets Reports'!F2055),IF(ISNUMBER(SEARCH("Party Name-",'R.M Billets Reports'!D2055)),TRIM(MID('R.M Billets Reports'!D2055,SEARCH("-",'R.M Billets Reports'!D2055)+1,200)),"")),IF(ISNUMBER(SEARCH("Party Name:-",'R.M Billets Reports'!D2056)),TRIM('R.M Billets Reports'!F2056),IF(ISNUMBER(SEARCH("Party Name-",'R.M Billets Reports'!D2056)),TRIM(MID('R.M Billets Reports'!D2056,SEARCH("-",'R.M Billets Reports'!D2056)+1,200)),"")))="VRKP ISPAT PVT LTD","VRKP",IF(IF(IF(ISNUMBER(SEARCH("Party Name:-",'R.M Billets Reports'!D2055)),TRIM('R.M Billets Reports'!F2055),IF(ISNUMBER(SEARCH("Party Name-",'R.M Billets Reports'!D2055)),TRIM(MID('R.M Billets Reports'!D2055,SEARCH("-",'R.M Billets Reports'!D2055)+1,200)),""))&lt;&gt;"",IF(ISNUMBER(SEARCH("Party Name:-",'R.M Billets Reports'!D2055)),TRIM('R.M Billets Reports'!F2055),IF(ISNUMBER(SEARCH("Party Name-",'R.M Billets Reports'!D2055)),TRIM(MID('R.M Billets Reports'!D2055,SEARCH("-",'R.M Billets Reports'!D2055)+1,200)),"")),IF(ISNUMBER(SEARCH("Party Name:-",'R.M Billets Reports'!D2056)),TRIM('R.M Billets Reports'!F2056),IF(ISNUMBER(SEARCH("Party Name-",'R.M Billets Reports'!D2056)),TRIM(MID('R.M Billets Reports'!D2056,SEARCH("-",'R.M Billets Reports'!D2056)+1,200)),"")))="SHRI RADHE","SHREE RADHE",IF(IF(IF(ISNUMBER(SEARCH("Party Name:-",'R.M Billets Reports'!D2055)),TRIM('R.M Billets Reports'!F2055),IF(ISNUMBER(SEARCH("Party Name-",'R.M Billets Reports'!D2055)),TRIM(MID('R.M Billets Reports'!D2055,SEARCH("-",'R.M Billets Reports'!D2055)+1,200)),""))&lt;&gt;"",IF(ISNUMBER(SEARCH("Party Name:-",'R.M Billets Reports'!D2055)),TRIM('R.M Billets Reports'!F2055),IF(ISNUMBER(SEARCH("Party Name-",'R.M Billets Reports'!D2055)),TRIM(MID('R.M Billets Reports'!D2055,SEARCH("-",'R.M Billets Reports'!D2055)+1,200)),"")),IF(ISNUMBER(SEARCH("Party Name:-",'R.M Billets Reports'!D2056)),TRIM('R.M Billets Reports'!F2056),IF(ISNUMBER(SEARCH("Party Name-",'R.M Billets Reports'!D2056)),TRIM(MID('R.M Billets Reports'!D2056,SEARCH("-",'R.M Billets Reports'!D2056)+1,200)),"")))="SHREE RADHE SHAKTI SPONGE AND POWER PVT. LTD.","SHREE RADHE",IF(IF(ISNUMBER(SEARCH("Party Name:-",'R.M Billets Reports'!D2055)),TRIM('R.M Billets Reports'!F2055),IF(ISNUMBER(SEARCH("Party Name-",'R.M Billets Reports'!D2055)),TRIM(MID('R.M Billets Reports'!D2055,SEARCH("-",'R.M Billets Reports'!D2055)+1,200)),""))&lt;&gt;"",IF(ISNUMBER(SEARCH("Party Name:-",'R.M Billets Reports'!D2055)),TRIM('R.M Billets Reports'!F2055),IF(ISNUMBER(SEARCH("Party Name-",'R.M Billets Reports'!D2055)),TRIM(MID('R.M Billets Reports'!D2055,SEARCH("-",'R.M Billets Reports'!D2055)+1,200)),"")),IF(ISNUMBER(SEARCH("Party Name:-",'R.M Billets Reports'!D2056)),TRIM('R.M Billets Reports'!F2056),IF(ISNUMBER(SEARCH("Party Name-",'R.M Billets Reports'!D2056)),TRIM(MID('R.M Billets Reports'!D2056,SEARCH("-",'R.M Billets Reports'!D2056)+1,200)),"")))))),IF(ROW()=2,"",A2055))</f>
      </c>
      <c r="B2056">
        <f>IF(OR('R.M Billets Reports'!A2055="Date-",'R.M Billets Reports'!A2055="Date:-"),'R.M Billets Reports'!B2055,IF(ROW()=2,"",B2055))</f>
      </c>
      <c r="C2056">
        <f>IF('R.M Billets Reports'!A2055="V.No.",'R.M Billets Reports'!B2055,IF(ROW()=2,"",C2055))</f>
      </c>
      <c r="D2056">
        <f>IF('R.M Billets Reports'!A2055&lt;&gt;"",'R.M Billets Reports'!A2055,IF(ROW()=2,"",D2055))</f>
      </c>
      <c r="E2056">
        <f>IF('R.M Billets Reports'!B2055="","",TRIM('R.M Billets Reports'!B2055))</f>
      </c>
      <c r="F2056">
        <f>'R.M Billets Reports'!C2055</f>
      </c>
      <c r="G2056">
        <f>'R.M Billets Reports'!D2055</f>
      </c>
      <c r="H2056">
        <f>'R.M Billets Reports'!E2055</f>
      </c>
      <c r="I2056">
        <f>'R.M Billets Reports'!F2055</f>
      </c>
      <c r="J2056">
        <f>'R.M Billets Reports'!G2055</f>
      </c>
      <c r="K2056">
        <f>'R.M Billets Reports'!H2055</f>
      </c>
      <c r="L2056">
        <f>IF('R.M Billets Reports'!I2055="","",'R.M Billets Reports'!I2055)</f>
      </c>
      <c r="M2056">
        <f t="shared" si="64"/>
      </c>
      <c r="N2056">
        <f>IF('R.M Billets Reports'!J2055="","",'R.M Billets Reports'!J2055)</f>
      </c>
      <c r="O2056">
        <f t="shared" si="65"/>
      </c>
      <c r="P2056">
        <f>IF('R.M Billets Reports'!A2055="SIZE",'R.M Billets Reports'!B2055,P2055)</f>
      </c>
    </row>
    <row r="2057" spans="1:16" x14ac:dyDescent="0.25">
      <c r="A2057">
        <f>IF(OR('R.M Billets Reports'!A2056="Date-",'R.M Billets Reports'!A2056="Date:-"),IF(IF(IF(ISNUMBER(SEARCH("Party Name:-",'R.M Billets Reports'!D2056)),TRIM('R.M Billets Reports'!F2056),IF(ISNUMBER(SEARCH("Party Name-",'R.M Billets Reports'!D2056)),TRIM(MID('R.M Billets Reports'!D2056,SEARCH("-",'R.M Billets Reports'!D2056)+1,200)),""))&lt;&gt;"",IF(ISNUMBER(SEARCH("Party Name:-",'R.M Billets Reports'!D2056)),TRIM('R.M Billets Reports'!F2056),IF(ISNUMBER(SEARCH("Party Name-",'R.M Billets Reports'!D2056)),TRIM(MID('R.M Billets Reports'!D2056,SEARCH("-",'R.M Billets Reports'!D2056)+1,200)),"")),IF(ISNUMBER(SEARCH("Party Name:-",'R.M Billets Reports'!D2057)),TRIM('R.M Billets Reports'!F2057),IF(ISNUMBER(SEARCH("Party Name-",'R.M Billets Reports'!D2057)),TRIM(MID('R.M Billets Reports'!D2057,SEARCH("-",'R.M Billets Reports'!D2057)+1,200)),"")))="VRKP ISPAT PVT LTD","VRKP",IF(IF(IF(ISNUMBER(SEARCH("Party Name:-",'R.M Billets Reports'!D2056)),TRIM('R.M Billets Reports'!F2056),IF(ISNUMBER(SEARCH("Party Name-",'R.M Billets Reports'!D2056)),TRIM(MID('R.M Billets Reports'!D2056,SEARCH("-",'R.M Billets Reports'!D2056)+1,200)),""))&lt;&gt;"",IF(ISNUMBER(SEARCH("Party Name:-",'R.M Billets Reports'!D2056)),TRIM('R.M Billets Reports'!F2056),IF(ISNUMBER(SEARCH("Party Name-",'R.M Billets Reports'!D2056)),TRIM(MID('R.M Billets Reports'!D2056,SEARCH("-",'R.M Billets Reports'!D2056)+1,200)),"")),IF(ISNUMBER(SEARCH("Party Name:-",'R.M Billets Reports'!D2057)),TRIM('R.M Billets Reports'!F2057),IF(ISNUMBER(SEARCH("Party Name-",'R.M Billets Reports'!D2057)),TRIM(MID('R.M Billets Reports'!D2057,SEARCH("-",'R.M Billets Reports'!D2057)+1,200)),"")))="SHRI RADHE","SHREE RADHE",IF(IF(IF(ISNUMBER(SEARCH("Party Name:-",'R.M Billets Reports'!D2056)),TRIM('R.M Billets Reports'!F2056),IF(ISNUMBER(SEARCH("Party Name-",'R.M Billets Reports'!D2056)),TRIM(MID('R.M Billets Reports'!D2056,SEARCH("-",'R.M Billets Reports'!D2056)+1,200)),""))&lt;&gt;"",IF(ISNUMBER(SEARCH("Party Name:-",'R.M Billets Reports'!D2056)),TRIM('R.M Billets Reports'!F2056),IF(ISNUMBER(SEARCH("Party Name-",'R.M Billets Reports'!D2056)),TRIM(MID('R.M Billets Reports'!D2056,SEARCH("-",'R.M Billets Reports'!D2056)+1,200)),"")),IF(ISNUMBER(SEARCH("Party Name:-",'R.M Billets Reports'!D2057)),TRIM('R.M Billets Reports'!F2057),IF(ISNUMBER(SEARCH("Party Name-",'R.M Billets Reports'!D2057)),TRIM(MID('R.M Billets Reports'!D2057,SEARCH("-",'R.M Billets Reports'!D2057)+1,200)),"")))="SHREE RADHE SHAKTI SPONGE AND POWER PVT. LTD.","SHREE RADHE",IF(IF(ISNUMBER(SEARCH("Party Name:-",'R.M Billets Reports'!D2056)),TRIM('R.M Billets Reports'!F2056),IF(ISNUMBER(SEARCH("Party Name-",'R.M Billets Reports'!D2056)),TRIM(MID('R.M Billets Reports'!D2056,SEARCH("-",'R.M Billets Reports'!D2056)+1,200)),""))&lt;&gt;"",IF(ISNUMBER(SEARCH("Party Name:-",'R.M Billets Reports'!D2056)),TRIM('R.M Billets Reports'!F2056),IF(ISNUMBER(SEARCH("Party Name-",'R.M Billets Reports'!D2056)),TRIM(MID('R.M Billets Reports'!D2056,SEARCH("-",'R.M Billets Reports'!D2056)+1,200)),"")),IF(ISNUMBER(SEARCH("Party Name:-",'R.M Billets Reports'!D2057)),TRIM('R.M Billets Reports'!F2057),IF(ISNUMBER(SEARCH("Party Name-",'R.M Billets Reports'!D2057)),TRIM(MID('R.M Billets Reports'!D2057,SEARCH("-",'R.M Billets Reports'!D2057)+1,200)),"")))))),IF(ROW()=2,"",A2056))</f>
      </c>
      <c r="B2057">
        <f>IF(OR('R.M Billets Reports'!A2056="Date-",'R.M Billets Reports'!A2056="Date:-"),'R.M Billets Reports'!B2056,IF(ROW()=2,"",B2056))</f>
      </c>
      <c r="C2057">
        <f>IF('R.M Billets Reports'!A2056="V.No.",'R.M Billets Reports'!B2056,IF(ROW()=2,"",C2056))</f>
      </c>
      <c r="D2057">
        <f>IF('R.M Billets Reports'!A2056&lt;&gt;"",'R.M Billets Reports'!A2056,IF(ROW()=2,"",D2056))</f>
      </c>
      <c r="E2057">
        <f>IF('R.M Billets Reports'!B2056="","",TRIM('R.M Billets Reports'!B2056))</f>
      </c>
      <c r="F2057">
        <f>'R.M Billets Reports'!C2056</f>
      </c>
      <c r="G2057">
        <f>'R.M Billets Reports'!D2056</f>
      </c>
      <c r="H2057">
        <f>'R.M Billets Reports'!E2056</f>
      </c>
      <c r="I2057">
        <f>'R.M Billets Reports'!F2056</f>
      </c>
      <c r="J2057">
        <f>'R.M Billets Reports'!G2056</f>
      </c>
      <c r="K2057">
        <f>'R.M Billets Reports'!H2056</f>
      </c>
      <c r="L2057">
        <f>IF('R.M Billets Reports'!I2056="","",'R.M Billets Reports'!I2056)</f>
      </c>
      <c r="M2057">
        <f t="shared" si="64"/>
      </c>
      <c r="N2057">
        <f>IF('R.M Billets Reports'!J2056="","",'R.M Billets Reports'!J2056)</f>
      </c>
      <c r="O2057">
        <f t="shared" si="65"/>
      </c>
      <c r="P2057">
        <f>IF('R.M Billets Reports'!A2056="SIZE",'R.M Billets Reports'!B2056,P2056)</f>
      </c>
    </row>
    <row r="2058" spans="1:16" x14ac:dyDescent="0.25">
      <c r="A2058">
        <f>IF(OR('R.M Billets Reports'!A2057="Date-",'R.M Billets Reports'!A2057="Date:-"),IF(IF(IF(ISNUMBER(SEARCH("Party Name:-",'R.M Billets Reports'!D2057)),TRIM('R.M Billets Reports'!F2057),IF(ISNUMBER(SEARCH("Party Name-",'R.M Billets Reports'!D2057)),TRIM(MID('R.M Billets Reports'!D2057,SEARCH("-",'R.M Billets Reports'!D2057)+1,200)),""))&lt;&gt;"",IF(ISNUMBER(SEARCH("Party Name:-",'R.M Billets Reports'!D2057)),TRIM('R.M Billets Reports'!F2057),IF(ISNUMBER(SEARCH("Party Name-",'R.M Billets Reports'!D2057)),TRIM(MID('R.M Billets Reports'!D2057,SEARCH("-",'R.M Billets Reports'!D2057)+1,200)),"")),IF(ISNUMBER(SEARCH("Party Name:-",'R.M Billets Reports'!D2058)),TRIM('R.M Billets Reports'!F2058),IF(ISNUMBER(SEARCH("Party Name-",'R.M Billets Reports'!D2058)),TRIM(MID('R.M Billets Reports'!D2058,SEARCH("-",'R.M Billets Reports'!D2058)+1,200)),"")))="VRKP ISPAT PVT LTD","VRKP",IF(IF(IF(ISNUMBER(SEARCH("Party Name:-",'R.M Billets Reports'!D2057)),TRIM('R.M Billets Reports'!F2057),IF(ISNUMBER(SEARCH("Party Name-",'R.M Billets Reports'!D2057)),TRIM(MID('R.M Billets Reports'!D2057,SEARCH("-",'R.M Billets Reports'!D2057)+1,200)),""))&lt;&gt;"",IF(ISNUMBER(SEARCH("Party Name:-",'R.M Billets Reports'!D2057)),TRIM('R.M Billets Reports'!F2057),IF(ISNUMBER(SEARCH("Party Name-",'R.M Billets Reports'!D2057)),TRIM(MID('R.M Billets Reports'!D2057,SEARCH("-",'R.M Billets Reports'!D2057)+1,200)),"")),IF(ISNUMBER(SEARCH("Party Name:-",'R.M Billets Reports'!D2058)),TRIM('R.M Billets Reports'!F2058),IF(ISNUMBER(SEARCH("Party Name-",'R.M Billets Reports'!D2058)),TRIM(MID('R.M Billets Reports'!D2058,SEARCH("-",'R.M Billets Reports'!D2058)+1,200)),"")))="SHRI RADHE","SHREE RADHE",IF(IF(IF(ISNUMBER(SEARCH("Party Name:-",'R.M Billets Reports'!D2057)),TRIM('R.M Billets Reports'!F2057),IF(ISNUMBER(SEARCH("Party Name-",'R.M Billets Reports'!D2057)),TRIM(MID('R.M Billets Reports'!D2057,SEARCH("-",'R.M Billets Reports'!D2057)+1,200)),""))&lt;&gt;"",IF(ISNUMBER(SEARCH("Party Name:-",'R.M Billets Reports'!D2057)),TRIM('R.M Billets Reports'!F2057),IF(ISNUMBER(SEARCH("Party Name-",'R.M Billets Reports'!D2057)),TRIM(MID('R.M Billets Reports'!D2057,SEARCH("-",'R.M Billets Reports'!D2057)+1,200)),"")),IF(ISNUMBER(SEARCH("Party Name:-",'R.M Billets Reports'!D2058)),TRIM('R.M Billets Reports'!F2058),IF(ISNUMBER(SEARCH("Party Name-",'R.M Billets Reports'!D2058)),TRIM(MID('R.M Billets Reports'!D2058,SEARCH("-",'R.M Billets Reports'!D2058)+1,200)),"")))="SHREE RADHE SHAKTI SPONGE AND POWER PVT. LTD.","SHREE RADHE",IF(IF(ISNUMBER(SEARCH("Party Name:-",'R.M Billets Reports'!D2057)),TRIM('R.M Billets Reports'!F2057),IF(ISNUMBER(SEARCH("Party Name-",'R.M Billets Reports'!D2057)),TRIM(MID('R.M Billets Reports'!D2057,SEARCH("-",'R.M Billets Reports'!D2057)+1,200)),""))&lt;&gt;"",IF(ISNUMBER(SEARCH("Party Name:-",'R.M Billets Reports'!D2057)),TRIM('R.M Billets Reports'!F2057),IF(ISNUMBER(SEARCH("Party Name-",'R.M Billets Reports'!D2057)),TRIM(MID('R.M Billets Reports'!D2057,SEARCH("-",'R.M Billets Reports'!D2057)+1,200)),"")),IF(ISNUMBER(SEARCH("Party Name:-",'R.M Billets Reports'!D2058)),TRIM('R.M Billets Reports'!F2058),IF(ISNUMBER(SEARCH("Party Name-",'R.M Billets Reports'!D2058)),TRIM(MID('R.M Billets Reports'!D2058,SEARCH("-",'R.M Billets Reports'!D2058)+1,200)),"")))))),IF(ROW()=2,"",A2057))</f>
      </c>
      <c r="B2058">
        <f>IF(OR('R.M Billets Reports'!A2057="Date-",'R.M Billets Reports'!A2057="Date:-"),'R.M Billets Reports'!B2057,IF(ROW()=2,"",B2057))</f>
      </c>
      <c r="C2058">
        <f>IF('R.M Billets Reports'!A2057="V.No.",'R.M Billets Reports'!B2057,IF(ROW()=2,"",C2057))</f>
      </c>
      <c r="D2058">
        <f>IF('R.M Billets Reports'!A2057&lt;&gt;"",'R.M Billets Reports'!A2057,IF(ROW()=2,"",D2057))</f>
      </c>
      <c r="E2058">
        <f>IF('R.M Billets Reports'!B2057="","",TRIM('R.M Billets Reports'!B2057))</f>
      </c>
      <c r="F2058">
        <f>'R.M Billets Reports'!C2057</f>
      </c>
      <c r="G2058">
        <f>'R.M Billets Reports'!D2057</f>
      </c>
      <c r="H2058">
        <f>'R.M Billets Reports'!E2057</f>
      </c>
      <c r="I2058">
        <f>'R.M Billets Reports'!F2057</f>
      </c>
      <c r="J2058">
        <f>'R.M Billets Reports'!G2057</f>
      </c>
      <c r="K2058">
        <f>'R.M Billets Reports'!H2057</f>
      </c>
      <c r="L2058">
        <f>IF('R.M Billets Reports'!I2057="","",'R.M Billets Reports'!I2057)</f>
      </c>
      <c r="M2058">
        <f t="shared" si="64"/>
      </c>
      <c r="N2058">
        <f>IF('R.M Billets Reports'!J2057="","",'R.M Billets Reports'!J2057)</f>
      </c>
      <c r="O2058">
        <f t="shared" si="65"/>
      </c>
      <c r="P2058">
        <f>IF('R.M Billets Reports'!A2057="SIZE",'R.M Billets Reports'!B2057,P2057)</f>
      </c>
    </row>
    <row r="2059" spans="1:16" x14ac:dyDescent="0.25">
      <c r="A2059">
        <f>IF(OR('R.M Billets Reports'!A2058="Date-",'R.M Billets Reports'!A2058="Date:-"),IF(IF(IF(ISNUMBER(SEARCH("Party Name:-",'R.M Billets Reports'!D2058)),TRIM('R.M Billets Reports'!F2058),IF(ISNUMBER(SEARCH("Party Name-",'R.M Billets Reports'!D2058)),TRIM(MID('R.M Billets Reports'!D2058,SEARCH("-",'R.M Billets Reports'!D2058)+1,200)),""))&lt;&gt;"",IF(ISNUMBER(SEARCH("Party Name:-",'R.M Billets Reports'!D2058)),TRIM('R.M Billets Reports'!F2058),IF(ISNUMBER(SEARCH("Party Name-",'R.M Billets Reports'!D2058)),TRIM(MID('R.M Billets Reports'!D2058,SEARCH("-",'R.M Billets Reports'!D2058)+1,200)),"")),IF(ISNUMBER(SEARCH("Party Name:-",'R.M Billets Reports'!D2059)),TRIM('R.M Billets Reports'!F2059),IF(ISNUMBER(SEARCH("Party Name-",'R.M Billets Reports'!D2059)),TRIM(MID('R.M Billets Reports'!D2059,SEARCH("-",'R.M Billets Reports'!D2059)+1,200)),"")))="VRKP ISPAT PVT LTD","VRKP",IF(IF(IF(ISNUMBER(SEARCH("Party Name:-",'R.M Billets Reports'!D2058)),TRIM('R.M Billets Reports'!F2058),IF(ISNUMBER(SEARCH("Party Name-",'R.M Billets Reports'!D2058)),TRIM(MID('R.M Billets Reports'!D2058,SEARCH("-",'R.M Billets Reports'!D2058)+1,200)),""))&lt;&gt;"",IF(ISNUMBER(SEARCH("Party Name:-",'R.M Billets Reports'!D2058)),TRIM('R.M Billets Reports'!F2058),IF(ISNUMBER(SEARCH("Party Name-",'R.M Billets Reports'!D2058)),TRIM(MID('R.M Billets Reports'!D2058,SEARCH("-",'R.M Billets Reports'!D2058)+1,200)),"")),IF(ISNUMBER(SEARCH("Party Name:-",'R.M Billets Reports'!D2059)),TRIM('R.M Billets Reports'!F2059),IF(ISNUMBER(SEARCH("Party Name-",'R.M Billets Reports'!D2059)),TRIM(MID('R.M Billets Reports'!D2059,SEARCH("-",'R.M Billets Reports'!D2059)+1,200)),"")))="SHRI RADHE","SHREE RADHE",IF(IF(IF(ISNUMBER(SEARCH("Party Name:-",'R.M Billets Reports'!D2058)),TRIM('R.M Billets Reports'!F2058),IF(ISNUMBER(SEARCH("Party Name-",'R.M Billets Reports'!D2058)),TRIM(MID('R.M Billets Reports'!D2058,SEARCH("-",'R.M Billets Reports'!D2058)+1,200)),""))&lt;&gt;"",IF(ISNUMBER(SEARCH("Party Name:-",'R.M Billets Reports'!D2058)),TRIM('R.M Billets Reports'!F2058),IF(ISNUMBER(SEARCH("Party Name-",'R.M Billets Reports'!D2058)),TRIM(MID('R.M Billets Reports'!D2058,SEARCH("-",'R.M Billets Reports'!D2058)+1,200)),"")),IF(ISNUMBER(SEARCH("Party Name:-",'R.M Billets Reports'!D2059)),TRIM('R.M Billets Reports'!F2059),IF(ISNUMBER(SEARCH("Party Name-",'R.M Billets Reports'!D2059)),TRIM(MID('R.M Billets Reports'!D2059,SEARCH("-",'R.M Billets Reports'!D2059)+1,200)),"")))="SHREE RADHE SHAKTI SPONGE AND POWER PVT. LTD.","SHREE RADHE",IF(IF(ISNUMBER(SEARCH("Party Name:-",'R.M Billets Reports'!D2058)),TRIM('R.M Billets Reports'!F2058),IF(ISNUMBER(SEARCH("Party Name-",'R.M Billets Reports'!D2058)),TRIM(MID('R.M Billets Reports'!D2058,SEARCH("-",'R.M Billets Reports'!D2058)+1,200)),""))&lt;&gt;"",IF(ISNUMBER(SEARCH("Party Name:-",'R.M Billets Reports'!D2058)),TRIM('R.M Billets Reports'!F2058),IF(ISNUMBER(SEARCH("Party Name-",'R.M Billets Reports'!D2058)),TRIM(MID('R.M Billets Reports'!D2058,SEARCH("-",'R.M Billets Reports'!D2058)+1,200)),"")),IF(ISNUMBER(SEARCH("Party Name:-",'R.M Billets Reports'!D2059)),TRIM('R.M Billets Reports'!F2059),IF(ISNUMBER(SEARCH("Party Name-",'R.M Billets Reports'!D2059)),TRIM(MID('R.M Billets Reports'!D2059,SEARCH("-",'R.M Billets Reports'!D2059)+1,200)),"")))))),IF(ROW()=2,"",A2058))</f>
      </c>
      <c r="B2059">
        <f>IF(OR('R.M Billets Reports'!A2058="Date-",'R.M Billets Reports'!A2058="Date:-"),'R.M Billets Reports'!B2058,IF(ROW()=2,"",B2058))</f>
      </c>
      <c r="C2059">
        <f>IF('R.M Billets Reports'!A2058="V.No.",'R.M Billets Reports'!B2058,IF(ROW()=2,"",C2058))</f>
      </c>
      <c r="D2059">
        <f>IF('R.M Billets Reports'!A2058&lt;&gt;"",'R.M Billets Reports'!A2058,IF(ROW()=2,"",D2058))</f>
      </c>
      <c r="E2059">
        <f>IF('R.M Billets Reports'!B2058="","",TRIM('R.M Billets Reports'!B2058))</f>
      </c>
      <c r="F2059">
        <f>'R.M Billets Reports'!C2058</f>
      </c>
      <c r="G2059">
        <f>'R.M Billets Reports'!D2058</f>
      </c>
      <c r="H2059">
        <f>'R.M Billets Reports'!E2058</f>
      </c>
      <c r="I2059">
        <f>'R.M Billets Reports'!F2058</f>
      </c>
      <c r="J2059">
        <f>'R.M Billets Reports'!G2058</f>
      </c>
      <c r="K2059">
        <f>'R.M Billets Reports'!H2058</f>
      </c>
      <c r="L2059">
        <f>IF('R.M Billets Reports'!I2058="","",'R.M Billets Reports'!I2058)</f>
      </c>
      <c r="M2059">
        <f t="shared" si="64"/>
      </c>
      <c r="N2059">
        <f>IF('R.M Billets Reports'!J2058="","",'R.M Billets Reports'!J2058)</f>
      </c>
      <c r="O2059">
        <f t="shared" si="65"/>
      </c>
      <c r="P2059">
        <f>IF('R.M Billets Reports'!A2058="SIZE",'R.M Billets Reports'!B2058,P2058)</f>
      </c>
    </row>
    <row r="2060" spans="1:16" x14ac:dyDescent="0.25">
      <c r="A2060">
        <f>IF(OR('R.M Billets Reports'!A2059="Date-",'R.M Billets Reports'!A2059="Date:-"),IF(IF(IF(ISNUMBER(SEARCH("Party Name:-",'R.M Billets Reports'!D2059)),TRIM('R.M Billets Reports'!F2059),IF(ISNUMBER(SEARCH("Party Name-",'R.M Billets Reports'!D2059)),TRIM(MID('R.M Billets Reports'!D2059,SEARCH("-",'R.M Billets Reports'!D2059)+1,200)),""))&lt;&gt;"",IF(ISNUMBER(SEARCH("Party Name:-",'R.M Billets Reports'!D2059)),TRIM('R.M Billets Reports'!F2059),IF(ISNUMBER(SEARCH("Party Name-",'R.M Billets Reports'!D2059)),TRIM(MID('R.M Billets Reports'!D2059,SEARCH("-",'R.M Billets Reports'!D2059)+1,200)),"")),IF(ISNUMBER(SEARCH("Party Name:-",'R.M Billets Reports'!D2060)),TRIM('R.M Billets Reports'!F2060),IF(ISNUMBER(SEARCH("Party Name-",'R.M Billets Reports'!D2060)),TRIM(MID('R.M Billets Reports'!D2060,SEARCH("-",'R.M Billets Reports'!D2060)+1,200)),"")))="VRKP ISPAT PVT LTD","VRKP",IF(IF(IF(ISNUMBER(SEARCH("Party Name:-",'R.M Billets Reports'!D2059)),TRIM('R.M Billets Reports'!F2059),IF(ISNUMBER(SEARCH("Party Name-",'R.M Billets Reports'!D2059)),TRIM(MID('R.M Billets Reports'!D2059,SEARCH("-",'R.M Billets Reports'!D2059)+1,200)),""))&lt;&gt;"",IF(ISNUMBER(SEARCH("Party Name:-",'R.M Billets Reports'!D2059)),TRIM('R.M Billets Reports'!F2059),IF(ISNUMBER(SEARCH("Party Name-",'R.M Billets Reports'!D2059)),TRIM(MID('R.M Billets Reports'!D2059,SEARCH("-",'R.M Billets Reports'!D2059)+1,200)),"")),IF(ISNUMBER(SEARCH("Party Name:-",'R.M Billets Reports'!D2060)),TRIM('R.M Billets Reports'!F2060),IF(ISNUMBER(SEARCH("Party Name-",'R.M Billets Reports'!D2060)),TRIM(MID('R.M Billets Reports'!D2060,SEARCH("-",'R.M Billets Reports'!D2060)+1,200)),"")))="SHRI RADHE","SHREE RADHE",IF(IF(IF(ISNUMBER(SEARCH("Party Name:-",'R.M Billets Reports'!D2059)),TRIM('R.M Billets Reports'!F2059),IF(ISNUMBER(SEARCH("Party Name-",'R.M Billets Reports'!D2059)),TRIM(MID('R.M Billets Reports'!D2059,SEARCH("-",'R.M Billets Reports'!D2059)+1,200)),""))&lt;&gt;"",IF(ISNUMBER(SEARCH("Party Name:-",'R.M Billets Reports'!D2059)),TRIM('R.M Billets Reports'!F2059),IF(ISNUMBER(SEARCH("Party Name-",'R.M Billets Reports'!D2059)),TRIM(MID('R.M Billets Reports'!D2059,SEARCH("-",'R.M Billets Reports'!D2059)+1,200)),"")),IF(ISNUMBER(SEARCH("Party Name:-",'R.M Billets Reports'!D2060)),TRIM('R.M Billets Reports'!F2060),IF(ISNUMBER(SEARCH("Party Name-",'R.M Billets Reports'!D2060)),TRIM(MID('R.M Billets Reports'!D2060,SEARCH("-",'R.M Billets Reports'!D2060)+1,200)),"")))="SHREE RADHE SHAKTI SPONGE AND POWER PVT. LTD.","SHREE RADHE",IF(IF(ISNUMBER(SEARCH("Party Name:-",'R.M Billets Reports'!D2059)),TRIM('R.M Billets Reports'!F2059),IF(ISNUMBER(SEARCH("Party Name-",'R.M Billets Reports'!D2059)),TRIM(MID('R.M Billets Reports'!D2059,SEARCH("-",'R.M Billets Reports'!D2059)+1,200)),""))&lt;&gt;"",IF(ISNUMBER(SEARCH("Party Name:-",'R.M Billets Reports'!D2059)),TRIM('R.M Billets Reports'!F2059),IF(ISNUMBER(SEARCH("Party Name-",'R.M Billets Reports'!D2059)),TRIM(MID('R.M Billets Reports'!D2059,SEARCH("-",'R.M Billets Reports'!D2059)+1,200)),"")),IF(ISNUMBER(SEARCH("Party Name:-",'R.M Billets Reports'!D2060)),TRIM('R.M Billets Reports'!F2060),IF(ISNUMBER(SEARCH("Party Name-",'R.M Billets Reports'!D2060)),TRIM(MID('R.M Billets Reports'!D2060,SEARCH("-",'R.M Billets Reports'!D2060)+1,200)),"")))))),IF(ROW()=2,"",A2059))</f>
      </c>
      <c r="B2060">
        <f>IF(OR('R.M Billets Reports'!A2059="Date-",'R.M Billets Reports'!A2059="Date:-"),'R.M Billets Reports'!B2059,IF(ROW()=2,"",B2059))</f>
      </c>
      <c r="C2060">
        <f>IF('R.M Billets Reports'!A2059="V.No.",'R.M Billets Reports'!B2059,IF(ROW()=2,"",C2059))</f>
      </c>
      <c r="D2060">
        <f>IF('R.M Billets Reports'!A2059&lt;&gt;"",'R.M Billets Reports'!A2059,IF(ROW()=2,"",D2059))</f>
      </c>
      <c r="E2060">
        <f>IF('R.M Billets Reports'!B2059="","",TRIM('R.M Billets Reports'!B2059))</f>
      </c>
      <c r="F2060">
        <f>'R.M Billets Reports'!C2059</f>
      </c>
      <c r="G2060">
        <f>'R.M Billets Reports'!D2059</f>
      </c>
      <c r="H2060">
        <f>'R.M Billets Reports'!E2059</f>
      </c>
      <c r="I2060">
        <f>'R.M Billets Reports'!F2059</f>
      </c>
      <c r="J2060">
        <f>'R.M Billets Reports'!G2059</f>
      </c>
      <c r="K2060">
        <f>'R.M Billets Reports'!H2059</f>
      </c>
      <c r="L2060">
        <f>IF('R.M Billets Reports'!I2059="","",'R.M Billets Reports'!I2059)</f>
      </c>
      <c r="M2060">
        <f t="shared" si="64"/>
      </c>
      <c r="N2060">
        <f>IF('R.M Billets Reports'!J2059="","",'R.M Billets Reports'!J2059)</f>
      </c>
      <c r="O2060">
        <f t="shared" si="65"/>
      </c>
      <c r="P2060">
        <f>IF('R.M Billets Reports'!A2059="SIZE",'R.M Billets Reports'!B2059,P2059)</f>
      </c>
    </row>
    <row r="2061" spans="1:16" x14ac:dyDescent="0.25">
      <c r="A2061">
        <f>IF(OR('R.M Billets Reports'!A2060="Date-",'R.M Billets Reports'!A2060="Date:-"),IF(IF(IF(ISNUMBER(SEARCH("Party Name:-",'R.M Billets Reports'!D2060)),TRIM('R.M Billets Reports'!F2060),IF(ISNUMBER(SEARCH("Party Name-",'R.M Billets Reports'!D2060)),TRIM(MID('R.M Billets Reports'!D2060,SEARCH("-",'R.M Billets Reports'!D2060)+1,200)),""))&lt;&gt;"",IF(ISNUMBER(SEARCH("Party Name:-",'R.M Billets Reports'!D2060)),TRIM('R.M Billets Reports'!F2060),IF(ISNUMBER(SEARCH("Party Name-",'R.M Billets Reports'!D2060)),TRIM(MID('R.M Billets Reports'!D2060,SEARCH("-",'R.M Billets Reports'!D2060)+1,200)),"")),IF(ISNUMBER(SEARCH("Party Name:-",'R.M Billets Reports'!D2061)),TRIM('R.M Billets Reports'!F2061),IF(ISNUMBER(SEARCH("Party Name-",'R.M Billets Reports'!D2061)),TRIM(MID('R.M Billets Reports'!D2061,SEARCH("-",'R.M Billets Reports'!D2061)+1,200)),"")))="VRKP ISPAT PVT LTD","VRKP",IF(IF(IF(ISNUMBER(SEARCH("Party Name:-",'R.M Billets Reports'!D2060)),TRIM('R.M Billets Reports'!F2060),IF(ISNUMBER(SEARCH("Party Name-",'R.M Billets Reports'!D2060)),TRIM(MID('R.M Billets Reports'!D2060,SEARCH("-",'R.M Billets Reports'!D2060)+1,200)),""))&lt;&gt;"",IF(ISNUMBER(SEARCH("Party Name:-",'R.M Billets Reports'!D2060)),TRIM('R.M Billets Reports'!F2060),IF(ISNUMBER(SEARCH("Party Name-",'R.M Billets Reports'!D2060)),TRIM(MID('R.M Billets Reports'!D2060,SEARCH("-",'R.M Billets Reports'!D2060)+1,200)),"")),IF(ISNUMBER(SEARCH("Party Name:-",'R.M Billets Reports'!D2061)),TRIM('R.M Billets Reports'!F2061),IF(ISNUMBER(SEARCH("Party Name-",'R.M Billets Reports'!D2061)),TRIM(MID('R.M Billets Reports'!D2061,SEARCH("-",'R.M Billets Reports'!D2061)+1,200)),"")))="SHRI RADHE","SHREE RADHE",IF(IF(IF(ISNUMBER(SEARCH("Party Name:-",'R.M Billets Reports'!D2060)),TRIM('R.M Billets Reports'!F2060),IF(ISNUMBER(SEARCH("Party Name-",'R.M Billets Reports'!D2060)),TRIM(MID('R.M Billets Reports'!D2060,SEARCH("-",'R.M Billets Reports'!D2060)+1,200)),""))&lt;&gt;"",IF(ISNUMBER(SEARCH("Party Name:-",'R.M Billets Reports'!D2060)),TRIM('R.M Billets Reports'!F2060),IF(ISNUMBER(SEARCH("Party Name-",'R.M Billets Reports'!D2060)),TRIM(MID('R.M Billets Reports'!D2060,SEARCH("-",'R.M Billets Reports'!D2060)+1,200)),"")),IF(ISNUMBER(SEARCH("Party Name:-",'R.M Billets Reports'!D2061)),TRIM('R.M Billets Reports'!F2061),IF(ISNUMBER(SEARCH("Party Name-",'R.M Billets Reports'!D2061)),TRIM(MID('R.M Billets Reports'!D2061,SEARCH("-",'R.M Billets Reports'!D2061)+1,200)),"")))="SHREE RADHE SHAKTI SPONGE AND POWER PVT. LTD.","SHREE RADHE",IF(IF(ISNUMBER(SEARCH("Party Name:-",'R.M Billets Reports'!D2060)),TRIM('R.M Billets Reports'!F2060),IF(ISNUMBER(SEARCH("Party Name-",'R.M Billets Reports'!D2060)),TRIM(MID('R.M Billets Reports'!D2060,SEARCH("-",'R.M Billets Reports'!D2060)+1,200)),""))&lt;&gt;"",IF(ISNUMBER(SEARCH("Party Name:-",'R.M Billets Reports'!D2060)),TRIM('R.M Billets Reports'!F2060),IF(ISNUMBER(SEARCH("Party Name-",'R.M Billets Reports'!D2060)),TRIM(MID('R.M Billets Reports'!D2060,SEARCH("-",'R.M Billets Reports'!D2060)+1,200)),"")),IF(ISNUMBER(SEARCH("Party Name:-",'R.M Billets Reports'!D2061)),TRIM('R.M Billets Reports'!F2061),IF(ISNUMBER(SEARCH("Party Name-",'R.M Billets Reports'!D2061)),TRIM(MID('R.M Billets Reports'!D2061,SEARCH("-",'R.M Billets Reports'!D2061)+1,200)),"")))))),IF(ROW()=2,"",A2060))</f>
      </c>
      <c r="B2061">
        <f>IF(OR('R.M Billets Reports'!A2060="Date-",'R.M Billets Reports'!A2060="Date:-"),'R.M Billets Reports'!B2060,IF(ROW()=2,"",B2060))</f>
      </c>
      <c r="C2061">
        <f>IF('R.M Billets Reports'!A2060="V.No.",'R.M Billets Reports'!B2060,IF(ROW()=2,"",C2060))</f>
      </c>
      <c r="D2061">
        <f>IF('R.M Billets Reports'!A2060&lt;&gt;"",'R.M Billets Reports'!A2060,IF(ROW()=2,"",D2060))</f>
      </c>
      <c r="E2061">
        <f>IF('R.M Billets Reports'!B2060="","",TRIM('R.M Billets Reports'!B2060))</f>
      </c>
      <c r="F2061">
        <f>'R.M Billets Reports'!C2060</f>
      </c>
      <c r="G2061">
        <f>'R.M Billets Reports'!D2060</f>
      </c>
      <c r="H2061">
        <f>'R.M Billets Reports'!E2060</f>
      </c>
      <c r="I2061">
        <f>'R.M Billets Reports'!F2060</f>
      </c>
      <c r="J2061">
        <f>'R.M Billets Reports'!G2060</f>
      </c>
      <c r="K2061">
        <f>'R.M Billets Reports'!H2060</f>
      </c>
      <c r="L2061">
        <f>IF('R.M Billets Reports'!I2060="","",'R.M Billets Reports'!I2060)</f>
      </c>
      <c r="M2061">
        <f t="shared" si="64"/>
      </c>
      <c r="N2061">
        <f>IF('R.M Billets Reports'!J2060="","",'R.M Billets Reports'!J2060)</f>
      </c>
      <c r="O2061">
        <f t="shared" si="65"/>
      </c>
      <c r="P2061">
        <f>IF('R.M Billets Reports'!A2060="SIZE",'R.M Billets Reports'!B2060,P2060)</f>
      </c>
    </row>
    <row r="2062" spans="1:16" x14ac:dyDescent="0.25">
      <c r="A2062">
        <f>IF(OR('R.M Billets Reports'!A2061="Date-",'R.M Billets Reports'!A2061="Date:-"),IF(IF(IF(ISNUMBER(SEARCH("Party Name:-",'R.M Billets Reports'!D2061)),TRIM('R.M Billets Reports'!F2061),IF(ISNUMBER(SEARCH("Party Name-",'R.M Billets Reports'!D2061)),TRIM(MID('R.M Billets Reports'!D2061,SEARCH("-",'R.M Billets Reports'!D2061)+1,200)),""))&lt;&gt;"",IF(ISNUMBER(SEARCH("Party Name:-",'R.M Billets Reports'!D2061)),TRIM('R.M Billets Reports'!F2061),IF(ISNUMBER(SEARCH("Party Name-",'R.M Billets Reports'!D2061)),TRIM(MID('R.M Billets Reports'!D2061,SEARCH("-",'R.M Billets Reports'!D2061)+1,200)),"")),IF(ISNUMBER(SEARCH("Party Name:-",'R.M Billets Reports'!D2062)),TRIM('R.M Billets Reports'!F2062),IF(ISNUMBER(SEARCH("Party Name-",'R.M Billets Reports'!D2062)),TRIM(MID('R.M Billets Reports'!D2062,SEARCH("-",'R.M Billets Reports'!D2062)+1,200)),"")))="VRKP ISPAT PVT LTD","VRKP",IF(IF(IF(ISNUMBER(SEARCH("Party Name:-",'R.M Billets Reports'!D2061)),TRIM('R.M Billets Reports'!F2061),IF(ISNUMBER(SEARCH("Party Name-",'R.M Billets Reports'!D2061)),TRIM(MID('R.M Billets Reports'!D2061,SEARCH("-",'R.M Billets Reports'!D2061)+1,200)),""))&lt;&gt;"",IF(ISNUMBER(SEARCH("Party Name:-",'R.M Billets Reports'!D2061)),TRIM('R.M Billets Reports'!F2061),IF(ISNUMBER(SEARCH("Party Name-",'R.M Billets Reports'!D2061)),TRIM(MID('R.M Billets Reports'!D2061,SEARCH("-",'R.M Billets Reports'!D2061)+1,200)),"")),IF(ISNUMBER(SEARCH("Party Name:-",'R.M Billets Reports'!D2062)),TRIM('R.M Billets Reports'!F2062),IF(ISNUMBER(SEARCH("Party Name-",'R.M Billets Reports'!D2062)),TRIM(MID('R.M Billets Reports'!D2062,SEARCH("-",'R.M Billets Reports'!D2062)+1,200)),"")))="SHRI RADHE","SHREE RADHE",IF(IF(IF(ISNUMBER(SEARCH("Party Name:-",'R.M Billets Reports'!D2061)),TRIM('R.M Billets Reports'!F2061),IF(ISNUMBER(SEARCH("Party Name-",'R.M Billets Reports'!D2061)),TRIM(MID('R.M Billets Reports'!D2061,SEARCH("-",'R.M Billets Reports'!D2061)+1,200)),""))&lt;&gt;"",IF(ISNUMBER(SEARCH("Party Name:-",'R.M Billets Reports'!D2061)),TRIM('R.M Billets Reports'!F2061),IF(ISNUMBER(SEARCH("Party Name-",'R.M Billets Reports'!D2061)),TRIM(MID('R.M Billets Reports'!D2061,SEARCH("-",'R.M Billets Reports'!D2061)+1,200)),"")),IF(ISNUMBER(SEARCH("Party Name:-",'R.M Billets Reports'!D2062)),TRIM('R.M Billets Reports'!F2062),IF(ISNUMBER(SEARCH("Party Name-",'R.M Billets Reports'!D2062)),TRIM(MID('R.M Billets Reports'!D2062,SEARCH("-",'R.M Billets Reports'!D2062)+1,200)),"")))="SHREE RADHE SHAKTI SPONGE AND POWER PVT. LTD.","SHREE RADHE",IF(IF(ISNUMBER(SEARCH("Party Name:-",'R.M Billets Reports'!D2061)),TRIM('R.M Billets Reports'!F2061),IF(ISNUMBER(SEARCH("Party Name-",'R.M Billets Reports'!D2061)),TRIM(MID('R.M Billets Reports'!D2061,SEARCH("-",'R.M Billets Reports'!D2061)+1,200)),""))&lt;&gt;"",IF(ISNUMBER(SEARCH("Party Name:-",'R.M Billets Reports'!D2061)),TRIM('R.M Billets Reports'!F2061),IF(ISNUMBER(SEARCH("Party Name-",'R.M Billets Reports'!D2061)),TRIM(MID('R.M Billets Reports'!D2061,SEARCH("-",'R.M Billets Reports'!D2061)+1,200)),"")),IF(ISNUMBER(SEARCH("Party Name:-",'R.M Billets Reports'!D2062)),TRIM('R.M Billets Reports'!F2062),IF(ISNUMBER(SEARCH("Party Name-",'R.M Billets Reports'!D2062)),TRIM(MID('R.M Billets Reports'!D2062,SEARCH("-",'R.M Billets Reports'!D2062)+1,200)),"")))))),IF(ROW()=2,"",A2061))</f>
      </c>
      <c r="B2062">
        <f>IF(OR('R.M Billets Reports'!A2061="Date-",'R.M Billets Reports'!A2061="Date:-"),'R.M Billets Reports'!B2061,IF(ROW()=2,"",B2061))</f>
      </c>
      <c r="C2062">
        <f>IF('R.M Billets Reports'!A2061="V.No.",'R.M Billets Reports'!B2061,IF(ROW()=2,"",C2061))</f>
      </c>
      <c r="D2062">
        <f>IF('R.M Billets Reports'!A2061&lt;&gt;"",'R.M Billets Reports'!A2061,IF(ROW()=2,"",D2061))</f>
      </c>
      <c r="E2062">
        <f>IF('R.M Billets Reports'!B2061="","",TRIM('R.M Billets Reports'!B2061))</f>
      </c>
      <c r="F2062">
        <f>'R.M Billets Reports'!C2061</f>
      </c>
      <c r="G2062">
        <f>'R.M Billets Reports'!D2061</f>
      </c>
      <c r="H2062">
        <f>'R.M Billets Reports'!E2061</f>
      </c>
      <c r="I2062">
        <f>'R.M Billets Reports'!F2061</f>
      </c>
      <c r="J2062">
        <f>'R.M Billets Reports'!G2061</f>
      </c>
      <c r="K2062">
        <f>'R.M Billets Reports'!H2061</f>
      </c>
      <c r="L2062">
        <f>IF('R.M Billets Reports'!I2061="","",'R.M Billets Reports'!I2061)</f>
      </c>
      <c r="M2062">
        <f t="shared" si="64"/>
      </c>
      <c r="N2062">
        <f>IF('R.M Billets Reports'!J2061="","",'R.M Billets Reports'!J2061)</f>
      </c>
      <c r="O2062">
        <f t="shared" si="65"/>
      </c>
      <c r="P2062">
        <f>IF('R.M Billets Reports'!A2061="SIZE",'R.M Billets Reports'!B2061,P2061)</f>
      </c>
    </row>
    <row r="2063" spans="1:16" x14ac:dyDescent="0.25">
      <c r="A2063">
        <f>IF(OR('R.M Billets Reports'!A2062="Date-",'R.M Billets Reports'!A2062="Date:-"),IF(IF(IF(ISNUMBER(SEARCH("Party Name:-",'R.M Billets Reports'!D2062)),TRIM('R.M Billets Reports'!F2062),IF(ISNUMBER(SEARCH("Party Name-",'R.M Billets Reports'!D2062)),TRIM(MID('R.M Billets Reports'!D2062,SEARCH("-",'R.M Billets Reports'!D2062)+1,200)),""))&lt;&gt;"",IF(ISNUMBER(SEARCH("Party Name:-",'R.M Billets Reports'!D2062)),TRIM('R.M Billets Reports'!F2062),IF(ISNUMBER(SEARCH("Party Name-",'R.M Billets Reports'!D2062)),TRIM(MID('R.M Billets Reports'!D2062,SEARCH("-",'R.M Billets Reports'!D2062)+1,200)),"")),IF(ISNUMBER(SEARCH("Party Name:-",'R.M Billets Reports'!D2063)),TRIM('R.M Billets Reports'!F2063),IF(ISNUMBER(SEARCH("Party Name-",'R.M Billets Reports'!D2063)),TRIM(MID('R.M Billets Reports'!D2063,SEARCH("-",'R.M Billets Reports'!D2063)+1,200)),"")))="VRKP ISPAT PVT LTD","VRKP",IF(IF(IF(ISNUMBER(SEARCH("Party Name:-",'R.M Billets Reports'!D2062)),TRIM('R.M Billets Reports'!F2062),IF(ISNUMBER(SEARCH("Party Name-",'R.M Billets Reports'!D2062)),TRIM(MID('R.M Billets Reports'!D2062,SEARCH("-",'R.M Billets Reports'!D2062)+1,200)),""))&lt;&gt;"",IF(ISNUMBER(SEARCH("Party Name:-",'R.M Billets Reports'!D2062)),TRIM('R.M Billets Reports'!F2062),IF(ISNUMBER(SEARCH("Party Name-",'R.M Billets Reports'!D2062)),TRIM(MID('R.M Billets Reports'!D2062,SEARCH("-",'R.M Billets Reports'!D2062)+1,200)),"")),IF(ISNUMBER(SEARCH("Party Name:-",'R.M Billets Reports'!D2063)),TRIM('R.M Billets Reports'!F2063),IF(ISNUMBER(SEARCH("Party Name-",'R.M Billets Reports'!D2063)),TRIM(MID('R.M Billets Reports'!D2063,SEARCH("-",'R.M Billets Reports'!D2063)+1,200)),"")))="SHRI RADHE","SHREE RADHE",IF(IF(IF(ISNUMBER(SEARCH("Party Name:-",'R.M Billets Reports'!D2062)),TRIM('R.M Billets Reports'!F2062),IF(ISNUMBER(SEARCH("Party Name-",'R.M Billets Reports'!D2062)),TRIM(MID('R.M Billets Reports'!D2062,SEARCH("-",'R.M Billets Reports'!D2062)+1,200)),""))&lt;&gt;"",IF(ISNUMBER(SEARCH("Party Name:-",'R.M Billets Reports'!D2062)),TRIM('R.M Billets Reports'!F2062),IF(ISNUMBER(SEARCH("Party Name-",'R.M Billets Reports'!D2062)),TRIM(MID('R.M Billets Reports'!D2062,SEARCH("-",'R.M Billets Reports'!D2062)+1,200)),"")),IF(ISNUMBER(SEARCH("Party Name:-",'R.M Billets Reports'!D2063)),TRIM('R.M Billets Reports'!F2063),IF(ISNUMBER(SEARCH("Party Name-",'R.M Billets Reports'!D2063)),TRIM(MID('R.M Billets Reports'!D2063,SEARCH("-",'R.M Billets Reports'!D2063)+1,200)),"")))="SHREE RADHE SHAKTI SPONGE AND POWER PVT. LTD.","SHREE RADHE",IF(IF(ISNUMBER(SEARCH("Party Name:-",'R.M Billets Reports'!D2062)),TRIM('R.M Billets Reports'!F2062),IF(ISNUMBER(SEARCH("Party Name-",'R.M Billets Reports'!D2062)),TRIM(MID('R.M Billets Reports'!D2062,SEARCH("-",'R.M Billets Reports'!D2062)+1,200)),""))&lt;&gt;"",IF(ISNUMBER(SEARCH("Party Name:-",'R.M Billets Reports'!D2062)),TRIM('R.M Billets Reports'!F2062),IF(ISNUMBER(SEARCH("Party Name-",'R.M Billets Reports'!D2062)),TRIM(MID('R.M Billets Reports'!D2062,SEARCH("-",'R.M Billets Reports'!D2062)+1,200)),"")),IF(ISNUMBER(SEARCH("Party Name:-",'R.M Billets Reports'!D2063)),TRIM('R.M Billets Reports'!F2063),IF(ISNUMBER(SEARCH("Party Name-",'R.M Billets Reports'!D2063)),TRIM(MID('R.M Billets Reports'!D2063,SEARCH("-",'R.M Billets Reports'!D2063)+1,200)),"")))))),IF(ROW()=2,"",A2062))</f>
      </c>
      <c r="B2063">
        <f>IF(OR('R.M Billets Reports'!A2062="Date-",'R.M Billets Reports'!A2062="Date:-"),'R.M Billets Reports'!B2062,IF(ROW()=2,"",B2062))</f>
      </c>
      <c r="C2063">
        <f>IF('R.M Billets Reports'!A2062="V.No.",'R.M Billets Reports'!B2062,IF(ROW()=2,"",C2062))</f>
      </c>
      <c r="D2063">
        <f>IF('R.M Billets Reports'!A2062&lt;&gt;"",'R.M Billets Reports'!A2062,IF(ROW()=2,"",D2062))</f>
      </c>
      <c r="E2063">
        <f>IF('R.M Billets Reports'!B2062="","",TRIM('R.M Billets Reports'!B2062))</f>
      </c>
      <c r="F2063">
        <f>'R.M Billets Reports'!C2062</f>
      </c>
      <c r="G2063">
        <f>'R.M Billets Reports'!D2062</f>
      </c>
      <c r="H2063">
        <f>'R.M Billets Reports'!E2062</f>
      </c>
      <c r="I2063">
        <f>'R.M Billets Reports'!F2062</f>
      </c>
      <c r="J2063">
        <f>'R.M Billets Reports'!G2062</f>
      </c>
      <c r="K2063">
        <f>'R.M Billets Reports'!H2062</f>
      </c>
      <c r="L2063">
        <f>IF('R.M Billets Reports'!I2062="","",'R.M Billets Reports'!I2062)</f>
      </c>
      <c r="M2063">
        <f t="shared" si="64"/>
      </c>
      <c r="N2063">
        <f>IF('R.M Billets Reports'!J2062="","",'R.M Billets Reports'!J2062)</f>
      </c>
      <c r="O2063">
        <f t="shared" si="65"/>
      </c>
      <c r="P2063">
        <f>IF('R.M Billets Reports'!A2062="SIZE",'R.M Billets Reports'!B2062,P2062)</f>
      </c>
    </row>
    <row r="2064" spans="1:16" x14ac:dyDescent="0.25">
      <c r="A2064">
        <f>IF(OR('R.M Billets Reports'!A2063="Date-",'R.M Billets Reports'!A2063="Date:-"),IF(IF(IF(ISNUMBER(SEARCH("Party Name:-",'R.M Billets Reports'!D2063)),TRIM('R.M Billets Reports'!F2063),IF(ISNUMBER(SEARCH("Party Name-",'R.M Billets Reports'!D2063)),TRIM(MID('R.M Billets Reports'!D2063,SEARCH("-",'R.M Billets Reports'!D2063)+1,200)),""))&lt;&gt;"",IF(ISNUMBER(SEARCH("Party Name:-",'R.M Billets Reports'!D2063)),TRIM('R.M Billets Reports'!F2063),IF(ISNUMBER(SEARCH("Party Name-",'R.M Billets Reports'!D2063)),TRIM(MID('R.M Billets Reports'!D2063,SEARCH("-",'R.M Billets Reports'!D2063)+1,200)),"")),IF(ISNUMBER(SEARCH("Party Name:-",'R.M Billets Reports'!D2064)),TRIM('R.M Billets Reports'!F2064),IF(ISNUMBER(SEARCH("Party Name-",'R.M Billets Reports'!D2064)),TRIM(MID('R.M Billets Reports'!D2064,SEARCH("-",'R.M Billets Reports'!D2064)+1,200)),"")))="VRKP ISPAT PVT LTD","VRKP",IF(IF(IF(ISNUMBER(SEARCH("Party Name:-",'R.M Billets Reports'!D2063)),TRIM('R.M Billets Reports'!F2063),IF(ISNUMBER(SEARCH("Party Name-",'R.M Billets Reports'!D2063)),TRIM(MID('R.M Billets Reports'!D2063,SEARCH("-",'R.M Billets Reports'!D2063)+1,200)),""))&lt;&gt;"",IF(ISNUMBER(SEARCH("Party Name:-",'R.M Billets Reports'!D2063)),TRIM('R.M Billets Reports'!F2063),IF(ISNUMBER(SEARCH("Party Name-",'R.M Billets Reports'!D2063)),TRIM(MID('R.M Billets Reports'!D2063,SEARCH("-",'R.M Billets Reports'!D2063)+1,200)),"")),IF(ISNUMBER(SEARCH("Party Name:-",'R.M Billets Reports'!D2064)),TRIM('R.M Billets Reports'!F2064),IF(ISNUMBER(SEARCH("Party Name-",'R.M Billets Reports'!D2064)),TRIM(MID('R.M Billets Reports'!D2064,SEARCH("-",'R.M Billets Reports'!D2064)+1,200)),"")))="SHRI RADHE","SHREE RADHE",IF(IF(IF(ISNUMBER(SEARCH("Party Name:-",'R.M Billets Reports'!D2063)),TRIM('R.M Billets Reports'!F2063),IF(ISNUMBER(SEARCH("Party Name-",'R.M Billets Reports'!D2063)),TRIM(MID('R.M Billets Reports'!D2063,SEARCH("-",'R.M Billets Reports'!D2063)+1,200)),""))&lt;&gt;"",IF(ISNUMBER(SEARCH("Party Name:-",'R.M Billets Reports'!D2063)),TRIM('R.M Billets Reports'!F2063),IF(ISNUMBER(SEARCH("Party Name-",'R.M Billets Reports'!D2063)),TRIM(MID('R.M Billets Reports'!D2063,SEARCH("-",'R.M Billets Reports'!D2063)+1,200)),"")),IF(ISNUMBER(SEARCH("Party Name:-",'R.M Billets Reports'!D2064)),TRIM('R.M Billets Reports'!F2064),IF(ISNUMBER(SEARCH("Party Name-",'R.M Billets Reports'!D2064)),TRIM(MID('R.M Billets Reports'!D2064,SEARCH("-",'R.M Billets Reports'!D2064)+1,200)),"")))="SHREE RADHE SHAKTI SPONGE AND POWER PVT. LTD.","SHREE RADHE",IF(IF(ISNUMBER(SEARCH("Party Name:-",'R.M Billets Reports'!D2063)),TRIM('R.M Billets Reports'!F2063),IF(ISNUMBER(SEARCH("Party Name-",'R.M Billets Reports'!D2063)),TRIM(MID('R.M Billets Reports'!D2063,SEARCH("-",'R.M Billets Reports'!D2063)+1,200)),""))&lt;&gt;"",IF(ISNUMBER(SEARCH("Party Name:-",'R.M Billets Reports'!D2063)),TRIM('R.M Billets Reports'!F2063),IF(ISNUMBER(SEARCH("Party Name-",'R.M Billets Reports'!D2063)),TRIM(MID('R.M Billets Reports'!D2063,SEARCH("-",'R.M Billets Reports'!D2063)+1,200)),"")),IF(ISNUMBER(SEARCH("Party Name:-",'R.M Billets Reports'!D2064)),TRIM('R.M Billets Reports'!F2064),IF(ISNUMBER(SEARCH("Party Name-",'R.M Billets Reports'!D2064)),TRIM(MID('R.M Billets Reports'!D2064,SEARCH("-",'R.M Billets Reports'!D2064)+1,200)),"")))))),IF(ROW()=2,"",A2063))</f>
      </c>
      <c r="B2064">
        <f>IF(OR('R.M Billets Reports'!A2063="Date-",'R.M Billets Reports'!A2063="Date:-"),'R.M Billets Reports'!B2063,IF(ROW()=2,"",B2063))</f>
      </c>
      <c r="C2064">
        <f>IF('R.M Billets Reports'!A2063="V.No.",'R.M Billets Reports'!B2063,IF(ROW()=2,"",C2063))</f>
      </c>
      <c r="D2064">
        <f>IF('R.M Billets Reports'!A2063&lt;&gt;"",'R.M Billets Reports'!A2063,IF(ROW()=2,"",D2063))</f>
      </c>
      <c r="E2064">
        <f>IF('R.M Billets Reports'!B2063="","",TRIM('R.M Billets Reports'!B2063))</f>
      </c>
      <c r="F2064">
        <f>'R.M Billets Reports'!C2063</f>
      </c>
      <c r="G2064">
        <f>'R.M Billets Reports'!D2063</f>
      </c>
      <c r="H2064">
        <f>'R.M Billets Reports'!E2063</f>
      </c>
      <c r="I2064">
        <f>'R.M Billets Reports'!F2063</f>
      </c>
      <c r="J2064">
        <f>'R.M Billets Reports'!G2063</f>
      </c>
      <c r="K2064">
        <f>'R.M Billets Reports'!H2063</f>
      </c>
      <c r="L2064">
        <f>IF('R.M Billets Reports'!I2063="","",'R.M Billets Reports'!I2063)</f>
      </c>
      <c r="M2064">
        <f t="shared" si="64"/>
      </c>
      <c r="N2064">
        <f>IF('R.M Billets Reports'!J2063="","",'R.M Billets Reports'!J2063)</f>
      </c>
      <c r="O2064">
        <f t="shared" si="65"/>
      </c>
      <c r="P2064">
        <f>IF('R.M Billets Reports'!A2063="SIZE",'R.M Billets Reports'!B2063,P2063)</f>
      </c>
    </row>
    <row r="2065" spans="1:16" x14ac:dyDescent="0.25">
      <c r="A2065">
        <f>IF(OR('R.M Billets Reports'!A2064="Date-",'R.M Billets Reports'!A2064="Date:-"),IF(IF(IF(ISNUMBER(SEARCH("Party Name:-",'R.M Billets Reports'!D2064)),TRIM('R.M Billets Reports'!F2064),IF(ISNUMBER(SEARCH("Party Name-",'R.M Billets Reports'!D2064)),TRIM(MID('R.M Billets Reports'!D2064,SEARCH("-",'R.M Billets Reports'!D2064)+1,200)),""))&lt;&gt;"",IF(ISNUMBER(SEARCH("Party Name:-",'R.M Billets Reports'!D2064)),TRIM('R.M Billets Reports'!F2064),IF(ISNUMBER(SEARCH("Party Name-",'R.M Billets Reports'!D2064)),TRIM(MID('R.M Billets Reports'!D2064,SEARCH("-",'R.M Billets Reports'!D2064)+1,200)),"")),IF(ISNUMBER(SEARCH("Party Name:-",'R.M Billets Reports'!D2065)),TRIM('R.M Billets Reports'!F2065),IF(ISNUMBER(SEARCH("Party Name-",'R.M Billets Reports'!D2065)),TRIM(MID('R.M Billets Reports'!D2065,SEARCH("-",'R.M Billets Reports'!D2065)+1,200)),"")))="VRKP ISPAT PVT LTD","VRKP",IF(IF(IF(ISNUMBER(SEARCH("Party Name:-",'R.M Billets Reports'!D2064)),TRIM('R.M Billets Reports'!F2064),IF(ISNUMBER(SEARCH("Party Name-",'R.M Billets Reports'!D2064)),TRIM(MID('R.M Billets Reports'!D2064,SEARCH("-",'R.M Billets Reports'!D2064)+1,200)),""))&lt;&gt;"",IF(ISNUMBER(SEARCH("Party Name:-",'R.M Billets Reports'!D2064)),TRIM('R.M Billets Reports'!F2064),IF(ISNUMBER(SEARCH("Party Name-",'R.M Billets Reports'!D2064)),TRIM(MID('R.M Billets Reports'!D2064,SEARCH("-",'R.M Billets Reports'!D2064)+1,200)),"")),IF(ISNUMBER(SEARCH("Party Name:-",'R.M Billets Reports'!D2065)),TRIM('R.M Billets Reports'!F2065),IF(ISNUMBER(SEARCH("Party Name-",'R.M Billets Reports'!D2065)),TRIM(MID('R.M Billets Reports'!D2065,SEARCH("-",'R.M Billets Reports'!D2065)+1,200)),"")))="SHRI RADHE","SHREE RADHE",IF(IF(IF(ISNUMBER(SEARCH("Party Name:-",'R.M Billets Reports'!D2064)),TRIM('R.M Billets Reports'!F2064),IF(ISNUMBER(SEARCH("Party Name-",'R.M Billets Reports'!D2064)),TRIM(MID('R.M Billets Reports'!D2064,SEARCH("-",'R.M Billets Reports'!D2064)+1,200)),""))&lt;&gt;"",IF(ISNUMBER(SEARCH("Party Name:-",'R.M Billets Reports'!D2064)),TRIM('R.M Billets Reports'!F2064),IF(ISNUMBER(SEARCH("Party Name-",'R.M Billets Reports'!D2064)),TRIM(MID('R.M Billets Reports'!D2064,SEARCH("-",'R.M Billets Reports'!D2064)+1,200)),"")),IF(ISNUMBER(SEARCH("Party Name:-",'R.M Billets Reports'!D2065)),TRIM('R.M Billets Reports'!F2065),IF(ISNUMBER(SEARCH("Party Name-",'R.M Billets Reports'!D2065)),TRIM(MID('R.M Billets Reports'!D2065,SEARCH("-",'R.M Billets Reports'!D2065)+1,200)),"")))="SHREE RADHE SHAKTI SPONGE AND POWER PVT. LTD.","SHREE RADHE",IF(IF(ISNUMBER(SEARCH("Party Name:-",'R.M Billets Reports'!D2064)),TRIM('R.M Billets Reports'!F2064),IF(ISNUMBER(SEARCH("Party Name-",'R.M Billets Reports'!D2064)),TRIM(MID('R.M Billets Reports'!D2064,SEARCH("-",'R.M Billets Reports'!D2064)+1,200)),""))&lt;&gt;"",IF(ISNUMBER(SEARCH("Party Name:-",'R.M Billets Reports'!D2064)),TRIM('R.M Billets Reports'!F2064),IF(ISNUMBER(SEARCH("Party Name-",'R.M Billets Reports'!D2064)),TRIM(MID('R.M Billets Reports'!D2064,SEARCH("-",'R.M Billets Reports'!D2064)+1,200)),"")),IF(ISNUMBER(SEARCH("Party Name:-",'R.M Billets Reports'!D2065)),TRIM('R.M Billets Reports'!F2065),IF(ISNUMBER(SEARCH("Party Name-",'R.M Billets Reports'!D2065)),TRIM(MID('R.M Billets Reports'!D2065,SEARCH("-",'R.M Billets Reports'!D2065)+1,200)),"")))))),IF(ROW()=2,"",A2064))</f>
      </c>
      <c r="B2065">
        <f>IF(OR('R.M Billets Reports'!A2064="Date-",'R.M Billets Reports'!A2064="Date:-"),'R.M Billets Reports'!B2064,IF(ROW()=2,"",B2064))</f>
      </c>
      <c r="C2065">
        <f>IF('R.M Billets Reports'!A2064="V.No.",'R.M Billets Reports'!B2064,IF(ROW()=2,"",C2064))</f>
      </c>
      <c r="D2065">
        <f>IF('R.M Billets Reports'!A2064&lt;&gt;"",'R.M Billets Reports'!A2064,IF(ROW()=2,"",D2064))</f>
      </c>
      <c r="E2065">
        <f>IF('R.M Billets Reports'!B2064="","",TRIM('R.M Billets Reports'!B2064))</f>
      </c>
      <c r="F2065">
        <f>'R.M Billets Reports'!C2064</f>
      </c>
      <c r="G2065">
        <f>'R.M Billets Reports'!D2064</f>
      </c>
      <c r="H2065">
        <f>'R.M Billets Reports'!E2064</f>
      </c>
      <c r="I2065">
        <f>'R.M Billets Reports'!F2064</f>
      </c>
      <c r="J2065">
        <f>'R.M Billets Reports'!G2064</f>
      </c>
      <c r="K2065">
        <f>'R.M Billets Reports'!H2064</f>
      </c>
      <c r="L2065">
        <f>IF('R.M Billets Reports'!I2064="","",'R.M Billets Reports'!I2064)</f>
      </c>
      <c r="M2065">
        <f t="shared" si="64"/>
      </c>
      <c r="N2065">
        <f>IF('R.M Billets Reports'!J2064="","",'R.M Billets Reports'!J2064)</f>
      </c>
      <c r="O2065">
        <f t="shared" si="65"/>
      </c>
      <c r="P2065">
        <f>IF('R.M Billets Reports'!A2064="SIZE",'R.M Billets Reports'!B2064,P2064)</f>
      </c>
    </row>
    <row r="2066" spans="1:16" x14ac:dyDescent="0.25">
      <c r="A2066">
        <f>IF(OR('R.M Billets Reports'!A2065="Date-",'R.M Billets Reports'!A2065="Date:-"),IF(IF(IF(ISNUMBER(SEARCH("Party Name:-",'R.M Billets Reports'!D2065)),TRIM('R.M Billets Reports'!F2065),IF(ISNUMBER(SEARCH("Party Name-",'R.M Billets Reports'!D2065)),TRIM(MID('R.M Billets Reports'!D2065,SEARCH("-",'R.M Billets Reports'!D2065)+1,200)),""))&lt;&gt;"",IF(ISNUMBER(SEARCH("Party Name:-",'R.M Billets Reports'!D2065)),TRIM('R.M Billets Reports'!F2065),IF(ISNUMBER(SEARCH("Party Name-",'R.M Billets Reports'!D2065)),TRIM(MID('R.M Billets Reports'!D2065,SEARCH("-",'R.M Billets Reports'!D2065)+1,200)),"")),IF(ISNUMBER(SEARCH("Party Name:-",'R.M Billets Reports'!D2066)),TRIM('R.M Billets Reports'!F2066),IF(ISNUMBER(SEARCH("Party Name-",'R.M Billets Reports'!D2066)),TRIM(MID('R.M Billets Reports'!D2066,SEARCH("-",'R.M Billets Reports'!D2066)+1,200)),"")))="VRKP ISPAT PVT LTD","VRKP",IF(IF(IF(ISNUMBER(SEARCH("Party Name:-",'R.M Billets Reports'!D2065)),TRIM('R.M Billets Reports'!F2065),IF(ISNUMBER(SEARCH("Party Name-",'R.M Billets Reports'!D2065)),TRIM(MID('R.M Billets Reports'!D2065,SEARCH("-",'R.M Billets Reports'!D2065)+1,200)),""))&lt;&gt;"",IF(ISNUMBER(SEARCH("Party Name:-",'R.M Billets Reports'!D2065)),TRIM('R.M Billets Reports'!F2065),IF(ISNUMBER(SEARCH("Party Name-",'R.M Billets Reports'!D2065)),TRIM(MID('R.M Billets Reports'!D2065,SEARCH("-",'R.M Billets Reports'!D2065)+1,200)),"")),IF(ISNUMBER(SEARCH("Party Name:-",'R.M Billets Reports'!D2066)),TRIM('R.M Billets Reports'!F2066),IF(ISNUMBER(SEARCH("Party Name-",'R.M Billets Reports'!D2066)),TRIM(MID('R.M Billets Reports'!D2066,SEARCH("-",'R.M Billets Reports'!D2066)+1,200)),"")))="SHRI RADHE","SHREE RADHE",IF(IF(IF(ISNUMBER(SEARCH("Party Name:-",'R.M Billets Reports'!D2065)),TRIM('R.M Billets Reports'!F2065),IF(ISNUMBER(SEARCH("Party Name-",'R.M Billets Reports'!D2065)),TRIM(MID('R.M Billets Reports'!D2065,SEARCH("-",'R.M Billets Reports'!D2065)+1,200)),""))&lt;&gt;"",IF(ISNUMBER(SEARCH("Party Name:-",'R.M Billets Reports'!D2065)),TRIM('R.M Billets Reports'!F2065),IF(ISNUMBER(SEARCH("Party Name-",'R.M Billets Reports'!D2065)),TRIM(MID('R.M Billets Reports'!D2065,SEARCH("-",'R.M Billets Reports'!D2065)+1,200)),"")),IF(ISNUMBER(SEARCH("Party Name:-",'R.M Billets Reports'!D2066)),TRIM('R.M Billets Reports'!F2066),IF(ISNUMBER(SEARCH("Party Name-",'R.M Billets Reports'!D2066)),TRIM(MID('R.M Billets Reports'!D2066,SEARCH("-",'R.M Billets Reports'!D2066)+1,200)),"")))="SHREE RADHE SHAKTI SPONGE AND POWER PVT. LTD.","SHREE RADHE",IF(IF(ISNUMBER(SEARCH("Party Name:-",'R.M Billets Reports'!D2065)),TRIM('R.M Billets Reports'!F2065),IF(ISNUMBER(SEARCH("Party Name-",'R.M Billets Reports'!D2065)),TRIM(MID('R.M Billets Reports'!D2065,SEARCH("-",'R.M Billets Reports'!D2065)+1,200)),""))&lt;&gt;"",IF(ISNUMBER(SEARCH("Party Name:-",'R.M Billets Reports'!D2065)),TRIM('R.M Billets Reports'!F2065),IF(ISNUMBER(SEARCH("Party Name-",'R.M Billets Reports'!D2065)),TRIM(MID('R.M Billets Reports'!D2065,SEARCH("-",'R.M Billets Reports'!D2065)+1,200)),"")),IF(ISNUMBER(SEARCH("Party Name:-",'R.M Billets Reports'!D2066)),TRIM('R.M Billets Reports'!F2066),IF(ISNUMBER(SEARCH("Party Name-",'R.M Billets Reports'!D2066)),TRIM(MID('R.M Billets Reports'!D2066,SEARCH("-",'R.M Billets Reports'!D2066)+1,200)),"")))))),IF(ROW()=2,"",A2065))</f>
      </c>
      <c r="B2066">
        <f>IF(OR('R.M Billets Reports'!A2065="Date-",'R.M Billets Reports'!A2065="Date:-"),'R.M Billets Reports'!B2065,IF(ROW()=2,"",B2065))</f>
      </c>
      <c r="C2066">
        <f>IF('R.M Billets Reports'!A2065="V.No.",'R.M Billets Reports'!B2065,IF(ROW()=2,"",C2065))</f>
      </c>
      <c r="D2066">
        <f>IF('R.M Billets Reports'!A2065&lt;&gt;"",'R.M Billets Reports'!A2065,IF(ROW()=2,"",D2065))</f>
      </c>
      <c r="E2066">
        <f>IF('R.M Billets Reports'!B2065="","",TRIM('R.M Billets Reports'!B2065))</f>
      </c>
      <c r="F2066">
        <f>'R.M Billets Reports'!C2065</f>
      </c>
      <c r="G2066">
        <f>'R.M Billets Reports'!D2065</f>
      </c>
      <c r="H2066">
        <f>'R.M Billets Reports'!E2065</f>
      </c>
      <c r="I2066">
        <f>'R.M Billets Reports'!F2065</f>
      </c>
      <c r="J2066">
        <f>'R.M Billets Reports'!G2065</f>
      </c>
      <c r="K2066">
        <f>'R.M Billets Reports'!H2065</f>
      </c>
      <c r="L2066">
        <f>IF('R.M Billets Reports'!I2065="","",'R.M Billets Reports'!I2065)</f>
      </c>
      <c r="M2066">
        <f t="shared" si="64"/>
      </c>
      <c r="N2066">
        <f>IF('R.M Billets Reports'!J2065="","",'R.M Billets Reports'!J2065)</f>
      </c>
      <c r="O2066">
        <f t="shared" si="65"/>
      </c>
      <c r="P2066">
        <f>IF('R.M Billets Reports'!A2065="SIZE",'R.M Billets Reports'!B2065,P2065)</f>
      </c>
    </row>
    <row r="2067" spans="1:16" x14ac:dyDescent="0.25">
      <c r="A2067">
        <f>IF(OR('R.M Billets Reports'!A2066="Date-",'R.M Billets Reports'!A2066="Date:-"),IF(IF(IF(ISNUMBER(SEARCH("Party Name:-",'R.M Billets Reports'!D2066)),TRIM('R.M Billets Reports'!F2066),IF(ISNUMBER(SEARCH("Party Name-",'R.M Billets Reports'!D2066)),TRIM(MID('R.M Billets Reports'!D2066,SEARCH("-",'R.M Billets Reports'!D2066)+1,200)),""))&lt;&gt;"",IF(ISNUMBER(SEARCH("Party Name:-",'R.M Billets Reports'!D2066)),TRIM('R.M Billets Reports'!F2066),IF(ISNUMBER(SEARCH("Party Name-",'R.M Billets Reports'!D2066)),TRIM(MID('R.M Billets Reports'!D2066,SEARCH("-",'R.M Billets Reports'!D2066)+1,200)),"")),IF(ISNUMBER(SEARCH("Party Name:-",'R.M Billets Reports'!D2067)),TRIM('R.M Billets Reports'!F2067),IF(ISNUMBER(SEARCH("Party Name-",'R.M Billets Reports'!D2067)),TRIM(MID('R.M Billets Reports'!D2067,SEARCH("-",'R.M Billets Reports'!D2067)+1,200)),"")))="VRKP ISPAT PVT LTD","VRKP",IF(IF(IF(ISNUMBER(SEARCH("Party Name:-",'R.M Billets Reports'!D2066)),TRIM('R.M Billets Reports'!F2066),IF(ISNUMBER(SEARCH("Party Name-",'R.M Billets Reports'!D2066)),TRIM(MID('R.M Billets Reports'!D2066,SEARCH("-",'R.M Billets Reports'!D2066)+1,200)),""))&lt;&gt;"",IF(ISNUMBER(SEARCH("Party Name:-",'R.M Billets Reports'!D2066)),TRIM('R.M Billets Reports'!F2066),IF(ISNUMBER(SEARCH("Party Name-",'R.M Billets Reports'!D2066)),TRIM(MID('R.M Billets Reports'!D2066,SEARCH("-",'R.M Billets Reports'!D2066)+1,200)),"")),IF(ISNUMBER(SEARCH("Party Name:-",'R.M Billets Reports'!D2067)),TRIM('R.M Billets Reports'!F2067),IF(ISNUMBER(SEARCH("Party Name-",'R.M Billets Reports'!D2067)),TRIM(MID('R.M Billets Reports'!D2067,SEARCH("-",'R.M Billets Reports'!D2067)+1,200)),"")))="SHRI RADHE","SHREE RADHE",IF(IF(IF(ISNUMBER(SEARCH("Party Name:-",'R.M Billets Reports'!D2066)),TRIM('R.M Billets Reports'!F2066),IF(ISNUMBER(SEARCH("Party Name-",'R.M Billets Reports'!D2066)),TRIM(MID('R.M Billets Reports'!D2066,SEARCH("-",'R.M Billets Reports'!D2066)+1,200)),""))&lt;&gt;"",IF(ISNUMBER(SEARCH("Party Name:-",'R.M Billets Reports'!D2066)),TRIM('R.M Billets Reports'!F2066),IF(ISNUMBER(SEARCH("Party Name-",'R.M Billets Reports'!D2066)),TRIM(MID('R.M Billets Reports'!D2066,SEARCH("-",'R.M Billets Reports'!D2066)+1,200)),"")),IF(ISNUMBER(SEARCH("Party Name:-",'R.M Billets Reports'!D2067)),TRIM('R.M Billets Reports'!F2067),IF(ISNUMBER(SEARCH("Party Name-",'R.M Billets Reports'!D2067)),TRIM(MID('R.M Billets Reports'!D2067,SEARCH("-",'R.M Billets Reports'!D2067)+1,200)),"")))="SHREE RADHE SHAKTI SPONGE AND POWER PVT. LTD.","SHREE RADHE",IF(IF(ISNUMBER(SEARCH("Party Name:-",'R.M Billets Reports'!D2066)),TRIM('R.M Billets Reports'!F2066),IF(ISNUMBER(SEARCH("Party Name-",'R.M Billets Reports'!D2066)),TRIM(MID('R.M Billets Reports'!D2066,SEARCH("-",'R.M Billets Reports'!D2066)+1,200)),""))&lt;&gt;"",IF(ISNUMBER(SEARCH("Party Name:-",'R.M Billets Reports'!D2066)),TRIM('R.M Billets Reports'!F2066),IF(ISNUMBER(SEARCH("Party Name-",'R.M Billets Reports'!D2066)),TRIM(MID('R.M Billets Reports'!D2066,SEARCH("-",'R.M Billets Reports'!D2066)+1,200)),"")),IF(ISNUMBER(SEARCH("Party Name:-",'R.M Billets Reports'!D2067)),TRIM('R.M Billets Reports'!F2067),IF(ISNUMBER(SEARCH("Party Name-",'R.M Billets Reports'!D2067)),TRIM(MID('R.M Billets Reports'!D2067,SEARCH("-",'R.M Billets Reports'!D2067)+1,200)),"")))))),IF(ROW()=2,"",A2066))</f>
      </c>
      <c r="B2067">
        <f>IF(OR('R.M Billets Reports'!A2066="Date-",'R.M Billets Reports'!A2066="Date:-"),'R.M Billets Reports'!B2066,IF(ROW()=2,"",B2066))</f>
      </c>
      <c r="C2067">
        <f>IF('R.M Billets Reports'!A2066="V.No.",'R.M Billets Reports'!B2066,IF(ROW()=2,"",C2066))</f>
      </c>
      <c r="D2067">
        <f>IF('R.M Billets Reports'!A2066&lt;&gt;"",'R.M Billets Reports'!A2066,IF(ROW()=2,"",D2066))</f>
      </c>
      <c r="E2067">
        <f>IF('R.M Billets Reports'!B2066="","",TRIM('R.M Billets Reports'!B2066))</f>
      </c>
      <c r="F2067">
        <f>'R.M Billets Reports'!C2066</f>
      </c>
      <c r="G2067">
        <f>'R.M Billets Reports'!D2066</f>
      </c>
      <c r="H2067">
        <f>'R.M Billets Reports'!E2066</f>
      </c>
      <c r="I2067">
        <f>'R.M Billets Reports'!F2066</f>
      </c>
      <c r="J2067">
        <f>'R.M Billets Reports'!G2066</f>
      </c>
      <c r="K2067">
        <f>'R.M Billets Reports'!H2066</f>
      </c>
      <c r="L2067">
        <f>IF('R.M Billets Reports'!I2066="","",'R.M Billets Reports'!I2066)</f>
      </c>
      <c r="M2067">
        <f t="shared" si="64"/>
      </c>
      <c r="N2067">
        <f>IF('R.M Billets Reports'!J2066="","",'R.M Billets Reports'!J2066)</f>
      </c>
      <c r="O2067">
        <f t="shared" si="65"/>
      </c>
      <c r="P2067">
        <f>IF('R.M Billets Reports'!A2066="SIZE",'R.M Billets Reports'!B2066,P2066)</f>
      </c>
    </row>
    <row r="2068" spans="1:16" x14ac:dyDescent="0.25">
      <c r="A2068">
        <f>IF(OR('R.M Billets Reports'!A2067="Date-",'R.M Billets Reports'!A2067="Date:-"),IF(IF(IF(ISNUMBER(SEARCH("Party Name:-",'R.M Billets Reports'!D2067)),TRIM('R.M Billets Reports'!F2067),IF(ISNUMBER(SEARCH("Party Name-",'R.M Billets Reports'!D2067)),TRIM(MID('R.M Billets Reports'!D2067,SEARCH("-",'R.M Billets Reports'!D2067)+1,200)),""))&lt;&gt;"",IF(ISNUMBER(SEARCH("Party Name:-",'R.M Billets Reports'!D2067)),TRIM('R.M Billets Reports'!F2067),IF(ISNUMBER(SEARCH("Party Name-",'R.M Billets Reports'!D2067)),TRIM(MID('R.M Billets Reports'!D2067,SEARCH("-",'R.M Billets Reports'!D2067)+1,200)),"")),IF(ISNUMBER(SEARCH("Party Name:-",'R.M Billets Reports'!D2068)),TRIM('R.M Billets Reports'!F2068),IF(ISNUMBER(SEARCH("Party Name-",'R.M Billets Reports'!D2068)),TRIM(MID('R.M Billets Reports'!D2068,SEARCH("-",'R.M Billets Reports'!D2068)+1,200)),"")))="VRKP ISPAT PVT LTD","VRKP",IF(IF(IF(ISNUMBER(SEARCH("Party Name:-",'R.M Billets Reports'!D2067)),TRIM('R.M Billets Reports'!F2067),IF(ISNUMBER(SEARCH("Party Name-",'R.M Billets Reports'!D2067)),TRIM(MID('R.M Billets Reports'!D2067,SEARCH("-",'R.M Billets Reports'!D2067)+1,200)),""))&lt;&gt;"",IF(ISNUMBER(SEARCH("Party Name:-",'R.M Billets Reports'!D2067)),TRIM('R.M Billets Reports'!F2067),IF(ISNUMBER(SEARCH("Party Name-",'R.M Billets Reports'!D2067)),TRIM(MID('R.M Billets Reports'!D2067,SEARCH("-",'R.M Billets Reports'!D2067)+1,200)),"")),IF(ISNUMBER(SEARCH("Party Name:-",'R.M Billets Reports'!D2068)),TRIM('R.M Billets Reports'!F2068),IF(ISNUMBER(SEARCH("Party Name-",'R.M Billets Reports'!D2068)),TRIM(MID('R.M Billets Reports'!D2068,SEARCH("-",'R.M Billets Reports'!D2068)+1,200)),"")))="SHRI RADHE","SHREE RADHE",IF(IF(IF(ISNUMBER(SEARCH("Party Name:-",'R.M Billets Reports'!D2067)),TRIM('R.M Billets Reports'!F2067),IF(ISNUMBER(SEARCH("Party Name-",'R.M Billets Reports'!D2067)),TRIM(MID('R.M Billets Reports'!D2067,SEARCH("-",'R.M Billets Reports'!D2067)+1,200)),""))&lt;&gt;"",IF(ISNUMBER(SEARCH("Party Name:-",'R.M Billets Reports'!D2067)),TRIM('R.M Billets Reports'!F2067),IF(ISNUMBER(SEARCH("Party Name-",'R.M Billets Reports'!D2067)),TRIM(MID('R.M Billets Reports'!D2067,SEARCH("-",'R.M Billets Reports'!D2067)+1,200)),"")),IF(ISNUMBER(SEARCH("Party Name:-",'R.M Billets Reports'!D2068)),TRIM('R.M Billets Reports'!F2068),IF(ISNUMBER(SEARCH("Party Name-",'R.M Billets Reports'!D2068)),TRIM(MID('R.M Billets Reports'!D2068,SEARCH("-",'R.M Billets Reports'!D2068)+1,200)),"")))="SHREE RADHE SHAKTI SPONGE AND POWER PVT. LTD.","SHREE RADHE",IF(IF(ISNUMBER(SEARCH("Party Name:-",'R.M Billets Reports'!D2067)),TRIM('R.M Billets Reports'!F2067),IF(ISNUMBER(SEARCH("Party Name-",'R.M Billets Reports'!D2067)),TRIM(MID('R.M Billets Reports'!D2067,SEARCH("-",'R.M Billets Reports'!D2067)+1,200)),""))&lt;&gt;"",IF(ISNUMBER(SEARCH("Party Name:-",'R.M Billets Reports'!D2067)),TRIM('R.M Billets Reports'!F2067),IF(ISNUMBER(SEARCH("Party Name-",'R.M Billets Reports'!D2067)),TRIM(MID('R.M Billets Reports'!D2067,SEARCH("-",'R.M Billets Reports'!D2067)+1,200)),"")),IF(ISNUMBER(SEARCH("Party Name:-",'R.M Billets Reports'!D2068)),TRIM('R.M Billets Reports'!F2068),IF(ISNUMBER(SEARCH("Party Name-",'R.M Billets Reports'!D2068)),TRIM(MID('R.M Billets Reports'!D2068,SEARCH("-",'R.M Billets Reports'!D2068)+1,200)),"")))))),IF(ROW()=2,"",A2067))</f>
      </c>
      <c r="B2068">
        <f>IF(OR('R.M Billets Reports'!A2067="Date-",'R.M Billets Reports'!A2067="Date:-"),'R.M Billets Reports'!B2067,IF(ROW()=2,"",B2067))</f>
      </c>
      <c r="C2068">
        <f>IF('R.M Billets Reports'!A2067="V.No.",'R.M Billets Reports'!B2067,IF(ROW()=2,"",C2067))</f>
      </c>
      <c r="D2068">
        <f>IF('R.M Billets Reports'!A2067&lt;&gt;"",'R.M Billets Reports'!A2067,IF(ROW()=2,"",D2067))</f>
      </c>
      <c r="E2068">
        <f>IF('R.M Billets Reports'!B2067="","",TRIM('R.M Billets Reports'!B2067))</f>
      </c>
      <c r="F2068">
        <f>'R.M Billets Reports'!C2067</f>
      </c>
      <c r="G2068">
        <f>'R.M Billets Reports'!D2067</f>
      </c>
      <c r="H2068">
        <f>'R.M Billets Reports'!E2067</f>
      </c>
      <c r="I2068">
        <f>'R.M Billets Reports'!F2067</f>
      </c>
      <c r="J2068">
        <f>'R.M Billets Reports'!G2067</f>
      </c>
      <c r="K2068">
        <f>'R.M Billets Reports'!H2067</f>
      </c>
      <c r="L2068">
        <f>IF('R.M Billets Reports'!I2067="","",'R.M Billets Reports'!I2067)</f>
      </c>
      <c r="M2068">
        <f t="shared" si="64"/>
      </c>
      <c r="N2068">
        <f>IF('R.M Billets Reports'!J2067="","",'R.M Billets Reports'!J2067)</f>
      </c>
      <c r="O2068">
        <f t="shared" si="65"/>
      </c>
      <c r="P2068">
        <f>IF('R.M Billets Reports'!A2067="SIZE",'R.M Billets Reports'!B2067,P2067)</f>
      </c>
    </row>
    <row r="2069" spans="1:16" x14ac:dyDescent="0.25">
      <c r="A2069">
        <f>IF(OR('R.M Billets Reports'!A2068="Date-",'R.M Billets Reports'!A2068="Date:-"),IF(IF(IF(ISNUMBER(SEARCH("Party Name:-",'R.M Billets Reports'!D2068)),TRIM('R.M Billets Reports'!F2068),IF(ISNUMBER(SEARCH("Party Name-",'R.M Billets Reports'!D2068)),TRIM(MID('R.M Billets Reports'!D2068,SEARCH("-",'R.M Billets Reports'!D2068)+1,200)),""))&lt;&gt;"",IF(ISNUMBER(SEARCH("Party Name:-",'R.M Billets Reports'!D2068)),TRIM('R.M Billets Reports'!F2068),IF(ISNUMBER(SEARCH("Party Name-",'R.M Billets Reports'!D2068)),TRIM(MID('R.M Billets Reports'!D2068,SEARCH("-",'R.M Billets Reports'!D2068)+1,200)),"")),IF(ISNUMBER(SEARCH("Party Name:-",'R.M Billets Reports'!D2069)),TRIM('R.M Billets Reports'!F2069),IF(ISNUMBER(SEARCH("Party Name-",'R.M Billets Reports'!D2069)),TRIM(MID('R.M Billets Reports'!D2069,SEARCH("-",'R.M Billets Reports'!D2069)+1,200)),"")))="VRKP ISPAT PVT LTD","VRKP",IF(IF(IF(ISNUMBER(SEARCH("Party Name:-",'R.M Billets Reports'!D2068)),TRIM('R.M Billets Reports'!F2068),IF(ISNUMBER(SEARCH("Party Name-",'R.M Billets Reports'!D2068)),TRIM(MID('R.M Billets Reports'!D2068,SEARCH("-",'R.M Billets Reports'!D2068)+1,200)),""))&lt;&gt;"",IF(ISNUMBER(SEARCH("Party Name:-",'R.M Billets Reports'!D2068)),TRIM('R.M Billets Reports'!F2068),IF(ISNUMBER(SEARCH("Party Name-",'R.M Billets Reports'!D2068)),TRIM(MID('R.M Billets Reports'!D2068,SEARCH("-",'R.M Billets Reports'!D2068)+1,200)),"")),IF(ISNUMBER(SEARCH("Party Name:-",'R.M Billets Reports'!D2069)),TRIM('R.M Billets Reports'!F2069),IF(ISNUMBER(SEARCH("Party Name-",'R.M Billets Reports'!D2069)),TRIM(MID('R.M Billets Reports'!D2069,SEARCH("-",'R.M Billets Reports'!D2069)+1,200)),"")))="SHRI RADHE","SHREE RADHE",IF(IF(IF(ISNUMBER(SEARCH("Party Name:-",'R.M Billets Reports'!D2068)),TRIM('R.M Billets Reports'!F2068),IF(ISNUMBER(SEARCH("Party Name-",'R.M Billets Reports'!D2068)),TRIM(MID('R.M Billets Reports'!D2068,SEARCH("-",'R.M Billets Reports'!D2068)+1,200)),""))&lt;&gt;"",IF(ISNUMBER(SEARCH("Party Name:-",'R.M Billets Reports'!D2068)),TRIM('R.M Billets Reports'!F2068),IF(ISNUMBER(SEARCH("Party Name-",'R.M Billets Reports'!D2068)),TRIM(MID('R.M Billets Reports'!D2068,SEARCH("-",'R.M Billets Reports'!D2068)+1,200)),"")),IF(ISNUMBER(SEARCH("Party Name:-",'R.M Billets Reports'!D2069)),TRIM('R.M Billets Reports'!F2069),IF(ISNUMBER(SEARCH("Party Name-",'R.M Billets Reports'!D2069)),TRIM(MID('R.M Billets Reports'!D2069,SEARCH("-",'R.M Billets Reports'!D2069)+1,200)),"")))="SHREE RADHE SHAKTI SPONGE AND POWER PVT. LTD.","SHREE RADHE",IF(IF(ISNUMBER(SEARCH("Party Name:-",'R.M Billets Reports'!D2068)),TRIM('R.M Billets Reports'!F2068),IF(ISNUMBER(SEARCH("Party Name-",'R.M Billets Reports'!D2068)),TRIM(MID('R.M Billets Reports'!D2068,SEARCH("-",'R.M Billets Reports'!D2068)+1,200)),""))&lt;&gt;"",IF(ISNUMBER(SEARCH("Party Name:-",'R.M Billets Reports'!D2068)),TRIM('R.M Billets Reports'!F2068),IF(ISNUMBER(SEARCH("Party Name-",'R.M Billets Reports'!D2068)),TRIM(MID('R.M Billets Reports'!D2068,SEARCH("-",'R.M Billets Reports'!D2068)+1,200)),"")),IF(ISNUMBER(SEARCH("Party Name:-",'R.M Billets Reports'!D2069)),TRIM('R.M Billets Reports'!F2069),IF(ISNUMBER(SEARCH("Party Name-",'R.M Billets Reports'!D2069)),TRIM(MID('R.M Billets Reports'!D2069,SEARCH("-",'R.M Billets Reports'!D2069)+1,200)),"")))))),IF(ROW()=2,"",A2068))</f>
      </c>
      <c r="B2069">
        <f>IF(OR('R.M Billets Reports'!A2068="Date-",'R.M Billets Reports'!A2068="Date:-"),'R.M Billets Reports'!B2068,IF(ROW()=2,"",B2068))</f>
      </c>
      <c r="C2069">
        <f>IF('R.M Billets Reports'!A2068="V.No.",'R.M Billets Reports'!B2068,IF(ROW()=2,"",C2068))</f>
      </c>
      <c r="D2069">
        <f>IF('R.M Billets Reports'!A2068&lt;&gt;"",'R.M Billets Reports'!A2068,IF(ROW()=2,"",D2068))</f>
      </c>
      <c r="E2069">
        <f>IF('R.M Billets Reports'!B2068="","",TRIM('R.M Billets Reports'!B2068))</f>
      </c>
      <c r="F2069">
        <f>'R.M Billets Reports'!C2068</f>
      </c>
      <c r="G2069">
        <f>'R.M Billets Reports'!D2068</f>
      </c>
      <c r="H2069">
        <f>'R.M Billets Reports'!E2068</f>
      </c>
      <c r="I2069">
        <f>'R.M Billets Reports'!F2068</f>
      </c>
      <c r="J2069">
        <f>'R.M Billets Reports'!G2068</f>
      </c>
      <c r="K2069">
        <f>'R.M Billets Reports'!H2068</f>
      </c>
      <c r="L2069">
        <f>IF('R.M Billets Reports'!I2068="","",'R.M Billets Reports'!I2068)</f>
      </c>
      <c r="M2069">
        <f t="shared" si="64"/>
      </c>
      <c r="N2069">
        <f>IF('R.M Billets Reports'!J2068="","",'R.M Billets Reports'!J2068)</f>
      </c>
      <c r="O2069">
        <f t="shared" si="65"/>
      </c>
      <c r="P2069">
        <f>IF('R.M Billets Reports'!A2068="SIZE",'R.M Billets Reports'!B2068,P2068)</f>
      </c>
    </row>
    <row r="2070" spans="1:16" x14ac:dyDescent="0.25">
      <c r="A2070">
        <f>IF(OR('R.M Billets Reports'!A2069="Date-",'R.M Billets Reports'!A2069="Date:-"),IF(IF(IF(ISNUMBER(SEARCH("Party Name:-",'R.M Billets Reports'!D2069)),TRIM('R.M Billets Reports'!F2069),IF(ISNUMBER(SEARCH("Party Name-",'R.M Billets Reports'!D2069)),TRIM(MID('R.M Billets Reports'!D2069,SEARCH("-",'R.M Billets Reports'!D2069)+1,200)),""))&lt;&gt;"",IF(ISNUMBER(SEARCH("Party Name:-",'R.M Billets Reports'!D2069)),TRIM('R.M Billets Reports'!F2069),IF(ISNUMBER(SEARCH("Party Name-",'R.M Billets Reports'!D2069)),TRIM(MID('R.M Billets Reports'!D2069,SEARCH("-",'R.M Billets Reports'!D2069)+1,200)),"")),IF(ISNUMBER(SEARCH("Party Name:-",'R.M Billets Reports'!D2070)),TRIM('R.M Billets Reports'!F2070),IF(ISNUMBER(SEARCH("Party Name-",'R.M Billets Reports'!D2070)),TRIM(MID('R.M Billets Reports'!D2070,SEARCH("-",'R.M Billets Reports'!D2070)+1,200)),"")))="VRKP ISPAT PVT LTD","VRKP",IF(IF(IF(ISNUMBER(SEARCH("Party Name:-",'R.M Billets Reports'!D2069)),TRIM('R.M Billets Reports'!F2069),IF(ISNUMBER(SEARCH("Party Name-",'R.M Billets Reports'!D2069)),TRIM(MID('R.M Billets Reports'!D2069,SEARCH("-",'R.M Billets Reports'!D2069)+1,200)),""))&lt;&gt;"",IF(ISNUMBER(SEARCH("Party Name:-",'R.M Billets Reports'!D2069)),TRIM('R.M Billets Reports'!F2069),IF(ISNUMBER(SEARCH("Party Name-",'R.M Billets Reports'!D2069)),TRIM(MID('R.M Billets Reports'!D2069,SEARCH("-",'R.M Billets Reports'!D2069)+1,200)),"")),IF(ISNUMBER(SEARCH("Party Name:-",'R.M Billets Reports'!D2070)),TRIM('R.M Billets Reports'!F2070),IF(ISNUMBER(SEARCH("Party Name-",'R.M Billets Reports'!D2070)),TRIM(MID('R.M Billets Reports'!D2070,SEARCH("-",'R.M Billets Reports'!D2070)+1,200)),"")))="SHRI RADHE","SHREE RADHE",IF(IF(IF(ISNUMBER(SEARCH("Party Name:-",'R.M Billets Reports'!D2069)),TRIM('R.M Billets Reports'!F2069),IF(ISNUMBER(SEARCH("Party Name-",'R.M Billets Reports'!D2069)),TRIM(MID('R.M Billets Reports'!D2069,SEARCH("-",'R.M Billets Reports'!D2069)+1,200)),""))&lt;&gt;"",IF(ISNUMBER(SEARCH("Party Name:-",'R.M Billets Reports'!D2069)),TRIM('R.M Billets Reports'!F2069),IF(ISNUMBER(SEARCH("Party Name-",'R.M Billets Reports'!D2069)),TRIM(MID('R.M Billets Reports'!D2069,SEARCH("-",'R.M Billets Reports'!D2069)+1,200)),"")),IF(ISNUMBER(SEARCH("Party Name:-",'R.M Billets Reports'!D2070)),TRIM('R.M Billets Reports'!F2070),IF(ISNUMBER(SEARCH("Party Name-",'R.M Billets Reports'!D2070)),TRIM(MID('R.M Billets Reports'!D2070,SEARCH("-",'R.M Billets Reports'!D2070)+1,200)),"")))="SHREE RADHE SHAKTI SPONGE AND POWER PVT. LTD.","SHREE RADHE",IF(IF(ISNUMBER(SEARCH("Party Name:-",'R.M Billets Reports'!D2069)),TRIM('R.M Billets Reports'!F2069),IF(ISNUMBER(SEARCH("Party Name-",'R.M Billets Reports'!D2069)),TRIM(MID('R.M Billets Reports'!D2069,SEARCH("-",'R.M Billets Reports'!D2069)+1,200)),""))&lt;&gt;"",IF(ISNUMBER(SEARCH("Party Name:-",'R.M Billets Reports'!D2069)),TRIM('R.M Billets Reports'!F2069),IF(ISNUMBER(SEARCH("Party Name-",'R.M Billets Reports'!D2069)),TRIM(MID('R.M Billets Reports'!D2069,SEARCH("-",'R.M Billets Reports'!D2069)+1,200)),"")),IF(ISNUMBER(SEARCH("Party Name:-",'R.M Billets Reports'!D2070)),TRIM('R.M Billets Reports'!F2070),IF(ISNUMBER(SEARCH("Party Name-",'R.M Billets Reports'!D2070)),TRIM(MID('R.M Billets Reports'!D2070,SEARCH("-",'R.M Billets Reports'!D2070)+1,200)),"")))))),IF(ROW()=2,"",A2069))</f>
      </c>
      <c r="B2070">
        <f>IF(OR('R.M Billets Reports'!A2069="Date-",'R.M Billets Reports'!A2069="Date:-"),'R.M Billets Reports'!B2069,IF(ROW()=2,"",B2069))</f>
      </c>
      <c r="C2070">
        <f>IF('R.M Billets Reports'!A2069="V.No.",'R.M Billets Reports'!B2069,IF(ROW()=2,"",C2069))</f>
      </c>
      <c r="D2070">
        <f>IF('R.M Billets Reports'!A2069&lt;&gt;"",'R.M Billets Reports'!A2069,IF(ROW()=2,"",D2069))</f>
      </c>
      <c r="E2070">
        <f>IF('R.M Billets Reports'!B2069="","",TRIM('R.M Billets Reports'!B2069))</f>
      </c>
      <c r="F2070">
        <f>'R.M Billets Reports'!C2069</f>
      </c>
      <c r="G2070">
        <f>'R.M Billets Reports'!D2069</f>
      </c>
      <c r="H2070">
        <f>'R.M Billets Reports'!E2069</f>
      </c>
      <c r="I2070">
        <f>'R.M Billets Reports'!F2069</f>
      </c>
      <c r="J2070">
        <f>'R.M Billets Reports'!G2069</f>
      </c>
      <c r="K2070">
        <f>'R.M Billets Reports'!H2069</f>
      </c>
      <c r="L2070">
        <f>IF('R.M Billets Reports'!I2069="","",'R.M Billets Reports'!I2069)</f>
      </c>
      <c r="M2070">
        <f t="shared" si="64"/>
      </c>
      <c r="N2070">
        <f>IF('R.M Billets Reports'!J2069="","",'R.M Billets Reports'!J2069)</f>
      </c>
      <c r="O2070">
        <f t="shared" si="65"/>
      </c>
      <c r="P2070">
        <f>IF('R.M Billets Reports'!A2069="SIZE",'R.M Billets Reports'!B2069,P2069)</f>
      </c>
    </row>
    <row r="2071" spans="1:16" x14ac:dyDescent="0.25">
      <c r="A2071">
        <f>IF(OR('R.M Billets Reports'!A2070="Date-",'R.M Billets Reports'!A2070="Date:-"),IF(IF(IF(ISNUMBER(SEARCH("Party Name:-",'R.M Billets Reports'!D2070)),TRIM('R.M Billets Reports'!F2070),IF(ISNUMBER(SEARCH("Party Name-",'R.M Billets Reports'!D2070)),TRIM(MID('R.M Billets Reports'!D2070,SEARCH("-",'R.M Billets Reports'!D2070)+1,200)),""))&lt;&gt;"",IF(ISNUMBER(SEARCH("Party Name:-",'R.M Billets Reports'!D2070)),TRIM('R.M Billets Reports'!F2070),IF(ISNUMBER(SEARCH("Party Name-",'R.M Billets Reports'!D2070)),TRIM(MID('R.M Billets Reports'!D2070,SEARCH("-",'R.M Billets Reports'!D2070)+1,200)),"")),IF(ISNUMBER(SEARCH("Party Name:-",'R.M Billets Reports'!D2071)),TRIM('R.M Billets Reports'!F2071),IF(ISNUMBER(SEARCH("Party Name-",'R.M Billets Reports'!D2071)),TRIM(MID('R.M Billets Reports'!D2071,SEARCH("-",'R.M Billets Reports'!D2071)+1,200)),"")))="VRKP ISPAT PVT LTD","VRKP",IF(IF(IF(ISNUMBER(SEARCH("Party Name:-",'R.M Billets Reports'!D2070)),TRIM('R.M Billets Reports'!F2070),IF(ISNUMBER(SEARCH("Party Name-",'R.M Billets Reports'!D2070)),TRIM(MID('R.M Billets Reports'!D2070,SEARCH("-",'R.M Billets Reports'!D2070)+1,200)),""))&lt;&gt;"",IF(ISNUMBER(SEARCH("Party Name:-",'R.M Billets Reports'!D2070)),TRIM('R.M Billets Reports'!F2070),IF(ISNUMBER(SEARCH("Party Name-",'R.M Billets Reports'!D2070)),TRIM(MID('R.M Billets Reports'!D2070,SEARCH("-",'R.M Billets Reports'!D2070)+1,200)),"")),IF(ISNUMBER(SEARCH("Party Name:-",'R.M Billets Reports'!D2071)),TRIM('R.M Billets Reports'!F2071),IF(ISNUMBER(SEARCH("Party Name-",'R.M Billets Reports'!D2071)),TRIM(MID('R.M Billets Reports'!D2071,SEARCH("-",'R.M Billets Reports'!D2071)+1,200)),"")))="SHRI RADHE","SHREE RADHE",IF(IF(IF(ISNUMBER(SEARCH("Party Name:-",'R.M Billets Reports'!D2070)),TRIM('R.M Billets Reports'!F2070),IF(ISNUMBER(SEARCH("Party Name-",'R.M Billets Reports'!D2070)),TRIM(MID('R.M Billets Reports'!D2070,SEARCH("-",'R.M Billets Reports'!D2070)+1,200)),""))&lt;&gt;"",IF(ISNUMBER(SEARCH("Party Name:-",'R.M Billets Reports'!D2070)),TRIM('R.M Billets Reports'!F2070),IF(ISNUMBER(SEARCH("Party Name-",'R.M Billets Reports'!D2070)),TRIM(MID('R.M Billets Reports'!D2070,SEARCH("-",'R.M Billets Reports'!D2070)+1,200)),"")),IF(ISNUMBER(SEARCH("Party Name:-",'R.M Billets Reports'!D2071)),TRIM('R.M Billets Reports'!F2071),IF(ISNUMBER(SEARCH("Party Name-",'R.M Billets Reports'!D2071)),TRIM(MID('R.M Billets Reports'!D2071,SEARCH("-",'R.M Billets Reports'!D2071)+1,200)),"")))="SHREE RADHE SHAKTI SPONGE AND POWER PVT. LTD.","SHREE RADHE",IF(IF(ISNUMBER(SEARCH("Party Name:-",'R.M Billets Reports'!D2070)),TRIM('R.M Billets Reports'!F2070),IF(ISNUMBER(SEARCH("Party Name-",'R.M Billets Reports'!D2070)),TRIM(MID('R.M Billets Reports'!D2070,SEARCH("-",'R.M Billets Reports'!D2070)+1,200)),""))&lt;&gt;"",IF(ISNUMBER(SEARCH("Party Name:-",'R.M Billets Reports'!D2070)),TRIM('R.M Billets Reports'!F2070),IF(ISNUMBER(SEARCH("Party Name-",'R.M Billets Reports'!D2070)),TRIM(MID('R.M Billets Reports'!D2070,SEARCH("-",'R.M Billets Reports'!D2070)+1,200)),"")),IF(ISNUMBER(SEARCH("Party Name:-",'R.M Billets Reports'!D2071)),TRIM('R.M Billets Reports'!F2071),IF(ISNUMBER(SEARCH("Party Name-",'R.M Billets Reports'!D2071)),TRIM(MID('R.M Billets Reports'!D2071,SEARCH("-",'R.M Billets Reports'!D2071)+1,200)),"")))))),IF(ROW()=2,"",A2070))</f>
      </c>
      <c r="B2071">
        <f>IF(OR('R.M Billets Reports'!A2070="Date-",'R.M Billets Reports'!A2070="Date:-"),'R.M Billets Reports'!B2070,IF(ROW()=2,"",B2070))</f>
      </c>
      <c r="C2071">
        <f>IF('R.M Billets Reports'!A2070="V.No.",'R.M Billets Reports'!B2070,IF(ROW()=2,"",C2070))</f>
      </c>
      <c r="D2071">
        <f>IF('R.M Billets Reports'!A2070&lt;&gt;"",'R.M Billets Reports'!A2070,IF(ROW()=2,"",D2070))</f>
      </c>
      <c r="E2071">
        <f>IF('R.M Billets Reports'!B2070="","",TRIM('R.M Billets Reports'!B2070))</f>
      </c>
      <c r="F2071">
        <f>'R.M Billets Reports'!C2070</f>
      </c>
      <c r="G2071">
        <f>'R.M Billets Reports'!D2070</f>
      </c>
      <c r="H2071">
        <f>'R.M Billets Reports'!E2070</f>
      </c>
      <c r="I2071">
        <f>'R.M Billets Reports'!F2070</f>
      </c>
      <c r="J2071">
        <f>'R.M Billets Reports'!G2070</f>
      </c>
      <c r="K2071">
        <f>'R.M Billets Reports'!H2070</f>
      </c>
      <c r="L2071">
        <f>IF('R.M Billets Reports'!I2070="","",'R.M Billets Reports'!I2070)</f>
      </c>
      <c r="M2071">
        <f t="shared" si="64"/>
      </c>
      <c r="N2071">
        <f>IF('R.M Billets Reports'!J2070="","",'R.M Billets Reports'!J2070)</f>
      </c>
      <c r="O2071">
        <f t="shared" si="65"/>
      </c>
      <c r="P2071">
        <f>IF('R.M Billets Reports'!A2070="SIZE",'R.M Billets Reports'!B2070,P2070)</f>
      </c>
    </row>
    <row r="2072" spans="1:16" x14ac:dyDescent="0.25">
      <c r="A2072">
        <f>IF(OR('R.M Billets Reports'!A2071="Date-",'R.M Billets Reports'!A2071="Date:-"),IF(IF(IF(ISNUMBER(SEARCH("Party Name:-",'R.M Billets Reports'!D2071)),TRIM('R.M Billets Reports'!F2071),IF(ISNUMBER(SEARCH("Party Name-",'R.M Billets Reports'!D2071)),TRIM(MID('R.M Billets Reports'!D2071,SEARCH("-",'R.M Billets Reports'!D2071)+1,200)),""))&lt;&gt;"",IF(ISNUMBER(SEARCH("Party Name:-",'R.M Billets Reports'!D2071)),TRIM('R.M Billets Reports'!F2071),IF(ISNUMBER(SEARCH("Party Name-",'R.M Billets Reports'!D2071)),TRIM(MID('R.M Billets Reports'!D2071,SEARCH("-",'R.M Billets Reports'!D2071)+1,200)),"")),IF(ISNUMBER(SEARCH("Party Name:-",'R.M Billets Reports'!D2072)),TRIM('R.M Billets Reports'!F2072),IF(ISNUMBER(SEARCH("Party Name-",'R.M Billets Reports'!D2072)),TRIM(MID('R.M Billets Reports'!D2072,SEARCH("-",'R.M Billets Reports'!D2072)+1,200)),"")))="VRKP ISPAT PVT LTD","VRKP",IF(IF(IF(ISNUMBER(SEARCH("Party Name:-",'R.M Billets Reports'!D2071)),TRIM('R.M Billets Reports'!F2071),IF(ISNUMBER(SEARCH("Party Name-",'R.M Billets Reports'!D2071)),TRIM(MID('R.M Billets Reports'!D2071,SEARCH("-",'R.M Billets Reports'!D2071)+1,200)),""))&lt;&gt;"",IF(ISNUMBER(SEARCH("Party Name:-",'R.M Billets Reports'!D2071)),TRIM('R.M Billets Reports'!F2071),IF(ISNUMBER(SEARCH("Party Name-",'R.M Billets Reports'!D2071)),TRIM(MID('R.M Billets Reports'!D2071,SEARCH("-",'R.M Billets Reports'!D2071)+1,200)),"")),IF(ISNUMBER(SEARCH("Party Name:-",'R.M Billets Reports'!D2072)),TRIM('R.M Billets Reports'!F2072),IF(ISNUMBER(SEARCH("Party Name-",'R.M Billets Reports'!D2072)),TRIM(MID('R.M Billets Reports'!D2072,SEARCH("-",'R.M Billets Reports'!D2072)+1,200)),"")))="SHRI RADHE","SHREE RADHE",IF(IF(IF(ISNUMBER(SEARCH("Party Name:-",'R.M Billets Reports'!D2071)),TRIM('R.M Billets Reports'!F2071),IF(ISNUMBER(SEARCH("Party Name-",'R.M Billets Reports'!D2071)),TRIM(MID('R.M Billets Reports'!D2071,SEARCH("-",'R.M Billets Reports'!D2071)+1,200)),""))&lt;&gt;"",IF(ISNUMBER(SEARCH("Party Name:-",'R.M Billets Reports'!D2071)),TRIM('R.M Billets Reports'!F2071),IF(ISNUMBER(SEARCH("Party Name-",'R.M Billets Reports'!D2071)),TRIM(MID('R.M Billets Reports'!D2071,SEARCH("-",'R.M Billets Reports'!D2071)+1,200)),"")),IF(ISNUMBER(SEARCH("Party Name:-",'R.M Billets Reports'!D2072)),TRIM('R.M Billets Reports'!F2072),IF(ISNUMBER(SEARCH("Party Name-",'R.M Billets Reports'!D2072)),TRIM(MID('R.M Billets Reports'!D2072,SEARCH("-",'R.M Billets Reports'!D2072)+1,200)),"")))="SHREE RADHE SHAKTI SPONGE AND POWER PVT. LTD.","SHREE RADHE",IF(IF(ISNUMBER(SEARCH("Party Name:-",'R.M Billets Reports'!D2071)),TRIM('R.M Billets Reports'!F2071),IF(ISNUMBER(SEARCH("Party Name-",'R.M Billets Reports'!D2071)),TRIM(MID('R.M Billets Reports'!D2071,SEARCH("-",'R.M Billets Reports'!D2071)+1,200)),""))&lt;&gt;"",IF(ISNUMBER(SEARCH("Party Name:-",'R.M Billets Reports'!D2071)),TRIM('R.M Billets Reports'!F2071),IF(ISNUMBER(SEARCH("Party Name-",'R.M Billets Reports'!D2071)),TRIM(MID('R.M Billets Reports'!D2071,SEARCH("-",'R.M Billets Reports'!D2071)+1,200)),"")),IF(ISNUMBER(SEARCH("Party Name:-",'R.M Billets Reports'!D2072)),TRIM('R.M Billets Reports'!F2072),IF(ISNUMBER(SEARCH("Party Name-",'R.M Billets Reports'!D2072)),TRIM(MID('R.M Billets Reports'!D2072,SEARCH("-",'R.M Billets Reports'!D2072)+1,200)),"")))))),IF(ROW()=2,"",A2071))</f>
      </c>
      <c r="B2072">
        <f>IF(OR('R.M Billets Reports'!A2071="Date-",'R.M Billets Reports'!A2071="Date:-"),'R.M Billets Reports'!B2071,IF(ROW()=2,"",B2071))</f>
      </c>
      <c r="C2072">
        <f>IF('R.M Billets Reports'!A2071="V.No.",'R.M Billets Reports'!B2071,IF(ROW()=2,"",C2071))</f>
      </c>
      <c r="D2072">
        <f>IF('R.M Billets Reports'!A2071&lt;&gt;"",'R.M Billets Reports'!A2071,IF(ROW()=2,"",D2071))</f>
      </c>
      <c r="E2072">
        <f>IF('R.M Billets Reports'!B2071="","",TRIM('R.M Billets Reports'!B2071))</f>
      </c>
      <c r="F2072">
        <f>'R.M Billets Reports'!C2071</f>
      </c>
      <c r="G2072">
        <f>'R.M Billets Reports'!D2071</f>
      </c>
      <c r="H2072">
        <f>'R.M Billets Reports'!E2071</f>
      </c>
      <c r="I2072">
        <f>'R.M Billets Reports'!F2071</f>
      </c>
      <c r="J2072">
        <f>'R.M Billets Reports'!G2071</f>
      </c>
      <c r="K2072">
        <f>'R.M Billets Reports'!H2071</f>
      </c>
      <c r="L2072">
        <f>IF('R.M Billets Reports'!I2071="","",'R.M Billets Reports'!I2071)</f>
      </c>
      <c r="M2072">
        <f t="shared" si="64"/>
      </c>
      <c r="N2072">
        <f>IF('R.M Billets Reports'!J2071="","",'R.M Billets Reports'!J2071)</f>
      </c>
      <c r="O2072">
        <f t="shared" si="65"/>
      </c>
      <c r="P2072">
        <f>IF('R.M Billets Reports'!A2071="SIZE",'R.M Billets Reports'!B2071,P2071)</f>
      </c>
    </row>
    <row r="2073" spans="1:16" x14ac:dyDescent="0.25">
      <c r="A2073">
        <f>IF(OR('R.M Billets Reports'!A2072="Date-",'R.M Billets Reports'!A2072="Date:-"),IF(IF(IF(ISNUMBER(SEARCH("Party Name:-",'R.M Billets Reports'!D2072)),TRIM('R.M Billets Reports'!F2072),IF(ISNUMBER(SEARCH("Party Name-",'R.M Billets Reports'!D2072)),TRIM(MID('R.M Billets Reports'!D2072,SEARCH("-",'R.M Billets Reports'!D2072)+1,200)),""))&lt;&gt;"",IF(ISNUMBER(SEARCH("Party Name:-",'R.M Billets Reports'!D2072)),TRIM('R.M Billets Reports'!F2072),IF(ISNUMBER(SEARCH("Party Name-",'R.M Billets Reports'!D2072)),TRIM(MID('R.M Billets Reports'!D2072,SEARCH("-",'R.M Billets Reports'!D2072)+1,200)),"")),IF(ISNUMBER(SEARCH("Party Name:-",'R.M Billets Reports'!D2073)),TRIM('R.M Billets Reports'!F2073),IF(ISNUMBER(SEARCH("Party Name-",'R.M Billets Reports'!D2073)),TRIM(MID('R.M Billets Reports'!D2073,SEARCH("-",'R.M Billets Reports'!D2073)+1,200)),"")))="VRKP ISPAT PVT LTD","VRKP",IF(IF(IF(ISNUMBER(SEARCH("Party Name:-",'R.M Billets Reports'!D2072)),TRIM('R.M Billets Reports'!F2072),IF(ISNUMBER(SEARCH("Party Name-",'R.M Billets Reports'!D2072)),TRIM(MID('R.M Billets Reports'!D2072,SEARCH("-",'R.M Billets Reports'!D2072)+1,200)),""))&lt;&gt;"",IF(ISNUMBER(SEARCH("Party Name:-",'R.M Billets Reports'!D2072)),TRIM('R.M Billets Reports'!F2072),IF(ISNUMBER(SEARCH("Party Name-",'R.M Billets Reports'!D2072)),TRIM(MID('R.M Billets Reports'!D2072,SEARCH("-",'R.M Billets Reports'!D2072)+1,200)),"")),IF(ISNUMBER(SEARCH("Party Name:-",'R.M Billets Reports'!D2073)),TRIM('R.M Billets Reports'!F2073),IF(ISNUMBER(SEARCH("Party Name-",'R.M Billets Reports'!D2073)),TRIM(MID('R.M Billets Reports'!D2073,SEARCH("-",'R.M Billets Reports'!D2073)+1,200)),"")))="SHRI RADHE","SHREE RADHE",IF(IF(IF(ISNUMBER(SEARCH("Party Name:-",'R.M Billets Reports'!D2072)),TRIM('R.M Billets Reports'!F2072),IF(ISNUMBER(SEARCH("Party Name-",'R.M Billets Reports'!D2072)),TRIM(MID('R.M Billets Reports'!D2072,SEARCH("-",'R.M Billets Reports'!D2072)+1,200)),""))&lt;&gt;"",IF(ISNUMBER(SEARCH("Party Name:-",'R.M Billets Reports'!D2072)),TRIM('R.M Billets Reports'!F2072),IF(ISNUMBER(SEARCH("Party Name-",'R.M Billets Reports'!D2072)),TRIM(MID('R.M Billets Reports'!D2072,SEARCH("-",'R.M Billets Reports'!D2072)+1,200)),"")),IF(ISNUMBER(SEARCH("Party Name:-",'R.M Billets Reports'!D2073)),TRIM('R.M Billets Reports'!F2073),IF(ISNUMBER(SEARCH("Party Name-",'R.M Billets Reports'!D2073)),TRIM(MID('R.M Billets Reports'!D2073,SEARCH("-",'R.M Billets Reports'!D2073)+1,200)),"")))="SHREE RADHE SHAKTI SPONGE AND POWER PVT. LTD.","SHREE RADHE",IF(IF(ISNUMBER(SEARCH("Party Name:-",'R.M Billets Reports'!D2072)),TRIM('R.M Billets Reports'!F2072),IF(ISNUMBER(SEARCH("Party Name-",'R.M Billets Reports'!D2072)),TRIM(MID('R.M Billets Reports'!D2072,SEARCH("-",'R.M Billets Reports'!D2072)+1,200)),""))&lt;&gt;"",IF(ISNUMBER(SEARCH("Party Name:-",'R.M Billets Reports'!D2072)),TRIM('R.M Billets Reports'!F2072),IF(ISNUMBER(SEARCH("Party Name-",'R.M Billets Reports'!D2072)),TRIM(MID('R.M Billets Reports'!D2072,SEARCH("-",'R.M Billets Reports'!D2072)+1,200)),"")),IF(ISNUMBER(SEARCH("Party Name:-",'R.M Billets Reports'!D2073)),TRIM('R.M Billets Reports'!F2073),IF(ISNUMBER(SEARCH("Party Name-",'R.M Billets Reports'!D2073)),TRIM(MID('R.M Billets Reports'!D2073,SEARCH("-",'R.M Billets Reports'!D2073)+1,200)),"")))))),IF(ROW()=2,"",A2072))</f>
      </c>
      <c r="B2073">
        <f>IF(OR('R.M Billets Reports'!A2072="Date-",'R.M Billets Reports'!A2072="Date:-"),'R.M Billets Reports'!B2072,IF(ROW()=2,"",B2072))</f>
      </c>
      <c r="C2073">
        <f>IF('R.M Billets Reports'!A2072="V.No.",'R.M Billets Reports'!B2072,IF(ROW()=2,"",C2072))</f>
      </c>
      <c r="D2073">
        <f>IF('R.M Billets Reports'!A2072&lt;&gt;"",'R.M Billets Reports'!A2072,IF(ROW()=2,"",D2072))</f>
      </c>
      <c r="E2073">
        <f>IF('R.M Billets Reports'!B2072="","",TRIM('R.M Billets Reports'!B2072))</f>
      </c>
      <c r="F2073">
        <f>'R.M Billets Reports'!C2072</f>
      </c>
      <c r="G2073">
        <f>'R.M Billets Reports'!D2072</f>
      </c>
      <c r="H2073">
        <f>'R.M Billets Reports'!E2072</f>
      </c>
      <c r="I2073">
        <f>'R.M Billets Reports'!F2072</f>
      </c>
      <c r="J2073">
        <f>'R.M Billets Reports'!G2072</f>
      </c>
      <c r="K2073">
        <f>'R.M Billets Reports'!H2072</f>
      </c>
      <c r="L2073">
        <f>IF('R.M Billets Reports'!I2072="","",'R.M Billets Reports'!I2072)</f>
      </c>
      <c r="M2073">
        <f t="shared" si="64"/>
      </c>
      <c r="N2073">
        <f>IF('R.M Billets Reports'!J2072="","",'R.M Billets Reports'!J2072)</f>
      </c>
      <c r="O2073">
        <f t="shared" si="65"/>
      </c>
      <c r="P2073">
        <f>IF('R.M Billets Reports'!A2072="SIZE",'R.M Billets Reports'!B2072,P2072)</f>
      </c>
    </row>
    <row r="2074" spans="1:16" x14ac:dyDescent="0.25">
      <c r="A2074">
        <f>IF(OR('R.M Billets Reports'!A2073="Date-",'R.M Billets Reports'!A2073="Date:-"),IF(IF(IF(ISNUMBER(SEARCH("Party Name:-",'R.M Billets Reports'!D2073)),TRIM('R.M Billets Reports'!F2073),IF(ISNUMBER(SEARCH("Party Name-",'R.M Billets Reports'!D2073)),TRIM(MID('R.M Billets Reports'!D2073,SEARCH("-",'R.M Billets Reports'!D2073)+1,200)),""))&lt;&gt;"",IF(ISNUMBER(SEARCH("Party Name:-",'R.M Billets Reports'!D2073)),TRIM('R.M Billets Reports'!F2073),IF(ISNUMBER(SEARCH("Party Name-",'R.M Billets Reports'!D2073)),TRIM(MID('R.M Billets Reports'!D2073,SEARCH("-",'R.M Billets Reports'!D2073)+1,200)),"")),IF(ISNUMBER(SEARCH("Party Name:-",'R.M Billets Reports'!D2074)),TRIM('R.M Billets Reports'!F2074),IF(ISNUMBER(SEARCH("Party Name-",'R.M Billets Reports'!D2074)),TRIM(MID('R.M Billets Reports'!D2074,SEARCH("-",'R.M Billets Reports'!D2074)+1,200)),"")))="VRKP ISPAT PVT LTD","VRKP",IF(IF(IF(ISNUMBER(SEARCH("Party Name:-",'R.M Billets Reports'!D2073)),TRIM('R.M Billets Reports'!F2073),IF(ISNUMBER(SEARCH("Party Name-",'R.M Billets Reports'!D2073)),TRIM(MID('R.M Billets Reports'!D2073,SEARCH("-",'R.M Billets Reports'!D2073)+1,200)),""))&lt;&gt;"",IF(ISNUMBER(SEARCH("Party Name:-",'R.M Billets Reports'!D2073)),TRIM('R.M Billets Reports'!F2073),IF(ISNUMBER(SEARCH("Party Name-",'R.M Billets Reports'!D2073)),TRIM(MID('R.M Billets Reports'!D2073,SEARCH("-",'R.M Billets Reports'!D2073)+1,200)),"")),IF(ISNUMBER(SEARCH("Party Name:-",'R.M Billets Reports'!D2074)),TRIM('R.M Billets Reports'!F2074),IF(ISNUMBER(SEARCH("Party Name-",'R.M Billets Reports'!D2074)),TRIM(MID('R.M Billets Reports'!D2074,SEARCH("-",'R.M Billets Reports'!D2074)+1,200)),"")))="SHRI RADHE","SHREE RADHE",IF(IF(IF(ISNUMBER(SEARCH("Party Name:-",'R.M Billets Reports'!D2073)),TRIM('R.M Billets Reports'!F2073),IF(ISNUMBER(SEARCH("Party Name-",'R.M Billets Reports'!D2073)),TRIM(MID('R.M Billets Reports'!D2073,SEARCH("-",'R.M Billets Reports'!D2073)+1,200)),""))&lt;&gt;"",IF(ISNUMBER(SEARCH("Party Name:-",'R.M Billets Reports'!D2073)),TRIM('R.M Billets Reports'!F2073),IF(ISNUMBER(SEARCH("Party Name-",'R.M Billets Reports'!D2073)),TRIM(MID('R.M Billets Reports'!D2073,SEARCH("-",'R.M Billets Reports'!D2073)+1,200)),"")),IF(ISNUMBER(SEARCH("Party Name:-",'R.M Billets Reports'!D2074)),TRIM('R.M Billets Reports'!F2074),IF(ISNUMBER(SEARCH("Party Name-",'R.M Billets Reports'!D2074)),TRIM(MID('R.M Billets Reports'!D2074,SEARCH("-",'R.M Billets Reports'!D2074)+1,200)),"")))="SHREE RADHE SHAKTI SPONGE AND POWER PVT. LTD.","SHREE RADHE",IF(IF(ISNUMBER(SEARCH("Party Name:-",'R.M Billets Reports'!D2073)),TRIM('R.M Billets Reports'!F2073),IF(ISNUMBER(SEARCH("Party Name-",'R.M Billets Reports'!D2073)),TRIM(MID('R.M Billets Reports'!D2073,SEARCH("-",'R.M Billets Reports'!D2073)+1,200)),""))&lt;&gt;"",IF(ISNUMBER(SEARCH("Party Name:-",'R.M Billets Reports'!D2073)),TRIM('R.M Billets Reports'!F2073),IF(ISNUMBER(SEARCH("Party Name-",'R.M Billets Reports'!D2073)),TRIM(MID('R.M Billets Reports'!D2073,SEARCH("-",'R.M Billets Reports'!D2073)+1,200)),"")),IF(ISNUMBER(SEARCH("Party Name:-",'R.M Billets Reports'!D2074)),TRIM('R.M Billets Reports'!F2074),IF(ISNUMBER(SEARCH("Party Name-",'R.M Billets Reports'!D2074)),TRIM(MID('R.M Billets Reports'!D2074,SEARCH("-",'R.M Billets Reports'!D2074)+1,200)),"")))))),IF(ROW()=2,"",A2073))</f>
      </c>
      <c r="B2074">
        <f>IF(OR('R.M Billets Reports'!A2073="Date-",'R.M Billets Reports'!A2073="Date:-"),'R.M Billets Reports'!B2073,IF(ROW()=2,"",B2073))</f>
      </c>
      <c r="C2074">
        <f>IF('R.M Billets Reports'!A2073="V.No.",'R.M Billets Reports'!B2073,IF(ROW()=2,"",C2073))</f>
      </c>
      <c r="D2074">
        <f>IF('R.M Billets Reports'!A2073&lt;&gt;"",'R.M Billets Reports'!A2073,IF(ROW()=2,"",D2073))</f>
      </c>
      <c r="E2074">
        <f>IF('R.M Billets Reports'!B2073="","",TRIM('R.M Billets Reports'!B2073))</f>
      </c>
      <c r="F2074">
        <f>'R.M Billets Reports'!C2073</f>
      </c>
      <c r="G2074">
        <f>'R.M Billets Reports'!D2073</f>
      </c>
      <c r="H2074">
        <f>'R.M Billets Reports'!E2073</f>
      </c>
      <c r="I2074">
        <f>'R.M Billets Reports'!F2073</f>
      </c>
      <c r="J2074">
        <f>'R.M Billets Reports'!G2073</f>
      </c>
      <c r="K2074">
        <f>'R.M Billets Reports'!H2073</f>
      </c>
      <c r="L2074">
        <f>IF('R.M Billets Reports'!I2073="","",'R.M Billets Reports'!I2073)</f>
      </c>
      <c r="M2074">
        <f t="shared" si="64"/>
      </c>
      <c r="N2074">
        <f>IF('R.M Billets Reports'!J2073="","",'R.M Billets Reports'!J2073)</f>
      </c>
      <c r="O2074">
        <f t="shared" si="65"/>
      </c>
      <c r="P2074">
        <f>IF('R.M Billets Reports'!A2073="SIZE",'R.M Billets Reports'!B2073,P2073)</f>
      </c>
    </row>
    <row r="2075" spans="1:16" x14ac:dyDescent="0.25">
      <c r="A2075">
        <f>IF(OR('R.M Billets Reports'!A2074="Date-",'R.M Billets Reports'!A2074="Date:-"),IF(IF(IF(ISNUMBER(SEARCH("Party Name:-",'R.M Billets Reports'!D2074)),TRIM('R.M Billets Reports'!F2074),IF(ISNUMBER(SEARCH("Party Name-",'R.M Billets Reports'!D2074)),TRIM(MID('R.M Billets Reports'!D2074,SEARCH("-",'R.M Billets Reports'!D2074)+1,200)),""))&lt;&gt;"",IF(ISNUMBER(SEARCH("Party Name:-",'R.M Billets Reports'!D2074)),TRIM('R.M Billets Reports'!F2074),IF(ISNUMBER(SEARCH("Party Name-",'R.M Billets Reports'!D2074)),TRIM(MID('R.M Billets Reports'!D2074,SEARCH("-",'R.M Billets Reports'!D2074)+1,200)),"")),IF(ISNUMBER(SEARCH("Party Name:-",'R.M Billets Reports'!D2075)),TRIM('R.M Billets Reports'!F2075),IF(ISNUMBER(SEARCH("Party Name-",'R.M Billets Reports'!D2075)),TRIM(MID('R.M Billets Reports'!D2075,SEARCH("-",'R.M Billets Reports'!D2075)+1,200)),"")))="VRKP ISPAT PVT LTD","VRKP",IF(IF(IF(ISNUMBER(SEARCH("Party Name:-",'R.M Billets Reports'!D2074)),TRIM('R.M Billets Reports'!F2074),IF(ISNUMBER(SEARCH("Party Name-",'R.M Billets Reports'!D2074)),TRIM(MID('R.M Billets Reports'!D2074,SEARCH("-",'R.M Billets Reports'!D2074)+1,200)),""))&lt;&gt;"",IF(ISNUMBER(SEARCH("Party Name:-",'R.M Billets Reports'!D2074)),TRIM('R.M Billets Reports'!F2074),IF(ISNUMBER(SEARCH("Party Name-",'R.M Billets Reports'!D2074)),TRIM(MID('R.M Billets Reports'!D2074,SEARCH("-",'R.M Billets Reports'!D2074)+1,200)),"")),IF(ISNUMBER(SEARCH("Party Name:-",'R.M Billets Reports'!D2075)),TRIM('R.M Billets Reports'!F2075),IF(ISNUMBER(SEARCH("Party Name-",'R.M Billets Reports'!D2075)),TRIM(MID('R.M Billets Reports'!D2075,SEARCH("-",'R.M Billets Reports'!D2075)+1,200)),"")))="SHRI RADHE","SHREE RADHE",IF(IF(IF(ISNUMBER(SEARCH("Party Name:-",'R.M Billets Reports'!D2074)),TRIM('R.M Billets Reports'!F2074),IF(ISNUMBER(SEARCH("Party Name-",'R.M Billets Reports'!D2074)),TRIM(MID('R.M Billets Reports'!D2074,SEARCH("-",'R.M Billets Reports'!D2074)+1,200)),""))&lt;&gt;"",IF(ISNUMBER(SEARCH("Party Name:-",'R.M Billets Reports'!D2074)),TRIM('R.M Billets Reports'!F2074),IF(ISNUMBER(SEARCH("Party Name-",'R.M Billets Reports'!D2074)),TRIM(MID('R.M Billets Reports'!D2074,SEARCH("-",'R.M Billets Reports'!D2074)+1,200)),"")),IF(ISNUMBER(SEARCH("Party Name:-",'R.M Billets Reports'!D2075)),TRIM('R.M Billets Reports'!F2075),IF(ISNUMBER(SEARCH("Party Name-",'R.M Billets Reports'!D2075)),TRIM(MID('R.M Billets Reports'!D2075,SEARCH("-",'R.M Billets Reports'!D2075)+1,200)),"")))="SHREE RADHE SHAKTI SPONGE AND POWER PVT. LTD.","SHREE RADHE",IF(IF(ISNUMBER(SEARCH("Party Name:-",'R.M Billets Reports'!D2074)),TRIM('R.M Billets Reports'!F2074),IF(ISNUMBER(SEARCH("Party Name-",'R.M Billets Reports'!D2074)),TRIM(MID('R.M Billets Reports'!D2074,SEARCH("-",'R.M Billets Reports'!D2074)+1,200)),""))&lt;&gt;"",IF(ISNUMBER(SEARCH("Party Name:-",'R.M Billets Reports'!D2074)),TRIM('R.M Billets Reports'!F2074),IF(ISNUMBER(SEARCH("Party Name-",'R.M Billets Reports'!D2074)),TRIM(MID('R.M Billets Reports'!D2074,SEARCH("-",'R.M Billets Reports'!D2074)+1,200)),"")),IF(ISNUMBER(SEARCH("Party Name:-",'R.M Billets Reports'!D2075)),TRIM('R.M Billets Reports'!F2075),IF(ISNUMBER(SEARCH("Party Name-",'R.M Billets Reports'!D2075)),TRIM(MID('R.M Billets Reports'!D2075,SEARCH("-",'R.M Billets Reports'!D2075)+1,200)),"")))))),IF(ROW()=2,"",A2074))</f>
      </c>
      <c r="B2075">
        <f>IF(OR('R.M Billets Reports'!A2074="Date-",'R.M Billets Reports'!A2074="Date:-"),'R.M Billets Reports'!B2074,IF(ROW()=2,"",B2074))</f>
      </c>
      <c r="C2075">
        <f>IF('R.M Billets Reports'!A2074="V.No.",'R.M Billets Reports'!B2074,IF(ROW()=2,"",C2074))</f>
      </c>
      <c r="D2075">
        <f>IF('R.M Billets Reports'!A2074&lt;&gt;"",'R.M Billets Reports'!A2074,IF(ROW()=2,"",D2074))</f>
      </c>
      <c r="E2075">
        <f>IF('R.M Billets Reports'!B2074="","",TRIM('R.M Billets Reports'!B2074))</f>
      </c>
      <c r="F2075">
        <f>'R.M Billets Reports'!C2074</f>
      </c>
      <c r="G2075">
        <f>'R.M Billets Reports'!D2074</f>
      </c>
      <c r="H2075">
        <f>'R.M Billets Reports'!E2074</f>
      </c>
      <c r="I2075">
        <f>'R.M Billets Reports'!F2074</f>
      </c>
      <c r="J2075">
        <f>'R.M Billets Reports'!G2074</f>
      </c>
      <c r="K2075">
        <f>'R.M Billets Reports'!H2074</f>
      </c>
      <c r="L2075">
        <f>IF('R.M Billets Reports'!I2074="","",'R.M Billets Reports'!I2074)</f>
      </c>
      <c r="M2075">
        <f t="shared" si="64"/>
      </c>
      <c r="N2075">
        <f>IF('R.M Billets Reports'!J2074="","",'R.M Billets Reports'!J2074)</f>
      </c>
      <c r="O2075">
        <f t="shared" si="65"/>
      </c>
      <c r="P2075">
        <f>IF('R.M Billets Reports'!A2074="SIZE",'R.M Billets Reports'!B2074,P2074)</f>
      </c>
    </row>
    <row r="2076" spans="1:16" x14ac:dyDescent="0.25">
      <c r="A2076">
        <f>IF(OR('R.M Billets Reports'!A2075="Date-",'R.M Billets Reports'!A2075="Date:-"),IF(IF(IF(ISNUMBER(SEARCH("Party Name:-",'R.M Billets Reports'!D2075)),TRIM('R.M Billets Reports'!F2075),IF(ISNUMBER(SEARCH("Party Name-",'R.M Billets Reports'!D2075)),TRIM(MID('R.M Billets Reports'!D2075,SEARCH("-",'R.M Billets Reports'!D2075)+1,200)),""))&lt;&gt;"",IF(ISNUMBER(SEARCH("Party Name:-",'R.M Billets Reports'!D2075)),TRIM('R.M Billets Reports'!F2075),IF(ISNUMBER(SEARCH("Party Name-",'R.M Billets Reports'!D2075)),TRIM(MID('R.M Billets Reports'!D2075,SEARCH("-",'R.M Billets Reports'!D2075)+1,200)),"")),IF(ISNUMBER(SEARCH("Party Name:-",'R.M Billets Reports'!D2076)),TRIM('R.M Billets Reports'!F2076),IF(ISNUMBER(SEARCH("Party Name-",'R.M Billets Reports'!D2076)),TRIM(MID('R.M Billets Reports'!D2076,SEARCH("-",'R.M Billets Reports'!D2076)+1,200)),"")))="VRKP ISPAT PVT LTD","VRKP",IF(IF(IF(ISNUMBER(SEARCH("Party Name:-",'R.M Billets Reports'!D2075)),TRIM('R.M Billets Reports'!F2075),IF(ISNUMBER(SEARCH("Party Name-",'R.M Billets Reports'!D2075)),TRIM(MID('R.M Billets Reports'!D2075,SEARCH("-",'R.M Billets Reports'!D2075)+1,200)),""))&lt;&gt;"",IF(ISNUMBER(SEARCH("Party Name:-",'R.M Billets Reports'!D2075)),TRIM('R.M Billets Reports'!F2075),IF(ISNUMBER(SEARCH("Party Name-",'R.M Billets Reports'!D2075)),TRIM(MID('R.M Billets Reports'!D2075,SEARCH("-",'R.M Billets Reports'!D2075)+1,200)),"")),IF(ISNUMBER(SEARCH("Party Name:-",'R.M Billets Reports'!D2076)),TRIM('R.M Billets Reports'!F2076),IF(ISNUMBER(SEARCH("Party Name-",'R.M Billets Reports'!D2076)),TRIM(MID('R.M Billets Reports'!D2076,SEARCH("-",'R.M Billets Reports'!D2076)+1,200)),"")))="SHRI RADHE","SHREE RADHE",IF(IF(IF(ISNUMBER(SEARCH("Party Name:-",'R.M Billets Reports'!D2075)),TRIM('R.M Billets Reports'!F2075),IF(ISNUMBER(SEARCH("Party Name-",'R.M Billets Reports'!D2075)),TRIM(MID('R.M Billets Reports'!D2075,SEARCH("-",'R.M Billets Reports'!D2075)+1,200)),""))&lt;&gt;"",IF(ISNUMBER(SEARCH("Party Name:-",'R.M Billets Reports'!D2075)),TRIM('R.M Billets Reports'!F2075),IF(ISNUMBER(SEARCH("Party Name-",'R.M Billets Reports'!D2075)),TRIM(MID('R.M Billets Reports'!D2075,SEARCH("-",'R.M Billets Reports'!D2075)+1,200)),"")),IF(ISNUMBER(SEARCH("Party Name:-",'R.M Billets Reports'!D2076)),TRIM('R.M Billets Reports'!F2076),IF(ISNUMBER(SEARCH("Party Name-",'R.M Billets Reports'!D2076)),TRIM(MID('R.M Billets Reports'!D2076,SEARCH("-",'R.M Billets Reports'!D2076)+1,200)),"")))="SHREE RADHE SHAKTI SPONGE AND POWER PVT. LTD.","SHREE RADHE",IF(IF(ISNUMBER(SEARCH("Party Name:-",'R.M Billets Reports'!D2075)),TRIM('R.M Billets Reports'!F2075),IF(ISNUMBER(SEARCH("Party Name-",'R.M Billets Reports'!D2075)),TRIM(MID('R.M Billets Reports'!D2075,SEARCH("-",'R.M Billets Reports'!D2075)+1,200)),""))&lt;&gt;"",IF(ISNUMBER(SEARCH("Party Name:-",'R.M Billets Reports'!D2075)),TRIM('R.M Billets Reports'!F2075),IF(ISNUMBER(SEARCH("Party Name-",'R.M Billets Reports'!D2075)),TRIM(MID('R.M Billets Reports'!D2075,SEARCH("-",'R.M Billets Reports'!D2075)+1,200)),"")),IF(ISNUMBER(SEARCH("Party Name:-",'R.M Billets Reports'!D2076)),TRIM('R.M Billets Reports'!F2076),IF(ISNUMBER(SEARCH("Party Name-",'R.M Billets Reports'!D2076)),TRIM(MID('R.M Billets Reports'!D2076,SEARCH("-",'R.M Billets Reports'!D2076)+1,200)),"")))))),IF(ROW()=2,"",A2075))</f>
      </c>
      <c r="B2076">
        <f>IF(OR('R.M Billets Reports'!A2075="Date-",'R.M Billets Reports'!A2075="Date:-"),'R.M Billets Reports'!B2075,IF(ROW()=2,"",B2075))</f>
      </c>
      <c r="C2076">
        <f>IF('R.M Billets Reports'!A2075="V.No.",'R.M Billets Reports'!B2075,IF(ROW()=2,"",C2075))</f>
      </c>
      <c r="D2076">
        <f>IF('R.M Billets Reports'!A2075&lt;&gt;"",'R.M Billets Reports'!A2075,IF(ROW()=2,"",D2075))</f>
      </c>
      <c r="E2076">
        <f>IF('R.M Billets Reports'!B2075="","",TRIM('R.M Billets Reports'!B2075))</f>
      </c>
      <c r="F2076">
        <f>'R.M Billets Reports'!C2075</f>
      </c>
      <c r="G2076">
        <f>'R.M Billets Reports'!D2075</f>
      </c>
      <c r="H2076">
        <f>'R.M Billets Reports'!E2075</f>
      </c>
      <c r="I2076">
        <f>'R.M Billets Reports'!F2075</f>
      </c>
      <c r="J2076">
        <f>'R.M Billets Reports'!G2075</f>
      </c>
      <c r="K2076">
        <f>'R.M Billets Reports'!H2075</f>
      </c>
      <c r="L2076">
        <f>IF('R.M Billets Reports'!I2075="","",'R.M Billets Reports'!I2075)</f>
      </c>
      <c r="M2076">
        <f t="shared" si="64"/>
      </c>
      <c r="N2076">
        <f>IF('R.M Billets Reports'!J2075="","",'R.M Billets Reports'!J2075)</f>
      </c>
      <c r="O2076">
        <f t="shared" si="65"/>
      </c>
      <c r="P2076">
        <f>IF('R.M Billets Reports'!A2075="SIZE",'R.M Billets Reports'!B2075,P2075)</f>
      </c>
    </row>
    <row r="2077" spans="1:16" x14ac:dyDescent="0.25">
      <c r="A2077">
        <f>IF(OR('R.M Billets Reports'!A2076="Date-",'R.M Billets Reports'!A2076="Date:-"),IF(IF(IF(ISNUMBER(SEARCH("Party Name:-",'R.M Billets Reports'!D2076)),TRIM('R.M Billets Reports'!F2076),IF(ISNUMBER(SEARCH("Party Name-",'R.M Billets Reports'!D2076)),TRIM(MID('R.M Billets Reports'!D2076,SEARCH("-",'R.M Billets Reports'!D2076)+1,200)),""))&lt;&gt;"",IF(ISNUMBER(SEARCH("Party Name:-",'R.M Billets Reports'!D2076)),TRIM('R.M Billets Reports'!F2076),IF(ISNUMBER(SEARCH("Party Name-",'R.M Billets Reports'!D2076)),TRIM(MID('R.M Billets Reports'!D2076,SEARCH("-",'R.M Billets Reports'!D2076)+1,200)),"")),IF(ISNUMBER(SEARCH("Party Name:-",'R.M Billets Reports'!D2077)),TRIM('R.M Billets Reports'!F2077),IF(ISNUMBER(SEARCH("Party Name-",'R.M Billets Reports'!D2077)),TRIM(MID('R.M Billets Reports'!D2077,SEARCH("-",'R.M Billets Reports'!D2077)+1,200)),"")))="VRKP ISPAT PVT LTD","VRKP",IF(IF(IF(ISNUMBER(SEARCH("Party Name:-",'R.M Billets Reports'!D2076)),TRIM('R.M Billets Reports'!F2076),IF(ISNUMBER(SEARCH("Party Name-",'R.M Billets Reports'!D2076)),TRIM(MID('R.M Billets Reports'!D2076,SEARCH("-",'R.M Billets Reports'!D2076)+1,200)),""))&lt;&gt;"",IF(ISNUMBER(SEARCH("Party Name:-",'R.M Billets Reports'!D2076)),TRIM('R.M Billets Reports'!F2076),IF(ISNUMBER(SEARCH("Party Name-",'R.M Billets Reports'!D2076)),TRIM(MID('R.M Billets Reports'!D2076,SEARCH("-",'R.M Billets Reports'!D2076)+1,200)),"")),IF(ISNUMBER(SEARCH("Party Name:-",'R.M Billets Reports'!D2077)),TRIM('R.M Billets Reports'!F2077),IF(ISNUMBER(SEARCH("Party Name-",'R.M Billets Reports'!D2077)),TRIM(MID('R.M Billets Reports'!D2077,SEARCH("-",'R.M Billets Reports'!D2077)+1,200)),"")))="SHRI RADHE","SHREE RADHE",IF(IF(IF(ISNUMBER(SEARCH("Party Name:-",'R.M Billets Reports'!D2076)),TRIM('R.M Billets Reports'!F2076),IF(ISNUMBER(SEARCH("Party Name-",'R.M Billets Reports'!D2076)),TRIM(MID('R.M Billets Reports'!D2076,SEARCH("-",'R.M Billets Reports'!D2076)+1,200)),""))&lt;&gt;"",IF(ISNUMBER(SEARCH("Party Name:-",'R.M Billets Reports'!D2076)),TRIM('R.M Billets Reports'!F2076),IF(ISNUMBER(SEARCH("Party Name-",'R.M Billets Reports'!D2076)),TRIM(MID('R.M Billets Reports'!D2076,SEARCH("-",'R.M Billets Reports'!D2076)+1,200)),"")),IF(ISNUMBER(SEARCH("Party Name:-",'R.M Billets Reports'!D2077)),TRIM('R.M Billets Reports'!F2077),IF(ISNUMBER(SEARCH("Party Name-",'R.M Billets Reports'!D2077)),TRIM(MID('R.M Billets Reports'!D2077,SEARCH("-",'R.M Billets Reports'!D2077)+1,200)),"")))="SHREE RADHE SHAKTI SPONGE AND POWER PVT. LTD.","SHREE RADHE",IF(IF(ISNUMBER(SEARCH("Party Name:-",'R.M Billets Reports'!D2076)),TRIM('R.M Billets Reports'!F2076),IF(ISNUMBER(SEARCH("Party Name-",'R.M Billets Reports'!D2076)),TRIM(MID('R.M Billets Reports'!D2076,SEARCH("-",'R.M Billets Reports'!D2076)+1,200)),""))&lt;&gt;"",IF(ISNUMBER(SEARCH("Party Name:-",'R.M Billets Reports'!D2076)),TRIM('R.M Billets Reports'!F2076),IF(ISNUMBER(SEARCH("Party Name-",'R.M Billets Reports'!D2076)),TRIM(MID('R.M Billets Reports'!D2076,SEARCH("-",'R.M Billets Reports'!D2076)+1,200)),"")),IF(ISNUMBER(SEARCH("Party Name:-",'R.M Billets Reports'!D2077)),TRIM('R.M Billets Reports'!F2077),IF(ISNUMBER(SEARCH("Party Name-",'R.M Billets Reports'!D2077)),TRIM(MID('R.M Billets Reports'!D2077,SEARCH("-",'R.M Billets Reports'!D2077)+1,200)),"")))))),IF(ROW()=2,"",A2076))</f>
      </c>
      <c r="B2077">
        <f>IF(OR('R.M Billets Reports'!A2076="Date-",'R.M Billets Reports'!A2076="Date:-"),'R.M Billets Reports'!B2076,IF(ROW()=2,"",B2076))</f>
      </c>
      <c r="C2077">
        <f>IF('R.M Billets Reports'!A2076="V.No.",'R.M Billets Reports'!B2076,IF(ROW()=2,"",C2076))</f>
      </c>
      <c r="D2077">
        <f>IF('R.M Billets Reports'!A2076&lt;&gt;"",'R.M Billets Reports'!A2076,IF(ROW()=2,"",D2076))</f>
      </c>
      <c r="E2077">
        <f>IF('R.M Billets Reports'!B2076="","",TRIM('R.M Billets Reports'!B2076))</f>
      </c>
      <c r="F2077">
        <f>'R.M Billets Reports'!C2076</f>
      </c>
      <c r="G2077">
        <f>'R.M Billets Reports'!D2076</f>
      </c>
      <c r="H2077">
        <f>'R.M Billets Reports'!E2076</f>
      </c>
      <c r="I2077">
        <f>'R.M Billets Reports'!F2076</f>
      </c>
      <c r="J2077">
        <f>'R.M Billets Reports'!G2076</f>
      </c>
      <c r="K2077">
        <f>'R.M Billets Reports'!H2076</f>
      </c>
      <c r="L2077">
        <f>IF('R.M Billets Reports'!I2076="","",'R.M Billets Reports'!I2076)</f>
      </c>
      <c r="M2077">
        <f t="shared" si="64"/>
      </c>
      <c r="N2077">
        <f>IF('R.M Billets Reports'!J2076="","",'R.M Billets Reports'!J2076)</f>
      </c>
      <c r="O2077">
        <f t="shared" si="65"/>
      </c>
      <c r="P2077">
        <f>IF('R.M Billets Reports'!A2076="SIZE",'R.M Billets Reports'!B2076,P2076)</f>
      </c>
    </row>
    <row r="2078" spans="1:16" x14ac:dyDescent="0.25">
      <c r="A2078">
        <f>IF(OR('R.M Billets Reports'!A2077="Date-",'R.M Billets Reports'!A2077="Date:-"),IF(IF(IF(ISNUMBER(SEARCH("Party Name:-",'R.M Billets Reports'!D2077)),TRIM('R.M Billets Reports'!F2077),IF(ISNUMBER(SEARCH("Party Name-",'R.M Billets Reports'!D2077)),TRIM(MID('R.M Billets Reports'!D2077,SEARCH("-",'R.M Billets Reports'!D2077)+1,200)),""))&lt;&gt;"",IF(ISNUMBER(SEARCH("Party Name:-",'R.M Billets Reports'!D2077)),TRIM('R.M Billets Reports'!F2077),IF(ISNUMBER(SEARCH("Party Name-",'R.M Billets Reports'!D2077)),TRIM(MID('R.M Billets Reports'!D2077,SEARCH("-",'R.M Billets Reports'!D2077)+1,200)),"")),IF(ISNUMBER(SEARCH("Party Name:-",'R.M Billets Reports'!D2078)),TRIM('R.M Billets Reports'!F2078),IF(ISNUMBER(SEARCH("Party Name-",'R.M Billets Reports'!D2078)),TRIM(MID('R.M Billets Reports'!D2078,SEARCH("-",'R.M Billets Reports'!D2078)+1,200)),"")))="VRKP ISPAT PVT LTD","VRKP",IF(IF(IF(ISNUMBER(SEARCH("Party Name:-",'R.M Billets Reports'!D2077)),TRIM('R.M Billets Reports'!F2077),IF(ISNUMBER(SEARCH("Party Name-",'R.M Billets Reports'!D2077)),TRIM(MID('R.M Billets Reports'!D2077,SEARCH("-",'R.M Billets Reports'!D2077)+1,200)),""))&lt;&gt;"",IF(ISNUMBER(SEARCH("Party Name:-",'R.M Billets Reports'!D2077)),TRIM('R.M Billets Reports'!F2077),IF(ISNUMBER(SEARCH("Party Name-",'R.M Billets Reports'!D2077)),TRIM(MID('R.M Billets Reports'!D2077,SEARCH("-",'R.M Billets Reports'!D2077)+1,200)),"")),IF(ISNUMBER(SEARCH("Party Name:-",'R.M Billets Reports'!D2078)),TRIM('R.M Billets Reports'!F2078),IF(ISNUMBER(SEARCH("Party Name-",'R.M Billets Reports'!D2078)),TRIM(MID('R.M Billets Reports'!D2078,SEARCH("-",'R.M Billets Reports'!D2078)+1,200)),"")))="SHRI RADHE","SHREE RADHE",IF(IF(IF(ISNUMBER(SEARCH("Party Name:-",'R.M Billets Reports'!D2077)),TRIM('R.M Billets Reports'!F2077),IF(ISNUMBER(SEARCH("Party Name-",'R.M Billets Reports'!D2077)),TRIM(MID('R.M Billets Reports'!D2077,SEARCH("-",'R.M Billets Reports'!D2077)+1,200)),""))&lt;&gt;"",IF(ISNUMBER(SEARCH("Party Name:-",'R.M Billets Reports'!D2077)),TRIM('R.M Billets Reports'!F2077),IF(ISNUMBER(SEARCH("Party Name-",'R.M Billets Reports'!D2077)),TRIM(MID('R.M Billets Reports'!D2077,SEARCH("-",'R.M Billets Reports'!D2077)+1,200)),"")),IF(ISNUMBER(SEARCH("Party Name:-",'R.M Billets Reports'!D2078)),TRIM('R.M Billets Reports'!F2078),IF(ISNUMBER(SEARCH("Party Name-",'R.M Billets Reports'!D2078)),TRIM(MID('R.M Billets Reports'!D2078,SEARCH("-",'R.M Billets Reports'!D2078)+1,200)),"")))="SHREE RADHE SHAKTI SPONGE AND POWER PVT. LTD.","SHREE RADHE",IF(IF(ISNUMBER(SEARCH("Party Name:-",'R.M Billets Reports'!D2077)),TRIM('R.M Billets Reports'!F2077),IF(ISNUMBER(SEARCH("Party Name-",'R.M Billets Reports'!D2077)),TRIM(MID('R.M Billets Reports'!D2077,SEARCH("-",'R.M Billets Reports'!D2077)+1,200)),""))&lt;&gt;"",IF(ISNUMBER(SEARCH("Party Name:-",'R.M Billets Reports'!D2077)),TRIM('R.M Billets Reports'!F2077),IF(ISNUMBER(SEARCH("Party Name-",'R.M Billets Reports'!D2077)),TRIM(MID('R.M Billets Reports'!D2077,SEARCH("-",'R.M Billets Reports'!D2077)+1,200)),"")),IF(ISNUMBER(SEARCH("Party Name:-",'R.M Billets Reports'!D2078)),TRIM('R.M Billets Reports'!F2078),IF(ISNUMBER(SEARCH("Party Name-",'R.M Billets Reports'!D2078)),TRIM(MID('R.M Billets Reports'!D2078,SEARCH("-",'R.M Billets Reports'!D2078)+1,200)),"")))))),IF(ROW()=2,"",A2077))</f>
      </c>
      <c r="B2078">
        <f>IF(OR('R.M Billets Reports'!A2077="Date-",'R.M Billets Reports'!A2077="Date:-"),'R.M Billets Reports'!B2077,IF(ROW()=2,"",B2077))</f>
      </c>
      <c r="C2078">
        <f>IF('R.M Billets Reports'!A2077="V.No.",'R.M Billets Reports'!B2077,IF(ROW()=2,"",C2077))</f>
      </c>
      <c r="D2078">
        <f>IF('R.M Billets Reports'!A2077&lt;&gt;"",'R.M Billets Reports'!A2077,IF(ROW()=2,"",D2077))</f>
      </c>
      <c r="E2078">
        <f>IF('R.M Billets Reports'!B2077="","",TRIM('R.M Billets Reports'!B2077))</f>
      </c>
      <c r="F2078">
        <f>'R.M Billets Reports'!C2077</f>
      </c>
      <c r="G2078">
        <f>'R.M Billets Reports'!D2077</f>
      </c>
      <c r="H2078">
        <f>'R.M Billets Reports'!E2077</f>
      </c>
      <c r="I2078">
        <f>'R.M Billets Reports'!F2077</f>
      </c>
      <c r="J2078">
        <f>'R.M Billets Reports'!G2077</f>
      </c>
      <c r="K2078">
        <f>'R.M Billets Reports'!H2077</f>
      </c>
      <c r="L2078">
        <f>IF('R.M Billets Reports'!I2077="","",'R.M Billets Reports'!I2077)</f>
      </c>
      <c r="M2078">
        <f t="shared" si="64"/>
      </c>
      <c r="N2078">
        <f>IF('R.M Billets Reports'!J2077="","",'R.M Billets Reports'!J2077)</f>
      </c>
      <c r="O2078">
        <f t="shared" si="65"/>
      </c>
      <c r="P2078">
        <f>IF('R.M Billets Reports'!A2077="SIZE",'R.M Billets Reports'!B2077,P2077)</f>
      </c>
    </row>
    <row r="2079" spans="1:16" x14ac:dyDescent="0.25">
      <c r="A2079">
        <f>IF(OR('R.M Billets Reports'!A2078="Date-",'R.M Billets Reports'!A2078="Date:-"),IF(IF(IF(ISNUMBER(SEARCH("Party Name:-",'R.M Billets Reports'!D2078)),TRIM('R.M Billets Reports'!F2078),IF(ISNUMBER(SEARCH("Party Name-",'R.M Billets Reports'!D2078)),TRIM(MID('R.M Billets Reports'!D2078,SEARCH("-",'R.M Billets Reports'!D2078)+1,200)),""))&lt;&gt;"",IF(ISNUMBER(SEARCH("Party Name:-",'R.M Billets Reports'!D2078)),TRIM('R.M Billets Reports'!F2078),IF(ISNUMBER(SEARCH("Party Name-",'R.M Billets Reports'!D2078)),TRIM(MID('R.M Billets Reports'!D2078,SEARCH("-",'R.M Billets Reports'!D2078)+1,200)),"")),IF(ISNUMBER(SEARCH("Party Name:-",'R.M Billets Reports'!D2079)),TRIM('R.M Billets Reports'!F2079),IF(ISNUMBER(SEARCH("Party Name-",'R.M Billets Reports'!D2079)),TRIM(MID('R.M Billets Reports'!D2079,SEARCH("-",'R.M Billets Reports'!D2079)+1,200)),"")))="VRKP ISPAT PVT LTD","VRKP",IF(IF(IF(ISNUMBER(SEARCH("Party Name:-",'R.M Billets Reports'!D2078)),TRIM('R.M Billets Reports'!F2078),IF(ISNUMBER(SEARCH("Party Name-",'R.M Billets Reports'!D2078)),TRIM(MID('R.M Billets Reports'!D2078,SEARCH("-",'R.M Billets Reports'!D2078)+1,200)),""))&lt;&gt;"",IF(ISNUMBER(SEARCH("Party Name:-",'R.M Billets Reports'!D2078)),TRIM('R.M Billets Reports'!F2078),IF(ISNUMBER(SEARCH("Party Name-",'R.M Billets Reports'!D2078)),TRIM(MID('R.M Billets Reports'!D2078,SEARCH("-",'R.M Billets Reports'!D2078)+1,200)),"")),IF(ISNUMBER(SEARCH("Party Name:-",'R.M Billets Reports'!D2079)),TRIM('R.M Billets Reports'!F2079),IF(ISNUMBER(SEARCH("Party Name-",'R.M Billets Reports'!D2079)),TRIM(MID('R.M Billets Reports'!D2079,SEARCH("-",'R.M Billets Reports'!D2079)+1,200)),"")))="SHRI RADHE","SHREE RADHE",IF(IF(IF(ISNUMBER(SEARCH("Party Name:-",'R.M Billets Reports'!D2078)),TRIM('R.M Billets Reports'!F2078),IF(ISNUMBER(SEARCH("Party Name-",'R.M Billets Reports'!D2078)),TRIM(MID('R.M Billets Reports'!D2078,SEARCH("-",'R.M Billets Reports'!D2078)+1,200)),""))&lt;&gt;"",IF(ISNUMBER(SEARCH("Party Name:-",'R.M Billets Reports'!D2078)),TRIM('R.M Billets Reports'!F2078),IF(ISNUMBER(SEARCH("Party Name-",'R.M Billets Reports'!D2078)),TRIM(MID('R.M Billets Reports'!D2078,SEARCH("-",'R.M Billets Reports'!D2078)+1,200)),"")),IF(ISNUMBER(SEARCH("Party Name:-",'R.M Billets Reports'!D2079)),TRIM('R.M Billets Reports'!F2079),IF(ISNUMBER(SEARCH("Party Name-",'R.M Billets Reports'!D2079)),TRIM(MID('R.M Billets Reports'!D2079,SEARCH("-",'R.M Billets Reports'!D2079)+1,200)),"")))="SHREE RADHE SHAKTI SPONGE AND POWER PVT. LTD.","SHREE RADHE",IF(IF(ISNUMBER(SEARCH("Party Name:-",'R.M Billets Reports'!D2078)),TRIM('R.M Billets Reports'!F2078),IF(ISNUMBER(SEARCH("Party Name-",'R.M Billets Reports'!D2078)),TRIM(MID('R.M Billets Reports'!D2078,SEARCH("-",'R.M Billets Reports'!D2078)+1,200)),""))&lt;&gt;"",IF(ISNUMBER(SEARCH("Party Name:-",'R.M Billets Reports'!D2078)),TRIM('R.M Billets Reports'!F2078),IF(ISNUMBER(SEARCH("Party Name-",'R.M Billets Reports'!D2078)),TRIM(MID('R.M Billets Reports'!D2078,SEARCH("-",'R.M Billets Reports'!D2078)+1,200)),"")),IF(ISNUMBER(SEARCH("Party Name:-",'R.M Billets Reports'!D2079)),TRIM('R.M Billets Reports'!F2079),IF(ISNUMBER(SEARCH("Party Name-",'R.M Billets Reports'!D2079)),TRIM(MID('R.M Billets Reports'!D2079,SEARCH("-",'R.M Billets Reports'!D2079)+1,200)),"")))))),IF(ROW()=2,"",A2078))</f>
      </c>
      <c r="B2079">
        <f>IF(OR('R.M Billets Reports'!A2078="Date-",'R.M Billets Reports'!A2078="Date:-"),'R.M Billets Reports'!B2078,IF(ROW()=2,"",B2078))</f>
      </c>
      <c r="C2079">
        <f>IF('R.M Billets Reports'!A2078="V.No.",'R.M Billets Reports'!B2078,IF(ROW()=2,"",C2078))</f>
      </c>
      <c r="D2079">
        <f>IF('R.M Billets Reports'!A2078&lt;&gt;"",'R.M Billets Reports'!A2078,IF(ROW()=2,"",D2078))</f>
      </c>
      <c r="E2079">
        <f>IF('R.M Billets Reports'!B2078="","",TRIM('R.M Billets Reports'!B2078))</f>
      </c>
      <c r="F2079">
        <f>'R.M Billets Reports'!C2078</f>
      </c>
      <c r="G2079">
        <f>'R.M Billets Reports'!D2078</f>
      </c>
      <c r="H2079">
        <f>'R.M Billets Reports'!E2078</f>
      </c>
      <c r="I2079">
        <f>'R.M Billets Reports'!F2078</f>
      </c>
      <c r="J2079">
        <f>'R.M Billets Reports'!G2078</f>
      </c>
      <c r="K2079">
        <f>'R.M Billets Reports'!H2078</f>
      </c>
      <c r="L2079">
        <f>IF('R.M Billets Reports'!I2078="","",'R.M Billets Reports'!I2078)</f>
      </c>
      <c r="M2079">
        <f t="shared" si="64"/>
      </c>
      <c r="N2079">
        <f>IF('R.M Billets Reports'!J2078="","",'R.M Billets Reports'!J2078)</f>
      </c>
      <c r="O2079">
        <f t="shared" si="65"/>
      </c>
      <c r="P2079">
        <f>IF('R.M Billets Reports'!A2078="SIZE",'R.M Billets Reports'!B2078,P2078)</f>
      </c>
    </row>
    <row r="2080" spans="1:16" x14ac:dyDescent="0.25">
      <c r="A2080">
        <f>IF(OR('R.M Billets Reports'!A2079="Date-",'R.M Billets Reports'!A2079="Date:-"),IF(IF(IF(ISNUMBER(SEARCH("Party Name:-",'R.M Billets Reports'!D2079)),TRIM('R.M Billets Reports'!F2079),IF(ISNUMBER(SEARCH("Party Name-",'R.M Billets Reports'!D2079)),TRIM(MID('R.M Billets Reports'!D2079,SEARCH("-",'R.M Billets Reports'!D2079)+1,200)),""))&lt;&gt;"",IF(ISNUMBER(SEARCH("Party Name:-",'R.M Billets Reports'!D2079)),TRIM('R.M Billets Reports'!F2079),IF(ISNUMBER(SEARCH("Party Name-",'R.M Billets Reports'!D2079)),TRIM(MID('R.M Billets Reports'!D2079,SEARCH("-",'R.M Billets Reports'!D2079)+1,200)),"")),IF(ISNUMBER(SEARCH("Party Name:-",'R.M Billets Reports'!D2080)),TRIM('R.M Billets Reports'!F2080),IF(ISNUMBER(SEARCH("Party Name-",'R.M Billets Reports'!D2080)),TRIM(MID('R.M Billets Reports'!D2080,SEARCH("-",'R.M Billets Reports'!D2080)+1,200)),"")))="VRKP ISPAT PVT LTD","VRKP",IF(IF(IF(ISNUMBER(SEARCH("Party Name:-",'R.M Billets Reports'!D2079)),TRIM('R.M Billets Reports'!F2079),IF(ISNUMBER(SEARCH("Party Name-",'R.M Billets Reports'!D2079)),TRIM(MID('R.M Billets Reports'!D2079,SEARCH("-",'R.M Billets Reports'!D2079)+1,200)),""))&lt;&gt;"",IF(ISNUMBER(SEARCH("Party Name:-",'R.M Billets Reports'!D2079)),TRIM('R.M Billets Reports'!F2079),IF(ISNUMBER(SEARCH("Party Name-",'R.M Billets Reports'!D2079)),TRIM(MID('R.M Billets Reports'!D2079,SEARCH("-",'R.M Billets Reports'!D2079)+1,200)),"")),IF(ISNUMBER(SEARCH("Party Name:-",'R.M Billets Reports'!D2080)),TRIM('R.M Billets Reports'!F2080),IF(ISNUMBER(SEARCH("Party Name-",'R.M Billets Reports'!D2080)),TRIM(MID('R.M Billets Reports'!D2080,SEARCH("-",'R.M Billets Reports'!D2080)+1,200)),"")))="SHRI RADHE","SHREE RADHE",IF(IF(IF(ISNUMBER(SEARCH("Party Name:-",'R.M Billets Reports'!D2079)),TRIM('R.M Billets Reports'!F2079),IF(ISNUMBER(SEARCH("Party Name-",'R.M Billets Reports'!D2079)),TRIM(MID('R.M Billets Reports'!D2079,SEARCH("-",'R.M Billets Reports'!D2079)+1,200)),""))&lt;&gt;"",IF(ISNUMBER(SEARCH("Party Name:-",'R.M Billets Reports'!D2079)),TRIM('R.M Billets Reports'!F2079),IF(ISNUMBER(SEARCH("Party Name-",'R.M Billets Reports'!D2079)),TRIM(MID('R.M Billets Reports'!D2079,SEARCH("-",'R.M Billets Reports'!D2079)+1,200)),"")),IF(ISNUMBER(SEARCH("Party Name:-",'R.M Billets Reports'!D2080)),TRIM('R.M Billets Reports'!F2080),IF(ISNUMBER(SEARCH("Party Name-",'R.M Billets Reports'!D2080)),TRIM(MID('R.M Billets Reports'!D2080,SEARCH("-",'R.M Billets Reports'!D2080)+1,200)),"")))="SHREE RADHE SHAKTI SPONGE AND POWER PVT. LTD.","SHREE RADHE",IF(IF(ISNUMBER(SEARCH("Party Name:-",'R.M Billets Reports'!D2079)),TRIM('R.M Billets Reports'!F2079),IF(ISNUMBER(SEARCH("Party Name-",'R.M Billets Reports'!D2079)),TRIM(MID('R.M Billets Reports'!D2079,SEARCH("-",'R.M Billets Reports'!D2079)+1,200)),""))&lt;&gt;"",IF(ISNUMBER(SEARCH("Party Name:-",'R.M Billets Reports'!D2079)),TRIM('R.M Billets Reports'!F2079),IF(ISNUMBER(SEARCH("Party Name-",'R.M Billets Reports'!D2079)),TRIM(MID('R.M Billets Reports'!D2079,SEARCH("-",'R.M Billets Reports'!D2079)+1,200)),"")),IF(ISNUMBER(SEARCH("Party Name:-",'R.M Billets Reports'!D2080)),TRIM('R.M Billets Reports'!F2080),IF(ISNUMBER(SEARCH("Party Name-",'R.M Billets Reports'!D2080)),TRIM(MID('R.M Billets Reports'!D2080,SEARCH("-",'R.M Billets Reports'!D2080)+1,200)),"")))))),IF(ROW()=2,"",A2079))</f>
      </c>
      <c r="B2080">
        <f>IF(OR('R.M Billets Reports'!A2079="Date-",'R.M Billets Reports'!A2079="Date:-"),'R.M Billets Reports'!B2079,IF(ROW()=2,"",B2079))</f>
      </c>
      <c r="C2080">
        <f>IF('R.M Billets Reports'!A2079="V.No.",'R.M Billets Reports'!B2079,IF(ROW()=2,"",C2079))</f>
      </c>
      <c r="D2080">
        <f>IF('R.M Billets Reports'!A2079&lt;&gt;"",'R.M Billets Reports'!A2079,IF(ROW()=2,"",D2079))</f>
      </c>
      <c r="E2080">
        <f>IF('R.M Billets Reports'!B2079="","",TRIM('R.M Billets Reports'!B2079))</f>
      </c>
      <c r="F2080">
        <f>'R.M Billets Reports'!C2079</f>
      </c>
      <c r="G2080">
        <f>'R.M Billets Reports'!D2079</f>
      </c>
      <c r="H2080">
        <f>'R.M Billets Reports'!E2079</f>
      </c>
      <c r="I2080">
        <f>'R.M Billets Reports'!F2079</f>
      </c>
      <c r="J2080">
        <f>'R.M Billets Reports'!G2079</f>
      </c>
      <c r="K2080">
        <f>'R.M Billets Reports'!H2079</f>
      </c>
      <c r="L2080">
        <f>IF('R.M Billets Reports'!I2079="","",'R.M Billets Reports'!I2079)</f>
      </c>
      <c r="M2080">
        <f t="shared" si="64"/>
      </c>
      <c r="N2080">
        <f>IF('R.M Billets Reports'!J2079="","",'R.M Billets Reports'!J2079)</f>
      </c>
      <c r="O2080">
        <f t="shared" si="65"/>
      </c>
      <c r="P2080">
        <f>IF('R.M Billets Reports'!A2079="SIZE",'R.M Billets Reports'!B2079,P2079)</f>
      </c>
    </row>
    <row r="2081" spans="1:16" x14ac:dyDescent="0.25">
      <c r="A2081">
        <f>IF(OR('R.M Billets Reports'!A2080="Date-",'R.M Billets Reports'!A2080="Date:-"),IF(IF(IF(ISNUMBER(SEARCH("Party Name:-",'R.M Billets Reports'!D2080)),TRIM('R.M Billets Reports'!F2080),IF(ISNUMBER(SEARCH("Party Name-",'R.M Billets Reports'!D2080)),TRIM(MID('R.M Billets Reports'!D2080,SEARCH("-",'R.M Billets Reports'!D2080)+1,200)),""))&lt;&gt;"",IF(ISNUMBER(SEARCH("Party Name:-",'R.M Billets Reports'!D2080)),TRIM('R.M Billets Reports'!F2080),IF(ISNUMBER(SEARCH("Party Name-",'R.M Billets Reports'!D2080)),TRIM(MID('R.M Billets Reports'!D2080,SEARCH("-",'R.M Billets Reports'!D2080)+1,200)),"")),IF(ISNUMBER(SEARCH("Party Name:-",'R.M Billets Reports'!D2081)),TRIM('R.M Billets Reports'!F2081),IF(ISNUMBER(SEARCH("Party Name-",'R.M Billets Reports'!D2081)),TRIM(MID('R.M Billets Reports'!D2081,SEARCH("-",'R.M Billets Reports'!D2081)+1,200)),"")))="VRKP ISPAT PVT LTD","VRKP",IF(IF(IF(ISNUMBER(SEARCH("Party Name:-",'R.M Billets Reports'!D2080)),TRIM('R.M Billets Reports'!F2080),IF(ISNUMBER(SEARCH("Party Name-",'R.M Billets Reports'!D2080)),TRIM(MID('R.M Billets Reports'!D2080,SEARCH("-",'R.M Billets Reports'!D2080)+1,200)),""))&lt;&gt;"",IF(ISNUMBER(SEARCH("Party Name:-",'R.M Billets Reports'!D2080)),TRIM('R.M Billets Reports'!F2080),IF(ISNUMBER(SEARCH("Party Name-",'R.M Billets Reports'!D2080)),TRIM(MID('R.M Billets Reports'!D2080,SEARCH("-",'R.M Billets Reports'!D2080)+1,200)),"")),IF(ISNUMBER(SEARCH("Party Name:-",'R.M Billets Reports'!D2081)),TRIM('R.M Billets Reports'!F2081),IF(ISNUMBER(SEARCH("Party Name-",'R.M Billets Reports'!D2081)),TRIM(MID('R.M Billets Reports'!D2081,SEARCH("-",'R.M Billets Reports'!D2081)+1,200)),"")))="SHRI RADHE","SHREE RADHE",IF(IF(IF(ISNUMBER(SEARCH("Party Name:-",'R.M Billets Reports'!D2080)),TRIM('R.M Billets Reports'!F2080),IF(ISNUMBER(SEARCH("Party Name-",'R.M Billets Reports'!D2080)),TRIM(MID('R.M Billets Reports'!D2080,SEARCH("-",'R.M Billets Reports'!D2080)+1,200)),""))&lt;&gt;"",IF(ISNUMBER(SEARCH("Party Name:-",'R.M Billets Reports'!D2080)),TRIM('R.M Billets Reports'!F2080),IF(ISNUMBER(SEARCH("Party Name-",'R.M Billets Reports'!D2080)),TRIM(MID('R.M Billets Reports'!D2080,SEARCH("-",'R.M Billets Reports'!D2080)+1,200)),"")),IF(ISNUMBER(SEARCH("Party Name:-",'R.M Billets Reports'!D2081)),TRIM('R.M Billets Reports'!F2081),IF(ISNUMBER(SEARCH("Party Name-",'R.M Billets Reports'!D2081)),TRIM(MID('R.M Billets Reports'!D2081,SEARCH("-",'R.M Billets Reports'!D2081)+1,200)),"")))="SHREE RADHE SHAKTI SPONGE AND POWER PVT. LTD.","SHREE RADHE",IF(IF(ISNUMBER(SEARCH("Party Name:-",'R.M Billets Reports'!D2080)),TRIM('R.M Billets Reports'!F2080),IF(ISNUMBER(SEARCH("Party Name-",'R.M Billets Reports'!D2080)),TRIM(MID('R.M Billets Reports'!D2080,SEARCH("-",'R.M Billets Reports'!D2080)+1,200)),""))&lt;&gt;"",IF(ISNUMBER(SEARCH("Party Name:-",'R.M Billets Reports'!D2080)),TRIM('R.M Billets Reports'!F2080),IF(ISNUMBER(SEARCH("Party Name-",'R.M Billets Reports'!D2080)),TRIM(MID('R.M Billets Reports'!D2080,SEARCH("-",'R.M Billets Reports'!D2080)+1,200)),"")),IF(ISNUMBER(SEARCH("Party Name:-",'R.M Billets Reports'!D2081)),TRIM('R.M Billets Reports'!F2081),IF(ISNUMBER(SEARCH("Party Name-",'R.M Billets Reports'!D2081)),TRIM(MID('R.M Billets Reports'!D2081,SEARCH("-",'R.M Billets Reports'!D2081)+1,200)),"")))))),IF(ROW()=2,"",A2080))</f>
      </c>
      <c r="B2081">
        <f>IF(OR('R.M Billets Reports'!A2080="Date-",'R.M Billets Reports'!A2080="Date:-"),'R.M Billets Reports'!B2080,IF(ROW()=2,"",B2080))</f>
      </c>
      <c r="C2081">
        <f>IF('R.M Billets Reports'!A2080="V.No.",'R.M Billets Reports'!B2080,IF(ROW()=2,"",C2080))</f>
      </c>
      <c r="D2081">
        <f>IF('R.M Billets Reports'!A2080&lt;&gt;"",'R.M Billets Reports'!A2080,IF(ROW()=2,"",D2080))</f>
      </c>
      <c r="E2081">
        <f>IF('R.M Billets Reports'!B2080="","",TRIM('R.M Billets Reports'!B2080))</f>
      </c>
      <c r="F2081">
        <f>'R.M Billets Reports'!C2080</f>
      </c>
      <c r="G2081">
        <f>'R.M Billets Reports'!D2080</f>
      </c>
      <c r="H2081">
        <f>'R.M Billets Reports'!E2080</f>
      </c>
      <c r="I2081">
        <f>'R.M Billets Reports'!F2080</f>
      </c>
      <c r="J2081">
        <f>'R.M Billets Reports'!G2080</f>
      </c>
      <c r="K2081">
        <f>'R.M Billets Reports'!H2080</f>
      </c>
      <c r="L2081">
        <f>IF('R.M Billets Reports'!I2080="","",'R.M Billets Reports'!I2080)</f>
      </c>
      <c r="M2081">
        <f t="shared" si="64"/>
      </c>
      <c r="N2081">
        <f>IF('R.M Billets Reports'!J2080="","",'R.M Billets Reports'!J2080)</f>
      </c>
      <c r="O2081">
        <f t="shared" si="65"/>
      </c>
      <c r="P2081">
        <f>IF('R.M Billets Reports'!A2080="SIZE",'R.M Billets Reports'!B2080,P2080)</f>
      </c>
    </row>
    <row r="2082" spans="1:16" x14ac:dyDescent="0.25">
      <c r="A2082">
        <f>IF(OR('R.M Billets Reports'!A2081="Date-",'R.M Billets Reports'!A2081="Date:-"),IF(IF(IF(ISNUMBER(SEARCH("Party Name:-",'R.M Billets Reports'!D2081)),TRIM('R.M Billets Reports'!F2081),IF(ISNUMBER(SEARCH("Party Name-",'R.M Billets Reports'!D2081)),TRIM(MID('R.M Billets Reports'!D2081,SEARCH("-",'R.M Billets Reports'!D2081)+1,200)),""))&lt;&gt;"",IF(ISNUMBER(SEARCH("Party Name:-",'R.M Billets Reports'!D2081)),TRIM('R.M Billets Reports'!F2081),IF(ISNUMBER(SEARCH("Party Name-",'R.M Billets Reports'!D2081)),TRIM(MID('R.M Billets Reports'!D2081,SEARCH("-",'R.M Billets Reports'!D2081)+1,200)),"")),IF(ISNUMBER(SEARCH("Party Name:-",'R.M Billets Reports'!D2082)),TRIM('R.M Billets Reports'!F2082),IF(ISNUMBER(SEARCH("Party Name-",'R.M Billets Reports'!D2082)),TRIM(MID('R.M Billets Reports'!D2082,SEARCH("-",'R.M Billets Reports'!D2082)+1,200)),"")))="VRKP ISPAT PVT LTD","VRKP",IF(IF(IF(ISNUMBER(SEARCH("Party Name:-",'R.M Billets Reports'!D2081)),TRIM('R.M Billets Reports'!F2081),IF(ISNUMBER(SEARCH("Party Name-",'R.M Billets Reports'!D2081)),TRIM(MID('R.M Billets Reports'!D2081,SEARCH("-",'R.M Billets Reports'!D2081)+1,200)),""))&lt;&gt;"",IF(ISNUMBER(SEARCH("Party Name:-",'R.M Billets Reports'!D2081)),TRIM('R.M Billets Reports'!F2081),IF(ISNUMBER(SEARCH("Party Name-",'R.M Billets Reports'!D2081)),TRIM(MID('R.M Billets Reports'!D2081,SEARCH("-",'R.M Billets Reports'!D2081)+1,200)),"")),IF(ISNUMBER(SEARCH("Party Name:-",'R.M Billets Reports'!D2082)),TRIM('R.M Billets Reports'!F2082),IF(ISNUMBER(SEARCH("Party Name-",'R.M Billets Reports'!D2082)),TRIM(MID('R.M Billets Reports'!D2082,SEARCH("-",'R.M Billets Reports'!D2082)+1,200)),"")))="SHRI RADHE","SHREE RADHE",IF(IF(IF(ISNUMBER(SEARCH("Party Name:-",'R.M Billets Reports'!D2081)),TRIM('R.M Billets Reports'!F2081),IF(ISNUMBER(SEARCH("Party Name-",'R.M Billets Reports'!D2081)),TRIM(MID('R.M Billets Reports'!D2081,SEARCH("-",'R.M Billets Reports'!D2081)+1,200)),""))&lt;&gt;"",IF(ISNUMBER(SEARCH("Party Name:-",'R.M Billets Reports'!D2081)),TRIM('R.M Billets Reports'!F2081),IF(ISNUMBER(SEARCH("Party Name-",'R.M Billets Reports'!D2081)),TRIM(MID('R.M Billets Reports'!D2081,SEARCH("-",'R.M Billets Reports'!D2081)+1,200)),"")),IF(ISNUMBER(SEARCH("Party Name:-",'R.M Billets Reports'!D2082)),TRIM('R.M Billets Reports'!F2082),IF(ISNUMBER(SEARCH("Party Name-",'R.M Billets Reports'!D2082)),TRIM(MID('R.M Billets Reports'!D2082,SEARCH("-",'R.M Billets Reports'!D2082)+1,200)),"")))="SHREE RADHE SHAKTI SPONGE AND POWER PVT. LTD.","SHREE RADHE",IF(IF(ISNUMBER(SEARCH("Party Name:-",'R.M Billets Reports'!D2081)),TRIM('R.M Billets Reports'!F2081),IF(ISNUMBER(SEARCH("Party Name-",'R.M Billets Reports'!D2081)),TRIM(MID('R.M Billets Reports'!D2081,SEARCH("-",'R.M Billets Reports'!D2081)+1,200)),""))&lt;&gt;"",IF(ISNUMBER(SEARCH("Party Name:-",'R.M Billets Reports'!D2081)),TRIM('R.M Billets Reports'!F2081),IF(ISNUMBER(SEARCH("Party Name-",'R.M Billets Reports'!D2081)),TRIM(MID('R.M Billets Reports'!D2081,SEARCH("-",'R.M Billets Reports'!D2081)+1,200)),"")),IF(ISNUMBER(SEARCH("Party Name:-",'R.M Billets Reports'!D2082)),TRIM('R.M Billets Reports'!F2082),IF(ISNUMBER(SEARCH("Party Name-",'R.M Billets Reports'!D2082)),TRIM(MID('R.M Billets Reports'!D2082,SEARCH("-",'R.M Billets Reports'!D2082)+1,200)),"")))))),IF(ROW()=2,"",A2081))</f>
      </c>
      <c r="B2082">
        <f>IF(OR('R.M Billets Reports'!A2081="Date-",'R.M Billets Reports'!A2081="Date:-"),'R.M Billets Reports'!B2081,IF(ROW()=2,"",B2081))</f>
      </c>
      <c r="C2082">
        <f>IF('R.M Billets Reports'!A2081="V.No.",'R.M Billets Reports'!B2081,IF(ROW()=2,"",C2081))</f>
      </c>
      <c r="D2082">
        <f>IF('R.M Billets Reports'!A2081&lt;&gt;"",'R.M Billets Reports'!A2081,IF(ROW()=2,"",D2081))</f>
      </c>
      <c r="E2082">
        <f>IF('R.M Billets Reports'!B2081="","",TRIM('R.M Billets Reports'!B2081))</f>
      </c>
      <c r="F2082">
        <f>'R.M Billets Reports'!C2081</f>
      </c>
      <c r="G2082">
        <f>'R.M Billets Reports'!D2081</f>
      </c>
      <c r="H2082">
        <f>'R.M Billets Reports'!E2081</f>
      </c>
      <c r="I2082">
        <f>'R.M Billets Reports'!F2081</f>
      </c>
      <c r="J2082">
        <f>'R.M Billets Reports'!G2081</f>
      </c>
      <c r="K2082">
        <f>'R.M Billets Reports'!H2081</f>
      </c>
      <c r="L2082">
        <f>IF('R.M Billets Reports'!I2081="","",'R.M Billets Reports'!I2081)</f>
      </c>
      <c r="M2082">
        <f t="shared" si="64"/>
      </c>
      <c r="N2082">
        <f>IF('R.M Billets Reports'!J2081="","",'R.M Billets Reports'!J2081)</f>
      </c>
      <c r="O2082">
        <f t="shared" si="65"/>
      </c>
      <c r="P2082">
        <f>IF('R.M Billets Reports'!A2081="SIZE",'R.M Billets Reports'!B2081,P2081)</f>
      </c>
    </row>
    <row r="2083" spans="1:16" x14ac:dyDescent="0.25">
      <c r="A2083">
        <f>IF(OR('R.M Billets Reports'!A2082="Date-",'R.M Billets Reports'!A2082="Date:-"),IF(IF(IF(ISNUMBER(SEARCH("Party Name:-",'R.M Billets Reports'!D2082)),TRIM('R.M Billets Reports'!F2082),IF(ISNUMBER(SEARCH("Party Name-",'R.M Billets Reports'!D2082)),TRIM(MID('R.M Billets Reports'!D2082,SEARCH("-",'R.M Billets Reports'!D2082)+1,200)),""))&lt;&gt;"",IF(ISNUMBER(SEARCH("Party Name:-",'R.M Billets Reports'!D2082)),TRIM('R.M Billets Reports'!F2082),IF(ISNUMBER(SEARCH("Party Name-",'R.M Billets Reports'!D2082)),TRIM(MID('R.M Billets Reports'!D2082,SEARCH("-",'R.M Billets Reports'!D2082)+1,200)),"")),IF(ISNUMBER(SEARCH("Party Name:-",'R.M Billets Reports'!D2083)),TRIM('R.M Billets Reports'!F2083),IF(ISNUMBER(SEARCH("Party Name-",'R.M Billets Reports'!D2083)),TRIM(MID('R.M Billets Reports'!D2083,SEARCH("-",'R.M Billets Reports'!D2083)+1,200)),"")))="VRKP ISPAT PVT LTD","VRKP",IF(IF(IF(ISNUMBER(SEARCH("Party Name:-",'R.M Billets Reports'!D2082)),TRIM('R.M Billets Reports'!F2082),IF(ISNUMBER(SEARCH("Party Name-",'R.M Billets Reports'!D2082)),TRIM(MID('R.M Billets Reports'!D2082,SEARCH("-",'R.M Billets Reports'!D2082)+1,200)),""))&lt;&gt;"",IF(ISNUMBER(SEARCH("Party Name:-",'R.M Billets Reports'!D2082)),TRIM('R.M Billets Reports'!F2082),IF(ISNUMBER(SEARCH("Party Name-",'R.M Billets Reports'!D2082)),TRIM(MID('R.M Billets Reports'!D2082,SEARCH("-",'R.M Billets Reports'!D2082)+1,200)),"")),IF(ISNUMBER(SEARCH("Party Name:-",'R.M Billets Reports'!D2083)),TRIM('R.M Billets Reports'!F2083),IF(ISNUMBER(SEARCH("Party Name-",'R.M Billets Reports'!D2083)),TRIM(MID('R.M Billets Reports'!D2083,SEARCH("-",'R.M Billets Reports'!D2083)+1,200)),"")))="SHRI RADHE","SHREE RADHE",IF(IF(IF(ISNUMBER(SEARCH("Party Name:-",'R.M Billets Reports'!D2082)),TRIM('R.M Billets Reports'!F2082),IF(ISNUMBER(SEARCH("Party Name-",'R.M Billets Reports'!D2082)),TRIM(MID('R.M Billets Reports'!D2082,SEARCH("-",'R.M Billets Reports'!D2082)+1,200)),""))&lt;&gt;"",IF(ISNUMBER(SEARCH("Party Name:-",'R.M Billets Reports'!D2082)),TRIM('R.M Billets Reports'!F2082),IF(ISNUMBER(SEARCH("Party Name-",'R.M Billets Reports'!D2082)),TRIM(MID('R.M Billets Reports'!D2082,SEARCH("-",'R.M Billets Reports'!D2082)+1,200)),"")),IF(ISNUMBER(SEARCH("Party Name:-",'R.M Billets Reports'!D2083)),TRIM('R.M Billets Reports'!F2083),IF(ISNUMBER(SEARCH("Party Name-",'R.M Billets Reports'!D2083)),TRIM(MID('R.M Billets Reports'!D2083,SEARCH("-",'R.M Billets Reports'!D2083)+1,200)),"")))="SHREE RADHE SHAKTI SPONGE AND POWER PVT. LTD.","SHREE RADHE",IF(IF(ISNUMBER(SEARCH("Party Name:-",'R.M Billets Reports'!D2082)),TRIM('R.M Billets Reports'!F2082),IF(ISNUMBER(SEARCH("Party Name-",'R.M Billets Reports'!D2082)),TRIM(MID('R.M Billets Reports'!D2082,SEARCH("-",'R.M Billets Reports'!D2082)+1,200)),""))&lt;&gt;"",IF(ISNUMBER(SEARCH("Party Name:-",'R.M Billets Reports'!D2082)),TRIM('R.M Billets Reports'!F2082),IF(ISNUMBER(SEARCH("Party Name-",'R.M Billets Reports'!D2082)),TRIM(MID('R.M Billets Reports'!D2082,SEARCH("-",'R.M Billets Reports'!D2082)+1,200)),"")),IF(ISNUMBER(SEARCH("Party Name:-",'R.M Billets Reports'!D2083)),TRIM('R.M Billets Reports'!F2083),IF(ISNUMBER(SEARCH("Party Name-",'R.M Billets Reports'!D2083)),TRIM(MID('R.M Billets Reports'!D2083,SEARCH("-",'R.M Billets Reports'!D2083)+1,200)),"")))))),IF(ROW()=2,"",A2082))</f>
      </c>
      <c r="B2083">
        <f>IF(OR('R.M Billets Reports'!A2082="Date-",'R.M Billets Reports'!A2082="Date:-"),'R.M Billets Reports'!B2082,IF(ROW()=2,"",B2082))</f>
      </c>
      <c r="C2083">
        <f>IF('R.M Billets Reports'!A2082="V.No.",'R.M Billets Reports'!B2082,IF(ROW()=2,"",C2082))</f>
      </c>
      <c r="D2083">
        <f>IF('R.M Billets Reports'!A2082&lt;&gt;"",'R.M Billets Reports'!A2082,IF(ROW()=2,"",D2082))</f>
      </c>
      <c r="E2083">
        <f>IF('R.M Billets Reports'!B2082="","",TRIM('R.M Billets Reports'!B2082))</f>
      </c>
      <c r="F2083">
        <f>'R.M Billets Reports'!C2082</f>
      </c>
      <c r="G2083">
        <f>'R.M Billets Reports'!D2082</f>
      </c>
      <c r="H2083">
        <f>'R.M Billets Reports'!E2082</f>
      </c>
      <c r="I2083">
        <f>'R.M Billets Reports'!F2082</f>
      </c>
      <c r="J2083">
        <f>'R.M Billets Reports'!G2082</f>
      </c>
      <c r="K2083">
        <f>'R.M Billets Reports'!H2082</f>
      </c>
      <c r="L2083">
        <f>IF('R.M Billets Reports'!I2082="","",'R.M Billets Reports'!I2082)</f>
      </c>
      <c r="M2083">
        <f t="shared" si="64"/>
      </c>
      <c r="N2083">
        <f>IF('R.M Billets Reports'!J2082="","",'R.M Billets Reports'!J2082)</f>
      </c>
      <c r="O2083">
        <f t="shared" si="65"/>
      </c>
      <c r="P2083">
        <f>IF('R.M Billets Reports'!A2082="SIZE",'R.M Billets Reports'!B2082,P2082)</f>
      </c>
    </row>
    <row r="2084" spans="1:16" x14ac:dyDescent="0.25">
      <c r="A2084">
        <f>IF(OR('R.M Billets Reports'!A2083="Date-",'R.M Billets Reports'!A2083="Date:-"),IF(IF(IF(ISNUMBER(SEARCH("Party Name:-",'R.M Billets Reports'!D2083)),TRIM('R.M Billets Reports'!F2083),IF(ISNUMBER(SEARCH("Party Name-",'R.M Billets Reports'!D2083)),TRIM(MID('R.M Billets Reports'!D2083,SEARCH("-",'R.M Billets Reports'!D2083)+1,200)),""))&lt;&gt;"",IF(ISNUMBER(SEARCH("Party Name:-",'R.M Billets Reports'!D2083)),TRIM('R.M Billets Reports'!F2083),IF(ISNUMBER(SEARCH("Party Name-",'R.M Billets Reports'!D2083)),TRIM(MID('R.M Billets Reports'!D2083,SEARCH("-",'R.M Billets Reports'!D2083)+1,200)),"")),IF(ISNUMBER(SEARCH("Party Name:-",'R.M Billets Reports'!D2084)),TRIM('R.M Billets Reports'!F2084),IF(ISNUMBER(SEARCH("Party Name-",'R.M Billets Reports'!D2084)),TRIM(MID('R.M Billets Reports'!D2084,SEARCH("-",'R.M Billets Reports'!D2084)+1,200)),"")))="VRKP ISPAT PVT LTD","VRKP",IF(IF(IF(ISNUMBER(SEARCH("Party Name:-",'R.M Billets Reports'!D2083)),TRIM('R.M Billets Reports'!F2083),IF(ISNUMBER(SEARCH("Party Name-",'R.M Billets Reports'!D2083)),TRIM(MID('R.M Billets Reports'!D2083,SEARCH("-",'R.M Billets Reports'!D2083)+1,200)),""))&lt;&gt;"",IF(ISNUMBER(SEARCH("Party Name:-",'R.M Billets Reports'!D2083)),TRIM('R.M Billets Reports'!F2083),IF(ISNUMBER(SEARCH("Party Name-",'R.M Billets Reports'!D2083)),TRIM(MID('R.M Billets Reports'!D2083,SEARCH("-",'R.M Billets Reports'!D2083)+1,200)),"")),IF(ISNUMBER(SEARCH("Party Name:-",'R.M Billets Reports'!D2084)),TRIM('R.M Billets Reports'!F2084),IF(ISNUMBER(SEARCH("Party Name-",'R.M Billets Reports'!D2084)),TRIM(MID('R.M Billets Reports'!D2084,SEARCH("-",'R.M Billets Reports'!D2084)+1,200)),"")))="SHRI RADHE","SHREE RADHE",IF(IF(IF(ISNUMBER(SEARCH("Party Name:-",'R.M Billets Reports'!D2083)),TRIM('R.M Billets Reports'!F2083),IF(ISNUMBER(SEARCH("Party Name-",'R.M Billets Reports'!D2083)),TRIM(MID('R.M Billets Reports'!D2083,SEARCH("-",'R.M Billets Reports'!D2083)+1,200)),""))&lt;&gt;"",IF(ISNUMBER(SEARCH("Party Name:-",'R.M Billets Reports'!D2083)),TRIM('R.M Billets Reports'!F2083),IF(ISNUMBER(SEARCH("Party Name-",'R.M Billets Reports'!D2083)),TRIM(MID('R.M Billets Reports'!D2083,SEARCH("-",'R.M Billets Reports'!D2083)+1,200)),"")),IF(ISNUMBER(SEARCH("Party Name:-",'R.M Billets Reports'!D2084)),TRIM('R.M Billets Reports'!F2084),IF(ISNUMBER(SEARCH("Party Name-",'R.M Billets Reports'!D2084)),TRIM(MID('R.M Billets Reports'!D2084,SEARCH("-",'R.M Billets Reports'!D2084)+1,200)),"")))="SHREE RADHE SHAKTI SPONGE AND POWER PVT. LTD.","SHREE RADHE",IF(IF(ISNUMBER(SEARCH("Party Name:-",'R.M Billets Reports'!D2083)),TRIM('R.M Billets Reports'!F2083),IF(ISNUMBER(SEARCH("Party Name-",'R.M Billets Reports'!D2083)),TRIM(MID('R.M Billets Reports'!D2083,SEARCH("-",'R.M Billets Reports'!D2083)+1,200)),""))&lt;&gt;"",IF(ISNUMBER(SEARCH("Party Name:-",'R.M Billets Reports'!D2083)),TRIM('R.M Billets Reports'!F2083),IF(ISNUMBER(SEARCH("Party Name-",'R.M Billets Reports'!D2083)),TRIM(MID('R.M Billets Reports'!D2083,SEARCH("-",'R.M Billets Reports'!D2083)+1,200)),"")),IF(ISNUMBER(SEARCH("Party Name:-",'R.M Billets Reports'!D2084)),TRIM('R.M Billets Reports'!F2084),IF(ISNUMBER(SEARCH("Party Name-",'R.M Billets Reports'!D2084)),TRIM(MID('R.M Billets Reports'!D2084,SEARCH("-",'R.M Billets Reports'!D2084)+1,200)),"")))))),IF(ROW()=2,"",A2083))</f>
      </c>
      <c r="B2084">
        <f>IF(OR('R.M Billets Reports'!A2083="Date-",'R.M Billets Reports'!A2083="Date:-"),'R.M Billets Reports'!B2083,IF(ROW()=2,"",B2083))</f>
      </c>
      <c r="C2084">
        <f>IF('R.M Billets Reports'!A2083="V.No.",'R.M Billets Reports'!B2083,IF(ROW()=2,"",C2083))</f>
      </c>
      <c r="D2084">
        <f>IF('R.M Billets Reports'!A2083&lt;&gt;"",'R.M Billets Reports'!A2083,IF(ROW()=2,"",D2083))</f>
      </c>
      <c r="E2084">
        <f>IF('R.M Billets Reports'!B2083="","",TRIM('R.M Billets Reports'!B2083))</f>
      </c>
      <c r="F2084">
        <f>'R.M Billets Reports'!C2083</f>
      </c>
      <c r="G2084">
        <f>'R.M Billets Reports'!D2083</f>
      </c>
      <c r="H2084">
        <f>'R.M Billets Reports'!E2083</f>
      </c>
      <c r="I2084">
        <f>'R.M Billets Reports'!F2083</f>
      </c>
      <c r="J2084">
        <f>'R.M Billets Reports'!G2083</f>
      </c>
      <c r="K2084">
        <f>'R.M Billets Reports'!H2083</f>
      </c>
      <c r="L2084">
        <f>IF('R.M Billets Reports'!I2083="","",'R.M Billets Reports'!I2083)</f>
      </c>
      <c r="M2084">
        <f t="shared" si="64"/>
      </c>
      <c r="N2084">
        <f>IF('R.M Billets Reports'!J2083="","",'R.M Billets Reports'!J2083)</f>
      </c>
      <c r="O2084">
        <f t="shared" si="65"/>
      </c>
      <c r="P2084">
        <f>IF('R.M Billets Reports'!A2083="SIZE",'R.M Billets Reports'!B2083,P2083)</f>
      </c>
    </row>
    <row r="2085" spans="1:16" x14ac:dyDescent="0.25">
      <c r="A2085">
        <f>IF(OR('R.M Billets Reports'!A2084="Date-",'R.M Billets Reports'!A2084="Date:-"),IF(IF(IF(ISNUMBER(SEARCH("Party Name:-",'R.M Billets Reports'!D2084)),TRIM('R.M Billets Reports'!F2084),IF(ISNUMBER(SEARCH("Party Name-",'R.M Billets Reports'!D2084)),TRIM(MID('R.M Billets Reports'!D2084,SEARCH("-",'R.M Billets Reports'!D2084)+1,200)),""))&lt;&gt;"",IF(ISNUMBER(SEARCH("Party Name:-",'R.M Billets Reports'!D2084)),TRIM('R.M Billets Reports'!F2084),IF(ISNUMBER(SEARCH("Party Name-",'R.M Billets Reports'!D2084)),TRIM(MID('R.M Billets Reports'!D2084,SEARCH("-",'R.M Billets Reports'!D2084)+1,200)),"")),IF(ISNUMBER(SEARCH("Party Name:-",'R.M Billets Reports'!D2085)),TRIM('R.M Billets Reports'!F2085),IF(ISNUMBER(SEARCH("Party Name-",'R.M Billets Reports'!D2085)),TRIM(MID('R.M Billets Reports'!D2085,SEARCH("-",'R.M Billets Reports'!D2085)+1,200)),"")))="VRKP ISPAT PVT LTD","VRKP",IF(IF(IF(ISNUMBER(SEARCH("Party Name:-",'R.M Billets Reports'!D2084)),TRIM('R.M Billets Reports'!F2084),IF(ISNUMBER(SEARCH("Party Name-",'R.M Billets Reports'!D2084)),TRIM(MID('R.M Billets Reports'!D2084,SEARCH("-",'R.M Billets Reports'!D2084)+1,200)),""))&lt;&gt;"",IF(ISNUMBER(SEARCH("Party Name:-",'R.M Billets Reports'!D2084)),TRIM('R.M Billets Reports'!F2084),IF(ISNUMBER(SEARCH("Party Name-",'R.M Billets Reports'!D2084)),TRIM(MID('R.M Billets Reports'!D2084,SEARCH("-",'R.M Billets Reports'!D2084)+1,200)),"")),IF(ISNUMBER(SEARCH("Party Name:-",'R.M Billets Reports'!D2085)),TRIM('R.M Billets Reports'!F2085),IF(ISNUMBER(SEARCH("Party Name-",'R.M Billets Reports'!D2085)),TRIM(MID('R.M Billets Reports'!D2085,SEARCH("-",'R.M Billets Reports'!D2085)+1,200)),"")))="SHRI RADHE","SHREE RADHE",IF(IF(IF(ISNUMBER(SEARCH("Party Name:-",'R.M Billets Reports'!D2084)),TRIM('R.M Billets Reports'!F2084),IF(ISNUMBER(SEARCH("Party Name-",'R.M Billets Reports'!D2084)),TRIM(MID('R.M Billets Reports'!D2084,SEARCH("-",'R.M Billets Reports'!D2084)+1,200)),""))&lt;&gt;"",IF(ISNUMBER(SEARCH("Party Name:-",'R.M Billets Reports'!D2084)),TRIM('R.M Billets Reports'!F2084),IF(ISNUMBER(SEARCH("Party Name-",'R.M Billets Reports'!D2084)),TRIM(MID('R.M Billets Reports'!D2084,SEARCH("-",'R.M Billets Reports'!D2084)+1,200)),"")),IF(ISNUMBER(SEARCH("Party Name:-",'R.M Billets Reports'!D2085)),TRIM('R.M Billets Reports'!F2085),IF(ISNUMBER(SEARCH("Party Name-",'R.M Billets Reports'!D2085)),TRIM(MID('R.M Billets Reports'!D2085,SEARCH("-",'R.M Billets Reports'!D2085)+1,200)),"")))="SHREE RADHE SHAKTI SPONGE AND POWER PVT. LTD.","SHREE RADHE",IF(IF(ISNUMBER(SEARCH("Party Name:-",'R.M Billets Reports'!D2084)),TRIM('R.M Billets Reports'!F2084),IF(ISNUMBER(SEARCH("Party Name-",'R.M Billets Reports'!D2084)),TRIM(MID('R.M Billets Reports'!D2084,SEARCH("-",'R.M Billets Reports'!D2084)+1,200)),""))&lt;&gt;"",IF(ISNUMBER(SEARCH("Party Name:-",'R.M Billets Reports'!D2084)),TRIM('R.M Billets Reports'!F2084),IF(ISNUMBER(SEARCH("Party Name-",'R.M Billets Reports'!D2084)),TRIM(MID('R.M Billets Reports'!D2084,SEARCH("-",'R.M Billets Reports'!D2084)+1,200)),"")),IF(ISNUMBER(SEARCH("Party Name:-",'R.M Billets Reports'!D2085)),TRIM('R.M Billets Reports'!F2085),IF(ISNUMBER(SEARCH("Party Name-",'R.M Billets Reports'!D2085)),TRIM(MID('R.M Billets Reports'!D2085,SEARCH("-",'R.M Billets Reports'!D2085)+1,200)),"")))))),IF(ROW()=2,"",A2084))</f>
      </c>
      <c r="B2085">
        <f>IF(OR('R.M Billets Reports'!A2084="Date-",'R.M Billets Reports'!A2084="Date:-"),'R.M Billets Reports'!B2084,IF(ROW()=2,"",B2084))</f>
      </c>
      <c r="C2085">
        <f>IF('R.M Billets Reports'!A2084="V.No.",'R.M Billets Reports'!B2084,IF(ROW()=2,"",C2084))</f>
      </c>
      <c r="D2085">
        <f>IF('R.M Billets Reports'!A2084&lt;&gt;"",'R.M Billets Reports'!A2084,IF(ROW()=2,"",D2084))</f>
      </c>
      <c r="E2085">
        <f>IF('R.M Billets Reports'!B2084="","",TRIM('R.M Billets Reports'!B2084))</f>
      </c>
      <c r="F2085">
        <f>'R.M Billets Reports'!C2084</f>
      </c>
      <c r="G2085">
        <f>'R.M Billets Reports'!D2084</f>
      </c>
      <c r="H2085">
        <f>'R.M Billets Reports'!E2084</f>
      </c>
      <c r="I2085">
        <f>'R.M Billets Reports'!F2084</f>
      </c>
      <c r="J2085">
        <f>'R.M Billets Reports'!G2084</f>
      </c>
      <c r="K2085">
        <f>'R.M Billets Reports'!H2084</f>
      </c>
      <c r="L2085">
        <f>IF('R.M Billets Reports'!I2084="","",'R.M Billets Reports'!I2084)</f>
      </c>
      <c r="M2085">
        <f t="shared" si="64"/>
      </c>
      <c r="N2085">
        <f>IF('R.M Billets Reports'!J2084="","",'R.M Billets Reports'!J2084)</f>
      </c>
      <c r="O2085">
        <f t="shared" si="65"/>
      </c>
      <c r="P2085">
        <f>IF('R.M Billets Reports'!A2084="SIZE",'R.M Billets Reports'!B2084,P2084)</f>
      </c>
    </row>
    <row r="2086" spans="1:16" x14ac:dyDescent="0.25">
      <c r="A2086">
        <f>IF(OR('R.M Billets Reports'!A2085="Date-",'R.M Billets Reports'!A2085="Date:-"),IF(IF(IF(ISNUMBER(SEARCH("Party Name:-",'R.M Billets Reports'!D2085)),TRIM('R.M Billets Reports'!F2085),IF(ISNUMBER(SEARCH("Party Name-",'R.M Billets Reports'!D2085)),TRIM(MID('R.M Billets Reports'!D2085,SEARCH("-",'R.M Billets Reports'!D2085)+1,200)),""))&lt;&gt;"",IF(ISNUMBER(SEARCH("Party Name:-",'R.M Billets Reports'!D2085)),TRIM('R.M Billets Reports'!F2085),IF(ISNUMBER(SEARCH("Party Name-",'R.M Billets Reports'!D2085)),TRIM(MID('R.M Billets Reports'!D2085,SEARCH("-",'R.M Billets Reports'!D2085)+1,200)),"")),IF(ISNUMBER(SEARCH("Party Name:-",'R.M Billets Reports'!D2086)),TRIM('R.M Billets Reports'!F2086),IF(ISNUMBER(SEARCH("Party Name-",'R.M Billets Reports'!D2086)),TRIM(MID('R.M Billets Reports'!D2086,SEARCH("-",'R.M Billets Reports'!D2086)+1,200)),"")))="VRKP ISPAT PVT LTD","VRKP",IF(IF(IF(ISNUMBER(SEARCH("Party Name:-",'R.M Billets Reports'!D2085)),TRIM('R.M Billets Reports'!F2085),IF(ISNUMBER(SEARCH("Party Name-",'R.M Billets Reports'!D2085)),TRIM(MID('R.M Billets Reports'!D2085,SEARCH("-",'R.M Billets Reports'!D2085)+1,200)),""))&lt;&gt;"",IF(ISNUMBER(SEARCH("Party Name:-",'R.M Billets Reports'!D2085)),TRIM('R.M Billets Reports'!F2085),IF(ISNUMBER(SEARCH("Party Name-",'R.M Billets Reports'!D2085)),TRIM(MID('R.M Billets Reports'!D2085,SEARCH("-",'R.M Billets Reports'!D2085)+1,200)),"")),IF(ISNUMBER(SEARCH("Party Name:-",'R.M Billets Reports'!D2086)),TRIM('R.M Billets Reports'!F2086),IF(ISNUMBER(SEARCH("Party Name-",'R.M Billets Reports'!D2086)),TRIM(MID('R.M Billets Reports'!D2086,SEARCH("-",'R.M Billets Reports'!D2086)+1,200)),"")))="SHRI RADHE","SHREE RADHE",IF(IF(IF(ISNUMBER(SEARCH("Party Name:-",'R.M Billets Reports'!D2085)),TRIM('R.M Billets Reports'!F2085),IF(ISNUMBER(SEARCH("Party Name-",'R.M Billets Reports'!D2085)),TRIM(MID('R.M Billets Reports'!D2085,SEARCH("-",'R.M Billets Reports'!D2085)+1,200)),""))&lt;&gt;"",IF(ISNUMBER(SEARCH("Party Name:-",'R.M Billets Reports'!D2085)),TRIM('R.M Billets Reports'!F2085),IF(ISNUMBER(SEARCH("Party Name-",'R.M Billets Reports'!D2085)),TRIM(MID('R.M Billets Reports'!D2085,SEARCH("-",'R.M Billets Reports'!D2085)+1,200)),"")),IF(ISNUMBER(SEARCH("Party Name:-",'R.M Billets Reports'!D2086)),TRIM('R.M Billets Reports'!F2086),IF(ISNUMBER(SEARCH("Party Name-",'R.M Billets Reports'!D2086)),TRIM(MID('R.M Billets Reports'!D2086,SEARCH("-",'R.M Billets Reports'!D2086)+1,200)),"")))="SHREE RADHE SHAKTI SPONGE AND POWER PVT. LTD.","SHREE RADHE",IF(IF(ISNUMBER(SEARCH("Party Name:-",'R.M Billets Reports'!D2085)),TRIM('R.M Billets Reports'!F2085),IF(ISNUMBER(SEARCH("Party Name-",'R.M Billets Reports'!D2085)),TRIM(MID('R.M Billets Reports'!D2085,SEARCH("-",'R.M Billets Reports'!D2085)+1,200)),""))&lt;&gt;"",IF(ISNUMBER(SEARCH("Party Name:-",'R.M Billets Reports'!D2085)),TRIM('R.M Billets Reports'!F2085),IF(ISNUMBER(SEARCH("Party Name-",'R.M Billets Reports'!D2085)),TRIM(MID('R.M Billets Reports'!D2085,SEARCH("-",'R.M Billets Reports'!D2085)+1,200)),"")),IF(ISNUMBER(SEARCH("Party Name:-",'R.M Billets Reports'!D2086)),TRIM('R.M Billets Reports'!F2086),IF(ISNUMBER(SEARCH("Party Name-",'R.M Billets Reports'!D2086)),TRIM(MID('R.M Billets Reports'!D2086,SEARCH("-",'R.M Billets Reports'!D2086)+1,200)),"")))))),IF(ROW()=2,"",A2085))</f>
      </c>
      <c r="B2086">
        <f>IF(OR('R.M Billets Reports'!A2085="Date-",'R.M Billets Reports'!A2085="Date:-"),'R.M Billets Reports'!B2085,IF(ROW()=2,"",B2085))</f>
      </c>
      <c r="C2086">
        <f>IF('R.M Billets Reports'!A2085="V.No.",'R.M Billets Reports'!B2085,IF(ROW()=2,"",C2085))</f>
      </c>
      <c r="D2086">
        <f>IF('R.M Billets Reports'!A2085&lt;&gt;"",'R.M Billets Reports'!A2085,IF(ROW()=2,"",D2085))</f>
      </c>
      <c r="E2086">
        <f>IF('R.M Billets Reports'!B2085="","",TRIM('R.M Billets Reports'!B2085))</f>
      </c>
      <c r="F2086">
        <f>'R.M Billets Reports'!C2085</f>
      </c>
      <c r="G2086">
        <f>'R.M Billets Reports'!D2085</f>
      </c>
      <c r="H2086">
        <f>'R.M Billets Reports'!E2085</f>
      </c>
      <c r="I2086">
        <f>'R.M Billets Reports'!F2085</f>
      </c>
      <c r="J2086">
        <f>'R.M Billets Reports'!G2085</f>
      </c>
      <c r="K2086">
        <f>'R.M Billets Reports'!H2085</f>
      </c>
      <c r="L2086">
        <f>IF('R.M Billets Reports'!I2085="","",'R.M Billets Reports'!I2085)</f>
      </c>
      <c r="M2086">
        <f t="shared" si="64"/>
      </c>
      <c r="N2086">
        <f>IF('R.M Billets Reports'!J2085="","",'R.M Billets Reports'!J2085)</f>
      </c>
      <c r="O2086">
        <f t="shared" si="65"/>
      </c>
      <c r="P2086">
        <f>IF('R.M Billets Reports'!A2085="SIZE",'R.M Billets Reports'!B2085,P2085)</f>
      </c>
    </row>
    <row r="2087" spans="1:16" x14ac:dyDescent="0.25">
      <c r="A2087">
        <f>IF(OR('R.M Billets Reports'!A2086="Date-",'R.M Billets Reports'!A2086="Date:-"),IF(IF(IF(ISNUMBER(SEARCH("Party Name:-",'R.M Billets Reports'!D2086)),TRIM('R.M Billets Reports'!F2086),IF(ISNUMBER(SEARCH("Party Name-",'R.M Billets Reports'!D2086)),TRIM(MID('R.M Billets Reports'!D2086,SEARCH("-",'R.M Billets Reports'!D2086)+1,200)),""))&lt;&gt;"",IF(ISNUMBER(SEARCH("Party Name:-",'R.M Billets Reports'!D2086)),TRIM('R.M Billets Reports'!F2086),IF(ISNUMBER(SEARCH("Party Name-",'R.M Billets Reports'!D2086)),TRIM(MID('R.M Billets Reports'!D2086,SEARCH("-",'R.M Billets Reports'!D2086)+1,200)),"")),IF(ISNUMBER(SEARCH("Party Name:-",'R.M Billets Reports'!D2087)),TRIM('R.M Billets Reports'!F2087),IF(ISNUMBER(SEARCH("Party Name-",'R.M Billets Reports'!D2087)),TRIM(MID('R.M Billets Reports'!D2087,SEARCH("-",'R.M Billets Reports'!D2087)+1,200)),"")))="VRKP ISPAT PVT LTD","VRKP",IF(IF(IF(ISNUMBER(SEARCH("Party Name:-",'R.M Billets Reports'!D2086)),TRIM('R.M Billets Reports'!F2086),IF(ISNUMBER(SEARCH("Party Name-",'R.M Billets Reports'!D2086)),TRIM(MID('R.M Billets Reports'!D2086,SEARCH("-",'R.M Billets Reports'!D2086)+1,200)),""))&lt;&gt;"",IF(ISNUMBER(SEARCH("Party Name:-",'R.M Billets Reports'!D2086)),TRIM('R.M Billets Reports'!F2086),IF(ISNUMBER(SEARCH("Party Name-",'R.M Billets Reports'!D2086)),TRIM(MID('R.M Billets Reports'!D2086,SEARCH("-",'R.M Billets Reports'!D2086)+1,200)),"")),IF(ISNUMBER(SEARCH("Party Name:-",'R.M Billets Reports'!D2087)),TRIM('R.M Billets Reports'!F2087),IF(ISNUMBER(SEARCH("Party Name-",'R.M Billets Reports'!D2087)),TRIM(MID('R.M Billets Reports'!D2087,SEARCH("-",'R.M Billets Reports'!D2087)+1,200)),"")))="SHRI RADHE","SHREE RADHE",IF(IF(IF(ISNUMBER(SEARCH("Party Name:-",'R.M Billets Reports'!D2086)),TRIM('R.M Billets Reports'!F2086),IF(ISNUMBER(SEARCH("Party Name-",'R.M Billets Reports'!D2086)),TRIM(MID('R.M Billets Reports'!D2086,SEARCH("-",'R.M Billets Reports'!D2086)+1,200)),""))&lt;&gt;"",IF(ISNUMBER(SEARCH("Party Name:-",'R.M Billets Reports'!D2086)),TRIM('R.M Billets Reports'!F2086),IF(ISNUMBER(SEARCH("Party Name-",'R.M Billets Reports'!D2086)),TRIM(MID('R.M Billets Reports'!D2086,SEARCH("-",'R.M Billets Reports'!D2086)+1,200)),"")),IF(ISNUMBER(SEARCH("Party Name:-",'R.M Billets Reports'!D2087)),TRIM('R.M Billets Reports'!F2087),IF(ISNUMBER(SEARCH("Party Name-",'R.M Billets Reports'!D2087)),TRIM(MID('R.M Billets Reports'!D2087,SEARCH("-",'R.M Billets Reports'!D2087)+1,200)),"")))="SHREE RADHE SHAKTI SPONGE AND POWER PVT. LTD.","SHREE RADHE",IF(IF(ISNUMBER(SEARCH("Party Name:-",'R.M Billets Reports'!D2086)),TRIM('R.M Billets Reports'!F2086),IF(ISNUMBER(SEARCH("Party Name-",'R.M Billets Reports'!D2086)),TRIM(MID('R.M Billets Reports'!D2086,SEARCH("-",'R.M Billets Reports'!D2086)+1,200)),""))&lt;&gt;"",IF(ISNUMBER(SEARCH("Party Name:-",'R.M Billets Reports'!D2086)),TRIM('R.M Billets Reports'!F2086),IF(ISNUMBER(SEARCH("Party Name-",'R.M Billets Reports'!D2086)),TRIM(MID('R.M Billets Reports'!D2086,SEARCH("-",'R.M Billets Reports'!D2086)+1,200)),"")),IF(ISNUMBER(SEARCH("Party Name:-",'R.M Billets Reports'!D2087)),TRIM('R.M Billets Reports'!F2087),IF(ISNUMBER(SEARCH("Party Name-",'R.M Billets Reports'!D2087)),TRIM(MID('R.M Billets Reports'!D2087,SEARCH("-",'R.M Billets Reports'!D2087)+1,200)),"")))))),IF(ROW()=2,"",A2086))</f>
      </c>
      <c r="B2087">
        <f>IF(OR('R.M Billets Reports'!A2086="Date-",'R.M Billets Reports'!A2086="Date:-"),'R.M Billets Reports'!B2086,IF(ROW()=2,"",B2086))</f>
      </c>
      <c r="C2087">
        <f>IF('R.M Billets Reports'!A2086="V.No.",'R.M Billets Reports'!B2086,IF(ROW()=2,"",C2086))</f>
      </c>
      <c r="D2087">
        <f>IF('R.M Billets Reports'!A2086&lt;&gt;"",'R.M Billets Reports'!A2086,IF(ROW()=2,"",D2086))</f>
      </c>
      <c r="E2087">
        <f>IF('R.M Billets Reports'!B2086="","",TRIM('R.M Billets Reports'!B2086))</f>
      </c>
      <c r="F2087">
        <f>'R.M Billets Reports'!C2086</f>
      </c>
      <c r="G2087">
        <f>'R.M Billets Reports'!D2086</f>
      </c>
      <c r="H2087">
        <f>'R.M Billets Reports'!E2086</f>
      </c>
      <c r="I2087">
        <f>'R.M Billets Reports'!F2086</f>
      </c>
      <c r="J2087">
        <f>'R.M Billets Reports'!G2086</f>
      </c>
      <c r="K2087">
        <f>'R.M Billets Reports'!H2086</f>
      </c>
      <c r="L2087">
        <f>IF('R.M Billets Reports'!I2086="","",'R.M Billets Reports'!I2086)</f>
      </c>
      <c r="M2087">
        <f t="shared" si="64"/>
      </c>
      <c r="N2087">
        <f>IF('R.M Billets Reports'!J2086="","",'R.M Billets Reports'!J2086)</f>
      </c>
      <c r="O2087">
        <f t="shared" si="65"/>
      </c>
      <c r="P2087">
        <f>IF('R.M Billets Reports'!A2086="SIZE",'R.M Billets Reports'!B2086,P2086)</f>
      </c>
    </row>
    <row r="2088" spans="1:16" x14ac:dyDescent="0.25">
      <c r="A2088">
        <f>IF(OR('R.M Billets Reports'!A2087="Date-",'R.M Billets Reports'!A2087="Date:-"),IF(IF(IF(ISNUMBER(SEARCH("Party Name:-",'R.M Billets Reports'!D2087)),TRIM('R.M Billets Reports'!F2087),IF(ISNUMBER(SEARCH("Party Name-",'R.M Billets Reports'!D2087)),TRIM(MID('R.M Billets Reports'!D2087,SEARCH("-",'R.M Billets Reports'!D2087)+1,200)),""))&lt;&gt;"",IF(ISNUMBER(SEARCH("Party Name:-",'R.M Billets Reports'!D2087)),TRIM('R.M Billets Reports'!F2087),IF(ISNUMBER(SEARCH("Party Name-",'R.M Billets Reports'!D2087)),TRIM(MID('R.M Billets Reports'!D2087,SEARCH("-",'R.M Billets Reports'!D2087)+1,200)),"")),IF(ISNUMBER(SEARCH("Party Name:-",'R.M Billets Reports'!D2088)),TRIM('R.M Billets Reports'!F2088),IF(ISNUMBER(SEARCH("Party Name-",'R.M Billets Reports'!D2088)),TRIM(MID('R.M Billets Reports'!D2088,SEARCH("-",'R.M Billets Reports'!D2088)+1,200)),"")))="VRKP ISPAT PVT LTD","VRKP",IF(IF(IF(ISNUMBER(SEARCH("Party Name:-",'R.M Billets Reports'!D2087)),TRIM('R.M Billets Reports'!F2087),IF(ISNUMBER(SEARCH("Party Name-",'R.M Billets Reports'!D2087)),TRIM(MID('R.M Billets Reports'!D2087,SEARCH("-",'R.M Billets Reports'!D2087)+1,200)),""))&lt;&gt;"",IF(ISNUMBER(SEARCH("Party Name:-",'R.M Billets Reports'!D2087)),TRIM('R.M Billets Reports'!F2087),IF(ISNUMBER(SEARCH("Party Name-",'R.M Billets Reports'!D2087)),TRIM(MID('R.M Billets Reports'!D2087,SEARCH("-",'R.M Billets Reports'!D2087)+1,200)),"")),IF(ISNUMBER(SEARCH("Party Name:-",'R.M Billets Reports'!D2088)),TRIM('R.M Billets Reports'!F2088),IF(ISNUMBER(SEARCH("Party Name-",'R.M Billets Reports'!D2088)),TRIM(MID('R.M Billets Reports'!D2088,SEARCH("-",'R.M Billets Reports'!D2088)+1,200)),"")))="SHRI RADHE","SHREE RADHE",IF(IF(IF(ISNUMBER(SEARCH("Party Name:-",'R.M Billets Reports'!D2087)),TRIM('R.M Billets Reports'!F2087),IF(ISNUMBER(SEARCH("Party Name-",'R.M Billets Reports'!D2087)),TRIM(MID('R.M Billets Reports'!D2087,SEARCH("-",'R.M Billets Reports'!D2087)+1,200)),""))&lt;&gt;"",IF(ISNUMBER(SEARCH("Party Name:-",'R.M Billets Reports'!D2087)),TRIM('R.M Billets Reports'!F2087),IF(ISNUMBER(SEARCH("Party Name-",'R.M Billets Reports'!D2087)),TRIM(MID('R.M Billets Reports'!D2087,SEARCH("-",'R.M Billets Reports'!D2087)+1,200)),"")),IF(ISNUMBER(SEARCH("Party Name:-",'R.M Billets Reports'!D2088)),TRIM('R.M Billets Reports'!F2088),IF(ISNUMBER(SEARCH("Party Name-",'R.M Billets Reports'!D2088)),TRIM(MID('R.M Billets Reports'!D2088,SEARCH("-",'R.M Billets Reports'!D2088)+1,200)),"")))="SHREE RADHE SHAKTI SPONGE AND POWER PVT. LTD.","SHREE RADHE",IF(IF(ISNUMBER(SEARCH("Party Name:-",'R.M Billets Reports'!D2087)),TRIM('R.M Billets Reports'!F2087),IF(ISNUMBER(SEARCH("Party Name-",'R.M Billets Reports'!D2087)),TRIM(MID('R.M Billets Reports'!D2087,SEARCH("-",'R.M Billets Reports'!D2087)+1,200)),""))&lt;&gt;"",IF(ISNUMBER(SEARCH("Party Name:-",'R.M Billets Reports'!D2087)),TRIM('R.M Billets Reports'!F2087),IF(ISNUMBER(SEARCH("Party Name-",'R.M Billets Reports'!D2087)),TRIM(MID('R.M Billets Reports'!D2087,SEARCH("-",'R.M Billets Reports'!D2087)+1,200)),"")),IF(ISNUMBER(SEARCH("Party Name:-",'R.M Billets Reports'!D2088)),TRIM('R.M Billets Reports'!F2088),IF(ISNUMBER(SEARCH("Party Name-",'R.M Billets Reports'!D2088)),TRIM(MID('R.M Billets Reports'!D2088,SEARCH("-",'R.M Billets Reports'!D2088)+1,200)),"")))))),IF(ROW()=2,"",A2087))</f>
      </c>
      <c r="B2088">
        <f>IF(OR('R.M Billets Reports'!A2087="Date-",'R.M Billets Reports'!A2087="Date:-"),'R.M Billets Reports'!B2087,IF(ROW()=2,"",B2087))</f>
      </c>
      <c r="C2088">
        <f>IF('R.M Billets Reports'!A2087="V.No.",'R.M Billets Reports'!B2087,IF(ROW()=2,"",C2087))</f>
      </c>
      <c r="D2088">
        <f>IF('R.M Billets Reports'!A2087&lt;&gt;"",'R.M Billets Reports'!A2087,IF(ROW()=2,"",D2087))</f>
      </c>
      <c r="E2088">
        <f>IF('R.M Billets Reports'!B2087="","",TRIM('R.M Billets Reports'!B2087))</f>
      </c>
      <c r="F2088">
        <f>'R.M Billets Reports'!C2087</f>
      </c>
      <c r="G2088">
        <f>'R.M Billets Reports'!D2087</f>
      </c>
      <c r="H2088">
        <f>'R.M Billets Reports'!E2087</f>
      </c>
      <c r="I2088">
        <f>'R.M Billets Reports'!F2087</f>
      </c>
      <c r="J2088">
        <f>'R.M Billets Reports'!G2087</f>
      </c>
      <c r="K2088">
        <f>'R.M Billets Reports'!H2087</f>
      </c>
      <c r="L2088">
        <f>IF('R.M Billets Reports'!I2087="","",'R.M Billets Reports'!I2087)</f>
      </c>
      <c r="M2088">
        <f t="shared" si="64"/>
      </c>
      <c r="N2088">
        <f>IF('R.M Billets Reports'!J2087="","",'R.M Billets Reports'!J2087)</f>
      </c>
      <c r="O2088">
        <f t="shared" si="65"/>
      </c>
      <c r="P2088">
        <f>IF('R.M Billets Reports'!A2087="SIZE",'R.M Billets Reports'!B2087,P2087)</f>
      </c>
    </row>
    <row r="2089" spans="1:16" x14ac:dyDescent="0.25">
      <c r="A2089">
        <f>IF(OR('R.M Billets Reports'!A2088="Date-",'R.M Billets Reports'!A2088="Date:-"),IF(IF(IF(ISNUMBER(SEARCH("Party Name:-",'R.M Billets Reports'!D2088)),TRIM('R.M Billets Reports'!F2088),IF(ISNUMBER(SEARCH("Party Name-",'R.M Billets Reports'!D2088)),TRIM(MID('R.M Billets Reports'!D2088,SEARCH("-",'R.M Billets Reports'!D2088)+1,200)),""))&lt;&gt;"",IF(ISNUMBER(SEARCH("Party Name:-",'R.M Billets Reports'!D2088)),TRIM('R.M Billets Reports'!F2088),IF(ISNUMBER(SEARCH("Party Name-",'R.M Billets Reports'!D2088)),TRIM(MID('R.M Billets Reports'!D2088,SEARCH("-",'R.M Billets Reports'!D2088)+1,200)),"")),IF(ISNUMBER(SEARCH("Party Name:-",'R.M Billets Reports'!D2089)),TRIM('R.M Billets Reports'!F2089),IF(ISNUMBER(SEARCH("Party Name-",'R.M Billets Reports'!D2089)),TRIM(MID('R.M Billets Reports'!D2089,SEARCH("-",'R.M Billets Reports'!D2089)+1,200)),"")))="VRKP ISPAT PVT LTD","VRKP",IF(IF(IF(ISNUMBER(SEARCH("Party Name:-",'R.M Billets Reports'!D2088)),TRIM('R.M Billets Reports'!F2088),IF(ISNUMBER(SEARCH("Party Name-",'R.M Billets Reports'!D2088)),TRIM(MID('R.M Billets Reports'!D2088,SEARCH("-",'R.M Billets Reports'!D2088)+1,200)),""))&lt;&gt;"",IF(ISNUMBER(SEARCH("Party Name:-",'R.M Billets Reports'!D2088)),TRIM('R.M Billets Reports'!F2088),IF(ISNUMBER(SEARCH("Party Name-",'R.M Billets Reports'!D2088)),TRIM(MID('R.M Billets Reports'!D2088,SEARCH("-",'R.M Billets Reports'!D2088)+1,200)),"")),IF(ISNUMBER(SEARCH("Party Name:-",'R.M Billets Reports'!D2089)),TRIM('R.M Billets Reports'!F2089),IF(ISNUMBER(SEARCH("Party Name-",'R.M Billets Reports'!D2089)),TRIM(MID('R.M Billets Reports'!D2089,SEARCH("-",'R.M Billets Reports'!D2089)+1,200)),"")))="SHRI RADHE","SHREE RADHE",IF(IF(IF(ISNUMBER(SEARCH("Party Name:-",'R.M Billets Reports'!D2088)),TRIM('R.M Billets Reports'!F2088),IF(ISNUMBER(SEARCH("Party Name-",'R.M Billets Reports'!D2088)),TRIM(MID('R.M Billets Reports'!D2088,SEARCH("-",'R.M Billets Reports'!D2088)+1,200)),""))&lt;&gt;"",IF(ISNUMBER(SEARCH("Party Name:-",'R.M Billets Reports'!D2088)),TRIM('R.M Billets Reports'!F2088),IF(ISNUMBER(SEARCH("Party Name-",'R.M Billets Reports'!D2088)),TRIM(MID('R.M Billets Reports'!D2088,SEARCH("-",'R.M Billets Reports'!D2088)+1,200)),"")),IF(ISNUMBER(SEARCH("Party Name:-",'R.M Billets Reports'!D2089)),TRIM('R.M Billets Reports'!F2089),IF(ISNUMBER(SEARCH("Party Name-",'R.M Billets Reports'!D2089)),TRIM(MID('R.M Billets Reports'!D2089,SEARCH("-",'R.M Billets Reports'!D2089)+1,200)),"")))="SHREE RADHE SHAKTI SPONGE AND POWER PVT. LTD.","SHREE RADHE",IF(IF(ISNUMBER(SEARCH("Party Name:-",'R.M Billets Reports'!D2088)),TRIM('R.M Billets Reports'!F2088),IF(ISNUMBER(SEARCH("Party Name-",'R.M Billets Reports'!D2088)),TRIM(MID('R.M Billets Reports'!D2088,SEARCH("-",'R.M Billets Reports'!D2088)+1,200)),""))&lt;&gt;"",IF(ISNUMBER(SEARCH("Party Name:-",'R.M Billets Reports'!D2088)),TRIM('R.M Billets Reports'!F2088),IF(ISNUMBER(SEARCH("Party Name-",'R.M Billets Reports'!D2088)),TRIM(MID('R.M Billets Reports'!D2088,SEARCH("-",'R.M Billets Reports'!D2088)+1,200)),"")),IF(ISNUMBER(SEARCH("Party Name:-",'R.M Billets Reports'!D2089)),TRIM('R.M Billets Reports'!F2089),IF(ISNUMBER(SEARCH("Party Name-",'R.M Billets Reports'!D2089)),TRIM(MID('R.M Billets Reports'!D2089,SEARCH("-",'R.M Billets Reports'!D2089)+1,200)),"")))))),IF(ROW()=2,"",A2088))</f>
      </c>
      <c r="B2089">
        <f>IF(OR('R.M Billets Reports'!A2088="Date-",'R.M Billets Reports'!A2088="Date:-"),'R.M Billets Reports'!B2088,IF(ROW()=2,"",B2088))</f>
      </c>
      <c r="C2089">
        <f>IF('R.M Billets Reports'!A2088="V.No.",'R.M Billets Reports'!B2088,IF(ROW()=2,"",C2088))</f>
      </c>
      <c r="D2089">
        <f>IF('R.M Billets Reports'!A2088&lt;&gt;"",'R.M Billets Reports'!A2088,IF(ROW()=2,"",D2088))</f>
      </c>
      <c r="E2089">
        <f>IF('R.M Billets Reports'!B2088="","",TRIM('R.M Billets Reports'!B2088))</f>
      </c>
      <c r="F2089">
        <f>'R.M Billets Reports'!C2088</f>
      </c>
      <c r="G2089">
        <f>'R.M Billets Reports'!D2088</f>
      </c>
      <c r="H2089">
        <f>'R.M Billets Reports'!E2088</f>
      </c>
      <c r="I2089">
        <f>'R.M Billets Reports'!F2088</f>
      </c>
      <c r="J2089">
        <f>'R.M Billets Reports'!G2088</f>
      </c>
      <c r="K2089">
        <f>'R.M Billets Reports'!H2088</f>
      </c>
      <c r="L2089">
        <f>IF('R.M Billets Reports'!I2088="","",'R.M Billets Reports'!I2088)</f>
      </c>
      <c r="M2089">
        <f t="shared" si="64"/>
      </c>
      <c r="N2089">
        <f>IF('R.M Billets Reports'!J2088="","",'R.M Billets Reports'!J2088)</f>
      </c>
      <c r="O2089">
        <f t="shared" si="65"/>
      </c>
      <c r="P2089">
        <f>IF('R.M Billets Reports'!A2088="SIZE",'R.M Billets Reports'!B2088,P2088)</f>
      </c>
    </row>
    <row r="2090" spans="1:16" x14ac:dyDescent="0.25">
      <c r="A2090">
        <f>IF(OR('R.M Billets Reports'!A2089="Date-",'R.M Billets Reports'!A2089="Date:-"),IF(IF(IF(ISNUMBER(SEARCH("Party Name:-",'R.M Billets Reports'!D2089)),TRIM('R.M Billets Reports'!F2089),IF(ISNUMBER(SEARCH("Party Name-",'R.M Billets Reports'!D2089)),TRIM(MID('R.M Billets Reports'!D2089,SEARCH("-",'R.M Billets Reports'!D2089)+1,200)),""))&lt;&gt;"",IF(ISNUMBER(SEARCH("Party Name:-",'R.M Billets Reports'!D2089)),TRIM('R.M Billets Reports'!F2089),IF(ISNUMBER(SEARCH("Party Name-",'R.M Billets Reports'!D2089)),TRIM(MID('R.M Billets Reports'!D2089,SEARCH("-",'R.M Billets Reports'!D2089)+1,200)),"")),IF(ISNUMBER(SEARCH("Party Name:-",'R.M Billets Reports'!D2090)),TRIM('R.M Billets Reports'!F2090),IF(ISNUMBER(SEARCH("Party Name-",'R.M Billets Reports'!D2090)),TRIM(MID('R.M Billets Reports'!D2090,SEARCH("-",'R.M Billets Reports'!D2090)+1,200)),"")))="VRKP ISPAT PVT LTD","VRKP",IF(IF(IF(ISNUMBER(SEARCH("Party Name:-",'R.M Billets Reports'!D2089)),TRIM('R.M Billets Reports'!F2089),IF(ISNUMBER(SEARCH("Party Name-",'R.M Billets Reports'!D2089)),TRIM(MID('R.M Billets Reports'!D2089,SEARCH("-",'R.M Billets Reports'!D2089)+1,200)),""))&lt;&gt;"",IF(ISNUMBER(SEARCH("Party Name:-",'R.M Billets Reports'!D2089)),TRIM('R.M Billets Reports'!F2089),IF(ISNUMBER(SEARCH("Party Name-",'R.M Billets Reports'!D2089)),TRIM(MID('R.M Billets Reports'!D2089,SEARCH("-",'R.M Billets Reports'!D2089)+1,200)),"")),IF(ISNUMBER(SEARCH("Party Name:-",'R.M Billets Reports'!D2090)),TRIM('R.M Billets Reports'!F2090),IF(ISNUMBER(SEARCH("Party Name-",'R.M Billets Reports'!D2090)),TRIM(MID('R.M Billets Reports'!D2090,SEARCH("-",'R.M Billets Reports'!D2090)+1,200)),"")))="SHRI RADHE","SHREE RADHE",IF(IF(IF(ISNUMBER(SEARCH("Party Name:-",'R.M Billets Reports'!D2089)),TRIM('R.M Billets Reports'!F2089),IF(ISNUMBER(SEARCH("Party Name-",'R.M Billets Reports'!D2089)),TRIM(MID('R.M Billets Reports'!D2089,SEARCH("-",'R.M Billets Reports'!D2089)+1,200)),""))&lt;&gt;"",IF(ISNUMBER(SEARCH("Party Name:-",'R.M Billets Reports'!D2089)),TRIM('R.M Billets Reports'!F2089),IF(ISNUMBER(SEARCH("Party Name-",'R.M Billets Reports'!D2089)),TRIM(MID('R.M Billets Reports'!D2089,SEARCH("-",'R.M Billets Reports'!D2089)+1,200)),"")),IF(ISNUMBER(SEARCH("Party Name:-",'R.M Billets Reports'!D2090)),TRIM('R.M Billets Reports'!F2090),IF(ISNUMBER(SEARCH("Party Name-",'R.M Billets Reports'!D2090)),TRIM(MID('R.M Billets Reports'!D2090,SEARCH("-",'R.M Billets Reports'!D2090)+1,200)),"")))="SHREE RADHE SHAKTI SPONGE AND POWER PVT. LTD.","SHREE RADHE",IF(IF(ISNUMBER(SEARCH("Party Name:-",'R.M Billets Reports'!D2089)),TRIM('R.M Billets Reports'!F2089),IF(ISNUMBER(SEARCH("Party Name-",'R.M Billets Reports'!D2089)),TRIM(MID('R.M Billets Reports'!D2089,SEARCH("-",'R.M Billets Reports'!D2089)+1,200)),""))&lt;&gt;"",IF(ISNUMBER(SEARCH("Party Name:-",'R.M Billets Reports'!D2089)),TRIM('R.M Billets Reports'!F2089),IF(ISNUMBER(SEARCH("Party Name-",'R.M Billets Reports'!D2089)),TRIM(MID('R.M Billets Reports'!D2089,SEARCH("-",'R.M Billets Reports'!D2089)+1,200)),"")),IF(ISNUMBER(SEARCH("Party Name:-",'R.M Billets Reports'!D2090)),TRIM('R.M Billets Reports'!F2090),IF(ISNUMBER(SEARCH("Party Name-",'R.M Billets Reports'!D2090)),TRIM(MID('R.M Billets Reports'!D2090,SEARCH("-",'R.M Billets Reports'!D2090)+1,200)),"")))))),IF(ROW()=2,"",A2089))</f>
      </c>
      <c r="B2090">
        <f>IF(OR('R.M Billets Reports'!A2089="Date-",'R.M Billets Reports'!A2089="Date:-"),'R.M Billets Reports'!B2089,IF(ROW()=2,"",B2089))</f>
      </c>
      <c r="C2090">
        <f>IF('R.M Billets Reports'!A2089="V.No.",'R.M Billets Reports'!B2089,IF(ROW()=2,"",C2089))</f>
      </c>
      <c r="D2090">
        <f>IF('R.M Billets Reports'!A2089&lt;&gt;"",'R.M Billets Reports'!A2089,IF(ROW()=2,"",D2089))</f>
      </c>
      <c r="E2090">
        <f>IF('R.M Billets Reports'!B2089="","",TRIM('R.M Billets Reports'!B2089))</f>
      </c>
      <c r="F2090">
        <f>'R.M Billets Reports'!C2089</f>
      </c>
      <c r="G2090">
        <f>'R.M Billets Reports'!D2089</f>
      </c>
      <c r="H2090">
        <f>'R.M Billets Reports'!E2089</f>
      </c>
      <c r="I2090">
        <f>'R.M Billets Reports'!F2089</f>
      </c>
      <c r="J2090">
        <f>'R.M Billets Reports'!G2089</f>
      </c>
      <c r="K2090">
        <f>'R.M Billets Reports'!H2089</f>
      </c>
      <c r="L2090">
        <f>IF('R.M Billets Reports'!I2089="","",'R.M Billets Reports'!I2089)</f>
      </c>
      <c r="M2090">
        <f t="shared" si="64"/>
      </c>
      <c r="N2090">
        <f>IF('R.M Billets Reports'!J2089="","",'R.M Billets Reports'!J2089)</f>
      </c>
      <c r="O2090">
        <f t="shared" si="65"/>
      </c>
      <c r="P2090">
        <f>IF('R.M Billets Reports'!A2089="SIZE",'R.M Billets Reports'!B2089,P2089)</f>
      </c>
    </row>
    <row r="2091" spans="1:16" x14ac:dyDescent="0.25">
      <c r="A2091">
        <f>IF(OR('R.M Billets Reports'!A2090="Date-",'R.M Billets Reports'!A2090="Date:-"),IF(IF(IF(ISNUMBER(SEARCH("Party Name:-",'R.M Billets Reports'!D2090)),TRIM('R.M Billets Reports'!F2090),IF(ISNUMBER(SEARCH("Party Name-",'R.M Billets Reports'!D2090)),TRIM(MID('R.M Billets Reports'!D2090,SEARCH("-",'R.M Billets Reports'!D2090)+1,200)),""))&lt;&gt;"",IF(ISNUMBER(SEARCH("Party Name:-",'R.M Billets Reports'!D2090)),TRIM('R.M Billets Reports'!F2090),IF(ISNUMBER(SEARCH("Party Name-",'R.M Billets Reports'!D2090)),TRIM(MID('R.M Billets Reports'!D2090,SEARCH("-",'R.M Billets Reports'!D2090)+1,200)),"")),IF(ISNUMBER(SEARCH("Party Name:-",'R.M Billets Reports'!D2091)),TRIM('R.M Billets Reports'!F2091),IF(ISNUMBER(SEARCH("Party Name-",'R.M Billets Reports'!D2091)),TRIM(MID('R.M Billets Reports'!D2091,SEARCH("-",'R.M Billets Reports'!D2091)+1,200)),"")))="VRKP ISPAT PVT LTD","VRKP",IF(IF(IF(ISNUMBER(SEARCH("Party Name:-",'R.M Billets Reports'!D2090)),TRIM('R.M Billets Reports'!F2090),IF(ISNUMBER(SEARCH("Party Name-",'R.M Billets Reports'!D2090)),TRIM(MID('R.M Billets Reports'!D2090,SEARCH("-",'R.M Billets Reports'!D2090)+1,200)),""))&lt;&gt;"",IF(ISNUMBER(SEARCH("Party Name:-",'R.M Billets Reports'!D2090)),TRIM('R.M Billets Reports'!F2090),IF(ISNUMBER(SEARCH("Party Name-",'R.M Billets Reports'!D2090)),TRIM(MID('R.M Billets Reports'!D2090,SEARCH("-",'R.M Billets Reports'!D2090)+1,200)),"")),IF(ISNUMBER(SEARCH("Party Name:-",'R.M Billets Reports'!D2091)),TRIM('R.M Billets Reports'!F2091),IF(ISNUMBER(SEARCH("Party Name-",'R.M Billets Reports'!D2091)),TRIM(MID('R.M Billets Reports'!D2091,SEARCH("-",'R.M Billets Reports'!D2091)+1,200)),"")))="SHRI RADHE","SHREE RADHE",IF(IF(IF(ISNUMBER(SEARCH("Party Name:-",'R.M Billets Reports'!D2090)),TRIM('R.M Billets Reports'!F2090),IF(ISNUMBER(SEARCH("Party Name-",'R.M Billets Reports'!D2090)),TRIM(MID('R.M Billets Reports'!D2090,SEARCH("-",'R.M Billets Reports'!D2090)+1,200)),""))&lt;&gt;"",IF(ISNUMBER(SEARCH("Party Name:-",'R.M Billets Reports'!D2090)),TRIM('R.M Billets Reports'!F2090),IF(ISNUMBER(SEARCH("Party Name-",'R.M Billets Reports'!D2090)),TRIM(MID('R.M Billets Reports'!D2090,SEARCH("-",'R.M Billets Reports'!D2090)+1,200)),"")),IF(ISNUMBER(SEARCH("Party Name:-",'R.M Billets Reports'!D2091)),TRIM('R.M Billets Reports'!F2091),IF(ISNUMBER(SEARCH("Party Name-",'R.M Billets Reports'!D2091)),TRIM(MID('R.M Billets Reports'!D2091,SEARCH("-",'R.M Billets Reports'!D2091)+1,200)),"")))="SHREE RADHE SHAKTI SPONGE AND POWER PVT. LTD.","SHREE RADHE",IF(IF(ISNUMBER(SEARCH("Party Name:-",'R.M Billets Reports'!D2090)),TRIM('R.M Billets Reports'!F2090),IF(ISNUMBER(SEARCH("Party Name-",'R.M Billets Reports'!D2090)),TRIM(MID('R.M Billets Reports'!D2090,SEARCH("-",'R.M Billets Reports'!D2090)+1,200)),""))&lt;&gt;"",IF(ISNUMBER(SEARCH("Party Name:-",'R.M Billets Reports'!D2090)),TRIM('R.M Billets Reports'!F2090),IF(ISNUMBER(SEARCH("Party Name-",'R.M Billets Reports'!D2090)),TRIM(MID('R.M Billets Reports'!D2090,SEARCH("-",'R.M Billets Reports'!D2090)+1,200)),"")),IF(ISNUMBER(SEARCH("Party Name:-",'R.M Billets Reports'!D2091)),TRIM('R.M Billets Reports'!F2091),IF(ISNUMBER(SEARCH("Party Name-",'R.M Billets Reports'!D2091)),TRIM(MID('R.M Billets Reports'!D2091,SEARCH("-",'R.M Billets Reports'!D2091)+1,200)),"")))))),IF(ROW()=2,"",A2090))</f>
      </c>
      <c r="B2091">
        <f>IF(OR('R.M Billets Reports'!A2090="Date-",'R.M Billets Reports'!A2090="Date:-"),'R.M Billets Reports'!B2090,IF(ROW()=2,"",B2090))</f>
      </c>
      <c r="C2091">
        <f>IF('R.M Billets Reports'!A2090="V.No.",'R.M Billets Reports'!B2090,IF(ROW()=2,"",C2090))</f>
      </c>
      <c r="D2091">
        <f>IF('R.M Billets Reports'!A2090&lt;&gt;"",'R.M Billets Reports'!A2090,IF(ROW()=2,"",D2090))</f>
      </c>
      <c r="E2091">
        <f>IF('R.M Billets Reports'!B2090="","",TRIM('R.M Billets Reports'!B2090))</f>
      </c>
      <c r="F2091">
        <f>'R.M Billets Reports'!C2090</f>
      </c>
      <c r="G2091">
        <f>'R.M Billets Reports'!D2090</f>
      </c>
      <c r="H2091">
        <f>'R.M Billets Reports'!E2090</f>
      </c>
      <c r="I2091">
        <f>'R.M Billets Reports'!F2090</f>
      </c>
      <c r="J2091">
        <f>'R.M Billets Reports'!G2090</f>
      </c>
      <c r="K2091">
        <f>'R.M Billets Reports'!H2090</f>
      </c>
      <c r="L2091">
        <f>IF('R.M Billets Reports'!I2090="","",'R.M Billets Reports'!I2090)</f>
      </c>
      <c r="M2091">
        <f t="shared" si="64"/>
      </c>
      <c r="N2091">
        <f>IF('R.M Billets Reports'!J2090="","",'R.M Billets Reports'!J2090)</f>
      </c>
      <c r="O2091">
        <f t="shared" si="65"/>
      </c>
      <c r="P2091">
        <f>IF('R.M Billets Reports'!A2090="SIZE",'R.M Billets Reports'!B2090,P2090)</f>
      </c>
    </row>
    <row r="2092" spans="1:16" x14ac:dyDescent="0.25">
      <c r="A2092">
        <f>IF(OR('R.M Billets Reports'!A2091="Date-",'R.M Billets Reports'!A2091="Date:-"),IF(IF(IF(ISNUMBER(SEARCH("Party Name:-",'R.M Billets Reports'!D2091)),TRIM('R.M Billets Reports'!F2091),IF(ISNUMBER(SEARCH("Party Name-",'R.M Billets Reports'!D2091)),TRIM(MID('R.M Billets Reports'!D2091,SEARCH("-",'R.M Billets Reports'!D2091)+1,200)),""))&lt;&gt;"",IF(ISNUMBER(SEARCH("Party Name:-",'R.M Billets Reports'!D2091)),TRIM('R.M Billets Reports'!F2091),IF(ISNUMBER(SEARCH("Party Name-",'R.M Billets Reports'!D2091)),TRIM(MID('R.M Billets Reports'!D2091,SEARCH("-",'R.M Billets Reports'!D2091)+1,200)),"")),IF(ISNUMBER(SEARCH("Party Name:-",'R.M Billets Reports'!D2092)),TRIM('R.M Billets Reports'!F2092),IF(ISNUMBER(SEARCH("Party Name-",'R.M Billets Reports'!D2092)),TRIM(MID('R.M Billets Reports'!D2092,SEARCH("-",'R.M Billets Reports'!D2092)+1,200)),"")))="VRKP ISPAT PVT LTD","VRKP",IF(IF(IF(ISNUMBER(SEARCH("Party Name:-",'R.M Billets Reports'!D2091)),TRIM('R.M Billets Reports'!F2091),IF(ISNUMBER(SEARCH("Party Name-",'R.M Billets Reports'!D2091)),TRIM(MID('R.M Billets Reports'!D2091,SEARCH("-",'R.M Billets Reports'!D2091)+1,200)),""))&lt;&gt;"",IF(ISNUMBER(SEARCH("Party Name:-",'R.M Billets Reports'!D2091)),TRIM('R.M Billets Reports'!F2091),IF(ISNUMBER(SEARCH("Party Name-",'R.M Billets Reports'!D2091)),TRIM(MID('R.M Billets Reports'!D2091,SEARCH("-",'R.M Billets Reports'!D2091)+1,200)),"")),IF(ISNUMBER(SEARCH("Party Name:-",'R.M Billets Reports'!D2092)),TRIM('R.M Billets Reports'!F2092),IF(ISNUMBER(SEARCH("Party Name-",'R.M Billets Reports'!D2092)),TRIM(MID('R.M Billets Reports'!D2092,SEARCH("-",'R.M Billets Reports'!D2092)+1,200)),"")))="SHRI RADHE","SHREE RADHE",IF(IF(IF(ISNUMBER(SEARCH("Party Name:-",'R.M Billets Reports'!D2091)),TRIM('R.M Billets Reports'!F2091),IF(ISNUMBER(SEARCH("Party Name-",'R.M Billets Reports'!D2091)),TRIM(MID('R.M Billets Reports'!D2091,SEARCH("-",'R.M Billets Reports'!D2091)+1,200)),""))&lt;&gt;"",IF(ISNUMBER(SEARCH("Party Name:-",'R.M Billets Reports'!D2091)),TRIM('R.M Billets Reports'!F2091),IF(ISNUMBER(SEARCH("Party Name-",'R.M Billets Reports'!D2091)),TRIM(MID('R.M Billets Reports'!D2091,SEARCH("-",'R.M Billets Reports'!D2091)+1,200)),"")),IF(ISNUMBER(SEARCH("Party Name:-",'R.M Billets Reports'!D2092)),TRIM('R.M Billets Reports'!F2092),IF(ISNUMBER(SEARCH("Party Name-",'R.M Billets Reports'!D2092)),TRIM(MID('R.M Billets Reports'!D2092,SEARCH("-",'R.M Billets Reports'!D2092)+1,200)),"")))="SHREE RADHE SHAKTI SPONGE AND POWER PVT. LTD.","SHREE RADHE",IF(IF(ISNUMBER(SEARCH("Party Name:-",'R.M Billets Reports'!D2091)),TRIM('R.M Billets Reports'!F2091),IF(ISNUMBER(SEARCH("Party Name-",'R.M Billets Reports'!D2091)),TRIM(MID('R.M Billets Reports'!D2091,SEARCH("-",'R.M Billets Reports'!D2091)+1,200)),""))&lt;&gt;"",IF(ISNUMBER(SEARCH("Party Name:-",'R.M Billets Reports'!D2091)),TRIM('R.M Billets Reports'!F2091),IF(ISNUMBER(SEARCH("Party Name-",'R.M Billets Reports'!D2091)),TRIM(MID('R.M Billets Reports'!D2091,SEARCH("-",'R.M Billets Reports'!D2091)+1,200)),"")),IF(ISNUMBER(SEARCH("Party Name:-",'R.M Billets Reports'!D2092)),TRIM('R.M Billets Reports'!F2092),IF(ISNUMBER(SEARCH("Party Name-",'R.M Billets Reports'!D2092)),TRIM(MID('R.M Billets Reports'!D2092,SEARCH("-",'R.M Billets Reports'!D2092)+1,200)),"")))))),IF(ROW()=2,"",A2091))</f>
      </c>
      <c r="B2092">
        <f>IF(OR('R.M Billets Reports'!A2091="Date-",'R.M Billets Reports'!A2091="Date:-"),'R.M Billets Reports'!B2091,IF(ROW()=2,"",B2091))</f>
      </c>
      <c r="C2092">
        <f>IF('R.M Billets Reports'!A2091="V.No.",'R.M Billets Reports'!B2091,IF(ROW()=2,"",C2091))</f>
      </c>
      <c r="D2092">
        <f>IF('R.M Billets Reports'!A2091&lt;&gt;"",'R.M Billets Reports'!A2091,IF(ROW()=2,"",D2091))</f>
      </c>
      <c r="E2092">
        <f>IF('R.M Billets Reports'!B2091="","",TRIM('R.M Billets Reports'!B2091))</f>
      </c>
      <c r="F2092">
        <f>'R.M Billets Reports'!C2091</f>
      </c>
      <c r="G2092">
        <f>'R.M Billets Reports'!D2091</f>
      </c>
      <c r="H2092">
        <f>'R.M Billets Reports'!E2091</f>
      </c>
      <c r="I2092">
        <f>'R.M Billets Reports'!F2091</f>
      </c>
      <c r="J2092">
        <f>'R.M Billets Reports'!G2091</f>
      </c>
      <c r="K2092">
        <f>'R.M Billets Reports'!H2091</f>
      </c>
      <c r="L2092">
        <f>IF('R.M Billets Reports'!I2091="","",'R.M Billets Reports'!I2091)</f>
      </c>
      <c r="M2092">
        <f t="shared" si="64"/>
      </c>
      <c r="N2092">
        <f>IF('R.M Billets Reports'!J2091="","",'R.M Billets Reports'!J2091)</f>
      </c>
      <c r="O2092">
        <f t="shared" si="65"/>
      </c>
      <c r="P2092">
        <f>IF('R.M Billets Reports'!A2091="SIZE",'R.M Billets Reports'!B2091,P2091)</f>
      </c>
    </row>
    <row r="2093" spans="1:16" x14ac:dyDescent="0.25">
      <c r="A2093">
        <f>IF(OR('R.M Billets Reports'!A2092="Date-",'R.M Billets Reports'!A2092="Date:-"),IF(IF(IF(ISNUMBER(SEARCH("Party Name:-",'R.M Billets Reports'!D2092)),TRIM('R.M Billets Reports'!F2092),IF(ISNUMBER(SEARCH("Party Name-",'R.M Billets Reports'!D2092)),TRIM(MID('R.M Billets Reports'!D2092,SEARCH("-",'R.M Billets Reports'!D2092)+1,200)),""))&lt;&gt;"",IF(ISNUMBER(SEARCH("Party Name:-",'R.M Billets Reports'!D2092)),TRIM('R.M Billets Reports'!F2092),IF(ISNUMBER(SEARCH("Party Name-",'R.M Billets Reports'!D2092)),TRIM(MID('R.M Billets Reports'!D2092,SEARCH("-",'R.M Billets Reports'!D2092)+1,200)),"")),IF(ISNUMBER(SEARCH("Party Name:-",'R.M Billets Reports'!D2093)),TRIM('R.M Billets Reports'!F2093),IF(ISNUMBER(SEARCH("Party Name-",'R.M Billets Reports'!D2093)),TRIM(MID('R.M Billets Reports'!D2093,SEARCH("-",'R.M Billets Reports'!D2093)+1,200)),"")))="VRKP ISPAT PVT LTD","VRKP",IF(IF(IF(ISNUMBER(SEARCH("Party Name:-",'R.M Billets Reports'!D2092)),TRIM('R.M Billets Reports'!F2092),IF(ISNUMBER(SEARCH("Party Name-",'R.M Billets Reports'!D2092)),TRIM(MID('R.M Billets Reports'!D2092,SEARCH("-",'R.M Billets Reports'!D2092)+1,200)),""))&lt;&gt;"",IF(ISNUMBER(SEARCH("Party Name:-",'R.M Billets Reports'!D2092)),TRIM('R.M Billets Reports'!F2092),IF(ISNUMBER(SEARCH("Party Name-",'R.M Billets Reports'!D2092)),TRIM(MID('R.M Billets Reports'!D2092,SEARCH("-",'R.M Billets Reports'!D2092)+1,200)),"")),IF(ISNUMBER(SEARCH("Party Name:-",'R.M Billets Reports'!D2093)),TRIM('R.M Billets Reports'!F2093),IF(ISNUMBER(SEARCH("Party Name-",'R.M Billets Reports'!D2093)),TRIM(MID('R.M Billets Reports'!D2093,SEARCH("-",'R.M Billets Reports'!D2093)+1,200)),"")))="SHRI RADHE","SHREE RADHE",IF(IF(IF(ISNUMBER(SEARCH("Party Name:-",'R.M Billets Reports'!D2092)),TRIM('R.M Billets Reports'!F2092),IF(ISNUMBER(SEARCH("Party Name-",'R.M Billets Reports'!D2092)),TRIM(MID('R.M Billets Reports'!D2092,SEARCH("-",'R.M Billets Reports'!D2092)+1,200)),""))&lt;&gt;"",IF(ISNUMBER(SEARCH("Party Name:-",'R.M Billets Reports'!D2092)),TRIM('R.M Billets Reports'!F2092),IF(ISNUMBER(SEARCH("Party Name-",'R.M Billets Reports'!D2092)),TRIM(MID('R.M Billets Reports'!D2092,SEARCH("-",'R.M Billets Reports'!D2092)+1,200)),"")),IF(ISNUMBER(SEARCH("Party Name:-",'R.M Billets Reports'!D2093)),TRIM('R.M Billets Reports'!F2093),IF(ISNUMBER(SEARCH("Party Name-",'R.M Billets Reports'!D2093)),TRIM(MID('R.M Billets Reports'!D2093,SEARCH("-",'R.M Billets Reports'!D2093)+1,200)),"")))="SHREE RADHE SHAKTI SPONGE AND POWER PVT. LTD.","SHREE RADHE",IF(IF(ISNUMBER(SEARCH("Party Name:-",'R.M Billets Reports'!D2092)),TRIM('R.M Billets Reports'!F2092),IF(ISNUMBER(SEARCH("Party Name-",'R.M Billets Reports'!D2092)),TRIM(MID('R.M Billets Reports'!D2092,SEARCH("-",'R.M Billets Reports'!D2092)+1,200)),""))&lt;&gt;"",IF(ISNUMBER(SEARCH("Party Name:-",'R.M Billets Reports'!D2092)),TRIM('R.M Billets Reports'!F2092),IF(ISNUMBER(SEARCH("Party Name-",'R.M Billets Reports'!D2092)),TRIM(MID('R.M Billets Reports'!D2092,SEARCH("-",'R.M Billets Reports'!D2092)+1,200)),"")),IF(ISNUMBER(SEARCH("Party Name:-",'R.M Billets Reports'!D2093)),TRIM('R.M Billets Reports'!F2093),IF(ISNUMBER(SEARCH("Party Name-",'R.M Billets Reports'!D2093)),TRIM(MID('R.M Billets Reports'!D2093,SEARCH("-",'R.M Billets Reports'!D2093)+1,200)),"")))))),IF(ROW()=2,"",A2092))</f>
      </c>
      <c r="B2093">
        <f>IF(OR('R.M Billets Reports'!A2092="Date-",'R.M Billets Reports'!A2092="Date:-"),'R.M Billets Reports'!B2092,IF(ROW()=2,"",B2092))</f>
      </c>
      <c r="C2093">
        <f>IF('R.M Billets Reports'!A2092="V.No.",'R.M Billets Reports'!B2092,IF(ROW()=2,"",C2092))</f>
      </c>
      <c r="D2093">
        <f>IF('R.M Billets Reports'!A2092&lt;&gt;"",'R.M Billets Reports'!A2092,IF(ROW()=2,"",D2092))</f>
      </c>
      <c r="E2093">
        <f>IF('R.M Billets Reports'!B2092="","",TRIM('R.M Billets Reports'!B2092))</f>
      </c>
      <c r="F2093">
        <f>'R.M Billets Reports'!C2092</f>
      </c>
      <c r="G2093">
        <f>'R.M Billets Reports'!D2092</f>
      </c>
      <c r="H2093">
        <f>'R.M Billets Reports'!E2092</f>
      </c>
      <c r="I2093">
        <f>'R.M Billets Reports'!F2092</f>
      </c>
      <c r="J2093">
        <f>'R.M Billets Reports'!G2092</f>
      </c>
      <c r="K2093">
        <f>'R.M Billets Reports'!H2092</f>
      </c>
      <c r="L2093">
        <f>IF('R.M Billets Reports'!I2092="","",'R.M Billets Reports'!I2092)</f>
      </c>
      <c r="M2093">
        <f t="shared" si="64"/>
      </c>
      <c r="N2093">
        <f>IF('R.M Billets Reports'!J2092="","",'R.M Billets Reports'!J2092)</f>
      </c>
      <c r="O2093">
        <f t="shared" si="65"/>
      </c>
      <c r="P2093">
        <f>IF('R.M Billets Reports'!A2092="SIZE",'R.M Billets Reports'!B2092,P2092)</f>
      </c>
    </row>
    <row r="2094" spans="1:16" x14ac:dyDescent="0.25">
      <c r="A2094">
        <f>IF(OR('R.M Billets Reports'!A2093="Date-",'R.M Billets Reports'!A2093="Date:-"),IF(IF(IF(ISNUMBER(SEARCH("Party Name:-",'R.M Billets Reports'!D2093)),TRIM('R.M Billets Reports'!F2093),IF(ISNUMBER(SEARCH("Party Name-",'R.M Billets Reports'!D2093)),TRIM(MID('R.M Billets Reports'!D2093,SEARCH("-",'R.M Billets Reports'!D2093)+1,200)),""))&lt;&gt;"",IF(ISNUMBER(SEARCH("Party Name:-",'R.M Billets Reports'!D2093)),TRIM('R.M Billets Reports'!F2093),IF(ISNUMBER(SEARCH("Party Name-",'R.M Billets Reports'!D2093)),TRIM(MID('R.M Billets Reports'!D2093,SEARCH("-",'R.M Billets Reports'!D2093)+1,200)),"")),IF(ISNUMBER(SEARCH("Party Name:-",'R.M Billets Reports'!D2094)),TRIM('R.M Billets Reports'!F2094),IF(ISNUMBER(SEARCH("Party Name-",'R.M Billets Reports'!D2094)),TRIM(MID('R.M Billets Reports'!D2094,SEARCH("-",'R.M Billets Reports'!D2094)+1,200)),"")))="VRKP ISPAT PVT LTD","VRKP",IF(IF(IF(ISNUMBER(SEARCH("Party Name:-",'R.M Billets Reports'!D2093)),TRIM('R.M Billets Reports'!F2093),IF(ISNUMBER(SEARCH("Party Name-",'R.M Billets Reports'!D2093)),TRIM(MID('R.M Billets Reports'!D2093,SEARCH("-",'R.M Billets Reports'!D2093)+1,200)),""))&lt;&gt;"",IF(ISNUMBER(SEARCH("Party Name:-",'R.M Billets Reports'!D2093)),TRIM('R.M Billets Reports'!F2093),IF(ISNUMBER(SEARCH("Party Name-",'R.M Billets Reports'!D2093)),TRIM(MID('R.M Billets Reports'!D2093,SEARCH("-",'R.M Billets Reports'!D2093)+1,200)),"")),IF(ISNUMBER(SEARCH("Party Name:-",'R.M Billets Reports'!D2094)),TRIM('R.M Billets Reports'!F2094),IF(ISNUMBER(SEARCH("Party Name-",'R.M Billets Reports'!D2094)),TRIM(MID('R.M Billets Reports'!D2094,SEARCH("-",'R.M Billets Reports'!D2094)+1,200)),"")))="SHRI RADHE","SHREE RADHE",IF(IF(IF(ISNUMBER(SEARCH("Party Name:-",'R.M Billets Reports'!D2093)),TRIM('R.M Billets Reports'!F2093),IF(ISNUMBER(SEARCH("Party Name-",'R.M Billets Reports'!D2093)),TRIM(MID('R.M Billets Reports'!D2093,SEARCH("-",'R.M Billets Reports'!D2093)+1,200)),""))&lt;&gt;"",IF(ISNUMBER(SEARCH("Party Name:-",'R.M Billets Reports'!D2093)),TRIM('R.M Billets Reports'!F2093),IF(ISNUMBER(SEARCH("Party Name-",'R.M Billets Reports'!D2093)),TRIM(MID('R.M Billets Reports'!D2093,SEARCH("-",'R.M Billets Reports'!D2093)+1,200)),"")),IF(ISNUMBER(SEARCH("Party Name:-",'R.M Billets Reports'!D2094)),TRIM('R.M Billets Reports'!F2094),IF(ISNUMBER(SEARCH("Party Name-",'R.M Billets Reports'!D2094)),TRIM(MID('R.M Billets Reports'!D2094,SEARCH("-",'R.M Billets Reports'!D2094)+1,200)),"")))="SHREE RADHE SHAKTI SPONGE AND POWER PVT. LTD.","SHREE RADHE",IF(IF(ISNUMBER(SEARCH("Party Name:-",'R.M Billets Reports'!D2093)),TRIM('R.M Billets Reports'!F2093),IF(ISNUMBER(SEARCH("Party Name-",'R.M Billets Reports'!D2093)),TRIM(MID('R.M Billets Reports'!D2093,SEARCH("-",'R.M Billets Reports'!D2093)+1,200)),""))&lt;&gt;"",IF(ISNUMBER(SEARCH("Party Name:-",'R.M Billets Reports'!D2093)),TRIM('R.M Billets Reports'!F2093),IF(ISNUMBER(SEARCH("Party Name-",'R.M Billets Reports'!D2093)),TRIM(MID('R.M Billets Reports'!D2093,SEARCH("-",'R.M Billets Reports'!D2093)+1,200)),"")),IF(ISNUMBER(SEARCH("Party Name:-",'R.M Billets Reports'!D2094)),TRIM('R.M Billets Reports'!F2094),IF(ISNUMBER(SEARCH("Party Name-",'R.M Billets Reports'!D2094)),TRIM(MID('R.M Billets Reports'!D2094,SEARCH("-",'R.M Billets Reports'!D2094)+1,200)),"")))))),IF(ROW()=2,"",A2093))</f>
      </c>
      <c r="B2094">
        <f>IF(OR('R.M Billets Reports'!A2093="Date-",'R.M Billets Reports'!A2093="Date:-"),'R.M Billets Reports'!B2093,IF(ROW()=2,"",B2093))</f>
      </c>
      <c r="C2094">
        <f>IF('R.M Billets Reports'!A2093="V.No.",'R.M Billets Reports'!B2093,IF(ROW()=2,"",C2093))</f>
      </c>
      <c r="D2094">
        <f>IF('R.M Billets Reports'!A2093&lt;&gt;"",'R.M Billets Reports'!A2093,IF(ROW()=2,"",D2093))</f>
      </c>
      <c r="E2094">
        <f>IF('R.M Billets Reports'!B2093="","",TRIM('R.M Billets Reports'!B2093))</f>
      </c>
      <c r="F2094">
        <f>'R.M Billets Reports'!C2093</f>
      </c>
      <c r="G2094">
        <f>'R.M Billets Reports'!D2093</f>
      </c>
      <c r="H2094">
        <f>'R.M Billets Reports'!E2093</f>
      </c>
      <c r="I2094">
        <f>'R.M Billets Reports'!F2093</f>
      </c>
      <c r="J2094">
        <f>'R.M Billets Reports'!G2093</f>
      </c>
      <c r="K2094">
        <f>'R.M Billets Reports'!H2093</f>
      </c>
      <c r="L2094">
        <f>IF('R.M Billets Reports'!I2093="","",'R.M Billets Reports'!I2093)</f>
      </c>
      <c r="M2094">
        <f t="shared" si="64"/>
      </c>
      <c r="N2094">
        <f>IF('R.M Billets Reports'!J2093="","",'R.M Billets Reports'!J2093)</f>
      </c>
      <c r="O2094">
        <f t="shared" si="65"/>
      </c>
      <c r="P2094">
        <f>IF('R.M Billets Reports'!A2093="SIZE",'R.M Billets Reports'!B2093,P2093)</f>
      </c>
    </row>
    <row r="2095" spans="1:16" x14ac:dyDescent="0.25">
      <c r="A2095">
        <f>IF(OR('R.M Billets Reports'!A2094="Date-",'R.M Billets Reports'!A2094="Date:-"),IF(IF(IF(ISNUMBER(SEARCH("Party Name:-",'R.M Billets Reports'!D2094)),TRIM('R.M Billets Reports'!F2094),IF(ISNUMBER(SEARCH("Party Name-",'R.M Billets Reports'!D2094)),TRIM(MID('R.M Billets Reports'!D2094,SEARCH("-",'R.M Billets Reports'!D2094)+1,200)),""))&lt;&gt;"",IF(ISNUMBER(SEARCH("Party Name:-",'R.M Billets Reports'!D2094)),TRIM('R.M Billets Reports'!F2094),IF(ISNUMBER(SEARCH("Party Name-",'R.M Billets Reports'!D2094)),TRIM(MID('R.M Billets Reports'!D2094,SEARCH("-",'R.M Billets Reports'!D2094)+1,200)),"")),IF(ISNUMBER(SEARCH("Party Name:-",'R.M Billets Reports'!D2095)),TRIM('R.M Billets Reports'!F2095),IF(ISNUMBER(SEARCH("Party Name-",'R.M Billets Reports'!D2095)),TRIM(MID('R.M Billets Reports'!D2095,SEARCH("-",'R.M Billets Reports'!D2095)+1,200)),"")))="VRKP ISPAT PVT LTD","VRKP",IF(IF(IF(ISNUMBER(SEARCH("Party Name:-",'R.M Billets Reports'!D2094)),TRIM('R.M Billets Reports'!F2094),IF(ISNUMBER(SEARCH("Party Name-",'R.M Billets Reports'!D2094)),TRIM(MID('R.M Billets Reports'!D2094,SEARCH("-",'R.M Billets Reports'!D2094)+1,200)),""))&lt;&gt;"",IF(ISNUMBER(SEARCH("Party Name:-",'R.M Billets Reports'!D2094)),TRIM('R.M Billets Reports'!F2094),IF(ISNUMBER(SEARCH("Party Name-",'R.M Billets Reports'!D2094)),TRIM(MID('R.M Billets Reports'!D2094,SEARCH("-",'R.M Billets Reports'!D2094)+1,200)),"")),IF(ISNUMBER(SEARCH("Party Name:-",'R.M Billets Reports'!D2095)),TRIM('R.M Billets Reports'!F2095),IF(ISNUMBER(SEARCH("Party Name-",'R.M Billets Reports'!D2095)),TRIM(MID('R.M Billets Reports'!D2095,SEARCH("-",'R.M Billets Reports'!D2095)+1,200)),"")))="SHRI RADHE","SHREE RADHE",IF(IF(IF(ISNUMBER(SEARCH("Party Name:-",'R.M Billets Reports'!D2094)),TRIM('R.M Billets Reports'!F2094),IF(ISNUMBER(SEARCH("Party Name-",'R.M Billets Reports'!D2094)),TRIM(MID('R.M Billets Reports'!D2094,SEARCH("-",'R.M Billets Reports'!D2094)+1,200)),""))&lt;&gt;"",IF(ISNUMBER(SEARCH("Party Name:-",'R.M Billets Reports'!D2094)),TRIM('R.M Billets Reports'!F2094),IF(ISNUMBER(SEARCH("Party Name-",'R.M Billets Reports'!D2094)),TRIM(MID('R.M Billets Reports'!D2094,SEARCH("-",'R.M Billets Reports'!D2094)+1,200)),"")),IF(ISNUMBER(SEARCH("Party Name:-",'R.M Billets Reports'!D2095)),TRIM('R.M Billets Reports'!F2095),IF(ISNUMBER(SEARCH("Party Name-",'R.M Billets Reports'!D2095)),TRIM(MID('R.M Billets Reports'!D2095,SEARCH("-",'R.M Billets Reports'!D2095)+1,200)),"")))="SHREE RADHE SHAKTI SPONGE AND POWER PVT. LTD.","SHREE RADHE",IF(IF(ISNUMBER(SEARCH("Party Name:-",'R.M Billets Reports'!D2094)),TRIM('R.M Billets Reports'!F2094),IF(ISNUMBER(SEARCH("Party Name-",'R.M Billets Reports'!D2094)),TRIM(MID('R.M Billets Reports'!D2094,SEARCH("-",'R.M Billets Reports'!D2094)+1,200)),""))&lt;&gt;"",IF(ISNUMBER(SEARCH("Party Name:-",'R.M Billets Reports'!D2094)),TRIM('R.M Billets Reports'!F2094),IF(ISNUMBER(SEARCH("Party Name-",'R.M Billets Reports'!D2094)),TRIM(MID('R.M Billets Reports'!D2094,SEARCH("-",'R.M Billets Reports'!D2094)+1,200)),"")),IF(ISNUMBER(SEARCH("Party Name:-",'R.M Billets Reports'!D2095)),TRIM('R.M Billets Reports'!F2095),IF(ISNUMBER(SEARCH("Party Name-",'R.M Billets Reports'!D2095)),TRIM(MID('R.M Billets Reports'!D2095,SEARCH("-",'R.M Billets Reports'!D2095)+1,200)),"")))))),IF(ROW()=2,"",A2094))</f>
      </c>
      <c r="B2095">
        <f>IF(OR('R.M Billets Reports'!A2094="Date-",'R.M Billets Reports'!A2094="Date:-"),'R.M Billets Reports'!B2094,IF(ROW()=2,"",B2094))</f>
      </c>
      <c r="C2095">
        <f>IF('R.M Billets Reports'!A2094="V.No.",'R.M Billets Reports'!B2094,IF(ROW()=2,"",C2094))</f>
      </c>
      <c r="D2095">
        <f>IF('R.M Billets Reports'!A2094&lt;&gt;"",'R.M Billets Reports'!A2094,IF(ROW()=2,"",D2094))</f>
      </c>
      <c r="E2095">
        <f>IF('R.M Billets Reports'!B2094="","",TRIM('R.M Billets Reports'!B2094))</f>
      </c>
      <c r="F2095">
        <f>'R.M Billets Reports'!C2094</f>
      </c>
      <c r="G2095">
        <f>'R.M Billets Reports'!D2094</f>
      </c>
      <c r="H2095">
        <f>'R.M Billets Reports'!E2094</f>
      </c>
      <c r="I2095">
        <f>'R.M Billets Reports'!F2094</f>
      </c>
      <c r="J2095">
        <f>'R.M Billets Reports'!G2094</f>
      </c>
      <c r="K2095">
        <f>'R.M Billets Reports'!H2094</f>
      </c>
      <c r="L2095">
        <f>IF('R.M Billets Reports'!I2094="","",'R.M Billets Reports'!I2094)</f>
      </c>
      <c r="M2095">
        <f t="shared" si="64"/>
      </c>
      <c r="N2095">
        <f>IF('R.M Billets Reports'!J2094="","",'R.M Billets Reports'!J2094)</f>
      </c>
      <c r="O2095">
        <f t="shared" si="65"/>
      </c>
      <c r="P2095">
        <f>IF('R.M Billets Reports'!A2094="SIZE",'R.M Billets Reports'!B2094,P2094)</f>
      </c>
    </row>
    <row r="2096" spans="1:16" x14ac:dyDescent="0.25">
      <c r="A2096">
        <f>IF(OR('R.M Billets Reports'!A2095="Date-",'R.M Billets Reports'!A2095="Date:-"),IF(IF(IF(ISNUMBER(SEARCH("Party Name:-",'R.M Billets Reports'!D2095)),TRIM('R.M Billets Reports'!F2095),IF(ISNUMBER(SEARCH("Party Name-",'R.M Billets Reports'!D2095)),TRIM(MID('R.M Billets Reports'!D2095,SEARCH("-",'R.M Billets Reports'!D2095)+1,200)),""))&lt;&gt;"",IF(ISNUMBER(SEARCH("Party Name:-",'R.M Billets Reports'!D2095)),TRIM('R.M Billets Reports'!F2095),IF(ISNUMBER(SEARCH("Party Name-",'R.M Billets Reports'!D2095)),TRIM(MID('R.M Billets Reports'!D2095,SEARCH("-",'R.M Billets Reports'!D2095)+1,200)),"")),IF(ISNUMBER(SEARCH("Party Name:-",'R.M Billets Reports'!D2096)),TRIM('R.M Billets Reports'!F2096),IF(ISNUMBER(SEARCH("Party Name-",'R.M Billets Reports'!D2096)),TRIM(MID('R.M Billets Reports'!D2096,SEARCH("-",'R.M Billets Reports'!D2096)+1,200)),"")))="VRKP ISPAT PVT LTD","VRKP",IF(IF(IF(ISNUMBER(SEARCH("Party Name:-",'R.M Billets Reports'!D2095)),TRIM('R.M Billets Reports'!F2095),IF(ISNUMBER(SEARCH("Party Name-",'R.M Billets Reports'!D2095)),TRIM(MID('R.M Billets Reports'!D2095,SEARCH("-",'R.M Billets Reports'!D2095)+1,200)),""))&lt;&gt;"",IF(ISNUMBER(SEARCH("Party Name:-",'R.M Billets Reports'!D2095)),TRIM('R.M Billets Reports'!F2095),IF(ISNUMBER(SEARCH("Party Name-",'R.M Billets Reports'!D2095)),TRIM(MID('R.M Billets Reports'!D2095,SEARCH("-",'R.M Billets Reports'!D2095)+1,200)),"")),IF(ISNUMBER(SEARCH("Party Name:-",'R.M Billets Reports'!D2096)),TRIM('R.M Billets Reports'!F2096),IF(ISNUMBER(SEARCH("Party Name-",'R.M Billets Reports'!D2096)),TRIM(MID('R.M Billets Reports'!D2096,SEARCH("-",'R.M Billets Reports'!D2096)+1,200)),"")))="SHRI RADHE","SHREE RADHE",IF(IF(IF(ISNUMBER(SEARCH("Party Name:-",'R.M Billets Reports'!D2095)),TRIM('R.M Billets Reports'!F2095),IF(ISNUMBER(SEARCH("Party Name-",'R.M Billets Reports'!D2095)),TRIM(MID('R.M Billets Reports'!D2095,SEARCH("-",'R.M Billets Reports'!D2095)+1,200)),""))&lt;&gt;"",IF(ISNUMBER(SEARCH("Party Name:-",'R.M Billets Reports'!D2095)),TRIM('R.M Billets Reports'!F2095),IF(ISNUMBER(SEARCH("Party Name-",'R.M Billets Reports'!D2095)),TRIM(MID('R.M Billets Reports'!D2095,SEARCH("-",'R.M Billets Reports'!D2095)+1,200)),"")),IF(ISNUMBER(SEARCH("Party Name:-",'R.M Billets Reports'!D2096)),TRIM('R.M Billets Reports'!F2096),IF(ISNUMBER(SEARCH("Party Name-",'R.M Billets Reports'!D2096)),TRIM(MID('R.M Billets Reports'!D2096,SEARCH("-",'R.M Billets Reports'!D2096)+1,200)),"")))="SHREE RADHE SHAKTI SPONGE AND POWER PVT. LTD.","SHREE RADHE",IF(IF(ISNUMBER(SEARCH("Party Name:-",'R.M Billets Reports'!D2095)),TRIM('R.M Billets Reports'!F2095),IF(ISNUMBER(SEARCH("Party Name-",'R.M Billets Reports'!D2095)),TRIM(MID('R.M Billets Reports'!D2095,SEARCH("-",'R.M Billets Reports'!D2095)+1,200)),""))&lt;&gt;"",IF(ISNUMBER(SEARCH("Party Name:-",'R.M Billets Reports'!D2095)),TRIM('R.M Billets Reports'!F2095),IF(ISNUMBER(SEARCH("Party Name-",'R.M Billets Reports'!D2095)),TRIM(MID('R.M Billets Reports'!D2095,SEARCH("-",'R.M Billets Reports'!D2095)+1,200)),"")),IF(ISNUMBER(SEARCH("Party Name:-",'R.M Billets Reports'!D2096)),TRIM('R.M Billets Reports'!F2096),IF(ISNUMBER(SEARCH("Party Name-",'R.M Billets Reports'!D2096)),TRIM(MID('R.M Billets Reports'!D2096,SEARCH("-",'R.M Billets Reports'!D2096)+1,200)),"")))))),IF(ROW()=2,"",A2095))</f>
      </c>
      <c r="B2096">
        <f>IF(OR('R.M Billets Reports'!A2095="Date-",'R.M Billets Reports'!A2095="Date:-"),'R.M Billets Reports'!B2095,IF(ROW()=2,"",B2095))</f>
      </c>
      <c r="C2096">
        <f>IF('R.M Billets Reports'!A2095="V.No.",'R.M Billets Reports'!B2095,IF(ROW()=2,"",C2095))</f>
      </c>
      <c r="D2096">
        <f>IF('R.M Billets Reports'!A2095&lt;&gt;"",'R.M Billets Reports'!A2095,IF(ROW()=2,"",D2095))</f>
      </c>
      <c r="E2096">
        <f>IF('R.M Billets Reports'!B2095="","",TRIM('R.M Billets Reports'!B2095))</f>
      </c>
      <c r="F2096">
        <f>'R.M Billets Reports'!C2095</f>
      </c>
      <c r="G2096">
        <f>'R.M Billets Reports'!D2095</f>
      </c>
      <c r="H2096">
        <f>'R.M Billets Reports'!E2095</f>
      </c>
      <c r="I2096">
        <f>'R.M Billets Reports'!F2095</f>
      </c>
      <c r="J2096">
        <f>'R.M Billets Reports'!G2095</f>
      </c>
      <c r="K2096">
        <f>'R.M Billets Reports'!H2095</f>
      </c>
      <c r="L2096">
        <f>IF('R.M Billets Reports'!I2095="","",'R.M Billets Reports'!I2095)</f>
      </c>
      <c r="M2096">
        <f t="shared" si="64"/>
      </c>
      <c r="N2096">
        <f>IF('R.M Billets Reports'!J2095="","",'R.M Billets Reports'!J2095)</f>
      </c>
      <c r="O2096">
        <f t="shared" si="65"/>
      </c>
      <c r="P2096">
        <f>IF('R.M Billets Reports'!A2095="SIZE",'R.M Billets Reports'!B2095,P2095)</f>
      </c>
    </row>
    <row r="2097" spans="1:16" x14ac:dyDescent="0.25">
      <c r="A2097">
        <f>IF(OR('R.M Billets Reports'!A2096="Date-",'R.M Billets Reports'!A2096="Date:-"),IF(IF(IF(ISNUMBER(SEARCH("Party Name:-",'R.M Billets Reports'!D2096)),TRIM('R.M Billets Reports'!F2096),IF(ISNUMBER(SEARCH("Party Name-",'R.M Billets Reports'!D2096)),TRIM(MID('R.M Billets Reports'!D2096,SEARCH("-",'R.M Billets Reports'!D2096)+1,200)),""))&lt;&gt;"",IF(ISNUMBER(SEARCH("Party Name:-",'R.M Billets Reports'!D2096)),TRIM('R.M Billets Reports'!F2096),IF(ISNUMBER(SEARCH("Party Name-",'R.M Billets Reports'!D2096)),TRIM(MID('R.M Billets Reports'!D2096,SEARCH("-",'R.M Billets Reports'!D2096)+1,200)),"")),IF(ISNUMBER(SEARCH("Party Name:-",'R.M Billets Reports'!D2097)),TRIM('R.M Billets Reports'!F2097),IF(ISNUMBER(SEARCH("Party Name-",'R.M Billets Reports'!D2097)),TRIM(MID('R.M Billets Reports'!D2097,SEARCH("-",'R.M Billets Reports'!D2097)+1,200)),"")))="VRKP ISPAT PVT LTD","VRKP",IF(IF(IF(ISNUMBER(SEARCH("Party Name:-",'R.M Billets Reports'!D2096)),TRIM('R.M Billets Reports'!F2096),IF(ISNUMBER(SEARCH("Party Name-",'R.M Billets Reports'!D2096)),TRIM(MID('R.M Billets Reports'!D2096,SEARCH("-",'R.M Billets Reports'!D2096)+1,200)),""))&lt;&gt;"",IF(ISNUMBER(SEARCH("Party Name:-",'R.M Billets Reports'!D2096)),TRIM('R.M Billets Reports'!F2096),IF(ISNUMBER(SEARCH("Party Name-",'R.M Billets Reports'!D2096)),TRIM(MID('R.M Billets Reports'!D2096,SEARCH("-",'R.M Billets Reports'!D2096)+1,200)),"")),IF(ISNUMBER(SEARCH("Party Name:-",'R.M Billets Reports'!D2097)),TRIM('R.M Billets Reports'!F2097),IF(ISNUMBER(SEARCH("Party Name-",'R.M Billets Reports'!D2097)),TRIM(MID('R.M Billets Reports'!D2097,SEARCH("-",'R.M Billets Reports'!D2097)+1,200)),"")))="SHRI RADHE","SHREE RADHE",IF(IF(IF(ISNUMBER(SEARCH("Party Name:-",'R.M Billets Reports'!D2096)),TRIM('R.M Billets Reports'!F2096),IF(ISNUMBER(SEARCH("Party Name-",'R.M Billets Reports'!D2096)),TRIM(MID('R.M Billets Reports'!D2096,SEARCH("-",'R.M Billets Reports'!D2096)+1,200)),""))&lt;&gt;"",IF(ISNUMBER(SEARCH("Party Name:-",'R.M Billets Reports'!D2096)),TRIM('R.M Billets Reports'!F2096),IF(ISNUMBER(SEARCH("Party Name-",'R.M Billets Reports'!D2096)),TRIM(MID('R.M Billets Reports'!D2096,SEARCH("-",'R.M Billets Reports'!D2096)+1,200)),"")),IF(ISNUMBER(SEARCH("Party Name:-",'R.M Billets Reports'!D2097)),TRIM('R.M Billets Reports'!F2097),IF(ISNUMBER(SEARCH("Party Name-",'R.M Billets Reports'!D2097)),TRIM(MID('R.M Billets Reports'!D2097,SEARCH("-",'R.M Billets Reports'!D2097)+1,200)),"")))="SHREE RADHE SHAKTI SPONGE AND POWER PVT. LTD.","SHREE RADHE",IF(IF(ISNUMBER(SEARCH("Party Name:-",'R.M Billets Reports'!D2096)),TRIM('R.M Billets Reports'!F2096),IF(ISNUMBER(SEARCH("Party Name-",'R.M Billets Reports'!D2096)),TRIM(MID('R.M Billets Reports'!D2096,SEARCH("-",'R.M Billets Reports'!D2096)+1,200)),""))&lt;&gt;"",IF(ISNUMBER(SEARCH("Party Name:-",'R.M Billets Reports'!D2096)),TRIM('R.M Billets Reports'!F2096),IF(ISNUMBER(SEARCH("Party Name-",'R.M Billets Reports'!D2096)),TRIM(MID('R.M Billets Reports'!D2096,SEARCH("-",'R.M Billets Reports'!D2096)+1,200)),"")),IF(ISNUMBER(SEARCH("Party Name:-",'R.M Billets Reports'!D2097)),TRIM('R.M Billets Reports'!F2097),IF(ISNUMBER(SEARCH("Party Name-",'R.M Billets Reports'!D2097)),TRIM(MID('R.M Billets Reports'!D2097,SEARCH("-",'R.M Billets Reports'!D2097)+1,200)),"")))))),IF(ROW()=2,"",A2096))</f>
      </c>
      <c r="B2097">
        <f>IF(OR('R.M Billets Reports'!A2096="Date-",'R.M Billets Reports'!A2096="Date:-"),'R.M Billets Reports'!B2096,IF(ROW()=2,"",B2096))</f>
      </c>
      <c r="C2097">
        <f>IF('R.M Billets Reports'!A2096="V.No.",'R.M Billets Reports'!B2096,IF(ROW()=2,"",C2096))</f>
      </c>
      <c r="D2097">
        <f>IF('R.M Billets Reports'!A2096&lt;&gt;"",'R.M Billets Reports'!A2096,IF(ROW()=2,"",D2096))</f>
      </c>
      <c r="E2097">
        <f>IF('R.M Billets Reports'!B2096="","",TRIM('R.M Billets Reports'!B2096))</f>
      </c>
      <c r="F2097">
        <f>'R.M Billets Reports'!C2096</f>
      </c>
      <c r="G2097">
        <f>'R.M Billets Reports'!D2096</f>
      </c>
      <c r="H2097">
        <f>'R.M Billets Reports'!E2096</f>
      </c>
      <c r="I2097">
        <f>'R.M Billets Reports'!F2096</f>
      </c>
      <c r="J2097">
        <f>'R.M Billets Reports'!G2096</f>
      </c>
      <c r="K2097">
        <f>'R.M Billets Reports'!H2096</f>
      </c>
      <c r="L2097">
        <f>IF('R.M Billets Reports'!I2096="","",'R.M Billets Reports'!I2096)</f>
      </c>
      <c r="M2097">
        <f t="shared" si="64"/>
      </c>
      <c r="N2097">
        <f>IF('R.M Billets Reports'!J2096="","",'R.M Billets Reports'!J2096)</f>
      </c>
      <c r="O2097">
        <f t="shared" si="65"/>
      </c>
      <c r="P2097">
        <f>IF('R.M Billets Reports'!A2096="SIZE",'R.M Billets Reports'!B2096,P2096)</f>
      </c>
    </row>
    <row r="2098" spans="1:16" x14ac:dyDescent="0.25">
      <c r="A2098">
        <f>IF(OR('R.M Billets Reports'!A2097="Date-",'R.M Billets Reports'!A2097="Date:-"),IF(IF(IF(ISNUMBER(SEARCH("Party Name:-",'R.M Billets Reports'!D2097)),TRIM('R.M Billets Reports'!F2097),IF(ISNUMBER(SEARCH("Party Name-",'R.M Billets Reports'!D2097)),TRIM(MID('R.M Billets Reports'!D2097,SEARCH("-",'R.M Billets Reports'!D2097)+1,200)),""))&lt;&gt;"",IF(ISNUMBER(SEARCH("Party Name:-",'R.M Billets Reports'!D2097)),TRIM('R.M Billets Reports'!F2097),IF(ISNUMBER(SEARCH("Party Name-",'R.M Billets Reports'!D2097)),TRIM(MID('R.M Billets Reports'!D2097,SEARCH("-",'R.M Billets Reports'!D2097)+1,200)),"")),IF(ISNUMBER(SEARCH("Party Name:-",'R.M Billets Reports'!D2098)),TRIM('R.M Billets Reports'!F2098),IF(ISNUMBER(SEARCH("Party Name-",'R.M Billets Reports'!D2098)),TRIM(MID('R.M Billets Reports'!D2098,SEARCH("-",'R.M Billets Reports'!D2098)+1,200)),"")))="VRKP ISPAT PVT LTD","VRKP",IF(IF(IF(ISNUMBER(SEARCH("Party Name:-",'R.M Billets Reports'!D2097)),TRIM('R.M Billets Reports'!F2097),IF(ISNUMBER(SEARCH("Party Name-",'R.M Billets Reports'!D2097)),TRIM(MID('R.M Billets Reports'!D2097,SEARCH("-",'R.M Billets Reports'!D2097)+1,200)),""))&lt;&gt;"",IF(ISNUMBER(SEARCH("Party Name:-",'R.M Billets Reports'!D2097)),TRIM('R.M Billets Reports'!F2097),IF(ISNUMBER(SEARCH("Party Name-",'R.M Billets Reports'!D2097)),TRIM(MID('R.M Billets Reports'!D2097,SEARCH("-",'R.M Billets Reports'!D2097)+1,200)),"")),IF(ISNUMBER(SEARCH("Party Name:-",'R.M Billets Reports'!D2098)),TRIM('R.M Billets Reports'!F2098),IF(ISNUMBER(SEARCH("Party Name-",'R.M Billets Reports'!D2098)),TRIM(MID('R.M Billets Reports'!D2098,SEARCH("-",'R.M Billets Reports'!D2098)+1,200)),"")))="SHRI RADHE","SHREE RADHE",IF(IF(IF(ISNUMBER(SEARCH("Party Name:-",'R.M Billets Reports'!D2097)),TRIM('R.M Billets Reports'!F2097),IF(ISNUMBER(SEARCH("Party Name-",'R.M Billets Reports'!D2097)),TRIM(MID('R.M Billets Reports'!D2097,SEARCH("-",'R.M Billets Reports'!D2097)+1,200)),""))&lt;&gt;"",IF(ISNUMBER(SEARCH("Party Name:-",'R.M Billets Reports'!D2097)),TRIM('R.M Billets Reports'!F2097),IF(ISNUMBER(SEARCH("Party Name-",'R.M Billets Reports'!D2097)),TRIM(MID('R.M Billets Reports'!D2097,SEARCH("-",'R.M Billets Reports'!D2097)+1,200)),"")),IF(ISNUMBER(SEARCH("Party Name:-",'R.M Billets Reports'!D2098)),TRIM('R.M Billets Reports'!F2098),IF(ISNUMBER(SEARCH("Party Name-",'R.M Billets Reports'!D2098)),TRIM(MID('R.M Billets Reports'!D2098,SEARCH("-",'R.M Billets Reports'!D2098)+1,200)),"")))="SHREE RADHE SHAKTI SPONGE AND POWER PVT. LTD.","SHREE RADHE",IF(IF(ISNUMBER(SEARCH("Party Name:-",'R.M Billets Reports'!D2097)),TRIM('R.M Billets Reports'!F2097),IF(ISNUMBER(SEARCH("Party Name-",'R.M Billets Reports'!D2097)),TRIM(MID('R.M Billets Reports'!D2097,SEARCH("-",'R.M Billets Reports'!D2097)+1,200)),""))&lt;&gt;"",IF(ISNUMBER(SEARCH("Party Name:-",'R.M Billets Reports'!D2097)),TRIM('R.M Billets Reports'!F2097),IF(ISNUMBER(SEARCH("Party Name-",'R.M Billets Reports'!D2097)),TRIM(MID('R.M Billets Reports'!D2097,SEARCH("-",'R.M Billets Reports'!D2097)+1,200)),"")),IF(ISNUMBER(SEARCH("Party Name:-",'R.M Billets Reports'!D2098)),TRIM('R.M Billets Reports'!F2098),IF(ISNUMBER(SEARCH("Party Name-",'R.M Billets Reports'!D2098)),TRIM(MID('R.M Billets Reports'!D2098,SEARCH("-",'R.M Billets Reports'!D2098)+1,200)),"")))))),IF(ROW()=2,"",A2097))</f>
      </c>
      <c r="B2098">
        <f>IF(OR('R.M Billets Reports'!A2097="Date-",'R.M Billets Reports'!A2097="Date:-"),'R.M Billets Reports'!B2097,IF(ROW()=2,"",B2097))</f>
      </c>
      <c r="C2098">
        <f>IF('R.M Billets Reports'!A2097="V.No.",'R.M Billets Reports'!B2097,IF(ROW()=2,"",C2097))</f>
      </c>
      <c r="D2098">
        <f>IF('R.M Billets Reports'!A2097&lt;&gt;"",'R.M Billets Reports'!A2097,IF(ROW()=2,"",D2097))</f>
      </c>
      <c r="E2098">
        <f>IF('R.M Billets Reports'!B2097="","",TRIM('R.M Billets Reports'!B2097))</f>
      </c>
      <c r="F2098">
        <f>'R.M Billets Reports'!C2097</f>
      </c>
      <c r="G2098">
        <f>'R.M Billets Reports'!D2097</f>
      </c>
      <c r="H2098">
        <f>'R.M Billets Reports'!E2097</f>
      </c>
      <c r="I2098">
        <f>'R.M Billets Reports'!F2097</f>
      </c>
      <c r="J2098">
        <f>'R.M Billets Reports'!G2097</f>
      </c>
      <c r="K2098">
        <f>'R.M Billets Reports'!H2097</f>
      </c>
      <c r="L2098">
        <f>IF('R.M Billets Reports'!I2097="","",'R.M Billets Reports'!I2097)</f>
      </c>
      <c r="M2098">
        <f t="shared" si="64"/>
      </c>
      <c r="N2098">
        <f>IF('R.M Billets Reports'!J2097="","",'R.M Billets Reports'!J2097)</f>
      </c>
      <c r="O2098">
        <f t="shared" si="65"/>
      </c>
      <c r="P2098">
        <f>IF('R.M Billets Reports'!A2097="SIZE",'R.M Billets Reports'!B2097,P2097)</f>
      </c>
    </row>
    <row r="2099" spans="1:16" x14ac:dyDescent="0.25">
      <c r="A2099">
        <f>IF(OR('R.M Billets Reports'!A2098="Date-",'R.M Billets Reports'!A2098="Date:-"),IF(IF(IF(ISNUMBER(SEARCH("Party Name:-",'R.M Billets Reports'!D2098)),TRIM('R.M Billets Reports'!F2098),IF(ISNUMBER(SEARCH("Party Name-",'R.M Billets Reports'!D2098)),TRIM(MID('R.M Billets Reports'!D2098,SEARCH("-",'R.M Billets Reports'!D2098)+1,200)),""))&lt;&gt;"",IF(ISNUMBER(SEARCH("Party Name:-",'R.M Billets Reports'!D2098)),TRIM('R.M Billets Reports'!F2098),IF(ISNUMBER(SEARCH("Party Name-",'R.M Billets Reports'!D2098)),TRIM(MID('R.M Billets Reports'!D2098,SEARCH("-",'R.M Billets Reports'!D2098)+1,200)),"")),IF(ISNUMBER(SEARCH("Party Name:-",'R.M Billets Reports'!D2099)),TRIM('R.M Billets Reports'!F2099),IF(ISNUMBER(SEARCH("Party Name-",'R.M Billets Reports'!D2099)),TRIM(MID('R.M Billets Reports'!D2099,SEARCH("-",'R.M Billets Reports'!D2099)+1,200)),"")))="VRKP ISPAT PVT LTD","VRKP",IF(IF(IF(ISNUMBER(SEARCH("Party Name:-",'R.M Billets Reports'!D2098)),TRIM('R.M Billets Reports'!F2098),IF(ISNUMBER(SEARCH("Party Name-",'R.M Billets Reports'!D2098)),TRIM(MID('R.M Billets Reports'!D2098,SEARCH("-",'R.M Billets Reports'!D2098)+1,200)),""))&lt;&gt;"",IF(ISNUMBER(SEARCH("Party Name:-",'R.M Billets Reports'!D2098)),TRIM('R.M Billets Reports'!F2098),IF(ISNUMBER(SEARCH("Party Name-",'R.M Billets Reports'!D2098)),TRIM(MID('R.M Billets Reports'!D2098,SEARCH("-",'R.M Billets Reports'!D2098)+1,200)),"")),IF(ISNUMBER(SEARCH("Party Name:-",'R.M Billets Reports'!D2099)),TRIM('R.M Billets Reports'!F2099),IF(ISNUMBER(SEARCH("Party Name-",'R.M Billets Reports'!D2099)),TRIM(MID('R.M Billets Reports'!D2099,SEARCH("-",'R.M Billets Reports'!D2099)+1,200)),"")))="SHRI RADHE","SHREE RADHE",IF(IF(IF(ISNUMBER(SEARCH("Party Name:-",'R.M Billets Reports'!D2098)),TRIM('R.M Billets Reports'!F2098),IF(ISNUMBER(SEARCH("Party Name-",'R.M Billets Reports'!D2098)),TRIM(MID('R.M Billets Reports'!D2098,SEARCH("-",'R.M Billets Reports'!D2098)+1,200)),""))&lt;&gt;"",IF(ISNUMBER(SEARCH("Party Name:-",'R.M Billets Reports'!D2098)),TRIM('R.M Billets Reports'!F2098),IF(ISNUMBER(SEARCH("Party Name-",'R.M Billets Reports'!D2098)),TRIM(MID('R.M Billets Reports'!D2098,SEARCH("-",'R.M Billets Reports'!D2098)+1,200)),"")),IF(ISNUMBER(SEARCH("Party Name:-",'R.M Billets Reports'!D2099)),TRIM('R.M Billets Reports'!F2099),IF(ISNUMBER(SEARCH("Party Name-",'R.M Billets Reports'!D2099)),TRIM(MID('R.M Billets Reports'!D2099,SEARCH("-",'R.M Billets Reports'!D2099)+1,200)),"")))="SHREE RADHE SHAKTI SPONGE AND POWER PVT. LTD.","SHREE RADHE",IF(IF(ISNUMBER(SEARCH("Party Name:-",'R.M Billets Reports'!D2098)),TRIM('R.M Billets Reports'!F2098),IF(ISNUMBER(SEARCH("Party Name-",'R.M Billets Reports'!D2098)),TRIM(MID('R.M Billets Reports'!D2098,SEARCH("-",'R.M Billets Reports'!D2098)+1,200)),""))&lt;&gt;"",IF(ISNUMBER(SEARCH("Party Name:-",'R.M Billets Reports'!D2098)),TRIM('R.M Billets Reports'!F2098),IF(ISNUMBER(SEARCH("Party Name-",'R.M Billets Reports'!D2098)),TRIM(MID('R.M Billets Reports'!D2098,SEARCH("-",'R.M Billets Reports'!D2098)+1,200)),"")),IF(ISNUMBER(SEARCH("Party Name:-",'R.M Billets Reports'!D2099)),TRIM('R.M Billets Reports'!F2099),IF(ISNUMBER(SEARCH("Party Name-",'R.M Billets Reports'!D2099)),TRIM(MID('R.M Billets Reports'!D2099,SEARCH("-",'R.M Billets Reports'!D2099)+1,200)),"")))))),IF(ROW()=2,"",A2098))</f>
      </c>
      <c r="B2099">
        <f>IF(OR('R.M Billets Reports'!A2098="Date-",'R.M Billets Reports'!A2098="Date:-"),'R.M Billets Reports'!B2098,IF(ROW()=2,"",B2098))</f>
      </c>
      <c r="C2099">
        <f>IF('R.M Billets Reports'!A2098="V.No.",'R.M Billets Reports'!B2098,IF(ROW()=2,"",C2098))</f>
      </c>
      <c r="D2099">
        <f>IF('R.M Billets Reports'!A2098&lt;&gt;"",'R.M Billets Reports'!A2098,IF(ROW()=2,"",D2098))</f>
      </c>
      <c r="E2099">
        <f>IF('R.M Billets Reports'!B2098="","",TRIM('R.M Billets Reports'!B2098))</f>
      </c>
      <c r="F2099">
        <f>'R.M Billets Reports'!C2098</f>
      </c>
      <c r="G2099">
        <f>'R.M Billets Reports'!D2098</f>
      </c>
      <c r="H2099">
        <f>'R.M Billets Reports'!E2098</f>
      </c>
      <c r="I2099">
        <f>'R.M Billets Reports'!F2098</f>
      </c>
      <c r="J2099">
        <f>'R.M Billets Reports'!G2098</f>
      </c>
      <c r="K2099">
        <f>'R.M Billets Reports'!H2098</f>
      </c>
      <c r="L2099">
        <f>IF('R.M Billets Reports'!I2098="","",'R.M Billets Reports'!I2098)</f>
      </c>
      <c r="M2099">
        <f t="shared" si="64"/>
      </c>
      <c r="N2099">
        <f>IF('R.M Billets Reports'!J2098="","",'R.M Billets Reports'!J2098)</f>
      </c>
      <c r="O2099">
        <f t="shared" si="65"/>
      </c>
      <c r="P2099">
        <f>IF('R.M Billets Reports'!A2098="SIZE",'R.M Billets Reports'!B2098,P2098)</f>
      </c>
    </row>
    <row r="2100" spans="1:16" x14ac:dyDescent="0.25">
      <c r="A2100">
        <f>IF(OR('R.M Billets Reports'!A2099="Date-",'R.M Billets Reports'!A2099="Date:-"),IF(IF(IF(ISNUMBER(SEARCH("Party Name:-",'R.M Billets Reports'!D2099)),TRIM('R.M Billets Reports'!F2099),IF(ISNUMBER(SEARCH("Party Name-",'R.M Billets Reports'!D2099)),TRIM(MID('R.M Billets Reports'!D2099,SEARCH("-",'R.M Billets Reports'!D2099)+1,200)),""))&lt;&gt;"",IF(ISNUMBER(SEARCH("Party Name:-",'R.M Billets Reports'!D2099)),TRIM('R.M Billets Reports'!F2099),IF(ISNUMBER(SEARCH("Party Name-",'R.M Billets Reports'!D2099)),TRIM(MID('R.M Billets Reports'!D2099,SEARCH("-",'R.M Billets Reports'!D2099)+1,200)),"")),IF(ISNUMBER(SEARCH("Party Name:-",'R.M Billets Reports'!D2100)),TRIM('R.M Billets Reports'!F2100),IF(ISNUMBER(SEARCH("Party Name-",'R.M Billets Reports'!D2100)),TRIM(MID('R.M Billets Reports'!D2100,SEARCH("-",'R.M Billets Reports'!D2100)+1,200)),"")))="VRKP ISPAT PVT LTD","VRKP",IF(IF(IF(ISNUMBER(SEARCH("Party Name:-",'R.M Billets Reports'!D2099)),TRIM('R.M Billets Reports'!F2099),IF(ISNUMBER(SEARCH("Party Name-",'R.M Billets Reports'!D2099)),TRIM(MID('R.M Billets Reports'!D2099,SEARCH("-",'R.M Billets Reports'!D2099)+1,200)),""))&lt;&gt;"",IF(ISNUMBER(SEARCH("Party Name:-",'R.M Billets Reports'!D2099)),TRIM('R.M Billets Reports'!F2099),IF(ISNUMBER(SEARCH("Party Name-",'R.M Billets Reports'!D2099)),TRIM(MID('R.M Billets Reports'!D2099,SEARCH("-",'R.M Billets Reports'!D2099)+1,200)),"")),IF(ISNUMBER(SEARCH("Party Name:-",'R.M Billets Reports'!D2100)),TRIM('R.M Billets Reports'!F2100),IF(ISNUMBER(SEARCH("Party Name-",'R.M Billets Reports'!D2100)),TRIM(MID('R.M Billets Reports'!D2100,SEARCH("-",'R.M Billets Reports'!D2100)+1,200)),"")))="SHRI RADHE","SHREE RADHE",IF(IF(IF(ISNUMBER(SEARCH("Party Name:-",'R.M Billets Reports'!D2099)),TRIM('R.M Billets Reports'!F2099),IF(ISNUMBER(SEARCH("Party Name-",'R.M Billets Reports'!D2099)),TRIM(MID('R.M Billets Reports'!D2099,SEARCH("-",'R.M Billets Reports'!D2099)+1,200)),""))&lt;&gt;"",IF(ISNUMBER(SEARCH("Party Name:-",'R.M Billets Reports'!D2099)),TRIM('R.M Billets Reports'!F2099),IF(ISNUMBER(SEARCH("Party Name-",'R.M Billets Reports'!D2099)),TRIM(MID('R.M Billets Reports'!D2099,SEARCH("-",'R.M Billets Reports'!D2099)+1,200)),"")),IF(ISNUMBER(SEARCH("Party Name:-",'R.M Billets Reports'!D2100)),TRIM('R.M Billets Reports'!F2100),IF(ISNUMBER(SEARCH("Party Name-",'R.M Billets Reports'!D2100)),TRIM(MID('R.M Billets Reports'!D2100,SEARCH("-",'R.M Billets Reports'!D2100)+1,200)),"")))="SHREE RADHE SHAKTI SPONGE AND POWER PVT. LTD.","SHREE RADHE",IF(IF(ISNUMBER(SEARCH("Party Name:-",'R.M Billets Reports'!D2099)),TRIM('R.M Billets Reports'!F2099),IF(ISNUMBER(SEARCH("Party Name-",'R.M Billets Reports'!D2099)),TRIM(MID('R.M Billets Reports'!D2099,SEARCH("-",'R.M Billets Reports'!D2099)+1,200)),""))&lt;&gt;"",IF(ISNUMBER(SEARCH("Party Name:-",'R.M Billets Reports'!D2099)),TRIM('R.M Billets Reports'!F2099),IF(ISNUMBER(SEARCH("Party Name-",'R.M Billets Reports'!D2099)),TRIM(MID('R.M Billets Reports'!D2099,SEARCH("-",'R.M Billets Reports'!D2099)+1,200)),"")),IF(ISNUMBER(SEARCH("Party Name:-",'R.M Billets Reports'!D2100)),TRIM('R.M Billets Reports'!F2100),IF(ISNUMBER(SEARCH("Party Name-",'R.M Billets Reports'!D2100)),TRIM(MID('R.M Billets Reports'!D2100,SEARCH("-",'R.M Billets Reports'!D2100)+1,200)),"")))))),IF(ROW()=2,"",A2099))</f>
      </c>
      <c r="B2100">
        <f>IF(OR('R.M Billets Reports'!A2099="Date-",'R.M Billets Reports'!A2099="Date:-"),'R.M Billets Reports'!B2099,IF(ROW()=2,"",B2099))</f>
      </c>
      <c r="C2100">
        <f>IF('R.M Billets Reports'!A2099="V.No.",'R.M Billets Reports'!B2099,IF(ROW()=2,"",C2099))</f>
      </c>
      <c r="D2100">
        <f>IF('R.M Billets Reports'!A2099&lt;&gt;"",'R.M Billets Reports'!A2099,IF(ROW()=2,"",D2099))</f>
      </c>
      <c r="E2100">
        <f>IF('R.M Billets Reports'!B2099="","",TRIM('R.M Billets Reports'!B2099))</f>
      </c>
      <c r="F2100">
        <f>'R.M Billets Reports'!C2099</f>
      </c>
      <c r="G2100">
        <f>'R.M Billets Reports'!D2099</f>
      </c>
      <c r="H2100">
        <f>'R.M Billets Reports'!E2099</f>
      </c>
      <c r="I2100">
        <f>'R.M Billets Reports'!F2099</f>
      </c>
      <c r="J2100">
        <f>'R.M Billets Reports'!G2099</f>
      </c>
      <c r="K2100">
        <f>'R.M Billets Reports'!H2099</f>
      </c>
      <c r="L2100">
        <f>IF('R.M Billets Reports'!I2099="","",'R.M Billets Reports'!I2099)</f>
      </c>
      <c r="M2100">
        <f t="shared" si="64"/>
      </c>
      <c r="N2100">
        <f>IF('R.M Billets Reports'!J2099="","",'R.M Billets Reports'!J2099)</f>
      </c>
      <c r="O2100">
        <f t="shared" si="65"/>
      </c>
      <c r="P2100">
        <f>IF('R.M Billets Reports'!A2099="SIZE",'R.M Billets Reports'!B2099,P2099)</f>
      </c>
    </row>
    <row r="2101" spans="1:16" x14ac:dyDescent="0.25">
      <c r="A2101">
        <f>IF(OR('R.M Billets Reports'!A2100="Date-",'R.M Billets Reports'!A2100="Date:-"),IF(IF(IF(ISNUMBER(SEARCH("Party Name:-",'R.M Billets Reports'!D2100)),TRIM('R.M Billets Reports'!F2100),IF(ISNUMBER(SEARCH("Party Name-",'R.M Billets Reports'!D2100)),TRIM(MID('R.M Billets Reports'!D2100,SEARCH("-",'R.M Billets Reports'!D2100)+1,200)),""))&lt;&gt;"",IF(ISNUMBER(SEARCH("Party Name:-",'R.M Billets Reports'!D2100)),TRIM('R.M Billets Reports'!F2100),IF(ISNUMBER(SEARCH("Party Name-",'R.M Billets Reports'!D2100)),TRIM(MID('R.M Billets Reports'!D2100,SEARCH("-",'R.M Billets Reports'!D2100)+1,200)),"")),IF(ISNUMBER(SEARCH("Party Name:-",'R.M Billets Reports'!D2101)),TRIM('R.M Billets Reports'!F2101),IF(ISNUMBER(SEARCH("Party Name-",'R.M Billets Reports'!D2101)),TRIM(MID('R.M Billets Reports'!D2101,SEARCH("-",'R.M Billets Reports'!D2101)+1,200)),"")))="VRKP ISPAT PVT LTD","VRKP",IF(IF(IF(ISNUMBER(SEARCH("Party Name:-",'R.M Billets Reports'!D2100)),TRIM('R.M Billets Reports'!F2100),IF(ISNUMBER(SEARCH("Party Name-",'R.M Billets Reports'!D2100)),TRIM(MID('R.M Billets Reports'!D2100,SEARCH("-",'R.M Billets Reports'!D2100)+1,200)),""))&lt;&gt;"",IF(ISNUMBER(SEARCH("Party Name:-",'R.M Billets Reports'!D2100)),TRIM('R.M Billets Reports'!F2100),IF(ISNUMBER(SEARCH("Party Name-",'R.M Billets Reports'!D2100)),TRIM(MID('R.M Billets Reports'!D2100,SEARCH("-",'R.M Billets Reports'!D2100)+1,200)),"")),IF(ISNUMBER(SEARCH("Party Name:-",'R.M Billets Reports'!D2101)),TRIM('R.M Billets Reports'!F2101),IF(ISNUMBER(SEARCH("Party Name-",'R.M Billets Reports'!D2101)),TRIM(MID('R.M Billets Reports'!D2101,SEARCH("-",'R.M Billets Reports'!D2101)+1,200)),"")))="SHRI RADHE","SHREE RADHE",IF(IF(IF(ISNUMBER(SEARCH("Party Name:-",'R.M Billets Reports'!D2100)),TRIM('R.M Billets Reports'!F2100),IF(ISNUMBER(SEARCH("Party Name-",'R.M Billets Reports'!D2100)),TRIM(MID('R.M Billets Reports'!D2100,SEARCH("-",'R.M Billets Reports'!D2100)+1,200)),""))&lt;&gt;"",IF(ISNUMBER(SEARCH("Party Name:-",'R.M Billets Reports'!D2100)),TRIM('R.M Billets Reports'!F2100),IF(ISNUMBER(SEARCH("Party Name-",'R.M Billets Reports'!D2100)),TRIM(MID('R.M Billets Reports'!D2100,SEARCH("-",'R.M Billets Reports'!D2100)+1,200)),"")),IF(ISNUMBER(SEARCH("Party Name:-",'R.M Billets Reports'!D2101)),TRIM('R.M Billets Reports'!F2101),IF(ISNUMBER(SEARCH("Party Name-",'R.M Billets Reports'!D2101)),TRIM(MID('R.M Billets Reports'!D2101,SEARCH("-",'R.M Billets Reports'!D2101)+1,200)),"")))="SHREE RADHE SHAKTI SPONGE AND POWER PVT. LTD.","SHREE RADHE",IF(IF(ISNUMBER(SEARCH("Party Name:-",'R.M Billets Reports'!D2100)),TRIM('R.M Billets Reports'!F2100),IF(ISNUMBER(SEARCH("Party Name-",'R.M Billets Reports'!D2100)),TRIM(MID('R.M Billets Reports'!D2100,SEARCH("-",'R.M Billets Reports'!D2100)+1,200)),""))&lt;&gt;"",IF(ISNUMBER(SEARCH("Party Name:-",'R.M Billets Reports'!D2100)),TRIM('R.M Billets Reports'!F2100),IF(ISNUMBER(SEARCH("Party Name-",'R.M Billets Reports'!D2100)),TRIM(MID('R.M Billets Reports'!D2100,SEARCH("-",'R.M Billets Reports'!D2100)+1,200)),"")),IF(ISNUMBER(SEARCH("Party Name:-",'R.M Billets Reports'!D2101)),TRIM('R.M Billets Reports'!F2101),IF(ISNUMBER(SEARCH("Party Name-",'R.M Billets Reports'!D2101)),TRIM(MID('R.M Billets Reports'!D2101,SEARCH("-",'R.M Billets Reports'!D2101)+1,200)),"")))))),IF(ROW()=2,"",A2100))</f>
      </c>
      <c r="B2101">
        <f>IF(OR('R.M Billets Reports'!A2100="Date-",'R.M Billets Reports'!A2100="Date:-"),'R.M Billets Reports'!B2100,IF(ROW()=2,"",B2100))</f>
      </c>
      <c r="C2101">
        <f>IF('R.M Billets Reports'!A2100="V.No.",'R.M Billets Reports'!B2100,IF(ROW()=2,"",C2100))</f>
      </c>
      <c r="D2101">
        <f>IF('R.M Billets Reports'!A2100&lt;&gt;"",'R.M Billets Reports'!A2100,IF(ROW()=2,"",D2100))</f>
      </c>
      <c r="E2101">
        <f>IF('R.M Billets Reports'!B2100="","",TRIM('R.M Billets Reports'!B2100))</f>
      </c>
      <c r="F2101">
        <f>'R.M Billets Reports'!C2100</f>
      </c>
      <c r="G2101">
        <f>'R.M Billets Reports'!D2100</f>
      </c>
      <c r="H2101">
        <f>'R.M Billets Reports'!E2100</f>
      </c>
      <c r="I2101">
        <f>'R.M Billets Reports'!F2100</f>
      </c>
      <c r="J2101">
        <f>'R.M Billets Reports'!G2100</f>
      </c>
      <c r="K2101">
        <f>'R.M Billets Reports'!H2100</f>
      </c>
      <c r="L2101">
        <f>IF('R.M Billets Reports'!I2100="","",'R.M Billets Reports'!I2100)</f>
      </c>
      <c r="M2101">
        <f t="shared" si="64"/>
      </c>
      <c r="N2101">
        <f>IF('R.M Billets Reports'!J2100="","",'R.M Billets Reports'!J2100)</f>
      </c>
      <c r="O2101">
        <f t="shared" si="65"/>
      </c>
      <c r="P2101">
        <f>IF('R.M Billets Reports'!A2100="SIZE",'R.M Billets Reports'!B2100,P2100)</f>
      </c>
    </row>
    <row r="2102" spans="1:16" x14ac:dyDescent="0.25">
      <c r="A2102">
        <f>IF(OR('R.M Billets Reports'!A2101="Date-",'R.M Billets Reports'!A2101="Date:-"),IF(IF(IF(ISNUMBER(SEARCH("Party Name:-",'R.M Billets Reports'!D2101)),TRIM('R.M Billets Reports'!F2101),IF(ISNUMBER(SEARCH("Party Name-",'R.M Billets Reports'!D2101)),TRIM(MID('R.M Billets Reports'!D2101,SEARCH("-",'R.M Billets Reports'!D2101)+1,200)),""))&lt;&gt;"",IF(ISNUMBER(SEARCH("Party Name:-",'R.M Billets Reports'!D2101)),TRIM('R.M Billets Reports'!F2101),IF(ISNUMBER(SEARCH("Party Name-",'R.M Billets Reports'!D2101)),TRIM(MID('R.M Billets Reports'!D2101,SEARCH("-",'R.M Billets Reports'!D2101)+1,200)),"")),IF(ISNUMBER(SEARCH("Party Name:-",'R.M Billets Reports'!D2102)),TRIM('R.M Billets Reports'!F2102),IF(ISNUMBER(SEARCH("Party Name-",'R.M Billets Reports'!D2102)),TRIM(MID('R.M Billets Reports'!D2102,SEARCH("-",'R.M Billets Reports'!D2102)+1,200)),"")))="VRKP ISPAT PVT LTD","VRKP",IF(IF(IF(ISNUMBER(SEARCH("Party Name:-",'R.M Billets Reports'!D2101)),TRIM('R.M Billets Reports'!F2101),IF(ISNUMBER(SEARCH("Party Name-",'R.M Billets Reports'!D2101)),TRIM(MID('R.M Billets Reports'!D2101,SEARCH("-",'R.M Billets Reports'!D2101)+1,200)),""))&lt;&gt;"",IF(ISNUMBER(SEARCH("Party Name:-",'R.M Billets Reports'!D2101)),TRIM('R.M Billets Reports'!F2101),IF(ISNUMBER(SEARCH("Party Name-",'R.M Billets Reports'!D2101)),TRIM(MID('R.M Billets Reports'!D2101,SEARCH("-",'R.M Billets Reports'!D2101)+1,200)),"")),IF(ISNUMBER(SEARCH("Party Name:-",'R.M Billets Reports'!D2102)),TRIM('R.M Billets Reports'!F2102),IF(ISNUMBER(SEARCH("Party Name-",'R.M Billets Reports'!D2102)),TRIM(MID('R.M Billets Reports'!D2102,SEARCH("-",'R.M Billets Reports'!D2102)+1,200)),"")))="SHRI RADHE","SHREE RADHE",IF(IF(IF(ISNUMBER(SEARCH("Party Name:-",'R.M Billets Reports'!D2101)),TRIM('R.M Billets Reports'!F2101),IF(ISNUMBER(SEARCH("Party Name-",'R.M Billets Reports'!D2101)),TRIM(MID('R.M Billets Reports'!D2101,SEARCH("-",'R.M Billets Reports'!D2101)+1,200)),""))&lt;&gt;"",IF(ISNUMBER(SEARCH("Party Name:-",'R.M Billets Reports'!D2101)),TRIM('R.M Billets Reports'!F2101),IF(ISNUMBER(SEARCH("Party Name-",'R.M Billets Reports'!D2101)),TRIM(MID('R.M Billets Reports'!D2101,SEARCH("-",'R.M Billets Reports'!D2101)+1,200)),"")),IF(ISNUMBER(SEARCH("Party Name:-",'R.M Billets Reports'!D2102)),TRIM('R.M Billets Reports'!F2102),IF(ISNUMBER(SEARCH("Party Name-",'R.M Billets Reports'!D2102)),TRIM(MID('R.M Billets Reports'!D2102,SEARCH("-",'R.M Billets Reports'!D2102)+1,200)),"")))="SHREE RADHE SHAKTI SPONGE AND POWER PVT. LTD.","SHREE RADHE",IF(IF(ISNUMBER(SEARCH("Party Name:-",'R.M Billets Reports'!D2101)),TRIM('R.M Billets Reports'!F2101),IF(ISNUMBER(SEARCH("Party Name-",'R.M Billets Reports'!D2101)),TRIM(MID('R.M Billets Reports'!D2101,SEARCH("-",'R.M Billets Reports'!D2101)+1,200)),""))&lt;&gt;"",IF(ISNUMBER(SEARCH("Party Name:-",'R.M Billets Reports'!D2101)),TRIM('R.M Billets Reports'!F2101),IF(ISNUMBER(SEARCH("Party Name-",'R.M Billets Reports'!D2101)),TRIM(MID('R.M Billets Reports'!D2101,SEARCH("-",'R.M Billets Reports'!D2101)+1,200)),"")),IF(ISNUMBER(SEARCH("Party Name:-",'R.M Billets Reports'!D2102)),TRIM('R.M Billets Reports'!F2102),IF(ISNUMBER(SEARCH("Party Name-",'R.M Billets Reports'!D2102)),TRIM(MID('R.M Billets Reports'!D2102,SEARCH("-",'R.M Billets Reports'!D2102)+1,200)),"")))))),IF(ROW()=2,"",A2101))</f>
      </c>
      <c r="B2102">
        <f>IF(OR('R.M Billets Reports'!A2101="Date-",'R.M Billets Reports'!A2101="Date:-"),'R.M Billets Reports'!B2101,IF(ROW()=2,"",B2101))</f>
      </c>
      <c r="C2102">
        <f>IF('R.M Billets Reports'!A2101="V.No.",'R.M Billets Reports'!B2101,IF(ROW()=2,"",C2101))</f>
      </c>
      <c r="D2102">
        <f>IF('R.M Billets Reports'!A2101&lt;&gt;"",'R.M Billets Reports'!A2101,IF(ROW()=2,"",D2101))</f>
      </c>
      <c r="E2102">
        <f>IF('R.M Billets Reports'!B2101="","",TRIM('R.M Billets Reports'!B2101))</f>
      </c>
      <c r="F2102">
        <f>'R.M Billets Reports'!C2101</f>
      </c>
      <c r="G2102">
        <f>'R.M Billets Reports'!D2101</f>
      </c>
      <c r="H2102">
        <f>'R.M Billets Reports'!E2101</f>
      </c>
      <c r="I2102">
        <f>'R.M Billets Reports'!F2101</f>
      </c>
      <c r="J2102">
        <f>'R.M Billets Reports'!G2101</f>
      </c>
      <c r="K2102">
        <f>'R.M Billets Reports'!H2101</f>
      </c>
      <c r="L2102">
        <f>IF('R.M Billets Reports'!I2101="","",'R.M Billets Reports'!I2101)</f>
      </c>
      <c r="M2102">
        <f t="shared" si="64"/>
      </c>
      <c r="N2102">
        <f>IF('R.M Billets Reports'!J2101="","",'R.M Billets Reports'!J2101)</f>
      </c>
      <c r="O2102">
        <f t="shared" si="65"/>
      </c>
      <c r="P2102">
        <f>IF('R.M Billets Reports'!A2101="SIZE",'R.M Billets Reports'!B2101,P2101)</f>
      </c>
    </row>
    <row r="2103" spans="1:16" x14ac:dyDescent="0.25">
      <c r="A2103">
        <f>IF(OR('R.M Billets Reports'!A2102="Date-",'R.M Billets Reports'!A2102="Date:-"),IF(IF(IF(ISNUMBER(SEARCH("Party Name:-",'R.M Billets Reports'!D2102)),TRIM('R.M Billets Reports'!F2102),IF(ISNUMBER(SEARCH("Party Name-",'R.M Billets Reports'!D2102)),TRIM(MID('R.M Billets Reports'!D2102,SEARCH("-",'R.M Billets Reports'!D2102)+1,200)),""))&lt;&gt;"",IF(ISNUMBER(SEARCH("Party Name:-",'R.M Billets Reports'!D2102)),TRIM('R.M Billets Reports'!F2102),IF(ISNUMBER(SEARCH("Party Name-",'R.M Billets Reports'!D2102)),TRIM(MID('R.M Billets Reports'!D2102,SEARCH("-",'R.M Billets Reports'!D2102)+1,200)),"")),IF(ISNUMBER(SEARCH("Party Name:-",'R.M Billets Reports'!D2103)),TRIM('R.M Billets Reports'!F2103),IF(ISNUMBER(SEARCH("Party Name-",'R.M Billets Reports'!D2103)),TRIM(MID('R.M Billets Reports'!D2103,SEARCH("-",'R.M Billets Reports'!D2103)+1,200)),"")))="VRKP ISPAT PVT LTD","VRKP",IF(IF(IF(ISNUMBER(SEARCH("Party Name:-",'R.M Billets Reports'!D2102)),TRIM('R.M Billets Reports'!F2102),IF(ISNUMBER(SEARCH("Party Name-",'R.M Billets Reports'!D2102)),TRIM(MID('R.M Billets Reports'!D2102,SEARCH("-",'R.M Billets Reports'!D2102)+1,200)),""))&lt;&gt;"",IF(ISNUMBER(SEARCH("Party Name:-",'R.M Billets Reports'!D2102)),TRIM('R.M Billets Reports'!F2102),IF(ISNUMBER(SEARCH("Party Name-",'R.M Billets Reports'!D2102)),TRIM(MID('R.M Billets Reports'!D2102,SEARCH("-",'R.M Billets Reports'!D2102)+1,200)),"")),IF(ISNUMBER(SEARCH("Party Name:-",'R.M Billets Reports'!D2103)),TRIM('R.M Billets Reports'!F2103),IF(ISNUMBER(SEARCH("Party Name-",'R.M Billets Reports'!D2103)),TRIM(MID('R.M Billets Reports'!D2103,SEARCH("-",'R.M Billets Reports'!D2103)+1,200)),"")))="SHRI RADHE","SHREE RADHE",IF(IF(IF(ISNUMBER(SEARCH("Party Name:-",'R.M Billets Reports'!D2102)),TRIM('R.M Billets Reports'!F2102),IF(ISNUMBER(SEARCH("Party Name-",'R.M Billets Reports'!D2102)),TRIM(MID('R.M Billets Reports'!D2102,SEARCH("-",'R.M Billets Reports'!D2102)+1,200)),""))&lt;&gt;"",IF(ISNUMBER(SEARCH("Party Name:-",'R.M Billets Reports'!D2102)),TRIM('R.M Billets Reports'!F2102),IF(ISNUMBER(SEARCH("Party Name-",'R.M Billets Reports'!D2102)),TRIM(MID('R.M Billets Reports'!D2102,SEARCH("-",'R.M Billets Reports'!D2102)+1,200)),"")),IF(ISNUMBER(SEARCH("Party Name:-",'R.M Billets Reports'!D2103)),TRIM('R.M Billets Reports'!F2103),IF(ISNUMBER(SEARCH("Party Name-",'R.M Billets Reports'!D2103)),TRIM(MID('R.M Billets Reports'!D2103,SEARCH("-",'R.M Billets Reports'!D2103)+1,200)),"")))="SHREE RADHE SHAKTI SPONGE AND POWER PVT. LTD.","SHREE RADHE",IF(IF(ISNUMBER(SEARCH("Party Name:-",'R.M Billets Reports'!D2102)),TRIM('R.M Billets Reports'!F2102),IF(ISNUMBER(SEARCH("Party Name-",'R.M Billets Reports'!D2102)),TRIM(MID('R.M Billets Reports'!D2102,SEARCH("-",'R.M Billets Reports'!D2102)+1,200)),""))&lt;&gt;"",IF(ISNUMBER(SEARCH("Party Name:-",'R.M Billets Reports'!D2102)),TRIM('R.M Billets Reports'!F2102),IF(ISNUMBER(SEARCH("Party Name-",'R.M Billets Reports'!D2102)),TRIM(MID('R.M Billets Reports'!D2102,SEARCH("-",'R.M Billets Reports'!D2102)+1,200)),"")),IF(ISNUMBER(SEARCH("Party Name:-",'R.M Billets Reports'!D2103)),TRIM('R.M Billets Reports'!F2103),IF(ISNUMBER(SEARCH("Party Name-",'R.M Billets Reports'!D2103)),TRIM(MID('R.M Billets Reports'!D2103,SEARCH("-",'R.M Billets Reports'!D2103)+1,200)),"")))))),IF(ROW()=2,"",A2102))</f>
      </c>
      <c r="B2103">
        <f>IF(OR('R.M Billets Reports'!A2102="Date-",'R.M Billets Reports'!A2102="Date:-"),'R.M Billets Reports'!B2102,IF(ROW()=2,"",B2102))</f>
      </c>
      <c r="C2103">
        <f>IF('R.M Billets Reports'!A2102="V.No.",'R.M Billets Reports'!B2102,IF(ROW()=2,"",C2102))</f>
      </c>
      <c r="D2103">
        <f>IF('R.M Billets Reports'!A2102&lt;&gt;"",'R.M Billets Reports'!A2102,IF(ROW()=2,"",D2102))</f>
      </c>
      <c r="E2103">
        <f>IF('R.M Billets Reports'!B2102="","",TRIM('R.M Billets Reports'!B2102))</f>
      </c>
      <c r="F2103">
        <f>'R.M Billets Reports'!C2102</f>
      </c>
      <c r="G2103">
        <f>'R.M Billets Reports'!D2102</f>
      </c>
      <c r="H2103">
        <f>'R.M Billets Reports'!E2102</f>
      </c>
      <c r="I2103">
        <f>'R.M Billets Reports'!F2102</f>
      </c>
      <c r="J2103">
        <f>'R.M Billets Reports'!G2102</f>
      </c>
      <c r="K2103">
        <f>'R.M Billets Reports'!H2102</f>
      </c>
      <c r="L2103">
        <f>IF('R.M Billets Reports'!I2102="","",'R.M Billets Reports'!I2102)</f>
      </c>
      <c r="M2103">
        <f t="shared" si="64"/>
      </c>
      <c r="N2103">
        <f>IF('R.M Billets Reports'!J2102="","",'R.M Billets Reports'!J2102)</f>
      </c>
      <c r="O2103">
        <f t="shared" si="65"/>
      </c>
      <c r="P2103">
        <f>IF('R.M Billets Reports'!A2102="SIZE",'R.M Billets Reports'!B2102,P2102)</f>
      </c>
    </row>
    <row r="2104" spans="1:16" x14ac:dyDescent="0.25">
      <c r="A2104">
        <f>IF(OR('R.M Billets Reports'!A2103="Date-",'R.M Billets Reports'!A2103="Date:-"),IF(IF(IF(ISNUMBER(SEARCH("Party Name:-",'R.M Billets Reports'!D2103)),TRIM('R.M Billets Reports'!F2103),IF(ISNUMBER(SEARCH("Party Name-",'R.M Billets Reports'!D2103)),TRIM(MID('R.M Billets Reports'!D2103,SEARCH("-",'R.M Billets Reports'!D2103)+1,200)),""))&lt;&gt;"",IF(ISNUMBER(SEARCH("Party Name:-",'R.M Billets Reports'!D2103)),TRIM('R.M Billets Reports'!F2103),IF(ISNUMBER(SEARCH("Party Name-",'R.M Billets Reports'!D2103)),TRIM(MID('R.M Billets Reports'!D2103,SEARCH("-",'R.M Billets Reports'!D2103)+1,200)),"")),IF(ISNUMBER(SEARCH("Party Name:-",'R.M Billets Reports'!D2104)),TRIM('R.M Billets Reports'!F2104),IF(ISNUMBER(SEARCH("Party Name-",'R.M Billets Reports'!D2104)),TRIM(MID('R.M Billets Reports'!D2104,SEARCH("-",'R.M Billets Reports'!D2104)+1,200)),"")))="VRKP ISPAT PVT LTD","VRKP",IF(IF(IF(ISNUMBER(SEARCH("Party Name:-",'R.M Billets Reports'!D2103)),TRIM('R.M Billets Reports'!F2103),IF(ISNUMBER(SEARCH("Party Name-",'R.M Billets Reports'!D2103)),TRIM(MID('R.M Billets Reports'!D2103,SEARCH("-",'R.M Billets Reports'!D2103)+1,200)),""))&lt;&gt;"",IF(ISNUMBER(SEARCH("Party Name:-",'R.M Billets Reports'!D2103)),TRIM('R.M Billets Reports'!F2103),IF(ISNUMBER(SEARCH("Party Name-",'R.M Billets Reports'!D2103)),TRIM(MID('R.M Billets Reports'!D2103,SEARCH("-",'R.M Billets Reports'!D2103)+1,200)),"")),IF(ISNUMBER(SEARCH("Party Name:-",'R.M Billets Reports'!D2104)),TRIM('R.M Billets Reports'!F2104),IF(ISNUMBER(SEARCH("Party Name-",'R.M Billets Reports'!D2104)),TRIM(MID('R.M Billets Reports'!D2104,SEARCH("-",'R.M Billets Reports'!D2104)+1,200)),"")))="SHRI RADHE","SHREE RADHE",IF(IF(IF(ISNUMBER(SEARCH("Party Name:-",'R.M Billets Reports'!D2103)),TRIM('R.M Billets Reports'!F2103),IF(ISNUMBER(SEARCH("Party Name-",'R.M Billets Reports'!D2103)),TRIM(MID('R.M Billets Reports'!D2103,SEARCH("-",'R.M Billets Reports'!D2103)+1,200)),""))&lt;&gt;"",IF(ISNUMBER(SEARCH("Party Name:-",'R.M Billets Reports'!D2103)),TRIM('R.M Billets Reports'!F2103),IF(ISNUMBER(SEARCH("Party Name-",'R.M Billets Reports'!D2103)),TRIM(MID('R.M Billets Reports'!D2103,SEARCH("-",'R.M Billets Reports'!D2103)+1,200)),"")),IF(ISNUMBER(SEARCH("Party Name:-",'R.M Billets Reports'!D2104)),TRIM('R.M Billets Reports'!F2104),IF(ISNUMBER(SEARCH("Party Name-",'R.M Billets Reports'!D2104)),TRIM(MID('R.M Billets Reports'!D2104,SEARCH("-",'R.M Billets Reports'!D2104)+1,200)),"")))="SHREE RADHE SHAKTI SPONGE AND POWER PVT. LTD.","SHREE RADHE",IF(IF(ISNUMBER(SEARCH("Party Name:-",'R.M Billets Reports'!D2103)),TRIM('R.M Billets Reports'!F2103),IF(ISNUMBER(SEARCH("Party Name-",'R.M Billets Reports'!D2103)),TRIM(MID('R.M Billets Reports'!D2103,SEARCH("-",'R.M Billets Reports'!D2103)+1,200)),""))&lt;&gt;"",IF(ISNUMBER(SEARCH("Party Name:-",'R.M Billets Reports'!D2103)),TRIM('R.M Billets Reports'!F2103),IF(ISNUMBER(SEARCH("Party Name-",'R.M Billets Reports'!D2103)),TRIM(MID('R.M Billets Reports'!D2103,SEARCH("-",'R.M Billets Reports'!D2103)+1,200)),"")),IF(ISNUMBER(SEARCH("Party Name:-",'R.M Billets Reports'!D2104)),TRIM('R.M Billets Reports'!F2104),IF(ISNUMBER(SEARCH("Party Name-",'R.M Billets Reports'!D2104)),TRIM(MID('R.M Billets Reports'!D2104,SEARCH("-",'R.M Billets Reports'!D2104)+1,200)),"")))))),IF(ROW()=2,"",A2103))</f>
      </c>
      <c r="B2104">
        <f>IF(OR('R.M Billets Reports'!A2103="Date-",'R.M Billets Reports'!A2103="Date:-"),'R.M Billets Reports'!B2103,IF(ROW()=2,"",B2103))</f>
      </c>
      <c r="C2104">
        <f>IF('R.M Billets Reports'!A2103="V.No.",'R.M Billets Reports'!B2103,IF(ROW()=2,"",C2103))</f>
      </c>
      <c r="D2104">
        <f>IF('R.M Billets Reports'!A2103&lt;&gt;"",'R.M Billets Reports'!A2103,IF(ROW()=2,"",D2103))</f>
      </c>
      <c r="E2104">
        <f>IF('R.M Billets Reports'!B2103="","",TRIM('R.M Billets Reports'!B2103))</f>
      </c>
      <c r="F2104">
        <f>'R.M Billets Reports'!C2103</f>
      </c>
      <c r="G2104">
        <f>'R.M Billets Reports'!D2103</f>
      </c>
      <c r="H2104">
        <f>'R.M Billets Reports'!E2103</f>
      </c>
      <c r="I2104">
        <f>'R.M Billets Reports'!F2103</f>
      </c>
      <c r="J2104">
        <f>'R.M Billets Reports'!G2103</f>
      </c>
      <c r="K2104">
        <f>'R.M Billets Reports'!H2103</f>
      </c>
      <c r="L2104">
        <f>IF('R.M Billets Reports'!I2103="","",'R.M Billets Reports'!I2103)</f>
      </c>
      <c r="M2104">
        <f t="shared" si="64"/>
      </c>
      <c r="N2104">
        <f>IF('R.M Billets Reports'!J2103="","",'R.M Billets Reports'!J2103)</f>
      </c>
      <c r="O2104">
        <f t="shared" si="65"/>
      </c>
      <c r="P2104">
        <f>IF('R.M Billets Reports'!A2103="SIZE",'R.M Billets Reports'!B2103,P2103)</f>
      </c>
    </row>
    <row r="2105" spans="1:16" x14ac:dyDescent="0.25">
      <c r="A2105">
        <f>IF(OR('R.M Billets Reports'!A2104="Date-",'R.M Billets Reports'!A2104="Date:-"),IF(IF(IF(ISNUMBER(SEARCH("Party Name:-",'R.M Billets Reports'!D2104)),TRIM('R.M Billets Reports'!F2104),IF(ISNUMBER(SEARCH("Party Name-",'R.M Billets Reports'!D2104)),TRIM(MID('R.M Billets Reports'!D2104,SEARCH("-",'R.M Billets Reports'!D2104)+1,200)),""))&lt;&gt;"",IF(ISNUMBER(SEARCH("Party Name:-",'R.M Billets Reports'!D2104)),TRIM('R.M Billets Reports'!F2104),IF(ISNUMBER(SEARCH("Party Name-",'R.M Billets Reports'!D2104)),TRIM(MID('R.M Billets Reports'!D2104,SEARCH("-",'R.M Billets Reports'!D2104)+1,200)),"")),IF(ISNUMBER(SEARCH("Party Name:-",'R.M Billets Reports'!D2105)),TRIM('R.M Billets Reports'!F2105),IF(ISNUMBER(SEARCH("Party Name-",'R.M Billets Reports'!D2105)),TRIM(MID('R.M Billets Reports'!D2105,SEARCH("-",'R.M Billets Reports'!D2105)+1,200)),"")))="VRKP ISPAT PVT LTD","VRKP",IF(IF(IF(ISNUMBER(SEARCH("Party Name:-",'R.M Billets Reports'!D2104)),TRIM('R.M Billets Reports'!F2104),IF(ISNUMBER(SEARCH("Party Name-",'R.M Billets Reports'!D2104)),TRIM(MID('R.M Billets Reports'!D2104,SEARCH("-",'R.M Billets Reports'!D2104)+1,200)),""))&lt;&gt;"",IF(ISNUMBER(SEARCH("Party Name:-",'R.M Billets Reports'!D2104)),TRIM('R.M Billets Reports'!F2104),IF(ISNUMBER(SEARCH("Party Name-",'R.M Billets Reports'!D2104)),TRIM(MID('R.M Billets Reports'!D2104,SEARCH("-",'R.M Billets Reports'!D2104)+1,200)),"")),IF(ISNUMBER(SEARCH("Party Name:-",'R.M Billets Reports'!D2105)),TRIM('R.M Billets Reports'!F2105),IF(ISNUMBER(SEARCH("Party Name-",'R.M Billets Reports'!D2105)),TRIM(MID('R.M Billets Reports'!D2105,SEARCH("-",'R.M Billets Reports'!D2105)+1,200)),"")))="SHRI RADHE","SHREE RADHE",IF(IF(IF(ISNUMBER(SEARCH("Party Name:-",'R.M Billets Reports'!D2104)),TRIM('R.M Billets Reports'!F2104),IF(ISNUMBER(SEARCH("Party Name-",'R.M Billets Reports'!D2104)),TRIM(MID('R.M Billets Reports'!D2104,SEARCH("-",'R.M Billets Reports'!D2104)+1,200)),""))&lt;&gt;"",IF(ISNUMBER(SEARCH("Party Name:-",'R.M Billets Reports'!D2104)),TRIM('R.M Billets Reports'!F2104),IF(ISNUMBER(SEARCH("Party Name-",'R.M Billets Reports'!D2104)),TRIM(MID('R.M Billets Reports'!D2104,SEARCH("-",'R.M Billets Reports'!D2104)+1,200)),"")),IF(ISNUMBER(SEARCH("Party Name:-",'R.M Billets Reports'!D2105)),TRIM('R.M Billets Reports'!F2105),IF(ISNUMBER(SEARCH("Party Name-",'R.M Billets Reports'!D2105)),TRIM(MID('R.M Billets Reports'!D2105,SEARCH("-",'R.M Billets Reports'!D2105)+1,200)),"")))="SHREE RADHE SHAKTI SPONGE AND POWER PVT. LTD.","SHREE RADHE",IF(IF(ISNUMBER(SEARCH("Party Name:-",'R.M Billets Reports'!D2104)),TRIM('R.M Billets Reports'!F2104),IF(ISNUMBER(SEARCH("Party Name-",'R.M Billets Reports'!D2104)),TRIM(MID('R.M Billets Reports'!D2104,SEARCH("-",'R.M Billets Reports'!D2104)+1,200)),""))&lt;&gt;"",IF(ISNUMBER(SEARCH("Party Name:-",'R.M Billets Reports'!D2104)),TRIM('R.M Billets Reports'!F2104),IF(ISNUMBER(SEARCH("Party Name-",'R.M Billets Reports'!D2104)),TRIM(MID('R.M Billets Reports'!D2104,SEARCH("-",'R.M Billets Reports'!D2104)+1,200)),"")),IF(ISNUMBER(SEARCH("Party Name:-",'R.M Billets Reports'!D2105)),TRIM('R.M Billets Reports'!F2105),IF(ISNUMBER(SEARCH("Party Name-",'R.M Billets Reports'!D2105)),TRIM(MID('R.M Billets Reports'!D2105,SEARCH("-",'R.M Billets Reports'!D2105)+1,200)),"")))))),IF(ROW()=2,"",A2104))</f>
      </c>
      <c r="B2105">
        <f>IF(OR('R.M Billets Reports'!A2104="Date-",'R.M Billets Reports'!A2104="Date:-"),'R.M Billets Reports'!B2104,IF(ROW()=2,"",B2104))</f>
      </c>
      <c r="C2105">
        <f>IF('R.M Billets Reports'!A2104="V.No.",'R.M Billets Reports'!B2104,IF(ROW()=2,"",C2104))</f>
      </c>
      <c r="D2105">
        <f>IF('R.M Billets Reports'!A2104&lt;&gt;"",'R.M Billets Reports'!A2104,IF(ROW()=2,"",D2104))</f>
      </c>
      <c r="E2105">
        <f>IF('R.M Billets Reports'!B2104="","",TRIM('R.M Billets Reports'!B2104))</f>
      </c>
      <c r="F2105">
        <f>'R.M Billets Reports'!C2104</f>
      </c>
      <c r="G2105">
        <f>'R.M Billets Reports'!D2104</f>
      </c>
      <c r="H2105">
        <f>'R.M Billets Reports'!E2104</f>
      </c>
      <c r="I2105">
        <f>'R.M Billets Reports'!F2104</f>
      </c>
      <c r="J2105">
        <f>'R.M Billets Reports'!G2104</f>
      </c>
      <c r="K2105">
        <f>'R.M Billets Reports'!H2104</f>
      </c>
      <c r="L2105">
        <f>IF('R.M Billets Reports'!I2104="","",'R.M Billets Reports'!I2104)</f>
      </c>
      <c r="M2105">
        <f t="shared" si="64"/>
      </c>
      <c r="N2105">
        <f>IF('R.M Billets Reports'!J2104="","",'R.M Billets Reports'!J2104)</f>
      </c>
      <c r="O2105">
        <f t="shared" si="65"/>
      </c>
      <c r="P2105">
        <f>IF('R.M Billets Reports'!A2104="SIZE",'R.M Billets Reports'!B2104,P2104)</f>
      </c>
    </row>
    <row r="2106" spans="1:16" x14ac:dyDescent="0.25">
      <c r="A2106">
        <f>IF(OR('R.M Billets Reports'!A2105="Date-",'R.M Billets Reports'!A2105="Date:-"),IF(IF(IF(ISNUMBER(SEARCH("Party Name:-",'R.M Billets Reports'!D2105)),TRIM('R.M Billets Reports'!F2105),IF(ISNUMBER(SEARCH("Party Name-",'R.M Billets Reports'!D2105)),TRIM(MID('R.M Billets Reports'!D2105,SEARCH("-",'R.M Billets Reports'!D2105)+1,200)),""))&lt;&gt;"",IF(ISNUMBER(SEARCH("Party Name:-",'R.M Billets Reports'!D2105)),TRIM('R.M Billets Reports'!F2105),IF(ISNUMBER(SEARCH("Party Name-",'R.M Billets Reports'!D2105)),TRIM(MID('R.M Billets Reports'!D2105,SEARCH("-",'R.M Billets Reports'!D2105)+1,200)),"")),IF(ISNUMBER(SEARCH("Party Name:-",'R.M Billets Reports'!D2106)),TRIM('R.M Billets Reports'!F2106),IF(ISNUMBER(SEARCH("Party Name-",'R.M Billets Reports'!D2106)),TRIM(MID('R.M Billets Reports'!D2106,SEARCH("-",'R.M Billets Reports'!D2106)+1,200)),"")))="VRKP ISPAT PVT LTD","VRKP",IF(IF(IF(ISNUMBER(SEARCH("Party Name:-",'R.M Billets Reports'!D2105)),TRIM('R.M Billets Reports'!F2105),IF(ISNUMBER(SEARCH("Party Name-",'R.M Billets Reports'!D2105)),TRIM(MID('R.M Billets Reports'!D2105,SEARCH("-",'R.M Billets Reports'!D2105)+1,200)),""))&lt;&gt;"",IF(ISNUMBER(SEARCH("Party Name:-",'R.M Billets Reports'!D2105)),TRIM('R.M Billets Reports'!F2105),IF(ISNUMBER(SEARCH("Party Name-",'R.M Billets Reports'!D2105)),TRIM(MID('R.M Billets Reports'!D2105,SEARCH("-",'R.M Billets Reports'!D2105)+1,200)),"")),IF(ISNUMBER(SEARCH("Party Name:-",'R.M Billets Reports'!D2106)),TRIM('R.M Billets Reports'!F2106),IF(ISNUMBER(SEARCH("Party Name-",'R.M Billets Reports'!D2106)),TRIM(MID('R.M Billets Reports'!D2106,SEARCH("-",'R.M Billets Reports'!D2106)+1,200)),"")))="SHRI RADHE","SHREE RADHE",IF(IF(IF(ISNUMBER(SEARCH("Party Name:-",'R.M Billets Reports'!D2105)),TRIM('R.M Billets Reports'!F2105),IF(ISNUMBER(SEARCH("Party Name-",'R.M Billets Reports'!D2105)),TRIM(MID('R.M Billets Reports'!D2105,SEARCH("-",'R.M Billets Reports'!D2105)+1,200)),""))&lt;&gt;"",IF(ISNUMBER(SEARCH("Party Name:-",'R.M Billets Reports'!D2105)),TRIM('R.M Billets Reports'!F2105),IF(ISNUMBER(SEARCH("Party Name-",'R.M Billets Reports'!D2105)),TRIM(MID('R.M Billets Reports'!D2105,SEARCH("-",'R.M Billets Reports'!D2105)+1,200)),"")),IF(ISNUMBER(SEARCH("Party Name:-",'R.M Billets Reports'!D2106)),TRIM('R.M Billets Reports'!F2106),IF(ISNUMBER(SEARCH("Party Name-",'R.M Billets Reports'!D2106)),TRIM(MID('R.M Billets Reports'!D2106,SEARCH("-",'R.M Billets Reports'!D2106)+1,200)),"")))="SHREE RADHE SHAKTI SPONGE AND POWER PVT. LTD.","SHREE RADHE",IF(IF(ISNUMBER(SEARCH("Party Name:-",'R.M Billets Reports'!D2105)),TRIM('R.M Billets Reports'!F2105),IF(ISNUMBER(SEARCH("Party Name-",'R.M Billets Reports'!D2105)),TRIM(MID('R.M Billets Reports'!D2105,SEARCH("-",'R.M Billets Reports'!D2105)+1,200)),""))&lt;&gt;"",IF(ISNUMBER(SEARCH("Party Name:-",'R.M Billets Reports'!D2105)),TRIM('R.M Billets Reports'!F2105),IF(ISNUMBER(SEARCH("Party Name-",'R.M Billets Reports'!D2105)),TRIM(MID('R.M Billets Reports'!D2105,SEARCH("-",'R.M Billets Reports'!D2105)+1,200)),"")),IF(ISNUMBER(SEARCH("Party Name:-",'R.M Billets Reports'!D2106)),TRIM('R.M Billets Reports'!F2106),IF(ISNUMBER(SEARCH("Party Name-",'R.M Billets Reports'!D2106)),TRIM(MID('R.M Billets Reports'!D2106,SEARCH("-",'R.M Billets Reports'!D2106)+1,200)),"")))))),IF(ROW()=2,"",A2105))</f>
      </c>
      <c r="B2106">
        <f>IF(OR('R.M Billets Reports'!A2105="Date-",'R.M Billets Reports'!A2105="Date:-"),'R.M Billets Reports'!B2105,IF(ROW()=2,"",B2105))</f>
      </c>
      <c r="C2106">
        <f>IF('R.M Billets Reports'!A2105="V.No.",'R.M Billets Reports'!B2105,IF(ROW()=2,"",C2105))</f>
      </c>
      <c r="D2106">
        <f>IF('R.M Billets Reports'!A2105&lt;&gt;"",'R.M Billets Reports'!A2105,IF(ROW()=2,"",D2105))</f>
      </c>
      <c r="E2106">
        <f>IF('R.M Billets Reports'!B2105="","",TRIM('R.M Billets Reports'!B2105))</f>
      </c>
      <c r="F2106">
        <f>'R.M Billets Reports'!C2105</f>
      </c>
      <c r="G2106">
        <f>'R.M Billets Reports'!D2105</f>
      </c>
      <c r="H2106">
        <f>'R.M Billets Reports'!E2105</f>
      </c>
      <c r="I2106">
        <f>'R.M Billets Reports'!F2105</f>
      </c>
      <c r="J2106">
        <f>'R.M Billets Reports'!G2105</f>
      </c>
      <c r="K2106">
        <f>'R.M Billets Reports'!H2105</f>
      </c>
      <c r="L2106">
        <f>IF('R.M Billets Reports'!I2105="","",'R.M Billets Reports'!I2105)</f>
      </c>
      <c r="M2106">
        <f t="shared" si="64"/>
      </c>
      <c r="N2106">
        <f>IF('R.M Billets Reports'!J2105="","",'R.M Billets Reports'!J2105)</f>
      </c>
      <c r="O2106">
        <f t="shared" si="65"/>
      </c>
      <c r="P2106">
        <f>IF('R.M Billets Reports'!A2105="SIZE",'R.M Billets Reports'!B2105,P2105)</f>
      </c>
    </row>
    <row r="2107" spans="1:16" x14ac:dyDescent="0.25">
      <c r="A2107">
        <f>IF(OR('R.M Billets Reports'!A2106="Date-",'R.M Billets Reports'!A2106="Date:-"),IF(IF(IF(ISNUMBER(SEARCH("Party Name:-",'R.M Billets Reports'!D2106)),TRIM('R.M Billets Reports'!F2106),IF(ISNUMBER(SEARCH("Party Name-",'R.M Billets Reports'!D2106)),TRIM(MID('R.M Billets Reports'!D2106,SEARCH("-",'R.M Billets Reports'!D2106)+1,200)),""))&lt;&gt;"",IF(ISNUMBER(SEARCH("Party Name:-",'R.M Billets Reports'!D2106)),TRIM('R.M Billets Reports'!F2106),IF(ISNUMBER(SEARCH("Party Name-",'R.M Billets Reports'!D2106)),TRIM(MID('R.M Billets Reports'!D2106,SEARCH("-",'R.M Billets Reports'!D2106)+1,200)),"")),IF(ISNUMBER(SEARCH("Party Name:-",'R.M Billets Reports'!D2107)),TRIM('R.M Billets Reports'!F2107),IF(ISNUMBER(SEARCH("Party Name-",'R.M Billets Reports'!D2107)),TRIM(MID('R.M Billets Reports'!D2107,SEARCH("-",'R.M Billets Reports'!D2107)+1,200)),"")))="VRKP ISPAT PVT LTD","VRKP",IF(IF(IF(ISNUMBER(SEARCH("Party Name:-",'R.M Billets Reports'!D2106)),TRIM('R.M Billets Reports'!F2106),IF(ISNUMBER(SEARCH("Party Name-",'R.M Billets Reports'!D2106)),TRIM(MID('R.M Billets Reports'!D2106,SEARCH("-",'R.M Billets Reports'!D2106)+1,200)),""))&lt;&gt;"",IF(ISNUMBER(SEARCH("Party Name:-",'R.M Billets Reports'!D2106)),TRIM('R.M Billets Reports'!F2106),IF(ISNUMBER(SEARCH("Party Name-",'R.M Billets Reports'!D2106)),TRIM(MID('R.M Billets Reports'!D2106,SEARCH("-",'R.M Billets Reports'!D2106)+1,200)),"")),IF(ISNUMBER(SEARCH("Party Name:-",'R.M Billets Reports'!D2107)),TRIM('R.M Billets Reports'!F2107),IF(ISNUMBER(SEARCH("Party Name-",'R.M Billets Reports'!D2107)),TRIM(MID('R.M Billets Reports'!D2107,SEARCH("-",'R.M Billets Reports'!D2107)+1,200)),"")))="SHRI RADHE","SHREE RADHE",IF(IF(IF(ISNUMBER(SEARCH("Party Name:-",'R.M Billets Reports'!D2106)),TRIM('R.M Billets Reports'!F2106),IF(ISNUMBER(SEARCH("Party Name-",'R.M Billets Reports'!D2106)),TRIM(MID('R.M Billets Reports'!D2106,SEARCH("-",'R.M Billets Reports'!D2106)+1,200)),""))&lt;&gt;"",IF(ISNUMBER(SEARCH("Party Name:-",'R.M Billets Reports'!D2106)),TRIM('R.M Billets Reports'!F2106),IF(ISNUMBER(SEARCH("Party Name-",'R.M Billets Reports'!D2106)),TRIM(MID('R.M Billets Reports'!D2106,SEARCH("-",'R.M Billets Reports'!D2106)+1,200)),"")),IF(ISNUMBER(SEARCH("Party Name:-",'R.M Billets Reports'!D2107)),TRIM('R.M Billets Reports'!F2107),IF(ISNUMBER(SEARCH("Party Name-",'R.M Billets Reports'!D2107)),TRIM(MID('R.M Billets Reports'!D2107,SEARCH("-",'R.M Billets Reports'!D2107)+1,200)),"")))="SHREE RADHE SHAKTI SPONGE AND POWER PVT. LTD.","SHREE RADHE",IF(IF(ISNUMBER(SEARCH("Party Name:-",'R.M Billets Reports'!D2106)),TRIM('R.M Billets Reports'!F2106),IF(ISNUMBER(SEARCH("Party Name-",'R.M Billets Reports'!D2106)),TRIM(MID('R.M Billets Reports'!D2106,SEARCH("-",'R.M Billets Reports'!D2106)+1,200)),""))&lt;&gt;"",IF(ISNUMBER(SEARCH("Party Name:-",'R.M Billets Reports'!D2106)),TRIM('R.M Billets Reports'!F2106),IF(ISNUMBER(SEARCH("Party Name-",'R.M Billets Reports'!D2106)),TRIM(MID('R.M Billets Reports'!D2106,SEARCH("-",'R.M Billets Reports'!D2106)+1,200)),"")),IF(ISNUMBER(SEARCH("Party Name:-",'R.M Billets Reports'!D2107)),TRIM('R.M Billets Reports'!F2107),IF(ISNUMBER(SEARCH("Party Name-",'R.M Billets Reports'!D2107)),TRIM(MID('R.M Billets Reports'!D2107,SEARCH("-",'R.M Billets Reports'!D2107)+1,200)),"")))))),IF(ROW()=2,"",A2106))</f>
      </c>
      <c r="B2107">
        <f>IF(OR('R.M Billets Reports'!A2106="Date-",'R.M Billets Reports'!A2106="Date:-"),'R.M Billets Reports'!B2106,IF(ROW()=2,"",B2106))</f>
      </c>
      <c r="C2107">
        <f>IF('R.M Billets Reports'!A2106="V.No.",'R.M Billets Reports'!B2106,IF(ROW()=2,"",C2106))</f>
      </c>
      <c r="D2107">
        <f>IF('R.M Billets Reports'!A2106&lt;&gt;"",'R.M Billets Reports'!A2106,IF(ROW()=2,"",D2106))</f>
      </c>
      <c r="E2107">
        <f>IF('R.M Billets Reports'!B2106="","",TRIM('R.M Billets Reports'!B2106))</f>
      </c>
      <c r="F2107">
        <f>'R.M Billets Reports'!C2106</f>
      </c>
      <c r="G2107">
        <f>'R.M Billets Reports'!D2106</f>
      </c>
      <c r="H2107">
        <f>'R.M Billets Reports'!E2106</f>
      </c>
      <c r="I2107">
        <f>'R.M Billets Reports'!F2106</f>
      </c>
      <c r="J2107">
        <f>'R.M Billets Reports'!G2106</f>
      </c>
      <c r="K2107">
        <f>'R.M Billets Reports'!H2106</f>
      </c>
      <c r="L2107">
        <f>IF('R.M Billets Reports'!I2106="","",'R.M Billets Reports'!I2106)</f>
      </c>
      <c r="M2107">
        <f t="shared" si="64"/>
      </c>
      <c r="N2107">
        <f>IF('R.M Billets Reports'!J2106="","",'R.M Billets Reports'!J2106)</f>
      </c>
      <c r="O2107">
        <f t="shared" si="65"/>
      </c>
      <c r="P2107">
        <f>IF('R.M Billets Reports'!A2106="SIZE",'R.M Billets Reports'!B2106,P2106)</f>
      </c>
    </row>
    <row r="2108" spans="1:16" x14ac:dyDescent="0.25">
      <c r="A2108">
        <f>IF(OR('R.M Billets Reports'!A2107="Date-",'R.M Billets Reports'!A2107="Date:-"),IF(IF(IF(ISNUMBER(SEARCH("Party Name:-",'R.M Billets Reports'!D2107)),TRIM('R.M Billets Reports'!F2107),IF(ISNUMBER(SEARCH("Party Name-",'R.M Billets Reports'!D2107)),TRIM(MID('R.M Billets Reports'!D2107,SEARCH("-",'R.M Billets Reports'!D2107)+1,200)),""))&lt;&gt;"",IF(ISNUMBER(SEARCH("Party Name:-",'R.M Billets Reports'!D2107)),TRIM('R.M Billets Reports'!F2107),IF(ISNUMBER(SEARCH("Party Name-",'R.M Billets Reports'!D2107)),TRIM(MID('R.M Billets Reports'!D2107,SEARCH("-",'R.M Billets Reports'!D2107)+1,200)),"")),IF(ISNUMBER(SEARCH("Party Name:-",'R.M Billets Reports'!D2108)),TRIM('R.M Billets Reports'!F2108),IF(ISNUMBER(SEARCH("Party Name-",'R.M Billets Reports'!D2108)),TRIM(MID('R.M Billets Reports'!D2108,SEARCH("-",'R.M Billets Reports'!D2108)+1,200)),"")))="VRKP ISPAT PVT LTD","VRKP",IF(IF(IF(ISNUMBER(SEARCH("Party Name:-",'R.M Billets Reports'!D2107)),TRIM('R.M Billets Reports'!F2107),IF(ISNUMBER(SEARCH("Party Name-",'R.M Billets Reports'!D2107)),TRIM(MID('R.M Billets Reports'!D2107,SEARCH("-",'R.M Billets Reports'!D2107)+1,200)),""))&lt;&gt;"",IF(ISNUMBER(SEARCH("Party Name:-",'R.M Billets Reports'!D2107)),TRIM('R.M Billets Reports'!F2107),IF(ISNUMBER(SEARCH("Party Name-",'R.M Billets Reports'!D2107)),TRIM(MID('R.M Billets Reports'!D2107,SEARCH("-",'R.M Billets Reports'!D2107)+1,200)),"")),IF(ISNUMBER(SEARCH("Party Name:-",'R.M Billets Reports'!D2108)),TRIM('R.M Billets Reports'!F2108),IF(ISNUMBER(SEARCH("Party Name-",'R.M Billets Reports'!D2108)),TRIM(MID('R.M Billets Reports'!D2108,SEARCH("-",'R.M Billets Reports'!D2108)+1,200)),"")))="SHRI RADHE","SHREE RADHE",IF(IF(IF(ISNUMBER(SEARCH("Party Name:-",'R.M Billets Reports'!D2107)),TRIM('R.M Billets Reports'!F2107),IF(ISNUMBER(SEARCH("Party Name-",'R.M Billets Reports'!D2107)),TRIM(MID('R.M Billets Reports'!D2107,SEARCH("-",'R.M Billets Reports'!D2107)+1,200)),""))&lt;&gt;"",IF(ISNUMBER(SEARCH("Party Name:-",'R.M Billets Reports'!D2107)),TRIM('R.M Billets Reports'!F2107),IF(ISNUMBER(SEARCH("Party Name-",'R.M Billets Reports'!D2107)),TRIM(MID('R.M Billets Reports'!D2107,SEARCH("-",'R.M Billets Reports'!D2107)+1,200)),"")),IF(ISNUMBER(SEARCH("Party Name:-",'R.M Billets Reports'!D2108)),TRIM('R.M Billets Reports'!F2108),IF(ISNUMBER(SEARCH("Party Name-",'R.M Billets Reports'!D2108)),TRIM(MID('R.M Billets Reports'!D2108,SEARCH("-",'R.M Billets Reports'!D2108)+1,200)),"")))="SHREE RADHE SHAKTI SPONGE AND POWER PVT. LTD.","SHREE RADHE",IF(IF(ISNUMBER(SEARCH("Party Name:-",'R.M Billets Reports'!D2107)),TRIM('R.M Billets Reports'!F2107),IF(ISNUMBER(SEARCH("Party Name-",'R.M Billets Reports'!D2107)),TRIM(MID('R.M Billets Reports'!D2107,SEARCH("-",'R.M Billets Reports'!D2107)+1,200)),""))&lt;&gt;"",IF(ISNUMBER(SEARCH("Party Name:-",'R.M Billets Reports'!D2107)),TRIM('R.M Billets Reports'!F2107),IF(ISNUMBER(SEARCH("Party Name-",'R.M Billets Reports'!D2107)),TRIM(MID('R.M Billets Reports'!D2107,SEARCH("-",'R.M Billets Reports'!D2107)+1,200)),"")),IF(ISNUMBER(SEARCH("Party Name:-",'R.M Billets Reports'!D2108)),TRIM('R.M Billets Reports'!F2108),IF(ISNUMBER(SEARCH("Party Name-",'R.M Billets Reports'!D2108)),TRIM(MID('R.M Billets Reports'!D2108,SEARCH("-",'R.M Billets Reports'!D2108)+1,200)),"")))))),IF(ROW()=2,"",A2107))</f>
      </c>
      <c r="B2108">
        <f>IF(OR('R.M Billets Reports'!A2107="Date-",'R.M Billets Reports'!A2107="Date:-"),'R.M Billets Reports'!B2107,IF(ROW()=2,"",B2107))</f>
      </c>
      <c r="C2108">
        <f>IF('R.M Billets Reports'!A2107="V.No.",'R.M Billets Reports'!B2107,IF(ROW()=2,"",C2107))</f>
      </c>
      <c r="D2108">
        <f>IF('R.M Billets Reports'!A2107&lt;&gt;"",'R.M Billets Reports'!A2107,IF(ROW()=2,"",D2107))</f>
      </c>
      <c r="E2108">
        <f>IF('R.M Billets Reports'!B2107="","",TRIM('R.M Billets Reports'!B2107))</f>
      </c>
      <c r="F2108">
        <f>'R.M Billets Reports'!C2107</f>
      </c>
      <c r="G2108">
        <f>'R.M Billets Reports'!D2107</f>
      </c>
      <c r="H2108">
        <f>'R.M Billets Reports'!E2107</f>
      </c>
      <c r="I2108">
        <f>'R.M Billets Reports'!F2107</f>
      </c>
      <c r="J2108">
        <f>'R.M Billets Reports'!G2107</f>
      </c>
      <c r="K2108">
        <f>'R.M Billets Reports'!H2107</f>
      </c>
      <c r="L2108">
        <f>IF('R.M Billets Reports'!I2107="","",'R.M Billets Reports'!I2107)</f>
      </c>
      <c r="M2108">
        <f t="shared" si="64"/>
      </c>
      <c r="N2108">
        <f>IF('R.M Billets Reports'!J2107="","",'R.M Billets Reports'!J2107)</f>
      </c>
      <c r="O2108">
        <f t="shared" si="65"/>
      </c>
      <c r="P2108">
        <f>IF('R.M Billets Reports'!A2107="SIZE",'R.M Billets Reports'!B2107,P2107)</f>
      </c>
    </row>
    <row r="2109" spans="1:16" x14ac:dyDescent="0.25">
      <c r="A2109">
        <f>IF(OR('R.M Billets Reports'!A2108="Date-",'R.M Billets Reports'!A2108="Date:-"),IF(IF(IF(ISNUMBER(SEARCH("Party Name:-",'R.M Billets Reports'!D2108)),TRIM('R.M Billets Reports'!F2108),IF(ISNUMBER(SEARCH("Party Name-",'R.M Billets Reports'!D2108)),TRIM(MID('R.M Billets Reports'!D2108,SEARCH("-",'R.M Billets Reports'!D2108)+1,200)),""))&lt;&gt;"",IF(ISNUMBER(SEARCH("Party Name:-",'R.M Billets Reports'!D2108)),TRIM('R.M Billets Reports'!F2108),IF(ISNUMBER(SEARCH("Party Name-",'R.M Billets Reports'!D2108)),TRIM(MID('R.M Billets Reports'!D2108,SEARCH("-",'R.M Billets Reports'!D2108)+1,200)),"")),IF(ISNUMBER(SEARCH("Party Name:-",'R.M Billets Reports'!D2109)),TRIM('R.M Billets Reports'!F2109),IF(ISNUMBER(SEARCH("Party Name-",'R.M Billets Reports'!D2109)),TRIM(MID('R.M Billets Reports'!D2109,SEARCH("-",'R.M Billets Reports'!D2109)+1,200)),"")))="VRKP ISPAT PVT LTD","VRKP",IF(IF(IF(ISNUMBER(SEARCH("Party Name:-",'R.M Billets Reports'!D2108)),TRIM('R.M Billets Reports'!F2108),IF(ISNUMBER(SEARCH("Party Name-",'R.M Billets Reports'!D2108)),TRIM(MID('R.M Billets Reports'!D2108,SEARCH("-",'R.M Billets Reports'!D2108)+1,200)),""))&lt;&gt;"",IF(ISNUMBER(SEARCH("Party Name:-",'R.M Billets Reports'!D2108)),TRIM('R.M Billets Reports'!F2108),IF(ISNUMBER(SEARCH("Party Name-",'R.M Billets Reports'!D2108)),TRIM(MID('R.M Billets Reports'!D2108,SEARCH("-",'R.M Billets Reports'!D2108)+1,200)),"")),IF(ISNUMBER(SEARCH("Party Name:-",'R.M Billets Reports'!D2109)),TRIM('R.M Billets Reports'!F2109),IF(ISNUMBER(SEARCH("Party Name-",'R.M Billets Reports'!D2109)),TRIM(MID('R.M Billets Reports'!D2109,SEARCH("-",'R.M Billets Reports'!D2109)+1,200)),"")))="SHRI RADHE","SHREE RADHE",IF(IF(IF(ISNUMBER(SEARCH("Party Name:-",'R.M Billets Reports'!D2108)),TRIM('R.M Billets Reports'!F2108),IF(ISNUMBER(SEARCH("Party Name-",'R.M Billets Reports'!D2108)),TRIM(MID('R.M Billets Reports'!D2108,SEARCH("-",'R.M Billets Reports'!D2108)+1,200)),""))&lt;&gt;"",IF(ISNUMBER(SEARCH("Party Name:-",'R.M Billets Reports'!D2108)),TRIM('R.M Billets Reports'!F2108),IF(ISNUMBER(SEARCH("Party Name-",'R.M Billets Reports'!D2108)),TRIM(MID('R.M Billets Reports'!D2108,SEARCH("-",'R.M Billets Reports'!D2108)+1,200)),"")),IF(ISNUMBER(SEARCH("Party Name:-",'R.M Billets Reports'!D2109)),TRIM('R.M Billets Reports'!F2109),IF(ISNUMBER(SEARCH("Party Name-",'R.M Billets Reports'!D2109)),TRIM(MID('R.M Billets Reports'!D2109,SEARCH("-",'R.M Billets Reports'!D2109)+1,200)),"")))="SHREE RADHE SHAKTI SPONGE AND POWER PVT. LTD.","SHREE RADHE",IF(IF(ISNUMBER(SEARCH("Party Name:-",'R.M Billets Reports'!D2108)),TRIM('R.M Billets Reports'!F2108),IF(ISNUMBER(SEARCH("Party Name-",'R.M Billets Reports'!D2108)),TRIM(MID('R.M Billets Reports'!D2108,SEARCH("-",'R.M Billets Reports'!D2108)+1,200)),""))&lt;&gt;"",IF(ISNUMBER(SEARCH("Party Name:-",'R.M Billets Reports'!D2108)),TRIM('R.M Billets Reports'!F2108),IF(ISNUMBER(SEARCH("Party Name-",'R.M Billets Reports'!D2108)),TRIM(MID('R.M Billets Reports'!D2108,SEARCH("-",'R.M Billets Reports'!D2108)+1,200)),"")),IF(ISNUMBER(SEARCH("Party Name:-",'R.M Billets Reports'!D2109)),TRIM('R.M Billets Reports'!F2109),IF(ISNUMBER(SEARCH("Party Name-",'R.M Billets Reports'!D2109)),TRIM(MID('R.M Billets Reports'!D2109,SEARCH("-",'R.M Billets Reports'!D2109)+1,200)),"")))))),IF(ROW()=2,"",A2108))</f>
      </c>
      <c r="B2109">
        <f>IF(OR('R.M Billets Reports'!A2108="Date-",'R.M Billets Reports'!A2108="Date:-"),'R.M Billets Reports'!B2108,IF(ROW()=2,"",B2108))</f>
      </c>
      <c r="C2109">
        <f>IF('R.M Billets Reports'!A2108="V.No.",'R.M Billets Reports'!B2108,IF(ROW()=2,"",C2108))</f>
      </c>
      <c r="D2109">
        <f>IF('R.M Billets Reports'!A2108&lt;&gt;"",'R.M Billets Reports'!A2108,IF(ROW()=2,"",D2108))</f>
      </c>
      <c r="E2109">
        <f>IF('R.M Billets Reports'!B2108="","",TRIM('R.M Billets Reports'!B2108))</f>
      </c>
      <c r="F2109">
        <f>'R.M Billets Reports'!C2108</f>
      </c>
      <c r="G2109">
        <f>'R.M Billets Reports'!D2108</f>
      </c>
      <c r="H2109">
        <f>'R.M Billets Reports'!E2108</f>
      </c>
      <c r="I2109">
        <f>'R.M Billets Reports'!F2108</f>
      </c>
      <c r="J2109">
        <f>'R.M Billets Reports'!G2108</f>
      </c>
      <c r="K2109">
        <f>'R.M Billets Reports'!H2108</f>
      </c>
      <c r="L2109">
        <f>IF('R.M Billets Reports'!I2108="","",'R.M Billets Reports'!I2108)</f>
      </c>
      <c r="M2109">
        <f t="shared" si="64"/>
      </c>
      <c r="N2109">
        <f>IF('R.M Billets Reports'!J2108="","",'R.M Billets Reports'!J2108)</f>
      </c>
      <c r="O2109">
        <f t="shared" si="65"/>
      </c>
      <c r="P2109">
        <f>IF('R.M Billets Reports'!A2108="SIZE",'R.M Billets Reports'!B2108,P2108)</f>
      </c>
    </row>
    <row r="2110" spans="1:16" x14ac:dyDescent="0.25">
      <c r="A2110">
        <f>IF(OR('R.M Billets Reports'!A2109="Date-",'R.M Billets Reports'!A2109="Date:-"),IF(IF(IF(ISNUMBER(SEARCH("Party Name:-",'R.M Billets Reports'!D2109)),TRIM('R.M Billets Reports'!F2109),IF(ISNUMBER(SEARCH("Party Name-",'R.M Billets Reports'!D2109)),TRIM(MID('R.M Billets Reports'!D2109,SEARCH("-",'R.M Billets Reports'!D2109)+1,200)),""))&lt;&gt;"",IF(ISNUMBER(SEARCH("Party Name:-",'R.M Billets Reports'!D2109)),TRIM('R.M Billets Reports'!F2109),IF(ISNUMBER(SEARCH("Party Name-",'R.M Billets Reports'!D2109)),TRIM(MID('R.M Billets Reports'!D2109,SEARCH("-",'R.M Billets Reports'!D2109)+1,200)),"")),IF(ISNUMBER(SEARCH("Party Name:-",'R.M Billets Reports'!D2110)),TRIM('R.M Billets Reports'!F2110),IF(ISNUMBER(SEARCH("Party Name-",'R.M Billets Reports'!D2110)),TRIM(MID('R.M Billets Reports'!D2110,SEARCH("-",'R.M Billets Reports'!D2110)+1,200)),"")))="VRKP ISPAT PVT LTD","VRKP",IF(IF(IF(ISNUMBER(SEARCH("Party Name:-",'R.M Billets Reports'!D2109)),TRIM('R.M Billets Reports'!F2109),IF(ISNUMBER(SEARCH("Party Name-",'R.M Billets Reports'!D2109)),TRIM(MID('R.M Billets Reports'!D2109,SEARCH("-",'R.M Billets Reports'!D2109)+1,200)),""))&lt;&gt;"",IF(ISNUMBER(SEARCH("Party Name:-",'R.M Billets Reports'!D2109)),TRIM('R.M Billets Reports'!F2109),IF(ISNUMBER(SEARCH("Party Name-",'R.M Billets Reports'!D2109)),TRIM(MID('R.M Billets Reports'!D2109,SEARCH("-",'R.M Billets Reports'!D2109)+1,200)),"")),IF(ISNUMBER(SEARCH("Party Name:-",'R.M Billets Reports'!D2110)),TRIM('R.M Billets Reports'!F2110),IF(ISNUMBER(SEARCH("Party Name-",'R.M Billets Reports'!D2110)),TRIM(MID('R.M Billets Reports'!D2110,SEARCH("-",'R.M Billets Reports'!D2110)+1,200)),"")))="SHRI RADHE","SHREE RADHE",IF(IF(IF(ISNUMBER(SEARCH("Party Name:-",'R.M Billets Reports'!D2109)),TRIM('R.M Billets Reports'!F2109),IF(ISNUMBER(SEARCH("Party Name-",'R.M Billets Reports'!D2109)),TRIM(MID('R.M Billets Reports'!D2109,SEARCH("-",'R.M Billets Reports'!D2109)+1,200)),""))&lt;&gt;"",IF(ISNUMBER(SEARCH("Party Name:-",'R.M Billets Reports'!D2109)),TRIM('R.M Billets Reports'!F2109),IF(ISNUMBER(SEARCH("Party Name-",'R.M Billets Reports'!D2109)),TRIM(MID('R.M Billets Reports'!D2109,SEARCH("-",'R.M Billets Reports'!D2109)+1,200)),"")),IF(ISNUMBER(SEARCH("Party Name:-",'R.M Billets Reports'!D2110)),TRIM('R.M Billets Reports'!F2110),IF(ISNUMBER(SEARCH("Party Name-",'R.M Billets Reports'!D2110)),TRIM(MID('R.M Billets Reports'!D2110,SEARCH("-",'R.M Billets Reports'!D2110)+1,200)),"")))="SHREE RADHE SHAKTI SPONGE AND POWER PVT. LTD.","SHREE RADHE",IF(IF(ISNUMBER(SEARCH("Party Name:-",'R.M Billets Reports'!D2109)),TRIM('R.M Billets Reports'!F2109),IF(ISNUMBER(SEARCH("Party Name-",'R.M Billets Reports'!D2109)),TRIM(MID('R.M Billets Reports'!D2109,SEARCH("-",'R.M Billets Reports'!D2109)+1,200)),""))&lt;&gt;"",IF(ISNUMBER(SEARCH("Party Name:-",'R.M Billets Reports'!D2109)),TRIM('R.M Billets Reports'!F2109),IF(ISNUMBER(SEARCH("Party Name-",'R.M Billets Reports'!D2109)),TRIM(MID('R.M Billets Reports'!D2109,SEARCH("-",'R.M Billets Reports'!D2109)+1,200)),"")),IF(ISNUMBER(SEARCH("Party Name:-",'R.M Billets Reports'!D2110)),TRIM('R.M Billets Reports'!F2110),IF(ISNUMBER(SEARCH("Party Name-",'R.M Billets Reports'!D2110)),TRIM(MID('R.M Billets Reports'!D2110,SEARCH("-",'R.M Billets Reports'!D2110)+1,200)),"")))))),IF(ROW()=2,"",A2109))</f>
      </c>
      <c r="B2110">
        <f>IF(OR('R.M Billets Reports'!A2109="Date-",'R.M Billets Reports'!A2109="Date:-"),'R.M Billets Reports'!B2109,IF(ROW()=2,"",B2109))</f>
      </c>
      <c r="C2110">
        <f>IF('R.M Billets Reports'!A2109="V.No.",'R.M Billets Reports'!B2109,IF(ROW()=2,"",C2109))</f>
      </c>
      <c r="D2110">
        <f>IF('R.M Billets Reports'!A2109&lt;&gt;"",'R.M Billets Reports'!A2109,IF(ROW()=2,"",D2109))</f>
      </c>
      <c r="E2110">
        <f>IF('R.M Billets Reports'!B2109="","",TRIM('R.M Billets Reports'!B2109))</f>
      </c>
      <c r="F2110">
        <f>'R.M Billets Reports'!C2109</f>
      </c>
      <c r="G2110">
        <f>'R.M Billets Reports'!D2109</f>
      </c>
      <c r="H2110">
        <f>'R.M Billets Reports'!E2109</f>
      </c>
      <c r="I2110">
        <f>'R.M Billets Reports'!F2109</f>
      </c>
      <c r="J2110">
        <f>'R.M Billets Reports'!G2109</f>
      </c>
      <c r="K2110">
        <f>'R.M Billets Reports'!H2109</f>
      </c>
      <c r="L2110">
        <f>IF('R.M Billets Reports'!I2109="","",'R.M Billets Reports'!I2109)</f>
      </c>
      <c r="M2110">
        <f t="shared" si="64"/>
      </c>
      <c r="N2110">
        <f>IF('R.M Billets Reports'!J2109="","",'R.M Billets Reports'!J2109)</f>
      </c>
      <c r="O2110">
        <f t="shared" si="65"/>
      </c>
      <c r="P2110">
        <f>IF('R.M Billets Reports'!A2109="SIZE",'R.M Billets Reports'!B2109,P2109)</f>
      </c>
    </row>
    <row r="2111" spans="1:16" x14ac:dyDescent="0.25">
      <c r="A2111">
        <f>IF(OR('R.M Billets Reports'!A2110="Date-",'R.M Billets Reports'!A2110="Date:-"),IF(IF(IF(ISNUMBER(SEARCH("Party Name:-",'R.M Billets Reports'!D2110)),TRIM('R.M Billets Reports'!F2110),IF(ISNUMBER(SEARCH("Party Name-",'R.M Billets Reports'!D2110)),TRIM(MID('R.M Billets Reports'!D2110,SEARCH("-",'R.M Billets Reports'!D2110)+1,200)),""))&lt;&gt;"",IF(ISNUMBER(SEARCH("Party Name:-",'R.M Billets Reports'!D2110)),TRIM('R.M Billets Reports'!F2110),IF(ISNUMBER(SEARCH("Party Name-",'R.M Billets Reports'!D2110)),TRIM(MID('R.M Billets Reports'!D2110,SEARCH("-",'R.M Billets Reports'!D2110)+1,200)),"")),IF(ISNUMBER(SEARCH("Party Name:-",'R.M Billets Reports'!D2111)),TRIM('R.M Billets Reports'!F2111),IF(ISNUMBER(SEARCH("Party Name-",'R.M Billets Reports'!D2111)),TRIM(MID('R.M Billets Reports'!D2111,SEARCH("-",'R.M Billets Reports'!D2111)+1,200)),"")))="VRKP ISPAT PVT LTD","VRKP",IF(IF(IF(ISNUMBER(SEARCH("Party Name:-",'R.M Billets Reports'!D2110)),TRIM('R.M Billets Reports'!F2110),IF(ISNUMBER(SEARCH("Party Name-",'R.M Billets Reports'!D2110)),TRIM(MID('R.M Billets Reports'!D2110,SEARCH("-",'R.M Billets Reports'!D2110)+1,200)),""))&lt;&gt;"",IF(ISNUMBER(SEARCH("Party Name:-",'R.M Billets Reports'!D2110)),TRIM('R.M Billets Reports'!F2110),IF(ISNUMBER(SEARCH("Party Name-",'R.M Billets Reports'!D2110)),TRIM(MID('R.M Billets Reports'!D2110,SEARCH("-",'R.M Billets Reports'!D2110)+1,200)),"")),IF(ISNUMBER(SEARCH("Party Name:-",'R.M Billets Reports'!D2111)),TRIM('R.M Billets Reports'!F2111),IF(ISNUMBER(SEARCH("Party Name-",'R.M Billets Reports'!D2111)),TRIM(MID('R.M Billets Reports'!D2111,SEARCH("-",'R.M Billets Reports'!D2111)+1,200)),"")))="SHRI RADHE","SHREE RADHE",IF(IF(IF(ISNUMBER(SEARCH("Party Name:-",'R.M Billets Reports'!D2110)),TRIM('R.M Billets Reports'!F2110),IF(ISNUMBER(SEARCH("Party Name-",'R.M Billets Reports'!D2110)),TRIM(MID('R.M Billets Reports'!D2110,SEARCH("-",'R.M Billets Reports'!D2110)+1,200)),""))&lt;&gt;"",IF(ISNUMBER(SEARCH("Party Name:-",'R.M Billets Reports'!D2110)),TRIM('R.M Billets Reports'!F2110),IF(ISNUMBER(SEARCH("Party Name-",'R.M Billets Reports'!D2110)),TRIM(MID('R.M Billets Reports'!D2110,SEARCH("-",'R.M Billets Reports'!D2110)+1,200)),"")),IF(ISNUMBER(SEARCH("Party Name:-",'R.M Billets Reports'!D2111)),TRIM('R.M Billets Reports'!F2111),IF(ISNUMBER(SEARCH("Party Name-",'R.M Billets Reports'!D2111)),TRIM(MID('R.M Billets Reports'!D2111,SEARCH("-",'R.M Billets Reports'!D2111)+1,200)),"")))="SHREE RADHE SHAKTI SPONGE AND POWER PVT. LTD.","SHREE RADHE",IF(IF(ISNUMBER(SEARCH("Party Name:-",'R.M Billets Reports'!D2110)),TRIM('R.M Billets Reports'!F2110),IF(ISNUMBER(SEARCH("Party Name-",'R.M Billets Reports'!D2110)),TRIM(MID('R.M Billets Reports'!D2110,SEARCH("-",'R.M Billets Reports'!D2110)+1,200)),""))&lt;&gt;"",IF(ISNUMBER(SEARCH("Party Name:-",'R.M Billets Reports'!D2110)),TRIM('R.M Billets Reports'!F2110),IF(ISNUMBER(SEARCH("Party Name-",'R.M Billets Reports'!D2110)),TRIM(MID('R.M Billets Reports'!D2110,SEARCH("-",'R.M Billets Reports'!D2110)+1,200)),"")),IF(ISNUMBER(SEARCH("Party Name:-",'R.M Billets Reports'!D2111)),TRIM('R.M Billets Reports'!F2111),IF(ISNUMBER(SEARCH("Party Name-",'R.M Billets Reports'!D2111)),TRIM(MID('R.M Billets Reports'!D2111,SEARCH("-",'R.M Billets Reports'!D2111)+1,200)),"")))))),IF(ROW()=2,"",A2110))</f>
      </c>
      <c r="B2111">
        <f>IF(OR('R.M Billets Reports'!A2110="Date-",'R.M Billets Reports'!A2110="Date:-"),'R.M Billets Reports'!B2110,IF(ROW()=2,"",B2110))</f>
      </c>
      <c r="C2111">
        <f>IF('R.M Billets Reports'!A2110="V.No.",'R.M Billets Reports'!B2110,IF(ROW()=2,"",C2110))</f>
      </c>
      <c r="D2111">
        <f>IF('R.M Billets Reports'!A2110&lt;&gt;"",'R.M Billets Reports'!A2110,IF(ROW()=2,"",D2110))</f>
      </c>
      <c r="E2111">
        <f>IF('R.M Billets Reports'!B2110="","",TRIM('R.M Billets Reports'!B2110))</f>
      </c>
      <c r="F2111">
        <f>'R.M Billets Reports'!C2110</f>
      </c>
      <c r="G2111">
        <f>'R.M Billets Reports'!D2110</f>
      </c>
      <c r="H2111">
        <f>'R.M Billets Reports'!E2110</f>
      </c>
      <c r="I2111">
        <f>'R.M Billets Reports'!F2110</f>
      </c>
      <c r="J2111">
        <f>'R.M Billets Reports'!G2110</f>
      </c>
      <c r="K2111">
        <f>'R.M Billets Reports'!H2110</f>
      </c>
      <c r="L2111">
        <f>IF('R.M Billets Reports'!I2110="","",'R.M Billets Reports'!I2110)</f>
      </c>
      <c r="M2111">
        <f t="shared" si="64"/>
      </c>
      <c r="N2111">
        <f>IF('R.M Billets Reports'!J2110="","",'R.M Billets Reports'!J2110)</f>
      </c>
      <c r="O2111">
        <f t="shared" si="65"/>
      </c>
      <c r="P2111">
        <f>IF('R.M Billets Reports'!A2110="SIZE",'R.M Billets Reports'!B2110,P2110)</f>
      </c>
    </row>
    <row r="2112" spans="1:16" x14ac:dyDescent="0.25">
      <c r="A2112">
        <f>IF(OR('R.M Billets Reports'!A2111="Date-",'R.M Billets Reports'!A2111="Date:-"),IF(IF(IF(ISNUMBER(SEARCH("Party Name:-",'R.M Billets Reports'!D2111)),TRIM('R.M Billets Reports'!F2111),IF(ISNUMBER(SEARCH("Party Name-",'R.M Billets Reports'!D2111)),TRIM(MID('R.M Billets Reports'!D2111,SEARCH("-",'R.M Billets Reports'!D2111)+1,200)),""))&lt;&gt;"",IF(ISNUMBER(SEARCH("Party Name:-",'R.M Billets Reports'!D2111)),TRIM('R.M Billets Reports'!F2111),IF(ISNUMBER(SEARCH("Party Name-",'R.M Billets Reports'!D2111)),TRIM(MID('R.M Billets Reports'!D2111,SEARCH("-",'R.M Billets Reports'!D2111)+1,200)),"")),IF(ISNUMBER(SEARCH("Party Name:-",'R.M Billets Reports'!D2112)),TRIM('R.M Billets Reports'!F2112),IF(ISNUMBER(SEARCH("Party Name-",'R.M Billets Reports'!D2112)),TRIM(MID('R.M Billets Reports'!D2112,SEARCH("-",'R.M Billets Reports'!D2112)+1,200)),"")))="VRKP ISPAT PVT LTD","VRKP",IF(IF(IF(ISNUMBER(SEARCH("Party Name:-",'R.M Billets Reports'!D2111)),TRIM('R.M Billets Reports'!F2111),IF(ISNUMBER(SEARCH("Party Name-",'R.M Billets Reports'!D2111)),TRIM(MID('R.M Billets Reports'!D2111,SEARCH("-",'R.M Billets Reports'!D2111)+1,200)),""))&lt;&gt;"",IF(ISNUMBER(SEARCH("Party Name:-",'R.M Billets Reports'!D2111)),TRIM('R.M Billets Reports'!F2111),IF(ISNUMBER(SEARCH("Party Name-",'R.M Billets Reports'!D2111)),TRIM(MID('R.M Billets Reports'!D2111,SEARCH("-",'R.M Billets Reports'!D2111)+1,200)),"")),IF(ISNUMBER(SEARCH("Party Name:-",'R.M Billets Reports'!D2112)),TRIM('R.M Billets Reports'!F2112),IF(ISNUMBER(SEARCH("Party Name-",'R.M Billets Reports'!D2112)),TRIM(MID('R.M Billets Reports'!D2112,SEARCH("-",'R.M Billets Reports'!D2112)+1,200)),"")))="SHRI RADHE","SHREE RADHE",IF(IF(IF(ISNUMBER(SEARCH("Party Name:-",'R.M Billets Reports'!D2111)),TRIM('R.M Billets Reports'!F2111),IF(ISNUMBER(SEARCH("Party Name-",'R.M Billets Reports'!D2111)),TRIM(MID('R.M Billets Reports'!D2111,SEARCH("-",'R.M Billets Reports'!D2111)+1,200)),""))&lt;&gt;"",IF(ISNUMBER(SEARCH("Party Name:-",'R.M Billets Reports'!D2111)),TRIM('R.M Billets Reports'!F2111),IF(ISNUMBER(SEARCH("Party Name-",'R.M Billets Reports'!D2111)),TRIM(MID('R.M Billets Reports'!D2111,SEARCH("-",'R.M Billets Reports'!D2111)+1,200)),"")),IF(ISNUMBER(SEARCH("Party Name:-",'R.M Billets Reports'!D2112)),TRIM('R.M Billets Reports'!F2112),IF(ISNUMBER(SEARCH("Party Name-",'R.M Billets Reports'!D2112)),TRIM(MID('R.M Billets Reports'!D2112,SEARCH("-",'R.M Billets Reports'!D2112)+1,200)),"")))="SHREE RADHE SHAKTI SPONGE AND POWER PVT. LTD.","SHREE RADHE",IF(IF(ISNUMBER(SEARCH("Party Name:-",'R.M Billets Reports'!D2111)),TRIM('R.M Billets Reports'!F2111),IF(ISNUMBER(SEARCH("Party Name-",'R.M Billets Reports'!D2111)),TRIM(MID('R.M Billets Reports'!D2111,SEARCH("-",'R.M Billets Reports'!D2111)+1,200)),""))&lt;&gt;"",IF(ISNUMBER(SEARCH("Party Name:-",'R.M Billets Reports'!D2111)),TRIM('R.M Billets Reports'!F2111),IF(ISNUMBER(SEARCH("Party Name-",'R.M Billets Reports'!D2111)),TRIM(MID('R.M Billets Reports'!D2111,SEARCH("-",'R.M Billets Reports'!D2111)+1,200)),"")),IF(ISNUMBER(SEARCH("Party Name:-",'R.M Billets Reports'!D2112)),TRIM('R.M Billets Reports'!F2112),IF(ISNUMBER(SEARCH("Party Name-",'R.M Billets Reports'!D2112)),TRIM(MID('R.M Billets Reports'!D2112,SEARCH("-",'R.M Billets Reports'!D2112)+1,200)),"")))))),IF(ROW()=2,"",A2111))</f>
      </c>
      <c r="B2112">
        <f>IF(OR('R.M Billets Reports'!A2111="Date-",'R.M Billets Reports'!A2111="Date:-"),'R.M Billets Reports'!B2111,IF(ROW()=2,"",B2111))</f>
      </c>
      <c r="C2112">
        <f>IF('R.M Billets Reports'!A2111="V.No.",'R.M Billets Reports'!B2111,IF(ROW()=2,"",C2111))</f>
      </c>
      <c r="D2112">
        <f>IF('R.M Billets Reports'!A2111&lt;&gt;"",'R.M Billets Reports'!A2111,IF(ROW()=2,"",D2111))</f>
      </c>
      <c r="E2112">
        <f>IF('R.M Billets Reports'!B2111="","",TRIM('R.M Billets Reports'!B2111))</f>
      </c>
      <c r="F2112">
        <f>'R.M Billets Reports'!C2111</f>
      </c>
      <c r="G2112">
        <f>'R.M Billets Reports'!D2111</f>
      </c>
      <c r="H2112">
        <f>'R.M Billets Reports'!E2111</f>
      </c>
      <c r="I2112">
        <f>'R.M Billets Reports'!F2111</f>
      </c>
      <c r="J2112">
        <f>'R.M Billets Reports'!G2111</f>
      </c>
      <c r="K2112">
        <f>'R.M Billets Reports'!H2111</f>
      </c>
      <c r="L2112">
        <f>IF('R.M Billets Reports'!I2111="","",'R.M Billets Reports'!I2111)</f>
      </c>
      <c r="M2112">
        <f t="shared" si="64"/>
      </c>
      <c r="N2112">
        <f>IF('R.M Billets Reports'!J2111="","",'R.M Billets Reports'!J2111)</f>
      </c>
      <c r="O2112">
        <f t="shared" si="65"/>
      </c>
      <c r="P2112">
        <f>IF('R.M Billets Reports'!A2111="SIZE",'R.M Billets Reports'!B2111,P2111)</f>
      </c>
    </row>
    <row r="2113" spans="1:16" x14ac:dyDescent="0.25">
      <c r="A2113">
        <f>IF(OR('R.M Billets Reports'!A2112="Date-",'R.M Billets Reports'!A2112="Date:-"),IF(IF(IF(ISNUMBER(SEARCH("Party Name:-",'R.M Billets Reports'!D2112)),TRIM('R.M Billets Reports'!F2112),IF(ISNUMBER(SEARCH("Party Name-",'R.M Billets Reports'!D2112)),TRIM(MID('R.M Billets Reports'!D2112,SEARCH("-",'R.M Billets Reports'!D2112)+1,200)),""))&lt;&gt;"",IF(ISNUMBER(SEARCH("Party Name:-",'R.M Billets Reports'!D2112)),TRIM('R.M Billets Reports'!F2112),IF(ISNUMBER(SEARCH("Party Name-",'R.M Billets Reports'!D2112)),TRIM(MID('R.M Billets Reports'!D2112,SEARCH("-",'R.M Billets Reports'!D2112)+1,200)),"")),IF(ISNUMBER(SEARCH("Party Name:-",'R.M Billets Reports'!D2113)),TRIM('R.M Billets Reports'!F2113),IF(ISNUMBER(SEARCH("Party Name-",'R.M Billets Reports'!D2113)),TRIM(MID('R.M Billets Reports'!D2113,SEARCH("-",'R.M Billets Reports'!D2113)+1,200)),"")))="VRKP ISPAT PVT LTD","VRKP",IF(IF(IF(ISNUMBER(SEARCH("Party Name:-",'R.M Billets Reports'!D2112)),TRIM('R.M Billets Reports'!F2112),IF(ISNUMBER(SEARCH("Party Name-",'R.M Billets Reports'!D2112)),TRIM(MID('R.M Billets Reports'!D2112,SEARCH("-",'R.M Billets Reports'!D2112)+1,200)),""))&lt;&gt;"",IF(ISNUMBER(SEARCH("Party Name:-",'R.M Billets Reports'!D2112)),TRIM('R.M Billets Reports'!F2112),IF(ISNUMBER(SEARCH("Party Name-",'R.M Billets Reports'!D2112)),TRIM(MID('R.M Billets Reports'!D2112,SEARCH("-",'R.M Billets Reports'!D2112)+1,200)),"")),IF(ISNUMBER(SEARCH("Party Name:-",'R.M Billets Reports'!D2113)),TRIM('R.M Billets Reports'!F2113),IF(ISNUMBER(SEARCH("Party Name-",'R.M Billets Reports'!D2113)),TRIM(MID('R.M Billets Reports'!D2113,SEARCH("-",'R.M Billets Reports'!D2113)+1,200)),"")))="SHRI RADHE","SHREE RADHE",IF(IF(IF(ISNUMBER(SEARCH("Party Name:-",'R.M Billets Reports'!D2112)),TRIM('R.M Billets Reports'!F2112),IF(ISNUMBER(SEARCH("Party Name-",'R.M Billets Reports'!D2112)),TRIM(MID('R.M Billets Reports'!D2112,SEARCH("-",'R.M Billets Reports'!D2112)+1,200)),""))&lt;&gt;"",IF(ISNUMBER(SEARCH("Party Name:-",'R.M Billets Reports'!D2112)),TRIM('R.M Billets Reports'!F2112),IF(ISNUMBER(SEARCH("Party Name-",'R.M Billets Reports'!D2112)),TRIM(MID('R.M Billets Reports'!D2112,SEARCH("-",'R.M Billets Reports'!D2112)+1,200)),"")),IF(ISNUMBER(SEARCH("Party Name:-",'R.M Billets Reports'!D2113)),TRIM('R.M Billets Reports'!F2113),IF(ISNUMBER(SEARCH("Party Name-",'R.M Billets Reports'!D2113)),TRIM(MID('R.M Billets Reports'!D2113,SEARCH("-",'R.M Billets Reports'!D2113)+1,200)),"")))="SHREE RADHE SHAKTI SPONGE AND POWER PVT. LTD.","SHREE RADHE",IF(IF(ISNUMBER(SEARCH("Party Name:-",'R.M Billets Reports'!D2112)),TRIM('R.M Billets Reports'!F2112),IF(ISNUMBER(SEARCH("Party Name-",'R.M Billets Reports'!D2112)),TRIM(MID('R.M Billets Reports'!D2112,SEARCH("-",'R.M Billets Reports'!D2112)+1,200)),""))&lt;&gt;"",IF(ISNUMBER(SEARCH("Party Name:-",'R.M Billets Reports'!D2112)),TRIM('R.M Billets Reports'!F2112),IF(ISNUMBER(SEARCH("Party Name-",'R.M Billets Reports'!D2112)),TRIM(MID('R.M Billets Reports'!D2112,SEARCH("-",'R.M Billets Reports'!D2112)+1,200)),"")),IF(ISNUMBER(SEARCH("Party Name:-",'R.M Billets Reports'!D2113)),TRIM('R.M Billets Reports'!F2113),IF(ISNUMBER(SEARCH("Party Name-",'R.M Billets Reports'!D2113)),TRIM(MID('R.M Billets Reports'!D2113,SEARCH("-",'R.M Billets Reports'!D2113)+1,200)),"")))))),IF(ROW()=2,"",A2112))</f>
      </c>
      <c r="B2113">
        <f>IF(OR('R.M Billets Reports'!A2112="Date-",'R.M Billets Reports'!A2112="Date:-"),'R.M Billets Reports'!B2112,IF(ROW()=2,"",B2112))</f>
      </c>
      <c r="C2113">
        <f>IF('R.M Billets Reports'!A2112="V.No.",'R.M Billets Reports'!B2112,IF(ROW()=2,"",C2112))</f>
      </c>
      <c r="D2113">
        <f>IF('R.M Billets Reports'!A2112&lt;&gt;"",'R.M Billets Reports'!A2112,IF(ROW()=2,"",D2112))</f>
      </c>
      <c r="E2113">
        <f>IF('R.M Billets Reports'!B2112="","",TRIM('R.M Billets Reports'!B2112))</f>
      </c>
      <c r="F2113">
        <f>'R.M Billets Reports'!C2112</f>
      </c>
      <c r="G2113">
        <f>'R.M Billets Reports'!D2112</f>
      </c>
      <c r="H2113">
        <f>'R.M Billets Reports'!E2112</f>
      </c>
      <c r="I2113">
        <f>'R.M Billets Reports'!F2112</f>
      </c>
      <c r="J2113">
        <f>'R.M Billets Reports'!G2112</f>
      </c>
      <c r="K2113">
        <f>'R.M Billets Reports'!H2112</f>
      </c>
      <c r="L2113">
        <f>IF('R.M Billets Reports'!I2112="","",'R.M Billets Reports'!I2112)</f>
      </c>
      <c r="M2113">
        <f t="shared" si="64"/>
      </c>
      <c r="N2113">
        <f>IF('R.M Billets Reports'!J2112="","",'R.M Billets Reports'!J2112)</f>
      </c>
      <c r="O2113">
        <f t="shared" si="65"/>
      </c>
      <c r="P2113">
        <f>IF('R.M Billets Reports'!A2112="SIZE",'R.M Billets Reports'!B2112,P2112)</f>
      </c>
    </row>
    <row r="2114" spans="1:16" x14ac:dyDescent="0.25">
      <c r="A2114">
        <f>IF(OR('R.M Billets Reports'!A2113="Date-",'R.M Billets Reports'!A2113="Date:-"),IF(IF(IF(ISNUMBER(SEARCH("Party Name:-",'R.M Billets Reports'!D2113)),TRIM('R.M Billets Reports'!F2113),IF(ISNUMBER(SEARCH("Party Name-",'R.M Billets Reports'!D2113)),TRIM(MID('R.M Billets Reports'!D2113,SEARCH("-",'R.M Billets Reports'!D2113)+1,200)),""))&lt;&gt;"",IF(ISNUMBER(SEARCH("Party Name:-",'R.M Billets Reports'!D2113)),TRIM('R.M Billets Reports'!F2113),IF(ISNUMBER(SEARCH("Party Name-",'R.M Billets Reports'!D2113)),TRIM(MID('R.M Billets Reports'!D2113,SEARCH("-",'R.M Billets Reports'!D2113)+1,200)),"")),IF(ISNUMBER(SEARCH("Party Name:-",'R.M Billets Reports'!D2114)),TRIM('R.M Billets Reports'!F2114),IF(ISNUMBER(SEARCH("Party Name-",'R.M Billets Reports'!D2114)),TRIM(MID('R.M Billets Reports'!D2114,SEARCH("-",'R.M Billets Reports'!D2114)+1,200)),"")))="VRKP ISPAT PVT LTD","VRKP",IF(IF(IF(ISNUMBER(SEARCH("Party Name:-",'R.M Billets Reports'!D2113)),TRIM('R.M Billets Reports'!F2113),IF(ISNUMBER(SEARCH("Party Name-",'R.M Billets Reports'!D2113)),TRIM(MID('R.M Billets Reports'!D2113,SEARCH("-",'R.M Billets Reports'!D2113)+1,200)),""))&lt;&gt;"",IF(ISNUMBER(SEARCH("Party Name:-",'R.M Billets Reports'!D2113)),TRIM('R.M Billets Reports'!F2113),IF(ISNUMBER(SEARCH("Party Name-",'R.M Billets Reports'!D2113)),TRIM(MID('R.M Billets Reports'!D2113,SEARCH("-",'R.M Billets Reports'!D2113)+1,200)),"")),IF(ISNUMBER(SEARCH("Party Name:-",'R.M Billets Reports'!D2114)),TRIM('R.M Billets Reports'!F2114),IF(ISNUMBER(SEARCH("Party Name-",'R.M Billets Reports'!D2114)),TRIM(MID('R.M Billets Reports'!D2114,SEARCH("-",'R.M Billets Reports'!D2114)+1,200)),"")))="SHRI RADHE","SHREE RADHE",IF(IF(IF(ISNUMBER(SEARCH("Party Name:-",'R.M Billets Reports'!D2113)),TRIM('R.M Billets Reports'!F2113),IF(ISNUMBER(SEARCH("Party Name-",'R.M Billets Reports'!D2113)),TRIM(MID('R.M Billets Reports'!D2113,SEARCH("-",'R.M Billets Reports'!D2113)+1,200)),""))&lt;&gt;"",IF(ISNUMBER(SEARCH("Party Name:-",'R.M Billets Reports'!D2113)),TRIM('R.M Billets Reports'!F2113),IF(ISNUMBER(SEARCH("Party Name-",'R.M Billets Reports'!D2113)),TRIM(MID('R.M Billets Reports'!D2113,SEARCH("-",'R.M Billets Reports'!D2113)+1,200)),"")),IF(ISNUMBER(SEARCH("Party Name:-",'R.M Billets Reports'!D2114)),TRIM('R.M Billets Reports'!F2114),IF(ISNUMBER(SEARCH("Party Name-",'R.M Billets Reports'!D2114)),TRIM(MID('R.M Billets Reports'!D2114,SEARCH("-",'R.M Billets Reports'!D2114)+1,200)),"")))="SHREE RADHE SHAKTI SPONGE AND POWER PVT. LTD.","SHREE RADHE",IF(IF(ISNUMBER(SEARCH("Party Name:-",'R.M Billets Reports'!D2113)),TRIM('R.M Billets Reports'!F2113),IF(ISNUMBER(SEARCH("Party Name-",'R.M Billets Reports'!D2113)),TRIM(MID('R.M Billets Reports'!D2113,SEARCH("-",'R.M Billets Reports'!D2113)+1,200)),""))&lt;&gt;"",IF(ISNUMBER(SEARCH("Party Name:-",'R.M Billets Reports'!D2113)),TRIM('R.M Billets Reports'!F2113),IF(ISNUMBER(SEARCH("Party Name-",'R.M Billets Reports'!D2113)),TRIM(MID('R.M Billets Reports'!D2113,SEARCH("-",'R.M Billets Reports'!D2113)+1,200)),"")),IF(ISNUMBER(SEARCH("Party Name:-",'R.M Billets Reports'!D2114)),TRIM('R.M Billets Reports'!F2114),IF(ISNUMBER(SEARCH("Party Name-",'R.M Billets Reports'!D2114)),TRIM(MID('R.M Billets Reports'!D2114,SEARCH("-",'R.M Billets Reports'!D2114)+1,200)),"")))))),IF(ROW()=2,"",A2113))</f>
      </c>
      <c r="B2114">
        <f>IF(OR('R.M Billets Reports'!A2113="Date-",'R.M Billets Reports'!A2113="Date:-"),'R.M Billets Reports'!B2113,IF(ROW()=2,"",B2113))</f>
      </c>
      <c r="C2114">
        <f>IF('R.M Billets Reports'!A2113="V.No.",'R.M Billets Reports'!B2113,IF(ROW()=2,"",C2113))</f>
      </c>
      <c r="D2114">
        <f>IF('R.M Billets Reports'!A2113&lt;&gt;"",'R.M Billets Reports'!A2113,IF(ROW()=2,"",D2113))</f>
      </c>
      <c r="E2114">
        <f>IF('R.M Billets Reports'!B2113="","",TRIM('R.M Billets Reports'!B2113))</f>
      </c>
      <c r="F2114">
        <f>'R.M Billets Reports'!C2113</f>
      </c>
      <c r="G2114">
        <f>'R.M Billets Reports'!D2113</f>
      </c>
      <c r="H2114">
        <f>'R.M Billets Reports'!E2113</f>
      </c>
      <c r="I2114">
        <f>'R.M Billets Reports'!F2113</f>
      </c>
      <c r="J2114">
        <f>'R.M Billets Reports'!G2113</f>
      </c>
      <c r="K2114">
        <f>'R.M Billets Reports'!H2113</f>
      </c>
      <c r="L2114">
        <f>IF('R.M Billets Reports'!I2113="","",'R.M Billets Reports'!I2113)</f>
      </c>
      <c r="M2114">
        <f t="shared" si="64"/>
      </c>
      <c r="N2114">
        <f>IF('R.M Billets Reports'!J2113="","",'R.M Billets Reports'!J2113)</f>
      </c>
      <c r="O2114">
        <f t="shared" si="65"/>
      </c>
      <c r="P2114">
        <f>IF('R.M Billets Reports'!A2113="SIZE",'R.M Billets Reports'!B2113,P2113)</f>
      </c>
    </row>
    <row r="2115" spans="1:16" x14ac:dyDescent="0.25">
      <c r="A2115">
        <f>IF(OR('R.M Billets Reports'!A2114="Date-",'R.M Billets Reports'!A2114="Date:-"),IF(IF(IF(ISNUMBER(SEARCH("Party Name:-",'R.M Billets Reports'!D2114)),TRIM('R.M Billets Reports'!F2114),IF(ISNUMBER(SEARCH("Party Name-",'R.M Billets Reports'!D2114)),TRIM(MID('R.M Billets Reports'!D2114,SEARCH("-",'R.M Billets Reports'!D2114)+1,200)),""))&lt;&gt;"",IF(ISNUMBER(SEARCH("Party Name:-",'R.M Billets Reports'!D2114)),TRIM('R.M Billets Reports'!F2114),IF(ISNUMBER(SEARCH("Party Name-",'R.M Billets Reports'!D2114)),TRIM(MID('R.M Billets Reports'!D2114,SEARCH("-",'R.M Billets Reports'!D2114)+1,200)),"")),IF(ISNUMBER(SEARCH("Party Name:-",'R.M Billets Reports'!D2115)),TRIM('R.M Billets Reports'!F2115),IF(ISNUMBER(SEARCH("Party Name-",'R.M Billets Reports'!D2115)),TRIM(MID('R.M Billets Reports'!D2115,SEARCH("-",'R.M Billets Reports'!D2115)+1,200)),"")))="VRKP ISPAT PVT LTD","VRKP",IF(IF(IF(ISNUMBER(SEARCH("Party Name:-",'R.M Billets Reports'!D2114)),TRIM('R.M Billets Reports'!F2114),IF(ISNUMBER(SEARCH("Party Name-",'R.M Billets Reports'!D2114)),TRIM(MID('R.M Billets Reports'!D2114,SEARCH("-",'R.M Billets Reports'!D2114)+1,200)),""))&lt;&gt;"",IF(ISNUMBER(SEARCH("Party Name:-",'R.M Billets Reports'!D2114)),TRIM('R.M Billets Reports'!F2114),IF(ISNUMBER(SEARCH("Party Name-",'R.M Billets Reports'!D2114)),TRIM(MID('R.M Billets Reports'!D2114,SEARCH("-",'R.M Billets Reports'!D2114)+1,200)),"")),IF(ISNUMBER(SEARCH("Party Name:-",'R.M Billets Reports'!D2115)),TRIM('R.M Billets Reports'!F2115),IF(ISNUMBER(SEARCH("Party Name-",'R.M Billets Reports'!D2115)),TRIM(MID('R.M Billets Reports'!D2115,SEARCH("-",'R.M Billets Reports'!D2115)+1,200)),"")))="SHRI RADHE","SHREE RADHE",IF(IF(IF(ISNUMBER(SEARCH("Party Name:-",'R.M Billets Reports'!D2114)),TRIM('R.M Billets Reports'!F2114),IF(ISNUMBER(SEARCH("Party Name-",'R.M Billets Reports'!D2114)),TRIM(MID('R.M Billets Reports'!D2114,SEARCH("-",'R.M Billets Reports'!D2114)+1,200)),""))&lt;&gt;"",IF(ISNUMBER(SEARCH("Party Name:-",'R.M Billets Reports'!D2114)),TRIM('R.M Billets Reports'!F2114),IF(ISNUMBER(SEARCH("Party Name-",'R.M Billets Reports'!D2114)),TRIM(MID('R.M Billets Reports'!D2114,SEARCH("-",'R.M Billets Reports'!D2114)+1,200)),"")),IF(ISNUMBER(SEARCH("Party Name:-",'R.M Billets Reports'!D2115)),TRIM('R.M Billets Reports'!F2115),IF(ISNUMBER(SEARCH("Party Name-",'R.M Billets Reports'!D2115)),TRIM(MID('R.M Billets Reports'!D2115,SEARCH("-",'R.M Billets Reports'!D2115)+1,200)),"")))="SHREE RADHE SHAKTI SPONGE AND POWER PVT. LTD.","SHREE RADHE",IF(IF(ISNUMBER(SEARCH("Party Name:-",'R.M Billets Reports'!D2114)),TRIM('R.M Billets Reports'!F2114),IF(ISNUMBER(SEARCH("Party Name-",'R.M Billets Reports'!D2114)),TRIM(MID('R.M Billets Reports'!D2114,SEARCH("-",'R.M Billets Reports'!D2114)+1,200)),""))&lt;&gt;"",IF(ISNUMBER(SEARCH("Party Name:-",'R.M Billets Reports'!D2114)),TRIM('R.M Billets Reports'!F2114),IF(ISNUMBER(SEARCH("Party Name-",'R.M Billets Reports'!D2114)),TRIM(MID('R.M Billets Reports'!D2114,SEARCH("-",'R.M Billets Reports'!D2114)+1,200)),"")),IF(ISNUMBER(SEARCH("Party Name:-",'R.M Billets Reports'!D2115)),TRIM('R.M Billets Reports'!F2115),IF(ISNUMBER(SEARCH("Party Name-",'R.M Billets Reports'!D2115)),TRIM(MID('R.M Billets Reports'!D2115,SEARCH("-",'R.M Billets Reports'!D2115)+1,200)),"")))))),IF(ROW()=2,"",A2114))</f>
      </c>
      <c r="B2115">
        <f>IF(OR('R.M Billets Reports'!A2114="Date-",'R.M Billets Reports'!A2114="Date:-"),'R.M Billets Reports'!B2114,IF(ROW()=2,"",B2114))</f>
      </c>
      <c r="C2115">
        <f>IF('R.M Billets Reports'!A2114="V.No.",'R.M Billets Reports'!B2114,IF(ROW()=2,"",C2114))</f>
      </c>
      <c r="D2115">
        <f>IF('R.M Billets Reports'!A2114&lt;&gt;"",'R.M Billets Reports'!A2114,IF(ROW()=2,"",D2114))</f>
      </c>
      <c r="E2115">
        <f>IF('R.M Billets Reports'!B2114="","",TRIM('R.M Billets Reports'!B2114))</f>
      </c>
      <c r="F2115">
        <f>'R.M Billets Reports'!C2114</f>
      </c>
      <c r="G2115">
        <f>'R.M Billets Reports'!D2114</f>
      </c>
      <c r="H2115">
        <f>'R.M Billets Reports'!E2114</f>
      </c>
      <c r="I2115">
        <f>'R.M Billets Reports'!F2114</f>
      </c>
      <c r="J2115">
        <f>'R.M Billets Reports'!G2114</f>
      </c>
      <c r="K2115">
        <f>'R.M Billets Reports'!H2114</f>
      </c>
      <c r="L2115">
        <f>IF('R.M Billets Reports'!I2114="","",'R.M Billets Reports'!I2114)</f>
      </c>
      <c r="M2115">
        <f t="shared" ref="M2115:M2178" si="66">IF(L2115&lt;&gt;"",L2115,IF(D2115=D2114,M2114,""))</f>
      </c>
      <c r="N2115">
        <f>IF('R.M Billets Reports'!J2114="","",'R.M Billets Reports'!J2114)</f>
      </c>
      <c r="O2115">
        <f t="shared" ref="O2115:O2178" si="67">IF(N2115&lt;&gt;"",N2115,IF(D2115=D2114,O2114,""))</f>
      </c>
      <c r="P2115">
        <f>IF('R.M Billets Reports'!A2114="SIZE",'R.M Billets Reports'!B2114,P2114)</f>
      </c>
    </row>
    <row r="2116" spans="1:16" x14ac:dyDescent="0.25">
      <c r="A2116">
        <f>IF(OR('R.M Billets Reports'!A2115="Date-",'R.M Billets Reports'!A2115="Date:-"),IF(IF(IF(ISNUMBER(SEARCH("Party Name:-",'R.M Billets Reports'!D2115)),TRIM('R.M Billets Reports'!F2115),IF(ISNUMBER(SEARCH("Party Name-",'R.M Billets Reports'!D2115)),TRIM(MID('R.M Billets Reports'!D2115,SEARCH("-",'R.M Billets Reports'!D2115)+1,200)),""))&lt;&gt;"",IF(ISNUMBER(SEARCH("Party Name:-",'R.M Billets Reports'!D2115)),TRIM('R.M Billets Reports'!F2115),IF(ISNUMBER(SEARCH("Party Name-",'R.M Billets Reports'!D2115)),TRIM(MID('R.M Billets Reports'!D2115,SEARCH("-",'R.M Billets Reports'!D2115)+1,200)),"")),IF(ISNUMBER(SEARCH("Party Name:-",'R.M Billets Reports'!D2116)),TRIM('R.M Billets Reports'!F2116),IF(ISNUMBER(SEARCH("Party Name-",'R.M Billets Reports'!D2116)),TRIM(MID('R.M Billets Reports'!D2116,SEARCH("-",'R.M Billets Reports'!D2116)+1,200)),"")))="VRKP ISPAT PVT LTD","VRKP",IF(IF(IF(ISNUMBER(SEARCH("Party Name:-",'R.M Billets Reports'!D2115)),TRIM('R.M Billets Reports'!F2115),IF(ISNUMBER(SEARCH("Party Name-",'R.M Billets Reports'!D2115)),TRIM(MID('R.M Billets Reports'!D2115,SEARCH("-",'R.M Billets Reports'!D2115)+1,200)),""))&lt;&gt;"",IF(ISNUMBER(SEARCH("Party Name:-",'R.M Billets Reports'!D2115)),TRIM('R.M Billets Reports'!F2115),IF(ISNUMBER(SEARCH("Party Name-",'R.M Billets Reports'!D2115)),TRIM(MID('R.M Billets Reports'!D2115,SEARCH("-",'R.M Billets Reports'!D2115)+1,200)),"")),IF(ISNUMBER(SEARCH("Party Name:-",'R.M Billets Reports'!D2116)),TRIM('R.M Billets Reports'!F2116),IF(ISNUMBER(SEARCH("Party Name-",'R.M Billets Reports'!D2116)),TRIM(MID('R.M Billets Reports'!D2116,SEARCH("-",'R.M Billets Reports'!D2116)+1,200)),"")))="SHRI RADHE","SHREE RADHE",IF(IF(IF(ISNUMBER(SEARCH("Party Name:-",'R.M Billets Reports'!D2115)),TRIM('R.M Billets Reports'!F2115),IF(ISNUMBER(SEARCH("Party Name-",'R.M Billets Reports'!D2115)),TRIM(MID('R.M Billets Reports'!D2115,SEARCH("-",'R.M Billets Reports'!D2115)+1,200)),""))&lt;&gt;"",IF(ISNUMBER(SEARCH("Party Name:-",'R.M Billets Reports'!D2115)),TRIM('R.M Billets Reports'!F2115),IF(ISNUMBER(SEARCH("Party Name-",'R.M Billets Reports'!D2115)),TRIM(MID('R.M Billets Reports'!D2115,SEARCH("-",'R.M Billets Reports'!D2115)+1,200)),"")),IF(ISNUMBER(SEARCH("Party Name:-",'R.M Billets Reports'!D2116)),TRIM('R.M Billets Reports'!F2116),IF(ISNUMBER(SEARCH("Party Name-",'R.M Billets Reports'!D2116)),TRIM(MID('R.M Billets Reports'!D2116,SEARCH("-",'R.M Billets Reports'!D2116)+1,200)),"")))="SHREE RADHE SHAKTI SPONGE AND POWER PVT. LTD.","SHREE RADHE",IF(IF(ISNUMBER(SEARCH("Party Name:-",'R.M Billets Reports'!D2115)),TRIM('R.M Billets Reports'!F2115),IF(ISNUMBER(SEARCH("Party Name-",'R.M Billets Reports'!D2115)),TRIM(MID('R.M Billets Reports'!D2115,SEARCH("-",'R.M Billets Reports'!D2115)+1,200)),""))&lt;&gt;"",IF(ISNUMBER(SEARCH("Party Name:-",'R.M Billets Reports'!D2115)),TRIM('R.M Billets Reports'!F2115),IF(ISNUMBER(SEARCH("Party Name-",'R.M Billets Reports'!D2115)),TRIM(MID('R.M Billets Reports'!D2115,SEARCH("-",'R.M Billets Reports'!D2115)+1,200)),"")),IF(ISNUMBER(SEARCH("Party Name:-",'R.M Billets Reports'!D2116)),TRIM('R.M Billets Reports'!F2116),IF(ISNUMBER(SEARCH("Party Name-",'R.M Billets Reports'!D2116)),TRIM(MID('R.M Billets Reports'!D2116,SEARCH("-",'R.M Billets Reports'!D2116)+1,200)),"")))))),IF(ROW()=2,"",A2115))</f>
      </c>
      <c r="B2116">
        <f>IF(OR('R.M Billets Reports'!A2115="Date-",'R.M Billets Reports'!A2115="Date:-"),'R.M Billets Reports'!B2115,IF(ROW()=2,"",B2115))</f>
      </c>
      <c r="C2116">
        <f>IF('R.M Billets Reports'!A2115="V.No.",'R.M Billets Reports'!B2115,IF(ROW()=2,"",C2115))</f>
      </c>
      <c r="D2116">
        <f>IF('R.M Billets Reports'!A2115&lt;&gt;"",'R.M Billets Reports'!A2115,IF(ROW()=2,"",D2115))</f>
      </c>
      <c r="E2116">
        <f>IF('R.M Billets Reports'!B2115="","",TRIM('R.M Billets Reports'!B2115))</f>
      </c>
      <c r="F2116">
        <f>'R.M Billets Reports'!C2115</f>
      </c>
      <c r="G2116">
        <f>'R.M Billets Reports'!D2115</f>
      </c>
      <c r="H2116">
        <f>'R.M Billets Reports'!E2115</f>
      </c>
      <c r="I2116">
        <f>'R.M Billets Reports'!F2115</f>
      </c>
      <c r="J2116">
        <f>'R.M Billets Reports'!G2115</f>
      </c>
      <c r="K2116">
        <f>'R.M Billets Reports'!H2115</f>
      </c>
      <c r="L2116">
        <f>IF('R.M Billets Reports'!I2115="","",'R.M Billets Reports'!I2115)</f>
      </c>
      <c r="M2116">
        <f t="shared" si="66"/>
      </c>
      <c r="N2116">
        <f>IF('R.M Billets Reports'!J2115="","",'R.M Billets Reports'!J2115)</f>
      </c>
      <c r="O2116">
        <f t="shared" si="67"/>
      </c>
      <c r="P2116">
        <f>IF('R.M Billets Reports'!A2115="SIZE",'R.M Billets Reports'!B2115,P2115)</f>
      </c>
    </row>
    <row r="2117" spans="1:16" x14ac:dyDescent="0.25">
      <c r="A2117">
        <f>IF(OR('R.M Billets Reports'!A2116="Date-",'R.M Billets Reports'!A2116="Date:-"),IF(IF(IF(ISNUMBER(SEARCH("Party Name:-",'R.M Billets Reports'!D2116)),TRIM('R.M Billets Reports'!F2116),IF(ISNUMBER(SEARCH("Party Name-",'R.M Billets Reports'!D2116)),TRIM(MID('R.M Billets Reports'!D2116,SEARCH("-",'R.M Billets Reports'!D2116)+1,200)),""))&lt;&gt;"",IF(ISNUMBER(SEARCH("Party Name:-",'R.M Billets Reports'!D2116)),TRIM('R.M Billets Reports'!F2116),IF(ISNUMBER(SEARCH("Party Name-",'R.M Billets Reports'!D2116)),TRIM(MID('R.M Billets Reports'!D2116,SEARCH("-",'R.M Billets Reports'!D2116)+1,200)),"")),IF(ISNUMBER(SEARCH("Party Name:-",'R.M Billets Reports'!D2117)),TRIM('R.M Billets Reports'!F2117),IF(ISNUMBER(SEARCH("Party Name-",'R.M Billets Reports'!D2117)),TRIM(MID('R.M Billets Reports'!D2117,SEARCH("-",'R.M Billets Reports'!D2117)+1,200)),"")))="VRKP ISPAT PVT LTD","VRKP",IF(IF(IF(ISNUMBER(SEARCH("Party Name:-",'R.M Billets Reports'!D2116)),TRIM('R.M Billets Reports'!F2116),IF(ISNUMBER(SEARCH("Party Name-",'R.M Billets Reports'!D2116)),TRIM(MID('R.M Billets Reports'!D2116,SEARCH("-",'R.M Billets Reports'!D2116)+1,200)),""))&lt;&gt;"",IF(ISNUMBER(SEARCH("Party Name:-",'R.M Billets Reports'!D2116)),TRIM('R.M Billets Reports'!F2116),IF(ISNUMBER(SEARCH("Party Name-",'R.M Billets Reports'!D2116)),TRIM(MID('R.M Billets Reports'!D2116,SEARCH("-",'R.M Billets Reports'!D2116)+1,200)),"")),IF(ISNUMBER(SEARCH("Party Name:-",'R.M Billets Reports'!D2117)),TRIM('R.M Billets Reports'!F2117),IF(ISNUMBER(SEARCH("Party Name-",'R.M Billets Reports'!D2117)),TRIM(MID('R.M Billets Reports'!D2117,SEARCH("-",'R.M Billets Reports'!D2117)+1,200)),"")))="SHRI RADHE","SHREE RADHE",IF(IF(IF(ISNUMBER(SEARCH("Party Name:-",'R.M Billets Reports'!D2116)),TRIM('R.M Billets Reports'!F2116),IF(ISNUMBER(SEARCH("Party Name-",'R.M Billets Reports'!D2116)),TRIM(MID('R.M Billets Reports'!D2116,SEARCH("-",'R.M Billets Reports'!D2116)+1,200)),""))&lt;&gt;"",IF(ISNUMBER(SEARCH("Party Name:-",'R.M Billets Reports'!D2116)),TRIM('R.M Billets Reports'!F2116),IF(ISNUMBER(SEARCH("Party Name-",'R.M Billets Reports'!D2116)),TRIM(MID('R.M Billets Reports'!D2116,SEARCH("-",'R.M Billets Reports'!D2116)+1,200)),"")),IF(ISNUMBER(SEARCH("Party Name:-",'R.M Billets Reports'!D2117)),TRIM('R.M Billets Reports'!F2117),IF(ISNUMBER(SEARCH("Party Name-",'R.M Billets Reports'!D2117)),TRIM(MID('R.M Billets Reports'!D2117,SEARCH("-",'R.M Billets Reports'!D2117)+1,200)),"")))="SHREE RADHE SHAKTI SPONGE AND POWER PVT. LTD.","SHREE RADHE",IF(IF(ISNUMBER(SEARCH("Party Name:-",'R.M Billets Reports'!D2116)),TRIM('R.M Billets Reports'!F2116),IF(ISNUMBER(SEARCH("Party Name-",'R.M Billets Reports'!D2116)),TRIM(MID('R.M Billets Reports'!D2116,SEARCH("-",'R.M Billets Reports'!D2116)+1,200)),""))&lt;&gt;"",IF(ISNUMBER(SEARCH("Party Name:-",'R.M Billets Reports'!D2116)),TRIM('R.M Billets Reports'!F2116),IF(ISNUMBER(SEARCH("Party Name-",'R.M Billets Reports'!D2116)),TRIM(MID('R.M Billets Reports'!D2116,SEARCH("-",'R.M Billets Reports'!D2116)+1,200)),"")),IF(ISNUMBER(SEARCH("Party Name:-",'R.M Billets Reports'!D2117)),TRIM('R.M Billets Reports'!F2117),IF(ISNUMBER(SEARCH("Party Name-",'R.M Billets Reports'!D2117)),TRIM(MID('R.M Billets Reports'!D2117,SEARCH("-",'R.M Billets Reports'!D2117)+1,200)),"")))))),IF(ROW()=2,"",A2116))</f>
      </c>
      <c r="B2117">
        <f>IF(OR('R.M Billets Reports'!A2116="Date-",'R.M Billets Reports'!A2116="Date:-"),'R.M Billets Reports'!B2116,IF(ROW()=2,"",B2116))</f>
      </c>
      <c r="C2117">
        <f>IF('R.M Billets Reports'!A2116="V.No.",'R.M Billets Reports'!B2116,IF(ROW()=2,"",C2116))</f>
      </c>
      <c r="D2117">
        <f>IF('R.M Billets Reports'!A2116&lt;&gt;"",'R.M Billets Reports'!A2116,IF(ROW()=2,"",D2116))</f>
      </c>
      <c r="E2117">
        <f>IF('R.M Billets Reports'!B2116="","",TRIM('R.M Billets Reports'!B2116))</f>
      </c>
      <c r="F2117">
        <f>'R.M Billets Reports'!C2116</f>
      </c>
      <c r="G2117">
        <f>'R.M Billets Reports'!D2116</f>
      </c>
      <c r="H2117">
        <f>'R.M Billets Reports'!E2116</f>
      </c>
      <c r="I2117">
        <f>'R.M Billets Reports'!F2116</f>
      </c>
      <c r="J2117">
        <f>'R.M Billets Reports'!G2116</f>
      </c>
      <c r="K2117">
        <f>'R.M Billets Reports'!H2116</f>
      </c>
      <c r="L2117">
        <f>IF('R.M Billets Reports'!I2116="","",'R.M Billets Reports'!I2116)</f>
      </c>
      <c r="M2117">
        <f t="shared" si="66"/>
      </c>
      <c r="N2117">
        <f>IF('R.M Billets Reports'!J2116="","",'R.M Billets Reports'!J2116)</f>
      </c>
      <c r="O2117">
        <f t="shared" si="67"/>
      </c>
      <c r="P2117">
        <f>IF('R.M Billets Reports'!A2116="SIZE",'R.M Billets Reports'!B2116,P2116)</f>
      </c>
    </row>
    <row r="2118" spans="1:16" x14ac:dyDescent="0.25">
      <c r="A2118">
        <f>IF(OR('R.M Billets Reports'!A2117="Date-",'R.M Billets Reports'!A2117="Date:-"),IF(IF(IF(ISNUMBER(SEARCH("Party Name:-",'R.M Billets Reports'!D2117)),TRIM('R.M Billets Reports'!F2117),IF(ISNUMBER(SEARCH("Party Name-",'R.M Billets Reports'!D2117)),TRIM(MID('R.M Billets Reports'!D2117,SEARCH("-",'R.M Billets Reports'!D2117)+1,200)),""))&lt;&gt;"",IF(ISNUMBER(SEARCH("Party Name:-",'R.M Billets Reports'!D2117)),TRIM('R.M Billets Reports'!F2117),IF(ISNUMBER(SEARCH("Party Name-",'R.M Billets Reports'!D2117)),TRIM(MID('R.M Billets Reports'!D2117,SEARCH("-",'R.M Billets Reports'!D2117)+1,200)),"")),IF(ISNUMBER(SEARCH("Party Name:-",'R.M Billets Reports'!D2118)),TRIM('R.M Billets Reports'!F2118),IF(ISNUMBER(SEARCH("Party Name-",'R.M Billets Reports'!D2118)),TRIM(MID('R.M Billets Reports'!D2118,SEARCH("-",'R.M Billets Reports'!D2118)+1,200)),"")))="VRKP ISPAT PVT LTD","VRKP",IF(IF(IF(ISNUMBER(SEARCH("Party Name:-",'R.M Billets Reports'!D2117)),TRIM('R.M Billets Reports'!F2117),IF(ISNUMBER(SEARCH("Party Name-",'R.M Billets Reports'!D2117)),TRIM(MID('R.M Billets Reports'!D2117,SEARCH("-",'R.M Billets Reports'!D2117)+1,200)),""))&lt;&gt;"",IF(ISNUMBER(SEARCH("Party Name:-",'R.M Billets Reports'!D2117)),TRIM('R.M Billets Reports'!F2117),IF(ISNUMBER(SEARCH("Party Name-",'R.M Billets Reports'!D2117)),TRIM(MID('R.M Billets Reports'!D2117,SEARCH("-",'R.M Billets Reports'!D2117)+1,200)),"")),IF(ISNUMBER(SEARCH("Party Name:-",'R.M Billets Reports'!D2118)),TRIM('R.M Billets Reports'!F2118),IF(ISNUMBER(SEARCH("Party Name-",'R.M Billets Reports'!D2118)),TRIM(MID('R.M Billets Reports'!D2118,SEARCH("-",'R.M Billets Reports'!D2118)+1,200)),"")))="SHRI RADHE","SHREE RADHE",IF(IF(IF(ISNUMBER(SEARCH("Party Name:-",'R.M Billets Reports'!D2117)),TRIM('R.M Billets Reports'!F2117),IF(ISNUMBER(SEARCH("Party Name-",'R.M Billets Reports'!D2117)),TRIM(MID('R.M Billets Reports'!D2117,SEARCH("-",'R.M Billets Reports'!D2117)+1,200)),""))&lt;&gt;"",IF(ISNUMBER(SEARCH("Party Name:-",'R.M Billets Reports'!D2117)),TRIM('R.M Billets Reports'!F2117),IF(ISNUMBER(SEARCH("Party Name-",'R.M Billets Reports'!D2117)),TRIM(MID('R.M Billets Reports'!D2117,SEARCH("-",'R.M Billets Reports'!D2117)+1,200)),"")),IF(ISNUMBER(SEARCH("Party Name:-",'R.M Billets Reports'!D2118)),TRIM('R.M Billets Reports'!F2118),IF(ISNUMBER(SEARCH("Party Name-",'R.M Billets Reports'!D2118)),TRIM(MID('R.M Billets Reports'!D2118,SEARCH("-",'R.M Billets Reports'!D2118)+1,200)),"")))="SHREE RADHE SHAKTI SPONGE AND POWER PVT. LTD.","SHREE RADHE",IF(IF(ISNUMBER(SEARCH("Party Name:-",'R.M Billets Reports'!D2117)),TRIM('R.M Billets Reports'!F2117),IF(ISNUMBER(SEARCH("Party Name-",'R.M Billets Reports'!D2117)),TRIM(MID('R.M Billets Reports'!D2117,SEARCH("-",'R.M Billets Reports'!D2117)+1,200)),""))&lt;&gt;"",IF(ISNUMBER(SEARCH("Party Name:-",'R.M Billets Reports'!D2117)),TRIM('R.M Billets Reports'!F2117),IF(ISNUMBER(SEARCH("Party Name-",'R.M Billets Reports'!D2117)),TRIM(MID('R.M Billets Reports'!D2117,SEARCH("-",'R.M Billets Reports'!D2117)+1,200)),"")),IF(ISNUMBER(SEARCH("Party Name:-",'R.M Billets Reports'!D2118)),TRIM('R.M Billets Reports'!F2118),IF(ISNUMBER(SEARCH("Party Name-",'R.M Billets Reports'!D2118)),TRIM(MID('R.M Billets Reports'!D2118,SEARCH("-",'R.M Billets Reports'!D2118)+1,200)),"")))))),IF(ROW()=2,"",A2117))</f>
      </c>
      <c r="B2118">
        <f>IF(OR('R.M Billets Reports'!A2117="Date-",'R.M Billets Reports'!A2117="Date:-"),'R.M Billets Reports'!B2117,IF(ROW()=2,"",B2117))</f>
      </c>
      <c r="C2118">
        <f>IF('R.M Billets Reports'!A2117="V.No.",'R.M Billets Reports'!B2117,IF(ROW()=2,"",C2117))</f>
      </c>
      <c r="D2118">
        <f>IF('R.M Billets Reports'!A2117&lt;&gt;"",'R.M Billets Reports'!A2117,IF(ROW()=2,"",D2117))</f>
      </c>
      <c r="E2118">
        <f>IF('R.M Billets Reports'!B2117="","",TRIM('R.M Billets Reports'!B2117))</f>
      </c>
      <c r="F2118">
        <f>'R.M Billets Reports'!C2117</f>
      </c>
      <c r="G2118">
        <f>'R.M Billets Reports'!D2117</f>
      </c>
      <c r="H2118">
        <f>'R.M Billets Reports'!E2117</f>
      </c>
      <c r="I2118">
        <f>'R.M Billets Reports'!F2117</f>
      </c>
      <c r="J2118">
        <f>'R.M Billets Reports'!G2117</f>
      </c>
      <c r="K2118">
        <f>'R.M Billets Reports'!H2117</f>
      </c>
      <c r="L2118">
        <f>IF('R.M Billets Reports'!I2117="","",'R.M Billets Reports'!I2117)</f>
      </c>
      <c r="M2118">
        <f t="shared" si="66"/>
      </c>
      <c r="N2118">
        <f>IF('R.M Billets Reports'!J2117="","",'R.M Billets Reports'!J2117)</f>
      </c>
      <c r="O2118">
        <f t="shared" si="67"/>
      </c>
      <c r="P2118">
        <f>IF('R.M Billets Reports'!A2117="SIZE",'R.M Billets Reports'!B2117,P2117)</f>
      </c>
    </row>
    <row r="2119" spans="1:16" x14ac:dyDescent="0.25">
      <c r="A2119">
        <f>IF(OR('R.M Billets Reports'!A2118="Date-",'R.M Billets Reports'!A2118="Date:-"),IF(IF(IF(ISNUMBER(SEARCH("Party Name:-",'R.M Billets Reports'!D2118)),TRIM('R.M Billets Reports'!F2118),IF(ISNUMBER(SEARCH("Party Name-",'R.M Billets Reports'!D2118)),TRIM(MID('R.M Billets Reports'!D2118,SEARCH("-",'R.M Billets Reports'!D2118)+1,200)),""))&lt;&gt;"",IF(ISNUMBER(SEARCH("Party Name:-",'R.M Billets Reports'!D2118)),TRIM('R.M Billets Reports'!F2118),IF(ISNUMBER(SEARCH("Party Name-",'R.M Billets Reports'!D2118)),TRIM(MID('R.M Billets Reports'!D2118,SEARCH("-",'R.M Billets Reports'!D2118)+1,200)),"")),IF(ISNUMBER(SEARCH("Party Name:-",'R.M Billets Reports'!D2119)),TRIM('R.M Billets Reports'!F2119),IF(ISNUMBER(SEARCH("Party Name-",'R.M Billets Reports'!D2119)),TRIM(MID('R.M Billets Reports'!D2119,SEARCH("-",'R.M Billets Reports'!D2119)+1,200)),"")))="VRKP ISPAT PVT LTD","VRKP",IF(IF(IF(ISNUMBER(SEARCH("Party Name:-",'R.M Billets Reports'!D2118)),TRIM('R.M Billets Reports'!F2118),IF(ISNUMBER(SEARCH("Party Name-",'R.M Billets Reports'!D2118)),TRIM(MID('R.M Billets Reports'!D2118,SEARCH("-",'R.M Billets Reports'!D2118)+1,200)),""))&lt;&gt;"",IF(ISNUMBER(SEARCH("Party Name:-",'R.M Billets Reports'!D2118)),TRIM('R.M Billets Reports'!F2118),IF(ISNUMBER(SEARCH("Party Name-",'R.M Billets Reports'!D2118)),TRIM(MID('R.M Billets Reports'!D2118,SEARCH("-",'R.M Billets Reports'!D2118)+1,200)),"")),IF(ISNUMBER(SEARCH("Party Name:-",'R.M Billets Reports'!D2119)),TRIM('R.M Billets Reports'!F2119),IF(ISNUMBER(SEARCH("Party Name-",'R.M Billets Reports'!D2119)),TRIM(MID('R.M Billets Reports'!D2119,SEARCH("-",'R.M Billets Reports'!D2119)+1,200)),"")))="SHRI RADHE","SHREE RADHE",IF(IF(IF(ISNUMBER(SEARCH("Party Name:-",'R.M Billets Reports'!D2118)),TRIM('R.M Billets Reports'!F2118),IF(ISNUMBER(SEARCH("Party Name-",'R.M Billets Reports'!D2118)),TRIM(MID('R.M Billets Reports'!D2118,SEARCH("-",'R.M Billets Reports'!D2118)+1,200)),""))&lt;&gt;"",IF(ISNUMBER(SEARCH("Party Name:-",'R.M Billets Reports'!D2118)),TRIM('R.M Billets Reports'!F2118),IF(ISNUMBER(SEARCH("Party Name-",'R.M Billets Reports'!D2118)),TRIM(MID('R.M Billets Reports'!D2118,SEARCH("-",'R.M Billets Reports'!D2118)+1,200)),"")),IF(ISNUMBER(SEARCH("Party Name:-",'R.M Billets Reports'!D2119)),TRIM('R.M Billets Reports'!F2119),IF(ISNUMBER(SEARCH("Party Name-",'R.M Billets Reports'!D2119)),TRIM(MID('R.M Billets Reports'!D2119,SEARCH("-",'R.M Billets Reports'!D2119)+1,200)),"")))="SHREE RADHE SHAKTI SPONGE AND POWER PVT. LTD.","SHREE RADHE",IF(IF(ISNUMBER(SEARCH("Party Name:-",'R.M Billets Reports'!D2118)),TRIM('R.M Billets Reports'!F2118),IF(ISNUMBER(SEARCH("Party Name-",'R.M Billets Reports'!D2118)),TRIM(MID('R.M Billets Reports'!D2118,SEARCH("-",'R.M Billets Reports'!D2118)+1,200)),""))&lt;&gt;"",IF(ISNUMBER(SEARCH("Party Name:-",'R.M Billets Reports'!D2118)),TRIM('R.M Billets Reports'!F2118),IF(ISNUMBER(SEARCH("Party Name-",'R.M Billets Reports'!D2118)),TRIM(MID('R.M Billets Reports'!D2118,SEARCH("-",'R.M Billets Reports'!D2118)+1,200)),"")),IF(ISNUMBER(SEARCH("Party Name:-",'R.M Billets Reports'!D2119)),TRIM('R.M Billets Reports'!F2119),IF(ISNUMBER(SEARCH("Party Name-",'R.M Billets Reports'!D2119)),TRIM(MID('R.M Billets Reports'!D2119,SEARCH("-",'R.M Billets Reports'!D2119)+1,200)),"")))))),IF(ROW()=2,"",A2118))</f>
      </c>
      <c r="B2119">
        <f>IF(OR('R.M Billets Reports'!A2118="Date-",'R.M Billets Reports'!A2118="Date:-"),'R.M Billets Reports'!B2118,IF(ROW()=2,"",B2118))</f>
      </c>
      <c r="C2119">
        <f>IF('R.M Billets Reports'!A2118="V.No.",'R.M Billets Reports'!B2118,IF(ROW()=2,"",C2118))</f>
      </c>
      <c r="D2119">
        <f>IF('R.M Billets Reports'!A2118&lt;&gt;"",'R.M Billets Reports'!A2118,IF(ROW()=2,"",D2118))</f>
      </c>
      <c r="E2119">
        <f>IF('R.M Billets Reports'!B2118="","",TRIM('R.M Billets Reports'!B2118))</f>
      </c>
      <c r="F2119">
        <f>'R.M Billets Reports'!C2118</f>
      </c>
      <c r="G2119">
        <f>'R.M Billets Reports'!D2118</f>
      </c>
      <c r="H2119">
        <f>'R.M Billets Reports'!E2118</f>
      </c>
      <c r="I2119">
        <f>'R.M Billets Reports'!F2118</f>
      </c>
      <c r="J2119">
        <f>'R.M Billets Reports'!G2118</f>
      </c>
      <c r="K2119">
        <f>'R.M Billets Reports'!H2118</f>
      </c>
      <c r="L2119">
        <f>IF('R.M Billets Reports'!I2118="","",'R.M Billets Reports'!I2118)</f>
      </c>
      <c r="M2119">
        <f t="shared" si="66"/>
      </c>
      <c r="N2119">
        <f>IF('R.M Billets Reports'!J2118="","",'R.M Billets Reports'!J2118)</f>
      </c>
      <c r="O2119">
        <f t="shared" si="67"/>
      </c>
      <c r="P2119">
        <f>IF('R.M Billets Reports'!A2118="SIZE",'R.M Billets Reports'!B2118,P2118)</f>
      </c>
    </row>
    <row r="2120" spans="1:16" x14ac:dyDescent="0.25">
      <c r="A2120">
        <f>IF(OR('R.M Billets Reports'!A2119="Date-",'R.M Billets Reports'!A2119="Date:-"),IF(IF(IF(ISNUMBER(SEARCH("Party Name:-",'R.M Billets Reports'!D2119)),TRIM('R.M Billets Reports'!F2119),IF(ISNUMBER(SEARCH("Party Name-",'R.M Billets Reports'!D2119)),TRIM(MID('R.M Billets Reports'!D2119,SEARCH("-",'R.M Billets Reports'!D2119)+1,200)),""))&lt;&gt;"",IF(ISNUMBER(SEARCH("Party Name:-",'R.M Billets Reports'!D2119)),TRIM('R.M Billets Reports'!F2119),IF(ISNUMBER(SEARCH("Party Name-",'R.M Billets Reports'!D2119)),TRIM(MID('R.M Billets Reports'!D2119,SEARCH("-",'R.M Billets Reports'!D2119)+1,200)),"")),IF(ISNUMBER(SEARCH("Party Name:-",'R.M Billets Reports'!D2120)),TRIM('R.M Billets Reports'!F2120),IF(ISNUMBER(SEARCH("Party Name-",'R.M Billets Reports'!D2120)),TRIM(MID('R.M Billets Reports'!D2120,SEARCH("-",'R.M Billets Reports'!D2120)+1,200)),"")))="VRKP ISPAT PVT LTD","VRKP",IF(IF(IF(ISNUMBER(SEARCH("Party Name:-",'R.M Billets Reports'!D2119)),TRIM('R.M Billets Reports'!F2119),IF(ISNUMBER(SEARCH("Party Name-",'R.M Billets Reports'!D2119)),TRIM(MID('R.M Billets Reports'!D2119,SEARCH("-",'R.M Billets Reports'!D2119)+1,200)),""))&lt;&gt;"",IF(ISNUMBER(SEARCH("Party Name:-",'R.M Billets Reports'!D2119)),TRIM('R.M Billets Reports'!F2119),IF(ISNUMBER(SEARCH("Party Name-",'R.M Billets Reports'!D2119)),TRIM(MID('R.M Billets Reports'!D2119,SEARCH("-",'R.M Billets Reports'!D2119)+1,200)),"")),IF(ISNUMBER(SEARCH("Party Name:-",'R.M Billets Reports'!D2120)),TRIM('R.M Billets Reports'!F2120),IF(ISNUMBER(SEARCH("Party Name-",'R.M Billets Reports'!D2120)),TRIM(MID('R.M Billets Reports'!D2120,SEARCH("-",'R.M Billets Reports'!D2120)+1,200)),"")))="SHRI RADHE","SHREE RADHE",IF(IF(IF(ISNUMBER(SEARCH("Party Name:-",'R.M Billets Reports'!D2119)),TRIM('R.M Billets Reports'!F2119),IF(ISNUMBER(SEARCH("Party Name-",'R.M Billets Reports'!D2119)),TRIM(MID('R.M Billets Reports'!D2119,SEARCH("-",'R.M Billets Reports'!D2119)+1,200)),""))&lt;&gt;"",IF(ISNUMBER(SEARCH("Party Name:-",'R.M Billets Reports'!D2119)),TRIM('R.M Billets Reports'!F2119),IF(ISNUMBER(SEARCH("Party Name-",'R.M Billets Reports'!D2119)),TRIM(MID('R.M Billets Reports'!D2119,SEARCH("-",'R.M Billets Reports'!D2119)+1,200)),"")),IF(ISNUMBER(SEARCH("Party Name:-",'R.M Billets Reports'!D2120)),TRIM('R.M Billets Reports'!F2120),IF(ISNUMBER(SEARCH("Party Name-",'R.M Billets Reports'!D2120)),TRIM(MID('R.M Billets Reports'!D2120,SEARCH("-",'R.M Billets Reports'!D2120)+1,200)),"")))="SHREE RADHE SHAKTI SPONGE AND POWER PVT. LTD.","SHREE RADHE",IF(IF(ISNUMBER(SEARCH("Party Name:-",'R.M Billets Reports'!D2119)),TRIM('R.M Billets Reports'!F2119),IF(ISNUMBER(SEARCH("Party Name-",'R.M Billets Reports'!D2119)),TRIM(MID('R.M Billets Reports'!D2119,SEARCH("-",'R.M Billets Reports'!D2119)+1,200)),""))&lt;&gt;"",IF(ISNUMBER(SEARCH("Party Name:-",'R.M Billets Reports'!D2119)),TRIM('R.M Billets Reports'!F2119),IF(ISNUMBER(SEARCH("Party Name-",'R.M Billets Reports'!D2119)),TRIM(MID('R.M Billets Reports'!D2119,SEARCH("-",'R.M Billets Reports'!D2119)+1,200)),"")),IF(ISNUMBER(SEARCH("Party Name:-",'R.M Billets Reports'!D2120)),TRIM('R.M Billets Reports'!F2120),IF(ISNUMBER(SEARCH("Party Name-",'R.M Billets Reports'!D2120)),TRIM(MID('R.M Billets Reports'!D2120,SEARCH("-",'R.M Billets Reports'!D2120)+1,200)),"")))))),IF(ROW()=2,"",A2119))</f>
      </c>
      <c r="B2120">
        <f>IF(OR('R.M Billets Reports'!A2119="Date-",'R.M Billets Reports'!A2119="Date:-"),'R.M Billets Reports'!B2119,IF(ROW()=2,"",B2119))</f>
      </c>
      <c r="C2120">
        <f>IF('R.M Billets Reports'!A2119="V.No.",'R.M Billets Reports'!B2119,IF(ROW()=2,"",C2119))</f>
      </c>
      <c r="D2120">
        <f>IF('R.M Billets Reports'!A2119&lt;&gt;"",'R.M Billets Reports'!A2119,IF(ROW()=2,"",D2119))</f>
      </c>
      <c r="E2120">
        <f>IF('R.M Billets Reports'!B2119="","",TRIM('R.M Billets Reports'!B2119))</f>
      </c>
      <c r="F2120">
        <f>'R.M Billets Reports'!C2119</f>
      </c>
      <c r="G2120">
        <f>'R.M Billets Reports'!D2119</f>
      </c>
      <c r="H2120">
        <f>'R.M Billets Reports'!E2119</f>
      </c>
      <c r="I2120">
        <f>'R.M Billets Reports'!F2119</f>
      </c>
      <c r="J2120">
        <f>'R.M Billets Reports'!G2119</f>
      </c>
      <c r="K2120">
        <f>'R.M Billets Reports'!H2119</f>
      </c>
      <c r="L2120">
        <f>IF('R.M Billets Reports'!I2119="","",'R.M Billets Reports'!I2119)</f>
      </c>
      <c r="M2120">
        <f t="shared" si="66"/>
      </c>
      <c r="N2120">
        <f>IF('R.M Billets Reports'!J2119="","",'R.M Billets Reports'!J2119)</f>
      </c>
      <c r="O2120">
        <f t="shared" si="67"/>
      </c>
      <c r="P2120">
        <f>IF('R.M Billets Reports'!A2119="SIZE",'R.M Billets Reports'!B2119,P2119)</f>
      </c>
    </row>
    <row r="2121" spans="1:16" x14ac:dyDescent="0.25">
      <c r="A2121">
        <f>IF(OR('R.M Billets Reports'!A2120="Date-",'R.M Billets Reports'!A2120="Date:-"),IF(IF(IF(ISNUMBER(SEARCH("Party Name:-",'R.M Billets Reports'!D2120)),TRIM('R.M Billets Reports'!F2120),IF(ISNUMBER(SEARCH("Party Name-",'R.M Billets Reports'!D2120)),TRIM(MID('R.M Billets Reports'!D2120,SEARCH("-",'R.M Billets Reports'!D2120)+1,200)),""))&lt;&gt;"",IF(ISNUMBER(SEARCH("Party Name:-",'R.M Billets Reports'!D2120)),TRIM('R.M Billets Reports'!F2120),IF(ISNUMBER(SEARCH("Party Name-",'R.M Billets Reports'!D2120)),TRIM(MID('R.M Billets Reports'!D2120,SEARCH("-",'R.M Billets Reports'!D2120)+1,200)),"")),IF(ISNUMBER(SEARCH("Party Name:-",'R.M Billets Reports'!D2121)),TRIM('R.M Billets Reports'!F2121),IF(ISNUMBER(SEARCH("Party Name-",'R.M Billets Reports'!D2121)),TRIM(MID('R.M Billets Reports'!D2121,SEARCH("-",'R.M Billets Reports'!D2121)+1,200)),"")))="VRKP ISPAT PVT LTD","VRKP",IF(IF(IF(ISNUMBER(SEARCH("Party Name:-",'R.M Billets Reports'!D2120)),TRIM('R.M Billets Reports'!F2120),IF(ISNUMBER(SEARCH("Party Name-",'R.M Billets Reports'!D2120)),TRIM(MID('R.M Billets Reports'!D2120,SEARCH("-",'R.M Billets Reports'!D2120)+1,200)),""))&lt;&gt;"",IF(ISNUMBER(SEARCH("Party Name:-",'R.M Billets Reports'!D2120)),TRIM('R.M Billets Reports'!F2120),IF(ISNUMBER(SEARCH("Party Name-",'R.M Billets Reports'!D2120)),TRIM(MID('R.M Billets Reports'!D2120,SEARCH("-",'R.M Billets Reports'!D2120)+1,200)),"")),IF(ISNUMBER(SEARCH("Party Name:-",'R.M Billets Reports'!D2121)),TRIM('R.M Billets Reports'!F2121),IF(ISNUMBER(SEARCH("Party Name-",'R.M Billets Reports'!D2121)),TRIM(MID('R.M Billets Reports'!D2121,SEARCH("-",'R.M Billets Reports'!D2121)+1,200)),"")))="SHRI RADHE","SHREE RADHE",IF(IF(IF(ISNUMBER(SEARCH("Party Name:-",'R.M Billets Reports'!D2120)),TRIM('R.M Billets Reports'!F2120),IF(ISNUMBER(SEARCH("Party Name-",'R.M Billets Reports'!D2120)),TRIM(MID('R.M Billets Reports'!D2120,SEARCH("-",'R.M Billets Reports'!D2120)+1,200)),""))&lt;&gt;"",IF(ISNUMBER(SEARCH("Party Name:-",'R.M Billets Reports'!D2120)),TRIM('R.M Billets Reports'!F2120),IF(ISNUMBER(SEARCH("Party Name-",'R.M Billets Reports'!D2120)),TRIM(MID('R.M Billets Reports'!D2120,SEARCH("-",'R.M Billets Reports'!D2120)+1,200)),"")),IF(ISNUMBER(SEARCH("Party Name:-",'R.M Billets Reports'!D2121)),TRIM('R.M Billets Reports'!F2121),IF(ISNUMBER(SEARCH("Party Name-",'R.M Billets Reports'!D2121)),TRIM(MID('R.M Billets Reports'!D2121,SEARCH("-",'R.M Billets Reports'!D2121)+1,200)),"")))="SHREE RADHE SHAKTI SPONGE AND POWER PVT. LTD.","SHREE RADHE",IF(IF(ISNUMBER(SEARCH("Party Name:-",'R.M Billets Reports'!D2120)),TRIM('R.M Billets Reports'!F2120),IF(ISNUMBER(SEARCH("Party Name-",'R.M Billets Reports'!D2120)),TRIM(MID('R.M Billets Reports'!D2120,SEARCH("-",'R.M Billets Reports'!D2120)+1,200)),""))&lt;&gt;"",IF(ISNUMBER(SEARCH("Party Name:-",'R.M Billets Reports'!D2120)),TRIM('R.M Billets Reports'!F2120),IF(ISNUMBER(SEARCH("Party Name-",'R.M Billets Reports'!D2120)),TRIM(MID('R.M Billets Reports'!D2120,SEARCH("-",'R.M Billets Reports'!D2120)+1,200)),"")),IF(ISNUMBER(SEARCH("Party Name:-",'R.M Billets Reports'!D2121)),TRIM('R.M Billets Reports'!F2121),IF(ISNUMBER(SEARCH("Party Name-",'R.M Billets Reports'!D2121)),TRIM(MID('R.M Billets Reports'!D2121,SEARCH("-",'R.M Billets Reports'!D2121)+1,200)),"")))))),IF(ROW()=2,"",A2120))</f>
      </c>
      <c r="B2121">
        <f>IF(OR('R.M Billets Reports'!A2120="Date-",'R.M Billets Reports'!A2120="Date:-"),'R.M Billets Reports'!B2120,IF(ROW()=2,"",B2120))</f>
      </c>
      <c r="C2121">
        <f>IF('R.M Billets Reports'!A2120="V.No.",'R.M Billets Reports'!B2120,IF(ROW()=2,"",C2120))</f>
      </c>
      <c r="D2121">
        <f>IF('R.M Billets Reports'!A2120&lt;&gt;"",'R.M Billets Reports'!A2120,IF(ROW()=2,"",D2120))</f>
      </c>
      <c r="E2121">
        <f>IF('R.M Billets Reports'!B2120="","",TRIM('R.M Billets Reports'!B2120))</f>
      </c>
      <c r="F2121">
        <f>'R.M Billets Reports'!C2120</f>
      </c>
      <c r="G2121">
        <f>'R.M Billets Reports'!D2120</f>
      </c>
      <c r="H2121">
        <f>'R.M Billets Reports'!E2120</f>
      </c>
      <c r="I2121">
        <f>'R.M Billets Reports'!F2120</f>
      </c>
      <c r="J2121">
        <f>'R.M Billets Reports'!G2120</f>
      </c>
      <c r="K2121">
        <f>'R.M Billets Reports'!H2120</f>
      </c>
      <c r="L2121">
        <f>IF('R.M Billets Reports'!I2120="","",'R.M Billets Reports'!I2120)</f>
      </c>
      <c r="M2121">
        <f t="shared" si="66"/>
      </c>
      <c r="N2121">
        <f>IF('R.M Billets Reports'!J2120="","",'R.M Billets Reports'!J2120)</f>
      </c>
      <c r="O2121">
        <f t="shared" si="67"/>
      </c>
      <c r="P2121">
        <f>IF('R.M Billets Reports'!A2120="SIZE",'R.M Billets Reports'!B2120,P2120)</f>
      </c>
    </row>
    <row r="2122" spans="1:16" x14ac:dyDescent="0.25">
      <c r="A2122">
        <f>IF(OR('R.M Billets Reports'!A2121="Date-",'R.M Billets Reports'!A2121="Date:-"),IF(IF(IF(ISNUMBER(SEARCH("Party Name:-",'R.M Billets Reports'!D2121)),TRIM('R.M Billets Reports'!F2121),IF(ISNUMBER(SEARCH("Party Name-",'R.M Billets Reports'!D2121)),TRIM(MID('R.M Billets Reports'!D2121,SEARCH("-",'R.M Billets Reports'!D2121)+1,200)),""))&lt;&gt;"",IF(ISNUMBER(SEARCH("Party Name:-",'R.M Billets Reports'!D2121)),TRIM('R.M Billets Reports'!F2121),IF(ISNUMBER(SEARCH("Party Name-",'R.M Billets Reports'!D2121)),TRIM(MID('R.M Billets Reports'!D2121,SEARCH("-",'R.M Billets Reports'!D2121)+1,200)),"")),IF(ISNUMBER(SEARCH("Party Name:-",'R.M Billets Reports'!D2122)),TRIM('R.M Billets Reports'!F2122),IF(ISNUMBER(SEARCH("Party Name-",'R.M Billets Reports'!D2122)),TRIM(MID('R.M Billets Reports'!D2122,SEARCH("-",'R.M Billets Reports'!D2122)+1,200)),"")))="VRKP ISPAT PVT LTD","VRKP",IF(IF(IF(ISNUMBER(SEARCH("Party Name:-",'R.M Billets Reports'!D2121)),TRIM('R.M Billets Reports'!F2121),IF(ISNUMBER(SEARCH("Party Name-",'R.M Billets Reports'!D2121)),TRIM(MID('R.M Billets Reports'!D2121,SEARCH("-",'R.M Billets Reports'!D2121)+1,200)),""))&lt;&gt;"",IF(ISNUMBER(SEARCH("Party Name:-",'R.M Billets Reports'!D2121)),TRIM('R.M Billets Reports'!F2121),IF(ISNUMBER(SEARCH("Party Name-",'R.M Billets Reports'!D2121)),TRIM(MID('R.M Billets Reports'!D2121,SEARCH("-",'R.M Billets Reports'!D2121)+1,200)),"")),IF(ISNUMBER(SEARCH("Party Name:-",'R.M Billets Reports'!D2122)),TRIM('R.M Billets Reports'!F2122),IF(ISNUMBER(SEARCH("Party Name-",'R.M Billets Reports'!D2122)),TRIM(MID('R.M Billets Reports'!D2122,SEARCH("-",'R.M Billets Reports'!D2122)+1,200)),"")))="SHRI RADHE","SHREE RADHE",IF(IF(IF(ISNUMBER(SEARCH("Party Name:-",'R.M Billets Reports'!D2121)),TRIM('R.M Billets Reports'!F2121),IF(ISNUMBER(SEARCH("Party Name-",'R.M Billets Reports'!D2121)),TRIM(MID('R.M Billets Reports'!D2121,SEARCH("-",'R.M Billets Reports'!D2121)+1,200)),""))&lt;&gt;"",IF(ISNUMBER(SEARCH("Party Name:-",'R.M Billets Reports'!D2121)),TRIM('R.M Billets Reports'!F2121),IF(ISNUMBER(SEARCH("Party Name-",'R.M Billets Reports'!D2121)),TRIM(MID('R.M Billets Reports'!D2121,SEARCH("-",'R.M Billets Reports'!D2121)+1,200)),"")),IF(ISNUMBER(SEARCH("Party Name:-",'R.M Billets Reports'!D2122)),TRIM('R.M Billets Reports'!F2122),IF(ISNUMBER(SEARCH("Party Name-",'R.M Billets Reports'!D2122)),TRIM(MID('R.M Billets Reports'!D2122,SEARCH("-",'R.M Billets Reports'!D2122)+1,200)),"")))="SHREE RADHE SHAKTI SPONGE AND POWER PVT. LTD.","SHREE RADHE",IF(IF(ISNUMBER(SEARCH("Party Name:-",'R.M Billets Reports'!D2121)),TRIM('R.M Billets Reports'!F2121),IF(ISNUMBER(SEARCH("Party Name-",'R.M Billets Reports'!D2121)),TRIM(MID('R.M Billets Reports'!D2121,SEARCH("-",'R.M Billets Reports'!D2121)+1,200)),""))&lt;&gt;"",IF(ISNUMBER(SEARCH("Party Name:-",'R.M Billets Reports'!D2121)),TRIM('R.M Billets Reports'!F2121),IF(ISNUMBER(SEARCH("Party Name-",'R.M Billets Reports'!D2121)),TRIM(MID('R.M Billets Reports'!D2121,SEARCH("-",'R.M Billets Reports'!D2121)+1,200)),"")),IF(ISNUMBER(SEARCH("Party Name:-",'R.M Billets Reports'!D2122)),TRIM('R.M Billets Reports'!F2122),IF(ISNUMBER(SEARCH("Party Name-",'R.M Billets Reports'!D2122)),TRIM(MID('R.M Billets Reports'!D2122,SEARCH("-",'R.M Billets Reports'!D2122)+1,200)),"")))))),IF(ROW()=2,"",A2121))</f>
      </c>
      <c r="B2122">
        <f>IF(OR('R.M Billets Reports'!A2121="Date-",'R.M Billets Reports'!A2121="Date:-"),'R.M Billets Reports'!B2121,IF(ROW()=2,"",B2121))</f>
      </c>
      <c r="C2122">
        <f>IF('R.M Billets Reports'!A2121="V.No.",'R.M Billets Reports'!B2121,IF(ROW()=2,"",C2121))</f>
      </c>
      <c r="D2122">
        <f>IF('R.M Billets Reports'!A2121&lt;&gt;"",'R.M Billets Reports'!A2121,IF(ROW()=2,"",D2121))</f>
      </c>
      <c r="E2122">
        <f>IF('R.M Billets Reports'!B2121="","",TRIM('R.M Billets Reports'!B2121))</f>
      </c>
      <c r="F2122">
        <f>'R.M Billets Reports'!C2121</f>
      </c>
      <c r="G2122">
        <f>'R.M Billets Reports'!D2121</f>
      </c>
      <c r="H2122">
        <f>'R.M Billets Reports'!E2121</f>
      </c>
      <c r="I2122">
        <f>'R.M Billets Reports'!F2121</f>
      </c>
      <c r="J2122">
        <f>'R.M Billets Reports'!G2121</f>
      </c>
      <c r="K2122">
        <f>'R.M Billets Reports'!H2121</f>
      </c>
      <c r="L2122">
        <f>IF('R.M Billets Reports'!I2121="","",'R.M Billets Reports'!I2121)</f>
      </c>
      <c r="M2122">
        <f t="shared" si="66"/>
      </c>
      <c r="N2122">
        <f>IF('R.M Billets Reports'!J2121="","",'R.M Billets Reports'!J2121)</f>
      </c>
      <c r="O2122">
        <f t="shared" si="67"/>
      </c>
      <c r="P2122">
        <f>IF('R.M Billets Reports'!A2121="SIZE",'R.M Billets Reports'!B2121,P2121)</f>
      </c>
    </row>
    <row r="2123" spans="1:16" x14ac:dyDescent="0.25">
      <c r="A2123">
        <f>IF(OR('R.M Billets Reports'!A2122="Date-",'R.M Billets Reports'!A2122="Date:-"),IF(IF(IF(ISNUMBER(SEARCH("Party Name:-",'R.M Billets Reports'!D2122)),TRIM('R.M Billets Reports'!F2122),IF(ISNUMBER(SEARCH("Party Name-",'R.M Billets Reports'!D2122)),TRIM(MID('R.M Billets Reports'!D2122,SEARCH("-",'R.M Billets Reports'!D2122)+1,200)),""))&lt;&gt;"",IF(ISNUMBER(SEARCH("Party Name:-",'R.M Billets Reports'!D2122)),TRIM('R.M Billets Reports'!F2122),IF(ISNUMBER(SEARCH("Party Name-",'R.M Billets Reports'!D2122)),TRIM(MID('R.M Billets Reports'!D2122,SEARCH("-",'R.M Billets Reports'!D2122)+1,200)),"")),IF(ISNUMBER(SEARCH("Party Name:-",'R.M Billets Reports'!D2123)),TRIM('R.M Billets Reports'!F2123),IF(ISNUMBER(SEARCH("Party Name-",'R.M Billets Reports'!D2123)),TRIM(MID('R.M Billets Reports'!D2123,SEARCH("-",'R.M Billets Reports'!D2123)+1,200)),"")))="VRKP ISPAT PVT LTD","VRKP",IF(IF(IF(ISNUMBER(SEARCH("Party Name:-",'R.M Billets Reports'!D2122)),TRIM('R.M Billets Reports'!F2122),IF(ISNUMBER(SEARCH("Party Name-",'R.M Billets Reports'!D2122)),TRIM(MID('R.M Billets Reports'!D2122,SEARCH("-",'R.M Billets Reports'!D2122)+1,200)),""))&lt;&gt;"",IF(ISNUMBER(SEARCH("Party Name:-",'R.M Billets Reports'!D2122)),TRIM('R.M Billets Reports'!F2122),IF(ISNUMBER(SEARCH("Party Name-",'R.M Billets Reports'!D2122)),TRIM(MID('R.M Billets Reports'!D2122,SEARCH("-",'R.M Billets Reports'!D2122)+1,200)),"")),IF(ISNUMBER(SEARCH("Party Name:-",'R.M Billets Reports'!D2123)),TRIM('R.M Billets Reports'!F2123),IF(ISNUMBER(SEARCH("Party Name-",'R.M Billets Reports'!D2123)),TRIM(MID('R.M Billets Reports'!D2123,SEARCH("-",'R.M Billets Reports'!D2123)+1,200)),"")))="SHRI RADHE","SHREE RADHE",IF(IF(IF(ISNUMBER(SEARCH("Party Name:-",'R.M Billets Reports'!D2122)),TRIM('R.M Billets Reports'!F2122),IF(ISNUMBER(SEARCH("Party Name-",'R.M Billets Reports'!D2122)),TRIM(MID('R.M Billets Reports'!D2122,SEARCH("-",'R.M Billets Reports'!D2122)+1,200)),""))&lt;&gt;"",IF(ISNUMBER(SEARCH("Party Name:-",'R.M Billets Reports'!D2122)),TRIM('R.M Billets Reports'!F2122),IF(ISNUMBER(SEARCH("Party Name-",'R.M Billets Reports'!D2122)),TRIM(MID('R.M Billets Reports'!D2122,SEARCH("-",'R.M Billets Reports'!D2122)+1,200)),"")),IF(ISNUMBER(SEARCH("Party Name:-",'R.M Billets Reports'!D2123)),TRIM('R.M Billets Reports'!F2123),IF(ISNUMBER(SEARCH("Party Name-",'R.M Billets Reports'!D2123)),TRIM(MID('R.M Billets Reports'!D2123,SEARCH("-",'R.M Billets Reports'!D2123)+1,200)),"")))="SHREE RADHE SHAKTI SPONGE AND POWER PVT. LTD.","SHREE RADHE",IF(IF(ISNUMBER(SEARCH("Party Name:-",'R.M Billets Reports'!D2122)),TRIM('R.M Billets Reports'!F2122),IF(ISNUMBER(SEARCH("Party Name-",'R.M Billets Reports'!D2122)),TRIM(MID('R.M Billets Reports'!D2122,SEARCH("-",'R.M Billets Reports'!D2122)+1,200)),""))&lt;&gt;"",IF(ISNUMBER(SEARCH("Party Name:-",'R.M Billets Reports'!D2122)),TRIM('R.M Billets Reports'!F2122),IF(ISNUMBER(SEARCH("Party Name-",'R.M Billets Reports'!D2122)),TRIM(MID('R.M Billets Reports'!D2122,SEARCH("-",'R.M Billets Reports'!D2122)+1,200)),"")),IF(ISNUMBER(SEARCH("Party Name:-",'R.M Billets Reports'!D2123)),TRIM('R.M Billets Reports'!F2123),IF(ISNUMBER(SEARCH("Party Name-",'R.M Billets Reports'!D2123)),TRIM(MID('R.M Billets Reports'!D2123,SEARCH("-",'R.M Billets Reports'!D2123)+1,200)),"")))))),IF(ROW()=2,"",A2122))</f>
      </c>
      <c r="B2123">
        <f>IF(OR('R.M Billets Reports'!A2122="Date-",'R.M Billets Reports'!A2122="Date:-"),'R.M Billets Reports'!B2122,IF(ROW()=2,"",B2122))</f>
      </c>
      <c r="C2123">
        <f>IF('R.M Billets Reports'!A2122="V.No.",'R.M Billets Reports'!B2122,IF(ROW()=2,"",C2122))</f>
      </c>
      <c r="D2123">
        <f>IF('R.M Billets Reports'!A2122&lt;&gt;"",'R.M Billets Reports'!A2122,IF(ROW()=2,"",D2122))</f>
      </c>
      <c r="E2123">
        <f>IF('R.M Billets Reports'!B2122="","",TRIM('R.M Billets Reports'!B2122))</f>
      </c>
      <c r="F2123">
        <f>'R.M Billets Reports'!C2122</f>
      </c>
      <c r="G2123">
        <f>'R.M Billets Reports'!D2122</f>
      </c>
      <c r="H2123">
        <f>'R.M Billets Reports'!E2122</f>
      </c>
      <c r="I2123">
        <f>'R.M Billets Reports'!F2122</f>
      </c>
      <c r="J2123">
        <f>'R.M Billets Reports'!G2122</f>
      </c>
      <c r="K2123">
        <f>'R.M Billets Reports'!H2122</f>
      </c>
      <c r="L2123">
        <f>IF('R.M Billets Reports'!I2122="","",'R.M Billets Reports'!I2122)</f>
      </c>
      <c r="M2123">
        <f t="shared" si="66"/>
      </c>
      <c r="N2123">
        <f>IF('R.M Billets Reports'!J2122="","",'R.M Billets Reports'!J2122)</f>
      </c>
      <c r="O2123">
        <f t="shared" si="67"/>
      </c>
      <c r="P2123">
        <f>IF('R.M Billets Reports'!A2122="SIZE",'R.M Billets Reports'!B2122,P2122)</f>
      </c>
    </row>
    <row r="2124" spans="1:16" x14ac:dyDescent="0.25">
      <c r="A2124">
        <f>IF(OR('R.M Billets Reports'!A2123="Date-",'R.M Billets Reports'!A2123="Date:-"),IF(IF(IF(ISNUMBER(SEARCH("Party Name:-",'R.M Billets Reports'!D2123)),TRIM('R.M Billets Reports'!F2123),IF(ISNUMBER(SEARCH("Party Name-",'R.M Billets Reports'!D2123)),TRIM(MID('R.M Billets Reports'!D2123,SEARCH("-",'R.M Billets Reports'!D2123)+1,200)),""))&lt;&gt;"",IF(ISNUMBER(SEARCH("Party Name:-",'R.M Billets Reports'!D2123)),TRIM('R.M Billets Reports'!F2123),IF(ISNUMBER(SEARCH("Party Name-",'R.M Billets Reports'!D2123)),TRIM(MID('R.M Billets Reports'!D2123,SEARCH("-",'R.M Billets Reports'!D2123)+1,200)),"")),IF(ISNUMBER(SEARCH("Party Name:-",'R.M Billets Reports'!D2124)),TRIM('R.M Billets Reports'!F2124),IF(ISNUMBER(SEARCH("Party Name-",'R.M Billets Reports'!D2124)),TRIM(MID('R.M Billets Reports'!D2124,SEARCH("-",'R.M Billets Reports'!D2124)+1,200)),"")))="VRKP ISPAT PVT LTD","VRKP",IF(IF(IF(ISNUMBER(SEARCH("Party Name:-",'R.M Billets Reports'!D2123)),TRIM('R.M Billets Reports'!F2123),IF(ISNUMBER(SEARCH("Party Name-",'R.M Billets Reports'!D2123)),TRIM(MID('R.M Billets Reports'!D2123,SEARCH("-",'R.M Billets Reports'!D2123)+1,200)),""))&lt;&gt;"",IF(ISNUMBER(SEARCH("Party Name:-",'R.M Billets Reports'!D2123)),TRIM('R.M Billets Reports'!F2123),IF(ISNUMBER(SEARCH("Party Name-",'R.M Billets Reports'!D2123)),TRIM(MID('R.M Billets Reports'!D2123,SEARCH("-",'R.M Billets Reports'!D2123)+1,200)),"")),IF(ISNUMBER(SEARCH("Party Name:-",'R.M Billets Reports'!D2124)),TRIM('R.M Billets Reports'!F2124),IF(ISNUMBER(SEARCH("Party Name-",'R.M Billets Reports'!D2124)),TRIM(MID('R.M Billets Reports'!D2124,SEARCH("-",'R.M Billets Reports'!D2124)+1,200)),"")))="SHRI RADHE","SHREE RADHE",IF(IF(IF(ISNUMBER(SEARCH("Party Name:-",'R.M Billets Reports'!D2123)),TRIM('R.M Billets Reports'!F2123),IF(ISNUMBER(SEARCH("Party Name-",'R.M Billets Reports'!D2123)),TRIM(MID('R.M Billets Reports'!D2123,SEARCH("-",'R.M Billets Reports'!D2123)+1,200)),""))&lt;&gt;"",IF(ISNUMBER(SEARCH("Party Name:-",'R.M Billets Reports'!D2123)),TRIM('R.M Billets Reports'!F2123),IF(ISNUMBER(SEARCH("Party Name-",'R.M Billets Reports'!D2123)),TRIM(MID('R.M Billets Reports'!D2123,SEARCH("-",'R.M Billets Reports'!D2123)+1,200)),"")),IF(ISNUMBER(SEARCH("Party Name:-",'R.M Billets Reports'!D2124)),TRIM('R.M Billets Reports'!F2124),IF(ISNUMBER(SEARCH("Party Name-",'R.M Billets Reports'!D2124)),TRIM(MID('R.M Billets Reports'!D2124,SEARCH("-",'R.M Billets Reports'!D2124)+1,200)),"")))="SHREE RADHE SHAKTI SPONGE AND POWER PVT. LTD.","SHREE RADHE",IF(IF(ISNUMBER(SEARCH("Party Name:-",'R.M Billets Reports'!D2123)),TRIM('R.M Billets Reports'!F2123),IF(ISNUMBER(SEARCH("Party Name-",'R.M Billets Reports'!D2123)),TRIM(MID('R.M Billets Reports'!D2123,SEARCH("-",'R.M Billets Reports'!D2123)+1,200)),""))&lt;&gt;"",IF(ISNUMBER(SEARCH("Party Name:-",'R.M Billets Reports'!D2123)),TRIM('R.M Billets Reports'!F2123),IF(ISNUMBER(SEARCH("Party Name-",'R.M Billets Reports'!D2123)),TRIM(MID('R.M Billets Reports'!D2123,SEARCH("-",'R.M Billets Reports'!D2123)+1,200)),"")),IF(ISNUMBER(SEARCH("Party Name:-",'R.M Billets Reports'!D2124)),TRIM('R.M Billets Reports'!F2124),IF(ISNUMBER(SEARCH("Party Name-",'R.M Billets Reports'!D2124)),TRIM(MID('R.M Billets Reports'!D2124,SEARCH("-",'R.M Billets Reports'!D2124)+1,200)),"")))))),IF(ROW()=2,"",A2123))</f>
      </c>
      <c r="B2124">
        <f>IF(OR('R.M Billets Reports'!A2123="Date-",'R.M Billets Reports'!A2123="Date:-"),'R.M Billets Reports'!B2123,IF(ROW()=2,"",B2123))</f>
      </c>
      <c r="C2124">
        <f>IF('R.M Billets Reports'!A2123="V.No.",'R.M Billets Reports'!B2123,IF(ROW()=2,"",C2123))</f>
      </c>
      <c r="D2124">
        <f>IF('R.M Billets Reports'!A2123&lt;&gt;"",'R.M Billets Reports'!A2123,IF(ROW()=2,"",D2123))</f>
      </c>
      <c r="E2124">
        <f>IF('R.M Billets Reports'!B2123="","",TRIM('R.M Billets Reports'!B2123))</f>
      </c>
      <c r="F2124">
        <f>'R.M Billets Reports'!C2123</f>
      </c>
      <c r="G2124">
        <f>'R.M Billets Reports'!D2123</f>
      </c>
      <c r="H2124">
        <f>'R.M Billets Reports'!E2123</f>
      </c>
      <c r="I2124">
        <f>'R.M Billets Reports'!F2123</f>
      </c>
      <c r="J2124">
        <f>'R.M Billets Reports'!G2123</f>
      </c>
      <c r="K2124">
        <f>'R.M Billets Reports'!H2123</f>
      </c>
      <c r="L2124">
        <f>IF('R.M Billets Reports'!I2123="","",'R.M Billets Reports'!I2123)</f>
      </c>
      <c r="M2124">
        <f t="shared" si="66"/>
      </c>
      <c r="N2124">
        <f>IF('R.M Billets Reports'!J2123="","",'R.M Billets Reports'!J2123)</f>
      </c>
      <c r="O2124">
        <f t="shared" si="67"/>
      </c>
      <c r="P2124">
        <f>IF('R.M Billets Reports'!A2123="SIZE",'R.M Billets Reports'!B2123,P2123)</f>
      </c>
    </row>
    <row r="2125" spans="1:16" x14ac:dyDescent="0.25">
      <c r="A2125">
        <f>IF(OR('R.M Billets Reports'!A2124="Date-",'R.M Billets Reports'!A2124="Date:-"),IF(IF(IF(ISNUMBER(SEARCH("Party Name:-",'R.M Billets Reports'!D2124)),TRIM('R.M Billets Reports'!F2124),IF(ISNUMBER(SEARCH("Party Name-",'R.M Billets Reports'!D2124)),TRIM(MID('R.M Billets Reports'!D2124,SEARCH("-",'R.M Billets Reports'!D2124)+1,200)),""))&lt;&gt;"",IF(ISNUMBER(SEARCH("Party Name:-",'R.M Billets Reports'!D2124)),TRIM('R.M Billets Reports'!F2124),IF(ISNUMBER(SEARCH("Party Name-",'R.M Billets Reports'!D2124)),TRIM(MID('R.M Billets Reports'!D2124,SEARCH("-",'R.M Billets Reports'!D2124)+1,200)),"")),IF(ISNUMBER(SEARCH("Party Name:-",'R.M Billets Reports'!D2125)),TRIM('R.M Billets Reports'!F2125),IF(ISNUMBER(SEARCH("Party Name-",'R.M Billets Reports'!D2125)),TRIM(MID('R.M Billets Reports'!D2125,SEARCH("-",'R.M Billets Reports'!D2125)+1,200)),"")))="VRKP ISPAT PVT LTD","VRKP",IF(IF(IF(ISNUMBER(SEARCH("Party Name:-",'R.M Billets Reports'!D2124)),TRIM('R.M Billets Reports'!F2124),IF(ISNUMBER(SEARCH("Party Name-",'R.M Billets Reports'!D2124)),TRIM(MID('R.M Billets Reports'!D2124,SEARCH("-",'R.M Billets Reports'!D2124)+1,200)),""))&lt;&gt;"",IF(ISNUMBER(SEARCH("Party Name:-",'R.M Billets Reports'!D2124)),TRIM('R.M Billets Reports'!F2124),IF(ISNUMBER(SEARCH("Party Name-",'R.M Billets Reports'!D2124)),TRIM(MID('R.M Billets Reports'!D2124,SEARCH("-",'R.M Billets Reports'!D2124)+1,200)),"")),IF(ISNUMBER(SEARCH("Party Name:-",'R.M Billets Reports'!D2125)),TRIM('R.M Billets Reports'!F2125),IF(ISNUMBER(SEARCH("Party Name-",'R.M Billets Reports'!D2125)),TRIM(MID('R.M Billets Reports'!D2125,SEARCH("-",'R.M Billets Reports'!D2125)+1,200)),"")))="SHRI RADHE","SHREE RADHE",IF(IF(IF(ISNUMBER(SEARCH("Party Name:-",'R.M Billets Reports'!D2124)),TRIM('R.M Billets Reports'!F2124),IF(ISNUMBER(SEARCH("Party Name-",'R.M Billets Reports'!D2124)),TRIM(MID('R.M Billets Reports'!D2124,SEARCH("-",'R.M Billets Reports'!D2124)+1,200)),""))&lt;&gt;"",IF(ISNUMBER(SEARCH("Party Name:-",'R.M Billets Reports'!D2124)),TRIM('R.M Billets Reports'!F2124),IF(ISNUMBER(SEARCH("Party Name-",'R.M Billets Reports'!D2124)),TRIM(MID('R.M Billets Reports'!D2124,SEARCH("-",'R.M Billets Reports'!D2124)+1,200)),"")),IF(ISNUMBER(SEARCH("Party Name:-",'R.M Billets Reports'!D2125)),TRIM('R.M Billets Reports'!F2125),IF(ISNUMBER(SEARCH("Party Name-",'R.M Billets Reports'!D2125)),TRIM(MID('R.M Billets Reports'!D2125,SEARCH("-",'R.M Billets Reports'!D2125)+1,200)),"")))="SHREE RADHE SHAKTI SPONGE AND POWER PVT. LTD.","SHREE RADHE",IF(IF(ISNUMBER(SEARCH("Party Name:-",'R.M Billets Reports'!D2124)),TRIM('R.M Billets Reports'!F2124),IF(ISNUMBER(SEARCH("Party Name-",'R.M Billets Reports'!D2124)),TRIM(MID('R.M Billets Reports'!D2124,SEARCH("-",'R.M Billets Reports'!D2124)+1,200)),""))&lt;&gt;"",IF(ISNUMBER(SEARCH("Party Name:-",'R.M Billets Reports'!D2124)),TRIM('R.M Billets Reports'!F2124),IF(ISNUMBER(SEARCH("Party Name-",'R.M Billets Reports'!D2124)),TRIM(MID('R.M Billets Reports'!D2124,SEARCH("-",'R.M Billets Reports'!D2124)+1,200)),"")),IF(ISNUMBER(SEARCH("Party Name:-",'R.M Billets Reports'!D2125)),TRIM('R.M Billets Reports'!F2125),IF(ISNUMBER(SEARCH("Party Name-",'R.M Billets Reports'!D2125)),TRIM(MID('R.M Billets Reports'!D2125,SEARCH("-",'R.M Billets Reports'!D2125)+1,200)),"")))))),IF(ROW()=2,"",A2124))</f>
      </c>
      <c r="B2125">
        <f>IF(OR('R.M Billets Reports'!A2124="Date-",'R.M Billets Reports'!A2124="Date:-"),'R.M Billets Reports'!B2124,IF(ROW()=2,"",B2124))</f>
      </c>
      <c r="C2125">
        <f>IF('R.M Billets Reports'!A2124="V.No.",'R.M Billets Reports'!B2124,IF(ROW()=2,"",C2124))</f>
      </c>
      <c r="D2125">
        <f>IF('R.M Billets Reports'!A2124&lt;&gt;"",'R.M Billets Reports'!A2124,IF(ROW()=2,"",D2124))</f>
      </c>
      <c r="E2125">
        <f>IF('R.M Billets Reports'!B2124="","",TRIM('R.M Billets Reports'!B2124))</f>
      </c>
      <c r="F2125">
        <f>'R.M Billets Reports'!C2124</f>
      </c>
      <c r="G2125">
        <f>'R.M Billets Reports'!D2124</f>
      </c>
      <c r="H2125">
        <f>'R.M Billets Reports'!E2124</f>
      </c>
      <c r="I2125">
        <f>'R.M Billets Reports'!F2124</f>
      </c>
      <c r="J2125">
        <f>'R.M Billets Reports'!G2124</f>
      </c>
      <c r="K2125">
        <f>'R.M Billets Reports'!H2124</f>
      </c>
      <c r="L2125">
        <f>IF('R.M Billets Reports'!I2124="","",'R.M Billets Reports'!I2124)</f>
      </c>
      <c r="M2125">
        <f t="shared" si="66"/>
      </c>
      <c r="N2125">
        <f>IF('R.M Billets Reports'!J2124="","",'R.M Billets Reports'!J2124)</f>
      </c>
      <c r="O2125">
        <f t="shared" si="67"/>
      </c>
      <c r="P2125">
        <f>IF('R.M Billets Reports'!A2124="SIZE",'R.M Billets Reports'!B2124,P2124)</f>
      </c>
    </row>
    <row r="2126" spans="1:16" x14ac:dyDescent="0.25">
      <c r="A2126">
        <f>IF(OR('R.M Billets Reports'!A2125="Date-",'R.M Billets Reports'!A2125="Date:-"),IF(IF(IF(ISNUMBER(SEARCH("Party Name:-",'R.M Billets Reports'!D2125)),TRIM('R.M Billets Reports'!F2125),IF(ISNUMBER(SEARCH("Party Name-",'R.M Billets Reports'!D2125)),TRIM(MID('R.M Billets Reports'!D2125,SEARCH("-",'R.M Billets Reports'!D2125)+1,200)),""))&lt;&gt;"",IF(ISNUMBER(SEARCH("Party Name:-",'R.M Billets Reports'!D2125)),TRIM('R.M Billets Reports'!F2125),IF(ISNUMBER(SEARCH("Party Name-",'R.M Billets Reports'!D2125)),TRIM(MID('R.M Billets Reports'!D2125,SEARCH("-",'R.M Billets Reports'!D2125)+1,200)),"")),IF(ISNUMBER(SEARCH("Party Name:-",'R.M Billets Reports'!D2126)),TRIM('R.M Billets Reports'!F2126),IF(ISNUMBER(SEARCH("Party Name-",'R.M Billets Reports'!D2126)),TRIM(MID('R.M Billets Reports'!D2126,SEARCH("-",'R.M Billets Reports'!D2126)+1,200)),"")))="VRKP ISPAT PVT LTD","VRKP",IF(IF(IF(ISNUMBER(SEARCH("Party Name:-",'R.M Billets Reports'!D2125)),TRIM('R.M Billets Reports'!F2125),IF(ISNUMBER(SEARCH("Party Name-",'R.M Billets Reports'!D2125)),TRIM(MID('R.M Billets Reports'!D2125,SEARCH("-",'R.M Billets Reports'!D2125)+1,200)),""))&lt;&gt;"",IF(ISNUMBER(SEARCH("Party Name:-",'R.M Billets Reports'!D2125)),TRIM('R.M Billets Reports'!F2125),IF(ISNUMBER(SEARCH("Party Name-",'R.M Billets Reports'!D2125)),TRIM(MID('R.M Billets Reports'!D2125,SEARCH("-",'R.M Billets Reports'!D2125)+1,200)),"")),IF(ISNUMBER(SEARCH("Party Name:-",'R.M Billets Reports'!D2126)),TRIM('R.M Billets Reports'!F2126),IF(ISNUMBER(SEARCH("Party Name-",'R.M Billets Reports'!D2126)),TRIM(MID('R.M Billets Reports'!D2126,SEARCH("-",'R.M Billets Reports'!D2126)+1,200)),"")))="SHRI RADHE","SHREE RADHE",IF(IF(IF(ISNUMBER(SEARCH("Party Name:-",'R.M Billets Reports'!D2125)),TRIM('R.M Billets Reports'!F2125),IF(ISNUMBER(SEARCH("Party Name-",'R.M Billets Reports'!D2125)),TRIM(MID('R.M Billets Reports'!D2125,SEARCH("-",'R.M Billets Reports'!D2125)+1,200)),""))&lt;&gt;"",IF(ISNUMBER(SEARCH("Party Name:-",'R.M Billets Reports'!D2125)),TRIM('R.M Billets Reports'!F2125),IF(ISNUMBER(SEARCH("Party Name-",'R.M Billets Reports'!D2125)),TRIM(MID('R.M Billets Reports'!D2125,SEARCH("-",'R.M Billets Reports'!D2125)+1,200)),"")),IF(ISNUMBER(SEARCH("Party Name:-",'R.M Billets Reports'!D2126)),TRIM('R.M Billets Reports'!F2126),IF(ISNUMBER(SEARCH("Party Name-",'R.M Billets Reports'!D2126)),TRIM(MID('R.M Billets Reports'!D2126,SEARCH("-",'R.M Billets Reports'!D2126)+1,200)),"")))="SHREE RADHE SHAKTI SPONGE AND POWER PVT. LTD.","SHREE RADHE",IF(IF(ISNUMBER(SEARCH("Party Name:-",'R.M Billets Reports'!D2125)),TRIM('R.M Billets Reports'!F2125),IF(ISNUMBER(SEARCH("Party Name-",'R.M Billets Reports'!D2125)),TRIM(MID('R.M Billets Reports'!D2125,SEARCH("-",'R.M Billets Reports'!D2125)+1,200)),""))&lt;&gt;"",IF(ISNUMBER(SEARCH("Party Name:-",'R.M Billets Reports'!D2125)),TRIM('R.M Billets Reports'!F2125),IF(ISNUMBER(SEARCH("Party Name-",'R.M Billets Reports'!D2125)),TRIM(MID('R.M Billets Reports'!D2125,SEARCH("-",'R.M Billets Reports'!D2125)+1,200)),"")),IF(ISNUMBER(SEARCH("Party Name:-",'R.M Billets Reports'!D2126)),TRIM('R.M Billets Reports'!F2126),IF(ISNUMBER(SEARCH("Party Name-",'R.M Billets Reports'!D2126)),TRIM(MID('R.M Billets Reports'!D2126,SEARCH("-",'R.M Billets Reports'!D2126)+1,200)),"")))))),IF(ROW()=2,"",A2125))</f>
      </c>
      <c r="B2126">
        <f>IF(OR('R.M Billets Reports'!A2125="Date-",'R.M Billets Reports'!A2125="Date:-"),'R.M Billets Reports'!B2125,IF(ROW()=2,"",B2125))</f>
      </c>
      <c r="C2126">
        <f>IF('R.M Billets Reports'!A2125="V.No.",'R.M Billets Reports'!B2125,IF(ROW()=2,"",C2125))</f>
      </c>
      <c r="D2126">
        <f>IF('R.M Billets Reports'!A2125&lt;&gt;"",'R.M Billets Reports'!A2125,IF(ROW()=2,"",D2125))</f>
      </c>
      <c r="E2126">
        <f>IF('R.M Billets Reports'!B2125="","",TRIM('R.M Billets Reports'!B2125))</f>
      </c>
      <c r="F2126">
        <f>'R.M Billets Reports'!C2125</f>
      </c>
      <c r="G2126">
        <f>'R.M Billets Reports'!D2125</f>
      </c>
      <c r="H2126">
        <f>'R.M Billets Reports'!E2125</f>
      </c>
      <c r="I2126">
        <f>'R.M Billets Reports'!F2125</f>
      </c>
      <c r="J2126">
        <f>'R.M Billets Reports'!G2125</f>
      </c>
      <c r="K2126">
        <f>'R.M Billets Reports'!H2125</f>
      </c>
      <c r="L2126">
        <f>IF('R.M Billets Reports'!I2125="","",'R.M Billets Reports'!I2125)</f>
      </c>
      <c r="M2126">
        <f t="shared" si="66"/>
      </c>
      <c r="N2126">
        <f>IF('R.M Billets Reports'!J2125="","",'R.M Billets Reports'!J2125)</f>
      </c>
      <c r="O2126">
        <f t="shared" si="67"/>
      </c>
      <c r="P2126">
        <f>IF('R.M Billets Reports'!A2125="SIZE",'R.M Billets Reports'!B2125,P2125)</f>
      </c>
    </row>
    <row r="2127" spans="1:16" x14ac:dyDescent="0.25">
      <c r="A2127">
        <f>IF(OR('R.M Billets Reports'!A2126="Date-",'R.M Billets Reports'!A2126="Date:-"),IF(IF(IF(ISNUMBER(SEARCH("Party Name:-",'R.M Billets Reports'!D2126)),TRIM('R.M Billets Reports'!F2126),IF(ISNUMBER(SEARCH("Party Name-",'R.M Billets Reports'!D2126)),TRIM(MID('R.M Billets Reports'!D2126,SEARCH("-",'R.M Billets Reports'!D2126)+1,200)),""))&lt;&gt;"",IF(ISNUMBER(SEARCH("Party Name:-",'R.M Billets Reports'!D2126)),TRIM('R.M Billets Reports'!F2126),IF(ISNUMBER(SEARCH("Party Name-",'R.M Billets Reports'!D2126)),TRIM(MID('R.M Billets Reports'!D2126,SEARCH("-",'R.M Billets Reports'!D2126)+1,200)),"")),IF(ISNUMBER(SEARCH("Party Name:-",'R.M Billets Reports'!D2127)),TRIM('R.M Billets Reports'!F2127),IF(ISNUMBER(SEARCH("Party Name-",'R.M Billets Reports'!D2127)),TRIM(MID('R.M Billets Reports'!D2127,SEARCH("-",'R.M Billets Reports'!D2127)+1,200)),"")))="VRKP ISPAT PVT LTD","VRKP",IF(IF(IF(ISNUMBER(SEARCH("Party Name:-",'R.M Billets Reports'!D2126)),TRIM('R.M Billets Reports'!F2126),IF(ISNUMBER(SEARCH("Party Name-",'R.M Billets Reports'!D2126)),TRIM(MID('R.M Billets Reports'!D2126,SEARCH("-",'R.M Billets Reports'!D2126)+1,200)),""))&lt;&gt;"",IF(ISNUMBER(SEARCH("Party Name:-",'R.M Billets Reports'!D2126)),TRIM('R.M Billets Reports'!F2126),IF(ISNUMBER(SEARCH("Party Name-",'R.M Billets Reports'!D2126)),TRIM(MID('R.M Billets Reports'!D2126,SEARCH("-",'R.M Billets Reports'!D2126)+1,200)),"")),IF(ISNUMBER(SEARCH("Party Name:-",'R.M Billets Reports'!D2127)),TRIM('R.M Billets Reports'!F2127),IF(ISNUMBER(SEARCH("Party Name-",'R.M Billets Reports'!D2127)),TRIM(MID('R.M Billets Reports'!D2127,SEARCH("-",'R.M Billets Reports'!D2127)+1,200)),"")))="SHRI RADHE","SHREE RADHE",IF(IF(IF(ISNUMBER(SEARCH("Party Name:-",'R.M Billets Reports'!D2126)),TRIM('R.M Billets Reports'!F2126),IF(ISNUMBER(SEARCH("Party Name-",'R.M Billets Reports'!D2126)),TRIM(MID('R.M Billets Reports'!D2126,SEARCH("-",'R.M Billets Reports'!D2126)+1,200)),""))&lt;&gt;"",IF(ISNUMBER(SEARCH("Party Name:-",'R.M Billets Reports'!D2126)),TRIM('R.M Billets Reports'!F2126),IF(ISNUMBER(SEARCH("Party Name-",'R.M Billets Reports'!D2126)),TRIM(MID('R.M Billets Reports'!D2126,SEARCH("-",'R.M Billets Reports'!D2126)+1,200)),"")),IF(ISNUMBER(SEARCH("Party Name:-",'R.M Billets Reports'!D2127)),TRIM('R.M Billets Reports'!F2127),IF(ISNUMBER(SEARCH("Party Name-",'R.M Billets Reports'!D2127)),TRIM(MID('R.M Billets Reports'!D2127,SEARCH("-",'R.M Billets Reports'!D2127)+1,200)),"")))="SHREE RADHE SHAKTI SPONGE AND POWER PVT. LTD.","SHREE RADHE",IF(IF(ISNUMBER(SEARCH("Party Name:-",'R.M Billets Reports'!D2126)),TRIM('R.M Billets Reports'!F2126),IF(ISNUMBER(SEARCH("Party Name-",'R.M Billets Reports'!D2126)),TRIM(MID('R.M Billets Reports'!D2126,SEARCH("-",'R.M Billets Reports'!D2126)+1,200)),""))&lt;&gt;"",IF(ISNUMBER(SEARCH("Party Name:-",'R.M Billets Reports'!D2126)),TRIM('R.M Billets Reports'!F2126),IF(ISNUMBER(SEARCH("Party Name-",'R.M Billets Reports'!D2126)),TRIM(MID('R.M Billets Reports'!D2126,SEARCH("-",'R.M Billets Reports'!D2126)+1,200)),"")),IF(ISNUMBER(SEARCH("Party Name:-",'R.M Billets Reports'!D2127)),TRIM('R.M Billets Reports'!F2127),IF(ISNUMBER(SEARCH("Party Name-",'R.M Billets Reports'!D2127)),TRIM(MID('R.M Billets Reports'!D2127,SEARCH("-",'R.M Billets Reports'!D2127)+1,200)),"")))))),IF(ROW()=2,"",A2126))</f>
      </c>
      <c r="B2127">
        <f>IF(OR('R.M Billets Reports'!A2126="Date-",'R.M Billets Reports'!A2126="Date:-"),'R.M Billets Reports'!B2126,IF(ROW()=2,"",B2126))</f>
      </c>
      <c r="C2127">
        <f>IF('R.M Billets Reports'!A2126="V.No.",'R.M Billets Reports'!B2126,IF(ROW()=2,"",C2126))</f>
      </c>
      <c r="D2127">
        <f>IF('R.M Billets Reports'!A2126&lt;&gt;"",'R.M Billets Reports'!A2126,IF(ROW()=2,"",D2126))</f>
      </c>
      <c r="E2127">
        <f>IF('R.M Billets Reports'!B2126="","",TRIM('R.M Billets Reports'!B2126))</f>
      </c>
      <c r="F2127">
        <f>'R.M Billets Reports'!C2126</f>
      </c>
      <c r="G2127">
        <f>'R.M Billets Reports'!D2126</f>
      </c>
      <c r="H2127">
        <f>'R.M Billets Reports'!E2126</f>
      </c>
      <c r="I2127">
        <f>'R.M Billets Reports'!F2126</f>
      </c>
      <c r="J2127">
        <f>'R.M Billets Reports'!G2126</f>
      </c>
      <c r="K2127">
        <f>'R.M Billets Reports'!H2126</f>
      </c>
      <c r="L2127">
        <f>IF('R.M Billets Reports'!I2126="","",'R.M Billets Reports'!I2126)</f>
      </c>
      <c r="M2127">
        <f t="shared" si="66"/>
      </c>
      <c r="N2127">
        <f>IF('R.M Billets Reports'!J2126="","",'R.M Billets Reports'!J2126)</f>
      </c>
      <c r="O2127">
        <f t="shared" si="67"/>
      </c>
      <c r="P2127">
        <f>IF('R.M Billets Reports'!A2126="SIZE",'R.M Billets Reports'!B2126,P2126)</f>
      </c>
    </row>
    <row r="2128" spans="1:16" x14ac:dyDescent="0.25">
      <c r="A2128">
        <f>IF(OR('R.M Billets Reports'!A2127="Date-",'R.M Billets Reports'!A2127="Date:-"),IF(IF(IF(ISNUMBER(SEARCH("Party Name:-",'R.M Billets Reports'!D2127)),TRIM('R.M Billets Reports'!F2127),IF(ISNUMBER(SEARCH("Party Name-",'R.M Billets Reports'!D2127)),TRIM(MID('R.M Billets Reports'!D2127,SEARCH("-",'R.M Billets Reports'!D2127)+1,200)),""))&lt;&gt;"",IF(ISNUMBER(SEARCH("Party Name:-",'R.M Billets Reports'!D2127)),TRIM('R.M Billets Reports'!F2127),IF(ISNUMBER(SEARCH("Party Name-",'R.M Billets Reports'!D2127)),TRIM(MID('R.M Billets Reports'!D2127,SEARCH("-",'R.M Billets Reports'!D2127)+1,200)),"")),IF(ISNUMBER(SEARCH("Party Name:-",'R.M Billets Reports'!D2128)),TRIM('R.M Billets Reports'!F2128),IF(ISNUMBER(SEARCH("Party Name-",'R.M Billets Reports'!D2128)),TRIM(MID('R.M Billets Reports'!D2128,SEARCH("-",'R.M Billets Reports'!D2128)+1,200)),"")))="VRKP ISPAT PVT LTD","VRKP",IF(IF(IF(ISNUMBER(SEARCH("Party Name:-",'R.M Billets Reports'!D2127)),TRIM('R.M Billets Reports'!F2127),IF(ISNUMBER(SEARCH("Party Name-",'R.M Billets Reports'!D2127)),TRIM(MID('R.M Billets Reports'!D2127,SEARCH("-",'R.M Billets Reports'!D2127)+1,200)),""))&lt;&gt;"",IF(ISNUMBER(SEARCH("Party Name:-",'R.M Billets Reports'!D2127)),TRIM('R.M Billets Reports'!F2127),IF(ISNUMBER(SEARCH("Party Name-",'R.M Billets Reports'!D2127)),TRIM(MID('R.M Billets Reports'!D2127,SEARCH("-",'R.M Billets Reports'!D2127)+1,200)),"")),IF(ISNUMBER(SEARCH("Party Name:-",'R.M Billets Reports'!D2128)),TRIM('R.M Billets Reports'!F2128),IF(ISNUMBER(SEARCH("Party Name-",'R.M Billets Reports'!D2128)),TRIM(MID('R.M Billets Reports'!D2128,SEARCH("-",'R.M Billets Reports'!D2128)+1,200)),"")))="SHRI RADHE","SHREE RADHE",IF(IF(IF(ISNUMBER(SEARCH("Party Name:-",'R.M Billets Reports'!D2127)),TRIM('R.M Billets Reports'!F2127),IF(ISNUMBER(SEARCH("Party Name-",'R.M Billets Reports'!D2127)),TRIM(MID('R.M Billets Reports'!D2127,SEARCH("-",'R.M Billets Reports'!D2127)+1,200)),""))&lt;&gt;"",IF(ISNUMBER(SEARCH("Party Name:-",'R.M Billets Reports'!D2127)),TRIM('R.M Billets Reports'!F2127),IF(ISNUMBER(SEARCH("Party Name-",'R.M Billets Reports'!D2127)),TRIM(MID('R.M Billets Reports'!D2127,SEARCH("-",'R.M Billets Reports'!D2127)+1,200)),"")),IF(ISNUMBER(SEARCH("Party Name:-",'R.M Billets Reports'!D2128)),TRIM('R.M Billets Reports'!F2128),IF(ISNUMBER(SEARCH("Party Name-",'R.M Billets Reports'!D2128)),TRIM(MID('R.M Billets Reports'!D2128,SEARCH("-",'R.M Billets Reports'!D2128)+1,200)),"")))="SHREE RADHE SHAKTI SPONGE AND POWER PVT. LTD.","SHREE RADHE",IF(IF(ISNUMBER(SEARCH("Party Name:-",'R.M Billets Reports'!D2127)),TRIM('R.M Billets Reports'!F2127),IF(ISNUMBER(SEARCH("Party Name-",'R.M Billets Reports'!D2127)),TRIM(MID('R.M Billets Reports'!D2127,SEARCH("-",'R.M Billets Reports'!D2127)+1,200)),""))&lt;&gt;"",IF(ISNUMBER(SEARCH("Party Name:-",'R.M Billets Reports'!D2127)),TRIM('R.M Billets Reports'!F2127),IF(ISNUMBER(SEARCH("Party Name-",'R.M Billets Reports'!D2127)),TRIM(MID('R.M Billets Reports'!D2127,SEARCH("-",'R.M Billets Reports'!D2127)+1,200)),"")),IF(ISNUMBER(SEARCH("Party Name:-",'R.M Billets Reports'!D2128)),TRIM('R.M Billets Reports'!F2128),IF(ISNUMBER(SEARCH("Party Name-",'R.M Billets Reports'!D2128)),TRIM(MID('R.M Billets Reports'!D2128,SEARCH("-",'R.M Billets Reports'!D2128)+1,200)),"")))))),IF(ROW()=2,"",A2127))</f>
      </c>
      <c r="B2128">
        <f>IF(OR('R.M Billets Reports'!A2127="Date-",'R.M Billets Reports'!A2127="Date:-"),'R.M Billets Reports'!B2127,IF(ROW()=2,"",B2127))</f>
      </c>
      <c r="C2128">
        <f>IF('R.M Billets Reports'!A2127="V.No.",'R.M Billets Reports'!B2127,IF(ROW()=2,"",C2127))</f>
      </c>
      <c r="D2128">
        <f>IF('R.M Billets Reports'!A2127&lt;&gt;"",'R.M Billets Reports'!A2127,IF(ROW()=2,"",D2127))</f>
      </c>
      <c r="E2128">
        <f>IF('R.M Billets Reports'!B2127="","",TRIM('R.M Billets Reports'!B2127))</f>
      </c>
      <c r="F2128">
        <f>'R.M Billets Reports'!C2127</f>
      </c>
      <c r="G2128">
        <f>'R.M Billets Reports'!D2127</f>
      </c>
      <c r="H2128">
        <f>'R.M Billets Reports'!E2127</f>
      </c>
      <c r="I2128">
        <f>'R.M Billets Reports'!F2127</f>
      </c>
      <c r="J2128">
        <f>'R.M Billets Reports'!G2127</f>
      </c>
      <c r="K2128">
        <f>'R.M Billets Reports'!H2127</f>
      </c>
      <c r="L2128">
        <f>IF('R.M Billets Reports'!I2127="","",'R.M Billets Reports'!I2127)</f>
      </c>
      <c r="M2128">
        <f t="shared" si="66"/>
      </c>
      <c r="N2128">
        <f>IF('R.M Billets Reports'!J2127="","",'R.M Billets Reports'!J2127)</f>
      </c>
      <c r="O2128">
        <f t="shared" si="67"/>
      </c>
      <c r="P2128">
        <f>IF('R.M Billets Reports'!A2127="SIZE",'R.M Billets Reports'!B2127,P2127)</f>
      </c>
    </row>
    <row r="2129" spans="1:16" x14ac:dyDescent="0.25">
      <c r="A2129">
        <f>IF(OR('R.M Billets Reports'!A2128="Date-",'R.M Billets Reports'!A2128="Date:-"),IF(IF(IF(ISNUMBER(SEARCH("Party Name:-",'R.M Billets Reports'!D2128)),TRIM('R.M Billets Reports'!F2128),IF(ISNUMBER(SEARCH("Party Name-",'R.M Billets Reports'!D2128)),TRIM(MID('R.M Billets Reports'!D2128,SEARCH("-",'R.M Billets Reports'!D2128)+1,200)),""))&lt;&gt;"",IF(ISNUMBER(SEARCH("Party Name:-",'R.M Billets Reports'!D2128)),TRIM('R.M Billets Reports'!F2128),IF(ISNUMBER(SEARCH("Party Name-",'R.M Billets Reports'!D2128)),TRIM(MID('R.M Billets Reports'!D2128,SEARCH("-",'R.M Billets Reports'!D2128)+1,200)),"")),IF(ISNUMBER(SEARCH("Party Name:-",'R.M Billets Reports'!D2129)),TRIM('R.M Billets Reports'!F2129),IF(ISNUMBER(SEARCH("Party Name-",'R.M Billets Reports'!D2129)),TRIM(MID('R.M Billets Reports'!D2129,SEARCH("-",'R.M Billets Reports'!D2129)+1,200)),"")))="VRKP ISPAT PVT LTD","VRKP",IF(IF(IF(ISNUMBER(SEARCH("Party Name:-",'R.M Billets Reports'!D2128)),TRIM('R.M Billets Reports'!F2128),IF(ISNUMBER(SEARCH("Party Name-",'R.M Billets Reports'!D2128)),TRIM(MID('R.M Billets Reports'!D2128,SEARCH("-",'R.M Billets Reports'!D2128)+1,200)),""))&lt;&gt;"",IF(ISNUMBER(SEARCH("Party Name:-",'R.M Billets Reports'!D2128)),TRIM('R.M Billets Reports'!F2128),IF(ISNUMBER(SEARCH("Party Name-",'R.M Billets Reports'!D2128)),TRIM(MID('R.M Billets Reports'!D2128,SEARCH("-",'R.M Billets Reports'!D2128)+1,200)),"")),IF(ISNUMBER(SEARCH("Party Name:-",'R.M Billets Reports'!D2129)),TRIM('R.M Billets Reports'!F2129),IF(ISNUMBER(SEARCH("Party Name-",'R.M Billets Reports'!D2129)),TRIM(MID('R.M Billets Reports'!D2129,SEARCH("-",'R.M Billets Reports'!D2129)+1,200)),"")))="SHRI RADHE","SHREE RADHE",IF(IF(IF(ISNUMBER(SEARCH("Party Name:-",'R.M Billets Reports'!D2128)),TRIM('R.M Billets Reports'!F2128),IF(ISNUMBER(SEARCH("Party Name-",'R.M Billets Reports'!D2128)),TRIM(MID('R.M Billets Reports'!D2128,SEARCH("-",'R.M Billets Reports'!D2128)+1,200)),""))&lt;&gt;"",IF(ISNUMBER(SEARCH("Party Name:-",'R.M Billets Reports'!D2128)),TRIM('R.M Billets Reports'!F2128),IF(ISNUMBER(SEARCH("Party Name-",'R.M Billets Reports'!D2128)),TRIM(MID('R.M Billets Reports'!D2128,SEARCH("-",'R.M Billets Reports'!D2128)+1,200)),"")),IF(ISNUMBER(SEARCH("Party Name:-",'R.M Billets Reports'!D2129)),TRIM('R.M Billets Reports'!F2129),IF(ISNUMBER(SEARCH("Party Name-",'R.M Billets Reports'!D2129)),TRIM(MID('R.M Billets Reports'!D2129,SEARCH("-",'R.M Billets Reports'!D2129)+1,200)),"")))="SHREE RADHE SHAKTI SPONGE AND POWER PVT. LTD.","SHREE RADHE",IF(IF(ISNUMBER(SEARCH("Party Name:-",'R.M Billets Reports'!D2128)),TRIM('R.M Billets Reports'!F2128),IF(ISNUMBER(SEARCH("Party Name-",'R.M Billets Reports'!D2128)),TRIM(MID('R.M Billets Reports'!D2128,SEARCH("-",'R.M Billets Reports'!D2128)+1,200)),""))&lt;&gt;"",IF(ISNUMBER(SEARCH("Party Name:-",'R.M Billets Reports'!D2128)),TRIM('R.M Billets Reports'!F2128),IF(ISNUMBER(SEARCH("Party Name-",'R.M Billets Reports'!D2128)),TRIM(MID('R.M Billets Reports'!D2128,SEARCH("-",'R.M Billets Reports'!D2128)+1,200)),"")),IF(ISNUMBER(SEARCH("Party Name:-",'R.M Billets Reports'!D2129)),TRIM('R.M Billets Reports'!F2129),IF(ISNUMBER(SEARCH("Party Name-",'R.M Billets Reports'!D2129)),TRIM(MID('R.M Billets Reports'!D2129,SEARCH("-",'R.M Billets Reports'!D2129)+1,200)),"")))))),IF(ROW()=2,"",A2128))</f>
      </c>
      <c r="B2129">
        <f>IF(OR('R.M Billets Reports'!A2128="Date-",'R.M Billets Reports'!A2128="Date:-"),'R.M Billets Reports'!B2128,IF(ROW()=2,"",B2128))</f>
      </c>
      <c r="C2129">
        <f>IF('R.M Billets Reports'!A2128="V.No.",'R.M Billets Reports'!B2128,IF(ROW()=2,"",C2128))</f>
      </c>
      <c r="D2129">
        <f>IF('R.M Billets Reports'!A2128&lt;&gt;"",'R.M Billets Reports'!A2128,IF(ROW()=2,"",D2128))</f>
      </c>
      <c r="E2129">
        <f>IF('R.M Billets Reports'!B2128="","",TRIM('R.M Billets Reports'!B2128))</f>
      </c>
      <c r="F2129">
        <f>'R.M Billets Reports'!C2128</f>
      </c>
      <c r="G2129">
        <f>'R.M Billets Reports'!D2128</f>
      </c>
      <c r="H2129">
        <f>'R.M Billets Reports'!E2128</f>
      </c>
      <c r="I2129">
        <f>'R.M Billets Reports'!F2128</f>
      </c>
      <c r="J2129">
        <f>'R.M Billets Reports'!G2128</f>
      </c>
      <c r="K2129">
        <f>'R.M Billets Reports'!H2128</f>
      </c>
      <c r="L2129">
        <f>IF('R.M Billets Reports'!I2128="","",'R.M Billets Reports'!I2128)</f>
      </c>
      <c r="M2129">
        <f t="shared" si="66"/>
      </c>
      <c r="N2129">
        <f>IF('R.M Billets Reports'!J2128="","",'R.M Billets Reports'!J2128)</f>
      </c>
      <c r="O2129">
        <f t="shared" si="67"/>
      </c>
      <c r="P2129">
        <f>IF('R.M Billets Reports'!A2128="SIZE",'R.M Billets Reports'!B2128,P2128)</f>
      </c>
    </row>
    <row r="2130" spans="1:16" x14ac:dyDescent="0.25">
      <c r="A2130">
        <f>IF(OR('R.M Billets Reports'!A2129="Date-",'R.M Billets Reports'!A2129="Date:-"),IF(IF(IF(ISNUMBER(SEARCH("Party Name:-",'R.M Billets Reports'!D2129)),TRIM('R.M Billets Reports'!F2129),IF(ISNUMBER(SEARCH("Party Name-",'R.M Billets Reports'!D2129)),TRIM(MID('R.M Billets Reports'!D2129,SEARCH("-",'R.M Billets Reports'!D2129)+1,200)),""))&lt;&gt;"",IF(ISNUMBER(SEARCH("Party Name:-",'R.M Billets Reports'!D2129)),TRIM('R.M Billets Reports'!F2129),IF(ISNUMBER(SEARCH("Party Name-",'R.M Billets Reports'!D2129)),TRIM(MID('R.M Billets Reports'!D2129,SEARCH("-",'R.M Billets Reports'!D2129)+1,200)),"")),IF(ISNUMBER(SEARCH("Party Name:-",'R.M Billets Reports'!D2130)),TRIM('R.M Billets Reports'!F2130),IF(ISNUMBER(SEARCH("Party Name-",'R.M Billets Reports'!D2130)),TRIM(MID('R.M Billets Reports'!D2130,SEARCH("-",'R.M Billets Reports'!D2130)+1,200)),"")))="VRKP ISPAT PVT LTD","VRKP",IF(IF(IF(ISNUMBER(SEARCH("Party Name:-",'R.M Billets Reports'!D2129)),TRIM('R.M Billets Reports'!F2129),IF(ISNUMBER(SEARCH("Party Name-",'R.M Billets Reports'!D2129)),TRIM(MID('R.M Billets Reports'!D2129,SEARCH("-",'R.M Billets Reports'!D2129)+1,200)),""))&lt;&gt;"",IF(ISNUMBER(SEARCH("Party Name:-",'R.M Billets Reports'!D2129)),TRIM('R.M Billets Reports'!F2129),IF(ISNUMBER(SEARCH("Party Name-",'R.M Billets Reports'!D2129)),TRIM(MID('R.M Billets Reports'!D2129,SEARCH("-",'R.M Billets Reports'!D2129)+1,200)),"")),IF(ISNUMBER(SEARCH("Party Name:-",'R.M Billets Reports'!D2130)),TRIM('R.M Billets Reports'!F2130),IF(ISNUMBER(SEARCH("Party Name-",'R.M Billets Reports'!D2130)),TRIM(MID('R.M Billets Reports'!D2130,SEARCH("-",'R.M Billets Reports'!D2130)+1,200)),"")))="SHRI RADHE","SHREE RADHE",IF(IF(IF(ISNUMBER(SEARCH("Party Name:-",'R.M Billets Reports'!D2129)),TRIM('R.M Billets Reports'!F2129),IF(ISNUMBER(SEARCH("Party Name-",'R.M Billets Reports'!D2129)),TRIM(MID('R.M Billets Reports'!D2129,SEARCH("-",'R.M Billets Reports'!D2129)+1,200)),""))&lt;&gt;"",IF(ISNUMBER(SEARCH("Party Name:-",'R.M Billets Reports'!D2129)),TRIM('R.M Billets Reports'!F2129),IF(ISNUMBER(SEARCH("Party Name-",'R.M Billets Reports'!D2129)),TRIM(MID('R.M Billets Reports'!D2129,SEARCH("-",'R.M Billets Reports'!D2129)+1,200)),"")),IF(ISNUMBER(SEARCH("Party Name:-",'R.M Billets Reports'!D2130)),TRIM('R.M Billets Reports'!F2130),IF(ISNUMBER(SEARCH("Party Name-",'R.M Billets Reports'!D2130)),TRIM(MID('R.M Billets Reports'!D2130,SEARCH("-",'R.M Billets Reports'!D2130)+1,200)),"")))="SHREE RADHE SHAKTI SPONGE AND POWER PVT. LTD.","SHREE RADHE",IF(IF(ISNUMBER(SEARCH("Party Name:-",'R.M Billets Reports'!D2129)),TRIM('R.M Billets Reports'!F2129),IF(ISNUMBER(SEARCH("Party Name-",'R.M Billets Reports'!D2129)),TRIM(MID('R.M Billets Reports'!D2129,SEARCH("-",'R.M Billets Reports'!D2129)+1,200)),""))&lt;&gt;"",IF(ISNUMBER(SEARCH("Party Name:-",'R.M Billets Reports'!D2129)),TRIM('R.M Billets Reports'!F2129),IF(ISNUMBER(SEARCH("Party Name-",'R.M Billets Reports'!D2129)),TRIM(MID('R.M Billets Reports'!D2129,SEARCH("-",'R.M Billets Reports'!D2129)+1,200)),"")),IF(ISNUMBER(SEARCH("Party Name:-",'R.M Billets Reports'!D2130)),TRIM('R.M Billets Reports'!F2130),IF(ISNUMBER(SEARCH("Party Name-",'R.M Billets Reports'!D2130)),TRIM(MID('R.M Billets Reports'!D2130,SEARCH("-",'R.M Billets Reports'!D2130)+1,200)),"")))))),IF(ROW()=2,"",A2129))</f>
      </c>
      <c r="B2130">
        <f>IF(OR('R.M Billets Reports'!A2129="Date-",'R.M Billets Reports'!A2129="Date:-"),'R.M Billets Reports'!B2129,IF(ROW()=2,"",B2129))</f>
      </c>
      <c r="C2130">
        <f>IF('R.M Billets Reports'!A2129="V.No.",'R.M Billets Reports'!B2129,IF(ROW()=2,"",C2129))</f>
      </c>
      <c r="D2130">
        <f>IF('R.M Billets Reports'!A2129&lt;&gt;"",'R.M Billets Reports'!A2129,IF(ROW()=2,"",D2129))</f>
      </c>
      <c r="E2130">
        <f>IF('R.M Billets Reports'!B2129="","",TRIM('R.M Billets Reports'!B2129))</f>
      </c>
      <c r="F2130">
        <f>'R.M Billets Reports'!C2129</f>
      </c>
      <c r="G2130">
        <f>'R.M Billets Reports'!D2129</f>
      </c>
      <c r="H2130">
        <f>'R.M Billets Reports'!E2129</f>
      </c>
      <c r="I2130">
        <f>'R.M Billets Reports'!F2129</f>
      </c>
      <c r="J2130">
        <f>'R.M Billets Reports'!G2129</f>
      </c>
      <c r="K2130">
        <f>'R.M Billets Reports'!H2129</f>
      </c>
      <c r="L2130">
        <f>IF('R.M Billets Reports'!I2129="","",'R.M Billets Reports'!I2129)</f>
      </c>
      <c r="M2130">
        <f t="shared" si="66"/>
      </c>
      <c r="N2130">
        <f>IF('R.M Billets Reports'!J2129="","",'R.M Billets Reports'!J2129)</f>
      </c>
      <c r="O2130">
        <f t="shared" si="67"/>
      </c>
      <c r="P2130">
        <f>IF('R.M Billets Reports'!A2129="SIZE",'R.M Billets Reports'!B2129,P2129)</f>
      </c>
    </row>
    <row r="2131" spans="1:16" x14ac:dyDescent="0.25">
      <c r="A2131">
        <f>IF(OR('R.M Billets Reports'!A2130="Date-",'R.M Billets Reports'!A2130="Date:-"),IF(IF(IF(ISNUMBER(SEARCH("Party Name:-",'R.M Billets Reports'!D2130)),TRIM('R.M Billets Reports'!F2130),IF(ISNUMBER(SEARCH("Party Name-",'R.M Billets Reports'!D2130)),TRIM(MID('R.M Billets Reports'!D2130,SEARCH("-",'R.M Billets Reports'!D2130)+1,200)),""))&lt;&gt;"",IF(ISNUMBER(SEARCH("Party Name:-",'R.M Billets Reports'!D2130)),TRIM('R.M Billets Reports'!F2130),IF(ISNUMBER(SEARCH("Party Name-",'R.M Billets Reports'!D2130)),TRIM(MID('R.M Billets Reports'!D2130,SEARCH("-",'R.M Billets Reports'!D2130)+1,200)),"")),IF(ISNUMBER(SEARCH("Party Name:-",'R.M Billets Reports'!D2131)),TRIM('R.M Billets Reports'!F2131),IF(ISNUMBER(SEARCH("Party Name-",'R.M Billets Reports'!D2131)),TRIM(MID('R.M Billets Reports'!D2131,SEARCH("-",'R.M Billets Reports'!D2131)+1,200)),"")))="VRKP ISPAT PVT LTD","VRKP",IF(IF(IF(ISNUMBER(SEARCH("Party Name:-",'R.M Billets Reports'!D2130)),TRIM('R.M Billets Reports'!F2130),IF(ISNUMBER(SEARCH("Party Name-",'R.M Billets Reports'!D2130)),TRIM(MID('R.M Billets Reports'!D2130,SEARCH("-",'R.M Billets Reports'!D2130)+1,200)),""))&lt;&gt;"",IF(ISNUMBER(SEARCH("Party Name:-",'R.M Billets Reports'!D2130)),TRIM('R.M Billets Reports'!F2130),IF(ISNUMBER(SEARCH("Party Name-",'R.M Billets Reports'!D2130)),TRIM(MID('R.M Billets Reports'!D2130,SEARCH("-",'R.M Billets Reports'!D2130)+1,200)),"")),IF(ISNUMBER(SEARCH("Party Name:-",'R.M Billets Reports'!D2131)),TRIM('R.M Billets Reports'!F2131),IF(ISNUMBER(SEARCH("Party Name-",'R.M Billets Reports'!D2131)),TRIM(MID('R.M Billets Reports'!D2131,SEARCH("-",'R.M Billets Reports'!D2131)+1,200)),"")))="SHRI RADHE","SHREE RADHE",IF(IF(IF(ISNUMBER(SEARCH("Party Name:-",'R.M Billets Reports'!D2130)),TRIM('R.M Billets Reports'!F2130),IF(ISNUMBER(SEARCH("Party Name-",'R.M Billets Reports'!D2130)),TRIM(MID('R.M Billets Reports'!D2130,SEARCH("-",'R.M Billets Reports'!D2130)+1,200)),""))&lt;&gt;"",IF(ISNUMBER(SEARCH("Party Name:-",'R.M Billets Reports'!D2130)),TRIM('R.M Billets Reports'!F2130),IF(ISNUMBER(SEARCH("Party Name-",'R.M Billets Reports'!D2130)),TRIM(MID('R.M Billets Reports'!D2130,SEARCH("-",'R.M Billets Reports'!D2130)+1,200)),"")),IF(ISNUMBER(SEARCH("Party Name:-",'R.M Billets Reports'!D2131)),TRIM('R.M Billets Reports'!F2131),IF(ISNUMBER(SEARCH("Party Name-",'R.M Billets Reports'!D2131)),TRIM(MID('R.M Billets Reports'!D2131,SEARCH("-",'R.M Billets Reports'!D2131)+1,200)),"")))="SHREE RADHE SHAKTI SPONGE AND POWER PVT. LTD.","SHREE RADHE",IF(IF(ISNUMBER(SEARCH("Party Name:-",'R.M Billets Reports'!D2130)),TRIM('R.M Billets Reports'!F2130),IF(ISNUMBER(SEARCH("Party Name-",'R.M Billets Reports'!D2130)),TRIM(MID('R.M Billets Reports'!D2130,SEARCH("-",'R.M Billets Reports'!D2130)+1,200)),""))&lt;&gt;"",IF(ISNUMBER(SEARCH("Party Name:-",'R.M Billets Reports'!D2130)),TRIM('R.M Billets Reports'!F2130),IF(ISNUMBER(SEARCH("Party Name-",'R.M Billets Reports'!D2130)),TRIM(MID('R.M Billets Reports'!D2130,SEARCH("-",'R.M Billets Reports'!D2130)+1,200)),"")),IF(ISNUMBER(SEARCH("Party Name:-",'R.M Billets Reports'!D2131)),TRIM('R.M Billets Reports'!F2131),IF(ISNUMBER(SEARCH("Party Name-",'R.M Billets Reports'!D2131)),TRIM(MID('R.M Billets Reports'!D2131,SEARCH("-",'R.M Billets Reports'!D2131)+1,200)),"")))))),IF(ROW()=2,"",A2130))</f>
      </c>
      <c r="B2131">
        <f>IF(OR('R.M Billets Reports'!A2130="Date-",'R.M Billets Reports'!A2130="Date:-"),'R.M Billets Reports'!B2130,IF(ROW()=2,"",B2130))</f>
      </c>
      <c r="C2131">
        <f>IF('R.M Billets Reports'!A2130="V.No.",'R.M Billets Reports'!B2130,IF(ROW()=2,"",C2130))</f>
      </c>
      <c r="D2131">
        <f>IF('R.M Billets Reports'!A2130&lt;&gt;"",'R.M Billets Reports'!A2130,IF(ROW()=2,"",D2130))</f>
      </c>
      <c r="E2131">
        <f>IF('R.M Billets Reports'!B2130="","",TRIM('R.M Billets Reports'!B2130))</f>
      </c>
      <c r="F2131">
        <f>'R.M Billets Reports'!C2130</f>
      </c>
      <c r="G2131">
        <f>'R.M Billets Reports'!D2130</f>
      </c>
      <c r="H2131">
        <f>'R.M Billets Reports'!E2130</f>
      </c>
      <c r="I2131">
        <f>'R.M Billets Reports'!F2130</f>
      </c>
      <c r="J2131">
        <f>'R.M Billets Reports'!G2130</f>
      </c>
      <c r="K2131">
        <f>'R.M Billets Reports'!H2130</f>
      </c>
      <c r="L2131">
        <f>IF('R.M Billets Reports'!I2130="","",'R.M Billets Reports'!I2130)</f>
      </c>
      <c r="M2131">
        <f t="shared" si="66"/>
      </c>
      <c r="N2131">
        <f>IF('R.M Billets Reports'!J2130="","",'R.M Billets Reports'!J2130)</f>
      </c>
      <c r="O2131">
        <f t="shared" si="67"/>
      </c>
      <c r="P2131">
        <f>IF('R.M Billets Reports'!A2130="SIZE",'R.M Billets Reports'!B2130,P2130)</f>
      </c>
    </row>
    <row r="2132" spans="1:16" x14ac:dyDescent="0.25">
      <c r="A2132">
        <f>IF(OR('R.M Billets Reports'!A2131="Date-",'R.M Billets Reports'!A2131="Date:-"),IF(IF(IF(ISNUMBER(SEARCH("Party Name:-",'R.M Billets Reports'!D2131)),TRIM('R.M Billets Reports'!F2131),IF(ISNUMBER(SEARCH("Party Name-",'R.M Billets Reports'!D2131)),TRIM(MID('R.M Billets Reports'!D2131,SEARCH("-",'R.M Billets Reports'!D2131)+1,200)),""))&lt;&gt;"",IF(ISNUMBER(SEARCH("Party Name:-",'R.M Billets Reports'!D2131)),TRIM('R.M Billets Reports'!F2131),IF(ISNUMBER(SEARCH("Party Name-",'R.M Billets Reports'!D2131)),TRIM(MID('R.M Billets Reports'!D2131,SEARCH("-",'R.M Billets Reports'!D2131)+1,200)),"")),IF(ISNUMBER(SEARCH("Party Name:-",'R.M Billets Reports'!D2132)),TRIM('R.M Billets Reports'!F2132),IF(ISNUMBER(SEARCH("Party Name-",'R.M Billets Reports'!D2132)),TRIM(MID('R.M Billets Reports'!D2132,SEARCH("-",'R.M Billets Reports'!D2132)+1,200)),"")))="VRKP ISPAT PVT LTD","VRKP",IF(IF(IF(ISNUMBER(SEARCH("Party Name:-",'R.M Billets Reports'!D2131)),TRIM('R.M Billets Reports'!F2131),IF(ISNUMBER(SEARCH("Party Name-",'R.M Billets Reports'!D2131)),TRIM(MID('R.M Billets Reports'!D2131,SEARCH("-",'R.M Billets Reports'!D2131)+1,200)),""))&lt;&gt;"",IF(ISNUMBER(SEARCH("Party Name:-",'R.M Billets Reports'!D2131)),TRIM('R.M Billets Reports'!F2131),IF(ISNUMBER(SEARCH("Party Name-",'R.M Billets Reports'!D2131)),TRIM(MID('R.M Billets Reports'!D2131,SEARCH("-",'R.M Billets Reports'!D2131)+1,200)),"")),IF(ISNUMBER(SEARCH("Party Name:-",'R.M Billets Reports'!D2132)),TRIM('R.M Billets Reports'!F2132),IF(ISNUMBER(SEARCH("Party Name-",'R.M Billets Reports'!D2132)),TRIM(MID('R.M Billets Reports'!D2132,SEARCH("-",'R.M Billets Reports'!D2132)+1,200)),"")))="SHRI RADHE","SHREE RADHE",IF(IF(IF(ISNUMBER(SEARCH("Party Name:-",'R.M Billets Reports'!D2131)),TRIM('R.M Billets Reports'!F2131),IF(ISNUMBER(SEARCH("Party Name-",'R.M Billets Reports'!D2131)),TRIM(MID('R.M Billets Reports'!D2131,SEARCH("-",'R.M Billets Reports'!D2131)+1,200)),""))&lt;&gt;"",IF(ISNUMBER(SEARCH("Party Name:-",'R.M Billets Reports'!D2131)),TRIM('R.M Billets Reports'!F2131),IF(ISNUMBER(SEARCH("Party Name-",'R.M Billets Reports'!D2131)),TRIM(MID('R.M Billets Reports'!D2131,SEARCH("-",'R.M Billets Reports'!D2131)+1,200)),"")),IF(ISNUMBER(SEARCH("Party Name:-",'R.M Billets Reports'!D2132)),TRIM('R.M Billets Reports'!F2132),IF(ISNUMBER(SEARCH("Party Name-",'R.M Billets Reports'!D2132)),TRIM(MID('R.M Billets Reports'!D2132,SEARCH("-",'R.M Billets Reports'!D2132)+1,200)),"")))="SHREE RADHE SHAKTI SPONGE AND POWER PVT. LTD.","SHREE RADHE",IF(IF(ISNUMBER(SEARCH("Party Name:-",'R.M Billets Reports'!D2131)),TRIM('R.M Billets Reports'!F2131),IF(ISNUMBER(SEARCH("Party Name-",'R.M Billets Reports'!D2131)),TRIM(MID('R.M Billets Reports'!D2131,SEARCH("-",'R.M Billets Reports'!D2131)+1,200)),""))&lt;&gt;"",IF(ISNUMBER(SEARCH("Party Name:-",'R.M Billets Reports'!D2131)),TRIM('R.M Billets Reports'!F2131),IF(ISNUMBER(SEARCH("Party Name-",'R.M Billets Reports'!D2131)),TRIM(MID('R.M Billets Reports'!D2131,SEARCH("-",'R.M Billets Reports'!D2131)+1,200)),"")),IF(ISNUMBER(SEARCH("Party Name:-",'R.M Billets Reports'!D2132)),TRIM('R.M Billets Reports'!F2132),IF(ISNUMBER(SEARCH("Party Name-",'R.M Billets Reports'!D2132)),TRIM(MID('R.M Billets Reports'!D2132,SEARCH("-",'R.M Billets Reports'!D2132)+1,200)),"")))))),IF(ROW()=2,"",A2131))</f>
      </c>
      <c r="B2132">
        <f>IF(OR('R.M Billets Reports'!A2131="Date-",'R.M Billets Reports'!A2131="Date:-"),'R.M Billets Reports'!B2131,IF(ROW()=2,"",B2131))</f>
      </c>
      <c r="C2132">
        <f>IF('R.M Billets Reports'!A2131="V.No.",'R.M Billets Reports'!B2131,IF(ROW()=2,"",C2131))</f>
      </c>
      <c r="D2132">
        <f>IF('R.M Billets Reports'!A2131&lt;&gt;"",'R.M Billets Reports'!A2131,IF(ROW()=2,"",D2131))</f>
      </c>
      <c r="E2132">
        <f>IF('R.M Billets Reports'!B2131="","",TRIM('R.M Billets Reports'!B2131))</f>
      </c>
      <c r="F2132">
        <f>'R.M Billets Reports'!C2131</f>
      </c>
      <c r="G2132">
        <f>'R.M Billets Reports'!D2131</f>
      </c>
      <c r="H2132">
        <f>'R.M Billets Reports'!E2131</f>
      </c>
      <c r="I2132">
        <f>'R.M Billets Reports'!F2131</f>
      </c>
      <c r="J2132">
        <f>'R.M Billets Reports'!G2131</f>
      </c>
      <c r="K2132">
        <f>'R.M Billets Reports'!H2131</f>
      </c>
      <c r="L2132">
        <f>IF('R.M Billets Reports'!I2131="","",'R.M Billets Reports'!I2131)</f>
      </c>
      <c r="M2132">
        <f t="shared" si="66"/>
      </c>
      <c r="N2132">
        <f>IF('R.M Billets Reports'!J2131="","",'R.M Billets Reports'!J2131)</f>
      </c>
      <c r="O2132">
        <f t="shared" si="67"/>
      </c>
      <c r="P2132">
        <f>IF('R.M Billets Reports'!A2131="SIZE",'R.M Billets Reports'!B2131,P2131)</f>
      </c>
    </row>
    <row r="2133" spans="1:16" x14ac:dyDescent="0.25">
      <c r="A2133">
        <f>IF(OR('R.M Billets Reports'!A2132="Date-",'R.M Billets Reports'!A2132="Date:-"),IF(IF(IF(ISNUMBER(SEARCH("Party Name:-",'R.M Billets Reports'!D2132)),TRIM('R.M Billets Reports'!F2132),IF(ISNUMBER(SEARCH("Party Name-",'R.M Billets Reports'!D2132)),TRIM(MID('R.M Billets Reports'!D2132,SEARCH("-",'R.M Billets Reports'!D2132)+1,200)),""))&lt;&gt;"",IF(ISNUMBER(SEARCH("Party Name:-",'R.M Billets Reports'!D2132)),TRIM('R.M Billets Reports'!F2132),IF(ISNUMBER(SEARCH("Party Name-",'R.M Billets Reports'!D2132)),TRIM(MID('R.M Billets Reports'!D2132,SEARCH("-",'R.M Billets Reports'!D2132)+1,200)),"")),IF(ISNUMBER(SEARCH("Party Name:-",'R.M Billets Reports'!D2133)),TRIM('R.M Billets Reports'!F2133),IF(ISNUMBER(SEARCH("Party Name-",'R.M Billets Reports'!D2133)),TRIM(MID('R.M Billets Reports'!D2133,SEARCH("-",'R.M Billets Reports'!D2133)+1,200)),"")))="VRKP ISPAT PVT LTD","VRKP",IF(IF(IF(ISNUMBER(SEARCH("Party Name:-",'R.M Billets Reports'!D2132)),TRIM('R.M Billets Reports'!F2132),IF(ISNUMBER(SEARCH("Party Name-",'R.M Billets Reports'!D2132)),TRIM(MID('R.M Billets Reports'!D2132,SEARCH("-",'R.M Billets Reports'!D2132)+1,200)),""))&lt;&gt;"",IF(ISNUMBER(SEARCH("Party Name:-",'R.M Billets Reports'!D2132)),TRIM('R.M Billets Reports'!F2132),IF(ISNUMBER(SEARCH("Party Name-",'R.M Billets Reports'!D2132)),TRIM(MID('R.M Billets Reports'!D2132,SEARCH("-",'R.M Billets Reports'!D2132)+1,200)),"")),IF(ISNUMBER(SEARCH("Party Name:-",'R.M Billets Reports'!D2133)),TRIM('R.M Billets Reports'!F2133),IF(ISNUMBER(SEARCH("Party Name-",'R.M Billets Reports'!D2133)),TRIM(MID('R.M Billets Reports'!D2133,SEARCH("-",'R.M Billets Reports'!D2133)+1,200)),"")))="SHRI RADHE","SHREE RADHE",IF(IF(IF(ISNUMBER(SEARCH("Party Name:-",'R.M Billets Reports'!D2132)),TRIM('R.M Billets Reports'!F2132),IF(ISNUMBER(SEARCH("Party Name-",'R.M Billets Reports'!D2132)),TRIM(MID('R.M Billets Reports'!D2132,SEARCH("-",'R.M Billets Reports'!D2132)+1,200)),""))&lt;&gt;"",IF(ISNUMBER(SEARCH("Party Name:-",'R.M Billets Reports'!D2132)),TRIM('R.M Billets Reports'!F2132),IF(ISNUMBER(SEARCH("Party Name-",'R.M Billets Reports'!D2132)),TRIM(MID('R.M Billets Reports'!D2132,SEARCH("-",'R.M Billets Reports'!D2132)+1,200)),"")),IF(ISNUMBER(SEARCH("Party Name:-",'R.M Billets Reports'!D2133)),TRIM('R.M Billets Reports'!F2133),IF(ISNUMBER(SEARCH("Party Name-",'R.M Billets Reports'!D2133)),TRIM(MID('R.M Billets Reports'!D2133,SEARCH("-",'R.M Billets Reports'!D2133)+1,200)),"")))="SHREE RADHE SHAKTI SPONGE AND POWER PVT. LTD.","SHREE RADHE",IF(IF(ISNUMBER(SEARCH("Party Name:-",'R.M Billets Reports'!D2132)),TRIM('R.M Billets Reports'!F2132),IF(ISNUMBER(SEARCH("Party Name-",'R.M Billets Reports'!D2132)),TRIM(MID('R.M Billets Reports'!D2132,SEARCH("-",'R.M Billets Reports'!D2132)+1,200)),""))&lt;&gt;"",IF(ISNUMBER(SEARCH("Party Name:-",'R.M Billets Reports'!D2132)),TRIM('R.M Billets Reports'!F2132),IF(ISNUMBER(SEARCH("Party Name-",'R.M Billets Reports'!D2132)),TRIM(MID('R.M Billets Reports'!D2132,SEARCH("-",'R.M Billets Reports'!D2132)+1,200)),"")),IF(ISNUMBER(SEARCH("Party Name:-",'R.M Billets Reports'!D2133)),TRIM('R.M Billets Reports'!F2133),IF(ISNUMBER(SEARCH("Party Name-",'R.M Billets Reports'!D2133)),TRIM(MID('R.M Billets Reports'!D2133,SEARCH("-",'R.M Billets Reports'!D2133)+1,200)),"")))))),IF(ROW()=2,"",A2132))</f>
      </c>
      <c r="B2133">
        <f>IF(OR('R.M Billets Reports'!A2132="Date-",'R.M Billets Reports'!A2132="Date:-"),'R.M Billets Reports'!B2132,IF(ROW()=2,"",B2132))</f>
      </c>
      <c r="C2133">
        <f>IF('R.M Billets Reports'!A2132="V.No.",'R.M Billets Reports'!B2132,IF(ROW()=2,"",C2132))</f>
      </c>
      <c r="D2133">
        <f>IF('R.M Billets Reports'!A2132&lt;&gt;"",'R.M Billets Reports'!A2132,IF(ROW()=2,"",D2132))</f>
      </c>
      <c r="E2133">
        <f>IF('R.M Billets Reports'!B2132="","",TRIM('R.M Billets Reports'!B2132))</f>
      </c>
      <c r="F2133">
        <f>'R.M Billets Reports'!C2132</f>
      </c>
      <c r="G2133">
        <f>'R.M Billets Reports'!D2132</f>
      </c>
      <c r="H2133">
        <f>'R.M Billets Reports'!E2132</f>
      </c>
      <c r="I2133">
        <f>'R.M Billets Reports'!F2132</f>
      </c>
      <c r="J2133">
        <f>'R.M Billets Reports'!G2132</f>
      </c>
      <c r="K2133">
        <f>'R.M Billets Reports'!H2132</f>
      </c>
      <c r="L2133">
        <f>IF('R.M Billets Reports'!I2132="","",'R.M Billets Reports'!I2132)</f>
      </c>
      <c r="M2133">
        <f t="shared" si="66"/>
      </c>
      <c r="N2133">
        <f>IF('R.M Billets Reports'!J2132="","",'R.M Billets Reports'!J2132)</f>
      </c>
      <c r="O2133">
        <f t="shared" si="67"/>
      </c>
      <c r="P2133">
        <f>IF('R.M Billets Reports'!A2132="SIZE",'R.M Billets Reports'!B2132,P2132)</f>
      </c>
    </row>
    <row r="2134" spans="1:16" x14ac:dyDescent="0.25">
      <c r="A2134">
        <f>IF(OR('R.M Billets Reports'!A2133="Date-",'R.M Billets Reports'!A2133="Date:-"),IF(IF(IF(ISNUMBER(SEARCH("Party Name:-",'R.M Billets Reports'!D2133)),TRIM('R.M Billets Reports'!F2133),IF(ISNUMBER(SEARCH("Party Name-",'R.M Billets Reports'!D2133)),TRIM(MID('R.M Billets Reports'!D2133,SEARCH("-",'R.M Billets Reports'!D2133)+1,200)),""))&lt;&gt;"",IF(ISNUMBER(SEARCH("Party Name:-",'R.M Billets Reports'!D2133)),TRIM('R.M Billets Reports'!F2133),IF(ISNUMBER(SEARCH("Party Name-",'R.M Billets Reports'!D2133)),TRIM(MID('R.M Billets Reports'!D2133,SEARCH("-",'R.M Billets Reports'!D2133)+1,200)),"")),IF(ISNUMBER(SEARCH("Party Name:-",'R.M Billets Reports'!D2134)),TRIM('R.M Billets Reports'!F2134),IF(ISNUMBER(SEARCH("Party Name-",'R.M Billets Reports'!D2134)),TRIM(MID('R.M Billets Reports'!D2134,SEARCH("-",'R.M Billets Reports'!D2134)+1,200)),"")))="VRKP ISPAT PVT LTD","VRKP",IF(IF(IF(ISNUMBER(SEARCH("Party Name:-",'R.M Billets Reports'!D2133)),TRIM('R.M Billets Reports'!F2133),IF(ISNUMBER(SEARCH("Party Name-",'R.M Billets Reports'!D2133)),TRIM(MID('R.M Billets Reports'!D2133,SEARCH("-",'R.M Billets Reports'!D2133)+1,200)),""))&lt;&gt;"",IF(ISNUMBER(SEARCH("Party Name:-",'R.M Billets Reports'!D2133)),TRIM('R.M Billets Reports'!F2133),IF(ISNUMBER(SEARCH("Party Name-",'R.M Billets Reports'!D2133)),TRIM(MID('R.M Billets Reports'!D2133,SEARCH("-",'R.M Billets Reports'!D2133)+1,200)),"")),IF(ISNUMBER(SEARCH("Party Name:-",'R.M Billets Reports'!D2134)),TRIM('R.M Billets Reports'!F2134),IF(ISNUMBER(SEARCH("Party Name-",'R.M Billets Reports'!D2134)),TRIM(MID('R.M Billets Reports'!D2134,SEARCH("-",'R.M Billets Reports'!D2134)+1,200)),"")))="SHRI RADHE","SHREE RADHE",IF(IF(IF(ISNUMBER(SEARCH("Party Name:-",'R.M Billets Reports'!D2133)),TRIM('R.M Billets Reports'!F2133),IF(ISNUMBER(SEARCH("Party Name-",'R.M Billets Reports'!D2133)),TRIM(MID('R.M Billets Reports'!D2133,SEARCH("-",'R.M Billets Reports'!D2133)+1,200)),""))&lt;&gt;"",IF(ISNUMBER(SEARCH("Party Name:-",'R.M Billets Reports'!D2133)),TRIM('R.M Billets Reports'!F2133),IF(ISNUMBER(SEARCH("Party Name-",'R.M Billets Reports'!D2133)),TRIM(MID('R.M Billets Reports'!D2133,SEARCH("-",'R.M Billets Reports'!D2133)+1,200)),"")),IF(ISNUMBER(SEARCH("Party Name:-",'R.M Billets Reports'!D2134)),TRIM('R.M Billets Reports'!F2134),IF(ISNUMBER(SEARCH("Party Name-",'R.M Billets Reports'!D2134)),TRIM(MID('R.M Billets Reports'!D2134,SEARCH("-",'R.M Billets Reports'!D2134)+1,200)),"")))="SHREE RADHE SHAKTI SPONGE AND POWER PVT. LTD.","SHREE RADHE",IF(IF(ISNUMBER(SEARCH("Party Name:-",'R.M Billets Reports'!D2133)),TRIM('R.M Billets Reports'!F2133),IF(ISNUMBER(SEARCH("Party Name-",'R.M Billets Reports'!D2133)),TRIM(MID('R.M Billets Reports'!D2133,SEARCH("-",'R.M Billets Reports'!D2133)+1,200)),""))&lt;&gt;"",IF(ISNUMBER(SEARCH("Party Name:-",'R.M Billets Reports'!D2133)),TRIM('R.M Billets Reports'!F2133),IF(ISNUMBER(SEARCH("Party Name-",'R.M Billets Reports'!D2133)),TRIM(MID('R.M Billets Reports'!D2133,SEARCH("-",'R.M Billets Reports'!D2133)+1,200)),"")),IF(ISNUMBER(SEARCH("Party Name:-",'R.M Billets Reports'!D2134)),TRIM('R.M Billets Reports'!F2134),IF(ISNUMBER(SEARCH("Party Name-",'R.M Billets Reports'!D2134)),TRIM(MID('R.M Billets Reports'!D2134,SEARCH("-",'R.M Billets Reports'!D2134)+1,200)),"")))))),IF(ROW()=2,"",A2133))</f>
      </c>
      <c r="B2134">
        <f>IF(OR('R.M Billets Reports'!A2133="Date-",'R.M Billets Reports'!A2133="Date:-"),'R.M Billets Reports'!B2133,IF(ROW()=2,"",B2133))</f>
      </c>
      <c r="C2134">
        <f>IF('R.M Billets Reports'!A2133="V.No.",'R.M Billets Reports'!B2133,IF(ROW()=2,"",C2133))</f>
      </c>
      <c r="D2134">
        <f>IF('R.M Billets Reports'!A2133&lt;&gt;"",'R.M Billets Reports'!A2133,IF(ROW()=2,"",D2133))</f>
      </c>
      <c r="E2134">
        <f>IF('R.M Billets Reports'!B2133="","",TRIM('R.M Billets Reports'!B2133))</f>
      </c>
      <c r="F2134">
        <f>'R.M Billets Reports'!C2133</f>
      </c>
      <c r="G2134">
        <f>'R.M Billets Reports'!D2133</f>
      </c>
      <c r="H2134">
        <f>'R.M Billets Reports'!E2133</f>
      </c>
      <c r="I2134">
        <f>'R.M Billets Reports'!F2133</f>
      </c>
      <c r="J2134">
        <f>'R.M Billets Reports'!G2133</f>
      </c>
      <c r="K2134">
        <f>'R.M Billets Reports'!H2133</f>
      </c>
      <c r="L2134">
        <f>IF('R.M Billets Reports'!I2133="","",'R.M Billets Reports'!I2133)</f>
      </c>
      <c r="M2134">
        <f t="shared" si="66"/>
      </c>
      <c r="N2134">
        <f>IF('R.M Billets Reports'!J2133="","",'R.M Billets Reports'!J2133)</f>
      </c>
      <c r="O2134">
        <f t="shared" si="67"/>
      </c>
      <c r="P2134">
        <f>IF('R.M Billets Reports'!A2133="SIZE",'R.M Billets Reports'!B2133,P2133)</f>
      </c>
    </row>
    <row r="2135" spans="1:16" x14ac:dyDescent="0.25">
      <c r="A2135">
        <f>IF(OR('R.M Billets Reports'!A2134="Date-",'R.M Billets Reports'!A2134="Date:-"),IF(IF(IF(ISNUMBER(SEARCH("Party Name:-",'R.M Billets Reports'!D2134)),TRIM('R.M Billets Reports'!F2134),IF(ISNUMBER(SEARCH("Party Name-",'R.M Billets Reports'!D2134)),TRIM(MID('R.M Billets Reports'!D2134,SEARCH("-",'R.M Billets Reports'!D2134)+1,200)),""))&lt;&gt;"",IF(ISNUMBER(SEARCH("Party Name:-",'R.M Billets Reports'!D2134)),TRIM('R.M Billets Reports'!F2134),IF(ISNUMBER(SEARCH("Party Name-",'R.M Billets Reports'!D2134)),TRIM(MID('R.M Billets Reports'!D2134,SEARCH("-",'R.M Billets Reports'!D2134)+1,200)),"")),IF(ISNUMBER(SEARCH("Party Name:-",'R.M Billets Reports'!D2135)),TRIM('R.M Billets Reports'!F2135),IF(ISNUMBER(SEARCH("Party Name-",'R.M Billets Reports'!D2135)),TRIM(MID('R.M Billets Reports'!D2135,SEARCH("-",'R.M Billets Reports'!D2135)+1,200)),"")))="VRKP ISPAT PVT LTD","VRKP",IF(IF(IF(ISNUMBER(SEARCH("Party Name:-",'R.M Billets Reports'!D2134)),TRIM('R.M Billets Reports'!F2134),IF(ISNUMBER(SEARCH("Party Name-",'R.M Billets Reports'!D2134)),TRIM(MID('R.M Billets Reports'!D2134,SEARCH("-",'R.M Billets Reports'!D2134)+1,200)),""))&lt;&gt;"",IF(ISNUMBER(SEARCH("Party Name:-",'R.M Billets Reports'!D2134)),TRIM('R.M Billets Reports'!F2134),IF(ISNUMBER(SEARCH("Party Name-",'R.M Billets Reports'!D2134)),TRIM(MID('R.M Billets Reports'!D2134,SEARCH("-",'R.M Billets Reports'!D2134)+1,200)),"")),IF(ISNUMBER(SEARCH("Party Name:-",'R.M Billets Reports'!D2135)),TRIM('R.M Billets Reports'!F2135),IF(ISNUMBER(SEARCH("Party Name-",'R.M Billets Reports'!D2135)),TRIM(MID('R.M Billets Reports'!D2135,SEARCH("-",'R.M Billets Reports'!D2135)+1,200)),"")))="SHRI RADHE","SHREE RADHE",IF(IF(IF(ISNUMBER(SEARCH("Party Name:-",'R.M Billets Reports'!D2134)),TRIM('R.M Billets Reports'!F2134),IF(ISNUMBER(SEARCH("Party Name-",'R.M Billets Reports'!D2134)),TRIM(MID('R.M Billets Reports'!D2134,SEARCH("-",'R.M Billets Reports'!D2134)+1,200)),""))&lt;&gt;"",IF(ISNUMBER(SEARCH("Party Name:-",'R.M Billets Reports'!D2134)),TRIM('R.M Billets Reports'!F2134),IF(ISNUMBER(SEARCH("Party Name-",'R.M Billets Reports'!D2134)),TRIM(MID('R.M Billets Reports'!D2134,SEARCH("-",'R.M Billets Reports'!D2134)+1,200)),"")),IF(ISNUMBER(SEARCH("Party Name:-",'R.M Billets Reports'!D2135)),TRIM('R.M Billets Reports'!F2135),IF(ISNUMBER(SEARCH("Party Name-",'R.M Billets Reports'!D2135)),TRIM(MID('R.M Billets Reports'!D2135,SEARCH("-",'R.M Billets Reports'!D2135)+1,200)),"")))="SHREE RADHE SHAKTI SPONGE AND POWER PVT. LTD.","SHREE RADHE",IF(IF(ISNUMBER(SEARCH("Party Name:-",'R.M Billets Reports'!D2134)),TRIM('R.M Billets Reports'!F2134),IF(ISNUMBER(SEARCH("Party Name-",'R.M Billets Reports'!D2134)),TRIM(MID('R.M Billets Reports'!D2134,SEARCH("-",'R.M Billets Reports'!D2134)+1,200)),""))&lt;&gt;"",IF(ISNUMBER(SEARCH("Party Name:-",'R.M Billets Reports'!D2134)),TRIM('R.M Billets Reports'!F2134),IF(ISNUMBER(SEARCH("Party Name-",'R.M Billets Reports'!D2134)),TRIM(MID('R.M Billets Reports'!D2134,SEARCH("-",'R.M Billets Reports'!D2134)+1,200)),"")),IF(ISNUMBER(SEARCH("Party Name:-",'R.M Billets Reports'!D2135)),TRIM('R.M Billets Reports'!F2135),IF(ISNUMBER(SEARCH("Party Name-",'R.M Billets Reports'!D2135)),TRIM(MID('R.M Billets Reports'!D2135,SEARCH("-",'R.M Billets Reports'!D2135)+1,200)),"")))))),IF(ROW()=2,"",A2134))</f>
      </c>
      <c r="B2135">
        <f>IF(OR('R.M Billets Reports'!A2134="Date-",'R.M Billets Reports'!A2134="Date:-"),'R.M Billets Reports'!B2134,IF(ROW()=2,"",B2134))</f>
      </c>
      <c r="C2135">
        <f>IF('R.M Billets Reports'!A2134="V.No.",'R.M Billets Reports'!B2134,IF(ROW()=2,"",C2134))</f>
      </c>
      <c r="D2135">
        <f>IF('R.M Billets Reports'!A2134&lt;&gt;"",'R.M Billets Reports'!A2134,IF(ROW()=2,"",D2134))</f>
      </c>
      <c r="E2135">
        <f>IF('R.M Billets Reports'!B2134="","",TRIM('R.M Billets Reports'!B2134))</f>
      </c>
      <c r="F2135">
        <f>'R.M Billets Reports'!C2134</f>
      </c>
      <c r="G2135">
        <f>'R.M Billets Reports'!D2134</f>
      </c>
      <c r="H2135">
        <f>'R.M Billets Reports'!E2134</f>
      </c>
      <c r="I2135">
        <f>'R.M Billets Reports'!F2134</f>
      </c>
      <c r="J2135">
        <f>'R.M Billets Reports'!G2134</f>
      </c>
      <c r="K2135">
        <f>'R.M Billets Reports'!H2134</f>
      </c>
      <c r="L2135">
        <f>IF('R.M Billets Reports'!I2134="","",'R.M Billets Reports'!I2134)</f>
      </c>
      <c r="M2135">
        <f t="shared" si="66"/>
      </c>
      <c r="N2135">
        <f>IF('R.M Billets Reports'!J2134="","",'R.M Billets Reports'!J2134)</f>
      </c>
      <c r="O2135">
        <f t="shared" si="67"/>
      </c>
      <c r="P2135">
        <f>IF('R.M Billets Reports'!A2134="SIZE",'R.M Billets Reports'!B2134,P2134)</f>
      </c>
    </row>
    <row r="2136" spans="1:16" x14ac:dyDescent="0.25">
      <c r="A2136">
        <f>IF(OR('R.M Billets Reports'!A2135="Date-",'R.M Billets Reports'!A2135="Date:-"),IF(IF(IF(ISNUMBER(SEARCH("Party Name:-",'R.M Billets Reports'!D2135)),TRIM('R.M Billets Reports'!F2135),IF(ISNUMBER(SEARCH("Party Name-",'R.M Billets Reports'!D2135)),TRIM(MID('R.M Billets Reports'!D2135,SEARCH("-",'R.M Billets Reports'!D2135)+1,200)),""))&lt;&gt;"",IF(ISNUMBER(SEARCH("Party Name:-",'R.M Billets Reports'!D2135)),TRIM('R.M Billets Reports'!F2135),IF(ISNUMBER(SEARCH("Party Name-",'R.M Billets Reports'!D2135)),TRIM(MID('R.M Billets Reports'!D2135,SEARCH("-",'R.M Billets Reports'!D2135)+1,200)),"")),IF(ISNUMBER(SEARCH("Party Name:-",'R.M Billets Reports'!D2136)),TRIM('R.M Billets Reports'!F2136),IF(ISNUMBER(SEARCH("Party Name-",'R.M Billets Reports'!D2136)),TRIM(MID('R.M Billets Reports'!D2136,SEARCH("-",'R.M Billets Reports'!D2136)+1,200)),"")))="VRKP ISPAT PVT LTD","VRKP",IF(IF(IF(ISNUMBER(SEARCH("Party Name:-",'R.M Billets Reports'!D2135)),TRIM('R.M Billets Reports'!F2135),IF(ISNUMBER(SEARCH("Party Name-",'R.M Billets Reports'!D2135)),TRIM(MID('R.M Billets Reports'!D2135,SEARCH("-",'R.M Billets Reports'!D2135)+1,200)),""))&lt;&gt;"",IF(ISNUMBER(SEARCH("Party Name:-",'R.M Billets Reports'!D2135)),TRIM('R.M Billets Reports'!F2135),IF(ISNUMBER(SEARCH("Party Name-",'R.M Billets Reports'!D2135)),TRIM(MID('R.M Billets Reports'!D2135,SEARCH("-",'R.M Billets Reports'!D2135)+1,200)),"")),IF(ISNUMBER(SEARCH("Party Name:-",'R.M Billets Reports'!D2136)),TRIM('R.M Billets Reports'!F2136),IF(ISNUMBER(SEARCH("Party Name-",'R.M Billets Reports'!D2136)),TRIM(MID('R.M Billets Reports'!D2136,SEARCH("-",'R.M Billets Reports'!D2136)+1,200)),"")))="SHRI RADHE","SHREE RADHE",IF(IF(IF(ISNUMBER(SEARCH("Party Name:-",'R.M Billets Reports'!D2135)),TRIM('R.M Billets Reports'!F2135),IF(ISNUMBER(SEARCH("Party Name-",'R.M Billets Reports'!D2135)),TRIM(MID('R.M Billets Reports'!D2135,SEARCH("-",'R.M Billets Reports'!D2135)+1,200)),""))&lt;&gt;"",IF(ISNUMBER(SEARCH("Party Name:-",'R.M Billets Reports'!D2135)),TRIM('R.M Billets Reports'!F2135),IF(ISNUMBER(SEARCH("Party Name-",'R.M Billets Reports'!D2135)),TRIM(MID('R.M Billets Reports'!D2135,SEARCH("-",'R.M Billets Reports'!D2135)+1,200)),"")),IF(ISNUMBER(SEARCH("Party Name:-",'R.M Billets Reports'!D2136)),TRIM('R.M Billets Reports'!F2136),IF(ISNUMBER(SEARCH("Party Name-",'R.M Billets Reports'!D2136)),TRIM(MID('R.M Billets Reports'!D2136,SEARCH("-",'R.M Billets Reports'!D2136)+1,200)),"")))="SHREE RADHE SHAKTI SPONGE AND POWER PVT. LTD.","SHREE RADHE",IF(IF(ISNUMBER(SEARCH("Party Name:-",'R.M Billets Reports'!D2135)),TRIM('R.M Billets Reports'!F2135),IF(ISNUMBER(SEARCH("Party Name-",'R.M Billets Reports'!D2135)),TRIM(MID('R.M Billets Reports'!D2135,SEARCH("-",'R.M Billets Reports'!D2135)+1,200)),""))&lt;&gt;"",IF(ISNUMBER(SEARCH("Party Name:-",'R.M Billets Reports'!D2135)),TRIM('R.M Billets Reports'!F2135),IF(ISNUMBER(SEARCH("Party Name-",'R.M Billets Reports'!D2135)),TRIM(MID('R.M Billets Reports'!D2135,SEARCH("-",'R.M Billets Reports'!D2135)+1,200)),"")),IF(ISNUMBER(SEARCH("Party Name:-",'R.M Billets Reports'!D2136)),TRIM('R.M Billets Reports'!F2136),IF(ISNUMBER(SEARCH("Party Name-",'R.M Billets Reports'!D2136)),TRIM(MID('R.M Billets Reports'!D2136,SEARCH("-",'R.M Billets Reports'!D2136)+1,200)),"")))))),IF(ROW()=2,"",A2135))</f>
      </c>
      <c r="B2136">
        <f>IF(OR('R.M Billets Reports'!A2135="Date-",'R.M Billets Reports'!A2135="Date:-"),'R.M Billets Reports'!B2135,IF(ROW()=2,"",B2135))</f>
      </c>
      <c r="C2136">
        <f>IF('R.M Billets Reports'!A2135="V.No.",'R.M Billets Reports'!B2135,IF(ROW()=2,"",C2135))</f>
      </c>
      <c r="D2136">
        <f>IF('R.M Billets Reports'!A2135&lt;&gt;"",'R.M Billets Reports'!A2135,IF(ROW()=2,"",D2135))</f>
      </c>
      <c r="E2136">
        <f>IF('R.M Billets Reports'!B2135="","",TRIM('R.M Billets Reports'!B2135))</f>
      </c>
      <c r="F2136">
        <f>'R.M Billets Reports'!C2135</f>
      </c>
      <c r="G2136">
        <f>'R.M Billets Reports'!D2135</f>
      </c>
      <c r="H2136">
        <f>'R.M Billets Reports'!E2135</f>
      </c>
      <c r="I2136">
        <f>'R.M Billets Reports'!F2135</f>
      </c>
      <c r="J2136">
        <f>'R.M Billets Reports'!G2135</f>
      </c>
      <c r="K2136">
        <f>'R.M Billets Reports'!H2135</f>
      </c>
      <c r="L2136">
        <f>IF('R.M Billets Reports'!I2135="","",'R.M Billets Reports'!I2135)</f>
      </c>
      <c r="M2136">
        <f t="shared" si="66"/>
      </c>
      <c r="N2136">
        <f>IF('R.M Billets Reports'!J2135="","",'R.M Billets Reports'!J2135)</f>
      </c>
      <c r="O2136">
        <f t="shared" si="67"/>
      </c>
      <c r="P2136">
        <f>IF('R.M Billets Reports'!A2135="SIZE",'R.M Billets Reports'!B2135,P2135)</f>
      </c>
    </row>
    <row r="2137" spans="1:16" x14ac:dyDescent="0.25">
      <c r="A2137">
        <f>IF(OR('R.M Billets Reports'!A2136="Date-",'R.M Billets Reports'!A2136="Date:-"),IF(IF(IF(ISNUMBER(SEARCH("Party Name:-",'R.M Billets Reports'!D2136)),TRIM('R.M Billets Reports'!F2136),IF(ISNUMBER(SEARCH("Party Name-",'R.M Billets Reports'!D2136)),TRIM(MID('R.M Billets Reports'!D2136,SEARCH("-",'R.M Billets Reports'!D2136)+1,200)),""))&lt;&gt;"",IF(ISNUMBER(SEARCH("Party Name:-",'R.M Billets Reports'!D2136)),TRIM('R.M Billets Reports'!F2136),IF(ISNUMBER(SEARCH("Party Name-",'R.M Billets Reports'!D2136)),TRIM(MID('R.M Billets Reports'!D2136,SEARCH("-",'R.M Billets Reports'!D2136)+1,200)),"")),IF(ISNUMBER(SEARCH("Party Name:-",'R.M Billets Reports'!D2137)),TRIM('R.M Billets Reports'!F2137),IF(ISNUMBER(SEARCH("Party Name-",'R.M Billets Reports'!D2137)),TRIM(MID('R.M Billets Reports'!D2137,SEARCH("-",'R.M Billets Reports'!D2137)+1,200)),"")))="VRKP ISPAT PVT LTD","VRKP",IF(IF(IF(ISNUMBER(SEARCH("Party Name:-",'R.M Billets Reports'!D2136)),TRIM('R.M Billets Reports'!F2136),IF(ISNUMBER(SEARCH("Party Name-",'R.M Billets Reports'!D2136)),TRIM(MID('R.M Billets Reports'!D2136,SEARCH("-",'R.M Billets Reports'!D2136)+1,200)),""))&lt;&gt;"",IF(ISNUMBER(SEARCH("Party Name:-",'R.M Billets Reports'!D2136)),TRIM('R.M Billets Reports'!F2136),IF(ISNUMBER(SEARCH("Party Name-",'R.M Billets Reports'!D2136)),TRIM(MID('R.M Billets Reports'!D2136,SEARCH("-",'R.M Billets Reports'!D2136)+1,200)),"")),IF(ISNUMBER(SEARCH("Party Name:-",'R.M Billets Reports'!D2137)),TRIM('R.M Billets Reports'!F2137),IF(ISNUMBER(SEARCH("Party Name-",'R.M Billets Reports'!D2137)),TRIM(MID('R.M Billets Reports'!D2137,SEARCH("-",'R.M Billets Reports'!D2137)+1,200)),"")))="SHRI RADHE","SHREE RADHE",IF(IF(IF(ISNUMBER(SEARCH("Party Name:-",'R.M Billets Reports'!D2136)),TRIM('R.M Billets Reports'!F2136),IF(ISNUMBER(SEARCH("Party Name-",'R.M Billets Reports'!D2136)),TRIM(MID('R.M Billets Reports'!D2136,SEARCH("-",'R.M Billets Reports'!D2136)+1,200)),""))&lt;&gt;"",IF(ISNUMBER(SEARCH("Party Name:-",'R.M Billets Reports'!D2136)),TRIM('R.M Billets Reports'!F2136),IF(ISNUMBER(SEARCH("Party Name-",'R.M Billets Reports'!D2136)),TRIM(MID('R.M Billets Reports'!D2136,SEARCH("-",'R.M Billets Reports'!D2136)+1,200)),"")),IF(ISNUMBER(SEARCH("Party Name:-",'R.M Billets Reports'!D2137)),TRIM('R.M Billets Reports'!F2137),IF(ISNUMBER(SEARCH("Party Name-",'R.M Billets Reports'!D2137)),TRIM(MID('R.M Billets Reports'!D2137,SEARCH("-",'R.M Billets Reports'!D2137)+1,200)),"")))="SHREE RADHE SHAKTI SPONGE AND POWER PVT. LTD.","SHREE RADHE",IF(IF(ISNUMBER(SEARCH("Party Name:-",'R.M Billets Reports'!D2136)),TRIM('R.M Billets Reports'!F2136),IF(ISNUMBER(SEARCH("Party Name-",'R.M Billets Reports'!D2136)),TRIM(MID('R.M Billets Reports'!D2136,SEARCH("-",'R.M Billets Reports'!D2136)+1,200)),""))&lt;&gt;"",IF(ISNUMBER(SEARCH("Party Name:-",'R.M Billets Reports'!D2136)),TRIM('R.M Billets Reports'!F2136),IF(ISNUMBER(SEARCH("Party Name-",'R.M Billets Reports'!D2136)),TRIM(MID('R.M Billets Reports'!D2136,SEARCH("-",'R.M Billets Reports'!D2136)+1,200)),"")),IF(ISNUMBER(SEARCH("Party Name:-",'R.M Billets Reports'!D2137)),TRIM('R.M Billets Reports'!F2137),IF(ISNUMBER(SEARCH("Party Name-",'R.M Billets Reports'!D2137)),TRIM(MID('R.M Billets Reports'!D2137,SEARCH("-",'R.M Billets Reports'!D2137)+1,200)),"")))))),IF(ROW()=2,"",A2136))</f>
      </c>
      <c r="B2137">
        <f>IF(OR('R.M Billets Reports'!A2136="Date-",'R.M Billets Reports'!A2136="Date:-"),'R.M Billets Reports'!B2136,IF(ROW()=2,"",B2136))</f>
      </c>
      <c r="C2137">
        <f>IF('R.M Billets Reports'!A2136="V.No.",'R.M Billets Reports'!B2136,IF(ROW()=2,"",C2136))</f>
      </c>
      <c r="D2137">
        <f>IF('R.M Billets Reports'!A2136&lt;&gt;"",'R.M Billets Reports'!A2136,IF(ROW()=2,"",D2136))</f>
      </c>
      <c r="E2137">
        <f>IF('R.M Billets Reports'!B2136="","",TRIM('R.M Billets Reports'!B2136))</f>
      </c>
      <c r="F2137">
        <f>'R.M Billets Reports'!C2136</f>
      </c>
      <c r="G2137">
        <f>'R.M Billets Reports'!D2136</f>
      </c>
      <c r="H2137">
        <f>'R.M Billets Reports'!E2136</f>
      </c>
      <c r="I2137">
        <f>'R.M Billets Reports'!F2136</f>
      </c>
      <c r="J2137">
        <f>'R.M Billets Reports'!G2136</f>
      </c>
      <c r="K2137">
        <f>'R.M Billets Reports'!H2136</f>
      </c>
      <c r="L2137">
        <f>IF('R.M Billets Reports'!I2136="","",'R.M Billets Reports'!I2136)</f>
      </c>
      <c r="M2137">
        <f t="shared" si="66"/>
      </c>
      <c r="N2137">
        <f>IF('R.M Billets Reports'!J2136="","",'R.M Billets Reports'!J2136)</f>
      </c>
      <c r="O2137">
        <f t="shared" si="67"/>
      </c>
      <c r="P2137">
        <f>IF('R.M Billets Reports'!A2136="SIZE",'R.M Billets Reports'!B2136,P2136)</f>
      </c>
    </row>
    <row r="2138" spans="1:16" x14ac:dyDescent="0.25">
      <c r="A2138">
        <f>IF(OR('R.M Billets Reports'!A2137="Date-",'R.M Billets Reports'!A2137="Date:-"),IF(IF(IF(ISNUMBER(SEARCH("Party Name:-",'R.M Billets Reports'!D2137)),TRIM('R.M Billets Reports'!F2137),IF(ISNUMBER(SEARCH("Party Name-",'R.M Billets Reports'!D2137)),TRIM(MID('R.M Billets Reports'!D2137,SEARCH("-",'R.M Billets Reports'!D2137)+1,200)),""))&lt;&gt;"",IF(ISNUMBER(SEARCH("Party Name:-",'R.M Billets Reports'!D2137)),TRIM('R.M Billets Reports'!F2137),IF(ISNUMBER(SEARCH("Party Name-",'R.M Billets Reports'!D2137)),TRIM(MID('R.M Billets Reports'!D2137,SEARCH("-",'R.M Billets Reports'!D2137)+1,200)),"")),IF(ISNUMBER(SEARCH("Party Name:-",'R.M Billets Reports'!D2138)),TRIM('R.M Billets Reports'!F2138),IF(ISNUMBER(SEARCH("Party Name-",'R.M Billets Reports'!D2138)),TRIM(MID('R.M Billets Reports'!D2138,SEARCH("-",'R.M Billets Reports'!D2138)+1,200)),"")))="VRKP ISPAT PVT LTD","VRKP",IF(IF(IF(ISNUMBER(SEARCH("Party Name:-",'R.M Billets Reports'!D2137)),TRIM('R.M Billets Reports'!F2137),IF(ISNUMBER(SEARCH("Party Name-",'R.M Billets Reports'!D2137)),TRIM(MID('R.M Billets Reports'!D2137,SEARCH("-",'R.M Billets Reports'!D2137)+1,200)),""))&lt;&gt;"",IF(ISNUMBER(SEARCH("Party Name:-",'R.M Billets Reports'!D2137)),TRIM('R.M Billets Reports'!F2137),IF(ISNUMBER(SEARCH("Party Name-",'R.M Billets Reports'!D2137)),TRIM(MID('R.M Billets Reports'!D2137,SEARCH("-",'R.M Billets Reports'!D2137)+1,200)),"")),IF(ISNUMBER(SEARCH("Party Name:-",'R.M Billets Reports'!D2138)),TRIM('R.M Billets Reports'!F2138),IF(ISNUMBER(SEARCH("Party Name-",'R.M Billets Reports'!D2138)),TRIM(MID('R.M Billets Reports'!D2138,SEARCH("-",'R.M Billets Reports'!D2138)+1,200)),"")))="SHRI RADHE","SHREE RADHE",IF(IF(IF(ISNUMBER(SEARCH("Party Name:-",'R.M Billets Reports'!D2137)),TRIM('R.M Billets Reports'!F2137),IF(ISNUMBER(SEARCH("Party Name-",'R.M Billets Reports'!D2137)),TRIM(MID('R.M Billets Reports'!D2137,SEARCH("-",'R.M Billets Reports'!D2137)+1,200)),""))&lt;&gt;"",IF(ISNUMBER(SEARCH("Party Name:-",'R.M Billets Reports'!D2137)),TRIM('R.M Billets Reports'!F2137),IF(ISNUMBER(SEARCH("Party Name-",'R.M Billets Reports'!D2137)),TRIM(MID('R.M Billets Reports'!D2137,SEARCH("-",'R.M Billets Reports'!D2137)+1,200)),"")),IF(ISNUMBER(SEARCH("Party Name:-",'R.M Billets Reports'!D2138)),TRIM('R.M Billets Reports'!F2138),IF(ISNUMBER(SEARCH("Party Name-",'R.M Billets Reports'!D2138)),TRIM(MID('R.M Billets Reports'!D2138,SEARCH("-",'R.M Billets Reports'!D2138)+1,200)),"")))="SHREE RADHE SHAKTI SPONGE AND POWER PVT. LTD.","SHREE RADHE",IF(IF(ISNUMBER(SEARCH("Party Name:-",'R.M Billets Reports'!D2137)),TRIM('R.M Billets Reports'!F2137),IF(ISNUMBER(SEARCH("Party Name-",'R.M Billets Reports'!D2137)),TRIM(MID('R.M Billets Reports'!D2137,SEARCH("-",'R.M Billets Reports'!D2137)+1,200)),""))&lt;&gt;"",IF(ISNUMBER(SEARCH("Party Name:-",'R.M Billets Reports'!D2137)),TRIM('R.M Billets Reports'!F2137),IF(ISNUMBER(SEARCH("Party Name-",'R.M Billets Reports'!D2137)),TRIM(MID('R.M Billets Reports'!D2137,SEARCH("-",'R.M Billets Reports'!D2137)+1,200)),"")),IF(ISNUMBER(SEARCH("Party Name:-",'R.M Billets Reports'!D2138)),TRIM('R.M Billets Reports'!F2138),IF(ISNUMBER(SEARCH("Party Name-",'R.M Billets Reports'!D2138)),TRIM(MID('R.M Billets Reports'!D2138,SEARCH("-",'R.M Billets Reports'!D2138)+1,200)),"")))))),IF(ROW()=2,"",A2137))</f>
      </c>
      <c r="B2138">
        <f>IF(OR('R.M Billets Reports'!A2137="Date-",'R.M Billets Reports'!A2137="Date:-"),'R.M Billets Reports'!B2137,IF(ROW()=2,"",B2137))</f>
      </c>
      <c r="C2138">
        <f>IF('R.M Billets Reports'!A2137="V.No.",'R.M Billets Reports'!B2137,IF(ROW()=2,"",C2137))</f>
      </c>
      <c r="D2138">
        <f>IF('R.M Billets Reports'!A2137&lt;&gt;"",'R.M Billets Reports'!A2137,IF(ROW()=2,"",D2137))</f>
      </c>
      <c r="E2138">
        <f>IF('R.M Billets Reports'!B2137="","",TRIM('R.M Billets Reports'!B2137))</f>
      </c>
      <c r="F2138">
        <f>'R.M Billets Reports'!C2137</f>
      </c>
      <c r="G2138">
        <f>'R.M Billets Reports'!D2137</f>
      </c>
      <c r="H2138">
        <f>'R.M Billets Reports'!E2137</f>
      </c>
      <c r="I2138">
        <f>'R.M Billets Reports'!F2137</f>
      </c>
      <c r="J2138">
        <f>'R.M Billets Reports'!G2137</f>
      </c>
      <c r="K2138">
        <f>'R.M Billets Reports'!H2137</f>
      </c>
      <c r="L2138">
        <f>IF('R.M Billets Reports'!I2137="","",'R.M Billets Reports'!I2137)</f>
      </c>
      <c r="M2138">
        <f t="shared" si="66"/>
      </c>
      <c r="N2138">
        <f>IF('R.M Billets Reports'!J2137="","",'R.M Billets Reports'!J2137)</f>
      </c>
      <c r="O2138">
        <f t="shared" si="67"/>
      </c>
      <c r="P2138">
        <f>IF('R.M Billets Reports'!A2137="SIZE",'R.M Billets Reports'!B2137,P2137)</f>
      </c>
    </row>
    <row r="2139" spans="1:16" x14ac:dyDescent="0.25">
      <c r="A2139">
        <f>IF(OR('R.M Billets Reports'!A2138="Date-",'R.M Billets Reports'!A2138="Date:-"),IF(IF(IF(ISNUMBER(SEARCH("Party Name:-",'R.M Billets Reports'!D2138)),TRIM('R.M Billets Reports'!F2138),IF(ISNUMBER(SEARCH("Party Name-",'R.M Billets Reports'!D2138)),TRIM(MID('R.M Billets Reports'!D2138,SEARCH("-",'R.M Billets Reports'!D2138)+1,200)),""))&lt;&gt;"",IF(ISNUMBER(SEARCH("Party Name:-",'R.M Billets Reports'!D2138)),TRIM('R.M Billets Reports'!F2138),IF(ISNUMBER(SEARCH("Party Name-",'R.M Billets Reports'!D2138)),TRIM(MID('R.M Billets Reports'!D2138,SEARCH("-",'R.M Billets Reports'!D2138)+1,200)),"")),IF(ISNUMBER(SEARCH("Party Name:-",'R.M Billets Reports'!D2139)),TRIM('R.M Billets Reports'!F2139),IF(ISNUMBER(SEARCH("Party Name-",'R.M Billets Reports'!D2139)),TRIM(MID('R.M Billets Reports'!D2139,SEARCH("-",'R.M Billets Reports'!D2139)+1,200)),"")))="VRKP ISPAT PVT LTD","VRKP",IF(IF(IF(ISNUMBER(SEARCH("Party Name:-",'R.M Billets Reports'!D2138)),TRIM('R.M Billets Reports'!F2138),IF(ISNUMBER(SEARCH("Party Name-",'R.M Billets Reports'!D2138)),TRIM(MID('R.M Billets Reports'!D2138,SEARCH("-",'R.M Billets Reports'!D2138)+1,200)),""))&lt;&gt;"",IF(ISNUMBER(SEARCH("Party Name:-",'R.M Billets Reports'!D2138)),TRIM('R.M Billets Reports'!F2138),IF(ISNUMBER(SEARCH("Party Name-",'R.M Billets Reports'!D2138)),TRIM(MID('R.M Billets Reports'!D2138,SEARCH("-",'R.M Billets Reports'!D2138)+1,200)),"")),IF(ISNUMBER(SEARCH("Party Name:-",'R.M Billets Reports'!D2139)),TRIM('R.M Billets Reports'!F2139),IF(ISNUMBER(SEARCH("Party Name-",'R.M Billets Reports'!D2139)),TRIM(MID('R.M Billets Reports'!D2139,SEARCH("-",'R.M Billets Reports'!D2139)+1,200)),"")))="SHRI RADHE","SHREE RADHE",IF(IF(IF(ISNUMBER(SEARCH("Party Name:-",'R.M Billets Reports'!D2138)),TRIM('R.M Billets Reports'!F2138),IF(ISNUMBER(SEARCH("Party Name-",'R.M Billets Reports'!D2138)),TRIM(MID('R.M Billets Reports'!D2138,SEARCH("-",'R.M Billets Reports'!D2138)+1,200)),""))&lt;&gt;"",IF(ISNUMBER(SEARCH("Party Name:-",'R.M Billets Reports'!D2138)),TRIM('R.M Billets Reports'!F2138),IF(ISNUMBER(SEARCH("Party Name-",'R.M Billets Reports'!D2138)),TRIM(MID('R.M Billets Reports'!D2138,SEARCH("-",'R.M Billets Reports'!D2138)+1,200)),"")),IF(ISNUMBER(SEARCH("Party Name:-",'R.M Billets Reports'!D2139)),TRIM('R.M Billets Reports'!F2139),IF(ISNUMBER(SEARCH("Party Name-",'R.M Billets Reports'!D2139)),TRIM(MID('R.M Billets Reports'!D2139,SEARCH("-",'R.M Billets Reports'!D2139)+1,200)),"")))="SHREE RADHE SHAKTI SPONGE AND POWER PVT. LTD.","SHREE RADHE",IF(IF(ISNUMBER(SEARCH("Party Name:-",'R.M Billets Reports'!D2138)),TRIM('R.M Billets Reports'!F2138),IF(ISNUMBER(SEARCH("Party Name-",'R.M Billets Reports'!D2138)),TRIM(MID('R.M Billets Reports'!D2138,SEARCH("-",'R.M Billets Reports'!D2138)+1,200)),""))&lt;&gt;"",IF(ISNUMBER(SEARCH("Party Name:-",'R.M Billets Reports'!D2138)),TRIM('R.M Billets Reports'!F2138),IF(ISNUMBER(SEARCH("Party Name-",'R.M Billets Reports'!D2138)),TRIM(MID('R.M Billets Reports'!D2138,SEARCH("-",'R.M Billets Reports'!D2138)+1,200)),"")),IF(ISNUMBER(SEARCH("Party Name:-",'R.M Billets Reports'!D2139)),TRIM('R.M Billets Reports'!F2139),IF(ISNUMBER(SEARCH("Party Name-",'R.M Billets Reports'!D2139)),TRIM(MID('R.M Billets Reports'!D2139,SEARCH("-",'R.M Billets Reports'!D2139)+1,200)),"")))))),IF(ROW()=2,"",A2138))</f>
      </c>
      <c r="B2139">
        <f>IF(OR('R.M Billets Reports'!A2138="Date-",'R.M Billets Reports'!A2138="Date:-"),'R.M Billets Reports'!B2138,IF(ROW()=2,"",B2138))</f>
      </c>
      <c r="C2139">
        <f>IF('R.M Billets Reports'!A2138="V.No.",'R.M Billets Reports'!B2138,IF(ROW()=2,"",C2138))</f>
      </c>
      <c r="D2139">
        <f>IF('R.M Billets Reports'!A2138&lt;&gt;"",'R.M Billets Reports'!A2138,IF(ROW()=2,"",D2138))</f>
      </c>
      <c r="E2139">
        <f>IF('R.M Billets Reports'!B2138="","",TRIM('R.M Billets Reports'!B2138))</f>
      </c>
      <c r="F2139">
        <f>'R.M Billets Reports'!C2138</f>
      </c>
      <c r="G2139">
        <f>'R.M Billets Reports'!D2138</f>
      </c>
      <c r="H2139">
        <f>'R.M Billets Reports'!E2138</f>
      </c>
      <c r="I2139">
        <f>'R.M Billets Reports'!F2138</f>
      </c>
      <c r="J2139">
        <f>'R.M Billets Reports'!G2138</f>
      </c>
      <c r="K2139">
        <f>'R.M Billets Reports'!H2138</f>
      </c>
      <c r="L2139">
        <f>IF('R.M Billets Reports'!I2138="","",'R.M Billets Reports'!I2138)</f>
      </c>
      <c r="M2139">
        <f t="shared" si="66"/>
      </c>
      <c r="N2139">
        <f>IF('R.M Billets Reports'!J2138="","",'R.M Billets Reports'!J2138)</f>
      </c>
      <c r="O2139">
        <f t="shared" si="67"/>
      </c>
      <c r="P2139">
        <f>IF('R.M Billets Reports'!A2138="SIZE",'R.M Billets Reports'!B2138,P2138)</f>
      </c>
    </row>
    <row r="2140" spans="1:16" x14ac:dyDescent="0.25">
      <c r="A2140">
        <f>IF(OR('R.M Billets Reports'!A2139="Date-",'R.M Billets Reports'!A2139="Date:-"),IF(IF(IF(ISNUMBER(SEARCH("Party Name:-",'R.M Billets Reports'!D2139)),TRIM('R.M Billets Reports'!F2139),IF(ISNUMBER(SEARCH("Party Name-",'R.M Billets Reports'!D2139)),TRIM(MID('R.M Billets Reports'!D2139,SEARCH("-",'R.M Billets Reports'!D2139)+1,200)),""))&lt;&gt;"",IF(ISNUMBER(SEARCH("Party Name:-",'R.M Billets Reports'!D2139)),TRIM('R.M Billets Reports'!F2139),IF(ISNUMBER(SEARCH("Party Name-",'R.M Billets Reports'!D2139)),TRIM(MID('R.M Billets Reports'!D2139,SEARCH("-",'R.M Billets Reports'!D2139)+1,200)),"")),IF(ISNUMBER(SEARCH("Party Name:-",'R.M Billets Reports'!D2140)),TRIM('R.M Billets Reports'!F2140),IF(ISNUMBER(SEARCH("Party Name-",'R.M Billets Reports'!D2140)),TRIM(MID('R.M Billets Reports'!D2140,SEARCH("-",'R.M Billets Reports'!D2140)+1,200)),"")))="VRKP ISPAT PVT LTD","VRKP",IF(IF(IF(ISNUMBER(SEARCH("Party Name:-",'R.M Billets Reports'!D2139)),TRIM('R.M Billets Reports'!F2139),IF(ISNUMBER(SEARCH("Party Name-",'R.M Billets Reports'!D2139)),TRIM(MID('R.M Billets Reports'!D2139,SEARCH("-",'R.M Billets Reports'!D2139)+1,200)),""))&lt;&gt;"",IF(ISNUMBER(SEARCH("Party Name:-",'R.M Billets Reports'!D2139)),TRIM('R.M Billets Reports'!F2139),IF(ISNUMBER(SEARCH("Party Name-",'R.M Billets Reports'!D2139)),TRIM(MID('R.M Billets Reports'!D2139,SEARCH("-",'R.M Billets Reports'!D2139)+1,200)),"")),IF(ISNUMBER(SEARCH("Party Name:-",'R.M Billets Reports'!D2140)),TRIM('R.M Billets Reports'!F2140),IF(ISNUMBER(SEARCH("Party Name-",'R.M Billets Reports'!D2140)),TRIM(MID('R.M Billets Reports'!D2140,SEARCH("-",'R.M Billets Reports'!D2140)+1,200)),"")))="SHRI RADHE","SHREE RADHE",IF(IF(IF(ISNUMBER(SEARCH("Party Name:-",'R.M Billets Reports'!D2139)),TRIM('R.M Billets Reports'!F2139),IF(ISNUMBER(SEARCH("Party Name-",'R.M Billets Reports'!D2139)),TRIM(MID('R.M Billets Reports'!D2139,SEARCH("-",'R.M Billets Reports'!D2139)+1,200)),""))&lt;&gt;"",IF(ISNUMBER(SEARCH("Party Name:-",'R.M Billets Reports'!D2139)),TRIM('R.M Billets Reports'!F2139),IF(ISNUMBER(SEARCH("Party Name-",'R.M Billets Reports'!D2139)),TRIM(MID('R.M Billets Reports'!D2139,SEARCH("-",'R.M Billets Reports'!D2139)+1,200)),"")),IF(ISNUMBER(SEARCH("Party Name:-",'R.M Billets Reports'!D2140)),TRIM('R.M Billets Reports'!F2140),IF(ISNUMBER(SEARCH("Party Name-",'R.M Billets Reports'!D2140)),TRIM(MID('R.M Billets Reports'!D2140,SEARCH("-",'R.M Billets Reports'!D2140)+1,200)),"")))="SHREE RADHE SHAKTI SPONGE AND POWER PVT. LTD.","SHREE RADHE",IF(IF(ISNUMBER(SEARCH("Party Name:-",'R.M Billets Reports'!D2139)),TRIM('R.M Billets Reports'!F2139),IF(ISNUMBER(SEARCH("Party Name-",'R.M Billets Reports'!D2139)),TRIM(MID('R.M Billets Reports'!D2139,SEARCH("-",'R.M Billets Reports'!D2139)+1,200)),""))&lt;&gt;"",IF(ISNUMBER(SEARCH("Party Name:-",'R.M Billets Reports'!D2139)),TRIM('R.M Billets Reports'!F2139),IF(ISNUMBER(SEARCH("Party Name-",'R.M Billets Reports'!D2139)),TRIM(MID('R.M Billets Reports'!D2139,SEARCH("-",'R.M Billets Reports'!D2139)+1,200)),"")),IF(ISNUMBER(SEARCH("Party Name:-",'R.M Billets Reports'!D2140)),TRIM('R.M Billets Reports'!F2140),IF(ISNUMBER(SEARCH("Party Name-",'R.M Billets Reports'!D2140)),TRIM(MID('R.M Billets Reports'!D2140,SEARCH("-",'R.M Billets Reports'!D2140)+1,200)),"")))))),IF(ROW()=2,"",A2139))</f>
      </c>
      <c r="B2140">
        <f>IF(OR('R.M Billets Reports'!A2139="Date-",'R.M Billets Reports'!A2139="Date:-"),'R.M Billets Reports'!B2139,IF(ROW()=2,"",B2139))</f>
      </c>
      <c r="C2140">
        <f>IF('R.M Billets Reports'!A2139="V.No.",'R.M Billets Reports'!B2139,IF(ROW()=2,"",C2139))</f>
      </c>
      <c r="D2140">
        <f>IF('R.M Billets Reports'!A2139&lt;&gt;"",'R.M Billets Reports'!A2139,IF(ROW()=2,"",D2139))</f>
      </c>
      <c r="E2140">
        <f>IF('R.M Billets Reports'!B2139="","",TRIM('R.M Billets Reports'!B2139))</f>
      </c>
      <c r="F2140">
        <f>'R.M Billets Reports'!C2139</f>
      </c>
      <c r="G2140">
        <f>'R.M Billets Reports'!D2139</f>
      </c>
      <c r="H2140">
        <f>'R.M Billets Reports'!E2139</f>
      </c>
      <c r="I2140">
        <f>'R.M Billets Reports'!F2139</f>
      </c>
      <c r="J2140">
        <f>'R.M Billets Reports'!G2139</f>
      </c>
      <c r="K2140">
        <f>'R.M Billets Reports'!H2139</f>
      </c>
      <c r="L2140">
        <f>IF('R.M Billets Reports'!I2139="","",'R.M Billets Reports'!I2139)</f>
      </c>
      <c r="M2140">
        <f t="shared" si="66"/>
      </c>
      <c r="N2140">
        <f>IF('R.M Billets Reports'!J2139="","",'R.M Billets Reports'!J2139)</f>
      </c>
      <c r="O2140">
        <f t="shared" si="67"/>
      </c>
      <c r="P2140">
        <f>IF('R.M Billets Reports'!A2139="SIZE",'R.M Billets Reports'!B2139,P2139)</f>
      </c>
    </row>
    <row r="2141" spans="1:16" x14ac:dyDescent="0.25">
      <c r="A2141">
        <f>IF(OR('R.M Billets Reports'!A2140="Date-",'R.M Billets Reports'!A2140="Date:-"),IF(IF(IF(ISNUMBER(SEARCH("Party Name:-",'R.M Billets Reports'!D2140)),TRIM('R.M Billets Reports'!F2140),IF(ISNUMBER(SEARCH("Party Name-",'R.M Billets Reports'!D2140)),TRIM(MID('R.M Billets Reports'!D2140,SEARCH("-",'R.M Billets Reports'!D2140)+1,200)),""))&lt;&gt;"",IF(ISNUMBER(SEARCH("Party Name:-",'R.M Billets Reports'!D2140)),TRIM('R.M Billets Reports'!F2140),IF(ISNUMBER(SEARCH("Party Name-",'R.M Billets Reports'!D2140)),TRIM(MID('R.M Billets Reports'!D2140,SEARCH("-",'R.M Billets Reports'!D2140)+1,200)),"")),IF(ISNUMBER(SEARCH("Party Name:-",'R.M Billets Reports'!D2141)),TRIM('R.M Billets Reports'!F2141),IF(ISNUMBER(SEARCH("Party Name-",'R.M Billets Reports'!D2141)),TRIM(MID('R.M Billets Reports'!D2141,SEARCH("-",'R.M Billets Reports'!D2141)+1,200)),"")))="VRKP ISPAT PVT LTD","VRKP",IF(IF(IF(ISNUMBER(SEARCH("Party Name:-",'R.M Billets Reports'!D2140)),TRIM('R.M Billets Reports'!F2140),IF(ISNUMBER(SEARCH("Party Name-",'R.M Billets Reports'!D2140)),TRIM(MID('R.M Billets Reports'!D2140,SEARCH("-",'R.M Billets Reports'!D2140)+1,200)),""))&lt;&gt;"",IF(ISNUMBER(SEARCH("Party Name:-",'R.M Billets Reports'!D2140)),TRIM('R.M Billets Reports'!F2140),IF(ISNUMBER(SEARCH("Party Name-",'R.M Billets Reports'!D2140)),TRIM(MID('R.M Billets Reports'!D2140,SEARCH("-",'R.M Billets Reports'!D2140)+1,200)),"")),IF(ISNUMBER(SEARCH("Party Name:-",'R.M Billets Reports'!D2141)),TRIM('R.M Billets Reports'!F2141),IF(ISNUMBER(SEARCH("Party Name-",'R.M Billets Reports'!D2141)),TRIM(MID('R.M Billets Reports'!D2141,SEARCH("-",'R.M Billets Reports'!D2141)+1,200)),"")))="SHRI RADHE","SHREE RADHE",IF(IF(IF(ISNUMBER(SEARCH("Party Name:-",'R.M Billets Reports'!D2140)),TRIM('R.M Billets Reports'!F2140),IF(ISNUMBER(SEARCH("Party Name-",'R.M Billets Reports'!D2140)),TRIM(MID('R.M Billets Reports'!D2140,SEARCH("-",'R.M Billets Reports'!D2140)+1,200)),""))&lt;&gt;"",IF(ISNUMBER(SEARCH("Party Name:-",'R.M Billets Reports'!D2140)),TRIM('R.M Billets Reports'!F2140),IF(ISNUMBER(SEARCH("Party Name-",'R.M Billets Reports'!D2140)),TRIM(MID('R.M Billets Reports'!D2140,SEARCH("-",'R.M Billets Reports'!D2140)+1,200)),"")),IF(ISNUMBER(SEARCH("Party Name:-",'R.M Billets Reports'!D2141)),TRIM('R.M Billets Reports'!F2141),IF(ISNUMBER(SEARCH("Party Name-",'R.M Billets Reports'!D2141)),TRIM(MID('R.M Billets Reports'!D2141,SEARCH("-",'R.M Billets Reports'!D2141)+1,200)),"")))="SHREE RADHE SHAKTI SPONGE AND POWER PVT. LTD.","SHREE RADHE",IF(IF(ISNUMBER(SEARCH("Party Name:-",'R.M Billets Reports'!D2140)),TRIM('R.M Billets Reports'!F2140),IF(ISNUMBER(SEARCH("Party Name-",'R.M Billets Reports'!D2140)),TRIM(MID('R.M Billets Reports'!D2140,SEARCH("-",'R.M Billets Reports'!D2140)+1,200)),""))&lt;&gt;"",IF(ISNUMBER(SEARCH("Party Name:-",'R.M Billets Reports'!D2140)),TRIM('R.M Billets Reports'!F2140),IF(ISNUMBER(SEARCH("Party Name-",'R.M Billets Reports'!D2140)),TRIM(MID('R.M Billets Reports'!D2140,SEARCH("-",'R.M Billets Reports'!D2140)+1,200)),"")),IF(ISNUMBER(SEARCH("Party Name:-",'R.M Billets Reports'!D2141)),TRIM('R.M Billets Reports'!F2141),IF(ISNUMBER(SEARCH("Party Name-",'R.M Billets Reports'!D2141)),TRIM(MID('R.M Billets Reports'!D2141,SEARCH("-",'R.M Billets Reports'!D2141)+1,200)),"")))))),IF(ROW()=2,"",A2140))</f>
      </c>
      <c r="B2141">
        <f>IF(OR('R.M Billets Reports'!A2140="Date-",'R.M Billets Reports'!A2140="Date:-"),'R.M Billets Reports'!B2140,IF(ROW()=2,"",B2140))</f>
      </c>
      <c r="C2141">
        <f>IF('R.M Billets Reports'!A2140="V.No.",'R.M Billets Reports'!B2140,IF(ROW()=2,"",C2140))</f>
      </c>
      <c r="D2141">
        <f>IF('R.M Billets Reports'!A2140&lt;&gt;"",'R.M Billets Reports'!A2140,IF(ROW()=2,"",D2140))</f>
      </c>
      <c r="E2141">
        <f>IF('R.M Billets Reports'!B2140="","",TRIM('R.M Billets Reports'!B2140))</f>
      </c>
      <c r="F2141">
        <f>'R.M Billets Reports'!C2140</f>
      </c>
      <c r="G2141">
        <f>'R.M Billets Reports'!D2140</f>
      </c>
      <c r="H2141">
        <f>'R.M Billets Reports'!E2140</f>
      </c>
      <c r="I2141">
        <f>'R.M Billets Reports'!F2140</f>
      </c>
      <c r="J2141">
        <f>'R.M Billets Reports'!G2140</f>
      </c>
      <c r="K2141">
        <f>'R.M Billets Reports'!H2140</f>
      </c>
      <c r="L2141">
        <f>IF('R.M Billets Reports'!I2140="","",'R.M Billets Reports'!I2140)</f>
      </c>
      <c r="M2141">
        <f t="shared" si="66"/>
      </c>
      <c r="N2141">
        <f>IF('R.M Billets Reports'!J2140="","",'R.M Billets Reports'!J2140)</f>
      </c>
      <c r="O2141">
        <f t="shared" si="67"/>
      </c>
      <c r="P2141">
        <f>IF('R.M Billets Reports'!A2140="SIZE",'R.M Billets Reports'!B2140,P2140)</f>
      </c>
    </row>
    <row r="2142" spans="1:16" x14ac:dyDescent="0.25">
      <c r="A2142">
        <f>IF(OR('R.M Billets Reports'!A2141="Date-",'R.M Billets Reports'!A2141="Date:-"),IF(IF(IF(ISNUMBER(SEARCH("Party Name:-",'R.M Billets Reports'!D2141)),TRIM('R.M Billets Reports'!F2141),IF(ISNUMBER(SEARCH("Party Name-",'R.M Billets Reports'!D2141)),TRIM(MID('R.M Billets Reports'!D2141,SEARCH("-",'R.M Billets Reports'!D2141)+1,200)),""))&lt;&gt;"",IF(ISNUMBER(SEARCH("Party Name:-",'R.M Billets Reports'!D2141)),TRIM('R.M Billets Reports'!F2141),IF(ISNUMBER(SEARCH("Party Name-",'R.M Billets Reports'!D2141)),TRIM(MID('R.M Billets Reports'!D2141,SEARCH("-",'R.M Billets Reports'!D2141)+1,200)),"")),IF(ISNUMBER(SEARCH("Party Name:-",'R.M Billets Reports'!D2142)),TRIM('R.M Billets Reports'!F2142),IF(ISNUMBER(SEARCH("Party Name-",'R.M Billets Reports'!D2142)),TRIM(MID('R.M Billets Reports'!D2142,SEARCH("-",'R.M Billets Reports'!D2142)+1,200)),"")))="VRKP ISPAT PVT LTD","VRKP",IF(IF(IF(ISNUMBER(SEARCH("Party Name:-",'R.M Billets Reports'!D2141)),TRIM('R.M Billets Reports'!F2141),IF(ISNUMBER(SEARCH("Party Name-",'R.M Billets Reports'!D2141)),TRIM(MID('R.M Billets Reports'!D2141,SEARCH("-",'R.M Billets Reports'!D2141)+1,200)),""))&lt;&gt;"",IF(ISNUMBER(SEARCH("Party Name:-",'R.M Billets Reports'!D2141)),TRIM('R.M Billets Reports'!F2141),IF(ISNUMBER(SEARCH("Party Name-",'R.M Billets Reports'!D2141)),TRIM(MID('R.M Billets Reports'!D2141,SEARCH("-",'R.M Billets Reports'!D2141)+1,200)),"")),IF(ISNUMBER(SEARCH("Party Name:-",'R.M Billets Reports'!D2142)),TRIM('R.M Billets Reports'!F2142),IF(ISNUMBER(SEARCH("Party Name-",'R.M Billets Reports'!D2142)),TRIM(MID('R.M Billets Reports'!D2142,SEARCH("-",'R.M Billets Reports'!D2142)+1,200)),"")))="SHRI RADHE","SHREE RADHE",IF(IF(IF(ISNUMBER(SEARCH("Party Name:-",'R.M Billets Reports'!D2141)),TRIM('R.M Billets Reports'!F2141),IF(ISNUMBER(SEARCH("Party Name-",'R.M Billets Reports'!D2141)),TRIM(MID('R.M Billets Reports'!D2141,SEARCH("-",'R.M Billets Reports'!D2141)+1,200)),""))&lt;&gt;"",IF(ISNUMBER(SEARCH("Party Name:-",'R.M Billets Reports'!D2141)),TRIM('R.M Billets Reports'!F2141),IF(ISNUMBER(SEARCH("Party Name-",'R.M Billets Reports'!D2141)),TRIM(MID('R.M Billets Reports'!D2141,SEARCH("-",'R.M Billets Reports'!D2141)+1,200)),"")),IF(ISNUMBER(SEARCH("Party Name:-",'R.M Billets Reports'!D2142)),TRIM('R.M Billets Reports'!F2142),IF(ISNUMBER(SEARCH("Party Name-",'R.M Billets Reports'!D2142)),TRIM(MID('R.M Billets Reports'!D2142,SEARCH("-",'R.M Billets Reports'!D2142)+1,200)),"")))="SHREE RADHE SHAKTI SPONGE AND POWER PVT. LTD.","SHREE RADHE",IF(IF(ISNUMBER(SEARCH("Party Name:-",'R.M Billets Reports'!D2141)),TRIM('R.M Billets Reports'!F2141),IF(ISNUMBER(SEARCH("Party Name-",'R.M Billets Reports'!D2141)),TRIM(MID('R.M Billets Reports'!D2141,SEARCH("-",'R.M Billets Reports'!D2141)+1,200)),""))&lt;&gt;"",IF(ISNUMBER(SEARCH("Party Name:-",'R.M Billets Reports'!D2141)),TRIM('R.M Billets Reports'!F2141),IF(ISNUMBER(SEARCH("Party Name-",'R.M Billets Reports'!D2141)),TRIM(MID('R.M Billets Reports'!D2141,SEARCH("-",'R.M Billets Reports'!D2141)+1,200)),"")),IF(ISNUMBER(SEARCH("Party Name:-",'R.M Billets Reports'!D2142)),TRIM('R.M Billets Reports'!F2142),IF(ISNUMBER(SEARCH("Party Name-",'R.M Billets Reports'!D2142)),TRIM(MID('R.M Billets Reports'!D2142,SEARCH("-",'R.M Billets Reports'!D2142)+1,200)),"")))))),IF(ROW()=2,"",A2141))</f>
      </c>
      <c r="B2142">
        <f>IF(OR('R.M Billets Reports'!A2141="Date-",'R.M Billets Reports'!A2141="Date:-"),'R.M Billets Reports'!B2141,IF(ROW()=2,"",B2141))</f>
      </c>
      <c r="C2142">
        <f>IF('R.M Billets Reports'!A2141="V.No.",'R.M Billets Reports'!B2141,IF(ROW()=2,"",C2141))</f>
      </c>
      <c r="D2142">
        <f>IF('R.M Billets Reports'!A2141&lt;&gt;"",'R.M Billets Reports'!A2141,IF(ROW()=2,"",D2141))</f>
      </c>
      <c r="E2142">
        <f>IF('R.M Billets Reports'!B2141="","",TRIM('R.M Billets Reports'!B2141))</f>
      </c>
      <c r="F2142">
        <f>'R.M Billets Reports'!C2141</f>
      </c>
      <c r="G2142">
        <f>'R.M Billets Reports'!D2141</f>
      </c>
      <c r="H2142">
        <f>'R.M Billets Reports'!E2141</f>
      </c>
      <c r="I2142">
        <f>'R.M Billets Reports'!F2141</f>
      </c>
      <c r="J2142">
        <f>'R.M Billets Reports'!G2141</f>
      </c>
      <c r="K2142">
        <f>'R.M Billets Reports'!H2141</f>
      </c>
      <c r="L2142">
        <f>IF('R.M Billets Reports'!I2141="","",'R.M Billets Reports'!I2141)</f>
      </c>
      <c r="M2142">
        <f t="shared" si="66"/>
      </c>
      <c r="N2142">
        <f>IF('R.M Billets Reports'!J2141="","",'R.M Billets Reports'!J2141)</f>
      </c>
      <c r="O2142">
        <f t="shared" si="67"/>
      </c>
      <c r="P2142">
        <f>IF('R.M Billets Reports'!A2141="SIZE",'R.M Billets Reports'!B2141,P2141)</f>
      </c>
    </row>
    <row r="2143" spans="1:16" x14ac:dyDescent="0.25">
      <c r="A2143">
        <f>IF(OR('R.M Billets Reports'!A2142="Date-",'R.M Billets Reports'!A2142="Date:-"),IF(IF(IF(ISNUMBER(SEARCH("Party Name:-",'R.M Billets Reports'!D2142)),TRIM('R.M Billets Reports'!F2142),IF(ISNUMBER(SEARCH("Party Name-",'R.M Billets Reports'!D2142)),TRIM(MID('R.M Billets Reports'!D2142,SEARCH("-",'R.M Billets Reports'!D2142)+1,200)),""))&lt;&gt;"",IF(ISNUMBER(SEARCH("Party Name:-",'R.M Billets Reports'!D2142)),TRIM('R.M Billets Reports'!F2142),IF(ISNUMBER(SEARCH("Party Name-",'R.M Billets Reports'!D2142)),TRIM(MID('R.M Billets Reports'!D2142,SEARCH("-",'R.M Billets Reports'!D2142)+1,200)),"")),IF(ISNUMBER(SEARCH("Party Name:-",'R.M Billets Reports'!D2143)),TRIM('R.M Billets Reports'!F2143),IF(ISNUMBER(SEARCH("Party Name-",'R.M Billets Reports'!D2143)),TRIM(MID('R.M Billets Reports'!D2143,SEARCH("-",'R.M Billets Reports'!D2143)+1,200)),"")))="VRKP ISPAT PVT LTD","VRKP",IF(IF(IF(ISNUMBER(SEARCH("Party Name:-",'R.M Billets Reports'!D2142)),TRIM('R.M Billets Reports'!F2142),IF(ISNUMBER(SEARCH("Party Name-",'R.M Billets Reports'!D2142)),TRIM(MID('R.M Billets Reports'!D2142,SEARCH("-",'R.M Billets Reports'!D2142)+1,200)),""))&lt;&gt;"",IF(ISNUMBER(SEARCH("Party Name:-",'R.M Billets Reports'!D2142)),TRIM('R.M Billets Reports'!F2142),IF(ISNUMBER(SEARCH("Party Name-",'R.M Billets Reports'!D2142)),TRIM(MID('R.M Billets Reports'!D2142,SEARCH("-",'R.M Billets Reports'!D2142)+1,200)),"")),IF(ISNUMBER(SEARCH("Party Name:-",'R.M Billets Reports'!D2143)),TRIM('R.M Billets Reports'!F2143),IF(ISNUMBER(SEARCH("Party Name-",'R.M Billets Reports'!D2143)),TRIM(MID('R.M Billets Reports'!D2143,SEARCH("-",'R.M Billets Reports'!D2143)+1,200)),"")))="SHRI RADHE","SHREE RADHE",IF(IF(IF(ISNUMBER(SEARCH("Party Name:-",'R.M Billets Reports'!D2142)),TRIM('R.M Billets Reports'!F2142),IF(ISNUMBER(SEARCH("Party Name-",'R.M Billets Reports'!D2142)),TRIM(MID('R.M Billets Reports'!D2142,SEARCH("-",'R.M Billets Reports'!D2142)+1,200)),""))&lt;&gt;"",IF(ISNUMBER(SEARCH("Party Name:-",'R.M Billets Reports'!D2142)),TRIM('R.M Billets Reports'!F2142),IF(ISNUMBER(SEARCH("Party Name-",'R.M Billets Reports'!D2142)),TRIM(MID('R.M Billets Reports'!D2142,SEARCH("-",'R.M Billets Reports'!D2142)+1,200)),"")),IF(ISNUMBER(SEARCH("Party Name:-",'R.M Billets Reports'!D2143)),TRIM('R.M Billets Reports'!F2143),IF(ISNUMBER(SEARCH("Party Name-",'R.M Billets Reports'!D2143)),TRIM(MID('R.M Billets Reports'!D2143,SEARCH("-",'R.M Billets Reports'!D2143)+1,200)),"")))="SHREE RADHE SHAKTI SPONGE AND POWER PVT. LTD.","SHREE RADHE",IF(IF(ISNUMBER(SEARCH("Party Name:-",'R.M Billets Reports'!D2142)),TRIM('R.M Billets Reports'!F2142),IF(ISNUMBER(SEARCH("Party Name-",'R.M Billets Reports'!D2142)),TRIM(MID('R.M Billets Reports'!D2142,SEARCH("-",'R.M Billets Reports'!D2142)+1,200)),""))&lt;&gt;"",IF(ISNUMBER(SEARCH("Party Name:-",'R.M Billets Reports'!D2142)),TRIM('R.M Billets Reports'!F2142),IF(ISNUMBER(SEARCH("Party Name-",'R.M Billets Reports'!D2142)),TRIM(MID('R.M Billets Reports'!D2142,SEARCH("-",'R.M Billets Reports'!D2142)+1,200)),"")),IF(ISNUMBER(SEARCH("Party Name:-",'R.M Billets Reports'!D2143)),TRIM('R.M Billets Reports'!F2143),IF(ISNUMBER(SEARCH("Party Name-",'R.M Billets Reports'!D2143)),TRIM(MID('R.M Billets Reports'!D2143,SEARCH("-",'R.M Billets Reports'!D2143)+1,200)),"")))))),IF(ROW()=2,"",A2142))</f>
      </c>
      <c r="B2143">
        <f>IF(OR('R.M Billets Reports'!A2142="Date-",'R.M Billets Reports'!A2142="Date:-"),'R.M Billets Reports'!B2142,IF(ROW()=2,"",B2142))</f>
      </c>
      <c r="C2143">
        <f>IF('R.M Billets Reports'!A2142="V.No.",'R.M Billets Reports'!B2142,IF(ROW()=2,"",C2142))</f>
      </c>
      <c r="D2143">
        <f>IF('R.M Billets Reports'!A2142&lt;&gt;"",'R.M Billets Reports'!A2142,IF(ROW()=2,"",D2142))</f>
      </c>
      <c r="E2143">
        <f>IF('R.M Billets Reports'!B2142="","",TRIM('R.M Billets Reports'!B2142))</f>
      </c>
      <c r="F2143">
        <f>'R.M Billets Reports'!C2142</f>
      </c>
      <c r="G2143">
        <f>'R.M Billets Reports'!D2142</f>
      </c>
      <c r="H2143">
        <f>'R.M Billets Reports'!E2142</f>
      </c>
      <c r="I2143">
        <f>'R.M Billets Reports'!F2142</f>
      </c>
      <c r="J2143">
        <f>'R.M Billets Reports'!G2142</f>
      </c>
      <c r="K2143">
        <f>'R.M Billets Reports'!H2142</f>
      </c>
      <c r="L2143">
        <f>IF('R.M Billets Reports'!I2142="","",'R.M Billets Reports'!I2142)</f>
      </c>
      <c r="M2143">
        <f t="shared" si="66"/>
      </c>
      <c r="N2143">
        <f>IF('R.M Billets Reports'!J2142="","",'R.M Billets Reports'!J2142)</f>
      </c>
      <c r="O2143">
        <f t="shared" si="67"/>
      </c>
      <c r="P2143">
        <f>IF('R.M Billets Reports'!A2142="SIZE",'R.M Billets Reports'!B2142,P2142)</f>
      </c>
    </row>
    <row r="2144" spans="1:16" x14ac:dyDescent="0.25">
      <c r="A2144">
        <f>IF(OR('R.M Billets Reports'!A2143="Date-",'R.M Billets Reports'!A2143="Date:-"),IF(IF(IF(ISNUMBER(SEARCH("Party Name:-",'R.M Billets Reports'!D2143)),TRIM('R.M Billets Reports'!F2143),IF(ISNUMBER(SEARCH("Party Name-",'R.M Billets Reports'!D2143)),TRIM(MID('R.M Billets Reports'!D2143,SEARCH("-",'R.M Billets Reports'!D2143)+1,200)),""))&lt;&gt;"",IF(ISNUMBER(SEARCH("Party Name:-",'R.M Billets Reports'!D2143)),TRIM('R.M Billets Reports'!F2143),IF(ISNUMBER(SEARCH("Party Name-",'R.M Billets Reports'!D2143)),TRIM(MID('R.M Billets Reports'!D2143,SEARCH("-",'R.M Billets Reports'!D2143)+1,200)),"")),IF(ISNUMBER(SEARCH("Party Name:-",'R.M Billets Reports'!D2144)),TRIM('R.M Billets Reports'!F2144),IF(ISNUMBER(SEARCH("Party Name-",'R.M Billets Reports'!D2144)),TRIM(MID('R.M Billets Reports'!D2144,SEARCH("-",'R.M Billets Reports'!D2144)+1,200)),"")))="VRKP ISPAT PVT LTD","VRKP",IF(IF(IF(ISNUMBER(SEARCH("Party Name:-",'R.M Billets Reports'!D2143)),TRIM('R.M Billets Reports'!F2143),IF(ISNUMBER(SEARCH("Party Name-",'R.M Billets Reports'!D2143)),TRIM(MID('R.M Billets Reports'!D2143,SEARCH("-",'R.M Billets Reports'!D2143)+1,200)),""))&lt;&gt;"",IF(ISNUMBER(SEARCH("Party Name:-",'R.M Billets Reports'!D2143)),TRIM('R.M Billets Reports'!F2143),IF(ISNUMBER(SEARCH("Party Name-",'R.M Billets Reports'!D2143)),TRIM(MID('R.M Billets Reports'!D2143,SEARCH("-",'R.M Billets Reports'!D2143)+1,200)),"")),IF(ISNUMBER(SEARCH("Party Name:-",'R.M Billets Reports'!D2144)),TRIM('R.M Billets Reports'!F2144),IF(ISNUMBER(SEARCH("Party Name-",'R.M Billets Reports'!D2144)),TRIM(MID('R.M Billets Reports'!D2144,SEARCH("-",'R.M Billets Reports'!D2144)+1,200)),"")))="SHRI RADHE","SHREE RADHE",IF(IF(IF(ISNUMBER(SEARCH("Party Name:-",'R.M Billets Reports'!D2143)),TRIM('R.M Billets Reports'!F2143),IF(ISNUMBER(SEARCH("Party Name-",'R.M Billets Reports'!D2143)),TRIM(MID('R.M Billets Reports'!D2143,SEARCH("-",'R.M Billets Reports'!D2143)+1,200)),""))&lt;&gt;"",IF(ISNUMBER(SEARCH("Party Name:-",'R.M Billets Reports'!D2143)),TRIM('R.M Billets Reports'!F2143),IF(ISNUMBER(SEARCH("Party Name-",'R.M Billets Reports'!D2143)),TRIM(MID('R.M Billets Reports'!D2143,SEARCH("-",'R.M Billets Reports'!D2143)+1,200)),"")),IF(ISNUMBER(SEARCH("Party Name:-",'R.M Billets Reports'!D2144)),TRIM('R.M Billets Reports'!F2144),IF(ISNUMBER(SEARCH("Party Name-",'R.M Billets Reports'!D2144)),TRIM(MID('R.M Billets Reports'!D2144,SEARCH("-",'R.M Billets Reports'!D2144)+1,200)),"")))="SHREE RADHE SHAKTI SPONGE AND POWER PVT. LTD.","SHREE RADHE",IF(IF(ISNUMBER(SEARCH("Party Name:-",'R.M Billets Reports'!D2143)),TRIM('R.M Billets Reports'!F2143),IF(ISNUMBER(SEARCH("Party Name-",'R.M Billets Reports'!D2143)),TRIM(MID('R.M Billets Reports'!D2143,SEARCH("-",'R.M Billets Reports'!D2143)+1,200)),""))&lt;&gt;"",IF(ISNUMBER(SEARCH("Party Name:-",'R.M Billets Reports'!D2143)),TRIM('R.M Billets Reports'!F2143),IF(ISNUMBER(SEARCH("Party Name-",'R.M Billets Reports'!D2143)),TRIM(MID('R.M Billets Reports'!D2143,SEARCH("-",'R.M Billets Reports'!D2143)+1,200)),"")),IF(ISNUMBER(SEARCH("Party Name:-",'R.M Billets Reports'!D2144)),TRIM('R.M Billets Reports'!F2144),IF(ISNUMBER(SEARCH("Party Name-",'R.M Billets Reports'!D2144)),TRIM(MID('R.M Billets Reports'!D2144,SEARCH("-",'R.M Billets Reports'!D2144)+1,200)),"")))))),IF(ROW()=2,"",A2143))</f>
      </c>
      <c r="B2144">
        <f>IF(OR('R.M Billets Reports'!A2143="Date-",'R.M Billets Reports'!A2143="Date:-"),'R.M Billets Reports'!B2143,IF(ROW()=2,"",B2143))</f>
      </c>
      <c r="C2144">
        <f>IF('R.M Billets Reports'!A2143="V.No.",'R.M Billets Reports'!B2143,IF(ROW()=2,"",C2143))</f>
      </c>
      <c r="D2144">
        <f>IF('R.M Billets Reports'!A2143&lt;&gt;"",'R.M Billets Reports'!A2143,IF(ROW()=2,"",D2143))</f>
      </c>
      <c r="E2144">
        <f>IF('R.M Billets Reports'!B2143="","",TRIM('R.M Billets Reports'!B2143))</f>
      </c>
      <c r="F2144">
        <f>'R.M Billets Reports'!C2143</f>
      </c>
      <c r="G2144">
        <f>'R.M Billets Reports'!D2143</f>
      </c>
      <c r="H2144">
        <f>'R.M Billets Reports'!E2143</f>
      </c>
      <c r="I2144">
        <f>'R.M Billets Reports'!F2143</f>
      </c>
      <c r="J2144">
        <f>'R.M Billets Reports'!G2143</f>
      </c>
      <c r="K2144">
        <f>'R.M Billets Reports'!H2143</f>
      </c>
      <c r="L2144">
        <f>IF('R.M Billets Reports'!I2143="","",'R.M Billets Reports'!I2143)</f>
      </c>
      <c r="M2144">
        <f t="shared" si="66"/>
      </c>
      <c r="N2144">
        <f>IF('R.M Billets Reports'!J2143="","",'R.M Billets Reports'!J2143)</f>
      </c>
      <c r="O2144">
        <f t="shared" si="67"/>
      </c>
      <c r="P2144">
        <f>IF('R.M Billets Reports'!A2143="SIZE",'R.M Billets Reports'!B2143,P2143)</f>
      </c>
    </row>
    <row r="2145" spans="1:16" x14ac:dyDescent="0.25">
      <c r="A2145">
        <f>IF(OR('R.M Billets Reports'!A2144="Date-",'R.M Billets Reports'!A2144="Date:-"),IF(IF(IF(ISNUMBER(SEARCH("Party Name:-",'R.M Billets Reports'!D2144)),TRIM('R.M Billets Reports'!F2144),IF(ISNUMBER(SEARCH("Party Name-",'R.M Billets Reports'!D2144)),TRIM(MID('R.M Billets Reports'!D2144,SEARCH("-",'R.M Billets Reports'!D2144)+1,200)),""))&lt;&gt;"",IF(ISNUMBER(SEARCH("Party Name:-",'R.M Billets Reports'!D2144)),TRIM('R.M Billets Reports'!F2144),IF(ISNUMBER(SEARCH("Party Name-",'R.M Billets Reports'!D2144)),TRIM(MID('R.M Billets Reports'!D2144,SEARCH("-",'R.M Billets Reports'!D2144)+1,200)),"")),IF(ISNUMBER(SEARCH("Party Name:-",'R.M Billets Reports'!D2145)),TRIM('R.M Billets Reports'!F2145),IF(ISNUMBER(SEARCH("Party Name-",'R.M Billets Reports'!D2145)),TRIM(MID('R.M Billets Reports'!D2145,SEARCH("-",'R.M Billets Reports'!D2145)+1,200)),"")))="VRKP ISPAT PVT LTD","VRKP",IF(IF(IF(ISNUMBER(SEARCH("Party Name:-",'R.M Billets Reports'!D2144)),TRIM('R.M Billets Reports'!F2144),IF(ISNUMBER(SEARCH("Party Name-",'R.M Billets Reports'!D2144)),TRIM(MID('R.M Billets Reports'!D2144,SEARCH("-",'R.M Billets Reports'!D2144)+1,200)),""))&lt;&gt;"",IF(ISNUMBER(SEARCH("Party Name:-",'R.M Billets Reports'!D2144)),TRIM('R.M Billets Reports'!F2144),IF(ISNUMBER(SEARCH("Party Name-",'R.M Billets Reports'!D2144)),TRIM(MID('R.M Billets Reports'!D2144,SEARCH("-",'R.M Billets Reports'!D2144)+1,200)),"")),IF(ISNUMBER(SEARCH("Party Name:-",'R.M Billets Reports'!D2145)),TRIM('R.M Billets Reports'!F2145),IF(ISNUMBER(SEARCH("Party Name-",'R.M Billets Reports'!D2145)),TRIM(MID('R.M Billets Reports'!D2145,SEARCH("-",'R.M Billets Reports'!D2145)+1,200)),"")))="SHRI RADHE","SHREE RADHE",IF(IF(IF(ISNUMBER(SEARCH("Party Name:-",'R.M Billets Reports'!D2144)),TRIM('R.M Billets Reports'!F2144),IF(ISNUMBER(SEARCH("Party Name-",'R.M Billets Reports'!D2144)),TRIM(MID('R.M Billets Reports'!D2144,SEARCH("-",'R.M Billets Reports'!D2144)+1,200)),""))&lt;&gt;"",IF(ISNUMBER(SEARCH("Party Name:-",'R.M Billets Reports'!D2144)),TRIM('R.M Billets Reports'!F2144),IF(ISNUMBER(SEARCH("Party Name-",'R.M Billets Reports'!D2144)),TRIM(MID('R.M Billets Reports'!D2144,SEARCH("-",'R.M Billets Reports'!D2144)+1,200)),"")),IF(ISNUMBER(SEARCH("Party Name:-",'R.M Billets Reports'!D2145)),TRIM('R.M Billets Reports'!F2145),IF(ISNUMBER(SEARCH("Party Name-",'R.M Billets Reports'!D2145)),TRIM(MID('R.M Billets Reports'!D2145,SEARCH("-",'R.M Billets Reports'!D2145)+1,200)),"")))="SHREE RADHE SHAKTI SPONGE AND POWER PVT. LTD.","SHREE RADHE",IF(IF(ISNUMBER(SEARCH("Party Name:-",'R.M Billets Reports'!D2144)),TRIM('R.M Billets Reports'!F2144),IF(ISNUMBER(SEARCH("Party Name-",'R.M Billets Reports'!D2144)),TRIM(MID('R.M Billets Reports'!D2144,SEARCH("-",'R.M Billets Reports'!D2144)+1,200)),""))&lt;&gt;"",IF(ISNUMBER(SEARCH("Party Name:-",'R.M Billets Reports'!D2144)),TRIM('R.M Billets Reports'!F2144),IF(ISNUMBER(SEARCH("Party Name-",'R.M Billets Reports'!D2144)),TRIM(MID('R.M Billets Reports'!D2144,SEARCH("-",'R.M Billets Reports'!D2144)+1,200)),"")),IF(ISNUMBER(SEARCH("Party Name:-",'R.M Billets Reports'!D2145)),TRIM('R.M Billets Reports'!F2145),IF(ISNUMBER(SEARCH("Party Name-",'R.M Billets Reports'!D2145)),TRIM(MID('R.M Billets Reports'!D2145,SEARCH("-",'R.M Billets Reports'!D2145)+1,200)),"")))))),IF(ROW()=2,"",A2144))</f>
      </c>
      <c r="B2145">
        <f>IF(OR('R.M Billets Reports'!A2144="Date-",'R.M Billets Reports'!A2144="Date:-"),'R.M Billets Reports'!B2144,IF(ROW()=2,"",B2144))</f>
      </c>
      <c r="C2145">
        <f>IF('R.M Billets Reports'!A2144="V.No.",'R.M Billets Reports'!B2144,IF(ROW()=2,"",C2144))</f>
      </c>
      <c r="D2145">
        <f>IF('R.M Billets Reports'!A2144&lt;&gt;"",'R.M Billets Reports'!A2144,IF(ROW()=2,"",D2144))</f>
      </c>
      <c r="E2145">
        <f>IF('R.M Billets Reports'!B2144="","",TRIM('R.M Billets Reports'!B2144))</f>
      </c>
      <c r="F2145">
        <f>'R.M Billets Reports'!C2144</f>
      </c>
      <c r="G2145">
        <f>'R.M Billets Reports'!D2144</f>
      </c>
      <c r="H2145">
        <f>'R.M Billets Reports'!E2144</f>
      </c>
      <c r="I2145">
        <f>'R.M Billets Reports'!F2144</f>
      </c>
      <c r="J2145">
        <f>'R.M Billets Reports'!G2144</f>
      </c>
      <c r="K2145">
        <f>'R.M Billets Reports'!H2144</f>
      </c>
      <c r="L2145">
        <f>IF('R.M Billets Reports'!I2144="","",'R.M Billets Reports'!I2144)</f>
      </c>
      <c r="M2145">
        <f t="shared" si="66"/>
      </c>
      <c r="N2145">
        <f>IF('R.M Billets Reports'!J2144="","",'R.M Billets Reports'!J2144)</f>
      </c>
      <c r="O2145">
        <f t="shared" si="67"/>
      </c>
      <c r="P2145">
        <f>IF('R.M Billets Reports'!A2144="SIZE",'R.M Billets Reports'!B2144,P2144)</f>
      </c>
    </row>
    <row r="2146" spans="1:16" x14ac:dyDescent="0.25">
      <c r="A2146">
        <f>IF(OR('R.M Billets Reports'!A2145="Date-",'R.M Billets Reports'!A2145="Date:-"),IF(IF(IF(ISNUMBER(SEARCH("Party Name:-",'R.M Billets Reports'!D2145)),TRIM('R.M Billets Reports'!F2145),IF(ISNUMBER(SEARCH("Party Name-",'R.M Billets Reports'!D2145)),TRIM(MID('R.M Billets Reports'!D2145,SEARCH("-",'R.M Billets Reports'!D2145)+1,200)),""))&lt;&gt;"",IF(ISNUMBER(SEARCH("Party Name:-",'R.M Billets Reports'!D2145)),TRIM('R.M Billets Reports'!F2145),IF(ISNUMBER(SEARCH("Party Name-",'R.M Billets Reports'!D2145)),TRIM(MID('R.M Billets Reports'!D2145,SEARCH("-",'R.M Billets Reports'!D2145)+1,200)),"")),IF(ISNUMBER(SEARCH("Party Name:-",'R.M Billets Reports'!D2146)),TRIM('R.M Billets Reports'!F2146),IF(ISNUMBER(SEARCH("Party Name-",'R.M Billets Reports'!D2146)),TRIM(MID('R.M Billets Reports'!D2146,SEARCH("-",'R.M Billets Reports'!D2146)+1,200)),"")))="VRKP ISPAT PVT LTD","VRKP",IF(IF(IF(ISNUMBER(SEARCH("Party Name:-",'R.M Billets Reports'!D2145)),TRIM('R.M Billets Reports'!F2145),IF(ISNUMBER(SEARCH("Party Name-",'R.M Billets Reports'!D2145)),TRIM(MID('R.M Billets Reports'!D2145,SEARCH("-",'R.M Billets Reports'!D2145)+1,200)),""))&lt;&gt;"",IF(ISNUMBER(SEARCH("Party Name:-",'R.M Billets Reports'!D2145)),TRIM('R.M Billets Reports'!F2145),IF(ISNUMBER(SEARCH("Party Name-",'R.M Billets Reports'!D2145)),TRIM(MID('R.M Billets Reports'!D2145,SEARCH("-",'R.M Billets Reports'!D2145)+1,200)),"")),IF(ISNUMBER(SEARCH("Party Name:-",'R.M Billets Reports'!D2146)),TRIM('R.M Billets Reports'!F2146),IF(ISNUMBER(SEARCH("Party Name-",'R.M Billets Reports'!D2146)),TRIM(MID('R.M Billets Reports'!D2146,SEARCH("-",'R.M Billets Reports'!D2146)+1,200)),"")))="SHRI RADHE","SHREE RADHE",IF(IF(IF(ISNUMBER(SEARCH("Party Name:-",'R.M Billets Reports'!D2145)),TRIM('R.M Billets Reports'!F2145),IF(ISNUMBER(SEARCH("Party Name-",'R.M Billets Reports'!D2145)),TRIM(MID('R.M Billets Reports'!D2145,SEARCH("-",'R.M Billets Reports'!D2145)+1,200)),""))&lt;&gt;"",IF(ISNUMBER(SEARCH("Party Name:-",'R.M Billets Reports'!D2145)),TRIM('R.M Billets Reports'!F2145),IF(ISNUMBER(SEARCH("Party Name-",'R.M Billets Reports'!D2145)),TRIM(MID('R.M Billets Reports'!D2145,SEARCH("-",'R.M Billets Reports'!D2145)+1,200)),"")),IF(ISNUMBER(SEARCH("Party Name:-",'R.M Billets Reports'!D2146)),TRIM('R.M Billets Reports'!F2146),IF(ISNUMBER(SEARCH("Party Name-",'R.M Billets Reports'!D2146)),TRIM(MID('R.M Billets Reports'!D2146,SEARCH("-",'R.M Billets Reports'!D2146)+1,200)),"")))="SHREE RADHE SHAKTI SPONGE AND POWER PVT. LTD.","SHREE RADHE",IF(IF(ISNUMBER(SEARCH("Party Name:-",'R.M Billets Reports'!D2145)),TRIM('R.M Billets Reports'!F2145),IF(ISNUMBER(SEARCH("Party Name-",'R.M Billets Reports'!D2145)),TRIM(MID('R.M Billets Reports'!D2145,SEARCH("-",'R.M Billets Reports'!D2145)+1,200)),""))&lt;&gt;"",IF(ISNUMBER(SEARCH("Party Name:-",'R.M Billets Reports'!D2145)),TRIM('R.M Billets Reports'!F2145),IF(ISNUMBER(SEARCH("Party Name-",'R.M Billets Reports'!D2145)),TRIM(MID('R.M Billets Reports'!D2145,SEARCH("-",'R.M Billets Reports'!D2145)+1,200)),"")),IF(ISNUMBER(SEARCH("Party Name:-",'R.M Billets Reports'!D2146)),TRIM('R.M Billets Reports'!F2146),IF(ISNUMBER(SEARCH("Party Name-",'R.M Billets Reports'!D2146)),TRIM(MID('R.M Billets Reports'!D2146,SEARCH("-",'R.M Billets Reports'!D2146)+1,200)),"")))))),IF(ROW()=2,"",A2145))</f>
      </c>
      <c r="B2146">
        <f>IF(OR('R.M Billets Reports'!A2145="Date-",'R.M Billets Reports'!A2145="Date:-"),'R.M Billets Reports'!B2145,IF(ROW()=2,"",B2145))</f>
      </c>
      <c r="C2146">
        <f>IF('R.M Billets Reports'!A2145="V.No.",'R.M Billets Reports'!B2145,IF(ROW()=2,"",C2145))</f>
      </c>
      <c r="D2146">
        <f>IF('R.M Billets Reports'!A2145&lt;&gt;"",'R.M Billets Reports'!A2145,IF(ROW()=2,"",D2145))</f>
      </c>
      <c r="E2146">
        <f>IF('R.M Billets Reports'!B2145="","",TRIM('R.M Billets Reports'!B2145))</f>
      </c>
      <c r="F2146">
        <f>'R.M Billets Reports'!C2145</f>
      </c>
      <c r="G2146">
        <f>'R.M Billets Reports'!D2145</f>
      </c>
      <c r="H2146">
        <f>'R.M Billets Reports'!E2145</f>
      </c>
      <c r="I2146">
        <f>'R.M Billets Reports'!F2145</f>
      </c>
      <c r="J2146">
        <f>'R.M Billets Reports'!G2145</f>
      </c>
      <c r="K2146">
        <f>'R.M Billets Reports'!H2145</f>
      </c>
      <c r="L2146">
        <f>IF('R.M Billets Reports'!I2145="","",'R.M Billets Reports'!I2145)</f>
      </c>
      <c r="M2146">
        <f t="shared" si="66"/>
      </c>
      <c r="N2146">
        <f>IF('R.M Billets Reports'!J2145="","",'R.M Billets Reports'!J2145)</f>
      </c>
      <c r="O2146">
        <f t="shared" si="67"/>
      </c>
      <c r="P2146">
        <f>IF('R.M Billets Reports'!A2145="SIZE",'R.M Billets Reports'!B2145,P2145)</f>
      </c>
    </row>
    <row r="2147" spans="1:16" x14ac:dyDescent="0.25">
      <c r="A2147">
        <f>IF(OR('R.M Billets Reports'!A2146="Date-",'R.M Billets Reports'!A2146="Date:-"),IF(IF(IF(ISNUMBER(SEARCH("Party Name:-",'R.M Billets Reports'!D2146)),TRIM('R.M Billets Reports'!F2146),IF(ISNUMBER(SEARCH("Party Name-",'R.M Billets Reports'!D2146)),TRIM(MID('R.M Billets Reports'!D2146,SEARCH("-",'R.M Billets Reports'!D2146)+1,200)),""))&lt;&gt;"",IF(ISNUMBER(SEARCH("Party Name:-",'R.M Billets Reports'!D2146)),TRIM('R.M Billets Reports'!F2146),IF(ISNUMBER(SEARCH("Party Name-",'R.M Billets Reports'!D2146)),TRIM(MID('R.M Billets Reports'!D2146,SEARCH("-",'R.M Billets Reports'!D2146)+1,200)),"")),IF(ISNUMBER(SEARCH("Party Name:-",'R.M Billets Reports'!D2147)),TRIM('R.M Billets Reports'!F2147),IF(ISNUMBER(SEARCH("Party Name-",'R.M Billets Reports'!D2147)),TRIM(MID('R.M Billets Reports'!D2147,SEARCH("-",'R.M Billets Reports'!D2147)+1,200)),"")))="VRKP ISPAT PVT LTD","VRKP",IF(IF(IF(ISNUMBER(SEARCH("Party Name:-",'R.M Billets Reports'!D2146)),TRIM('R.M Billets Reports'!F2146),IF(ISNUMBER(SEARCH("Party Name-",'R.M Billets Reports'!D2146)),TRIM(MID('R.M Billets Reports'!D2146,SEARCH("-",'R.M Billets Reports'!D2146)+1,200)),""))&lt;&gt;"",IF(ISNUMBER(SEARCH("Party Name:-",'R.M Billets Reports'!D2146)),TRIM('R.M Billets Reports'!F2146),IF(ISNUMBER(SEARCH("Party Name-",'R.M Billets Reports'!D2146)),TRIM(MID('R.M Billets Reports'!D2146,SEARCH("-",'R.M Billets Reports'!D2146)+1,200)),"")),IF(ISNUMBER(SEARCH("Party Name:-",'R.M Billets Reports'!D2147)),TRIM('R.M Billets Reports'!F2147),IF(ISNUMBER(SEARCH("Party Name-",'R.M Billets Reports'!D2147)),TRIM(MID('R.M Billets Reports'!D2147,SEARCH("-",'R.M Billets Reports'!D2147)+1,200)),"")))="SHRI RADHE","SHREE RADHE",IF(IF(IF(ISNUMBER(SEARCH("Party Name:-",'R.M Billets Reports'!D2146)),TRIM('R.M Billets Reports'!F2146),IF(ISNUMBER(SEARCH("Party Name-",'R.M Billets Reports'!D2146)),TRIM(MID('R.M Billets Reports'!D2146,SEARCH("-",'R.M Billets Reports'!D2146)+1,200)),""))&lt;&gt;"",IF(ISNUMBER(SEARCH("Party Name:-",'R.M Billets Reports'!D2146)),TRIM('R.M Billets Reports'!F2146),IF(ISNUMBER(SEARCH("Party Name-",'R.M Billets Reports'!D2146)),TRIM(MID('R.M Billets Reports'!D2146,SEARCH("-",'R.M Billets Reports'!D2146)+1,200)),"")),IF(ISNUMBER(SEARCH("Party Name:-",'R.M Billets Reports'!D2147)),TRIM('R.M Billets Reports'!F2147),IF(ISNUMBER(SEARCH("Party Name-",'R.M Billets Reports'!D2147)),TRIM(MID('R.M Billets Reports'!D2147,SEARCH("-",'R.M Billets Reports'!D2147)+1,200)),"")))="SHREE RADHE SHAKTI SPONGE AND POWER PVT. LTD.","SHREE RADHE",IF(IF(ISNUMBER(SEARCH("Party Name:-",'R.M Billets Reports'!D2146)),TRIM('R.M Billets Reports'!F2146),IF(ISNUMBER(SEARCH("Party Name-",'R.M Billets Reports'!D2146)),TRIM(MID('R.M Billets Reports'!D2146,SEARCH("-",'R.M Billets Reports'!D2146)+1,200)),""))&lt;&gt;"",IF(ISNUMBER(SEARCH("Party Name:-",'R.M Billets Reports'!D2146)),TRIM('R.M Billets Reports'!F2146),IF(ISNUMBER(SEARCH("Party Name-",'R.M Billets Reports'!D2146)),TRIM(MID('R.M Billets Reports'!D2146,SEARCH("-",'R.M Billets Reports'!D2146)+1,200)),"")),IF(ISNUMBER(SEARCH("Party Name:-",'R.M Billets Reports'!D2147)),TRIM('R.M Billets Reports'!F2147),IF(ISNUMBER(SEARCH("Party Name-",'R.M Billets Reports'!D2147)),TRIM(MID('R.M Billets Reports'!D2147,SEARCH("-",'R.M Billets Reports'!D2147)+1,200)),"")))))),IF(ROW()=2,"",A2146))</f>
      </c>
      <c r="B2147">
        <f>IF(OR('R.M Billets Reports'!A2146="Date-",'R.M Billets Reports'!A2146="Date:-"),'R.M Billets Reports'!B2146,IF(ROW()=2,"",B2146))</f>
      </c>
      <c r="C2147">
        <f>IF('R.M Billets Reports'!A2146="V.No.",'R.M Billets Reports'!B2146,IF(ROW()=2,"",C2146))</f>
      </c>
      <c r="D2147">
        <f>IF('R.M Billets Reports'!A2146&lt;&gt;"",'R.M Billets Reports'!A2146,IF(ROW()=2,"",D2146))</f>
      </c>
      <c r="E2147">
        <f>IF('R.M Billets Reports'!B2146="","",TRIM('R.M Billets Reports'!B2146))</f>
      </c>
      <c r="F2147">
        <f>'R.M Billets Reports'!C2146</f>
      </c>
      <c r="G2147">
        <f>'R.M Billets Reports'!D2146</f>
      </c>
      <c r="H2147">
        <f>'R.M Billets Reports'!E2146</f>
      </c>
      <c r="I2147">
        <f>'R.M Billets Reports'!F2146</f>
      </c>
      <c r="J2147">
        <f>'R.M Billets Reports'!G2146</f>
      </c>
      <c r="K2147">
        <f>'R.M Billets Reports'!H2146</f>
      </c>
      <c r="L2147">
        <f>IF('R.M Billets Reports'!I2146="","",'R.M Billets Reports'!I2146)</f>
      </c>
      <c r="M2147">
        <f t="shared" si="66"/>
      </c>
      <c r="N2147">
        <f>IF('R.M Billets Reports'!J2146="","",'R.M Billets Reports'!J2146)</f>
      </c>
      <c r="O2147">
        <f t="shared" si="67"/>
      </c>
      <c r="P2147">
        <f>IF('R.M Billets Reports'!A2146="SIZE",'R.M Billets Reports'!B2146,P2146)</f>
      </c>
    </row>
    <row r="2148" spans="1:16" x14ac:dyDescent="0.25">
      <c r="A2148">
        <f>IF(OR('R.M Billets Reports'!A2147="Date-",'R.M Billets Reports'!A2147="Date:-"),IF(IF(IF(ISNUMBER(SEARCH("Party Name:-",'R.M Billets Reports'!D2147)),TRIM('R.M Billets Reports'!F2147),IF(ISNUMBER(SEARCH("Party Name-",'R.M Billets Reports'!D2147)),TRIM(MID('R.M Billets Reports'!D2147,SEARCH("-",'R.M Billets Reports'!D2147)+1,200)),""))&lt;&gt;"",IF(ISNUMBER(SEARCH("Party Name:-",'R.M Billets Reports'!D2147)),TRIM('R.M Billets Reports'!F2147),IF(ISNUMBER(SEARCH("Party Name-",'R.M Billets Reports'!D2147)),TRIM(MID('R.M Billets Reports'!D2147,SEARCH("-",'R.M Billets Reports'!D2147)+1,200)),"")),IF(ISNUMBER(SEARCH("Party Name:-",'R.M Billets Reports'!D2148)),TRIM('R.M Billets Reports'!F2148),IF(ISNUMBER(SEARCH("Party Name-",'R.M Billets Reports'!D2148)),TRIM(MID('R.M Billets Reports'!D2148,SEARCH("-",'R.M Billets Reports'!D2148)+1,200)),"")))="VRKP ISPAT PVT LTD","VRKP",IF(IF(IF(ISNUMBER(SEARCH("Party Name:-",'R.M Billets Reports'!D2147)),TRIM('R.M Billets Reports'!F2147),IF(ISNUMBER(SEARCH("Party Name-",'R.M Billets Reports'!D2147)),TRIM(MID('R.M Billets Reports'!D2147,SEARCH("-",'R.M Billets Reports'!D2147)+1,200)),""))&lt;&gt;"",IF(ISNUMBER(SEARCH("Party Name:-",'R.M Billets Reports'!D2147)),TRIM('R.M Billets Reports'!F2147),IF(ISNUMBER(SEARCH("Party Name-",'R.M Billets Reports'!D2147)),TRIM(MID('R.M Billets Reports'!D2147,SEARCH("-",'R.M Billets Reports'!D2147)+1,200)),"")),IF(ISNUMBER(SEARCH("Party Name:-",'R.M Billets Reports'!D2148)),TRIM('R.M Billets Reports'!F2148),IF(ISNUMBER(SEARCH("Party Name-",'R.M Billets Reports'!D2148)),TRIM(MID('R.M Billets Reports'!D2148,SEARCH("-",'R.M Billets Reports'!D2148)+1,200)),"")))="SHRI RADHE","SHREE RADHE",IF(IF(IF(ISNUMBER(SEARCH("Party Name:-",'R.M Billets Reports'!D2147)),TRIM('R.M Billets Reports'!F2147),IF(ISNUMBER(SEARCH("Party Name-",'R.M Billets Reports'!D2147)),TRIM(MID('R.M Billets Reports'!D2147,SEARCH("-",'R.M Billets Reports'!D2147)+1,200)),""))&lt;&gt;"",IF(ISNUMBER(SEARCH("Party Name:-",'R.M Billets Reports'!D2147)),TRIM('R.M Billets Reports'!F2147),IF(ISNUMBER(SEARCH("Party Name-",'R.M Billets Reports'!D2147)),TRIM(MID('R.M Billets Reports'!D2147,SEARCH("-",'R.M Billets Reports'!D2147)+1,200)),"")),IF(ISNUMBER(SEARCH("Party Name:-",'R.M Billets Reports'!D2148)),TRIM('R.M Billets Reports'!F2148),IF(ISNUMBER(SEARCH("Party Name-",'R.M Billets Reports'!D2148)),TRIM(MID('R.M Billets Reports'!D2148,SEARCH("-",'R.M Billets Reports'!D2148)+1,200)),"")))="SHREE RADHE SHAKTI SPONGE AND POWER PVT. LTD.","SHREE RADHE",IF(IF(ISNUMBER(SEARCH("Party Name:-",'R.M Billets Reports'!D2147)),TRIM('R.M Billets Reports'!F2147),IF(ISNUMBER(SEARCH("Party Name-",'R.M Billets Reports'!D2147)),TRIM(MID('R.M Billets Reports'!D2147,SEARCH("-",'R.M Billets Reports'!D2147)+1,200)),""))&lt;&gt;"",IF(ISNUMBER(SEARCH("Party Name:-",'R.M Billets Reports'!D2147)),TRIM('R.M Billets Reports'!F2147),IF(ISNUMBER(SEARCH("Party Name-",'R.M Billets Reports'!D2147)),TRIM(MID('R.M Billets Reports'!D2147,SEARCH("-",'R.M Billets Reports'!D2147)+1,200)),"")),IF(ISNUMBER(SEARCH("Party Name:-",'R.M Billets Reports'!D2148)),TRIM('R.M Billets Reports'!F2148),IF(ISNUMBER(SEARCH("Party Name-",'R.M Billets Reports'!D2148)),TRIM(MID('R.M Billets Reports'!D2148,SEARCH("-",'R.M Billets Reports'!D2148)+1,200)),"")))))),IF(ROW()=2,"",A2147))</f>
      </c>
      <c r="B2148">
        <f>IF(OR('R.M Billets Reports'!A2147="Date-",'R.M Billets Reports'!A2147="Date:-"),'R.M Billets Reports'!B2147,IF(ROW()=2,"",B2147))</f>
      </c>
      <c r="C2148">
        <f>IF('R.M Billets Reports'!A2147="V.No.",'R.M Billets Reports'!B2147,IF(ROW()=2,"",C2147))</f>
      </c>
      <c r="D2148">
        <f>IF('R.M Billets Reports'!A2147&lt;&gt;"",'R.M Billets Reports'!A2147,IF(ROW()=2,"",D2147))</f>
      </c>
      <c r="E2148">
        <f>IF('R.M Billets Reports'!B2147="","",TRIM('R.M Billets Reports'!B2147))</f>
      </c>
      <c r="F2148">
        <f>'R.M Billets Reports'!C2147</f>
      </c>
      <c r="G2148">
        <f>'R.M Billets Reports'!D2147</f>
      </c>
      <c r="H2148">
        <f>'R.M Billets Reports'!E2147</f>
      </c>
      <c r="I2148">
        <f>'R.M Billets Reports'!F2147</f>
      </c>
      <c r="J2148">
        <f>'R.M Billets Reports'!G2147</f>
      </c>
      <c r="K2148">
        <f>'R.M Billets Reports'!H2147</f>
      </c>
      <c r="L2148">
        <f>IF('R.M Billets Reports'!I2147="","",'R.M Billets Reports'!I2147)</f>
      </c>
      <c r="M2148">
        <f t="shared" si="66"/>
      </c>
      <c r="N2148">
        <f>IF('R.M Billets Reports'!J2147="","",'R.M Billets Reports'!J2147)</f>
      </c>
      <c r="O2148">
        <f t="shared" si="67"/>
      </c>
      <c r="P2148">
        <f>IF('R.M Billets Reports'!A2147="SIZE",'R.M Billets Reports'!B2147,P2147)</f>
      </c>
    </row>
    <row r="2149" spans="1:16" x14ac:dyDescent="0.25">
      <c r="A2149">
        <f>IF(OR('R.M Billets Reports'!A2148="Date-",'R.M Billets Reports'!A2148="Date:-"),IF(IF(IF(ISNUMBER(SEARCH("Party Name:-",'R.M Billets Reports'!D2148)),TRIM('R.M Billets Reports'!F2148),IF(ISNUMBER(SEARCH("Party Name-",'R.M Billets Reports'!D2148)),TRIM(MID('R.M Billets Reports'!D2148,SEARCH("-",'R.M Billets Reports'!D2148)+1,200)),""))&lt;&gt;"",IF(ISNUMBER(SEARCH("Party Name:-",'R.M Billets Reports'!D2148)),TRIM('R.M Billets Reports'!F2148),IF(ISNUMBER(SEARCH("Party Name-",'R.M Billets Reports'!D2148)),TRIM(MID('R.M Billets Reports'!D2148,SEARCH("-",'R.M Billets Reports'!D2148)+1,200)),"")),IF(ISNUMBER(SEARCH("Party Name:-",'R.M Billets Reports'!D2149)),TRIM('R.M Billets Reports'!F2149),IF(ISNUMBER(SEARCH("Party Name-",'R.M Billets Reports'!D2149)),TRIM(MID('R.M Billets Reports'!D2149,SEARCH("-",'R.M Billets Reports'!D2149)+1,200)),"")))="VRKP ISPAT PVT LTD","VRKP",IF(IF(IF(ISNUMBER(SEARCH("Party Name:-",'R.M Billets Reports'!D2148)),TRIM('R.M Billets Reports'!F2148),IF(ISNUMBER(SEARCH("Party Name-",'R.M Billets Reports'!D2148)),TRIM(MID('R.M Billets Reports'!D2148,SEARCH("-",'R.M Billets Reports'!D2148)+1,200)),""))&lt;&gt;"",IF(ISNUMBER(SEARCH("Party Name:-",'R.M Billets Reports'!D2148)),TRIM('R.M Billets Reports'!F2148),IF(ISNUMBER(SEARCH("Party Name-",'R.M Billets Reports'!D2148)),TRIM(MID('R.M Billets Reports'!D2148,SEARCH("-",'R.M Billets Reports'!D2148)+1,200)),"")),IF(ISNUMBER(SEARCH("Party Name:-",'R.M Billets Reports'!D2149)),TRIM('R.M Billets Reports'!F2149),IF(ISNUMBER(SEARCH("Party Name-",'R.M Billets Reports'!D2149)),TRIM(MID('R.M Billets Reports'!D2149,SEARCH("-",'R.M Billets Reports'!D2149)+1,200)),"")))="SHRI RADHE","SHREE RADHE",IF(IF(IF(ISNUMBER(SEARCH("Party Name:-",'R.M Billets Reports'!D2148)),TRIM('R.M Billets Reports'!F2148),IF(ISNUMBER(SEARCH("Party Name-",'R.M Billets Reports'!D2148)),TRIM(MID('R.M Billets Reports'!D2148,SEARCH("-",'R.M Billets Reports'!D2148)+1,200)),""))&lt;&gt;"",IF(ISNUMBER(SEARCH("Party Name:-",'R.M Billets Reports'!D2148)),TRIM('R.M Billets Reports'!F2148),IF(ISNUMBER(SEARCH("Party Name-",'R.M Billets Reports'!D2148)),TRIM(MID('R.M Billets Reports'!D2148,SEARCH("-",'R.M Billets Reports'!D2148)+1,200)),"")),IF(ISNUMBER(SEARCH("Party Name:-",'R.M Billets Reports'!D2149)),TRIM('R.M Billets Reports'!F2149),IF(ISNUMBER(SEARCH("Party Name-",'R.M Billets Reports'!D2149)),TRIM(MID('R.M Billets Reports'!D2149,SEARCH("-",'R.M Billets Reports'!D2149)+1,200)),"")))="SHREE RADHE SHAKTI SPONGE AND POWER PVT. LTD.","SHREE RADHE",IF(IF(ISNUMBER(SEARCH("Party Name:-",'R.M Billets Reports'!D2148)),TRIM('R.M Billets Reports'!F2148),IF(ISNUMBER(SEARCH("Party Name-",'R.M Billets Reports'!D2148)),TRIM(MID('R.M Billets Reports'!D2148,SEARCH("-",'R.M Billets Reports'!D2148)+1,200)),""))&lt;&gt;"",IF(ISNUMBER(SEARCH("Party Name:-",'R.M Billets Reports'!D2148)),TRIM('R.M Billets Reports'!F2148),IF(ISNUMBER(SEARCH("Party Name-",'R.M Billets Reports'!D2148)),TRIM(MID('R.M Billets Reports'!D2148,SEARCH("-",'R.M Billets Reports'!D2148)+1,200)),"")),IF(ISNUMBER(SEARCH("Party Name:-",'R.M Billets Reports'!D2149)),TRIM('R.M Billets Reports'!F2149),IF(ISNUMBER(SEARCH("Party Name-",'R.M Billets Reports'!D2149)),TRIM(MID('R.M Billets Reports'!D2149,SEARCH("-",'R.M Billets Reports'!D2149)+1,200)),"")))))),IF(ROW()=2,"",A2148))</f>
      </c>
      <c r="B2149">
        <f>IF(OR('R.M Billets Reports'!A2148="Date-",'R.M Billets Reports'!A2148="Date:-"),'R.M Billets Reports'!B2148,IF(ROW()=2,"",B2148))</f>
      </c>
      <c r="C2149">
        <f>IF('R.M Billets Reports'!A2148="V.No.",'R.M Billets Reports'!B2148,IF(ROW()=2,"",C2148))</f>
      </c>
      <c r="D2149">
        <f>IF('R.M Billets Reports'!A2148&lt;&gt;"",'R.M Billets Reports'!A2148,IF(ROW()=2,"",D2148))</f>
      </c>
      <c r="E2149">
        <f>IF('R.M Billets Reports'!B2148="","",TRIM('R.M Billets Reports'!B2148))</f>
      </c>
      <c r="F2149">
        <f>'R.M Billets Reports'!C2148</f>
      </c>
      <c r="G2149">
        <f>'R.M Billets Reports'!D2148</f>
      </c>
      <c r="H2149">
        <f>'R.M Billets Reports'!E2148</f>
      </c>
      <c r="I2149">
        <f>'R.M Billets Reports'!F2148</f>
      </c>
      <c r="J2149">
        <f>'R.M Billets Reports'!G2148</f>
      </c>
      <c r="K2149">
        <f>'R.M Billets Reports'!H2148</f>
      </c>
      <c r="L2149">
        <f>IF('R.M Billets Reports'!I2148="","",'R.M Billets Reports'!I2148)</f>
      </c>
      <c r="M2149">
        <f t="shared" si="66"/>
      </c>
      <c r="N2149">
        <f>IF('R.M Billets Reports'!J2148="","",'R.M Billets Reports'!J2148)</f>
      </c>
      <c r="O2149">
        <f t="shared" si="67"/>
      </c>
      <c r="P2149">
        <f>IF('R.M Billets Reports'!A2148="SIZE",'R.M Billets Reports'!B2148,P2148)</f>
      </c>
    </row>
    <row r="2150" spans="1:16" x14ac:dyDescent="0.25">
      <c r="A2150">
        <f>IF(OR('R.M Billets Reports'!A2149="Date-",'R.M Billets Reports'!A2149="Date:-"),IF(IF(IF(ISNUMBER(SEARCH("Party Name:-",'R.M Billets Reports'!D2149)),TRIM('R.M Billets Reports'!F2149),IF(ISNUMBER(SEARCH("Party Name-",'R.M Billets Reports'!D2149)),TRIM(MID('R.M Billets Reports'!D2149,SEARCH("-",'R.M Billets Reports'!D2149)+1,200)),""))&lt;&gt;"",IF(ISNUMBER(SEARCH("Party Name:-",'R.M Billets Reports'!D2149)),TRIM('R.M Billets Reports'!F2149),IF(ISNUMBER(SEARCH("Party Name-",'R.M Billets Reports'!D2149)),TRIM(MID('R.M Billets Reports'!D2149,SEARCH("-",'R.M Billets Reports'!D2149)+1,200)),"")),IF(ISNUMBER(SEARCH("Party Name:-",'R.M Billets Reports'!D2150)),TRIM('R.M Billets Reports'!F2150),IF(ISNUMBER(SEARCH("Party Name-",'R.M Billets Reports'!D2150)),TRIM(MID('R.M Billets Reports'!D2150,SEARCH("-",'R.M Billets Reports'!D2150)+1,200)),"")))="VRKP ISPAT PVT LTD","VRKP",IF(IF(IF(ISNUMBER(SEARCH("Party Name:-",'R.M Billets Reports'!D2149)),TRIM('R.M Billets Reports'!F2149),IF(ISNUMBER(SEARCH("Party Name-",'R.M Billets Reports'!D2149)),TRIM(MID('R.M Billets Reports'!D2149,SEARCH("-",'R.M Billets Reports'!D2149)+1,200)),""))&lt;&gt;"",IF(ISNUMBER(SEARCH("Party Name:-",'R.M Billets Reports'!D2149)),TRIM('R.M Billets Reports'!F2149),IF(ISNUMBER(SEARCH("Party Name-",'R.M Billets Reports'!D2149)),TRIM(MID('R.M Billets Reports'!D2149,SEARCH("-",'R.M Billets Reports'!D2149)+1,200)),"")),IF(ISNUMBER(SEARCH("Party Name:-",'R.M Billets Reports'!D2150)),TRIM('R.M Billets Reports'!F2150),IF(ISNUMBER(SEARCH("Party Name-",'R.M Billets Reports'!D2150)),TRIM(MID('R.M Billets Reports'!D2150,SEARCH("-",'R.M Billets Reports'!D2150)+1,200)),"")))="SHRI RADHE","SHREE RADHE",IF(IF(IF(ISNUMBER(SEARCH("Party Name:-",'R.M Billets Reports'!D2149)),TRIM('R.M Billets Reports'!F2149),IF(ISNUMBER(SEARCH("Party Name-",'R.M Billets Reports'!D2149)),TRIM(MID('R.M Billets Reports'!D2149,SEARCH("-",'R.M Billets Reports'!D2149)+1,200)),""))&lt;&gt;"",IF(ISNUMBER(SEARCH("Party Name:-",'R.M Billets Reports'!D2149)),TRIM('R.M Billets Reports'!F2149),IF(ISNUMBER(SEARCH("Party Name-",'R.M Billets Reports'!D2149)),TRIM(MID('R.M Billets Reports'!D2149,SEARCH("-",'R.M Billets Reports'!D2149)+1,200)),"")),IF(ISNUMBER(SEARCH("Party Name:-",'R.M Billets Reports'!D2150)),TRIM('R.M Billets Reports'!F2150),IF(ISNUMBER(SEARCH("Party Name-",'R.M Billets Reports'!D2150)),TRIM(MID('R.M Billets Reports'!D2150,SEARCH("-",'R.M Billets Reports'!D2150)+1,200)),"")))="SHREE RADHE SHAKTI SPONGE AND POWER PVT. LTD.","SHREE RADHE",IF(IF(ISNUMBER(SEARCH("Party Name:-",'R.M Billets Reports'!D2149)),TRIM('R.M Billets Reports'!F2149),IF(ISNUMBER(SEARCH("Party Name-",'R.M Billets Reports'!D2149)),TRIM(MID('R.M Billets Reports'!D2149,SEARCH("-",'R.M Billets Reports'!D2149)+1,200)),""))&lt;&gt;"",IF(ISNUMBER(SEARCH("Party Name:-",'R.M Billets Reports'!D2149)),TRIM('R.M Billets Reports'!F2149),IF(ISNUMBER(SEARCH("Party Name-",'R.M Billets Reports'!D2149)),TRIM(MID('R.M Billets Reports'!D2149,SEARCH("-",'R.M Billets Reports'!D2149)+1,200)),"")),IF(ISNUMBER(SEARCH("Party Name:-",'R.M Billets Reports'!D2150)),TRIM('R.M Billets Reports'!F2150),IF(ISNUMBER(SEARCH("Party Name-",'R.M Billets Reports'!D2150)),TRIM(MID('R.M Billets Reports'!D2150,SEARCH("-",'R.M Billets Reports'!D2150)+1,200)),"")))))),IF(ROW()=2,"",A2149))</f>
      </c>
      <c r="B2150">
        <f>IF(OR('R.M Billets Reports'!A2149="Date-",'R.M Billets Reports'!A2149="Date:-"),'R.M Billets Reports'!B2149,IF(ROW()=2,"",B2149))</f>
      </c>
      <c r="C2150">
        <f>IF('R.M Billets Reports'!A2149="V.No.",'R.M Billets Reports'!B2149,IF(ROW()=2,"",C2149))</f>
      </c>
      <c r="D2150">
        <f>IF('R.M Billets Reports'!A2149&lt;&gt;"",'R.M Billets Reports'!A2149,IF(ROW()=2,"",D2149))</f>
      </c>
      <c r="E2150">
        <f>IF('R.M Billets Reports'!B2149="","",TRIM('R.M Billets Reports'!B2149))</f>
      </c>
      <c r="F2150">
        <f>'R.M Billets Reports'!C2149</f>
      </c>
      <c r="G2150">
        <f>'R.M Billets Reports'!D2149</f>
      </c>
      <c r="H2150">
        <f>'R.M Billets Reports'!E2149</f>
      </c>
      <c r="I2150">
        <f>'R.M Billets Reports'!F2149</f>
      </c>
      <c r="J2150">
        <f>'R.M Billets Reports'!G2149</f>
      </c>
      <c r="K2150">
        <f>'R.M Billets Reports'!H2149</f>
      </c>
      <c r="L2150">
        <f>IF('R.M Billets Reports'!I2149="","",'R.M Billets Reports'!I2149)</f>
      </c>
      <c r="M2150">
        <f t="shared" si="66"/>
      </c>
      <c r="N2150">
        <f>IF('R.M Billets Reports'!J2149="","",'R.M Billets Reports'!J2149)</f>
      </c>
      <c r="O2150">
        <f t="shared" si="67"/>
      </c>
      <c r="P2150">
        <f>IF('R.M Billets Reports'!A2149="SIZE",'R.M Billets Reports'!B2149,P2149)</f>
      </c>
    </row>
    <row r="2151" spans="1:16" x14ac:dyDescent="0.25">
      <c r="A2151">
        <f>IF(OR('R.M Billets Reports'!A2150="Date-",'R.M Billets Reports'!A2150="Date:-"),IF(IF(IF(ISNUMBER(SEARCH("Party Name:-",'R.M Billets Reports'!D2150)),TRIM('R.M Billets Reports'!F2150),IF(ISNUMBER(SEARCH("Party Name-",'R.M Billets Reports'!D2150)),TRIM(MID('R.M Billets Reports'!D2150,SEARCH("-",'R.M Billets Reports'!D2150)+1,200)),""))&lt;&gt;"",IF(ISNUMBER(SEARCH("Party Name:-",'R.M Billets Reports'!D2150)),TRIM('R.M Billets Reports'!F2150),IF(ISNUMBER(SEARCH("Party Name-",'R.M Billets Reports'!D2150)),TRIM(MID('R.M Billets Reports'!D2150,SEARCH("-",'R.M Billets Reports'!D2150)+1,200)),"")),IF(ISNUMBER(SEARCH("Party Name:-",'R.M Billets Reports'!D2151)),TRIM('R.M Billets Reports'!F2151),IF(ISNUMBER(SEARCH("Party Name-",'R.M Billets Reports'!D2151)),TRIM(MID('R.M Billets Reports'!D2151,SEARCH("-",'R.M Billets Reports'!D2151)+1,200)),"")))="VRKP ISPAT PVT LTD","VRKP",IF(IF(IF(ISNUMBER(SEARCH("Party Name:-",'R.M Billets Reports'!D2150)),TRIM('R.M Billets Reports'!F2150),IF(ISNUMBER(SEARCH("Party Name-",'R.M Billets Reports'!D2150)),TRIM(MID('R.M Billets Reports'!D2150,SEARCH("-",'R.M Billets Reports'!D2150)+1,200)),""))&lt;&gt;"",IF(ISNUMBER(SEARCH("Party Name:-",'R.M Billets Reports'!D2150)),TRIM('R.M Billets Reports'!F2150),IF(ISNUMBER(SEARCH("Party Name-",'R.M Billets Reports'!D2150)),TRIM(MID('R.M Billets Reports'!D2150,SEARCH("-",'R.M Billets Reports'!D2150)+1,200)),"")),IF(ISNUMBER(SEARCH("Party Name:-",'R.M Billets Reports'!D2151)),TRIM('R.M Billets Reports'!F2151),IF(ISNUMBER(SEARCH("Party Name-",'R.M Billets Reports'!D2151)),TRIM(MID('R.M Billets Reports'!D2151,SEARCH("-",'R.M Billets Reports'!D2151)+1,200)),"")))="SHRI RADHE","SHREE RADHE",IF(IF(IF(ISNUMBER(SEARCH("Party Name:-",'R.M Billets Reports'!D2150)),TRIM('R.M Billets Reports'!F2150),IF(ISNUMBER(SEARCH("Party Name-",'R.M Billets Reports'!D2150)),TRIM(MID('R.M Billets Reports'!D2150,SEARCH("-",'R.M Billets Reports'!D2150)+1,200)),""))&lt;&gt;"",IF(ISNUMBER(SEARCH("Party Name:-",'R.M Billets Reports'!D2150)),TRIM('R.M Billets Reports'!F2150),IF(ISNUMBER(SEARCH("Party Name-",'R.M Billets Reports'!D2150)),TRIM(MID('R.M Billets Reports'!D2150,SEARCH("-",'R.M Billets Reports'!D2150)+1,200)),"")),IF(ISNUMBER(SEARCH("Party Name:-",'R.M Billets Reports'!D2151)),TRIM('R.M Billets Reports'!F2151),IF(ISNUMBER(SEARCH("Party Name-",'R.M Billets Reports'!D2151)),TRIM(MID('R.M Billets Reports'!D2151,SEARCH("-",'R.M Billets Reports'!D2151)+1,200)),"")))="SHREE RADHE SHAKTI SPONGE AND POWER PVT. LTD.","SHREE RADHE",IF(IF(ISNUMBER(SEARCH("Party Name:-",'R.M Billets Reports'!D2150)),TRIM('R.M Billets Reports'!F2150),IF(ISNUMBER(SEARCH("Party Name-",'R.M Billets Reports'!D2150)),TRIM(MID('R.M Billets Reports'!D2150,SEARCH("-",'R.M Billets Reports'!D2150)+1,200)),""))&lt;&gt;"",IF(ISNUMBER(SEARCH("Party Name:-",'R.M Billets Reports'!D2150)),TRIM('R.M Billets Reports'!F2150),IF(ISNUMBER(SEARCH("Party Name-",'R.M Billets Reports'!D2150)),TRIM(MID('R.M Billets Reports'!D2150,SEARCH("-",'R.M Billets Reports'!D2150)+1,200)),"")),IF(ISNUMBER(SEARCH("Party Name:-",'R.M Billets Reports'!D2151)),TRIM('R.M Billets Reports'!F2151),IF(ISNUMBER(SEARCH("Party Name-",'R.M Billets Reports'!D2151)),TRIM(MID('R.M Billets Reports'!D2151,SEARCH("-",'R.M Billets Reports'!D2151)+1,200)),"")))))),IF(ROW()=2,"",A2150))</f>
      </c>
      <c r="B2151">
        <f>IF(OR('R.M Billets Reports'!A2150="Date-",'R.M Billets Reports'!A2150="Date:-"),'R.M Billets Reports'!B2150,IF(ROW()=2,"",B2150))</f>
      </c>
      <c r="C2151">
        <f>IF('R.M Billets Reports'!A2150="V.No.",'R.M Billets Reports'!B2150,IF(ROW()=2,"",C2150))</f>
      </c>
      <c r="D2151">
        <f>IF('R.M Billets Reports'!A2150&lt;&gt;"",'R.M Billets Reports'!A2150,IF(ROW()=2,"",D2150))</f>
      </c>
      <c r="E2151">
        <f>IF('R.M Billets Reports'!B2150="","",TRIM('R.M Billets Reports'!B2150))</f>
      </c>
      <c r="F2151">
        <f>'R.M Billets Reports'!C2150</f>
      </c>
      <c r="G2151">
        <f>'R.M Billets Reports'!D2150</f>
      </c>
      <c r="H2151">
        <f>'R.M Billets Reports'!E2150</f>
      </c>
      <c r="I2151">
        <f>'R.M Billets Reports'!F2150</f>
      </c>
      <c r="J2151">
        <f>'R.M Billets Reports'!G2150</f>
      </c>
      <c r="K2151">
        <f>'R.M Billets Reports'!H2150</f>
      </c>
      <c r="L2151">
        <f>IF('R.M Billets Reports'!I2150="","",'R.M Billets Reports'!I2150)</f>
      </c>
      <c r="M2151">
        <f t="shared" si="66"/>
      </c>
      <c r="N2151">
        <f>IF('R.M Billets Reports'!J2150="","",'R.M Billets Reports'!J2150)</f>
      </c>
      <c r="O2151">
        <f t="shared" si="67"/>
      </c>
      <c r="P2151">
        <f>IF('R.M Billets Reports'!A2150="SIZE",'R.M Billets Reports'!B2150,P2150)</f>
      </c>
    </row>
    <row r="2152" spans="1:16" x14ac:dyDescent="0.25">
      <c r="A2152">
        <f>IF(OR('R.M Billets Reports'!A2151="Date-",'R.M Billets Reports'!A2151="Date:-"),IF(IF(IF(ISNUMBER(SEARCH("Party Name:-",'R.M Billets Reports'!D2151)),TRIM('R.M Billets Reports'!F2151),IF(ISNUMBER(SEARCH("Party Name-",'R.M Billets Reports'!D2151)),TRIM(MID('R.M Billets Reports'!D2151,SEARCH("-",'R.M Billets Reports'!D2151)+1,200)),""))&lt;&gt;"",IF(ISNUMBER(SEARCH("Party Name:-",'R.M Billets Reports'!D2151)),TRIM('R.M Billets Reports'!F2151),IF(ISNUMBER(SEARCH("Party Name-",'R.M Billets Reports'!D2151)),TRIM(MID('R.M Billets Reports'!D2151,SEARCH("-",'R.M Billets Reports'!D2151)+1,200)),"")),IF(ISNUMBER(SEARCH("Party Name:-",'R.M Billets Reports'!D2152)),TRIM('R.M Billets Reports'!F2152),IF(ISNUMBER(SEARCH("Party Name-",'R.M Billets Reports'!D2152)),TRIM(MID('R.M Billets Reports'!D2152,SEARCH("-",'R.M Billets Reports'!D2152)+1,200)),"")))="VRKP ISPAT PVT LTD","VRKP",IF(IF(IF(ISNUMBER(SEARCH("Party Name:-",'R.M Billets Reports'!D2151)),TRIM('R.M Billets Reports'!F2151),IF(ISNUMBER(SEARCH("Party Name-",'R.M Billets Reports'!D2151)),TRIM(MID('R.M Billets Reports'!D2151,SEARCH("-",'R.M Billets Reports'!D2151)+1,200)),""))&lt;&gt;"",IF(ISNUMBER(SEARCH("Party Name:-",'R.M Billets Reports'!D2151)),TRIM('R.M Billets Reports'!F2151),IF(ISNUMBER(SEARCH("Party Name-",'R.M Billets Reports'!D2151)),TRIM(MID('R.M Billets Reports'!D2151,SEARCH("-",'R.M Billets Reports'!D2151)+1,200)),"")),IF(ISNUMBER(SEARCH("Party Name:-",'R.M Billets Reports'!D2152)),TRIM('R.M Billets Reports'!F2152),IF(ISNUMBER(SEARCH("Party Name-",'R.M Billets Reports'!D2152)),TRIM(MID('R.M Billets Reports'!D2152,SEARCH("-",'R.M Billets Reports'!D2152)+1,200)),"")))="SHRI RADHE","SHREE RADHE",IF(IF(IF(ISNUMBER(SEARCH("Party Name:-",'R.M Billets Reports'!D2151)),TRIM('R.M Billets Reports'!F2151),IF(ISNUMBER(SEARCH("Party Name-",'R.M Billets Reports'!D2151)),TRIM(MID('R.M Billets Reports'!D2151,SEARCH("-",'R.M Billets Reports'!D2151)+1,200)),""))&lt;&gt;"",IF(ISNUMBER(SEARCH("Party Name:-",'R.M Billets Reports'!D2151)),TRIM('R.M Billets Reports'!F2151),IF(ISNUMBER(SEARCH("Party Name-",'R.M Billets Reports'!D2151)),TRIM(MID('R.M Billets Reports'!D2151,SEARCH("-",'R.M Billets Reports'!D2151)+1,200)),"")),IF(ISNUMBER(SEARCH("Party Name:-",'R.M Billets Reports'!D2152)),TRIM('R.M Billets Reports'!F2152),IF(ISNUMBER(SEARCH("Party Name-",'R.M Billets Reports'!D2152)),TRIM(MID('R.M Billets Reports'!D2152,SEARCH("-",'R.M Billets Reports'!D2152)+1,200)),"")))="SHREE RADHE SHAKTI SPONGE AND POWER PVT. LTD.","SHREE RADHE",IF(IF(ISNUMBER(SEARCH("Party Name:-",'R.M Billets Reports'!D2151)),TRIM('R.M Billets Reports'!F2151),IF(ISNUMBER(SEARCH("Party Name-",'R.M Billets Reports'!D2151)),TRIM(MID('R.M Billets Reports'!D2151,SEARCH("-",'R.M Billets Reports'!D2151)+1,200)),""))&lt;&gt;"",IF(ISNUMBER(SEARCH("Party Name:-",'R.M Billets Reports'!D2151)),TRIM('R.M Billets Reports'!F2151),IF(ISNUMBER(SEARCH("Party Name-",'R.M Billets Reports'!D2151)),TRIM(MID('R.M Billets Reports'!D2151,SEARCH("-",'R.M Billets Reports'!D2151)+1,200)),"")),IF(ISNUMBER(SEARCH("Party Name:-",'R.M Billets Reports'!D2152)),TRIM('R.M Billets Reports'!F2152),IF(ISNUMBER(SEARCH("Party Name-",'R.M Billets Reports'!D2152)),TRIM(MID('R.M Billets Reports'!D2152,SEARCH("-",'R.M Billets Reports'!D2152)+1,200)),"")))))),IF(ROW()=2,"",A2151))</f>
      </c>
      <c r="B2152">
        <f>IF(OR('R.M Billets Reports'!A2151="Date-",'R.M Billets Reports'!A2151="Date:-"),'R.M Billets Reports'!B2151,IF(ROW()=2,"",B2151))</f>
      </c>
      <c r="C2152">
        <f>IF('R.M Billets Reports'!A2151="V.No.",'R.M Billets Reports'!B2151,IF(ROW()=2,"",C2151))</f>
      </c>
      <c r="D2152">
        <f>IF('R.M Billets Reports'!A2151&lt;&gt;"",'R.M Billets Reports'!A2151,IF(ROW()=2,"",D2151))</f>
      </c>
      <c r="E2152">
        <f>IF('R.M Billets Reports'!B2151="","",TRIM('R.M Billets Reports'!B2151))</f>
      </c>
      <c r="F2152">
        <f>'R.M Billets Reports'!C2151</f>
      </c>
      <c r="G2152">
        <f>'R.M Billets Reports'!D2151</f>
      </c>
      <c r="H2152">
        <f>'R.M Billets Reports'!E2151</f>
      </c>
      <c r="I2152">
        <f>'R.M Billets Reports'!F2151</f>
      </c>
      <c r="J2152">
        <f>'R.M Billets Reports'!G2151</f>
      </c>
      <c r="K2152">
        <f>'R.M Billets Reports'!H2151</f>
      </c>
      <c r="L2152">
        <f>IF('R.M Billets Reports'!I2151="","",'R.M Billets Reports'!I2151)</f>
      </c>
      <c r="M2152">
        <f t="shared" si="66"/>
      </c>
      <c r="N2152">
        <f>IF('R.M Billets Reports'!J2151="","",'R.M Billets Reports'!J2151)</f>
      </c>
      <c r="O2152">
        <f t="shared" si="67"/>
      </c>
      <c r="P2152">
        <f>IF('R.M Billets Reports'!A2151="SIZE",'R.M Billets Reports'!B2151,P2151)</f>
      </c>
    </row>
    <row r="2153" spans="1:16" x14ac:dyDescent="0.25">
      <c r="A2153">
        <f>IF(OR('R.M Billets Reports'!A2152="Date-",'R.M Billets Reports'!A2152="Date:-"),IF(IF(IF(ISNUMBER(SEARCH("Party Name:-",'R.M Billets Reports'!D2152)),TRIM('R.M Billets Reports'!F2152),IF(ISNUMBER(SEARCH("Party Name-",'R.M Billets Reports'!D2152)),TRIM(MID('R.M Billets Reports'!D2152,SEARCH("-",'R.M Billets Reports'!D2152)+1,200)),""))&lt;&gt;"",IF(ISNUMBER(SEARCH("Party Name:-",'R.M Billets Reports'!D2152)),TRIM('R.M Billets Reports'!F2152),IF(ISNUMBER(SEARCH("Party Name-",'R.M Billets Reports'!D2152)),TRIM(MID('R.M Billets Reports'!D2152,SEARCH("-",'R.M Billets Reports'!D2152)+1,200)),"")),IF(ISNUMBER(SEARCH("Party Name:-",'R.M Billets Reports'!D2153)),TRIM('R.M Billets Reports'!F2153),IF(ISNUMBER(SEARCH("Party Name-",'R.M Billets Reports'!D2153)),TRIM(MID('R.M Billets Reports'!D2153,SEARCH("-",'R.M Billets Reports'!D2153)+1,200)),"")))="VRKP ISPAT PVT LTD","VRKP",IF(IF(IF(ISNUMBER(SEARCH("Party Name:-",'R.M Billets Reports'!D2152)),TRIM('R.M Billets Reports'!F2152),IF(ISNUMBER(SEARCH("Party Name-",'R.M Billets Reports'!D2152)),TRIM(MID('R.M Billets Reports'!D2152,SEARCH("-",'R.M Billets Reports'!D2152)+1,200)),""))&lt;&gt;"",IF(ISNUMBER(SEARCH("Party Name:-",'R.M Billets Reports'!D2152)),TRIM('R.M Billets Reports'!F2152),IF(ISNUMBER(SEARCH("Party Name-",'R.M Billets Reports'!D2152)),TRIM(MID('R.M Billets Reports'!D2152,SEARCH("-",'R.M Billets Reports'!D2152)+1,200)),"")),IF(ISNUMBER(SEARCH("Party Name:-",'R.M Billets Reports'!D2153)),TRIM('R.M Billets Reports'!F2153),IF(ISNUMBER(SEARCH("Party Name-",'R.M Billets Reports'!D2153)),TRIM(MID('R.M Billets Reports'!D2153,SEARCH("-",'R.M Billets Reports'!D2153)+1,200)),"")))="SHRI RADHE","SHREE RADHE",IF(IF(IF(ISNUMBER(SEARCH("Party Name:-",'R.M Billets Reports'!D2152)),TRIM('R.M Billets Reports'!F2152),IF(ISNUMBER(SEARCH("Party Name-",'R.M Billets Reports'!D2152)),TRIM(MID('R.M Billets Reports'!D2152,SEARCH("-",'R.M Billets Reports'!D2152)+1,200)),""))&lt;&gt;"",IF(ISNUMBER(SEARCH("Party Name:-",'R.M Billets Reports'!D2152)),TRIM('R.M Billets Reports'!F2152),IF(ISNUMBER(SEARCH("Party Name-",'R.M Billets Reports'!D2152)),TRIM(MID('R.M Billets Reports'!D2152,SEARCH("-",'R.M Billets Reports'!D2152)+1,200)),"")),IF(ISNUMBER(SEARCH("Party Name:-",'R.M Billets Reports'!D2153)),TRIM('R.M Billets Reports'!F2153),IF(ISNUMBER(SEARCH("Party Name-",'R.M Billets Reports'!D2153)),TRIM(MID('R.M Billets Reports'!D2153,SEARCH("-",'R.M Billets Reports'!D2153)+1,200)),"")))="SHREE RADHE SHAKTI SPONGE AND POWER PVT. LTD.","SHREE RADHE",IF(IF(ISNUMBER(SEARCH("Party Name:-",'R.M Billets Reports'!D2152)),TRIM('R.M Billets Reports'!F2152),IF(ISNUMBER(SEARCH("Party Name-",'R.M Billets Reports'!D2152)),TRIM(MID('R.M Billets Reports'!D2152,SEARCH("-",'R.M Billets Reports'!D2152)+1,200)),""))&lt;&gt;"",IF(ISNUMBER(SEARCH("Party Name:-",'R.M Billets Reports'!D2152)),TRIM('R.M Billets Reports'!F2152),IF(ISNUMBER(SEARCH("Party Name-",'R.M Billets Reports'!D2152)),TRIM(MID('R.M Billets Reports'!D2152,SEARCH("-",'R.M Billets Reports'!D2152)+1,200)),"")),IF(ISNUMBER(SEARCH("Party Name:-",'R.M Billets Reports'!D2153)),TRIM('R.M Billets Reports'!F2153),IF(ISNUMBER(SEARCH("Party Name-",'R.M Billets Reports'!D2153)),TRIM(MID('R.M Billets Reports'!D2153,SEARCH("-",'R.M Billets Reports'!D2153)+1,200)),"")))))),IF(ROW()=2,"",A2152))</f>
      </c>
      <c r="B2153">
        <f>IF(OR('R.M Billets Reports'!A2152="Date-",'R.M Billets Reports'!A2152="Date:-"),'R.M Billets Reports'!B2152,IF(ROW()=2,"",B2152))</f>
      </c>
      <c r="C2153">
        <f>IF('R.M Billets Reports'!A2152="V.No.",'R.M Billets Reports'!B2152,IF(ROW()=2,"",C2152))</f>
      </c>
      <c r="D2153">
        <f>IF('R.M Billets Reports'!A2152&lt;&gt;"",'R.M Billets Reports'!A2152,IF(ROW()=2,"",D2152))</f>
      </c>
      <c r="E2153">
        <f>IF('R.M Billets Reports'!B2152="","",TRIM('R.M Billets Reports'!B2152))</f>
      </c>
      <c r="F2153">
        <f>'R.M Billets Reports'!C2152</f>
      </c>
      <c r="G2153">
        <f>'R.M Billets Reports'!D2152</f>
      </c>
      <c r="H2153">
        <f>'R.M Billets Reports'!E2152</f>
      </c>
      <c r="I2153">
        <f>'R.M Billets Reports'!F2152</f>
      </c>
      <c r="J2153">
        <f>'R.M Billets Reports'!G2152</f>
      </c>
      <c r="K2153">
        <f>'R.M Billets Reports'!H2152</f>
      </c>
      <c r="L2153">
        <f>IF('R.M Billets Reports'!I2152="","",'R.M Billets Reports'!I2152)</f>
      </c>
      <c r="M2153">
        <f t="shared" si="66"/>
      </c>
      <c r="N2153">
        <f>IF('R.M Billets Reports'!J2152="","",'R.M Billets Reports'!J2152)</f>
      </c>
      <c r="O2153">
        <f t="shared" si="67"/>
      </c>
      <c r="P2153">
        <f>IF('R.M Billets Reports'!A2152="SIZE",'R.M Billets Reports'!B2152,P2152)</f>
      </c>
    </row>
    <row r="2154" spans="1:16" x14ac:dyDescent="0.25">
      <c r="A2154">
        <f>IF(OR('R.M Billets Reports'!A2153="Date-",'R.M Billets Reports'!A2153="Date:-"),IF(IF(IF(ISNUMBER(SEARCH("Party Name:-",'R.M Billets Reports'!D2153)),TRIM('R.M Billets Reports'!F2153),IF(ISNUMBER(SEARCH("Party Name-",'R.M Billets Reports'!D2153)),TRIM(MID('R.M Billets Reports'!D2153,SEARCH("-",'R.M Billets Reports'!D2153)+1,200)),""))&lt;&gt;"",IF(ISNUMBER(SEARCH("Party Name:-",'R.M Billets Reports'!D2153)),TRIM('R.M Billets Reports'!F2153),IF(ISNUMBER(SEARCH("Party Name-",'R.M Billets Reports'!D2153)),TRIM(MID('R.M Billets Reports'!D2153,SEARCH("-",'R.M Billets Reports'!D2153)+1,200)),"")),IF(ISNUMBER(SEARCH("Party Name:-",'R.M Billets Reports'!D2154)),TRIM('R.M Billets Reports'!F2154),IF(ISNUMBER(SEARCH("Party Name-",'R.M Billets Reports'!D2154)),TRIM(MID('R.M Billets Reports'!D2154,SEARCH("-",'R.M Billets Reports'!D2154)+1,200)),"")))="VRKP ISPAT PVT LTD","VRKP",IF(IF(IF(ISNUMBER(SEARCH("Party Name:-",'R.M Billets Reports'!D2153)),TRIM('R.M Billets Reports'!F2153),IF(ISNUMBER(SEARCH("Party Name-",'R.M Billets Reports'!D2153)),TRIM(MID('R.M Billets Reports'!D2153,SEARCH("-",'R.M Billets Reports'!D2153)+1,200)),""))&lt;&gt;"",IF(ISNUMBER(SEARCH("Party Name:-",'R.M Billets Reports'!D2153)),TRIM('R.M Billets Reports'!F2153),IF(ISNUMBER(SEARCH("Party Name-",'R.M Billets Reports'!D2153)),TRIM(MID('R.M Billets Reports'!D2153,SEARCH("-",'R.M Billets Reports'!D2153)+1,200)),"")),IF(ISNUMBER(SEARCH("Party Name:-",'R.M Billets Reports'!D2154)),TRIM('R.M Billets Reports'!F2154),IF(ISNUMBER(SEARCH("Party Name-",'R.M Billets Reports'!D2154)),TRIM(MID('R.M Billets Reports'!D2154,SEARCH("-",'R.M Billets Reports'!D2154)+1,200)),"")))="SHRI RADHE","SHREE RADHE",IF(IF(IF(ISNUMBER(SEARCH("Party Name:-",'R.M Billets Reports'!D2153)),TRIM('R.M Billets Reports'!F2153),IF(ISNUMBER(SEARCH("Party Name-",'R.M Billets Reports'!D2153)),TRIM(MID('R.M Billets Reports'!D2153,SEARCH("-",'R.M Billets Reports'!D2153)+1,200)),""))&lt;&gt;"",IF(ISNUMBER(SEARCH("Party Name:-",'R.M Billets Reports'!D2153)),TRIM('R.M Billets Reports'!F2153),IF(ISNUMBER(SEARCH("Party Name-",'R.M Billets Reports'!D2153)),TRIM(MID('R.M Billets Reports'!D2153,SEARCH("-",'R.M Billets Reports'!D2153)+1,200)),"")),IF(ISNUMBER(SEARCH("Party Name:-",'R.M Billets Reports'!D2154)),TRIM('R.M Billets Reports'!F2154),IF(ISNUMBER(SEARCH("Party Name-",'R.M Billets Reports'!D2154)),TRIM(MID('R.M Billets Reports'!D2154,SEARCH("-",'R.M Billets Reports'!D2154)+1,200)),"")))="SHREE RADHE SHAKTI SPONGE AND POWER PVT. LTD.","SHREE RADHE",IF(IF(ISNUMBER(SEARCH("Party Name:-",'R.M Billets Reports'!D2153)),TRIM('R.M Billets Reports'!F2153),IF(ISNUMBER(SEARCH("Party Name-",'R.M Billets Reports'!D2153)),TRIM(MID('R.M Billets Reports'!D2153,SEARCH("-",'R.M Billets Reports'!D2153)+1,200)),""))&lt;&gt;"",IF(ISNUMBER(SEARCH("Party Name:-",'R.M Billets Reports'!D2153)),TRIM('R.M Billets Reports'!F2153),IF(ISNUMBER(SEARCH("Party Name-",'R.M Billets Reports'!D2153)),TRIM(MID('R.M Billets Reports'!D2153,SEARCH("-",'R.M Billets Reports'!D2153)+1,200)),"")),IF(ISNUMBER(SEARCH("Party Name:-",'R.M Billets Reports'!D2154)),TRIM('R.M Billets Reports'!F2154),IF(ISNUMBER(SEARCH("Party Name-",'R.M Billets Reports'!D2154)),TRIM(MID('R.M Billets Reports'!D2154,SEARCH("-",'R.M Billets Reports'!D2154)+1,200)),"")))))),IF(ROW()=2,"",A2153))</f>
      </c>
      <c r="B2154">
        <f>IF(OR('R.M Billets Reports'!A2153="Date-",'R.M Billets Reports'!A2153="Date:-"),'R.M Billets Reports'!B2153,IF(ROW()=2,"",B2153))</f>
      </c>
      <c r="C2154">
        <f>IF('R.M Billets Reports'!A2153="V.No.",'R.M Billets Reports'!B2153,IF(ROW()=2,"",C2153))</f>
      </c>
      <c r="D2154">
        <f>IF('R.M Billets Reports'!A2153&lt;&gt;"",'R.M Billets Reports'!A2153,IF(ROW()=2,"",D2153))</f>
      </c>
      <c r="E2154">
        <f>IF('R.M Billets Reports'!B2153="","",TRIM('R.M Billets Reports'!B2153))</f>
      </c>
      <c r="F2154">
        <f>'R.M Billets Reports'!C2153</f>
      </c>
      <c r="G2154">
        <f>'R.M Billets Reports'!D2153</f>
      </c>
      <c r="H2154">
        <f>'R.M Billets Reports'!E2153</f>
      </c>
      <c r="I2154">
        <f>'R.M Billets Reports'!F2153</f>
      </c>
      <c r="J2154">
        <f>'R.M Billets Reports'!G2153</f>
      </c>
      <c r="K2154">
        <f>'R.M Billets Reports'!H2153</f>
      </c>
      <c r="L2154">
        <f>IF('R.M Billets Reports'!I2153="","",'R.M Billets Reports'!I2153)</f>
      </c>
      <c r="M2154">
        <f t="shared" si="66"/>
      </c>
      <c r="N2154">
        <f>IF('R.M Billets Reports'!J2153="","",'R.M Billets Reports'!J2153)</f>
      </c>
      <c r="O2154">
        <f t="shared" si="67"/>
      </c>
      <c r="P2154">
        <f>IF('R.M Billets Reports'!A2153="SIZE",'R.M Billets Reports'!B2153,P2153)</f>
      </c>
    </row>
    <row r="2155" spans="1:16" x14ac:dyDescent="0.25">
      <c r="A2155">
        <f>IF(OR('R.M Billets Reports'!A2154="Date-",'R.M Billets Reports'!A2154="Date:-"),IF(IF(IF(ISNUMBER(SEARCH("Party Name:-",'R.M Billets Reports'!D2154)),TRIM('R.M Billets Reports'!F2154),IF(ISNUMBER(SEARCH("Party Name-",'R.M Billets Reports'!D2154)),TRIM(MID('R.M Billets Reports'!D2154,SEARCH("-",'R.M Billets Reports'!D2154)+1,200)),""))&lt;&gt;"",IF(ISNUMBER(SEARCH("Party Name:-",'R.M Billets Reports'!D2154)),TRIM('R.M Billets Reports'!F2154),IF(ISNUMBER(SEARCH("Party Name-",'R.M Billets Reports'!D2154)),TRIM(MID('R.M Billets Reports'!D2154,SEARCH("-",'R.M Billets Reports'!D2154)+1,200)),"")),IF(ISNUMBER(SEARCH("Party Name:-",'R.M Billets Reports'!D2155)),TRIM('R.M Billets Reports'!F2155),IF(ISNUMBER(SEARCH("Party Name-",'R.M Billets Reports'!D2155)),TRIM(MID('R.M Billets Reports'!D2155,SEARCH("-",'R.M Billets Reports'!D2155)+1,200)),"")))="VRKP ISPAT PVT LTD","VRKP",IF(IF(IF(ISNUMBER(SEARCH("Party Name:-",'R.M Billets Reports'!D2154)),TRIM('R.M Billets Reports'!F2154),IF(ISNUMBER(SEARCH("Party Name-",'R.M Billets Reports'!D2154)),TRIM(MID('R.M Billets Reports'!D2154,SEARCH("-",'R.M Billets Reports'!D2154)+1,200)),""))&lt;&gt;"",IF(ISNUMBER(SEARCH("Party Name:-",'R.M Billets Reports'!D2154)),TRIM('R.M Billets Reports'!F2154),IF(ISNUMBER(SEARCH("Party Name-",'R.M Billets Reports'!D2154)),TRIM(MID('R.M Billets Reports'!D2154,SEARCH("-",'R.M Billets Reports'!D2154)+1,200)),"")),IF(ISNUMBER(SEARCH("Party Name:-",'R.M Billets Reports'!D2155)),TRIM('R.M Billets Reports'!F2155),IF(ISNUMBER(SEARCH("Party Name-",'R.M Billets Reports'!D2155)),TRIM(MID('R.M Billets Reports'!D2155,SEARCH("-",'R.M Billets Reports'!D2155)+1,200)),"")))="SHRI RADHE","SHREE RADHE",IF(IF(IF(ISNUMBER(SEARCH("Party Name:-",'R.M Billets Reports'!D2154)),TRIM('R.M Billets Reports'!F2154),IF(ISNUMBER(SEARCH("Party Name-",'R.M Billets Reports'!D2154)),TRIM(MID('R.M Billets Reports'!D2154,SEARCH("-",'R.M Billets Reports'!D2154)+1,200)),""))&lt;&gt;"",IF(ISNUMBER(SEARCH("Party Name:-",'R.M Billets Reports'!D2154)),TRIM('R.M Billets Reports'!F2154),IF(ISNUMBER(SEARCH("Party Name-",'R.M Billets Reports'!D2154)),TRIM(MID('R.M Billets Reports'!D2154,SEARCH("-",'R.M Billets Reports'!D2154)+1,200)),"")),IF(ISNUMBER(SEARCH("Party Name:-",'R.M Billets Reports'!D2155)),TRIM('R.M Billets Reports'!F2155),IF(ISNUMBER(SEARCH("Party Name-",'R.M Billets Reports'!D2155)),TRIM(MID('R.M Billets Reports'!D2155,SEARCH("-",'R.M Billets Reports'!D2155)+1,200)),"")))="SHREE RADHE SHAKTI SPONGE AND POWER PVT. LTD.","SHREE RADHE",IF(IF(ISNUMBER(SEARCH("Party Name:-",'R.M Billets Reports'!D2154)),TRIM('R.M Billets Reports'!F2154),IF(ISNUMBER(SEARCH("Party Name-",'R.M Billets Reports'!D2154)),TRIM(MID('R.M Billets Reports'!D2154,SEARCH("-",'R.M Billets Reports'!D2154)+1,200)),""))&lt;&gt;"",IF(ISNUMBER(SEARCH("Party Name:-",'R.M Billets Reports'!D2154)),TRIM('R.M Billets Reports'!F2154),IF(ISNUMBER(SEARCH("Party Name-",'R.M Billets Reports'!D2154)),TRIM(MID('R.M Billets Reports'!D2154,SEARCH("-",'R.M Billets Reports'!D2154)+1,200)),"")),IF(ISNUMBER(SEARCH("Party Name:-",'R.M Billets Reports'!D2155)),TRIM('R.M Billets Reports'!F2155),IF(ISNUMBER(SEARCH("Party Name-",'R.M Billets Reports'!D2155)),TRIM(MID('R.M Billets Reports'!D2155,SEARCH("-",'R.M Billets Reports'!D2155)+1,200)),"")))))),IF(ROW()=2,"",A2154))</f>
      </c>
      <c r="B2155">
        <f>IF(OR('R.M Billets Reports'!A2154="Date-",'R.M Billets Reports'!A2154="Date:-"),'R.M Billets Reports'!B2154,IF(ROW()=2,"",B2154))</f>
      </c>
      <c r="C2155">
        <f>IF('R.M Billets Reports'!A2154="V.No.",'R.M Billets Reports'!B2154,IF(ROW()=2,"",C2154))</f>
      </c>
      <c r="D2155">
        <f>IF('R.M Billets Reports'!A2154&lt;&gt;"",'R.M Billets Reports'!A2154,IF(ROW()=2,"",D2154))</f>
      </c>
      <c r="E2155">
        <f>IF('R.M Billets Reports'!B2154="","",TRIM('R.M Billets Reports'!B2154))</f>
      </c>
      <c r="F2155">
        <f>'R.M Billets Reports'!C2154</f>
      </c>
      <c r="G2155">
        <f>'R.M Billets Reports'!D2154</f>
      </c>
      <c r="H2155">
        <f>'R.M Billets Reports'!E2154</f>
      </c>
      <c r="I2155">
        <f>'R.M Billets Reports'!F2154</f>
      </c>
      <c r="J2155">
        <f>'R.M Billets Reports'!G2154</f>
      </c>
      <c r="K2155">
        <f>'R.M Billets Reports'!H2154</f>
      </c>
      <c r="L2155">
        <f>IF('R.M Billets Reports'!I2154="","",'R.M Billets Reports'!I2154)</f>
      </c>
      <c r="M2155">
        <f t="shared" si="66"/>
      </c>
      <c r="N2155">
        <f>IF('R.M Billets Reports'!J2154="","",'R.M Billets Reports'!J2154)</f>
      </c>
      <c r="O2155">
        <f t="shared" si="67"/>
      </c>
      <c r="P2155">
        <f>IF('R.M Billets Reports'!A2154="SIZE",'R.M Billets Reports'!B2154,P2154)</f>
      </c>
    </row>
    <row r="2156" spans="1:16" x14ac:dyDescent="0.25">
      <c r="A2156">
        <f>IF(OR('R.M Billets Reports'!A2155="Date-",'R.M Billets Reports'!A2155="Date:-"),IF(IF(IF(ISNUMBER(SEARCH("Party Name:-",'R.M Billets Reports'!D2155)),TRIM('R.M Billets Reports'!F2155),IF(ISNUMBER(SEARCH("Party Name-",'R.M Billets Reports'!D2155)),TRIM(MID('R.M Billets Reports'!D2155,SEARCH("-",'R.M Billets Reports'!D2155)+1,200)),""))&lt;&gt;"",IF(ISNUMBER(SEARCH("Party Name:-",'R.M Billets Reports'!D2155)),TRIM('R.M Billets Reports'!F2155),IF(ISNUMBER(SEARCH("Party Name-",'R.M Billets Reports'!D2155)),TRIM(MID('R.M Billets Reports'!D2155,SEARCH("-",'R.M Billets Reports'!D2155)+1,200)),"")),IF(ISNUMBER(SEARCH("Party Name:-",'R.M Billets Reports'!D2156)),TRIM('R.M Billets Reports'!F2156),IF(ISNUMBER(SEARCH("Party Name-",'R.M Billets Reports'!D2156)),TRIM(MID('R.M Billets Reports'!D2156,SEARCH("-",'R.M Billets Reports'!D2156)+1,200)),"")))="VRKP ISPAT PVT LTD","VRKP",IF(IF(IF(ISNUMBER(SEARCH("Party Name:-",'R.M Billets Reports'!D2155)),TRIM('R.M Billets Reports'!F2155),IF(ISNUMBER(SEARCH("Party Name-",'R.M Billets Reports'!D2155)),TRIM(MID('R.M Billets Reports'!D2155,SEARCH("-",'R.M Billets Reports'!D2155)+1,200)),""))&lt;&gt;"",IF(ISNUMBER(SEARCH("Party Name:-",'R.M Billets Reports'!D2155)),TRIM('R.M Billets Reports'!F2155),IF(ISNUMBER(SEARCH("Party Name-",'R.M Billets Reports'!D2155)),TRIM(MID('R.M Billets Reports'!D2155,SEARCH("-",'R.M Billets Reports'!D2155)+1,200)),"")),IF(ISNUMBER(SEARCH("Party Name:-",'R.M Billets Reports'!D2156)),TRIM('R.M Billets Reports'!F2156),IF(ISNUMBER(SEARCH("Party Name-",'R.M Billets Reports'!D2156)),TRIM(MID('R.M Billets Reports'!D2156,SEARCH("-",'R.M Billets Reports'!D2156)+1,200)),"")))="SHRI RADHE","SHREE RADHE",IF(IF(IF(ISNUMBER(SEARCH("Party Name:-",'R.M Billets Reports'!D2155)),TRIM('R.M Billets Reports'!F2155),IF(ISNUMBER(SEARCH("Party Name-",'R.M Billets Reports'!D2155)),TRIM(MID('R.M Billets Reports'!D2155,SEARCH("-",'R.M Billets Reports'!D2155)+1,200)),""))&lt;&gt;"",IF(ISNUMBER(SEARCH("Party Name:-",'R.M Billets Reports'!D2155)),TRIM('R.M Billets Reports'!F2155),IF(ISNUMBER(SEARCH("Party Name-",'R.M Billets Reports'!D2155)),TRIM(MID('R.M Billets Reports'!D2155,SEARCH("-",'R.M Billets Reports'!D2155)+1,200)),"")),IF(ISNUMBER(SEARCH("Party Name:-",'R.M Billets Reports'!D2156)),TRIM('R.M Billets Reports'!F2156),IF(ISNUMBER(SEARCH("Party Name-",'R.M Billets Reports'!D2156)),TRIM(MID('R.M Billets Reports'!D2156,SEARCH("-",'R.M Billets Reports'!D2156)+1,200)),"")))="SHREE RADHE SHAKTI SPONGE AND POWER PVT. LTD.","SHREE RADHE",IF(IF(ISNUMBER(SEARCH("Party Name:-",'R.M Billets Reports'!D2155)),TRIM('R.M Billets Reports'!F2155),IF(ISNUMBER(SEARCH("Party Name-",'R.M Billets Reports'!D2155)),TRIM(MID('R.M Billets Reports'!D2155,SEARCH("-",'R.M Billets Reports'!D2155)+1,200)),""))&lt;&gt;"",IF(ISNUMBER(SEARCH("Party Name:-",'R.M Billets Reports'!D2155)),TRIM('R.M Billets Reports'!F2155),IF(ISNUMBER(SEARCH("Party Name-",'R.M Billets Reports'!D2155)),TRIM(MID('R.M Billets Reports'!D2155,SEARCH("-",'R.M Billets Reports'!D2155)+1,200)),"")),IF(ISNUMBER(SEARCH("Party Name:-",'R.M Billets Reports'!D2156)),TRIM('R.M Billets Reports'!F2156),IF(ISNUMBER(SEARCH("Party Name-",'R.M Billets Reports'!D2156)),TRIM(MID('R.M Billets Reports'!D2156,SEARCH("-",'R.M Billets Reports'!D2156)+1,200)),"")))))),IF(ROW()=2,"",A2155))</f>
      </c>
      <c r="B2156">
        <f>IF(OR('R.M Billets Reports'!A2155="Date-",'R.M Billets Reports'!A2155="Date:-"),'R.M Billets Reports'!B2155,IF(ROW()=2,"",B2155))</f>
      </c>
      <c r="C2156">
        <f>IF('R.M Billets Reports'!A2155="V.No.",'R.M Billets Reports'!B2155,IF(ROW()=2,"",C2155))</f>
      </c>
      <c r="D2156">
        <f>IF('R.M Billets Reports'!A2155&lt;&gt;"",'R.M Billets Reports'!A2155,IF(ROW()=2,"",D2155))</f>
      </c>
      <c r="E2156">
        <f>IF('R.M Billets Reports'!B2155="","",TRIM('R.M Billets Reports'!B2155))</f>
      </c>
      <c r="F2156">
        <f>'R.M Billets Reports'!C2155</f>
      </c>
      <c r="G2156">
        <f>'R.M Billets Reports'!D2155</f>
      </c>
      <c r="H2156">
        <f>'R.M Billets Reports'!E2155</f>
      </c>
      <c r="I2156">
        <f>'R.M Billets Reports'!F2155</f>
      </c>
      <c r="J2156">
        <f>'R.M Billets Reports'!G2155</f>
      </c>
      <c r="K2156">
        <f>'R.M Billets Reports'!H2155</f>
      </c>
      <c r="L2156">
        <f>IF('R.M Billets Reports'!I2155="","",'R.M Billets Reports'!I2155)</f>
      </c>
      <c r="M2156">
        <f t="shared" si="66"/>
      </c>
      <c r="N2156">
        <f>IF('R.M Billets Reports'!J2155="","",'R.M Billets Reports'!J2155)</f>
      </c>
      <c r="O2156">
        <f t="shared" si="67"/>
      </c>
      <c r="P2156">
        <f>IF('R.M Billets Reports'!A2155="SIZE",'R.M Billets Reports'!B2155,P2155)</f>
      </c>
    </row>
    <row r="2157" spans="1:16" x14ac:dyDescent="0.25">
      <c r="A2157">
        <f>IF(OR('R.M Billets Reports'!A2156="Date-",'R.M Billets Reports'!A2156="Date:-"),IF(IF(IF(ISNUMBER(SEARCH("Party Name:-",'R.M Billets Reports'!D2156)),TRIM('R.M Billets Reports'!F2156),IF(ISNUMBER(SEARCH("Party Name-",'R.M Billets Reports'!D2156)),TRIM(MID('R.M Billets Reports'!D2156,SEARCH("-",'R.M Billets Reports'!D2156)+1,200)),""))&lt;&gt;"",IF(ISNUMBER(SEARCH("Party Name:-",'R.M Billets Reports'!D2156)),TRIM('R.M Billets Reports'!F2156),IF(ISNUMBER(SEARCH("Party Name-",'R.M Billets Reports'!D2156)),TRIM(MID('R.M Billets Reports'!D2156,SEARCH("-",'R.M Billets Reports'!D2156)+1,200)),"")),IF(ISNUMBER(SEARCH("Party Name:-",'R.M Billets Reports'!D2157)),TRIM('R.M Billets Reports'!F2157),IF(ISNUMBER(SEARCH("Party Name-",'R.M Billets Reports'!D2157)),TRIM(MID('R.M Billets Reports'!D2157,SEARCH("-",'R.M Billets Reports'!D2157)+1,200)),"")))="VRKP ISPAT PVT LTD","VRKP",IF(IF(IF(ISNUMBER(SEARCH("Party Name:-",'R.M Billets Reports'!D2156)),TRIM('R.M Billets Reports'!F2156),IF(ISNUMBER(SEARCH("Party Name-",'R.M Billets Reports'!D2156)),TRIM(MID('R.M Billets Reports'!D2156,SEARCH("-",'R.M Billets Reports'!D2156)+1,200)),""))&lt;&gt;"",IF(ISNUMBER(SEARCH("Party Name:-",'R.M Billets Reports'!D2156)),TRIM('R.M Billets Reports'!F2156),IF(ISNUMBER(SEARCH("Party Name-",'R.M Billets Reports'!D2156)),TRIM(MID('R.M Billets Reports'!D2156,SEARCH("-",'R.M Billets Reports'!D2156)+1,200)),"")),IF(ISNUMBER(SEARCH("Party Name:-",'R.M Billets Reports'!D2157)),TRIM('R.M Billets Reports'!F2157),IF(ISNUMBER(SEARCH("Party Name-",'R.M Billets Reports'!D2157)),TRIM(MID('R.M Billets Reports'!D2157,SEARCH("-",'R.M Billets Reports'!D2157)+1,200)),"")))="SHRI RADHE","SHREE RADHE",IF(IF(IF(ISNUMBER(SEARCH("Party Name:-",'R.M Billets Reports'!D2156)),TRIM('R.M Billets Reports'!F2156),IF(ISNUMBER(SEARCH("Party Name-",'R.M Billets Reports'!D2156)),TRIM(MID('R.M Billets Reports'!D2156,SEARCH("-",'R.M Billets Reports'!D2156)+1,200)),""))&lt;&gt;"",IF(ISNUMBER(SEARCH("Party Name:-",'R.M Billets Reports'!D2156)),TRIM('R.M Billets Reports'!F2156),IF(ISNUMBER(SEARCH("Party Name-",'R.M Billets Reports'!D2156)),TRIM(MID('R.M Billets Reports'!D2156,SEARCH("-",'R.M Billets Reports'!D2156)+1,200)),"")),IF(ISNUMBER(SEARCH("Party Name:-",'R.M Billets Reports'!D2157)),TRIM('R.M Billets Reports'!F2157),IF(ISNUMBER(SEARCH("Party Name-",'R.M Billets Reports'!D2157)),TRIM(MID('R.M Billets Reports'!D2157,SEARCH("-",'R.M Billets Reports'!D2157)+1,200)),"")))="SHREE RADHE SHAKTI SPONGE AND POWER PVT. LTD.","SHREE RADHE",IF(IF(ISNUMBER(SEARCH("Party Name:-",'R.M Billets Reports'!D2156)),TRIM('R.M Billets Reports'!F2156),IF(ISNUMBER(SEARCH("Party Name-",'R.M Billets Reports'!D2156)),TRIM(MID('R.M Billets Reports'!D2156,SEARCH("-",'R.M Billets Reports'!D2156)+1,200)),""))&lt;&gt;"",IF(ISNUMBER(SEARCH("Party Name:-",'R.M Billets Reports'!D2156)),TRIM('R.M Billets Reports'!F2156),IF(ISNUMBER(SEARCH("Party Name-",'R.M Billets Reports'!D2156)),TRIM(MID('R.M Billets Reports'!D2156,SEARCH("-",'R.M Billets Reports'!D2156)+1,200)),"")),IF(ISNUMBER(SEARCH("Party Name:-",'R.M Billets Reports'!D2157)),TRIM('R.M Billets Reports'!F2157),IF(ISNUMBER(SEARCH("Party Name-",'R.M Billets Reports'!D2157)),TRIM(MID('R.M Billets Reports'!D2157,SEARCH("-",'R.M Billets Reports'!D2157)+1,200)),"")))))),IF(ROW()=2,"",A2156))</f>
      </c>
      <c r="B2157">
        <f>IF(OR('R.M Billets Reports'!A2156="Date-",'R.M Billets Reports'!A2156="Date:-"),'R.M Billets Reports'!B2156,IF(ROW()=2,"",B2156))</f>
      </c>
      <c r="C2157">
        <f>IF('R.M Billets Reports'!A2156="V.No.",'R.M Billets Reports'!B2156,IF(ROW()=2,"",C2156))</f>
      </c>
      <c r="D2157">
        <f>IF('R.M Billets Reports'!A2156&lt;&gt;"",'R.M Billets Reports'!A2156,IF(ROW()=2,"",D2156))</f>
      </c>
      <c r="E2157">
        <f>IF('R.M Billets Reports'!B2156="","",TRIM('R.M Billets Reports'!B2156))</f>
      </c>
      <c r="F2157">
        <f>'R.M Billets Reports'!C2156</f>
      </c>
      <c r="G2157">
        <f>'R.M Billets Reports'!D2156</f>
      </c>
      <c r="H2157">
        <f>'R.M Billets Reports'!E2156</f>
      </c>
      <c r="I2157">
        <f>'R.M Billets Reports'!F2156</f>
      </c>
      <c r="J2157">
        <f>'R.M Billets Reports'!G2156</f>
      </c>
      <c r="K2157">
        <f>'R.M Billets Reports'!H2156</f>
      </c>
      <c r="L2157">
        <f>IF('R.M Billets Reports'!I2156="","",'R.M Billets Reports'!I2156)</f>
      </c>
      <c r="M2157">
        <f t="shared" si="66"/>
      </c>
      <c r="N2157">
        <f>IF('R.M Billets Reports'!J2156="","",'R.M Billets Reports'!J2156)</f>
      </c>
      <c r="O2157">
        <f t="shared" si="67"/>
      </c>
      <c r="P2157">
        <f>IF('R.M Billets Reports'!A2156="SIZE",'R.M Billets Reports'!B2156,P2156)</f>
      </c>
    </row>
    <row r="2158" spans="1:16" x14ac:dyDescent="0.25">
      <c r="A2158">
        <f>IF(OR('R.M Billets Reports'!A2157="Date-",'R.M Billets Reports'!A2157="Date:-"),IF(IF(IF(ISNUMBER(SEARCH("Party Name:-",'R.M Billets Reports'!D2157)),TRIM('R.M Billets Reports'!F2157),IF(ISNUMBER(SEARCH("Party Name-",'R.M Billets Reports'!D2157)),TRIM(MID('R.M Billets Reports'!D2157,SEARCH("-",'R.M Billets Reports'!D2157)+1,200)),""))&lt;&gt;"",IF(ISNUMBER(SEARCH("Party Name:-",'R.M Billets Reports'!D2157)),TRIM('R.M Billets Reports'!F2157),IF(ISNUMBER(SEARCH("Party Name-",'R.M Billets Reports'!D2157)),TRIM(MID('R.M Billets Reports'!D2157,SEARCH("-",'R.M Billets Reports'!D2157)+1,200)),"")),IF(ISNUMBER(SEARCH("Party Name:-",'R.M Billets Reports'!D2158)),TRIM('R.M Billets Reports'!F2158),IF(ISNUMBER(SEARCH("Party Name-",'R.M Billets Reports'!D2158)),TRIM(MID('R.M Billets Reports'!D2158,SEARCH("-",'R.M Billets Reports'!D2158)+1,200)),"")))="VRKP ISPAT PVT LTD","VRKP",IF(IF(IF(ISNUMBER(SEARCH("Party Name:-",'R.M Billets Reports'!D2157)),TRIM('R.M Billets Reports'!F2157),IF(ISNUMBER(SEARCH("Party Name-",'R.M Billets Reports'!D2157)),TRIM(MID('R.M Billets Reports'!D2157,SEARCH("-",'R.M Billets Reports'!D2157)+1,200)),""))&lt;&gt;"",IF(ISNUMBER(SEARCH("Party Name:-",'R.M Billets Reports'!D2157)),TRIM('R.M Billets Reports'!F2157),IF(ISNUMBER(SEARCH("Party Name-",'R.M Billets Reports'!D2157)),TRIM(MID('R.M Billets Reports'!D2157,SEARCH("-",'R.M Billets Reports'!D2157)+1,200)),"")),IF(ISNUMBER(SEARCH("Party Name:-",'R.M Billets Reports'!D2158)),TRIM('R.M Billets Reports'!F2158),IF(ISNUMBER(SEARCH("Party Name-",'R.M Billets Reports'!D2158)),TRIM(MID('R.M Billets Reports'!D2158,SEARCH("-",'R.M Billets Reports'!D2158)+1,200)),"")))="SHRI RADHE","SHREE RADHE",IF(IF(IF(ISNUMBER(SEARCH("Party Name:-",'R.M Billets Reports'!D2157)),TRIM('R.M Billets Reports'!F2157),IF(ISNUMBER(SEARCH("Party Name-",'R.M Billets Reports'!D2157)),TRIM(MID('R.M Billets Reports'!D2157,SEARCH("-",'R.M Billets Reports'!D2157)+1,200)),""))&lt;&gt;"",IF(ISNUMBER(SEARCH("Party Name:-",'R.M Billets Reports'!D2157)),TRIM('R.M Billets Reports'!F2157),IF(ISNUMBER(SEARCH("Party Name-",'R.M Billets Reports'!D2157)),TRIM(MID('R.M Billets Reports'!D2157,SEARCH("-",'R.M Billets Reports'!D2157)+1,200)),"")),IF(ISNUMBER(SEARCH("Party Name:-",'R.M Billets Reports'!D2158)),TRIM('R.M Billets Reports'!F2158),IF(ISNUMBER(SEARCH("Party Name-",'R.M Billets Reports'!D2158)),TRIM(MID('R.M Billets Reports'!D2158,SEARCH("-",'R.M Billets Reports'!D2158)+1,200)),"")))="SHREE RADHE SHAKTI SPONGE AND POWER PVT. LTD.","SHREE RADHE",IF(IF(ISNUMBER(SEARCH("Party Name:-",'R.M Billets Reports'!D2157)),TRIM('R.M Billets Reports'!F2157),IF(ISNUMBER(SEARCH("Party Name-",'R.M Billets Reports'!D2157)),TRIM(MID('R.M Billets Reports'!D2157,SEARCH("-",'R.M Billets Reports'!D2157)+1,200)),""))&lt;&gt;"",IF(ISNUMBER(SEARCH("Party Name:-",'R.M Billets Reports'!D2157)),TRIM('R.M Billets Reports'!F2157),IF(ISNUMBER(SEARCH("Party Name-",'R.M Billets Reports'!D2157)),TRIM(MID('R.M Billets Reports'!D2157,SEARCH("-",'R.M Billets Reports'!D2157)+1,200)),"")),IF(ISNUMBER(SEARCH("Party Name:-",'R.M Billets Reports'!D2158)),TRIM('R.M Billets Reports'!F2158),IF(ISNUMBER(SEARCH("Party Name-",'R.M Billets Reports'!D2158)),TRIM(MID('R.M Billets Reports'!D2158,SEARCH("-",'R.M Billets Reports'!D2158)+1,200)),"")))))),IF(ROW()=2,"",A2157))</f>
      </c>
      <c r="B2158">
        <f>IF(OR('R.M Billets Reports'!A2157="Date-",'R.M Billets Reports'!A2157="Date:-"),'R.M Billets Reports'!B2157,IF(ROW()=2,"",B2157))</f>
      </c>
      <c r="C2158">
        <f>IF('R.M Billets Reports'!A2157="V.No.",'R.M Billets Reports'!B2157,IF(ROW()=2,"",C2157))</f>
      </c>
      <c r="D2158">
        <f>IF('R.M Billets Reports'!A2157&lt;&gt;"",'R.M Billets Reports'!A2157,IF(ROW()=2,"",D2157))</f>
      </c>
      <c r="E2158">
        <f>IF('R.M Billets Reports'!B2157="","",TRIM('R.M Billets Reports'!B2157))</f>
      </c>
      <c r="F2158">
        <f>'R.M Billets Reports'!C2157</f>
      </c>
      <c r="G2158">
        <f>'R.M Billets Reports'!D2157</f>
      </c>
      <c r="H2158">
        <f>'R.M Billets Reports'!E2157</f>
      </c>
      <c r="I2158">
        <f>'R.M Billets Reports'!F2157</f>
      </c>
      <c r="J2158">
        <f>'R.M Billets Reports'!G2157</f>
      </c>
      <c r="K2158">
        <f>'R.M Billets Reports'!H2157</f>
      </c>
      <c r="L2158">
        <f>IF('R.M Billets Reports'!I2157="","",'R.M Billets Reports'!I2157)</f>
      </c>
      <c r="M2158">
        <f t="shared" si="66"/>
      </c>
      <c r="N2158">
        <f>IF('R.M Billets Reports'!J2157="","",'R.M Billets Reports'!J2157)</f>
      </c>
      <c r="O2158">
        <f t="shared" si="67"/>
      </c>
      <c r="P2158">
        <f>IF('R.M Billets Reports'!A2157="SIZE",'R.M Billets Reports'!B2157,P2157)</f>
      </c>
    </row>
    <row r="2159" spans="1:16" x14ac:dyDescent="0.25">
      <c r="A2159">
        <f>IF(OR('R.M Billets Reports'!A2158="Date-",'R.M Billets Reports'!A2158="Date:-"),IF(IF(IF(ISNUMBER(SEARCH("Party Name:-",'R.M Billets Reports'!D2158)),TRIM('R.M Billets Reports'!F2158),IF(ISNUMBER(SEARCH("Party Name-",'R.M Billets Reports'!D2158)),TRIM(MID('R.M Billets Reports'!D2158,SEARCH("-",'R.M Billets Reports'!D2158)+1,200)),""))&lt;&gt;"",IF(ISNUMBER(SEARCH("Party Name:-",'R.M Billets Reports'!D2158)),TRIM('R.M Billets Reports'!F2158),IF(ISNUMBER(SEARCH("Party Name-",'R.M Billets Reports'!D2158)),TRIM(MID('R.M Billets Reports'!D2158,SEARCH("-",'R.M Billets Reports'!D2158)+1,200)),"")),IF(ISNUMBER(SEARCH("Party Name:-",'R.M Billets Reports'!D2159)),TRIM('R.M Billets Reports'!F2159),IF(ISNUMBER(SEARCH("Party Name-",'R.M Billets Reports'!D2159)),TRIM(MID('R.M Billets Reports'!D2159,SEARCH("-",'R.M Billets Reports'!D2159)+1,200)),"")))="VRKP ISPAT PVT LTD","VRKP",IF(IF(IF(ISNUMBER(SEARCH("Party Name:-",'R.M Billets Reports'!D2158)),TRIM('R.M Billets Reports'!F2158),IF(ISNUMBER(SEARCH("Party Name-",'R.M Billets Reports'!D2158)),TRIM(MID('R.M Billets Reports'!D2158,SEARCH("-",'R.M Billets Reports'!D2158)+1,200)),""))&lt;&gt;"",IF(ISNUMBER(SEARCH("Party Name:-",'R.M Billets Reports'!D2158)),TRIM('R.M Billets Reports'!F2158),IF(ISNUMBER(SEARCH("Party Name-",'R.M Billets Reports'!D2158)),TRIM(MID('R.M Billets Reports'!D2158,SEARCH("-",'R.M Billets Reports'!D2158)+1,200)),"")),IF(ISNUMBER(SEARCH("Party Name:-",'R.M Billets Reports'!D2159)),TRIM('R.M Billets Reports'!F2159),IF(ISNUMBER(SEARCH("Party Name-",'R.M Billets Reports'!D2159)),TRIM(MID('R.M Billets Reports'!D2159,SEARCH("-",'R.M Billets Reports'!D2159)+1,200)),"")))="SHRI RADHE","SHREE RADHE",IF(IF(IF(ISNUMBER(SEARCH("Party Name:-",'R.M Billets Reports'!D2158)),TRIM('R.M Billets Reports'!F2158),IF(ISNUMBER(SEARCH("Party Name-",'R.M Billets Reports'!D2158)),TRIM(MID('R.M Billets Reports'!D2158,SEARCH("-",'R.M Billets Reports'!D2158)+1,200)),""))&lt;&gt;"",IF(ISNUMBER(SEARCH("Party Name:-",'R.M Billets Reports'!D2158)),TRIM('R.M Billets Reports'!F2158),IF(ISNUMBER(SEARCH("Party Name-",'R.M Billets Reports'!D2158)),TRIM(MID('R.M Billets Reports'!D2158,SEARCH("-",'R.M Billets Reports'!D2158)+1,200)),"")),IF(ISNUMBER(SEARCH("Party Name:-",'R.M Billets Reports'!D2159)),TRIM('R.M Billets Reports'!F2159),IF(ISNUMBER(SEARCH("Party Name-",'R.M Billets Reports'!D2159)),TRIM(MID('R.M Billets Reports'!D2159,SEARCH("-",'R.M Billets Reports'!D2159)+1,200)),"")))="SHREE RADHE SHAKTI SPONGE AND POWER PVT. LTD.","SHREE RADHE",IF(IF(ISNUMBER(SEARCH("Party Name:-",'R.M Billets Reports'!D2158)),TRIM('R.M Billets Reports'!F2158),IF(ISNUMBER(SEARCH("Party Name-",'R.M Billets Reports'!D2158)),TRIM(MID('R.M Billets Reports'!D2158,SEARCH("-",'R.M Billets Reports'!D2158)+1,200)),""))&lt;&gt;"",IF(ISNUMBER(SEARCH("Party Name:-",'R.M Billets Reports'!D2158)),TRIM('R.M Billets Reports'!F2158),IF(ISNUMBER(SEARCH("Party Name-",'R.M Billets Reports'!D2158)),TRIM(MID('R.M Billets Reports'!D2158,SEARCH("-",'R.M Billets Reports'!D2158)+1,200)),"")),IF(ISNUMBER(SEARCH("Party Name:-",'R.M Billets Reports'!D2159)),TRIM('R.M Billets Reports'!F2159),IF(ISNUMBER(SEARCH("Party Name-",'R.M Billets Reports'!D2159)),TRIM(MID('R.M Billets Reports'!D2159,SEARCH("-",'R.M Billets Reports'!D2159)+1,200)),"")))))),IF(ROW()=2,"",A2158))</f>
      </c>
      <c r="B2159">
        <f>IF(OR('R.M Billets Reports'!A2158="Date-",'R.M Billets Reports'!A2158="Date:-"),'R.M Billets Reports'!B2158,IF(ROW()=2,"",B2158))</f>
      </c>
      <c r="C2159">
        <f>IF('R.M Billets Reports'!A2158="V.No.",'R.M Billets Reports'!B2158,IF(ROW()=2,"",C2158))</f>
      </c>
      <c r="D2159">
        <f>IF('R.M Billets Reports'!A2158&lt;&gt;"",'R.M Billets Reports'!A2158,IF(ROW()=2,"",D2158))</f>
      </c>
      <c r="E2159">
        <f>IF('R.M Billets Reports'!B2158="","",TRIM('R.M Billets Reports'!B2158))</f>
      </c>
      <c r="F2159">
        <f>'R.M Billets Reports'!C2158</f>
      </c>
      <c r="G2159">
        <f>'R.M Billets Reports'!D2158</f>
      </c>
      <c r="H2159">
        <f>'R.M Billets Reports'!E2158</f>
      </c>
      <c r="I2159">
        <f>'R.M Billets Reports'!F2158</f>
      </c>
      <c r="J2159">
        <f>'R.M Billets Reports'!G2158</f>
      </c>
      <c r="K2159">
        <f>'R.M Billets Reports'!H2158</f>
      </c>
      <c r="L2159">
        <f>IF('R.M Billets Reports'!I2158="","",'R.M Billets Reports'!I2158)</f>
      </c>
      <c r="M2159">
        <f t="shared" si="66"/>
      </c>
      <c r="N2159">
        <f>IF('R.M Billets Reports'!J2158="","",'R.M Billets Reports'!J2158)</f>
      </c>
      <c r="O2159">
        <f t="shared" si="67"/>
      </c>
      <c r="P2159">
        <f>IF('R.M Billets Reports'!A2158="SIZE",'R.M Billets Reports'!B2158,P2158)</f>
      </c>
    </row>
    <row r="2160" spans="1:16" x14ac:dyDescent="0.25">
      <c r="A2160">
        <f>IF(OR('R.M Billets Reports'!A2159="Date-",'R.M Billets Reports'!A2159="Date:-"),IF(IF(IF(ISNUMBER(SEARCH("Party Name:-",'R.M Billets Reports'!D2159)),TRIM('R.M Billets Reports'!F2159),IF(ISNUMBER(SEARCH("Party Name-",'R.M Billets Reports'!D2159)),TRIM(MID('R.M Billets Reports'!D2159,SEARCH("-",'R.M Billets Reports'!D2159)+1,200)),""))&lt;&gt;"",IF(ISNUMBER(SEARCH("Party Name:-",'R.M Billets Reports'!D2159)),TRIM('R.M Billets Reports'!F2159),IF(ISNUMBER(SEARCH("Party Name-",'R.M Billets Reports'!D2159)),TRIM(MID('R.M Billets Reports'!D2159,SEARCH("-",'R.M Billets Reports'!D2159)+1,200)),"")),IF(ISNUMBER(SEARCH("Party Name:-",'R.M Billets Reports'!D2160)),TRIM('R.M Billets Reports'!F2160),IF(ISNUMBER(SEARCH("Party Name-",'R.M Billets Reports'!D2160)),TRIM(MID('R.M Billets Reports'!D2160,SEARCH("-",'R.M Billets Reports'!D2160)+1,200)),"")))="VRKP ISPAT PVT LTD","VRKP",IF(IF(IF(ISNUMBER(SEARCH("Party Name:-",'R.M Billets Reports'!D2159)),TRIM('R.M Billets Reports'!F2159),IF(ISNUMBER(SEARCH("Party Name-",'R.M Billets Reports'!D2159)),TRIM(MID('R.M Billets Reports'!D2159,SEARCH("-",'R.M Billets Reports'!D2159)+1,200)),""))&lt;&gt;"",IF(ISNUMBER(SEARCH("Party Name:-",'R.M Billets Reports'!D2159)),TRIM('R.M Billets Reports'!F2159),IF(ISNUMBER(SEARCH("Party Name-",'R.M Billets Reports'!D2159)),TRIM(MID('R.M Billets Reports'!D2159,SEARCH("-",'R.M Billets Reports'!D2159)+1,200)),"")),IF(ISNUMBER(SEARCH("Party Name:-",'R.M Billets Reports'!D2160)),TRIM('R.M Billets Reports'!F2160),IF(ISNUMBER(SEARCH("Party Name-",'R.M Billets Reports'!D2160)),TRIM(MID('R.M Billets Reports'!D2160,SEARCH("-",'R.M Billets Reports'!D2160)+1,200)),"")))="SHRI RADHE","SHREE RADHE",IF(IF(IF(ISNUMBER(SEARCH("Party Name:-",'R.M Billets Reports'!D2159)),TRIM('R.M Billets Reports'!F2159),IF(ISNUMBER(SEARCH("Party Name-",'R.M Billets Reports'!D2159)),TRIM(MID('R.M Billets Reports'!D2159,SEARCH("-",'R.M Billets Reports'!D2159)+1,200)),""))&lt;&gt;"",IF(ISNUMBER(SEARCH("Party Name:-",'R.M Billets Reports'!D2159)),TRIM('R.M Billets Reports'!F2159),IF(ISNUMBER(SEARCH("Party Name-",'R.M Billets Reports'!D2159)),TRIM(MID('R.M Billets Reports'!D2159,SEARCH("-",'R.M Billets Reports'!D2159)+1,200)),"")),IF(ISNUMBER(SEARCH("Party Name:-",'R.M Billets Reports'!D2160)),TRIM('R.M Billets Reports'!F2160),IF(ISNUMBER(SEARCH("Party Name-",'R.M Billets Reports'!D2160)),TRIM(MID('R.M Billets Reports'!D2160,SEARCH("-",'R.M Billets Reports'!D2160)+1,200)),"")))="SHREE RADHE SHAKTI SPONGE AND POWER PVT. LTD.","SHREE RADHE",IF(IF(ISNUMBER(SEARCH("Party Name:-",'R.M Billets Reports'!D2159)),TRIM('R.M Billets Reports'!F2159),IF(ISNUMBER(SEARCH("Party Name-",'R.M Billets Reports'!D2159)),TRIM(MID('R.M Billets Reports'!D2159,SEARCH("-",'R.M Billets Reports'!D2159)+1,200)),""))&lt;&gt;"",IF(ISNUMBER(SEARCH("Party Name:-",'R.M Billets Reports'!D2159)),TRIM('R.M Billets Reports'!F2159),IF(ISNUMBER(SEARCH("Party Name-",'R.M Billets Reports'!D2159)),TRIM(MID('R.M Billets Reports'!D2159,SEARCH("-",'R.M Billets Reports'!D2159)+1,200)),"")),IF(ISNUMBER(SEARCH("Party Name:-",'R.M Billets Reports'!D2160)),TRIM('R.M Billets Reports'!F2160),IF(ISNUMBER(SEARCH("Party Name-",'R.M Billets Reports'!D2160)),TRIM(MID('R.M Billets Reports'!D2160,SEARCH("-",'R.M Billets Reports'!D2160)+1,200)),"")))))),IF(ROW()=2,"",A2159))</f>
      </c>
      <c r="B2160">
        <f>IF(OR('R.M Billets Reports'!A2159="Date-",'R.M Billets Reports'!A2159="Date:-"),'R.M Billets Reports'!B2159,IF(ROW()=2,"",B2159))</f>
      </c>
      <c r="C2160">
        <f>IF('R.M Billets Reports'!A2159="V.No.",'R.M Billets Reports'!B2159,IF(ROW()=2,"",C2159))</f>
      </c>
      <c r="D2160">
        <f>IF('R.M Billets Reports'!A2159&lt;&gt;"",'R.M Billets Reports'!A2159,IF(ROW()=2,"",D2159))</f>
      </c>
      <c r="E2160">
        <f>IF('R.M Billets Reports'!B2159="","",TRIM('R.M Billets Reports'!B2159))</f>
      </c>
      <c r="F2160">
        <f>'R.M Billets Reports'!C2159</f>
      </c>
      <c r="G2160">
        <f>'R.M Billets Reports'!D2159</f>
      </c>
      <c r="H2160">
        <f>'R.M Billets Reports'!E2159</f>
      </c>
      <c r="I2160">
        <f>'R.M Billets Reports'!F2159</f>
      </c>
      <c r="J2160">
        <f>'R.M Billets Reports'!G2159</f>
      </c>
      <c r="K2160">
        <f>'R.M Billets Reports'!H2159</f>
      </c>
      <c r="L2160">
        <f>IF('R.M Billets Reports'!I2159="","",'R.M Billets Reports'!I2159)</f>
      </c>
      <c r="M2160">
        <f t="shared" si="66"/>
      </c>
      <c r="N2160">
        <f>IF('R.M Billets Reports'!J2159="","",'R.M Billets Reports'!J2159)</f>
      </c>
      <c r="O2160">
        <f t="shared" si="67"/>
      </c>
      <c r="P2160">
        <f>IF('R.M Billets Reports'!A2159="SIZE",'R.M Billets Reports'!B2159,P2159)</f>
      </c>
    </row>
    <row r="2161" spans="1:16" x14ac:dyDescent="0.25">
      <c r="A2161">
        <f>IF(OR('R.M Billets Reports'!A2160="Date-",'R.M Billets Reports'!A2160="Date:-"),IF(IF(IF(ISNUMBER(SEARCH("Party Name:-",'R.M Billets Reports'!D2160)),TRIM('R.M Billets Reports'!F2160),IF(ISNUMBER(SEARCH("Party Name-",'R.M Billets Reports'!D2160)),TRIM(MID('R.M Billets Reports'!D2160,SEARCH("-",'R.M Billets Reports'!D2160)+1,200)),""))&lt;&gt;"",IF(ISNUMBER(SEARCH("Party Name:-",'R.M Billets Reports'!D2160)),TRIM('R.M Billets Reports'!F2160),IF(ISNUMBER(SEARCH("Party Name-",'R.M Billets Reports'!D2160)),TRIM(MID('R.M Billets Reports'!D2160,SEARCH("-",'R.M Billets Reports'!D2160)+1,200)),"")),IF(ISNUMBER(SEARCH("Party Name:-",'R.M Billets Reports'!D2161)),TRIM('R.M Billets Reports'!F2161),IF(ISNUMBER(SEARCH("Party Name-",'R.M Billets Reports'!D2161)),TRIM(MID('R.M Billets Reports'!D2161,SEARCH("-",'R.M Billets Reports'!D2161)+1,200)),"")))="VRKP ISPAT PVT LTD","VRKP",IF(IF(IF(ISNUMBER(SEARCH("Party Name:-",'R.M Billets Reports'!D2160)),TRIM('R.M Billets Reports'!F2160),IF(ISNUMBER(SEARCH("Party Name-",'R.M Billets Reports'!D2160)),TRIM(MID('R.M Billets Reports'!D2160,SEARCH("-",'R.M Billets Reports'!D2160)+1,200)),""))&lt;&gt;"",IF(ISNUMBER(SEARCH("Party Name:-",'R.M Billets Reports'!D2160)),TRIM('R.M Billets Reports'!F2160),IF(ISNUMBER(SEARCH("Party Name-",'R.M Billets Reports'!D2160)),TRIM(MID('R.M Billets Reports'!D2160,SEARCH("-",'R.M Billets Reports'!D2160)+1,200)),"")),IF(ISNUMBER(SEARCH("Party Name:-",'R.M Billets Reports'!D2161)),TRIM('R.M Billets Reports'!F2161),IF(ISNUMBER(SEARCH("Party Name-",'R.M Billets Reports'!D2161)),TRIM(MID('R.M Billets Reports'!D2161,SEARCH("-",'R.M Billets Reports'!D2161)+1,200)),"")))="SHRI RADHE","SHREE RADHE",IF(IF(IF(ISNUMBER(SEARCH("Party Name:-",'R.M Billets Reports'!D2160)),TRIM('R.M Billets Reports'!F2160),IF(ISNUMBER(SEARCH("Party Name-",'R.M Billets Reports'!D2160)),TRIM(MID('R.M Billets Reports'!D2160,SEARCH("-",'R.M Billets Reports'!D2160)+1,200)),""))&lt;&gt;"",IF(ISNUMBER(SEARCH("Party Name:-",'R.M Billets Reports'!D2160)),TRIM('R.M Billets Reports'!F2160),IF(ISNUMBER(SEARCH("Party Name-",'R.M Billets Reports'!D2160)),TRIM(MID('R.M Billets Reports'!D2160,SEARCH("-",'R.M Billets Reports'!D2160)+1,200)),"")),IF(ISNUMBER(SEARCH("Party Name:-",'R.M Billets Reports'!D2161)),TRIM('R.M Billets Reports'!F2161),IF(ISNUMBER(SEARCH("Party Name-",'R.M Billets Reports'!D2161)),TRIM(MID('R.M Billets Reports'!D2161,SEARCH("-",'R.M Billets Reports'!D2161)+1,200)),"")))="SHREE RADHE SHAKTI SPONGE AND POWER PVT. LTD.","SHREE RADHE",IF(IF(ISNUMBER(SEARCH("Party Name:-",'R.M Billets Reports'!D2160)),TRIM('R.M Billets Reports'!F2160),IF(ISNUMBER(SEARCH("Party Name-",'R.M Billets Reports'!D2160)),TRIM(MID('R.M Billets Reports'!D2160,SEARCH("-",'R.M Billets Reports'!D2160)+1,200)),""))&lt;&gt;"",IF(ISNUMBER(SEARCH("Party Name:-",'R.M Billets Reports'!D2160)),TRIM('R.M Billets Reports'!F2160),IF(ISNUMBER(SEARCH("Party Name-",'R.M Billets Reports'!D2160)),TRIM(MID('R.M Billets Reports'!D2160,SEARCH("-",'R.M Billets Reports'!D2160)+1,200)),"")),IF(ISNUMBER(SEARCH("Party Name:-",'R.M Billets Reports'!D2161)),TRIM('R.M Billets Reports'!F2161),IF(ISNUMBER(SEARCH("Party Name-",'R.M Billets Reports'!D2161)),TRIM(MID('R.M Billets Reports'!D2161,SEARCH("-",'R.M Billets Reports'!D2161)+1,200)),"")))))),IF(ROW()=2,"",A2160))</f>
      </c>
      <c r="B2161">
        <f>IF(OR('R.M Billets Reports'!A2160="Date-",'R.M Billets Reports'!A2160="Date:-"),'R.M Billets Reports'!B2160,IF(ROW()=2,"",B2160))</f>
      </c>
      <c r="C2161">
        <f>IF('R.M Billets Reports'!A2160="V.No.",'R.M Billets Reports'!B2160,IF(ROW()=2,"",C2160))</f>
      </c>
      <c r="D2161">
        <f>IF('R.M Billets Reports'!A2160&lt;&gt;"",'R.M Billets Reports'!A2160,IF(ROW()=2,"",D2160))</f>
      </c>
      <c r="E2161">
        <f>IF('R.M Billets Reports'!B2160="","",TRIM('R.M Billets Reports'!B2160))</f>
      </c>
      <c r="F2161">
        <f>'R.M Billets Reports'!C2160</f>
      </c>
      <c r="G2161">
        <f>'R.M Billets Reports'!D2160</f>
      </c>
      <c r="H2161">
        <f>'R.M Billets Reports'!E2160</f>
      </c>
      <c r="I2161">
        <f>'R.M Billets Reports'!F2160</f>
      </c>
      <c r="J2161">
        <f>'R.M Billets Reports'!G2160</f>
      </c>
      <c r="K2161">
        <f>'R.M Billets Reports'!H2160</f>
      </c>
      <c r="L2161">
        <f>IF('R.M Billets Reports'!I2160="","",'R.M Billets Reports'!I2160)</f>
      </c>
      <c r="M2161">
        <f t="shared" si="66"/>
      </c>
      <c r="N2161">
        <f>IF('R.M Billets Reports'!J2160="","",'R.M Billets Reports'!J2160)</f>
      </c>
      <c r="O2161">
        <f t="shared" si="67"/>
      </c>
      <c r="P2161">
        <f>IF('R.M Billets Reports'!A2160="SIZE",'R.M Billets Reports'!B2160,P2160)</f>
      </c>
    </row>
    <row r="2162" spans="1:16" x14ac:dyDescent="0.25">
      <c r="A2162">
        <f>IF(OR('R.M Billets Reports'!A2161="Date-",'R.M Billets Reports'!A2161="Date:-"),IF(IF(IF(ISNUMBER(SEARCH("Party Name:-",'R.M Billets Reports'!D2161)),TRIM('R.M Billets Reports'!F2161),IF(ISNUMBER(SEARCH("Party Name-",'R.M Billets Reports'!D2161)),TRIM(MID('R.M Billets Reports'!D2161,SEARCH("-",'R.M Billets Reports'!D2161)+1,200)),""))&lt;&gt;"",IF(ISNUMBER(SEARCH("Party Name:-",'R.M Billets Reports'!D2161)),TRIM('R.M Billets Reports'!F2161),IF(ISNUMBER(SEARCH("Party Name-",'R.M Billets Reports'!D2161)),TRIM(MID('R.M Billets Reports'!D2161,SEARCH("-",'R.M Billets Reports'!D2161)+1,200)),"")),IF(ISNUMBER(SEARCH("Party Name:-",'R.M Billets Reports'!D2162)),TRIM('R.M Billets Reports'!F2162),IF(ISNUMBER(SEARCH("Party Name-",'R.M Billets Reports'!D2162)),TRIM(MID('R.M Billets Reports'!D2162,SEARCH("-",'R.M Billets Reports'!D2162)+1,200)),"")))="VRKP ISPAT PVT LTD","VRKP",IF(IF(IF(ISNUMBER(SEARCH("Party Name:-",'R.M Billets Reports'!D2161)),TRIM('R.M Billets Reports'!F2161),IF(ISNUMBER(SEARCH("Party Name-",'R.M Billets Reports'!D2161)),TRIM(MID('R.M Billets Reports'!D2161,SEARCH("-",'R.M Billets Reports'!D2161)+1,200)),""))&lt;&gt;"",IF(ISNUMBER(SEARCH("Party Name:-",'R.M Billets Reports'!D2161)),TRIM('R.M Billets Reports'!F2161),IF(ISNUMBER(SEARCH("Party Name-",'R.M Billets Reports'!D2161)),TRIM(MID('R.M Billets Reports'!D2161,SEARCH("-",'R.M Billets Reports'!D2161)+1,200)),"")),IF(ISNUMBER(SEARCH("Party Name:-",'R.M Billets Reports'!D2162)),TRIM('R.M Billets Reports'!F2162),IF(ISNUMBER(SEARCH("Party Name-",'R.M Billets Reports'!D2162)),TRIM(MID('R.M Billets Reports'!D2162,SEARCH("-",'R.M Billets Reports'!D2162)+1,200)),"")))="SHRI RADHE","SHREE RADHE",IF(IF(IF(ISNUMBER(SEARCH("Party Name:-",'R.M Billets Reports'!D2161)),TRIM('R.M Billets Reports'!F2161),IF(ISNUMBER(SEARCH("Party Name-",'R.M Billets Reports'!D2161)),TRIM(MID('R.M Billets Reports'!D2161,SEARCH("-",'R.M Billets Reports'!D2161)+1,200)),""))&lt;&gt;"",IF(ISNUMBER(SEARCH("Party Name:-",'R.M Billets Reports'!D2161)),TRIM('R.M Billets Reports'!F2161),IF(ISNUMBER(SEARCH("Party Name-",'R.M Billets Reports'!D2161)),TRIM(MID('R.M Billets Reports'!D2161,SEARCH("-",'R.M Billets Reports'!D2161)+1,200)),"")),IF(ISNUMBER(SEARCH("Party Name:-",'R.M Billets Reports'!D2162)),TRIM('R.M Billets Reports'!F2162),IF(ISNUMBER(SEARCH("Party Name-",'R.M Billets Reports'!D2162)),TRIM(MID('R.M Billets Reports'!D2162,SEARCH("-",'R.M Billets Reports'!D2162)+1,200)),"")))="SHREE RADHE SHAKTI SPONGE AND POWER PVT. LTD.","SHREE RADHE",IF(IF(ISNUMBER(SEARCH("Party Name:-",'R.M Billets Reports'!D2161)),TRIM('R.M Billets Reports'!F2161),IF(ISNUMBER(SEARCH("Party Name-",'R.M Billets Reports'!D2161)),TRIM(MID('R.M Billets Reports'!D2161,SEARCH("-",'R.M Billets Reports'!D2161)+1,200)),""))&lt;&gt;"",IF(ISNUMBER(SEARCH("Party Name:-",'R.M Billets Reports'!D2161)),TRIM('R.M Billets Reports'!F2161),IF(ISNUMBER(SEARCH("Party Name-",'R.M Billets Reports'!D2161)),TRIM(MID('R.M Billets Reports'!D2161,SEARCH("-",'R.M Billets Reports'!D2161)+1,200)),"")),IF(ISNUMBER(SEARCH("Party Name:-",'R.M Billets Reports'!D2162)),TRIM('R.M Billets Reports'!F2162),IF(ISNUMBER(SEARCH("Party Name-",'R.M Billets Reports'!D2162)),TRIM(MID('R.M Billets Reports'!D2162,SEARCH("-",'R.M Billets Reports'!D2162)+1,200)),"")))))),IF(ROW()=2,"",A2161))</f>
      </c>
      <c r="B2162">
        <f>IF(OR('R.M Billets Reports'!A2161="Date-",'R.M Billets Reports'!A2161="Date:-"),'R.M Billets Reports'!B2161,IF(ROW()=2,"",B2161))</f>
      </c>
      <c r="C2162">
        <f>IF('R.M Billets Reports'!A2161="V.No.",'R.M Billets Reports'!B2161,IF(ROW()=2,"",C2161))</f>
      </c>
      <c r="D2162">
        <f>IF('R.M Billets Reports'!A2161&lt;&gt;"",'R.M Billets Reports'!A2161,IF(ROW()=2,"",D2161))</f>
      </c>
      <c r="E2162">
        <f>IF('R.M Billets Reports'!B2161="","",TRIM('R.M Billets Reports'!B2161))</f>
      </c>
      <c r="F2162">
        <f>'R.M Billets Reports'!C2161</f>
      </c>
      <c r="G2162">
        <f>'R.M Billets Reports'!D2161</f>
      </c>
      <c r="H2162">
        <f>'R.M Billets Reports'!E2161</f>
      </c>
      <c r="I2162">
        <f>'R.M Billets Reports'!F2161</f>
      </c>
      <c r="J2162">
        <f>'R.M Billets Reports'!G2161</f>
      </c>
      <c r="K2162">
        <f>'R.M Billets Reports'!H2161</f>
      </c>
      <c r="L2162">
        <f>IF('R.M Billets Reports'!I2161="","",'R.M Billets Reports'!I2161)</f>
      </c>
      <c r="M2162">
        <f t="shared" si="66"/>
      </c>
      <c r="N2162">
        <f>IF('R.M Billets Reports'!J2161="","",'R.M Billets Reports'!J2161)</f>
      </c>
      <c r="O2162">
        <f t="shared" si="67"/>
      </c>
      <c r="P2162">
        <f>IF('R.M Billets Reports'!A2161="SIZE",'R.M Billets Reports'!B2161,P2161)</f>
      </c>
    </row>
    <row r="2163" spans="1:16" x14ac:dyDescent="0.25">
      <c r="A2163">
        <f>IF(OR('R.M Billets Reports'!A2162="Date-",'R.M Billets Reports'!A2162="Date:-"),IF(IF(IF(ISNUMBER(SEARCH("Party Name:-",'R.M Billets Reports'!D2162)),TRIM('R.M Billets Reports'!F2162),IF(ISNUMBER(SEARCH("Party Name-",'R.M Billets Reports'!D2162)),TRIM(MID('R.M Billets Reports'!D2162,SEARCH("-",'R.M Billets Reports'!D2162)+1,200)),""))&lt;&gt;"",IF(ISNUMBER(SEARCH("Party Name:-",'R.M Billets Reports'!D2162)),TRIM('R.M Billets Reports'!F2162),IF(ISNUMBER(SEARCH("Party Name-",'R.M Billets Reports'!D2162)),TRIM(MID('R.M Billets Reports'!D2162,SEARCH("-",'R.M Billets Reports'!D2162)+1,200)),"")),IF(ISNUMBER(SEARCH("Party Name:-",'R.M Billets Reports'!D2163)),TRIM('R.M Billets Reports'!F2163),IF(ISNUMBER(SEARCH("Party Name-",'R.M Billets Reports'!D2163)),TRIM(MID('R.M Billets Reports'!D2163,SEARCH("-",'R.M Billets Reports'!D2163)+1,200)),"")))="VRKP ISPAT PVT LTD","VRKP",IF(IF(IF(ISNUMBER(SEARCH("Party Name:-",'R.M Billets Reports'!D2162)),TRIM('R.M Billets Reports'!F2162),IF(ISNUMBER(SEARCH("Party Name-",'R.M Billets Reports'!D2162)),TRIM(MID('R.M Billets Reports'!D2162,SEARCH("-",'R.M Billets Reports'!D2162)+1,200)),""))&lt;&gt;"",IF(ISNUMBER(SEARCH("Party Name:-",'R.M Billets Reports'!D2162)),TRIM('R.M Billets Reports'!F2162),IF(ISNUMBER(SEARCH("Party Name-",'R.M Billets Reports'!D2162)),TRIM(MID('R.M Billets Reports'!D2162,SEARCH("-",'R.M Billets Reports'!D2162)+1,200)),"")),IF(ISNUMBER(SEARCH("Party Name:-",'R.M Billets Reports'!D2163)),TRIM('R.M Billets Reports'!F2163),IF(ISNUMBER(SEARCH("Party Name-",'R.M Billets Reports'!D2163)),TRIM(MID('R.M Billets Reports'!D2163,SEARCH("-",'R.M Billets Reports'!D2163)+1,200)),"")))="SHRI RADHE","SHREE RADHE",IF(IF(IF(ISNUMBER(SEARCH("Party Name:-",'R.M Billets Reports'!D2162)),TRIM('R.M Billets Reports'!F2162),IF(ISNUMBER(SEARCH("Party Name-",'R.M Billets Reports'!D2162)),TRIM(MID('R.M Billets Reports'!D2162,SEARCH("-",'R.M Billets Reports'!D2162)+1,200)),""))&lt;&gt;"",IF(ISNUMBER(SEARCH("Party Name:-",'R.M Billets Reports'!D2162)),TRIM('R.M Billets Reports'!F2162),IF(ISNUMBER(SEARCH("Party Name-",'R.M Billets Reports'!D2162)),TRIM(MID('R.M Billets Reports'!D2162,SEARCH("-",'R.M Billets Reports'!D2162)+1,200)),"")),IF(ISNUMBER(SEARCH("Party Name:-",'R.M Billets Reports'!D2163)),TRIM('R.M Billets Reports'!F2163),IF(ISNUMBER(SEARCH("Party Name-",'R.M Billets Reports'!D2163)),TRIM(MID('R.M Billets Reports'!D2163,SEARCH("-",'R.M Billets Reports'!D2163)+1,200)),"")))="SHREE RADHE SHAKTI SPONGE AND POWER PVT. LTD.","SHREE RADHE",IF(IF(ISNUMBER(SEARCH("Party Name:-",'R.M Billets Reports'!D2162)),TRIM('R.M Billets Reports'!F2162),IF(ISNUMBER(SEARCH("Party Name-",'R.M Billets Reports'!D2162)),TRIM(MID('R.M Billets Reports'!D2162,SEARCH("-",'R.M Billets Reports'!D2162)+1,200)),""))&lt;&gt;"",IF(ISNUMBER(SEARCH("Party Name:-",'R.M Billets Reports'!D2162)),TRIM('R.M Billets Reports'!F2162),IF(ISNUMBER(SEARCH("Party Name-",'R.M Billets Reports'!D2162)),TRIM(MID('R.M Billets Reports'!D2162,SEARCH("-",'R.M Billets Reports'!D2162)+1,200)),"")),IF(ISNUMBER(SEARCH("Party Name:-",'R.M Billets Reports'!D2163)),TRIM('R.M Billets Reports'!F2163),IF(ISNUMBER(SEARCH("Party Name-",'R.M Billets Reports'!D2163)),TRIM(MID('R.M Billets Reports'!D2163,SEARCH("-",'R.M Billets Reports'!D2163)+1,200)),"")))))),IF(ROW()=2,"",A2162))</f>
      </c>
      <c r="B2163">
        <f>IF(OR('R.M Billets Reports'!A2162="Date-",'R.M Billets Reports'!A2162="Date:-"),'R.M Billets Reports'!B2162,IF(ROW()=2,"",B2162))</f>
      </c>
      <c r="C2163">
        <f>IF('R.M Billets Reports'!A2162="V.No.",'R.M Billets Reports'!B2162,IF(ROW()=2,"",C2162))</f>
      </c>
      <c r="D2163">
        <f>IF('R.M Billets Reports'!A2162&lt;&gt;"",'R.M Billets Reports'!A2162,IF(ROW()=2,"",D2162))</f>
      </c>
      <c r="E2163">
        <f>IF('R.M Billets Reports'!B2162="","",TRIM('R.M Billets Reports'!B2162))</f>
      </c>
      <c r="F2163">
        <f>'R.M Billets Reports'!C2162</f>
      </c>
      <c r="G2163">
        <f>'R.M Billets Reports'!D2162</f>
      </c>
      <c r="H2163">
        <f>'R.M Billets Reports'!E2162</f>
      </c>
      <c r="I2163">
        <f>'R.M Billets Reports'!F2162</f>
      </c>
      <c r="J2163">
        <f>'R.M Billets Reports'!G2162</f>
      </c>
      <c r="K2163">
        <f>'R.M Billets Reports'!H2162</f>
      </c>
      <c r="L2163">
        <f>IF('R.M Billets Reports'!I2162="","",'R.M Billets Reports'!I2162)</f>
      </c>
      <c r="M2163">
        <f t="shared" si="66"/>
      </c>
      <c r="N2163">
        <f>IF('R.M Billets Reports'!J2162="","",'R.M Billets Reports'!J2162)</f>
      </c>
      <c r="O2163">
        <f t="shared" si="67"/>
      </c>
      <c r="P2163">
        <f>IF('R.M Billets Reports'!A2162="SIZE",'R.M Billets Reports'!B2162,P2162)</f>
      </c>
    </row>
    <row r="2164" spans="1:16" x14ac:dyDescent="0.25">
      <c r="A2164">
        <f>IF(OR('R.M Billets Reports'!A2163="Date-",'R.M Billets Reports'!A2163="Date:-"),IF(IF(IF(ISNUMBER(SEARCH("Party Name:-",'R.M Billets Reports'!D2163)),TRIM('R.M Billets Reports'!F2163),IF(ISNUMBER(SEARCH("Party Name-",'R.M Billets Reports'!D2163)),TRIM(MID('R.M Billets Reports'!D2163,SEARCH("-",'R.M Billets Reports'!D2163)+1,200)),""))&lt;&gt;"",IF(ISNUMBER(SEARCH("Party Name:-",'R.M Billets Reports'!D2163)),TRIM('R.M Billets Reports'!F2163),IF(ISNUMBER(SEARCH("Party Name-",'R.M Billets Reports'!D2163)),TRIM(MID('R.M Billets Reports'!D2163,SEARCH("-",'R.M Billets Reports'!D2163)+1,200)),"")),IF(ISNUMBER(SEARCH("Party Name:-",'R.M Billets Reports'!D2164)),TRIM('R.M Billets Reports'!F2164),IF(ISNUMBER(SEARCH("Party Name-",'R.M Billets Reports'!D2164)),TRIM(MID('R.M Billets Reports'!D2164,SEARCH("-",'R.M Billets Reports'!D2164)+1,200)),"")))="VRKP ISPAT PVT LTD","VRKP",IF(IF(IF(ISNUMBER(SEARCH("Party Name:-",'R.M Billets Reports'!D2163)),TRIM('R.M Billets Reports'!F2163),IF(ISNUMBER(SEARCH("Party Name-",'R.M Billets Reports'!D2163)),TRIM(MID('R.M Billets Reports'!D2163,SEARCH("-",'R.M Billets Reports'!D2163)+1,200)),""))&lt;&gt;"",IF(ISNUMBER(SEARCH("Party Name:-",'R.M Billets Reports'!D2163)),TRIM('R.M Billets Reports'!F2163),IF(ISNUMBER(SEARCH("Party Name-",'R.M Billets Reports'!D2163)),TRIM(MID('R.M Billets Reports'!D2163,SEARCH("-",'R.M Billets Reports'!D2163)+1,200)),"")),IF(ISNUMBER(SEARCH("Party Name:-",'R.M Billets Reports'!D2164)),TRIM('R.M Billets Reports'!F2164),IF(ISNUMBER(SEARCH("Party Name-",'R.M Billets Reports'!D2164)),TRIM(MID('R.M Billets Reports'!D2164,SEARCH("-",'R.M Billets Reports'!D2164)+1,200)),"")))="SHRI RADHE","SHREE RADHE",IF(IF(IF(ISNUMBER(SEARCH("Party Name:-",'R.M Billets Reports'!D2163)),TRIM('R.M Billets Reports'!F2163),IF(ISNUMBER(SEARCH("Party Name-",'R.M Billets Reports'!D2163)),TRIM(MID('R.M Billets Reports'!D2163,SEARCH("-",'R.M Billets Reports'!D2163)+1,200)),""))&lt;&gt;"",IF(ISNUMBER(SEARCH("Party Name:-",'R.M Billets Reports'!D2163)),TRIM('R.M Billets Reports'!F2163),IF(ISNUMBER(SEARCH("Party Name-",'R.M Billets Reports'!D2163)),TRIM(MID('R.M Billets Reports'!D2163,SEARCH("-",'R.M Billets Reports'!D2163)+1,200)),"")),IF(ISNUMBER(SEARCH("Party Name:-",'R.M Billets Reports'!D2164)),TRIM('R.M Billets Reports'!F2164),IF(ISNUMBER(SEARCH("Party Name-",'R.M Billets Reports'!D2164)),TRIM(MID('R.M Billets Reports'!D2164,SEARCH("-",'R.M Billets Reports'!D2164)+1,200)),"")))="SHREE RADHE SHAKTI SPONGE AND POWER PVT. LTD.","SHREE RADHE",IF(IF(ISNUMBER(SEARCH("Party Name:-",'R.M Billets Reports'!D2163)),TRIM('R.M Billets Reports'!F2163),IF(ISNUMBER(SEARCH("Party Name-",'R.M Billets Reports'!D2163)),TRIM(MID('R.M Billets Reports'!D2163,SEARCH("-",'R.M Billets Reports'!D2163)+1,200)),""))&lt;&gt;"",IF(ISNUMBER(SEARCH("Party Name:-",'R.M Billets Reports'!D2163)),TRIM('R.M Billets Reports'!F2163),IF(ISNUMBER(SEARCH("Party Name-",'R.M Billets Reports'!D2163)),TRIM(MID('R.M Billets Reports'!D2163,SEARCH("-",'R.M Billets Reports'!D2163)+1,200)),"")),IF(ISNUMBER(SEARCH("Party Name:-",'R.M Billets Reports'!D2164)),TRIM('R.M Billets Reports'!F2164),IF(ISNUMBER(SEARCH("Party Name-",'R.M Billets Reports'!D2164)),TRIM(MID('R.M Billets Reports'!D2164,SEARCH("-",'R.M Billets Reports'!D2164)+1,200)),"")))))),IF(ROW()=2,"",A2163))</f>
      </c>
      <c r="B2164">
        <f>IF(OR('R.M Billets Reports'!A2163="Date-",'R.M Billets Reports'!A2163="Date:-"),'R.M Billets Reports'!B2163,IF(ROW()=2,"",B2163))</f>
      </c>
      <c r="C2164">
        <f>IF('R.M Billets Reports'!A2163="V.No.",'R.M Billets Reports'!B2163,IF(ROW()=2,"",C2163))</f>
      </c>
      <c r="D2164">
        <f>IF('R.M Billets Reports'!A2163&lt;&gt;"",'R.M Billets Reports'!A2163,IF(ROW()=2,"",D2163))</f>
      </c>
      <c r="E2164">
        <f>IF('R.M Billets Reports'!B2163="","",TRIM('R.M Billets Reports'!B2163))</f>
      </c>
      <c r="F2164">
        <f>'R.M Billets Reports'!C2163</f>
      </c>
      <c r="G2164">
        <f>'R.M Billets Reports'!D2163</f>
      </c>
      <c r="H2164">
        <f>'R.M Billets Reports'!E2163</f>
      </c>
      <c r="I2164">
        <f>'R.M Billets Reports'!F2163</f>
      </c>
      <c r="J2164">
        <f>'R.M Billets Reports'!G2163</f>
      </c>
      <c r="K2164">
        <f>'R.M Billets Reports'!H2163</f>
      </c>
      <c r="L2164">
        <f>IF('R.M Billets Reports'!I2163="","",'R.M Billets Reports'!I2163)</f>
      </c>
      <c r="M2164">
        <f t="shared" si="66"/>
      </c>
      <c r="N2164">
        <f>IF('R.M Billets Reports'!J2163="","",'R.M Billets Reports'!J2163)</f>
      </c>
      <c r="O2164">
        <f t="shared" si="67"/>
      </c>
      <c r="P2164">
        <f>IF('R.M Billets Reports'!A2163="SIZE",'R.M Billets Reports'!B2163,P2163)</f>
      </c>
    </row>
    <row r="2165" spans="1:16" x14ac:dyDescent="0.25">
      <c r="A2165">
        <f>IF(OR('R.M Billets Reports'!A2164="Date-",'R.M Billets Reports'!A2164="Date:-"),IF(IF(IF(ISNUMBER(SEARCH("Party Name:-",'R.M Billets Reports'!D2164)),TRIM('R.M Billets Reports'!F2164),IF(ISNUMBER(SEARCH("Party Name-",'R.M Billets Reports'!D2164)),TRIM(MID('R.M Billets Reports'!D2164,SEARCH("-",'R.M Billets Reports'!D2164)+1,200)),""))&lt;&gt;"",IF(ISNUMBER(SEARCH("Party Name:-",'R.M Billets Reports'!D2164)),TRIM('R.M Billets Reports'!F2164),IF(ISNUMBER(SEARCH("Party Name-",'R.M Billets Reports'!D2164)),TRIM(MID('R.M Billets Reports'!D2164,SEARCH("-",'R.M Billets Reports'!D2164)+1,200)),"")),IF(ISNUMBER(SEARCH("Party Name:-",'R.M Billets Reports'!D2165)),TRIM('R.M Billets Reports'!F2165),IF(ISNUMBER(SEARCH("Party Name-",'R.M Billets Reports'!D2165)),TRIM(MID('R.M Billets Reports'!D2165,SEARCH("-",'R.M Billets Reports'!D2165)+1,200)),"")))="VRKP ISPAT PVT LTD","VRKP",IF(IF(IF(ISNUMBER(SEARCH("Party Name:-",'R.M Billets Reports'!D2164)),TRIM('R.M Billets Reports'!F2164),IF(ISNUMBER(SEARCH("Party Name-",'R.M Billets Reports'!D2164)),TRIM(MID('R.M Billets Reports'!D2164,SEARCH("-",'R.M Billets Reports'!D2164)+1,200)),""))&lt;&gt;"",IF(ISNUMBER(SEARCH("Party Name:-",'R.M Billets Reports'!D2164)),TRIM('R.M Billets Reports'!F2164),IF(ISNUMBER(SEARCH("Party Name-",'R.M Billets Reports'!D2164)),TRIM(MID('R.M Billets Reports'!D2164,SEARCH("-",'R.M Billets Reports'!D2164)+1,200)),"")),IF(ISNUMBER(SEARCH("Party Name:-",'R.M Billets Reports'!D2165)),TRIM('R.M Billets Reports'!F2165),IF(ISNUMBER(SEARCH("Party Name-",'R.M Billets Reports'!D2165)),TRIM(MID('R.M Billets Reports'!D2165,SEARCH("-",'R.M Billets Reports'!D2165)+1,200)),"")))="SHRI RADHE","SHREE RADHE",IF(IF(IF(ISNUMBER(SEARCH("Party Name:-",'R.M Billets Reports'!D2164)),TRIM('R.M Billets Reports'!F2164),IF(ISNUMBER(SEARCH("Party Name-",'R.M Billets Reports'!D2164)),TRIM(MID('R.M Billets Reports'!D2164,SEARCH("-",'R.M Billets Reports'!D2164)+1,200)),""))&lt;&gt;"",IF(ISNUMBER(SEARCH("Party Name:-",'R.M Billets Reports'!D2164)),TRIM('R.M Billets Reports'!F2164),IF(ISNUMBER(SEARCH("Party Name-",'R.M Billets Reports'!D2164)),TRIM(MID('R.M Billets Reports'!D2164,SEARCH("-",'R.M Billets Reports'!D2164)+1,200)),"")),IF(ISNUMBER(SEARCH("Party Name:-",'R.M Billets Reports'!D2165)),TRIM('R.M Billets Reports'!F2165),IF(ISNUMBER(SEARCH("Party Name-",'R.M Billets Reports'!D2165)),TRIM(MID('R.M Billets Reports'!D2165,SEARCH("-",'R.M Billets Reports'!D2165)+1,200)),"")))="SHREE RADHE SHAKTI SPONGE AND POWER PVT. LTD.","SHREE RADHE",IF(IF(ISNUMBER(SEARCH("Party Name:-",'R.M Billets Reports'!D2164)),TRIM('R.M Billets Reports'!F2164),IF(ISNUMBER(SEARCH("Party Name-",'R.M Billets Reports'!D2164)),TRIM(MID('R.M Billets Reports'!D2164,SEARCH("-",'R.M Billets Reports'!D2164)+1,200)),""))&lt;&gt;"",IF(ISNUMBER(SEARCH("Party Name:-",'R.M Billets Reports'!D2164)),TRIM('R.M Billets Reports'!F2164),IF(ISNUMBER(SEARCH("Party Name-",'R.M Billets Reports'!D2164)),TRIM(MID('R.M Billets Reports'!D2164,SEARCH("-",'R.M Billets Reports'!D2164)+1,200)),"")),IF(ISNUMBER(SEARCH("Party Name:-",'R.M Billets Reports'!D2165)),TRIM('R.M Billets Reports'!F2165),IF(ISNUMBER(SEARCH("Party Name-",'R.M Billets Reports'!D2165)),TRIM(MID('R.M Billets Reports'!D2165,SEARCH("-",'R.M Billets Reports'!D2165)+1,200)),"")))))),IF(ROW()=2,"",A2164))</f>
      </c>
      <c r="B2165">
        <f>IF(OR('R.M Billets Reports'!A2164="Date-",'R.M Billets Reports'!A2164="Date:-"),'R.M Billets Reports'!B2164,IF(ROW()=2,"",B2164))</f>
      </c>
      <c r="C2165">
        <f>IF('R.M Billets Reports'!A2164="V.No.",'R.M Billets Reports'!B2164,IF(ROW()=2,"",C2164))</f>
      </c>
      <c r="D2165">
        <f>IF('R.M Billets Reports'!A2164&lt;&gt;"",'R.M Billets Reports'!A2164,IF(ROW()=2,"",D2164))</f>
      </c>
      <c r="E2165">
        <f>IF('R.M Billets Reports'!B2164="","",TRIM('R.M Billets Reports'!B2164))</f>
      </c>
      <c r="F2165">
        <f>'R.M Billets Reports'!C2164</f>
      </c>
      <c r="G2165">
        <f>'R.M Billets Reports'!D2164</f>
      </c>
      <c r="H2165">
        <f>'R.M Billets Reports'!E2164</f>
      </c>
      <c r="I2165">
        <f>'R.M Billets Reports'!F2164</f>
      </c>
      <c r="J2165">
        <f>'R.M Billets Reports'!G2164</f>
      </c>
      <c r="K2165">
        <f>'R.M Billets Reports'!H2164</f>
      </c>
      <c r="L2165">
        <f>IF('R.M Billets Reports'!I2164="","",'R.M Billets Reports'!I2164)</f>
      </c>
      <c r="M2165">
        <f t="shared" si="66"/>
      </c>
      <c r="N2165">
        <f>IF('R.M Billets Reports'!J2164="","",'R.M Billets Reports'!J2164)</f>
      </c>
      <c r="O2165">
        <f t="shared" si="67"/>
      </c>
      <c r="P2165">
        <f>IF('R.M Billets Reports'!A2164="SIZE",'R.M Billets Reports'!B2164,P2164)</f>
      </c>
    </row>
    <row r="2166" spans="1:16" x14ac:dyDescent="0.25">
      <c r="A2166">
        <f>IF(OR('R.M Billets Reports'!A2165="Date-",'R.M Billets Reports'!A2165="Date:-"),IF(IF(IF(ISNUMBER(SEARCH("Party Name:-",'R.M Billets Reports'!D2165)),TRIM('R.M Billets Reports'!F2165),IF(ISNUMBER(SEARCH("Party Name-",'R.M Billets Reports'!D2165)),TRIM(MID('R.M Billets Reports'!D2165,SEARCH("-",'R.M Billets Reports'!D2165)+1,200)),""))&lt;&gt;"",IF(ISNUMBER(SEARCH("Party Name:-",'R.M Billets Reports'!D2165)),TRIM('R.M Billets Reports'!F2165),IF(ISNUMBER(SEARCH("Party Name-",'R.M Billets Reports'!D2165)),TRIM(MID('R.M Billets Reports'!D2165,SEARCH("-",'R.M Billets Reports'!D2165)+1,200)),"")),IF(ISNUMBER(SEARCH("Party Name:-",'R.M Billets Reports'!D2166)),TRIM('R.M Billets Reports'!F2166),IF(ISNUMBER(SEARCH("Party Name-",'R.M Billets Reports'!D2166)),TRIM(MID('R.M Billets Reports'!D2166,SEARCH("-",'R.M Billets Reports'!D2166)+1,200)),"")))="VRKP ISPAT PVT LTD","VRKP",IF(IF(IF(ISNUMBER(SEARCH("Party Name:-",'R.M Billets Reports'!D2165)),TRIM('R.M Billets Reports'!F2165),IF(ISNUMBER(SEARCH("Party Name-",'R.M Billets Reports'!D2165)),TRIM(MID('R.M Billets Reports'!D2165,SEARCH("-",'R.M Billets Reports'!D2165)+1,200)),""))&lt;&gt;"",IF(ISNUMBER(SEARCH("Party Name:-",'R.M Billets Reports'!D2165)),TRIM('R.M Billets Reports'!F2165),IF(ISNUMBER(SEARCH("Party Name-",'R.M Billets Reports'!D2165)),TRIM(MID('R.M Billets Reports'!D2165,SEARCH("-",'R.M Billets Reports'!D2165)+1,200)),"")),IF(ISNUMBER(SEARCH("Party Name:-",'R.M Billets Reports'!D2166)),TRIM('R.M Billets Reports'!F2166),IF(ISNUMBER(SEARCH("Party Name-",'R.M Billets Reports'!D2166)),TRIM(MID('R.M Billets Reports'!D2166,SEARCH("-",'R.M Billets Reports'!D2166)+1,200)),"")))="SHRI RADHE","SHREE RADHE",IF(IF(IF(ISNUMBER(SEARCH("Party Name:-",'R.M Billets Reports'!D2165)),TRIM('R.M Billets Reports'!F2165),IF(ISNUMBER(SEARCH("Party Name-",'R.M Billets Reports'!D2165)),TRIM(MID('R.M Billets Reports'!D2165,SEARCH("-",'R.M Billets Reports'!D2165)+1,200)),""))&lt;&gt;"",IF(ISNUMBER(SEARCH("Party Name:-",'R.M Billets Reports'!D2165)),TRIM('R.M Billets Reports'!F2165),IF(ISNUMBER(SEARCH("Party Name-",'R.M Billets Reports'!D2165)),TRIM(MID('R.M Billets Reports'!D2165,SEARCH("-",'R.M Billets Reports'!D2165)+1,200)),"")),IF(ISNUMBER(SEARCH("Party Name:-",'R.M Billets Reports'!D2166)),TRIM('R.M Billets Reports'!F2166),IF(ISNUMBER(SEARCH("Party Name-",'R.M Billets Reports'!D2166)),TRIM(MID('R.M Billets Reports'!D2166,SEARCH("-",'R.M Billets Reports'!D2166)+1,200)),"")))="SHREE RADHE SHAKTI SPONGE AND POWER PVT. LTD.","SHREE RADHE",IF(IF(ISNUMBER(SEARCH("Party Name:-",'R.M Billets Reports'!D2165)),TRIM('R.M Billets Reports'!F2165),IF(ISNUMBER(SEARCH("Party Name-",'R.M Billets Reports'!D2165)),TRIM(MID('R.M Billets Reports'!D2165,SEARCH("-",'R.M Billets Reports'!D2165)+1,200)),""))&lt;&gt;"",IF(ISNUMBER(SEARCH("Party Name:-",'R.M Billets Reports'!D2165)),TRIM('R.M Billets Reports'!F2165),IF(ISNUMBER(SEARCH("Party Name-",'R.M Billets Reports'!D2165)),TRIM(MID('R.M Billets Reports'!D2165,SEARCH("-",'R.M Billets Reports'!D2165)+1,200)),"")),IF(ISNUMBER(SEARCH("Party Name:-",'R.M Billets Reports'!D2166)),TRIM('R.M Billets Reports'!F2166),IF(ISNUMBER(SEARCH("Party Name-",'R.M Billets Reports'!D2166)),TRIM(MID('R.M Billets Reports'!D2166,SEARCH("-",'R.M Billets Reports'!D2166)+1,200)),"")))))),IF(ROW()=2,"",A2165))</f>
      </c>
      <c r="B2166">
        <f>IF(OR('R.M Billets Reports'!A2165="Date-",'R.M Billets Reports'!A2165="Date:-"),'R.M Billets Reports'!B2165,IF(ROW()=2,"",B2165))</f>
      </c>
      <c r="C2166">
        <f>IF('R.M Billets Reports'!A2165="V.No.",'R.M Billets Reports'!B2165,IF(ROW()=2,"",C2165))</f>
      </c>
      <c r="D2166">
        <f>IF('R.M Billets Reports'!A2165&lt;&gt;"",'R.M Billets Reports'!A2165,IF(ROW()=2,"",D2165))</f>
      </c>
      <c r="E2166">
        <f>IF('R.M Billets Reports'!B2165="","",TRIM('R.M Billets Reports'!B2165))</f>
      </c>
      <c r="F2166">
        <f>'R.M Billets Reports'!C2165</f>
      </c>
      <c r="G2166">
        <f>'R.M Billets Reports'!D2165</f>
      </c>
      <c r="H2166">
        <f>'R.M Billets Reports'!E2165</f>
      </c>
      <c r="I2166">
        <f>'R.M Billets Reports'!F2165</f>
      </c>
      <c r="J2166">
        <f>'R.M Billets Reports'!G2165</f>
      </c>
      <c r="K2166">
        <f>'R.M Billets Reports'!H2165</f>
      </c>
      <c r="L2166">
        <f>IF('R.M Billets Reports'!I2165="","",'R.M Billets Reports'!I2165)</f>
      </c>
      <c r="M2166">
        <f t="shared" si="66"/>
      </c>
      <c r="N2166">
        <f>IF('R.M Billets Reports'!J2165="","",'R.M Billets Reports'!J2165)</f>
      </c>
      <c r="O2166">
        <f t="shared" si="67"/>
      </c>
      <c r="P2166">
        <f>IF('R.M Billets Reports'!A2165="SIZE",'R.M Billets Reports'!B2165,P2165)</f>
      </c>
    </row>
    <row r="2167" spans="1:16" x14ac:dyDescent="0.25">
      <c r="A2167">
        <f>IF(OR('R.M Billets Reports'!A2166="Date-",'R.M Billets Reports'!A2166="Date:-"),IF(IF(IF(ISNUMBER(SEARCH("Party Name:-",'R.M Billets Reports'!D2166)),TRIM('R.M Billets Reports'!F2166),IF(ISNUMBER(SEARCH("Party Name-",'R.M Billets Reports'!D2166)),TRIM(MID('R.M Billets Reports'!D2166,SEARCH("-",'R.M Billets Reports'!D2166)+1,200)),""))&lt;&gt;"",IF(ISNUMBER(SEARCH("Party Name:-",'R.M Billets Reports'!D2166)),TRIM('R.M Billets Reports'!F2166),IF(ISNUMBER(SEARCH("Party Name-",'R.M Billets Reports'!D2166)),TRIM(MID('R.M Billets Reports'!D2166,SEARCH("-",'R.M Billets Reports'!D2166)+1,200)),"")),IF(ISNUMBER(SEARCH("Party Name:-",'R.M Billets Reports'!D2167)),TRIM('R.M Billets Reports'!F2167),IF(ISNUMBER(SEARCH("Party Name-",'R.M Billets Reports'!D2167)),TRIM(MID('R.M Billets Reports'!D2167,SEARCH("-",'R.M Billets Reports'!D2167)+1,200)),"")))="VRKP ISPAT PVT LTD","VRKP",IF(IF(IF(ISNUMBER(SEARCH("Party Name:-",'R.M Billets Reports'!D2166)),TRIM('R.M Billets Reports'!F2166),IF(ISNUMBER(SEARCH("Party Name-",'R.M Billets Reports'!D2166)),TRIM(MID('R.M Billets Reports'!D2166,SEARCH("-",'R.M Billets Reports'!D2166)+1,200)),""))&lt;&gt;"",IF(ISNUMBER(SEARCH("Party Name:-",'R.M Billets Reports'!D2166)),TRIM('R.M Billets Reports'!F2166),IF(ISNUMBER(SEARCH("Party Name-",'R.M Billets Reports'!D2166)),TRIM(MID('R.M Billets Reports'!D2166,SEARCH("-",'R.M Billets Reports'!D2166)+1,200)),"")),IF(ISNUMBER(SEARCH("Party Name:-",'R.M Billets Reports'!D2167)),TRIM('R.M Billets Reports'!F2167),IF(ISNUMBER(SEARCH("Party Name-",'R.M Billets Reports'!D2167)),TRIM(MID('R.M Billets Reports'!D2167,SEARCH("-",'R.M Billets Reports'!D2167)+1,200)),"")))="SHRI RADHE","SHREE RADHE",IF(IF(IF(ISNUMBER(SEARCH("Party Name:-",'R.M Billets Reports'!D2166)),TRIM('R.M Billets Reports'!F2166),IF(ISNUMBER(SEARCH("Party Name-",'R.M Billets Reports'!D2166)),TRIM(MID('R.M Billets Reports'!D2166,SEARCH("-",'R.M Billets Reports'!D2166)+1,200)),""))&lt;&gt;"",IF(ISNUMBER(SEARCH("Party Name:-",'R.M Billets Reports'!D2166)),TRIM('R.M Billets Reports'!F2166),IF(ISNUMBER(SEARCH("Party Name-",'R.M Billets Reports'!D2166)),TRIM(MID('R.M Billets Reports'!D2166,SEARCH("-",'R.M Billets Reports'!D2166)+1,200)),"")),IF(ISNUMBER(SEARCH("Party Name:-",'R.M Billets Reports'!D2167)),TRIM('R.M Billets Reports'!F2167),IF(ISNUMBER(SEARCH("Party Name-",'R.M Billets Reports'!D2167)),TRIM(MID('R.M Billets Reports'!D2167,SEARCH("-",'R.M Billets Reports'!D2167)+1,200)),"")))="SHREE RADHE SHAKTI SPONGE AND POWER PVT. LTD.","SHREE RADHE",IF(IF(ISNUMBER(SEARCH("Party Name:-",'R.M Billets Reports'!D2166)),TRIM('R.M Billets Reports'!F2166),IF(ISNUMBER(SEARCH("Party Name-",'R.M Billets Reports'!D2166)),TRIM(MID('R.M Billets Reports'!D2166,SEARCH("-",'R.M Billets Reports'!D2166)+1,200)),""))&lt;&gt;"",IF(ISNUMBER(SEARCH("Party Name:-",'R.M Billets Reports'!D2166)),TRIM('R.M Billets Reports'!F2166),IF(ISNUMBER(SEARCH("Party Name-",'R.M Billets Reports'!D2166)),TRIM(MID('R.M Billets Reports'!D2166,SEARCH("-",'R.M Billets Reports'!D2166)+1,200)),"")),IF(ISNUMBER(SEARCH("Party Name:-",'R.M Billets Reports'!D2167)),TRIM('R.M Billets Reports'!F2167),IF(ISNUMBER(SEARCH("Party Name-",'R.M Billets Reports'!D2167)),TRIM(MID('R.M Billets Reports'!D2167,SEARCH("-",'R.M Billets Reports'!D2167)+1,200)),"")))))),IF(ROW()=2,"",A2166))</f>
      </c>
      <c r="B2167">
        <f>IF(OR('R.M Billets Reports'!A2166="Date-",'R.M Billets Reports'!A2166="Date:-"),'R.M Billets Reports'!B2166,IF(ROW()=2,"",B2166))</f>
      </c>
      <c r="C2167">
        <f>IF('R.M Billets Reports'!A2166="V.No.",'R.M Billets Reports'!B2166,IF(ROW()=2,"",C2166))</f>
      </c>
      <c r="D2167">
        <f>IF('R.M Billets Reports'!A2166&lt;&gt;"",'R.M Billets Reports'!A2166,IF(ROW()=2,"",D2166))</f>
      </c>
      <c r="E2167">
        <f>IF('R.M Billets Reports'!B2166="","",TRIM('R.M Billets Reports'!B2166))</f>
      </c>
      <c r="F2167">
        <f>'R.M Billets Reports'!C2166</f>
      </c>
      <c r="G2167">
        <f>'R.M Billets Reports'!D2166</f>
      </c>
      <c r="H2167">
        <f>'R.M Billets Reports'!E2166</f>
      </c>
      <c r="I2167">
        <f>'R.M Billets Reports'!F2166</f>
      </c>
      <c r="J2167">
        <f>'R.M Billets Reports'!G2166</f>
      </c>
      <c r="K2167">
        <f>'R.M Billets Reports'!H2166</f>
      </c>
      <c r="L2167">
        <f>IF('R.M Billets Reports'!I2166="","",'R.M Billets Reports'!I2166)</f>
      </c>
      <c r="M2167">
        <f t="shared" si="66"/>
      </c>
      <c r="N2167">
        <f>IF('R.M Billets Reports'!J2166="","",'R.M Billets Reports'!J2166)</f>
      </c>
      <c r="O2167">
        <f t="shared" si="67"/>
      </c>
      <c r="P2167">
        <f>IF('R.M Billets Reports'!A2166="SIZE",'R.M Billets Reports'!B2166,P2166)</f>
      </c>
    </row>
    <row r="2168" spans="1:16" x14ac:dyDescent="0.25">
      <c r="A2168">
        <f>IF(OR('R.M Billets Reports'!A2167="Date-",'R.M Billets Reports'!A2167="Date:-"),IF(IF(IF(ISNUMBER(SEARCH("Party Name:-",'R.M Billets Reports'!D2167)),TRIM('R.M Billets Reports'!F2167),IF(ISNUMBER(SEARCH("Party Name-",'R.M Billets Reports'!D2167)),TRIM(MID('R.M Billets Reports'!D2167,SEARCH("-",'R.M Billets Reports'!D2167)+1,200)),""))&lt;&gt;"",IF(ISNUMBER(SEARCH("Party Name:-",'R.M Billets Reports'!D2167)),TRIM('R.M Billets Reports'!F2167),IF(ISNUMBER(SEARCH("Party Name-",'R.M Billets Reports'!D2167)),TRIM(MID('R.M Billets Reports'!D2167,SEARCH("-",'R.M Billets Reports'!D2167)+1,200)),"")),IF(ISNUMBER(SEARCH("Party Name:-",'R.M Billets Reports'!D2168)),TRIM('R.M Billets Reports'!F2168),IF(ISNUMBER(SEARCH("Party Name-",'R.M Billets Reports'!D2168)),TRIM(MID('R.M Billets Reports'!D2168,SEARCH("-",'R.M Billets Reports'!D2168)+1,200)),"")))="VRKP ISPAT PVT LTD","VRKP",IF(IF(IF(ISNUMBER(SEARCH("Party Name:-",'R.M Billets Reports'!D2167)),TRIM('R.M Billets Reports'!F2167),IF(ISNUMBER(SEARCH("Party Name-",'R.M Billets Reports'!D2167)),TRIM(MID('R.M Billets Reports'!D2167,SEARCH("-",'R.M Billets Reports'!D2167)+1,200)),""))&lt;&gt;"",IF(ISNUMBER(SEARCH("Party Name:-",'R.M Billets Reports'!D2167)),TRIM('R.M Billets Reports'!F2167),IF(ISNUMBER(SEARCH("Party Name-",'R.M Billets Reports'!D2167)),TRIM(MID('R.M Billets Reports'!D2167,SEARCH("-",'R.M Billets Reports'!D2167)+1,200)),"")),IF(ISNUMBER(SEARCH("Party Name:-",'R.M Billets Reports'!D2168)),TRIM('R.M Billets Reports'!F2168),IF(ISNUMBER(SEARCH("Party Name-",'R.M Billets Reports'!D2168)),TRIM(MID('R.M Billets Reports'!D2168,SEARCH("-",'R.M Billets Reports'!D2168)+1,200)),"")))="SHRI RADHE","SHREE RADHE",IF(IF(IF(ISNUMBER(SEARCH("Party Name:-",'R.M Billets Reports'!D2167)),TRIM('R.M Billets Reports'!F2167),IF(ISNUMBER(SEARCH("Party Name-",'R.M Billets Reports'!D2167)),TRIM(MID('R.M Billets Reports'!D2167,SEARCH("-",'R.M Billets Reports'!D2167)+1,200)),""))&lt;&gt;"",IF(ISNUMBER(SEARCH("Party Name:-",'R.M Billets Reports'!D2167)),TRIM('R.M Billets Reports'!F2167),IF(ISNUMBER(SEARCH("Party Name-",'R.M Billets Reports'!D2167)),TRIM(MID('R.M Billets Reports'!D2167,SEARCH("-",'R.M Billets Reports'!D2167)+1,200)),"")),IF(ISNUMBER(SEARCH("Party Name:-",'R.M Billets Reports'!D2168)),TRIM('R.M Billets Reports'!F2168),IF(ISNUMBER(SEARCH("Party Name-",'R.M Billets Reports'!D2168)),TRIM(MID('R.M Billets Reports'!D2168,SEARCH("-",'R.M Billets Reports'!D2168)+1,200)),"")))="SHREE RADHE SHAKTI SPONGE AND POWER PVT. LTD.","SHREE RADHE",IF(IF(ISNUMBER(SEARCH("Party Name:-",'R.M Billets Reports'!D2167)),TRIM('R.M Billets Reports'!F2167),IF(ISNUMBER(SEARCH("Party Name-",'R.M Billets Reports'!D2167)),TRIM(MID('R.M Billets Reports'!D2167,SEARCH("-",'R.M Billets Reports'!D2167)+1,200)),""))&lt;&gt;"",IF(ISNUMBER(SEARCH("Party Name:-",'R.M Billets Reports'!D2167)),TRIM('R.M Billets Reports'!F2167),IF(ISNUMBER(SEARCH("Party Name-",'R.M Billets Reports'!D2167)),TRIM(MID('R.M Billets Reports'!D2167,SEARCH("-",'R.M Billets Reports'!D2167)+1,200)),"")),IF(ISNUMBER(SEARCH("Party Name:-",'R.M Billets Reports'!D2168)),TRIM('R.M Billets Reports'!F2168),IF(ISNUMBER(SEARCH("Party Name-",'R.M Billets Reports'!D2168)),TRIM(MID('R.M Billets Reports'!D2168,SEARCH("-",'R.M Billets Reports'!D2168)+1,200)),"")))))),IF(ROW()=2,"",A2167))</f>
      </c>
      <c r="B2168">
        <f>IF(OR('R.M Billets Reports'!A2167="Date-",'R.M Billets Reports'!A2167="Date:-"),'R.M Billets Reports'!B2167,IF(ROW()=2,"",B2167))</f>
      </c>
      <c r="C2168">
        <f>IF('R.M Billets Reports'!A2167="V.No.",'R.M Billets Reports'!B2167,IF(ROW()=2,"",C2167))</f>
      </c>
      <c r="D2168">
        <f>IF('R.M Billets Reports'!A2167&lt;&gt;"",'R.M Billets Reports'!A2167,IF(ROW()=2,"",D2167))</f>
      </c>
      <c r="E2168">
        <f>IF('R.M Billets Reports'!B2167="","",TRIM('R.M Billets Reports'!B2167))</f>
      </c>
      <c r="F2168">
        <f>'R.M Billets Reports'!C2167</f>
      </c>
      <c r="G2168">
        <f>'R.M Billets Reports'!D2167</f>
      </c>
      <c r="H2168">
        <f>'R.M Billets Reports'!E2167</f>
      </c>
      <c r="I2168">
        <f>'R.M Billets Reports'!F2167</f>
      </c>
      <c r="J2168">
        <f>'R.M Billets Reports'!G2167</f>
      </c>
      <c r="K2168">
        <f>'R.M Billets Reports'!H2167</f>
      </c>
      <c r="L2168">
        <f>IF('R.M Billets Reports'!I2167="","",'R.M Billets Reports'!I2167)</f>
      </c>
      <c r="M2168">
        <f t="shared" si="66"/>
      </c>
      <c r="N2168">
        <f>IF('R.M Billets Reports'!J2167="","",'R.M Billets Reports'!J2167)</f>
      </c>
      <c r="O2168">
        <f t="shared" si="67"/>
      </c>
      <c r="P2168">
        <f>IF('R.M Billets Reports'!A2167="SIZE",'R.M Billets Reports'!B2167,P2167)</f>
      </c>
    </row>
    <row r="2169" spans="1:16" x14ac:dyDescent="0.25">
      <c r="A2169">
        <f>IF(OR('R.M Billets Reports'!A2168="Date-",'R.M Billets Reports'!A2168="Date:-"),IF(IF(IF(ISNUMBER(SEARCH("Party Name:-",'R.M Billets Reports'!D2168)),TRIM('R.M Billets Reports'!F2168),IF(ISNUMBER(SEARCH("Party Name-",'R.M Billets Reports'!D2168)),TRIM(MID('R.M Billets Reports'!D2168,SEARCH("-",'R.M Billets Reports'!D2168)+1,200)),""))&lt;&gt;"",IF(ISNUMBER(SEARCH("Party Name:-",'R.M Billets Reports'!D2168)),TRIM('R.M Billets Reports'!F2168),IF(ISNUMBER(SEARCH("Party Name-",'R.M Billets Reports'!D2168)),TRIM(MID('R.M Billets Reports'!D2168,SEARCH("-",'R.M Billets Reports'!D2168)+1,200)),"")),IF(ISNUMBER(SEARCH("Party Name:-",'R.M Billets Reports'!D2169)),TRIM('R.M Billets Reports'!F2169),IF(ISNUMBER(SEARCH("Party Name-",'R.M Billets Reports'!D2169)),TRIM(MID('R.M Billets Reports'!D2169,SEARCH("-",'R.M Billets Reports'!D2169)+1,200)),"")))="VRKP ISPAT PVT LTD","VRKP",IF(IF(IF(ISNUMBER(SEARCH("Party Name:-",'R.M Billets Reports'!D2168)),TRIM('R.M Billets Reports'!F2168),IF(ISNUMBER(SEARCH("Party Name-",'R.M Billets Reports'!D2168)),TRIM(MID('R.M Billets Reports'!D2168,SEARCH("-",'R.M Billets Reports'!D2168)+1,200)),""))&lt;&gt;"",IF(ISNUMBER(SEARCH("Party Name:-",'R.M Billets Reports'!D2168)),TRIM('R.M Billets Reports'!F2168),IF(ISNUMBER(SEARCH("Party Name-",'R.M Billets Reports'!D2168)),TRIM(MID('R.M Billets Reports'!D2168,SEARCH("-",'R.M Billets Reports'!D2168)+1,200)),"")),IF(ISNUMBER(SEARCH("Party Name:-",'R.M Billets Reports'!D2169)),TRIM('R.M Billets Reports'!F2169),IF(ISNUMBER(SEARCH("Party Name-",'R.M Billets Reports'!D2169)),TRIM(MID('R.M Billets Reports'!D2169,SEARCH("-",'R.M Billets Reports'!D2169)+1,200)),"")))="SHRI RADHE","SHREE RADHE",IF(IF(IF(ISNUMBER(SEARCH("Party Name:-",'R.M Billets Reports'!D2168)),TRIM('R.M Billets Reports'!F2168),IF(ISNUMBER(SEARCH("Party Name-",'R.M Billets Reports'!D2168)),TRIM(MID('R.M Billets Reports'!D2168,SEARCH("-",'R.M Billets Reports'!D2168)+1,200)),""))&lt;&gt;"",IF(ISNUMBER(SEARCH("Party Name:-",'R.M Billets Reports'!D2168)),TRIM('R.M Billets Reports'!F2168),IF(ISNUMBER(SEARCH("Party Name-",'R.M Billets Reports'!D2168)),TRIM(MID('R.M Billets Reports'!D2168,SEARCH("-",'R.M Billets Reports'!D2168)+1,200)),"")),IF(ISNUMBER(SEARCH("Party Name:-",'R.M Billets Reports'!D2169)),TRIM('R.M Billets Reports'!F2169),IF(ISNUMBER(SEARCH("Party Name-",'R.M Billets Reports'!D2169)),TRIM(MID('R.M Billets Reports'!D2169,SEARCH("-",'R.M Billets Reports'!D2169)+1,200)),"")))="SHREE RADHE SHAKTI SPONGE AND POWER PVT. LTD.","SHREE RADHE",IF(IF(ISNUMBER(SEARCH("Party Name:-",'R.M Billets Reports'!D2168)),TRIM('R.M Billets Reports'!F2168),IF(ISNUMBER(SEARCH("Party Name-",'R.M Billets Reports'!D2168)),TRIM(MID('R.M Billets Reports'!D2168,SEARCH("-",'R.M Billets Reports'!D2168)+1,200)),""))&lt;&gt;"",IF(ISNUMBER(SEARCH("Party Name:-",'R.M Billets Reports'!D2168)),TRIM('R.M Billets Reports'!F2168),IF(ISNUMBER(SEARCH("Party Name-",'R.M Billets Reports'!D2168)),TRIM(MID('R.M Billets Reports'!D2168,SEARCH("-",'R.M Billets Reports'!D2168)+1,200)),"")),IF(ISNUMBER(SEARCH("Party Name:-",'R.M Billets Reports'!D2169)),TRIM('R.M Billets Reports'!F2169),IF(ISNUMBER(SEARCH("Party Name-",'R.M Billets Reports'!D2169)),TRIM(MID('R.M Billets Reports'!D2169,SEARCH("-",'R.M Billets Reports'!D2169)+1,200)),"")))))),IF(ROW()=2,"",A2168))</f>
      </c>
      <c r="B2169">
        <f>IF(OR('R.M Billets Reports'!A2168="Date-",'R.M Billets Reports'!A2168="Date:-"),'R.M Billets Reports'!B2168,IF(ROW()=2,"",B2168))</f>
      </c>
      <c r="C2169">
        <f>IF('R.M Billets Reports'!A2168="V.No.",'R.M Billets Reports'!B2168,IF(ROW()=2,"",C2168))</f>
      </c>
      <c r="D2169">
        <f>IF('R.M Billets Reports'!A2168&lt;&gt;"",'R.M Billets Reports'!A2168,IF(ROW()=2,"",D2168))</f>
      </c>
      <c r="E2169">
        <f>IF('R.M Billets Reports'!B2168="","",TRIM('R.M Billets Reports'!B2168))</f>
      </c>
      <c r="F2169">
        <f>'R.M Billets Reports'!C2168</f>
      </c>
      <c r="G2169">
        <f>'R.M Billets Reports'!D2168</f>
      </c>
      <c r="H2169">
        <f>'R.M Billets Reports'!E2168</f>
      </c>
      <c r="I2169">
        <f>'R.M Billets Reports'!F2168</f>
      </c>
      <c r="J2169">
        <f>'R.M Billets Reports'!G2168</f>
      </c>
      <c r="K2169">
        <f>'R.M Billets Reports'!H2168</f>
      </c>
      <c r="L2169">
        <f>IF('R.M Billets Reports'!I2168="","",'R.M Billets Reports'!I2168)</f>
      </c>
      <c r="M2169">
        <f t="shared" si="66"/>
      </c>
      <c r="N2169">
        <f>IF('R.M Billets Reports'!J2168="","",'R.M Billets Reports'!J2168)</f>
      </c>
      <c r="O2169">
        <f t="shared" si="67"/>
      </c>
      <c r="P2169">
        <f>IF('R.M Billets Reports'!A2168="SIZE",'R.M Billets Reports'!B2168,P2168)</f>
      </c>
    </row>
    <row r="2170" spans="1:16" x14ac:dyDescent="0.25">
      <c r="A2170">
        <f>IF(OR('R.M Billets Reports'!A2169="Date-",'R.M Billets Reports'!A2169="Date:-"),IF(IF(IF(ISNUMBER(SEARCH("Party Name:-",'R.M Billets Reports'!D2169)),TRIM('R.M Billets Reports'!F2169),IF(ISNUMBER(SEARCH("Party Name-",'R.M Billets Reports'!D2169)),TRIM(MID('R.M Billets Reports'!D2169,SEARCH("-",'R.M Billets Reports'!D2169)+1,200)),""))&lt;&gt;"",IF(ISNUMBER(SEARCH("Party Name:-",'R.M Billets Reports'!D2169)),TRIM('R.M Billets Reports'!F2169),IF(ISNUMBER(SEARCH("Party Name-",'R.M Billets Reports'!D2169)),TRIM(MID('R.M Billets Reports'!D2169,SEARCH("-",'R.M Billets Reports'!D2169)+1,200)),"")),IF(ISNUMBER(SEARCH("Party Name:-",'R.M Billets Reports'!D2170)),TRIM('R.M Billets Reports'!F2170),IF(ISNUMBER(SEARCH("Party Name-",'R.M Billets Reports'!D2170)),TRIM(MID('R.M Billets Reports'!D2170,SEARCH("-",'R.M Billets Reports'!D2170)+1,200)),"")))="VRKP ISPAT PVT LTD","VRKP",IF(IF(IF(ISNUMBER(SEARCH("Party Name:-",'R.M Billets Reports'!D2169)),TRIM('R.M Billets Reports'!F2169),IF(ISNUMBER(SEARCH("Party Name-",'R.M Billets Reports'!D2169)),TRIM(MID('R.M Billets Reports'!D2169,SEARCH("-",'R.M Billets Reports'!D2169)+1,200)),""))&lt;&gt;"",IF(ISNUMBER(SEARCH("Party Name:-",'R.M Billets Reports'!D2169)),TRIM('R.M Billets Reports'!F2169),IF(ISNUMBER(SEARCH("Party Name-",'R.M Billets Reports'!D2169)),TRIM(MID('R.M Billets Reports'!D2169,SEARCH("-",'R.M Billets Reports'!D2169)+1,200)),"")),IF(ISNUMBER(SEARCH("Party Name:-",'R.M Billets Reports'!D2170)),TRIM('R.M Billets Reports'!F2170),IF(ISNUMBER(SEARCH("Party Name-",'R.M Billets Reports'!D2170)),TRIM(MID('R.M Billets Reports'!D2170,SEARCH("-",'R.M Billets Reports'!D2170)+1,200)),"")))="SHRI RADHE","SHREE RADHE",IF(IF(IF(ISNUMBER(SEARCH("Party Name:-",'R.M Billets Reports'!D2169)),TRIM('R.M Billets Reports'!F2169),IF(ISNUMBER(SEARCH("Party Name-",'R.M Billets Reports'!D2169)),TRIM(MID('R.M Billets Reports'!D2169,SEARCH("-",'R.M Billets Reports'!D2169)+1,200)),""))&lt;&gt;"",IF(ISNUMBER(SEARCH("Party Name:-",'R.M Billets Reports'!D2169)),TRIM('R.M Billets Reports'!F2169),IF(ISNUMBER(SEARCH("Party Name-",'R.M Billets Reports'!D2169)),TRIM(MID('R.M Billets Reports'!D2169,SEARCH("-",'R.M Billets Reports'!D2169)+1,200)),"")),IF(ISNUMBER(SEARCH("Party Name:-",'R.M Billets Reports'!D2170)),TRIM('R.M Billets Reports'!F2170),IF(ISNUMBER(SEARCH("Party Name-",'R.M Billets Reports'!D2170)),TRIM(MID('R.M Billets Reports'!D2170,SEARCH("-",'R.M Billets Reports'!D2170)+1,200)),"")))="SHREE RADHE SHAKTI SPONGE AND POWER PVT. LTD.","SHREE RADHE",IF(IF(ISNUMBER(SEARCH("Party Name:-",'R.M Billets Reports'!D2169)),TRIM('R.M Billets Reports'!F2169),IF(ISNUMBER(SEARCH("Party Name-",'R.M Billets Reports'!D2169)),TRIM(MID('R.M Billets Reports'!D2169,SEARCH("-",'R.M Billets Reports'!D2169)+1,200)),""))&lt;&gt;"",IF(ISNUMBER(SEARCH("Party Name:-",'R.M Billets Reports'!D2169)),TRIM('R.M Billets Reports'!F2169),IF(ISNUMBER(SEARCH("Party Name-",'R.M Billets Reports'!D2169)),TRIM(MID('R.M Billets Reports'!D2169,SEARCH("-",'R.M Billets Reports'!D2169)+1,200)),"")),IF(ISNUMBER(SEARCH("Party Name:-",'R.M Billets Reports'!D2170)),TRIM('R.M Billets Reports'!F2170),IF(ISNUMBER(SEARCH("Party Name-",'R.M Billets Reports'!D2170)),TRIM(MID('R.M Billets Reports'!D2170,SEARCH("-",'R.M Billets Reports'!D2170)+1,200)),"")))))),IF(ROW()=2,"",A2169))</f>
      </c>
      <c r="B2170">
        <f>IF(OR('R.M Billets Reports'!A2169="Date-",'R.M Billets Reports'!A2169="Date:-"),'R.M Billets Reports'!B2169,IF(ROW()=2,"",B2169))</f>
      </c>
      <c r="C2170">
        <f>IF('R.M Billets Reports'!A2169="V.No.",'R.M Billets Reports'!B2169,IF(ROW()=2,"",C2169))</f>
      </c>
      <c r="D2170">
        <f>IF('R.M Billets Reports'!A2169&lt;&gt;"",'R.M Billets Reports'!A2169,IF(ROW()=2,"",D2169))</f>
      </c>
      <c r="E2170">
        <f>IF('R.M Billets Reports'!B2169="","",TRIM('R.M Billets Reports'!B2169))</f>
      </c>
      <c r="F2170">
        <f>'R.M Billets Reports'!C2169</f>
      </c>
      <c r="G2170">
        <f>'R.M Billets Reports'!D2169</f>
      </c>
      <c r="H2170">
        <f>'R.M Billets Reports'!E2169</f>
      </c>
      <c r="I2170">
        <f>'R.M Billets Reports'!F2169</f>
      </c>
      <c r="J2170">
        <f>'R.M Billets Reports'!G2169</f>
      </c>
      <c r="K2170">
        <f>'R.M Billets Reports'!H2169</f>
      </c>
      <c r="L2170">
        <f>IF('R.M Billets Reports'!I2169="","",'R.M Billets Reports'!I2169)</f>
      </c>
      <c r="M2170">
        <f t="shared" si="66"/>
      </c>
      <c r="N2170">
        <f>IF('R.M Billets Reports'!J2169="","",'R.M Billets Reports'!J2169)</f>
      </c>
      <c r="O2170">
        <f t="shared" si="67"/>
      </c>
      <c r="P2170">
        <f>IF('R.M Billets Reports'!A2169="SIZE",'R.M Billets Reports'!B2169,P2169)</f>
      </c>
    </row>
    <row r="2171" spans="1:16" x14ac:dyDescent="0.25">
      <c r="A2171">
        <f>IF(OR('R.M Billets Reports'!A2170="Date-",'R.M Billets Reports'!A2170="Date:-"),IF(IF(IF(ISNUMBER(SEARCH("Party Name:-",'R.M Billets Reports'!D2170)),TRIM('R.M Billets Reports'!F2170),IF(ISNUMBER(SEARCH("Party Name-",'R.M Billets Reports'!D2170)),TRIM(MID('R.M Billets Reports'!D2170,SEARCH("-",'R.M Billets Reports'!D2170)+1,200)),""))&lt;&gt;"",IF(ISNUMBER(SEARCH("Party Name:-",'R.M Billets Reports'!D2170)),TRIM('R.M Billets Reports'!F2170),IF(ISNUMBER(SEARCH("Party Name-",'R.M Billets Reports'!D2170)),TRIM(MID('R.M Billets Reports'!D2170,SEARCH("-",'R.M Billets Reports'!D2170)+1,200)),"")),IF(ISNUMBER(SEARCH("Party Name:-",'R.M Billets Reports'!D2171)),TRIM('R.M Billets Reports'!F2171),IF(ISNUMBER(SEARCH("Party Name-",'R.M Billets Reports'!D2171)),TRIM(MID('R.M Billets Reports'!D2171,SEARCH("-",'R.M Billets Reports'!D2171)+1,200)),"")))="VRKP ISPAT PVT LTD","VRKP",IF(IF(IF(ISNUMBER(SEARCH("Party Name:-",'R.M Billets Reports'!D2170)),TRIM('R.M Billets Reports'!F2170),IF(ISNUMBER(SEARCH("Party Name-",'R.M Billets Reports'!D2170)),TRIM(MID('R.M Billets Reports'!D2170,SEARCH("-",'R.M Billets Reports'!D2170)+1,200)),""))&lt;&gt;"",IF(ISNUMBER(SEARCH("Party Name:-",'R.M Billets Reports'!D2170)),TRIM('R.M Billets Reports'!F2170),IF(ISNUMBER(SEARCH("Party Name-",'R.M Billets Reports'!D2170)),TRIM(MID('R.M Billets Reports'!D2170,SEARCH("-",'R.M Billets Reports'!D2170)+1,200)),"")),IF(ISNUMBER(SEARCH("Party Name:-",'R.M Billets Reports'!D2171)),TRIM('R.M Billets Reports'!F2171),IF(ISNUMBER(SEARCH("Party Name-",'R.M Billets Reports'!D2171)),TRIM(MID('R.M Billets Reports'!D2171,SEARCH("-",'R.M Billets Reports'!D2171)+1,200)),"")))="SHRI RADHE","SHREE RADHE",IF(IF(IF(ISNUMBER(SEARCH("Party Name:-",'R.M Billets Reports'!D2170)),TRIM('R.M Billets Reports'!F2170),IF(ISNUMBER(SEARCH("Party Name-",'R.M Billets Reports'!D2170)),TRIM(MID('R.M Billets Reports'!D2170,SEARCH("-",'R.M Billets Reports'!D2170)+1,200)),""))&lt;&gt;"",IF(ISNUMBER(SEARCH("Party Name:-",'R.M Billets Reports'!D2170)),TRIM('R.M Billets Reports'!F2170),IF(ISNUMBER(SEARCH("Party Name-",'R.M Billets Reports'!D2170)),TRIM(MID('R.M Billets Reports'!D2170,SEARCH("-",'R.M Billets Reports'!D2170)+1,200)),"")),IF(ISNUMBER(SEARCH("Party Name:-",'R.M Billets Reports'!D2171)),TRIM('R.M Billets Reports'!F2171),IF(ISNUMBER(SEARCH("Party Name-",'R.M Billets Reports'!D2171)),TRIM(MID('R.M Billets Reports'!D2171,SEARCH("-",'R.M Billets Reports'!D2171)+1,200)),"")))="SHREE RADHE SHAKTI SPONGE AND POWER PVT. LTD.","SHREE RADHE",IF(IF(ISNUMBER(SEARCH("Party Name:-",'R.M Billets Reports'!D2170)),TRIM('R.M Billets Reports'!F2170),IF(ISNUMBER(SEARCH("Party Name-",'R.M Billets Reports'!D2170)),TRIM(MID('R.M Billets Reports'!D2170,SEARCH("-",'R.M Billets Reports'!D2170)+1,200)),""))&lt;&gt;"",IF(ISNUMBER(SEARCH("Party Name:-",'R.M Billets Reports'!D2170)),TRIM('R.M Billets Reports'!F2170),IF(ISNUMBER(SEARCH("Party Name-",'R.M Billets Reports'!D2170)),TRIM(MID('R.M Billets Reports'!D2170,SEARCH("-",'R.M Billets Reports'!D2170)+1,200)),"")),IF(ISNUMBER(SEARCH("Party Name:-",'R.M Billets Reports'!D2171)),TRIM('R.M Billets Reports'!F2171),IF(ISNUMBER(SEARCH("Party Name-",'R.M Billets Reports'!D2171)),TRIM(MID('R.M Billets Reports'!D2171,SEARCH("-",'R.M Billets Reports'!D2171)+1,200)),"")))))),IF(ROW()=2,"",A2170))</f>
      </c>
      <c r="B2171">
        <f>IF(OR('R.M Billets Reports'!A2170="Date-",'R.M Billets Reports'!A2170="Date:-"),'R.M Billets Reports'!B2170,IF(ROW()=2,"",B2170))</f>
      </c>
      <c r="C2171">
        <f>IF('R.M Billets Reports'!A2170="V.No.",'R.M Billets Reports'!B2170,IF(ROW()=2,"",C2170))</f>
      </c>
      <c r="D2171">
        <f>IF('R.M Billets Reports'!A2170&lt;&gt;"",'R.M Billets Reports'!A2170,IF(ROW()=2,"",D2170))</f>
      </c>
      <c r="E2171">
        <f>IF('R.M Billets Reports'!B2170="","",TRIM('R.M Billets Reports'!B2170))</f>
      </c>
      <c r="F2171">
        <f>'R.M Billets Reports'!C2170</f>
      </c>
      <c r="G2171">
        <f>'R.M Billets Reports'!D2170</f>
      </c>
      <c r="H2171">
        <f>'R.M Billets Reports'!E2170</f>
      </c>
      <c r="I2171">
        <f>'R.M Billets Reports'!F2170</f>
      </c>
      <c r="J2171">
        <f>'R.M Billets Reports'!G2170</f>
      </c>
      <c r="K2171">
        <f>'R.M Billets Reports'!H2170</f>
      </c>
      <c r="L2171">
        <f>IF('R.M Billets Reports'!I2170="","",'R.M Billets Reports'!I2170)</f>
      </c>
      <c r="M2171">
        <f t="shared" si="66"/>
      </c>
      <c r="N2171">
        <f>IF('R.M Billets Reports'!J2170="","",'R.M Billets Reports'!J2170)</f>
      </c>
      <c r="O2171">
        <f t="shared" si="67"/>
      </c>
      <c r="P2171">
        <f>IF('R.M Billets Reports'!A2170="SIZE",'R.M Billets Reports'!B2170,P2170)</f>
      </c>
    </row>
    <row r="2172" spans="1:16" x14ac:dyDescent="0.25">
      <c r="A2172">
        <f>IF(OR('R.M Billets Reports'!A2171="Date-",'R.M Billets Reports'!A2171="Date:-"),IF(IF(IF(ISNUMBER(SEARCH("Party Name:-",'R.M Billets Reports'!D2171)),TRIM('R.M Billets Reports'!F2171),IF(ISNUMBER(SEARCH("Party Name-",'R.M Billets Reports'!D2171)),TRIM(MID('R.M Billets Reports'!D2171,SEARCH("-",'R.M Billets Reports'!D2171)+1,200)),""))&lt;&gt;"",IF(ISNUMBER(SEARCH("Party Name:-",'R.M Billets Reports'!D2171)),TRIM('R.M Billets Reports'!F2171),IF(ISNUMBER(SEARCH("Party Name-",'R.M Billets Reports'!D2171)),TRIM(MID('R.M Billets Reports'!D2171,SEARCH("-",'R.M Billets Reports'!D2171)+1,200)),"")),IF(ISNUMBER(SEARCH("Party Name:-",'R.M Billets Reports'!D2172)),TRIM('R.M Billets Reports'!F2172),IF(ISNUMBER(SEARCH("Party Name-",'R.M Billets Reports'!D2172)),TRIM(MID('R.M Billets Reports'!D2172,SEARCH("-",'R.M Billets Reports'!D2172)+1,200)),"")))="VRKP ISPAT PVT LTD","VRKP",IF(IF(IF(ISNUMBER(SEARCH("Party Name:-",'R.M Billets Reports'!D2171)),TRIM('R.M Billets Reports'!F2171),IF(ISNUMBER(SEARCH("Party Name-",'R.M Billets Reports'!D2171)),TRIM(MID('R.M Billets Reports'!D2171,SEARCH("-",'R.M Billets Reports'!D2171)+1,200)),""))&lt;&gt;"",IF(ISNUMBER(SEARCH("Party Name:-",'R.M Billets Reports'!D2171)),TRIM('R.M Billets Reports'!F2171),IF(ISNUMBER(SEARCH("Party Name-",'R.M Billets Reports'!D2171)),TRIM(MID('R.M Billets Reports'!D2171,SEARCH("-",'R.M Billets Reports'!D2171)+1,200)),"")),IF(ISNUMBER(SEARCH("Party Name:-",'R.M Billets Reports'!D2172)),TRIM('R.M Billets Reports'!F2172),IF(ISNUMBER(SEARCH("Party Name-",'R.M Billets Reports'!D2172)),TRIM(MID('R.M Billets Reports'!D2172,SEARCH("-",'R.M Billets Reports'!D2172)+1,200)),"")))="SHRI RADHE","SHREE RADHE",IF(IF(IF(ISNUMBER(SEARCH("Party Name:-",'R.M Billets Reports'!D2171)),TRIM('R.M Billets Reports'!F2171),IF(ISNUMBER(SEARCH("Party Name-",'R.M Billets Reports'!D2171)),TRIM(MID('R.M Billets Reports'!D2171,SEARCH("-",'R.M Billets Reports'!D2171)+1,200)),""))&lt;&gt;"",IF(ISNUMBER(SEARCH("Party Name:-",'R.M Billets Reports'!D2171)),TRIM('R.M Billets Reports'!F2171),IF(ISNUMBER(SEARCH("Party Name-",'R.M Billets Reports'!D2171)),TRIM(MID('R.M Billets Reports'!D2171,SEARCH("-",'R.M Billets Reports'!D2171)+1,200)),"")),IF(ISNUMBER(SEARCH("Party Name:-",'R.M Billets Reports'!D2172)),TRIM('R.M Billets Reports'!F2172),IF(ISNUMBER(SEARCH("Party Name-",'R.M Billets Reports'!D2172)),TRIM(MID('R.M Billets Reports'!D2172,SEARCH("-",'R.M Billets Reports'!D2172)+1,200)),"")))="SHREE RADHE SHAKTI SPONGE AND POWER PVT. LTD.","SHREE RADHE",IF(IF(ISNUMBER(SEARCH("Party Name:-",'R.M Billets Reports'!D2171)),TRIM('R.M Billets Reports'!F2171),IF(ISNUMBER(SEARCH("Party Name-",'R.M Billets Reports'!D2171)),TRIM(MID('R.M Billets Reports'!D2171,SEARCH("-",'R.M Billets Reports'!D2171)+1,200)),""))&lt;&gt;"",IF(ISNUMBER(SEARCH("Party Name:-",'R.M Billets Reports'!D2171)),TRIM('R.M Billets Reports'!F2171),IF(ISNUMBER(SEARCH("Party Name-",'R.M Billets Reports'!D2171)),TRIM(MID('R.M Billets Reports'!D2171,SEARCH("-",'R.M Billets Reports'!D2171)+1,200)),"")),IF(ISNUMBER(SEARCH("Party Name:-",'R.M Billets Reports'!D2172)),TRIM('R.M Billets Reports'!F2172),IF(ISNUMBER(SEARCH("Party Name-",'R.M Billets Reports'!D2172)),TRIM(MID('R.M Billets Reports'!D2172,SEARCH("-",'R.M Billets Reports'!D2172)+1,200)),"")))))),IF(ROW()=2,"",A2171))</f>
      </c>
      <c r="B2172">
        <f>IF(OR('R.M Billets Reports'!A2171="Date-",'R.M Billets Reports'!A2171="Date:-"),'R.M Billets Reports'!B2171,IF(ROW()=2,"",B2171))</f>
      </c>
      <c r="C2172">
        <f>IF('R.M Billets Reports'!A2171="V.No.",'R.M Billets Reports'!B2171,IF(ROW()=2,"",C2171))</f>
      </c>
      <c r="D2172">
        <f>IF('R.M Billets Reports'!A2171&lt;&gt;"",'R.M Billets Reports'!A2171,IF(ROW()=2,"",D2171))</f>
      </c>
      <c r="E2172">
        <f>IF('R.M Billets Reports'!B2171="","",TRIM('R.M Billets Reports'!B2171))</f>
      </c>
      <c r="F2172">
        <f>'R.M Billets Reports'!C2171</f>
      </c>
      <c r="G2172">
        <f>'R.M Billets Reports'!D2171</f>
      </c>
      <c r="H2172">
        <f>'R.M Billets Reports'!E2171</f>
      </c>
      <c r="I2172">
        <f>'R.M Billets Reports'!F2171</f>
      </c>
      <c r="J2172">
        <f>'R.M Billets Reports'!G2171</f>
      </c>
      <c r="K2172">
        <f>'R.M Billets Reports'!H2171</f>
      </c>
      <c r="L2172">
        <f>IF('R.M Billets Reports'!I2171="","",'R.M Billets Reports'!I2171)</f>
      </c>
      <c r="M2172">
        <f t="shared" si="66"/>
      </c>
      <c r="N2172">
        <f>IF('R.M Billets Reports'!J2171="","",'R.M Billets Reports'!J2171)</f>
      </c>
      <c r="O2172">
        <f t="shared" si="67"/>
      </c>
      <c r="P2172">
        <f>IF('R.M Billets Reports'!A2171="SIZE",'R.M Billets Reports'!B2171,P2171)</f>
      </c>
    </row>
    <row r="2173" spans="1:16" x14ac:dyDescent="0.25">
      <c r="A2173">
        <f>IF(OR('R.M Billets Reports'!A2172="Date-",'R.M Billets Reports'!A2172="Date:-"),IF(IF(IF(ISNUMBER(SEARCH("Party Name:-",'R.M Billets Reports'!D2172)),TRIM('R.M Billets Reports'!F2172),IF(ISNUMBER(SEARCH("Party Name-",'R.M Billets Reports'!D2172)),TRIM(MID('R.M Billets Reports'!D2172,SEARCH("-",'R.M Billets Reports'!D2172)+1,200)),""))&lt;&gt;"",IF(ISNUMBER(SEARCH("Party Name:-",'R.M Billets Reports'!D2172)),TRIM('R.M Billets Reports'!F2172),IF(ISNUMBER(SEARCH("Party Name-",'R.M Billets Reports'!D2172)),TRIM(MID('R.M Billets Reports'!D2172,SEARCH("-",'R.M Billets Reports'!D2172)+1,200)),"")),IF(ISNUMBER(SEARCH("Party Name:-",'R.M Billets Reports'!D2173)),TRIM('R.M Billets Reports'!F2173),IF(ISNUMBER(SEARCH("Party Name-",'R.M Billets Reports'!D2173)),TRIM(MID('R.M Billets Reports'!D2173,SEARCH("-",'R.M Billets Reports'!D2173)+1,200)),"")))="VRKP ISPAT PVT LTD","VRKP",IF(IF(IF(ISNUMBER(SEARCH("Party Name:-",'R.M Billets Reports'!D2172)),TRIM('R.M Billets Reports'!F2172),IF(ISNUMBER(SEARCH("Party Name-",'R.M Billets Reports'!D2172)),TRIM(MID('R.M Billets Reports'!D2172,SEARCH("-",'R.M Billets Reports'!D2172)+1,200)),""))&lt;&gt;"",IF(ISNUMBER(SEARCH("Party Name:-",'R.M Billets Reports'!D2172)),TRIM('R.M Billets Reports'!F2172),IF(ISNUMBER(SEARCH("Party Name-",'R.M Billets Reports'!D2172)),TRIM(MID('R.M Billets Reports'!D2172,SEARCH("-",'R.M Billets Reports'!D2172)+1,200)),"")),IF(ISNUMBER(SEARCH("Party Name:-",'R.M Billets Reports'!D2173)),TRIM('R.M Billets Reports'!F2173),IF(ISNUMBER(SEARCH("Party Name-",'R.M Billets Reports'!D2173)),TRIM(MID('R.M Billets Reports'!D2173,SEARCH("-",'R.M Billets Reports'!D2173)+1,200)),"")))="SHRI RADHE","SHREE RADHE",IF(IF(IF(ISNUMBER(SEARCH("Party Name:-",'R.M Billets Reports'!D2172)),TRIM('R.M Billets Reports'!F2172),IF(ISNUMBER(SEARCH("Party Name-",'R.M Billets Reports'!D2172)),TRIM(MID('R.M Billets Reports'!D2172,SEARCH("-",'R.M Billets Reports'!D2172)+1,200)),""))&lt;&gt;"",IF(ISNUMBER(SEARCH("Party Name:-",'R.M Billets Reports'!D2172)),TRIM('R.M Billets Reports'!F2172),IF(ISNUMBER(SEARCH("Party Name-",'R.M Billets Reports'!D2172)),TRIM(MID('R.M Billets Reports'!D2172,SEARCH("-",'R.M Billets Reports'!D2172)+1,200)),"")),IF(ISNUMBER(SEARCH("Party Name:-",'R.M Billets Reports'!D2173)),TRIM('R.M Billets Reports'!F2173),IF(ISNUMBER(SEARCH("Party Name-",'R.M Billets Reports'!D2173)),TRIM(MID('R.M Billets Reports'!D2173,SEARCH("-",'R.M Billets Reports'!D2173)+1,200)),"")))="SHREE RADHE SHAKTI SPONGE AND POWER PVT. LTD.","SHREE RADHE",IF(IF(ISNUMBER(SEARCH("Party Name:-",'R.M Billets Reports'!D2172)),TRIM('R.M Billets Reports'!F2172),IF(ISNUMBER(SEARCH("Party Name-",'R.M Billets Reports'!D2172)),TRIM(MID('R.M Billets Reports'!D2172,SEARCH("-",'R.M Billets Reports'!D2172)+1,200)),""))&lt;&gt;"",IF(ISNUMBER(SEARCH("Party Name:-",'R.M Billets Reports'!D2172)),TRIM('R.M Billets Reports'!F2172),IF(ISNUMBER(SEARCH("Party Name-",'R.M Billets Reports'!D2172)),TRIM(MID('R.M Billets Reports'!D2172,SEARCH("-",'R.M Billets Reports'!D2172)+1,200)),"")),IF(ISNUMBER(SEARCH("Party Name:-",'R.M Billets Reports'!D2173)),TRIM('R.M Billets Reports'!F2173),IF(ISNUMBER(SEARCH("Party Name-",'R.M Billets Reports'!D2173)),TRIM(MID('R.M Billets Reports'!D2173,SEARCH("-",'R.M Billets Reports'!D2173)+1,200)),"")))))),IF(ROW()=2,"",A2172))</f>
      </c>
      <c r="B2173">
        <f>IF(OR('R.M Billets Reports'!A2172="Date-",'R.M Billets Reports'!A2172="Date:-"),'R.M Billets Reports'!B2172,IF(ROW()=2,"",B2172))</f>
      </c>
      <c r="C2173">
        <f>IF('R.M Billets Reports'!A2172="V.No.",'R.M Billets Reports'!B2172,IF(ROW()=2,"",C2172))</f>
      </c>
      <c r="D2173">
        <f>IF('R.M Billets Reports'!A2172&lt;&gt;"",'R.M Billets Reports'!A2172,IF(ROW()=2,"",D2172))</f>
      </c>
      <c r="E2173">
        <f>IF('R.M Billets Reports'!B2172="","",TRIM('R.M Billets Reports'!B2172))</f>
      </c>
      <c r="F2173">
        <f>'R.M Billets Reports'!C2172</f>
      </c>
      <c r="G2173">
        <f>'R.M Billets Reports'!D2172</f>
      </c>
      <c r="H2173">
        <f>'R.M Billets Reports'!E2172</f>
      </c>
      <c r="I2173">
        <f>'R.M Billets Reports'!F2172</f>
      </c>
      <c r="J2173">
        <f>'R.M Billets Reports'!G2172</f>
      </c>
      <c r="K2173">
        <f>'R.M Billets Reports'!H2172</f>
      </c>
      <c r="L2173">
        <f>IF('R.M Billets Reports'!I2172="","",'R.M Billets Reports'!I2172)</f>
      </c>
      <c r="M2173">
        <f t="shared" si="66"/>
      </c>
      <c r="N2173">
        <f>IF('R.M Billets Reports'!J2172="","",'R.M Billets Reports'!J2172)</f>
      </c>
      <c r="O2173">
        <f t="shared" si="67"/>
      </c>
      <c r="P2173">
        <f>IF('R.M Billets Reports'!A2172="SIZE",'R.M Billets Reports'!B2172,P2172)</f>
      </c>
    </row>
    <row r="2174" spans="1:16" x14ac:dyDescent="0.25">
      <c r="A2174">
        <f>IF(OR('R.M Billets Reports'!A2173="Date-",'R.M Billets Reports'!A2173="Date:-"),IF(IF(IF(ISNUMBER(SEARCH("Party Name:-",'R.M Billets Reports'!D2173)),TRIM('R.M Billets Reports'!F2173),IF(ISNUMBER(SEARCH("Party Name-",'R.M Billets Reports'!D2173)),TRIM(MID('R.M Billets Reports'!D2173,SEARCH("-",'R.M Billets Reports'!D2173)+1,200)),""))&lt;&gt;"",IF(ISNUMBER(SEARCH("Party Name:-",'R.M Billets Reports'!D2173)),TRIM('R.M Billets Reports'!F2173),IF(ISNUMBER(SEARCH("Party Name-",'R.M Billets Reports'!D2173)),TRIM(MID('R.M Billets Reports'!D2173,SEARCH("-",'R.M Billets Reports'!D2173)+1,200)),"")),IF(ISNUMBER(SEARCH("Party Name:-",'R.M Billets Reports'!D2174)),TRIM('R.M Billets Reports'!F2174),IF(ISNUMBER(SEARCH("Party Name-",'R.M Billets Reports'!D2174)),TRIM(MID('R.M Billets Reports'!D2174,SEARCH("-",'R.M Billets Reports'!D2174)+1,200)),"")))="VRKP ISPAT PVT LTD","VRKP",IF(IF(IF(ISNUMBER(SEARCH("Party Name:-",'R.M Billets Reports'!D2173)),TRIM('R.M Billets Reports'!F2173),IF(ISNUMBER(SEARCH("Party Name-",'R.M Billets Reports'!D2173)),TRIM(MID('R.M Billets Reports'!D2173,SEARCH("-",'R.M Billets Reports'!D2173)+1,200)),""))&lt;&gt;"",IF(ISNUMBER(SEARCH("Party Name:-",'R.M Billets Reports'!D2173)),TRIM('R.M Billets Reports'!F2173),IF(ISNUMBER(SEARCH("Party Name-",'R.M Billets Reports'!D2173)),TRIM(MID('R.M Billets Reports'!D2173,SEARCH("-",'R.M Billets Reports'!D2173)+1,200)),"")),IF(ISNUMBER(SEARCH("Party Name:-",'R.M Billets Reports'!D2174)),TRIM('R.M Billets Reports'!F2174),IF(ISNUMBER(SEARCH("Party Name-",'R.M Billets Reports'!D2174)),TRIM(MID('R.M Billets Reports'!D2174,SEARCH("-",'R.M Billets Reports'!D2174)+1,200)),"")))="SHRI RADHE","SHREE RADHE",IF(IF(IF(ISNUMBER(SEARCH("Party Name:-",'R.M Billets Reports'!D2173)),TRIM('R.M Billets Reports'!F2173),IF(ISNUMBER(SEARCH("Party Name-",'R.M Billets Reports'!D2173)),TRIM(MID('R.M Billets Reports'!D2173,SEARCH("-",'R.M Billets Reports'!D2173)+1,200)),""))&lt;&gt;"",IF(ISNUMBER(SEARCH("Party Name:-",'R.M Billets Reports'!D2173)),TRIM('R.M Billets Reports'!F2173),IF(ISNUMBER(SEARCH("Party Name-",'R.M Billets Reports'!D2173)),TRIM(MID('R.M Billets Reports'!D2173,SEARCH("-",'R.M Billets Reports'!D2173)+1,200)),"")),IF(ISNUMBER(SEARCH("Party Name:-",'R.M Billets Reports'!D2174)),TRIM('R.M Billets Reports'!F2174),IF(ISNUMBER(SEARCH("Party Name-",'R.M Billets Reports'!D2174)),TRIM(MID('R.M Billets Reports'!D2174,SEARCH("-",'R.M Billets Reports'!D2174)+1,200)),"")))="SHREE RADHE SHAKTI SPONGE AND POWER PVT. LTD.","SHREE RADHE",IF(IF(ISNUMBER(SEARCH("Party Name:-",'R.M Billets Reports'!D2173)),TRIM('R.M Billets Reports'!F2173),IF(ISNUMBER(SEARCH("Party Name-",'R.M Billets Reports'!D2173)),TRIM(MID('R.M Billets Reports'!D2173,SEARCH("-",'R.M Billets Reports'!D2173)+1,200)),""))&lt;&gt;"",IF(ISNUMBER(SEARCH("Party Name:-",'R.M Billets Reports'!D2173)),TRIM('R.M Billets Reports'!F2173),IF(ISNUMBER(SEARCH("Party Name-",'R.M Billets Reports'!D2173)),TRIM(MID('R.M Billets Reports'!D2173,SEARCH("-",'R.M Billets Reports'!D2173)+1,200)),"")),IF(ISNUMBER(SEARCH("Party Name:-",'R.M Billets Reports'!D2174)),TRIM('R.M Billets Reports'!F2174),IF(ISNUMBER(SEARCH("Party Name-",'R.M Billets Reports'!D2174)),TRIM(MID('R.M Billets Reports'!D2174,SEARCH("-",'R.M Billets Reports'!D2174)+1,200)),"")))))),IF(ROW()=2,"",A2173))</f>
      </c>
      <c r="B2174">
        <f>IF(OR('R.M Billets Reports'!A2173="Date-",'R.M Billets Reports'!A2173="Date:-"),'R.M Billets Reports'!B2173,IF(ROW()=2,"",B2173))</f>
      </c>
      <c r="C2174">
        <f>IF('R.M Billets Reports'!A2173="V.No.",'R.M Billets Reports'!B2173,IF(ROW()=2,"",C2173))</f>
      </c>
      <c r="D2174">
        <f>IF('R.M Billets Reports'!A2173&lt;&gt;"",'R.M Billets Reports'!A2173,IF(ROW()=2,"",D2173))</f>
      </c>
      <c r="E2174">
        <f>IF('R.M Billets Reports'!B2173="","",TRIM('R.M Billets Reports'!B2173))</f>
      </c>
      <c r="F2174">
        <f>'R.M Billets Reports'!C2173</f>
      </c>
      <c r="G2174">
        <f>'R.M Billets Reports'!D2173</f>
      </c>
      <c r="H2174">
        <f>'R.M Billets Reports'!E2173</f>
      </c>
      <c r="I2174">
        <f>'R.M Billets Reports'!F2173</f>
      </c>
      <c r="J2174">
        <f>'R.M Billets Reports'!G2173</f>
      </c>
      <c r="K2174">
        <f>'R.M Billets Reports'!H2173</f>
      </c>
      <c r="L2174">
        <f>IF('R.M Billets Reports'!I2173="","",'R.M Billets Reports'!I2173)</f>
      </c>
      <c r="M2174">
        <f t="shared" si="66"/>
      </c>
      <c r="N2174">
        <f>IF('R.M Billets Reports'!J2173="","",'R.M Billets Reports'!J2173)</f>
      </c>
      <c r="O2174">
        <f t="shared" si="67"/>
      </c>
      <c r="P2174">
        <f>IF('R.M Billets Reports'!A2173="SIZE",'R.M Billets Reports'!B2173,P2173)</f>
      </c>
    </row>
    <row r="2175" spans="1:16" x14ac:dyDescent="0.25">
      <c r="A2175">
        <f>IF(OR('R.M Billets Reports'!A2174="Date-",'R.M Billets Reports'!A2174="Date:-"),IF(IF(IF(ISNUMBER(SEARCH("Party Name:-",'R.M Billets Reports'!D2174)),TRIM('R.M Billets Reports'!F2174),IF(ISNUMBER(SEARCH("Party Name-",'R.M Billets Reports'!D2174)),TRIM(MID('R.M Billets Reports'!D2174,SEARCH("-",'R.M Billets Reports'!D2174)+1,200)),""))&lt;&gt;"",IF(ISNUMBER(SEARCH("Party Name:-",'R.M Billets Reports'!D2174)),TRIM('R.M Billets Reports'!F2174),IF(ISNUMBER(SEARCH("Party Name-",'R.M Billets Reports'!D2174)),TRIM(MID('R.M Billets Reports'!D2174,SEARCH("-",'R.M Billets Reports'!D2174)+1,200)),"")),IF(ISNUMBER(SEARCH("Party Name:-",'R.M Billets Reports'!D2175)),TRIM('R.M Billets Reports'!F2175),IF(ISNUMBER(SEARCH("Party Name-",'R.M Billets Reports'!D2175)),TRIM(MID('R.M Billets Reports'!D2175,SEARCH("-",'R.M Billets Reports'!D2175)+1,200)),"")))="VRKP ISPAT PVT LTD","VRKP",IF(IF(IF(ISNUMBER(SEARCH("Party Name:-",'R.M Billets Reports'!D2174)),TRIM('R.M Billets Reports'!F2174),IF(ISNUMBER(SEARCH("Party Name-",'R.M Billets Reports'!D2174)),TRIM(MID('R.M Billets Reports'!D2174,SEARCH("-",'R.M Billets Reports'!D2174)+1,200)),""))&lt;&gt;"",IF(ISNUMBER(SEARCH("Party Name:-",'R.M Billets Reports'!D2174)),TRIM('R.M Billets Reports'!F2174),IF(ISNUMBER(SEARCH("Party Name-",'R.M Billets Reports'!D2174)),TRIM(MID('R.M Billets Reports'!D2174,SEARCH("-",'R.M Billets Reports'!D2174)+1,200)),"")),IF(ISNUMBER(SEARCH("Party Name:-",'R.M Billets Reports'!D2175)),TRIM('R.M Billets Reports'!F2175),IF(ISNUMBER(SEARCH("Party Name-",'R.M Billets Reports'!D2175)),TRIM(MID('R.M Billets Reports'!D2175,SEARCH("-",'R.M Billets Reports'!D2175)+1,200)),"")))="SHRI RADHE","SHREE RADHE",IF(IF(IF(ISNUMBER(SEARCH("Party Name:-",'R.M Billets Reports'!D2174)),TRIM('R.M Billets Reports'!F2174),IF(ISNUMBER(SEARCH("Party Name-",'R.M Billets Reports'!D2174)),TRIM(MID('R.M Billets Reports'!D2174,SEARCH("-",'R.M Billets Reports'!D2174)+1,200)),""))&lt;&gt;"",IF(ISNUMBER(SEARCH("Party Name:-",'R.M Billets Reports'!D2174)),TRIM('R.M Billets Reports'!F2174),IF(ISNUMBER(SEARCH("Party Name-",'R.M Billets Reports'!D2174)),TRIM(MID('R.M Billets Reports'!D2174,SEARCH("-",'R.M Billets Reports'!D2174)+1,200)),"")),IF(ISNUMBER(SEARCH("Party Name:-",'R.M Billets Reports'!D2175)),TRIM('R.M Billets Reports'!F2175),IF(ISNUMBER(SEARCH("Party Name-",'R.M Billets Reports'!D2175)),TRIM(MID('R.M Billets Reports'!D2175,SEARCH("-",'R.M Billets Reports'!D2175)+1,200)),"")))="SHREE RADHE SHAKTI SPONGE AND POWER PVT. LTD.","SHREE RADHE",IF(IF(ISNUMBER(SEARCH("Party Name:-",'R.M Billets Reports'!D2174)),TRIM('R.M Billets Reports'!F2174),IF(ISNUMBER(SEARCH("Party Name-",'R.M Billets Reports'!D2174)),TRIM(MID('R.M Billets Reports'!D2174,SEARCH("-",'R.M Billets Reports'!D2174)+1,200)),""))&lt;&gt;"",IF(ISNUMBER(SEARCH("Party Name:-",'R.M Billets Reports'!D2174)),TRIM('R.M Billets Reports'!F2174),IF(ISNUMBER(SEARCH("Party Name-",'R.M Billets Reports'!D2174)),TRIM(MID('R.M Billets Reports'!D2174,SEARCH("-",'R.M Billets Reports'!D2174)+1,200)),"")),IF(ISNUMBER(SEARCH("Party Name:-",'R.M Billets Reports'!D2175)),TRIM('R.M Billets Reports'!F2175),IF(ISNUMBER(SEARCH("Party Name-",'R.M Billets Reports'!D2175)),TRIM(MID('R.M Billets Reports'!D2175,SEARCH("-",'R.M Billets Reports'!D2175)+1,200)),"")))))),IF(ROW()=2,"",A2174))</f>
      </c>
      <c r="B2175">
        <f>IF(OR('R.M Billets Reports'!A2174="Date-",'R.M Billets Reports'!A2174="Date:-"),'R.M Billets Reports'!B2174,IF(ROW()=2,"",B2174))</f>
      </c>
      <c r="C2175">
        <f>IF('R.M Billets Reports'!A2174="V.No.",'R.M Billets Reports'!B2174,IF(ROW()=2,"",C2174))</f>
      </c>
      <c r="D2175">
        <f>IF('R.M Billets Reports'!A2174&lt;&gt;"",'R.M Billets Reports'!A2174,IF(ROW()=2,"",D2174))</f>
      </c>
      <c r="E2175">
        <f>IF('R.M Billets Reports'!B2174="","",TRIM('R.M Billets Reports'!B2174))</f>
      </c>
      <c r="F2175">
        <f>'R.M Billets Reports'!C2174</f>
      </c>
      <c r="G2175">
        <f>'R.M Billets Reports'!D2174</f>
      </c>
      <c r="H2175">
        <f>'R.M Billets Reports'!E2174</f>
      </c>
      <c r="I2175">
        <f>'R.M Billets Reports'!F2174</f>
      </c>
      <c r="J2175">
        <f>'R.M Billets Reports'!G2174</f>
      </c>
      <c r="K2175">
        <f>'R.M Billets Reports'!H2174</f>
      </c>
      <c r="L2175">
        <f>IF('R.M Billets Reports'!I2174="","",'R.M Billets Reports'!I2174)</f>
      </c>
      <c r="M2175">
        <f t="shared" si="66"/>
      </c>
      <c r="N2175">
        <f>IF('R.M Billets Reports'!J2174="","",'R.M Billets Reports'!J2174)</f>
      </c>
      <c r="O2175">
        <f t="shared" si="67"/>
      </c>
      <c r="P2175">
        <f>IF('R.M Billets Reports'!A2174="SIZE",'R.M Billets Reports'!B2174,P2174)</f>
      </c>
    </row>
    <row r="2176" spans="1:16" x14ac:dyDescent="0.25">
      <c r="A2176">
        <f>IF(OR('R.M Billets Reports'!A2175="Date-",'R.M Billets Reports'!A2175="Date:-"),IF(IF(IF(ISNUMBER(SEARCH("Party Name:-",'R.M Billets Reports'!D2175)),TRIM('R.M Billets Reports'!F2175),IF(ISNUMBER(SEARCH("Party Name-",'R.M Billets Reports'!D2175)),TRIM(MID('R.M Billets Reports'!D2175,SEARCH("-",'R.M Billets Reports'!D2175)+1,200)),""))&lt;&gt;"",IF(ISNUMBER(SEARCH("Party Name:-",'R.M Billets Reports'!D2175)),TRIM('R.M Billets Reports'!F2175),IF(ISNUMBER(SEARCH("Party Name-",'R.M Billets Reports'!D2175)),TRIM(MID('R.M Billets Reports'!D2175,SEARCH("-",'R.M Billets Reports'!D2175)+1,200)),"")),IF(ISNUMBER(SEARCH("Party Name:-",'R.M Billets Reports'!D2176)),TRIM('R.M Billets Reports'!F2176),IF(ISNUMBER(SEARCH("Party Name-",'R.M Billets Reports'!D2176)),TRIM(MID('R.M Billets Reports'!D2176,SEARCH("-",'R.M Billets Reports'!D2176)+1,200)),"")))="VRKP ISPAT PVT LTD","VRKP",IF(IF(IF(ISNUMBER(SEARCH("Party Name:-",'R.M Billets Reports'!D2175)),TRIM('R.M Billets Reports'!F2175),IF(ISNUMBER(SEARCH("Party Name-",'R.M Billets Reports'!D2175)),TRIM(MID('R.M Billets Reports'!D2175,SEARCH("-",'R.M Billets Reports'!D2175)+1,200)),""))&lt;&gt;"",IF(ISNUMBER(SEARCH("Party Name:-",'R.M Billets Reports'!D2175)),TRIM('R.M Billets Reports'!F2175),IF(ISNUMBER(SEARCH("Party Name-",'R.M Billets Reports'!D2175)),TRIM(MID('R.M Billets Reports'!D2175,SEARCH("-",'R.M Billets Reports'!D2175)+1,200)),"")),IF(ISNUMBER(SEARCH("Party Name:-",'R.M Billets Reports'!D2176)),TRIM('R.M Billets Reports'!F2176),IF(ISNUMBER(SEARCH("Party Name-",'R.M Billets Reports'!D2176)),TRIM(MID('R.M Billets Reports'!D2176,SEARCH("-",'R.M Billets Reports'!D2176)+1,200)),"")))="SHRI RADHE","SHREE RADHE",IF(IF(IF(ISNUMBER(SEARCH("Party Name:-",'R.M Billets Reports'!D2175)),TRIM('R.M Billets Reports'!F2175),IF(ISNUMBER(SEARCH("Party Name-",'R.M Billets Reports'!D2175)),TRIM(MID('R.M Billets Reports'!D2175,SEARCH("-",'R.M Billets Reports'!D2175)+1,200)),""))&lt;&gt;"",IF(ISNUMBER(SEARCH("Party Name:-",'R.M Billets Reports'!D2175)),TRIM('R.M Billets Reports'!F2175),IF(ISNUMBER(SEARCH("Party Name-",'R.M Billets Reports'!D2175)),TRIM(MID('R.M Billets Reports'!D2175,SEARCH("-",'R.M Billets Reports'!D2175)+1,200)),"")),IF(ISNUMBER(SEARCH("Party Name:-",'R.M Billets Reports'!D2176)),TRIM('R.M Billets Reports'!F2176),IF(ISNUMBER(SEARCH("Party Name-",'R.M Billets Reports'!D2176)),TRIM(MID('R.M Billets Reports'!D2176,SEARCH("-",'R.M Billets Reports'!D2176)+1,200)),"")))="SHREE RADHE SHAKTI SPONGE AND POWER PVT. LTD.","SHREE RADHE",IF(IF(ISNUMBER(SEARCH("Party Name:-",'R.M Billets Reports'!D2175)),TRIM('R.M Billets Reports'!F2175),IF(ISNUMBER(SEARCH("Party Name-",'R.M Billets Reports'!D2175)),TRIM(MID('R.M Billets Reports'!D2175,SEARCH("-",'R.M Billets Reports'!D2175)+1,200)),""))&lt;&gt;"",IF(ISNUMBER(SEARCH("Party Name:-",'R.M Billets Reports'!D2175)),TRIM('R.M Billets Reports'!F2175),IF(ISNUMBER(SEARCH("Party Name-",'R.M Billets Reports'!D2175)),TRIM(MID('R.M Billets Reports'!D2175,SEARCH("-",'R.M Billets Reports'!D2175)+1,200)),"")),IF(ISNUMBER(SEARCH("Party Name:-",'R.M Billets Reports'!D2176)),TRIM('R.M Billets Reports'!F2176),IF(ISNUMBER(SEARCH("Party Name-",'R.M Billets Reports'!D2176)),TRIM(MID('R.M Billets Reports'!D2176,SEARCH("-",'R.M Billets Reports'!D2176)+1,200)),"")))))),IF(ROW()=2,"",A2175))</f>
      </c>
      <c r="B2176">
        <f>IF(OR('R.M Billets Reports'!A2175="Date-",'R.M Billets Reports'!A2175="Date:-"),'R.M Billets Reports'!B2175,IF(ROW()=2,"",B2175))</f>
      </c>
      <c r="C2176">
        <f>IF('R.M Billets Reports'!A2175="V.No.",'R.M Billets Reports'!B2175,IF(ROW()=2,"",C2175))</f>
      </c>
      <c r="D2176">
        <f>IF('R.M Billets Reports'!A2175&lt;&gt;"",'R.M Billets Reports'!A2175,IF(ROW()=2,"",D2175))</f>
      </c>
      <c r="E2176">
        <f>IF('R.M Billets Reports'!B2175="","",TRIM('R.M Billets Reports'!B2175))</f>
      </c>
      <c r="F2176">
        <f>'R.M Billets Reports'!C2175</f>
      </c>
      <c r="G2176">
        <f>'R.M Billets Reports'!D2175</f>
      </c>
      <c r="H2176">
        <f>'R.M Billets Reports'!E2175</f>
      </c>
      <c r="I2176">
        <f>'R.M Billets Reports'!F2175</f>
      </c>
      <c r="J2176">
        <f>'R.M Billets Reports'!G2175</f>
      </c>
      <c r="K2176">
        <f>'R.M Billets Reports'!H2175</f>
      </c>
      <c r="L2176">
        <f>IF('R.M Billets Reports'!I2175="","",'R.M Billets Reports'!I2175)</f>
      </c>
      <c r="M2176">
        <f t="shared" si="66"/>
      </c>
      <c r="N2176">
        <f>IF('R.M Billets Reports'!J2175="","",'R.M Billets Reports'!J2175)</f>
      </c>
      <c r="O2176">
        <f t="shared" si="67"/>
      </c>
      <c r="P2176">
        <f>IF('R.M Billets Reports'!A2175="SIZE",'R.M Billets Reports'!B2175,P2175)</f>
      </c>
    </row>
    <row r="2177" spans="1:16" x14ac:dyDescent="0.25">
      <c r="A2177">
        <f>IF(OR('R.M Billets Reports'!A2176="Date-",'R.M Billets Reports'!A2176="Date:-"),IF(IF(IF(ISNUMBER(SEARCH("Party Name:-",'R.M Billets Reports'!D2176)),TRIM('R.M Billets Reports'!F2176),IF(ISNUMBER(SEARCH("Party Name-",'R.M Billets Reports'!D2176)),TRIM(MID('R.M Billets Reports'!D2176,SEARCH("-",'R.M Billets Reports'!D2176)+1,200)),""))&lt;&gt;"",IF(ISNUMBER(SEARCH("Party Name:-",'R.M Billets Reports'!D2176)),TRIM('R.M Billets Reports'!F2176),IF(ISNUMBER(SEARCH("Party Name-",'R.M Billets Reports'!D2176)),TRIM(MID('R.M Billets Reports'!D2176,SEARCH("-",'R.M Billets Reports'!D2176)+1,200)),"")),IF(ISNUMBER(SEARCH("Party Name:-",'R.M Billets Reports'!D2177)),TRIM('R.M Billets Reports'!F2177),IF(ISNUMBER(SEARCH("Party Name-",'R.M Billets Reports'!D2177)),TRIM(MID('R.M Billets Reports'!D2177,SEARCH("-",'R.M Billets Reports'!D2177)+1,200)),"")))="VRKP ISPAT PVT LTD","VRKP",IF(IF(IF(ISNUMBER(SEARCH("Party Name:-",'R.M Billets Reports'!D2176)),TRIM('R.M Billets Reports'!F2176),IF(ISNUMBER(SEARCH("Party Name-",'R.M Billets Reports'!D2176)),TRIM(MID('R.M Billets Reports'!D2176,SEARCH("-",'R.M Billets Reports'!D2176)+1,200)),""))&lt;&gt;"",IF(ISNUMBER(SEARCH("Party Name:-",'R.M Billets Reports'!D2176)),TRIM('R.M Billets Reports'!F2176),IF(ISNUMBER(SEARCH("Party Name-",'R.M Billets Reports'!D2176)),TRIM(MID('R.M Billets Reports'!D2176,SEARCH("-",'R.M Billets Reports'!D2176)+1,200)),"")),IF(ISNUMBER(SEARCH("Party Name:-",'R.M Billets Reports'!D2177)),TRIM('R.M Billets Reports'!F2177),IF(ISNUMBER(SEARCH("Party Name-",'R.M Billets Reports'!D2177)),TRIM(MID('R.M Billets Reports'!D2177,SEARCH("-",'R.M Billets Reports'!D2177)+1,200)),"")))="SHRI RADHE","SHREE RADHE",IF(IF(IF(ISNUMBER(SEARCH("Party Name:-",'R.M Billets Reports'!D2176)),TRIM('R.M Billets Reports'!F2176),IF(ISNUMBER(SEARCH("Party Name-",'R.M Billets Reports'!D2176)),TRIM(MID('R.M Billets Reports'!D2176,SEARCH("-",'R.M Billets Reports'!D2176)+1,200)),""))&lt;&gt;"",IF(ISNUMBER(SEARCH("Party Name:-",'R.M Billets Reports'!D2176)),TRIM('R.M Billets Reports'!F2176),IF(ISNUMBER(SEARCH("Party Name-",'R.M Billets Reports'!D2176)),TRIM(MID('R.M Billets Reports'!D2176,SEARCH("-",'R.M Billets Reports'!D2176)+1,200)),"")),IF(ISNUMBER(SEARCH("Party Name:-",'R.M Billets Reports'!D2177)),TRIM('R.M Billets Reports'!F2177),IF(ISNUMBER(SEARCH("Party Name-",'R.M Billets Reports'!D2177)),TRIM(MID('R.M Billets Reports'!D2177,SEARCH("-",'R.M Billets Reports'!D2177)+1,200)),"")))="SHREE RADHE SHAKTI SPONGE AND POWER PVT. LTD.","SHREE RADHE",IF(IF(ISNUMBER(SEARCH("Party Name:-",'R.M Billets Reports'!D2176)),TRIM('R.M Billets Reports'!F2176),IF(ISNUMBER(SEARCH("Party Name-",'R.M Billets Reports'!D2176)),TRIM(MID('R.M Billets Reports'!D2176,SEARCH("-",'R.M Billets Reports'!D2176)+1,200)),""))&lt;&gt;"",IF(ISNUMBER(SEARCH("Party Name:-",'R.M Billets Reports'!D2176)),TRIM('R.M Billets Reports'!F2176),IF(ISNUMBER(SEARCH("Party Name-",'R.M Billets Reports'!D2176)),TRIM(MID('R.M Billets Reports'!D2176,SEARCH("-",'R.M Billets Reports'!D2176)+1,200)),"")),IF(ISNUMBER(SEARCH("Party Name:-",'R.M Billets Reports'!D2177)),TRIM('R.M Billets Reports'!F2177),IF(ISNUMBER(SEARCH("Party Name-",'R.M Billets Reports'!D2177)),TRIM(MID('R.M Billets Reports'!D2177,SEARCH("-",'R.M Billets Reports'!D2177)+1,200)),"")))))),IF(ROW()=2,"",A2176))</f>
      </c>
      <c r="B2177">
        <f>IF(OR('R.M Billets Reports'!A2176="Date-",'R.M Billets Reports'!A2176="Date:-"),'R.M Billets Reports'!B2176,IF(ROW()=2,"",B2176))</f>
      </c>
      <c r="C2177">
        <f>IF('R.M Billets Reports'!A2176="V.No.",'R.M Billets Reports'!B2176,IF(ROW()=2,"",C2176))</f>
      </c>
      <c r="D2177">
        <f>IF('R.M Billets Reports'!A2176&lt;&gt;"",'R.M Billets Reports'!A2176,IF(ROW()=2,"",D2176))</f>
      </c>
      <c r="E2177">
        <f>IF('R.M Billets Reports'!B2176="","",TRIM('R.M Billets Reports'!B2176))</f>
      </c>
      <c r="F2177">
        <f>'R.M Billets Reports'!C2176</f>
      </c>
      <c r="G2177">
        <f>'R.M Billets Reports'!D2176</f>
      </c>
      <c r="H2177">
        <f>'R.M Billets Reports'!E2176</f>
      </c>
      <c r="I2177">
        <f>'R.M Billets Reports'!F2176</f>
      </c>
      <c r="J2177">
        <f>'R.M Billets Reports'!G2176</f>
      </c>
      <c r="K2177">
        <f>'R.M Billets Reports'!H2176</f>
      </c>
      <c r="L2177">
        <f>IF('R.M Billets Reports'!I2176="","",'R.M Billets Reports'!I2176)</f>
      </c>
      <c r="M2177">
        <f t="shared" si="66"/>
      </c>
      <c r="N2177">
        <f>IF('R.M Billets Reports'!J2176="","",'R.M Billets Reports'!J2176)</f>
      </c>
      <c r="O2177">
        <f t="shared" si="67"/>
      </c>
      <c r="P2177">
        <f>IF('R.M Billets Reports'!A2176="SIZE",'R.M Billets Reports'!B2176,P2176)</f>
      </c>
    </row>
    <row r="2178" spans="1:16" x14ac:dyDescent="0.25">
      <c r="A2178">
        <f>IF(OR('R.M Billets Reports'!A2177="Date-",'R.M Billets Reports'!A2177="Date:-"),IF(IF(IF(ISNUMBER(SEARCH("Party Name:-",'R.M Billets Reports'!D2177)),TRIM('R.M Billets Reports'!F2177),IF(ISNUMBER(SEARCH("Party Name-",'R.M Billets Reports'!D2177)),TRIM(MID('R.M Billets Reports'!D2177,SEARCH("-",'R.M Billets Reports'!D2177)+1,200)),""))&lt;&gt;"",IF(ISNUMBER(SEARCH("Party Name:-",'R.M Billets Reports'!D2177)),TRIM('R.M Billets Reports'!F2177),IF(ISNUMBER(SEARCH("Party Name-",'R.M Billets Reports'!D2177)),TRIM(MID('R.M Billets Reports'!D2177,SEARCH("-",'R.M Billets Reports'!D2177)+1,200)),"")),IF(ISNUMBER(SEARCH("Party Name:-",'R.M Billets Reports'!D2178)),TRIM('R.M Billets Reports'!F2178),IF(ISNUMBER(SEARCH("Party Name-",'R.M Billets Reports'!D2178)),TRIM(MID('R.M Billets Reports'!D2178,SEARCH("-",'R.M Billets Reports'!D2178)+1,200)),"")))="VRKP ISPAT PVT LTD","VRKP",IF(IF(IF(ISNUMBER(SEARCH("Party Name:-",'R.M Billets Reports'!D2177)),TRIM('R.M Billets Reports'!F2177),IF(ISNUMBER(SEARCH("Party Name-",'R.M Billets Reports'!D2177)),TRIM(MID('R.M Billets Reports'!D2177,SEARCH("-",'R.M Billets Reports'!D2177)+1,200)),""))&lt;&gt;"",IF(ISNUMBER(SEARCH("Party Name:-",'R.M Billets Reports'!D2177)),TRIM('R.M Billets Reports'!F2177),IF(ISNUMBER(SEARCH("Party Name-",'R.M Billets Reports'!D2177)),TRIM(MID('R.M Billets Reports'!D2177,SEARCH("-",'R.M Billets Reports'!D2177)+1,200)),"")),IF(ISNUMBER(SEARCH("Party Name:-",'R.M Billets Reports'!D2178)),TRIM('R.M Billets Reports'!F2178),IF(ISNUMBER(SEARCH("Party Name-",'R.M Billets Reports'!D2178)),TRIM(MID('R.M Billets Reports'!D2178,SEARCH("-",'R.M Billets Reports'!D2178)+1,200)),"")))="SHRI RADHE","SHREE RADHE",IF(IF(IF(ISNUMBER(SEARCH("Party Name:-",'R.M Billets Reports'!D2177)),TRIM('R.M Billets Reports'!F2177),IF(ISNUMBER(SEARCH("Party Name-",'R.M Billets Reports'!D2177)),TRIM(MID('R.M Billets Reports'!D2177,SEARCH("-",'R.M Billets Reports'!D2177)+1,200)),""))&lt;&gt;"",IF(ISNUMBER(SEARCH("Party Name:-",'R.M Billets Reports'!D2177)),TRIM('R.M Billets Reports'!F2177),IF(ISNUMBER(SEARCH("Party Name-",'R.M Billets Reports'!D2177)),TRIM(MID('R.M Billets Reports'!D2177,SEARCH("-",'R.M Billets Reports'!D2177)+1,200)),"")),IF(ISNUMBER(SEARCH("Party Name:-",'R.M Billets Reports'!D2178)),TRIM('R.M Billets Reports'!F2178),IF(ISNUMBER(SEARCH("Party Name-",'R.M Billets Reports'!D2178)),TRIM(MID('R.M Billets Reports'!D2178,SEARCH("-",'R.M Billets Reports'!D2178)+1,200)),"")))="SHREE RADHE SHAKTI SPONGE AND POWER PVT. LTD.","SHREE RADHE",IF(IF(ISNUMBER(SEARCH("Party Name:-",'R.M Billets Reports'!D2177)),TRIM('R.M Billets Reports'!F2177),IF(ISNUMBER(SEARCH("Party Name-",'R.M Billets Reports'!D2177)),TRIM(MID('R.M Billets Reports'!D2177,SEARCH("-",'R.M Billets Reports'!D2177)+1,200)),""))&lt;&gt;"",IF(ISNUMBER(SEARCH("Party Name:-",'R.M Billets Reports'!D2177)),TRIM('R.M Billets Reports'!F2177),IF(ISNUMBER(SEARCH("Party Name-",'R.M Billets Reports'!D2177)),TRIM(MID('R.M Billets Reports'!D2177,SEARCH("-",'R.M Billets Reports'!D2177)+1,200)),"")),IF(ISNUMBER(SEARCH("Party Name:-",'R.M Billets Reports'!D2178)),TRIM('R.M Billets Reports'!F2178),IF(ISNUMBER(SEARCH("Party Name-",'R.M Billets Reports'!D2178)),TRIM(MID('R.M Billets Reports'!D2178,SEARCH("-",'R.M Billets Reports'!D2178)+1,200)),"")))))),IF(ROW()=2,"",A2177))</f>
      </c>
      <c r="B2178">
        <f>IF(OR('R.M Billets Reports'!A2177="Date-",'R.M Billets Reports'!A2177="Date:-"),'R.M Billets Reports'!B2177,IF(ROW()=2,"",B2177))</f>
      </c>
      <c r="C2178">
        <f>IF('R.M Billets Reports'!A2177="V.No.",'R.M Billets Reports'!B2177,IF(ROW()=2,"",C2177))</f>
      </c>
      <c r="D2178">
        <f>IF('R.M Billets Reports'!A2177&lt;&gt;"",'R.M Billets Reports'!A2177,IF(ROW()=2,"",D2177))</f>
      </c>
      <c r="E2178">
        <f>IF('R.M Billets Reports'!B2177="","",TRIM('R.M Billets Reports'!B2177))</f>
      </c>
      <c r="F2178">
        <f>'R.M Billets Reports'!C2177</f>
      </c>
      <c r="G2178">
        <f>'R.M Billets Reports'!D2177</f>
      </c>
      <c r="H2178">
        <f>'R.M Billets Reports'!E2177</f>
      </c>
      <c r="I2178">
        <f>'R.M Billets Reports'!F2177</f>
      </c>
      <c r="J2178">
        <f>'R.M Billets Reports'!G2177</f>
      </c>
      <c r="K2178">
        <f>'R.M Billets Reports'!H2177</f>
      </c>
      <c r="L2178">
        <f>IF('R.M Billets Reports'!I2177="","",'R.M Billets Reports'!I2177)</f>
      </c>
      <c r="M2178">
        <f t="shared" si="66"/>
      </c>
      <c r="N2178">
        <f>IF('R.M Billets Reports'!J2177="","",'R.M Billets Reports'!J2177)</f>
      </c>
      <c r="O2178">
        <f t="shared" si="67"/>
      </c>
      <c r="P2178">
        <f>IF('R.M Billets Reports'!A2177="SIZE",'R.M Billets Reports'!B2177,P2177)</f>
      </c>
    </row>
    <row r="2179" spans="1:16" x14ac:dyDescent="0.25">
      <c r="A2179">
        <f>IF(OR('R.M Billets Reports'!A2178="Date-",'R.M Billets Reports'!A2178="Date:-"),IF(IF(IF(ISNUMBER(SEARCH("Party Name:-",'R.M Billets Reports'!D2178)),TRIM('R.M Billets Reports'!F2178),IF(ISNUMBER(SEARCH("Party Name-",'R.M Billets Reports'!D2178)),TRIM(MID('R.M Billets Reports'!D2178,SEARCH("-",'R.M Billets Reports'!D2178)+1,200)),""))&lt;&gt;"",IF(ISNUMBER(SEARCH("Party Name:-",'R.M Billets Reports'!D2178)),TRIM('R.M Billets Reports'!F2178),IF(ISNUMBER(SEARCH("Party Name-",'R.M Billets Reports'!D2178)),TRIM(MID('R.M Billets Reports'!D2178,SEARCH("-",'R.M Billets Reports'!D2178)+1,200)),"")),IF(ISNUMBER(SEARCH("Party Name:-",'R.M Billets Reports'!D2179)),TRIM('R.M Billets Reports'!F2179),IF(ISNUMBER(SEARCH("Party Name-",'R.M Billets Reports'!D2179)),TRIM(MID('R.M Billets Reports'!D2179,SEARCH("-",'R.M Billets Reports'!D2179)+1,200)),"")))="VRKP ISPAT PVT LTD","VRKP",IF(IF(IF(ISNUMBER(SEARCH("Party Name:-",'R.M Billets Reports'!D2178)),TRIM('R.M Billets Reports'!F2178),IF(ISNUMBER(SEARCH("Party Name-",'R.M Billets Reports'!D2178)),TRIM(MID('R.M Billets Reports'!D2178,SEARCH("-",'R.M Billets Reports'!D2178)+1,200)),""))&lt;&gt;"",IF(ISNUMBER(SEARCH("Party Name:-",'R.M Billets Reports'!D2178)),TRIM('R.M Billets Reports'!F2178),IF(ISNUMBER(SEARCH("Party Name-",'R.M Billets Reports'!D2178)),TRIM(MID('R.M Billets Reports'!D2178,SEARCH("-",'R.M Billets Reports'!D2178)+1,200)),"")),IF(ISNUMBER(SEARCH("Party Name:-",'R.M Billets Reports'!D2179)),TRIM('R.M Billets Reports'!F2179),IF(ISNUMBER(SEARCH("Party Name-",'R.M Billets Reports'!D2179)),TRIM(MID('R.M Billets Reports'!D2179,SEARCH("-",'R.M Billets Reports'!D2179)+1,200)),"")))="SHRI RADHE","SHREE RADHE",IF(IF(IF(ISNUMBER(SEARCH("Party Name:-",'R.M Billets Reports'!D2178)),TRIM('R.M Billets Reports'!F2178),IF(ISNUMBER(SEARCH("Party Name-",'R.M Billets Reports'!D2178)),TRIM(MID('R.M Billets Reports'!D2178,SEARCH("-",'R.M Billets Reports'!D2178)+1,200)),""))&lt;&gt;"",IF(ISNUMBER(SEARCH("Party Name:-",'R.M Billets Reports'!D2178)),TRIM('R.M Billets Reports'!F2178),IF(ISNUMBER(SEARCH("Party Name-",'R.M Billets Reports'!D2178)),TRIM(MID('R.M Billets Reports'!D2178,SEARCH("-",'R.M Billets Reports'!D2178)+1,200)),"")),IF(ISNUMBER(SEARCH("Party Name:-",'R.M Billets Reports'!D2179)),TRIM('R.M Billets Reports'!F2179),IF(ISNUMBER(SEARCH("Party Name-",'R.M Billets Reports'!D2179)),TRIM(MID('R.M Billets Reports'!D2179,SEARCH("-",'R.M Billets Reports'!D2179)+1,200)),"")))="SHREE RADHE SHAKTI SPONGE AND POWER PVT. LTD.","SHREE RADHE",IF(IF(ISNUMBER(SEARCH("Party Name:-",'R.M Billets Reports'!D2178)),TRIM('R.M Billets Reports'!F2178),IF(ISNUMBER(SEARCH("Party Name-",'R.M Billets Reports'!D2178)),TRIM(MID('R.M Billets Reports'!D2178,SEARCH("-",'R.M Billets Reports'!D2178)+1,200)),""))&lt;&gt;"",IF(ISNUMBER(SEARCH("Party Name:-",'R.M Billets Reports'!D2178)),TRIM('R.M Billets Reports'!F2178),IF(ISNUMBER(SEARCH("Party Name-",'R.M Billets Reports'!D2178)),TRIM(MID('R.M Billets Reports'!D2178,SEARCH("-",'R.M Billets Reports'!D2178)+1,200)),"")),IF(ISNUMBER(SEARCH("Party Name:-",'R.M Billets Reports'!D2179)),TRIM('R.M Billets Reports'!F2179),IF(ISNUMBER(SEARCH("Party Name-",'R.M Billets Reports'!D2179)),TRIM(MID('R.M Billets Reports'!D2179,SEARCH("-",'R.M Billets Reports'!D2179)+1,200)),"")))))),IF(ROW()=2,"",A2178))</f>
      </c>
      <c r="B2179">
        <f>IF(OR('R.M Billets Reports'!A2178="Date-",'R.M Billets Reports'!A2178="Date:-"),'R.M Billets Reports'!B2178,IF(ROW()=2,"",B2178))</f>
      </c>
      <c r="C2179">
        <f>IF('R.M Billets Reports'!A2178="V.No.",'R.M Billets Reports'!B2178,IF(ROW()=2,"",C2178))</f>
      </c>
      <c r="D2179">
        <f>IF('R.M Billets Reports'!A2178&lt;&gt;"",'R.M Billets Reports'!A2178,IF(ROW()=2,"",D2178))</f>
      </c>
      <c r="E2179">
        <f>IF('R.M Billets Reports'!B2178="","",TRIM('R.M Billets Reports'!B2178))</f>
      </c>
      <c r="F2179">
        <f>'R.M Billets Reports'!C2178</f>
      </c>
      <c r="G2179">
        <f>'R.M Billets Reports'!D2178</f>
      </c>
      <c r="H2179">
        <f>'R.M Billets Reports'!E2178</f>
      </c>
      <c r="I2179">
        <f>'R.M Billets Reports'!F2178</f>
      </c>
      <c r="J2179">
        <f>'R.M Billets Reports'!G2178</f>
      </c>
      <c r="K2179">
        <f>'R.M Billets Reports'!H2178</f>
      </c>
      <c r="L2179">
        <f>IF('R.M Billets Reports'!I2178="","",'R.M Billets Reports'!I2178)</f>
      </c>
      <c r="M2179">
        <f t="shared" ref="M2179:M2242" si="68">IF(L2179&lt;&gt;"",L2179,IF(D2179=D2178,M2178,""))</f>
      </c>
      <c r="N2179">
        <f>IF('R.M Billets Reports'!J2178="","",'R.M Billets Reports'!J2178)</f>
      </c>
      <c r="O2179">
        <f t="shared" ref="O2179:O2242" si="69">IF(N2179&lt;&gt;"",N2179,IF(D2179=D2178,O2178,""))</f>
      </c>
      <c r="P2179">
        <f>IF('R.M Billets Reports'!A2178="SIZE",'R.M Billets Reports'!B2178,P2178)</f>
      </c>
    </row>
    <row r="2180" spans="1:16" x14ac:dyDescent="0.25">
      <c r="A2180">
        <f>IF(OR('R.M Billets Reports'!A2179="Date-",'R.M Billets Reports'!A2179="Date:-"),IF(IF(IF(ISNUMBER(SEARCH("Party Name:-",'R.M Billets Reports'!D2179)),TRIM('R.M Billets Reports'!F2179),IF(ISNUMBER(SEARCH("Party Name-",'R.M Billets Reports'!D2179)),TRIM(MID('R.M Billets Reports'!D2179,SEARCH("-",'R.M Billets Reports'!D2179)+1,200)),""))&lt;&gt;"",IF(ISNUMBER(SEARCH("Party Name:-",'R.M Billets Reports'!D2179)),TRIM('R.M Billets Reports'!F2179),IF(ISNUMBER(SEARCH("Party Name-",'R.M Billets Reports'!D2179)),TRIM(MID('R.M Billets Reports'!D2179,SEARCH("-",'R.M Billets Reports'!D2179)+1,200)),"")),IF(ISNUMBER(SEARCH("Party Name:-",'R.M Billets Reports'!D2180)),TRIM('R.M Billets Reports'!F2180),IF(ISNUMBER(SEARCH("Party Name-",'R.M Billets Reports'!D2180)),TRIM(MID('R.M Billets Reports'!D2180,SEARCH("-",'R.M Billets Reports'!D2180)+1,200)),"")))="VRKP ISPAT PVT LTD","VRKP",IF(IF(IF(ISNUMBER(SEARCH("Party Name:-",'R.M Billets Reports'!D2179)),TRIM('R.M Billets Reports'!F2179),IF(ISNUMBER(SEARCH("Party Name-",'R.M Billets Reports'!D2179)),TRIM(MID('R.M Billets Reports'!D2179,SEARCH("-",'R.M Billets Reports'!D2179)+1,200)),""))&lt;&gt;"",IF(ISNUMBER(SEARCH("Party Name:-",'R.M Billets Reports'!D2179)),TRIM('R.M Billets Reports'!F2179),IF(ISNUMBER(SEARCH("Party Name-",'R.M Billets Reports'!D2179)),TRIM(MID('R.M Billets Reports'!D2179,SEARCH("-",'R.M Billets Reports'!D2179)+1,200)),"")),IF(ISNUMBER(SEARCH("Party Name:-",'R.M Billets Reports'!D2180)),TRIM('R.M Billets Reports'!F2180),IF(ISNUMBER(SEARCH("Party Name-",'R.M Billets Reports'!D2180)),TRIM(MID('R.M Billets Reports'!D2180,SEARCH("-",'R.M Billets Reports'!D2180)+1,200)),"")))="SHRI RADHE","SHREE RADHE",IF(IF(IF(ISNUMBER(SEARCH("Party Name:-",'R.M Billets Reports'!D2179)),TRIM('R.M Billets Reports'!F2179),IF(ISNUMBER(SEARCH("Party Name-",'R.M Billets Reports'!D2179)),TRIM(MID('R.M Billets Reports'!D2179,SEARCH("-",'R.M Billets Reports'!D2179)+1,200)),""))&lt;&gt;"",IF(ISNUMBER(SEARCH("Party Name:-",'R.M Billets Reports'!D2179)),TRIM('R.M Billets Reports'!F2179),IF(ISNUMBER(SEARCH("Party Name-",'R.M Billets Reports'!D2179)),TRIM(MID('R.M Billets Reports'!D2179,SEARCH("-",'R.M Billets Reports'!D2179)+1,200)),"")),IF(ISNUMBER(SEARCH("Party Name:-",'R.M Billets Reports'!D2180)),TRIM('R.M Billets Reports'!F2180),IF(ISNUMBER(SEARCH("Party Name-",'R.M Billets Reports'!D2180)),TRIM(MID('R.M Billets Reports'!D2180,SEARCH("-",'R.M Billets Reports'!D2180)+1,200)),"")))="SHREE RADHE SHAKTI SPONGE AND POWER PVT. LTD.","SHREE RADHE",IF(IF(ISNUMBER(SEARCH("Party Name:-",'R.M Billets Reports'!D2179)),TRIM('R.M Billets Reports'!F2179),IF(ISNUMBER(SEARCH("Party Name-",'R.M Billets Reports'!D2179)),TRIM(MID('R.M Billets Reports'!D2179,SEARCH("-",'R.M Billets Reports'!D2179)+1,200)),""))&lt;&gt;"",IF(ISNUMBER(SEARCH("Party Name:-",'R.M Billets Reports'!D2179)),TRIM('R.M Billets Reports'!F2179),IF(ISNUMBER(SEARCH("Party Name-",'R.M Billets Reports'!D2179)),TRIM(MID('R.M Billets Reports'!D2179,SEARCH("-",'R.M Billets Reports'!D2179)+1,200)),"")),IF(ISNUMBER(SEARCH("Party Name:-",'R.M Billets Reports'!D2180)),TRIM('R.M Billets Reports'!F2180),IF(ISNUMBER(SEARCH("Party Name-",'R.M Billets Reports'!D2180)),TRIM(MID('R.M Billets Reports'!D2180,SEARCH("-",'R.M Billets Reports'!D2180)+1,200)),"")))))),IF(ROW()=2,"",A2179))</f>
      </c>
      <c r="B2180">
        <f>IF(OR('R.M Billets Reports'!A2179="Date-",'R.M Billets Reports'!A2179="Date:-"),'R.M Billets Reports'!B2179,IF(ROW()=2,"",B2179))</f>
      </c>
      <c r="C2180">
        <f>IF('R.M Billets Reports'!A2179="V.No.",'R.M Billets Reports'!B2179,IF(ROW()=2,"",C2179))</f>
      </c>
      <c r="D2180">
        <f>IF('R.M Billets Reports'!A2179&lt;&gt;"",'R.M Billets Reports'!A2179,IF(ROW()=2,"",D2179))</f>
      </c>
      <c r="E2180">
        <f>IF('R.M Billets Reports'!B2179="","",TRIM('R.M Billets Reports'!B2179))</f>
      </c>
      <c r="F2180">
        <f>'R.M Billets Reports'!C2179</f>
      </c>
      <c r="G2180">
        <f>'R.M Billets Reports'!D2179</f>
      </c>
      <c r="H2180">
        <f>'R.M Billets Reports'!E2179</f>
      </c>
      <c r="I2180">
        <f>'R.M Billets Reports'!F2179</f>
      </c>
      <c r="J2180">
        <f>'R.M Billets Reports'!G2179</f>
      </c>
      <c r="K2180">
        <f>'R.M Billets Reports'!H2179</f>
      </c>
      <c r="L2180">
        <f>IF('R.M Billets Reports'!I2179="","",'R.M Billets Reports'!I2179)</f>
      </c>
      <c r="M2180">
        <f t="shared" si="68"/>
      </c>
      <c r="N2180">
        <f>IF('R.M Billets Reports'!J2179="","",'R.M Billets Reports'!J2179)</f>
      </c>
      <c r="O2180">
        <f t="shared" si="69"/>
      </c>
      <c r="P2180">
        <f>IF('R.M Billets Reports'!A2179="SIZE",'R.M Billets Reports'!B2179,P2179)</f>
      </c>
    </row>
    <row r="2181" spans="1:16" x14ac:dyDescent="0.25">
      <c r="A2181">
        <f>IF(OR('R.M Billets Reports'!A2180="Date-",'R.M Billets Reports'!A2180="Date:-"),IF(IF(IF(ISNUMBER(SEARCH("Party Name:-",'R.M Billets Reports'!D2180)),TRIM('R.M Billets Reports'!F2180),IF(ISNUMBER(SEARCH("Party Name-",'R.M Billets Reports'!D2180)),TRIM(MID('R.M Billets Reports'!D2180,SEARCH("-",'R.M Billets Reports'!D2180)+1,200)),""))&lt;&gt;"",IF(ISNUMBER(SEARCH("Party Name:-",'R.M Billets Reports'!D2180)),TRIM('R.M Billets Reports'!F2180),IF(ISNUMBER(SEARCH("Party Name-",'R.M Billets Reports'!D2180)),TRIM(MID('R.M Billets Reports'!D2180,SEARCH("-",'R.M Billets Reports'!D2180)+1,200)),"")),IF(ISNUMBER(SEARCH("Party Name:-",'R.M Billets Reports'!D2181)),TRIM('R.M Billets Reports'!F2181),IF(ISNUMBER(SEARCH("Party Name-",'R.M Billets Reports'!D2181)),TRIM(MID('R.M Billets Reports'!D2181,SEARCH("-",'R.M Billets Reports'!D2181)+1,200)),"")))="VRKP ISPAT PVT LTD","VRKP",IF(IF(IF(ISNUMBER(SEARCH("Party Name:-",'R.M Billets Reports'!D2180)),TRIM('R.M Billets Reports'!F2180),IF(ISNUMBER(SEARCH("Party Name-",'R.M Billets Reports'!D2180)),TRIM(MID('R.M Billets Reports'!D2180,SEARCH("-",'R.M Billets Reports'!D2180)+1,200)),""))&lt;&gt;"",IF(ISNUMBER(SEARCH("Party Name:-",'R.M Billets Reports'!D2180)),TRIM('R.M Billets Reports'!F2180),IF(ISNUMBER(SEARCH("Party Name-",'R.M Billets Reports'!D2180)),TRIM(MID('R.M Billets Reports'!D2180,SEARCH("-",'R.M Billets Reports'!D2180)+1,200)),"")),IF(ISNUMBER(SEARCH("Party Name:-",'R.M Billets Reports'!D2181)),TRIM('R.M Billets Reports'!F2181),IF(ISNUMBER(SEARCH("Party Name-",'R.M Billets Reports'!D2181)),TRIM(MID('R.M Billets Reports'!D2181,SEARCH("-",'R.M Billets Reports'!D2181)+1,200)),"")))="SHRI RADHE","SHREE RADHE",IF(IF(IF(ISNUMBER(SEARCH("Party Name:-",'R.M Billets Reports'!D2180)),TRIM('R.M Billets Reports'!F2180),IF(ISNUMBER(SEARCH("Party Name-",'R.M Billets Reports'!D2180)),TRIM(MID('R.M Billets Reports'!D2180,SEARCH("-",'R.M Billets Reports'!D2180)+1,200)),""))&lt;&gt;"",IF(ISNUMBER(SEARCH("Party Name:-",'R.M Billets Reports'!D2180)),TRIM('R.M Billets Reports'!F2180),IF(ISNUMBER(SEARCH("Party Name-",'R.M Billets Reports'!D2180)),TRIM(MID('R.M Billets Reports'!D2180,SEARCH("-",'R.M Billets Reports'!D2180)+1,200)),"")),IF(ISNUMBER(SEARCH("Party Name:-",'R.M Billets Reports'!D2181)),TRIM('R.M Billets Reports'!F2181),IF(ISNUMBER(SEARCH("Party Name-",'R.M Billets Reports'!D2181)),TRIM(MID('R.M Billets Reports'!D2181,SEARCH("-",'R.M Billets Reports'!D2181)+1,200)),"")))="SHREE RADHE SHAKTI SPONGE AND POWER PVT. LTD.","SHREE RADHE",IF(IF(ISNUMBER(SEARCH("Party Name:-",'R.M Billets Reports'!D2180)),TRIM('R.M Billets Reports'!F2180),IF(ISNUMBER(SEARCH("Party Name-",'R.M Billets Reports'!D2180)),TRIM(MID('R.M Billets Reports'!D2180,SEARCH("-",'R.M Billets Reports'!D2180)+1,200)),""))&lt;&gt;"",IF(ISNUMBER(SEARCH("Party Name:-",'R.M Billets Reports'!D2180)),TRIM('R.M Billets Reports'!F2180),IF(ISNUMBER(SEARCH("Party Name-",'R.M Billets Reports'!D2180)),TRIM(MID('R.M Billets Reports'!D2180,SEARCH("-",'R.M Billets Reports'!D2180)+1,200)),"")),IF(ISNUMBER(SEARCH("Party Name:-",'R.M Billets Reports'!D2181)),TRIM('R.M Billets Reports'!F2181),IF(ISNUMBER(SEARCH("Party Name-",'R.M Billets Reports'!D2181)),TRIM(MID('R.M Billets Reports'!D2181,SEARCH("-",'R.M Billets Reports'!D2181)+1,200)),"")))))),IF(ROW()=2,"",A2180))</f>
      </c>
      <c r="B2181">
        <f>IF(OR('R.M Billets Reports'!A2180="Date-",'R.M Billets Reports'!A2180="Date:-"),'R.M Billets Reports'!B2180,IF(ROW()=2,"",B2180))</f>
      </c>
      <c r="C2181">
        <f>IF('R.M Billets Reports'!A2180="V.No.",'R.M Billets Reports'!B2180,IF(ROW()=2,"",C2180))</f>
      </c>
      <c r="D2181">
        <f>IF('R.M Billets Reports'!A2180&lt;&gt;"",'R.M Billets Reports'!A2180,IF(ROW()=2,"",D2180))</f>
      </c>
      <c r="E2181">
        <f>IF('R.M Billets Reports'!B2180="","",TRIM('R.M Billets Reports'!B2180))</f>
      </c>
      <c r="F2181">
        <f>'R.M Billets Reports'!C2180</f>
      </c>
      <c r="G2181">
        <f>'R.M Billets Reports'!D2180</f>
      </c>
      <c r="H2181">
        <f>'R.M Billets Reports'!E2180</f>
      </c>
      <c r="I2181">
        <f>'R.M Billets Reports'!F2180</f>
      </c>
      <c r="J2181">
        <f>'R.M Billets Reports'!G2180</f>
      </c>
      <c r="K2181">
        <f>'R.M Billets Reports'!H2180</f>
      </c>
      <c r="L2181">
        <f>IF('R.M Billets Reports'!I2180="","",'R.M Billets Reports'!I2180)</f>
      </c>
      <c r="M2181">
        <f t="shared" si="68"/>
      </c>
      <c r="N2181">
        <f>IF('R.M Billets Reports'!J2180="","",'R.M Billets Reports'!J2180)</f>
      </c>
      <c r="O2181">
        <f t="shared" si="69"/>
      </c>
      <c r="P2181">
        <f>IF('R.M Billets Reports'!A2180="SIZE",'R.M Billets Reports'!B2180,P2180)</f>
      </c>
    </row>
    <row r="2182" spans="1:16" x14ac:dyDescent="0.25">
      <c r="A2182">
        <f>IF(OR('R.M Billets Reports'!A2181="Date-",'R.M Billets Reports'!A2181="Date:-"),IF(IF(IF(ISNUMBER(SEARCH("Party Name:-",'R.M Billets Reports'!D2181)),TRIM('R.M Billets Reports'!F2181),IF(ISNUMBER(SEARCH("Party Name-",'R.M Billets Reports'!D2181)),TRIM(MID('R.M Billets Reports'!D2181,SEARCH("-",'R.M Billets Reports'!D2181)+1,200)),""))&lt;&gt;"",IF(ISNUMBER(SEARCH("Party Name:-",'R.M Billets Reports'!D2181)),TRIM('R.M Billets Reports'!F2181),IF(ISNUMBER(SEARCH("Party Name-",'R.M Billets Reports'!D2181)),TRIM(MID('R.M Billets Reports'!D2181,SEARCH("-",'R.M Billets Reports'!D2181)+1,200)),"")),IF(ISNUMBER(SEARCH("Party Name:-",'R.M Billets Reports'!D2182)),TRIM('R.M Billets Reports'!F2182),IF(ISNUMBER(SEARCH("Party Name-",'R.M Billets Reports'!D2182)),TRIM(MID('R.M Billets Reports'!D2182,SEARCH("-",'R.M Billets Reports'!D2182)+1,200)),"")))="VRKP ISPAT PVT LTD","VRKP",IF(IF(IF(ISNUMBER(SEARCH("Party Name:-",'R.M Billets Reports'!D2181)),TRIM('R.M Billets Reports'!F2181),IF(ISNUMBER(SEARCH("Party Name-",'R.M Billets Reports'!D2181)),TRIM(MID('R.M Billets Reports'!D2181,SEARCH("-",'R.M Billets Reports'!D2181)+1,200)),""))&lt;&gt;"",IF(ISNUMBER(SEARCH("Party Name:-",'R.M Billets Reports'!D2181)),TRIM('R.M Billets Reports'!F2181),IF(ISNUMBER(SEARCH("Party Name-",'R.M Billets Reports'!D2181)),TRIM(MID('R.M Billets Reports'!D2181,SEARCH("-",'R.M Billets Reports'!D2181)+1,200)),"")),IF(ISNUMBER(SEARCH("Party Name:-",'R.M Billets Reports'!D2182)),TRIM('R.M Billets Reports'!F2182),IF(ISNUMBER(SEARCH("Party Name-",'R.M Billets Reports'!D2182)),TRIM(MID('R.M Billets Reports'!D2182,SEARCH("-",'R.M Billets Reports'!D2182)+1,200)),"")))="SHRI RADHE","SHREE RADHE",IF(IF(IF(ISNUMBER(SEARCH("Party Name:-",'R.M Billets Reports'!D2181)),TRIM('R.M Billets Reports'!F2181),IF(ISNUMBER(SEARCH("Party Name-",'R.M Billets Reports'!D2181)),TRIM(MID('R.M Billets Reports'!D2181,SEARCH("-",'R.M Billets Reports'!D2181)+1,200)),""))&lt;&gt;"",IF(ISNUMBER(SEARCH("Party Name:-",'R.M Billets Reports'!D2181)),TRIM('R.M Billets Reports'!F2181),IF(ISNUMBER(SEARCH("Party Name-",'R.M Billets Reports'!D2181)),TRIM(MID('R.M Billets Reports'!D2181,SEARCH("-",'R.M Billets Reports'!D2181)+1,200)),"")),IF(ISNUMBER(SEARCH("Party Name:-",'R.M Billets Reports'!D2182)),TRIM('R.M Billets Reports'!F2182),IF(ISNUMBER(SEARCH("Party Name-",'R.M Billets Reports'!D2182)),TRIM(MID('R.M Billets Reports'!D2182,SEARCH("-",'R.M Billets Reports'!D2182)+1,200)),"")))="SHREE RADHE SHAKTI SPONGE AND POWER PVT. LTD.","SHREE RADHE",IF(IF(ISNUMBER(SEARCH("Party Name:-",'R.M Billets Reports'!D2181)),TRIM('R.M Billets Reports'!F2181),IF(ISNUMBER(SEARCH("Party Name-",'R.M Billets Reports'!D2181)),TRIM(MID('R.M Billets Reports'!D2181,SEARCH("-",'R.M Billets Reports'!D2181)+1,200)),""))&lt;&gt;"",IF(ISNUMBER(SEARCH("Party Name:-",'R.M Billets Reports'!D2181)),TRIM('R.M Billets Reports'!F2181),IF(ISNUMBER(SEARCH("Party Name-",'R.M Billets Reports'!D2181)),TRIM(MID('R.M Billets Reports'!D2181,SEARCH("-",'R.M Billets Reports'!D2181)+1,200)),"")),IF(ISNUMBER(SEARCH("Party Name:-",'R.M Billets Reports'!D2182)),TRIM('R.M Billets Reports'!F2182),IF(ISNUMBER(SEARCH("Party Name-",'R.M Billets Reports'!D2182)),TRIM(MID('R.M Billets Reports'!D2182,SEARCH("-",'R.M Billets Reports'!D2182)+1,200)),"")))))),IF(ROW()=2,"",A2181))</f>
      </c>
      <c r="B2182">
        <f>IF(OR('R.M Billets Reports'!A2181="Date-",'R.M Billets Reports'!A2181="Date:-"),'R.M Billets Reports'!B2181,IF(ROW()=2,"",B2181))</f>
      </c>
      <c r="C2182">
        <f>IF('R.M Billets Reports'!A2181="V.No.",'R.M Billets Reports'!B2181,IF(ROW()=2,"",C2181))</f>
      </c>
      <c r="D2182">
        <f>IF('R.M Billets Reports'!A2181&lt;&gt;"",'R.M Billets Reports'!A2181,IF(ROW()=2,"",D2181))</f>
      </c>
      <c r="E2182">
        <f>IF('R.M Billets Reports'!B2181="","",TRIM('R.M Billets Reports'!B2181))</f>
      </c>
      <c r="F2182">
        <f>'R.M Billets Reports'!C2181</f>
      </c>
      <c r="G2182">
        <f>'R.M Billets Reports'!D2181</f>
      </c>
      <c r="H2182">
        <f>'R.M Billets Reports'!E2181</f>
      </c>
      <c r="I2182">
        <f>'R.M Billets Reports'!F2181</f>
      </c>
      <c r="J2182">
        <f>'R.M Billets Reports'!G2181</f>
      </c>
      <c r="K2182">
        <f>'R.M Billets Reports'!H2181</f>
      </c>
      <c r="L2182">
        <f>IF('R.M Billets Reports'!I2181="","",'R.M Billets Reports'!I2181)</f>
      </c>
      <c r="M2182">
        <f t="shared" si="68"/>
      </c>
      <c r="N2182">
        <f>IF('R.M Billets Reports'!J2181="","",'R.M Billets Reports'!J2181)</f>
      </c>
      <c r="O2182">
        <f t="shared" si="69"/>
      </c>
      <c r="P2182">
        <f>IF('R.M Billets Reports'!A2181="SIZE",'R.M Billets Reports'!B2181,P2181)</f>
      </c>
    </row>
    <row r="2183" spans="1:16" x14ac:dyDescent="0.25">
      <c r="A2183">
        <f>IF(OR('R.M Billets Reports'!A2182="Date-",'R.M Billets Reports'!A2182="Date:-"),IF(IF(IF(ISNUMBER(SEARCH("Party Name:-",'R.M Billets Reports'!D2182)),TRIM('R.M Billets Reports'!F2182),IF(ISNUMBER(SEARCH("Party Name-",'R.M Billets Reports'!D2182)),TRIM(MID('R.M Billets Reports'!D2182,SEARCH("-",'R.M Billets Reports'!D2182)+1,200)),""))&lt;&gt;"",IF(ISNUMBER(SEARCH("Party Name:-",'R.M Billets Reports'!D2182)),TRIM('R.M Billets Reports'!F2182),IF(ISNUMBER(SEARCH("Party Name-",'R.M Billets Reports'!D2182)),TRIM(MID('R.M Billets Reports'!D2182,SEARCH("-",'R.M Billets Reports'!D2182)+1,200)),"")),IF(ISNUMBER(SEARCH("Party Name:-",'R.M Billets Reports'!D2183)),TRIM('R.M Billets Reports'!F2183),IF(ISNUMBER(SEARCH("Party Name-",'R.M Billets Reports'!D2183)),TRIM(MID('R.M Billets Reports'!D2183,SEARCH("-",'R.M Billets Reports'!D2183)+1,200)),"")))="VRKP ISPAT PVT LTD","VRKP",IF(IF(IF(ISNUMBER(SEARCH("Party Name:-",'R.M Billets Reports'!D2182)),TRIM('R.M Billets Reports'!F2182),IF(ISNUMBER(SEARCH("Party Name-",'R.M Billets Reports'!D2182)),TRIM(MID('R.M Billets Reports'!D2182,SEARCH("-",'R.M Billets Reports'!D2182)+1,200)),""))&lt;&gt;"",IF(ISNUMBER(SEARCH("Party Name:-",'R.M Billets Reports'!D2182)),TRIM('R.M Billets Reports'!F2182),IF(ISNUMBER(SEARCH("Party Name-",'R.M Billets Reports'!D2182)),TRIM(MID('R.M Billets Reports'!D2182,SEARCH("-",'R.M Billets Reports'!D2182)+1,200)),"")),IF(ISNUMBER(SEARCH("Party Name:-",'R.M Billets Reports'!D2183)),TRIM('R.M Billets Reports'!F2183),IF(ISNUMBER(SEARCH("Party Name-",'R.M Billets Reports'!D2183)),TRIM(MID('R.M Billets Reports'!D2183,SEARCH("-",'R.M Billets Reports'!D2183)+1,200)),"")))="SHRI RADHE","SHREE RADHE",IF(IF(IF(ISNUMBER(SEARCH("Party Name:-",'R.M Billets Reports'!D2182)),TRIM('R.M Billets Reports'!F2182),IF(ISNUMBER(SEARCH("Party Name-",'R.M Billets Reports'!D2182)),TRIM(MID('R.M Billets Reports'!D2182,SEARCH("-",'R.M Billets Reports'!D2182)+1,200)),""))&lt;&gt;"",IF(ISNUMBER(SEARCH("Party Name:-",'R.M Billets Reports'!D2182)),TRIM('R.M Billets Reports'!F2182),IF(ISNUMBER(SEARCH("Party Name-",'R.M Billets Reports'!D2182)),TRIM(MID('R.M Billets Reports'!D2182,SEARCH("-",'R.M Billets Reports'!D2182)+1,200)),"")),IF(ISNUMBER(SEARCH("Party Name:-",'R.M Billets Reports'!D2183)),TRIM('R.M Billets Reports'!F2183),IF(ISNUMBER(SEARCH("Party Name-",'R.M Billets Reports'!D2183)),TRIM(MID('R.M Billets Reports'!D2183,SEARCH("-",'R.M Billets Reports'!D2183)+1,200)),"")))="SHREE RADHE SHAKTI SPONGE AND POWER PVT. LTD.","SHREE RADHE",IF(IF(ISNUMBER(SEARCH("Party Name:-",'R.M Billets Reports'!D2182)),TRIM('R.M Billets Reports'!F2182),IF(ISNUMBER(SEARCH("Party Name-",'R.M Billets Reports'!D2182)),TRIM(MID('R.M Billets Reports'!D2182,SEARCH("-",'R.M Billets Reports'!D2182)+1,200)),""))&lt;&gt;"",IF(ISNUMBER(SEARCH("Party Name:-",'R.M Billets Reports'!D2182)),TRIM('R.M Billets Reports'!F2182),IF(ISNUMBER(SEARCH("Party Name-",'R.M Billets Reports'!D2182)),TRIM(MID('R.M Billets Reports'!D2182,SEARCH("-",'R.M Billets Reports'!D2182)+1,200)),"")),IF(ISNUMBER(SEARCH("Party Name:-",'R.M Billets Reports'!D2183)),TRIM('R.M Billets Reports'!F2183),IF(ISNUMBER(SEARCH("Party Name-",'R.M Billets Reports'!D2183)),TRIM(MID('R.M Billets Reports'!D2183,SEARCH("-",'R.M Billets Reports'!D2183)+1,200)),"")))))),IF(ROW()=2,"",A2182))</f>
      </c>
      <c r="B2183">
        <f>IF(OR('R.M Billets Reports'!A2182="Date-",'R.M Billets Reports'!A2182="Date:-"),'R.M Billets Reports'!B2182,IF(ROW()=2,"",B2182))</f>
      </c>
      <c r="C2183">
        <f>IF('R.M Billets Reports'!A2182="V.No.",'R.M Billets Reports'!B2182,IF(ROW()=2,"",C2182))</f>
      </c>
      <c r="D2183">
        <f>IF('R.M Billets Reports'!A2182&lt;&gt;"",'R.M Billets Reports'!A2182,IF(ROW()=2,"",D2182))</f>
      </c>
      <c r="E2183">
        <f>IF('R.M Billets Reports'!B2182="","",TRIM('R.M Billets Reports'!B2182))</f>
      </c>
      <c r="F2183">
        <f>'R.M Billets Reports'!C2182</f>
      </c>
      <c r="G2183">
        <f>'R.M Billets Reports'!D2182</f>
      </c>
      <c r="H2183">
        <f>'R.M Billets Reports'!E2182</f>
      </c>
      <c r="I2183">
        <f>'R.M Billets Reports'!F2182</f>
      </c>
      <c r="J2183">
        <f>'R.M Billets Reports'!G2182</f>
      </c>
      <c r="K2183">
        <f>'R.M Billets Reports'!H2182</f>
      </c>
      <c r="L2183">
        <f>IF('R.M Billets Reports'!I2182="","",'R.M Billets Reports'!I2182)</f>
      </c>
      <c r="M2183">
        <f t="shared" si="68"/>
      </c>
      <c r="N2183">
        <f>IF('R.M Billets Reports'!J2182="","",'R.M Billets Reports'!J2182)</f>
      </c>
      <c r="O2183">
        <f t="shared" si="69"/>
      </c>
      <c r="P2183">
        <f>IF('R.M Billets Reports'!A2182="SIZE",'R.M Billets Reports'!B2182,P2182)</f>
      </c>
    </row>
    <row r="2184" spans="1:16" x14ac:dyDescent="0.25">
      <c r="A2184">
        <f>IF(OR('R.M Billets Reports'!A2183="Date-",'R.M Billets Reports'!A2183="Date:-"),IF(IF(IF(ISNUMBER(SEARCH("Party Name:-",'R.M Billets Reports'!D2183)),TRIM('R.M Billets Reports'!F2183),IF(ISNUMBER(SEARCH("Party Name-",'R.M Billets Reports'!D2183)),TRIM(MID('R.M Billets Reports'!D2183,SEARCH("-",'R.M Billets Reports'!D2183)+1,200)),""))&lt;&gt;"",IF(ISNUMBER(SEARCH("Party Name:-",'R.M Billets Reports'!D2183)),TRIM('R.M Billets Reports'!F2183),IF(ISNUMBER(SEARCH("Party Name-",'R.M Billets Reports'!D2183)),TRIM(MID('R.M Billets Reports'!D2183,SEARCH("-",'R.M Billets Reports'!D2183)+1,200)),"")),IF(ISNUMBER(SEARCH("Party Name:-",'R.M Billets Reports'!D2184)),TRIM('R.M Billets Reports'!F2184),IF(ISNUMBER(SEARCH("Party Name-",'R.M Billets Reports'!D2184)),TRIM(MID('R.M Billets Reports'!D2184,SEARCH("-",'R.M Billets Reports'!D2184)+1,200)),"")))="VRKP ISPAT PVT LTD","VRKP",IF(IF(IF(ISNUMBER(SEARCH("Party Name:-",'R.M Billets Reports'!D2183)),TRIM('R.M Billets Reports'!F2183),IF(ISNUMBER(SEARCH("Party Name-",'R.M Billets Reports'!D2183)),TRIM(MID('R.M Billets Reports'!D2183,SEARCH("-",'R.M Billets Reports'!D2183)+1,200)),""))&lt;&gt;"",IF(ISNUMBER(SEARCH("Party Name:-",'R.M Billets Reports'!D2183)),TRIM('R.M Billets Reports'!F2183),IF(ISNUMBER(SEARCH("Party Name-",'R.M Billets Reports'!D2183)),TRIM(MID('R.M Billets Reports'!D2183,SEARCH("-",'R.M Billets Reports'!D2183)+1,200)),"")),IF(ISNUMBER(SEARCH("Party Name:-",'R.M Billets Reports'!D2184)),TRIM('R.M Billets Reports'!F2184),IF(ISNUMBER(SEARCH("Party Name-",'R.M Billets Reports'!D2184)),TRIM(MID('R.M Billets Reports'!D2184,SEARCH("-",'R.M Billets Reports'!D2184)+1,200)),"")))="SHRI RADHE","SHREE RADHE",IF(IF(IF(ISNUMBER(SEARCH("Party Name:-",'R.M Billets Reports'!D2183)),TRIM('R.M Billets Reports'!F2183),IF(ISNUMBER(SEARCH("Party Name-",'R.M Billets Reports'!D2183)),TRIM(MID('R.M Billets Reports'!D2183,SEARCH("-",'R.M Billets Reports'!D2183)+1,200)),""))&lt;&gt;"",IF(ISNUMBER(SEARCH("Party Name:-",'R.M Billets Reports'!D2183)),TRIM('R.M Billets Reports'!F2183),IF(ISNUMBER(SEARCH("Party Name-",'R.M Billets Reports'!D2183)),TRIM(MID('R.M Billets Reports'!D2183,SEARCH("-",'R.M Billets Reports'!D2183)+1,200)),"")),IF(ISNUMBER(SEARCH("Party Name:-",'R.M Billets Reports'!D2184)),TRIM('R.M Billets Reports'!F2184),IF(ISNUMBER(SEARCH("Party Name-",'R.M Billets Reports'!D2184)),TRIM(MID('R.M Billets Reports'!D2184,SEARCH("-",'R.M Billets Reports'!D2184)+1,200)),"")))="SHREE RADHE SHAKTI SPONGE AND POWER PVT. LTD.","SHREE RADHE",IF(IF(ISNUMBER(SEARCH("Party Name:-",'R.M Billets Reports'!D2183)),TRIM('R.M Billets Reports'!F2183),IF(ISNUMBER(SEARCH("Party Name-",'R.M Billets Reports'!D2183)),TRIM(MID('R.M Billets Reports'!D2183,SEARCH("-",'R.M Billets Reports'!D2183)+1,200)),""))&lt;&gt;"",IF(ISNUMBER(SEARCH("Party Name:-",'R.M Billets Reports'!D2183)),TRIM('R.M Billets Reports'!F2183),IF(ISNUMBER(SEARCH("Party Name-",'R.M Billets Reports'!D2183)),TRIM(MID('R.M Billets Reports'!D2183,SEARCH("-",'R.M Billets Reports'!D2183)+1,200)),"")),IF(ISNUMBER(SEARCH("Party Name:-",'R.M Billets Reports'!D2184)),TRIM('R.M Billets Reports'!F2184),IF(ISNUMBER(SEARCH("Party Name-",'R.M Billets Reports'!D2184)),TRIM(MID('R.M Billets Reports'!D2184,SEARCH("-",'R.M Billets Reports'!D2184)+1,200)),"")))))),IF(ROW()=2,"",A2183))</f>
      </c>
      <c r="B2184">
        <f>IF(OR('R.M Billets Reports'!A2183="Date-",'R.M Billets Reports'!A2183="Date:-"),'R.M Billets Reports'!B2183,IF(ROW()=2,"",B2183))</f>
      </c>
      <c r="C2184">
        <f>IF('R.M Billets Reports'!A2183="V.No.",'R.M Billets Reports'!B2183,IF(ROW()=2,"",C2183))</f>
      </c>
      <c r="D2184">
        <f>IF('R.M Billets Reports'!A2183&lt;&gt;"",'R.M Billets Reports'!A2183,IF(ROW()=2,"",D2183))</f>
      </c>
      <c r="E2184">
        <f>IF('R.M Billets Reports'!B2183="","",TRIM('R.M Billets Reports'!B2183))</f>
      </c>
      <c r="F2184">
        <f>'R.M Billets Reports'!C2183</f>
      </c>
      <c r="G2184">
        <f>'R.M Billets Reports'!D2183</f>
      </c>
      <c r="H2184">
        <f>'R.M Billets Reports'!E2183</f>
      </c>
      <c r="I2184">
        <f>'R.M Billets Reports'!F2183</f>
      </c>
      <c r="J2184">
        <f>'R.M Billets Reports'!G2183</f>
      </c>
      <c r="K2184">
        <f>'R.M Billets Reports'!H2183</f>
      </c>
      <c r="L2184">
        <f>IF('R.M Billets Reports'!I2183="","",'R.M Billets Reports'!I2183)</f>
      </c>
      <c r="M2184">
        <f t="shared" si="68"/>
      </c>
      <c r="N2184">
        <f>IF('R.M Billets Reports'!J2183="","",'R.M Billets Reports'!J2183)</f>
      </c>
      <c r="O2184">
        <f t="shared" si="69"/>
      </c>
      <c r="P2184">
        <f>IF('R.M Billets Reports'!A2183="SIZE",'R.M Billets Reports'!B2183,P2183)</f>
      </c>
    </row>
    <row r="2185" spans="1:16" x14ac:dyDescent="0.25">
      <c r="A2185">
        <f>IF(OR('R.M Billets Reports'!A2184="Date-",'R.M Billets Reports'!A2184="Date:-"),IF(IF(IF(ISNUMBER(SEARCH("Party Name:-",'R.M Billets Reports'!D2184)),TRIM('R.M Billets Reports'!F2184),IF(ISNUMBER(SEARCH("Party Name-",'R.M Billets Reports'!D2184)),TRIM(MID('R.M Billets Reports'!D2184,SEARCH("-",'R.M Billets Reports'!D2184)+1,200)),""))&lt;&gt;"",IF(ISNUMBER(SEARCH("Party Name:-",'R.M Billets Reports'!D2184)),TRIM('R.M Billets Reports'!F2184),IF(ISNUMBER(SEARCH("Party Name-",'R.M Billets Reports'!D2184)),TRIM(MID('R.M Billets Reports'!D2184,SEARCH("-",'R.M Billets Reports'!D2184)+1,200)),"")),IF(ISNUMBER(SEARCH("Party Name:-",'R.M Billets Reports'!D2185)),TRIM('R.M Billets Reports'!F2185),IF(ISNUMBER(SEARCH("Party Name-",'R.M Billets Reports'!D2185)),TRIM(MID('R.M Billets Reports'!D2185,SEARCH("-",'R.M Billets Reports'!D2185)+1,200)),"")))="VRKP ISPAT PVT LTD","VRKP",IF(IF(IF(ISNUMBER(SEARCH("Party Name:-",'R.M Billets Reports'!D2184)),TRIM('R.M Billets Reports'!F2184),IF(ISNUMBER(SEARCH("Party Name-",'R.M Billets Reports'!D2184)),TRIM(MID('R.M Billets Reports'!D2184,SEARCH("-",'R.M Billets Reports'!D2184)+1,200)),""))&lt;&gt;"",IF(ISNUMBER(SEARCH("Party Name:-",'R.M Billets Reports'!D2184)),TRIM('R.M Billets Reports'!F2184),IF(ISNUMBER(SEARCH("Party Name-",'R.M Billets Reports'!D2184)),TRIM(MID('R.M Billets Reports'!D2184,SEARCH("-",'R.M Billets Reports'!D2184)+1,200)),"")),IF(ISNUMBER(SEARCH("Party Name:-",'R.M Billets Reports'!D2185)),TRIM('R.M Billets Reports'!F2185),IF(ISNUMBER(SEARCH("Party Name-",'R.M Billets Reports'!D2185)),TRIM(MID('R.M Billets Reports'!D2185,SEARCH("-",'R.M Billets Reports'!D2185)+1,200)),"")))="SHRI RADHE","SHREE RADHE",IF(IF(IF(ISNUMBER(SEARCH("Party Name:-",'R.M Billets Reports'!D2184)),TRIM('R.M Billets Reports'!F2184),IF(ISNUMBER(SEARCH("Party Name-",'R.M Billets Reports'!D2184)),TRIM(MID('R.M Billets Reports'!D2184,SEARCH("-",'R.M Billets Reports'!D2184)+1,200)),""))&lt;&gt;"",IF(ISNUMBER(SEARCH("Party Name:-",'R.M Billets Reports'!D2184)),TRIM('R.M Billets Reports'!F2184),IF(ISNUMBER(SEARCH("Party Name-",'R.M Billets Reports'!D2184)),TRIM(MID('R.M Billets Reports'!D2184,SEARCH("-",'R.M Billets Reports'!D2184)+1,200)),"")),IF(ISNUMBER(SEARCH("Party Name:-",'R.M Billets Reports'!D2185)),TRIM('R.M Billets Reports'!F2185),IF(ISNUMBER(SEARCH("Party Name-",'R.M Billets Reports'!D2185)),TRIM(MID('R.M Billets Reports'!D2185,SEARCH("-",'R.M Billets Reports'!D2185)+1,200)),"")))="SHREE RADHE SHAKTI SPONGE AND POWER PVT. LTD.","SHREE RADHE",IF(IF(ISNUMBER(SEARCH("Party Name:-",'R.M Billets Reports'!D2184)),TRIM('R.M Billets Reports'!F2184),IF(ISNUMBER(SEARCH("Party Name-",'R.M Billets Reports'!D2184)),TRIM(MID('R.M Billets Reports'!D2184,SEARCH("-",'R.M Billets Reports'!D2184)+1,200)),""))&lt;&gt;"",IF(ISNUMBER(SEARCH("Party Name:-",'R.M Billets Reports'!D2184)),TRIM('R.M Billets Reports'!F2184),IF(ISNUMBER(SEARCH("Party Name-",'R.M Billets Reports'!D2184)),TRIM(MID('R.M Billets Reports'!D2184,SEARCH("-",'R.M Billets Reports'!D2184)+1,200)),"")),IF(ISNUMBER(SEARCH("Party Name:-",'R.M Billets Reports'!D2185)),TRIM('R.M Billets Reports'!F2185),IF(ISNUMBER(SEARCH("Party Name-",'R.M Billets Reports'!D2185)),TRIM(MID('R.M Billets Reports'!D2185,SEARCH("-",'R.M Billets Reports'!D2185)+1,200)),"")))))),IF(ROW()=2,"",A2184))</f>
      </c>
      <c r="B2185">
        <f>IF(OR('R.M Billets Reports'!A2184="Date-",'R.M Billets Reports'!A2184="Date:-"),'R.M Billets Reports'!B2184,IF(ROW()=2,"",B2184))</f>
      </c>
      <c r="C2185">
        <f>IF('R.M Billets Reports'!A2184="V.No.",'R.M Billets Reports'!B2184,IF(ROW()=2,"",C2184))</f>
      </c>
      <c r="D2185">
        <f>IF('R.M Billets Reports'!A2184&lt;&gt;"",'R.M Billets Reports'!A2184,IF(ROW()=2,"",D2184))</f>
      </c>
      <c r="E2185">
        <f>IF('R.M Billets Reports'!B2184="","",TRIM('R.M Billets Reports'!B2184))</f>
      </c>
      <c r="F2185">
        <f>'R.M Billets Reports'!C2184</f>
      </c>
      <c r="G2185">
        <f>'R.M Billets Reports'!D2184</f>
      </c>
      <c r="H2185">
        <f>'R.M Billets Reports'!E2184</f>
      </c>
      <c r="I2185">
        <f>'R.M Billets Reports'!F2184</f>
      </c>
      <c r="J2185">
        <f>'R.M Billets Reports'!G2184</f>
      </c>
      <c r="K2185">
        <f>'R.M Billets Reports'!H2184</f>
      </c>
      <c r="L2185">
        <f>IF('R.M Billets Reports'!I2184="","",'R.M Billets Reports'!I2184)</f>
      </c>
      <c r="M2185">
        <f t="shared" si="68"/>
      </c>
      <c r="N2185">
        <f>IF('R.M Billets Reports'!J2184="","",'R.M Billets Reports'!J2184)</f>
      </c>
      <c r="O2185">
        <f t="shared" si="69"/>
      </c>
      <c r="P2185">
        <f>IF('R.M Billets Reports'!A2184="SIZE",'R.M Billets Reports'!B2184,P2184)</f>
      </c>
    </row>
    <row r="2186" spans="1:16" x14ac:dyDescent="0.25">
      <c r="A2186">
        <f>IF(OR('R.M Billets Reports'!A2185="Date-",'R.M Billets Reports'!A2185="Date:-"),IF(IF(IF(ISNUMBER(SEARCH("Party Name:-",'R.M Billets Reports'!D2185)),TRIM('R.M Billets Reports'!F2185),IF(ISNUMBER(SEARCH("Party Name-",'R.M Billets Reports'!D2185)),TRIM(MID('R.M Billets Reports'!D2185,SEARCH("-",'R.M Billets Reports'!D2185)+1,200)),""))&lt;&gt;"",IF(ISNUMBER(SEARCH("Party Name:-",'R.M Billets Reports'!D2185)),TRIM('R.M Billets Reports'!F2185),IF(ISNUMBER(SEARCH("Party Name-",'R.M Billets Reports'!D2185)),TRIM(MID('R.M Billets Reports'!D2185,SEARCH("-",'R.M Billets Reports'!D2185)+1,200)),"")),IF(ISNUMBER(SEARCH("Party Name:-",'R.M Billets Reports'!D2186)),TRIM('R.M Billets Reports'!F2186),IF(ISNUMBER(SEARCH("Party Name-",'R.M Billets Reports'!D2186)),TRIM(MID('R.M Billets Reports'!D2186,SEARCH("-",'R.M Billets Reports'!D2186)+1,200)),"")))="VRKP ISPAT PVT LTD","VRKP",IF(IF(IF(ISNUMBER(SEARCH("Party Name:-",'R.M Billets Reports'!D2185)),TRIM('R.M Billets Reports'!F2185),IF(ISNUMBER(SEARCH("Party Name-",'R.M Billets Reports'!D2185)),TRIM(MID('R.M Billets Reports'!D2185,SEARCH("-",'R.M Billets Reports'!D2185)+1,200)),""))&lt;&gt;"",IF(ISNUMBER(SEARCH("Party Name:-",'R.M Billets Reports'!D2185)),TRIM('R.M Billets Reports'!F2185),IF(ISNUMBER(SEARCH("Party Name-",'R.M Billets Reports'!D2185)),TRIM(MID('R.M Billets Reports'!D2185,SEARCH("-",'R.M Billets Reports'!D2185)+1,200)),"")),IF(ISNUMBER(SEARCH("Party Name:-",'R.M Billets Reports'!D2186)),TRIM('R.M Billets Reports'!F2186),IF(ISNUMBER(SEARCH("Party Name-",'R.M Billets Reports'!D2186)),TRIM(MID('R.M Billets Reports'!D2186,SEARCH("-",'R.M Billets Reports'!D2186)+1,200)),"")))="SHRI RADHE","SHREE RADHE",IF(IF(IF(ISNUMBER(SEARCH("Party Name:-",'R.M Billets Reports'!D2185)),TRIM('R.M Billets Reports'!F2185),IF(ISNUMBER(SEARCH("Party Name-",'R.M Billets Reports'!D2185)),TRIM(MID('R.M Billets Reports'!D2185,SEARCH("-",'R.M Billets Reports'!D2185)+1,200)),""))&lt;&gt;"",IF(ISNUMBER(SEARCH("Party Name:-",'R.M Billets Reports'!D2185)),TRIM('R.M Billets Reports'!F2185),IF(ISNUMBER(SEARCH("Party Name-",'R.M Billets Reports'!D2185)),TRIM(MID('R.M Billets Reports'!D2185,SEARCH("-",'R.M Billets Reports'!D2185)+1,200)),"")),IF(ISNUMBER(SEARCH("Party Name:-",'R.M Billets Reports'!D2186)),TRIM('R.M Billets Reports'!F2186),IF(ISNUMBER(SEARCH("Party Name-",'R.M Billets Reports'!D2186)),TRIM(MID('R.M Billets Reports'!D2186,SEARCH("-",'R.M Billets Reports'!D2186)+1,200)),"")))="SHREE RADHE SHAKTI SPONGE AND POWER PVT. LTD.","SHREE RADHE",IF(IF(ISNUMBER(SEARCH("Party Name:-",'R.M Billets Reports'!D2185)),TRIM('R.M Billets Reports'!F2185),IF(ISNUMBER(SEARCH("Party Name-",'R.M Billets Reports'!D2185)),TRIM(MID('R.M Billets Reports'!D2185,SEARCH("-",'R.M Billets Reports'!D2185)+1,200)),""))&lt;&gt;"",IF(ISNUMBER(SEARCH("Party Name:-",'R.M Billets Reports'!D2185)),TRIM('R.M Billets Reports'!F2185),IF(ISNUMBER(SEARCH("Party Name-",'R.M Billets Reports'!D2185)),TRIM(MID('R.M Billets Reports'!D2185,SEARCH("-",'R.M Billets Reports'!D2185)+1,200)),"")),IF(ISNUMBER(SEARCH("Party Name:-",'R.M Billets Reports'!D2186)),TRIM('R.M Billets Reports'!F2186),IF(ISNUMBER(SEARCH("Party Name-",'R.M Billets Reports'!D2186)),TRIM(MID('R.M Billets Reports'!D2186,SEARCH("-",'R.M Billets Reports'!D2186)+1,200)),"")))))),IF(ROW()=2,"",A2185))</f>
      </c>
      <c r="B2186">
        <f>IF(OR('R.M Billets Reports'!A2185="Date-",'R.M Billets Reports'!A2185="Date:-"),'R.M Billets Reports'!B2185,IF(ROW()=2,"",B2185))</f>
      </c>
      <c r="C2186">
        <f>IF('R.M Billets Reports'!A2185="V.No.",'R.M Billets Reports'!B2185,IF(ROW()=2,"",C2185))</f>
      </c>
      <c r="D2186">
        <f>IF('R.M Billets Reports'!A2185&lt;&gt;"",'R.M Billets Reports'!A2185,IF(ROW()=2,"",D2185))</f>
      </c>
      <c r="E2186">
        <f>IF('R.M Billets Reports'!B2185="","",TRIM('R.M Billets Reports'!B2185))</f>
      </c>
      <c r="F2186">
        <f>'R.M Billets Reports'!C2185</f>
      </c>
      <c r="G2186">
        <f>'R.M Billets Reports'!D2185</f>
      </c>
      <c r="H2186">
        <f>'R.M Billets Reports'!E2185</f>
      </c>
      <c r="I2186">
        <f>'R.M Billets Reports'!F2185</f>
      </c>
      <c r="J2186">
        <f>'R.M Billets Reports'!G2185</f>
      </c>
      <c r="K2186">
        <f>'R.M Billets Reports'!H2185</f>
      </c>
      <c r="L2186">
        <f>IF('R.M Billets Reports'!I2185="","",'R.M Billets Reports'!I2185)</f>
      </c>
      <c r="M2186">
        <f t="shared" si="68"/>
      </c>
      <c r="N2186">
        <f>IF('R.M Billets Reports'!J2185="","",'R.M Billets Reports'!J2185)</f>
      </c>
      <c r="O2186">
        <f t="shared" si="69"/>
      </c>
      <c r="P2186">
        <f>IF('R.M Billets Reports'!A2185="SIZE",'R.M Billets Reports'!B2185,P2185)</f>
      </c>
    </row>
    <row r="2187" spans="1:16" x14ac:dyDescent="0.25">
      <c r="A2187">
        <f>IF(OR('R.M Billets Reports'!A2186="Date-",'R.M Billets Reports'!A2186="Date:-"),IF(IF(IF(ISNUMBER(SEARCH("Party Name:-",'R.M Billets Reports'!D2186)),TRIM('R.M Billets Reports'!F2186),IF(ISNUMBER(SEARCH("Party Name-",'R.M Billets Reports'!D2186)),TRIM(MID('R.M Billets Reports'!D2186,SEARCH("-",'R.M Billets Reports'!D2186)+1,200)),""))&lt;&gt;"",IF(ISNUMBER(SEARCH("Party Name:-",'R.M Billets Reports'!D2186)),TRIM('R.M Billets Reports'!F2186),IF(ISNUMBER(SEARCH("Party Name-",'R.M Billets Reports'!D2186)),TRIM(MID('R.M Billets Reports'!D2186,SEARCH("-",'R.M Billets Reports'!D2186)+1,200)),"")),IF(ISNUMBER(SEARCH("Party Name:-",'R.M Billets Reports'!D2187)),TRIM('R.M Billets Reports'!F2187),IF(ISNUMBER(SEARCH("Party Name-",'R.M Billets Reports'!D2187)),TRIM(MID('R.M Billets Reports'!D2187,SEARCH("-",'R.M Billets Reports'!D2187)+1,200)),"")))="VRKP ISPAT PVT LTD","VRKP",IF(IF(IF(ISNUMBER(SEARCH("Party Name:-",'R.M Billets Reports'!D2186)),TRIM('R.M Billets Reports'!F2186),IF(ISNUMBER(SEARCH("Party Name-",'R.M Billets Reports'!D2186)),TRIM(MID('R.M Billets Reports'!D2186,SEARCH("-",'R.M Billets Reports'!D2186)+1,200)),""))&lt;&gt;"",IF(ISNUMBER(SEARCH("Party Name:-",'R.M Billets Reports'!D2186)),TRIM('R.M Billets Reports'!F2186),IF(ISNUMBER(SEARCH("Party Name-",'R.M Billets Reports'!D2186)),TRIM(MID('R.M Billets Reports'!D2186,SEARCH("-",'R.M Billets Reports'!D2186)+1,200)),"")),IF(ISNUMBER(SEARCH("Party Name:-",'R.M Billets Reports'!D2187)),TRIM('R.M Billets Reports'!F2187),IF(ISNUMBER(SEARCH("Party Name-",'R.M Billets Reports'!D2187)),TRIM(MID('R.M Billets Reports'!D2187,SEARCH("-",'R.M Billets Reports'!D2187)+1,200)),"")))="SHRI RADHE","SHREE RADHE",IF(IF(IF(ISNUMBER(SEARCH("Party Name:-",'R.M Billets Reports'!D2186)),TRIM('R.M Billets Reports'!F2186),IF(ISNUMBER(SEARCH("Party Name-",'R.M Billets Reports'!D2186)),TRIM(MID('R.M Billets Reports'!D2186,SEARCH("-",'R.M Billets Reports'!D2186)+1,200)),""))&lt;&gt;"",IF(ISNUMBER(SEARCH("Party Name:-",'R.M Billets Reports'!D2186)),TRIM('R.M Billets Reports'!F2186),IF(ISNUMBER(SEARCH("Party Name-",'R.M Billets Reports'!D2186)),TRIM(MID('R.M Billets Reports'!D2186,SEARCH("-",'R.M Billets Reports'!D2186)+1,200)),"")),IF(ISNUMBER(SEARCH("Party Name:-",'R.M Billets Reports'!D2187)),TRIM('R.M Billets Reports'!F2187),IF(ISNUMBER(SEARCH("Party Name-",'R.M Billets Reports'!D2187)),TRIM(MID('R.M Billets Reports'!D2187,SEARCH("-",'R.M Billets Reports'!D2187)+1,200)),"")))="SHREE RADHE SHAKTI SPONGE AND POWER PVT. LTD.","SHREE RADHE",IF(IF(ISNUMBER(SEARCH("Party Name:-",'R.M Billets Reports'!D2186)),TRIM('R.M Billets Reports'!F2186),IF(ISNUMBER(SEARCH("Party Name-",'R.M Billets Reports'!D2186)),TRIM(MID('R.M Billets Reports'!D2186,SEARCH("-",'R.M Billets Reports'!D2186)+1,200)),""))&lt;&gt;"",IF(ISNUMBER(SEARCH("Party Name:-",'R.M Billets Reports'!D2186)),TRIM('R.M Billets Reports'!F2186),IF(ISNUMBER(SEARCH("Party Name-",'R.M Billets Reports'!D2186)),TRIM(MID('R.M Billets Reports'!D2186,SEARCH("-",'R.M Billets Reports'!D2186)+1,200)),"")),IF(ISNUMBER(SEARCH("Party Name:-",'R.M Billets Reports'!D2187)),TRIM('R.M Billets Reports'!F2187),IF(ISNUMBER(SEARCH("Party Name-",'R.M Billets Reports'!D2187)),TRIM(MID('R.M Billets Reports'!D2187,SEARCH("-",'R.M Billets Reports'!D2187)+1,200)),"")))))),IF(ROW()=2,"",A2186))</f>
      </c>
      <c r="B2187">
        <f>IF(OR('R.M Billets Reports'!A2186="Date-",'R.M Billets Reports'!A2186="Date:-"),'R.M Billets Reports'!B2186,IF(ROW()=2,"",B2186))</f>
      </c>
      <c r="C2187">
        <f>IF('R.M Billets Reports'!A2186="V.No.",'R.M Billets Reports'!B2186,IF(ROW()=2,"",C2186))</f>
      </c>
      <c r="D2187">
        <f>IF('R.M Billets Reports'!A2186&lt;&gt;"",'R.M Billets Reports'!A2186,IF(ROW()=2,"",D2186))</f>
      </c>
      <c r="E2187">
        <f>IF('R.M Billets Reports'!B2186="","",TRIM('R.M Billets Reports'!B2186))</f>
      </c>
      <c r="F2187">
        <f>'R.M Billets Reports'!C2186</f>
      </c>
      <c r="G2187">
        <f>'R.M Billets Reports'!D2186</f>
      </c>
      <c r="H2187">
        <f>'R.M Billets Reports'!E2186</f>
      </c>
      <c r="I2187">
        <f>'R.M Billets Reports'!F2186</f>
      </c>
      <c r="J2187">
        <f>'R.M Billets Reports'!G2186</f>
      </c>
      <c r="K2187">
        <f>'R.M Billets Reports'!H2186</f>
      </c>
      <c r="L2187">
        <f>IF('R.M Billets Reports'!I2186="","",'R.M Billets Reports'!I2186)</f>
      </c>
      <c r="M2187">
        <f t="shared" si="68"/>
      </c>
      <c r="N2187">
        <f>IF('R.M Billets Reports'!J2186="","",'R.M Billets Reports'!J2186)</f>
      </c>
      <c r="O2187">
        <f t="shared" si="69"/>
      </c>
      <c r="P2187">
        <f>IF('R.M Billets Reports'!A2186="SIZE",'R.M Billets Reports'!B2186,P2186)</f>
      </c>
    </row>
    <row r="2188" spans="1:16" x14ac:dyDescent="0.25">
      <c r="A2188">
        <f>IF(OR('R.M Billets Reports'!A2187="Date-",'R.M Billets Reports'!A2187="Date:-"),IF(IF(IF(ISNUMBER(SEARCH("Party Name:-",'R.M Billets Reports'!D2187)),TRIM('R.M Billets Reports'!F2187),IF(ISNUMBER(SEARCH("Party Name-",'R.M Billets Reports'!D2187)),TRIM(MID('R.M Billets Reports'!D2187,SEARCH("-",'R.M Billets Reports'!D2187)+1,200)),""))&lt;&gt;"",IF(ISNUMBER(SEARCH("Party Name:-",'R.M Billets Reports'!D2187)),TRIM('R.M Billets Reports'!F2187),IF(ISNUMBER(SEARCH("Party Name-",'R.M Billets Reports'!D2187)),TRIM(MID('R.M Billets Reports'!D2187,SEARCH("-",'R.M Billets Reports'!D2187)+1,200)),"")),IF(ISNUMBER(SEARCH("Party Name:-",'R.M Billets Reports'!D2188)),TRIM('R.M Billets Reports'!F2188),IF(ISNUMBER(SEARCH("Party Name-",'R.M Billets Reports'!D2188)),TRIM(MID('R.M Billets Reports'!D2188,SEARCH("-",'R.M Billets Reports'!D2188)+1,200)),"")))="VRKP ISPAT PVT LTD","VRKP",IF(IF(IF(ISNUMBER(SEARCH("Party Name:-",'R.M Billets Reports'!D2187)),TRIM('R.M Billets Reports'!F2187),IF(ISNUMBER(SEARCH("Party Name-",'R.M Billets Reports'!D2187)),TRIM(MID('R.M Billets Reports'!D2187,SEARCH("-",'R.M Billets Reports'!D2187)+1,200)),""))&lt;&gt;"",IF(ISNUMBER(SEARCH("Party Name:-",'R.M Billets Reports'!D2187)),TRIM('R.M Billets Reports'!F2187),IF(ISNUMBER(SEARCH("Party Name-",'R.M Billets Reports'!D2187)),TRIM(MID('R.M Billets Reports'!D2187,SEARCH("-",'R.M Billets Reports'!D2187)+1,200)),"")),IF(ISNUMBER(SEARCH("Party Name:-",'R.M Billets Reports'!D2188)),TRIM('R.M Billets Reports'!F2188),IF(ISNUMBER(SEARCH("Party Name-",'R.M Billets Reports'!D2188)),TRIM(MID('R.M Billets Reports'!D2188,SEARCH("-",'R.M Billets Reports'!D2188)+1,200)),"")))="SHRI RADHE","SHREE RADHE",IF(IF(IF(ISNUMBER(SEARCH("Party Name:-",'R.M Billets Reports'!D2187)),TRIM('R.M Billets Reports'!F2187),IF(ISNUMBER(SEARCH("Party Name-",'R.M Billets Reports'!D2187)),TRIM(MID('R.M Billets Reports'!D2187,SEARCH("-",'R.M Billets Reports'!D2187)+1,200)),""))&lt;&gt;"",IF(ISNUMBER(SEARCH("Party Name:-",'R.M Billets Reports'!D2187)),TRIM('R.M Billets Reports'!F2187),IF(ISNUMBER(SEARCH("Party Name-",'R.M Billets Reports'!D2187)),TRIM(MID('R.M Billets Reports'!D2187,SEARCH("-",'R.M Billets Reports'!D2187)+1,200)),"")),IF(ISNUMBER(SEARCH("Party Name:-",'R.M Billets Reports'!D2188)),TRIM('R.M Billets Reports'!F2188),IF(ISNUMBER(SEARCH("Party Name-",'R.M Billets Reports'!D2188)),TRIM(MID('R.M Billets Reports'!D2188,SEARCH("-",'R.M Billets Reports'!D2188)+1,200)),"")))="SHREE RADHE SHAKTI SPONGE AND POWER PVT. LTD.","SHREE RADHE",IF(IF(ISNUMBER(SEARCH("Party Name:-",'R.M Billets Reports'!D2187)),TRIM('R.M Billets Reports'!F2187),IF(ISNUMBER(SEARCH("Party Name-",'R.M Billets Reports'!D2187)),TRIM(MID('R.M Billets Reports'!D2187,SEARCH("-",'R.M Billets Reports'!D2187)+1,200)),""))&lt;&gt;"",IF(ISNUMBER(SEARCH("Party Name:-",'R.M Billets Reports'!D2187)),TRIM('R.M Billets Reports'!F2187),IF(ISNUMBER(SEARCH("Party Name-",'R.M Billets Reports'!D2187)),TRIM(MID('R.M Billets Reports'!D2187,SEARCH("-",'R.M Billets Reports'!D2187)+1,200)),"")),IF(ISNUMBER(SEARCH("Party Name:-",'R.M Billets Reports'!D2188)),TRIM('R.M Billets Reports'!F2188),IF(ISNUMBER(SEARCH("Party Name-",'R.M Billets Reports'!D2188)),TRIM(MID('R.M Billets Reports'!D2188,SEARCH("-",'R.M Billets Reports'!D2188)+1,200)),"")))))),IF(ROW()=2,"",A2187))</f>
      </c>
      <c r="B2188">
        <f>IF(OR('R.M Billets Reports'!A2187="Date-",'R.M Billets Reports'!A2187="Date:-"),'R.M Billets Reports'!B2187,IF(ROW()=2,"",B2187))</f>
      </c>
      <c r="C2188">
        <f>IF('R.M Billets Reports'!A2187="V.No.",'R.M Billets Reports'!B2187,IF(ROW()=2,"",C2187))</f>
      </c>
      <c r="D2188">
        <f>IF('R.M Billets Reports'!A2187&lt;&gt;"",'R.M Billets Reports'!A2187,IF(ROW()=2,"",D2187))</f>
      </c>
      <c r="E2188">
        <f>IF('R.M Billets Reports'!B2187="","",TRIM('R.M Billets Reports'!B2187))</f>
      </c>
      <c r="F2188">
        <f>'R.M Billets Reports'!C2187</f>
      </c>
      <c r="G2188">
        <f>'R.M Billets Reports'!D2187</f>
      </c>
      <c r="H2188">
        <f>'R.M Billets Reports'!E2187</f>
      </c>
      <c r="I2188">
        <f>'R.M Billets Reports'!F2187</f>
      </c>
      <c r="J2188">
        <f>'R.M Billets Reports'!G2187</f>
      </c>
      <c r="K2188">
        <f>'R.M Billets Reports'!H2187</f>
      </c>
      <c r="L2188">
        <f>IF('R.M Billets Reports'!I2187="","",'R.M Billets Reports'!I2187)</f>
      </c>
      <c r="M2188">
        <f t="shared" si="68"/>
      </c>
      <c r="N2188">
        <f>IF('R.M Billets Reports'!J2187="","",'R.M Billets Reports'!J2187)</f>
      </c>
      <c r="O2188">
        <f t="shared" si="69"/>
      </c>
      <c r="P2188">
        <f>IF('R.M Billets Reports'!A2187="SIZE",'R.M Billets Reports'!B2187,P2187)</f>
      </c>
    </row>
    <row r="2189" spans="1:16" x14ac:dyDescent="0.25">
      <c r="A2189">
        <f>IF(OR('R.M Billets Reports'!A2188="Date-",'R.M Billets Reports'!A2188="Date:-"),IF(IF(IF(ISNUMBER(SEARCH("Party Name:-",'R.M Billets Reports'!D2188)),TRIM('R.M Billets Reports'!F2188),IF(ISNUMBER(SEARCH("Party Name-",'R.M Billets Reports'!D2188)),TRIM(MID('R.M Billets Reports'!D2188,SEARCH("-",'R.M Billets Reports'!D2188)+1,200)),""))&lt;&gt;"",IF(ISNUMBER(SEARCH("Party Name:-",'R.M Billets Reports'!D2188)),TRIM('R.M Billets Reports'!F2188),IF(ISNUMBER(SEARCH("Party Name-",'R.M Billets Reports'!D2188)),TRIM(MID('R.M Billets Reports'!D2188,SEARCH("-",'R.M Billets Reports'!D2188)+1,200)),"")),IF(ISNUMBER(SEARCH("Party Name:-",'R.M Billets Reports'!D2189)),TRIM('R.M Billets Reports'!F2189),IF(ISNUMBER(SEARCH("Party Name-",'R.M Billets Reports'!D2189)),TRIM(MID('R.M Billets Reports'!D2189,SEARCH("-",'R.M Billets Reports'!D2189)+1,200)),"")))="VRKP ISPAT PVT LTD","VRKP",IF(IF(IF(ISNUMBER(SEARCH("Party Name:-",'R.M Billets Reports'!D2188)),TRIM('R.M Billets Reports'!F2188),IF(ISNUMBER(SEARCH("Party Name-",'R.M Billets Reports'!D2188)),TRIM(MID('R.M Billets Reports'!D2188,SEARCH("-",'R.M Billets Reports'!D2188)+1,200)),""))&lt;&gt;"",IF(ISNUMBER(SEARCH("Party Name:-",'R.M Billets Reports'!D2188)),TRIM('R.M Billets Reports'!F2188),IF(ISNUMBER(SEARCH("Party Name-",'R.M Billets Reports'!D2188)),TRIM(MID('R.M Billets Reports'!D2188,SEARCH("-",'R.M Billets Reports'!D2188)+1,200)),"")),IF(ISNUMBER(SEARCH("Party Name:-",'R.M Billets Reports'!D2189)),TRIM('R.M Billets Reports'!F2189),IF(ISNUMBER(SEARCH("Party Name-",'R.M Billets Reports'!D2189)),TRIM(MID('R.M Billets Reports'!D2189,SEARCH("-",'R.M Billets Reports'!D2189)+1,200)),"")))="SHRI RADHE","SHREE RADHE",IF(IF(IF(ISNUMBER(SEARCH("Party Name:-",'R.M Billets Reports'!D2188)),TRIM('R.M Billets Reports'!F2188),IF(ISNUMBER(SEARCH("Party Name-",'R.M Billets Reports'!D2188)),TRIM(MID('R.M Billets Reports'!D2188,SEARCH("-",'R.M Billets Reports'!D2188)+1,200)),""))&lt;&gt;"",IF(ISNUMBER(SEARCH("Party Name:-",'R.M Billets Reports'!D2188)),TRIM('R.M Billets Reports'!F2188),IF(ISNUMBER(SEARCH("Party Name-",'R.M Billets Reports'!D2188)),TRIM(MID('R.M Billets Reports'!D2188,SEARCH("-",'R.M Billets Reports'!D2188)+1,200)),"")),IF(ISNUMBER(SEARCH("Party Name:-",'R.M Billets Reports'!D2189)),TRIM('R.M Billets Reports'!F2189),IF(ISNUMBER(SEARCH("Party Name-",'R.M Billets Reports'!D2189)),TRIM(MID('R.M Billets Reports'!D2189,SEARCH("-",'R.M Billets Reports'!D2189)+1,200)),"")))="SHREE RADHE SHAKTI SPONGE AND POWER PVT. LTD.","SHREE RADHE",IF(IF(ISNUMBER(SEARCH("Party Name:-",'R.M Billets Reports'!D2188)),TRIM('R.M Billets Reports'!F2188),IF(ISNUMBER(SEARCH("Party Name-",'R.M Billets Reports'!D2188)),TRIM(MID('R.M Billets Reports'!D2188,SEARCH("-",'R.M Billets Reports'!D2188)+1,200)),""))&lt;&gt;"",IF(ISNUMBER(SEARCH("Party Name:-",'R.M Billets Reports'!D2188)),TRIM('R.M Billets Reports'!F2188),IF(ISNUMBER(SEARCH("Party Name-",'R.M Billets Reports'!D2188)),TRIM(MID('R.M Billets Reports'!D2188,SEARCH("-",'R.M Billets Reports'!D2188)+1,200)),"")),IF(ISNUMBER(SEARCH("Party Name:-",'R.M Billets Reports'!D2189)),TRIM('R.M Billets Reports'!F2189),IF(ISNUMBER(SEARCH("Party Name-",'R.M Billets Reports'!D2189)),TRIM(MID('R.M Billets Reports'!D2189,SEARCH("-",'R.M Billets Reports'!D2189)+1,200)),"")))))),IF(ROW()=2,"",A2188))</f>
      </c>
      <c r="B2189">
        <f>IF(OR('R.M Billets Reports'!A2188="Date-",'R.M Billets Reports'!A2188="Date:-"),'R.M Billets Reports'!B2188,IF(ROW()=2,"",B2188))</f>
      </c>
      <c r="C2189">
        <f>IF('R.M Billets Reports'!A2188="V.No.",'R.M Billets Reports'!B2188,IF(ROW()=2,"",C2188))</f>
      </c>
      <c r="D2189">
        <f>IF('R.M Billets Reports'!A2188&lt;&gt;"",'R.M Billets Reports'!A2188,IF(ROW()=2,"",D2188))</f>
      </c>
      <c r="E2189">
        <f>IF('R.M Billets Reports'!B2188="","",TRIM('R.M Billets Reports'!B2188))</f>
      </c>
      <c r="F2189">
        <f>'R.M Billets Reports'!C2188</f>
      </c>
      <c r="G2189">
        <f>'R.M Billets Reports'!D2188</f>
      </c>
      <c r="H2189">
        <f>'R.M Billets Reports'!E2188</f>
      </c>
      <c r="I2189">
        <f>'R.M Billets Reports'!F2188</f>
      </c>
      <c r="J2189">
        <f>'R.M Billets Reports'!G2188</f>
      </c>
      <c r="K2189">
        <f>'R.M Billets Reports'!H2188</f>
      </c>
      <c r="L2189">
        <f>IF('R.M Billets Reports'!I2188="","",'R.M Billets Reports'!I2188)</f>
      </c>
      <c r="M2189">
        <f t="shared" si="68"/>
      </c>
      <c r="N2189">
        <f>IF('R.M Billets Reports'!J2188="","",'R.M Billets Reports'!J2188)</f>
      </c>
      <c r="O2189">
        <f t="shared" si="69"/>
      </c>
      <c r="P2189">
        <f>IF('R.M Billets Reports'!A2188="SIZE",'R.M Billets Reports'!B2188,P2188)</f>
      </c>
    </row>
    <row r="2190" spans="1:16" x14ac:dyDescent="0.25">
      <c r="A2190">
        <f>IF(OR('R.M Billets Reports'!A2189="Date-",'R.M Billets Reports'!A2189="Date:-"),IF(IF(IF(ISNUMBER(SEARCH("Party Name:-",'R.M Billets Reports'!D2189)),TRIM('R.M Billets Reports'!F2189),IF(ISNUMBER(SEARCH("Party Name-",'R.M Billets Reports'!D2189)),TRIM(MID('R.M Billets Reports'!D2189,SEARCH("-",'R.M Billets Reports'!D2189)+1,200)),""))&lt;&gt;"",IF(ISNUMBER(SEARCH("Party Name:-",'R.M Billets Reports'!D2189)),TRIM('R.M Billets Reports'!F2189),IF(ISNUMBER(SEARCH("Party Name-",'R.M Billets Reports'!D2189)),TRIM(MID('R.M Billets Reports'!D2189,SEARCH("-",'R.M Billets Reports'!D2189)+1,200)),"")),IF(ISNUMBER(SEARCH("Party Name:-",'R.M Billets Reports'!D2190)),TRIM('R.M Billets Reports'!F2190),IF(ISNUMBER(SEARCH("Party Name-",'R.M Billets Reports'!D2190)),TRIM(MID('R.M Billets Reports'!D2190,SEARCH("-",'R.M Billets Reports'!D2190)+1,200)),"")))="VRKP ISPAT PVT LTD","VRKP",IF(IF(IF(ISNUMBER(SEARCH("Party Name:-",'R.M Billets Reports'!D2189)),TRIM('R.M Billets Reports'!F2189),IF(ISNUMBER(SEARCH("Party Name-",'R.M Billets Reports'!D2189)),TRIM(MID('R.M Billets Reports'!D2189,SEARCH("-",'R.M Billets Reports'!D2189)+1,200)),""))&lt;&gt;"",IF(ISNUMBER(SEARCH("Party Name:-",'R.M Billets Reports'!D2189)),TRIM('R.M Billets Reports'!F2189),IF(ISNUMBER(SEARCH("Party Name-",'R.M Billets Reports'!D2189)),TRIM(MID('R.M Billets Reports'!D2189,SEARCH("-",'R.M Billets Reports'!D2189)+1,200)),"")),IF(ISNUMBER(SEARCH("Party Name:-",'R.M Billets Reports'!D2190)),TRIM('R.M Billets Reports'!F2190),IF(ISNUMBER(SEARCH("Party Name-",'R.M Billets Reports'!D2190)),TRIM(MID('R.M Billets Reports'!D2190,SEARCH("-",'R.M Billets Reports'!D2190)+1,200)),"")))="SHRI RADHE","SHREE RADHE",IF(IF(IF(ISNUMBER(SEARCH("Party Name:-",'R.M Billets Reports'!D2189)),TRIM('R.M Billets Reports'!F2189),IF(ISNUMBER(SEARCH("Party Name-",'R.M Billets Reports'!D2189)),TRIM(MID('R.M Billets Reports'!D2189,SEARCH("-",'R.M Billets Reports'!D2189)+1,200)),""))&lt;&gt;"",IF(ISNUMBER(SEARCH("Party Name:-",'R.M Billets Reports'!D2189)),TRIM('R.M Billets Reports'!F2189),IF(ISNUMBER(SEARCH("Party Name-",'R.M Billets Reports'!D2189)),TRIM(MID('R.M Billets Reports'!D2189,SEARCH("-",'R.M Billets Reports'!D2189)+1,200)),"")),IF(ISNUMBER(SEARCH("Party Name:-",'R.M Billets Reports'!D2190)),TRIM('R.M Billets Reports'!F2190),IF(ISNUMBER(SEARCH("Party Name-",'R.M Billets Reports'!D2190)),TRIM(MID('R.M Billets Reports'!D2190,SEARCH("-",'R.M Billets Reports'!D2190)+1,200)),"")))="SHREE RADHE SHAKTI SPONGE AND POWER PVT. LTD.","SHREE RADHE",IF(IF(ISNUMBER(SEARCH("Party Name:-",'R.M Billets Reports'!D2189)),TRIM('R.M Billets Reports'!F2189),IF(ISNUMBER(SEARCH("Party Name-",'R.M Billets Reports'!D2189)),TRIM(MID('R.M Billets Reports'!D2189,SEARCH("-",'R.M Billets Reports'!D2189)+1,200)),""))&lt;&gt;"",IF(ISNUMBER(SEARCH("Party Name:-",'R.M Billets Reports'!D2189)),TRIM('R.M Billets Reports'!F2189),IF(ISNUMBER(SEARCH("Party Name-",'R.M Billets Reports'!D2189)),TRIM(MID('R.M Billets Reports'!D2189,SEARCH("-",'R.M Billets Reports'!D2189)+1,200)),"")),IF(ISNUMBER(SEARCH("Party Name:-",'R.M Billets Reports'!D2190)),TRIM('R.M Billets Reports'!F2190),IF(ISNUMBER(SEARCH("Party Name-",'R.M Billets Reports'!D2190)),TRIM(MID('R.M Billets Reports'!D2190,SEARCH("-",'R.M Billets Reports'!D2190)+1,200)),"")))))),IF(ROW()=2,"",A2189))</f>
      </c>
      <c r="B2190">
        <f>IF(OR('R.M Billets Reports'!A2189="Date-",'R.M Billets Reports'!A2189="Date:-"),'R.M Billets Reports'!B2189,IF(ROW()=2,"",B2189))</f>
      </c>
      <c r="C2190">
        <f>IF('R.M Billets Reports'!A2189="V.No.",'R.M Billets Reports'!B2189,IF(ROW()=2,"",C2189))</f>
      </c>
      <c r="D2190">
        <f>IF('R.M Billets Reports'!A2189&lt;&gt;"",'R.M Billets Reports'!A2189,IF(ROW()=2,"",D2189))</f>
      </c>
      <c r="E2190">
        <f>IF('R.M Billets Reports'!B2189="","",TRIM('R.M Billets Reports'!B2189))</f>
      </c>
      <c r="F2190">
        <f>'R.M Billets Reports'!C2189</f>
      </c>
      <c r="G2190">
        <f>'R.M Billets Reports'!D2189</f>
      </c>
      <c r="H2190">
        <f>'R.M Billets Reports'!E2189</f>
      </c>
      <c r="I2190">
        <f>'R.M Billets Reports'!F2189</f>
      </c>
      <c r="J2190">
        <f>'R.M Billets Reports'!G2189</f>
      </c>
      <c r="K2190">
        <f>'R.M Billets Reports'!H2189</f>
      </c>
      <c r="L2190">
        <f>IF('R.M Billets Reports'!I2189="","",'R.M Billets Reports'!I2189)</f>
      </c>
      <c r="M2190">
        <f t="shared" si="68"/>
      </c>
      <c r="N2190">
        <f>IF('R.M Billets Reports'!J2189="","",'R.M Billets Reports'!J2189)</f>
      </c>
      <c r="O2190">
        <f t="shared" si="69"/>
      </c>
      <c r="P2190">
        <f>IF('R.M Billets Reports'!A2189="SIZE",'R.M Billets Reports'!B2189,P2189)</f>
      </c>
    </row>
    <row r="2191" spans="1:16" x14ac:dyDescent="0.25">
      <c r="A2191">
        <f>IF(OR('R.M Billets Reports'!A2190="Date-",'R.M Billets Reports'!A2190="Date:-"),IF(IF(IF(ISNUMBER(SEARCH("Party Name:-",'R.M Billets Reports'!D2190)),TRIM('R.M Billets Reports'!F2190),IF(ISNUMBER(SEARCH("Party Name-",'R.M Billets Reports'!D2190)),TRIM(MID('R.M Billets Reports'!D2190,SEARCH("-",'R.M Billets Reports'!D2190)+1,200)),""))&lt;&gt;"",IF(ISNUMBER(SEARCH("Party Name:-",'R.M Billets Reports'!D2190)),TRIM('R.M Billets Reports'!F2190),IF(ISNUMBER(SEARCH("Party Name-",'R.M Billets Reports'!D2190)),TRIM(MID('R.M Billets Reports'!D2190,SEARCH("-",'R.M Billets Reports'!D2190)+1,200)),"")),IF(ISNUMBER(SEARCH("Party Name:-",'R.M Billets Reports'!D2191)),TRIM('R.M Billets Reports'!F2191),IF(ISNUMBER(SEARCH("Party Name-",'R.M Billets Reports'!D2191)),TRIM(MID('R.M Billets Reports'!D2191,SEARCH("-",'R.M Billets Reports'!D2191)+1,200)),"")))="VRKP ISPAT PVT LTD","VRKP",IF(IF(IF(ISNUMBER(SEARCH("Party Name:-",'R.M Billets Reports'!D2190)),TRIM('R.M Billets Reports'!F2190),IF(ISNUMBER(SEARCH("Party Name-",'R.M Billets Reports'!D2190)),TRIM(MID('R.M Billets Reports'!D2190,SEARCH("-",'R.M Billets Reports'!D2190)+1,200)),""))&lt;&gt;"",IF(ISNUMBER(SEARCH("Party Name:-",'R.M Billets Reports'!D2190)),TRIM('R.M Billets Reports'!F2190),IF(ISNUMBER(SEARCH("Party Name-",'R.M Billets Reports'!D2190)),TRIM(MID('R.M Billets Reports'!D2190,SEARCH("-",'R.M Billets Reports'!D2190)+1,200)),"")),IF(ISNUMBER(SEARCH("Party Name:-",'R.M Billets Reports'!D2191)),TRIM('R.M Billets Reports'!F2191),IF(ISNUMBER(SEARCH("Party Name-",'R.M Billets Reports'!D2191)),TRIM(MID('R.M Billets Reports'!D2191,SEARCH("-",'R.M Billets Reports'!D2191)+1,200)),"")))="SHRI RADHE","SHREE RADHE",IF(IF(IF(ISNUMBER(SEARCH("Party Name:-",'R.M Billets Reports'!D2190)),TRIM('R.M Billets Reports'!F2190),IF(ISNUMBER(SEARCH("Party Name-",'R.M Billets Reports'!D2190)),TRIM(MID('R.M Billets Reports'!D2190,SEARCH("-",'R.M Billets Reports'!D2190)+1,200)),""))&lt;&gt;"",IF(ISNUMBER(SEARCH("Party Name:-",'R.M Billets Reports'!D2190)),TRIM('R.M Billets Reports'!F2190),IF(ISNUMBER(SEARCH("Party Name-",'R.M Billets Reports'!D2190)),TRIM(MID('R.M Billets Reports'!D2190,SEARCH("-",'R.M Billets Reports'!D2190)+1,200)),"")),IF(ISNUMBER(SEARCH("Party Name:-",'R.M Billets Reports'!D2191)),TRIM('R.M Billets Reports'!F2191),IF(ISNUMBER(SEARCH("Party Name-",'R.M Billets Reports'!D2191)),TRIM(MID('R.M Billets Reports'!D2191,SEARCH("-",'R.M Billets Reports'!D2191)+1,200)),"")))="SHREE RADHE SHAKTI SPONGE AND POWER PVT. LTD.","SHREE RADHE",IF(IF(ISNUMBER(SEARCH("Party Name:-",'R.M Billets Reports'!D2190)),TRIM('R.M Billets Reports'!F2190),IF(ISNUMBER(SEARCH("Party Name-",'R.M Billets Reports'!D2190)),TRIM(MID('R.M Billets Reports'!D2190,SEARCH("-",'R.M Billets Reports'!D2190)+1,200)),""))&lt;&gt;"",IF(ISNUMBER(SEARCH("Party Name:-",'R.M Billets Reports'!D2190)),TRIM('R.M Billets Reports'!F2190),IF(ISNUMBER(SEARCH("Party Name-",'R.M Billets Reports'!D2190)),TRIM(MID('R.M Billets Reports'!D2190,SEARCH("-",'R.M Billets Reports'!D2190)+1,200)),"")),IF(ISNUMBER(SEARCH("Party Name:-",'R.M Billets Reports'!D2191)),TRIM('R.M Billets Reports'!F2191),IF(ISNUMBER(SEARCH("Party Name-",'R.M Billets Reports'!D2191)),TRIM(MID('R.M Billets Reports'!D2191,SEARCH("-",'R.M Billets Reports'!D2191)+1,200)),"")))))),IF(ROW()=2,"",A2190))</f>
      </c>
      <c r="B2191">
        <f>IF(OR('R.M Billets Reports'!A2190="Date-",'R.M Billets Reports'!A2190="Date:-"),'R.M Billets Reports'!B2190,IF(ROW()=2,"",B2190))</f>
      </c>
      <c r="C2191">
        <f>IF('R.M Billets Reports'!A2190="V.No.",'R.M Billets Reports'!B2190,IF(ROW()=2,"",C2190))</f>
      </c>
      <c r="D2191">
        <f>IF('R.M Billets Reports'!A2190&lt;&gt;"",'R.M Billets Reports'!A2190,IF(ROW()=2,"",D2190))</f>
      </c>
      <c r="E2191">
        <f>IF('R.M Billets Reports'!B2190="","",TRIM('R.M Billets Reports'!B2190))</f>
      </c>
      <c r="F2191">
        <f>'R.M Billets Reports'!C2190</f>
      </c>
      <c r="G2191">
        <f>'R.M Billets Reports'!D2190</f>
      </c>
      <c r="H2191">
        <f>'R.M Billets Reports'!E2190</f>
      </c>
      <c r="I2191">
        <f>'R.M Billets Reports'!F2190</f>
      </c>
      <c r="J2191">
        <f>'R.M Billets Reports'!G2190</f>
      </c>
      <c r="K2191">
        <f>'R.M Billets Reports'!H2190</f>
      </c>
      <c r="L2191">
        <f>IF('R.M Billets Reports'!I2190="","",'R.M Billets Reports'!I2190)</f>
      </c>
      <c r="M2191">
        <f t="shared" si="68"/>
      </c>
      <c r="N2191">
        <f>IF('R.M Billets Reports'!J2190="","",'R.M Billets Reports'!J2190)</f>
      </c>
      <c r="O2191">
        <f t="shared" si="69"/>
      </c>
      <c r="P2191">
        <f>IF('R.M Billets Reports'!A2190="SIZE",'R.M Billets Reports'!B2190,P2190)</f>
      </c>
    </row>
    <row r="2192" spans="1:16" x14ac:dyDescent="0.25">
      <c r="A2192">
        <f>IF(OR('R.M Billets Reports'!A2191="Date-",'R.M Billets Reports'!A2191="Date:-"),IF(IF(IF(ISNUMBER(SEARCH("Party Name:-",'R.M Billets Reports'!D2191)),TRIM('R.M Billets Reports'!F2191),IF(ISNUMBER(SEARCH("Party Name-",'R.M Billets Reports'!D2191)),TRIM(MID('R.M Billets Reports'!D2191,SEARCH("-",'R.M Billets Reports'!D2191)+1,200)),""))&lt;&gt;"",IF(ISNUMBER(SEARCH("Party Name:-",'R.M Billets Reports'!D2191)),TRIM('R.M Billets Reports'!F2191),IF(ISNUMBER(SEARCH("Party Name-",'R.M Billets Reports'!D2191)),TRIM(MID('R.M Billets Reports'!D2191,SEARCH("-",'R.M Billets Reports'!D2191)+1,200)),"")),IF(ISNUMBER(SEARCH("Party Name:-",'R.M Billets Reports'!D2192)),TRIM('R.M Billets Reports'!F2192),IF(ISNUMBER(SEARCH("Party Name-",'R.M Billets Reports'!D2192)),TRIM(MID('R.M Billets Reports'!D2192,SEARCH("-",'R.M Billets Reports'!D2192)+1,200)),"")))="VRKP ISPAT PVT LTD","VRKP",IF(IF(IF(ISNUMBER(SEARCH("Party Name:-",'R.M Billets Reports'!D2191)),TRIM('R.M Billets Reports'!F2191),IF(ISNUMBER(SEARCH("Party Name-",'R.M Billets Reports'!D2191)),TRIM(MID('R.M Billets Reports'!D2191,SEARCH("-",'R.M Billets Reports'!D2191)+1,200)),""))&lt;&gt;"",IF(ISNUMBER(SEARCH("Party Name:-",'R.M Billets Reports'!D2191)),TRIM('R.M Billets Reports'!F2191),IF(ISNUMBER(SEARCH("Party Name-",'R.M Billets Reports'!D2191)),TRIM(MID('R.M Billets Reports'!D2191,SEARCH("-",'R.M Billets Reports'!D2191)+1,200)),"")),IF(ISNUMBER(SEARCH("Party Name:-",'R.M Billets Reports'!D2192)),TRIM('R.M Billets Reports'!F2192),IF(ISNUMBER(SEARCH("Party Name-",'R.M Billets Reports'!D2192)),TRIM(MID('R.M Billets Reports'!D2192,SEARCH("-",'R.M Billets Reports'!D2192)+1,200)),"")))="SHRI RADHE","SHREE RADHE",IF(IF(IF(ISNUMBER(SEARCH("Party Name:-",'R.M Billets Reports'!D2191)),TRIM('R.M Billets Reports'!F2191),IF(ISNUMBER(SEARCH("Party Name-",'R.M Billets Reports'!D2191)),TRIM(MID('R.M Billets Reports'!D2191,SEARCH("-",'R.M Billets Reports'!D2191)+1,200)),""))&lt;&gt;"",IF(ISNUMBER(SEARCH("Party Name:-",'R.M Billets Reports'!D2191)),TRIM('R.M Billets Reports'!F2191),IF(ISNUMBER(SEARCH("Party Name-",'R.M Billets Reports'!D2191)),TRIM(MID('R.M Billets Reports'!D2191,SEARCH("-",'R.M Billets Reports'!D2191)+1,200)),"")),IF(ISNUMBER(SEARCH("Party Name:-",'R.M Billets Reports'!D2192)),TRIM('R.M Billets Reports'!F2192),IF(ISNUMBER(SEARCH("Party Name-",'R.M Billets Reports'!D2192)),TRIM(MID('R.M Billets Reports'!D2192,SEARCH("-",'R.M Billets Reports'!D2192)+1,200)),"")))="SHREE RADHE SHAKTI SPONGE AND POWER PVT. LTD.","SHREE RADHE",IF(IF(ISNUMBER(SEARCH("Party Name:-",'R.M Billets Reports'!D2191)),TRIM('R.M Billets Reports'!F2191),IF(ISNUMBER(SEARCH("Party Name-",'R.M Billets Reports'!D2191)),TRIM(MID('R.M Billets Reports'!D2191,SEARCH("-",'R.M Billets Reports'!D2191)+1,200)),""))&lt;&gt;"",IF(ISNUMBER(SEARCH("Party Name:-",'R.M Billets Reports'!D2191)),TRIM('R.M Billets Reports'!F2191),IF(ISNUMBER(SEARCH("Party Name-",'R.M Billets Reports'!D2191)),TRIM(MID('R.M Billets Reports'!D2191,SEARCH("-",'R.M Billets Reports'!D2191)+1,200)),"")),IF(ISNUMBER(SEARCH("Party Name:-",'R.M Billets Reports'!D2192)),TRIM('R.M Billets Reports'!F2192),IF(ISNUMBER(SEARCH("Party Name-",'R.M Billets Reports'!D2192)),TRIM(MID('R.M Billets Reports'!D2192,SEARCH("-",'R.M Billets Reports'!D2192)+1,200)),"")))))),IF(ROW()=2,"",A2191))</f>
      </c>
      <c r="B2192">
        <f>IF(OR('R.M Billets Reports'!A2191="Date-",'R.M Billets Reports'!A2191="Date:-"),'R.M Billets Reports'!B2191,IF(ROW()=2,"",B2191))</f>
      </c>
      <c r="C2192">
        <f>IF('R.M Billets Reports'!A2191="V.No.",'R.M Billets Reports'!B2191,IF(ROW()=2,"",C2191))</f>
      </c>
      <c r="D2192">
        <f>IF('R.M Billets Reports'!A2191&lt;&gt;"",'R.M Billets Reports'!A2191,IF(ROW()=2,"",D2191))</f>
      </c>
      <c r="E2192">
        <f>IF('R.M Billets Reports'!B2191="","",TRIM('R.M Billets Reports'!B2191))</f>
      </c>
      <c r="F2192">
        <f>'R.M Billets Reports'!C2191</f>
      </c>
      <c r="G2192">
        <f>'R.M Billets Reports'!D2191</f>
      </c>
      <c r="H2192">
        <f>'R.M Billets Reports'!E2191</f>
      </c>
      <c r="I2192">
        <f>'R.M Billets Reports'!F2191</f>
      </c>
      <c r="J2192">
        <f>'R.M Billets Reports'!G2191</f>
      </c>
      <c r="K2192">
        <f>'R.M Billets Reports'!H2191</f>
      </c>
      <c r="L2192">
        <f>IF('R.M Billets Reports'!I2191="","",'R.M Billets Reports'!I2191)</f>
      </c>
      <c r="M2192">
        <f t="shared" si="68"/>
      </c>
      <c r="N2192">
        <f>IF('R.M Billets Reports'!J2191="","",'R.M Billets Reports'!J2191)</f>
      </c>
      <c r="O2192">
        <f t="shared" si="69"/>
      </c>
      <c r="P2192">
        <f>IF('R.M Billets Reports'!A2191="SIZE",'R.M Billets Reports'!B2191,P2191)</f>
      </c>
    </row>
    <row r="2193" spans="1:16" x14ac:dyDescent="0.25">
      <c r="A2193">
        <f>IF(OR('R.M Billets Reports'!A2192="Date-",'R.M Billets Reports'!A2192="Date:-"),IF(IF(IF(ISNUMBER(SEARCH("Party Name:-",'R.M Billets Reports'!D2192)),TRIM('R.M Billets Reports'!F2192),IF(ISNUMBER(SEARCH("Party Name-",'R.M Billets Reports'!D2192)),TRIM(MID('R.M Billets Reports'!D2192,SEARCH("-",'R.M Billets Reports'!D2192)+1,200)),""))&lt;&gt;"",IF(ISNUMBER(SEARCH("Party Name:-",'R.M Billets Reports'!D2192)),TRIM('R.M Billets Reports'!F2192),IF(ISNUMBER(SEARCH("Party Name-",'R.M Billets Reports'!D2192)),TRIM(MID('R.M Billets Reports'!D2192,SEARCH("-",'R.M Billets Reports'!D2192)+1,200)),"")),IF(ISNUMBER(SEARCH("Party Name:-",'R.M Billets Reports'!D2193)),TRIM('R.M Billets Reports'!F2193),IF(ISNUMBER(SEARCH("Party Name-",'R.M Billets Reports'!D2193)),TRIM(MID('R.M Billets Reports'!D2193,SEARCH("-",'R.M Billets Reports'!D2193)+1,200)),"")))="VRKP ISPAT PVT LTD","VRKP",IF(IF(IF(ISNUMBER(SEARCH("Party Name:-",'R.M Billets Reports'!D2192)),TRIM('R.M Billets Reports'!F2192),IF(ISNUMBER(SEARCH("Party Name-",'R.M Billets Reports'!D2192)),TRIM(MID('R.M Billets Reports'!D2192,SEARCH("-",'R.M Billets Reports'!D2192)+1,200)),""))&lt;&gt;"",IF(ISNUMBER(SEARCH("Party Name:-",'R.M Billets Reports'!D2192)),TRIM('R.M Billets Reports'!F2192),IF(ISNUMBER(SEARCH("Party Name-",'R.M Billets Reports'!D2192)),TRIM(MID('R.M Billets Reports'!D2192,SEARCH("-",'R.M Billets Reports'!D2192)+1,200)),"")),IF(ISNUMBER(SEARCH("Party Name:-",'R.M Billets Reports'!D2193)),TRIM('R.M Billets Reports'!F2193),IF(ISNUMBER(SEARCH("Party Name-",'R.M Billets Reports'!D2193)),TRIM(MID('R.M Billets Reports'!D2193,SEARCH("-",'R.M Billets Reports'!D2193)+1,200)),"")))="SHRI RADHE","SHREE RADHE",IF(IF(IF(ISNUMBER(SEARCH("Party Name:-",'R.M Billets Reports'!D2192)),TRIM('R.M Billets Reports'!F2192),IF(ISNUMBER(SEARCH("Party Name-",'R.M Billets Reports'!D2192)),TRIM(MID('R.M Billets Reports'!D2192,SEARCH("-",'R.M Billets Reports'!D2192)+1,200)),""))&lt;&gt;"",IF(ISNUMBER(SEARCH("Party Name:-",'R.M Billets Reports'!D2192)),TRIM('R.M Billets Reports'!F2192),IF(ISNUMBER(SEARCH("Party Name-",'R.M Billets Reports'!D2192)),TRIM(MID('R.M Billets Reports'!D2192,SEARCH("-",'R.M Billets Reports'!D2192)+1,200)),"")),IF(ISNUMBER(SEARCH("Party Name:-",'R.M Billets Reports'!D2193)),TRIM('R.M Billets Reports'!F2193),IF(ISNUMBER(SEARCH("Party Name-",'R.M Billets Reports'!D2193)),TRIM(MID('R.M Billets Reports'!D2193,SEARCH("-",'R.M Billets Reports'!D2193)+1,200)),"")))="SHREE RADHE SHAKTI SPONGE AND POWER PVT. LTD.","SHREE RADHE",IF(IF(ISNUMBER(SEARCH("Party Name:-",'R.M Billets Reports'!D2192)),TRIM('R.M Billets Reports'!F2192),IF(ISNUMBER(SEARCH("Party Name-",'R.M Billets Reports'!D2192)),TRIM(MID('R.M Billets Reports'!D2192,SEARCH("-",'R.M Billets Reports'!D2192)+1,200)),""))&lt;&gt;"",IF(ISNUMBER(SEARCH("Party Name:-",'R.M Billets Reports'!D2192)),TRIM('R.M Billets Reports'!F2192),IF(ISNUMBER(SEARCH("Party Name-",'R.M Billets Reports'!D2192)),TRIM(MID('R.M Billets Reports'!D2192,SEARCH("-",'R.M Billets Reports'!D2192)+1,200)),"")),IF(ISNUMBER(SEARCH("Party Name:-",'R.M Billets Reports'!D2193)),TRIM('R.M Billets Reports'!F2193),IF(ISNUMBER(SEARCH("Party Name-",'R.M Billets Reports'!D2193)),TRIM(MID('R.M Billets Reports'!D2193,SEARCH("-",'R.M Billets Reports'!D2193)+1,200)),"")))))),IF(ROW()=2,"",A2192))</f>
      </c>
      <c r="B2193">
        <f>IF(OR('R.M Billets Reports'!A2192="Date-",'R.M Billets Reports'!A2192="Date:-"),'R.M Billets Reports'!B2192,IF(ROW()=2,"",B2192))</f>
      </c>
      <c r="C2193">
        <f>IF('R.M Billets Reports'!A2192="V.No.",'R.M Billets Reports'!B2192,IF(ROW()=2,"",C2192))</f>
      </c>
      <c r="D2193">
        <f>IF('R.M Billets Reports'!A2192&lt;&gt;"",'R.M Billets Reports'!A2192,IF(ROW()=2,"",D2192))</f>
      </c>
      <c r="E2193">
        <f>IF('R.M Billets Reports'!B2192="","",TRIM('R.M Billets Reports'!B2192))</f>
      </c>
      <c r="F2193">
        <f>'R.M Billets Reports'!C2192</f>
      </c>
      <c r="G2193">
        <f>'R.M Billets Reports'!D2192</f>
      </c>
      <c r="H2193">
        <f>'R.M Billets Reports'!E2192</f>
      </c>
      <c r="I2193">
        <f>'R.M Billets Reports'!F2192</f>
      </c>
      <c r="J2193">
        <f>'R.M Billets Reports'!G2192</f>
      </c>
      <c r="K2193">
        <f>'R.M Billets Reports'!H2192</f>
      </c>
      <c r="L2193">
        <f>IF('R.M Billets Reports'!I2192="","",'R.M Billets Reports'!I2192)</f>
      </c>
      <c r="M2193">
        <f t="shared" si="68"/>
      </c>
      <c r="N2193">
        <f>IF('R.M Billets Reports'!J2192="","",'R.M Billets Reports'!J2192)</f>
      </c>
      <c r="O2193">
        <f t="shared" si="69"/>
      </c>
      <c r="P2193">
        <f>IF('R.M Billets Reports'!A2192="SIZE",'R.M Billets Reports'!B2192,P2192)</f>
      </c>
    </row>
    <row r="2194" spans="1:16" x14ac:dyDescent="0.25">
      <c r="A2194">
        <f>IF(OR('R.M Billets Reports'!A2193="Date-",'R.M Billets Reports'!A2193="Date:-"),IF(IF(IF(ISNUMBER(SEARCH("Party Name:-",'R.M Billets Reports'!D2193)),TRIM('R.M Billets Reports'!F2193),IF(ISNUMBER(SEARCH("Party Name-",'R.M Billets Reports'!D2193)),TRIM(MID('R.M Billets Reports'!D2193,SEARCH("-",'R.M Billets Reports'!D2193)+1,200)),""))&lt;&gt;"",IF(ISNUMBER(SEARCH("Party Name:-",'R.M Billets Reports'!D2193)),TRIM('R.M Billets Reports'!F2193),IF(ISNUMBER(SEARCH("Party Name-",'R.M Billets Reports'!D2193)),TRIM(MID('R.M Billets Reports'!D2193,SEARCH("-",'R.M Billets Reports'!D2193)+1,200)),"")),IF(ISNUMBER(SEARCH("Party Name:-",'R.M Billets Reports'!D2194)),TRIM('R.M Billets Reports'!F2194),IF(ISNUMBER(SEARCH("Party Name-",'R.M Billets Reports'!D2194)),TRIM(MID('R.M Billets Reports'!D2194,SEARCH("-",'R.M Billets Reports'!D2194)+1,200)),"")))="VRKP ISPAT PVT LTD","VRKP",IF(IF(IF(ISNUMBER(SEARCH("Party Name:-",'R.M Billets Reports'!D2193)),TRIM('R.M Billets Reports'!F2193),IF(ISNUMBER(SEARCH("Party Name-",'R.M Billets Reports'!D2193)),TRIM(MID('R.M Billets Reports'!D2193,SEARCH("-",'R.M Billets Reports'!D2193)+1,200)),""))&lt;&gt;"",IF(ISNUMBER(SEARCH("Party Name:-",'R.M Billets Reports'!D2193)),TRIM('R.M Billets Reports'!F2193),IF(ISNUMBER(SEARCH("Party Name-",'R.M Billets Reports'!D2193)),TRIM(MID('R.M Billets Reports'!D2193,SEARCH("-",'R.M Billets Reports'!D2193)+1,200)),"")),IF(ISNUMBER(SEARCH("Party Name:-",'R.M Billets Reports'!D2194)),TRIM('R.M Billets Reports'!F2194),IF(ISNUMBER(SEARCH("Party Name-",'R.M Billets Reports'!D2194)),TRIM(MID('R.M Billets Reports'!D2194,SEARCH("-",'R.M Billets Reports'!D2194)+1,200)),"")))="SHRI RADHE","SHREE RADHE",IF(IF(IF(ISNUMBER(SEARCH("Party Name:-",'R.M Billets Reports'!D2193)),TRIM('R.M Billets Reports'!F2193),IF(ISNUMBER(SEARCH("Party Name-",'R.M Billets Reports'!D2193)),TRIM(MID('R.M Billets Reports'!D2193,SEARCH("-",'R.M Billets Reports'!D2193)+1,200)),""))&lt;&gt;"",IF(ISNUMBER(SEARCH("Party Name:-",'R.M Billets Reports'!D2193)),TRIM('R.M Billets Reports'!F2193),IF(ISNUMBER(SEARCH("Party Name-",'R.M Billets Reports'!D2193)),TRIM(MID('R.M Billets Reports'!D2193,SEARCH("-",'R.M Billets Reports'!D2193)+1,200)),"")),IF(ISNUMBER(SEARCH("Party Name:-",'R.M Billets Reports'!D2194)),TRIM('R.M Billets Reports'!F2194),IF(ISNUMBER(SEARCH("Party Name-",'R.M Billets Reports'!D2194)),TRIM(MID('R.M Billets Reports'!D2194,SEARCH("-",'R.M Billets Reports'!D2194)+1,200)),"")))="SHREE RADHE SHAKTI SPONGE AND POWER PVT. LTD.","SHREE RADHE",IF(IF(ISNUMBER(SEARCH("Party Name:-",'R.M Billets Reports'!D2193)),TRIM('R.M Billets Reports'!F2193),IF(ISNUMBER(SEARCH("Party Name-",'R.M Billets Reports'!D2193)),TRIM(MID('R.M Billets Reports'!D2193,SEARCH("-",'R.M Billets Reports'!D2193)+1,200)),""))&lt;&gt;"",IF(ISNUMBER(SEARCH("Party Name:-",'R.M Billets Reports'!D2193)),TRIM('R.M Billets Reports'!F2193),IF(ISNUMBER(SEARCH("Party Name-",'R.M Billets Reports'!D2193)),TRIM(MID('R.M Billets Reports'!D2193,SEARCH("-",'R.M Billets Reports'!D2193)+1,200)),"")),IF(ISNUMBER(SEARCH("Party Name:-",'R.M Billets Reports'!D2194)),TRIM('R.M Billets Reports'!F2194),IF(ISNUMBER(SEARCH("Party Name-",'R.M Billets Reports'!D2194)),TRIM(MID('R.M Billets Reports'!D2194,SEARCH("-",'R.M Billets Reports'!D2194)+1,200)),"")))))),IF(ROW()=2,"",A2193))</f>
      </c>
      <c r="B2194">
        <f>IF(OR('R.M Billets Reports'!A2193="Date-",'R.M Billets Reports'!A2193="Date:-"),'R.M Billets Reports'!B2193,IF(ROW()=2,"",B2193))</f>
      </c>
      <c r="C2194">
        <f>IF('R.M Billets Reports'!A2193="V.No.",'R.M Billets Reports'!B2193,IF(ROW()=2,"",C2193))</f>
      </c>
      <c r="D2194">
        <f>IF('R.M Billets Reports'!A2193&lt;&gt;"",'R.M Billets Reports'!A2193,IF(ROW()=2,"",D2193))</f>
      </c>
      <c r="E2194">
        <f>IF('R.M Billets Reports'!B2193="","",TRIM('R.M Billets Reports'!B2193))</f>
      </c>
      <c r="F2194">
        <f>'R.M Billets Reports'!C2193</f>
      </c>
      <c r="G2194">
        <f>'R.M Billets Reports'!D2193</f>
      </c>
      <c r="H2194">
        <f>'R.M Billets Reports'!E2193</f>
      </c>
      <c r="I2194">
        <f>'R.M Billets Reports'!F2193</f>
      </c>
      <c r="J2194">
        <f>'R.M Billets Reports'!G2193</f>
      </c>
      <c r="K2194">
        <f>'R.M Billets Reports'!H2193</f>
      </c>
      <c r="L2194">
        <f>IF('R.M Billets Reports'!I2193="","",'R.M Billets Reports'!I2193)</f>
      </c>
      <c r="M2194">
        <f t="shared" si="68"/>
      </c>
      <c r="N2194">
        <f>IF('R.M Billets Reports'!J2193="","",'R.M Billets Reports'!J2193)</f>
      </c>
      <c r="O2194">
        <f t="shared" si="69"/>
      </c>
      <c r="P2194">
        <f>IF('R.M Billets Reports'!A2193="SIZE",'R.M Billets Reports'!B2193,P2193)</f>
      </c>
    </row>
    <row r="2195" spans="1:16" x14ac:dyDescent="0.25">
      <c r="A2195">
        <f>IF(OR('R.M Billets Reports'!A2194="Date-",'R.M Billets Reports'!A2194="Date:-"),IF(IF(IF(ISNUMBER(SEARCH("Party Name:-",'R.M Billets Reports'!D2194)),TRIM('R.M Billets Reports'!F2194),IF(ISNUMBER(SEARCH("Party Name-",'R.M Billets Reports'!D2194)),TRIM(MID('R.M Billets Reports'!D2194,SEARCH("-",'R.M Billets Reports'!D2194)+1,200)),""))&lt;&gt;"",IF(ISNUMBER(SEARCH("Party Name:-",'R.M Billets Reports'!D2194)),TRIM('R.M Billets Reports'!F2194),IF(ISNUMBER(SEARCH("Party Name-",'R.M Billets Reports'!D2194)),TRIM(MID('R.M Billets Reports'!D2194,SEARCH("-",'R.M Billets Reports'!D2194)+1,200)),"")),IF(ISNUMBER(SEARCH("Party Name:-",'R.M Billets Reports'!D2195)),TRIM('R.M Billets Reports'!F2195),IF(ISNUMBER(SEARCH("Party Name-",'R.M Billets Reports'!D2195)),TRIM(MID('R.M Billets Reports'!D2195,SEARCH("-",'R.M Billets Reports'!D2195)+1,200)),"")))="VRKP ISPAT PVT LTD","VRKP",IF(IF(IF(ISNUMBER(SEARCH("Party Name:-",'R.M Billets Reports'!D2194)),TRIM('R.M Billets Reports'!F2194),IF(ISNUMBER(SEARCH("Party Name-",'R.M Billets Reports'!D2194)),TRIM(MID('R.M Billets Reports'!D2194,SEARCH("-",'R.M Billets Reports'!D2194)+1,200)),""))&lt;&gt;"",IF(ISNUMBER(SEARCH("Party Name:-",'R.M Billets Reports'!D2194)),TRIM('R.M Billets Reports'!F2194),IF(ISNUMBER(SEARCH("Party Name-",'R.M Billets Reports'!D2194)),TRIM(MID('R.M Billets Reports'!D2194,SEARCH("-",'R.M Billets Reports'!D2194)+1,200)),"")),IF(ISNUMBER(SEARCH("Party Name:-",'R.M Billets Reports'!D2195)),TRIM('R.M Billets Reports'!F2195),IF(ISNUMBER(SEARCH("Party Name-",'R.M Billets Reports'!D2195)),TRIM(MID('R.M Billets Reports'!D2195,SEARCH("-",'R.M Billets Reports'!D2195)+1,200)),"")))="SHRI RADHE","SHREE RADHE",IF(IF(IF(ISNUMBER(SEARCH("Party Name:-",'R.M Billets Reports'!D2194)),TRIM('R.M Billets Reports'!F2194),IF(ISNUMBER(SEARCH("Party Name-",'R.M Billets Reports'!D2194)),TRIM(MID('R.M Billets Reports'!D2194,SEARCH("-",'R.M Billets Reports'!D2194)+1,200)),""))&lt;&gt;"",IF(ISNUMBER(SEARCH("Party Name:-",'R.M Billets Reports'!D2194)),TRIM('R.M Billets Reports'!F2194),IF(ISNUMBER(SEARCH("Party Name-",'R.M Billets Reports'!D2194)),TRIM(MID('R.M Billets Reports'!D2194,SEARCH("-",'R.M Billets Reports'!D2194)+1,200)),"")),IF(ISNUMBER(SEARCH("Party Name:-",'R.M Billets Reports'!D2195)),TRIM('R.M Billets Reports'!F2195),IF(ISNUMBER(SEARCH("Party Name-",'R.M Billets Reports'!D2195)),TRIM(MID('R.M Billets Reports'!D2195,SEARCH("-",'R.M Billets Reports'!D2195)+1,200)),"")))="SHREE RADHE SHAKTI SPONGE AND POWER PVT. LTD.","SHREE RADHE",IF(IF(ISNUMBER(SEARCH("Party Name:-",'R.M Billets Reports'!D2194)),TRIM('R.M Billets Reports'!F2194),IF(ISNUMBER(SEARCH("Party Name-",'R.M Billets Reports'!D2194)),TRIM(MID('R.M Billets Reports'!D2194,SEARCH("-",'R.M Billets Reports'!D2194)+1,200)),""))&lt;&gt;"",IF(ISNUMBER(SEARCH("Party Name:-",'R.M Billets Reports'!D2194)),TRIM('R.M Billets Reports'!F2194),IF(ISNUMBER(SEARCH("Party Name-",'R.M Billets Reports'!D2194)),TRIM(MID('R.M Billets Reports'!D2194,SEARCH("-",'R.M Billets Reports'!D2194)+1,200)),"")),IF(ISNUMBER(SEARCH("Party Name:-",'R.M Billets Reports'!D2195)),TRIM('R.M Billets Reports'!F2195),IF(ISNUMBER(SEARCH("Party Name-",'R.M Billets Reports'!D2195)),TRIM(MID('R.M Billets Reports'!D2195,SEARCH("-",'R.M Billets Reports'!D2195)+1,200)),"")))))),IF(ROW()=2,"",A2194))</f>
      </c>
      <c r="B2195">
        <f>IF(OR('R.M Billets Reports'!A2194="Date-",'R.M Billets Reports'!A2194="Date:-"),'R.M Billets Reports'!B2194,IF(ROW()=2,"",B2194))</f>
      </c>
      <c r="C2195">
        <f>IF('R.M Billets Reports'!A2194="V.No.",'R.M Billets Reports'!B2194,IF(ROW()=2,"",C2194))</f>
      </c>
      <c r="D2195">
        <f>IF('R.M Billets Reports'!A2194&lt;&gt;"",'R.M Billets Reports'!A2194,IF(ROW()=2,"",D2194))</f>
      </c>
      <c r="E2195">
        <f>IF('R.M Billets Reports'!B2194="","",TRIM('R.M Billets Reports'!B2194))</f>
      </c>
      <c r="F2195">
        <f>'R.M Billets Reports'!C2194</f>
      </c>
      <c r="G2195">
        <f>'R.M Billets Reports'!D2194</f>
      </c>
      <c r="H2195">
        <f>'R.M Billets Reports'!E2194</f>
      </c>
      <c r="I2195">
        <f>'R.M Billets Reports'!F2194</f>
      </c>
      <c r="J2195">
        <f>'R.M Billets Reports'!G2194</f>
      </c>
      <c r="K2195">
        <f>'R.M Billets Reports'!H2194</f>
      </c>
      <c r="L2195">
        <f>IF('R.M Billets Reports'!I2194="","",'R.M Billets Reports'!I2194)</f>
      </c>
      <c r="M2195">
        <f t="shared" si="68"/>
      </c>
      <c r="N2195">
        <f>IF('R.M Billets Reports'!J2194="","",'R.M Billets Reports'!J2194)</f>
      </c>
      <c r="O2195">
        <f t="shared" si="69"/>
      </c>
      <c r="P2195">
        <f>IF('R.M Billets Reports'!A2194="SIZE",'R.M Billets Reports'!B2194,P2194)</f>
      </c>
    </row>
    <row r="2196" spans="1:16" x14ac:dyDescent="0.25">
      <c r="A2196">
        <f>IF(OR('R.M Billets Reports'!A2195="Date-",'R.M Billets Reports'!A2195="Date:-"),IF(IF(IF(ISNUMBER(SEARCH("Party Name:-",'R.M Billets Reports'!D2195)),TRIM('R.M Billets Reports'!F2195),IF(ISNUMBER(SEARCH("Party Name-",'R.M Billets Reports'!D2195)),TRIM(MID('R.M Billets Reports'!D2195,SEARCH("-",'R.M Billets Reports'!D2195)+1,200)),""))&lt;&gt;"",IF(ISNUMBER(SEARCH("Party Name:-",'R.M Billets Reports'!D2195)),TRIM('R.M Billets Reports'!F2195),IF(ISNUMBER(SEARCH("Party Name-",'R.M Billets Reports'!D2195)),TRIM(MID('R.M Billets Reports'!D2195,SEARCH("-",'R.M Billets Reports'!D2195)+1,200)),"")),IF(ISNUMBER(SEARCH("Party Name:-",'R.M Billets Reports'!D2196)),TRIM('R.M Billets Reports'!F2196),IF(ISNUMBER(SEARCH("Party Name-",'R.M Billets Reports'!D2196)),TRIM(MID('R.M Billets Reports'!D2196,SEARCH("-",'R.M Billets Reports'!D2196)+1,200)),"")))="VRKP ISPAT PVT LTD","VRKP",IF(IF(IF(ISNUMBER(SEARCH("Party Name:-",'R.M Billets Reports'!D2195)),TRIM('R.M Billets Reports'!F2195),IF(ISNUMBER(SEARCH("Party Name-",'R.M Billets Reports'!D2195)),TRIM(MID('R.M Billets Reports'!D2195,SEARCH("-",'R.M Billets Reports'!D2195)+1,200)),""))&lt;&gt;"",IF(ISNUMBER(SEARCH("Party Name:-",'R.M Billets Reports'!D2195)),TRIM('R.M Billets Reports'!F2195),IF(ISNUMBER(SEARCH("Party Name-",'R.M Billets Reports'!D2195)),TRIM(MID('R.M Billets Reports'!D2195,SEARCH("-",'R.M Billets Reports'!D2195)+1,200)),"")),IF(ISNUMBER(SEARCH("Party Name:-",'R.M Billets Reports'!D2196)),TRIM('R.M Billets Reports'!F2196),IF(ISNUMBER(SEARCH("Party Name-",'R.M Billets Reports'!D2196)),TRIM(MID('R.M Billets Reports'!D2196,SEARCH("-",'R.M Billets Reports'!D2196)+1,200)),"")))="SHRI RADHE","SHREE RADHE",IF(IF(IF(ISNUMBER(SEARCH("Party Name:-",'R.M Billets Reports'!D2195)),TRIM('R.M Billets Reports'!F2195),IF(ISNUMBER(SEARCH("Party Name-",'R.M Billets Reports'!D2195)),TRIM(MID('R.M Billets Reports'!D2195,SEARCH("-",'R.M Billets Reports'!D2195)+1,200)),""))&lt;&gt;"",IF(ISNUMBER(SEARCH("Party Name:-",'R.M Billets Reports'!D2195)),TRIM('R.M Billets Reports'!F2195),IF(ISNUMBER(SEARCH("Party Name-",'R.M Billets Reports'!D2195)),TRIM(MID('R.M Billets Reports'!D2195,SEARCH("-",'R.M Billets Reports'!D2195)+1,200)),"")),IF(ISNUMBER(SEARCH("Party Name:-",'R.M Billets Reports'!D2196)),TRIM('R.M Billets Reports'!F2196),IF(ISNUMBER(SEARCH("Party Name-",'R.M Billets Reports'!D2196)),TRIM(MID('R.M Billets Reports'!D2196,SEARCH("-",'R.M Billets Reports'!D2196)+1,200)),"")))="SHREE RADHE SHAKTI SPONGE AND POWER PVT. LTD.","SHREE RADHE",IF(IF(ISNUMBER(SEARCH("Party Name:-",'R.M Billets Reports'!D2195)),TRIM('R.M Billets Reports'!F2195),IF(ISNUMBER(SEARCH("Party Name-",'R.M Billets Reports'!D2195)),TRIM(MID('R.M Billets Reports'!D2195,SEARCH("-",'R.M Billets Reports'!D2195)+1,200)),""))&lt;&gt;"",IF(ISNUMBER(SEARCH("Party Name:-",'R.M Billets Reports'!D2195)),TRIM('R.M Billets Reports'!F2195),IF(ISNUMBER(SEARCH("Party Name-",'R.M Billets Reports'!D2195)),TRIM(MID('R.M Billets Reports'!D2195,SEARCH("-",'R.M Billets Reports'!D2195)+1,200)),"")),IF(ISNUMBER(SEARCH("Party Name:-",'R.M Billets Reports'!D2196)),TRIM('R.M Billets Reports'!F2196),IF(ISNUMBER(SEARCH("Party Name-",'R.M Billets Reports'!D2196)),TRIM(MID('R.M Billets Reports'!D2196,SEARCH("-",'R.M Billets Reports'!D2196)+1,200)),"")))))),IF(ROW()=2,"",A2195))</f>
      </c>
      <c r="B2196">
        <f>IF(OR('R.M Billets Reports'!A2195="Date-",'R.M Billets Reports'!A2195="Date:-"),'R.M Billets Reports'!B2195,IF(ROW()=2,"",B2195))</f>
      </c>
      <c r="C2196">
        <f>IF('R.M Billets Reports'!A2195="V.No.",'R.M Billets Reports'!B2195,IF(ROW()=2,"",C2195))</f>
      </c>
      <c r="D2196">
        <f>IF('R.M Billets Reports'!A2195&lt;&gt;"",'R.M Billets Reports'!A2195,IF(ROW()=2,"",D2195))</f>
      </c>
      <c r="E2196">
        <f>IF('R.M Billets Reports'!B2195="","",TRIM('R.M Billets Reports'!B2195))</f>
      </c>
      <c r="F2196">
        <f>'R.M Billets Reports'!C2195</f>
      </c>
      <c r="G2196">
        <f>'R.M Billets Reports'!D2195</f>
      </c>
      <c r="H2196">
        <f>'R.M Billets Reports'!E2195</f>
      </c>
      <c r="I2196">
        <f>'R.M Billets Reports'!F2195</f>
      </c>
      <c r="J2196">
        <f>'R.M Billets Reports'!G2195</f>
      </c>
      <c r="K2196">
        <f>'R.M Billets Reports'!H2195</f>
      </c>
      <c r="L2196">
        <f>IF('R.M Billets Reports'!I2195="","",'R.M Billets Reports'!I2195)</f>
      </c>
      <c r="M2196">
        <f t="shared" si="68"/>
      </c>
      <c r="N2196">
        <f>IF('R.M Billets Reports'!J2195="","",'R.M Billets Reports'!J2195)</f>
      </c>
      <c r="O2196">
        <f t="shared" si="69"/>
      </c>
      <c r="P2196">
        <f>IF('R.M Billets Reports'!A2195="SIZE",'R.M Billets Reports'!B2195,P2195)</f>
      </c>
    </row>
    <row r="2197" spans="1:16" x14ac:dyDescent="0.25">
      <c r="A2197">
        <f>IF(OR('R.M Billets Reports'!A2196="Date-",'R.M Billets Reports'!A2196="Date:-"),IF(IF(IF(ISNUMBER(SEARCH("Party Name:-",'R.M Billets Reports'!D2196)),TRIM('R.M Billets Reports'!F2196),IF(ISNUMBER(SEARCH("Party Name-",'R.M Billets Reports'!D2196)),TRIM(MID('R.M Billets Reports'!D2196,SEARCH("-",'R.M Billets Reports'!D2196)+1,200)),""))&lt;&gt;"",IF(ISNUMBER(SEARCH("Party Name:-",'R.M Billets Reports'!D2196)),TRIM('R.M Billets Reports'!F2196),IF(ISNUMBER(SEARCH("Party Name-",'R.M Billets Reports'!D2196)),TRIM(MID('R.M Billets Reports'!D2196,SEARCH("-",'R.M Billets Reports'!D2196)+1,200)),"")),IF(ISNUMBER(SEARCH("Party Name:-",'R.M Billets Reports'!D2197)),TRIM('R.M Billets Reports'!F2197),IF(ISNUMBER(SEARCH("Party Name-",'R.M Billets Reports'!D2197)),TRIM(MID('R.M Billets Reports'!D2197,SEARCH("-",'R.M Billets Reports'!D2197)+1,200)),"")))="VRKP ISPAT PVT LTD","VRKP",IF(IF(IF(ISNUMBER(SEARCH("Party Name:-",'R.M Billets Reports'!D2196)),TRIM('R.M Billets Reports'!F2196),IF(ISNUMBER(SEARCH("Party Name-",'R.M Billets Reports'!D2196)),TRIM(MID('R.M Billets Reports'!D2196,SEARCH("-",'R.M Billets Reports'!D2196)+1,200)),""))&lt;&gt;"",IF(ISNUMBER(SEARCH("Party Name:-",'R.M Billets Reports'!D2196)),TRIM('R.M Billets Reports'!F2196),IF(ISNUMBER(SEARCH("Party Name-",'R.M Billets Reports'!D2196)),TRIM(MID('R.M Billets Reports'!D2196,SEARCH("-",'R.M Billets Reports'!D2196)+1,200)),"")),IF(ISNUMBER(SEARCH("Party Name:-",'R.M Billets Reports'!D2197)),TRIM('R.M Billets Reports'!F2197),IF(ISNUMBER(SEARCH("Party Name-",'R.M Billets Reports'!D2197)),TRIM(MID('R.M Billets Reports'!D2197,SEARCH("-",'R.M Billets Reports'!D2197)+1,200)),"")))="SHRI RADHE","SHREE RADHE",IF(IF(IF(ISNUMBER(SEARCH("Party Name:-",'R.M Billets Reports'!D2196)),TRIM('R.M Billets Reports'!F2196),IF(ISNUMBER(SEARCH("Party Name-",'R.M Billets Reports'!D2196)),TRIM(MID('R.M Billets Reports'!D2196,SEARCH("-",'R.M Billets Reports'!D2196)+1,200)),""))&lt;&gt;"",IF(ISNUMBER(SEARCH("Party Name:-",'R.M Billets Reports'!D2196)),TRIM('R.M Billets Reports'!F2196),IF(ISNUMBER(SEARCH("Party Name-",'R.M Billets Reports'!D2196)),TRIM(MID('R.M Billets Reports'!D2196,SEARCH("-",'R.M Billets Reports'!D2196)+1,200)),"")),IF(ISNUMBER(SEARCH("Party Name:-",'R.M Billets Reports'!D2197)),TRIM('R.M Billets Reports'!F2197),IF(ISNUMBER(SEARCH("Party Name-",'R.M Billets Reports'!D2197)),TRIM(MID('R.M Billets Reports'!D2197,SEARCH("-",'R.M Billets Reports'!D2197)+1,200)),"")))="SHREE RADHE SHAKTI SPONGE AND POWER PVT. LTD.","SHREE RADHE",IF(IF(ISNUMBER(SEARCH("Party Name:-",'R.M Billets Reports'!D2196)),TRIM('R.M Billets Reports'!F2196),IF(ISNUMBER(SEARCH("Party Name-",'R.M Billets Reports'!D2196)),TRIM(MID('R.M Billets Reports'!D2196,SEARCH("-",'R.M Billets Reports'!D2196)+1,200)),""))&lt;&gt;"",IF(ISNUMBER(SEARCH("Party Name:-",'R.M Billets Reports'!D2196)),TRIM('R.M Billets Reports'!F2196),IF(ISNUMBER(SEARCH("Party Name-",'R.M Billets Reports'!D2196)),TRIM(MID('R.M Billets Reports'!D2196,SEARCH("-",'R.M Billets Reports'!D2196)+1,200)),"")),IF(ISNUMBER(SEARCH("Party Name:-",'R.M Billets Reports'!D2197)),TRIM('R.M Billets Reports'!F2197),IF(ISNUMBER(SEARCH("Party Name-",'R.M Billets Reports'!D2197)),TRIM(MID('R.M Billets Reports'!D2197,SEARCH("-",'R.M Billets Reports'!D2197)+1,200)),"")))))),IF(ROW()=2,"",A2196))</f>
      </c>
      <c r="B2197">
        <f>IF(OR('R.M Billets Reports'!A2196="Date-",'R.M Billets Reports'!A2196="Date:-"),'R.M Billets Reports'!B2196,IF(ROW()=2,"",B2196))</f>
      </c>
      <c r="C2197">
        <f>IF('R.M Billets Reports'!A2196="V.No.",'R.M Billets Reports'!B2196,IF(ROW()=2,"",C2196))</f>
      </c>
      <c r="D2197">
        <f>IF('R.M Billets Reports'!A2196&lt;&gt;"",'R.M Billets Reports'!A2196,IF(ROW()=2,"",D2196))</f>
      </c>
      <c r="E2197">
        <f>IF('R.M Billets Reports'!B2196="","",TRIM('R.M Billets Reports'!B2196))</f>
      </c>
      <c r="F2197">
        <f>'R.M Billets Reports'!C2196</f>
      </c>
      <c r="G2197">
        <f>'R.M Billets Reports'!D2196</f>
      </c>
      <c r="H2197">
        <f>'R.M Billets Reports'!E2196</f>
      </c>
      <c r="I2197">
        <f>'R.M Billets Reports'!F2196</f>
      </c>
      <c r="J2197">
        <f>'R.M Billets Reports'!G2196</f>
      </c>
      <c r="K2197">
        <f>'R.M Billets Reports'!H2196</f>
      </c>
      <c r="L2197">
        <f>IF('R.M Billets Reports'!I2196="","",'R.M Billets Reports'!I2196)</f>
      </c>
      <c r="M2197">
        <f t="shared" si="68"/>
      </c>
      <c r="N2197">
        <f>IF('R.M Billets Reports'!J2196="","",'R.M Billets Reports'!J2196)</f>
      </c>
      <c r="O2197">
        <f t="shared" si="69"/>
      </c>
      <c r="P2197">
        <f>IF('R.M Billets Reports'!A2196="SIZE",'R.M Billets Reports'!B2196,P2196)</f>
      </c>
    </row>
    <row r="2198" spans="1:16" x14ac:dyDescent="0.25">
      <c r="A2198">
        <f>IF(OR('R.M Billets Reports'!A2197="Date-",'R.M Billets Reports'!A2197="Date:-"),IF(IF(IF(ISNUMBER(SEARCH("Party Name:-",'R.M Billets Reports'!D2197)),TRIM('R.M Billets Reports'!F2197),IF(ISNUMBER(SEARCH("Party Name-",'R.M Billets Reports'!D2197)),TRIM(MID('R.M Billets Reports'!D2197,SEARCH("-",'R.M Billets Reports'!D2197)+1,200)),""))&lt;&gt;"",IF(ISNUMBER(SEARCH("Party Name:-",'R.M Billets Reports'!D2197)),TRIM('R.M Billets Reports'!F2197),IF(ISNUMBER(SEARCH("Party Name-",'R.M Billets Reports'!D2197)),TRIM(MID('R.M Billets Reports'!D2197,SEARCH("-",'R.M Billets Reports'!D2197)+1,200)),"")),IF(ISNUMBER(SEARCH("Party Name:-",'R.M Billets Reports'!D2198)),TRIM('R.M Billets Reports'!F2198),IF(ISNUMBER(SEARCH("Party Name-",'R.M Billets Reports'!D2198)),TRIM(MID('R.M Billets Reports'!D2198,SEARCH("-",'R.M Billets Reports'!D2198)+1,200)),"")))="VRKP ISPAT PVT LTD","VRKP",IF(IF(IF(ISNUMBER(SEARCH("Party Name:-",'R.M Billets Reports'!D2197)),TRIM('R.M Billets Reports'!F2197),IF(ISNUMBER(SEARCH("Party Name-",'R.M Billets Reports'!D2197)),TRIM(MID('R.M Billets Reports'!D2197,SEARCH("-",'R.M Billets Reports'!D2197)+1,200)),""))&lt;&gt;"",IF(ISNUMBER(SEARCH("Party Name:-",'R.M Billets Reports'!D2197)),TRIM('R.M Billets Reports'!F2197),IF(ISNUMBER(SEARCH("Party Name-",'R.M Billets Reports'!D2197)),TRIM(MID('R.M Billets Reports'!D2197,SEARCH("-",'R.M Billets Reports'!D2197)+1,200)),"")),IF(ISNUMBER(SEARCH("Party Name:-",'R.M Billets Reports'!D2198)),TRIM('R.M Billets Reports'!F2198),IF(ISNUMBER(SEARCH("Party Name-",'R.M Billets Reports'!D2198)),TRIM(MID('R.M Billets Reports'!D2198,SEARCH("-",'R.M Billets Reports'!D2198)+1,200)),"")))="SHRI RADHE","SHREE RADHE",IF(IF(IF(ISNUMBER(SEARCH("Party Name:-",'R.M Billets Reports'!D2197)),TRIM('R.M Billets Reports'!F2197),IF(ISNUMBER(SEARCH("Party Name-",'R.M Billets Reports'!D2197)),TRIM(MID('R.M Billets Reports'!D2197,SEARCH("-",'R.M Billets Reports'!D2197)+1,200)),""))&lt;&gt;"",IF(ISNUMBER(SEARCH("Party Name:-",'R.M Billets Reports'!D2197)),TRIM('R.M Billets Reports'!F2197),IF(ISNUMBER(SEARCH("Party Name-",'R.M Billets Reports'!D2197)),TRIM(MID('R.M Billets Reports'!D2197,SEARCH("-",'R.M Billets Reports'!D2197)+1,200)),"")),IF(ISNUMBER(SEARCH("Party Name:-",'R.M Billets Reports'!D2198)),TRIM('R.M Billets Reports'!F2198),IF(ISNUMBER(SEARCH("Party Name-",'R.M Billets Reports'!D2198)),TRIM(MID('R.M Billets Reports'!D2198,SEARCH("-",'R.M Billets Reports'!D2198)+1,200)),"")))="SHREE RADHE SHAKTI SPONGE AND POWER PVT. LTD.","SHREE RADHE",IF(IF(ISNUMBER(SEARCH("Party Name:-",'R.M Billets Reports'!D2197)),TRIM('R.M Billets Reports'!F2197),IF(ISNUMBER(SEARCH("Party Name-",'R.M Billets Reports'!D2197)),TRIM(MID('R.M Billets Reports'!D2197,SEARCH("-",'R.M Billets Reports'!D2197)+1,200)),""))&lt;&gt;"",IF(ISNUMBER(SEARCH("Party Name:-",'R.M Billets Reports'!D2197)),TRIM('R.M Billets Reports'!F2197),IF(ISNUMBER(SEARCH("Party Name-",'R.M Billets Reports'!D2197)),TRIM(MID('R.M Billets Reports'!D2197,SEARCH("-",'R.M Billets Reports'!D2197)+1,200)),"")),IF(ISNUMBER(SEARCH("Party Name:-",'R.M Billets Reports'!D2198)),TRIM('R.M Billets Reports'!F2198),IF(ISNUMBER(SEARCH("Party Name-",'R.M Billets Reports'!D2198)),TRIM(MID('R.M Billets Reports'!D2198,SEARCH("-",'R.M Billets Reports'!D2198)+1,200)),"")))))),IF(ROW()=2,"",A2197))</f>
      </c>
      <c r="B2198">
        <f>IF(OR('R.M Billets Reports'!A2197="Date-",'R.M Billets Reports'!A2197="Date:-"),'R.M Billets Reports'!B2197,IF(ROW()=2,"",B2197))</f>
      </c>
      <c r="C2198">
        <f>IF('R.M Billets Reports'!A2197="V.No.",'R.M Billets Reports'!B2197,IF(ROW()=2,"",C2197))</f>
      </c>
      <c r="D2198">
        <f>IF('R.M Billets Reports'!A2197&lt;&gt;"",'R.M Billets Reports'!A2197,IF(ROW()=2,"",D2197))</f>
      </c>
      <c r="E2198">
        <f>IF('R.M Billets Reports'!B2197="","",TRIM('R.M Billets Reports'!B2197))</f>
      </c>
      <c r="F2198">
        <f>'R.M Billets Reports'!C2197</f>
      </c>
      <c r="G2198">
        <f>'R.M Billets Reports'!D2197</f>
      </c>
      <c r="H2198">
        <f>'R.M Billets Reports'!E2197</f>
      </c>
      <c r="I2198">
        <f>'R.M Billets Reports'!F2197</f>
      </c>
      <c r="J2198">
        <f>'R.M Billets Reports'!G2197</f>
      </c>
      <c r="K2198">
        <f>'R.M Billets Reports'!H2197</f>
      </c>
      <c r="L2198">
        <f>IF('R.M Billets Reports'!I2197="","",'R.M Billets Reports'!I2197)</f>
      </c>
      <c r="M2198">
        <f t="shared" si="68"/>
      </c>
      <c r="N2198">
        <f>IF('R.M Billets Reports'!J2197="","",'R.M Billets Reports'!J2197)</f>
      </c>
      <c r="O2198">
        <f t="shared" si="69"/>
      </c>
      <c r="P2198">
        <f>IF('R.M Billets Reports'!A2197="SIZE",'R.M Billets Reports'!B2197,P2197)</f>
      </c>
    </row>
    <row r="2199" spans="1:16" x14ac:dyDescent="0.25">
      <c r="A2199">
        <f>IF(OR('R.M Billets Reports'!A2198="Date-",'R.M Billets Reports'!A2198="Date:-"),IF(IF(IF(ISNUMBER(SEARCH("Party Name:-",'R.M Billets Reports'!D2198)),TRIM('R.M Billets Reports'!F2198),IF(ISNUMBER(SEARCH("Party Name-",'R.M Billets Reports'!D2198)),TRIM(MID('R.M Billets Reports'!D2198,SEARCH("-",'R.M Billets Reports'!D2198)+1,200)),""))&lt;&gt;"",IF(ISNUMBER(SEARCH("Party Name:-",'R.M Billets Reports'!D2198)),TRIM('R.M Billets Reports'!F2198),IF(ISNUMBER(SEARCH("Party Name-",'R.M Billets Reports'!D2198)),TRIM(MID('R.M Billets Reports'!D2198,SEARCH("-",'R.M Billets Reports'!D2198)+1,200)),"")),IF(ISNUMBER(SEARCH("Party Name:-",'R.M Billets Reports'!D2199)),TRIM('R.M Billets Reports'!F2199),IF(ISNUMBER(SEARCH("Party Name-",'R.M Billets Reports'!D2199)),TRIM(MID('R.M Billets Reports'!D2199,SEARCH("-",'R.M Billets Reports'!D2199)+1,200)),"")))="VRKP ISPAT PVT LTD","VRKP",IF(IF(IF(ISNUMBER(SEARCH("Party Name:-",'R.M Billets Reports'!D2198)),TRIM('R.M Billets Reports'!F2198),IF(ISNUMBER(SEARCH("Party Name-",'R.M Billets Reports'!D2198)),TRIM(MID('R.M Billets Reports'!D2198,SEARCH("-",'R.M Billets Reports'!D2198)+1,200)),""))&lt;&gt;"",IF(ISNUMBER(SEARCH("Party Name:-",'R.M Billets Reports'!D2198)),TRIM('R.M Billets Reports'!F2198),IF(ISNUMBER(SEARCH("Party Name-",'R.M Billets Reports'!D2198)),TRIM(MID('R.M Billets Reports'!D2198,SEARCH("-",'R.M Billets Reports'!D2198)+1,200)),"")),IF(ISNUMBER(SEARCH("Party Name:-",'R.M Billets Reports'!D2199)),TRIM('R.M Billets Reports'!F2199),IF(ISNUMBER(SEARCH("Party Name-",'R.M Billets Reports'!D2199)),TRIM(MID('R.M Billets Reports'!D2199,SEARCH("-",'R.M Billets Reports'!D2199)+1,200)),"")))="SHRI RADHE","SHREE RADHE",IF(IF(IF(ISNUMBER(SEARCH("Party Name:-",'R.M Billets Reports'!D2198)),TRIM('R.M Billets Reports'!F2198),IF(ISNUMBER(SEARCH("Party Name-",'R.M Billets Reports'!D2198)),TRIM(MID('R.M Billets Reports'!D2198,SEARCH("-",'R.M Billets Reports'!D2198)+1,200)),""))&lt;&gt;"",IF(ISNUMBER(SEARCH("Party Name:-",'R.M Billets Reports'!D2198)),TRIM('R.M Billets Reports'!F2198),IF(ISNUMBER(SEARCH("Party Name-",'R.M Billets Reports'!D2198)),TRIM(MID('R.M Billets Reports'!D2198,SEARCH("-",'R.M Billets Reports'!D2198)+1,200)),"")),IF(ISNUMBER(SEARCH("Party Name:-",'R.M Billets Reports'!D2199)),TRIM('R.M Billets Reports'!F2199),IF(ISNUMBER(SEARCH("Party Name-",'R.M Billets Reports'!D2199)),TRIM(MID('R.M Billets Reports'!D2199,SEARCH("-",'R.M Billets Reports'!D2199)+1,200)),"")))="SHREE RADHE SHAKTI SPONGE AND POWER PVT. LTD.","SHREE RADHE",IF(IF(ISNUMBER(SEARCH("Party Name:-",'R.M Billets Reports'!D2198)),TRIM('R.M Billets Reports'!F2198),IF(ISNUMBER(SEARCH("Party Name-",'R.M Billets Reports'!D2198)),TRIM(MID('R.M Billets Reports'!D2198,SEARCH("-",'R.M Billets Reports'!D2198)+1,200)),""))&lt;&gt;"",IF(ISNUMBER(SEARCH("Party Name:-",'R.M Billets Reports'!D2198)),TRIM('R.M Billets Reports'!F2198),IF(ISNUMBER(SEARCH("Party Name-",'R.M Billets Reports'!D2198)),TRIM(MID('R.M Billets Reports'!D2198,SEARCH("-",'R.M Billets Reports'!D2198)+1,200)),"")),IF(ISNUMBER(SEARCH("Party Name:-",'R.M Billets Reports'!D2199)),TRIM('R.M Billets Reports'!F2199),IF(ISNUMBER(SEARCH("Party Name-",'R.M Billets Reports'!D2199)),TRIM(MID('R.M Billets Reports'!D2199,SEARCH("-",'R.M Billets Reports'!D2199)+1,200)),"")))))),IF(ROW()=2,"",A2198))</f>
      </c>
      <c r="B2199">
        <f>IF(OR('R.M Billets Reports'!A2198="Date-",'R.M Billets Reports'!A2198="Date:-"),'R.M Billets Reports'!B2198,IF(ROW()=2,"",B2198))</f>
      </c>
      <c r="C2199">
        <f>IF('R.M Billets Reports'!A2198="V.No.",'R.M Billets Reports'!B2198,IF(ROW()=2,"",C2198))</f>
      </c>
      <c r="D2199">
        <f>IF('R.M Billets Reports'!A2198&lt;&gt;"",'R.M Billets Reports'!A2198,IF(ROW()=2,"",D2198))</f>
      </c>
      <c r="E2199">
        <f>IF('R.M Billets Reports'!B2198="","",TRIM('R.M Billets Reports'!B2198))</f>
      </c>
      <c r="F2199">
        <f>'R.M Billets Reports'!C2198</f>
      </c>
      <c r="G2199">
        <f>'R.M Billets Reports'!D2198</f>
      </c>
      <c r="H2199">
        <f>'R.M Billets Reports'!E2198</f>
      </c>
      <c r="I2199">
        <f>'R.M Billets Reports'!F2198</f>
      </c>
      <c r="J2199">
        <f>'R.M Billets Reports'!G2198</f>
      </c>
      <c r="K2199">
        <f>'R.M Billets Reports'!H2198</f>
      </c>
      <c r="L2199">
        <f>IF('R.M Billets Reports'!I2198="","",'R.M Billets Reports'!I2198)</f>
      </c>
      <c r="M2199">
        <f t="shared" si="68"/>
      </c>
      <c r="N2199">
        <f>IF('R.M Billets Reports'!J2198="","",'R.M Billets Reports'!J2198)</f>
      </c>
      <c r="O2199">
        <f t="shared" si="69"/>
      </c>
      <c r="P2199">
        <f>IF('R.M Billets Reports'!A2198="SIZE",'R.M Billets Reports'!B2198,P2198)</f>
      </c>
    </row>
    <row r="2200" spans="1:16" x14ac:dyDescent="0.25">
      <c r="A2200">
        <f>IF(OR('R.M Billets Reports'!A2199="Date-",'R.M Billets Reports'!A2199="Date:-"),IF(IF(IF(ISNUMBER(SEARCH("Party Name:-",'R.M Billets Reports'!D2199)),TRIM('R.M Billets Reports'!F2199),IF(ISNUMBER(SEARCH("Party Name-",'R.M Billets Reports'!D2199)),TRIM(MID('R.M Billets Reports'!D2199,SEARCH("-",'R.M Billets Reports'!D2199)+1,200)),""))&lt;&gt;"",IF(ISNUMBER(SEARCH("Party Name:-",'R.M Billets Reports'!D2199)),TRIM('R.M Billets Reports'!F2199),IF(ISNUMBER(SEARCH("Party Name-",'R.M Billets Reports'!D2199)),TRIM(MID('R.M Billets Reports'!D2199,SEARCH("-",'R.M Billets Reports'!D2199)+1,200)),"")),IF(ISNUMBER(SEARCH("Party Name:-",'R.M Billets Reports'!D2200)),TRIM('R.M Billets Reports'!F2200),IF(ISNUMBER(SEARCH("Party Name-",'R.M Billets Reports'!D2200)),TRIM(MID('R.M Billets Reports'!D2200,SEARCH("-",'R.M Billets Reports'!D2200)+1,200)),"")))="VRKP ISPAT PVT LTD","VRKP",IF(IF(IF(ISNUMBER(SEARCH("Party Name:-",'R.M Billets Reports'!D2199)),TRIM('R.M Billets Reports'!F2199),IF(ISNUMBER(SEARCH("Party Name-",'R.M Billets Reports'!D2199)),TRIM(MID('R.M Billets Reports'!D2199,SEARCH("-",'R.M Billets Reports'!D2199)+1,200)),""))&lt;&gt;"",IF(ISNUMBER(SEARCH("Party Name:-",'R.M Billets Reports'!D2199)),TRIM('R.M Billets Reports'!F2199),IF(ISNUMBER(SEARCH("Party Name-",'R.M Billets Reports'!D2199)),TRIM(MID('R.M Billets Reports'!D2199,SEARCH("-",'R.M Billets Reports'!D2199)+1,200)),"")),IF(ISNUMBER(SEARCH("Party Name:-",'R.M Billets Reports'!D2200)),TRIM('R.M Billets Reports'!F2200),IF(ISNUMBER(SEARCH("Party Name-",'R.M Billets Reports'!D2200)),TRIM(MID('R.M Billets Reports'!D2200,SEARCH("-",'R.M Billets Reports'!D2200)+1,200)),"")))="SHRI RADHE","SHREE RADHE",IF(IF(IF(ISNUMBER(SEARCH("Party Name:-",'R.M Billets Reports'!D2199)),TRIM('R.M Billets Reports'!F2199),IF(ISNUMBER(SEARCH("Party Name-",'R.M Billets Reports'!D2199)),TRIM(MID('R.M Billets Reports'!D2199,SEARCH("-",'R.M Billets Reports'!D2199)+1,200)),""))&lt;&gt;"",IF(ISNUMBER(SEARCH("Party Name:-",'R.M Billets Reports'!D2199)),TRIM('R.M Billets Reports'!F2199),IF(ISNUMBER(SEARCH("Party Name-",'R.M Billets Reports'!D2199)),TRIM(MID('R.M Billets Reports'!D2199,SEARCH("-",'R.M Billets Reports'!D2199)+1,200)),"")),IF(ISNUMBER(SEARCH("Party Name:-",'R.M Billets Reports'!D2200)),TRIM('R.M Billets Reports'!F2200),IF(ISNUMBER(SEARCH("Party Name-",'R.M Billets Reports'!D2200)),TRIM(MID('R.M Billets Reports'!D2200,SEARCH("-",'R.M Billets Reports'!D2200)+1,200)),"")))="SHREE RADHE SHAKTI SPONGE AND POWER PVT. LTD.","SHREE RADHE",IF(IF(ISNUMBER(SEARCH("Party Name:-",'R.M Billets Reports'!D2199)),TRIM('R.M Billets Reports'!F2199),IF(ISNUMBER(SEARCH("Party Name-",'R.M Billets Reports'!D2199)),TRIM(MID('R.M Billets Reports'!D2199,SEARCH("-",'R.M Billets Reports'!D2199)+1,200)),""))&lt;&gt;"",IF(ISNUMBER(SEARCH("Party Name:-",'R.M Billets Reports'!D2199)),TRIM('R.M Billets Reports'!F2199),IF(ISNUMBER(SEARCH("Party Name-",'R.M Billets Reports'!D2199)),TRIM(MID('R.M Billets Reports'!D2199,SEARCH("-",'R.M Billets Reports'!D2199)+1,200)),"")),IF(ISNUMBER(SEARCH("Party Name:-",'R.M Billets Reports'!D2200)),TRIM('R.M Billets Reports'!F2200),IF(ISNUMBER(SEARCH("Party Name-",'R.M Billets Reports'!D2200)),TRIM(MID('R.M Billets Reports'!D2200,SEARCH("-",'R.M Billets Reports'!D2200)+1,200)),"")))))),IF(ROW()=2,"",A2199))</f>
      </c>
      <c r="B2200">
        <f>IF(OR('R.M Billets Reports'!A2199="Date-",'R.M Billets Reports'!A2199="Date:-"),'R.M Billets Reports'!B2199,IF(ROW()=2,"",B2199))</f>
      </c>
      <c r="C2200">
        <f>IF('R.M Billets Reports'!A2199="V.No.",'R.M Billets Reports'!B2199,IF(ROW()=2,"",C2199))</f>
      </c>
      <c r="D2200">
        <f>IF('R.M Billets Reports'!A2199&lt;&gt;"",'R.M Billets Reports'!A2199,IF(ROW()=2,"",D2199))</f>
      </c>
      <c r="E2200">
        <f>IF('R.M Billets Reports'!B2199="","",TRIM('R.M Billets Reports'!B2199))</f>
      </c>
      <c r="F2200">
        <f>'R.M Billets Reports'!C2199</f>
      </c>
      <c r="G2200">
        <f>'R.M Billets Reports'!D2199</f>
      </c>
      <c r="H2200">
        <f>'R.M Billets Reports'!E2199</f>
      </c>
      <c r="I2200">
        <f>'R.M Billets Reports'!F2199</f>
      </c>
      <c r="J2200">
        <f>'R.M Billets Reports'!G2199</f>
      </c>
      <c r="K2200">
        <f>'R.M Billets Reports'!H2199</f>
      </c>
      <c r="L2200">
        <f>IF('R.M Billets Reports'!I2199="","",'R.M Billets Reports'!I2199)</f>
      </c>
      <c r="M2200">
        <f t="shared" si="68"/>
      </c>
      <c r="N2200">
        <f>IF('R.M Billets Reports'!J2199="","",'R.M Billets Reports'!J2199)</f>
      </c>
      <c r="O2200">
        <f t="shared" si="69"/>
      </c>
      <c r="P2200">
        <f>IF('R.M Billets Reports'!A2199="SIZE",'R.M Billets Reports'!B2199,P2199)</f>
      </c>
    </row>
    <row r="2201" spans="1:16" x14ac:dyDescent="0.25">
      <c r="A2201">
        <f>IF(OR('R.M Billets Reports'!A2200="Date-",'R.M Billets Reports'!A2200="Date:-"),IF(IF(IF(ISNUMBER(SEARCH("Party Name:-",'R.M Billets Reports'!D2200)),TRIM('R.M Billets Reports'!F2200),IF(ISNUMBER(SEARCH("Party Name-",'R.M Billets Reports'!D2200)),TRIM(MID('R.M Billets Reports'!D2200,SEARCH("-",'R.M Billets Reports'!D2200)+1,200)),""))&lt;&gt;"",IF(ISNUMBER(SEARCH("Party Name:-",'R.M Billets Reports'!D2200)),TRIM('R.M Billets Reports'!F2200),IF(ISNUMBER(SEARCH("Party Name-",'R.M Billets Reports'!D2200)),TRIM(MID('R.M Billets Reports'!D2200,SEARCH("-",'R.M Billets Reports'!D2200)+1,200)),"")),IF(ISNUMBER(SEARCH("Party Name:-",'R.M Billets Reports'!D2201)),TRIM('R.M Billets Reports'!F2201),IF(ISNUMBER(SEARCH("Party Name-",'R.M Billets Reports'!D2201)),TRIM(MID('R.M Billets Reports'!D2201,SEARCH("-",'R.M Billets Reports'!D2201)+1,200)),"")))="VRKP ISPAT PVT LTD","VRKP",IF(IF(IF(ISNUMBER(SEARCH("Party Name:-",'R.M Billets Reports'!D2200)),TRIM('R.M Billets Reports'!F2200),IF(ISNUMBER(SEARCH("Party Name-",'R.M Billets Reports'!D2200)),TRIM(MID('R.M Billets Reports'!D2200,SEARCH("-",'R.M Billets Reports'!D2200)+1,200)),""))&lt;&gt;"",IF(ISNUMBER(SEARCH("Party Name:-",'R.M Billets Reports'!D2200)),TRIM('R.M Billets Reports'!F2200),IF(ISNUMBER(SEARCH("Party Name-",'R.M Billets Reports'!D2200)),TRIM(MID('R.M Billets Reports'!D2200,SEARCH("-",'R.M Billets Reports'!D2200)+1,200)),"")),IF(ISNUMBER(SEARCH("Party Name:-",'R.M Billets Reports'!D2201)),TRIM('R.M Billets Reports'!F2201),IF(ISNUMBER(SEARCH("Party Name-",'R.M Billets Reports'!D2201)),TRIM(MID('R.M Billets Reports'!D2201,SEARCH("-",'R.M Billets Reports'!D2201)+1,200)),"")))="SHRI RADHE","SHREE RADHE",IF(IF(IF(ISNUMBER(SEARCH("Party Name:-",'R.M Billets Reports'!D2200)),TRIM('R.M Billets Reports'!F2200),IF(ISNUMBER(SEARCH("Party Name-",'R.M Billets Reports'!D2200)),TRIM(MID('R.M Billets Reports'!D2200,SEARCH("-",'R.M Billets Reports'!D2200)+1,200)),""))&lt;&gt;"",IF(ISNUMBER(SEARCH("Party Name:-",'R.M Billets Reports'!D2200)),TRIM('R.M Billets Reports'!F2200),IF(ISNUMBER(SEARCH("Party Name-",'R.M Billets Reports'!D2200)),TRIM(MID('R.M Billets Reports'!D2200,SEARCH("-",'R.M Billets Reports'!D2200)+1,200)),"")),IF(ISNUMBER(SEARCH("Party Name:-",'R.M Billets Reports'!D2201)),TRIM('R.M Billets Reports'!F2201),IF(ISNUMBER(SEARCH("Party Name-",'R.M Billets Reports'!D2201)),TRIM(MID('R.M Billets Reports'!D2201,SEARCH("-",'R.M Billets Reports'!D2201)+1,200)),"")))="SHREE RADHE SHAKTI SPONGE AND POWER PVT. LTD.","SHREE RADHE",IF(IF(ISNUMBER(SEARCH("Party Name:-",'R.M Billets Reports'!D2200)),TRIM('R.M Billets Reports'!F2200),IF(ISNUMBER(SEARCH("Party Name-",'R.M Billets Reports'!D2200)),TRIM(MID('R.M Billets Reports'!D2200,SEARCH("-",'R.M Billets Reports'!D2200)+1,200)),""))&lt;&gt;"",IF(ISNUMBER(SEARCH("Party Name:-",'R.M Billets Reports'!D2200)),TRIM('R.M Billets Reports'!F2200),IF(ISNUMBER(SEARCH("Party Name-",'R.M Billets Reports'!D2200)),TRIM(MID('R.M Billets Reports'!D2200,SEARCH("-",'R.M Billets Reports'!D2200)+1,200)),"")),IF(ISNUMBER(SEARCH("Party Name:-",'R.M Billets Reports'!D2201)),TRIM('R.M Billets Reports'!F2201),IF(ISNUMBER(SEARCH("Party Name-",'R.M Billets Reports'!D2201)),TRIM(MID('R.M Billets Reports'!D2201,SEARCH("-",'R.M Billets Reports'!D2201)+1,200)),"")))))),IF(ROW()=2,"",A2200))</f>
      </c>
      <c r="B2201">
        <f>IF(OR('R.M Billets Reports'!A2200="Date-",'R.M Billets Reports'!A2200="Date:-"),'R.M Billets Reports'!B2200,IF(ROW()=2,"",B2200))</f>
      </c>
      <c r="C2201">
        <f>IF('R.M Billets Reports'!A2200="V.No.",'R.M Billets Reports'!B2200,IF(ROW()=2,"",C2200))</f>
      </c>
      <c r="D2201">
        <f>IF('R.M Billets Reports'!A2200&lt;&gt;"",'R.M Billets Reports'!A2200,IF(ROW()=2,"",D2200))</f>
      </c>
      <c r="E2201">
        <f>IF('R.M Billets Reports'!B2200="","",TRIM('R.M Billets Reports'!B2200))</f>
      </c>
      <c r="F2201">
        <f>'R.M Billets Reports'!C2200</f>
      </c>
      <c r="G2201">
        <f>'R.M Billets Reports'!D2200</f>
      </c>
      <c r="H2201">
        <f>'R.M Billets Reports'!E2200</f>
      </c>
      <c r="I2201">
        <f>'R.M Billets Reports'!F2200</f>
      </c>
      <c r="J2201">
        <f>'R.M Billets Reports'!G2200</f>
      </c>
      <c r="K2201">
        <f>'R.M Billets Reports'!H2200</f>
      </c>
      <c r="L2201">
        <f>IF('R.M Billets Reports'!I2200="","",'R.M Billets Reports'!I2200)</f>
      </c>
      <c r="M2201">
        <f t="shared" si="68"/>
      </c>
      <c r="N2201">
        <f>IF('R.M Billets Reports'!J2200="","",'R.M Billets Reports'!J2200)</f>
      </c>
      <c r="O2201">
        <f t="shared" si="69"/>
      </c>
      <c r="P2201">
        <f>IF('R.M Billets Reports'!A2200="SIZE",'R.M Billets Reports'!B2200,P2200)</f>
      </c>
    </row>
    <row r="2202" spans="1:16" x14ac:dyDescent="0.25">
      <c r="A2202">
        <f>IF(OR('R.M Billets Reports'!A2201="Date-",'R.M Billets Reports'!A2201="Date:-"),IF(IF(IF(ISNUMBER(SEARCH("Party Name:-",'R.M Billets Reports'!D2201)),TRIM('R.M Billets Reports'!F2201),IF(ISNUMBER(SEARCH("Party Name-",'R.M Billets Reports'!D2201)),TRIM(MID('R.M Billets Reports'!D2201,SEARCH("-",'R.M Billets Reports'!D2201)+1,200)),""))&lt;&gt;"",IF(ISNUMBER(SEARCH("Party Name:-",'R.M Billets Reports'!D2201)),TRIM('R.M Billets Reports'!F2201),IF(ISNUMBER(SEARCH("Party Name-",'R.M Billets Reports'!D2201)),TRIM(MID('R.M Billets Reports'!D2201,SEARCH("-",'R.M Billets Reports'!D2201)+1,200)),"")),IF(ISNUMBER(SEARCH("Party Name:-",'R.M Billets Reports'!D2202)),TRIM('R.M Billets Reports'!F2202),IF(ISNUMBER(SEARCH("Party Name-",'R.M Billets Reports'!D2202)),TRIM(MID('R.M Billets Reports'!D2202,SEARCH("-",'R.M Billets Reports'!D2202)+1,200)),"")))="VRKP ISPAT PVT LTD","VRKP",IF(IF(IF(ISNUMBER(SEARCH("Party Name:-",'R.M Billets Reports'!D2201)),TRIM('R.M Billets Reports'!F2201),IF(ISNUMBER(SEARCH("Party Name-",'R.M Billets Reports'!D2201)),TRIM(MID('R.M Billets Reports'!D2201,SEARCH("-",'R.M Billets Reports'!D2201)+1,200)),""))&lt;&gt;"",IF(ISNUMBER(SEARCH("Party Name:-",'R.M Billets Reports'!D2201)),TRIM('R.M Billets Reports'!F2201),IF(ISNUMBER(SEARCH("Party Name-",'R.M Billets Reports'!D2201)),TRIM(MID('R.M Billets Reports'!D2201,SEARCH("-",'R.M Billets Reports'!D2201)+1,200)),"")),IF(ISNUMBER(SEARCH("Party Name:-",'R.M Billets Reports'!D2202)),TRIM('R.M Billets Reports'!F2202),IF(ISNUMBER(SEARCH("Party Name-",'R.M Billets Reports'!D2202)),TRIM(MID('R.M Billets Reports'!D2202,SEARCH("-",'R.M Billets Reports'!D2202)+1,200)),"")))="SHRI RADHE","SHREE RADHE",IF(IF(IF(ISNUMBER(SEARCH("Party Name:-",'R.M Billets Reports'!D2201)),TRIM('R.M Billets Reports'!F2201),IF(ISNUMBER(SEARCH("Party Name-",'R.M Billets Reports'!D2201)),TRIM(MID('R.M Billets Reports'!D2201,SEARCH("-",'R.M Billets Reports'!D2201)+1,200)),""))&lt;&gt;"",IF(ISNUMBER(SEARCH("Party Name:-",'R.M Billets Reports'!D2201)),TRIM('R.M Billets Reports'!F2201),IF(ISNUMBER(SEARCH("Party Name-",'R.M Billets Reports'!D2201)),TRIM(MID('R.M Billets Reports'!D2201,SEARCH("-",'R.M Billets Reports'!D2201)+1,200)),"")),IF(ISNUMBER(SEARCH("Party Name:-",'R.M Billets Reports'!D2202)),TRIM('R.M Billets Reports'!F2202),IF(ISNUMBER(SEARCH("Party Name-",'R.M Billets Reports'!D2202)),TRIM(MID('R.M Billets Reports'!D2202,SEARCH("-",'R.M Billets Reports'!D2202)+1,200)),"")))="SHREE RADHE SHAKTI SPONGE AND POWER PVT. LTD.","SHREE RADHE",IF(IF(ISNUMBER(SEARCH("Party Name:-",'R.M Billets Reports'!D2201)),TRIM('R.M Billets Reports'!F2201),IF(ISNUMBER(SEARCH("Party Name-",'R.M Billets Reports'!D2201)),TRIM(MID('R.M Billets Reports'!D2201,SEARCH("-",'R.M Billets Reports'!D2201)+1,200)),""))&lt;&gt;"",IF(ISNUMBER(SEARCH("Party Name:-",'R.M Billets Reports'!D2201)),TRIM('R.M Billets Reports'!F2201),IF(ISNUMBER(SEARCH("Party Name-",'R.M Billets Reports'!D2201)),TRIM(MID('R.M Billets Reports'!D2201,SEARCH("-",'R.M Billets Reports'!D2201)+1,200)),"")),IF(ISNUMBER(SEARCH("Party Name:-",'R.M Billets Reports'!D2202)),TRIM('R.M Billets Reports'!F2202),IF(ISNUMBER(SEARCH("Party Name-",'R.M Billets Reports'!D2202)),TRIM(MID('R.M Billets Reports'!D2202,SEARCH("-",'R.M Billets Reports'!D2202)+1,200)),"")))))),IF(ROW()=2,"",A2201))</f>
      </c>
      <c r="B2202">
        <f>IF(OR('R.M Billets Reports'!A2201="Date-",'R.M Billets Reports'!A2201="Date:-"),'R.M Billets Reports'!B2201,IF(ROW()=2,"",B2201))</f>
      </c>
      <c r="C2202">
        <f>IF('R.M Billets Reports'!A2201="V.No.",'R.M Billets Reports'!B2201,IF(ROW()=2,"",C2201))</f>
      </c>
      <c r="D2202">
        <f>IF('R.M Billets Reports'!A2201&lt;&gt;"",'R.M Billets Reports'!A2201,IF(ROW()=2,"",D2201))</f>
      </c>
      <c r="E2202">
        <f>IF('R.M Billets Reports'!B2201="","",TRIM('R.M Billets Reports'!B2201))</f>
      </c>
      <c r="F2202">
        <f>'R.M Billets Reports'!C2201</f>
      </c>
      <c r="G2202">
        <f>'R.M Billets Reports'!D2201</f>
      </c>
      <c r="H2202">
        <f>'R.M Billets Reports'!E2201</f>
      </c>
      <c r="I2202">
        <f>'R.M Billets Reports'!F2201</f>
      </c>
      <c r="J2202">
        <f>'R.M Billets Reports'!G2201</f>
      </c>
      <c r="K2202">
        <f>'R.M Billets Reports'!H2201</f>
      </c>
      <c r="L2202">
        <f>IF('R.M Billets Reports'!I2201="","",'R.M Billets Reports'!I2201)</f>
      </c>
      <c r="M2202">
        <f t="shared" si="68"/>
      </c>
      <c r="N2202">
        <f>IF('R.M Billets Reports'!J2201="","",'R.M Billets Reports'!J2201)</f>
      </c>
      <c r="O2202">
        <f t="shared" si="69"/>
      </c>
      <c r="P2202">
        <f>IF('R.M Billets Reports'!A2201="SIZE",'R.M Billets Reports'!B2201,P2201)</f>
      </c>
    </row>
    <row r="2203" spans="1:16" x14ac:dyDescent="0.25">
      <c r="A2203">
        <f>IF(OR('R.M Billets Reports'!A2202="Date-",'R.M Billets Reports'!A2202="Date:-"),IF(IF(IF(ISNUMBER(SEARCH("Party Name:-",'R.M Billets Reports'!D2202)),TRIM('R.M Billets Reports'!F2202),IF(ISNUMBER(SEARCH("Party Name-",'R.M Billets Reports'!D2202)),TRIM(MID('R.M Billets Reports'!D2202,SEARCH("-",'R.M Billets Reports'!D2202)+1,200)),""))&lt;&gt;"",IF(ISNUMBER(SEARCH("Party Name:-",'R.M Billets Reports'!D2202)),TRIM('R.M Billets Reports'!F2202),IF(ISNUMBER(SEARCH("Party Name-",'R.M Billets Reports'!D2202)),TRIM(MID('R.M Billets Reports'!D2202,SEARCH("-",'R.M Billets Reports'!D2202)+1,200)),"")),IF(ISNUMBER(SEARCH("Party Name:-",'R.M Billets Reports'!D2203)),TRIM('R.M Billets Reports'!F2203),IF(ISNUMBER(SEARCH("Party Name-",'R.M Billets Reports'!D2203)),TRIM(MID('R.M Billets Reports'!D2203,SEARCH("-",'R.M Billets Reports'!D2203)+1,200)),"")))="VRKP ISPAT PVT LTD","VRKP",IF(IF(IF(ISNUMBER(SEARCH("Party Name:-",'R.M Billets Reports'!D2202)),TRIM('R.M Billets Reports'!F2202),IF(ISNUMBER(SEARCH("Party Name-",'R.M Billets Reports'!D2202)),TRIM(MID('R.M Billets Reports'!D2202,SEARCH("-",'R.M Billets Reports'!D2202)+1,200)),""))&lt;&gt;"",IF(ISNUMBER(SEARCH("Party Name:-",'R.M Billets Reports'!D2202)),TRIM('R.M Billets Reports'!F2202),IF(ISNUMBER(SEARCH("Party Name-",'R.M Billets Reports'!D2202)),TRIM(MID('R.M Billets Reports'!D2202,SEARCH("-",'R.M Billets Reports'!D2202)+1,200)),"")),IF(ISNUMBER(SEARCH("Party Name:-",'R.M Billets Reports'!D2203)),TRIM('R.M Billets Reports'!F2203),IF(ISNUMBER(SEARCH("Party Name-",'R.M Billets Reports'!D2203)),TRIM(MID('R.M Billets Reports'!D2203,SEARCH("-",'R.M Billets Reports'!D2203)+1,200)),"")))="SHRI RADHE","SHREE RADHE",IF(IF(IF(ISNUMBER(SEARCH("Party Name:-",'R.M Billets Reports'!D2202)),TRIM('R.M Billets Reports'!F2202),IF(ISNUMBER(SEARCH("Party Name-",'R.M Billets Reports'!D2202)),TRIM(MID('R.M Billets Reports'!D2202,SEARCH("-",'R.M Billets Reports'!D2202)+1,200)),""))&lt;&gt;"",IF(ISNUMBER(SEARCH("Party Name:-",'R.M Billets Reports'!D2202)),TRIM('R.M Billets Reports'!F2202),IF(ISNUMBER(SEARCH("Party Name-",'R.M Billets Reports'!D2202)),TRIM(MID('R.M Billets Reports'!D2202,SEARCH("-",'R.M Billets Reports'!D2202)+1,200)),"")),IF(ISNUMBER(SEARCH("Party Name:-",'R.M Billets Reports'!D2203)),TRIM('R.M Billets Reports'!F2203),IF(ISNUMBER(SEARCH("Party Name-",'R.M Billets Reports'!D2203)),TRIM(MID('R.M Billets Reports'!D2203,SEARCH("-",'R.M Billets Reports'!D2203)+1,200)),"")))="SHREE RADHE SHAKTI SPONGE AND POWER PVT. LTD.","SHREE RADHE",IF(IF(ISNUMBER(SEARCH("Party Name:-",'R.M Billets Reports'!D2202)),TRIM('R.M Billets Reports'!F2202),IF(ISNUMBER(SEARCH("Party Name-",'R.M Billets Reports'!D2202)),TRIM(MID('R.M Billets Reports'!D2202,SEARCH("-",'R.M Billets Reports'!D2202)+1,200)),""))&lt;&gt;"",IF(ISNUMBER(SEARCH("Party Name:-",'R.M Billets Reports'!D2202)),TRIM('R.M Billets Reports'!F2202),IF(ISNUMBER(SEARCH("Party Name-",'R.M Billets Reports'!D2202)),TRIM(MID('R.M Billets Reports'!D2202,SEARCH("-",'R.M Billets Reports'!D2202)+1,200)),"")),IF(ISNUMBER(SEARCH("Party Name:-",'R.M Billets Reports'!D2203)),TRIM('R.M Billets Reports'!F2203),IF(ISNUMBER(SEARCH("Party Name-",'R.M Billets Reports'!D2203)),TRIM(MID('R.M Billets Reports'!D2203,SEARCH("-",'R.M Billets Reports'!D2203)+1,200)),"")))))),IF(ROW()=2,"",A2202))</f>
      </c>
      <c r="B2203">
        <f>IF(OR('R.M Billets Reports'!A2202="Date-",'R.M Billets Reports'!A2202="Date:-"),'R.M Billets Reports'!B2202,IF(ROW()=2,"",B2202))</f>
      </c>
      <c r="C2203">
        <f>IF('R.M Billets Reports'!A2202="V.No.",'R.M Billets Reports'!B2202,IF(ROW()=2,"",C2202))</f>
      </c>
      <c r="D2203">
        <f>IF('R.M Billets Reports'!A2202&lt;&gt;"",'R.M Billets Reports'!A2202,IF(ROW()=2,"",D2202))</f>
      </c>
      <c r="E2203">
        <f>IF('R.M Billets Reports'!B2202="","",TRIM('R.M Billets Reports'!B2202))</f>
      </c>
      <c r="F2203">
        <f>'R.M Billets Reports'!C2202</f>
      </c>
      <c r="G2203">
        <f>'R.M Billets Reports'!D2202</f>
      </c>
      <c r="H2203">
        <f>'R.M Billets Reports'!E2202</f>
      </c>
      <c r="I2203">
        <f>'R.M Billets Reports'!F2202</f>
      </c>
      <c r="J2203">
        <f>'R.M Billets Reports'!G2202</f>
      </c>
      <c r="K2203">
        <f>'R.M Billets Reports'!H2202</f>
      </c>
      <c r="L2203">
        <f>IF('R.M Billets Reports'!I2202="","",'R.M Billets Reports'!I2202)</f>
      </c>
      <c r="M2203">
        <f t="shared" si="68"/>
      </c>
      <c r="N2203">
        <f>IF('R.M Billets Reports'!J2202="","",'R.M Billets Reports'!J2202)</f>
      </c>
      <c r="O2203">
        <f t="shared" si="69"/>
      </c>
      <c r="P2203">
        <f>IF('R.M Billets Reports'!A2202="SIZE",'R.M Billets Reports'!B2202,P2202)</f>
      </c>
    </row>
    <row r="2204" spans="1:16" x14ac:dyDescent="0.25">
      <c r="A2204">
        <f>IF(OR('R.M Billets Reports'!A2203="Date-",'R.M Billets Reports'!A2203="Date:-"),IF(IF(IF(ISNUMBER(SEARCH("Party Name:-",'R.M Billets Reports'!D2203)),TRIM('R.M Billets Reports'!F2203),IF(ISNUMBER(SEARCH("Party Name-",'R.M Billets Reports'!D2203)),TRIM(MID('R.M Billets Reports'!D2203,SEARCH("-",'R.M Billets Reports'!D2203)+1,200)),""))&lt;&gt;"",IF(ISNUMBER(SEARCH("Party Name:-",'R.M Billets Reports'!D2203)),TRIM('R.M Billets Reports'!F2203),IF(ISNUMBER(SEARCH("Party Name-",'R.M Billets Reports'!D2203)),TRIM(MID('R.M Billets Reports'!D2203,SEARCH("-",'R.M Billets Reports'!D2203)+1,200)),"")),IF(ISNUMBER(SEARCH("Party Name:-",'R.M Billets Reports'!D2204)),TRIM('R.M Billets Reports'!F2204),IF(ISNUMBER(SEARCH("Party Name-",'R.M Billets Reports'!D2204)),TRIM(MID('R.M Billets Reports'!D2204,SEARCH("-",'R.M Billets Reports'!D2204)+1,200)),"")))="VRKP ISPAT PVT LTD","VRKP",IF(IF(IF(ISNUMBER(SEARCH("Party Name:-",'R.M Billets Reports'!D2203)),TRIM('R.M Billets Reports'!F2203),IF(ISNUMBER(SEARCH("Party Name-",'R.M Billets Reports'!D2203)),TRIM(MID('R.M Billets Reports'!D2203,SEARCH("-",'R.M Billets Reports'!D2203)+1,200)),""))&lt;&gt;"",IF(ISNUMBER(SEARCH("Party Name:-",'R.M Billets Reports'!D2203)),TRIM('R.M Billets Reports'!F2203),IF(ISNUMBER(SEARCH("Party Name-",'R.M Billets Reports'!D2203)),TRIM(MID('R.M Billets Reports'!D2203,SEARCH("-",'R.M Billets Reports'!D2203)+1,200)),"")),IF(ISNUMBER(SEARCH("Party Name:-",'R.M Billets Reports'!D2204)),TRIM('R.M Billets Reports'!F2204),IF(ISNUMBER(SEARCH("Party Name-",'R.M Billets Reports'!D2204)),TRIM(MID('R.M Billets Reports'!D2204,SEARCH("-",'R.M Billets Reports'!D2204)+1,200)),"")))="SHRI RADHE","SHREE RADHE",IF(IF(IF(ISNUMBER(SEARCH("Party Name:-",'R.M Billets Reports'!D2203)),TRIM('R.M Billets Reports'!F2203),IF(ISNUMBER(SEARCH("Party Name-",'R.M Billets Reports'!D2203)),TRIM(MID('R.M Billets Reports'!D2203,SEARCH("-",'R.M Billets Reports'!D2203)+1,200)),""))&lt;&gt;"",IF(ISNUMBER(SEARCH("Party Name:-",'R.M Billets Reports'!D2203)),TRIM('R.M Billets Reports'!F2203),IF(ISNUMBER(SEARCH("Party Name-",'R.M Billets Reports'!D2203)),TRIM(MID('R.M Billets Reports'!D2203,SEARCH("-",'R.M Billets Reports'!D2203)+1,200)),"")),IF(ISNUMBER(SEARCH("Party Name:-",'R.M Billets Reports'!D2204)),TRIM('R.M Billets Reports'!F2204),IF(ISNUMBER(SEARCH("Party Name-",'R.M Billets Reports'!D2204)),TRIM(MID('R.M Billets Reports'!D2204,SEARCH("-",'R.M Billets Reports'!D2204)+1,200)),"")))="SHREE RADHE SHAKTI SPONGE AND POWER PVT. LTD.","SHREE RADHE",IF(IF(ISNUMBER(SEARCH("Party Name:-",'R.M Billets Reports'!D2203)),TRIM('R.M Billets Reports'!F2203),IF(ISNUMBER(SEARCH("Party Name-",'R.M Billets Reports'!D2203)),TRIM(MID('R.M Billets Reports'!D2203,SEARCH("-",'R.M Billets Reports'!D2203)+1,200)),""))&lt;&gt;"",IF(ISNUMBER(SEARCH("Party Name:-",'R.M Billets Reports'!D2203)),TRIM('R.M Billets Reports'!F2203),IF(ISNUMBER(SEARCH("Party Name-",'R.M Billets Reports'!D2203)),TRIM(MID('R.M Billets Reports'!D2203,SEARCH("-",'R.M Billets Reports'!D2203)+1,200)),"")),IF(ISNUMBER(SEARCH("Party Name:-",'R.M Billets Reports'!D2204)),TRIM('R.M Billets Reports'!F2204),IF(ISNUMBER(SEARCH("Party Name-",'R.M Billets Reports'!D2204)),TRIM(MID('R.M Billets Reports'!D2204,SEARCH("-",'R.M Billets Reports'!D2204)+1,200)),"")))))),IF(ROW()=2,"",A2203))</f>
      </c>
      <c r="B2204">
        <f>IF(OR('R.M Billets Reports'!A2203="Date-",'R.M Billets Reports'!A2203="Date:-"),'R.M Billets Reports'!B2203,IF(ROW()=2,"",B2203))</f>
      </c>
      <c r="C2204">
        <f>IF('R.M Billets Reports'!A2203="V.No.",'R.M Billets Reports'!B2203,IF(ROW()=2,"",C2203))</f>
      </c>
      <c r="D2204">
        <f>IF('R.M Billets Reports'!A2203&lt;&gt;"",'R.M Billets Reports'!A2203,IF(ROW()=2,"",D2203))</f>
      </c>
      <c r="E2204">
        <f>IF('R.M Billets Reports'!B2203="","",TRIM('R.M Billets Reports'!B2203))</f>
      </c>
      <c r="F2204">
        <f>'R.M Billets Reports'!C2203</f>
      </c>
      <c r="G2204">
        <f>'R.M Billets Reports'!D2203</f>
      </c>
      <c r="H2204">
        <f>'R.M Billets Reports'!E2203</f>
      </c>
      <c r="I2204">
        <f>'R.M Billets Reports'!F2203</f>
      </c>
      <c r="J2204">
        <f>'R.M Billets Reports'!G2203</f>
      </c>
      <c r="K2204">
        <f>'R.M Billets Reports'!H2203</f>
      </c>
      <c r="L2204">
        <f>IF('R.M Billets Reports'!I2203="","",'R.M Billets Reports'!I2203)</f>
      </c>
      <c r="M2204">
        <f t="shared" si="68"/>
      </c>
      <c r="N2204">
        <f>IF('R.M Billets Reports'!J2203="","",'R.M Billets Reports'!J2203)</f>
      </c>
      <c r="O2204">
        <f t="shared" si="69"/>
      </c>
      <c r="P2204">
        <f>IF('R.M Billets Reports'!A2203="SIZE",'R.M Billets Reports'!B2203,P2203)</f>
      </c>
    </row>
    <row r="2205" spans="1:16" x14ac:dyDescent="0.25">
      <c r="A2205">
        <f>IF(OR('R.M Billets Reports'!A2204="Date-",'R.M Billets Reports'!A2204="Date:-"),IF(IF(IF(ISNUMBER(SEARCH("Party Name:-",'R.M Billets Reports'!D2204)),TRIM('R.M Billets Reports'!F2204),IF(ISNUMBER(SEARCH("Party Name-",'R.M Billets Reports'!D2204)),TRIM(MID('R.M Billets Reports'!D2204,SEARCH("-",'R.M Billets Reports'!D2204)+1,200)),""))&lt;&gt;"",IF(ISNUMBER(SEARCH("Party Name:-",'R.M Billets Reports'!D2204)),TRIM('R.M Billets Reports'!F2204),IF(ISNUMBER(SEARCH("Party Name-",'R.M Billets Reports'!D2204)),TRIM(MID('R.M Billets Reports'!D2204,SEARCH("-",'R.M Billets Reports'!D2204)+1,200)),"")),IF(ISNUMBER(SEARCH("Party Name:-",'R.M Billets Reports'!D2205)),TRIM('R.M Billets Reports'!F2205),IF(ISNUMBER(SEARCH("Party Name-",'R.M Billets Reports'!D2205)),TRIM(MID('R.M Billets Reports'!D2205,SEARCH("-",'R.M Billets Reports'!D2205)+1,200)),"")))="VRKP ISPAT PVT LTD","VRKP",IF(IF(IF(ISNUMBER(SEARCH("Party Name:-",'R.M Billets Reports'!D2204)),TRIM('R.M Billets Reports'!F2204),IF(ISNUMBER(SEARCH("Party Name-",'R.M Billets Reports'!D2204)),TRIM(MID('R.M Billets Reports'!D2204,SEARCH("-",'R.M Billets Reports'!D2204)+1,200)),""))&lt;&gt;"",IF(ISNUMBER(SEARCH("Party Name:-",'R.M Billets Reports'!D2204)),TRIM('R.M Billets Reports'!F2204),IF(ISNUMBER(SEARCH("Party Name-",'R.M Billets Reports'!D2204)),TRIM(MID('R.M Billets Reports'!D2204,SEARCH("-",'R.M Billets Reports'!D2204)+1,200)),"")),IF(ISNUMBER(SEARCH("Party Name:-",'R.M Billets Reports'!D2205)),TRIM('R.M Billets Reports'!F2205),IF(ISNUMBER(SEARCH("Party Name-",'R.M Billets Reports'!D2205)),TRIM(MID('R.M Billets Reports'!D2205,SEARCH("-",'R.M Billets Reports'!D2205)+1,200)),"")))="SHRI RADHE","SHREE RADHE",IF(IF(IF(ISNUMBER(SEARCH("Party Name:-",'R.M Billets Reports'!D2204)),TRIM('R.M Billets Reports'!F2204),IF(ISNUMBER(SEARCH("Party Name-",'R.M Billets Reports'!D2204)),TRIM(MID('R.M Billets Reports'!D2204,SEARCH("-",'R.M Billets Reports'!D2204)+1,200)),""))&lt;&gt;"",IF(ISNUMBER(SEARCH("Party Name:-",'R.M Billets Reports'!D2204)),TRIM('R.M Billets Reports'!F2204),IF(ISNUMBER(SEARCH("Party Name-",'R.M Billets Reports'!D2204)),TRIM(MID('R.M Billets Reports'!D2204,SEARCH("-",'R.M Billets Reports'!D2204)+1,200)),"")),IF(ISNUMBER(SEARCH("Party Name:-",'R.M Billets Reports'!D2205)),TRIM('R.M Billets Reports'!F2205),IF(ISNUMBER(SEARCH("Party Name-",'R.M Billets Reports'!D2205)),TRIM(MID('R.M Billets Reports'!D2205,SEARCH("-",'R.M Billets Reports'!D2205)+1,200)),"")))="SHREE RADHE SHAKTI SPONGE AND POWER PVT. LTD.","SHREE RADHE",IF(IF(ISNUMBER(SEARCH("Party Name:-",'R.M Billets Reports'!D2204)),TRIM('R.M Billets Reports'!F2204),IF(ISNUMBER(SEARCH("Party Name-",'R.M Billets Reports'!D2204)),TRIM(MID('R.M Billets Reports'!D2204,SEARCH("-",'R.M Billets Reports'!D2204)+1,200)),""))&lt;&gt;"",IF(ISNUMBER(SEARCH("Party Name:-",'R.M Billets Reports'!D2204)),TRIM('R.M Billets Reports'!F2204),IF(ISNUMBER(SEARCH("Party Name-",'R.M Billets Reports'!D2204)),TRIM(MID('R.M Billets Reports'!D2204,SEARCH("-",'R.M Billets Reports'!D2204)+1,200)),"")),IF(ISNUMBER(SEARCH("Party Name:-",'R.M Billets Reports'!D2205)),TRIM('R.M Billets Reports'!F2205),IF(ISNUMBER(SEARCH("Party Name-",'R.M Billets Reports'!D2205)),TRIM(MID('R.M Billets Reports'!D2205,SEARCH("-",'R.M Billets Reports'!D2205)+1,200)),"")))))),IF(ROW()=2,"",A2204))</f>
      </c>
      <c r="B2205">
        <f>IF(OR('R.M Billets Reports'!A2204="Date-",'R.M Billets Reports'!A2204="Date:-"),'R.M Billets Reports'!B2204,IF(ROW()=2,"",B2204))</f>
      </c>
      <c r="C2205">
        <f>IF('R.M Billets Reports'!A2204="V.No.",'R.M Billets Reports'!B2204,IF(ROW()=2,"",C2204))</f>
      </c>
      <c r="D2205">
        <f>IF('R.M Billets Reports'!A2204&lt;&gt;"",'R.M Billets Reports'!A2204,IF(ROW()=2,"",D2204))</f>
      </c>
      <c r="E2205">
        <f>IF('R.M Billets Reports'!B2204="","",TRIM('R.M Billets Reports'!B2204))</f>
      </c>
      <c r="F2205">
        <f>'R.M Billets Reports'!C2204</f>
      </c>
      <c r="G2205">
        <f>'R.M Billets Reports'!D2204</f>
      </c>
      <c r="H2205">
        <f>'R.M Billets Reports'!E2204</f>
      </c>
      <c r="I2205">
        <f>'R.M Billets Reports'!F2204</f>
      </c>
      <c r="J2205">
        <f>'R.M Billets Reports'!G2204</f>
      </c>
      <c r="K2205">
        <f>'R.M Billets Reports'!H2204</f>
      </c>
      <c r="L2205">
        <f>IF('R.M Billets Reports'!I2204="","",'R.M Billets Reports'!I2204)</f>
      </c>
      <c r="M2205">
        <f t="shared" si="68"/>
      </c>
      <c r="N2205">
        <f>IF('R.M Billets Reports'!J2204="","",'R.M Billets Reports'!J2204)</f>
      </c>
      <c r="O2205">
        <f t="shared" si="69"/>
      </c>
      <c r="P2205">
        <f>IF('R.M Billets Reports'!A2204="SIZE",'R.M Billets Reports'!B2204,P2204)</f>
      </c>
    </row>
    <row r="2206" spans="1:16" x14ac:dyDescent="0.25">
      <c r="A2206">
        <f>IF(OR('R.M Billets Reports'!A2205="Date-",'R.M Billets Reports'!A2205="Date:-"),IF(IF(IF(ISNUMBER(SEARCH("Party Name:-",'R.M Billets Reports'!D2205)),TRIM('R.M Billets Reports'!F2205),IF(ISNUMBER(SEARCH("Party Name-",'R.M Billets Reports'!D2205)),TRIM(MID('R.M Billets Reports'!D2205,SEARCH("-",'R.M Billets Reports'!D2205)+1,200)),""))&lt;&gt;"",IF(ISNUMBER(SEARCH("Party Name:-",'R.M Billets Reports'!D2205)),TRIM('R.M Billets Reports'!F2205),IF(ISNUMBER(SEARCH("Party Name-",'R.M Billets Reports'!D2205)),TRIM(MID('R.M Billets Reports'!D2205,SEARCH("-",'R.M Billets Reports'!D2205)+1,200)),"")),IF(ISNUMBER(SEARCH("Party Name:-",'R.M Billets Reports'!D2206)),TRIM('R.M Billets Reports'!F2206),IF(ISNUMBER(SEARCH("Party Name-",'R.M Billets Reports'!D2206)),TRIM(MID('R.M Billets Reports'!D2206,SEARCH("-",'R.M Billets Reports'!D2206)+1,200)),"")))="VRKP ISPAT PVT LTD","VRKP",IF(IF(IF(ISNUMBER(SEARCH("Party Name:-",'R.M Billets Reports'!D2205)),TRIM('R.M Billets Reports'!F2205),IF(ISNUMBER(SEARCH("Party Name-",'R.M Billets Reports'!D2205)),TRIM(MID('R.M Billets Reports'!D2205,SEARCH("-",'R.M Billets Reports'!D2205)+1,200)),""))&lt;&gt;"",IF(ISNUMBER(SEARCH("Party Name:-",'R.M Billets Reports'!D2205)),TRIM('R.M Billets Reports'!F2205),IF(ISNUMBER(SEARCH("Party Name-",'R.M Billets Reports'!D2205)),TRIM(MID('R.M Billets Reports'!D2205,SEARCH("-",'R.M Billets Reports'!D2205)+1,200)),"")),IF(ISNUMBER(SEARCH("Party Name:-",'R.M Billets Reports'!D2206)),TRIM('R.M Billets Reports'!F2206),IF(ISNUMBER(SEARCH("Party Name-",'R.M Billets Reports'!D2206)),TRIM(MID('R.M Billets Reports'!D2206,SEARCH("-",'R.M Billets Reports'!D2206)+1,200)),"")))="SHRI RADHE","SHREE RADHE",IF(IF(IF(ISNUMBER(SEARCH("Party Name:-",'R.M Billets Reports'!D2205)),TRIM('R.M Billets Reports'!F2205),IF(ISNUMBER(SEARCH("Party Name-",'R.M Billets Reports'!D2205)),TRIM(MID('R.M Billets Reports'!D2205,SEARCH("-",'R.M Billets Reports'!D2205)+1,200)),""))&lt;&gt;"",IF(ISNUMBER(SEARCH("Party Name:-",'R.M Billets Reports'!D2205)),TRIM('R.M Billets Reports'!F2205),IF(ISNUMBER(SEARCH("Party Name-",'R.M Billets Reports'!D2205)),TRIM(MID('R.M Billets Reports'!D2205,SEARCH("-",'R.M Billets Reports'!D2205)+1,200)),"")),IF(ISNUMBER(SEARCH("Party Name:-",'R.M Billets Reports'!D2206)),TRIM('R.M Billets Reports'!F2206),IF(ISNUMBER(SEARCH("Party Name-",'R.M Billets Reports'!D2206)),TRIM(MID('R.M Billets Reports'!D2206,SEARCH("-",'R.M Billets Reports'!D2206)+1,200)),"")))="SHREE RADHE SHAKTI SPONGE AND POWER PVT. LTD.","SHREE RADHE",IF(IF(ISNUMBER(SEARCH("Party Name:-",'R.M Billets Reports'!D2205)),TRIM('R.M Billets Reports'!F2205),IF(ISNUMBER(SEARCH("Party Name-",'R.M Billets Reports'!D2205)),TRIM(MID('R.M Billets Reports'!D2205,SEARCH("-",'R.M Billets Reports'!D2205)+1,200)),""))&lt;&gt;"",IF(ISNUMBER(SEARCH("Party Name:-",'R.M Billets Reports'!D2205)),TRIM('R.M Billets Reports'!F2205),IF(ISNUMBER(SEARCH("Party Name-",'R.M Billets Reports'!D2205)),TRIM(MID('R.M Billets Reports'!D2205,SEARCH("-",'R.M Billets Reports'!D2205)+1,200)),"")),IF(ISNUMBER(SEARCH("Party Name:-",'R.M Billets Reports'!D2206)),TRIM('R.M Billets Reports'!F2206),IF(ISNUMBER(SEARCH("Party Name-",'R.M Billets Reports'!D2206)),TRIM(MID('R.M Billets Reports'!D2206,SEARCH("-",'R.M Billets Reports'!D2206)+1,200)),"")))))),IF(ROW()=2,"",A2205))</f>
      </c>
      <c r="B2206">
        <f>IF(OR('R.M Billets Reports'!A2205="Date-",'R.M Billets Reports'!A2205="Date:-"),'R.M Billets Reports'!B2205,IF(ROW()=2,"",B2205))</f>
      </c>
      <c r="C2206">
        <f>IF('R.M Billets Reports'!A2205="V.No.",'R.M Billets Reports'!B2205,IF(ROW()=2,"",C2205))</f>
      </c>
      <c r="D2206">
        <f>IF('R.M Billets Reports'!A2205&lt;&gt;"",'R.M Billets Reports'!A2205,IF(ROW()=2,"",D2205))</f>
      </c>
      <c r="E2206">
        <f>IF('R.M Billets Reports'!B2205="","",TRIM('R.M Billets Reports'!B2205))</f>
      </c>
      <c r="F2206">
        <f>'R.M Billets Reports'!C2205</f>
      </c>
      <c r="G2206">
        <f>'R.M Billets Reports'!D2205</f>
      </c>
      <c r="H2206">
        <f>'R.M Billets Reports'!E2205</f>
      </c>
      <c r="I2206">
        <f>'R.M Billets Reports'!F2205</f>
      </c>
      <c r="J2206">
        <f>'R.M Billets Reports'!G2205</f>
      </c>
      <c r="K2206">
        <f>'R.M Billets Reports'!H2205</f>
      </c>
      <c r="L2206">
        <f>IF('R.M Billets Reports'!I2205="","",'R.M Billets Reports'!I2205)</f>
      </c>
      <c r="M2206">
        <f t="shared" si="68"/>
      </c>
      <c r="N2206">
        <f>IF('R.M Billets Reports'!J2205="","",'R.M Billets Reports'!J2205)</f>
      </c>
      <c r="O2206">
        <f t="shared" si="69"/>
      </c>
      <c r="P2206">
        <f>IF('R.M Billets Reports'!A2205="SIZE",'R.M Billets Reports'!B2205,P2205)</f>
      </c>
    </row>
    <row r="2207" spans="1:16" x14ac:dyDescent="0.25">
      <c r="A2207">
        <f>IF(OR('R.M Billets Reports'!A2206="Date-",'R.M Billets Reports'!A2206="Date:-"),IF(IF(IF(ISNUMBER(SEARCH("Party Name:-",'R.M Billets Reports'!D2206)),TRIM('R.M Billets Reports'!F2206),IF(ISNUMBER(SEARCH("Party Name-",'R.M Billets Reports'!D2206)),TRIM(MID('R.M Billets Reports'!D2206,SEARCH("-",'R.M Billets Reports'!D2206)+1,200)),""))&lt;&gt;"",IF(ISNUMBER(SEARCH("Party Name:-",'R.M Billets Reports'!D2206)),TRIM('R.M Billets Reports'!F2206),IF(ISNUMBER(SEARCH("Party Name-",'R.M Billets Reports'!D2206)),TRIM(MID('R.M Billets Reports'!D2206,SEARCH("-",'R.M Billets Reports'!D2206)+1,200)),"")),IF(ISNUMBER(SEARCH("Party Name:-",'R.M Billets Reports'!D2207)),TRIM('R.M Billets Reports'!F2207),IF(ISNUMBER(SEARCH("Party Name-",'R.M Billets Reports'!D2207)),TRIM(MID('R.M Billets Reports'!D2207,SEARCH("-",'R.M Billets Reports'!D2207)+1,200)),"")))="VRKP ISPAT PVT LTD","VRKP",IF(IF(IF(ISNUMBER(SEARCH("Party Name:-",'R.M Billets Reports'!D2206)),TRIM('R.M Billets Reports'!F2206),IF(ISNUMBER(SEARCH("Party Name-",'R.M Billets Reports'!D2206)),TRIM(MID('R.M Billets Reports'!D2206,SEARCH("-",'R.M Billets Reports'!D2206)+1,200)),""))&lt;&gt;"",IF(ISNUMBER(SEARCH("Party Name:-",'R.M Billets Reports'!D2206)),TRIM('R.M Billets Reports'!F2206),IF(ISNUMBER(SEARCH("Party Name-",'R.M Billets Reports'!D2206)),TRIM(MID('R.M Billets Reports'!D2206,SEARCH("-",'R.M Billets Reports'!D2206)+1,200)),"")),IF(ISNUMBER(SEARCH("Party Name:-",'R.M Billets Reports'!D2207)),TRIM('R.M Billets Reports'!F2207),IF(ISNUMBER(SEARCH("Party Name-",'R.M Billets Reports'!D2207)),TRIM(MID('R.M Billets Reports'!D2207,SEARCH("-",'R.M Billets Reports'!D2207)+1,200)),"")))="SHRI RADHE","SHREE RADHE",IF(IF(IF(ISNUMBER(SEARCH("Party Name:-",'R.M Billets Reports'!D2206)),TRIM('R.M Billets Reports'!F2206),IF(ISNUMBER(SEARCH("Party Name-",'R.M Billets Reports'!D2206)),TRIM(MID('R.M Billets Reports'!D2206,SEARCH("-",'R.M Billets Reports'!D2206)+1,200)),""))&lt;&gt;"",IF(ISNUMBER(SEARCH("Party Name:-",'R.M Billets Reports'!D2206)),TRIM('R.M Billets Reports'!F2206),IF(ISNUMBER(SEARCH("Party Name-",'R.M Billets Reports'!D2206)),TRIM(MID('R.M Billets Reports'!D2206,SEARCH("-",'R.M Billets Reports'!D2206)+1,200)),"")),IF(ISNUMBER(SEARCH("Party Name:-",'R.M Billets Reports'!D2207)),TRIM('R.M Billets Reports'!F2207),IF(ISNUMBER(SEARCH("Party Name-",'R.M Billets Reports'!D2207)),TRIM(MID('R.M Billets Reports'!D2207,SEARCH("-",'R.M Billets Reports'!D2207)+1,200)),"")))="SHREE RADHE SHAKTI SPONGE AND POWER PVT. LTD.","SHREE RADHE",IF(IF(ISNUMBER(SEARCH("Party Name:-",'R.M Billets Reports'!D2206)),TRIM('R.M Billets Reports'!F2206),IF(ISNUMBER(SEARCH("Party Name-",'R.M Billets Reports'!D2206)),TRIM(MID('R.M Billets Reports'!D2206,SEARCH("-",'R.M Billets Reports'!D2206)+1,200)),""))&lt;&gt;"",IF(ISNUMBER(SEARCH("Party Name:-",'R.M Billets Reports'!D2206)),TRIM('R.M Billets Reports'!F2206),IF(ISNUMBER(SEARCH("Party Name-",'R.M Billets Reports'!D2206)),TRIM(MID('R.M Billets Reports'!D2206,SEARCH("-",'R.M Billets Reports'!D2206)+1,200)),"")),IF(ISNUMBER(SEARCH("Party Name:-",'R.M Billets Reports'!D2207)),TRIM('R.M Billets Reports'!F2207),IF(ISNUMBER(SEARCH("Party Name-",'R.M Billets Reports'!D2207)),TRIM(MID('R.M Billets Reports'!D2207,SEARCH("-",'R.M Billets Reports'!D2207)+1,200)),"")))))),IF(ROW()=2,"",A2206))</f>
      </c>
      <c r="B2207">
        <f>IF(OR('R.M Billets Reports'!A2206="Date-",'R.M Billets Reports'!A2206="Date:-"),'R.M Billets Reports'!B2206,IF(ROW()=2,"",B2206))</f>
      </c>
      <c r="C2207">
        <f>IF('R.M Billets Reports'!A2206="V.No.",'R.M Billets Reports'!B2206,IF(ROW()=2,"",C2206))</f>
      </c>
      <c r="D2207">
        <f>IF('R.M Billets Reports'!A2206&lt;&gt;"",'R.M Billets Reports'!A2206,IF(ROW()=2,"",D2206))</f>
      </c>
      <c r="E2207">
        <f>IF('R.M Billets Reports'!B2206="","",TRIM('R.M Billets Reports'!B2206))</f>
      </c>
      <c r="F2207">
        <f>'R.M Billets Reports'!C2206</f>
      </c>
      <c r="G2207">
        <f>'R.M Billets Reports'!D2206</f>
      </c>
      <c r="H2207">
        <f>'R.M Billets Reports'!E2206</f>
      </c>
      <c r="I2207">
        <f>'R.M Billets Reports'!F2206</f>
      </c>
      <c r="J2207">
        <f>'R.M Billets Reports'!G2206</f>
      </c>
      <c r="K2207">
        <f>'R.M Billets Reports'!H2206</f>
      </c>
      <c r="L2207">
        <f>IF('R.M Billets Reports'!I2206="","",'R.M Billets Reports'!I2206)</f>
      </c>
      <c r="M2207">
        <f t="shared" si="68"/>
      </c>
      <c r="N2207">
        <f>IF('R.M Billets Reports'!J2206="","",'R.M Billets Reports'!J2206)</f>
      </c>
      <c r="O2207">
        <f t="shared" si="69"/>
      </c>
      <c r="P2207">
        <f>IF('R.M Billets Reports'!A2206="SIZE",'R.M Billets Reports'!B2206,P2206)</f>
      </c>
    </row>
    <row r="2208" spans="1:16" x14ac:dyDescent="0.25">
      <c r="A2208">
        <f>IF(OR('R.M Billets Reports'!A2207="Date-",'R.M Billets Reports'!A2207="Date:-"),IF(IF(IF(ISNUMBER(SEARCH("Party Name:-",'R.M Billets Reports'!D2207)),TRIM('R.M Billets Reports'!F2207),IF(ISNUMBER(SEARCH("Party Name-",'R.M Billets Reports'!D2207)),TRIM(MID('R.M Billets Reports'!D2207,SEARCH("-",'R.M Billets Reports'!D2207)+1,200)),""))&lt;&gt;"",IF(ISNUMBER(SEARCH("Party Name:-",'R.M Billets Reports'!D2207)),TRIM('R.M Billets Reports'!F2207),IF(ISNUMBER(SEARCH("Party Name-",'R.M Billets Reports'!D2207)),TRIM(MID('R.M Billets Reports'!D2207,SEARCH("-",'R.M Billets Reports'!D2207)+1,200)),"")),IF(ISNUMBER(SEARCH("Party Name:-",'R.M Billets Reports'!D2208)),TRIM('R.M Billets Reports'!F2208),IF(ISNUMBER(SEARCH("Party Name-",'R.M Billets Reports'!D2208)),TRIM(MID('R.M Billets Reports'!D2208,SEARCH("-",'R.M Billets Reports'!D2208)+1,200)),"")))="VRKP ISPAT PVT LTD","VRKP",IF(IF(IF(ISNUMBER(SEARCH("Party Name:-",'R.M Billets Reports'!D2207)),TRIM('R.M Billets Reports'!F2207),IF(ISNUMBER(SEARCH("Party Name-",'R.M Billets Reports'!D2207)),TRIM(MID('R.M Billets Reports'!D2207,SEARCH("-",'R.M Billets Reports'!D2207)+1,200)),""))&lt;&gt;"",IF(ISNUMBER(SEARCH("Party Name:-",'R.M Billets Reports'!D2207)),TRIM('R.M Billets Reports'!F2207),IF(ISNUMBER(SEARCH("Party Name-",'R.M Billets Reports'!D2207)),TRIM(MID('R.M Billets Reports'!D2207,SEARCH("-",'R.M Billets Reports'!D2207)+1,200)),"")),IF(ISNUMBER(SEARCH("Party Name:-",'R.M Billets Reports'!D2208)),TRIM('R.M Billets Reports'!F2208),IF(ISNUMBER(SEARCH("Party Name-",'R.M Billets Reports'!D2208)),TRIM(MID('R.M Billets Reports'!D2208,SEARCH("-",'R.M Billets Reports'!D2208)+1,200)),"")))="SHRI RADHE","SHREE RADHE",IF(IF(IF(ISNUMBER(SEARCH("Party Name:-",'R.M Billets Reports'!D2207)),TRIM('R.M Billets Reports'!F2207),IF(ISNUMBER(SEARCH("Party Name-",'R.M Billets Reports'!D2207)),TRIM(MID('R.M Billets Reports'!D2207,SEARCH("-",'R.M Billets Reports'!D2207)+1,200)),""))&lt;&gt;"",IF(ISNUMBER(SEARCH("Party Name:-",'R.M Billets Reports'!D2207)),TRIM('R.M Billets Reports'!F2207),IF(ISNUMBER(SEARCH("Party Name-",'R.M Billets Reports'!D2207)),TRIM(MID('R.M Billets Reports'!D2207,SEARCH("-",'R.M Billets Reports'!D2207)+1,200)),"")),IF(ISNUMBER(SEARCH("Party Name:-",'R.M Billets Reports'!D2208)),TRIM('R.M Billets Reports'!F2208),IF(ISNUMBER(SEARCH("Party Name-",'R.M Billets Reports'!D2208)),TRIM(MID('R.M Billets Reports'!D2208,SEARCH("-",'R.M Billets Reports'!D2208)+1,200)),"")))="SHREE RADHE SHAKTI SPONGE AND POWER PVT. LTD.","SHREE RADHE",IF(IF(ISNUMBER(SEARCH("Party Name:-",'R.M Billets Reports'!D2207)),TRIM('R.M Billets Reports'!F2207),IF(ISNUMBER(SEARCH("Party Name-",'R.M Billets Reports'!D2207)),TRIM(MID('R.M Billets Reports'!D2207,SEARCH("-",'R.M Billets Reports'!D2207)+1,200)),""))&lt;&gt;"",IF(ISNUMBER(SEARCH("Party Name:-",'R.M Billets Reports'!D2207)),TRIM('R.M Billets Reports'!F2207),IF(ISNUMBER(SEARCH("Party Name-",'R.M Billets Reports'!D2207)),TRIM(MID('R.M Billets Reports'!D2207,SEARCH("-",'R.M Billets Reports'!D2207)+1,200)),"")),IF(ISNUMBER(SEARCH("Party Name:-",'R.M Billets Reports'!D2208)),TRIM('R.M Billets Reports'!F2208),IF(ISNUMBER(SEARCH("Party Name-",'R.M Billets Reports'!D2208)),TRIM(MID('R.M Billets Reports'!D2208,SEARCH("-",'R.M Billets Reports'!D2208)+1,200)),"")))))),IF(ROW()=2,"",A2207))</f>
      </c>
      <c r="B2208">
        <f>IF(OR('R.M Billets Reports'!A2207="Date-",'R.M Billets Reports'!A2207="Date:-"),'R.M Billets Reports'!B2207,IF(ROW()=2,"",B2207))</f>
      </c>
      <c r="C2208">
        <f>IF('R.M Billets Reports'!A2207="V.No.",'R.M Billets Reports'!B2207,IF(ROW()=2,"",C2207))</f>
      </c>
      <c r="D2208">
        <f>IF('R.M Billets Reports'!A2207&lt;&gt;"",'R.M Billets Reports'!A2207,IF(ROW()=2,"",D2207))</f>
      </c>
      <c r="E2208">
        <f>IF('R.M Billets Reports'!B2207="","",TRIM('R.M Billets Reports'!B2207))</f>
      </c>
      <c r="F2208">
        <f>'R.M Billets Reports'!C2207</f>
      </c>
      <c r="G2208">
        <f>'R.M Billets Reports'!D2207</f>
      </c>
      <c r="H2208">
        <f>'R.M Billets Reports'!E2207</f>
      </c>
      <c r="I2208">
        <f>'R.M Billets Reports'!F2207</f>
      </c>
      <c r="J2208">
        <f>'R.M Billets Reports'!G2207</f>
      </c>
      <c r="K2208">
        <f>'R.M Billets Reports'!H2207</f>
      </c>
      <c r="L2208">
        <f>IF('R.M Billets Reports'!I2207="","",'R.M Billets Reports'!I2207)</f>
      </c>
      <c r="M2208">
        <f t="shared" si="68"/>
      </c>
      <c r="N2208">
        <f>IF('R.M Billets Reports'!J2207="","",'R.M Billets Reports'!J2207)</f>
      </c>
      <c r="O2208">
        <f t="shared" si="69"/>
      </c>
      <c r="P2208">
        <f>IF('R.M Billets Reports'!A2207="SIZE",'R.M Billets Reports'!B2207,P2207)</f>
      </c>
    </row>
    <row r="2209" spans="1:16" x14ac:dyDescent="0.25">
      <c r="A2209">
        <f>IF(OR('R.M Billets Reports'!A2208="Date-",'R.M Billets Reports'!A2208="Date:-"),IF(IF(IF(ISNUMBER(SEARCH("Party Name:-",'R.M Billets Reports'!D2208)),TRIM('R.M Billets Reports'!F2208),IF(ISNUMBER(SEARCH("Party Name-",'R.M Billets Reports'!D2208)),TRIM(MID('R.M Billets Reports'!D2208,SEARCH("-",'R.M Billets Reports'!D2208)+1,200)),""))&lt;&gt;"",IF(ISNUMBER(SEARCH("Party Name:-",'R.M Billets Reports'!D2208)),TRIM('R.M Billets Reports'!F2208),IF(ISNUMBER(SEARCH("Party Name-",'R.M Billets Reports'!D2208)),TRIM(MID('R.M Billets Reports'!D2208,SEARCH("-",'R.M Billets Reports'!D2208)+1,200)),"")),IF(ISNUMBER(SEARCH("Party Name:-",'R.M Billets Reports'!D2209)),TRIM('R.M Billets Reports'!F2209),IF(ISNUMBER(SEARCH("Party Name-",'R.M Billets Reports'!D2209)),TRIM(MID('R.M Billets Reports'!D2209,SEARCH("-",'R.M Billets Reports'!D2209)+1,200)),"")))="VRKP ISPAT PVT LTD","VRKP",IF(IF(IF(ISNUMBER(SEARCH("Party Name:-",'R.M Billets Reports'!D2208)),TRIM('R.M Billets Reports'!F2208),IF(ISNUMBER(SEARCH("Party Name-",'R.M Billets Reports'!D2208)),TRIM(MID('R.M Billets Reports'!D2208,SEARCH("-",'R.M Billets Reports'!D2208)+1,200)),""))&lt;&gt;"",IF(ISNUMBER(SEARCH("Party Name:-",'R.M Billets Reports'!D2208)),TRIM('R.M Billets Reports'!F2208),IF(ISNUMBER(SEARCH("Party Name-",'R.M Billets Reports'!D2208)),TRIM(MID('R.M Billets Reports'!D2208,SEARCH("-",'R.M Billets Reports'!D2208)+1,200)),"")),IF(ISNUMBER(SEARCH("Party Name:-",'R.M Billets Reports'!D2209)),TRIM('R.M Billets Reports'!F2209),IF(ISNUMBER(SEARCH("Party Name-",'R.M Billets Reports'!D2209)),TRIM(MID('R.M Billets Reports'!D2209,SEARCH("-",'R.M Billets Reports'!D2209)+1,200)),"")))="SHRI RADHE","SHREE RADHE",IF(IF(IF(ISNUMBER(SEARCH("Party Name:-",'R.M Billets Reports'!D2208)),TRIM('R.M Billets Reports'!F2208),IF(ISNUMBER(SEARCH("Party Name-",'R.M Billets Reports'!D2208)),TRIM(MID('R.M Billets Reports'!D2208,SEARCH("-",'R.M Billets Reports'!D2208)+1,200)),""))&lt;&gt;"",IF(ISNUMBER(SEARCH("Party Name:-",'R.M Billets Reports'!D2208)),TRIM('R.M Billets Reports'!F2208),IF(ISNUMBER(SEARCH("Party Name-",'R.M Billets Reports'!D2208)),TRIM(MID('R.M Billets Reports'!D2208,SEARCH("-",'R.M Billets Reports'!D2208)+1,200)),"")),IF(ISNUMBER(SEARCH("Party Name:-",'R.M Billets Reports'!D2209)),TRIM('R.M Billets Reports'!F2209),IF(ISNUMBER(SEARCH("Party Name-",'R.M Billets Reports'!D2209)),TRIM(MID('R.M Billets Reports'!D2209,SEARCH("-",'R.M Billets Reports'!D2209)+1,200)),"")))="SHREE RADHE SHAKTI SPONGE AND POWER PVT. LTD.","SHREE RADHE",IF(IF(ISNUMBER(SEARCH("Party Name:-",'R.M Billets Reports'!D2208)),TRIM('R.M Billets Reports'!F2208),IF(ISNUMBER(SEARCH("Party Name-",'R.M Billets Reports'!D2208)),TRIM(MID('R.M Billets Reports'!D2208,SEARCH("-",'R.M Billets Reports'!D2208)+1,200)),""))&lt;&gt;"",IF(ISNUMBER(SEARCH("Party Name:-",'R.M Billets Reports'!D2208)),TRIM('R.M Billets Reports'!F2208),IF(ISNUMBER(SEARCH("Party Name-",'R.M Billets Reports'!D2208)),TRIM(MID('R.M Billets Reports'!D2208,SEARCH("-",'R.M Billets Reports'!D2208)+1,200)),"")),IF(ISNUMBER(SEARCH("Party Name:-",'R.M Billets Reports'!D2209)),TRIM('R.M Billets Reports'!F2209),IF(ISNUMBER(SEARCH("Party Name-",'R.M Billets Reports'!D2209)),TRIM(MID('R.M Billets Reports'!D2209,SEARCH("-",'R.M Billets Reports'!D2209)+1,200)),"")))))),IF(ROW()=2,"",A2208))</f>
      </c>
      <c r="B2209">
        <f>IF(OR('R.M Billets Reports'!A2208="Date-",'R.M Billets Reports'!A2208="Date:-"),'R.M Billets Reports'!B2208,IF(ROW()=2,"",B2208))</f>
      </c>
      <c r="C2209">
        <f>IF('R.M Billets Reports'!A2208="V.No.",'R.M Billets Reports'!B2208,IF(ROW()=2,"",C2208))</f>
      </c>
      <c r="D2209">
        <f>IF('R.M Billets Reports'!A2208&lt;&gt;"",'R.M Billets Reports'!A2208,IF(ROW()=2,"",D2208))</f>
      </c>
      <c r="E2209">
        <f>IF('R.M Billets Reports'!B2208="","",TRIM('R.M Billets Reports'!B2208))</f>
      </c>
      <c r="F2209">
        <f>'R.M Billets Reports'!C2208</f>
      </c>
      <c r="G2209">
        <f>'R.M Billets Reports'!D2208</f>
      </c>
      <c r="H2209">
        <f>'R.M Billets Reports'!E2208</f>
      </c>
      <c r="I2209">
        <f>'R.M Billets Reports'!F2208</f>
      </c>
      <c r="J2209">
        <f>'R.M Billets Reports'!G2208</f>
      </c>
      <c r="K2209">
        <f>'R.M Billets Reports'!H2208</f>
      </c>
      <c r="L2209">
        <f>IF('R.M Billets Reports'!I2208="","",'R.M Billets Reports'!I2208)</f>
      </c>
      <c r="M2209">
        <f t="shared" si="68"/>
      </c>
      <c r="N2209">
        <f>IF('R.M Billets Reports'!J2208="","",'R.M Billets Reports'!J2208)</f>
      </c>
      <c r="O2209">
        <f t="shared" si="69"/>
      </c>
      <c r="P2209">
        <f>IF('R.M Billets Reports'!A2208="SIZE",'R.M Billets Reports'!B2208,P2208)</f>
      </c>
    </row>
    <row r="2210" spans="1:16" x14ac:dyDescent="0.25">
      <c r="A2210">
        <f>IF(OR('R.M Billets Reports'!A2209="Date-",'R.M Billets Reports'!A2209="Date:-"),IF(IF(IF(ISNUMBER(SEARCH("Party Name:-",'R.M Billets Reports'!D2209)),TRIM('R.M Billets Reports'!F2209),IF(ISNUMBER(SEARCH("Party Name-",'R.M Billets Reports'!D2209)),TRIM(MID('R.M Billets Reports'!D2209,SEARCH("-",'R.M Billets Reports'!D2209)+1,200)),""))&lt;&gt;"",IF(ISNUMBER(SEARCH("Party Name:-",'R.M Billets Reports'!D2209)),TRIM('R.M Billets Reports'!F2209),IF(ISNUMBER(SEARCH("Party Name-",'R.M Billets Reports'!D2209)),TRIM(MID('R.M Billets Reports'!D2209,SEARCH("-",'R.M Billets Reports'!D2209)+1,200)),"")),IF(ISNUMBER(SEARCH("Party Name:-",'R.M Billets Reports'!D2210)),TRIM('R.M Billets Reports'!F2210),IF(ISNUMBER(SEARCH("Party Name-",'R.M Billets Reports'!D2210)),TRIM(MID('R.M Billets Reports'!D2210,SEARCH("-",'R.M Billets Reports'!D2210)+1,200)),"")))="VRKP ISPAT PVT LTD","VRKP",IF(IF(IF(ISNUMBER(SEARCH("Party Name:-",'R.M Billets Reports'!D2209)),TRIM('R.M Billets Reports'!F2209),IF(ISNUMBER(SEARCH("Party Name-",'R.M Billets Reports'!D2209)),TRIM(MID('R.M Billets Reports'!D2209,SEARCH("-",'R.M Billets Reports'!D2209)+1,200)),""))&lt;&gt;"",IF(ISNUMBER(SEARCH("Party Name:-",'R.M Billets Reports'!D2209)),TRIM('R.M Billets Reports'!F2209),IF(ISNUMBER(SEARCH("Party Name-",'R.M Billets Reports'!D2209)),TRIM(MID('R.M Billets Reports'!D2209,SEARCH("-",'R.M Billets Reports'!D2209)+1,200)),"")),IF(ISNUMBER(SEARCH("Party Name:-",'R.M Billets Reports'!D2210)),TRIM('R.M Billets Reports'!F2210),IF(ISNUMBER(SEARCH("Party Name-",'R.M Billets Reports'!D2210)),TRIM(MID('R.M Billets Reports'!D2210,SEARCH("-",'R.M Billets Reports'!D2210)+1,200)),"")))="SHRI RADHE","SHREE RADHE",IF(IF(IF(ISNUMBER(SEARCH("Party Name:-",'R.M Billets Reports'!D2209)),TRIM('R.M Billets Reports'!F2209),IF(ISNUMBER(SEARCH("Party Name-",'R.M Billets Reports'!D2209)),TRIM(MID('R.M Billets Reports'!D2209,SEARCH("-",'R.M Billets Reports'!D2209)+1,200)),""))&lt;&gt;"",IF(ISNUMBER(SEARCH("Party Name:-",'R.M Billets Reports'!D2209)),TRIM('R.M Billets Reports'!F2209),IF(ISNUMBER(SEARCH("Party Name-",'R.M Billets Reports'!D2209)),TRIM(MID('R.M Billets Reports'!D2209,SEARCH("-",'R.M Billets Reports'!D2209)+1,200)),"")),IF(ISNUMBER(SEARCH("Party Name:-",'R.M Billets Reports'!D2210)),TRIM('R.M Billets Reports'!F2210),IF(ISNUMBER(SEARCH("Party Name-",'R.M Billets Reports'!D2210)),TRIM(MID('R.M Billets Reports'!D2210,SEARCH("-",'R.M Billets Reports'!D2210)+1,200)),"")))="SHREE RADHE SHAKTI SPONGE AND POWER PVT. LTD.","SHREE RADHE",IF(IF(ISNUMBER(SEARCH("Party Name:-",'R.M Billets Reports'!D2209)),TRIM('R.M Billets Reports'!F2209),IF(ISNUMBER(SEARCH("Party Name-",'R.M Billets Reports'!D2209)),TRIM(MID('R.M Billets Reports'!D2209,SEARCH("-",'R.M Billets Reports'!D2209)+1,200)),""))&lt;&gt;"",IF(ISNUMBER(SEARCH("Party Name:-",'R.M Billets Reports'!D2209)),TRIM('R.M Billets Reports'!F2209),IF(ISNUMBER(SEARCH("Party Name-",'R.M Billets Reports'!D2209)),TRIM(MID('R.M Billets Reports'!D2209,SEARCH("-",'R.M Billets Reports'!D2209)+1,200)),"")),IF(ISNUMBER(SEARCH("Party Name:-",'R.M Billets Reports'!D2210)),TRIM('R.M Billets Reports'!F2210),IF(ISNUMBER(SEARCH("Party Name-",'R.M Billets Reports'!D2210)),TRIM(MID('R.M Billets Reports'!D2210,SEARCH("-",'R.M Billets Reports'!D2210)+1,200)),"")))))),IF(ROW()=2,"",A2209))</f>
      </c>
      <c r="B2210">
        <f>IF(OR('R.M Billets Reports'!A2209="Date-",'R.M Billets Reports'!A2209="Date:-"),'R.M Billets Reports'!B2209,IF(ROW()=2,"",B2209))</f>
      </c>
      <c r="C2210">
        <f>IF('R.M Billets Reports'!A2209="V.No.",'R.M Billets Reports'!B2209,IF(ROW()=2,"",C2209))</f>
      </c>
      <c r="D2210">
        <f>IF('R.M Billets Reports'!A2209&lt;&gt;"",'R.M Billets Reports'!A2209,IF(ROW()=2,"",D2209))</f>
      </c>
      <c r="E2210">
        <f>IF('R.M Billets Reports'!B2209="","",TRIM('R.M Billets Reports'!B2209))</f>
      </c>
      <c r="F2210">
        <f>'R.M Billets Reports'!C2209</f>
      </c>
      <c r="G2210">
        <f>'R.M Billets Reports'!D2209</f>
      </c>
      <c r="H2210">
        <f>'R.M Billets Reports'!E2209</f>
      </c>
      <c r="I2210">
        <f>'R.M Billets Reports'!F2209</f>
      </c>
      <c r="J2210">
        <f>'R.M Billets Reports'!G2209</f>
      </c>
      <c r="K2210">
        <f>'R.M Billets Reports'!H2209</f>
      </c>
      <c r="L2210">
        <f>IF('R.M Billets Reports'!I2209="","",'R.M Billets Reports'!I2209)</f>
      </c>
      <c r="M2210">
        <f t="shared" si="68"/>
      </c>
      <c r="N2210">
        <f>IF('R.M Billets Reports'!J2209="","",'R.M Billets Reports'!J2209)</f>
      </c>
      <c r="O2210">
        <f t="shared" si="69"/>
      </c>
      <c r="P2210">
        <f>IF('R.M Billets Reports'!A2209="SIZE",'R.M Billets Reports'!B2209,P2209)</f>
      </c>
    </row>
    <row r="2211" spans="1:16" x14ac:dyDescent="0.25">
      <c r="A2211">
        <f>IF(OR('R.M Billets Reports'!A2210="Date-",'R.M Billets Reports'!A2210="Date:-"),IF(IF(IF(ISNUMBER(SEARCH("Party Name:-",'R.M Billets Reports'!D2210)),TRIM('R.M Billets Reports'!F2210),IF(ISNUMBER(SEARCH("Party Name-",'R.M Billets Reports'!D2210)),TRIM(MID('R.M Billets Reports'!D2210,SEARCH("-",'R.M Billets Reports'!D2210)+1,200)),""))&lt;&gt;"",IF(ISNUMBER(SEARCH("Party Name:-",'R.M Billets Reports'!D2210)),TRIM('R.M Billets Reports'!F2210),IF(ISNUMBER(SEARCH("Party Name-",'R.M Billets Reports'!D2210)),TRIM(MID('R.M Billets Reports'!D2210,SEARCH("-",'R.M Billets Reports'!D2210)+1,200)),"")),IF(ISNUMBER(SEARCH("Party Name:-",'R.M Billets Reports'!D2211)),TRIM('R.M Billets Reports'!F2211),IF(ISNUMBER(SEARCH("Party Name-",'R.M Billets Reports'!D2211)),TRIM(MID('R.M Billets Reports'!D2211,SEARCH("-",'R.M Billets Reports'!D2211)+1,200)),"")))="VRKP ISPAT PVT LTD","VRKP",IF(IF(IF(ISNUMBER(SEARCH("Party Name:-",'R.M Billets Reports'!D2210)),TRIM('R.M Billets Reports'!F2210),IF(ISNUMBER(SEARCH("Party Name-",'R.M Billets Reports'!D2210)),TRIM(MID('R.M Billets Reports'!D2210,SEARCH("-",'R.M Billets Reports'!D2210)+1,200)),""))&lt;&gt;"",IF(ISNUMBER(SEARCH("Party Name:-",'R.M Billets Reports'!D2210)),TRIM('R.M Billets Reports'!F2210),IF(ISNUMBER(SEARCH("Party Name-",'R.M Billets Reports'!D2210)),TRIM(MID('R.M Billets Reports'!D2210,SEARCH("-",'R.M Billets Reports'!D2210)+1,200)),"")),IF(ISNUMBER(SEARCH("Party Name:-",'R.M Billets Reports'!D2211)),TRIM('R.M Billets Reports'!F2211),IF(ISNUMBER(SEARCH("Party Name-",'R.M Billets Reports'!D2211)),TRIM(MID('R.M Billets Reports'!D2211,SEARCH("-",'R.M Billets Reports'!D2211)+1,200)),"")))="SHRI RADHE","SHREE RADHE",IF(IF(IF(ISNUMBER(SEARCH("Party Name:-",'R.M Billets Reports'!D2210)),TRIM('R.M Billets Reports'!F2210),IF(ISNUMBER(SEARCH("Party Name-",'R.M Billets Reports'!D2210)),TRIM(MID('R.M Billets Reports'!D2210,SEARCH("-",'R.M Billets Reports'!D2210)+1,200)),""))&lt;&gt;"",IF(ISNUMBER(SEARCH("Party Name:-",'R.M Billets Reports'!D2210)),TRIM('R.M Billets Reports'!F2210),IF(ISNUMBER(SEARCH("Party Name-",'R.M Billets Reports'!D2210)),TRIM(MID('R.M Billets Reports'!D2210,SEARCH("-",'R.M Billets Reports'!D2210)+1,200)),"")),IF(ISNUMBER(SEARCH("Party Name:-",'R.M Billets Reports'!D2211)),TRIM('R.M Billets Reports'!F2211),IF(ISNUMBER(SEARCH("Party Name-",'R.M Billets Reports'!D2211)),TRIM(MID('R.M Billets Reports'!D2211,SEARCH("-",'R.M Billets Reports'!D2211)+1,200)),"")))="SHREE RADHE SHAKTI SPONGE AND POWER PVT. LTD.","SHREE RADHE",IF(IF(ISNUMBER(SEARCH("Party Name:-",'R.M Billets Reports'!D2210)),TRIM('R.M Billets Reports'!F2210),IF(ISNUMBER(SEARCH("Party Name-",'R.M Billets Reports'!D2210)),TRIM(MID('R.M Billets Reports'!D2210,SEARCH("-",'R.M Billets Reports'!D2210)+1,200)),""))&lt;&gt;"",IF(ISNUMBER(SEARCH("Party Name:-",'R.M Billets Reports'!D2210)),TRIM('R.M Billets Reports'!F2210),IF(ISNUMBER(SEARCH("Party Name-",'R.M Billets Reports'!D2210)),TRIM(MID('R.M Billets Reports'!D2210,SEARCH("-",'R.M Billets Reports'!D2210)+1,200)),"")),IF(ISNUMBER(SEARCH("Party Name:-",'R.M Billets Reports'!D2211)),TRIM('R.M Billets Reports'!F2211),IF(ISNUMBER(SEARCH("Party Name-",'R.M Billets Reports'!D2211)),TRIM(MID('R.M Billets Reports'!D2211,SEARCH("-",'R.M Billets Reports'!D2211)+1,200)),"")))))),IF(ROW()=2,"",A2210))</f>
      </c>
      <c r="B2211">
        <f>IF(OR('R.M Billets Reports'!A2210="Date-",'R.M Billets Reports'!A2210="Date:-"),'R.M Billets Reports'!B2210,IF(ROW()=2,"",B2210))</f>
      </c>
      <c r="C2211">
        <f>IF('R.M Billets Reports'!A2210="V.No.",'R.M Billets Reports'!B2210,IF(ROW()=2,"",C2210))</f>
      </c>
      <c r="D2211">
        <f>IF('R.M Billets Reports'!A2210&lt;&gt;"",'R.M Billets Reports'!A2210,IF(ROW()=2,"",D2210))</f>
      </c>
      <c r="E2211">
        <f>IF('R.M Billets Reports'!B2210="","",TRIM('R.M Billets Reports'!B2210))</f>
      </c>
      <c r="F2211">
        <f>'R.M Billets Reports'!C2210</f>
      </c>
      <c r="G2211">
        <f>'R.M Billets Reports'!D2210</f>
      </c>
      <c r="H2211">
        <f>'R.M Billets Reports'!E2210</f>
      </c>
      <c r="I2211">
        <f>'R.M Billets Reports'!F2210</f>
      </c>
      <c r="J2211">
        <f>'R.M Billets Reports'!G2210</f>
      </c>
      <c r="K2211">
        <f>'R.M Billets Reports'!H2210</f>
      </c>
      <c r="L2211">
        <f>IF('R.M Billets Reports'!I2210="","",'R.M Billets Reports'!I2210)</f>
      </c>
      <c r="M2211">
        <f t="shared" si="68"/>
      </c>
      <c r="N2211">
        <f>IF('R.M Billets Reports'!J2210="","",'R.M Billets Reports'!J2210)</f>
      </c>
      <c r="O2211">
        <f t="shared" si="69"/>
      </c>
      <c r="P2211">
        <f>IF('R.M Billets Reports'!A2210="SIZE",'R.M Billets Reports'!B2210,P2210)</f>
      </c>
    </row>
    <row r="2212" spans="1:16" x14ac:dyDescent="0.25">
      <c r="A2212">
        <f>IF(OR('R.M Billets Reports'!A2211="Date-",'R.M Billets Reports'!A2211="Date:-"),IF(IF(IF(ISNUMBER(SEARCH("Party Name:-",'R.M Billets Reports'!D2211)),TRIM('R.M Billets Reports'!F2211),IF(ISNUMBER(SEARCH("Party Name-",'R.M Billets Reports'!D2211)),TRIM(MID('R.M Billets Reports'!D2211,SEARCH("-",'R.M Billets Reports'!D2211)+1,200)),""))&lt;&gt;"",IF(ISNUMBER(SEARCH("Party Name:-",'R.M Billets Reports'!D2211)),TRIM('R.M Billets Reports'!F2211),IF(ISNUMBER(SEARCH("Party Name-",'R.M Billets Reports'!D2211)),TRIM(MID('R.M Billets Reports'!D2211,SEARCH("-",'R.M Billets Reports'!D2211)+1,200)),"")),IF(ISNUMBER(SEARCH("Party Name:-",'R.M Billets Reports'!D2212)),TRIM('R.M Billets Reports'!F2212),IF(ISNUMBER(SEARCH("Party Name-",'R.M Billets Reports'!D2212)),TRIM(MID('R.M Billets Reports'!D2212,SEARCH("-",'R.M Billets Reports'!D2212)+1,200)),"")))="VRKP ISPAT PVT LTD","VRKP",IF(IF(IF(ISNUMBER(SEARCH("Party Name:-",'R.M Billets Reports'!D2211)),TRIM('R.M Billets Reports'!F2211),IF(ISNUMBER(SEARCH("Party Name-",'R.M Billets Reports'!D2211)),TRIM(MID('R.M Billets Reports'!D2211,SEARCH("-",'R.M Billets Reports'!D2211)+1,200)),""))&lt;&gt;"",IF(ISNUMBER(SEARCH("Party Name:-",'R.M Billets Reports'!D2211)),TRIM('R.M Billets Reports'!F2211),IF(ISNUMBER(SEARCH("Party Name-",'R.M Billets Reports'!D2211)),TRIM(MID('R.M Billets Reports'!D2211,SEARCH("-",'R.M Billets Reports'!D2211)+1,200)),"")),IF(ISNUMBER(SEARCH("Party Name:-",'R.M Billets Reports'!D2212)),TRIM('R.M Billets Reports'!F2212),IF(ISNUMBER(SEARCH("Party Name-",'R.M Billets Reports'!D2212)),TRIM(MID('R.M Billets Reports'!D2212,SEARCH("-",'R.M Billets Reports'!D2212)+1,200)),"")))="SHRI RADHE","SHREE RADHE",IF(IF(IF(ISNUMBER(SEARCH("Party Name:-",'R.M Billets Reports'!D2211)),TRIM('R.M Billets Reports'!F2211),IF(ISNUMBER(SEARCH("Party Name-",'R.M Billets Reports'!D2211)),TRIM(MID('R.M Billets Reports'!D2211,SEARCH("-",'R.M Billets Reports'!D2211)+1,200)),""))&lt;&gt;"",IF(ISNUMBER(SEARCH("Party Name:-",'R.M Billets Reports'!D2211)),TRIM('R.M Billets Reports'!F2211),IF(ISNUMBER(SEARCH("Party Name-",'R.M Billets Reports'!D2211)),TRIM(MID('R.M Billets Reports'!D2211,SEARCH("-",'R.M Billets Reports'!D2211)+1,200)),"")),IF(ISNUMBER(SEARCH("Party Name:-",'R.M Billets Reports'!D2212)),TRIM('R.M Billets Reports'!F2212),IF(ISNUMBER(SEARCH("Party Name-",'R.M Billets Reports'!D2212)),TRIM(MID('R.M Billets Reports'!D2212,SEARCH("-",'R.M Billets Reports'!D2212)+1,200)),"")))="SHREE RADHE SHAKTI SPONGE AND POWER PVT. LTD.","SHREE RADHE",IF(IF(ISNUMBER(SEARCH("Party Name:-",'R.M Billets Reports'!D2211)),TRIM('R.M Billets Reports'!F2211),IF(ISNUMBER(SEARCH("Party Name-",'R.M Billets Reports'!D2211)),TRIM(MID('R.M Billets Reports'!D2211,SEARCH("-",'R.M Billets Reports'!D2211)+1,200)),""))&lt;&gt;"",IF(ISNUMBER(SEARCH("Party Name:-",'R.M Billets Reports'!D2211)),TRIM('R.M Billets Reports'!F2211),IF(ISNUMBER(SEARCH("Party Name-",'R.M Billets Reports'!D2211)),TRIM(MID('R.M Billets Reports'!D2211,SEARCH("-",'R.M Billets Reports'!D2211)+1,200)),"")),IF(ISNUMBER(SEARCH("Party Name:-",'R.M Billets Reports'!D2212)),TRIM('R.M Billets Reports'!F2212),IF(ISNUMBER(SEARCH("Party Name-",'R.M Billets Reports'!D2212)),TRIM(MID('R.M Billets Reports'!D2212,SEARCH("-",'R.M Billets Reports'!D2212)+1,200)),"")))))),IF(ROW()=2,"",A2211))</f>
      </c>
      <c r="B2212">
        <f>IF(OR('R.M Billets Reports'!A2211="Date-",'R.M Billets Reports'!A2211="Date:-"),'R.M Billets Reports'!B2211,IF(ROW()=2,"",B2211))</f>
      </c>
      <c r="C2212">
        <f>IF('R.M Billets Reports'!A2211="V.No.",'R.M Billets Reports'!B2211,IF(ROW()=2,"",C2211))</f>
      </c>
      <c r="D2212">
        <f>IF('R.M Billets Reports'!A2211&lt;&gt;"",'R.M Billets Reports'!A2211,IF(ROW()=2,"",D2211))</f>
      </c>
      <c r="E2212">
        <f>IF('R.M Billets Reports'!B2211="","",TRIM('R.M Billets Reports'!B2211))</f>
      </c>
      <c r="F2212">
        <f>'R.M Billets Reports'!C2211</f>
      </c>
      <c r="G2212">
        <f>'R.M Billets Reports'!D2211</f>
      </c>
      <c r="H2212">
        <f>'R.M Billets Reports'!E2211</f>
      </c>
      <c r="I2212">
        <f>'R.M Billets Reports'!F2211</f>
      </c>
      <c r="J2212">
        <f>'R.M Billets Reports'!G2211</f>
      </c>
      <c r="K2212">
        <f>'R.M Billets Reports'!H2211</f>
      </c>
      <c r="L2212">
        <f>IF('R.M Billets Reports'!I2211="","",'R.M Billets Reports'!I2211)</f>
      </c>
      <c r="M2212">
        <f t="shared" si="68"/>
      </c>
      <c r="N2212">
        <f>IF('R.M Billets Reports'!J2211="","",'R.M Billets Reports'!J2211)</f>
      </c>
      <c r="O2212">
        <f t="shared" si="69"/>
      </c>
      <c r="P2212">
        <f>IF('R.M Billets Reports'!A2211="SIZE",'R.M Billets Reports'!B2211,P2211)</f>
      </c>
    </row>
    <row r="2213" spans="1:16" x14ac:dyDescent="0.25">
      <c r="A2213">
        <f>IF(OR('R.M Billets Reports'!A2212="Date-",'R.M Billets Reports'!A2212="Date:-"),IF(IF(IF(ISNUMBER(SEARCH("Party Name:-",'R.M Billets Reports'!D2212)),TRIM('R.M Billets Reports'!F2212),IF(ISNUMBER(SEARCH("Party Name-",'R.M Billets Reports'!D2212)),TRIM(MID('R.M Billets Reports'!D2212,SEARCH("-",'R.M Billets Reports'!D2212)+1,200)),""))&lt;&gt;"",IF(ISNUMBER(SEARCH("Party Name:-",'R.M Billets Reports'!D2212)),TRIM('R.M Billets Reports'!F2212),IF(ISNUMBER(SEARCH("Party Name-",'R.M Billets Reports'!D2212)),TRIM(MID('R.M Billets Reports'!D2212,SEARCH("-",'R.M Billets Reports'!D2212)+1,200)),"")),IF(ISNUMBER(SEARCH("Party Name:-",'R.M Billets Reports'!D2213)),TRIM('R.M Billets Reports'!F2213),IF(ISNUMBER(SEARCH("Party Name-",'R.M Billets Reports'!D2213)),TRIM(MID('R.M Billets Reports'!D2213,SEARCH("-",'R.M Billets Reports'!D2213)+1,200)),"")))="VRKP ISPAT PVT LTD","VRKP",IF(IF(IF(ISNUMBER(SEARCH("Party Name:-",'R.M Billets Reports'!D2212)),TRIM('R.M Billets Reports'!F2212),IF(ISNUMBER(SEARCH("Party Name-",'R.M Billets Reports'!D2212)),TRIM(MID('R.M Billets Reports'!D2212,SEARCH("-",'R.M Billets Reports'!D2212)+1,200)),""))&lt;&gt;"",IF(ISNUMBER(SEARCH("Party Name:-",'R.M Billets Reports'!D2212)),TRIM('R.M Billets Reports'!F2212),IF(ISNUMBER(SEARCH("Party Name-",'R.M Billets Reports'!D2212)),TRIM(MID('R.M Billets Reports'!D2212,SEARCH("-",'R.M Billets Reports'!D2212)+1,200)),"")),IF(ISNUMBER(SEARCH("Party Name:-",'R.M Billets Reports'!D2213)),TRIM('R.M Billets Reports'!F2213),IF(ISNUMBER(SEARCH("Party Name-",'R.M Billets Reports'!D2213)),TRIM(MID('R.M Billets Reports'!D2213,SEARCH("-",'R.M Billets Reports'!D2213)+1,200)),"")))="SHRI RADHE","SHREE RADHE",IF(IF(IF(ISNUMBER(SEARCH("Party Name:-",'R.M Billets Reports'!D2212)),TRIM('R.M Billets Reports'!F2212),IF(ISNUMBER(SEARCH("Party Name-",'R.M Billets Reports'!D2212)),TRIM(MID('R.M Billets Reports'!D2212,SEARCH("-",'R.M Billets Reports'!D2212)+1,200)),""))&lt;&gt;"",IF(ISNUMBER(SEARCH("Party Name:-",'R.M Billets Reports'!D2212)),TRIM('R.M Billets Reports'!F2212),IF(ISNUMBER(SEARCH("Party Name-",'R.M Billets Reports'!D2212)),TRIM(MID('R.M Billets Reports'!D2212,SEARCH("-",'R.M Billets Reports'!D2212)+1,200)),"")),IF(ISNUMBER(SEARCH("Party Name:-",'R.M Billets Reports'!D2213)),TRIM('R.M Billets Reports'!F2213),IF(ISNUMBER(SEARCH("Party Name-",'R.M Billets Reports'!D2213)),TRIM(MID('R.M Billets Reports'!D2213,SEARCH("-",'R.M Billets Reports'!D2213)+1,200)),"")))="SHREE RADHE SHAKTI SPONGE AND POWER PVT. LTD.","SHREE RADHE",IF(IF(ISNUMBER(SEARCH("Party Name:-",'R.M Billets Reports'!D2212)),TRIM('R.M Billets Reports'!F2212),IF(ISNUMBER(SEARCH("Party Name-",'R.M Billets Reports'!D2212)),TRIM(MID('R.M Billets Reports'!D2212,SEARCH("-",'R.M Billets Reports'!D2212)+1,200)),""))&lt;&gt;"",IF(ISNUMBER(SEARCH("Party Name:-",'R.M Billets Reports'!D2212)),TRIM('R.M Billets Reports'!F2212),IF(ISNUMBER(SEARCH("Party Name-",'R.M Billets Reports'!D2212)),TRIM(MID('R.M Billets Reports'!D2212,SEARCH("-",'R.M Billets Reports'!D2212)+1,200)),"")),IF(ISNUMBER(SEARCH("Party Name:-",'R.M Billets Reports'!D2213)),TRIM('R.M Billets Reports'!F2213),IF(ISNUMBER(SEARCH("Party Name-",'R.M Billets Reports'!D2213)),TRIM(MID('R.M Billets Reports'!D2213,SEARCH("-",'R.M Billets Reports'!D2213)+1,200)),"")))))),IF(ROW()=2,"",A2212))</f>
      </c>
      <c r="B2213">
        <f>IF(OR('R.M Billets Reports'!A2212="Date-",'R.M Billets Reports'!A2212="Date:-"),'R.M Billets Reports'!B2212,IF(ROW()=2,"",B2212))</f>
      </c>
      <c r="C2213">
        <f>IF('R.M Billets Reports'!A2212="V.No.",'R.M Billets Reports'!B2212,IF(ROW()=2,"",C2212))</f>
      </c>
      <c r="D2213">
        <f>IF('R.M Billets Reports'!A2212&lt;&gt;"",'R.M Billets Reports'!A2212,IF(ROW()=2,"",D2212))</f>
      </c>
      <c r="E2213">
        <f>IF('R.M Billets Reports'!B2212="","",TRIM('R.M Billets Reports'!B2212))</f>
      </c>
      <c r="F2213">
        <f>'R.M Billets Reports'!C2212</f>
      </c>
      <c r="G2213">
        <f>'R.M Billets Reports'!D2212</f>
      </c>
      <c r="H2213">
        <f>'R.M Billets Reports'!E2212</f>
      </c>
      <c r="I2213">
        <f>'R.M Billets Reports'!F2212</f>
      </c>
      <c r="J2213">
        <f>'R.M Billets Reports'!G2212</f>
      </c>
      <c r="K2213">
        <f>'R.M Billets Reports'!H2212</f>
      </c>
      <c r="L2213">
        <f>IF('R.M Billets Reports'!I2212="","",'R.M Billets Reports'!I2212)</f>
      </c>
      <c r="M2213">
        <f t="shared" si="68"/>
      </c>
      <c r="N2213">
        <f>IF('R.M Billets Reports'!J2212="","",'R.M Billets Reports'!J2212)</f>
      </c>
      <c r="O2213">
        <f t="shared" si="69"/>
      </c>
      <c r="P2213">
        <f>IF('R.M Billets Reports'!A2212="SIZE",'R.M Billets Reports'!B2212,P2212)</f>
      </c>
    </row>
    <row r="2214" spans="1:16" x14ac:dyDescent="0.25">
      <c r="A2214">
        <f>IF(OR('R.M Billets Reports'!A2213="Date-",'R.M Billets Reports'!A2213="Date:-"),IF(IF(IF(ISNUMBER(SEARCH("Party Name:-",'R.M Billets Reports'!D2213)),TRIM('R.M Billets Reports'!F2213),IF(ISNUMBER(SEARCH("Party Name-",'R.M Billets Reports'!D2213)),TRIM(MID('R.M Billets Reports'!D2213,SEARCH("-",'R.M Billets Reports'!D2213)+1,200)),""))&lt;&gt;"",IF(ISNUMBER(SEARCH("Party Name:-",'R.M Billets Reports'!D2213)),TRIM('R.M Billets Reports'!F2213),IF(ISNUMBER(SEARCH("Party Name-",'R.M Billets Reports'!D2213)),TRIM(MID('R.M Billets Reports'!D2213,SEARCH("-",'R.M Billets Reports'!D2213)+1,200)),"")),IF(ISNUMBER(SEARCH("Party Name:-",'R.M Billets Reports'!D2214)),TRIM('R.M Billets Reports'!F2214),IF(ISNUMBER(SEARCH("Party Name-",'R.M Billets Reports'!D2214)),TRIM(MID('R.M Billets Reports'!D2214,SEARCH("-",'R.M Billets Reports'!D2214)+1,200)),"")))="VRKP ISPAT PVT LTD","VRKP",IF(IF(IF(ISNUMBER(SEARCH("Party Name:-",'R.M Billets Reports'!D2213)),TRIM('R.M Billets Reports'!F2213),IF(ISNUMBER(SEARCH("Party Name-",'R.M Billets Reports'!D2213)),TRIM(MID('R.M Billets Reports'!D2213,SEARCH("-",'R.M Billets Reports'!D2213)+1,200)),""))&lt;&gt;"",IF(ISNUMBER(SEARCH("Party Name:-",'R.M Billets Reports'!D2213)),TRIM('R.M Billets Reports'!F2213),IF(ISNUMBER(SEARCH("Party Name-",'R.M Billets Reports'!D2213)),TRIM(MID('R.M Billets Reports'!D2213,SEARCH("-",'R.M Billets Reports'!D2213)+1,200)),"")),IF(ISNUMBER(SEARCH("Party Name:-",'R.M Billets Reports'!D2214)),TRIM('R.M Billets Reports'!F2214),IF(ISNUMBER(SEARCH("Party Name-",'R.M Billets Reports'!D2214)),TRIM(MID('R.M Billets Reports'!D2214,SEARCH("-",'R.M Billets Reports'!D2214)+1,200)),"")))="SHRI RADHE","SHREE RADHE",IF(IF(IF(ISNUMBER(SEARCH("Party Name:-",'R.M Billets Reports'!D2213)),TRIM('R.M Billets Reports'!F2213),IF(ISNUMBER(SEARCH("Party Name-",'R.M Billets Reports'!D2213)),TRIM(MID('R.M Billets Reports'!D2213,SEARCH("-",'R.M Billets Reports'!D2213)+1,200)),""))&lt;&gt;"",IF(ISNUMBER(SEARCH("Party Name:-",'R.M Billets Reports'!D2213)),TRIM('R.M Billets Reports'!F2213),IF(ISNUMBER(SEARCH("Party Name-",'R.M Billets Reports'!D2213)),TRIM(MID('R.M Billets Reports'!D2213,SEARCH("-",'R.M Billets Reports'!D2213)+1,200)),"")),IF(ISNUMBER(SEARCH("Party Name:-",'R.M Billets Reports'!D2214)),TRIM('R.M Billets Reports'!F2214),IF(ISNUMBER(SEARCH("Party Name-",'R.M Billets Reports'!D2214)),TRIM(MID('R.M Billets Reports'!D2214,SEARCH("-",'R.M Billets Reports'!D2214)+1,200)),"")))="SHREE RADHE SHAKTI SPONGE AND POWER PVT. LTD.","SHREE RADHE",IF(IF(ISNUMBER(SEARCH("Party Name:-",'R.M Billets Reports'!D2213)),TRIM('R.M Billets Reports'!F2213),IF(ISNUMBER(SEARCH("Party Name-",'R.M Billets Reports'!D2213)),TRIM(MID('R.M Billets Reports'!D2213,SEARCH("-",'R.M Billets Reports'!D2213)+1,200)),""))&lt;&gt;"",IF(ISNUMBER(SEARCH("Party Name:-",'R.M Billets Reports'!D2213)),TRIM('R.M Billets Reports'!F2213),IF(ISNUMBER(SEARCH("Party Name-",'R.M Billets Reports'!D2213)),TRIM(MID('R.M Billets Reports'!D2213,SEARCH("-",'R.M Billets Reports'!D2213)+1,200)),"")),IF(ISNUMBER(SEARCH("Party Name:-",'R.M Billets Reports'!D2214)),TRIM('R.M Billets Reports'!F2214),IF(ISNUMBER(SEARCH("Party Name-",'R.M Billets Reports'!D2214)),TRIM(MID('R.M Billets Reports'!D2214,SEARCH("-",'R.M Billets Reports'!D2214)+1,200)),"")))))),IF(ROW()=2,"",A2213))</f>
      </c>
      <c r="B2214">
        <f>IF(OR('R.M Billets Reports'!A2213="Date-",'R.M Billets Reports'!A2213="Date:-"),'R.M Billets Reports'!B2213,IF(ROW()=2,"",B2213))</f>
      </c>
      <c r="C2214">
        <f>IF('R.M Billets Reports'!A2213="V.No.",'R.M Billets Reports'!B2213,IF(ROW()=2,"",C2213))</f>
      </c>
      <c r="D2214">
        <f>IF('R.M Billets Reports'!A2213&lt;&gt;"",'R.M Billets Reports'!A2213,IF(ROW()=2,"",D2213))</f>
      </c>
      <c r="E2214">
        <f>IF('R.M Billets Reports'!B2213="","",TRIM('R.M Billets Reports'!B2213))</f>
      </c>
      <c r="F2214">
        <f>'R.M Billets Reports'!C2213</f>
      </c>
      <c r="G2214">
        <f>'R.M Billets Reports'!D2213</f>
      </c>
      <c r="H2214">
        <f>'R.M Billets Reports'!E2213</f>
      </c>
      <c r="I2214">
        <f>'R.M Billets Reports'!F2213</f>
      </c>
      <c r="J2214">
        <f>'R.M Billets Reports'!G2213</f>
      </c>
      <c r="K2214">
        <f>'R.M Billets Reports'!H2213</f>
      </c>
      <c r="L2214">
        <f>IF('R.M Billets Reports'!I2213="","",'R.M Billets Reports'!I2213)</f>
      </c>
      <c r="M2214">
        <f t="shared" si="68"/>
      </c>
      <c r="N2214">
        <f>IF('R.M Billets Reports'!J2213="","",'R.M Billets Reports'!J2213)</f>
      </c>
      <c r="O2214">
        <f t="shared" si="69"/>
      </c>
      <c r="P2214">
        <f>IF('R.M Billets Reports'!A2213="SIZE",'R.M Billets Reports'!B2213,P2213)</f>
      </c>
    </row>
    <row r="2215" spans="1:16" x14ac:dyDescent="0.25">
      <c r="A2215">
        <f>IF(OR('R.M Billets Reports'!A2214="Date-",'R.M Billets Reports'!A2214="Date:-"),IF(IF(IF(ISNUMBER(SEARCH("Party Name:-",'R.M Billets Reports'!D2214)),TRIM('R.M Billets Reports'!F2214),IF(ISNUMBER(SEARCH("Party Name-",'R.M Billets Reports'!D2214)),TRIM(MID('R.M Billets Reports'!D2214,SEARCH("-",'R.M Billets Reports'!D2214)+1,200)),""))&lt;&gt;"",IF(ISNUMBER(SEARCH("Party Name:-",'R.M Billets Reports'!D2214)),TRIM('R.M Billets Reports'!F2214),IF(ISNUMBER(SEARCH("Party Name-",'R.M Billets Reports'!D2214)),TRIM(MID('R.M Billets Reports'!D2214,SEARCH("-",'R.M Billets Reports'!D2214)+1,200)),"")),IF(ISNUMBER(SEARCH("Party Name:-",'R.M Billets Reports'!D2215)),TRIM('R.M Billets Reports'!F2215),IF(ISNUMBER(SEARCH("Party Name-",'R.M Billets Reports'!D2215)),TRIM(MID('R.M Billets Reports'!D2215,SEARCH("-",'R.M Billets Reports'!D2215)+1,200)),"")))="VRKP ISPAT PVT LTD","VRKP",IF(IF(IF(ISNUMBER(SEARCH("Party Name:-",'R.M Billets Reports'!D2214)),TRIM('R.M Billets Reports'!F2214),IF(ISNUMBER(SEARCH("Party Name-",'R.M Billets Reports'!D2214)),TRIM(MID('R.M Billets Reports'!D2214,SEARCH("-",'R.M Billets Reports'!D2214)+1,200)),""))&lt;&gt;"",IF(ISNUMBER(SEARCH("Party Name:-",'R.M Billets Reports'!D2214)),TRIM('R.M Billets Reports'!F2214),IF(ISNUMBER(SEARCH("Party Name-",'R.M Billets Reports'!D2214)),TRIM(MID('R.M Billets Reports'!D2214,SEARCH("-",'R.M Billets Reports'!D2214)+1,200)),"")),IF(ISNUMBER(SEARCH("Party Name:-",'R.M Billets Reports'!D2215)),TRIM('R.M Billets Reports'!F2215),IF(ISNUMBER(SEARCH("Party Name-",'R.M Billets Reports'!D2215)),TRIM(MID('R.M Billets Reports'!D2215,SEARCH("-",'R.M Billets Reports'!D2215)+1,200)),"")))="SHRI RADHE","SHREE RADHE",IF(IF(IF(ISNUMBER(SEARCH("Party Name:-",'R.M Billets Reports'!D2214)),TRIM('R.M Billets Reports'!F2214),IF(ISNUMBER(SEARCH("Party Name-",'R.M Billets Reports'!D2214)),TRIM(MID('R.M Billets Reports'!D2214,SEARCH("-",'R.M Billets Reports'!D2214)+1,200)),""))&lt;&gt;"",IF(ISNUMBER(SEARCH("Party Name:-",'R.M Billets Reports'!D2214)),TRIM('R.M Billets Reports'!F2214),IF(ISNUMBER(SEARCH("Party Name-",'R.M Billets Reports'!D2214)),TRIM(MID('R.M Billets Reports'!D2214,SEARCH("-",'R.M Billets Reports'!D2214)+1,200)),"")),IF(ISNUMBER(SEARCH("Party Name:-",'R.M Billets Reports'!D2215)),TRIM('R.M Billets Reports'!F2215),IF(ISNUMBER(SEARCH("Party Name-",'R.M Billets Reports'!D2215)),TRIM(MID('R.M Billets Reports'!D2215,SEARCH("-",'R.M Billets Reports'!D2215)+1,200)),"")))="SHREE RADHE SHAKTI SPONGE AND POWER PVT. LTD.","SHREE RADHE",IF(IF(ISNUMBER(SEARCH("Party Name:-",'R.M Billets Reports'!D2214)),TRIM('R.M Billets Reports'!F2214),IF(ISNUMBER(SEARCH("Party Name-",'R.M Billets Reports'!D2214)),TRIM(MID('R.M Billets Reports'!D2214,SEARCH("-",'R.M Billets Reports'!D2214)+1,200)),""))&lt;&gt;"",IF(ISNUMBER(SEARCH("Party Name:-",'R.M Billets Reports'!D2214)),TRIM('R.M Billets Reports'!F2214),IF(ISNUMBER(SEARCH("Party Name-",'R.M Billets Reports'!D2214)),TRIM(MID('R.M Billets Reports'!D2214,SEARCH("-",'R.M Billets Reports'!D2214)+1,200)),"")),IF(ISNUMBER(SEARCH("Party Name:-",'R.M Billets Reports'!D2215)),TRIM('R.M Billets Reports'!F2215),IF(ISNUMBER(SEARCH("Party Name-",'R.M Billets Reports'!D2215)),TRIM(MID('R.M Billets Reports'!D2215,SEARCH("-",'R.M Billets Reports'!D2215)+1,200)),"")))))),IF(ROW()=2,"",A2214))</f>
      </c>
      <c r="B2215">
        <f>IF(OR('R.M Billets Reports'!A2214="Date-",'R.M Billets Reports'!A2214="Date:-"),'R.M Billets Reports'!B2214,IF(ROW()=2,"",B2214))</f>
      </c>
      <c r="C2215">
        <f>IF('R.M Billets Reports'!A2214="V.No.",'R.M Billets Reports'!B2214,IF(ROW()=2,"",C2214))</f>
      </c>
      <c r="D2215">
        <f>IF('R.M Billets Reports'!A2214&lt;&gt;"",'R.M Billets Reports'!A2214,IF(ROW()=2,"",D2214))</f>
      </c>
      <c r="E2215">
        <f>IF('R.M Billets Reports'!B2214="","",TRIM('R.M Billets Reports'!B2214))</f>
      </c>
      <c r="F2215">
        <f>'R.M Billets Reports'!C2214</f>
      </c>
      <c r="G2215">
        <f>'R.M Billets Reports'!D2214</f>
      </c>
      <c r="H2215">
        <f>'R.M Billets Reports'!E2214</f>
      </c>
      <c r="I2215">
        <f>'R.M Billets Reports'!F2214</f>
      </c>
      <c r="J2215">
        <f>'R.M Billets Reports'!G2214</f>
      </c>
      <c r="K2215">
        <f>'R.M Billets Reports'!H2214</f>
      </c>
      <c r="L2215">
        <f>IF('R.M Billets Reports'!I2214="","",'R.M Billets Reports'!I2214)</f>
      </c>
      <c r="M2215">
        <f t="shared" si="68"/>
      </c>
      <c r="N2215">
        <f>IF('R.M Billets Reports'!J2214="","",'R.M Billets Reports'!J2214)</f>
      </c>
      <c r="O2215">
        <f t="shared" si="69"/>
      </c>
      <c r="P2215">
        <f>IF('R.M Billets Reports'!A2214="SIZE",'R.M Billets Reports'!B2214,P2214)</f>
      </c>
    </row>
    <row r="2216" spans="1:16" x14ac:dyDescent="0.25">
      <c r="A2216">
        <f>IF(OR('R.M Billets Reports'!A2215="Date-",'R.M Billets Reports'!A2215="Date:-"),IF(IF(IF(ISNUMBER(SEARCH("Party Name:-",'R.M Billets Reports'!D2215)),TRIM('R.M Billets Reports'!F2215),IF(ISNUMBER(SEARCH("Party Name-",'R.M Billets Reports'!D2215)),TRIM(MID('R.M Billets Reports'!D2215,SEARCH("-",'R.M Billets Reports'!D2215)+1,200)),""))&lt;&gt;"",IF(ISNUMBER(SEARCH("Party Name:-",'R.M Billets Reports'!D2215)),TRIM('R.M Billets Reports'!F2215),IF(ISNUMBER(SEARCH("Party Name-",'R.M Billets Reports'!D2215)),TRIM(MID('R.M Billets Reports'!D2215,SEARCH("-",'R.M Billets Reports'!D2215)+1,200)),"")),IF(ISNUMBER(SEARCH("Party Name:-",'R.M Billets Reports'!D2216)),TRIM('R.M Billets Reports'!F2216),IF(ISNUMBER(SEARCH("Party Name-",'R.M Billets Reports'!D2216)),TRIM(MID('R.M Billets Reports'!D2216,SEARCH("-",'R.M Billets Reports'!D2216)+1,200)),"")))="VRKP ISPAT PVT LTD","VRKP",IF(IF(IF(ISNUMBER(SEARCH("Party Name:-",'R.M Billets Reports'!D2215)),TRIM('R.M Billets Reports'!F2215),IF(ISNUMBER(SEARCH("Party Name-",'R.M Billets Reports'!D2215)),TRIM(MID('R.M Billets Reports'!D2215,SEARCH("-",'R.M Billets Reports'!D2215)+1,200)),""))&lt;&gt;"",IF(ISNUMBER(SEARCH("Party Name:-",'R.M Billets Reports'!D2215)),TRIM('R.M Billets Reports'!F2215),IF(ISNUMBER(SEARCH("Party Name-",'R.M Billets Reports'!D2215)),TRIM(MID('R.M Billets Reports'!D2215,SEARCH("-",'R.M Billets Reports'!D2215)+1,200)),"")),IF(ISNUMBER(SEARCH("Party Name:-",'R.M Billets Reports'!D2216)),TRIM('R.M Billets Reports'!F2216),IF(ISNUMBER(SEARCH("Party Name-",'R.M Billets Reports'!D2216)),TRIM(MID('R.M Billets Reports'!D2216,SEARCH("-",'R.M Billets Reports'!D2216)+1,200)),"")))="SHRI RADHE","SHREE RADHE",IF(IF(IF(ISNUMBER(SEARCH("Party Name:-",'R.M Billets Reports'!D2215)),TRIM('R.M Billets Reports'!F2215),IF(ISNUMBER(SEARCH("Party Name-",'R.M Billets Reports'!D2215)),TRIM(MID('R.M Billets Reports'!D2215,SEARCH("-",'R.M Billets Reports'!D2215)+1,200)),""))&lt;&gt;"",IF(ISNUMBER(SEARCH("Party Name:-",'R.M Billets Reports'!D2215)),TRIM('R.M Billets Reports'!F2215),IF(ISNUMBER(SEARCH("Party Name-",'R.M Billets Reports'!D2215)),TRIM(MID('R.M Billets Reports'!D2215,SEARCH("-",'R.M Billets Reports'!D2215)+1,200)),"")),IF(ISNUMBER(SEARCH("Party Name:-",'R.M Billets Reports'!D2216)),TRIM('R.M Billets Reports'!F2216),IF(ISNUMBER(SEARCH("Party Name-",'R.M Billets Reports'!D2216)),TRIM(MID('R.M Billets Reports'!D2216,SEARCH("-",'R.M Billets Reports'!D2216)+1,200)),"")))="SHREE RADHE SHAKTI SPONGE AND POWER PVT. LTD.","SHREE RADHE",IF(IF(ISNUMBER(SEARCH("Party Name:-",'R.M Billets Reports'!D2215)),TRIM('R.M Billets Reports'!F2215),IF(ISNUMBER(SEARCH("Party Name-",'R.M Billets Reports'!D2215)),TRIM(MID('R.M Billets Reports'!D2215,SEARCH("-",'R.M Billets Reports'!D2215)+1,200)),""))&lt;&gt;"",IF(ISNUMBER(SEARCH("Party Name:-",'R.M Billets Reports'!D2215)),TRIM('R.M Billets Reports'!F2215),IF(ISNUMBER(SEARCH("Party Name-",'R.M Billets Reports'!D2215)),TRIM(MID('R.M Billets Reports'!D2215,SEARCH("-",'R.M Billets Reports'!D2215)+1,200)),"")),IF(ISNUMBER(SEARCH("Party Name:-",'R.M Billets Reports'!D2216)),TRIM('R.M Billets Reports'!F2216),IF(ISNUMBER(SEARCH("Party Name-",'R.M Billets Reports'!D2216)),TRIM(MID('R.M Billets Reports'!D2216,SEARCH("-",'R.M Billets Reports'!D2216)+1,200)),"")))))),IF(ROW()=2,"",A2215))</f>
      </c>
      <c r="B2216">
        <f>IF(OR('R.M Billets Reports'!A2215="Date-",'R.M Billets Reports'!A2215="Date:-"),'R.M Billets Reports'!B2215,IF(ROW()=2,"",B2215))</f>
      </c>
      <c r="C2216">
        <f>IF('R.M Billets Reports'!A2215="V.No.",'R.M Billets Reports'!B2215,IF(ROW()=2,"",C2215))</f>
      </c>
      <c r="D2216">
        <f>IF('R.M Billets Reports'!A2215&lt;&gt;"",'R.M Billets Reports'!A2215,IF(ROW()=2,"",D2215))</f>
      </c>
      <c r="E2216">
        <f>IF('R.M Billets Reports'!B2215="","",TRIM('R.M Billets Reports'!B2215))</f>
      </c>
      <c r="F2216">
        <f>'R.M Billets Reports'!C2215</f>
      </c>
      <c r="G2216">
        <f>'R.M Billets Reports'!D2215</f>
      </c>
      <c r="H2216">
        <f>'R.M Billets Reports'!E2215</f>
      </c>
      <c r="I2216">
        <f>'R.M Billets Reports'!F2215</f>
      </c>
      <c r="J2216">
        <f>'R.M Billets Reports'!G2215</f>
      </c>
      <c r="K2216">
        <f>'R.M Billets Reports'!H2215</f>
      </c>
      <c r="L2216">
        <f>IF('R.M Billets Reports'!I2215="","",'R.M Billets Reports'!I2215)</f>
      </c>
      <c r="M2216">
        <f t="shared" si="68"/>
      </c>
      <c r="N2216">
        <f>IF('R.M Billets Reports'!J2215="","",'R.M Billets Reports'!J2215)</f>
      </c>
      <c r="O2216">
        <f t="shared" si="69"/>
      </c>
      <c r="P2216">
        <f>IF('R.M Billets Reports'!A2215="SIZE",'R.M Billets Reports'!B2215,P2215)</f>
      </c>
    </row>
    <row r="2217" spans="1:16" x14ac:dyDescent="0.25">
      <c r="A2217">
        <f>IF(OR('R.M Billets Reports'!A2216="Date-",'R.M Billets Reports'!A2216="Date:-"),IF(IF(IF(ISNUMBER(SEARCH("Party Name:-",'R.M Billets Reports'!D2216)),TRIM('R.M Billets Reports'!F2216),IF(ISNUMBER(SEARCH("Party Name-",'R.M Billets Reports'!D2216)),TRIM(MID('R.M Billets Reports'!D2216,SEARCH("-",'R.M Billets Reports'!D2216)+1,200)),""))&lt;&gt;"",IF(ISNUMBER(SEARCH("Party Name:-",'R.M Billets Reports'!D2216)),TRIM('R.M Billets Reports'!F2216),IF(ISNUMBER(SEARCH("Party Name-",'R.M Billets Reports'!D2216)),TRIM(MID('R.M Billets Reports'!D2216,SEARCH("-",'R.M Billets Reports'!D2216)+1,200)),"")),IF(ISNUMBER(SEARCH("Party Name:-",'R.M Billets Reports'!D2217)),TRIM('R.M Billets Reports'!F2217),IF(ISNUMBER(SEARCH("Party Name-",'R.M Billets Reports'!D2217)),TRIM(MID('R.M Billets Reports'!D2217,SEARCH("-",'R.M Billets Reports'!D2217)+1,200)),"")))="VRKP ISPAT PVT LTD","VRKP",IF(IF(IF(ISNUMBER(SEARCH("Party Name:-",'R.M Billets Reports'!D2216)),TRIM('R.M Billets Reports'!F2216),IF(ISNUMBER(SEARCH("Party Name-",'R.M Billets Reports'!D2216)),TRIM(MID('R.M Billets Reports'!D2216,SEARCH("-",'R.M Billets Reports'!D2216)+1,200)),""))&lt;&gt;"",IF(ISNUMBER(SEARCH("Party Name:-",'R.M Billets Reports'!D2216)),TRIM('R.M Billets Reports'!F2216),IF(ISNUMBER(SEARCH("Party Name-",'R.M Billets Reports'!D2216)),TRIM(MID('R.M Billets Reports'!D2216,SEARCH("-",'R.M Billets Reports'!D2216)+1,200)),"")),IF(ISNUMBER(SEARCH("Party Name:-",'R.M Billets Reports'!D2217)),TRIM('R.M Billets Reports'!F2217),IF(ISNUMBER(SEARCH("Party Name-",'R.M Billets Reports'!D2217)),TRIM(MID('R.M Billets Reports'!D2217,SEARCH("-",'R.M Billets Reports'!D2217)+1,200)),"")))="SHRI RADHE","SHREE RADHE",IF(IF(IF(ISNUMBER(SEARCH("Party Name:-",'R.M Billets Reports'!D2216)),TRIM('R.M Billets Reports'!F2216),IF(ISNUMBER(SEARCH("Party Name-",'R.M Billets Reports'!D2216)),TRIM(MID('R.M Billets Reports'!D2216,SEARCH("-",'R.M Billets Reports'!D2216)+1,200)),""))&lt;&gt;"",IF(ISNUMBER(SEARCH("Party Name:-",'R.M Billets Reports'!D2216)),TRIM('R.M Billets Reports'!F2216),IF(ISNUMBER(SEARCH("Party Name-",'R.M Billets Reports'!D2216)),TRIM(MID('R.M Billets Reports'!D2216,SEARCH("-",'R.M Billets Reports'!D2216)+1,200)),"")),IF(ISNUMBER(SEARCH("Party Name:-",'R.M Billets Reports'!D2217)),TRIM('R.M Billets Reports'!F2217),IF(ISNUMBER(SEARCH("Party Name-",'R.M Billets Reports'!D2217)),TRIM(MID('R.M Billets Reports'!D2217,SEARCH("-",'R.M Billets Reports'!D2217)+1,200)),"")))="SHREE RADHE SHAKTI SPONGE AND POWER PVT. LTD.","SHREE RADHE",IF(IF(ISNUMBER(SEARCH("Party Name:-",'R.M Billets Reports'!D2216)),TRIM('R.M Billets Reports'!F2216),IF(ISNUMBER(SEARCH("Party Name-",'R.M Billets Reports'!D2216)),TRIM(MID('R.M Billets Reports'!D2216,SEARCH("-",'R.M Billets Reports'!D2216)+1,200)),""))&lt;&gt;"",IF(ISNUMBER(SEARCH("Party Name:-",'R.M Billets Reports'!D2216)),TRIM('R.M Billets Reports'!F2216),IF(ISNUMBER(SEARCH("Party Name-",'R.M Billets Reports'!D2216)),TRIM(MID('R.M Billets Reports'!D2216,SEARCH("-",'R.M Billets Reports'!D2216)+1,200)),"")),IF(ISNUMBER(SEARCH("Party Name:-",'R.M Billets Reports'!D2217)),TRIM('R.M Billets Reports'!F2217),IF(ISNUMBER(SEARCH("Party Name-",'R.M Billets Reports'!D2217)),TRIM(MID('R.M Billets Reports'!D2217,SEARCH("-",'R.M Billets Reports'!D2217)+1,200)),"")))))),IF(ROW()=2,"",A2216))</f>
      </c>
      <c r="B2217">
        <f>IF(OR('R.M Billets Reports'!A2216="Date-",'R.M Billets Reports'!A2216="Date:-"),'R.M Billets Reports'!B2216,IF(ROW()=2,"",B2216))</f>
      </c>
      <c r="C2217">
        <f>IF('R.M Billets Reports'!A2216="V.No.",'R.M Billets Reports'!B2216,IF(ROW()=2,"",C2216))</f>
      </c>
      <c r="D2217">
        <f>IF('R.M Billets Reports'!A2216&lt;&gt;"",'R.M Billets Reports'!A2216,IF(ROW()=2,"",D2216))</f>
      </c>
      <c r="E2217">
        <f>IF('R.M Billets Reports'!B2216="","",TRIM('R.M Billets Reports'!B2216))</f>
      </c>
      <c r="F2217">
        <f>'R.M Billets Reports'!C2216</f>
      </c>
      <c r="G2217">
        <f>'R.M Billets Reports'!D2216</f>
      </c>
      <c r="H2217">
        <f>'R.M Billets Reports'!E2216</f>
      </c>
      <c r="I2217">
        <f>'R.M Billets Reports'!F2216</f>
      </c>
      <c r="J2217">
        <f>'R.M Billets Reports'!G2216</f>
      </c>
      <c r="K2217">
        <f>'R.M Billets Reports'!H2216</f>
      </c>
      <c r="L2217">
        <f>IF('R.M Billets Reports'!I2216="","",'R.M Billets Reports'!I2216)</f>
      </c>
      <c r="M2217">
        <f t="shared" si="68"/>
      </c>
      <c r="N2217">
        <f>IF('R.M Billets Reports'!J2216="","",'R.M Billets Reports'!J2216)</f>
      </c>
      <c r="O2217">
        <f t="shared" si="69"/>
      </c>
      <c r="P2217">
        <f>IF('R.M Billets Reports'!A2216="SIZE",'R.M Billets Reports'!B2216,P2216)</f>
      </c>
    </row>
    <row r="2218" spans="1:16" x14ac:dyDescent="0.25">
      <c r="A2218">
        <f>IF(OR('R.M Billets Reports'!A2217="Date-",'R.M Billets Reports'!A2217="Date:-"),IF(IF(IF(ISNUMBER(SEARCH("Party Name:-",'R.M Billets Reports'!D2217)),TRIM('R.M Billets Reports'!F2217),IF(ISNUMBER(SEARCH("Party Name-",'R.M Billets Reports'!D2217)),TRIM(MID('R.M Billets Reports'!D2217,SEARCH("-",'R.M Billets Reports'!D2217)+1,200)),""))&lt;&gt;"",IF(ISNUMBER(SEARCH("Party Name:-",'R.M Billets Reports'!D2217)),TRIM('R.M Billets Reports'!F2217),IF(ISNUMBER(SEARCH("Party Name-",'R.M Billets Reports'!D2217)),TRIM(MID('R.M Billets Reports'!D2217,SEARCH("-",'R.M Billets Reports'!D2217)+1,200)),"")),IF(ISNUMBER(SEARCH("Party Name:-",'R.M Billets Reports'!D2218)),TRIM('R.M Billets Reports'!F2218),IF(ISNUMBER(SEARCH("Party Name-",'R.M Billets Reports'!D2218)),TRIM(MID('R.M Billets Reports'!D2218,SEARCH("-",'R.M Billets Reports'!D2218)+1,200)),"")))="VRKP ISPAT PVT LTD","VRKP",IF(IF(IF(ISNUMBER(SEARCH("Party Name:-",'R.M Billets Reports'!D2217)),TRIM('R.M Billets Reports'!F2217),IF(ISNUMBER(SEARCH("Party Name-",'R.M Billets Reports'!D2217)),TRIM(MID('R.M Billets Reports'!D2217,SEARCH("-",'R.M Billets Reports'!D2217)+1,200)),""))&lt;&gt;"",IF(ISNUMBER(SEARCH("Party Name:-",'R.M Billets Reports'!D2217)),TRIM('R.M Billets Reports'!F2217),IF(ISNUMBER(SEARCH("Party Name-",'R.M Billets Reports'!D2217)),TRIM(MID('R.M Billets Reports'!D2217,SEARCH("-",'R.M Billets Reports'!D2217)+1,200)),"")),IF(ISNUMBER(SEARCH("Party Name:-",'R.M Billets Reports'!D2218)),TRIM('R.M Billets Reports'!F2218),IF(ISNUMBER(SEARCH("Party Name-",'R.M Billets Reports'!D2218)),TRIM(MID('R.M Billets Reports'!D2218,SEARCH("-",'R.M Billets Reports'!D2218)+1,200)),"")))="SHRI RADHE","SHREE RADHE",IF(IF(IF(ISNUMBER(SEARCH("Party Name:-",'R.M Billets Reports'!D2217)),TRIM('R.M Billets Reports'!F2217),IF(ISNUMBER(SEARCH("Party Name-",'R.M Billets Reports'!D2217)),TRIM(MID('R.M Billets Reports'!D2217,SEARCH("-",'R.M Billets Reports'!D2217)+1,200)),""))&lt;&gt;"",IF(ISNUMBER(SEARCH("Party Name:-",'R.M Billets Reports'!D2217)),TRIM('R.M Billets Reports'!F2217),IF(ISNUMBER(SEARCH("Party Name-",'R.M Billets Reports'!D2217)),TRIM(MID('R.M Billets Reports'!D2217,SEARCH("-",'R.M Billets Reports'!D2217)+1,200)),"")),IF(ISNUMBER(SEARCH("Party Name:-",'R.M Billets Reports'!D2218)),TRIM('R.M Billets Reports'!F2218),IF(ISNUMBER(SEARCH("Party Name-",'R.M Billets Reports'!D2218)),TRIM(MID('R.M Billets Reports'!D2218,SEARCH("-",'R.M Billets Reports'!D2218)+1,200)),"")))="SHREE RADHE SHAKTI SPONGE AND POWER PVT. LTD.","SHREE RADHE",IF(IF(ISNUMBER(SEARCH("Party Name:-",'R.M Billets Reports'!D2217)),TRIM('R.M Billets Reports'!F2217),IF(ISNUMBER(SEARCH("Party Name-",'R.M Billets Reports'!D2217)),TRIM(MID('R.M Billets Reports'!D2217,SEARCH("-",'R.M Billets Reports'!D2217)+1,200)),""))&lt;&gt;"",IF(ISNUMBER(SEARCH("Party Name:-",'R.M Billets Reports'!D2217)),TRIM('R.M Billets Reports'!F2217),IF(ISNUMBER(SEARCH("Party Name-",'R.M Billets Reports'!D2217)),TRIM(MID('R.M Billets Reports'!D2217,SEARCH("-",'R.M Billets Reports'!D2217)+1,200)),"")),IF(ISNUMBER(SEARCH("Party Name:-",'R.M Billets Reports'!D2218)),TRIM('R.M Billets Reports'!F2218),IF(ISNUMBER(SEARCH("Party Name-",'R.M Billets Reports'!D2218)),TRIM(MID('R.M Billets Reports'!D2218,SEARCH("-",'R.M Billets Reports'!D2218)+1,200)),"")))))),IF(ROW()=2,"",A2217))</f>
      </c>
      <c r="B2218">
        <f>IF(OR('R.M Billets Reports'!A2217="Date-",'R.M Billets Reports'!A2217="Date:-"),'R.M Billets Reports'!B2217,IF(ROW()=2,"",B2217))</f>
      </c>
      <c r="C2218">
        <f>IF('R.M Billets Reports'!A2217="V.No.",'R.M Billets Reports'!B2217,IF(ROW()=2,"",C2217))</f>
      </c>
      <c r="D2218">
        <f>IF('R.M Billets Reports'!A2217&lt;&gt;"",'R.M Billets Reports'!A2217,IF(ROW()=2,"",D2217))</f>
      </c>
      <c r="E2218">
        <f>IF('R.M Billets Reports'!B2217="","",TRIM('R.M Billets Reports'!B2217))</f>
      </c>
      <c r="F2218">
        <f>'R.M Billets Reports'!C2217</f>
      </c>
      <c r="G2218">
        <f>'R.M Billets Reports'!D2217</f>
      </c>
      <c r="H2218">
        <f>'R.M Billets Reports'!E2217</f>
      </c>
      <c r="I2218">
        <f>'R.M Billets Reports'!F2217</f>
      </c>
      <c r="J2218">
        <f>'R.M Billets Reports'!G2217</f>
      </c>
      <c r="K2218">
        <f>'R.M Billets Reports'!H2217</f>
      </c>
      <c r="L2218">
        <f>IF('R.M Billets Reports'!I2217="","",'R.M Billets Reports'!I2217)</f>
      </c>
      <c r="M2218">
        <f t="shared" si="68"/>
      </c>
      <c r="N2218">
        <f>IF('R.M Billets Reports'!J2217="","",'R.M Billets Reports'!J2217)</f>
      </c>
      <c r="O2218">
        <f t="shared" si="69"/>
      </c>
      <c r="P2218">
        <f>IF('R.M Billets Reports'!A2217="SIZE",'R.M Billets Reports'!B2217,P2217)</f>
      </c>
    </row>
    <row r="2219" spans="1:16" x14ac:dyDescent="0.25">
      <c r="A2219">
        <f>IF(OR('R.M Billets Reports'!A2218="Date-",'R.M Billets Reports'!A2218="Date:-"),IF(IF(IF(ISNUMBER(SEARCH("Party Name:-",'R.M Billets Reports'!D2218)),TRIM('R.M Billets Reports'!F2218),IF(ISNUMBER(SEARCH("Party Name-",'R.M Billets Reports'!D2218)),TRIM(MID('R.M Billets Reports'!D2218,SEARCH("-",'R.M Billets Reports'!D2218)+1,200)),""))&lt;&gt;"",IF(ISNUMBER(SEARCH("Party Name:-",'R.M Billets Reports'!D2218)),TRIM('R.M Billets Reports'!F2218),IF(ISNUMBER(SEARCH("Party Name-",'R.M Billets Reports'!D2218)),TRIM(MID('R.M Billets Reports'!D2218,SEARCH("-",'R.M Billets Reports'!D2218)+1,200)),"")),IF(ISNUMBER(SEARCH("Party Name:-",'R.M Billets Reports'!D2219)),TRIM('R.M Billets Reports'!F2219),IF(ISNUMBER(SEARCH("Party Name-",'R.M Billets Reports'!D2219)),TRIM(MID('R.M Billets Reports'!D2219,SEARCH("-",'R.M Billets Reports'!D2219)+1,200)),"")))="VRKP ISPAT PVT LTD","VRKP",IF(IF(IF(ISNUMBER(SEARCH("Party Name:-",'R.M Billets Reports'!D2218)),TRIM('R.M Billets Reports'!F2218),IF(ISNUMBER(SEARCH("Party Name-",'R.M Billets Reports'!D2218)),TRIM(MID('R.M Billets Reports'!D2218,SEARCH("-",'R.M Billets Reports'!D2218)+1,200)),""))&lt;&gt;"",IF(ISNUMBER(SEARCH("Party Name:-",'R.M Billets Reports'!D2218)),TRIM('R.M Billets Reports'!F2218),IF(ISNUMBER(SEARCH("Party Name-",'R.M Billets Reports'!D2218)),TRIM(MID('R.M Billets Reports'!D2218,SEARCH("-",'R.M Billets Reports'!D2218)+1,200)),"")),IF(ISNUMBER(SEARCH("Party Name:-",'R.M Billets Reports'!D2219)),TRIM('R.M Billets Reports'!F2219),IF(ISNUMBER(SEARCH("Party Name-",'R.M Billets Reports'!D2219)),TRIM(MID('R.M Billets Reports'!D2219,SEARCH("-",'R.M Billets Reports'!D2219)+1,200)),"")))="SHRI RADHE","SHREE RADHE",IF(IF(IF(ISNUMBER(SEARCH("Party Name:-",'R.M Billets Reports'!D2218)),TRIM('R.M Billets Reports'!F2218),IF(ISNUMBER(SEARCH("Party Name-",'R.M Billets Reports'!D2218)),TRIM(MID('R.M Billets Reports'!D2218,SEARCH("-",'R.M Billets Reports'!D2218)+1,200)),""))&lt;&gt;"",IF(ISNUMBER(SEARCH("Party Name:-",'R.M Billets Reports'!D2218)),TRIM('R.M Billets Reports'!F2218),IF(ISNUMBER(SEARCH("Party Name-",'R.M Billets Reports'!D2218)),TRIM(MID('R.M Billets Reports'!D2218,SEARCH("-",'R.M Billets Reports'!D2218)+1,200)),"")),IF(ISNUMBER(SEARCH("Party Name:-",'R.M Billets Reports'!D2219)),TRIM('R.M Billets Reports'!F2219),IF(ISNUMBER(SEARCH("Party Name-",'R.M Billets Reports'!D2219)),TRIM(MID('R.M Billets Reports'!D2219,SEARCH("-",'R.M Billets Reports'!D2219)+1,200)),"")))="SHREE RADHE SHAKTI SPONGE AND POWER PVT. LTD.","SHREE RADHE",IF(IF(ISNUMBER(SEARCH("Party Name:-",'R.M Billets Reports'!D2218)),TRIM('R.M Billets Reports'!F2218),IF(ISNUMBER(SEARCH("Party Name-",'R.M Billets Reports'!D2218)),TRIM(MID('R.M Billets Reports'!D2218,SEARCH("-",'R.M Billets Reports'!D2218)+1,200)),""))&lt;&gt;"",IF(ISNUMBER(SEARCH("Party Name:-",'R.M Billets Reports'!D2218)),TRIM('R.M Billets Reports'!F2218),IF(ISNUMBER(SEARCH("Party Name-",'R.M Billets Reports'!D2218)),TRIM(MID('R.M Billets Reports'!D2218,SEARCH("-",'R.M Billets Reports'!D2218)+1,200)),"")),IF(ISNUMBER(SEARCH("Party Name:-",'R.M Billets Reports'!D2219)),TRIM('R.M Billets Reports'!F2219),IF(ISNUMBER(SEARCH("Party Name-",'R.M Billets Reports'!D2219)),TRIM(MID('R.M Billets Reports'!D2219,SEARCH("-",'R.M Billets Reports'!D2219)+1,200)),"")))))),IF(ROW()=2,"",A2218))</f>
      </c>
      <c r="B2219">
        <f>IF(OR('R.M Billets Reports'!A2218="Date-",'R.M Billets Reports'!A2218="Date:-"),'R.M Billets Reports'!B2218,IF(ROW()=2,"",B2218))</f>
      </c>
      <c r="C2219">
        <f>IF('R.M Billets Reports'!A2218="V.No.",'R.M Billets Reports'!B2218,IF(ROW()=2,"",C2218))</f>
      </c>
      <c r="D2219">
        <f>IF('R.M Billets Reports'!A2218&lt;&gt;"",'R.M Billets Reports'!A2218,IF(ROW()=2,"",D2218))</f>
      </c>
      <c r="E2219">
        <f>IF('R.M Billets Reports'!B2218="","",TRIM('R.M Billets Reports'!B2218))</f>
      </c>
      <c r="F2219">
        <f>'R.M Billets Reports'!C2218</f>
      </c>
      <c r="G2219">
        <f>'R.M Billets Reports'!D2218</f>
      </c>
      <c r="H2219">
        <f>'R.M Billets Reports'!E2218</f>
      </c>
      <c r="I2219">
        <f>'R.M Billets Reports'!F2218</f>
      </c>
      <c r="J2219">
        <f>'R.M Billets Reports'!G2218</f>
      </c>
      <c r="K2219">
        <f>'R.M Billets Reports'!H2218</f>
      </c>
      <c r="L2219">
        <f>IF('R.M Billets Reports'!I2218="","",'R.M Billets Reports'!I2218)</f>
      </c>
      <c r="M2219">
        <f t="shared" si="68"/>
      </c>
      <c r="N2219">
        <f>IF('R.M Billets Reports'!J2218="","",'R.M Billets Reports'!J2218)</f>
      </c>
      <c r="O2219">
        <f t="shared" si="69"/>
      </c>
      <c r="P2219">
        <f>IF('R.M Billets Reports'!A2218="SIZE",'R.M Billets Reports'!B2218,P2218)</f>
      </c>
    </row>
    <row r="2220" spans="1:16" x14ac:dyDescent="0.25">
      <c r="A2220">
        <f>IF(OR('R.M Billets Reports'!A2219="Date-",'R.M Billets Reports'!A2219="Date:-"),IF(IF(IF(ISNUMBER(SEARCH("Party Name:-",'R.M Billets Reports'!D2219)),TRIM('R.M Billets Reports'!F2219),IF(ISNUMBER(SEARCH("Party Name-",'R.M Billets Reports'!D2219)),TRIM(MID('R.M Billets Reports'!D2219,SEARCH("-",'R.M Billets Reports'!D2219)+1,200)),""))&lt;&gt;"",IF(ISNUMBER(SEARCH("Party Name:-",'R.M Billets Reports'!D2219)),TRIM('R.M Billets Reports'!F2219),IF(ISNUMBER(SEARCH("Party Name-",'R.M Billets Reports'!D2219)),TRIM(MID('R.M Billets Reports'!D2219,SEARCH("-",'R.M Billets Reports'!D2219)+1,200)),"")),IF(ISNUMBER(SEARCH("Party Name:-",'R.M Billets Reports'!D2220)),TRIM('R.M Billets Reports'!F2220),IF(ISNUMBER(SEARCH("Party Name-",'R.M Billets Reports'!D2220)),TRIM(MID('R.M Billets Reports'!D2220,SEARCH("-",'R.M Billets Reports'!D2220)+1,200)),"")))="VRKP ISPAT PVT LTD","VRKP",IF(IF(IF(ISNUMBER(SEARCH("Party Name:-",'R.M Billets Reports'!D2219)),TRIM('R.M Billets Reports'!F2219),IF(ISNUMBER(SEARCH("Party Name-",'R.M Billets Reports'!D2219)),TRIM(MID('R.M Billets Reports'!D2219,SEARCH("-",'R.M Billets Reports'!D2219)+1,200)),""))&lt;&gt;"",IF(ISNUMBER(SEARCH("Party Name:-",'R.M Billets Reports'!D2219)),TRIM('R.M Billets Reports'!F2219),IF(ISNUMBER(SEARCH("Party Name-",'R.M Billets Reports'!D2219)),TRIM(MID('R.M Billets Reports'!D2219,SEARCH("-",'R.M Billets Reports'!D2219)+1,200)),"")),IF(ISNUMBER(SEARCH("Party Name:-",'R.M Billets Reports'!D2220)),TRIM('R.M Billets Reports'!F2220),IF(ISNUMBER(SEARCH("Party Name-",'R.M Billets Reports'!D2220)),TRIM(MID('R.M Billets Reports'!D2220,SEARCH("-",'R.M Billets Reports'!D2220)+1,200)),"")))="SHRI RADHE","SHREE RADHE",IF(IF(IF(ISNUMBER(SEARCH("Party Name:-",'R.M Billets Reports'!D2219)),TRIM('R.M Billets Reports'!F2219),IF(ISNUMBER(SEARCH("Party Name-",'R.M Billets Reports'!D2219)),TRIM(MID('R.M Billets Reports'!D2219,SEARCH("-",'R.M Billets Reports'!D2219)+1,200)),""))&lt;&gt;"",IF(ISNUMBER(SEARCH("Party Name:-",'R.M Billets Reports'!D2219)),TRIM('R.M Billets Reports'!F2219),IF(ISNUMBER(SEARCH("Party Name-",'R.M Billets Reports'!D2219)),TRIM(MID('R.M Billets Reports'!D2219,SEARCH("-",'R.M Billets Reports'!D2219)+1,200)),"")),IF(ISNUMBER(SEARCH("Party Name:-",'R.M Billets Reports'!D2220)),TRIM('R.M Billets Reports'!F2220),IF(ISNUMBER(SEARCH("Party Name-",'R.M Billets Reports'!D2220)),TRIM(MID('R.M Billets Reports'!D2220,SEARCH("-",'R.M Billets Reports'!D2220)+1,200)),"")))="SHREE RADHE SHAKTI SPONGE AND POWER PVT. LTD.","SHREE RADHE",IF(IF(ISNUMBER(SEARCH("Party Name:-",'R.M Billets Reports'!D2219)),TRIM('R.M Billets Reports'!F2219),IF(ISNUMBER(SEARCH("Party Name-",'R.M Billets Reports'!D2219)),TRIM(MID('R.M Billets Reports'!D2219,SEARCH("-",'R.M Billets Reports'!D2219)+1,200)),""))&lt;&gt;"",IF(ISNUMBER(SEARCH("Party Name:-",'R.M Billets Reports'!D2219)),TRIM('R.M Billets Reports'!F2219),IF(ISNUMBER(SEARCH("Party Name-",'R.M Billets Reports'!D2219)),TRIM(MID('R.M Billets Reports'!D2219,SEARCH("-",'R.M Billets Reports'!D2219)+1,200)),"")),IF(ISNUMBER(SEARCH("Party Name:-",'R.M Billets Reports'!D2220)),TRIM('R.M Billets Reports'!F2220),IF(ISNUMBER(SEARCH("Party Name-",'R.M Billets Reports'!D2220)),TRIM(MID('R.M Billets Reports'!D2220,SEARCH("-",'R.M Billets Reports'!D2220)+1,200)),"")))))),IF(ROW()=2,"",A2219))</f>
      </c>
      <c r="B2220">
        <f>IF(OR('R.M Billets Reports'!A2219="Date-",'R.M Billets Reports'!A2219="Date:-"),'R.M Billets Reports'!B2219,IF(ROW()=2,"",B2219))</f>
      </c>
      <c r="C2220">
        <f>IF('R.M Billets Reports'!A2219="V.No.",'R.M Billets Reports'!B2219,IF(ROW()=2,"",C2219))</f>
      </c>
      <c r="D2220">
        <f>IF('R.M Billets Reports'!A2219&lt;&gt;"",'R.M Billets Reports'!A2219,IF(ROW()=2,"",D2219))</f>
      </c>
      <c r="E2220">
        <f>IF('R.M Billets Reports'!B2219="","",TRIM('R.M Billets Reports'!B2219))</f>
      </c>
      <c r="F2220">
        <f>'R.M Billets Reports'!C2219</f>
      </c>
      <c r="G2220">
        <f>'R.M Billets Reports'!D2219</f>
      </c>
      <c r="H2220">
        <f>'R.M Billets Reports'!E2219</f>
      </c>
      <c r="I2220">
        <f>'R.M Billets Reports'!F2219</f>
      </c>
      <c r="J2220">
        <f>'R.M Billets Reports'!G2219</f>
      </c>
      <c r="K2220">
        <f>'R.M Billets Reports'!H2219</f>
      </c>
      <c r="L2220">
        <f>IF('R.M Billets Reports'!I2219="","",'R.M Billets Reports'!I2219)</f>
      </c>
      <c r="M2220">
        <f t="shared" si="68"/>
      </c>
      <c r="N2220">
        <f>IF('R.M Billets Reports'!J2219="","",'R.M Billets Reports'!J2219)</f>
      </c>
      <c r="O2220">
        <f t="shared" si="69"/>
      </c>
      <c r="P2220">
        <f>IF('R.M Billets Reports'!A2219="SIZE",'R.M Billets Reports'!B2219,P2219)</f>
      </c>
    </row>
    <row r="2221" spans="1:16" x14ac:dyDescent="0.25">
      <c r="A2221">
        <f>IF(OR('R.M Billets Reports'!A2220="Date-",'R.M Billets Reports'!A2220="Date:-"),IF(IF(IF(ISNUMBER(SEARCH("Party Name:-",'R.M Billets Reports'!D2220)),TRIM('R.M Billets Reports'!F2220),IF(ISNUMBER(SEARCH("Party Name-",'R.M Billets Reports'!D2220)),TRIM(MID('R.M Billets Reports'!D2220,SEARCH("-",'R.M Billets Reports'!D2220)+1,200)),""))&lt;&gt;"",IF(ISNUMBER(SEARCH("Party Name:-",'R.M Billets Reports'!D2220)),TRIM('R.M Billets Reports'!F2220),IF(ISNUMBER(SEARCH("Party Name-",'R.M Billets Reports'!D2220)),TRIM(MID('R.M Billets Reports'!D2220,SEARCH("-",'R.M Billets Reports'!D2220)+1,200)),"")),IF(ISNUMBER(SEARCH("Party Name:-",'R.M Billets Reports'!D2221)),TRIM('R.M Billets Reports'!F2221),IF(ISNUMBER(SEARCH("Party Name-",'R.M Billets Reports'!D2221)),TRIM(MID('R.M Billets Reports'!D2221,SEARCH("-",'R.M Billets Reports'!D2221)+1,200)),"")))="VRKP ISPAT PVT LTD","VRKP",IF(IF(IF(ISNUMBER(SEARCH("Party Name:-",'R.M Billets Reports'!D2220)),TRIM('R.M Billets Reports'!F2220),IF(ISNUMBER(SEARCH("Party Name-",'R.M Billets Reports'!D2220)),TRIM(MID('R.M Billets Reports'!D2220,SEARCH("-",'R.M Billets Reports'!D2220)+1,200)),""))&lt;&gt;"",IF(ISNUMBER(SEARCH("Party Name:-",'R.M Billets Reports'!D2220)),TRIM('R.M Billets Reports'!F2220),IF(ISNUMBER(SEARCH("Party Name-",'R.M Billets Reports'!D2220)),TRIM(MID('R.M Billets Reports'!D2220,SEARCH("-",'R.M Billets Reports'!D2220)+1,200)),"")),IF(ISNUMBER(SEARCH("Party Name:-",'R.M Billets Reports'!D2221)),TRIM('R.M Billets Reports'!F2221),IF(ISNUMBER(SEARCH("Party Name-",'R.M Billets Reports'!D2221)),TRIM(MID('R.M Billets Reports'!D2221,SEARCH("-",'R.M Billets Reports'!D2221)+1,200)),"")))="SHRI RADHE","SHREE RADHE",IF(IF(IF(ISNUMBER(SEARCH("Party Name:-",'R.M Billets Reports'!D2220)),TRIM('R.M Billets Reports'!F2220),IF(ISNUMBER(SEARCH("Party Name-",'R.M Billets Reports'!D2220)),TRIM(MID('R.M Billets Reports'!D2220,SEARCH("-",'R.M Billets Reports'!D2220)+1,200)),""))&lt;&gt;"",IF(ISNUMBER(SEARCH("Party Name:-",'R.M Billets Reports'!D2220)),TRIM('R.M Billets Reports'!F2220),IF(ISNUMBER(SEARCH("Party Name-",'R.M Billets Reports'!D2220)),TRIM(MID('R.M Billets Reports'!D2220,SEARCH("-",'R.M Billets Reports'!D2220)+1,200)),"")),IF(ISNUMBER(SEARCH("Party Name:-",'R.M Billets Reports'!D2221)),TRIM('R.M Billets Reports'!F2221),IF(ISNUMBER(SEARCH("Party Name-",'R.M Billets Reports'!D2221)),TRIM(MID('R.M Billets Reports'!D2221,SEARCH("-",'R.M Billets Reports'!D2221)+1,200)),"")))="SHREE RADHE SHAKTI SPONGE AND POWER PVT. LTD.","SHREE RADHE",IF(IF(ISNUMBER(SEARCH("Party Name:-",'R.M Billets Reports'!D2220)),TRIM('R.M Billets Reports'!F2220),IF(ISNUMBER(SEARCH("Party Name-",'R.M Billets Reports'!D2220)),TRIM(MID('R.M Billets Reports'!D2220,SEARCH("-",'R.M Billets Reports'!D2220)+1,200)),""))&lt;&gt;"",IF(ISNUMBER(SEARCH("Party Name:-",'R.M Billets Reports'!D2220)),TRIM('R.M Billets Reports'!F2220),IF(ISNUMBER(SEARCH("Party Name-",'R.M Billets Reports'!D2220)),TRIM(MID('R.M Billets Reports'!D2220,SEARCH("-",'R.M Billets Reports'!D2220)+1,200)),"")),IF(ISNUMBER(SEARCH("Party Name:-",'R.M Billets Reports'!D2221)),TRIM('R.M Billets Reports'!F2221),IF(ISNUMBER(SEARCH("Party Name-",'R.M Billets Reports'!D2221)),TRIM(MID('R.M Billets Reports'!D2221,SEARCH("-",'R.M Billets Reports'!D2221)+1,200)),"")))))),IF(ROW()=2,"",A2220))</f>
      </c>
      <c r="B2221">
        <f>IF(OR('R.M Billets Reports'!A2220="Date-",'R.M Billets Reports'!A2220="Date:-"),'R.M Billets Reports'!B2220,IF(ROW()=2,"",B2220))</f>
      </c>
      <c r="C2221">
        <f>IF('R.M Billets Reports'!A2220="V.No.",'R.M Billets Reports'!B2220,IF(ROW()=2,"",C2220))</f>
      </c>
      <c r="D2221">
        <f>IF('R.M Billets Reports'!A2220&lt;&gt;"",'R.M Billets Reports'!A2220,IF(ROW()=2,"",D2220))</f>
      </c>
      <c r="E2221">
        <f>IF('R.M Billets Reports'!B2220="","",TRIM('R.M Billets Reports'!B2220))</f>
      </c>
      <c r="F2221">
        <f>'R.M Billets Reports'!C2220</f>
      </c>
      <c r="G2221">
        <f>'R.M Billets Reports'!D2220</f>
      </c>
      <c r="H2221">
        <f>'R.M Billets Reports'!E2220</f>
      </c>
      <c r="I2221">
        <f>'R.M Billets Reports'!F2220</f>
      </c>
      <c r="J2221">
        <f>'R.M Billets Reports'!G2220</f>
      </c>
      <c r="K2221">
        <f>'R.M Billets Reports'!H2220</f>
      </c>
      <c r="L2221">
        <f>IF('R.M Billets Reports'!I2220="","",'R.M Billets Reports'!I2220)</f>
      </c>
      <c r="M2221">
        <f t="shared" si="68"/>
      </c>
      <c r="N2221">
        <f>IF('R.M Billets Reports'!J2220="","",'R.M Billets Reports'!J2220)</f>
      </c>
      <c r="O2221">
        <f t="shared" si="69"/>
      </c>
      <c r="P2221">
        <f>IF('R.M Billets Reports'!A2220="SIZE",'R.M Billets Reports'!B2220,P2220)</f>
      </c>
    </row>
    <row r="2222" spans="1:16" x14ac:dyDescent="0.25">
      <c r="A2222">
        <f>IF(OR('R.M Billets Reports'!A2221="Date-",'R.M Billets Reports'!A2221="Date:-"),IF(IF(IF(ISNUMBER(SEARCH("Party Name:-",'R.M Billets Reports'!D2221)),TRIM('R.M Billets Reports'!F2221),IF(ISNUMBER(SEARCH("Party Name-",'R.M Billets Reports'!D2221)),TRIM(MID('R.M Billets Reports'!D2221,SEARCH("-",'R.M Billets Reports'!D2221)+1,200)),""))&lt;&gt;"",IF(ISNUMBER(SEARCH("Party Name:-",'R.M Billets Reports'!D2221)),TRIM('R.M Billets Reports'!F2221),IF(ISNUMBER(SEARCH("Party Name-",'R.M Billets Reports'!D2221)),TRIM(MID('R.M Billets Reports'!D2221,SEARCH("-",'R.M Billets Reports'!D2221)+1,200)),"")),IF(ISNUMBER(SEARCH("Party Name:-",'R.M Billets Reports'!D2222)),TRIM('R.M Billets Reports'!F2222),IF(ISNUMBER(SEARCH("Party Name-",'R.M Billets Reports'!D2222)),TRIM(MID('R.M Billets Reports'!D2222,SEARCH("-",'R.M Billets Reports'!D2222)+1,200)),"")))="VRKP ISPAT PVT LTD","VRKP",IF(IF(IF(ISNUMBER(SEARCH("Party Name:-",'R.M Billets Reports'!D2221)),TRIM('R.M Billets Reports'!F2221),IF(ISNUMBER(SEARCH("Party Name-",'R.M Billets Reports'!D2221)),TRIM(MID('R.M Billets Reports'!D2221,SEARCH("-",'R.M Billets Reports'!D2221)+1,200)),""))&lt;&gt;"",IF(ISNUMBER(SEARCH("Party Name:-",'R.M Billets Reports'!D2221)),TRIM('R.M Billets Reports'!F2221),IF(ISNUMBER(SEARCH("Party Name-",'R.M Billets Reports'!D2221)),TRIM(MID('R.M Billets Reports'!D2221,SEARCH("-",'R.M Billets Reports'!D2221)+1,200)),"")),IF(ISNUMBER(SEARCH("Party Name:-",'R.M Billets Reports'!D2222)),TRIM('R.M Billets Reports'!F2222),IF(ISNUMBER(SEARCH("Party Name-",'R.M Billets Reports'!D2222)),TRIM(MID('R.M Billets Reports'!D2222,SEARCH("-",'R.M Billets Reports'!D2222)+1,200)),"")))="SHRI RADHE","SHREE RADHE",IF(IF(IF(ISNUMBER(SEARCH("Party Name:-",'R.M Billets Reports'!D2221)),TRIM('R.M Billets Reports'!F2221),IF(ISNUMBER(SEARCH("Party Name-",'R.M Billets Reports'!D2221)),TRIM(MID('R.M Billets Reports'!D2221,SEARCH("-",'R.M Billets Reports'!D2221)+1,200)),""))&lt;&gt;"",IF(ISNUMBER(SEARCH("Party Name:-",'R.M Billets Reports'!D2221)),TRIM('R.M Billets Reports'!F2221),IF(ISNUMBER(SEARCH("Party Name-",'R.M Billets Reports'!D2221)),TRIM(MID('R.M Billets Reports'!D2221,SEARCH("-",'R.M Billets Reports'!D2221)+1,200)),"")),IF(ISNUMBER(SEARCH("Party Name:-",'R.M Billets Reports'!D2222)),TRIM('R.M Billets Reports'!F2222),IF(ISNUMBER(SEARCH("Party Name-",'R.M Billets Reports'!D2222)),TRIM(MID('R.M Billets Reports'!D2222,SEARCH("-",'R.M Billets Reports'!D2222)+1,200)),"")))="SHREE RADHE SHAKTI SPONGE AND POWER PVT. LTD.","SHREE RADHE",IF(IF(ISNUMBER(SEARCH("Party Name:-",'R.M Billets Reports'!D2221)),TRIM('R.M Billets Reports'!F2221),IF(ISNUMBER(SEARCH("Party Name-",'R.M Billets Reports'!D2221)),TRIM(MID('R.M Billets Reports'!D2221,SEARCH("-",'R.M Billets Reports'!D2221)+1,200)),""))&lt;&gt;"",IF(ISNUMBER(SEARCH("Party Name:-",'R.M Billets Reports'!D2221)),TRIM('R.M Billets Reports'!F2221),IF(ISNUMBER(SEARCH("Party Name-",'R.M Billets Reports'!D2221)),TRIM(MID('R.M Billets Reports'!D2221,SEARCH("-",'R.M Billets Reports'!D2221)+1,200)),"")),IF(ISNUMBER(SEARCH("Party Name:-",'R.M Billets Reports'!D2222)),TRIM('R.M Billets Reports'!F2222),IF(ISNUMBER(SEARCH("Party Name-",'R.M Billets Reports'!D2222)),TRIM(MID('R.M Billets Reports'!D2222,SEARCH("-",'R.M Billets Reports'!D2222)+1,200)),"")))))),IF(ROW()=2,"",A2221))</f>
      </c>
      <c r="B2222">
        <f>IF(OR('R.M Billets Reports'!A2221="Date-",'R.M Billets Reports'!A2221="Date:-"),'R.M Billets Reports'!B2221,IF(ROW()=2,"",B2221))</f>
      </c>
      <c r="C2222">
        <f>IF('R.M Billets Reports'!A2221="V.No.",'R.M Billets Reports'!B2221,IF(ROW()=2,"",C2221))</f>
      </c>
      <c r="D2222">
        <f>IF('R.M Billets Reports'!A2221&lt;&gt;"",'R.M Billets Reports'!A2221,IF(ROW()=2,"",D2221))</f>
      </c>
      <c r="E2222">
        <f>IF('R.M Billets Reports'!B2221="","",TRIM('R.M Billets Reports'!B2221))</f>
      </c>
      <c r="F2222">
        <f>'R.M Billets Reports'!C2221</f>
      </c>
      <c r="G2222">
        <f>'R.M Billets Reports'!D2221</f>
      </c>
      <c r="H2222">
        <f>'R.M Billets Reports'!E2221</f>
      </c>
      <c r="I2222">
        <f>'R.M Billets Reports'!F2221</f>
      </c>
      <c r="J2222">
        <f>'R.M Billets Reports'!G2221</f>
      </c>
      <c r="K2222">
        <f>'R.M Billets Reports'!H2221</f>
      </c>
      <c r="L2222">
        <f>IF('R.M Billets Reports'!I2221="","",'R.M Billets Reports'!I2221)</f>
      </c>
      <c r="M2222">
        <f t="shared" si="68"/>
      </c>
      <c r="N2222">
        <f>IF('R.M Billets Reports'!J2221="","",'R.M Billets Reports'!J2221)</f>
      </c>
      <c r="O2222">
        <f t="shared" si="69"/>
      </c>
      <c r="P2222">
        <f>IF('R.M Billets Reports'!A2221="SIZE",'R.M Billets Reports'!B2221,P2221)</f>
      </c>
    </row>
    <row r="2223" spans="1:16" x14ac:dyDescent="0.25">
      <c r="A2223">
        <f>IF(OR('R.M Billets Reports'!A2222="Date-",'R.M Billets Reports'!A2222="Date:-"),IF(IF(IF(ISNUMBER(SEARCH("Party Name:-",'R.M Billets Reports'!D2222)),TRIM('R.M Billets Reports'!F2222),IF(ISNUMBER(SEARCH("Party Name-",'R.M Billets Reports'!D2222)),TRIM(MID('R.M Billets Reports'!D2222,SEARCH("-",'R.M Billets Reports'!D2222)+1,200)),""))&lt;&gt;"",IF(ISNUMBER(SEARCH("Party Name:-",'R.M Billets Reports'!D2222)),TRIM('R.M Billets Reports'!F2222),IF(ISNUMBER(SEARCH("Party Name-",'R.M Billets Reports'!D2222)),TRIM(MID('R.M Billets Reports'!D2222,SEARCH("-",'R.M Billets Reports'!D2222)+1,200)),"")),IF(ISNUMBER(SEARCH("Party Name:-",'R.M Billets Reports'!D2223)),TRIM('R.M Billets Reports'!F2223),IF(ISNUMBER(SEARCH("Party Name-",'R.M Billets Reports'!D2223)),TRIM(MID('R.M Billets Reports'!D2223,SEARCH("-",'R.M Billets Reports'!D2223)+1,200)),"")))="VRKP ISPAT PVT LTD","VRKP",IF(IF(IF(ISNUMBER(SEARCH("Party Name:-",'R.M Billets Reports'!D2222)),TRIM('R.M Billets Reports'!F2222),IF(ISNUMBER(SEARCH("Party Name-",'R.M Billets Reports'!D2222)),TRIM(MID('R.M Billets Reports'!D2222,SEARCH("-",'R.M Billets Reports'!D2222)+1,200)),""))&lt;&gt;"",IF(ISNUMBER(SEARCH("Party Name:-",'R.M Billets Reports'!D2222)),TRIM('R.M Billets Reports'!F2222),IF(ISNUMBER(SEARCH("Party Name-",'R.M Billets Reports'!D2222)),TRIM(MID('R.M Billets Reports'!D2222,SEARCH("-",'R.M Billets Reports'!D2222)+1,200)),"")),IF(ISNUMBER(SEARCH("Party Name:-",'R.M Billets Reports'!D2223)),TRIM('R.M Billets Reports'!F2223),IF(ISNUMBER(SEARCH("Party Name-",'R.M Billets Reports'!D2223)),TRIM(MID('R.M Billets Reports'!D2223,SEARCH("-",'R.M Billets Reports'!D2223)+1,200)),"")))="SHRI RADHE","SHREE RADHE",IF(IF(IF(ISNUMBER(SEARCH("Party Name:-",'R.M Billets Reports'!D2222)),TRIM('R.M Billets Reports'!F2222),IF(ISNUMBER(SEARCH("Party Name-",'R.M Billets Reports'!D2222)),TRIM(MID('R.M Billets Reports'!D2222,SEARCH("-",'R.M Billets Reports'!D2222)+1,200)),""))&lt;&gt;"",IF(ISNUMBER(SEARCH("Party Name:-",'R.M Billets Reports'!D2222)),TRIM('R.M Billets Reports'!F2222),IF(ISNUMBER(SEARCH("Party Name-",'R.M Billets Reports'!D2222)),TRIM(MID('R.M Billets Reports'!D2222,SEARCH("-",'R.M Billets Reports'!D2222)+1,200)),"")),IF(ISNUMBER(SEARCH("Party Name:-",'R.M Billets Reports'!D2223)),TRIM('R.M Billets Reports'!F2223),IF(ISNUMBER(SEARCH("Party Name-",'R.M Billets Reports'!D2223)),TRIM(MID('R.M Billets Reports'!D2223,SEARCH("-",'R.M Billets Reports'!D2223)+1,200)),"")))="SHREE RADHE SHAKTI SPONGE AND POWER PVT. LTD.","SHREE RADHE",IF(IF(ISNUMBER(SEARCH("Party Name:-",'R.M Billets Reports'!D2222)),TRIM('R.M Billets Reports'!F2222),IF(ISNUMBER(SEARCH("Party Name-",'R.M Billets Reports'!D2222)),TRIM(MID('R.M Billets Reports'!D2222,SEARCH("-",'R.M Billets Reports'!D2222)+1,200)),""))&lt;&gt;"",IF(ISNUMBER(SEARCH("Party Name:-",'R.M Billets Reports'!D2222)),TRIM('R.M Billets Reports'!F2222),IF(ISNUMBER(SEARCH("Party Name-",'R.M Billets Reports'!D2222)),TRIM(MID('R.M Billets Reports'!D2222,SEARCH("-",'R.M Billets Reports'!D2222)+1,200)),"")),IF(ISNUMBER(SEARCH("Party Name:-",'R.M Billets Reports'!D2223)),TRIM('R.M Billets Reports'!F2223),IF(ISNUMBER(SEARCH("Party Name-",'R.M Billets Reports'!D2223)),TRIM(MID('R.M Billets Reports'!D2223,SEARCH("-",'R.M Billets Reports'!D2223)+1,200)),"")))))),IF(ROW()=2,"",A2222))</f>
      </c>
      <c r="B2223">
        <f>IF(OR('R.M Billets Reports'!A2222="Date-",'R.M Billets Reports'!A2222="Date:-"),'R.M Billets Reports'!B2222,IF(ROW()=2,"",B2222))</f>
      </c>
      <c r="C2223">
        <f>IF('R.M Billets Reports'!A2222="V.No.",'R.M Billets Reports'!B2222,IF(ROW()=2,"",C2222))</f>
      </c>
      <c r="D2223">
        <f>IF('R.M Billets Reports'!A2222&lt;&gt;"",'R.M Billets Reports'!A2222,IF(ROW()=2,"",D2222))</f>
      </c>
      <c r="E2223">
        <f>IF('R.M Billets Reports'!B2222="","",TRIM('R.M Billets Reports'!B2222))</f>
      </c>
      <c r="F2223">
        <f>'R.M Billets Reports'!C2222</f>
      </c>
      <c r="G2223">
        <f>'R.M Billets Reports'!D2222</f>
      </c>
      <c r="H2223">
        <f>'R.M Billets Reports'!E2222</f>
      </c>
      <c r="I2223">
        <f>'R.M Billets Reports'!F2222</f>
      </c>
      <c r="J2223">
        <f>'R.M Billets Reports'!G2222</f>
      </c>
      <c r="K2223">
        <f>'R.M Billets Reports'!H2222</f>
      </c>
      <c r="L2223">
        <f>IF('R.M Billets Reports'!I2222="","",'R.M Billets Reports'!I2222)</f>
      </c>
      <c r="M2223">
        <f t="shared" si="68"/>
      </c>
      <c r="N2223">
        <f>IF('R.M Billets Reports'!J2222="","",'R.M Billets Reports'!J2222)</f>
      </c>
      <c r="O2223">
        <f t="shared" si="69"/>
      </c>
      <c r="P2223">
        <f>IF('R.M Billets Reports'!A2222="SIZE",'R.M Billets Reports'!B2222,P2222)</f>
      </c>
    </row>
    <row r="2224" spans="1:16" x14ac:dyDescent="0.25">
      <c r="A2224">
        <f>IF(OR('R.M Billets Reports'!A2223="Date-",'R.M Billets Reports'!A2223="Date:-"),IF(IF(IF(ISNUMBER(SEARCH("Party Name:-",'R.M Billets Reports'!D2223)),TRIM('R.M Billets Reports'!F2223),IF(ISNUMBER(SEARCH("Party Name-",'R.M Billets Reports'!D2223)),TRIM(MID('R.M Billets Reports'!D2223,SEARCH("-",'R.M Billets Reports'!D2223)+1,200)),""))&lt;&gt;"",IF(ISNUMBER(SEARCH("Party Name:-",'R.M Billets Reports'!D2223)),TRIM('R.M Billets Reports'!F2223),IF(ISNUMBER(SEARCH("Party Name-",'R.M Billets Reports'!D2223)),TRIM(MID('R.M Billets Reports'!D2223,SEARCH("-",'R.M Billets Reports'!D2223)+1,200)),"")),IF(ISNUMBER(SEARCH("Party Name:-",'R.M Billets Reports'!D2224)),TRIM('R.M Billets Reports'!F2224),IF(ISNUMBER(SEARCH("Party Name-",'R.M Billets Reports'!D2224)),TRIM(MID('R.M Billets Reports'!D2224,SEARCH("-",'R.M Billets Reports'!D2224)+1,200)),"")))="VRKP ISPAT PVT LTD","VRKP",IF(IF(IF(ISNUMBER(SEARCH("Party Name:-",'R.M Billets Reports'!D2223)),TRIM('R.M Billets Reports'!F2223),IF(ISNUMBER(SEARCH("Party Name-",'R.M Billets Reports'!D2223)),TRIM(MID('R.M Billets Reports'!D2223,SEARCH("-",'R.M Billets Reports'!D2223)+1,200)),""))&lt;&gt;"",IF(ISNUMBER(SEARCH("Party Name:-",'R.M Billets Reports'!D2223)),TRIM('R.M Billets Reports'!F2223),IF(ISNUMBER(SEARCH("Party Name-",'R.M Billets Reports'!D2223)),TRIM(MID('R.M Billets Reports'!D2223,SEARCH("-",'R.M Billets Reports'!D2223)+1,200)),"")),IF(ISNUMBER(SEARCH("Party Name:-",'R.M Billets Reports'!D2224)),TRIM('R.M Billets Reports'!F2224),IF(ISNUMBER(SEARCH("Party Name-",'R.M Billets Reports'!D2224)),TRIM(MID('R.M Billets Reports'!D2224,SEARCH("-",'R.M Billets Reports'!D2224)+1,200)),"")))="SHRI RADHE","SHREE RADHE",IF(IF(IF(ISNUMBER(SEARCH("Party Name:-",'R.M Billets Reports'!D2223)),TRIM('R.M Billets Reports'!F2223),IF(ISNUMBER(SEARCH("Party Name-",'R.M Billets Reports'!D2223)),TRIM(MID('R.M Billets Reports'!D2223,SEARCH("-",'R.M Billets Reports'!D2223)+1,200)),""))&lt;&gt;"",IF(ISNUMBER(SEARCH("Party Name:-",'R.M Billets Reports'!D2223)),TRIM('R.M Billets Reports'!F2223),IF(ISNUMBER(SEARCH("Party Name-",'R.M Billets Reports'!D2223)),TRIM(MID('R.M Billets Reports'!D2223,SEARCH("-",'R.M Billets Reports'!D2223)+1,200)),"")),IF(ISNUMBER(SEARCH("Party Name:-",'R.M Billets Reports'!D2224)),TRIM('R.M Billets Reports'!F2224),IF(ISNUMBER(SEARCH("Party Name-",'R.M Billets Reports'!D2224)),TRIM(MID('R.M Billets Reports'!D2224,SEARCH("-",'R.M Billets Reports'!D2224)+1,200)),"")))="SHREE RADHE SHAKTI SPONGE AND POWER PVT. LTD.","SHREE RADHE",IF(IF(ISNUMBER(SEARCH("Party Name:-",'R.M Billets Reports'!D2223)),TRIM('R.M Billets Reports'!F2223),IF(ISNUMBER(SEARCH("Party Name-",'R.M Billets Reports'!D2223)),TRIM(MID('R.M Billets Reports'!D2223,SEARCH("-",'R.M Billets Reports'!D2223)+1,200)),""))&lt;&gt;"",IF(ISNUMBER(SEARCH("Party Name:-",'R.M Billets Reports'!D2223)),TRIM('R.M Billets Reports'!F2223),IF(ISNUMBER(SEARCH("Party Name-",'R.M Billets Reports'!D2223)),TRIM(MID('R.M Billets Reports'!D2223,SEARCH("-",'R.M Billets Reports'!D2223)+1,200)),"")),IF(ISNUMBER(SEARCH("Party Name:-",'R.M Billets Reports'!D2224)),TRIM('R.M Billets Reports'!F2224),IF(ISNUMBER(SEARCH("Party Name-",'R.M Billets Reports'!D2224)),TRIM(MID('R.M Billets Reports'!D2224,SEARCH("-",'R.M Billets Reports'!D2224)+1,200)),"")))))),IF(ROW()=2,"",A2223))</f>
      </c>
      <c r="B2224">
        <f>IF(OR('R.M Billets Reports'!A2223="Date-",'R.M Billets Reports'!A2223="Date:-"),'R.M Billets Reports'!B2223,IF(ROW()=2,"",B2223))</f>
      </c>
      <c r="C2224">
        <f>IF('R.M Billets Reports'!A2223="V.No.",'R.M Billets Reports'!B2223,IF(ROW()=2,"",C2223))</f>
      </c>
      <c r="D2224">
        <f>IF('R.M Billets Reports'!A2223&lt;&gt;"",'R.M Billets Reports'!A2223,IF(ROW()=2,"",D2223))</f>
      </c>
      <c r="E2224">
        <f>IF('R.M Billets Reports'!B2223="","",TRIM('R.M Billets Reports'!B2223))</f>
      </c>
      <c r="F2224">
        <f>'R.M Billets Reports'!C2223</f>
      </c>
      <c r="G2224">
        <f>'R.M Billets Reports'!D2223</f>
      </c>
      <c r="H2224">
        <f>'R.M Billets Reports'!E2223</f>
      </c>
      <c r="I2224">
        <f>'R.M Billets Reports'!F2223</f>
      </c>
      <c r="J2224">
        <f>'R.M Billets Reports'!G2223</f>
      </c>
      <c r="K2224">
        <f>'R.M Billets Reports'!H2223</f>
      </c>
      <c r="L2224">
        <f>IF('R.M Billets Reports'!I2223="","",'R.M Billets Reports'!I2223)</f>
      </c>
      <c r="M2224">
        <f t="shared" si="68"/>
      </c>
      <c r="N2224">
        <f>IF('R.M Billets Reports'!J2223="","",'R.M Billets Reports'!J2223)</f>
      </c>
      <c r="O2224">
        <f t="shared" si="69"/>
      </c>
      <c r="P2224">
        <f>IF('R.M Billets Reports'!A2223="SIZE",'R.M Billets Reports'!B2223,P2223)</f>
      </c>
    </row>
    <row r="2225" spans="1:16" x14ac:dyDescent="0.25">
      <c r="A2225">
        <f>IF(OR('R.M Billets Reports'!A2224="Date-",'R.M Billets Reports'!A2224="Date:-"),IF(IF(IF(ISNUMBER(SEARCH("Party Name:-",'R.M Billets Reports'!D2224)),TRIM('R.M Billets Reports'!F2224),IF(ISNUMBER(SEARCH("Party Name-",'R.M Billets Reports'!D2224)),TRIM(MID('R.M Billets Reports'!D2224,SEARCH("-",'R.M Billets Reports'!D2224)+1,200)),""))&lt;&gt;"",IF(ISNUMBER(SEARCH("Party Name:-",'R.M Billets Reports'!D2224)),TRIM('R.M Billets Reports'!F2224),IF(ISNUMBER(SEARCH("Party Name-",'R.M Billets Reports'!D2224)),TRIM(MID('R.M Billets Reports'!D2224,SEARCH("-",'R.M Billets Reports'!D2224)+1,200)),"")),IF(ISNUMBER(SEARCH("Party Name:-",'R.M Billets Reports'!D2225)),TRIM('R.M Billets Reports'!F2225),IF(ISNUMBER(SEARCH("Party Name-",'R.M Billets Reports'!D2225)),TRIM(MID('R.M Billets Reports'!D2225,SEARCH("-",'R.M Billets Reports'!D2225)+1,200)),"")))="VRKP ISPAT PVT LTD","VRKP",IF(IF(IF(ISNUMBER(SEARCH("Party Name:-",'R.M Billets Reports'!D2224)),TRIM('R.M Billets Reports'!F2224),IF(ISNUMBER(SEARCH("Party Name-",'R.M Billets Reports'!D2224)),TRIM(MID('R.M Billets Reports'!D2224,SEARCH("-",'R.M Billets Reports'!D2224)+1,200)),""))&lt;&gt;"",IF(ISNUMBER(SEARCH("Party Name:-",'R.M Billets Reports'!D2224)),TRIM('R.M Billets Reports'!F2224),IF(ISNUMBER(SEARCH("Party Name-",'R.M Billets Reports'!D2224)),TRIM(MID('R.M Billets Reports'!D2224,SEARCH("-",'R.M Billets Reports'!D2224)+1,200)),"")),IF(ISNUMBER(SEARCH("Party Name:-",'R.M Billets Reports'!D2225)),TRIM('R.M Billets Reports'!F2225),IF(ISNUMBER(SEARCH("Party Name-",'R.M Billets Reports'!D2225)),TRIM(MID('R.M Billets Reports'!D2225,SEARCH("-",'R.M Billets Reports'!D2225)+1,200)),"")))="SHRI RADHE","SHREE RADHE",IF(IF(IF(ISNUMBER(SEARCH("Party Name:-",'R.M Billets Reports'!D2224)),TRIM('R.M Billets Reports'!F2224),IF(ISNUMBER(SEARCH("Party Name-",'R.M Billets Reports'!D2224)),TRIM(MID('R.M Billets Reports'!D2224,SEARCH("-",'R.M Billets Reports'!D2224)+1,200)),""))&lt;&gt;"",IF(ISNUMBER(SEARCH("Party Name:-",'R.M Billets Reports'!D2224)),TRIM('R.M Billets Reports'!F2224),IF(ISNUMBER(SEARCH("Party Name-",'R.M Billets Reports'!D2224)),TRIM(MID('R.M Billets Reports'!D2224,SEARCH("-",'R.M Billets Reports'!D2224)+1,200)),"")),IF(ISNUMBER(SEARCH("Party Name:-",'R.M Billets Reports'!D2225)),TRIM('R.M Billets Reports'!F2225),IF(ISNUMBER(SEARCH("Party Name-",'R.M Billets Reports'!D2225)),TRIM(MID('R.M Billets Reports'!D2225,SEARCH("-",'R.M Billets Reports'!D2225)+1,200)),"")))="SHREE RADHE SHAKTI SPONGE AND POWER PVT. LTD.","SHREE RADHE",IF(IF(ISNUMBER(SEARCH("Party Name:-",'R.M Billets Reports'!D2224)),TRIM('R.M Billets Reports'!F2224),IF(ISNUMBER(SEARCH("Party Name-",'R.M Billets Reports'!D2224)),TRIM(MID('R.M Billets Reports'!D2224,SEARCH("-",'R.M Billets Reports'!D2224)+1,200)),""))&lt;&gt;"",IF(ISNUMBER(SEARCH("Party Name:-",'R.M Billets Reports'!D2224)),TRIM('R.M Billets Reports'!F2224),IF(ISNUMBER(SEARCH("Party Name-",'R.M Billets Reports'!D2224)),TRIM(MID('R.M Billets Reports'!D2224,SEARCH("-",'R.M Billets Reports'!D2224)+1,200)),"")),IF(ISNUMBER(SEARCH("Party Name:-",'R.M Billets Reports'!D2225)),TRIM('R.M Billets Reports'!F2225),IF(ISNUMBER(SEARCH("Party Name-",'R.M Billets Reports'!D2225)),TRIM(MID('R.M Billets Reports'!D2225,SEARCH("-",'R.M Billets Reports'!D2225)+1,200)),"")))))),IF(ROW()=2,"",A2224))</f>
      </c>
      <c r="B2225">
        <f>IF(OR('R.M Billets Reports'!A2224="Date-",'R.M Billets Reports'!A2224="Date:-"),'R.M Billets Reports'!B2224,IF(ROW()=2,"",B2224))</f>
      </c>
      <c r="C2225">
        <f>IF('R.M Billets Reports'!A2224="V.No.",'R.M Billets Reports'!B2224,IF(ROW()=2,"",C2224))</f>
      </c>
      <c r="D2225">
        <f>IF('R.M Billets Reports'!A2224&lt;&gt;"",'R.M Billets Reports'!A2224,IF(ROW()=2,"",D2224))</f>
      </c>
      <c r="E2225">
        <f>IF('R.M Billets Reports'!B2224="","",TRIM('R.M Billets Reports'!B2224))</f>
      </c>
      <c r="F2225">
        <f>'R.M Billets Reports'!C2224</f>
      </c>
      <c r="G2225">
        <f>'R.M Billets Reports'!D2224</f>
      </c>
      <c r="H2225">
        <f>'R.M Billets Reports'!E2224</f>
      </c>
      <c r="I2225">
        <f>'R.M Billets Reports'!F2224</f>
      </c>
      <c r="J2225">
        <f>'R.M Billets Reports'!G2224</f>
      </c>
      <c r="K2225">
        <f>'R.M Billets Reports'!H2224</f>
      </c>
      <c r="L2225">
        <f>IF('R.M Billets Reports'!I2224="","",'R.M Billets Reports'!I2224)</f>
      </c>
      <c r="M2225">
        <f t="shared" si="68"/>
      </c>
      <c r="N2225">
        <f>IF('R.M Billets Reports'!J2224="","",'R.M Billets Reports'!J2224)</f>
      </c>
      <c r="O2225">
        <f t="shared" si="69"/>
      </c>
      <c r="P2225">
        <f>IF('R.M Billets Reports'!A2224="SIZE",'R.M Billets Reports'!B2224,P2224)</f>
      </c>
    </row>
    <row r="2226" spans="1:16" x14ac:dyDescent="0.25">
      <c r="A2226">
        <f>IF(OR('R.M Billets Reports'!A2225="Date-",'R.M Billets Reports'!A2225="Date:-"),IF(IF(IF(ISNUMBER(SEARCH("Party Name:-",'R.M Billets Reports'!D2225)),TRIM('R.M Billets Reports'!F2225),IF(ISNUMBER(SEARCH("Party Name-",'R.M Billets Reports'!D2225)),TRIM(MID('R.M Billets Reports'!D2225,SEARCH("-",'R.M Billets Reports'!D2225)+1,200)),""))&lt;&gt;"",IF(ISNUMBER(SEARCH("Party Name:-",'R.M Billets Reports'!D2225)),TRIM('R.M Billets Reports'!F2225),IF(ISNUMBER(SEARCH("Party Name-",'R.M Billets Reports'!D2225)),TRIM(MID('R.M Billets Reports'!D2225,SEARCH("-",'R.M Billets Reports'!D2225)+1,200)),"")),IF(ISNUMBER(SEARCH("Party Name:-",'R.M Billets Reports'!D2226)),TRIM('R.M Billets Reports'!F2226),IF(ISNUMBER(SEARCH("Party Name-",'R.M Billets Reports'!D2226)),TRIM(MID('R.M Billets Reports'!D2226,SEARCH("-",'R.M Billets Reports'!D2226)+1,200)),"")))="VRKP ISPAT PVT LTD","VRKP",IF(IF(IF(ISNUMBER(SEARCH("Party Name:-",'R.M Billets Reports'!D2225)),TRIM('R.M Billets Reports'!F2225),IF(ISNUMBER(SEARCH("Party Name-",'R.M Billets Reports'!D2225)),TRIM(MID('R.M Billets Reports'!D2225,SEARCH("-",'R.M Billets Reports'!D2225)+1,200)),""))&lt;&gt;"",IF(ISNUMBER(SEARCH("Party Name:-",'R.M Billets Reports'!D2225)),TRIM('R.M Billets Reports'!F2225),IF(ISNUMBER(SEARCH("Party Name-",'R.M Billets Reports'!D2225)),TRIM(MID('R.M Billets Reports'!D2225,SEARCH("-",'R.M Billets Reports'!D2225)+1,200)),"")),IF(ISNUMBER(SEARCH("Party Name:-",'R.M Billets Reports'!D2226)),TRIM('R.M Billets Reports'!F2226),IF(ISNUMBER(SEARCH("Party Name-",'R.M Billets Reports'!D2226)),TRIM(MID('R.M Billets Reports'!D2226,SEARCH("-",'R.M Billets Reports'!D2226)+1,200)),"")))="SHRI RADHE","SHREE RADHE",IF(IF(IF(ISNUMBER(SEARCH("Party Name:-",'R.M Billets Reports'!D2225)),TRIM('R.M Billets Reports'!F2225),IF(ISNUMBER(SEARCH("Party Name-",'R.M Billets Reports'!D2225)),TRIM(MID('R.M Billets Reports'!D2225,SEARCH("-",'R.M Billets Reports'!D2225)+1,200)),""))&lt;&gt;"",IF(ISNUMBER(SEARCH("Party Name:-",'R.M Billets Reports'!D2225)),TRIM('R.M Billets Reports'!F2225),IF(ISNUMBER(SEARCH("Party Name-",'R.M Billets Reports'!D2225)),TRIM(MID('R.M Billets Reports'!D2225,SEARCH("-",'R.M Billets Reports'!D2225)+1,200)),"")),IF(ISNUMBER(SEARCH("Party Name:-",'R.M Billets Reports'!D2226)),TRIM('R.M Billets Reports'!F2226),IF(ISNUMBER(SEARCH("Party Name-",'R.M Billets Reports'!D2226)),TRIM(MID('R.M Billets Reports'!D2226,SEARCH("-",'R.M Billets Reports'!D2226)+1,200)),"")))="SHREE RADHE SHAKTI SPONGE AND POWER PVT. LTD.","SHREE RADHE",IF(IF(ISNUMBER(SEARCH("Party Name:-",'R.M Billets Reports'!D2225)),TRIM('R.M Billets Reports'!F2225),IF(ISNUMBER(SEARCH("Party Name-",'R.M Billets Reports'!D2225)),TRIM(MID('R.M Billets Reports'!D2225,SEARCH("-",'R.M Billets Reports'!D2225)+1,200)),""))&lt;&gt;"",IF(ISNUMBER(SEARCH("Party Name:-",'R.M Billets Reports'!D2225)),TRIM('R.M Billets Reports'!F2225),IF(ISNUMBER(SEARCH("Party Name-",'R.M Billets Reports'!D2225)),TRIM(MID('R.M Billets Reports'!D2225,SEARCH("-",'R.M Billets Reports'!D2225)+1,200)),"")),IF(ISNUMBER(SEARCH("Party Name:-",'R.M Billets Reports'!D2226)),TRIM('R.M Billets Reports'!F2226),IF(ISNUMBER(SEARCH("Party Name-",'R.M Billets Reports'!D2226)),TRIM(MID('R.M Billets Reports'!D2226,SEARCH("-",'R.M Billets Reports'!D2226)+1,200)),"")))))),IF(ROW()=2,"",A2225))</f>
      </c>
      <c r="B2226">
        <f>IF(OR('R.M Billets Reports'!A2225="Date-",'R.M Billets Reports'!A2225="Date:-"),'R.M Billets Reports'!B2225,IF(ROW()=2,"",B2225))</f>
      </c>
      <c r="C2226">
        <f>IF('R.M Billets Reports'!A2225="V.No.",'R.M Billets Reports'!B2225,IF(ROW()=2,"",C2225))</f>
      </c>
      <c r="D2226">
        <f>IF('R.M Billets Reports'!A2225&lt;&gt;"",'R.M Billets Reports'!A2225,IF(ROW()=2,"",D2225))</f>
      </c>
      <c r="E2226">
        <f>IF('R.M Billets Reports'!B2225="","",TRIM('R.M Billets Reports'!B2225))</f>
      </c>
      <c r="F2226">
        <f>'R.M Billets Reports'!C2225</f>
      </c>
      <c r="G2226">
        <f>'R.M Billets Reports'!D2225</f>
      </c>
      <c r="H2226">
        <f>'R.M Billets Reports'!E2225</f>
      </c>
      <c r="I2226">
        <f>'R.M Billets Reports'!F2225</f>
      </c>
      <c r="J2226">
        <f>'R.M Billets Reports'!G2225</f>
      </c>
      <c r="K2226">
        <f>'R.M Billets Reports'!H2225</f>
      </c>
      <c r="L2226">
        <f>IF('R.M Billets Reports'!I2225="","",'R.M Billets Reports'!I2225)</f>
      </c>
      <c r="M2226">
        <f t="shared" si="68"/>
      </c>
      <c r="N2226">
        <f>IF('R.M Billets Reports'!J2225="","",'R.M Billets Reports'!J2225)</f>
      </c>
      <c r="O2226">
        <f t="shared" si="69"/>
      </c>
      <c r="P2226">
        <f>IF('R.M Billets Reports'!A2225="SIZE",'R.M Billets Reports'!B2225,P2225)</f>
      </c>
    </row>
    <row r="2227" spans="1:16" x14ac:dyDescent="0.25">
      <c r="A2227">
        <f>IF(OR('R.M Billets Reports'!A2226="Date-",'R.M Billets Reports'!A2226="Date:-"),IF(IF(IF(ISNUMBER(SEARCH("Party Name:-",'R.M Billets Reports'!D2226)),TRIM('R.M Billets Reports'!F2226),IF(ISNUMBER(SEARCH("Party Name-",'R.M Billets Reports'!D2226)),TRIM(MID('R.M Billets Reports'!D2226,SEARCH("-",'R.M Billets Reports'!D2226)+1,200)),""))&lt;&gt;"",IF(ISNUMBER(SEARCH("Party Name:-",'R.M Billets Reports'!D2226)),TRIM('R.M Billets Reports'!F2226),IF(ISNUMBER(SEARCH("Party Name-",'R.M Billets Reports'!D2226)),TRIM(MID('R.M Billets Reports'!D2226,SEARCH("-",'R.M Billets Reports'!D2226)+1,200)),"")),IF(ISNUMBER(SEARCH("Party Name:-",'R.M Billets Reports'!D2227)),TRIM('R.M Billets Reports'!F2227),IF(ISNUMBER(SEARCH("Party Name-",'R.M Billets Reports'!D2227)),TRIM(MID('R.M Billets Reports'!D2227,SEARCH("-",'R.M Billets Reports'!D2227)+1,200)),"")))="VRKP ISPAT PVT LTD","VRKP",IF(IF(IF(ISNUMBER(SEARCH("Party Name:-",'R.M Billets Reports'!D2226)),TRIM('R.M Billets Reports'!F2226),IF(ISNUMBER(SEARCH("Party Name-",'R.M Billets Reports'!D2226)),TRIM(MID('R.M Billets Reports'!D2226,SEARCH("-",'R.M Billets Reports'!D2226)+1,200)),""))&lt;&gt;"",IF(ISNUMBER(SEARCH("Party Name:-",'R.M Billets Reports'!D2226)),TRIM('R.M Billets Reports'!F2226),IF(ISNUMBER(SEARCH("Party Name-",'R.M Billets Reports'!D2226)),TRIM(MID('R.M Billets Reports'!D2226,SEARCH("-",'R.M Billets Reports'!D2226)+1,200)),"")),IF(ISNUMBER(SEARCH("Party Name:-",'R.M Billets Reports'!D2227)),TRIM('R.M Billets Reports'!F2227),IF(ISNUMBER(SEARCH("Party Name-",'R.M Billets Reports'!D2227)),TRIM(MID('R.M Billets Reports'!D2227,SEARCH("-",'R.M Billets Reports'!D2227)+1,200)),"")))="SHRI RADHE","SHREE RADHE",IF(IF(IF(ISNUMBER(SEARCH("Party Name:-",'R.M Billets Reports'!D2226)),TRIM('R.M Billets Reports'!F2226),IF(ISNUMBER(SEARCH("Party Name-",'R.M Billets Reports'!D2226)),TRIM(MID('R.M Billets Reports'!D2226,SEARCH("-",'R.M Billets Reports'!D2226)+1,200)),""))&lt;&gt;"",IF(ISNUMBER(SEARCH("Party Name:-",'R.M Billets Reports'!D2226)),TRIM('R.M Billets Reports'!F2226),IF(ISNUMBER(SEARCH("Party Name-",'R.M Billets Reports'!D2226)),TRIM(MID('R.M Billets Reports'!D2226,SEARCH("-",'R.M Billets Reports'!D2226)+1,200)),"")),IF(ISNUMBER(SEARCH("Party Name:-",'R.M Billets Reports'!D2227)),TRIM('R.M Billets Reports'!F2227),IF(ISNUMBER(SEARCH("Party Name-",'R.M Billets Reports'!D2227)),TRIM(MID('R.M Billets Reports'!D2227,SEARCH("-",'R.M Billets Reports'!D2227)+1,200)),"")))="SHREE RADHE SHAKTI SPONGE AND POWER PVT. LTD.","SHREE RADHE",IF(IF(ISNUMBER(SEARCH("Party Name:-",'R.M Billets Reports'!D2226)),TRIM('R.M Billets Reports'!F2226),IF(ISNUMBER(SEARCH("Party Name-",'R.M Billets Reports'!D2226)),TRIM(MID('R.M Billets Reports'!D2226,SEARCH("-",'R.M Billets Reports'!D2226)+1,200)),""))&lt;&gt;"",IF(ISNUMBER(SEARCH("Party Name:-",'R.M Billets Reports'!D2226)),TRIM('R.M Billets Reports'!F2226),IF(ISNUMBER(SEARCH("Party Name-",'R.M Billets Reports'!D2226)),TRIM(MID('R.M Billets Reports'!D2226,SEARCH("-",'R.M Billets Reports'!D2226)+1,200)),"")),IF(ISNUMBER(SEARCH("Party Name:-",'R.M Billets Reports'!D2227)),TRIM('R.M Billets Reports'!F2227),IF(ISNUMBER(SEARCH("Party Name-",'R.M Billets Reports'!D2227)),TRIM(MID('R.M Billets Reports'!D2227,SEARCH("-",'R.M Billets Reports'!D2227)+1,200)),"")))))),IF(ROW()=2,"",A2226))</f>
      </c>
      <c r="B2227">
        <f>IF(OR('R.M Billets Reports'!A2226="Date-",'R.M Billets Reports'!A2226="Date:-"),'R.M Billets Reports'!B2226,IF(ROW()=2,"",B2226))</f>
      </c>
      <c r="C2227">
        <f>IF('R.M Billets Reports'!A2226="V.No.",'R.M Billets Reports'!B2226,IF(ROW()=2,"",C2226))</f>
      </c>
      <c r="D2227">
        <f>IF('R.M Billets Reports'!A2226&lt;&gt;"",'R.M Billets Reports'!A2226,IF(ROW()=2,"",D2226))</f>
      </c>
      <c r="E2227">
        <f>IF('R.M Billets Reports'!B2226="","",TRIM('R.M Billets Reports'!B2226))</f>
      </c>
      <c r="F2227">
        <f>'R.M Billets Reports'!C2226</f>
      </c>
      <c r="G2227">
        <f>'R.M Billets Reports'!D2226</f>
      </c>
      <c r="H2227">
        <f>'R.M Billets Reports'!E2226</f>
      </c>
      <c r="I2227">
        <f>'R.M Billets Reports'!F2226</f>
      </c>
      <c r="J2227">
        <f>'R.M Billets Reports'!G2226</f>
      </c>
      <c r="K2227">
        <f>'R.M Billets Reports'!H2226</f>
      </c>
      <c r="L2227">
        <f>IF('R.M Billets Reports'!I2226="","",'R.M Billets Reports'!I2226)</f>
      </c>
      <c r="M2227">
        <f t="shared" si="68"/>
      </c>
      <c r="N2227">
        <f>IF('R.M Billets Reports'!J2226="","",'R.M Billets Reports'!J2226)</f>
      </c>
      <c r="O2227">
        <f t="shared" si="69"/>
      </c>
      <c r="P2227">
        <f>IF('R.M Billets Reports'!A2226="SIZE",'R.M Billets Reports'!B2226,P2226)</f>
      </c>
    </row>
    <row r="2228" spans="1:16" x14ac:dyDescent="0.25">
      <c r="A2228">
        <f>IF(OR('R.M Billets Reports'!A2227="Date-",'R.M Billets Reports'!A2227="Date:-"),IF(IF(IF(ISNUMBER(SEARCH("Party Name:-",'R.M Billets Reports'!D2227)),TRIM('R.M Billets Reports'!F2227),IF(ISNUMBER(SEARCH("Party Name-",'R.M Billets Reports'!D2227)),TRIM(MID('R.M Billets Reports'!D2227,SEARCH("-",'R.M Billets Reports'!D2227)+1,200)),""))&lt;&gt;"",IF(ISNUMBER(SEARCH("Party Name:-",'R.M Billets Reports'!D2227)),TRIM('R.M Billets Reports'!F2227),IF(ISNUMBER(SEARCH("Party Name-",'R.M Billets Reports'!D2227)),TRIM(MID('R.M Billets Reports'!D2227,SEARCH("-",'R.M Billets Reports'!D2227)+1,200)),"")),IF(ISNUMBER(SEARCH("Party Name:-",'R.M Billets Reports'!D2228)),TRIM('R.M Billets Reports'!F2228),IF(ISNUMBER(SEARCH("Party Name-",'R.M Billets Reports'!D2228)),TRIM(MID('R.M Billets Reports'!D2228,SEARCH("-",'R.M Billets Reports'!D2228)+1,200)),"")))="VRKP ISPAT PVT LTD","VRKP",IF(IF(IF(ISNUMBER(SEARCH("Party Name:-",'R.M Billets Reports'!D2227)),TRIM('R.M Billets Reports'!F2227),IF(ISNUMBER(SEARCH("Party Name-",'R.M Billets Reports'!D2227)),TRIM(MID('R.M Billets Reports'!D2227,SEARCH("-",'R.M Billets Reports'!D2227)+1,200)),""))&lt;&gt;"",IF(ISNUMBER(SEARCH("Party Name:-",'R.M Billets Reports'!D2227)),TRIM('R.M Billets Reports'!F2227),IF(ISNUMBER(SEARCH("Party Name-",'R.M Billets Reports'!D2227)),TRIM(MID('R.M Billets Reports'!D2227,SEARCH("-",'R.M Billets Reports'!D2227)+1,200)),"")),IF(ISNUMBER(SEARCH("Party Name:-",'R.M Billets Reports'!D2228)),TRIM('R.M Billets Reports'!F2228),IF(ISNUMBER(SEARCH("Party Name-",'R.M Billets Reports'!D2228)),TRIM(MID('R.M Billets Reports'!D2228,SEARCH("-",'R.M Billets Reports'!D2228)+1,200)),"")))="SHRI RADHE","SHREE RADHE",IF(IF(IF(ISNUMBER(SEARCH("Party Name:-",'R.M Billets Reports'!D2227)),TRIM('R.M Billets Reports'!F2227),IF(ISNUMBER(SEARCH("Party Name-",'R.M Billets Reports'!D2227)),TRIM(MID('R.M Billets Reports'!D2227,SEARCH("-",'R.M Billets Reports'!D2227)+1,200)),""))&lt;&gt;"",IF(ISNUMBER(SEARCH("Party Name:-",'R.M Billets Reports'!D2227)),TRIM('R.M Billets Reports'!F2227),IF(ISNUMBER(SEARCH("Party Name-",'R.M Billets Reports'!D2227)),TRIM(MID('R.M Billets Reports'!D2227,SEARCH("-",'R.M Billets Reports'!D2227)+1,200)),"")),IF(ISNUMBER(SEARCH("Party Name:-",'R.M Billets Reports'!D2228)),TRIM('R.M Billets Reports'!F2228),IF(ISNUMBER(SEARCH("Party Name-",'R.M Billets Reports'!D2228)),TRIM(MID('R.M Billets Reports'!D2228,SEARCH("-",'R.M Billets Reports'!D2228)+1,200)),"")))="SHREE RADHE SHAKTI SPONGE AND POWER PVT. LTD.","SHREE RADHE",IF(IF(ISNUMBER(SEARCH("Party Name:-",'R.M Billets Reports'!D2227)),TRIM('R.M Billets Reports'!F2227),IF(ISNUMBER(SEARCH("Party Name-",'R.M Billets Reports'!D2227)),TRIM(MID('R.M Billets Reports'!D2227,SEARCH("-",'R.M Billets Reports'!D2227)+1,200)),""))&lt;&gt;"",IF(ISNUMBER(SEARCH("Party Name:-",'R.M Billets Reports'!D2227)),TRIM('R.M Billets Reports'!F2227),IF(ISNUMBER(SEARCH("Party Name-",'R.M Billets Reports'!D2227)),TRIM(MID('R.M Billets Reports'!D2227,SEARCH("-",'R.M Billets Reports'!D2227)+1,200)),"")),IF(ISNUMBER(SEARCH("Party Name:-",'R.M Billets Reports'!D2228)),TRIM('R.M Billets Reports'!F2228),IF(ISNUMBER(SEARCH("Party Name-",'R.M Billets Reports'!D2228)),TRIM(MID('R.M Billets Reports'!D2228,SEARCH("-",'R.M Billets Reports'!D2228)+1,200)),"")))))),IF(ROW()=2,"",A2227))</f>
      </c>
      <c r="B2228">
        <f>IF(OR('R.M Billets Reports'!A2227="Date-",'R.M Billets Reports'!A2227="Date:-"),'R.M Billets Reports'!B2227,IF(ROW()=2,"",B2227))</f>
      </c>
      <c r="C2228">
        <f>IF('R.M Billets Reports'!A2227="V.No.",'R.M Billets Reports'!B2227,IF(ROW()=2,"",C2227))</f>
      </c>
      <c r="D2228">
        <f>IF('R.M Billets Reports'!A2227&lt;&gt;"",'R.M Billets Reports'!A2227,IF(ROW()=2,"",D2227))</f>
      </c>
      <c r="E2228">
        <f>IF('R.M Billets Reports'!B2227="","",TRIM('R.M Billets Reports'!B2227))</f>
      </c>
      <c r="F2228">
        <f>'R.M Billets Reports'!C2227</f>
      </c>
      <c r="G2228">
        <f>'R.M Billets Reports'!D2227</f>
      </c>
      <c r="H2228">
        <f>'R.M Billets Reports'!E2227</f>
      </c>
      <c r="I2228">
        <f>'R.M Billets Reports'!F2227</f>
      </c>
      <c r="J2228">
        <f>'R.M Billets Reports'!G2227</f>
      </c>
      <c r="K2228">
        <f>'R.M Billets Reports'!H2227</f>
      </c>
      <c r="L2228">
        <f>IF('R.M Billets Reports'!I2227="","",'R.M Billets Reports'!I2227)</f>
      </c>
      <c r="M2228">
        <f t="shared" si="68"/>
      </c>
      <c r="N2228">
        <f>IF('R.M Billets Reports'!J2227="","",'R.M Billets Reports'!J2227)</f>
      </c>
      <c r="O2228">
        <f t="shared" si="69"/>
      </c>
      <c r="P2228">
        <f>IF('R.M Billets Reports'!A2227="SIZE",'R.M Billets Reports'!B2227,P2227)</f>
      </c>
    </row>
    <row r="2229" spans="1:16" x14ac:dyDescent="0.25">
      <c r="A2229">
        <f>IF(OR('R.M Billets Reports'!A2228="Date-",'R.M Billets Reports'!A2228="Date:-"),IF(IF(IF(ISNUMBER(SEARCH("Party Name:-",'R.M Billets Reports'!D2228)),TRIM('R.M Billets Reports'!F2228),IF(ISNUMBER(SEARCH("Party Name-",'R.M Billets Reports'!D2228)),TRIM(MID('R.M Billets Reports'!D2228,SEARCH("-",'R.M Billets Reports'!D2228)+1,200)),""))&lt;&gt;"",IF(ISNUMBER(SEARCH("Party Name:-",'R.M Billets Reports'!D2228)),TRIM('R.M Billets Reports'!F2228),IF(ISNUMBER(SEARCH("Party Name-",'R.M Billets Reports'!D2228)),TRIM(MID('R.M Billets Reports'!D2228,SEARCH("-",'R.M Billets Reports'!D2228)+1,200)),"")),IF(ISNUMBER(SEARCH("Party Name:-",'R.M Billets Reports'!D2229)),TRIM('R.M Billets Reports'!F2229),IF(ISNUMBER(SEARCH("Party Name-",'R.M Billets Reports'!D2229)),TRIM(MID('R.M Billets Reports'!D2229,SEARCH("-",'R.M Billets Reports'!D2229)+1,200)),"")))="VRKP ISPAT PVT LTD","VRKP",IF(IF(IF(ISNUMBER(SEARCH("Party Name:-",'R.M Billets Reports'!D2228)),TRIM('R.M Billets Reports'!F2228),IF(ISNUMBER(SEARCH("Party Name-",'R.M Billets Reports'!D2228)),TRIM(MID('R.M Billets Reports'!D2228,SEARCH("-",'R.M Billets Reports'!D2228)+1,200)),""))&lt;&gt;"",IF(ISNUMBER(SEARCH("Party Name:-",'R.M Billets Reports'!D2228)),TRIM('R.M Billets Reports'!F2228),IF(ISNUMBER(SEARCH("Party Name-",'R.M Billets Reports'!D2228)),TRIM(MID('R.M Billets Reports'!D2228,SEARCH("-",'R.M Billets Reports'!D2228)+1,200)),"")),IF(ISNUMBER(SEARCH("Party Name:-",'R.M Billets Reports'!D2229)),TRIM('R.M Billets Reports'!F2229),IF(ISNUMBER(SEARCH("Party Name-",'R.M Billets Reports'!D2229)),TRIM(MID('R.M Billets Reports'!D2229,SEARCH("-",'R.M Billets Reports'!D2229)+1,200)),"")))="SHRI RADHE","SHREE RADHE",IF(IF(IF(ISNUMBER(SEARCH("Party Name:-",'R.M Billets Reports'!D2228)),TRIM('R.M Billets Reports'!F2228),IF(ISNUMBER(SEARCH("Party Name-",'R.M Billets Reports'!D2228)),TRIM(MID('R.M Billets Reports'!D2228,SEARCH("-",'R.M Billets Reports'!D2228)+1,200)),""))&lt;&gt;"",IF(ISNUMBER(SEARCH("Party Name:-",'R.M Billets Reports'!D2228)),TRIM('R.M Billets Reports'!F2228),IF(ISNUMBER(SEARCH("Party Name-",'R.M Billets Reports'!D2228)),TRIM(MID('R.M Billets Reports'!D2228,SEARCH("-",'R.M Billets Reports'!D2228)+1,200)),"")),IF(ISNUMBER(SEARCH("Party Name:-",'R.M Billets Reports'!D2229)),TRIM('R.M Billets Reports'!F2229),IF(ISNUMBER(SEARCH("Party Name-",'R.M Billets Reports'!D2229)),TRIM(MID('R.M Billets Reports'!D2229,SEARCH("-",'R.M Billets Reports'!D2229)+1,200)),"")))="SHREE RADHE SHAKTI SPONGE AND POWER PVT. LTD.","SHREE RADHE",IF(IF(ISNUMBER(SEARCH("Party Name:-",'R.M Billets Reports'!D2228)),TRIM('R.M Billets Reports'!F2228),IF(ISNUMBER(SEARCH("Party Name-",'R.M Billets Reports'!D2228)),TRIM(MID('R.M Billets Reports'!D2228,SEARCH("-",'R.M Billets Reports'!D2228)+1,200)),""))&lt;&gt;"",IF(ISNUMBER(SEARCH("Party Name:-",'R.M Billets Reports'!D2228)),TRIM('R.M Billets Reports'!F2228),IF(ISNUMBER(SEARCH("Party Name-",'R.M Billets Reports'!D2228)),TRIM(MID('R.M Billets Reports'!D2228,SEARCH("-",'R.M Billets Reports'!D2228)+1,200)),"")),IF(ISNUMBER(SEARCH("Party Name:-",'R.M Billets Reports'!D2229)),TRIM('R.M Billets Reports'!F2229),IF(ISNUMBER(SEARCH("Party Name-",'R.M Billets Reports'!D2229)),TRIM(MID('R.M Billets Reports'!D2229,SEARCH("-",'R.M Billets Reports'!D2229)+1,200)),"")))))),IF(ROW()=2,"",A2228))</f>
      </c>
      <c r="B2229">
        <f>IF(OR('R.M Billets Reports'!A2228="Date-",'R.M Billets Reports'!A2228="Date:-"),'R.M Billets Reports'!B2228,IF(ROW()=2,"",B2228))</f>
      </c>
      <c r="C2229">
        <f>IF('R.M Billets Reports'!A2228="V.No.",'R.M Billets Reports'!B2228,IF(ROW()=2,"",C2228))</f>
      </c>
      <c r="D2229">
        <f>IF('R.M Billets Reports'!A2228&lt;&gt;"",'R.M Billets Reports'!A2228,IF(ROW()=2,"",D2228))</f>
      </c>
      <c r="E2229">
        <f>IF('R.M Billets Reports'!B2228="","",TRIM('R.M Billets Reports'!B2228))</f>
      </c>
      <c r="F2229">
        <f>'R.M Billets Reports'!C2228</f>
      </c>
      <c r="G2229">
        <f>'R.M Billets Reports'!D2228</f>
      </c>
      <c r="H2229">
        <f>'R.M Billets Reports'!E2228</f>
      </c>
      <c r="I2229">
        <f>'R.M Billets Reports'!F2228</f>
      </c>
      <c r="J2229">
        <f>'R.M Billets Reports'!G2228</f>
      </c>
      <c r="K2229">
        <f>'R.M Billets Reports'!H2228</f>
      </c>
      <c r="L2229">
        <f>IF('R.M Billets Reports'!I2228="","",'R.M Billets Reports'!I2228)</f>
      </c>
      <c r="M2229">
        <f t="shared" si="68"/>
      </c>
      <c r="N2229">
        <f>IF('R.M Billets Reports'!J2228="","",'R.M Billets Reports'!J2228)</f>
      </c>
      <c r="O2229">
        <f t="shared" si="69"/>
      </c>
      <c r="P2229">
        <f>IF('R.M Billets Reports'!A2228="SIZE",'R.M Billets Reports'!B2228,P2228)</f>
      </c>
    </row>
    <row r="2230" spans="1:16" x14ac:dyDescent="0.25">
      <c r="A2230">
        <f>IF(OR('R.M Billets Reports'!A2229="Date-",'R.M Billets Reports'!A2229="Date:-"),IF(IF(IF(ISNUMBER(SEARCH("Party Name:-",'R.M Billets Reports'!D2229)),TRIM('R.M Billets Reports'!F2229),IF(ISNUMBER(SEARCH("Party Name-",'R.M Billets Reports'!D2229)),TRIM(MID('R.M Billets Reports'!D2229,SEARCH("-",'R.M Billets Reports'!D2229)+1,200)),""))&lt;&gt;"",IF(ISNUMBER(SEARCH("Party Name:-",'R.M Billets Reports'!D2229)),TRIM('R.M Billets Reports'!F2229),IF(ISNUMBER(SEARCH("Party Name-",'R.M Billets Reports'!D2229)),TRIM(MID('R.M Billets Reports'!D2229,SEARCH("-",'R.M Billets Reports'!D2229)+1,200)),"")),IF(ISNUMBER(SEARCH("Party Name:-",'R.M Billets Reports'!D2230)),TRIM('R.M Billets Reports'!F2230),IF(ISNUMBER(SEARCH("Party Name-",'R.M Billets Reports'!D2230)),TRIM(MID('R.M Billets Reports'!D2230,SEARCH("-",'R.M Billets Reports'!D2230)+1,200)),"")))="VRKP ISPAT PVT LTD","VRKP",IF(IF(IF(ISNUMBER(SEARCH("Party Name:-",'R.M Billets Reports'!D2229)),TRIM('R.M Billets Reports'!F2229),IF(ISNUMBER(SEARCH("Party Name-",'R.M Billets Reports'!D2229)),TRIM(MID('R.M Billets Reports'!D2229,SEARCH("-",'R.M Billets Reports'!D2229)+1,200)),""))&lt;&gt;"",IF(ISNUMBER(SEARCH("Party Name:-",'R.M Billets Reports'!D2229)),TRIM('R.M Billets Reports'!F2229),IF(ISNUMBER(SEARCH("Party Name-",'R.M Billets Reports'!D2229)),TRIM(MID('R.M Billets Reports'!D2229,SEARCH("-",'R.M Billets Reports'!D2229)+1,200)),"")),IF(ISNUMBER(SEARCH("Party Name:-",'R.M Billets Reports'!D2230)),TRIM('R.M Billets Reports'!F2230),IF(ISNUMBER(SEARCH("Party Name-",'R.M Billets Reports'!D2230)),TRIM(MID('R.M Billets Reports'!D2230,SEARCH("-",'R.M Billets Reports'!D2230)+1,200)),"")))="SHRI RADHE","SHREE RADHE",IF(IF(IF(ISNUMBER(SEARCH("Party Name:-",'R.M Billets Reports'!D2229)),TRIM('R.M Billets Reports'!F2229),IF(ISNUMBER(SEARCH("Party Name-",'R.M Billets Reports'!D2229)),TRIM(MID('R.M Billets Reports'!D2229,SEARCH("-",'R.M Billets Reports'!D2229)+1,200)),""))&lt;&gt;"",IF(ISNUMBER(SEARCH("Party Name:-",'R.M Billets Reports'!D2229)),TRIM('R.M Billets Reports'!F2229),IF(ISNUMBER(SEARCH("Party Name-",'R.M Billets Reports'!D2229)),TRIM(MID('R.M Billets Reports'!D2229,SEARCH("-",'R.M Billets Reports'!D2229)+1,200)),"")),IF(ISNUMBER(SEARCH("Party Name:-",'R.M Billets Reports'!D2230)),TRIM('R.M Billets Reports'!F2230),IF(ISNUMBER(SEARCH("Party Name-",'R.M Billets Reports'!D2230)),TRIM(MID('R.M Billets Reports'!D2230,SEARCH("-",'R.M Billets Reports'!D2230)+1,200)),"")))="SHREE RADHE SHAKTI SPONGE AND POWER PVT. LTD.","SHREE RADHE",IF(IF(ISNUMBER(SEARCH("Party Name:-",'R.M Billets Reports'!D2229)),TRIM('R.M Billets Reports'!F2229),IF(ISNUMBER(SEARCH("Party Name-",'R.M Billets Reports'!D2229)),TRIM(MID('R.M Billets Reports'!D2229,SEARCH("-",'R.M Billets Reports'!D2229)+1,200)),""))&lt;&gt;"",IF(ISNUMBER(SEARCH("Party Name:-",'R.M Billets Reports'!D2229)),TRIM('R.M Billets Reports'!F2229),IF(ISNUMBER(SEARCH("Party Name-",'R.M Billets Reports'!D2229)),TRIM(MID('R.M Billets Reports'!D2229,SEARCH("-",'R.M Billets Reports'!D2229)+1,200)),"")),IF(ISNUMBER(SEARCH("Party Name:-",'R.M Billets Reports'!D2230)),TRIM('R.M Billets Reports'!F2230),IF(ISNUMBER(SEARCH("Party Name-",'R.M Billets Reports'!D2230)),TRIM(MID('R.M Billets Reports'!D2230,SEARCH("-",'R.M Billets Reports'!D2230)+1,200)),"")))))),IF(ROW()=2,"",A2229))</f>
      </c>
      <c r="B2230">
        <f>IF(OR('R.M Billets Reports'!A2229="Date-",'R.M Billets Reports'!A2229="Date:-"),'R.M Billets Reports'!B2229,IF(ROW()=2,"",B2229))</f>
      </c>
      <c r="C2230">
        <f>IF('R.M Billets Reports'!A2229="V.No.",'R.M Billets Reports'!B2229,IF(ROW()=2,"",C2229))</f>
      </c>
      <c r="D2230">
        <f>IF('R.M Billets Reports'!A2229&lt;&gt;"",'R.M Billets Reports'!A2229,IF(ROW()=2,"",D2229))</f>
      </c>
      <c r="E2230">
        <f>IF('R.M Billets Reports'!B2229="","",TRIM('R.M Billets Reports'!B2229))</f>
      </c>
      <c r="F2230">
        <f>'R.M Billets Reports'!C2229</f>
      </c>
      <c r="G2230">
        <f>'R.M Billets Reports'!D2229</f>
      </c>
      <c r="H2230">
        <f>'R.M Billets Reports'!E2229</f>
      </c>
      <c r="I2230">
        <f>'R.M Billets Reports'!F2229</f>
      </c>
      <c r="J2230">
        <f>'R.M Billets Reports'!G2229</f>
      </c>
      <c r="K2230">
        <f>'R.M Billets Reports'!H2229</f>
      </c>
      <c r="L2230">
        <f>IF('R.M Billets Reports'!I2229="","",'R.M Billets Reports'!I2229)</f>
      </c>
      <c r="M2230">
        <f t="shared" si="68"/>
      </c>
      <c r="N2230">
        <f>IF('R.M Billets Reports'!J2229="","",'R.M Billets Reports'!J2229)</f>
      </c>
      <c r="O2230">
        <f t="shared" si="69"/>
      </c>
      <c r="P2230">
        <f>IF('R.M Billets Reports'!A2229="SIZE",'R.M Billets Reports'!B2229,P2229)</f>
      </c>
    </row>
    <row r="2231" spans="1:16" x14ac:dyDescent="0.25">
      <c r="A2231">
        <f>IF(OR('R.M Billets Reports'!A2230="Date-",'R.M Billets Reports'!A2230="Date:-"),IF(IF(IF(ISNUMBER(SEARCH("Party Name:-",'R.M Billets Reports'!D2230)),TRIM('R.M Billets Reports'!F2230),IF(ISNUMBER(SEARCH("Party Name-",'R.M Billets Reports'!D2230)),TRIM(MID('R.M Billets Reports'!D2230,SEARCH("-",'R.M Billets Reports'!D2230)+1,200)),""))&lt;&gt;"",IF(ISNUMBER(SEARCH("Party Name:-",'R.M Billets Reports'!D2230)),TRIM('R.M Billets Reports'!F2230),IF(ISNUMBER(SEARCH("Party Name-",'R.M Billets Reports'!D2230)),TRIM(MID('R.M Billets Reports'!D2230,SEARCH("-",'R.M Billets Reports'!D2230)+1,200)),"")),IF(ISNUMBER(SEARCH("Party Name:-",'R.M Billets Reports'!D2231)),TRIM('R.M Billets Reports'!F2231),IF(ISNUMBER(SEARCH("Party Name-",'R.M Billets Reports'!D2231)),TRIM(MID('R.M Billets Reports'!D2231,SEARCH("-",'R.M Billets Reports'!D2231)+1,200)),"")))="VRKP ISPAT PVT LTD","VRKP",IF(IF(IF(ISNUMBER(SEARCH("Party Name:-",'R.M Billets Reports'!D2230)),TRIM('R.M Billets Reports'!F2230),IF(ISNUMBER(SEARCH("Party Name-",'R.M Billets Reports'!D2230)),TRIM(MID('R.M Billets Reports'!D2230,SEARCH("-",'R.M Billets Reports'!D2230)+1,200)),""))&lt;&gt;"",IF(ISNUMBER(SEARCH("Party Name:-",'R.M Billets Reports'!D2230)),TRIM('R.M Billets Reports'!F2230),IF(ISNUMBER(SEARCH("Party Name-",'R.M Billets Reports'!D2230)),TRIM(MID('R.M Billets Reports'!D2230,SEARCH("-",'R.M Billets Reports'!D2230)+1,200)),"")),IF(ISNUMBER(SEARCH("Party Name:-",'R.M Billets Reports'!D2231)),TRIM('R.M Billets Reports'!F2231),IF(ISNUMBER(SEARCH("Party Name-",'R.M Billets Reports'!D2231)),TRIM(MID('R.M Billets Reports'!D2231,SEARCH("-",'R.M Billets Reports'!D2231)+1,200)),"")))="SHRI RADHE","SHREE RADHE",IF(IF(IF(ISNUMBER(SEARCH("Party Name:-",'R.M Billets Reports'!D2230)),TRIM('R.M Billets Reports'!F2230),IF(ISNUMBER(SEARCH("Party Name-",'R.M Billets Reports'!D2230)),TRIM(MID('R.M Billets Reports'!D2230,SEARCH("-",'R.M Billets Reports'!D2230)+1,200)),""))&lt;&gt;"",IF(ISNUMBER(SEARCH("Party Name:-",'R.M Billets Reports'!D2230)),TRIM('R.M Billets Reports'!F2230),IF(ISNUMBER(SEARCH("Party Name-",'R.M Billets Reports'!D2230)),TRIM(MID('R.M Billets Reports'!D2230,SEARCH("-",'R.M Billets Reports'!D2230)+1,200)),"")),IF(ISNUMBER(SEARCH("Party Name:-",'R.M Billets Reports'!D2231)),TRIM('R.M Billets Reports'!F2231),IF(ISNUMBER(SEARCH("Party Name-",'R.M Billets Reports'!D2231)),TRIM(MID('R.M Billets Reports'!D2231,SEARCH("-",'R.M Billets Reports'!D2231)+1,200)),"")))="SHREE RADHE SHAKTI SPONGE AND POWER PVT. LTD.","SHREE RADHE",IF(IF(ISNUMBER(SEARCH("Party Name:-",'R.M Billets Reports'!D2230)),TRIM('R.M Billets Reports'!F2230),IF(ISNUMBER(SEARCH("Party Name-",'R.M Billets Reports'!D2230)),TRIM(MID('R.M Billets Reports'!D2230,SEARCH("-",'R.M Billets Reports'!D2230)+1,200)),""))&lt;&gt;"",IF(ISNUMBER(SEARCH("Party Name:-",'R.M Billets Reports'!D2230)),TRIM('R.M Billets Reports'!F2230),IF(ISNUMBER(SEARCH("Party Name-",'R.M Billets Reports'!D2230)),TRIM(MID('R.M Billets Reports'!D2230,SEARCH("-",'R.M Billets Reports'!D2230)+1,200)),"")),IF(ISNUMBER(SEARCH("Party Name:-",'R.M Billets Reports'!D2231)),TRIM('R.M Billets Reports'!F2231),IF(ISNUMBER(SEARCH("Party Name-",'R.M Billets Reports'!D2231)),TRIM(MID('R.M Billets Reports'!D2231,SEARCH("-",'R.M Billets Reports'!D2231)+1,200)),"")))))),IF(ROW()=2,"",A2230))</f>
      </c>
      <c r="B2231">
        <f>IF(OR('R.M Billets Reports'!A2230="Date-",'R.M Billets Reports'!A2230="Date:-"),'R.M Billets Reports'!B2230,IF(ROW()=2,"",B2230))</f>
      </c>
      <c r="C2231">
        <f>IF('R.M Billets Reports'!A2230="V.No.",'R.M Billets Reports'!B2230,IF(ROW()=2,"",C2230))</f>
      </c>
      <c r="D2231">
        <f>IF('R.M Billets Reports'!A2230&lt;&gt;"",'R.M Billets Reports'!A2230,IF(ROW()=2,"",D2230))</f>
      </c>
      <c r="E2231">
        <f>IF('R.M Billets Reports'!B2230="","",TRIM('R.M Billets Reports'!B2230))</f>
      </c>
      <c r="F2231">
        <f>'R.M Billets Reports'!C2230</f>
      </c>
      <c r="G2231">
        <f>'R.M Billets Reports'!D2230</f>
      </c>
      <c r="H2231">
        <f>'R.M Billets Reports'!E2230</f>
      </c>
      <c r="I2231">
        <f>'R.M Billets Reports'!F2230</f>
      </c>
      <c r="J2231">
        <f>'R.M Billets Reports'!G2230</f>
      </c>
      <c r="K2231">
        <f>'R.M Billets Reports'!H2230</f>
      </c>
      <c r="L2231">
        <f>IF('R.M Billets Reports'!I2230="","",'R.M Billets Reports'!I2230)</f>
      </c>
      <c r="M2231">
        <f t="shared" si="68"/>
      </c>
      <c r="N2231">
        <f>IF('R.M Billets Reports'!J2230="","",'R.M Billets Reports'!J2230)</f>
      </c>
      <c r="O2231">
        <f t="shared" si="69"/>
      </c>
      <c r="P2231">
        <f>IF('R.M Billets Reports'!A2230="SIZE",'R.M Billets Reports'!B2230,P2230)</f>
      </c>
    </row>
    <row r="2232" spans="1:16" x14ac:dyDescent="0.25">
      <c r="A2232">
        <f>IF(OR('R.M Billets Reports'!A2231="Date-",'R.M Billets Reports'!A2231="Date:-"),IF(IF(IF(ISNUMBER(SEARCH("Party Name:-",'R.M Billets Reports'!D2231)),TRIM('R.M Billets Reports'!F2231),IF(ISNUMBER(SEARCH("Party Name-",'R.M Billets Reports'!D2231)),TRIM(MID('R.M Billets Reports'!D2231,SEARCH("-",'R.M Billets Reports'!D2231)+1,200)),""))&lt;&gt;"",IF(ISNUMBER(SEARCH("Party Name:-",'R.M Billets Reports'!D2231)),TRIM('R.M Billets Reports'!F2231),IF(ISNUMBER(SEARCH("Party Name-",'R.M Billets Reports'!D2231)),TRIM(MID('R.M Billets Reports'!D2231,SEARCH("-",'R.M Billets Reports'!D2231)+1,200)),"")),IF(ISNUMBER(SEARCH("Party Name:-",'R.M Billets Reports'!D2232)),TRIM('R.M Billets Reports'!F2232),IF(ISNUMBER(SEARCH("Party Name-",'R.M Billets Reports'!D2232)),TRIM(MID('R.M Billets Reports'!D2232,SEARCH("-",'R.M Billets Reports'!D2232)+1,200)),"")))="VRKP ISPAT PVT LTD","VRKP",IF(IF(IF(ISNUMBER(SEARCH("Party Name:-",'R.M Billets Reports'!D2231)),TRIM('R.M Billets Reports'!F2231),IF(ISNUMBER(SEARCH("Party Name-",'R.M Billets Reports'!D2231)),TRIM(MID('R.M Billets Reports'!D2231,SEARCH("-",'R.M Billets Reports'!D2231)+1,200)),""))&lt;&gt;"",IF(ISNUMBER(SEARCH("Party Name:-",'R.M Billets Reports'!D2231)),TRIM('R.M Billets Reports'!F2231),IF(ISNUMBER(SEARCH("Party Name-",'R.M Billets Reports'!D2231)),TRIM(MID('R.M Billets Reports'!D2231,SEARCH("-",'R.M Billets Reports'!D2231)+1,200)),"")),IF(ISNUMBER(SEARCH("Party Name:-",'R.M Billets Reports'!D2232)),TRIM('R.M Billets Reports'!F2232),IF(ISNUMBER(SEARCH("Party Name-",'R.M Billets Reports'!D2232)),TRIM(MID('R.M Billets Reports'!D2232,SEARCH("-",'R.M Billets Reports'!D2232)+1,200)),"")))="SHRI RADHE","SHREE RADHE",IF(IF(IF(ISNUMBER(SEARCH("Party Name:-",'R.M Billets Reports'!D2231)),TRIM('R.M Billets Reports'!F2231),IF(ISNUMBER(SEARCH("Party Name-",'R.M Billets Reports'!D2231)),TRIM(MID('R.M Billets Reports'!D2231,SEARCH("-",'R.M Billets Reports'!D2231)+1,200)),""))&lt;&gt;"",IF(ISNUMBER(SEARCH("Party Name:-",'R.M Billets Reports'!D2231)),TRIM('R.M Billets Reports'!F2231),IF(ISNUMBER(SEARCH("Party Name-",'R.M Billets Reports'!D2231)),TRIM(MID('R.M Billets Reports'!D2231,SEARCH("-",'R.M Billets Reports'!D2231)+1,200)),"")),IF(ISNUMBER(SEARCH("Party Name:-",'R.M Billets Reports'!D2232)),TRIM('R.M Billets Reports'!F2232),IF(ISNUMBER(SEARCH("Party Name-",'R.M Billets Reports'!D2232)),TRIM(MID('R.M Billets Reports'!D2232,SEARCH("-",'R.M Billets Reports'!D2232)+1,200)),"")))="SHREE RADHE SHAKTI SPONGE AND POWER PVT. LTD.","SHREE RADHE",IF(IF(ISNUMBER(SEARCH("Party Name:-",'R.M Billets Reports'!D2231)),TRIM('R.M Billets Reports'!F2231),IF(ISNUMBER(SEARCH("Party Name-",'R.M Billets Reports'!D2231)),TRIM(MID('R.M Billets Reports'!D2231,SEARCH("-",'R.M Billets Reports'!D2231)+1,200)),""))&lt;&gt;"",IF(ISNUMBER(SEARCH("Party Name:-",'R.M Billets Reports'!D2231)),TRIM('R.M Billets Reports'!F2231),IF(ISNUMBER(SEARCH("Party Name-",'R.M Billets Reports'!D2231)),TRIM(MID('R.M Billets Reports'!D2231,SEARCH("-",'R.M Billets Reports'!D2231)+1,200)),"")),IF(ISNUMBER(SEARCH("Party Name:-",'R.M Billets Reports'!D2232)),TRIM('R.M Billets Reports'!F2232),IF(ISNUMBER(SEARCH("Party Name-",'R.M Billets Reports'!D2232)),TRIM(MID('R.M Billets Reports'!D2232,SEARCH("-",'R.M Billets Reports'!D2232)+1,200)),"")))))),IF(ROW()=2,"",A2231))</f>
      </c>
      <c r="B2232">
        <f>IF(OR('R.M Billets Reports'!A2231="Date-",'R.M Billets Reports'!A2231="Date:-"),'R.M Billets Reports'!B2231,IF(ROW()=2,"",B2231))</f>
      </c>
      <c r="C2232">
        <f>IF('R.M Billets Reports'!A2231="V.No.",'R.M Billets Reports'!B2231,IF(ROW()=2,"",C2231))</f>
      </c>
      <c r="D2232">
        <f>IF('R.M Billets Reports'!A2231&lt;&gt;"",'R.M Billets Reports'!A2231,IF(ROW()=2,"",D2231))</f>
      </c>
      <c r="E2232">
        <f>IF('R.M Billets Reports'!B2231="","",TRIM('R.M Billets Reports'!B2231))</f>
      </c>
      <c r="F2232">
        <f>'R.M Billets Reports'!C2231</f>
      </c>
      <c r="G2232">
        <f>'R.M Billets Reports'!D2231</f>
      </c>
      <c r="H2232">
        <f>'R.M Billets Reports'!E2231</f>
      </c>
      <c r="I2232">
        <f>'R.M Billets Reports'!F2231</f>
      </c>
      <c r="J2232">
        <f>'R.M Billets Reports'!G2231</f>
      </c>
      <c r="K2232">
        <f>'R.M Billets Reports'!H2231</f>
      </c>
      <c r="L2232">
        <f>IF('R.M Billets Reports'!I2231="","",'R.M Billets Reports'!I2231)</f>
      </c>
      <c r="M2232">
        <f t="shared" si="68"/>
      </c>
      <c r="N2232">
        <f>IF('R.M Billets Reports'!J2231="","",'R.M Billets Reports'!J2231)</f>
      </c>
      <c r="O2232">
        <f t="shared" si="69"/>
      </c>
      <c r="P2232">
        <f>IF('R.M Billets Reports'!A2231="SIZE",'R.M Billets Reports'!B2231,P2231)</f>
      </c>
    </row>
    <row r="2233" spans="1:16" x14ac:dyDescent="0.25">
      <c r="A2233">
        <f>IF(OR('R.M Billets Reports'!A2232="Date-",'R.M Billets Reports'!A2232="Date:-"),IF(IF(IF(ISNUMBER(SEARCH("Party Name:-",'R.M Billets Reports'!D2232)),TRIM('R.M Billets Reports'!F2232),IF(ISNUMBER(SEARCH("Party Name-",'R.M Billets Reports'!D2232)),TRIM(MID('R.M Billets Reports'!D2232,SEARCH("-",'R.M Billets Reports'!D2232)+1,200)),""))&lt;&gt;"",IF(ISNUMBER(SEARCH("Party Name:-",'R.M Billets Reports'!D2232)),TRIM('R.M Billets Reports'!F2232),IF(ISNUMBER(SEARCH("Party Name-",'R.M Billets Reports'!D2232)),TRIM(MID('R.M Billets Reports'!D2232,SEARCH("-",'R.M Billets Reports'!D2232)+1,200)),"")),IF(ISNUMBER(SEARCH("Party Name:-",'R.M Billets Reports'!D2233)),TRIM('R.M Billets Reports'!F2233),IF(ISNUMBER(SEARCH("Party Name-",'R.M Billets Reports'!D2233)),TRIM(MID('R.M Billets Reports'!D2233,SEARCH("-",'R.M Billets Reports'!D2233)+1,200)),"")))="VRKP ISPAT PVT LTD","VRKP",IF(IF(IF(ISNUMBER(SEARCH("Party Name:-",'R.M Billets Reports'!D2232)),TRIM('R.M Billets Reports'!F2232),IF(ISNUMBER(SEARCH("Party Name-",'R.M Billets Reports'!D2232)),TRIM(MID('R.M Billets Reports'!D2232,SEARCH("-",'R.M Billets Reports'!D2232)+1,200)),""))&lt;&gt;"",IF(ISNUMBER(SEARCH("Party Name:-",'R.M Billets Reports'!D2232)),TRIM('R.M Billets Reports'!F2232),IF(ISNUMBER(SEARCH("Party Name-",'R.M Billets Reports'!D2232)),TRIM(MID('R.M Billets Reports'!D2232,SEARCH("-",'R.M Billets Reports'!D2232)+1,200)),"")),IF(ISNUMBER(SEARCH("Party Name:-",'R.M Billets Reports'!D2233)),TRIM('R.M Billets Reports'!F2233),IF(ISNUMBER(SEARCH("Party Name-",'R.M Billets Reports'!D2233)),TRIM(MID('R.M Billets Reports'!D2233,SEARCH("-",'R.M Billets Reports'!D2233)+1,200)),"")))="SHRI RADHE","SHREE RADHE",IF(IF(IF(ISNUMBER(SEARCH("Party Name:-",'R.M Billets Reports'!D2232)),TRIM('R.M Billets Reports'!F2232),IF(ISNUMBER(SEARCH("Party Name-",'R.M Billets Reports'!D2232)),TRIM(MID('R.M Billets Reports'!D2232,SEARCH("-",'R.M Billets Reports'!D2232)+1,200)),""))&lt;&gt;"",IF(ISNUMBER(SEARCH("Party Name:-",'R.M Billets Reports'!D2232)),TRIM('R.M Billets Reports'!F2232),IF(ISNUMBER(SEARCH("Party Name-",'R.M Billets Reports'!D2232)),TRIM(MID('R.M Billets Reports'!D2232,SEARCH("-",'R.M Billets Reports'!D2232)+1,200)),"")),IF(ISNUMBER(SEARCH("Party Name:-",'R.M Billets Reports'!D2233)),TRIM('R.M Billets Reports'!F2233),IF(ISNUMBER(SEARCH("Party Name-",'R.M Billets Reports'!D2233)),TRIM(MID('R.M Billets Reports'!D2233,SEARCH("-",'R.M Billets Reports'!D2233)+1,200)),"")))="SHREE RADHE SHAKTI SPONGE AND POWER PVT. LTD.","SHREE RADHE",IF(IF(ISNUMBER(SEARCH("Party Name:-",'R.M Billets Reports'!D2232)),TRIM('R.M Billets Reports'!F2232),IF(ISNUMBER(SEARCH("Party Name-",'R.M Billets Reports'!D2232)),TRIM(MID('R.M Billets Reports'!D2232,SEARCH("-",'R.M Billets Reports'!D2232)+1,200)),""))&lt;&gt;"",IF(ISNUMBER(SEARCH("Party Name:-",'R.M Billets Reports'!D2232)),TRIM('R.M Billets Reports'!F2232),IF(ISNUMBER(SEARCH("Party Name-",'R.M Billets Reports'!D2232)),TRIM(MID('R.M Billets Reports'!D2232,SEARCH("-",'R.M Billets Reports'!D2232)+1,200)),"")),IF(ISNUMBER(SEARCH("Party Name:-",'R.M Billets Reports'!D2233)),TRIM('R.M Billets Reports'!F2233),IF(ISNUMBER(SEARCH("Party Name-",'R.M Billets Reports'!D2233)),TRIM(MID('R.M Billets Reports'!D2233,SEARCH("-",'R.M Billets Reports'!D2233)+1,200)),"")))))),IF(ROW()=2,"",A2232))</f>
      </c>
      <c r="B2233">
        <f>IF(OR('R.M Billets Reports'!A2232="Date-",'R.M Billets Reports'!A2232="Date:-"),'R.M Billets Reports'!B2232,IF(ROW()=2,"",B2232))</f>
      </c>
      <c r="C2233">
        <f>IF('R.M Billets Reports'!A2232="V.No.",'R.M Billets Reports'!B2232,IF(ROW()=2,"",C2232))</f>
      </c>
      <c r="D2233">
        <f>IF('R.M Billets Reports'!A2232&lt;&gt;"",'R.M Billets Reports'!A2232,IF(ROW()=2,"",D2232))</f>
      </c>
      <c r="E2233">
        <f>IF('R.M Billets Reports'!B2232="","",TRIM('R.M Billets Reports'!B2232))</f>
      </c>
      <c r="F2233">
        <f>'R.M Billets Reports'!C2232</f>
      </c>
      <c r="G2233">
        <f>'R.M Billets Reports'!D2232</f>
      </c>
      <c r="H2233">
        <f>'R.M Billets Reports'!E2232</f>
      </c>
      <c r="I2233">
        <f>'R.M Billets Reports'!F2232</f>
      </c>
      <c r="J2233">
        <f>'R.M Billets Reports'!G2232</f>
      </c>
      <c r="K2233">
        <f>'R.M Billets Reports'!H2232</f>
      </c>
      <c r="L2233">
        <f>IF('R.M Billets Reports'!I2232="","",'R.M Billets Reports'!I2232)</f>
      </c>
      <c r="M2233">
        <f t="shared" si="68"/>
      </c>
      <c r="N2233">
        <f>IF('R.M Billets Reports'!J2232="","",'R.M Billets Reports'!J2232)</f>
      </c>
      <c r="O2233">
        <f t="shared" si="69"/>
      </c>
      <c r="P2233">
        <f>IF('R.M Billets Reports'!A2232="SIZE",'R.M Billets Reports'!B2232,P2232)</f>
      </c>
    </row>
    <row r="2234" spans="1:16" x14ac:dyDescent="0.25">
      <c r="A2234">
        <f>IF(OR('R.M Billets Reports'!A2233="Date-",'R.M Billets Reports'!A2233="Date:-"),IF(IF(IF(ISNUMBER(SEARCH("Party Name:-",'R.M Billets Reports'!D2233)),TRIM('R.M Billets Reports'!F2233),IF(ISNUMBER(SEARCH("Party Name-",'R.M Billets Reports'!D2233)),TRIM(MID('R.M Billets Reports'!D2233,SEARCH("-",'R.M Billets Reports'!D2233)+1,200)),""))&lt;&gt;"",IF(ISNUMBER(SEARCH("Party Name:-",'R.M Billets Reports'!D2233)),TRIM('R.M Billets Reports'!F2233),IF(ISNUMBER(SEARCH("Party Name-",'R.M Billets Reports'!D2233)),TRIM(MID('R.M Billets Reports'!D2233,SEARCH("-",'R.M Billets Reports'!D2233)+1,200)),"")),IF(ISNUMBER(SEARCH("Party Name:-",'R.M Billets Reports'!D2234)),TRIM('R.M Billets Reports'!F2234),IF(ISNUMBER(SEARCH("Party Name-",'R.M Billets Reports'!D2234)),TRIM(MID('R.M Billets Reports'!D2234,SEARCH("-",'R.M Billets Reports'!D2234)+1,200)),"")))="VRKP ISPAT PVT LTD","VRKP",IF(IF(IF(ISNUMBER(SEARCH("Party Name:-",'R.M Billets Reports'!D2233)),TRIM('R.M Billets Reports'!F2233),IF(ISNUMBER(SEARCH("Party Name-",'R.M Billets Reports'!D2233)),TRIM(MID('R.M Billets Reports'!D2233,SEARCH("-",'R.M Billets Reports'!D2233)+1,200)),""))&lt;&gt;"",IF(ISNUMBER(SEARCH("Party Name:-",'R.M Billets Reports'!D2233)),TRIM('R.M Billets Reports'!F2233),IF(ISNUMBER(SEARCH("Party Name-",'R.M Billets Reports'!D2233)),TRIM(MID('R.M Billets Reports'!D2233,SEARCH("-",'R.M Billets Reports'!D2233)+1,200)),"")),IF(ISNUMBER(SEARCH("Party Name:-",'R.M Billets Reports'!D2234)),TRIM('R.M Billets Reports'!F2234),IF(ISNUMBER(SEARCH("Party Name-",'R.M Billets Reports'!D2234)),TRIM(MID('R.M Billets Reports'!D2234,SEARCH("-",'R.M Billets Reports'!D2234)+1,200)),"")))="SHRI RADHE","SHREE RADHE",IF(IF(IF(ISNUMBER(SEARCH("Party Name:-",'R.M Billets Reports'!D2233)),TRIM('R.M Billets Reports'!F2233),IF(ISNUMBER(SEARCH("Party Name-",'R.M Billets Reports'!D2233)),TRIM(MID('R.M Billets Reports'!D2233,SEARCH("-",'R.M Billets Reports'!D2233)+1,200)),""))&lt;&gt;"",IF(ISNUMBER(SEARCH("Party Name:-",'R.M Billets Reports'!D2233)),TRIM('R.M Billets Reports'!F2233),IF(ISNUMBER(SEARCH("Party Name-",'R.M Billets Reports'!D2233)),TRIM(MID('R.M Billets Reports'!D2233,SEARCH("-",'R.M Billets Reports'!D2233)+1,200)),"")),IF(ISNUMBER(SEARCH("Party Name:-",'R.M Billets Reports'!D2234)),TRIM('R.M Billets Reports'!F2234),IF(ISNUMBER(SEARCH("Party Name-",'R.M Billets Reports'!D2234)),TRIM(MID('R.M Billets Reports'!D2234,SEARCH("-",'R.M Billets Reports'!D2234)+1,200)),"")))="SHREE RADHE SHAKTI SPONGE AND POWER PVT. LTD.","SHREE RADHE",IF(IF(ISNUMBER(SEARCH("Party Name:-",'R.M Billets Reports'!D2233)),TRIM('R.M Billets Reports'!F2233),IF(ISNUMBER(SEARCH("Party Name-",'R.M Billets Reports'!D2233)),TRIM(MID('R.M Billets Reports'!D2233,SEARCH("-",'R.M Billets Reports'!D2233)+1,200)),""))&lt;&gt;"",IF(ISNUMBER(SEARCH("Party Name:-",'R.M Billets Reports'!D2233)),TRIM('R.M Billets Reports'!F2233),IF(ISNUMBER(SEARCH("Party Name-",'R.M Billets Reports'!D2233)),TRIM(MID('R.M Billets Reports'!D2233,SEARCH("-",'R.M Billets Reports'!D2233)+1,200)),"")),IF(ISNUMBER(SEARCH("Party Name:-",'R.M Billets Reports'!D2234)),TRIM('R.M Billets Reports'!F2234),IF(ISNUMBER(SEARCH("Party Name-",'R.M Billets Reports'!D2234)),TRIM(MID('R.M Billets Reports'!D2234,SEARCH("-",'R.M Billets Reports'!D2234)+1,200)),"")))))),IF(ROW()=2,"",A2233))</f>
      </c>
      <c r="B2234">
        <f>IF(OR('R.M Billets Reports'!A2233="Date-",'R.M Billets Reports'!A2233="Date:-"),'R.M Billets Reports'!B2233,IF(ROW()=2,"",B2233))</f>
      </c>
      <c r="C2234">
        <f>IF('R.M Billets Reports'!A2233="V.No.",'R.M Billets Reports'!B2233,IF(ROW()=2,"",C2233))</f>
      </c>
      <c r="D2234">
        <f>IF('R.M Billets Reports'!A2233&lt;&gt;"",'R.M Billets Reports'!A2233,IF(ROW()=2,"",D2233))</f>
      </c>
      <c r="E2234">
        <f>IF('R.M Billets Reports'!B2233="","",TRIM('R.M Billets Reports'!B2233))</f>
      </c>
      <c r="F2234">
        <f>'R.M Billets Reports'!C2233</f>
      </c>
      <c r="G2234">
        <f>'R.M Billets Reports'!D2233</f>
      </c>
      <c r="H2234">
        <f>'R.M Billets Reports'!E2233</f>
      </c>
      <c r="I2234">
        <f>'R.M Billets Reports'!F2233</f>
      </c>
      <c r="J2234">
        <f>'R.M Billets Reports'!G2233</f>
      </c>
      <c r="K2234">
        <f>'R.M Billets Reports'!H2233</f>
      </c>
      <c r="L2234">
        <f>IF('R.M Billets Reports'!I2233="","",'R.M Billets Reports'!I2233)</f>
      </c>
      <c r="M2234">
        <f t="shared" si="68"/>
      </c>
      <c r="N2234">
        <f>IF('R.M Billets Reports'!J2233="","",'R.M Billets Reports'!J2233)</f>
      </c>
      <c r="O2234">
        <f t="shared" si="69"/>
      </c>
      <c r="P2234">
        <f>IF('R.M Billets Reports'!A2233="SIZE",'R.M Billets Reports'!B2233,P2233)</f>
      </c>
    </row>
    <row r="2235" spans="1:16" x14ac:dyDescent="0.25">
      <c r="A2235">
        <f>IF(OR('R.M Billets Reports'!A2234="Date-",'R.M Billets Reports'!A2234="Date:-"),IF(IF(IF(ISNUMBER(SEARCH("Party Name:-",'R.M Billets Reports'!D2234)),TRIM('R.M Billets Reports'!F2234),IF(ISNUMBER(SEARCH("Party Name-",'R.M Billets Reports'!D2234)),TRIM(MID('R.M Billets Reports'!D2234,SEARCH("-",'R.M Billets Reports'!D2234)+1,200)),""))&lt;&gt;"",IF(ISNUMBER(SEARCH("Party Name:-",'R.M Billets Reports'!D2234)),TRIM('R.M Billets Reports'!F2234),IF(ISNUMBER(SEARCH("Party Name-",'R.M Billets Reports'!D2234)),TRIM(MID('R.M Billets Reports'!D2234,SEARCH("-",'R.M Billets Reports'!D2234)+1,200)),"")),IF(ISNUMBER(SEARCH("Party Name:-",'R.M Billets Reports'!D2235)),TRIM('R.M Billets Reports'!F2235),IF(ISNUMBER(SEARCH("Party Name-",'R.M Billets Reports'!D2235)),TRIM(MID('R.M Billets Reports'!D2235,SEARCH("-",'R.M Billets Reports'!D2235)+1,200)),"")))="VRKP ISPAT PVT LTD","VRKP",IF(IF(IF(ISNUMBER(SEARCH("Party Name:-",'R.M Billets Reports'!D2234)),TRIM('R.M Billets Reports'!F2234),IF(ISNUMBER(SEARCH("Party Name-",'R.M Billets Reports'!D2234)),TRIM(MID('R.M Billets Reports'!D2234,SEARCH("-",'R.M Billets Reports'!D2234)+1,200)),""))&lt;&gt;"",IF(ISNUMBER(SEARCH("Party Name:-",'R.M Billets Reports'!D2234)),TRIM('R.M Billets Reports'!F2234),IF(ISNUMBER(SEARCH("Party Name-",'R.M Billets Reports'!D2234)),TRIM(MID('R.M Billets Reports'!D2234,SEARCH("-",'R.M Billets Reports'!D2234)+1,200)),"")),IF(ISNUMBER(SEARCH("Party Name:-",'R.M Billets Reports'!D2235)),TRIM('R.M Billets Reports'!F2235),IF(ISNUMBER(SEARCH("Party Name-",'R.M Billets Reports'!D2235)),TRIM(MID('R.M Billets Reports'!D2235,SEARCH("-",'R.M Billets Reports'!D2235)+1,200)),"")))="SHRI RADHE","SHREE RADHE",IF(IF(IF(ISNUMBER(SEARCH("Party Name:-",'R.M Billets Reports'!D2234)),TRIM('R.M Billets Reports'!F2234),IF(ISNUMBER(SEARCH("Party Name-",'R.M Billets Reports'!D2234)),TRIM(MID('R.M Billets Reports'!D2234,SEARCH("-",'R.M Billets Reports'!D2234)+1,200)),""))&lt;&gt;"",IF(ISNUMBER(SEARCH("Party Name:-",'R.M Billets Reports'!D2234)),TRIM('R.M Billets Reports'!F2234),IF(ISNUMBER(SEARCH("Party Name-",'R.M Billets Reports'!D2234)),TRIM(MID('R.M Billets Reports'!D2234,SEARCH("-",'R.M Billets Reports'!D2234)+1,200)),"")),IF(ISNUMBER(SEARCH("Party Name:-",'R.M Billets Reports'!D2235)),TRIM('R.M Billets Reports'!F2235),IF(ISNUMBER(SEARCH("Party Name-",'R.M Billets Reports'!D2235)),TRIM(MID('R.M Billets Reports'!D2235,SEARCH("-",'R.M Billets Reports'!D2235)+1,200)),"")))="SHREE RADHE SHAKTI SPONGE AND POWER PVT. LTD.","SHREE RADHE",IF(IF(ISNUMBER(SEARCH("Party Name:-",'R.M Billets Reports'!D2234)),TRIM('R.M Billets Reports'!F2234),IF(ISNUMBER(SEARCH("Party Name-",'R.M Billets Reports'!D2234)),TRIM(MID('R.M Billets Reports'!D2234,SEARCH("-",'R.M Billets Reports'!D2234)+1,200)),""))&lt;&gt;"",IF(ISNUMBER(SEARCH("Party Name:-",'R.M Billets Reports'!D2234)),TRIM('R.M Billets Reports'!F2234),IF(ISNUMBER(SEARCH("Party Name-",'R.M Billets Reports'!D2234)),TRIM(MID('R.M Billets Reports'!D2234,SEARCH("-",'R.M Billets Reports'!D2234)+1,200)),"")),IF(ISNUMBER(SEARCH("Party Name:-",'R.M Billets Reports'!D2235)),TRIM('R.M Billets Reports'!F2235),IF(ISNUMBER(SEARCH("Party Name-",'R.M Billets Reports'!D2235)),TRIM(MID('R.M Billets Reports'!D2235,SEARCH("-",'R.M Billets Reports'!D2235)+1,200)),"")))))),IF(ROW()=2,"",A2234))</f>
      </c>
      <c r="B2235">
        <f>IF(OR('R.M Billets Reports'!A2234="Date-",'R.M Billets Reports'!A2234="Date:-"),'R.M Billets Reports'!B2234,IF(ROW()=2,"",B2234))</f>
      </c>
      <c r="C2235">
        <f>IF('R.M Billets Reports'!A2234="V.No.",'R.M Billets Reports'!B2234,IF(ROW()=2,"",C2234))</f>
      </c>
      <c r="D2235">
        <f>IF('R.M Billets Reports'!A2234&lt;&gt;"",'R.M Billets Reports'!A2234,IF(ROW()=2,"",D2234))</f>
      </c>
      <c r="E2235">
        <f>IF('R.M Billets Reports'!B2234="","",TRIM('R.M Billets Reports'!B2234))</f>
      </c>
      <c r="F2235">
        <f>'R.M Billets Reports'!C2234</f>
      </c>
      <c r="G2235">
        <f>'R.M Billets Reports'!D2234</f>
      </c>
      <c r="H2235">
        <f>'R.M Billets Reports'!E2234</f>
      </c>
      <c r="I2235">
        <f>'R.M Billets Reports'!F2234</f>
      </c>
      <c r="J2235">
        <f>'R.M Billets Reports'!G2234</f>
      </c>
      <c r="K2235">
        <f>'R.M Billets Reports'!H2234</f>
      </c>
      <c r="L2235">
        <f>IF('R.M Billets Reports'!I2234="","",'R.M Billets Reports'!I2234)</f>
      </c>
      <c r="M2235">
        <f t="shared" si="68"/>
      </c>
      <c r="N2235">
        <f>IF('R.M Billets Reports'!J2234="","",'R.M Billets Reports'!J2234)</f>
      </c>
      <c r="O2235">
        <f t="shared" si="69"/>
      </c>
      <c r="P2235">
        <f>IF('R.M Billets Reports'!A2234="SIZE",'R.M Billets Reports'!B2234,P2234)</f>
      </c>
    </row>
    <row r="2236" spans="1:16" x14ac:dyDescent="0.25">
      <c r="A2236">
        <f>IF(OR('R.M Billets Reports'!A2235="Date-",'R.M Billets Reports'!A2235="Date:-"),IF(IF(IF(ISNUMBER(SEARCH("Party Name:-",'R.M Billets Reports'!D2235)),TRIM('R.M Billets Reports'!F2235),IF(ISNUMBER(SEARCH("Party Name-",'R.M Billets Reports'!D2235)),TRIM(MID('R.M Billets Reports'!D2235,SEARCH("-",'R.M Billets Reports'!D2235)+1,200)),""))&lt;&gt;"",IF(ISNUMBER(SEARCH("Party Name:-",'R.M Billets Reports'!D2235)),TRIM('R.M Billets Reports'!F2235),IF(ISNUMBER(SEARCH("Party Name-",'R.M Billets Reports'!D2235)),TRIM(MID('R.M Billets Reports'!D2235,SEARCH("-",'R.M Billets Reports'!D2235)+1,200)),"")),IF(ISNUMBER(SEARCH("Party Name:-",'R.M Billets Reports'!D2236)),TRIM('R.M Billets Reports'!F2236),IF(ISNUMBER(SEARCH("Party Name-",'R.M Billets Reports'!D2236)),TRIM(MID('R.M Billets Reports'!D2236,SEARCH("-",'R.M Billets Reports'!D2236)+1,200)),"")))="VRKP ISPAT PVT LTD","VRKP",IF(IF(IF(ISNUMBER(SEARCH("Party Name:-",'R.M Billets Reports'!D2235)),TRIM('R.M Billets Reports'!F2235),IF(ISNUMBER(SEARCH("Party Name-",'R.M Billets Reports'!D2235)),TRIM(MID('R.M Billets Reports'!D2235,SEARCH("-",'R.M Billets Reports'!D2235)+1,200)),""))&lt;&gt;"",IF(ISNUMBER(SEARCH("Party Name:-",'R.M Billets Reports'!D2235)),TRIM('R.M Billets Reports'!F2235),IF(ISNUMBER(SEARCH("Party Name-",'R.M Billets Reports'!D2235)),TRIM(MID('R.M Billets Reports'!D2235,SEARCH("-",'R.M Billets Reports'!D2235)+1,200)),"")),IF(ISNUMBER(SEARCH("Party Name:-",'R.M Billets Reports'!D2236)),TRIM('R.M Billets Reports'!F2236),IF(ISNUMBER(SEARCH("Party Name-",'R.M Billets Reports'!D2236)),TRIM(MID('R.M Billets Reports'!D2236,SEARCH("-",'R.M Billets Reports'!D2236)+1,200)),"")))="SHRI RADHE","SHREE RADHE",IF(IF(IF(ISNUMBER(SEARCH("Party Name:-",'R.M Billets Reports'!D2235)),TRIM('R.M Billets Reports'!F2235),IF(ISNUMBER(SEARCH("Party Name-",'R.M Billets Reports'!D2235)),TRIM(MID('R.M Billets Reports'!D2235,SEARCH("-",'R.M Billets Reports'!D2235)+1,200)),""))&lt;&gt;"",IF(ISNUMBER(SEARCH("Party Name:-",'R.M Billets Reports'!D2235)),TRIM('R.M Billets Reports'!F2235),IF(ISNUMBER(SEARCH("Party Name-",'R.M Billets Reports'!D2235)),TRIM(MID('R.M Billets Reports'!D2235,SEARCH("-",'R.M Billets Reports'!D2235)+1,200)),"")),IF(ISNUMBER(SEARCH("Party Name:-",'R.M Billets Reports'!D2236)),TRIM('R.M Billets Reports'!F2236),IF(ISNUMBER(SEARCH("Party Name-",'R.M Billets Reports'!D2236)),TRIM(MID('R.M Billets Reports'!D2236,SEARCH("-",'R.M Billets Reports'!D2236)+1,200)),"")))="SHREE RADHE SHAKTI SPONGE AND POWER PVT. LTD.","SHREE RADHE",IF(IF(ISNUMBER(SEARCH("Party Name:-",'R.M Billets Reports'!D2235)),TRIM('R.M Billets Reports'!F2235),IF(ISNUMBER(SEARCH("Party Name-",'R.M Billets Reports'!D2235)),TRIM(MID('R.M Billets Reports'!D2235,SEARCH("-",'R.M Billets Reports'!D2235)+1,200)),""))&lt;&gt;"",IF(ISNUMBER(SEARCH("Party Name:-",'R.M Billets Reports'!D2235)),TRIM('R.M Billets Reports'!F2235),IF(ISNUMBER(SEARCH("Party Name-",'R.M Billets Reports'!D2235)),TRIM(MID('R.M Billets Reports'!D2235,SEARCH("-",'R.M Billets Reports'!D2235)+1,200)),"")),IF(ISNUMBER(SEARCH("Party Name:-",'R.M Billets Reports'!D2236)),TRIM('R.M Billets Reports'!F2236),IF(ISNUMBER(SEARCH("Party Name-",'R.M Billets Reports'!D2236)),TRIM(MID('R.M Billets Reports'!D2236,SEARCH("-",'R.M Billets Reports'!D2236)+1,200)),"")))))),IF(ROW()=2,"",A2235))</f>
      </c>
      <c r="B2236">
        <f>IF(OR('R.M Billets Reports'!A2235="Date-",'R.M Billets Reports'!A2235="Date:-"),'R.M Billets Reports'!B2235,IF(ROW()=2,"",B2235))</f>
      </c>
      <c r="C2236">
        <f>IF('R.M Billets Reports'!A2235="V.No.",'R.M Billets Reports'!B2235,IF(ROW()=2,"",C2235))</f>
      </c>
      <c r="D2236">
        <f>IF('R.M Billets Reports'!A2235&lt;&gt;"",'R.M Billets Reports'!A2235,IF(ROW()=2,"",D2235))</f>
      </c>
      <c r="E2236">
        <f>IF('R.M Billets Reports'!B2235="","",TRIM('R.M Billets Reports'!B2235))</f>
      </c>
      <c r="F2236">
        <f>'R.M Billets Reports'!C2235</f>
      </c>
      <c r="G2236">
        <f>'R.M Billets Reports'!D2235</f>
      </c>
      <c r="H2236">
        <f>'R.M Billets Reports'!E2235</f>
      </c>
      <c r="I2236">
        <f>'R.M Billets Reports'!F2235</f>
      </c>
      <c r="J2236">
        <f>'R.M Billets Reports'!G2235</f>
      </c>
      <c r="K2236">
        <f>'R.M Billets Reports'!H2235</f>
      </c>
      <c r="L2236">
        <f>IF('R.M Billets Reports'!I2235="","",'R.M Billets Reports'!I2235)</f>
      </c>
      <c r="M2236">
        <f t="shared" si="68"/>
      </c>
      <c r="N2236">
        <f>IF('R.M Billets Reports'!J2235="","",'R.M Billets Reports'!J2235)</f>
      </c>
      <c r="O2236">
        <f t="shared" si="69"/>
      </c>
      <c r="P2236">
        <f>IF('R.M Billets Reports'!A2235="SIZE",'R.M Billets Reports'!B2235,P2235)</f>
      </c>
    </row>
    <row r="2237" spans="1:16" x14ac:dyDescent="0.25">
      <c r="A2237">
        <f>IF(OR('R.M Billets Reports'!A2236="Date-",'R.M Billets Reports'!A2236="Date:-"),IF(IF(IF(ISNUMBER(SEARCH("Party Name:-",'R.M Billets Reports'!D2236)),TRIM('R.M Billets Reports'!F2236),IF(ISNUMBER(SEARCH("Party Name-",'R.M Billets Reports'!D2236)),TRIM(MID('R.M Billets Reports'!D2236,SEARCH("-",'R.M Billets Reports'!D2236)+1,200)),""))&lt;&gt;"",IF(ISNUMBER(SEARCH("Party Name:-",'R.M Billets Reports'!D2236)),TRIM('R.M Billets Reports'!F2236),IF(ISNUMBER(SEARCH("Party Name-",'R.M Billets Reports'!D2236)),TRIM(MID('R.M Billets Reports'!D2236,SEARCH("-",'R.M Billets Reports'!D2236)+1,200)),"")),IF(ISNUMBER(SEARCH("Party Name:-",'R.M Billets Reports'!D2237)),TRIM('R.M Billets Reports'!F2237),IF(ISNUMBER(SEARCH("Party Name-",'R.M Billets Reports'!D2237)),TRIM(MID('R.M Billets Reports'!D2237,SEARCH("-",'R.M Billets Reports'!D2237)+1,200)),"")))="VRKP ISPAT PVT LTD","VRKP",IF(IF(IF(ISNUMBER(SEARCH("Party Name:-",'R.M Billets Reports'!D2236)),TRIM('R.M Billets Reports'!F2236),IF(ISNUMBER(SEARCH("Party Name-",'R.M Billets Reports'!D2236)),TRIM(MID('R.M Billets Reports'!D2236,SEARCH("-",'R.M Billets Reports'!D2236)+1,200)),""))&lt;&gt;"",IF(ISNUMBER(SEARCH("Party Name:-",'R.M Billets Reports'!D2236)),TRIM('R.M Billets Reports'!F2236),IF(ISNUMBER(SEARCH("Party Name-",'R.M Billets Reports'!D2236)),TRIM(MID('R.M Billets Reports'!D2236,SEARCH("-",'R.M Billets Reports'!D2236)+1,200)),"")),IF(ISNUMBER(SEARCH("Party Name:-",'R.M Billets Reports'!D2237)),TRIM('R.M Billets Reports'!F2237),IF(ISNUMBER(SEARCH("Party Name-",'R.M Billets Reports'!D2237)),TRIM(MID('R.M Billets Reports'!D2237,SEARCH("-",'R.M Billets Reports'!D2237)+1,200)),"")))="SHRI RADHE","SHREE RADHE",IF(IF(IF(ISNUMBER(SEARCH("Party Name:-",'R.M Billets Reports'!D2236)),TRIM('R.M Billets Reports'!F2236),IF(ISNUMBER(SEARCH("Party Name-",'R.M Billets Reports'!D2236)),TRIM(MID('R.M Billets Reports'!D2236,SEARCH("-",'R.M Billets Reports'!D2236)+1,200)),""))&lt;&gt;"",IF(ISNUMBER(SEARCH("Party Name:-",'R.M Billets Reports'!D2236)),TRIM('R.M Billets Reports'!F2236),IF(ISNUMBER(SEARCH("Party Name-",'R.M Billets Reports'!D2236)),TRIM(MID('R.M Billets Reports'!D2236,SEARCH("-",'R.M Billets Reports'!D2236)+1,200)),"")),IF(ISNUMBER(SEARCH("Party Name:-",'R.M Billets Reports'!D2237)),TRIM('R.M Billets Reports'!F2237),IF(ISNUMBER(SEARCH("Party Name-",'R.M Billets Reports'!D2237)),TRIM(MID('R.M Billets Reports'!D2237,SEARCH("-",'R.M Billets Reports'!D2237)+1,200)),"")))="SHREE RADHE SHAKTI SPONGE AND POWER PVT. LTD.","SHREE RADHE",IF(IF(ISNUMBER(SEARCH("Party Name:-",'R.M Billets Reports'!D2236)),TRIM('R.M Billets Reports'!F2236),IF(ISNUMBER(SEARCH("Party Name-",'R.M Billets Reports'!D2236)),TRIM(MID('R.M Billets Reports'!D2236,SEARCH("-",'R.M Billets Reports'!D2236)+1,200)),""))&lt;&gt;"",IF(ISNUMBER(SEARCH("Party Name:-",'R.M Billets Reports'!D2236)),TRIM('R.M Billets Reports'!F2236),IF(ISNUMBER(SEARCH("Party Name-",'R.M Billets Reports'!D2236)),TRIM(MID('R.M Billets Reports'!D2236,SEARCH("-",'R.M Billets Reports'!D2236)+1,200)),"")),IF(ISNUMBER(SEARCH("Party Name:-",'R.M Billets Reports'!D2237)),TRIM('R.M Billets Reports'!F2237),IF(ISNUMBER(SEARCH("Party Name-",'R.M Billets Reports'!D2237)),TRIM(MID('R.M Billets Reports'!D2237,SEARCH("-",'R.M Billets Reports'!D2237)+1,200)),"")))))),IF(ROW()=2,"",A2236))</f>
      </c>
      <c r="B2237">
        <f>IF(OR('R.M Billets Reports'!A2236="Date-",'R.M Billets Reports'!A2236="Date:-"),'R.M Billets Reports'!B2236,IF(ROW()=2,"",B2236))</f>
      </c>
      <c r="C2237">
        <f>IF('R.M Billets Reports'!A2236="V.No.",'R.M Billets Reports'!B2236,IF(ROW()=2,"",C2236))</f>
      </c>
      <c r="D2237">
        <f>IF('R.M Billets Reports'!A2236&lt;&gt;"",'R.M Billets Reports'!A2236,IF(ROW()=2,"",D2236))</f>
      </c>
      <c r="E2237">
        <f>IF('R.M Billets Reports'!B2236="","",TRIM('R.M Billets Reports'!B2236))</f>
      </c>
      <c r="F2237">
        <f>'R.M Billets Reports'!C2236</f>
      </c>
      <c r="G2237">
        <f>'R.M Billets Reports'!D2236</f>
      </c>
      <c r="H2237">
        <f>'R.M Billets Reports'!E2236</f>
      </c>
      <c r="I2237">
        <f>'R.M Billets Reports'!F2236</f>
      </c>
      <c r="J2237">
        <f>'R.M Billets Reports'!G2236</f>
      </c>
      <c r="K2237">
        <f>'R.M Billets Reports'!H2236</f>
      </c>
      <c r="L2237">
        <f>IF('R.M Billets Reports'!I2236="","",'R.M Billets Reports'!I2236)</f>
      </c>
      <c r="M2237">
        <f t="shared" si="68"/>
      </c>
      <c r="N2237">
        <f>IF('R.M Billets Reports'!J2236="","",'R.M Billets Reports'!J2236)</f>
      </c>
      <c r="O2237">
        <f t="shared" si="69"/>
      </c>
      <c r="P2237">
        <f>IF('R.M Billets Reports'!A2236="SIZE",'R.M Billets Reports'!B2236,P2236)</f>
      </c>
    </row>
    <row r="2238" spans="1:16" x14ac:dyDescent="0.25">
      <c r="A2238">
        <f>IF(OR('R.M Billets Reports'!A2237="Date-",'R.M Billets Reports'!A2237="Date:-"),IF(IF(IF(ISNUMBER(SEARCH("Party Name:-",'R.M Billets Reports'!D2237)),TRIM('R.M Billets Reports'!F2237),IF(ISNUMBER(SEARCH("Party Name-",'R.M Billets Reports'!D2237)),TRIM(MID('R.M Billets Reports'!D2237,SEARCH("-",'R.M Billets Reports'!D2237)+1,200)),""))&lt;&gt;"",IF(ISNUMBER(SEARCH("Party Name:-",'R.M Billets Reports'!D2237)),TRIM('R.M Billets Reports'!F2237),IF(ISNUMBER(SEARCH("Party Name-",'R.M Billets Reports'!D2237)),TRIM(MID('R.M Billets Reports'!D2237,SEARCH("-",'R.M Billets Reports'!D2237)+1,200)),"")),IF(ISNUMBER(SEARCH("Party Name:-",'R.M Billets Reports'!D2238)),TRIM('R.M Billets Reports'!F2238),IF(ISNUMBER(SEARCH("Party Name-",'R.M Billets Reports'!D2238)),TRIM(MID('R.M Billets Reports'!D2238,SEARCH("-",'R.M Billets Reports'!D2238)+1,200)),"")))="VRKP ISPAT PVT LTD","VRKP",IF(IF(IF(ISNUMBER(SEARCH("Party Name:-",'R.M Billets Reports'!D2237)),TRIM('R.M Billets Reports'!F2237),IF(ISNUMBER(SEARCH("Party Name-",'R.M Billets Reports'!D2237)),TRIM(MID('R.M Billets Reports'!D2237,SEARCH("-",'R.M Billets Reports'!D2237)+1,200)),""))&lt;&gt;"",IF(ISNUMBER(SEARCH("Party Name:-",'R.M Billets Reports'!D2237)),TRIM('R.M Billets Reports'!F2237),IF(ISNUMBER(SEARCH("Party Name-",'R.M Billets Reports'!D2237)),TRIM(MID('R.M Billets Reports'!D2237,SEARCH("-",'R.M Billets Reports'!D2237)+1,200)),"")),IF(ISNUMBER(SEARCH("Party Name:-",'R.M Billets Reports'!D2238)),TRIM('R.M Billets Reports'!F2238),IF(ISNUMBER(SEARCH("Party Name-",'R.M Billets Reports'!D2238)),TRIM(MID('R.M Billets Reports'!D2238,SEARCH("-",'R.M Billets Reports'!D2238)+1,200)),"")))="SHRI RADHE","SHREE RADHE",IF(IF(IF(ISNUMBER(SEARCH("Party Name:-",'R.M Billets Reports'!D2237)),TRIM('R.M Billets Reports'!F2237),IF(ISNUMBER(SEARCH("Party Name-",'R.M Billets Reports'!D2237)),TRIM(MID('R.M Billets Reports'!D2237,SEARCH("-",'R.M Billets Reports'!D2237)+1,200)),""))&lt;&gt;"",IF(ISNUMBER(SEARCH("Party Name:-",'R.M Billets Reports'!D2237)),TRIM('R.M Billets Reports'!F2237),IF(ISNUMBER(SEARCH("Party Name-",'R.M Billets Reports'!D2237)),TRIM(MID('R.M Billets Reports'!D2237,SEARCH("-",'R.M Billets Reports'!D2237)+1,200)),"")),IF(ISNUMBER(SEARCH("Party Name:-",'R.M Billets Reports'!D2238)),TRIM('R.M Billets Reports'!F2238),IF(ISNUMBER(SEARCH("Party Name-",'R.M Billets Reports'!D2238)),TRIM(MID('R.M Billets Reports'!D2238,SEARCH("-",'R.M Billets Reports'!D2238)+1,200)),"")))="SHREE RADHE SHAKTI SPONGE AND POWER PVT. LTD.","SHREE RADHE",IF(IF(ISNUMBER(SEARCH("Party Name:-",'R.M Billets Reports'!D2237)),TRIM('R.M Billets Reports'!F2237),IF(ISNUMBER(SEARCH("Party Name-",'R.M Billets Reports'!D2237)),TRIM(MID('R.M Billets Reports'!D2237,SEARCH("-",'R.M Billets Reports'!D2237)+1,200)),""))&lt;&gt;"",IF(ISNUMBER(SEARCH("Party Name:-",'R.M Billets Reports'!D2237)),TRIM('R.M Billets Reports'!F2237),IF(ISNUMBER(SEARCH("Party Name-",'R.M Billets Reports'!D2237)),TRIM(MID('R.M Billets Reports'!D2237,SEARCH("-",'R.M Billets Reports'!D2237)+1,200)),"")),IF(ISNUMBER(SEARCH("Party Name:-",'R.M Billets Reports'!D2238)),TRIM('R.M Billets Reports'!F2238),IF(ISNUMBER(SEARCH("Party Name-",'R.M Billets Reports'!D2238)),TRIM(MID('R.M Billets Reports'!D2238,SEARCH("-",'R.M Billets Reports'!D2238)+1,200)),"")))))),IF(ROW()=2,"",A2237))</f>
      </c>
      <c r="B2238">
        <f>IF(OR('R.M Billets Reports'!A2237="Date-",'R.M Billets Reports'!A2237="Date:-"),'R.M Billets Reports'!B2237,IF(ROW()=2,"",B2237))</f>
      </c>
      <c r="C2238">
        <f>IF('R.M Billets Reports'!A2237="V.No.",'R.M Billets Reports'!B2237,IF(ROW()=2,"",C2237))</f>
      </c>
      <c r="D2238">
        <f>IF('R.M Billets Reports'!A2237&lt;&gt;"",'R.M Billets Reports'!A2237,IF(ROW()=2,"",D2237))</f>
      </c>
      <c r="E2238">
        <f>IF('R.M Billets Reports'!B2237="","",TRIM('R.M Billets Reports'!B2237))</f>
      </c>
      <c r="F2238">
        <f>'R.M Billets Reports'!C2237</f>
      </c>
      <c r="G2238">
        <f>'R.M Billets Reports'!D2237</f>
      </c>
      <c r="H2238">
        <f>'R.M Billets Reports'!E2237</f>
      </c>
      <c r="I2238">
        <f>'R.M Billets Reports'!F2237</f>
      </c>
      <c r="J2238">
        <f>'R.M Billets Reports'!G2237</f>
      </c>
      <c r="K2238">
        <f>'R.M Billets Reports'!H2237</f>
      </c>
      <c r="L2238">
        <f>IF('R.M Billets Reports'!I2237="","",'R.M Billets Reports'!I2237)</f>
      </c>
      <c r="M2238">
        <f t="shared" si="68"/>
      </c>
      <c r="N2238">
        <f>IF('R.M Billets Reports'!J2237="","",'R.M Billets Reports'!J2237)</f>
      </c>
      <c r="O2238">
        <f t="shared" si="69"/>
      </c>
      <c r="P2238">
        <f>IF('R.M Billets Reports'!A2237="SIZE",'R.M Billets Reports'!B2237,P2237)</f>
      </c>
    </row>
    <row r="2239" spans="1:16" x14ac:dyDescent="0.25">
      <c r="A2239">
        <f>IF(OR('R.M Billets Reports'!A2238="Date-",'R.M Billets Reports'!A2238="Date:-"),IF(IF(IF(ISNUMBER(SEARCH("Party Name:-",'R.M Billets Reports'!D2238)),TRIM('R.M Billets Reports'!F2238),IF(ISNUMBER(SEARCH("Party Name-",'R.M Billets Reports'!D2238)),TRIM(MID('R.M Billets Reports'!D2238,SEARCH("-",'R.M Billets Reports'!D2238)+1,200)),""))&lt;&gt;"",IF(ISNUMBER(SEARCH("Party Name:-",'R.M Billets Reports'!D2238)),TRIM('R.M Billets Reports'!F2238),IF(ISNUMBER(SEARCH("Party Name-",'R.M Billets Reports'!D2238)),TRIM(MID('R.M Billets Reports'!D2238,SEARCH("-",'R.M Billets Reports'!D2238)+1,200)),"")),IF(ISNUMBER(SEARCH("Party Name:-",'R.M Billets Reports'!D2239)),TRIM('R.M Billets Reports'!F2239),IF(ISNUMBER(SEARCH("Party Name-",'R.M Billets Reports'!D2239)),TRIM(MID('R.M Billets Reports'!D2239,SEARCH("-",'R.M Billets Reports'!D2239)+1,200)),"")))="VRKP ISPAT PVT LTD","VRKP",IF(IF(IF(ISNUMBER(SEARCH("Party Name:-",'R.M Billets Reports'!D2238)),TRIM('R.M Billets Reports'!F2238),IF(ISNUMBER(SEARCH("Party Name-",'R.M Billets Reports'!D2238)),TRIM(MID('R.M Billets Reports'!D2238,SEARCH("-",'R.M Billets Reports'!D2238)+1,200)),""))&lt;&gt;"",IF(ISNUMBER(SEARCH("Party Name:-",'R.M Billets Reports'!D2238)),TRIM('R.M Billets Reports'!F2238),IF(ISNUMBER(SEARCH("Party Name-",'R.M Billets Reports'!D2238)),TRIM(MID('R.M Billets Reports'!D2238,SEARCH("-",'R.M Billets Reports'!D2238)+1,200)),"")),IF(ISNUMBER(SEARCH("Party Name:-",'R.M Billets Reports'!D2239)),TRIM('R.M Billets Reports'!F2239),IF(ISNUMBER(SEARCH("Party Name-",'R.M Billets Reports'!D2239)),TRIM(MID('R.M Billets Reports'!D2239,SEARCH("-",'R.M Billets Reports'!D2239)+1,200)),"")))="SHRI RADHE","SHREE RADHE",IF(IF(IF(ISNUMBER(SEARCH("Party Name:-",'R.M Billets Reports'!D2238)),TRIM('R.M Billets Reports'!F2238),IF(ISNUMBER(SEARCH("Party Name-",'R.M Billets Reports'!D2238)),TRIM(MID('R.M Billets Reports'!D2238,SEARCH("-",'R.M Billets Reports'!D2238)+1,200)),""))&lt;&gt;"",IF(ISNUMBER(SEARCH("Party Name:-",'R.M Billets Reports'!D2238)),TRIM('R.M Billets Reports'!F2238),IF(ISNUMBER(SEARCH("Party Name-",'R.M Billets Reports'!D2238)),TRIM(MID('R.M Billets Reports'!D2238,SEARCH("-",'R.M Billets Reports'!D2238)+1,200)),"")),IF(ISNUMBER(SEARCH("Party Name:-",'R.M Billets Reports'!D2239)),TRIM('R.M Billets Reports'!F2239),IF(ISNUMBER(SEARCH("Party Name-",'R.M Billets Reports'!D2239)),TRIM(MID('R.M Billets Reports'!D2239,SEARCH("-",'R.M Billets Reports'!D2239)+1,200)),"")))="SHREE RADHE SHAKTI SPONGE AND POWER PVT. LTD.","SHREE RADHE",IF(IF(ISNUMBER(SEARCH("Party Name:-",'R.M Billets Reports'!D2238)),TRIM('R.M Billets Reports'!F2238),IF(ISNUMBER(SEARCH("Party Name-",'R.M Billets Reports'!D2238)),TRIM(MID('R.M Billets Reports'!D2238,SEARCH("-",'R.M Billets Reports'!D2238)+1,200)),""))&lt;&gt;"",IF(ISNUMBER(SEARCH("Party Name:-",'R.M Billets Reports'!D2238)),TRIM('R.M Billets Reports'!F2238),IF(ISNUMBER(SEARCH("Party Name-",'R.M Billets Reports'!D2238)),TRIM(MID('R.M Billets Reports'!D2238,SEARCH("-",'R.M Billets Reports'!D2238)+1,200)),"")),IF(ISNUMBER(SEARCH("Party Name:-",'R.M Billets Reports'!D2239)),TRIM('R.M Billets Reports'!F2239),IF(ISNUMBER(SEARCH("Party Name-",'R.M Billets Reports'!D2239)),TRIM(MID('R.M Billets Reports'!D2239,SEARCH("-",'R.M Billets Reports'!D2239)+1,200)),"")))))),IF(ROW()=2,"",A2238))</f>
      </c>
      <c r="B2239">
        <f>IF(OR('R.M Billets Reports'!A2238="Date-",'R.M Billets Reports'!A2238="Date:-"),'R.M Billets Reports'!B2238,IF(ROW()=2,"",B2238))</f>
      </c>
      <c r="C2239">
        <f>IF('R.M Billets Reports'!A2238="V.No.",'R.M Billets Reports'!B2238,IF(ROW()=2,"",C2238))</f>
      </c>
      <c r="D2239">
        <f>IF('R.M Billets Reports'!A2238&lt;&gt;"",'R.M Billets Reports'!A2238,IF(ROW()=2,"",D2238))</f>
      </c>
      <c r="E2239">
        <f>IF('R.M Billets Reports'!B2238="","",TRIM('R.M Billets Reports'!B2238))</f>
      </c>
      <c r="F2239">
        <f>'R.M Billets Reports'!C2238</f>
      </c>
      <c r="G2239">
        <f>'R.M Billets Reports'!D2238</f>
      </c>
      <c r="H2239">
        <f>'R.M Billets Reports'!E2238</f>
      </c>
      <c r="I2239">
        <f>'R.M Billets Reports'!F2238</f>
      </c>
      <c r="J2239">
        <f>'R.M Billets Reports'!G2238</f>
      </c>
      <c r="K2239">
        <f>'R.M Billets Reports'!H2238</f>
      </c>
      <c r="L2239">
        <f>IF('R.M Billets Reports'!I2238="","",'R.M Billets Reports'!I2238)</f>
      </c>
      <c r="M2239">
        <f t="shared" si="68"/>
      </c>
      <c r="N2239">
        <f>IF('R.M Billets Reports'!J2238="","",'R.M Billets Reports'!J2238)</f>
      </c>
      <c r="O2239">
        <f t="shared" si="69"/>
      </c>
      <c r="P2239">
        <f>IF('R.M Billets Reports'!A2238="SIZE",'R.M Billets Reports'!B2238,P2238)</f>
      </c>
    </row>
    <row r="2240" spans="1:16" x14ac:dyDescent="0.25">
      <c r="A2240">
        <f>IF(OR('R.M Billets Reports'!A2239="Date-",'R.M Billets Reports'!A2239="Date:-"),IF(IF(IF(ISNUMBER(SEARCH("Party Name:-",'R.M Billets Reports'!D2239)),TRIM('R.M Billets Reports'!F2239),IF(ISNUMBER(SEARCH("Party Name-",'R.M Billets Reports'!D2239)),TRIM(MID('R.M Billets Reports'!D2239,SEARCH("-",'R.M Billets Reports'!D2239)+1,200)),""))&lt;&gt;"",IF(ISNUMBER(SEARCH("Party Name:-",'R.M Billets Reports'!D2239)),TRIM('R.M Billets Reports'!F2239),IF(ISNUMBER(SEARCH("Party Name-",'R.M Billets Reports'!D2239)),TRIM(MID('R.M Billets Reports'!D2239,SEARCH("-",'R.M Billets Reports'!D2239)+1,200)),"")),IF(ISNUMBER(SEARCH("Party Name:-",'R.M Billets Reports'!D2240)),TRIM('R.M Billets Reports'!F2240),IF(ISNUMBER(SEARCH("Party Name-",'R.M Billets Reports'!D2240)),TRIM(MID('R.M Billets Reports'!D2240,SEARCH("-",'R.M Billets Reports'!D2240)+1,200)),"")))="VRKP ISPAT PVT LTD","VRKP",IF(IF(IF(ISNUMBER(SEARCH("Party Name:-",'R.M Billets Reports'!D2239)),TRIM('R.M Billets Reports'!F2239),IF(ISNUMBER(SEARCH("Party Name-",'R.M Billets Reports'!D2239)),TRIM(MID('R.M Billets Reports'!D2239,SEARCH("-",'R.M Billets Reports'!D2239)+1,200)),""))&lt;&gt;"",IF(ISNUMBER(SEARCH("Party Name:-",'R.M Billets Reports'!D2239)),TRIM('R.M Billets Reports'!F2239),IF(ISNUMBER(SEARCH("Party Name-",'R.M Billets Reports'!D2239)),TRIM(MID('R.M Billets Reports'!D2239,SEARCH("-",'R.M Billets Reports'!D2239)+1,200)),"")),IF(ISNUMBER(SEARCH("Party Name:-",'R.M Billets Reports'!D2240)),TRIM('R.M Billets Reports'!F2240),IF(ISNUMBER(SEARCH("Party Name-",'R.M Billets Reports'!D2240)),TRIM(MID('R.M Billets Reports'!D2240,SEARCH("-",'R.M Billets Reports'!D2240)+1,200)),"")))="SHRI RADHE","SHREE RADHE",IF(IF(IF(ISNUMBER(SEARCH("Party Name:-",'R.M Billets Reports'!D2239)),TRIM('R.M Billets Reports'!F2239),IF(ISNUMBER(SEARCH("Party Name-",'R.M Billets Reports'!D2239)),TRIM(MID('R.M Billets Reports'!D2239,SEARCH("-",'R.M Billets Reports'!D2239)+1,200)),""))&lt;&gt;"",IF(ISNUMBER(SEARCH("Party Name:-",'R.M Billets Reports'!D2239)),TRIM('R.M Billets Reports'!F2239),IF(ISNUMBER(SEARCH("Party Name-",'R.M Billets Reports'!D2239)),TRIM(MID('R.M Billets Reports'!D2239,SEARCH("-",'R.M Billets Reports'!D2239)+1,200)),"")),IF(ISNUMBER(SEARCH("Party Name:-",'R.M Billets Reports'!D2240)),TRIM('R.M Billets Reports'!F2240),IF(ISNUMBER(SEARCH("Party Name-",'R.M Billets Reports'!D2240)),TRIM(MID('R.M Billets Reports'!D2240,SEARCH("-",'R.M Billets Reports'!D2240)+1,200)),"")))="SHREE RADHE SHAKTI SPONGE AND POWER PVT. LTD.","SHREE RADHE",IF(IF(ISNUMBER(SEARCH("Party Name:-",'R.M Billets Reports'!D2239)),TRIM('R.M Billets Reports'!F2239),IF(ISNUMBER(SEARCH("Party Name-",'R.M Billets Reports'!D2239)),TRIM(MID('R.M Billets Reports'!D2239,SEARCH("-",'R.M Billets Reports'!D2239)+1,200)),""))&lt;&gt;"",IF(ISNUMBER(SEARCH("Party Name:-",'R.M Billets Reports'!D2239)),TRIM('R.M Billets Reports'!F2239),IF(ISNUMBER(SEARCH("Party Name-",'R.M Billets Reports'!D2239)),TRIM(MID('R.M Billets Reports'!D2239,SEARCH("-",'R.M Billets Reports'!D2239)+1,200)),"")),IF(ISNUMBER(SEARCH("Party Name:-",'R.M Billets Reports'!D2240)),TRIM('R.M Billets Reports'!F2240),IF(ISNUMBER(SEARCH("Party Name-",'R.M Billets Reports'!D2240)),TRIM(MID('R.M Billets Reports'!D2240,SEARCH("-",'R.M Billets Reports'!D2240)+1,200)),"")))))),IF(ROW()=2,"",A2239))</f>
      </c>
      <c r="B2240">
        <f>IF(OR('R.M Billets Reports'!A2239="Date-",'R.M Billets Reports'!A2239="Date:-"),'R.M Billets Reports'!B2239,IF(ROW()=2,"",B2239))</f>
      </c>
      <c r="C2240">
        <f>IF('R.M Billets Reports'!A2239="V.No.",'R.M Billets Reports'!B2239,IF(ROW()=2,"",C2239))</f>
      </c>
      <c r="D2240">
        <f>IF('R.M Billets Reports'!A2239&lt;&gt;"",'R.M Billets Reports'!A2239,IF(ROW()=2,"",D2239))</f>
      </c>
      <c r="E2240">
        <f>IF('R.M Billets Reports'!B2239="","",TRIM('R.M Billets Reports'!B2239))</f>
      </c>
      <c r="F2240">
        <f>'R.M Billets Reports'!C2239</f>
      </c>
      <c r="G2240">
        <f>'R.M Billets Reports'!D2239</f>
      </c>
      <c r="H2240">
        <f>'R.M Billets Reports'!E2239</f>
      </c>
      <c r="I2240">
        <f>'R.M Billets Reports'!F2239</f>
      </c>
      <c r="J2240">
        <f>'R.M Billets Reports'!G2239</f>
      </c>
      <c r="K2240">
        <f>'R.M Billets Reports'!H2239</f>
      </c>
      <c r="L2240">
        <f>IF('R.M Billets Reports'!I2239="","",'R.M Billets Reports'!I2239)</f>
      </c>
      <c r="M2240">
        <f t="shared" si="68"/>
      </c>
      <c r="N2240">
        <f>IF('R.M Billets Reports'!J2239="","",'R.M Billets Reports'!J2239)</f>
      </c>
      <c r="O2240">
        <f t="shared" si="69"/>
      </c>
      <c r="P2240">
        <f>IF('R.M Billets Reports'!A2239="SIZE",'R.M Billets Reports'!B2239,P2239)</f>
      </c>
    </row>
    <row r="2241" spans="1:16" x14ac:dyDescent="0.25">
      <c r="A2241">
        <f>IF(OR('R.M Billets Reports'!A2240="Date-",'R.M Billets Reports'!A2240="Date:-"),IF(IF(IF(ISNUMBER(SEARCH("Party Name:-",'R.M Billets Reports'!D2240)),TRIM('R.M Billets Reports'!F2240),IF(ISNUMBER(SEARCH("Party Name-",'R.M Billets Reports'!D2240)),TRIM(MID('R.M Billets Reports'!D2240,SEARCH("-",'R.M Billets Reports'!D2240)+1,200)),""))&lt;&gt;"",IF(ISNUMBER(SEARCH("Party Name:-",'R.M Billets Reports'!D2240)),TRIM('R.M Billets Reports'!F2240),IF(ISNUMBER(SEARCH("Party Name-",'R.M Billets Reports'!D2240)),TRIM(MID('R.M Billets Reports'!D2240,SEARCH("-",'R.M Billets Reports'!D2240)+1,200)),"")),IF(ISNUMBER(SEARCH("Party Name:-",'R.M Billets Reports'!D2241)),TRIM('R.M Billets Reports'!F2241),IF(ISNUMBER(SEARCH("Party Name-",'R.M Billets Reports'!D2241)),TRIM(MID('R.M Billets Reports'!D2241,SEARCH("-",'R.M Billets Reports'!D2241)+1,200)),"")))="VRKP ISPAT PVT LTD","VRKP",IF(IF(IF(ISNUMBER(SEARCH("Party Name:-",'R.M Billets Reports'!D2240)),TRIM('R.M Billets Reports'!F2240),IF(ISNUMBER(SEARCH("Party Name-",'R.M Billets Reports'!D2240)),TRIM(MID('R.M Billets Reports'!D2240,SEARCH("-",'R.M Billets Reports'!D2240)+1,200)),""))&lt;&gt;"",IF(ISNUMBER(SEARCH("Party Name:-",'R.M Billets Reports'!D2240)),TRIM('R.M Billets Reports'!F2240),IF(ISNUMBER(SEARCH("Party Name-",'R.M Billets Reports'!D2240)),TRIM(MID('R.M Billets Reports'!D2240,SEARCH("-",'R.M Billets Reports'!D2240)+1,200)),"")),IF(ISNUMBER(SEARCH("Party Name:-",'R.M Billets Reports'!D2241)),TRIM('R.M Billets Reports'!F2241),IF(ISNUMBER(SEARCH("Party Name-",'R.M Billets Reports'!D2241)),TRIM(MID('R.M Billets Reports'!D2241,SEARCH("-",'R.M Billets Reports'!D2241)+1,200)),"")))="SHRI RADHE","SHREE RADHE",IF(IF(IF(ISNUMBER(SEARCH("Party Name:-",'R.M Billets Reports'!D2240)),TRIM('R.M Billets Reports'!F2240),IF(ISNUMBER(SEARCH("Party Name-",'R.M Billets Reports'!D2240)),TRIM(MID('R.M Billets Reports'!D2240,SEARCH("-",'R.M Billets Reports'!D2240)+1,200)),""))&lt;&gt;"",IF(ISNUMBER(SEARCH("Party Name:-",'R.M Billets Reports'!D2240)),TRIM('R.M Billets Reports'!F2240),IF(ISNUMBER(SEARCH("Party Name-",'R.M Billets Reports'!D2240)),TRIM(MID('R.M Billets Reports'!D2240,SEARCH("-",'R.M Billets Reports'!D2240)+1,200)),"")),IF(ISNUMBER(SEARCH("Party Name:-",'R.M Billets Reports'!D2241)),TRIM('R.M Billets Reports'!F2241),IF(ISNUMBER(SEARCH("Party Name-",'R.M Billets Reports'!D2241)),TRIM(MID('R.M Billets Reports'!D2241,SEARCH("-",'R.M Billets Reports'!D2241)+1,200)),"")))="SHREE RADHE SHAKTI SPONGE AND POWER PVT. LTD.","SHREE RADHE",IF(IF(ISNUMBER(SEARCH("Party Name:-",'R.M Billets Reports'!D2240)),TRIM('R.M Billets Reports'!F2240),IF(ISNUMBER(SEARCH("Party Name-",'R.M Billets Reports'!D2240)),TRIM(MID('R.M Billets Reports'!D2240,SEARCH("-",'R.M Billets Reports'!D2240)+1,200)),""))&lt;&gt;"",IF(ISNUMBER(SEARCH("Party Name:-",'R.M Billets Reports'!D2240)),TRIM('R.M Billets Reports'!F2240),IF(ISNUMBER(SEARCH("Party Name-",'R.M Billets Reports'!D2240)),TRIM(MID('R.M Billets Reports'!D2240,SEARCH("-",'R.M Billets Reports'!D2240)+1,200)),"")),IF(ISNUMBER(SEARCH("Party Name:-",'R.M Billets Reports'!D2241)),TRIM('R.M Billets Reports'!F2241),IF(ISNUMBER(SEARCH("Party Name-",'R.M Billets Reports'!D2241)),TRIM(MID('R.M Billets Reports'!D2241,SEARCH("-",'R.M Billets Reports'!D2241)+1,200)),"")))))),IF(ROW()=2,"",A2240))</f>
      </c>
      <c r="B2241">
        <f>IF(OR('R.M Billets Reports'!A2240="Date-",'R.M Billets Reports'!A2240="Date:-"),'R.M Billets Reports'!B2240,IF(ROW()=2,"",B2240))</f>
      </c>
      <c r="C2241">
        <f>IF('R.M Billets Reports'!A2240="V.No.",'R.M Billets Reports'!B2240,IF(ROW()=2,"",C2240))</f>
      </c>
      <c r="D2241">
        <f>IF('R.M Billets Reports'!A2240&lt;&gt;"",'R.M Billets Reports'!A2240,IF(ROW()=2,"",D2240))</f>
      </c>
      <c r="E2241">
        <f>IF('R.M Billets Reports'!B2240="","",TRIM('R.M Billets Reports'!B2240))</f>
      </c>
      <c r="F2241">
        <f>'R.M Billets Reports'!C2240</f>
      </c>
      <c r="G2241">
        <f>'R.M Billets Reports'!D2240</f>
      </c>
      <c r="H2241">
        <f>'R.M Billets Reports'!E2240</f>
      </c>
      <c r="I2241">
        <f>'R.M Billets Reports'!F2240</f>
      </c>
      <c r="J2241">
        <f>'R.M Billets Reports'!G2240</f>
      </c>
      <c r="K2241">
        <f>'R.M Billets Reports'!H2240</f>
      </c>
      <c r="L2241">
        <f>IF('R.M Billets Reports'!I2240="","",'R.M Billets Reports'!I2240)</f>
      </c>
      <c r="M2241">
        <f t="shared" si="68"/>
      </c>
      <c r="N2241">
        <f>IF('R.M Billets Reports'!J2240="","",'R.M Billets Reports'!J2240)</f>
      </c>
      <c r="O2241">
        <f t="shared" si="69"/>
      </c>
      <c r="P2241">
        <f>IF('R.M Billets Reports'!A2240="SIZE",'R.M Billets Reports'!B2240,P2240)</f>
      </c>
    </row>
    <row r="2242" spans="1:16" x14ac:dyDescent="0.25">
      <c r="A2242">
        <f>IF(OR('R.M Billets Reports'!A2241="Date-",'R.M Billets Reports'!A2241="Date:-"),IF(IF(IF(ISNUMBER(SEARCH("Party Name:-",'R.M Billets Reports'!D2241)),TRIM('R.M Billets Reports'!F2241),IF(ISNUMBER(SEARCH("Party Name-",'R.M Billets Reports'!D2241)),TRIM(MID('R.M Billets Reports'!D2241,SEARCH("-",'R.M Billets Reports'!D2241)+1,200)),""))&lt;&gt;"",IF(ISNUMBER(SEARCH("Party Name:-",'R.M Billets Reports'!D2241)),TRIM('R.M Billets Reports'!F2241),IF(ISNUMBER(SEARCH("Party Name-",'R.M Billets Reports'!D2241)),TRIM(MID('R.M Billets Reports'!D2241,SEARCH("-",'R.M Billets Reports'!D2241)+1,200)),"")),IF(ISNUMBER(SEARCH("Party Name:-",'R.M Billets Reports'!D2242)),TRIM('R.M Billets Reports'!F2242),IF(ISNUMBER(SEARCH("Party Name-",'R.M Billets Reports'!D2242)),TRIM(MID('R.M Billets Reports'!D2242,SEARCH("-",'R.M Billets Reports'!D2242)+1,200)),"")))="VRKP ISPAT PVT LTD","VRKP",IF(IF(IF(ISNUMBER(SEARCH("Party Name:-",'R.M Billets Reports'!D2241)),TRIM('R.M Billets Reports'!F2241),IF(ISNUMBER(SEARCH("Party Name-",'R.M Billets Reports'!D2241)),TRIM(MID('R.M Billets Reports'!D2241,SEARCH("-",'R.M Billets Reports'!D2241)+1,200)),""))&lt;&gt;"",IF(ISNUMBER(SEARCH("Party Name:-",'R.M Billets Reports'!D2241)),TRIM('R.M Billets Reports'!F2241),IF(ISNUMBER(SEARCH("Party Name-",'R.M Billets Reports'!D2241)),TRIM(MID('R.M Billets Reports'!D2241,SEARCH("-",'R.M Billets Reports'!D2241)+1,200)),"")),IF(ISNUMBER(SEARCH("Party Name:-",'R.M Billets Reports'!D2242)),TRIM('R.M Billets Reports'!F2242),IF(ISNUMBER(SEARCH("Party Name-",'R.M Billets Reports'!D2242)),TRIM(MID('R.M Billets Reports'!D2242,SEARCH("-",'R.M Billets Reports'!D2242)+1,200)),"")))="SHRI RADHE","SHREE RADHE",IF(IF(IF(ISNUMBER(SEARCH("Party Name:-",'R.M Billets Reports'!D2241)),TRIM('R.M Billets Reports'!F2241),IF(ISNUMBER(SEARCH("Party Name-",'R.M Billets Reports'!D2241)),TRIM(MID('R.M Billets Reports'!D2241,SEARCH("-",'R.M Billets Reports'!D2241)+1,200)),""))&lt;&gt;"",IF(ISNUMBER(SEARCH("Party Name:-",'R.M Billets Reports'!D2241)),TRIM('R.M Billets Reports'!F2241),IF(ISNUMBER(SEARCH("Party Name-",'R.M Billets Reports'!D2241)),TRIM(MID('R.M Billets Reports'!D2241,SEARCH("-",'R.M Billets Reports'!D2241)+1,200)),"")),IF(ISNUMBER(SEARCH("Party Name:-",'R.M Billets Reports'!D2242)),TRIM('R.M Billets Reports'!F2242),IF(ISNUMBER(SEARCH("Party Name-",'R.M Billets Reports'!D2242)),TRIM(MID('R.M Billets Reports'!D2242,SEARCH("-",'R.M Billets Reports'!D2242)+1,200)),"")))="SHREE RADHE SHAKTI SPONGE AND POWER PVT. LTD.","SHREE RADHE",IF(IF(ISNUMBER(SEARCH("Party Name:-",'R.M Billets Reports'!D2241)),TRIM('R.M Billets Reports'!F2241),IF(ISNUMBER(SEARCH("Party Name-",'R.M Billets Reports'!D2241)),TRIM(MID('R.M Billets Reports'!D2241,SEARCH("-",'R.M Billets Reports'!D2241)+1,200)),""))&lt;&gt;"",IF(ISNUMBER(SEARCH("Party Name:-",'R.M Billets Reports'!D2241)),TRIM('R.M Billets Reports'!F2241),IF(ISNUMBER(SEARCH("Party Name-",'R.M Billets Reports'!D2241)),TRIM(MID('R.M Billets Reports'!D2241,SEARCH("-",'R.M Billets Reports'!D2241)+1,200)),"")),IF(ISNUMBER(SEARCH("Party Name:-",'R.M Billets Reports'!D2242)),TRIM('R.M Billets Reports'!F2242),IF(ISNUMBER(SEARCH("Party Name-",'R.M Billets Reports'!D2242)),TRIM(MID('R.M Billets Reports'!D2242,SEARCH("-",'R.M Billets Reports'!D2242)+1,200)),"")))))),IF(ROW()=2,"",A2241))</f>
      </c>
      <c r="B2242">
        <f>IF(OR('R.M Billets Reports'!A2241="Date-",'R.M Billets Reports'!A2241="Date:-"),'R.M Billets Reports'!B2241,IF(ROW()=2,"",B2241))</f>
      </c>
      <c r="C2242">
        <f>IF('R.M Billets Reports'!A2241="V.No.",'R.M Billets Reports'!B2241,IF(ROW()=2,"",C2241))</f>
      </c>
      <c r="D2242">
        <f>IF('R.M Billets Reports'!A2241&lt;&gt;"",'R.M Billets Reports'!A2241,IF(ROW()=2,"",D2241))</f>
      </c>
      <c r="E2242">
        <f>IF('R.M Billets Reports'!B2241="","",TRIM('R.M Billets Reports'!B2241))</f>
      </c>
      <c r="F2242">
        <f>'R.M Billets Reports'!C2241</f>
      </c>
      <c r="G2242">
        <f>'R.M Billets Reports'!D2241</f>
      </c>
      <c r="H2242">
        <f>'R.M Billets Reports'!E2241</f>
      </c>
      <c r="I2242">
        <f>'R.M Billets Reports'!F2241</f>
      </c>
      <c r="J2242">
        <f>'R.M Billets Reports'!G2241</f>
      </c>
      <c r="K2242">
        <f>'R.M Billets Reports'!H2241</f>
      </c>
      <c r="L2242">
        <f>IF('R.M Billets Reports'!I2241="","",'R.M Billets Reports'!I2241)</f>
      </c>
      <c r="M2242">
        <f t="shared" si="68"/>
      </c>
      <c r="N2242">
        <f>IF('R.M Billets Reports'!J2241="","",'R.M Billets Reports'!J2241)</f>
      </c>
      <c r="O2242">
        <f t="shared" si="69"/>
      </c>
      <c r="P2242">
        <f>IF('R.M Billets Reports'!A2241="SIZE",'R.M Billets Reports'!B2241,P2241)</f>
      </c>
    </row>
    <row r="2243" spans="1:16" x14ac:dyDescent="0.25">
      <c r="A2243">
        <f>IF(OR('R.M Billets Reports'!A2242="Date-",'R.M Billets Reports'!A2242="Date:-"),IF(IF(IF(ISNUMBER(SEARCH("Party Name:-",'R.M Billets Reports'!D2242)),TRIM('R.M Billets Reports'!F2242),IF(ISNUMBER(SEARCH("Party Name-",'R.M Billets Reports'!D2242)),TRIM(MID('R.M Billets Reports'!D2242,SEARCH("-",'R.M Billets Reports'!D2242)+1,200)),""))&lt;&gt;"",IF(ISNUMBER(SEARCH("Party Name:-",'R.M Billets Reports'!D2242)),TRIM('R.M Billets Reports'!F2242),IF(ISNUMBER(SEARCH("Party Name-",'R.M Billets Reports'!D2242)),TRIM(MID('R.M Billets Reports'!D2242,SEARCH("-",'R.M Billets Reports'!D2242)+1,200)),"")),IF(ISNUMBER(SEARCH("Party Name:-",'R.M Billets Reports'!D2243)),TRIM('R.M Billets Reports'!F2243),IF(ISNUMBER(SEARCH("Party Name-",'R.M Billets Reports'!D2243)),TRIM(MID('R.M Billets Reports'!D2243,SEARCH("-",'R.M Billets Reports'!D2243)+1,200)),"")))="VRKP ISPAT PVT LTD","VRKP",IF(IF(IF(ISNUMBER(SEARCH("Party Name:-",'R.M Billets Reports'!D2242)),TRIM('R.M Billets Reports'!F2242),IF(ISNUMBER(SEARCH("Party Name-",'R.M Billets Reports'!D2242)),TRIM(MID('R.M Billets Reports'!D2242,SEARCH("-",'R.M Billets Reports'!D2242)+1,200)),""))&lt;&gt;"",IF(ISNUMBER(SEARCH("Party Name:-",'R.M Billets Reports'!D2242)),TRIM('R.M Billets Reports'!F2242),IF(ISNUMBER(SEARCH("Party Name-",'R.M Billets Reports'!D2242)),TRIM(MID('R.M Billets Reports'!D2242,SEARCH("-",'R.M Billets Reports'!D2242)+1,200)),"")),IF(ISNUMBER(SEARCH("Party Name:-",'R.M Billets Reports'!D2243)),TRIM('R.M Billets Reports'!F2243),IF(ISNUMBER(SEARCH("Party Name-",'R.M Billets Reports'!D2243)),TRIM(MID('R.M Billets Reports'!D2243,SEARCH("-",'R.M Billets Reports'!D2243)+1,200)),"")))="SHRI RADHE","SHREE RADHE",IF(IF(IF(ISNUMBER(SEARCH("Party Name:-",'R.M Billets Reports'!D2242)),TRIM('R.M Billets Reports'!F2242),IF(ISNUMBER(SEARCH("Party Name-",'R.M Billets Reports'!D2242)),TRIM(MID('R.M Billets Reports'!D2242,SEARCH("-",'R.M Billets Reports'!D2242)+1,200)),""))&lt;&gt;"",IF(ISNUMBER(SEARCH("Party Name:-",'R.M Billets Reports'!D2242)),TRIM('R.M Billets Reports'!F2242),IF(ISNUMBER(SEARCH("Party Name-",'R.M Billets Reports'!D2242)),TRIM(MID('R.M Billets Reports'!D2242,SEARCH("-",'R.M Billets Reports'!D2242)+1,200)),"")),IF(ISNUMBER(SEARCH("Party Name:-",'R.M Billets Reports'!D2243)),TRIM('R.M Billets Reports'!F2243),IF(ISNUMBER(SEARCH("Party Name-",'R.M Billets Reports'!D2243)),TRIM(MID('R.M Billets Reports'!D2243,SEARCH("-",'R.M Billets Reports'!D2243)+1,200)),"")))="SHREE RADHE SHAKTI SPONGE AND POWER PVT. LTD.","SHREE RADHE",IF(IF(ISNUMBER(SEARCH("Party Name:-",'R.M Billets Reports'!D2242)),TRIM('R.M Billets Reports'!F2242),IF(ISNUMBER(SEARCH("Party Name-",'R.M Billets Reports'!D2242)),TRIM(MID('R.M Billets Reports'!D2242,SEARCH("-",'R.M Billets Reports'!D2242)+1,200)),""))&lt;&gt;"",IF(ISNUMBER(SEARCH("Party Name:-",'R.M Billets Reports'!D2242)),TRIM('R.M Billets Reports'!F2242),IF(ISNUMBER(SEARCH("Party Name-",'R.M Billets Reports'!D2242)),TRIM(MID('R.M Billets Reports'!D2242,SEARCH("-",'R.M Billets Reports'!D2242)+1,200)),"")),IF(ISNUMBER(SEARCH("Party Name:-",'R.M Billets Reports'!D2243)),TRIM('R.M Billets Reports'!F2243),IF(ISNUMBER(SEARCH("Party Name-",'R.M Billets Reports'!D2243)),TRIM(MID('R.M Billets Reports'!D2243,SEARCH("-",'R.M Billets Reports'!D2243)+1,200)),"")))))),IF(ROW()=2,"",A2242))</f>
      </c>
      <c r="B2243">
        <f>IF(OR('R.M Billets Reports'!A2242="Date-",'R.M Billets Reports'!A2242="Date:-"),'R.M Billets Reports'!B2242,IF(ROW()=2,"",B2242))</f>
      </c>
      <c r="C2243">
        <f>IF('R.M Billets Reports'!A2242="V.No.",'R.M Billets Reports'!B2242,IF(ROW()=2,"",C2242))</f>
      </c>
      <c r="D2243">
        <f>IF('R.M Billets Reports'!A2242&lt;&gt;"",'R.M Billets Reports'!A2242,IF(ROW()=2,"",D2242))</f>
      </c>
      <c r="E2243">
        <f>IF('R.M Billets Reports'!B2242="","",TRIM('R.M Billets Reports'!B2242))</f>
      </c>
      <c r="F2243">
        <f>'R.M Billets Reports'!C2242</f>
      </c>
      <c r="G2243">
        <f>'R.M Billets Reports'!D2242</f>
      </c>
      <c r="H2243">
        <f>'R.M Billets Reports'!E2242</f>
      </c>
      <c r="I2243">
        <f>'R.M Billets Reports'!F2242</f>
      </c>
      <c r="J2243">
        <f>'R.M Billets Reports'!G2242</f>
      </c>
      <c r="K2243">
        <f>'R.M Billets Reports'!H2242</f>
      </c>
      <c r="L2243">
        <f>IF('R.M Billets Reports'!I2242="","",'R.M Billets Reports'!I2242)</f>
      </c>
      <c r="M2243">
        <f t="shared" ref="M2243:M2306" si="70">IF(L2243&lt;&gt;"",L2243,IF(D2243=D2242,M2242,""))</f>
      </c>
      <c r="N2243">
        <f>IF('R.M Billets Reports'!J2242="","",'R.M Billets Reports'!J2242)</f>
      </c>
      <c r="O2243">
        <f t="shared" ref="O2243:O2306" si="71">IF(N2243&lt;&gt;"",N2243,IF(D2243=D2242,O2242,""))</f>
      </c>
      <c r="P2243">
        <f>IF('R.M Billets Reports'!A2242="SIZE",'R.M Billets Reports'!B2242,P2242)</f>
      </c>
    </row>
    <row r="2244" spans="1:16" x14ac:dyDescent="0.25">
      <c r="A2244">
        <f>IF(OR('R.M Billets Reports'!A2243="Date-",'R.M Billets Reports'!A2243="Date:-"),IF(IF(IF(ISNUMBER(SEARCH("Party Name:-",'R.M Billets Reports'!D2243)),TRIM('R.M Billets Reports'!F2243),IF(ISNUMBER(SEARCH("Party Name-",'R.M Billets Reports'!D2243)),TRIM(MID('R.M Billets Reports'!D2243,SEARCH("-",'R.M Billets Reports'!D2243)+1,200)),""))&lt;&gt;"",IF(ISNUMBER(SEARCH("Party Name:-",'R.M Billets Reports'!D2243)),TRIM('R.M Billets Reports'!F2243),IF(ISNUMBER(SEARCH("Party Name-",'R.M Billets Reports'!D2243)),TRIM(MID('R.M Billets Reports'!D2243,SEARCH("-",'R.M Billets Reports'!D2243)+1,200)),"")),IF(ISNUMBER(SEARCH("Party Name:-",'R.M Billets Reports'!D2244)),TRIM('R.M Billets Reports'!F2244),IF(ISNUMBER(SEARCH("Party Name-",'R.M Billets Reports'!D2244)),TRIM(MID('R.M Billets Reports'!D2244,SEARCH("-",'R.M Billets Reports'!D2244)+1,200)),"")))="VRKP ISPAT PVT LTD","VRKP",IF(IF(IF(ISNUMBER(SEARCH("Party Name:-",'R.M Billets Reports'!D2243)),TRIM('R.M Billets Reports'!F2243),IF(ISNUMBER(SEARCH("Party Name-",'R.M Billets Reports'!D2243)),TRIM(MID('R.M Billets Reports'!D2243,SEARCH("-",'R.M Billets Reports'!D2243)+1,200)),""))&lt;&gt;"",IF(ISNUMBER(SEARCH("Party Name:-",'R.M Billets Reports'!D2243)),TRIM('R.M Billets Reports'!F2243),IF(ISNUMBER(SEARCH("Party Name-",'R.M Billets Reports'!D2243)),TRIM(MID('R.M Billets Reports'!D2243,SEARCH("-",'R.M Billets Reports'!D2243)+1,200)),"")),IF(ISNUMBER(SEARCH("Party Name:-",'R.M Billets Reports'!D2244)),TRIM('R.M Billets Reports'!F2244),IF(ISNUMBER(SEARCH("Party Name-",'R.M Billets Reports'!D2244)),TRIM(MID('R.M Billets Reports'!D2244,SEARCH("-",'R.M Billets Reports'!D2244)+1,200)),"")))="SHRI RADHE","SHREE RADHE",IF(IF(IF(ISNUMBER(SEARCH("Party Name:-",'R.M Billets Reports'!D2243)),TRIM('R.M Billets Reports'!F2243),IF(ISNUMBER(SEARCH("Party Name-",'R.M Billets Reports'!D2243)),TRIM(MID('R.M Billets Reports'!D2243,SEARCH("-",'R.M Billets Reports'!D2243)+1,200)),""))&lt;&gt;"",IF(ISNUMBER(SEARCH("Party Name:-",'R.M Billets Reports'!D2243)),TRIM('R.M Billets Reports'!F2243),IF(ISNUMBER(SEARCH("Party Name-",'R.M Billets Reports'!D2243)),TRIM(MID('R.M Billets Reports'!D2243,SEARCH("-",'R.M Billets Reports'!D2243)+1,200)),"")),IF(ISNUMBER(SEARCH("Party Name:-",'R.M Billets Reports'!D2244)),TRIM('R.M Billets Reports'!F2244),IF(ISNUMBER(SEARCH("Party Name-",'R.M Billets Reports'!D2244)),TRIM(MID('R.M Billets Reports'!D2244,SEARCH("-",'R.M Billets Reports'!D2244)+1,200)),"")))="SHREE RADHE SHAKTI SPONGE AND POWER PVT. LTD.","SHREE RADHE",IF(IF(ISNUMBER(SEARCH("Party Name:-",'R.M Billets Reports'!D2243)),TRIM('R.M Billets Reports'!F2243),IF(ISNUMBER(SEARCH("Party Name-",'R.M Billets Reports'!D2243)),TRIM(MID('R.M Billets Reports'!D2243,SEARCH("-",'R.M Billets Reports'!D2243)+1,200)),""))&lt;&gt;"",IF(ISNUMBER(SEARCH("Party Name:-",'R.M Billets Reports'!D2243)),TRIM('R.M Billets Reports'!F2243),IF(ISNUMBER(SEARCH("Party Name-",'R.M Billets Reports'!D2243)),TRIM(MID('R.M Billets Reports'!D2243,SEARCH("-",'R.M Billets Reports'!D2243)+1,200)),"")),IF(ISNUMBER(SEARCH("Party Name:-",'R.M Billets Reports'!D2244)),TRIM('R.M Billets Reports'!F2244),IF(ISNUMBER(SEARCH("Party Name-",'R.M Billets Reports'!D2244)),TRIM(MID('R.M Billets Reports'!D2244,SEARCH("-",'R.M Billets Reports'!D2244)+1,200)),"")))))),IF(ROW()=2,"",A2243))</f>
      </c>
      <c r="B2244">
        <f>IF(OR('R.M Billets Reports'!A2243="Date-",'R.M Billets Reports'!A2243="Date:-"),'R.M Billets Reports'!B2243,IF(ROW()=2,"",B2243))</f>
      </c>
      <c r="C2244">
        <f>IF('R.M Billets Reports'!A2243="V.No.",'R.M Billets Reports'!B2243,IF(ROW()=2,"",C2243))</f>
      </c>
      <c r="D2244">
        <f>IF('R.M Billets Reports'!A2243&lt;&gt;"",'R.M Billets Reports'!A2243,IF(ROW()=2,"",D2243))</f>
      </c>
      <c r="E2244">
        <f>IF('R.M Billets Reports'!B2243="","",TRIM('R.M Billets Reports'!B2243))</f>
      </c>
      <c r="F2244">
        <f>'R.M Billets Reports'!C2243</f>
      </c>
      <c r="G2244">
        <f>'R.M Billets Reports'!D2243</f>
      </c>
      <c r="H2244">
        <f>'R.M Billets Reports'!E2243</f>
      </c>
      <c r="I2244">
        <f>'R.M Billets Reports'!F2243</f>
      </c>
      <c r="J2244">
        <f>'R.M Billets Reports'!G2243</f>
      </c>
      <c r="K2244">
        <f>'R.M Billets Reports'!H2243</f>
      </c>
      <c r="L2244">
        <f>IF('R.M Billets Reports'!I2243="","",'R.M Billets Reports'!I2243)</f>
      </c>
      <c r="M2244">
        <f t="shared" si="70"/>
      </c>
      <c r="N2244">
        <f>IF('R.M Billets Reports'!J2243="","",'R.M Billets Reports'!J2243)</f>
      </c>
      <c r="O2244">
        <f t="shared" si="71"/>
      </c>
      <c r="P2244">
        <f>IF('R.M Billets Reports'!A2243="SIZE",'R.M Billets Reports'!B2243,P2243)</f>
      </c>
    </row>
    <row r="2245" spans="1:16" x14ac:dyDescent="0.25">
      <c r="A2245">
        <f>IF(OR('R.M Billets Reports'!A2244="Date-",'R.M Billets Reports'!A2244="Date:-"),IF(IF(IF(ISNUMBER(SEARCH("Party Name:-",'R.M Billets Reports'!D2244)),TRIM('R.M Billets Reports'!F2244),IF(ISNUMBER(SEARCH("Party Name-",'R.M Billets Reports'!D2244)),TRIM(MID('R.M Billets Reports'!D2244,SEARCH("-",'R.M Billets Reports'!D2244)+1,200)),""))&lt;&gt;"",IF(ISNUMBER(SEARCH("Party Name:-",'R.M Billets Reports'!D2244)),TRIM('R.M Billets Reports'!F2244),IF(ISNUMBER(SEARCH("Party Name-",'R.M Billets Reports'!D2244)),TRIM(MID('R.M Billets Reports'!D2244,SEARCH("-",'R.M Billets Reports'!D2244)+1,200)),"")),IF(ISNUMBER(SEARCH("Party Name:-",'R.M Billets Reports'!D2245)),TRIM('R.M Billets Reports'!F2245),IF(ISNUMBER(SEARCH("Party Name-",'R.M Billets Reports'!D2245)),TRIM(MID('R.M Billets Reports'!D2245,SEARCH("-",'R.M Billets Reports'!D2245)+1,200)),"")))="VRKP ISPAT PVT LTD","VRKP",IF(IF(IF(ISNUMBER(SEARCH("Party Name:-",'R.M Billets Reports'!D2244)),TRIM('R.M Billets Reports'!F2244),IF(ISNUMBER(SEARCH("Party Name-",'R.M Billets Reports'!D2244)),TRIM(MID('R.M Billets Reports'!D2244,SEARCH("-",'R.M Billets Reports'!D2244)+1,200)),""))&lt;&gt;"",IF(ISNUMBER(SEARCH("Party Name:-",'R.M Billets Reports'!D2244)),TRIM('R.M Billets Reports'!F2244),IF(ISNUMBER(SEARCH("Party Name-",'R.M Billets Reports'!D2244)),TRIM(MID('R.M Billets Reports'!D2244,SEARCH("-",'R.M Billets Reports'!D2244)+1,200)),"")),IF(ISNUMBER(SEARCH("Party Name:-",'R.M Billets Reports'!D2245)),TRIM('R.M Billets Reports'!F2245),IF(ISNUMBER(SEARCH("Party Name-",'R.M Billets Reports'!D2245)),TRIM(MID('R.M Billets Reports'!D2245,SEARCH("-",'R.M Billets Reports'!D2245)+1,200)),"")))="SHRI RADHE","SHREE RADHE",IF(IF(IF(ISNUMBER(SEARCH("Party Name:-",'R.M Billets Reports'!D2244)),TRIM('R.M Billets Reports'!F2244),IF(ISNUMBER(SEARCH("Party Name-",'R.M Billets Reports'!D2244)),TRIM(MID('R.M Billets Reports'!D2244,SEARCH("-",'R.M Billets Reports'!D2244)+1,200)),""))&lt;&gt;"",IF(ISNUMBER(SEARCH("Party Name:-",'R.M Billets Reports'!D2244)),TRIM('R.M Billets Reports'!F2244),IF(ISNUMBER(SEARCH("Party Name-",'R.M Billets Reports'!D2244)),TRIM(MID('R.M Billets Reports'!D2244,SEARCH("-",'R.M Billets Reports'!D2244)+1,200)),"")),IF(ISNUMBER(SEARCH("Party Name:-",'R.M Billets Reports'!D2245)),TRIM('R.M Billets Reports'!F2245),IF(ISNUMBER(SEARCH("Party Name-",'R.M Billets Reports'!D2245)),TRIM(MID('R.M Billets Reports'!D2245,SEARCH("-",'R.M Billets Reports'!D2245)+1,200)),"")))="SHREE RADHE SHAKTI SPONGE AND POWER PVT. LTD.","SHREE RADHE",IF(IF(ISNUMBER(SEARCH("Party Name:-",'R.M Billets Reports'!D2244)),TRIM('R.M Billets Reports'!F2244),IF(ISNUMBER(SEARCH("Party Name-",'R.M Billets Reports'!D2244)),TRIM(MID('R.M Billets Reports'!D2244,SEARCH("-",'R.M Billets Reports'!D2244)+1,200)),""))&lt;&gt;"",IF(ISNUMBER(SEARCH("Party Name:-",'R.M Billets Reports'!D2244)),TRIM('R.M Billets Reports'!F2244),IF(ISNUMBER(SEARCH("Party Name-",'R.M Billets Reports'!D2244)),TRIM(MID('R.M Billets Reports'!D2244,SEARCH("-",'R.M Billets Reports'!D2244)+1,200)),"")),IF(ISNUMBER(SEARCH("Party Name:-",'R.M Billets Reports'!D2245)),TRIM('R.M Billets Reports'!F2245),IF(ISNUMBER(SEARCH("Party Name-",'R.M Billets Reports'!D2245)),TRIM(MID('R.M Billets Reports'!D2245,SEARCH("-",'R.M Billets Reports'!D2245)+1,200)),"")))))),IF(ROW()=2,"",A2244))</f>
      </c>
      <c r="B2245">
        <f>IF(OR('R.M Billets Reports'!A2244="Date-",'R.M Billets Reports'!A2244="Date:-"),'R.M Billets Reports'!B2244,IF(ROW()=2,"",B2244))</f>
      </c>
      <c r="C2245">
        <f>IF('R.M Billets Reports'!A2244="V.No.",'R.M Billets Reports'!B2244,IF(ROW()=2,"",C2244))</f>
      </c>
      <c r="D2245">
        <f>IF('R.M Billets Reports'!A2244&lt;&gt;"",'R.M Billets Reports'!A2244,IF(ROW()=2,"",D2244))</f>
      </c>
      <c r="E2245">
        <f>IF('R.M Billets Reports'!B2244="","",TRIM('R.M Billets Reports'!B2244))</f>
      </c>
      <c r="F2245">
        <f>'R.M Billets Reports'!C2244</f>
      </c>
      <c r="G2245">
        <f>'R.M Billets Reports'!D2244</f>
      </c>
      <c r="H2245">
        <f>'R.M Billets Reports'!E2244</f>
      </c>
      <c r="I2245">
        <f>'R.M Billets Reports'!F2244</f>
      </c>
      <c r="J2245">
        <f>'R.M Billets Reports'!G2244</f>
      </c>
      <c r="K2245">
        <f>'R.M Billets Reports'!H2244</f>
      </c>
      <c r="L2245">
        <f>IF('R.M Billets Reports'!I2244="","",'R.M Billets Reports'!I2244)</f>
      </c>
      <c r="M2245">
        <f t="shared" si="70"/>
      </c>
      <c r="N2245">
        <f>IF('R.M Billets Reports'!J2244="","",'R.M Billets Reports'!J2244)</f>
      </c>
      <c r="O2245">
        <f t="shared" si="71"/>
      </c>
      <c r="P2245">
        <f>IF('R.M Billets Reports'!A2244="SIZE",'R.M Billets Reports'!B2244,P2244)</f>
      </c>
    </row>
    <row r="2246" spans="1:16" x14ac:dyDescent="0.25">
      <c r="A2246">
        <f>IF(OR('R.M Billets Reports'!A2245="Date-",'R.M Billets Reports'!A2245="Date:-"),IF(IF(IF(ISNUMBER(SEARCH("Party Name:-",'R.M Billets Reports'!D2245)),TRIM('R.M Billets Reports'!F2245),IF(ISNUMBER(SEARCH("Party Name-",'R.M Billets Reports'!D2245)),TRIM(MID('R.M Billets Reports'!D2245,SEARCH("-",'R.M Billets Reports'!D2245)+1,200)),""))&lt;&gt;"",IF(ISNUMBER(SEARCH("Party Name:-",'R.M Billets Reports'!D2245)),TRIM('R.M Billets Reports'!F2245),IF(ISNUMBER(SEARCH("Party Name-",'R.M Billets Reports'!D2245)),TRIM(MID('R.M Billets Reports'!D2245,SEARCH("-",'R.M Billets Reports'!D2245)+1,200)),"")),IF(ISNUMBER(SEARCH("Party Name:-",'R.M Billets Reports'!D2246)),TRIM('R.M Billets Reports'!F2246),IF(ISNUMBER(SEARCH("Party Name-",'R.M Billets Reports'!D2246)),TRIM(MID('R.M Billets Reports'!D2246,SEARCH("-",'R.M Billets Reports'!D2246)+1,200)),"")))="VRKP ISPAT PVT LTD","VRKP",IF(IF(IF(ISNUMBER(SEARCH("Party Name:-",'R.M Billets Reports'!D2245)),TRIM('R.M Billets Reports'!F2245),IF(ISNUMBER(SEARCH("Party Name-",'R.M Billets Reports'!D2245)),TRIM(MID('R.M Billets Reports'!D2245,SEARCH("-",'R.M Billets Reports'!D2245)+1,200)),""))&lt;&gt;"",IF(ISNUMBER(SEARCH("Party Name:-",'R.M Billets Reports'!D2245)),TRIM('R.M Billets Reports'!F2245),IF(ISNUMBER(SEARCH("Party Name-",'R.M Billets Reports'!D2245)),TRIM(MID('R.M Billets Reports'!D2245,SEARCH("-",'R.M Billets Reports'!D2245)+1,200)),"")),IF(ISNUMBER(SEARCH("Party Name:-",'R.M Billets Reports'!D2246)),TRIM('R.M Billets Reports'!F2246),IF(ISNUMBER(SEARCH("Party Name-",'R.M Billets Reports'!D2246)),TRIM(MID('R.M Billets Reports'!D2246,SEARCH("-",'R.M Billets Reports'!D2246)+1,200)),"")))="SHRI RADHE","SHREE RADHE",IF(IF(IF(ISNUMBER(SEARCH("Party Name:-",'R.M Billets Reports'!D2245)),TRIM('R.M Billets Reports'!F2245),IF(ISNUMBER(SEARCH("Party Name-",'R.M Billets Reports'!D2245)),TRIM(MID('R.M Billets Reports'!D2245,SEARCH("-",'R.M Billets Reports'!D2245)+1,200)),""))&lt;&gt;"",IF(ISNUMBER(SEARCH("Party Name:-",'R.M Billets Reports'!D2245)),TRIM('R.M Billets Reports'!F2245),IF(ISNUMBER(SEARCH("Party Name-",'R.M Billets Reports'!D2245)),TRIM(MID('R.M Billets Reports'!D2245,SEARCH("-",'R.M Billets Reports'!D2245)+1,200)),"")),IF(ISNUMBER(SEARCH("Party Name:-",'R.M Billets Reports'!D2246)),TRIM('R.M Billets Reports'!F2246),IF(ISNUMBER(SEARCH("Party Name-",'R.M Billets Reports'!D2246)),TRIM(MID('R.M Billets Reports'!D2246,SEARCH("-",'R.M Billets Reports'!D2246)+1,200)),"")))="SHREE RADHE SHAKTI SPONGE AND POWER PVT. LTD.","SHREE RADHE",IF(IF(ISNUMBER(SEARCH("Party Name:-",'R.M Billets Reports'!D2245)),TRIM('R.M Billets Reports'!F2245),IF(ISNUMBER(SEARCH("Party Name-",'R.M Billets Reports'!D2245)),TRIM(MID('R.M Billets Reports'!D2245,SEARCH("-",'R.M Billets Reports'!D2245)+1,200)),""))&lt;&gt;"",IF(ISNUMBER(SEARCH("Party Name:-",'R.M Billets Reports'!D2245)),TRIM('R.M Billets Reports'!F2245),IF(ISNUMBER(SEARCH("Party Name-",'R.M Billets Reports'!D2245)),TRIM(MID('R.M Billets Reports'!D2245,SEARCH("-",'R.M Billets Reports'!D2245)+1,200)),"")),IF(ISNUMBER(SEARCH("Party Name:-",'R.M Billets Reports'!D2246)),TRIM('R.M Billets Reports'!F2246),IF(ISNUMBER(SEARCH("Party Name-",'R.M Billets Reports'!D2246)),TRIM(MID('R.M Billets Reports'!D2246,SEARCH("-",'R.M Billets Reports'!D2246)+1,200)),"")))))),IF(ROW()=2,"",A2245))</f>
      </c>
      <c r="B2246">
        <f>IF(OR('R.M Billets Reports'!A2245="Date-",'R.M Billets Reports'!A2245="Date:-"),'R.M Billets Reports'!B2245,IF(ROW()=2,"",B2245))</f>
      </c>
      <c r="C2246">
        <f>IF('R.M Billets Reports'!A2245="V.No.",'R.M Billets Reports'!B2245,IF(ROW()=2,"",C2245))</f>
      </c>
      <c r="D2246">
        <f>IF('R.M Billets Reports'!A2245&lt;&gt;"",'R.M Billets Reports'!A2245,IF(ROW()=2,"",D2245))</f>
      </c>
      <c r="E2246">
        <f>IF('R.M Billets Reports'!B2245="","",TRIM('R.M Billets Reports'!B2245))</f>
      </c>
      <c r="F2246">
        <f>'R.M Billets Reports'!C2245</f>
      </c>
      <c r="G2246">
        <f>'R.M Billets Reports'!D2245</f>
      </c>
      <c r="H2246">
        <f>'R.M Billets Reports'!E2245</f>
      </c>
      <c r="I2246">
        <f>'R.M Billets Reports'!F2245</f>
      </c>
      <c r="J2246">
        <f>'R.M Billets Reports'!G2245</f>
      </c>
      <c r="K2246">
        <f>'R.M Billets Reports'!H2245</f>
      </c>
      <c r="L2246">
        <f>IF('R.M Billets Reports'!I2245="","",'R.M Billets Reports'!I2245)</f>
      </c>
      <c r="M2246">
        <f t="shared" si="70"/>
      </c>
      <c r="N2246">
        <f>IF('R.M Billets Reports'!J2245="","",'R.M Billets Reports'!J2245)</f>
      </c>
      <c r="O2246">
        <f t="shared" si="71"/>
      </c>
      <c r="P2246">
        <f>IF('R.M Billets Reports'!A2245="SIZE",'R.M Billets Reports'!B2245,P2245)</f>
      </c>
    </row>
    <row r="2247" spans="1:16" x14ac:dyDescent="0.25">
      <c r="A2247">
        <f>IF(OR('R.M Billets Reports'!A2246="Date-",'R.M Billets Reports'!A2246="Date:-"),IF(IF(IF(ISNUMBER(SEARCH("Party Name:-",'R.M Billets Reports'!D2246)),TRIM('R.M Billets Reports'!F2246),IF(ISNUMBER(SEARCH("Party Name-",'R.M Billets Reports'!D2246)),TRIM(MID('R.M Billets Reports'!D2246,SEARCH("-",'R.M Billets Reports'!D2246)+1,200)),""))&lt;&gt;"",IF(ISNUMBER(SEARCH("Party Name:-",'R.M Billets Reports'!D2246)),TRIM('R.M Billets Reports'!F2246),IF(ISNUMBER(SEARCH("Party Name-",'R.M Billets Reports'!D2246)),TRIM(MID('R.M Billets Reports'!D2246,SEARCH("-",'R.M Billets Reports'!D2246)+1,200)),"")),IF(ISNUMBER(SEARCH("Party Name:-",'R.M Billets Reports'!D2247)),TRIM('R.M Billets Reports'!F2247),IF(ISNUMBER(SEARCH("Party Name-",'R.M Billets Reports'!D2247)),TRIM(MID('R.M Billets Reports'!D2247,SEARCH("-",'R.M Billets Reports'!D2247)+1,200)),"")))="VRKP ISPAT PVT LTD","VRKP",IF(IF(IF(ISNUMBER(SEARCH("Party Name:-",'R.M Billets Reports'!D2246)),TRIM('R.M Billets Reports'!F2246),IF(ISNUMBER(SEARCH("Party Name-",'R.M Billets Reports'!D2246)),TRIM(MID('R.M Billets Reports'!D2246,SEARCH("-",'R.M Billets Reports'!D2246)+1,200)),""))&lt;&gt;"",IF(ISNUMBER(SEARCH("Party Name:-",'R.M Billets Reports'!D2246)),TRIM('R.M Billets Reports'!F2246),IF(ISNUMBER(SEARCH("Party Name-",'R.M Billets Reports'!D2246)),TRIM(MID('R.M Billets Reports'!D2246,SEARCH("-",'R.M Billets Reports'!D2246)+1,200)),"")),IF(ISNUMBER(SEARCH("Party Name:-",'R.M Billets Reports'!D2247)),TRIM('R.M Billets Reports'!F2247),IF(ISNUMBER(SEARCH("Party Name-",'R.M Billets Reports'!D2247)),TRIM(MID('R.M Billets Reports'!D2247,SEARCH("-",'R.M Billets Reports'!D2247)+1,200)),"")))="SHRI RADHE","SHREE RADHE",IF(IF(IF(ISNUMBER(SEARCH("Party Name:-",'R.M Billets Reports'!D2246)),TRIM('R.M Billets Reports'!F2246),IF(ISNUMBER(SEARCH("Party Name-",'R.M Billets Reports'!D2246)),TRIM(MID('R.M Billets Reports'!D2246,SEARCH("-",'R.M Billets Reports'!D2246)+1,200)),""))&lt;&gt;"",IF(ISNUMBER(SEARCH("Party Name:-",'R.M Billets Reports'!D2246)),TRIM('R.M Billets Reports'!F2246),IF(ISNUMBER(SEARCH("Party Name-",'R.M Billets Reports'!D2246)),TRIM(MID('R.M Billets Reports'!D2246,SEARCH("-",'R.M Billets Reports'!D2246)+1,200)),"")),IF(ISNUMBER(SEARCH("Party Name:-",'R.M Billets Reports'!D2247)),TRIM('R.M Billets Reports'!F2247),IF(ISNUMBER(SEARCH("Party Name-",'R.M Billets Reports'!D2247)),TRIM(MID('R.M Billets Reports'!D2247,SEARCH("-",'R.M Billets Reports'!D2247)+1,200)),"")))="SHREE RADHE SHAKTI SPONGE AND POWER PVT. LTD.","SHREE RADHE",IF(IF(ISNUMBER(SEARCH("Party Name:-",'R.M Billets Reports'!D2246)),TRIM('R.M Billets Reports'!F2246),IF(ISNUMBER(SEARCH("Party Name-",'R.M Billets Reports'!D2246)),TRIM(MID('R.M Billets Reports'!D2246,SEARCH("-",'R.M Billets Reports'!D2246)+1,200)),""))&lt;&gt;"",IF(ISNUMBER(SEARCH("Party Name:-",'R.M Billets Reports'!D2246)),TRIM('R.M Billets Reports'!F2246),IF(ISNUMBER(SEARCH("Party Name-",'R.M Billets Reports'!D2246)),TRIM(MID('R.M Billets Reports'!D2246,SEARCH("-",'R.M Billets Reports'!D2246)+1,200)),"")),IF(ISNUMBER(SEARCH("Party Name:-",'R.M Billets Reports'!D2247)),TRIM('R.M Billets Reports'!F2247),IF(ISNUMBER(SEARCH("Party Name-",'R.M Billets Reports'!D2247)),TRIM(MID('R.M Billets Reports'!D2247,SEARCH("-",'R.M Billets Reports'!D2247)+1,200)),"")))))),IF(ROW()=2,"",A2246))</f>
      </c>
      <c r="B2247">
        <f>IF(OR('R.M Billets Reports'!A2246="Date-",'R.M Billets Reports'!A2246="Date:-"),'R.M Billets Reports'!B2246,IF(ROW()=2,"",B2246))</f>
      </c>
      <c r="C2247">
        <f>IF('R.M Billets Reports'!A2246="V.No.",'R.M Billets Reports'!B2246,IF(ROW()=2,"",C2246))</f>
      </c>
      <c r="D2247">
        <f>IF('R.M Billets Reports'!A2246&lt;&gt;"",'R.M Billets Reports'!A2246,IF(ROW()=2,"",D2246))</f>
      </c>
      <c r="E2247">
        <f>IF('R.M Billets Reports'!B2246="","",TRIM('R.M Billets Reports'!B2246))</f>
      </c>
      <c r="F2247">
        <f>'R.M Billets Reports'!C2246</f>
      </c>
      <c r="G2247">
        <f>'R.M Billets Reports'!D2246</f>
      </c>
      <c r="H2247">
        <f>'R.M Billets Reports'!E2246</f>
      </c>
      <c r="I2247">
        <f>'R.M Billets Reports'!F2246</f>
      </c>
      <c r="J2247">
        <f>'R.M Billets Reports'!G2246</f>
      </c>
      <c r="K2247">
        <f>'R.M Billets Reports'!H2246</f>
      </c>
      <c r="L2247">
        <f>IF('R.M Billets Reports'!I2246="","",'R.M Billets Reports'!I2246)</f>
      </c>
      <c r="M2247">
        <f t="shared" si="70"/>
      </c>
      <c r="N2247">
        <f>IF('R.M Billets Reports'!J2246="","",'R.M Billets Reports'!J2246)</f>
      </c>
      <c r="O2247">
        <f t="shared" si="71"/>
      </c>
      <c r="P2247">
        <f>IF('R.M Billets Reports'!A2246="SIZE",'R.M Billets Reports'!B2246,P2246)</f>
      </c>
    </row>
    <row r="2248" spans="1:16" x14ac:dyDescent="0.25">
      <c r="A2248">
        <f>IF(OR('R.M Billets Reports'!A2247="Date-",'R.M Billets Reports'!A2247="Date:-"),IF(IF(IF(ISNUMBER(SEARCH("Party Name:-",'R.M Billets Reports'!D2247)),TRIM('R.M Billets Reports'!F2247),IF(ISNUMBER(SEARCH("Party Name-",'R.M Billets Reports'!D2247)),TRIM(MID('R.M Billets Reports'!D2247,SEARCH("-",'R.M Billets Reports'!D2247)+1,200)),""))&lt;&gt;"",IF(ISNUMBER(SEARCH("Party Name:-",'R.M Billets Reports'!D2247)),TRIM('R.M Billets Reports'!F2247),IF(ISNUMBER(SEARCH("Party Name-",'R.M Billets Reports'!D2247)),TRIM(MID('R.M Billets Reports'!D2247,SEARCH("-",'R.M Billets Reports'!D2247)+1,200)),"")),IF(ISNUMBER(SEARCH("Party Name:-",'R.M Billets Reports'!D2248)),TRIM('R.M Billets Reports'!F2248),IF(ISNUMBER(SEARCH("Party Name-",'R.M Billets Reports'!D2248)),TRIM(MID('R.M Billets Reports'!D2248,SEARCH("-",'R.M Billets Reports'!D2248)+1,200)),"")))="VRKP ISPAT PVT LTD","VRKP",IF(IF(IF(ISNUMBER(SEARCH("Party Name:-",'R.M Billets Reports'!D2247)),TRIM('R.M Billets Reports'!F2247),IF(ISNUMBER(SEARCH("Party Name-",'R.M Billets Reports'!D2247)),TRIM(MID('R.M Billets Reports'!D2247,SEARCH("-",'R.M Billets Reports'!D2247)+1,200)),""))&lt;&gt;"",IF(ISNUMBER(SEARCH("Party Name:-",'R.M Billets Reports'!D2247)),TRIM('R.M Billets Reports'!F2247),IF(ISNUMBER(SEARCH("Party Name-",'R.M Billets Reports'!D2247)),TRIM(MID('R.M Billets Reports'!D2247,SEARCH("-",'R.M Billets Reports'!D2247)+1,200)),"")),IF(ISNUMBER(SEARCH("Party Name:-",'R.M Billets Reports'!D2248)),TRIM('R.M Billets Reports'!F2248),IF(ISNUMBER(SEARCH("Party Name-",'R.M Billets Reports'!D2248)),TRIM(MID('R.M Billets Reports'!D2248,SEARCH("-",'R.M Billets Reports'!D2248)+1,200)),"")))="SHRI RADHE","SHREE RADHE",IF(IF(IF(ISNUMBER(SEARCH("Party Name:-",'R.M Billets Reports'!D2247)),TRIM('R.M Billets Reports'!F2247),IF(ISNUMBER(SEARCH("Party Name-",'R.M Billets Reports'!D2247)),TRIM(MID('R.M Billets Reports'!D2247,SEARCH("-",'R.M Billets Reports'!D2247)+1,200)),""))&lt;&gt;"",IF(ISNUMBER(SEARCH("Party Name:-",'R.M Billets Reports'!D2247)),TRIM('R.M Billets Reports'!F2247),IF(ISNUMBER(SEARCH("Party Name-",'R.M Billets Reports'!D2247)),TRIM(MID('R.M Billets Reports'!D2247,SEARCH("-",'R.M Billets Reports'!D2247)+1,200)),"")),IF(ISNUMBER(SEARCH("Party Name:-",'R.M Billets Reports'!D2248)),TRIM('R.M Billets Reports'!F2248),IF(ISNUMBER(SEARCH("Party Name-",'R.M Billets Reports'!D2248)),TRIM(MID('R.M Billets Reports'!D2248,SEARCH("-",'R.M Billets Reports'!D2248)+1,200)),"")))="SHREE RADHE SHAKTI SPONGE AND POWER PVT. LTD.","SHREE RADHE",IF(IF(ISNUMBER(SEARCH("Party Name:-",'R.M Billets Reports'!D2247)),TRIM('R.M Billets Reports'!F2247),IF(ISNUMBER(SEARCH("Party Name-",'R.M Billets Reports'!D2247)),TRIM(MID('R.M Billets Reports'!D2247,SEARCH("-",'R.M Billets Reports'!D2247)+1,200)),""))&lt;&gt;"",IF(ISNUMBER(SEARCH("Party Name:-",'R.M Billets Reports'!D2247)),TRIM('R.M Billets Reports'!F2247),IF(ISNUMBER(SEARCH("Party Name-",'R.M Billets Reports'!D2247)),TRIM(MID('R.M Billets Reports'!D2247,SEARCH("-",'R.M Billets Reports'!D2247)+1,200)),"")),IF(ISNUMBER(SEARCH("Party Name:-",'R.M Billets Reports'!D2248)),TRIM('R.M Billets Reports'!F2248),IF(ISNUMBER(SEARCH("Party Name-",'R.M Billets Reports'!D2248)),TRIM(MID('R.M Billets Reports'!D2248,SEARCH("-",'R.M Billets Reports'!D2248)+1,200)),"")))))),IF(ROW()=2,"",A2247))</f>
      </c>
      <c r="B2248">
        <f>IF(OR('R.M Billets Reports'!A2247="Date-",'R.M Billets Reports'!A2247="Date:-"),'R.M Billets Reports'!B2247,IF(ROW()=2,"",B2247))</f>
      </c>
      <c r="C2248">
        <f>IF('R.M Billets Reports'!A2247="V.No.",'R.M Billets Reports'!B2247,IF(ROW()=2,"",C2247))</f>
      </c>
      <c r="D2248">
        <f>IF('R.M Billets Reports'!A2247&lt;&gt;"",'R.M Billets Reports'!A2247,IF(ROW()=2,"",D2247))</f>
      </c>
      <c r="E2248">
        <f>IF('R.M Billets Reports'!B2247="","",TRIM('R.M Billets Reports'!B2247))</f>
      </c>
      <c r="F2248">
        <f>'R.M Billets Reports'!C2247</f>
      </c>
      <c r="G2248">
        <f>'R.M Billets Reports'!D2247</f>
      </c>
      <c r="H2248">
        <f>'R.M Billets Reports'!E2247</f>
      </c>
      <c r="I2248">
        <f>'R.M Billets Reports'!F2247</f>
      </c>
      <c r="J2248">
        <f>'R.M Billets Reports'!G2247</f>
      </c>
      <c r="K2248">
        <f>'R.M Billets Reports'!H2247</f>
      </c>
      <c r="L2248">
        <f>IF('R.M Billets Reports'!I2247="","",'R.M Billets Reports'!I2247)</f>
      </c>
      <c r="M2248">
        <f t="shared" si="70"/>
      </c>
      <c r="N2248">
        <f>IF('R.M Billets Reports'!J2247="","",'R.M Billets Reports'!J2247)</f>
      </c>
      <c r="O2248">
        <f t="shared" si="71"/>
      </c>
      <c r="P2248">
        <f>IF('R.M Billets Reports'!A2247="SIZE",'R.M Billets Reports'!B2247,P2247)</f>
      </c>
    </row>
    <row r="2249" spans="1:16" x14ac:dyDescent="0.25">
      <c r="A2249">
        <f>IF(OR('R.M Billets Reports'!A2248="Date-",'R.M Billets Reports'!A2248="Date:-"),IF(IF(IF(ISNUMBER(SEARCH("Party Name:-",'R.M Billets Reports'!D2248)),TRIM('R.M Billets Reports'!F2248),IF(ISNUMBER(SEARCH("Party Name-",'R.M Billets Reports'!D2248)),TRIM(MID('R.M Billets Reports'!D2248,SEARCH("-",'R.M Billets Reports'!D2248)+1,200)),""))&lt;&gt;"",IF(ISNUMBER(SEARCH("Party Name:-",'R.M Billets Reports'!D2248)),TRIM('R.M Billets Reports'!F2248),IF(ISNUMBER(SEARCH("Party Name-",'R.M Billets Reports'!D2248)),TRIM(MID('R.M Billets Reports'!D2248,SEARCH("-",'R.M Billets Reports'!D2248)+1,200)),"")),IF(ISNUMBER(SEARCH("Party Name:-",'R.M Billets Reports'!D2249)),TRIM('R.M Billets Reports'!F2249),IF(ISNUMBER(SEARCH("Party Name-",'R.M Billets Reports'!D2249)),TRIM(MID('R.M Billets Reports'!D2249,SEARCH("-",'R.M Billets Reports'!D2249)+1,200)),"")))="VRKP ISPAT PVT LTD","VRKP",IF(IF(IF(ISNUMBER(SEARCH("Party Name:-",'R.M Billets Reports'!D2248)),TRIM('R.M Billets Reports'!F2248),IF(ISNUMBER(SEARCH("Party Name-",'R.M Billets Reports'!D2248)),TRIM(MID('R.M Billets Reports'!D2248,SEARCH("-",'R.M Billets Reports'!D2248)+1,200)),""))&lt;&gt;"",IF(ISNUMBER(SEARCH("Party Name:-",'R.M Billets Reports'!D2248)),TRIM('R.M Billets Reports'!F2248),IF(ISNUMBER(SEARCH("Party Name-",'R.M Billets Reports'!D2248)),TRIM(MID('R.M Billets Reports'!D2248,SEARCH("-",'R.M Billets Reports'!D2248)+1,200)),"")),IF(ISNUMBER(SEARCH("Party Name:-",'R.M Billets Reports'!D2249)),TRIM('R.M Billets Reports'!F2249),IF(ISNUMBER(SEARCH("Party Name-",'R.M Billets Reports'!D2249)),TRIM(MID('R.M Billets Reports'!D2249,SEARCH("-",'R.M Billets Reports'!D2249)+1,200)),"")))="SHRI RADHE","SHREE RADHE",IF(IF(IF(ISNUMBER(SEARCH("Party Name:-",'R.M Billets Reports'!D2248)),TRIM('R.M Billets Reports'!F2248),IF(ISNUMBER(SEARCH("Party Name-",'R.M Billets Reports'!D2248)),TRIM(MID('R.M Billets Reports'!D2248,SEARCH("-",'R.M Billets Reports'!D2248)+1,200)),""))&lt;&gt;"",IF(ISNUMBER(SEARCH("Party Name:-",'R.M Billets Reports'!D2248)),TRIM('R.M Billets Reports'!F2248),IF(ISNUMBER(SEARCH("Party Name-",'R.M Billets Reports'!D2248)),TRIM(MID('R.M Billets Reports'!D2248,SEARCH("-",'R.M Billets Reports'!D2248)+1,200)),"")),IF(ISNUMBER(SEARCH("Party Name:-",'R.M Billets Reports'!D2249)),TRIM('R.M Billets Reports'!F2249),IF(ISNUMBER(SEARCH("Party Name-",'R.M Billets Reports'!D2249)),TRIM(MID('R.M Billets Reports'!D2249,SEARCH("-",'R.M Billets Reports'!D2249)+1,200)),"")))="SHREE RADHE SHAKTI SPONGE AND POWER PVT. LTD.","SHREE RADHE",IF(IF(ISNUMBER(SEARCH("Party Name:-",'R.M Billets Reports'!D2248)),TRIM('R.M Billets Reports'!F2248),IF(ISNUMBER(SEARCH("Party Name-",'R.M Billets Reports'!D2248)),TRIM(MID('R.M Billets Reports'!D2248,SEARCH("-",'R.M Billets Reports'!D2248)+1,200)),""))&lt;&gt;"",IF(ISNUMBER(SEARCH("Party Name:-",'R.M Billets Reports'!D2248)),TRIM('R.M Billets Reports'!F2248),IF(ISNUMBER(SEARCH("Party Name-",'R.M Billets Reports'!D2248)),TRIM(MID('R.M Billets Reports'!D2248,SEARCH("-",'R.M Billets Reports'!D2248)+1,200)),"")),IF(ISNUMBER(SEARCH("Party Name:-",'R.M Billets Reports'!D2249)),TRIM('R.M Billets Reports'!F2249),IF(ISNUMBER(SEARCH("Party Name-",'R.M Billets Reports'!D2249)),TRIM(MID('R.M Billets Reports'!D2249,SEARCH("-",'R.M Billets Reports'!D2249)+1,200)),"")))))),IF(ROW()=2,"",A2248))</f>
      </c>
      <c r="B2249">
        <f>IF(OR('R.M Billets Reports'!A2248="Date-",'R.M Billets Reports'!A2248="Date:-"),'R.M Billets Reports'!B2248,IF(ROW()=2,"",B2248))</f>
      </c>
      <c r="C2249">
        <f>IF('R.M Billets Reports'!A2248="V.No.",'R.M Billets Reports'!B2248,IF(ROW()=2,"",C2248))</f>
      </c>
      <c r="D2249">
        <f>IF('R.M Billets Reports'!A2248&lt;&gt;"",'R.M Billets Reports'!A2248,IF(ROW()=2,"",D2248))</f>
      </c>
      <c r="E2249">
        <f>IF('R.M Billets Reports'!B2248="","",TRIM('R.M Billets Reports'!B2248))</f>
      </c>
      <c r="F2249">
        <f>'R.M Billets Reports'!C2248</f>
      </c>
      <c r="G2249">
        <f>'R.M Billets Reports'!D2248</f>
      </c>
      <c r="H2249">
        <f>'R.M Billets Reports'!E2248</f>
      </c>
      <c r="I2249">
        <f>'R.M Billets Reports'!F2248</f>
      </c>
      <c r="J2249">
        <f>'R.M Billets Reports'!G2248</f>
      </c>
      <c r="K2249">
        <f>'R.M Billets Reports'!H2248</f>
      </c>
      <c r="L2249">
        <f>IF('R.M Billets Reports'!I2248="","",'R.M Billets Reports'!I2248)</f>
      </c>
      <c r="M2249">
        <f t="shared" si="70"/>
      </c>
      <c r="N2249">
        <f>IF('R.M Billets Reports'!J2248="","",'R.M Billets Reports'!J2248)</f>
      </c>
      <c r="O2249">
        <f t="shared" si="71"/>
      </c>
      <c r="P2249">
        <f>IF('R.M Billets Reports'!A2248="SIZE",'R.M Billets Reports'!B2248,P2248)</f>
      </c>
    </row>
    <row r="2250" spans="1:16" x14ac:dyDescent="0.25">
      <c r="A2250">
        <f>IF(OR('R.M Billets Reports'!A2249="Date-",'R.M Billets Reports'!A2249="Date:-"),IF(IF(IF(ISNUMBER(SEARCH("Party Name:-",'R.M Billets Reports'!D2249)),TRIM('R.M Billets Reports'!F2249),IF(ISNUMBER(SEARCH("Party Name-",'R.M Billets Reports'!D2249)),TRIM(MID('R.M Billets Reports'!D2249,SEARCH("-",'R.M Billets Reports'!D2249)+1,200)),""))&lt;&gt;"",IF(ISNUMBER(SEARCH("Party Name:-",'R.M Billets Reports'!D2249)),TRIM('R.M Billets Reports'!F2249),IF(ISNUMBER(SEARCH("Party Name-",'R.M Billets Reports'!D2249)),TRIM(MID('R.M Billets Reports'!D2249,SEARCH("-",'R.M Billets Reports'!D2249)+1,200)),"")),IF(ISNUMBER(SEARCH("Party Name:-",'R.M Billets Reports'!D2250)),TRIM('R.M Billets Reports'!F2250),IF(ISNUMBER(SEARCH("Party Name-",'R.M Billets Reports'!D2250)),TRIM(MID('R.M Billets Reports'!D2250,SEARCH("-",'R.M Billets Reports'!D2250)+1,200)),"")))="VRKP ISPAT PVT LTD","VRKP",IF(IF(IF(ISNUMBER(SEARCH("Party Name:-",'R.M Billets Reports'!D2249)),TRIM('R.M Billets Reports'!F2249),IF(ISNUMBER(SEARCH("Party Name-",'R.M Billets Reports'!D2249)),TRIM(MID('R.M Billets Reports'!D2249,SEARCH("-",'R.M Billets Reports'!D2249)+1,200)),""))&lt;&gt;"",IF(ISNUMBER(SEARCH("Party Name:-",'R.M Billets Reports'!D2249)),TRIM('R.M Billets Reports'!F2249),IF(ISNUMBER(SEARCH("Party Name-",'R.M Billets Reports'!D2249)),TRIM(MID('R.M Billets Reports'!D2249,SEARCH("-",'R.M Billets Reports'!D2249)+1,200)),"")),IF(ISNUMBER(SEARCH("Party Name:-",'R.M Billets Reports'!D2250)),TRIM('R.M Billets Reports'!F2250),IF(ISNUMBER(SEARCH("Party Name-",'R.M Billets Reports'!D2250)),TRIM(MID('R.M Billets Reports'!D2250,SEARCH("-",'R.M Billets Reports'!D2250)+1,200)),"")))="SHRI RADHE","SHREE RADHE",IF(IF(IF(ISNUMBER(SEARCH("Party Name:-",'R.M Billets Reports'!D2249)),TRIM('R.M Billets Reports'!F2249),IF(ISNUMBER(SEARCH("Party Name-",'R.M Billets Reports'!D2249)),TRIM(MID('R.M Billets Reports'!D2249,SEARCH("-",'R.M Billets Reports'!D2249)+1,200)),""))&lt;&gt;"",IF(ISNUMBER(SEARCH("Party Name:-",'R.M Billets Reports'!D2249)),TRIM('R.M Billets Reports'!F2249),IF(ISNUMBER(SEARCH("Party Name-",'R.M Billets Reports'!D2249)),TRIM(MID('R.M Billets Reports'!D2249,SEARCH("-",'R.M Billets Reports'!D2249)+1,200)),"")),IF(ISNUMBER(SEARCH("Party Name:-",'R.M Billets Reports'!D2250)),TRIM('R.M Billets Reports'!F2250),IF(ISNUMBER(SEARCH("Party Name-",'R.M Billets Reports'!D2250)),TRIM(MID('R.M Billets Reports'!D2250,SEARCH("-",'R.M Billets Reports'!D2250)+1,200)),"")))="SHREE RADHE SHAKTI SPONGE AND POWER PVT. LTD.","SHREE RADHE",IF(IF(ISNUMBER(SEARCH("Party Name:-",'R.M Billets Reports'!D2249)),TRIM('R.M Billets Reports'!F2249),IF(ISNUMBER(SEARCH("Party Name-",'R.M Billets Reports'!D2249)),TRIM(MID('R.M Billets Reports'!D2249,SEARCH("-",'R.M Billets Reports'!D2249)+1,200)),""))&lt;&gt;"",IF(ISNUMBER(SEARCH("Party Name:-",'R.M Billets Reports'!D2249)),TRIM('R.M Billets Reports'!F2249),IF(ISNUMBER(SEARCH("Party Name-",'R.M Billets Reports'!D2249)),TRIM(MID('R.M Billets Reports'!D2249,SEARCH("-",'R.M Billets Reports'!D2249)+1,200)),"")),IF(ISNUMBER(SEARCH("Party Name:-",'R.M Billets Reports'!D2250)),TRIM('R.M Billets Reports'!F2250),IF(ISNUMBER(SEARCH("Party Name-",'R.M Billets Reports'!D2250)),TRIM(MID('R.M Billets Reports'!D2250,SEARCH("-",'R.M Billets Reports'!D2250)+1,200)),"")))))),IF(ROW()=2,"",A2249))</f>
      </c>
      <c r="B2250">
        <f>IF(OR('R.M Billets Reports'!A2249="Date-",'R.M Billets Reports'!A2249="Date:-"),'R.M Billets Reports'!B2249,IF(ROW()=2,"",B2249))</f>
      </c>
      <c r="C2250">
        <f>IF('R.M Billets Reports'!A2249="V.No.",'R.M Billets Reports'!B2249,IF(ROW()=2,"",C2249))</f>
      </c>
      <c r="D2250">
        <f>IF('R.M Billets Reports'!A2249&lt;&gt;"",'R.M Billets Reports'!A2249,IF(ROW()=2,"",D2249))</f>
      </c>
      <c r="E2250">
        <f>IF('R.M Billets Reports'!B2249="","",TRIM('R.M Billets Reports'!B2249))</f>
      </c>
      <c r="F2250">
        <f>'R.M Billets Reports'!C2249</f>
      </c>
      <c r="G2250">
        <f>'R.M Billets Reports'!D2249</f>
      </c>
      <c r="H2250">
        <f>'R.M Billets Reports'!E2249</f>
      </c>
      <c r="I2250">
        <f>'R.M Billets Reports'!F2249</f>
      </c>
      <c r="J2250">
        <f>'R.M Billets Reports'!G2249</f>
      </c>
      <c r="K2250">
        <f>'R.M Billets Reports'!H2249</f>
      </c>
      <c r="L2250">
        <f>IF('R.M Billets Reports'!I2249="","",'R.M Billets Reports'!I2249)</f>
      </c>
      <c r="M2250">
        <f t="shared" si="70"/>
      </c>
      <c r="N2250">
        <f>IF('R.M Billets Reports'!J2249="","",'R.M Billets Reports'!J2249)</f>
      </c>
      <c r="O2250">
        <f t="shared" si="71"/>
      </c>
      <c r="P2250">
        <f>IF('R.M Billets Reports'!A2249="SIZE",'R.M Billets Reports'!B2249,P2249)</f>
      </c>
    </row>
    <row r="2251" spans="1:16" x14ac:dyDescent="0.25">
      <c r="A2251">
        <f>IF(OR('R.M Billets Reports'!A2250="Date-",'R.M Billets Reports'!A2250="Date:-"),IF(IF(IF(ISNUMBER(SEARCH("Party Name:-",'R.M Billets Reports'!D2250)),TRIM('R.M Billets Reports'!F2250),IF(ISNUMBER(SEARCH("Party Name-",'R.M Billets Reports'!D2250)),TRIM(MID('R.M Billets Reports'!D2250,SEARCH("-",'R.M Billets Reports'!D2250)+1,200)),""))&lt;&gt;"",IF(ISNUMBER(SEARCH("Party Name:-",'R.M Billets Reports'!D2250)),TRIM('R.M Billets Reports'!F2250),IF(ISNUMBER(SEARCH("Party Name-",'R.M Billets Reports'!D2250)),TRIM(MID('R.M Billets Reports'!D2250,SEARCH("-",'R.M Billets Reports'!D2250)+1,200)),"")),IF(ISNUMBER(SEARCH("Party Name:-",'R.M Billets Reports'!D2251)),TRIM('R.M Billets Reports'!F2251),IF(ISNUMBER(SEARCH("Party Name-",'R.M Billets Reports'!D2251)),TRIM(MID('R.M Billets Reports'!D2251,SEARCH("-",'R.M Billets Reports'!D2251)+1,200)),"")))="VRKP ISPAT PVT LTD","VRKP",IF(IF(IF(ISNUMBER(SEARCH("Party Name:-",'R.M Billets Reports'!D2250)),TRIM('R.M Billets Reports'!F2250),IF(ISNUMBER(SEARCH("Party Name-",'R.M Billets Reports'!D2250)),TRIM(MID('R.M Billets Reports'!D2250,SEARCH("-",'R.M Billets Reports'!D2250)+1,200)),""))&lt;&gt;"",IF(ISNUMBER(SEARCH("Party Name:-",'R.M Billets Reports'!D2250)),TRIM('R.M Billets Reports'!F2250),IF(ISNUMBER(SEARCH("Party Name-",'R.M Billets Reports'!D2250)),TRIM(MID('R.M Billets Reports'!D2250,SEARCH("-",'R.M Billets Reports'!D2250)+1,200)),"")),IF(ISNUMBER(SEARCH("Party Name:-",'R.M Billets Reports'!D2251)),TRIM('R.M Billets Reports'!F2251),IF(ISNUMBER(SEARCH("Party Name-",'R.M Billets Reports'!D2251)),TRIM(MID('R.M Billets Reports'!D2251,SEARCH("-",'R.M Billets Reports'!D2251)+1,200)),"")))="SHRI RADHE","SHREE RADHE",IF(IF(IF(ISNUMBER(SEARCH("Party Name:-",'R.M Billets Reports'!D2250)),TRIM('R.M Billets Reports'!F2250),IF(ISNUMBER(SEARCH("Party Name-",'R.M Billets Reports'!D2250)),TRIM(MID('R.M Billets Reports'!D2250,SEARCH("-",'R.M Billets Reports'!D2250)+1,200)),""))&lt;&gt;"",IF(ISNUMBER(SEARCH("Party Name:-",'R.M Billets Reports'!D2250)),TRIM('R.M Billets Reports'!F2250),IF(ISNUMBER(SEARCH("Party Name-",'R.M Billets Reports'!D2250)),TRIM(MID('R.M Billets Reports'!D2250,SEARCH("-",'R.M Billets Reports'!D2250)+1,200)),"")),IF(ISNUMBER(SEARCH("Party Name:-",'R.M Billets Reports'!D2251)),TRIM('R.M Billets Reports'!F2251),IF(ISNUMBER(SEARCH("Party Name-",'R.M Billets Reports'!D2251)),TRIM(MID('R.M Billets Reports'!D2251,SEARCH("-",'R.M Billets Reports'!D2251)+1,200)),"")))="SHREE RADHE SHAKTI SPONGE AND POWER PVT. LTD.","SHREE RADHE",IF(IF(ISNUMBER(SEARCH("Party Name:-",'R.M Billets Reports'!D2250)),TRIM('R.M Billets Reports'!F2250),IF(ISNUMBER(SEARCH("Party Name-",'R.M Billets Reports'!D2250)),TRIM(MID('R.M Billets Reports'!D2250,SEARCH("-",'R.M Billets Reports'!D2250)+1,200)),""))&lt;&gt;"",IF(ISNUMBER(SEARCH("Party Name:-",'R.M Billets Reports'!D2250)),TRIM('R.M Billets Reports'!F2250),IF(ISNUMBER(SEARCH("Party Name-",'R.M Billets Reports'!D2250)),TRIM(MID('R.M Billets Reports'!D2250,SEARCH("-",'R.M Billets Reports'!D2250)+1,200)),"")),IF(ISNUMBER(SEARCH("Party Name:-",'R.M Billets Reports'!D2251)),TRIM('R.M Billets Reports'!F2251),IF(ISNUMBER(SEARCH("Party Name-",'R.M Billets Reports'!D2251)),TRIM(MID('R.M Billets Reports'!D2251,SEARCH("-",'R.M Billets Reports'!D2251)+1,200)),"")))))),IF(ROW()=2,"",A2250))</f>
      </c>
      <c r="B2251">
        <f>IF(OR('R.M Billets Reports'!A2250="Date-",'R.M Billets Reports'!A2250="Date:-"),'R.M Billets Reports'!B2250,IF(ROW()=2,"",B2250))</f>
      </c>
      <c r="C2251">
        <f>IF('R.M Billets Reports'!A2250="V.No.",'R.M Billets Reports'!B2250,IF(ROW()=2,"",C2250))</f>
      </c>
      <c r="D2251">
        <f>IF('R.M Billets Reports'!A2250&lt;&gt;"",'R.M Billets Reports'!A2250,IF(ROW()=2,"",D2250))</f>
      </c>
      <c r="E2251">
        <f>IF('R.M Billets Reports'!B2250="","",TRIM('R.M Billets Reports'!B2250))</f>
      </c>
      <c r="F2251">
        <f>'R.M Billets Reports'!C2250</f>
      </c>
      <c r="G2251">
        <f>'R.M Billets Reports'!D2250</f>
      </c>
      <c r="H2251">
        <f>'R.M Billets Reports'!E2250</f>
      </c>
      <c r="I2251">
        <f>'R.M Billets Reports'!F2250</f>
      </c>
      <c r="J2251">
        <f>'R.M Billets Reports'!G2250</f>
      </c>
      <c r="K2251">
        <f>'R.M Billets Reports'!H2250</f>
      </c>
      <c r="L2251">
        <f>IF('R.M Billets Reports'!I2250="","",'R.M Billets Reports'!I2250)</f>
      </c>
      <c r="M2251">
        <f t="shared" si="70"/>
      </c>
      <c r="N2251">
        <f>IF('R.M Billets Reports'!J2250="","",'R.M Billets Reports'!J2250)</f>
      </c>
      <c r="O2251">
        <f t="shared" si="71"/>
      </c>
      <c r="P2251">
        <f>IF('R.M Billets Reports'!A2250="SIZE",'R.M Billets Reports'!B2250,P2250)</f>
      </c>
    </row>
    <row r="2252" spans="1:16" x14ac:dyDescent="0.25">
      <c r="A2252">
        <f>IF(OR('R.M Billets Reports'!A2251="Date-",'R.M Billets Reports'!A2251="Date:-"),IF(IF(IF(ISNUMBER(SEARCH("Party Name:-",'R.M Billets Reports'!D2251)),TRIM('R.M Billets Reports'!F2251),IF(ISNUMBER(SEARCH("Party Name-",'R.M Billets Reports'!D2251)),TRIM(MID('R.M Billets Reports'!D2251,SEARCH("-",'R.M Billets Reports'!D2251)+1,200)),""))&lt;&gt;"",IF(ISNUMBER(SEARCH("Party Name:-",'R.M Billets Reports'!D2251)),TRIM('R.M Billets Reports'!F2251),IF(ISNUMBER(SEARCH("Party Name-",'R.M Billets Reports'!D2251)),TRIM(MID('R.M Billets Reports'!D2251,SEARCH("-",'R.M Billets Reports'!D2251)+1,200)),"")),IF(ISNUMBER(SEARCH("Party Name:-",'R.M Billets Reports'!D2252)),TRIM('R.M Billets Reports'!F2252),IF(ISNUMBER(SEARCH("Party Name-",'R.M Billets Reports'!D2252)),TRIM(MID('R.M Billets Reports'!D2252,SEARCH("-",'R.M Billets Reports'!D2252)+1,200)),"")))="VRKP ISPAT PVT LTD","VRKP",IF(IF(IF(ISNUMBER(SEARCH("Party Name:-",'R.M Billets Reports'!D2251)),TRIM('R.M Billets Reports'!F2251),IF(ISNUMBER(SEARCH("Party Name-",'R.M Billets Reports'!D2251)),TRIM(MID('R.M Billets Reports'!D2251,SEARCH("-",'R.M Billets Reports'!D2251)+1,200)),""))&lt;&gt;"",IF(ISNUMBER(SEARCH("Party Name:-",'R.M Billets Reports'!D2251)),TRIM('R.M Billets Reports'!F2251),IF(ISNUMBER(SEARCH("Party Name-",'R.M Billets Reports'!D2251)),TRIM(MID('R.M Billets Reports'!D2251,SEARCH("-",'R.M Billets Reports'!D2251)+1,200)),"")),IF(ISNUMBER(SEARCH("Party Name:-",'R.M Billets Reports'!D2252)),TRIM('R.M Billets Reports'!F2252),IF(ISNUMBER(SEARCH("Party Name-",'R.M Billets Reports'!D2252)),TRIM(MID('R.M Billets Reports'!D2252,SEARCH("-",'R.M Billets Reports'!D2252)+1,200)),"")))="SHRI RADHE","SHREE RADHE",IF(IF(IF(ISNUMBER(SEARCH("Party Name:-",'R.M Billets Reports'!D2251)),TRIM('R.M Billets Reports'!F2251),IF(ISNUMBER(SEARCH("Party Name-",'R.M Billets Reports'!D2251)),TRIM(MID('R.M Billets Reports'!D2251,SEARCH("-",'R.M Billets Reports'!D2251)+1,200)),""))&lt;&gt;"",IF(ISNUMBER(SEARCH("Party Name:-",'R.M Billets Reports'!D2251)),TRIM('R.M Billets Reports'!F2251),IF(ISNUMBER(SEARCH("Party Name-",'R.M Billets Reports'!D2251)),TRIM(MID('R.M Billets Reports'!D2251,SEARCH("-",'R.M Billets Reports'!D2251)+1,200)),"")),IF(ISNUMBER(SEARCH("Party Name:-",'R.M Billets Reports'!D2252)),TRIM('R.M Billets Reports'!F2252),IF(ISNUMBER(SEARCH("Party Name-",'R.M Billets Reports'!D2252)),TRIM(MID('R.M Billets Reports'!D2252,SEARCH("-",'R.M Billets Reports'!D2252)+1,200)),"")))="SHREE RADHE SHAKTI SPONGE AND POWER PVT. LTD.","SHREE RADHE",IF(IF(ISNUMBER(SEARCH("Party Name:-",'R.M Billets Reports'!D2251)),TRIM('R.M Billets Reports'!F2251),IF(ISNUMBER(SEARCH("Party Name-",'R.M Billets Reports'!D2251)),TRIM(MID('R.M Billets Reports'!D2251,SEARCH("-",'R.M Billets Reports'!D2251)+1,200)),""))&lt;&gt;"",IF(ISNUMBER(SEARCH("Party Name:-",'R.M Billets Reports'!D2251)),TRIM('R.M Billets Reports'!F2251),IF(ISNUMBER(SEARCH("Party Name-",'R.M Billets Reports'!D2251)),TRIM(MID('R.M Billets Reports'!D2251,SEARCH("-",'R.M Billets Reports'!D2251)+1,200)),"")),IF(ISNUMBER(SEARCH("Party Name:-",'R.M Billets Reports'!D2252)),TRIM('R.M Billets Reports'!F2252),IF(ISNUMBER(SEARCH("Party Name-",'R.M Billets Reports'!D2252)),TRIM(MID('R.M Billets Reports'!D2252,SEARCH("-",'R.M Billets Reports'!D2252)+1,200)),"")))))),IF(ROW()=2,"",A2251))</f>
      </c>
      <c r="B2252">
        <f>IF(OR('R.M Billets Reports'!A2251="Date-",'R.M Billets Reports'!A2251="Date:-"),'R.M Billets Reports'!B2251,IF(ROW()=2,"",B2251))</f>
      </c>
      <c r="C2252">
        <f>IF('R.M Billets Reports'!A2251="V.No.",'R.M Billets Reports'!B2251,IF(ROW()=2,"",C2251))</f>
      </c>
      <c r="D2252">
        <f>IF('R.M Billets Reports'!A2251&lt;&gt;"",'R.M Billets Reports'!A2251,IF(ROW()=2,"",D2251))</f>
      </c>
      <c r="E2252">
        <f>IF('R.M Billets Reports'!B2251="","",TRIM('R.M Billets Reports'!B2251))</f>
      </c>
      <c r="F2252">
        <f>'R.M Billets Reports'!C2251</f>
      </c>
      <c r="G2252">
        <f>'R.M Billets Reports'!D2251</f>
      </c>
      <c r="H2252">
        <f>'R.M Billets Reports'!E2251</f>
      </c>
      <c r="I2252">
        <f>'R.M Billets Reports'!F2251</f>
      </c>
      <c r="J2252">
        <f>'R.M Billets Reports'!G2251</f>
      </c>
      <c r="K2252">
        <f>'R.M Billets Reports'!H2251</f>
      </c>
      <c r="L2252">
        <f>IF('R.M Billets Reports'!I2251="","",'R.M Billets Reports'!I2251)</f>
      </c>
      <c r="M2252">
        <f t="shared" si="70"/>
      </c>
      <c r="N2252">
        <f>IF('R.M Billets Reports'!J2251="","",'R.M Billets Reports'!J2251)</f>
      </c>
      <c r="O2252">
        <f t="shared" si="71"/>
      </c>
      <c r="P2252">
        <f>IF('R.M Billets Reports'!A2251="SIZE",'R.M Billets Reports'!B2251,P2251)</f>
      </c>
    </row>
    <row r="2253" spans="1:16" x14ac:dyDescent="0.25">
      <c r="A2253">
        <f>IF(OR('R.M Billets Reports'!A2252="Date-",'R.M Billets Reports'!A2252="Date:-"),IF(IF(IF(ISNUMBER(SEARCH("Party Name:-",'R.M Billets Reports'!D2252)),TRIM('R.M Billets Reports'!F2252),IF(ISNUMBER(SEARCH("Party Name-",'R.M Billets Reports'!D2252)),TRIM(MID('R.M Billets Reports'!D2252,SEARCH("-",'R.M Billets Reports'!D2252)+1,200)),""))&lt;&gt;"",IF(ISNUMBER(SEARCH("Party Name:-",'R.M Billets Reports'!D2252)),TRIM('R.M Billets Reports'!F2252),IF(ISNUMBER(SEARCH("Party Name-",'R.M Billets Reports'!D2252)),TRIM(MID('R.M Billets Reports'!D2252,SEARCH("-",'R.M Billets Reports'!D2252)+1,200)),"")),IF(ISNUMBER(SEARCH("Party Name:-",'R.M Billets Reports'!D2253)),TRIM('R.M Billets Reports'!F2253),IF(ISNUMBER(SEARCH("Party Name-",'R.M Billets Reports'!D2253)),TRIM(MID('R.M Billets Reports'!D2253,SEARCH("-",'R.M Billets Reports'!D2253)+1,200)),"")))="VRKP ISPAT PVT LTD","VRKP",IF(IF(IF(ISNUMBER(SEARCH("Party Name:-",'R.M Billets Reports'!D2252)),TRIM('R.M Billets Reports'!F2252),IF(ISNUMBER(SEARCH("Party Name-",'R.M Billets Reports'!D2252)),TRIM(MID('R.M Billets Reports'!D2252,SEARCH("-",'R.M Billets Reports'!D2252)+1,200)),""))&lt;&gt;"",IF(ISNUMBER(SEARCH("Party Name:-",'R.M Billets Reports'!D2252)),TRIM('R.M Billets Reports'!F2252),IF(ISNUMBER(SEARCH("Party Name-",'R.M Billets Reports'!D2252)),TRIM(MID('R.M Billets Reports'!D2252,SEARCH("-",'R.M Billets Reports'!D2252)+1,200)),"")),IF(ISNUMBER(SEARCH("Party Name:-",'R.M Billets Reports'!D2253)),TRIM('R.M Billets Reports'!F2253),IF(ISNUMBER(SEARCH("Party Name-",'R.M Billets Reports'!D2253)),TRIM(MID('R.M Billets Reports'!D2253,SEARCH("-",'R.M Billets Reports'!D2253)+1,200)),"")))="SHRI RADHE","SHREE RADHE",IF(IF(IF(ISNUMBER(SEARCH("Party Name:-",'R.M Billets Reports'!D2252)),TRIM('R.M Billets Reports'!F2252),IF(ISNUMBER(SEARCH("Party Name-",'R.M Billets Reports'!D2252)),TRIM(MID('R.M Billets Reports'!D2252,SEARCH("-",'R.M Billets Reports'!D2252)+1,200)),""))&lt;&gt;"",IF(ISNUMBER(SEARCH("Party Name:-",'R.M Billets Reports'!D2252)),TRIM('R.M Billets Reports'!F2252),IF(ISNUMBER(SEARCH("Party Name-",'R.M Billets Reports'!D2252)),TRIM(MID('R.M Billets Reports'!D2252,SEARCH("-",'R.M Billets Reports'!D2252)+1,200)),"")),IF(ISNUMBER(SEARCH("Party Name:-",'R.M Billets Reports'!D2253)),TRIM('R.M Billets Reports'!F2253),IF(ISNUMBER(SEARCH("Party Name-",'R.M Billets Reports'!D2253)),TRIM(MID('R.M Billets Reports'!D2253,SEARCH("-",'R.M Billets Reports'!D2253)+1,200)),"")))="SHREE RADHE SHAKTI SPONGE AND POWER PVT. LTD.","SHREE RADHE",IF(IF(ISNUMBER(SEARCH("Party Name:-",'R.M Billets Reports'!D2252)),TRIM('R.M Billets Reports'!F2252),IF(ISNUMBER(SEARCH("Party Name-",'R.M Billets Reports'!D2252)),TRIM(MID('R.M Billets Reports'!D2252,SEARCH("-",'R.M Billets Reports'!D2252)+1,200)),""))&lt;&gt;"",IF(ISNUMBER(SEARCH("Party Name:-",'R.M Billets Reports'!D2252)),TRIM('R.M Billets Reports'!F2252),IF(ISNUMBER(SEARCH("Party Name-",'R.M Billets Reports'!D2252)),TRIM(MID('R.M Billets Reports'!D2252,SEARCH("-",'R.M Billets Reports'!D2252)+1,200)),"")),IF(ISNUMBER(SEARCH("Party Name:-",'R.M Billets Reports'!D2253)),TRIM('R.M Billets Reports'!F2253),IF(ISNUMBER(SEARCH("Party Name-",'R.M Billets Reports'!D2253)),TRIM(MID('R.M Billets Reports'!D2253,SEARCH("-",'R.M Billets Reports'!D2253)+1,200)),"")))))),IF(ROW()=2,"",A2252))</f>
      </c>
      <c r="B2253">
        <f>IF(OR('R.M Billets Reports'!A2252="Date-",'R.M Billets Reports'!A2252="Date:-"),'R.M Billets Reports'!B2252,IF(ROW()=2,"",B2252))</f>
      </c>
      <c r="C2253">
        <f>IF('R.M Billets Reports'!A2252="V.No.",'R.M Billets Reports'!B2252,IF(ROW()=2,"",C2252))</f>
      </c>
      <c r="D2253">
        <f>IF('R.M Billets Reports'!A2252&lt;&gt;"",'R.M Billets Reports'!A2252,IF(ROW()=2,"",D2252))</f>
      </c>
      <c r="E2253">
        <f>IF('R.M Billets Reports'!B2252="","",TRIM('R.M Billets Reports'!B2252))</f>
      </c>
      <c r="F2253">
        <f>'R.M Billets Reports'!C2252</f>
      </c>
      <c r="G2253">
        <f>'R.M Billets Reports'!D2252</f>
      </c>
      <c r="H2253">
        <f>'R.M Billets Reports'!E2252</f>
      </c>
      <c r="I2253">
        <f>'R.M Billets Reports'!F2252</f>
      </c>
      <c r="J2253">
        <f>'R.M Billets Reports'!G2252</f>
      </c>
      <c r="K2253">
        <f>'R.M Billets Reports'!H2252</f>
      </c>
      <c r="L2253">
        <f>IF('R.M Billets Reports'!I2252="","",'R.M Billets Reports'!I2252)</f>
      </c>
      <c r="M2253">
        <f t="shared" si="70"/>
      </c>
      <c r="N2253">
        <f>IF('R.M Billets Reports'!J2252="","",'R.M Billets Reports'!J2252)</f>
      </c>
      <c r="O2253">
        <f t="shared" si="71"/>
      </c>
      <c r="P2253">
        <f>IF('R.M Billets Reports'!A2252="SIZE",'R.M Billets Reports'!B2252,P2252)</f>
      </c>
    </row>
    <row r="2254" spans="1:16" x14ac:dyDescent="0.25">
      <c r="A2254">
        <f>IF(OR('R.M Billets Reports'!A2253="Date-",'R.M Billets Reports'!A2253="Date:-"),IF(IF(IF(ISNUMBER(SEARCH("Party Name:-",'R.M Billets Reports'!D2253)),TRIM('R.M Billets Reports'!F2253),IF(ISNUMBER(SEARCH("Party Name-",'R.M Billets Reports'!D2253)),TRIM(MID('R.M Billets Reports'!D2253,SEARCH("-",'R.M Billets Reports'!D2253)+1,200)),""))&lt;&gt;"",IF(ISNUMBER(SEARCH("Party Name:-",'R.M Billets Reports'!D2253)),TRIM('R.M Billets Reports'!F2253),IF(ISNUMBER(SEARCH("Party Name-",'R.M Billets Reports'!D2253)),TRIM(MID('R.M Billets Reports'!D2253,SEARCH("-",'R.M Billets Reports'!D2253)+1,200)),"")),IF(ISNUMBER(SEARCH("Party Name:-",'R.M Billets Reports'!D2254)),TRIM('R.M Billets Reports'!F2254),IF(ISNUMBER(SEARCH("Party Name-",'R.M Billets Reports'!D2254)),TRIM(MID('R.M Billets Reports'!D2254,SEARCH("-",'R.M Billets Reports'!D2254)+1,200)),"")))="VRKP ISPAT PVT LTD","VRKP",IF(IF(IF(ISNUMBER(SEARCH("Party Name:-",'R.M Billets Reports'!D2253)),TRIM('R.M Billets Reports'!F2253),IF(ISNUMBER(SEARCH("Party Name-",'R.M Billets Reports'!D2253)),TRIM(MID('R.M Billets Reports'!D2253,SEARCH("-",'R.M Billets Reports'!D2253)+1,200)),""))&lt;&gt;"",IF(ISNUMBER(SEARCH("Party Name:-",'R.M Billets Reports'!D2253)),TRIM('R.M Billets Reports'!F2253),IF(ISNUMBER(SEARCH("Party Name-",'R.M Billets Reports'!D2253)),TRIM(MID('R.M Billets Reports'!D2253,SEARCH("-",'R.M Billets Reports'!D2253)+1,200)),"")),IF(ISNUMBER(SEARCH("Party Name:-",'R.M Billets Reports'!D2254)),TRIM('R.M Billets Reports'!F2254),IF(ISNUMBER(SEARCH("Party Name-",'R.M Billets Reports'!D2254)),TRIM(MID('R.M Billets Reports'!D2254,SEARCH("-",'R.M Billets Reports'!D2254)+1,200)),"")))="SHRI RADHE","SHREE RADHE",IF(IF(IF(ISNUMBER(SEARCH("Party Name:-",'R.M Billets Reports'!D2253)),TRIM('R.M Billets Reports'!F2253),IF(ISNUMBER(SEARCH("Party Name-",'R.M Billets Reports'!D2253)),TRIM(MID('R.M Billets Reports'!D2253,SEARCH("-",'R.M Billets Reports'!D2253)+1,200)),""))&lt;&gt;"",IF(ISNUMBER(SEARCH("Party Name:-",'R.M Billets Reports'!D2253)),TRIM('R.M Billets Reports'!F2253),IF(ISNUMBER(SEARCH("Party Name-",'R.M Billets Reports'!D2253)),TRIM(MID('R.M Billets Reports'!D2253,SEARCH("-",'R.M Billets Reports'!D2253)+1,200)),"")),IF(ISNUMBER(SEARCH("Party Name:-",'R.M Billets Reports'!D2254)),TRIM('R.M Billets Reports'!F2254),IF(ISNUMBER(SEARCH("Party Name-",'R.M Billets Reports'!D2254)),TRIM(MID('R.M Billets Reports'!D2254,SEARCH("-",'R.M Billets Reports'!D2254)+1,200)),"")))="SHREE RADHE SHAKTI SPONGE AND POWER PVT. LTD.","SHREE RADHE",IF(IF(ISNUMBER(SEARCH("Party Name:-",'R.M Billets Reports'!D2253)),TRIM('R.M Billets Reports'!F2253),IF(ISNUMBER(SEARCH("Party Name-",'R.M Billets Reports'!D2253)),TRIM(MID('R.M Billets Reports'!D2253,SEARCH("-",'R.M Billets Reports'!D2253)+1,200)),""))&lt;&gt;"",IF(ISNUMBER(SEARCH("Party Name:-",'R.M Billets Reports'!D2253)),TRIM('R.M Billets Reports'!F2253),IF(ISNUMBER(SEARCH("Party Name-",'R.M Billets Reports'!D2253)),TRIM(MID('R.M Billets Reports'!D2253,SEARCH("-",'R.M Billets Reports'!D2253)+1,200)),"")),IF(ISNUMBER(SEARCH("Party Name:-",'R.M Billets Reports'!D2254)),TRIM('R.M Billets Reports'!F2254),IF(ISNUMBER(SEARCH("Party Name-",'R.M Billets Reports'!D2254)),TRIM(MID('R.M Billets Reports'!D2254,SEARCH("-",'R.M Billets Reports'!D2254)+1,200)),"")))))),IF(ROW()=2,"",A2253))</f>
      </c>
      <c r="B2254">
        <f>IF(OR('R.M Billets Reports'!A2253="Date-",'R.M Billets Reports'!A2253="Date:-"),'R.M Billets Reports'!B2253,IF(ROW()=2,"",B2253))</f>
      </c>
      <c r="C2254">
        <f>IF('R.M Billets Reports'!A2253="V.No.",'R.M Billets Reports'!B2253,IF(ROW()=2,"",C2253))</f>
      </c>
      <c r="D2254">
        <f>IF('R.M Billets Reports'!A2253&lt;&gt;"",'R.M Billets Reports'!A2253,IF(ROW()=2,"",D2253))</f>
      </c>
      <c r="E2254">
        <f>IF('R.M Billets Reports'!B2253="","",TRIM('R.M Billets Reports'!B2253))</f>
      </c>
      <c r="F2254">
        <f>'R.M Billets Reports'!C2253</f>
      </c>
      <c r="G2254">
        <f>'R.M Billets Reports'!D2253</f>
      </c>
      <c r="H2254">
        <f>'R.M Billets Reports'!E2253</f>
      </c>
      <c r="I2254">
        <f>'R.M Billets Reports'!F2253</f>
      </c>
      <c r="J2254">
        <f>'R.M Billets Reports'!G2253</f>
      </c>
      <c r="K2254">
        <f>'R.M Billets Reports'!H2253</f>
      </c>
      <c r="L2254">
        <f>IF('R.M Billets Reports'!I2253="","",'R.M Billets Reports'!I2253)</f>
      </c>
      <c r="M2254">
        <f t="shared" si="70"/>
      </c>
      <c r="N2254">
        <f>IF('R.M Billets Reports'!J2253="","",'R.M Billets Reports'!J2253)</f>
      </c>
      <c r="O2254">
        <f t="shared" si="71"/>
      </c>
      <c r="P2254">
        <f>IF('R.M Billets Reports'!A2253="SIZE",'R.M Billets Reports'!B2253,P2253)</f>
      </c>
    </row>
    <row r="2255" spans="1:16" x14ac:dyDescent="0.25">
      <c r="A2255">
        <f>IF(OR('R.M Billets Reports'!A2254="Date-",'R.M Billets Reports'!A2254="Date:-"),IF(IF(IF(ISNUMBER(SEARCH("Party Name:-",'R.M Billets Reports'!D2254)),TRIM('R.M Billets Reports'!F2254),IF(ISNUMBER(SEARCH("Party Name-",'R.M Billets Reports'!D2254)),TRIM(MID('R.M Billets Reports'!D2254,SEARCH("-",'R.M Billets Reports'!D2254)+1,200)),""))&lt;&gt;"",IF(ISNUMBER(SEARCH("Party Name:-",'R.M Billets Reports'!D2254)),TRIM('R.M Billets Reports'!F2254),IF(ISNUMBER(SEARCH("Party Name-",'R.M Billets Reports'!D2254)),TRIM(MID('R.M Billets Reports'!D2254,SEARCH("-",'R.M Billets Reports'!D2254)+1,200)),"")),IF(ISNUMBER(SEARCH("Party Name:-",'R.M Billets Reports'!D2255)),TRIM('R.M Billets Reports'!F2255),IF(ISNUMBER(SEARCH("Party Name-",'R.M Billets Reports'!D2255)),TRIM(MID('R.M Billets Reports'!D2255,SEARCH("-",'R.M Billets Reports'!D2255)+1,200)),"")))="VRKP ISPAT PVT LTD","VRKP",IF(IF(IF(ISNUMBER(SEARCH("Party Name:-",'R.M Billets Reports'!D2254)),TRIM('R.M Billets Reports'!F2254),IF(ISNUMBER(SEARCH("Party Name-",'R.M Billets Reports'!D2254)),TRIM(MID('R.M Billets Reports'!D2254,SEARCH("-",'R.M Billets Reports'!D2254)+1,200)),""))&lt;&gt;"",IF(ISNUMBER(SEARCH("Party Name:-",'R.M Billets Reports'!D2254)),TRIM('R.M Billets Reports'!F2254),IF(ISNUMBER(SEARCH("Party Name-",'R.M Billets Reports'!D2254)),TRIM(MID('R.M Billets Reports'!D2254,SEARCH("-",'R.M Billets Reports'!D2254)+1,200)),"")),IF(ISNUMBER(SEARCH("Party Name:-",'R.M Billets Reports'!D2255)),TRIM('R.M Billets Reports'!F2255),IF(ISNUMBER(SEARCH("Party Name-",'R.M Billets Reports'!D2255)),TRIM(MID('R.M Billets Reports'!D2255,SEARCH("-",'R.M Billets Reports'!D2255)+1,200)),"")))="SHRI RADHE","SHREE RADHE",IF(IF(IF(ISNUMBER(SEARCH("Party Name:-",'R.M Billets Reports'!D2254)),TRIM('R.M Billets Reports'!F2254),IF(ISNUMBER(SEARCH("Party Name-",'R.M Billets Reports'!D2254)),TRIM(MID('R.M Billets Reports'!D2254,SEARCH("-",'R.M Billets Reports'!D2254)+1,200)),""))&lt;&gt;"",IF(ISNUMBER(SEARCH("Party Name:-",'R.M Billets Reports'!D2254)),TRIM('R.M Billets Reports'!F2254),IF(ISNUMBER(SEARCH("Party Name-",'R.M Billets Reports'!D2254)),TRIM(MID('R.M Billets Reports'!D2254,SEARCH("-",'R.M Billets Reports'!D2254)+1,200)),"")),IF(ISNUMBER(SEARCH("Party Name:-",'R.M Billets Reports'!D2255)),TRIM('R.M Billets Reports'!F2255),IF(ISNUMBER(SEARCH("Party Name-",'R.M Billets Reports'!D2255)),TRIM(MID('R.M Billets Reports'!D2255,SEARCH("-",'R.M Billets Reports'!D2255)+1,200)),"")))="SHREE RADHE SHAKTI SPONGE AND POWER PVT. LTD.","SHREE RADHE",IF(IF(ISNUMBER(SEARCH("Party Name:-",'R.M Billets Reports'!D2254)),TRIM('R.M Billets Reports'!F2254),IF(ISNUMBER(SEARCH("Party Name-",'R.M Billets Reports'!D2254)),TRIM(MID('R.M Billets Reports'!D2254,SEARCH("-",'R.M Billets Reports'!D2254)+1,200)),""))&lt;&gt;"",IF(ISNUMBER(SEARCH("Party Name:-",'R.M Billets Reports'!D2254)),TRIM('R.M Billets Reports'!F2254),IF(ISNUMBER(SEARCH("Party Name-",'R.M Billets Reports'!D2254)),TRIM(MID('R.M Billets Reports'!D2254,SEARCH("-",'R.M Billets Reports'!D2254)+1,200)),"")),IF(ISNUMBER(SEARCH("Party Name:-",'R.M Billets Reports'!D2255)),TRIM('R.M Billets Reports'!F2255),IF(ISNUMBER(SEARCH("Party Name-",'R.M Billets Reports'!D2255)),TRIM(MID('R.M Billets Reports'!D2255,SEARCH("-",'R.M Billets Reports'!D2255)+1,200)),"")))))),IF(ROW()=2,"",A2254))</f>
      </c>
      <c r="B2255">
        <f>IF(OR('R.M Billets Reports'!A2254="Date-",'R.M Billets Reports'!A2254="Date:-"),'R.M Billets Reports'!B2254,IF(ROW()=2,"",B2254))</f>
      </c>
      <c r="C2255">
        <f>IF('R.M Billets Reports'!A2254="V.No.",'R.M Billets Reports'!B2254,IF(ROW()=2,"",C2254))</f>
      </c>
      <c r="D2255">
        <f>IF('R.M Billets Reports'!A2254&lt;&gt;"",'R.M Billets Reports'!A2254,IF(ROW()=2,"",D2254))</f>
      </c>
      <c r="E2255">
        <f>IF('R.M Billets Reports'!B2254="","",TRIM('R.M Billets Reports'!B2254))</f>
      </c>
      <c r="F2255">
        <f>'R.M Billets Reports'!C2254</f>
      </c>
      <c r="G2255">
        <f>'R.M Billets Reports'!D2254</f>
      </c>
      <c r="H2255">
        <f>'R.M Billets Reports'!E2254</f>
      </c>
      <c r="I2255">
        <f>'R.M Billets Reports'!F2254</f>
      </c>
      <c r="J2255">
        <f>'R.M Billets Reports'!G2254</f>
      </c>
      <c r="K2255">
        <f>'R.M Billets Reports'!H2254</f>
      </c>
      <c r="L2255">
        <f>IF('R.M Billets Reports'!I2254="","",'R.M Billets Reports'!I2254)</f>
      </c>
      <c r="M2255">
        <f t="shared" si="70"/>
      </c>
      <c r="N2255">
        <f>IF('R.M Billets Reports'!J2254="","",'R.M Billets Reports'!J2254)</f>
      </c>
      <c r="O2255">
        <f t="shared" si="71"/>
      </c>
      <c r="P2255">
        <f>IF('R.M Billets Reports'!A2254="SIZE",'R.M Billets Reports'!B2254,P2254)</f>
      </c>
    </row>
    <row r="2256" spans="1:16" x14ac:dyDescent="0.25">
      <c r="A2256">
        <f>IF(OR('R.M Billets Reports'!A2255="Date-",'R.M Billets Reports'!A2255="Date:-"),IF(IF(IF(ISNUMBER(SEARCH("Party Name:-",'R.M Billets Reports'!D2255)),TRIM('R.M Billets Reports'!F2255),IF(ISNUMBER(SEARCH("Party Name-",'R.M Billets Reports'!D2255)),TRIM(MID('R.M Billets Reports'!D2255,SEARCH("-",'R.M Billets Reports'!D2255)+1,200)),""))&lt;&gt;"",IF(ISNUMBER(SEARCH("Party Name:-",'R.M Billets Reports'!D2255)),TRIM('R.M Billets Reports'!F2255),IF(ISNUMBER(SEARCH("Party Name-",'R.M Billets Reports'!D2255)),TRIM(MID('R.M Billets Reports'!D2255,SEARCH("-",'R.M Billets Reports'!D2255)+1,200)),"")),IF(ISNUMBER(SEARCH("Party Name:-",'R.M Billets Reports'!D2256)),TRIM('R.M Billets Reports'!F2256),IF(ISNUMBER(SEARCH("Party Name-",'R.M Billets Reports'!D2256)),TRIM(MID('R.M Billets Reports'!D2256,SEARCH("-",'R.M Billets Reports'!D2256)+1,200)),"")))="VRKP ISPAT PVT LTD","VRKP",IF(IF(IF(ISNUMBER(SEARCH("Party Name:-",'R.M Billets Reports'!D2255)),TRIM('R.M Billets Reports'!F2255),IF(ISNUMBER(SEARCH("Party Name-",'R.M Billets Reports'!D2255)),TRIM(MID('R.M Billets Reports'!D2255,SEARCH("-",'R.M Billets Reports'!D2255)+1,200)),""))&lt;&gt;"",IF(ISNUMBER(SEARCH("Party Name:-",'R.M Billets Reports'!D2255)),TRIM('R.M Billets Reports'!F2255),IF(ISNUMBER(SEARCH("Party Name-",'R.M Billets Reports'!D2255)),TRIM(MID('R.M Billets Reports'!D2255,SEARCH("-",'R.M Billets Reports'!D2255)+1,200)),"")),IF(ISNUMBER(SEARCH("Party Name:-",'R.M Billets Reports'!D2256)),TRIM('R.M Billets Reports'!F2256),IF(ISNUMBER(SEARCH("Party Name-",'R.M Billets Reports'!D2256)),TRIM(MID('R.M Billets Reports'!D2256,SEARCH("-",'R.M Billets Reports'!D2256)+1,200)),"")))="SHRI RADHE","SHREE RADHE",IF(IF(IF(ISNUMBER(SEARCH("Party Name:-",'R.M Billets Reports'!D2255)),TRIM('R.M Billets Reports'!F2255),IF(ISNUMBER(SEARCH("Party Name-",'R.M Billets Reports'!D2255)),TRIM(MID('R.M Billets Reports'!D2255,SEARCH("-",'R.M Billets Reports'!D2255)+1,200)),""))&lt;&gt;"",IF(ISNUMBER(SEARCH("Party Name:-",'R.M Billets Reports'!D2255)),TRIM('R.M Billets Reports'!F2255),IF(ISNUMBER(SEARCH("Party Name-",'R.M Billets Reports'!D2255)),TRIM(MID('R.M Billets Reports'!D2255,SEARCH("-",'R.M Billets Reports'!D2255)+1,200)),"")),IF(ISNUMBER(SEARCH("Party Name:-",'R.M Billets Reports'!D2256)),TRIM('R.M Billets Reports'!F2256),IF(ISNUMBER(SEARCH("Party Name-",'R.M Billets Reports'!D2256)),TRIM(MID('R.M Billets Reports'!D2256,SEARCH("-",'R.M Billets Reports'!D2256)+1,200)),"")))="SHREE RADHE SHAKTI SPONGE AND POWER PVT. LTD.","SHREE RADHE",IF(IF(ISNUMBER(SEARCH("Party Name:-",'R.M Billets Reports'!D2255)),TRIM('R.M Billets Reports'!F2255),IF(ISNUMBER(SEARCH("Party Name-",'R.M Billets Reports'!D2255)),TRIM(MID('R.M Billets Reports'!D2255,SEARCH("-",'R.M Billets Reports'!D2255)+1,200)),""))&lt;&gt;"",IF(ISNUMBER(SEARCH("Party Name:-",'R.M Billets Reports'!D2255)),TRIM('R.M Billets Reports'!F2255),IF(ISNUMBER(SEARCH("Party Name-",'R.M Billets Reports'!D2255)),TRIM(MID('R.M Billets Reports'!D2255,SEARCH("-",'R.M Billets Reports'!D2255)+1,200)),"")),IF(ISNUMBER(SEARCH("Party Name:-",'R.M Billets Reports'!D2256)),TRIM('R.M Billets Reports'!F2256),IF(ISNUMBER(SEARCH("Party Name-",'R.M Billets Reports'!D2256)),TRIM(MID('R.M Billets Reports'!D2256,SEARCH("-",'R.M Billets Reports'!D2256)+1,200)),"")))))),IF(ROW()=2,"",A2255))</f>
      </c>
      <c r="B2256">
        <f>IF(OR('R.M Billets Reports'!A2255="Date-",'R.M Billets Reports'!A2255="Date:-"),'R.M Billets Reports'!B2255,IF(ROW()=2,"",B2255))</f>
      </c>
      <c r="C2256">
        <f>IF('R.M Billets Reports'!A2255="V.No.",'R.M Billets Reports'!B2255,IF(ROW()=2,"",C2255))</f>
      </c>
      <c r="D2256">
        <f>IF('R.M Billets Reports'!A2255&lt;&gt;"",'R.M Billets Reports'!A2255,IF(ROW()=2,"",D2255))</f>
      </c>
      <c r="E2256">
        <f>IF('R.M Billets Reports'!B2255="","",TRIM('R.M Billets Reports'!B2255))</f>
      </c>
      <c r="F2256">
        <f>'R.M Billets Reports'!C2255</f>
      </c>
      <c r="G2256">
        <f>'R.M Billets Reports'!D2255</f>
      </c>
      <c r="H2256">
        <f>'R.M Billets Reports'!E2255</f>
      </c>
      <c r="I2256">
        <f>'R.M Billets Reports'!F2255</f>
      </c>
      <c r="J2256">
        <f>'R.M Billets Reports'!G2255</f>
      </c>
      <c r="K2256">
        <f>'R.M Billets Reports'!H2255</f>
      </c>
      <c r="L2256">
        <f>IF('R.M Billets Reports'!I2255="","",'R.M Billets Reports'!I2255)</f>
      </c>
      <c r="M2256">
        <f t="shared" si="70"/>
      </c>
      <c r="N2256">
        <f>IF('R.M Billets Reports'!J2255="","",'R.M Billets Reports'!J2255)</f>
      </c>
      <c r="O2256">
        <f t="shared" si="71"/>
      </c>
      <c r="P2256">
        <f>IF('R.M Billets Reports'!A2255="SIZE",'R.M Billets Reports'!B2255,P2255)</f>
      </c>
    </row>
    <row r="2257" spans="1:16" x14ac:dyDescent="0.25">
      <c r="A2257">
        <f>IF(OR('R.M Billets Reports'!A2256="Date-",'R.M Billets Reports'!A2256="Date:-"),IF(IF(IF(ISNUMBER(SEARCH("Party Name:-",'R.M Billets Reports'!D2256)),TRIM('R.M Billets Reports'!F2256),IF(ISNUMBER(SEARCH("Party Name-",'R.M Billets Reports'!D2256)),TRIM(MID('R.M Billets Reports'!D2256,SEARCH("-",'R.M Billets Reports'!D2256)+1,200)),""))&lt;&gt;"",IF(ISNUMBER(SEARCH("Party Name:-",'R.M Billets Reports'!D2256)),TRIM('R.M Billets Reports'!F2256),IF(ISNUMBER(SEARCH("Party Name-",'R.M Billets Reports'!D2256)),TRIM(MID('R.M Billets Reports'!D2256,SEARCH("-",'R.M Billets Reports'!D2256)+1,200)),"")),IF(ISNUMBER(SEARCH("Party Name:-",'R.M Billets Reports'!D2257)),TRIM('R.M Billets Reports'!F2257),IF(ISNUMBER(SEARCH("Party Name-",'R.M Billets Reports'!D2257)),TRIM(MID('R.M Billets Reports'!D2257,SEARCH("-",'R.M Billets Reports'!D2257)+1,200)),"")))="VRKP ISPAT PVT LTD","VRKP",IF(IF(IF(ISNUMBER(SEARCH("Party Name:-",'R.M Billets Reports'!D2256)),TRIM('R.M Billets Reports'!F2256),IF(ISNUMBER(SEARCH("Party Name-",'R.M Billets Reports'!D2256)),TRIM(MID('R.M Billets Reports'!D2256,SEARCH("-",'R.M Billets Reports'!D2256)+1,200)),""))&lt;&gt;"",IF(ISNUMBER(SEARCH("Party Name:-",'R.M Billets Reports'!D2256)),TRIM('R.M Billets Reports'!F2256),IF(ISNUMBER(SEARCH("Party Name-",'R.M Billets Reports'!D2256)),TRIM(MID('R.M Billets Reports'!D2256,SEARCH("-",'R.M Billets Reports'!D2256)+1,200)),"")),IF(ISNUMBER(SEARCH("Party Name:-",'R.M Billets Reports'!D2257)),TRIM('R.M Billets Reports'!F2257),IF(ISNUMBER(SEARCH("Party Name-",'R.M Billets Reports'!D2257)),TRIM(MID('R.M Billets Reports'!D2257,SEARCH("-",'R.M Billets Reports'!D2257)+1,200)),"")))="SHRI RADHE","SHREE RADHE",IF(IF(IF(ISNUMBER(SEARCH("Party Name:-",'R.M Billets Reports'!D2256)),TRIM('R.M Billets Reports'!F2256),IF(ISNUMBER(SEARCH("Party Name-",'R.M Billets Reports'!D2256)),TRIM(MID('R.M Billets Reports'!D2256,SEARCH("-",'R.M Billets Reports'!D2256)+1,200)),""))&lt;&gt;"",IF(ISNUMBER(SEARCH("Party Name:-",'R.M Billets Reports'!D2256)),TRIM('R.M Billets Reports'!F2256),IF(ISNUMBER(SEARCH("Party Name-",'R.M Billets Reports'!D2256)),TRIM(MID('R.M Billets Reports'!D2256,SEARCH("-",'R.M Billets Reports'!D2256)+1,200)),"")),IF(ISNUMBER(SEARCH("Party Name:-",'R.M Billets Reports'!D2257)),TRIM('R.M Billets Reports'!F2257),IF(ISNUMBER(SEARCH("Party Name-",'R.M Billets Reports'!D2257)),TRIM(MID('R.M Billets Reports'!D2257,SEARCH("-",'R.M Billets Reports'!D2257)+1,200)),"")))="SHREE RADHE SHAKTI SPONGE AND POWER PVT. LTD.","SHREE RADHE",IF(IF(ISNUMBER(SEARCH("Party Name:-",'R.M Billets Reports'!D2256)),TRIM('R.M Billets Reports'!F2256),IF(ISNUMBER(SEARCH("Party Name-",'R.M Billets Reports'!D2256)),TRIM(MID('R.M Billets Reports'!D2256,SEARCH("-",'R.M Billets Reports'!D2256)+1,200)),""))&lt;&gt;"",IF(ISNUMBER(SEARCH("Party Name:-",'R.M Billets Reports'!D2256)),TRIM('R.M Billets Reports'!F2256),IF(ISNUMBER(SEARCH("Party Name-",'R.M Billets Reports'!D2256)),TRIM(MID('R.M Billets Reports'!D2256,SEARCH("-",'R.M Billets Reports'!D2256)+1,200)),"")),IF(ISNUMBER(SEARCH("Party Name:-",'R.M Billets Reports'!D2257)),TRIM('R.M Billets Reports'!F2257),IF(ISNUMBER(SEARCH("Party Name-",'R.M Billets Reports'!D2257)),TRIM(MID('R.M Billets Reports'!D2257,SEARCH("-",'R.M Billets Reports'!D2257)+1,200)),"")))))),IF(ROW()=2,"",A2256))</f>
      </c>
      <c r="B2257">
        <f>IF(OR('R.M Billets Reports'!A2256="Date-",'R.M Billets Reports'!A2256="Date:-"),'R.M Billets Reports'!B2256,IF(ROW()=2,"",B2256))</f>
      </c>
      <c r="C2257">
        <f>IF('R.M Billets Reports'!A2256="V.No.",'R.M Billets Reports'!B2256,IF(ROW()=2,"",C2256))</f>
      </c>
      <c r="D2257">
        <f>IF('R.M Billets Reports'!A2256&lt;&gt;"",'R.M Billets Reports'!A2256,IF(ROW()=2,"",D2256))</f>
      </c>
      <c r="E2257">
        <f>IF('R.M Billets Reports'!B2256="","",TRIM('R.M Billets Reports'!B2256))</f>
      </c>
      <c r="F2257">
        <f>'R.M Billets Reports'!C2256</f>
      </c>
      <c r="G2257">
        <f>'R.M Billets Reports'!D2256</f>
      </c>
      <c r="H2257">
        <f>'R.M Billets Reports'!E2256</f>
      </c>
      <c r="I2257">
        <f>'R.M Billets Reports'!F2256</f>
      </c>
      <c r="J2257">
        <f>'R.M Billets Reports'!G2256</f>
      </c>
      <c r="K2257">
        <f>'R.M Billets Reports'!H2256</f>
      </c>
      <c r="L2257">
        <f>IF('R.M Billets Reports'!I2256="","",'R.M Billets Reports'!I2256)</f>
      </c>
      <c r="M2257">
        <f t="shared" si="70"/>
      </c>
      <c r="N2257">
        <f>IF('R.M Billets Reports'!J2256="","",'R.M Billets Reports'!J2256)</f>
      </c>
      <c r="O2257">
        <f t="shared" si="71"/>
      </c>
      <c r="P2257">
        <f>IF('R.M Billets Reports'!A2256="SIZE",'R.M Billets Reports'!B2256,P2256)</f>
      </c>
    </row>
    <row r="2258" spans="1:16" x14ac:dyDescent="0.25">
      <c r="A2258">
        <f>IF(OR('R.M Billets Reports'!A2257="Date-",'R.M Billets Reports'!A2257="Date:-"),IF(IF(IF(ISNUMBER(SEARCH("Party Name:-",'R.M Billets Reports'!D2257)),TRIM('R.M Billets Reports'!F2257),IF(ISNUMBER(SEARCH("Party Name-",'R.M Billets Reports'!D2257)),TRIM(MID('R.M Billets Reports'!D2257,SEARCH("-",'R.M Billets Reports'!D2257)+1,200)),""))&lt;&gt;"",IF(ISNUMBER(SEARCH("Party Name:-",'R.M Billets Reports'!D2257)),TRIM('R.M Billets Reports'!F2257),IF(ISNUMBER(SEARCH("Party Name-",'R.M Billets Reports'!D2257)),TRIM(MID('R.M Billets Reports'!D2257,SEARCH("-",'R.M Billets Reports'!D2257)+1,200)),"")),IF(ISNUMBER(SEARCH("Party Name:-",'R.M Billets Reports'!D2258)),TRIM('R.M Billets Reports'!F2258),IF(ISNUMBER(SEARCH("Party Name-",'R.M Billets Reports'!D2258)),TRIM(MID('R.M Billets Reports'!D2258,SEARCH("-",'R.M Billets Reports'!D2258)+1,200)),"")))="VRKP ISPAT PVT LTD","VRKP",IF(IF(IF(ISNUMBER(SEARCH("Party Name:-",'R.M Billets Reports'!D2257)),TRIM('R.M Billets Reports'!F2257),IF(ISNUMBER(SEARCH("Party Name-",'R.M Billets Reports'!D2257)),TRIM(MID('R.M Billets Reports'!D2257,SEARCH("-",'R.M Billets Reports'!D2257)+1,200)),""))&lt;&gt;"",IF(ISNUMBER(SEARCH("Party Name:-",'R.M Billets Reports'!D2257)),TRIM('R.M Billets Reports'!F2257),IF(ISNUMBER(SEARCH("Party Name-",'R.M Billets Reports'!D2257)),TRIM(MID('R.M Billets Reports'!D2257,SEARCH("-",'R.M Billets Reports'!D2257)+1,200)),"")),IF(ISNUMBER(SEARCH("Party Name:-",'R.M Billets Reports'!D2258)),TRIM('R.M Billets Reports'!F2258),IF(ISNUMBER(SEARCH("Party Name-",'R.M Billets Reports'!D2258)),TRIM(MID('R.M Billets Reports'!D2258,SEARCH("-",'R.M Billets Reports'!D2258)+1,200)),"")))="SHRI RADHE","SHREE RADHE",IF(IF(IF(ISNUMBER(SEARCH("Party Name:-",'R.M Billets Reports'!D2257)),TRIM('R.M Billets Reports'!F2257),IF(ISNUMBER(SEARCH("Party Name-",'R.M Billets Reports'!D2257)),TRIM(MID('R.M Billets Reports'!D2257,SEARCH("-",'R.M Billets Reports'!D2257)+1,200)),""))&lt;&gt;"",IF(ISNUMBER(SEARCH("Party Name:-",'R.M Billets Reports'!D2257)),TRIM('R.M Billets Reports'!F2257),IF(ISNUMBER(SEARCH("Party Name-",'R.M Billets Reports'!D2257)),TRIM(MID('R.M Billets Reports'!D2257,SEARCH("-",'R.M Billets Reports'!D2257)+1,200)),"")),IF(ISNUMBER(SEARCH("Party Name:-",'R.M Billets Reports'!D2258)),TRIM('R.M Billets Reports'!F2258),IF(ISNUMBER(SEARCH("Party Name-",'R.M Billets Reports'!D2258)),TRIM(MID('R.M Billets Reports'!D2258,SEARCH("-",'R.M Billets Reports'!D2258)+1,200)),"")))="SHREE RADHE SHAKTI SPONGE AND POWER PVT. LTD.","SHREE RADHE",IF(IF(ISNUMBER(SEARCH("Party Name:-",'R.M Billets Reports'!D2257)),TRIM('R.M Billets Reports'!F2257),IF(ISNUMBER(SEARCH("Party Name-",'R.M Billets Reports'!D2257)),TRIM(MID('R.M Billets Reports'!D2257,SEARCH("-",'R.M Billets Reports'!D2257)+1,200)),""))&lt;&gt;"",IF(ISNUMBER(SEARCH("Party Name:-",'R.M Billets Reports'!D2257)),TRIM('R.M Billets Reports'!F2257),IF(ISNUMBER(SEARCH("Party Name-",'R.M Billets Reports'!D2257)),TRIM(MID('R.M Billets Reports'!D2257,SEARCH("-",'R.M Billets Reports'!D2257)+1,200)),"")),IF(ISNUMBER(SEARCH("Party Name:-",'R.M Billets Reports'!D2258)),TRIM('R.M Billets Reports'!F2258),IF(ISNUMBER(SEARCH("Party Name-",'R.M Billets Reports'!D2258)),TRIM(MID('R.M Billets Reports'!D2258,SEARCH("-",'R.M Billets Reports'!D2258)+1,200)),"")))))),IF(ROW()=2,"",A2257))</f>
      </c>
      <c r="B2258">
        <f>IF(OR('R.M Billets Reports'!A2257="Date-",'R.M Billets Reports'!A2257="Date:-"),'R.M Billets Reports'!B2257,IF(ROW()=2,"",B2257))</f>
      </c>
      <c r="C2258">
        <f>IF('R.M Billets Reports'!A2257="V.No.",'R.M Billets Reports'!B2257,IF(ROW()=2,"",C2257))</f>
      </c>
      <c r="D2258">
        <f>IF('R.M Billets Reports'!A2257&lt;&gt;"",'R.M Billets Reports'!A2257,IF(ROW()=2,"",D2257))</f>
      </c>
      <c r="E2258">
        <f>IF('R.M Billets Reports'!B2257="","",TRIM('R.M Billets Reports'!B2257))</f>
      </c>
      <c r="F2258">
        <f>'R.M Billets Reports'!C2257</f>
      </c>
      <c r="G2258">
        <f>'R.M Billets Reports'!D2257</f>
      </c>
      <c r="H2258">
        <f>'R.M Billets Reports'!E2257</f>
      </c>
      <c r="I2258">
        <f>'R.M Billets Reports'!F2257</f>
      </c>
      <c r="J2258">
        <f>'R.M Billets Reports'!G2257</f>
      </c>
      <c r="K2258">
        <f>'R.M Billets Reports'!H2257</f>
      </c>
      <c r="L2258">
        <f>IF('R.M Billets Reports'!I2257="","",'R.M Billets Reports'!I2257)</f>
      </c>
      <c r="M2258">
        <f t="shared" si="70"/>
      </c>
      <c r="N2258">
        <f>IF('R.M Billets Reports'!J2257="","",'R.M Billets Reports'!J2257)</f>
      </c>
      <c r="O2258">
        <f t="shared" si="71"/>
      </c>
      <c r="P2258">
        <f>IF('R.M Billets Reports'!A2257="SIZE",'R.M Billets Reports'!B2257,P2257)</f>
      </c>
    </row>
    <row r="2259" spans="1:16" x14ac:dyDescent="0.25">
      <c r="A2259">
        <f>IF(OR('R.M Billets Reports'!A2258="Date-",'R.M Billets Reports'!A2258="Date:-"),IF(IF(IF(ISNUMBER(SEARCH("Party Name:-",'R.M Billets Reports'!D2258)),TRIM('R.M Billets Reports'!F2258),IF(ISNUMBER(SEARCH("Party Name-",'R.M Billets Reports'!D2258)),TRIM(MID('R.M Billets Reports'!D2258,SEARCH("-",'R.M Billets Reports'!D2258)+1,200)),""))&lt;&gt;"",IF(ISNUMBER(SEARCH("Party Name:-",'R.M Billets Reports'!D2258)),TRIM('R.M Billets Reports'!F2258),IF(ISNUMBER(SEARCH("Party Name-",'R.M Billets Reports'!D2258)),TRIM(MID('R.M Billets Reports'!D2258,SEARCH("-",'R.M Billets Reports'!D2258)+1,200)),"")),IF(ISNUMBER(SEARCH("Party Name:-",'R.M Billets Reports'!D2259)),TRIM('R.M Billets Reports'!F2259),IF(ISNUMBER(SEARCH("Party Name-",'R.M Billets Reports'!D2259)),TRIM(MID('R.M Billets Reports'!D2259,SEARCH("-",'R.M Billets Reports'!D2259)+1,200)),"")))="VRKP ISPAT PVT LTD","VRKP",IF(IF(IF(ISNUMBER(SEARCH("Party Name:-",'R.M Billets Reports'!D2258)),TRIM('R.M Billets Reports'!F2258),IF(ISNUMBER(SEARCH("Party Name-",'R.M Billets Reports'!D2258)),TRIM(MID('R.M Billets Reports'!D2258,SEARCH("-",'R.M Billets Reports'!D2258)+1,200)),""))&lt;&gt;"",IF(ISNUMBER(SEARCH("Party Name:-",'R.M Billets Reports'!D2258)),TRIM('R.M Billets Reports'!F2258),IF(ISNUMBER(SEARCH("Party Name-",'R.M Billets Reports'!D2258)),TRIM(MID('R.M Billets Reports'!D2258,SEARCH("-",'R.M Billets Reports'!D2258)+1,200)),"")),IF(ISNUMBER(SEARCH("Party Name:-",'R.M Billets Reports'!D2259)),TRIM('R.M Billets Reports'!F2259),IF(ISNUMBER(SEARCH("Party Name-",'R.M Billets Reports'!D2259)),TRIM(MID('R.M Billets Reports'!D2259,SEARCH("-",'R.M Billets Reports'!D2259)+1,200)),"")))="SHRI RADHE","SHREE RADHE",IF(IF(IF(ISNUMBER(SEARCH("Party Name:-",'R.M Billets Reports'!D2258)),TRIM('R.M Billets Reports'!F2258),IF(ISNUMBER(SEARCH("Party Name-",'R.M Billets Reports'!D2258)),TRIM(MID('R.M Billets Reports'!D2258,SEARCH("-",'R.M Billets Reports'!D2258)+1,200)),""))&lt;&gt;"",IF(ISNUMBER(SEARCH("Party Name:-",'R.M Billets Reports'!D2258)),TRIM('R.M Billets Reports'!F2258),IF(ISNUMBER(SEARCH("Party Name-",'R.M Billets Reports'!D2258)),TRIM(MID('R.M Billets Reports'!D2258,SEARCH("-",'R.M Billets Reports'!D2258)+1,200)),"")),IF(ISNUMBER(SEARCH("Party Name:-",'R.M Billets Reports'!D2259)),TRIM('R.M Billets Reports'!F2259),IF(ISNUMBER(SEARCH("Party Name-",'R.M Billets Reports'!D2259)),TRIM(MID('R.M Billets Reports'!D2259,SEARCH("-",'R.M Billets Reports'!D2259)+1,200)),"")))="SHREE RADHE SHAKTI SPONGE AND POWER PVT. LTD.","SHREE RADHE",IF(IF(ISNUMBER(SEARCH("Party Name:-",'R.M Billets Reports'!D2258)),TRIM('R.M Billets Reports'!F2258),IF(ISNUMBER(SEARCH("Party Name-",'R.M Billets Reports'!D2258)),TRIM(MID('R.M Billets Reports'!D2258,SEARCH("-",'R.M Billets Reports'!D2258)+1,200)),""))&lt;&gt;"",IF(ISNUMBER(SEARCH("Party Name:-",'R.M Billets Reports'!D2258)),TRIM('R.M Billets Reports'!F2258),IF(ISNUMBER(SEARCH("Party Name-",'R.M Billets Reports'!D2258)),TRIM(MID('R.M Billets Reports'!D2258,SEARCH("-",'R.M Billets Reports'!D2258)+1,200)),"")),IF(ISNUMBER(SEARCH("Party Name:-",'R.M Billets Reports'!D2259)),TRIM('R.M Billets Reports'!F2259),IF(ISNUMBER(SEARCH("Party Name-",'R.M Billets Reports'!D2259)),TRIM(MID('R.M Billets Reports'!D2259,SEARCH("-",'R.M Billets Reports'!D2259)+1,200)),"")))))),IF(ROW()=2,"",A2258))</f>
      </c>
      <c r="B2259">
        <f>IF(OR('R.M Billets Reports'!A2258="Date-",'R.M Billets Reports'!A2258="Date:-"),'R.M Billets Reports'!B2258,IF(ROW()=2,"",B2258))</f>
      </c>
      <c r="C2259">
        <f>IF('R.M Billets Reports'!A2258="V.No.",'R.M Billets Reports'!B2258,IF(ROW()=2,"",C2258))</f>
      </c>
      <c r="D2259">
        <f>IF('R.M Billets Reports'!A2258&lt;&gt;"",'R.M Billets Reports'!A2258,IF(ROW()=2,"",D2258))</f>
      </c>
      <c r="E2259">
        <f>IF('R.M Billets Reports'!B2258="","",TRIM('R.M Billets Reports'!B2258))</f>
      </c>
      <c r="F2259">
        <f>'R.M Billets Reports'!C2258</f>
      </c>
      <c r="G2259">
        <f>'R.M Billets Reports'!D2258</f>
      </c>
      <c r="H2259">
        <f>'R.M Billets Reports'!E2258</f>
      </c>
      <c r="I2259">
        <f>'R.M Billets Reports'!F2258</f>
      </c>
      <c r="J2259">
        <f>'R.M Billets Reports'!G2258</f>
      </c>
      <c r="K2259">
        <f>'R.M Billets Reports'!H2258</f>
      </c>
      <c r="L2259">
        <f>IF('R.M Billets Reports'!I2258="","",'R.M Billets Reports'!I2258)</f>
      </c>
      <c r="M2259">
        <f t="shared" si="70"/>
      </c>
      <c r="N2259">
        <f>IF('R.M Billets Reports'!J2258="","",'R.M Billets Reports'!J2258)</f>
      </c>
      <c r="O2259">
        <f t="shared" si="71"/>
      </c>
      <c r="P2259">
        <f>IF('R.M Billets Reports'!A2258="SIZE",'R.M Billets Reports'!B2258,P2258)</f>
      </c>
    </row>
    <row r="2260" spans="1:16" x14ac:dyDescent="0.25">
      <c r="A2260">
        <f>IF(OR('R.M Billets Reports'!A2259="Date-",'R.M Billets Reports'!A2259="Date:-"),IF(IF(IF(ISNUMBER(SEARCH("Party Name:-",'R.M Billets Reports'!D2259)),TRIM('R.M Billets Reports'!F2259),IF(ISNUMBER(SEARCH("Party Name-",'R.M Billets Reports'!D2259)),TRIM(MID('R.M Billets Reports'!D2259,SEARCH("-",'R.M Billets Reports'!D2259)+1,200)),""))&lt;&gt;"",IF(ISNUMBER(SEARCH("Party Name:-",'R.M Billets Reports'!D2259)),TRIM('R.M Billets Reports'!F2259),IF(ISNUMBER(SEARCH("Party Name-",'R.M Billets Reports'!D2259)),TRIM(MID('R.M Billets Reports'!D2259,SEARCH("-",'R.M Billets Reports'!D2259)+1,200)),"")),IF(ISNUMBER(SEARCH("Party Name:-",'R.M Billets Reports'!D2260)),TRIM('R.M Billets Reports'!F2260),IF(ISNUMBER(SEARCH("Party Name-",'R.M Billets Reports'!D2260)),TRIM(MID('R.M Billets Reports'!D2260,SEARCH("-",'R.M Billets Reports'!D2260)+1,200)),"")))="VRKP ISPAT PVT LTD","VRKP",IF(IF(IF(ISNUMBER(SEARCH("Party Name:-",'R.M Billets Reports'!D2259)),TRIM('R.M Billets Reports'!F2259),IF(ISNUMBER(SEARCH("Party Name-",'R.M Billets Reports'!D2259)),TRIM(MID('R.M Billets Reports'!D2259,SEARCH("-",'R.M Billets Reports'!D2259)+1,200)),""))&lt;&gt;"",IF(ISNUMBER(SEARCH("Party Name:-",'R.M Billets Reports'!D2259)),TRIM('R.M Billets Reports'!F2259),IF(ISNUMBER(SEARCH("Party Name-",'R.M Billets Reports'!D2259)),TRIM(MID('R.M Billets Reports'!D2259,SEARCH("-",'R.M Billets Reports'!D2259)+1,200)),"")),IF(ISNUMBER(SEARCH("Party Name:-",'R.M Billets Reports'!D2260)),TRIM('R.M Billets Reports'!F2260),IF(ISNUMBER(SEARCH("Party Name-",'R.M Billets Reports'!D2260)),TRIM(MID('R.M Billets Reports'!D2260,SEARCH("-",'R.M Billets Reports'!D2260)+1,200)),"")))="SHRI RADHE","SHREE RADHE",IF(IF(IF(ISNUMBER(SEARCH("Party Name:-",'R.M Billets Reports'!D2259)),TRIM('R.M Billets Reports'!F2259),IF(ISNUMBER(SEARCH("Party Name-",'R.M Billets Reports'!D2259)),TRIM(MID('R.M Billets Reports'!D2259,SEARCH("-",'R.M Billets Reports'!D2259)+1,200)),""))&lt;&gt;"",IF(ISNUMBER(SEARCH("Party Name:-",'R.M Billets Reports'!D2259)),TRIM('R.M Billets Reports'!F2259),IF(ISNUMBER(SEARCH("Party Name-",'R.M Billets Reports'!D2259)),TRIM(MID('R.M Billets Reports'!D2259,SEARCH("-",'R.M Billets Reports'!D2259)+1,200)),"")),IF(ISNUMBER(SEARCH("Party Name:-",'R.M Billets Reports'!D2260)),TRIM('R.M Billets Reports'!F2260),IF(ISNUMBER(SEARCH("Party Name-",'R.M Billets Reports'!D2260)),TRIM(MID('R.M Billets Reports'!D2260,SEARCH("-",'R.M Billets Reports'!D2260)+1,200)),"")))="SHREE RADHE SHAKTI SPONGE AND POWER PVT. LTD.","SHREE RADHE",IF(IF(ISNUMBER(SEARCH("Party Name:-",'R.M Billets Reports'!D2259)),TRIM('R.M Billets Reports'!F2259),IF(ISNUMBER(SEARCH("Party Name-",'R.M Billets Reports'!D2259)),TRIM(MID('R.M Billets Reports'!D2259,SEARCH("-",'R.M Billets Reports'!D2259)+1,200)),""))&lt;&gt;"",IF(ISNUMBER(SEARCH("Party Name:-",'R.M Billets Reports'!D2259)),TRIM('R.M Billets Reports'!F2259),IF(ISNUMBER(SEARCH("Party Name-",'R.M Billets Reports'!D2259)),TRIM(MID('R.M Billets Reports'!D2259,SEARCH("-",'R.M Billets Reports'!D2259)+1,200)),"")),IF(ISNUMBER(SEARCH("Party Name:-",'R.M Billets Reports'!D2260)),TRIM('R.M Billets Reports'!F2260),IF(ISNUMBER(SEARCH("Party Name-",'R.M Billets Reports'!D2260)),TRIM(MID('R.M Billets Reports'!D2260,SEARCH("-",'R.M Billets Reports'!D2260)+1,200)),"")))))),IF(ROW()=2,"",A2259))</f>
      </c>
      <c r="B2260">
        <f>IF(OR('R.M Billets Reports'!A2259="Date-",'R.M Billets Reports'!A2259="Date:-"),'R.M Billets Reports'!B2259,IF(ROW()=2,"",B2259))</f>
      </c>
      <c r="C2260">
        <f>IF('R.M Billets Reports'!A2259="V.No.",'R.M Billets Reports'!B2259,IF(ROW()=2,"",C2259))</f>
      </c>
      <c r="D2260">
        <f>IF('R.M Billets Reports'!A2259&lt;&gt;"",'R.M Billets Reports'!A2259,IF(ROW()=2,"",D2259))</f>
      </c>
      <c r="E2260">
        <f>IF('R.M Billets Reports'!B2259="","",TRIM('R.M Billets Reports'!B2259))</f>
      </c>
      <c r="F2260">
        <f>'R.M Billets Reports'!C2259</f>
      </c>
      <c r="G2260">
        <f>'R.M Billets Reports'!D2259</f>
      </c>
      <c r="H2260">
        <f>'R.M Billets Reports'!E2259</f>
      </c>
      <c r="I2260">
        <f>'R.M Billets Reports'!F2259</f>
      </c>
      <c r="J2260">
        <f>'R.M Billets Reports'!G2259</f>
      </c>
      <c r="K2260">
        <f>'R.M Billets Reports'!H2259</f>
      </c>
      <c r="L2260">
        <f>IF('R.M Billets Reports'!I2259="","",'R.M Billets Reports'!I2259)</f>
      </c>
      <c r="M2260">
        <f t="shared" si="70"/>
      </c>
      <c r="N2260">
        <f>IF('R.M Billets Reports'!J2259="","",'R.M Billets Reports'!J2259)</f>
      </c>
      <c r="O2260">
        <f t="shared" si="71"/>
      </c>
      <c r="P2260">
        <f>IF('R.M Billets Reports'!A2259="SIZE",'R.M Billets Reports'!B2259,P2259)</f>
      </c>
    </row>
    <row r="2261" spans="1:16" x14ac:dyDescent="0.25">
      <c r="A2261">
        <f>IF(OR('R.M Billets Reports'!A2260="Date-",'R.M Billets Reports'!A2260="Date:-"),IF(IF(IF(ISNUMBER(SEARCH("Party Name:-",'R.M Billets Reports'!D2260)),TRIM('R.M Billets Reports'!F2260),IF(ISNUMBER(SEARCH("Party Name-",'R.M Billets Reports'!D2260)),TRIM(MID('R.M Billets Reports'!D2260,SEARCH("-",'R.M Billets Reports'!D2260)+1,200)),""))&lt;&gt;"",IF(ISNUMBER(SEARCH("Party Name:-",'R.M Billets Reports'!D2260)),TRIM('R.M Billets Reports'!F2260),IF(ISNUMBER(SEARCH("Party Name-",'R.M Billets Reports'!D2260)),TRIM(MID('R.M Billets Reports'!D2260,SEARCH("-",'R.M Billets Reports'!D2260)+1,200)),"")),IF(ISNUMBER(SEARCH("Party Name:-",'R.M Billets Reports'!D2261)),TRIM('R.M Billets Reports'!F2261),IF(ISNUMBER(SEARCH("Party Name-",'R.M Billets Reports'!D2261)),TRIM(MID('R.M Billets Reports'!D2261,SEARCH("-",'R.M Billets Reports'!D2261)+1,200)),"")))="VRKP ISPAT PVT LTD","VRKP",IF(IF(IF(ISNUMBER(SEARCH("Party Name:-",'R.M Billets Reports'!D2260)),TRIM('R.M Billets Reports'!F2260),IF(ISNUMBER(SEARCH("Party Name-",'R.M Billets Reports'!D2260)),TRIM(MID('R.M Billets Reports'!D2260,SEARCH("-",'R.M Billets Reports'!D2260)+1,200)),""))&lt;&gt;"",IF(ISNUMBER(SEARCH("Party Name:-",'R.M Billets Reports'!D2260)),TRIM('R.M Billets Reports'!F2260),IF(ISNUMBER(SEARCH("Party Name-",'R.M Billets Reports'!D2260)),TRIM(MID('R.M Billets Reports'!D2260,SEARCH("-",'R.M Billets Reports'!D2260)+1,200)),"")),IF(ISNUMBER(SEARCH("Party Name:-",'R.M Billets Reports'!D2261)),TRIM('R.M Billets Reports'!F2261),IF(ISNUMBER(SEARCH("Party Name-",'R.M Billets Reports'!D2261)),TRIM(MID('R.M Billets Reports'!D2261,SEARCH("-",'R.M Billets Reports'!D2261)+1,200)),"")))="SHRI RADHE","SHREE RADHE",IF(IF(IF(ISNUMBER(SEARCH("Party Name:-",'R.M Billets Reports'!D2260)),TRIM('R.M Billets Reports'!F2260),IF(ISNUMBER(SEARCH("Party Name-",'R.M Billets Reports'!D2260)),TRIM(MID('R.M Billets Reports'!D2260,SEARCH("-",'R.M Billets Reports'!D2260)+1,200)),""))&lt;&gt;"",IF(ISNUMBER(SEARCH("Party Name:-",'R.M Billets Reports'!D2260)),TRIM('R.M Billets Reports'!F2260),IF(ISNUMBER(SEARCH("Party Name-",'R.M Billets Reports'!D2260)),TRIM(MID('R.M Billets Reports'!D2260,SEARCH("-",'R.M Billets Reports'!D2260)+1,200)),"")),IF(ISNUMBER(SEARCH("Party Name:-",'R.M Billets Reports'!D2261)),TRIM('R.M Billets Reports'!F2261),IF(ISNUMBER(SEARCH("Party Name-",'R.M Billets Reports'!D2261)),TRIM(MID('R.M Billets Reports'!D2261,SEARCH("-",'R.M Billets Reports'!D2261)+1,200)),"")))="SHREE RADHE SHAKTI SPONGE AND POWER PVT. LTD.","SHREE RADHE",IF(IF(ISNUMBER(SEARCH("Party Name:-",'R.M Billets Reports'!D2260)),TRIM('R.M Billets Reports'!F2260),IF(ISNUMBER(SEARCH("Party Name-",'R.M Billets Reports'!D2260)),TRIM(MID('R.M Billets Reports'!D2260,SEARCH("-",'R.M Billets Reports'!D2260)+1,200)),""))&lt;&gt;"",IF(ISNUMBER(SEARCH("Party Name:-",'R.M Billets Reports'!D2260)),TRIM('R.M Billets Reports'!F2260),IF(ISNUMBER(SEARCH("Party Name-",'R.M Billets Reports'!D2260)),TRIM(MID('R.M Billets Reports'!D2260,SEARCH("-",'R.M Billets Reports'!D2260)+1,200)),"")),IF(ISNUMBER(SEARCH("Party Name:-",'R.M Billets Reports'!D2261)),TRIM('R.M Billets Reports'!F2261),IF(ISNUMBER(SEARCH("Party Name-",'R.M Billets Reports'!D2261)),TRIM(MID('R.M Billets Reports'!D2261,SEARCH("-",'R.M Billets Reports'!D2261)+1,200)),"")))))),IF(ROW()=2,"",A2260))</f>
      </c>
      <c r="B2261">
        <f>IF(OR('R.M Billets Reports'!A2260="Date-",'R.M Billets Reports'!A2260="Date:-"),'R.M Billets Reports'!B2260,IF(ROW()=2,"",B2260))</f>
      </c>
      <c r="C2261">
        <f>IF('R.M Billets Reports'!A2260="V.No.",'R.M Billets Reports'!B2260,IF(ROW()=2,"",C2260))</f>
      </c>
      <c r="D2261">
        <f>IF('R.M Billets Reports'!A2260&lt;&gt;"",'R.M Billets Reports'!A2260,IF(ROW()=2,"",D2260))</f>
      </c>
      <c r="E2261">
        <f>IF('R.M Billets Reports'!B2260="","",TRIM('R.M Billets Reports'!B2260))</f>
      </c>
      <c r="F2261">
        <f>'R.M Billets Reports'!C2260</f>
      </c>
      <c r="G2261">
        <f>'R.M Billets Reports'!D2260</f>
      </c>
      <c r="H2261">
        <f>'R.M Billets Reports'!E2260</f>
      </c>
      <c r="I2261">
        <f>'R.M Billets Reports'!F2260</f>
      </c>
      <c r="J2261">
        <f>'R.M Billets Reports'!G2260</f>
      </c>
      <c r="K2261">
        <f>'R.M Billets Reports'!H2260</f>
      </c>
      <c r="L2261">
        <f>IF('R.M Billets Reports'!I2260="","",'R.M Billets Reports'!I2260)</f>
      </c>
      <c r="M2261">
        <f t="shared" si="70"/>
      </c>
      <c r="N2261">
        <f>IF('R.M Billets Reports'!J2260="","",'R.M Billets Reports'!J2260)</f>
      </c>
      <c r="O2261">
        <f t="shared" si="71"/>
      </c>
      <c r="P2261">
        <f>IF('R.M Billets Reports'!A2260="SIZE",'R.M Billets Reports'!B2260,P2260)</f>
      </c>
    </row>
    <row r="2262" spans="1:16" x14ac:dyDescent="0.25">
      <c r="A2262">
        <f>IF(OR('R.M Billets Reports'!A2261="Date-",'R.M Billets Reports'!A2261="Date:-"),IF(IF(IF(ISNUMBER(SEARCH("Party Name:-",'R.M Billets Reports'!D2261)),TRIM('R.M Billets Reports'!F2261),IF(ISNUMBER(SEARCH("Party Name-",'R.M Billets Reports'!D2261)),TRIM(MID('R.M Billets Reports'!D2261,SEARCH("-",'R.M Billets Reports'!D2261)+1,200)),""))&lt;&gt;"",IF(ISNUMBER(SEARCH("Party Name:-",'R.M Billets Reports'!D2261)),TRIM('R.M Billets Reports'!F2261),IF(ISNUMBER(SEARCH("Party Name-",'R.M Billets Reports'!D2261)),TRIM(MID('R.M Billets Reports'!D2261,SEARCH("-",'R.M Billets Reports'!D2261)+1,200)),"")),IF(ISNUMBER(SEARCH("Party Name:-",'R.M Billets Reports'!D2262)),TRIM('R.M Billets Reports'!F2262),IF(ISNUMBER(SEARCH("Party Name-",'R.M Billets Reports'!D2262)),TRIM(MID('R.M Billets Reports'!D2262,SEARCH("-",'R.M Billets Reports'!D2262)+1,200)),"")))="VRKP ISPAT PVT LTD","VRKP",IF(IF(IF(ISNUMBER(SEARCH("Party Name:-",'R.M Billets Reports'!D2261)),TRIM('R.M Billets Reports'!F2261),IF(ISNUMBER(SEARCH("Party Name-",'R.M Billets Reports'!D2261)),TRIM(MID('R.M Billets Reports'!D2261,SEARCH("-",'R.M Billets Reports'!D2261)+1,200)),""))&lt;&gt;"",IF(ISNUMBER(SEARCH("Party Name:-",'R.M Billets Reports'!D2261)),TRIM('R.M Billets Reports'!F2261),IF(ISNUMBER(SEARCH("Party Name-",'R.M Billets Reports'!D2261)),TRIM(MID('R.M Billets Reports'!D2261,SEARCH("-",'R.M Billets Reports'!D2261)+1,200)),"")),IF(ISNUMBER(SEARCH("Party Name:-",'R.M Billets Reports'!D2262)),TRIM('R.M Billets Reports'!F2262),IF(ISNUMBER(SEARCH("Party Name-",'R.M Billets Reports'!D2262)),TRIM(MID('R.M Billets Reports'!D2262,SEARCH("-",'R.M Billets Reports'!D2262)+1,200)),"")))="SHRI RADHE","SHREE RADHE",IF(IF(IF(ISNUMBER(SEARCH("Party Name:-",'R.M Billets Reports'!D2261)),TRIM('R.M Billets Reports'!F2261),IF(ISNUMBER(SEARCH("Party Name-",'R.M Billets Reports'!D2261)),TRIM(MID('R.M Billets Reports'!D2261,SEARCH("-",'R.M Billets Reports'!D2261)+1,200)),""))&lt;&gt;"",IF(ISNUMBER(SEARCH("Party Name:-",'R.M Billets Reports'!D2261)),TRIM('R.M Billets Reports'!F2261),IF(ISNUMBER(SEARCH("Party Name-",'R.M Billets Reports'!D2261)),TRIM(MID('R.M Billets Reports'!D2261,SEARCH("-",'R.M Billets Reports'!D2261)+1,200)),"")),IF(ISNUMBER(SEARCH("Party Name:-",'R.M Billets Reports'!D2262)),TRIM('R.M Billets Reports'!F2262),IF(ISNUMBER(SEARCH("Party Name-",'R.M Billets Reports'!D2262)),TRIM(MID('R.M Billets Reports'!D2262,SEARCH("-",'R.M Billets Reports'!D2262)+1,200)),"")))="SHREE RADHE SHAKTI SPONGE AND POWER PVT. LTD.","SHREE RADHE",IF(IF(ISNUMBER(SEARCH("Party Name:-",'R.M Billets Reports'!D2261)),TRIM('R.M Billets Reports'!F2261),IF(ISNUMBER(SEARCH("Party Name-",'R.M Billets Reports'!D2261)),TRIM(MID('R.M Billets Reports'!D2261,SEARCH("-",'R.M Billets Reports'!D2261)+1,200)),""))&lt;&gt;"",IF(ISNUMBER(SEARCH("Party Name:-",'R.M Billets Reports'!D2261)),TRIM('R.M Billets Reports'!F2261),IF(ISNUMBER(SEARCH("Party Name-",'R.M Billets Reports'!D2261)),TRIM(MID('R.M Billets Reports'!D2261,SEARCH("-",'R.M Billets Reports'!D2261)+1,200)),"")),IF(ISNUMBER(SEARCH("Party Name:-",'R.M Billets Reports'!D2262)),TRIM('R.M Billets Reports'!F2262),IF(ISNUMBER(SEARCH("Party Name-",'R.M Billets Reports'!D2262)),TRIM(MID('R.M Billets Reports'!D2262,SEARCH("-",'R.M Billets Reports'!D2262)+1,200)),"")))))),IF(ROW()=2,"",A2261))</f>
      </c>
      <c r="B2262">
        <f>IF(OR('R.M Billets Reports'!A2261="Date-",'R.M Billets Reports'!A2261="Date:-"),'R.M Billets Reports'!B2261,IF(ROW()=2,"",B2261))</f>
      </c>
      <c r="C2262">
        <f>IF('R.M Billets Reports'!A2261="V.No.",'R.M Billets Reports'!B2261,IF(ROW()=2,"",C2261))</f>
      </c>
      <c r="D2262">
        <f>IF('R.M Billets Reports'!A2261&lt;&gt;"",'R.M Billets Reports'!A2261,IF(ROW()=2,"",D2261))</f>
      </c>
      <c r="E2262">
        <f>IF('R.M Billets Reports'!B2261="","",TRIM('R.M Billets Reports'!B2261))</f>
      </c>
      <c r="F2262">
        <f>'R.M Billets Reports'!C2261</f>
      </c>
      <c r="G2262">
        <f>'R.M Billets Reports'!D2261</f>
      </c>
      <c r="H2262">
        <f>'R.M Billets Reports'!E2261</f>
      </c>
      <c r="I2262">
        <f>'R.M Billets Reports'!F2261</f>
      </c>
      <c r="J2262">
        <f>'R.M Billets Reports'!G2261</f>
      </c>
      <c r="K2262">
        <f>'R.M Billets Reports'!H2261</f>
      </c>
      <c r="L2262">
        <f>IF('R.M Billets Reports'!I2261="","",'R.M Billets Reports'!I2261)</f>
      </c>
      <c r="M2262">
        <f t="shared" si="70"/>
      </c>
      <c r="N2262">
        <f>IF('R.M Billets Reports'!J2261="","",'R.M Billets Reports'!J2261)</f>
      </c>
      <c r="O2262">
        <f t="shared" si="71"/>
      </c>
      <c r="P2262">
        <f>IF('R.M Billets Reports'!A2261="SIZE",'R.M Billets Reports'!B2261,P2261)</f>
      </c>
    </row>
    <row r="2263" spans="1:16" x14ac:dyDescent="0.25">
      <c r="A2263">
        <f>IF(OR('R.M Billets Reports'!A2262="Date-",'R.M Billets Reports'!A2262="Date:-"),IF(IF(IF(ISNUMBER(SEARCH("Party Name:-",'R.M Billets Reports'!D2262)),TRIM('R.M Billets Reports'!F2262),IF(ISNUMBER(SEARCH("Party Name-",'R.M Billets Reports'!D2262)),TRIM(MID('R.M Billets Reports'!D2262,SEARCH("-",'R.M Billets Reports'!D2262)+1,200)),""))&lt;&gt;"",IF(ISNUMBER(SEARCH("Party Name:-",'R.M Billets Reports'!D2262)),TRIM('R.M Billets Reports'!F2262),IF(ISNUMBER(SEARCH("Party Name-",'R.M Billets Reports'!D2262)),TRIM(MID('R.M Billets Reports'!D2262,SEARCH("-",'R.M Billets Reports'!D2262)+1,200)),"")),IF(ISNUMBER(SEARCH("Party Name:-",'R.M Billets Reports'!D2263)),TRIM('R.M Billets Reports'!F2263),IF(ISNUMBER(SEARCH("Party Name-",'R.M Billets Reports'!D2263)),TRIM(MID('R.M Billets Reports'!D2263,SEARCH("-",'R.M Billets Reports'!D2263)+1,200)),"")))="VRKP ISPAT PVT LTD","VRKP",IF(IF(IF(ISNUMBER(SEARCH("Party Name:-",'R.M Billets Reports'!D2262)),TRIM('R.M Billets Reports'!F2262),IF(ISNUMBER(SEARCH("Party Name-",'R.M Billets Reports'!D2262)),TRIM(MID('R.M Billets Reports'!D2262,SEARCH("-",'R.M Billets Reports'!D2262)+1,200)),""))&lt;&gt;"",IF(ISNUMBER(SEARCH("Party Name:-",'R.M Billets Reports'!D2262)),TRIM('R.M Billets Reports'!F2262),IF(ISNUMBER(SEARCH("Party Name-",'R.M Billets Reports'!D2262)),TRIM(MID('R.M Billets Reports'!D2262,SEARCH("-",'R.M Billets Reports'!D2262)+1,200)),"")),IF(ISNUMBER(SEARCH("Party Name:-",'R.M Billets Reports'!D2263)),TRIM('R.M Billets Reports'!F2263),IF(ISNUMBER(SEARCH("Party Name-",'R.M Billets Reports'!D2263)),TRIM(MID('R.M Billets Reports'!D2263,SEARCH("-",'R.M Billets Reports'!D2263)+1,200)),"")))="SHRI RADHE","SHREE RADHE",IF(IF(IF(ISNUMBER(SEARCH("Party Name:-",'R.M Billets Reports'!D2262)),TRIM('R.M Billets Reports'!F2262),IF(ISNUMBER(SEARCH("Party Name-",'R.M Billets Reports'!D2262)),TRIM(MID('R.M Billets Reports'!D2262,SEARCH("-",'R.M Billets Reports'!D2262)+1,200)),""))&lt;&gt;"",IF(ISNUMBER(SEARCH("Party Name:-",'R.M Billets Reports'!D2262)),TRIM('R.M Billets Reports'!F2262),IF(ISNUMBER(SEARCH("Party Name-",'R.M Billets Reports'!D2262)),TRIM(MID('R.M Billets Reports'!D2262,SEARCH("-",'R.M Billets Reports'!D2262)+1,200)),"")),IF(ISNUMBER(SEARCH("Party Name:-",'R.M Billets Reports'!D2263)),TRIM('R.M Billets Reports'!F2263),IF(ISNUMBER(SEARCH("Party Name-",'R.M Billets Reports'!D2263)),TRIM(MID('R.M Billets Reports'!D2263,SEARCH("-",'R.M Billets Reports'!D2263)+1,200)),"")))="SHREE RADHE SHAKTI SPONGE AND POWER PVT. LTD.","SHREE RADHE",IF(IF(ISNUMBER(SEARCH("Party Name:-",'R.M Billets Reports'!D2262)),TRIM('R.M Billets Reports'!F2262),IF(ISNUMBER(SEARCH("Party Name-",'R.M Billets Reports'!D2262)),TRIM(MID('R.M Billets Reports'!D2262,SEARCH("-",'R.M Billets Reports'!D2262)+1,200)),""))&lt;&gt;"",IF(ISNUMBER(SEARCH("Party Name:-",'R.M Billets Reports'!D2262)),TRIM('R.M Billets Reports'!F2262),IF(ISNUMBER(SEARCH("Party Name-",'R.M Billets Reports'!D2262)),TRIM(MID('R.M Billets Reports'!D2262,SEARCH("-",'R.M Billets Reports'!D2262)+1,200)),"")),IF(ISNUMBER(SEARCH("Party Name:-",'R.M Billets Reports'!D2263)),TRIM('R.M Billets Reports'!F2263),IF(ISNUMBER(SEARCH("Party Name-",'R.M Billets Reports'!D2263)),TRIM(MID('R.M Billets Reports'!D2263,SEARCH("-",'R.M Billets Reports'!D2263)+1,200)),"")))))),IF(ROW()=2,"",A2262))</f>
      </c>
      <c r="B2263">
        <f>IF(OR('R.M Billets Reports'!A2262="Date-",'R.M Billets Reports'!A2262="Date:-"),'R.M Billets Reports'!B2262,IF(ROW()=2,"",B2262))</f>
      </c>
      <c r="C2263">
        <f>IF('R.M Billets Reports'!A2262="V.No.",'R.M Billets Reports'!B2262,IF(ROW()=2,"",C2262))</f>
      </c>
      <c r="D2263">
        <f>IF('R.M Billets Reports'!A2262&lt;&gt;"",'R.M Billets Reports'!A2262,IF(ROW()=2,"",D2262))</f>
      </c>
      <c r="E2263">
        <f>IF('R.M Billets Reports'!B2262="","",TRIM('R.M Billets Reports'!B2262))</f>
      </c>
      <c r="F2263">
        <f>'R.M Billets Reports'!C2262</f>
      </c>
      <c r="G2263">
        <f>'R.M Billets Reports'!D2262</f>
      </c>
      <c r="H2263">
        <f>'R.M Billets Reports'!E2262</f>
      </c>
      <c r="I2263">
        <f>'R.M Billets Reports'!F2262</f>
      </c>
      <c r="J2263">
        <f>'R.M Billets Reports'!G2262</f>
      </c>
      <c r="K2263">
        <f>'R.M Billets Reports'!H2262</f>
      </c>
      <c r="L2263">
        <f>IF('R.M Billets Reports'!I2262="","",'R.M Billets Reports'!I2262)</f>
      </c>
      <c r="M2263">
        <f t="shared" si="70"/>
      </c>
      <c r="N2263">
        <f>IF('R.M Billets Reports'!J2262="","",'R.M Billets Reports'!J2262)</f>
      </c>
      <c r="O2263">
        <f t="shared" si="71"/>
      </c>
      <c r="P2263">
        <f>IF('R.M Billets Reports'!A2262="SIZE",'R.M Billets Reports'!B2262,P2262)</f>
      </c>
    </row>
    <row r="2264" spans="1:16" x14ac:dyDescent="0.25">
      <c r="A2264">
        <f>IF(OR('R.M Billets Reports'!A2263="Date-",'R.M Billets Reports'!A2263="Date:-"),IF(IF(IF(ISNUMBER(SEARCH("Party Name:-",'R.M Billets Reports'!D2263)),TRIM('R.M Billets Reports'!F2263),IF(ISNUMBER(SEARCH("Party Name-",'R.M Billets Reports'!D2263)),TRIM(MID('R.M Billets Reports'!D2263,SEARCH("-",'R.M Billets Reports'!D2263)+1,200)),""))&lt;&gt;"",IF(ISNUMBER(SEARCH("Party Name:-",'R.M Billets Reports'!D2263)),TRIM('R.M Billets Reports'!F2263),IF(ISNUMBER(SEARCH("Party Name-",'R.M Billets Reports'!D2263)),TRIM(MID('R.M Billets Reports'!D2263,SEARCH("-",'R.M Billets Reports'!D2263)+1,200)),"")),IF(ISNUMBER(SEARCH("Party Name:-",'R.M Billets Reports'!D2264)),TRIM('R.M Billets Reports'!F2264),IF(ISNUMBER(SEARCH("Party Name-",'R.M Billets Reports'!D2264)),TRIM(MID('R.M Billets Reports'!D2264,SEARCH("-",'R.M Billets Reports'!D2264)+1,200)),"")))="VRKP ISPAT PVT LTD","VRKP",IF(IF(IF(ISNUMBER(SEARCH("Party Name:-",'R.M Billets Reports'!D2263)),TRIM('R.M Billets Reports'!F2263),IF(ISNUMBER(SEARCH("Party Name-",'R.M Billets Reports'!D2263)),TRIM(MID('R.M Billets Reports'!D2263,SEARCH("-",'R.M Billets Reports'!D2263)+1,200)),""))&lt;&gt;"",IF(ISNUMBER(SEARCH("Party Name:-",'R.M Billets Reports'!D2263)),TRIM('R.M Billets Reports'!F2263),IF(ISNUMBER(SEARCH("Party Name-",'R.M Billets Reports'!D2263)),TRIM(MID('R.M Billets Reports'!D2263,SEARCH("-",'R.M Billets Reports'!D2263)+1,200)),"")),IF(ISNUMBER(SEARCH("Party Name:-",'R.M Billets Reports'!D2264)),TRIM('R.M Billets Reports'!F2264),IF(ISNUMBER(SEARCH("Party Name-",'R.M Billets Reports'!D2264)),TRIM(MID('R.M Billets Reports'!D2264,SEARCH("-",'R.M Billets Reports'!D2264)+1,200)),"")))="SHRI RADHE","SHREE RADHE",IF(IF(IF(ISNUMBER(SEARCH("Party Name:-",'R.M Billets Reports'!D2263)),TRIM('R.M Billets Reports'!F2263),IF(ISNUMBER(SEARCH("Party Name-",'R.M Billets Reports'!D2263)),TRIM(MID('R.M Billets Reports'!D2263,SEARCH("-",'R.M Billets Reports'!D2263)+1,200)),""))&lt;&gt;"",IF(ISNUMBER(SEARCH("Party Name:-",'R.M Billets Reports'!D2263)),TRIM('R.M Billets Reports'!F2263),IF(ISNUMBER(SEARCH("Party Name-",'R.M Billets Reports'!D2263)),TRIM(MID('R.M Billets Reports'!D2263,SEARCH("-",'R.M Billets Reports'!D2263)+1,200)),"")),IF(ISNUMBER(SEARCH("Party Name:-",'R.M Billets Reports'!D2264)),TRIM('R.M Billets Reports'!F2264),IF(ISNUMBER(SEARCH("Party Name-",'R.M Billets Reports'!D2264)),TRIM(MID('R.M Billets Reports'!D2264,SEARCH("-",'R.M Billets Reports'!D2264)+1,200)),"")))="SHREE RADHE SHAKTI SPONGE AND POWER PVT. LTD.","SHREE RADHE",IF(IF(ISNUMBER(SEARCH("Party Name:-",'R.M Billets Reports'!D2263)),TRIM('R.M Billets Reports'!F2263),IF(ISNUMBER(SEARCH("Party Name-",'R.M Billets Reports'!D2263)),TRIM(MID('R.M Billets Reports'!D2263,SEARCH("-",'R.M Billets Reports'!D2263)+1,200)),""))&lt;&gt;"",IF(ISNUMBER(SEARCH("Party Name:-",'R.M Billets Reports'!D2263)),TRIM('R.M Billets Reports'!F2263),IF(ISNUMBER(SEARCH("Party Name-",'R.M Billets Reports'!D2263)),TRIM(MID('R.M Billets Reports'!D2263,SEARCH("-",'R.M Billets Reports'!D2263)+1,200)),"")),IF(ISNUMBER(SEARCH("Party Name:-",'R.M Billets Reports'!D2264)),TRIM('R.M Billets Reports'!F2264),IF(ISNUMBER(SEARCH("Party Name-",'R.M Billets Reports'!D2264)),TRIM(MID('R.M Billets Reports'!D2264,SEARCH("-",'R.M Billets Reports'!D2264)+1,200)),"")))))),IF(ROW()=2,"",A2263))</f>
      </c>
      <c r="B2264">
        <f>IF(OR('R.M Billets Reports'!A2263="Date-",'R.M Billets Reports'!A2263="Date:-"),'R.M Billets Reports'!B2263,IF(ROW()=2,"",B2263))</f>
      </c>
      <c r="C2264">
        <f>IF('R.M Billets Reports'!A2263="V.No.",'R.M Billets Reports'!B2263,IF(ROW()=2,"",C2263))</f>
      </c>
      <c r="D2264">
        <f>IF('R.M Billets Reports'!A2263&lt;&gt;"",'R.M Billets Reports'!A2263,IF(ROW()=2,"",D2263))</f>
      </c>
      <c r="E2264">
        <f>IF('R.M Billets Reports'!B2263="","",TRIM('R.M Billets Reports'!B2263))</f>
      </c>
      <c r="F2264">
        <f>'R.M Billets Reports'!C2263</f>
      </c>
      <c r="G2264">
        <f>'R.M Billets Reports'!D2263</f>
      </c>
      <c r="H2264">
        <f>'R.M Billets Reports'!E2263</f>
      </c>
      <c r="I2264">
        <f>'R.M Billets Reports'!F2263</f>
      </c>
      <c r="J2264">
        <f>'R.M Billets Reports'!G2263</f>
      </c>
      <c r="K2264">
        <f>'R.M Billets Reports'!H2263</f>
      </c>
      <c r="L2264">
        <f>IF('R.M Billets Reports'!I2263="","",'R.M Billets Reports'!I2263)</f>
      </c>
      <c r="M2264">
        <f t="shared" si="70"/>
      </c>
      <c r="N2264">
        <f>IF('R.M Billets Reports'!J2263="","",'R.M Billets Reports'!J2263)</f>
      </c>
      <c r="O2264">
        <f t="shared" si="71"/>
      </c>
      <c r="P2264">
        <f>IF('R.M Billets Reports'!A2263="SIZE",'R.M Billets Reports'!B2263,P2263)</f>
      </c>
    </row>
    <row r="2265" spans="1:16" x14ac:dyDescent="0.25">
      <c r="A2265">
        <f>IF(OR('R.M Billets Reports'!A2264="Date-",'R.M Billets Reports'!A2264="Date:-"),IF(IF(IF(ISNUMBER(SEARCH("Party Name:-",'R.M Billets Reports'!D2264)),TRIM('R.M Billets Reports'!F2264),IF(ISNUMBER(SEARCH("Party Name-",'R.M Billets Reports'!D2264)),TRIM(MID('R.M Billets Reports'!D2264,SEARCH("-",'R.M Billets Reports'!D2264)+1,200)),""))&lt;&gt;"",IF(ISNUMBER(SEARCH("Party Name:-",'R.M Billets Reports'!D2264)),TRIM('R.M Billets Reports'!F2264),IF(ISNUMBER(SEARCH("Party Name-",'R.M Billets Reports'!D2264)),TRIM(MID('R.M Billets Reports'!D2264,SEARCH("-",'R.M Billets Reports'!D2264)+1,200)),"")),IF(ISNUMBER(SEARCH("Party Name:-",'R.M Billets Reports'!D2265)),TRIM('R.M Billets Reports'!F2265),IF(ISNUMBER(SEARCH("Party Name-",'R.M Billets Reports'!D2265)),TRIM(MID('R.M Billets Reports'!D2265,SEARCH("-",'R.M Billets Reports'!D2265)+1,200)),"")))="VRKP ISPAT PVT LTD","VRKP",IF(IF(IF(ISNUMBER(SEARCH("Party Name:-",'R.M Billets Reports'!D2264)),TRIM('R.M Billets Reports'!F2264),IF(ISNUMBER(SEARCH("Party Name-",'R.M Billets Reports'!D2264)),TRIM(MID('R.M Billets Reports'!D2264,SEARCH("-",'R.M Billets Reports'!D2264)+1,200)),""))&lt;&gt;"",IF(ISNUMBER(SEARCH("Party Name:-",'R.M Billets Reports'!D2264)),TRIM('R.M Billets Reports'!F2264),IF(ISNUMBER(SEARCH("Party Name-",'R.M Billets Reports'!D2264)),TRIM(MID('R.M Billets Reports'!D2264,SEARCH("-",'R.M Billets Reports'!D2264)+1,200)),"")),IF(ISNUMBER(SEARCH("Party Name:-",'R.M Billets Reports'!D2265)),TRIM('R.M Billets Reports'!F2265),IF(ISNUMBER(SEARCH("Party Name-",'R.M Billets Reports'!D2265)),TRIM(MID('R.M Billets Reports'!D2265,SEARCH("-",'R.M Billets Reports'!D2265)+1,200)),"")))="SHRI RADHE","SHREE RADHE",IF(IF(IF(ISNUMBER(SEARCH("Party Name:-",'R.M Billets Reports'!D2264)),TRIM('R.M Billets Reports'!F2264),IF(ISNUMBER(SEARCH("Party Name-",'R.M Billets Reports'!D2264)),TRIM(MID('R.M Billets Reports'!D2264,SEARCH("-",'R.M Billets Reports'!D2264)+1,200)),""))&lt;&gt;"",IF(ISNUMBER(SEARCH("Party Name:-",'R.M Billets Reports'!D2264)),TRIM('R.M Billets Reports'!F2264),IF(ISNUMBER(SEARCH("Party Name-",'R.M Billets Reports'!D2264)),TRIM(MID('R.M Billets Reports'!D2264,SEARCH("-",'R.M Billets Reports'!D2264)+1,200)),"")),IF(ISNUMBER(SEARCH("Party Name:-",'R.M Billets Reports'!D2265)),TRIM('R.M Billets Reports'!F2265),IF(ISNUMBER(SEARCH("Party Name-",'R.M Billets Reports'!D2265)),TRIM(MID('R.M Billets Reports'!D2265,SEARCH("-",'R.M Billets Reports'!D2265)+1,200)),"")))="SHREE RADHE SHAKTI SPONGE AND POWER PVT. LTD.","SHREE RADHE",IF(IF(ISNUMBER(SEARCH("Party Name:-",'R.M Billets Reports'!D2264)),TRIM('R.M Billets Reports'!F2264),IF(ISNUMBER(SEARCH("Party Name-",'R.M Billets Reports'!D2264)),TRIM(MID('R.M Billets Reports'!D2264,SEARCH("-",'R.M Billets Reports'!D2264)+1,200)),""))&lt;&gt;"",IF(ISNUMBER(SEARCH("Party Name:-",'R.M Billets Reports'!D2264)),TRIM('R.M Billets Reports'!F2264),IF(ISNUMBER(SEARCH("Party Name-",'R.M Billets Reports'!D2264)),TRIM(MID('R.M Billets Reports'!D2264,SEARCH("-",'R.M Billets Reports'!D2264)+1,200)),"")),IF(ISNUMBER(SEARCH("Party Name:-",'R.M Billets Reports'!D2265)),TRIM('R.M Billets Reports'!F2265),IF(ISNUMBER(SEARCH("Party Name-",'R.M Billets Reports'!D2265)),TRIM(MID('R.M Billets Reports'!D2265,SEARCH("-",'R.M Billets Reports'!D2265)+1,200)),"")))))),IF(ROW()=2,"",A2264))</f>
      </c>
      <c r="B2265">
        <f>IF(OR('R.M Billets Reports'!A2264="Date-",'R.M Billets Reports'!A2264="Date:-"),'R.M Billets Reports'!B2264,IF(ROW()=2,"",B2264))</f>
      </c>
      <c r="C2265">
        <f>IF('R.M Billets Reports'!A2264="V.No.",'R.M Billets Reports'!B2264,IF(ROW()=2,"",C2264))</f>
      </c>
      <c r="D2265">
        <f>IF('R.M Billets Reports'!A2264&lt;&gt;"",'R.M Billets Reports'!A2264,IF(ROW()=2,"",D2264))</f>
      </c>
      <c r="E2265">
        <f>IF('R.M Billets Reports'!B2264="","",TRIM('R.M Billets Reports'!B2264))</f>
      </c>
      <c r="F2265">
        <f>'R.M Billets Reports'!C2264</f>
      </c>
      <c r="G2265">
        <f>'R.M Billets Reports'!D2264</f>
      </c>
      <c r="H2265">
        <f>'R.M Billets Reports'!E2264</f>
      </c>
      <c r="I2265">
        <f>'R.M Billets Reports'!F2264</f>
      </c>
      <c r="J2265">
        <f>'R.M Billets Reports'!G2264</f>
      </c>
      <c r="K2265">
        <f>'R.M Billets Reports'!H2264</f>
      </c>
      <c r="L2265">
        <f>IF('R.M Billets Reports'!I2264="","",'R.M Billets Reports'!I2264)</f>
      </c>
      <c r="M2265">
        <f t="shared" si="70"/>
      </c>
      <c r="N2265">
        <f>IF('R.M Billets Reports'!J2264="","",'R.M Billets Reports'!J2264)</f>
      </c>
      <c r="O2265">
        <f t="shared" si="71"/>
      </c>
      <c r="P2265">
        <f>IF('R.M Billets Reports'!A2264="SIZE",'R.M Billets Reports'!B2264,P2264)</f>
      </c>
    </row>
    <row r="2266" spans="1:16" x14ac:dyDescent="0.25">
      <c r="A2266">
        <f>IF(OR('R.M Billets Reports'!A2265="Date-",'R.M Billets Reports'!A2265="Date:-"),IF(IF(IF(ISNUMBER(SEARCH("Party Name:-",'R.M Billets Reports'!D2265)),TRIM('R.M Billets Reports'!F2265),IF(ISNUMBER(SEARCH("Party Name-",'R.M Billets Reports'!D2265)),TRIM(MID('R.M Billets Reports'!D2265,SEARCH("-",'R.M Billets Reports'!D2265)+1,200)),""))&lt;&gt;"",IF(ISNUMBER(SEARCH("Party Name:-",'R.M Billets Reports'!D2265)),TRIM('R.M Billets Reports'!F2265),IF(ISNUMBER(SEARCH("Party Name-",'R.M Billets Reports'!D2265)),TRIM(MID('R.M Billets Reports'!D2265,SEARCH("-",'R.M Billets Reports'!D2265)+1,200)),"")),IF(ISNUMBER(SEARCH("Party Name:-",'R.M Billets Reports'!D2266)),TRIM('R.M Billets Reports'!F2266),IF(ISNUMBER(SEARCH("Party Name-",'R.M Billets Reports'!D2266)),TRIM(MID('R.M Billets Reports'!D2266,SEARCH("-",'R.M Billets Reports'!D2266)+1,200)),"")))="VRKP ISPAT PVT LTD","VRKP",IF(IF(IF(ISNUMBER(SEARCH("Party Name:-",'R.M Billets Reports'!D2265)),TRIM('R.M Billets Reports'!F2265),IF(ISNUMBER(SEARCH("Party Name-",'R.M Billets Reports'!D2265)),TRIM(MID('R.M Billets Reports'!D2265,SEARCH("-",'R.M Billets Reports'!D2265)+1,200)),""))&lt;&gt;"",IF(ISNUMBER(SEARCH("Party Name:-",'R.M Billets Reports'!D2265)),TRIM('R.M Billets Reports'!F2265),IF(ISNUMBER(SEARCH("Party Name-",'R.M Billets Reports'!D2265)),TRIM(MID('R.M Billets Reports'!D2265,SEARCH("-",'R.M Billets Reports'!D2265)+1,200)),"")),IF(ISNUMBER(SEARCH("Party Name:-",'R.M Billets Reports'!D2266)),TRIM('R.M Billets Reports'!F2266),IF(ISNUMBER(SEARCH("Party Name-",'R.M Billets Reports'!D2266)),TRIM(MID('R.M Billets Reports'!D2266,SEARCH("-",'R.M Billets Reports'!D2266)+1,200)),"")))="SHRI RADHE","SHREE RADHE",IF(IF(IF(ISNUMBER(SEARCH("Party Name:-",'R.M Billets Reports'!D2265)),TRIM('R.M Billets Reports'!F2265),IF(ISNUMBER(SEARCH("Party Name-",'R.M Billets Reports'!D2265)),TRIM(MID('R.M Billets Reports'!D2265,SEARCH("-",'R.M Billets Reports'!D2265)+1,200)),""))&lt;&gt;"",IF(ISNUMBER(SEARCH("Party Name:-",'R.M Billets Reports'!D2265)),TRIM('R.M Billets Reports'!F2265),IF(ISNUMBER(SEARCH("Party Name-",'R.M Billets Reports'!D2265)),TRIM(MID('R.M Billets Reports'!D2265,SEARCH("-",'R.M Billets Reports'!D2265)+1,200)),"")),IF(ISNUMBER(SEARCH("Party Name:-",'R.M Billets Reports'!D2266)),TRIM('R.M Billets Reports'!F2266),IF(ISNUMBER(SEARCH("Party Name-",'R.M Billets Reports'!D2266)),TRIM(MID('R.M Billets Reports'!D2266,SEARCH("-",'R.M Billets Reports'!D2266)+1,200)),"")))="SHREE RADHE SHAKTI SPONGE AND POWER PVT. LTD.","SHREE RADHE",IF(IF(ISNUMBER(SEARCH("Party Name:-",'R.M Billets Reports'!D2265)),TRIM('R.M Billets Reports'!F2265),IF(ISNUMBER(SEARCH("Party Name-",'R.M Billets Reports'!D2265)),TRIM(MID('R.M Billets Reports'!D2265,SEARCH("-",'R.M Billets Reports'!D2265)+1,200)),""))&lt;&gt;"",IF(ISNUMBER(SEARCH("Party Name:-",'R.M Billets Reports'!D2265)),TRIM('R.M Billets Reports'!F2265),IF(ISNUMBER(SEARCH("Party Name-",'R.M Billets Reports'!D2265)),TRIM(MID('R.M Billets Reports'!D2265,SEARCH("-",'R.M Billets Reports'!D2265)+1,200)),"")),IF(ISNUMBER(SEARCH("Party Name:-",'R.M Billets Reports'!D2266)),TRIM('R.M Billets Reports'!F2266),IF(ISNUMBER(SEARCH("Party Name-",'R.M Billets Reports'!D2266)),TRIM(MID('R.M Billets Reports'!D2266,SEARCH("-",'R.M Billets Reports'!D2266)+1,200)),"")))))),IF(ROW()=2,"",A2265))</f>
      </c>
      <c r="B2266">
        <f>IF(OR('R.M Billets Reports'!A2265="Date-",'R.M Billets Reports'!A2265="Date:-"),'R.M Billets Reports'!B2265,IF(ROW()=2,"",B2265))</f>
      </c>
      <c r="C2266">
        <f>IF('R.M Billets Reports'!A2265="V.No.",'R.M Billets Reports'!B2265,IF(ROW()=2,"",C2265))</f>
      </c>
      <c r="D2266">
        <f>IF('R.M Billets Reports'!A2265&lt;&gt;"",'R.M Billets Reports'!A2265,IF(ROW()=2,"",D2265))</f>
      </c>
      <c r="E2266">
        <f>IF('R.M Billets Reports'!B2265="","",TRIM('R.M Billets Reports'!B2265))</f>
      </c>
      <c r="F2266">
        <f>'R.M Billets Reports'!C2265</f>
      </c>
      <c r="G2266">
        <f>'R.M Billets Reports'!D2265</f>
      </c>
      <c r="H2266">
        <f>'R.M Billets Reports'!E2265</f>
      </c>
      <c r="I2266">
        <f>'R.M Billets Reports'!F2265</f>
      </c>
      <c r="J2266">
        <f>'R.M Billets Reports'!G2265</f>
      </c>
      <c r="K2266">
        <f>'R.M Billets Reports'!H2265</f>
      </c>
      <c r="L2266">
        <f>IF('R.M Billets Reports'!I2265="","",'R.M Billets Reports'!I2265)</f>
      </c>
      <c r="M2266">
        <f t="shared" si="70"/>
      </c>
      <c r="N2266">
        <f>IF('R.M Billets Reports'!J2265="","",'R.M Billets Reports'!J2265)</f>
      </c>
      <c r="O2266">
        <f t="shared" si="71"/>
      </c>
      <c r="P2266">
        <f>IF('R.M Billets Reports'!A2265="SIZE",'R.M Billets Reports'!B2265,P2265)</f>
      </c>
    </row>
    <row r="2267" spans="1:16" x14ac:dyDescent="0.25">
      <c r="A2267">
        <f>IF(OR('R.M Billets Reports'!A2266="Date-",'R.M Billets Reports'!A2266="Date:-"),IF(IF(IF(ISNUMBER(SEARCH("Party Name:-",'R.M Billets Reports'!D2266)),TRIM('R.M Billets Reports'!F2266),IF(ISNUMBER(SEARCH("Party Name-",'R.M Billets Reports'!D2266)),TRIM(MID('R.M Billets Reports'!D2266,SEARCH("-",'R.M Billets Reports'!D2266)+1,200)),""))&lt;&gt;"",IF(ISNUMBER(SEARCH("Party Name:-",'R.M Billets Reports'!D2266)),TRIM('R.M Billets Reports'!F2266),IF(ISNUMBER(SEARCH("Party Name-",'R.M Billets Reports'!D2266)),TRIM(MID('R.M Billets Reports'!D2266,SEARCH("-",'R.M Billets Reports'!D2266)+1,200)),"")),IF(ISNUMBER(SEARCH("Party Name:-",'R.M Billets Reports'!D2267)),TRIM('R.M Billets Reports'!F2267),IF(ISNUMBER(SEARCH("Party Name-",'R.M Billets Reports'!D2267)),TRIM(MID('R.M Billets Reports'!D2267,SEARCH("-",'R.M Billets Reports'!D2267)+1,200)),"")))="VRKP ISPAT PVT LTD","VRKP",IF(IF(IF(ISNUMBER(SEARCH("Party Name:-",'R.M Billets Reports'!D2266)),TRIM('R.M Billets Reports'!F2266),IF(ISNUMBER(SEARCH("Party Name-",'R.M Billets Reports'!D2266)),TRIM(MID('R.M Billets Reports'!D2266,SEARCH("-",'R.M Billets Reports'!D2266)+1,200)),""))&lt;&gt;"",IF(ISNUMBER(SEARCH("Party Name:-",'R.M Billets Reports'!D2266)),TRIM('R.M Billets Reports'!F2266),IF(ISNUMBER(SEARCH("Party Name-",'R.M Billets Reports'!D2266)),TRIM(MID('R.M Billets Reports'!D2266,SEARCH("-",'R.M Billets Reports'!D2266)+1,200)),"")),IF(ISNUMBER(SEARCH("Party Name:-",'R.M Billets Reports'!D2267)),TRIM('R.M Billets Reports'!F2267),IF(ISNUMBER(SEARCH("Party Name-",'R.M Billets Reports'!D2267)),TRIM(MID('R.M Billets Reports'!D2267,SEARCH("-",'R.M Billets Reports'!D2267)+1,200)),"")))="SHRI RADHE","SHREE RADHE",IF(IF(IF(ISNUMBER(SEARCH("Party Name:-",'R.M Billets Reports'!D2266)),TRIM('R.M Billets Reports'!F2266),IF(ISNUMBER(SEARCH("Party Name-",'R.M Billets Reports'!D2266)),TRIM(MID('R.M Billets Reports'!D2266,SEARCH("-",'R.M Billets Reports'!D2266)+1,200)),""))&lt;&gt;"",IF(ISNUMBER(SEARCH("Party Name:-",'R.M Billets Reports'!D2266)),TRIM('R.M Billets Reports'!F2266),IF(ISNUMBER(SEARCH("Party Name-",'R.M Billets Reports'!D2266)),TRIM(MID('R.M Billets Reports'!D2266,SEARCH("-",'R.M Billets Reports'!D2266)+1,200)),"")),IF(ISNUMBER(SEARCH("Party Name:-",'R.M Billets Reports'!D2267)),TRIM('R.M Billets Reports'!F2267),IF(ISNUMBER(SEARCH("Party Name-",'R.M Billets Reports'!D2267)),TRIM(MID('R.M Billets Reports'!D2267,SEARCH("-",'R.M Billets Reports'!D2267)+1,200)),"")))="SHREE RADHE SHAKTI SPONGE AND POWER PVT. LTD.","SHREE RADHE",IF(IF(ISNUMBER(SEARCH("Party Name:-",'R.M Billets Reports'!D2266)),TRIM('R.M Billets Reports'!F2266),IF(ISNUMBER(SEARCH("Party Name-",'R.M Billets Reports'!D2266)),TRIM(MID('R.M Billets Reports'!D2266,SEARCH("-",'R.M Billets Reports'!D2266)+1,200)),""))&lt;&gt;"",IF(ISNUMBER(SEARCH("Party Name:-",'R.M Billets Reports'!D2266)),TRIM('R.M Billets Reports'!F2266),IF(ISNUMBER(SEARCH("Party Name-",'R.M Billets Reports'!D2266)),TRIM(MID('R.M Billets Reports'!D2266,SEARCH("-",'R.M Billets Reports'!D2266)+1,200)),"")),IF(ISNUMBER(SEARCH("Party Name:-",'R.M Billets Reports'!D2267)),TRIM('R.M Billets Reports'!F2267),IF(ISNUMBER(SEARCH("Party Name-",'R.M Billets Reports'!D2267)),TRIM(MID('R.M Billets Reports'!D2267,SEARCH("-",'R.M Billets Reports'!D2267)+1,200)),"")))))),IF(ROW()=2,"",A2266))</f>
      </c>
      <c r="B2267">
        <f>IF(OR('R.M Billets Reports'!A2266="Date-",'R.M Billets Reports'!A2266="Date:-"),'R.M Billets Reports'!B2266,IF(ROW()=2,"",B2266))</f>
      </c>
      <c r="C2267">
        <f>IF('R.M Billets Reports'!A2266="V.No.",'R.M Billets Reports'!B2266,IF(ROW()=2,"",C2266))</f>
      </c>
      <c r="D2267">
        <f>IF('R.M Billets Reports'!A2266&lt;&gt;"",'R.M Billets Reports'!A2266,IF(ROW()=2,"",D2266))</f>
      </c>
      <c r="E2267">
        <f>IF('R.M Billets Reports'!B2266="","",TRIM('R.M Billets Reports'!B2266))</f>
      </c>
      <c r="F2267">
        <f>'R.M Billets Reports'!C2266</f>
      </c>
      <c r="G2267">
        <f>'R.M Billets Reports'!D2266</f>
      </c>
      <c r="H2267">
        <f>'R.M Billets Reports'!E2266</f>
      </c>
      <c r="I2267">
        <f>'R.M Billets Reports'!F2266</f>
      </c>
      <c r="J2267">
        <f>'R.M Billets Reports'!G2266</f>
      </c>
      <c r="K2267">
        <f>'R.M Billets Reports'!H2266</f>
      </c>
      <c r="L2267">
        <f>IF('R.M Billets Reports'!I2266="","",'R.M Billets Reports'!I2266)</f>
      </c>
      <c r="M2267">
        <f t="shared" si="70"/>
      </c>
      <c r="N2267">
        <f>IF('R.M Billets Reports'!J2266="","",'R.M Billets Reports'!J2266)</f>
      </c>
      <c r="O2267">
        <f t="shared" si="71"/>
      </c>
      <c r="P2267">
        <f>IF('R.M Billets Reports'!A2266="SIZE",'R.M Billets Reports'!B2266,P2266)</f>
      </c>
    </row>
    <row r="2268" spans="1:16" x14ac:dyDescent="0.25">
      <c r="A2268">
        <f>IF(OR('R.M Billets Reports'!A2267="Date-",'R.M Billets Reports'!A2267="Date:-"),IF(IF(IF(ISNUMBER(SEARCH("Party Name:-",'R.M Billets Reports'!D2267)),TRIM('R.M Billets Reports'!F2267),IF(ISNUMBER(SEARCH("Party Name-",'R.M Billets Reports'!D2267)),TRIM(MID('R.M Billets Reports'!D2267,SEARCH("-",'R.M Billets Reports'!D2267)+1,200)),""))&lt;&gt;"",IF(ISNUMBER(SEARCH("Party Name:-",'R.M Billets Reports'!D2267)),TRIM('R.M Billets Reports'!F2267),IF(ISNUMBER(SEARCH("Party Name-",'R.M Billets Reports'!D2267)),TRIM(MID('R.M Billets Reports'!D2267,SEARCH("-",'R.M Billets Reports'!D2267)+1,200)),"")),IF(ISNUMBER(SEARCH("Party Name:-",'R.M Billets Reports'!D2268)),TRIM('R.M Billets Reports'!F2268),IF(ISNUMBER(SEARCH("Party Name-",'R.M Billets Reports'!D2268)),TRIM(MID('R.M Billets Reports'!D2268,SEARCH("-",'R.M Billets Reports'!D2268)+1,200)),"")))="VRKP ISPAT PVT LTD","VRKP",IF(IF(IF(ISNUMBER(SEARCH("Party Name:-",'R.M Billets Reports'!D2267)),TRIM('R.M Billets Reports'!F2267),IF(ISNUMBER(SEARCH("Party Name-",'R.M Billets Reports'!D2267)),TRIM(MID('R.M Billets Reports'!D2267,SEARCH("-",'R.M Billets Reports'!D2267)+1,200)),""))&lt;&gt;"",IF(ISNUMBER(SEARCH("Party Name:-",'R.M Billets Reports'!D2267)),TRIM('R.M Billets Reports'!F2267),IF(ISNUMBER(SEARCH("Party Name-",'R.M Billets Reports'!D2267)),TRIM(MID('R.M Billets Reports'!D2267,SEARCH("-",'R.M Billets Reports'!D2267)+1,200)),"")),IF(ISNUMBER(SEARCH("Party Name:-",'R.M Billets Reports'!D2268)),TRIM('R.M Billets Reports'!F2268),IF(ISNUMBER(SEARCH("Party Name-",'R.M Billets Reports'!D2268)),TRIM(MID('R.M Billets Reports'!D2268,SEARCH("-",'R.M Billets Reports'!D2268)+1,200)),"")))="SHRI RADHE","SHREE RADHE",IF(IF(IF(ISNUMBER(SEARCH("Party Name:-",'R.M Billets Reports'!D2267)),TRIM('R.M Billets Reports'!F2267),IF(ISNUMBER(SEARCH("Party Name-",'R.M Billets Reports'!D2267)),TRIM(MID('R.M Billets Reports'!D2267,SEARCH("-",'R.M Billets Reports'!D2267)+1,200)),""))&lt;&gt;"",IF(ISNUMBER(SEARCH("Party Name:-",'R.M Billets Reports'!D2267)),TRIM('R.M Billets Reports'!F2267),IF(ISNUMBER(SEARCH("Party Name-",'R.M Billets Reports'!D2267)),TRIM(MID('R.M Billets Reports'!D2267,SEARCH("-",'R.M Billets Reports'!D2267)+1,200)),"")),IF(ISNUMBER(SEARCH("Party Name:-",'R.M Billets Reports'!D2268)),TRIM('R.M Billets Reports'!F2268),IF(ISNUMBER(SEARCH("Party Name-",'R.M Billets Reports'!D2268)),TRIM(MID('R.M Billets Reports'!D2268,SEARCH("-",'R.M Billets Reports'!D2268)+1,200)),"")))="SHREE RADHE SHAKTI SPONGE AND POWER PVT. LTD.","SHREE RADHE",IF(IF(ISNUMBER(SEARCH("Party Name:-",'R.M Billets Reports'!D2267)),TRIM('R.M Billets Reports'!F2267),IF(ISNUMBER(SEARCH("Party Name-",'R.M Billets Reports'!D2267)),TRIM(MID('R.M Billets Reports'!D2267,SEARCH("-",'R.M Billets Reports'!D2267)+1,200)),""))&lt;&gt;"",IF(ISNUMBER(SEARCH("Party Name:-",'R.M Billets Reports'!D2267)),TRIM('R.M Billets Reports'!F2267),IF(ISNUMBER(SEARCH("Party Name-",'R.M Billets Reports'!D2267)),TRIM(MID('R.M Billets Reports'!D2267,SEARCH("-",'R.M Billets Reports'!D2267)+1,200)),"")),IF(ISNUMBER(SEARCH("Party Name:-",'R.M Billets Reports'!D2268)),TRIM('R.M Billets Reports'!F2268),IF(ISNUMBER(SEARCH("Party Name-",'R.M Billets Reports'!D2268)),TRIM(MID('R.M Billets Reports'!D2268,SEARCH("-",'R.M Billets Reports'!D2268)+1,200)),"")))))),IF(ROW()=2,"",A2267))</f>
      </c>
      <c r="B2268">
        <f>IF(OR('R.M Billets Reports'!A2267="Date-",'R.M Billets Reports'!A2267="Date:-"),'R.M Billets Reports'!B2267,IF(ROW()=2,"",B2267))</f>
      </c>
      <c r="C2268">
        <f>IF('R.M Billets Reports'!A2267="V.No.",'R.M Billets Reports'!B2267,IF(ROW()=2,"",C2267))</f>
      </c>
      <c r="D2268">
        <f>IF('R.M Billets Reports'!A2267&lt;&gt;"",'R.M Billets Reports'!A2267,IF(ROW()=2,"",D2267))</f>
      </c>
      <c r="E2268">
        <f>IF('R.M Billets Reports'!B2267="","",TRIM('R.M Billets Reports'!B2267))</f>
      </c>
      <c r="F2268">
        <f>'R.M Billets Reports'!C2267</f>
      </c>
      <c r="G2268">
        <f>'R.M Billets Reports'!D2267</f>
      </c>
      <c r="H2268">
        <f>'R.M Billets Reports'!E2267</f>
      </c>
      <c r="I2268">
        <f>'R.M Billets Reports'!F2267</f>
      </c>
      <c r="J2268">
        <f>'R.M Billets Reports'!G2267</f>
      </c>
      <c r="K2268">
        <f>'R.M Billets Reports'!H2267</f>
      </c>
      <c r="L2268">
        <f>IF('R.M Billets Reports'!I2267="","",'R.M Billets Reports'!I2267)</f>
      </c>
      <c r="M2268">
        <f t="shared" si="70"/>
      </c>
      <c r="N2268">
        <f>IF('R.M Billets Reports'!J2267="","",'R.M Billets Reports'!J2267)</f>
      </c>
      <c r="O2268">
        <f t="shared" si="71"/>
      </c>
      <c r="P2268">
        <f>IF('R.M Billets Reports'!A2267="SIZE",'R.M Billets Reports'!B2267,P2267)</f>
      </c>
    </row>
    <row r="2269" spans="1:16" x14ac:dyDescent="0.25">
      <c r="A2269">
        <f>IF(OR('R.M Billets Reports'!A2268="Date-",'R.M Billets Reports'!A2268="Date:-"),IF(IF(IF(ISNUMBER(SEARCH("Party Name:-",'R.M Billets Reports'!D2268)),TRIM('R.M Billets Reports'!F2268),IF(ISNUMBER(SEARCH("Party Name-",'R.M Billets Reports'!D2268)),TRIM(MID('R.M Billets Reports'!D2268,SEARCH("-",'R.M Billets Reports'!D2268)+1,200)),""))&lt;&gt;"",IF(ISNUMBER(SEARCH("Party Name:-",'R.M Billets Reports'!D2268)),TRIM('R.M Billets Reports'!F2268),IF(ISNUMBER(SEARCH("Party Name-",'R.M Billets Reports'!D2268)),TRIM(MID('R.M Billets Reports'!D2268,SEARCH("-",'R.M Billets Reports'!D2268)+1,200)),"")),IF(ISNUMBER(SEARCH("Party Name:-",'R.M Billets Reports'!D2269)),TRIM('R.M Billets Reports'!F2269),IF(ISNUMBER(SEARCH("Party Name-",'R.M Billets Reports'!D2269)),TRIM(MID('R.M Billets Reports'!D2269,SEARCH("-",'R.M Billets Reports'!D2269)+1,200)),"")))="VRKP ISPAT PVT LTD","VRKP",IF(IF(IF(ISNUMBER(SEARCH("Party Name:-",'R.M Billets Reports'!D2268)),TRIM('R.M Billets Reports'!F2268),IF(ISNUMBER(SEARCH("Party Name-",'R.M Billets Reports'!D2268)),TRIM(MID('R.M Billets Reports'!D2268,SEARCH("-",'R.M Billets Reports'!D2268)+1,200)),""))&lt;&gt;"",IF(ISNUMBER(SEARCH("Party Name:-",'R.M Billets Reports'!D2268)),TRIM('R.M Billets Reports'!F2268),IF(ISNUMBER(SEARCH("Party Name-",'R.M Billets Reports'!D2268)),TRIM(MID('R.M Billets Reports'!D2268,SEARCH("-",'R.M Billets Reports'!D2268)+1,200)),"")),IF(ISNUMBER(SEARCH("Party Name:-",'R.M Billets Reports'!D2269)),TRIM('R.M Billets Reports'!F2269),IF(ISNUMBER(SEARCH("Party Name-",'R.M Billets Reports'!D2269)),TRIM(MID('R.M Billets Reports'!D2269,SEARCH("-",'R.M Billets Reports'!D2269)+1,200)),"")))="SHRI RADHE","SHREE RADHE",IF(IF(IF(ISNUMBER(SEARCH("Party Name:-",'R.M Billets Reports'!D2268)),TRIM('R.M Billets Reports'!F2268),IF(ISNUMBER(SEARCH("Party Name-",'R.M Billets Reports'!D2268)),TRIM(MID('R.M Billets Reports'!D2268,SEARCH("-",'R.M Billets Reports'!D2268)+1,200)),""))&lt;&gt;"",IF(ISNUMBER(SEARCH("Party Name:-",'R.M Billets Reports'!D2268)),TRIM('R.M Billets Reports'!F2268),IF(ISNUMBER(SEARCH("Party Name-",'R.M Billets Reports'!D2268)),TRIM(MID('R.M Billets Reports'!D2268,SEARCH("-",'R.M Billets Reports'!D2268)+1,200)),"")),IF(ISNUMBER(SEARCH("Party Name:-",'R.M Billets Reports'!D2269)),TRIM('R.M Billets Reports'!F2269),IF(ISNUMBER(SEARCH("Party Name-",'R.M Billets Reports'!D2269)),TRIM(MID('R.M Billets Reports'!D2269,SEARCH("-",'R.M Billets Reports'!D2269)+1,200)),"")))="SHREE RADHE SHAKTI SPONGE AND POWER PVT. LTD.","SHREE RADHE",IF(IF(ISNUMBER(SEARCH("Party Name:-",'R.M Billets Reports'!D2268)),TRIM('R.M Billets Reports'!F2268),IF(ISNUMBER(SEARCH("Party Name-",'R.M Billets Reports'!D2268)),TRIM(MID('R.M Billets Reports'!D2268,SEARCH("-",'R.M Billets Reports'!D2268)+1,200)),""))&lt;&gt;"",IF(ISNUMBER(SEARCH("Party Name:-",'R.M Billets Reports'!D2268)),TRIM('R.M Billets Reports'!F2268),IF(ISNUMBER(SEARCH("Party Name-",'R.M Billets Reports'!D2268)),TRIM(MID('R.M Billets Reports'!D2268,SEARCH("-",'R.M Billets Reports'!D2268)+1,200)),"")),IF(ISNUMBER(SEARCH("Party Name:-",'R.M Billets Reports'!D2269)),TRIM('R.M Billets Reports'!F2269),IF(ISNUMBER(SEARCH("Party Name-",'R.M Billets Reports'!D2269)),TRIM(MID('R.M Billets Reports'!D2269,SEARCH("-",'R.M Billets Reports'!D2269)+1,200)),"")))))),IF(ROW()=2,"",A2268))</f>
      </c>
      <c r="B2269">
        <f>IF(OR('R.M Billets Reports'!A2268="Date-",'R.M Billets Reports'!A2268="Date:-"),'R.M Billets Reports'!B2268,IF(ROW()=2,"",B2268))</f>
      </c>
      <c r="C2269">
        <f>IF('R.M Billets Reports'!A2268="V.No.",'R.M Billets Reports'!B2268,IF(ROW()=2,"",C2268))</f>
      </c>
      <c r="D2269">
        <f>IF('R.M Billets Reports'!A2268&lt;&gt;"",'R.M Billets Reports'!A2268,IF(ROW()=2,"",D2268))</f>
      </c>
      <c r="E2269">
        <f>IF('R.M Billets Reports'!B2268="","",TRIM('R.M Billets Reports'!B2268))</f>
      </c>
      <c r="F2269">
        <f>'R.M Billets Reports'!C2268</f>
      </c>
      <c r="G2269">
        <f>'R.M Billets Reports'!D2268</f>
      </c>
      <c r="H2269">
        <f>'R.M Billets Reports'!E2268</f>
      </c>
      <c r="I2269">
        <f>'R.M Billets Reports'!F2268</f>
      </c>
      <c r="J2269">
        <f>'R.M Billets Reports'!G2268</f>
      </c>
      <c r="K2269">
        <f>'R.M Billets Reports'!H2268</f>
      </c>
      <c r="L2269">
        <f>IF('R.M Billets Reports'!I2268="","",'R.M Billets Reports'!I2268)</f>
      </c>
      <c r="M2269">
        <f t="shared" si="70"/>
      </c>
      <c r="N2269">
        <f>IF('R.M Billets Reports'!J2268="","",'R.M Billets Reports'!J2268)</f>
      </c>
      <c r="O2269">
        <f t="shared" si="71"/>
      </c>
      <c r="P2269">
        <f>IF('R.M Billets Reports'!A2268="SIZE",'R.M Billets Reports'!B2268,P2268)</f>
      </c>
    </row>
    <row r="2270" spans="1:16" x14ac:dyDescent="0.25">
      <c r="A2270">
        <f>IF(OR('R.M Billets Reports'!A2269="Date-",'R.M Billets Reports'!A2269="Date:-"),IF(IF(IF(ISNUMBER(SEARCH("Party Name:-",'R.M Billets Reports'!D2269)),TRIM('R.M Billets Reports'!F2269),IF(ISNUMBER(SEARCH("Party Name-",'R.M Billets Reports'!D2269)),TRIM(MID('R.M Billets Reports'!D2269,SEARCH("-",'R.M Billets Reports'!D2269)+1,200)),""))&lt;&gt;"",IF(ISNUMBER(SEARCH("Party Name:-",'R.M Billets Reports'!D2269)),TRIM('R.M Billets Reports'!F2269),IF(ISNUMBER(SEARCH("Party Name-",'R.M Billets Reports'!D2269)),TRIM(MID('R.M Billets Reports'!D2269,SEARCH("-",'R.M Billets Reports'!D2269)+1,200)),"")),IF(ISNUMBER(SEARCH("Party Name:-",'R.M Billets Reports'!D2270)),TRIM('R.M Billets Reports'!F2270),IF(ISNUMBER(SEARCH("Party Name-",'R.M Billets Reports'!D2270)),TRIM(MID('R.M Billets Reports'!D2270,SEARCH("-",'R.M Billets Reports'!D2270)+1,200)),"")))="VRKP ISPAT PVT LTD","VRKP",IF(IF(IF(ISNUMBER(SEARCH("Party Name:-",'R.M Billets Reports'!D2269)),TRIM('R.M Billets Reports'!F2269),IF(ISNUMBER(SEARCH("Party Name-",'R.M Billets Reports'!D2269)),TRIM(MID('R.M Billets Reports'!D2269,SEARCH("-",'R.M Billets Reports'!D2269)+1,200)),""))&lt;&gt;"",IF(ISNUMBER(SEARCH("Party Name:-",'R.M Billets Reports'!D2269)),TRIM('R.M Billets Reports'!F2269),IF(ISNUMBER(SEARCH("Party Name-",'R.M Billets Reports'!D2269)),TRIM(MID('R.M Billets Reports'!D2269,SEARCH("-",'R.M Billets Reports'!D2269)+1,200)),"")),IF(ISNUMBER(SEARCH("Party Name:-",'R.M Billets Reports'!D2270)),TRIM('R.M Billets Reports'!F2270),IF(ISNUMBER(SEARCH("Party Name-",'R.M Billets Reports'!D2270)),TRIM(MID('R.M Billets Reports'!D2270,SEARCH("-",'R.M Billets Reports'!D2270)+1,200)),"")))="SHRI RADHE","SHREE RADHE",IF(IF(IF(ISNUMBER(SEARCH("Party Name:-",'R.M Billets Reports'!D2269)),TRIM('R.M Billets Reports'!F2269),IF(ISNUMBER(SEARCH("Party Name-",'R.M Billets Reports'!D2269)),TRIM(MID('R.M Billets Reports'!D2269,SEARCH("-",'R.M Billets Reports'!D2269)+1,200)),""))&lt;&gt;"",IF(ISNUMBER(SEARCH("Party Name:-",'R.M Billets Reports'!D2269)),TRIM('R.M Billets Reports'!F2269),IF(ISNUMBER(SEARCH("Party Name-",'R.M Billets Reports'!D2269)),TRIM(MID('R.M Billets Reports'!D2269,SEARCH("-",'R.M Billets Reports'!D2269)+1,200)),"")),IF(ISNUMBER(SEARCH("Party Name:-",'R.M Billets Reports'!D2270)),TRIM('R.M Billets Reports'!F2270),IF(ISNUMBER(SEARCH("Party Name-",'R.M Billets Reports'!D2270)),TRIM(MID('R.M Billets Reports'!D2270,SEARCH("-",'R.M Billets Reports'!D2270)+1,200)),"")))="SHREE RADHE SHAKTI SPONGE AND POWER PVT. LTD.","SHREE RADHE",IF(IF(ISNUMBER(SEARCH("Party Name:-",'R.M Billets Reports'!D2269)),TRIM('R.M Billets Reports'!F2269),IF(ISNUMBER(SEARCH("Party Name-",'R.M Billets Reports'!D2269)),TRIM(MID('R.M Billets Reports'!D2269,SEARCH("-",'R.M Billets Reports'!D2269)+1,200)),""))&lt;&gt;"",IF(ISNUMBER(SEARCH("Party Name:-",'R.M Billets Reports'!D2269)),TRIM('R.M Billets Reports'!F2269),IF(ISNUMBER(SEARCH("Party Name-",'R.M Billets Reports'!D2269)),TRIM(MID('R.M Billets Reports'!D2269,SEARCH("-",'R.M Billets Reports'!D2269)+1,200)),"")),IF(ISNUMBER(SEARCH("Party Name:-",'R.M Billets Reports'!D2270)),TRIM('R.M Billets Reports'!F2270),IF(ISNUMBER(SEARCH("Party Name-",'R.M Billets Reports'!D2270)),TRIM(MID('R.M Billets Reports'!D2270,SEARCH("-",'R.M Billets Reports'!D2270)+1,200)),"")))))),IF(ROW()=2,"",A2269))</f>
      </c>
      <c r="B2270">
        <f>IF(OR('R.M Billets Reports'!A2269="Date-",'R.M Billets Reports'!A2269="Date:-"),'R.M Billets Reports'!B2269,IF(ROW()=2,"",B2269))</f>
      </c>
      <c r="C2270">
        <f>IF('R.M Billets Reports'!A2269="V.No.",'R.M Billets Reports'!B2269,IF(ROW()=2,"",C2269))</f>
      </c>
      <c r="D2270">
        <f>IF('R.M Billets Reports'!A2269&lt;&gt;"",'R.M Billets Reports'!A2269,IF(ROW()=2,"",D2269))</f>
      </c>
      <c r="E2270">
        <f>IF('R.M Billets Reports'!B2269="","",TRIM('R.M Billets Reports'!B2269))</f>
      </c>
      <c r="F2270">
        <f>'R.M Billets Reports'!C2269</f>
      </c>
      <c r="G2270">
        <f>'R.M Billets Reports'!D2269</f>
      </c>
      <c r="H2270">
        <f>'R.M Billets Reports'!E2269</f>
      </c>
      <c r="I2270">
        <f>'R.M Billets Reports'!F2269</f>
      </c>
      <c r="J2270">
        <f>'R.M Billets Reports'!G2269</f>
      </c>
      <c r="K2270">
        <f>'R.M Billets Reports'!H2269</f>
      </c>
      <c r="L2270">
        <f>IF('R.M Billets Reports'!I2269="","",'R.M Billets Reports'!I2269)</f>
      </c>
      <c r="M2270">
        <f t="shared" si="70"/>
      </c>
      <c r="N2270">
        <f>IF('R.M Billets Reports'!J2269="","",'R.M Billets Reports'!J2269)</f>
      </c>
      <c r="O2270">
        <f t="shared" si="71"/>
      </c>
      <c r="P2270">
        <f>IF('R.M Billets Reports'!A2269="SIZE",'R.M Billets Reports'!B2269,P2269)</f>
      </c>
    </row>
    <row r="2271" spans="1:16" x14ac:dyDescent="0.25">
      <c r="A2271">
        <f>IF(OR('R.M Billets Reports'!A2270="Date-",'R.M Billets Reports'!A2270="Date:-"),IF(IF(IF(ISNUMBER(SEARCH("Party Name:-",'R.M Billets Reports'!D2270)),TRIM('R.M Billets Reports'!F2270),IF(ISNUMBER(SEARCH("Party Name-",'R.M Billets Reports'!D2270)),TRIM(MID('R.M Billets Reports'!D2270,SEARCH("-",'R.M Billets Reports'!D2270)+1,200)),""))&lt;&gt;"",IF(ISNUMBER(SEARCH("Party Name:-",'R.M Billets Reports'!D2270)),TRIM('R.M Billets Reports'!F2270),IF(ISNUMBER(SEARCH("Party Name-",'R.M Billets Reports'!D2270)),TRIM(MID('R.M Billets Reports'!D2270,SEARCH("-",'R.M Billets Reports'!D2270)+1,200)),"")),IF(ISNUMBER(SEARCH("Party Name:-",'R.M Billets Reports'!D2271)),TRIM('R.M Billets Reports'!F2271),IF(ISNUMBER(SEARCH("Party Name-",'R.M Billets Reports'!D2271)),TRIM(MID('R.M Billets Reports'!D2271,SEARCH("-",'R.M Billets Reports'!D2271)+1,200)),"")))="VRKP ISPAT PVT LTD","VRKP",IF(IF(IF(ISNUMBER(SEARCH("Party Name:-",'R.M Billets Reports'!D2270)),TRIM('R.M Billets Reports'!F2270),IF(ISNUMBER(SEARCH("Party Name-",'R.M Billets Reports'!D2270)),TRIM(MID('R.M Billets Reports'!D2270,SEARCH("-",'R.M Billets Reports'!D2270)+1,200)),""))&lt;&gt;"",IF(ISNUMBER(SEARCH("Party Name:-",'R.M Billets Reports'!D2270)),TRIM('R.M Billets Reports'!F2270),IF(ISNUMBER(SEARCH("Party Name-",'R.M Billets Reports'!D2270)),TRIM(MID('R.M Billets Reports'!D2270,SEARCH("-",'R.M Billets Reports'!D2270)+1,200)),"")),IF(ISNUMBER(SEARCH("Party Name:-",'R.M Billets Reports'!D2271)),TRIM('R.M Billets Reports'!F2271),IF(ISNUMBER(SEARCH("Party Name-",'R.M Billets Reports'!D2271)),TRIM(MID('R.M Billets Reports'!D2271,SEARCH("-",'R.M Billets Reports'!D2271)+1,200)),"")))="SHRI RADHE","SHREE RADHE",IF(IF(IF(ISNUMBER(SEARCH("Party Name:-",'R.M Billets Reports'!D2270)),TRIM('R.M Billets Reports'!F2270),IF(ISNUMBER(SEARCH("Party Name-",'R.M Billets Reports'!D2270)),TRIM(MID('R.M Billets Reports'!D2270,SEARCH("-",'R.M Billets Reports'!D2270)+1,200)),""))&lt;&gt;"",IF(ISNUMBER(SEARCH("Party Name:-",'R.M Billets Reports'!D2270)),TRIM('R.M Billets Reports'!F2270),IF(ISNUMBER(SEARCH("Party Name-",'R.M Billets Reports'!D2270)),TRIM(MID('R.M Billets Reports'!D2270,SEARCH("-",'R.M Billets Reports'!D2270)+1,200)),"")),IF(ISNUMBER(SEARCH("Party Name:-",'R.M Billets Reports'!D2271)),TRIM('R.M Billets Reports'!F2271),IF(ISNUMBER(SEARCH("Party Name-",'R.M Billets Reports'!D2271)),TRIM(MID('R.M Billets Reports'!D2271,SEARCH("-",'R.M Billets Reports'!D2271)+1,200)),"")))="SHREE RADHE SHAKTI SPONGE AND POWER PVT. LTD.","SHREE RADHE",IF(IF(ISNUMBER(SEARCH("Party Name:-",'R.M Billets Reports'!D2270)),TRIM('R.M Billets Reports'!F2270),IF(ISNUMBER(SEARCH("Party Name-",'R.M Billets Reports'!D2270)),TRIM(MID('R.M Billets Reports'!D2270,SEARCH("-",'R.M Billets Reports'!D2270)+1,200)),""))&lt;&gt;"",IF(ISNUMBER(SEARCH("Party Name:-",'R.M Billets Reports'!D2270)),TRIM('R.M Billets Reports'!F2270),IF(ISNUMBER(SEARCH("Party Name-",'R.M Billets Reports'!D2270)),TRIM(MID('R.M Billets Reports'!D2270,SEARCH("-",'R.M Billets Reports'!D2270)+1,200)),"")),IF(ISNUMBER(SEARCH("Party Name:-",'R.M Billets Reports'!D2271)),TRIM('R.M Billets Reports'!F2271),IF(ISNUMBER(SEARCH("Party Name-",'R.M Billets Reports'!D2271)),TRIM(MID('R.M Billets Reports'!D2271,SEARCH("-",'R.M Billets Reports'!D2271)+1,200)),"")))))),IF(ROW()=2,"",A2270))</f>
      </c>
      <c r="B2271">
        <f>IF(OR('R.M Billets Reports'!A2270="Date-",'R.M Billets Reports'!A2270="Date:-"),'R.M Billets Reports'!B2270,IF(ROW()=2,"",B2270))</f>
      </c>
      <c r="C2271">
        <f>IF('R.M Billets Reports'!A2270="V.No.",'R.M Billets Reports'!B2270,IF(ROW()=2,"",C2270))</f>
      </c>
      <c r="D2271">
        <f>IF('R.M Billets Reports'!A2270&lt;&gt;"",'R.M Billets Reports'!A2270,IF(ROW()=2,"",D2270))</f>
      </c>
      <c r="E2271">
        <f>IF('R.M Billets Reports'!B2270="","",TRIM('R.M Billets Reports'!B2270))</f>
      </c>
      <c r="F2271">
        <f>'R.M Billets Reports'!C2270</f>
      </c>
      <c r="G2271">
        <f>'R.M Billets Reports'!D2270</f>
      </c>
      <c r="H2271">
        <f>'R.M Billets Reports'!E2270</f>
      </c>
      <c r="I2271">
        <f>'R.M Billets Reports'!F2270</f>
      </c>
      <c r="J2271">
        <f>'R.M Billets Reports'!G2270</f>
      </c>
      <c r="K2271">
        <f>'R.M Billets Reports'!H2270</f>
      </c>
      <c r="L2271">
        <f>IF('R.M Billets Reports'!I2270="","",'R.M Billets Reports'!I2270)</f>
      </c>
      <c r="M2271">
        <f t="shared" si="70"/>
      </c>
      <c r="N2271">
        <f>IF('R.M Billets Reports'!J2270="","",'R.M Billets Reports'!J2270)</f>
      </c>
      <c r="O2271">
        <f t="shared" si="71"/>
      </c>
      <c r="P2271">
        <f>IF('R.M Billets Reports'!A2270="SIZE",'R.M Billets Reports'!B2270,P2270)</f>
      </c>
    </row>
    <row r="2272" spans="1:16" x14ac:dyDescent="0.25">
      <c r="A2272">
        <f>IF(OR('R.M Billets Reports'!A2271="Date-",'R.M Billets Reports'!A2271="Date:-"),IF(IF(IF(ISNUMBER(SEARCH("Party Name:-",'R.M Billets Reports'!D2271)),TRIM('R.M Billets Reports'!F2271),IF(ISNUMBER(SEARCH("Party Name-",'R.M Billets Reports'!D2271)),TRIM(MID('R.M Billets Reports'!D2271,SEARCH("-",'R.M Billets Reports'!D2271)+1,200)),""))&lt;&gt;"",IF(ISNUMBER(SEARCH("Party Name:-",'R.M Billets Reports'!D2271)),TRIM('R.M Billets Reports'!F2271),IF(ISNUMBER(SEARCH("Party Name-",'R.M Billets Reports'!D2271)),TRIM(MID('R.M Billets Reports'!D2271,SEARCH("-",'R.M Billets Reports'!D2271)+1,200)),"")),IF(ISNUMBER(SEARCH("Party Name:-",'R.M Billets Reports'!D2272)),TRIM('R.M Billets Reports'!F2272),IF(ISNUMBER(SEARCH("Party Name-",'R.M Billets Reports'!D2272)),TRIM(MID('R.M Billets Reports'!D2272,SEARCH("-",'R.M Billets Reports'!D2272)+1,200)),"")))="VRKP ISPAT PVT LTD","VRKP",IF(IF(IF(ISNUMBER(SEARCH("Party Name:-",'R.M Billets Reports'!D2271)),TRIM('R.M Billets Reports'!F2271),IF(ISNUMBER(SEARCH("Party Name-",'R.M Billets Reports'!D2271)),TRIM(MID('R.M Billets Reports'!D2271,SEARCH("-",'R.M Billets Reports'!D2271)+1,200)),""))&lt;&gt;"",IF(ISNUMBER(SEARCH("Party Name:-",'R.M Billets Reports'!D2271)),TRIM('R.M Billets Reports'!F2271),IF(ISNUMBER(SEARCH("Party Name-",'R.M Billets Reports'!D2271)),TRIM(MID('R.M Billets Reports'!D2271,SEARCH("-",'R.M Billets Reports'!D2271)+1,200)),"")),IF(ISNUMBER(SEARCH("Party Name:-",'R.M Billets Reports'!D2272)),TRIM('R.M Billets Reports'!F2272),IF(ISNUMBER(SEARCH("Party Name-",'R.M Billets Reports'!D2272)),TRIM(MID('R.M Billets Reports'!D2272,SEARCH("-",'R.M Billets Reports'!D2272)+1,200)),"")))="SHRI RADHE","SHREE RADHE",IF(IF(IF(ISNUMBER(SEARCH("Party Name:-",'R.M Billets Reports'!D2271)),TRIM('R.M Billets Reports'!F2271),IF(ISNUMBER(SEARCH("Party Name-",'R.M Billets Reports'!D2271)),TRIM(MID('R.M Billets Reports'!D2271,SEARCH("-",'R.M Billets Reports'!D2271)+1,200)),""))&lt;&gt;"",IF(ISNUMBER(SEARCH("Party Name:-",'R.M Billets Reports'!D2271)),TRIM('R.M Billets Reports'!F2271),IF(ISNUMBER(SEARCH("Party Name-",'R.M Billets Reports'!D2271)),TRIM(MID('R.M Billets Reports'!D2271,SEARCH("-",'R.M Billets Reports'!D2271)+1,200)),"")),IF(ISNUMBER(SEARCH("Party Name:-",'R.M Billets Reports'!D2272)),TRIM('R.M Billets Reports'!F2272),IF(ISNUMBER(SEARCH("Party Name-",'R.M Billets Reports'!D2272)),TRIM(MID('R.M Billets Reports'!D2272,SEARCH("-",'R.M Billets Reports'!D2272)+1,200)),"")))="SHREE RADHE SHAKTI SPONGE AND POWER PVT. LTD.","SHREE RADHE",IF(IF(ISNUMBER(SEARCH("Party Name:-",'R.M Billets Reports'!D2271)),TRIM('R.M Billets Reports'!F2271),IF(ISNUMBER(SEARCH("Party Name-",'R.M Billets Reports'!D2271)),TRIM(MID('R.M Billets Reports'!D2271,SEARCH("-",'R.M Billets Reports'!D2271)+1,200)),""))&lt;&gt;"",IF(ISNUMBER(SEARCH("Party Name:-",'R.M Billets Reports'!D2271)),TRIM('R.M Billets Reports'!F2271),IF(ISNUMBER(SEARCH("Party Name-",'R.M Billets Reports'!D2271)),TRIM(MID('R.M Billets Reports'!D2271,SEARCH("-",'R.M Billets Reports'!D2271)+1,200)),"")),IF(ISNUMBER(SEARCH("Party Name:-",'R.M Billets Reports'!D2272)),TRIM('R.M Billets Reports'!F2272),IF(ISNUMBER(SEARCH("Party Name-",'R.M Billets Reports'!D2272)),TRIM(MID('R.M Billets Reports'!D2272,SEARCH("-",'R.M Billets Reports'!D2272)+1,200)),"")))))),IF(ROW()=2,"",A2271))</f>
      </c>
      <c r="B2272">
        <f>IF(OR('R.M Billets Reports'!A2271="Date-",'R.M Billets Reports'!A2271="Date:-"),'R.M Billets Reports'!B2271,IF(ROW()=2,"",B2271))</f>
      </c>
      <c r="C2272">
        <f>IF('R.M Billets Reports'!A2271="V.No.",'R.M Billets Reports'!B2271,IF(ROW()=2,"",C2271))</f>
      </c>
      <c r="D2272">
        <f>IF('R.M Billets Reports'!A2271&lt;&gt;"",'R.M Billets Reports'!A2271,IF(ROW()=2,"",D2271))</f>
      </c>
      <c r="E2272">
        <f>IF('R.M Billets Reports'!B2271="","",TRIM('R.M Billets Reports'!B2271))</f>
      </c>
      <c r="F2272">
        <f>'R.M Billets Reports'!C2271</f>
      </c>
      <c r="G2272">
        <f>'R.M Billets Reports'!D2271</f>
      </c>
      <c r="H2272">
        <f>'R.M Billets Reports'!E2271</f>
      </c>
      <c r="I2272">
        <f>'R.M Billets Reports'!F2271</f>
      </c>
      <c r="J2272">
        <f>'R.M Billets Reports'!G2271</f>
      </c>
      <c r="K2272">
        <f>'R.M Billets Reports'!H2271</f>
      </c>
      <c r="L2272">
        <f>IF('R.M Billets Reports'!I2271="","",'R.M Billets Reports'!I2271)</f>
      </c>
      <c r="M2272">
        <f t="shared" si="70"/>
      </c>
      <c r="N2272">
        <f>IF('R.M Billets Reports'!J2271="","",'R.M Billets Reports'!J2271)</f>
      </c>
      <c r="O2272">
        <f t="shared" si="71"/>
      </c>
      <c r="P2272">
        <f>IF('R.M Billets Reports'!A2271="SIZE",'R.M Billets Reports'!B2271,P2271)</f>
      </c>
    </row>
    <row r="2273" spans="1:16" x14ac:dyDescent="0.25">
      <c r="A2273">
        <f>IF(OR('R.M Billets Reports'!A2272="Date-",'R.M Billets Reports'!A2272="Date:-"),IF(IF(IF(ISNUMBER(SEARCH("Party Name:-",'R.M Billets Reports'!D2272)),TRIM('R.M Billets Reports'!F2272),IF(ISNUMBER(SEARCH("Party Name-",'R.M Billets Reports'!D2272)),TRIM(MID('R.M Billets Reports'!D2272,SEARCH("-",'R.M Billets Reports'!D2272)+1,200)),""))&lt;&gt;"",IF(ISNUMBER(SEARCH("Party Name:-",'R.M Billets Reports'!D2272)),TRIM('R.M Billets Reports'!F2272),IF(ISNUMBER(SEARCH("Party Name-",'R.M Billets Reports'!D2272)),TRIM(MID('R.M Billets Reports'!D2272,SEARCH("-",'R.M Billets Reports'!D2272)+1,200)),"")),IF(ISNUMBER(SEARCH("Party Name:-",'R.M Billets Reports'!D2273)),TRIM('R.M Billets Reports'!F2273),IF(ISNUMBER(SEARCH("Party Name-",'R.M Billets Reports'!D2273)),TRIM(MID('R.M Billets Reports'!D2273,SEARCH("-",'R.M Billets Reports'!D2273)+1,200)),"")))="VRKP ISPAT PVT LTD","VRKP",IF(IF(IF(ISNUMBER(SEARCH("Party Name:-",'R.M Billets Reports'!D2272)),TRIM('R.M Billets Reports'!F2272),IF(ISNUMBER(SEARCH("Party Name-",'R.M Billets Reports'!D2272)),TRIM(MID('R.M Billets Reports'!D2272,SEARCH("-",'R.M Billets Reports'!D2272)+1,200)),""))&lt;&gt;"",IF(ISNUMBER(SEARCH("Party Name:-",'R.M Billets Reports'!D2272)),TRIM('R.M Billets Reports'!F2272),IF(ISNUMBER(SEARCH("Party Name-",'R.M Billets Reports'!D2272)),TRIM(MID('R.M Billets Reports'!D2272,SEARCH("-",'R.M Billets Reports'!D2272)+1,200)),"")),IF(ISNUMBER(SEARCH("Party Name:-",'R.M Billets Reports'!D2273)),TRIM('R.M Billets Reports'!F2273),IF(ISNUMBER(SEARCH("Party Name-",'R.M Billets Reports'!D2273)),TRIM(MID('R.M Billets Reports'!D2273,SEARCH("-",'R.M Billets Reports'!D2273)+1,200)),"")))="SHRI RADHE","SHREE RADHE",IF(IF(IF(ISNUMBER(SEARCH("Party Name:-",'R.M Billets Reports'!D2272)),TRIM('R.M Billets Reports'!F2272),IF(ISNUMBER(SEARCH("Party Name-",'R.M Billets Reports'!D2272)),TRIM(MID('R.M Billets Reports'!D2272,SEARCH("-",'R.M Billets Reports'!D2272)+1,200)),""))&lt;&gt;"",IF(ISNUMBER(SEARCH("Party Name:-",'R.M Billets Reports'!D2272)),TRIM('R.M Billets Reports'!F2272),IF(ISNUMBER(SEARCH("Party Name-",'R.M Billets Reports'!D2272)),TRIM(MID('R.M Billets Reports'!D2272,SEARCH("-",'R.M Billets Reports'!D2272)+1,200)),"")),IF(ISNUMBER(SEARCH("Party Name:-",'R.M Billets Reports'!D2273)),TRIM('R.M Billets Reports'!F2273),IF(ISNUMBER(SEARCH("Party Name-",'R.M Billets Reports'!D2273)),TRIM(MID('R.M Billets Reports'!D2273,SEARCH("-",'R.M Billets Reports'!D2273)+1,200)),"")))="SHREE RADHE SHAKTI SPONGE AND POWER PVT. LTD.","SHREE RADHE",IF(IF(ISNUMBER(SEARCH("Party Name:-",'R.M Billets Reports'!D2272)),TRIM('R.M Billets Reports'!F2272),IF(ISNUMBER(SEARCH("Party Name-",'R.M Billets Reports'!D2272)),TRIM(MID('R.M Billets Reports'!D2272,SEARCH("-",'R.M Billets Reports'!D2272)+1,200)),""))&lt;&gt;"",IF(ISNUMBER(SEARCH("Party Name:-",'R.M Billets Reports'!D2272)),TRIM('R.M Billets Reports'!F2272),IF(ISNUMBER(SEARCH("Party Name-",'R.M Billets Reports'!D2272)),TRIM(MID('R.M Billets Reports'!D2272,SEARCH("-",'R.M Billets Reports'!D2272)+1,200)),"")),IF(ISNUMBER(SEARCH("Party Name:-",'R.M Billets Reports'!D2273)),TRIM('R.M Billets Reports'!F2273),IF(ISNUMBER(SEARCH("Party Name-",'R.M Billets Reports'!D2273)),TRIM(MID('R.M Billets Reports'!D2273,SEARCH("-",'R.M Billets Reports'!D2273)+1,200)),"")))))),IF(ROW()=2,"",A2272))</f>
      </c>
      <c r="B2273">
        <f>IF(OR('R.M Billets Reports'!A2272="Date-",'R.M Billets Reports'!A2272="Date:-"),'R.M Billets Reports'!B2272,IF(ROW()=2,"",B2272))</f>
      </c>
      <c r="C2273">
        <f>IF('R.M Billets Reports'!A2272="V.No.",'R.M Billets Reports'!B2272,IF(ROW()=2,"",C2272))</f>
      </c>
      <c r="D2273">
        <f>IF('R.M Billets Reports'!A2272&lt;&gt;"",'R.M Billets Reports'!A2272,IF(ROW()=2,"",D2272))</f>
      </c>
      <c r="E2273">
        <f>IF('R.M Billets Reports'!B2272="","",TRIM('R.M Billets Reports'!B2272))</f>
      </c>
      <c r="F2273">
        <f>'R.M Billets Reports'!C2272</f>
      </c>
      <c r="G2273">
        <f>'R.M Billets Reports'!D2272</f>
      </c>
      <c r="H2273">
        <f>'R.M Billets Reports'!E2272</f>
      </c>
      <c r="I2273">
        <f>'R.M Billets Reports'!F2272</f>
      </c>
      <c r="J2273">
        <f>'R.M Billets Reports'!G2272</f>
      </c>
      <c r="K2273">
        <f>'R.M Billets Reports'!H2272</f>
      </c>
      <c r="L2273">
        <f>IF('R.M Billets Reports'!I2272="","",'R.M Billets Reports'!I2272)</f>
      </c>
      <c r="M2273">
        <f t="shared" si="70"/>
      </c>
      <c r="N2273">
        <f>IF('R.M Billets Reports'!J2272="","",'R.M Billets Reports'!J2272)</f>
      </c>
      <c r="O2273">
        <f t="shared" si="71"/>
      </c>
      <c r="P2273">
        <f>IF('R.M Billets Reports'!A2272="SIZE",'R.M Billets Reports'!B2272,P2272)</f>
      </c>
    </row>
    <row r="2274" spans="1:16" x14ac:dyDescent="0.25">
      <c r="A2274">
        <f>IF(OR('R.M Billets Reports'!A2273="Date-",'R.M Billets Reports'!A2273="Date:-"),IF(IF(IF(ISNUMBER(SEARCH("Party Name:-",'R.M Billets Reports'!D2273)),TRIM('R.M Billets Reports'!F2273),IF(ISNUMBER(SEARCH("Party Name-",'R.M Billets Reports'!D2273)),TRIM(MID('R.M Billets Reports'!D2273,SEARCH("-",'R.M Billets Reports'!D2273)+1,200)),""))&lt;&gt;"",IF(ISNUMBER(SEARCH("Party Name:-",'R.M Billets Reports'!D2273)),TRIM('R.M Billets Reports'!F2273),IF(ISNUMBER(SEARCH("Party Name-",'R.M Billets Reports'!D2273)),TRIM(MID('R.M Billets Reports'!D2273,SEARCH("-",'R.M Billets Reports'!D2273)+1,200)),"")),IF(ISNUMBER(SEARCH("Party Name:-",'R.M Billets Reports'!D2274)),TRIM('R.M Billets Reports'!F2274),IF(ISNUMBER(SEARCH("Party Name-",'R.M Billets Reports'!D2274)),TRIM(MID('R.M Billets Reports'!D2274,SEARCH("-",'R.M Billets Reports'!D2274)+1,200)),"")))="VRKP ISPAT PVT LTD","VRKP",IF(IF(IF(ISNUMBER(SEARCH("Party Name:-",'R.M Billets Reports'!D2273)),TRIM('R.M Billets Reports'!F2273),IF(ISNUMBER(SEARCH("Party Name-",'R.M Billets Reports'!D2273)),TRIM(MID('R.M Billets Reports'!D2273,SEARCH("-",'R.M Billets Reports'!D2273)+1,200)),""))&lt;&gt;"",IF(ISNUMBER(SEARCH("Party Name:-",'R.M Billets Reports'!D2273)),TRIM('R.M Billets Reports'!F2273),IF(ISNUMBER(SEARCH("Party Name-",'R.M Billets Reports'!D2273)),TRIM(MID('R.M Billets Reports'!D2273,SEARCH("-",'R.M Billets Reports'!D2273)+1,200)),"")),IF(ISNUMBER(SEARCH("Party Name:-",'R.M Billets Reports'!D2274)),TRIM('R.M Billets Reports'!F2274),IF(ISNUMBER(SEARCH("Party Name-",'R.M Billets Reports'!D2274)),TRIM(MID('R.M Billets Reports'!D2274,SEARCH("-",'R.M Billets Reports'!D2274)+1,200)),"")))="SHRI RADHE","SHREE RADHE",IF(IF(IF(ISNUMBER(SEARCH("Party Name:-",'R.M Billets Reports'!D2273)),TRIM('R.M Billets Reports'!F2273),IF(ISNUMBER(SEARCH("Party Name-",'R.M Billets Reports'!D2273)),TRIM(MID('R.M Billets Reports'!D2273,SEARCH("-",'R.M Billets Reports'!D2273)+1,200)),""))&lt;&gt;"",IF(ISNUMBER(SEARCH("Party Name:-",'R.M Billets Reports'!D2273)),TRIM('R.M Billets Reports'!F2273),IF(ISNUMBER(SEARCH("Party Name-",'R.M Billets Reports'!D2273)),TRIM(MID('R.M Billets Reports'!D2273,SEARCH("-",'R.M Billets Reports'!D2273)+1,200)),"")),IF(ISNUMBER(SEARCH("Party Name:-",'R.M Billets Reports'!D2274)),TRIM('R.M Billets Reports'!F2274),IF(ISNUMBER(SEARCH("Party Name-",'R.M Billets Reports'!D2274)),TRIM(MID('R.M Billets Reports'!D2274,SEARCH("-",'R.M Billets Reports'!D2274)+1,200)),"")))="SHREE RADHE SHAKTI SPONGE AND POWER PVT. LTD.","SHREE RADHE",IF(IF(ISNUMBER(SEARCH("Party Name:-",'R.M Billets Reports'!D2273)),TRIM('R.M Billets Reports'!F2273),IF(ISNUMBER(SEARCH("Party Name-",'R.M Billets Reports'!D2273)),TRIM(MID('R.M Billets Reports'!D2273,SEARCH("-",'R.M Billets Reports'!D2273)+1,200)),""))&lt;&gt;"",IF(ISNUMBER(SEARCH("Party Name:-",'R.M Billets Reports'!D2273)),TRIM('R.M Billets Reports'!F2273),IF(ISNUMBER(SEARCH("Party Name-",'R.M Billets Reports'!D2273)),TRIM(MID('R.M Billets Reports'!D2273,SEARCH("-",'R.M Billets Reports'!D2273)+1,200)),"")),IF(ISNUMBER(SEARCH("Party Name:-",'R.M Billets Reports'!D2274)),TRIM('R.M Billets Reports'!F2274),IF(ISNUMBER(SEARCH("Party Name-",'R.M Billets Reports'!D2274)),TRIM(MID('R.M Billets Reports'!D2274,SEARCH("-",'R.M Billets Reports'!D2274)+1,200)),"")))))),IF(ROW()=2,"",A2273))</f>
      </c>
      <c r="B2274">
        <f>IF(OR('R.M Billets Reports'!A2273="Date-",'R.M Billets Reports'!A2273="Date:-"),'R.M Billets Reports'!B2273,IF(ROW()=2,"",B2273))</f>
      </c>
      <c r="C2274">
        <f>IF('R.M Billets Reports'!A2273="V.No.",'R.M Billets Reports'!B2273,IF(ROW()=2,"",C2273))</f>
      </c>
      <c r="D2274">
        <f>IF('R.M Billets Reports'!A2273&lt;&gt;"",'R.M Billets Reports'!A2273,IF(ROW()=2,"",D2273))</f>
      </c>
      <c r="E2274">
        <f>IF('R.M Billets Reports'!B2273="","",TRIM('R.M Billets Reports'!B2273))</f>
      </c>
      <c r="F2274">
        <f>'R.M Billets Reports'!C2273</f>
      </c>
      <c r="G2274">
        <f>'R.M Billets Reports'!D2273</f>
      </c>
      <c r="H2274">
        <f>'R.M Billets Reports'!E2273</f>
      </c>
      <c r="I2274">
        <f>'R.M Billets Reports'!F2273</f>
      </c>
      <c r="J2274">
        <f>'R.M Billets Reports'!G2273</f>
      </c>
      <c r="K2274">
        <f>'R.M Billets Reports'!H2273</f>
      </c>
      <c r="L2274">
        <f>IF('R.M Billets Reports'!I2273="","",'R.M Billets Reports'!I2273)</f>
      </c>
      <c r="M2274">
        <f t="shared" si="70"/>
      </c>
      <c r="N2274">
        <f>IF('R.M Billets Reports'!J2273="","",'R.M Billets Reports'!J2273)</f>
      </c>
      <c r="O2274">
        <f t="shared" si="71"/>
      </c>
      <c r="P2274">
        <f>IF('R.M Billets Reports'!A2273="SIZE",'R.M Billets Reports'!B2273,P2273)</f>
      </c>
    </row>
    <row r="2275" spans="1:16" x14ac:dyDescent="0.25">
      <c r="A2275">
        <f>IF(OR('R.M Billets Reports'!A2274="Date-",'R.M Billets Reports'!A2274="Date:-"),IF(IF(IF(ISNUMBER(SEARCH("Party Name:-",'R.M Billets Reports'!D2274)),TRIM('R.M Billets Reports'!F2274),IF(ISNUMBER(SEARCH("Party Name-",'R.M Billets Reports'!D2274)),TRIM(MID('R.M Billets Reports'!D2274,SEARCH("-",'R.M Billets Reports'!D2274)+1,200)),""))&lt;&gt;"",IF(ISNUMBER(SEARCH("Party Name:-",'R.M Billets Reports'!D2274)),TRIM('R.M Billets Reports'!F2274),IF(ISNUMBER(SEARCH("Party Name-",'R.M Billets Reports'!D2274)),TRIM(MID('R.M Billets Reports'!D2274,SEARCH("-",'R.M Billets Reports'!D2274)+1,200)),"")),IF(ISNUMBER(SEARCH("Party Name:-",'R.M Billets Reports'!D2275)),TRIM('R.M Billets Reports'!F2275),IF(ISNUMBER(SEARCH("Party Name-",'R.M Billets Reports'!D2275)),TRIM(MID('R.M Billets Reports'!D2275,SEARCH("-",'R.M Billets Reports'!D2275)+1,200)),"")))="VRKP ISPAT PVT LTD","VRKP",IF(IF(IF(ISNUMBER(SEARCH("Party Name:-",'R.M Billets Reports'!D2274)),TRIM('R.M Billets Reports'!F2274),IF(ISNUMBER(SEARCH("Party Name-",'R.M Billets Reports'!D2274)),TRIM(MID('R.M Billets Reports'!D2274,SEARCH("-",'R.M Billets Reports'!D2274)+1,200)),""))&lt;&gt;"",IF(ISNUMBER(SEARCH("Party Name:-",'R.M Billets Reports'!D2274)),TRIM('R.M Billets Reports'!F2274),IF(ISNUMBER(SEARCH("Party Name-",'R.M Billets Reports'!D2274)),TRIM(MID('R.M Billets Reports'!D2274,SEARCH("-",'R.M Billets Reports'!D2274)+1,200)),"")),IF(ISNUMBER(SEARCH("Party Name:-",'R.M Billets Reports'!D2275)),TRIM('R.M Billets Reports'!F2275),IF(ISNUMBER(SEARCH("Party Name-",'R.M Billets Reports'!D2275)),TRIM(MID('R.M Billets Reports'!D2275,SEARCH("-",'R.M Billets Reports'!D2275)+1,200)),"")))="SHRI RADHE","SHREE RADHE",IF(IF(IF(ISNUMBER(SEARCH("Party Name:-",'R.M Billets Reports'!D2274)),TRIM('R.M Billets Reports'!F2274),IF(ISNUMBER(SEARCH("Party Name-",'R.M Billets Reports'!D2274)),TRIM(MID('R.M Billets Reports'!D2274,SEARCH("-",'R.M Billets Reports'!D2274)+1,200)),""))&lt;&gt;"",IF(ISNUMBER(SEARCH("Party Name:-",'R.M Billets Reports'!D2274)),TRIM('R.M Billets Reports'!F2274),IF(ISNUMBER(SEARCH("Party Name-",'R.M Billets Reports'!D2274)),TRIM(MID('R.M Billets Reports'!D2274,SEARCH("-",'R.M Billets Reports'!D2274)+1,200)),"")),IF(ISNUMBER(SEARCH("Party Name:-",'R.M Billets Reports'!D2275)),TRIM('R.M Billets Reports'!F2275),IF(ISNUMBER(SEARCH("Party Name-",'R.M Billets Reports'!D2275)),TRIM(MID('R.M Billets Reports'!D2275,SEARCH("-",'R.M Billets Reports'!D2275)+1,200)),"")))="SHREE RADHE SHAKTI SPONGE AND POWER PVT. LTD.","SHREE RADHE",IF(IF(ISNUMBER(SEARCH("Party Name:-",'R.M Billets Reports'!D2274)),TRIM('R.M Billets Reports'!F2274),IF(ISNUMBER(SEARCH("Party Name-",'R.M Billets Reports'!D2274)),TRIM(MID('R.M Billets Reports'!D2274,SEARCH("-",'R.M Billets Reports'!D2274)+1,200)),""))&lt;&gt;"",IF(ISNUMBER(SEARCH("Party Name:-",'R.M Billets Reports'!D2274)),TRIM('R.M Billets Reports'!F2274),IF(ISNUMBER(SEARCH("Party Name-",'R.M Billets Reports'!D2274)),TRIM(MID('R.M Billets Reports'!D2274,SEARCH("-",'R.M Billets Reports'!D2274)+1,200)),"")),IF(ISNUMBER(SEARCH("Party Name:-",'R.M Billets Reports'!D2275)),TRIM('R.M Billets Reports'!F2275),IF(ISNUMBER(SEARCH("Party Name-",'R.M Billets Reports'!D2275)),TRIM(MID('R.M Billets Reports'!D2275,SEARCH("-",'R.M Billets Reports'!D2275)+1,200)),"")))))),IF(ROW()=2,"",A2274))</f>
      </c>
      <c r="B2275">
        <f>IF(OR('R.M Billets Reports'!A2274="Date-",'R.M Billets Reports'!A2274="Date:-"),'R.M Billets Reports'!B2274,IF(ROW()=2,"",B2274))</f>
      </c>
      <c r="C2275">
        <f>IF('R.M Billets Reports'!A2274="V.No.",'R.M Billets Reports'!B2274,IF(ROW()=2,"",C2274))</f>
      </c>
      <c r="D2275">
        <f>IF('R.M Billets Reports'!A2274&lt;&gt;"",'R.M Billets Reports'!A2274,IF(ROW()=2,"",D2274))</f>
      </c>
      <c r="E2275">
        <f>IF('R.M Billets Reports'!B2274="","",TRIM('R.M Billets Reports'!B2274))</f>
      </c>
      <c r="F2275">
        <f>'R.M Billets Reports'!C2274</f>
      </c>
      <c r="G2275">
        <f>'R.M Billets Reports'!D2274</f>
      </c>
      <c r="H2275">
        <f>'R.M Billets Reports'!E2274</f>
      </c>
      <c r="I2275">
        <f>'R.M Billets Reports'!F2274</f>
      </c>
      <c r="J2275">
        <f>'R.M Billets Reports'!G2274</f>
      </c>
      <c r="K2275">
        <f>'R.M Billets Reports'!H2274</f>
      </c>
      <c r="L2275">
        <f>IF('R.M Billets Reports'!I2274="","",'R.M Billets Reports'!I2274)</f>
      </c>
      <c r="M2275">
        <f t="shared" si="70"/>
      </c>
      <c r="N2275">
        <f>IF('R.M Billets Reports'!J2274="","",'R.M Billets Reports'!J2274)</f>
      </c>
      <c r="O2275">
        <f t="shared" si="71"/>
      </c>
      <c r="P2275">
        <f>IF('R.M Billets Reports'!A2274="SIZE",'R.M Billets Reports'!B2274,P2274)</f>
      </c>
    </row>
    <row r="2276" spans="1:16" x14ac:dyDescent="0.25">
      <c r="A2276">
        <f>IF(OR('R.M Billets Reports'!A2275="Date-",'R.M Billets Reports'!A2275="Date:-"),IF(IF(IF(ISNUMBER(SEARCH("Party Name:-",'R.M Billets Reports'!D2275)),TRIM('R.M Billets Reports'!F2275),IF(ISNUMBER(SEARCH("Party Name-",'R.M Billets Reports'!D2275)),TRIM(MID('R.M Billets Reports'!D2275,SEARCH("-",'R.M Billets Reports'!D2275)+1,200)),""))&lt;&gt;"",IF(ISNUMBER(SEARCH("Party Name:-",'R.M Billets Reports'!D2275)),TRIM('R.M Billets Reports'!F2275),IF(ISNUMBER(SEARCH("Party Name-",'R.M Billets Reports'!D2275)),TRIM(MID('R.M Billets Reports'!D2275,SEARCH("-",'R.M Billets Reports'!D2275)+1,200)),"")),IF(ISNUMBER(SEARCH("Party Name:-",'R.M Billets Reports'!D2276)),TRIM('R.M Billets Reports'!F2276),IF(ISNUMBER(SEARCH("Party Name-",'R.M Billets Reports'!D2276)),TRIM(MID('R.M Billets Reports'!D2276,SEARCH("-",'R.M Billets Reports'!D2276)+1,200)),"")))="VRKP ISPAT PVT LTD","VRKP",IF(IF(IF(ISNUMBER(SEARCH("Party Name:-",'R.M Billets Reports'!D2275)),TRIM('R.M Billets Reports'!F2275),IF(ISNUMBER(SEARCH("Party Name-",'R.M Billets Reports'!D2275)),TRIM(MID('R.M Billets Reports'!D2275,SEARCH("-",'R.M Billets Reports'!D2275)+1,200)),""))&lt;&gt;"",IF(ISNUMBER(SEARCH("Party Name:-",'R.M Billets Reports'!D2275)),TRIM('R.M Billets Reports'!F2275),IF(ISNUMBER(SEARCH("Party Name-",'R.M Billets Reports'!D2275)),TRIM(MID('R.M Billets Reports'!D2275,SEARCH("-",'R.M Billets Reports'!D2275)+1,200)),"")),IF(ISNUMBER(SEARCH("Party Name:-",'R.M Billets Reports'!D2276)),TRIM('R.M Billets Reports'!F2276),IF(ISNUMBER(SEARCH("Party Name-",'R.M Billets Reports'!D2276)),TRIM(MID('R.M Billets Reports'!D2276,SEARCH("-",'R.M Billets Reports'!D2276)+1,200)),"")))="SHRI RADHE","SHREE RADHE",IF(IF(IF(ISNUMBER(SEARCH("Party Name:-",'R.M Billets Reports'!D2275)),TRIM('R.M Billets Reports'!F2275),IF(ISNUMBER(SEARCH("Party Name-",'R.M Billets Reports'!D2275)),TRIM(MID('R.M Billets Reports'!D2275,SEARCH("-",'R.M Billets Reports'!D2275)+1,200)),""))&lt;&gt;"",IF(ISNUMBER(SEARCH("Party Name:-",'R.M Billets Reports'!D2275)),TRIM('R.M Billets Reports'!F2275),IF(ISNUMBER(SEARCH("Party Name-",'R.M Billets Reports'!D2275)),TRIM(MID('R.M Billets Reports'!D2275,SEARCH("-",'R.M Billets Reports'!D2275)+1,200)),"")),IF(ISNUMBER(SEARCH("Party Name:-",'R.M Billets Reports'!D2276)),TRIM('R.M Billets Reports'!F2276),IF(ISNUMBER(SEARCH("Party Name-",'R.M Billets Reports'!D2276)),TRIM(MID('R.M Billets Reports'!D2276,SEARCH("-",'R.M Billets Reports'!D2276)+1,200)),"")))="SHREE RADHE SHAKTI SPONGE AND POWER PVT. LTD.","SHREE RADHE",IF(IF(ISNUMBER(SEARCH("Party Name:-",'R.M Billets Reports'!D2275)),TRIM('R.M Billets Reports'!F2275),IF(ISNUMBER(SEARCH("Party Name-",'R.M Billets Reports'!D2275)),TRIM(MID('R.M Billets Reports'!D2275,SEARCH("-",'R.M Billets Reports'!D2275)+1,200)),""))&lt;&gt;"",IF(ISNUMBER(SEARCH("Party Name:-",'R.M Billets Reports'!D2275)),TRIM('R.M Billets Reports'!F2275),IF(ISNUMBER(SEARCH("Party Name-",'R.M Billets Reports'!D2275)),TRIM(MID('R.M Billets Reports'!D2275,SEARCH("-",'R.M Billets Reports'!D2275)+1,200)),"")),IF(ISNUMBER(SEARCH("Party Name:-",'R.M Billets Reports'!D2276)),TRIM('R.M Billets Reports'!F2276),IF(ISNUMBER(SEARCH("Party Name-",'R.M Billets Reports'!D2276)),TRIM(MID('R.M Billets Reports'!D2276,SEARCH("-",'R.M Billets Reports'!D2276)+1,200)),"")))))),IF(ROW()=2,"",A2275))</f>
      </c>
      <c r="B2276">
        <f>IF(OR('R.M Billets Reports'!A2275="Date-",'R.M Billets Reports'!A2275="Date:-"),'R.M Billets Reports'!B2275,IF(ROW()=2,"",B2275))</f>
      </c>
      <c r="C2276">
        <f>IF('R.M Billets Reports'!A2275="V.No.",'R.M Billets Reports'!B2275,IF(ROW()=2,"",C2275))</f>
      </c>
      <c r="D2276">
        <f>IF('R.M Billets Reports'!A2275&lt;&gt;"",'R.M Billets Reports'!A2275,IF(ROW()=2,"",D2275))</f>
      </c>
      <c r="E2276">
        <f>IF('R.M Billets Reports'!B2275="","",TRIM('R.M Billets Reports'!B2275))</f>
      </c>
      <c r="F2276">
        <f>'R.M Billets Reports'!C2275</f>
      </c>
      <c r="G2276">
        <f>'R.M Billets Reports'!D2275</f>
      </c>
      <c r="H2276">
        <f>'R.M Billets Reports'!E2275</f>
      </c>
      <c r="I2276">
        <f>'R.M Billets Reports'!F2275</f>
      </c>
      <c r="J2276">
        <f>'R.M Billets Reports'!G2275</f>
      </c>
      <c r="K2276">
        <f>'R.M Billets Reports'!H2275</f>
      </c>
      <c r="L2276">
        <f>IF('R.M Billets Reports'!I2275="","",'R.M Billets Reports'!I2275)</f>
      </c>
      <c r="M2276">
        <f t="shared" si="70"/>
      </c>
      <c r="N2276">
        <f>IF('R.M Billets Reports'!J2275="","",'R.M Billets Reports'!J2275)</f>
      </c>
      <c r="O2276">
        <f t="shared" si="71"/>
      </c>
      <c r="P2276">
        <f>IF('R.M Billets Reports'!A2275="SIZE",'R.M Billets Reports'!B2275,P2275)</f>
      </c>
    </row>
    <row r="2277" spans="1:16" x14ac:dyDescent="0.25">
      <c r="A2277">
        <f>IF(OR('R.M Billets Reports'!A2276="Date-",'R.M Billets Reports'!A2276="Date:-"),IF(IF(IF(ISNUMBER(SEARCH("Party Name:-",'R.M Billets Reports'!D2276)),TRIM('R.M Billets Reports'!F2276),IF(ISNUMBER(SEARCH("Party Name-",'R.M Billets Reports'!D2276)),TRIM(MID('R.M Billets Reports'!D2276,SEARCH("-",'R.M Billets Reports'!D2276)+1,200)),""))&lt;&gt;"",IF(ISNUMBER(SEARCH("Party Name:-",'R.M Billets Reports'!D2276)),TRIM('R.M Billets Reports'!F2276),IF(ISNUMBER(SEARCH("Party Name-",'R.M Billets Reports'!D2276)),TRIM(MID('R.M Billets Reports'!D2276,SEARCH("-",'R.M Billets Reports'!D2276)+1,200)),"")),IF(ISNUMBER(SEARCH("Party Name:-",'R.M Billets Reports'!D2277)),TRIM('R.M Billets Reports'!F2277),IF(ISNUMBER(SEARCH("Party Name-",'R.M Billets Reports'!D2277)),TRIM(MID('R.M Billets Reports'!D2277,SEARCH("-",'R.M Billets Reports'!D2277)+1,200)),"")))="VRKP ISPAT PVT LTD","VRKP",IF(IF(IF(ISNUMBER(SEARCH("Party Name:-",'R.M Billets Reports'!D2276)),TRIM('R.M Billets Reports'!F2276),IF(ISNUMBER(SEARCH("Party Name-",'R.M Billets Reports'!D2276)),TRIM(MID('R.M Billets Reports'!D2276,SEARCH("-",'R.M Billets Reports'!D2276)+1,200)),""))&lt;&gt;"",IF(ISNUMBER(SEARCH("Party Name:-",'R.M Billets Reports'!D2276)),TRIM('R.M Billets Reports'!F2276),IF(ISNUMBER(SEARCH("Party Name-",'R.M Billets Reports'!D2276)),TRIM(MID('R.M Billets Reports'!D2276,SEARCH("-",'R.M Billets Reports'!D2276)+1,200)),"")),IF(ISNUMBER(SEARCH("Party Name:-",'R.M Billets Reports'!D2277)),TRIM('R.M Billets Reports'!F2277),IF(ISNUMBER(SEARCH("Party Name-",'R.M Billets Reports'!D2277)),TRIM(MID('R.M Billets Reports'!D2277,SEARCH("-",'R.M Billets Reports'!D2277)+1,200)),"")))="SHRI RADHE","SHREE RADHE",IF(IF(IF(ISNUMBER(SEARCH("Party Name:-",'R.M Billets Reports'!D2276)),TRIM('R.M Billets Reports'!F2276),IF(ISNUMBER(SEARCH("Party Name-",'R.M Billets Reports'!D2276)),TRIM(MID('R.M Billets Reports'!D2276,SEARCH("-",'R.M Billets Reports'!D2276)+1,200)),""))&lt;&gt;"",IF(ISNUMBER(SEARCH("Party Name:-",'R.M Billets Reports'!D2276)),TRIM('R.M Billets Reports'!F2276),IF(ISNUMBER(SEARCH("Party Name-",'R.M Billets Reports'!D2276)),TRIM(MID('R.M Billets Reports'!D2276,SEARCH("-",'R.M Billets Reports'!D2276)+1,200)),"")),IF(ISNUMBER(SEARCH("Party Name:-",'R.M Billets Reports'!D2277)),TRIM('R.M Billets Reports'!F2277),IF(ISNUMBER(SEARCH("Party Name-",'R.M Billets Reports'!D2277)),TRIM(MID('R.M Billets Reports'!D2277,SEARCH("-",'R.M Billets Reports'!D2277)+1,200)),"")))="SHREE RADHE SHAKTI SPONGE AND POWER PVT. LTD.","SHREE RADHE",IF(IF(ISNUMBER(SEARCH("Party Name:-",'R.M Billets Reports'!D2276)),TRIM('R.M Billets Reports'!F2276),IF(ISNUMBER(SEARCH("Party Name-",'R.M Billets Reports'!D2276)),TRIM(MID('R.M Billets Reports'!D2276,SEARCH("-",'R.M Billets Reports'!D2276)+1,200)),""))&lt;&gt;"",IF(ISNUMBER(SEARCH("Party Name:-",'R.M Billets Reports'!D2276)),TRIM('R.M Billets Reports'!F2276),IF(ISNUMBER(SEARCH("Party Name-",'R.M Billets Reports'!D2276)),TRIM(MID('R.M Billets Reports'!D2276,SEARCH("-",'R.M Billets Reports'!D2276)+1,200)),"")),IF(ISNUMBER(SEARCH("Party Name:-",'R.M Billets Reports'!D2277)),TRIM('R.M Billets Reports'!F2277),IF(ISNUMBER(SEARCH("Party Name-",'R.M Billets Reports'!D2277)),TRIM(MID('R.M Billets Reports'!D2277,SEARCH("-",'R.M Billets Reports'!D2277)+1,200)),"")))))),IF(ROW()=2,"",A2276))</f>
      </c>
      <c r="B2277">
        <f>IF(OR('R.M Billets Reports'!A2276="Date-",'R.M Billets Reports'!A2276="Date:-"),'R.M Billets Reports'!B2276,IF(ROW()=2,"",B2276))</f>
      </c>
      <c r="C2277">
        <f>IF('R.M Billets Reports'!A2276="V.No.",'R.M Billets Reports'!B2276,IF(ROW()=2,"",C2276))</f>
      </c>
      <c r="D2277">
        <f>IF('R.M Billets Reports'!A2276&lt;&gt;"",'R.M Billets Reports'!A2276,IF(ROW()=2,"",D2276))</f>
      </c>
      <c r="E2277">
        <f>IF('R.M Billets Reports'!B2276="","",TRIM('R.M Billets Reports'!B2276))</f>
      </c>
      <c r="F2277">
        <f>'R.M Billets Reports'!C2276</f>
      </c>
      <c r="G2277">
        <f>'R.M Billets Reports'!D2276</f>
      </c>
      <c r="H2277">
        <f>'R.M Billets Reports'!E2276</f>
      </c>
      <c r="I2277">
        <f>'R.M Billets Reports'!F2276</f>
      </c>
      <c r="J2277">
        <f>'R.M Billets Reports'!G2276</f>
      </c>
      <c r="K2277">
        <f>'R.M Billets Reports'!H2276</f>
      </c>
      <c r="L2277">
        <f>IF('R.M Billets Reports'!I2276="","",'R.M Billets Reports'!I2276)</f>
      </c>
      <c r="M2277">
        <f t="shared" si="70"/>
      </c>
      <c r="N2277">
        <f>IF('R.M Billets Reports'!J2276="","",'R.M Billets Reports'!J2276)</f>
      </c>
      <c r="O2277">
        <f t="shared" si="71"/>
      </c>
      <c r="P2277">
        <f>IF('R.M Billets Reports'!A2276="SIZE",'R.M Billets Reports'!B2276,P2276)</f>
      </c>
    </row>
    <row r="2278" spans="1:16" x14ac:dyDescent="0.25">
      <c r="A2278">
        <f>IF(OR('R.M Billets Reports'!A2277="Date-",'R.M Billets Reports'!A2277="Date:-"),IF(IF(IF(ISNUMBER(SEARCH("Party Name:-",'R.M Billets Reports'!D2277)),TRIM('R.M Billets Reports'!F2277),IF(ISNUMBER(SEARCH("Party Name-",'R.M Billets Reports'!D2277)),TRIM(MID('R.M Billets Reports'!D2277,SEARCH("-",'R.M Billets Reports'!D2277)+1,200)),""))&lt;&gt;"",IF(ISNUMBER(SEARCH("Party Name:-",'R.M Billets Reports'!D2277)),TRIM('R.M Billets Reports'!F2277),IF(ISNUMBER(SEARCH("Party Name-",'R.M Billets Reports'!D2277)),TRIM(MID('R.M Billets Reports'!D2277,SEARCH("-",'R.M Billets Reports'!D2277)+1,200)),"")),IF(ISNUMBER(SEARCH("Party Name:-",'R.M Billets Reports'!D2278)),TRIM('R.M Billets Reports'!F2278),IF(ISNUMBER(SEARCH("Party Name-",'R.M Billets Reports'!D2278)),TRIM(MID('R.M Billets Reports'!D2278,SEARCH("-",'R.M Billets Reports'!D2278)+1,200)),"")))="VRKP ISPAT PVT LTD","VRKP",IF(IF(IF(ISNUMBER(SEARCH("Party Name:-",'R.M Billets Reports'!D2277)),TRIM('R.M Billets Reports'!F2277),IF(ISNUMBER(SEARCH("Party Name-",'R.M Billets Reports'!D2277)),TRIM(MID('R.M Billets Reports'!D2277,SEARCH("-",'R.M Billets Reports'!D2277)+1,200)),""))&lt;&gt;"",IF(ISNUMBER(SEARCH("Party Name:-",'R.M Billets Reports'!D2277)),TRIM('R.M Billets Reports'!F2277),IF(ISNUMBER(SEARCH("Party Name-",'R.M Billets Reports'!D2277)),TRIM(MID('R.M Billets Reports'!D2277,SEARCH("-",'R.M Billets Reports'!D2277)+1,200)),"")),IF(ISNUMBER(SEARCH("Party Name:-",'R.M Billets Reports'!D2278)),TRIM('R.M Billets Reports'!F2278),IF(ISNUMBER(SEARCH("Party Name-",'R.M Billets Reports'!D2278)),TRIM(MID('R.M Billets Reports'!D2278,SEARCH("-",'R.M Billets Reports'!D2278)+1,200)),"")))="SHRI RADHE","SHREE RADHE",IF(IF(IF(ISNUMBER(SEARCH("Party Name:-",'R.M Billets Reports'!D2277)),TRIM('R.M Billets Reports'!F2277),IF(ISNUMBER(SEARCH("Party Name-",'R.M Billets Reports'!D2277)),TRIM(MID('R.M Billets Reports'!D2277,SEARCH("-",'R.M Billets Reports'!D2277)+1,200)),""))&lt;&gt;"",IF(ISNUMBER(SEARCH("Party Name:-",'R.M Billets Reports'!D2277)),TRIM('R.M Billets Reports'!F2277),IF(ISNUMBER(SEARCH("Party Name-",'R.M Billets Reports'!D2277)),TRIM(MID('R.M Billets Reports'!D2277,SEARCH("-",'R.M Billets Reports'!D2277)+1,200)),"")),IF(ISNUMBER(SEARCH("Party Name:-",'R.M Billets Reports'!D2278)),TRIM('R.M Billets Reports'!F2278),IF(ISNUMBER(SEARCH("Party Name-",'R.M Billets Reports'!D2278)),TRIM(MID('R.M Billets Reports'!D2278,SEARCH("-",'R.M Billets Reports'!D2278)+1,200)),"")))="SHREE RADHE SHAKTI SPONGE AND POWER PVT. LTD.","SHREE RADHE",IF(IF(ISNUMBER(SEARCH("Party Name:-",'R.M Billets Reports'!D2277)),TRIM('R.M Billets Reports'!F2277),IF(ISNUMBER(SEARCH("Party Name-",'R.M Billets Reports'!D2277)),TRIM(MID('R.M Billets Reports'!D2277,SEARCH("-",'R.M Billets Reports'!D2277)+1,200)),""))&lt;&gt;"",IF(ISNUMBER(SEARCH("Party Name:-",'R.M Billets Reports'!D2277)),TRIM('R.M Billets Reports'!F2277),IF(ISNUMBER(SEARCH("Party Name-",'R.M Billets Reports'!D2277)),TRIM(MID('R.M Billets Reports'!D2277,SEARCH("-",'R.M Billets Reports'!D2277)+1,200)),"")),IF(ISNUMBER(SEARCH("Party Name:-",'R.M Billets Reports'!D2278)),TRIM('R.M Billets Reports'!F2278),IF(ISNUMBER(SEARCH("Party Name-",'R.M Billets Reports'!D2278)),TRIM(MID('R.M Billets Reports'!D2278,SEARCH("-",'R.M Billets Reports'!D2278)+1,200)),"")))))),IF(ROW()=2,"",A2277))</f>
      </c>
      <c r="B2278">
        <f>IF(OR('R.M Billets Reports'!A2277="Date-",'R.M Billets Reports'!A2277="Date:-"),'R.M Billets Reports'!B2277,IF(ROW()=2,"",B2277))</f>
      </c>
      <c r="C2278">
        <f>IF('R.M Billets Reports'!A2277="V.No.",'R.M Billets Reports'!B2277,IF(ROW()=2,"",C2277))</f>
      </c>
      <c r="D2278">
        <f>IF('R.M Billets Reports'!A2277&lt;&gt;"",'R.M Billets Reports'!A2277,IF(ROW()=2,"",D2277))</f>
      </c>
      <c r="E2278">
        <f>IF('R.M Billets Reports'!B2277="","",TRIM('R.M Billets Reports'!B2277))</f>
      </c>
      <c r="F2278">
        <f>'R.M Billets Reports'!C2277</f>
      </c>
      <c r="G2278">
        <f>'R.M Billets Reports'!D2277</f>
      </c>
      <c r="H2278">
        <f>'R.M Billets Reports'!E2277</f>
      </c>
      <c r="I2278">
        <f>'R.M Billets Reports'!F2277</f>
      </c>
      <c r="J2278">
        <f>'R.M Billets Reports'!G2277</f>
      </c>
      <c r="K2278">
        <f>'R.M Billets Reports'!H2277</f>
      </c>
      <c r="L2278">
        <f>IF('R.M Billets Reports'!I2277="","",'R.M Billets Reports'!I2277)</f>
      </c>
      <c r="M2278">
        <f t="shared" si="70"/>
      </c>
      <c r="N2278">
        <f>IF('R.M Billets Reports'!J2277="","",'R.M Billets Reports'!J2277)</f>
      </c>
      <c r="O2278">
        <f t="shared" si="71"/>
      </c>
      <c r="P2278">
        <f>IF('R.M Billets Reports'!A2277="SIZE",'R.M Billets Reports'!B2277,P2277)</f>
      </c>
    </row>
    <row r="2279" spans="1:16" x14ac:dyDescent="0.25">
      <c r="A2279">
        <f>IF(OR('R.M Billets Reports'!A2278="Date-",'R.M Billets Reports'!A2278="Date:-"),IF(IF(IF(ISNUMBER(SEARCH("Party Name:-",'R.M Billets Reports'!D2278)),TRIM('R.M Billets Reports'!F2278),IF(ISNUMBER(SEARCH("Party Name-",'R.M Billets Reports'!D2278)),TRIM(MID('R.M Billets Reports'!D2278,SEARCH("-",'R.M Billets Reports'!D2278)+1,200)),""))&lt;&gt;"",IF(ISNUMBER(SEARCH("Party Name:-",'R.M Billets Reports'!D2278)),TRIM('R.M Billets Reports'!F2278),IF(ISNUMBER(SEARCH("Party Name-",'R.M Billets Reports'!D2278)),TRIM(MID('R.M Billets Reports'!D2278,SEARCH("-",'R.M Billets Reports'!D2278)+1,200)),"")),IF(ISNUMBER(SEARCH("Party Name:-",'R.M Billets Reports'!D2279)),TRIM('R.M Billets Reports'!F2279),IF(ISNUMBER(SEARCH("Party Name-",'R.M Billets Reports'!D2279)),TRIM(MID('R.M Billets Reports'!D2279,SEARCH("-",'R.M Billets Reports'!D2279)+1,200)),"")))="VRKP ISPAT PVT LTD","VRKP",IF(IF(IF(ISNUMBER(SEARCH("Party Name:-",'R.M Billets Reports'!D2278)),TRIM('R.M Billets Reports'!F2278),IF(ISNUMBER(SEARCH("Party Name-",'R.M Billets Reports'!D2278)),TRIM(MID('R.M Billets Reports'!D2278,SEARCH("-",'R.M Billets Reports'!D2278)+1,200)),""))&lt;&gt;"",IF(ISNUMBER(SEARCH("Party Name:-",'R.M Billets Reports'!D2278)),TRIM('R.M Billets Reports'!F2278),IF(ISNUMBER(SEARCH("Party Name-",'R.M Billets Reports'!D2278)),TRIM(MID('R.M Billets Reports'!D2278,SEARCH("-",'R.M Billets Reports'!D2278)+1,200)),"")),IF(ISNUMBER(SEARCH("Party Name:-",'R.M Billets Reports'!D2279)),TRIM('R.M Billets Reports'!F2279),IF(ISNUMBER(SEARCH("Party Name-",'R.M Billets Reports'!D2279)),TRIM(MID('R.M Billets Reports'!D2279,SEARCH("-",'R.M Billets Reports'!D2279)+1,200)),"")))="SHRI RADHE","SHREE RADHE",IF(IF(IF(ISNUMBER(SEARCH("Party Name:-",'R.M Billets Reports'!D2278)),TRIM('R.M Billets Reports'!F2278),IF(ISNUMBER(SEARCH("Party Name-",'R.M Billets Reports'!D2278)),TRIM(MID('R.M Billets Reports'!D2278,SEARCH("-",'R.M Billets Reports'!D2278)+1,200)),""))&lt;&gt;"",IF(ISNUMBER(SEARCH("Party Name:-",'R.M Billets Reports'!D2278)),TRIM('R.M Billets Reports'!F2278),IF(ISNUMBER(SEARCH("Party Name-",'R.M Billets Reports'!D2278)),TRIM(MID('R.M Billets Reports'!D2278,SEARCH("-",'R.M Billets Reports'!D2278)+1,200)),"")),IF(ISNUMBER(SEARCH("Party Name:-",'R.M Billets Reports'!D2279)),TRIM('R.M Billets Reports'!F2279),IF(ISNUMBER(SEARCH("Party Name-",'R.M Billets Reports'!D2279)),TRIM(MID('R.M Billets Reports'!D2279,SEARCH("-",'R.M Billets Reports'!D2279)+1,200)),"")))="SHREE RADHE SHAKTI SPONGE AND POWER PVT. LTD.","SHREE RADHE",IF(IF(ISNUMBER(SEARCH("Party Name:-",'R.M Billets Reports'!D2278)),TRIM('R.M Billets Reports'!F2278),IF(ISNUMBER(SEARCH("Party Name-",'R.M Billets Reports'!D2278)),TRIM(MID('R.M Billets Reports'!D2278,SEARCH("-",'R.M Billets Reports'!D2278)+1,200)),""))&lt;&gt;"",IF(ISNUMBER(SEARCH("Party Name:-",'R.M Billets Reports'!D2278)),TRIM('R.M Billets Reports'!F2278),IF(ISNUMBER(SEARCH("Party Name-",'R.M Billets Reports'!D2278)),TRIM(MID('R.M Billets Reports'!D2278,SEARCH("-",'R.M Billets Reports'!D2278)+1,200)),"")),IF(ISNUMBER(SEARCH("Party Name:-",'R.M Billets Reports'!D2279)),TRIM('R.M Billets Reports'!F2279),IF(ISNUMBER(SEARCH("Party Name-",'R.M Billets Reports'!D2279)),TRIM(MID('R.M Billets Reports'!D2279,SEARCH("-",'R.M Billets Reports'!D2279)+1,200)),"")))))),IF(ROW()=2,"",A2278))</f>
      </c>
      <c r="B2279">
        <f>IF(OR('R.M Billets Reports'!A2278="Date-",'R.M Billets Reports'!A2278="Date:-"),'R.M Billets Reports'!B2278,IF(ROW()=2,"",B2278))</f>
      </c>
      <c r="C2279">
        <f>IF('R.M Billets Reports'!A2278="V.No.",'R.M Billets Reports'!B2278,IF(ROW()=2,"",C2278))</f>
      </c>
      <c r="D2279">
        <f>IF('R.M Billets Reports'!A2278&lt;&gt;"",'R.M Billets Reports'!A2278,IF(ROW()=2,"",D2278))</f>
      </c>
      <c r="E2279">
        <f>IF('R.M Billets Reports'!B2278="","",TRIM('R.M Billets Reports'!B2278))</f>
      </c>
      <c r="F2279">
        <f>'R.M Billets Reports'!C2278</f>
      </c>
      <c r="G2279">
        <f>'R.M Billets Reports'!D2278</f>
      </c>
      <c r="H2279">
        <f>'R.M Billets Reports'!E2278</f>
      </c>
      <c r="I2279">
        <f>'R.M Billets Reports'!F2278</f>
      </c>
      <c r="J2279">
        <f>'R.M Billets Reports'!G2278</f>
      </c>
      <c r="K2279">
        <f>'R.M Billets Reports'!H2278</f>
      </c>
      <c r="L2279">
        <f>IF('R.M Billets Reports'!I2278="","",'R.M Billets Reports'!I2278)</f>
      </c>
      <c r="M2279">
        <f t="shared" si="70"/>
      </c>
      <c r="N2279">
        <f>IF('R.M Billets Reports'!J2278="","",'R.M Billets Reports'!J2278)</f>
      </c>
      <c r="O2279">
        <f t="shared" si="71"/>
      </c>
      <c r="P2279">
        <f>IF('R.M Billets Reports'!A2278="SIZE",'R.M Billets Reports'!B2278,P2278)</f>
      </c>
    </row>
    <row r="2280" spans="1:16" x14ac:dyDescent="0.25">
      <c r="A2280">
        <f>IF(OR('R.M Billets Reports'!A2279="Date-",'R.M Billets Reports'!A2279="Date:-"),IF(IF(IF(ISNUMBER(SEARCH("Party Name:-",'R.M Billets Reports'!D2279)),TRIM('R.M Billets Reports'!F2279),IF(ISNUMBER(SEARCH("Party Name-",'R.M Billets Reports'!D2279)),TRIM(MID('R.M Billets Reports'!D2279,SEARCH("-",'R.M Billets Reports'!D2279)+1,200)),""))&lt;&gt;"",IF(ISNUMBER(SEARCH("Party Name:-",'R.M Billets Reports'!D2279)),TRIM('R.M Billets Reports'!F2279),IF(ISNUMBER(SEARCH("Party Name-",'R.M Billets Reports'!D2279)),TRIM(MID('R.M Billets Reports'!D2279,SEARCH("-",'R.M Billets Reports'!D2279)+1,200)),"")),IF(ISNUMBER(SEARCH("Party Name:-",'R.M Billets Reports'!D2280)),TRIM('R.M Billets Reports'!F2280),IF(ISNUMBER(SEARCH("Party Name-",'R.M Billets Reports'!D2280)),TRIM(MID('R.M Billets Reports'!D2280,SEARCH("-",'R.M Billets Reports'!D2280)+1,200)),"")))="VRKP ISPAT PVT LTD","VRKP",IF(IF(IF(ISNUMBER(SEARCH("Party Name:-",'R.M Billets Reports'!D2279)),TRIM('R.M Billets Reports'!F2279),IF(ISNUMBER(SEARCH("Party Name-",'R.M Billets Reports'!D2279)),TRIM(MID('R.M Billets Reports'!D2279,SEARCH("-",'R.M Billets Reports'!D2279)+1,200)),""))&lt;&gt;"",IF(ISNUMBER(SEARCH("Party Name:-",'R.M Billets Reports'!D2279)),TRIM('R.M Billets Reports'!F2279),IF(ISNUMBER(SEARCH("Party Name-",'R.M Billets Reports'!D2279)),TRIM(MID('R.M Billets Reports'!D2279,SEARCH("-",'R.M Billets Reports'!D2279)+1,200)),"")),IF(ISNUMBER(SEARCH("Party Name:-",'R.M Billets Reports'!D2280)),TRIM('R.M Billets Reports'!F2280),IF(ISNUMBER(SEARCH("Party Name-",'R.M Billets Reports'!D2280)),TRIM(MID('R.M Billets Reports'!D2280,SEARCH("-",'R.M Billets Reports'!D2280)+1,200)),"")))="SHRI RADHE","SHREE RADHE",IF(IF(IF(ISNUMBER(SEARCH("Party Name:-",'R.M Billets Reports'!D2279)),TRIM('R.M Billets Reports'!F2279),IF(ISNUMBER(SEARCH("Party Name-",'R.M Billets Reports'!D2279)),TRIM(MID('R.M Billets Reports'!D2279,SEARCH("-",'R.M Billets Reports'!D2279)+1,200)),""))&lt;&gt;"",IF(ISNUMBER(SEARCH("Party Name:-",'R.M Billets Reports'!D2279)),TRIM('R.M Billets Reports'!F2279),IF(ISNUMBER(SEARCH("Party Name-",'R.M Billets Reports'!D2279)),TRIM(MID('R.M Billets Reports'!D2279,SEARCH("-",'R.M Billets Reports'!D2279)+1,200)),"")),IF(ISNUMBER(SEARCH("Party Name:-",'R.M Billets Reports'!D2280)),TRIM('R.M Billets Reports'!F2280),IF(ISNUMBER(SEARCH("Party Name-",'R.M Billets Reports'!D2280)),TRIM(MID('R.M Billets Reports'!D2280,SEARCH("-",'R.M Billets Reports'!D2280)+1,200)),"")))="SHREE RADHE SHAKTI SPONGE AND POWER PVT. LTD.","SHREE RADHE",IF(IF(ISNUMBER(SEARCH("Party Name:-",'R.M Billets Reports'!D2279)),TRIM('R.M Billets Reports'!F2279),IF(ISNUMBER(SEARCH("Party Name-",'R.M Billets Reports'!D2279)),TRIM(MID('R.M Billets Reports'!D2279,SEARCH("-",'R.M Billets Reports'!D2279)+1,200)),""))&lt;&gt;"",IF(ISNUMBER(SEARCH("Party Name:-",'R.M Billets Reports'!D2279)),TRIM('R.M Billets Reports'!F2279),IF(ISNUMBER(SEARCH("Party Name-",'R.M Billets Reports'!D2279)),TRIM(MID('R.M Billets Reports'!D2279,SEARCH("-",'R.M Billets Reports'!D2279)+1,200)),"")),IF(ISNUMBER(SEARCH("Party Name:-",'R.M Billets Reports'!D2280)),TRIM('R.M Billets Reports'!F2280),IF(ISNUMBER(SEARCH("Party Name-",'R.M Billets Reports'!D2280)),TRIM(MID('R.M Billets Reports'!D2280,SEARCH("-",'R.M Billets Reports'!D2280)+1,200)),"")))))),IF(ROW()=2,"",A2279))</f>
      </c>
      <c r="B2280">
        <f>IF(OR('R.M Billets Reports'!A2279="Date-",'R.M Billets Reports'!A2279="Date:-"),'R.M Billets Reports'!B2279,IF(ROW()=2,"",B2279))</f>
      </c>
      <c r="C2280">
        <f>IF('R.M Billets Reports'!A2279="V.No.",'R.M Billets Reports'!B2279,IF(ROW()=2,"",C2279))</f>
      </c>
      <c r="D2280">
        <f>IF('R.M Billets Reports'!A2279&lt;&gt;"",'R.M Billets Reports'!A2279,IF(ROW()=2,"",D2279))</f>
      </c>
      <c r="E2280">
        <f>IF('R.M Billets Reports'!B2279="","",TRIM('R.M Billets Reports'!B2279))</f>
      </c>
      <c r="F2280">
        <f>'R.M Billets Reports'!C2279</f>
      </c>
      <c r="G2280">
        <f>'R.M Billets Reports'!D2279</f>
      </c>
      <c r="H2280">
        <f>'R.M Billets Reports'!E2279</f>
      </c>
      <c r="I2280">
        <f>'R.M Billets Reports'!F2279</f>
      </c>
      <c r="J2280">
        <f>'R.M Billets Reports'!G2279</f>
      </c>
      <c r="K2280">
        <f>'R.M Billets Reports'!H2279</f>
      </c>
      <c r="L2280">
        <f>IF('R.M Billets Reports'!I2279="","",'R.M Billets Reports'!I2279)</f>
      </c>
      <c r="M2280">
        <f t="shared" si="70"/>
      </c>
      <c r="N2280">
        <f>IF('R.M Billets Reports'!J2279="","",'R.M Billets Reports'!J2279)</f>
      </c>
      <c r="O2280">
        <f t="shared" si="71"/>
      </c>
      <c r="P2280">
        <f>IF('R.M Billets Reports'!A2279="SIZE",'R.M Billets Reports'!B2279,P2279)</f>
      </c>
    </row>
    <row r="2281" spans="1:16" x14ac:dyDescent="0.25">
      <c r="A2281">
        <f>IF(OR('R.M Billets Reports'!A2280="Date-",'R.M Billets Reports'!A2280="Date:-"),IF(IF(IF(ISNUMBER(SEARCH("Party Name:-",'R.M Billets Reports'!D2280)),TRIM('R.M Billets Reports'!F2280),IF(ISNUMBER(SEARCH("Party Name-",'R.M Billets Reports'!D2280)),TRIM(MID('R.M Billets Reports'!D2280,SEARCH("-",'R.M Billets Reports'!D2280)+1,200)),""))&lt;&gt;"",IF(ISNUMBER(SEARCH("Party Name:-",'R.M Billets Reports'!D2280)),TRIM('R.M Billets Reports'!F2280),IF(ISNUMBER(SEARCH("Party Name-",'R.M Billets Reports'!D2280)),TRIM(MID('R.M Billets Reports'!D2280,SEARCH("-",'R.M Billets Reports'!D2280)+1,200)),"")),IF(ISNUMBER(SEARCH("Party Name:-",'R.M Billets Reports'!D2281)),TRIM('R.M Billets Reports'!F2281),IF(ISNUMBER(SEARCH("Party Name-",'R.M Billets Reports'!D2281)),TRIM(MID('R.M Billets Reports'!D2281,SEARCH("-",'R.M Billets Reports'!D2281)+1,200)),"")))="VRKP ISPAT PVT LTD","VRKP",IF(IF(IF(ISNUMBER(SEARCH("Party Name:-",'R.M Billets Reports'!D2280)),TRIM('R.M Billets Reports'!F2280),IF(ISNUMBER(SEARCH("Party Name-",'R.M Billets Reports'!D2280)),TRIM(MID('R.M Billets Reports'!D2280,SEARCH("-",'R.M Billets Reports'!D2280)+1,200)),""))&lt;&gt;"",IF(ISNUMBER(SEARCH("Party Name:-",'R.M Billets Reports'!D2280)),TRIM('R.M Billets Reports'!F2280),IF(ISNUMBER(SEARCH("Party Name-",'R.M Billets Reports'!D2280)),TRIM(MID('R.M Billets Reports'!D2280,SEARCH("-",'R.M Billets Reports'!D2280)+1,200)),"")),IF(ISNUMBER(SEARCH("Party Name:-",'R.M Billets Reports'!D2281)),TRIM('R.M Billets Reports'!F2281),IF(ISNUMBER(SEARCH("Party Name-",'R.M Billets Reports'!D2281)),TRIM(MID('R.M Billets Reports'!D2281,SEARCH("-",'R.M Billets Reports'!D2281)+1,200)),"")))="SHRI RADHE","SHREE RADHE",IF(IF(IF(ISNUMBER(SEARCH("Party Name:-",'R.M Billets Reports'!D2280)),TRIM('R.M Billets Reports'!F2280),IF(ISNUMBER(SEARCH("Party Name-",'R.M Billets Reports'!D2280)),TRIM(MID('R.M Billets Reports'!D2280,SEARCH("-",'R.M Billets Reports'!D2280)+1,200)),""))&lt;&gt;"",IF(ISNUMBER(SEARCH("Party Name:-",'R.M Billets Reports'!D2280)),TRIM('R.M Billets Reports'!F2280),IF(ISNUMBER(SEARCH("Party Name-",'R.M Billets Reports'!D2280)),TRIM(MID('R.M Billets Reports'!D2280,SEARCH("-",'R.M Billets Reports'!D2280)+1,200)),"")),IF(ISNUMBER(SEARCH("Party Name:-",'R.M Billets Reports'!D2281)),TRIM('R.M Billets Reports'!F2281),IF(ISNUMBER(SEARCH("Party Name-",'R.M Billets Reports'!D2281)),TRIM(MID('R.M Billets Reports'!D2281,SEARCH("-",'R.M Billets Reports'!D2281)+1,200)),"")))="SHREE RADHE SHAKTI SPONGE AND POWER PVT. LTD.","SHREE RADHE",IF(IF(ISNUMBER(SEARCH("Party Name:-",'R.M Billets Reports'!D2280)),TRIM('R.M Billets Reports'!F2280),IF(ISNUMBER(SEARCH("Party Name-",'R.M Billets Reports'!D2280)),TRIM(MID('R.M Billets Reports'!D2280,SEARCH("-",'R.M Billets Reports'!D2280)+1,200)),""))&lt;&gt;"",IF(ISNUMBER(SEARCH("Party Name:-",'R.M Billets Reports'!D2280)),TRIM('R.M Billets Reports'!F2280),IF(ISNUMBER(SEARCH("Party Name-",'R.M Billets Reports'!D2280)),TRIM(MID('R.M Billets Reports'!D2280,SEARCH("-",'R.M Billets Reports'!D2280)+1,200)),"")),IF(ISNUMBER(SEARCH("Party Name:-",'R.M Billets Reports'!D2281)),TRIM('R.M Billets Reports'!F2281),IF(ISNUMBER(SEARCH("Party Name-",'R.M Billets Reports'!D2281)),TRIM(MID('R.M Billets Reports'!D2281,SEARCH("-",'R.M Billets Reports'!D2281)+1,200)),"")))))),IF(ROW()=2,"",A2280))</f>
      </c>
      <c r="B2281">
        <f>IF(OR('R.M Billets Reports'!A2280="Date-",'R.M Billets Reports'!A2280="Date:-"),'R.M Billets Reports'!B2280,IF(ROW()=2,"",B2280))</f>
      </c>
      <c r="C2281">
        <f>IF('R.M Billets Reports'!A2280="V.No.",'R.M Billets Reports'!B2280,IF(ROW()=2,"",C2280))</f>
      </c>
      <c r="D2281">
        <f>IF('R.M Billets Reports'!A2280&lt;&gt;"",'R.M Billets Reports'!A2280,IF(ROW()=2,"",D2280))</f>
      </c>
      <c r="E2281">
        <f>IF('R.M Billets Reports'!B2280="","",TRIM('R.M Billets Reports'!B2280))</f>
      </c>
      <c r="F2281">
        <f>'R.M Billets Reports'!C2280</f>
      </c>
      <c r="G2281">
        <f>'R.M Billets Reports'!D2280</f>
      </c>
      <c r="H2281">
        <f>'R.M Billets Reports'!E2280</f>
      </c>
      <c r="I2281">
        <f>'R.M Billets Reports'!F2280</f>
      </c>
      <c r="J2281">
        <f>'R.M Billets Reports'!G2280</f>
      </c>
      <c r="K2281">
        <f>'R.M Billets Reports'!H2280</f>
      </c>
      <c r="L2281">
        <f>IF('R.M Billets Reports'!I2280="","",'R.M Billets Reports'!I2280)</f>
      </c>
      <c r="M2281">
        <f t="shared" si="70"/>
      </c>
      <c r="N2281">
        <f>IF('R.M Billets Reports'!J2280="","",'R.M Billets Reports'!J2280)</f>
      </c>
      <c r="O2281">
        <f t="shared" si="71"/>
      </c>
      <c r="P2281">
        <f>IF('R.M Billets Reports'!A2280="SIZE",'R.M Billets Reports'!B2280,P2280)</f>
      </c>
    </row>
    <row r="2282" spans="1:16" x14ac:dyDescent="0.25">
      <c r="A2282">
        <f>IF(OR('R.M Billets Reports'!A2281="Date-",'R.M Billets Reports'!A2281="Date:-"),IF(IF(IF(ISNUMBER(SEARCH("Party Name:-",'R.M Billets Reports'!D2281)),TRIM('R.M Billets Reports'!F2281),IF(ISNUMBER(SEARCH("Party Name-",'R.M Billets Reports'!D2281)),TRIM(MID('R.M Billets Reports'!D2281,SEARCH("-",'R.M Billets Reports'!D2281)+1,200)),""))&lt;&gt;"",IF(ISNUMBER(SEARCH("Party Name:-",'R.M Billets Reports'!D2281)),TRIM('R.M Billets Reports'!F2281),IF(ISNUMBER(SEARCH("Party Name-",'R.M Billets Reports'!D2281)),TRIM(MID('R.M Billets Reports'!D2281,SEARCH("-",'R.M Billets Reports'!D2281)+1,200)),"")),IF(ISNUMBER(SEARCH("Party Name:-",'R.M Billets Reports'!D2282)),TRIM('R.M Billets Reports'!F2282),IF(ISNUMBER(SEARCH("Party Name-",'R.M Billets Reports'!D2282)),TRIM(MID('R.M Billets Reports'!D2282,SEARCH("-",'R.M Billets Reports'!D2282)+1,200)),"")))="VRKP ISPAT PVT LTD","VRKP",IF(IF(IF(ISNUMBER(SEARCH("Party Name:-",'R.M Billets Reports'!D2281)),TRIM('R.M Billets Reports'!F2281),IF(ISNUMBER(SEARCH("Party Name-",'R.M Billets Reports'!D2281)),TRIM(MID('R.M Billets Reports'!D2281,SEARCH("-",'R.M Billets Reports'!D2281)+1,200)),""))&lt;&gt;"",IF(ISNUMBER(SEARCH("Party Name:-",'R.M Billets Reports'!D2281)),TRIM('R.M Billets Reports'!F2281),IF(ISNUMBER(SEARCH("Party Name-",'R.M Billets Reports'!D2281)),TRIM(MID('R.M Billets Reports'!D2281,SEARCH("-",'R.M Billets Reports'!D2281)+1,200)),"")),IF(ISNUMBER(SEARCH("Party Name:-",'R.M Billets Reports'!D2282)),TRIM('R.M Billets Reports'!F2282),IF(ISNUMBER(SEARCH("Party Name-",'R.M Billets Reports'!D2282)),TRIM(MID('R.M Billets Reports'!D2282,SEARCH("-",'R.M Billets Reports'!D2282)+1,200)),"")))="SHRI RADHE","SHREE RADHE",IF(IF(IF(ISNUMBER(SEARCH("Party Name:-",'R.M Billets Reports'!D2281)),TRIM('R.M Billets Reports'!F2281),IF(ISNUMBER(SEARCH("Party Name-",'R.M Billets Reports'!D2281)),TRIM(MID('R.M Billets Reports'!D2281,SEARCH("-",'R.M Billets Reports'!D2281)+1,200)),""))&lt;&gt;"",IF(ISNUMBER(SEARCH("Party Name:-",'R.M Billets Reports'!D2281)),TRIM('R.M Billets Reports'!F2281),IF(ISNUMBER(SEARCH("Party Name-",'R.M Billets Reports'!D2281)),TRIM(MID('R.M Billets Reports'!D2281,SEARCH("-",'R.M Billets Reports'!D2281)+1,200)),"")),IF(ISNUMBER(SEARCH("Party Name:-",'R.M Billets Reports'!D2282)),TRIM('R.M Billets Reports'!F2282),IF(ISNUMBER(SEARCH("Party Name-",'R.M Billets Reports'!D2282)),TRIM(MID('R.M Billets Reports'!D2282,SEARCH("-",'R.M Billets Reports'!D2282)+1,200)),"")))="SHREE RADHE SHAKTI SPONGE AND POWER PVT. LTD.","SHREE RADHE",IF(IF(ISNUMBER(SEARCH("Party Name:-",'R.M Billets Reports'!D2281)),TRIM('R.M Billets Reports'!F2281),IF(ISNUMBER(SEARCH("Party Name-",'R.M Billets Reports'!D2281)),TRIM(MID('R.M Billets Reports'!D2281,SEARCH("-",'R.M Billets Reports'!D2281)+1,200)),""))&lt;&gt;"",IF(ISNUMBER(SEARCH("Party Name:-",'R.M Billets Reports'!D2281)),TRIM('R.M Billets Reports'!F2281),IF(ISNUMBER(SEARCH("Party Name-",'R.M Billets Reports'!D2281)),TRIM(MID('R.M Billets Reports'!D2281,SEARCH("-",'R.M Billets Reports'!D2281)+1,200)),"")),IF(ISNUMBER(SEARCH("Party Name:-",'R.M Billets Reports'!D2282)),TRIM('R.M Billets Reports'!F2282),IF(ISNUMBER(SEARCH("Party Name-",'R.M Billets Reports'!D2282)),TRIM(MID('R.M Billets Reports'!D2282,SEARCH("-",'R.M Billets Reports'!D2282)+1,200)),"")))))),IF(ROW()=2,"",A2281))</f>
      </c>
      <c r="B2282">
        <f>IF(OR('R.M Billets Reports'!A2281="Date-",'R.M Billets Reports'!A2281="Date:-"),'R.M Billets Reports'!B2281,IF(ROW()=2,"",B2281))</f>
      </c>
      <c r="C2282">
        <f>IF('R.M Billets Reports'!A2281="V.No.",'R.M Billets Reports'!B2281,IF(ROW()=2,"",C2281))</f>
      </c>
      <c r="D2282">
        <f>IF('R.M Billets Reports'!A2281&lt;&gt;"",'R.M Billets Reports'!A2281,IF(ROW()=2,"",D2281))</f>
      </c>
      <c r="E2282">
        <f>IF('R.M Billets Reports'!B2281="","",TRIM('R.M Billets Reports'!B2281))</f>
      </c>
      <c r="F2282">
        <f>'R.M Billets Reports'!C2281</f>
      </c>
      <c r="G2282">
        <f>'R.M Billets Reports'!D2281</f>
      </c>
      <c r="H2282">
        <f>'R.M Billets Reports'!E2281</f>
      </c>
      <c r="I2282">
        <f>'R.M Billets Reports'!F2281</f>
      </c>
      <c r="J2282">
        <f>'R.M Billets Reports'!G2281</f>
      </c>
      <c r="K2282">
        <f>'R.M Billets Reports'!H2281</f>
      </c>
      <c r="L2282">
        <f>IF('R.M Billets Reports'!I2281="","",'R.M Billets Reports'!I2281)</f>
      </c>
      <c r="M2282">
        <f t="shared" si="70"/>
      </c>
      <c r="N2282">
        <f>IF('R.M Billets Reports'!J2281="","",'R.M Billets Reports'!J2281)</f>
      </c>
      <c r="O2282">
        <f t="shared" si="71"/>
      </c>
      <c r="P2282">
        <f>IF('R.M Billets Reports'!A2281="SIZE",'R.M Billets Reports'!B2281,P2281)</f>
      </c>
    </row>
    <row r="2283" spans="1:16" x14ac:dyDescent="0.25">
      <c r="A2283">
        <f>IF(OR('R.M Billets Reports'!A2282="Date-",'R.M Billets Reports'!A2282="Date:-"),IF(IF(IF(ISNUMBER(SEARCH("Party Name:-",'R.M Billets Reports'!D2282)),TRIM('R.M Billets Reports'!F2282),IF(ISNUMBER(SEARCH("Party Name-",'R.M Billets Reports'!D2282)),TRIM(MID('R.M Billets Reports'!D2282,SEARCH("-",'R.M Billets Reports'!D2282)+1,200)),""))&lt;&gt;"",IF(ISNUMBER(SEARCH("Party Name:-",'R.M Billets Reports'!D2282)),TRIM('R.M Billets Reports'!F2282),IF(ISNUMBER(SEARCH("Party Name-",'R.M Billets Reports'!D2282)),TRIM(MID('R.M Billets Reports'!D2282,SEARCH("-",'R.M Billets Reports'!D2282)+1,200)),"")),IF(ISNUMBER(SEARCH("Party Name:-",'R.M Billets Reports'!D2283)),TRIM('R.M Billets Reports'!F2283),IF(ISNUMBER(SEARCH("Party Name-",'R.M Billets Reports'!D2283)),TRIM(MID('R.M Billets Reports'!D2283,SEARCH("-",'R.M Billets Reports'!D2283)+1,200)),"")))="VRKP ISPAT PVT LTD","VRKP",IF(IF(IF(ISNUMBER(SEARCH("Party Name:-",'R.M Billets Reports'!D2282)),TRIM('R.M Billets Reports'!F2282),IF(ISNUMBER(SEARCH("Party Name-",'R.M Billets Reports'!D2282)),TRIM(MID('R.M Billets Reports'!D2282,SEARCH("-",'R.M Billets Reports'!D2282)+1,200)),""))&lt;&gt;"",IF(ISNUMBER(SEARCH("Party Name:-",'R.M Billets Reports'!D2282)),TRIM('R.M Billets Reports'!F2282),IF(ISNUMBER(SEARCH("Party Name-",'R.M Billets Reports'!D2282)),TRIM(MID('R.M Billets Reports'!D2282,SEARCH("-",'R.M Billets Reports'!D2282)+1,200)),"")),IF(ISNUMBER(SEARCH("Party Name:-",'R.M Billets Reports'!D2283)),TRIM('R.M Billets Reports'!F2283),IF(ISNUMBER(SEARCH("Party Name-",'R.M Billets Reports'!D2283)),TRIM(MID('R.M Billets Reports'!D2283,SEARCH("-",'R.M Billets Reports'!D2283)+1,200)),"")))="SHRI RADHE","SHREE RADHE",IF(IF(IF(ISNUMBER(SEARCH("Party Name:-",'R.M Billets Reports'!D2282)),TRIM('R.M Billets Reports'!F2282),IF(ISNUMBER(SEARCH("Party Name-",'R.M Billets Reports'!D2282)),TRIM(MID('R.M Billets Reports'!D2282,SEARCH("-",'R.M Billets Reports'!D2282)+1,200)),""))&lt;&gt;"",IF(ISNUMBER(SEARCH("Party Name:-",'R.M Billets Reports'!D2282)),TRIM('R.M Billets Reports'!F2282),IF(ISNUMBER(SEARCH("Party Name-",'R.M Billets Reports'!D2282)),TRIM(MID('R.M Billets Reports'!D2282,SEARCH("-",'R.M Billets Reports'!D2282)+1,200)),"")),IF(ISNUMBER(SEARCH("Party Name:-",'R.M Billets Reports'!D2283)),TRIM('R.M Billets Reports'!F2283),IF(ISNUMBER(SEARCH("Party Name-",'R.M Billets Reports'!D2283)),TRIM(MID('R.M Billets Reports'!D2283,SEARCH("-",'R.M Billets Reports'!D2283)+1,200)),"")))="SHREE RADHE SHAKTI SPONGE AND POWER PVT. LTD.","SHREE RADHE",IF(IF(ISNUMBER(SEARCH("Party Name:-",'R.M Billets Reports'!D2282)),TRIM('R.M Billets Reports'!F2282),IF(ISNUMBER(SEARCH("Party Name-",'R.M Billets Reports'!D2282)),TRIM(MID('R.M Billets Reports'!D2282,SEARCH("-",'R.M Billets Reports'!D2282)+1,200)),""))&lt;&gt;"",IF(ISNUMBER(SEARCH("Party Name:-",'R.M Billets Reports'!D2282)),TRIM('R.M Billets Reports'!F2282),IF(ISNUMBER(SEARCH("Party Name-",'R.M Billets Reports'!D2282)),TRIM(MID('R.M Billets Reports'!D2282,SEARCH("-",'R.M Billets Reports'!D2282)+1,200)),"")),IF(ISNUMBER(SEARCH("Party Name:-",'R.M Billets Reports'!D2283)),TRIM('R.M Billets Reports'!F2283),IF(ISNUMBER(SEARCH("Party Name-",'R.M Billets Reports'!D2283)),TRIM(MID('R.M Billets Reports'!D2283,SEARCH("-",'R.M Billets Reports'!D2283)+1,200)),"")))))),IF(ROW()=2,"",A2282))</f>
      </c>
      <c r="B2283">
        <f>IF(OR('R.M Billets Reports'!A2282="Date-",'R.M Billets Reports'!A2282="Date:-"),'R.M Billets Reports'!B2282,IF(ROW()=2,"",B2282))</f>
      </c>
      <c r="C2283">
        <f>IF('R.M Billets Reports'!A2282="V.No.",'R.M Billets Reports'!B2282,IF(ROW()=2,"",C2282))</f>
      </c>
      <c r="D2283">
        <f>IF('R.M Billets Reports'!A2282&lt;&gt;"",'R.M Billets Reports'!A2282,IF(ROW()=2,"",D2282))</f>
      </c>
      <c r="E2283">
        <f>IF('R.M Billets Reports'!B2282="","",TRIM('R.M Billets Reports'!B2282))</f>
      </c>
      <c r="F2283">
        <f>'R.M Billets Reports'!C2282</f>
      </c>
      <c r="G2283">
        <f>'R.M Billets Reports'!D2282</f>
      </c>
      <c r="H2283">
        <f>'R.M Billets Reports'!E2282</f>
      </c>
      <c r="I2283">
        <f>'R.M Billets Reports'!F2282</f>
      </c>
      <c r="J2283">
        <f>'R.M Billets Reports'!G2282</f>
      </c>
      <c r="K2283">
        <f>'R.M Billets Reports'!H2282</f>
      </c>
      <c r="L2283">
        <f>IF('R.M Billets Reports'!I2282="","",'R.M Billets Reports'!I2282)</f>
      </c>
      <c r="M2283">
        <f t="shared" si="70"/>
      </c>
      <c r="N2283">
        <f>IF('R.M Billets Reports'!J2282="","",'R.M Billets Reports'!J2282)</f>
      </c>
      <c r="O2283">
        <f t="shared" si="71"/>
      </c>
      <c r="P2283">
        <f>IF('R.M Billets Reports'!A2282="SIZE",'R.M Billets Reports'!B2282,P2282)</f>
      </c>
    </row>
    <row r="2284" spans="1:16" x14ac:dyDescent="0.25">
      <c r="A2284">
        <f>IF(OR('R.M Billets Reports'!A2283="Date-",'R.M Billets Reports'!A2283="Date:-"),IF(IF(IF(ISNUMBER(SEARCH("Party Name:-",'R.M Billets Reports'!D2283)),TRIM('R.M Billets Reports'!F2283),IF(ISNUMBER(SEARCH("Party Name-",'R.M Billets Reports'!D2283)),TRIM(MID('R.M Billets Reports'!D2283,SEARCH("-",'R.M Billets Reports'!D2283)+1,200)),""))&lt;&gt;"",IF(ISNUMBER(SEARCH("Party Name:-",'R.M Billets Reports'!D2283)),TRIM('R.M Billets Reports'!F2283),IF(ISNUMBER(SEARCH("Party Name-",'R.M Billets Reports'!D2283)),TRIM(MID('R.M Billets Reports'!D2283,SEARCH("-",'R.M Billets Reports'!D2283)+1,200)),"")),IF(ISNUMBER(SEARCH("Party Name:-",'R.M Billets Reports'!D2284)),TRIM('R.M Billets Reports'!F2284),IF(ISNUMBER(SEARCH("Party Name-",'R.M Billets Reports'!D2284)),TRIM(MID('R.M Billets Reports'!D2284,SEARCH("-",'R.M Billets Reports'!D2284)+1,200)),"")))="VRKP ISPAT PVT LTD","VRKP",IF(IF(IF(ISNUMBER(SEARCH("Party Name:-",'R.M Billets Reports'!D2283)),TRIM('R.M Billets Reports'!F2283),IF(ISNUMBER(SEARCH("Party Name-",'R.M Billets Reports'!D2283)),TRIM(MID('R.M Billets Reports'!D2283,SEARCH("-",'R.M Billets Reports'!D2283)+1,200)),""))&lt;&gt;"",IF(ISNUMBER(SEARCH("Party Name:-",'R.M Billets Reports'!D2283)),TRIM('R.M Billets Reports'!F2283),IF(ISNUMBER(SEARCH("Party Name-",'R.M Billets Reports'!D2283)),TRIM(MID('R.M Billets Reports'!D2283,SEARCH("-",'R.M Billets Reports'!D2283)+1,200)),"")),IF(ISNUMBER(SEARCH("Party Name:-",'R.M Billets Reports'!D2284)),TRIM('R.M Billets Reports'!F2284),IF(ISNUMBER(SEARCH("Party Name-",'R.M Billets Reports'!D2284)),TRIM(MID('R.M Billets Reports'!D2284,SEARCH("-",'R.M Billets Reports'!D2284)+1,200)),"")))="SHRI RADHE","SHREE RADHE",IF(IF(IF(ISNUMBER(SEARCH("Party Name:-",'R.M Billets Reports'!D2283)),TRIM('R.M Billets Reports'!F2283),IF(ISNUMBER(SEARCH("Party Name-",'R.M Billets Reports'!D2283)),TRIM(MID('R.M Billets Reports'!D2283,SEARCH("-",'R.M Billets Reports'!D2283)+1,200)),""))&lt;&gt;"",IF(ISNUMBER(SEARCH("Party Name:-",'R.M Billets Reports'!D2283)),TRIM('R.M Billets Reports'!F2283),IF(ISNUMBER(SEARCH("Party Name-",'R.M Billets Reports'!D2283)),TRIM(MID('R.M Billets Reports'!D2283,SEARCH("-",'R.M Billets Reports'!D2283)+1,200)),"")),IF(ISNUMBER(SEARCH("Party Name:-",'R.M Billets Reports'!D2284)),TRIM('R.M Billets Reports'!F2284),IF(ISNUMBER(SEARCH("Party Name-",'R.M Billets Reports'!D2284)),TRIM(MID('R.M Billets Reports'!D2284,SEARCH("-",'R.M Billets Reports'!D2284)+1,200)),"")))="SHREE RADHE SHAKTI SPONGE AND POWER PVT. LTD.","SHREE RADHE",IF(IF(ISNUMBER(SEARCH("Party Name:-",'R.M Billets Reports'!D2283)),TRIM('R.M Billets Reports'!F2283),IF(ISNUMBER(SEARCH("Party Name-",'R.M Billets Reports'!D2283)),TRIM(MID('R.M Billets Reports'!D2283,SEARCH("-",'R.M Billets Reports'!D2283)+1,200)),""))&lt;&gt;"",IF(ISNUMBER(SEARCH("Party Name:-",'R.M Billets Reports'!D2283)),TRIM('R.M Billets Reports'!F2283),IF(ISNUMBER(SEARCH("Party Name-",'R.M Billets Reports'!D2283)),TRIM(MID('R.M Billets Reports'!D2283,SEARCH("-",'R.M Billets Reports'!D2283)+1,200)),"")),IF(ISNUMBER(SEARCH("Party Name:-",'R.M Billets Reports'!D2284)),TRIM('R.M Billets Reports'!F2284),IF(ISNUMBER(SEARCH("Party Name-",'R.M Billets Reports'!D2284)),TRIM(MID('R.M Billets Reports'!D2284,SEARCH("-",'R.M Billets Reports'!D2284)+1,200)),"")))))),IF(ROW()=2,"",A2283))</f>
      </c>
      <c r="B2284">
        <f>IF(OR('R.M Billets Reports'!A2283="Date-",'R.M Billets Reports'!A2283="Date:-"),'R.M Billets Reports'!B2283,IF(ROW()=2,"",B2283))</f>
      </c>
      <c r="C2284">
        <f>IF('R.M Billets Reports'!A2283="V.No.",'R.M Billets Reports'!B2283,IF(ROW()=2,"",C2283))</f>
      </c>
      <c r="D2284">
        <f>IF('R.M Billets Reports'!A2283&lt;&gt;"",'R.M Billets Reports'!A2283,IF(ROW()=2,"",D2283))</f>
      </c>
      <c r="E2284">
        <f>IF('R.M Billets Reports'!B2283="","",TRIM('R.M Billets Reports'!B2283))</f>
      </c>
      <c r="F2284">
        <f>'R.M Billets Reports'!C2283</f>
      </c>
      <c r="G2284">
        <f>'R.M Billets Reports'!D2283</f>
      </c>
      <c r="H2284">
        <f>'R.M Billets Reports'!E2283</f>
      </c>
      <c r="I2284">
        <f>'R.M Billets Reports'!F2283</f>
      </c>
      <c r="J2284">
        <f>'R.M Billets Reports'!G2283</f>
      </c>
      <c r="K2284">
        <f>'R.M Billets Reports'!H2283</f>
      </c>
      <c r="L2284">
        <f>IF('R.M Billets Reports'!I2283="","",'R.M Billets Reports'!I2283)</f>
      </c>
      <c r="M2284">
        <f t="shared" si="70"/>
      </c>
      <c r="N2284">
        <f>IF('R.M Billets Reports'!J2283="","",'R.M Billets Reports'!J2283)</f>
      </c>
      <c r="O2284">
        <f t="shared" si="71"/>
      </c>
      <c r="P2284">
        <f>IF('R.M Billets Reports'!A2283="SIZE",'R.M Billets Reports'!B2283,P2283)</f>
      </c>
    </row>
    <row r="2285" spans="1:16" x14ac:dyDescent="0.25">
      <c r="A2285">
        <f>IF(OR('R.M Billets Reports'!A2284="Date-",'R.M Billets Reports'!A2284="Date:-"),IF(IF(IF(ISNUMBER(SEARCH("Party Name:-",'R.M Billets Reports'!D2284)),TRIM('R.M Billets Reports'!F2284),IF(ISNUMBER(SEARCH("Party Name-",'R.M Billets Reports'!D2284)),TRIM(MID('R.M Billets Reports'!D2284,SEARCH("-",'R.M Billets Reports'!D2284)+1,200)),""))&lt;&gt;"",IF(ISNUMBER(SEARCH("Party Name:-",'R.M Billets Reports'!D2284)),TRIM('R.M Billets Reports'!F2284),IF(ISNUMBER(SEARCH("Party Name-",'R.M Billets Reports'!D2284)),TRIM(MID('R.M Billets Reports'!D2284,SEARCH("-",'R.M Billets Reports'!D2284)+1,200)),"")),IF(ISNUMBER(SEARCH("Party Name:-",'R.M Billets Reports'!D2285)),TRIM('R.M Billets Reports'!F2285),IF(ISNUMBER(SEARCH("Party Name-",'R.M Billets Reports'!D2285)),TRIM(MID('R.M Billets Reports'!D2285,SEARCH("-",'R.M Billets Reports'!D2285)+1,200)),"")))="VRKP ISPAT PVT LTD","VRKP",IF(IF(IF(ISNUMBER(SEARCH("Party Name:-",'R.M Billets Reports'!D2284)),TRIM('R.M Billets Reports'!F2284),IF(ISNUMBER(SEARCH("Party Name-",'R.M Billets Reports'!D2284)),TRIM(MID('R.M Billets Reports'!D2284,SEARCH("-",'R.M Billets Reports'!D2284)+1,200)),""))&lt;&gt;"",IF(ISNUMBER(SEARCH("Party Name:-",'R.M Billets Reports'!D2284)),TRIM('R.M Billets Reports'!F2284),IF(ISNUMBER(SEARCH("Party Name-",'R.M Billets Reports'!D2284)),TRIM(MID('R.M Billets Reports'!D2284,SEARCH("-",'R.M Billets Reports'!D2284)+1,200)),"")),IF(ISNUMBER(SEARCH("Party Name:-",'R.M Billets Reports'!D2285)),TRIM('R.M Billets Reports'!F2285),IF(ISNUMBER(SEARCH("Party Name-",'R.M Billets Reports'!D2285)),TRIM(MID('R.M Billets Reports'!D2285,SEARCH("-",'R.M Billets Reports'!D2285)+1,200)),"")))="SHRI RADHE","SHREE RADHE",IF(IF(IF(ISNUMBER(SEARCH("Party Name:-",'R.M Billets Reports'!D2284)),TRIM('R.M Billets Reports'!F2284),IF(ISNUMBER(SEARCH("Party Name-",'R.M Billets Reports'!D2284)),TRIM(MID('R.M Billets Reports'!D2284,SEARCH("-",'R.M Billets Reports'!D2284)+1,200)),""))&lt;&gt;"",IF(ISNUMBER(SEARCH("Party Name:-",'R.M Billets Reports'!D2284)),TRIM('R.M Billets Reports'!F2284),IF(ISNUMBER(SEARCH("Party Name-",'R.M Billets Reports'!D2284)),TRIM(MID('R.M Billets Reports'!D2284,SEARCH("-",'R.M Billets Reports'!D2284)+1,200)),"")),IF(ISNUMBER(SEARCH("Party Name:-",'R.M Billets Reports'!D2285)),TRIM('R.M Billets Reports'!F2285),IF(ISNUMBER(SEARCH("Party Name-",'R.M Billets Reports'!D2285)),TRIM(MID('R.M Billets Reports'!D2285,SEARCH("-",'R.M Billets Reports'!D2285)+1,200)),"")))="SHREE RADHE SHAKTI SPONGE AND POWER PVT. LTD.","SHREE RADHE",IF(IF(ISNUMBER(SEARCH("Party Name:-",'R.M Billets Reports'!D2284)),TRIM('R.M Billets Reports'!F2284),IF(ISNUMBER(SEARCH("Party Name-",'R.M Billets Reports'!D2284)),TRIM(MID('R.M Billets Reports'!D2284,SEARCH("-",'R.M Billets Reports'!D2284)+1,200)),""))&lt;&gt;"",IF(ISNUMBER(SEARCH("Party Name:-",'R.M Billets Reports'!D2284)),TRIM('R.M Billets Reports'!F2284),IF(ISNUMBER(SEARCH("Party Name-",'R.M Billets Reports'!D2284)),TRIM(MID('R.M Billets Reports'!D2284,SEARCH("-",'R.M Billets Reports'!D2284)+1,200)),"")),IF(ISNUMBER(SEARCH("Party Name:-",'R.M Billets Reports'!D2285)),TRIM('R.M Billets Reports'!F2285),IF(ISNUMBER(SEARCH("Party Name-",'R.M Billets Reports'!D2285)),TRIM(MID('R.M Billets Reports'!D2285,SEARCH("-",'R.M Billets Reports'!D2285)+1,200)),"")))))),IF(ROW()=2,"",A2284))</f>
      </c>
      <c r="B2285">
        <f>IF(OR('R.M Billets Reports'!A2284="Date-",'R.M Billets Reports'!A2284="Date:-"),'R.M Billets Reports'!B2284,IF(ROW()=2,"",B2284))</f>
      </c>
      <c r="C2285">
        <f>IF('R.M Billets Reports'!A2284="V.No.",'R.M Billets Reports'!B2284,IF(ROW()=2,"",C2284))</f>
      </c>
      <c r="D2285">
        <f>IF('R.M Billets Reports'!A2284&lt;&gt;"",'R.M Billets Reports'!A2284,IF(ROW()=2,"",D2284))</f>
      </c>
      <c r="E2285">
        <f>IF('R.M Billets Reports'!B2284="","",TRIM('R.M Billets Reports'!B2284))</f>
      </c>
      <c r="F2285">
        <f>'R.M Billets Reports'!C2284</f>
      </c>
      <c r="G2285">
        <f>'R.M Billets Reports'!D2284</f>
      </c>
      <c r="H2285">
        <f>'R.M Billets Reports'!E2284</f>
      </c>
      <c r="I2285">
        <f>'R.M Billets Reports'!F2284</f>
      </c>
      <c r="J2285">
        <f>'R.M Billets Reports'!G2284</f>
      </c>
      <c r="K2285">
        <f>'R.M Billets Reports'!H2284</f>
      </c>
      <c r="L2285">
        <f>IF('R.M Billets Reports'!I2284="","",'R.M Billets Reports'!I2284)</f>
      </c>
      <c r="M2285">
        <f t="shared" si="70"/>
      </c>
      <c r="N2285">
        <f>IF('R.M Billets Reports'!J2284="","",'R.M Billets Reports'!J2284)</f>
      </c>
      <c r="O2285">
        <f t="shared" si="71"/>
      </c>
      <c r="P2285">
        <f>IF('R.M Billets Reports'!A2284="SIZE",'R.M Billets Reports'!B2284,P2284)</f>
      </c>
    </row>
    <row r="2286" spans="1:16" x14ac:dyDescent="0.25">
      <c r="A2286">
        <f>IF(OR('R.M Billets Reports'!A2285="Date-",'R.M Billets Reports'!A2285="Date:-"),IF(IF(IF(ISNUMBER(SEARCH("Party Name:-",'R.M Billets Reports'!D2285)),TRIM('R.M Billets Reports'!F2285),IF(ISNUMBER(SEARCH("Party Name-",'R.M Billets Reports'!D2285)),TRIM(MID('R.M Billets Reports'!D2285,SEARCH("-",'R.M Billets Reports'!D2285)+1,200)),""))&lt;&gt;"",IF(ISNUMBER(SEARCH("Party Name:-",'R.M Billets Reports'!D2285)),TRIM('R.M Billets Reports'!F2285),IF(ISNUMBER(SEARCH("Party Name-",'R.M Billets Reports'!D2285)),TRIM(MID('R.M Billets Reports'!D2285,SEARCH("-",'R.M Billets Reports'!D2285)+1,200)),"")),IF(ISNUMBER(SEARCH("Party Name:-",'R.M Billets Reports'!D2286)),TRIM('R.M Billets Reports'!F2286),IF(ISNUMBER(SEARCH("Party Name-",'R.M Billets Reports'!D2286)),TRIM(MID('R.M Billets Reports'!D2286,SEARCH("-",'R.M Billets Reports'!D2286)+1,200)),"")))="VRKP ISPAT PVT LTD","VRKP",IF(IF(IF(ISNUMBER(SEARCH("Party Name:-",'R.M Billets Reports'!D2285)),TRIM('R.M Billets Reports'!F2285),IF(ISNUMBER(SEARCH("Party Name-",'R.M Billets Reports'!D2285)),TRIM(MID('R.M Billets Reports'!D2285,SEARCH("-",'R.M Billets Reports'!D2285)+1,200)),""))&lt;&gt;"",IF(ISNUMBER(SEARCH("Party Name:-",'R.M Billets Reports'!D2285)),TRIM('R.M Billets Reports'!F2285),IF(ISNUMBER(SEARCH("Party Name-",'R.M Billets Reports'!D2285)),TRIM(MID('R.M Billets Reports'!D2285,SEARCH("-",'R.M Billets Reports'!D2285)+1,200)),"")),IF(ISNUMBER(SEARCH("Party Name:-",'R.M Billets Reports'!D2286)),TRIM('R.M Billets Reports'!F2286),IF(ISNUMBER(SEARCH("Party Name-",'R.M Billets Reports'!D2286)),TRIM(MID('R.M Billets Reports'!D2286,SEARCH("-",'R.M Billets Reports'!D2286)+1,200)),"")))="SHRI RADHE","SHREE RADHE",IF(IF(IF(ISNUMBER(SEARCH("Party Name:-",'R.M Billets Reports'!D2285)),TRIM('R.M Billets Reports'!F2285),IF(ISNUMBER(SEARCH("Party Name-",'R.M Billets Reports'!D2285)),TRIM(MID('R.M Billets Reports'!D2285,SEARCH("-",'R.M Billets Reports'!D2285)+1,200)),""))&lt;&gt;"",IF(ISNUMBER(SEARCH("Party Name:-",'R.M Billets Reports'!D2285)),TRIM('R.M Billets Reports'!F2285),IF(ISNUMBER(SEARCH("Party Name-",'R.M Billets Reports'!D2285)),TRIM(MID('R.M Billets Reports'!D2285,SEARCH("-",'R.M Billets Reports'!D2285)+1,200)),"")),IF(ISNUMBER(SEARCH("Party Name:-",'R.M Billets Reports'!D2286)),TRIM('R.M Billets Reports'!F2286),IF(ISNUMBER(SEARCH("Party Name-",'R.M Billets Reports'!D2286)),TRIM(MID('R.M Billets Reports'!D2286,SEARCH("-",'R.M Billets Reports'!D2286)+1,200)),"")))="SHREE RADHE SHAKTI SPONGE AND POWER PVT. LTD.","SHREE RADHE",IF(IF(ISNUMBER(SEARCH("Party Name:-",'R.M Billets Reports'!D2285)),TRIM('R.M Billets Reports'!F2285),IF(ISNUMBER(SEARCH("Party Name-",'R.M Billets Reports'!D2285)),TRIM(MID('R.M Billets Reports'!D2285,SEARCH("-",'R.M Billets Reports'!D2285)+1,200)),""))&lt;&gt;"",IF(ISNUMBER(SEARCH("Party Name:-",'R.M Billets Reports'!D2285)),TRIM('R.M Billets Reports'!F2285),IF(ISNUMBER(SEARCH("Party Name-",'R.M Billets Reports'!D2285)),TRIM(MID('R.M Billets Reports'!D2285,SEARCH("-",'R.M Billets Reports'!D2285)+1,200)),"")),IF(ISNUMBER(SEARCH("Party Name:-",'R.M Billets Reports'!D2286)),TRIM('R.M Billets Reports'!F2286),IF(ISNUMBER(SEARCH("Party Name-",'R.M Billets Reports'!D2286)),TRIM(MID('R.M Billets Reports'!D2286,SEARCH("-",'R.M Billets Reports'!D2286)+1,200)),"")))))),IF(ROW()=2,"",A2285))</f>
      </c>
      <c r="B2286">
        <f>IF(OR('R.M Billets Reports'!A2285="Date-",'R.M Billets Reports'!A2285="Date:-"),'R.M Billets Reports'!B2285,IF(ROW()=2,"",B2285))</f>
      </c>
      <c r="C2286">
        <f>IF('R.M Billets Reports'!A2285="V.No.",'R.M Billets Reports'!B2285,IF(ROW()=2,"",C2285))</f>
      </c>
      <c r="D2286">
        <f>IF('R.M Billets Reports'!A2285&lt;&gt;"",'R.M Billets Reports'!A2285,IF(ROW()=2,"",D2285))</f>
      </c>
      <c r="E2286">
        <f>IF('R.M Billets Reports'!B2285="","",TRIM('R.M Billets Reports'!B2285))</f>
      </c>
      <c r="F2286">
        <f>'R.M Billets Reports'!C2285</f>
      </c>
      <c r="G2286">
        <f>'R.M Billets Reports'!D2285</f>
      </c>
      <c r="H2286">
        <f>'R.M Billets Reports'!E2285</f>
      </c>
      <c r="I2286">
        <f>'R.M Billets Reports'!F2285</f>
      </c>
      <c r="J2286">
        <f>'R.M Billets Reports'!G2285</f>
      </c>
      <c r="K2286">
        <f>'R.M Billets Reports'!H2285</f>
      </c>
      <c r="L2286">
        <f>IF('R.M Billets Reports'!I2285="","",'R.M Billets Reports'!I2285)</f>
      </c>
      <c r="M2286">
        <f t="shared" si="70"/>
      </c>
      <c r="N2286">
        <f>IF('R.M Billets Reports'!J2285="","",'R.M Billets Reports'!J2285)</f>
      </c>
      <c r="O2286">
        <f t="shared" si="71"/>
      </c>
      <c r="P2286">
        <f>IF('R.M Billets Reports'!A2285="SIZE",'R.M Billets Reports'!B2285,P2285)</f>
      </c>
    </row>
    <row r="2287" spans="1:16" x14ac:dyDescent="0.25">
      <c r="A2287">
        <f>IF(OR('R.M Billets Reports'!A2286="Date-",'R.M Billets Reports'!A2286="Date:-"),IF(IF(IF(ISNUMBER(SEARCH("Party Name:-",'R.M Billets Reports'!D2286)),TRIM('R.M Billets Reports'!F2286),IF(ISNUMBER(SEARCH("Party Name-",'R.M Billets Reports'!D2286)),TRIM(MID('R.M Billets Reports'!D2286,SEARCH("-",'R.M Billets Reports'!D2286)+1,200)),""))&lt;&gt;"",IF(ISNUMBER(SEARCH("Party Name:-",'R.M Billets Reports'!D2286)),TRIM('R.M Billets Reports'!F2286),IF(ISNUMBER(SEARCH("Party Name-",'R.M Billets Reports'!D2286)),TRIM(MID('R.M Billets Reports'!D2286,SEARCH("-",'R.M Billets Reports'!D2286)+1,200)),"")),IF(ISNUMBER(SEARCH("Party Name:-",'R.M Billets Reports'!D2287)),TRIM('R.M Billets Reports'!F2287),IF(ISNUMBER(SEARCH("Party Name-",'R.M Billets Reports'!D2287)),TRIM(MID('R.M Billets Reports'!D2287,SEARCH("-",'R.M Billets Reports'!D2287)+1,200)),"")))="VRKP ISPAT PVT LTD","VRKP",IF(IF(IF(ISNUMBER(SEARCH("Party Name:-",'R.M Billets Reports'!D2286)),TRIM('R.M Billets Reports'!F2286),IF(ISNUMBER(SEARCH("Party Name-",'R.M Billets Reports'!D2286)),TRIM(MID('R.M Billets Reports'!D2286,SEARCH("-",'R.M Billets Reports'!D2286)+1,200)),""))&lt;&gt;"",IF(ISNUMBER(SEARCH("Party Name:-",'R.M Billets Reports'!D2286)),TRIM('R.M Billets Reports'!F2286),IF(ISNUMBER(SEARCH("Party Name-",'R.M Billets Reports'!D2286)),TRIM(MID('R.M Billets Reports'!D2286,SEARCH("-",'R.M Billets Reports'!D2286)+1,200)),"")),IF(ISNUMBER(SEARCH("Party Name:-",'R.M Billets Reports'!D2287)),TRIM('R.M Billets Reports'!F2287),IF(ISNUMBER(SEARCH("Party Name-",'R.M Billets Reports'!D2287)),TRIM(MID('R.M Billets Reports'!D2287,SEARCH("-",'R.M Billets Reports'!D2287)+1,200)),"")))="SHRI RADHE","SHREE RADHE",IF(IF(IF(ISNUMBER(SEARCH("Party Name:-",'R.M Billets Reports'!D2286)),TRIM('R.M Billets Reports'!F2286),IF(ISNUMBER(SEARCH("Party Name-",'R.M Billets Reports'!D2286)),TRIM(MID('R.M Billets Reports'!D2286,SEARCH("-",'R.M Billets Reports'!D2286)+1,200)),""))&lt;&gt;"",IF(ISNUMBER(SEARCH("Party Name:-",'R.M Billets Reports'!D2286)),TRIM('R.M Billets Reports'!F2286),IF(ISNUMBER(SEARCH("Party Name-",'R.M Billets Reports'!D2286)),TRIM(MID('R.M Billets Reports'!D2286,SEARCH("-",'R.M Billets Reports'!D2286)+1,200)),"")),IF(ISNUMBER(SEARCH("Party Name:-",'R.M Billets Reports'!D2287)),TRIM('R.M Billets Reports'!F2287),IF(ISNUMBER(SEARCH("Party Name-",'R.M Billets Reports'!D2287)),TRIM(MID('R.M Billets Reports'!D2287,SEARCH("-",'R.M Billets Reports'!D2287)+1,200)),"")))="SHREE RADHE SHAKTI SPONGE AND POWER PVT. LTD.","SHREE RADHE",IF(IF(ISNUMBER(SEARCH("Party Name:-",'R.M Billets Reports'!D2286)),TRIM('R.M Billets Reports'!F2286),IF(ISNUMBER(SEARCH("Party Name-",'R.M Billets Reports'!D2286)),TRIM(MID('R.M Billets Reports'!D2286,SEARCH("-",'R.M Billets Reports'!D2286)+1,200)),""))&lt;&gt;"",IF(ISNUMBER(SEARCH("Party Name:-",'R.M Billets Reports'!D2286)),TRIM('R.M Billets Reports'!F2286),IF(ISNUMBER(SEARCH("Party Name-",'R.M Billets Reports'!D2286)),TRIM(MID('R.M Billets Reports'!D2286,SEARCH("-",'R.M Billets Reports'!D2286)+1,200)),"")),IF(ISNUMBER(SEARCH("Party Name:-",'R.M Billets Reports'!D2287)),TRIM('R.M Billets Reports'!F2287),IF(ISNUMBER(SEARCH("Party Name-",'R.M Billets Reports'!D2287)),TRIM(MID('R.M Billets Reports'!D2287,SEARCH("-",'R.M Billets Reports'!D2287)+1,200)),"")))))),IF(ROW()=2,"",A2286))</f>
      </c>
      <c r="B2287">
        <f>IF(OR('R.M Billets Reports'!A2286="Date-",'R.M Billets Reports'!A2286="Date:-"),'R.M Billets Reports'!B2286,IF(ROW()=2,"",B2286))</f>
      </c>
      <c r="C2287">
        <f>IF('R.M Billets Reports'!A2286="V.No.",'R.M Billets Reports'!B2286,IF(ROW()=2,"",C2286))</f>
      </c>
      <c r="D2287">
        <f>IF('R.M Billets Reports'!A2286&lt;&gt;"",'R.M Billets Reports'!A2286,IF(ROW()=2,"",D2286))</f>
      </c>
      <c r="E2287">
        <f>IF('R.M Billets Reports'!B2286="","",TRIM('R.M Billets Reports'!B2286))</f>
      </c>
      <c r="F2287">
        <f>'R.M Billets Reports'!C2286</f>
      </c>
      <c r="G2287">
        <f>'R.M Billets Reports'!D2286</f>
      </c>
      <c r="H2287">
        <f>'R.M Billets Reports'!E2286</f>
      </c>
      <c r="I2287">
        <f>'R.M Billets Reports'!F2286</f>
      </c>
      <c r="J2287">
        <f>'R.M Billets Reports'!G2286</f>
      </c>
      <c r="K2287">
        <f>'R.M Billets Reports'!H2286</f>
      </c>
      <c r="L2287">
        <f>IF('R.M Billets Reports'!I2286="","",'R.M Billets Reports'!I2286)</f>
      </c>
      <c r="M2287">
        <f t="shared" si="70"/>
      </c>
      <c r="N2287">
        <f>IF('R.M Billets Reports'!J2286="","",'R.M Billets Reports'!J2286)</f>
      </c>
      <c r="O2287">
        <f t="shared" si="71"/>
      </c>
      <c r="P2287">
        <f>IF('R.M Billets Reports'!A2286="SIZE",'R.M Billets Reports'!B2286,P2286)</f>
      </c>
    </row>
    <row r="2288" spans="1:16" x14ac:dyDescent="0.25">
      <c r="A2288">
        <f>IF(OR('R.M Billets Reports'!A2287="Date-",'R.M Billets Reports'!A2287="Date:-"),IF(IF(IF(ISNUMBER(SEARCH("Party Name:-",'R.M Billets Reports'!D2287)),TRIM('R.M Billets Reports'!F2287),IF(ISNUMBER(SEARCH("Party Name-",'R.M Billets Reports'!D2287)),TRIM(MID('R.M Billets Reports'!D2287,SEARCH("-",'R.M Billets Reports'!D2287)+1,200)),""))&lt;&gt;"",IF(ISNUMBER(SEARCH("Party Name:-",'R.M Billets Reports'!D2287)),TRIM('R.M Billets Reports'!F2287),IF(ISNUMBER(SEARCH("Party Name-",'R.M Billets Reports'!D2287)),TRIM(MID('R.M Billets Reports'!D2287,SEARCH("-",'R.M Billets Reports'!D2287)+1,200)),"")),IF(ISNUMBER(SEARCH("Party Name:-",'R.M Billets Reports'!D2288)),TRIM('R.M Billets Reports'!F2288),IF(ISNUMBER(SEARCH("Party Name-",'R.M Billets Reports'!D2288)),TRIM(MID('R.M Billets Reports'!D2288,SEARCH("-",'R.M Billets Reports'!D2288)+1,200)),"")))="VRKP ISPAT PVT LTD","VRKP",IF(IF(IF(ISNUMBER(SEARCH("Party Name:-",'R.M Billets Reports'!D2287)),TRIM('R.M Billets Reports'!F2287),IF(ISNUMBER(SEARCH("Party Name-",'R.M Billets Reports'!D2287)),TRIM(MID('R.M Billets Reports'!D2287,SEARCH("-",'R.M Billets Reports'!D2287)+1,200)),""))&lt;&gt;"",IF(ISNUMBER(SEARCH("Party Name:-",'R.M Billets Reports'!D2287)),TRIM('R.M Billets Reports'!F2287),IF(ISNUMBER(SEARCH("Party Name-",'R.M Billets Reports'!D2287)),TRIM(MID('R.M Billets Reports'!D2287,SEARCH("-",'R.M Billets Reports'!D2287)+1,200)),"")),IF(ISNUMBER(SEARCH("Party Name:-",'R.M Billets Reports'!D2288)),TRIM('R.M Billets Reports'!F2288),IF(ISNUMBER(SEARCH("Party Name-",'R.M Billets Reports'!D2288)),TRIM(MID('R.M Billets Reports'!D2288,SEARCH("-",'R.M Billets Reports'!D2288)+1,200)),"")))="SHRI RADHE","SHREE RADHE",IF(IF(IF(ISNUMBER(SEARCH("Party Name:-",'R.M Billets Reports'!D2287)),TRIM('R.M Billets Reports'!F2287),IF(ISNUMBER(SEARCH("Party Name-",'R.M Billets Reports'!D2287)),TRIM(MID('R.M Billets Reports'!D2287,SEARCH("-",'R.M Billets Reports'!D2287)+1,200)),""))&lt;&gt;"",IF(ISNUMBER(SEARCH("Party Name:-",'R.M Billets Reports'!D2287)),TRIM('R.M Billets Reports'!F2287),IF(ISNUMBER(SEARCH("Party Name-",'R.M Billets Reports'!D2287)),TRIM(MID('R.M Billets Reports'!D2287,SEARCH("-",'R.M Billets Reports'!D2287)+1,200)),"")),IF(ISNUMBER(SEARCH("Party Name:-",'R.M Billets Reports'!D2288)),TRIM('R.M Billets Reports'!F2288),IF(ISNUMBER(SEARCH("Party Name-",'R.M Billets Reports'!D2288)),TRIM(MID('R.M Billets Reports'!D2288,SEARCH("-",'R.M Billets Reports'!D2288)+1,200)),"")))="SHREE RADHE SHAKTI SPONGE AND POWER PVT. LTD.","SHREE RADHE",IF(IF(ISNUMBER(SEARCH("Party Name:-",'R.M Billets Reports'!D2287)),TRIM('R.M Billets Reports'!F2287),IF(ISNUMBER(SEARCH("Party Name-",'R.M Billets Reports'!D2287)),TRIM(MID('R.M Billets Reports'!D2287,SEARCH("-",'R.M Billets Reports'!D2287)+1,200)),""))&lt;&gt;"",IF(ISNUMBER(SEARCH("Party Name:-",'R.M Billets Reports'!D2287)),TRIM('R.M Billets Reports'!F2287),IF(ISNUMBER(SEARCH("Party Name-",'R.M Billets Reports'!D2287)),TRIM(MID('R.M Billets Reports'!D2287,SEARCH("-",'R.M Billets Reports'!D2287)+1,200)),"")),IF(ISNUMBER(SEARCH("Party Name:-",'R.M Billets Reports'!D2288)),TRIM('R.M Billets Reports'!F2288),IF(ISNUMBER(SEARCH("Party Name-",'R.M Billets Reports'!D2288)),TRIM(MID('R.M Billets Reports'!D2288,SEARCH("-",'R.M Billets Reports'!D2288)+1,200)),"")))))),IF(ROW()=2,"",A2287))</f>
      </c>
      <c r="B2288">
        <f>IF(OR('R.M Billets Reports'!A2287="Date-",'R.M Billets Reports'!A2287="Date:-"),'R.M Billets Reports'!B2287,IF(ROW()=2,"",B2287))</f>
      </c>
      <c r="C2288">
        <f>IF('R.M Billets Reports'!A2287="V.No.",'R.M Billets Reports'!B2287,IF(ROW()=2,"",C2287))</f>
      </c>
      <c r="D2288">
        <f>IF('R.M Billets Reports'!A2287&lt;&gt;"",'R.M Billets Reports'!A2287,IF(ROW()=2,"",D2287))</f>
      </c>
      <c r="E2288">
        <f>IF('R.M Billets Reports'!B2287="","",TRIM('R.M Billets Reports'!B2287))</f>
      </c>
      <c r="F2288">
        <f>'R.M Billets Reports'!C2287</f>
      </c>
      <c r="G2288">
        <f>'R.M Billets Reports'!D2287</f>
      </c>
      <c r="H2288">
        <f>'R.M Billets Reports'!E2287</f>
      </c>
      <c r="I2288">
        <f>'R.M Billets Reports'!F2287</f>
      </c>
      <c r="J2288">
        <f>'R.M Billets Reports'!G2287</f>
      </c>
      <c r="K2288">
        <f>'R.M Billets Reports'!H2287</f>
      </c>
      <c r="L2288">
        <f>IF('R.M Billets Reports'!I2287="","",'R.M Billets Reports'!I2287)</f>
      </c>
      <c r="M2288">
        <f t="shared" si="70"/>
      </c>
      <c r="N2288">
        <f>IF('R.M Billets Reports'!J2287="","",'R.M Billets Reports'!J2287)</f>
      </c>
      <c r="O2288">
        <f t="shared" si="71"/>
      </c>
      <c r="P2288">
        <f>IF('R.M Billets Reports'!A2287="SIZE",'R.M Billets Reports'!B2287,P2287)</f>
      </c>
    </row>
    <row r="2289" spans="1:16" x14ac:dyDescent="0.25">
      <c r="A2289">
        <f>IF(OR('R.M Billets Reports'!A2288="Date-",'R.M Billets Reports'!A2288="Date:-"),IF(IF(IF(ISNUMBER(SEARCH("Party Name:-",'R.M Billets Reports'!D2288)),TRIM('R.M Billets Reports'!F2288),IF(ISNUMBER(SEARCH("Party Name-",'R.M Billets Reports'!D2288)),TRIM(MID('R.M Billets Reports'!D2288,SEARCH("-",'R.M Billets Reports'!D2288)+1,200)),""))&lt;&gt;"",IF(ISNUMBER(SEARCH("Party Name:-",'R.M Billets Reports'!D2288)),TRIM('R.M Billets Reports'!F2288),IF(ISNUMBER(SEARCH("Party Name-",'R.M Billets Reports'!D2288)),TRIM(MID('R.M Billets Reports'!D2288,SEARCH("-",'R.M Billets Reports'!D2288)+1,200)),"")),IF(ISNUMBER(SEARCH("Party Name:-",'R.M Billets Reports'!D2289)),TRIM('R.M Billets Reports'!F2289),IF(ISNUMBER(SEARCH("Party Name-",'R.M Billets Reports'!D2289)),TRIM(MID('R.M Billets Reports'!D2289,SEARCH("-",'R.M Billets Reports'!D2289)+1,200)),"")))="VRKP ISPAT PVT LTD","VRKP",IF(IF(IF(ISNUMBER(SEARCH("Party Name:-",'R.M Billets Reports'!D2288)),TRIM('R.M Billets Reports'!F2288),IF(ISNUMBER(SEARCH("Party Name-",'R.M Billets Reports'!D2288)),TRIM(MID('R.M Billets Reports'!D2288,SEARCH("-",'R.M Billets Reports'!D2288)+1,200)),""))&lt;&gt;"",IF(ISNUMBER(SEARCH("Party Name:-",'R.M Billets Reports'!D2288)),TRIM('R.M Billets Reports'!F2288),IF(ISNUMBER(SEARCH("Party Name-",'R.M Billets Reports'!D2288)),TRIM(MID('R.M Billets Reports'!D2288,SEARCH("-",'R.M Billets Reports'!D2288)+1,200)),"")),IF(ISNUMBER(SEARCH("Party Name:-",'R.M Billets Reports'!D2289)),TRIM('R.M Billets Reports'!F2289),IF(ISNUMBER(SEARCH("Party Name-",'R.M Billets Reports'!D2289)),TRIM(MID('R.M Billets Reports'!D2289,SEARCH("-",'R.M Billets Reports'!D2289)+1,200)),"")))="SHRI RADHE","SHREE RADHE",IF(IF(IF(ISNUMBER(SEARCH("Party Name:-",'R.M Billets Reports'!D2288)),TRIM('R.M Billets Reports'!F2288),IF(ISNUMBER(SEARCH("Party Name-",'R.M Billets Reports'!D2288)),TRIM(MID('R.M Billets Reports'!D2288,SEARCH("-",'R.M Billets Reports'!D2288)+1,200)),""))&lt;&gt;"",IF(ISNUMBER(SEARCH("Party Name:-",'R.M Billets Reports'!D2288)),TRIM('R.M Billets Reports'!F2288),IF(ISNUMBER(SEARCH("Party Name-",'R.M Billets Reports'!D2288)),TRIM(MID('R.M Billets Reports'!D2288,SEARCH("-",'R.M Billets Reports'!D2288)+1,200)),"")),IF(ISNUMBER(SEARCH("Party Name:-",'R.M Billets Reports'!D2289)),TRIM('R.M Billets Reports'!F2289),IF(ISNUMBER(SEARCH("Party Name-",'R.M Billets Reports'!D2289)),TRIM(MID('R.M Billets Reports'!D2289,SEARCH("-",'R.M Billets Reports'!D2289)+1,200)),"")))="SHREE RADHE SHAKTI SPONGE AND POWER PVT. LTD.","SHREE RADHE",IF(IF(ISNUMBER(SEARCH("Party Name:-",'R.M Billets Reports'!D2288)),TRIM('R.M Billets Reports'!F2288),IF(ISNUMBER(SEARCH("Party Name-",'R.M Billets Reports'!D2288)),TRIM(MID('R.M Billets Reports'!D2288,SEARCH("-",'R.M Billets Reports'!D2288)+1,200)),""))&lt;&gt;"",IF(ISNUMBER(SEARCH("Party Name:-",'R.M Billets Reports'!D2288)),TRIM('R.M Billets Reports'!F2288),IF(ISNUMBER(SEARCH("Party Name-",'R.M Billets Reports'!D2288)),TRIM(MID('R.M Billets Reports'!D2288,SEARCH("-",'R.M Billets Reports'!D2288)+1,200)),"")),IF(ISNUMBER(SEARCH("Party Name:-",'R.M Billets Reports'!D2289)),TRIM('R.M Billets Reports'!F2289),IF(ISNUMBER(SEARCH("Party Name-",'R.M Billets Reports'!D2289)),TRIM(MID('R.M Billets Reports'!D2289,SEARCH("-",'R.M Billets Reports'!D2289)+1,200)),"")))))),IF(ROW()=2,"",A2288))</f>
      </c>
      <c r="B2289">
        <f>IF(OR('R.M Billets Reports'!A2288="Date-",'R.M Billets Reports'!A2288="Date:-"),'R.M Billets Reports'!B2288,IF(ROW()=2,"",B2288))</f>
      </c>
      <c r="C2289">
        <f>IF('R.M Billets Reports'!A2288="V.No.",'R.M Billets Reports'!B2288,IF(ROW()=2,"",C2288))</f>
      </c>
      <c r="D2289">
        <f>IF('R.M Billets Reports'!A2288&lt;&gt;"",'R.M Billets Reports'!A2288,IF(ROW()=2,"",D2288))</f>
      </c>
      <c r="E2289">
        <f>IF('R.M Billets Reports'!B2288="","",TRIM('R.M Billets Reports'!B2288))</f>
      </c>
      <c r="F2289">
        <f>'R.M Billets Reports'!C2288</f>
      </c>
      <c r="G2289">
        <f>'R.M Billets Reports'!D2288</f>
      </c>
      <c r="H2289">
        <f>'R.M Billets Reports'!E2288</f>
      </c>
      <c r="I2289">
        <f>'R.M Billets Reports'!F2288</f>
      </c>
      <c r="J2289">
        <f>'R.M Billets Reports'!G2288</f>
      </c>
      <c r="K2289">
        <f>'R.M Billets Reports'!H2288</f>
      </c>
      <c r="L2289">
        <f>IF('R.M Billets Reports'!I2288="","",'R.M Billets Reports'!I2288)</f>
      </c>
      <c r="M2289">
        <f t="shared" si="70"/>
      </c>
      <c r="N2289">
        <f>IF('R.M Billets Reports'!J2288="","",'R.M Billets Reports'!J2288)</f>
      </c>
      <c r="O2289">
        <f t="shared" si="71"/>
      </c>
      <c r="P2289">
        <f>IF('R.M Billets Reports'!A2288="SIZE",'R.M Billets Reports'!B2288,P2288)</f>
      </c>
    </row>
    <row r="2290" spans="1:16" x14ac:dyDescent="0.25">
      <c r="A2290">
        <f>IF(OR('R.M Billets Reports'!A2289="Date-",'R.M Billets Reports'!A2289="Date:-"),IF(IF(IF(ISNUMBER(SEARCH("Party Name:-",'R.M Billets Reports'!D2289)),TRIM('R.M Billets Reports'!F2289),IF(ISNUMBER(SEARCH("Party Name-",'R.M Billets Reports'!D2289)),TRIM(MID('R.M Billets Reports'!D2289,SEARCH("-",'R.M Billets Reports'!D2289)+1,200)),""))&lt;&gt;"",IF(ISNUMBER(SEARCH("Party Name:-",'R.M Billets Reports'!D2289)),TRIM('R.M Billets Reports'!F2289),IF(ISNUMBER(SEARCH("Party Name-",'R.M Billets Reports'!D2289)),TRIM(MID('R.M Billets Reports'!D2289,SEARCH("-",'R.M Billets Reports'!D2289)+1,200)),"")),IF(ISNUMBER(SEARCH("Party Name:-",'R.M Billets Reports'!D2290)),TRIM('R.M Billets Reports'!F2290),IF(ISNUMBER(SEARCH("Party Name-",'R.M Billets Reports'!D2290)),TRIM(MID('R.M Billets Reports'!D2290,SEARCH("-",'R.M Billets Reports'!D2290)+1,200)),"")))="VRKP ISPAT PVT LTD","VRKP",IF(IF(IF(ISNUMBER(SEARCH("Party Name:-",'R.M Billets Reports'!D2289)),TRIM('R.M Billets Reports'!F2289),IF(ISNUMBER(SEARCH("Party Name-",'R.M Billets Reports'!D2289)),TRIM(MID('R.M Billets Reports'!D2289,SEARCH("-",'R.M Billets Reports'!D2289)+1,200)),""))&lt;&gt;"",IF(ISNUMBER(SEARCH("Party Name:-",'R.M Billets Reports'!D2289)),TRIM('R.M Billets Reports'!F2289),IF(ISNUMBER(SEARCH("Party Name-",'R.M Billets Reports'!D2289)),TRIM(MID('R.M Billets Reports'!D2289,SEARCH("-",'R.M Billets Reports'!D2289)+1,200)),"")),IF(ISNUMBER(SEARCH("Party Name:-",'R.M Billets Reports'!D2290)),TRIM('R.M Billets Reports'!F2290),IF(ISNUMBER(SEARCH("Party Name-",'R.M Billets Reports'!D2290)),TRIM(MID('R.M Billets Reports'!D2290,SEARCH("-",'R.M Billets Reports'!D2290)+1,200)),"")))="SHRI RADHE","SHREE RADHE",IF(IF(IF(ISNUMBER(SEARCH("Party Name:-",'R.M Billets Reports'!D2289)),TRIM('R.M Billets Reports'!F2289),IF(ISNUMBER(SEARCH("Party Name-",'R.M Billets Reports'!D2289)),TRIM(MID('R.M Billets Reports'!D2289,SEARCH("-",'R.M Billets Reports'!D2289)+1,200)),""))&lt;&gt;"",IF(ISNUMBER(SEARCH("Party Name:-",'R.M Billets Reports'!D2289)),TRIM('R.M Billets Reports'!F2289),IF(ISNUMBER(SEARCH("Party Name-",'R.M Billets Reports'!D2289)),TRIM(MID('R.M Billets Reports'!D2289,SEARCH("-",'R.M Billets Reports'!D2289)+1,200)),"")),IF(ISNUMBER(SEARCH("Party Name:-",'R.M Billets Reports'!D2290)),TRIM('R.M Billets Reports'!F2290),IF(ISNUMBER(SEARCH("Party Name-",'R.M Billets Reports'!D2290)),TRIM(MID('R.M Billets Reports'!D2290,SEARCH("-",'R.M Billets Reports'!D2290)+1,200)),"")))="SHREE RADHE SHAKTI SPONGE AND POWER PVT. LTD.","SHREE RADHE",IF(IF(ISNUMBER(SEARCH("Party Name:-",'R.M Billets Reports'!D2289)),TRIM('R.M Billets Reports'!F2289),IF(ISNUMBER(SEARCH("Party Name-",'R.M Billets Reports'!D2289)),TRIM(MID('R.M Billets Reports'!D2289,SEARCH("-",'R.M Billets Reports'!D2289)+1,200)),""))&lt;&gt;"",IF(ISNUMBER(SEARCH("Party Name:-",'R.M Billets Reports'!D2289)),TRIM('R.M Billets Reports'!F2289),IF(ISNUMBER(SEARCH("Party Name-",'R.M Billets Reports'!D2289)),TRIM(MID('R.M Billets Reports'!D2289,SEARCH("-",'R.M Billets Reports'!D2289)+1,200)),"")),IF(ISNUMBER(SEARCH("Party Name:-",'R.M Billets Reports'!D2290)),TRIM('R.M Billets Reports'!F2290),IF(ISNUMBER(SEARCH("Party Name-",'R.M Billets Reports'!D2290)),TRIM(MID('R.M Billets Reports'!D2290,SEARCH("-",'R.M Billets Reports'!D2290)+1,200)),"")))))),IF(ROW()=2,"",A2289))</f>
      </c>
      <c r="B2290">
        <f>IF(OR('R.M Billets Reports'!A2289="Date-",'R.M Billets Reports'!A2289="Date:-"),'R.M Billets Reports'!B2289,IF(ROW()=2,"",B2289))</f>
      </c>
      <c r="C2290">
        <f>IF('R.M Billets Reports'!A2289="V.No.",'R.M Billets Reports'!B2289,IF(ROW()=2,"",C2289))</f>
      </c>
      <c r="D2290">
        <f>IF('R.M Billets Reports'!A2289&lt;&gt;"",'R.M Billets Reports'!A2289,IF(ROW()=2,"",D2289))</f>
      </c>
      <c r="E2290">
        <f>IF('R.M Billets Reports'!B2289="","",TRIM('R.M Billets Reports'!B2289))</f>
      </c>
      <c r="F2290">
        <f>'R.M Billets Reports'!C2289</f>
      </c>
      <c r="G2290">
        <f>'R.M Billets Reports'!D2289</f>
      </c>
      <c r="H2290">
        <f>'R.M Billets Reports'!E2289</f>
      </c>
      <c r="I2290">
        <f>'R.M Billets Reports'!F2289</f>
      </c>
      <c r="J2290">
        <f>'R.M Billets Reports'!G2289</f>
      </c>
      <c r="K2290">
        <f>'R.M Billets Reports'!H2289</f>
      </c>
      <c r="L2290">
        <f>IF('R.M Billets Reports'!I2289="","",'R.M Billets Reports'!I2289)</f>
      </c>
      <c r="M2290">
        <f t="shared" si="70"/>
      </c>
      <c r="N2290">
        <f>IF('R.M Billets Reports'!J2289="","",'R.M Billets Reports'!J2289)</f>
      </c>
      <c r="O2290">
        <f t="shared" si="71"/>
      </c>
      <c r="P2290">
        <f>IF('R.M Billets Reports'!A2289="SIZE",'R.M Billets Reports'!B2289,P2289)</f>
      </c>
    </row>
    <row r="2291" spans="1:16" x14ac:dyDescent="0.25">
      <c r="A2291">
        <f>IF(OR('R.M Billets Reports'!A2290="Date-",'R.M Billets Reports'!A2290="Date:-"),IF(IF(IF(ISNUMBER(SEARCH("Party Name:-",'R.M Billets Reports'!D2290)),TRIM('R.M Billets Reports'!F2290),IF(ISNUMBER(SEARCH("Party Name-",'R.M Billets Reports'!D2290)),TRIM(MID('R.M Billets Reports'!D2290,SEARCH("-",'R.M Billets Reports'!D2290)+1,200)),""))&lt;&gt;"",IF(ISNUMBER(SEARCH("Party Name:-",'R.M Billets Reports'!D2290)),TRIM('R.M Billets Reports'!F2290),IF(ISNUMBER(SEARCH("Party Name-",'R.M Billets Reports'!D2290)),TRIM(MID('R.M Billets Reports'!D2290,SEARCH("-",'R.M Billets Reports'!D2290)+1,200)),"")),IF(ISNUMBER(SEARCH("Party Name:-",'R.M Billets Reports'!D2291)),TRIM('R.M Billets Reports'!F2291),IF(ISNUMBER(SEARCH("Party Name-",'R.M Billets Reports'!D2291)),TRIM(MID('R.M Billets Reports'!D2291,SEARCH("-",'R.M Billets Reports'!D2291)+1,200)),"")))="VRKP ISPAT PVT LTD","VRKP",IF(IF(IF(ISNUMBER(SEARCH("Party Name:-",'R.M Billets Reports'!D2290)),TRIM('R.M Billets Reports'!F2290),IF(ISNUMBER(SEARCH("Party Name-",'R.M Billets Reports'!D2290)),TRIM(MID('R.M Billets Reports'!D2290,SEARCH("-",'R.M Billets Reports'!D2290)+1,200)),""))&lt;&gt;"",IF(ISNUMBER(SEARCH("Party Name:-",'R.M Billets Reports'!D2290)),TRIM('R.M Billets Reports'!F2290),IF(ISNUMBER(SEARCH("Party Name-",'R.M Billets Reports'!D2290)),TRIM(MID('R.M Billets Reports'!D2290,SEARCH("-",'R.M Billets Reports'!D2290)+1,200)),"")),IF(ISNUMBER(SEARCH("Party Name:-",'R.M Billets Reports'!D2291)),TRIM('R.M Billets Reports'!F2291),IF(ISNUMBER(SEARCH("Party Name-",'R.M Billets Reports'!D2291)),TRIM(MID('R.M Billets Reports'!D2291,SEARCH("-",'R.M Billets Reports'!D2291)+1,200)),"")))="SHRI RADHE","SHREE RADHE",IF(IF(IF(ISNUMBER(SEARCH("Party Name:-",'R.M Billets Reports'!D2290)),TRIM('R.M Billets Reports'!F2290),IF(ISNUMBER(SEARCH("Party Name-",'R.M Billets Reports'!D2290)),TRIM(MID('R.M Billets Reports'!D2290,SEARCH("-",'R.M Billets Reports'!D2290)+1,200)),""))&lt;&gt;"",IF(ISNUMBER(SEARCH("Party Name:-",'R.M Billets Reports'!D2290)),TRIM('R.M Billets Reports'!F2290),IF(ISNUMBER(SEARCH("Party Name-",'R.M Billets Reports'!D2290)),TRIM(MID('R.M Billets Reports'!D2290,SEARCH("-",'R.M Billets Reports'!D2290)+1,200)),"")),IF(ISNUMBER(SEARCH("Party Name:-",'R.M Billets Reports'!D2291)),TRIM('R.M Billets Reports'!F2291),IF(ISNUMBER(SEARCH("Party Name-",'R.M Billets Reports'!D2291)),TRIM(MID('R.M Billets Reports'!D2291,SEARCH("-",'R.M Billets Reports'!D2291)+1,200)),"")))="SHREE RADHE SHAKTI SPONGE AND POWER PVT. LTD.","SHREE RADHE",IF(IF(ISNUMBER(SEARCH("Party Name:-",'R.M Billets Reports'!D2290)),TRIM('R.M Billets Reports'!F2290),IF(ISNUMBER(SEARCH("Party Name-",'R.M Billets Reports'!D2290)),TRIM(MID('R.M Billets Reports'!D2290,SEARCH("-",'R.M Billets Reports'!D2290)+1,200)),""))&lt;&gt;"",IF(ISNUMBER(SEARCH("Party Name:-",'R.M Billets Reports'!D2290)),TRIM('R.M Billets Reports'!F2290),IF(ISNUMBER(SEARCH("Party Name-",'R.M Billets Reports'!D2290)),TRIM(MID('R.M Billets Reports'!D2290,SEARCH("-",'R.M Billets Reports'!D2290)+1,200)),"")),IF(ISNUMBER(SEARCH("Party Name:-",'R.M Billets Reports'!D2291)),TRIM('R.M Billets Reports'!F2291),IF(ISNUMBER(SEARCH("Party Name-",'R.M Billets Reports'!D2291)),TRIM(MID('R.M Billets Reports'!D2291,SEARCH("-",'R.M Billets Reports'!D2291)+1,200)),"")))))),IF(ROW()=2,"",A2290))</f>
      </c>
      <c r="B2291">
        <f>IF(OR('R.M Billets Reports'!A2290="Date-",'R.M Billets Reports'!A2290="Date:-"),'R.M Billets Reports'!B2290,IF(ROW()=2,"",B2290))</f>
      </c>
      <c r="C2291">
        <f>IF('R.M Billets Reports'!A2290="V.No.",'R.M Billets Reports'!B2290,IF(ROW()=2,"",C2290))</f>
      </c>
      <c r="D2291">
        <f>IF('R.M Billets Reports'!A2290&lt;&gt;"",'R.M Billets Reports'!A2290,IF(ROW()=2,"",D2290))</f>
      </c>
      <c r="E2291">
        <f>IF('R.M Billets Reports'!B2290="","",TRIM('R.M Billets Reports'!B2290))</f>
      </c>
      <c r="F2291">
        <f>'R.M Billets Reports'!C2290</f>
      </c>
      <c r="G2291">
        <f>'R.M Billets Reports'!D2290</f>
      </c>
      <c r="H2291">
        <f>'R.M Billets Reports'!E2290</f>
      </c>
      <c r="I2291">
        <f>'R.M Billets Reports'!F2290</f>
      </c>
      <c r="J2291">
        <f>'R.M Billets Reports'!G2290</f>
      </c>
      <c r="K2291">
        <f>'R.M Billets Reports'!H2290</f>
      </c>
      <c r="L2291">
        <f>IF('R.M Billets Reports'!I2290="","",'R.M Billets Reports'!I2290)</f>
      </c>
      <c r="M2291">
        <f t="shared" si="70"/>
      </c>
      <c r="N2291">
        <f>IF('R.M Billets Reports'!J2290="","",'R.M Billets Reports'!J2290)</f>
      </c>
      <c r="O2291">
        <f t="shared" si="71"/>
      </c>
      <c r="P2291">
        <f>IF('R.M Billets Reports'!A2290="SIZE",'R.M Billets Reports'!B2290,P2290)</f>
      </c>
    </row>
    <row r="2292" spans="1:16" x14ac:dyDescent="0.25">
      <c r="A2292">
        <f>IF(OR('R.M Billets Reports'!A2291="Date-",'R.M Billets Reports'!A2291="Date:-"),IF(IF(IF(ISNUMBER(SEARCH("Party Name:-",'R.M Billets Reports'!D2291)),TRIM('R.M Billets Reports'!F2291),IF(ISNUMBER(SEARCH("Party Name-",'R.M Billets Reports'!D2291)),TRIM(MID('R.M Billets Reports'!D2291,SEARCH("-",'R.M Billets Reports'!D2291)+1,200)),""))&lt;&gt;"",IF(ISNUMBER(SEARCH("Party Name:-",'R.M Billets Reports'!D2291)),TRIM('R.M Billets Reports'!F2291),IF(ISNUMBER(SEARCH("Party Name-",'R.M Billets Reports'!D2291)),TRIM(MID('R.M Billets Reports'!D2291,SEARCH("-",'R.M Billets Reports'!D2291)+1,200)),"")),IF(ISNUMBER(SEARCH("Party Name:-",'R.M Billets Reports'!D2292)),TRIM('R.M Billets Reports'!F2292),IF(ISNUMBER(SEARCH("Party Name-",'R.M Billets Reports'!D2292)),TRIM(MID('R.M Billets Reports'!D2292,SEARCH("-",'R.M Billets Reports'!D2292)+1,200)),"")))="VRKP ISPAT PVT LTD","VRKP",IF(IF(IF(ISNUMBER(SEARCH("Party Name:-",'R.M Billets Reports'!D2291)),TRIM('R.M Billets Reports'!F2291),IF(ISNUMBER(SEARCH("Party Name-",'R.M Billets Reports'!D2291)),TRIM(MID('R.M Billets Reports'!D2291,SEARCH("-",'R.M Billets Reports'!D2291)+1,200)),""))&lt;&gt;"",IF(ISNUMBER(SEARCH("Party Name:-",'R.M Billets Reports'!D2291)),TRIM('R.M Billets Reports'!F2291),IF(ISNUMBER(SEARCH("Party Name-",'R.M Billets Reports'!D2291)),TRIM(MID('R.M Billets Reports'!D2291,SEARCH("-",'R.M Billets Reports'!D2291)+1,200)),"")),IF(ISNUMBER(SEARCH("Party Name:-",'R.M Billets Reports'!D2292)),TRIM('R.M Billets Reports'!F2292),IF(ISNUMBER(SEARCH("Party Name-",'R.M Billets Reports'!D2292)),TRIM(MID('R.M Billets Reports'!D2292,SEARCH("-",'R.M Billets Reports'!D2292)+1,200)),"")))="SHRI RADHE","SHREE RADHE",IF(IF(IF(ISNUMBER(SEARCH("Party Name:-",'R.M Billets Reports'!D2291)),TRIM('R.M Billets Reports'!F2291),IF(ISNUMBER(SEARCH("Party Name-",'R.M Billets Reports'!D2291)),TRIM(MID('R.M Billets Reports'!D2291,SEARCH("-",'R.M Billets Reports'!D2291)+1,200)),""))&lt;&gt;"",IF(ISNUMBER(SEARCH("Party Name:-",'R.M Billets Reports'!D2291)),TRIM('R.M Billets Reports'!F2291),IF(ISNUMBER(SEARCH("Party Name-",'R.M Billets Reports'!D2291)),TRIM(MID('R.M Billets Reports'!D2291,SEARCH("-",'R.M Billets Reports'!D2291)+1,200)),"")),IF(ISNUMBER(SEARCH("Party Name:-",'R.M Billets Reports'!D2292)),TRIM('R.M Billets Reports'!F2292),IF(ISNUMBER(SEARCH("Party Name-",'R.M Billets Reports'!D2292)),TRIM(MID('R.M Billets Reports'!D2292,SEARCH("-",'R.M Billets Reports'!D2292)+1,200)),"")))="SHREE RADHE SHAKTI SPONGE AND POWER PVT. LTD.","SHREE RADHE",IF(IF(ISNUMBER(SEARCH("Party Name:-",'R.M Billets Reports'!D2291)),TRIM('R.M Billets Reports'!F2291),IF(ISNUMBER(SEARCH("Party Name-",'R.M Billets Reports'!D2291)),TRIM(MID('R.M Billets Reports'!D2291,SEARCH("-",'R.M Billets Reports'!D2291)+1,200)),""))&lt;&gt;"",IF(ISNUMBER(SEARCH("Party Name:-",'R.M Billets Reports'!D2291)),TRIM('R.M Billets Reports'!F2291),IF(ISNUMBER(SEARCH("Party Name-",'R.M Billets Reports'!D2291)),TRIM(MID('R.M Billets Reports'!D2291,SEARCH("-",'R.M Billets Reports'!D2291)+1,200)),"")),IF(ISNUMBER(SEARCH("Party Name:-",'R.M Billets Reports'!D2292)),TRIM('R.M Billets Reports'!F2292),IF(ISNUMBER(SEARCH("Party Name-",'R.M Billets Reports'!D2292)),TRIM(MID('R.M Billets Reports'!D2292,SEARCH("-",'R.M Billets Reports'!D2292)+1,200)),"")))))),IF(ROW()=2,"",A2291))</f>
      </c>
      <c r="B2292">
        <f>IF(OR('R.M Billets Reports'!A2291="Date-",'R.M Billets Reports'!A2291="Date:-"),'R.M Billets Reports'!B2291,IF(ROW()=2,"",B2291))</f>
      </c>
      <c r="C2292">
        <f>IF('R.M Billets Reports'!A2291="V.No.",'R.M Billets Reports'!B2291,IF(ROW()=2,"",C2291))</f>
      </c>
      <c r="D2292">
        <f>IF('R.M Billets Reports'!A2291&lt;&gt;"",'R.M Billets Reports'!A2291,IF(ROW()=2,"",D2291))</f>
      </c>
      <c r="E2292">
        <f>IF('R.M Billets Reports'!B2291="","",TRIM('R.M Billets Reports'!B2291))</f>
      </c>
      <c r="F2292">
        <f>'R.M Billets Reports'!C2291</f>
      </c>
      <c r="G2292">
        <f>'R.M Billets Reports'!D2291</f>
      </c>
      <c r="H2292">
        <f>'R.M Billets Reports'!E2291</f>
      </c>
      <c r="I2292">
        <f>'R.M Billets Reports'!F2291</f>
      </c>
      <c r="J2292">
        <f>'R.M Billets Reports'!G2291</f>
      </c>
      <c r="K2292">
        <f>'R.M Billets Reports'!H2291</f>
      </c>
      <c r="L2292">
        <f>IF('R.M Billets Reports'!I2291="","",'R.M Billets Reports'!I2291)</f>
      </c>
      <c r="M2292">
        <f t="shared" si="70"/>
      </c>
      <c r="N2292">
        <f>IF('R.M Billets Reports'!J2291="","",'R.M Billets Reports'!J2291)</f>
      </c>
      <c r="O2292">
        <f t="shared" si="71"/>
      </c>
      <c r="P2292">
        <f>IF('R.M Billets Reports'!A2291="SIZE",'R.M Billets Reports'!B2291,P2291)</f>
      </c>
    </row>
    <row r="2293" spans="1:16" x14ac:dyDescent="0.25">
      <c r="A2293">
        <f>IF(OR('R.M Billets Reports'!A2292="Date-",'R.M Billets Reports'!A2292="Date:-"),IF(IF(IF(ISNUMBER(SEARCH("Party Name:-",'R.M Billets Reports'!D2292)),TRIM('R.M Billets Reports'!F2292),IF(ISNUMBER(SEARCH("Party Name-",'R.M Billets Reports'!D2292)),TRIM(MID('R.M Billets Reports'!D2292,SEARCH("-",'R.M Billets Reports'!D2292)+1,200)),""))&lt;&gt;"",IF(ISNUMBER(SEARCH("Party Name:-",'R.M Billets Reports'!D2292)),TRIM('R.M Billets Reports'!F2292),IF(ISNUMBER(SEARCH("Party Name-",'R.M Billets Reports'!D2292)),TRIM(MID('R.M Billets Reports'!D2292,SEARCH("-",'R.M Billets Reports'!D2292)+1,200)),"")),IF(ISNUMBER(SEARCH("Party Name:-",'R.M Billets Reports'!D2293)),TRIM('R.M Billets Reports'!F2293),IF(ISNUMBER(SEARCH("Party Name-",'R.M Billets Reports'!D2293)),TRIM(MID('R.M Billets Reports'!D2293,SEARCH("-",'R.M Billets Reports'!D2293)+1,200)),"")))="VRKP ISPAT PVT LTD","VRKP",IF(IF(IF(ISNUMBER(SEARCH("Party Name:-",'R.M Billets Reports'!D2292)),TRIM('R.M Billets Reports'!F2292),IF(ISNUMBER(SEARCH("Party Name-",'R.M Billets Reports'!D2292)),TRIM(MID('R.M Billets Reports'!D2292,SEARCH("-",'R.M Billets Reports'!D2292)+1,200)),""))&lt;&gt;"",IF(ISNUMBER(SEARCH("Party Name:-",'R.M Billets Reports'!D2292)),TRIM('R.M Billets Reports'!F2292),IF(ISNUMBER(SEARCH("Party Name-",'R.M Billets Reports'!D2292)),TRIM(MID('R.M Billets Reports'!D2292,SEARCH("-",'R.M Billets Reports'!D2292)+1,200)),"")),IF(ISNUMBER(SEARCH("Party Name:-",'R.M Billets Reports'!D2293)),TRIM('R.M Billets Reports'!F2293),IF(ISNUMBER(SEARCH("Party Name-",'R.M Billets Reports'!D2293)),TRIM(MID('R.M Billets Reports'!D2293,SEARCH("-",'R.M Billets Reports'!D2293)+1,200)),"")))="SHRI RADHE","SHREE RADHE",IF(IF(IF(ISNUMBER(SEARCH("Party Name:-",'R.M Billets Reports'!D2292)),TRIM('R.M Billets Reports'!F2292),IF(ISNUMBER(SEARCH("Party Name-",'R.M Billets Reports'!D2292)),TRIM(MID('R.M Billets Reports'!D2292,SEARCH("-",'R.M Billets Reports'!D2292)+1,200)),""))&lt;&gt;"",IF(ISNUMBER(SEARCH("Party Name:-",'R.M Billets Reports'!D2292)),TRIM('R.M Billets Reports'!F2292),IF(ISNUMBER(SEARCH("Party Name-",'R.M Billets Reports'!D2292)),TRIM(MID('R.M Billets Reports'!D2292,SEARCH("-",'R.M Billets Reports'!D2292)+1,200)),"")),IF(ISNUMBER(SEARCH("Party Name:-",'R.M Billets Reports'!D2293)),TRIM('R.M Billets Reports'!F2293),IF(ISNUMBER(SEARCH("Party Name-",'R.M Billets Reports'!D2293)),TRIM(MID('R.M Billets Reports'!D2293,SEARCH("-",'R.M Billets Reports'!D2293)+1,200)),"")))="SHREE RADHE SHAKTI SPONGE AND POWER PVT. LTD.","SHREE RADHE",IF(IF(ISNUMBER(SEARCH("Party Name:-",'R.M Billets Reports'!D2292)),TRIM('R.M Billets Reports'!F2292),IF(ISNUMBER(SEARCH("Party Name-",'R.M Billets Reports'!D2292)),TRIM(MID('R.M Billets Reports'!D2292,SEARCH("-",'R.M Billets Reports'!D2292)+1,200)),""))&lt;&gt;"",IF(ISNUMBER(SEARCH("Party Name:-",'R.M Billets Reports'!D2292)),TRIM('R.M Billets Reports'!F2292),IF(ISNUMBER(SEARCH("Party Name-",'R.M Billets Reports'!D2292)),TRIM(MID('R.M Billets Reports'!D2292,SEARCH("-",'R.M Billets Reports'!D2292)+1,200)),"")),IF(ISNUMBER(SEARCH("Party Name:-",'R.M Billets Reports'!D2293)),TRIM('R.M Billets Reports'!F2293),IF(ISNUMBER(SEARCH("Party Name-",'R.M Billets Reports'!D2293)),TRIM(MID('R.M Billets Reports'!D2293,SEARCH("-",'R.M Billets Reports'!D2293)+1,200)),"")))))),IF(ROW()=2,"",A2292))</f>
      </c>
      <c r="B2293">
        <f>IF(OR('R.M Billets Reports'!A2292="Date-",'R.M Billets Reports'!A2292="Date:-"),'R.M Billets Reports'!B2292,IF(ROW()=2,"",B2292))</f>
      </c>
      <c r="C2293">
        <f>IF('R.M Billets Reports'!A2292="V.No.",'R.M Billets Reports'!B2292,IF(ROW()=2,"",C2292))</f>
      </c>
      <c r="D2293">
        <f>IF('R.M Billets Reports'!A2292&lt;&gt;"",'R.M Billets Reports'!A2292,IF(ROW()=2,"",D2292))</f>
      </c>
      <c r="E2293">
        <f>IF('R.M Billets Reports'!B2292="","",TRIM('R.M Billets Reports'!B2292))</f>
      </c>
      <c r="F2293">
        <f>'R.M Billets Reports'!C2292</f>
      </c>
      <c r="G2293">
        <f>'R.M Billets Reports'!D2292</f>
      </c>
      <c r="H2293">
        <f>'R.M Billets Reports'!E2292</f>
      </c>
      <c r="I2293">
        <f>'R.M Billets Reports'!F2292</f>
      </c>
      <c r="J2293">
        <f>'R.M Billets Reports'!G2292</f>
      </c>
      <c r="K2293">
        <f>'R.M Billets Reports'!H2292</f>
      </c>
      <c r="L2293">
        <f>IF('R.M Billets Reports'!I2292="","",'R.M Billets Reports'!I2292)</f>
      </c>
      <c r="M2293">
        <f t="shared" si="70"/>
      </c>
      <c r="N2293">
        <f>IF('R.M Billets Reports'!J2292="","",'R.M Billets Reports'!J2292)</f>
      </c>
      <c r="O2293">
        <f t="shared" si="71"/>
      </c>
      <c r="P2293">
        <f>IF('R.M Billets Reports'!A2292="SIZE",'R.M Billets Reports'!B2292,P2292)</f>
      </c>
    </row>
    <row r="2294" spans="1:16" x14ac:dyDescent="0.25">
      <c r="A2294">
        <f>IF(OR('R.M Billets Reports'!A2293="Date-",'R.M Billets Reports'!A2293="Date:-"),IF(IF(IF(ISNUMBER(SEARCH("Party Name:-",'R.M Billets Reports'!D2293)),TRIM('R.M Billets Reports'!F2293),IF(ISNUMBER(SEARCH("Party Name-",'R.M Billets Reports'!D2293)),TRIM(MID('R.M Billets Reports'!D2293,SEARCH("-",'R.M Billets Reports'!D2293)+1,200)),""))&lt;&gt;"",IF(ISNUMBER(SEARCH("Party Name:-",'R.M Billets Reports'!D2293)),TRIM('R.M Billets Reports'!F2293),IF(ISNUMBER(SEARCH("Party Name-",'R.M Billets Reports'!D2293)),TRIM(MID('R.M Billets Reports'!D2293,SEARCH("-",'R.M Billets Reports'!D2293)+1,200)),"")),IF(ISNUMBER(SEARCH("Party Name:-",'R.M Billets Reports'!D2294)),TRIM('R.M Billets Reports'!F2294),IF(ISNUMBER(SEARCH("Party Name-",'R.M Billets Reports'!D2294)),TRIM(MID('R.M Billets Reports'!D2294,SEARCH("-",'R.M Billets Reports'!D2294)+1,200)),"")))="VRKP ISPAT PVT LTD","VRKP",IF(IF(IF(ISNUMBER(SEARCH("Party Name:-",'R.M Billets Reports'!D2293)),TRIM('R.M Billets Reports'!F2293),IF(ISNUMBER(SEARCH("Party Name-",'R.M Billets Reports'!D2293)),TRIM(MID('R.M Billets Reports'!D2293,SEARCH("-",'R.M Billets Reports'!D2293)+1,200)),""))&lt;&gt;"",IF(ISNUMBER(SEARCH("Party Name:-",'R.M Billets Reports'!D2293)),TRIM('R.M Billets Reports'!F2293),IF(ISNUMBER(SEARCH("Party Name-",'R.M Billets Reports'!D2293)),TRIM(MID('R.M Billets Reports'!D2293,SEARCH("-",'R.M Billets Reports'!D2293)+1,200)),"")),IF(ISNUMBER(SEARCH("Party Name:-",'R.M Billets Reports'!D2294)),TRIM('R.M Billets Reports'!F2294),IF(ISNUMBER(SEARCH("Party Name-",'R.M Billets Reports'!D2294)),TRIM(MID('R.M Billets Reports'!D2294,SEARCH("-",'R.M Billets Reports'!D2294)+1,200)),"")))="SHRI RADHE","SHREE RADHE",IF(IF(IF(ISNUMBER(SEARCH("Party Name:-",'R.M Billets Reports'!D2293)),TRIM('R.M Billets Reports'!F2293),IF(ISNUMBER(SEARCH("Party Name-",'R.M Billets Reports'!D2293)),TRIM(MID('R.M Billets Reports'!D2293,SEARCH("-",'R.M Billets Reports'!D2293)+1,200)),""))&lt;&gt;"",IF(ISNUMBER(SEARCH("Party Name:-",'R.M Billets Reports'!D2293)),TRIM('R.M Billets Reports'!F2293),IF(ISNUMBER(SEARCH("Party Name-",'R.M Billets Reports'!D2293)),TRIM(MID('R.M Billets Reports'!D2293,SEARCH("-",'R.M Billets Reports'!D2293)+1,200)),"")),IF(ISNUMBER(SEARCH("Party Name:-",'R.M Billets Reports'!D2294)),TRIM('R.M Billets Reports'!F2294),IF(ISNUMBER(SEARCH("Party Name-",'R.M Billets Reports'!D2294)),TRIM(MID('R.M Billets Reports'!D2294,SEARCH("-",'R.M Billets Reports'!D2294)+1,200)),"")))="SHREE RADHE SHAKTI SPONGE AND POWER PVT. LTD.","SHREE RADHE",IF(IF(ISNUMBER(SEARCH("Party Name:-",'R.M Billets Reports'!D2293)),TRIM('R.M Billets Reports'!F2293),IF(ISNUMBER(SEARCH("Party Name-",'R.M Billets Reports'!D2293)),TRIM(MID('R.M Billets Reports'!D2293,SEARCH("-",'R.M Billets Reports'!D2293)+1,200)),""))&lt;&gt;"",IF(ISNUMBER(SEARCH("Party Name:-",'R.M Billets Reports'!D2293)),TRIM('R.M Billets Reports'!F2293),IF(ISNUMBER(SEARCH("Party Name-",'R.M Billets Reports'!D2293)),TRIM(MID('R.M Billets Reports'!D2293,SEARCH("-",'R.M Billets Reports'!D2293)+1,200)),"")),IF(ISNUMBER(SEARCH("Party Name:-",'R.M Billets Reports'!D2294)),TRIM('R.M Billets Reports'!F2294),IF(ISNUMBER(SEARCH("Party Name-",'R.M Billets Reports'!D2294)),TRIM(MID('R.M Billets Reports'!D2294,SEARCH("-",'R.M Billets Reports'!D2294)+1,200)),"")))))),IF(ROW()=2,"",A2293))</f>
      </c>
      <c r="B2294">
        <f>IF(OR('R.M Billets Reports'!A2293="Date-",'R.M Billets Reports'!A2293="Date:-"),'R.M Billets Reports'!B2293,IF(ROW()=2,"",B2293))</f>
      </c>
      <c r="C2294">
        <f>IF('R.M Billets Reports'!A2293="V.No.",'R.M Billets Reports'!B2293,IF(ROW()=2,"",C2293))</f>
      </c>
      <c r="D2294">
        <f>IF('R.M Billets Reports'!A2293&lt;&gt;"",'R.M Billets Reports'!A2293,IF(ROW()=2,"",D2293))</f>
      </c>
      <c r="E2294">
        <f>IF('R.M Billets Reports'!B2293="","",TRIM('R.M Billets Reports'!B2293))</f>
      </c>
      <c r="F2294">
        <f>'R.M Billets Reports'!C2293</f>
      </c>
      <c r="G2294">
        <f>'R.M Billets Reports'!D2293</f>
      </c>
      <c r="H2294">
        <f>'R.M Billets Reports'!E2293</f>
      </c>
      <c r="I2294">
        <f>'R.M Billets Reports'!F2293</f>
      </c>
      <c r="J2294">
        <f>'R.M Billets Reports'!G2293</f>
      </c>
      <c r="K2294">
        <f>'R.M Billets Reports'!H2293</f>
      </c>
      <c r="L2294">
        <f>IF('R.M Billets Reports'!I2293="","",'R.M Billets Reports'!I2293)</f>
      </c>
      <c r="M2294">
        <f t="shared" si="70"/>
      </c>
      <c r="N2294">
        <f>IF('R.M Billets Reports'!J2293="","",'R.M Billets Reports'!J2293)</f>
      </c>
      <c r="O2294">
        <f t="shared" si="71"/>
      </c>
      <c r="P2294">
        <f>IF('R.M Billets Reports'!A2293="SIZE",'R.M Billets Reports'!B2293,P2293)</f>
      </c>
    </row>
    <row r="2295" spans="1:16" x14ac:dyDescent="0.25">
      <c r="A2295">
        <f>IF(OR('R.M Billets Reports'!A2294="Date-",'R.M Billets Reports'!A2294="Date:-"),IF(IF(IF(ISNUMBER(SEARCH("Party Name:-",'R.M Billets Reports'!D2294)),TRIM('R.M Billets Reports'!F2294),IF(ISNUMBER(SEARCH("Party Name-",'R.M Billets Reports'!D2294)),TRIM(MID('R.M Billets Reports'!D2294,SEARCH("-",'R.M Billets Reports'!D2294)+1,200)),""))&lt;&gt;"",IF(ISNUMBER(SEARCH("Party Name:-",'R.M Billets Reports'!D2294)),TRIM('R.M Billets Reports'!F2294),IF(ISNUMBER(SEARCH("Party Name-",'R.M Billets Reports'!D2294)),TRIM(MID('R.M Billets Reports'!D2294,SEARCH("-",'R.M Billets Reports'!D2294)+1,200)),"")),IF(ISNUMBER(SEARCH("Party Name:-",'R.M Billets Reports'!D2295)),TRIM('R.M Billets Reports'!F2295),IF(ISNUMBER(SEARCH("Party Name-",'R.M Billets Reports'!D2295)),TRIM(MID('R.M Billets Reports'!D2295,SEARCH("-",'R.M Billets Reports'!D2295)+1,200)),"")))="VRKP ISPAT PVT LTD","VRKP",IF(IF(IF(ISNUMBER(SEARCH("Party Name:-",'R.M Billets Reports'!D2294)),TRIM('R.M Billets Reports'!F2294),IF(ISNUMBER(SEARCH("Party Name-",'R.M Billets Reports'!D2294)),TRIM(MID('R.M Billets Reports'!D2294,SEARCH("-",'R.M Billets Reports'!D2294)+1,200)),""))&lt;&gt;"",IF(ISNUMBER(SEARCH("Party Name:-",'R.M Billets Reports'!D2294)),TRIM('R.M Billets Reports'!F2294),IF(ISNUMBER(SEARCH("Party Name-",'R.M Billets Reports'!D2294)),TRIM(MID('R.M Billets Reports'!D2294,SEARCH("-",'R.M Billets Reports'!D2294)+1,200)),"")),IF(ISNUMBER(SEARCH("Party Name:-",'R.M Billets Reports'!D2295)),TRIM('R.M Billets Reports'!F2295),IF(ISNUMBER(SEARCH("Party Name-",'R.M Billets Reports'!D2295)),TRIM(MID('R.M Billets Reports'!D2295,SEARCH("-",'R.M Billets Reports'!D2295)+1,200)),"")))="SHRI RADHE","SHREE RADHE",IF(IF(IF(ISNUMBER(SEARCH("Party Name:-",'R.M Billets Reports'!D2294)),TRIM('R.M Billets Reports'!F2294),IF(ISNUMBER(SEARCH("Party Name-",'R.M Billets Reports'!D2294)),TRIM(MID('R.M Billets Reports'!D2294,SEARCH("-",'R.M Billets Reports'!D2294)+1,200)),""))&lt;&gt;"",IF(ISNUMBER(SEARCH("Party Name:-",'R.M Billets Reports'!D2294)),TRIM('R.M Billets Reports'!F2294),IF(ISNUMBER(SEARCH("Party Name-",'R.M Billets Reports'!D2294)),TRIM(MID('R.M Billets Reports'!D2294,SEARCH("-",'R.M Billets Reports'!D2294)+1,200)),"")),IF(ISNUMBER(SEARCH("Party Name:-",'R.M Billets Reports'!D2295)),TRIM('R.M Billets Reports'!F2295),IF(ISNUMBER(SEARCH("Party Name-",'R.M Billets Reports'!D2295)),TRIM(MID('R.M Billets Reports'!D2295,SEARCH("-",'R.M Billets Reports'!D2295)+1,200)),"")))="SHREE RADHE SHAKTI SPONGE AND POWER PVT. LTD.","SHREE RADHE",IF(IF(ISNUMBER(SEARCH("Party Name:-",'R.M Billets Reports'!D2294)),TRIM('R.M Billets Reports'!F2294),IF(ISNUMBER(SEARCH("Party Name-",'R.M Billets Reports'!D2294)),TRIM(MID('R.M Billets Reports'!D2294,SEARCH("-",'R.M Billets Reports'!D2294)+1,200)),""))&lt;&gt;"",IF(ISNUMBER(SEARCH("Party Name:-",'R.M Billets Reports'!D2294)),TRIM('R.M Billets Reports'!F2294),IF(ISNUMBER(SEARCH("Party Name-",'R.M Billets Reports'!D2294)),TRIM(MID('R.M Billets Reports'!D2294,SEARCH("-",'R.M Billets Reports'!D2294)+1,200)),"")),IF(ISNUMBER(SEARCH("Party Name:-",'R.M Billets Reports'!D2295)),TRIM('R.M Billets Reports'!F2295),IF(ISNUMBER(SEARCH("Party Name-",'R.M Billets Reports'!D2295)),TRIM(MID('R.M Billets Reports'!D2295,SEARCH("-",'R.M Billets Reports'!D2295)+1,200)),"")))))),IF(ROW()=2,"",A2294))</f>
      </c>
      <c r="B2295">
        <f>IF(OR('R.M Billets Reports'!A2294="Date-",'R.M Billets Reports'!A2294="Date:-"),'R.M Billets Reports'!B2294,IF(ROW()=2,"",B2294))</f>
      </c>
      <c r="C2295">
        <f>IF('R.M Billets Reports'!A2294="V.No.",'R.M Billets Reports'!B2294,IF(ROW()=2,"",C2294))</f>
      </c>
      <c r="D2295">
        <f>IF('R.M Billets Reports'!A2294&lt;&gt;"",'R.M Billets Reports'!A2294,IF(ROW()=2,"",D2294))</f>
      </c>
      <c r="E2295">
        <f>IF('R.M Billets Reports'!B2294="","",TRIM('R.M Billets Reports'!B2294))</f>
      </c>
      <c r="F2295">
        <f>'R.M Billets Reports'!C2294</f>
      </c>
      <c r="G2295">
        <f>'R.M Billets Reports'!D2294</f>
      </c>
      <c r="H2295">
        <f>'R.M Billets Reports'!E2294</f>
      </c>
      <c r="I2295">
        <f>'R.M Billets Reports'!F2294</f>
      </c>
      <c r="J2295">
        <f>'R.M Billets Reports'!G2294</f>
      </c>
      <c r="K2295">
        <f>'R.M Billets Reports'!H2294</f>
      </c>
      <c r="L2295">
        <f>IF('R.M Billets Reports'!I2294="","",'R.M Billets Reports'!I2294)</f>
      </c>
      <c r="M2295">
        <f t="shared" si="70"/>
      </c>
      <c r="N2295">
        <f>IF('R.M Billets Reports'!J2294="","",'R.M Billets Reports'!J2294)</f>
      </c>
      <c r="O2295">
        <f t="shared" si="71"/>
      </c>
      <c r="P2295">
        <f>IF('R.M Billets Reports'!A2294="SIZE",'R.M Billets Reports'!B2294,P2294)</f>
      </c>
    </row>
    <row r="2296" spans="1:16" x14ac:dyDescent="0.25">
      <c r="A2296">
        <f>IF(OR('R.M Billets Reports'!A2295="Date-",'R.M Billets Reports'!A2295="Date:-"),IF(IF(IF(ISNUMBER(SEARCH("Party Name:-",'R.M Billets Reports'!D2295)),TRIM('R.M Billets Reports'!F2295),IF(ISNUMBER(SEARCH("Party Name-",'R.M Billets Reports'!D2295)),TRIM(MID('R.M Billets Reports'!D2295,SEARCH("-",'R.M Billets Reports'!D2295)+1,200)),""))&lt;&gt;"",IF(ISNUMBER(SEARCH("Party Name:-",'R.M Billets Reports'!D2295)),TRIM('R.M Billets Reports'!F2295),IF(ISNUMBER(SEARCH("Party Name-",'R.M Billets Reports'!D2295)),TRIM(MID('R.M Billets Reports'!D2295,SEARCH("-",'R.M Billets Reports'!D2295)+1,200)),"")),IF(ISNUMBER(SEARCH("Party Name:-",'R.M Billets Reports'!D2296)),TRIM('R.M Billets Reports'!F2296),IF(ISNUMBER(SEARCH("Party Name-",'R.M Billets Reports'!D2296)),TRIM(MID('R.M Billets Reports'!D2296,SEARCH("-",'R.M Billets Reports'!D2296)+1,200)),"")))="VRKP ISPAT PVT LTD","VRKP",IF(IF(IF(ISNUMBER(SEARCH("Party Name:-",'R.M Billets Reports'!D2295)),TRIM('R.M Billets Reports'!F2295),IF(ISNUMBER(SEARCH("Party Name-",'R.M Billets Reports'!D2295)),TRIM(MID('R.M Billets Reports'!D2295,SEARCH("-",'R.M Billets Reports'!D2295)+1,200)),""))&lt;&gt;"",IF(ISNUMBER(SEARCH("Party Name:-",'R.M Billets Reports'!D2295)),TRIM('R.M Billets Reports'!F2295),IF(ISNUMBER(SEARCH("Party Name-",'R.M Billets Reports'!D2295)),TRIM(MID('R.M Billets Reports'!D2295,SEARCH("-",'R.M Billets Reports'!D2295)+1,200)),"")),IF(ISNUMBER(SEARCH("Party Name:-",'R.M Billets Reports'!D2296)),TRIM('R.M Billets Reports'!F2296),IF(ISNUMBER(SEARCH("Party Name-",'R.M Billets Reports'!D2296)),TRIM(MID('R.M Billets Reports'!D2296,SEARCH("-",'R.M Billets Reports'!D2296)+1,200)),"")))="SHRI RADHE","SHREE RADHE",IF(IF(IF(ISNUMBER(SEARCH("Party Name:-",'R.M Billets Reports'!D2295)),TRIM('R.M Billets Reports'!F2295),IF(ISNUMBER(SEARCH("Party Name-",'R.M Billets Reports'!D2295)),TRIM(MID('R.M Billets Reports'!D2295,SEARCH("-",'R.M Billets Reports'!D2295)+1,200)),""))&lt;&gt;"",IF(ISNUMBER(SEARCH("Party Name:-",'R.M Billets Reports'!D2295)),TRIM('R.M Billets Reports'!F2295),IF(ISNUMBER(SEARCH("Party Name-",'R.M Billets Reports'!D2295)),TRIM(MID('R.M Billets Reports'!D2295,SEARCH("-",'R.M Billets Reports'!D2295)+1,200)),"")),IF(ISNUMBER(SEARCH("Party Name:-",'R.M Billets Reports'!D2296)),TRIM('R.M Billets Reports'!F2296),IF(ISNUMBER(SEARCH("Party Name-",'R.M Billets Reports'!D2296)),TRIM(MID('R.M Billets Reports'!D2296,SEARCH("-",'R.M Billets Reports'!D2296)+1,200)),"")))="SHREE RADHE SHAKTI SPONGE AND POWER PVT. LTD.","SHREE RADHE",IF(IF(ISNUMBER(SEARCH("Party Name:-",'R.M Billets Reports'!D2295)),TRIM('R.M Billets Reports'!F2295),IF(ISNUMBER(SEARCH("Party Name-",'R.M Billets Reports'!D2295)),TRIM(MID('R.M Billets Reports'!D2295,SEARCH("-",'R.M Billets Reports'!D2295)+1,200)),""))&lt;&gt;"",IF(ISNUMBER(SEARCH("Party Name:-",'R.M Billets Reports'!D2295)),TRIM('R.M Billets Reports'!F2295),IF(ISNUMBER(SEARCH("Party Name-",'R.M Billets Reports'!D2295)),TRIM(MID('R.M Billets Reports'!D2295,SEARCH("-",'R.M Billets Reports'!D2295)+1,200)),"")),IF(ISNUMBER(SEARCH("Party Name:-",'R.M Billets Reports'!D2296)),TRIM('R.M Billets Reports'!F2296),IF(ISNUMBER(SEARCH("Party Name-",'R.M Billets Reports'!D2296)),TRIM(MID('R.M Billets Reports'!D2296,SEARCH("-",'R.M Billets Reports'!D2296)+1,200)),"")))))),IF(ROW()=2,"",A2295))</f>
      </c>
      <c r="B2296">
        <f>IF(OR('R.M Billets Reports'!A2295="Date-",'R.M Billets Reports'!A2295="Date:-"),'R.M Billets Reports'!B2295,IF(ROW()=2,"",B2295))</f>
      </c>
      <c r="C2296">
        <f>IF('R.M Billets Reports'!A2295="V.No.",'R.M Billets Reports'!B2295,IF(ROW()=2,"",C2295))</f>
      </c>
      <c r="D2296">
        <f>IF('R.M Billets Reports'!A2295&lt;&gt;"",'R.M Billets Reports'!A2295,IF(ROW()=2,"",D2295))</f>
      </c>
      <c r="E2296">
        <f>IF('R.M Billets Reports'!B2295="","",TRIM('R.M Billets Reports'!B2295))</f>
      </c>
      <c r="F2296">
        <f>'R.M Billets Reports'!C2295</f>
      </c>
      <c r="G2296">
        <f>'R.M Billets Reports'!D2295</f>
      </c>
      <c r="H2296">
        <f>'R.M Billets Reports'!E2295</f>
      </c>
      <c r="I2296">
        <f>'R.M Billets Reports'!F2295</f>
      </c>
      <c r="J2296">
        <f>'R.M Billets Reports'!G2295</f>
      </c>
      <c r="K2296">
        <f>'R.M Billets Reports'!H2295</f>
      </c>
      <c r="L2296">
        <f>IF('R.M Billets Reports'!I2295="","",'R.M Billets Reports'!I2295)</f>
      </c>
      <c r="M2296">
        <f t="shared" si="70"/>
      </c>
      <c r="N2296">
        <f>IF('R.M Billets Reports'!J2295="","",'R.M Billets Reports'!J2295)</f>
      </c>
      <c r="O2296">
        <f t="shared" si="71"/>
      </c>
      <c r="P2296">
        <f>IF('R.M Billets Reports'!A2295="SIZE",'R.M Billets Reports'!B2295,P2295)</f>
      </c>
    </row>
    <row r="2297" spans="1:16" x14ac:dyDescent="0.25">
      <c r="A2297">
        <f>IF(OR('R.M Billets Reports'!A2296="Date-",'R.M Billets Reports'!A2296="Date:-"),IF(IF(IF(ISNUMBER(SEARCH("Party Name:-",'R.M Billets Reports'!D2296)),TRIM('R.M Billets Reports'!F2296),IF(ISNUMBER(SEARCH("Party Name-",'R.M Billets Reports'!D2296)),TRIM(MID('R.M Billets Reports'!D2296,SEARCH("-",'R.M Billets Reports'!D2296)+1,200)),""))&lt;&gt;"",IF(ISNUMBER(SEARCH("Party Name:-",'R.M Billets Reports'!D2296)),TRIM('R.M Billets Reports'!F2296),IF(ISNUMBER(SEARCH("Party Name-",'R.M Billets Reports'!D2296)),TRIM(MID('R.M Billets Reports'!D2296,SEARCH("-",'R.M Billets Reports'!D2296)+1,200)),"")),IF(ISNUMBER(SEARCH("Party Name:-",'R.M Billets Reports'!D2297)),TRIM('R.M Billets Reports'!F2297),IF(ISNUMBER(SEARCH("Party Name-",'R.M Billets Reports'!D2297)),TRIM(MID('R.M Billets Reports'!D2297,SEARCH("-",'R.M Billets Reports'!D2297)+1,200)),"")))="VRKP ISPAT PVT LTD","VRKP",IF(IF(IF(ISNUMBER(SEARCH("Party Name:-",'R.M Billets Reports'!D2296)),TRIM('R.M Billets Reports'!F2296),IF(ISNUMBER(SEARCH("Party Name-",'R.M Billets Reports'!D2296)),TRIM(MID('R.M Billets Reports'!D2296,SEARCH("-",'R.M Billets Reports'!D2296)+1,200)),""))&lt;&gt;"",IF(ISNUMBER(SEARCH("Party Name:-",'R.M Billets Reports'!D2296)),TRIM('R.M Billets Reports'!F2296),IF(ISNUMBER(SEARCH("Party Name-",'R.M Billets Reports'!D2296)),TRIM(MID('R.M Billets Reports'!D2296,SEARCH("-",'R.M Billets Reports'!D2296)+1,200)),"")),IF(ISNUMBER(SEARCH("Party Name:-",'R.M Billets Reports'!D2297)),TRIM('R.M Billets Reports'!F2297),IF(ISNUMBER(SEARCH("Party Name-",'R.M Billets Reports'!D2297)),TRIM(MID('R.M Billets Reports'!D2297,SEARCH("-",'R.M Billets Reports'!D2297)+1,200)),"")))="SHRI RADHE","SHREE RADHE",IF(IF(IF(ISNUMBER(SEARCH("Party Name:-",'R.M Billets Reports'!D2296)),TRIM('R.M Billets Reports'!F2296),IF(ISNUMBER(SEARCH("Party Name-",'R.M Billets Reports'!D2296)),TRIM(MID('R.M Billets Reports'!D2296,SEARCH("-",'R.M Billets Reports'!D2296)+1,200)),""))&lt;&gt;"",IF(ISNUMBER(SEARCH("Party Name:-",'R.M Billets Reports'!D2296)),TRIM('R.M Billets Reports'!F2296),IF(ISNUMBER(SEARCH("Party Name-",'R.M Billets Reports'!D2296)),TRIM(MID('R.M Billets Reports'!D2296,SEARCH("-",'R.M Billets Reports'!D2296)+1,200)),"")),IF(ISNUMBER(SEARCH("Party Name:-",'R.M Billets Reports'!D2297)),TRIM('R.M Billets Reports'!F2297),IF(ISNUMBER(SEARCH("Party Name-",'R.M Billets Reports'!D2297)),TRIM(MID('R.M Billets Reports'!D2297,SEARCH("-",'R.M Billets Reports'!D2297)+1,200)),"")))="SHREE RADHE SHAKTI SPONGE AND POWER PVT. LTD.","SHREE RADHE",IF(IF(ISNUMBER(SEARCH("Party Name:-",'R.M Billets Reports'!D2296)),TRIM('R.M Billets Reports'!F2296),IF(ISNUMBER(SEARCH("Party Name-",'R.M Billets Reports'!D2296)),TRIM(MID('R.M Billets Reports'!D2296,SEARCH("-",'R.M Billets Reports'!D2296)+1,200)),""))&lt;&gt;"",IF(ISNUMBER(SEARCH("Party Name:-",'R.M Billets Reports'!D2296)),TRIM('R.M Billets Reports'!F2296),IF(ISNUMBER(SEARCH("Party Name-",'R.M Billets Reports'!D2296)),TRIM(MID('R.M Billets Reports'!D2296,SEARCH("-",'R.M Billets Reports'!D2296)+1,200)),"")),IF(ISNUMBER(SEARCH("Party Name:-",'R.M Billets Reports'!D2297)),TRIM('R.M Billets Reports'!F2297),IF(ISNUMBER(SEARCH("Party Name-",'R.M Billets Reports'!D2297)),TRIM(MID('R.M Billets Reports'!D2297,SEARCH("-",'R.M Billets Reports'!D2297)+1,200)),"")))))),IF(ROW()=2,"",A2296))</f>
      </c>
      <c r="B2297">
        <f>IF(OR('R.M Billets Reports'!A2296="Date-",'R.M Billets Reports'!A2296="Date:-"),'R.M Billets Reports'!B2296,IF(ROW()=2,"",B2296))</f>
      </c>
      <c r="C2297">
        <f>IF('R.M Billets Reports'!A2296="V.No.",'R.M Billets Reports'!B2296,IF(ROW()=2,"",C2296))</f>
      </c>
      <c r="D2297">
        <f>IF('R.M Billets Reports'!A2296&lt;&gt;"",'R.M Billets Reports'!A2296,IF(ROW()=2,"",D2296))</f>
      </c>
      <c r="E2297">
        <f>IF('R.M Billets Reports'!B2296="","",TRIM('R.M Billets Reports'!B2296))</f>
      </c>
      <c r="F2297">
        <f>'R.M Billets Reports'!C2296</f>
      </c>
      <c r="G2297">
        <f>'R.M Billets Reports'!D2296</f>
      </c>
      <c r="H2297">
        <f>'R.M Billets Reports'!E2296</f>
      </c>
      <c r="I2297">
        <f>'R.M Billets Reports'!F2296</f>
      </c>
      <c r="J2297">
        <f>'R.M Billets Reports'!G2296</f>
      </c>
      <c r="K2297">
        <f>'R.M Billets Reports'!H2296</f>
      </c>
      <c r="L2297">
        <f>IF('R.M Billets Reports'!I2296="","",'R.M Billets Reports'!I2296)</f>
      </c>
      <c r="M2297">
        <f t="shared" si="70"/>
      </c>
      <c r="N2297">
        <f>IF('R.M Billets Reports'!J2296="","",'R.M Billets Reports'!J2296)</f>
      </c>
      <c r="O2297">
        <f t="shared" si="71"/>
      </c>
      <c r="P2297">
        <f>IF('R.M Billets Reports'!A2296="SIZE",'R.M Billets Reports'!B2296,P2296)</f>
      </c>
    </row>
    <row r="2298" spans="1:16" x14ac:dyDescent="0.25">
      <c r="A2298">
        <f>IF(OR('R.M Billets Reports'!A2297="Date-",'R.M Billets Reports'!A2297="Date:-"),IF(IF(IF(ISNUMBER(SEARCH("Party Name:-",'R.M Billets Reports'!D2297)),TRIM('R.M Billets Reports'!F2297),IF(ISNUMBER(SEARCH("Party Name-",'R.M Billets Reports'!D2297)),TRIM(MID('R.M Billets Reports'!D2297,SEARCH("-",'R.M Billets Reports'!D2297)+1,200)),""))&lt;&gt;"",IF(ISNUMBER(SEARCH("Party Name:-",'R.M Billets Reports'!D2297)),TRIM('R.M Billets Reports'!F2297),IF(ISNUMBER(SEARCH("Party Name-",'R.M Billets Reports'!D2297)),TRIM(MID('R.M Billets Reports'!D2297,SEARCH("-",'R.M Billets Reports'!D2297)+1,200)),"")),IF(ISNUMBER(SEARCH("Party Name:-",'R.M Billets Reports'!D2298)),TRIM('R.M Billets Reports'!F2298),IF(ISNUMBER(SEARCH("Party Name-",'R.M Billets Reports'!D2298)),TRIM(MID('R.M Billets Reports'!D2298,SEARCH("-",'R.M Billets Reports'!D2298)+1,200)),"")))="VRKP ISPAT PVT LTD","VRKP",IF(IF(IF(ISNUMBER(SEARCH("Party Name:-",'R.M Billets Reports'!D2297)),TRIM('R.M Billets Reports'!F2297),IF(ISNUMBER(SEARCH("Party Name-",'R.M Billets Reports'!D2297)),TRIM(MID('R.M Billets Reports'!D2297,SEARCH("-",'R.M Billets Reports'!D2297)+1,200)),""))&lt;&gt;"",IF(ISNUMBER(SEARCH("Party Name:-",'R.M Billets Reports'!D2297)),TRIM('R.M Billets Reports'!F2297),IF(ISNUMBER(SEARCH("Party Name-",'R.M Billets Reports'!D2297)),TRIM(MID('R.M Billets Reports'!D2297,SEARCH("-",'R.M Billets Reports'!D2297)+1,200)),"")),IF(ISNUMBER(SEARCH("Party Name:-",'R.M Billets Reports'!D2298)),TRIM('R.M Billets Reports'!F2298),IF(ISNUMBER(SEARCH("Party Name-",'R.M Billets Reports'!D2298)),TRIM(MID('R.M Billets Reports'!D2298,SEARCH("-",'R.M Billets Reports'!D2298)+1,200)),"")))="SHRI RADHE","SHREE RADHE",IF(IF(IF(ISNUMBER(SEARCH("Party Name:-",'R.M Billets Reports'!D2297)),TRIM('R.M Billets Reports'!F2297),IF(ISNUMBER(SEARCH("Party Name-",'R.M Billets Reports'!D2297)),TRIM(MID('R.M Billets Reports'!D2297,SEARCH("-",'R.M Billets Reports'!D2297)+1,200)),""))&lt;&gt;"",IF(ISNUMBER(SEARCH("Party Name:-",'R.M Billets Reports'!D2297)),TRIM('R.M Billets Reports'!F2297),IF(ISNUMBER(SEARCH("Party Name-",'R.M Billets Reports'!D2297)),TRIM(MID('R.M Billets Reports'!D2297,SEARCH("-",'R.M Billets Reports'!D2297)+1,200)),"")),IF(ISNUMBER(SEARCH("Party Name:-",'R.M Billets Reports'!D2298)),TRIM('R.M Billets Reports'!F2298),IF(ISNUMBER(SEARCH("Party Name-",'R.M Billets Reports'!D2298)),TRIM(MID('R.M Billets Reports'!D2298,SEARCH("-",'R.M Billets Reports'!D2298)+1,200)),"")))="SHREE RADHE SHAKTI SPONGE AND POWER PVT. LTD.","SHREE RADHE",IF(IF(ISNUMBER(SEARCH("Party Name:-",'R.M Billets Reports'!D2297)),TRIM('R.M Billets Reports'!F2297),IF(ISNUMBER(SEARCH("Party Name-",'R.M Billets Reports'!D2297)),TRIM(MID('R.M Billets Reports'!D2297,SEARCH("-",'R.M Billets Reports'!D2297)+1,200)),""))&lt;&gt;"",IF(ISNUMBER(SEARCH("Party Name:-",'R.M Billets Reports'!D2297)),TRIM('R.M Billets Reports'!F2297),IF(ISNUMBER(SEARCH("Party Name-",'R.M Billets Reports'!D2297)),TRIM(MID('R.M Billets Reports'!D2297,SEARCH("-",'R.M Billets Reports'!D2297)+1,200)),"")),IF(ISNUMBER(SEARCH("Party Name:-",'R.M Billets Reports'!D2298)),TRIM('R.M Billets Reports'!F2298),IF(ISNUMBER(SEARCH("Party Name-",'R.M Billets Reports'!D2298)),TRIM(MID('R.M Billets Reports'!D2298,SEARCH("-",'R.M Billets Reports'!D2298)+1,200)),"")))))),IF(ROW()=2,"",A2297))</f>
      </c>
      <c r="B2298">
        <f>IF(OR('R.M Billets Reports'!A2297="Date-",'R.M Billets Reports'!A2297="Date:-"),'R.M Billets Reports'!B2297,IF(ROW()=2,"",B2297))</f>
      </c>
      <c r="C2298">
        <f>IF('R.M Billets Reports'!A2297="V.No.",'R.M Billets Reports'!B2297,IF(ROW()=2,"",C2297))</f>
      </c>
      <c r="D2298">
        <f>IF('R.M Billets Reports'!A2297&lt;&gt;"",'R.M Billets Reports'!A2297,IF(ROW()=2,"",D2297))</f>
      </c>
      <c r="E2298">
        <f>IF('R.M Billets Reports'!B2297="","",TRIM('R.M Billets Reports'!B2297))</f>
      </c>
      <c r="F2298">
        <f>'R.M Billets Reports'!C2297</f>
      </c>
      <c r="G2298">
        <f>'R.M Billets Reports'!D2297</f>
      </c>
      <c r="H2298">
        <f>'R.M Billets Reports'!E2297</f>
      </c>
      <c r="I2298">
        <f>'R.M Billets Reports'!F2297</f>
      </c>
      <c r="J2298">
        <f>'R.M Billets Reports'!G2297</f>
      </c>
      <c r="K2298">
        <f>'R.M Billets Reports'!H2297</f>
      </c>
      <c r="L2298">
        <f>IF('R.M Billets Reports'!I2297="","",'R.M Billets Reports'!I2297)</f>
      </c>
      <c r="M2298">
        <f t="shared" si="70"/>
      </c>
      <c r="N2298">
        <f>IF('R.M Billets Reports'!J2297="","",'R.M Billets Reports'!J2297)</f>
      </c>
      <c r="O2298">
        <f t="shared" si="71"/>
      </c>
      <c r="P2298">
        <f>IF('R.M Billets Reports'!A2297="SIZE",'R.M Billets Reports'!B2297,P2297)</f>
      </c>
    </row>
    <row r="2299" spans="1:16" x14ac:dyDescent="0.25">
      <c r="A2299">
        <f>IF(OR('R.M Billets Reports'!A2298="Date-",'R.M Billets Reports'!A2298="Date:-"),IF(IF(IF(ISNUMBER(SEARCH("Party Name:-",'R.M Billets Reports'!D2298)),TRIM('R.M Billets Reports'!F2298),IF(ISNUMBER(SEARCH("Party Name-",'R.M Billets Reports'!D2298)),TRIM(MID('R.M Billets Reports'!D2298,SEARCH("-",'R.M Billets Reports'!D2298)+1,200)),""))&lt;&gt;"",IF(ISNUMBER(SEARCH("Party Name:-",'R.M Billets Reports'!D2298)),TRIM('R.M Billets Reports'!F2298),IF(ISNUMBER(SEARCH("Party Name-",'R.M Billets Reports'!D2298)),TRIM(MID('R.M Billets Reports'!D2298,SEARCH("-",'R.M Billets Reports'!D2298)+1,200)),"")),IF(ISNUMBER(SEARCH("Party Name:-",'R.M Billets Reports'!D2299)),TRIM('R.M Billets Reports'!F2299),IF(ISNUMBER(SEARCH("Party Name-",'R.M Billets Reports'!D2299)),TRIM(MID('R.M Billets Reports'!D2299,SEARCH("-",'R.M Billets Reports'!D2299)+1,200)),"")))="VRKP ISPAT PVT LTD","VRKP",IF(IF(IF(ISNUMBER(SEARCH("Party Name:-",'R.M Billets Reports'!D2298)),TRIM('R.M Billets Reports'!F2298),IF(ISNUMBER(SEARCH("Party Name-",'R.M Billets Reports'!D2298)),TRIM(MID('R.M Billets Reports'!D2298,SEARCH("-",'R.M Billets Reports'!D2298)+1,200)),""))&lt;&gt;"",IF(ISNUMBER(SEARCH("Party Name:-",'R.M Billets Reports'!D2298)),TRIM('R.M Billets Reports'!F2298),IF(ISNUMBER(SEARCH("Party Name-",'R.M Billets Reports'!D2298)),TRIM(MID('R.M Billets Reports'!D2298,SEARCH("-",'R.M Billets Reports'!D2298)+1,200)),"")),IF(ISNUMBER(SEARCH("Party Name:-",'R.M Billets Reports'!D2299)),TRIM('R.M Billets Reports'!F2299),IF(ISNUMBER(SEARCH("Party Name-",'R.M Billets Reports'!D2299)),TRIM(MID('R.M Billets Reports'!D2299,SEARCH("-",'R.M Billets Reports'!D2299)+1,200)),"")))="SHRI RADHE","SHREE RADHE",IF(IF(IF(ISNUMBER(SEARCH("Party Name:-",'R.M Billets Reports'!D2298)),TRIM('R.M Billets Reports'!F2298),IF(ISNUMBER(SEARCH("Party Name-",'R.M Billets Reports'!D2298)),TRIM(MID('R.M Billets Reports'!D2298,SEARCH("-",'R.M Billets Reports'!D2298)+1,200)),""))&lt;&gt;"",IF(ISNUMBER(SEARCH("Party Name:-",'R.M Billets Reports'!D2298)),TRIM('R.M Billets Reports'!F2298),IF(ISNUMBER(SEARCH("Party Name-",'R.M Billets Reports'!D2298)),TRIM(MID('R.M Billets Reports'!D2298,SEARCH("-",'R.M Billets Reports'!D2298)+1,200)),"")),IF(ISNUMBER(SEARCH("Party Name:-",'R.M Billets Reports'!D2299)),TRIM('R.M Billets Reports'!F2299),IF(ISNUMBER(SEARCH("Party Name-",'R.M Billets Reports'!D2299)),TRIM(MID('R.M Billets Reports'!D2299,SEARCH("-",'R.M Billets Reports'!D2299)+1,200)),"")))="SHREE RADHE SHAKTI SPONGE AND POWER PVT. LTD.","SHREE RADHE",IF(IF(ISNUMBER(SEARCH("Party Name:-",'R.M Billets Reports'!D2298)),TRIM('R.M Billets Reports'!F2298),IF(ISNUMBER(SEARCH("Party Name-",'R.M Billets Reports'!D2298)),TRIM(MID('R.M Billets Reports'!D2298,SEARCH("-",'R.M Billets Reports'!D2298)+1,200)),""))&lt;&gt;"",IF(ISNUMBER(SEARCH("Party Name:-",'R.M Billets Reports'!D2298)),TRIM('R.M Billets Reports'!F2298),IF(ISNUMBER(SEARCH("Party Name-",'R.M Billets Reports'!D2298)),TRIM(MID('R.M Billets Reports'!D2298,SEARCH("-",'R.M Billets Reports'!D2298)+1,200)),"")),IF(ISNUMBER(SEARCH("Party Name:-",'R.M Billets Reports'!D2299)),TRIM('R.M Billets Reports'!F2299),IF(ISNUMBER(SEARCH("Party Name-",'R.M Billets Reports'!D2299)),TRIM(MID('R.M Billets Reports'!D2299,SEARCH("-",'R.M Billets Reports'!D2299)+1,200)),"")))))),IF(ROW()=2,"",A2298))</f>
      </c>
      <c r="B2299">
        <f>IF(OR('R.M Billets Reports'!A2298="Date-",'R.M Billets Reports'!A2298="Date:-"),'R.M Billets Reports'!B2298,IF(ROW()=2,"",B2298))</f>
      </c>
      <c r="C2299">
        <f>IF('R.M Billets Reports'!A2298="V.No.",'R.M Billets Reports'!B2298,IF(ROW()=2,"",C2298))</f>
      </c>
      <c r="D2299">
        <f>IF('R.M Billets Reports'!A2298&lt;&gt;"",'R.M Billets Reports'!A2298,IF(ROW()=2,"",D2298))</f>
      </c>
      <c r="E2299">
        <f>IF('R.M Billets Reports'!B2298="","",TRIM('R.M Billets Reports'!B2298))</f>
      </c>
      <c r="F2299">
        <f>'R.M Billets Reports'!C2298</f>
      </c>
      <c r="G2299">
        <f>'R.M Billets Reports'!D2298</f>
      </c>
      <c r="H2299">
        <f>'R.M Billets Reports'!E2298</f>
      </c>
      <c r="I2299">
        <f>'R.M Billets Reports'!F2298</f>
      </c>
      <c r="J2299">
        <f>'R.M Billets Reports'!G2298</f>
      </c>
      <c r="K2299">
        <f>'R.M Billets Reports'!H2298</f>
      </c>
      <c r="L2299">
        <f>IF('R.M Billets Reports'!I2298="","",'R.M Billets Reports'!I2298)</f>
      </c>
      <c r="M2299">
        <f t="shared" si="70"/>
      </c>
      <c r="N2299">
        <f>IF('R.M Billets Reports'!J2298="","",'R.M Billets Reports'!J2298)</f>
      </c>
      <c r="O2299">
        <f t="shared" si="71"/>
      </c>
      <c r="P2299">
        <f>IF('R.M Billets Reports'!A2298="SIZE",'R.M Billets Reports'!B2298,P2298)</f>
      </c>
    </row>
    <row r="2300" spans="1:16" x14ac:dyDescent="0.25">
      <c r="A2300">
        <f>IF(OR('R.M Billets Reports'!A2299="Date-",'R.M Billets Reports'!A2299="Date:-"),IF(IF(IF(ISNUMBER(SEARCH("Party Name:-",'R.M Billets Reports'!D2299)),TRIM('R.M Billets Reports'!F2299),IF(ISNUMBER(SEARCH("Party Name-",'R.M Billets Reports'!D2299)),TRIM(MID('R.M Billets Reports'!D2299,SEARCH("-",'R.M Billets Reports'!D2299)+1,200)),""))&lt;&gt;"",IF(ISNUMBER(SEARCH("Party Name:-",'R.M Billets Reports'!D2299)),TRIM('R.M Billets Reports'!F2299),IF(ISNUMBER(SEARCH("Party Name-",'R.M Billets Reports'!D2299)),TRIM(MID('R.M Billets Reports'!D2299,SEARCH("-",'R.M Billets Reports'!D2299)+1,200)),"")),IF(ISNUMBER(SEARCH("Party Name:-",'R.M Billets Reports'!D2300)),TRIM('R.M Billets Reports'!F2300),IF(ISNUMBER(SEARCH("Party Name-",'R.M Billets Reports'!D2300)),TRIM(MID('R.M Billets Reports'!D2300,SEARCH("-",'R.M Billets Reports'!D2300)+1,200)),"")))="VRKP ISPAT PVT LTD","VRKP",IF(IF(IF(ISNUMBER(SEARCH("Party Name:-",'R.M Billets Reports'!D2299)),TRIM('R.M Billets Reports'!F2299),IF(ISNUMBER(SEARCH("Party Name-",'R.M Billets Reports'!D2299)),TRIM(MID('R.M Billets Reports'!D2299,SEARCH("-",'R.M Billets Reports'!D2299)+1,200)),""))&lt;&gt;"",IF(ISNUMBER(SEARCH("Party Name:-",'R.M Billets Reports'!D2299)),TRIM('R.M Billets Reports'!F2299),IF(ISNUMBER(SEARCH("Party Name-",'R.M Billets Reports'!D2299)),TRIM(MID('R.M Billets Reports'!D2299,SEARCH("-",'R.M Billets Reports'!D2299)+1,200)),"")),IF(ISNUMBER(SEARCH("Party Name:-",'R.M Billets Reports'!D2300)),TRIM('R.M Billets Reports'!F2300),IF(ISNUMBER(SEARCH("Party Name-",'R.M Billets Reports'!D2300)),TRIM(MID('R.M Billets Reports'!D2300,SEARCH("-",'R.M Billets Reports'!D2300)+1,200)),"")))="SHRI RADHE","SHREE RADHE",IF(IF(IF(ISNUMBER(SEARCH("Party Name:-",'R.M Billets Reports'!D2299)),TRIM('R.M Billets Reports'!F2299),IF(ISNUMBER(SEARCH("Party Name-",'R.M Billets Reports'!D2299)),TRIM(MID('R.M Billets Reports'!D2299,SEARCH("-",'R.M Billets Reports'!D2299)+1,200)),""))&lt;&gt;"",IF(ISNUMBER(SEARCH("Party Name:-",'R.M Billets Reports'!D2299)),TRIM('R.M Billets Reports'!F2299),IF(ISNUMBER(SEARCH("Party Name-",'R.M Billets Reports'!D2299)),TRIM(MID('R.M Billets Reports'!D2299,SEARCH("-",'R.M Billets Reports'!D2299)+1,200)),"")),IF(ISNUMBER(SEARCH("Party Name:-",'R.M Billets Reports'!D2300)),TRIM('R.M Billets Reports'!F2300),IF(ISNUMBER(SEARCH("Party Name-",'R.M Billets Reports'!D2300)),TRIM(MID('R.M Billets Reports'!D2300,SEARCH("-",'R.M Billets Reports'!D2300)+1,200)),"")))="SHREE RADHE SHAKTI SPONGE AND POWER PVT. LTD.","SHREE RADHE",IF(IF(ISNUMBER(SEARCH("Party Name:-",'R.M Billets Reports'!D2299)),TRIM('R.M Billets Reports'!F2299),IF(ISNUMBER(SEARCH("Party Name-",'R.M Billets Reports'!D2299)),TRIM(MID('R.M Billets Reports'!D2299,SEARCH("-",'R.M Billets Reports'!D2299)+1,200)),""))&lt;&gt;"",IF(ISNUMBER(SEARCH("Party Name:-",'R.M Billets Reports'!D2299)),TRIM('R.M Billets Reports'!F2299),IF(ISNUMBER(SEARCH("Party Name-",'R.M Billets Reports'!D2299)),TRIM(MID('R.M Billets Reports'!D2299,SEARCH("-",'R.M Billets Reports'!D2299)+1,200)),"")),IF(ISNUMBER(SEARCH("Party Name:-",'R.M Billets Reports'!D2300)),TRIM('R.M Billets Reports'!F2300),IF(ISNUMBER(SEARCH("Party Name-",'R.M Billets Reports'!D2300)),TRIM(MID('R.M Billets Reports'!D2300,SEARCH("-",'R.M Billets Reports'!D2300)+1,200)),"")))))),IF(ROW()=2,"",A2299))</f>
      </c>
      <c r="B2300">
        <f>IF(OR('R.M Billets Reports'!A2299="Date-",'R.M Billets Reports'!A2299="Date:-"),'R.M Billets Reports'!B2299,IF(ROW()=2,"",B2299))</f>
      </c>
      <c r="C2300">
        <f>IF('R.M Billets Reports'!A2299="V.No.",'R.M Billets Reports'!B2299,IF(ROW()=2,"",C2299))</f>
      </c>
      <c r="D2300">
        <f>IF('R.M Billets Reports'!A2299&lt;&gt;"",'R.M Billets Reports'!A2299,IF(ROW()=2,"",D2299))</f>
      </c>
      <c r="E2300">
        <f>IF('R.M Billets Reports'!B2299="","",TRIM('R.M Billets Reports'!B2299))</f>
      </c>
      <c r="F2300">
        <f>'R.M Billets Reports'!C2299</f>
      </c>
      <c r="G2300">
        <f>'R.M Billets Reports'!D2299</f>
      </c>
      <c r="H2300">
        <f>'R.M Billets Reports'!E2299</f>
      </c>
      <c r="I2300">
        <f>'R.M Billets Reports'!F2299</f>
      </c>
      <c r="J2300">
        <f>'R.M Billets Reports'!G2299</f>
      </c>
      <c r="K2300">
        <f>'R.M Billets Reports'!H2299</f>
      </c>
      <c r="L2300">
        <f>IF('R.M Billets Reports'!I2299="","",'R.M Billets Reports'!I2299)</f>
      </c>
      <c r="M2300">
        <f t="shared" si="70"/>
      </c>
      <c r="N2300">
        <f>IF('R.M Billets Reports'!J2299="","",'R.M Billets Reports'!J2299)</f>
      </c>
      <c r="O2300">
        <f t="shared" si="71"/>
      </c>
      <c r="P2300">
        <f>IF('R.M Billets Reports'!A2299="SIZE",'R.M Billets Reports'!B2299,P2299)</f>
      </c>
    </row>
    <row r="2301" spans="1:16" x14ac:dyDescent="0.25">
      <c r="A2301">
        <f>IF(OR('R.M Billets Reports'!A2300="Date-",'R.M Billets Reports'!A2300="Date:-"),IF(IF(IF(ISNUMBER(SEARCH("Party Name:-",'R.M Billets Reports'!D2300)),TRIM('R.M Billets Reports'!F2300),IF(ISNUMBER(SEARCH("Party Name-",'R.M Billets Reports'!D2300)),TRIM(MID('R.M Billets Reports'!D2300,SEARCH("-",'R.M Billets Reports'!D2300)+1,200)),""))&lt;&gt;"",IF(ISNUMBER(SEARCH("Party Name:-",'R.M Billets Reports'!D2300)),TRIM('R.M Billets Reports'!F2300),IF(ISNUMBER(SEARCH("Party Name-",'R.M Billets Reports'!D2300)),TRIM(MID('R.M Billets Reports'!D2300,SEARCH("-",'R.M Billets Reports'!D2300)+1,200)),"")),IF(ISNUMBER(SEARCH("Party Name:-",'R.M Billets Reports'!D2301)),TRIM('R.M Billets Reports'!F2301),IF(ISNUMBER(SEARCH("Party Name-",'R.M Billets Reports'!D2301)),TRIM(MID('R.M Billets Reports'!D2301,SEARCH("-",'R.M Billets Reports'!D2301)+1,200)),"")))="VRKP ISPAT PVT LTD","VRKP",IF(IF(IF(ISNUMBER(SEARCH("Party Name:-",'R.M Billets Reports'!D2300)),TRIM('R.M Billets Reports'!F2300),IF(ISNUMBER(SEARCH("Party Name-",'R.M Billets Reports'!D2300)),TRIM(MID('R.M Billets Reports'!D2300,SEARCH("-",'R.M Billets Reports'!D2300)+1,200)),""))&lt;&gt;"",IF(ISNUMBER(SEARCH("Party Name:-",'R.M Billets Reports'!D2300)),TRIM('R.M Billets Reports'!F2300),IF(ISNUMBER(SEARCH("Party Name-",'R.M Billets Reports'!D2300)),TRIM(MID('R.M Billets Reports'!D2300,SEARCH("-",'R.M Billets Reports'!D2300)+1,200)),"")),IF(ISNUMBER(SEARCH("Party Name:-",'R.M Billets Reports'!D2301)),TRIM('R.M Billets Reports'!F2301),IF(ISNUMBER(SEARCH("Party Name-",'R.M Billets Reports'!D2301)),TRIM(MID('R.M Billets Reports'!D2301,SEARCH("-",'R.M Billets Reports'!D2301)+1,200)),"")))="SHRI RADHE","SHREE RADHE",IF(IF(IF(ISNUMBER(SEARCH("Party Name:-",'R.M Billets Reports'!D2300)),TRIM('R.M Billets Reports'!F2300),IF(ISNUMBER(SEARCH("Party Name-",'R.M Billets Reports'!D2300)),TRIM(MID('R.M Billets Reports'!D2300,SEARCH("-",'R.M Billets Reports'!D2300)+1,200)),""))&lt;&gt;"",IF(ISNUMBER(SEARCH("Party Name:-",'R.M Billets Reports'!D2300)),TRIM('R.M Billets Reports'!F2300),IF(ISNUMBER(SEARCH("Party Name-",'R.M Billets Reports'!D2300)),TRIM(MID('R.M Billets Reports'!D2300,SEARCH("-",'R.M Billets Reports'!D2300)+1,200)),"")),IF(ISNUMBER(SEARCH("Party Name:-",'R.M Billets Reports'!D2301)),TRIM('R.M Billets Reports'!F2301),IF(ISNUMBER(SEARCH("Party Name-",'R.M Billets Reports'!D2301)),TRIM(MID('R.M Billets Reports'!D2301,SEARCH("-",'R.M Billets Reports'!D2301)+1,200)),"")))="SHREE RADHE SHAKTI SPONGE AND POWER PVT. LTD.","SHREE RADHE",IF(IF(ISNUMBER(SEARCH("Party Name:-",'R.M Billets Reports'!D2300)),TRIM('R.M Billets Reports'!F2300),IF(ISNUMBER(SEARCH("Party Name-",'R.M Billets Reports'!D2300)),TRIM(MID('R.M Billets Reports'!D2300,SEARCH("-",'R.M Billets Reports'!D2300)+1,200)),""))&lt;&gt;"",IF(ISNUMBER(SEARCH("Party Name:-",'R.M Billets Reports'!D2300)),TRIM('R.M Billets Reports'!F2300),IF(ISNUMBER(SEARCH("Party Name-",'R.M Billets Reports'!D2300)),TRIM(MID('R.M Billets Reports'!D2300,SEARCH("-",'R.M Billets Reports'!D2300)+1,200)),"")),IF(ISNUMBER(SEARCH("Party Name:-",'R.M Billets Reports'!D2301)),TRIM('R.M Billets Reports'!F2301),IF(ISNUMBER(SEARCH("Party Name-",'R.M Billets Reports'!D2301)),TRIM(MID('R.M Billets Reports'!D2301,SEARCH("-",'R.M Billets Reports'!D2301)+1,200)),"")))))),IF(ROW()=2,"",A2300))</f>
      </c>
      <c r="B2301">
        <f>IF(OR('R.M Billets Reports'!A2300="Date-",'R.M Billets Reports'!A2300="Date:-"),'R.M Billets Reports'!B2300,IF(ROW()=2,"",B2300))</f>
      </c>
      <c r="C2301">
        <f>IF('R.M Billets Reports'!A2300="V.No.",'R.M Billets Reports'!B2300,IF(ROW()=2,"",C2300))</f>
      </c>
      <c r="D2301">
        <f>IF('R.M Billets Reports'!A2300&lt;&gt;"",'R.M Billets Reports'!A2300,IF(ROW()=2,"",D2300))</f>
      </c>
      <c r="E2301">
        <f>IF('R.M Billets Reports'!B2300="","",TRIM('R.M Billets Reports'!B2300))</f>
      </c>
      <c r="F2301">
        <f>'R.M Billets Reports'!C2300</f>
      </c>
      <c r="G2301">
        <f>'R.M Billets Reports'!D2300</f>
      </c>
      <c r="H2301">
        <f>'R.M Billets Reports'!E2300</f>
      </c>
      <c r="I2301">
        <f>'R.M Billets Reports'!F2300</f>
      </c>
      <c r="J2301">
        <f>'R.M Billets Reports'!G2300</f>
      </c>
      <c r="K2301">
        <f>'R.M Billets Reports'!H2300</f>
      </c>
      <c r="L2301">
        <f>IF('R.M Billets Reports'!I2300="","",'R.M Billets Reports'!I2300)</f>
      </c>
      <c r="M2301">
        <f t="shared" si="70"/>
      </c>
      <c r="N2301">
        <f>IF('R.M Billets Reports'!J2300="","",'R.M Billets Reports'!J2300)</f>
      </c>
      <c r="O2301">
        <f t="shared" si="71"/>
      </c>
      <c r="P2301">
        <f>IF('R.M Billets Reports'!A2300="SIZE",'R.M Billets Reports'!B2300,P2300)</f>
      </c>
    </row>
    <row r="2302" spans="1:16" x14ac:dyDescent="0.25">
      <c r="A2302">
        <f>IF(OR('R.M Billets Reports'!A2301="Date-",'R.M Billets Reports'!A2301="Date:-"),IF(IF(IF(ISNUMBER(SEARCH("Party Name:-",'R.M Billets Reports'!D2301)),TRIM('R.M Billets Reports'!F2301),IF(ISNUMBER(SEARCH("Party Name-",'R.M Billets Reports'!D2301)),TRIM(MID('R.M Billets Reports'!D2301,SEARCH("-",'R.M Billets Reports'!D2301)+1,200)),""))&lt;&gt;"",IF(ISNUMBER(SEARCH("Party Name:-",'R.M Billets Reports'!D2301)),TRIM('R.M Billets Reports'!F2301),IF(ISNUMBER(SEARCH("Party Name-",'R.M Billets Reports'!D2301)),TRIM(MID('R.M Billets Reports'!D2301,SEARCH("-",'R.M Billets Reports'!D2301)+1,200)),"")),IF(ISNUMBER(SEARCH("Party Name:-",'R.M Billets Reports'!D2302)),TRIM('R.M Billets Reports'!F2302),IF(ISNUMBER(SEARCH("Party Name-",'R.M Billets Reports'!D2302)),TRIM(MID('R.M Billets Reports'!D2302,SEARCH("-",'R.M Billets Reports'!D2302)+1,200)),"")))="VRKP ISPAT PVT LTD","VRKP",IF(IF(IF(ISNUMBER(SEARCH("Party Name:-",'R.M Billets Reports'!D2301)),TRIM('R.M Billets Reports'!F2301),IF(ISNUMBER(SEARCH("Party Name-",'R.M Billets Reports'!D2301)),TRIM(MID('R.M Billets Reports'!D2301,SEARCH("-",'R.M Billets Reports'!D2301)+1,200)),""))&lt;&gt;"",IF(ISNUMBER(SEARCH("Party Name:-",'R.M Billets Reports'!D2301)),TRIM('R.M Billets Reports'!F2301),IF(ISNUMBER(SEARCH("Party Name-",'R.M Billets Reports'!D2301)),TRIM(MID('R.M Billets Reports'!D2301,SEARCH("-",'R.M Billets Reports'!D2301)+1,200)),"")),IF(ISNUMBER(SEARCH("Party Name:-",'R.M Billets Reports'!D2302)),TRIM('R.M Billets Reports'!F2302),IF(ISNUMBER(SEARCH("Party Name-",'R.M Billets Reports'!D2302)),TRIM(MID('R.M Billets Reports'!D2302,SEARCH("-",'R.M Billets Reports'!D2302)+1,200)),"")))="SHRI RADHE","SHREE RADHE",IF(IF(IF(ISNUMBER(SEARCH("Party Name:-",'R.M Billets Reports'!D2301)),TRIM('R.M Billets Reports'!F2301),IF(ISNUMBER(SEARCH("Party Name-",'R.M Billets Reports'!D2301)),TRIM(MID('R.M Billets Reports'!D2301,SEARCH("-",'R.M Billets Reports'!D2301)+1,200)),""))&lt;&gt;"",IF(ISNUMBER(SEARCH("Party Name:-",'R.M Billets Reports'!D2301)),TRIM('R.M Billets Reports'!F2301),IF(ISNUMBER(SEARCH("Party Name-",'R.M Billets Reports'!D2301)),TRIM(MID('R.M Billets Reports'!D2301,SEARCH("-",'R.M Billets Reports'!D2301)+1,200)),"")),IF(ISNUMBER(SEARCH("Party Name:-",'R.M Billets Reports'!D2302)),TRIM('R.M Billets Reports'!F2302),IF(ISNUMBER(SEARCH("Party Name-",'R.M Billets Reports'!D2302)),TRIM(MID('R.M Billets Reports'!D2302,SEARCH("-",'R.M Billets Reports'!D2302)+1,200)),"")))="SHREE RADHE SHAKTI SPONGE AND POWER PVT. LTD.","SHREE RADHE",IF(IF(ISNUMBER(SEARCH("Party Name:-",'R.M Billets Reports'!D2301)),TRIM('R.M Billets Reports'!F2301),IF(ISNUMBER(SEARCH("Party Name-",'R.M Billets Reports'!D2301)),TRIM(MID('R.M Billets Reports'!D2301,SEARCH("-",'R.M Billets Reports'!D2301)+1,200)),""))&lt;&gt;"",IF(ISNUMBER(SEARCH("Party Name:-",'R.M Billets Reports'!D2301)),TRIM('R.M Billets Reports'!F2301),IF(ISNUMBER(SEARCH("Party Name-",'R.M Billets Reports'!D2301)),TRIM(MID('R.M Billets Reports'!D2301,SEARCH("-",'R.M Billets Reports'!D2301)+1,200)),"")),IF(ISNUMBER(SEARCH("Party Name:-",'R.M Billets Reports'!D2302)),TRIM('R.M Billets Reports'!F2302),IF(ISNUMBER(SEARCH("Party Name-",'R.M Billets Reports'!D2302)),TRIM(MID('R.M Billets Reports'!D2302,SEARCH("-",'R.M Billets Reports'!D2302)+1,200)),"")))))),IF(ROW()=2,"",A2301))</f>
      </c>
      <c r="B2302">
        <f>IF(OR('R.M Billets Reports'!A2301="Date-",'R.M Billets Reports'!A2301="Date:-"),'R.M Billets Reports'!B2301,IF(ROW()=2,"",B2301))</f>
      </c>
      <c r="C2302">
        <f>IF('R.M Billets Reports'!A2301="V.No.",'R.M Billets Reports'!B2301,IF(ROW()=2,"",C2301))</f>
      </c>
      <c r="D2302">
        <f>IF('R.M Billets Reports'!A2301&lt;&gt;"",'R.M Billets Reports'!A2301,IF(ROW()=2,"",D2301))</f>
      </c>
      <c r="E2302">
        <f>IF('R.M Billets Reports'!B2301="","",TRIM('R.M Billets Reports'!B2301))</f>
      </c>
      <c r="F2302">
        <f>'R.M Billets Reports'!C2301</f>
      </c>
      <c r="G2302">
        <f>'R.M Billets Reports'!D2301</f>
      </c>
      <c r="H2302">
        <f>'R.M Billets Reports'!E2301</f>
      </c>
      <c r="I2302">
        <f>'R.M Billets Reports'!F2301</f>
      </c>
      <c r="J2302">
        <f>'R.M Billets Reports'!G2301</f>
      </c>
      <c r="K2302">
        <f>'R.M Billets Reports'!H2301</f>
      </c>
      <c r="L2302">
        <f>IF('R.M Billets Reports'!I2301="","",'R.M Billets Reports'!I2301)</f>
      </c>
      <c r="M2302">
        <f t="shared" si="70"/>
      </c>
      <c r="N2302">
        <f>IF('R.M Billets Reports'!J2301="","",'R.M Billets Reports'!J2301)</f>
      </c>
      <c r="O2302">
        <f t="shared" si="71"/>
      </c>
      <c r="P2302">
        <f>IF('R.M Billets Reports'!A2301="SIZE",'R.M Billets Reports'!B2301,P2301)</f>
      </c>
    </row>
    <row r="2303" spans="1:16" x14ac:dyDescent="0.25">
      <c r="A2303">
        <f>IF(OR('R.M Billets Reports'!A2302="Date-",'R.M Billets Reports'!A2302="Date:-"),IF(IF(IF(ISNUMBER(SEARCH("Party Name:-",'R.M Billets Reports'!D2302)),TRIM('R.M Billets Reports'!F2302),IF(ISNUMBER(SEARCH("Party Name-",'R.M Billets Reports'!D2302)),TRIM(MID('R.M Billets Reports'!D2302,SEARCH("-",'R.M Billets Reports'!D2302)+1,200)),""))&lt;&gt;"",IF(ISNUMBER(SEARCH("Party Name:-",'R.M Billets Reports'!D2302)),TRIM('R.M Billets Reports'!F2302),IF(ISNUMBER(SEARCH("Party Name-",'R.M Billets Reports'!D2302)),TRIM(MID('R.M Billets Reports'!D2302,SEARCH("-",'R.M Billets Reports'!D2302)+1,200)),"")),IF(ISNUMBER(SEARCH("Party Name:-",'R.M Billets Reports'!D2303)),TRIM('R.M Billets Reports'!F2303),IF(ISNUMBER(SEARCH("Party Name-",'R.M Billets Reports'!D2303)),TRIM(MID('R.M Billets Reports'!D2303,SEARCH("-",'R.M Billets Reports'!D2303)+1,200)),"")))="VRKP ISPAT PVT LTD","VRKP",IF(IF(IF(ISNUMBER(SEARCH("Party Name:-",'R.M Billets Reports'!D2302)),TRIM('R.M Billets Reports'!F2302),IF(ISNUMBER(SEARCH("Party Name-",'R.M Billets Reports'!D2302)),TRIM(MID('R.M Billets Reports'!D2302,SEARCH("-",'R.M Billets Reports'!D2302)+1,200)),""))&lt;&gt;"",IF(ISNUMBER(SEARCH("Party Name:-",'R.M Billets Reports'!D2302)),TRIM('R.M Billets Reports'!F2302),IF(ISNUMBER(SEARCH("Party Name-",'R.M Billets Reports'!D2302)),TRIM(MID('R.M Billets Reports'!D2302,SEARCH("-",'R.M Billets Reports'!D2302)+1,200)),"")),IF(ISNUMBER(SEARCH("Party Name:-",'R.M Billets Reports'!D2303)),TRIM('R.M Billets Reports'!F2303),IF(ISNUMBER(SEARCH("Party Name-",'R.M Billets Reports'!D2303)),TRIM(MID('R.M Billets Reports'!D2303,SEARCH("-",'R.M Billets Reports'!D2303)+1,200)),"")))="SHRI RADHE","SHREE RADHE",IF(IF(IF(ISNUMBER(SEARCH("Party Name:-",'R.M Billets Reports'!D2302)),TRIM('R.M Billets Reports'!F2302),IF(ISNUMBER(SEARCH("Party Name-",'R.M Billets Reports'!D2302)),TRIM(MID('R.M Billets Reports'!D2302,SEARCH("-",'R.M Billets Reports'!D2302)+1,200)),""))&lt;&gt;"",IF(ISNUMBER(SEARCH("Party Name:-",'R.M Billets Reports'!D2302)),TRIM('R.M Billets Reports'!F2302),IF(ISNUMBER(SEARCH("Party Name-",'R.M Billets Reports'!D2302)),TRIM(MID('R.M Billets Reports'!D2302,SEARCH("-",'R.M Billets Reports'!D2302)+1,200)),"")),IF(ISNUMBER(SEARCH("Party Name:-",'R.M Billets Reports'!D2303)),TRIM('R.M Billets Reports'!F2303),IF(ISNUMBER(SEARCH("Party Name-",'R.M Billets Reports'!D2303)),TRIM(MID('R.M Billets Reports'!D2303,SEARCH("-",'R.M Billets Reports'!D2303)+1,200)),"")))="SHREE RADHE SHAKTI SPONGE AND POWER PVT. LTD.","SHREE RADHE",IF(IF(ISNUMBER(SEARCH("Party Name:-",'R.M Billets Reports'!D2302)),TRIM('R.M Billets Reports'!F2302),IF(ISNUMBER(SEARCH("Party Name-",'R.M Billets Reports'!D2302)),TRIM(MID('R.M Billets Reports'!D2302,SEARCH("-",'R.M Billets Reports'!D2302)+1,200)),""))&lt;&gt;"",IF(ISNUMBER(SEARCH("Party Name:-",'R.M Billets Reports'!D2302)),TRIM('R.M Billets Reports'!F2302),IF(ISNUMBER(SEARCH("Party Name-",'R.M Billets Reports'!D2302)),TRIM(MID('R.M Billets Reports'!D2302,SEARCH("-",'R.M Billets Reports'!D2302)+1,200)),"")),IF(ISNUMBER(SEARCH("Party Name:-",'R.M Billets Reports'!D2303)),TRIM('R.M Billets Reports'!F2303),IF(ISNUMBER(SEARCH("Party Name-",'R.M Billets Reports'!D2303)),TRIM(MID('R.M Billets Reports'!D2303,SEARCH("-",'R.M Billets Reports'!D2303)+1,200)),"")))))),IF(ROW()=2,"",A2302))</f>
      </c>
      <c r="B2303">
        <f>IF(OR('R.M Billets Reports'!A2302="Date-",'R.M Billets Reports'!A2302="Date:-"),'R.M Billets Reports'!B2302,IF(ROW()=2,"",B2302))</f>
      </c>
      <c r="C2303">
        <f>IF('R.M Billets Reports'!A2302="V.No.",'R.M Billets Reports'!B2302,IF(ROW()=2,"",C2302))</f>
      </c>
      <c r="D2303">
        <f>IF('R.M Billets Reports'!A2302&lt;&gt;"",'R.M Billets Reports'!A2302,IF(ROW()=2,"",D2302))</f>
      </c>
      <c r="E2303">
        <f>IF('R.M Billets Reports'!B2302="","",TRIM('R.M Billets Reports'!B2302))</f>
      </c>
      <c r="F2303">
        <f>'R.M Billets Reports'!C2302</f>
      </c>
      <c r="G2303">
        <f>'R.M Billets Reports'!D2302</f>
      </c>
      <c r="H2303">
        <f>'R.M Billets Reports'!E2302</f>
      </c>
      <c r="I2303">
        <f>'R.M Billets Reports'!F2302</f>
      </c>
      <c r="J2303">
        <f>'R.M Billets Reports'!G2302</f>
      </c>
      <c r="K2303">
        <f>'R.M Billets Reports'!H2302</f>
      </c>
      <c r="L2303">
        <f>IF('R.M Billets Reports'!I2302="","",'R.M Billets Reports'!I2302)</f>
      </c>
      <c r="M2303">
        <f t="shared" si="70"/>
      </c>
      <c r="N2303">
        <f>IF('R.M Billets Reports'!J2302="","",'R.M Billets Reports'!J2302)</f>
      </c>
      <c r="O2303">
        <f t="shared" si="71"/>
      </c>
      <c r="P2303">
        <f>IF('R.M Billets Reports'!A2302="SIZE",'R.M Billets Reports'!B2302,P2302)</f>
      </c>
    </row>
    <row r="2304" spans="1:16" x14ac:dyDescent="0.25">
      <c r="A2304">
        <f>IF(OR('R.M Billets Reports'!A2303="Date-",'R.M Billets Reports'!A2303="Date:-"),IF(IF(IF(ISNUMBER(SEARCH("Party Name:-",'R.M Billets Reports'!D2303)),TRIM('R.M Billets Reports'!F2303),IF(ISNUMBER(SEARCH("Party Name-",'R.M Billets Reports'!D2303)),TRIM(MID('R.M Billets Reports'!D2303,SEARCH("-",'R.M Billets Reports'!D2303)+1,200)),""))&lt;&gt;"",IF(ISNUMBER(SEARCH("Party Name:-",'R.M Billets Reports'!D2303)),TRIM('R.M Billets Reports'!F2303),IF(ISNUMBER(SEARCH("Party Name-",'R.M Billets Reports'!D2303)),TRIM(MID('R.M Billets Reports'!D2303,SEARCH("-",'R.M Billets Reports'!D2303)+1,200)),"")),IF(ISNUMBER(SEARCH("Party Name:-",'R.M Billets Reports'!D2304)),TRIM('R.M Billets Reports'!F2304),IF(ISNUMBER(SEARCH("Party Name-",'R.M Billets Reports'!D2304)),TRIM(MID('R.M Billets Reports'!D2304,SEARCH("-",'R.M Billets Reports'!D2304)+1,200)),"")))="VRKP ISPAT PVT LTD","VRKP",IF(IF(IF(ISNUMBER(SEARCH("Party Name:-",'R.M Billets Reports'!D2303)),TRIM('R.M Billets Reports'!F2303),IF(ISNUMBER(SEARCH("Party Name-",'R.M Billets Reports'!D2303)),TRIM(MID('R.M Billets Reports'!D2303,SEARCH("-",'R.M Billets Reports'!D2303)+1,200)),""))&lt;&gt;"",IF(ISNUMBER(SEARCH("Party Name:-",'R.M Billets Reports'!D2303)),TRIM('R.M Billets Reports'!F2303),IF(ISNUMBER(SEARCH("Party Name-",'R.M Billets Reports'!D2303)),TRIM(MID('R.M Billets Reports'!D2303,SEARCH("-",'R.M Billets Reports'!D2303)+1,200)),"")),IF(ISNUMBER(SEARCH("Party Name:-",'R.M Billets Reports'!D2304)),TRIM('R.M Billets Reports'!F2304),IF(ISNUMBER(SEARCH("Party Name-",'R.M Billets Reports'!D2304)),TRIM(MID('R.M Billets Reports'!D2304,SEARCH("-",'R.M Billets Reports'!D2304)+1,200)),"")))="SHRI RADHE","SHREE RADHE",IF(IF(IF(ISNUMBER(SEARCH("Party Name:-",'R.M Billets Reports'!D2303)),TRIM('R.M Billets Reports'!F2303),IF(ISNUMBER(SEARCH("Party Name-",'R.M Billets Reports'!D2303)),TRIM(MID('R.M Billets Reports'!D2303,SEARCH("-",'R.M Billets Reports'!D2303)+1,200)),""))&lt;&gt;"",IF(ISNUMBER(SEARCH("Party Name:-",'R.M Billets Reports'!D2303)),TRIM('R.M Billets Reports'!F2303),IF(ISNUMBER(SEARCH("Party Name-",'R.M Billets Reports'!D2303)),TRIM(MID('R.M Billets Reports'!D2303,SEARCH("-",'R.M Billets Reports'!D2303)+1,200)),"")),IF(ISNUMBER(SEARCH("Party Name:-",'R.M Billets Reports'!D2304)),TRIM('R.M Billets Reports'!F2304),IF(ISNUMBER(SEARCH("Party Name-",'R.M Billets Reports'!D2304)),TRIM(MID('R.M Billets Reports'!D2304,SEARCH("-",'R.M Billets Reports'!D2304)+1,200)),"")))="SHREE RADHE SHAKTI SPONGE AND POWER PVT. LTD.","SHREE RADHE",IF(IF(ISNUMBER(SEARCH("Party Name:-",'R.M Billets Reports'!D2303)),TRIM('R.M Billets Reports'!F2303),IF(ISNUMBER(SEARCH("Party Name-",'R.M Billets Reports'!D2303)),TRIM(MID('R.M Billets Reports'!D2303,SEARCH("-",'R.M Billets Reports'!D2303)+1,200)),""))&lt;&gt;"",IF(ISNUMBER(SEARCH("Party Name:-",'R.M Billets Reports'!D2303)),TRIM('R.M Billets Reports'!F2303),IF(ISNUMBER(SEARCH("Party Name-",'R.M Billets Reports'!D2303)),TRIM(MID('R.M Billets Reports'!D2303,SEARCH("-",'R.M Billets Reports'!D2303)+1,200)),"")),IF(ISNUMBER(SEARCH("Party Name:-",'R.M Billets Reports'!D2304)),TRIM('R.M Billets Reports'!F2304),IF(ISNUMBER(SEARCH("Party Name-",'R.M Billets Reports'!D2304)),TRIM(MID('R.M Billets Reports'!D2304,SEARCH("-",'R.M Billets Reports'!D2304)+1,200)),"")))))),IF(ROW()=2,"",A2303))</f>
      </c>
      <c r="B2304">
        <f>IF(OR('R.M Billets Reports'!A2303="Date-",'R.M Billets Reports'!A2303="Date:-"),'R.M Billets Reports'!B2303,IF(ROW()=2,"",B2303))</f>
      </c>
      <c r="C2304">
        <f>IF('R.M Billets Reports'!A2303="V.No.",'R.M Billets Reports'!B2303,IF(ROW()=2,"",C2303))</f>
      </c>
      <c r="D2304">
        <f>IF('R.M Billets Reports'!A2303&lt;&gt;"",'R.M Billets Reports'!A2303,IF(ROW()=2,"",D2303))</f>
      </c>
      <c r="E2304">
        <f>IF('R.M Billets Reports'!B2303="","",TRIM('R.M Billets Reports'!B2303))</f>
      </c>
      <c r="F2304">
        <f>'R.M Billets Reports'!C2303</f>
      </c>
      <c r="G2304">
        <f>'R.M Billets Reports'!D2303</f>
      </c>
      <c r="H2304">
        <f>'R.M Billets Reports'!E2303</f>
      </c>
      <c r="I2304">
        <f>'R.M Billets Reports'!F2303</f>
      </c>
      <c r="J2304">
        <f>'R.M Billets Reports'!G2303</f>
      </c>
      <c r="K2304">
        <f>'R.M Billets Reports'!H2303</f>
      </c>
      <c r="L2304">
        <f>IF('R.M Billets Reports'!I2303="","",'R.M Billets Reports'!I2303)</f>
      </c>
      <c r="M2304">
        <f t="shared" si="70"/>
      </c>
      <c r="N2304">
        <f>IF('R.M Billets Reports'!J2303="","",'R.M Billets Reports'!J2303)</f>
      </c>
      <c r="O2304">
        <f t="shared" si="71"/>
      </c>
      <c r="P2304">
        <f>IF('R.M Billets Reports'!A2303="SIZE",'R.M Billets Reports'!B2303,P2303)</f>
      </c>
    </row>
    <row r="2305" spans="1:16" x14ac:dyDescent="0.25">
      <c r="A2305">
        <f>IF(OR('R.M Billets Reports'!A2304="Date-",'R.M Billets Reports'!A2304="Date:-"),IF(IF(IF(ISNUMBER(SEARCH("Party Name:-",'R.M Billets Reports'!D2304)),TRIM('R.M Billets Reports'!F2304),IF(ISNUMBER(SEARCH("Party Name-",'R.M Billets Reports'!D2304)),TRIM(MID('R.M Billets Reports'!D2304,SEARCH("-",'R.M Billets Reports'!D2304)+1,200)),""))&lt;&gt;"",IF(ISNUMBER(SEARCH("Party Name:-",'R.M Billets Reports'!D2304)),TRIM('R.M Billets Reports'!F2304),IF(ISNUMBER(SEARCH("Party Name-",'R.M Billets Reports'!D2304)),TRIM(MID('R.M Billets Reports'!D2304,SEARCH("-",'R.M Billets Reports'!D2304)+1,200)),"")),IF(ISNUMBER(SEARCH("Party Name:-",'R.M Billets Reports'!D2305)),TRIM('R.M Billets Reports'!F2305),IF(ISNUMBER(SEARCH("Party Name-",'R.M Billets Reports'!D2305)),TRIM(MID('R.M Billets Reports'!D2305,SEARCH("-",'R.M Billets Reports'!D2305)+1,200)),"")))="VRKP ISPAT PVT LTD","VRKP",IF(IF(IF(ISNUMBER(SEARCH("Party Name:-",'R.M Billets Reports'!D2304)),TRIM('R.M Billets Reports'!F2304),IF(ISNUMBER(SEARCH("Party Name-",'R.M Billets Reports'!D2304)),TRIM(MID('R.M Billets Reports'!D2304,SEARCH("-",'R.M Billets Reports'!D2304)+1,200)),""))&lt;&gt;"",IF(ISNUMBER(SEARCH("Party Name:-",'R.M Billets Reports'!D2304)),TRIM('R.M Billets Reports'!F2304),IF(ISNUMBER(SEARCH("Party Name-",'R.M Billets Reports'!D2304)),TRIM(MID('R.M Billets Reports'!D2304,SEARCH("-",'R.M Billets Reports'!D2304)+1,200)),"")),IF(ISNUMBER(SEARCH("Party Name:-",'R.M Billets Reports'!D2305)),TRIM('R.M Billets Reports'!F2305),IF(ISNUMBER(SEARCH("Party Name-",'R.M Billets Reports'!D2305)),TRIM(MID('R.M Billets Reports'!D2305,SEARCH("-",'R.M Billets Reports'!D2305)+1,200)),"")))="SHRI RADHE","SHREE RADHE",IF(IF(IF(ISNUMBER(SEARCH("Party Name:-",'R.M Billets Reports'!D2304)),TRIM('R.M Billets Reports'!F2304),IF(ISNUMBER(SEARCH("Party Name-",'R.M Billets Reports'!D2304)),TRIM(MID('R.M Billets Reports'!D2304,SEARCH("-",'R.M Billets Reports'!D2304)+1,200)),""))&lt;&gt;"",IF(ISNUMBER(SEARCH("Party Name:-",'R.M Billets Reports'!D2304)),TRIM('R.M Billets Reports'!F2304),IF(ISNUMBER(SEARCH("Party Name-",'R.M Billets Reports'!D2304)),TRIM(MID('R.M Billets Reports'!D2304,SEARCH("-",'R.M Billets Reports'!D2304)+1,200)),"")),IF(ISNUMBER(SEARCH("Party Name:-",'R.M Billets Reports'!D2305)),TRIM('R.M Billets Reports'!F2305),IF(ISNUMBER(SEARCH("Party Name-",'R.M Billets Reports'!D2305)),TRIM(MID('R.M Billets Reports'!D2305,SEARCH("-",'R.M Billets Reports'!D2305)+1,200)),"")))="SHREE RADHE SHAKTI SPONGE AND POWER PVT. LTD.","SHREE RADHE",IF(IF(ISNUMBER(SEARCH("Party Name:-",'R.M Billets Reports'!D2304)),TRIM('R.M Billets Reports'!F2304),IF(ISNUMBER(SEARCH("Party Name-",'R.M Billets Reports'!D2304)),TRIM(MID('R.M Billets Reports'!D2304,SEARCH("-",'R.M Billets Reports'!D2304)+1,200)),""))&lt;&gt;"",IF(ISNUMBER(SEARCH("Party Name:-",'R.M Billets Reports'!D2304)),TRIM('R.M Billets Reports'!F2304),IF(ISNUMBER(SEARCH("Party Name-",'R.M Billets Reports'!D2304)),TRIM(MID('R.M Billets Reports'!D2304,SEARCH("-",'R.M Billets Reports'!D2304)+1,200)),"")),IF(ISNUMBER(SEARCH("Party Name:-",'R.M Billets Reports'!D2305)),TRIM('R.M Billets Reports'!F2305),IF(ISNUMBER(SEARCH("Party Name-",'R.M Billets Reports'!D2305)),TRIM(MID('R.M Billets Reports'!D2305,SEARCH("-",'R.M Billets Reports'!D2305)+1,200)),"")))))),IF(ROW()=2,"",A2304))</f>
      </c>
      <c r="B2305">
        <f>IF(OR('R.M Billets Reports'!A2304="Date-",'R.M Billets Reports'!A2304="Date:-"),'R.M Billets Reports'!B2304,IF(ROW()=2,"",B2304))</f>
      </c>
      <c r="C2305">
        <f>IF('R.M Billets Reports'!A2304="V.No.",'R.M Billets Reports'!B2304,IF(ROW()=2,"",C2304))</f>
      </c>
      <c r="D2305">
        <f>IF('R.M Billets Reports'!A2304&lt;&gt;"",'R.M Billets Reports'!A2304,IF(ROW()=2,"",D2304))</f>
      </c>
      <c r="E2305">
        <f>IF('R.M Billets Reports'!B2304="","",TRIM('R.M Billets Reports'!B2304))</f>
      </c>
      <c r="F2305">
        <f>'R.M Billets Reports'!C2304</f>
      </c>
      <c r="G2305">
        <f>'R.M Billets Reports'!D2304</f>
      </c>
      <c r="H2305">
        <f>'R.M Billets Reports'!E2304</f>
      </c>
      <c r="I2305">
        <f>'R.M Billets Reports'!F2304</f>
      </c>
      <c r="J2305">
        <f>'R.M Billets Reports'!G2304</f>
      </c>
      <c r="K2305">
        <f>'R.M Billets Reports'!H2304</f>
      </c>
      <c r="L2305">
        <f>IF('R.M Billets Reports'!I2304="","",'R.M Billets Reports'!I2304)</f>
      </c>
      <c r="M2305">
        <f t="shared" si="70"/>
      </c>
      <c r="N2305">
        <f>IF('R.M Billets Reports'!J2304="","",'R.M Billets Reports'!J2304)</f>
      </c>
      <c r="O2305">
        <f t="shared" si="71"/>
      </c>
      <c r="P2305">
        <f>IF('R.M Billets Reports'!A2304="SIZE",'R.M Billets Reports'!B2304,P2304)</f>
      </c>
    </row>
    <row r="2306" spans="1:16" x14ac:dyDescent="0.25">
      <c r="A2306">
        <f>IF(OR('R.M Billets Reports'!A2305="Date-",'R.M Billets Reports'!A2305="Date:-"),IF(IF(IF(ISNUMBER(SEARCH("Party Name:-",'R.M Billets Reports'!D2305)),TRIM('R.M Billets Reports'!F2305),IF(ISNUMBER(SEARCH("Party Name-",'R.M Billets Reports'!D2305)),TRIM(MID('R.M Billets Reports'!D2305,SEARCH("-",'R.M Billets Reports'!D2305)+1,200)),""))&lt;&gt;"",IF(ISNUMBER(SEARCH("Party Name:-",'R.M Billets Reports'!D2305)),TRIM('R.M Billets Reports'!F2305),IF(ISNUMBER(SEARCH("Party Name-",'R.M Billets Reports'!D2305)),TRIM(MID('R.M Billets Reports'!D2305,SEARCH("-",'R.M Billets Reports'!D2305)+1,200)),"")),IF(ISNUMBER(SEARCH("Party Name:-",'R.M Billets Reports'!D2306)),TRIM('R.M Billets Reports'!F2306),IF(ISNUMBER(SEARCH("Party Name-",'R.M Billets Reports'!D2306)),TRIM(MID('R.M Billets Reports'!D2306,SEARCH("-",'R.M Billets Reports'!D2306)+1,200)),"")))="VRKP ISPAT PVT LTD","VRKP",IF(IF(IF(ISNUMBER(SEARCH("Party Name:-",'R.M Billets Reports'!D2305)),TRIM('R.M Billets Reports'!F2305),IF(ISNUMBER(SEARCH("Party Name-",'R.M Billets Reports'!D2305)),TRIM(MID('R.M Billets Reports'!D2305,SEARCH("-",'R.M Billets Reports'!D2305)+1,200)),""))&lt;&gt;"",IF(ISNUMBER(SEARCH("Party Name:-",'R.M Billets Reports'!D2305)),TRIM('R.M Billets Reports'!F2305),IF(ISNUMBER(SEARCH("Party Name-",'R.M Billets Reports'!D2305)),TRIM(MID('R.M Billets Reports'!D2305,SEARCH("-",'R.M Billets Reports'!D2305)+1,200)),"")),IF(ISNUMBER(SEARCH("Party Name:-",'R.M Billets Reports'!D2306)),TRIM('R.M Billets Reports'!F2306),IF(ISNUMBER(SEARCH("Party Name-",'R.M Billets Reports'!D2306)),TRIM(MID('R.M Billets Reports'!D2306,SEARCH("-",'R.M Billets Reports'!D2306)+1,200)),"")))="SHRI RADHE","SHREE RADHE",IF(IF(IF(ISNUMBER(SEARCH("Party Name:-",'R.M Billets Reports'!D2305)),TRIM('R.M Billets Reports'!F2305),IF(ISNUMBER(SEARCH("Party Name-",'R.M Billets Reports'!D2305)),TRIM(MID('R.M Billets Reports'!D2305,SEARCH("-",'R.M Billets Reports'!D2305)+1,200)),""))&lt;&gt;"",IF(ISNUMBER(SEARCH("Party Name:-",'R.M Billets Reports'!D2305)),TRIM('R.M Billets Reports'!F2305),IF(ISNUMBER(SEARCH("Party Name-",'R.M Billets Reports'!D2305)),TRIM(MID('R.M Billets Reports'!D2305,SEARCH("-",'R.M Billets Reports'!D2305)+1,200)),"")),IF(ISNUMBER(SEARCH("Party Name:-",'R.M Billets Reports'!D2306)),TRIM('R.M Billets Reports'!F2306),IF(ISNUMBER(SEARCH("Party Name-",'R.M Billets Reports'!D2306)),TRIM(MID('R.M Billets Reports'!D2306,SEARCH("-",'R.M Billets Reports'!D2306)+1,200)),"")))="SHREE RADHE SHAKTI SPONGE AND POWER PVT. LTD.","SHREE RADHE",IF(IF(ISNUMBER(SEARCH("Party Name:-",'R.M Billets Reports'!D2305)),TRIM('R.M Billets Reports'!F2305),IF(ISNUMBER(SEARCH("Party Name-",'R.M Billets Reports'!D2305)),TRIM(MID('R.M Billets Reports'!D2305,SEARCH("-",'R.M Billets Reports'!D2305)+1,200)),""))&lt;&gt;"",IF(ISNUMBER(SEARCH("Party Name:-",'R.M Billets Reports'!D2305)),TRIM('R.M Billets Reports'!F2305),IF(ISNUMBER(SEARCH("Party Name-",'R.M Billets Reports'!D2305)),TRIM(MID('R.M Billets Reports'!D2305,SEARCH("-",'R.M Billets Reports'!D2305)+1,200)),"")),IF(ISNUMBER(SEARCH("Party Name:-",'R.M Billets Reports'!D2306)),TRIM('R.M Billets Reports'!F2306),IF(ISNUMBER(SEARCH("Party Name-",'R.M Billets Reports'!D2306)),TRIM(MID('R.M Billets Reports'!D2306,SEARCH("-",'R.M Billets Reports'!D2306)+1,200)),"")))))),IF(ROW()=2,"",A2305))</f>
      </c>
      <c r="B2306">
        <f>IF(OR('R.M Billets Reports'!A2305="Date-",'R.M Billets Reports'!A2305="Date:-"),'R.M Billets Reports'!B2305,IF(ROW()=2,"",B2305))</f>
      </c>
      <c r="C2306">
        <f>IF('R.M Billets Reports'!A2305="V.No.",'R.M Billets Reports'!B2305,IF(ROW()=2,"",C2305))</f>
      </c>
      <c r="D2306">
        <f>IF('R.M Billets Reports'!A2305&lt;&gt;"",'R.M Billets Reports'!A2305,IF(ROW()=2,"",D2305))</f>
      </c>
      <c r="E2306">
        <f>IF('R.M Billets Reports'!B2305="","",TRIM('R.M Billets Reports'!B2305))</f>
      </c>
      <c r="F2306">
        <f>'R.M Billets Reports'!C2305</f>
      </c>
      <c r="G2306">
        <f>'R.M Billets Reports'!D2305</f>
      </c>
      <c r="H2306">
        <f>'R.M Billets Reports'!E2305</f>
      </c>
      <c r="I2306">
        <f>'R.M Billets Reports'!F2305</f>
      </c>
      <c r="J2306">
        <f>'R.M Billets Reports'!G2305</f>
      </c>
      <c r="K2306">
        <f>'R.M Billets Reports'!H2305</f>
      </c>
      <c r="L2306">
        <f>IF('R.M Billets Reports'!I2305="","",'R.M Billets Reports'!I2305)</f>
      </c>
      <c r="M2306">
        <f t="shared" si="70"/>
      </c>
      <c r="N2306">
        <f>IF('R.M Billets Reports'!J2305="","",'R.M Billets Reports'!J2305)</f>
      </c>
      <c r="O2306">
        <f t="shared" si="71"/>
      </c>
      <c r="P2306">
        <f>IF('R.M Billets Reports'!A2305="SIZE",'R.M Billets Reports'!B2305,P2305)</f>
      </c>
    </row>
    <row r="2307" spans="1:16" x14ac:dyDescent="0.25">
      <c r="A2307">
        <f>IF(OR('R.M Billets Reports'!A2306="Date-",'R.M Billets Reports'!A2306="Date:-"),IF(IF(IF(ISNUMBER(SEARCH("Party Name:-",'R.M Billets Reports'!D2306)),TRIM('R.M Billets Reports'!F2306),IF(ISNUMBER(SEARCH("Party Name-",'R.M Billets Reports'!D2306)),TRIM(MID('R.M Billets Reports'!D2306,SEARCH("-",'R.M Billets Reports'!D2306)+1,200)),""))&lt;&gt;"",IF(ISNUMBER(SEARCH("Party Name:-",'R.M Billets Reports'!D2306)),TRIM('R.M Billets Reports'!F2306),IF(ISNUMBER(SEARCH("Party Name-",'R.M Billets Reports'!D2306)),TRIM(MID('R.M Billets Reports'!D2306,SEARCH("-",'R.M Billets Reports'!D2306)+1,200)),"")),IF(ISNUMBER(SEARCH("Party Name:-",'R.M Billets Reports'!D2307)),TRIM('R.M Billets Reports'!F2307),IF(ISNUMBER(SEARCH("Party Name-",'R.M Billets Reports'!D2307)),TRIM(MID('R.M Billets Reports'!D2307,SEARCH("-",'R.M Billets Reports'!D2307)+1,200)),"")))="VRKP ISPAT PVT LTD","VRKP",IF(IF(IF(ISNUMBER(SEARCH("Party Name:-",'R.M Billets Reports'!D2306)),TRIM('R.M Billets Reports'!F2306),IF(ISNUMBER(SEARCH("Party Name-",'R.M Billets Reports'!D2306)),TRIM(MID('R.M Billets Reports'!D2306,SEARCH("-",'R.M Billets Reports'!D2306)+1,200)),""))&lt;&gt;"",IF(ISNUMBER(SEARCH("Party Name:-",'R.M Billets Reports'!D2306)),TRIM('R.M Billets Reports'!F2306),IF(ISNUMBER(SEARCH("Party Name-",'R.M Billets Reports'!D2306)),TRIM(MID('R.M Billets Reports'!D2306,SEARCH("-",'R.M Billets Reports'!D2306)+1,200)),"")),IF(ISNUMBER(SEARCH("Party Name:-",'R.M Billets Reports'!D2307)),TRIM('R.M Billets Reports'!F2307),IF(ISNUMBER(SEARCH("Party Name-",'R.M Billets Reports'!D2307)),TRIM(MID('R.M Billets Reports'!D2307,SEARCH("-",'R.M Billets Reports'!D2307)+1,200)),"")))="SHRI RADHE","SHREE RADHE",IF(IF(IF(ISNUMBER(SEARCH("Party Name:-",'R.M Billets Reports'!D2306)),TRIM('R.M Billets Reports'!F2306),IF(ISNUMBER(SEARCH("Party Name-",'R.M Billets Reports'!D2306)),TRIM(MID('R.M Billets Reports'!D2306,SEARCH("-",'R.M Billets Reports'!D2306)+1,200)),""))&lt;&gt;"",IF(ISNUMBER(SEARCH("Party Name:-",'R.M Billets Reports'!D2306)),TRIM('R.M Billets Reports'!F2306),IF(ISNUMBER(SEARCH("Party Name-",'R.M Billets Reports'!D2306)),TRIM(MID('R.M Billets Reports'!D2306,SEARCH("-",'R.M Billets Reports'!D2306)+1,200)),"")),IF(ISNUMBER(SEARCH("Party Name:-",'R.M Billets Reports'!D2307)),TRIM('R.M Billets Reports'!F2307),IF(ISNUMBER(SEARCH("Party Name-",'R.M Billets Reports'!D2307)),TRIM(MID('R.M Billets Reports'!D2307,SEARCH("-",'R.M Billets Reports'!D2307)+1,200)),"")))="SHREE RADHE SHAKTI SPONGE AND POWER PVT. LTD.","SHREE RADHE",IF(IF(ISNUMBER(SEARCH("Party Name:-",'R.M Billets Reports'!D2306)),TRIM('R.M Billets Reports'!F2306),IF(ISNUMBER(SEARCH("Party Name-",'R.M Billets Reports'!D2306)),TRIM(MID('R.M Billets Reports'!D2306,SEARCH("-",'R.M Billets Reports'!D2306)+1,200)),""))&lt;&gt;"",IF(ISNUMBER(SEARCH("Party Name:-",'R.M Billets Reports'!D2306)),TRIM('R.M Billets Reports'!F2306),IF(ISNUMBER(SEARCH("Party Name-",'R.M Billets Reports'!D2306)),TRIM(MID('R.M Billets Reports'!D2306,SEARCH("-",'R.M Billets Reports'!D2306)+1,200)),"")),IF(ISNUMBER(SEARCH("Party Name:-",'R.M Billets Reports'!D2307)),TRIM('R.M Billets Reports'!F2307),IF(ISNUMBER(SEARCH("Party Name-",'R.M Billets Reports'!D2307)),TRIM(MID('R.M Billets Reports'!D2307,SEARCH("-",'R.M Billets Reports'!D2307)+1,200)),"")))))),IF(ROW()=2,"",A2306))</f>
      </c>
      <c r="B2307">
        <f>IF(OR('R.M Billets Reports'!A2306="Date-",'R.M Billets Reports'!A2306="Date:-"),'R.M Billets Reports'!B2306,IF(ROW()=2,"",B2306))</f>
      </c>
      <c r="C2307">
        <f>IF('R.M Billets Reports'!A2306="V.No.",'R.M Billets Reports'!B2306,IF(ROW()=2,"",C2306))</f>
      </c>
      <c r="D2307">
        <f>IF('R.M Billets Reports'!A2306&lt;&gt;"",'R.M Billets Reports'!A2306,IF(ROW()=2,"",D2306))</f>
      </c>
      <c r="E2307">
        <f>IF('R.M Billets Reports'!B2306="","",TRIM('R.M Billets Reports'!B2306))</f>
      </c>
      <c r="F2307">
        <f>'R.M Billets Reports'!C2306</f>
      </c>
      <c r="G2307">
        <f>'R.M Billets Reports'!D2306</f>
      </c>
      <c r="H2307">
        <f>'R.M Billets Reports'!E2306</f>
      </c>
      <c r="I2307">
        <f>'R.M Billets Reports'!F2306</f>
      </c>
      <c r="J2307">
        <f>'R.M Billets Reports'!G2306</f>
      </c>
      <c r="K2307">
        <f>'R.M Billets Reports'!H2306</f>
      </c>
      <c r="L2307">
        <f>IF('R.M Billets Reports'!I2306="","",'R.M Billets Reports'!I2306)</f>
      </c>
      <c r="M2307">
        <f t="shared" ref="M2307:M2370" si="72">IF(L2307&lt;&gt;"",L2307,IF(D2307=D2306,M2306,""))</f>
      </c>
      <c r="N2307">
        <f>IF('R.M Billets Reports'!J2306="","",'R.M Billets Reports'!J2306)</f>
      </c>
      <c r="O2307">
        <f t="shared" ref="O2307:O2370" si="73">IF(N2307&lt;&gt;"",N2307,IF(D2307=D2306,O2306,""))</f>
      </c>
      <c r="P2307">
        <f>IF('R.M Billets Reports'!A2306="SIZE",'R.M Billets Reports'!B2306,P2306)</f>
      </c>
    </row>
    <row r="2308" spans="1:16" x14ac:dyDescent="0.25">
      <c r="A2308">
        <f>IF(OR('R.M Billets Reports'!A2307="Date-",'R.M Billets Reports'!A2307="Date:-"),IF(IF(IF(ISNUMBER(SEARCH("Party Name:-",'R.M Billets Reports'!D2307)),TRIM('R.M Billets Reports'!F2307),IF(ISNUMBER(SEARCH("Party Name-",'R.M Billets Reports'!D2307)),TRIM(MID('R.M Billets Reports'!D2307,SEARCH("-",'R.M Billets Reports'!D2307)+1,200)),""))&lt;&gt;"",IF(ISNUMBER(SEARCH("Party Name:-",'R.M Billets Reports'!D2307)),TRIM('R.M Billets Reports'!F2307),IF(ISNUMBER(SEARCH("Party Name-",'R.M Billets Reports'!D2307)),TRIM(MID('R.M Billets Reports'!D2307,SEARCH("-",'R.M Billets Reports'!D2307)+1,200)),"")),IF(ISNUMBER(SEARCH("Party Name:-",'R.M Billets Reports'!D2308)),TRIM('R.M Billets Reports'!F2308),IF(ISNUMBER(SEARCH("Party Name-",'R.M Billets Reports'!D2308)),TRIM(MID('R.M Billets Reports'!D2308,SEARCH("-",'R.M Billets Reports'!D2308)+1,200)),"")))="VRKP ISPAT PVT LTD","VRKP",IF(IF(IF(ISNUMBER(SEARCH("Party Name:-",'R.M Billets Reports'!D2307)),TRIM('R.M Billets Reports'!F2307),IF(ISNUMBER(SEARCH("Party Name-",'R.M Billets Reports'!D2307)),TRIM(MID('R.M Billets Reports'!D2307,SEARCH("-",'R.M Billets Reports'!D2307)+1,200)),""))&lt;&gt;"",IF(ISNUMBER(SEARCH("Party Name:-",'R.M Billets Reports'!D2307)),TRIM('R.M Billets Reports'!F2307),IF(ISNUMBER(SEARCH("Party Name-",'R.M Billets Reports'!D2307)),TRIM(MID('R.M Billets Reports'!D2307,SEARCH("-",'R.M Billets Reports'!D2307)+1,200)),"")),IF(ISNUMBER(SEARCH("Party Name:-",'R.M Billets Reports'!D2308)),TRIM('R.M Billets Reports'!F2308),IF(ISNUMBER(SEARCH("Party Name-",'R.M Billets Reports'!D2308)),TRIM(MID('R.M Billets Reports'!D2308,SEARCH("-",'R.M Billets Reports'!D2308)+1,200)),"")))="SHRI RADHE","SHREE RADHE",IF(IF(IF(ISNUMBER(SEARCH("Party Name:-",'R.M Billets Reports'!D2307)),TRIM('R.M Billets Reports'!F2307),IF(ISNUMBER(SEARCH("Party Name-",'R.M Billets Reports'!D2307)),TRIM(MID('R.M Billets Reports'!D2307,SEARCH("-",'R.M Billets Reports'!D2307)+1,200)),""))&lt;&gt;"",IF(ISNUMBER(SEARCH("Party Name:-",'R.M Billets Reports'!D2307)),TRIM('R.M Billets Reports'!F2307),IF(ISNUMBER(SEARCH("Party Name-",'R.M Billets Reports'!D2307)),TRIM(MID('R.M Billets Reports'!D2307,SEARCH("-",'R.M Billets Reports'!D2307)+1,200)),"")),IF(ISNUMBER(SEARCH("Party Name:-",'R.M Billets Reports'!D2308)),TRIM('R.M Billets Reports'!F2308),IF(ISNUMBER(SEARCH("Party Name-",'R.M Billets Reports'!D2308)),TRIM(MID('R.M Billets Reports'!D2308,SEARCH("-",'R.M Billets Reports'!D2308)+1,200)),"")))="SHREE RADHE SHAKTI SPONGE AND POWER PVT. LTD.","SHREE RADHE",IF(IF(ISNUMBER(SEARCH("Party Name:-",'R.M Billets Reports'!D2307)),TRIM('R.M Billets Reports'!F2307),IF(ISNUMBER(SEARCH("Party Name-",'R.M Billets Reports'!D2307)),TRIM(MID('R.M Billets Reports'!D2307,SEARCH("-",'R.M Billets Reports'!D2307)+1,200)),""))&lt;&gt;"",IF(ISNUMBER(SEARCH("Party Name:-",'R.M Billets Reports'!D2307)),TRIM('R.M Billets Reports'!F2307),IF(ISNUMBER(SEARCH("Party Name-",'R.M Billets Reports'!D2307)),TRIM(MID('R.M Billets Reports'!D2307,SEARCH("-",'R.M Billets Reports'!D2307)+1,200)),"")),IF(ISNUMBER(SEARCH("Party Name:-",'R.M Billets Reports'!D2308)),TRIM('R.M Billets Reports'!F2308),IF(ISNUMBER(SEARCH("Party Name-",'R.M Billets Reports'!D2308)),TRIM(MID('R.M Billets Reports'!D2308,SEARCH("-",'R.M Billets Reports'!D2308)+1,200)),"")))))),IF(ROW()=2,"",A2307))</f>
      </c>
      <c r="B2308">
        <f>IF(OR('R.M Billets Reports'!A2307="Date-",'R.M Billets Reports'!A2307="Date:-"),'R.M Billets Reports'!B2307,IF(ROW()=2,"",B2307))</f>
      </c>
      <c r="C2308">
        <f>IF('R.M Billets Reports'!A2307="V.No.",'R.M Billets Reports'!B2307,IF(ROW()=2,"",C2307))</f>
      </c>
      <c r="D2308">
        <f>IF('R.M Billets Reports'!A2307&lt;&gt;"",'R.M Billets Reports'!A2307,IF(ROW()=2,"",D2307))</f>
      </c>
      <c r="E2308">
        <f>IF('R.M Billets Reports'!B2307="","",TRIM('R.M Billets Reports'!B2307))</f>
      </c>
      <c r="F2308">
        <f>'R.M Billets Reports'!C2307</f>
      </c>
      <c r="G2308">
        <f>'R.M Billets Reports'!D2307</f>
      </c>
      <c r="H2308">
        <f>'R.M Billets Reports'!E2307</f>
      </c>
      <c r="I2308">
        <f>'R.M Billets Reports'!F2307</f>
      </c>
      <c r="J2308">
        <f>'R.M Billets Reports'!G2307</f>
      </c>
      <c r="K2308">
        <f>'R.M Billets Reports'!H2307</f>
      </c>
      <c r="L2308">
        <f>IF('R.M Billets Reports'!I2307="","",'R.M Billets Reports'!I2307)</f>
      </c>
      <c r="M2308">
        <f t="shared" si="72"/>
      </c>
      <c r="N2308">
        <f>IF('R.M Billets Reports'!J2307="","",'R.M Billets Reports'!J2307)</f>
      </c>
      <c r="O2308">
        <f t="shared" si="73"/>
      </c>
      <c r="P2308">
        <f>IF('R.M Billets Reports'!A2307="SIZE",'R.M Billets Reports'!B2307,P2307)</f>
      </c>
    </row>
    <row r="2309" spans="1:16" x14ac:dyDescent="0.25">
      <c r="A2309">
        <f>IF(OR('R.M Billets Reports'!A2308="Date-",'R.M Billets Reports'!A2308="Date:-"),IF(IF(IF(ISNUMBER(SEARCH("Party Name:-",'R.M Billets Reports'!D2308)),TRIM('R.M Billets Reports'!F2308),IF(ISNUMBER(SEARCH("Party Name-",'R.M Billets Reports'!D2308)),TRIM(MID('R.M Billets Reports'!D2308,SEARCH("-",'R.M Billets Reports'!D2308)+1,200)),""))&lt;&gt;"",IF(ISNUMBER(SEARCH("Party Name:-",'R.M Billets Reports'!D2308)),TRIM('R.M Billets Reports'!F2308),IF(ISNUMBER(SEARCH("Party Name-",'R.M Billets Reports'!D2308)),TRIM(MID('R.M Billets Reports'!D2308,SEARCH("-",'R.M Billets Reports'!D2308)+1,200)),"")),IF(ISNUMBER(SEARCH("Party Name:-",'R.M Billets Reports'!D2309)),TRIM('R.M Billets Reports'!F2309),IF(ISNUMBER(SEARCH("Party Name-",'R.M Billets Reports'!D2309)),TRIM(MID('R.M Billets Reports'!D2309,SEARCH("-",'R.M Billets Reports'!D2309)+1,200)),"")))="VRKP ISPAT PVT LTD","VRKP",IF(IF(IF(ISNUMBER(SEARCH("Party Name:-",'R.M Billets Reports'!D2308)),TRIM('R.M Billets Reports'!F2308),IF(ISNUMBER(SEARCH("Party Name-",'R.M Billets Reports'!D2308)),TRIM(MID('R.M Billets Reports'!D2308,SEARCH("-",'R.M Billets Reports'!D2308)+1,200)),""))&lt;&gt;"",IF(ISNUMBER(SEARCH("Party Name:-",'R.M Billets Reports'!D2308)),TRIM('R.M Billets Reports'!F2308),IF(ISNUMBER(SEARCH("Party Name-",'R.M Billets Reports'!D2308)),TRIM(MID('R.M Billets Reports'!D2308,SEARCH("-",'R.M Billets Reports'!D2308)+1,200)),"")),IF(ISNUMBER(SEARCH("Party Name:-",'R.M Billets Reports'!D2309)),TRIM('R.M Billets Reports'!F2309),IF(ISNUMBER(SEARCH("Party Name-",'R.M Billets Reports'!D2309)),TRIM(MID('R.M Billets Reports'!D2309,SEARCH("-",'R.M Billets Reports'!D2309)+1,200)),"")))="SHRI RADHE","SHREE RADHE",IF(IF(IF(ISNUMBER(SEARCH("Party Name:-",'R.M Billets Reports'!D2308)),TRIM('R.M Billets Reports'!F2308),IF(ISNUMBER(SEARCH("Party Name-",'R.M Billets Reports'!D2308)),TRIM(MID('R.M Billets Reports'!D2308,SEARCH("-",'R.M Billets Reports'!D2308)+1,200)),""))&lt;&gt;"",IF(ISNUMBER(SEARCH("Party Name:-",'R.M Billets Reports'!D2308)),TRIM('R.M Billets Reports'!F2308),IF(ISNUMBER(SEARCH("Party Name-",'R.M Billets Reports'!D2308)),TRIM(MID('R.M Billets Reports'!D2308,SEARCH("-",'R.M Billets Reports'!D2308)+1,200)),"")),IF(ISNUMBER(SEARCH("Party Name:-",'R.M Billets Reports'!D2309)),TRIM('R.M Billets Reports'!F2309),IF(ISNUMBER(SEARCH("Party Name-",'R.M Billets Reports'!D2309)),TRIM(MID('R.M Billets Reports'!D2309,SEARCH("-",'R.M Billets Reports'!D2309)+1,200)),"")))="SHREE RADHE SHAKTI SPONGE AND POWER PVT. LTD.","SHREE RADHE",IF(IF(ISNUMBER(SEARCH("Party Name:-",'R.M Billets Reports'!D2308)),TRIM('R.M Billets Reports'!F2308),IF(ISNUMBER(SEARCH("Party Name-",'R.M Billets Reports'!D2308)),TRIM(MID('R.M Billets Reports'!D2308,SEARCH("-",'R.M Billets Reports'!D2308)+1,200)),""))&lt;&gt;"",IF(ISNUMBER(SEARCH("Party Name:-",'R.M Billets Reports'!D2308)),TRIM('R.M Billets Reports'!F2308),IF(ISNUMBER(SEARCH("Party Name-",'R.M Billets Reports'!D2308)),TRIM(MID('R.M Billets Reports'!D2308,SEARCH("-",'R.M Billets Reports'!D2308)+1,200)),"")),IF(ISNUMBER(SEARCH("Party Name:-",'R.M Billets Reports'!D2309)),TRIM('R.M Billets Reports'!F2309),IF(ISNUMBER(SEARCH("Party Name-",'R.M Billets Reports'!D2309)),TRIM(MID('R.M Billets Reports'!D2309,SEARCH("-",'R.M Billets Reports'!D2309)+1,200)),"")))))),IF(ROW()=2,"",A2308))</f>
      </c>
      <c r="B2309">
        <f>IF(OR('R.M Billets Reports'!A2308="Date-",'R.M Billets Reports'!A2308="Date:-"),'R.M Billets Reports'!B2308,IF(ROW()=2,"",B2308))</f>
      </c>
      <c r="C2309">
        <f>IF('R.M Billets Reports'!A2308="V.No.",'R.M Billets Reports'!B2308,IF(ROW()=2,"",C2308))</f>
      </c>
      <c r="D2309">
        <f>IF('R.M Billets Reports'!A2308&lt;&gt;"",'R.M Billets Reports'!A2308,IF(ROW()=2,"",D2308))</f>
      </c>
      <c r="E2309">
        <f>IF('R.M Billets Reports'!B2308="","",TRIM('R.M Billets Reports'!B2308))</f>
      </c>
      <c r="F2309">
        <f>'R.M Billets Reports'!C2308</f>
      </c>
      <c r="G2309">
        <f>'R.M Billets Reports'!D2308</f>
      </c>
      <c r="H2309">
        <f>'R.M Billets Reports'!E2308</f>
      </c>
      <c r="I2309">
        <f>'R.M Billets Reports'!F2308</f>
      </c>
      <c r="J2309">
        <f>'R.M Billets Reports'!G2308</f>
      </c>
      <c r="K2309">
        <f>'R.M Billets Reports'!H2308</f>
      </c>
      <c r="L2309">
        <f>IF('R.M Billets Reports'!I2308="","",'R.M Billets Reports'!I2308)</f>
      </c>
      <c r="M2309">
        <f t="shared" si="72"/>
      </c>
      <c r="N2309">
        <f>IF('R.M Billets Reports'!J2308="","",'R.M Billets Reports'!J2308)</f>
      </c>
      <c r="O2309">
        <f t="shared" si="73"/>
      </c>
      <c r="P2309">
        <f>IF('R.M Billets Reports'!A2308="SIZE",'R.M Billets Reports'!B2308,P2308)</f>
      </c>
    </row>
    <row r="2310" spans="1:16" x14ac:dyDescent="0.25">
      <c r="A2310">
        <f>IF(OR('R.M Billets Reports'!A2309="Date-",'R.M Billets Reports'!A2309="Date:-"),IF(IF(IF(ISNUMBER(SEARCH("Party Name:-",'R.M Billets Reports'!D2309)),TRIM('R.M Billets Reports'!F2309),IF(ISNUMBER(SEARCH("Party Name-",'R.M Billets Reports'!D2309)),TRIM(MID('R.M Billets Reports'!D2309,SEARCH("-",'R.M Billets Reports'!D2309)+1,200)),""))&lt;&gt;"",IF(ISNUMBER(SEARCH("Party Name:-",'R.M Billets Reports'!D2309)),TRIM('R.M Billets Reports'!F2309),IF(ISNUMBER(SEARCH("Party Name-",'R.M Billets Reports'!D2309)),TRIM(MID('R.M Billets Reports'!D2309,SEARCH("-",'R.M Billets Reports'!D2309)+1,200)),"")),IF(ISNUMBER(SEARCH("Party Name:-",'R.M Billets Reports'!D2310)),TRIM('R.M Billets Reports'!F2310),IF(ISNUMBER(SEARCH("Party Name-",'R.M Billets Reports'!D2310)),TRIM(MID('R.M Billets Reports'!D2310,SEARCH("-",'R.M Billets Reports'!D2310)+1,200)),"")))="VRKP ISPAT PVT LTD","VRKP",IF(IF(IF(ISNUMBER(SEARCH("Party Name:-",'R.M Billets Reports'!D2309)),TRIM('R.M Billets Reports'!F2309),IF(ISNUMBER(SEARCH("Party Name-",'R.M Billets Reports'!D2309)),TRIM(MID('R.M Billets Reports'!D2309,SEARCH("-",'R.M Billets Reports'!D2309)+1,200)),""))&lt;&gt;"",IF(ISNUMBER(SEARCH("Party Name:-",'R.M Billets Reports'!D2309)),TRIM('R.M Billets Reports'!F2309),IF(ISNUMBER(SEARCH("Party Name-",'R.M Billets Reports'!D2309)),TRIM(MID('R.M Billets Reports'!D2309,SEARCH("-",'R.M Billets Reports'!D2309)+1,200)),"")),IF(ISNUMBER(SEARCH("Party Name:-",'R.M Billets Reports'!D2310)),TRIM('R.M Billets Reports'!F2310),IF(ISNUMBER(SEARCH("Party Name-",'R.M Billets Reports'!D2310)),TRIM(MID('R.M Billets Reports'!D2310,SEARCH("-",'R.M Billets Reports'!D2310)+1,200)),"")))="SHRI RADHE","SHREE RADHE",IF(IF(IF(ISNUMBER(SEARCH("Party Name:-",'R.M Billets Reports'!D2309)),TRIM('R.M Billets Reports'!F2309),IF(ISNUMBER(SEARCH("Party Name-",'R.M Billets Reports'!D2309)),TRIM(MID('R.M Billets Reports'!D2309,SEARCH("-",'R.M Billets Reports'!D2309)+1,200)),""))&lt;&gt;"",IF(ISNUMBER(SEARCH("Party Name:-",'R.M Billets Reports'!D2309)),TRIM('R.M Billets Reports'!F2309),IF(ISNUMBER(SEARCH("Party Name-",'R.M Billets Reports'!D2309)),TRIM(MID('R.M Billets Reports'!D2309,SEARCH("-",'R.M Billets Reports'!D2309)+1,200)),"")),IF(ISNUMBER(SEARCH("Party Name:-",'R.M Billets Reports'!D2310)),TRIM('R.M Billets Reports'!F2310),IF(ISNUMBER(SEARCH("Party Name-",'R.M Billets Reports'!D2310)),TRIM(MID('R.M Billets Reports'!D2310,SEARCH("-",'R.M Billets Reports'!D2310)+1,200)),"")))="SHREE RADHE SHAKTI SPONGE AND POWER PVT. LTD.","SHREE RADHE",IF(IF(ISNUMBER(SEARCH("Party Name:-",'R.M Billets Reports'!D2309)),TRIM('R.M Billets Reports'!F2309),IF(ISNUMBER(SEARCH("Party Name-",'R.M Billets Reports'!D2309)),TRIM(MID('R.M Billets Reports'!D2309,SEARCH("-",'R.M Billets Reports'!D2309)+1,200)),""))&lt;&gt;"",IF(ISNUMBER(SEARCH("Party Name:-",'R.M Billets Reports'!D2309)),TRIM('R.M Billets Reports'!F2309),IF(ISNUMBER(SEARCH("Party Name-",'R.M Billets Reports'!D2309)),TRIM(MID('R.M Billets Reports'!D2309,SEARCH("-",'R.M Billets Reports'!D2309)+1,200)),"")),IF(ISNUMBER(SEARCH("Party Name:-",'R.M Billets Reports'!D2310)),TRIM('R.M Billets Reports'!F2310),IF(ISNUMBER(SEARCH("Party Name-",'R.M Billets Reports'!D2310)),TRIM(MID('R.M Billets Reports'!D2310,SEARCH("-",'R.M Billets Reports'!D2310)+1,200)),"")))))),IF(ROW()=2,"",A2309))</f>
      </c>
      <c r="B2310">
        <f>IF(OR('R.M Billets Reports'!A2309="Date-",'R.M Billets Reports'!A2309="Date:-"),'R.M Billets Reports'!B2309,IF(ROW()=2,"",B2309))</f>
      </c>
      <c r="C2310">
        <f>IF('R.M Billets Reports'!A2309="V.No.",'R.M Billets Reports'!B2309,IF(ROW()=2,"",C2309))</f>
      </c>
      <c r="D2310">
        <f>IF('R.M Billets Reports'!A2309&lt;&gt;"",'R.M Billets Reports'!A2309,IF(ROW()=2,"",D2309))</f>
      </c>
      <c r="E2310">
        <f>IF('R.M Billets Reports'!B2309="","",TRIM('R.M Billets Reports'!B2309))</f>
      </c>
      <c r="F2310">
        <f>'R.M Billets Reports'!C2309</f>
      </c>
      <c r="G2310">
        <f>'R.M Billets Reports'!D2309</f>
      </c>
      <c r="H2310">
        <f>'R.M Billets Reports'!E2309</f>
      </c>
      <c r="I2310">
        <f>'R.M Billets Reports'!F2309</f>
      </c>
      <c r="J2310">
        <f>'R.M Billets Reports'!G2309</f>
      </c>
      <c r="K2310">
        <f>'R.M Billets Reports'!H2309</f>
      </c>
      <c r="L2310">
        <f>IF('R.M Billets Reports'!I2309="","",'R.M Billets Reports'!I2309)</f>
      </c>
      <c r="M2310">
        <f t="shared" si="72"/>
      </c>
      <c r="N2310">
        <f>IF('R.M Billets Reports'!J2309="","",'R.M Billets Reports'!J2309)</f>
      </c>
      <c r="O2310">
        <f t="shared" si="73"/>
      </c>
      <c r="P2310">
        <f>IF('R.M Billets Reports'!A2309="SIZE",'R.M Billets Reports'!B2309,P2309)</f>
      </c>
    </row>
    <row r="2311" spans="1:16" x14ac:dyDescent="0.25">
      <c r="A2311">
        <f>IF(OR('R.M Billets Reports'!A2310="Date-",'R.M Billets Reports'!A2310="Date:-"),IF(IF(IF(ISNUMBER(SEARCH("Party Name:-",'R.M Billets Reports'!D2310)),TRIM('R.M Billets Reports'!F2310),IF(ISNUMBER(SEARCH("Party Name-",'R.M Billets Reports'!D2310)),TRIM(MID('R.M Billets Reports'!D2310,SEARCH("-",'R.M Billets Reports'!D2310)+1,200)),""))&lt;&gt;"",IF(ISNUMBER(SEARCH("Party Name:-",'R.M Billets Reports'!D2310)),TRIM('R.M Billets Reports'!F2310),IF(ISNUMBER(SEARCH("Party Name-",'R.M Billets Reports'!D2310)),TRIM(MID('R.M Billets Reports'!D2310,SEARCH("-",'R.M Billets Reports'!D2310)+1,200)),"")),IF(ISNUMBER(SEARCH("Party Name:-",'R.M Billets Reports'!D2311)),TRIM('R.M Billets Reports'!F2311),IF(ISNUMBER(SEARCH("Party Name-",'R.M Billets Reports'!D2311)),TRIM(MID('R.M Billets Reports'!D2311,SEARCH("-",'R.M Billets Reports'!D2311)+1,200)),"")))="VRKP ISPAT PVT LTD","VRKP",IF(IF(IF(ISNUMBER(SEARCH("Party Name:-",'R.M Billets Reports'!D2310)),TRIM('R.M Billets Reports'!F2310),IF(ISNUMBER(SEARCH("Party Name-",'R.M Billets Reports'!D2310)),TRIM(MID('R.M Billets Reports'!D2310,SEARCH("-",'R.M Billets Reports'!D2310)+1,200)),""))&lt;&gt;"",IF(ISNUMBER(SEARCH("Party Name:-",'R.M Billets Reports'!D2310)),TRIM('R.M Billets Reports'!F2310),IF(ISNUMBER(SEARCH("Party Name-",'R.M Billets Reports'!D2310)),TRIM(MID('R.M Billets Reports'!D2310,SEARCH("-",'R.M Billets Reports'!D2310)+1,200)),"")),IF(ISNUMBER(SEARCH("Party Name:-",'R.M Billets Reports'!D2311)),TRIM('R.M Billets Reports'!F2311),IF(ISNUMBER(SEARCH("Party Name-",'R.M Billets Reports'!D2311)),TRIM(MID('R.M Billets Reports'!D2311,SEARCH("-",'R.M Billets Reports'!D2311)+1,200)),"")))="SHRI RADHE","SHREE RADHE",IF(IF(IF(ISNUMBER(SEARCH("Party Name:-",'R.M Billets Reports'!D2310)),TRIM('R.M Billets Reports'!F2310),IF(ISNUMBER(SEARCH("Party Name-",'R.M Billets Reports'!D2310)),TRIM(MID('R.M Billets Reports'!D2310,SEARCH("-",'R.M Billets Reports'!D2310)+1,200)),""))&lt;&gt;"",IF(ISNUMBER(SEARCH("Party Name:-",'R.M Billets Reports'!D2310)),TRIM('R.M Billets Reports'!F2310),IF(ISNUMBER(SEARCH("Party Name-",'R.M Billets Reports'!D2310)),TRIM(MID('R.M Billets Reports'!D2310,SEARCH("-",'R.M Billets Reports'!D2310)+1,200)),"")),IF(ISNUMBER(SEARCH("Party Name:-",'R.M Billets Reports'!D2311)),TRIM('R.M Billets Reports'!F2311),IF(ISNUMBER(SEARCH("Party Name-",'R.M Billets Reports'!D2311)),TRIM(MID('R.M Billets Reports'!D2311,SEARCH("-",'R.M Billets Reports'!D2311)+1,200)),"")))="SHREE RADHE SHAKTI SPONGE AND POWER PVT. LTD.","SHREE RADHE",IF(IF(ISNUMBER(SEARCH("Party Name:-",'R.M Billets Reports'!D2310)),TRIM('R.M Billets Reports'!F2310),IF(ISNUMBER(SEARCH("Party Name-",'R.M Billets Reports'!D2310)),TRIM(MID('R.M Billets Reports'!D2310,SEARCH("-",'R.M Billets Reports'!D2310)+1,200)),""))&lt;&gt;"",IF(ISNUMBER(SEARCH("Party Name:-",'R.M Billets Reports'!D2310)),TRIM('R.M Billets Reports'!F2310),IF(ISNUMBER(SEARCH("Party Name-",'R.M Billets Reports'!D2310)),TRIM(MID('R.M Billets Reports'!D2310,SEARCH("-",'R.M Billets Reports'!D2310)+1,200)),"")),IF(ISNUMBER(SEARCH("Party Name:-",'R.M Billets Reports'!D2311)),TRIM('R.M Billets Reports'!F2311),IF(ISNUMBER(SEARCH("Party Name-",'R.M Billets Reports'!D2311)),TRIM(MID('R.M Billets Reports'!D2311,SEARCH("-",'R.M Billets Reports'!D2311)+1,200)),"")))))),IF(ROW()=2,"",A2310))</f>
      </c>
      <c r="B2311">
        <f>IF(OR('R.M Billets Reports'!A2310="Date-",'R.M Billets Reports'!A2310="Date:-"),'R.M Billets Reports'!B2310,IF(ROW()=2,"",B2310))</f>
      </c>
      <c r="C2311">
        <f>IF('R.M Billets Reports'!A2310="V.No.",'R.M Billets Reports'!B2310,IF(ROW()=2,"",C2310))</f>
      </c>
      <c r="D2311">
        <f>IF('R.M Billets Reports'!A2310&lt;&gt;"",'R.M Billets Reports'!A2310,IF(ROW()=2,"",D2310))</f>
      </c>
      <c r="E2311">
        <f>IF('R.M Billets Reports'!B2310="","",TRIM('R.M Billets Reports'!B2310))</f>
      </c>
      <c r="F2311">
        <f>'R.M Billets Reports'!C2310</f>
      </c>
      <c r="G2311">
        <f>'R.M Billets Reports'!D2310</f>
      </c>
      <c r="H2311">
        <f>'R.M Billets Reports'!E2310</f>
      </c>
      <c r="I2311">
        <f>'R.M Billets Reports'!F2310</f>
      </c>
      <c r="J2311">
        <f>'R.M Billets Reports'!G2310</f>
      </c>
      <c r="K2311">
        <f>'R.M Billets Reports'!H2310</f>
      </c>
      <c r="L2311">
        <f>IF('R.M Billets Reports'!I2310="","",'R.M Billets Reports'!I2310)</f>
      </c>
      <c r="M2311">
        <f t="shared" si="72"/>
      </c>
      <c r="N2311">
        <f>IF('R.M Billets Reports'!J2310="","",'R.M Billets Reports'!J2310)</f>
      </c>
      <c r="O2311">
        <f t="shared" si="73"/>
      </c>
      <c r="P2311">
        <f>IF('R.M Billets Reports'!A2310="SIZE",'R.M Billets Reports'!B2310,P2310)</f>
      </c>
    </row>
    <row r="2312" spans="1:16" x14ac:dyDescent="0.25">
      <c r="A2312">
        <f>IF(OR('R.M Billets Reports'!A2311="Date-",'R.M Billets Reports'!A2311="Date:-"),IF(IF(IF(ISNUMBER(SEARCH("Party Name:-",'R.M Billets Reports'!D2311)),TRIM('R.M Billets Reports'!F2311),IF(ISNUMBER(SEARCH("Party Name-",'R.M Billets Reports'!D2311)),TRIM(MID('R.M Billets Reports'!D2311,SEARCH("-",'R.M Billets Reports'!D2311)+1,200)),""))&lt;&gt;"",IF(ISNUMBER(SEARCH("Party Name:-",'R.M Billets Reports'!D2311)),TRIM('R.M Billets Reports'!F2311),IF(ISNUMBER(SEARCH("Party Name-",'R.M Billets Reports'!D2311)),TRIM(MID('R.M Billets Reports'!D2311,SEARCH("-",'R.M Billets Reports'!D2311)+1,200)),"")),IF(ISNUMBER(SEARCH("Party Name:-",'R.M Billets Reports'!D2312)),TRIM('R.M Billets Reports'!F2312),IF(ISNUMBER(SEARCH("Party Name-",'R.M Billets Reports'!D2312)),TRIM(MID('R.M Billets Reports'!D2312,SEARCH("-",'R.M Billets Reports'!D2312)+1,200)),"")))="VRKP ISPAT PVT LTD","VRKP",IF(IF(IF(ISNUMBER(SEARCH("Party Name:-",'R.M Billets Reports'!D2311)),TRIM('R.M Billets Reports'!F2311),IF(ISNUMBER(SEARCH("Party Name-",'R.M Billets Reports'!D2311)),TRIM(MID('R.M Billets Reports'!D2311,SEARCH("-",'R.M Billets Reports'!D2311)+1,200)),""))&lt;&gt;"",IF(ISNUMBER(SEARCH("Party Name:-",'R.M Billets Reports'!D2311)),TRIM('R.M Billets Reports'!F2311),IF(ISNUMBER(SEARCH("Party Name-",'R.M Billets Reports'!D2311)),TRIM(MID('R.M Billets Reports'!D2311,SEARCH("-",'R.M Billets Reports'!D2311)+1,200)),"")),IF(ISNUMBER(SEARCH("Party Name:-",'R.M Billets Reports'!D2312)),TRIM('R.M Billets Reports'!F2312),IF(ISNUMBER(SEARCH("Party Name-",'R.M Billets Reports'!D2312)),TRIM(MID('R.M Billets Reports'!D2312,SEARCH("-",'R.M Billets Reports'!D2312)+1,200)),"")))="SHRI RADHE","SHREE RADHE",IF(IF(IF(ISNUMBER(SEARCH("Party Name:-",'R.M Billets Reports'!D2311)),TRIM('R.M Billets Reports'!F2311),IF(ISNUMBER(SEARCH("Party Name-",'R.M Billets Reports'!D2311)),TRIM(MID('R.M Billets Reports'!D2311,SEARCH("-",'R.M Billets Reports'!D2311)+1,200)),""))&lt;&gt;"",IF(ISNUMBER(SEARCH("Party Name:-",'R.M Billets Reports'!D2311)),TRIM('R.M Billets Reports'!F2311),IF(ISNUMBER(SEARCH("Party Name-",'R.M Billets Reports'!D2311)),TRIM(MID('R.M Billets Reports'!D2311,SEARCH("-",'R.M Billets Reports'!D2311)+1,200)),"")),IF(ISNUMBER(SEARCH("Party Name:-",'R.M Billets Reports'!D2312)),TRIM('R.M Billets Reports'!F2312),IF(ISNUMBER(SEARCH("Party Name-",'R.M Billets Reports'!D2312)),TRIM(MID('R.M Billets Reports'!D2312,SEARCH("-",'R.M Billets Reports'!D2312)+1,200)),"")))="SHREE RADHE SHAKTI SPONGE AND POWER PVT. LTD.","SHREE RADHE",IF(IF(ISNUMBER(SEARCH("Party Name:-",'R.M Billets Reports'!D2311)),TRIM('R.M Billets Reports'!F2311),IF(ISNUMBER(SEARCH("Party Name-",'R.M Billets Reports'!D2311)),TRIM(MID('R.M Billets Reports'!D2311,SEARCH("-",'R.M Billets Reports'!D2311)+1,200)),""))&lt;&gt;"",IF(ISNUMBER(SEARCH("Party Name:-",'R.M Billets Reports'!D2311)),TRIM('R.M Billets Reports'!F2311),IF(ISNUMBER(SEARCH("Party Name-",'R.M Billets Reports'!D2311)),TRIM(MID('R.M Billets Reports'!D2311,SEARCH("-",'R.M Billets Reports'!D2311)+1,200)),"")),IF(ISNUMBER(SEARCH("Party Name:-",'R.M Billets Reports'!D2312)),TRIM('R.M Billets Reports'!F2312),IF(ISNUMBER(SEARCH("Party Name-",'R.M Billets Reports'!D2312)),TRIM(MID('R.M Billets Reports'!D2312,SEARCH("-",'R.M Billets Reports'!D2312)+1,200)),"")))))),IF(ROW()=2,"",A2311))</f>
      </c>
      <c r="B2312">
        <f>IF(OR('R.M Billets Reports'!A2311="Date-",'R.M Billets Reports'!A2311="Date:-"),'R.M Billets Reports'!B2311,IF(ROW()=2,"",B2311))</f>
      </c>
      <c r="C2312">
        <f>IF('R.M Billets Reports'!A2311="V.No.",'R.M Billets Reports'!B2311,IF(ROW()=2,"",C2311))</f>
      </c>
      <c r="D2312">
        <f>IF('R.M Billets Reports'!A2311&lt;&gt;"",'R.M Billets Reports'!A2311,IF(ROW()=2,"",D2311))</f>
      </c>
      <c r="E2312">
        <f>IF('R.M Billets Reports'!B2311="","",TRIM('R.M Billets Reports'!B2311))</f>
      </c>
      <c r="F2312">
        <f>'R.M Billets Reports'!C2311</f>
      </c>
      <c r="G2312">
        <f>'R.M Billets Reports'!D2311</f>
      </c>
      <c r="H2312">
        <f>'R.M Billets Reports'!E2311</f>
      </c>
      <c r="I2312">
        <f>'R.M Billets Reports'!F2311</f>
      </c>
      <c r="J2312">
        <f>'R.M Billets Reports'!G2311</f>
      </c>
      <c r="K2312">
        <f>'R.M Billets Reports'!H2311</f>
      </c>
      <c r="L2312">
        <f>IF('R.M Billets Reports'!I2311="","",'R.M Billets Reports'!I2311)</f>
      </c>
      <c r="M2312">
        <f t="shared" si="72"/>
      </c>
      <c r="N2312">
        <f>IF('R.M Billets Reports'!J2311="","",'R.M Billets Reports'!J2311)</f>
      </c>
      <c r="O2312">
        <f t="shared" si="73"/>
      </c>
      <c r="P2312">
        <f>IF('R.M Billets Reports'!A2311="SIZE",'R.M Billets Reports'!B2311,P2311)</f>
      </c>
    </row>
    <row r="2313" spans="1:16" x14ac:dyDescent="0.25">
      <c r="A2313">
        <f>IF(OR('R.M Billets Reports'!A2312="Date-",'R.M Billets Reports'!A2312="Date:-"),IF(IF(IF(ISNUMBER(SEARCH("Party Name:-",'R.M Billets Reports'!D2312)),TRIM('R.M Billets Reports'!F2312),IF(ISNUMBER(SEARCH("Party Name-",'R.M Billets Reports'!D2312)),TRIM(MID('R.M Billets Reports'!D2312,SEARCH("-",'R.M Billets Reports'!D2312)+1,200)),""))&lt;&gt;"",IF(ISNUMBER(SEARCH("Party Name:-",'R.M Billets Reports'!D2312)),TRIM('R.M Billets Reports'!F2312),IF(ISNUMBER(SEARCH("Party Name-",'R.M Billets Reports'!D2312)),TRIM(MID('R.M Billets Reports'!D2312,SEARCH("-",'R.M Billets Reports'!D2312)+1,200)),"")),IF(ISNUMBER(SEARCH("Party Name:-",'R.M Billets Reports'!D2313)),TRIM('R.M Billets Reports'!F2313),IF(ISNUMBER(SEARCH("Party Name-",'R.M Billets Reports'!D2313)),TRIM(MID('R.M Billets Reports'!D2313,SEARCH("-",'R.M Billets Reports'!D2313)+1,200)),"")))="VRKP ISPAT PVT LTD","VRKP",IF(IF(IF(ISNUMBER(SEARCH("Party Name:-",'R.M Billets Reports'!D2312)),TRIM('R.M Billets Reports'!F2312),IF(ISNUMBER(SEARCH("Party Name-",'R.M Billets Reports'!D2312)),TRIM(MID('R.M Billets Reports'!D2312,SEARCH("-",'R.M Billets Reports'!D2312)+1,200)),""))&lt;&gt;"",IF(ISNUMBER(SEARCH("Party Name:-",'R.M Billets Reports'!D2312)),TRIM('R.M Billets Reports'!F2312),IF(ISNUMBER(SEARCH("Party Name-",'R.M Billets Reports'!D2312)),TRIM(MID('R.M Billets Reports'!D2312,SEARCH("-",'R.M Billets Reports'!D2312)+1,200)),"")),IF(ISNUMBER(SEARCH("Party Name:-",'R.M Billets Reports'!D2313)),TRIM('R.M Billets Reports'!F2313),IF(ISNUMBER(SEARCH("Party Name-",'R.M Billets Reports'!D2313)),TRIM(MID('R.M Billets Reports'!D2313,SEARCH("-",'R.M Billets Reports'!D2313)+1,200)),"")))="SHRI RADHE","SHREE RADHE",IF(IF(IF(ISNUMBER(SEARCH("Party Name:-",'R.M Billets Reports'!D2312)),TRIM('R.M Billets Reports'!F2312),IF(ISNUMBER(SEARCH("Party Name-",'R.M Billets Reports'!D2312)),TRIM(MID('R.M Billets Reports'!D2312,SEARCH("-",'R.M Billets Reports'!D2312)+1,200)),""))&lt;&gt;"",IF(ISNUMBER(SEARCH("Party Name:-",'R.M Billets Reports'!D2312)),TRIM('R.M Billets Reports'!F2312),IF(ISNUMBER(SEARCH("Party Name-",'R.M Billets Reports'!D2312)),TRIM(MID('R.M Billets Reports'!D2312,SEARCH("-",'R.M Billets Reports'!D2312)+1,200)),"")),IF(ISNUMBER(SEARCH("Party Name:-",'R.M Billets Reports'!D2313)),TRIM('R.M Billets Reports'!F2313),IF(ISNUMBER(SEARCH("Party Name-",'R.M Billets Reports'!D2313)),TRIM(MID('R.M Billets Reports'!D2313,SEARCH("-",'R.M Billets Reports'!D2313)+1,200)),"")))="SHREE RADHE SHAKTI SPONGE AND POWER PVT. LTD.","SHREE RADHE",IF(IF(ISNUMBER(SEARCH("Party Name:-",'R.M Billets Reports'!D2312)),TRIM('R.M Billets Reports'!F2312),IF(ISNUMBER(SEARCH("Party Name-",'R.M Billets Reports'!D2312)),TRIM(MID('R.M Billets Reports'!D2312,SEARCH("-",'R.M Billets Reports'!D2312)+1,200)),""))&lt;&gt;"",IF(ISNUMBER(SEARCH("Party Name:-",'R.M Billets Reports'!D2312)),TRIM('R.M Billets Reports'!F2312),IF(ISNUMBER(SEARCH("Party Name-",'R.M Billets Reports'!D2312)),TRIM(MID('R.M Billets Reports'!D2312,SEARCH("-",'R.M Billets Reports'!D2312)+1,200)),"")),IF(ISNUMBER(SEARCH("Party Name:-",'R.M Billets Reports'!D2313)),TRIM('R.M Billets Reports'!F2313),IF(ISNUMBER(SEARCH("Party Name-",'R.M Billets Reports'!D2313)),TRIM(MID('R.M Billets Reports'!D2313,SEARCH("-",'R.M Billets Reports'!D2313)+1,200)),"")))))),IF(ROW()=2,"",A2312))</f>
      </c>
      <c r="B2313">
        <f>IF(OR('R.M Billets Reports'!A2312="Date-",'R.M Billets Reports'!A2312="Date:-"),'R.M Billets Reports'!B2312,IF(ROW()=2,"",B2312))</f>
      </c>
      <c r="C2313">
        <f>IF('R.M Billets Reports'!A2312="V.No.",'R.M Billets Reports'!B2312,IF(ROW()=2,"",C2312))</f>
      </c>
      <c r="D2313">
        <f>IF('R.M Billets Reports'!A2312&lt;&gt;"",'R.M Billets Reports'!A2312,IF(ROW()=2,"",D2312))</f>
      </c>
      <c r="E2313">
        <f>IF('R.M Billets Reports'!B2312="","",TRIM('R.M Billets Reports'!B2312))</f>
      </c>
      <c r="F2313">
        <f>'R.M Billets Reports'!C2312</f>
      </c>
      <c r="G2313">
        <f>'R.M Billets Reports'!D2312</f>
      </c>
      <c r="H2313">
        <f>'R.M Billets Reports'!E2312</f>
      </c>
      <c r="I2313">
        <f>'R.M Billets Reports'!F2312</f>
      </c>
      <c r="J2313">
        <f>'R.M Billets Reports'!G2312</f>
      </c>
      <c r="K2313">
        <f>'R.M Billets Reports'!H2312</f>
      </c>
      <c r="L2313">
        <f>IF('R.M Billets Reports'!I2312="","",'R.M Billets Reports'!I2312)</f>
      </c>
      <c r="M2313">
        <f t="shared" si="72"/>
      </c>
      <c r="N2313">
        <f>IF('R.M Billets Reports'!J2312="","",'R.M Billets Reports'!J2312)</f>
      </c>
      <c r="O2313">
        <f t="shared" si="73"/>
      </c>
      <c r="P2313">
        <f>IF('R.M Billets Reports'!A2312="SIZE",'R.M Billets Reports'!B2312,P2312)</f>
      </c>
    </row>
    <row r="2314" spans="1:16" x14ac:dyDescent="0.25">
      <c r="A2314">
        <f>IF(OR('R.M Billets Reports'!A2313="Date-",'R.M Billets Reports'!A2313="Date:-"),IF(IF(IF(ISNUMBER(SEARCH("Party Name:-",'R.M Billets Reports'!D2313)),TRIM('R.M Billets Reports'!F2313),IF(ISNUMBER(SEARCH("Party Name-",'R.M Billets Reports'!D2313)),TRIM(MID('R.M Billets Reports'!D2313,SEARCH("-",'R.M Billets Reports'!D2313)+1,200)),""))&lt;&gt;"",IF(ISNUMBER(SEARCH("Party Name:-",'R.M Billets Reports'!D2313)),TRIM('R.M Billets Reports'!F2313),IF(ISNUMBER(SEARCH("Party Name-",'R.M Billets Reports'!D2313)),TRIM(MID('R.M Billets Reports'!D2313,SEARCH("-",'R.M Billets Reports'!D2313)+1,200)),"")),IF(ISNUMBER(SEARCH("Party Name:-",'R.M Billets Reports'!D2314)),TRIM('R.M Billets Reports'!F2314),IF(ISNUMBER(SEARCH("Party Name-",'R.M Billets Reports'!D2314)),TRIM(MID('R.M Billets Reports'!D2314,SEARCH("-",'R.M Billets Reports'!D2314)+1,200)),"")))="VRKP ISPAT PVT LTD","VRKP",IF(IF(IF(ISNUMBER(SEARCH("Party Name:-",'R.M Billets Reports'!D2313)),TRIM('R.M Billets Reports'!F2313),IF(ISNUMBER(SEARCH("Party Name-",'R.M Billets Reports'!D2313)),TRIM(MID('R.M Billets Reports'!D2313,SEARCH("-",'R.M Billets Reports'!D2313)+1,200)),""))&lt;&gt;"",IF(ISNUMBER(SEARCH("Party Name:-",'R.M Billets Reports'!D2313)),TRIM('R.M Billets Reports'!F2313),IF(ISNUMBER(SEARCH("Party Name-",'R.M Billets Reports'!D2313)),TRIM(MID('R.M Billets Reports'!D2313,SEARCH("-",'R.M Billets Reports'!D2313)+1,200)),"")),IF(ISNUMBER(SEARCH("Party Name:-",'R.M Billets Reports'!D2314)),TRIM('R.M Billets Reports'!F2314),IF(ISNUMBER(SEARCH("Party Name-",'R.M Billets Reports'!D2314)),TRIM(MID('R.M Billets Reports'!D2314,SEARCH("-",'R.M Billets Reports'!D2314)+1,200)),"")))="SHRI RADHE","SHREE RADHE",IF(IF(IF(ISNUMBER(SEARCH("Party Name:-",'R.M Billets Reports'!D2313)),TRIM('R.M Billets Reports'!F2313),IF(ISNUMBER(SEARCH("Party Name-",'R.M Billets Reports'!D2313)),TRIM(MID('R.M Billets Reports'!D2313,SEARCH("-",'R.M Billets Reports'!D2313)+1,200)),""))&lt;&gt;"",IF(ISNUMBER(SEARCH("Party Name:-",'R.M Billets Reports'!D2313)),TRIM('R.M Billets Reports'!F2313),IF(ISNUMBER(SEARCH("Party Name-",'R.M Billets Reports'!D2313)),TRIM(MID('R.M Billets Reports'!D2313,SEARCH("-",'R.M Billets Reports'!D2313)+1,200)),"")),IF(ISNUMBER(SEARCH("Party Name:-",'R.M Billets Reports'!D2314)),TRIM('R.M Billets Reports'!F2314),IF(ISNUMBER(SEARCH("Party Name-",'R.M Billets Reports'!D2314)),TRIM(MID('R.M Billets Reports'!D2314,SEARCH("-",'R.M Billets Reports'!D2314)+1,200)),"")))="SHREE RADHE SHAKTI SPONGE AND POWER PVT. LTD.","SHREE RADHE",IF(IF(ISNUMBER(SEARCH("Party Name:-",'R.M Billets Reports'!D2313)),TRIM('R.M Billets Reports'!F2313),IF(ISNUMBER(SEARCH("Party Name-",'R.M Billets Reports'!D2313)),TRIM(MID('R.M Billets Reports'!D2313,SEARCH("-",'R.M Billets Reports'!D2313)+1,200)),""))&lt;&gt;"",IF(ISNUMBER(SEARCH("Party Name:-",'R.M Billets Reports'!D2313)),TRIM('R.M Billets Reports'!F2313),IF(ISNUMBER(SEARCH("Party Name-",'R.M Billets Reports'!D2313)),TRIM(MID('R.M Billets Reports'!D2313,SEARCH("-",'R.M Billets Reports'!D2313)+1,200)),"")),IF(ISNUMBER(SEARCH("Party Name:-",'R.M Billets Reports'!D2314)),TRIM('R.M Billets Reports'!F2314),IF(ISNUMBER(SEARCH("Party Name-",'R.M Billets Reports'!D2314)),TRIM(MID('R.M Billets Reports'!D2314,SEARCH("-",'R.M Billets Reports'!D2314)+1,200)),"")))))),IF(ROW()=2,"",A2313))</f>
      </c>
      <c r="B2314">
        <f>IF(OR('R.M Billets Reports'!A2313="Date-",'R.M Billets Reports'!A2313="Date:-"),'R.M Billets Reports'!B2313,IF(ROW()=2,"",B2313))</f>
      </c>
      <c r="C2314">
        <f>IF('R.M Billets Reports'!A2313="V.No.",'R.M Billets Reports'!B2313,IF(ROW()=2,"",C2313))</f>
      </c>
      <c r="D2314">
        <f>IF('R.M Billets Reports'!A2313&lt;&gt;"",'R.M Billets Reports'!A2313,IF(ROW()=2,"",D2313))</f>
      </c>
      <c r="E2314">
        <f>IF('R.M Billets Reports'!B2313="","",TRIM('R.M Billets Reports'!B2313))</f>
      </c>
      <c r="F2314">
        <f>'R.M Billets Reports'!C2313</f>
      </c>
      <c r="G2314">
        <f>'R.M Billets Reports'!D2313</f>
      </c>
      <c r="H2314">
        <f>'R.M Billets Reports'!E2313</f>
      </c>
      <c r="I2314">
        <f>'R.M Billets Reports'!F2313</f>
      </c>
      <c r="J2314">
        <f>'R.M Billets Reports'!G2313</f>
      </c>
      <c r="K2314">
        <f>'R.M Billets Reports'!H2313</f>
      </c>
      <c r="L2314">
        <f>IF('R.M Billets Reports'!I2313="","",'R.M Billets Reports'!I2313)</f>
      </c>
      <c r="M2314">
        <f t="shared" si="72"/>
      </c>
      <c r="N2314">
        <f>IF('R.M Billets Reports'!J2313="","",'R.M Billets Reports'!J2313)</f>
      </c>
      <c r="O2314">
        <f t="shared" si="73"/>
      </c>
      <c r="P2314">
        <f>IF('R.M Billets Reports'!A2313="SIZE",'R.M Billets Reports'!B2313,P2313)</f>
      </c>
    </row>
    <row r="2315" spans="1:16" x14ac:dyDescent="0.25">
      <c r="A2315">
        <f>IF(OR('R.M Billets Reports'!A2314="Date-",'R.M Billets Reports'!A2314="Date:-"),IF(IF(IF(ISNUMBER(SEARCH("Party Name:-",'R.M Billets Reports'!D2314)),TRIM('R.M Billets Reports'!F2314),IF(ISNUMBER(SEARCH("Party Name-",'R.M Billets Reports'!D2314)),TRIM(MID('R.M Billets Reports'!D2314,SEARCH("-",'R.M Billets Reports'!D2314)+1,200)),""))&lt;&gt;"",IF(ISNUMBER(SEARCH("Party Name:-",'R.M Billets Reports'!D2314)),TRIM('R.M Billets Reports'!F2314),IF(ISNUMBER(SEARCH("Party Name-",'R.M Billets Reports'!D2314)),TRIM(MID('R.M Billets Reports'!D2314,SEARCH("-",'R.M Billets Reports'!D2314)+1,200)),"")),IF(ISNUMBER(SEARCH("Party Name:-",'R.M Billets Reports'!D2315)),TRIM('R.M Billets Reports'!F2315),IF(ISNUMBER(SEARCH("Party Name-",'R.M Billets Reports'!D2315)),TRIM(MID('R.M Billets Reports'!D2315,SEARCH("-",'R.M Billets Reports'!D2315)+1,200)),"")))="VRKP ISPAT PVT LTD","VRKP",IF(IF(IF(ISNUMBER(SEARCH("Party Name:-",'R.M Billets Reports'!D2314)),TRIM('R.M Billets Reports'!F2314),IF(ISNUMBER(SEARCH("Party Name-",'R.M Billets Reports'!D2314)),TRIM(MID('R.M Billets Reports'!D2314,SEARCH("-",'R.M Billets Reports'!D2314)+1,200)),""))&lt;&gt;"",IF(ISNUMBER(SEARCH("Party Name:-",'R.M Billets Reports'!D2314)),TRIM('R.M Billets Reports'!F2314),IF(ISNUMBER(SEARCH("Party Name-",'R.M Billets Reports'!D2314)),TRIM(MID('R.M Billets Reports'!D2314,SEARCH("-",'R.M Billets Reports'!D2314)+1,200)),"")),IF(ISNUMBER(SEARCH("Party Name:-",'R.M Billets Reports'!D2315)),TRIM('R.M Billets Reports'!F2315),IF(ISNUMBER(SEARCH("Party Name-",'R.M Billets Reports'!D2315)),TRIM(MID('R.M Billets Reports'!D2315,SEARCH("-",'R.M Billets Reports'!D2315)+1,200)),"")))="SHRI RADHE","SHREE RADHE",IF(IF(IF(ISNUMBER(SEARCH("Party Name:-",'R.M Billets Reports'!D2314)),TRIM('R.M Billets Reports'!F2314),IF(ISNUMBER(SEARCH("Party Name-",'R.M Billets Reports'!D2314)),TRIM(MID('R.M Billets Reports'!D2314,SEARCH("-",'R.M Billets Reports'!D2314)+1,200)),""))&lt;&gt;"",IF(ISNUMBER(SEARCH("Party Name:-",'R.M Billets Reports'!D2314)),TRIM('R.M Billets Reports'!F2314),IF(ISNUMBER(SEARCH("Party Name-",'R.M Billets Reports'!D2314)),TRIM(MID('R.M Billets Reports'!D2314,SEARCH("-",'R.M Billets Reports'!D2314)+1,200)),"")),IF(ISNUMBER(SEARCH("Party Name:-",'R.M Billets Reports'!D2315)),TRIM('R.M Billets Reports'!F2315),IF(ISNUMBER(SEARCH("Party Name-",'R.M Billets Reports'!D2315)),TRIM(MID('R.M Billets Reports'!D2315,SEARCH("-",'R.M Billets Reports'!D2315)+1,200)),"")))="SHREE RADHE SHAKTI SPONGE AND POWER PVT. LTD.","SHREE RADHE",IF(IF(ISNUMBER(SEARCH("Party Name:-",'R.M Billets Reports'!D2314)),TRIM('R.M Billets Reports'!F2314),IF(ISNUMBER(SEARCH("Party Name-",'R.M Billets Reports'!D2314)),TRIM(MID('R.M Billets Reports'!D2314,SEARCH("-",'R.M Billets Reports'!D2314)+1,200)),""))&lt;&gt;"",IF(ISNUMBER(SEARCH("Party Name:-",'R.M Billets Reports'!D2314)),TRIM('R.M Billets Reports'!F2314),IF(ISNUMBER(SEARCH("Party Name-",'R.M Billets Reports'!D2314)),TRIM(MID('R.M Billets Reports'!D2314,SEARCH("-",'R.M Billets Reports'!D2314)+1,200)),"")),IF(ISNUMBER(SEARCH("Party Name:-",'R.M Billets Reports'!D2315)),TRIM('R.M Billets Reports'!F2315),IF(ISNUMBER(SEARCH("Party Name-",'R.M Billets Reports'!D2315)),TRIM(MID('R.M Billets Reports'!D2315,SEARCH("-",'R.M Billets Reports'!D2315)+1,200)),"")))))),IF(ROW()=2,"",A2314))</f>
      </c>
      <c r="B2315">
        <f>IF(OR('R.M Billets Reports'!A2314="Date-",'R.M Billets Reports'!A2314="Date:-"),'R.M Billets Reports'!B2314,IF(ROW()=2,"",B2314))</f>
      </c>
      <c r="C2315">
        <f>IF('R.M Billets Reports'!A2314="V.No.",'R.M Billets Reports'!B2314,IF(ROW()=2,"",C2314))</f>
      </c>
      <c r="D2315">
        <f>IF('R.M Billets Reports'!A2314&lt;&gt;"",'R.M Billets Reports'!A2314,IF(ROW()=2,"",D2314))</f>
      </c>
      <c r="E2315">
        <f>IF('R.M Billets Reports'!B2314="","",TRIM('R.M Billets Reports'!B2314))</f>
      </c>
      <c r="F2315">
        <f>'R.M Billets Reports'!C2314</f>
      </c>
      <c r="G2315">
        <f>'R.M Billets Reports'!D2314</f>
      </c>
      <c r="H2315">
        <f>'R.M Billets Reports'!E2314</f>
      </c>
      <c r="I2315">
        <f>'R.M Billets Reports'!F2314</f>
      </c>
      <c r="J2315">
        <f>'R.M Billets Reports'!G2314</f>
      </c>
      <c r="K2315">
        <f>'R.M Billets Reports'!H2314</f>
      </c>
      <c r="L2315">
        <f>IF('R.M Billets Reports'!I2314="","",'R.M Billets Reports'!I2314)</f>
      </c>
      <c r="M2315">
        <f t="shared" si="72"/>
      </c>
      <c r="N2315">
        <f>IF('R.M Billets Reports'!J2314="","",'R.M Billets Reports'!J2314)</f>
      </c>
      <c r="O2315">
        <f t="shared" si="73"/>
      </c>
      <c r="P2315">
        <f>IF('R.M Billets Reports'!A2314="SIZE",'R.M Billets Reports'!B2314,P2314)</f>
      </c>
    </row>
    <row r="2316" spans="1:16" x14ac:dyDescent="0.25">
      <c r="A2316">
        <f>IF(OR('R.M Billets Reports'!A2315="Date-",'R.M Billets Reports'!A2315="Date:-"),IF(IF(IF(ISNUMBER(SEARCH("Party Name:-",'R.M Billets Reports'!D2315)),TRIM('R.M Billets Reports'!F2315),IF(ISNUMBER(SEARCH("Party Name-",'R.M Billets Reports'!D2315)),TRIM(MID('R.M Billets Reports'!D2315,SEARCH("-",'R.M Billets Reports'!D2315)+1,200)),""))&lt;&gt;"",IF(ISNUMBER(SEARCH("Party Name:-",'R.M Billets Reports'!D2315)),TRIM('R.M Billets Reports'!F2315),IF(ISNUMBER(SEARCH("Party Name-",'R.M Billets Reports'!D2315)),TRIM(MID('R.M Billets Reports'!D2315,SEARCH("-",'R.M Billets Reports'!D2315)+1,200)),"")),IF(ISNUMBER(SEARCH("Party Name:-",'R.M Billets Reports'!D2316)),TRIM('R.M Billets Reports'!F2316),IF(ISNUMBER(SEARCH("Party Name-",'R.M Billets Reports'!D2316)),TRIM(MID('R.M Billets Reports'!D2316,SEARCH("-",'R.M Billets Reports'!D2316)+1,200)),"")))="VRKP ISPAT PVT LTD","VRKP",IF(IF(IF(ISNUMBER(SEARCH("Party Name:-",'R.M Billets Reports'!D2315)),TRIM('R.M Billets Reports'!F2315),IF(ISNUMBER(SEARCH("Party Name-",'R.M Billets Reports'!D2315)),TRIM(MID('R.M Billets Reports'!D2315,SEARCH("-",'R.M Billets Reports'!D2315)+1,200)),""))&lt;&gt;"",IF(ISNUMBER(SEARCH("Party Name:-",'R.M Billets Reports'!D2315)),TRIM('R.M Billets Reports'!F2315),IF(ISNUMBER(SEARCH("Party Name-",'R.M Billets Reports'!D2315)),TRIM(MID('R.M Billets Reports'!D2315,SEARCH("-",'R.M Billets Reports'!D2315)+1,200)),"")),IF(ISNUMBER(SEARCH("Party Name:-",'R.M Billets Reports'!D2316)),TRIM('R.M Billets Reports'!F2316),IF(ISNUMBER(SEARCH("Party Name-",'R.M Billets Reports'!D2316)),TRIM(MID('R.M Billets Reports'!D2316,SEARCH("-",'R.M Billets Reports'!D2316)+1,200)),"")))="SHRI RADHE","SHREE RADHE",IF(IF(IF(ISNUMBER(SEARCH("Party Name:-",'R.M Billets Reports'!D2315)),TRIM('R.M Billets Reports'!F2315),IF(ISNUMBER(SEARCH("Party Name-",'R.M Billets Reports'!D2315)),TRIM(MID('R.M Billets Reports'!D2315,SEARCH("-",'R.M Billets Reports'!D2315)+1,200)),""))&lt;&gt;"",IF(ISNUMBER(SEARCH("Party Name:-",'R.M Billets Reports'!D2315)),TRIM('R.M Billets Reports'!F2315),IF(ISNUMBER(SEARCH("Party Name-",'R.M Billets Reports'!D2315)),TRIM(MID('R.M Billets Reports'!D2315,SEARCH("-",'R.M Billets Reports'!D2315)+1,200)),"")),IF(ISNUMBER(SEARCH("Party Name:-",'R.M Billets Reports'!D2316)),TRIM('R.M Billets Reports'!F2316),IF(ISNUMBER(SEARCH("Party Name-",'R.M Billets Reports'!D2316)),TRIM(MID('R.M Billets Reports'!D2316,SEARCH("-",'R.M Billets Reports'!D2316)+1,200)),"")))="SHREE RADHE SHAKTI SPONGE AND POWER PVT. LTD.","SHREE RADHE",IF(IF(ISNUMBER(SEARCH("Party Name:-",'R.M Billets Reports'!D2315)),TRIM('R.M Billets Reports'!F2315),IF(ISNUMBER(SEARCH("Party Name-",'R.M Billets Reports'!D2315)),TRIM(MID('R.M Billets Reports'!D2315,SEARCH("-",'R.M Billets Reports'!D2315)+1,200)),""))&lt;&gt;"",IF(ISNUMBER(SEARCH("Party Name:-",'R.M Billets Reports'!D2315)),TRIM('R.M Billets Reports'!F2315),IF(ISNUMBER(SEARCH("Party Name-",'R.M Billets Reports'!D2315)),TRIM(MID('R.M Billets Reports'!D2315,SEARCH("-",'R.M Billets Reports'!D2315)+1,200)),"")),IF(ISNUMBER(SEARCH("Party Name:-",'R.M Billets Reports'!D2316)),TRIM('R.M Billets Reports'!F2316),IF(ISNUMBER(SEARCH("Party Name-",'R.M Billets Reports'!D2316)),TRIM(MID('R.M Billets Reports'!D2316,SEARCH("-",'R.M Billets Reports'!D2316)+1,200)),"")))))),IF(ROW()=2,"",A2315))</f>
      </c>
      <c r="B2316">
        <f>IF(OR('R.M Billets Reports'!A2315="Date-",'R.M Billets Reports'!A2315="Date:-"),'R.M Billets Reports'!B2315,IF(ROW()=2,"",B2315))</f>
      </c>
      <c r="C2316">
        <f>IF('R.M Billets Reports'!A2315="V.No.",'R.M Billets Reports'!B2315,IF(ROW()=2,"",C2315))</f>
      </c>
      <c r="D2316">
        <f>IF('R.M Billets Reports'!A2315&lt;&gt;"",'R.M Billets Reports'!A2315,IF(ROW()=2,"",D2315))</f>
      </c>
      <c r="E2316">
        <f>IF('R.M Billets Reports'!B2315="","",TRIM('R.M Billets Reports'!B2315))</f>
      </c>
      <c r="F2316">
        <f>'R.M Billets Reports'!C2315</f>
      </c>
      <c r="G2316">
        <f>'R.M Billets Reports'!D2315</f>
      </c>
      <c r="H2316">
        <f>'R.M Billets Reports'!E2315</f>
      </c>
      <c r="I2316">
        <f>'R.M Billets Reports'!F2315</f>
      </c>
      <c r="J2316">
        <f>'R.M Billets Reports'!G2315</f>
      </c>
      <c r="K2316">
        <f>'R.M Billets Reports'!H2315</f>
      </c>
      <c r="L2316">
        <f>IF('R.M Billets Reports'!I2315="","",'R.M Billets Reports'!I2315)</f>
      </c>
      <c r="M2316">
        <f t="shared" si="72"/>
      </c>
      <c r="N2316">
        <f>IF('R.M Billets Reports'!J2315="","",'R.M Billets Reports'!J2315)</f>
      </c>
      <c r="O2316">
        <f t="shared" si="73"/>
      </c>
      <c r="P2316">
        <f>IF('R.M Billets Reports'!A2315="SIZE",'R.M Billets Reports'!B2315,P2315)</f>
      </c>
    </row>
    <row r="2317" spans="1:16" x14ac:dyDescent="0.25">
      <c r="A2317">
        <f>IF(OR('R.M Billets Reports'!A2316="Date-",'R.M Billets Reports'!A2316="Date:-"),IF(IF(IF(ISNUMBER(SEARCH("Party Name:-",'R.M Billets Reports'!D2316)),TRIM('R.M Billets Reports'!F2316),IF(ISNUMBER(SEARCH("Party Name-",'R.M Billets Reports'!D2316)),TRIM(MID('R.M Billets Reports'!D2316,SEARCH("-",'R.M Billets Reports'!D2316)+1,200)),""))&lt;&gt;"",IF(ISNUMBER(SEARCH("Party Name:-",'R.M Billets Reports'!D2316)),TRIM('R.M Billets Reports'!F2316),IF(ISNUMBER(SEARCH("Party Name-",'R.M Billets Reports'!D2316)),TRIM(MID('R.M Billets Reports'!D2316,SEARCH("-",'R.M Billets Reports'!D2316)+1,200)),"")),IF(ISNUMBER(SEARCH("Party Name:-",'R.M Billets Reports'!D2317)),TRIM('R.M Billets Reports'!F2317),IF(ISNUMBER(SEARCH("Party Name-",'R.M Billets Reports'!D2317)),TRIM(MID('R.M Billets Reports'!D2317,SEARCH("-",'R.M Billets Reports'!D2317)+1,200)),"")))="VRKP ISPAT PVT LTD","VRKP",IF(IF(IF(ISNUMBER(SEARCH("Party Name:-",'R.M Billets Reports'!D2316)),TRIM('R.M Billets Reports'!F2316),IF(ISNUMBER(SEARCH("Party Name-",'R.M Billets Reports'!D2316)),TRIM(MID('R.M Billets Reports'!D2316,SEARCH("-",'R.M Billets Reports'!D2316)+1,200)),""))&lt;&gt;"",IF(ISNUMBER(SEARCH("Party Name:-",'R.M Billets Reports'!D2316)),TRIM('R.M Billets Reports'!F2316),IF(ISNUMBER(SEARCH("Party Name-",'R.M Billets Reports'!D2316)),TRIM(MID('R.M Billets Reports'!D2316,SEARCH("-",'R.M Billets Reports'!D2316)+1,200)),"")),IF(ISNUMBER(SEARCH("Party Name:-",'R.M Billets Reports'!D2317)),TRIM('R.M Billets Reports'!F2317),IF(ISNUMBER(SEARCH("Party Name-",'R.M Billets Reports'!D2317)),TRIM(MID('R.M Billets Reports'!D2317,SEARCH("-",'R.M Billets Reports'!D2317)+1,200)),"")))="SHRI RADHE","SHREE RADHE",IF(IF(IF(ISNUMBER(SEARCH("Party Name:-",'R.M Billets Reports'!D2316)),TRIM('R.M Billets Reports'!F2316),IF(ISNUMBER(SEARCH("Party Name-",'R.M Billets Reports'!D2316)),TRIM(MID('R.M Billets Reports'!D2316,SEARCH("-",'R.M Billets Reports'!D2316)+1,200)),""))&lt;&gt;"",IF(ISNUMBER(SEARCH("Party Name:-",'R.M Billets Reports'!D2316)),TRIM('R.M Billets Reports'!F2316),IF(ISNUMBER(SEARCH("Party Name-",'R.M Billets Reports'!D2316)),TRIM(MID('R.M Billets Reports'!D2316,SEARCH("-",'R.M Billets Reports'!D2316)+1,200)),"")),IF(ISNUMBER(SEARCH("Party Name:-",'R.M Billets Reports'!D2317)),TRIM('R.M Billets Reports'!F2317),IF(ISNUMBER(SEARCH("Party Name-",'R.M Billets Reports'!D2317)),TRIM(MID('R.M Billets Reports'!D2317,SEARCH("-",'R.M Billets Reports'!D2317)+1,200)),"")))="SHREE RADHE SHAKTI SPONGE AND POWER PVT. LTD.","SHREE RADHE",IF(IF(ISNUMBER(SEARCH("Party Name:-",'R.M Billets Reports'!D2316)),TRIM('R.M Billets Reports'!F2316),IF(ISNUMBER(SEARCH("Party Name-",'R.M Billets Reports'!D2316)),TRIM(MID('R.M Billets Reports'!D2316,SEARCH("-",'R.M Billets Reports'!D2316)+1,200)),""))&lt;&gt;"",IF(ISNUMBER(SEARCH("Party Name:-",'R.M Billets Reports'!D2316)),TRIM('R.M Billets Reports'!F2316),IF(ISNUMBER(SEARCH("Party Name-",'R.M Billets Reports'!D2316)),TRIM(MID('R.M Billets Reports'!D2316,SEARCH("-",'R.M Billets Reports'!D2316)+1,200)),"")),IF(ISNUMBER(SEARCH("Party Name:-",'R.M Billets Reports'!D2317)),TRIM('R.M Billets Reports'!F2317),IF(ISNUMBER(SEARCH("Party Name-",'R.M Billets Reports'!D2317)),TRIM(MID('R.M Billets Reports'!D2317,SEARCH("-",'R.M Billets Reports'!D2317)+1,200)),"")))))),IF(ROW()=2,"",A2316))</f>
      </c>
      <c r="B2317">
        <f>IF(OR('R.M Billets Reports'!A2316="Date-",'R.M Billets Reports'!A2316="Date:-"),'R.M Billets Reports'!B2316,IF(ROW()=2,"",B2316))</f>
      </c>
      <c r="C2317">
        <f>IF('R.M Billets Reports'!A2316="V.No.",'R.M Billets Reports'!B2316,IF(ROW()=2,"",C2316))</f>
      </c>
      <c r="D2317">
        <f>IF('R.M Billets Reports'!A2316&lt;&gt;"",'R.M Billets Reports'!A2316,IF(ROW()=2,"",D2316))</f>
      </c>
      <c r="E2317">
        <f>IF('R.M Billets Reports'!B2316="","",TRIM('R.M Billets Reports'!B2316))</f>
      </c>
      <c r="F2317">
        <f>'R.M Billets Reports'!C2316</f>
      </c>
      <c r="G2317">
        <f>'R.M Billets Reports'!D2316</f>
      </c>
      <c r="H2317">
        <f>'R.M Billets Reports'!E2316</f>
      </c>
      <c r="I2317">
        <f>'R.M Billets Reports'!F2316</f>
      </c>
      <c r="J2317">
        <f>'R.M Billets Reports'!G2316</f>
      </c>
      <c r="K2317">
        <f>'R.M Billets Reports'!H2316</f>
      </c>
      <c r="L2317">
        <f>IF('R.M Billets Reports'!I2316="","",'R.M Billets Reports'!I2316)</f>
      </c>
      <c r="M2317">
        <f t="shared" si="72"/>
      </c>
      <c r="N2317">
        <f>IF('R.M Billets Reports'!J2316="","",'R.M Billets Reports'!J2316)</f>
      </c>
      <c r="O2317">
        <f t="shared" si="73"/>
      </c>
      <c r="P2317">
        <f>IF('R.M Billets Reports'!A2316="SIZE",'R.M Billets Reports'!B2316,P2316)</f>
      </c>
    </row>
    <row r="2318" spans="1:16" x14ac:dyDescent="0.25">
      <c r="A2318">
        <f>IF(OR('R.M Billets Reports'!A2317="Date-",'R.M Billets Reports'!A2317="Date:-"),IF(IF(IF(ISNUMBER(SEARCH("Party Name:-",'R.M Billets Reports'!D2317)),TRIM('R.M Billets Reports'!F2317),IF(ISNUMBER(SEARCH("Party Name-",'R.M Billets Reports'!D2317)),TRIM(MID('R.M Billets Reports'!D2317,SEARCH("-",'R.M Billets Reports'!D2317)+1,200)),""))&lt;&gt;"",IF(ISNUMBER(SEARCH("Party Name:-",'R.M Billets Reports'!D2317)),TRIM('R.M Billets Reports'!F2317),IF(ISNUMBER(SEARCH("Party Name-",'R.M Billets Reports'!D2317)),TRIM(MID('R.M Billets Reports'!D2317,SEARCH("-",'R.M Billets Reports'!D2317)+1,200)),"")),IF(ISNUMBER(SEARCH("Party Name:-",'R.M Billets Reports'!D2318)),TRIM('R.M Billets Reports'!F2318),IF(ISNUMBER(SEARCH("Party Name-",'R.M Billets Reports'!D2318)),TRIM(MID('R.M Billets Reports'!D2318,SEARCH("-",'R.M Billets Reports'!D2318)+1,200)),"")))="VRKP ISPAT PVT LTD","VRKP",IF(IF(IF(ISNUMBER(SEARCH("Party Name:-",'R.M Billets Reports'!D2317)),TRIM('R.M Billets Reports'!F2317),IF(ISNUMBER(SEARCH("Party Name-",'R.M Billets Reports'!D2317)),TRIM(MID('R.M Billets Reports'!D2317,SEARCH("-",'R.M Billets Reports'!D2317)+1,200)),""))&lt;&gt;"",IF(ISNUMBER(SEARCH("Party Name:-",'R.M Billets Reports'!D2317)),TRIM('R.M Billets Reports'!F2317),IF(ISNUMBER(SEARCH("Party Name-",'R.M Billets Reports'!D2317)),TRIM(MID('R.M Billets Reports'!D2317,SEARCH("-",'R.M Billets Reports'!D2317)+1,200)),"")),IF(ISNUMBER(SEARCH("Party Name:-",'R.M Billets Reports'!D2318)),TRIM('R.M Billets Reports'!F2318),IF(ISNUMBER(SEARCH("Party Name-",'R.M Billets Reports'!D2318)),TRIM(MID('R.M Billets Reports'!D2318,SEARCH("-",'R.M Billets Reports'!D2318)+1,200)),"")))="SHRI RADHE","SHREE RADHE",IF(IF(IF(ISNUMBER(SEARCH("Party Name:-",'R.M Billets Reports'!D2317)),TRIM('R.M Billets Reports'!F2317),IF(ISNUMBER(SEARCH("Party Name-",'R.M Billets Reports'!D2317)),TRIM(MID('R.M Billets Reports'!D2317,SEARCH("-",'R.M Billets Reports'!D2317)+1,200)),""))&lt;&gt;"",IF(ISNUMBER(SEARCH("Party Name:-",'R.M Billets Reports'!D2317)),TRIM('R.M Billets Reports'!F2317),IF(ISNUMBER(SEARCH("Party Name-",'R.M Billets Reports'!D2317)),TRIM(MID('R.M Billets Reports'!D2317,SEARCH("-",'R.M Billets Reports'!D2317)+1,200)),"")),IF(ISNUMBER(SEARCH("Party Name:-",'R.M Billets Reports'!D2318)),TRIM('R.M Billets Reports'!F2318),IF(ISNUMBER(SEARCH("Party Name-",'R.M Billets Reports'!D2318)),TRIM(MID('R.M Billets Reports'!D2318,SEARCH("-",'R.M Billets Reports'!D2318)+1,200)),"")))="SHREE RADHE SHAKTI SPONGE AND POWER PVT. LTD.","SHREE RADHE",IF(IF(ISNUMBER(SEARCH("Party Name:-",'R.M Billets Reports'!D2317)),TRIM('R.M Billets Reports'!F2317),IF(ISNUMBER(SEARCH("Party Name-",'R.M Billets Reports'!D2317)),TRIM(MID('R.M Billets Reports'!D2317,SEARCH("-",'R.M Billets Reports'!D2317)+1,200)),""))&lt;&gt;"",IF(ISNUMBER(SEARCH("Party Name:-",'R.M Billets Reports'!D2317)),TRIM('R.M Billets Reports'!F2317),IF(ISNUMBER(SEARCH("Party Name-",'R.M Billets Reports'!D2317)),TRIM(MID('R.M Billets Reports'!D2317,SEARCH("-",'R.M Billets Reports'!D2317)+1,200)),"")),IF(ISNUMBER(SEARCH("Party Name:-",'R.M Billets Reports'!D2318)),TRIM('R.M Billets Reports'!F2318),IF(ISNUMBER(SEARCH("Party Name-",'R.M Billets Reports'!D2318)),TRIM(MID('R.M Billets Reports'!D2318,SEARCH("-",'R.M Billets Reports'!D2318)+1,200)),"")))))),IF(ROW()=2,"",A2317))</f>
      </c>
      <c r="B2318">
        <f>IF(OR('R.M Billets Reports'!A2317="Date-",'R.M Billets Reports'!A2317="Date:-"),'R.M Billets Reports'!B2317,IF(ROW()=2,"",B2317))</f>
      </c>
      <c r="C2318">
        <f>IF('R.M Billets Reports'!A2317="V.No.",'R.M Billets Reports'!B2317,IF(ROW()=2,"",C2317))</f>
      </c>
      <c r="D2318">
        <f>IF('R.M Billets Reports'!A2317&lt;&gt;"",'R.M Billets Reports'!A2317,IF(ROW()=2,"",D2317))</f>
      </c>
      <c r="E2318">
        <f>IF('R.M Billets Reports'!B2317="","",TRIM('R.M Billets Reports'!B2317))</f>
      </c>
      <c r="F2318">
        <f>'R.M Billets Reports'!C2317</f>
      </c>
      <c r="G2318">
        <f>'R.M Billets Reports'!D2317</f>
      </c>
      <c r="H2318">
        <f>'R.M Billets Reports'!E2317</f>
      </c>
      <c r="I2318">
        <f>'R.M Billets Reports'!F2317</f>
      </c>
      <c r="J2318">
        <f>'R.M Billets Reports'!G2317</f>
      </c>
      <c r="K2318">
        <f>'R.M Billets Reports'!H2317</f>
      </c>
      <c r="L2318">
        <f>IF('R.M Billets Reports'!I2317="","",'R.M Billets Reports'!I2317)</f>
      </c>
      <c r="M2318">
        <f t="shared" si="72"/>
      </c>
      <c r="N2318">
        <f>IF('R.M Billets Reports'!J2317="","",'R.M Billets Reports'!J2317)</f>
      </c>
      <c r="O2318">
        <f t="shared" si="73"/>
      </c>
      <c r="P2318">
        <f>IF('R.M Billets Reports'!A2317="SIZE",'R.M Billets Reports'!B2317,P2317)</f>
      </c>
    </row>
    <row r="2319" spans="1:16" x14ac:dyDescent="0.25">
      <c r="A2319">
        <f>IF(OR('R.M Billets Reports'!A2318="Date-",'R.M Billets Reports'!A2318="Date:-"),IF(IF(IF(ISNUMBER(SEARCH("Party Name:-",'R.M Billets Reports'!D2318)),TRIM('R.M Billets Reports'!F2318),IF(ISNUMBER(SEARCH("Party Name-",'R.M Billets Reports'!D2318)),TRIM(MID('R.M Billets Reports'!D2318,SEARCH("-",'R.M Billets Reports'!D2318)+1,200)),""))&lt;&gt;"",IF(ISNUMBER(SEARCH("Party Name:-",'R.M Billets Reports'!D2318)),TRIM('R.M Billets Reports'!F2318),IF(ISNUMBER(SEARCH("Party Name-",'R.M Billets Reports'!D2318)),TRIM(MID('R.M Billets Reports'!D2318,SEARCH("-",'R.M Billets Reports'!D2318)+1,200)),"")),IF(ISNUMBER(SEARCH("Party Name:-",'R.M Billets Reports'!D2319)),TRIM('R.M Billets Reports'!F2319),IF(ISNUMBER(SEARCH("Party Name-",'R.M Billets Reports'!D2319)),TRIM(MID('R.M Billets Reports'!D2319,SEARCH("-",'R.M Billets Reports'!D2319)+1,200)),"")))="VRKP ISPAT PVT LTD","VRKP",IF(IF(IF(ISNUMBER(SEARCH("Party Name:-",'R.M Billets Reports'!D2318)),TRIM('R.M Billets Reports'!F2318),IF(ISNUMBER(SEARCH("Party Name-",'R.M Billets Reports'!D2318)),TRIM(MID('R.M Billets Reports'!D2318,SEARCH("-",'R.M Billets Reports'!D2318)+1,200)),""))&lt;&gt;"",IF(ISNUMBER(SEARCH("Party Name:-",'R.M Billets Reports'!D2318)),TRIM('R.M Billets Reports'!F2318),IF(ISNUMBER(SEARCH("Party Name-",'R.M Billets Reports'!D2318)),TRIM(MID('R.M Billets Reports'!D2318,SEARCH("-",'R.M Billets Reports'!D2318)+1,200)),"")),IF(ISNUMBER(SEARCH("Party Name:-",'R.M Billets Reports'!D2319)),TRIM('R.M Billets Reports'!F2319),IF(ISNUMBER(SEARCH("Party Name-",'R.M Billets Reports'!D2319)),TRIM(MID('R.M Billets Reports'!D2319,SEARCH("-",'R.M Billets Reports'!D2319)+1,200)),"")))="SHRI RADHE","SHREE RADHE",IF(IF(IF(ISNUMBER(SEARCH("Party Name:-",'R.M Billets Reports'!D2318)),TRIM('R.M Billets Reports'!F2318),IF(ISNUMBER(SEARCH("Party Name-",'R.M Billets Reports'!D2318)),TRIM(MID('R.M Billets Reports'!D2318,SEARCH("-",'R.M Billets Reports'!D2318)+1,200)),""))&lt;&gt;"",IF(ISNUMBER(SEARCH("Party Name:-",'R.M Billets Reports'!D2318)),TRIM('R.M Billets Reports'!F2318),IF(ISNUMBER(SEARCH("Party Name-",'R.M Billets Reports'!D2318)),TRIM(MID('R.M Billets Reports'!D2318,SEARCH("-",'R.M Billets Reports'!D2318)+1,200)),"")),IF(ISNUMBER(SEARCH("Party Name:-",'R.M Billets Reports'!D2319)),TRIM('R.M Billets Reports'!F2319),IF(ISNUMBER(SEARCH("Party Name-",'R.M Billets Reports'!D2319)),TRIM(MID('R.M Billets Reports'!D2319,SEARCH("-",'R.M Billets Reports'!D2319)+1,200)),"")))="SHREE RADHE SHAKTI SPONGE AND POWER PVT. LTD.","SHREE RADHE",IF(IF(ISNUMBER(SEARCH("Party Name:-",'R.M Billets Reports'!D2318)),TRIM('R.M Billets Reports'!F2318),IF(ISNUMBER(SEARCH("Party Name-",'R.M Billets Reports'!D2318)),TRIM(MID('R.M Billets Reports'!D2318,SEARCH("-",'R.M Billets Reports'!D2318)+1,200)),""))&lt;&gt;"",IF(ISNUMBER(SEARCH("Party Name:-",'R.M Billets Reports'!D2318)),TRIM('R.M Billets Reports'!F2318),IF(ISNUMBER(SEARCH("Party Name-",'R.M Billets Reports'!D2318)),TRIM(MID('R.M Billets Reports'!D2318,SEARCH("-",'R.M Billets Reports'!D2318)+1,200)),"")),IF(ISNUMBER(SEARCH("Party Name:-",'R.M Billets Reports'!D2319)),TRIM('R.M Billets Reports'!F2319),IF(ISNUMBER(SEARCH("Party Name-",'R.M Billets Reports'!D2319)),TRIM(MID('R.M Billets Reports'!D2319,SEARCH("-",'R.M Billets Reports'!D2319)+1,200)),"")))))),IF(ROW()=2,"",A2318))</f>
      </c>
      <c r="B2319">
        <f>IF(OR('R.M Billets Reports'!A2318="Date-",'R.M Billets Reports'!A2318="Date:-"),'R.M Billets Reports'!B2318,IF(ROW()=2,"",B2318))</f>
      </c>
      <c r="C2319">
        <f>IF('R.M Billets Reports'!A2318="V.No.",'R.M Billets Reports'!B2318,IF(ROW()=2,"",C2318))</f>
      </c>
      <c r="D2319">
        <f>IF('R.M Billets Reports'!A2318&lt;&gt;"",'R.M Billets Reports'!A2318,IF(ROW()=2,"",D2318))</f>
      </c>
      <c r="E2319">
        <f>IF('R.M Billets Reports'!B2318="","",TRIM('R.M Billets Reports'!B2318))</f>
      </c>
      <c r="F2319">
        <f>'R.M Billets Reports'!C2318</f>
      </c>
      <c r="G2319">
        <f>'R.M Billets Reports'!D2318</f>
      </c>
      <c r="H2319">
        <f>'R.M Billets Reports'!E2318</f>
      </c>
      <c r="I2319">
        <f>'R.M Billets Reports'!F2318</f>
      </c>
      <c r="J2319">
        <f>'R.M Billets Reports'!G2318</f>
      </c>
      <c r="K2319">
        <f>'R.M Billets Reports'!H2318</f>
      </c>
      <c r="L2319">
        <f>IF('R.M Billets Reports'!I2318="","",'R.M Billets Reports'!I2318)</f>
      </c>
      <c r="M2319">
        <f t="shared" si="72"/>
      </c>
      <c r="N2319">
        <f>IF('R.M Billets Reports'!J2318="","",'R.M Billets Reports'!J2318)</f>
      </c>
      <c r="O2319">
        <f t="shared" si="73"/>
      </c>
      <c r="P2319">
        <f>IF('R.M Billets Reports'!A2318="SIZE",'R.M Billets Reports'!B2318,P2318)</f>
      </c>
    </row>
    <row r="2320" spans="1:16" x14ac:dyDescent="0.25">
      <c r="A2320">
        <f>IF(OR('R.M Billets Reports'!A2319="Date-",'R.M Billets Reports'!A2319="Date:-"),IF(IF(IF(ISNUMBER(SEARCH("Party Name:-",'R.M Billets Reports'!D2319)),TRIM('R.M Billets Reports'!F2319),IF(ISNUMBER(SEARCH("Party Name-",'R.M Billets Reports'!D2319)),TRIM(MID('R.M Billets Reports'!D2319,SEARCH("-",'R.M Billets Reports'!D2319)+1,200)),""))&lt;&gt;"",IF(ISNUMBER(SEARCH("Party Name:-",'R.M Billets Reports'!D2319)),TRIM('R.M Billets Reports'!F2319),IF(ISNUMBER(SEARCH("Party Name-",'R.M Billets Reports'!D2319)),TRIM(MID('R.M Billets Reports'!D2319,SEARCH("-",'R.M Billets Reports'!D2319)+1,200)),"")),IF(ISNUMBER(SEARCH("Party Name:-",'R.M Billets Reports'!D2320)),TRIM('R.M Billets Reports'!F2320),IF(ISNUMBER(SEARCH("Party Name-",'R.M Billets Reports'!D2320)),TRIM(MID('R.M Billets Reports'!D2320,SEARCH("-",'R.M Billets Reports'!D2320)+1,200)),"")))="VRKP ISPAT PVT LTD","VRKP",IF(IF(IF(ISNUMBER(SEARCH("Party Name:-",'R.M Billets Reports'!D2319)),TRIM('R.M Billets Reports'!F2319),IF(ISNUMBER(SEARCH("Party Name-",'R.M Billets Reports'!D2319)),TRIM(MID('R.M Billets Reports'!D2319,SEARCH("-",'R.M Billets Reports'!D2319)+1,200)),""))&lt;&gt;"",IF(ISNUMBER(SEARCH("Party Name:-",'R.M Billets Reports'!D2319)),TRIM('R.M Billets Reports'!F2319),IF(ISNUMBER(SEARCH("Party Name-",'R.M Billets Reports'!D2319)),TRIM(MID('R.M Billets Reports'!D2319,SEARCH("-",'R.M Billets Reports'!D2319)+1,200)),"")),IF(ISNUMBER(SEARCH("Party Name:-",'R.M Billets Reports'!D2320)),TRIM('R.M Billets Reports'!F2320),IF(ISNUMBER(SEARCH("Party Name-",'R.M Billets Reports'!D2320)),TRIM(MID('R.M Billets Reports'!D2320,SEARCH("-",'R.M Billets Reports'!D2320)+1,200)),"")))="SHRI RADHE","SHREE RADHE",IF(IF(IF(ISNUMBER(SEARCH("Party Name:-",'R.M Billets Reports'!D2319)),TRIM('R.M Billets Reports'!F2319),IF(ISNUMBER(SEARCH("Party Name-",'R.M Billets Reports'!D2319)),TRIM(MID('R.M Billets Reports'!D2319,SEARCH("-",'R.M Billets Reports'!D2319)+1,200)),""))&lt;&gt;"",IF(ISNUMBER(SEARCH("Party Name:-",'R.M Billets Reports'!D2319)),TRIM('R.M Billets Reports'!F2319),IF(ISNUMBER(SEARCH("Party Name-",'R.M Billets Reports'!D2319)),TRIM(MID('R.M Billets Reports'!D2319,SEARCH("-",'R.M Billets Reports'!D2319)+1,200)),"")),IF(ISNUMBER(SEARCH("Party Name:-",'R.M Billets Reports'!D2320)),TRIM('R.M Billets Reports'!F2320),IF(ISNUMBER(SEARCH("Party Name-",'R.M Billets Reports'!D2320)),TRIM(MID('R.M Billets Reports'!D2320,SEARCH("-",'R.M Billets Reports'!D2320)+1,200)),"")))="SHREE RADHE SHAKTI SPONGE AND POWER PVT. LTD.","SHREE RADHE",IF(IF(ISNUMBER(SEARCH("Party Name:-",'R.M Billets Reports'!D2319)),TRIM('R.M Billets Reports'!F2319),IF(ISNUMBER(SEARCH("Party Name-",'R.M Billets Reports'!D2319)),TRIM(MID('R.M Billets Reports'!D2319,SEARCH("-",'R.M Billets Reports'!D2319)+1,200)),""))&lt;&gt;"",IF(ISNUMBER(SEARCH("Party Name:-",'R.M Billets Reports'!D2319)),TRIM('R.M Billets Reports'!F2319),IF(ISNUMBER(SEARCH("Party Name-",'R.M Billets Reports'!D2319)),TRIM(MID('R.M Billets Reports'!D2319,SEARCH("-",'R.M Billets Reports'!D2319)+1,200)),"")),IF(ISNUMBER(SEARCH("Party Name:-",'R.M Billets Reports'!D2320)),TRIM('R.M Billets Reports'!F2320),IF(ISNUMBER(SEARCH("Party Name-",'R.M Billets Reports'!D2320)),TRIM(MID('R.M Billets Reports'!D2320,SEARCH("-",'R.M Billets Reports'!D2320)+1,200)),"")))))),IF(ROW()=2,"",A2319))</f>
      </c>
      <c r="B2320">
        <f>IF(OR('R.M Billets Reports'!A2319="Date-",'R.M Billets Reports'!A2319="Date:-"),'R.M Billets Reports'!B2319,IF(ROW()=2,"",B2319))</f>
      </c>
      <c r="C2320">
        <f>IF('R.M Billets Reports'!A2319="V.No.",'R.M Billets Reports'!B2319,IF(ROW()=2,"",C2319))</f>
      </c>
      <c r="D2320">
        <f>IF('R.M Billets Reports'!A2319&lt;&gt;"",'R.M Billets Reports'!A2319,IF(ROW()=2,"",D2319))</f>
      </c>
      <c r="E2320">
        <f>IF('R.M Billets Reports'!B2319="","",TRIM('R.M Billets Reports'!B2319))</f>
      </c>
      <c r="F2320">
        <f>'R.M Billets Reports'!C2319</f>
      </c>
      <c r="G2320">
        <f>'R.M Billets Reports'!D2319</f>
      </c>
      <c r="H2320">
        <f>'R.M Billets Reports'!E2319</f>
      </c>
      <c r="I2320">
        <f>'R.M Billets Reports'!F2319</f>
      </c>
      <c r="J2320">
        <f>'R.M Billets Reports'!G2319</f>
      </c>
      <c r="K2320">
        <f>'R.M Billets Reports'!H2319</f>
      </c>
      <c r="L2320">
        <f>IF('R.M Billets Reports'!I2319="","",'R.M Billets Reports'!I2319)</f>
      </c>
      <c r="M2320">
        <f t="shared" si="72"/>
      </c>
      <c r="N2320">
        <f>IF('R.M Billets Reports'!J2319="","",'R.M Billets Reports'!J2319)</f>
      </c>
      <c r="O2320">
        <f t="shared" si="73"/>
      </c>
      <c r="P2320">
        <f>IF('R.M Billets Reports'!A2319="SIZE",'R.M Billets Reports'!B2319,P2319)</f>
      </c>
    </row>
    <row r="2321" spans="1:16" x14ac:dyDescent="0.25">
      <c r="A2321">
        <f>IF(OR('R.M Billets Reports'!A2320="Date-",'R.M Billets Reports'!A2320="Date:-"),IF(IF(IF(ISNUMBER(SEARCH("Party Name:-",'R.M Billets Reports'!D2320)),TRIM('R.M Billets Reports'!F2320),IF(ISNUMBER(SEARCH("Party Name-",'R.M Billets Reports'!D2320)),TRIM(MID('R.M Billets Reports'!D2320,SEARCH("-",'R.M Billets Reports'!D2320)+1,200)),""))&lt;&gt;"",IF(ISNUMBER(SEARCH("Party Name:-",'R.M Billets Reports'!D2320)),TRIM('R.M Billets Reports'!F2320),IF(ISNUMBER(SEARCH("Party Name-",'R.M Billets Reports'!D2320)),TRIM(MID('R.M Billets Reports'!D2320,SEARCH("-",'R.M Billets Reports'!D2320)+1,200)),"")),IF(ISNUMBER(SEARCH("Party Name:-",'R.M Billets Reports'!D2321)),TRIM('R.M Billets Reports'!F2321),IF(ISNUMBER(SEARCH("Party Name-",'R.M Billets Reports'!D2321)),TRIM(MID('R.M Billets Reports'!D2321,SEARCH("-",'R.M Billets Reports'!D2321)+1,200)),"")))="VRKP ISPAT PVT LTD","VRKP",IF(IF(IF(ISNUMBER(SEARCH("Party Name:-",'R.M Billets Reports'!D2320)),TRIM('R.M Billets Reports'!F2320),IF(ISNUMBER(SEARCH("Party Name-",'R.M Billets Reports'!D2320)),TRIM(MID('R.M Billets Reports'!D2320,SEARCH("-",'R.M Billets Reports'!D2320)+1,200)),""))&lt;&gt;"",IF(ISNUMBER(SEARCH("Party Name:-",'R.M Billets Reports'!D2320)),TRIM('R.M Billets Reports'!F2320),IF(ISNUMBER(SEARCH("Party Name-",'R.M Billets Reports'!D2320)),TRIM(MID('R.M Billets Reports'!D2320,SEARCH("-",'R.M Billets Reports'!D2320)+1,200)),"")),IF(ISNUMBER(SEARCH("Party Name:-",'R.M Billets Reports'!D2321)),TRIM('R.M Billets Reports'!F2321),IF(ISNUMBER(SEARCH("Party Name-",'R.M Billets Reports'!D2321)),TRIM(MID('R.M Billets Reports'!D2321,SEARCH("-",'R.M Billets Reports'!D2321)+1,200)),"")))="SHRI RADHE","SHREE RADHE",IF(IF(IF(ISNUMBER(SEARCH("Party Name:-",'R.M Billets Reports'!D2320)),TRIM('R.M Billets Reports'!F2320),IF(ISNUMBER(SEARCH("Party Name-",'R.M Billets Reports'!D2320)),TRIM(MID('R.M Billets Reports'!D2320,SEARCH("-",'R.M Billets Reports'!D2320)+1,200)),""))&lt;&gt;"",IF(ISNUMBER(SEARCH("Party Name:-",'R.M Billets Reports'!D2320)),TRIM('R.M Billets Reports'!F2320),IF(ISNUMBER(SEARCH("Party Name-",'R.M Billets Reports'!D2320)),TRIM(MID('R.M Billets Reports'!D2320,SEARCH("-",'R.M Billets Reports'!D2320)+1,200)),"")),IF(ISNUMBER(SEARCH("Party Name:-",'R.M Billets Reports'!D2321)),TRIM('R.M Billets Reports'!F2321),IF(ISNUMBER(SEARCH("Party Name-",'R.M Billets Reports'!D2321)),TRIM(MID('R.M Billets Reports'!D2321,SEARCH("-",'R.M Billets Reports'!D2321)+1,200)),"")))="SHREE RADHE SHAKTI SPONGE AND POWER PVT. LTD.","SHREE RADHE",IF(IF(ISNUMBER(SEARCH("Party Name:-",'R.M Billets Reports'!D2320)),TRIM('R.M Billets Reports'!F2320),IF(ISNUMBER(SEARCH("Party Name-",'R.M Billets Reports'!D2320)),TRIM(MID('R.M Billets Reports'!D2320,SEARCH("-",'R.M Billets Reports'!D2320)+1,200)),""))&lt;&gt;"",IF(ISNUMBER(SEARCH("Party Name:-",'R.M Billets Reports'!D2320)),TRIM('R.M Billets Reports'!F2320),IF(ISNUMBER(SEARCH("Party Name-",'R.M Billets Reports'!D2320)),TRIM(MID('R.M Billets Reports'!D2320,SEARCH("-",'R.M Billets Reports'!D2320)+1,200)),"")),IF(ISNUMBER(SEARCH("Party Name:-",'R.M Billets Reports'!D2321)),TRIM('R.M Billets Reports'!F2321),IF(ISNUMBER(SEARCH("Party Name-",'R.M Billets Reports'!D2321)),TRIM(MID('R.M Billets Reports'!D2321,SEARCH("-",'R.M Billets Reports'!D2321)+1,200)),"")))))),IF(ROW()=2,"",A2320))</f>
      </c>
      <c r="B2321">
        <f>IF(OR('R.M Billets Reports'!A2320="Date-",'R.M Billets Reports'!A2320="Date:-"),'R.M Billets Reports'!B2320,IF(ROW()=2,"",B2320))</f>
      </c>
      <c r="C2321">
        <f>IF('R.M Billets Reports'!A2320="V.No.",'R.M Billets Reports'!B2320,IF(ROW()=2,"",C2320))</f>
      </c>
      <c r="D2321">
        <f>IF('R.M Billets Reports'!A2320&lt;&gt;"",'R.M Billets Reports'!A2320,IF(ROW()=2,"",D2320))</f>
      </c>
      <c r="E2321">
        <f>IF('R.M Billets Reports'!B2320="","",TRIM('R.M Billets Reports'!B2320))</f>
      </c>
      <c r="F2321">
        <f>'R.M Billets Reports'!C2320</f>
      </c>
      <c r="G2321">
        <f>'R.M Billets Reports'!D2320</f>
      </c>
      <c r="H2321">
        <f>'R.M Billets Reports'!E2320</f>
      </c>
      <c r="I2321">
        <f>'R.M Billets Reports'!F2320</f>
      </c>
      <c r="J2321">
        <f>'R.M Billets Reports'!G2320</f>
      </c>
      <c r="K2321">
        <f>'R.M Billets Reports'!H2320</f>
      </c>
      <c r="L2321">
        <f>IF('R.M Billets Reports'!I2320="","",'R.M Billets Reports'!I2320)</f>
      </c>
      <c r="M2321">
        <f t="shared" si="72"/>
      </c>
      <c r="N2321">
        <f>IF('R.M Billets Reports'!J2320="","",'R.M Billets Reports'!J2320)</f>
      </c>
      <c r="O2321">
        <f t="shared" si="73"/>
      </c>
      <c r="P2321">
        <f>IF('R.M Billets Reports'!A2320="SIZE",'R.M Billets Reports'!B2320,P2320)</f>
      </c>
    </row>
    <row r="2322" spans="1:16" x14ac:dyDescent="0.25">
      <c r="A2322">
        <f>IF(OR('R.M Billets Reports'!A2321="Date-",'R.M Billets Reports'!A2321="Date:-"),IF(IF(IF(ISNUMBER(SEARCH("Party Name:-",'R.M Billets Reports'!D2321)),TRIM('R.M Billets Reports'!F2321),IF(ISNUMBER(SEARCH("Party Name-",'R.M Billets Reports'!D2321)),TRIM(MID('R.M Billets Reports'!D2321,SEARCH("-",'R.M Billets Reports'!D2321)+1,200)),""))&lt;&gt;"",IF(ISNUMBER(SEARCH("Party Name:-",'R.M Billets Reports'!D2321)),TRIM('R.M Billets Reports'!F2321),IF(ISNUMBER(SEARCH("Party Name-",'R.M Billets Reports'!D2321)),TRIM(MID('R.M Billets Reports'!D2321,SEARCH("-",'R.M Billets Reports'!D2321)+1,200)),"")),IF(ISNUMBER(SEARCH("Party Name:-",'R.M Billets Reports'!D2322)),TRIM('R.M Billets Reports'!F2322),IF(ISNUMBER(SEARCH("Party Name-",'R.M Billets Reports'!D2322)),TRIM(MID('R.M Billets Reports'!D2322,SEARCH("-",'R.M Billets Reports'!D2322)+1,200)),"")))="VRKP ISPAT PVT LTD","VRKP",IF(IF(IF(ISNUMBER(SEARCH("Party Name:-",'R.M Billets Reports'!D2321)),TRIM('R.M Billets Reports'!F2321),IF(ISNUMBER(SEARCH("Party Name-",'R.M Billets Reports'!D2321)),TRIM(MID('R.M Billets Reports'!D2321,SEARCH("-",'R.M Billets Reports'!D2321)+1,200)),""))&lt;&gt;"",IF(ISNUMBER(SEARCH("Party Name:-",'R.M Billets Reports'!D2321)),TRIM('R.M Billets Reports'!F2321),IF(ISNUMBER(SEARCH("Party Name-",'R.M Billets Reports'!D2321)),TRIM(MID('R.M Billets Reports'!D2321,SEARCH("-",'R.M Billets Reports'!D2321)+1,200)),"")),IF(ISNUMBER(SEARCH("Party Name:-",'R.M Billets Reports'!D2322)),TRIM('R.M Billets Reports'!F2322),IF(ISNUMBER(SEARCH("Party Name-",'R.M Billets Reports'!D2322)),TRIM(MID('R.M Billets Reports'!D2322,SEARCH("-",'R.M Billets Reports'!D2322)+1,200)),"")))="SHRI RADHE","SHREE RADHE",IF(IF(IF(ISNUMBER(SEARCH("Party Name:-",'R.M Billets Reports'!D2321)),TRIM('R.M Billets Reports'!F2321),IF(ISNUMBER(SEARCH("Party Name-",'R.M Billets Reports'!D2321)),TRIM(MID('R.M Billets Reports'!D2321,SEARCH("-",'R.M Billets Reports'!D2321)+1,200)),""))&lt;&gt;"",IF(ISNUMBER(SEARCH("Party Name:-",'R.M Billets Reports'!D2321)),TRIM('R.M Billets Reports'!F2321),IF(ISNUMBER(SEARCH("Party Name-",'R.M Billets Reports'!D2321)),TRIM(MID('R.M Billets Reports'!D2321,SEARCH("-",'R.M Billets Reports'!D2321)+1,200)),"")),IF(ISNUMBER(SEARCH("Party Name:-",'R.M Billets Reports'!D2322)),TRIM('R.M Billets Reports'!F2322),IF(ISNUMBER(SEARCH("Party Name-",'R.M Billets Reports'!D2322)),TRIM(MID('R.M Billets Reports'!D2322,SEARCH("-",'R.M Billets Reports'!D2322)+1,200)),"")))="SHREE RADHE SHAKTI SPONGE AND POWER PVT. LTD.","SHREE RADHE",IF(IF(ISNUMBER(SEARCH("Party Name:-",'R.M Billets Reports'!D2321)),TRIM('R.M Billets Reports'!F2321),IF(ISNUMBER(SEARCH("Party Name-",'R.M Billets Reports'!D2321)),TRIM(MID('R.M Billets Reports'!D2321,SEARCH("-",'R.M Billets Reports'!D2321)+1,200)),""))&lt;&gt;"",IF(ISNUMBER(SEARCH("Party Name:-",'R.M Billets Reports'!D2321)),TRIM('R.M Billets Reports'!F2321),IF(ISNUMBER(SEARCH("Party Name-",'R.M Billets Reports'!D2321)),TRIM(MID('R.M Billets Reports'!D2321,SEARCH("-",'R.M Billets Reports'!D2321)+1,200)),"")),IF(ISNUMBER(SEARCH("Party Name:-",'R.M Billets Reports'!D2322)),TRIM('R.M Billets Reports'!F2322),IF(ISNUMBER(SEARCH("Party Name-",'R.M Billets Reports'!D2322)),TRIM(MID('R.M Billets Reports'!D2322,SEARCH("-",'R.M Billets Reports'!D2322)+1,200)),"")))))),IF(ROW()=2,"",A2321))</f>
      </c>
      <c r="B2322">
        <f>IF(OR('R.M Billets Reports'!A2321="Date-",'R.M Billets Reports'!A2321="Date:-"),'R.M Billets Reports'!B2321,IF(ROW()=2,"",B2321))</f>
      </c>
      <c r="C2322">
        <f>IF('R.M Billets Reports'!A2321="V.No.",'R.M Billets Reports'!B2321,IF(ROW()=2,"",C2321))</f>
      </c>
      <c r="D2322">
        <f>IF('R.M Billets Reports'!A2321&lt;&gt;"",'R.M Billets Reports'!A2321,IF(ROW()=2,"",D2321))</f>
      </c>
      <c r="E2322">
        <f>IF('R.M Billets Reports'!B2321="","",TRIM('R.M Billets Reports'!B2321))</f>
      </c>
      <c r="F2322">
        <f>'R.M Billets Reports'!C2321</f>
      </c>
      <c r="G2322">
        <f>'R.M Billets Reports'!D2321</f>
      </c>
      <c r="H2322">
        <f>'R.M Billets Reports'!E2321</f>
      </c>
      <c r="I2322">
        <f>'R.M Billets Reports'!F2321</f>
      </c>
      <c r="J2322">
        <f>'R.M Billets Reports'!G2321</f>
      </c>
      <c r="K2322">
        <f>'R.M Billets Reports'!H2321</f>
      </c>
      <c r="L2322">
        <f>IF('R.M Billets Reports'!I2321="","",'R.M Billets Reports'!I2321)</f>
      </c>
      <c r="M2322">
        <f t="shared" si="72"/>
      </c>
      <c r="N2322">
        <f>IF('R.M Billets Reports'!J2321="","",'R.M Billets Reports'!J2321)</f>
      </c>
      <c r="O2322">
        <f t="shared" si="73"/>
      </c>
      <c r="P2322">
        <f>IF('R.M Billets Reports'!A2321="SIZE",'R.M Billets Reports'!B2321,P2321)</f>
      </c>
    </row>
    <row r="2323" spans="1:16" x14ac:dyDescent="0.25">
      <c r="A2323">
        <f>IF(OR('R.M Billets Reports'!A2322="Date-",'R.M Billets Reports'!A2322="Date:-"),IF(IF(IF(ISNUMBER(SEARCH("Party Name:-",'R.M Billets Reports'!D2322)),TRIM('R.M Billets Reports'!F2322),IF(ISNUMBER(SEARCH("Party Name-",'R.M Billets Reports'!D2322)),TRIM(MID('R.M Billets Reports'!D2322,SEARCH("-",'R.M Billets Reports'!D2322)+1,200)),""))&lt;&gt;"",IF(ISNUMBER(SEARCH("Party Name:-",'R.M Billets Reports'!D2322)),TRIM('R.M Billets Reports'!F2322),IF(ISNUMBER(SEARCH("Party Name-",'R.M Billets Reports'!D2322)),TRIM(MID('R.M Billets Reports'!D2322,SEARCH("-",'R.M Billets Reports'!D2322)+1,200)),"")),IF(ISNUMBER(SEARCH("Party Name:-",'R.M Billets Reports'!D2323)),TRIM('R.M Billets Reports'!F2323),IF(ISNUMBER(SEARCH("Party Name-",'R.M Billets Reports'!D2323)),TRIM(MID('R.M Billets Reports'!D2323,SEARCH("-",'R.M Billets Reports'!D2323)+1,200)),"")))="VRKP ISPAT PVT LTD","VRKP",IF(IF(IF(ISNUMBER(SEARCH("Party Name:-",'R.M Billets Reports'!D2322)),TRIM('R.M Billets Reports'!F2322),IF(ISNUMBER(SEARCH("Party Name-",'R.M Billets Reports'!D2322)),TRIM(MID('R.M Billets Reports'!D2322,SEARCH("-",'R.M Billets Reports'!D2322)+1,200)),""))&lt;&gt;"",IF(ISNUMBER(SEARCH("Party Name:-",'R.M Billets Reports'!D2322)),TRIM('R.M Billets Reports'!F2322),IF(ISNUMBER(SEARCH("Party Name-",'R.M Billets Reports'!D2322)),TRIM(MID('R.M Billets Reports'!D2322,SEARCH("-",'R.M Billets Reports'!D2322)+1,200)),"")),IF(ISNUMBER(SEARCH("Party Name:-",'R.M Billets Reports'!D2323)),TRIM('R.M Billets Reports'!F2323),IF(ISNUMBER(SEARCH("Party Name-",'R.M Billets Reports'!D2323)),TRIM(MID('R.M Billets Reports'!D2323,SEARCH("-",'R.M Billets Reports'!D2323)+1,200)),"")))="SHRI RADHE","SHREE RADHE",IF(IF(IF(ISNUMBER(SEARCH("Party Name:-",'R.M Billets Reports'!D2322)),TRIM('R.M Billets Reports'!F2322),IF(ISNUMBER(SEARCH("Party Name-",'R.M Billets Reports'!D2322)),TRIM(MID('R.M Billets Reports'!D2322,SEARCH("-",'R.M Billets Reports'!D2322)+1,200)),""))&lt;&gt;"",IF(ISNUMBER(SEARCH("Party Name:-",'R.M Billets Reports'!D2322)),TRIM('R.M Billets Reports'!F2322),IF(ISNUMBER(SEARCH("Party Name-",'R.M Billets Reports'!D2322)),TRIM(MID('R.M Billets Reports'!D2322,SEARCH("-",'R.M Billets Reports'!D2322)+1,200)),"")),IF(ISNUMBER(SEARCH("Party Name:-",'R.M Billets Reports'!D2323)),TRIM('R.M Billets Reports'!F2323),IF(ISNUMBER(SEARCH("Party Name-",'R.M Billets Reports'!D2323)),TRIM(MID('R.M Billets Reports'!D2323,SEARCH("-",'R.M Billets Reports'!D2323)+1,200)),"")))="SHREE RADHE SHAKTI SPONGE AND POWER PVT. LTD.","SHREE RADHE",IF(IF(ISNUMBER(SEARCH("Party Name:-",'R.M Billets Reports'!D2322)),TRIM('R.M Billets Reports'!F2322),IF(ISNUMBER(SEARCH("Party Name-",'R.M Billets Reports'!D2322)),TRIM(MID('R.M Billets Reports'!D2322,SEARCH("-",'R.M Billets Reports'!D2322)+1,200)),""))&lt;&gt;"",IF(ISNUMBER(SEARCH("Party Name:-",'R.M Billets Reports'!D2322)),TRIM('R.M Billets Reports'!F2322),IF(ISNUMBER(SEARCH("Party Name-",'R.M Billets Reports'!D2322)),TRIM(MID('R.M Billets Reports'!D2322,SEARCH("-",'R.M Billets Reports'!D2322)+1,200)),"")),IF(ISNUMBER(SEARCH("Party Name:-",'R.M Billets Reports'!D2323)),TRIM('R.M Billets Reports'!F2323),IF(ISNUMBER(SEARCH("Party Name-",'R.M Billets Reports'!D2323)),TRIM(MID('R.M Billets Reports'!D2323,SEARCH("-",'R.M Billets Reports'!D2323)+1,200)),"")))))),IF(ROW()=2,"",A2322))</f>
      </c>
      <c r="B2323">
        <f>IF(OR('R.M Billets Reports'!A2322="Date-",'R.M Billets Reports'!A2322="Date:-"),'R.M Billets Reports'!B2322,IF(ROW()=2,"",B2322))</f>
      </c>
      <c r="C2323">
        <f>IF('R.M Billets Reports'!A2322="V.No.",'R.M Billets Reports'!B2322,IF(ROW()=2,"",C2322))</f>
      </c>
      <c r="D2323">
        <f>IF('R.M Billets Reports'!A2322&lt;&gt;"",'R.M Billets Reports'!A2322,IF(ROW()=2,"",D2322))</f>
      </c>
      <c r="E2323">
        <f>IF('R.M Billets Reports'!B2322="","",TRIM('R.M Billets Reports'!B2322))</f>
      </c>
      <c r="F2323">
        <f>'R.M Billets Reports'!C2322</f>
      </c>
      <c r="G2323">
        <f>'R.M Billets Reports'!D2322</f>
      </c>
      <c r="H2323">
        <f>'R.M Billets Reports'!E2322</f>
      </c>
      <c r="I2323">
        <f>'R.M Billets Reports'!F2322</f>
      </c>
      <c r="J2323">
        <f>'R.M Billets Reports'!G2322</f>
      </c>
      <c r="K2323">
        <f>'R.M Billets Reports'!H2322</f>
      </c>
      <c r="L2323">
        <f>IF('R.M Billets Reports'!I2322="","",'R.M Billets Reports'!I2322)</f>
      </c>
      <c r="M2323">
        <f t="shared" si="72"/>
      </c>
      <c r="N2323">
        <f>IF('R.M Billets Reports'!J2322="","",'R.M Billets Reports'!J2322)</f>
      </c>
      <c r="O2323">
        <f t="shared" si="73"/>
      </c>
      <c r="P2323">
        <f>IF('R.M Billets Reports'!A2322="SIZE",'R.M Billets Reports'!B2322,P2322)</f>
      </c>
    </row>
    <row r="2324" spans="1:16" x14ac:dyDescent="0.25">
      <c r="A2324">
        <f>IF(OR('R.M Billets Reports'!A2323="Date-",'R.M Billets Reports'!A2323="Date:-"),IF(IF(IF(ISNUMBER(SEARCH("Party Name:-",'R.M Billets Reports'!D2323)),TRIM('R.M Billets Reports'!F2323),IF(ISNUMBER(SEARCH("Party Name-",'R.M Billets Reports'!D2323)),TRIM(MID('R.M Billets Reports'!D2323,SEARCH("-",'R.M Billets Reports'!D2323)+1,200)),""))&lt;&gt;"",IF(ISNUMBER(SEARCH("Party Name:-",'R.M Billets Reports'!D2323)),TRIM('R.M Billets Reports'!F2323),IF(ISNUMBER(SEARCH("Party Name-",'R.M Billets Reports'!D2323)),TRIM(MID('R.M Billets Reports'!D2323,SEARCH("-",'R.M Billets Reports'!D2323)+1,200)),"")),IF(ISNUMBER(SEARCH("Party Name:-",'R.M Billets Reports'!D2324)),TRIM('R.M Billets Reports'!F2324),IF(ISNUMBER(SEARCH("Party Name-",'R.M Billets Reports'!D2324)),TRIM(MID('R.M Billets Reports'!D2324,SEARCH("-",'R.M Billets Reports'!D2324)+1,200)),"")))="VRKP ISPAT PVT LTD","VRKP",IF(IF(IF(ISNUMBER(SEARCH("Party Name:-",'R.M Billets Reports'!D2323)),TRIM('R.M Billets Reports'!F2323),IF(ISNUMBER(SEARCH("Party Name-",'R.M Billets Reports'!D2323)),TRIM(MID('R.M Billets Reports'!D2323,SEARCH("-",'R.M Billets Reports'!D2323)+1,200)),""))&lt;&gt;"",IF(ISNUMBER(SEARCH("Party Name:-",'R.M Billets Reports'!D2323)),TRIM('R.M Billets Reports'!F2323),IF(ISNUMBER(SEARCH("Party Name-",'R.M Billets Reports'!D2323)),TRIM(MID('R.M Billets Reports'!D2323,SEARCH("-",'R.M Billets Reports'!D2323)+1,200)),"")),IF(ISNUMBER(SEARCH("Party Name:-",'R.M Billets Reports'!D2324)),TRIM('R.M Billets Reports'!F2324),IF(ISNUMBER(SEARCH("Party Name-",'R.M Billets Reports'!D2324)),TRIM(MID('R.M Billets Reports'!D2324,SEARCH("-",'R.M Billets Reports'!D2324)+1,200)),"")))="SHRI RADHE","SHREE RADHE",IF(IF(IF(ISNUMBER(SEARCH("Party Name:-",'R.M Billets Reports'!D2323)),TRIM('R.M Billets Reports'!F2323),IF(ISNUMBER(SEARCH("Party Name-",'R.M Billets Reports'!D2323)),TRIM(MID('R.M Billets Reports'!D2323,SEARCH("-",'R.M Billets Reports'!D2323)+1,200)),""))&lt;&gt;"",IF(ISNUMBER(SEARCH("Party Name:-",'R.M Billets Reports'!D2323)),TRIM('R.M Billets Reports'!F2323),IF(ISNUMBER(SEARCH("Party Name-",'R.M Billets Reports'!D2323)),TRIM(MID('R.M Billets Reports'!D2323,SEARCH("-",'R.M Billets Reports'!D2323)+1,200)),"")),IF(ISNUMBER(SEARCH("Party Name:-",'R.M Billets Reports'!D2324)),TRIM('R.M Billets Reports'!F2324),IF(ISNUMBER(SEARCH("Party Name-",'R.M Billets Reports'!D2324)),TRIM(MID('R.M Billets Reports'!D2324,SEARCH("-",'R.M Billets Reports'!D2324)+1,200)),"")))="SHREE RADHE SHAKTI SPONGE AND POWER PVT. LTD.","SHREE RADHE",IF(IF(ISNUMBER(SEARCH("Party Name:-",'R.M Billets Reports'!D2323)),TRIM('R.M Billets Reports'!F2323),IF(ISNUMBER(SEARCH("Party Name-",'R.M Billets Reports'!D2323)),TRIM(MID('R.M Billets Reports'!D2323,SEARCH("-",'R.M Billets Reports'!D2323)+1,200)),""))&lt;&gt;"",IF(ISNUMBER(SEARCH("Party Name:-",'R.M Billets Reports'!D2323)),TRIM('R.M Billets Reports'!F2323),IF(ISNUMBER(SEARCH("Party Name-",'R.M Billets Reports'!D2323)),TRIM(MID('R.M Billets Reports'!D2323,SEARCH("-",'R.M Billets Reports'!D2323)+1,200)),"")),IF(ISNUMBER(SEARCH("Party Name:-",'R.M Billets Reports'!D2324)),TRIM('R.M Billets Reports'!F2324),IF(ISNUMBER(SEARCH("Party Name-",'R.M Billets Reports'!D2324)),TRIM(MID('R.M Billets Reports'!D2324,SEARCH("-",'R.M Billets Reports'!D2324)+1,200)),"")))))),IF(ROW()=2,"",A2323))</f>
      </c>
      <c r="B2324">
        <f>IF(OR('R.M Billets Reports'!A2323="Date-",'R.M Billets Reports'!A2323="Date:-"),'R.M Billets Reports'!B2323,IF(ROW()=2,"",B2323))</f>
      </c>
      <c r="C2324">
        <f>IF('R.M Billets Reports'!A2323="V.No.",'R.M Billets Reports'!B2323,IF(ROW()=2,"",C2323))</f>
      </c>
      <c r="D2324">
        <f>IF('R.M Billets Reports'!A2323&lt;&gt;"",'R.M Billets Reports'!A2323,IF(ROW()=2,"",D2323))</f>
      </c>
      <c r="E2324">
        <f>IF('R.M Billets Reports'!B2323="","",TRIM('R.M Billets Reports'!B2323))</f>
      </c>
      <c r="F2324">
        <f>'R.M Billets Reports'!C2323</f>
      </c>
      <c r="G2324">
        <f>'R.M Billets Reports'!D2323</f>
      </c>
      <c r="H2324">
        <f>'R.M Billets Reports'!E2323</f>
      </c>
      <c r="I2324">
        <f>'R.M Billets Reports'!F2323</f>
      </c>
      <c r="J2324">
        <f>'R.M Billets Reports'!G2323</f>
      </c>
      <c r="K2324">
        <f>'R.M Billets Reports'!H2323</f>
      </c>
      <c r="L2324">
        <f>IF('R.M Billets Reports'!I2323="","",'R.M Billets Reports'!I2323)</f>
      </c>
      <c r="M2324">
        <f t="shared" si="72"/>
      </c>
      <c r="N2324">
        <f>IF('R.M Billets Reports'!J2323="","",'R.M Billets Reports'!J2323)</f>
      </c>
      <c r="O2324">
        <f t="shared" si="73"/>
      </c>
      <c r="P2324">
        <f>IF('R.M Billets Reports'!A2323="SIZE",'R.M Billets Reports'!B2323,P2323)</f>
      </c>
    </row>
    <row r="2325" spans="1:16" x14ac:dyDescent="0.25">
      <c r="A2325">
        <f>IF(OR('R.M Billets Reports'!A2324="Date-",'R.M Billets Reports'!A2324="Date:-"),IF(IF(IF(ISNUMBER(SEARCH("Party Name:-",'R.M Billets Reports'!D2324)),TRIM('R.M Billets Reports'!F2324),IF(ISNUMBER(SEARCH("Party Name-",'R.M Billets Reports'!D2324)),TRIM(MID('R.M Billets Reports'!D2324,SEARCH("-",'R.M Billets Reports'!D2324)+1,200)),""))&lt;&gt;"",IF(ISNUMBER(SEARCH("Party Name:-",'R.M Billets Reports'!D2324)),TRIM('R.M Billets Reports'!F2324),IF(ISNUMBER(SEARCH("Party Name-",'R.M Billets Reports'!D2324)),TRIM(MID('R.M Billets Reports'!D2324,SEARCH("-",'R.M Billets Reports'!D2324)+1,200)),"")),IF(ISNUMBER(SEARCH("Party Name:-",'R.M Billets Reports'!D2325)),TRIM('R.M Billets Reports'!F2325),IF(ISNUMBER(SEARCH("Party Name-",'R.M Billets Reports'!D2325)),TRIM(MID('R.M Billets Reports'!D2325,SEARCH("-",'R.M Billets Reports'!D2325)+1,200)),"")))="VRKP ISPAT PVT LTD","VRKP",IF(IF(IF(ISNUMBER(SEARCH("Party Name:-",'R.M Billets Reports'!D2324)),TRIM('R.M Billets Reports'!F2324),IF(ISNUMBER(SEARCH("Party Name-",'R.M Billets Reports'!D2324)),TRIM(MID('R.M Billets Reports'!D2324,SEARCH("-",'R.M Billets Reports'!D2324)+1,200)),""))&lt;&gt;"",IF(ISNUMBER(SEARCH("Party Name:-",'R.M Billets Reports'!D2324)),TRIM('R.M Billets Reports'!F2324),IF(ISNUMBER(SEARCH("Party Name-",'R.M Billets Reports'!D2324)),TRIM(MID('R.M Billets Reports'!D2324,SEARCH("-",'R.M Billets Reports'!D2324)+1,200)),"")),IF(ISNUMBER(SEARCH("Party Name:-",'R.M Billets Reports'!D2325)),TRIM('R.M Billets Reports'!F2325),IF(ISNUMBER(SEARCH("Party Name-",'R.M Billets Reports'!D2325)),TRIM(MID('R.M Billets Reports'!D2325,SEARCH("-",'R.M Billets Reports'!D2325)+1,200)),"")))="SHRI RADHE","SHREE RADHE",IF(IF(IF(ISNUMBER(SEARCH("Party Name:-",'R.M Billets Reports'!D2324)),TRIM('R.M Billets Reports'!F2324),IF(ISNUMBER(SEARCH("Party Name-",'R.M Billets Reports'!D2324)),TRIM(MID('R.M Billets Reports'!D2324,SEARCH("-",'R.M Billets Reports'!D2324)+1,200)),""))&lt;&gt;"",IF(ISNUMBER(SEARCH("Party Name:-",'R.M Billets Reports'!D2324)),TRIM('R.M Billets Reports'!F2324),IF(ISNUMBER(SEARCH("Party Name-",'R.M Billets Reports'!D2324)),TRIM(MID('R.M Billets Reports'!D2324,SEARCH("-",'R.M Billets Reports'!D2324)+1,200)),"")),IF(ISNUMBER(SEARCH("Party Name:-",'R.M Billets Reports'!D2325)),TRIM('R.M Billets Reports'!F2325),IF(ISNUMBER(SEARCH("Party Name-",'R.M Billets Reports'!D2325)),TRIM(MID('R.M Billets Reports'!D2325,SEARCH("-",'R.M Billets Reports'!D2325)+1,200)),"")))="SHREE RADHE SHAKTI SPONGE AND POWER PVT. LTD.","SHREE RADHE",IF(IF(ISNUMBER(SEARCH("Party Name:-",'R.M Billets Reports'!D2324)),TRIM('R.M Billets Reports'!F2324),IF(ISNUMBER(SEARCH("Party Name-",'R.M Billets Reports'!D2324)),TRIM(MID('R.M Billets Reports'!D2324,SEARCH("-",'R.M Billets Reports'!D2324)+1,200)),""))&lt;&gt;"",IF(ISNUMBER(SEARCH("Party Name:-",'R.M Billets Reports'!D2324)),TRIM('R.M Billets Reports'!F2324),IF(ISNUMBER(SEARCH("Party Name-",'R.M Billets Reports'!D2324)),TRIM(MID('R.M Billets Reports'!D2324,SEARCH("-",'R.M Billets Reports'!D2324)+1,200)),"")),IF(ISNUMBER(SEARCH("Party Name:-",'R.M Billets Reports'!D2325)),TRIM('R.M Billets Reports'!F2325),IF(ISNUMBER(SEARCH("Party Name-",'R.M Billets Reports'!D2325)),TRIM(MID('R.M Billets Reports'!D2325,SEARCH("-",'R.M Billets Reports'!D2325)+1,200)),"")))))),IF(ROW()=2,"",A2324))</f>
      </c>
      <c r="B2325">
        <f>IF(OR('R.M Billets Reports'!A2324="Date-",'R.M Billets Reports'!A2324="Date:-"),'R.M Billets Reports'!B2324,IF(ROW()=2,"",B2324))</f>
      </c>
      <c r="C2325">
        <f>IF('R.M Billets Reports'!A2324="V.No.",'R.M Billets Reports'!B2324,IF(ROW()=2,"",C2324))</f>
      </c>
      <c r="D2325">
        <f>IF('R.M Billets Reports'!A2324&lt;&gt;"",'R.M Billets Reports'!A2324,IF(ROW()=2,"",D2324))</f>
      </c>
      <c r="E2325">
        <f>IF('R.M Billets Reports'!B2324="","",TRIM('R.M Billets Reports'!B2324))</f>
      </c>
      <c r="F2325">
        <f>'R.M Billets Reports'!C2324</f>
      </c>
      <c r="G2325">
        <f>'R.M Billets Reports'!D2324</f>
      </c>
      <c r="H2325">
        <f>'R.M Billets Reports'!E2324</f>
      </c>
      <c r="I2325">
        <f>'R.M Billets Reports'!F2324</f>
      </c>
      <c r="J2325">
        <f>'R.M Billets Reports'!G2324</f>
      </c>
      <c r="K2325">
        <f>'R.M Billets Reports'!H2324</f>
      </c>
      <c r="L2325">
        <f>IF('R.M Billets Reports'!I2324="","",'R.M Billets Reports'!I2324)</f>
      </c>
      <c r="M2325">
        <f t="shared" si="72"/>
      </c>
      <c r="N2325">
        <f>IF('R.M Billets Reports'!J2324="","",'R.M Billets Reports'!J2324)</f>
      </c>
      <c r="O2325">
        <f t="shared" si="73"/>
      </c>
      <c r="P2325">
        <f>IF('R.M Billets Reports'!A2324="SIZE",'R.M Billets Reports'!B2324,P2324)</f>
      </c>
    </row>
    <row r="2326" spans="1:16" x14ac:dyDescent="0.25">
      <c r="A2326">
        <f>IF(OR('R.M Billets Reports'!A2325="Date-",'R.M Billets Reports'!A2325="Date:-"),IF(IF(IF(ISNUMBER(SEARCH("Party Name:-",'R.M Billets Reports'!D2325)),TRIM('R.M Billets Reports'!F2325),IF(ISNUMBER(SEARCH("Party Name-",'R.M Billets Reports'!D2325)),TRIM(MID('R.M Billets Reports'!D2325,SEARCH("-",'R.M Billets Reports'!D2325)+1,200)),""))&lt;&gt;"",IF(ISNUMBER(SEARCH("Party Name:-",'R.M Billets Reports'!D2325)),TRIM('R.M Billets Reports'!F2325),IF(ISNUMBER(SEARCH("Party Name-",'R.M Billets Reports'!D2325)),TRIM(MID('R.M Billets Reports'!D2325,SEARCH("-",'R.M Billets Reports'!D2325)+1,200)),"")),IF(ISNUMBER(SEARCH("Party Name:-",'R.M Billets Reports'!D2326)),TRIM('R.M Billets Reports'!F2326),IF(ISNUMBER(SEARCH("Party Name-",'R.M Billets Reports'!D2326)),TRIM(MID('R.M Billets Reports'!D2326,SEARCH("-",'R.M Billets Reports'!D2326)+1,200)),"")))="VRKP ISPAT PVT LTD","VRKP",IF(IF(IF(ISNUMBER(SEARCH("Party Name:-",'R.M Billets Reports'!D2325)),TRIM('R.M Billets Reports'!F2325),IF(ISNUMBER(SEARCH("Party Name-",'R.M Billets Reports'!D2325)),TRIM(MID('R.M Billets Reports'!D2325,SEARCH("-",'R.M Billets Reports'!D2325)+1,200)),""))&lt;&gt;"",IF(ISNUMBER(SEARCH("Party Name:-",'R.M Billets Reports'!D2325)),TRIM('R.M Billets Reports'!F2325),IF(ISNUMBER(SEARCH("Party Name-",'R.M Billets Reports'!D2325)),TRIM(MID('R.M Billets Reports'!D2325,SEARCH("-",'R.M Billets Reports'!D2325)+1,200)),"")),IF(ISNUMBER(SEARCH("Party Name:-",'R.M Billets Reports'!D2326)),TRIM('R.M Billets Reports'!F2326),IF(ISNUMBER(SEARCH("Party Name-",'R.M Billets Reports'!D2326)),TRIM(MID('R.M Billets Reports'!D2326,SEARCH("-",'R.M Billets Reports'!D2326)+1,200)),"")))="SHRI RADHE","SHREE RADHE",IF(IF(IF(ISNUMBER(SEARCH("Party Name:-",'R.M Billets Reports'!D2325)),TRIM('R.M Billets Reports'!F2325),IF(ISNUMBER(SEARCH("Party Name-",'R.M Billets Reports'!D2325)),TRIM(MID('R.M Billets Reports'!D2325,SEARCH("-",'R.M Billets Reports'!D2325)+1,200)),""))&lt;&gt;"",IF(ISNUMBER(SEARCH("Party Name:-",'R.M Billets Reports'!D2325)),TRIM('R.M Billets Reports'!F2325),IF(ISNUMBER(SEARCH("Party Name-",'R.M Billets Reports'!D2325)),TRIM(MID('R.M Billets Reports'!D2325,SEARCH("-",'R.M Billets Reports'!D2325)+1,200)),"")),IF(ISNUMBER(SEARCH("Party Name:-",'R.M Billets Reports'!D2326)),TRIM('R.M Billets Reports'!F2326),IF(ISNUMBER(SEARCH("Party Name-",'R.M Billets Reports'!D2326)),TRIM(MID('R.M Billets Reports'!D2326,SEARCH("-",'R.M Billets Reports'!D2326)+1,200)),"")))="SHREE RADHE SHAKTI SPONGE AND POWER PVT. LTD.","SHREE RADHE",IF(IF(ISNUMBER(SEARCH("Party Name:-",'R.M Billets Reports'!D2325)),TRIM('R.M Billets Reports'!F2325),IF(ISNUMBER(SEARCH("Party Name-",'R.M Billets Reports'!D2325)),TRIM(MID('R.M Billets Reports'!D2325,SEARCH("-",'R.M Billets Reports'!D2325)+1,200)),""))&lt;&gt;"",IF(ISNUMBER(SEARCH("Party Name:-",'R.M Billets Reports'!D2325)),TRIM('R.M Billets Reports'!F2325),IF(ISNUMBER(SEARCH("Party Name-",'R.M Billets Reports'!D2325)),TRIM(MID('R.M Billets Reports'!D2325,SEARCH("-",'R.M Billets Reports'!D2325)+1,200)),"")),IF(ISNUMBER(SEARCH("Party Name:-",'R.M Billets Reports'!D2326)),TRIM('R.M Billets Reports'!F2326),IF(ISNUMBER(SEARCH("Party Name-",'R.M Billets Reports'!D2326)),TRIM(MID('R.M Billets Reports'!D2326,SEARCH("-",'R.M Billets Reports'!D2326)+1,200)),"")))))),IF(ROW()=2,"",A2325))</f>
      </c>
      <c r="B2326">
        <f>IF(OR('R.M Billets Reports'!A2325="Date-",'R.M Billets Reports'!A2325="Date:-"),'R.M Billets Reports'!B2325,IF(ROW()=2,"",B2325))</f>
      </c>
      <c r="C2326">
        <f>IF('R.M Billets Reports'!A2325="V.No.",'R.M Billets Reports'!B2325,IF(ROW()=2,"",C2325))</f>
      </c>
      <c r="D2326">
        <f>IF('R.M Billets Reports'!A2325&lt;&gt;"",'R.M Billets Reports'!A2325,IF(ROW()=2,"",D2325))</f>
      </c>
      <c r="E2326">
        <f>IF('R.M Billets Reports'!B2325="","",TRIM('R.M Billets Reports'!B2325))</f>
      </c>
      <c r="F2326">
        <f>'R.M Billets Reports'!C2325</f>
      </c>
      <c r="G2326">
        <f>'R.M Billets Reports'!D2325</f>
      </c>
      <c r="H2326">
        <f>'R.M Billets Reports'!E2325</f>
      </c>
      <c r="I2326">
        <f>'R.M Billets Reports'!F2325</f>
      </c>
      <c r="J2326">
        <f>'R.M Billets Reports'!G2325</f>
      </c>
      <c r="K2326">
        <f>'R.M Billets Reports'!H2325</f>
      </c>
      <c r="L2326">
        <f>IF('R.M Billets Reports'!I2325="","",'R.M Billets Reports'!I2325)</f>
      </c>
      <c r="M2326">
        <f t="shared" si="72"/>
      </c>
      <c r="N2326">
        <f>IF('R.M Billets Reports'!J2325="","",'R.M Billets Reports'!J2325)</f>
      </c>
      <c r="O2326">
        <f t="shared" si="73"/>
      </c>
      <c r="P2326">
        <f>IF('R.M Billets Reports'!A2325="SIZE",'R.M Billets Reports'!B2325,P2325)</f>
      </c>
    </row>
    <row r="2327" spans="1:16" x14ac:dyDescent="0.25">
      <c r="A2327">
        <f>IF(OR('R.M Billets Reports'!A2326="Date-",'R.M Billets Reports'!A2326="Date:-"),IF(IF(IF(ISNUMBER(SEARCH("Party Name:-",'R.M Billets Reports'!D2326)),TRIM('R.M Billets Reports'!F2326),IF(ISNUMBER(SEARCH("Party Name-",'R.M Billets Reports'!D2326)),TRIM(MID('R.M Billets Reports'!D2326,SEARCH("-",'R.M Billets Reports'!D2326)+1,200)),""))&lt;&gt;"",IF(ISNUMBER(SEARCH("Party Name:-",'R.M Billets Reports'!D2326)),TRIM('R.M Billets Reports'!F2326),IF(ISNUMBER(SEARCH("Party Name-",'R.M Billets Reports'!D2326)),TRIM(MID('R.M Billets Reports'!D2326,SEARCH("-",'R.M Billets Reports'!D2326)+1,200)),"")),IF(ISNUMBER(SEARCH("Party Name:-",'R.M Billets Reports'!D2327)),TRIM('R.M Billets Reports'!F2327),IF(ISNUMBER(SEARCH("Party Name-",'R.M Billets Reports'!D2327)),TRIM(MID('R.M Billets Reports'!D2327,SEARCH("-",'R.M Billets Reports'!D2327)+1,200)),"")))="VRKP ISPAT PVT LTD","VRKP",IF(IF(IF(ISNUMBER(SEARCH("Party Name:-",'R.M Billets Reports'!D2326)),TRIM('R.M Billets Reports'!F2326),IF(ISNUMBER(SEARCH("Party Name-",'R.M Billets Reports'!D2326)),TRIM(MID('R.M Billets Reports'!D2326,SEARCH("-",'R.M Billets Reports'!D2326)+1,200)),""))&lt;&gt;"",IF(ISNUMBER(SEARCH("Party Name:-",'R.M Billets Reports'!D2326)),TRIM('R.M Billets Reports'!F2326),IF(ISNUMBER(SEARCH("Party Name-",'R.M Billets Reports'!D2326)),TRIM(MID('R.M Billets Reports'!D2326,SEARCH("-",'R.M Billets Reports'!D2326)+1,200)),"")),IF(ISNUMBER(SEARCH("Party Name:-",'R.M Billets Reports'!D2327)),TRIM('R.M Billets Reports'!F2327),IF(ISNUMBER(SEARCH("Party Name-",'R.M Billets Reports'!D2327)),TRIM(MID('R.M Billets Reports'!D2327,SEARCH("-",'R.M Billets Reports'!D2327)+1,200)),"")))="SHRI RADHE","SHREE RADHE",IF(IF(IF(ISNUMBER(SEARCH("Party Name:-",'R.M Billets Reports'!D2326)),TRIM('R.M Billets Reports'!F2326),IF(ISNUMBER(SEARCH("Party Name-",'R.M Billets Reports'!D2326)),TRIM(MID('R.M Billets Reports'!D2326,SEARCH("-",'R.M Billets Reports'!D2326)+1,200)),""))&lt;&gt;"",IF(ISNUMBER(SEARCH("Party Name:-",'R.M Billets Reports'!D2326)),TRIM('R.M Billets Reports'!F2326),IF(ISNUMBER(SEARCH("Party Name-",'R.M Billets Reports'!D2326)),TRIM(MID('R.M Billets Reports'!D2326,SEARCH("-",'R.M Billets Reports'!D2326)+1,200)),"")),IF(ISNUMBER(SEARCH("Party Name:-",'R.M Billets Reports'!D2327)),TRIM('R.M Billets Reports'!F2327),IF(ISNUMBER(SEARCH("Party Name-",'R.M Billets Reports'!D2327)),TRIM(MID('R.M Billets Reports'!D2327,SEARCH("-",'R.M Billets Reports'!D2327)+1,200)),"")))="SHREE RADHE SHAKTI SPONGE AND POWER PVT. LTD.","SHREE RADHE",IF(IF(ISNUMBER(SEARCH("Party Name:-",'R.M Billets Reports'!D2326)),TRIM('R.M Billets Reports'!F2326),IF(ISNUMBER(SEARCH("Party Name-",'R.M Billets Reports'!D2326)),TRIM(MID('R.M Billets Reports'!D2326,SEARCH("-",'R.M Billets Reports'!D2326)+1,200)),""))&lt;&gt;"",IF(ISNUMBER(SEARCH("Party Name:-",'R.M Billets Reports'!D2326)),TRIM('R.M Billets Reports'!F2326),IF(ISNUMBER(SEARCH("Party Name-",'R.M Billets Reports'!D2326)),TRIM(MID('R.M Billets Reports'!D2326,SEARCH("-",'R.M Billets Reports'!D2326)+1,200)),"")),IF(ISNUMBER(SEARCH("Party Name:-",'R.M Billets Reports'!D2327)),TRIM('R.M Billets Reports'!F2327),IF(ISNUMBER(SEARCH("Party Name-",'R.M Billets Reports'!D2327)),TRIM(MID('R.M Billets Reports'!D2327,SEARCH("-",'R.M Billets Reports'!D2327)+1,200)),"")))))),IF(ROW()=2,"",A2326))</f>
      </c>
      <c r="B2327">
        <f>IF(OR('R.M Billets Reports'!A2326="Date-",'R.M Billets Reports'!A2326="Date:-"),'R.M Billets Reports'!B2326,IF(ROW()=2,"",B2326))</f>
      </c>
      <c r="C2327">
        <f>IF('R.M Billets Reports'!A2326="V.No.",'R.M Billets Reports'!B2326,IF(ROW()=2,"",C2326))</f>
      </c>
      <c r="D2327">
        <f>IF('R.M Billets Reports'!A2326&lt;&gt;"",'R.M Billets Reports'!A2326,IF(ROW()=2,"",D2326))</f>
      </c>
      <c r="E2327">
        <f>IF('R.M Billets Reports'!B2326="","",TRIM('R.M Billets Reports'!B2326))</f>
      </c>
      <c r="F2327">
        <f>'R.M Billets Reports'!C2326</f>
      </c>
      <c r="G2327">
        <f>'R.M Billets Reports'!D2326</f>
      </c>
      <c r="H2327">
        <f>'R.M Billets Reports'!E2326</f>
      </c>
      <c r="I2327">
        <f>'R.M Billets Reports'!F2326</f>
      </c>
      <c r="J2327">
        <f>'R.M Billets Reports'!G2326</f>
      </c>
      <c r="K2327">
        <f>'R.M Billets Reports'!H2326</f>
      </c>
      <c r="L2327">
        <f>IF('R.M Billets Reports'!I2326="","",'R.M Billets Reports'!I2326)</f>
      </c>
      <c r="M2327">
        <f t="shared" si="72"/>
      </c>
      <c r="N2327">
        <f>IF('R.M Billets Reports'!J2326="","",'R.M Billets Reports'!J2326)</f>
      </c>
      <c r="O2327">
        <f t="shared" si="73"/>
      </c>
      <c r="P2327">
        <f>IF('R.M Billets Reports'!A2326="SIZE",'R.M Billets Reports'!B2326,P2326)</f>
      </c>
    </row>
    <row r="2328" spans="1:16" x14ac:dyDescent="0.25">
      <c r="A2328">
        <f>IF(OR('R.M Billets Reports'!A2327="Date-",'R.M Billets Reports'!A2327="Date:-"),IF(IF(IF(ISNUMBER(SEARCH("Party Name:-",'R.M Billets Reports'!D2327)),TRIM('R.M Billets Reports'!F2327),IF(ISNUMBER(SEARCH("Party Name-",'R.M Billets Reports'!D2327)),TRIM(MID('R.M Billets Reports'!D2327,SEARCH("-",'R.M Billets Reports'!D2327)+1,200)),""))&lt;&gt;"",IF(ISNUMBER(SEARCH("Party Name:-",'R.M Billets Reports'!D2327)),TRIM('R.M Billets Reports'!F2327),IF(ISNUMBER(SEARCH("Party Name-",'R.M Billets Reports'!D2327)),TRIM(MID('R.M Billets Reports'!D2327,SEARCH("-",'R.M Billets Reports'!D2327)+1,200)),"")),IF(ISNUMBER(SEARCH("Party Name:-",'R.M Billets Reports'!D2328)),TRIM('R.M Billets Reports'!F2328),IF(ISNUMBER(SEARCH("Party Name-",'R.M Billets Reports'!D2328)),TRIM(MID('R.M Billets Reports'!D2328,SEARCH("-",'R.M Billets Reports'!D2328)+1,200)),"")))="VRKP ISPAT PVT LTD","VRKP",IF(IF(IF(ISNUMBER(SEARCH("Party Name:-",'R.M Billets Reports'!D2327)),TRIM('R.M Billets Reports'!F2327),IF(ISNUMBER(SEARCH("Party Name-",'R.M Billets Reports'!D2327)),TRIM(MID('R.M Billets Reports'!D2327,SEARCH("-",'R.M Billets Reports'!D2327)+1,200)),""))&lt;&gt;"",IF(ISNUMBER(SEARCH("Party Name:-",'R.M Billets Reports'!D2327)),TRIM('R.M Billets Reports'!F2327),IF(ISNUMBER(SEARCH("Party Name-",'R.M Billets Reports'!D2327)),TRIM(MID('R.M Billets Reports'!D2327,SEARCH("-",'R.M Billets Reports'!D2327)+1,200)),"")),IF(ISNUMBER(SEARCH("Party Name:-",'R.M Billets Reports'!D2328)),TRIM('R.M Billets Reports'!F2328),IF(ISNUMBER(SEARCH("Party Name-",'R.M Billets Reports'!D2328)),TRIM(MID('R.M Billets Reports'!D2328,SEARCH("-",'R.M Billets Reports'!D2328)+1,200)),"")))="SHRI RADHE","SHREE RADHE",IF(IF(IF(ISNUMBER(SEARCH("Party Name:-",'R.M Billets Reports'!D2327)),TRIM('R.M Billets Reports'!F2327),IF(ISNUMBER(SEARCH("Party Name-",'R.M Billets Reports'!D2327)),TRIM(MID('R.M Billets Reports'!D2327,SEARCH("-",'R.M Billets Reports'!D2327)+1,200)),""))&lt;&gt;"",IF(ISNUMBER(SEARCH("Party Name:-",'R.M Billets Reports'!D2327)),TRIM('R.M Billets Reports'!F2327),IF(ISNUMBER(SEARCH("Party Name-",'R.M Billets Reports'!D2327)),TRIM(MID('R.M Billets Reports'!D2327,SEARCH("-",'R.M Billets Reports'!D2327)+1,200)),"")),IF(ISNUMBER(SEARCH("Party Name:-",'R.M Billets Reports'!D2328)),TRIM('R.M Billets Reports'!F2328),IF(ISNUMBER(SEARCH("Party Name-",'R.M Billets Reports'!D2328)),TRIM(MID('R.M Billets Reports'!D2328,SEARCH("-",'R.M Billets Reports'!D2328)+1,200)),"")))="SHREE RADHE SHAKTI SPONGE AND POWER PVT. LTD.","SHREE RADHE",IF(IF(ISNUMBER(SEARCH("Party Name:-",'R.M Billets Reports'!D2327)),TRIM('R.M Billets Reports'!F2327),IF(ISNUMBER(SEARCH("Party Name-",'R.M Billets Reports'!D2327)),TRIM(MID('R.M Billets Reports'!D2327,SEARCH("-",'R.M Billets Reports'!D2327)+1,200)),""))&lt;&gt;"",IF(ISNUMBER(SEARCH("Party Name:-",'R.M Billets Reports'!D2327)),TRIM('R.M Billets Reports'!F2327),IF(ISNUMBER(SEARCH("Party Name-",'R.M Billets Reports'!D2327)),TRIM(MID('R.M Billets Reports'!D2327,SEARCH("-",'R.M Billets Reports'!D2327)+1,200)),"")),IF(ISNUMBER(SEARCH("Party Name:-",'R.M Billets Reports'!D2328)),TRIM('R.M Billets Reports'!F2328),IF(ISNUMBER(SEARCH("Party Name-",'R.M Billets Reports'!D2328)),TRIM(MID('R.M Billets Reports'!D2328,SEARCH("-",'R.M Billets Reports'!D2328)+1,200)),"")))))),IF(ROW()=2,"",A2327))</f>
      </c>
      <c r="B2328">
        <f>IF(OR('R.M Billets Reports'!A2327="Date-",'R.M Billets Reports'!A2327="Date:-"),'R.M Billets Reports'!B2327,IF(ROW()=2,"",B2327))</f>
      </c>
      <c r="C2328">
        <f>IF('R.M Billets Reports'!A2327="V.No.",'R.M Billets Reports'!B2327,IF(ROW()=2,"",C2327))</f>
      </c>
      <c r="D2328">
        <f>IF('R.M Billets Reports'!A2327&lt;&gt;"",'R.M Billets Reports'!A2327,IF(ROW()=2,"",D2327))</f>
      </c>
      <c r="E2328">
        <f>IF('R.M Billets Reports'!B2327="","",TRIM('R.M Billets Reports'!B2327))</f>
      </c>
      <c r="F2328">
        <f>'R.M Billets Reports'!C2327</f>
      </c>
      <c r="G2328">
        <f>'R.M Billets Reports'!D2327</f>
      </c>
      <c r="H2328">
        <f>'R.M Billets Reports'!E2327</f>
      </c>
      <c r="I2328">
        <f>'R.M Billets Reports'!F2327</f>
      </c>
      <c r="J2328">
        <f>'R.M Billets Reports'!G2327</f>
      </c>
      <c r="K2328">
        <f>'R.M Billets Reports'!H2327</f>
      </c>
      <c r="L2328">
        <f>IF('R.M Billets Reports'!I2327="","",'R.M Billets Reports'!I2327)</f>
      </c>
      <c r="M2328">
        <f t="shared" si="72"/>
      </c>
      <c r="N2328">
        <f>IF('R.M Billets Reports'!J2327="","",'R.M Billets Reports'!J2327)</f>
      </c>
      <c r="O2328">
        <f t="shared" si="73"/>
      </c>
      <c r="P2328">
        <f>IF('R.M Billets Reports'!A2327="SIZE",'R.M Billets Reports'!B2327,P2327)</f>
      </c>
    </row>
    <row r="2329" spans="1:16" x14ac:dyDescent="0.25">
      <c r="A2329">
        <f>IF(OR('R.M Billets Reports'!A2328="Date-",'R.M Billets Reports'!A2328="Date:-"),IF(IF(IF(ISNUMBER(SEARCH("Party Name:-",'R.M Billets Reports'!D2328)),TRIM('R.M Billets Reports'!F2328),IF(ISNUMBER(SEARCH("Party Name-",'R.M Billets Reports'!D2328)),TRIM(MID('R.M Billets Reports'!D2328,SEARCH("-",'R.M Billets Reports'!D2328)+1,200)),""))&lt;&gt;"",IF(ISNUMBER(SEARCH("Party Name:-",'R.M Billets Reports'!D2328)),TRIM('R.M Billets Reports'!F2328),IF(ISNUMBER(SEARCH("Party Name-",'R.M Billets Reports'!D2328)),TRIM(MID('R.M Billets Reports'!D2328,SEARCH("-",'R.M Billets Reports'!D2328)+1,200)),"")),IF(ISNUMBER(SEARCH("Party Name:-",'R.M Billets Reports'!D2329)),TRIM('R.M Billets Reports'!F2329),IF(ISNUMBER(SEARCH("Party Name-",'R.M Billets Reports'!D2329)),TRIM(MID('R.M Billets Reports'!D2329,SEARCH("-",'R.M Billets Reports'!D2329)+1,200)),"")))="VRKP ISPAT PVT LTD","VRKP",IF(IF(IF(ISNUMBER(SEARCH("Party Name:-",'R.M Billets Reports'!D2328)),TRIM('R.M Billets Reports'!F2328),IF(ISNUMBER(SEARCH("Party Name-",'R.M Billets Reports'!D2328)),TRIM(MID('R.M Billets Reports'!D2328,SEARCH("-",'R.M Billets Reports'!D2328)+1,200)),""))&lt;&gt;"",IF(ISNUMBER(SEARCH("Party Name:-",'R.M Billets Reports'!D2328)),TRIM('R.M Billets Reports'!F2328),IF(ISNUMBER(SEARCH("Party Name-",'R.M Billets Reports'!D2328)),TRIM(MID('R.M Billets Reports'!D2328,SEARCH("-",'R.M Billets Reports'!D2328)+1,200)),"")),IF(ISNUMBER(SEARCH("Party Name:-",'R.M Billets Reports'!D2329)),TRIM('R.M Billets Reports'!F2329),IF(ISNUMBER(SEARCH("Party Name-",'R.M Billets Reports'!D2329)),TRIM(MID('R.M Billets Reports'!D2329,SEARCH("-",'R.M Billets Reports'!D2329)+1,200)),"")))="SHRI RADHE","SHREE RADHE",IF(IF(IF(ISNUMBER(SEARCH("Party Name:-",'R.M Billets Reports'!D2328)),TRIM('R.M Billets Reports'!F2328),IF(ISNUMBER(SEARCH("Party Name-",'R.M Billets Reports'!D2328)),TRIM(MID('R.M Billets Reports'!D2328,SEARCH("-",'R.M Billets Reports'!D2328)+1,200)),""))&lt;&gt;"",IF(ISNUMBER(SEARCH("Party Name:-",'R.M Billets Reports'!D2328)),TRIM('R.M Billets Reports'!F2328),IF(ISNUMBER(SEARCH("Party Name-",'R.M Billets Reports'!D2328)),TRIM(MID('R.M Billets Reports'!D2328,SEARCH("-",'R.M Billets Reports'!D2328)+1,200)),"")),IF(ISNUMBER(SEARCH("Party Name:-",'R.M Billets Reports'!D2329)),TRIM('R.M Billets Reports'!F2329),IF(ISNUMBER(SEARCH("Party Name-",'R.M Billets Reports'!D2329)),TRIM(MID('R.M Billets Reports'!D2329,SEARCH("-",'R.M Billets Reports'!D2329)+1,200)),"")))="SHREE RADHE SHAKTI SPONGE AND POWER PVT. LTD.","SHREE RADHE",IF(IF(ISNUMBER(SEARCH("Party Name:-",'R.M Billets Reports'!D2328)),TRIM('R.M Billets Reports'!F2328),IF(ISNUMBER(SEARCH("Party Name-",'R.M Billets Reports'!D2328)),TRIM(MID('R.M Billets Reports'!D2328,SEARCH("-",'R.M Billets Reports'!D2328)+1,200)),""))&lt;&gt;"",IF(ISNUMBER(SEARCH("Party Name:-",'R.M Billets Reports'!D2328)),TRIM('R.M Billets Reports'!F2328),IF(ISNUMBER(SEARCH("Party Name-",'R.M Billets Reports'!D2328)),TRIM(MID('R.M Billets Reports'!D2328,SEARCH("-",'R.M Billets Reports'!D2328)+1,200)),"")),IF(ISNUMBER(SEARCH("Party Name:-",'R.M Billets Reports'!D2329)),TRIM('R.M Billets Reports'!F2329),IF(ISNUMBER(SEARCH("Party Name-",'R.M Billets Reports'!D2329)),TRIM(MID('R.M Billets Reports'!D2329,SEARCH("-",'R.M Billets Reports'!D2329)+1,200)),"")))))),IF(ROW()=2,"",A2328))</f>
      </c>
      <c r="B2329">
        <f>IF(OR('R.M Billets Reports'!A2328="Date-",'R.M Billets Reports'!A2328="Date:-"),'R.M Billets Reports'!B2328,IF(ROW()=2,"",B2328))</f>
      </c>
      <c r="C2329">
        <f>IF('R.M Billets Reports'!A2328="V.No.",'R.M Billets Reports'!B2328,IF(ROW()=2,"",C2328))</f>
      </c>
      <c r="D2329">
        <f>IF('R.M Billets Reports'!A2328&lt;&gt;"",'R.M Billets Reports'!A2328,IF(ROW()=2,"",D2328))</f>
      </c>
      <c r="E2329">
        <f>IF('R.M Billets Reports'!B2328="","",TRIM('R.M Billets Reports'!B2328))</f>
      </c>
      <c r="F2329">
        <f>'R.M Billets Reports'!C2328</f>
      </c>
      <c r="G2329">
        <f>'R.M Billets Reports'!D2328</f>
      </c>
      <c r="H2329">
        <f>'R.M Billets Reports'!E2328</f>
      </c>
      <c r="I2329">
        <f>'R.M Billets Reports'!F2328</f>
      </c>
      <c r="J2329">
        <f>'R.M Billets Reports'!G2328</f>
      </c>
      <c r="K2329">
        <f>'R.M Billets Reports'!H2328</f>
      </c>
      <c r="L2329">
        <f>IF('R.M Billets Reports'!I2328="","",'R.M Billets Reports'!I2328)</f>
      </c>
      <c r="M2329">
        <f t="shared" si="72"/>
      </c>
      <c r="N2329">
        <f>IF('R.M Billets Reports'!J2328="","",'R.M Billets Reports'!J2328)</f>
      </c>
      <c r="O2329">
        <f t="shared" si="73"/>
      </c>
      <c r="P2329">
        <f>IF('R.M Billets Reports'!A2328="SIZE",'R.M Billets Reports'!B2328,P2328)</f>
      </c>
    </row>
    <row r="2330" spans="1:16" x14ac:dyDescent="0.25">
      <c r="A2330">
        <f>IF(OR('R.M Billets Reports'!A2329="Date-",'R.M Billets Reports'!A2329="Date:-"),IF(IF(IF(ISNUMBER(SEARCH("Party Name:-",'R.M Billets Reports'!D2329)),TRIM('R.M Billets Reports'!F2329),IF(ISNUMBER(SEARCH("Party Name-",'R.M Billets Reports'!D2329)),TRIM(MID('R.M Billets Reports'!D2329,SEARCH("-",'R.M Billets Reports'!D2329)+1,200)),""))&lt;&gt;"",IF(ISNUMBER(SEARCH("Party Name:-",'R.M Billets Reports'!D2329)),TRIM('R.M Billets Reports'!F2329),IF(ISNUMBER(SEARCH("Party Name-",'R.M Billets Reports'!D2329)),TRIM(MID('R.M Billets Reports'!D2329,SEARCH("-",'R.M Billets Reports'!D2329)+1,200)),"")),IF(ISNUMBER(SEARCH("Party Name:-",'R.M Billets Reports'!D2330)),TRIM('R.M Billets Reports'!F2330),IF(ISNUMBER(SEARCH("Party Name-",'R.M Billets Reports'!D2330)),TRIM(MID('R.M Billets Reports'!D2330,SEARCH("-",'R.M Billets Reports'!D2330)+1,200)),"")))="VRKP ISPAT PVT LTD","VRKP",IF(IF(IF(ISNUMBER(SEARCH("Party Name:-",'R.M Billets Reports'!D2329)),TRIM('R.M Billets Reports'!F2329),IF(ISNUMBER(SEARCH("Party Name-",'R.M Billets Reports'!D2329)),TRIM(MID('R.M Billets Reports'!D2329,SEARCH("-",'R.M Billets Reports'!D2329)+1,200)),""))&lt;&gt;"",IF(ISNUMBER(SEARCH("Party Name:-",'R.M Billets Reports'!D2329)),TRIM('R.M Billets Reports'!F2329),IF(ISNUMBER(SEARCH("Party Name-",'R.M Billets Reports'!D2329)),TRIM(MID('R.M Billets Reports'!D2329,SEARCH("-",'R.M Billets Reports'!D2329)+1,200)),"")),IF(ISNUMBER(SEARCH("Party Name:-",'R.M Billets Reports'!D2330)),TRIM('R.M Billets Reports'!F2330),IF(ISNUMBER(SEARCH("Party Name-",'R.M Billets Reports'!D2330)),TRIM(MID('R.M Billets Reports'!D2330,SEARCH("-",'R.M Billets Reports'!D2330)+1,200)),"")))="SHRI RADHE","SHREE RADHE",IF(IF(IF(ISNUMBER(SEARCH("Party Name:-",'R.M Billets Reports'!D2329)),TRIM('R.M Billets Reports'!F2329),IF(ISNUMBER(SEARCH("Party Name-",'R.M Billets Reports'!D2329)),TRIM(MID('R.M Billets Reports'!D2329,SEARCH("-",'R.M Billets Reports'!D2329)+1,200)),""))&lt;&gt;"",IF(ISNUMBER(SEARCH("Party Name:-",'R.M Billets Reports'!D2329)),TRIM('R.M Billets Reports'!F2329),IF(ISNUMBER(SEARCH("Party Name-",'R.M Billets Reports'!D2329)),TRIM(MID('R.M Billets Reports'!D2329,SEARCH("-",'R.M Billets Reports'!D2329)+1,200)),"")),IF(ISNUMBER(SEARCH("Party Name:-",'R.M Billets Reports'!D2330)),TRIM('R.M Billets Reports'!F2330),IF(ISNUMBER(SEARCH("Party Name-",'R.M Billets Reports'!D2330)),TRIM(MID('R.M Billets Reports'!D2330,SEARCH("-",'R.M Billets Reports'!D2330)+1,200)),"")))="SHREE RADHE SHAKTI SPONGE AND POWER PVT. LTD.","SHREE RADHE",IF(IF(ISNUMBER(SEARCH("Party Name:-",'R.M Billets Reports'!D2329)),TRIM('R.M Billets Reports'!F2329),IF(ISNUMBER(SEARCH("Party Name-",'R.M Billets Reports'!D2329)),TRIM(MID('R.M Billets Reports'!D2329,SEARCH("-",'R.M Billets Reports'!D2329)+1,200)),""))&lt;&gt;"",IF(ISNUMBER(SEARCH("Party Name:-",'R.M Billets Reports'!D2329)),TRIM('R.M Billets Reports'!F2329),IF(ISNUMBER(SEARCH("Party Name-",'R.M Billets Reports'!D2329)),TRIM(MID('R.M Billets Reports'!D2329,SEARCH("-",'R.M Billets Reports'!D2329)+1,200)),"")),IF(ISNUMBER(SEARCH("Party Name:-",'R.M Billets Reports'!D2330)),TRIM('R.M Billets Reports'!F2330),IF(ISNUMBER(SEARCH("Party Name-",'R.M Billets Reports'!D2330)),TRIM(MID('R.M Billets Reports'!D2330,SEARCH("-",'R.M Billets Reports'!D2330)+1,200)),"")))))),IF(ROW()=2,"",A2329))</f>
      </c>
      <c r="B2330">
        <f>IF(OR('R.M Billets Reports'!A2329="Date-",'R.M Billets Reports'!A2329="Date:-"),'R.M Billets Reports'!B2329,IF(ROW()=2,"",B2329))</f>
      </c>
      <c r="C2330">
        <f>IF('R.M Billets Reports'!A2329="V.No.",'R.M Billets Reports'!B2329,IF(ROW()=2,"",C2329))</f>
      </c>
      <c r="D2330">
        <f>IF('R.M Billets Reports'!A2329&lt;&gt;"",'R.M Billets Reports'!A2329,IF(ROW()=2,"",D2329))</f>
      </c>
      <c r="E2330">
        <f>IF('R.M Billets Reports'!B2329="","",TRIM('R.M Billets Reports'!B2329))</f>
      </c>
      <c r="F2330">
        <f>'R.M Billets Reports'!C2329</f>
      </c>
      <c r="G2330">
        <f>'R.M Billets Reports'!D2329</f>
      </c>
      <c r="H2330">
        <f>'R.M Billets Reports'!E2329</f>
      </c>
      <c r="I2330">
        <f>'R.M Billets Reports'!F2329</f>
      </c>
      <c r="J2330">
        <f>'R.M Billets Reports'!G2329</f>
      </c>
      <c r="K2330">
        <f>'R.M Billets Reports'!H2329</f>
      </c>
      <c r="L2330">
        <f>IF('R.M Billets Reports'!I2329="","",'R.M Billets Reports'!I2329)</f>
      </c>
      <c r="M2330">
        <f t="shared" si="72"/>
      </c>
      <c r="N2330">
        <f>IF('R.M Billets Reports'!J2329="","",'R.M Billets Reports'!J2329)</f>
      </c>
      <c r="O2330">
        <f t="shared" si="73"/>
      </c>
      <c r="P2330">
        <f>IF('R.M Billets Reports'!A2329="SIZE",'R.M Billets Reports'!B2329,P2329)</f>
      </c>
    </row>
    <row r="2331" spans="1:16" x14ac:dyDescent="0.25">
      <c r="A2331">
        <f>IF(OR('R.M Billets Reports'!A2330="Date-",'R.M Billets Reports'!A2330="Date:-"),IF(IF(IF(ISNUMBER(SEARCH("Party Name:-",'R.M Billets Reports'!D2330)),TRIM('R.M Billets Reports'!F2330),IF(ISNUMBER(SEARCH("Party Name-",'R.M Billets Reports'!D2330)),TRIM(MID('R.M Billets Reports'!D2330,SEARCH("-",'R.M Billets Reports'!D2330)+1,200)),""))&lt;&gt;"",IF(ISNUMBER(SEARCH("Party Name:-",'R.M Billets Reports'!D2330)),TRIM('R.M Billets Reports'!F2330),IF(ISNUMBER(SEARCH("Party Name-",'R.M Billets Reports'!D2330)),TRIM(MID('R.M Billets Reports'!D2330,SEARCH("-",'R.M Billets Reports'!D2330)+1,200)),"")),IF(ISNUMBER(SEARCH("Party Name:-",'R.M Billets Reports'!D2331)),TRIM('R.M Billets Reports'!F2331),IF(ISNUMBER(SEARCH("Party Name-",'R.M Billets Reports'!D2331)),TRIM(MID('R.M Billets Reports'!D2331,SEARCH("-",'R.M Billets Reports'!D2331)+1,200)),"")))="VRKP ISPAT PVT LTD","VRKP",IF(IF(IF(ISNUMBER(SEARCH("Party Name:-",'R.M Billets Reports'!D2330)),TRIM('R.M Billets Reports'!F2330),IF(ISNUMBER(SEARCH("Party Name-",'R.M Billets Reports'!D2330)),TRIM(MID('R.M Billets Reports'!D2330,SEARCH("-",'R.M Billets Reports'!D2330)+1,200)),""))&lt;&gt;"",IF(ISNUMBER(SEARCH("Party Name:-",'R.M Billets Reports'!D2330)),TRIM('R.M Billets Reports'!F2330),IF(ISNUMBER(SEARCH("Party Name-",'R.M Billets Reports'!D2330)),TRIM(MID('R.M Billets Reports'!D2330,SEARCH("-",'R.M Billets Reports'!D2330)+1,200)),"")),IF(ISNUMBER(SEARCH("Party Name:-",'R.M Billets Reports'!D2331)),TRIM('R.M Billets Reports'!F2331),IF(ISNUMBER(SEARCH("Party Name-",'R.M Billets Reports'!D2331)),TRIM(MID('R.M Billets Reports'!D2331,SEARCH("-",'R.M Billets Reports'!D2331)+1,200)),"")))="SHRI RADHE","SHREE RADHE",IF(IF(IF(ISNUMBER(SEARCH("Party Name:-",'R.M Billets Reports'!D2330)),TRIM('R.M Billets Reports'!F2330),IF(ISNUMBER(SEARCH("Party Name-",'R.M Billets Reports'!D2330)),TRIM(MID('R.M Billets Reports'!D2330,SEARCH("-",'R.M Billets Reports'!D2330)+1,200)),""))&lt;&gt;"",IF(ISNUMBER(SEARCH("Party Name:-",'R.M Billets Reports'!D2330)),TRIM('R.M Billets Reports'!F2330),IF(ISNUMBER(SEARCH("Party Name-",'R.M Billets Reports'!D2330)),TRIM(MID('R.M Billets Reports'!D2330,SEARCH("-",'R.M Billets Reports'!D2330)+1,200)),"")),IF(ISNUMBER(SEARCH("Party Name:-",'R.M Billets Reports'!D2331)),TRIM('R.M Billets Reports'!F2331),IF(ISNUMBER(SEARCH("Party Name-",'R.M Billets Reports'!D2331)),TRIM(MID('R.M Billets Reports'!D2331,SEARCH("-",'R.M Billets Reports'!D2331)+1,200)),"")))="SHREE RADHE SHAKTI SPONGE AND POWER PVT. LTD.","SHREE RADHE",IF(IF(ISNUMBER(SEARCH("Party Name:-",'R.M Billets Reports'!D2330)),TRIM('R.M Billets Reports'!F2330),IF(ISNUMBER(SEARCH("Party Name-",'R.M Billets Reports'!D2330)),TRIM(MID('R.M Billets Reports'!D2330,SEARCH("-",'R.M Billets Reports'!D2330)+1,200)),""))&lt;&gt;"",IF(ISNUMBER(SEARCH("Party Name:-",'R.M Billets Reports'!D2330)),TRIM('R.M Billets Reports'!F2330),IF(ISNUMBER(SEARCH("Party Name-",'R.M Billets Reports'!D2330)),TRIM(MID('R.M Billets Reports'!D2330,SEARCH("-",'R.M Billets Reports'!D2330)+1,200)),"")),IF(ISNUMBER(SEARCH("Party Name:-",'R.M Billets Reports'!D2331)),TRIM('R.M Billets Reports'!F2331),IF(ISNUMBER(SEARCH("Party Name-",'R.M Billets Reports'!D2331)),TRIM(MID('R.M Billets Reports'!D2331,SEARCH("-",'R.M Billets Reports'!D2331)+1,200)),"")))))),IF(ROW()=2,"",A2330))</f>
      </c>
      <c r="B2331">
        <f>IF(OR('R.M Billets Reports'!A2330="Date-",'R.M Billets Reports'!A2330="Date:-"),'R.M Billets Reports'!B2330,IF(ROW()=2,"",B2330))</f>
      </c>
      <c r="C2331">
        <f>IF('R.M Billets Reports'!A2330="V.No.",'R.M Billets Reports'!B2330,IF(ROW()=2,"",C2330))</f>
      </c>
      <c r="D2331">
        <f>IF('R.M Billets Reports'!A2330&lt;&gt;"",'R.M Billets Reports'!A2330,IF(ROW()=2,"",D2330))</f>
      </c>
      <c r="E2331">
        <f>IF('R.M Billets Reports'!B2330="","",TRIM('R.M Billets Reports'!B2330))</f>
      </c>
      <c r="F2331">
        <f>'R.M Billets Reports'!C2330</f>
      </c>
      <c r="G2331">
        <f>'R.M Billets Reports'!D2330</f>
      </c>
      <c r="H2331">
        <f>'R.M Billets Reports'!E2330</f>
      </c>
      <c r="I2331">
        <f>'R.M Billets Reports'!F2330</f>
      </c>
      <c r="J2331">
        <f>'R.M Billets Reports'!G2330</f>
      </c>
      <c r="K2331">
        <f>'R.M Billets Reports'!H2330</f>
      </c>
      <c r="L2331">
        <f>IF('R.M Billets Reports'!I2330="","",'R.M Billets Reports'!I2330)</f>
      </c>
      <c r="M2331">
        <f t="shared" si="72"/>
      </c>
      <c r="N2331">
        <f>IF('R.M Billets Reports'!J2330="","",'R.M Billets Reports'!J2330)</f>
      </c>
      <c r="O2331">
        <f t="shared" si="73"/>
      </c>
      <c r="P2331">
        <f>IF('R.M Billets Reports'!A2330="SIZE",'R.M Billets Reports'!B2330,P2330)</f>
      </c>
    </row>
    <row r="2332" spans="1:16" x14ac:dyDescent="0.25">
      <c r="A2332">
        <f>IF(OR('R.M Billets Reports'!A2331="Date-",'R.M Billets Reports'!A2331="Date:-"),IF(IF(IF(ISNUMBER(SEARCH("Party Name:-",'R.M Billets Reports'!D2331)),TRIM('R.M Billets Reports'!F2331),IF(ISNUMBER(SEARCH("Party Name-",'R.M Billets Reports'!D2331)),TRIM(MID('R.M Billets Reports'!D2331,SEARCH("-",'R.M Billets Reports'!D2331)+1,200)),""))&lt;&gt;"",IF(ISNUMBER(SEARCH("Party Name:-",'R.M Billets Reports'!D2331)),TRIM('R.M Billets Reports'!F2331),IF(ISNUMBER(SEARCH("Party Name-",'R.M Billets Reports'!D2331)),TRIM(MID('R.M Billets Reports'!D2331,SEARCH("-",'R.M Billets Reports'!D2331)+1,200)),"")),IF(ISNUMBER(SEARCH("Party Name:-",'R.M Billets Reports'!D2332)),TRIM('R.M Billets Reports'!F2332),IF(ISNUMBER(SEARCH("Party Name-",'R.M Billets Reports'!D2332)),TRIM(MID('R.M Billets Reports'!D2332,SEARCH("-",'R.M Billets Reports'!D2332)+1,200)),"")))="VRKP ISPAT PVT LTD","VRKP",IF(IF(IF(ISNUMBER(SEARCH("Party Name:-",'R.M Billets Reports'!D2331)),TRIM('R.M Billets Reports'!F2331),IF(ISNUMBER(SEARCH("Party Name-",'R.M Billets Reports'!D2331)),TRIM(MID('R.M Billets Reports'!D2331,SEARCH("-",'R.M Billets Reports'!D2331)+1,200)),""))&lt;&gt;"",IF(ISNUMBER(SEARCH("Party Name:-",'R.M Billets Reports'!D2331)),TRIM('R.M Billets Reports'!F2331),IF(ISNUMBER(SEARCH("Party Name-",'R.M Billets Reports'!D2331)),TRIM(MID('R.M Billets Reports'!D2331,SEARCH("-",'R.M Billets Reports'!D2331)+1,200)),"")),IF(ISNUMBER(SEARCH("Party Name:-",'R.M Billets Reports'!D2332)),TRIM('R.M Billets Reports'!F2332),IF(ISNUMBER(SEARCH("Party Name-",'R.M Billets Reports'!D2332)),TRIM(MID('R.M Billets Reports'!D2332,SEARCH("-",'R.M Billets Reports'!D2332)+1,200)),"")))="SHRI RADHE","SHREE RADHE",IF(IF(IF(ISNUMBER(SEARCH("Party Name:-",'R.M Billets Reports'!D2331)),TRIM('R.M Billets Reports'!F2331),IF(ISNUMBER(SEARCH("Party Name-",'R.M Billets Reports'!D2331)),TRIM(MID('R.M Billets Reports'!D2331,SEARCH("-",'R.M Billets Reports'!D2331)+1,200)),""))&lt;&gt;"",IF(ISNUMBER(SEARCH("Party Name:-",'R.M Billets Reports'!D2331)),TRIM('R.M Billets Reports'!F2331),IF(ISNUMBER(SEARCH("Party Name-",'R.M Billets Reports'!D2331)),TRIM(MID('R.M Billets Reports'!D2331,SEARCH("-",'R.M Billets Reports'!D2331)+1,200)),"")),IF(ISNUMBER(SEARCH("Party Name:-",'R.M Billets Reports'!D2332)),TRIM('R.M Billets Reports'!F2332),IF(ISNUMBER(SEARCH("Party Name-",'R.M Billets Reports'!D2332)),TRIM(MID('R.M Billets Reports'!D2332,SEARCH("-",'R.M Billets Reports'!D2332)+1,200)),"")))="SHREE RADHE SHAKTI SPONGE AND POWER PVT. LTD.","SHREE RADHE",IF(IF(ISNUMBER(SEARCH("Party Name:-",'R.M Billets Reports'!D2331)),TRIM('R.M Billets Reports'!F2331),IF(ISNUMBER(SEARCH("Party Name-",'R.M Billets Reports'!D2331)),TRIM(MID('R.M Billets Reports'!D2331,SEARCH("-",'R.M Billets Reports'!D2331)+1,200)),""))&lt;&gt;"",IF(ISNUMBER(SEARCH("Party Name:-",'R.M Billets Reports'!D2331)),TRIM('R.M Billets Reports'!F2331),IF(ISNUMBER(SEARCH("Party Name-",'R.M Billets Reports'!D2331)),TRIM(MID('R.M Billets Reports'!D2331,SEARCH("-",'R.M Billets Reports'!D2331)+1,200)),"")),IF(ISNUMBER(SEARCH("Party Name:-",'R.M Billets Reports'!D2332)),TRIM('R.M Billets Reports'!F2332),IF(ISNUMBER(SEARCH("Party Name-",'R.M Billets Reports'!D2332)),TRIM(MID('R.M Billets Reports'!D2332,SEARCH("-",'R.M Billets Reports'!D2332)+1,200)),"")))))),IF(ROW()=2,"",A2331))</f>
      </c>
      <c r="B2332">
        <f>IF(OR('R.M Billets Reports'!A2331="Date-",'R.M Billets Reports'!A2331="Date:-"),'R.M Billets Reports'!B2331,IF(ROW()=2,"",B2331))</f>
      </c>
      <c r="C2332">
        <f>IF('R.M Billets Reports'!A2331="V.No.",'R.M Billets Reports'!B2331,IF(ROW()=2,"",C2331))</f>
      </c>
      <c r="D2332">
        <f>IF('R.M Billets Reports'!A2331&lt;&gt;"",'R.M Billets Reports'!A2331,IF(ROW()=2,"",D2331))</f>
      </c>
      <c r="E2332">
        <f>IF('R.M Billets Reports'!B2331="","",TRIM('R.M Billets Reports'!B2331))</f>
      </c>
      <c r="F2332">
        <f>'R.M Billets Reports'!C2331</f>
      </c>
      <c r="G2332">
        <f>'R.M Billets Reports'!D2331</f>
      </c>
      <c r="H2332">
        <f>'R.M Billets Reports'!E2331</f>
      </c>
      <c r="I2332">
        <f>'R.M Billets Reports'!F2331</f>
      </c>
      <c r="J2332">
        <f>'R.M Billets Reports'!G2331</f>
      </c>
      <c r="K2332">
        <f>'R.M Billets Reports'!H2331</f>
      </c>
      <c r="L2332">
        <f>IF('R.M Billets Reports'!I2331="","",'R.M Billets Reports'!I2331)</f>
      </c>
      <c r="M2332">
        <f t="shared" si="72"/>
      </c>
      <c r="N2332">
        <f>IF('R.M Billets Reports'!J2331="","",'R.M Billets Reports'!J2331)</f>
      </c>
      <c r="O2332">
        <f t="shared" si="73"/>
      </c>
      <c r="P2332">
        <f>IF('R.M Billets Reports'!A2331="SIZE",'R.M Billets Reports'!B2331,P2331)</f>
      </c>
    </row>
    <row r="2333" spans="1:16" x14ac:dyDescent="0.25">
      <c r="A2333">
        <f>IF(OR('R.M Billets Reports'!A2332="Date-",'R.M Billets Reports'!A2332="Date:-"),IF(IF(IF(ISNUMBER(SEARCH("Party Name:-",'R.M Billets Reports'!D2332)),TRIM('R.M Billets Reports'!F2332),IF(ISNUMBER(SEARCH("Party Name-",'R.M Billets Reports'!D2332)),TRIM(MID('R.M Billets Reports'!D2332,SEARCH("-",'R.M Billets Reports'!D2332)+1,200)),""))&lt;&gt;"",IF(ISNUMBER(SEARCH("Party Name:-",'R.M Billets Reports'!D2332)),TRIM('R.M Billets Reports'!F2332),IF(ISNUMBER(SEARCH("Party Name-",'R.M Billets Reports'!D2332)),TRIM(MID('R.M Billets Reports'!D2332,SEARCH("-",'R.M Billets Reports'!D2332)+1,200)),"")),IF(ISNUMBER(SEARCH("Party Name:-",'R.M Billets Reports'!D2333)),TRIM('R.M Billets Reports'!F2333),IF(ISNUMBER(SEARCH("Party Name-",'R.M Billets Reports'!D2333)),TRIM(MID('R.M Billets Reports'!D2333,SEARCH("-",'R.M Billets Reports'!D2333)+1,200)),"")))="VRKP ISPAT PVT LTD","VRKP",IF(IF(IF(ISNUMBER(SEARCH("Party Name:-",'R.M Billets Reports'!D2332)),TRIM('R.M Billets Reports'!F2332),IF(ISNUMBER(SEARCH("Party Name-",'R.M Billets Reports'!D2332)),TRIM(MID('R.M Billets Reports'!D2332,SEARCH("-",'R.M Billets Reports'!D2332)+1,200)),""))&lt;&gt;"",IF(ISNUMBER(SEARCH("Party Name:-",'R.M Billets Reports'!D2332)),TRIM('R.M Billets Reports'!F2332),IF(ISNUMBER(SEARCH("Party Name-",'R.M Billets Reports'!D2332)),TRIM(MID('R.M Billets Reports'!D2332,SEARCH("-",'R.M Billets Reports'!D2332)+1,200)),"")),IF(ISNUMBER(SEARCH("Party Name:-",'R.M Billets Reports'!D2333)),TRIM('R.M Billets Reports'!F2333),IF(ISNUMBER(SEARCH("Party Name-",'R.M Billets Reports'!D2333)),TRIM(MID('R.M Billets Reports'!D2333,SEARCH("-",'R.M Billets Reports'!D2333)+1,200)),"")))="SHRI RADHE","SHREE RADHE",IF(IF(IF(ISNUMBER(SEARCH("Party Name:-",'R.M Billets Reports'!D2332)),TRIM('R.M Billets Reports'!F2332),IF(ISNUMBER(SEARCH("Party Name-",'R.M Billets Reports'!D2332)),TRIM(MID('R.M Billets Reports'!D2332,SEARCH("-",'R.M Billets Reports'!D2332)+1,200)),""))&lt;&gt;"",IF(ISNUMBER(SEARCH("Party Name:-",'R.M Billets Reports'!D2332)),TRIM('R.M Billets Reports'!F2332),IF(ISNUMBER(SEARCH("Party Name-",'R.M Billets Reports'!D2332)),TRIM(MID('R.M Billets Reports'!D2332,SEARCH("-",'R.M Billets Reports'!D2332)+1,200)),"")),IF(ISNUMBER(SEARCH("Party Name:-",'R.M Billets Reports'!D2333)),TRIM('R.M Billets Reports'!F2333),IF(ISNUMBER(SEARCH("Party Name-",'R.M Billets Reports'!D2333)),TRIM(MID('R.M Billets Reports'!D2333,SEARCH("-",'R.M Billets Reports'!D2333)+1,200)),"")))="SHREE RADHE SHAKTI SPONGE AND POWER PVT. LTD.","SHREE RADHE",IF(IF(ISNUMBER(SEARCH("Party Name:-",'R.M Billets Reports'!D2332)),TRIM('R.M Billets Reports'!F2332),IF(ISNUMBER(SEARCH("Party Name-",'R.M Billets Reports'!D2332)),TRIM(MID('R.M Billets Reports'!D2332,SEARCH("-",'R.M Billets Reports'!D2332)+1,200)),""))&lt;&gt;"",IF(ISNUMBER(SEARCH("Party Name:-",'R.M Billets Reports'!D2332)),TRIM('R.M Billets Reports'!F2332),IF(ISNUMBER(SEARCH("Party Name-",'R.M Billets Reports'!D2332)),TRIM(MID('R.M Billets Reports'!D2332,SEARCH("-",'R.M Billets Reports'!D2332)+1,200)),"")),IF(ISNUMBER(SEARCH("Party Name:-",'R.M Billets Reports'!D2333)),TRIM('R.M Billets Reports'!F2333),IF(ISNUMBER(SEARCH("Party Name-",'R.M Billets Reports'!D2333)),TRIM(MID('R.M Billets Reports'!D2333,SEARCH("-",'R.M Billets Reports'!D2333)+1,200)),"")))))),IF(ROW()=2,"",A2332))</f>
      </c>
      <c r="B2333">
        <f>IF(OR('R.M Billets Reports'!A2332="Date-",'R.M Billets Reports'!A2332="Date:-"),'R.M Billets Reports'!B2332,IF(ROW()=2,"",B2332))</f>
      </c>
      <c r="C2333">
        <f>IF('R.M Billets Reports'!A2332="V.No.",'R.M Billets Reports'!B2332,IF(ROW()=2,"",C2332))</f>
      </c>
      <c r="D2333">
        <f>IF('R.M Billets Reports'!A2332&lt;&gt;"",'R.M Billets Reports'!A2332,IF(ROW()=2,"",D2332))</f>
      </c>
      <c r="E2333">
        <f>IF('R.M Billets Reports'!B2332="","",TRIM('R.M Billets Reports'!B2332))</f>
      </c>
      <c r="F2333">
        <f>'R.M Billets Reports'!C2332</f>
      </c>
      <c r="G2333">
        <f>'R.M Billets Reports'!D2332</f>
      </c>
      <c r="H2333">
        <f>'R.M Billets Reports'!E2332</f>
      </c>
      <c r="I2333">
        <f>'R.M Billets Reports'!F2332</f>
      </c>
      <c r="J2333">
        <f>'R.M Billets Reports'!G2332</f>
      </c>
      <c r="K2333">
        <f>'R.M Billets Reports'!H2332</f>
      </c>
      <c r="L2333">
        <f>IF('R.M Billets Reports'!I2332="","",'R.M Billets Reports'!I2332)</f>
      </c>
      <c r="M2333">
        <f t="shared" si="72"/>
      </c>
      <c r="N2333">
        <f>IF('R.M Billets Reports'!J2332="","",'R.M Billets Reports'!J2332)</f>
      </c>
      <c r="O2333">
        <f t="shared" si="73"/>
      </c>
      <c r="P2333">
        <f>IF('R.M Billets Reports'!A2332="SIZE",'R.M Billets Reports'!B2332,P2332)</f>
      </c>
    </row>
    <row r="2334" spans="1:16" x14ac:dyDescent="0.25">
      <c r="A2334">
        <f>IF(OR('R.M Billets Reports'!A2333="Date-",'R.M Billets Reports'!A2333="Date:-"),IF(IF(IF(ISNUMBER(SEARCH("Party Name:-",'R.M Billets Reports'!D2333)),TRIM('R.M Billets Reports'!F2333),IF(ISNUMBER(SEARCH("Party Name-",'R.M Billets Reports'!D2333)),TRIM(MID('R.M Billets Reports'!D2333,SEARCH("-",'R.M Billets Reports'!D2333)+1,200)),""))&lt;&gt;"",IF(ISNUMBER(SEARCH("Party Name:-",'R.M Billets Reports'!D2333)),TRIM('R.M Billets Reports'!F2333),IF(ISNUMBER(SEARCH("Party Name-",'R.M Billets Reports'!D2333)),TRIM(MID('R.M Billets Reports'!D2333,SEARCH("-",'R.M Billets Reports'!D2333)+1,200)),"")),IF(ISNUMBER(SEARCH("Party Name:-",'R.M Billets Reports'!D2334)),TRIM('R.M Billets Reports'!F2334),IF(ISNUMBER(SEARCH("Party Name-",'R.M Billets Reports'!D2334)),TRIM(MID('R.M Billets Reports'!D2334,SEARCH("-",'R.M Billets Reports'!D2334)+1,200)),"")))="VRKP ISPAT PVT LTD","VRKP",IF(IF(IF(ISNUMBER(SEARCH("Party Name:-",'R.M Billets Reports'!D2333)),TRIM('R.M Billets Reports'!F2333),IF(ISNUMBER(SEARCH("Party Name-",'R.M Billets Reports'!D2333)),TRIM(MID('R.M Billets Reports'!D2333,SEARCH("-",'R.M Billets Reports'!D2333)+1,200)),""))&lt;&gt;"",IF(ISNUMBER(SEARCH("Party Name:-",'R.M Billets Reports'!D2333)),TRIM('R.M Billets Reports'!F2333),IF(ISNUMBER(SEARCH("Party Name-",'R.M Billets Reports'!D2333)),TRIM(MID('R.M Billets Reports'!D2333,SEARCH("-",'R.M Billets Reports'!D2333)+1,200)),"")),IF(ISNUMBER(SEARCH("Party Name:-",'R.M Billets Reports'!D2334)),TRIM('R.M Billets Reports'!F2334),IF(ISNUMBER(SEARCH("Party Name-",'R.M Billets Reports'!D2334)),TRIM(MID('R.M Billets Reports'!D2334,SEARCH("-",'R.M Billets Reports'!D2334)+1,200)),"")))="SHRI RADHE","SHREE RADHE",IF(IF(IF(ISNUMBER(SEARCH("Party Name:-",'R.M Billets Reports'!D2333)),TRIM('R.M Billets Reports'!F2333),IF(ISNUMBER(SEARCH("Party Name-",'R.M Billets Reports'!D2333)),TRIM(MID('R.M Billets Reports'!D2333,SEARCH("-",'R.M Billets Reports'!D2333)+1,200)),""))&lt;&gt;"",IF(ISNUMBER(SEARCH("Party Name:-",'R.M Billets Reports'!D2333)),TRIM('R.M Billets Reports'!F2333),IF(ISNUMBER(SEARCH("Party Name-",'R.M Billets Reports'!D2333)),TRIM(MID('R.M Billets Reports'!D2333,SEARCH("-",'R.M Billets Reports'!D2333)+1,200)),"")),IF(ISNUMBER(SEARCH("Party Name:-",'R.M Billets Reports'!D2334)),TRIM('R.M Billets Reports'!F2334),IF(ISNUMBER(SEARCH("Party Name-",'R.M Billets Reports'!D2334)),TRIM(MID('R.M Billets Reports'!D2334,SEARCH("-",'R.M Billets Reports'!D2334)+1,200)),"")))="SHREE RADHE SHAKTI SPONGE AND POWER PVT. LTD.","SHREE RADHE",IF(IF(ISNUMBER(SEARCH("Party Name:-",'R.M Billets Reports'!D2333)),TRIM('R.M Billets Reports'!F2333),IF(ISNUMBER(SEARCH("Party Name-",'R.M Billets Reports'!D2333)),TRIM(MID('R.M Billets Reports'!D2333,SEARCH("-",'R.M Billets Reports'!D2333)+1,200)),""))&lt;&gt;"",IF(ISNUMBER(SEARCH("Party Name:-",'R.M Billets Reports'!D2333)),TRIM('R.M Billets Reports'!F2333),IF(ISNUMBER(SEARCH("Party Name-",'R.M Billets Reports'!D2333)),TRIM(MID('R.M Billets Reports'!D2333,SEARCH("-",'R.M Billets Reports'!D2333)+1,200)),"")),IF(ISNUMBER(SEARCH("Party Name:-",'R.M Billets Reports'!D2334)),TRIM('R.M Billets Reports'!F2334),IF(ISNUMBER(SEARCH("Party Name-",'R.M Billets Reports'!D2334)),TRIM(MID('R.M Billets Reports'!D2334,SEARCH("-",'R.M Billets Reports'!D2334)+1,200)),"")))))),IF(ROW()=2,"",A2333))</f>
      </c>
      <c r="B2334">
        <f>IF(OR('R.M Billets Reports'!A2333="Date-",'R.M Billets Reports'!A2333="Date:-"),'R.M Billets Reports'!B2333,IF(ROW()=2,"",B2333))</f>
      </c>
      <c r="C2334">
        <f>IF('R.M Billets Reports'!A2333="V.No.",'R.M Billets Reports'!B2333,IF(ROW()=2,"",C2333))</f>
      </c>
      <c r="D2334">
        <f>IF('R.M Billets Reports'!A2333&lt;&gt;"",'R.M Billets Reports'!A2333,IF(ROW()=2,"",D2333))</f>
      </c>
      <c r="E2334">
        <f>IF('R.M Billets Reports'!B2333="","",TRIM('R.M Billets Reports'!B2333))</f>
      </c>
      <c r="F2334">
        <f>'R.M Billets Reports'!C2333</f>
      </c>
      <c r="G2334">
        <f>'R.M Billets Reports'!D2333</f>
      </c>
      <c r="H2334">
        <f>'R.M Billets Reports'!E2333</f>
      </c>
      <c r="I2334">
        <f>'R.M Billets Reports'!F2333</f>
      </c>
      <c r="J2334">
        <f>'R.M Billets Reports'!G2333</f>
      </c>
      <c r="K2334">
        <f>'R.M Billets Reports'!H2333</f>
      </c>
      <c r="L2334">
        <f>IF('R.M Billets Reports'!I2333="","",'R.M Billets Reports'!I2333)</f>
      </c>
      <c r="M2334">
        <f t="shared" si="72"/>
      </c>
      <c r="N2334">
        <f>IF('R.M Billets Reports'!J2333="","",'R.M Billets Reports'!J2333)</f>
      </c>
      <c r="O2334">
        <f t="shared" si="73"/>
      </c>
      <c r="P2334">
        <f>IF('R.M Billets Reports'!A2333="SIZE",'R.M Billets Reports'!B2333,P2333)</f>
      </c>
    </row>
    <row r="2335" spans="1:16" x14ac:dyDescent="0.25">
      <c r="A2335">
        <f>IF(OR('R.M Billets Reports'!A2334="Date-",'R.M Billets Reports'!A2334="Date:-"),IF(IF(IF(ISNUMBER(SEARCH("Party Name:-",'R.M Billets Reports'!D2334)),TRIM('R.M Billets Reports'!F2334),IF(ISNUMBER(SEARCH("Party Name-",'R.M Billets Reports'!D2334)),TRIM(MID('R.M Billets Reports'!D2334,SEARCH("-",'R.M Billets Reports'!D2334)+1,200)),""))&lt;&gt;"",IF(ISNUMBER(SEARCH("Party Name:-",'R.M Billets Reports'!D2334)),TRIM('R.M Billets Reports'!F2334),IF(ISNUMBER(SEARCH("Party Name-",'R.M Billets Reports'!D2334)),TRIM(MID('R.M Billets Reports'!D2334,SEARCH("-",'R.M Billets Reports'!D2334)+1,200)),"")),IF(ISNUMBER(SEARCH("Party Name:-",'R.M Billets Reports'!D2335)),TRIM('R.M Billets Reports'!F2335),IF(ISNUMBER(SEARCH("Party Name-",'R.M Billets Reports'!D2335)),TRIM(MID('R.M Billets Reports'!D2335,SEARCH("-",'R.M Billets Reports'!D2335)+1,200)),"")))="VRKP ISPAT PVT LTD","VRKP",IF(IF(IF(ISNUMBER(SEARCH("Party Name:-",'R.M Billets Reports'!D2334)),TRIM('R.M Billets Reports'!F2334),IF(ISNUMBER(SEARCH("Party Name-",'R.M Billets Reports'!D2334)),TRIM(MID('R.M Billets Reports'!D2334,SEARCH("-",'R.M Billets Reports'!D2334)+1,200)),""))&lt;&gt;"",IF(ISNUMBER(SEARCH("Party Name:-",'R.M Billets Reports'!D2334)),TRIM('R.M Billets Reports'!F2334),IF(ISNUMBER(SEARCH("Party Name-",'R.M Billets Reports'!D2334)),TRIM(MID('R.M Billets Reports'!D2334,SEARCH("-",'R.M Billets Reports'!D2334)+1,200)),"")),IF(ISNUMBER(SEARCH("Party Name:-",'R.M Billets Reports'!D2335)),TRIM('R.M Billets Reports'!F2335),IF(ISNUMBER(SEARCH("Party Name-",'R.M Billets Reports'!D2335)),TRIM(MID('R.M Billets Reports'!D2335,SEARCH("-",'R.M Billets Reports'!D2335)+1,200)),"")))="SHRI RADHE","SHREE RADHE",IF(IF(IF(ISNUMBER(SEARCH("Party Name:-",'R.M Billets Reports'!D2334)),TRIM('R.M Billets Reports'!F2334),IF(ISNUMBER(SEARCH("Party Name-",'R.M Billets Reports'!D2334)),TRIM(MID('R.M Billets Reports'!D2334,SEARCH("-",'R.M Billets Reports'!D2334)+1,200)),""))&lt;&gt;"",IF(ISNUMBER(SEARCH("Party Name:-",'R.M Billets Reports'!D2334)),TRIM('R.M Billets Reports'!F2334),IF(ISNUMBER(SEARCH("Party Name-",'R.M Billets Reports'!D2334)),TRIM(MID('R.M Billets Reports'!D2334,SEARCH("-",'R.M Billets Reports'!D2334)+1,200)),"")),IF(ISNUMBER(SEARCH("Party Name:-",'R.M Billets Reports'!D2335)),TRIM('R.M Billets Reports'!F2335),IF(ISNUMBER(SEARCH("Party Name-",'R.M Billets Reports'!D2335)),TRIM(MID('R.M Billets Reports'!D2335,SEARCH("-",'R.M Billets Reports'!D2335)+1,200)),"")))="SHREE RADHE SHAKTI SPONGE AND POWER PVT. LTD.","SHREE RADHE",IF(IF(ISNUMBER(SEARCH("Party Name:-",'R.M Billets Reports'!D2334)),TRIM('R.M Billets Reports'!F2334),IF(ISNUMBER(SEARCH("Party Name-",'R.M Billets Reports'!D2334)),TRIM(MID('R.M Billets Reports'!D2334,SEARCH("-",'R.M Billets Reports'!D2334)+1,200)),""))&lt;&gt;"",IF(ISNUMBER(SEARCH("Party Name:-",'R.M Billets Reports'!D2334)),TRIM('R.M Billets Reports'!F2334),IF(ISNUMBER(SEARCH("Party Name-",'R.M Billets Reports'!D2334)),TRIM(MID('R.M Billets Reports'!D2334,SEARCH("-",'R.M Billets Reports'!D2334)+1,200)),"")),IF(ISNUMBER(SEARCH("Party Name:-",'R.M Billets Reports'!D2335)),TRIM('R.M Billets Reports'!F2335),IF(ISNUMBER(SEARCH("Party Name-",'R.M Billets Reports'!D2335)),TRIM(MID('R.M Billets Reports'!D2335,SEARCH("-",'R.M Billets Reports'!D2335)+1,200)),"")))))),IF(ROW()=2,"",A2334))</f>
      </c>
      <c r="B2335">
        <f>IF(OR('R.M Billets Reports'!A2334="Date-",'R.M Billets Reports'!A2334="Date:-"),'R.M Billets Reports'!B2334,IF(ROW()=2,"",B2334))</f>
      </c>
      <c r="C2335">
        <f>IF('R.M Billets Reports'!A2334="V.No.",'R.M Billets Reports'!B2334,IF(ROW()=2,"",C2334))</f>
      </c>
      <c r="D2335">
        <f>IF('R.M Billets Reports'!A2334&lt;&gt;"",'R.M Billets Reports'!A2334,IF(ROW()=2,"",D2334))</f>
      </c>
      <c r="E2335">
        <f>IF('R.M Billets Reports'!B2334="","",TRIM('R.M Billets Reports'!B2334))</f>
      </c>
      <c r="F2335">
        <f>'R.M Billets Reports'!C2334</f>
      </c>
      <c r="G2335">
        <f>'R.M Billets Reports'!D2334</f>
      </c>
      <c r="H2335">
        <f>'R.M Billets Reports'!E2334</f>
      </c>
      <c r="I2335">
        <f>'R.M Billets Reports'!F2334</f>
      </c>
      <c r="J2335">
        <f>'R.M Billets Reports'!G2334</f>
      </c>
      <c r="K2335">
        <f>'R.M Billets Reports'!H2334</f>
      </c>
      <c r="L2335">
        <f>IF('R.M Billets Reports'!I2334="","",'R.M Billets Reports'!I2334)</f>
      </c>
      <c r="M2335">
        <f t="shared" si="72"/>
      </c>
      <c r="N2335">
        <f>IF('R.M Billets Reports'!J2334="","",'R.M Billets Reports'!J2334)</f>
      </c>
      <c r="O2335">
        <f t="shared" si="73"/>
      </c>
      <c r="P2335">
        <f>IF('R.M Billets Reports'!A2334="SIZE",'R.M Billets Reports'!B2334,P2334)</f>
      </c>
    </row>
    <row r="2336" spans="1:16" x14ac:dyDescent="0.25">
      <c r="A2336">
        <f>IF(OR('R.M Billets Reports'!A2335="Date-",'R.M Billets Reports'!A2335="Date:-"),IF(IF(IF(ISNUMBER(SEARCH("Party Name:-",'R.M Billets Reports'!D2335)),TRIM('R.M Billets Reports'!F2335),IF(ISNUMBER(SEARCH("Party Name-",'R.M Billets Reports'!D2335)),TRIM(MID('R.M Billets Reports'!D2335,SEARCH("-",'R.M Billets Reports'!D2335)+1,200)),""))&lt;&gt;"",IF(ISNUMBER(SEARCH("Party Name:-",'R.M Billets Reports'!D2335)),TRIM('R.M Billets Reports'!F2335),IF(ISNUMBER(SEARCH("Party Name-",'R.M Billets Reports'!D2335)),TRIM(MID('R.M Billets Reports'!D2335,SEARCH("-",'R.M Billets Reports'!D2335)+1,200)),"")),IF(ISNUMBER(SEARCH("Party Name:-",'R.M Billets Reports'!D2336)),TRIM('R.M Billets Reports'!F2336),IF(ISNUMBER(SEARCH("Party Name-",'R.M Billets Reports'!D2336)),TRIM(MID('R.M Billets Reports'!D2336,SEARCH("-",'R.M Billets Reports'!D2336)+1,200)),"")))="VRKP ISPAT PVT LTD","VRKP",IF(IF(IF(ISNUMBER(SEARCH("Party Name:-",'R.M Billets Reports'!D2335)),TRIM('R.M Billets Reports'!F2335),IF(ISNUMBER(SEARCH("Party Name-",'R.M Billets Reports'!D2335)),TRIM(MID('R.M Billets Reports'!D2335,SEARCH("-",'R.M Billets Reports'!D2335)+1,200)),""))&lt;&gt;"",IF(ISNUMBER(SEARCH("Party Name:-",'R.M Billets Reports'!D2335)),TRIM('R.M Billets Reports'!F2335),IF(ISNUMBER(SEARCH("Party Name-",'R.M Billets Reports'!D2335)),TRIM(MID('R.M Billets Reports'!D2335,SEARCH("-",'R.M Billets Reports'!D2335)+1,200)),"")),IF(ISNUMBER(SEARCH("Party Name:-",'R.M Billets Reports'!D2336)),TRIM('R.M Billets Reports'!F2336),IF(ISNUMBER(SEARCH("Party Name-",'R.M Billets Reports'!D2336)),TRIM(MID('R.M Billets Reports'!D2336,SEARCH("-",'R.M Billets Reports'!D2336)+1,200)),"")))="SHRI RADHE","SHREE RADHE",IF(IF(IF(ISNUMBER(SEARCH("Party Name:-",'R.M Billets Reports'!D2335)),TRIM('R.M Billets Reports'!F2335),IF(ISNUMBER(SEARCH("Party Name-",'R.M Billets Reports'!D2335)),TRIM(MID('R.M Billets Reports'!D2335,SEARCH("-",'R.M Billets Reports'!D2335)+1,200)),""))&lt;&gt;"",IF(ISNUMBER(SEARCH("Party Name:-",'R.M Billets Reports'!D2335)),TRIM('R.M Billets Reports'!F2335),IF(ISNUMBER(SEARCH("Party Name-",'R.M Billets Reports'!D2335)),TRIM(MID('R.M Billets Reports'!D2335,SEARCH("-",'R.M Billets Reports'!D2335)+1,200)),"")),IF(ISNUMBER(SEARCH("Party Name:-",'R.M Billets Reports'!D2336)),TRIM('R.M Billets Reports'!F2336),IF(ISNUMBER(SEARCH("Party Name-",'R.M Billets Reports'!D2336)),TRIM(MID('R.M Billets Reports'!D2336,SEARCH("-",'R.M Billets Reports'!D2336)+1,200)),"")))="SHREE RADHE SHAKTI SPONGE AND POWER PVT. LTD.","SHREE RADHE",IF(IF(ISNUMBER(SEARCH("Party Name:-",'R.M Billets Reports'!D2335)),TRIM('R.M Billets Reports'!F2335),IF(ISNUMBER(SEARCH("Party Name-",'R.M Billets Reports'!D2335)),TRIM(MID('R.M Billets Reports'!D2335,SEARCH("-",'R.M Billets Reports'!D2335)+1,200)),""))&lt;&gt;"",IF(ISNUMBER(SEARCH("Party Name:-",'R.M Billets Reports'!D2335)),TRIM('R.M Billets Reports'!F2335),IF(ISNUMBER(SEARCH("Party Name-",'R.M Billets Reports'!D2335)),TRIM(MID('R.M Billets Reports'!D2335,SEARCH("-",'R.M Billets Reports'!D2335)+1,200)),"")),IF(ISNUMBER(SEARCH("Party Name:-",'R.M Billets Reports'!D2336)),TRIM('R.M Billets Reports'!F2336),IF(ISNUMBER(SEARCH("Party Name-",'R.M Billets Reports'!D2336)),TRIM(MID('R.M Billets Reports'!D2336,SEARCH("-",'R.M Billets Reports'!D2336)+1,200)),"")))))),IF(ROW()=2,"",A2335))</f>
      </c>
      <c r="B2336">
        <f>IF(OR('R.M Billets Reports'!A2335="Date-",'R.M Billets Reports'!A2335="Date:-"),'R.M Billets Reports'!B2335,IF(ROW()=2,"",B2335))</f>
      </c>
      <c r="C2336">
        <f>IF('R.M Billets Reports'!A2335="V.No.",'R.M Billets Reports'!B2335,IF(ROW()=2,"",C2335))</f>
      </c>
      <c r="D2336">
        <f>IF('R.M Billets Reports'!A2335&lt;&gt;"",'R.M Billets Reports'!A2335,IF(ROW()=2,"",D2335))</f>
      </c>
      <c r="E2336">
        <f>IF('R.M Billets Reports'!B2335="","",TRIM('R.M Billets Reports'!B2335))</f>
      </c>
      <c r="F2336">
        <f>'R.M Billets Reports'!C2335</f>
      </c>
      <c r="G2336">
        <f>'R.M Billets Reports'!D2335</f>
      </c>
      <c r="H2336">
        <f>'R.M Billets Reports'!E2335</f>
      </c>
      <c r="I2336">
        <f>'R.M Billets Reports'!F2335</f>
      </c>
      <c r="J2336">
        <f>'R.M Billets Reports'!G2335</f>
      </c>
      <c r="K2336">
        <f>'R.M Billets Reports'!H2335</f>
      </c>
      <c r="L2336">
        <f>IF('R.M Billets Reports'!I2335="","",'R.M Billets Reports'!I2335)</f>
      </c>
      <c r="M2336">
        <f t="shared" si="72"/>
      </c>
      <c r="N2336">
        <f>IF('R.M Billets Reports'!J2335="","",'R.M Billets Reports'!J2335)</f>
      </c>
      <c r="O2336">
        <f t="shared" si="73"/>
      </c>
      <c r="P2336">
        <f>IF('R.M Billets Reports'!A2335="SIZE",'R.M Billets Reports'!B2335,P2335)</f>
      </c>
    </row>
    <row r="2337" spans="1:16" x14ac:dyDescent="0.25">
      <c r="A2337">
        <f>IF(OR('R.M Billets Reports'!A2336="Date-",'R.M Billets Reports'!A2336="Date:-"),IF(IF(IF(ISNUMBER(SEARCH("Party Name:-",'R.M Billets Reports'!D2336)),TRIM('R.M Billets Reports'!F2336),IF(ISNUMBER(SEARCH("Party Name-",'R.M Billets Reports'!D2336)),TRIM(MID('R.M Billets Reports'!D2336,SEARCH("-",'R.M Billets Reports'!D2336)+1,200)),""))&lt;&gt;"",IF(ISNUMBER(SEARCH("Party Name:-",'R.M Billets Reports'!D2336)),TRIM('R.M Billets Reports'!F2336),IF(ISNUMBER(SEARCH("Party Name-",'R.M Billets Reports'!D2336)),TRIM(MID('R.M Billets Reports'!D2336,SEARCH("-",'R.M Billets Reports'!D2336)+1,200)),"")),IF(ISNUMBER(SEARCH("Party Name:-",'R.M Billets Reports'!D2337)),TRIM('R.M Billets Reports'!F2337),IF(ISNUMBER(SEARCH("Party Name-",'R.M Billets Reports'!D2337)),TRIM(MID('R.M Billets Reports'!D2337,SEARCH("-",'R.M Billets Reports'!D2337)+1,200)),"")))="VRKP ISPAT PVT LTD","VRKP",IF(IF(IF(ISNUMBER(SEARCH("Party Name:-",'R.M Billets Reports'!D2336)),TRIM('R.M Billets Reports'!F2336),IF(ISNUMBER(SEARCH("Party Name-",'R.M Billets Reports'!D2336)),TRIM(MID('R.M Billets Reports'!D2336,SEARCH("-",'R.M Billets Reports'!D2336)+1,200)),""))&lt;&gt;"",IF(ISNUMBER(SEARCH("Party Name:-",'R.M Billets Reports'!D2336)),TRIM('R.M Billets Reports'!F2336),IF(ISNUMBER(SEARCH("Party Name-",'R.M Billets Reports'!D2336)),TRIM(MID('R.M Billets Reports'!D2336,SEARCH("-",'R.M Billets Reports'!D2336)+1,200)),"")),IF(ISNUMBER(SEARCH("Party Name:-",'R.M Billets Reports'!D2337)),TRIM('R.M Billets Reports'!F2337),IF(ISNUMBER(SEARCH("Party Name-",'R.M Billets Reports'!D2337)),TRIM(MID('R.M Billets Reports'!D2337,SEARCH("-",'R.M Billets Reports'!D2337)+1,200)),"")))="SHRI RADHE","SHREE RADHE",IF(IF(IF(ISNUMBER(SEARCH("Party Name:-",'R.M Billets Reports'!D2336)),TRIM('R.M Billets Reports'!F2336),IF(ISNUMBER(SEARCH("Party Name-",'R.M Billets Reports'!D2336)),TRIM(MID('R.M Billets Reports'!D2336,SEARCH("-",'R.M Billets Reports'!D2336)+1,200)),""))&lt;&gt;"",IF(ISNUMBER(SEARCH("Party Name:-",'R.M Billets Reports'!D2336)),TRIM('R.M Billets Reports'!F2336),IF(ISNUMBER(SEARCH("Party Name-",'R.M Billets Reports'!D2336)),TRIM(MID('R.M Billets Reports'!D2336,SEARCH("-",'R.M Billets Reports'!D2336)+1,200)),"")),IF(ISNUMBER(SEARCH("Party Name:-",'R.M Billets Reports'!D2337)),TRIM('R.M Billets Reports'!F2337),IF(ISNUMBER(SEARCH("Party Name-",'R.M Billets Reports'!D2337)),TRIM(MID('R.M Billets Reports'!D2337,SEARCH("-",'R.M Billets Reports'!D2337)+1,200)),"")))="SHREE RADHE SHAKTI SPONGE AND POWER PVT. LTD.","SHREE RADHE",IF(IF(ISNUMBER(SEARCH("Party Name:-",'R.M Billets Reports'!D2336)),TRIM('R.M Billets Reports'!F2336),IF(ISNUMBER(SEARCH("Party Name-",'R.M Billets Reports'!D2336)),TRIM(MID('R.M Billets Reports'!D2336,SEARCH("-",'R.M Billets Reports'!D2336)+1,200)),""))&lt;&gt;"",IF(ISNUMBER(SEARCH("Party Name:-",'R.M Billets Reports'!D2336)),TRIM('R.M Billets Reports'!F2336),IF(ISNUMBER(SEARCH("Party Name-",'R.M Billets Reports'!D2336)),TRIM(MID('R.M Billets Reports'!D2336,SEARCH("-",'R.M Billets Reports'!D2336)+1,200)),"")),IF(ISNUMBER(SEARCH("Party Name:-",'R.M Billets Reports'!D2337)),TRIM('R.M Billets Reports'!F2337),IF(ISNUMBER(SEARCH("Party Name-",'R.M Billets Reports'!D2337)),TRIM(MID('R.M Billets Reports'!D2337,SEARCH("-",'R.M Billets Reports'!D2337)+1,200)),"")))))),IF(ROW()=2,"",A2336))</f>
      </c>
      <c r="B2337">
        <f>IF(OR('R.M Billets Reports'!A2336="Date-",'R.M Billets Reports'!A2336="Date:-"),'R.M Billets Reports'!B2336,IF(ROW()=2,"",B2336))</f>
      </c>
      <c r="C2337">
        <f>IF('R.M Billets Reports'!A2336="V.No.",'R.M Billets Reports'!B2336,IF(ROW()=2,"",C2336))</f>
      </c>
      <c r="D2337">
        <f>IF('R.M Billets Reports'!A2336&lt;&gt;"",'R.M Billets Reports'!A2336,IF(ROW()=2,"",D2336))</f>
      </c>
      <c r="E2337">
        <f>IF('R.M Billets Reports'!B2336="","",TRIM('R.M Billets Reports'!B2336))</f>
      </c>
      <c r="F2337">
        <f>'R.M Billets Reports'!C2336</f>
      </c>
      <c r="G2337">
        <f>'R.M Billets Reports'!D2336</f>
      </c>
      <c r="H2337">
        <f>'R.M Billets Reports'!E2336</f>
      </c>
      <c r="I2337">
        <f>'R.M Billets Reports'!F2336</f>
      </c>
      <c r="J2337">
        <f>'R.M Billets Reports'!G2336</f>
      </c>
      <c r="K2337">
        <f>'R.M Billets Reports'!H2336</f>
      </c>
      <c r="L2337">
        <f>IF('R.M Billets Reports'!I2336="","",'R.M Billets Reports'!I2336)</f>
      </c>
      <c r="M2337">
        <f t="shared" si="72"/>
      </c>
      <c r="N2337">
        <f>IF('R.M Billets Reports'!J2336="","",'R.M Billets Reports'!J2336)</f>
      </c>
      <c r="O2337">
        <f t="shared" si="73"/>
      </c>
      <c r="P2337">
        <f>IF('R.M Billets Reports'!A2336="SIZE",'R.M Billets Reports'!B2336,P2336)</f>
      </c>
    </row>
    <row r="2338" spans="1:16" x14ac:dyDescent="0.25">
      <c r="A2338">
        <f>IF(OR('R.M Billets Reports'!A2337="Date-",'R.M Billets Reports'!A2337="Date:-"),IF(IF(IF(ISNUMBER(SEARCH("Party Name:-",'R.M Billets Reports'!D2337)),TRIM('R.M Billets Reports'!F2337),IF(ISNUMBER(SEARCH("Party Name-",'R.M Billets Reports'!D2337)),TRIM(MID('R.M Billets Reports'!D2337,SEARCH("-",'R.M Billets Reports'!D2337)+1,200)),""))&lt;&gt;"",IF(ISNUMBER(SEARCH("Party Name:-",'R.M Billets Reports'!D2337)),TRIM('R.M Billets Reports'!F2337),IF(ISNUMBER(SEARCH("Party Name-",'R.M Billets Reports'!D2337)),TRIM(MID('R.M Billets Reports'!D2337,SEARCH("-",'R.M Billets Reports'!D2337)+1,200)),"")),IF(ISNUMBER(SEARCH("Party Name:-",'R.M Billets Reports'!D2338)),TRIM('R.M Billets Reports'!F2338),IF(ISNUMBER(SEARCH("Party Name-",'R.M Billets Reports'!D2338)),TRIM(MID('R.M Billets Reports'!D2338,SEARCH("-",'R.M Billets Reports'!D2338)+1,200)),"")))="VRKP ISPAT PVT LTD","VRKP",IF(IF(IF(ISNUMBER(SEARCH("Party Name:-",'R.M Billets Reports'!D2337)),TRIM('R.M Billets Reports'!F2337),IF(ISNUMBER(SEARCH("Party Name-",'R.M Billets Reports'!D2337)),TRIM(MID('R.M Billets Reports'!D2337,SEARCH("-",'R.M Billets Reports'!D2337)+1,200)),""))&lt;&gt;"",IF(ISNUMBER(SEARCH("Party Name:-",'R.M Billets Reports'!D2337)),TRIM('R.M Billets Reports'!F2337),IF(ISNUMBER(SEARCH("Party Name-",'R.M Billets Reports'!D2337)),TRIM(MID('R.M Billets Reports'!D2337,SEARCH("-",'R.M Billets Reports'!D2337)+1,200)),"")),IF(ISNUMBER(SEARCH("Party Name:-",'R.M Billets Reports'!D2338)),TRIM('R.M Billets Reports'!F2338),IF(ISNUMBER(SEARCH("Party Name-",'R.M Billets Reports'!D2338)),TRIM(MID('R.M Billets Reports'!D2338,SEARCH("-",'R.M Billets Reports'!D2338)+1,200)),"")))="SHRI RADHE","SHREE RADHE",IF(IF(IF(ISNUMBER(SEARCH("Party Name:-",'R.M Billets Reports'!D2337)),TRIM('R.M Billets Reports'!F2337),IF(ISNUMBER(SEARCH("Party Name-",'R.M Billets Reports'!D2337)),TRIM(MID('R.M Billets Reports'!D2337,SEARCH("-",'R.M Billets Reports'!D2337)+1,200)),""))&lt;&gt;"",IF(ISNUMBER(SEARCH("Party Name:-",'R.M Billets Reports'!D2337)),TRIM('R.M Billets Reports'!F2337),IF(ISNUMBER(SEARCH("Party Name-",'R.M Billets Reports'!D2337)),TRIM(MID('R.M Billets Reports'!D2337,SEARCH("-",'R.M Billets Reports'!D2337)+1,200)),"")),IF(ISNUMBER(SEARCH("Party Name:-",'R.M Billets Reports'!D2338)),TRIM('R.M Billets Reports'!F2338),IF(ISNUMBER(SEARCH("Party Name-",'R.M Billets Reports'!D2338)),TRIM(MID('R.M Billets Reports'!D2338,SEARCH("-",'R.M Billets Reports'!D2338)+1,200)),"")))="SHREE RADHE SHAKTI SPONGE AND POWER PVT. LTD.","SHREE RADHE",IF(IF(ISNUMBER(SEARCH("Party Name:-",'R.M Billets Reports'!D2337)),TRIM('R.M Billets Reports'!F2337),IF(ISNUMBER(SEARCH("Party Name-",'R.M Billets Reports'!D2337)),TRIM(MID('R.M Billets Reports'!D2337,SEARCH("-",'R.M Billets Reports'!D2337)+1,200)),""))&lt;&gt;"",IF(ISNUMBER(SEARCH("Party Name:-",'R.M Billets Reports'!D2337)),TRIM('R.M Billets Reports'!F2337),IF(ISNUMBER(SEARCH("Party Name-",'R.M Billets Reports'!D2337)),TRIM(MID('R.M Billets Reports'!D2337,SEARCH("-",'R.M Billets Reports'!D2337)+1,200)),"")),IF(ISNUMBER(SEARCH("Party Name:-",'R.M Billets Reports'!D2338)),TRIM('R.M Billets Reports'!F2338),IF(ISNUMBER(SEARCH("Party Name-",'R.M Billets Reports'!D2338)),TRIM(MID('R.M Billets Reports'!D2338,SEARCH("-",'R.M Billets Reports'!D2338)+1,200)),"")))))),IF(ROW()=2,"",A2337))</f>
      </c>
      <c r="B2338">
        <f>IF(OR('R.M Billets Reports'!A2337="Date-",'R.M Billets Reports'!A2337="Date:-"),'R.M Billets Reports'!B2337,IF(ROW()=2,"",B2337))</f>
      </c>
      <c r="C2338">
        <f>IF('R.M Billets Reports'!A2337="V.No.",'R.M Billets Reports'!B2337,IF(ROW()=2,"",C2337))</f>
      </c>
      <c r="D2338">
        <f>IF('R.M Billets Reports'!A2337&lt;&gt;"",'R.M Billets Reports'!A2337,IF(ROW()=2,"",D2337))</f>
      </c>
      <c r="E2338">
        <f>IF('R.M Billets Reports'!B2337="","",TRIM('R.M Billets Reports'!B2337))</f>
      </c>
      <c r="F2338">
        <f>'R.M Billets Reports'!C2337</f>
      </c>
      <c r="G2338">
        <f>'R.M Billets Reports'!D2337</f>
      </c>
      <c r="H2338">
        <f>'R.M Billets Reports'!E2337</f>
      </c>
      <c r="I2338">
        <f>'R.M Billets Reports'!F2337</f>
      </c>
      <c r="J2338">
        <f>'R.M Billets Reports'!G2337</f>
      </c>
      <c r="K2338">
        <f>'R.M Billets Reports'!H2337</f>
      </c>
      <c r="L2338">
        <f>IF('R.M Billets Reports'!I2337="","",'R.M Billets Reports'!I2337)</f>
      </c>
      <c r="M2338">
        <f t="shared" si="72"/>
      </c>
      <c r="N2338">
        <f>IF('R.M Billets Reports'!J2337="","",'R.M Billets Reports'!J2337)</f>
      </c>
      <c r="O2338">
        <f t="shared" si="73"/>
      </c>
      <c r="P2338">
        <f>IF('R.M Billets Reports'!A2337="SIZE",'R.M Billets Reports'!B2337,P2337)</f>
      </c>
    </row>
    <row r="2339" spans="1:16" x14ac:dyDescent="0.25">
      <c r="A2339">
        <f>IF(OR('R.M Billets Reports'!A2338="Date-",'R.M Billets Reports'!A2338="Date:-"),IF(IF(IF(ISNUMBER(SEARCH("Party Name:-",'R.M Billets Reports'!D2338)),TRIM('R.M Billets Reports'!F2338),IF(ISNUMBER(SEARCH("Party Name-",'R.M Billets Reports'!D2338)),TRIM(MID('R.M Billets Reports'!D2338,SEARCH("-",'R.M Billets Reports'!D2338)+1,200)),""))&lt;&gt;"",IF(ISNUMBER(SEARCH("Party Name:-",'R.M Billets Reports'!D2338)),TRIM('R.M Billets Reports'!F2338),IF(ISNUMBER(SEARCH("Party Name-",'R.M Billets Reports'!D2338)),TRIM(MID('R.M Billets Reports'!D2338,SEARCH("-",'R.M Billets Reports'!D2338)+1,200)),"")),IF(ISNUMBER(SEARCH("Party Name:-",'R.M Billets Reports'!D2339)),TRIM('R.M Billets Reports'!F2339),IF(ISNUMBER(SEARCH("Party Name-",'R.M Billets Reports'!D2339)),TRIM(MID('R.M Billets Reports'!D2339,SEARCH("-",'R.M Billets Reports'!D2339)+1,200)),"")))="VRKP ISPAT PVT LTD","VRKP",IF(IF(IF(ISNUMBER(SEARCH("Party Name:-",'R.M Billets Reports'!D2338)),TRIM('R.M Billets Reports'!F2338),IF(ISNUMBER(SEARCH("Party Name-",'R.M Billets Reports'!D2338)),TRIM(MID('R.M Billets Reports'!D2338,SEARCH("-",'R.M Billets Reports'!D2338)+1,200)),""))&lt;&gt;"",IF(ISNUMBER(SEARCH("Party Name:-",'R.M Billets Reports'!D2338)),TRIM('R.M Billets Reports'!F2338),IF(ISNUMBER(SEARCH("Party Name-",'R.M Billets Reports'!D2338)),TRIM(MID('R.M Billets Reports'!D2338,SEARCH("-",'R.M Billets Reports'!D2338)+1,200)),"")),IF(ISNUMBER(SEARCH("Party Name:-",'R.M Billets Reports'!D2339)),TRIM('R.M Billets Reports'!F2339),IF(ISNUMBER(SEARCH("Party Name-",'R.M Billets Reports'!D2339)),TRIM(MID('R.M Billets Reports'!D2339,SEARCH("-",'R.M Billets Reports'!D2339)+1,200)),"")))="SHRI RADHE","SHREE RADHE",IF(IF(IF(ISNUMBER(SEARCH("Party Name:-",'R.M Billets Reports'!D2338)),TRIM('R.M Billets Reports'!F2338),IF(ISNUMBER(SEARCH("Party Name-",'R.M Billets Reports'!D2338)),TRIM(MID('R.M Billets Reports'!D2338,SEARCH("-",'R.M Billets Reports'!D2338)+1,200)),""))&lt;&gt;"",IF(ISNUMBER(SEARCH("Party Name:-",'R.M Billets Reports'!D2338)),TRIM('R.M Billets Reports'!F2338),IF(ISNUMBER(SEARCH("Party Name-",'R.M Billets Reports'!D2338)),TRIM(MID('R.M Billets Reports'!D2338,SEARCH("-",'R.M Billets Reports'!D2338)+1,200)),"")),IF(ISNUMBER(SEARCH("Party Name:-",'R.M Billets Reports'!D2339)),TRIM('R.M Billets Reports'!F2339),IF(ISNUMBER(SEARCH("Party Name-",'R.M Billets Reports'!D2339)),TRIM(MID('R.M Billets Reports'!D2339,SEARCH("-",'R.M Billets Reports'!D2339)+1,200)),"")))="SHREE RADHE SHAKTI SPONGE AND POWER PVT. LTD.","SHREE RADHE",IF(IF(ISNUMBER(SEARCH("Party Name:-",'R.M Billets Reports'!D2338)),TRIM('R.M Billets Reports'!F2338),IF(ISNUMBER(SEARCH("Party Name-",'R.M Billets Reports'!D2338)),TRIM(MID('R.M Billets Reports'!D2338,SEARCH("-",'R.M Billets Reports'!D2338)+1,200)),""))&lt;&gt;"",IF(ISNUMBER(SEARCH("Party Name:-",'R.M Billets Reports'!D2338)),TRIM('R.M Billets Reports'!F2338),IF(ISNUMBER(SEARCH("Party Name-",'R.M Billets Reports'!D2338)),TRIM(MID('R.M Billets Reports'!D2338,SEARCH("-",'R.M Billets Reports'!D2338)+1,200)),"")),IF(ISNUMBER(SEARCH("Party Name:-",'R.M Billets Reports'!D2339)),TRIM('R.M Billets Reports'!F2339),IF(ISNUMBER(SEARCH("Party Name-",'R.M Billets Reports'!D2339)),TRIM(MID('R.M Billets Reports'!D2339,SEARCH("-",'R.M Billets Reports'!D2339)+1,200)),"")))))),IF(ROW()=2,"",A2338))</f>
      </c>
      <c r="B2339">
        <f>IF(OR('R.M Billets Reports'!A2338="Date-",'R.M Billets Reports'!A2338="Date:-"),'R.M Billets Reports'!B2338,IF(ROW()=2,"",B2338))</f>
      </c>
      <c r="C2339">
        <f>IF('R.M Billets Reports'!A2338="V.No.",'R.M Billets Reports'!B2338,IF(ROW()=2,"",C2338))</f>
      </c>
      <c r="D2339">
        <f>IF('R.M Billets Reports'!A2338&lt;&gt;"",'R.M Billets Reports'!A2338,IF(ROW()=2,"",D2338))</f>
      </c>
      <c r="E2339">
        <f>IF('R.M Billets Reports'!B2338="","",TRIM('R.M Billets Reports'!B2338))</f>
      </c>
      <c r="F2339">
        <f>'R.M Billets Reports'!C2338</f>
      </c>
      <c r="G2339">
        <f>'R.M Billets Reports'!D2338</f>
      </c>
      <c r="H2339">
        <f>'R.M Billets Reports'!E2338</f>
      </c>
      <c r="I2339">
        <f>'R.M Billets Reports'!F2338</f>
      </c>
      <c r="J2339">
        <f>'R.M Billets Reports'!G2338</f>
      </c>
      <c r="K2339">
        <f>'R.M Billets Reports'!H2338</f>
      </c>
      <c r="L2339">
        <f>IF('R.M Billets Reports'!I2338="","",'R.M Billets Reports'!I2338)</f>
      </c>
      <c r="M2339">
        <f t="shared" si="72"/>
      </c>
      <c r="N2339">
        <f>IF('R.M Billets Reports'!J2338="","",'R.M Billets Reports'!J2338)</f>
      </c>
      <c r="O2339">
        <f t="shared" si="73"/>
      </c>
      <c r="P2339">
        <f>IF('R.M Billets Reports'!A2338="SIZE",'R.M Billets Reports'!B2338,P2338)</f>
      </c>
    </row>
    <row r="2340" spans="1:16" x14ac:dyDescent="0.25">
      <c r="A2340">
        <f>IF(OR('R.M Billets Reports'!A2339="Date-",'R.M Billets Reports'!A2339="Date:-"),IF(IF(IF(ISNUMBER(SEARCH("Party Name:-",'R.M Billets Reports'!D2339)),TRIM('R.M Billets Reports'!F2339),IF(ISNUMBER(SEARCH("Party Name-",'R.M Billets Reports'!D2339)),TRIM(MID('R.M Billets Reports'!D2339,SEARCH("-",'R.M Billets Reports'!D2339)+1,200)),""))&lt;&gt;"",IF(ISNUMBER(SEARCH("Party Name:-",'R.M Billets Reports'!D2339)),TRIM('R.M Billets Reports'!F2339),IF(ISNUMBER(SEARCH("Party Name-",'R.M Billets Reports'!D2339)),TRIM(MID('R.M Billets Reports'!D2339,SEARCH("-",'R.M Billets Reports'!D2339)+1,200)),"")),IF(ISNUMBER(SEARCH("Party Name:-",'R.M Billets Reports'!D2340)),TRIM('R.M Billets Reports'!F2340),IF(ISNUMBER(SEARCH("Party Name-",'R.M Billets Reports'!D2340)),TRIM(MID('R.M Billets Reports'!D2340,SEARCH("-",'R.M Billets Reports'!D2340)+1,200)),"")))="VRKP ISPAT PVT LTD","VRKP",IF(IF(IF(ISNUMBER(SEARCH("Party Name:-",'R.M Billets Reports'!D2339)),TRIM('R.M Billets Reports'!F2339),IF(ISNUMBER(SEARCH("Party Name-",'R.M Billets Reports'!D2339)),TRIM(MID('R.M Billets Reports'!D2339,SEARCH("-",'R.M Billets Reports'!D2339)+1,200)),""))&lt;&gt;"",IF(ISNUMBER(SEARCH("Party Name:-",'R.M Billets Reports'!D2339)),TRIM('R.M Billets Reports'!F2339),IF(ISNUMBER(SEARCH("Party Name-",'R.M Billets Reports'!D2339)),TRIM(MID('R.M Billets Reports'!D2339,SEARCH("-",'R.M Billets Reports'!D2339)+1,200)),"")),IF(ISNUMBER(SEARCH("Party Name:-",'R.M Billets Reports'!D2340)),TRIM('R.M Billets Reports'!F2340),IF(ISNUMBER(SEARCH("Party Name-",'R.M Billets Reports'!D2340)),TRIM(MID('R.M Billets Reports'!D2340,SEARCH("-",'R.M Billets Reports'!D2340)+1,200)),"")))="SHRI RADHE","SHREE RADHE",IF(IF(IF(ISNUMBER(SEARCH("Party Name:-",'R.M Billets Reports'!D2339)),TRIM('R.M Billets Reports'!F2339),IF(ISNUMBER(SEARCH("Party Name-",'R.M Billets Reports'!D2339)),TRIM(MID('R.M Billets Reports'!D2339,SEARCH("-",'R.M Billets Reports'!D2339)+1,200)),""))&lt;&gt;"",IF(ISNUMBER(SEARCH("Party Name:-",'R.M Billets Reports'!D2339)),TRIM('R.M Billets Reports'!F2339),IF(ISNUMBER(SEARCH("Party Name-",'R.M Billets Reports'!D2339)),TRIM(MID('R.M Billets Reports'!D2339,SEARCH("-",'R.M Billets Reports'!D2339)+1,200)),"")),IF(ISNUMBER(SEARCH("Party Name:-",'R.M Billets Reports'!D2340)),TRIM('R.M Billets Reports'!F2340),IF(ISNUMBER(SEARCH("Party Name-",'R.M Billets Reports'!D2340)),TRIM(MID('R.M Billets Reports'!D2340,SEARCH("-",'R.M Billets Reports'!D2340)+1,200)),"")))="SHREE RADHE SHAKTI SPONGE AND POWER PVT. LTD.","SHREE RADHE",IF(IF(ISNUMBER(SEARCH("Party Name:-",'R.M Billets Reports'!D2339)),TRIM('R.M Billets Reports'!F2339),IF(ISNUMBER(SEARCH("Party Name-",'R.M Billets Reports'!D2339)),TRIM(MID('R.M Billets Reports'!D2339,SEARCH("-",'R.M Billets Reports'!D2339)+1,200)),""))&lt;&gt;"",IF(ISNUMBER(SEARCH("Party Name:-",'R.M Billets Reports'!D2339)),TRIM('R.M Billets Reports'!F2339),IF(ISNUMBER(SEARCH("Party Name-",'R.M Billets Reports'!D2339)),TRIM(MID('R.M Billets Reports'!D2339,SEARCH("-",'R.M Billets Reports'!D2339)+1,200)),"")),IF(ISNUMBER(SEARCH("Party Name:-",'R.M Billets Reports'!D2340)),TRIM('R.M Billets Reports'!F2340),IF(ISNUMBER(SEARCH("Party Name-",'R.M Billets Reports'!D2340)),TRIM(MID('R.M Billets Reports'!D2340,SEARCH("-",'R.M Billets Reports'!D2340)+1,200)),"")))))),IF(ROW()=2,"",A2339))</f>
      </c>
      <c r="B2340">
        <f>IF(OR('R.M Billets Reports'!A2339="Date-",'R.M Billets Reports'!A2339="Date:-"),'R.M Billets Reports'!B2339,IF(ROW()=2,"",B2339))</f>
      </c>
      <c r="C2340">
        <f>IF('R.M Billets Reports'!A2339="V.No.",'R.M Billets Reports'!B2339,IF(ROW()=2,"",C2339))</f>
      </c>
      <c r="D2340">
        <f>IF('R.M Billets Reports'!A2339&lt;&gt;"",'R.M Billets Reports'!A2339,IF(ROW()=2,"",D2339))</f>
      </c>
      <c r="E2340">
        <f>IF('R.M Billets Reports'!B2339="","",TRIM('R.M Billets Reports'!B2339))</f>
      </c>
      <c r="F2340">
        <f>'R.M Billets Reports'!C2339</f>
      </c>
      <c r="G2340">
        <f>'R.M Billets Reports'!D2339</f>
      </c>
      <c r="H2340">
        <f>'R.M Billets Reports'!E2339</f>
      </c>
      <c r="I2340">
        <f>'R.M Billets Reports'!F2339</f>
      </c>
      <c r="J2340">
        <f>'R.M Billets Reports'!G2339</f>
      </c>
      <c r="K2340">
        <f>'R.M Billets Reports'!H2339</f>
      </c>
      <c r="L2340">
        <f>IF('R.M Billets Reports'!I2339="","",'R.M Billets Reports'!I2339)</f>
      </c>
      <c r="M2340">
        <f t="shared" si="72"/>
      </c>
      <c r="N2340">
        <f>IF('R.M Billets Reports'!J2339="","",'R.M Billets Reports'!J2339)</f>
      </c>
      <c r="O2340">
        <f t="shared" si="73"/>
      </c>
      <c r="P2340">
        <f>IF('R.M Billets Reports'!A2339="SIZE",'R.M Billets Reports'!B2339,P2339)</f>
      </c>
    </row>
    <row r="2341" spans="1:16" x14ac:dyDescent="0.25">
      <c r="A2341">
        <f>IF(OR('R.M Billets Reports'!A2340="Date-",'R.M Billets Reports'!A2340="Date:-"),IF(IF(IF(ISNUMBER(SEARCH("Party Name:-",'R.M Billets Reports'!D2340)),TRIM('R.M Billets Reports'!F2340),IF(ISNUMBER(SEARCH("Party Name-",'R.M Billets Reports'!D2340)),TRIM(MID('R.M Billets Reports'!D2340,SEARCH("-",'R.M Billets Reports'!D2340)+1,200)),""))&lt;&gt;"",IF(ISNUMBER(SEARCH("Party Name:-",'R.M Billets Reports'!D2340)),TRIM('R.M Billets Reports'!F2340),IF(ISNUMBER(SEARCH("Party Name-",'R.M Billets Reports'!D2340)),TRIM(MID('R.M Billets Reports'!D2340,SEARCH("-",'R.M Billets Reports'!D2340)+1,200)),"")),IF(ISNUMBER(SEARCH("Party Name:-",'R.M Billets Reports'!D2341)),TRIM('R.M Billets Reports'!F2341),IF(ISNUMBER(SEARCH("Party Name-",'R.M Billets Reports'!D2341)),TRIM(MID('R.M Billets Reports'!D2341,SEARCH("-",'R.M Billets Reports'!D2341)+1,200)),"")))="VRKP ISPAT PVT LTD","VRKP",IF(IF(IF(ISNUMBER(SEARCH("Party Name:-",'R.M Billets Reports'!D2340)),TRIM('R.M Billets Reports'!F2340),IF(ISNUMBER(SEARCH("Party Name-",'R.M Billets Reports'!D2340)),TRIM(MID('R.M Billets Reports'!D2340,SEARCH("-",'R.M Billets Reports'!D2340)+1,200)),""))&lt;&gt;"",IF(ISNUMBER(SEARCH("Party Name:-",'R.M Billets Reports'!D2340)),TRIM('R.M Billets Reports'!F2340),IF(ISNUMBER(SEARCH("Party Name-",'R.M Billets Reports'!D2340)),TRIM(MID('R.M Billets Reports'!D2340,SEARCH("-",'R.M Billets Reports'!D2340)+1,200)),"")),IF(ISNUMBER(SEARCH("Party Name:-",'R.M Billets Reports'!D2341)),TRIM('R.M Billets Reports'!F2341),IF(ISNUMBER(SEARCH("Party Name-",'R.M Billets Reports'!D2341)),TRIM(MID('R.M Billets Reports'!D2341,SEARCH("-",'R.M Billets Reports'!D2341)+1,200)),"")))="SHRI RADHE","SHREE RADHE",IF(IF(IF(ISNUMBER(SEARCH("Party Name:-",'R.M Billets Reports'!D2340)),TRIM('R.M Billets Reports'!F2340),IF(ISNUMBER(SEARCH("Party Name-",'R.M Billets Reports'!D2340)),TRIM(MID('R.M Billets Reports'!D2340,SEARCH("-",'R.M Billets Reports'!D2340)+1,200)),""))&lt;&gt;"",IF(ISNUMBER(SEARCH("Party Name:-",'R.M Billets Reports'!D2340)),TRIM('R.M Billets Reports'!F2340),IF(ISNUMBER(SEARCH("Party Name-",'R.M Billets Reports'!D2340)),TRIM(MID('R.M Billets Reports'!D2340,SEARCH("-",'R.M Billets Reports'!D2340)+1,200)),"")),IF(ISNUMBER(SEARCH("Party Name:-",'R.M Billets Reports'!D2341)),TRIM('R.M Billets Reports'!F2341),IF(ISNUMBER(SEARCH("Party Name-",'R.M Billets Reports'!D2341)),TRIM(MID('R.M Billets Reports'!D2341,SEARCH("-",'R.M Billets Reports'!D2341)+1,200)),"")))="SHREE RADHE SHAKTI SPONGE AND POWER PVT. LTD.","SHREE RADHE",IF(IF(ISNUMBER(SEARCH("Party Name:-",'R.M Billets Reports'!D2340)),TRIM('R.M Billets Reports'!F2340),IF(ISNUMBER(SEARCH("Party Name-",'R.M Billets Reports'!D2340)),TRIM(MID('R.M Billets Reports'!D2340,SEARCH("-",'R.M Billets Reports'!D2340)+1,200)),""))&lt;&gt;"",IF(ISNUMBER(SEARCH("Party Name:-",'R.M Billets Reports'!D2340)),TRIM('R.M Billets Reports'!F2340),IF(ISNUMBER(SEARCH("Party Name-",'R.M Billets Reports'!D2340)),TRIM(MID('R.M Billets Reports'!D2340,SEARCH("-",'R.M Billets Reports'!D2340)+1,200)),"")),IF(ISNUMBER(SEARCH("Party Name:-",'R.M Billets Reports'!D2341)),TRIM('R.M Billets Reports'!F2341),IF(ISNUMBER(SEARCH("Party Name-",'R.M Billets Reports'!D2341)),TRIM(MID('R.M Billets Reports'!D2341,SEARCH("-",'R.M Billets Reports'!D2341)+1,200)),"")))))),IF(ROW()=2,"",A2340))</f>
      </c>
      <c r="B2341">
        <f>IF(OR('R.M Billets Reports'!A2340="Date-",'R.M Billets Reports'!A2340="Date:-"),'R.M Billets Reports'!B2340,IF(ROW()=2,"",B2340))</f>
      </c>
      <c r="C2341">
        <f>IF('R.M Billets Reports'!A2340="V.No.",'R.M Billets Reports'!B2340,IF(ROW()=2,"",C2340))</f>
      </c>
      <c r="D2341">
        <f>IF('R.M Billets Reports'!A2340&lt;&gt;"",'R.M Billets Reports'!A2340,IF(ROW()=2,"",D2340))</f>
      </c>
      <c r="E2341">
        <f>IF('R.M Billets Reports'!B2340="","",TRIM('R.M Billets Reports'!B2340))</f>
      </c>
      <c r="F2341">
        <f>'R.M Billets Reports'!C2340</f>
      </c>
      <c r="G2341">
        <f>'R.M Billets Reports'!D2340</f>
      </c>
      <c r="H2341">
        <f>'R.M Billets Reports'!E2340</f>
      </c>
      <c r="I2341">
        <f>'R.M Billets Reports'!F2340</f>
      </c>
      <c r="J2341">
        <f>'R.M Billets Reports'!G2340</f>
      </c>
      <c r="K2341">
        <f>'R.M Billets Reports'!H2340</f>
      </c>
      <c r="L2341">
        <f>IF('R.M Billets Reports'!I2340="","",'R.M Billets Reports'!I2340)</f>
      </c>
      <c r="M2341">
        <f t="shared" si="72"/>
      </c>
      <c r="N2341">
        <f>IF('R.M Billets Reports'!J2340="","",'R.M Billets Reports'!J2340)</f>
      </c>
      <c r="O2341">
        <f t="shared" si="73"/>
      </c>
      <c r="P2341">
        <f>IF('R.M Billets Reports'!A2340="SIZE",'R.M Billets Reports'!B2340,P2340)</f>
      </c>
    </row>
    <row r="2342" spans="1:16" x14ac:dyDescent="0.25">
      <c r="A2342">
        <f>IF(OR('R.M Billets Reports'!A2341="Date-",'R.M Billets Reports'!A2341="Date:-"),IF(IF(IF(ISNUMBER(SEARCH("Party Name:-",'R.M Billets Reports'!D2341)),TRIM('R.M Billets Reports'!F2341),IF(ISNUMBER(SEARCH("Party Name-",'R.M Billets Reports'!D2341)),TRIM(MID('R.M Billets Reports'!D2341,SEARCH("-",'R.M Billets Reports'!D2341)+1,200)),""))&lt;&gt;"",IF(ISNUMBER(SEARCH("Party Name:-",'R.M Billets Reports'!D2341)),TRIM('R.M Billets Reports'!F2341),IF(ISNUMBER(SEARCH("Party Name-",'R.M Billets Reports'!D2341)),TRIM(MID('R.M Billets Reports'!D2341,SEARCH("-",'R.M Billets Reports'!D2341)+1,200)),"")),IF(ISNUMBER(SEARCH("Party Name:-",'R.M Billets Reports'!D2342)),TRIM('R.M Billets Reports'!F2342),IF(ISNUMBER(SEARCH("Party Name-",'R.M Billets Reports'!D2342)),TRIM(MID('R.M Billets Reports'!D2342,SEARCH("-",'R.M Billets Reports'!D2342)+1,200)),"")))="VRKP ISPAT PVT LTD","VRKP",IF(IF(IF(ISNUMBER(SEARCH("Party Name:-",'R.M Billets Reports'!D2341)),TRIM('R.M Billets Reports'!F2341),IF(ISNUMBER(SEARCH("Party Name-",'R.M Billets Reports'!D2341)),TRIM(MID('R.M Billets Reports'!D2341,SEARCH("-",'R.M Billets Reports'!D2341)+1,200)),""))&lt;&gt;"",IF(ISNUMBER(SEARCH("Party Name:-",'R.M Billets Reports'!D2341)),TRIM('R.M Billets Reports'!F2341),IF(ISNUMBER(SEARCH("Party Name-",'R.M Billets Reports'!D2341)),TRIM(MID('R.M Billets Reports'!D2341,SEARCH("-",'R.M Billets Reports'!D2341)+1,200)),"")),IF(ISNUMBER(SEARCH("Party Name:-",'R.M Billets Reports'!D2342)),TRIM('R.M Billets Reports'!F2342),IF(ISNUMBER(SEARCH("Party Name-",'R.M Billets Reports'!D2342)),TRIM(MID('R.M Billets Reports'!D2342,SEARCH("-",'R.M Billets Reports'!D2342)+1,200)),"")))="SHRI RADHE","SHREE RADHE",IF(IF(IF(ISNUMBER(SEARCH("Party Name:-",'R.M Billets Reports'!D2341)),TRIM('R.M Billets Reports'!F2341),IF(ISNUMBER(SEARCH("Party Name-",'R.M Billets Reports'!D2341)),TRIM(MID('R.M Billets Reports'!D2341,SEARCH("-",'R.M Billets Reports'!D2341)+1,200)),""))&lt;&gt;"",IF(ISNUMBER(SEARCH("Party Name:-",'R.M Billets Reports'!D2341)),TRIM('R.M Billets Reports'!F2341),IF(ISNUMBER(SEARCH("Party Name-",'R.M Billets Reports'!D2341)),TRIM(MID('R.M Billets Reports'!D2341,SEARCH("-",'R.M Billets Reports'!D2341)+1,200)),"")),IF(ISNUMBER(SEARCH("Party Name:-",'R.M Billets Reports'!D2342)),TRIM('R.M Billets Reports'!F2342),IF(ISNUMBER(SEARCH("Party Name-",'R.M Billets Reports'!D2342)),TRIM(MID('R.M Billets Reports'!D2342,SEARCH("-",'R.M Billets Reports'!D2342)+1,200)),"")))="SHREE RADHE SHAKTI SPONGE AND POWER PVT. LTD.","SHREE RADHE",IF(IF(ISNUMBER(SEARCH("Party Name:-",'R.M Billets Reports'!D2341)),TRIM('R.M Billets Reports'!F2341),IF(ISNUMBER(SEARCH("Party Name-",'R.M Billets Reports'!D2341)),TRIM(MID('R.M Billets Reports'!D2341,SEARCH("-",'R.M Billets Reports'!D2341)+1,200)),""))&lt;&gt;"",IF(ISNUMBER(SEARCH("Party Name:-",'R.M Billets Reports'!D2341)),TRIM('R.M Billets Reports'!F2341),IF(ISNUMBER(SEARCH("Party Name-",'R.M Billets Reports'!D2341)),TRIM(MID('R.M Billets Reports'!D2341,SEARCH("-",'R.M Billets Reports'!D2341)+1,200)),"")),IF(ISNUMBER(SEARCH("Party Name:-",'R.M Billets Reports'!D2342)),TRIM('R.M Billets Reports'!F2342),IF(ISNUMBER(SEARCH("Party Name-",'R.M Billets Reports'!D2342)),TRIM(MID('R.M Billets Reports'!D2342,SEARCH("-",'R.M Billets Reports'!D2342)+1,200)),"")))))),IF(ROW()=2,"",A2341))</f>
      </c>
      <c r="B2342">
        <f>IF(OR('R.M Billets Reports'!A2341="Date-",'R.M Billets Reports'!A2341="Date:-"),'R.M Billets Reports'!B2341,IF(ROW()=2,"",B2341))</f>
      </c>
      <c r="C2342">
        <f>IF('R.M Billets Reports'!A2341="V.No.",'R.M Billets Reports'!B2341,IF(ROW()=2,"",C2341))</f>
      </c>
      <c r="D2342">
        <f>IF('R.M Billets Reports'!A2341&lt;&gt;"",'R.M Billets Reports'!A2341,IF(ROW()=2,"",D2341))</f>
      </c>
      <c r="E2342">
        <f>IF('R.M Billets Reports'!B2341="","",TRIM('R.M Billets Reports'!B2341))</f>
      </c>
      <c r="F2342">
        <f>'R.M Billets Reports'!C2341</f>
      </c>
      <c r="G2342">
        <f>'R.M Billets Reports'!D2341</f>
      </c>
      <c r="H2342">
        <f>'R.M Billets Reports'!E2341</f>
      </c>
      <c r="I2342">
        <f>'R.M Billets Reports'!F2341</f>
      </c>
      <c r="J2342">
        <f>'R.M Billets Reports'!G2341</f>
      </c>
      <c r="K2342">
        <f>'R.M Billets Reports'!H2341</f>
      </c>
      <c r="L2342">
        <f>IF('R.M Billets Reports'!I2341="","",'R.M Billets Reports'!I2341)</f>
      </c>
      <c r="M2342">
        <f t="shared" si="72"/>
      </c>
      <c r="N2342">
        <f>IF('R.M Billets Reports'!J2341="","",'R.M Billets Reports'!J2341)</f>
      </c>
      <c r="O2342">
        <f t="shared" si="73"/>
      </c>
      <c r="P2342">
        <f>IF('R.M Billets Reports'!A2341="SIZE",'R.M Billets Reports'!B2341,P2341)</f>
      </c>
    </row>
    <row r="2343" spans="1:16" x14ac:dyDescent="0.25">
      <c r="A2343">
        <f>IF(OR('R.M Billets Reports'!A2342="Date-",'R.M Billets Reports'!A2342="Date:-"),IF(IF(IF(ISNUMBER(SEARCH("Party Name:-",'R.M Billets Reports'!D2342)),TRIM('R.M Billets Reports'!F2342),IF(ISNUMBER(SEARCH("Party Name-",'R.M Billets Reports'!D2342)),TRIM(MID('R.M Billets Reports'!D2342,SEARCH("-",'R.M Billets Reports'!D2342)+1,200)),""))&lt;&gt;"",IF(ISNUMBER(SEARCH("Party Name:-",'R.M Billets Reports'!D2342)),TRIM('R.M Billets Reports'!F2342),IF(ISNUMBER(SEARCH("Party Name-",'R.M Billets Reports'!D2342)),TRIM(MID('R.M Billets Reports'!D2342,SEARCH("-",'R.M Billets Reports'!D2342)+1,200)),"")),IF(ISNUMBER(SEARCH("Party Name:-",'R.M Billets Reports'!D2343)),TRIM('R.M Billets Reports'!F2343),IF(ISNUMBER(SEARCH("Party Name-",'R.M Billets Reports'!D2343)),TRIM(MID('R.M Billets Reports'!D2343,SEARCH("-",'R.M Billets Reports'!D2343)+1,200)),"")))="VRKP ISPAT PVT LTD","VRKP",IF(IF(IF(ISNUMBER(SEARCH("Party Name:-",'R.M Billets Reports'!D2342)),TRIM('R.M Billets Reports'!F2342),IF(ISNUMBER(SEARCH("Party Name-",'R.M Billets Reports'!D2342)),TRIM(MID('R.M Billets Reports'!D2342,SEARCH("-",'R.M Billets Reports'!D2342)+1,200)),""))&lt;&gt;"",IF(ISNUMBER(SEARCH("Party Name:-",'R.M Billets Reports'!D2342)),TRIM('R.M Billets Reports'!F2342),IF(ISNUMBER(SEARCH("Party Name-",'R.M Billets Reports'!D2342)),TRIM(MID('R.M Billets Reports'!D2342,SEARCH("-",'R.M Billets Reports'!D2342)+1,200)),"")),IF(ISNUMBER(SEARCH("Party Name:-",'R.M Billets Reports'!D2343)),TRIM('R.M Billets Reports'!F2343),IF(ISNUMBER(SEARCH("Party Name-",'R.M Billets Reports'!D2343)),TRIM(MID('R.M Billets Reports'!D2343,SEARCH("-",'R.M Billets Reports'!D2343)+1,200)),"")))="SHRI RADHE","SHREE RADHE",IF(IF(IF(ISNUMBER(SEARCH("Party Name:-",'R.M Billets Reports'!D2342)),TRIM('R.M Billets Reports'!F2342),IF(ISNUMBER(SEARCH("Party Name-",'R.M Billets Reports'!D2342)),TRIM(MID('R.M Billets Reports'!D2342,SEARCH("-",'R.M Billets Reports'!D2342)+1,200)),""))&lt;&gt;"",IF(ISNUMBER(SEARCH("Party Name:-",'R.M Billets Reports'!D2342)),TRIM('R.M Billets Reports'!F2342),IF(ISNUMBER(SEARCH("Party Name-",'R.M Billets Reports'!D2342)),TRIM(MID('R.M Billets Reports'!D2342,SEARCH("-",'R.M Billets Reports'!D2342)+1,200)),"")),IF(ISNUMBER(SEARCH("Party Name:-",'R.M Billets Reports'!D2343)),TRIM('R.M Billets Reports'!F2343),IF(ISNUMBER(SEARCH("Party Name-",'R.M Billets Reports'!D2343)),TRIM(MID('R.M Billets Reports'!D2343,SEARCH("-",'R.M Billets Reports'!D2343)+1,200)),"")))="SHREE RADHE SHAKTI SPONGE AND POWER PVT. LTD.","SHREE RADHE",IF(IF(ISNUMBER(SEARCH("Party Name:-",'R.M Billets Reports'!D2342)),TRIM('R.M Billets Reports'!F2342),IF(ISNUMBER(SEARCH("Party Name-",'R.M Billets Reports'!D2342)),TRIM(MID('R.M Billets Reports'!D2342,SEARCH("-",'R.M Billets Reports'!D2342)+1,200)),""))&lt;&gt;"",IF(ISNUMBER(SEARCH("Party Name:-",'R.M Billets Reports'!D2342)),TRIM('R.M Billets Reports'!F2342),IF(ISNUMBER(SEARCH("Party Name-",'R.M Billets Reports'!D2342)),TRIM(MID('R.M Billets Reports'!D2342,SEARCH("-",'R.M Billets Reports'!D2342)+1,200)),"")),IF(ISNUMBER(SEARCH("Party Name:-",'R.M Billets Reports'!D2343)),TRIM('R.M Billets Reports'!F2343),IF(ISNUMBER(SEARCH("Party Name-",'R.M Billets Reports'!D2343)),TRIM(MID('R.M Billets Reports'!D2343,SEARCH("-",'R.M Billets Reports'!D2343)+1,200)),"")))))),IF(ROW()=2,"",A2342))</f>
      </c>
      <c r="B2343">
        <f>IF(OR('R.M Billets Reports'!A2342="Date-",'R.M Billets Reports'!A2342="Date:-"),'R.M Billets Reports'!B2342,IF(ROW()=2,"",B2342))</f>
      </c>
      <c r="C2343">
        <f>IF('R.M Billets Reports'!A2342="V.No.",'R.M Billets Reports'!B2342,IF(ROW()=2,"",C2342))</f>
      </c>
      <c r="D2343">
        <f>IF('R.M Billets Reports'!A2342&lt;&gt;"",'R.M Billets Reports'!A2342,IF(ROW()=2,"",D2342))</f>
      </c>
      <c r="E2343">
        <f>IF('R.M Billets Reports'!B2342="","",TRIM('R.M Billets Reports'!B2342))</f>
      </c>
      <c r="F2343">
        <f>'R.M Billets Reports'!C2342</f>
      </c>
      <c r="G2343">
        <f>'R.M Billets Reports'!D2342</f>
      </c>
      <c r="H2343">
        <f>'R.M Billets Reports'!E2342</f>
      </c>
      <c r="I2343">
        <f>'R.M Billets Reports'!F2342</f>
      </c>
      <c r="J2343">
        <f>'R.M Billets Reports'!G2342</f>
      </c>
      <c r="K2343">
        <f>'R.M Billets Reports'!H2342</f>
      </c>
      <c r="L2343">
        <f>IF('R.M Billets Reports'!I2342="","",'R.M Billets Reports'!I2342)</f>
      </c>
      <c r="M2343">
        <f t="shared" si="72"/>
      </c>
      <c r="N2343">
        <f>IF('R.M Billets Reports'!J2342="","",'R.M Billets Reports'!J2342)</f>
      </c>
      <c r="O2343">
        <f t="shared" si="73"/>
      </c>
      <c r="P2343">
        <f>IF('R.M Billets Reports'!A2342="SIZE",'R.M Billets Reports'!B2342,P2342)</f>
      </c>
    </row>
    <row r="2344" spans="1:16" x14ac:dyDescent="0.25">
      <c r="A2344">
        <f>IF(OR('R.M Billets Reports'!A2343="Date-",'R.M Billets Reports'!A2343="Date:-"),IF(IF(IF(ISNUMBER(SEARCH("Party Name:-",'R.M Billets Reports'!D2343)),TRIM('R.M Billets Reports'!F2343),IF(ISNUMBER(SEARCH("Party Name-",'R.M Billets Reports'!D2343)),TRIM(MID('R.M Billets Reports'!D2343,SEARCH("-",'R.M Billets Reports'!D2343)+1,200)),""))&lt;&gt;"",IF(ISNUMBER(SEARCH("Party Name:-",'R.M Billets Reports'!D2343)),TRIM('R.M Billets Reports'!F2343),IF(ISNUMBER(SEARCH("Party Name-",'R.M Billets Reports'!D2343)),TRIM(MID('R.M Billets Reports'!D2343,SEARCH("-",'R.M Billets Reports'!D2343)+1,200)),"")),IF(ISNUMBER(SEARCH("Party Name:-",'R.M Billets Reports'!D2344)),TRIM('R.M Billets Reports'!F2344),IF(ISNUMBER(SEARCH("Party Name-",'R.M Billets Reports'!D2344)),TRIM(MID('R.M Billets Reports'!D2344,SEARCH("-",'R.M Billets Reports'!D2344)+1,200)),"")))="VRKP ISPAT PVT LTD","VRKP",IF(IF(IF(ISNUMBER(SEARCH("Party Name:-",'R.M Billets Reports'!D2343)),TRIM('R.M Billets Reports'!F2343),IF(ISNUMBER(SEARCH("Party Name-",'R.M Billets Reports'!D2343)),TRIM(MID('R.M Billets Reports'!D2343,SEARCH("-",'R.M Billets Reports'!D2343)+1,200)),""))&lt;&gt;"",IF(ISNUMBER(SEARCH("Party Name:-",'R.M Billets Reports'!D2343)),TRIM('R.M Billets Reports'!F2343),IF(ISNUMBER(SEARCH("Party Name-",'R.M Billets Reports'!D2343)),TRIM(MID('R.M Billets Reports'!D2343,SEARCH("-",'R.M Billets Reports'!D2343)+1,200)),"")),IF(ISNUMBER(SEARCH("Party Name:-",'R.M Billets Reports'!D2344)),TRIM('R.M Billets Reports'!F2344),IF(ISNUMBER(SEARCH("Party Name-",'R.M Billets Reports'!D2344)),TRIM(MID('R.M Billets Reports'!D2344,SEARCH("-",'R.M Billets Reports'!D2344)+1,200)),"")))="SHRI RADHE","SHREE RADHE",IF(IF(IF(ISNUMBER(SEARCH("Party Name:-",'R.M Billets Reports'!D2343)),TRIM('R.M Billets Reports'!F2343),IF(ISNUMBER(SEARCH("Party Name-",'R.M Billets Reports'!D2343)),TRIM(MID('R.M Billets Reports'!D2343,SEARCH("-",'R.M Billets Reports'!D2343)+1,200)),""))&lt;&gt;"",IF(ISNUMBER(SEARCH("Party Name:-",'R.M Billets Reports'!D2343)),TRIM('R.M Billets Reports'!F2343),IF(ISNUMBER(SEARCH("Party Name-",'R.M Billets Reports'!D2343)),TRIM(MID('R.M Billets Reports'!D2343,SEARCH("-",'R.M Billets Reports'!D2343)+1,200)),"")),IF(ISNUMBER(SEARCH("Party Name:-",'R.M Billets Reports'!D2344)),TRIM('R.M Billets Reports'!F2344),IF(ISNUMBER(SEARCH("Party Name-",'R.M Billets Reports'!D2344)),TRIM(MID('R.M Billets Reports'!D2344,SEARCH("-",'R.M Billets Reports'!D2344)+1,200)),"")))="SHREE RADHE SHAKTI SPONGE AND POWER PVT. LTD.","SHREE RADHE",IF(IF(ISNUMBER(SEARCH("Party Name:-",'R.M Billets Reports'!D2343)),TRIM('R.M Billets Reports'!F2343),IF(ISNUMBER(SEARCH("Party Name-",'R.M Billets Reports'!D2343)),TRIM(MID('R.M Billets Reports'!D2343,SEARCH("-",'R.M Billets Reports'!D2343)+1,200)),""))&lt;&gt;"",IF(ISNUMBER(SEARCH("Party Name:-",'R.M Billets Reports'!D2343)),TRIM('R.M Billets Reports'!F2343),IF(ISNUMBER(SEARCH("Party Name-",'R.M Billets Reports'!D2343)),TRIM(MID('R.M Billets Reports'!D2343,SEARCH("-",'R.M Billets Reports'!D2343)+1,200)),"")),IF(ISNUMBER(SEARCH("Party Name:-",'R.M Billets Reports'!D2344)),TRIM('R.M Billets Reports'!F2344),IF(ISNUMBER(SEARCH("Party Name-",'R.M Billets Reports'!D2344)),TRIM(MID('R.M Billets Reports'!D2344,SEARCH("-",'R.M Billets Reports'!D2344)+1,200)),"")))))),IF(ROW()=2,"",A2343))</f>
      </c>
      <c r="B2344">
        <f>IF(OR('R.M Billets Reports'!A2343="Date-",'R.M Billets Reports'!A2343="Date:-"),'R.M Billets Reports'!B2343,IF(ROW()=2,"",B2343))</f>
      </c>
      <c r="C2344">
        <f>IF('R.M Billets Reports'!A2343="V.No.",'R.M Billets Reports'!B2343,IF(ROW()=2,"",C2343))</f>
      </c>
      <c r="D2344">
        <f>IF('R.M Billets Reports'!A2343&lt;&gt;"",'R.M Billets Reports'!A2343,IF(ROW()=2,"",D2343))</f>
      </c>
      <c r="E2344">
        <f>IF('R.M Billets Reports'!B2343="","",TRIM('R.M Billets Reports'!B2343))</f>
      </c>
      <c r="F2344">
        <f>'R.M Billets Reports'!C2343</f>
      </c>
      <c r="G2344">
        <f>'R.M Billets Reports'!D2343</f>
      </c>
      <c r="H2344">
        <f>'R.M Billets Reports'!E2343</f>
      </c>
      <c r="I2344">
        <f>'R.M Billets Reports'!F2343</f>
      </c>
      <c r="J2344">
        <f>'R.M Billets Reports'!G2343</f>
      </c>
      <c r="K2344">
        <f>'R.M Billets Reports'!H2343</f>
      </c>
      <c r="L2344">
        <f>IF('R.M Billets Reports'!I2343="","",'R.M Billets Reports'!I2343)</f>
      </c>
      <c r="M2344">
        <f t="shared" si="72"/>
      </c>
      <c r="N2344">
        <f>IF('R.M Billets Reports'!J2343="","",'R.M Billets Reports'!J2343)</f>
      </c>
      <c r="O2344">
        <f t="shared" si="73"/>
      </c>
      <c r="P2344">
        <f>IF('R.M Billets Reports'!A2343="SIZE",'R.M Billets Reports'!B2343,P2343)</f>
      </c>
    </row>
    <row r="2345" spans="1:16" x14ac:dyDescent="0.25">
      <c r="A2345">
        <f>IF(OR('R.M Billets Reports'!A2344="Date-",'R.M Billets Reports'!A2344="Date:-"),IF(IF(IF(ISNUMBER(SEARCH("Party Name:-",'R.M Billets Reports'!D2344)),TRIM('R.M Billets Reports'!F2344),IF(ISNUMBER(SEARCH("Party Name-",'R.M Billets Reports'!D2344)),TRIM(MID('R.M Billets Reports'!D2344,SEARCH("-",'R.M Billets Reports'!D2344)+1,200)),""))&lt;&gt;"",IF(ISNUMBER(SEARCH("Party Name:-",'R.M Billets Reports'!D2344)),TRIM('R.M Billets Reports'!F2344),IF(ISNUMBER(SEARCH("Party Name-",'R.M Billets Reports'!D2344)),TRIM(MID('R.M Billets Reports'!D2344,SEARCH("-",'R.M Billets Reports'!D2344)+1,200)),"")),IF(ISNUMBER(SEARCH("Party Name:-",'R.M Billets Reports'!D2345)),TRIM('R.M Billets Reports'!F2345),IF(ISNUMBER(SEARCH("Party Name-",'R.M Billets Reports'!D2345)),TRIM(MID('R.M Billets Reports'!D2345,SEARCH("-",'R.M Billets Reports'!D2345)+1,200)),"")))="VRKP ISPAT PVT LTD","VRKP",IF(IF(IF(ISNUMBER(SEARCH("Party Name:-",'R.M Billets Reports'!D2344)),TRIM('R.M Billets Reports'!F2344),IF(ISNUMBER(SEARCH("Party Name-",'R.M Billets Reports'!D2344)),TRIM(MID('R.M Billets Reports'!D2344,SEARCH("-",'R.M Billets Reports'!D2344)+1,200)),""))&lt;&gt;"",IF(ISNUMBER(SEARCH("Party Name:-",'R.M Billets Reports'!D2344)),TRIM('R.M Billets Reports'!F2344),IF(ISNUMBER(SEARCH("Party Name-",'R.M Billets Reports'!D2344)),TRIM(MID('R.M Billets Reports'!D2344,SEARCH("-",'R.M Billets Reports'!D2344)+1,200)),"")),IF(ISNUMBER(SEARCH("Party Name:-",'R.M Billets Reports'!D2345)),TRIM('R.M Billets Reports'!F2345),IF(ISNUMBER(SEARCH("Party Name-",'R.M Billets Reports'!D2345)),TRIM(MID('R.M Billets Reports'!D2345,SEARCH("-",'R.M Billets Reports'!D2345)+1,200)),"")))="SHRI RADHE","SHREE RADHE",IF(IF(IF(ISNUMBER(SEARCH("Party Name:-",'R.M Billets Reports'!D2344)),TRIM('R.M Billets Reports'!F2344),IF(ISNUMBER(SEARCH("Party Name-",'R.M Billets Reports'!D2344)),TRIM(MID('R.M Billets Reports'!D2344,SEARCH("-",'R.M Billets Reports'!D2344)+1,200)),""))&lt;&gt;"",IF(ISNUMBER(SEARCH("Party Name:-",'R.M Billets Reports'!D2344)),TRIM('R.M Billets Reports'!F2344),IF(ISNUMBER(SEARCH("Party Name-",'R.M Billets Reports'!D2344)),TRIM(MID('R.M Billets Reports'!D2344,SEARCH("-",'R.M Billets Reports'!D2344)+1,200)),"")),IF(ISNUMBER(SEARCH("Party Name:-",'R.M Billets Reports'!D2345)),TRIM('R.M Billets Reports'!F2345),IF(ISNUMBER(SEARCH("Party Name-",'R.M Billets Reports'!D2345)),TRIM(MID('R.M Billets Reports'!D2345,SEARCH("-",'R.M Billets Reports'!D2345)+1,200)),"")))="SHREE RADHE SHAKTI SPONGE AND POWER PVT. LTD.","SHREE RADHE",IF(IF(ISNUMBER(SEARCH("Party Name:-",'R.M Billets Reports'!D2344)),TRIM('R.M Billets Reports'!F2344),IF(ISNUMBER(SEARCH("Party Name-",'R.M Billets Reports'!D2344)),TRIM(MID('R.M Billets Reports'!D2344,SEARCH("-",'R.M Billets Reports'!D2344)+1,200)),""))&lt;&gt;"",IF(ISNUMBER(SEARCH("Party Name:-",'R.M Billets Reports'!D2344)),TRIM('R.M Billets Reports'!F2344),IF(ISNUMBER(SEARCH("Party Name-",'R.M Billets Reports'!D2344)),TRIM(MID('R.M Billets Reports'!D2344,SEARCH("-",'R.M Billets Reports'!D2344)+1,200)),"")),IF(ISNUMBER(SEARCH("Party Name:-",'R.M Billets Reports'!D2345)),TRIM('R.M Billets Reports'!F2345),IF(ISNUMBER(SEARCH("Party Name-",'R.M Billets Reports'!D2345)),TRIM(MID('R.M Billets Reports'!D2345,SEARCH("-",'R.M Billets Reports'!D2345)+1,200)),"")))))),IF(ROW()=2,"",A2344))</f>
      </c>
      <c r="B2345">
        <f>IF(OR('R.M Billets Reports'!A2344="Date-",'R.M Billets Reports'!A2344="Date:-"),'R.M Billets Reports'!B2344,IF(ROW()=2,"",B2344))</f>
      </c>
      <c r="C2345">
        <f>IF('R.M Billets Reports'!A2344="V.No.",'R.M Billets Reports'!B2344,IF(ROW()=2,"",C2344))</f>
      </c>
      <c r="D2345">
        <f>IF('R.M Billets Reports'!A2344&lt;&gt;"",'R.M Billets Reports'!A2344,IF(ROW()=2,"",D2344))</f>
      </c>
      <c r="E2345">
        <f>IF('R.M Billets Reports'!B2344="","",TRIM('R.M Billets Reports'!B2344))</f>
      </c>
      <c r="F2345">
        <f>'R.M Billets Reports'!C2344</f>
      </c>
      <c r="G2345">
        <f>'R.M Billets Reports'!D2344</f>
      </c>
      <c r="H2345">
        <f>'R.M Billets Reports'!E2344</f>
      </c>
      <c r="I2345">
        <f>'R.M Billets Reports'!F2344</f>
      </c>
      <c r="J2345">
        <f>'R.M Billets Reports'!G2344</f>
      </c>
      <c r="K2345">
        <f>'R.M Billets Reports'!H2344</f>
      </c>
      <c r="L2345">
        <f>IF('R.M Billets Reports'!I2344="","",'R.M Billets Reports'!I2344)</f>
      </c>
      <c r="M2345">
        <f t="shared" si="72"/>
      </c>
      <c r="N2345">
        <f>IF('R.M Billets Reports'!J2344="","",'R.M Billets Reports'!J2344)</f>
      </c>
      <c r="O2345">
        <f t="shared" si="73"/>
      </c>
      <c r="P2345">
        <f>IF('R.M Billets Reports'!A2344="SIZE",'R.M Billets Reports'!B2344,P2344)</f>
      </c>
    </row>
    <row r="2346" spans="1:16" x14ac:dyDescent="0.25">
      <c r="A2346">
        <f>IF(OR('R.M Billets Reports'!A2345="Date-",'R.M Billets Reports'!A2345="Date:-"),IF(IF(IF(ISNUMBER(SEARCH("Party Name:-",'R.M Billets Reports'!D2345)),TRIM('R.M Billets Reports'!F2345),IF(ISNUMBER(SEARCH("Party Name-",'R.M Billets Reports'!D2345)),TRIM(MID('R.M Billets Reports'!D2345,SEARCH("-",'R.M Billets Reports'!D2345)+1,200)),""))&lt;&gt;"",IF(ISNUMBER(SEARCH("Party Name:-",'R.M Billets Reports'!D2345)),TRIM('R.M Billets Reports'!F2345),IF(ISNUMBER(SEARCH("Party Name-",'R.M Billets Reports'!D2345)),TRIM(MID('R.M Billets Reports'!D2345,SEARCH("-",'R.M Billets Reports'!D2345)+1,200)),"")),IF(ISNUMBER(SEARCH("Party Name:-",'R.M Billets Reports'!D2346)),TRIM('R.M Billets Reports'!F2346),IF(ISNUMBER(SEARCH("Party Name-",'R.M Billets Reports'!D2346)),TRIM(MID('R.M Billets Reports'!D2346,SEARCH("-",'R.M Billets Reports'!D2346)+1,200)),"")))="VRKP ISPAT PVT LTD","VRKP",IF(IF(IF(ISNUMBER(SEARCH("Party Name:-",'R.M Billets Reports'!D2345)),TRIM('R.M Billets Reports'!F2345),IF(ISNUMBER(SEARCH("Party Name-",'R.M Billets Reports'!D2345)),TRIM(MID('R.M Billets Reports'!D2345,SEARCH("-",'R.M Billets Reports'!D2345)+1,200)),""))&lt;&gt;"",IF(ISNUMBER(SEARCH("Party Name:-",'R.M Billets Reports'!D2345)),TRIM('R.M Billets Reports'!F2345),IF(ISNUMBER(SEARCH("Party Name-",'R.M Billets Reports'!D2345)),TRIM(MID('R.M Billets Reports'!D2345,SEARCH("-",'R.M Billets Reports'!D2345)+1,200)),"")),IF(ISNUMBER(SEARCH("Party Name:-",'R.M Billets Reports'!D2346)),TRIM('R.M Billets Reports'!F2346),IF(ISNUMBER(SEARCH("Party Name-",'R.M Billets Reports'!D2346)),TRIM(MID('R.M Billets Reports'!D2346,SEARCH("-",'R.M Billets Reports'!D2346)+1,200)),"")))="SHRI RADHE","SHREE RADHE",IF(IF(IF(ISNUMBER(SEARCH("Party Name:-",'R.M Billets Reports'!D2345)),TRIM('R.M Billets Reports'!F2345),IF(ISNUMBER(SEARCH("Party Name-",'R.M Billets Reports'!D2345)),TRIM(MID('R.M Billets Reports'!D2345,SEARCH("-",'R.M Billets Reports'!D2345)+1,200)),""))&lt;&gt;"",IF(ISNUMBER(SEARCH("Party Name:-",'R.M Billets Reports'!D2345)),TRIM('R.M Billets Reports'!F2345),IF(ISNUMBER(SEARCH("Party Name-",'R.M Billets Reports'!D2345)),TRIM(MID('R.M Billets Reports'!D2345,SEARCH("-",'R.M Billets Reports'!D2345)+1,200)),"")),IF(ISNUMBER(SEARCH("Party Name:-",'R.M Billets Reports'!D2346)),TRIM('R.M Billets Reports'!F2346),IF(ISNUMBER(SEARCH("Party Name-",'R.M Billets Reports'!D2346)),TRIM(MID('R.M Billets Reports'!D2346,SEARCH("-",'R.M Billets Reports'!D2346)+1,200)),"")))="SHREE RADHE SHAKTI SPONGE AND POWER PVT. LTD.","SHREE RADHE",IF(IF(ISNUMBER(SEARCH("Party Name:-",'R.M Billets Reports'!D2345)),TRIM('R.M Billets Reports'!F2345),IF(ISNUMBER(SEARCH("Party Name-",'R.M Billets Reports'!D2345)),TRIM(MID('R.M Billets Reports'!D2345,SEARCH("-",'R.M Billets Reports'!D2345)+1,200)),""))&lt;&gt;"",IF(ISNUMBER(SEARCH("Party Name:-",'R.M Billets Reports'!D2345)),TRIM('R.M Billets Reports'!F2345),IF(ISNUMBER(SEARCH("Party Name-",'R.M Billets Reports'!D2345)),TRIM(MID('R.M Billets Reports'!D2345,SEARCH("-",'R.M Billets Reports'!D2345)+1,200)),"")),IF(ISNUMBER(SEARCH("Party Name:-",'R.M Billets Reports'!D2346)),TRIM('R.M Billets Reports'!F2346),IF(ISNUMBER(SEARCH("Party Name-",'R.M Billets Reports'!D2346)),TRIM(MID('R.M Billets Reports'!D2346,SEARCH("-",'R.M Billets Reports'!D2346)+1,200)),"")))))),IF(ROW()=2,"",A2345))</f>
      </c>
      <c r="B2346">
        <f>IF(OR('R.M Billets Reports'!A2345="Date-",'R.M Billets Reports'!A2345="Date:-"),'R.M Billets Reports'!B2345,IF(ROW()=2,"",B2345))</f>
      </c>
      <c r="C2346">
        <f>IF('R.M Billets Reports'!A2345="V.No.",'R.M Billets Reports'!B2345,IF(ROW()=2,"",C2345))</f>
      </c>
      <c r="D2346">
        <f>IF('R.M Billets Reports'!A2345&lt;&gt;"",'R.M Billets Reports'!A2345,IF(ROW()=2,"",D2345))</f>
      </c>
      <c r="E2346">
        <f>IF('R.M Billets Reports'!B2345="","",TRIM('R.M Billets Reports'!B2345))</f>
      </c>
      <c r="F2346">
        <f>'R.M Billets Reports'!C2345</f>
      </c>
      <c r="G2346">
        <f>'R.M Billets Reports'!D2345</f>
      </c>
      <c r="H2346">
        <f>'R.M Billets Reports'!E2345</f>
      </c>
      <c r="I2346">
        <f>'R.M Billets Reports'!F2345</f>
      </c>
      <c r="J2346">
        <f>'R.M Billets Reports'!G2345</f>
      </c>
      <c r="K2346">
        <f>'R.M Billets Reports'!H2345</f>
      </c>
      <c r="L2346">
        <f>IF('R.M Billets Reports'!I2345="","",'R.M Billets Reports'!I2345)</f>
      </c>
      <c r="M2346">
        <f t="shared" si="72"/>
      </c>
      <c r="N2346">
        <f>IF('R.M Billets Reports'!J2345="","",'R.M Billets Reports'!J2345)</f>
      </c>
      <c r="O2346">
        <f t="shared" si="73"/>
      </c>
      <c r="P2346">
        <f>IF('R.M Billets Reports'!A2345="SIZE",'R.M Billets Reports'!B2345,P2345)</f>
      </c>
    </row>
    <row r="2347" spans="1:16" x14ac:dyDescent="0.25">
      <c r="A2347">
        <f>IF(OR('R.M Billets Reports'!A2346="Date-",'R.M Billets Reports'!A2346="Date:-"),IF(IF(IF(ISNUMBER(SEARCH("Party Name:-",'R.M Billets Reports'!D2346)),TRIM('R.M Billets Reports'!F2346),IF(ISNUMBER(SEARCH("Party Name-",'R.M Billets Reports'!D2346)),TRIM(MID('R.M Billets Reports'!D2346,SEARCH("-",'R.M Billets Reports'!D2346)+1,200)),""))&lt;&gt;"",IF(ISNUMBER(SEARCH("Party Name:-",'R.M Billets Reports'!D2346)),TRIM('R.M Billets Reports'!F2346),IF(ISNUMBER(SEARCH("Party Name-",'R.M Billets Reports'!D2346)),TRIM(MID('R.M Billets Reports'!D2346,SEARCH("-",'R.M Billets Reports'!D2346)+1,200)),"")),IF(ISNUMBER(SEARCH("Party Name:-",'R.M Billets Reports'!D2347)),TRIM('R.M Billets Reports'!F2347),IF(ISNUMBER(SEARCH("Party Name-",'R.M Billets Reports'!D2347)),TRIM(MID('R.M Billets Reports'!D2347,SEARCH("-",'R.M Billets Reports'!D2347)+1,200)),"")))="VRKP ISPAT PVT LTD","VRKP",IF(IF(IF(ISNUMBER(SEARCH("Party Name:-",'R.M Billets Reports'!D2346)),TRIM('R.M Billets Reports'!F2346),IF(ISNUMBER(SEARCH("Party Name-",'R.M Billets Reports'!D2346)),TRIM(MID('R.M Billets Reports'!D2346,SEARCH("-",'R.M Billets Reports'!D2346)+1,200)),""))&lt;&gt;"",IF(ISNUMBER(SEARCH("Party Name:-",'R.M Billets Reports'!D2346)),TRIM('R.M Billets Reports'!F2346),IF(ISNUMBER(SEARCH("Party Name-",'R.M Billets Reports'!D2346)),TRIM(MID('R.M Billets Reports'!D2346,SEARCH("-",'R.M Billets Reports'!D2346)+1,200)),"")),IF(ISNUMBER(SEARCH("Party Name:-",'R.M Billets Reports'!D2347)),TRIM('R.M Billets Reports'!F2347),IF(ISNUMBER(SEARCH("Party Name-",'R.M Billets Reports'!D2347)),TRIM(MID('R.M Billets Reports'!D2347,SEARCH("-",'R.M Billets Reports'!D2347)+1,200)),"")))="SHRI RADHE","SHREE RADHE",IF(IF(IF(ISNUMBER(SEARCH("Party Name:-",'R.M Billets Reports'!D2346)),TRIM('R.M Billets Reports'!F2346),IF(ISNUMBER(SEARCH("Party Name-",'R.M Billets Reports'!D2346)),TRIM(MID('R.M Billets Reports'!D2346,SEARCH("-",'R.M Billets Reports'!D2346)+1,200)),""))&lt;&gt;"",IF(ISNUMBER(SEARCH("Party Name:-",'R.M Billets Reports'!D2346)),TRIM('R.M Billets Reports'!F2346),IF(ISNUMBER(SEARCH("Party Name-",'R.M Billets Reports'!D2346)),TRIM(MID('R.M Billets Reports'!D2346,SEARCH("-",'R.M Billets Reports'!D2346)+1,200)),"")),IF(ISNUMBER(SEARCH("Party Name:-",'R.M Billets Reports'!D2347)),TRIM('R.M Billets Reports'!F2347),IF(ISNUMBER(SEARCH("Party Name-",'R.M Billets Reports'!D2347)),TRIM(MID('R.M Billets Reports'!D2347,SEARCH("-",'R.M Billets Reports'!D2347)+1,200)),"")))="SHREE RADHE SHAKTI SPONGE AND POWER PVT. LTD.","SHREE RADHE",IF(IF(ISNUMBER(SEARCH("Party Name:-",'R.M Billets Reports'!D2346)),TRIM('R.M Billets Reports'!F2346),IF(ISNUMBER(SEARCH("Party Name-",'R.M Billets Reports'!D2346)),TRIM(MID('R.M Billets Reports'!D2346,SEARCH("-",'R.M Billets Reports'!D2346)+1,200)),""))&lt;&gt;"",IF(ISNUMBER(SEARCH("Party Name:-",'R.M Billets Reports'!D2346)),TRIM('R.M Billets Reports'!F2346),IF(ISNUMBER(SEARCH("Party Name-",'R.M Billets Reports'!D2346)),TRIM(MID('R.M Billets Reports'!D2346,SEARCH("-",'R.M Billets Reports'!D2346)+1,200)),"")),IF(ISNUMBER(SEARCH("Party Name:-",'R.M Billets Reports'!D2347)),TRIM('R.M Billets Reports'!F2347),IF(ISNUMBER(SEARCH("Party Name-",'R.M Billets Reports'!D2347)),TRIM(MID('R.M Billets Reports'!D2347,SEARCH("-",'R.M Billets Reports'!D2347)+1,200)),"")))))),IF(ROW()=2,"",A2346))</f>
      </c>
      <c r="B2347">
        <f>IF(OR('R.M Billets Reports'!A2346="Date-",'R.M Billets Reports'!A2346="Date:-"),'R.M Billets Reports'!B2346,IF(ROW()=2,"",B2346))</f>
      </c>
      <c r="C2347">
        <f>IF('R.M Billets Reports'!A2346="V.No.",'R.M Billets Reports'!B2346,IF(ROW()=2,"",C2346))</f>
      </c>
      <c r="D2347">
        <f>IF('R.M Billets Reports'!A2346&lt;&gt;"",'R.M Billets Reports'!A2346,IF(ROW()=2,"",D2346))</f>
      </c>
      <c r="E2347">
        <f>IF('R.M Billets Reports'!B2346="","",TRIM('R.M Billets Reports'!B2346))</f>
      </c>
      <c r="F2347">
        <f>'R.M Billets Reports'!C2346</f>
      </c>
      <c r="G2347">
        <f>'R.M Billets Reports'!D2346</f>
      </c>
      <c r="H2347">
        <f>'R.M Billets Reports'!E2346</f>
      </c>
      <c r="I2347">
        <f>'R.M Billets Reports'!F2346</f>
      </c>
      <c r="J2347">
        <f>'R.M Billets Reports'!G2346</f>
      </c>
      <c r="K2347">
        <f>'R.M Billets Reports'!H2346</f>
      </c>
      <c r="L2347">
        <f>IF('R.M Billets Reports'!I2346="","",'R.M Billets Reports'!I2346)</f>
      </c>
      <c r="M2347">
        <f t="shared" si="72"/>
      </c>
      <c r="N2347">
        <f>IF('R.M Billets Reports'!J2346="","",'R.M Billets Reports'!J2346)</f>
      </c>
      <c r="O2347">
        <f t="shared" si="73"/>
      </c>
      <c r="P2347">
        <f>IF('R.M Billets Reports'!A2346="SIZE",'R.M Billets Reports'!B2346,P2346)</f>
      </c>
    </row>
    <row r="2348" spans="1:16" x14ac:dyDescent="0.25">
      <c r="A2348">
        <f>IF(OR('R.M Billets Reports'!A2347="Date-",'R.M Billets Reports'!A2347="Date:-"),IF(IF(IF(ISNUMBER(SEARCH("Party Name:-",'R.M Billets Reports'!D2347)),TRIM('R.M Billets Reports'!F2347),IF(ISNUMBER(SEARCH("Party Name-",'R.M Billets Reports'!D2347)),TRIM(MID('R.M Billets Reports'!D2347,SEARCH("-",'R.M Billets Reports'!D2347)+1,200)),""))&lt;&gt;"",IF(ISNUMBER(SEARCH("Party Name:-",'R.M Billets Reports'!D2347)),TRIM('R.M Billets Reports'!F2347),IF(ISNUMBER(SEARCH("Party Name-",'R.M Billets Reports'!D2347)),TRIM(MID('R.M Billets Reports'!D2347,SEARCH("-",'R.M Billets Reports'!D2347)+1,200)),"")),IF(ISNUMBER(SEARCH("Party Name:-",'R.M Billets Reports'!D2348)),TRIM('R.M Billets Reports'!F2348),IF(ISNUMBER(SEARCH("Party Name-",'R.M Billets Reports'!D2348)),TRIM(MID('R.M Billets Reports'!D2348,SEARCH("-",'R.M Billets Reports'!D2348)+1,200)),"")))="VRKP ISPAT PVT LTD","VRKP",IF(IF(IF(ISNUMBER(SEARCH("Party Name:-",'R.M Billets Reports'!D2347)),TRIM('R.M Billets Reports'!F2347),IF(ISNUMBER(SEARCH("Party Name-",'R.M Billets Reports'!D2347)),TRIM(MID('R.M Billets Reports'!D2347,SEARCH("-",'R.M Billets Reports'!D2347)+1,200)),""))&lt;&gt;"",IF(ISNUMBER(SEARCH("Party Name:-",'R.M Billets Reports'!D2347)),TRIM('R.M Billets Reports'!F2347),IF(ISNUMBER(SEARCH("Party Name-",'R.M Billets Reports'!D2347)),TRIM(MID('R.M Billets Reports'!D2347,SEARCH("-",'R.M Billets Reports'!D2347)+1,200)),"")),IF(ISNUMBER(SEARCH("Party Name:-",'R.M Billets Reports'!D2348)),TRIM('R.M Billets Reports'!F2348),IF(ISNUMBER(SEARCH("Party Name-",'R.M Billets Reports'!D2348)),TRIM(MID('R.M Billets Reports'!D2348,SEARCH("-",'R.M Billets Reports'!D2348)+1,200)),"")))="SHRI RADHE","SHREE RADHE",IF(IF(IF(ISNUMBER(SEARCH("Party Name:-",'R.M Billets Reports'!D2347)),TRIM('R.M Billets Reports'!F2347),IF(ISNUMBER(SEARCH("Party Name-",'R.M Billets Reports'!D2347)),TRIM(MID('R.M Billets Reports'!D2347,SEARCH("-",'R.M Billets Reports'!D2347)+1,200)),""))&lt;&gt;"",IF(ISNUMBER(SEARCH("Party Name:-",'R.M Billets Reports'!D2347)),TRIM('R.M Billets Reports'!F2347),IF(ISNUMBER(SEARCH("Party Name-",'R.M Billets Reports'!D2347)),TRIM(MID('R.M Billets Reports'!D2347,SEARCH("-",'R.M Billets Reports'!D2347)+1,200)),"")),IF(ISNUMBER(SEARCH("Party Name:-",'R.M Billets Reports'!D2348)),TRIM('R.M Billets Reports'!F2348),IF(ISNUMBER(SEARCH("Party Name-",'R.M Billets Reports'!D2348)),TRIM(MID('R.M Billets Reports'!D2348,SEARCH("-",'R.M Billets Reports'!D2348)+1,200)),"")))="SHREE RADHE SHAKTI SPONGE AND POWER PVT. LTD.","SHREE RADHE",IF(IF(ISNUMBER(SEARCH("Party Name:-",'R.M Billets Reports'!D2347)),TRIM('R.M Billets Reports'!F2347),IF(ISNUMBER(SEARCH("Party Name-",'R.M Billets Reports'!D2347)),TRIM(MID('R.M Billets Reports'!D2347,SEARCH("-",'R.M Billets Reports'!D2347)+1,200)),""))&lt;&gt;"",IF(ISNUMBER(SEARCH("Party Name:-",'R.M Billets Reports'!D2347)),TRIM('R.M Billets Reports'!F2347),IF(ISNUMBER(SEARCH("Party Name-",'R.M Billets Reports'!D2347)),TRIM(MID('R.M Billets Reports'!D2347,SEARCH("-",'R.M Billets Reports'!D2347)+1,200)),"")),IF(ISNUMBER(SEARCH("Party Name:-",'R.M Billets Reports'!D2348)),TRIM('R.M Billets Reports'!F2348),IF(ISNUMBER(SEARCH("Party Name-",'R.M Billets Reports'!D2348)),TRIM(MID('R.M Billets Reports'!D2348,SEARCH("-",'R.M Billets Reports'!D2348)+1,200)),"")))))),IF(ROW()=2,"",A2347))</f>
      </c>
      <c r="B2348">
        <f>IF(OR('R.M Billets Reports'!A2347="Date-",'R.M Billets Reports'!A2347="Date:-"),'R.M Billets Reports'!B2347,IF(ROW()=2,"",B2347))</f>
      </c>
      <c r="C2348">
        <f>IF('R.M Billets Reports'!A2347="V.No.",'R.M Billets Reports'!B2347,IF(ROW()=2,"",C2347))</f>
      </c>
      <c r="D2348">
        <f>IF('R.M Billets Reports'!A2347&lt;&gt;"",'R.M Billets Reports'!A2347,IF(ROW()=2,"",D2347))</f>
      </c>
      <c r="E2348">
        <f>IF('R.M Billets Reports'!B2347="","",TRIM('R.M Billets Reports'!B2347))</f>
      </c>
      <c r="F2348">
        <f>'R.M Billets Reports'!C2347</f>
      </c>
      <c r="G2348">
        <f>'R.M Billets Reports'!D2347</f>
      </c>
      <c r="H2348">
        <f>'R.M Billets Reports'!E2347</f>
      </c>
      <c r="I2348">
        <f>'R.M Billets Reports'!F2347</f>
      </c>
      <c r="J2348">
        <f>'R.M Billets Reports'!G2347</f>
      </c>
      <c r="K2348">
        <f>'R.M Billets Reports'!H2347</f>
      </c>
      <c r="L2348">
        <f>IF('R.M Billets Reports'!I2347="","",'R.M Billets Reports'!I2347)</f>
      </c>
      <c r="M2348">
        <f t="shared" si="72"/>
      </c>
      <c r="N2348">
        <f>IF('R.M Billets Reports'!J2347="","",'R.M Billets Reports'!J2347)</f>
      </c>
      <c r="O2348">
        <f t="shared" si="73"/>
      </c>
      <c r="P2348">
        <f>IF('R.M Billets Reports'!A2347="SIZE",'R.M Billets Reports'!B2347,P2347)</f>
      </c>
    </row>
    <row r="2349" spans="1:16" x14ac:dyDescent="0.25">
      <c r="A2349">
        <f>IF(OR('R.M Billets Reports'!A2348="Date-",'R.M Billets Reports'!A2348="Date:-"),IF(IF(IF(ISNUMBER(SEARCH("Party Name:-",'R.M Billets Reports'!D2348)),TRIM('R.M Billets Reports'!F2348),IF(ISNUMBER(SEARCH("Party Name-",'R.M Billets Reports'!D2348)),TRIM(MID('R.M Billets Reports'!D2348,SEARCH("-",'R.M Billets Reports'!D2348)+1,200)),""))&lt;&gt;"",IF(ISNUMBER(SEARCH("Party Name:-",'R.M Billets Reports'!D2348)),TRIM('R.M Billets Reports'!F2348),IF(ISNUMBER(SEARCH("Party Name-",'R.M Billets Reports'!D2348)),TRIM(MID('R.M Billets Reports'!D2348,SEARCH("-",'R.M Billets Reports'!D2348)+1,200)),"")),IF(ISNUMBER(SEARCH("Party Name:-",'R.M Billets Reports'!D2349)),TRIM('R.M Billets Reports'!F2349),IF(ISNUMBER(SEARCH("Party Name-",'R.M Billets Reports'!D2349)),TRIM(MID('R.M Billets Reports'!D2349,SEARCH("-",'R.M Billets Reports'!D2349)+1,200)),"")))="VRKP ISPAT PVT LTD","VRKP",IF(IF(IF(ISNUMBER(SEARCH("Party Name:-",'R.M Billets Reports'!D2348)),TRIM('R.M Billets Reports'!F2348),IF(ISNUMBER(SEARCH("Party Name-",'R.M Billets Reports'!D2348)),TRIM(MID('R.M Billets Reports'!D2348,SEARCH("-",'R.M Billets Reports'!D2348)+1,200)),""))&lt;&gt;"",IF(ISNUMBER(SEARCH("Party Name:-",'R.M Billets Reports'!D2348)),TRIM('R.M Billets Reports'!F2348),IF(ISNUMBER(SEARCH("Party Name-",'R.M Billets Reports'!D2348)),TRIM(MID('R.M Billets Reports'!D2348,SEARCH("-",'R.M Billets Reports'!D2348)+1,200)),"")),IF(ISNUMBER(SEARCH("Party Name:-",'R.M Billets Reports'!D2349)),TRIM('R.M Billets Reports'!F2349),IF(ISNUMBER(SEARCH("Party Name-",'R.M Billets Reports'!D2349)),TRIM(MID('R.M Billets Reports'!D2349,SEARCH("-",'R.M Billets Reports'!D2349)+1,200)),"")))="SHRI RADHE","SHREE RADHE",IF(IF(IF(ISNUMBER(SEARCH("Party Name:-",'R.M Billets Reports'!D2348)),TRIM('R.M Billets Reports'!F2348),IF(ISNUMBER(SEARCH("Party Name-",'R.M Billets Reports'!D2348)),TRIM(MID('R.M Billets Reports'!D2348,SEARCH("-",'R.M Billets Reports'!D2348)+1,200)),""))&lt;&gt;"",IF(ISNUMBER(SEARCH("Party Name:-",'R.M Billets Reports'!D2348)),TRIM('R.M Billets Reports'!F2348),IF(ISNUMBER(SEARCH("Party Name-",'R.M Billets Reports'!D2348)),TRIM(MID('R.M Billets Reports'!D2348,SEARCH("-",'R.M Billets Reports'!D2348)+1,200)),"")),IF(ISNUMBER(SEARCH("Party Name:-",'R.M Billets Reports'!D2349)),TRIM('R.M Billets Reports'!F2349),IF(ISNUMBER(SEARCH("Party Name-",'R.M Billets Reports'!D2349)),TRIM(MID('R.M Billets Reports'!D2349,SEARCH("-",'R.M Billets Reports'!D2349)+1,200)),"")))="SHREE RADHE SHAKTI SPONGE AND POWER PVT. LTD.","SHREE RADHE",IF(IF(ISNUMBER(SEARCH("Party Name:-",'R.M Billets Reports'!D2348)),TRIM('R.M Billets Reports'!F2348),IF(ISNUMBER(SEARCH("Party Name-",'R.M Billets Reports'!D2348)),TRIM(MID('R.M Billets Reports'!D2348,SEARCH("-",'R.M Billets Reports'!D2348)+1,200)),""))&lt;&gt;"",IF(ISNUMBER(SEARCH("Party Name:-",'R.M Billets Reports'!D2348)),TRIM('R.M Billets Reports'!F2348),IF(ISNUMBER(SEARCH("Party Name-",'R.M Billets Reports'!D2348)),TRIM(MID('R.M Billets Reports'!D2348,SEARCH("-",'R.M Billets Reports'!D2348)+1,200)),"")),IF(ISNUMBER(SEARCH("Party Name:-",'R.M Billets Reports'!D2349)),TRIM('R.M Billets Reports'!F2349),IF(ISNUMBER(SEARCH("Party Name-",'R.M Billets Reports'!D2349)),TRIM(MID('R.M Billets Reports'!D2349,SEARCH("-",'R.M Billets Reports'!D2349)+1,200)),"")))))),IF(ROW()=2,"",A2348))</f>
      </c>
      <c r="B2349">
        <f>IF(OR('R.M Billets Reports'!A2348="Date-",'R.M Billets Reports'!A2348="Date:-"),'R.M Billets Reports'!B2348,IF(ROW()=2,"",B2348))</f>
      </c>
      <c r="C2349">
        <f>IF('R.M Billets Reports'!A2348="V.No.",'R.M Billets Reports'!B2348,IF(ROW()=2,"",C2348))</f>
      </c>
      <c r="D2349">
        <f>IF('R.M Billets Reports'!A2348&lt;&gt;"",'R.M Billets Reports'!A2348,IF(ROW()=2,"",D2348))</f>
      </c>
      <c r="E2349">
        <f>IF('R.M Billets Reports'!B2348="","",TRIM('R.M Billets Reports'!B2348))</f>
      </c>
      <c r="F2349">
        <f>'R.M Billets Reports'!C2348</f>
      </c>
      <c r="G2349">
        <f>'R.M Billets Reports'!D2348</f>
      </c>
      <c r="H2349">
        <f>'R.M Billets Reports'!E2348</f>
      </c>
      <c r="I2349">
        <f>'R.M Billets Reports'!F2348</f>
      </c>
      <c r="J2349">
        <f>'R.M Billets Reports'!G2348</f>
      </c>
      <c r="K2349">
        <f>'R.M Billets Reports'!H2348</f>
      </c>
      <c r="L2349">
        <f>IF('R.M Billets Reports'!I2348="","",'R.M Billets Reports'!I2348)</f>
      </c>
      <c r="M2349">
        <f t="shared" si="72"/>
      </c>
      <c r="N2349">
        <f>IF('R.M Billets Reports'!J2348="","",'R.M Billets Reports'!J2348)</f>
      </c>
      <c r="O2349">
        <f t="shared" si="73"/>
      </c>
      <c r="P2349">
        <f>IF('R.M Billets Reports'!A2348="SIZE",'R.M Billets Reports'!B2348,P2348)</f>
      </c>
    </row>
    <row r="2350" spans="1:16" x14ac:dyDescent="0.25">
      <c r="A2350">
        <f>IF(OR('R.M Billets Reports'!A2349="Date-",'R.M Billets Reports'!A2349="Date:-"),IF(IF(IF(ISNUMBER(SEARCH("Party Name:-",'R.M Billets Reports'!D2349)),TRIM('R.M Billets Reports'!F2349),IF(ISNUMBER(SEARCH("Party Name-",'R.M Billets Reports'!D2349)),TRIM(MID('R.M Billets Reports'!D2349,SEARCH("-",'R.M Billets Reports'!D2349)+1,200)),""))&lt;&gt;"",IF(ISNUMBER(SEARCH("Party Name:-",'R.M Billets Reports'!D2349)),TRIM('R.M Billets Reports'!F2349),IF(ISNUMBER(SEARCH("Party Name-",'R.M Billets Reports'!D2349)),TRIM(MID('R.M Billets Reports'!D2349,SEARCH("-",'R.M Billets Reports'!D2349)+1,200)),"")),IF(ISNUMBER(SEARCH("Party Name:-",'R.M Billets Reports'!D2350)),TRIM('R.M Billets Reports'!F2350),IF(ISNUMBER(SEARCH("Party Name-",'R.M Billets Reports'!D2350)),TRIM(MID('R.M Billets Reports'!D2350,SEARCH("-",'R.M Billets Reports'!D2350)+1,200)),"")))="VRKP ISPAT PVT LTD","VRKP",IF(IF(IF(ISNUMBER(SEARCH("Party Name:-",'R.M Billets Reports'!D2349)),TRIM('R.M Billets Reports'!F2349),IF(ISNUMBER(SEARCH("Party Name-",'R.M Billets Reports'!D2349)),TRIM(MID('R.M Billets Reports'!D2349,SEARCH("-",'R.M Billets Reports'!D2349)+1,200)),""))&lt;&gt;"",IF(ISNUMBER(SEARCH("Party Name:-",'R.M Billets Reports'!D2349)),TRIM('R.M Billets Reports'!F2349),IF(ISNUMBER(SEARCH("Party Name-",'R.M Billets Reports'!D2349)),TRIM(MID('R.M Billets Reports'!D2349,SEARCH("-",'R.M Billets Reports'!D2349)+1,200)),"")),IF(ISNUMBER(SEARCH("Party Name:-",'R.M Billets Reports'!D2350)),TRIM('R.M Billets Reports'!F2350),IF(ISNUMBER(SEARCH("Party Name-",'R.M Billets Reports'!D2350)),TRIM(MID('R.M Billets Reports'!D2350,SEARCH("-",'R.M Billets Reports'!D2350)+1,200)),"")))="SHRI RADHE","SHREE RADHE",IF(IF(IF(ISNUMBER(SEARCH("Party Name:-",'R.M Billets Reports'!D2349)),TRIM('R.M Billets Reports'!F2349),IF(ISNUMBER(SEARCH("Party Name-",'R.M Billets Reports'!D2349)),TRIM(MID('R.M Billets Reports'!D2349,SEARCH("-",'R.M Billets Reports'!D2349)+1,200)),""))&lt;&gt;"",IF(ISNUMBER(SEARCH("Party Name:-",'R.M Billets Reports'!D2349)),TRIM('R.M Billets Reports'!F2349),IF(ISNUMBER(SEARCH("Party Name-",'R.M Billets Reports'!D2349)),TRIM(MID('R.M Billets Reports'!D2349,SEARCH("-",'R.M Billets Reports'!D2349)+1,200)),"")),IF(ISNUMBER(SEARCH("Party Name:-",'R.M Billets Reports'!D2350)),TRIM('R.M Billets Reports'!F2350),IF(ISNUMBER(SEARCH("Party Name-",'R.M Billets Reports'!D2350)),TRIM(MID('R.M Billets Reports'!D2350,SEARCH("-",'R.M Billets Reports'!D2350)+1,200)),"")))="SHREE RADHE SHAKTI SPONGE AND POWER PVT. LTD.","SHREE RADHE",IF(IF(ISNUMBER(SEARCH("Party Name:-",'R.M Billets Reports'!D2349)),TRIM('R.M Billets Reports'!F2349),IF(ISNUMBER(SEARCH("Party Name-",'R.M Billets Reports'!D2349)),TRIM(MID('R.M Billets Reports'!D2349,SEARCH("-",'R.M Billets Reports'!D2349)+1,200)),""))&lt;&gt;"",IF(ISNUMBER(SEARCH("Party Name:-",'R.M Billets Reports'!D2349)),TRIM('R.M Billets Reports'!F2349),IF(ISNUMBER(SEARCH("Party Name-",'R.M Billets Reports'!D2349)),TRIM(MID('R.M Billets Reports'!D2349,SEARCH("-",'R.M Billets Reports'!D2349)+1,200)),"")),IF(ISNUMBER(SEARCH("Party Name:-",'R.M Billets Reports'!D2350)),TRIM('R.M Billets Reports'!F2350),IF(ISNUMBER(SEARCH("Party Name-",'R.M Billets Reports'!D2350)),TRIM(MID('R.M Billets Reports'!D2350,SEARCH("-",'R.M Billets Reports'!D2350)+1,200)),"")))))),IF(ROW()=2,"",A2349))</f>
      </c>
      <c r="B2350">
        <f>IF(OR('R.M Billets Reports'!A2349="Date-",'R.M Billets Reports'!A2349="Date:-"),'R.M Billets Reports'!B2349,IF(ROW()=2,"",B2349))</f>
      </c>
      <c r="C2350">
        <f>IF('R.M Billets Reports'!A2349="V.No.",'R.M Billets Reports'!B2349,IF(ROW()=2,"",C2349))</f>
      </c>
      <c r="D2350">
        <f>IF('R.M Billets Reports'!A2349&lt;&gt;"",'R.M Billets Reports'!A2349,IF(ROW()=2,"",D2349))</f>
      </c>
      <c r="E2350">
        <f>IF('R.M Billets Reports'!B2349="","",TRIM('R.M Billets Reports'!B2349))</f>
      </c>
      <c r="F2350">
        <f>'R.M Billets Reports'!C2349</f>
      </c>
      <c r="G2350">
        <f>'R.M Billets Reports'!D2349</f>
      </c>
      <c r="H2350">
        <f>'R.M Billets Reports'!E2349</f>
      </c>
      <c r="I2350">
        <f>'R.M Billets Reports'!F2349</f>
      </c>
      <c r="J2350">
        <f>'R.M Billets Reports'!G2349</f>
      </c>
      <c r="K2350">
        <f>'R.M Billets Reports'!H2349</f>
      </c>
      <c r="L2350">
        <f>IF('R.M Billets Reports'!I2349="","",'R.M Billets Reports'!I2349)</f>
      </c>
      <c r="M2350">
        <f t="shared" si="72"/>
      </c>
      <c r="N2350">
        <f>IF('R.M Billets Reports'!J2349="","",'R.M Billets Reports'!J2349)</f>
      </c>
      <c r="O2350">
        <f t="shared" si="73"/>
      </c>
      <c r="P2350">
        <f>IF('R.M Billets Reports'!A2349="SIZE",'R.M Billets Reports'!B2349,P2349)</f>
      </c>
    </row>
    <row r="2351" spans="1:16" x14ac:dyDescent="0.25">
      <c r="A2351">
        <f>IF(OR('R.M Billets Reports'!A2350="Date-",'R.M Billets Reports'!A2350="Date:-"),IF(IF(IF(ISNUMBER(SEARCH("Party Name:-",'R.M Billets Reports'!D2350)),TRIM('R.M Billets Reports'!F2350),IF(ISNUMBER(SEARCH("Party Name-",'R.M Billets Reports'!D2350)),TRIM(MID('R.M Billets Reports'!D2350,SEARCH("-",'R.M Billets Reports'!D2350)+1,200)),""))&lt;&gt;"",IF(ISNUMBER(SEARCH("Party Name:-",'R.M Billets Reports'!D2350)),TRIM('R.M Billets Reports'!F2350),IF(ISNUMBER(SEARCH("Party Name-",'R.M Billets Reports'!D2350)),TRIM(MID('R.M Billets Reports'!D2350,SEARCH("-",'R.M Billets Reports'!D2350)+1,200)),"")),IF(ISNUMBER(SEARCH("Party Name:-",'R.M Billets Reports'!D2351)),TRIM('R.M Billets Reports'!F2351),IF(ISNUMBER(SEARCH("Party Name-",'R.M Billets Reports'!D2351)),TRIM(MID('R.M Billets Reports'!D2351,SEARCH("-",'R.M Billets Reports'!D2351)+1,200)),"")))="VRKP ISPAT PVT LTD","VRKP",IF(IF(IF(ISNUMBER(SEARCH("Party Name:-",'R.M Billets Reports'!D2350)),TRIM('R.M Billets Reports'!F2350),IF(ISNUMBER(SEARCH("Party Name-",'R.M Billets Reports'!D2350)),TRIM(MID('R.M Billets Reports'!D2350,SEARCH("-",'R.M Billets Reports'!D2350)+1,200)),""))&lt;&gt;"",IF(ISNUMBER(SEARCH("Party Name:-",'R.M Billets Reports'!D2350)),TRIM('R.M Billets Reports'!F2350),IF(ISNUMBER(SEARCH("Party Name-",'R.M Billets Reports'!D2350)),TRIM(MID('R.M Billets Reports'!D2350,SEARCH("-",'R.M Billets Reports'!D2350)+1,200)),"")),IF(ISNUMBER(SEARCH("Party Name:-",'R.M Billets Reports'!D2351)),TRIM('R.M Billets Reports'!F2351),IF(ISNUMBER(SEARCH("Party Name-",'R.M Billets Reports'!D2351)),TRIM(MID('R.M Billets Reports'!D2351,SEARCH("-",'R.M Billets Reports'!D2351)+1,200)),"")))="SHRI RADHE","SHREE RADHE",IF(IF(IF(ISNUMBER(SEARCH("Party Name:-",'R.M Billets Reports'!D2350)),TRIM('R.M Billets Reports'!F2350),IF(ISNUMBER(SEARCH("Party Name-",'R.M Billets Reports'!D2350)),TRIM(MID('R.M Billets Reports'!D2350,SEARCH("-",'R.M Billets Reports'!D2350)+1,200)),""))&lt;&gt;"",IF(ISNUMBER(SEARCH("Party Name:-",'R.M Billets Reports'!D2350)),TRIM('R.M Billets Reports'!F2350),IF(ISNUMBER(SEARCH("Party Name-",'R.M Billets Reports'!D2350)),TRIM(MID('R.M Billets Reports'!D2350,SEARCH("-",'R.M Billets Reports'!D2350)+1,200)),"")),IF(ISNUMBER(SEARCH("Party Name:-",'R.M Billets Reports'!D2351)),TRIM('R.M Billets Reports'!F2351),IF(ISNUMBER(SEARCH("Party Name-",'R.M Billets Reports'!D2351)),TRIM(MID('R.M Billets Reports'!D2351,SEARCH("-",'R.M Billets Reports'!D2351)+1,200)),"")))="SHREE RADHE SHAKTI SPONGE AND POWER PVT. LTD.","SHREE RADHE",IF(IF(ISNUMBER(SEARCH("Party Name:-",'R.M Billets Reports'!D2350)),TRIM('R.M Billets Reports'!F2350),IF(ISNUMBER(SEARCH("Party Name-",'R.M Billets Reports'!D2350)),TRIM(MID('R.M Billets Reports'!D2350,SEARCH("-",'R.M Billets Reports'!D2350)+1,200)),""))&lt;&gt;"",IF(ISNUMBER(SEARCH("Party Name:-",'R.M Billets Reports'!D2350)),TRIM('R.M Billets Reports'!F2350),IF(ISNUMBER(SEARCH("Party Name-",'R.M Billets Reports'!D2350)),TRIM(MID('R.M Billets Reports'!D2350,SEARCH("-",'R.M Billets Reports'!D2350)+1,200)),"")),IF(ISNUMBER(SEARCH("Party Name:-",'R.M Billets Reports'!D2351)),TRIM('R.M Billets Reports'!F2351),IF(ISNUMBER(SEARCH("Party Name-",'R.M Billets Reports'!D2351)),TRIM(MID('R.M Billets Reports'!D2351,SEARCH("-",'R.M Billets Reports'!D2351)+1,200)),"")))))),IF(ROW()=2,"",A2350))</f>
      </c>
      <c r="B2351">
        <f>IF(OR('R.M Billets Reports'!A2350="Date-",'R.M Billets Reports'!A2350="Date:-"),'R.M Billets Reports'!B2350,IF(ROW()=2,"",B2350))</f>
      </c>
      <c r="C2351">
        <f>IF('R.M Billets Reports'!A2350="V.No.",'R.M Billets Reports'!B2350,IF(ROW()=2,"",C2350))</f>
      </c>
      <c r="D2351">
        <f>IF('R.M Billets Reports'!A2350&lt;&gt;"",'R.M Billets Reports'!A2350,IF(ROW()=2,"",D2350))</f>
      </c>
      <c r="E2351">
        <f>IF('R.M Billets Reports'!B2350="","",TRIM('R.M Billets Reports'!B2350))</f>
      </c>
      <c r="F2351">
        <f>'R.M Billets Reports'!C2350</f>
      </c>
      <c r="G2351">
        <f>'R.M Billets Reports'!D2350</f>
      </c>
      <c r="H2351">
        <f>'R.M Billets Reports'!E2350</f>
      </c>
      <c r="I2351">
        <f>'R.M Billets Reports'!F2350</f>
      </c>
      <c r="J2351">
        <f>'R.M Billets Reports'!G2350</f>
      </c>
      <c r="K2351">
        <f>'R.M Billets Reports'!H2350</f>
      </c>
      <c r="L2351">
        <f>IF('R.M Billets Reports'!I2350="","",'R.M Billets Reports'!I2350)</f>
      </c>
      <c r="M2351">
        <f t="shared" si="72"/>
      </c>
      <c r="N2351">
        <f>IF('R.M Billets Reports'!J2350="","",'R.M Billets Reports'!J2350)</f>
      </c>
      <c r="O2351">
        <f t="shared" si="73"/>
      </c>
      <c r="P2351">
        <f>IF('R.M Billets Reports'!A2350="SIZE",'R.M Billets Reports'!B2350,P2350)</f>
      </c>
    </row>
    <row r="2352" spans="1:16" x14ac:dyDescent="0.25">
      <c r="A2352">
        <f>IF(OR('R.M Billets Reports'!A2351="Date-",'R.M Billets Reports'!A2351="Date:-"),IF(IF(IF(ISNUMBER(SEARCH("Party Name:-",'R.M Billets Reports'!D2351)),TRIM('R.M Billets Reports'!F2351),IF(ISNUMBER(SEARCH("Party Name-",'R.M Billets Reports'!D2351)),TRIM(MID('R.M Billets Reports'!D2351,SEARCH("-",'R.M Billets Reports'!D2351)+1,200)),""))&lt;&gt;"",IF(ISNUMBER(SEARCH("Party Name:-",'R.M Billets Reports'!D2351)),TRIM('R.M Billets Reports'!F2351),IF(ISNUMBER(SEARCH("Party Name-",'R.M Billets Reports'!D2351)),TRIM(MID('R.M Billets Reports'!D2351,SEARCH("-",'R.M Billets Reports'!D2351)+1,200)),"")),IF(ISNUMBER(SEARCH("Party Name:-",'R.M Billets Reports'!D2352)),TRIM('R.M Billets Reports'!F2352),IF(ISNUMBER(SEARCH("Party Name-",'R.M Billets Reports'!D2352)),TRIM(MID('R.M Billets Reports'!D2352,SEARCH("-",'R.M Billets Reports'!D2352)+1,200)),"")))="VRKP ISPAT PVT LTD","VRKP",IF(IF(IF(ISNUMBER(SEARCH("Party Name:-",'R.M Billets Reports'!D2351)),TRIM('R.M Billets Reports'!F2351),IF(ISNUMBER(SEARCH("Party Name-",'R.M Billets Reports'!D2351)),TRIM(MID('R.M Billets Reports'!D2351,SEARCH("-",'R.M Billets Reports'!D2351)+1,200)),""))&lt;&gt;"",IF(ISNUMBER(SEARCH("Party Name:-",'R.M Billets Reports'!D2351)),TRIM('R.M Billets Reports'!F2351),IF(ISNUMBER(SEARCH("Party Name-",'R.M Billets Reports'!D2351)),TRIM(MID('R.M Billets Reports'!D2351,SEARCH("-",'R.M Billets Reports'!D2351)+1,200)),"")),IF(ISNUMBER(SEARCH("Party Name:-",'R.M Billets Reports'!D2352)),TRIM('R.M Billets Reports'!F2352),IF(ISNUMBER(SEARCH("Party Name-",'R.M Billets Reports'!D2352)),TRIM(MID('R.M Billets Reports'!D2352,SEARCH("-",'R.M Billets Reports'!D2352)+1,200)),"")))="SHRI RADHE","SHREE RADHE",IF(IF(IF(ISNUMBER(SEARCH("Party Name:-",'R.M Billets Reports'!D2351)),TRIM('R.M Billets Reports'!F2351),IF(ISNUMBER(SEARCH("Party Name-",'R.M Billets Reports'!D2351)),TRIM(MID('R.M Billets Reports'!D2351,SEARCH("-",'R.M Billets Reports'!D2351)+1,200)),""))&lt;&gt;"",IF(ISNUMBER(SEARCH("Party Name:-",'R.M Billets Reports'!D2351)),TRIM('R.M Billets Reports'!F2351),IF(ISNUMBER(SEARCH("Party Name-",'R.M Billets Reports'!D2351)),TRIM(MID('R.M Billets Reports'!D2351,SEARCH("-",'R.M Billets Reports'!D2351)+1,200)),"")),IF(ISNUMBER(SEARCH("Party Name:-",'R.M Billets Reports'!D2352)),TRIM('R.M Billets Reports'!F2352),IF(ISNUMBER(SEARCH("Party Name-",'R.M Billets Reports'!D2352)),TRIM(MID('R.M Billets Reports'!D2352,SEARCH("-",'R.M Billets Reports'!D2352)+1,200)),"")))="SHREE RADHE SHAKTI SPONGE AND POWER PVT. LTD.","SHREE RADHE",IF(IF(ISNUMBER(SEARCH("Party Name:-",'R.M Billets Reports'!D2351)),TRIM('R.M Billets Reports'!F2351),IF(ISNUMBER(SEARCH("Party Name-",'R.M Billets Reports'!D2351)),TRIM(MID('R.M Billets Reports'!D2351,SEARCH("-",'R.M Billets Reports'!D2351)+1,200)),""))&lt;&gt;"",IF(ISNUMBER(SEARCH("Party Name:-",'R.M Billets Reports'!D2351)),TRIM('R.M Billets Reports'!F2351),IF(ISNUMBER(SEARCH("Party Name-",'R.M Billets Reports'!D2351)),TRIM(MID('R.M Billets Reports'!D2351,SEARCH("-",'R.M Billets Reports'!D2351)+1,200)),"")),IF(ISNUMBER(SEARCH("Party Name:-",'R.M Billets Reports'!D2352)),TRIM('R.M Billets Reports'!F2352),IF(ISNUMBER(SEARCH("Party Name-",'R.M Billets Reports'!D2352)),TRIM(MID('R.M Billets Reports'!D2352,SEARCH("-",'R.M Billets Reports'!D2352)+1,200)),"")))))),IF(ROW()=2,"",A2351))</f>
      </c>
      <c r="B2352">
        <f>IF(OR('R.M Billets Reports'!A2351="Date-",'R.M Billets Reports'!A2351="Date:-"),'R.M Billets Reports'!B2351,IF(ROW()=2,"",B2351))</f>
      </c>
      <c r="C2352">
        <f>IF('R.M Billets Reports'!A2351="V.No.",'R.M Billets Reports'!B2351,IF(ROW()=2,"",C2351))</f>
      </c>
      <c r="D2352">
        <f>IF('R.M Billets Reports'!A2351&lt;&gt;"",'R.M Billets Reports'!A2351,IF(ROW()=2,"",D2351))</f>
      </c>
      <c r="E2352">
        <f>IF('R.M Billets Reports'!B2351="","",TRIM('R.M Billets Reports'!B2351))</f>
      </c>
      <c r="F2352">
        <f>'R.M Billets Reports'!C2351</f>
      </c>
      <c r="G2352">
        <f>'R.M Billets Reports'!D2351</f>
      </c>
      <c r="H2352">
        <f>'R.M Billets Reports'!E2351</f>
      </c>
      <c r="I2352">
        <f>'R.M Billets Reports'!F2351</f>
      </c>
      <c r="J2352">
        <f>'R.M Billets Reports'!G2351</f>
      </c>
      <c r="K2352">
        <f>'R.M Billets Reports'!H2351</f>
      </c>
      <c r="L2352">
        <f>IF('R.M Billets Reports'!I2351="","",'R.M Billets Reports'!I2351)</f>
      </c>
      <c r="M2352">
        <f t="shared" si="72"/>
      </c>
      <c r="N2352">
        <f>IF('R.M Billets Reports'!J2351="","",'R.M Billets Reports'!J2351)</f>
      </c>
      <c r="O2352">
        <f t="shared" si="73"/>
      </c>
      <c r="P2352">
        <f>IF('R.M Billets Reports'!A2351="SIZE",'R.M Billets Reports'!B2351,P2351)</f>
      </c>
    </row>
    <row r="2353" spans="1:16" x14ac:dyDescent="0.25">
      <c r="A2353">
        <f>IF(OR('R.M Billets Reports'!A2352="Date-",'R.M Billets Reports'!A2352="Date:-"),IF(IF(IF(ISNUMBER(SEARCH("Party Name:-",'R.M Billets Reports'!D2352)),TRIM('R.M Billets Reports'!F2352),IF(ISNUMBER(SEARCH("Party Name-",'R.M Billets Reports'!D2352)),TRIM(MID('R.M Billets Reports'!D2352,SEARCH("-",'R.M Billets Reports'!D2352)+1,200)),""))&lt;&gt;"",IF(ISNUMBER(SEARCH("Party Name:-",'R.M Billets Reports'!D2352)),TRIM('R.M Billets Reports'!F2352),IF(ISNUMBER(SEARCH("Party Name-",'R.M Billets Reports'!D2352)),TRIM(MID('R.M Billets Reports'!D2352,SEARCH("-",'R.M Billets Reports'!D2352)+1,200)),"")),IF(ISNUMBER(SEARCH("Party Name:-",'R.M Billets Reports'!D2353)),TRIM('R.M Billets Reports'!F2353),IF(ISNUMBER(SEARCH("Party Name-",'R.M Billets Reports'!D2353)),TRIM(MID('R.M Billets Reports'!D2353,SEARCH("-",'R.M Billets Reports'!D2353)+1,200)),"")))="VRKP ISPAT PVT LTD","VRKP",IF(IF(IF(ISNUMBER(SEARCH("Party Name:-",'R.M Billets Reports'!D2352)),TRIM('R.M Billets Reports'!F2352),IF(ISNUMBER(SEARCH("Party Name-",'R.M Billets Reports'!D2352)),TRIM(MID('R.M Billets Reports'!D2352,SEARCH("-",'R.M Billets Reports'!D2352)+1,200)),""))&lt;&gt;"",IF(ISNUMBER(SEARCH("Party Name:-",'R.M Billets Reports'!D2352)),TRIM('R.M Billets Reports'!F2352),IF(ISNUMBER(SEARCH("Party Name-",'R.M Billets Reports'!D2352)),TRIM(MID('R.M Billets Reports'!D2352,SEARCH("-",'R.M Billets Reports'!D2352)+1,200)),"")),IF(ISNUMBER(SEARCH("Party Name:-",'R.M Billets Reports'!D2353)),TRIM('R.M Billets Reports'!F2353),IF(ISNUMBER(SEARCH("Party Name-",'R.M Billets Reports'!D2353)),TRIM(MID('R.M Billets Reports'!D2353,SEARCH("-",'R.M Billets Reports'!D2353)+1,200)),"")))="SHRI RADHE","SHREE RADHE",IF(IF(IF(ISNUMBER(SEARCH("Party Name:-",'R.M Billets Reports'!D2352)),TRIM('R.M Billets Reports'!F2352),IF(ISNUMBER(SEARCH("Party Name-",'R.M Billets Reports'!D2352)),TRIM(MID('R.M Billets Reports'!D2352,SEARCH("-",'R.M Billets Reports'!D2352)+1,200)),""))&lt;&gt;"",IF(ISNUMBER(SEARCH("Party Name:-",'R.M Billets Reports'!D2352)),TRIM('R.M Billets Reports'!F2352),IF(ISNUMBER(SEARCH("Party Name-",'R.M Billets Reports'!D2352)),TRIM(MID('R.M Billets Reports'!D2352,SEARCH("-",'R.M Billets Reports'!D2352)+1,200)),"")),IF(ISNUMBER(SEARCH("Party Name:-",'R.M Billets Reports'!D2353)),TRIM('R.M Billets Reports'!F2353),IF(ISNUMBER(SEARCH("Party Name-",'R.M Billets Reports'!D2353)),TRIM(MID('R.M Billets Reports'!D2353,SEARCH("-",'R.M Billets Reports'!D2353)+1,200)),"")))="SHREE RADHE SHAKTI SPONGE AND POWER PVT. LTD.","SHREE RADHE",IF(IF(ISNUMBER(SEARCH("Party Name:-",'R.M Billets Reports'!D2352)),TRIM('R.M Billets Reports'!F2352),IF(ISNUMBER(SEARCH("Party Name-",'R.M Billets Reports'!D2352)),TRIM(MID('R.M Billets Reports'!D2352,SEARCH("-",'R.M Billets Reports'!D2352)+1,200)),""))&lt;&gt;"",IF(ISNUMBER(SEARCH("Party Name:-",'R.M Billets Reports'!D2352)),TRIM('R.M Billets Reports'!F2352),IF(ISNUMBER(SEARCH("Party Name-",'R.M Billets Reports'!D2352)),TRIM(MID('R.M Billets Reports'!D2352,SEARCH("-",'R.M Billets Reports'!D2352)+1,200)),"")),IF(ISNUMBER(SEARCH("Party Name:-",'R.M Billets Reports'!D2353)),TRIM('R.M Billets Reports'!F2353),IF(ISNUMBER(SEARCH("Party Name-",'R.M Billets Reports'!D2353)),TRIM(MID('R.M Billets Reports'!D2353,SEARCH("-",'R.M Billets Reports'!D2353)+1,200)),"")))))),IF(ROW()=2,"",A2352))</f>
      </c>
      <c r="B2353">
        <f>IF(OR('R.M Billets Reports'!A2352="Date-",'R.M Billets Reports'!A2352="Date:-"),'R.M Billets Reports'!B2352,IF(ROW()=2,"",B2352))</f>
      </c>
      <c r="C2353">
        <f>IF('R.M Billets Reports'!A2352="V.No.",'R.M Billets Reports'!B2352,IF(ROW()=2,"",C2352))</f>
      </c>
      <c r="D2353">
        <f>IF('R.M Billets Reports'!A2352&lt;&gt;"",'R.M Billets Reports'!A2352,IF(ROW()=2,"",D2352))</f>
      </c>
      <c r="E2353">
        <f>IF('R.M Billets Reports'!B2352="","",TRIM('R.M Billets Reports'!B2352))</f>
      </c>
      <c r="F2353">
        <f>'R.M Billets Reports'!C2352</f>
      </c>
      <c r="G2353">
        <f>'R.M Billets Reports'!D2352</f>
      </c>
      <c r="H2353">
        <f>'R.M Billets Reports'!E2352</f>
      </c>
      <c r="I2353">
        <f>'R.M Billets Reports'!F2352</f>
      </c>
      <c r="J2353">
        <f>'R.M Billets Reports'!G2352</f>
      </c>
      <c r="K2353">
        <f>'R.M Billets Reports'!H2352</f>
      </c>
      <c r="L2353">
        <f>IF('R.M Billets Reports'!I2352="","",'R.M Billets Reports'!I2352)</f>
      </c>
      <c r="M2353">
        <f t="shared" si="72"/>
      </c>
      <c r="N2353">
        <f>IF('R.M Billets Reports'!J2352="","",'R.M Billets Reports'!J2352)</f>
      </c>
      <c r="O2353">
        <f t="shared" si="73"/>
      </c>
      <c r="P2353">
        <f>IF('R.M Billets Reports'!A2352="SIZE",'R.M Billets Reports'!B2352,P2352)</f>
      </c>
    </row>
    <row r="2354" spans="1:16" x14ac:dyDescent="0.25">
      <c r="A2354">
        <f>IF(OR('R.M Billets Reports'!A2353="Date-",'R.M Billets Reports'!A2353="Date:-"),IF(IF(IF(ISNUMBER(SEARCH("Party Name:-",'R.M Billets Reports'!D2353)),TRIM('R.M Billets Reports'!F2353),IF(ISNUMBER(SEARCH("Party Name-",'R.M Billets Reports'!D2353)),TRIM(MID('R.M Billets Reports'!D2353,SEARCH("-",'R.M Billets Reports'!D2353)+1,200)),""))&lt;&gt;"",IF(ISNUMBER(SEARCH("Party Name:-",'R.M Billets Reports'!D2353)),TRIM('R.M Billets Reports'!F2353),IF(ISNUMBER(SEARCH("Party Name-",'R.M Billets Reports'!D2353)),TRIM(MID('R.M Billets Reports'!D2353,SEARCH("-",'R.M Billets Reports'!D2353)+1,200)),"")),IF(ISNUMBER(SEARCH("Party Name:-",'R.M Billets Reports'!D2354)),TRIM('R.M Billets Reports'!F2354),IF(ISNUMBER(SEARCH("Party Name-",'R.M Billets Reports'!D2354)),TRIM(MID('R.M Billets Reports'!D2354,SEARCH("-",'R.M Billets Reports'!D2354)+1,200)),"")))="VRKP ISPAT PVT LTD","VRKP",IF(IF(IF(ISNUMBER(SEARCH("Party Name:-",'R.M Billets Reports'!D2353)),TRIM('R.M Billets Reports'!F2353),IF(ISNUMBER(SEARCH("Party Name-",'R.M Billets Reports'!D2353)),TRIM(MID('R.M Billets Reports'!D2353,SEARCH("-",'R.M Billets Reports'!D2353)+1,200)),""))&lt;&gt;"",IF(ISNUMBER(SEARCH("Party Name:-",'R.M Billets Reports'!D2353)),TRIM('R.M Billets Reports'!F2353),IF(ISNUMBER(SEARCH("Party Name-",'R.M Billets Reports'!D2353)),TRIM(MID('R.M Billets Reports'!D2353,SEARCH("-",'R.M Billets Reports'!D2353)+1,200)),"")),IF(ISNUMBER(SEARCH("Party Name:-",'R.M Billets Reports'!D2354)),TRIM('R.M Billets Reports'!F2354),IF(ISNUMBER(SEARCH("Party Name-",'R.M Billets Reports'!D2354)),TRIM(MID('R.M Billets Reports'!D2354,SEARCH("-",'R.M Billets Reports'!D2354)+1,200)),"")))="SHRI RADHE","SHREE RADHE",IF(IF(IF(ISNUMBER(SEARCH("Party Name:-",'R.M Billets Reports'!D2353)),TRIM('R.M Billets Reports'!F2353),IF(ISNUMBER(SEARCH("Party Name-",'R.M Billets Reports'!D2353)),TRIM(MID('R.M Billets Reports'!D2353,SEARCH("-",'R.M Billets Reports'!D2353)+1,200)),""))&lt;&gt;"",IF(ISNUMBER(SEARCH("Party Name:-",'R.M Billets Reports'!D2353)),TRIM('R.M Billets Reports'!F2353),IF(ISNUMBER(SEARCH("Party Name-",'R.M Billets Reports'!D2353)),TRIM(MID('R.M Billets Reports'!D2353,SEARCH("-",'R.M Billets Reports'!D2353)+1,200)),"")),IF(ISNUMBER(SEARCH("Party Name:-",'R.M Billets Reports'!D2354)),TRIM('R.M Billets Reports'!F2354),IF(ISNUMBER(SEARCH("Party Name-",'R.M Billets Reports'!D2354)),TRIM(MID('R.M Billets Reports'!D2354,SEARCH("-",'R.M Billets Reports'!D2354)+1,200)),"")))="SHREE RADHE SHAKTI SPONGE AND POWER PVT. LTD.","SHREE RADHE",IF(IF(ISNUMBER(SEARCH("Party Name:-",'R.M Billets Reports'!D2353)),TRIM('R.M Billets Reports'!F2353),IF(ISNUMBER(SEARCH("Party Name-",'R.M Billets Reports'!D2353)),TRIM(MID('R.M Billets Reports'!D2353,SEARCH("-",'R.M Billets Reports'!D2353)+1,200)),""))&lt;&gt;"",IF(ISNUMBER(SEARCH("Party Name:-",'R.M Billets Reports'!D2353)),TRIM('R.M Billets Reports'!F2353),IF(ISNUMBER(SEARCH("Party Name-",'R.M Billets Reports'!D2353)),TRIM(MID('R.M Billets Reports'!D2353,SEARCH("-",'R.M Billets Reports'!D2353)+1,200)),"")),IF(ISNUMBER(SEARCH("Party Name:-",'R.M Billets Reports'!D2354)),TRIM('R.M Billets Reports'!F2354),IF(ISNUMBER(SEARCH("Party Name-",'R.M Billets Reports'!D2354)),TRIM(MID('R.M Billets Reports'!D2354,SEARCH("-",'R.M Billets Reports'!D2354)+1,200)),"")))))),IF(ROW()=2,"",A2353))</f>
      </c>
      <c r="B2354">
        <f>IF(OR('R.M Billets Reports'!A2353="Date-",'R.M Billets Reports'!A2353="Date:-"),'R.M Billets Reports'!B2353,IF(ROW()=2,"",B2353))</f>
      </c>
      <c r="C2354">
        <f>IF('R.M Billets Reports'!A2353="V.No.",'R.M Billets Reports'!B2353,IF(ROW()=2,"",C2353))</f>
      </c>
      <c r="D2354">
        <f>IF('R.M Billets Reports'!A2353&lt;&gt;"",'R.M Billets Reports'!A2353,IF(ROW()=2,"",D2353))</f>
      </c>
      <c r="E2354">
        <f>IF('R.M Billets Reports'!B2353="","",TRIM('R.M Billets Reports'!B2353))</f>
      </c>
      <c r="F2354">
        <f>'R.M Billets Reports'!C2353</f>
      </c>
      <c r="G2354">
        <f>'R.M Billets Reports'!D2353</f>
      </c>
      <c r="H2354">
        <f>'R.M Billets Reports'!E2353</f>
      </c>
      <c r="I2354">
        <f>'R.M Billets Reports'!F2353</f>
      </c>
      <c r="J2354">
        <f>'R.M Billets Reports'!G2353</f>
      </c>
      <c r="K2354">
        <f>'R.M Billets Reports'!H2353</f>
      </c>
      <c r="L2354">
        <f>IF('R.M Billets Reports'!I2353="","",'R.M Billets Reports'!I2353)</f>
      </c>
      <c r="M2354">
        <f t="shared" si="72"/>
      </c>
      <c r="N2354">
        <f>IF('R.M Billets Reports'!J2353="","",'R.M Billets Reports'!J2353)</f>
      </c>
      <c r="O2354">
        <f t="shared" si="73"/>
      </c>
      <c r="P2354">
        <f>IF('R.M Billets Reports'!A2353="SIZE",'R.M Billets Reports'!B2353,P2353)</f>
      </c>
    </row>
    <row r="2355" spans="1:16" x14ac:dyDescent="0.25">
      <c r="A2355">
        <f>IF(OR('R.M Billets Reports'!A2354="Date-",'R.M Billets Reports'!A2354="Date:-"),IF(IF(IF(ISNUMBER(SEARCH("Party Name:-",'R.M Billets Reports'!D2354)),TRIM('R.M Billets Reports'!F2354),IF(ISNUMBER(SEARCH("Party Name-",'R.M Billets Reports'!D2354)),TRIM(MID('R.M Billets Reports'!D2354,SEARCH("-",'R.M Billets Reports'!D2354)+1,200)),""))&lt;&gt;"",IF(ISNUMBER(SEARCH("Party Name:-",'R.M Billets Reports'!D2354)),TRIM('R.M Billets Reports'!F2354),IF(ISNUMBER(SEARCH("Party Name-",'R.M Billets Reports'!D2354)),TRIM(MID('R.M Billets Reports'!D2354,SEARCH("-",'R.M Billets Reports'!D2354)+1,200)),"")),IF(ISNUMBER(SEARCH("Party Name:-",'R.M Billets Reports'!D2355)),TRIM('R.M Billets Reports'!F2355),IF(ISNUMBER(SEARCH("Party Name-",'R.M Billets Reports'!D2355)),TRIM(MID('R.M Billets Reports'!D2355,SEARCH("-",'R.M Billets Reports'!D2355)+1,200)),"")))="VRKP ISPAT PVT LTD","VRKP",IF(IF(IF(ISNUMBER(SEARCH("Party Name:-",'R.M Billets Reports'!D2354)),TRIM('R.M Billets Reports'!F2354),IF(ISNUMBER(SEARCH("Party Name-",'R.M Billets Reports'!D2354)),TRIM(MID('R.M Billets Reports'!D2354,SEARCH("-",'R.M Billets Reports'!D2354)+1,200)),""))&lt;&gt;"",IF(ISNUMBER(SEARCH("Party Name:-",'R.M Billets Reports'!D2354)),TRIM('R.M Billets Reports'!F2354),IF(ISNUMBER(SEARCH("Party Name-",'R.M Billets Reports'!D2354)),TRIM(MID('R.M Billets Reports'!D2354,SEARCH("-",'R.M Billets Reports'!D2354)+1,200)),"")),IF(ISNUMBER(SEARCH("Party Name:-",'R.M Billets Reports'!D2355)),TRIM('R.M Billets Reports'!F2355),IF(ISNUMBER(SEARCH("Party Name-",'R.M Billets Reports'!D2355)),TRIM(MID('R.M Billets Reports'!D2355,SEARCH("-",'R.M Billets Reports'!D2355)+1,200)),"")))="SHRI RADHE","SHREE RADHE",IF(IF(IF(ISNUMBER(SEARCH("Party Name:-",'R.M Billets Reports'!D2354)),TRIM('R.M Billets Reports'!F2354),IF(ISNUMBER(SEARCH("Party Name-",'R.M Billets Reports'!D2354)),TRIM(MID('R.M Billets Reports'!D2354,SEARCH("-",'R.M Billets Reports'!D2354)+1,200)),""))&lt;&gt;"",IF(ISNUMBER(SEARCH("Party Name:-",'R.M Billets Reports'!D2354)),TRIM('R.M Billets Reports'!F2354),IF(ISNUMBER(SEARCH("Party Name-",'R.M Billets Reports'!D2354)),TRIM(MID('R.M Billets Reports'!D2354,SEARCH("-",'R.M Billets Reports'!D2354)+1,200)),"")),IF(ISNUMBER(SEARCH("Party Name:-",'R.M Billets Reports'!D2355)),TRIM('R.M Billets Reports'!F2355),IF(ISNUMBER(SEARCH("Party Name-",'R.M Billets Reports'!D2355)),TRIM(MID('R.M Billets Reports'!D2355,SEARCH("-",'R.M Billets Reports'!D2355)+1,200)),"")))="SHREE RADHE SHAKTI SPONGE AND POWER PVT. LTD.","SHREE RADHE",IF(IF(ISNUMBER(SEARCH("Party Name:-",'R.M Billets Reports'!D2354)),TRIM('R.M Billets Reports'!F2354),IF(ISNUMBER(SEARCH("Party Name-",'R.M Billets Reports'!D2354)),TRIM(MID('R.M Billets Reports'!D2354,SEARCH("-",'R.M Billets Reports'!D2354)+1,200)),""))&lt;&gt;"",IF(ISNUMBER(SEARCH("Party Name:-",'R.M Billets Reports'!D2354)),TRIM('R.M Billets Reports'!F2354),IF(ISNUMBER(SEARCH("Party Name-",'R.M Billets Reports'!D2354)),TRIM(MID('R.M Billets Reports'!D2354,SEARCH("-",'R.M Billets Reports'!D2354)+1,200)),"")),IF(ISNUMBER(SEARCH("Party Name:-",'R.M Billets Reports'!D2355)),TRIM('R.M Billets Reports'!F2355),IF(ISNUMBER(SEARCH("Party Name-",'R.M Billets Reports'!D2355)),TRIM(MID('R.M Billets Reports'!D2355,SEARCH("-",'R.M Billets Reports'!D2355)+1,200)),"")))))),IF(ROW()=2,"",A2354))</f>
      </c>
      <c r="B2355">
        <f>IF(OR('R.M Billets Reports'!A2354="Date-",'R.M Billets Reports'!A2354="Date:-"),'R.M Billets Reports'!B2354,IF(ROW()=2,"",B2354))</f>
      </c>
      <c r="C2355">
        <f>IF('R.M Billets Reports'!A2354="V.No.",'R.M Billets Reports'!B2354,IF(ROW()=2,"",C2354))</f>
      </c>
      <c r="D2355">
        <f>IF('R.M Billets Reports'!A2354&lt;&gt;"",'R.M Billets Reports'!A2354,IF(ROW()=2,"",D2354))</f>
      </c>
      <c r="E2355">
        <f>IF('R.M Billets Reports'!B2354="","",TRIM('R.M Billets Reports'!B2354))</f>
      </c>
      <c r="F2355">
        <f>'R.M Billets Reports'!C2354</f>
      </c>
      <c r="G2355">
        <f>'R.M Billets Reports'!D2354</f>
      </c>
      <c r="H2355">
        <f>'R.M Billets Reports'!E2354</f>
      </c>
      <c r="I2355">
        <f>'R.M Billets Reports'!F2354</f>
      </c>
      <c r="J2355">
        <f>'R.M Billets Reports'!G2354</f>
      </c>
      <c r="K2355">
        <f>'R.M Billets Reports'!H2354</f>
      </c>
      <c r="L2355">
        <f>IF('R.M Billets Reports'!I2354="","",'R.M Billets Reports'!I2354)</f>
      </c>
      <c r="M2355">
        <f t="shared" si="72"/>
      </c>
      <c r="N2355">
        <f>IF('R.M Billets Reports'!J2354="","",'R.M Billets Reports'!J2354)</f>
      </c>
      <c r="O2355">
        <f t="shared" si="73"/>
      </c>
      <c r="P2355">
        <f>IF('R.M Billets Reports'!A2354="SIZE",'R.M Billets Reports'!B2354,P2354)</f>
      </c>
    </row>
    <row r="2356" spans="1:16" x14ac:dyDescent="0.25">
      <c r="A2356">
        <f>IF(OR('R.M Billets Reports'!A2355="Date-",'R.M Billets Reports'!A2355="Date:-"),IF(IF(IF(ISNUMBER(SEARCH("Party Name:-",'R.M Billets Reports'!D2355)),TRIM('R.M Billets Reports'!F2355),IF(ISNUMBER(SEARCH("Party Name-",'R.M Billets Reports'!D2355)),TRIM(MID('R.M Billets Reports'!D2355,SEARCH("-",'R.M Billets Reports'!D2355)+1,200)),""))&lt;&gt;"",IF(ISNUMBER(SEARCH("Party Name:-",'R.M Billets Reports'!D2355)),TRIM('R.M Billets Reports'!F2355),IF(ISNUMBER(SEARCH("Party Name-",'R.M Billets Reports'!D2355)),TRIM(MID('R.M Billets Reports'!D2355,SEARCH("-",'R.M Billets Reports'!D2355)+1,200)),"")),IF(ISNUMBER(SEARCH("Party Name:-",'R.M Billets Reports'!D2356)),TRIM('R.M Billets Reports'!F2356),IF(ISNUMBER(SEARCH("Party Name-",'R.M Billets Reports'!D2356)),TRIM(MID('R.M Billets Reports'!D2356,SEARCH("-",'R.M Billets Reports'!D2356)+1,200)),"")))="VRKP ISPAT PVT LTD","VRKP",IF(IF(IF(ISNUMBER(SEARCH("Party Name:-",'R.M Billets Reports'!D2355)),TRIM('R.M Billets Reports'!F2355),IF(ISNUMBER(SEARCH("Party Name-",'R.M Billets Reports'!D2355)),TRIM(MID('R.M Billets Reports'!D2355,SEARCH("-",'R.M Billets Reports'!D2355)+1,200)),""))&lt;&gt;"",IF(ISNUMBER(SEARCH("Party Name:-",'R.M Billets Reports'!D2355)),TRIM('R.M Billets Reports'!F2355),IF(ISNUMBER(SEARCH("Party Name-",'R.M Billets Reports'!D2355)),TRIM(MID('R.M Billets Reports'!D2355,SEARCH("-",'R.M Billets Reports'!D2355)+1,200)),"")),IF(ISNUMBER(SEARCH("Party Name:-",'R.M Billets Reports'!D2356)),TRIM('R.M Billets Reports'!F2356),IF(ISNUMBER(SEARCH("Party Name-",'R.M Billets Reports'!D2356)),TRIM(MID('R.M Billets Reports'!D2356,SEARCH("-",'R.M Billets Reports'!D2356)+1,200)),"")))="SHRI RADHE","SHREE RADHE",IF(IF(IF(ISNUMBER(SEARCH("Party Name:-",'R.M Billets Reports'!D2355)),TRIM('R.M Billets Reports'!F2355),IF(ISNUMBER(SEARCH("Party Name-",'R.M Billets Reports'!D2355)),TRIM(MID('R.M Billets Reports'!D2355,SEARCH("-",'R.M Billets Reports'!D2355)+1,200)),""))&lt;&gt;"",IF(ISNUMBER(SEARCH("Party Name:-",'R.M Billets Reports'!D2355)),TRIM('R.M Billets Reports'!F2355),IF(ISNUMBER(SEARCH("Party Name-",'R.M Billets Reports'!D2355)),TRIM(MID('R.M Billets Reports'!D2355,SEARCH("-",'R.M Billets Reports'!D2355)+1,200)),"")),IF(ISNUMBER(SEARCH("Party Name:-",'R.M Billets Reports'!D2356)),TRIM('R.M Billets Reports'!F2356),IF(ISNUMBER(SEARCH("Party Name-",'R.M Billets Reports'!D2356)),TRIM(MID('R.M Billets Reports'!D2356,SEARCH("-",'R.M Billets Reports'!D2356)+1,200)),"")))="SHREE RADHE SHAKTI SPONGE AND POWER PVT. LTD.","SHREE RADHE",IF(IF(ISNUMBER(SEARCH("Party Name:-",'R.M Billets Reports'!D2355)),TRIM('R.M Billets Reports'!F2355),IF(ISNUMBER(SEARCH("Party Name-",'R.M Billets Reports'!D2355)),TRIM(MID('R.M Billets Reports'!D2355,SEARCH("-",'R.M Billets Reports'!D2355)+1,200)),""))&lt;&gt;"",IF(ISNUMBER(SEARCH("Party Name:-",'R.M Billets Reports'!D2355)),TRIM('R.M Billets Reports'!F2355),IF(ISNUMBER(SEARCH("Party Name-",'R.M Billets Reports'!D2355)),TRIM(MID('R.M Billets Reports'!D2355,SEARCH("-",'R.M Billets Reports'!D2355)+1,200)),"")),IF(ISNUMBER(SEARCH("Party Name:-",'R.M Billets Reports'!D2356)),TRIM('R.M Billets Reports'!F2356),IF(ISNUMBER(SEARCH("Party Name-",'R.M Billets Reports'!D2356)),TRIM(MID('R.M Billets Reports'!D2356,SEARCH("-",'R.M Billets Reports'!D2356)+1,200)),"")))))),IF(ROW()=2,"",A2355))</f>
      </c>
      <c r="B2356">
        <f>IF(OR('R.M Billets Reports'!A2355="Date-",'R.M Billets Reports'!A2355="Date:-"),'R.M Billets Reports'!B2355,IF(ROW()=2,"",B2355))</f>
      </c>
      <c r="C2356">
        <f>IF('R.M Billets Reports'!A2355="V.No.",'R.M Billets Reports'!B2355,IF(ROW()=2,"",C2355))</f>
      </c>
      <c r="D2356">
        <f>IF('R.M Billets Reports'!A2355&lt;&gt;"",'R.M Billets Reports'!A2355,IF(ROW()=2,"",D2355))</f>
      </c>
      <c r="E2356">
        <f>IF('R.M Billets Reports'!B2355="","",TRIM('R.M Billets Reports'!B2355))</f>
      </c>
      <c r="F2356">
        <f>'R.M Billets Reports'!C2355</f>
      </c>
      <c r="G2356">
        <f>'R.M Billets Reports'!D2355</f>
      </c>
      <c r="H2356">
        <f>'R.M Billets Reports'!E2355</f>
      </c>
      <c r="I2356">
        <f>'R.M Billets Reports'!F2355</f>
      </c>
      <c r="J2356">
        <f>'R.M Billets Reports'!G2355</f>
      </c>
      <c r="K2356">
        <f>'R.M Billets Reports'!H2355</f>
      </c>
      <c r="L2356">
        <f>IF('R.M Billets Reports'!I2355="","",'R.M Billets Reports'!I2355)</f>
      </c>
      <c r="M2356">
        <f t="shared" si="72"/>
      </c>
      <c r="N2356">
        <f>IF('R.M Billets Reports'!J2355="","",'R.M Billets Reports'!J2355)</f>
      </c>
      <c r="O2356">
        <f t="shared" si="73"/>
      </c>
      <c r="P2356">
        <f>IF('R.M Billets Reports'!A2355="SIZE",'R.M Billets Reports'!B2355,P2355)</f>
      </c>
    </row>
    <row r="2357" spans="1:16" x14ac:dyDescent="0.25">
      <c r="A2357">
        <f>IF(OR('R.M Billets Reports'!A2356="Date-",'R.M Billets Reports'!A2356="Date:-"),IF(IF(IF(ISNUMBER(SEARCH("Party Name:-",'R.M Billets Reports'!D2356)),TRIM('R.M Billets Reports'!F2356),IF(ISNUMBER(SEARCH("Party Name-",'R.M Billets Reports'!D2356)),TRIM(MID('R.M Billets Reports'!D2356,SEARCH("-",'R.M Billets Reports'!D2356)+1,200)),""))&lt;&gt;"",IF(ISNUMBER(SEARCH("Party Name:-",'R.M Billets Reports'!D2356)),TRIM('R.M Billets Reports'!F2356),IF(ISNUMBER(SEARCH("Party Name-",'R.M Billets Reports'!D2356)),TRIM(MID('R.M Billets Reports'!D2356,SEARCH("-",'R.M Billets Reports'!D2356)+1,200)),"")),IF(ISNUMBER(SEARCH("Party Name:-",'R.M Billets Reports'!D2357)),TRIM('R.M Billets Reports'!F2357),IF(ISNUMBER(SEARCH("Party Name-",'R.M Billets Reports'!D2357)),TRIM(MID('R.M Billets Reports'!D2357,SEARCH("-",'R.M Billets Reports'!D2357)+1,200)),"")))="VRKP ISPAT PVT LTD","VRKP",IF(IF(IF(ISNUMBER(SEARCH("Party Name:-",'R.M Billets Reports'!D2356)),TRIM('R.M Billets Reports'!F2356),IF(ISNUMBER(SEARCH("Party Name-",'R.M Billets Reports'!D2356)),TRIM(MID('R.M Billets Reports'!D2356,SEARCH("-",'R.M Billets Reports'!D2356)+1,200)),""))&lt;&gt;"",IF(ISNUMBER(SEARCH("Party Name:-",'R.M Billets Reports'!D2356)),TRIM('R.M Billets Reports'!F2356),IF(ISNUMBER(SEARCH("Party Name-",'R.M Billets Reports'!D2356)),TRIM(MID('R.M Billets Reports'!D2356,SEARCH("-",'R.M Billets Reports'!D2356)+1,200)),"")),IF(ISNUMBER(SEARCH("Party Name:-",'R.M Billets Reports'!D2357)),TRIM('R.M Billets Reports'!F2357),IF(ISNUMBER(SEARCH("Party Name-",'R.M Billets Reports'!D2357)),TRIM(MID('R.M Billets Reports'!D2357,SEARCH("-",'R.M Billets Reports'!D2357)+1,200)),"")))="SHRI RADHE","SHREE RADHE",IF(IF(IF(ISNUMBER(SEARCH("Party Name:-",'R.M Billets Reports'!D2356)),TRIM('R.M Billets Reports'!F2356),IF(ISNUMBER(SEARCH("Party Name-",'R.M Billets Reports'!D2356)),TRIM(MID('R.M Billets Reports'!D2356,SEARCH("-",'R.M Billets Reports'!D2356)+1,200)),""))&lt;&gt;"",IF(ISNUMBER(SEARCH("Party Name:-",'R.M Billets Reports'!D2356)),TRIM('R.M Billets Reports'!F2356),IF(ISNUMBER(SEARCH("Party Name-",'R.M Billets Reports'!D2356)),TRIM(MID('R.M Billets Reports'!D2356,SEARCH("-",'R.M Billets Reports'!D2356)+1,200)),"")),IF(ISNUMBER(SEARCH("Party Name:-",'R.M Billets Reports'!D2357)),TRIM('R.M Billets Reports'!F2357),IF(ISNUMBER(SEARCH("Party Name-",'R.M Billets Reports'!D2357)),TRIM(MID('R.M Billets Reports'!D2357,SEARCH("-",'R.M Billets Reports'!D2357)+1,200)),"")))="SHREE RADHE SHAKTI SPONGE AND POWER PVT. LTD.","SHREE RADHE",IF(IF(ISNUMBER(SEARCH("Party Name:-",'R.M Billets Reports'!D2356)),TRIM('R.M Billets Reports'!F2356),IF(ISNUMBER(SEARCH("Party Name-",'R.M Billets Reports'!D2356)),TRIM(MID('R.M Billets Reports'!D2356,SEARCH("-",'R.M Billets Reports'!D2356)+1,200)),""))&lt;&gt;"",IF(ISNUMBER(SEARCH("Party Name:-",'R.M Billets Reports'!D2356)),TRIM('R.M Billets Reports'!F2356),IF(ISNUMBER(SEARCH("Party Name-",'R.M Billets Reports'!D2356)),TRIM(MID('R.M Billets Reports'!D2356,SEARCH("-",'R.M Billets Reports'!D2356)+1,200)),"")),IF(ISNUMBER(SEARCH("Party Name:-",'R.M Billets Reports'!D2357)),TRIM('R.M Billets Reports'!F2357),IF(ISNUMBER(SEARCH("Party Name-",'R.M Billets Reports'!D2357)),TRIM(MID('R.M Billets Reports'!D2357,SEARCH("-",'R.M Billets Reports'!D2357)+1,200)),"")))))),IF(ROW()=2,"",A2356))</f>
      </c>
      <c r="B2357">
        <f>IF(OR('R.M Billets Reports'!A2356="Date-",'R.M Billets Reports'!A2356="Date:-"),'R.M Billets Reports'!B2356,IF(ROW()=2,"",B2356))</f>
      </c>
      <c r="C2357">
        <f>IF('R.M Billets Reports'!A2356="V.No.",'R.M Billets Reports'!B2356,IF(ROW()=2,"",C2356))</f>
      </c>
      <c r="D2357">
        <f>IF('R.M Billets Reports'!A2356&lt;&gt;"",'R.M Billets Reports'!A2356,IF(ROW()=2,"",D2356))</f>
      </c>
      <c r="E2357">
        <f>IF('R.M Billets Reports'!B2356="","",TRIM('R.M Billets Reports'!B2356))</f>
      </c>
      <c r="F2357">
        <f>'R.M Billets Reports'!C2356</f>
      </c>
      <c r="G2357">
        <f>'R.M Billets Reports'!D2356</f>
      </c>
      <c r="H2357">
        <f>'R.M Billets Reports'!E2356</f>
      </c>
      <c r="I2357">
        <f>'R.M Billets Reports'!F2356</f>
      </c>
      <c r="J2357">
        <f>'R.M Billets Reports'!G2356</f>
      </c>
      <c r="K2357">
        <f>'R.M Billets Reports'!H2356</f>
      </c>
      <c r="L2357">
        <f>IF('R.M Billets Reports'!I2356="","",'R.M Billets Reports'!I2356)</f>
      </c>
      <c r="M2357">
        <f t="shared" si="72"/>
      </c>
      <c r="N2357">
        <f>IF('R.M Billets Reports'!J2356="","",'R.M Billets Reports'!J2356)</f>
      </c>
      <c r="O2357">
        <f t="shared" si="73"/>
      </c>
      <c r="P2357">
        <f>IF('R.M Billets Reports'!A2356="SIZE",'R.M Billets Reports'!B2356,P2356)</f>
      </c>
    </row>
    <row r="2358" spans="1:16" x14ac:dyDescent="0.25">
      <c r="A2358">
        <f>IF(OR('R.M Billets Reports'!A2357="Date-",'R.M Billets Reports'!A2357="Date:-"),IF(IF(IF(ISNUMBER(SEARCH("Party Name:-",'R.M Billets Reports'!D2357)),TRIM('R.M Billets Reports'!F2357),IF(ISNUMBER(SEARCH("Party Name-",'R.M Billets Reports'!D2357)),TRIM(MID('R.M Billets Reports'!D2357,SEARCH("-",'R.M Billets Reports'!D2357)+1,200)),""))&lt;&gt;"",IF(ISNUMBER(SEARCH("Party Name:-",'R.M Billets Reports'!D2357)),TRIM('R.M Billets Reports'!F2357),IF(ISNUMBER(SEARCH("Party Name-",'R.M Billets Reports'!D2357)),TRIM(MID('R.M Billets Reports'!D2357,SEARCH("-",'R.M Billets Reports'!D2357)+1,200)),"")),IF(ISNUMBER(SEARCH("Party Name:-",'R.M Billets Reports'!D2358)),TRIM('R.M Billets Reports'!F2358),IF(ISNUMBER(SEARCH("Party Name-",'R.M Billets Reports'!D2358)),TRIM(MID('R.M Billets Reports'!D2358,SEARCH("-",'R.M Billets Reports'!D2358)+1,200)),"")))="VRKP ISPAT PVT LTD","VRKP",IF(IF(IF(ISNUMBER(SEARCH("Party Name:-",'R.M Billets Reports'!D2357)),TRIM('R.M Billets Reports'!F2357),IF(ISNUMBER(SEARCH("Party Name-",'R.M Billets Reports'!D2357)),TRIM(MID('R.M Billets Reports'!D2357,SEARCH("-",'R.M Billets Reports'!D2357)+1,200)),""))&lt;&gt;"",IF(ISNUMBER(SEARCH("Party Name:-",'R.M Billets Reports'!D2357)),TRIM('R.M Billets Reports'!F2357),IF(ISNUMBER(SEARCH("Party Name-",'R.M Billets Reports'!D2357)),TRIM(MID('R.M Billets Reports'!D2357,SEARCH("-",'R.M Billets Reports'!D2357)+1,200)),"")),IF(ISNUMBER(SEARCH("Party Name:-",'R.M Billets Reports'!D2358)),TRIM('R.M Billets Reports'!F2358),IF(ISNUMBER(SEARCH("Party Name-",'R.M Billets Reports'!D2358)),TRIM(MID('R.M Billets Reports'!D2358,SEARCH("-",'R.M Billets Reports'!D2358)+1,200)),"")))="SHRI RADHE","SHREE RADHE",IF(IF(IF(ISNUMBER(SEARCH("Party Name:-",'R.M Billets Reports'!D2357)),TRIM('R.M Billets Reports'!F2357),IF(ISNUMBER(SEARCH("Party Name-",'R.M Billets Reports'!D2357)),TRIM(MID('R.M Billets Reports'!D2357,SEARCH("-",'R.M Billets Reports'!D2357)+1,200)),""))&lt;&gt;"",IF(ISNUMBER(SEARCH("Party Name:-",'R.M Billets Reports'!D2357)),TRIM('R.M Billets Reports'!F2357),IF(ISNUMBER(SEARCH("Party Name-",'R.M Billets Reports'!D2357)),TRIM(MID('R.M Billets Reports'!D2357,SEARCH("-",'R.M Billets Reports'!D2357)+1,200)),"")),IF(ISNUMBER(SEARCH("Party Name:-",'R.M Billets Reports'!D2358)),TRIM('R.M Billets Reports'!F2358),IF(ISNUMBER(SEARCH("Party Name-",'R.M Billets Reports'!D2358)),TRIM(MID('R.M Billets Reports'!D2358,SEARCH("-",'R.M Billets Reports'!D2358)+1,200)),"")))="SHREE RADHE SHAKTI SPONGE AND POWER PVT. LTD.","SHREE RADHE",IF(IF(ISNUMBER(SEARCH("Party Name:-",'R.M Billets Reports'!D2357)),TRIM('R.M Billets Reports'!F2357),IF(ISNUMBER(SEARCH("Party Name-",'R.M Billets Reports'!D2357)),TRIM(MID('R.M Billets Reports'!D2357,SEARCH("-",'R.M Billets Reports'!D2357)+1,200)),""))&lt;&gt;"",IF(ISNUMBER(SEARCH("Party Name:-",'R.M Billets Reports'!D2357)),TRIM('R.M Billets Reports'!F2357),IF(ISNUMBER(SEARCH("Party Name-",'R.M Billets Reports'!D2357)),TRIM(MID('R.M Billets Reports'!D2357,SEARCH("-",'R.M Billets Reports'!D2357)+1,200)),"")),IF(ISNUMBER(SEARCH("Party Name:-",'R.M Billets Reports'!D2358)),TRIM('R.M Billets Reports'!F2358),IF(ISNUMBER(SEARCH("Party Name-",'R.M Billets Reports'!D2358)),TRIM(MID('R.M Billets Reports'!D2358,SEARCH("-",'R.M Billets Reports'!D2358)+1,200)),"")))))),IF(ROW()=2,"",A2357))</f>
      </c>
      <c r="B2358">
        <f>IF(OR('R.M Billets Reports'!A2357="Date-",'R.M Billets Reports'!A2357="Date:-"),'R.M Billets Reports'!B2357,IF(ROW()=2,"",B2357))</f>
      </c>
      <c r="C2358">
        <f>IF('R.M Billets Reports'!A2357="V.No.",'R.M Billets Reports'!B2357,IF(ROW()=2,"",C2357))</f>
      </c>
      <c r="D2358">
        <f>IF('R.M Billets Reports'!A2357&lt;&gt;"",'R.M Billets Reports'!A2357,IF(ROW()=2,"",D2357))</f>
      </c>
      <c r="E2358">
        <f>IF('R.M Billets Reports'!B2357="","",TRIM('R.M Billets Reports'!B2357))</f>
      </c>
      <c r="F2358">
        <f>'R.M Billets Reports'!C2357</f>
      </c>
      <c r="G2358">
        <f>'R.M Billets Reports'!D2357</f>
      </c>
      <c r="H2358">
        <f>'R.M Billets Reports'!E2357</f>
      </c>
      <c r="I2358">
        <f>'R.M Billets Reports'!F2357</f>
      </c>
      <c r="J2358">
        <f>'R.M Billets Reports'!G2357</f>
      </c>
      <c r="K2358">
        <f>'R.M Billets Reports'!H2357</f>
      </c>
      <c r="L2358">
        <f>IF('R.M Billets Reports'!I2357="","",'R.M Billets Reports'!I2357)</f>
      </c>
      <c r="M2358">
        <f t="shared" si="72"/>
      </c>
      <c r="N2358">
        <f>IF('R.M Billets Reports'!J2357="","",'R.M Billets Reports'!J2357)</f>
      </c>
      <c r="O2358">
        <f t="shared" si="73"/>
      </c>
      <c r="P2358">
        <f>IF('R.M Billets Reports'!A2357="SIZE",'R.M Billets Reports'!B2357,P2357)</f>
      </c>
    </row>
    <row r="2359" spans="1:16" x14ac:dyDescent="0.25">
      <c r="A2359">
        <f>IF(OR('R.M Billets Reports'!A2358="Date-",'R.M Billets Reports'!A2358="Date:-"),IF(IF(IF(ISNUMBER(SEARCH("Party Name:-",'R.M Billets Reports'!D2358)),TRIM('R.M Billets Reports'!F2358),IF(ISNUMBER(SEARCH("Party Name-",'R.M Billets Reports'!D2358)),TRIM(MID('R.M Billets Reports'!D2358,SEARCH("-",'R.M Billets Reports'!D2358)+1,200)),""))&lt;&gt;"",IF(ISNUMBER(SEARCH("Party Name:-",'R.M Billets Reports'!D2358)),TRIM('R.M Billets Reports'!F2358),IF(ISNUMBER(SEARCH("Party Name-",'R.M Billets Reports'!D2358)),TRIM(MID('R.M Billets Reports'!D2358,SEARCH("-",'R.M Billets Reports'!D2358)+1,200)),"")),IF(ISNUMBER(SEARCH("Party Name:-",'R.M Billets Reports'!D2359)),TRIM('R.M Billets Reports'!F2359),IF(ISNUMBER(SEARCH("Party Name-",'R.M Billets Reports'!D2359)),TRIM(MID('R.M Billets Reports'!D2359,SEARCH("-",'R.M Billets Reports'!D2359)+1,200)),"")))="VRKP ISPAT PVT LTD","VRKP",IF(IF(IF(ISNUMBER(SEARCH("Party Name:-",'R.M Billets Reports'!D2358)),TRIM('R.M Billets Reports'!F2358),IF(ISNUMBER(SEARCH("Party Name-",'R.M Billets Reports'!D2358)),TRIM(MID('R.M Billets Reports'!D2358,SEARCH("-",'R.M Billets Reports'!D2358)+1,200)),""))&lt;&gt;"",IF(ISNUMBER(SEARCH("Party Name:-",'R.M Billets Reports'!D2358)),TRIM('R.M Billets Reports'!F2358),IF(ISNUMBER(SEARCH("Party Name-",'R.M Billets Reports'!D2358)),TRIM(MID('R.M Billets Reports'!D2358,SEARCH("-",'R.M Billets Reports'!D2358)+1,200)),"")),IF(ISNUMBER(SEARCH("Party Name:-",'R.M Billets Reports'!D2359)),TRIM('R.M Billets Reports'!F2359),IF(ISNUMBER(SEARCH("Party Name-",'R.M Billets Reports'!D2359)),TRIM(MID('R.M Billets Reports'!D2359,SEARCH("-",'R.M Billets Reports'!D2359)+1,200)),"")))="SHRI RADHE","SHREE RADHE",IF(IF(IF(ISNUMBER(SEARCH("Party Name:-",'R.M Billets Reports'!D2358)),TRIM('R.M Billets Reports'!F2358),IF(ISNUMBER(SEARCH("Party Name-",'R.M Billets Reports'!D2358)),TRIM(MID('R.M Billets Reports'!D2358,SEARCH("-",'R.M Billets Reports'!D2358)+1,200)),""))&lt;&gt;"",IF(ISNUMBER(SEARCH("Party Name:-",'R.M Billets Reports'!D2358)),TRIM('R.M Billets Reports'!F2358),IF(ISNUMBER(SEARCH("Party Name-",'R.M Billets Reports'!D2358)),TRIM(MID('R.M Billets Reports'!D2358,SEARCH("-",'R.M Billets Reports'!D2358)+1,200)),"")),IF(ISNUMBER(SEARCH("Party Name:-",'R.M Billets Reports'!D2359)),TRIM('R.M Billets Reports'!F2359),IF(ISNUMBER(SEARCH("Party Name-",'R.M Billets Reports'!D2359)),TRIM(MID('R.M Billets Reports'!D2359,SEARCH("-",'R.M Billets Reports'!D2359)+1,200)),"")))="SHREE RADHE SHAKTI SPONGE AND POWER PVT. LTD.","SHREE RADHE",IF(IF(ISNUMBER(SEARCH("Party Name:-",'R.M Billets Reports'!D2358)),TRIM('R.M Billets Reports'!F2358),IF(ISNUMBER(SEARCH("Party Name-",'R.M Billets Reports'!D2358)),TRIM(MID('R.M Billets Reports'!D2358,SEARCH("-",'R.M Billets Reports'!D2358)+1,200)),""))&lt;&gt;"",IF(ISNUMBER(SEARCH("Party Name:-",'R.M Billets Reports'!D2358)),TRIM('R.M Billets Reports'!F2358),IF(ISNUMBER(SEARCH("Party Name-",'R.M Billets Reports'!D2358)),TRIM(MID('R.M Billets Reports'!D2358,SEARCH("-",'R.M Billets Reports'!D2358)+1,200)),"")),IF(ISNUMBER(SEARCH("Party Name:-",'R.M Billets Reports'!D2359)),TRIM('R.M Billets Reports'!F2359),IF(ISNUMBER(SEARCH("Party Name-",'R.M Billets Reports'!D2359)),TRIM(MID('R.M Billets Reports'!D2359,SEARCH("-",'R.M Billets Reports'!D2359)+1,200)),"")))))),IF(ROW()=2,"",A2358))</f>
      </c>
      <c r="B2359">
        <f>IF(OR('R.M Billets Reports'!A2358="Date-",'R.M Billets Reports'!A2358="Date:-"),'R.M Billets Reports'!B2358,IF(ROW()=2,"",B2358))</f>
      </c>
      <c r="C2359">
        <f>IF('R.M Billets Reports'!A2358="V.No.",'R.M Billets Reports'!B2358,IF(ROW()=2,"",C2358))</f>
      </c>
      <c r="D2359">
        <f>IF('R.M Billets Reports'!A2358&lt;&gt;"",'R.M Billets Reports'!A2358,IF(ROW()=2,"",D2358))</f>
      </c>
      <c r="E2359">
        <f>IF('R.M Billets Reports'!B2358="","",TRIM('R.M Billets Reports'!B2358))</f>
      </c>
      <c r="F2359">
        <f>'R.M Billets Reports'!C2358</f>
      </c>
      <c r="G2359">
        <f>'R.M Billets Reports'!D2358</f>
      </c>
      <c r="H2359">
        <f>'R.M Billets Reports'!E2358</f>
      </c>
      <c r="I2359">
        <f>'R.M Billets Reports'!F2358</f>
      </c>
      <c r="J2359">
        <f>'R.M Billets Reports'!G2358</f>
      </c>
      <c r="K2359">
        <f>'R.M Billets Reports'!H2358</f>
      </c>
      <c r="L2359">
        <f>IF('R.M Billets Reports'!I2358="","",'R.M Billets Reports'!I2358)</f>
      </c>
      <c r="M2359">
        <f t="shared" si="72"/>
      </c>
      <c r="N2359">
        <f>IF('R.M Billets Reports'!J2358="","",'R.M Billets Reports'!J2358)</f>
      </c>
      <c r="O2359">
        <f t="shared" si="73"/>
      </c>
      <c r="P2359">
        <f>IF('R.M Billets Reports'!A2358="SIZE",'R.M Billets Reports'!B2358,P2358)</f>
      </c>
    </row>
    <row r="2360" spans="1:16" x14ac:dyDescent="0.25">
      <c r="A2360">
        <f>IF(OR('R.M Billets Reports'!A2359="Date-",'R.M Billets Reports'!A2359="Date:-"),IF(IF(IF(ISNUMBER(SEARCH("Party Name:-",'R.M Billets Reports'!D2359)),TRIM('R.M Billets Reports'!F2359),IF(ISNUMBER(SEARCH("Party Name-",'R.M Billets Reports'!D2359)),TRIM(MID('R.M Billets Reports'!D2359,SEARCH("-",'R.M Billets Reports'!D2359)+1,200)),""))&lt;&gt;"",IF(ISNUMBER(SEARCH("Party Name:-",'R.M Billets Reports'!D2359)),TRIM('R.M Billets Reports'!F2359),IF(ISNUMBER(SEARCH("Party Name-",'R.M Billets Reports'!D2359)),TRIM(MID('R.M Billets Reports'!D2359,SEARCH("-",'R.M Billets Reports'!D2359)+1,200)),"")),IF(ISNUMBER(SEARCH("Party Name:-",'R.M Billets Reports'!D2360)),TRIM('R.M Billets Reports'!F2360),IF(ISNUMBER(SEARCH("Party Name-",'R.M Billets Reports'!D2360)),TRIM(MID('R.M Billets Reports'!D2360,SEARCH("-",'R.M Billets Reports'!D2360)+1,200)),"")))="VRKP ISPAT PVT LTD","VRKP",IF(IF(IF(ISNUMBER(SEARCH("Party Name:-",'R.M Billets Reports'!D2359)),TRIM('R.M Billets Reports'!F2359),IF(ISNUMBER(SEARCH("Party Name-",'R.M Billets Reports'!D2359)),TRIM(MID('R.M Billets Reports'!D2359,SEARCH("-",'R.M Billets Reports'!D2359)+1,200)),""))&lt;&gt;"",IF(ISNUMBER(SEARCH("Party Name:-",'R.M Billets Reports'!D2359)),TRIM('R.M Billets Reports'!F2359),IF(ISNUMBER(SEARCH("Party Name-",'R.M Billets Reports'!D2359)),TRIM(MID('R.M Billets Reports'!D2359,SEARCH("-",'R.M Billets Reports'!D2359)+1,200)),"")),IF(ISNUMBER(SEARCH("Party Name:-",'R.M Billets Reports'!D2360)),TRIM('R.M Billets Reports'!F2360),IF(ISNUMBER(SEARCH("Party Name-",'R.M Billets Reports'!D2360)),TRIM(MID('R.M Billets Reports'!D2360,SEARCH("-",'R.M Billets Reports'!D2360)+1,200)),"")))="SHRI RADHE","SHREE RADHE",IF(IF(IF(ISNUMBER(SEARCH("Party Name:-",'R.M Billets Reports'!D2359)),TRIM('R.M Billets Reports'!F2359),IF(ISNUMBER(SEARCH("Party Name-",'R.M Billets Reports'!D2359)),TRIM(MID('R.M Billets Reports'!D2359,SEARCH("-",'R.M Billets Reports'!D2359)+1,200)),""))&lt;&gt;"",IF(ISNUMBER(SEARCH("Party Name:-",'R.M Billets Reports'!D2359)),TRIM('R.M Billets Reports'!F2359),IF(ISNUMBER(SEARCH("Party Name-",'R.M Billets Reports'!D2359)),TRIM(MID('R.M Billets Reports'!D2359,SEARCH("-",'R.M Billets Reports'!D2359)+1,200)),"")),IF(ISNUMBER(SEARCH("Party Name:-",'R.M Billets Reports'!D2360)),TRIM('R.M Billets Reports'!F2360),IF(ISNUMBER(SEARCH("Party Name-",'R.M Billets Reports'!D2360)),TRIM(MID('R.M Billets Reports'!D2360,SEARCH("-",'R.M Billets Reports'!D2360)+1,200)),"")))="SHREE RADHE SHAKTI SPONGE AND POWER PVT. LTD.","SHREE RADHE",IF(IF(ISNUMBER(SEARCH("Party Name:-",'R.M Billets Reports'!D2359)),TRIM('R.M Billets Reports'!F2359),IF(ISNUMBER(SEARCH("Party Name-",'R.M Billets Reports'!D2359)),TRIM(MID('R.M Billets Reports'!D2359,SEARCH("-",'R.M Billets Reports'!D2359)+1,200)),""))&lt;&gt;"",IF(ISNUMBER(SEARCH("Party Name:-",'R.M Billets Reports'!D2359)),TRIM('R.M Billets Reports'!F2359),IF(ISNUMBER(SEARCH("Party Name-",'R.M Billets Reports'!D2359)),TRIM(MID('R.M Billets Reports'!D2359,SEARCH("-",'R.M Billets Reports'!D2359)+1,200)),"")),IF(ISNUMBER(SEARCH("Party Name:-",'R.M Billets Reports'!D2360)),TRIM('R.M Billets Reports'!F2360),IF(ISNUMBER(SEARCH("Party Name-",'R.M Billets Reports'!D2360)),TRIM(MID('R.M Billets Reports'!D2360,SEARCH("-",'R.M Billets Reports'!D2360)+1,200)),"")))))),IF(ROW()=2,"",A2359))</f>
      </c>
      <c r="B2360">
        <f>IF(OR('R.M Billets Reports'!A2359="Date-",'R.M Billets Reports'!A2359="Date:-"),'R.M Billets Reports'!B2359,IF(ROW()=2,"",B2359))</f>
      </c>
      <c r="C2360">
        <f>IF('R.M Billets Reports'!A2359="V.No.",'R.M Billets Reports'!B2359,IF(ROW()=2,"",C2359))</f>
      </c>
      <c r="D2360">
        <f>IF('R.M Billets Reports'!A2359&lt;&gt;"",'R.M Billets Reports'!A2359,IF(ROW()=2,"",D2359))</f>
      </c>
      <c r="E2360">
        <f>IF('R.M Billets Reports'!B2359="","",TRIM('R.M Billets Reports'!B2359))</f>
      </c>
      <c r="F2360">
        <f>'R.M Billets Reports'!C2359</f>
      </c>
      <c r="G2360">
        <f>'R.M Billets Reports'!D2359</f>
      </c>
      <c r="H2360">
        <f>'R.M Billets Reports'!E2359</f>
      </c>
      <c r="I2360">
        <f>'R.M Billets Reports'!F2359</f>
      </c>
      <c r="J2360">
        <f>'R.M Billets Reports'!G2359</f>
      </c>
      <c r="K2360">
        <f>'R.M Billets Reports'!H2359</f>
      </c>
      <c r="L2360">
        <f>IF('R.M Billets Reports'!I2359="","",'R.M Billets Reports'!I2359)</f>
      </c>
      <c r="M2360">
        <f t="shared" si="72"/>
      </c>
      <c r="N2360">
        <f>IF('R.M Billets Reports'!J2359="","",'R.M Billets Reports'!J2359)</f>
      </c>
      <c r="O2360">
        <f t="shared" si="73"/>
      </c>
      <c r="P2360">
        <f>IF('R.M Billets Reports'!A2359="SIZE",'R.M Billets Reports'!B2359,P2359)</f>
      </c>
    </row>
    <row r="2361" spans="1:16" x14ac:dyDescent="0.25">
      <c r="A2361">
        <f>IF(OR('R.M Billets Reports'!A2360="Date-",'R.M Billets Reports'!A2360="Date:-"),IF(IF(IF(ISNUMBER(SEARCH("Party Name:-",'R.M Billets Reports'!D2360)),TRIM('R.M Billets Reports'!F2360),IF(ISNUMBER(SEARCH("Party Name-",'R.M Billets Reports'!D2360)),TRIM(MID('R.M Billets Reports'!D2360,SEARCH("-",'R.M Billets Reports'!D2360)+1,200)),""))&lt;&gt;"",IF(ISNUMBER(SEARCH("Party Name:-",'R.M Billets Reports'!D2360)),TRIM('R.M Billets Reports'!F2360),IF(ISNUMBER(SEARCH("Party Name-",'R.M Billets Reports'!D2360)),TRIM(MID('R.M Billets Reports'!D2360,SEARCH("-",'R.M Billets Reports'!D2360)+1,200)),"")),IF(ISNUMBER(SEARCH("Party Name:-",'R.M Billets Reports'!D2361)),TRIM('R.M Billets Reports'!F2361),IF(ISNUMBER(SEARCH("Party Name-",'R.M Billets Reports'!D2361)),TRIM(MID('R.M Billets Reports'!D2361,SEARCH("-",'R.M Billets Reports'!D2361)+1,200)),"")))="VRKP ISPAT PVT LTD","VRKP",IF(IF(IF(ISNUMBER(SEARCH("Party Name:-",'R.M Billets Reports'!D2360)),TRIM('R.M Billets Reports'!F2360),IF(ISNUMBER(SEARCH("Party Name-",'R.M Billets Reports'!D2360)),TRIM(MID('R.M Billets Reports'!D2360,SEARCH("-",'R.M Billets Reports'!D2360)+1,200)),""))&lt;&gt;"",IF(ISNUMBER(SEARCH("Party Name:-",'R.M Billets Reports'!D2360)),TRIM('R.M Billets Reports'!F2360),IF(ISNUMBER(SEARCH("Party Name-",'R.M Billets Reports'!D2360)),TRIM(MID('R.M Billets Reports'!D2360,SEARCH("-",'R.M Billets Reports'!D2360)+1,200)),"")),IF(ISNUMBER(SEARCH("Party Name:-",'R.M Billets Reports'!D2361)),TRIM('R.M Billets Reports'!F2361),IF(ISNUMBER(SEARCH("Party Name-",'R.M Billets Reports'!D2361)),TRIM(MID('R.M Billets Reports'!D2361,SEARCH("-",'R.M Billets Reports'!D2361)+1,200)),"")))="SHRI RADHE","SHREE RADHE",IF(IF(IF(ISNUMBER(SEARCH("Party Name:-",'R.M Billets Reports'!D2360)),TRIM('R.M Billets Reports'!F2360),IF(ISNUMBER(SEARCH("Party Name-",'R.M Billets Reports'!D2360)),TRIM(MID('R.M Billets Reports'!D2360,SEARCH("-",'R.M Billets Reports'!D2360)+1,200)),""))&lt;&gt;"",IF(ISNUMBER(SEARCH("Party Name:-",'R.M Billets Reports'!D2360)),TRIM('R.M Billets Reports'!F2360),IF(ISNUMBER(SEARCH("Party Name-",'R.M Billets Reports'!D2360)),TRIM(MID('R.M Billets Reports'!D2360,SEARCH("-",'R.M Billets Reports'!D2360)+1,200)),"")),IF(ISNUMBER(SEARCH("Party Name:-",'R.M Billets Reports'!D2361)),TRIM('R.M Billets Reports'!F2361),IF(ISNUMBER(SEARCH("Party Name-",'R.M Billets Reports'!D2361)),TRIM(MID('R.M Billets Reports'!D2361,SEARCH("-",'R.M Billets Reports'!D2361)+1,200)),"")))="SHREE RADHE SHAKTI SPONGE AND POWER PVT. LTD.","SHREE RADHE",IF(IF(ISNUMBER(SEARCH("Party Name:-",'R.M Billets Reports'!D2360)),TRIM('R.M Billets Reports'!F2360),IF(ISNUMBER(SEARCH("Party Name-",'R.M Billets Reports'!D2360)),TRIM(MID('R.M Billets Reports'!D2360,SEARCH("-",'R.M Billets Reports'!D2360)+1,200)),""))&lt;&gt;"",IF(ISNUMBER(SEARCH("Party Name:-",'R.M Billets Reports'!D2360)),TRIM('R.M Billets Reports'!F2360),IF(ISNUMBER(SEARCH("Party Name-",'R.M Billets Reports'!D2360)),TRIM(MID('R.M Billets Reports'!D2360,SEARCH("-",'R.M Billets Reports'!D2360)+1,200)),"")),IF(ISNUMBER(SEARCH("Party Name:-",'R.M Billets Reports'!D2361)),TRIM('R.M Billets Reports'!F2361),IF(ISNUMBER(SEARCH("Party Name-",'R.M Billets Reports'!D2361)),TRIM(MID('R.M Billets Reports'!D2361,SEARCH("-",'R.M Billets Reports'!D2361)+1,200)),"")))))),IF(ROW()=2,"",A2360))</f>
      </c>
      <c r="B2361">
        <f>IF(OR('R.M Billets Reports'!A2360="Date-",'R.M Billets Reports'!A2360="Date:-"),'R.M Billets Reports'!B2360,IF(ROW()=2,"",B2360))</f>
      </c>
      <c r="C2361">
        <f>IF('R.M Billets Reports'!A2360="V.No.",'R.M Billets Reports'!B2360,IF(ROW()=2,"",C2360))</f>
      </c>
      <c r="D2361">
        <f>IF('R.M Billets Reports'!A2360&lt;&gt;"",'R.M Billets Reports'!A2360,IF(ROW()=2,"",D2360))</f>
      </c>
      <c r="E2361">
        <f>IF('R.M Billets Reports'!B2360="","",TRIM('R.M Billets Reports'!B2360))</f>
      </c>
      <c r="F2361">
        <f>'R.M Billets Reports'!C2360</f>
      </c>
      <c r="G2361">
        <f>'R.M Billets Reports'!D2360</f>
      </c>
      <c r="H2361">
        <f>'R.M Billets Reports'!E2360</f>
      </c>
      <c r="I2361">
        <f>'R.M Billets Reports'!F2360</f>
      </c>
      <c r="J2361">
        <f>'R.M Billets Reports'!G2360</f>
      </c>
      <c r="K2361">
        <f>'R.M Billets Reports'!H2360</f>
      </c>
      <c r="L2361">
        <f>IF('R.M Billets Reports'!I2360="","",'R.M Billets Reports'!I2360)</f>
      </c>
      <c r="M2361">
        <f t="shared" si="72"/>
      </c>
      <c r="N2361">
        <f>IF('R.M Billets Reports'!J2360="","",'R.M Billets Reports'!J2360)</f>
      </c>
      <c r="O2361">
        <f t="shared" si="73"/>
      </c>
      <c r="P2361">
        <f>IF('R.M Billets Reports'!A2360="SIZE",'R.M Billets Reports'!B2360,P2360)</f>
      </c>
    </row>
    <row r="2362" spans="1:16" x14ac:dyDescent="0.25">
      <c r="A2362">
        <f>IF(OR('R.M Billets Reports'!A2361="Date-",'R.M Billets Reports'!A2361="Date:-"),IF(IF(IF(ISNUMBER(SEARCH("Party Name:-",'R.M Billets Reports'!D2361)),TRIM('R.M Billets Reports'!F2361),IF(ISNUMBER(SEARCH("Party Name-",'R.M Billets Reports'!D2361)),TRIM(MID('R.M Billets Reports'!D2361,SEARCH("-",'R.M Billets Reports'!D2361)+1,200)),""))&lt;&gt;"",IF(ISNUMBER(SEARCH("Party Name:-",'R.M Billets Reports'!D2361)),TRIM('R.M Billets Reports'!F2361),IF(ISNUMBER(SEARCH("Party Name-",'R.M Billets Reports'!D2361)),TRIM(MID('R.M Billets Reports'!D2361,SEARCH("-",'R.M Billets Reports'!D2361)+1,200)),"")),IF(ISNUMBER(SEARCH("Party Name:-",'R.M Billets Reports'!D2362)),TRIM('R.M Billets Reports'!F2362),IF(ISNUMBER(SEARCH("Party Name-",'R.M Billets Reports'!D2362)),TRIM(MID('R.M Billets Reports'!D2362,SEARCH("-",'R.M Billets Reports'!D2362)+1,200)),"")))="VRKP ISPAT PVT LTD","VRKP",IF(IF(IF(ISNUMBER(SEARCH("Party Name:-",'R.M Billets Reports'!D2361)),TRIM('R.M Billets Reports'!F2361),IF(ISNUMBER(SEARCH("Party Name-",'R.M Billets Reports'!D2361)),TRIM(MID('R.M Billets Reports'!D2361,SEARCH("-",'R.M Billets Reports'!D2361)+1,200)),""))&lt;&gt;"",IF(ISNUMBER(SEARCH("Party Name:-",'R.M Billets Reports'!D2361)),TRIM('R.M Billets Reports'!F2361),IF(ISNUMBER(SEARCH("Party Name-",'R.M Billets Reports'!D2361)),TRIM(MID('R.M Billets Reports'!D2361,SEARCH("-",'R.M Billets Reports'!D2361)+1,200)),"")),IF(ISNUMBER(SEARCH("Party Name:-",'R.M Billets Reports'!D2362)),TRIM('R.M Billets Reports'!F2362),IF(ISNUMBER(SEARCH("Party Name-",'R.M Billets Reports'!D2362)),TRIM(MID('R.M Billets Reports'!D2362,SEARCH("-",'R.M Billets Reports'!D2362)+1,200)),"")))="SHRI RADHE","SHREE RADHE",IF(IF(IF(ISNUMBER(SEARCH("Party Name:-",'R.M Billets Reports'!D2361)),TRIM('R.M Billets Reports'!F2361),IF(ISNUMBER(SEARCH("Party Name-",'R.M Billets Reports'!D2361)),TRIM(MID('R.M Billets Reports'!D2361,SEARCH("-",'R.M Billets Reports'!D2361)+1,200)),""))&lt;&gt;"",IF(ISNUMBER(SEARCH("Party Name:-",'R.M Billets Reports'!D2361)),TRIM('R.M Billets Reports'!F2361),IF(ISNUMBER(SEARCH("Party Name-",'R.M Billets Reports'!D2361)),TRIM(MID('R.M Billets Reports'!D2361,SEARCH("-",'R.M Billets Reports'!D2361)+1,200)),"")),IF(ISNUMBER(SEARCH("Party Name:-",'R.M Billets Reports'!D2362)),TRIM('R.M Billets Reports'!F2362),IF(ISNUMBER(SEARCH("Party Name-",'R.M Billets Reports'!D2362)),TRIM(MID('R.M Billets Reports'!D2362,SEARCH("-",'R.M Billets Reports'!D2362)+1,200)),"")))="SHREE RADHE SHAKTI SPONGE AND POWER PVT. LTD.","SHREE RADHE",IF(IF(ISNUMBER(SEARCH("Party Name:-",'R.M Billets Reports'!D2361)),TRIM('R.M Billets Reports'!F2361),IF(ISNUMBER(SEARCH("Party Name-",'R.M Billets Reports'!D2361)),TRIM(MID('R.M Billets Reports'!D2361,SEARCH("-",'R.M Billets Reports'!D2361)+1,200)),""))&lt;&gt;"",IF(ISNUMBER(SEARCH("Party Name:-",'R.M Billets Reports'!D2361)),TRIM('R.M Billets Reports'!F2361),IF(ISNUMBER(SEARCH("Party Name-",'R.M Billets Reports'!D2361)),TRIM(MID('R.M Billets Reports'!D2361,SEARCH("-",'R.M Billets Reports'!D2361)+1,200)),"")),IF(ISNUMBER(SEARCH("Party Name:-",'R.M Billets Reports'!D2362)),TRIM('R.M Billets Reports'!F2362),IF(ISNUMBER(SEARCH("Party Name-",'R.M Billets Reports'!D2362)),TRIM(MID('R.M Billets Reports'!D2362,SEARCH("-",'R.M Billets Reports'!D2362)+1,200)),"")))))),IF(ROW()=2,"",A2361))</f>
      </c>
      <c r="B2362">
        <f>IF(OR('R.M Billets Reports'!A2361="Date-",'R.M Billets Reports'!A2361="Date:-"),'R.M Billets Reports'!B2361,IF(ROW()=2,"",B2361))</f>
      </c>
      <c r="C2362">
        <f>IF('R.M Billets Reports'!A2361="V.No.",'R.M Billets Reports'!B2361,IF(ROW()=2,"",C2361))</f>
      </c>
      <c r="D2362">
        <f>IF('R.M Billets Reports'!A2361&lt;&gt;"",'R.M Billets Reports'!A2361,IF(ROW()=2,"",D2361))</f>
      </c>
      <c r="E2362">
        <f>IF('R.M Billets Reports'!B2361="","",TRIM('R.M Billets Reports'!B2361))</f>
      </c>
      <c r="F2362">
        <f>'R.M Billets Reports'!C2361</f>
      </c>
      <c r="G2362">
        <f>'R.M Billets Reports'!D2361</f>
      </c>
      <c r="H2362">
        <f>'R.M Billets Reports'!E2361</f>
      </c>
      <c r="I2362">
        <f>'R.M Billets Reports'!F2361</f>
      </c>
      <c r="J2362">
        <f>'R.M Billets Reports'!G2361</f>
      </c>
      <c r="K2362">
        <f>'R.M Billets Reports'!H2361</f>
      </c>
      <c r="L2362">
        <f>IF('R.M Billets Reports'!I2361="","",'R.M Billets Reports'!I2361)</f>
      </c>
      <c r="M2362">
        <f t="shared" si="72"/>
      </c>
      <c r="N2362">
        <f>IF('R.M Billets Reports'!J2361="","",'R.M Billets Reports'!J2361)</f>
      </c>
      <c r="O2362">
        <f t="shared" si="73"/>
      </c>
      <c r="P2362">
        <f>IF('R.M Billets Reports'!A2361="SIZE",'R.M Billets Reports'!B2361,P2361)</f>
      </c>
    </row>
    <row r="2363" spans="1:16" x14ac:dyDescent="0.25">
      <c r="A2363">
        <f>IF(OR('R.M Billets Reports'!A2362="Date-",'R.M Billets Reports'!A2362="Date:-"),IF(IF(IF(ISNUMBER(SEARCH("Party Name:-",'R.M Billets Reports'!D2362)),TRIM('R.M Billets Reports'!F2362),IF(ISNUMBER(SEARCH("Party Name-",'R.M Billets Reports'!D2362)),TRIM(MID('R.M Billets Reports'!D2362,SEARCH("-",'R.M Billets Reports'!D2362)+1,200)),""))&lt;&gt;"",IF(ISNUMBER(SEARCH("Party Name:-",'R.M Billets Reports'!D2362)),TRIM('R.M Billets Reports'!F2362),IF(ISNUMBER(SEARCH("Party Name-",'R.M Billets Reports'!D2362)),TRIM(MID('R.M Billets Reports'!D2362,SEARCH("-",'R.M Billets Reports'!D2362)+1,200)),"")),IF(ISNUMBER(SEARCH("Party Name:-",'R.M Billets Reports'!D2363)),TRIM('R.M Billets Reports'!F2363),IF(ISNUMBER(SEARCH("Party Name-",'R.M Billets Reports'!D2363)),TRIM(MID('R.M Billets Reports'!D2363,SEARCH("-",'R.M Billets Reports'!D2363)+1,200)),"")))="VRKP ISPAT PVT LTD","VRKP",IF(IF(IF(ISNUMBER(SEARCH("Party Name:-",'R.M Billets Reports'!D2362)),TRIM('R.M Billets Reports'!F2362),IF(ISNUMBER(SEARCH("Party Name-",'R.M Billets Reports'!D2362)),TRIM(MID('R.M Billets Reports'!D2362,SEARCH("-",'R.M Billets Reports'!D2362)+1,200)),""))&lt;&gt;"",IF(ISNUMBER(SEARCH("Party Name:-",'R.M Billets Reports'!D2362)),TRIM('R.M Billets Reports'!F2362),IF(ISNUMBER(SEARCH("Party Name-",'R.M Billets Reports'!D2362)),TRIM(MID('R.M Billets Reports'!D2362,SEARCH("-",'R.M Billets Reports'!D2362)+1,200)),"")),IF(ISNUMBER(SEARCH("Party Name:-",'R.M Billets Reports'!D2363)),TRIM('R.M Billets Reports'!F2363),IF(ISNUMBER(SEARCH("Party Name-",'R.M Billets Reports'!D2363)),TRIM(MID('R.M Billets Reports'!D2363,SEARCH("-",'R.M Billets Reports'!D2363)+1,200)),"")))="SHRI RADHE","SHREE RADHE",IF(IF(IF(ISNUMBER(SEARCH("Party Name:-",'R.M Billets Reports'!D2362)),TRIM('R.M Billets Reports'!F2362),IF(ISNUMBER(SEARCH("Party Name-",'R.M Billets Reports'!D2362)),TRIM(MID('R.M Billets Reports'!D2362,SEARCH("-",'R.M Billets Reports'!D2362)+1,200)),""))&lt;&gt;"",IF(ISNUMBER(SEARCH("Party Name:-",'R.M Billets Reports'!D2362)),TRIM('R.M Billets Reports'!F2362),IF(ISNUMBER(SEARCH("Party Name-",'R.M Billets Reports'!D2362)),TRIM(MID('R.M Billets Reports'!D2362,SEARCH("-",'R.M Billets Reports'!D2362)+1,200)),"")),IF(ISNUMBER(SEARCH("Party Name:-",'R.M Billets Reports'!D2363)),TRIM('R.M Billets Reports'!F2363),IF(ISNUMBER(SEARCH("Party Name-",'R.M Billets Reports'!D2363)),TRIM(MID('R.M Billets Reports'!D2363,SEARCH("-",'R.M Billets Reports'!D2363)+1,200)),"")))="SHREE RADHE SHAKTI SPONGE AND POWER PVT. LTD.","SHREE RADHE",IF(IF(ISNUMBER(SEARCH("Party Name:-",'R.M Billets Reports'!D2362)),TRIM('R.M Billets Reports'!F2362),IF(ISNUMBER(SEARCH("Party Name-",'R.M Billets Reports'!D2362)),TRIM(MID('R.M Billets Reports'!D2362,SEARCH("-",'R.M Billets Reports'!D2362)+1,200)),""))&lt;&gt;"",IF(ISNUMBER(SEARCH("Party Name:-",'R.M Billets Reports'!D2362)),TRIM('R.M Billets Reports'!F2362),IF(ISNUMBER(SEARCH("Party Name-",'R.M Billets Reports'!D2362)),TRIM(MID('R.M Billets Reports'!D2362,SEARCH("-",'R.M Billets Reports'!D2362)+1,200)),"")),IF(ISNUMBER(SEARCH("Party Name:-",'R.M Billets Reports'!D2363)),TRIM('R.M Billets Reports'!F2363),IF(ISNUMBER(SEARCH("Party Name-",'R.M Billets Reports'!D2363)),TRIM(MID('R.M Billets Reports'!D2363,SEARCH("-",'R.M Billets Reports'!D2363)+1,200)),"")))))),IF(ROW()=2,"",A2362))</f>
      </c>
      <c r="B2363">
        <f>IF(OR('R.M Billets Reports'!A2362="Date-",'R.M Billets Reports'!A2362="Date:-"),'R.M Billets Reports'!B2362,IF(ROW()=2,"",B2362))</f>
      </c>
      <c r="C2363">
        <f>IF('R.M Billets Reports'!A2362="V.No.",'R.M Billets Reports'!B2362,IF(ROW()=2,"",C2362))</f>
      </c>
      <c r="D2363">
        <f>IF('R.M Billets Reports'!A2362&lt;&gt;"",'R.M Billets Reports'!A2362,IF(ROW()=2,"",D2362))</f>
      </c>
      <c r="E2363">
        <f>IF('R.M Billets Reports'!B2362="","",TRIM('R.M Billets Reports'!B2362))</f>
      </c>
      <c r="F2363">
        <f>'R.M Billets Reports'!C2362</f>
      </c>
      <c r="G2363">
        <f>'R.M Billets Reports'!D2362</f>
      </c>
      <c r="H2363">
        <f>'R.M Billets Reports'!E2362</f>
      </c>
      <c r="I2363">
        <f>'R.M Billets Reports'!F2362</f>
      </c>
      <c r="J2363">
        <f>'R.M Billets Reports'!G2362</f>
      </c>
      <c r="K2363">
        <f>'R.M Billets Reports'!H2362</f>
      </c>
      <c r="L2363">
        <f>IF('R.M Billets Reports'!I2362="","",'R.M Billets Reports'!I2362)</f>
      </c>
      <c r="M2363">
        <f t="shared" si="72"/>
      </c>
      <c r="N2363">
        <f>IF('R.M Billets Reports'!J2362="","",'R.M Billets Reports'!J2362)</f>
      </c>
      <c r="O2363">
        <f t="shared" si="73"/>
      </c>
      <c r="P2363">
        <f>IF('R.M Billets Reports'!A2362="SIZE",'R.M Billets Reports'!B2362,P2362)</f>
      </c>
    </row>
    <row r="2364" spans="1:16" x14ac:dyDescent="0.25">
      <c r="A2364">
        <f>IF(OR('R.M Billets Reports'!A2363="Date-",'R.M Billets Reports'!A2363="Date:-"),IF(IF(IF(ISNUMBER(SEARCH("Party Name:-",'R.M Billets Reports'!D2363)),TRIM('R.M Billets Reports'!F2363),IF(ISNUMBER(SEARCH("Party Name-",'R.M Billets Reports'!D2363)),TRIM(MID('R.M Billets Reports'!D2363,SEARCH("-",'R.M Billets Reports'!D2363)+1,200)),""))&lt;&gt;"",IF(ISNUMBER(SEARCH("Party Name:-",'R.M Billets Reports'!D2363)),TRIM('R.M Billets Reports'!F2363),IF(ISNUMBER(SEARCH("Party Name-",'R.M Billets Reports'!D2363)),TRIM(MID('R.M Billets Reports'!D2363,SEARCH("-",'R.M Billets Reports'!D2363)+1,200)),"")),IF(ISNUMBER(SEARCH("Party Name:-",'R.M Billets Reports'!D2364)),TRIM('R.M Billets Reports'!F2364),IF(ISNUMBER(SEARCH("Party Name-",'R.M Billets Reports'!D2364)),TRIM(MID('R.M Billets Reports'!D2364,SEARCH("-",'R.M Billets Reports'!D2364)+1,200)),"")))="VRKP ISPAT PVT LTD","VRKP",IF(IF(IF(ISNUMBER(SEARCH("Party Name:-",'R.M Billets Reports'!D2363)),TRIM('R.M Billets Reports'!F2363),IF(ISNUMBER(SEARCH("Party Name-",'R.M Billets Reports'!D2363)),TRIM(MID('R.M Billets Reports'!D2363,SEARCH("-",'R.M Billets Reports'!D2363)+1,200)),""))&lt;&gt;"",IF(ISNUMBER(SEARCH("Party Name:-",'R.M Billets Reports'!D2363)),TRIM('R.M Billets Reports'!F2363),IF(ISNUMBER(SEARCH("Party Name-",'R.M Billets Reports'!D2363)),TRIM(MID('R.M Billets Reports'!D2363,SEARCH("-",'R.M Billets Reports'!D2363)+1,200)),"")),IF(ISNUMBER(SEARCH("Party Name:-",'R.M Billets Reports'!D2364)),TRIM('R.M Billets Reports'!F2364),IF(ISNUMBER(SEARCH("Party Name-",'R.M Billets Reports'!D2364)),TRIM(MID('R.M Billets Reports'!D2364,SEARCH("-",'R.M Billets Reports'!D2364)+1,200)),"")))="SHRI RADHE","SHREE RADHE",IF(IF(IF(ISNUMBER(SEARCH("Party Name:-",'R.M Billets Reports'!D2363)),TRIM('R.M Billets Reports'!F2363),IF(ISNUMBER(SEARCH("Party Name-",'R.M Billets Reports'!D2363)),TRIM(MID('R.M Billets Reports'!D2363,SEARCH("-",'R.M Billets Reports'!D2363)+1,200)),""))&lt;&gt;"",IF(ISNUMBER(SEARCH("Party Name:-",'R.M Billets Reports'!D2363)),TRIM('R.M Billets Reports'!F2363),IF(ISNUMBER(SEARCH("Party Name-",'R.M Billets Reports'!D2363)),TRIM(MID('R.M Billets Reports'!D2363,SEARCH("-",'R.M Billets Reports'!D2363)+1,200)),"")),IF(ISNUMBER(SEARCH("Party Name:-",'R.M Billets Reports'!D2364)),TRIM('R.M Billets Reports'!F2364),IF(ISNUMBER(SEARCH("Party Name-",'R.M Billets Reports'!D2364)),TRIM(MID('R.M Billets Reports'!D2364,SEARCH("-",'R.M Billets Reports'!D2364)+1,200)),"")))="SHREE RADHE SHAKTI SPONGE AND POWER PVT. LTD.","SHREE RADHE",IF(IF(ISNUMBER(SEARCH("Party Name:-",'R.M Billets Reports'!D2363)),TRIM('R.M Billets Reports'!F2363),IF(ISNUMBER(SEARCH("Party Name-",'R.M Billets Reports'!D2363)),TRIM(MID('R.M Billets Reports'!D2363,SEARCH("-",'R.M Billets Reports'!D2363)+1,200)),""))&lt;&gt;"",IF(ISNUMBER(SEARCH("Party Name:-",'R.M Billets Reports'!D2363)),TRIM('R.M Billets Reports'!F2363),IF(ISNUMBER(SEARCH("Party Name-",'R.M Billets Reports'!D2363)),TRIM(MID('R.M Billets Reports'!D2363,SEARCH("-",'R.M Billets Reports'!D2363)+1,200)),"")),IF(ISNUMBER(SEARCH("Party Name:-",'R.M Billets Reports'!D2364)),TRIM('R.M Billets Reports'!F2364),IF(ISNUMBER(SEARCH("Party Name-",'R.M Billets Reports'!D2364)),TRIM(MID('R.M Billets Reports'!D2364,SEARCH("-",'R.M Billets Reports'!D2364)+1,200)),"")))))),IF(ROW()=2,"",A2363))</f>
      </c>
      <c r="B2364">
        <f>IF(OR('R.M Billets Reports'!A2363="Date-",'R.M Billets Reports'!A2363="Date:-"),'R.M Billets Reports'!B2363,IF(ROW()=2,"",B2363))</f>
      </c>
      <c r="C2364">
        <f>IF('R.M Billets Reports'!A2363="V.No.",'R.M Billets Reports'!B2363,IF(ROW()=2,"",C2363))</f>
      </c>
      <c r="D2364">
        <f>IF('R.M Billets Reports'!A2363&lt;&gt;"",'R.M Billets Reports'!A2363,IF(ROW()=2,"",D2363))</f>
      </c>
      <c r="E2364">
        <f>IF('R.M Billets Reports'!B2363="","",TRIM('R.M Billets Reports'!B2363))</f>
      </c>
      <c r="F2364">
        <f>'R.M Billets Reports'!C2363</f>
      </c>
      <c r="G2364">
        <f>'R.M Billets Reports'!D2363</f>
      </c>
      <c r="H2364">
        <f>'R.M Billets Reports'!E2363</f>
      </c>
      <c r="I2364">
        <f>'R.M Billets Reports'!F2363</f>
      </c>
      <c r="J2364">
        <f>'R.M Billets Reports'!G2363</f>
      </c>
      <c r="K2364">
        <f>'R.M Billets Reports'!H2363</f>
      </c>
      <c r="L2364">
        <f>IF('R.M Billets Reports'!I2363="","",'R.M Billets Reports'!I2363)</f>
      </c>
      <c r="M2364">
        <f t="shared" si="72"/>
      </c>
      <c r="N2364">
        <f>IF('R.M Billets Reports'!J2363="","",'R.M Billets Reports'!J2363)</f>
      </c>
      <c r="O2364">
        <f t="shared" si="73"/>
      </c>
      <c r="P2364">
        <f>IF('R.M Billets Reports'!A2363="SIZE",'R.M Billets Reports'!B2363,P2363)</f>
      </c>
    </row>
    <row r="2365" spans="1:16" x14ac:dyDescent="0.25">
      <c r="A2365">
        <f>IF(OR('R.M Billets Reports'!A2364="Date-",'R.M Billets Reports'!A2364="Date:-"),IF(IF(IF(ISNUMBER(SEARCH("Party Name:-",'R.M Billets Reports'!D2364)),TRIM('R.M Billets Reports'!F2364),IF(ISNUMBER(SEARCH("Party Name-",'R.M Billets Reports'!D2364)),TRIM(MID('R.M Billets Reports'!D2364,SEARCH("-",'R.M Billets Reports'!D2364)+1,200)),""))&lt;&gt;"",IF(ISNUMBER(SEARCH("Party Name:-",'R.M Billets Reports'!D2364)),TRIM('R.M Billets Reports'!F2364),IF(ISNUMBER(SEARCH("Party Name-",'R.M Billets Reports'!D2364)),TRIM(MID('R.M Billets Reports'!D2364,SEARCH("-",'R.M Billets Reports'!D2364)+1,200)),"")),IF(ISNUMBER(SEARCH("Party Name:-",'R.M Billets Reports'!D2365)),TRIM('R.M Billets Reports'!F2365),IF(ISNUMBER(SEARCH("Party Name-",'R.M Billets Reports'!D2365)),TRIM(MID('R.M Billets Reports'!D2365,SEARCH("-",'R.M Billets Reports'!D2365)+1,200)),"")))="VRKP ISPAT PVT LTD","VRKP",IF(IF(IF(ISNUMBER(SEARCH("Party Name:-",'R.M Billets Reports'!D2364)),TRIM('R.M Billets Reports'!F2364),IF(ISNUMBER(SEARCH("Party Name-",'R.M Billets Reports'!D2364)),TRIM(MID('R.M Billets Reports'!D2364,SEARCH("-",'R.M Billets Reports'!D2364)+1,200)),""))&lt;&gt;"",IF(ISNUMBER(SEARCH("Party Name:-",'R.M Billets Reports'!D2364)),TRIM('R.M Billets Reports'!F2364),IF(ISNUMBER(SEARCH("Party Name-",'R.M Billets Reports'!D2364)),TRIM(MID('R.M Billets Reports'!D2364,SEARCH("-",'R.M Billets Reports'!D2364)+1,200)),"")),IF(ISNUMBER(SEARCH("Party Name:-",'R.M Billets Reports'!D2365)),TRIM('R.M Billets Reports'!F2365),IF(ISNUMBER(SEARCH("Party Name-",'R.M Billets Reports'!D2365)),TRIM(MID('R.M Billets Reports'!D2365,SEARCH("-",'R.M Billets Reports'!D2365)+1,200)),"")))="SHRI RADHE","SHREE RADHE",IF(IF(IF(ISNUMBER(SEARCH("Party Name:-",'R.M Billets Reports'!D2364)),TRIM('R.M Billets Reports'!F2364),IF(ISNUMBER(SEARCH("Party Name-",'R.M Billets Reports'!D2364)),TRIM(MID('R.M Billets Reports'!D2364,SEARCH("-",'R.M Billets Reports'!D2364)+1,200)),""))&lt;&gt;"",IF(ISNUMBER(SEARCH("Party Name:-",'R.M Billets Reports'!D2364)),TRIM('R.M Billets Reports'!F2364),IF(ISNUMBER(SEARCH("Party Name-",'R.M Billets Reports'!D2364)),TRIM(MID('R.M Billets Reports'!D2364,SEARCH("-",'R.M Billets Reports'!D2364)+1,200)),"")),IF(ISNUMBER(SEARCH("Party Name:-",'R.M Billets Reports'!D2365)),TRIM('R.M Billets Reports'!F2365),IF(ISNUMBER(SEARCH("Party Name-",'R.M Billets Reports'!D2365)),TRIM(MID('R.M Billets Reports'!D2365,SEARCH("-",'R.M Billets Reports'!D2365)+1,200)),"")))="SHREE RADHE SHAKTI SPONGE AND POWER PVT. LTD.","SHREE RADHE",IF(IF(ISNUMBER(SEARCH("Party Name:-",'R.M Billets Reports'!D2364)),TRIM('R.M Billets Reports'!F2364),IF(ISNUMBER(SEARCH("Party Name-",'R.M Billets Reports'!D2364)),TRIM(MID('R.M Billets Reports'!D2364,SEARCH("-",'R.M Billets Reports'!D2364)+1,200)),""))&lt;&gt;"",IF(ISNUMBER(SEARCH("Party Name:-",'R.M Billets Reports'!D2364)),TRIM('R.M Billets Reports'!F2364),IF(ISNUMBER(SEARCH("Party Name-",'R.M Billets Reports'!D2364)),TRIM(MID('R.M Billets Reports'!D2364,SEARCH("-",'R.M Billets Reports'!D2364)+1,200)),"")),IF(ISNUMBER(SEARCH("Party Name:-",'R.M Billets Reports'!D2365)),TRIM('R.M Billets Reports'!F2365),IF(ISNUMBER(SEARCH("Party Name-",'R.M Billets Reports'!D2365)),TRIM(MID('R.M Billets Reports'!D2365,SEARCH("-",'R.M Billets Reports'!D2365)+1,200)),"")))))),IF(ROW()=2,"",A2364))</f>
      </c>
      <c r="B2365">
        <f>IF(OR('R.M Billets Reports'!A2364="Date-",'R.M Billets Reports'!A2364="Date:-"),'R.M Billets Reports'!B2364,IF(ROW()=2,"",B2364))</f>
      </c>
      <c r="C2365">
        <f>IF('R.M Billets Reports'!A2364="V.No.",'R.M Billets Reports'!B2364,IF(ROW()=2,"",C2364))</f>
      </c>
      <c r="D2365">
        <f>IF('R.M Billets Reports'!A2364&lt;&gt;"",'R.M Billets Reports'!A2364,IF(ROW()=2,"",D2364))</f>
      </c>
      <c r="E2365">
        <f>IF('R.M Billets Reports'!B2364="","",TRIM('R.M Billets Reports'!B2364))</f>
      </c>
      <c r="F2365">
        <f>'R.M Billets Reports'!C2364</f>
      </c>
      <c r="G2365">
        <f>'R.M Billets Reports'!D2364</f>
      </c>
      <c r="H2365">
        <f>'R.M Billets Reports'!E2364</f>
      </c>
      <c r="I2365">
        <f>'R.M Billets Reports'!F2364</f>
      </c>
      <c r="J2365">
        <f>'R.M Billets Reports'!G2364</f>
      </c>
      <c r="K2365">
        <f>'R.M Billets Reports'!H2364</f>
      </c>
      <c r="L2365">
        <f>IF('R.M Billets Reports'!I2364="","",'R.M Billets Reports'!I2364)</f>
      </c>
      <c r="M2365">
        <f t="shared" si="72"/>
      </c>
      <c r="N2365">
        <f>IF('R.M Billets Reports'!J2364="","",'R.M Billets Reports'!J2364)</f>
      </c>
      <c r="O2365">
        <f t="shared" si="73"/>
      </c>
      <c r="P2365">
        <f>IF('R.M Billets Reports'!A2364="SIZE",'R.M Billets Reports'!B2364,P2364)</f>
      </c>
    </row>
    <row r="2366" spans="1:16" x14ac:dyDescent="0.25">
      <c r="A2366">
        <f>IF(OR('R.M Billets Reports'!A2365="Date-",'R.M Billets Reports'!A2365="Date:-"),IF(IF(IF(ISNUMBER(SEARCH("Party Name:-",'R.M Billets Reports'!D2365)),TRIM('R.M Billets Reports'!F2365),IF(ISNUMBER(SEARCH("Party Name-",'R.M Billets Reports'!D2365)),TRIM(MID('R.M Billets Reports'!D2365,SEARCH("-",'R.M Billets Reports'!D2365)+1,200)),""))&lt;&gt;"",IF(ISNUMBER(SEARCH("Party Name:-",'R.M Billets Reports'!D2365)),TRIM('R.M Billets Reports'!F2365),IF(ISNUMBER(SEARCH("Party Name-",'R.M Billets Reports'!D2365)),TRIM(MID('R.M Billets Reports'!D2365,SEARCH("-",'R.M Billets Reports'!D2365)+1,200)),"")),IF(ISNUMBER(SEARCH("Party Name:-",'R.M Billets Reports'!D2366)),TRIM('R.M Billets Reports'!F2366),IF(ISNUMBER(SEARCH("Party Name-",'R.M Billets Reports'!D2366)),TRIM(MID('R.M Billets Reports'!D2366,SEARCH("-",'R.M Billets Reports'!D2366)+1,200)),"")))="VRKP ISPAT PVT LTD","VRKP",IF(IF(IF(ISNUMBER(SEARCH("Party Name:-",'R.M Billets Reports'!D2365)),TRIM('R.M Billets Reports'!F2365),IF(ISNUMBER(SEARCH("Party Name-",'R.M Billets Reports'!D2365)),TRIM(MID('R.M Billets Reports'!D2365,SEARCH("-",'R.M Billets Reports'!D2365)+1,200)),""))&lt;&gt;"",IF(ISNUMBER(SEARCH("Party Name:-",'R.M Billets Reports'!D2365)),TRIM('R.M Billets Reports'!F2365),IF(ISNUMBER(SEARCH("Party Name-",'R.M Billets Reports'!D2365)),TRIM(MID('R.M Billets Reports'!D2365,SEARCH("-",'R.M Billets Reports'!D2365)+1,200)),"")),IF(ISNUMBER(SEARCH("Party Name:-",'R.M Billets Reports'!D2366)),TRIM('R.M Billets Reports'!F2366),IF(ISNUMBER(SEARCH("Party Name-",'R.M Billets Reports'!D2366)),TRIM(MID('R.M Billets Reports'!D2366,SEARCH("-",'R.M Billets Reports'!D2366)+1,200)),"")))="SHRI RADHE","SHREE RADHE",IF(IF(IF(ISNUMBER(SEARCH("Party Name:-",'R.M Billets Reports'!D2365)),TRIM('R.M Billets Reports'!F2365),IF(ISNUMBER(SEARCH("Party Name-",'R.M Billets Reports'!D2365)),TRIM(MID('R.M Billets Reports'!D2365,SEARCH("-",'R.M Billets Reports'!D2365)+1,200)),""))&lt;&gt;"",IF(ISNUMBER(SEARCH("Party Name:-",'R.M Billets Reports'!D2365)),TRIM('R.M Billets Reports'!F2365),IF(ISNUMBER(SEARCH("Party Name-",'R.M Billets Reports'!D2365)),TRIM(MID('R.M Billets Reports'!D2365,SEARCH("-",'R.M Billets Reports'!D2365)+1,200)),"")),IF(ISNUMBER(SEARCH("Party Name:-",'R.M Billets Reports'!D2366)),TRIM('R.M Billets Reports'!F2366),IF(ISNUMBER(SEARCH("Party Name-",'R.M Billets Reports'!D2366)),TRIM(MID('R.M Billets Reports'!D2366,SEARCH("-",'R.M Billets Reports'!D2366)+1,200)),"")))="SHREE RADHE SHAKTI SPONGE AND POWER PVT. LTD.","SHREE RADHE",IF(IF(ISNUMBER(SEARCH("Party Name:-",'R.M Billets Reports'!D2365)),TRIM('R.M Billets Reports'!F2365),IF(ISNUMBER(SEARCH("Party Name-",'R.M Billets Reports'!D2365)),TRIM(MID('R.M Billets Reports'!D2365,SEARCH("-",'R.M Billets Reports'!D2365)+1,200)),""))&lt;&gt;"",IF(ISNUMBER(SEARCH("Party Name:-",'R.M Billets Reports'!D2365)),TRIM('R.M Billets Reports'!F2365),IF(ISNUMBER(SEARCH("Party Name-",'R.M Billets Reports'!D2365)),TRIM(MID('R.M Billets Reports'!D2365,SEARCH("-",'R.M Billets Reports'!D2365)+1,200)),"")),IF(ISNUMBER(SEARCH("Party Name:-",'R.M Billets Reports'!D2366)),TRIM('R.M Billets Reports'!F2366),IF(ISNUMBER(SEARCH("Party Name-",'R.M Billets Reports'!D2366)),TRIM(MID('R.M Billets Reports'!D2366,SEARCH("-",'R.M Billets Reports'!D2366)+1,200)),"")))))),IF(ROW()=2,"",A2365))</f>
      </c>
      <c r="B2366">
        <f>IF(OR('R.M Billets Reports'!A2365="Date-",'R.M Billets Reports'!A2365="Date:-"),'R.M Billets Reports'!B2365,IF(ROW()=2,"",B2365))</f>
      </c>
      <c r="C2366">
        <f>IF('R.M Billets Reports'!A2365="V.No.",'R.M Billets Reports'!B2365,IF(ROW()=2,"",C2365))</f>
      </c>
      <c r="D2366">
        <f>IF('R.M Billets Reports'!A2365&lt;&gt;"",'R.M Billets Reports'!A2365,IF(ROW()=2,"",D2365))</f>
      </c>
      <c r="E2366">
        <f>IF('R.M Billets Reports'!B2365="","",TRIM('R.M Billets Reports'!B2365))</f>
      </c>
      <c r="F2366">
        <f>'R.M Billets Reports'!C2365</f>
      </c>
      <c r="G2366">
        <f>'R.M Billets Reports'!D2365</f>
      </c>
      <c r="H2366">
        <f>'R.M Billets Reports'!E2365</f>
      </c>
      <c r="I2366">
        <f>'R.M Billets Reports'!F2365</f>
      </c>
      <c r="J2366">
        <f>'R.M Billets Reports'!G2365</f>
      </c>
      <c r="K2366">
        <f>'R.M Billets Reports'!H2365</f>
      </c>
      <c r="L2366">
        <f>IF('R.M Billets Reports'!I2365="","",'R.M Billets Reports'!I2365)</f>
      </c>
      <c r="M2366">
        <f t="shared" si="72"/>
      </c>
      <c r="N2366">
        <f>IF('R.M Billets Reports'!J2365="","",'R.M Billets Reports'!J2365)</f>
      </c>
      <c r="O2366">
        <f t="shared" si="73"/>
      </c>
      <c r="P2366">
        <f>IF('R.M Billets Reports'!A2365="SIZE",'R.M Billets Reports'!B2365,P2365)</f>
      </c>
    </row>
    <row r="2367" spans="1:16" x14ac:dyDescent="0.25">
      <c r="A2367">
        <f>IF(OR('R.M Billets Reports'!A2366="Date-",'R.M Billets Reports'!A2366="Date:-"),IF(IF(IF(ISNUMBER(SEARCH("Party Name:-",'R.M Billets Reports'!D2366)),TRIM('R.M Billets Reports'!F2366),IF(ISNUMBER(SEARCH("Party Name-",'R.M Billets Reports'!D2366)),TRIM(MID('R.M Billets Reports'!D2366,SEARCH("-",'R.M Billets Reports'!D2366)+1,200)),""))&lt;&gt;"",IF(ISNUMBER(SEARCH("Party Name:-",'R.M Billets Reports'!D2366)),TRIM('R.M Billets Reports'!F2366),IF(ISNUMBER(SEARCH("Party Name-",'R.M Billets Reports'!D2366)),TRIM(MID('R.M Billets Reports'!D2366,SEARCH("-",'R.M Billets Reports'!D2366)+1,200)),"")),IF(ISNUMBER(SEARCH("Party Name:-",'R.M Billets Reports'!D2367)),TRIM('R.M Billets Reports'!F2367),IF(ISNUMBER(SEARCH("Party Name-",'R.M Billets Reports'!D2367)),TRIM(MID('R.M Billets Reports'!D2367,SEARCH("-",'R.M Billets Reports'!D2367)+1,200)),"")))="VRKP ISPAT PVT LTD","VRKP",IF(IF(IF(ISNUMBER(SEARCH("Party Name:-",'R.M Billets Reports'!D2366)),TRIM('R.M Billets Reports'!F2366),IF(ISNUMBER(SEARCH("Party Name-",'R.M Billets Reports'!D2366)),TRIM(MID('R.M Billets Reports'!D2366,SEARCH("-",'R.M Billets Reports'!D2366)+1,200)),""))&lt;&gt;"",IF(ISNUMBER(SEARCH("Party Name:-",'R.M Billets Reports'!D2366)),TRIM('R.M Billets Reports'!F2366),IF(ISNUMBER(SEARCH("Party Name-",'R.M Billets Reports'!D2366)),TRIM(MID('R.M Billets Reports'!D2366,SEARCH("-",'R.M Billets Reports'!D2366)+1,200)),"")),IF(ISNUMBER(SEARCH("Party Name:-",'R.M Billets Reports'!D2367)),TRIM('R.M Billets Reports'!F2367),IF(ISNUMBER(SEARCH("Party Name-",'R.M Billets Reports'!D2367)),TRIM(MID('R.M Billets Reports'!D2367,SEARCH("-",'R.M Billets Reports'!D2367)+1,200)),"")))="SHRI RADHE","SHREE RADHE",IF(IF(IF(ISNUMBER(SEARCH("Party Name:-",'R.M Billets Reports'!D2366)),TRIM('R.M Billets Reports'!F2366),IF(ISNUMBER(SEARCH("Party Name-",'R.M Billets Reports'!D2366)),TRIM(MID('R.M Billets Reports'!D2366,SEARCH("-",'R.M Billets Reports'!D2366)+1,200)),""))&lt;&gt;"",IF(ISNUMBER(SEARCH("Party Name:-",'R.M Billets Reports'!D2366)),TRIM('R.M Billets Reports'!F2366),IF(ISNUMBER(SEARCH("Party Name-",'R.M Billets Reports'!D2366)),TRIM(MID('R.M Billets Reports'!D2366,SEARCH("-",'R.M Billets Reports'!D2366)+1,200)),"")),IF(ISNUMBER(SEARCH("Party Name:-",'R.M Billets Reports'!D2367)),TRIM('R.M Billets Reports'!F2367),IF(ISNUMBER(SEARCH("Party Name-",'R.M Billets Reports'!D2367)),TRIM(MID('R.M Billets Reports'!D2367,SEARCH("-",'R.M Billets Reports'!D2367)+1,200)),"")))="SHREE RADHE SHAKTI SPONGE AND POWER PVT. LTD.","SHREE RADHE",IF(IF(ISNUMBER(SEARCH("Party Name:-",'R.M Billets Reports'!D2366)),TRIM('R.M Billets Reports'!F2366),IF(ISNUMBER(SEARCH("Party Name-",'R.M Billets Reports'!D2366)),TRIM(MID('R.M Billets Reports'!D2366,SEARCH("-",'R.M Billets Reports'!D2366)+1,200)),""))&lt;&gt;"",IF(ISNUMBER(SEARCH("Party Name:-",'R.M Billets Reports'!D2366)),TRIM('R.M Billets Reports'!F2366),IF(ISNUMBER(SEARCH("Party Name-",'R.M Billets Reports'!D2366)),TRIM(MID('R.M Billets Reports'!D2366,SEARCH("-",'R.M Billets Reports'!D2366)+1,200)),"")),IF(ISNUMBER(SEARCH("Party Name:-",'R.M Billets Reports'!D2367)),TRIM('R.M Billets Reports'!F2367),IF(ISNUMBER(SEARCH("Party Name-",'R.M Billets Reports'!D2367)),TRIM(MID('R.M Billets Reports'!D2367,SEARCH("-",'R.M Billets Reports'!D2367)+1,200)),"")))))),IF(ROW()=2,"",A2366))</f>
      </c>
      <c r="B2367">
        <f>IF(OR('R.M Billets Reports'!A2366="Date-",'R.M Billets Reports'!A2366="Date:-"),'R.M Billets Reports'!B2366,IF(ROW()=2,"",B2366))</f>
      </c>
      <c r="C2367">
        <f>IF('R.M Billets Reports'!A2366="V.No.",'R.M Billets Reports'!B2366,IF(ROW()=2,"",C2366))</f>
      </c>
      <c r="D2367">
        <f>IF('R.M Billets Reports'!A2366&lt;&gt;"",'R.M Billets Reports'!A2366,IF(ROW()=2,"",D2366))</f>
      </c>
      <c r="E2367">
        <f>IF('R.M Billets Reports'!B2366="","",TRIM('R.M Billets Reports'!B2366))</f>
      </c>
      <c r="F2367">
        <f>'R.M Billets Reports'!C2366</f>
      </c>
      <c r="G2367">
        <f>'R.M Billets Reports'!D2366</f>
      </c>
      <c r="H2367">
        <f>'R.M Billets Reports'!E2366</f>
      </c>
      <c r="I2367">
        <f>'R.M Billets Reports'!F2366</f>
      </c>
      <c r="J2367">
        <f>'R.M Billets Reports'!G2366</f>
      </c>
      <c r="K2367">
        <f>'R.M Billets Reports'!H2366</f>
      </c>
      <c r="L2367">
        <f>IF('R.M Billets Reports'!I2366="","",'R.M Billets Reports'!I2366)</f>
      </c>
      <c r="M2367">
        <f t="shared" si="72"/>
      </c>
      <c r="N2367">
        <f>IF('R.M Billets Reports'!J2366="","",'R.M Billets Reports'!J2366)</f>
      </c>
      <c r="O2367">
        <f t="shared" si="73"/>
      </c>
      <c r="P2367">
        <f>IF('R.M Billets Reports'!A2366="SIZE",'R.M Billets Reports'!B2366,P2366)</f>
      </c>
    </row>
    <row r="2368" spans="1:16" x14ac:dyDescent="0.25">
      <c r="A2368">
        <f>IF(OR('R.M Billets Reports'!A2367="Date-",'R.M Billets Reports'!A2367="Date:-"),IF(IF(IF(ISNUMBER(SEARCH("Party Name:-",'R.M Billets Reports'!D2367)),TRIM('R.M Billets Reports'!F2367),IF(ISNUMBER(SEARCH("Party Name-",'R.M Billets Reports'!D2367)),TRIM(MID('R.M Billets Reports'!D2367,SEARCH("-",'R.M Billets Reports'!D2367)+1,200)),""))&lt;&gt;"",IF(ISNUMBER(SEARCH("Party Name:-",'R.M Billets Reports'!D2367)),TRIM('R.M Billets Reports'!F2367),IF(ISNUMBER(SEARCH("Party Name-",'R.M Billets Reports'!D2367)),TRIM(MID('R.M Billets Reports'!D2367,SEARCH("-",'R.M Billets Reports'!D2367)+1,200)),"")),IF(ISNUMBER(SEARCH("Party Name:-",'R.M Billets Reports'!D2368)),TRIM('R.M Billets Reports'!F2368),IF(ISNUMBER(SEARCH("Party Name-",'R.M Billets Reports'!D2368)),TRIM(MID('R.M Billets Reports'!D2368,SEARCH("-",'R.M Billets Reports'!D2368)+1,200)),"")))="VRKP ISPAT PVT LTD","VRKP",IF(IF(IF(ISNUMBER(SEARCH("Party Name:-",'R.M Billets Reports'!D2367)),TRIM('R.M Billets Reports'!F2367),IF(ISNUMBER(SEARCH("Party Name-",'R.M Billets Reports'!D2367)),TRIM(MID('R.M Billets Reports'!D2367,SEARCH("-",'R.M Billets Reports'!D2367)+1,200)),""))&lt;&gt;"",IF(ISNUMBER(SEARCH("Party Name:-",'R.M Billets Reports'!D2367)),TRIM('R.M Billets Reports'!F2367),IF(ISNUMBER(SEARCH("Party Name-",'R.M Billets Reports'!D2367)),TRIM(MID('R.M Billets Reports'!D2367,SEARCH("-",'R.M Billets Reports'!D2367)+1,200)),"")),IF(ISNUMBER(SEARCH("Party Name:-",'R.M Billets Reports'!D2368)),TRIM('R.M Billets Reports'!F2368),IF(ISNUMBER(SEARCH("Party Name-",'R.M Billets Reports'!D2368)),TRIM(MID('R.M Billets Reports'!D2368,SEARCH("-",'R.M Billets Reports'!D2368)+1,200)),"")))="SHRI RADHE","SHREE RADHE",IF(IF(IF(ISNUMBER(SEARCH("Party Name:-",'R.M Billets Reports'!D2367)),TRIM('R.M Billets Reports'!F2367),IF(ISNUMBER(SEARCH("Party Name-",'R.M Billets Reports'!D2367)),TRIM(MID('R.M Billets Reports'!D2367,SEARCH("-",'R.M Billets Reports'!D2367)+1,200)),""))&lt;&gt;"",IF(ISNUMBER(SEARCH("Party Name:-",'R.M Billets Reports'!D2367)),TRIM('R.M Billets Reports'!F2367),IF(ISNUMBER(SEARCH("Party Name-",'R.M Billets Reports'!D2367)),TRIM(MID('R.M Billets Reports'!D2367,SEARCH("-",'R.M Billets Reports'!D2367)+1,200)),"")),IF(ISNUMBER(SEARCH("Party Name:-",'R.M Billets Reports'!D2368)),TRIM('R.M Billets Reports'!F2368),IF(ISNUMBER(SEARCH("Party Name-",'R.M Billets Reports'!D2368)),TRIM(MID('R.M Billets Reports'!D2368,SEARCH("-",'R.M Billets Reports'!D2368)+1,200)),"")))="SHREE RADHE SHAKTI SPONGE AND POWER PVT. LTD.","SHREE RADHE",IF(IF(ISNUMBER(SEARCH("Party Name:-",'R.M Billets Reports'!D2367)),TRIM('R.M Billets Reports'!F2367),IF(ISNUMBER(SEARCH("Party Name-",'R.M Billets Reports'!D2367)),TRIM(MID('R.M Billets Reports'!D2367,SEARCH("-",'R.M Billets Reports'!D2367)+1,200)),""))&lt;&gt;"",IF(ISNUMBER(SEARCH("Party Name:-",'R.M Billets Reports'!D2367)),TRIM('R.M Billets Reports'!F2367),IF(ISNUMBER(SEARCH("Party Name-",'R.M Billets Reports'!D2367)),TRIM(MID('R.M Billets Reports'!D2367,SEARCH("-",'R.M Billets Reports'!D2367)+1,200)),"")),IF(ISNUMBER(SEARCH("Party Name:-",'R.M Billets Reports'!D2368)),TRIM('R.M Billets Reports'!F2368),IF(ISNUMBER(SEARCH("Party Name-",'R.M Billets Reports'!D2368)),TRIM(MID('R.M Billets Reports'!D2368,SEARCH("-",'R.M Billets Reports'!D2368)+1,200)),"")))))),IF(ROW()=2,"",A2367))</f>
      </c>
      <c r="B2368">
        <f>IF(OR('R.M Billets Reports'!A2367="Date-",'R.M Billets Reports'!A2367="Date:-"),'R.M Billets Reports'!B2367,IF(ROW()=2,"",B2367))</f>
      </c>
      <c r="C2368">
        <f>IF('R.M Billets Reports'!A2367="V.No.",'R.M Billets Reports'!B2367,IF(ROW()=2,"",C2367))</f>
      </c>
      <c r="D2368">
        <f>IF('R.M Billets Reports'!A2367&lt;&gt;"",'R.M Billets Reports'!A2367,IF(ROW()=2,"",D2367))</f>
      </c>
      <c r="E2368">
        <f>IF('R.M Billets Reports'!B2367="","",TRIM('R.M Billets Reports'!B2367))</f>
      </c>
      <c r="F2368">
        <f>'R.M Billets Reports'!C2367</f>
      </c>
      <c r="G2368">
        <f>'R.M Billets Reports'!D2367</f>
      </c>
      <c r="H2368">
        <f>'R.M Billets Reports'!E2367</f>
      </c>
      <c r="I2368">
        <f>'R.M Billets Reports'!F2367</f>
      </c>
      <c r="J2368">
        <f>'R.M Billets Reports'!G2367</f>
      </c>
      <c r="K2368">
        <f>'R.M Billets Reports'!H2367</f>
      </c>
      <c r="L2368">
        <f>IF('R.M Billets Reports'!I2367="","",'R.M Billets Reports'!I2367)</f>
      </c>
      <c r="M2368">
        <f t="shared" si="72"/>
      </c>
      <c r="N2368">
        <f>IF('R.M Billets Reports'!J2367="","",'R.M Billets Reports'!J2367)</f>
      </c>
      <c r="O2368">
        <f t="shared" si="73"/>
      </c>
      <c r="P2368">
        <f>IF('R.M Billets Reports'!A2367="SIZE",'R.M Billets Reports'!B2367,P2367)</f>
      </c>
    </row>
    <row r="2369" spans="1:16" x14ac:dyDescent="0.25">
      <c r="A2369">
        <f>IF(OR('R.M Billets Reports'!A2368="Date-",'R.M Billets Reports'!A2368="Date:-"),IF(IF(IF(ISNUMBER(SEARCH("Party Name:-",'R.M Billets Reports'!D2368)),TRIM('R.M Billets Reports'!F2368),IF(ISNUMBER(SEARCH("Party Name-",'R.M Billets Reports'!D2368)),TRIM(MID('R.M Billets Reports'!D2368,SEARCH("-",'R.M Billets Reports'!D2368)+1,200)),""))&lt;&gt;"",IF(ISNUMBER(SEARCH("Party Name:-",'R.M Billets Reports'!D2368)),TRIM('R.M Billets Reports'!F2368),IF(ISNUMBER(SEARCH("Party Name-",'R.M Billets Reports'!D2368)),TRIM(MID('R.M Billets Reports'!D2368,SEARCH("-",'R.M Billets Reports'!D2368)+1,200)),"")),IF(ISNUMBER(SEARCH("Party Name:-",'R.M Billets Reports'!D2369)),TRIM('R.M Billets Reports'!F2369),IF(ISNUMBER(SEARCH("Party Name-",'R.M Billets Reports'!D2369)),TRIM(MID('R.M Billets Reports'!D2369,SEARCH("-",'R.M Billets Reports'!D2369)+1,200)),"")))="VRKP ISPAT PVT LTD","VRKP",IF(IF(IF(ISNUMBER(SEARCH("Party Name:-",'R.M Billets Reports'!D2368)),TRIM('R.M Billets Reports'!F2368),IF(ISNUMBER(SEARCH("Party Name-",'R.M Billets Reports'!D2368)),TRIM(MID('R.M Billets Reports'!D2368,SEARCH("-",'R.M Billets Reports'!D2368)+1,200)),""))&lt;&gt;"",IF(ISNUMBER(SEARCH("Party Name:-",'R.M Billets Reports'!D2368)),TRIM('R.M Billets Reports'!F2368),IF(ISNUMBER(SEARCH("Party Name-",'R.M Billets Reports'!D2368)),TRIM(MID('R.M Billets Reports'!D2368,SEARCH("-",'R.M Billets Reports'!D2368)+1,200)),"")),IF(ISNUMBER(SEARCH("Party Name:-",'R.M Billets Reports'!D2369)),TRIM('R.M Billets Reports'!F2369),IF(ISNUMBER(SEARCH("Party Name-",'R.M Billets Reports'!D2369)),TRIM(MID('R.M Billets Reports'!D2369,SEARCH("-",'R.M Billets Reports'!D2369)+1,200)),"")))="SHRI RADHE","SHREE RADHE",IF(IF(IF(ISNUMBER(SEARCH("Party Name:-",'R.M Billets Reports'!D2368)),TRIM('R.M Billets Reports'!F2368),IF(ISNUMBER(SEARCH("Party Name-",'R.M Billets Reports'!D2368)),TRIM(MID('R.M Billets Reports'!D2368,SEARCH("-",'R.M Billets Reports'!D2368)+1,200)),""))&lt;&gt;"",IF(ISNUMBER(SEARCH("Party Name:-",'R.M Billets Reports'!D2368)),TRIM('R.M Billets Reports'!F2368),IF(ISNUMBER(SEARCH("Party Name-",'R.M Billets Reports'!D2368)),TRIM(MID('R.M Billets Reports'!D2368,SEARCH("-",'R.M Billets Reports'!D2368)+1,200)),"")),IF(ISNUMBER(SEARCH("Party Name:-",'R.M Billets Reports'!D2369)),TRIM('R.M Billets Reports'!F2369),IF(ISNUMBER(SEARCH("Party Name-",'R.M Billets Reports'!D2369)),TRIM(MID('R.M Billets Reports'!D2369,SEARCH("-",'R.M Billets Reports'!D2369)+1,200)),"")))="SHREE RADHE SHAKTI SPONGE AND POWER PVT. LTD.","SHREE RADHE",IF(IF(ISNUMBER(SEARCH("Party Name:-",'R.M Billets Reports'!D2368)),TRIM('R.M Billets Reports'!F2368),IF(ISNUMBER(SEARCH("Party Name-",'R.M Billets Reports'!D2368)),TRIM(MID('R.M Billets Reports'!D2368,SEARCH("-",'R.M Billets Reports'!D2368)+1,200)),""))&lt;&gt;"",IF(ISNUMBER(SEARCH("Party Name:-",'R.M Billets Reports'!D2368)),TRIM('R.M Billets Reports'!F2368),IF(ISNUMBER(SEARCH("Party Name-",'R.M Billets Reports'!D2368)),TRIM(MID('R.M Billets Reports'!D2368,SEARCH("-",'R.M Billets Reports'!D2368)+1,200)),"")),IF(ISNUMBER(SEARCH("Party Name:-",'R.M Billets Reports'!D2369)),TRIM('R.M Billets Reports'!F2369),IF(ISNUMBER(SEARCH("Party Name-",'R.M Billets Reports'!D2369)),TRIM(MID('R.M Billets Reports'!D2369,SEARCH("-",'R.M Billets Reports'!D2369)+1,200)),"")))))),IF(ROW()=2,"",A2368))</f>
      </c>
      <c r="B2369">
        <f>IF(OR('R.M Billets Reports'!A2368="Date-",'R.M Billets Reports'!A2368="Date:-"),'R.M Billets Reports'!B2368,IF(ROW()=2,"",B2368))</f>
      </c>
      <c r="C2369">
        <f>IF('R.M Billets Reports'!A2368="V.No.",'R.M Billets Reports'!B2368,IF(ROW()=2,"",C2368))</f>
      </c>
      <c r="D2369">
        <f>IF('R.M Billets Reports'!A2368&lt;&gt;"",'R.M Billets Reports'!A2368,IF(ROW()=2,"",D2368))</f>
      </c>
      <c r="E2369">
        <f>IF('R.M Billets Reports'!B2368="","",TRIM('R.M Billets Reports'!B2368))</f>
      </c>
      <c r="F2369">
        <f>'R.M Billets Reports'!C2368</f>
      </c>
      <c r="G2369">
        <f>'R.M Billets Reports'!D2368</f>
      </c>
      <c r="H2369">
        <f>'R.M Billets Reports'!E2368</f>
      </c>
      <c r="I2369">
        <f>'R.M Billets Reports'!F2368</f>
      </c>
      <c r="J2369">
        <f>'R.M Billets Reports'!G2368</f>
      </c>
      <c r="K2369">
        <f>'R.M Billets Reports'!H2368</f>
      </c>
      <c r="L2369">
        <f>IF('R.M Billets Reports'!I2368="","",'R.M Billets Reports'!I2368)</f>
      </c>
      <c r="M2369">
        <f t="shared" si="72"/>
      </c>
      <c r="N2369">
        <f>IF('R.M Billets Reports'!J2368="","",'R.M Billets Reports'!J2368)</f>
      </c>
      <c r="O2369">
        <f t="shared" si="73"/>
      </c>
      <c r="P2369">
        <f>IF('R.M Billets Reports'!A2368="SIZE",'R.M Billets Reports'!B2368,P2368)</f>
      </c>
    </row>
    <row r="2370" spans="1:16" x14ac:dyDescent="0.25">
      <c r="A2370">
        <f>IF(OR('R.M Billets Reports'!A2369="Date-",'R.M Billets Reports'!A2369="Date:-"),IF(IF(IF(ISNUMBER(SEARCH("Party Name:-",'R.M Billets Reports'!D2369)),TRIM('R.M Billets Reports'!F2369),IF(ISNUMBER(SEARCH("Party Name-",'R.M Billets Reports'!D2369)),TRIM(MID('R.M Billets Reports'!D2369,SEARCH("-",'R.M Billets Reports'!D2369)+1,200)),""))&lt;&gt;"",IF(ISNUMBER(SEARCH("Party Name:-",'R.M Billets Reports'!D2369)),TRIM('R.M Billets Reports'!F2369),IF(ISNUMBER(SEARCH("Party Name-",'R.M Billets Reports'!D2369)),TRIM(MID('R.M Billets Reports'!D2369,SEARCH("-",'R.M Billets Reports'!D2369)+1,200)),"")),IF(ISNUMBER(SEARCH("Party Name:-",'R.M Billets Reports'!D2370)),TRIM('R.M Billets Reports'!F2370),IF(ISNUMBER(SEARCH("Party Name-",'R.M Billets Reports'!D2370)),TRIM(MID('R.M Billets Reports'!D2370,SEARCH("-",'R.M Billets Reports'!D2370)+1,200)),"")))="VRKP ISPAT PVT LTD","VRKP",IF(IF(IF(ISNUMBER(SEARCH("Party Name:-",'R.M Billets Reports'!D2369)),TRIM('R.M Billets Reports'!F2369),IF(ISNUMBER(SEARCH("Party Name-",'R.M Billets Reports'!D2369)),TRIM(MID('R.M Billets Reports'!D2369,SEARCH("-",'R.M Billets Reports'!D2369)+1,200)),""))&lt;&gt;"",IF(ISNUMBER(SEARCH("Party Name:-",'R.M Billets Reports'!D2369)),TRIM('R.M Billets Reports'!F2369),IF(ISNUMBER(SEARCH("Party Name-",'R.M Billets Reports'!D2369)),TRIM(MID('R.M Billets Reports'!D2369,SEARCH("-",'R.M Billets Reports'!D2369)+1,200)),"")),IF(ISNUMBER(SEARCH("Party Name:-",'R.M Billets Reports'!D2370)),TRIM('R.M Billets Reports'!F2370),IF(ISNUMBER(SEARCH("Party Name-",'R.M Billets Reports'!D2370)),TRIM(MID('R.M Billets Reports'!D2370,SEARCH("-",'R.M Billets Reports'!D2370)+1,200)),"")))="SHRI RADHE","SHREE RADHE",IF(IF(IF(ISNUMBER(SEARCH("Party Name:-",'R.M Billets Reports'!D2369)),TRIM('R.M Billets Reports'!F2369),IF(ISNUMBER(SEARCH("Party Name-",'R.M Billets Reports'!D2369)),TRIM(MID('R.M Billets Reports'!D2369,SEARCH("-",'R.M Billets Reports'!D2369)+1,200)),""))&lt;&gt;"",IF(ISNUMBER(SEARCH("Party Name:-",'R.M Billets Reports'!D2369)),TRIM('R.M Billets Reports'!F2369),IF(ISNUMBER(SEARCH("Party Name-",'R.M Billets Reports'!D2369)),TRIM(MID('R.M Billets Reports'!D2369,SEARCH("-",'R.M Billets Reports'!D2369)+1,200)),"")),IF(ISNUMBER(SEARCH("Party Name:-",'R.M Billets Reports'!D2370)),TRIM('R.M Billets Reports'!F2370),IF(ISNUMBER(SEARCH("Party Name-",'R.M Billets Reports'!D2370)),TRIM(MID('R.M Billets Reports'!D2370,SEARCH("-",'R.M Billets Reports'!D2370)+1,200)),"")))="SHREE RADHE SHAKTI SPONGE AND POWER PVT. LTD.","SHREE RADHE",IF(IF(ISNUMBER(SEARCH("Party Name:-",'R.M Billets Reports'!D2369)),TRIM('R.M Billets Reports'!F2369),IF(ISNUMBER(SEARCH("Party Name-",'R.M Billets Reports'!D2369)),TRIM(MID('R.M Billets Reports'!D2369,SEARCH("-",'R.M Billets Reports'!D2369)+1,200)),""))&lt;&gt;"",IF(ISNUMBER(SEARCH("Party Name:-",'R.M Billets Reports'!D2369)),TRIM('R.M Billets Reports'!F2369),IF(ISNUMBER(SEARCH("Party Name-",'R.M Billets Reports'!D2369)),TRIM(MID('R.M Billets Reports'!D2369,SEARCH("-",'R.M Billets Reports'!D2369)+1,200)),"")),IF(ISNUMBER(SEARCH("Party Name:-",'R.M Billets Reports'!D2370)),TRIM('R.M Billets Reports'!F2370),IF(ISNUMBER(SEARCH("Party Name-",'R.M Billets Reports'!D2370)),TRIM(MID('R.M Billets Reports'!D2370,SEARCH("-",'R.M Billets Reports'!D2370)+1,200)),"")))))),IF(ROW()=2,"",A2369))</f>
      </c>
      <c r="B2370">
        <f>IF(OR('R.M Billets Reports'!A2369="Date-",'R.M Billets Reports'!A2369="Date:-"),'R.M Billets Reports'!B2369,IF(ROW()=2,"",B2369))</f>
      </c>
      <c r="C2370">
        <f>IF('R.M Billets Reports'!A2369="V.No.",'R.M Billets Reports'!B2369,IF(ROW()=2,"",C2369))</f>
      </c>
      <c r="D2370">
        <f>IF('R.M Billets Reports'!A2369&lt;&gt;"",'R.M Billets Reports'!A2369,IF(ROW()=2,"",D2369))</f>
      </c>
      <c r="E2370">
        <f>IF('R.M Billets Reports'!B2369="","",TRIM('R.M Billets Reports'!B2369))</f>
      </c>
      <c r="F2370">
        <f>'R.M Billets Reports'!C2369</f>
      </c>
      <c r="G2370">
        <f>'R.M Billets Reports'!D2369</f>
      </c>
      <c r="H2370">
        <f>'R.M Billets Reports'!E2369</f>
      </c>
      <c r="I2370">
        <f>'R.M Billets Reports'!F2369</f>
      </c>
      <c r="J2370">
        <f>'R.M Billets Reports'!G2369</f>
      </c>
      <c r="K2370">
        <f>'R.M Billets Reports'!H2369</f>
      </c>
      <c r="L2370">
        <f>IF('R.M Billets Reports'!I2369="","",'R.M Billets Reports'!I2369)</f>
      </c>
      <c r="M2370">
        <f t="shared" si="72"/>
      </c>
      <c r="N2370">
        <f>IF('R.M Billets Reports'!J2369="","",'R.M Billets Reports'!J2369)</f>
      </c>
      <c r="O2370">
        <f t="shared" si="73"/>
      </c>
      <c r="P2370">
        <f>IF('R.M Billets Reports'!A2369="SIZE",'R.M Billets Reports'!B2369,P2369)</f>
      </c>
    </row>
    <row r="2371" spans="1:16" x14ac:dyDescent="0.25">
      <c r="A2371">
        <f>IF(OR('R.M Billets Reports'!A2370="Date-",'R.M Billets Reports'!A2370="Date:-"),IF(IF(IF(ISNUMBER(SEARCH("Party Name:-",'R.M Billets Reports'!D2370)),TRIM('R.M Billets Reports'!F2370),IF(ISNUMBER(SEARCH("Party Name-",'R.M Billets Reports'!D2370)),TRIM(MID('R.M Billets Reports'!D2370,SEARCH("-",'R.M Billets Reports'!D2370)+1,200)),""))&lt;&gt;"",IF(ISNUMBER(SEARCH("Party Name:-",'R.M Billets Reports'!D2370)),TRIM('R.M Billets Reports'!F2370),IF(ISNUMBER(SEARCH("Party Name-",'R.M Billets Reports'!D2370)),TRIM(MID('R.M Billets Reports'!D2370,SEARCH("-",'R.M Billets Reports'!D2370)+1,200)),"")),IF(ISNUMBER(SEARCH("Party Name:-",'R.M Billets Reports'!D2371)),TRIM('R.M Billets Reports'!F2371),IF(ISNUMBER(SEARCH("Party Name-",'R.M Billets Reports'!D2371)),TRIM(MID('R.M Billets Reports'!D2371,SEARCH("-",'R.M Billets Reports'!D2371)+1,200)),"")))="VRKP ISPAT PVT LTD","VRKP",IF(IF(IF(ISNUMBER(SEARCH("Party Name:-",'R.M Billets Reports'!D2370)),TRIM('R.M Billets Reports'!F2370),IF(ISNUMBER(SEARCH("Party Name-",'R.M Billets Reports'!D2370)),TRIM(MID('R.M Billets Reports'!D2370,SEARCH("-",'R.M Billets Reports'!D2370)+1,200)),""))&lt;&gt;"",IF(ISNUMBER(SEARCH("Party Name:-",'R.M Billets Reports'!D2370)),TRIM('R.M Billets Reports'!F2370),IF(ISNUMBER(SEARCH("Party Name-",'R.M Billets Reports'!D2370)),TRIM(MID('R.M Billets Reports'!D2370,SEARCH("-",'R.M Billets Reports'!D2370)+1,200)),"")),IF(ISNUMBER(SEARCH("Party Name:-",'R.M Billets Reports'!D2371)),TRIM('R.M Billets Reports'!F2371),IF(ISNUMBER(SEARCH("Party Name-",'R.M Billets Reports'!D2371)),TRIM(MID('R.M Billets Reports'!D2371,SEARCH("-",'R.M Billets Reports'!D2371)+1,200)),"")))="SHRI RADHE","SHREE RADHE",IF(IF(IF(ISNUMBER(SEARCH("Party Name:-",'R.M Billets Reports'!D2370)),TRIM('R.M Billets Reports'!F2370),IF(ISNUMBER(SEARCH("Party Name-",'R.M Billets Reports'!D2370)),TRIM(MID('R.M Billets Reports'!D2370,SEARCH("-",'R.M Billets Reports'!D2370)+1,200)),""))&lt;&gt;"",IF(ISNUMBER(SEARCH("Party Name:-",'R.M Billets Reports'!D2370)),TRIM('R.M Billets Reports'!F2370),IF(ISNUMBER(SEARCH("Party Name-",'R.M Billets Reports'!D2370)),TRIM(MID('R.M Billets Reports'!D2370,SEARCH("-",'R.M Billets Reports'!D2370)+1,200)),"")),IF(ISNUMBER(SEARCH("Party Name:-",'R.M Billets Reports'!D2371)),TRIM('R.M Billets Reports'!F2371),IF(ISNUMBER(SEARCH("Party Name-",'R.M Billets Reports'!D2371)),TRIM(MID('R.M Billets Reports'!D2371,SEARCH("-",'R.M Billets Reports'!D2371)+1,200)),"")))="SHREE RADHE SHAKTI SPONGE AND POWER PVT. LTD.","SHREE RADHE",IF(IF(ISNUMBER(SEARCH("Party Name:-",'R.M Billets Reports'!D2370)),TRIM('R.M Billets Reports'!F2370),IF(ISNUMBER(SEARCH("Party Name-",'R.M Billets Reports'!D2370)),TRIM(MID('R.M Billets Reports'!D2370,SEARCH("-",'R.M Billets Reports'!D2370)+1,200)),""))&lt;&gt;"",IF(ISNUMBER(SEARCH("Party Name:-",'R.M Billets Reports'!D2370)),TRIM('R.M Billets Reports'!F2370),IF(ISNUMBER(SEARCH("Party Name-",'R.M Billets Reports'!D2370)),TRIM(MID('R.M Billets Reports'!D2370,SEARCH("-",'R.M Billets Reports'!D2370)+1,200)),"")),IF(ISNUMBER(SEARCH("Party Name:-",'R.M Billets Reports'!D2371)),TRIM('R.M Billets Reports'!F2371),IF(ISNUMBER(SEARCH("Party Name-",'R.M Billets Reports'!D2371)),TRIM(MID('R.M Billets Reports'!D2371,SEARCH("-",'R.M Billets Reports'!D2371)+1,200)),"")))))),IF(ROW()=2,"",A2370))</f>
      </c>
      <c r="B2371">
        <f>IF(OR('R.M Billets Reports'!A2370="Date-",'R.M Billets Reports'!A2370="Date:-"),'R.M Billets Reports'!B2370,IF(ROW()=2,"",B2370))</f>
      </c>
      <c r="C2371">
        <f>IF('R.M Billets Reports'!A2370="V.No.",'R.M Billets Reports'!B2370,IF(ROW()=2,"",C2370))</f>
      </c>
      <c r="D2371">
        <f>IF('R.M Billets Reports'!A2370&lt;&gt;"",'R.M Billets Reports'!A2370,IF(ROW()=2,"",D2370))</f>
      </c>
      <c r="E2371">
        <f>IF('R.M Billets Reports'!B2370="","",TRIM('R.M Billets Reports'!B2370))</f>
      </c>
      <c r="F2371">
        <f>'R.M Billets Reports'!C2370</f>
      </c>
      <c r="G2371">
        <f>'R.M Billets Reports'!D2370</f>
      </c>
      <c r="H2371">
        <f>'R.M Billets Reports'!E2370</f>
      </c>
      <c r="I2371">
        <f>'R.M Billets Reports'!F2370</f>
      </c>
      <c r="J2371">
        <f>'R.M Billets Reports'!G2370</f>
      </c>
      <c r="K2371">
        <f>'R.M Billets Reports'!H2370</f>
      </c>
      <c r="L2371">
        <f>IF('R.M Billets Reports'!I2370="","",'R.M Billets Reports'!I2370)</f>
      </c>
      <c r="M2371">
        <f t="shared" ref="M2371:M2434" si="74">IF(L2371&lt;&gt;"",L2371,IF(D2371=D2370,M2370,""))</f>
      </c>
      <c r="N2371">
        <f>IF('R.M Billets Reports'!J2370="","",'R.M Billets Reports'!J2370)</f>
      </c>
      <c r="O2371">
        <f t="shared" ref="O2371:O2434" si="75">IF(N2371&lt;&gt;"",N2371,IF(D2371=D2370,O2370,""))</f>
      </c>
      <c r="P2371">
        <f>IF('R.M Billets Reports'!A2370="SIZE",'R.M Billets Reports'!B2370,P2370)</f>
      </c>
    </row>
    <row r="2372" spans="1:16" x14ac:dyDescent="0.25">
      <c r="A2372">
        <f>IF(OR('R.M Billets Reports'!A2371="Date-",'R.M Billets Reports'!A2371="Date:-"),IF(IF(IF(ISNUMBER(SEARCH("Party Name:-",'R.M Billets Reports'!D2371)),TRIM('R.M Billets Reports'!F2371),IF(ISNUMBER(SEARCH("Party Name-",'R.M Billets Reports'!D2371)),TRIM(MID('R.M Billets Reports'!D2371,SEARCH("-",'R.M Billets Reports'!D2371)+1,200)),""))&lt;&gt;"",IF(ISNUMBER(SEARCH("Party Name:-",'R.M Billets Reports'!D2371)),TRIM('R.M Billets Reports'!F2371),IF(ISNUMBER(SEARCH("Party Name-",'R.M Billets Reports'!D2371)),TRIM(MID('R.M Billets Reports'!D2371,SEARCH("-",'R.M Billets Reports'!D2371)+1,200)),"")),IF(ISNUMBER(SEARCH("Party Name:-",'R.M Billets Reports'!D2372)),TRIM('R.M Billets Reports'!F2372),IF(ISNUMBER(SEARCH("Party Name-",'R.M Billets Reports'!D2372)),TRIM(MID('R.M Billets Reports'!D2372,SEARCH("-",'R.M Billets Reports'!D2372)+1,200)),"")))="VRKP ISPAT PVT LTD","VRKP",IF(IF(IF(ISNUMBER(SEARCH("Party Name:-",'R.M Billets Reports'!D2371)),TRIM('R.M Billets Reports'!F2371),IF(ISNUMBER(SEARCH("Party Name-",'R.M Billets Reports'!D2371)),TRIM(MID('R.M Billets Reports'!D2371,SEARCH("-",'R.M Billets Reports'!D2371)+1,200)),""))&lt;&gt;"",IF(ISNUMBER(SEARCH("Party Name:-",'R.M Billets Reports'!D2371)),TRIM('R.M Billets Reports'!F2371),IF(ISNUMBER(SEARCH("Party Name-",'R.M Billets Reports'!D2371)),TRIM(MID('R.M Billets Reports'!D2371,SEARCH("-",'R.M Billets Reports'!D2371)+1,200)),"")),IF(ISNUMBER(SEARCH("Party Name:-",'R.M Billets Reports'!D2372)),TRIM('R.M Billets Reports'!F2372),IF(ISNUMBER(SEARCH("Party Name-",'R.M Billets Reports'!D2372)),TRIM(MID('R.M Billets Reports'!D2372,SEARCH("-",'R.M Billets Reports'!D2372)+1,200)),"")))="SHRI RADHE","SHREE RADHE",IF(IF(IF(ISNUMBER(SEARCH("Party Name:-",'R.M Billets Reports'!D2371)),TRIM('R.M Billets Reports'!F2371),IF(ISNUMBER(SEARCH("Party Name-",'R.M Billets Reports'!D2371)),TRIM(MID('R.M Billets Reports'!D2371,SEARCH("-",'R.M Billets Reports'!D2371)+1,200)),""))&lt;&gt;"",IF(ISNUMBER(SEARCH("Party Name:-",'R.M Billets Reports'!D2371)),TRIM('R.M Billets Reports'!F2371),IF(ISNUMBER(SEARCH("Party Name-",'R.M Billets Reports'!D2371)),TRIM(MID('R.M Billets Reports'!D2371,SEARCH("-",'R.M Billets Reports'!D2371)+1,200)),"")),IF(ISNUMBER(SEARCH("Party Name:-",'R.M Billets Reports'!D2372)),TRIM('R.M Billets Reports'!F2372),IF(ISNUMBER(SEARCH("Party Name-",'R.M Billets Reports'!D2372)),TRIM(MID('R.M Billets Reports'!D2372,SEARCH("-",'R.M Billets Reports'!D2372)+1,200)),"")))="SHREE RADHE SHAKTI SPONGE AND POWER PVT. LTD.","SHREE RADHE",IF(IF(ISNUMBER(SEARCH("Party Name:-",'R.M Billets Reports'!D2371)),TRIM('R.M Billets Reports'!F2371),IF(ISNUMBER(SEARCH("Party Name-",'R.M Billets Reports'!D2371)),TRIM(MID('R.M Billets Reports'!D2371,SEARCH("-",'R.M Billets Reports'!D2371)+1,200)),""))&lt;&gt;"",IF(ISNUMBER(SEARCH("Party Name:-",'R.M Billets Reports'!D2371)),TRIM('R.M Billets Reports'!F2371),IF(ISNUMBER(SEARCH("Party Name-",'R.M Billets Reports'!D2371)),TRIM(MID('R.M Billets Reports'!D2371,SEARCH("-",'R.M Billets Reports'!D2371)+1,200)),"")),IF(ISNUMBER(SEARCH("Party Name:-",'R.M Billets Reports'!D2372)),TRIM('R.M Billets Reports'!F2372),IF(ISNUMBER(SEARCH("Party Name-",'R.M Billets Reports'!D2372)),TRIM(MID('R.M Billets Reports'!D2372,SEARCH("-",'R.M Billets Reports'!D2372)+1,200)),"")))))),IF(ROW()=2,"",A2371))</f>
      </c>
      <c r="B2372">
        <f>IF(OR('R.M Billets Reports'!A2371="Date-",'R.M Billets Reports'!A2371="Date:-"),'R.M Billets Reports'!B2371,IF(ROW()=2,"",B2371))</f>
      </c>
      <c r="C2372">
        <f>IF('R.M Billets Reports'!A2371="V.No.",'R.M Billets Reports'!B2371,IF(ROW()=2,"",C2371))</f>
      </c>
      <c r="D2372">
        <f>IF('R.M Billets Reports'!A2371&lt;&gt;"",'R.M Billets Reports'!A2371,IF(ROW()=2,"",D2371))</f>
      </c>
      <c r="E2372">
        <f>IF('R.M Billets Reports'!B2371="","",TRIM('R.M Billets Reports'!B2371))</f>
      </c>
      <c r="F2372">
        <f>'R.M Billets Reports'!C2371</f>
      </c>
      <c r="G2372">
        <f>'R.M Billets Reports'!D2371</f>
      </c>
      <c r="H2372">
        <f>'R.M Billets Reports'!E2371</f>
      </c>
      <c r="I2372">
        <f>'R.M Billets Reports'!F2371</f>
      </c>
      <c r="J2372">
        <f>'R.M Billets Reports'!G2371</f>
      </c>
      <c r="K2372">
        <f>'R.M Billets Reports'!H2371</f>
      </c>
      <c r="L2372">
        <f>IF('R.M Billets Reports'!I2371="","",'R.M Billets Reports'!I2371)</f>
      </c>
      <c r="M2372">
        <f t="shared" si="74"/>
      </c>
      <c r="N2372">
        <f>IF('R.M Billets Reports'!J2371="","",'R.M Billets Reports'!J2371)</f>
      </c>
      <c r="O2372">
        <f t="shared" si="75"/>
      </c>
      <c r="P2372">
        <f>IF('R.M Billets Reports'!A2371="SIZE",'R.M Billets Reports'!B2371,P2371)</f>
      </c>
    </row>
    <row r="2373" spans="1:16" x14ac:dyDescent="0.25">
      <c r="A2373">
        <f>IF(OR('R.M Billets Reports'!A2372="Date-",'R.M Billets Reports'!A2372="Date:-"),IF(IF(IF(ISNUMBER(SEARCH("Party Name:-",'R.M Billets Reports'!D2372)),TRIM('R.M Billets Reports'!F2372),IF(ISNUMBER(SEARCH("Party Name-",'R.M Billets Reports'!D2372)),TRIM(MID('R.M Billets Reports'!D2372,SEARCH("-",'R.M Billets Reports'!D2372)+1,200)),""))&lt;&gt;"",IF(ISNUMBER(SEARCH("Party Name:-",'R.M Billets Reports'!D2372)),TRIM('R.M Billets Reports'!F2372),IF(ISNUMBER(SEARCH("Party Name-",'R.M Billets Reports'!D2372)),TRIM(MID('R.M Billets Reports'!D2372,SEARCH("-",'R.M Billets Reports'!D2372)+1,200)),"")),IF(ISNUMBER(SEARCH("Party Name:-",'R.M Billets Reports'!D2373)),TRIM('R.M Billets Reports'!F2373),IF(ISNUMBER(SEARCH("Party Name-",'R.M Billets Reports'!D2373)),TRIM(MID('R.M Billets Reports'!D2373,SEARCH("-",'R.M Billets Reports'!D2373)+1,200)),"")))="VRKP ISPAT PVT LTD","VRKP",IF(IF(IF(ISNUMBER(SEARCH("Party Name:-",'R.M Billets Reports'!D2372)),TRIM('R.M Billets Reports'!F2372),IF(ISNUMBER(SEARCH("Party Name-",'R.M Billets Reports'!D2372)),TRIM(MID('R.M Billets Reports'!D2372,SEARCH("-",'R.M Billets Reports'!D2372)+1,200)),""))&lt;&gt;"",IF(ISNUMBER(SEARCH("Party Name:-",'R.M Billets Reports'!D2372)),TRIM('R.M Billets Reports'!F2372),IF(ISNUMBER(SEARCH("Party Name-",'R.M Billets Reports'!D2372)),TRIM(MID('R.M Billets Reports'!D2372,SEARCH("-",'R.M Billets Reports'!D2372)+1,200)),"")),IF(ISNUMBER(SEARCH("Party Name:-",'R.M Billets Reports'!D2373)),TRIM('R.M Billets Reports'!F2373),IF(ISNUMBER(SEARCH("Party Name-",'R.M Billets Reports'!D2373)),TRIM(MID('R.M Billets Reports'!D2373,SEARCH("-",'R.M Billets Reports'!D2373)+1,200)),"")))="SHRI RADHE","SHREE RADHE",IF(IF(IF(ISNUMBER(SEARCH("Party Name:-",'R.M Billets Reports'!D2372)),TRIM('R.M Billets Reports'!F2372),IF(ISNUMBER(SEARCH("Party Name-",'R.M Billets Reports'!D2372)),TRIM(MID('R.M Billets Reports'!D2372,SEARCH("-",'R.M Billets Reports'!D2372)+1,200)),""))&lt;&gt;"",IF(ISNUMBER(SEARCH("Party Name:-",'R.M Billets Reports'!D2372)),TRIM('R.M Billets Reports'!F2372),IF(ISNUMBER(SEARCH("Party Name-",'R.M Billets Reports'!D2372)),TRIM(MID('R.M Billets Reports'!D2372,SEARCH("-",'R.M Billets Reports'!D2372)+1,200)),"")),IF(ISNUMBER(SEARCH("Party Name:-",'R.M Billets Reports'!D2373)),TRIM('R.M Billets Reports'!F2373),IF(ISNUMBER(SEARCH("Party Name-",'R.M Billets Reports'!D2373)),TRIM(MID('R.M Billets Reports'!D2373,SEARCH("-",'R.M Billets Reports'!D2373)+1,200)),"")))="SHREE RADHE SHAKTI SPONGE AND POWER PVT. LTD.","SHREE RADHE",IF(IF(ISNUMBER(SEARCH("Party Name:-",'R.M Billets Reports'!D2372)),TRIM('R.M Billets Reports'!F2372),IF(ISNUMBER(SEARCH("Party Name-",'R.M Billets Reports'!D2372)),TRIM(MID('R.M Billets Reports'!D2372,SEARCH("-",'R.M Billets Reports'!D2372)+1,200)),""))&lt;&gt;"",IF(ISNUMBER(SEARCH("Party Name:-",'R.M Billets Reports'!D2372)),TRIM('R.M Billets Reports'!F2372),IF(ISNUMBER(SEARCH("Party Name-",'R.M Billets Reports'!D2372)),TRIM(MID('R.M Billets Reports'!D2372,SEARCH("-",'R.M Billets Reports'!D2372)+1,200)),"")),IF(ISNUMBER(SEARCH("Party Name:-",'R.M Billets Reports'!D2373)),TRIM('R.M Billets Reports'!F2373),IF(ISNUMBER(SEARCH("Party Name-",'R.M Billets Reports'!D2373)),TRIM(MID('R.M Billets Reports'!D2373,SEARCH("-",'R.M Billets Reports'!D2373)+1,200)),"")))))),IF(ROW()=2,"",A2372))</f>
      </c>
      <c r="B2373">
        <f>IF(OR('R.M Billets Reports'!A2372="Date-",'R.M Billets Reports'!A2372="Date:-"),'R.M Billets Reports'!B2372,IF(ROW()=2,"",B2372))</f>
      </c>
      <c r="C2373">
        <f>IF('R.M Billets Reports'!A2372="V.No.",'R.M Billets Reports'!B2372,IF(ROW()=2,"",C2372))</f>
      </c>
      <c r="D2373">
        <f>IF('R.M Billets Reports'!A2372&lt;&gt;"",'R.M Billets Reports'!A2372,IF(ROW()=2,"",D2372))</f>
      </c>
      <c r="E2373">
        <f>IF('R.M Billets Reports'!B2372="","",TRIM('R.M Billets Reports'!B2372))</f>
      </c>
      <c r="F2373">
        <f>'R.M Billets Reports'!C2372</f>
      </c>
      <c r="G2373">
        <f>'R.M Billets Reports'!D2372</f>
      </c>
      <c r="H2373">
        <f>'R.M Billets Reports'!E2372</f>
      </c>
      <c r="I2373">
        <f>'R.M Billets Reports'!F2372</f>
      </c>
      <c r="J2373">
        <f>'R.M Billets Reports'!G2372</f>
      </c>
      <c r="K2373">
        <f>'R.M Billets Reports'!H2372</f>
      </c>
      <c r="L2373">
        <f>IF('R.M Billets Reports'!I2372="","",'R.M Billets Reports'!I2372)</f>
      </c>
      <c r="M2373">
        <f t="shared" si="74"/>
      </c>
      <c r="N2373">
        <f>IF('R.M Billets Reports'!J2372="","",'R.M Billets Reports'!J2372)</f>
      </c>
      <c r="O2373">
        <f t="shared" si="75"/>
      </c>
      <c r="P2373">
        <f>IF('R.M Billets Reports'!A2372="SIZE",'R.M Billets Reports'!B2372,P2372)</f>
      </c>
    </row>
    <row r="2374" spans="1:16" x14ac:dyDescent="0.25">
      <c r="A2374">
        <f>IF(OR('R.M Billets Reports'!A2373="Date-",'R.M Billets Reports'!A2373="Date:-"),IF(IF(IF(ISNUMBER(SEARCH("Party Name:-",'R.M Billets Reports'!D2373)),TRIM('R.M Billets Reports'!F2373),IF(ISNUMBER(SEARCH("Party Name-",'R.M Billets Reports'!D2373)),TRIM(MID('R.M Billets Reports'!D2373,SEARCH("-",'R.M Billets Reports'!D2373)+1,200)),""))&lt;&gt;"",IF(ISNUMBER(SEARCH("Party Name:-",'R.M Billets Reports'!D2373)),TRIM('R.M Billets Reports'!F2373),IF(ISNUMBER(SEARCH("Party Name-",'R.M Billets Reports'!D2373)),TRIM(MID('R.M Billets Reports'!D2373,SEARCH("-",'R.M Billets Reports'!D2373)+1,200)),"")),IF(ISNUMBER(SEARCH("Party Name:-",'R.M Billets Reports'!D2374)),TRIM('R.M Billets Reports'!F2374),IF(ISNUMBER(SEARCH("Party Name-",'R.M Billets Reports'!D2374)),TRIM(MID('R.M Billets Reports'!D2374,SEARCH("-",'R.M Billets Reports'!D2374)+1,200)),"")))="VRKP ISPAT PVT LTD","VRKP",IF(IF(IF(ISNUMBER(SEARCH("Party Name:-",'R.M Billets Reports'!D2373)),TRIM('R.M Billets Reports'!F2373),IF(ISNUMBER(SEARCH("Party Name-",'R.M Billets Reports'!D2373)),TRIM(MID('R.M Billets Reports'!D2373,SEARCH("-",'R.M Billets Reports'!D2373)+1,200)),""))&lt;&gt;"",IF(ISNUMBER(SEARCH("Party Name:-",'R.M Billets Reports'!D2373)),TRIM('R.M Billets Reports'!F2373),IF(ISNUMBER(SEARCH("Party Name-",'R.M Billets Reports'!D2373)),TRIM(MID('R.M Billets Reports'!D2373,SEARCH("-",'R.M Billets Reports'!D2373)+1,200)),"")),IF(ISNUMBER(SEARCH("Party Name:-",'R.M Billets Reports'!D2374)),TRIM('R.M Billets Reports'!F2374),IF(ISNUMBER(SEARCH("Party Name-",'R.M Billets Reports'!D2374)),TRIM(MID('R.M Billets Reports'!D2374,SEARCH("-",'R.M Billets Reports'!D2374)+1,200)),"")))="SHRI RADHE","SHREE RADHE",IF(IF(IF(ISNUMBER(SEARCH("Party Name:-",'R.M Billets Reports'!D2373)),TRIM('R.M Billets Reports'!F2373),IF(ISNUMBER(SEARCH("Party Name-",'R.M Billets Reports'!D2373)),TRIM(MID('R.M Billets Reports'!D2373,SEARCH("-",'R.M Billets Reports'!D2373)+1,200)),""))&lt;&gt;"",IF(ISNUMBER(SEARCH("Party Name:-",'R.M Billets Reports'!D2373)),TRIM('R.M Billets Reports'!F2373),IF(ISNUMBER(SEARCH("Party Name-",'R.M Billets Reports'!D2373)),TRIM(MID('R.M Billets Reports'!D2373,SEARCH("-",'R.M Billets Reports'!D2373)+1,200)),"")),IF(ISNUMBER(SEARCH("Party Name:-",'R.M Billets Reports'!D2374)),TRIM('R.M Billets Reports'!F2374),IF(ISNUMBER(SEARCH("Party Name-",'R.M Billets Reports'!D2374)),TRIM(MID('R.M Billets Reports'!D2374,SEARCH("-",'R.M Billets Reports'!D2374)+1,200)),"")))="SHREE RADHE SHAKTI SPONGE AND POWER PVT. LTD.","SHREE RADHE",IF(IF(ISNUMBER(SEARCH("Party Name:-",'R.M Billets Reports'!D2373)),TRIM('R.M Billets Reports'!F2373),IF(ISNUMBER(SEARCH("Party Name-",'R.M Billets Reports'!D2373)),TRIM(MID('R.M Billets Reports'!D2373,SEARCH("-",'R.M Billets Reports'!D2373)+1,200)),""))&lt;&gt;"",IF(ISNUMBER(SEARCH("Party Name:-",'R.M Billets Reports'!D2373)),TRIM('R.M Billets Reports'!F2373),IF(ISNUMBER(SEARCH("Party Name-",'R.M Billets Reports'!D2373)),TRIM(MID('R.M Billets Reports'!D2373,SEARCH("-",'R.M Billets Reports'!D2373)+1,200)),"")),IF(ISNUMBER(SEARCH("Party Name:-",'R.M Billets Reports'!D2374)),TRIM('R.M Billets Reports'!F2374),IF(ISNUMBER(SEARCH("Party Name-",'R.M Billets Reports'!D2374)),TRIM(MID('R.M Billets Reports'!D2374,SEARCH("-",'R.M Billets Reports'!D2374)+1,200)),"")))))),IF(ROW()=2,"",A2373))</f>
      </c>
      <c r="B2374">
        <f>IF(OR('R.M Billets Reports'!A2373="Date-",'R.M Billets Reports'!A2373="Date:-"),'R.M Billets Reports'!B2373,IF(ROW()=2,"",B2373))</f>
      </c>
      <c r="C2374">
        <f>IF('R.M Billets Reports'!A2373="V.No.",'R.M Billets Reports'!B2373,IF(ROW()=2,"",C2373))</f>
      </c>
      <c r="D2374">
        <f>IF('R.M Billets Reports'!A2373&lt;&gt;"",'R.M Billets Reports'!A2373,IF(ROW()=2,"",D2373))</f>
      </c>
      <c r="E2374">
        <f>IF('R.M Billets Reports'!B2373="","",TRIM('R.M Billets Reports'!B2373))</f>
      </c>
      <c r="F2374">
        <f>'R.M Billets Reports'!C2373</f>
      </c>
      <c r="G2374">
        <f>'R.M Billets Reports'!D2373</f>
      </c>
      <c r="H2374">
        <f>'R.M Billets Reports'!E2373</f>
      </c>
      <c r="I2374">
        <f>'R.M Billets Reports'!F2373</f>
      </c>
      <c r="J2374">
        <f>'R.M Billets Reports'!G2373</f>
      </c>
      <c r="K2374">
        <f>'R.M Billets Reports'!H2373</f>
      </c>
      <c r="L2374">
        <f>IF('R.M Billets Reports'!I2373="","",'R.M Billets Reports'!I2373)</f>
      </c>
      <c r="M2374">
        <f t="shared" si="74"/>
      </c>
      <c r="N2374">
        <f>IF('R.M Billets Reports'!J2373="","",'R.M Billets Reports'!J2373)</f>
      </c>
      <c r="O2374">
        <f t="shared" si="75"/>
      </c>
      <c r="P2374">
        <f>IF('R.M Billets Reports'!A2373="SIZE",'R.M Billets Reports'!B2373,P2373)</f>
      </c>
    </row>
    <row r="2375" spans="1:16" x14ac:dyDescent="0.25">
      <c r="A2375">
        <f>IF(OR('R.M Billets Reports'!A2374="Date-",'R.M Billets Reports'!A2374="Date:-"),IF(IF(IF(ISNUMBER(SEARCH("Party Name:-",'R.M Billets Reports'!D2374)),TRIM('R.M Billets Reports'!F2374),IF(ISNUMBER(SEARCH("Party Name-",'R.M Billets Reports'!D2374)),TRIM(MID('R.M Billets Reports'!D2374,SEARCH("-",'R.M Billets Reports'!D2374)+1,200)),""))&lt;&gt;"",IF(ISNUMBER(SEARCH("Party Name:-",'R.M Billets Reports'!D2374)),TRIM('R.M Billets Reports'!F2374),IF(ISNUMBER(SEARCH("Party Name-",'R.M Billets Reports'!D2374)),TRIM(MID('R.M Billets Reports'!D2374,SEARCH("-",'R.M Billets Reports'!D2374)+1,200)),"")),IF(ISNUMBER(SEARCH("Party Name:-",'R.M Billets Reports'!D2375)),TRIM('R.M Billets Reports'!F2375),IF(ISNUMBER(SEARCH("Party Name-",'R.M Billets Reports'!D2375)),TRIM(MID('R.M Billets Reports'!D2375,SEARCH("-",'R.M Billets Reports'!D2375)+1,200)),"")))="VRKP ISPAT PVT LTD","VRKP",IF(IF(IF(ISNUMBER(SEARCH("Party Name:-",'R.M Billets Reports'!D2374)),TRIM('R.M Billets Reports'!F2374),IF(ISNUMBER(SEARCH("Party Name-",'R.M Billets Reports'!D2374)),TRIM(MID('R.M Billets Reports'!D2374,SEARCH("-",'R.M Billets Reports'!D2374)+1,200)),""))&lt;&gt;"",IF(ISNUMBER(SEARCH("Party Name:-",'R.M Billets Reports'!D2374)),TRIM('R.M Billets Reports'!F2374),IF(ISNUMBER(SEARCH("Party Name-",'R.M Billets Reports'!D2374)),TRIM(MID('R.M Billets Reports'!D2374,SEARCH("-",'R.M Billets Reports'!D2374)+1,200)),"")),IF(ISNUMBER(SEARCH("Party Name:-",'R.M Billets Reports'!D2375)),TRIM('R.M Billets Reports'!F2375),IF(ISNUMBER(SEARCH("Party Name-",'R.M Billets Reports'!D2375)),TRIM(MID('R.M Billets Reports'!D2375,SEARCH("-",'R.M Billets Reports'!D2375)+1,200)),"")))="SHRI RADHE","SHREE RADHE",IF(IF(IF(ISNUMBER(SEARCH("Party Name:-",'R.M Billets Reports'!D2374)),TRIM('R.M Billets Reports'!F2374),IF(ISNUMBER(SEARCH("Party Name-",'R.M Billets Reports'!D2374)),TRIM(MID('R.M Billets Reports'!D2374,SEARCH("-",'R.M Billets Reports'!D2374)+1,200)),""))&lt;&gt;"",IF(ISNUMBER(SEARCH("Party Name:-",'R.M Billets Reports'!D2374)),TRIM('R.M Billets Reports'!F2374),IF(ISNUMBER(SEARCH("Party Name-",'R.M Billets Reports'!D2374)),TRIM(MID('R.M Billets Reports'!D2374,SEARCH("-",'R.M Billets Reports'!D2374)+1,200)),"")),IF(ISNUMBER(SEARCH("Party Name:-",'R.M Billets Reports'!D2375)),TRIM('R.M Billets Reports'!F2375),IF(ISNUMBER(SEARCH("Party Name-",'R.M Billets Reports'!D2375)),TRIM(MID('R.M Billets Reports'!D2375,SEARCH("-",'R.M Billets Reports'!D2375)+1,200)),"")))="SHREE RADHE SHAKTI SPONGE AND POWER PVT. LTD.","SHREE RADHE",IF(IF(ISNUMBER(SEARCH("Party Name:-",'R.M Billets Reports'!D2374)),TRIM('R.M Billets Reports'!F2374),IF(ISNUMBER(SEARCH("Party Name-",'R.M Billets Reports'!D2374)),TRIM(MID('R.M Billets Reports'!D2374,SEARCH("-",'R.M Billets Reports'!D2374)+1,200)),""))&lt;&gt;"",IF(ISNUMBER(SEARCH("Party Name:-",'R.M Billets Reports'!D2374)),TRIM('R.M Billets Reports'!F2374),IF(ISNUMBER(SEARCH("Party Name-",'R.M Billets Reports'!D2374)),TRIM(MID('R.M Billets Reports'!D2374,SEARCH("-",'R.M Billets Reports'!D2374)+1,200)),"")),IF(ISNUMBER(SEARCH("Party Name:-",'R.M Billets Reports'!D2375)),TRIM('R.M Billets Reports'!F2375),IF(ISNUMBER(SEARCH("Party Name-",'R.M Billets Reports'!D2375)),TRIM(MID('R.M Billets Reports'!D2375,SEARCH("-",'R.M Billets Reports'!D2375)+1,200)),"")))))),IF(ROW()=2,"",A2374))</f>
      </c>
      <c r="B2375">
        <f>IF(OR('R.M Billets Reports'!A2374="Date-",'R.M Billets Reports'!A2374="Date:-"),'R.M Billets Reports'!B2374,IF(ROW()=2,"",B2374))</f>
      </c>
      <c r="C2375">
        <f>IF('R.M Billets Reports'!A2374="V.No.",'R.M Billets Reports'!B2374,IF(ROW()=2,"",C2374))</f>
      </c>
      <c r="D2375">
        <f>IF('R.M Billets Reports'!A2374&lt;&gt;"",'R.M Billets Reports'!A2374,IF(ROW()=2,"",D2374))</f>
      </c>
      <c r="E2375">
        <f>IF('R.M Billets Reports'!B2374="","",TRIM('R.M Billets Reports'!B2374))</f>
      </c>
      <c r="F2375">
        <f>'R.M Billets Reports'!C2374</f>
      </c>
      <c r="G2375">
        <f>'R.M Billets Reports'!D2374</f>
      </c>
      <c r="H2375">
        <f>'R.M Billets Reports'!E2374</f>
      </c>
      <c r="I2375">
        <f>'R.M Billets Reports'!F2374</f>
      </c>
      <c r="J2375">
        <f>'R.M Billets Reports'!G2374</f>
      </c>
      <c r="K2375">
        <f>'R.M Billets Reports'!H2374</f>
      </c>
      <c r="L2375">
        <f>IF('R.M Billets Reports'!I2374="","",'R.M Billets Reports'!I2374)</f>
      </c>
      <c r="M2375">
        <f t="shared" si="74"/>
      </c>
      <c r="N2375">
        <f>IF('R.M Billets Reports'!J2374="","",'R.M Billets Reports'!J2374)</f>
      </c>
      <c r="O2375">
        <f t="shared" si="75"/>
      </c>
      <c r="P2375">
        <f>IF('R.M Billets Reports'!A2374="SIZE",'R.M Billets Reports'!B2374,P2374)</f>
      </c>
    </row>
    <row r="2376" spans="1:16" x14ac:dyDescent="0.25">
      <c r="A2376">
        <f>IF(OR('R.M Billets Reports'!A2375="Date-",'R.M Billets Reports'!A2375="Date:-"),IF(IF(IF(ISNUMBER(SEARCH("Party Name:-",'R.M Billets Reports'!D2375)),TRIM('R.M Billets Reports'!F2375),IF(ISNUMBER(SEARCH("Party Name-",'R.M Billets Reports'!D2375)),TRIM(MID('R.M Billets Reports'!D2375,SEARCH("-",'R.M Billets Reports'!D2375)+1,200)),""))&lt;&gt;"",IF(ISNUMBER(SEARCH("Party Name:-",'R.M Billets Reports'!D2375)),TRIM('R.M Billets Reports'!F2375),IF(ISNUMBER(SEARCH("Party Name-",'R.M Billets Reports'!D2375)),TRIM(MID('R.M Billets Reports'!D2375,SEARCH("-",'R.M Billets Reports'!D2375)+1,200)),"")),IF(ISNUMBER(SEARCH("Party Name:-",'R.M Billets Reports'!D2376)),TRIM('R.M Billets Reports'!F2376),IF(ISNUMBER(SEARCH("Party Name-",'R.M Billets Reports'!D2376)),TRIM(MID('R.M Billets Reports'!D2376,SEARCH("-",'R.M Billets Reports'!D2376)+1,200)),"")))="VRKP ISPAT PVT LTD","VRKP",IF(IF(IF(ISNUMBER(SEARCH("Party Name:-",'R.M Billets Reports'!D2375)),TRIM('R.M Billets Reports'!F2375),IF(ISNUMBER(SEARCH("Party Name-",'R.M Billets Reports'!D2375)),TRIM(MID('R.M Billets Reports'!D2375,SEARCH("-",'R.M Billets Reports'!D2375)+1,200)),""))&lt;&gt;"",IF(ISNUMBER(SEARCH("Party Name:-",'R.M Billets Reports'!D2375)),TRIM('R.M Billets Reports'!F2375),IF(ISNUMBER(SEARCH("Party Name-",'R.M Billets Reports'!D2375)),TRIM(MID('R.M Billets Reports'!D2375,SEARCH("-",'R.M Billets Reports'!D2375)+1,200)),"")),IF(ISNUMBER(SEARCH("Party Name:-",'R.M Billets Reports'!D2376)),TRIM('R.M Billets Reports'!F2376),IF(ISNUMBER(SEARCH("Party Name-",'R.M Billets Reports'!D2376)),TRIM(MID('R.M Billets Reports'!D2376,SEARCH("-",'R.M Billets Reports'!D2376)+1,200)),"")))="SHRI RADHE","SHREE RADHE",IF(IF(IF(ISNUMBER(SEARCH("Party Name:-",'R.M Billets Reports'!D2375)),TRIM('R.M Billets Reports'!F2375),IF(ISNUMBER(SEARCH("Party Name-",'R.M Billets Reports'!D2375)),TRIM(MID('R.M Billets Reports'!D2375,SEARCH("-",'R.M Billets Reports'!D2375)+1,200)),""))&lt;&gt;"",IF(ISNUMBER(SEARCH("Party Name:-",'R.M Billets Reports'!D2375)),TRIM('R.M Billets Reports'!F2375),IF(ISNUMBER(SEARCH("Party Name-",'R.M Billets Reports'!D2375)),TRIM(MID('R.M Billets Reports'!D2375,SEARCH("-",'R.M Billets Reports'!D2375)+1,200)),"")),IF(ISNUMBER(SEARCH("Party Name:-",'R.M Billets Reports'!D2376)),TRIM('R.M Billets Reports'!F2376),IF(ISNUMBER(SEARCH("Party Name-",'R.M Billets Reports'!D2376)),TRIM(MID('R.M Billets Reports'!D2376,SEARCH("-",'R.M Billets Reports'!D2376)+1,200)),"")))="SHREE RADHE SHAKTI SPONGE AND POWER PVT. LTD.","SHREE RADHE",IF(IF(ISNUMBER(SEARCH("Party Name:-",'R.M Billets Reports'!D2375)),TRIM('R.M Billets Reports'!F2375),IF(ISNUMBER(SEARCH("Party Name-",'R.M Billets Reports'!D2375)),TRIM(MID('R.M Billets Reports'!D2375,SEARCH("-",'R.M Billets Reports'!D2375)+1,200)),""))&lt;&gt;"",IF(ISNUMBER(SEARCH("Party Name:-",'R.M Billets Reports'!D2375)),TRIM('R.M Billets Reports'!F2375),IF(ISNUMBER(SEARCH("Party Name-",'R.M Billets Reports'!D2375)),TRIM(MID('R.M Billets Reports'!D2375,SEARCH("-",'R.M Billets Reports'!D2375)+1,200)),"")),IF(ISNUMBER(SEARCH("Party Name:-",'R.M Billets Reports'!D2376)),TRIM('R.M Billets Reports'!F2376),IF(ISNUMBER(SEARCH("Party Name-",'R.M Billets Reports'!D2376)),TRIM(MID('R.M Billets Reports'!D2376,SEARCH("-",'R.M Billets Reports'!D2376)+1,200)),"")))))),IF(ROW()=2,"",A2375))</f>
      </c>
      <c r="B2376">
        <f>IF(OR('R.M Billets Reports'!A2375="Date-",'R.M Billets Reports'!A2375="Date:-"),'R.M Billets Reports'!B2375,IF(ROW()=2,"",B2375))</f>
      </c>
      <c r="C2376">
        <f>IF('R.M Billets Reports'!A2375="V.No.",'R.M Billets Reports'!B2375,IF(ROW()=2,"",C2375))</f>
      </c>
      <c r="D2376">
        <f>IF('R.M Billets Reports'!A2375&lt;&gt;"",'R.M Billets Reports'!A2375,IF(ROW()=2,"",D2375))</f>
      </c>
      <c r="E2376">
        <f>IF('R.M Billets Reports'!B2375="","",TRIM('R.M Billets Reports'!B2375))</f>
      </c>
      <c r="F2376">
        <f>'R.M Billets Reports'!C2375</f>
      </c>
      <c r="G2376">
        <f>'R.M Billets Reports'!D2375</f>
      </c>
      <c r="H2376">
        <f>'R.M Billets Reports'!E2375</f>
      </c>
      <c r="I2376">
        <f>'R.M Billets Reports'!F2375</f>
      </c>
      <c r="J2376">
        <f>'R.M Billets Reports'!G2375</f>
      </c>
      <c r="K2376">
        <f>'R.M Billets Reports'!H2375</f>
      </c>
      <c r="L2376">
        <f>IF('R.M Billets Reports'!I2375="","",'R.M Billets Reports'!I2375)</f>
      </c>
      <c r="M2376">
        <f t="shared" si="74"/>
      </c>
      <c r="N2376">
        <f>IF('R.M Billets Reports'!J2375="","",'R.M Billets Reports'!J2375)</f>
      </c>
      <c r="O2376">
        <f t="shared" si="75"/>
      </c>
      <c r="P2376">
        <f>IF('R.M Billets Reports'!A2375="SIZE",'R.M Billets Reports'!B2375,P2375)</f>
      </c>
    </row>
    <row r="2377" spans="1:16" x14ac:dyDescent="0.25">
      <c r="A2377">
        <f>IF(OR('R.M Billets Reports'!A2376="Date-",'R.M Billets Reports'!A2376="Date:-"),IF(IF(IF(ISNUMBER(SEARCH("Party Name:-",'R.M Billets Reports'!D2376)),TRIM('R.M Billets Reports'!F2376),IF(ISNUMBER(SEARCH("Party Name-",'R.M Billets Reports'!D2376)),TRIM(MID('R.M Billets Reports'!D2376,SEARCH("-",'R.M Billets Reports'!D2376)+1,200)),""))&lt;&gt;"",IF(ISNUMBER(SEARCH("Party Name:-",'R.M Billets Reports'!D2376)),TRIM('R.M Billets Reports'!F2376),IF(ISNUMBER(SEARCH("Party Name-",'R.M Billets Reports'!D2376)),TRIM(MID('R.M Billets Reports'!D2376,SEARCH("-",'R.M Billets Reports'!D2376)+1,200)),"")),IF(ISNUMBER(SEARCH("Party Name:-",'R.M Billets Reports'!D2377)),TRIM('R.M Billets Reports'!F2377),IF(ISNUMBER(SEARCH("Party Name-",'R.M Billets Reports'!D2377)),TRIM(MID('R.M Billets Reports'!D2377,SEARCH("-",'R.M Billets Reports'!D2377)+1,200)),"")))="VRKP ISPAT PVT LTD","VRKP",IF(IF(IF(ISNUMBER(SEARCH("Party Name:-",'R.M Billets Reports'!D2376)),TRIM('R.M Billets Reports'!F2376),IF(ISNUMBER(SEARCH("Party Name-",'R.M Billets Reports'!D2376)),TRIM(MID('R.M Billets Reports'!D2376,SEARCH("-",'R.M Billets Reports'!D2376)+1,200)),""))&lt;&gt;"",IF(ISNUMBER(SEARCH("Party Name:-",'R.M Billets Reports'!D2376)),TRIM('R.M Billets Reports'!F2376),IF(ISNUMBER(SEARCH("Party Name-",'R.M Billets Reports'!D2376)),TRIM(MID('R.M Billets Reports'!D2376,SEARCH("-",'R.M Billets Reports'!D2376)+1,200)),"")),IF(ISNUMBER(SEARCH("Party Name:-",'R.M Billets Reports'!D2377)),TRIM('R.M Billets Reports'!F2377),IF(ISNUMBER(SEARCH("Party Name-",'R.M Billets Reports'!D2377)),TRIM(MID('R.M Billets Reports'!D2377,SEARCH("-",'R.M Billets Reports'!D2377)+1,200)),"")))="SHRI RADHE","SHREE RADHE",IF(IF(IF(ISNUMBER(SEARCH("Party Name:-",'R.M Billets Reports'!D2376)),TRIM('R.M Billets Reports'!F2376),IF(ISNUMBER(SEARCH("Party Name-",'R.M Billets Reports'!D2376)),TRIM(MID('R.M Billets Reports'!D2376,SEARCH("-",'R.M Billets Reports'!D2376)+1,200)),""))&lt;&gt;"",IF(ISNUMBER(SEARCH("Party Name:-",'R.M Billets Reports'!D2376)),TRIM('R.M Billets Reports'!F2376),IF(ISNUMBER(SEARCH("Party Name-",'R.M Billets Reports'!D2376)),TRIM(MID('R.M Billets Reports'!D2376,SEARCH("-",'R.M Billets Reports'!D2376)+1,200)),"")),IF(ISNUMBER(SEARCH("Party Name:-",'R.M Billets Reports'!D2377)),TRIM('R.M Billets Reports'!F2377),IF(ISNUMBER(SEARCH("Party Name-",'R.M Billets Reports'!D2377)),TRIM(MID('R.M Billets Reports'!D2377,SEARCH("-",'R.M Billets Reports'!D2377)+1,200)),"")))="SHREE RADHE SHAKTI SPONGE AND POWER PVT. LTD.","SHREE RADHE",IF(IF(ISNUMBER(SEARCH("Party Name:-",'R.M Billets Reports'!D2376)),TRIM('R.M Billets Reports'!F2376),IF(ISNUMBER(SEARCH("Party Name-",'R.M Billets Reports'!D2376)),TRIM(MID('R.M Billets Reports'!D2376,SEARCH("-",'R.M Billets Reports'!D2376)+1,200)),""))&lt;&gt;"",IF(ISNUMBER(SEARCH("Party Name:-",'R.M Billets Reports'!D2376)),TRIM('R.M Billets Reports'!F2376),IF(ISNUMBER(SEARCH("Party Name-",'R.M Billets Reports'!D2376)),TRIM(MID('R.M Billets Reports'!D2376,SEARCH("-",'R.M Billets Reports'!D2376)+1,200)),"")),IF(ISNUMBER(SEARCH("Party Name:-",'R.M Billets Reports'!D2377)),TRIM('R.M Billets Reports'!F2377),IF(ISNUMBER(SEARCH("Party Name-",'R.M Billets Reports'!D2377)),TRIM(MID('R.M Billets Reports'!D2377,SEARCH("-",'R.M Billets Reports'!D2377)+1,200)),"")))))),IF(ROW()=2,"",A2376))</f>
      </c>
      <c r="B2377">
        <f>IF(OR('R.M Billets Reports'!A2376="Date-",'R.M Billets Reports'!A2376="Date:-"),'R.M Billets Reports'!B2376,IF(ROW()=2,"",B2376))</f>
      </c>
      <c r="C2377">
        <f>IF('R.M Billets Reports'!A2376="V.No.",'R.M Billets Reports'!B2376,IF(ROW()=2,"",C2376))</f>
      </c>
      <c r="D2377">
        <f>IF('R.M Billets Reports'!A2376&lt;&gt;"",'R.M Billets Reports'!A2376,IF(ROW()=2,"",D2376))</f>
      </c>
      <c r="E2377">
        <f>IF('R.M Billets Reports'!B2376="","",TRIM('R.M Billets Reports'!B2376))</f>
      </c>
      <c r="F2377">
        <f>'R.M Billets Reports'!C2376</f>
      </c>
      <c r="G2377">
        <f>'R.M Billets Reports'!D2376</f>
      </c>
      <c r="H2377">
        <f>'R.M Billets Reports'!E2376</f>
      </c>
      <c r="I2377">
        <f>'R.M Billets Reports'!F2376</f>
      </c>
      <c r="J2377">
        <f>'R.M Billets Reports'!G2376</f>
      </c>
      <c r="K2377">
        <f>'R.M Billets Reports'!H2376</f>
      </c>
      <c r="L2377">
        <f>IF('R.M Billets Reports'!I2376="","",'R.M Billets Reports'!I2376)</f>
      </c>
      <c r="M2377">
        <f t="shared" si="74"/>
      </c>
      <c r="N2377">
        <f>IF('R.M Billets Reports'!J2376="","",'R.M Billets Reports'!J2376)</f>
      </c>
      <c r="O2377">
        <f t="shared" si="75"/>
      </c>
      <c r="P2377">
        <f>IF('R.M Billets Reports'!A2376="SIZE",'R.M Billets Reports'!B2376,P2376)</f>
      </c>
    </row>
    <row r="2378" spans="1:16" x14ac:dyDescent="0.25">
      <c r="A2378">
        <f>IF(OR('R.M Billets Reports'!A2377="Date-",'R.M Billets Reports'!A2377="Date:-"),IF(IF(IF(ISNUMBER(SEARCH("Party Name:-",'R.M Billets Reports'!D2377)),TRIM('R.M Billets Reports'!F2377),IF(ISNUMBER(SEARCH("Party Name-",'R.M Billets Reports'!D2377)),TRIM(MID('R.M Billets Reports'!D2377,SEARCH("-",'R.M Billets Reports'!D2377)+1,200)),""))&lt;&gt;"",IF(ISNUMBER(SEARCH("Party Name:-",'R.M Billets Reports'!D2377)),TRIM('R.M Billets Reports'!F2377),IF(ISNUMBER(SEARCH("Party Name-",'R.M Billets Reports'!D2377)),TRIM(MID('R.M Billets Reports'!D2377,SEARCH("-",'R.M Billets Reports'!D2377)+1,200)),"")),IF(ISNUMBER(SEARCH("Party Name:-",'R.M Billets Reports'!D2378)),TRIM('R.M Billets Reports'!F2378),IF(ISNUMBER(SEARCH("Party Name-",'R.M Billets Reports'!D2378)),TRIM(MID('R.M Billets Reports'!D2378,SEARCH("-",'R.M Billets Reports'!D2378)+1,200)),"")))="VRKP ISPAT PVT LTD","VRKP",IF(IF(IF(ISNUMBER(SEARCH("Party Name:-",'R.M Billets Reports'!D2377)),TRIM('R.M Billets Reports'!F2377),IF(ISNUMBER(SEARCH("Party Name-",'R.M Billets Reports'!D2377)),TRIM(MID('R.M Billets Reports'!D2377,SEARCH("-",'R.M Billets Reports'!D2377)+1,200)),""))&lt;&gt;"",IF(ISNUMBER(SEARCH("Party Name:-",'R.M Billets Reports'!D2377)),TRIM('R.M Billets Reports'!F2377),IF(ISNUMBER(SEARCH("Party Name-",'R.M Billets Reports'!D2377)),TRIM(MID('R.M Billets Reports'!D2377,SEARCH("-",'R.M Billets Reports'!D2377)+1,200)),"")),IF(ISNUMBER(SEARCH("Party Name:-",'R.M Billets Reports'!D2378)),TRIM('R.M Billets Reports'!F2378),IF(ISNUMBER(SEARCH("Party Name-",'R.M Billets Reports'!D2378)),TRIM(MID('R.M Billets Reports'!D2378,SEARCH("-",'R.M Billets Reports'!D2378)+1,200)),"")))="SHRI RADHE","SHREE RADHE",IF(IF(IF(ISNUMBER(SEARCH("Party Name:-",'R.M Billets Reports'!D2377)),TRIM('R.M Billets Reports'!F2377),IF(ISNUMBER(SEARCH("Party Name-",'R.M Billets Reports'!D2377)),TRIM(MID('R.M Billets Reports'!D2377,SEARCH("-",'R.M Billets Reports'!D2377)+1,200)),""))&lt;&gt;"",IF(ISNUMBER(SEARCH("Party Name:-",'R.M Billets Reports'!D2377)),TRIM('R.M Billets Reports'!F2377),IF(ISNUMBER(SEARCH("Party Name-",'R.M Billets Reports'!D2377)),TRIM(MID('R.M Billets Reports'!D2377,SEARCH("-",'R.M Billets Reports'!D2377)+1,200)),"")),IF(ISNUMBER(SEARCH("Party Name:-",'R.M Billets Reports'!D2378)),TRIM('R.M Billets Reports'!F2378),IF(ISNUMBER(SEARCH("Party Name-",'R.M Billets Reports'!D2378)),TRIM(MID('R.M Billets Reports'!D2378,SEARCH("-",'R.M Billets Reports'!D2378)+1,200)),"")))="SHREE RADHE SHAKTI SPONGE AND POWER PVT. LTD.","SHREE RADHE",IF(IF(ISNUMBER(SEARCH("Party Name:-",'R.M Billets Reports'!D2377)),TRIM('R.M Billets Reports'!F2377),IF(ISNUMBER(SEARCH("Party Name-",'R.M Billets Reports'!D2377)),TRIM(MID('R.M Billets Reports'!D2377,SEARCH("-",'R.M Billets Reports'!D2377)+1,200)),""))&lt;&gt;"",IF(ISNUMBER(SEARCH("Party Name:-",'R.M Billets Reports'!D2377)),TRIM('R.M Billets Reports'!F2377),IF(ISNUMBER(SEARCH("Party Name-",'R.M Billets Reports'!D2377)),TRIM(MID('R.M Billets Reports'!D2377,SEARCH("-",'R.M Billets Reports'!D2377)+1,200)),"")),IF(ISNUMBER(SEARCH("Party Name:-",'R.M Billets Reports'!D2378)),TRIM('R.M Billets Reports'!F2378),IF(ISNUMBER(SEARCH("Party Name-",'R.M Billets Reports'!D2378)),TRIM(MID('R.M Billets Reports'!D2378,SEARCH("-",'R.M Billets Reports'!D2378)+1,200)),"")))))),IF(ROW()=2,"",A2377))</f>
      </c>
      <c r="B2378">
        <f>IF(OR('R.M Billets Reports'!A2377="Date-",'R.M Billets Reports'!A2377="Date:-"),'R.M Billets Reports'!B2377,IF(ROW()=2,"",B2377))</f>
      </c>
      <c r="C2378">
        <f>IF('R.M Billets Reports'!A2377="V.No.",'R.M Billets Reports'!B2377,IF(ROW()=2,"",C2377))</f>
      </c>
      <c r="D2378">
        <f>IF('R.M Billets Reports'!A2377&lt;&gt;"",'R.M Billets Reports'!A2377,IF(ROW()=2,"",D2377))</f>
      </c>
      <c r="E2378">
        <f>IF('R.M Billets Reports'!B2377="","",TRIM('R.M Billets Reports'!B2377))</f>
      </c>
      <c r="F2378">
        <f>'R.M Billets Reports'!C2377</f>
      </c>
      <c r="G2378">
        <f>'R.M Billets Reports'!D2377</f>
      </c>
      <c r="H2378">
        <f>'R.M Billets Reports'!E2377</f>
      </c>
      <c r="I2378">
        <f>'R.M Billets Reports'!F2377</f>
      </c>
      <c r="J2378">
        <f>'R.M Billets Reports'!G2377</f>
      </c>
      <c r="K2378">
        <f>'R.M Billets Reports'!H2377</f>
      </c>
      <c r="L2378">
        <f>IF('R.M Billets Reports'!I2377="","",'R.M Billets Reports'!I2377)</f>
      </c>
      <c r="M2378">
        <f t="shared" si="74"/>
      </c>
      <c r="N2378">
        <f>IF('R.M Billets Reports'!J2377="","",'R.M Billets Reports'!J2377)</f>
      </c>
      <c r="O2378">
        <f t="shared" si="75"/>
      </c>
      <c r="P2378">
        <f>IF('R.M Billets Reports'!A2377="SIZE",'R.M Billets Reports'!B2377,P2377)</f>
      </c>
    </row>
    <row r="2379" spans="1:16" x14ac:dyDescent="0.25">
      <c r="A2379">
        <f>IF(OR('R.M Billets Reports'!A2378="Date-",'R.M Billets Reports'!A2378="Date:-"),IF(IF(IF(ISNUMBER(SEARCH("Party Name:-",'R.M Billets Reports'!D2378)),TRIM('R.M Billets Reports'!F2378),IF(ISNUMBER(SEARCH("Party Name-",'R.M Billets Reports'!D2378)),TRIM(MID('R.M Billets Reports'!D2378,SEARCH("-",'R.M Billets Reports'!D2378)+1,200)),""))&lt;&gt;"",IF(ISNUMBER(SEARCH("Party Name:-",'R.M Billets Reports'!D2378)),TRIM('R.M Billets Reports'!F2378),IF(ISNUMBER(SEARCH("Party Name-",'R.M Billets Reports'!D2378)),TRIM(MID('R.M Billets Reports'!D2378,SEARCH("-",'R.M Billets Reports'!D2378)+1,200)),"")),IF(ISNUMBER(SEARCH("Party Name:-",'R.M Billets Reports'!D2379)),TRIM('R.M Billets Reports'!F2379),IF(ISNUMBER(SEARCH("Party Name-",'R.M Billets Reports'!D2379)),TRIM(MID('R.M Billets Reports'!D2379,SEARCH("-",'R.M Billets Reports'!D2379)+1,200)),"")))="VRKP ISPAT PVT LTD","VRKP",IF(IF(IF(ISNUMBER(SEARCH("Party Name:-",'R.M Billets Reports'!D2378)),TRIM('R.M Billets Reports'!F2378),IF(ISNUMBER(SEARCH("Party Name-",'R.M Billets Reports'!D2378)),TRIM(MID('R.M Billets Reports'!D2378,SEARCH("-",'R.M Billets Reports'!D2378)+1,200)),""))&lt;&gt;"",IF(ISNUMBER(SEARCH("Party Name:-",'R.M Billets Reports'!D2378)),TRIM('R.M Billets Reports'!F2378),IF(ISNUMBER(SEARCH("Party Name-",'R.M Billets Reports'!D2378)),TRIM(MID('R.M Billets Reports'!D2378,SEARCH("-",'R.M Billets Reports'!D2378)+1,200)),"")),IF(ISNUMBER(SEARCH("Party Name:-",'R.M Billets Reports'!D2379)),TRIM('R.M Billets Reports'!F2379),IF(ISNUMBER(SEARCH("Party Name-",'R.M Billets Reports'!D2379)),TRIM(MID('R.M Billets Reports'!D2379,SEARCH("-",'R.M Billets Reports'!D2379)+1,200)),"")))="SHRI RADHE","SHREE RADHE",IF(IF(IF(ISNUMBER(SEARCH("Party Name:-",'R.M Billets Reports'!D2378)),TRIM('R.M Billets Reports'!F2378),IF(ISNUMBER(SEARCH("Party Name-",'R.M Billets Reports'!D2378)),TRIM(MID('R.M Billets Reports'!D2378,SEARCH("-",'R.M Billets Reports'!D2378)+1,200)),""))&lt;&gt;"",IF(ISNUMBER(SEARCH("Party Name:-",'R.M Billets Reports'!D2378)),TRIM('R.M Billets Reports'!F2378),IF(ISNUMBER(SEARCH("Party Name-",'R.M Billets Reports'!D2378)),TRIM(MID('R.M Billets Reports'!D2378,SEARCH("-",'R.M Billets Reports'!D2378)+1,200)),"")),IF(ISNUMBER(SEARCH("Party Name:-",'R.M Billets Reports'!D2379)),TRIM('R.M Billets Reports'!F2379),IF(ISNUMBER(SEARCH("Party Name-",'R.M Billets Reports'!D2379)),TRIM(MID('R.M Billets Reports'!D2379,SEARCH("-",'R.M Billets Reports'!D2379)+1,200)),"")))="SHREE RADHE SHAKTI SPONGE AND POWER PVT. LTD.","SHREE RADHE",IF(IF(ISNUMBER(SEARCH("Party Name:-",'R.M Billets Reports'!D2378)),TRIM('R.M Billets Reports'!F2378),IF(ISNUMBER(SEARCH("Party Name-",'R.M Billets Reports'!D2378)),TRIM(MID('R.M Billets Reports'!D2378,SEARCH("-",'R.M Billets Reports'!D2378)+1,200)),""))&lt;&gt;"",IF(ISNUMBER(SEARCH("Party Name:-",'R.M Billets Reports'!D2378)),TRIM('R.M Billets Reports'!F2378),IF(ISNUMBER(SEARCH("Party Name-",'R.M Billets Reports'!D2378)),TRIM(MID('R.M Billets Reports'!D2378,SEARCH("-",'R.M Billets Reports'!D2378)+1,200)),"")),IF(ISNUMBER(SEARCH("Party Name:-",'R.M Billets Reports'!D2379)),TRIM('R.M Billets Reports'!F2379),IF(ISNUMBER(SEARCH("Party Name-",'R.M Billets Reports'!D2379)),TRIM(MID('R.M Billets Reports'!D2379,SEARCH("-",'R.M Billets Reports'!D2379)+1,200)),"")))))),IF(ROW()=2,"",A2378))</f>
      </c>
      <c r="B2379">
        <f>IF(OR('R.M Billets Reports'!A2378="Date-",'R.M Billets Reports'!A2378="Date:-"),'R.M Billets Reports'!B2378,IF(ROW()=2,"",B2378))</f>
      </c>
      <c r="C2379">
        <f>IF('R.M Billets Reports'!A2378="V.No.",'R.M Billets Reports'!B2378,IF(ROW()=2,"",C2378))</f>
      </c>
      <c r="D2379">
        <f>IF('R.M Billets Reports'!A2378&lt;&gt;"",'R.M Billets Reports'!A2378,IF(ROW()=2,"",D2378))</f>
      </c>
      <c r="E2379">
        <f>IF('R.M Billets Reports'!B2378="","",TRIM('R.M Billets Reports'!B2378))</f>
      </c>
      <c r="F2379">
        <f>'R.M Billets Reports'!C2378</f>
      </c>
      <c r="G2379">
        <f>'R.M Billets Reports'!D2378</f>
      </c>
      <c r="H2379">
        <f>'R.M Billets Reports'!E2378</f>
      </c>
      <c r="I2379">
        <f>'R.M Billets Reports'!F2378</f>
      </c>
      <c r="J2379">
        <f>'R.M Billets Reports'!G2378</f>
      </c>
      <c r="K2379">
        <f>'R.M Billets Reports'!H2378</f>
      </c>
      <c r="L2379">
        <f>IF('R.M Billets Reports'!I2378="","",'R.M Billets Reports'!I2378)</f>
      </c>
      <c r="M2379">
        <f t="shared" si="74"/>
      </c>
      <c r="N2379">
        <f>IF('R.M Billets Reports'!J2378="","",'R.M Billets Reports'!J2378)</f>
      </c>
      <c r="O2379">
        <f t="shared" si="75"/>
      </c>
      <c r="P2379">
        <f>IF('R.M Billets Reports'!A2378="SIZE",'R.M Billets Reports'!B2378,P2378)</f>
      </c>
    </row>
    <row r="2380" spans="1:16" x14ac:dyDescent="0.25">
      <c r="A2380">
        <f>IF(OR('R.M Billets Reports'!A2379="Date-",'R.M Billets Reports'!A2379="Date:-"),IF(IF(IF(ISNUMBER(SEARCH("Party Name:-",'R.M Billets Reports'!D2379)),TRIM('R.M Billets Reports'!F2379),IF(ISNUMBER(SEARCH("Party Name-",'R.M Billets Reports'!D2379)),TRIM(MID('R.M Billets Reports'!D2379,SEARCH("-",'R.M Billets Reports'!D2379)+1,200)),""))&lt;&gt;"",IF(ISNUMBER(SEARCH("Party Name:-",'R.M Billets Reports'!D2379)),TRIM('R.M Billets Reports'!F2379),IF(ISNUMBER(SEARCH("Party Name-",'R.M Billets Reports'!D2379)),TRIM(MID('R.M Billets Reports'!D2379,SEARCH("-",'R.M Billets Reports'!D2379)+1,200)),"")),IF(ISNUMBER(SEARCH("Party Name:-",'R.M Billets Reports'!D2380)),TRIM('R.M Billets Reports'!F2380),IF(ISNUMBER(SEARCH("Party Name-",'R.M Billets Reports'!D2380)),TRIM(MID('R.M Billets Reports'!D2380,SEARCH("-",'R.M Billets Reports'!D2380)+1,200)),"")))="VRKP ISPAT PVT LTD","VRKP",IF(IF(IF(ISNUMBER(SEARCH("Party Name:-",'R.M Billets Reports'!D2379)),TRIM('R.M Billets Reports'!F2379),IF(ISNUMBER(SEARCH("Party Name-",'R.M Billets Reports'!D2379)),TRIM(MID('R.M Billets Reports'!D2379,SEARCH("-",'R.M Billets Reports'!D2379)+1,200)),""))&lt;&gt;"",IF(ISNUMBER(SEARCH("Party Name:-",'R.M Billets Reports'!D2379)),TRIM('R.M Billets Reports'!F2379),IF(ISNUMBER(SEARCH("Party Name-",'R.M Billets Reports'!D2379)),TRIM(MID('R.M Billets Reports'!D2379,SEARCH("-",'R.M Billets Reports'!D2379)+1,200)),"")),IF(ISNUMBER(SEARCH("Party Name:-",'R.M Billets Reports'!D2380)),TRIM('R.M Billets Reports'!F2380),IF(ISNUMBER(SEARCH("Party Name-",'R.M Billets Reports'!D2380)),TRIM(MID('R.M Billets Reports'!D2380,SEARCH("-",'R.M Billets Reports'!D2380)+1,200)),"")))="SHRI RADHE","SHREE RADHE",IF(IF(IF(ISNUMBER(SEARCH("Party Name:-",'R.M Billets Reports'!D2379)),TRIM('R.M Billets Reports'!F2379),IF(ISNUMBER(SEARCH("Party Name-",'R.M Billets Reports'!D2379)),TRIM(MID('R.M Billets Reports'!D2379,SEARCH("-",'R.M Billets Reports'!D2379)+1,200)),""))&lt;&gt;"",IF(ISNUMBER(SEARCH("Party Name:-",'R.M Billets Reports'!D2379)),TRIM('R.M Billets Reports'!F2379),IF(ISNUMBER(SEARCH("Party Name-",'R.M Billets Reports'!D2379)),TRIM(MID('R.M Billets Reports'!D2379,SEARCH("-",'R.M Billets Reports'!D2379)+1,200)),"")),IF(ISNUMBER(SEARCH("Party Name:-",'R.M Billets Reports'!D2380)),TRIM('R.M Billets Reports'!F2380),IF(ISNUMBER(SEARCH("Party Name-",'R.M Billets Reports'!D2380)),TRIM(MID('R.M Billets Reports'!D2380,SEARCH("-",'R.M Billets Reports'!D2380)+1,200)),"")))="SHREE RADHE SHAKTI SPONGE AND POWER PVT. LTD.","SHREE RADHE",IF(IF(ISNUMBER(SEARCH("Party Name:-",'R.M Billets Reports'!D2379)),TRIM('R.M Billets Reports'!F2379),IF(ISNUMBER(SEARCH("Party Name-",'R.M Billets Reports'!D2379)),TRIM(MID('R.M Billets Reports'!D2379,SEARCH("-",'R.M Billets Reports'!D2379)+1,200)),""))&lt;&gt;"",IF(ISNUMBER(SEARCH("Party Name:-",'R.M Billets Reports'!D2379)),TRIM('R.M Billets Reports'!F2379),IF(ISNUMBER(SEARCH("Party Name-",'R.M Billets Reports'!D2379)),TRIM(MID('R.M Billets Reports'!D2379,SEARCH("-",'R.M Billets Reports'!D2379)+1,200)),"")),IF(ISNUMBER(SEARCH("Party Name:-",'R.M Billets Reports'!D2380)),TRIM('R.M Billets Reports'!F2380),IF(ISNUMBER(SEARCH("Party Name-",'R.M Billets Reports'!D2380)),TRIM(MID('R.M Billets Reports'!D2380,SEARCH("-",'R.M Billets Reports'!D2380)+1,200)),"")))))),IF(ROW()=2,"",A2379))</f>
      </c>
      <c r="B2380">
        <f>IF(OR('R.M Billets Reports'!A2379="Date-",'R.M Billets Reports'!A2379="Date:-"),'R.M Billets Reports'!B2379,IF(ROW()=2,"",B2379))</f>
      </c>
      <c r="C2380">
        <f>IF('R.M Billets Reports'!A2379="V.No.",'R.M Billets Reports'!B2379,IF(ROW()=2,"",C2379))</f>
      </c>
      <c r="D2380">
        <f>IF('R.M Billets Reports'!A2379&lt;&gt;"",'R.M Billets Reports'!A2379,IF(ROW()=2,"",D2379))</f>
      </c>
      <c r="E2380">
        <f>IF('R.M Billets Reports'!B2379="","",TRIM('R.M Billets Reports'!B2379))</f>
      </c>
      <c r="F2380">
        <f>'R.M Billets Reports'!C2379</f>
      </c>
      <c r="G2380">
        <f>'R.M Billets Reports'!D2379</f>
      </c>
      <c r="H2380">
        <f>'R.M Billets Reports'!E2379</f>
      </c>
      <c r="I2380">
        <f>'R.M Billets Reports'!F2379</f>
      </c>
      <c r="J2380">
        <f>'R.M Billets Reports'!G2379</f>
      </c>
      <c r="K2380">
        <f>'R.M Billets Reports'!H2379</f>
      </c>
      <c r="L2380">
        <f>IF('R.M Billets Reports'!I2379="","",'R.M Billets Reports'!I2379)</f>
      </c>
      <c r="M2380">
        <f t="shared" si="74"/>
      </c>
      <c r="N2380">
        <f>IF('R.M Billets Reports'!J2379="","",'R.M Billets Reports'!J2379)</f>
      </c>
      <c r="O2380">
        <f t="shared" si="75"/>
      </c>
      <c r="P2380">
        <f>IF('R.M Billets Reports'!A2379="SIZE",'R.M Billets Reports'!B2379,P2379)</f>
      </c>
    </row>
    <row r="2381" spans="1:16" x14ac:dyDescent="0.25">
      <c r="A2381">
        <f>IF(OR('R.M Billets Reports'!A2380="Date-",'R.M Billets Reports'!A2380="Date:-"),IF(IF(IF(ISNUMBER(SEARCH("Party Name:-",'R.M Billets Reports'!D2380)),TRIM('R.M Billets Reports'!F2380),IF(ISNUMBER(SEARCH("Party Name-",'R.M Billets Reports'!D2380)),TRIM(MID('R.M Billets Reports'!D2380,SEARCH("-",'R.M Billets Reports'!D2380)+1,200)),""))&lt;&gt;"",IF(ISNUMBER(SEARCH("Party Name:-",'R.M Billets Reports'!D2380)),TRIM('R.M Billets Reports'!F2380),IF(ISNUMBER(SEARCH("Party Name-",'R.M Billets Reports'!D2380)),TRIM(MID('R.M Billets Reports'!D2380,SEARCH("-",'R.M Billets Reports'!D2380)+1,200)),"")),IF(ISNUMBER(SEARCH("Party Name:-",'R.M Billets Reports'!D2381)),TRIM('R.M Billets Reports'!F2381),IF(ISNUMBER(SEARCH("Party Name-",'R.M Billets Reports'!D2381)),TRIM(MID('R.M Billets Reports'!D2381,SEARCH("-",'R.M Billets Reports'!D2381)+1,200)),"")))="VRKP ISPAT PVT LTD","VRKP",IF(IF(IF(ISNUMBER(SEARCH("Party Name:-",'R.M Billets Reports'!D2380)),TRIM('R.M Billets Reports'!F2380),IF(ISNUMBER(SEARCH("Party Name-",'R.M Billets Reports'!D2380)),TRIM(MID('R.M Billets Reports'!D2380,SEARCH("-",'R.M Billets Reports'!D2380)+1,200)),""))&lt;&gt;"",IF(ISNUMBER(SEARCH("Party Name:-",'R.M Billets Reports'!D2380)),TRIM('R.M Billets Reports'!F2380),IF(ISNUMBER(SEARCH("Party Name-",'R.M Billets Reports'!D2380)),TRIM(MID('R.M Billets Reports'!D2380,SEARCH("-",'R.M Billets Reports'!D2380)+1,200)),"")),IF(ISNUMBER(SEARCH("Party Name:-",'R.M Billets Reports'!D2381)),TRIM('R.M Billets Reports'!F2381),IF(ISNUMBER(SEARCH("Party Name-",'R.M Billets Reports'!D2381)),TRIM(MID('R.M Billets Reports'!D2381,SEARCH("-",'R.M Billets Reports'!D2381)+1,200)),"")))="SHRI RADHE","SHREE RADHE",IF(IF(IF(ISNUMBER(SEARCH("Party Name:-",'R.M Billets Reports'!D2380)),TRIM('R.M Billets Reports'!F2380),IF(ISNUMBER(SEARCH("Party Name-",'R.M Billets Reports'!D2380)),TRIM(MID('R.M Billets Reports'!D2380,SEARCH("-",'R.M Billets Reports'!D2380)+1,200)),""))&lt;&gt;"",IF(ISNUMBER(SEARCH("Party Name:-",'R.M Billets Reports'!D2380)),TRIM('R.M Billets Reports'!F2380),IF(ISNUMBER(SEARCH("Party Name-",'R.M Billets Reports'!D2380)),TRIM(MID('R.M Billets Reports'!D2380,SEARCH("-",'R.M Billets Reports'!D2380)+1,200)),"")),IF(ISNUMBER(SEARCH("Party Name:-",'R.M Billets Reports'!D2381)),TRIM('R.M Billets Reports'!F2381),IF(ISNUMBER(SEARCH("Party Name-",'R.M Billets Reports'!D2381)),TRIM(MID('R.M Billets Reports'!D2381,SEARCH("-",'R.M Billets Reports'!D2381)+1,200)),"")))="SHREE RADHE SHAKTI SPONGE AND POWER PVT. LTD.","SHREE RADHE",IF(IF(ISNUMBER(SEARCH("Party Name:-",'R.M Billets Reports'!D2380)),TRIM('R.M Billets Reports'!F2380),IF(ISNUMBER(SEARCH("Party Name-",'R.M Billets Reports'!D2380)),TRIM(MID('R.M Billets Reports'!D2380,SEARCH("-",'R.M Billets Reports'!D2380)+1,200)),""))&lt;&gt;"",IF(ISNUMBER(SEARCH("Party Name:-",'R.M Billets Reports'!D2380)),TRIM('R.M Billets Reports'!F2380),IF(ISNUMBER(SEARCH("Party Name-",'R.M Billets Reports'!D2380)),TRIM(MID('R.M Billets Reports'!D2380,SEARCH("-",'R.M Billets Reports'!D2380)+1,200)),"")),IF(ISNUMBER(SEARCH("Party Name:-",'R.M Billets Reports'!D2381)),TRIM('R.M Billets Reports'!F2381),IF(ISNUMBER(SEARCH("Party Name-",'R.M Billets Reports'!D2381)),TRIM(MID('R.M Billets Reports'!D2381,SEARCH("-",'R.M Billets Reports'!D2381)+1,200)),"")))))),IF(ROW()=2,"",A2380))</f>
      </c>
      <c r="B2381">
        <f>IF(OR('R.M Billets Reports'!A2380="Date-",'R.M Billets Reports'!A2380="Date:-"),'R.M Billets Reports'!B2380,IF(ROW()=2,"",B2380))</f>
      </c>
      <c r="C2381">
        <f>IF('R.M Billets Reports'!A2380="V.No.",'R.M Billets Reports'!B2380,IF(ROW()=2,"",C2380))</f>
      </c>
      <c r="D2381">
        <f>IF('R.M Billets Reports'!A2380&lt;&gt;"",'R.M Billets Reports'!A2380,IF(ROW()=2,"",D2380))</f>
      </c>
      <c r="E2381">
        <f>IF('R.M Billets Reports'!B2380="","",TRIM('R.M Billets Reports'!B2380))</f>
      </c>
      <c r="F2381">
        <f>'R.M Billets Reports'!C2380</f>
      </c>
      <c r="G2381">
        <f>'R.M Billets Reports'!D2380</f>
      </c>
      <c r="H2381">
        <f>'R.M Billets Reports'!E2380</f>
      </c>
      <c r="I2381">
        <f>'R.M Billets Reports'!F2380</f>
      </c>
      <c r="J2381">
        <f>'R.M Billets Reports'!G2380</f>
      </c>
      <c r="K2381">
        <f>'R.M Billets Reports'!H2380</f>
      </c>
      <c r="L2381">
        <f>IF('R.M Billets Reports'!I2380="","",'R.M Billets Reports'!I2380)</f>
      </c>
      <c r="M2381">
        <f t="shared" si="74"/>
      </c>
      <c r="N2381">
        <f>IF('R.M Billets Reports'!J2380="","",'R.M Billets Reports'!J2380)</f>
      </c>
      <c r="O2381">
        <f t="shared" si="75"/>
      </c>
      <c r="P2381">
        <f>IF('R.M Billets Reports'!A2380="SIZE",'R.M Billets Reports'!B2380,P2380)</f>
      </c>
    </row>
    <row r="2382" spans="1:16" x14ac:dyDescent="0.25">
      <c r="A2382">
        <f>IF(OR('R.M Billets Reports'!A2381="Date-",'R.M Billets Reports'!A2381="Date:-"),IF(IF(IF(ISNUMBER(SEARCH("Party Name:-",'R.M Billets Reports'!D2381)),TRIM('R.M Billets Reports'!F2381),IF(ISNUMBER(SEARCH("Party Name-",'R.M Billets Reports'!D2381)),TRIM(MID('R.M Billets Reports'!D2381,SEARCH("-",'R.M Billets Reports'!D2381)+1,200)),""))&lt;&gt;"",IF(ISNUMBER(SEARCH("Party Name:-",'R.M Billets Reports'!D2381)),TRIM('R.M Billets Reports'!F2381),IF(ISNUMBER(SEARCH("Party Name-",'R.M Billets Reports'!D2381)),TRIM(MID('R.M Billets Reports'!D2381,SEARCH("-",'R.M Billets Reports'!D2381)+1,200)),"")),IF(ISNUMBER(SEARCH("Party Name:-",'R.M Billets Reports'!D2382)),TRIM('R.M Billets Reports'!F2382),IF(ISNUMBER(SEARCH("Party Name-",'R.M Billets Reports'!D2382)),TRIM(MID('R.M Billets Reports'!D2382,SEARCH("-",'R.M Billets Reports'!D2382)+1,200)),"")))="VRKP ISPAT PVT LTD","VRKP",IF(IF(IF(ISNUMBER(SEARCH("Party Name:-",'R.M Billets Reports'!D2381)),TRIM('R.M Billets Reports'!F2381),IF(ISNUMBER(SEARCH("Party Name-",'R.M Billets Reports'!D2381)),TRIM(MID('R.M Billets Reports'!D2381,SEARCH("-",'R.M Billets Reports'!D2381)+1,200)),""))&lt;&gt;"",IF(ISNUMBER(SEARCH("Party Name:-",'R.M Billets Reports'!D2381)),TRIM('R.M Billets Reports'!F2381),IF(ISNUMBER(SEARCH("Party Name-",'R.M Billets Reports'!D2381)),TRIM(MID('R.M Billets Reports'!D2381,SEARCH("-",'R.M Billets Reports'!D2381)+1,200)),"")),IF(ISNUMBER(SEARCH("Party Name:-",'R.M Billets Reports'!D2382)),TRIM('R.M Billets Reports'!F2382),IF(ISNUMBER(SEARCH("Party Name-",'R.M Billets Reports'!D2382)),TRIM(MID('R.M Billets Reports'!D2382,SEARCH("-",'R.M Billets Reports'!D2382)+1,200)),"")))="SHRI RADHE","SHREE RADHE",IF(IF(IF(ISNUMBER(SEARCH("Party Name:-",'R.M Billets Reports'!D2381)),TRIM('R.M Billets Reports'!F2381),IF(ISNUMBER(SEARCH("Party Name-",'R.M Billets Reports'!D2381)),TRIM(MID('R.M Billets Reports'!D2381,SEARCH("-",'R.M Billets Reports'!D2381)+1,200)),""))&lt;&gt;"",IF(ISNUMBER(SEARCH("Party Name:-",'R.M Billets Reports'!D2381)),TRIM('R.M Billets Reports'!F2381),IF(ISNUMBER(SEARCH("Party Name-",'R.M Billets Reports'!D2381)),TRIM(MID('R.M Billets Reports'!D2381,SEARCH("-",'R.M Billets Reports'!D2381)+1,200)),"")),IF(ISNUMBER(SEARCH("Party Name:-",'R.M Billets Reports'!D2382)),TRIM('R.M Billets Reports'!F2382),IF(ISNUMBER(SEARCH("Party Name-",'R.M Billets Reports'!D2382)),TRIM(MID('R.M Billets Reports'!D2382,SEARCH("-",'R.M Billets Reports'!D2382)+1,200)),"")))="SHREE RADHE SHAKTI SPONGE AND POWER PVT. LTD.","SHREE RADHE",IF(IF(ISNUMBER(SEARCH("Party Name:-",'R.M Billets Reports'!D2381)),TRIM('R.M Billets Reports'!F2381),IF(ISNUMBER(SEARCH("Party Name-",'R.M Billets Reports'!D2381)),TRIM(MID('R.M Billets Reports'!D2381,SEARCH("-",'R.M Billets Reports'!D2381)+1,200)),""))&lt;&gt;"",IF(ISNUMBER(SEARCH("Party Name:-",'R.M Billets Reports'!D2381)),TRIM('R.M Billets Reports'!F2381),IF(ISNUMBER(SEARCH("Party Name-",'R.M Billets Reports'!D2381)),TRIM(MID('R.M Billets Reports'!D2381,SEARCH("-",'R.M Billets Reports'!D2381)+1,200)),"")),IF(ISNUMBER(SEARCH("Party Name:-",'R.M Billets Reports'!D2382)),TRIM('R.M Billets Reports'!F2382),IF(ISNUMBER(SEARCH("Party Name-",'R.M Billets Reports'!D2382)),TRIM(MID('R.M Billets Reports'!D2382,SEARCH("-",'R.M Billets Reports'!D2382)+1,200)),"")))))),IF(ROW()=2,"",A2381))</f>
      </c>
      <c r="B2382">
        <f>IF(OR('R.M Billets Reports'!A2381="Date-",'R.M Billets Reports'!A2381="Date:-"),'R.M Billets Reports'!B2381,IF(ROW()=2,"",B2381))</f>
      </c>
      <c r="C2382">
        <f>IF('R.M Billets Reports'!A2381="V.No.",'R.M Billets Reports'!B2381,IF(ROW()=2,"",C2381))</f>
      </c>
      <c r="D2382">
        <f>IF('R.M Billets Reports'!A2381&lt;&gt;"",'R.M Billets Reports'!A2381,IF(ROW()=2,"",D2381))</f>
      </c>
      <c r="E2382">
        <f>IF('R.M Billets Reports'!B2381="","",TRIM('R.M Billets Reports'!B2381))</f>
      </c>
      <c r="F2382">
        <f>'R.M Billets Reports'!C2381</f>
      </c>
      <c r="G2382">
        <f>'R.M Billets Reports'!D2381</f>
      </c>
      <c r="H2382">
        <f>'R.M Billets Reports'!E2381</f>
      </c>
      <c r="I2382">
        <f>'R.M Billets Reports'!F2381</f>
      </c>
      <c r="J2382">
        <f>'R.M Billets Reports'!G2381</f>
      </c>
      <c r="K2382">
        <f>'R.M Billets Reports'!H2381</f>
      </c>
      <c r="L2382">
        <f>IF('R.M Billets Reports'!I2381="","",'R.M Billets Reports'!I2381)</f>
      </c>
      <c r="M2382">
        <f t="shared" si="74"/>
      </c>
      <c r="N2382">
        <f>IF('R.M Billets Reports'!J2381="","",'R.M Billets Reports'!J2381)</f>
      </c>
      <c r="O2382">
        <f t="shared" si="75"/>
      </c>
      <c r="P2382">
        <f>IF('R.M Billets Reports'!A2381="SIZE",'R.M Billets Reports'!B2381,P2381)</f>
      </c>
    </row>
    <row r="2383" spans="1:16" x14ac:dyDescent="0.25">
      <c r="A2383">
        <f>IF(OR('R.M Billets Reports'!A2382="Date-",'R.M Billets Reports'!A2382="Date:-"),IF(IF(IF(ISNUMBER(SEARCH("Party Name:-",'R.M Billets Reports'!D2382)),TRIM('R.M Billets Reports'!F2382),IF(ISNUMBER(SEARCH("Party Name-",'R.M Billets Reports'!D2382)),TRIM(MID('R.M Billets Reports'!D2382,SEARCH("-",'R.M Billets Reports'!D2382)+1,200)),""))&lt;&gt;"",IF(ISNUMBER(SEARCH("Party Name:-",'R.M Billets Reports'!D2382)),TRIM('R.M Billets Reports'!F2382),IF(ISNUMBER(SEARCH("Party Name-",'R.M Billets Reports'!D2382)),TRIM(MID('R.M Billets Reports'!D2382,SEARCH("-",'R.M Billets Reports'!D2382)+1,200)),"")),IF(ISNUMBER(SEARCH("Party Name:-",'R.M Billets Reports'!D2383)),TRIM('R.M Billets Reports'!F2383),IF(ISNUMBER(SEARCH("Party Name-",'R.M Billets Reports'!D2383)),TRIM(MID('R.M Billets Reports'!D2383,SEARCH("-",'R.M Billets Reports'!D2383)+1,200)),"")))="VRKP ISPAT PVT LTD","VRKP",IF(IF(IF(ISNUMBER(SEARCH("Party Name:-",'R.M Billets Reports'!D2382)),TRIM('R.M Billets Reports'!F2382),IF(ISNUMBER(SEARCH("Party Name-",'R.M Billets Reports'!D2382)),TRIM(MID('R.M Billets Reports'!D2382,SEARCH("-",'R.M Billets Reports'!D2382)+1,200)),""))&lt;&gt;"",IF(ISNUMBER(SEARCH("Party Name:-",'R.M Billets Reports'!D2382)),TRIM('R.M Billets Reports'!F2382),IF(ISNUMBER(SEARCH("Party Name-",'R.M Billets Reports'!D2382)),TRIM(MID('R.M Billets Reports'!D2382,SEARCH("-",'R.M Billets Reports'!D2382)+1,200)),"")),IF(ISNUMBER(SEARCH("Party Name:-",'R.M Billets Reports'!D2383)),TRIM('R.M Billets Reports'!F2383),IF(ISNUMBER(SEARCH("Party Name-",'R.M Billets Reports'!D2383)),TRIM(MID('R.M Billets Reports'!D2383,SEARCH("-",'R.M Billets Reports'!D2383)+1,200)),"")))="SHRI RADHE","SHREE RADHE",IF(IF(IF(ISNUMBER(SEARCH("Party Name:-",'R.M Billets Reports'!D2382)),TRIM('R.M Billets Reports'!F2382),IF(ISNUMBER(SEARCH("Party Name-",'R.M Billets Reports'!D2382)),TRIM(MID('R.M Billets Reports'!D2382,SEARCH("-",'R.M Billets Reports'!D2382)+1,200)),""))&lt;&gt;"",IF(ISNUMBER(SEARCH("Party Name:-",'R.M Billets Reports'!D2382)),TRIM('R.M Billets Reports'!F2382),IF(ISNUMBER(SEARCH("Party Name-",'R.M Billets Reports'!D2382)),TRIM(MID('R.M Billets Reports'!D2382,SEARCH("-",'R.M Billets Reports'!D2382)+1,200)),"")),IF(ISNUMBER(SEARCH("Party Name:-",'R.M Billets Reports'!D2383)),TRIM('R.M Billets Reports'!F2383),IF(ISNUMBER(SEARCH("Party Name-",'R.M Billets Reports'!D2383)),TRIM(MID('R.M Billets Reports'!D2383,SEARCH("-",'R.M Billets Reports'!D2383)+1,200)),"")))="SHREE RADHE SHAKTI SPONGE AND POWER PVT. LTD.","SHREE RADHE",IF(IF(ISNUMBER(SEARCH("Party Name:-",'R.M Billets Reports'!D2382)),TRIM('R.M Billets Reports'!F2382),IF(ISNUMBER(SEARCH("Party Name-",'R.M Billets Reports'!D2382)),TRIM(MID('R.M Billets Reports'!D2382,SEARCH("-",'R.M Billets Reports'!D2382)+1,200)),""))&lt;&gt;"",IF(ISNUMBER(SEARCH("Party Name:-",'R.M Billets Reports'!D2382)),TRIM('R.M Billets Reports'!F2382),IF(ISNUMBER(SEARCH("Party Name-",'R.M Billets Reports'!D2382)),TRIM(MID('R.M Billets Reports'!D2382,SEARCH("-",'R.M Billets Reports'!D2382)+1,200)),"")),IF(ISNUMBER(SEARCH("Party Name:-",'R.M Billets Reports'!D2383)),TRIM('R.M Billets Reports'!F2383),IF(ISNUMBER(SEARCH("Party Name-",'R.M Billets Reports'!D2383)),TRIM(MID('R.M Billets Reports'!D2383,SEARCH("-",'R.M Billets Reports'!D2383)+1,200)),"")))))),IF(ROW()=2,"",A2382))</f>
      </c>
      <c r="B2383">
        <f>IF(OR('R.M Billets Reports'!A2382="Date-",'R.M Billets Reports'!A2382="Date:-"),'R.M Billets Reports'!B2382,IF(ROW()=2,"",B2382))</f>
      </c>
      <c r="C2383">
        <f>IF('R.M Billets Reports'!A2382="V.No.",'R.M Billets Reports'!B2382,IF(ROW()=2,"",C2382))</f>
      </c>
      <c r="D2383">
        <f>IF('R.M Billets Reports'!A2382&lt;&gt;"",'R.M Billets Reports'!A2382,IF(ROW()=2,"",D2382))</f>
      </c>
      <c r="E2383">
        <f>IF('R.M Billets Reports'!B2382="","",TRIM('R.M Billets Reports'!B2382))</f>
      </c>
      <c r="F2383">
        <f>'R.M Billets Reports'!C2382</f>
      </c>
      <c r="G2383">
        <f>'R.M Billets Reports'!D2382</f>
      </c>
      <c r="H2383">
        <f>'R.M Billets Reports'!E2382</f>
      </c>
      <c r="I2383">
        <f>'R.M Billets Reports'!F2382</f>
      </c>
      <c r="J2383">
        <f>'R.M Billets Reports'!G2382</f>
      </c>
      <c r="K2383">
        <f>'R.M Billets Reports'!H2382</f>
      </c>
      <c r="L2383">
        <f>IF('R.M Billets Reports'!I2382="","",'R.M Billets Reports'!I2382)</f>
      </c>
      <c r="M2383">
        <f t="shared" si="74"/>
      </c>
      <c r="N2383">
        <f>IF('R.M Billets Reports'!J2382="","",'R.M Billets Reports'!J2382)</f>
      </c>
      <c r="O2383">
        <f t="shared" si="75"/>
      </c>
      <c r="P2383">
        <f>IF('R.M Billets Reports'!A2382="SIZE",'R.M Billets Reports'!B2382,P2382)</f>
      </c>
    </row>
    <row r="2384" spans="1:16" x14ac:dyDescent="0.25">
      <c r="A2384">
        <f>IF(OR('R.M Billets Reports'!A2383="Date-",'R.M Billets Reports'!A2383="Date:-"),IF(IF(IF(ISNUMBER(SEARCH("Party Name:-",'R.M Billets Reports'!D2383)),TRIM('R.M Billets Reports'!F2383),IF(ISNUMBER(SEARCH("Party Name-",'R.M Billets Reports'!D2383)),TRIM(MID('R.M Billets Reports'!D2383,SEARCH("-",'R.M Billets Reports'!D2383)+1,200)),""))&lt;&gt;"",IF(ISNUMBER(SEARCH("Party Name:-",'R.M Billets Reports'!D2383)),TRIM('R.M Billets Reports'!F2383),IF(ISNUMBER(SEARCH("Party Name-",'R.M Billets Reports'!D2383)),TRIM(MID('R.M Billets Reports'!D2383,SEARCH("-",'R.M Billets Reports'!D2383)+1,200)),"")),IF(ISNUMBER(SEARCH("Party Name:-",'R.M Billets Reports'!D2384)),TRIM('R.M Billets Reports'!F2384),IF(ISNUMBER(SEARCH("Party Name-",'R.M Billets Reports'!D2384)),TRIM(MID('R.M Billets Reports'!D2384,SEARCH("-",'R.M Billets Reports'!D2384)+1,200)),"")))="VRKP ISPAT PVT LTD","VRKP",IF(IF(IF(ISNUMBER(SEARCH("Party Name:-",'R.M Billets Reports'!D2383)),TRIM('R.M Billets Reports'!F2383),IF(ISNUMBER(SEARCH("Party Name-",'R.M Billets Reports'!D2383)),TRIM(MID('R.M Billets Reports'!D2383,SEARCH("-",'R.M Billets Reports'!D2383)+1,200)),""))&lt;&gt;"",IF(ISNUMBER(SEARCH("Party Name:-",'R.M Billets Reports'!D2383)),TRIM('R.M Billets Reports'!F2383),IF(ISNUMBER(SEARCH("Party Name-",'R.M Billets Reports'!D2383)),TRIM(MID('R.M Billets Reports'!D2383,SEARCH("-",'R.M Billets Reports'!D2383)+1,200)),"")),IF(ISNUMBER(SEARCH("Party Name:-",'R.M Billets Reports'!D2384)),TRIM('R.M Billets Reports'!F2384),IF(ISNUMBER(SEARCH("Party Name-",'R.M Billets Reports'!D2384)),TRIM(MID('R.M Billets Reports'!D2384,SEARCH("-",'R.M Billets Reports'!D2384)+1,200)),"")))="SHRI RADHE","SHREE RADHE",IF(IF(IF(ISNUMBER(SEARCH("Party Name:-",'R.M Billets Reports'!D2383)),TRIM('R.M Billets Reports'!F2383),IF(ISNUMBER(SEARCH("Party Name-",'R.M Billets Reports'!D2383)),TRIM(MID('R.M Billets Reports'!D2383,SEARCH("-",'R.M Billets Reports'!D2383)+1,200)),""))&lt;&gt;"",IF(ISNUMBER(SEARCH("Party Name:-",'R.M Billets Reports'!D2383)),TRIM('R.M Billets Reports'!F2383),IF(ISNUMBER(SEARCH("Party Name-",'R.M Billets Reports'!D2383)),TRIM(MID('R.M Billets Reports'!D2383,SEARCH("-",'R.M Billets Reports'!D2383)+1,200)),"")),IF(ISNUMBER(SEARCH("Party Name:-",'R.M Billets Reports'!D2384)),TRIM('R.M Billets Reports'!F2384),IF(ISNUMBER(SEARCH("Party Name-",'R.M Billets Reports'!D2384)),TRIM(MID('R.M Billets Reports'!D2384,SEARCH("-",'R.M Billets Reports'!D2384)+1,200)),"")))="SHREE RADHE SHAKTI SPONGE AND POWER PVT. LTD.","SHREE RADHE",IF(IF(ISNUMBER(SEARCH("Party Name:-",'R.M Billets Reports'!D2383)),TRIM('R.M Billets Reports'!F2383),IF(ISNUMBER(SEARCH("Party Name-",'R.M Billets Reports'!D2383)),TRIM(MID('R.M Billets Reports'!D2383,SEARCH("-",'R.M Billets Reports'!D2383)+1,200)),""))&lt;&gt;"",IF(ISNUMBER(SEARCH("Party Name:-",'R.M Billets Reports'!D2383)),TRIM('R.M Billets Reports'!F2383),IF(ISNUMBER(SEARCH("Party Name-",'R.M Billets Reports'!D2383)),TRIM(MID('R.M Billets Reports'!D2383,SEARCH("-",'R.M Billets Reports'!D2383)+1,200)),"")),IF(ISNUMBER(SEARCH("Party Name:-",'R.M Billets Reports'!D2384)),TRIM('R.M Billets Reports'!F2384),IF(ISNUMBER(SEARCH("Party Name-",'R.M Billets Reports'!D2384)),TRIM(MID('R.M Billets Reports'!D2384,SEARCH("-",'R.M Billets Reports'!D2384)+1,200)),"")))))),IF(ROW()=2,"",A2383))</f>
      </c>
      <c r="B2384">
        <f>IF(OR('R.M Billets Reports'!A2383="Date-",'R.M Billets Reports'!A2383="Date:-"),'R.M Billets Reports'!B2383,IF(ROW()=2,"",B2383))</f>
      </c>
      <c r="C2384">
        <f>IF('R.M Billets Reports'!A2383="V.No.",'R.M Billets Reports'!B2383,IF(ROW()=2,"",C2383))</f>
      </c>
      <c r="D2384">
        <f>IF('R.M Billets Reports'!A2383&lt;&gt;"",'R.M Billets Reports'!A2383,IF(ROW()=2,"",D2383))</f>
      </c>
      <c r="E2384">
        <f>IF('R.M Billets Reports'!B2383="","",TRIM('R.M Billets Reports'!B2383))</f>
      </c>
      <c r="F2384">
        <f>'R.M Billets Reports'!C2383</f>
      </c>
      <c r="G2384">
        <f>'R.M Billets Reports'!D2383</f>
      </c>
      <c r="H2384">
        <f>'R.M Billets Reports'!E2383</f>
      </c>
      <c r="I2384">
        <f>'R.M Billets Reports'!F2383</f>
      </c>
      <c r="J2384">
        <f>'R.M Billets Reports'!G2383</f>
      </c>
      <c r="K2384">
        <f>'R.M Billets Reports'!H2383</f>
      </c>
      <c r="L2384">
        <f>IF('R.M Billets Reports'!I2383="","",'R.M Billets Reports'!I2383)</f>
      </c>
      <c r="M2384">
        <f t="shared" si="74"/>
      </c>
      <c r="N2384">
        <f>IF('R.M Billets Reports'!J2383="","",'R.M Billets Reports'!J2383)</f>
      </c>
      <c r="O2384">
        <f t="shared" si="75"/>
      </c>
      <c r="P2384">
        <f>IF('R.M Billets Reports'!A2383="SIZE",'R.M Billets Reports'!B2383,P2383)</f>
      </c>
    </row>
    <row r="2385" spans="1:16" x14ac:dyDescent="0.25">
      <c r="A2385">
        <f>IF(OR('R.M Billets Reports'!A2384="Date-",'R.M Billets Reports'!A2384="Date:-"),IF(IF(IF(ISNUMBER(SEARCH("Party Name:-",'R.M Billets Reports'!D2384)),TRIM('R.M Billets Reports'!F2384),IF(ISNUMBER(SEARCH("Party Name-",'R.M Billets Reports'!D2384)),TRIM(MID('R.M Billets Reports'!D2384,SEARCH("-",'R.M Billets Reports'!D2384)+1,200)),""))&lt;&gt;"",IF(ISNUMBER(SEARCH("Party Name:-",'R.M Billets Reports'!D2384)),TRIM('R.M Billets Reports'!F2384),IF(ISNUMBER(SEARCH("Party Name-",'R.M Billets Reports'!D2384)),TRIM(MID('R.M Billets Reports'!D2384,SEARCH("-",'R.M Billets Reports'!D2384)+1,200)),"")),IF(ISNUMBER(SEARCH("Party Name:-",'R.M Billets Reports'!D2385)),TRIM('R.M Billets Reports'!F2385),IF(ISNUMBER(SEARCH("Party Name-",'R.M Billets Reports'!D2385)),TRIM(MID('R.M Billets Reports'!D2385,SEARCH("-",'R.M Billets Reports'!D2385)+1,200)),"")))="VRKP ISPAT PVT LTD","VRKP",IF(IF(IF(ISNUMBER(SEARCH("Party Name:-",'R.M Billets Reports'!D2384)),TRIM('R.M Billets Reports'!F2384),IF(ISNUMBER(SEARCH("Party Name-",'R.M Billets Reports'!D2384)),TRIM(MID('R.M Billets Reports'!D2384,SEARCH("-",'R.M Billets Reports'!D2384)+1,200)),""))&lt;&gt;"",IF(ISNUMBER(SEARCH("Party Name:-",'R.M Billets Reports'!D2384)),TRIM('R.M Billets Reports'!F2384),IF(ISNUMBER(SEARCH("Party Name-",'R.M Billets Reports'!D2384)),TRIM(MID('R.M Billets Reports'!D2384,SEARCH("-",'R.M Billets Reports'!D2384)+1,200)),"")),IF(ISNUMBER(SEARCH("Party Name:-",'R.M Billets Reports'!D2385)),TRIM('R.M Billets Reports'!F2385),IF(ISNUMBER(SEARCH("Party Name-",'R.M Billets Reports'!D2385)),TRIM(MID('R.M Billets Reports'!D2385,SEARCH("-",'R.M Billets Reports'!D2385)+1,200)),"")))="SHRI RADHE","SHREE RADHE",IF(IF(IF(ISNUMBER(SEARCH("Party Name:-",'R.M Billets Reports'!D2384)),TRIM('R.M Billets Reports'!F2384),IF(ISNUMBER(SEARCH("Party Name-",'R.M Billets Reports'!D2384)),TRIM(MID('R.M Billets Reports'!D2384,SEARCH("-",'R.M Billets Reports'!D2384)+1,200)),""))&lt;&gt;"",IF(ISNUMBER(SEARCH("Party Name:-",'R.M Billets Reports'!D2384)),TRIM('R.M Billets Reports'!F2384),IF(ISNUMBER(SEARCH("Party Name-",'R.M Billets Reports'!D2384)),TRIM(MID('R.M Billets Reports'!D2384,SEARCH("-",'R.M Billets Reports'!D2384)+1,200)),"")),IF(ISNUMBER(SEARCH("Party Name:-",'R.M Billets Reports'!D2385)),TRIM('R.M Billets Reports'!F2385),IF(ISNUMBER(SEARCH("Party Name-",'R.M Billets Reports'!D2385)),TRIM(MID('R.M Billets Reports'!D2385,SEARCH("-",'R.M Billets Reports'!D2385)+1,200)),"")))="SHREE RADHE SHAKTI SPONGE AND POWER PVT. LTD.","SHREE RADHE",IF(IF(ISNUMBER(SEARCH("Party Name:-",'R.M Billets Reports'!D2384)),TRIM('R.M Billets Reports'!F2384),IF(ISNUMBER(SEARCH("Party Name-",'R.M Billets Reports'!D2384)),TRIM(MID('R.M Billets Reports'!D2384,SEARCH("-",'R.M Billets Reports'!D2384)+1,200)),""))&lt;&gt;"",IF(ISNUMBER(SEARCH("Party Name:-",'R.M Billets Reports'!D2384)),TRIM('R.M Billets Reports'!F2384),IF(ISNUMBER(SEARCH("Party Name-",'R.M Billets Reports'!D2384)),TRIM(MID('R.M Billets Reports'!D2384,SEARCH("-",'R.M Billets Reports'!D2384)+1,200)),"")),IF(ISNUMBER(SEARCH("Party Name:-",'R.M Billets Reports'!D2385)),TRIM('R.M Billets Reports'!F2385),IF(ISNUMBER(SEARCH("Party Name-",'R.M Billets Reports'!D2385)),TRIM(MID('R.M Billets Reports'!D2385,SEARCH("-",'R.M Billets Reports'!D2385)+1,200)),"")))))),IF(ROW()=2,"",A2384))</f>
      </c>
      <c r="B2385">
        <f>IF(OR('R.M Billets Reports'!A2384="Date-",'R.M Billets Reports'!A2384="Date:-"),'R.M Billets Reports'!B2384,IF(ROW()=2,"",B2384))</f>
      </c>
      <c r="C2385">
        <f>IF('R.M Billets Reports'!A2384="V.No.",'R.M Billets Reports'!B2384,IF(ROW()=2,"",C2384))</f>
      </c>
      <c r="D2385">
        <f>IF('R.M Billets Reports'!A2384&lt;&gt;"",'R.M Billets Reports'!A2384,IF(ROW()=2,"",D2384))</f>
      </c>
      <c r="E2385">
        <f>IF('R.M Billets Reports'!B2384="","",TRIM('R.M Billets Reports'!B2384))</f>
      </c>
      <c r="F2385">
        <f>'R.M Billets Reports'!C2384</f>
      </c>
      <c r="G2385">
        <f>'R.M Billets Reports'!D2384</f>
      </c>
      <c r="H2385">
        <f>'R.M Billets Reports'!E2384</f>
      </c>
      <c r="I2385">
        <f>'R.M Billets Reports'!F2384</f>
      </c>
      <c r="J2385">
        <f>'R.M Billets Reports'!G2384</f>
      </c>
      <c r="K2385">
        <f>'R.M Billets Reports'!H2384</f>
      </c>
      <c r="L2385">
        <f>IF('R.M Billets Reports'!I2384="","",'R.M Billets Reports'!I2384)</f>
      </c>
      <c r="M2385">
        <f t="shared" si="74"/>
      </c>
      <c r="N2385">
        <f>IF('R.M Billets Reports'!J2384="","",'R.M Billets Reports'!J2384)</f>
      </c>
      <c r="O2385">
        <f t="shared" si="75"/>
      </c>
      <c r="P2385">
        <f>IF('R.M Billets Reports'!A2384="SIZE",'R.M Billets Reports'!B2384,P2384)</f>
      </c>
    </row>
    <row r="2386" spans="1:16" x14ac:dyDescent="0.25">
      <c r="A2386">
        <f>IF(OR('R.M Billets Reports'!A2385="Date-",'R.M Billets Reports'!A2385="Date:-"),IF(IF(IF(ISNUMBER(SEARCH("Party Name:-",'R.M Billets Reports'!D2385)),TRIM('R.M Billets Reports'!F2385),IF(ISNUMBER(SEARCH("Party Name-",'R.M Billets Reports'!D2385)),TRIM(MID('R.M Billets Reports'!D2385,SEARCH("-",'R.M Billets Reports'!D2385)+1,200)),""))&lt;&gt;"",IF(ISNUMBER(SEARCH("Party Name:-",'R.M Billets Reports'!D2385)),TRIM('R.M Billets Reports'!F2385),IF(ISNUMBER(SEARCH("Party Name-",'R.M Billets Reports'!D2385)),TRIM(MID('R.M Billets Reports'!D2385,SEARCH("-",'R.M Billets Reports'!D2385)+1,200)),"")),IF(ISNUMBER(SEARCH("Party Name:-",'R.M Billets Reports'!D2386)),TRIM('R.M Billets Reports'!F2386),IF(ISNUMBER(SEARCH("Party Name-",'R.M Billets Reports'!D2386)),TRIM(MID('R.M Billets Reports'!D2386,SEARCH("-",'R.M Billets Reports'!D2386)+1,200)),"")))="VRKP ISPAT PVT LTD","VRKP",IF(IF(IF(ISNUMBER(SEARCH("Party Name:-",'R.M Billets Reports'!D2385)),TRIM('R.M Billets Reports'!F2385),IF(ISNUMBER(SEARCH("Party Name-",'R.M Billets Reports'!D2385)),TRIM(MID('R.M Billets Reports'!D2385,SEARCH("-",'R.M Billets Reports'!D2385)+1,200)),""))&lt;&gt;"",IF(ISNUMBER(SEARCH("Party Name:-",'R.M Billets Reports'!D2385)),TRIM('R.M Billets Reports'!F2385),IF(ISNUMBER(SEARCH("Party Name-",'R.M Billets Reports'!D2385)),TRIM(MID('R.M Billets Reports'!D2385,SEARCH("-",'R.M Billets Reports'!D2385)+1,200)),"")),IF(ISNUMBER(SEARCH("Party Name:-",'R.M Billets Reports'!D2386)),TRIM('R.M Billets Reports'!F2386),IF(ISNUMBER(SEARCH("Party Name-",'R.M Billets Reports'!D2386)),TRIM(MID('R.M Billets Reports'!D2386,SEARCH("-",'R.M Billets Reports'!D2386)+1,200)),"")))="SHRI RADHE","SHREE RADHE",IF(IF(IF(ISNUMBER(SEARCH("Party Name:-",'R.M Billets Reports'!D2385)),TRIM('R.M Billets Reports'!F2385),IF(ISNUMBER(SEARCH("Party Name-",'R.M Billets Reports'!D2385)),TRIM(MID('R.M Billets Reports'!D2385,SEARCH("-",'R.M Billets Reports'!D2385)+1,200)),""))&lt;&gt;"",IF(ISNUMBER(SEARCH("Party Name:-",'R.M Billets Reports'!D2385)),TRIM('R.M Billets Reports'!F2385),IF(ISNUMBER(SEARCH("Party Name-",'R.M Billets Reports'!D2385)),TRIM(MID('R.M Billets Reports'!D2385,SEARCH("-",'R.M Billets Reports'!D2385)+1,200)),"")),IF(ISNUMBER(SEARCH("Party Name:-",'R.M Billets Reports'!D2386)),TRIM('R.M Billets Reports'!F2386),IF(ISNUMBER(SEARCH("Party Name-",'R.M Billets Reports'!D2386)),TRIM(MID('R.M Billets Reports'!D2386,SEARCH("-",'R.M Billets Reports'!D2386)+1,200)),"")))="SHREE RADHE SHAKTI SPONGE AND POWER PVT. LTD.","SHREE RADHE",IF(IF(ISNUMBER(SEARCH("Party Name:-",'R.M Billets Reports'!D2385)),TRIM('R.M Billets Reports'!F2385),IF(ISNUMBER(SEARCH("Party Name-",'R.M Billets Reports'!D2385)),TRIM(MID('R.M Billets Reports'!D2385,SEARCH("-",'R.M Billets Reports'!D2385)+1,200)),""))&lt;&gt;"",IF(ISNUMBER(SEARCH("Party Name:-",'R.M Billets Reports'!D2385)),TRIM('R.M Billets Reports'!F2385),IF(ISNUMBER(SEARCH("Party Name-",'R.M Billets Reports'!D2385)),TRIM(MID('R.M Billets Reports'!D2385,SEARCH("-",'R.M Billets Reports'!D2385)+1,200)),"")),IF(ISNUMBER(SEARCH("Party Name:-",'R.M Billets Reports'!D2386)),TRIM('R.M Billets Reports'!F2386),IF(ISNUMBER(SEARCH("Party Name-",'R.M Billets Reports'!D2386)),TRIM(MID('R.M Billets Reports'!D2386,SEARCH("-",'R.M Billets Reports'!D2386)+1,200)),"")))))),IF(ROW()=2,"",A2385))</f>
      </c>
      <c r="B2386">
        <f>IF(OR('R.M Billets Reports'!A2385="Date-",'R.M Billets Reports'!A2385="Date:-"),'R.M Billets Reports'!B2385,IF(ROW()=2,"",B2385))</f>
      </c>
      <c r="C2386">
        <f>IF('R.M Billets Reports'!A2385="V.No.",'R.M Billets Reports'!B2385,IF(ROW()=2,"",C2385))</f>
      </c>
      <c r="D2386">
        <f>IF('R.M Billets Reports'!A2385&lt;&gt;"",'R.M Billets Reports'!A2385,IF(ROW()=2,"",D2385))</f>
      </c>
      <c r="E2386">
        <f>IF('R.M Billets Reports'!B2385="","",TRIM('R.M Billets Reports'!B2385))</f>
      </c>
      <c r="F2386">
        <f>'R.M Billets Reports'!C2385</f>
      </c>
      <c r="G2386">
        <f>'R.M Billets Reports'!D2385</f>
      </c>
      <c r="H2386">
        <f>'R.M Billets Reports'!E2385</f>
      </c>
      <c r="I2386">
        <f>'R.M Billets Reports'!F2385</f>
      </c>
      <c r="J2386">
        <f>'R.M Billets Reports'!G2385</f>
      </c>
      <c r="K2386">
        <f>'R.M Billets Reports'!H2385</f>
      </c>
      <c r="L2386">
        <f>IF('R.M Billets Reports'!I2385="","",'R.M Billets Reports'!I2385)</f>
      </c>
      <c r="M2386">
        <f t="shared" si="74"/>
      </c>
      <c r="N2386">
        <f>IF('R.M Billets Reports'!J2385="","",'R.M Billets Reports'!J2385)</f>
      </c>
      <c r="O2386">
        <f t="shared" si="75"/>
      </c>
      <c r="P2386">
        <f>IF('R.M Billets Reports'!A2385="SIZE",'R.M Billets Reports'!B2385,P2385)</f>
      </c>
    </row>
    <row r="2387" spans="1:16" x14ac:dyDescent="0.25">
      <c r="A2387">
        <f>IF(OR('R.M Billets Reports'!A2386="Date-",'R.M Billets Reports'!A2386="Date:-"),IF(IF(IF(ISNUMBER(SEARCH("Party Name:-",'R.M Billets Reports'!D2386)),TRIM('R.M Billets Reports'!F2386),IF(ISNUMBER(SEARCH("Party Name-",'R.M Billets Reports'!D2386)),TRIM(MID('R.M Billets Reports'!D2386,SEARCH("-",'R.M Billets Reports'!D2386)+1,200)),""))&lt;&gt;"",IF(ISNUMBER(SEARCH("Party Name:-",'R.M Billets Reports'!D2386)),TRIM('R.M Billets Reports'!F2386),IF(ISNUMBER(SEARCH("Party Name-",'R.M Billets Reports'!D2386)),TRIM(MID('R.M Billets Reports'!D2386,SEARCH("-",'R.M Billets Reports'!D2386)+1,200)),"")),IF(ISNUMBER(SEARCH("Party Name:-",'R.M Billets Reports'!D2387)),TRIM('R.M Billets Reports'!F2387),IF(ISNUMBER(SEARCH("Party Name-",'R.M Billets Reports'!D2387)),TRIM(MID('R.M Billets Reports'!D2387,SEARCH("-",'R.M Billets Reports'!D2387)+1,200)),"")))="VRKP ISPAT PVT LTD","VRKP",IF(IF(IF(ISNUMBER(SEARCH("Party Name:-",'R.M Billets Reports'!D2386)),TRIM('R.M Billets Reports'!F2386),IF(ISNUMBER(SEARCH("Party Name-",'R.M Billets Reports'!D2386)),TRIM(MID('R.M Billets Reports'!D2386,SEARCH("-",'R.M Billets Reports'!D2386)+1,200)),""))&lt;&gt;"",IF(ISNUMBER(SEARCH("Party Name:-",'R.M Billets Reports'!D2386)),TRIM('R.M Billets Reports'!F2386),IF(ISNUMBER(SEARCH("Party Name-",'R.M Billets Reports'!D2386)),TRIM(MID('R.M Billets Reports'!D2386,SEARCH("-",'R.M Billets Reports'!D2386)+1,200)),"")),IF(ISNUMBER(SEARCH("Party Name:-",'R.M Billets Reports'!D2387)),TRIM('R.M Billets Reports'!F2387),IF(ISNUMBER(SEARCH("Party Name-",'R.M Billets Reports'!D2387)),TRIM(MID('R.M Billets Reports'!D2387,SEARCH("-",'R.M Billets Reports'!D2387)+1,200)),"")))="SHRI RADHE","SHREE RADHE",IF(IF(IF(ISNUMBER(SEARCH("Party Name:-",'R.M Billets Reports'!D2386)),TRIM('R.M Billets Reports'!F2386),IF(ISNUMBER(SEARCH("Party Name-",'R.M Billets Reports'!D2386)),TRIM(MID('R.M Billets Reports'!D2386,SEARCH("-",'R.M Billets Reports'!D2386)+1,200)),""))&lt;&gt;"",IF(ISNUMBER(SEARCH("Party Name:-",'R.M Billets Reports'!D2386)),TRIM('R.M Billets Reports'!F2386),IF(ISNUMBER(SEARCH("Party Name-",'R.M Billets Reports'!D2386)),TRIM(MID('R.M Billets Reports'!D2386,SEARCH("-",'R.M Billets Reports'!D2386)+1,200)),"")),IF(ISNUMBER(SEARCH("Party Name:-",'R.M Billets Reports'!D2387)),TRIM('R.M Billets Reports'!F2387),IF(ISNUMBER(SEARCH("Party Name-",'R.M Billets Reports'!D2387)),TRIM(MID('R.M Billets Reports'!D2387,SEARCH("-",'R.M Billets Reports'!D2387)+1,200)),"")))="SHREE RADHE SHAKTI SPONGE AND POWER PVT. LTD.","SHREE RADHE",IF(IF(ISNUMBER(SEARCH("Party Name:-",'R.M Billets Reports'!D2386)),TRIM('R.M Billets Reports'!F2386),IF(ISNUMBER(SEARCH("Party Name-",'R.M Billets Reports'!D2386)),TRIM(MID('R.M Billets Reports'!D2386,SEARCH("-",'R.M Billets Reports'!D2386)+1,200)),""))&lt;&gt;"",IF(ISNUMBER(SEARCH("Party Name:-",'R.M Billets Reports'!D2386)),TRIM('R.M Billets Reports'!F2386),IF(ISNUMBER(SEARCH("Party Name-",'R.M Billets Reports'!D2386)),TRIM(MID('R.M Billets Reports'!D2386,SEARCH("-",'R.M Billets Reports'!D2386)+1,200)),"")),IF(ISNUMBER(SEARCH("Party Name:-",'R.M Billets Reports'!D2387)),TRIM('R.M Billets Reports'!F2387),IF(ISNUMBER(SEARCH("Party Name-",'R.M Billets Reports'!D2387)),TRIM(MID('R.M Billets Reports'!D2387,SEARCH("-",'R.M Billets Reports'!D2387)+1,200)),"")))))),IF(ROW()=2,"",A2386))</f>
      </c>
      <c r="B2387">
        <f>IF(OR('R.M Billets Reports'!A2386="Date-",'R.M Billets Reports'!A2386="Date:-"),'R.M Billets Reports'!B2386,IF(ROW()=2,"",B2386))</f>
      </c>
      <c r="C2387">
        <f>IF('R.M Billets Reports'!A2386="V.No.",'R.M Billets Reports'!B2386,IF(ROW()=2,"",C2386))</f>
      </c>
      <c r="D2387">
        <f>IF('R.M Billets Reports'!A2386&lt;&gt;"",'R.M Billets Reports'!A2386,IF(ROW()=2,"",D2386))</f>
      </c>
      <c r="E2387">
        <f>IF('R.M Billets Reports'!B2386="","",TRIM('R.M Billets Reports'!B2386))</f>
      </c>
      <c r="F2387">
        <f>'R.M Billets Reports'!C2386</f>
      </c>
      <c r="G2387">
        <f>'R.M Billets Reports'!D2386</f>
      </c>
      <c r="H2387">
        <f>'R.M Billets Reports'!E2386</f>
      </c>
      <c r="I2387">
        <f>'R.M Billets Reports'!F2386</f>
      </c>
      <c r="J2387">
        <f>'R.M Billets Reports'!G2386</f>
      </c>
      <c r="K2387">
        <f>'R.M Billets Reports'!H2386</f>
      </c>
      <c r="L2387">
        <f>IF('R.M Billets Reports'!I2386="","",'R.M Billets Reports'!I2386)</f>
      </c>
      <c r="M2387">
        <f t="shared" si="74"/>
      </c>
      <c r="N2387">
        <f>IF('R.M Billets Reports'!J2386="","",'R.M Billets Reports'!J2386)</f>
      </c>
      <c r="O2387">
        <f t="shared" si="75"/>
      </c>
      <c r="P2387">
        <f>IF('R.M Billets Reports'!A2386="SIZE",'R.M Billets Reports'!B2386,P2386)</f>
      </c>
    </row>
    <row r="2388" spans="1:16" x14ac:dyDescent="0.25">
      <c r="A2388">
        <f>IF(OR('R.M Billets Reports'!A2387="Date-",'R.M Billets Reports'!A2387="Date:-"),IF(IF(IF(ISNUMBER(SEARCH("Party Name:-",'R.M Billets Reports'!D2387)),TRIM('R.M Billets Reports'!F2387),IF(ISNUMBER(SEARCH("Party Name-",'R.M Billets Reports'!D2387)),TRIM(MID('R.M Billets Reports'!D2387,SEARCH("-",'R.M Billets Reports'!D2387)+1,200)),""))&lt;&gt;"",IF(ISNUMBER(SEARCH("Party Name:-",'R.M Billets Reports'!D2387)),TRIM('R.M Billets Reports'!F2387),IF(ISNUMBER(SEARCH("Party Name-",'R.M Billets Reports'!D2387)),TRIM(MID('R.M Billets Reports'!D2387,SEARCH("-",'R.M Billets Reports'!D2387)+1,200)),"")),IF(ISNUMBER(SEARCH("Party Name:-",'R.M Billets Reports'!D2388)),TRIM('R.M Billets Reports'!F2388),IF(ISNUMBER(SEARCH("Party Name-",'R.M Billets Reports'!D2388)),TRIM(MID('R.M Billets Reports'!D2388,SEARCH("-",'R.M Billets Reports'!D2388)+1,200)),"")))="VRKP ISPAT PVT LTD","VRKP",IF(IF(IF(ISNUMBER(SEARCH("Party Name:-",'R.M Billets Reports'!D2387)),TRIM('R.M Billets Reports'!F2387),IF(ISNUMBER(SEARCH("Party Name-",'R.M Billets Reports'!D2387)),TRIM(MID('R.M Billets Reports'!D2387,SEARCH("-",'R.M Billets Reports'!D2387)+1,200)),""))&lt;&gt;"",IF(ISNUMBER(SEARCH("Party Name:-",'R.M Billets Reports'!D2387)),TRIM('R.M Billets Reports'!F2387),IF(ISNUMBER(SEARCH("Party Name-",'R.M Billets Reports'!D2387)),TRIM(MID('R.M Billets Reports'!D2387,SEARCH("-",'R.M Billets Reports'!D2387)+1,200)),"")),IF(ISNUMBER(SEARCH("Party Name:-",'R.M Billets Reports'!D2388)),TRIM('R.M Billets Reports'!F2388),IF(ISNUMBER(SEARCH("Party Name-",'R.M Billets Reports'!D2388)),TRIM(MID('R.M Billets Reports'!D2388,SEARCH("-",'R.M Billets Reports'!D2388)+1,200)),"")))="SHRI RADHE","SHREE RADHE",IF(IF(IF(ISNUMBER(SEARCH("Party Name:-",'R.M Billets Reports'!D2387)),TRIM('R.M Billets Reports'!F2387),IF(ISNUMBER(SEARCH("Party Name-",'R.M Billets Reports'!D2387)),TRIM(MID('R.M Billets Reports'!D2387,SEARCH("-",'R.M Billets Reports'!D2387)+1,200)),""))&lt;&gt;"",IF(ISNUMBER(SEARCH("Party Name:-",'R.M Billets Reports'!D2387)),TRIM('R.M Billets Reports'!F2387),IF(ISNUMBER(SEARCH("Party Name-",'R.M Billets Reports'!D2387)),TRIM(MID('R.M Billets Reports'!D2387,SEARCH("-",'R.M Billets Reports'!D2387)+1,200)),"")),IF(ISNUMBER(SEARCH("Party Name:-",'R.M Billets Reports'!D2388)),TRIM('R.M Billets Reports'!F2388),IF(ISNUMBER(SEARCH("Party Name-",'R.M Billets Reports'!D2388)),TRIM(MID('R.M Billets Reports'!D2388,SEARCH("-",'R.M Billets Reports'!D2388)+1,200)),"")))="SHREE RADHE SHAKTI SPONGE AND POWER PVT. LTD.","SHREE RADHE",IF(IF(ISNUMBER(SEARCH("Party Name:-",'R.M Billets Reports'!D2387)),TRIM('R.M Billets Reports'!F2387),IF(ISNUMBER(SEARCH("Party Name-",'R.M Billets Reports'!D2387)),TRIM(MID('R.M Billets Reports'!D2387,SEARCH("-",'R.M Billets Reports'!D2387)+1,200)),""))&lt;&gt;"",IF(ISNUMBER(SEARCH("Party Name:-",'R.M Billets Reports'!D2387)),TRIM('R.M Billets Reports'!F2387),IF(ISNUMBER(SEARCH("Party Name-",'R.M Billets Reports'!D2387)),TRIM(MID('R.M Billets Reports'!D2387,SEARCH("-",'R.M Billets Reports'!D2387)+1,200)),"")),IF(ISNUMBER(SEARCH("Party Name:-",'R.M Billets Reports'!D2388)),TRIM('R.M Billets Reports'!F2388),IF(ISNUMBER(SEARCH("Party Name-",'R.M Billets Reports'!D2388)),TRIM(MID('R.M Billets Reports'!D2388,SEARCH("-",'R.M Billets Reports'!D2388)+1,200)),"")))))),IF(ROW()=2,"",A2387))</f>
      </c>
      <c r="B2388">
        <f>IF(OR('R.M Billets Reports'!A2387="Date-",'R.M Billets Reports'!A2387="Date:-"),'R.M Billets Reports'!B2387,IF(ROW()=2,"",B2387))</f>
      </c>
      <c r="C2388">
        <f>IF('R.M Billets Reports'!A2387="V.No.",'R.M Billets Reports'!B2387,IF(ROW()=2,"",C2387))</f>
      </c>
      <c r="D2388">
        <f>IF('R.M Billets Reports'!A2387&lt;&gt;"",'R.M Billets Reports'!A2387,IF(ROW()=2,"",D2387))</f>
      </c>
      <c r="E2388">
        <f>IF('R.M Billets Reports'!B2387="","",TRIM('R.M Billets Reports'!B2387))</f>
      </c>
      <c r="F2388">
        <f>'R.M Billets Reports'!C2387</f>
      </c>
      <c r="G2388">
        <f>'R.M Billets Reports'!D2387</f>
      </c>
      <c r="H2388">
        <f>'R.M Billets Reports'!E2387</f>
      </c>
      <c r="I2388">
        <f>'R.M Billets Reports'!F2387</f>
      </c>
      <c r="J2388">
        <f>'R.M Billets Reports'!G2387</f>
      </c>
      <c r="K2388">
        <f>'R.M Billets Reports'!H2387</f>
      </c>
      <c r="L2388">
        <f>IF('R.M Billets Reports'!I2387="","",'R.M Billets Reports'!I2387)</f>
      </c>
      <c r="M2388">
        <f t="shared" si="74"/>
      </c>
      <c r="N2388">
        <f>IF('R.M Billets Reports'!J2387="","",'R.M Billets Reports'!J2387)</f>
      </c>
      <c r="O2388">
        <f t="shared" si="75"/>
      </c>
      <c r="P2388">
        <f>IF('R.M Billets Reports'!A2387="SIZE",'R.M Billets Reports'!B2387,P2387)</f>
      </c>
    </row>
    <row r="2389" spans="1:16" x14ac:dyDescent="0.25">
      <c r="A2389">
        <f>IF(OR('R.M Billets Reports'!A2388="Date-",'R.M Billets Reports'!A2388="Date:-"),IF(IF(IF(ISNUMBER(SEARCH("Party Name:-",'R.M Billets Reports'!D2388)),TRIM('R.M Billets Reports'!F2388),IF(ISNUMBER(SEARCH("Party Name-",'R.M Billets Reports'!D2388)),TRIM(MID('R.M Billets Reports'!D2388,SEARCH("-",'R.M Billets Reports'!D2388)+1,200)),""))&lt;&gt;"",IF(ISNUMBER(SEARCH("Party Name:-",'R.M Billets Reports'!D2388)),TRIM('R.M Billets Reports'!F2388),IF(ISNUMBER(SEARCH("Party Name-",'R.M Billets Reports'!D2388)),TRIM(MID('R.M Billets Reports'!D2388,SEARCH("-",'R.M Billets Reports'!D2388)+1,200)),"")),IF(ISNUMBER(SEARCH("Party Name:-",'R.M Billets Reports'!D2389)),TRIM('R.M Billets Reports'!F2389),IF(ISNUMBER(SEARCH("Party Name-",'R.M Billets Reports'!D2389)),TRIM(MID('R.M Billets Reports'!D2389,SEARCH("-",'R.M Billets Reports'!D2389)+1,200)),"")))="VRKP ISPAT PVT LTD","VRKP",IF(IF(IF(ISNUMBER(SEARCH("Party Name:-",'R.M Billets Reports'!D2388)),TRIM('R.M Billets Reports'!F2388),IF(ISNUMBER(SEARCH("Party Name-",'R.M Billets Reports'!D2388)),TRIM(MID('R.M Billets Reports'!D2388,SEARCH("-",'R.M Billets Reports'!D2388)+1,200)),""))&lt;&gt;"",IF(ISNUMBER(SEARCH("Party Name:-",'R.M Billets Reports'!D2388)),TRIM('R.M Billets Reports'!F2388),IF(ISNUMBER(SEARCH("Party Name-",'R.M Billets Reports'!D2388)),TRIM(MID('R.M Billets Reports'!D2388,SEARCH("-",'R.M Billets Reports'!D2388)+1,200)),"")),IF(ISNUMBER(SEARCH("Party Name:-",'R.M Billets Reports'!D2389)),TRIM('R.M Billets Reports'!F2389),IF(ISNUMBER(SEARCH("Party Name-",'R.M Billets Reports'!D2389)),TRIM(MID('R.M Billets Reports'!D2389,SEARCH("-",'R.M Billets Reports'!D2389)+1,200)),"")))="SHRI RADHE","SHREE RADHE",IF(IF(IF(ISNUMBER(SEARCH("Party Name:-",'R.M Billets Reports'!D2388)),TRIM('R.M Billets Reports'!F2388),IF(ISNUMBER(SEARCH("Party Name-",'R.M Billets Reports'!D2388)),TRIM(MID('R.M Billets Reports'!D2388,SEARCH("-",'R.M Billets Reports'!D2388)+1,200)),""))&lt;&gt;"",IF(ISNUMBER(SEARCH("Party Name:-",'R.M Billets Reports'!D2388)),TRIM('R.M Billets Reports'!F2388),IF(ISNUMBER(SEARCH("Party Name-",'R.M Billets Reports'!D2388)),TRIM(MID('R.M Billets Reports'!D2388,SEARCH("-",'R.M Billets Reports'!D2388)+1,200)),"")),IF(ISNUMBER(SEARCH("Party Name:-",'R.M Billets Reports'!D2389)),TRIM('R.M Billets Reports'!F2389),IF(ISNUMBER(SEARCH("Party Name-",'R.M Billets Reports'!D2389)),TRIM(MID('R.M Billets Reports'!D2389,SEARCH("-",'R.M Billets Reports'!D2389)+1,200)),"")))="SHREE RADHE SHAKTI SPONGE AND POWER PVT. LTD.","SHREE RADHE",IF(IF(ISNUMBER(SEARCH("Party Name:-",'R.M Billets Reports'!D2388)),TRIM('R.M Billets Reports'!F2388),IF(ISNUMBER(SEARCH("Party Name-",'R.M Billets Reports'!D2388)),TRIM(MID('R.M Billets Reports'!D2388,SEARCH("-",'R.M Billets Reports'!D2388)+1,200)),""))&lt;&gt;"",IF(ISNUMBER(SEARCH("Party Name:-",'R.M Billets Reports'!D2388)),TRIM('R.M Billets Reports'!F2388),IF(ISNUMBER(SEARCH("Party Name-",'R.M Billets Reports'!D2388)),TRIM(MID('R.M Billets Reports'!D2388,SEARCH("-",'R.M Billets Reports'!D2388)+1,200)),"")),IF(ISNUMBER(SEARCH("Party Name:-",'R.M Billets Reports'!D2389)),TRIM('R.M Billets Reports'!F2389),IF(ISNUMBER(SEARCH("Party Name-",'R.M Billets Reports'!D2389)),TRIM(MID('R.M Billets Reports'!D2389,SEARCH("-",'R.M Billets Reports'!D2389)+1,200)),"")))))),IF(ROW()=2,"",A2388))</f>
      </c>
      <c r="B2389">
        <f>IF(OR('R.M Billets Reports'!A2388="Date-",'R.M Billets Reports'!A2388="Date:-"),'R.M Billets Reports'!B2388,IF(ROW()=2,"",B2388))</f>
      </c>
      <c r="C2389">
        <f>IF('R.M Billets Reports'!A2388="V.No.",'R.M Billets Reports'!B2388,IF(ROW()=2,"",C2388))</f>
      </c>
      <c r="D2389">
        <f>IF('R.M Billets Reports'!A2388&lt;&gt;"",'R.M Billets Reports'!A2388,IF(ROW()=2,"",D2388))</f>
      </c>
      <c r="E2389">
        <f>IF('R.M Billets Reports'!B2388="","",TRIM('R.M Billets Reports'!B2388))</f>
      </c>
      <c r="F2389">
        <f>'R.M Billets Reports'!C2388</f>
      </c>
      <c r="G2389">
        <f>'R.M Billets Reports'!D2388</f>
      </c>
      <c r="H2389">
        <f>'R.M Billets Reports'!E2388</f>
      </c>
      <c r="I2389">
        <f>'R.M Billets Reports'!F2388</f>
      </c>
      <c r="J2389">
        <f>'R.M Billets Reports'!G2388</f>
      </c>
      <c r="K2389">
        <f>'R.M Billets Reports'!H2388</f>
      </c>
      <c r="L2389">
        <f>IF('R.M Billets Reports'!I2388="","",'R.M Billets Reports'!I2388)</f>
      </c>
      <c r="M2389">
        <f t="shared" si="74"/>
      </c>
      <c r="N2389">
        <f>IF('R.M Billets Reports'!J2388="","",'R.M Billets Reports'!J2388)</f>
      </c>
      <c r="O2389">
        <f t="shared" si="75"/>
      </c>
      <c r="P2389">
        <f>IF('R.M Billets Reports'!A2388="SIZE",'R.M Billets Reports'!B2388,P2388)</f>
      </c>
    </row>
    <row r="2390" spans="1:16" x14ac:dyDescent="0.25">
      <c r="A2390">
        <f>IF(OR('R.M Billets Reports'!A2389="Date-",'R.M Billets Reports'!A2389="Date:-"),IF(IF(IF(ISNUMBER(SEARCH("Party Name:-",'R.M Billets Reports'!D2389)),TRIM('R.M Billets Reports'!F2389),IF(ISNUMBER(SEARCH("Party Name-",'R.M Billets Reports'!D2389)),TRIM(MID('R.M Billets Reports'!D2389,SEARCH("-",'R.M Billets Reports'!D2389)+1,200)),""))&lt;&gt;"",IF(ISNUMBER(SEARCH("Party Name:-",'R.M Billets Reports'!D2389)),TRIM('R.M Billets Reports'!F2389),IF(ISNUMBER(SEARCH("Party Name-",'R.M Billets Reports'!D2389)),TRIM(MID('R.M Billets Reports'!D2389,SEARCH("-",'R.M Billets Reports'!D2389)+1,200)),"")),IF(ISNUMBER(SEARCH("Party Name:-",'R.M Billets Reports'!D2390)),TRIM('R.M Billets Reports'!F2390),IF(ISNUMBER(SEARCH("Party Name-",'R.M Billets Reports'!D2390)),TRIM(MID('R.M Billets Reports'!D2390,SEARCH("-",'R.M Billets Reports'!D2390)+1,200)),"")))="VRKP ISPAT PVT LTD","VRKP",IF(IF(IF(ISNUMBER(SEARCH("Party Name:-",'R.M Billets Reports'!D2389)),TRIM('R.M Billets Reports'!F2389),IF(ISNUMBER(SEARCH("Party Name-",'R.M Billets Reports'!D2389)),TRIM(MID('R.M Billets Reports'!D2389,SEARCH("-",'R.M Billets Reports'!D2389)+1,200)),""))&lt;&gt;"",IF(ISNUMBER(SEARCH("Party Name:-",'R.M Billets Reports'!D2389)),TRIM('R.M Billets Reports'!F2389),IF(ISNUMBER(SEARCH("Party Name-",'R.M Billets Reports'!D2389)),TRIM(MID('R.M Billets Reports'!D2389,SEARCH("-",'R.M Billets Reports'!D2389)+1,200)),"")),IF(ISNUMBER(SEARCH("Party Name:-",'R.M Billets Reports'!D2390)),TRIM('R.M Billets Reports'!F2390),IF(ISNUMBER(SEARCH("Party Name-",'R.M Billets Reports'!D2390)),TRIM(MID('R.M Billets Reports'!D2390,SEARCH("-",'R.M Billets Reports'!D2390)+1,200)),"")))="SHRI RADHE","SHREE RADHE",IF(IF(IF(ISNUMBER(SEARCH("Party Name:-",'R.M Billets Reports'!D2389)),TRIM('R.M Billets Reports'!F2389),IF(ISNUMBER(SEARCH("Party Name-",'R.M Billets Reports'!D2389)),TRIM(MID('R.M Billets Reports'!D2389,SEARCH("-",'R.M Billets Reports'!D2389)+1,200)),""))&lt;&gt;"",IF(ISNUMBER(SEARCH("Party Name:-",'R.M Billets Reports'!D2389)),TRIM('R.M Billets Reports'!F2389),IF(ISNUMBER(SEARCH("Party Name-",'R.M Billets Reports'!D2389)),TRIM(MID('R.M Billets Reports'!D2389,SEARCH("-",'R.M Billets Reports'!D2389)+1,200)),"")),IF(ISNUMBER(SEARCH("Party Name:-",'R.M Billets Reports'!D2390)),TRIM('R.M Billets Reports'!F2390),IF(ISNUMBER(SEARCH("Party Name-",'R.M Billets Reports'!D2390)),TRIM(MID('R.M Billets Reports'!D2390,SEARCH("-",'R.M Billets Reports'!D2390)+1,200)),"")))="SHREE RADHE SHAKTI SPONGE AND POWER PVT. LTD.","SHREE RADHE",IF(IF(ISNUMBER(SEARCH("Party Name:-",'R.M Billets Reports'!D2389)),TRIM('R.M Billets Reports'!F2389),IF(ISNUMBER(SEARCH("Party Name-",'R.M Billets Reports'!D2389)),TRIM(MID('R.M Billets Reports'!D2389,SEARCH("-",'R.M Billets Reports'!D2389)+1,200)),""))&lt;&gt;"",IF(ISNUMBER(SEARCH("Party Name:-",'R.M Billets Reports'!D2389)),TRIM('R.M Billets Reports'!F2389),IF(ISNUMBER(SEARCH("Party Name-",'R.M Billets Reports'!D2389)),TRIM(MID('R.M Billets Reports'!D2389,SEARCH("-",'R.M Billets Reports'!D2389)+1,200)),"")),IF(ISNUMBER(SEARCH("Party Name:-",'R.M Billets Reports'!D2390)),TRIM('R.M Billets Reports'!F2390),IF(ISNUMBER(SEARCH("Party Name-",'R.M Billets Reports'!D2390)),TRIM(MID('R.M Billets Reports'!D2390,SEARCH("-",'R.M Billets Reports'!D2390)+1,200)),"")))))),IF(ROW()=2,"",A2389))</f>
      </c>
      <c r="B2390">
        <f>IF(OR('R.M Billets Reports'!A2389="Date-",'R.M Billets Reports'!A2389="Date:-"),'R.M Billets Reports'!B2389,IF(ROW()=2,"",B2389))</f>
      </c>
      <c r="C2390">
        <f>IF('R.M Billets Reports'!A2389="V.No.",'R.M Billets Reports'!B2389,IF(ROW()=2,"",C2389))</f>
      </c>
      <c r="D2390">
        <f>IF('R.M Billets Reports'!A2389&lt;&gt;"",'R.M Billets Reports'!A2389,IF(ROW()=2,"",D2389))</f>
      </c>
      <c r="E2390">
        <f>IF('R.M Billets Reports'!B2389="","",TRIM('R.M Billets Reports'!B2389))</f>
      </c>
      <c r="F2390">
        <f>'R.M Billets Reports'!C2389</f>
      </c>
      <c r="G2390">
        <f>'R.M Billets Reports'!D2389</f>
      </c>
      <c r="H2390">
        <f>'R.M Billets Reports'!E2389</f>
      </c>
      <c r="I2390">
        <f>'R.M Billets Reports'!F2389</f>
      </c>
      <c r="J2390">
        <f>'R.M Billets Reports'!G2389</f>
      </c>
      <c r="K2390">
        <f>'R.M Billets Reports'!H2389</f>
      </c>
      <c r="L2390">
        <f>IF('R.M Billets Reports'!I2389="","",'R.M Billets Reports'!I2389)</f>
      </c>
      <c r="M2390">
        <f t="shared" si="74"/>
      </c>
      <c r="N2390">
        <f>IF('R.M Billets Reports'!J2389="","",'R.M Billets Reports'!J2389)</f>
      </c>
      <c r="O2390">
        <f t="shared" si="75"/>
      </c>
      <c r="P2390">
        <f>IF('R.M Billets Reports'!A2389="SIZE",'R.M Billets Reports'!B2389,P2389)</f>
      </c>
    </row>
    <row r="2391" spans="1:16" x14ac:dyDescent="0.25">
      <c r="A2391">
        <f>IF(OR('R.M Billets Reports'!A2390="Date-",'R.M Billets Reports'!A2390="Date:-"),IF(IF(IF(ISNUMBER(SEARCH("Party Name:-",'R.M Billets Reports'!D2390)),TRIM('R.M Billets Reports'!F2390),IF(ISNUMBER(SEARCH("Party Name-",'R.M Billets Reports'!D2390)),TRIM(MID('R.M Billets Reports'!D2390,SEARCH("-",'R.M Billets Reports'!D2390)+1,200)),""))&lt;&gt;"",IF(ISNUMBER(SEARCH("Party Name:-",'R.M Billets Reports'!D2390)),TRIM('R.M Billets Reports'!F2390),IF(ISNUMBER(SEARCH("Party Name-",'R.M Billets Reports'!D2390)),TRIM(MID('R.M Billets Reports'!D2390,SEARCH("-",'R.M Billets Reports'!D2390)+1,200)),"")),IF(ISNUMBER(SEARCH("Party Name:-",'R.M Billets Reports'!D2391)),TRIM('R.M Billets Reports'!F2391),IF(ISNUMBER(SEARCH("Party Name-",'R.M Billets Reports'!D2391)),TRIM(MID('R.M Billets Reports'!D2391,SEARCH("-",'R.M Billets Reports'!D2391)+1,200)),"")))="VRKP ISPAT PVT LTD","VRKP",IF(IF(IF(ISNUMBER(SEARCH("Party Name:-",'R.M Billets Reports'!D2390)),TRIM('R.M Billets Reports'!F2390),IF(ISNUMBER(SEARCH("Party Name-",'R.M Billets Reports'!D2390)),TRIM(MID('R.M Billets Reports'!D2390,SEARCH("-",'R.M Billets Reports'!D2390)+1,200)),""))&lt;&gt;"",IF(ISNUMBER(SEARCH("Party Name:-",'R.M Billets Reports'!D2390)),TRIM('R.M Billets Reports'!F2390),IF(ISNUMBER(SEARCH("Party Name-",'R.M Billets Reports'!D2390)),TRIM(MID('R.M Billets Reports'!D2390,SEARCH("-",'R.M Billets Reports'!D2390)+1,200)),"")),IF(ISNUMBER(SEARCH("Party Name:-",'R.M Billets Reports'!D2391)),TRIM('R.M Billets Reports'!F2391),IF(ISNUMBER(SEARCH("Party Name-",'R.M Billets Reports'!D2391)),TRIM(MID('R.M Billets Reports'!D2391,SEARCH("-",'R.M Billets Reports'!D2391)+1,200)),"")))="SHRI RADHE","SHREE RADHE",IF(IF(IF(ISNUMBER(SEARCH("Party Name:-",'R.M Billets Reports'!D2390)),TRIM('R.M Billets Reports'!F2390),IF(ISNUMBER(SEARCH("Party Name-",'R.M Billets Reports'!D2390)),TRIM(MID('R.M Billets Reports'!D2390,SEARCH("-",'R.M Billets Reports'!D2390)+1,200)),""))&lt;&gt;"",IF(ISNUMBER(SEARCH("Party Name:-",'R.M Billets Reports'!D2390)),TRIM('R.M Billets Reports'!F2390),IF(ISNUMBER(SEARCH("Party Name-",'R.M Billets Reports'!D2390)),TRIM(MID('R.M Billets Reports'!D2390,SEARCH("-",'R.M Billets Reports'!D2390)+1,200)),"")),IF(ISNUMBER(SEARCH("Party Name:-",'R.M Billets Reports'!D2391)),TRIM('R.M Billets Reports'!F2391),IF(ISNUMBER(SEARCH("Party Name-",'R.M Billets Reports'!D2391)),TRIM(MID('R.M Billets Reports'!D2391,SEARCH("-",'R.M Billets Reports'!D2391)+1,200)),"")))="SHREE RADHE SHAKTI SPONGE AND POWER PVT. LTD.","SHREE RADHE",IF(IF(ISNUMBER(SEARCH("Party Name:-",'R.M Billets Reports'!D2390)),TRIM('R.M Billets Reports'!F2390),IF(ISNUMBER(SEARCH("Party Name-",'R.M Billets Reports'!D2390)),TRIM(MID('R.M Billets Reports'!D2390,SEARCH("-",'R.M Billets Reports'!D2390)+1,200)),""))&lt;&gt;"",IF(ISNUMBER(SEARCH("Party Name:-",'R.M Billets Reports'!D2390)),TRIM('R.M Billets Reports'!F2390),IF(ISNUMBER(SEARCH("Party Name-",'R.M Billets Reports'!D2390)),TRIM(MID('R.M Billets Reports'!D2390,SEARCH("-",'R.M Billets Reports'!D2390)+1,200)),"")),IF(ISNUMBER(SEARCH("Party Name:-",'R.M Billets Reports'!D2391)),TRIM('R.M Billets Reports'!F2391),IF(ISNUMBER(SEARCH("Party Name-",'R.M Billets Reports'!D2391)),TRIM(MID('R.M Billets Reports'!D2391,SEARCH("-",'R.M Billets Reports'!D2391)+1,200)),"")))))),IF(ROW()=2,"",A2390))</f>
      </c>
      <c r="B2391">
        <f>IF(OR('R.M Billets Reports'!A2390="Date-",'R.M Billets Reports'!A2390="Date:-"),'R.M Billets Reports'!B2390,IF(ROW()=2,"",B2390))</f>
      </c>
      <c r="C2391">
        <f>IF('R.M Billets Reports'!A2390="V.No.",'R.M Billets Reports'!B2390,IF(ROW()=2,"",C2390))</f>
      </c>
      <c r="D2391">
        <f>IF('R.M Billets Reports'!A2390&lt;&gt;"",'R.M Billets Reports'!A2390,IF(ROW()=2,"",D2390))</f>
      </c>
      <c r="E2391">
        <f>IF('R.M Billets Reports'!B2390="","",TRIM('R.M Billets Reports'!B2390))</f>
      </c>
      <c r="F2391">
        <f>'R.M Billets Reports'!C2390</f>
      </c>
      <c r="G2391">
        <f>'R.M Billets Reports'!D2390</f>
      </c>
      <c r="H2391">
        <f>'R.M Billets Reports'!E2390</f>
      </c>
      <c r="I2391">
        <f>'R.M Billets Reports'!F2390</f>
      </c>
      <c r="J2391">
        <f>'R.M Billets Reports'!G2390</f>
      </c>
      <c r="K2391">
        <f>'R.M Billets Reports'!H2390</f>
      </c>
      <c r="L2391">
        <f>IF('R.M Billets Reports'!I2390="","",'R.M Billets Reports'!I2390)</f>
      </c>
      <c r="M2391">
        <f t="shared" si="74"/>
      </c>
      <c r="N2391">
        <f>IF('R.M Billets Reports'!J2390="","",'R.M Billets Reports'!J2390)</f>
      </c>
      <c r="O2391">
        <f t="shared" si="75"/>
      </c>
      <c r="P2391">
        <f>IF('R.M Billets Reports'!A2390="SIZE",'R.M Billets Reports'!B2390,P2390)</f>
      </c>
    </row>
    <row r="2392" spans="1:16" x14ac:dyDescent="0.25">
      <c r="A2392">
        <f>IF(OR('R.M Billets Reports'!A2391="Date-",'R.M Billets Reports'!A2391="Date:-"),IF(IF(IF(ISNUMBER(SEARCH("Party Name:-",'R.M Billets Reports'!D2391)),TRIM('R.M Billets Reports'!F2391),IF(ISNUMBER(SEARCH("Party Name-",'R.M Billets Reports'!D2391)),TRIM(MID('R.M Billets Reports'!D2391,SEARCH("-",'R.M Billets Reports'!D2391)+1,200)),""))&lt;&gt;"",IF(ISNUMBER(SEARCH("Party Name:-",'R.M Billets Reports'!D2391)),TRIM('R.M Billets Reports'!F2391),IF(ISNUMBER(SEARCH("Party Name-",'R.M Billets Reports'!D2391)),TRIM(MID('R.M Billets Reports'!D2391,SEARCH("-",'R.M Billets Reports'!D2391)+1,200)),"")),IF(ISNUMBER(SEARCH("Party Name:-",'R.M Billets Reports'!D2392)),TRIM('R.M Billets Reports'!F2392),IF(ISNUMBER(SEARCH("Party Name-",'R.M Billets Reports'!D2392)),TRIM(MID('R.M Billets Reports'!D2392,SEARCH("-",'R.M Billets Reports'!D2392)+1,200)),"")))="VRKP ISPAT PVT LTD","VRKP",IF(IF(IF(ISNUMBER(SEARCH("Party Name:-",'R.M Billets Reports'!D2391)),TRIM('R.M Billets Reports'!F2391),IF(ISNUMBER(SEARCH("Party Name-",'R.M Billets Reports'!D2391)),TRIM(MID('R.M Billets Reports'!D2391,SEARCH("-",'R.M Billets Reports'!D2391)+1,200)),""))&lt;&gt;"",IF(ISNUMBER(SEARCH("Party Name:-",'R.M Billets Reports'!D2391)),TRIM('R.M Billets Reports'!F2391),IF(ISNUMBER(SEARCH("Party Name-",'R.M Billets Reports'!D2391)),TRIM(MID('R.M Billets Reports'!D2391,SEARCH("-",'R.M Billets Reports'!D2391)+1,200)),"")),IF(ISNUMBER(SEARCH("Party Name:-",'R.M Billets Reports'!D2392)),TRIM('R.M Billets Reports'!F2392),IF(ISNUMBER(SEARCH("Party Name-",'R.M Billets Reports'!D2392)),TRIM(MID('R.M Billets Reports'!D2392,SEARCH("-",'R.M Billets Reports'!D2392)+1,200)),"")))="SHRI RADHE","SHREE RADHE",IF(IF(IF(ISNUMBER(SEARCH("Party Name:-",'R.M Billets Reports'!D2391)),TRIM('R.M Billets Reports'!F2391),IF(ISNUMBER(SEARCH("Party Name-",'R.M Billets Reports'!D2391)),TRIM(MID('R.M Billets Reports'!D2391,SEARCH("-",'R.M Billets Reports'!D2391)+1,200)),""))&lt;&gt;"",IF(ISNUMBER(SEARCH("Party Name:-",'R.M Billets Reports'!D2391)),TRIM('R.M Billets Reports'!F2391),IF(ISNUMBER(SEARCH("Party Name-",'R.M Billets Reports'!D2391)),TRIM(MID('R.M Billets Reports'!D2391,SEARCH("-",'R.M Billets Reports'!D2391)+1,200)),"")),IF(ISNUMBER(SEARCH("Party Name:-",'R.M Billets Reports'!D2392)),TRIM('R.M Billets Reports'!F2392),IF(ISNUMBER(SEARCH("Party Name-",'R.M Billets Reports'!D2392)),TRIM(MID('R.M Billets Reports'!D2392,SEARCH("-",'R.M Billets Reports'!D2392)+1,200)),"")))="SHREE RADHE SHAKTI SPONGE AND POWER PVT. LTD.","SHREE RADHE",IF(IF(ISNUMBER(SEARCH("Party Name:-",'R.M Billets Reports'!D2391)),TRIM('R.M Billets Reports'!F2391),IF(ISNUMBER(SEARCH("Party Name-",'R.M Billets Reports'!D2391)),TRIM(MID('R.M Billets Reports'!D2391,SEARCH("-",'R.M Billets Reports'!D2391)+1,200)),""))&lt;&gt;"",IF(ISNUMBER(SEARCH("Party Name:-",'R.M Billets Reports'!D2391)),TRIM('R.M Billets Reports'!F2391),IF(ISNUMBER(SEARCH("Party Name-",'R.M Billets Reports'!D2391)),TRIM(MID('R.M Billets Reports'!D2391,SEARCH("-",'R.M Billets Reports'!D2391)+1,200)),"")),IF(ISNUMBER(SEARCH("Party Name:-",'R.M Billets Reports'!D2392)),TRIM('R.M Billets Reports'!F2392),IF(ISNUMBER(SEARCH("Party Name-",'R.M Billets Reports'!D2392)),TRIM(MID('R.M Billets Reports'!D2392,SEARCH("-",'R.M Billets Reports'!D2392)+1,200)),"")))))),IF(ROW()=2,"",A2391))</f>
      </c>
      <c r="B2392">
        <f>IF(OR('R.M Billets Reports'!A2391="Date-",'R.M Billets Reports'!A2391="Date:-"),'R.M Billets Reports'!B2391,IF(ROW()=2,"",B2391))</f>
      </c>
      <c r="C2392">
        <f>IF('R.M Billets Reports'!A2391="V.No.",'R.M Billets Reports'!B2391,IF(ROW()=2,"",C2391))</f>
      </c>
      <c r="D2392">
        <f>IF('R.M Billets Reports'!A2391&lt;&gt;"",'R.M Billets Reports'!A2391,IF(ROW()=2,"",D2391))</f>
      </c>
      <c r="E2392">
        <f>IF('R.M Billets Reports'!B2391="","",TRIM('R.M Billets Reports'!B2391))</f>
      </c>
      <c r="F2392">
        <f>'R.M Billets Reports'!C2391</f>
      </c>
      <c r="G2392">
        <f>'R.M Billets Reports'!D2391</f>
      </c>
      <c r="H2392">
        <f>'R.M Billets Reports'!E2391</f>
      </c>
      <c r="I2392">
        <f>'R.M Billets Reports'!F2391</f>
      </c>
      <c r="J2392">
        <f>'R.M Billets Reports'!G2391</f>
      </c>
      <c r="K2392">
        <f>'R.M Billets Reports'!H2391</f>
      </c>
      <c r="L2392">
        <f>IF('R.M Billets Reports'!I2391="","",'R.M Billets Reports'!I2391)</f>
      </c>
      <c r="M2392">
        <f t="shared" si="74"/>
      </c>
      <c r="N2392">
        <f>IF('R.M Billets Reports'!J2391="","",'R.M Billets Reports'!J2391)</f>
      </c>
      <c r="O2392">
        <f t="shared" si="75"/>
      </c>
      <c r="P2392">
        <f>IF('R.M Billets Reports'!A2391="SIZE",'R.M Billets Reports'!B2391,P2391)</f>
      </c>
    </row>
    <row r="2393" spans="1:16" x14ac:dyDescent="0.25">
      <c r="A2393">
        <f>IF(OR('R.M Billets Reports'!A2392="Date-",'R.M Billets Reports'!A2392="Date:-"),IF(IF(IF(ISNUMBER(SEARCH("Party Name:-",'R.M Billets Reports'!D2392)),TRIM('R.M Billets Reports'!F2392),IF(ISNUMBER(SEARCH("Party Name-",'R.M Billets Reports'!D2392)),TRIM(MID('R.M Billets Reports'!D2392,SEARCH("-",'R.M Billets Reports'!D2392)+1,200)),""))&lt;&gt;"",IF(ISNUMBER(SEARCH("Party Name:-",'R.M Billets Reports'!D2392)),TRIM('R.M Billets Reports'!F2392),IF(ISNUMBER(SEARCH("Party Name-",'R.M Billets Reports'!D2392)),TRIM(MID('R.M Billets Reports'!D2392,SEARCH("-",'R.M Billets Reports'!D2392)+1,200)),"")),IF(ISNUMBER(SEARCH("Party Name:-",'R.M Billets Reports'!D2393)),TRIM('R.M Billets Reports'!F2393),IF(ISNUMBER(SEARCH("Party Name-",'R.M Billets Reports'!D2393)),TRIM(MID('R.M Billets Reports'!D2393,SEARCH("-",'R.M Billets Reports'!D2393)+1,200)),"")))="VRKP ISPAT PVT LTD","VRKP",IF(IF(IF(ISNUMBER(SEARCH("Party Name:-",'R.M Billets Reports'!D2392)),TRIM('R.M Billets Reports'!F2392),IF(ISNUMBER(SEARCH("Party Name-",'R.M Billets Reports'!D2392)),TRIM(MID('R.M Billets Reports'!D2392,SEARCH("-",'R.M Billets Reports'!D2392)+1,200)),""))&lt;&gt;"",IF(ISNUMBER(SEARCH("Party Name:-",'R.M Billets Reports'!D2392)),TRIM('R.M Billets Reports'!F2392),IF(ISNUMBER(SEARCH("Party Name-",'R.M Billets Reports'!D2392)),TRIM(MID('R.M Billets Reports'!D2392,SEARCH("-",'R.M Billets Reports'!D2392)+1,200)),"")),IF(ISNUMBER(SEARCH("Party Name:-",'R.M Billets Reports'!D2393)),TRIM('R.M Billets Reports'!F2393),IF(ISNUMBER(SEARCH("Party Name-",'R.M Billets Reports'!D2393)),TRIM(MID('R.M Billets Reports'!D2393,SEARCH("-",'R.M Billets Reports'!D2393)+1,200)),"")))="SHRI RADHE","SHREE RADHE",IF(IF(IF(ISNUMBER(SEARCH("Party Name:-",'R.M Billets Reports'!D2392)),TRIM('R.M Billets Reports'!F2392),IF(ISNUMBER(SEARCH("Party Name-",'R.M Billets Reports'!D2392)),TRIM(MID('R.M Billets Reports'!D2392,SEARCH("-",'R.M Billets Reports'!D2392)+1,200)),""))&lt;&gt;"",IF(ISNUMBER(SEARCH("Party Name:-",'R.M Billets Reports'!D2392)),TRIM('R.M Billets Reports'!F2392),IF(ISNUMBER(SEARCH("Party Name-",'R.M Billets Reports'!D2392)),TRIM(MID('R.M Billets Reports'!D2392,SEARCH("-",'R.M Billets Reports'!D2392)+1,200)),"")),IF(ISNUMBER(SEARCH("Party Name:-",'R.M Billets Reports'!D2393)),TRIM('R.M Billets Reports'!F2393),IF(ISNUMBER(SEARCH("Party Name-",'R.M Billets Reports'!D2393)),TRIM(MID('R.M Billets Reports'!D2393,SEARCH("-",'R.M Billets Reports'!D2393)+1,200)),"")))="SHREE RADHE SHAKTI SPONGE AND POWER PVT. LTD.","SHREE RADHE",IF(IF(ISNUMBER(SEARCH("Party Name:-",'R.M Billets Reports'!D2392)),TRIM('R.M Billets Reports'!F2392),IF(ISNUMBER(SEARCH("Party Name-",'R.M Billets Reports'!D2392)),TRIM(MID('R.M Billets Reports'!D2392,SEARCH("-",'R.M Billets Reports'!D2392)+1,200)),""))&lt;&gt;"",IF(ISNUMBER(SEARCH("Party Name:-",'R.M Billets Reports'!D2392)),TRIM('R.M Billets Reports'!F2392),IF(ISNUMBER(SEARCH("Party Name-",'R.M Billets Reports'!D2392)),TRIM(MID('R.M Billets Reports'!D2392,SEARCH("-",'R.M Billets Reports'!D2392)+1,200)),"")),IF(ISNUMBER(SEARCH("Party Name:-",'R.M Billets Reports'!D2393)),TRIM('R.M Billets Reports'!F2393),IF(ISNUMBER(SEARCH("Party Name-",'R.M Billets Reports'!D2393)),TRIM(MID('R.M Billets Reports'!D2393,SEARCH("-",'R.M Billets Reports'!D2393)+1,200)),"")))))),IF(ROW()=2,"",A2392))</f>
      </c>
      <c r="B2393">
        <f>IF(OR('R.M Billets Reports'!A2392="Date-",'R.M Billets Reports'!A2392="Date:-"),'R.M Billets Reports'!B2392,IF(ROW()=2,"",B2392))</f>
      </c>
      <c r="C2393">
        <f>IF('R.M Billets Reports'!A2392="V.No.",'R.M Billets Reports'!B2392,IF(ROW()=2,"",C2392))</f>
      </c>
      <c r="D2393">
        <f>IF('R.M Billets Reports'!A2392&lt;&gt;"",'R.M Billets Reports'!A2392,IF(ROW()=2,"",D2392))</f>
      </c>
      <c r="E2393">
        <f>IF('R.M Billets Reports'!B2392="","",TRIM('R.M Billets Reports'!B2392))</f>
      </c>
      <c r="F2393">
        <f>'R.M Billets Reports'!C2392</f>
      </c>
      <c r="G2393">
        <f>'R.M Billets Reports'!D2392</f>
      </c>
      <c r="H2393">
        <f>'R.M Billets Reports'!E2392</f>
      </c>
      <c r="I2393">
        <f>'R.M Billets Reports'!F2392</f>
      </c>
      <c r="J2393">
        <f>'R.M Billets Reports'!G2392</f>
      </c>
      <c r="K2393">
        <f>'R.M Billets Reports'!H2392</f>
      </c>
      <c r="L2393">
        <f>IF('R.M Billets Reports'!I2392="","",'R.M Billets Reports'!I2392)</f>
      </c>
      <c r="M2393">
        <f t="shared" si="74"/>
      </c>
      <c r="N2393">
        <f>IF('R.M Billets Reports'!J2392="","",'R.M Billets Reports'!J2392)</f>
      </c>
      <c r="O2393">
        <f t="shared" si="75"/>
      </c>
      <c r="P2393">
        <f>IF('R.M Billets Reports'!A2392="SIZE",'R.M Billets Reports'!B2392,P2392)</f>
      </c>
    </row>
    <row r="2394" spans="1:16" x14ac:dyDescent="0.25">
      <c r="A2394">
        <f>IF(OR('R.M Billets Reports'!A2393="Date-",'R.M Billets Reports'!A2393="Date:-"),IF(IF(IF(ISNUMBER(SEARCH("Party Name:-",'R.M Billets Reports'!D2393)),TRIM('R.M Billets Reports'!F2393),IF(ISNUMBER(SEARCH("Party Name-",'R.M Billets Reports'!D2393)),TRIM(MID('R.M Billets Reports'!D2393,SEARCH("-",'R.M Billets Reports'!D2393)+1,200)),""))&lt;&gt;"",IF(ISNUMBER(SEARCH("Party Name:-",'R.M Billets Reports'!D2393)),TRIM('R.M Billets Reports'!F2393),IF(ISNUMBER(SEARCH("Party Name-",'R.M Billets Reports'!D2393)),TRIM(MID('R.M Billets Reports'!D2393,SEARCH("-",'R.M Billets Reports'!D2393)+1,200)),"")),IF(ISNUMBER(SEARCH("Party Name:-",'R.M Billets Reports'!D2394)),TRIM('R.M Billets Reports'!F2394),IF(ISNUMBER(SEARCH("Party Name-",'R.M Billets Reports'!D2394)),TRIM(MID('R.M Billets Reports'!D2394,SEARCH("-",'R.M Billets Reports'!D2394)+1,200)),"")))="VRKP ISPAT PVT LTD","VRKP",IF(IF(IF(ISNUMBER(SEARCH("Party Name:-",'R.M Billets Reports'!D2393)),TRIM('R.M Billets Reports'!F2393),IF(ISNUMBER(SEARCH("Party Name-",'R.M Billets Reports'!D2393)),TRIM(MID('R.M Billets Reports'!D2393,SEARCH("-",'R.M Billets Reports'!D2393)+1,200)),""))&lt;&gt;"",IF(ISNUMBER(SEARCH("Party Name:-",'R.M Billets Reports'!D2393)),TRIM('R.M Billets Reports'!F2393),IF(ISNUMBER(SEARCH("Party Name-",'R.M Billets Reports'!D2393)),TRIM(MID('R.M Billets Reports'!D2393,SEARCH("-",'R.M Billets Reports'!D2393)+1,200)),"")),IF(ISNUMBER(SEARCH("Party Name:-",'R.M Billets Reports'!D2394)),TRIM('R.M Billets Reports'!F2394),IF(ISNUMBER(SEARCH("Party Name-",'R.M Billets Reports'!D2394)),TRIM(MID('R.M Billets Reports'!D2394,SEARCH("-",'R.M Billets Reports'!D2394)+1,200)),"")))="SHRI RADHE","SHREE RADHE",IF(IF(IF(ISNUMBER(SEARCH("Party Name:-",'R.M Billets Reports'!D2393)),TRIM('R.M Billets Reports'!F2393),IF(ISNUMBER(SEARCH("Party Name-",'R.M Billets Reports'!D2393)),TRIM(MID('R.M Billets Reports'!D2393,SEARCH("-",'R.M Billets Reports'!D2393)+1,200)),""))&lt;&gt;"",IF(ISNUMBER(SEARCH("Party Name:-",'R.M Billets Reports'!D2393)),TRIM('R.M Billets Reports'!F2393),IF(ISNUMBER(SEARCH("Party Name-",'R.M Billets Reports'!D2393)),TRIM(MID('R.M Billets Reports'!D2393,SEARCH("-",'R.M Billets Reports'!D2393)+1,200)),"")),IF(ISNUMBER(SEARCH("Party Name:-",'R.M Billets Reports'!D2394)),TRIM('R.M Billets Reports'!F2394),IF(ISNUMBER(SEARCH("Party Name-",'R.M Billets Reports'!D2394)),TRIM(MID('R.M Billets Reports'!D2394,SEARCH("-",'R.M Billets Reports'!D2394)+1,200)),"")))="SHREE RADHE SHAKTI SPONGE AND POWER PVT. LTD.","SHREE RADHE",IF(IF(ISNUMBER(SEARCH("Party Name:-",'R.M Billets Reports'!D2393)),TRIM('R.M Billets Reports'!F2393),IF(ISNUMBER(SEARCH("Party Name-",'R.M Billets Reports'!D2393)),TRIM(MID('R.M Billets Reports'!D2393,SEARCH("-",'R.M Billets Reports'!D2393)+1,200)),""))&lt;&gt;"",IF(ISNUMBER(SEARCH("Party Name:-",'R.M Billets Reports'!D2393)),TRIM('R.M Billets Reports'!F2393),IF(ISNUMBER(SEARCH("Party Name-",'R.M Billets Reports'!D2393)),TRIM(MID('R.M Billets Reports'!D2393,SEARCH("-",'R.M Billets Reports'!D2393)+1,200)),"")),IF(ISNUMBER(SEARCH("Party Name:-",'R.M Billets Reports'!D2394)),TRIM('R.M Billets Reports'!F2394),IF(ISNUMBER(SEARCH("Party Name-",'R.M Billets Reports'!D2394)),TRIM(MID('R.M Billets Reports'!D2394,SEARCH("-",'R.M Billets Reports'!D2394)+1,200)),"")))))),IF(ROW()=2,"",A2393))</f>
      </c>
      <c r="B2394">
        <f>IF(OR('R.M Billets Reports'!A2393="Date-",'R.M Billets Reports'!A2393="Date:-"),'R.M Billets Reports'!B2393,IF(ROW()=2,"",B2393))</f>
      </c>
      <c r="C2394">
        <f>IF('R.M Billets Reports'!A2393="V.No.",'R.M Billets Reports'!B2393,IF(ROW()=2,"",C2393))</f>
      </c>
      <c r="D2394">
        <f>IF('R.M Billets Reports'!A2393&lt;&gt;"",'R.M Billets Reports'!A2393,IF(ROW()=2,"",D2393))</f>
      </c>
      <c r="E2394">
        <f>IF('R.M Billets Reports'!B2393="","",TRIM('R.M Billets Reports'!B2393))</f>
      </c>
      <c r="F2394">
        <f>'R.M Billets Reports'!C2393</f>
      </c>
      <c r="G2394">
        <f>'R.M Billets Reports'!D2393</f>
      </c>
      <c r="H2394">
        <f>'R.M Billets Reports'!E2393</f>
      </c>
      <c r="I2394">
        <f>'R.M Billets Reports'!F2393</f>
      </c>
      <c r="J2394">
        <f>'R.M Billets Reports'!G2393</f>
      </c>
      <c r="K2394">
        <f>'R.M Billets Reports'!H2393</f>
      </c>
      <c r="L2394">
        <f>IF('R.M Billets Reports'!I2393="","",'R.M Billets Reports'!I2393)</f>
      </c>
      <c r="M2394">
        <f t="shared" si="74"/>
      </c>
      <c r="N2394">
        <f>IF('R.M Billets Reports'!J2393="","",'R.M Billets Reports'!J2393)</f>
      </c>
      <c r="O2394">
        <f t="shared" si="75"/>
      </c>
      <c r="P2394">
        <f>IF('R.M Billets Reports'!A2393="SIZE",'R.M Billets Reports'!B2393,P2393)</f>
      </c>
    </row>
    <row r="2395" spans="1:16" x14ac:dyDescent="0.25">
      <c r="A2395">
        <f>IF(OR('R.M Billets Reports'!A2394="Date-",'R.M Billets Reports'!A2394="Date:-"),IF(IF(IF(ISNUMBER(SEARCH("Party Name:-",'R.M Billets Reports'!D2394)),TRIM('R.M Billets Reports'!F2394),IF(ISNUMBER(SEARCH("Party Name-",'R.M Billets Reports'!D2394)),TRIM(MID('R.M Billets Reports'!D2394,SEARCH("-",'R.M Billets Reports'!D2394)+1,200)),""))&lt;&gt;"",IF(ISNUMBER(SEARCH("Party Name:-",'R.M Billets Reports'!D2394)),TRIM('R.M Billets Reports'!F2394),IF(ISNUMBER(SEARCH("Party Name-",'R.M Billets Reports'!D2394)),TRIM(MID('R.M Billets Reports'!D2394,SEARCH("-",'R.M Billets Reports'!D2394)+1,200)),"")),IF(ISNUMBER(SEARCH("Party Name:-",'R.M Billets Reports'!D2395)),TRIM('R.M Billets Reports'!F2395),IF(ISNUMBER(SEARCH("Party Name-",'R.M Billets Reports'!D2395)),TRIM(MID('R.M Billets Reports'!D2395,SEARCH("-",'R.M Billets Reports'!D2395)+1,200)),"")))="VRKP ISPAT PVT LTD","VRKP",IF(IF(IF(ISNUMBER(SEARCH("Party Name:-",'R.M Billets Reports'!D2394)),TRIM('R.M Billets Reports'!F2394),IF(ISNUMBER(SEARCH("Party Name-",'R.M Billets Reports'!D2394)),TRIM(MID('R.M Billets Reports'!D2394,SEARCH("-",'R.M Billets Reports'!D2394)+1,200)),""))&lt;&gt;"",IF(ISNUMBER(SEARCH("Party Name:-",'R.M Billets Reports'!D2394)),TRIM('R.M Billets Reports'!F2394),IF(ISNUMBER(SEARCH("Party Name-",'R.M Billets Reports'!D2394)),TRIM(MID('R.M Billets Reports'!D2394,SEARCH("-",'R.M Billets Reports'!D2394)+1,200)),"")),IF(ISNUMBER(SEARCH("Party Name:-",'R.M Billets Reports'!D2395)),TRIM('R.M Billets Reports'!F2395),IF(ISNUMBER(SEARCH("Party Name-",'R.M Billets Reports'!D2395)),TRIM(MID('R.M Billets Reports'!D2395,SEARCH("-",'R.M Billets Reports'!D2395)+1,200)),"")))="SHRI RADHE","SHREE RADHE",IF(IF(IF(ISNUMBER(SEARCH("Party Name:-",'R.M Billets Reports'!D2394)),TRIM('R.M Billets Reports'!F2394),IF(ISNUMBER(SEARCH("Party Name-",'R.M Billets Reports'!D2394)),TRIM(MID('R.M Billets Reports'!D2394,SEARCH("-",'R.M Billets Reports'!D2394)+1,200)),""))&lt;&gt;"",IF(ISNUMBER(SEARCH("Party Name:-",'R.M Billets Reports'!D2394)),TRIM('R.M Billets Reports'!F2394),IF(ISNUMBER(SEARCH("Party Name-",'R.M Billets Reports'!D2394)),TRIM(MID('R.M Billets Reports'!D2394,SEARCH("-",'R.M Billets Reports'!D2394)+1,200)),"")),IF(ISNUMBER(SEARCH("Party Name:-",'R.M Billets Reports'!D2395)),TRIM('R.M Billets Reports'!F2395),IF(ISNUMBER(SEARCH("Party Name-",'R.M Billets Reports'!D2395)),TRIM(MID('R.M Billets Reports'!D2395,SEARCH("-",'R.M Billets Reports'!D2395)+1,200)),"")))="SHREE RADHE SHAKTI SPONGE AND POWER PVT. LTD.","SHREE RADHE",IF(IF(ISNUMBER(SEARCH("Party Name:-",'R.M Billets Reports'!D2394)),TRIM('R.M Billets Reports'!F2394),IF(ISNUMBER(SEARCH("Party Name-",'R.M Billets Reports'!D2394)),TRIM(MID('R.M Billets Reports'!D2394,SEARCH("-",'R.M Billets Reports'!D2394)+1,200)),""))&lt;&gt;"",IF(ISNUMBER(SEARCH("Party Name:-",'R.M Billets Reports'!D2394)),TRIM('R.M Billets Reports'!F2394),IF(ISNUMBER(SEARCH("Party Name-",'R.M Billets Reports'!D2394)),TRIM(MID('R.M Billets Reports'!D2394,SEARCH("-",'R.M Billets Reports'!D2394)+1,200)),"")),IF(ISNUMBER(SEARCH("Party Name:-",'R.M Billets Reports'!D2395)),TRIM('R.M Billets Reports'!F2395),IF(ISNUMBER(SEARCH("Party Name-",'R.M Billets Reports'!D2395)),TRIM(MID('R.M Billets Reports'!D2395,SEARCH("-",'R.M Billets Reports'!D2395)+1,200)),"")))))),IF(ROW()=2,"",A2394))</f>
      </c>
      <c r="B2395">
        <f>IF(OR('R.M Billets Reports'!A2394="Date-",'R.M Billets Reports'!A2394="Date:-"),'R.M Billets Reports'!B2394,IF(ROW()=2,"",B2394))</f>
      </c>
      <c r="C2395">
        <f>IF('R.M Billets Reports'!A2394="V.No.",'R.M Billets Reports'!B2394,IF(ROW()=2,"",C2394))</f>
      </c>
      <c r="D2395">
        <f>IF('R.M Billets Reports'!A2394&lt;&gt;"",'R.M Billets Reports'!A2394,IF(ROW()=2,"",D2394))</f>
      </c>
      <c r="E2395">
        <f>IF('R.M Billets Reports'!B2394="","",TRIM('R.M Billets Reports'!B2394))</f>
      </c>
      <c r="F2395">
        <f>'R.M Billets Reports'!C2394</f>
      </c>
      <c r="G2395">
        <f>'R.M Billets Reports'!D2394</f>
      </c>
      <c r="H2395">
        <f>'R.M Billets Reports'!E2394</f>
      </c>
      <c r="I2395">
        <f>'R.M Billets Reports'!F2394</f>
      </c>
      <c r="J2395">
        <f>'R.M Billets Reports'!G2394</f>
      </c>
      <c r="K2395">
        <f>'R.M Billets Reports'!H2394</f>
      </c>
      <c r="L2395">
        <f>IF('R.M Billets Reports'!I2394="","",'R.M Billets Reports'!I2394)</f>
      </c>
      <c r="M2395">
        <f t="shared" si="74"/>
      </c>
      <c r="N2395">
        <f>IF('R.M Billets Reports'!J2394="","",'R.M Billets Reports'!J2394)</f>
      </c>
      <c r="O2395">
        <f t="shared" si="75"/>
      </c>
      <c r="P2395">
        <f>IF('R.M Billets Reports'!A2394="SIZE",'R.M Billets Reports'!B2394,P2394)</f>
      </c>
    </row>
    <row r="2396" spans="1:16" x14ac:dyDescent="0.25">
      <c r="A2396">
        <f>IF(OR('R.M Billets Reports'!A2395="Date-",'R.M Billets Reports'!A2395="Date:-"),IF(IF(IF(ISNUMBER(SEARCH("Party Name:-",'R.M Billets Reports'!D2395)),TRIM('R.M Billets Reports'!F2395),IF(ISNUMBER(SEARCH("Party Name-",'R.M Billets Reports'!D2395)),TRIM(MID('R.M Billets Reports'!D2395,SEARCH("-",'R.M Billets Reports'!D2395)+1,200)),""))&lt;&gt;"",IF(ISNUMBER(SEARCH("Party Name:-",'R.M Billets Reports'!D2395)),TRIM('R.M Billets Reports'!F2395),IF(ISNUMBER(SEARCH("Party Name-",'R.M Billets Reports'!D2395)),TRIM(MID('R.M Billets Reports'!D2395,SEARCH("-",'R.M Billets Reports'!D2395)+1,200)),"")),IF(ISNUMBER(SEARCH("Party Name:-",'R.M Billets Reports'!D2396)),TRIM('R.M Billets Reports'!F2396),IF(ISNUMBER(SEARCH("Party Name-",'R.M Billets Reports'!D2396)),TRIM(MID('R.M Billets Reports'!D2396,SEARCH("-",'R.M Billets Reports'!D2396)+1,200)),"")))="VRKP ISPAT PVT LTD","VRKP",IF(IF(IF(ISNUMBER(SEARCH("Party Name:-",'R.M Billets Reports'!D2395)),TRIM('R.M Billets Reports'!F2395),IF(ISNUMBER(SEARCH("Party Name-",'R.M Billets Reports'!D2395)),TRIM(MID('R.M Billets Reports'!D2395,SEARCH("-",'R.M Billets Reports'!D2395)+1,200)),""))&lt;&gt;"",IF(ISNUMBER(SEARCH("Party Name:-",'R.M Billets Reports'!D2395)),TRIM('R.M Billets Reports'!F2395),IF(ISNUMBER(SEARCH("Party Name-",'R.M Billets Reports'!D2395)),TRIM(MID('R.M Billets Reports'!D2395,SEARCH("-",'R.M Billets Reports'!D2395)+1,200)),"")),IF(ISNUMBER(SEARCH("Party Name:-",'R.M Billets Reports'!D2396)),TRIM('R.M Billets Reports'!F2396),IF(ISNUMBER(SEARCH("Party Name-",'R.M Billets Reports'!D2396)),TRIM(MID('R.M Billets Reports'!D2396,SEARCH("-",'R.M Billets Reports'!D2396)+1,200)),"")))="SHRI RADHE","SHREE RADHE",IF(IF(IF(ISNUMBER(SEARCH("Party Name:-",'R.M Billets Reports'!D2395)),TRIM('R.M Billets Reports'!F2395),IF(ISNUMBER(SEARCH("Party Name-",'R.M Billets Reports'!D2395)),TRIM(MID('R.M Billets Reports'!D2395,SEARCH("-",'R.M Billets Reports'!D2395)+1,200)),""))&lt;&gt;"",IF(ISNUMBER(SEARCH("Party Name:-",'R.M Billets Reports'!D2395)),TRIM('R.M Billets Reports'!F2395),IF(ISNUMBER(SEARCH("Party Name-",'R.M Billets Reports'!D2395)),TRIM(MID('R.M Billets Reports'!D2395,SEARCH("-",'R.M Billets Reports'!D2395)+1,200)),"")),IF(ISNUMBER(SEARCH("Party Name:-",'R.M Billets Reports'!D2396)),TRIM('R.M Billets Reports'!F2396),IF(ISNUMBER(SEARCH("Party Name-",'R.M Billets Reports'!D2396)),TRIM(MID('R.M Billets Reports'!D2396,SEARCH("-",'R.M Billets Reports'!D2396)+1,200)),"")))="SHREE RADHE SHAKTI SPONGE AND POWER PVT. LTD.","SHREE RADHE",IF(IF(ISNUMBER(SEARCH("Party Name:-",'R.M Billets Reports'!D2395)),TRIM('R.M Billets Reports'!F2395),IF(ISNUMBER(SEARCH("Party Name-",'R.M Billets Reports'!D2395)),TRIM(MID('R.M Billets Reports'!D2395,SEARCH("-",'R.M Billets Reports'!D2395)+1,200)),""))&lt;&gt;"",IF(ISNUMBER(SEARCH("Party Name:-",'R.M Billets Reports'!D2395)),TRIM('R.M Billets Reports'!F2395),IF(ISNUMBER(SEARCH("Party Name-",'R.M Billets Reports'!D2395)),TRIM(MID('R.M Billets Reports'!D2395,SEARCH("-",'R.M Billets Reports'!D2395)+1,200)),"")),IF(ISNUMBER(SEARCH("Party Name:-",'R.M Billets Reports'!D2396)),TRIM('R.M Billets Reports'!F2396),IF(ISNUMBER(SEARCH("Party Name-",'R.M Billets Reports'!D2396)),TRIM(MID('R.M Billets Reports'!D2396,SEARCH("-",'R.M Billets Reports'!D2396)+1,200)),"")))))),IF(ROW()=2,"",A2395))</f>
      </c>
      <c r="B2396">
        <f>IF(OR('R.M Billets Reports'!A2395="Date-",'R.M Billets Reports'!A2395="Date:-"),'R.M Billets Reports'!B2395,IF(ROW()=2,"",B2395))</f>
      </c>
      <c r="C2396">
        <f>IF('R.M Billets Reports'!A2395="V.No.",'R.M Billets Reports'!B2395,IF(ROW()=2,"",C2395))</f>
      </c>
      <c r="D2396">
        <f>IF('R.M Billets Reports'!A2395&lt;&gt;"",'R.M Billets Reports'!A2395,IF(ROW()=2,"",D2395))</f>
      </c>
      <c r="E2396">
        <f>IF('R.M Billets Reports'!B2395="","",TRIM('R.M Billets Reports'!B2395))</f>
      </c>
      <c r="F2396">
        <f>'R.M Billets Reports'!C2395</f>
      </c>
      <c r="G2396">
        <f>'R.M Billets Reports'!D2395</f>
      </c>
      <c r="H2396">
        <f>'R.M Billets Reports'!E2395</f>
      </c>
      <c r="I2396">
        <f>'R.M Billets Reports'!F2395</f>
      </c>
      <c r="J2396">
        <f>'R.M Billets Reports'!G2395</f>
      </c>
      <c r="K2396">
        <f>'R.M Billets Reports'!H2395</f>
      </c>
      <c r="L2396">
        <f>IF('R.M Billets Reports'!I2395="","",'R.M Billets Reports'!I2395)</f>
      </c>
      <c r="M2396">
        <f t="shared" si="74"/>
      </c>
      <c r="N2396">
        <f>IF('R.M Billets Reports'!J2395="","",'R.M Billets Reports'!J2395)</f>
      </c>
      <c r="O2396">
        <f t="shared" si="75"/>
      </c>
      <c r="P2396">
        <f>IF('R.M Billets Reports'!A2395="SIZE",'R.M Billets Reports'!B2395,P2395)</f>
      </c>
    </row>
    <row r="2397" spans="1:16" x14ac:dyDescent="0.25">
      <c r="A2397">
        <f>IF(OR('R.M Billets Reports'!A2396="Date-",'R.M Billets Reports'!A2396="Date:-"),IF(IF(IF(ISNUMBER(SEARCH("Party Name:-",'R.M Billets Reports'!D2396)),TRIM('R.M Billets Reports'!F2396),IF(ISNUMBER(SEARCH("Party Name-",'R.M Billets Reports'!D2396)),TRIM(MID('R.M Billets Reports'!D2396,SEARCH("-",'R.M Billets Reports'!D2396)+1,200)),""))&lt;&gt;"",IF(ISNUMBER(SEARCH("Party Name:-",'R.M Billets Reports'!D2396)),TRIM('R.M Billets Reports'!F2396),IF(ISNUMBER(SEARCH("Party Name-",'R.M Billets Reports'!D2396)),TRIM(MID('R.M Billets Reports'!D2396,SEARCH("-",'R.M Billets Reports'!D2396)+1,200)),"")),IF(ISNUMBER(SEARCH("Party Name:-",'R.M Billets Reports'!D2397)),TRIM('R.M Billets Reports'!F2397),IF(ISNUMBER(SEARCH("Party Name-",'R.M Billets Reports'!D2397)),TRIM(MID('R.M Billets Reports'!D2397,SEARCH("-",'R.M Billets Reports'!D2397)+1,200)),"")))="VRKP ISPAT PVT LTD","VRKP",IF(IF(IF(ISNUMBER(SEARCH("Party Name:-",'R.M Billets Reports'!D2396)),TRIM('R.M Billets Reports'!F2396),IF(ISNUMBER(SEARCH("Party Name-",'R.M Billets Reports'!D2396)),TRIM(MID('R.M Billets Reports'!D2396,SEARCH("-",'R.M Billets Reports'!D2396)+1,200)),""))&lt;&gt;"",IF(ISNUMBER(SEARCH("Party Name:-",'R.M Billets Reports'!D2396)),TRIM('R.M Billets Reports'!F2396),IF(ISNUMBER(SEARCH("Party Name-",'R.M Billets Reports'!D2396)),TRIM(MID('R.M Billets Reports'!D2396,SEARCH("-",'R.M Billets Reports'!D2396)+1,200)),"")),IF(ISNUMBER(SEARCH("Party Name:-",'R.M Billets Reports'!D2397)),TRIM('R.M Billets Reports'!F2397),IF(ISNUMBER(SEARCH("Party Name-",'R.M Billets Reports'!D2397)),TRIM(MID('R.M Billets Reports'!D2397,SEARCH("-",'R.M Billets Reports'!D2397)+1,200)),"")))="SHRI RADHE","SHREE RADHE",IF(IF(IF(ISNUMBER(SEARCH("Party Name:-",'R.M Billets Reports'!D2396)),TRIM('R.M Billets Reports'!F2396),IF(ISNUMBER(SEARCH("Party Name-",'R.M Billets Reports'!D2396)),TRIM(MID('R.M Billets Reports'!D2396,SEARCH("-",'R.M Billets Reports'!D2396)+1,200)),""))&lt;&gt;"",IF(ISNUMBER(SEARCH("Party Name:-",'R.M Billets Reports'!D2396)),TRIM('R.M Billets Reports'!F2396),IF(ISNUMBER(SEARCH("Party Name-",'R.M Billets Reports'!D2396)),TRIM(MID('R.M Billets Reports'!D2396,SEARCH("-",'R.M Billets Reports'!D2396)+1,200)),"")),IF(ISNUMBER(SEARCH("Party Name:-",'R.M Billets Reports'!D2397)),TRIM('R.M Billets Reports'!F2397),IF(ISNUMBER(SEARCH("Party Name-",'R.M Billets Reports'!D2397)),TRIM(MID('R.M Billets Reports'!D2397,SEARCH("-",'R.M Billets Reports'!D2397)+1,200)),"")))="SHREE RADHE SHAKTI SPONGE AND POWER PVT. LTD.","SHREE RADHE",IF(IF(ISNUMBER(SEARCH("Party Name:-",'R.M Billets Reports'!D2396)),TRIM('R.M Billets Reports'!F2396),IF(ISNUMBER(SEARCH("Party Name-",'R.M Billets Reports'!D2396)),TRIM(MID('R.M Billets Reports'!D2396,SEARCH("-",'R.M Billets Reports'!D2396)+1,200)),""))&lt;&gt;"",IF(ISNUMBER(SEARCH("Party Name:-",'R.M Billets Reports'!D2396)),TRIM('R.M Billets Reports'!F2396),IF(ISNUMBER(SEARCH("Party Name-",'R.M Billets Reports'!D2396)),TRIM(MID('R.M Billets Reports'!D2396,SEARCH("-",'R.M Billets Reports'!D2396)+1,200)),"")),IF(ISNUMBER(SEARCH("Party Name:-",'R.M Billets Reports'!D2397)),TRIM('R.M Billets Reports'!F2397),IF(ISNUMBER(SEARCH("Party Name-",'R.M Billets Reports'!D2397)),TRIM(MID('R.M Billets Reports'!D2397,SEARCH("-",'R.M Billets Reports'!D2397)+1,200)),"")))))),IF(ROW()=2,"",A2396))</f>
      </c>
      <c r="B2397">
        <f>IF(OR('R.M Billets Reports'!A2396="Date-",'R.M Billets Reports'!A2396="Date:-"),'R.M Billets Reports'!B2396,IF(ROW()=2,"",B2396))</f>
      </c>
      <c r="C2397">
        <f>IF('R.M Billets Reports'!A2396="V.No.",'R.M Billets Reports'!B2396,IF(ROW()=2,"",C2396))</f>
      </c>
      <c r="D2397">
        <f>IF('R.M Billets Reports'!A2396&lt;&gt;"",'R.M Billets Reports'!A2396,IF(ROW()=2,"",D2396))</f>
      </c>
      <c r="E2397">
        <f>IF('R.M Billets Reports'!B2396="","",TRIM('R.M Billets Reports'!B2396))</f>
      </c>
      <c r="F2397">
        <f>'R.M Billets Reports'!C2396</f>
      </c>
      <c r="G2397">
        <f>'R.M Billets Reports'!D2396</f>
      </c>
      <c r="H2397">
        <f>'R.M Billets Reports'!E2396</f>
      </c>
      <c r="I2397">
        <f>'R.M Billets Reports'!F2396</f>
      </c>
      <c r="J2397">
        <f>'R.M Billets Reports'!G2396</f>
      </c>
      <c r="K2397">
        <f>'R.M Billets Reports'!H2396</f>
      </c>
      <c r="L2397">
        <f>IF('R.M Billets Reports'!I2396="","",'R.M Billets Reports'!I2396)</f>
      </c>
      <c r="M2397">
        <f t="shared" si="74"/>
      </c>
      <c r="N2397">
        <f>IF('R.M Billets Reports'!J2396="","",'R.M Billets Reports'!J2396)</f>
      </c>
      <c r="O2397">
        <f t="shared" si="75"/>
      </c>
      <c r="P2397">
        <f>IF('R.M Billets Reports'!A2396="SIZE",'R.M Billets Reports'!B2396,P2396)</f>
      </c>
    </row>
    <row r="2398" spans="1:16" x14ac:dyDescent="0.25">
      <c r="A2398">
        <f>IF(OR('R.M Billets Reports'!A2397="Date-",'R.M Billets Reports'!A2397="Date:-"),IF(IF(IF(ISNUMBER(SEARCH("Party Name:-",'R.M Billets Reports'!D2397)),TRIM('R.M Billets Reports'!F2397),IF(ISNUMBER(SEARCH("Party Name-",'R.M Billets Reports'!D2397)),TRIM(MID('R.M Billets Reports'!D2397,SEARCH("-",'R.M Billets Reports'!D2397)+1,200)),""))&lt;&gt;"",IF(ISNUMBER(SEARCH("Party Name:-",'R.M Billets Reports'!D2397)),TRIM('R.M Billets Reports'!F2397),IF(ISNUMBER(SEARCH("Party Name-",'R.M Billets Reports'!D2397)),TRIM(MID('R.M Billets Reports'!D2397,SEARCH("-",'R.M Billets Reports'!D2397)+1,200)),"")),IF(ISNUMBER(SEARCH("Party Name:-",'R.M Billets Reports'!D2398)),TRIM('R.M Billets Reports'!F2398),IF(ISNUMBER(SEARCH("Party Name-",'R.M Billets Reports'!D2398)),TRIM(MID('R.M Billets Reports'!D2398,SEARCH("-",'R.M Billets Reports'!D2398)+1,200)),"")))="VRKP ISPAT PVT LTD","VRKP",IF(IF(IF(ISNUMBER(SEARCH("Party Name:-",'R.M Billets Reports'!D2397)),TRIM('R.M Billets Reports'!F2397),IF(ISNUMBER(SEARCH("Party Name-",'R.M Billets Reports'!D2397)),TRIM(MID('R.M Billets Reports'!D2397,SEARCH("-",'R.M Billets Reports'!D2397)+1,200)),""))&lt;&gt;"",IF(ISNUMBER(SEARCH("Party Name:-",'R.M Billets Reports'!D2397)),TRIM('R.M Billets Reports'!F2397),IF(ISNUMBER(SEARCH("Party Name-",'R.M Billets Reports'!D2397)),TRIM(MID('R.M Billets Reports'!D2397,SEARCH("-",'R.M Billets Reports'!D2397)+1,200)),"")),IF(ISNUMBER(SEARCH("Party Name:-",'R.M Billets Reports'!D2398)),TRIM('R.M Billets Reports'!F2398),IF(ISNUMBER(SEARCH("Party Name-",'R.M Billets Reports'!D2398)),TRIM(MID('R.M Billets Reports'!D2398,SEARCH("-",'R.M Billets Reports'!D2398)+1,200)),"")))="SHRI RADHE","SHREE RADHE",IF(IF(IF(ISNUMBER(SEARCH("Party Name:-",'R.M Billets Reports'!D2397)),TRIM('R.M Billets Reports'!F2397),IF(ISNUMBER(SEARCH("Party Name-",'R.M Billets Reports'!D2397)),TRIM(MID('R.M Billets Reports'!D2397,SEARCH("-",'R.M Billets Reports'!D2397)+1,200)),""))&lt;&gt;"",IF(ISNUMBER(SEARCH("Party Name:-",'R.M Billets Reports'!D2397)),TRIM('R.M Billets Reports'!F2397),IF(ISNUMBER(SEARCH("Party Name-",'R.M Billets Reports'!D2397)),TRIM(MID('R.M Billets Reports'!D2397,SEARCH("-",'R.M Billets Reports'!D2397)+1,200)),"")),IF(ISNUMBER(SEARCH("Party Name:-",'R.M Billets Reports'!D2398)),TRIM('R.M Billets Reports'!F2398),IF(ISNUMBER(SEARCH("Party Name-",'R.M Billets Reports'!D2398)),TRIM(MID('R.M Billets Reports'!D2398,SEARCH("-",'R.M Billets Reports'!D2398)+1,200)),"")))="SHREE RADHE SHAKTI SPONGE AND POWER PVT. LTD.","SHREE RADHE",IF(IF(ISNUMBER(SEARCH("Party Name:-",'R.M Billets Reports'!D2397)),TRIM('R.M Billets Reports'!F2397),IF(ISNUMBER(SEARCH("Party Name-",'R.M Billets Reports'!D2397)),TRIM(MID('R.M Billets Reports'!D2397,SEARCH("-",'R.M Billets Reports'!D2397)+1,200)),""))&lt;&gt;"",IF(ISNUMBER(SEARCH("Party Name:-",'R.M Billets Reports'!D2397)),TRIM('R.M Billets Reports'!F2397),IF(ISNUMBER(SEARCH("Party Name-",'R.M Billets Reports'!D2397)),TRIM(MID('R.M Billets Reports'!D2397,SEARCH("-",'R.M Billets Reports'!D2397)+1,200)),"")),IF(ISNUMBER(SEARCH("Party Name:-",'R.M Billets Reports'!D2398)),TRIM('R.M Billets Reports'!F2398),IF(ISNUMBER(SEARCH("Party Name-",'R.M Billets Reports'!D2398)),TRIM(MID('R.M Billets Reports'!D2398,SEARCH("-",'R.M Billets Reports'!D2398)+1,200)),"")))))),IF(ROW()=2,"",A2397))</f>
      </c>
      <c r="B2398">
        <f>IF(OR('R.M Billets Reports'!A2397="Date-",'R.M Billets Reports'!A2397="Date:-"),'R.M Billets Reports'!B2397,IF(ROW()=2,"",B2397))</f>
      </c>
      <c r="C2398">
        <f>IF('R.M Billets Reports'!A2397="V.No.",'R.M Billets Reports'!B2397,IF(ROW()=2,"",C2397))</f>
      </c>
      <c r="D2398">
        <f>IF('R.M Billets Reports'!A2397&lt;&gt;"",'R.M Billets Reports'!A2397,IF(ROW()=2,"",D2397))</f>
      </c>
      <c r="E2398">
        <f>IF('R.M Billets Reports'!B2397="","",TRIM('R.M Billets Reports'!B2397))</f>
      </c>
      <c r="F2398">
        <f>'R.M Billets Reports'!C2397</f>
      </c>
      <c r="G2398">
        <f>'R.M Billets Reports'!D2397</f>
      </c>
      <c r="H2398">
        <f>'R.M Billets Reports'!E2397</f>
      </c>
      <c r="I2398">
        <f>'R.M Billets Reports'!F2397</f>
      </c>
      <c r="J2398">
        <f>'R.M Billets Reports'!G2397</f>
      </c>
      <c r="K2398">
        <f>'R.M Billets Reports'!H2397</f>
      </c>
      <c r="L2398">
        <f>IF('R.M Billets Reports'!I2397="","",'R.M Billets Reports'!I2397)</f>
      </c>
      <c r="M2398">
        <f t="shared" si="74"/>
      </c>
      <c r="N2398">
        <f>IF('R.M Billets Reports'!J2397="","",'R.M Billets Reports'!J2397)</f>
      </c>
      <c r="O2398">
        <f t="shared" si="75"/>
      </c>
      <c r="P2398">
        <f>IF('R.M Billets Reports'!A2397="SIZE",'R.M Billets Reports'!B2397,P2397)</f>
      </c>
    </row>
    <row r="2399" spans="1:16" x14ac:dyDescent="0.25">
      <c r="A2399">
        <f>IF(OR('R.M Billets Reports'!A2398="Date-",'R.M Billets Reports'!A2398="Date:-"),IF(IF(IF(ISNUMBER(SEARCH("Party Name:-",'R.M Billets Reports'!D2398)),TRIM('R.M Billets Reports'!F2398),IF(ISNUMBER(SEARCH("Party Name-",'R.M Billets Reports'!D2398)),TRIM(MID('R.M Billets Reports'!D2398,SEARCH("-",'R.M Billets Reports'!D2398)+1,200)),""))&lt;&gt;"",IF(ISNUMBER(SEARCH("Party Name:-",'R.M Billets Reports'!D2398)),TRIM('R.M Billets Reports'!F2398),IF(ISNUMBER(SEARCH("Party Name-",'R.M Billets Reports'!D2398)),TRIM(MID('R.M Billets Reports'!D2398,SEARCH("-",'R.M Billets Reports'!D2398)+1,200)),"")),IF(ISNUMBER(SEARCH("Party Name:-",'R.M Billets Reports'!D2399)),TRIM('R.M Billets Reports'!F2399),IF(ISNUMBER(SEARCH("Party Name-",'R.M Billets Reports'!D2399)),TRIM(MID('R.M Billets Reports'!D2399,SEARCH("-",'R.M Billets Reports'!D2399)+1,200)),"")))="VRKP ISPAT PVT LTD","VRKP",IF(IF(IF(ISNUMBER(SEARCH("Party Name:-",'R.M Billets Reports'!D2398)),TRIM('R.M Billets Reports'!F2398),IF(ISNUMBER(SEARCH("Party Name-",'R.M Billets Reports'!D2398)),TRIM(MID('R.M Billets Reports'!D2398,SEARCH("-",'R.M Billets Reports'!D2398)+1,200)),""))&lt;&gt;"",IF(ISNUMBER(SEARCH("Party Name:-",'R.M Billets Reports'!D2398)),TRIM('R.M Billets Reports'!F2398),IF(ISNUMBER(SEARCH("Party Name-",'R.M Billets Reports'!D2398)),TRIM(MID('R.M Billets Reports'!D2398,SEARCH("-",'R.M Billets Reports'!D2398)+1,200)),"")),IF(ISNUMBER(SEARCH("Party Name:-",'R.M Billets Reports'!D2399)),TRIM('R.M Billets Reports'!F2399),IF(ISNUMBER(SEARCH("Party Name-",'R.M Billets Reports'!D2399)),TRIM(MID('R.M Billets Reports'!D2399,SEARCH("-",'R.M Billets Reports'!D2399)+1,200)),"")))="SHRI RADHE","SHREE RADHE",IF(IF(IF(ISNUMBER(SEARCH("Party Name:-",'R.M Billets Reports'!D2398)),TRIM('R.M Billets Reports'!F2398),IF(ISNUMBER(SEARCH("Party Name-",'R.M Billets Reports'!D2398)),TRIM(MID('R.M Billets Reports'!D2398,SEARCH("-",'R.M Billets Reports'!D2398)+1,200)),""))&lt;&gt;"",IF(ISNUMBER(SEARCH("Party Name:-",'R.M Billets Reports'!D2398)),TRIM('R.M Billets Reports'!F2398),IF(ISNUMBER(SEARCH("Party Name-",'R.M Billets Reports'!D2398)),TRIM(MID('R.M Billets Reports'!D2398,SEARCH("-",'R.M Billets Reports'!D2398)+1,200)),"")),IF(ISNUMBER(SEARCH("Party Name:-",'R.M Billets Reports'!D2399)),TRIM('R.M Billets Reports'!F2399),IF(ISNUMBER(SEARCH("Party Name-",'R.M Billets Reports'!D2399)),TRIM(MID('R.M Billets Reports'!D2399,SEARCH("-",'R.M Billets Reports'!D2399)+1,200)),"")))="SHREE RADHE SHAKTI SPONGE AND POWER PVT. LTD.","SHREE RADHE",IF(IF(ISNUMBER(SEARCH("Party Name:-",'R.M Billets Reports'!D2398)),TRIM('R.M Billets Reports'!F2398),IF(ISNUMBER(SEARCH("Party Name-",'R.M Billets Reports'!D2398)),TRIM(MID('R.M Billets Reports'!D2398,SEARCH("-",'R.M Billets Reports'!D2398)+1,200)),""))&lt;&gt;"",IF(ISNUMBER(SEARCH("Party Name:-",'R.M Billets Reports'!D2398)),TRIM('R.M Billets Reports'!F2398),IF(ISNUMBER(SEARCH("Party Name-",'R.M Billets Reports'!D2398)),TRIM(MID('R.M Billets Reports'!D2398,SEARCH("-",'R.M Billets Reports'!D2398)+1,200)),"")),IF(ISNUMBER(SEARCH("Party Name:-",'R.M Billets Reports'!D2399)),TRIM('R.M Billets Reports'!F2399),IF(ISNUMBER(SEARCH("Party Name-",'R.M Billets Reports'!D2399)),TRIM(MID('R.M Billets Reports'!D2399,SEARCH("-",'R.M Billets Reports'!D2399)+1,200)),"")))))),IF(ROW()=2,"",A2398))</f>
      </c>
      <c r="B2399">
        <f>IF(OR('R.M Billets Reports'!A2398="Date-",'R.M Billets Reports'!A2398="Date:-"),'R.M Billets Reports'!B2398,IF(ROW()=2,"",B2398))</f>
      </c>
      <c r="C2399">
        <f>IF('R.M Billets Reports'!A2398="V.No.",'R.M Billets Reports'!B2398,IF(ROW()=2,"",C2398))</f>
      </c>
      <c r="D2399">
        <f>IF('R.M Billets Reports'!A2398&lt;&gt;"",'R.M Billets Reports'!A2398,IF(ROW()=2,"",D2398))</f>
      </c>
      <c r="E2399">
        <f>IF('R.M Billets Reports'!B2398="","",TRIM('R.M Billets Reports'!B2398))</f>
      </c>
      <c r="F2399">
        <f>'R.M Billets Reports'!C2398</f>
      </c>
      <c r="G2399">
        <f>'R.M Billets Reports'!D2398</f>
      </c>
      <c r="H2399">
        <f>'R.M Billets Reports'!E2398</f>
      </c>
      <c r="I2399">
        <f>'R.M Billets Reports'!F2398</f>
      </c>
      <c r="J2399">
        <f>'R.M Billets Reports'!G2398</f>
      </c>
      <c r="K2399">
        <f>'R.M Billets Reports'!H2398</f>
      </c>
      <c r="L2399">
        <f>IF('R.M Billets Reports'!I2398="","",'R.M Billets Reports'!I2398)</f>
      </c>
      <c r="M2399">
        <f t="shared" si="74"/>
      </c>
      <c r="N2399">
        <f>IF('R.M Billets Reports'!J2398="","",'R.M Billets Reports'!J2398)</f>
      </c>
      <c r="O2399">
        <f t="shared" si="75"/>
      </c>
      <c r="P2399">
        <f>IF('R.M Billets Reports'!A2398="SIZE",'R.M Billets Reports'!B2398,P2398)</f>
      </c>
    </row>
    <row r="2400" spans="1:16" x14ac:dyDescent="0.25">
      <c r="A2400">
        <f>IF(OR('R.M Billets Reports'!A2399="Date-",'R.M Billets Reports'!A2399="Date:-"),IF(IF(IF(ISNUMBER(SEARCH("Party Name:-",'R.M Billets Reports'!D2399)),TRIM('R.M Billets Reports'!F2399),IF(ISNUMBER(SEARCH("Party Name-",'R.M Billets Reports'!D2399)),TRIM(MID('R.M Billets Reports'!D2399,SEARCH("-",'R.M Billets Reports'!D2399)+1,200)),""))&lt;&gt;"",IF(ISNUMBER(SEARCH("Party Name:-",'R.M Billets Reports'!D2399)),TRIM('R.M Billets Reports'!F2399),IF(ISNUMBER(SEARCH("Party Name-",'R.M Billets Reports'!D2399)),TRIM(MID('R.M Billets Reports'!D2399,SEARCH("-",'R.M Billets Reports'!D2399)+1,200)),"")),IF(ISNUMBER(SEARCH("Party Name:-",'R.M Billets Reports'!D2400)),TRIM('R.M Billets Reports'!F2400),IF(ISNUMBER(SEARCH("Party Name-",'R.M Billets Reports'!D2400)),TRIM(MID('R.M Billets Reports'!D2400,SEARCH("-",'R.M Billets Reports'!D2400)+1,200)),"")))="VRKP ISPAT PVT LTD","VRKP",IF(IF(IF(ISNUMBER(SEARCH("Party Name:-",'R.M Billets Reports'!D2399)),TRIM('R.M Billets Reports'!F2399),IF(ISNUMBER(SEARCH("Party Name-",'R.M Billets Reports'!D2399)),TRIM(MID('R.M Billets Reports'!D2399,SEARCH("-",'R.M Billets Reports'!D2399)+1,200)),""))&lt;&gt;"",IF(ISNUMBER(SEARCH("Party Name:-",'R.M Billets Reports'!D2399)),TRIM('R.M Billets Reports'!F2399),IF(ISNUMBER(SEARCH("Party Name-",'R.M Billets Reports'!D2399)),TRIM(MID('R.M Billets Reports'!D2399,SEARCH("-",'R.M Billets Reports'!D2399)+1,200)),"")),IF(ISNUMBER(SEARCH("Party Name:-",'R.M Billets Reports'!D2400)),TRIM('R.M Billets Reports'!F2400),IF(ISNUMBER(SEARCH("Party Name-",'R.M Billets Reports'!D2400)),TRIM(MID('R.M Billets Reports'!D2400,SEARCH("-",'R.M Billets Reports'!D2400)+1,200)),"")))="SHRI RADHE","SHREE RADHE",IF(IF(IF(ISNUMBER(SEARCH("Party Name:-",'R.M Billets Reports'!D2399)),TRIM('R.M Billets Reports'!F2399),IF(ISNUMBER(SEARCH("Party Name-",'R.M Billets Reports'!D2399)),TRIM(MID('R.M Billets Reports'!D2399,SEARCH("-",'R.M Billets Reports'!D2399)+1,200)),""))&lt;&gt;"",IF(ISNUMBER(SEARCH("Party Name:-",'R.M Billets Reports'!D2399)),TRIM('R.M Billets Reports'!F2399),IF(ISNUMBER(SEARCH("Party Name-",'R.M Billets Reports'!D2399)),TRIM(MID('R.M Billets Reports'!D2399,SEARCH("-",'R.M Billets Reports'!D2399)+1,200)),"")),IF(ISNUMBER(SEARCH("Party Name:-",'R.M Billets Reports'!D2400)),TRIM('R.M Billets Reports'!F2400),IF(ISNUMBER(SEARCH("Party Name-",'R.M Billets Reports'!D2400)),TRIM(MID('R.M Billets Reports'!D2400,SEARCH("-",'R.M Billets Reports'!D2400)+1,200)),"")))="SHREE RADHE SHAKTI SPONGE AND POWER PVT. LTD.","SHREE RADHE",IF(IF(ISNUMBER(SEARCH("Party Name:-",'R.M Billets Reports'!D2399)),TRIM('R.M Billets Reports'!F2399),IF(ISNUMBER(SEARCH("Party Name-",'R.M Billets Reports'!D2399)),TRIM(MID('R.M Billets Reports'!D2399,SEARCH("-",'R.M Billets Reports'!D2399)+1,200)),""))&lt;&gt;"",IF(ISNUMBER(SEARCH("Party Name:-",'R.M Billets Reports'!D2399)),TRIM('R.M Billets Reports'!F2399),IF(ISNUMBER(SEARCH("Party Name-",'R.M Billets Reports'!D2399)),TRIM(MID('R.M Billets Reports'!D2399,SEARCH("-",'R.M Billets Reports'!D2399)+1,200)),"")),IF(ISNUMBER(SEARCH("Party Name:-",'R.M Billets Reports'!D2400)),TRIM('R.M Billets Reports'!F2400),IF(ISNUMBER(SEARCH("Party Name-",'R.M Billets Reports'!D2400)),TRIM(MID('R.M Billets Reports'!D2400,SEARCH("-",'R.M Billets Reports'!D2400)+1,200)),"")))))),IF(ROW()=2,"",A2399))</f>
      </c>
      <c r="B2400">
        <f>IF(OR('R.M Billets Reports'!A2399="Date-",'R.M Billets Reports'!A2399="Date:-"),'R.M Billets Reports'!B2399,IF(ROW()=2,"",B2399))</f>
      </c>
      <c r="C2400">
        <f>IF('R.M Billets Reports'!A2399="V.No.",'R.M Billets Reports'!B2399,IF(ROW()=2,"",C2399))</f>
      </c>
      <c r="D2400">
        <f>IF('R.M Billets Reports'!A2399&lt;&gt;"",'R.M Billets Reports'!A2399,IF(ROW()=2,"",D2399))</f>
      </c>
      <c r="E2400">
        <f>IF('R.M Billets Reports'!B2399="","",TRIM('R.M Billets Reports'!B2399))</f>
      </c>
      <c r="F2400">
        <f>'R.M Billets Reports'!C2399</f>
      </c>
      <c r="G2400">
        <f>'R.M Billets Reports'!D2399</f>
      </c>
      <c r="H2400">
        <f>'R.M Billets Reports'!E2399</f>
      </c>
      <c r="I2400">
        <f>'R.M Billets Reports'!F2399</f>
      </c>
      <c r="J2400">
        <f>'R.M Billets Reports'!G2399</f>
      </c>
      <c r="K2400">
        <f>'R.M Billets Reports'!H2399</f>
      </c>
      <c r="L2400">
        <f>IF('R.M Billets Reports'!I2399="","",'R.M Billets Reports'!I2399)</f>
      </c>
      <c r="M2400">
        <f t="shared" si="74"/>
      </c>
      <c r="N2400">
        <f>IF('R.M Billets Reports'!J2399="","",'R.M Billets Reports'!J2399)</f>
      </c>
      <c r="O2400">
        <f t="shared" si="75"/>
      </c>
      <c r="P2400">
        <f>IF('R.M Billets Reports'!A2399="SIZE",'R.M Billets Reports'!B2399,P2399)</f>
      </c>
    </row>
    <row r="2401" spans="1:16" x14ac:dyDescent="0.25">
      <c r="A2401">
        <f>IF(OR('R.M Billets Reports'!A2400="Date-",'R.M Billets Reports'!A2400="Date:-"),IF(IF(IF(ISNUMBER(SEARCH("Party Name:-",'R.M Billets Reports'!D2400)),TRIM('R.M Billets Reports'!F2400),IF(ISNUMBER(SEARCH("Party Name-",'R.M Billets Reports'!D2400)),TRIM(MID('R.M Billets Reports'!D2400,SEARCH("-",'R.M Billets Reports'!D2400)+1,200)),""))&lt;&gt;"",IF(ISNUMBER(SEARCH("Party Name:-",'R.M Billets Reports'!D2400)),TRIM('R.M Billets Reports'!F2400),IF(ISNUMBER(SEARCH("Party Name-",'R.M Billets Reports'!D2400)),TRIM(MID('R.M Billets Reports'!D2400,SEARCH("-",'R.M Billets Reports'!D2400)+1,200)),"")),IF(ISNUMBER(SEARCH("Party Name:-",'R.M Billets Reports'!D2401)),TRIM('R.M Billets Reports'!F2401),IF(ISNUMBER(SEARCH("Party Name-",'R.M Billets Reports'!D2401)),TRIM(MID('R.M Billets Reports'!D2401,SEARCH("-",'R.M Billets Reports'!D2401)+1,200)),"")))="VRKP ISPAT PVT LTD","VRKP",IF(IF(IF(ISNUMBER(SEARCH("Party Name:-",'R.M Billets Reports'!D2400)),TRIM('R.M Billets Reports'!F2400),IF(ISNUMBER(SEARCH("Party Name-",'R.M Billets Reports'!D2400)),TRIM(MID('R.M Billets Reports'!D2400,SEARCH("-",'R.M Billets Reports'!D2400)+1,200)),""))&lt;&gt;"",IF(ISNUMBER(SEARCH("Party Name:-",'R.M Billets Reports'!D2400)),TRIM('R.M Billets Reports'!F2400),IF(ISNUMBER(SEARCH("Party Name-",'R.M Billets Reports'!D2400)),TRIM(MID('R.M Billets Reports'!D2400,SEARCH("-",'R.M Billets Reports'!D2400)+1,200)),"")),IF(ISNUMBER(SEARCH("Party Name:-",'R.M Billets Reports'!D2401)),TRIM('R.M Billets Reports'!F2401),IF(ISNUMBER(SEARCH("Party Name-",'R.M Billets Reports'!D2401)),TRIM(MID('R.M Billets Reports'!D2401,SEARCH("-",'R.M Billets Reports'!D2401)+1,200)),"")))="SHRI RADHE","SHREE RADHE",IF(IF(IF(ISNUMBER(SEARCH("Party Name:-",'R.M Billets Reports'!D2400)),TRIM('R.M Billets Reports'!F2400),IF(ISNUMBER(SEARCH("Party Name-",'R.M Billets Reports'!D2400)),TRIM(MID('R.M Billets Reports'!D2400,SEARCH("-",'R.M Billets Reports'!D2400)+1,200)),""))&lt;&gt;"",IF(ISNUMBER(SEARCH("Party Name:-",'R.M Billets Reports'!D2400)),TRIM('R.M Billets Reports'!F2400),IF(ISNUMBER(SEARCH("Party Name-",'R.M Billets Reports'!D2400)),TRIM(MID('R.M Billets Reports'!D2400,SEARCH("-",'R.M Billets Reports'!D2400)+1,200)),"")),IF(ISNUMBER(SEARCH("Party Name:-",'R.M Billets Reports'!D2401)),TRIM('R.M Billets Reports'!F2401),IF(ISNUMBER(SEARCH("Party Name-",'R.M Billets Reports'!D2401)),TRIM(MID('R.M Billets Reports'!D2401,SEARCH("-",'R.M Billets Reports'!D2401)+1,200)),"")))="SHREE RADHE SHAKTI SPONGE AND POWER PVT. LTD.","SHREE RADHE",IF(IF(ISNUMBER(SEARCH("Party Name:-",'R.M Billets Reports'!D2400)),TRIM('R.M Billets Reports'!F2400),IF(ISNUMBER(SEARCH("Party Name-",'R.M Billets Reports'!D2400)),TRIM(MID('R.M Billets Reports'!D2400,SEARCH("-",'R.M Billets Reports'!D2400)+1,200)),""))&lt;&gt;"",IF(ISNUMBER(SEARCH("Party Name:-",'R.M Billets Reports'!D2400)),TRIM('R.M Billets Reports'!F2400),IF(ISNUMBER(SEARCH("Party Name-",'R.M Billets Reports'!D2400)),TRIM(MID('R.M Billets Reports'!D2400,SEARCH("-",'R.M Billets Reports'!D2400)+1,200)),"")),IF(ISNUMBER(SEARCH("Party Name:-",'R.M Billets Reports'!D2401)),TRIM('R.M Billets Reports'!F2401),IF(ISNUMBER(SEARCH("Party Name-",'R.M Billets Reports'!D2401)),TRIM(MID('R.M Billets Reports'!D2401,SEARCH("-",'R.M Billets Reports'!D2401)+1,200)),"")))))),IF(ROW()=2,"",A2400))</f>
      </c>
      <c r="B2401">
        <f>IF(OR('R.M Billets Reports'!A2400="Date-",'R.M Billets Reports'!A2400="Date:-"),'R.M Billets Reports'!B2400,IF(ROW()=2,"",B2400))</f>
      </c>
      <c r="C2401">
        <f>IF('R.M Billets Reports'!A2400="V.No.",'R.M Billets Reports'!B2400,IF(ROW()=2,"",C2400))</f>
      </c>
      <c r="D2401">
        <f>IF('R.M Billets Reports'!A2400&lt;&gt;"",'R.M Billets Reports'!A2400,IF(ROW()=2,"",D2400))</f>
      </c>
      <c r="E2401">
        <f>IF('R.M Billets Reports'!B2400="","",TRIM('R.M Billets Reports'!B2400))</f>
      </c>
      <c r="F2401">
        <f>'R.M Billets Reports'!C2400</f>
      </c>
      <c r="G2401">
        <f>'R.M Billets Reports'!D2400</f>
      </c>
      <c r="H2401">
        <f>'R.M Billets Reports'!E2400</f>
      </c>
      <c r="I2401">
        <f>'R.M Billets Reports'!F2400</f>
      </c>
      <c r="J2401">
        <f>'R.M Billets Reports'!G2400</f>
      </c>
      <c r="K2401">
        <f>'R.M Billets Reports'!H2400</f>
      </c>
      <c r="L2401">
        <f>IF('R.M Billets Reports'!I2400="","",'R.M Billets Reports'!I2400)</f>
      </c>
      <c r="M2401">
        <f t="shared" si="74"/>
      </c>
      <c r="N2401">
        <f>IF('R.M Billets Reports'!J2400="","",'R.M Billets Reports'!J2400)</f>
      </c>
      <c r="O2401">
        <f t="shared" si="75"/>
      </c>
      <c r="P2401">
        <f>IF('R.M Billets Reports'!A2400="SIZE",'R.M Billets Reports'!B2400,P2400)</f>
      </c>
    </row>
    <row r="2402" spans="1:16" x14ac:dyDescent="0.25">
      <c r="A2402">
        <f>IF(OR('R.M Billets Reports'!A2401="Date-",'R.M Billets Reports'!A2401="Date:-"),IF(IF(IF(ISNUMBER(SEARCH("Party Name:-",'R.M Billets Reports'!D2401)),TRIM('R.M Billets Reports'!F2401),IF(ISNUMBER(SEARCH("Party Name-",'R.M Billets Reports'!D2401)),TRIM(MID('R.M Billets Reports'!D2401,SEARCH("-",'R.M Billets Reports'!D2401)+1,200)),""))&lt;&gt;"",IF(ISNUMBER(SEARCH("Party Name:-",'R.M Billets Reports'!D2401)),TRIM('R.M Billets Reports'!F2401),IF(ISNUMBER(SEARCH("Party Name-",'R.M Billets Reports'!D2401)),TRIM(MID('R.M Billets Reports'!D2401,SEARCH("-",'R.M Billets Reports'!D2401)+1,200)),"")),IF(ISNUMBER(SEARCH("Party Name:-",'R.M Billets Reports'!D2402)),TRIM('R.M Billets Reports'!F2402),IF(ISNUMBER(SEARCH("Party Name-",'R.M Billets Reports'!D2402)),TRIM(MID('R.M Billets Reports'!D2402,SEARCH("-",'R.M Billets Reports'!D2402)+1,200)),"")))="VRKP ISPAT PVT LTD","VRKP",IF(IF(IF(ISNUMBER(SEARCH("Party Name:-",'R.M Billets Reports'!D2401)),TRIM('R.M Billets Reports'!F2401),IF(ISNUMBER(SEARCH("Party Name-",'R.M Billets Reports'!D2401)),TRIM(MID('R.M Billets Reports'!D2401,SEARCH("-",'R.M Billets Reports'!D2401)+1,200)),""))&lt;&gt;"",IF(ISNUMBER(SEARCH("Party Name:-",'R.M Billets Reports'!D2401)),TRIM('R.M Billets Reports'!F2401),IF(ISNUMBER(SEARCH("Party Name-",'R.M Billets Reports'!D2401)),TRIM(MID('R.M Billets Reports'!D2401,SEARCH("-",'R.M Billets Reports'!D2401)+1,200)),"")),IF(ISNUMBER(SEARCH("Party Name:-",'R.M Billets Reports'!D2402)),TRIM('R.M Billets Reports'!F2402),IF(ISNUMBER(SEARCH("Party Name-",'R.M Billets Reports'!D2402)),TRIM(MID('R.M Billets Reports'!D2402,SEARCH("-",'R.M Billets Reports'!D2402)+1,200)),"")))="SHRI RADHE","SHREE RADHE",IF(IF(IF(ISNUMBER(SEARCH("Party Name:-",'R.M Billets Reports'!D2401)),TRIM('R.M Billets Reports'!F2401),IF(ISNUMBER(SEARCH("Party Name-",'R.M Billets Reports'!D2401)),TRIM(MID('R.M Billets Reports'!D2401,SEARCH("-",'R.M Billets Reports'!D2401)+1,200)),""))&lt;&gt;"",IF(ISNUMBER(SEARCH("Party Name:-",'R.M Billets Reports'!D2401)),TRIM('R.M Billets Reports'!F2401),IF(ISNUMBER(SEARCH("Party Name-",'R.M Billets Reports'!D2401)),TRIM(MID('R.M Billets Reports'!D2401,SEARCH("-",'R.M Billets Reports'!D2401)+1,200)),"")),IF(ISNUMBER(SEARCH("Party Name:-",'R.M Billets Reports'!D2402)),TRIM('R.M Billets Reports'!F2402),IF(ISNUMBER(SEARCH("Party Name-",'R.M Billets Reports'!D2402)),TRIM(MID('R.M Billets Reports'!D2402,SEARCH("-",'R.M Billets Reports'!D2402)+1,200)),"")))="SHREE RADHE SHAKTI SPONGE AND POWER PVT. LTD.","SHREE RADHE",IF(IF(ISNUMBER(SEARCH("Party Name:-",'R.M Billets Reports'!D2401)),TRIM('R.M Billets Reports'!F2401),IF(ISNUMBER(SEARCH("Party Name-",'R.M Billets Reports'!D2401)),TRIM(MID('R.M Billets Reports'!D2401,SEARCH("-",'R.M Billets Reports'!D2401)+1,200)),""))&lt;&gt;"",IF(ISNUMBER(SEARCH("Party Name:-",'R.M Billets Reports'!D2401)),TRIM('R.M Billets Reports'!F2401),IF(ISNUMBER(SEARCH("Party Name-",'R.M Billets Reports'!D2401)),TRIM(MID('R.M Billets Reports'!D2401,SEARCH("-",'R.M Billets Reports'!D2401)+1,200)),"")),IF(ISNUMBER(SEARCH("Party Name:-",'R.M Billets Reports'!D2402)),TRIM('R.M Billets Reports'!F2402),IF(ISNUMBER(SEARCH("Party Name-",'R.M Billets Reports'!D2402)),TRIM(MID('R.M Billets Reports'!D2402,SEARCH("-",'R.M Billets Reports'!D2402)+1,200)),"")))))),IF(ROW()=2,"",A2401))</f>
      </c>
      <c r="B2402">
        <f>IF(OR('R.M Billets Reports'!A2401="Date-",'R.M Billets Reports'!A2401="Date:-"),'R.M Billets Reports'!B2401,IF(ROW()=2,"",B2401))</f>
      </c>
      <c r="C2402">
        <f>IF('R.M Billets Reports'!A2401="V.No.",'R.M Billets Reports'!B2401,IF(ROW()=2,"",C2401))</f>
      </c>
      <c r="D2402">
        <f>IF('R.M Billets Reports'!A2401&lt;&gt;"",'R.M Billets Reports'!A2401,IF(ROW()=2,"",D2401))</f>
      </c>
      <c r="E2402">
        <f>IF('R.M Billets Reports'!B2401="","",TRIM('R.M Billets Reports'!B2401))</f>
      </c>
      <c r="F2402">
        <f>'R.M Billets Reports'!C2401</f>
      </c>
      <c r="G2402">
        <f>'R.M Billets Reports'!D2401</f>
      </c>
      <c r="H2402">
        <f>'R.M Billets Reports'!E2401</f>
      </c>
      <c r="I2402">
        <f>'R.M Billets Reports'!F2401</f>
      </c>
      <c r="J2402">
        <f>'R.M Billets Reports'!G2401</f>
      </c>
      <c r="K2402">
        <f>'R.M Billets Reports'!H2401</f>
      </c>
      <c r="L2402">
        <f>IF('R.M Billets Reports'!I2401="","",'R.M Billets Reports'!I2401)</f>
      </c>
      <c r="M2402">
        <f t="shared" si="74"/>
      </c>
      <c r="N2402">
        <f>IF('R.M Billets Reports'!J2401="","",'R.M Billets Reports'!J2401)</f>
      </c>
      <c r="O2402">
        <f t="shared" si="75"/>
      </c>
      <c r="P2402">
        <f>IF('R.M Billets Reports'!A2401="SIZE",'R.M Billets Reports'!B2401,P2401)</f>
      </c>
    </row>
    <row r="2403" spans="1:16" x14ac:dyDescent="0.25">
      <c r="A2403">
        <f>IF(OR('R.M Billets Reports'!A2402="Date-",'R.M Billets Reports'!A2402="Date:-"),IF(IF(IF(ISNUMBER(SEARCH("Party Name:-",'R.M Billets Reports'!D2402)),TRIM('R.M Billets Reports'!F2402),IF(ISNUMBER(SEARCH("Party Name-",'R.M Billets Reports'!D2402)),TRIM(MID('R.M Billets Reports'!D2402,SEARCH("-",'R.M Billets Reports'!D2402)+1,200)),""))&lt;&gt;"",IF(ISNUMBER(SEARCH("Party Name:-",'R.M Billets Reports'!D2402)),TRIM('R.M Billets Reports'!F2402),IF(ISNUMBER(SEARCH("Party Name-",'R.M Billets Reports'!D2402)),TRIM(MID('R.M Billets Reports'!D2402,SEARCH("-",'R.M Billets Reports'!D2402)+1,200)),"")),IF(ISNUMBER(SEARCH("Party Name:-",'R.M Billets Reports'!D2403)),TRIM('R.M Billets Reports'!F2403),IF(ISNUMBER(SEARCH("Party Name-",'R.M Billets Reports'!D2403)),TRIM(MID('R.M Billets Reports'!D2403,SEARCH("-",'R.M Billets Reports'!D2403)+1,200)),"")))="VRKP ISPAT PVT LTD","VRKP",IF(IF(IF(ISNUMBER(SEARCH("Party Name:-",'R.M Billets Reports'!D2402)),TRIM('R.M Billets Reports'!F2402),IF(ISNUMBER(SEARCH("Party Name-",'R.M Billets Reports'!D2402)),TRIM(MID('R.M Billets Reports'!D2402,SEARCH("-",'R.M Billets Reports'!D2402)+1,200)),""))&lt;&gt;"",IF(ISNUMBER(SEARCH("Party Name:-",'R.M Billets Reports'!D2402)),TRIM('R.M Billets Reports'!F2402),IF(ISNUMBER(SEARCH("Party Name-",'R.M Billets Reports'!D2402)),TRIM(MID('R.M Billets Reports'!D2402,SEARCH("-",'R.M Billets Reports'!D2402)+1,200)),"")),IF(ISNUMBER(SEARCH("Party Name:-",'R.M Billets Reports'!D2403)),TRIM('R.M Billets Reports'!F2403),IF(ISNUMBER(SEARCH("Party Name-",'R.M Billets Reports'!D2403)),TRIM(MID('R.M Billets Reports'!D2403,SEARCH("-",'R.M Billets Reports'!D2403)+1,200)),"")))="SHRI RADHE","SHREE RADHE",IF(IF(IF(ISNUMBER(SEARCH("Party Name:-",'R.M Billets Reports'!D2402)),TRIM('R.M Billets Reports'!F2402),IF(ISNUMBER(SEARCH("Party Name-",'R.M Billets Reports'!D2402)),TRIM(MID('R.M Billets Reports'!D2402,SEARCH("-",'R.M Billets Reports'!D2402)+1,200)),""))&lt;&gt;"",IF(ISNUMBER(SEARCH("Party Name:-",'R.M Billets Reports'!D2402)),TRIM('R.M Billets Reports'!F2402),IF(ISNUMBER(SEARCH("Party Name-",'R.M Billets Reports'!D2402)),TRIM(MID('R.M Billets Reports'!D2402,SEARCH("-",'R.M Billets Reports'!D2402)+1,200)),"")),IF(ISNUMBER(SEARCH("Party Name:-",'R.M Billets Reports'!D2403)),TRIM('R.M Billets Reports'!F2403),IF(ISNUMBER(SEARCH("Party Name-",'R.M Billets Reports'!D2403)),TRIM(MID('R.M Billets Reports'!D2403,SEARCH("-",'R.M Billets Reports'!D2403)+1,200)),"")))="SHREE RADHE SHAKTI SPONGE AND POWER PVT. LTD.","SHREE RADHE",IF(IF(ISNUMBER(SEARCH("Party Name:-",'R.M Billets Reports'!D2402)),TRIM('R.M Billets Reports'!F2402),IF(ISNUMBER(SEARCH("Party Name-",'R.M Billets Reports'!D2402)),TRIM(MID('R.M Billets Reports'!D2402,SEARCH("-",'R.M Billets Reports'!D2402)+1,200)),""))&lt;&gt;"",IF(ISNUMBER(SEARCH("Party Name:-",'R.M Billets Reports'!D2402)),TRIM('R.M Billets Reports'!F2402),IF(ISNUMBER(SEARCH("Party Name-",'R.M Billets Reports'!D2402)),TRIM(MID('R.M Billets Reports'!D2402,SEARCH("-",'R.M Billets Reports'!D2402)+1,200)),"")),IF(ISNUMBER(SEARCH("Party Name:-",'R.M Billets Reports'!D2403)),TRIM('R.M Billets Reports'!F2403),IF(ISNUMBER(SEARCH("Party Name-",'R.M Billets Reports'!D2403)),TRIM(MID('R.M Billets Reports'!D2403,SEARCH("-",'R.M Billets Reports'!D2403)+1,200)),"")))))),IF(ROW()=2,"",A2402))</f>
      </c>
      <c r="B2403">
        <f>IF(OR('R.M Billets Reports'!A2402="Date-",'R.M Billets Reports'!A2402="Date:-"),'R.M Billets Reports'!B2402,IF(ROW()=2,"",B2402))</f>
      </c>
      <c r="C2403">
        <f>IF('R.M Billets Reports'!A2402="V.No.",'R.M Billets Reports'!B2402,IF(ROW()=2,"",C2402))</f>
      </c>
      <c r="D2403">
        <f>IF('R.M Billets Reports'!A2402&lt;&gt;"",'R.M Billets Reports'!A2402,IF(ROW()=2,"",D2402))</f>
      </c>
      <c r="E2403">
        <f>IF('R.M Billets Reports'!B2402="","",TRIM('R.M Billets Reports'!B2402))</f>
      </c>
      <c r="F2403">
        <f>'R.M Billets Reports'!C2402</f>
      </c>
      <c r="G2403">
        <f>'R.M Billets Reports'!D2402</f>
      </c>
      <c r="H2403">
        <f>'R.M Billets Reports'!E2402</f>
      </c>
      <c r="I2403">
        <f>'R.M Billets Reports'!F2402</f>
      </c>
      <c r="J2403">
        <f>'R.M Billets Reports'!G2402</f>
      </c>
      <c r="K2403">
        <f>'R.M Billets Reports'!H2402</f>
      </c>
      <c r="L2403">
        <f>IF('R.M Billets Reports'!I2402="","",'R.M Billets Reports'!I2402)</f>
      </c>
      <c r="M2403">
        <f t="shared" si="74"/>
      </c>
      <c r="N2403">
        <f>IF('R.M Billets Reports'!J2402="","",'R.M Billets Reports'!J2402)</f>
      </c>
      <c r="O2403">
        <f t="shared" si="75"/>
      </c>
      <c r="P2403">
        <f>IF('R.M Billets Reports'!A2402="SIZE",'R.M Billets Reports'!B2402,P2402)</f>
      </c>
    </row>
    <row r="2404" spans="1:16" x14ac:dyDescent="0.25">
      <c r="A2404">
        <f>IF(OR('R.M Billets Reports'!A2403="Date-",'R.M Billets Reports'!A2403="Date:-"),IF(IF(IF(ISNUMBER(SEARCH("Party Name:-",'R.M Billets Reports'!D2403)),TRIM('R.M Billets Reports'!F2403),IF(ISNUMBER(SEARCH("Party Name-",'R.M Billets Reports'!D2403)),TRIM(MID('R.M Billets Reports'!D2403,SEARCH("-",'R.M Billets Reports'!D2403)+1,200)),""))&lt;&gt;"",IF(ISNUMBER(SEARCH("Party Name:-",'R.M Billets Reports'!D2403)),TRIM('R.M Billets Reports'!F2403),IF(ISNUMBER(SEARCH("Party Name-",'R.M Billets Reports'!D2403)),TRIM(MID('R.M Billets Reports'!D2403,SEARCH("-",'R.M Billets Reports'!D2403)+1,200)),"")),IF(ISNUMBER(SEARCH("Party Name:-",'R.M Billets Reports'!D2404)),TRIM('R.M Billets Reports'!F2404),IF(ISNUMBER(SEARCH("Party Name-",'R.M Billets Reports'!D2404)),TRIM(MID('R.M Billets Reports'!D2404,SEARCH("-",'R.M Billets Reports'!D2404)+1,200)),"")))="VRKP ISPAT PVT LTD","VRKP",IF(IF(IF(ISNUMBER(SEARCH("Party Name:-",'R.M Billets Reports'!D2403)),TRIM('R.M Billets Reports'!F2403),IF(ISNUMBER(SEARCH("Party Name-",'R.M Billets Reports'!D2403)),TRIM(MID('R.M Billets Reports'!D2403,SEARCH("-",'R.M Billets Reports'!D2403)+1,200)),""))&lt;&gt;"",IF(ISNUMBER(SEARCH("Party Name:-",'R.M Billets Reports'!D2403)),TRIM('R.M Billets Reports'!F2403),IF(ISNUMBER(SEARCH("Party Name-",'R.M Billets Reports'!D2403)),TRIM(MID('R.M Billets Reports'!D2403,SEARCH("-",'R.M Billets Reports'!D2403)+1,200)),"")),IF(ISNUMBER(SEARCH("Party Name:-",'R.M Billets Reports'!D2404)),TRIM('R.M Billets Reports'!F2404),IF(ISNUMBER(SEARCH("Party Name-",'R.M Billets Reports'!D2404)),TRIM(MID('R.M Billets Reports'!D2404,SEARCH("-",'R.M Billets Reports'!D2404)+1,200)),"")))="SHRI RADHE","SHREE RADHE",IF(IF(IF(ISNUMBER(SEARCH("Party Name:-",'R.M Billets Reports'!D2403)),TRIM('R.M Billets Reports'!F2403),IF(ISNUMBER(SEARCH("Party Name-",'R.M Billets Reports'!D2403)),TRIM(MID('R.M Billets Reports'!D2403,SEARCH("-",'R.M Billets Reports'!D2403)+1,200)),""))&lt;&gt;"",IF(ISNUMBER(SEARCH("Party Name:-",'R.M Billets Reports'!D2403)),TRIM('R.M Billets Reports'!F2403),IF(ISNUMBER(SEARCH("Party Name-",'R.M Billets Reports'!D2403)),TRIM(MID('R.M Billets Reports'!D2403,SEARCH("-",'R.M Billets Reports'!D2403)+1,200)),"")),IF(ISNUMBER(SEARCH("Party Name:-",'R.M Billets Reports'!D2404)),TRIM('R.M Billets Reports'!F2404),IF(ISNUMBER(SEARCH("Party Name-",'R.M Billets Reports'!D2404)),TRIM(MID('R.M Billets Reports'!D2404,SEARCH("-",'R.M Billets Reports'!D2404)+1,200)),"")))="SHREE RADHE SHAKTI SPONGE AND POWER PVT. LTD.","SHREE RADHE",IF(IF(ISNUMBER(SEARCH("Party Name:-",'R.M Billets Reports'!D2403)),TRIM('R.M Billets Reports'!F2403),IF(ISNUMBER(SEARCH("Party Name-",'R.M Billets Reports'!D2403)),TRIM(MID('R.M Billets Reports'!D2403,SEARCH("-",'R.M Billets Reports'!D2403)+1,200)),""))&lt;&gt;"",IF(ISNUMBER(SEARCH("Party Name:-",'R.M Billets Reports'!D2403)),TRIM('R.M Billets Reports'!F2403),IF(ISNUMBER(SEARCH("Party Name-",'R.M Billets Reports'!D2403)),TRIM(MID('R.M Billets Reports'!D2403,SEARCH("-",'R.M Billets Reports'!D2403)+1,200)),"")),IF(ISNUMBER(SEARCH("Party Name:-",'R.M Billets Reports'!D2404)),TRIM('R.M Billets Reports'!F2404),IF(ISNUMBER(SEARCH("Party Name-",'R.M Billets Reports'!D2404)),TRIM(MID('R.M Billets Reports'!D2404,SEARCH("-",'R.M Billets Reports'!D2404)+1,200)),"")))))),IF(ROW()=2,"",A2403))</f>
      </c>
      <c r="B2404">
        <f>IF(OR('R.M Billets Reports'!A2403="Date-",'R.M Billets Reports'!A2403="Date:-"),'R.M Billets Reports'!B2403,IF(ROW()=2,"",B2403))</f>
      </c>
      <c r="C2404">
        <f>IF('R.M Billets Reports'!A2403="V.No.",'R.M Billets Reports'!B2403,IF(ROW()=2,"",C2403))</f>
      </c>
      <c r="D2404">
        <f>IF('R.M Billets Reports'!A2403&lt;&gt;"",'R.M Billets Reports'!A2403,IF(ROW()=2,"",D2403))</f>
      </c>
      <c r="E2404">
        <f>IF('R.M Billets Reports'!B2403="","",TRIM('R.M Billets Reports'!B2403))</f>
      </c>
      <c r="F2404">
        <f>'R.M Billets Reports'!C2403</f>
      </c>
      <c r="G2404">
        <f>'R.M Billets Reports'!D2403</f>
      </c>
      <c r="H2404">
        <f>'R.M Billets Reports'!E2403</f>
      </c>
      <c r="I2404">
        <f>'R.M Billets Reports'!F2403</f>
      </c>
      <c r="J2404">
        <f>'R.M Billets Reports'!G2403</f>
      </c>
      <c r="K2404">
        <f>'R.M Billets Reports'!H2403</f>
      </c>
      <c r="L2404">
        <f>IF('R.M Billets Reports'!I2403="","",'R.M Billets Reports'!I2403)</f>
      </c>
      <c r="M2404">
        <f t="shared" si="74"/>
      </c>
      <c r="N2404">
        <f>IF('R.M Billets Reports'!J2403="","",'R.M Billets Reports'!J2403)</f>
      </c>
      <c r="O2404">
        <f t="shared" si="75"/>
      </c>
      <c r="P2404">
        <f>IF('R.M Billets Reports'!A2403="SIZE",'R.M Billets Reports'!B2403,P2403)</f>
      </c>
    </row>
    <row r="2405" spans="1:16" x14ac:dyDescent="0.25">
      <c r="A2405">
        <f>IF(OR('R.M Billets Reports'!A2404="Date-",'R.M Billets Reports'!A2404="Date:-"),IF(IF(IF(ISNUMBER(SEARCH("Party Name:-",'R.M Billets Reports'!D2404)),TRIM('R.M Billets Reports'!F2404),IF(ISNUMBER(SEARCH("Party Name-",'R.M Billets Reports'!D2404)),TRIM(MID('R.M Billets Reports'!D2404,SEARCH("-",'R.M Billets Reports'!D2404)+1,200)),""))&lt;&gt;"",IF(ISNUMBER(SEARCH("Party Name:-",'R.M Billets Reports'!D2404)),TRIM('R.M Billets Reports'!F2404),IF(ISNUMBER(SEARCH("Party Name-",'R.M Billets Reports'!D2404)),TRIM(MID('R.M Billets Reports'!D2404,SEARCH("-",'R.M Billets Reports'!D2404)+1,200)),"")),IF(ISNUMBER(SEARCH("Party Name:-",'R.M Billets Reports'!D2405)),TRIM('R.M Billets Reports'!F2405),IF(ISNUMBER(SEARCH("Party Name-",'R.M Billets Reports'!D2405)),TRIM(MID('R.M Billets Reports'!D2405,SEARCH("-",'R.M Billets Reports'!D2405)+1,200)),"")))="VRKP ISPAT PVT LTD","VRKP",IF(IF(IF(ISNUMBER(SEARCH("Party Name:-",'R.M Billets Reports'!D2404)),TRIM('R.M Billets Reports'!F2404),IF(ISNUMBER(SEARCH("Party Name-",'R.M Billets Reports'!D2404)),TRIM(MID('R.M Billets Reports'!D2404,SEARCH("-",'R.M Billets Reports'!D2404)+1,200)),""))&lt;&gt;"",IF(ISNUMBER(SEARCH("Party Name:-",'R.M Billets Reports'!D2404)),TRIM('R.M Billets Reports'!F2404),IF(ISNUMBER(SEARCH("Party Name-",'R.M Billets Reports'!D2404)),TRIM(MID('R.M Billets Reports'!D2404,SEARCH("-",'R.M Billets Reports'!D2404)+1,200)),"")),IF(ISNUMBER(SEARCH("Party Name:-",'R.M Billets Reports'!D2405)),TRIM('R.M Billets Reports'!F2405),IF(ISNUMBER(SEARCH("Party Name-",'R.M Billets Reports'!D2405)),TRIM(MID('R.M Billets Reports'!D2405,SEARCH("-",'R.M Billets Reports'!D2405)+1,200)),"")))="SHRI RADHE","SHREE RADHE",IF(IF(IF(ISNUMBER(SEARCH("Party Name:-",'R.M Billets Reports'!D2404)),TRIM('R.M Billets Reports'!F2404),IF(ISNUMBER(SEARCH("Party Name-",'R.M Billets Reports'!D2404)),TRIM(MID('R.M Billets Reports'!D2404,SEARCH("-",'R.M Billets Reports'!D2404)+1,200)),""))&lt;&gt;"",IF(ISNUMBER(SEARCH("Party Name:-",'R.M Billets Reports'!D2404)),TRIM('R.M Billets Reports'!F2404),IF(ISNUMBER(SEARCH("Party Name-",'R.M Billets Reports'!D2404)),TRIM(MID('R.M Billets Reports'!D2404,SEARCH("-",'R.M Billets Reports'!D2404)+1,200)),"")),IF(ISNUMBER(SEARCH("Party Name:-",'R.M Billets Reports'!D2405)),TRIM('R.M Billets Reports'!F2405),IF(ISNUMBER(SEARCH("Party Name-",'R.M Billets Reports'!D2405)),TRIM(MID('R.M Billets Reports'!D2405,SEARCH("-",'R.M Billets Reports'!D2405)+1,200)),"")))="SHREE RADHE SHAKTI SPONGE AND POWER PVT. LTD.","SHREE RADHE",IF(IF(ISNUMBER(SEARCH("Party Name:-",'R.M Billets Reports'!D2404)),TRIM('R.M Billets Reports'!F2404),IF(ISNUMBER(SEARCH("Party Name-",'R.M Billets Reports'!D2404)),TRIM(MID('R.M Billets Reports'!D2404,SEARCH("-",'R.M Billets Reports'!D2404)+1,200)),""))&lt;&gt;"",IF(ISNUMBER(SEARCH("Party Name:-",'R.M Billets Reports'!D2404)),TRIM('R.M Billets Reports'!F2404),IF(ISNUMBER(SEARCH("Party Name-",'R.M Billets Reports'!D2404)),TRIM(MID('R.M Billets Reports'!D2404,SEARCH("-",'R.M Billets Reports'!D2404)+1,200)),"")),IF(ISNUMBER(SEARCH("Party Name:-",'R.M Billets Reports'!D2405)),TRIM('R.M Billets Reports'!F2405),IF(ISNUMBER(SEARCH("Party Name-",'R.M Billets Reports'!D2405)),TRIM(MID('R.M Billets Reports'!D2405,SEARCH("-",'R.M Billets Reports'!D2405)+1,200)),"")))))),IF(ROW()=2,"",A2404))</f>
      </c>
      <c r="B2405">
        <f>IF(OR('R.M Billets Reports'!A2404="Date-",'R.M Billets Reports'!A2404="Date:-"),'R.M Billets Reports'!B2404,IF(ROW()=2,"",B2404))</f>
      </c>
      <c r="C2405">
        <f>IF('R.M Billets Reports'!A2404="V.No.",'R.M Billets Reports'!B2404,IF(ROW()=2,"",C2404))</f>
      </c>
      <c r="D2405">
        <f>IF('R.M Billets Reports'!A2404&lt;&gt;"",'R.M Billets Reports'!A2404,IF(ROW()=2,"",D2404))</f>
      </c>
      <c r="E2405">
        <f>IF('R.M Billets Reports'!B2404="","",TRIM('R.M Billets Reports'!B2404))</f>
      </c>
      <c r="F2405">
        <f>'R.M Billets Reports'!C2404</f>
      </c>
      <c r="G2405">
        <f>'R.M Billets Reports'!D2404</f>
      </c>
      <c r="H2405">
        <f>'R.M Billets Reports'!E2404</f>
      </c>
      <c r="I2405">
        <f>'R.M Billets Reports'!F2404</f>
      </c>
      <c r="J2405">
        <f>'R.M Billets Reports'!G2404</f>
      </c>
      <c r="K2405">
        <f>'R.M Billets Reports'!H2404</f>
      </c>
      <c r="L2405">
        <f>IF('R.M Billets Reports'!I2404="","",'R.M Billets Reports'!I2404)</f>
      </c>
      <c r="M2405">
        <f t="shared" si="74"/>
      </c>
      <c r="N2405">
        <f>IF('R.M Billets Reports'!J2404="","",'R.M Billets Reports'!J2404)</f>
      </c>
      <c r="O2405">
        <f t="shared" si="75"/>
      </c>
      <c r="P2405">
        <f>IF('R.M Billets Reports'!A2404="SIZE",'R.M Billets Reports'!B2404,P2404)</f>
      </c>
    </row>
    <row r="2406" spans="1:16" x14ac:dyDescent="0.25">
      <c r="A2406">
        <f>IF(OR('R.M Billets Reports'!A2405="Date-",'R.M Billets Reports'!A2405="Date:-"),IF(IF(IF(ISNUMBER(SEARCH("Party Name:-",'R.M Billets Reports'!D2405)),TRIM('R.M Billets Reports'!F2405),IF(ISNUMBER(SEARCH("Party Name-",'R.M Billets Reports'!D2405)),TRIM(MID('R.M Billets Reports'!D2405,SEARCH("-",'R.M Billets Reports'!D2405)+1,200)),""))&lt;&gt;"",IF(ISNUMBER(SEARCH("Party Name:-",'R.M Billets Reports'!D2405)),TRIM('R.M Billets Reports'!F2405),IF(ISNUMBER(SEARCH("Party Name-",'R.M Billets Reports'!D2405)),TRIM(MID('R.M Billets Reports'!D2405,SEARCH("-",'R.M Billets Reports'!D2405)+1,200)),"")),IF(ISNUMBER(SEARCH("Party Name:-",'R.M Billets Reports'!D2406)),TRIM('R.M Billets Reports'!F2406),IF(ISNUMBER(SEARCH("Party Name-",'R.M Billets Reports'!D2406)),TRIM(MID('R.M Billets Reports'!D2406,SEARCH("-",'R.M Billets Reports'!D2406)+1,200)),"")))="VRKP ISPAT PVT LTD","VRKP",IF(IF(IF(ISNUMBER(SEARCH("Party Name:-",'R.M Billets Reports'!D2405)),TRIM('R.M Billets Reports'!F2405),IF(ISNUMBER(SEARCH("Party Name-",'R.M Billets Reports'!D2405)),TRIM(MID('R.M Billets Reports'!D2405,SEARCH("-",'R.M Billets Reports'!D2405)+1,200)),""))&lt;&gt;"",IF(ISNUMBER(SEARCH("Party Name:-",'R.M Billets Reports'!D2405)),TRIM('R.M Billets Reports'!F2405),IF(ISNUMBER(SEARCH("Party Name-",'R.M Billets Reports'!D2405)),TRIM(MID('R.M Billets Reports'!D2405,SEARCH("-",'R.M Billets Reports'!D2405)+1,200)),"")),IF(ISNUMBER(SEARCH("Party Name:-",'R.M Billets Reports'!D2406)),TRIM('R.M Billets Reports'!F2406),IF(ISNUMBER(SEARCH("Party Name-",'R.M Billets Reports'!D2406)),TRIM(MID('R.M Billets Reports'!D2406,SEARCH("-",'R.M Billets Reports'!D2406)+1,200)),"")))="SHRI RADHE","SHREE RADHE",IF(IF(IF(ISNUMBER(SEARCH("Party Name:-",'R.M Billets Reports'!D2405)),TRIM('R.M Billets Reports'!F2405),IF(ISNUMBER(SEARCH("Party Name-",'R.M Billets Reports'!D2405)),TRIM(MID('R.M Billets Reports'!D2405,SEARCH("-",'R.M Billets Reports'!D2405)+1,200)),""))&lt;&gt;"",IF(ISNUMBER(SEARCH("Party Name:-",'R.M Billets Reports'!D2405)),TRIM('R.M Billets Reports'!F2405),IF(ISNUMBER(SEARCH("Party Name-",'R.M Billets Reports'!D2405)),TRIM(MID('R.M Billets Reports'!D2405,SEARCH("-",'R.M Billets Reports'!D2405)+1,200)),"")),IF(ISNUMBER(SEARCH("Party Name:-",'R.M Billets Reports'!D2406)),TRIM('R.M Billets Reports'!F2406),IF(ISNUMBER(SEARCH("Party Name-",'R.M Billets Reports'!D2406)),TRIM(MID('R.M Billets Reports'!D2406,SEARCH("-",'R.M Billets Reports'!D2406)+1,200)),"")))="SHREE RADHE SHAKTI SPONGE AND POWER PVT. LTD.","SHREE RADHE",IF(IF(ISNUMBER(SEARCH("Party Name:-",'R.M Billets Reports'!D2405)),TRIM('R.M Billets Reports'!F2405),IF(ISNUMBER(SEARCH("Party Name-",'R.M Billets Reports'!D2405)),TRIM(MID('R.M Billets Reports'!D2405,SEARCH("-",'R.M Billets Reports'!D2405)+1,200)),""))&lt;&gt;"",IF(ISNUMBER(SEARCH("Party Name:-",'R.M Billets Reports'!D2405)),TRIM('R.M Billets Reports'!F2405),IF(ISNUMBER(SEARCH("Party Name-",'R.M Billets Reports'!D2405)),TRIM(MID('R.M Billets Reports'!D2405,SEARCH("-",'R.M Billets Reports'!D2405)+1,200)),"")),IF(ISNUMBER(SEARCH("Party Name:-",'R.M Billets Reports'!D2406)),TRIM('R.M Billets Reports'!F2406),IF(ISNUMBER(SEARCH("Party Name-",'R.M Billets Reports'!D2406)),TRIM(MID('R.M Billets Reports'!D2406,SEARCH("-",'R.M Billets Reports'!D2406)+1,200)),"")))))),IF(ROW()=2,"",A2405))</f>
      </c>
      <c r="B2406">
        <f>IF(OR('R.M Billets Reports'!A2405="Date-",'R.M Billets Reports'!A2405="Date:-"),'R.M Billets Reports'!B2405,IF(ROW()=2,"",B2405))</f>
      </c>
      <c r="C2406">
        <f>IF('R.M Billets Reports'!A2405="V.No.",'R.M Billets Reports'!B2405,IF(ROW()=2,"",C2405))</f>
      </c>
      <c r="D2406">
        <f>IF('R.M Billets Reports'!A2405&lt;&gt;"",'R.M Billets Reports'!A2405,IF(ROW()=2,"",D2405))</f>
      </c>
      <c r="E2406">
        <f>IF('R.M Billets Reports'!B2405="","",TRIM('R.M Billets Reports'!B2405))</f>
      </c>
      <c r="F2406">
        <f>'R.M Billets Reports'!C2405</f>
      </c>
      <c r="G2406">
        <f>'R.M Billets Reports'!D2405</f>
      </c>
      <c r="H2406">
        <f>'R.M Billets Reports'!E2405</f>
      </c>
      <c r="I2406">
        <f>'R.M Billets Reports'!F2405</f>
      </c>
      <c r="J2406">
        <f>'R.M Billets Reports'!G2405</f>
      </c>
      <c r="K2406">
        <f>'R.M Billets Reports'!H2405</f>
      </c>
      <c r="L2406">
        <f>IF('R.M Billets Reports'!I2405="","",'R.M Billets Reports'!I2405)</f>
      </c>
      <c r="M2406">
        <f t="shared" si="74"/>
      </c>
      <c r="N2406">
        <f>IF('R.M Billets Reports'!J2405="","",'R.M Billets Reports'!J2405)</f>
      </c>
      <c r="O2406">
        <f t="shared" si="75"/>
      </c>
      <c r="P2406">
        <f>IF('R.M Billets Reports'!A2405="SIZE",'R.M Billets Reports'!B2405,P2405)</f>
      </c>
    </row>
    <row r="2407" spans="1:16" x14ac:dyDescent="0.25">
      <c r="A2407">
        <f>IF(OR('R.M Billets Reports'!A2406="Date-",'R.M Billets Reports'!A2406="Date:-"),IF(IF(IF(ISNUMBER(SEARCH("Party Name:-",'R.M Billets Reports'!D2406)),TRIM('R.M Billets Reports'!F2406),IF(ISNUMBER(SEARCH("Party Name-",'R.M Billets Reports'!D2406)),TRIM(MID('R.M Billets Reports'!D2406,SEARCH("-",'R.M Billets Reports'!D2406)+1,200)),""))&lt;&gt;"",IF(ISNUMBER(SEARCH("Party Name:-",'R.M Billets Reports'!D2406)),TRIM('R.M Billets Reports'!F2406),IF(ISNUMBER(SEARCH("Party Name-",'R.M Billets Reports'!D2406)),TRIM(MID('R.M Billets Reports'!D2406,SEARCH("-",'R.M Billets Reports'!D2406)+1,200)),"")),IF(ISNUMBER(SEARCH("Party Name:-",'R.M Billets Reports'!D2407)),TRIM('R.M Billets Reports'!F2407),IF(ISNUMBER(SEARCH("Party Name-",'R.M Billets Reports'!D2407)),TRIM(MID('R.M Billets Reports'!D2407,SEARCH("-",'R.M Billets Reports'!D2407)+1,200)),"")))="VRKP ISPAT PVT LTD","VRKP",IF(IF(IF(ISNUMBER(SEARCH("Party Name:-",'R.M Billets Reports'!D2406)),TRIM('R.M Billets Reports'!F2406),IF(ISNUMBER(SEARCH("Party Name-",'R.M Billets Reports'!D2406)),TRIM(MID('R.M Billets Reports'!D2406,SEARCH("-",'R.M Billets Reports'!D2406)+1,200)),""))&lt;&gt;"",IF(ISNUMBER(SEARCH("Party Name:-",'R.M Billets Reports'!D2406)),TRIM('R.M Billets Reports'!F2406),IF(ISNUMBER(SEARCH("Party Name-",'R.M Billets Reports'!D2406)),TRIM(MID('R.M Billets Reports'!D2406,SEARCH("-",'R.M Billets Reports'!D2406)+1,200)),"")),IF(ISNUMBER(SEARCH("Party Name:-",'R.M Billets Reports'!D2407)),TRIM('R.M Billets Reports'!F2407),IF(ISNUMBER(SEARCH("Party Name-",'R.M Billets Reports'!D2407)),TRIM(MID('R.M Billets Reports'!D2407,SEARCH("-",'R.M Billets Reports'!D2407)+1,200)),"")))="SHRI RADHE","SHREE RADHE",IF(IF(IF(ISNUMBER(SEARCH("Party Name:-",'R.M Billets Reports'!D2406)),TRIM('R.M Billets Reports'!F2406),IF(ISNUMBER(SEARCH("Party Name-",'R.M Billets Reports'!D2406)),TRIM(MID('R.M Billets Reports'!D2406,SEARCH("-",'R.M Billets Reports'!D2406)+1,200)),""))&lt;&gt;"",IF(ISNUMBER(SEARCH("Party Name:-",'R.M Billets Reports'!D2406)),TRIM('R.M Billets Reports'!F2406),IF(ISNUMBER(SEARCH("Party Name-",'R.M Billets Reports'!D2406)),TRIM(MID('R.M Billets Reports'!D2406,SEARCH("-",'R.M Billets Reports'!D2406)+1,200)),"")),IF(ISNUMBER(SEARCH("Party Name:-",'R.M Billets Reports'!D2407)),TRIM('R.M Billets Reports'!F2407),IF(ISNUMBER(SEARCH("Party Name-",'R.M Billets Reports'!D2407)),TRIM(MID('R.M Billets Reports'!D2407,SEARCH("-",'R.M Billets Reports'!D2407)+1,200)),"")))="SHREE RADHE SHAKTI SPONGE AND POWER PVT. LTD.","SHREE RADHE",IF(IF(ISNUMBER(SEARCH("Party Name:-",'R.M Billets Reports'!D2406)),TRIM('R.M Billets Reports'!F2406),IF(ISNUMBER(SEARCH("Party Name-",'R.M Billets Reports'!D2406)),TRIM(MID('R.M Billets Reports'!D2406,SEARCH("-",'R.M Billets Reports'!D2406)+1,200)),""))&lt;&gt;"",IF(ISNUMBER(SEARCH("Party Name:-",'R.M Billets Reports'!D2406)),TRIM('R.M Billets Reports'!F2406),IF(ISNUMBER(SEARCH("Party Name-",'R.M Billets Reports'!D2406)),TRIM(MID('R.M Billets Reports'!D2406,SEARCH("-",'R.M Billets Reports'!D2406)+1,200)),"")),IF(ISNUMBER(SEARCH("Party Name:-",'R.M Billets Reports'!D2407)),TRIM('R.M Billets Reports'!F2407),IF(ISNUMBER(SEARCH("Party Name-",'R.M Billets Reports'!D2407)),TRIM(MID('R.M Billets Reports'!D2407,SEARCH("-",'R.M Billets Reports'!D2407)+1,200)),"")))))),IF(ROW()=2,"",A2406))</f>
      </c>
      <c r="B2407">
        <f>IF(OR('R.M Billets Reports'!A2406="Date-",'R.M Billets Reports'!A2406="Date:-"),'R.M Billets Reports'!B2406,IF(ROW()=2,"",B2406))</f>
      </c>
      <c r="C2407">
        <f>IF('R.M Billets Reports'!A2406="V.No.",'R.M Billets Reports'!B2406,IF(ROW()=2,"",C2406))</f>
      </c>
      <c r="D2407">
        <f>IF('R.M Billets Reports'!A2406&lt;&gt;"",'R.M Billets Reports'!A2406,IF(ROW()=2,"",D2406))</f>
      </c>
      <c r="E2407">
        <f>IF('R.M Billets Reports'!B2406="","",TRIM('R.M Billets Reports'!B2406))</f>
      </c>
      <c r="F2407">
        <f>'R.M Billets Reports'!C2406</f>
      </c>
      <c r="G2407">
        <f>'R.M Billets Reports'!D2406</f>
      </c>
      <c r="H2407">
        <f>'R.M Billets Reports'!E2406</f>
      </c>
      <c r="I2407">
        <f>'R.M Billets Reports'!F2406</f>
      </c>
      <c r="J2407">
        <f>'R.M Billets Reports'!G2406</f>
      </c>
      <c r="K2407">
        <f>'R.M Billets Reports'!H2406</f>
      </c>
      <c r="L2407">
        <f>IF('R.M Billets Reports'!I2406="","",'R.M Billets Reports'!I2406)</f>
      </c>
      <c r="M2407">
        <f t="shared" si="74"/>
      </c>
      <c r="N2407">
        <f>IF('R.M Billets Reports'!J2406="","",'R.M Billets Reports'!J2406)</f>
      </c>
      <c r="O2407">
        <f t="shared" si="75"/>
      </c>
      <c r="P2407">
        <f>IF('R.M Billets Reports'!A2406="SIZE",'R.M Billets Reports'!B2406,P2406)</f>
      </c>
    </row>
    <row r="2408" spans="1:16" x14ac:dyDescent="0.25">
      <c r="A2408">
        <f>IF(OR('R.M Billets Reports'!A2407="Date-",'R.M Billets Reports'!A2407="Date:-"),IF(IF(IF(ISNUMBER(SEARCH("Party Name:-",'R.M Billets Reports'!D2407)),TRIM('R.M Billets Reports'!F2407),IF(ISNUMBER(SEARCH("Party Name-",'R.M Billets Reports'!D2407)),TRIM(MID('R.M Billets Reports'!D2407,SEARCH("-",'R.M Billets Reports'!D2407)+1,200)),""))&lt;&gt;"",IF(ISNUMBER(SEARCH("Party Name:-",'R.M Billets Reports'!D2407)),TRIM('R.M Billets Reports'!F2407),IF(ISNUMBER(SEARCH("Party Name-",'R.M Billets Reports'!D2407)),TRIM(MID('R.M Billets Reports'!D2407,SEARCH("-",'R.M Billets Reports'!D2407)+1,200)),"")),IF(ISNUMBER(SEARCH("Party Name:-",'R.M Billets Reports'!D2408)),TRIM('R.M Billets Reports'!F2408),IF(ISNUMBER(SEARCH("Party Name-",'R.M Billets Reports'!D2408)),TRIM(MID('R.M Billets Reports'!D2408,SEARCH("-",'R.M Billets Reports'!D2408)+1,200)),"")))="VRKP ISPAT PVT LTD","VRKP",IF(IF(IF(ISNUMBER(SEARCH("Party Name:-",'R.M Billets Reports'!D2407)),TRIM('R.M Billets Reports'!F2407),IF(ISNUMBER(SEARCH("Party Name-",'R.M Billets Reports'!D2407)),TRIM(MID('R.M Billets Reports'!D2407,SEARCH("-",'R.M Billets Reports'!D2407)+1,200)),""))&lt;&gt;"",IF(ISNUMBER(SEARCH("Party Name:-",'R.M Billets Reports'!D2407)),TRIM('R.M Billets Reports'!F2407),IF(ISNUMBER(SEARCH("Party Name-",'R.M Billets Reports'!D2407)),TRIM(MID('R.M Billets Reports'!D2407,SEARCH("-",'R.M Billets Reports'!D2407)+1,200)),"")),IF(ISNUMBER(SEARCH("Party Name:-",'R.M Billets Reports'!D2408)),TRIM('R.M Billets Reports'!F2408),IF(ISNUMBER(SEARCH("Party Name-",'R.M Billets Reports'!D2408)),TRIM(MID('R.M Billets Reports'!D2408,SEARCH("-",'R.M Billets Reports'!D2408)+1,200)),"")))="SHRI RADHE","SHREE RADHE",IF(IF(IF(ISNUMBER(SEARCH("Party Name:-",'R.M Billets Reports'!D2407)),TRIM('R.M Billets Reports'!F2407),IF(ISNUMBER(SEARCH("Party Name-",'R.M Billets Reports'!D2407)),TRIM(MID('R.M Billets Reports'!D2407,SEARCH("-",'R.M Billets Reports'!D2407)+1,200)),""))&lt;&gt;"",IF(ISNUMBER(SEARCH("Party Name:-",'R.M Billets Reports'!D2407)),TRIM('R.M Billets Reports'!F2407),IF(ISNUMBER(SEARCH("Party Name-",'R.M Billets Reports'!D2407)),TRIM(MID('R.M Billets Reports'!D2407,SEARCH("-",'R.M Billets Reports'!D2407)+1,200)),"")),IF(ISNUMBER(SEARCH("Party Name:-",'R.M Billets Reports'!D2408)),TRIM('R.M Billets Reports'!F2408),IF(ISNUMBER(SEARCH("Party Name-",'R.M Billets Reports'!D2408)),TRIM(MID('R.M Billets Reports'!D2408,SEARCH("-",'R.M Billets Reports'!D2408)+1,200)),"")))="SHREE RADHE SHAKTI SPONGE AND POWER PVT. LTD.","SHREE RADHE",IF(IF(ISNUMBER(SEARCH("Party Name:-",'R.M Billets Reports'!D2407)),TRIM('R.M Billets Reports'!F2407),IF(ISNUMBER(SEARCH("Party Name-",'R.M Billets Reports'!D2407)),TRIM(MID('R.M Billets Reports'!D2407,SEARCH("-",'R.M Billets Reports'!D2407)+1,200)),""))&lt;&gt;"",IF(ISNUMBER(SEARCH("Party Name:-",'R.M Billets Reports'!D2407)),TRIM('R.M Billets Reports'!F2407),IF(ISNUMBER(SEARCH("Party Name-",'R.M Billets Reports'!D2407)),TRIM(MID('R.M Billets Reports'!D2407,SEARCH("-",'R.M Billets Reports'!D2407)+1,200)),"")),IF(ISNUMBER(SEARCH("Party Name:-",'R.M Billets Reports'!D2408)),TRIM('R.M Billets Reports'!F2408),IF(ISNUMBER(SEARCH("Party Name-",'R.M Billets Reports'!D2408)),TRIM(MID('R.M Billets Reports'!D2408,SEARCH("-",'R.M Billets Reports'!D2408)+1,200)),"")))))),IF(ROW()=2,"",A2407))</f>
      </c>
      <c r="B2408">
        <f>IF(OR('R.M Billets Reports'!A2407="Date-",'R.M Billets Reports'!A2407="Date:-"),'R.M Billets Reports'!B2407,IF(ROW()=2,"",B2407))</f>
      </c>
      <c r="C2408">
        <f>IF('R.M Billets Reports'!A2407="V.No.",'R.M Billets Reports'!B2407,IF(ROW()=2,"",C2407))</f>
      </c>
      <c r="D2408">
        <f>IF('R.M Billets Reports'!A2407&lt;&gt;"",'R.M Billets Reports'!A2407,IF(ROW()=2,"",D2407))</f>
      </c>
      <c r="E2408">
        <f>IF('R.M Billets Reports'!B2407="","",TRIM('R.M Billets Reports'!B2407))</f>
      </c>
      <c r="F2408">
        <f>'R.M Billets Reports'!C2407</f>
      </c>
      <c r="G2408">
        <f>'R.M Billets Reports'!D2407</f>
      </c>
      <c r="H2408">
        <f>'R.M Billets Reports'!E2407</f>
      </c>
      <c r="I2408">
        <f>'R.M Billets Reports'!F2407</f>
      </c>
      <c r="J2408">
        <f>'R.M Billets Reports'!G2407</f>
      </c>
      <c r="K2408">
        <f>'R.M Billets Reports'!H2407</f>
      </c>
      <c r="L2408">
        <f>IF('R.M Billets Reports'!I2407="","",'R.M Billets Reports'!I2407)</f>
      </c>
      <c r="M2408">
        <f t="shared" si="74"/>
      </c>
      <c r="N2408">
        <f>IF('R.M Billets Reports'!J2407="","",'R.M Billets Reports'!J2407)</f>
      </c>
      <c r="O2408">
        <f t="shared" si="75"/>
      </c>
      <c r="P2408">
        <f>IF('R.M Billets Reports'!A2407="SIZE",'R.M Billets Reports'!B2407,P2407)</f>
      </c>
    </row>
    <row r="2409" spans="1:16" x14ac:dyDescent="0.25">
      <c r="A2409">
        <f>IF(OR('R.M Billets Reports'!A2408="Date-",'R.M Billets Reports'!A2408="Date:-"),IF(IF(IF(ISNUMBER(SEARCH("Party Name:-",'R.M Billets Reports'!D2408)),TRIM('R.M Billets Reports'!F2408),IF(ISNUMBER(SEARCH("Party Name-",'R.M Billets Reports'!D2408)),TRIM(MID('R.M Billets Reports'!D2408,SEARCH("-",'R.M Billets Reports'!D2408)+1,200)),""))&lt;&gt;"",IF(ISNUMBER(SEARCH("Party Name:-",'R.M Billets Reports'!D2408)),TRIM('R.M Billets Reports'!F2408),IF(ISNUMBER(SEARCH("Party Name-",'R.M Billets Reports'!D2408)),TRIM(MID('R.M Billets Reports'!D2408,SEARCH("-",'R.M Billets Reports'!D2408)+1,200)),"")),IF(ISNUMBER(SEARCH("Party Name:-",'R.M Billets Reports'!D2409)),TRIM('R.M Billets Reports'!F2409),IF(ISNUMBER(SEARCH("Party Name-",'R.M Billets Reports'!D2409)),TRIM(MID('R.M Billets Reports'!D2409,SEARCH("-",'R.M Billets Reports'!D2409)+1,200)),"")))="VRKP ISPAT PVT LTD","VRKP",IF(IF(IF(ISNUMBER(SEARCH("Party Name:-",'R.M Billets Reports'!D2408)),TRIM('R.M Billets Reports'!F2408),IF(ISNUMBER(SEARCH("Party Name-",'R.M Billets Reports'!D2408)),TRIM(MID('R.M Billets Reports'!D2408,SEARCH("-",'R.M Billets Reports'!D2408)+1,200)),""))&lt;&gt;"",IF(ISNUMBER(SEARCH("Party Name:-",'R.M Billets Reports'!D2408)),TRIM('R.M Billets Reports'!F2408),IF(ISNUMBER(SEARCH("Party Name-",'R.M Billets Reports'!D2408)),TRIM(MID('R.M Billets Reports'!D2408,SEARCH("-",'R.M Billets Reports'!D2408)+1,200)),"")),IF(ISNUMBER(SEARCH("Party Name:-",'R.M Billets Reports'!D2409)),TRIM('R.M Billets Reports'!F2409),IF(ISNUMBER(SEARCH("Party Name-",'R.M Billets Reports'!D2409)),TRIM(MID('R.M Billets Reports'!D2409,SEARCH("-",'R.M Billets Reports'!D2409)+1,200)),"")))="SHRI RADHE","SHREE RADHE",IF(IF(IF(ISNUMBER(SEARCH("Party Name:-",'R.M Billets Reports'!D2408)),TRIM('R.M Billets Reports'!F2408),IF(ISNUMBER(SEARCH("Party Name-",'R.M Billets Reports'!D2408)),TRIM(MID('R.M Billets Reports'!D2408,SEARCH("-",'R.M Billets Reports'!D2408)+1,200)),""))&lt;&gt;"",IF(ISNUMBER(SEARCH("Party Name:-",'R.M Billets Reports'!D2408)),TRIM('R.M Billets Reports'!F2408),IF(ISNUMBER(SEARCH("Party Name-",'R.M Billets Reports'!D2408)),TRIM(MID('R.M Billets Reports'!D2408,SEARCH("-",'R.M Billets Reports'!D2408)+1,200)),"")),IF(ISNUMBER(SEARCH("Party Name:-",'R.M Billets Reports'!D2409)),TRIM('R.M Billets Reports'!F2409),IF(ISNUMBER(SEARCH("Party Name-",'R.M Billets Reports'!D2409)),TRIM(MID('R.M Billets Reports'!D2409,SEARCH("-",'R.M Billets Reports'!D2409)+1,200)),"")))="SHREE RADHE SHAKTI SPONGE AND POWER PVT. LTD.","SHREE RADHE",IF(IF(ISNUMBER(SEARCH("Party Name:-",'R.M Billets Reports'!D2408)),TRIM('R.M Billets Reports'!F2408),IF(ISNUMBER(SEARCH("Party Name-",'R.M Billets Reports'!D2408)),TRIM(MID('R.M Billets Reports'!D2408,SEARCH("-",'R.M Billets Reports'!D2408)+1,200)),""))&lt;&gt;"",IF(ISNUMBER(SEARCH("Party Name:-",'R.M Billets Reports'!D2408)),TRIM('R.M Billets Reports'!F2408),IF(ISNUMBER(SEARCH("Party Name-",'R.M Billets Reports'!D2408)),TRIM(MID('R.M Billets Reports'!D2408,SEARCH("-",'R.M Billets Reports'!D2408)+1,200)),"")),IF(ISNUMBER(SEARCH("Party Name:-",'R.M Billets Reports'!D2409)),TRIM('R.M Billets Reports'!F2409),IF(ISNUMBER(SEARCH("Party Name-",'R.M Billets Reports'!D2409)),TRIM(MID('R.M Billets Reports'!D2409,SEARCH("-",'R.M Billets Reports'!D2409)+1,200)),"")))))),IF(ROW()=2,"",A2408))</f>
      </c>
      <c r="B2409">
        <f>IF(OR('R.M Billets Reports'!A2408="Date-",'R.M Billets Reports'!A2408="Date:-"),'R.M Billets Reports'!B2408,IF(ROW()=2,"",B2408))</f>
      </c>
      <c r="C2409">
        <f>IF('R.M Billets Reports'!A2408="V.No.",'R.M Billets Reports'!B2408,IF(ROW()=2,"",C2408))</f>
      </c>
      <c r="D2409">
        <f>IF('R.M Billets Reports'!A2408&lt;&gt;"",'R.M Billets Reports'!A2408,IF(ROW()=2,"",D2408))</f>
      </c>
      <c r="E2409">
        <f>IF('R.M Billets Reports'!B2408="","",TRIM('R.M Billets Reports'!B2408))</f>
      </c>
      <c r="F2409">
        <f>'R.M Billets Reports'!C2408</f>
      </c>
      <c r="G2409">
        <f>'R.M Billets Reports'!D2408</f>
      </c>
      <c r="H2409">
        <f>'R.M Billets Reports'!E2408</f>
      </c>
      <c r="I2409">
        <f>'R.M Billets Reports'!F2408</f>
      </c>
      <c r="J2409">
        <f>'R.M Billets Reports'!G2408</f>
      </c>
      <c r="K2409">
        <f>'R.M Billets Reports'!H2408</f>
      </c>
      <c r="L2409">
        <f>IF('R.M Billets Reports'!I2408="","",'R.M Billets Reports'!I2408)</f>
      </c>
      <c r="M2409">
        <f t="shared" si="74"/>
      </c>
      <c r="N2409">
        <f>IF('R.M Billets Reports'!J2408="","",'R.M Billets Reports'!J2408)</f>
      </c>
      <c r="O2409">
        <f t="shared" si="75"/>
      </c>
      <c r="P2409">
        <f>IF('R.M Billets Reports'!A2408="SIZE",'R.M Billets Reports'!B2408,P2408)</f>
      </c>
    </row>
    <row r="2410" spans="1:16" x14ac:dyDescent="0.25">
      <c r="A2410">
        <f>IF(OR('R.M Billets Reports'!A2409="Date-",'R.M Billets Reports'!A2409="Date:-"),IF(IF(IF(ISNUMBER(SEARCH("Party Name:-",'R.M Billets Reports'!D2409)),TRIM('R.M Billets Reports'!F2409),IF(ISNUMBER(SEARCH("Party Name-",'R.M Billets Reports'!D2409)),TRIM(MID('R.M Billets Reports'!D2409,SEARCH("-",'R.M Billets Reports'!D2409)+1,200)),""))&lt;&gt;"",IF(ISNUMBER(SEARCH("Party Name:-",'R.M Billets Reports'!D2409)),TRIM('R.M Billets Reports'!F2409),IF(ISNUMBER(SEARCH("Party Name-",'R.M Billets Reports'!D2409)),TRIM(MID('R.M Billets Reports'!D2409,SEARCH("-",'R.M Billets Reports'!D2409)+1,200)),"")),IF(ISNUMBER(SEARCH("Party Name:-",'R.M Billets Reports'!D2410)),TRIM('R.M Billets Reports'!F2410),IF(ISNUMBER(SEARCH("Party Name-",'R.M Billets Reports'!D2410)),TRIM(MID('R.M Billets Reports'!D2410,SEARCH("-",'R.M Billets Reports'!D2410)+1,200)),"")))="VRKP ISPAT PVT LTD","VRKP",IF(IF(IF(ISNUMBER(SEARCH("Party Name:-",'R.M Billets Reports'!D2409)),TRIM('R.M Billets Reports'!F2409),IF(ISNUMBER(SEARCH("Party Name-",'R.M Billets Reports'!D2409)),TRIM(MID('R.M Billets Reports'!D2409,SEARCH("-",'R.M Billets Reports'!D2409)+1,200)),""))&lt;&gt;"",IF(ISNUMBER(SEARCH("Party Name:-",'R.M Billets Reports'!D2409)),TRIM('R.M Billets Reports'!F2409),IF(ISNUMBER(SEARCH("Party Name-",'R.M Billets Reports'!D2409)),TRIM(MID('R.M Billets Reports'!D2409,SEARCH("-",'R.M Billets Reports'!D2409)+1,200)),"")),IF(ISNUMBER(SEARCH("Party Name:-",'R.M Billets Reports'!D2410)),TRIM('R.M Billets Reports'!F2410),IF(ISNUMBER(SEARCH("Party Name-",'R.M Billets Reports'!D2410)),TRIM(MID('R.M Billets Reports'!D2410,SEARCH("-",'R.M Billets Reports'!D2410)+1,200)),"")))="SHRI RADHE","SHREE RADHE",IF(IF(IF(ISNUMBER(SEARCH("Party Name:-",'R.M Billets Reports'!D2409)),TRIM('R.M Billets Reports'!F2409),IF(ISNUMBER(SEARCH("Party Name-",'R.M Billets Reports'!D2409)),TRIM(MID('R.M Billets Reports'!D2409,SEARCH("-",'R.M Billets Reports'!D2409)+1,200)),""))&lt;&gt;"",IF(ISNUMBER(SEARCH("Party Name:-",'R.M Billets Reports'!D2409)),TRIM('R.M Billets Reports'!F2409),IF(ISNUMBER(SEARCH("Party Name-",'R.M Billets Reports'!D2409)),TRIM(MID('R.M Billets Reports'!D2409,SEARCH("-",'R.M Billets Reports'!D2409)+1,200)),"")),IF(ISNUMBER(SEARCH("Party Name:-",'R.M Billets Reports'!D2410)),TRIM('R.M Billets Reports'!F2410),IF(ISNUMBER(SEARCH("Party Name-",'R.M Billets Reports'!D2410)),TRIM(MID('R.M Billets Reports'!D2410,SEARCH("-",'R.M Billets Reports'!D2410)+1,200)),"")))="SHREE RADHE SHAKTI SPONGE AND POWER PVT. LTD.","SHREE RADHE",IF(IF(ISNUMBER(SEARCH("Party Name:-",'R.M Billets Reports'!D2409)),TRIM('R.M Billets Reports'!F2409),IF(ISNUMBER(SEARCH("Party Name-",'R.M Billets Reports'!D2409)),TRIM(MID('R.M Billets Reports'!D2409,SEARCH("-",'R.M Billets Reports'!D2409)+1,200)),""))&lt;&gt;"",IF(ISNUMBER(SEARCH("Party Name:-",'R.M Billets Reports'!D2409)),TRIM('R.M Billets Reports'!F2409),IF(ISNUMBER(SEARCH("Party Name-",'R.M Billets Reports'!D2409)),TRIM(MID('R.M Billets Reports'!D2409,SEARCH("-",'R.M Billets Reports'!D2409)+1,200)),"")),IF(ISNUMBER(SEARCH("Party Name:-",'R.M Billets Reports'!D2410)),TRIM('R.M Billets Reports'!F2410),IF(ISNUMBER(SEARCH("Party Name-",'R.M Billets Reports'!D2410)),TRIM(MID('R.M Billets Reports'!D2410,SEARCH("-",'R.M Billets Reports'!D2410)+1,200)),"")))))),IF(ROW()=2,"",A2409))</f>
      </c>
      <c r="B2410">
        <f>IF(OR('R.M Billets Reports'!A2409="Date-",'R.M Billets Reports'!A2409="Date:-"),'R.M Billets Reports'!B2409,IF(ROW()=2,"",B2409))</f>
      </c>
      <c r="C2410">
        <f>IF('R.M Billets Reports'!A2409="V.No.",'R.M Billets Reports'!B2409,IF(ROW()=2,"",C2409))</f>
      </c>
      <c r="D2410">
        <f>IF('R.M Billets Reports'!A2409&lt;&gt;"",'R.M Billets Reports'!A2409,IF(ROW()=2,"",D2409))</f>
      </c>
      <c r="E2410">
        <f>IF('R.M Billets Reports'!B2409="","",TRIM('R.M Billets Reports'!B2409))</f>
      </c>
      <c r="F2410">
        <f>'R.M Billets Reports'!C2409</f>
      </c>
      <c r="G2410">
        <f>'R.M Billets Reports'!D2409</f>
      </c>
      <c r="H2410">
        <f>'R.M Billets Reports'!E2409</f>
      </c>
      <c r="I2410">
        <f>'R.M Billets Reports'!F2409</f>
      </c>
      <c r="J2410">
        <f>'R.M Billets Reports'!G2409</f>
      </c>
      <c r="K2410">
        <f>'R.M Billets Reports'!H2409</f>
      </c>
      <c r="L2410">
        <f>IF('R.M Billets Reports'!I2409="","",'R.M Billets Reports'!I2409)</f>
      </c>
      <c r="M2410">
        <f t="shared" si="74"/>
      </c>
      <c r="N2410">
        <f>IF('R.M Billets Reports'!J2409="","",'R.M Billets Reports'!J2409)</f>
      </c>
      <c r="O2410">
        <f t="shared" si="75"/>
      </c>
      <c r="P2410">
        <f>IF('R.M Billets Reports'!A2409="SIZE",'R.M Billets Reports'!B2409,P2409)</f>
      </c>
    </row>
    <row r="2411" spans="1:16" x14ac:dyDescent="0.25">
      <c r="A2411">
        <f>IF(OR('R.M Billets Reports'!A2410="Date-",'R.M Billets Reports'!A2410="Date:-"),IF(IF(IF(ISNUMBER(SEARCH("Party Name:-",'R.M Billets Reports'!D2410)),TRIM('R.M Billets Reports'!F2410),IF(ISNUMBER(SEARCH("Party Name-",'R.M Billets Reports'!D2410)),TRIM(MID('R.M Billets Reports'!D2410,SEARCH("-",'R.M Billets Reports'!D2410)+1,200)),""))&lt;&gt;"",IF(ISNUMBER(SEARCH("Party Name:-",'R.M Billets Reports'!D2410)),TRIM('R.M Billets Reports'!F2410),IF(ISNUMBER(SEARCH("Party Name-",'R.M Billets Reports'!D2410)),TRIM(MID('R.M Billets Reports'!D2410,SEARCH("-",'R.M Billets Reports'!D2410)+1,200)),"")),IF(ISNUMBER(SEARCH("Party Name:-",'R.M Billets Reports'!D2411)),TRIM('R.M Billets Reports'!F2411),IF(ISNUMBER(SEARCH("Party Name-",'R.M Billets Reports'!D2411)),TRIM(MID('R.M Billets Reports'!D2411,SEARCH("-",'R.M Billets Reports'!D2411)+1,200)),"")))="VRKP ISPAT PVT LTD","VRKP",IF(IF(IF(ISNUMBER(SEARCH("Party Name:-",'R.M Billets Reports'!D2410)),TRIM('R.M Billets Reports'!F2410),IF(ISNUMBER(SEARCH("Party Name-",'R.M Billets Reports'!D2410)),TRIM(MID('R.M Billets Reports'!D2410,SEARCH("-",'R.M Billets Reports'!D2410)+1,200)),""))&lt;&gt;"",IF(ISNUMBER(SEARCH("Party Name:-",'R.M Billets Reports'!D2410)),TRIM('R.M Billets Reports'!F2410),IF(ISNUMBER(SEARCH("Party Name-",'R.M Billets Reports'!D2410)),TRIM(MID('R.M Billets Reports'!D2410,SEARCH("-",'R.M Billets Reports'!D2410)+1,200)),"")),IF(ISNUMBER(SEARCH("Party Name:-",'R.M Billets Reports'!D2411)),TRIM('R.M Billets Reports'!F2411),IF(ISNUMBER(SEARCH("Party Name-",'R.M Billets Reports'!D2411)),TRIM(MID('R.M Billets Reports'!D2411,SEARCH("-",'R.M Billets Reports'!D2411)+1,200)),"")))="SHRI RADHE","SHREE RADHE",IF(IF(IF(ISNUMBER(SEARCH("Party Name:-",'R.M Billets Reports'!D2410)),TRIM('R.M Billets Reports'!F2410),IF(ISNUMBER(SEARCH("Party Name-",'R.M Billets Reports'!D2410)),TRIM(MID('R.M Billets Reports'!D2410,SEARCH("-",'R.M Billets Reports'!D2410)+1,200)),""))&lt;&gt;"",IF(ISNUMBER(SEARCH("Party Name:-",'R.M Billets Reports'!D2410)),TRIM('R.M Billets Reports'!F2410),IF(ISNUMBER(SEARCH("Party Name-",'R.M Billets Reports'!D2410)),TRIM(MID('R.M Billets Reports'!D2410,SEARCH("-",'R.M Billets Reports'!D2410)+1,200)),"")),IF(ISNUMBER(SEARCH("Party Name:-",'R.M Billets Reports'!D2411)),TRIM('R.M Billets Reports'!F2411),IF(ISNUMBER(SEARCH("Party Name-",'R.M Billets Reports'!D2411)),TRIM(MID('R.M Billets Reports'!D2411,SEARCH("-",'R.M Billets Reports'!D2411)+1,200)),"")))="SHREE RADHE SHAKTI SPONGE AND POWER PVT. LTD.","SHREE RADHE",IF(IF(ISNUMBER(SEARCH("Party Name:-",'R.M Billets Reports'!D2410)),TRIM('R.M Billets Reports'!F2410),IF(ISNUMBER(SEARCH("Party Name-",'R.M Billets Reports'!D2410)),TRIM(MID('R.M Billets Reports'!D2410,SEARCH("-",'R.M Billets Reports'!D2410)+1,200)),""))&lt;&gt;"",IF(ISNUMBER(SEARCH("Party Name:-",'R.M Billets Reports'!D2410)),TRIM('R.M Billets Reports'!F2410),IF(ISNUMBER(SEARCH("Party Name-",'R.M Billets Reports'!D2410)),TRIM(MID('R.M Billets Reports'!D2410,SEARCH("-",'R.M Billets Reports'!D2410)+1,200)),"")),IF(ISNUMBER(SEARCH("Party Name:-",'R.M Billets Reports'!D2411)),TRIM('R.M Billets Reports'!F2411),IF(ISNUMBER(SEARCH("Party Name-",'R.M Billets Reports'!D2411)),TRIM(MID('R.M Billets Reports'!D2411,SEARCH("-",'R.M Billets Reports'!D2411)+1,200)),"")))))),IF(ROW()=2,"",A2410))</f>
      </c>
      <c r="B2411">
        <f>IF(OR('R.M Billets Reports'!A2410="Date-",'R.M Billets Reports'!A2410="Date:-"),'R.M Billets Reports'!B2410,IF(ROW()=2,"",B2410))</f>
      </c>
      <c r="C2411">
        <f>IF('R.M Billets Reports'!A2410="V.No.",'R.M Billets Reports'!B2410,IF(ROW()=2,"",C2410))</f>
      </c>
      <c r="D2411">
        <f>IF('R.M Billets Reports'!A2410&lt;&gt;"",'R.M Billets Reports'!A2410,IF(ROW()=2,"",D2410))</f>
      </c>
      <c r="E2411">
        <f>IF('R.M Billets Reports'!B2410="","",TRIM('R.M Billets Reports'!B2410))</f>
      </c>
      <c r="F2411">
        <f>'R.M Billets Reports'!C2410</f>
      </c>
      <c r="G2411">
        <f>'R.M Billets Reports'!D2410</f>
      </c>
      <c r="H2411">
        <f>'R.M Billets Reports'!E2410</f>
      </c>
      <c r="I2411">
        <f>'R.M Billets Reports'!F2410</f>
      </c>
      <c r="J2411">
        <f>'R.M Billets Reports'!G2410</f>
      </c>
      <c r="K2411">
        <f>'R.M Billets Reports'!H2410</f>
      </c>
      <c r="L2411">
        <f>IF('R.M Billets Reports'!I2410="","",'R.M Billets Reports'!I2410)</f>
      </c>
      <c r="M2411">
        <f t="shared" si="74"/>
      </c>
      <c r="N2411">
        <f>IF('R.M Billets Reports'!J2410="","",'R.M Billets Reports'!J2410)</f>
      </c>
      <c r="O2411">
        <f t="shared" si="75"/>
      </c>
      <c r="P2411">
        <f>IF('R.M Billets Reports'!A2410="SIZE",'R.M Billets Reports'!B2410,P2410)</f>
      </c>
    </row>
    <row r="2412" spans="1:16" x14ac:dyDescent="0.25">
      <c r="A2412">
        <f>IF(OR('R.M Billets Reports'!A2411="Date-",'R.M Billets Reports'!A2411="Date:-"),IF(IF(IF(ISNUMBER(SEARCH("Party Name:-",'R.M Billets Reports'!D2411)),TRIM('R.M Billets Reports'!F2411),IF(ISNUMBER(SEARCH("Party Name-",'R.M Billets Reports'!D2411)),TRIM(MID('R.M Billets Reports'!D2411,SEARCH("-",'R.M Billets Reports'!D2411)+1,200)),""))&lt;&gt;"",IF(ISNUMBER(SEARCH("Party Name:-",'R.M Billets Reports'!D2411)),TRIM('R.M Billets Reports'!F2411),IF(ISNUMBER(SEARCH("Party Name-",'R.M Billets Reports'!D2411)),TRIM(MID('R.M Billets Reports'!D2411,SEARCH("-",'R.M Billets Reports'!D2411)+1,200)),"")),IF(ISNUMBER(SEARCH("Party Name:-",'R.M Billets Reports'!D2412)),TRIM('R.M Billets Reports'!F2412),IF(ISNUMBER(SEARCH("Party Name-",'R.M Billets Reports'!D2412)),TRIM(MID('R.M Billets Reports'!D2412,SEARCH("-",'R.M Billets Reports'!D2412)+1,200)),"")))="VRKP ISPAT PVT LTD","VRKP",IF(IF(IF(ISNUMBER(SEARCH("Party Name:-",'R.M Billets Reports'!D2411)),TRIM('R.M Billets Reports'!F2411),IF(ISNUMBER(SEARCH("Party Name-",'R.M Billets Reports'!D2411)),TRIM(MID('R.M Billets Reports'!D2411,SEARCH("-",'R.M Billets Reports'!D2411)+1,200)),""))&lt;&gt;"",IF(ISNUMBER(SEARCH("Party Name:-",'R.M Billets Reports'!D2411)),TRIM('R.M Billets Reports'!F2411),IF(ISNUMBER(SEARCH("Party Name-",'R.M Billets Reports'!D2411)),TRIM(MID('R.M Billets Reports'!D2411,SEARCH("-",'R.M Billets Reports'!D2411)+1,200)),"")),IF(ISNUMBER(SEARCH("Party Name:-",'R.M Billets Reports'!D2412)),TRIM('R.M Billets Reports'!F2412),IF(ISNUMBER(SEARCH("Party Name-",'R.M Billets Reports'!D2412)),TRIM(MID('R.M Billets Reports'!D2412,SEARCH("-",'R.M Billets Reports'!D2412)+1,200)),"")))="SHRI RADHE","SHREE RADHE",IF(IF(IF(ISNUMBER(SEARCH("Party Name:-",'R.M Billets Reports'!D2411)),TRIM('R.M Billets Reports'!F2411),IF(ISNUMBER(SEARCH("Party Name-",'R.M Billets Reports'!D2411)),TRIM(MID('R.M Billets Reports'!D2411,SEARCH("-",'R.M Billets Reports'!D2411)+1,200)),""))&lt;&gt;"",IF(ISNUMBER(SEARCH("Party Name:-",'R.M Billets Reports'!D2411)),TRIM('R.M Billets Reports'!F2411),IF(ISNUMBER(SEARCH("Party Name-",'R.M Billets Reports'!D2411)),TRIM(MID('R.M Billets Reports'!D2411,SEARCH("-",'R.M Billets Reports'!D2411)+1,200)),"")),IF(ISNUMBER(SEARCH("Party Name:-",'R.M Billets Reports'!D2412)),TRIM('R.M Billets Reports'!F2412),IF(ISNUMBER(SEARCH("Party Name-",'R.M Billets Reports'!D2412)),TRIM(MID('R.M Billets Reports'!D2412,SEARCH("-",'R.M Billets Reports'!D2412)+1,200)),"")))="SHREE RADHE SHAKTI SPONGE AND POWER PVT. LTD.","SHREE RADHE",IF(IF(ISNUMBER(SEARCH("Party Name:-",'R.M Billets Reports'!D2411)),TRIM('R.M Billets Reports'!F2411),IF(ISNUMBER(SEARCH("Party Name-",'R.M Billets Reports'!D2411)),TRIM(MID('R.M Billets Reports'!D2411,SEARCH("-",'R.M Billets Reports'!D2411)+1,200)),""))&lt;&gt;"",IF(ISNUMBER(SEARCH("Party Name:-",'R.M Billets Reports'!D2411)),TRIM('R.M Billets Reports'!F2411),IF(ISNUMBER(SEARCH("Party Name-",'R.M Billets Reports'!D2411)),TRIM(MID('R.M Billets Reports'!D2411,SEARCH("-",'R.M Billets Reports'!D2411)+1,200)),"")),IF(ISNUMBER(SEARCH("Party Name:-",'R.M Billets Reports'!D2412)),TRIM('R.M Billets Reports'!F2412),IF(ISNUMBER(SEARCH("Party Name-",'R.M Billets Reports'!D2412)),TRIM(MID('R.M Billets Reports'!D2412,SEARCH("-",'R.M Billets Reports'!D2412)+1,200)),"")))))),IF(ROW()=2,"",A2411))</f>
      </c>
      <c r="B2412">
        <f>IF(OR('R.M Billets Reports'!A2411="Date-",'R.M Billets Reports'!A2411="Date:-"),'R.M Billets Reports'!B2411,IF(ROW()=2,"",B2411))</f>
      </c>
      <c r="C2412">
        <f>IF('R.M Billets Reports'!A2411="V.No.",'R.M Billets Reports'!B2411,IF(ROW()=2,"",C2411))</f>
      </c>
      <c r="D2412">
        <f>IF('R.M Billets Reports'!A2411&lt;&gt;"",'R.M Billets Reports'!A2411,IF(ROW()=2,"",D2411))</f>
      </c>
      <c r="E2412">
        <f>IF('R.M Billets Reports'!B2411="","",TRIM('R.M Billets Reports'!B2411))</f>
      </c>
      <c r="F2412">
        <f>'R.M Billets Reports'!C2411</f>
      </c>
      <c r="G2412">
        <f>'R.M Billets Reports'!D2411</f>
      </c>
      <c r="H2412">
        <f>'R.M Billets Reports'!E2411</f>
      </c>
      <c r="I2412">
        <f>'R.M Billets Reports'!F2411</f>
      </c>
      <c r="J2412">
        <f>'R.M Billets Reports'!G2411</f>
      </c>
      <c r="K2412">
        <f>'R.M Billets Reports'!H2411</f>
      </c>
      <c r="L2412">
        <f>IF('R.M Billets Reports'!I2411="","",'R.M Billets Reports'!I2411)</f>
      </c>
      <c r="M2412">
        <f t="shared" si="74"/>
      </c>
      <c r="N2412">
        <f>IF('R.M Billets Reports'!J2411="","",'R.M Billets Reports'!J2411)</f>
      </c>
      <c r="O2412">
        <f t="shared" si="75"/>
      </c>
      <c r="P2412">
        <f>IF('R.M Billets Reports'!A2411="SIZE",'R.M Billets Reports'!B2411,P2411)</f>
      </c>
    </row>
    <row r="2413" spans="1:16" x14ac:dyDescent="0.25">
      <c r="A2413">
        <f>IF(OR('R.M Billets Reports'!A2412="Date-",'R.M Billets Reports'!A2412="Date:-"),IF(IF(IF(ISNUMBER(SEARCH("Party Name:-",'R.M Billets Reports'!D2412)),TRIM('R.M Billets Reports'!F2412),IF(ISNUMBER(SEARCH("Party Name-",'R.M Billets Reports'!D2412)),TRIM(MID('R.M Billets Reports'!D2412,SEARCH("-",'R.M Billets Reports'!D2412)+1,200)),""))&lt;&gt;"",IF(ISNUMBER(SEARCH("Party Name:-",'R.M Billets Reports'!D2412)),TRIM('R.M Billets Reports'!F2412),IF(ISNUMBER(SEARCH("Party Name-",'R.M Billets Reports'!D2412)),TRIM(MID('R.M Billets Reports'!D2412,SEARCH("-",'R.M Billets Reports'!D2412)+1,200)),"")),IF(ISNUMBER(SEARCH("Party Name:-",'R.M Billets Reports'!D2413)),TRIM('R.M Billets Reports'!F2413),IF(ISNUMBER(SEARCH("Party Name-",'R.M Billets Reports'!D2413)),TRIM(MID('R.M Billets Reports'!D2413,SEARCH("-",'R.M Billets Reports'!D2413)+1,200)),"")))="VRKP ISPAT PVT LTD","VRKP",IF(IF(IF(ISNUMBER(SEARCH("Party Name:-",'R.M Billets Reports'!D2412)),TRIM('R.M Billets Reports'!F2412),IF(ISNUMBER(SEARCH("Party Name-",'R.M Billets Reports'!D2412)),TRIM(MID('R.M Billets Reports'!D2412,SEARCH("-",'R.M Billets Reports'!D2412)+1,200)),""))&lt;&gt;"",IF(ISNUMBER(SEARCH("Party Name:-",'R.M Billets Reports'!D2412)),TRIM('R.M Billets Reports'!F2412),IF(ISNUMBER(SEARCH("Party Name-",'R.M Billets Reports'!D2412)),TRIM(MID('R.M Billets Reports'!D2412,SEARCH("-",'R.M Billets Reports'!D2412)+1,200)),"")),IF(ISNUMBER(SEARCH("Party Name:-",'R.M Billets Reports'!D2413)),TRIM('R.M Billets Reports'!F2413),IF(ISNUMBER(SEARCH("Party Name-",'R.M Billets Reports'!D2413)),TRIM(MID('R.M Billets Reports'!D2413,SEARCH("-",'R.M Billets Reports'!D2413)+1,200)),"")))="SHRI RADHE","SHREE RADHE",IF(IF(IF(ISNUMBER(SEARCH("Party Name:-",'R.M Billets Reports'!D2412)),TRIM('R.M Billets Reports'!F2412),IF(ISNUMBER(SEARCH("Party Name-",'R.M Billets Reports'!D2412)),TRIM(MID('R.M Billets Reports'!D2412,SEARCH("-",'R.M Billets Reports'!D2412)+1,200)),""))&lt;&gt;"",IF(ISNUMBER(SEARCH("Party Name:-",'R.M Billets Reports'!D2412)),TRIM('R.M Billets Reports'!F2412),IF(ISNUMBER(SEARCH("Party Name-",'R.M Billets Reports'!D2412)),TRIM(MID('R.M Billets Reports'!D2412,SEARCH("-",'R.M Billets Reports'!D2412)+1,200)),"")),IF(ISNUMBER(SEARCH("Party Name:-",'R.M Billets Reports'!D2413)),TRIM('R.M Billets Reports'!F2413),IF(ISNUMBER(SEARCH("Party Name-",'R.M Billets Reports'!D2413)),TRIM(MID('R.M Billets Reports'!D2413,SEARCH("-",'R.M Billets Reports'!D2413)+1,200)),"")))="SHREE RADHE SHAKTI SPONGE AND POWER PVT. LTD.","SHREE RADHE",IF(IF(ISNUMBER(SEARCH("Party Name:-",'R.M Billets Reports'!D2412)),TRIM('R.M Billets Reports'!F2412),IF(ISNUMBER(SEARCH("Party Name-",'R.M Billets Reports'!D2412)),TRIM(MID('R.M Billets Reports'!D2412,SEARCH("-",'R.M Billets Reports'!D2412)+1,200)),""))&lt;&gt;"",IF(ISNUMBER(SEARCH("Party Name:-",'R.M Billets Reports'!D2412)),TRIM('R.M Billets Reports'!F2412),IF(ISNUMBER(SEARCH("Party Name-",'R.M Billets Reports'!D2412)),TRIM(MID('R.M Billets Reports'!D2412,SEARCH("-",'R.M Billets Reports'!D2412)+1,200)),"")),IF(ISNUMBER(SEARCH("Party Name:-",'R.M Billets Reports'!D2413)),TRIM('R.M Billets Reports'!F2413),IF(ISNUMBER(SEARCH("Party Name-",'R.M Billets Reports'!D2413)),TRIM(MID('R.M Billets Reports'!D2413,SEARCH("-",'R.M Billets Reports'!D2413)+1,200)),"")))))),IF(ROW()=2,"",A2412))</f>
      </c>
      <c r="B2413">
        <f>IF(OR('R.M Billets Reports'!A2412="Date-",'R.M Billets Reports'!A2412="Date:-"),'R.M Billets Reports'!B2412,IF(ROW()=2,"",B2412))</f>
      </c>
      <c r="C2413">
        <f>IF('R.M Billets Reports'!A2412="V.No.",'R.M Billets Reports'!B2412,IF(ROW()=2,"",C2412))</f>
      </c>
      <c r="D2413">
        <f>IF('R.M Billets Reports'!A2412&lt;&gt;"",'R.M Billets Reports'!A2412,IF(ROW()=2,"",D2412))</f>
      </c>
      <c r="E2413">
        <f>IF('R.M Billets Reports'!B2412="","",TRIM('R.M Billets Reports'!B2412))</f>
      </c>
      <c r="F2413">
        <f>'R.M Billets Reports'!C2412</f>
      </c>
      <c r="G2413">
        <f>'R.M Billets Reports'!D2412</f>
      </c>
      <c r="H2413">
        <f>'R.M Billets Reports'!E2412</f>
      </c>
      <c r="I2413">
        <f>'R.M Billets Reports'!F2412</f>
      </c>
      <c r="J2413">
        <f>'R.M Billets Reports'!G2412</f>
      </c>
      <c r="K2413">
        <f>'R.M Billets Reports'!H2412</f>
      </c>
      <c r="L2413">
        <f>IF('R.M Billets Reports'!I2412="","",'R.M Billets Reports'!I2412)</f>
      </c>
      <c r="M2413">
        <f t="shared" si="74"/>
      </c>
      <c r="N2413">
        <f>IF('R.M Billets Reports'!J2412="","",'R.M Billets Reports'!J2412)</f>
      </c>
      <c r="O2413">
        <f t="shared" si="75"/>
      </c>
      <c r="P2413">
        <f>IF('R.M Billets Reports'!A2412="SIZE",'R.M Billets Reports'!B2412,P2412)</f>
      </c>
    </row>
    <row r="2414" spans="1:16" x14ac:dyDescent="0.25">
      <c r="A2414">
        <f>IF(OR('R.M Billets Reports'!A2413="Date-",'R.M Billets Reports'!A2413="Date:-"),IF(IF(IF(ISNUMBER(SEARCH("Party Name:-",'R.M Billets Reports'!D2413)),TRIM('R.M Billets Reports'!F2413),IF(ISNUMBER(SEARCH("Party Name-",'R.M Billets Reports'!D2413)),TRIM(MID('R.M Billets Reports'!D2413,SEARCH("-",'R.M Billets Reports'!D2413)+1,200)),""))&lt;&gt;"",IF(ISNUMBER(SEARCH("Party Name:-",'R.M Billets Reports'!D2413)),TRIM('R.M Billets Reports'!F2413),IF(ISNUMBER(SEARCH("Party Name-",'R.M Billets Reports'!D2413)),TRIM(MID('R.M Billets Reports'!D2413,SEARCH("-",'R.M Billets Reports'!D2413)+1,200)),"")),IF(ISNUMBER(SEARCH("Party Name:-",'R.M Billets Reports'!D2414)),TRIM('R.M Billets Reports'!F2414),IF(ISNUMBER(SEARCH("Party Name-",'R.M Billets Reports'!D2414)),TRIM(MID('R.M Billets Reports'!D2414,SEARCH("-",'R.M Billets Reports'!D2414)+1,200)),"")))="VRKP ISPAT PVT LTD","VRKP",IF(IF(IF(ISNUMBER(SEARCH("Party Name:-",'R.M Billets Reports'!D2413)),TRIM('R.M Billets Reports'!F2413),IF(ISNUMBER(SEARCH("Party Name-",'R.M Billets Reports'!D2413)),TRIM(MID('R.M Billets Reports'!D2413,SEARCH("-",'R.M Billets Reports'!D2413)+1,200)),""))&lt;&gt;"",IF(ISNUMBER(SEARCH("Party Name:-",'R.M Billets Reports'!D2413)),TRIM('R.M Billets Reports'!F2413),IF(ISNUMBER(SEARCH("Party Name-",'R.M Billets Reports'!D2413)),TRIM(MID('R.M Billets Reports'!D2413,SEARCH("-",'R.M Billets Reports'!D2413)+1,200)),"")),IF(ISNUMBER(SEARCH("Party Name:-",'R.M Billets Reports'!D2414)),TRIM('R.M Billets Reports'!F2414),IF(ISNUMBER(SEARCH("Party Name-",'R.M Billets Reports'!D2414)),TRIM(MID('R.M Billets Reports'!D2414,SEARCH("-",'R.M Billets Reports'!D2414)+1,200)),"")))="SHRI RADHE","SHREE RADHE",IF(IF(IF(ISNUMBER(SEARCH("Party Name:-",'R.M Billets Reports'!D2413)),TRIM('R.M Billets Reports'!F2413),IF(ISNUMBER(SEARCH("Party Name-",'R.M Billets Reports'!D2413)),TRIM(MID('R.M Billets Reports'!D2413,SEARCH("-",'R.M Billets Reports'!D2413)+1,200)),""))&lt;&gt;"",IF(ISNUMBER(SEARCH("Party Name:-",'R.M Billets Reports'!D2413)),TRIM('R.M Billets Reports'!F2413),IF(ISNUMBER(SEARCH("Party Name-",'R.M Billets Reports'!D2413)),TRIM(MID('R.M Billets Reports'!D2413,SEARCH("-",'R.M Billets Reports'!D2413)+1,200)),"")),IF(ISNUMBER(SEARCH("Party Name:-",'R.M Billets Reports'!D2414)),TRIM('R.M Billets Reports'!F2414),IF(ISNUMBER(SEARCH("Party Name-",'R.M Billets Reports'!D2414)),TRIM(MID('R.M Billets Reports'!D2414,SEARCH("-",'R.M Billets Reports'!D2414)+1,200)),"")))="SHREE RADHE SHAKTI SPONGE AND POWER PVT. LTD.","SHREE RADHE",IF(IF(ISNUMBER(SEARCH("Party Name:-",'R.M Billets Reports'!D2413)),TRIM('R.M Billets Reports'!F2413),IF(ISNUMBER(SEARCH("Party Name-",'R.M Billets Reports'!D2413)),TRIM(MID('R.M Billets Reports'!D2413,SEARCH("-",'R.M Billets Reports'!D2413)+1,200)),""))&lt;&gt;"",IF(ISNUMBER(SEARCH("Party Name:-",'R.M Billets Reports'!D2413)),TRIM('R.M Billets Reports'!F2413),IF(ISNUMBER(SEARCH("Party Name-",'R.M Billets Reports'!D2413)),TRIM(MID('R.M Billets Reports'!D2413,SEARCH("-",'R.M Billets Reports'!D2413)+1,200)),"")),IF(ISNUMBER(SEARCH("Party Name:-",'R.M Billets Reports'!D2414)),TRIM('R.M Billets Reports'!F2414),IF(ISNUMBER(SEARCH("Party Name-",'R.M Billets Reports'!D2414)),TRIM(MID('R.M Billets Reports'!D2414,SEARCH("-",'R.M Billets Reports'!D2414)+1,200)),"")))))),IF(ROW()=2,"",A2413))</f>
      </c>
      <c r="B2414">
        <f>IF(OR('R.M Billets Reports'!A2413="Date-",'R.M Billets Reports'!A2413="Date:-"),'R.M Billets Reports'!B2413,IF(ROW()=2,"",B2413))</f>
      </c>
      <c r="C2414">
        <f>IF('R.M Billets Reports'!A2413="V.No.",'R.M Billets Reports'!B2413,IF(ROW()=2,"",C2413))</f>
      </c>
      <c r="D2414">
        <f>IF('R.M Billets Reports'!A2413&lt;&gt;"",'R.M Billets Reports'!A2413,IF(ROW()=2,"",D2413))</f>
      </c>
      <c r="E2414">
        <f>IF('R.M Billets Reports'!B2413="","",TRIM('R.M Billets Reports'!B2413))</f>
      </c>
      <c r="F2414">
        <f>'R.M Billets Reports'!C2413</f>
      </c>
      <c r="G2414">
        <f>'R.M Billets Reports'!D2413</f>
      </c>
      <c r="H2414">
        <f>'R.M Billets Reports'!E2413</f>
      </c>
      <c r="I2414">
        <f>'R.M Billets Reports'!F2413</f>
      </c>
      <c r="J2414">
        <f>'R.M Billets Reports'!G2413</f>
      </c>
      <c r="K2414">
        <f>'R.M Billets Reports'!H2413</f>
      </c>
      <c r="L2414">
        <f>IF('R.M Billets Reports'!I2413="","",'R.M Billets Reports'!I2413)</f>
      </c>
      <c r="M2414">
        <f t="shared" si="74"/>
      </c>
      <c r="N2414">
        <f>IF('R.M Billets Reports'!J2413="","",'R.M Billets Reports'!J2413)</f>
      </c>
      <c r="O2414">
        <f t="shared" si="75"/>
      </c>
      <c r="P2414">
        <f>IF('R.M Billets Reports'!A2413="SIZE",'R.M Billets Reports'!B2413,P2413)</f>
      </c>
    </row>
    <row r="2415" spans="1:16" x14ac:dyDescent="0.25">
      <c r="A2415">
        <f>IF(OR('R.M Billets Reports'!A2414="Date-",'R.M Billets Reports'!A2414="Date:-"),IF(IF(IF(ISNUMBER(SEARCH("Party Name:-",'R.M Billets Reports'!D2414)),TRIM('R.M Billets Reports'!F2414),IF(ISNUMBER(SEARCH("Party Name-",'R.M Billets Reports'!D2414)),TRIM(MID('R.M Billets Reports'!D2414,SEARCH("-",'R.M Billets Reports'!D2414)+1,200)),""))&lt;&gt;"",IF(ISNUMBER(SEARCH("Party Name:-",'R.M Billets Reports'!D2414)),TRIM('R.M Billets Reports'!F2414),IF(ISNUMBER(SEARCH("Party Name-",'R.M Billets Reports'!D2414)),TRIM(MID('R.M Billets Reports'!D2414,SEARCH("-",'R.M Billets Reports'!D2414)+1,200)),"")),IF(ISNUMBER(SEARCH("Party Name:-",'R.M Billets Reports'!D2415)),TRIM('R.M Billets Reports'!F2415),IF(ISNUMBER(SEARCH("Party Name-",'R.M Billets Reports'!D2415)),TRIM(MID('R.M Billets Reports'!D2415,SEARCH("-",'R.M Billets Reports'!D2415)+1,200)),"")))="VRKP ISPAT PVT LTD","VRKP",IF(IF(IF(ISNUMBER(SEARCH("Party Name:-",'R.M Billets Reports'!D2414)),TRIM('R.M Billets Reports'!F2414),IF(ISNUMBER(SEARCH("Party Name-",'R.M Billets Reports'!D2414)),TRIM(MID('R.M Billets Reports'!D2414,SEARCH("-",'R.M Billets Reports'!D2414)+1,200)),""))&lt;&gt;"",IF(ISNUMBER(SEARCH("Party Name:-",'R.M Billets Reports'!D2414)),TRIM('R.M Billets Reports'!F2414),IF(ISNUMBER(SEARCH("Party Name-",'R.M Billets Reports'!D2414)),TRIM(MID('R.M Billets Reports'!D2414,SEARCH("-",'R.M Billets Reports'!D2414)+1,200)),"")),IF(ISNUMBER(SEARCH("Party Name:-",'R.M Billets Reports'!D2415)),TRIM('R.M Billets Reports'!F2415),IF(ISNUMBER(SEARCH("Party Name-",'R.M Billets Reports'!D2415)),TRIM(MID('R.M Billets Reports'!D2415,SEARCH("-",'R.M Billets Reports'!D2415)+1,200)),"")))="SHRI RADHE","SHREE RADHE",IF(IF(IF(ISNUMBER(SEARCH("Party Name:-",'R.M Billets Reports'!D2414)),TRIM('R.M Billets Reports'!F2414),IF(ISNUMBER(SEARCH("Party Name-",'R.M Billets Reports'!D2414)),TRIM(MID('R.M Billets Reports'!D2414,SEARCH("-",'R.M Billets Reports'!D2414)+1,200)),""))&lt;&gt;"",IF(ISNUMBER(SEARCH("Party Name:-",'R.M Billets Reports'!D2414)),TRIM('R.M Billets Reports'!F2414),IF(ISNUMBER(SEARCH("Party Name-",'R.M Billets Reports'!D2414)),TRIM(MID('R.M Billets Reports'!D2414,SEARCH("-",'R.M Billets Reports'!D2414)+1,200)),"")),IF(ISNUMBER(SEARCH("Party Name:-",'R.M Billets Reports'!D2415)),TRIM('R.M Billets Reports'!F2415),IF(ISNUMBER(SEARCH("Party Name-",'R.M Billets Reports'!D2415)),TRIM(MID('R.M Billets Reports'!D2415,SEARCH("-",'R.M Billets Reports'!D2415)+1,200)),"")))="SHREE RADHE SHAKTI SPONGE AND POWER PVT. LTD.","SHREE RADHE",IF(IF(ISNUMBER(SEARCH("Party Name:-",'R.M Billets Reports'!D2414)),TRIM('R.M Billets Reports'!F2414),IF(ISNUMBER(SEARCH("Party Name-",'R.M Billets Reports'!D2414)),TRIM(MID('R.M Billets Reports'!D2414,SEARCH("-",'R.M Billets Reports'!D2414)+1,200)),""))&lt;&gt;"",IF(ISNUMBER(SEARCH("Party Name:-",'R.M Billets Reports'!D2414)),TRIM('R.M Billets Reports'!F2414),IF(ISNUMBER(SEARCH("Party Name-",'R.M Billets Reports'!D2414)),TRIM(MID('R.M Billets Reports'!D2414,SEARCH("-",'R.M Billets Reports'!D2414)+1,200)),"")),IF(ISNUMBER(SEARCH("Party Name:-",'R.M Billets Reports'!D2415)),TRIM('R.M Billets Reports'!F2415),IF(ISNUMBER(SEARCH("Party Name-",'R.M Billets Reports'!D2415)),TRIM(MID('R.M Billets Reports'!D2415,SEARCH("-",'R.M Billets Reports'!D2415)+1,200)),"")))))),IF(ROW()=2,"",A2414))</f>
      </c>
      <c r="B2415">
        <f>IF(OR('R.M Billets Reports'!A2414="Date-",'R.M Billets Reports'!A2414="Date:-"),'R.M Billets Reports'!B2414,IF(ROW()=2,"",B2414))</f>
      </c>
      <c r="C2415">
        <f>IF('R.M Billets Reports'!A2414="V.No.",'R.M Billets Reports'!B2414,IF(ROW()=2,"",C2414))</f>
      </c>
      <c r="D2415">
        <f>IF('R.M Billets Reports'!A2414&lt;&gt;"",'R.M Billets Reports'!A2414,IF(ROW()=2,"",D2414))</f>
      </c>
      <c r="E2415">
        <f>IF('R.M Billets Reports'!B2414="","",TRIM('R.M Billets Reports'!B2414))</f>
      </c>
      <c r="F2415">
        <f>'R.M Billets Reports'!C2414</f>
      </c>
      <c r="G2415">
        <f>'R.M Billets Reports'!D2414</f>
      </c>
      <c r="H2415">
        <f>'R.M Billets Reports'!E2414</f>
      </c>
      <c r="I2415">
        <f>'R.M Billets Reports'!F2414</f>
      </c>
      <c r="J2415">
        <f>'R.M Billets Reports'!G2414</f>
      </c>
      <c r="K2415">
        <f>'R.M Billets Reports'!H2414</f>
      </c>
      <c r="L2415">
        <f>IF('R.M Billets Reports'!I2414="","",'R.M Billets Reports'!I2414)</f>
      </c>
      <c r="M2415">
        <f t="shared" si="74"/>
      </c>
      <c r="N2415">
        <f>IF('R.M Billets Reports'!J2414="","",'R.M Billets Reports'!J2414)</f>
      </c>
      <c r="O2415">
        <f t="shared" si="75"/>
      </c>
      <c r="P2415">
        <f>IF('R.M Billets Reports'!A2414="SIZE",'R.M Billets Reports'!B2414,P2414)</f>
      </c>
    </row>
    <row r="2416" spans="1:16" x14ac:dyDescent="0.25">
      <c r="A2416">
        <f>IF(OR('R.M Billets Reports'!A2415="Date-",'R.M Billets Reports'!A2415="Date:-"),IF(IF(IF(ISNUMBER(SEARCH("Party Name:-",'R.M Billets Reports'!D2415)),TRIM('R.M Billets Reports'!F2415),IF(ISNUMBER(SEARCH("Party Name-",'R.M Billets Reports'!D2415)),TRIM(MID('R.M Billets Reports'!D2415,SEARCH("-",'R.M Billets Reports'!D2415)+1,200)),""))&lt;&gt;"",IF(ISNUMBER(SEARCH("Party Name:-",'R.M Billets Reports'!D2415)),TRIM('R.M Billets Reports'!F2415),IF(ISNUMBER(SEARCH("Party Name-",'R.M Billets Reports'!D2415)),TRIM(MID('R.M Billets Reports'!D2415,SEARCH("-",'R.M Billets Reports'!D2415)+1,200)),"")),IF(ISNUMBER(SEARCH("Party Name:-",'R.M Billets Reports'!D2416)),TRIM('R.M Billets Reports'!F2416),IF(ISNUMBER(SEARCH("Party Name-",'R.M Billets Reports'!D2416)),TRIM(MID('R.M Billets Reports'!D2416,SEARCH("-",'R.M Billets Reports'!D2416)+1,200)),"")))="VRKP ISPAT PVT LTD","VRKP",IF(IF(IF(ISNUMBER(SEARCH("Party Name:-",'R.M Billets Reports'!D2415)),TRIM('R.M Billets Reports'!F2415),IF(ISNUMBER(SEARCH("Party Name-",'R.M Billets Reports'!D2415)),TRIM(MID('R.M Billets Reports'!D2415,SEARCH("-",'R.M Billets Reports'!D2415)+1,200)),""))&lt;&gt;"",IF(ISNUMBER(SEARCH("Party Name:-",'R.M Billets Reports'!D2415)),TRIM('R.M Billets Reports'!F2415),IF(ISNUMBER(SEARCH("Party Name-",'R.M Billets Reports'!D2415)),TRIM(MID('R.M Billets Reports'!D2415,SEARCH("-",'R.M Billets Reports'!D2415)+1,200)),"")),IF(ISNUMBER(SEARCH("Party Name:-",'R.M Billets Reports'!D2416)),TRIM('R.M Billets Reports'!F2416),IF(ISNUMBER(SEARCH("Party Name-",'R.M Billets Reports'!D2416)),TRIM(MID('R.M Billets Reports'!D2416,SEARCH("-",'R.M Billets Reports'!D2416)+1,200)),"")))="SHRI RADHE","SHREE RADHE",IF(IF(IF(ISNUMBER(SEARCH("Party Name:-",'R.M Billets Reports'!D2415)),TRIM('R.M Billets Reports'!F2415),IF(ISNUMBER(SEARCH("Party Name-",'R.M Billets Reports'!D2415)),TRIM(MID('R.M Billets Reports'!D2415,SEARCH("-",'R.M Billets Reports'!D2415)+1,200)),""))&lt;&gt;"",IF(ISNUMBER(SEARCH("Party Name:-",'R.M Billets Reports'!D2415)),TRIM('R.M Billets Reports'!F2415),IF(ISNUMBER(SEARCH("Party Name-",'R.M Billets Reports'!D2415)),TRIM(MID('R.M Billets Reports'!D2415,SEARCH("-",'R.M Billets Reports'!D2415)+1,200)),"")),IF(ISNUMBER(SEARCH("Party Name:-",'R.M Billets Reports'!D2416)),TRIM('R.M Billets Reports'!F2416),IF(ISNUMBER(SEARCH("Party Name-",'R.M Billets Reports'!D2416)),TRIM(MID('R.M Billets Reports'!D2416,SEARCH("-",'R.M Billets Reports'!D2416)+1,200)),"")))="SHREE RADHE SHAKTI SPONGE AND POWER PVT. LTD.","SHREE RADHE",IF(IF(ISNUMBER(SEARCH("Party Name:-",'R.M Billets Reports'!D2415)),TRIM('R.M Billets Reports'!F2415),IF(ISNUMBER(SEARCH("Party Name-",'R.M Billets Reports'!D2415)),TRIM(MID('R.M Billets Reports'!D2415,SEARCH("-",'R.M Billets Reports'!D2415)+1,200)),""))&lt;&gt;"",IF(ISNUMBER(SEARCH("Party Name:-",'R.M Billets Reports'!D2415)),TRIM('R.M Billets Reports'!F2415),IF(ISNUMBER(SEARCH("Party Name-",'R.M Billets Reports'!D2415)),TRIM(MID('R.M Billets Reports'!D2415,SEARCH("-",'R.M Billets Reports'!D2415)+1,200)),"")),IF(ISNUMBER(SEARCH("Party Name:-",'R.M Billets Reports'!D2416)),TRIM('R.M Billets Reports'!F2416),IF(ISNUMBER(SEARCH("Party Name-",'R.M Billets Reports'!D2416)),TRIM(MID('R.M Billets Reports'!D2416,SEARCH("-",'R.M Billets Reports'!D2416)+1,200)),"")))))),IF(ROW()=2,"",A2415))</f>
      </c>
      <c r="B2416">
        <f>IF(OR('R.M Billets Reports'!A2415="Date-",'R.M Billets Reports'!A2415="Date:-"),'R.M Billets Reports'!B2415,IF(ROW()=2,"",B2415))</f>
      </c>
      <c r="C2416">
        <f>IF('R.M Billets Reports'!A2415="V.No.",'R.M Billets Reports'!B2415,IF(ROW()=2,"",C2415))</f>
      </c>
      <c r="D2416">
        <f>IF('R.M Billets Reports'!A2415&lt;&gt;"",'R.M Billets Reports'!A2415,IF(ROW()=2,"",D2415))</f>
      </c>
      <c r="E2416">
        <f>IF('R.M Billets Reports'!B2415="","",TRIM('R.M Billets Reports'!B2415))</f>
      </c>
      <c r="F2416">
        <f>'R.M Billets Reports'!C2415</f>
      </c>
      <c r="G2416">
        <f>'R.M Billets Reports'!D2415</f>
      </c>
      <c r="H2416">
        <f>'R.M Billets Reports'!E2415</f>
      </c>
      <c r="I2416">
        <f>'R.M Billets Reports'!F2415</f>
      </c>
      <c r="J2416">
        <f>'R.M Billets Reports'!G2415</f>
      </c>
      <c r="K2416">
        <f>'R.M Billets Reports'!H2415</f>
      </c>
      <c r="L2416">
        <f>IF('R.M Billets Reports'!I2415="","",'R.M Billets Reports'!I2415)</f>
      </c>
      <c r="M2416">
        <f t="shared" si="74"/>
      </c>
      <c r="N2416">
        <f>IF('R.M Billets Reports'!J2415="","",'R.M Billets Reports'!J2415)</f>
      </c>
      <c r="O2416">
        <f t="shared" si="75"/>
      </c>
      <c r="P2416">
        <f>IF('R.M Billets Reports'!A2415="SIZE",'R.M Billets Reports'!B2415,P2415)</f>
      </c>
    </row>
    <row r="2417" spans="1:16" x14ac:dyDescent="0.25">
      <c r="A2417">
        <f>IF(OR('R.M Billets Reports'!A2416="Date-",'R.M Billets Reports'!A2416="Date:-"),IF(IF(IF(ISNUMBER(SEARCH("Party Name:-",'R.M Billets Reports'!D2416)),TRIM('R.M Billets Reports'!F2416),IF(ISNUMBER(SEARCH("Party Name-",'R.M Billets Reports'!D2416)),TRIM(MID('R.M Billets Reports'!D2416,SEARCH("-",'R.M Billets Reports'!D2416)+1,200)),""))&lt;&gt;"",IF(ISNUMBER(SEARCH("Party Name:-",'R.M Billets Reports'!D2416)),TRIM('R.M Billets Reports'!F2416),IF(ISNUMBER(SEARCH("Party Name-",'R.M Billets Reports'!D2416)),TRIM(MID('R.M Billets Reports'!D2416,SEARCH("-",'R.M Billets Reports'!D2416)+1,200)),"")),IF(ISNUMBER(SEARCH("Party Name:-",'R.M Billets Reports'!D2417)),TRIM('R.M Billets Reports'!F2417),IF(ISNUMBER(SEARCH("Party Name-",'R.M Billets Reports'!D2417)),TRIM(MID('R.M Billets Reports'!D2417,SEARCH("-",'R.M Billets Reports'!D2417)+1,200)),"")))="VRKP ISPAT PVT LTD","VRKP",IF(IF(IF(ISNUMBER(SEARCH("Party Name:-",'R.M Billets Reports'!D2416)),TRIM('R.M Billets Reports'!F2416),IF(ISNUMBER(SEARCH("Party Name-",'R.M Billets Reports'!D2416)),TRIM(MID('R.M Billets Reports'!D2416,SEARCH("-",'R.M Billets Reports'!D2416)+1,200)),""))&lt;&gt;"",IF(ISNUMBER(SEARCH("Party Name:-",'R.M Billets Reports'!D2416)),TRIM('R.M Billets Reports'!F2416),IF(ISNUMBER(SEARCH("Party Name-",'R.M Billets Reports'!D2416)),TRIM(MID('R.M Billets Reports'!D2416,SEARCH("-",'R.M Billets Reports'!D2416)+1,200)),"")),IF(ISNUMBER(SEARCH("Party Name:-",'R.M Billets Reports'!D2417)),TRIM('R.M Billets Reports'!F2417),IF(ISNUMBER(SEARCH("Party Name-",'R.M Billets Reports'!D2417)),TRIM(MID('R.M Billets Reports'!D2417,SEARCH("-",'R.M Billets Reports'!D2417)+1,200)),"")))="SHRI RADHE","SHREE RADHE",IF(IF(IF(ISNUMBER(SEARCH("Party Name:-",'R.M Billets Reports'!D2416)),TRIM('R.M Billets Reports'!F2416),IF(ISNUMBER(SEARCH("Party Name-",'R.M Billets Reports'!D2416)),TRIM(MID('R.M Billets Reports'!D2416,SEARCH("-",'R.M Billets Reports'!D2416)+1,200)),""))&lt;&gt;"",IF(ISNUMBER(SEARCH("Party Name:-",'R.M Billets Reports'!D2416)),TRIM('R.M Billets Reports'!F2416),IF(ISNUMBER(SEARCH("Party Name-",'R.M Billets Reports'!D2416)),TRIM(MID('R.M Billets Reports'!D2416,SEARCH("-",'R.M Billets Reports'!D2416)+1,200)),"")),IF(ISNUMBER(SEARCH("Party Name:-",'R.M Billets Reports'!D2417)),TRIM('R.M Billets Reports'!F2417),IF(ISNUMBER(SEARCH("Party Name-",'R.M Billets Reports'!D2417)),TRIM(MID('R.M Billets Reports'!D2417,SEARCH("-",'R.M Billets Reports'!D2417)+1,200)),"")))="SHREE RADHE SHAKTI SPONGE AND POWER PVT. LTD.","SHREE RADHE",IF(IF(ISNUMBER(SEARCH("Party Name:-",'R.M Billets Reports'!D2416)),TRIM('R.M Billets Reports'!F2416),IF(ISNUMBER(SEARCH("Party Name-",'R.M Billets Reports'!D2416)),TRIM(MID('R.M Billets Reports'!D2416,SEARCH("-",'R.M Billets Reports'!D2416)+1,200)),""))&lt;&gt;"",IF(ISNUMBER(SEARCH("Party Name:-",'R.M Billets Reports'!D2416)),TRIM('R.M Billets Reports'!F2416),IF(ISNUMBER(SEARCH("Party Name-",'R.M Billets Reports'!D2416)),TRIM(MID('R.M Billets Reports'!D2416,SEARCH("-",'R.M Billets Reports'!D2416)+1,200)),"")),IF(ISNUMBER(SEARCH("Party Name:-",'R.M Billets Reports'!D2417)),TRIM('R.M Billets Reports'!F2417),IF(ISNUMBER(SEARCH("Party Name-",'R.M Billets Reports'!D2417)),TRIM(MID('R.M Billets Reports'!D2417,SEARCH("-",'R.M Billets Reports'!D2417)+1,200)),"")))))),IF(ROW()=2,"",A2416))</f>
      </c>
      <c r="B2417">
        <f>IF(OR('R.M Billets Reports'!A2416="Date-",'R.M Billets Reports'!A2416="Date:-"),'R.M Billets Reports'!B2416,IF(ROW()=2,"",B2416))</f>
      </c>
      <c r="C2417">
        <f>IF('R.M Billets Reports'!A2416="V.No.",'R.M Billets Reports'!B2416,IF(ROW()=2,"",C2416))</f>
      </c>
      <c r="D2417">
        <f>IF('R.M Billets Reports'!A2416&lt;&gt;"",'R.M Billets Reports'!A2416,IF(ROW()=2,"",D2416))</f>
      </c>
      <c r="E2417">
        <f>IF('R.M Billets Reports'!B2416="","",TRIM('R.M Billets Reports'!B2416))</f>
      </c>
      <c r="F2417">
        <f>'R.M Billets Reports'!C2416</f>
      </c>
      <c r="G2417">
        <f>'R.M Billets Reports'!D2416</f>
      </c>
      <c r="H2417">
        <f>'R.M Billets Reports'!E2416</f>
      </c>
      <c r="I2417">
        <f>'R.M Billets Reports'!F2416</f>
      </c>
      <c r="J2417">
        <f>'R.M Billets Reports'!G2416</f>
      </c>
      <c r="K2417">
        <f>'R.M Billets Reports'!H2416</f>
      </c>
      <c r="L2417">
        <f>IF('R.M Billets Reports'!I2416="","",'R.M Billets Reports'!I2416)</f>
      </c>
      <c r="M2417">
        <f t="shared" si="74"/>
      </c>
      <c r="N2417">
        <f>IF('R.M Billets Reports'!J2416="","",'R.M Billets Reports'!J2416)</f>
      </c>
      <c r="O2417">
        <f t="shared" si="75"/>
      </c>
      <c r="P2417">
        <f>IF('R.M Billets Reports'!A2416="SIZE",'R.M Billets Reports'!B2416,P2416)</f>
      </c>
    </row>
    <row r="2418" spans="1:16" x14ac:dyDescent="0.25">
      <c r="A2418">
        <f>IF(OR('R.M Billets Reports'!A2417="Date-",'R.M Billets Reports'!A2417="Date:-"),IF(IF(IF(ISNUMBER(SEARCH("Party Name:-",'R.M Billets Reports'!D2417)),TRIM('R.M Billets Reports'!F2417),IF(ISNUMBER(SEARCH("Party Name-",'R.M Billets Reports'!D2417)),TRIM(MID('R.M Billets Reports'!D2417,SEARCH("-",'R.M Billets Reports'!D2417)+1,200)),""))&lt;&gt;"",IF(ISNUMBER(SEARCH("Party Name:-",'R.M Billets Reports'!D2417)),TRIM('R.M Billets Reports'!F2417),IF(ISNUMBER(SEARCH("Party Name-",'R.M Billets Reports'!D2417)),TRIM(MID('R.M Billets Reports'!D2417,SEARCH("-",'R.M Billets Reports'!D2417)+1,200)),"")),IF(ISNUMBER(SEARCH("Party Name:-",'R.M Billets Reports'!D2418)),TRIM('R.M Billets Reports'!F2418),IF(ISNUMBER(SEARCH("Party Name-",'R.M Billets Reports'!D2418)),TRIM(MID('R.M Billets Reports'!D2418,SEARCH("-",'R.M Billets Reports'!D2418)+1,200)),"")))="VRKP ISPAT PVT LTD","VRKP",IF(IF(IF(ISNUMBER(SEARCH("Party Name:-",'R.M Billets Reports'!D2417)),TRIM('R.M Billets Reports'!F2417),IF(ISNUMBER(SEARCH("Party Name-",'R.M Billets Reports'!D2417)),TRIM(MID('R.M Billets Reports'!D2417,SEARCH("-",'R.M Billets Reports'!D2417)+1,200)),""))&lt;&gt;"",IF(ISNUMBER(SEARCH("Party Name:-",'R.M Billets Reports'!D2417)),TRIM('R.M Billets Reports'!F2417),IF(ISNUMBER(SEARCH("Party Name-",'R.M Billets Reports'!D2417)),TRIM(MID('R.M Billets Reports'!D2417,SEARCH("-",'R.M Billets Reports'!D2417)+1,200)),"")),IF(ISNUMBER(SEARCH("Party Name:-",'R.M Billets Reports'!D2418)),TRIM('R.M Billets Reports'!F2418),IF(ISNUMBER(SEARCH("Party Name-",'R.M Billets Reports'!D2418)),TRIM(MID('R.M Billets Reports'!D2418,SEARCH("-",'R.M Billets Reports'!D2418)+1,200)),"")))="SHRI RADHE","SHREE RADHE",IF(IF(IF(ISNUMBER(SEARCH("Party Name:-",'R.M Billets Reports'!D2417)),TRIM('R.M Billets Reports'!F2417),IF(ISNUMBER(SEARCH("Party Name-",'R.M Billets Reports'!D2417)),TRIM(MID('R.M Billets Reports'!D2417,SEARCH("-",'R.M Billets Reports'!D2417)+1,200)),""))&lt;&gt;"",IF(ISNUMBER(SEARCH("Party Name:-",'R.M Billets Reports'!D2417)),TRIM('R.M Billets Reports'!F2417),IF(ISNUMBER(SEARCH("Party Name-",'R.M Billets Reports'!D2417)),TRIM(MID('R.M Billets Reports'!D2417,SEARCH("-",'R.M Billets Reports'!D2417)+1,200)),"")),IF(ISNUMBER(SEARCH("Party Name:-",'R.M Billets Reports'!D2418)),TRIM('R.M Billets Reports'!F2418),IF(ISNUMBER(SEARCH("Party Name-",'R.M Billets Reports'!D2418)),TRIM(MID('R.M Billets Reports'!D2418,SEARCH("-",'R.M Billets Reports'!D2418)+1,200)),"")))="SHREE RADHE SHAKTI SPONGE AND POWER PVT. LTD.","SHREE RADHE",IF(IF(ISNUMBER(SEARCH("Party Name:-",'R.M Billets Reports'!D2417)),TRIM('R.M Billets Reports'!F2417),IF(ISNUMBER(SEARCH("Party Name-",'R.M Billets Reports'!D2417)),TRIM(MID('R.M Billets Reports'!D2417,SEARCH("-",'R.M Billets Reports'!D2417)+1,200)),""))&lt;&gt;"",IF(ISNUMBER(SEARCH("Party Name:-",'R.M Billets Reports'!D2417)),TRIM('R.M Billets Reports'!F2417),IF(ISNUMBER(SEARCH("Party Name-",'R.M Billets Reports'!D2417)),TRIM(MID('R.M Billets Reports'!D2417,SEARCH("-",'R.M Billets Reports'!D2417)+1,200)),"")),IF(ISNUMBER(SEARCH("Party Name:-",'R.M Billets Reports'!D2418)),TRIM('R.M Billets Reports'!F2418),IF(ISNUMBER(SEARCH("Party Name-",'R.M Billets Reports'!D2418)),TRIM(MID('R.M Billets Reports'!D2418,SEARCH("-",'R.M Billets Reports'!D2418)+1,200)),"")))))),IF(ROW()=2,"",A2417))</f>
      </c>
      <c r="B2418">
        <f>IF(OR('R.M Billets Reports'!A2417="Date-",'R.M Billets Reports'!A2417="Date:-"),'R.M Billets Reports'!B2417,IF(ROW()=2,"",B2417))</f>
      </c>
      <c r="C2418">
        <f>IF('R.M Billets Reports'!A2417="V.No.",'R.M Billets Reports'!B2417,IF(ROW()=2,"",C2417))</f>
      </c>
      <c r="D2418">
        <f>IF('R.M Billets Reports'!A2417&lt;&gt;"",'R.M Billets Reports'!A2417,IF(ROW()=2,"",D2417))</f>
      </c>
      <c r="E2418">
        <f>IF('R.M Billets Reports'!B2417="","",TRIM('R.M Billets Reports'!B2417))</f>
      </c>
      <c r="F2418">
        <f>'R.M Billets Reports'!C2417</f>
      </c>
      <c r="G2418">
        <f>'R.M Billets Reports'!D2417</f>
      </c>
      <c r="H2418">
        <f>'R.M Billets Reports'!E2417</f>
      </c>
      <c r="I2418">
        <f>'R.M Billets Reports'!F2417</f>
      </c>
      <c r="J2418">
        <f>'R.M Billets Reports'!G2417</f>
      </c>
      <c r="K2418">
        <f>'R.M Billets Reports'!H2417</f>
      </c>
      <c r="L2418">
        <f>IF('R.M Billets Reports'!I2417="","",'R.M Billets Reports'!I2417)</f>
      </c>
      <c r="M2418">
        <f t="shared" si="74"/>
      </c>
      <c r="N2418">
        <f>IF('R.M Billets Reports'!J2417="","",'R.M Billets Reports'!J2417)</f>
      </c>
      <c r="O2418">
        <f t="shared" si="75"/>
      </c>
      <c r="P2418">
        <f>IF('R.M Billets Reports'!A2417="SIZE",'R.M Billets Reports'!B2417,P2417)</f>
      </c>
    </row>
    <row r="2419" spans="1:16" x14ac:dyDescent="0.25">
      <c r="A2419">
        <f>IF(OR('R.M Billets Reports'!A2418="Date-",'R.M Billets Reports'!A2418="Date:-"),IF(IF(IF(ISNUMBER(SEARCH("Party Name:-",'R.M Billets Reports'!D2418)),TRIM('R.M Billets Reports'!F2418),IF(ISNUMBER(SEARCH("Party Name-",'R.M Billets Reports'!D2418)),TRIM(MID('R.M Billets Reports'!D2418,SEARCH("-",'R.M Billets Reports'!D2418)+1,200)),""))&lt;&gt;"",IF(ISNUMBER(SEARCH("Party Name:-",'R.M Billets Reports'!D2418)),TRIM('R.M Billets Reports'!F2418),IF(ISNUMBER(SEARCH("Party Name-",'R.M Billets Reports'!D2418)),TRIM(MID('R.M Billets Reports'!D2418,SEARCH("-",'R.M Billets Reports'!D2418)+1,200)),"")),IF(ISNUMBER(SEARCH("Party Name:-",'R.M Billets Reports'!D2419)),TRIM('R.M Billets Reports'!F2419),IF(ISNUMBER(SEARCH("Party Name-",'R.M Billets Reports'!D2419)),TRIM(MID('R.M Billets Reports'!D2419,SEARCH("-",'R.M Billets Reports'!D2419)+1,200)),"")))="VRKP ISPAT PVT LTD","VRKP",IF(IF(IF(ISNUMBER(SEARCH("Party Name:-",'R.M Billets Reports'!D2418)),TRIM('R.M Billets Reports'!F2418),IF(ISNUMBER(SEARCH("Party Name-",'R.M Billets Reports'!D2418)),TRIM(MID('R.M Billets Reports'!D2418,SEARCH("-",'R.M Billets Reports'!D2418)+1,200)),""))&lt;&gt;"",IF(ISNUMBER(SEARCH("Party Name:-",'R.M Billets Reports'!D2418)),TRIM('R.M Billets Reports'!F2418),IF(ISNUMBER(SEARCH("Party Name-",'R.M Billets Reports'!D2418)),TRIM(MID('R.M Billets Reports'!D2418,SEARCH("-",'R.M Billets Reports'!D2418)+1,200)),"")),IF(ISNUMBER(SEARCH("Party Name:-",'R.M Billets Reports'!D2419)),TRIM('R.M Billets Reports'!F2419),IF(ISNUMBER(SEARCH("Party Name-",'R.M Billets Reports'!D2419)),TRIM(MID('R.M Billets Reports'!D2419,SEARCH("-",'R.M Billets Reports'!D2419)+1,200)),"")))="SHRI RADHE","SHREE RADHE",IF(IF(IF(ISNUMBER(SEARCH("Party Name:-",'R.M Billets Reports'!D2418)),TRIM('R.M Billets Reports'!F2418),IF(ISNUMBER(SEARCH("Party Name-",'R.M Billets Reports'!D2418)),TRIM(MID('R.M Billets Reports'!D2418,SEARCH("-",'R.M Billets Reports'!D2418)+1,200)),""))&lt;&gt;"",IF(ISNUMBER(SEARCH("Party Name:-",'R.M Billets Reports'!D2418)),TRIM('R.M Billets Reports'!F2418),IF(ISNUMBER(SEARCH("Party Name-",'R.M Billets Reports'!D2418)),TRIM(MID('R.M Billets Reports'!D2418,SEARCH("-",'R.M Billets Reports'!D2418)+1,200)),"")),IF(ISNUMBER(SEARCH("Party Name:-",'R.M Billets Reports'!D2419)),TRIM('R.M Billets Reports'!F2419),IF(ISNUMBER(SEARCH("Party Name-",'R.M Billets Reports'!D2419)),TRIM(MID('R.M Billets Reports'!D2419,SEARCH("-",'R.M Billets Reports'!D2419)+1,200)),"")))="SHREE RADHE SHAKTI SPONGE AND POWER PVT. LTD.","SHREE RADHE",IF(IF(ISNUMBER(SEARCH("Party Name:-",'R.M Billets Reports'!D2418)),TRIM('R.M Billets Reports'!F2418),IF(ISNUMBER(SEARCH("Party Name-",'R.M Billets Reports'!D2418)),TRIM(MID('R.M Billets Reports'!D2418,SEARCH("-",'R.M Billets Reports'!D2418)+1,200)),""))&lt;&gt;"",IF(ISNUMBER(SEARCH("Party Name:-",'R.M Billets Reports'!D2418)),TRIM('R.M Billets Reports'!F2418),IF(ISNUMBER(SEARCH("Party Name-",'R.M Billets Reports'!D2418)),TRIM(MID('R.M Billets Reports'!D2418,SEARCH("-",'R.M Billets Reports'!D2418)+1,200)),"")),IF(ISNUMBER(SEARCH("Party Name:-",'R.M Billets Reports'!D2419)),TRIM('R.M Billets Reports'!F2419),IF(ISNUMBER(SEARCH("Party Name-",'R.M Billets Reports'!D2419)),TRIM(MID('R.M Billets Reports'!D2419,SEARCH("-",'R.M Billets Reports'!D2419)+1,200)),"")))))),IF(ROW()=2,"",A2418))</f>
      </c>
      <c r="B2419">
        <f>IF(OR('R.M Billets Reports'!A2418="Date-",'R.M Billets Reports'!A2418="Date:-"),'R.M Billets Reports'!B2418,IF(ROW()=2,"",B2418))</f>
      </c>
      <c r="C2419">
        <f>IF('R.M Billets Reports'!A2418="V.No.",'R.M Billets Reports'!B2418,IF(ROW()=2,"",C2418))</f>
      </c>
      <c r="D2419">
        <f>IF('R.M Billets Reports'!A2418&lt;&gt;"",'R.M Billets Reports'!A2418,IF(ROW()=2,"",D2418))</f>
      </c>
      <c r="E2419">
        <f>IF('R.M Billets Reports'!B2418="","",TRIM('R.M Billets Reports'!B2418))</f>
      </c>
      <c r="F2419">
        <f>'R.M Billets Reports'!C2418</f>
      </c>
      <c r="G2419">
        <f>'R.M Billets Reports'!D2418</f>
      </c>
      <c r="H2419">
        <f>'R.M Billets Reports'!E2418</f>
      </c>
      <c r="I2419">
        <f>'R.M Billets Reports'!F2418</f>
      </c>
      <c r="J2419">
        <f>'R.M Billets Reports'!G2418</f>
      </c>
      <c r="K2419">
        <f>'R.M Billets Reports'!H2418</f>
      </c>
      <c r="L2419">
        <f>IF('R.M Billets Reports'!I2418="","",'R.M Billets Reports'!I2418)</f>
      </c>
      <c r="M2419">
        <f t="shared" si="74"/>
      </c>
      <c r="N2419">
        <f>IF('R.M Billets Reports'!J2418="","",'R.M Billets Reports'!J2418)</f>
      </c>
      <c r="O2419">
        <f t="shared" si="75"/>
      </c>
      <c r="P2419">
        <f>IF('R.M Billets Reports'!A2418="SIZE",'R.M Billets Reports'!B2418,P2418)</f>
      </c>
    </row>
    <row r="2420" spans="1:16" x14ac:dyDescent="0.25">
      <c r="A2420">
        <f>IF(OR('R.M Billets Reports'!A2419="Date-",'R.M Billets Reports'!A2419="Date:-"),IF(IF(IF(ISNUMBER(SEARCH("Party Name:-",'R.M Billets Reports'!D2419)),TRIM('R.M Billets Reports'!F2419),IF(ISNUMBER(SEARCH("Party Name-",'R.M Billets Reports'!D2419)),TRIM(MID('R.M Billets Reports'!D2419,SEARCH("-",'R.M Billets Reports'!D2419)+1,200)),""))&lt;&gt;"",IF(ISNUMBER(SEARCH("Party Name:-",'R.M Billets Reports'!D2419)),TRIM('R.M Billets Reports'!F2419),IF(ISNUMBER(SEARCH("Party Name-",'R.M Billets Reports'!D2419)),TRIM(MID('R.M Billets Reports'!D2419,SEARCH("-",'R.M Billets Reports'!D2419)+1,200)),"")),IF(ISNUMBER(SEARCH("Party Name:-",'R.M Billets Reports'!D2420)),TRIM('R.M Billets Reports'!F2420),IF(ISNUMBER(SEARCH("Party Name-",'R.M Billets Reports'!D2420)),TRIM(MID('R.M Billets Reports'!D2420,SEARCH("-",'R.M Billets Reports'!D2420)+1,200)),"")))="VRKP ISPAT PVT LTD","VRKP",IF(IF(IF(ISNUMBER(SEARCH("Party Name:-",'R.M Billets Reports'!D2419)),TRIM('R.M Billets Reports'!F2419),IF(ISNUMBER(SEARCH("Party Name-",'R.M Billets Reports'!D2419)),TRIM(MID('R.M Billets Reports'!D2419,SEARCH("-",'R.M Billets Reports'!D2419)+1,200)),""))&lt;&gt;"",IF(ISNUMBER(SEARCH("Party Name:-",'R.M Billets Reports'!D2419)),TRIM('R.M Billets Reports'!F2419),IF(ISNUMBER(SEARCH("Party Name-",'R.M Billets Reports'!D2419)),TRIM(MID('R.M Billets Reports'!D2419,SEARCH("-",'R.M Billets Reports'!D2419)+1,200)),"")),IF(ISNUMBER(SEARCH("Party Name:-",'R.M Billets Reports'!D2420)),TRIM('R.M Billets Reports'!F2420),IF(ISNUMBER(SEARCH("Party Name-",'R.M Billets Reports'!D2420)),TRIM(MID('R.M Billets Reports'!D2420,SEARCH("-",'R.M Billets Reports'!D2420)+1,200)),"")))="SHRI RADHE","SHREE RADHE",IF(IF(IF(ISNUMBER(SEARCH("Party Name:-",'R.M Billets Reports'!D2419)),TRIM('R.M Billets Reports'!F2419),IF(ISNUMBER(SEARCH("Party Name-",'R.M Billets Reports'!D2419)),TRIM(MID('R.M Billets Reports'!D2419,SEARCH("-",'R.M Billets Reports'!D2419)+1,200)),""))&lt;&gt;"",IF(ISNUMBER(SEARCH("Party Name:-",'R.M Billets Reports'!D2419)),TRIM('R.M Billets Reports'!F2419),IF(ISNUMBER(SEARCH("Party Name-",'R.M Billets Reports'!D2419)),TRIM(MID('R.M Billets Reports'!D2419,SEARCH("-",'R.M Billets Reports'!D2419)+1,200)),"")),IF(ISNUMBER(SEARCH("Party Name:-",'R.M Billets Reports'!D2420)),TRIM('R.M Billets Reports'!F2420),IF(ISNUMBER(SEARCH("Party Name-",'R.M Billets Reports'!D2420)),TRIM(MID('R.M Billets Reports'!D2420,SEARCH("-",'R.M Billets Reports'!D2420)+1,200)),"")))="SHREE RADHE SHAKTI SPONGE AND POWER PVT. LTD.","SHREE RADHE",IF(IF(ISNUMBER(SEARCH("Party Name:-",'R.M Billets Reports'!D2419)),TRIM('R.M Billets Reports'!F2419),IF(ISNUMBER(SEARCH("Party Name-",'R.M Billets Reports'!D2419)),TRIM(MID('R.M Billets Reports'!D2419,SEARCH("-",'R.M Billets Reports'!D2419)+1,200)),""))&lt;&gt;"",IF(ISNUMBER(SEARCH("Party Name:-",'R.M Billets Reports'!D2419)),TRIM('R.M Billets Reports'!F2419),IF(ISNUMBER(SEARCH("Party Name-",'R.M Billets Reports'!D2419)),TRIM(MID('R.M Billets Reports'!D2419,SEARCH("-",'R.M Billets Reports'!D2419)+1,200)),"")),IF(ISNUMBER(SEARCH("Party Name:-",'R.M Billets Reports'!D2420)),TRIM('R.M Billets Reports'!F2420),IF(ISNUMBER(SEARCH("Party Name-",'R.M Billets Reports'!D2420)),TRIM(MID('R.M Billets Reports'!D2420,SEARCH("-",'R.M Billets Reports'!D2420)+1,200)),"")))))),IF(ROW()=2,"",A2419))</f>
      </c>
      <c r="B2420">
        <f>IF(OR('R.M Billets Reports'!A2419="Date-",'R.M Billets Reports'!A2419="Date:-"),'R.M Billets Reports'!B2419,IF(ROW()=2,"",B2419))</f>
      </c>
      <c r="C2420">
        <f>IF('R.M Billets Reports'!A2419="V.No.",'R.M Billets Reports'!B2419,IF(ROW()=2,"",C2419))</f>
      </c>
      <c r="D2420">
        <f>IF('R.M Billets Reports'!A2419&lt;&gt;"",'R.M Billets Reports'!A2419,IF(ROW()=2,"",D2419))</f>
      </c>
      <c r="E2420">
        <f>IF('R.M Billets Reports'!B2419="","",TRIM('R.M Billets Reports'!B2419))</f>
      </c>
      <c r="F2420">
        <f>'R.M Billets Reports'!C2419</f>
      </c>
      <c r="G2420">
        <f>'R.M Billets Reports'!D2419</f>
      </c>
      <c r="H2420">
        <f>'R.M Billets Reports'!E2419</f>
      </c>
      <c r="I2420">
        <f>'R.M Billets Reports'!F2419</f>
      </c>
      <c r="J2420">
        <f>'R.M Billets Reports'!G2419</f>
      </c>
      <c r="K2420">
        <f>'R.M Billets Reports'!H2419</f>
      </c>
      <c r="L2420">
        <f>IF('R.M Billets Reports'!I2419="","",'R.M Billets Reports'!I2419)</f>
      </c>
      <c r="M2420">
        <f t="shared" si="74"/>
      </c>
      <c r="N2420">
        <f>IF('R.M Billets Reports'!J2419="","",'R.M Billets Reports'!J2419)</f>
      </c>
      <c r="O2420">
        <f t="shared" si="75"/>
      </c>
      <c r="P2420">
        <f>IF('R.M Billets Reports'!A2419="SIZE",'R.M Billets Reports'!B2419,P2419)</f>
      </c>
    </row>
    <row r="2421" spans="1:16" x14ac:dyDescent="0.25">
      <c r="A2421">
        <f>IF(OR('R.M Billets Reports'!A2420="Date-",'R.M Billets Reports'!A2420="Date:-"),IF(IF(IF(ISNUMBER(SEARCH("Party Name:-",'R.M Billets Reports'!D2420)),TRIM('R.M Billets Reports'!F2420),IF(ISNUMBER(SEARCH("Party Name-",'R.M Billets Reports'!D2420)),TRIM(MID('R.M Billets Reports'!D2420,SEARCH("-",'R.M Billets Reports'!D2420)+1,200)),""))&lt;&gt;"",IF(ISNUMBER(SEARCH("Party Name:-",'R.M Billets Reports'!D2420)),TRIM('R.M Billets Reports'!F2420),IF(ISNUMBER(SEARCH("Party Name-",'R.M Billets Reports'!D2420)),TRIM(MID('R.M Billets Reports'!D2420,SEARCH("-",'R.M Billets Reports'!D2420)+1,200)),"")),IF(ISNUMBER(SEARCH("Party Name:-",'R.M Billets Reports'!D2421)),TRIM('R.M Billets Reports'!F2421),IF(ISNUMBER(SEARCH("Party Name-",'R.M Billets Reports'!D2421)),TRIM(MID('R.M Billets Reports'!D2421,SEARCH("-",'R.M Billets Reports'!D2421)+1,200)),"")))="VRKP ISPAT PVT LTD","VRKP",IF(IF(IF(ISNUMBER(SEARCH("Party Name:-",'R.M Billets Reports'!D2420)),TRIM('R.M Billets Reports'!F2420),IF(ISNUMBER(SEARCH("Party Name-",'R.M Billets Reports'!D2420)),TRIM(MID('R.M Billets Reports'!D2420,SEARCH("-",'R.M Billets Reports'!D2420)+1,200)),""))&lt;&gt;"",IF(ISNUMBER(SEARCH("Party Name:-",'R.M Billets Reports'!D2420)),TRIM('R.M Billets Reports'!F2420),IF(ISNUMBER(SEARCH("Party Name-",'R.M Billets Reports'!D2420)),TRIM(MID('R.M Billets Reports'!D2420,SEARCH("-",'R.M Billets Reports'!D2420)+1,200)),"")),IF(ISNUMBER(SEARCH("Party Name:-",'R.M Billets Reports'!D2421)),TRIM('R.M Billets Reports'!F2421),IF(ISNUMBER(SEARCH("Party Name-",'R.M Billets Reports'!D2421)),TRIM(MID('R.M Billets Reports'!D2421,SEARCH("-",'R.M Billets Reports'!D2421)+1,200)),"")))="SHRI RADHE","SHREE RADHE",IF(IF(IF(ISNUMBER(SEARCH("Party Name:-",'R.M Billets Reports'!D2420)),TRIM('R.M Billets Reports'!F2420),IF(ISNUMBER(SEARCH("Party Name-",'R.M Billets Reports'!D2420)),TRIM(MID('R.M Billets Reports'!D2420,SEARCH("-",'R.M Billets Reports'!D2420)+1,200)),""))&lt;&gt;"",IF(ISNUMBER(SEARCH("Party Name:-",'R.M Billets Reports'!D2420)),TRIM('R.M Billets Reports'!F2420),IF(ISNUMBER(SEARCH("Party Name-",'R.M Billets Reports'!D2420)),TRIM(MID('R.M Billets Reports'!D2420,SEARCH("-",'R.M Billets Reports'!D2420)+1,200)),"")),IF(ISNUMBER(SEARCH("Party Name:-",'R.M Billets Reports'!D2421)),TRIM('R.M Billets Reports'!F2421),IF(ISNUMBER(SEARCH("Party Name-",'R.M Billets Reports'!D2421)),TRIM(MID('R.M Billets Reports'!D2421,SEARCH("-",'R.M Billets Reports'!D2421)+1,200)),"")))="SHREE RADHE SHAKTI SPONGE AND POWER PVT. LTD.","SHREE RADHE",IF(IF(ISNUMBER(SEARCH("Party Name:-",'R.M Billets Reports'!D2420)),TRIM('R.M Billets Reports'!F2420),IF(ISNUMBER(SEARCH("Party Name-",'R.M Billets Reports'!D2420)),TRIM(MID('R.M Billets Reports'!D2420,SEARCH("-",'R.M Billets Reports'!D2420)+1,200)),""))&lt;&gt;"",IF(ISNUMBER(SEARCH("Party Name:-",'R.M Billets Reports'!D2420)),TRIM('R.M Billets Reports'!F2420),IF(ISNUMBER(SEARCH("Party Name-",'R.M Billets Reports'!D2420)),TRIM(MID('R.M Billets Reports'!D2420,SEARCH("-",'R.M Billets Reports'!D2420)+1,200)),"")),IF(ISNUMBER(SEARCH("Party Name:-",'R.M Billets Reports'!D2421)),TRIM('R.M Billets Reports'!F2421),IF(ISNUMBER(SEARCH("Party Name-",'R.M Billets Reports'!D2421)),TRIM(MID('R.M Billets Reports'!D2421,SEARCH("-",'R.M Billets Reports'!D2421)+1,200)),"")))))),IF(ROW()=2,"",A2420))</f>
      </c>
      <c r="B2421">
        <f>IF(OR('R.M Billets Reports'!A2420="Date-",'R.M Billets Reports'!A2420="Date:-"),'R.M Billets Reports'!B2420,IF(ROW()=2,"",B2420))</f>
      </c>
      <c r="C2421">
        <f>IF('R.M Billets Reports'!A2420="V.No.",'R.M Billets Reports'!B2420,IF(ROW()=2,"",C2420))</f>
      </c>
      <c r="D2421">
        <f>IF('R.M Billets Reports'!A2420&lt;&gt;"",'R.M Billets Reports'!A2420,IF(ROW()=2,"",D2420))</f>
      </c>
      <c r="E2421">
        <f>IF('R.M Billets Reports'!B2420="","",TRIM('R.M Billets Reports'!B2420))</f>
      </c>
      <c r="F2421">
        <f>'R.M Billets Reports'!C2420</f>
      </c>
      <c r="G2421">
        <f>'R.M Billets Reports'!D2420</f>
      </c>
      <c r="H2421">
        <f>'R.M Billets Reports'!E2420</f>
      </c>
      <c r="I2421">
        <f>'R.M Billets Reports'!F2420</f>
      </c>
      <c r="J2421">
        <f>'R.M Billets Reports'!G2420</f>
      </c>
      <c r="K2421">
        <f>'R.M Billets Reports'!H2420</f>
      </c>
      <c r="L2421">
        <f>IF('R.M Billets Reports'!I2420="","",'R.M Billets Reports'!I2420)</f>
      </c>
      <c r="M2421">
        <f t="shared" si="74"/>
      </c>
      <c r="N2421">
        <f>IF('R.M Billets Reports'!J2420="","",'R.M Billets Reports'!J2420)</f>
      </c>
      <c r="O2421">
        <f t="shared" si="75"/>
      </c>
      <c r="P2421">
        <f>IF('R.M Billets Reports'!A2420="SIZE",'R.M Billets Reports'!B2420,P2420)</f>
      </c>
    </row>
    <row r="2422" spans="1:16" x14ac:dyDescent="0.25">
      <c r="A2422">
        <f>IF(OR('R.M Billets Reports'!A2421="Date-",'R.M Billets Reports'!A2421="Date:-"),IF(IF(IF(ISNUMBER(SEARCH("Party Name:-",'R.M Billets Reports'!D2421)),TRIM('R.M Billets Reports'!F2421),IF(ISNUMBER(SEARCH("Party Name-",'R.M Billets Reports'!D2421)),TRIM(MID('R.M Billets Reports'!D2421,SEARCH("-",'R.M Billets Reports'!D2421)+1,200)),""))&lt;&gt;"",IF(ISNUMBER(SEARCH("Party Name:-",'R.M Billets Reports'!D2421)),TRIM('R.M Billets Reports'!F2421),IF(ISNUMBER(SEARCH("Party Name-",'R.M Billets Reports'!D2421)),TRIM(MID('R.M Billets Reports'!D2421,SEARCH("-",'R.M Billets Reports'!D2421)+1,200)),"")),IF(ISNUMBER(SEARCH("Party Name:-",'R.M Billets Reports'!D2422)),TRIM('R.M Billets Reports'!F2422),IF(ISNUMBER(SEARCH("Party Name-",'R.M Billets Reports'!D2422)),TRIM(MID('R.M Billets Reports'!D2422,SEARCH("-",'R.M Billets Reports'!D2422)+1,200)),"")))="VRKP ISPAT PVT LTD","VRKP",IF(IF(IF(ISNUMBER(SEARCH("Party Name:-",'R.M Billets Reports'!D2421)),TRIM('R.M Billets Reports'!F2421),IF(ISNUMBER(SEARCH("Party Name-",'R.M Billets Reports'!D2421)),TRIM(MID('R.M Billets Reports'!D2421,SEARCH("-",'R.M Billets Reports'!D2421)+1,200)),""))&lt;&gt;"",IF(ISNUMBER(SEARCH("Party Name:-",'R.M Billets Reports'!D2421)),TRIM('R.M Billets Reports'!F2421),IF(ISNUMBER(SEARCH("Party Name-",'R.M Billets Reports'!D2421)),TRIM(MID('R.M Billets Reports'!D2421,SEARCH("-",'R.M Billets Reports'!D2421)+1,200)),"")),IF(ISNUMBER(SEARCH("Party Name:-",'R.M Billets Reports'!D2422)),TRIM('R.M Billets Reports'!F2422),IF(ISNUMBER(SEARCH("Party Name-",'R.M Billets Reports'!D2422)),TRIM(MID('R.M Billets Reports'!D2422,SEARCH("-",'R.M Billets Reports'!D2422)+1,200)),"")))="SHRI RADHE","SHREE RADHE",IF(IF(IF(ISNUMBER(SEARCH("Party Name:-",'R.M Billets Reports'!D2421)),TRIM('R.M Billets Reports'!F2421),IF(ISNUMBER(SEARCH("Party Name-",'R.M Billets Reports'!D2421)),TRIM(MID('R.M Billets Reports'!D2421,SEARCH("-",'R.M Billets Reports'!D2421)+1,200)),""))&lt;&gt;"",IF(ISNUMBER(SEARCH("Party Name:-",'R.M Billets Reports'!D2421)),TRIM('R.M Billets Reports'!F2421),IF(ISNUMBER(SEARCH("Party Name-",'R.M Billets Reports'!D2421)),TRIM(MID('R.M Billets Reports'!D2421,SEARCH("-",'R.M Billets Reports'!D2421)+1,200)),"")),IF(ISNUMBER(SEARCH("Party Name:-",'R.M Billets Reports'!D2422)),TRIM('R.M Billets Reports'!F2422),IF(ISNUMBER(SEARCH("Party Name-",'R.M Billets Reports'!D2422)),TRIM(MID('R.M Billets Reports'!D2422,SEARCH("-",'R.M Billets Reports'!D2422)+1,200)),"")))="SHREE RADHE SHAKTI SPONGE AND POWER PVT. LTD.","SHREE RADHE",IF(IF(ISNUMBER(SEARCH("Party Name:-",'R.M Billets Reports'!D2421)),TRIM('R.M Billets Reports'!F2421),IF(ISNUMBER(SEARCH("Party Name-",'R.M Billets Reports'!D2421)),TRIM(MID('R.M Billets Reports'!D2421,SEARCH("-",'R.M Billets Reports'!D2421)+1,200)),""))&lt;&gt;"",IF(ISNUMBER(SEARCH("Party Name:-",'R.M Billets Reports'!D2421)),TRIM('R.M Billets Reports'!F2421),IF(ISNUMBER(SEARCH("Party Name-",'R.M Billets Reports'!D2421)),TRIM(MID('R.M Billets Reports'!D2421,SEARCH("-",'R.M Billets Reports'!D2421)+1,200)),"")),IF(ISNUMBER(SEARCH("Party Name:-",'R.M Billets Reports'!D2422)),TRIM('R.M Billets Reports'!F2422),IF(ISNUMBER(SEARCH("Party Name-",'R.M Billets Reports'!D2422)),TRIM(MID('R.M Billets Reports'!D2422,SEARCH("-",'R.M Billets Reports'!D2422)+1,200)),"")))))),IF(ROW()=2,"",A2421))</f>
      </c>
      <c r="B2422">
        <f>IF(OR('R.M Billets Reports'!A2421="Date-",'R.M Billets Reports'!A2421="Date:-"),'R.M Billets Reports'!B2421,IF(ROW()=2,"",B2421))</f>
      </c>
      <c r="C2422">
        <f>IF('R.M Billets Reports'!A2421="V.No.",'R.M Billets Reports'!B2421,IF(ROW()=2,"",C2421))</f>
      </c>
      <c r="D2422">
        <f>IF('R.M Billets Reports'!A2421&lt;&gt;"",'R.M Billets Reports'!A2421,IF(ROW()=2,"",D2421))</f>
      </c>
      <c r="E2422">
        <f>IF('R.M Billets Reports'!B2421="","",TRIM('R.M Billets Reports'!B2421))</f>
      </c>
      <c r="F2422">
        <f>'R.M Billets Reports'!C2421</f>
      </c>
      <c r="G2422">
        <f>'R.M Billets Reports'!D2421</f>
      </c>
      <c r="H2422">
        <f>'R.M Billets Reports'!E2421</f>
      </c>
      <c r="I2422">
        <f>'R.M Billets Reports'!F2421</f>
      </c>
      <c r="J2422">
        <f>'R.M Billets Reports'!G2421</f>
      </c>
      <c r="K2422">
        <f>'R.M Billets Reports'!H2421</f>
      </c>
      <c r="L2422">
        <f>IF('R.M Billets Reports'!I2421="","",'R.M Billets Reports'!I2421)</f>
      </c>
      <c r="M2422">
        <f t="shared" si="74"/>
      </c>
      <c r="N2422">
        <f>IF('R.M Billets Reports'!J2421="","",'R.M Billets Reports'!J2421)</f>
      </c>
      <c r="O2422">
        <f t="shared" si="75"/>
      </c>
      <c r="P2422">
        <f>IF('R.M Billets Reports'!A2421="SIZE",'R.M Billets Reports'!B2421,P2421)</f>
      </c>
    </row>
    <row r="2423" spans="1:16" x14ac:dyDescent="0.25">
      <c r="A2423">
        <f>IF(OR('R.M Billets Reports'!A2422="Date-",'R.M Billets Reports'!A2422="Date:-"),IF(IF(IF(ISNUMBER(SEARCH("Party Name:-",'R.M Billets Reports'!D2422)),TRIM('R.M Billets Reports'!F2422),IF(ISNUMBER(SEARCH("Party Name-",'R.M Billets Reports'!D2422)),TRIM(MID('R.M Billets Reports'!D2422,SEARCH("-",'R.M Billets Reports'!D2422)+1,200)),""))&lt;&gt;"",IF(ISNUMBER(SEARCH("Party Name:-",'R.M Billets Reports'!D2422)),TRIM('R.M Billets Reports'!F2422),IF(ISNUMBER(SEARCH("Party Name-",'R.M Billets Reports'!D2422)),TRIM(MID('R.M Billets Reports'!D2422,SEARCH("-",'R.M Billets Reports'!D2422)+1,200)),"")),IF(ISNUMBER(SEARCH("Party Name:-",'R.M Billets Reports'!D2423)),TRIM('R.M Billets Reports'!F2423),IF(ISNUMBER(SEARCH("Party Name-",'R.M Billets Reports'!D2423)),TRIM(MID('R.M Billets Reports'!D2423,SEARCH("-",'R.M Billets Reports'!D2423)+1,200)),"")))="VRKP ISPAT PVT LTD","VRKP",IF(IF(IF(ISNUMBER(SEARCH("Party Name:-",'R.M Billets Reports'!D2422)),TRIM('R.M Billets Reports'!F2422),IF(ISNUMBER(SEARCH("Party Name-",'R.M Billets Reports'!D2422)),TRIM(MID('R.M Billets Reports'!D2422,SEARCH("-",'R.M Billets Reports'!D2422)+1,200)),""))&lt;&gt;"",IF(ISNUMBER(SEARCH("Party Name:-",'R.M Billets Reports'!D2422)),TRIM('R.M Billets Reports'!F2422),IF(ISNUMBER(SEARCH("Party Name-",'R.M Billets Reports'!D2422)),TRIM(MID('R.M Billets Reports'!D2422,SEARCH("-",'R.M Billets Reports'!D2422)+1,200)),"")),IF(ISNUMBER(SEARCH("Party Name:-",'R.M Billets Reports'!D2423)),TRIM('R.M Billets Reports'!F2423),IF(ISNUMBER(SEARCH("Party Name-",'R.M Billets Reports'!D2423)),TRIM(MID('R.M Billets Reports'!D2423,SEARCH("-",'R.M Billets Reports'!D2423)+1,200)),"")))="SHRI RADHE","SHREE RADHE",IF(IF(IF(ISNUMBER(SEARCH("Party Name:-",'R.M Billets Reports'!D2422)),TRIM('R.M Billets Reports'!F2422),IF(ISNUMBER(SEARCH("Party Name-",'R.M Billets Reports'!D2422)),TRIM(MID('R.M Billets Reports'!D2422,SEARCH("-",'R.M Billets Reports'!D2422)+1,200)),""))&lt;&gt;"",IF(ISNUMBER(SEARCH("Party Name:-",'R.M Billets Reports'!D2422)),TRIM('R.M Billets Reports'!F2422),IF(ISNUMBER(SEARCH("Party Name-",'R.M Billets Reports'!D2422)),TRIM(MID('R.M Billets Reports'!D2422,SEARCH("-",'R.M Billets Reports'!D2422)+1,200)),"")),IF(ISNUMBER(SEARCH("Party Name:-",'R.M Billets Reports'!D2423)),TRIM('R.M Billets Reports'!F2423),IF(ISNUMBER(SEARCH("Party Name-",'R.M Billets Reports'!D2423)),TRIM(MID('R.M Billets Reports'!D2423,SEARCH("-",'R.M Billets Reports'!D2423)+1,200)),"")))="SHREE RADHE SHAKTI SPONGE AND POWER PVT. LTD.","SHREE RADHE",IF(IF(ISNUMBER(SEARCH("Party Name:-",'R.M Billets Reports'!D2422)),TRIM('R.M Billets Reports'!F2422),IF(ISNUMBER(SEARCH("Party Name-",'R.M Billets Reports'!D2422)),TRIM(MID('R.M Billets Reports'!D2422,SEARCH("-",'R.M Billets Reports'!D2422)+1,200)),""))&lt;&gt;"",IF(ISNUMBER(SEARCH("Party Name:-",'R.M Billets Reports'!D2422)),TRIM('R.M Billets Reports'!F2422),IF(ISNUMBER(SEARCH("Party Name-",'R.M Billets Reports'!D2422)),TRIM(MID('R.M Billets Reports'!D2422,SEARCH("-",'R.M Billets Reports'!D2422)+1,200)),"")),IF(ISNUMBER(SEARCH("Party Name:-",'R.M Billets Reports'!D2423)),TRIM('R.M Billets Reports'!F2423),IF(ISNUMBER(SEARCH("Party Name-",'R.M Billets Reports'!D2423)),TRIM(MID('R.M Billets Reports'!D2423,SEARCH("-",'R.M Billets Reports'!D2423)+1,200)),"")))))),IF(ROW()=2,"",A2422))</f>
      </c>
      <c r="B2423">
        <f>IF(OR('R.M Billets Reports'!A2422="Date-",'R.M Billets Reports'!A2422="Date:-"),'R.M Billets Reports'!B2422,IF(ROW()=2,"",B2422))</f>
      </c>
      <c r="C2423">
        <f>IF('R.M Billets Reports'!A2422="V.No.",'R.M Billets Reports'!B2422,IF(ROW()=2,"",C2422))</f>
      </c>
      <c r="D2423">
        <f>IF('R.M Billets Reports'!A2422&lt;&gt;"",'R.M Billets Reports'!A2422,IF(ROW()=2,"",D2422))</f>
      </c>
      <c r="E2423">
        <f>IF('R.M Billets Reports'!B2422="","",TRIM('R.M Billets Reports'!B2422))</f>
      </c>
      <c r="F2423">
        <f>'R.M Billets Reports'!C2422</f>
      </c>
      <c r="G2423">
        <f>'R.M Billets Reports'!D2422</f>
      </c>
      <c r="H2423">
        <f>'R.M Billets Reports'!E2422</f>
      </c>
      <c r="I2423">
        <f>'R.M Billets Reports'!F2422</f>
      </c>
      <c r="J2423">
        <f>'R.M Billets Reports'!G2422</f>
      </c>
      <c r="K2423">
        <f>'R.M Billets Reports'!H2422</f>
      </c>
      <c r="L2423">
        <f>IF('R.M Billets Reports'!I2422="","",'R.M Billets Reports'!I2422)</f>
      </c>
      <c r="M2423">
        <f t="shared" si="74"/>
      </c>
      <c r="N2423">
        <f>IF('R.M Billets Reports'!J2422="","",'R.M Billets Reports'!J2422)</f>
      </c>
      <c r="O2423">
        <f t="shared" si="75"/>
      </c>
      <c r="P2423">
        <f>IF('R.M Billets Reports'!A2422="SIZE",'R.M Billets Reports'!B2422,P2422)</f>
      </c>
    </row>
    <row r="2424" spans="1:16" x14ac:dyDescent="0.25">
      <c r="A2424">
        <f>IF(OR('R.M Billets Reports'!A2423="Date-",'R.M Billets Reports'!A2423="Date:-"),IF(IF(IF(ISNUMBER(SEARCH("Party Name:-",'R.M Billets Reports'!D2423)),TRIM('R.M Billets Reports'!F2423),IF(ISNUMBER(SEARCH("Party Name-",'R.M Billets Reports'!D2423)),TRIM(MID('R.M Billets Reports'!D2423,SEARCH("-",'R.M Billets Reports'!D2423)+1,200)),""))&lt;&gt;"",IF(ISNUMBER(SEARCH("Party Name:-",'R.M Billets Reports'!D2423)),TRIM('R.M Billets Reports'!F2423),IF(ISNUMBER(SEARCH("Party Name-",'R.M Billets Reports'!D2423)),TRIM(MID('R.M Billets Reports'!D2423,SEARCH("-",'R.M Billets Reports'!D2423)+1,200)),"")),IF(ISNUMBER(SEARCH("Party Name:-",'R.M Billets Reports'!D2424)),TRIM('R.M Billets Reports'!F2424),IF(ISNUMBER(SEARCH("Party Name-",'R.M Billets Reports'!D2424)),TRIM(MID('R.M Billets Reports'!D2424,SEARCH("-",'R.M Billets Reports'!D2424)+1,200)),"")))="VRKP ISPAT PVT LTD","VRKP",IF(IF(IF(ISNUMBER(SEARCH("Party Name:-",'R.M Billets Reports'!D2423)),TRIM('R.M Billets Reports'!F2423),IF(ISNUMBER(SEARCH("Party Name-",'R.M Billets Reports'!D2423)),TRIM(MID('R.M Billets Reports'!D2423,SEARCH("-",'R.M Billets Reports'!D2423)+1,200)),""))&lt;&gt;"",IF(ISNUMBER(SEARCH("Party Name:-",'R.M Billets Reports'!D2423)),TRIM('R.M Billets Reports'!F2423),IF(ISNUMBER(SEARCH("Party Name-",'R.M Billets Reports'!D2423)),TRIM(MID('R.M Billets Reports'!D2423,SEARCH("-",'R.M Billets Reports'!D2423)+1,200)),"")),IF(ISNUMBER(SEARCH("Party Name:-",'R.M Billets Reports'!D2424)),TRIM('R.M Billets Reports'!F2424),IF(ISNUMBER(SEARCH("Party Name-",'R.M Billets Reports'!D2424)),TRIM(MID('R.M Billets Reports'!D2424,SEARCH("-",'R.M Billets Reports'!D2424)+1,200)),"")))="SHRI RADHE","SHREE RADHE",IF(IF(IF(ISNUMBER(SEARCH("Party Name:-",'R.M Billets Reports'!D2423)),TRIM('R.M Billets Reports'!F2423),IF(ISNUMBER(SEARCH("Party Name-",'R.M Billets Reports'!D2423)),TRIM(MID('R.M Billets Reports'!D2423,SEARCH("-",'R.M Billets Reports'!D2423)+1,200)),""))&lt;&gt;"",IF(ISNUMBER(SEARCH("Party Name:-",'R.M Billets Reports'!D2423)),TRIM('R.M Billets Reports'!F2423),IF(ISNUMBER(SEARCH("Party Name-",'R.M Billets Reports'!D2423)),TRIM(MID('R.M Billets Reports'!D2423,SEARCH("-",'R.M Billets Reports'!D2423)+1,200)),"")),IF(ISNUMBER(SEARCH("Party Name:-",'R.M Billets Reports'!D2424)),TRIM('R.M Billets Reports'!F2424),IF(ISNUMBER(SEARCH("Party Name-",'R.M Billets Reports'!D2424)),TRIM(MID('R.M Billets Reports'!D2424,SEARCH("-",'R.M Billets Reports'!D2424)+1,200)),"")))="SHREE RADHE SHAKTI SPONGE AND POWER PVT. LTD.","SHREE RADHE",IF(IF(ISNUMBER(SEARCH("Party Name:-",'R.M Billets Reports'!D2423)),TRIM('R.M Billets Reports'!F2423),IF(ISNUMBER(SEARCH("Party Name-",'R.M Billets Reports'!D2423)),TRIM(MID('R.M Billets Reports'!D2423,SEARCH("-",'R.M Billets Reports'!D2423)+1,200)),""))&lt;&gt;"",IF(ISNUMBER(SEARCH("Party Name:-",'R.M Billets Reports'!D2423)),TRIM('R.M Billets Reports'!F2423),IF(ISNUMBER(SEARCH("Party Name-",'R.M Billets Reports'!D2423)),TRIM(MID('R.M Billets Reports'!D2423,SEARCH("-",'R.M Billets Reports'!D2423)+1,200)),"")),IF(ISNUMBER(SEARCH("Party Name:-",'R.M Billets Reports'!D2424)),TRIM('R.M Billets Reports'!F2424),IF(ISNUMBER(SEARCH("Party Name-",'R.M Billets Reports'!D2424)),TRIM(MID('R.M Billets Reports'!D2424,SEARCH("-",'R.M Billets Reports'!D2424)+1,200)),"")))))),IF(ROW()=2,"",A2423))</f>
      </c>
      <c r="B2424">
        <f>IF(OR('R.M Billets Reports'!A2423="Date-",'R.M Billets Reports'!A2423="Date:-"),'R.M Billets Reports'!B2423,IF(ROW()=2,"",B2423))</f>
      </c>
      <c r="C2424">
        <f>IF('R.M Billets Reports'!A2423="V.No.",'R.M Billets Reports'!B2423,IF(ROW()=2,"",C2423))</f>
      </c>
      <c r="D2424">
        <f>IF('R.M Billets Reports'!A2423&lt;&gt;"",'R.M Billets Reports'!A2423,IF(ROW()=2,"",D2423))</f>
      </c>
      <c r="E2424">
        <f>IF('R.M Billets Reports'!B2423="","",TRIM('R.M Billets Reports'!B2423))</f>
      </c>
      <c r="F2424">
        <f>'R.M Billets Reports'!C2423</f>
      </c>
      <c r="G2424">
        <f>'R.M Billets Reports'!D2423</f>
      </c>
      <c r="H2424">
        <f>'R.M Billets Reports'!E2423</f>
      </c>
      <c r="I2424">
        <f>'R.M Billets Reports'!F2423</f>
      </c>
      <c r="J2424">
        <f>'R.M Billets Reports'!G2423</f>
      </c>
      <c r="K2424">
        <f>'R.M Billets Reports'!H2423</f>
      </c>
      <c r="L2424">
        <f>IF('R.M Billets Reports'!I2423="","",'R.M Billets Reports'!I2423)</f>
      </c>
      <c r="M2424">
        <f t="shared" si="74"/>
      </c>
      <c r="N2424">
        <f>IF('R.M Billets Reports'!J2423="","",'R.M Billets Reports'!J2423)</f>
      </c>
      <c r="O2424">
        <f t="shared" si="75"/>
      </c>
      <c r="P2424">
        <f>IF('R.M Billets Reports'!A2423="SIZE",'R.M Billets Reports'!B2423,P2423)</f>
      </c>
    </row>
    <row r="2425" spans="1:16" x14ac:dyDescent="0.25">
      <c r="A2425">
        <f>IF(OR('R.M Billets Reports'!A2424="Date-",'R.M Billets Reports'!A2424="Date:-"),IF(IF(IF(ISNUMBER(SEARCH("Party Name:-",'R.M Billets Reports'!D2424)),TRIM('R.M Billets Reports'!F2424),IF(ISNUMBER(SEARCH("Party Name-",'R.M Billets Reports'!D2424)),TRIM(MID('R.M Billets Reports'!D2424,SEARCH("-",'R.M Billets Reports'!D2424)+1,200)),""))&lt;&gt;"",IF(ISNUMBER(SEARCH("Party Name:-",'R.M Billets Reports'!D2424)),TRIM('R.M Billets Reports'!F2424),IF(ISNUMBER(SEARCH("Party Name-",'R.M Billets Reports'!D2424)),TRIM(MID('R.M Billets Reports'!D2424,SEARCH("-",'R.M Billets Reports'!D2424)+1,200)),"")),IF(ISNUMBER(SEARCH("Party Name:-",'R.M Billets Reports'!D2425)),TRIM('R.M Billets Reports'!F2425),IF(ISNUMBER(SEARCH("Party Name-",'R.M Billets Reports'!D2425)),TRIM(MID('R.M Billets Reports'!D2425,SEARCH("-",'R.M Billets Reports'!D2425)+1,200)),"")))="VRKP ISPAT PVT LTD","VRKP",IF(IF(IF(ISNUMBER(SEARCH("Party Name:-",'R.M Billets Reports'!D2424)),TRIM('R.M Billets Reports'!F2424),IF(ISNUMBER(SEARCH("Party Name-",'R.M Billets Reports'!D2424)),TRIM(MID('R.M Billets Reports'!D2424,SEARCH("-",'R.M Billets Reports'!D2424)+1,200)),""))&lt;&gt;"",IF(ISNUMBER(SEARCH("Party Name:-",'R.M Billets Reports'!D2424)),TRIM('R.M Billets Reports'!F2424),IF(ISNUMBER(SEARCH("Party Name-",'R.M Billets Reports'!D2424)),TRIM(MID('R.M Billets Reports'!D2424,SEARCH("-",'R.M Billets Reports'!D2424)+1,200)),"")),IF(ISNUMBER(SEARCH("Party Name:-",'R.M Billets Reports'!D2425)),TRIM('R.M Billets Reports'!F2425),IF(ISNUMBER(SEARCH("Party Name-",'R.M Billets Reports'!D2425)),TRIM(MID('R.M Billets Reports'!D2425,SEARCH("-",'R.M Billets Reports'!D2425)+1,200)),"")))="SHRI RADHE","SHREE RADHE",IF(IF(IF(ISNUMBER(SEARCH("Party Name:-",'R.M Billets Reports'!D2424)),TRIM('R.M Billets Reports'!F2424),IF(ISNUMBER(SEARCH("Party Name-",'R.M Billets Reports'!D2424)),TRIM(MID('R.M Billets Reports'!D2424,SEARCH("-",'R.M Billets Reports'!D2424)+1,200)),""))&lt;&gt;"",IF(ISNUMBER(SEARCH("Party Name:-",'R.M Billets Reports'!D2424)),TRIM('R.M Billets Reports'!F2424),IF(ISNUMBER(SEARCH("Party Name-",'R.M Billets Reports'!D2424)),TRIM(MID('R.M Billets Reports'!D2424,SEARCH("-",'R.M Billets Reports'!D2424)+1,200)),"")),IF(ISNUMBER(SEARCH("Party Name:-",'R.M Billets Reports'!D2425)),TRIM('R.M Billets Reports'!F2425),IF(ISNUMBER(SEARCH("Party Name-",'R.M Billets Reports'!D2425)),TRIM(MID('R.M Billets Reports'!D2425,SEARCH("-",'R.M Billets Reports'!D2425)+1,200)),"")))="SHREE RADHE SHAKTI SPONGE AND POWER PVT. LTD.","SHREE RADHE",IF(IF(ISNUMBER(SEARCH("Party Name:-",'R.M Billets Reports'!D2424)),TRIM('R.M Billets Reports'!F2424),IF(ISNUMBER(SEARCH("Party Name-",'R.M Billets Reports'!D2424)),TRIM(MID('R.M Billets Reports'!D2424,SEARCH("-",'R.M Billets Reports'!D2424)+1,200)),""))&lt;&gt;"",IF(ISNUMBER(SEARCH("Party Name:-",'R.M Billets Reports'!D2424)),TRIM('R.M Billets Reports'!F2424),IF(ISNUMBER(SEARCH("Party Name-",'R.M Billets Reports'!D2424)),TRIM(MID('R.M Billets Reports'!D2424,SEARCH("-",'R.M Billets Reports'!D2424)+1,200)),"")),IF(ISNUMBER(SEARCH("Party Name:-",'R.M Billets Reports'!D2425)),TRIM('R.M Billets Reports'!F2425),IF(ISNUMBER(SEARCH("Party Name-",'R.M Billets Reports'!D2425)),TRIM(MID('R.M Billets Reports'!D2425,SEARCH("-",'R.M Billets Reports'!D2425)+1,200)),"")))))),IF(ROW()=2,"",A2424))</f>
      </c>
      <c r="B2425">
        <f>IF(OR('R.M Billets Reports'!A2424="Date-",'R.M Billets Reports'!A2424="Date:-"),'R.M Billets Reports'!B2424,IF(ROW()=2,"",B2424))</f>
      </c>
      <c r="C2425">
        <f>IF('R.M Billets Reports'!A2424="V.No.",'R.M Billets Reports'!B2424,IF(ROW()=2,"",C2424))</f>
      </c>
      <c r="D2425">
        <f>IF('R.M Billets Reports'!A2424&lt;&gt;"",'R.M Billets Reports'!A2424,IF(ROW()=2,"",D2424))</f>
      </c>
      <c r="E2425">
        <f>IF('R.M Billets Reports'!B2424="","",TRIM('R.M Billets Reports'!B2424))</f>
      </c>
      <c r="F2425">
        <f>'R.M Billets Reports'!C2424</f>
      </c>
      <c r="G2425">
        <f>'R.M Billets Reports'!D2424</f>
      </c>
      <c r="H2425">
        <f>'R.M Billets Reports'!E2424</f>
      </c>
      <c r="I2425">
        <f>'R.M Billets Reports'!F2424</f>
      </c>
      <c r="J2425">
        <f>'R.M Billets Reports'!G2424</f>
      </c>
      <c r="K2425">
        <f>'R.M Billets Reports'!H2424</f>
      </c>
      <c r="L2425">
        <f>IF('R.M Billets Reports'!I2424="","",'R.M Billets Reports'!I2424)</f>
      </c>
      <c r="M2425">
        <f t="shared" si="74"/>
      </c>
      <c r="N2425">
        <f>IF('R.M Billets Reports'!J2424="","",'R.M Billets Reports'!J2424)</f>
      </c>
      <c r="O2425">
        <f t="shared" si="75"/>
      </c>
      <c r="P2425">
        <f>IF('R.M Billets Reports'!A2424="SIZE",'R.M Billets Reports'!B2424,P2424)</f>
      </c>
    </row>
    <row r="2426" spans="1:16" x14ac:dyDescent="0.25">
      <c r="A2426">
        <f>IF(OR('R.M Billets Reports'!A2425="Date-",'R.M Billets Reports'!A2425="Date:-"),IF(IF(IF(ISNUMBER(SEARCH("Party Name:-",'R.M Billets Reports'!D2425)),TRIM('R.M Billets Reports'!F2425),IF(ISNUMBER(SEARCH("Party Name-",'R.M Billets Reports'!D2425)),TRIM(MID('R.M Billets Reports'!D2425,SEARCH("-",'R.M Billets Reports'!D2425)+1,200)),""))&lt;&gt;"",IF(ISNUMBER(SEARCH("Party Name:-",'R.M Billets Reports'!D2425)),TRIM('R.M Billets Reports'!F2425),IF(ISNUMBER(SEARCH("Party Name-",'R.M Billets Reports'!D2425)),TRIM(MID('R.M Billets Reports'!D2425,SEARCH("-",'R.M Billets Reports'!D2425)+1,200)),"")),IF(ISNUMBER(SEARCH("Party Name:-",'R.M Billets Reports'!D2426)),TRIM('R.M Billets Reports'!F2426),IF(ISNUMBER(SEARCH("Party Name-",'R.M Billets Reports'!D2426)),TRIM(MID('R.M Billets Reports'!D2426,SEARCH("-",'R.M Billets Reports'!D2426)+1,200)),"")))="VRKP ISPAT PVT LTD","VRKP",IF(IF(IF(ISNUMBER(SEARCH("Party Name:-",'R.M Billets Reports'!D2425)),TRIM('R.M Billets Reports'!F2425),IF(ISNUMBER(SEARCH("Party Name-",'R.M Billets Reports'!D2425)),TRIM(MID('R.M Billets Reports'!D2425,SEARCH("-",'R.M Billets Reports'!D2425)+1,200)),""))&lt;&gt;"",IF(ISNUMBER(SEARCH("Party Name:-",'R.M Billets Reports'!D2425)),TRIM('R.M Billets Reports'!F2425),IF(ISNUMBER(SEARCH("Party Name-",'R.M Billets Reports'!D2425)),TRIM(MID('R.M Billets Reports'!D2425,SEARCH("-",'R.M Billets Reports'!D2425)+1,200)),"")),IF(ISNUMBER(SEARCH("Party Name:-",'R.M Billets Reports'!D2426)),TRIM('R.M Billets Reports'!F2426),IF(ISNUMBER(SEARCH("Party Name-",'R.M Billets Reports'!D2426)),TRIM(MID('R.M Billets Reports'!D2426,SEARCH("-",'R.M Billets Reports'!D2426)+1,200)),"")))="SHRI RADHE","SHREE RADHE",IF(IF(IF(ISNUMBER(SEARCH("Party Name:-",'R.M Billets Reports'!D2425)),TRIM('R.M Billets Reports'!F2425),IF(ISNUMBER(SEARCH("Party Name-",'R.M Billets Reports'!D2425)),TRIM(MID('R.M Billets Reports'!D2425,SEARCH("-",'R.M Billets Reports'!D2425)+1,200)),""))&lt;&gt;"",IF(ISNUMBER(SEARCH("Party Name:-",'R.M Billets Reports'!D2425)),TRIM('R.M Billets Reports'!F2425),IF(ISNUMBER(SEARCH("Party Name-",'R.M Billets Reports'!D2425)),TRIM(MID('R.M Billets Reports'!D2425,SEARCH("-",'R.M Billets Reports'!D2425)+1,200)),"")),IF(ISNUMBER(SEARCH("Party Name:-",'R.M Billets Reports'!D2426)),TRIM('R.M Billets Reports'!F2426),IF(ISNUMBER(SEARCH("Party Name-",'R.M Billets Reports'!D2426)),TRIM(MID('R.M Billets Reports'!D2426,SEARCH("-",'R.M Billets Reports'!D2426)+1,200)),"")))="SHREE RADHE SHAKTI SPONGE AND POWER PVT. LTD.","SHREE RADHE",IF(IF(ISNUMBER(SEARCH("Party Name:-",'R.M Billets Reports'!D2425)),TRIM('R.M Billets Reports'!F2425),IF(ISNUMBER(SEARCH("Party Name-",'R.M Billets Reports'!D2425)),TRIM(MID('R.M Billets Reports'!D2425,SEARCH("-",'R.M Billets Reports'!D2425)+1,200)),""))&lt;&gt;"",IF(ISNUMBER(SEARCH("Party Name:-",'R.M Billets Reports'!D2425)),TRIM('R.M Billets Reports'!F2425),IF(ISNUMBER(SEARCH("Party Name-",'R.M Billets Reports'!D2425)),TRIM(MID('R.M Billets Reports'!D2425,SEARCH("-",'R.M Billets Reports'!D2425)+1,200)),"")),IF(ISNUMBER(SEARCH("Party Name:-",'R.M Billets Reports'!D2426)),TRIM('R.M Billets Reports'!F2426),IF(ISNUMBER(SEARCH("Party Name-",'R.M Billets Reports'!D2426)),TRIM(MID('R.M Billets Reports'!D2426,SEARCH("-",'R.M Billets Reports'!D2426)+1,200)),"")))))),IF(ROW()=2,"",A2425))</f>
      </c>
      <c r="B2426">
        <f>IF(OR('R.M Billets Reports'!A2425="Date-",'R.M Billets Reports'!A2425="Date:-"),'R.M Billets Reports'!B2425,IF(ROW()=2,"",B2425))</f>
      </c>
      <c r="C2426">
        <f>IF('R.M Billets Reports'!A2425="V.No.",'R.M Billets Reports'!B2425,IF(ROW()=2,"",C2425))</f>
      </c>
      <c r="D2426">
        <f>IF('R.M Billets Reports'!A2425&lt;&gt;"",'R.M Billets Reports'!A2425,IF(ROW()=2,"",D2425))</f>
      </c>
      <c r="E2426">
        <f>IF('R.M Billets Reports'!B2425="","",TRIM('R.M Billets Reports'!B2425))</f>
      </c>
      <c r="F2426">
        <f>'R.M Billets Reports'!C2425</f>
      </c>
      <c r="G2426">
        <f>'R.M Billets Reports'!D2425</f>
      </c>
      <c r="H2426">
        <f>'R.M Billets Reports'!E2425</f>
      </c>
      <c r="I2426">
        <f>'R.M Billets Reports'!F2425</f>
      </c>
      <c r="J2426">
        <f>'R.M Billets Reports'!G2425</f>
      </c>
      <c r="K2426">
        <f>'R.M Billets Reports'!H2425</f>
      </c>
      <c r="L2426">
        <f>IF('R.M Billets Reports'!I2425="","",'R.M Billets Reports'!I2425)</f>
      </c>
      <c r="M2426">
        <f t="shared" si="74"/>
      </c>
      <c r="N2426">
        <f>IF('R.M Billets Reports'!J2425="","",'R.M Billets Reports'!J2425)</f>
      </c>
      <c r="O2426">
        <f t="shared" si="75"/>
      </c>
      <c r="P2426">
        <f>IF('R.M Billets Reports'!A2425="SIZE",'R.M Billets Reports'!B2425,P2425)</f>
      </c>
    </row>
    <row r="2427" spans="1:16" x14ac:dyDescent="0.25">
      <c r="A2427">
        <f>IF(OR('R.M Billets Reports'!A2426="Date-",'R.M Billets Reports'!A2426="Date:-"),IF(IF(IF(ISNUMBER(SEARCH("Party Name:-",'R.M Billets Reports'!D2426)),TRIM('R.M Billets Reports'!F2426),IF(ISNUMBER(SEARCH("Party Name-",'R.M Billets Reports'!D2426)),TRIM(MID('R.M Billets Reports'!D2426,SEARCH("-",'R.M Billets Reports'!D2426)+1,200)),""))&lt;&gt;"",IF(ISNUMBER(SEARCH("Party Name:-",'R.M Billets Reports'!D2426)),TRIM('R.M Billets Reports'!F2426),IF(ISNUMBER(SEARCH("Party Name-",'R.M Billets Reports'!D2426)),TRIM(MID('R.M Billets Reports'!D2426,SEARCH("-",'R.M Billets Reports'!D2426)+1,200)),"")),IF(ISNUMBER(SEARCH("Party Name:-",'R.M Billets Reports'!D2427)),TRIM('R.M Billets Reports'!F2427),IF(ISNUMBER(SEARCH("Party Name-",'R.M Billets Reports'!D2427)),TRIM(MID('R.M Billets Reports'!D2427,SEARCH("-",'R.M Billets Reports'!D2427)+1,200)),"")))="VRKP ISPAT PVT LTD","VRKP",IF(IF(IF(ISNUMBER(SEARCH("Party Name:-",'R.M Billets Reports'!D2426)),TRIM('R.M Billets Reports'!F2426),IF(ISNUMBER(SEARCH("Party Name-",'R.M Billets Reports'!D2426)),TRIM(MID('R.M Billets Reports'!D2426,SEARCH("-",'R.M Billets Reports'!D2426)+1,200)),""))&lt;&gt;"",IF(ISNUMBER(SEARCH("Party Name:-",'R.M Billets Reports'!D2426)),TRIM('R.M Billets Reports'!F2426),IF(ISNUMBER(SEARCH("Party Name-",'R.M Billets Reports'!D2426)),TRIM(MID('R.M Billets Reports'!D2426,SEARCH("-",'R.M Billets Reports'!D2426)+1,200)),"")),IF(ISNUMBER(SEARCH("Party Name:-",'R.M Billets Reports'!D2427)),TRIM('R.M Billets Reports'!F2427),IF(ISNUMBER(SEARCH("Party Name-",'R.M Billets Reports'!D2427)),TRIM(MID('R.M Billets Reports'!D2427,SEARCH("-",'R.M Billets Reports'!D2427)+1,200)),"")))="SHRI RADHE","SHREE RADHE",IF(IF(IF(ISNUMBER(SEARCH("Party Name:-",'R.M Billets Reports'!D2426)),TRIM('R.M Billets Reports'!F2426),IF(ISNUMBER(SEARCH("Party Name-",'R.M Billets Reports'!D2426)),TRIM(MID('R.M Billets Reports'!D2426,SEARCH("-",'R.M Billets Reports'!D2426)+1,200)),""))&lt;&gt;"",IF(ISNUMBER(SEARCH("Party Name:-",'R.M Billets Reports'!D2426)),TRIM('R.M Billets Reports'!F2426),IF(ISNUMBER(SEARCH("Party Name-",'R.M Billets Reports'!D2426)),TRIM(MID('R.M Billets Reports'!D2426,SEARCH("-",'R.M Billets Reports'!D2426)+1,200)),"")),IF(ISNUMBER(SEARCH("Party Name:-",'R.M Billets Reports'!D2427)),TRIM('R.M Billets Reports'!F2427),IF(ISNUMBER(SEARCH("Party Name-",'R.M Billets Reports'!D2427)),TRIM(MID('R.M Billets Reports'!D2427,SEARCH("-",'R.M Billets Reports'!D2427)+1,200)),"")))="SHREE RADHE SHAKTI SPONGE AND POWER PVT. LTD.","SHREE RADHE",IF(IF(ISNUMBER(SEARCH("Party Name:-",'R.M Billets Reports'!D2426)),TRIM('R.M Billets Reports'!F2426),IF(ISNUMBER(SEARCH("Party Name-",'R.M Billets Reports'!D2426)),TRIM(MID('R.M Billets Reports'!D2426,SEARCH("-",'R.M Billets Reports'!D2426)+1,200)),""))&lt;&gt;"",IF(ISNUMBER(SEARCH("Party Name:-",'R.M Billets Reports'!D2426)),TRIM('R.M Billets Reports'!F2426),IF(ISNUMBER(SEARCH("Party Name-",'R.M Billets Reports'!D2426)),TRIM(MID('R.M Billets Reports'!D2426,SEARCH("-",'R.M Billets Reports'!D2426)+1,200)),"")),IF(ISNUMBER(SEARCH("Party Name:-",'R.M Billets Reports'!D2427)),TRIM('R.M Billets Reports'!F2427),IF(ISNUMBER(SEARCH("Party Name-",'R.M Billets Reports'!D2427)),TRIM(MID('R.M Billets Reports'!D2427,SEARCH("-",'R.M Billets Reports'!D2427)+1,200)),"")))))),IF(ROW()=2,"",A2426))</f>
      </c>
      <c r="B2427">
        <f>IF(OR('R.M Billets Reports'!A2426="Date-",'R.M Billets Reports'!A2426="Date:-"),'R.M Billets Reports'!B2426,IF(ROW()=2,"",B2426))</f>
      </c>
      <c r="C2427">
        <f>IF('R.M Billets Reports'!A2426="V.No.",'R.M Billets Reports'!B2426,IF(ROW()=2,"",C2426))</f>
      </c>
      <c r="D2427">
        <f>IF('R.M Billets Reports'!A2426&lt;&gt;"",'R.M Billets Reports'!A2426,IF(ROW()=2,"",D2426))</f>
      </c>
      <c r="E2427">
        <f>IF('R.M Billets Reports'!B2426="","",TRIM('R.M Billets Reports'!B2426))</f>
      </c>
      <c r="F2427">
        <f>'R.M Billets Reports'!C2426</f>
      </c>
      <c r="G2427">
        <f>'R.M Billets Reports'!D2426</f>
      </c>
      <c r="H2427">
        <f>'R.M Billets Reports'!E2426</f>
      </c>
      <c r="I2427">
        <f>'R.M Billets Reports'!F2426</f>
      </c>
      <c r="J2427">
        <f>'R.M Billets Reports'!G2426</f>
      </c>
      <c r="K2427">
        <f>'R.M Billets Reports'!H2426</f>
      </c>
      <c r="L2427">
        <f>IF('R.M Billets Reports'!I2426="","",'R.M Billets Reports'!I2426)</f>
      </c>
      <c r="M2427">
        <f t="shared" si="74"/>
      </c>
      <c r="N2427">
        <f>IF('R.M Billets Reports'!J2426="","",'R.M Billets Reports'!J2426)</f>
      </c>
      <c r="O2427">
        <f t="shared" si="75"/>
      </c>
      <c r="P2427">
        <f>IF('R.M Billets Reports'!A2426="SIZE",'R.M Billets Reports'!B2426,P2426)</f>
      </c>
    </row>
    <row r="2428" spans="1:16" x14ac:dyDescent="0.25">
      <c r="A2428">
        <f>IF(OR('R.M Billets Reports'!A2427="Date-",'R.M Billets Reports'!A2427="Date:-"),IF(IF(IF(ISNUMBER(SEARCH("Party Name:-",'R.M Billets Reports'!D2427)),TRIM('R.M Billets Reports'!F2427),IF(ISNUMBER(SEARCH("Party Name-",'R.M Billets Reports'!D2427)),TRIM(MID('R.M Billets Reports'!D2427,SEARCH("-",'R.M Billets Reports'!D2427)+1,200)),""))&lt;&gt;"",IF(ISNUMBER(SEARCH("Party Name:-",'R.M Billets Reports'!D2427)),TRIM('R.M Billets Reports'!F2427),IF(ISNUMBER(SEARCH("Party Name-",'R.M Billets Reports'!D2427)),TRIM(MID('R.M Billets Reports'!D2427,SEARCH("-",'R.M Billets Reports'!D2427)+1,200)),"")),IF(ISNUMBER(SEARCH("Party Name:-",'R.M Billets Reports'!D2428)),TRIM('R.M Billets Reports'!F2428),IF(ISNUMBER(SEARCH("Party Name-",'R.M Billets Reports'!D2428)),TRIM(MID('R.M Billets Reports'!D2428,SEARCH("-",'R.M Billets Reports'!D2428)+1,200)),"")))="VRKP ISPAT PVT LTD","VRKP",IF(IF(IF(ISNUMBER(SEARCH("Party Name:-",'R.M Billets Reports'!D2427)),TRIM('R.M Billets Reports'!F2427),IF(ISNUMBER(SEARCH("Party Name-",'R.M Billets Reports'!D2427)),TRIM(MID('R.M Billets Reports'!D2427,SEARCH("-",'R.M Billets Reports'!D2427)+1,200)),""))&lt;&gt;"",IF(ISNUMBER(SEARCH("Party Name:-",'R.M Billets Reports'!D2427)),TRIM('R.M Billets Reports'!F2427),IF(ISNUMBER(SEARCH("Party Name-",'R.M Billets Reports'!D2427)),TRIM(MID('R.M Billets Reports'!D2427,SEARCH("-",'R.M Billets Reports'!D2427)+1,200)),"")),IF(ISNUMBER(SEARCH("Party Name:-",'R.M Billets Reports'!D2428)),TRIM('R.M Billets Reports'!F2428),IF(ISNUMBER(SEARCH("Party Name-",'R.M Billets Reports'!D2428)),TRIM(MID('R.M Billets Reports'!D2428,SEARCH("-",'R.M Billets Reports'!D2428)+1,200)),"")))="SHRI RADHE","SHREE RADHE",IF(IF(IF(ISNUMBER(SEARCH("Party Name:-",'R.M Billets Reports'!D2427)),TRIM('R.M Billets Reports'!F2427),IF(ISNUMBER(SEARCH("Party Name-",'R.M Billets Reports'!D2427)),TRIM(MID('R.M Billets Reports'!D2427,SEARCH("-",'R.M Billets Reports'!D2427)+1,200)),""))&lt;&gt;"",IF(ISNUMBER(SEARCH("Party Name:-",'R.M Billets Reports'!D2427)),TRIM('R.M Billets Reports'!F2427),IF(ISNUMBER(SEARCH("Party Name-",'R.M Billets Reports'!D2427)),TRIM(MID('R.M Billets Reports'!D2427,SEARCH("-",'R.M Billets Reports'!D2427)+1,200)),"")),IF(ISNUMBER(SEARCH("Party Name:-",'R.M Billets Reports'!D2428)),TRIM('R.M Billets Reports'!F2428),IF(ISNUMBER(SEARCH("Party Name-",'R.M Billets Reports'!D2428)),TRIM(MID('R.M Billets Reports'!D2428,SEARCH("-",'R.M Billets Reports'!D2428)+1,200)),"")))="SHREE RADHE SHAKTI SPONGE AND POWER PVT. LTD.","SHREE RADHE",IF(IF(ISNUMBER(SEARCH("Party Name:-",'R.M Billets Reports'!D2427)),TRIM('R.M Billets Reports'!F2427),IF(ISNUMBER(SEARCH("Party Name-",'R.M Billets Reports'!D2427)),TRIM(MID('R.M Billets Reports'!D2427,SEARCH("-",'R.M Billets Reports'!D2427)+1,200)),""))&lt;&gt;"",IF(ISNUMBER(SEARCH("Party Name:-",'R.M Billets Reports'!D2427)),TRIM('R.M Billets Reports'!F2427),IF(ISNUMBER(SEARCH("Party Name-",'R.M Billets Reports'!D2427)),TRIM(MID('R.M Billets Reports'!D2427,SEARCH("-",'R.M Billets Reports'!D2427)+1,200)),"")),IF(ISNUMBER(SEARCH("Party Name:-",'R.M Billets Reports'!D2428)),TRIM('R.M Billets Reports'!F2428),IF(ISNUMBER(SEARCH("Party Name-",'R.M Billets Reports'!D2428)),TRIM(MID('R.M Billets Reports'!D2428,SEARCH("-",'R.M Billets Reports'!D2428)+1,200)),"")))))),IF(ROW()=2,"",A2427))</f>
      </c>
      <c r="B2428">
        <f>IF(OR('R.M Billets Reports'!A2427="Date-",'R.M Billets Reports'!A2427="Date:-"),'R.M Billets Reports'!B2427,IF(ROW()=2,"",B2427))</f>
      </c>
      <c r="C2428">
        <f>IF('R.M Billets Reports'!A2427="V.No.",'R.M Billets Reports'!B2427,IF(ROW()=2,"",C2427))</f>
      </c>
      <c r="D2428">
        <f>IF('R.M Billets Reports'!A2427&lt;&gt;"",'R.M Billets Reports'!A2427,IF(ROW()=2,"",D2427))</f>
      </c>
      <c r="E2428">
        <f>IF('R.M Billets Reports'!B2427="","",TRIM('R.M Billets Reports'!B2427))</f>
      </c>
      <c r="F2428">
        <f>'R.M Billets Reports'!C2427</f>
      </c>
      <c r="G2428">
        <f>'R.M Billets Reports'!D2427</f>
      </c>
      <c r="H2428">
        <f>'R.M Billets Reports'!E2427</f>
      </c>
      <c r="I2428">
        <f>'R.M Billets Reports'!F2427</f>
      </c>
      <c r="J2428">
        <f>'R.M Billets Reports'!G2427</f>
      </c>
      <c r="K2428">
        <f>'R.M Billets Reports'!H2427</f>
      </c>
      <c r="L2428">
        <f>IF('R.M Billets Reports'!I2427="","",'R.M Billets Reports'!I2427)</f>
      </c>
      <c r="M2428">
        <f t="shared" si="74"/>
      </c>
      <c r="N2428">
        <f>IF('R.M Billets Reports'!J2427="","",'R.M Billets Reports'!J2427)</f>
      </c>
      <c r="O2428">
        <f t="shared" si="75"/>
      </c>
      <c r="P2428">
        <f>IF('R.M Billets Reports'!A2427="SIZE",'R.M Billets Reports'!B2427,P2427)</f>
      </c>
    </row>
    <row r="2429" spans="1:16" x14ac:dyDescent="0.25">
      <c r="A2429">
        <f>IF(OR('R.M Billets Reports'!A2428="Date-",'R.M Billets Reports'!A2428="Date:-"),IF(IF(IF(ISNUMBER(SEARCH("Party Name:-",'R.M Billets Reports'!D2428)),TRIM('R.M Billets Reports'!F2428),IF(ISNUMBER(SEARCH("Party Name-",'R.M Billets Reports'!D2428)),TRIM(MID('R.M Billets Reports'!D2428,SEARCH("-",'R.M Billets Reports'!D2428)+1,200)),""))&lt;&gt;"",IF(ISNUMBER(SEARCH("Party Name:-",'R.M Billets Reports'!D2428)),TRIM('R.M Billets Reports'!F2428),IF(ISNUMBER(SEARCH("Party Name-",'R.M Billets Reports'!D2428)),TRIM(MID('R.M Billets Reports'!D2428,SEARCH("-",'R.M Billets Reports'!D2428)+1,200)),"")),IF(ISNUMBER(SEARCH("Party Name:-",'R.M Billets Reports'!D2429)),TRIM('R.M Billets Reports'!F2429),IF(ISNUMBER(SEARCH("Party Name-",'R.M Billets Reports'!D2429)),TRIM(MID('R.M Billets Reports'!D2429,SEARCH("-",'R.M Billets Reports'!D2429)+1,200)),"")))="VRKP ISPAT PVT LTD","VRKP",IF(IF(IF(ISNUMBER(SEARCH("Party Name:-",'R.M Billets Reports'!D2428)),TRIM('R.M Billets Reports'!F2428),IF(ISNUMBER(SEARCH("Party Name-",'R.M Billets Reports'!D2428)),TRIM(MID('R.M Billets Reports'!D2428,SEARCH("-",'R.M Billets Reports'!D2428)+1,200)),""))&lt;&gt;"",IF(ISNUMBER(SEARCH("Party Name:-",'R.M Billets Reports'!D2428)),TRIM('R.M Billets Reports'!F2428),IF(ISNUMBER(SEARCH("Party Name-",'R.M Billets Reports'!D2428)),TRIM(MID('R.M Billets Reports'!D2428,SEARCH("-",'R.M Billets Reports'!D2428)+1,200)),"")),IF(ISNUMBER(SEARCH("Party Name:-",'R.M Billets Reports'!D2429)),TRIM('R.M Billets Reports'!F2429),IF(ISNUMBER(SEARCH("Party Name-",'R.M Billets Reports'!D2429)),TRIM(MID('R.M Billets Reports'!D2429,SEARCH("-",'R.M Billets Reports'!D2429)+1,200)),"")))="SHRI RADHE","SHREE RADHE",IF(IF(IF(ISNUMBER(SEARCH("Party Name:-",'R.M Billets Reports'!D2428)),TRIM('R.M Billets Reports'!F2428),IF(ISNUMBER(SEARCH("Party Name-",'R.M Billets Reports'!D2428)),TRIM(MID('R.M Billets Reports'!D2428,SEARCH("-",'R.M Billets Reports'!D2428)+1,200)),""))&lt;&gt;"",IF(ISNUMBER(SEARCH("Party Name:-",'R.M Billets Reports'!D2428)),TRIM('R.M Billets Reports'!F2428),IF(ISNUMBER(SEARCH("Party Name-",'R.M Billets Reports'!D2428)),TRIM(MID('R.M Billets Reports'!D2428,SEARCH("-",'R.M Billets Reports'!D2428)+1,200)),"")),IF(ISNUMBER(SEARCH("Party Name:-",'R.M Billets Reports'!D2429)),TRIM('R.M Billets Reports'!F2429),IF(ISNUMBER(SEARCH("Party Name-",'R.M Billets Reports'!D2429)),TRIM(MID('R.M Billets Reports'!D2429,SEARCH("-",'R.M Billets Reports'!D2429)+1,200)),"")))="SHREE RADHE SHAKTI SPONGE AND POWER PVT. LTD.","SHREE RADHE",IF(IF(ISNUMBER(SEARCH("Party Name:-",'R.M Billets Reports'!D2428)),TRIM('R.M Billets Reports'!F2428),IF(ISNUMBER(SEARCH("Party Name-",'R.M Billets Reports'!D2428)),TRIM(MID('R.M Billets Reports'!D2428,SEARCH("-",'R.M Billets Reports'!D2428)+1,200)),""))&lt;&gt;"",IF(ISNUMBER(SEARCH("Party Name:-",'R.M Billets Reports'!D2428)),TRIM('R.M Billets Reports'!F2428),IF(ISNUMBER(SEARCH("Party Name-",'R.M Billets Reports'!D2428)),TRIM(MID('R.M Billets Reports'!D2428,SEARCH("-",'R.M Billets Reports'!D2428)+1,200)),"")),IF(ISNUMBER(SEARCH("Party Name:-",'R.M Billets Reports'!D2429)),TRIM('R.M Billets Reports'!F2429),IF(ISNUMBER(SEARCH("Party Name-",'R.M Billets Reports'!D2429)),TRIM(MID('R.M Billets Reports'!D2429,SEARCH("-",'R.M Billets Reports'!D2429)+1,200)),"")))))),IF(ROW()=2,"",A2428))</f>
      </c>
      <c r="B2429">
        <f>IF(OR('R.M Billets Reports'!A2428="Date-",'R.M Billets Reports'!A2428="Date:-"),'R.M Billets Reports'!B2428,IF(ROW()=2,"",B2428))</f>
      </c>
      <c r="C2429">
        <f>IF('R.M Billets Reports'!A2428="V.No.",'R.M Billets Reports'!B2428,IF(ROW()=2,"",C2428))</f>
      </c>
      <c r="D2429">
        <f>IF('R.M Billets Reports'!A2428&lt;&gt;"",'R.M Billets Reports'!A2428,IF(ROW()=2,"",D2428))</f>
      </c>
      <c r="E2429">
        <f>IF('R.M Billets Reports'!B2428="","",TRIM('R.M Billets Reports'!B2428))</f>
      </c>
      <c r="F2429">
        <f>'R.M Billets Reports'!C2428</f>
      </c>
      <c r="G2429">
        <f>'R.M Billets Reports'!D2428</f>
      </c>
      <c r="H2429">
        <f>'R.M Billets Reports'!E2428</f>
      </c>
      <c r="I2429">
        <f>'R.M Billets Reports'!F2428</f>
      </c>
      <c r="J2429">
        <f>'R.M Billets Reports'!G2428</f>
      </c>
      <c r="K2429">
        <f>'R.M Billets Reports'!H2428</f>
      </c>
      <c r="L2429">
        <f>IF('R.M Billets Reports'!I2428="","",'R.M Billets Reports'!I2428)</f>
      </c>
      <c r="M2429">
        <f t="shared" si="74"/>
      </c>
      <c r="N2429">
        <f>IF('R.M Billets Reports'!J2428="","",'R.M Billets Reports'!J2428)</f>
      </c>
      <c r="O2429">
        <f t="shared" si="75"/>
      </c>
      <c r="P2429">
        <f>IF('R.M Billets Reports'!A2428="SIZE",'R.M Billets Reports'!B2428,P2428)</f>
      </c>
    </row>
    <row r="2430" spans="1:16" x14ac:dyDescent="0.25">
      <c r="A2430">
        <f>IF(OR('R.M Billets Reports'!A2429="Date-",'R.M Billets Reports'!A2429="Date:-"),IF(IF(IF(ISNUMBER(SEARCH("Party Name:-",'R.M Billets Reports'!D2429)),TRIM('R.M Billets Reports'!F2429),IF(ISNUMBER(SEARCH("Party Name-",'R.M Billets Reports'!D2429)),TRIM(MID('R.M Billets Reports'!D2429,SEARCH("-",'R.M Billets Reports'!D2429)+1,200)),""))&lt;&gt;"",IF(ISNUMBER(SEARCH("Party Name:-",'R.M Billets Reports'!D2429)),TRIM('R.M Billets Reports'!F2429),IF(ISNUMBER(SEARCH("Party Name-",'R.M Billets Reports'!D2429)),TRIM(MID('R.M Billets Reports'!D2429,SEARCH("-",'R.M Billets Reports'!D2429)+1,200)),"")),IF(ISNUMBER(SEARCH("Party Name:-",'R.M Billets Reports'!D2430)),TRIM('R.M Billets Reports'!F2430),IF(ISNUMBER(SEARCH("Party Name-",'R.M Billets Reports'!D2430)),TRIM(MID('R.M Billets Reports'!D2430,SEARCH("-",'R.M Billets Reports'!D2430)+1,200)),"")))="VRKP ISPAT PVT LTD","VRKP",IF(IF(IF(ISNUMBER(SEARCH("Party Name:-",'R.M Billets Reports'!D2429)),TRIM('R.M Billets Reports'!F2429),IF(ISNUMBER(SEARCH("Party Name-",'R.M Billets Reports'!D2429)),TRIM(MID('R.M Billets Reports'!D2429,SEARCH("-",'R.M Billets Reports'!D2429)+1,200)),""))&lt;&gt;"",IF(ISNUMBER(SEARCH("Party Name:-",'R.M Billets Reports'!D2429)),TRIM('R.M Billets Reports'!F2429),IF(ISNUMBER(SEARCH("Party Name-",'R.M Billets Reports'!D2429)),TRIM(MID('R.M Billets Reports'!D2429,SEARCH("-",'R.M Billets Reports'!D2429)+1,200)),"")),IF(ISNUMBER(SEARCH("Party Name:-",'R.M Billets Reports'!D2430)),TRIM('R.M Billets Reports'!F2430),IF(ISNUMBER(SEARCH("Party Name-",'R.M Billets Reports'!D2430)),TRIM(MID('R.M Billets Reports'!D2430,SEARCH("-",'R.M Billets Reports'!D2430)+1,200)),"")))="SHRI RADHE","SHREE RADHE",IF(IF(IF(ISNUMBER(SEARCH("Party Name:-",'R.M Billets Reports'!D2429)),TRIM('R.M Billets Reports'!F2429),IF(ISNUMBER(SEARCH("Party Name-",'R.M Billets Reports'!D2429)),TRIM(MID('R.M Billets Reports'!D2429,SEARCH("-",'R.M Billets Reports'!D2429)+1,200)),""))&lt;&gt;"",IF(ISNUMBER(SEARCH("Party Name:-",'R.M Billets Reports'!D2429)),TRIM('R.M Billets Reports'!F2429),IF(ISNUMBER(SEARCH("Party Name-",'R.M Billets Reports'!D2429)),TRIM(MID('R.M Billets Reports'!D2429,SEARCH("-",'R.M Billets Reports'!D2429)+1,200)),"")),IF(ISNUMBER(SEARCH("Party Name:-",'R.M Billets Reports'!D2430)),TRIM('R.M Billets Reports'!F2430),IF(ISNUMBER(SEARCH("Party Name-",'R.M Billets Reports'!D2430)),TRIM(MID('R.M Billets Reports'!D2430,SEARCH("-",'R.M Billets Reports'!D2430)+1,200)),"")))="SHREE RADHE SHAKTI SPONGE AND POWER PVT. LTD.","SHREE RADHE",IF(IF(ISNUMBER(SEARCH("Party Name:-",'R.M Billets Reports'!D2429)),TRIM('R.M Billets Reports'!F2429),IF(ISNUMBER(SEARCH("Party Name-",'R.M Billets Reports'!D2429)),TRIM(MID('R.M Billets Reports'!D2429,SEARCH("-",'R.M Billets Reports'!D2429)+1,200)),""))&lt;&gt;"",IF(ISNUMBER(SEARCH("Party Name:-",'R.M Billets Reports'!D2429)),TRIM('R.M Billets Reports'!F2429),IF(ISNUMBER(SEARCH("Party Name-",'R.M Billets Reports'!D2429)),TRIM(MID('R.M Billets Reports'!D2429,SEARCH("-",'R.M Billets Reports'!D2429)+1,200)),"")),IF(ISNUMBER(SEARCH("Party Name:-",'R.M Billets Reports'!D2430)),TRIM('R.M Billets Reports'!F2430),IF(ISNUMBER(SEARCH("Party Name-",'R.M Billets Reports'!D2430)),TRIM(MID('R.M Billets Reports'!D2430,SEARCH("-",'R.M Billets Reports'!D2430)+1,200)),"")))))),IF(ROW()=2,"",A2429))</f>
      </c>
      <c r="B2430">
        <f>IF(OR('R.M Billets Reports'!A2429="Date-",'R.M Billets Reports'!A2429="Date:-"),'R.M Billets Reports'!B2429,IF(ROW()=2,"",B2429))</f>
      </c>
      <c r="C2430">
        <f>IF('R.M Billets Reports'!A2429="V.No.",'R.M Billets Reports'!B2429,IF(ROW()=2,"",C2429))</f>
      </c>
      <c r="D2430">
        <f>IF('R.M Billets Reports'!A2429&lt;&gt;"",'R.M Billets Reports'!A2429,IF(ROW()=2,"",D2429))</f>
      </c>
      <c r="E2430">
        <f>IF('R.M Billets Reports'!B2429="","",TRIM('R.M Billets Reports'!B2429))</f>
      </c>
      <c r="F2430">
        <f>'R.M Billets Reports'!C2429</f>
      </c>
      <c r="G2430">
        <f>'R.M Billets Reports'!D2429</f>
      </c>
      <c r="H2430">
        <f>'R.M Billets Reports'!E2429</f>
      </c>
      <c r="I2430">
        <f>'R.M Billets Reports'!F2429</f>
      </c>
      <c r="J2430">
        <f>'R.M Billets Reports'!G2429</f>
      </c>
      <c r="K2430">
        <f>'R.M Billets Reports'!H2429</f>
      </c>
      <c r="L2430">
        <f>IF('R.M Billets Reports'!I2429="","",'R.M Billets Reports'!I2429)</f>
      </c>
      <c r="M2430">
        <f t="shared" si="74"/>
      </c>
      <c r="N2430">
        <f>IF('R.M Billets Reports'!J2429="","",'R.M Billets Reports'!J2429)</f>
      </c>
      <c r="O2430">
        <f t="shared" si="75"/>
      </c>
      <c r="P2430">
        <f>IF('R.M Billets Reports'!A2429="SIZE",'R.M Billets Reports'!B2429,P2429)</f>
      </c>
    </row>
    <row r="2431" spans="1:16" x14ac:dyDescent="0.25">
      <c r="A2431">
        <f>IF(OR('R.M Billets Reports'!A2430="Date-",'R.M Billets Reports'!A2430="Date:-"),IF(IF(IF(ISNUMBER(SEARCH("Party Name:-",'R.M Billets Reports'!D2430)),TRIM('R.M Billets Reports'!F2430),IF(ISNUMBER(SEARCH("Party Name-",'R.M Billets Reports'!D2430)),TRIM(MID('R.M Billets Reports'!D2430,SEARCH("-",'R.M Billets Reports'!D2430)+1,200)),""))&lt;&gt;"",IF(ISNUMBER(SEARCH("Party Name:-",'R.M Billets Reports'!D2430)),TRIM('R.M Billets Reports'!F2430),IF(ISNUMBER(SEARCH("Party Name-",'R.M Billets Reports'!D2430)),TRIM(MID('R.M Billets Reports'!D2430,SEARCH("-",'R.M Billets Reports'!D2430)+1,200)),"")),IF(ISNUMBER(SEARCH("Party Name:-",'R.M Billets Reports'!D2431)),TRIM('R.M Billets Reports'!F2431),IF(ISNUMBER(SEARCH("Party Name-",'R.M Billets Reports'!D2431)),TRIM(MID('R.M Billets Reports'!D2431,SEARCH("-",'R.M Billets Reports'!D2431)+1,200)),"")))="VRKP ISPAT PVT LTD","VRKP",IF(IF(IF(ISNUMBER(SEARCH("Party Name:-",'R.M Billets Reports'!D2430)),TRIM('R.M Billets Reports'!F2430),IF(ISNUMBER(SEARCH("Party Name-",'R.M Billets Reports'!D2430)),TRIM(MID('R.M Billets Reports'!D2430,SEARCH("-",'R.M Billets Reports'!D2430)+1,200)),""))&lt;&gt;"",IF(ISNUMBER(SEARCH("Party Name:-",'R.M Billets Reports'!D2430)),TRIM('R.M Billets Reports'!F2430),IF(ISNUMBER(SEARCH("Party Name-",'R.M Billets Reports'!D2430)),TRIM(MID('R.M Billets Reports'!D2430,SEARCH("-",'R.M Billets Reports'!D2430)+1,200)),"")),IF(ISNUMBER(SEARCH("Party Name:-",'R.M Billets Reports'!D2431)),TRIM('R.M Billets Reports'!F2431),IF(ISNUMBER(SEARCH("Party Name-",'R.M Billets Reports'!D2431)),TRIM(MID('R.M Billets Reports'!D2431,SEARCH("-",'R.M Billets Reports'!D2431)+1,200)),"")))="SHRI RADHE","SHREE RADHE",IF(IF(IF(ISNUMBER(SEARCH("Party Name:-",'R.M Billets Reports'!D2430)),TRIM('R.M Billets Reports'!F2430),IF(ISNUMBER(SEARCH("Party Name-",'R.M Billets Reports'!D2430)),TRIM(MID('R.M Billets Reports'!D2430,SEARCH("-",'R.M Billets Reports'!D2430)+1,200)),""))&lt;&gt;"",IF(ISNUMBER(SEARCH("Party Name:-",'R.M Billets Reports'!D2430)),TRIM('R.M Billets Reports'!F2430),IF(ISNUMBER(SEARCH("Party Name-",'R.M Billets Reports'!D2430)),TRIM(MID('R.M Billets Reports'!D2430,SEARCH("-",'R.M Billets Reports'!D2430)+1,200)),"")),IF(ISNUMBER(SEARCH("Party Name:-",'R.M Billets Reports'!D2431)),TRIM('R.M Billets Reports'!F2431),IF(ISNUMBER(SEARCH("Party Name-",'R.M Billets Reports'!D2431)),TRIM(MID('R.M Billets Reports'!D2431,SEARCH("-",'R.M Billets Reports'!D2431)+1,200)),"")))="SHREE RADHE SHAKTI SPONGE AND POWER PVT. LTD.","SHREE RADHE",IF(IF(ISNUMBER(SEARCH("Party Name:-",'R.M Billets Reports'!D2430)),TRIM('R.M Billets Reports'!F2430),IF(ISNUMBER(SEARCH("Party Name-",'R.M Billets Reports'!D2430)),TRIM(MID('R.M Billets Reports'!D2430,SEARCH("-",'R.M Billets Reports'!D2430)+1,200)),""))&lt;&gt;"",IF(ISNUMBER(SEARCH("Party Name:-",'R.M Billets Reports'!D2430)),TRIM('R.M Billets Reports'!F2430),IF(ISNUMBER(SEARCH("Party Name-",'R.M Billets Reports'!D2430)),TRIM(MID('R.M Billets Reports'!D2430,SEARCH("-",'R.M Billets Reports'!D2430)+1,200)),"")),IF(ISNUMBER(SEARCH("Party Name:-",'R.M Billets Reports'!D2431)),TRIM('R.M Billets Reports'!F2431),IF(ISNUMBER(SEARCH("Party Name-",'R.M Billets Reports'!D2431)),TRIM(MID('R.M Billets Reports'!D2431,SEARCH("-",'R.M Billets Reports'!D2431)+1,200)),"")))))),IF(ROW()=2,"",A2430))</f>
      </c>
      <c r="B2431">
        <f>IF(OR('R.M Billets Reports'!A2430="Date-",'R.M Billets Reports'!A2430="Date:-"),'R.M Billets Reports'!B2430,IF(ROW()=2,"",B2430))</f>
      </c>
      <c r="C2431">
        <f>IF('R.M Billets Reports'!A2430="V.No.",'R.M Billets Reports'!B2430,IF(ROW()=2,"",C2430))</f>
      </c>
      <c r="D2431">
        <f>IF('R.M Billets Reports'!A2430&lt;&gt;"",'R.M Billets Reports'!A2430,IF(ROW()=2,"",D2430))</f>
      </c>
      <c r="E2431">
        <f>IF('R.M Billets Reports'!B2430="","",TRIM('R.M Billets Reports'!B2430))</f>
      </c>
      <c r="F2431">
        <f>'R.M Billets Reports'!C2430</f>
      </c>
      <c r="G2431">
        <f>'R.M Billets Reports'!D2430</f>
      </c>
      <c r="H2431">
        <f>'R.M Billets Reports'!E2430</f>
      </c>
      <c r="I2431">
        <f>'R.M Billets Reports'!F2430</f>
      </c>
      <c r="J2431">
        <f>'R.M Billets Reports'!G2430</f>
      </c>
      <c r="K2431">
        <f>'R.M Billets Reports'!H2430</f>
      </c>
      <c r="L2431">
        <f>IF('R.M Billets Reports'!I2430="","",'R.M Billets Reports'!I2430)</f>
      </c>
      <c r="M2431">
        <f t="shared" si="74"/>
      </c>
      <c r="N2431">
        <f>IF('R.M Billets Reports'!J2430="","",'R.M Billets Reports'!J2430)</f>
      </c>
      <c r="O2431">
        <f t="shared" si="75"/>
      </c>
      <c r="P2431">
        <f>IF('R.M Billets Reports'!A2430="SIZE",'R.M Billets Reports'!B2430,P2430)</f>
      </c>
    </row>
    <row r="2432" spans="1:16" x14ac:dyDescent="0.25">
      <c r="A2432">
        <f>IF(OR('R.M Billets Reports'!A2431="Date-",'R.M Billets Reports'!A2431="Date:-"),IF(IF(IF(ISNUMBER(SEARCH("Party Name:-",'R.M Billets Reports'!D2431)),TRIM('R.M Billets Reports'!F2431),IF(ISNUMBER(SEARCH("Party Name-",'R.M Billets Reports'!D2431)),TRIM(MID('R.M Billets Reports'!D2431,SEARCH("-",'R.M Billets Reports'!D2431)+1,200)),""))&lt;&gt;"",IF(ISNUMBER(SEARCH("Party Name:-",'R.M Billets Reports'!D2431)),TRIM('R.M Billets Reports'!F2431),IF(ISNUMBER(SEARCH("Party Name-",'R.M Billets Reports'!D2431)),TRIM(MID('R.M Billets Reports'!D2431,SEARCH("-",'R.M Billets Reports'!D2431)+1,200)),"")),IF(ISNUMBER(SEARCH("Party Name:-",'R.M Billets Reports'!D2432)),TRIM('R.M Billets Reports'!F2432),IF(ISNUMBER(SEARCH("Party Name-",'R.M Billets Reports'!D2432)),TRIM(MID('R.M Billets Reports'!D2432,SEARCH("-",'R.M Billets Reports'!D2432)+1,200)),"")))="VRKP ISPAT PVT LTD","VRKP",IF(IF(IF(ISNUMBER(SEARCH("Party Name:-",'R.M Billets Reports'!D2431)),TRIM('R.M Billets Reports'!F2431),IF(ISNUMBER(SEARCH("Party Name-",'R.M Billets Reports'!D2431)),TRIM(MID('R.M Billets Reports'!D2431,SEARCH("-",'R.M Billets Reports'!D2431)+1,200)),""))&lt;&gt;"",IF(ISNUMBER(SEARCH("Party Name:-",'R.M Billets Reports'!D2431)),TRIM('R.M Billets Reports'!F2431),IF(ISNUMBER(SEARCH("Party Name-",'R.M Billets Reports'!D2431)),TRIM(MID('R.M Billets Reports'!D2431,SEARCH("-",'R.M Billets Reports'!D2431)+1,200)),"")),IF(ISNUMBER(SEARCH("Party Name:-",'R.M Billets Reports'!D2432)),TRIM('R.M Billets Reports'!F2432),IF(ISNUMBER(SEARCH("Party Name-",'R.M Billets Reports'!D2432)),TRIM(MID('R.M Billets Reports'!D2432,SEARCH("-",'R.M Billets Reports'!D2432)+1,200)),"")))="SHRI RADHE","SHREE RADHE",IF(IF(IF(ISNUMBER(SEARCH("Party Name:-",'R.M Billets Reports'!D2431)),TRIM('R.M Billets Reports'!F2431),IF(ISNUMBER(SEARCH("Party Name-",'R.M Billets Reports'!D2431)),TRIM(MID('R.M Billets Reports'!D2431,SEARCH("-",'R.M Billets Reports'!D2431)+1,200)),""))&lt;&gt;"",IF(ISNUMBER(SEARCH("Party Name:-",'R.M Billets Reports'!D2431)),TRIM('R.M Billets Reports'!F2431),IF(ISNUMBER(SEARCH("Party Name-",'R.M Billets Reports'!D2431)),TRIM(MID('R.M Billets Reports'!D2431,SEARCH("-",'R.M Billets Reports'!D2431)+1,200)),"")),IF(ISNUMBER(SEARCH("Party Name:-",'R.M Billets Reports'!D2432)),TRIM('R.M Billets Reports'!F2432),IF(ISNUMBER(SEARCH("Party Name-",'R.M Billets Reports'!D2432)),TRIM(MID('R.M Billets Reports'!D2432,SEARCH("-",'R.M Billets Reports'!D2432)+1,200)),"")))="SHREE RADHE SHAKTI SPONGE AND POWER PVT. LTD.","SHREE RADHE",IF(IF(ISNUMBER(SEARCH("Party Name:-",'R.M Billets Reports'!D2431)),TRIM('R.M Billets Reports'!F2431),IF(ISNUMBER(SEARCH("Party Name-",'R.M Billets Reports'!D2431)),TRIM(MID('R.M Billets Reports'!D2431,SEARCH("-",'R.M Billets Reports'!D2431)+1,200)),""))&lt;&gt;"",IF(ISNUMBER(SEARCH("Party Name:-",'R.M Billets Reports'!D2431)),TRIM('R.M Billets Reports'!F2431),IF(ISNUMBER(SEARCH("Party Name-",'R.M Billets Reports'!D2431)),TRIM(MID('R.M Billets Reports'!D2431,SEARCH("-",'R.M Billets Reports'!D2431)+1,200)),"")),IF(ISNUMBER(SEARCH("Party Name:-",'R.M Billets Reports'!D2432)),TRIM('R.M Billets Reports'!F2432),IF(ISNUMBER(SEARCH("Party Name-",'R.M Billets Reports'!D2432)),TRIM(MID('R.M Billets Reports'!D2432,SEARCH("-",'R.M Billets Reports'!D2432)+1,200)),"")))))),IF(ROW()=2,"",A2431))</f>
      </c>
      <c r="B2432">
        <f>IF(OR('R.M Billets Reports'!A2431="Date-",'R.M Billets Reports'!A2431="Date:-"),'R.M Billets Reports'!B2431,IF(ROW()=2,"",B2431))</f>
      </c>
      <c r="C2432">
        <f>IF('R.M Billets Reports'!A2431="V.No.",'R.M Billets Reports'!B2431,IF(ROW()=2,"",C2431))</f>
      </c>
      <c r="D2432">
        <f>IF('R.M Billets Reports'!A2431&lt;&gt;"",'R.M Billets Reports'!A2431,IF(ROW()=2,"",D2431))</f>
      </c>
      <c r="E2432">
        <f>IF('R.M Billets Reports'!B2431="","",TRIM('R.M Billets Reports'!B2431))</f>
      </c>
      <c r="F2432">
        <f>'R.M Billets Reports'!C2431</f>
      </c>
      <c r="G2432">
        <f>'R.M Billets Reports'!D2431</f>
      </c>
      <c r="H2432">
        <f>'R.M Billets Reports'!E2431</f>
      </c>
      <c r="I2432">
        <f>'R.M Billets Reports'!F2431</f>
      </c>
      <c r="J2432">
        <f>'R.M Billets Reports'!G2431</f>
      </c>
      <c r="K2432">
        <f>'R.M Billets Reports'!H2431</f>
      </c>
      <c r="L2432">
        <f>IF('R.M Billets Reports'!I2431="","",'R.M Billets Reports'!I2431)</f>
      </c>
      <c r="M2432">
        <f t="shared" si="74"/>
      </c>
      <c r="N2432">
        <f>IF('R.M Billets Reports'!J2431="","",'R.M Billets Reports'!J2431)</f>
      </c>
      <c r="O2432">
        <f t="shared" si="75"/>
      </c>
      <c r="P2432">
        <f>IF('R.M Billets Reports'!A2431="SIZE",'R.M Billets Reports'!B2431,P2431)</f>
      </c>
    </row>
    <row r="2433" spans="1:16" x14ac:dyDescent="0.25">
      <c r="A2433">
        <f>IF(OR('R.M Billets Reports'!A2432="Date-",'R.M Billets Reports'!A2432="Date:-"),IF(IF(IF(ISNUMBER(SEARCH("Party Name:-",'R.M Billets Reports'!D2432)),TRIM('R.M Billets Reports'!F2432),IF(ISNUMBER(SEARCH("Party Name-",'R.M Billets Reports'!D2432)),TRIM(MID('R.M Billets Reports'!D2432,SEARCH("-",'R.M Billets Reports'!D2432)+1,200)),""))&lt;&gt;"",IF(ISNUMBER(SEARCH("Party Name:-",'R.M Billets Reports'!D2432)),TRIM('R.M Billets Reports'!F2432),IF(ISNUMBER(SEARCH("Party Name-",'R.M Billets Reports'!D2432)),TRIM(MID('R.M Billets Reports'!D2432,SEARCH("-",'R.M Billets Reports'!D2432)+1,200)),"")),IF(ISNUMBER(SEARCH("Party Name:-",'R.M Billets Reports'!D2433)),TRIM('R.M Billets Reports'!F2433),IF(ISNUMBER(SEARCH("Party Name-",'R.M Billets Reports'!D2433)),TRIM(MID('R.M Billets Reports'!D2433,SEARCH("-",'R.M Billets Reports'!D2433)+1,200)),"")))="VRKP ISPAT PVT LTD","VRKP",IF(IF(IF(ISNUMBER(SEARCH("Party Name:-",'R.M Billets Reports'!D2432)),TRIM('R.M Billets Reports'!F2432),IF(ISNUMBER(SEARCH("Party Name-",'R.M Billets Reports'!D2432)),TRIM(MID('R.M Billets Reports'!D2432,SEARCH("-",'R.M Billets Reports'!D2432)+1,200)),""))&lt;&gt;"",IF(ISNUMBER(SEARCH("Party Name:-",'R.M Billets Reports'!D2432)),TRIM('R.M Billets Reports'!F2432),IF(ISNUMBER(SEARCH("Party Name-",'R.M Billets Reports'!D2432)),TRIM(MID('R.M Billets Reports'!D2432,SEARCH("-",'R.M Billets Reports'!D2432)+1,200)),"")),IF(ISNUMBER(SEARCH("Party Name:-",'R.M Billets Reports'!D2433)),TRIM('R.M Billets Reports'!F2433),IF(ISNUMBER(SEARCH("Party Name-",'R.M Billets Reports'!D2433)),TRIM(MID('R.M Billets Reports'!D2433,SEARCH("-",'R.M Billets Reports'!D2433)+1,200)),"")))="SHRI RADHE","SHREE RADHE",IF(IF(IF(ISNUMBER(SEARCH("Party Name:-",'R.M Billets Reports'!D2432)),TRIM('R.M Billets Reports'!F2432),IF(ISNUMBER(SEARCH("Party Name-",'R.M Billets Reports'!D2432)),TRIM(MID('R.M Billets Reports'!D2432,SEARCH("-",'R.M Billets Reports'!D2432)+1,200)),""))&lt;&gt;"",IF(ISNUMBER(SEARCH("Party Name:-",'R.M Billets Reports'!D2432)),TRIM('R.M Billets Reports'!F2432),IF(ISNUMBER(SEARCH("Party Name-",'R.M Billets Reports'!D2432)),TRIM(MID('R.M Billets Reports'!D2432,SEARCH("-",'R.M Billets Reports'!D2432)+1,200)),"")),IF(ISNUMBER(SEARCH("Party Name:-",'R.M Billets Reports'!D2433)),TRIM('R.M Billets Reports'!F2433),IF(ISNUMBER(SEARCH("Party Name-",'R.M Billets Reports'!D2433)),TRIM(MID('R.M Billets Reports'!D2433,SEARCH("-",'R.M Billets Reports'!D2433)+1,200)),"")))="SHREE RADHE SHAKTI SPONGE AND POWER PVT. LTD.","SHREE RADHE",IF(IF(ISNUMBER(SEARCH("Party Name:-",'R.M Billets Reports'!D2432)),TRIM('R.M Billets Reports'!F2432),IF(ISNUMBER(SEARCH("Party Name-",'R.M Billets Reports'!D2432)),TRIM(MID('R.M Billets Reports'!D2432,SEARCH("-",'R.M Billets Reports'!D2432)+1,200)),""))&lt;&gt;"",IF(ISNUMBER(SEARCH("Party Name:-",'R.M Billets Reports'!D2432)),TRIM('R.M Billets Reports'!F2432),IF(ISNUMBER(SEARCH("Party Name-",'R.M Billets Reports'!D2432)),TRIM(MID('R.M Billets Reports'!D2432,SEARCH("-",'R.M Billets Reports'!D2432)+1,200)),"")),IF(ISNUMBER(SEARCH("Party Name:-",'R.M Billets Reports'!D2433)),TRIM('R.M Billets Reports'!F2433),IF(ISNUMBER(SEARCH("Party Name-",'R.M Billets Reports'!D2433)),TRIM(MID('R.M Billets Reports'!D2433,SEARCH("-",'R.M Billets Reports'!D2433)+1,200)),"")))))),IF(ROW()=2,"",A2432))</f>
      </c>
      <c r="B2433">
        <f>IF(OR('R.M Billets Reports'!A2432="Date-",'R.M Billets Reports'!A2432="Date:-"),'R.M Billets Reports'!B2432,IF(ROW()=2,"",B2432))</f>
      </c>
      <c r="C2433">
        <f>IF('R.M Billets Reports'!A2432="V.No.",'R.M Billets Reports'!B2432,IF(ROW()=2,"",C2432))</f>
      </c>
      <c r="D2433">
        <f>IF('R.M Billets Reports'!A2432&lt;&gt;"",'R.M Billets Reports'!A2432,IF(ROW()=2,"",D2432))</f>
      </c>
      <c r="E2433">
        <f>IF('R.M Billets Reports'!B2432="","",TRIM('R.M Billets Reports'!B2432))</f>
      </c>
      <c r="F2433">
        <f>'R.M Billets Reports'!C2432</f>
      </c>
      <c r="G2433">
        <f>'R.M Billets Reports'!D2432</f>
      </c>
      <c r="H2433">
        <f>'R.M Billets Reports'!E2432</f>
      </c>
      <c r="I2433">
        <f>'R.M Billets Reports'!F2432</f>
      </c>
      <c r="J2433">
        <f>'R.M Billets Reports'!G2432</f>
      </c>
      <c r="K2433">
        <f>'R.M Billets Reports'!H2432</f>
      </c>
      <c r="L2433">
        <f>IF('R.M Billets Reports'!I2432="","",'R.M Billets Reports'!I2432)</f>
      </c>
      <c r="M2433">
        <f t="shared" si="74"/>
      </c>
      <c r="N2433">
        <f>IF('R.M Billets Reports'!J2432="","",'R.M Billets Reports'!J2432)</f>
      </c>
      <c r="O2433">
        <f t="shared" si="75"/>
      </c>
      <c r="P2433">
        <f>IF('R.M Billets Reports'!A2432="SIZE",'R.M Billets Reports'!B2432,P2432)</f>
      </c>
    </row>
    <row r="2434" spans="1:16" x14ac:dyDescent="0.25">
      <c r="A2434">
        <f>IF(OR('R.M Billets Reports'!A2433="Date-",'R.M Billets Reports'!A2433="Date:-"),IF(IF(IF(ISNUMBER(SEARCH("Party Name:-",'R.M Billets Reports'!D2433)),TRIM('R.M Billets Reports'!F2433),IF(ISNUMBER(SEARCH("Party Name-",'R.M Billets Reports'!D2433)),TRIM(MID('R.M Billets Reports'!D2433,SEARCH("-",'R.M Billets Reports'!D2433)+1,200)),""))&lt;&gt;"",IF(ISNUMBER(SEARCH("Party Name:-",'R.M Billets Reports'!D2433)),TRIM('R.M Billets Reports'!F2433),IF(ISNUMBER(SEARCH("Party Name-",'R.M Billets Reports'!D2433)),TRIM(MID('R.M Billets Reports'!D2433,SEARCH("-",'R.M Billets Reports'!D2433)+1,200)),"")),IF(ISNUMBER(SEARCH("Party Name:-",'R.M Billets Reports'!D2434)),TRIM('R.M Billets Reports'!F2434),IF(ISNUMBER(SEARCH("Party Name-",'R.M Billets Reports'!D2434)),TRIM(MID('R.M Billets Reports'!D2434,SEARCH("-",'R.M Billets Reports'!D2434)+1,200)),"")))="VRKP ISPAT PVT LTD","VRKP",IF(IF(IF(ISNUMBER(SEARCH("Party Name:-",'R.M Billets Reports'!D2433)),TRIM('R.M Billets Reports'!F2433),IF(ISNUMBER(SEARCH("Party Name-",'R.M Billets Reports'!D2433)),TRIM(MID('R.M Billets Reports'!D2433,SEARCH("-",'R.M Billets Reports'!D2433)+1,200)),""))&lt;&gt;"",IF(ISNUMBER(SEARCH("Party Name:-",'R.M Billets Reports'!D2433)),TRIM('R.M Billets Reports'!F2433),IF(ISNUMBER(SEARCH("Party Name-",'R.M Billets Reports'!D2433)),TRIM(MID('R.M Billets Reports'!D2433,SEARCH("-",'R.M Billets Reports'!D2433)+1,200)),"")),IF(ISNUMBER(SEARCH("Party Name:-",'R.M Billets Reports'!D2434)),TRIM('R.M Billets Reports'!F2434),IF(ISNUMBER(SEARCH("Party Name-",'R.M Billets Reports'!D2434)),TRIM(MID('R.M Billets Reports'!D2434,SEARCH("-",'R.M Billets Reports'!D2434)+1,200)),"")))="SHRI RADHE","SHREE RADHE",IF(IF(IF(ISNUMBER(SEARCH("Party Name:-",'R.M Billets Reports'!D2433)),TRIM('R.M Billets Reports'!F2433),IF(ISNUMBER(SEARCH("Party Name-",'R.M Billets Reports'!D2433)),TRIM(MID('R.M Billets Reports'!D2433,SEARCH("-",'R.M Billets Reports'!D2433)+1,200)),""))&lt;&gt;"",IF(ISNUMBER(SEARCH("Party Name:-",'R.M Billets Reports'!D2433)),TRIM('R.M Billets Reports'!F2433),IF(ISNUMBER(SEARCH("Party Name-",'R.M Billets Reports'!D2433)),TRIM(MID('R.M Billets Reports'!D2433,SEARCH("-",'R.M Billets Reports'!D2433)+1,200)),"")),IF(ISNUMBER(SEARCH("Party Name:-",'R.M Billets Reports'!D2434)),TRIM('R.M Billets Reports'!F2434),IF(ISNUMBER(SEARCH("Party Name-",'R.M Billets Reports'!D2434)),TRIM(MID('R.M Billets Reports'!D2434,SEARCH("-",'R.M Billets Reports'!D2434)+1,200)),"")))="SHREE RADHE SHAKTI SPONGE AND POWER PVT. LTD.","SHREE RADHE",IF(IF(ISNUMBER(SEARCH("Party Name:-",'R.M Billets Reports'!D2433)),TRIM('R.M Billets Reports'!F2433),IF(ISNUMBER(SEARCH("Party Name-",'R.M Billets Reports'!D2433)),TRIM(MID('R.M Billets Reports'!D2433,SEARCH("-",'R.M Billets Reports'!D2433)+1,200)),""))&lt;&gt;"",IF(ISNUMBER(SEARCH("Party Name:-",'R.M Billets Reports'!D2433)),TRIM('R.M Billets Reports'!F2433),IF(ISNUMBER(SEARCH("Party Name-",'R.M Billets Reports'!D2433)),TRIM(MID('R.M Billets Reports'!D2433,SEARCH("-",'R.M Billets Reports'!D2433)+1,200)),"")),IF(ISNUMBER(SEARCH("Party Name:-",'R.M Billets Reports'!D2434)),TRIM('R.M Billets Reports'!F2434),IF(ISNUMBER(SEARCH("Party Name-",'R.M Billets Reports'!D2434)),TRIM(MID('R.M Billets Reports'!D2434,SEARCH("-",'R.M Billets Reports'!D2434)+1,200)),"")))))),IF(ROW()=2,"",A2433))</f>
      </c>
      <c r="B2434">
        <f>IF(OR('R.M Billets Reports'!A2433="Date-",'R.M Billets Reports'!A2433="Date:-"),'R.M Billets Reports'!B2433,IF(ROW()=2,"",B2433))</f>
      </c>
      <c r="C2434">
        <f>IF('R.M Billets Reports'!A2433="V.No.",'R.M Billets Reports'!B2433,IF(ROW()=2,"",C2433))</f>
      </c>
      <c r="D2434">
        <f>IF('R.M Billets Reports'!A2433&lt;&gt;"",'R.M Billets Reports'!A2433,IF(ROW()=2,"",D2433))</f>
      </c>
      <c r="E2434">
        <f>IF('R.M Billets Reports'!B2433="","",TRIM('R.M Billets Reports'!B2433))</f>
      </c>
      <c r="F2434">
        <f>'R.M Billets Reports'!C2433</f>
      </c>
      <c r="G2434">
        <f>'R.M Billets Reports'!D2433</f>
      </c>
      <c r="H2434">
        <f>'R.M Billets Reports'!E2433</f>
      </c>
      <c r="I2434">
        <f>'R.M Billets Reports'!F2433</f>
      </c>
      <c r="J2434">
        <f>'R.M Billets Reports'!G2433</f>
      </c>
      <c r="K2434">
        <f>'R.M Billets Reports'!H2433</f>
      </c>
      <c r="L2434">
        <f>IF('R.M Billets Reports'!I2433="","",'R.M Billets Reports'!I2433)</f>
      </c>
      <c r="M2434">
        <f t="shared" si="74"/>
      </c>
      <c r="N2434">
        <f>IF('R.M Billets Reports'!J2433="","",'R.M Billets Reports'!J2433)</f>
      </c>
      <c r="O2434">
        <f t="shared" si="75"/>
      </c>
      <c r="P2434">
        <f>IF('R.M Billets Reports'!A2433="SIZE",'R.M Billets Reports'!B2433,P2433)</f>
      </c>
    </row>
    <row r="2435" spans="1:16" x14ac:dyDescent="0.25">
      <c r="A2435">
        <f>IF(OR('R.M Billets Reports'!A2434="Date-",'R.M Billets Reports'!A2434="Date:-"),IF(IF(IF(ISNUMBER(SEARCH("Party Name:-",'R.M Billets Reports'!D2434)),TRIM('R.M Billets Reports'!F2434),IF(ISNUMBER(SEARCH("Party Name-",'R.M Billets Reports'!D2434)),TRIM(MID('R.M Billets Reports'!D2434,SEARCH("-",'R.M Billets Reports'!D2434)+1,200)),""))&lt;&gt;"",IF(ISNUMBER(SEARCH("Party Name:-",'R.M Billets Reports'!D2434)),TRIM('R.M Billets Reports'!F2434),IF(ISNUMBER(SEARCH("Party Name-",'R.M Billets Reports'!D2434)),TRIM(MID('R.M Billets Reports'!D2434,SEARCH("-",'R.M Billets Reports'!D2434)+1,200)),"")),IF(ISNUMBER(SEARCH("Party Name:-",'R.M Billets Reports'!D2435)),TRIM('R.M Billets Reports'!F2435),IF(ISNUMBER(SEARCH("Party Name-",'R.M Billets Reports'!D2435)),TRIM(MID('R.M Billets Reports'!D2435,SEARCH("-",'R.M Billets Reports'!D2435)+1,200)),"")))="VRKP ISPAT PVT LTD","VRKP",IF(IF(IF(ISNUMBER(SEARCH("Party Name:-",'R.M Billets Reports'!D2434)),TRIM('R.M Billets Reports'!F2434),IF(ISNUMBER(SEARCH("Party Name-",'R.M Billets Reports'!D2434)),TRIM(MID('R.M Billets Reports'!D2434,SEARCH("-",'R.M Billets Reports'!D2434)+1,200)),""))&lt;&gt;"",IF(ISNUMBER(SEARCH("Party Name:-",'R.M Billets Reports'!D2434)),TRIM('R.M Billets Reports'!F2434),IF(ISNUMBER(SEARCH("Party Name-",'R.M Billets Reports'!D2434)),TRIM(MID('R.M Billets Reports'!D2434,SEARCH("-",'R.M Billets Reports'!D2434)+1,200)),"")),IF(ISNUMBER(SEARCH("Party Name:-",'R.M Billets Reports'!D2435)),TRIM('R.M Billets Reports'!F2435),IF(ISNUMBER(SEARCH("Party Name-",'R.M Billets Reports'!D2435)),TRIM(MID('R.M Billets Reports'!D2435,SEARCH("-",'R.M Billets Reports'!D2435)+1,200)),"")))="SHRI RADHE","SHREE RADHE",IF(IF(IF(ISNUMBER(SEARCH("Party Name:-",'R.M Billets Reports'!D2434)),TRIM('R.M Billets Reports'!F2434),IF(ISNUMBER(SEARCH("Party Name-",'R.M Billets Reports'!D2434)),TRIM(MID('R.M Billets Reports'!D2434,SEARCH("-",'R.M Billets Reports'!D2434)+1,200)),""))&lt;&gt;"",IF(ISNUMBER(SEARCH("Party Name:-",'R.M Billets Reports'!D2434)),TRIM('R.M Billets Reports'!F2434),IF(ISNUMBER(SEARCH("Party Name-",'R.M Billets Reports'!D2434)),TRIM(MID('R.M Billets Reports'!D2434,SEARCH("-",'R.M Billets Reports'!D2434)+1,200)),"")),IF(ISNUMBER(SEARCH("Party Name:-",'R.M Billets Reports'!D2435)),TRIM('R.M Billets Reports'!F2435),IF(ISNUMBER(SEARCH("Party Name-",'R.M Billets Reports'!D2435)),TRIM(MID('R.M Billets Reports'!D2435,SEARCH("-",'R.M Billets Reports'!D2435)+1,200)),"")))="SHREE RADHE SHAKTI SPONGE AND POWER PVT. LTD.","SHREE RADHE",IF(IF(ISNUMBER(SEARCH("Party Name:-",'R.M Billets Reports'!D2434)),TRIM('R.M Billets Reports'!F2434),IF(ISNUMBER(SEARCH("Party Name-",'R.M Billets Reports'!D2434)),TRIM(MID('R.M Billets Reports'!D2434,SEARCH("-",'R.M Billets Reports'!D2434)+1,200)),""))&lt;&gt;"",IF(ISNUMBER(SEARCH("Party Name:-",'R.M Billets Reports'!D2434)),TRIM('R.M Billets Reports'!F2434),IF(ISNUMBER(SEARCH("Party Name-",'R.M Billets Reports'!D2434)),TRIM(MID('R.M Billets Reports'!D2434,SEARCH("-",'R.M Billets Reports'!D2434)+1,200)),"")),IF(ISNUMBER(SEARCH("Party Name:-",'R.M Billets Reports'!D2435)),TRIM('R.M Billets Reports'!F2435),IF(ISNUMBER(SEARCH("Party Name-",'R.M Billets Reports'!D2435)),TRIM(MID('R.M Billets Reports'!D2435,SEARCH("-",'R.M Billets Reports'!D2435)+1,200)),"")))))),IF(ROW()=2,"",A2434))</f>
      </c>
      <c r="B2435">
        <f>IF(OR('R.M Billets Reports'!A2434="Date-",'R.M Billets Reports'!A2434="Date:-"),'R.M Billets Reports'!B2434,IF(ROW()=2,"",B2434))</f>
      </c>
      <c r="C2435">
        <f>IF('R.M Billets Reports'!A2434="V.No.",'R.M Billets Reports'!B2434,IF(ROW()=2,"",C2434))</f>
      </c>
      <c r="D2435">
        <f>IF('R.M Billets Reports'!A2434&lt;&gt;"",'R.M Billets Reports'!A2434,IF(ROW()=2,"",D2434))</f>
      </c>
      <c r="E2435">
        <f>IF('R.M Billets Reports'!B2434="","",TRIM('R.M Billets Reports'!B2434))</f>
      </c>
      <c r="F2435">
        <f>'R.M Billets Reports'!C2434</f>
      </c>
      <c r="G2435">
        <f>'R.M Billets Reports'!D2434</f>
      </c>
      <c r="H2435">
        <f>'R.M Billets Reports'!E2434</f>
      </c>
      <c r="I2435">
        <f>'R.M Billets Reports'!F2434</f>
      </c>
      <c r="J2435">
        <f>'R.M Billets Reports'!G2434</f>
      </c>
      <c r="K2435">
        <f>'R.M Billets Reports'!H2434</f>
      </c>
      <c r="L2435">
        <f>IF('R.M Billets Reports'!I2434="","",'R.M Billets Reports'!I2434)</f>
      </c>
      <c r="M2435">
        <f t="shared" ref="M2435:M2498" si="76">IF(L2435&lt;&gt;"",L2435,IF(D2435=D2434,M2434,""))</f>
      </c>
      <c r="N2435">
        <f>IF('R.M Billets Reports'!J2434="","",'R.M Billets Reports'!J2434)</f>
      </c>
      <c r="O2435">
        <f t="shared" ref="O2435:O2498" si="77">IF(N2435&lt;&gt;"",N2435,IF(D2435=D2434,O2434,""))</f>
      </c>
      <c r="P2435">
        <f>IF('R.M Billets Reports'!A2434="SIZE",'R.M Billets Reports'!B2434,P2434)</f>
      </c>
    </row>
    <row r="2436" spans="1:16" x14ac:dyDescent="0.25">
      <c r="A2436">
        <f>IF(OR('R.M Billets Reports'!A2435="Date-",'R.M Billets Reports'!A2435="Date:-"),IF(IF(IF(ISNUMBER(SEARCH("Party Name:-",'R.M Billets Reports'!D2435)),TRIM('R.M Billets Reports'!F2435),IF(ISNUMBER(SEARCH("Party Name-",'R.M Billets Reports'!D2435)),TRIM(MID('R.M Billets Reports'!D2435,SEARCH("-",'R.M Billets Reports'!D2435)+1,200)),""))&lt;&gt;"",IF(ISNUMBER(SEARCH("Party Name:-",'R.M Billets Reports'!D2435)),TRIM('R.M Billets Reports'!F2435),IF(ISNUMBER(SEARCH("Party Name-",'R.M Billets Reports'!D2435)),TRIM(MID('R.M Billets Reports'!D2435,SEARCH("-",'R.M Billets Reports'!D2435)+1,200)),"")),IF(ISNUMBER(SEARCH("Party Name:-",'R.M Billets Reports'!D2436)),TRIM('R.M Billets Reports'!F2436),IF(ISNUMBER(SEARCH("Party Name-",'R.M Billets Reports'!D2436)),TRIM(MID('R.M Billets Reports'!D2436,SEARCH("-",'R.M Billets Reports'!D2436)+1,200)),"")))="VRKP ISPAT PVT LTD","VRKP",IF(IF(IF(ISNUMBER(SEARCH("Party Name:-",'R.M Billets Reports'!D2435)),TRIM('R.M Billets Reports'!F2435),IF(ISNUMBER(SEARCH("Party Name-",'R.M Billets Reports'!D2435)),TRIM(MID('R.M Billets Reports'!D2435,SEARCH("-",'R.M Billets Reports'!D2435)+1,200)),""))&lt;&gt;"",IF(ISNUMBER(SEARCH("Party Name:-",'R.M Billets Reports'!D2435)),TRIM('R.M Billets Reports'!F2435),IF(ISNUMBER(SEARCH("Party Name-",'R.M Billets Reports'!D2435)),TRIM(MID('R.M Billets Reports'!D2435,SEARCH("-",'R.M Billets Reports'!D2435)+1,200)),"")),IF(ISNUMBER(SEARCH("Party Name:-",'R.M Billets Reports'!D2436)),TRIM('R.M Billets Reports'!F2436),IF(ISNUMBER(SEARCH("Party Name-",'R.M Billets Reports'!D2436)),TRIM(MID('R.M Billets Reports'!D2436,SEARCH("-",'R.M Billets Reports'!D2436)+1,200)),"")))="SHRI RADHE","SHREE RADHE",IF(IF(IF(ISNUMBER(SEARCH("Party Name:-",'R.M Billets Reports'!D2435)),TRIM('R.M Billets Reports'!F2435),IF(ISNUMBER(SEARCH("Party Name-",'R.M Billets Reports'!D2435)),TRIM(MID('R.M Billets Reports'!D2435,SEARCH("-",'R.M Billets Reports'!D2435)+1,200)),""))&lt;&gt;"",IF(ISNUMBER(SEARCH("Party Name:-",'R.M Billets Reports'!D2435)),TRIM('R.M Billets Reports'!F2435),IF(ISNUMBER(SEARCH("Party Name-",'R.M Billets Reports'!D2435)),TRIM(MID('R.M Billets Reports'!D2435,SEARCH("-",'R.M Billets Reports'!D2435)+1,200)),"")),IF(ISNUMBER(SEARCH("Party Name:-",'R.M Billets Reports'!D2436)),TRIM('R.M Billets Reports'!F2436),IF(ISNUMBER(SEARCH("Party Name-",'R.M Billets Reports'!D2436)),TRIM(MID('R.M Billets Reports'!D2436,SEARCH("-",'R.M Billets Reports'!D2436)+1,200)),"")))="SHREE RADHE SHAKTI SPONGE AND POWER PVT. LTD.","SHREE RADHE",IF(IF(ISNUMBER(SEARCH("Party Name:-",'R.M Billets Reports'!D2435)),TRIM('R.M Billets Reports'!F2435),IF(ISNUMBER(SEARCH("Party Name-",'R.M Billets Reports'!D2435)),TRIM(MID('R.M Billets Reports'!D2435,SEARCH("-",'R.M Billets Reports'!D2435)+1,200)),""))&lt;&gt;"",IF(ISNUMBER(SEARCH("Party Name:-",'R.M Billets Reports'!D2435)),TRIM('R.M Billets Reports'!F2435),IF(ISNUMBER(SEARCH("Party Name-",'R.M Billets Reports'!D2435)),TRIM(MID('R.M Billets Reports'!D2435,SEARCH("-",'R.M Billets Reports'!D2435)+1,200)),"")),IF(ISNUMBER(SEARCH("Party Name:-",'R.M Billets Reports'!D2436)),TRIM('R.M Billets Reports'!F2436),IF(ISNUMBER(SEARCH("Party Name-",'R.M Billets Reports'!D2436)),TRIM(MID('R.M Billets Reports'!D2436,SEARCH("-",'R.M Billets Reports'!D2436)+1,200)),"")))))),IF(ROW()=2,"",A2435))</f>
      </c>
      <c r="B2436">
        <f>IF(OR('R.M Billets Reports'!A2435="Date-",'R.M Billets Reports'!A2435="Date:-"),'R.M Billets Reports'!B2435,IF(ROW()=2,"",B2435))</f>
      </c>
      <c r="C2436">
        <f>IF('R.M Billets Reports'!A2435="V.No.",'R.M Billets Reports'!B2435,IF(ROW()=2,"",C2435))</f>
      </c>
      <c r="D2436">
        <f>IF('R.M Billets Reports'!A2435&lt;&gt;"",'R.M Billets Reports'!A2435,IF(ROW()=2,"",D2435))</f>
      </c>
      <c r="E2436">
        <f>IF('R.M Billets Reports'!B2435="","",TRIM('R.M Billets Reports'!B2435))</f>
      </c>
      <c r="F2436">
        <f>'R.M Billets Reports'!C2435</f>
      </c>
      <c r="G2436">
        <f>'R.M Billets Reports'!D2435</f>
      </c>
      <c r="H2436">
        <f>'R.M Billets Reports'!E2435</f>
      </c>
      <c r="I2436">
        <f>'R.M Billets Reports'!F2435</f>
      </c>
      <c r="J2436">
        <f>'R.M Billets Reports'!G2435</f>
      </c>
      <c r="K2436">
        <f>'R.M Billets Reports'!H2435</f>
      </c>
      <c r="L2436">
        <f>IF('R.M Billets Reports'!I2435="","",'R.M Billets Reports'!I2435)</f>
      </c>
      <c r="M2436">
        <f t="shared" si="76"/>
      </c>
      <c r="N2436">
        <f>IF('R.M Billets Reports'!J2435="","",'R.M Billets Reports'!J2435)</f>
      </c>
      <c r="O2436">
        <f t="shared" si="77"/>
      </c>
      <c r="P2436">
        <f>IF('R.M Billets Reports'!A2435="SIZE",'R.M Billets Reports'!B2435,P2435)</f>
      </c>
    </row>
    <row r="2437" spans="1:16" x14ac:dyDescent="0.25">
      <c r="A2437">
        <f>IF(OR('R.M Billets Reports'!A2436="Date-",'R.M Billets Reports'!A2436="Date:-"),IF(IF(IF(ISNUMBER(SEARCH("Party Name:-",'R.M Billets Reports'!D2436)),TRIM('R.M Billets Reports'!F2436),IF(ISNUMBER(SEARCH("Party Name-",'R.M Billets Reports'!D2436)),TRIM(MID('R.M Billets Reports'!D2436,SEARCH("-",'R.M Billets Reports'!D2436)+1,200)),""))&lt;&gt;"",IF(ISNUMBER(SEARCH("Party Name:-",'R.M Billets Reports'!D2436)),TRIM('R.M Billets Reports'!F2436),IF(ISNUMBER(SEARCH("Party Name-",'R.M Billets Reports'!D2436)),TRIM(MID('R.M Billets Reports'!D2436,SEARCH("-",'R.M Billets Reports'!D2436)+1,200)),"")),IF(ISNUMBER(SEARCH("Party Name:-",'R.M Billets Reports'!D2437)),TRIM('R.M Billets Reports'!F2437),IF(ISNUMBER(SEARCH("Party Name-",'R.M Billets Reports'!D2437)),TRIM(MID('R.M Billets Reports'!D2437,SEARCH("-",'R.M Billets Reports'!D2437)+1,200)),"")))="VRKP ISPAT PVT LTD","VRKP",IF(IF(IF(ISNUMBER(SEARCH("Party Name:-",'R.M Billets Reports'!D2436)),TRIM('R.M Billets Reports'!F2436),IF(ISNUMBER(SEARCH("Party Name-",'R.M Billets Reports'!D2436)),TRIM(MID('R.M Billets Reports'!D2436,SEARCH("-",'R.M Billets Reports'!D2436)+1,200)),""))&lt;&gt;"",IF(ISNUMBER(SEARCH("Party Name:-",'R.M Billets Reports'!D2436)),TRIM('R.M Billets Reports'!F2436),IF(ISNUMBER(SEARCH("Party Name-",'R.M Billets Reports'!D2436)),TRIM(MID('R.M Billets Reports'!D2436,SEARCH("-",'R.M Billets Reports'!D2436)+1,200)),"")),IF(ISNUMBER(SEARCH("Party Name:-",'R.M Billets Reports'!D2437)),TRIM('R.M Billets Reports'!F2437),IF(ISNUMBER(SEARCH("Party Name-",'R.M Billets Reports'!D2437)),TRIM(MID('R.M Billets Reports'!D2437,SEARCH("-",'R.M Billets Reports'!D2437)+1,200)),"")))="SHRI RADHE","SHREE RADHE",IF(IF(IF(ISNUMBER(SEARCH("Party Name:-",'R.M Billets Reports'!D2436)),TRIM('R.M Billets Reports'!F2436),IF(ISNUMBER(SEARCH("Party Name-",'R.M Billets Reports'!D2436)),TRIM(MID('R.M Billets Reports'!D2436,SEARCH("-",'R.M Billets Reports'!D2436)+1,200)),""))&lt;&gt;"",IF(ISNUMBER(SEARCH("Party Name:-",'R.M Billets Reports'!D2436)),TRIM('R.M Billets Reports'!F2436),IF(ISNUMBER(SEARCH("Party Name-",'R.M Billets Reports'!D2436)),TRIM(MID('R.M Billets Reports'!D2436,SEARCH("-",'R.M Billets Reports'!D2436)+1,200)),"")),IF(ISNUMBER(SEARCH("Party Name:-",'R.M Billets Reports'!D2437)),TRIM('R.M Billets Reports'!F2437),IF(ISNUMBER(SEARCH("Party Name-",'R.M Billets Reports'!D2437)),TRIM(MID('R.M Billets Reports'!D2437,SEARCH("-",'R.M Billets Reports'!D2437)+1,200)),"")))="SHREE RADHE SHAKTI SPONGE AND POWER PVT. LTD.","SHREE RADHE",IF(IF(ISNUMBER(SEARCH("Party Name:-",'R.M Billets Reports'!D2436)),TRIM('R.M Billets Reports'!F2436),IF(ISNUMBER(SEARCH("Party Name-",'R.M Billets Reports'!D2436)),TRIM(MID('R.M Billets Reports'!D2436,SEARCH("-",'R.M Billets Reports'!D2436)+1,200)),""))&lt;&gt;"",IF(ISNUMBER(SEARCH("Party Name:-",'R.M Billets Reports'!D2436)),TRIM('R.M Billets Reports'!F2436),IF(ISNUMBER(SEARCH("Party Name-",'R.M Billets Reports'!D2436)),TRIM(MID('R.M Billets Reports'!D2436,SEARCH("-",'R.M Billets Reports'!D2436)+1,200)),"")),IF(ISNUMBER(SEARCH("Party Name:-",'R.M Billets Reports'!D2437)),TRIM('R.M Billets Reports'!F2437),IF(ISNUMBER(SEARCH("Party Name-",'R.M Billets Reports'!D2437)),TRIM(MID('R.M Billets Reports'!D2437,SEARCH("-",'R.M Billets Reports'!D2437)+1,200)),"")))))),IF(ROW()=2,"",A2436))</f>
      </c>
      <c r="B2437">
        <f>IF(OR('R.M Billets Reports'!A2436="Date-",'R.M Billets Reports'!A2436="Date:-"),'R.M Billets Reports'!B2436,IF(ROW()=2,"",B2436))</f>
      </c>
      <c r="C2437">
        <f>IF('R.M Billets Reports'!A2436="V.No.",'R.M Billets Reports'!B2436,IF(ROW()=2,"",C2436))</f>
      </c>
      <c r="D2437">
        <f>IF('R.M Billets Reports'!A2436&lt;&gt;"",'R.M Billets Reports'!A2436,IF(ROW()=2,"",D2436))</f>
      </c>
      <c r="E2437">
        <f>IF('R.M Billets Reports'!B2436="","",TRIM('R.M Billets Reports'!B2436))</f>
      </c>
      <c r="F2437">
        <f>'R.M Billets Reports'!C2436</f>
      </c>
      <c r="G2437">
        <f>'R.M Billets Reports'!D2436</f>
      </c>
      <c r="H2437">
        <f>'R.M Billets Reports'!E2436</f>
      </c>
      <c r="I2437">
        <f>'R.M Billets Reports'!F2436</f>
      </c>
      <c r="J2437">
        <f>'R.M Billets Reports'!G2436</f>
      </c>
      <c r="K2437">
        <f>'R.M Billets Reports'!H2436</f>
      </c>
      <c r="L2437">
        <f>IF('R.M Billets Reports'!I2436="","",'R.M Billets Reports'!I2436)</f>
      </c>
      <c r="M2437">
        <f t="shared" si="76"/>
      </c>
      <c r="N2437">
        <f>IF('R.M Billets Reports'!J2436="","",'R.M Billets Reports'!J2436)</f>
      </c>
      <c r="O2437">
        <f t="shared" si="77"/>
      </c>
      <c r="P2437">
        <f>IF('R.M Billets Reports'!A2436="SIZE",'R.M Billets Reports'!B2436,P2436)</f>
      </c>
    </row>
    <row r="2438" spans="1:16" x14ac:dyDescent="0.25">
      <c r="A2438">
        <f>IF(OR('R.M Billets Reports'!A2437="Date-",'R.M Billets Reports'!A2437="Date:-"),IF(IF(IF(ISNUMBER(SEARCH("Party Name:-",'R.M Billets Reports'!D2437)),TRIM('R.M Billets Reports'!F2437),IF(ISNUMBER(SEARCH("Party Name-",'R.M Billets Reports'!D2437)),TRIM(MID('R.M Billets Reports'!D2437,SEARCH("-",'R.M Billets Reports'!D2437)+1,200)),""))&lt;&gt;"",IF(ISNUMBER(SEARCH("Party Name:-",'R.M Billets Reports'!D2437)),TRIM('R.M Billets Reports'!F2437),IF(ISNUMBER(SEARCH("Party Name-",'R.M Billets Reports'!D2437)),TRIM(MID('R.M Billets Reports'!D2437,SEARCH("-",'R.M Billets Reports'!D2437)+1,200)),"")),IF(ISNUMBER(SEARCH("Party Name:-",'R.M Billets Reports'!D2438)),TRIM('R.M Billets Reports'!F2438),IF(ISNUMBER(SEARCH("Party Name-",'R.M Billets Reports'!D2438)),TRIM(MID('R.M Billets Reports'!D2438,SEARCH("-",'R.M Billets Reports'!D2438)+1,200)),"")))="VRKP ISPAT PVT LTD","VRKP",IF(IF(IF(ISNUMBER(SEARCH("Party Name:-",'R.M Billets Reports'!D2437)),TRIM('R.M Billets Reports'!F2437),IF(ISNUMBER(SEARCH("Party Name-",'R.M Billets Reports'!D2437)),TRIM(MID('R.M Billets Reports'!D2437,SEARCH("-",'R.M Billets Reports'!D2437)+1,200)),""))&lt;&gt;"",IF(ISNUMBER(SEARCH("Party Name:-",'R.M Billets Reports'!D2437)),TRIM('R.M Billets Reports'!F2437),IF(ISNUMBER(SEARCH("Party Name-",'R.M Billets Reports'!D2437)),TRIM(MID('R.M Billets Reports'!D2437,SEARCH("-",'R.M Billets Reports'!D2437)+1,200)),"")),IF(ISNUMBER(SEARCH("Party Name:-",'R.M Billets Reports'!D2438)),TRIM('R.M Billets Reports'!F2438),IF(ISNUMBER(SEARCH("Party Name-",'R.M Billets Reports'!D2438)),TRIM(MID('R.M Billets Reports'!D2438,SEARCH("-",'R.M Billets Reports'!D2438)+1,200)),"")))="SHRI RADHE","SHREE RADHE",IF(IF(IF(ISNUMBER(SEARCH("Party Name:-",'R.M Billets Reports'!D2437)),TRIM('R.M Billets Reports'!F2437),IF(ISNUMBER(SEARCH("Party Name-",'R.M Billets Reports'!D2437)),TRIM(MID('R.M Billets Reports'!D2437,SEARCH("-",'R.M Billets Reports'!D2437)+1,200)),""))&lt;&gt;"",IF(ISNUMBER(SEARCH("Party Name:-",'R.M Billets Reports'!D2437)),TRIM('R.M Billets Reports'!F2437),IF(ISNUMBER(SEARCH("Party Name-",'R.M Billets Reports'!D2437)),TRIM(MID('R.M Billets Reports'!D2437,SEARCH("-",'R.M Billets Reports'!D2437)+1,200)),"")),IF(ISNUMBER(SEARCH("Party Name:-",'R.M Billets Reports'!D2438)),TRIM('R.M Billets Reports'!F2438),IF(ISNUMBER(SEARCH("Party Name-",'R.M Billets Reports'!D2438)),TRIM(MID('R.M Billets Reports'!D2438,SEARCH("-",'R.M Billets Reports'!D2438)+1,200)),"")))="SHREE RADHE SHAKTI SPONGE AND POWER PVT. LTD.","SHREE RADHE",IF(IF(ISNUMBER(SEARCH("Party Name:-",'R.M Billets Reports'!D2437)),TRIM('R.M Billets Reports'!F2437),IF(ISNUMBER(SEARCH("Party Name-",'R.M Billets Reports'!D2437)),TRIM(MID('R.M Billets Reports'!D2437,SEARCH("-",'R.M Billets Reports'!D2437)+1,200)),""))&lt;&gt;"",IF(ISNUMBER(SEARCH("Party Name:-",'R.M Billets Reports'!D2437)),TRIM('R.M Billets Reports'!F2437),IF(ISNUMBER(SEARCH("Party Name-",'R.M Billets Reports'!D2437)),TRIM(MID('R.M Billets Reports'!D2437,SEARCH("-",'R.M Billets Reports'!D2437)+1,200)),"")),IF(ISNUMBER(SEARCH("Party Name:-",'R.M Billets Reports'!D2438)),TRIM('R.M Billets Reports'!F2438),IF(ISNUMBER(SEARCH("Party Name-",'R.M Billets Reports'!D2438)),TRIM(MID('R.M Billets Reports'!D2438,SEARCH("-",'R.M Billets Reports'!D2438)+1,200)),"")))))),IF(ROW()=2,"",A2437))</f>
      </c>
      <c r="B2438">
        <f>IF(OR('R.M Billets Reports'!A2437="Date-",'R.M Billets Reports'!A2437="Date:-"),'R.M Billets Reports'!B2437,IF(ROW()=2,"",B2437))</f>
      </c>
      <c r="C2438">
        <f>IF('R.M Billets Reports'!A2437="V.No.",'R.M Billets Reports'!B2437,IF(ROW()=2,"",C2437))</f>
      </c>
      <c r="D2438">
        <f>IF('R.M Billets Reports'!A2437&lt;&gt;"",'R.M Billets Reports'!A2437,IF(ROW()=2,"",D2437))</f>
      </c>
      <c r="E2438">
        <f>IF('R.M Billets Reports'!B2437="","",TRIM('R.M Billets Reports'!B2437))</f>
      </c>
      <c r="F2438">
        <f>'R.M Billets Reports'!C2437</f>
      </c>
      <c r="G2438">
        <f>'R.M Billets Reports'!D2437</f>
      </c>
      <c r="H2438">
        <f>'R.M Billets Reports'!E2437</f>
      </c>
      <c r="I2438">
        <f>'R.M Billets Reports'!F2437</f>
      </c>
      <c r="J2438">
        <f>'R.M Billets Reports'!G2437</f>
      </c>
      <c r="K2438">
        <f>'R.M Billets Reports'!H2437</f>
      </c>
      <c r="L2438">
        <f>IF('R.M Billets Reports'!I2437="","",'R.M Billets Reports'!I2437)</f>
      </c>
      <c r="M2438">
        <f t="shared" si="76"/>
      </c>
      <c r="N2438">
        <f>IF('R.M Billets Reports'!J2437="","",'R.M Billets Reports'!J2437)</f>
      </c>
      <c r="O2438">
        <f t="shared" si="77"/>
      </c>
      <c r="P2438">
        <f>IF('R.M Billets Reports'!A2437="SIZE",'R.M Billets Reports'!B2437,P2437)</f>
      </c>
    </row>
    <row r="2439" spans="1:16" x14ac:dyDescent="0.25">
      <c r="A2439">
        <f>IF(OR('R.M Billets Reports'!A2438="Date-",'R.M Billets Reports'!A2438="Date:-"),IF(IF(IF(ISNUMBER(SEARCH("Party Name:-",'R.M Billets Reports'!D2438)),TRIM('R.M Billets Reports'!F2438),IF(ISNUMBER(SEARCH("Party Name-",'R.M Billets Reports'!D2438)),TRIM(MID('R.M Billets Reports'!D2438,SEARCH("-",'R.M Billets Reports'!D2438)+1,200)),""))&lt;&gt;"",IF(ISNUMBER(SEARCH("Party Name:-",'R.M Billets Reports'!D2438)),TRIM('R.M Billets Reports'!F2438),IF(ISNUMBER(SEARCH("Party Name-",'R.M Billets Reports'!D2438)),TRIM(MID('R.M Billets Reports'!D2438,SEARCH("-",'R.M Billets Reports'!D2438)+1,200)),"")),IF(ISNUMBER(SEARCH("Party Name:-",'R.M Billets Reports'!D2439)),TRIM('R.M Billets Reports'!F2439),IF(ISNUMBER(SEARCH("Party Name-",'R.M Billets Reports'!D2439)),TRIM(MID('R.M Billets Reports'!D2439,SEARCH("-",'R.M Billets Reports'!D2439)+1,200)),"")))="VRKP ISPAT PVT LTD","VRKP",IF(IF(IF(ISNUMBER(SEARCH("Party Name:-",'R.M Billets Reports'!D2438)),TRIM('R.M Billets Reports'!F2438),IF(ISNUMBER(SEARCH("Party Name-",'R.M Billets Reports'!D2438)),TRIM(MID('R.M Billets Reports'!D2438,SEARCH("-",'R.M Billets Reports'!D2438)+1,200)),""))&lt;&gt;"",IF(ISNUMBER(SEARCH("Party Name:-",'R.M Billets Reports'!D2438)),TRIM('R.M Billets Reports'!F2438),IF(ISNUMBER(SEARCH("Party Name-",'R.M Billets Reports'!D2438)),TRIM(MID('R.M Billets Reports'!D2438,SEARCH("-",'R.M Billets Reports'!D2438)+1,200)),"")),IF(ISNUMBER(SEARCH("Party Name:-",'R.M Billets Reports'!D2439)),TRIM('R.M Billets Reports'!F2439),IF(ISNUMBER(SEARCH("Party Name-",'R.M Billets Reports'!D2439)),TRIM(MID('R.M Billets Reports'!D2439,SEARCH("-",'R.M Billets Reports'!D2439)+1,200)),"")))="SHRI RADHE","SHREE RADHE",IF(IF(IF(ISNUMBER(SEARCH("Party Name:-",'R.M Billets Reports'!D2438)),TRIM('R.M Billets Reports'!F2438),IF(ISNUMBER(SEARCH("Party Name-",'R.M Billets Reports'!D2438)),TRIM(MID('R.M Billets Reports'!D2438,SEARCH("-",'R.M Billets Reports'!D2438)+1,200)),""))&lt;&gt;"",IF(ISNUMBER(SEARCH("Party Name:-",'R.M Billets Reports'!D2438)),TRIM('R.M Billets Reports'!F2438),IF(ISNUMBER(SEARCH("Party Name-",'R.M Billets Reports'!D2438)),TRIM(MID('R.M Billets Reports'!D2438,SEARCH("-",'R.M Billets Reports'!D2438)+1,200)),"")),IF(ISNUMBER(SEARCH("Party Name:-",'R.M Billets Reports'!D2439)),TRIM('R.M Billets Reports'!F2439),IF(ISNUMBER(SEARCH("Party Name-",'R.M Billets Reports'!D2439)),TRIM(MID('R.M Billets Reports'!D2439,SEARCH("-",'R.M Billets Reports'!D2439)+1,200)),"")))="SHREE RADHE SHAKTI SPONGE AND POWER PVT. LTD.","SHREE RADHE",IF(IF(ISNUMBER(SEARCH("Party Name:-",'R.M Billets Reports'!D2438)),TRIM('R.M Billets Reports'!F2438),IF(ISNUMBER(SEARCH("Party Name-",'R.M Billets Reports'!D2438)),TRIM(MID('R.M Billets Reports'!D2438,SEARCH("-",'R.M Billets Reports'!D2438)+1,200)),""))&lt;&gt;"",IF(ISNUMBER(SEARCH("Party Name:-",'R.M Billets Reports'!D2438)),TRIM('R.M Billets Reports'!F2438),IF(ISNUMBER(SEARCH("Party Name-",'R.M Billets Reports'!D2438)),TRIM(MID('R.M Billets Reports'!D2438,SEARCH("-",'R.M Billets Reports'!D2438)+1,200)),"")),IF(ISNUMBER(SEARCH("Party Name:-",'R.M Billets Reports'!D2439)),TRIM('R.M Billets Reports'!F2439),IF(ISNUMBER(SEARCH("Party Name-",'R.M Billets Reports'!D2439)),TRIM(MID('R.M Billets Reports'!D2439,SEARCH("-",'R.M Billets Reports'!D2439)+1,200)),"")))))),IF(ROW()=2,"",A2438))</f>
      </c>
      <c r="B2439">
        <f>IF(OR('R.M Billets Reports'!A2438="Date-",'R.M Billets Reports'!A2438="Date:-"),'R.M Billets Reports'!B2438,IF(ROW()=2,"",B2438))</f>
      </c>
      <c r="C2439">
        <f>IF('R.M Billets Reports'!A2438="V.No.",'R.M Billets Reports'!B2438,IF(ROW()=2,"",C2438))</f>
      </c>
      <c r="D2439">
        <f>IF('R.M Billets Reports'!A2438&lt;&gt;"",'R.M Billets Reports'!A2438,IF(ROW()=2,"",D2438))</f>
      </c>
      <c r="E2439">
        <f>IF('R.M Billets Reports'!B2438="","",TRIM('R.M Billets Reports'!B2438))</f>
      </c>
      <c r="F2439">
        <f>'R.M Billets Reports'!C2438</f>
      </c>
      <c r="G2439">
        <f>'R.M Billets Reports'!D2438</f>
      </c>
      <c r="H2439">
        <f>'R.M Billets Reports'!E2438</f>
      </c>
      <c r="I2439">
        <f>'R.M Billets Reports'!F2438</f>
      </c>
      <c r="J2439">
        <f>'R.M Billets Reports'!G2438</f>
      </c>
      <c r="K2439">
        <f>'R.M Billets Reports'!H2438</f>
      </c>
      <c r="L2439">
        <f>IF('R.M Billets Reports'!I2438="","",'R.M Billets Reports'!I2438)</f>
      </c>
      <c r="M2439">
        <f t="shared" si="76"/>
      </c>
      <c r="N2439">
        <f>IF('R.M Billets Reports'!J2438="","",'R.M Billets Reports'!J2438)</f>
      </c>
      <c r="O2439">
        <f t="shared" si="77"/>
      </c>
      <c r="P2439">
        <f>IF('R.M Billets Reports'!A2438="SIZE",'R.M Billets Reports'!B2438,P2438)</f>
      </c>
    </row>
    <row r="2440" spans="1:16" x14ac:dyDescent="0.25">
      <c r="A2440">
        <f>IF(OR('R.M Billets Reports'!A2439="Date-",'R.M Billets Reports'!A2439="Date:-"),IF(IF(IF(ISNUMBER(SEARCH("Party Name:-",'R.M Billets Reports'!D2439)),TRIM('R.M Billets Reports'!F2439),IF(ISNUMBER(SEARCH("Party Name-",'R.M Billets Reports'!D2439)),TRIM(MID('R.M Billets Reports'!D2439,SEARCH("-",'R.M Billets Reports'!D2439)+1,200)),""))&lt;&gt;"",IF(ISNUMBER(SEARCH("Party Name:-",'R.M Billets Reports'!D2439)),TRIM('R.M Billets Reports'!F2439),IF(ISNUMBER(SEARCH("Party Name-",'R.M Billets Reports'!D2439)),TRIM(MID('R.M Billets Reports'!D2439,SEARCH("-",'R.M Billets Reports'!D2439)+1,200)),"")),IF(ISNUMBER(SEARCH("Party Name:-",'R.M Billets Reports'!D2440)),TRIM('R.M Billets Reports'!F2440),IF(ISNUMBER(SEARCH("Party Name-",'R.M Billets Reports'!D2440)),TRIM(MID('R.M Billets Reports'!D2440,SEARCH("-",'R.M Billets Reports'!D2440)+1,200)),"")))="VRKP ISPAT PVT LTD","VRKP",IF(IF(IF(ISNUMBER(SEARCH("Party Name:-",'R.M Billets Reports'!D2439)),TRIM('R.M Billets Reports'!F2439),IF(ISNUMBER(SEARCH("Party Name-",'R.M Billets Reports'!D2439)),TRIM(MID('R.M Billets Reports'!D2439,SEARCH("-",'R.M Billets Reports'!D2439)+1,200)),""))&lt;&gt;"",IF(ISNUMBER(SEARCH("Party Name:-",'R.M Billets Reports'!D2439)),TRIM('R.M Billets Reports'!F2439),IF(ISNUMBER(SEARCH("Party Name-",'R.M Billets Reports'!D2439)),TRIM(MID('R.M Billets Reports'!D2439,SEARCH("-",'R.M Billets Reports'!D2439)+1,200)),"")),IF(ISNUMBER(SEARCH("Party Name:-",'R.M Billets Reports'!D2440)),TRIM('R.M Billets Reports'!F2440),IF(ISNUMBER(SEARCH("Party Name-",'R.M Billets Reports'!D2440)),TRIM(MID('R.M Billets Reports'!D2440,SEARCH("-",'R.M Billets Reports'!D2440)+1,200)),"")))="SHRI RADHE","SHREE RADHE",IF(IF(IF(ISNUMBER(SEARCH("Party Name:-",'R.M Billets Reports'!D2439)),TRIM('R.M Billets Reports'!F2439),IF(ISNUMBER(SEARCH("Party Name-",'R.M Billets Reports'!D2439)),TRIM(MID('R.M Billets Reports'!D2439,SEARCH("-",'R.M Billets Reports'!D2439)+1,200)),""))&lt;&gt;"",IF(ISNUMBER(SEARCH("Party Name:-",'R.M Billets Reports'!D2439)),TRIM('R.M Billets Reports'!F2439),IF(ISNUMBER(SEARCH("Party Name-",'R.M Billets Reports'!D2439)),TRIM(MID('R.M Billets Reports'!D2439,SEARCH("-",'R.M Billets Reports'!D2439)+1,200)),"")),IF(ISNUMBER(SEARCH("Party Name:-",'R.M Billets Reports'!D2440)),TRIM('R.M Billets Reports'!F2440),IF(ISNUMBER(SEARCH("Party Name-",'R.M Billets Reports'!D2440)),TRIM(MID('R.M Billets Reports'!D2440,SEARCH("-",'R.M Billets Reports'!D2440)+1,200)),"")))="SHREE RADHE SHAKTI SPONGE AND POWER PVT. LTD.","SHREE RADHE",IF(IF(ISNUMBER(SEARCH("Party Name:-",'R.M Billets Reports'!D2439)),TRIM('R.M Billets Reports'!F2439),IF(ISNUMBER(SEARCH("Party Name-",'R.M Billets Reports'!D2439)),TRIM(MID('R.M Billets Reports'!D2439,SEARCH("-",'R.M Billets Reports'!D2439)+1,200)),""))&lt;&gt;"",IF(ISNUMBER(SEARCH("Party Name:-",'R.M Billets Reports'!D2439)),TRIM('R.M Billets Reports'!F2439),IF(ISNUMBER(SEARCH("Party Name-",'R.M Billets Reports'!D2439)),TRIM(MID('R.M Billets Reports'!D2439,SEARCH("-",'R.M Billets Reports'!D2439)+1,200)),"")),IF(ISNUMBER(SEARCH("Party Name:-",'R.M Billets Reports'!D2440)),TRIM('R.M Billets Reports'!F2440),IF(ISNUMBER(SEARCH("Party Name-",'R.M Billets Reports'!D2440)),TRIM(MID('R.M Billets Reports'!D2440,SEARCH("-",'R.M Billets Reports'!D2440)+1,200)),"")))))),IF(ROW()=2,"",A2439))</f>
      </c>
      <c r="B2440">
        <f>IF(OR('R.M Billets Reports'!A2439="Date-",'R.M Billets Reports'!A2439="Date:-"),'R.M Billets Reports'!B2439,IF(ROW()=2,"",B2439))</f>
      </c>
      <c r="C2440">
        <f>IF('R.M Billets Reports'!A2439="V.No.",'R.M Billets Reports'!B2439,IF(ROW()=2,"",C2439))</f>
      </c>
      <c r="D2440">
        <f>IF('R.M Billets Reports'!A2439&lt;&gt;"",'R.M Billets Reports'!A2439,IF(ROW()=2,"",D2439))</f>
      </c>
      <c r="E2440">
        <f>IF('R.M Billets Reports'!B2439="","",TRIM('R.M Billets Reports'!B2439))</f>
      </c>
      <c r="F2440">
        <f>'R.M Billets Reports'!C2439</f>
      </c>
      <c r="G2440">
        <f>'R.M Billets Reports'!D2439</f>
      </c>
      <c r="H2440">
        <f>'R.M Billets Reports'!E2439</f>
      </c>
      <c r="I2440">
        <f>'R.M Billets Reports'!F2439</f>
      </c>
      <c r="J2440">
        <f>'R.M Billets Reports'!G2439</f>
      </c>
      <c r="K2440">
        <f>'R.M Billets Reports'!H2439</f>
      </c>
      <c r="L2440">
        <f>IF('R.M Billets Reports'!I2439="","",'R.M Billets Reports'!I2439)</f>
      </c>
      <c r="M2440">
        <f t="shared" si="76"/>
      </c>
      <c r="N2440">
        <f>IF('R.M Billets Reports'!J2439="","",'R.M Billets Reports'!J2439)</f>
      </c>
      <c r="O2440">
        <f t="shared" si="77"/>
      </c>
      <c r="P2440">
        <f>IF('R.M Billets Reports'!A2439="SIZE",'R.M Billets Reports'!B2439,P2439)</f>
      </c>
    </row>
    <row r="2441" spans="1:16" x14ac:dyDescent="0.25">
      <c r="A2441">
        <f>IF(OR('R.M Billets Reports'!A2440="Date-",'R.M Billets Reports'!A2440="Date:-"),IF(IF(IF(ISNUMBER(SEARCH("Party Name:-",'R.M Billets Reports'!D2440)),TRIM('R.M Billets Reports'!F2440),IF(ISNUMBER(SEARCH("Party Name-",'R.M Billets Reports'!D2440)),TRIM(MID('R.M Billets Reports'!D2440,SEARCH("-",'R.M Billets Reports'!D2440)+1,200)),""))&lt;&gt;"",IF(ISNUMBER(SEARCH("Party Name:-",'R.M Billets Reports'!D2440)),TRIM('R.M Billets Reports'!F2440),IF(ISNUMBER(SEARCH("Party Name-",'R.M Billets Reports'!D2440)),TRIM(MID('R.M Billets Reports'!D2440,SEARCH("-",'R.M Billets Reports'!D2440)+1,200)),"")),IF(ISNUMBER(SEARCH("Party Name:-",'R.M Billets Reports'!D2441)),TRIM('R.M Billets Reports'!F2441),IF(ISNUMBER(SEARCH("Party Name-",'R.M Billets Reports'!D2441)),TRIM(MID('R.M Billets Reports'!D2441,SEARCH("-",'R.M Billets Reports'!D2441)+1,200)),"")))="VRKP ISPAT PVT LTD","VRKP",IF(IF(IF(ISNUMBER(SEARCH("Party Name:-",'R.M Billets Reports'!D2440)),TRIM('R.M Billets Reports'!F2440),IF(ISNUMBER(SEARCH("Party Name-",'R.M Billets Reports'!D2440)),TRIM(MID('R.M Billets Reports'!D2440,SEARCH("-",'R.M Billets Reports'!D2440)+1,200)),""))&lt;&gt;"",IF(ISNUMBER(SEARCH("Party Name:-",'R.M Billets Reports'!D2440)),TRIM('R.M Billets Reports'!F2440),IF(ISNUMBER(SEARCH("Party Name-",'R.M Billets Reports'!D2440)),TRIM(MID('R.M Billets Reports'!D2440,SEARCH("-",'R.M Billets Reports'!D2440)+1,200)),"")),IF(ISNUMBER(SEARCH("Party Name:-",'R.M Billets Reports'!D2441)),TRIM('R.M Billets Reports'!F2441),IF(ISNUMBER(SEARCH("Party Name-",'R.M Billets Reports'!D2441)),TRIM(MID('R.M Billets Reports'!D2441,SEARCH("-",'R.M Billets Reports'!D2441)+1,200)),"")))="SHRI RADHE","SHREE RADHE",IF(IF(IF(ISNUMBER(SEARCH("Party Name:-",'R.M Billets Reports'!D2440)),TRIM('R.M Billets Reports'!F2440),IF(ISNUMBER(SEARCH("Party Name-",'R.M Billets Reports'!D2440)),TRIM(MID('R.M Billets Reports'!D2440,SEARCH("-",'R.M Billets Reports'!D2440)+1,200)),""))&lt;&gt;"",IF(ISNUMBER(SEARCH("Party Name:-",'R.M Billets Reports'!D2440)),TRIM('R.M Billets Reports'!F2440),IF(ISNUMBER(SEARCH("Party Name-",'R.M Billets Reports'!D2440)),TRIM(MID('R.M Billets Reports'!D2440,SEARCH("-",'R.M Billets Reports'!D2440)+1,200)),"")),IF(ISNUMBER(SEARCH("Party Name:-",'R.M Billets Reports'!D2441)),TRIM('R.M Billets Reports'!F2441),IF(ISNUMBER(SEARCH("Party Name-",'R.M Billets Reports'!D2441)),TRIM(MID('R.M Billets Reports'!D2441,SEARCH("-",'R.M Billets Reports'!D2441)+1,200)),"")))="SHREE RADHE SHAKTI SPONGE AND POWER PVT. LTD.","SHREE RADHE",IF(IF(ISNUMBER(SEARCH("Party Name:-",'R.M Billets Reports'!D2440)),TRIM('R.M Billets Reports'!F2440),IF(ISNUMBER(SEARCH("Party Name-",'R.M Billets Reports'!D2440)),TRIM(MID('R.M Billets Reports'!D2440,SEARCH("-",'R.M Billets Reports'!D2440)+1,200)),""))&lt;&gt;"",IF(ISNUMBER(SEARCH("Party Name:-",'R.M Billets Reports'!D2440)),TRIM('R.M Billets Reports'!F2440),IF(ISNUMBER(SEARCH("Party Name-",'R.M Billets Reports'!D2440)),TRIM(MID('R.M Billets Reports'!D2440,SEARCH("-",'R.M Billets Reports'!D2440)+1,200)),"")),IF(ISNUMBER(SEARCH("Party Name:-",'R.M Billets Reports'!D2441)),TRIM('R.M Billets Reports'!F2441),IF(ISNUMBER(SEARCH("Party Name-",'R.M Billets Reports'!D2441)),TRIM(MID('R.M Billets Reports'!D2441,SEARCH("-",'R.M Billets Reports'!D2441)+1,200)),"")))))),IF(ROW()=2,"",A2440))</f>
      </c>
      <c r="B2441">
        <f>IF(OR('R.M Billets Reports'!A2440="Date-",'R.M Billets Reports'!A2440="Date:-"),'R.M Billets Reports'!B2440,IF(ROW()=2,"",B2440))</f>
      </c>
      <c r="C2441">
        <f>IF('R.M Billets Reports'!A2440="V.No.",'R.M Billets Reports'!B2440,IF(ROW()=2,"",C2440))</f>
      </c>
      <c r="D2441">
        <f>IF('R.M Billets Reports'!A2440&lt;&gt;"",'R.M Billets Reports'!A2440,IF(ROW()=2,"",D2440))</f>
      </c>
      <c r="E2441">
        <f>IF('R.M Billets Reports'!B2440="","",TRIM('R.M Billets Reports'!B2440))</f>
      </c>
      <c r="F2441">
        <f>'R.M Billets Reports'!C2440</f>
      </c>
      <c r="G2441">
        <f>'R.M Billets Reports'!D2440</f>
      </c>
      <c r="H2441">
        <f>'R.M Billets Reports'!E2440</f>
      </c>
      <c r="I2441">
        <f>'R.M Billets Reports'!F2440</f>
      </c>
      <c r="J2441">
        <f>'R.M Billets Reports'!G2440</f>
      </c>
      <c r="K2441">
        <f>'R.M Billets Reports'!H2440</f>
      </c>
      <c r="L2441">
        <f>IF('R.M Billets Reports'!I2440="","",'R.M Billets Reports'!I2440)</f>
      </c>
      <c r="M2441">
        <f t="shared" si="76"/>
      </c>
      <c r="N2441">
        <f>IF('R.M Billets Reports'!J2440="","",'R.M Billets Reports'!J2440)</f>
      </c>
      <c r="O2441">
        <f t="shared" si="77"/>
      </c>
      <c r="P2441">
        <f>IF('R.M Billets Reports'!A2440="SIZE",'R.M Billets Reports'!B2440,P2440)</f>
      </c>
    </row>
    <row r="2442" spans="1:16" x14ac:dyDescent="0.25">
      <c r="A2442">
        <f>IF(OR('R.M Billets Reports'!A2441="Date-",'R.M Billets Reports'!A2441="Date:-"),IF(IF(IF(ISNUMBER(SEARCH("Party Name:-",'R.M Billets Reports'!D2441)),TRIM('R.M Billets Reports'!F2441),IF(ISNUMBER(SEARCH("Party Name-",'R.M Billets Reports'!D2441)),TRIM(MID('R.M Billets Reports'!D2441,SEARCH("-",'R.M Billets Reports'!D2441)+1,200)),""))&lt;&gt;"",IF(ISNUMBER(SEARCH("Party Name:-",'R.M Billets Reports'!D2441)),TRIM('R.M Billets Reports'!F2441),IF(ISNUMBER(SEARCH("Party Name-",'R.M Billets Reports'!D2441)),TRIM(MID('R.M Billets Reports'!D2441,SEARCH("-",'R.M Billets Reports'!D2441)+1,200)),"")),IF(ISNUMBER(SEARCH("Party Name:-",'R.M Billets Reports'!D2442)),TRIM('R.M Billets Reports'!F2442),IF(ISNUMBER(SEARCH("Party Name-",'R.M Billets Reports'!D2442)),TRIM(MID('R.M Billets Reports'!D2442,SEARCH("-",'R.M Billets Reports'!D2442)+1,200)),"")))="VRKP ISPAT PVT LTD","VRKP",IF(IF(IF(ISNUMBER(SEARCH("Party Name:-",'R.M Billets Reports'!D2441)),TRIM('R.M Billets Reports'!F2441),IF(ISNUMBER(SEARCH("Party Name-",'R.M Billets Reports'!D2441)),TRIM(MID('R.M Billets Reports'!D2441,SEARCH("-",'R.M Billets Reports'!D2441)+1,200)),""))&lt;&gt;"",IF(ISNUMBER(SEARCH("Party Name:-",'R.M Billets Reports'!D2441)),TRIM('R.M Billets Reports'!F2441),IF(ISNUMBER(SEARCH("Party Name-",'R.M Billets Reports'!D2441)),TRIM(MID('R.M Billets Reports'!D2441,SEARCH("-",'R.M Billets Reports'!D2441)+1,200)),"")),IF(ISNUMBER(SEARCH("Party Name:-",'R.M Billets Reports'!D2442)),TRIM('R.M Billets Reports'!F2442),IF(ISNUMBER(SEARCH("Party Name-",'R.M Billets Reports'!D2442)),TRIM(MID('R.M Billets Reports'!D2442,SEARCH("-",'R.M Billets Reports'!D2442)+1,200)),"")))="SHRI RADHE","SHREE RADHE",IF(IF(IF(ISNUMBER(SEARCH("Party Name:-",'R.M Billets Reports'!D2441)),TRIM('R.M Billets Reports'!F2441),IF(ISNUMBER(SEARCH("Party Name-",'R.M Billets Reports'!D2441)),TRIM(MID('R.M Billets Reports'!D2441,SEARCH("-",'R.M Billets Reports'!D2441)+1,200)),""))&lt;&gt;"",IF(ISNUMBER(SEARCH("Party Name:-",'R.M Billets Reports'!D2441)),TRIM('R.M Billets Reports'!F2441),IF(ISNUMBER(SEARCH("Party Name-",'R.M Billets Reports'!D2441)),TRIM(MID('R.M Billets Reports'!D2441,SEARCH("-",'R.M Billets Reports'!D2441)+1,200)),"")),IF(ISNUMBER(SEARCH("Party Name:-",'R.M Billets Reports'!D2442)),TRIM('R.M Billets Reports'!F2442),IF(ISNUMBER(SEARCH("Party Name-",'R.M Billets Reports'!D2442)),TRIM(MID('R.M Billets Reports'!D2442,SEARCH("-",'R.M Billets Reports'!D2442)+1,200)),"")))="SHREE RADHE SHAKTI SPONGE AND POWER PVT. LTD.","SHREE RADHE",IF(IF(ISNUMBER(SEARCH("Party Name:-",'R.M Billets Reports'!D2441)),TRIM('R.M Billets Reports'!F2441),IF(ISNUMBER(SEARCH("Party Name-",'R.M Billets Reports'!D2441)),TRIM(MID('R.M Billets Reports'!D2441,SEARCH("-",'R.M Billets Reports'!D2441)+1,200)),""))&lt;&gt;"",IF(ISNUMBER(SEARCH("Party Name:-",'R.M Billets Reports'!D2441)),TRIM('R.M Billets Reports'!F2441),IF(ISNUMBER(SEARCH("Party Name-",'R.M Billets Reports'!D2441)),TRIM(MID('R.M Billets Reports'!D2441,SEARCH("-",'R.M Billets Reports'!D2441)+1,200)),"")),IF(ISNUMBER(SEARCH("Party Name:-",'R.M Billets Reports'!D2442)),TRIM('R.M Billets Reports'!F2442),IF(ISNUMBER(SEARCH("Party Name-",'R.M Billets Reports'!D2442)),TRIM(MID('R.M Billets Reports'!D2442,SEARCH("-",'R.M Billets Reports'!D2442)+1,200)),"")))))),IF(ROW()=2,"",A2441))</f>
      </c>
      <c r="B2442">
        <f>IF(OR('R.M Billets Reports'!A2441="Date-",'R.M Billets Reports'!A2441="Date:-"),'R.M Billets Reports'!B2441,IF(ROW()=2,"",B2441))</f>
      </c>
      <c r="C2442">
        <f>IF('R.M Billets Reports'!A2441="V.No.",'R.M Billets Reports'!B2441,IF(ROW()=2,"",C2441))</f>
      </c>
      <c r="D2442">
        <f>IF('R.M Billets Reports'!A2441&lt;&gt;"",'R.M Billets Reports'!A2441,IF(ROW()=2,"",D2441))</f>
      </c>
      <c r="E2442">
        <f>IF('R.M Billets Reports'!B2441="","",TRIM('R.M Billets Reports'!B2441))</f>
      </c>
      <c r="F2442">
        <f>'R.M Billets Reports'!C2441</f>
      </c>
      <c r="G2442">
        <f>'R.M Billets Reports'!D2441</f>
      </c>
      <c r="H2442">
        <f>'R.M Billets Reports'!E2441</f>
      </c>
      <c r="I2442">
        <f>'R.M Billets Reports'!F2441</f>
      </c>
      <c r="J2442">
        <f>'R.M Billets Reports'!G2441</f>
      </c>
      <c r="K2442">
        <f>'R.M Billets Reports'!H2441</f>
      </c>
      <c r="L2442">
        <f>IF('R.M Billets Reports'!I2441="","",'R.M Billets Reports'!I2441)</f>
      </c>
      <c r="M2442">
        <f t="shared" si="76"/>
      </c>
      <c r="N2442">
        <f>IF('R.M Billets Reports'!J2441="","",'R.M Billets Reports'!J2441)</f>
      </c>
      <c r="O2442">
        <f t="shared" si="77"/>
      </c>
      <c r="P2442">
        <f>IF('R.M Billets Reports'!A2441="SIZE",'R.M Billets Reports'!B2441,P2441)</f>
      </c>
    </row>
    <row r="2443" spans="1:16" x14ac:dyDescent="0.25">
      <c r="A2443">
        <f>IF(OR('R.M Billets Reports'!A2442="Date-",'R.M Billets Reports'!A2442="Date:-"),IF(IF(IF(ISNUMBER(SEARCH("Party Name:-",'R.M Billets Reports'!D2442)),TRIM('R.M Billets Reports'!F2442),IF(ISNUMBER(SEARCH("Party Name-",'R.M Billets Reports'!D2442)),TRIM(MID('R.M Billets Reports'!D2442,SEARCH("-",'R.M Billets Reports'!D2442)+1,200)),""))&lt;&gt;"",IF(ISNUMBER(SEARCH("Party Name:-",'R.M Billets Reports'!D2442)),TRIM('R.M Billets Reports'!F2442),IF(ISNUMBER(SEARCH("Party Name-",'R.M Billets Reports'!D2442)),TRIM(MID('R.M Billets Reports'!D2442,SEARCH("-",'R.M Billets Reports'!D2442)+1,200)),"")),IF(ISNUMBER(SEARCH("Party Name:-",'R.M Billets Reports'!D2443)),TRIM('R.M Billets Reports'!F2443),IF(ISNUMBER(SEARCH("Party Name-",'R.M Billets Reports'!D2443)),TRIM(MID('R.M Billets Reports'!D2443,SEARCH("-",'R.M Billets Reports'!D2443)+1,200)),"")))="VRKP ISPAT PVT LTD","VRKP",IF(IF(IF(ISNUMBER(SEARCH("Party Name:-",'R.M Billets Reports'!D2442)),TRIM('R.M Billets Reports'!F2442),IF(ISNUMBER(SEARCH("Party Name-",'R.M Billets Reports'!D2442)),TRIM(MID('R.M Billets Reports'!D2442,SEARCH("-",'R.M Billets Reports'!D2442)+1,200)),""))&lt;&gt;"",IF(ISNUMBER(SEARCH("Party Name:-",'R.M Billets Reports'!D2442)),TRIM('R.M Billets Reports'!F2442),IF(ISNUMBER(SEARCH("Party Name-",'R.M Billets Reports'!D2442)),TRIM(MID('R.M Billets Reports'!D2442,SEARCH("-",'R.M Billets Reports'!D2442)+1,200)),"")),IF(ISNUMBER(SEARCH("Party Name:-",'R.M Billets Reports'!D2443)),TRIM('R.M Billets Reports'!F2443),IF(ISNUMBER(SEARCH("Party Name-",'R.M Billets Reports'!D2443)),TRIM(MID('R.M Billets Reports'!D2443,SEARCH("-",'R.M Billets Reports'!D2443)+1,200)),"")))="SHRI RADHE","SHREE RADHE",IF(IF(IF(ISNUMBER(SEARCH("Party Name:-",'R.M Billets Reports'!D2442)),TRIM('R.M Billets Reports'!F2442),IF(ISNUMBER(SEARCH("Party Name-",'R.M Billets Reports'!D2442)),TRIM(MID('R.M Billets Reports'!D2442,SEARCH("-",'R.M Billets Reports'!D2442)+1,200)),""))&lt;&gt;"",IF(ISNUMBER(SEARCH("Party Name:-",'R.M Billets Reports'!D2442)),TRIM('R.M Billets Reports'!F2442),IF(ISNUMBER(SEARCH("Party Name-",'R.M Billets Reports'!D2442)),TRIM(MID('R.M Billets Reports'!D2442,SEARCH("-",'R.M Billets Reports'!D2442)+1,200)),"")),IF(ISNUMBER(SEARCH("Party Name:-",'R.M Billets Reports'!D2443)),TRIM('R.M Billets Reports'!F2443),IF(ISNUMBER(SEARCH("Party Name-",'R.M Billets Reports'!D2443)),TRIM(MID('R.M Billets Reports'!D2443,SEARCH("-",'R.M Billets Reports'!D2443)+1,200)),"")))="SHREE RADHE SHAKTI SPONGE AND POWER PVT. LTD.","SHREE RADHE",IF(IF(ISNUMBER(SEARCH("Party Name:-",'R.M Billets Reports'!D2442)),TRIM('R.M Billets Reports'!F2442),IF(ISNUMBER(SEARCH("Party Name-",'R.M Billets Reports'!D2442)),TRIM(MID('R.M Billets Reports'!D2442,SEARCH("-",'R.M Billets Reports'!D2442)+1,200)),""))&lt;&gt;"",IF(ISNUMBER(SEARCH("Party Name:-",'R.M Billets Reports'!D2442)),TRIM('R.M Billets Reports'!F2442),IF(ISNUMBER(SEARCH("Party Name-",'R.M Billets Reports'!D2442)),TRIM(MID('R.M Billets Reports'!D2442,SEARCH("-",'R.M Billets Reports'!D2442)+1,200)),"")),IF(ISNUMBER(SEARCH("Party Name:-",'R.M Billets Reports'!D2443)),TRIM('R.M Billets Reports'!F2443),IF(ISNUMBER(SEARCH("Party Name-",'R.M Billets Reports'!D2443)),TRIM(MID('R.M Billets Reports'!D2443,SEARCH("-",'R.M Billets Reports'!D2443)+1,200)),"")))))),IF(ROW()=2,"",A2442))</f>
      </c>
      <c r="B2443">
        <f>IF(OR('R.M Billets Reports'!A2442="Date-",'R.M Billets Reports'!A2442="Date:-"),'R.M Billets Reports'!B2442,IF(ROW()=2,"",B2442))</f>
      </c>
      <c r="C2443">
        <f>IF('R.M Billets Reports'!A2442="V.No.",'R.M Billets Reports'!B2442,IF(ROW()=2,"",C2442))</f>
      </c>
      <c r="D2443">
        <f>IF('R.M Billets Reports'!A2442&lt;&gt;"",'R.M Billets Reports'!A2442,IF(ROW()=2,"",D2442))</f>
      </c>
      <c r="E2443">
        <f>IF('R.M Billets Reports'!B2442="","",TRIM('R.M Billets Reports'!B2442))</f>
      </c>
      <c r="F2443">
        <f>'R.M Billets Reports'!C2442</f>
      </c>
      <c r="G2443">
        <f>'R.M Billets Reports'!D2442</f>
      </c>
      <c r="H2443">
        <f>'R.M Billets Reports'!E2442</f>
      </c>
      <c r="I2443">
        <f>'R.M Billets Reports'!F2442</f>
      </c>
      <c r="J2443">
        <f>'R.M Billets Reports'!G2442</f>
      </c>
      <c r="K2443">
        <f>'R.M Billets Reports'!H2442</f>
      </c>
      <c r="L2443">
        <f>IF('R.M Billets Reports'!I2442="","",'R.M Billets Reports'!I2442)</f>
      </c>
      <c r="M2443">
        <f t="shared" si="76"/>
      </c>
      <c r="N2443">
        <f>IF('R.M Billets Reports'!J2442="","",'R.M Billets Reports'!J2442)</f>
      </c>
      <c r="O2443">
        <f t="shared" si="77"/>
      </c>
      <c r="P2443">
        <f>IF('R.M Billets Reports'!A2442="SIZE",'R.M Billets Reports'!B2442,P2442)</f>
      </c>
    </row>
    <row r="2444" spans="1:16" x14ac:dyDescent="0.25">
      <c r="A2444">
        <f>IF(OR('R.M Billets Reports'!A2443="Date-",'R.M Billets Reports'!A2443="Date:-"),IF(IF(IF(ISNUMBER(SEARCH("Party Name:-",'R.M Billets Reports'!D2443)),TRIM('R.M Billets Reports'!F2443),IF(ISNUMBER(SEARCH("Party Name-",'R.M Billets Reports'!D2443)),TRIM(MID('R.M Billets Reports'!D2443,SEARCH("-",'R.M Billets Reports'!D2443)+1,200)),""))&lt;&gt;"",IF(ISNUMBER(SEARCH("Party Name:-",'R.M Billets Reports'!D2443)),TRIM('R.M Billets Reports'!F2443),IF(ISNUMBER(SEARCH("Party Name-",'R.M Billets Reports'!D2443)),TRIM(MID('R.M Billets Reports'!D2443,SEARCH("-",'R.M Billets Reports'!D2443)+1,200)),"")),IF(ISNUMBER(SEARCH("Party Name:-",'R.M Billets Reports'!D2444)),TRIM('R.M Billets Reports'!F2444),IF(ISNUMBER(SEARCH("Party Name-",'R.M Billets Reports'!D2444)),TRIM(MID('R.M Billets Reports'!D2444,SEARCH("-",'R.M Billets Reports'!D2444)+1,200)),"")))="VRKP ISPAT PVT LTD","VRKP",IF(IF(IF(ISNUMBER(SEARCH("Party Name:-",'R.M Billets Reports'!D2443)),TRIM('R.M Billets Reports'!F2443),IF(ISNUMBER(SEARCH("Party Name-",'R.M Billets Reports'!D2443)),TRIM(MID('R.M Billets Reports'!D2443,SEARCH("-",'R.M Billets Reports'!D2443)+1,200)),""))&lt;&gt;"",IF(ISNUMBER(SEARCH("Party Name:-",'R.M Billets Reports'!D2443)),TRIM('R.M Billets Reports'!F2443),IF(ISNUMBER(SEARCH("Party Name-",'R.M Billets Reports'!D2443)),TRIM(MID('R.M Billets Reports'!D2443,SEARCH("-",'R.M Billets Reports'!D2443)+1,200)),"")),IF(ISNUMBER(SEARCH("Party Name:-",'R.M Billets Reports'!D2444)),TRIM('R.M Billets Reports'!F2444),IF(ISNUMBER(SEARCH("Party Name-",'R.M Billets Reports'!D2444)),TRIM(MID('R.M Billets Reports'!D2444,SEARCH("-",'R.M Billets Reports'!D2444)+1,200)),"")))="SHRI RADHE","SHREE RADHE",IF(IF(IF(ISNUMBER(SEARCH("Party Name:-",'R.M Billets Reports'!D2443)),TRIM('R.M Billets Reports'!F2443),IF(ISNUMBER(SEARCH("Party Name-",'R.M Billets Reports'!D2443)),TRIM(MID('R.M Billets Reports'!D2443,SEARCH("-",'R.M Billets Reports'!D2443)+1,200)),""))&lt;&gt;"",IF(ISNUMBER(SEARCH("Party Name:-",'R.M Billets Reports'!D2443)),TRIM('R.M Billets Reports'!F2443),IF(ISNUMBER(SEARCH("Party Name-",'R.M Billets Reports'!D2443)),TRIM(MID('R.M Billets Reports'!D2443,SEARCH("-",'R.M Billets Reports'!D2443)+1,200)),"")),IF(ISNUMBER(SEARCH("Party Name:-",'R.M Billets Reports'!D2444)),TRIM('R.M Billets Reports'!F2444),IF(ISNUMBER(SEARCH("Party Name-",'R.M Billets Reports'!D2444)),TRIM(MID('R.M Billets Reports'!D2444,SEARCH("-",'R.M Billets Reports'!D2444)+1,200)),"")))="SHREE RADHE SHAKTI SPONGE AND POWER PVT. LTD.","SHREE RADHE",IF(IF(ISNUMBER(SEARCH("Party Name:-",'R.M Billets Reports'!D2443)),TRIM('R.M Billets Reports'!F2443),IF(ISNUMBER(SEARCH("Party Name-",'R.M Billets Reports'!D2443)),TRIM(MID('R.M Billets Reports'!D2443,SEARCH("-",'R.M Billets Reports'!D2443)+1,200)),""))&lt;&gt;"",IF(ISNUMBER(SEARCH("Party Name:-",'R.M Billets Reports'!D2443)),TRIM('R.M Billets Reports'!F2443),IF(ISNUMBER(SEARCH("Party Name-",'R.M Billets Reports'!D2443)),TRIM(MID('R.M Billets Reports'!D2443,SEARCH("-",'R.M Billets Reports'!D2443)+1,200)),"")),IF(ISNUMBER(SEARCH("Party Name:-",'R.M Billets Reports'!D2444)),TRIM('R.M Billets Reports'!F2444),IF(ISNUMBER(SEARCH("Party Name-",'R.M Billets Reports'!D2444)),TRIM(MID('R.M Billets Reports'!D2444,SEARCH("-",'R.M Billets Reports'!D2444)+1,200)),"")))))),IF(ROW()=2,"",A2443))</f>
      </c>
      <c r="B2444">
        <f>IF(OR('R.M Billets Reports'!A2443="Date-",'R.M Billets Reports'!A2443="Date:-"),'R.M Billets Reports'!B2443,IF(ROW()=2,"",B2443))</f>
      </c>
      <c r="C2444">
        <f>IF('R.M Billets Reports'!A2443="V.No.",'R.M Billets Reports'!B2443,IF(ROW()=2,"",C2443))</f>
      </c>
      <c r="D2444">
        <f>IF('R.M Billets Reports'!A2443&lt;&gt;"",'R.M Billets Reports'!A2443,IF(ROW()=2,"",D2443))</f>
      </c>
      <c r="E2444">
        <f>IF('R.M Billets Reports'!B2443="","",TRIM('R.M Billets Reports'!B2443))</f>
      </c>
      <c r="F2444">
        <f>'R.M Billets Reports'!C2443</f>
      </c>
      <c r="G2444">
        <f>'R.M Billets Reports'!D2443</f>
      </c>
      <c r="H2444">
        <f>'R.M Billets Reports'!E2443</f>
      </c>
      <c r="I2444">
        <f>'R.M Billets Reports'!F2443</f>
      </c>
      <c r="J2444">
        <f>'R.M Billets Reports'!G2443</f>
      </c>
      <c r="K2444">
        <f>'R.M Billets Reports'!H2443</f>
      </c>
      <c r="L2444">
        <f>IF('R.M Billets Reports'!I2443="","",'R.M Billets Reports'!I2443)</f>
      </c>
      <c r="M2444">
        <f t="shared" si="76"/>
      </c>
      <c r="N2444">
        <f>IF('R.M Billets Reports'!J2443="","",'R.M Billets Reports'!J2443)</f>
      </c>
      <c r="O2444">
        <f t="shared" si="77"/>
      </c>
      <c r="P2444">
        <f>IF('R.M Billets Reports'!A2443="SIZE",'R.M Billets Reports'!B2443,P2443)</f>
      </c>
    </row>
    <row r="2445" spans="1:16" x14ac:dyDescent="0.25">
      <c r="A2445">
        <f>IF(OR('R.M Billets Reports'!A2444="Date-",'R.M Billets Reports'!A2444="Date:-"),IF(IF(IF(ISNUMBER(SEARCH("Party Name:-",'R.M Billets Reports'!D2444)),TRIM('R.M Billets Reports'!F2444),IF(ISNUMBER(SEARCH("Party Name-",'R.M Billets Reports'!D2444)),TRIM(MID('R.M Billets Reports'!D2444,SEARCH("-",'R.M Billets Reports'!D2444)+1,200)),""))&lt;&gt;"",IF(ISNUMBER(SEARCH("Party Name:-",'R.M Billets Reports'!D2444)),TRIM('R.M Billets Reports'!F2444),IF(ISNUMBER(SEARCH("Party Name-",'R.M Billets Reports'!D2444)),TRIM(MID('R.M Billets Reports'!D2444,SEARCH("-",'R.M Billets Reports'!D2444)+1,200)),"")),IF(ISNUMBER(SEARCH("Party Name:-",'R.M Billets Reports'!D2445)),TRIM('R.M Billets Reports'!F2445),IF(ISNUMBER(SEARCH("Party Name-",'R.M Billets Reports'!D2445)),TRIM(MID('R.M Billets Reports'!D2445,SEARCH("-",'R.M Billets Reports'!D2445)+1,200)),"")))="VRKP ISPAT PVT LTD","VRKP",IF(IF(IF(ISNUMBER(SEARCH("Party Name:-",'R.M Billets Reports'!D2444)),TRIM('R.M Billets Reports'!F2444),IF(ISNUMBER(SEARCH("Party Name-",'R.M Billets Reports'!D2444)),TRIM(MID('R.M Billets Reports'!D2444,SEARCH("-",'R.M Billets Reports'!D2444)+1,200)),""))&lt;&gt;"",IF(ISNUMBER(SEARCH("Party Name:-",'R.M Billets Reports'!D2444)),TRIM('R.M Billets Reports'!F2444),IF(ISNUMBER(SEARCH("Party Name-",'R.M Billets Reports'!D2444)),TRIM(MID('R.M Billets Reports'!D2444,SEARCH("-",'R.M Billets Reports'!D2444)+1,200)),"")),IF(ISNUMBER(SEARCH("Party Name:-",'R.M Billets Reports'!D2445)),TRIM('R.M Billets Reports'!F2445),IF(ISNUMBER(SEARCH("Party Name-",'R.M Billets Reports'!D2445)),TRIM(MID('R.M Billets Reports'!D2445,SEARCH("-",'R.M Billets Reports'!D2445)+1,200)),"")))="SHRI RADHE","SHREE RADHE",IF(IF(IF(ISNUMBER(SEARCH("Party Name:-",'R.M Billets Reports'!D2444)),TRIM('R.M Billets Reports'!F2444),IF(ISNUMBER(SEARCH("Party Name-",'R.M Billets Reports'!D2444)),TRIM(MID('R.M Billets Reports'!D2444,SEARCH("-",'R.M Billets Reports'!D2444)+1,200)),""))&lt;&gt;"",IF(ISNUMBER(SEARCH("Party Name:-",'R.M Billets Reports'!D2444)),TRIM('R.M Billets Reports'!F2444),IF(ISNUMBER(SEARCH("Party Name-",'R.M Billets Reports'!D2444)),TRIM(MID('R.M Billets Reports'!D2444,SEARCH("-",'R.M Billets Reports'!D2444)+1,200)),"")),IF(ISNUMBER(SEARCH("Party Name:-",'R.M Billets Reports'!D2445)),TRIM('R.M Billets Reports'!F2445),IF(ISNUMBER(SEARCH("Party Name-",'R.M Billets Reports'!D2445)),TRIM(MID('R.M Billets Reports'!D2445,SEARCH("-",'R.M Billets Reports'!D2445)+1,200)),"")))="SHREE RADHE SHAKTI SPONGE AND POWER PVT. LTD.","SHREE RADHE",IF(IF(ISNUMBER(SEARCH("Party Name:-",'R.M Billets Reports'!D2444)),TRIM('R.M Billets Reports'!F2444),IF(ISNUMBER(SEARCH("Party Name-",'R.M Billets Reports'!D2444)),TRIM(MID('R.M Billets Reports'!D2444,SEARCH("-",'R.M Billets Reports'!D2444)+1,200)),""))&lt;&gt;"",IF(ISNUMBER(SEARCH("Party Name:-",'R.M Billets Reports'!D2444)),TRIM('R.M Billets Reports'!F2444),IF(ISNUMBER(SEARCH("Party Name-",'R.M Billets Reports'!D2444)),TRIM(MID('R.M Billets Reports'!D2444,SEARCH("-",'R.M Billets Reports'!D2444)+1,200)),"")),IF(ISNUMBER(SEARCH("Party Name:-",'R.M Billets Reports'!D2445)),TRIM('R.M Billets Reports'!F2445),IF(ISNUMBER(SEARCH("Party Name-",'R.M Billets Reports'!D2445)),TRIM(MID('R.M Billets Reports'!D2445,SEARCH("-",'R.M Billets Reports'!D2445)+1,200)),"")))))),IF(ROW()=2,"",A2444))</f>
      </c>
      <c r="B2445">
        <f>IF(OR('R.M Billets Reports'!A2444="Date-",'R.M Billets Reports'!A2444="Date:-"),'R.M Billets Reports'!B2444,IF(ROW()=2,"",B2444))</f>
      </c>
      <c r="C2445">
        <f>IF('R.M Billets Reports'!A2444="V.No.",'R.M Billets Reports'!B2444,IF(ROW()=2,"",C2444))</f>
      </c>
      <c r="D2445">
        <f>IF('R.M Billets Reports'!A2444&lt;&gt;"",'R.M Billets Reports'!A2444,IF(ROW()=2,"",D2444))</f>
      </c>
      <c r="E2445">
        <f>IF('R.M Billets Reports'!B2444="","",TRIM('R.M Billets Reports'!B2444))</f>
      </c>
      <c r="F2445">
        <f>'R.M Billets Reports'!C2444</f>
      </c>
      <c r="G2445">
        <f>'R.M Billets Reports'!D2444</f>
      </c>
      <c r="H2445">
        <f>'R.M Billets Reports'!E2444</f>
      </c>
      <c r="I2445">
        <f>'R.M Billets Reports'!F2444</f>
      </c>
      <c r="J2445">
        <f>'R.M Billets Reports'!G2444</f>
      </c>
      <c r="K2445">
        <f>'R.M Billets Reports'!H2444</f>
      </c>
      <c r="L2445">
        <f>IF('R.M Billets Reports'!I2444="","",'R.M Billets Reports'!I2444)</f>
      </c>
      <c r="M2445">
        <f t="shared" si="76"/>
      </c>
      <c r="N2445">
        <f>IF('R.M Billets Reports'!J2444="","",'R.M Billets Reports'!J2444)</f>
      </c>
      <c r="O2445">
        <f t="shared" si="77"/>
      </c>
      <c r="P2445">
        <f>IF('R.M Billets Reports'!A2444="SIZE",'R.M Billets Reports'!B2444,P2444)</f>
      </c>
    </row>
    <row r="2446" spans="1:16" x14ac:dyDescent="0.25">
      <c r="A2446">
        <f>IF(OR('R.M Billets Reports'!A2445="Date-",'R.M Billets Reports'!A2445="Date:-"),IF(IF(IF(ISNUMBER(SEARCH("Party Name:-",'R.M Billets Reports'!D2445)),TRIM('R.M Billets Reports'!F2445),IF(ISNUMBER(SEARCH("Party Name-",'R.M Billets Reports'!D2445)),TRIM(MID('R.M Billets Reports'!D2445,SEARCH("-",'R.M Billets Reports'!D2445)+1,200)),""))&lt;&gt;"",IF(ISNUMBER(SEARCH("Party Name:-",'R.M Billets Reports'!D2445)),TRIM('R.M Billets Reports'!F2445),IF(ISNUMBER(SEARCH("Party Name-",'R.M Billets Reports'!D2445)),TRIM(MID('R.M Billets Reports'!D2445,SEARCH("-",'R.M Billets Reports'!D2445)+1,200)),"")),IF(ISNUMBER(SEARCH("Party Name:-",'R.M Billets Reports'!D2446)),TRIM('R.M Billets Reports'!F2446),IF(ISNUMBER(SEARCH("Party Name-",'R.M Billets Reports'!D2446)),TRIM(MID('R.M Billets Reports'!D2446,SEARCH("-",'R.M Billets Reports'!D2446)+1,200)),"")))="VRKP ISPAT PVT LTD","VRKP",IF(IF(IF(ISNUMBER(SEARCH("Party Name:-",'R.M Billets Reports'!D2445)),TRIM('R.M Billets Reports'!F2445),IF(ISNUMBER(SEARCH("Party Name-",'R.M Billets Reports'!D2445)),TRIM(MID('R.M Billets Reports'!D2445,SEARCH("-",'R.M Billets Reports'!D2445)+1,200)),""))&lt;&gt;"",IF(ISNUMBER(SEARCH("Party Name:-",'R.M Billets Reports'!D2445)),TRIM('R.M Billets Reports'!F2445),IF(ISNUMBER(SEARCH("Party Name-",'R.M Billets Reports'!D2445)),TRIM(MID('R.M Billets Reports'!D2445,SEARCH("-",'R.M Billets Reports'!D2445)+1,200)),"")),IF(ISNUMBER(SEARCH("Party Name:-",'R.M Billets Reports'!D2446)),TRIM('R.M Billets Reports'!F2446),IF(ISNUMBER(SEARCH("Party Name-",'R.M Billets Reports'!D2446)),TRIM(MID('R.M Billets Reports'!D2446,SEARCH("-",'R.M Billets Reports'!D2446)+1,200)),"")))="SHRI RADHE","SHREE RADHE",IF(IF(IF(ISNUMBER(SEARCH("Party Name:-",'R.M Billets Reports'!D2445)),TRIM('R.M Billets Reports'!F2445),IF(ISNUMBER(SEARCH("Party Name-",'R.M Billets Reports'!D2445)),TRIM(MID('R.M Billets Reports'!D2445,SEARCH("-",'R.M Billets Reports'!D2445)+1,200)),""))&lt;&gt;"",IF(ISNUMBER(SEARCH("Party Name:-",'R.M Billets Reports'!D2445)),TRIM('R.M Billets Reports'!F2445),IF(ISNUMBER(SEARCH("Party Name-",'R.M Billets Reports'!D2445)),TRIM(MID('R.M Billets Reports'!D2445,SEARCH("-",'R.M Billets Reports'!D2445)+1,200)),"")),IF(ISNUMBER(SEARCH("Party Name:-",'R.M Billets Reports'!D2446)),TRIM('R.M Billets Reports'!F2446),IF(ISNUMBER(SEARCH("Party Name-",'R.M Billets Reports'!D2446)),TRIM(MID('R.M Billets Reports'!D2446,SEARCH("-",'R.M Billets Reports'!D2446)+1,200)),"")))="SHREE RADHE SHAKTI SPONGE AND POWER PVT. LTD.","SHREE RADHE",IF(IF(ISNUMBER(SEARCH("Party Name:-",'R.M Billets Reports'!D2445)),TRIM('R.M Billets Reports'!F2445),IF(ISNUMBER(SEARCH("Party Name-",'R.M Billets Reports'!D2445)),TRIM(MID('R.M Billets Reports'!D2445,SEARCH("-",'R.M Billets Reports'!D2445)+1,200)),""))&lt;&gt;"",IF(ISNUMBER(SEARCH("Party Name:-",'R.M Billets Reports'!D2445)),TRIM('R.M Billets Reports'!F2445),IF(ISNUMBER(SEARCH("Party Name-",'R.M Billets Reports'!D2445)),TRIM(MID('R.M Billets Reports'!D2445,SEARCH("-",'R.M Billets Reports'!D2445)+1,200)),"")),IF(ISNUMBER(SEARCH("Party Name:-",'R.M Billets Reports'!D2446)),TRIM('R.M Billets Reports'!F2446),IF(ISNUMBER(SEARCH("Party Name-",'R.M Billets Reports'!D2446)),TRIM(MID('R.M Billets Reports'!D2446,SEARCH("-",'R.M Billets Reports'!D2446)+1,200)),"")))))),IF(ROW()=2,"",A2445))</f>
      </c>
      <c r="B2446">
        <f>IF(OR('R.M Billets Reports'!A2445="Date-",'R.M Billets Reports'!A2445="Date:-"),'R.M Billets Reports'!B2445,IF(ROW()=2,"",B2445))</f>
      </c>
      <c r="C2446">
        <f>IF('R.M Billets Reports'!A2445="V.No.",'R.M Billets Reports'!B2445,IF(ROW()=2,"",C2445))</f>
      </c>
      <c r="D2446">
        <f>IF('R.M Billets Reports'!A2445&lt;&gt;"",'R.M Billets Reports'!A2445,IF(ROW()=2,"",D2445))</f>
      </c>
      <c r="E2446">
        <f>IF('R.M Billets Reports'!B2445="","",TRIM('R.M Billets Reports'!B2445))</f>
      </c>
      <c r="F2446">
        <f>'R.M Billets Reports'!C2445</f>
      </c>
      <c r="G2446">
        <f>'R.M Billets Reports'!D2445</f>
      </c>
      <c r="H2446">
        <f>'R.M Billets Reports'!E2445</f>
      </c>
      <c r="I2446">
        <f>'R.M Billets Reports'!F2445</f>
      </c>
      <c r="J2446">
        <f>'R.M Billets Reports'!G2445</f>
      </c>
      <c r="K2446">
        <f>'R.M Billets Reports'!H2445</f>
      </c>
      <c r="L2446">
        <f>IF('R.M Billets Reports'!I2445="","",'R.M Billets Reports'!I2445)</f>
      </c>
      <c r="M2446">
        <f t="shared" si="76"/>
      </c>
      <c r="N2446">
        <f>IF('R.M Billets Reports'!J2445="","",'R.M Billets Reports'!J2445)</f>
      </c>
      <c r="O2446">
        <f t="shared" si="77"/>
      </c>
      <c r="P2446">
        <f>IF('R.M Billets Reports'!A2445="SIZE",'R.M Billets Reports'!B2445,P2445)</f>
      </c>
    </row>
    <row r="2447" spans="1:16" x14ac:dyDescent="0.25">
      <c r="A2447">
        <f>IF(OR('R.M Billets Reports'!A2446="Date-",'R.M Billets Reports'!A2446="Date:-"),IF(IF(IF(ISNUMBER(SEARCH("Party Name:-",'R.M Billets Reports'!D2446)),TRIM('R.M Billets Reports'!F2446),IF(ISNUMBER(SEARCH("Party Name-",'R.M Billets Reports'!D2446)),TRIM(MID('R.M Billets Reports'!D2446,SEARCH("-",'R.M Billets Reports'!D2446)+1,200)),""))&lt;&gt;"",IF(ISNUMBER(SEARCH("Party Name:-",'R.M Billets Reports'!D2446)),TRIM('R.M Billets Reports'!F2446),IF(ISNUMBER(SEARCH("Party Name-",'R.M Billets Reports'!D2446)),TRIM(MID('R.M Billets Reports'!D2446,SEARCH("-",'R.M Billets Reports'!D2446)+1,200)),"")),IF(ISNUMBER(SEARCH("Party Name:-",'R.M Billets Reports'!D2447)),TRIM('R.M Billets Reports'!F2447),IF(ISNUMBER(SEARCH("Party Name-",'R.M Billets Reports'!D2447)),TRIM(MID('R.M Billets Reports'!D2447,SEARCH("-",'R.M Billets Reports'!D2447)+1,200)),"")))="VRKP ISPAT PVT LTD","VRKP",IF(IF(IF(ISNUMBER(SEARCH("Party Name:-",'R.M Billets Reports'!D2446)),TRIM('R.M Billets Reports'!F2446),IF(ISNUMBER(SEARCH("Party Name-",'R.M Billets Reports'!D2446)),TRIM(MID('R.M Billets Reports'!D2446,SEARCH("-",'R.M Billets Reports'!D2446)+1,200)),""))&lt;&gt;"",IF(ISNUMBER(SEARCH("Party Name:-",'R.M Billets Reports'!D2446)),TRIM('R.M Billets Reports'!F2446),IF(ISNUMBER(SEARCH("Party Name-",'R.M Billets Reports'!D2446)),TRIM(MID('R.M Billets Reports'!D2446,SEARCH("-",'R.M Billets Reports'!D2446)+1,200)),"")),IF(ISNUMBER(SEARCH("Party Name:-",'R.M Billets Reports'!D2447)),TRIM('R.M Billets Reports'!F2447),IF(ISNUMBER(SEARCH("Party Name-",'R.M Billets Reports'!D2447)),TRIM(MID('R.M Billets Reports'!D2447,SEARCH("-",'R.M Billets Reports'!D2447)+1,200)),"")))="SHRI RADHE","SHREE RADHE",IF(IF(IF(ISNUMBER(SEARCH("Party Name:-",'R.M Billets Reports'!D2446)),TRIM('R.M Billets Reports'!F2446),IF(ISNUMBER(SEARCH("Party Name-",'R.M Billets Reports'!D2446)),TRIM(MID('R.M Billets Reports'!D2446,SEARCH("-",'R.M Billets Reports'!D2446)+1,200)),""))&lt;&gt;"",IF(ISNUMBER(SEARCH("Party Name:-",'R.M Billets Reports'!D2446)),TRIM('R.M Billets Reports'!F2446),IF(ISNUMBER(SEARCH("Party Name-",'R.M Billets Reports'!D2446)),TRIM(MID('R.M Billets Reports'!D2446,SEARCH("-",'R.M Billets Reports'!D2446)+1,200)),"")),IF(ISNUMBER(SEARCH("Party Name:-",'R.M Billets Reports'!D2447)),TRIM('R.M Billets Reports'!F2447),IF(ISNUMBER(SEARCH("Party Name-",'R.M Billets Reports'!D2447)),TRIM(MID('R.M Billets Reports'!D2447,SEARCH("-",'R.M Billets Reports'!D2447)+1,200)),"")))="SHREE RADHE SHAKTI SPONGE AND POWER PVT. LTD.","SHREE RADHE",IF(IF(ISNUMBER(SEARCH("Party Name:-",'R.M Billets Reports'!D2446)),TRIM('R.M Billets Reports'!F2446),IF(ISNUMBER(SEARCH("Party Name-",'R.M Billets Reports'!D2446)),TRIM(MID('R.M Billets Reports'!D2446,SEARCH("-",'R.M Billets Reports'!D2446)+1,200)),""))&lt;&gt;"",IF(ISNUMBER(SEARCH("Party Name:-",'R.M Billets Reports'!D2446)),TRIM('R.M Billets Reports'!F2446),IF(ISNUMBER(SEARCH("Party Name-",'R.M Billets Reports'!D2446)),TRIM(MID('R.M Billets Reports'!D2446,SEARCH("-",'R.M Billets Reports'!D2446)+1,200)),"")),IF(ISNUMBER(SEARCH("Party Name:-",'R.M Billets Reports'!D2447)),TRIM('R.M Billets Reports'!F2447),IF(ISNUMBER(SEARCH("Party Name-",'R.M Billets Reports'!D2447)),TRIM(MID('R.M Billets Reports'!D2447,SEARCH("-",'R.M Billets Reports'!D2447)+1,200)),"")))))),IF(ROW()=2,"",A2446))</f>
      </c>
      <c r="B2447">
        <f>IF(OR('R.M Billets Reports'!A2446="Date-",'R.M Billets Reports'!A2446="Date:-"),'R.M Billets Reports'!B2446,IF(ROW()=2,"",B2446))</f>
      </c>
      <c r="C2447">
        <f>IF('R.M Billets Reports'!A2446="V.No.",'R.M Billets Reports'!B2446,IF(ROW()=2,"",C2446))</f>
      </c>
      <c r="D2447">
        <f>IF('R.M Billets Reports'!A2446&lt;&gt;"",'R.M Billets Reports'!A2446,IF(ROW()=2,"",D2446))</f>
      </c>
      <c r="E2447">
        <f>IF('R.M Billets Reports'!B2446="","",TRIM('R.M Billets Reports'!B2446))</f>
      </c>
      <c r="F2447">
        <f>'R.M Billets Reports'!C2446</f>
      </c>
      <c r="G2447">
        <f>'R.M Billets Reports'!D2446</f>
      </c>
      <c r="H2447">
        <f>'R.M Billets Reports'!E2446</f>
      </c>
      <c r="I2447">
        <f>'R.M Billets Reports'!F2446</f>
      </c>
      <c r="J2447">
        <f>'R.M Billets Reports'!G2446</f>
      </c>
      <c r="K2447">
        <f>'R.M Billets Reports'!H2446</f>
      </c>
      <c r="L2447">
        <f>IF('R.M Billets Reports'!I2446="","",'R.M Billets Reports'!I2446)</f>
      </c>
      <c r="M2447">
        <f t="shared" si="76"/>
      </c>
      <c r="N2447">
        <f>IF('R.M Billets Reports'!J2446="","",'R.M Billets Reports'!J2446)</f>
      </c>
      <c r="O2447">
        <f t="shared" si="77"/>
      </c>
      <c r="P2447">
        <f>IF('R.M Billets Reports'!A2446="SIZE",'R.M Billets Reports'!B2446,P2446)</f>
      </c>
    </row>
    <row r="2448" spans="1:16" x14ac:dyDescent="0.25">
      <c r="A2448">
        <f>IF(OR('R.M Billets Reports'!A2447="Date-",'R.M Billets Reports'!A2447="Date:-"),IF(IF(IF(ISNUMBER(SEARCH("Party Name:-",'R.M Billets Reports'!D2447)),TRIM('R.M Billets Reports'!F2447),IF(ISNUMBER(SEARCH("Party Name-",'R.M Billets Reports'!D2447)),TRIM(MID('R.M Billets Reports'!D2447,SEARCH("-",'R.M Billets Reports'!D2447)+1,200)),""))&lt;&gt;"",IF(ISNUMBER(SEARCH("Party Name:-",'R.M Billets Reports'!D2447)),TRIM('R.M Billets Reports'!F2447),IF(ISNUMBER(SEARCH("Party Name-",'R.M Billets Reports'!D2447)),TRIM(MID('R.M Billets Reports'!D2447,SEARCH("-",'R.M Billets Reports'!D2447)+1,200)),"")),IF(ISNUMBER(SEARCH("Party Name:-",'R.M Billets Reports'!D2448)),TRIM('R.M Billets Reports'!F2448),IF(ISNUMBER(SEARCH("Party Name-",'R.M Billets Reports'!D2448)),TRIM(MID('R.M Billets Reports'!D2448,SEARCH("-",'R.M Billets Reports'!D2448)+1,200)),"")))="VRKP ISPAT PVT LTD","VRKP",IF(IF(IF(ISNUMBER(SEARCH("Party Name:-",'R.M Billets Reports'!D2447)),TRIM('R.M Billets Reports'!F2447),IF(ISNUMBER(SEARCH("Party Name-",'R.M Billets Reports'!D2447)),TRIM(MID('R.M Billets Reports'!D2447,SEARCH("-",'R.M Billets Reports'!D2447)+1,200)),""))&lt;&gt;"",IF(ISNUMBER(SEARCH("Party Name:-",'R.M Billets Reports'!D2447)),TRIM('R.M Billets Reports'!F2447),IF(ISNUMBER(SEARCH("Party Name-",'R.M Billets Reports'!D2447)),TRIM(MID('R.M Billets Reports'!D2447,SEARCH("-",'R.M Billets Reports'!D2447)+1,200)),"")),IF(ISNUMBER(SEARCH("Party Name:-",'R.M Billets Reports'!D2448)),TRIM('R.M Billets Reports'!F2448),IF(ISNUMBER(SEARCH("Party Name-",'R.M Billets Reports'!D2448)),TRIM(MID('R.M Billets Reports'!D2448,SEARCH("-",'R.M Billets Reports'!D2448)+1,200)),"")))="SHRI RADHE","SHREE RADHE",IF(IF(IF(ISNUMBER(SEARCH("Party Name:-",'R.M Billets Reports'!D2447)),TRIM('R.M Billets Reports'!F2447),IF(ISNUMBER(SEARCH("Party Name-",'R.M Billets Reports'!D2447)),TRIM(MID('R.M Billets Reports'!D2447,SEARCH("-",'R.M Billets Reports'!D2447)+1,200)),""))&lt;&gt;"",IF(ISNUMBER(SEARCH("Party Name:-",'R.M Billets Reports'!D2447)),TRIM('R.M Billets Reports'!F2447),IF(ISNUMBER(SEARCH("Party Name-",'R.M Billets Reports'!D2447)),TRIM(MID('R.M Billets Reports'!D2447,SEARCH("-",'R.M Billets Reports'!D2447)+1,200)),"")),IF(ISNUMBER(SEARCH("Party Name:-",'R.M Billets Reports'!D2448)),TRIM('R.M Billets Reports'!F2448),IF(ISNUMBER(SEARCH("Party Name-",'R.M Billets Reports'!D2448)),TRIM(MID('R.M Billets Reports'!D2448,SEARCH("-",'R.M Billets Reports'!D2448)+1,200)),"")))="SHREE RADHE SHAKTI SPONGE AND POWER PVT. LTD.","SHREE RADHE",IF(IF(ISNUMBER(SEARCH("Party Name:-",'R.M Billets Reports'!D2447)),TRIM('R.M Billets Reports'!F2447),IF(ISNUMBER(SEARCH("Party Name-",'R.M Billets Reports'!D2447)),TRIM(MID('R.M Billets Reports'!D2447,SEARCH("-",'R.M Billets Reports'!D2447)+1,200)),""))&lt;&gt;"",IF(ISNUMBER(SEARCH("Party Name:-",'R.M Billets Reports'!D2447)),TRIM('R.M Billets Reports'!F2447),IF(ISNUMBER(SEARCH("Party Name-",'R.M Billets Reports'!D2447)),TRIM(MID('R.M Billets Reports'!D2447,SEARCH("-",'R.M Billets Reports'!D2447)+1,200)),"")),IF(ISNUMBER(SEARCH("Party Name:-",'R.M Billets Reports'!D2448)),TRIM('R.M Billets Reports'!F2448),IF(ISNUMBER(SEARCH("Party Name-",'R.M Billets Reports'!D2448)),TRIM(MID('R.M Billets Reports'!D2448,SEARCH("-",'R.M Billets Reports'!D2448)+1,200)),"")))))),IF(ROW()=2,"",A2447))</f>
      </c>
      <c r="B2448">
        <f>IF(OR('R.M Billets Reports'!A2447="Date-",'R.M Billets Reports'!A2447="Date:-"),'R.M Billets Reports'!B2447,IF(ROW()=2,"",B2447))</f>
      </c>
      <c r="C2448">
        <f>IF('R.M Billets Reports'!A2447="V.No.",'R.M Billets Reports'!B2447,IF(ROW()=2,"",C2447))</f>
      </c>
      <c r="D2448">
        <f>IF('R.M Billets Reports'!A2447&lt;&gt;"",'R.M Billets Reports'!A2447,IF(ROW()=2,"",D2447))</f>
      </c>
      <c r="E2448">
        <f>IF('R.M Billets Reports'!B2447="","",TRIM('R.M Billets Reports'!B2447))</f>
      </c>
      <c r="F2448">
        <f>'R.M Billets Reports'!C2447</f>
      </c>
      <c r="G2448">
        <f>'R.M Billets Reports'!D2447</f>
      </c>
      <c r="H2448">
        <f>'R.M Billets Reports'!E2447</f>
      </c>
      <c r="I2448">
        <f>'R.M Billets Reports'!F2447</f>
      </c>
      <c r="J2448">
        <f>'R.M Billets Reports'!G2447</f>
      </c>
      <c r="K2448">
        <f>'R.M Billets Reports'!H2447</f>
      </c>
      <c r="L2448">
        <f>IF('R.M Billets Reports'!I2447="","",'R.M Billets Reports'!I2447)</f>
      </c>
      <c r="M2448">
        <f t="shared" si="76"/>
      </c>
      <c r="N2448">
        <f>IF('R.M Billets Reports'!J2447="","",'R.M Billets Reports'!J2447)</f>
      </c>
      <c r="O2448">
        <f t="shared" si="77"/>
      </c>
      <c r="P2448">
        <f>IF('R.M Billets Reports'!A2447="SIZE",'R.M Billets Reports'!B2447,P2447)</f>
      </c>
    </row>
    <row r="2449" spans="1:16" x14ac:dyDescent="0.25">
      <c r="A2449">
        <f>IF(OR('R.M Billets Reports'!A2448="Date-",'R.M Billets Reports'!A2448="Date:-"),IF(IF(IF(ISNUMBER(SEARCH("Party Name:-",'R.M Billets Reports'!D2448)),TRIM('R.M Billets Reports'!F2448),IF(ISNUMBER(SEARCH("Party Name-",'R.M Billets Reports'!D2448)),TRIM(MID('R.M Billets Reports'!D2448,SEARCH("-",'R.M Billets Reports'!D2448)+1,200)),""))&lt;&gt;"",IF(ISNUMBER(SEARCH("Party Name:-",'R.M Billets Reports'!D2448)),TRIM('R.M Billets Reports'!F2448),IF(ISNUMBER(SEARCH("Party Name-",'R.M Billets Reports'!D2448)),TRIM(MID('R.M Billets Reports'!D2448,SEARCH("-",'R.M Billets Reports'!D2448)+1,200)),"")),IF(ISNUMBER(SEARCH("Party Name:-",'R.M Billets Reports'!D2449)),TRIM('R.M Billets Reports'!F2449),IF(ISNUMBER(SEARCH("Party Name-",'R.M Billets Reports'!D2449)),TRIM(MID('R.M Billets Reports'!D2449,SEARCH("-",'R.M Billets Reports'!D2449)+1,200)),"")))="VRKP ISPAT PVT LTD","VRKP",IF(IF(IF(ISNUMBER(SEARCH("Party Name:-",'R.M Billets Reports'!D2448)),TRIM('R.M Billets Reports'!F2448),IF(ISNUMBER(SEARCH("Party Name-",'R.M Billets Reports'!D2448)),TRIM(MID('R.M Billets Reports'!D2448,SEARCH("-",'R.M Billets Reports'!D2448)+1,200)),""))&lt;&gt;"",IF(ISNUMBER(SEARCH("Party Name:-",'R.M Billets Reports'!D2448)),TRIM('R.M Billets Reports'!F2448),IF(ISNUMBER(SEARCH("Party Name-",'R.M Billets Reports'!D2448)),TRIM(MID('R.M Billets Reports'!D2448,SEARCH("-",'R.M Billets Reports'!D2448)+1,200)),"")),IF(ISNUMBER(SEARCH("Party Name:-",'R.M Billets Reports'!D2449)),TRIM('R.M Billets Reports'!F2449),IF(ISNUMBER(SEARCH("Party Name-",'R.M Billets Reports'!D2449)),TRIM(MID('R.M Billets Reports'!D2449,SEARCH("-",'R.M Billets Reports'!D2449)+1,200)),"")))="SHRI RADHE","SHREE RADHE",IF(IF(IF(ISNUMBER(SEARCH("Party Name:-",'R.M Billets Reports'!D2448)),TRIM('R.M Billets Reports'!F2448),IF(ISNUMBER(SEARCH("Party Name-",'R.M Billets Reports'!D2448)),TRIM(MID('R.M Billets Reports'!D2448,SEARCH("-",'R.M Billets Reports'!D2448)+1,200)),""))&lt;&gt;"",IF(ISNUMBER(SEARCH("Party Name:-",'R.M Billets Reports'!D2448)),TRIM('R.M Billets Reports'!F2448),IF(ISNUMBER(SEARCH("Party Name-",'R.M Billets Reports'!D2448)),TRIM(MID('R.M Billets Reports'!D2448,SEARCH("-",'R.M Billets Reports'!D2448)+1,200)),"")),IF(ISNUMBER(SEARCH("Party Name:-",'R.M Billets Reports'!D2449)),TRIM('R.M Billets Reports'!F2449),IF(ISNUMBER(SEARCH("Party Name-",'R.M Billets Reports'!D2449)),TRIM(MID('R.M Billets Reports'!D2449,SEARCH("-",'R.M Billets Reports'!D2449)+1,200)),"")))="SHREE RADHE SHAKTI SPONGE AND POWER PVT. LTD.","SHREE RADHE",IF(IF(ISNUMBER(SEARCH("Party Name:-",'R.M Billets Reports'!D2448)),TRIM('R.M Billets Reports'!F2448),IF(ISNUMBER(SEARCH("Party Name-",'R.M Billets Reports'!D2448)),TRIM(MID('R.M Billets Reports'!D2448,SEARCH("-",'R.M Billets Reports'!D2448)+1,200)),""))&lt;&gt;"",IF(ISNUMBER(SEARCH("Party Name:-",'R.M Billets Reports'!D2448)),TRIM('R.M Billets Reports'!F2448),IF(ISNUMBER(SEARCH("Party Name-",'R.M Billets Reports'!D2448)),TRIM(MID('R.M Billets Reports'!D2448,SEARCH("-",'R.M Billets Reports'!D2448)+1,200)),"")),IF(ISNUMBER(SEARCH("Party Name:-",'R.M Billets Reports'!D2449)),TRIM('R.M Billets Reports'!F2449),IF(ISNUMBER(SEARCH("Party Name-",'R.M Billets Reports'!D2449)),TRIM(MID('R.M Billets Reports'!D2449,SEARCH("-",'R.M Billets Reports'!D2449)+1,200)),"")))))),IF(ROW()=2,"",A2448))</f>
      </c>
      <c r="B2449">
        <f>IF(OR('R.M Billets Reports'!A2448="Date-",'R.M Billets Reports'!A2448="Date:-"),'R.M Billets Reports'!B2448,IF(ROW()=2,"",B2448))</f>
      </c>
      <c r="C2449">
        <f>IF('R.M Billets Reports'!A2448="V.No.",'R.M Billets Reports'!B2448,IF(ROW()=2,"",C2448))</f>
      </c>
      <c r="D2449">
        <f>IF('R.M Billets Reports'!A2448&lt;&gt;"",'R.M Billets Reports'!A2448,IF(ROW()=2,"",D2448))</f>
      </c>
      <c r="E2449">
        <f>IF('R.M Billets Reports'!B2448="","",TRIM('R.M Billets Reports'!B2448))</f>
      </c>
      <c r="F2449">
        <f>'R.M Billets Reports'!C2448</f>
      </c>
      <c r="G2449">
        <f>'R.M Billets Reports'!D2448</f>
      </c>
      <c r="H2449">
        <f>'R.M Billets Reports'!E2448</f>
      </c>
      <c r="I2449">
        <f>'R.M Billets Reports'!F2448</f>
      </c>
      <c r="J2449">
        <f>'R.M Billets Reports'!G2448</f>
      </c>
      <c r="K2449">
        <f>'R.M Billets Reports'!H2448</f>
      </c>
      <c r="L2449">
        <f>IF('R.M Billets Reports'!I2448="","",'R.M Billets Reports'!I2448)</f>
      </c>
      <c r="M2449">
        <f t="shared" si="76"/>
      </c>
      <c r="N2449">
        <f>IF('R.M Billets Reports'!J2448="","",'R.M Billets Reports'!J2448)</f>
      </c>
      <c r="O2449">
        <f t="shared" si="77"/>
      </c>
      <c r="P2449">
        <f>IF('R.M Billets Reports'!A2448="SIZE",'R.M Billets Reports'!B2448,P2448)</f>
      </c>
    </row>
    <row r="2450" spans="1:16" x14ac:dyDescent="0.25">
      <c r="A2450">
        <f>IF(OR('R.M Billets Reports'!A2449="Date-",'R.M Billets Reports'!A2449="Date:-"),IF(IF(IF(ISNUMBER(SEARCH("Party Name:-",'R.M Billets Reports'!D2449)),TRIM('R.M Billets Reports'!F2449),IF(ISNUMBER(SEARCH("Party Name-",'R.M Billets Reports'!D2449)),TRIM(MID('R.M Billets Reports'!D2449,SEARCH("-",'R.M Billets Reports'!D2449)+1,200)),""))&lt;&gt;"",IF(ISNUMBER(SEARCH("Party Name:-",'R.M Billets Reports'!D2449)),TRIM('R.M Billets Reports'!F2449),IF(ISNUMBER(SEARCH("Party Name-",'R.M Billets Reports'!D2449)),TRIM(MID('R.M Billets Reports'!D2449,SEARCH("-",'R.M Billets Reports'!D2449)+1,200)),"")),IF(ISNUMBER(SEARCH("Party Name:-",'R.M Billets Reports'!D2450)),TRIM('R.M Billets Reports'!F2450),IF(ISNUMBER(SEARCH("Party Name-",'R.M Billets Reports'!D2450)),TRIM(MID('R.M Billets Reports'!D2450,SEARCH("-",'R.M Billets Reports'!D2450)+1,200)),"")))="VRKP ISPAT PVT LTD","VRKP",IF(IF(IF(ISNUMBER(SEARCH("Party Name:-",'R.M Billets Reports'!D2449)),TRIM('R.M Billets Reports'!F2449),IF(ISNUMBER(SEARCH("Party Name-",'R.M Billets Reports'!D2449)),TRIM(MID('R.M Billets Reports'!D2449,SEARCH("-",'R.M Billets Reports'!D2449)+1,200)),""))&lt;&gt;"",IF(ISNUMBER(SEARCH("Party Name:-",'R.M Billets Reports'!D2449)),TRIM('R.M Billets Reports'!F2449),IF(ISNUMBER(SEARCH("Party Name-",'R.M Billets Reports'!D2449)),TRIM(MID('R.M Billets Reports'!D2449,SEARCH("-",'R.M Billets Reports'!D2449)+1,200)),"")),IF(ISNUMBER(SEARCH("Party Name:-",'R.M Billets Reports'!D2450)),TRIM('R.M Billets Reports'!F2450),IF(ISNUMBER(SEARCH("Party Name-",'R.M Billets Reports'!D2450)),TRIM(MID('R.M Billets Reports'!D2450,SEARCH("-",'R.M Billets Reports'!D2450)+1,200)),"")))="SHRI RADHE","SHREE RADHE",IF(IF(IF(ISNUMBER(SEARCH("Party Name:-",'R.M Billets Reports'!D2449)),TRIM('R.M Billets Reports'!F2449),IF(ISNUMBER(SEARCH("Party Name-",'R.M Billets Reports'!D2449)),TRIM(MID('R.M Billets Reports'!D2449,SEARCH("-",'R.M Billets Reports'!D2449)+1,200)),""))&lt;&gt;"",IF(ISNUMBER(SEARCH("Party Name:-",'R.M Billets Reports'!D2449)),TRIM('R.M Billets Reports'!F2449),IF(ISNUMBER(SEARCH("Party Name-",'R.M Billets Reports'!D2449)),TRIM(MID('R.M Billets Reports'!D2449,SEARCH("-",'R.M Billets Reports'!D2449)+1,200)),"")),IF(ISNUMBER(SEARCH("Party Name:-",'R.M Billets Reports'!D2450)),TRIM('R.M Billets Reports'!F2450),IF(ISNUMBER(SEARCH("Party Name-",'R.M Billets Reports'!D2450)),TRIM(MID('R.M Billets Reports'!D2450,SEARCH("-",'R.M Billets Reports'!D2450)+1,200)),"")))="SHREE RADHE SHAKTI SPONGE AND POWER PVT. LTD.","SHREE RADHE",IF(IF(ISNUMBER(SEARCH("Party Name:-",'R.M Billets Reports'!D2449)),TRIM('R.M Billets Reports'!F2449),IF(ISNUMBER(SEARCH("Party Name-",'R.M Billets Reports'!D2449)),TRIM(MID('R.M Billets Reports'!D2449,SEARCH("-",'R.M Billets Reports'!D2449)+1,200)),""))&lt;&gt;"",IF(ISNUMBER(SEARCH("Party Name:-",'R.M Billets Reports'!D2449)),TRIM('R.M Billets Reports'!F2449),IF(ISNUMBER(SEARCH("Party Name-",'R.M Billets Reports'!D2449)),TRIM(MID('R.M Billets Reports'!D2449,SEARCH("-",'R.M Billets Reports'!D2449)+1,200)),"")),IF(ISNUMBER(SEARCH("Party Name:-",'R.M Billets Reports'!D2450)),TRIM('R.M Billets Reports'!F2450),IF(ISNUMBER(SEARCH("Party Name-",'R.M Billets Reports'!D2450)),TRIM(MID('R.M Billets Reports'!D2450,SEARCH("-",'R.M Billets Reports'!D2450)+1,200)),"")))))),IF(ROW()=2,"",A2449))</f>
      </c>
      <c r="B2450">
        <f>IF(OR('R.M Billets Reports'!A2449="Date-",'R.M Billets Reports'!A2449="Date:-"),'R.M Billets Reports'!B2449,IF(ROW()=2,"",B2449))</f>
      </c>
      <c r="C2450">
        <f>IF('R.M Billets Reports'!A2449="V.No.",'R.M Billets Reports'!B2449,IF(ROW()=2,"",C2449))</f>
      </c>
      <c r="D2450">
        <f>IF('R.M Billets Reports'!A2449&lt;&gt;"",'R.M Billets Reports'!A2449,IF(ROW()=2,"",D2449))</f>
      </c>
      <c r="E2450">
        <f>IF('R.M Billets Reports'!B2449="","",TRIM('R.M Billets Reports'!B2449))</f>
      </c>
      <c r="F2450">
        <f>'R.M Billets Reports'!C2449</f>
      </c>
      <c r="G2450">
        <f>'R.M Billets Reports'!D2449</f>
      </c>
      <c r="H2450">
        <f>'R.M Billets Reports'!E2449</f>
      </c>
      <c r="I2450">
        <f>'R.M Billets Reports'!F2449</f>
      </c>
      <c r="J2450">
        <f>'R.M Billets Reports'!G2449</f>
      </c>
      <c r="K2450">
        <f>'R.M Billets Reports'!H2449</f>
      </c>
      <c r="L2450">
        <f>IF('R.M Billets Reports'!I2449="","",'R.M Billets Reports'!I2449)</f>
      </c>
      <c r="M2450">
        <f t="shared" si="76"/>
      </c>
      <c r="N2450">
        <f>IF('R.M Billets Reports'!J2449="","",'R.M Billets Reports'!J2449)</f>
      </c>
      <c r="O2450">
        <f t="shared" si="77"/>
      </c>
      <c r="P2450">
        <f>IF('R.M Billets Reports'!A2449="SIZE",'R.M Billets Reports'!B2449,P2449)</f>
      </c>
    </row>
    <row r="2451" spans="1:16" x14ac:dyDescent="0.25">
      <c r="A2451">
        <f>IF(OR('R.M Billets Reports'!A2450="Date-",'R.M Billets Reports'!A2450="Date:-"),IF(IF(IF(ISNUMBER(SEARCH("Party Name:-",'R.M Billets Reports'!D2450)),TRIM('R.M Billets Reports'!F2450),IF(ISNUMBER(SEARCH("Party Name-",'R.M Billets Reports'!D2450)),TRIM(MID('R.M Billets Reports'!D2450,SEARCH("-",'R.M Billets Reports'!D2450)+1,200)),""))&lt;&gt;"",IF(ISNUMBER(SEARCH("Party Name:-",'R.M Billets Reports'!D2450)),TRIM('R.M Billets Reports'!F2450),IF(ISNUMBER(SEARCH("Party Name-",'R.M Billets Reports'!D2450)),TRIM(MID('R.M Billets Reports'!D2450,SEARCH("-",'R.M Billets Reports'!D2450)+1,200)),"")),IF(ISNUMBER(SEARCH("Party Name:-",'R.M Billets Reports'!D2451)),TRIM('R.M Billets Reports'!F2451),IF(ISNUMBER(SEARCH("Party Name-",'R.M Billets Reports'!D2451)),TRIM(MID('R.M Billets Reports'!D2451,SEARCH("-",'R.M Billets Reports'!D2451)+1,200)),"")))="VRKP ISPAT PVT LTD","VRKP",IF(IF(IF(ISNUMBER(SEARCH("Party Name:-",'R.M Billets Reports'!D2450)),TRIM('R.M Billets Reports'!F2450),IF(ISNUMBER(SEARCH("Party Name-",'R.M Billets Reports'!D2450)),TRIM(MID('R.M Billets Reports'!D2450,SEARCH("-",'R.M Billets Reports'!D2450)+1,200)),""))&lt;&gt;"",IF(ISNUMBER(SEARCH("Party Name:-",'R.M Billets Reports'!D2450)),TRIM('R.M Billets Reports'!F2450),IF(ISNUMBER(SEARCH("Party Name-",'R.M Billets Reports'!D2450)),TRIM(MID('R.M Billets Reports'!D2450,SEARCH("-",'R.M Billets Reports'!D2450)+1,200)),"")),IF(ISNUMBER(SEARCH("Party Name:-",'R.M Billets Reports'!D2451)),TRIM('R.M Billets Reports'!F2451),IF(ISNUMBER(SEARCH("Party Name-",'R.M Billets Reports'!D2451)),TRIM(MID('R.M Billets Reports'!D2451,SEARCH("-",'R.M Billets Reports'!D2451)+1,200)),"")))="SHRI RADHE","SHREE RADHE",IF(IF(IF(ISNUMBER(SEARCH("Party Name:-",'R.M Billets Reports'!D2450)),TRIM('R.M Billets Reports'!F2450),IF(ISNUMBER(SEARCH("Party Name-",'R.M Billets Reports'!D2450)),TRIM(MID('R.M Billets Reports'!D2450,SEARCH("-",'R.M Billets Reports'!D2450)+1,200)),""))&lt;&gt;"",IF(ISNUMBER(SEARCH("Party Name:-",'R.M Billets Reports'!D2450)),TRIM('R.M Billets Reports'!F2450),IF(ISNUMBER(SEARCH("Party Name-",'R.M Billets Reports'!D2450)),TRIM(MID('R.M Billets Reports'!D2450,SEARCH("-",'R.M Billets Reports'!D2450)+1,200)),"")),IF(ISNUMBER(SEARCH("Party Name:-",'R.M Billets Reports'!D2451)),TRIM('R.M Billets Reports'!F2451),IF(ISNUMBER(SEARCH("Party Name-",'R.M Billets Reports'!D2451)),TRIM(MID('R.M Billets Reports'!D2451,SEARCH("-",'R.M Billets Reports'!D2451)+1,200)),"")))="SHREE RADHE SHAKTI SPONGE AND POWER PVT. LTD.","SHREE RADHE",IF(IF(ISNUMBER(SEARCH("Party Name:-",'R.M Billets Reports'!D2450)),TRIM('R.M Billets Reports'!F2450),IF(ISNUMBER(SEARCH("Party Name-",'R.M Billets Reports'!D2450)),TRIM(MID('R.M Billets Reports'!D2450,SEARCH("-",'R.M Billets Reports'!D2450)+1,200)),""))&lt;&gt;"",IF(ISNUMBER(SEARCH("Party Name:-",'R.M Billets Reports'!D2450)),TRIM('R.M Billets Reports'!F2450),IF(ISNUMBER(SEARCH("Party Name-",'R.M Billets Reports'!D2450)),TRIM(MID('R.M Billets Reports'!D2450,SEARCH("-",'R.M Billets Reports'!D2450)+1,200)),"")),IF(ISNUMBER(SEARCH("Party Name:-",'R.M Billets Reports'!D2451)),TRIM('R.M Billets Reports'!F2451),IF(ISNUMBER(SEARCH("Party Name-",'R.M Billets Reports'!D2451)),TRIM(MID('R.M Billets Reports'!D2451,SEARCH("-",'R.M Billets Reports'!D2451)+1,200)),"")))))),IF(ROW()=2,"",A2450))</f>
      </c>
      <c r="B2451">
        <f>IF(OR('R.M Billets Reports'!A2450="Date-",'R.M Billets Reports'!A2450="Date:-"),'R.M Billets Reports'!B2450,IF(ROW()=2,"",B2450))</f>
      </c>
      <c r="C2451">
        <f>IF('R.M Billets Reports'!A2450="V.No.",'R.M Billets Reports'!B2450,IF(ROW()=2,"",C2450))</f>
      </c>
      <c r="D2451">
        <f>IF('R.M Billets Reports'!A2450&lt;&gt;"",'R.M Billets Reports'!A2450,IF(ROW()=2,"",D2450))</f>
      </c>
      <c r="E2451">
        <f>IF('R.M Billets Reports'!B2450="","",TRIM('R.M Billets Reports'!B2450))</f>
      </c>
      <c r="F2451">
        <f>'R.M Billets Reports'!C2450</f>
      </c>
      <c r="G2451">
        <f>'R.M Billets Reports'!D2450</f>
      </c>
      <c r="H2451">
        <f>'R.M Billets Reports'!E2450</f>
      </c>
      <c r="I2451">
        <f>'R.M Billets Reports'!F2450</f>
      </c>
      <c r="J2451">
        <f>'R.M Billets Reports'!G2450</f>
      </c>
      <c r="K2451">
        <f>'R.M Billets Reports'!H2450</f>
      </c>
      <c r="L2451">
        <f>IF('R.M Billets Reports'!I2450="","",'R.M Billets Reports'!I2450)</f>
      </c>
      <c r="M2451">
        <f t="shared" si="76"/>
      </c>
      <c r="N2451">
        <f>IF('R.M Billets Reports'!J2450="","",'R.M Billets Reports'!J2450)</f>
      </c>
      <c r="O2451">
        <f t="shared" si="77"/>
      </c>
      <c r="P2451">
        <f>IF('R.M Billets Reports'!A2450="SIZE",'R.M Billets Reports'!B2450,P2450)</f>
      </c>
    </row>
    <row r="2452" spans="1:16" x14ac:dyDescent="0.25">
      <c r="A2452">
        <f>IF(OR('R.M Billets Reports'!A2451="Date-",'R.M Billets Reports'!A2451="Date:-"),IF(IF(IF(ISNUMBER(SEARCH("Party Name:-",'R.M Billets Reports'!D2451)),TRIM('R.M Billets Reports'!F2451),IF(ISNUMBER(SEARCH("Party Name-",'R.M Billets Reports'!D2451)),TRIM(MID('R.M Billets Reports'!D2451,SEARCH("-",'R.M Billets Reports'!D2451)+1,200)),""))&lt;&gt;"",IF(ISNUMBER(SEARCH("Party Name:-",'R.M Billets Reports'!D2451)),TRIM('R.M Billets Reports'!F2451),IF(ISNUMBER(SEARCH("Party Name-",'R.M Billets Reports'!D2451)),TRIM(MID('R.M Billets Reports'!D2451,SEARCH("-",'R.M Billets Reports'!D2451)+1,200)),"")),IF(ISNUMBER(SEARCH("Party Name:-",'R.M Billets Reports'!D2452)),TRIM('R.M Billets Reports'!F2452),IF(ISNUMBER(SEARCH("Party Name-",'R.M Billets Reports'!D2452)),TRIM(MID('R.M Billets Reports'!D2452,SEARCH("-",'R.M Billets Reports'!D2452)+1,200)),"")))="VRKP ISPAT PVT LTD","VRKP",IF(IF(IF(ISNUMBER(SEARCH("Party Name:-",'R.M Billets Reports'!D2451)),TRIM('R.M Billets Reports'!F2451),IF(ISNUMBER(SEARCH("Party Name-",'R.M Billets Reports'!D2451)),TRIM(MID('R.M Billets Reports'!D2451,SEARCH("-",'R.M Billets Reports'!D2451)+1,200)),""))&lt;&gt;"",IF(ISNUMBER(SEARCH("Party Name:-",'R.M Billets Reports'!D2451)),TRIM('R.M Billets Reports'!F2451),IF(ISNUMBER(SEARCH("Party Name-",'R.M Billets Reports'!D2451)),TRIM(MID('R.M Billets Reports'!D2451,SEARCH("-",'R.M Billets Reports'!D2451)+1,200)),"")),IF(ISNUMBER(SEARCH("Party Name:-",'R.M Billets Reports'!D2452)),TRIM('R.M Billets Reports'!F2452),IF(ISNUMBER(SEARCH("Party Name-",'R.M Billets Reports'!D2452)),TRIM(MID('R.M Billets Reports'!D2452,SEARCH("-",'R.M Billets Reports'!D2452)+1,200)),"")))="SHRI RADHE","SHREE RADHE",IF(IF(IF(ISNUMBER(SEARCH("Party Name:-",'R.M Billets Reports'!D2451)),TRIM('R.M Billets Reports'!F2451),IF(ISNUMBER(SEARCH("Party Name-",'R.M Billets Reports'!D2451)),TRIM(MID('R.M Billets Reports'!D2451,SEARCH("-",'R.M Billets Reports'!D2451)+1,200)),""))&lt;&gt;"",IF(ISNUMBER(SEARCH("Party Name:-",'R.M Billets Reports'!D2451)),TRIM('R.M Billets Reports'!F2451),IF(ISNUMBER(SEARCH("Party Name-",'R.M Billets Reports'!D2451)),TRIM(MID('R.M Billets Reports'!D2451,SEARCH("-",'R.M Billets Reports'!D2451)+1,200)),"")),IF(ISNUMBER(SEARCH("Party Name:-",'R.M Billets Reports'!D2452)),TRIM('R.M Billets Reports'!F2452),IF(ISNUMBER(SEARCH("Party Name-",'R.M Billets Reports'!D2452)),TRIM(MID('R.M Billets Reports'!D2452,SEARCH("-",'R.M Billets Reports'!D2452)+1,200)),"")))="SHREE RADHE SHAKTI SPONGE AND POWER PVT. LTD.","SHREE RADHE",IF(IF(ISNUMBER(SEARCH("Party Name:-",'R.M Billets Reports'!D2451)),TRIM('R.M Billets Reports'!F2451),IF(ISNUMBER(SEARCH("Party Name-",'R.M Billets Reports'!D2451)),TRIM(MID('R.M Billets Reports'!D2451,SEARCH("-",'R.M Billets Reports'!D2451)+1,200)),""))&lt;&gt;"",IF(ISNUMBER(SEARCH("Party Name:-",'R.M Billets Reports'!D2451)),TRIM('R.M Billets Reports'!F2451),IF(ISNUMBER(SEARCH("Party Name-",'R.M Billets Reports'!D2451)),TRIM(MID('R.M Billets Reports'!D2451,SEARCH("-",'R.M Billets Reports'!D2451)+1,200)),"")),IF(ISNUMBER(SEARCH("Party Name:-",'R.M Billets Reports'!D2452)),TRIM('R.M Billets Reports'!F2452),IF(ISNUMBER(SEARCH("Party Name-",'R.M Billets Reports'!D2452)),TRIM(MID('R.M Billets Reports'!D2452,SEARCH("-",'R.M Billets Reports'!D2452)+1,200)),"")))))),IF(ROW()=2,"",A2451))</f>
      </c>
      <c r="B2452">
        <f>IF(OR('R.M Billets Reports'!A2451="Date-",'R.M Billets Reports'!A2451="Date:-"),'R.M Billets Reports'!B2451,IF(ROW()=2,"",B2451))</f>
      </c>
      <c r="C2452">
        <f>IF('R.M Billets Reports'!A2451="V.No.",'R.M Billets Reports'!B2451,IF(ROW()=2,"",C2451))</f>
      </c>
      <c r="D2452">
        <f>IF('R.M Billets Reports'!A2451&lt;&gt;"",'R.M Billets Reports'!A2451,IF(ROW()=2,"",D2451))</f>
      </c>
      <c r="E2452">
        <f>IF('R.M Billets Reports'!B2451="","",TRIM('R.M Billets Reports'!B2451))</f>
      </c>
      <c r="F2452">
        <f>'R.M Billets Reports'!C2451</f>
      </c>
      <c r="G2452">
        <f>'R.M Billets Reports'!D2451</f>
      </c>
      <c r="H2452">
        <f>'R.M Billets Reports'!E2451</f>
      </c>
      <c r="I2452">
        <f>'R.M Billets Reports'!F2451</f>
      </c>
      <c r="J2452">
        <f>'R.M Billets Reports'!G2451</f>
      </c>
      <c r="K2452">
        <f>'R.M Billets Reports'!H2451</f>
      </c>
      <c r="L2452">
        <f>IF('R.M Billets Reports'!I2451="","",'R.M Billets Reports'!I2451)</f>
      </c>
      <c r="M2452">
        <f t="shared" si="76"/>
      </c>
      <c r="N2452">
        <f>IF('R.M Billets Reports'!J2451="","",'R.M Billets Reports'!J2451)</f>
      </c>
      <c r="O2452">
        <f t="shared" si="77"/>
      </c>
      <c r="P2452">
        <f>IF('R.M Billets Reports'!A2451="SIZE",'R.M Billets Reports'!B2451,P2451)</f>
      </c>
    </row>
    <row r="2453" spans="1:16" x14ac:dyDescent="0.25">
      <c r="A2453">
        <f>IF(OR('R.M Billets Reports'!A2452="Date-",'R.M Billets Reports'!A2452="Date:-"),IF(IF(IF(ISNUMBER(SEARCH("Party Name:-",'R.M Billets Reports'!D2452)),TRIM('R.M Billets Reports'!F2452),IF(ISNUMBER(SEARCH("Party Name-",'R.M Billets Reports'!D2452)),TRIM(MID('R.M Billets Reports'!D2452,SEARCH("-",'R.M Billets Reports'!D2452)+1,200)),""))&lt;&gt;"",IF(ISNUMBER(SEARCH("Party Name:-",'R.M Billets Reports'!D2452)),TRIM('R.M Billets Reports'!F2452),IF(ISNUMBER(SEARCH("Party Name-",'R.M Billets Reports'!D2452)),TRIM(MID('R.M Billets Reports'!D2452,SEARCH("-",'R.M Billets Reports'!D2452)+1,200)),"")),IF(ISNUMBER(SEARCH("Party Name:-",'R.M Billets Reports'!D2453)),TRIM('R.M Billets Reports'!F2453),IF(ISNUMBER(SEARCH("Party Name-",'R.M Billets Reports'!D2453)),TRIM(MID('R.M Billets Reports'!D2453,SEARCH("-",'R.M Billets Reports'!D2453)+1,200)),"")))="VRKP ISPAT PVT LTD","VRKP",IF(IF(IF(ISNUMBER(SEARCH("Party Name:-",'R.M Billets Reports'!D2452)),TRIM('R.M Billets Reports'!F2452),IF(ISNUMBER(SEARCH("Party Name-",'R.M Billets Reports'!D2452)),TRIM(MID('R.M Billets Reports'!D2452,SEARCH("-",'R.M Billets Reports'!D2452)+1,200)),""))&lt;&gt;"",IF(ISNUMBER(SEARCH("Party Name:-",'R.M Billets Reports'!D2452)),TRIM('R.M Billets Reports'!F2452),IF(ISNUMBER(SEARCH("Party Name-",'R.M Billets Reports'!D2452)),TRIM(MID('R.M Billets Reports'!D2452,SEARCH("-",'R.M Billets Reports'!D2452)+1,200)),"")),IF(ISNUMBER(SEARCH("Party Name:-",'R.M Billets Reports'!D2453)),TRIM('R.M Billets Reports'!F2453),IF(ISNUMBER(SEARCH("Party Name-",'R.M Billets Reports'!D2453)),TRIM(MID('R.M Billets Reports'!D2453,SEARCH("-",'R.M Billets Reports'!D2453)+1,200)),"")))="SHRI RADHE","SHREE RADHE",IF(IF(IF(ISNUMBER(SEARCH("Party Name:-",'R.M Billets Reports'!D2452)),TRIM('R.M Billets Reports'!F2452),IF(ISNUMBER(SEARCH("Party Name-",'R.M Billets Reports'!D2452)),TRIM(MID('R.M Billets Reports'!D2452,SEARCH("-",'R.M Billets Reports'!D2452)+1,200)),""))&lt;&gt;"",IF(ISNUMBER(SEARCH("Party Name:-",'R.M Billets Reports'!D2452)),TRIM('R.M Billets Reports'!F2452),IF(ISNUMBER(SEARCH("Party Name-",'R.M Billets Reports'!D2452)),TRIM(MID('R.M Billets Reports'!D2452,SEARCH("-",'R.M Billets Reports'!D2452)+1,200)),"")),IF(ISNUMBER(SEARCH("Party Name:-",'R.M Billets Reports'!D2453)),TRIM('R.M Billets Reports'!F2453),IF(ISNUMBER(SEARCH("Party Name-",'R.M Billets Reports'!D2453)),TRIM(MID('R.M Billets Reports'!D2453,SEARCH("-",'R.M Billets Reports'!D2453)+1,200)),"")))="SHREE RADHE SHAKTI SPONGE AND POWER PVT. LTD.","SHREE RADHE",IF(IF(ISNUMBER(SEARCH("Party Name:-",'R.M Billets Reports'!D2452)),TRIM('R.M Billets Reports'!F2452),IF(ISNUMBER(SEARCH("Party Name-",'R.M Billets Reports'!D2452)),TRIM(MID('R.M Billets Reports'!D2452,SEARCH("-",'R.M Billets Reports'!D2452)+1,200)),""))&lt;&gt;"",IF(ISNUMBER(SEARCH("Party Name:-",'R.M Billets Reports'!D2452)),TRIM('R.M Billets Reports'!F2452),IF(ISNUMBER(SEARCH("Party Name-",'R.M Billets Reports'!D2452)),TRIM(MID('R.M Billets Reports'!D2452,SEARCH("-",'R.M Billets Reports'!D2452)+1,200)),"")),IF(ISNUMBER(SEARCH("Party Name:-",'R.M Billets Reports'!D2453)),TRIM('R.M Billets Reports'!F2453),IF(ISNUMBER(SEARCH("Party Name-",'R.M Billets Reports'!D2453)),TRIM(MID('R.M Billets Reports'!D2453,SEARCH("-",'R.M Billets Reports'!D2453)+1,200)),"")))))),IF(ROW()=2,"",A2452))</f>
      </c>
      <c r="B2453">
        <f>IF(OR('R.M Billets Reports'!A2452="Date-",'R.M Billets Reports'!A2452="Date:-"),'R.M Billets Reports'!B2452,IF(ROW()=2,"",B2452))</f>
      </c>
      <c r="C2453">
        <f>IF('R.M Billets Reports'!A2452="V.No.",'R.M Billets Reports'!B2452,IF(ROW()=2,"",C2452))</f>
      </c>
      <c r="D2453">
        <f>IF('R.M Billets Reports'!A2452&lt;&gt;"",'R.M Billets Reports'!A2452,IF(ROW()=2,"",D2452))</f>
      </c>
      <c r="E2453">
        <f>IF('R.M Billets Reports'!B2452="","",TRIM('R.M Billets Reports'!B2452))</f>
      </c>
      <c r="F2453">
        <f>'R.M Billets Reports'!C2452</f>
      </c>
      <c r="G2453">
        <f>'R.M Billets Reports'!D2452</f>
      </c>
      <c r="H2453">
        <f>'R.M Billets Reports'!E2452</f>
      </c>
      <c r="I2453">
        <f>'R.M Billets Reports'!F2452</f>
      </c>
      <c r="J2453">
        <f>'R.M Billets Reports'!G2452</f>
      </c>
      <c r="K2453">
        <f>'R.M Billets Reports'!H2452</f>
      </c>
      <c r="L2453">
        <f>IF('R.M Billets Reports'!I2452="","",'R.M Billets Reports'!I2452)</f>
      </c>
      <c r="M2453">
        <f t="shared" si="76"/>
      </c>
      <c r="N2453">
        <f>IF('R.M Billets Reports'!J2452="","",'R.M Billets Reports'!J2452)</f>
      </c>
      <c r="O2453">
        <f t="shared" si="77"/>
      </c>
      <c r="P2453">
        <f>IF('R.M Billets Reports'!A2452="SIZE",'R.M Billets Reports'!B2452,P2452)</f>
      </c>
    </row>
    <row r="2454" spans="1:16" x14ac:dyDescent="0.25">
      <c r="A2454">
        <f>IF(OR('R.M Billets Reports'!A2453="Date-",'R.M Billets Reports'!A2453="Date:-"),IF(IF(IF(ISNUMBER(SEARCH("Party Name:-",'R.M Billets Reports'!D2453)),TRIM('R.M Billets Reports'!F2453),IF(ISNUMBER(SEARCH("Party Name-",'R.M Billets Reports'!D2453)),TRIM(MID('R.M Billets Reports'!D2453,SEARCH("-",'R.M Billets Reports'!D2453)+1,200)),""))&lt;&gt;"",IF(ISNUMBER(SEARCH("Party Name:-",'R.M Billets Reports'!D2453)),TRIM('R.M Billets Reports'!F2453),IF(ISNUMBER(SEARCH("Party Name-",'R.M Billets Reports'!D2453)),TRIM(MID('R.M Billets Reports'!D2453,SEARCH("-",'R.M Billets Reports'!D2453)+1,200)),"")),IF(ISNUMBER(SEARCH("Party Name:-",'R.M Billets Reports'!D2454)),TRIM('R.M Billets Reports'!F2454),IF(ISNUMBER(SEARCH("Party Name-",'R.M Billets Reports'!D2454)),TRIM(MID('R.M Billets Reports'!D2454,SEARCH("-",'R.M Billets Reports'!D2454)+1,200)),"")))="VRKP ISPAT PVT LTD","VRKP",IF(IF(IF(ISNUMBER(SEARCH("Party Name:-",'R.M Billets Reports'!D2453)),TRIM('R.M Billets Reports'!F2453),IF(ISNUMBER(SEARCH("Party Name-",'R.M Billets Reports'!D2453)),TRIM(MID('R.M Billets Reports'!D2453,SEARCH("-",'R.M Billets Reports'!D2453)+1,200)),""))&lt;&gt;"",IF(ISNUMBER(SEARCH("Party Name:-",'R.M Billets Reports'!D2453)),TRIM('R.M Billets Reports'!F2453),IF(ISNUMBER(SEARCH("Party Name-",'R.M Billets Reports'!D2453)),TRIM(MID('R.M Billets Reports'!D2453,SEARCH("-",'R.M Billets Reports'!D2453)+1,200)),"")),IF(ISNUMBER(SEARCH("Party Name:-",'R.M Billets Reports'!D2454)),TRIM('R.M Billets Reports'!F2454),IF(ISNUMBER(SEARCH("Party Name-",'R.M Billets Reports'!D2454)),TRIM(MID('R.M Billets Reports'!D2454,SEARCH("-",'R.M Billets Reports'!D2454)+1,200)),"")))="SHRI RADHE","SHREE RADHE",IF(IF(IF(ISNUMBER(SEARCH("Party Name:-",'R.M Billets Reports'!D2453)),TRIM('R.M Billets Reports'!F2453),IF(ISNUMBER(SEARCH("Party Name-",'R.M Billets Reports'!D2453)),TRIM(MID('R.M Billets Reports'!D2453,SEARCH("-",'R.M Billets Reports'!D2453)+1,200)),""))&lt;&gt;"",IF(ISNUMBER(SEARCH("Party Name:-",'R.M Billets Reports'!D2453)),TRIM('R.M Billets Reports'!F2453),IF(ISNUMBER(SEARCH("Party Name-",'R.M Billets Reports'!D2453)),TRIM(MID('R.M Billets Reports'!D2453,SEARCH("-",'R.M Billets Reports'!D2453)+1,200)),"")),IF(ISNUMBER(SEARCH("Party Name:-",'R.M Billets Reports'!D2454)),TRIM('R.M Billets Reports'!F2454),IF(ISNUMBER(SEARCH("Party Name-",'R.M Billets Reports'!D2454)),TRIM(MID('R.M Billets Reports'!D2454,SEARCH("-",'R.M Billets Reports'!D2454)+1,200)),"")))="SHREE RADHE SHAKTI SPONGE AND POWER PVT. LTD.","SHREE RADHE",IF(IF(ISNUMBER(SEARCH("Party Name:-",'R.M Billets Reports'!D2453)),TRIM('R.M Billets Reports'!F2453),IF(ISNUMBER(SEARCH("Party Name-",'R.M Billets Reports'!D2453)),TRIM(MID('R.M Billets Reports'!D2453,SEARCH("-",'R.M Billets Reports'!D2453)+1,200)),""))&lt;&gt;"",IF(ISNUMBER(SEARCH("Party Name:-",'R.M Billets Reports'!D2453)),TRIM('R.M Billets Reports'!F2453),IF(ISNUMBER(SEARCH("Party Name-",'R.M Billets Reports'!D2453)),TRIM(MID('R.M Billets Reports'!D2453,SEARCH("-",'R.M Billets Reports'!D2453)+1,200)),"")),IF(ISNUMBER(SEARCH("Party Name:-",'R.M Billets Reports'!D2454)),TRIM('R.M Billets Reports'!F2454),IF(ISNUMBER(SEARCH("Party Name-",'R.M Billets Reports'!D2454)),TRIM(MID('R.M Billets Reports'!D2454,SEARCH("-",'R.M Billets Reports'!D2454)+1,200)),"")))))),IF(ROW()=2,"",A2453))</f>
      </c>
      <c r="B2454">
        <f>IF(OR('R.M Billets Reports'!A2453="Date-",'R.M Billets Reports'!A2453="Date:-"),'R.M Billets Reports'!B2453,IF(ROW()=2,"",B2453))</f>
      </c>
      <c r="C2454">
        <f>IF('R.M Billets Reports'!A2453="V.No.",'R.M Billets Reports'!B2453,IF(ROW()=2,"",C2453))</f>
      </c>
      <c r="D2454">
        <f>IF('R.M Billets Reports'!A2453&lt;&gt;"",'R.M Billets Reports'!A2453,IF(ROW()=2,"",D2453))</f>
      </c>
      <c r="E2454">
        <f>IF('R.M Billets Reports'!B2453="","",TRIM('R.M Billets Reports'!B2453))</f>
      </c>
      <c r="F2454">
        <f>'R.M Billets Reports'!C2453</f>
      </c>
      <c r="G2454">
        <f>'R.M Billets Reports'!D2453</f>
      </c>
      <c r="H2454">
        <f>'R.M Billets Reports'!E2453</f>
      </c>
      <c r="I2454">
        <f>'R.M Billets Reports'!F2453</f>
      </c>
      <c r="J2454">
        <f>'R.M Billets Reports'!G2453</f>
      </c>
      <c r="K2454">
        <f>'R.M Billets Reports'!H2453</f>
      </c>
      <c r="L2454">
        <f>IF('R.M Billets Reports'!I2453="","",'R.M Billets Reports'!I2453)</f>
      </c>
      <c r="M2454">
        <f t="shared" si="76"/>
      </c>
      <c r="N2454">
        <f>IF('R.M Billets Reports'!J2453="","",'R.M Billets Reports'!J2453)</f>
      </c>
      <c r="O2454">
        <f t="shared" si="77"/>
      </c>
      <c r="P2454">
        <f>IF('R.M Billets Reports'!A2453="SIZE",'R.M Billets Reports'!B2453,P2453)</f>
      </c>
    </row>
    <row r="2455" spans="1:16" x14ac:dyDescent="0.25">
      <c r="A2455">
        <f>IF(OR('R.M Billets Reports'!A2454="Date-",'R.M Billets Reports'!A2454="Date:-"),IF(IF(IF(ISNUMBER(SEARCH("Party Name:-",'R.M Billets Reports'!D2454)),TRIM('R.M Billets Reports'!F2454),IF(ISNUMBER(SEARCH("Party Name-",'R.M Billets Reports'!D2454)),TRIM(MID('R.M Billets Reports'!D2454,SEARCH("-",'R.M Billets Reports'!D2454)+1,200)),""))&lt;&gt;"",IF(ISNUMBER(SEARCH("Party Name:-",'R.M Billets Reports'!D2454)),TRIM('R.M Billets Reports'!F2454),IF(ISNUMBER(SEARCH("Party Name-",'R.M Billets Reports'!D2454)),TRIM(MID('R.M Billets Reports'!D2454,SEARCH("-",'R.M Billets Reports'!D2454)+1,200)),"")),IF(ISNUMBER(SEARCH("Party Name:-",'R.M Billets Reports'!D2455)),TRIM('R.M Billets Reports'!F2455),IF(ISNUMBER(SEARCH("Party Name-",'R.M Billets Reports'!D2455)),TRIM(MID('R.M Billets Reports'!D2455,SEARCH("-",'R.M Billets Reports'!D2455)+1,200)),"")))="VRKP ISPAT PVT LTD","VRKP",IF(IF(IF(ISNUMBER(SEARCH("Party Name:-",'R.M Billets Reports'!D2454)),TRIM('R.M Billets Reports'!F2454),IF(ISNUMBER(SEARCH("Party Name-",'R.M Billets Reports'!D2454)),TRIM(MID('R.M Billets Reports'!D2454,SEARCH("-",'R.M Billets Reports'!D2454)+1,200)),""))&lt;&gt;"",IF(ISNUMBER(SEARCH("Party Name:-",'R.M Billets Reports'!D2454)),TRIM('R.M Billets Reports'!F2454),IF(ISNUMBER(SEARCH("Party Name-",'R.M Billets Reports'!D2454)),TRIM(MID('R.M Billets Reports'!D2454,SEARCH("-",'R.M Billets Reports'!D2454)+1,200)),"")),IF(ISNUMBER(SEARCH("Party Name:-",'R.M Billets Reports'!D2455)),TRIM('R.M Billets Reports'!F2455),IF(ISNUMBER(SEARCH("Party Name-",'R.M Billets Reports'!D2455)),TRIM(MID('R.M Billets Reports'!D2455,SEARCH("-",'R.M Billets Reports'!D2455)+1,200)),"")))="SHRI RADHE","SHREE RADHE",IF(IF(IF(ISNUMBER(SEARCH("Party Name:-",'R.M Billets Reports'!D2454)),TRIM('R.M Billets Reports'!F2454),IF(ISNUMBER(SEARCH("Party Name-",'R.M Billets Reports'!D2454)),TRIM(MID('R.M Billets Reports'!D2454,SEARCH("-",'R.M Billets Reports'!D2454)+1,200)),""))&lt;&gt;"",IF(ISNUMBER(SEARCH("Party Name:-",'R.M Billets Reports'!D2454)),TRIM('R.M Billets Reports'!F2454),IF(ISNUMBER(SEARCH("Party Name-",'R.M Billets Reports'!D2454)),TRIM(MID('R.M Billets Reports'!D2454,SEARCH("-",'R.M Billets Reports'!D2454)+1,200)),"")),IF(ISNUMBER(SEARCH("Party Name:-",'R.M Billets Reports'!D2455)),TRIM('R.M Billets Reports'!F2455),IF(ISNUMBER(SEARCH("Party Name-",'R.M Billets Reports'!D2455)),TRIM(MID('R.M Billets Reports'!D2455,SEARCH("-",'R.M Billets Reports'!D2455)+1,200)),"")))="SHREE RADHE SHAKTI SPONGE AND POWER PVT. LTD.","SHREE RADHE",IF(IF(ISNUMBER(SEARCH("Party Name:-",'R.M Billets Reports'!D2454)),TRIM('R.M Billets Reports'!F2454),IF(ISNUMBER(SEARCH("Party Name-",'R.M Billets Reports'!D2454)),TRIM(MID('R.M Billets Reports'!D2454,SEARCH("-",'R.M Billets Reports'!D2454)+1,200)),""))&lt;&gt;"",IF(ISNUMBER(SEARCH("Party Name:-",'R.M Billets Reports'!D2454)),TRIM('R.M Billets Reports'!F2454),IF(ISNUMBER(SEARCH("Party Name-",'R.M Billets Reports'!D2454)),TRIM(MID('R.M Billets Reports'!D2454,SEARCH("-",'R.M Billets Reports'!D2454)+1,200)),"")),IF(ISNUMBER(SEARCH("Party Name:-",'R.M Billets Reports'!D2455)),TRIM('R.M Billets Reports'!F2455),IF(ISNUMBER(SEARCH("Party Name-",'R.M Billets Reports'!D2455)),TRIM(MID('R.M Billets Reports'!D2455,SEARCH("-",'R.M Billets Reports'!D2455)+1,200)),"")))))),IF(ROW()=2,"",A2454))</f>
      </c>
      <c r="B2455">
        <f>IF(OR('R.M Billets Reports'!A2454="Date-",'R.M Billets Reports'!A2454="Date:-"),'R.M Billets Reports'!B2454,IF(ROW()=2,"",B2454))</f>
      </c>
      <c r="C2455">
        <f>IF('R.M Billets Reports'!A2454="V.No.",'R.M Billets Reports'!B2454,IF(ROW()=2,"",C2454))</f>
      </c>
      <c r="D2455">
        <f>IF('R.M Billets Reports'!A2454&lt;&gt;"",'R.M Billets Reports'!A2454,IF(ROW()=2,"",D2454))</f>
      </c>
      <c r="E2455">
        <f>IF('R.M Billets Reports'!B2454="","",TRIM('R.M Billets Reports'!B2454))</f>
      </c>
      <c r="F2455">
        <f>'R.M Billets Reports'!C2454</f>
      </c>
      <c r="G2455">
        <f>'R.M Billets Reports'!D2454</f>
      </c>
      <c r="H2455">
        <f>'R.M Billets Reports'!E2454</f>
      </c>
      <c r="I2455">
        <f>'R.M Billets Reports'!F2454</f>
      </c>
      <c r="J2455">
        <f>'R.M Billets Reports'!G2454</f>
      </c>
      <c r="K2455">
        <f>'R.M Billets Reports'!H2454</f>
      </c>
      <c r="L2455">
        <f>IF('R.M Billets Reports'!I2454="","",'R.M Billets Reports'!I2454)</f>
      </c>
      <c r="M2455">
        <f t="shared" si="76"/>
      </c>
      <c r="N2455">
        <f>IF('R.M Billets Reports'!J2454="","",'R.M Billets Reports'!J2454)</f>
      </c>
      <c r="O2455">
        <f t="shared" si="77"/>
      </c>
      <c r="P2455">
        <f>IF('R.M Billets Reports'!A2454="SIZE",'R.M Billets Reports'!B2454,P2454)</f>
      </c>
    </row>
    <row r="2456" spans="1:16" x14ac:dyDescent="0.25">
      <c r="A2456">
        <f>IF(OR('R.M Billets Reports'!A2455="Date-",'R.M Billets Reports'!A2455="Date:-"),IF(IF(IF(ISNUMBER(SEARCH("Party Name:-",'R.M Billets Reports'!D2455)),TRIM('R.M Billets Reports'!F2455),IF(ISNUMBER(SEARCH("Party Name-",'R.M Billets Reports'!D2455)),TRIM(MID('R.M Billets Reports'!D2455,SEARCH("-",'R.M Billets Reports'!D2455)+1,200)),""))&lt;&gt;"",IF(ISNUMBER(SEARCH("Party Name:-",'R.M Billets Reports'!D2455)),TRIM('R.M Billets Reports'!F2455),IF(ISNUMBER(SEARCH("Party Name-",'R.M Billets Reports'!D2455)),TRIM(MID('R.M Billets Reports'!D2455,SEARCH("-",'R.M Billets Reports'!D2455)+1,200)),"")),IF(ISNUMBER(SEARCH("Party Name:-",'R.M Billets Reports'!D2456)),TRIM('R.M Billets Reports'!F2456),IF(ISNUMBER(SEARCH("Party Name-",'R.M Billets Reports'!D2456)),TRIM(MID('R.M Billets Reports'!D2456,SEARCH("-",'R.M Billets Reports'!D2456)+1,200)),"")))="VRKP ISPAT PVT LTD","VRKP",IF(IF(IF(ISNUMBER(SEARCH("Party Name:-",'R.M Billets Reports'!D2455)),TRIM('R.M Billets Reports'!F2455),IF(ISNUMBER(SEARCH("Party Name-",'R.M Billets Reports'!D2455)),TRIM(MID('R.M Billets Reports'!D2455,SEARCH("-",'R.M Billets Reports'!D2455)+1,200)),""))&lt;&gt;"",IF(ISNUMBER(SEARCH("Party Name:-",'R.M Billets Reports'!D2455)),TRIM('R.M Billets Reports'!F2455),IF(ISNUMBER(SEARCH("Party Name-",'R.M Billets Reports'!D2455)),TRIM(MID('R.M Billets Reports'!D2455,SEARCH("-",'R.M Billets Reports'!D2455)+1,200)),"")),IF(ISNUMBER(SEARCH("Party Name:-",'R.M Billets Reports'!D2456)),TRIM('R.M Billets Reports'!F2456),IF(ISNUMBER(SEARCH("Party Name-",'R.M Billets Reports'!D2456)),TRIM(MID('R.M Billets Reports'!D2456,SEARCH("-",'R.M Billets Reports'!D2456)+1,200)),"")))="SHRI RADHE","SHREE RADHE",IF(IF(IF(ISNUMBER(SEARCH("Party Name:-",'R.M Billets Reports'!D2455)),TRIM('R.M Billets Reports'!F2455),IF(ISNUMBER(SEARCH("Party Name-",'R.M Billets Reports'!D2455)),TRIM(MID('R.M Billets Reports'!D2455,SEARCH("-",'R.M Billets Reports'!D2455)+1,200)),""))&lt;&gt;"",IF(ISNUMBER(SEARCH("Party Name:-",'R.M Billets Reports'!D2455)),TRIM('R.M Billets Reports'!F2455),IF(ISNUMBER(SEARCH("Party Name-",'R.M Billets Reports'!D2455)),TRIM(MID('R.M Billets Reports'!D2455,SEARCH("-",'R.M Billets Reports'!D2455)+1,200)),"")),IF(ISNUMBER(SEARCH("Party Name:-",'R.M Billets Reports'!D2456)),TRIM('R.M Billets Reports'!F2456),IF(ISNUMBER(SEARCH("Party Name-",'R.M Billets Reports'!D2456)),TRIM(MID('R.M Billets Reports'!D2456,SEARCH("-",'R.M Billets Reports'!D2456)+1,200)),"")))="SHREE RADHE SHAKTI SPONGE AND POWER PVT. LTD.","SHREE RADHE",IF(IF(ISNUMBER(SEARCH("Party Name:-",'R.M Billets Reports'!D2455)),TRIM('R.M Billets Reports'!F2455),IF(ISNUMBER(SEARCH("Party Name-",'R.M Billets Reports'!D2455)),TRIM(MID('R.M Billets Reports'!D2455,SEARCH("-",'R.M Billets Reports'!D2455)+1,200)),""))&lt;&gt;"",IF(ISNUMBER(SEARCH("Party Name:-",'R.M Billets Reports'!D2455)),TRIM('R.M Billets Reports'!F2455),IF(ISNUMBER(SEARCH("Party Name-",'R.M Billets Reports'!D2455)),TRIM(MID('R.M Billets Reports'!D2455,SEARCH("-",'R.M Billets Reports'!D2455)+1,200)),"")),IF(ISNUMBER(SEARCH("Party Name:-",'R.M Billets Reports'!D2456)),TRIM('R.M Billets Reports'!F2456),IF(ISNUMBER(SEARCH("Party Name-",'R.M Billets Reports'!D2456)),TRIM(MID('R.M Billets Reports'!D2456,SEARCH("-",'R.M Billets Reports'!D2456)+1,200)),"")))))),IF(ROW()=2,"",A2455))</f>
      </c>
      <c r="B2456">
        <f>IF(OR('R.M Billets Reports'!A2455="Date-",'R.M Billets Reports'!A2455="Date:-"),'R.M Billets Reports'!B2455,IF(ROW()=2,"",B2455))</f>
      </c>
      <c r="C2456">
        <f>IF('R.M Billets Reports'!A2455="V.No.",'R.M Billets Reports'!B2455,IF(ROW()=2,"",C2455))</f>
      </c>
      <c r="D2456">
        <f>IF('R.M Billets Reports'!A2455&lt;&gt;"",'R.M Billets Reports'!A2455,IF(ROW()=2,"",D2455))</f>
      </c>
      <c r="E2456">
        <f>IF('R.M Billets Reports'!B2455="","",TRIM('R.M Billets Reports'!B2455))</f>
      </c>
      <c r="F2456">
        <f>'R.M Billets Reports'!C2455</f>
      </c>
      <c r="G2456">
        <f>'R.M Billets Reports'!D2455</f>
      </c>
      <c r="H2456">
        <f>'R.M Billets Reports'!E2455</f>
      </c>
      <c r="I2456">
        <f>'R.M Billets Reports'!F2455</f>
      </c>
      <c r="J2456">
        <f>'R.M Billets Reports'!G2455</f>
      </c>
      <c r="K2456">
        <f>'R.M Billets Reports'!H2455</f>
      </c>
      <c r="L2456">
        <f>IF('R.M Billets Reports'!I2455="","",'R.M Billets Reports'!I2455)</f>
      </c>
      <c r="M2456">
        <f t="shared" si="76"/>
      </c>
      <c r="N2456">
        <f>IF('R.M Billets Reports'!J2455="","",'R.M Billets Reports'!J2455)</f>
      </c>
      <c r="O2456">
        <f t="shared" si="77"/>
      </c>
      <c r="P2456">
        <f>IF('R.M Billets Reports'!A2455="SIZE",'R.M Billets Reports'!B2455,P2455)</f>
      </c>
    </row>
    <row r="2457" spans="1:16" x14ac:dyDescent="0.25">
      <c r="A2457">
        <f>IF(OR('R.M Billets Reports'!A2456="Date-",'R.M Billets Reports'!A2456="Date:-"),IF(IF(IF(ISNUMBER(SEARCH("Party Name:-",'R.M Billets Reports'!D2456)),TRIM('R.M Billets Reports'!F2456),IF(ISNUMBER(SEARCH("Party Name-",'R.M Billets Reports'!D2456)),TRIM(MID('R.M Billets Reports'!D2456,SEARCH("-",'R.M Billets Reports'!D2456)+1,200)),""))&lt;&gt;"",IF(ISNUMBER(SEARCH("Party Name:-",'R.M Billets Reports'!D2456)),TRIM('R.M Billets Reports'!F2456),IF(ISNUMBER(SEARCH("Party Name-",'R.M Billets Reports'!D2456)),TRIM(MID('R.M Billets Reports'!D2456,SEARCH("-",'R.M Billets Reports'!D2456)+1,200)),"")),IF(ISNUMBER(SEARCH("Party Name:-",'R.M Billets Reports'!D2457)),TRIM('R.M Billets Reports'!F2457),IF(ISNUMBER(SEARCH("Party Name-",'R.M Billets Reports'!D2457)),TRIM(MID('R.M Billets Reports'!D2457,SEARCH("-",'R.M Billets Reports'!D2457)+1,200)),"")))="VRKP ISPAT PVT LTD","VRKP",IF(IF(IF(ISNUMBER(SEARCH("Party Name:-",'R.M Billets Reports'!D2456)),TRIM('R.M Billets Reports'!F2456),IF(ISNUMBER(SEARCH("Party Name-",'R.M Billets Reports'!D2456)),TRIM(MID('R.M Billets Reports'!D2456,SEARCH("-",'R.M Billets Reports'!D2456)+1,200)),""))&lt;&gt;"",IF(ISNUMBER(SEARCH("Party Name:-",'R.M Billets Reports'!D2456)),TRIM('R.M Billets Reports'!F2456),IF(ISNUMBER(SEARCH("Party Name-",'R.M Billets Reports'!D2456)),TRIM(MID('R.M Billets Reports'!D2456,SEARCH("-",'R.M Billets Reports'!D2456)+1,200)),"")),IF(ISNUMBER(SEARCH("Party Name:-",'R.M Billets Reports'!D2457)),TRIM('R.M Billets Reports'!F2457),IF(ISNUMBER(SEARCH("Party Name-",'R.M Billets Reports'!D2457)),TRIM(MID('R.M Billets Reports'!D2457,SEARCH("-",'R.M Billets Reports'!D2457)+1,200)),"")))="SHRI RADHE","SHREE RADHE",IF(IF(IF(ISNUMBER(SEARCH("Party Name:-",'R.M Billets Reports'!D2456)),TRIM('R.M Billets Reports'!F2456),IF(ISNUMBER(SEARCH("Party Name-",'R.M Billets Reports'!D2456)),TRIM(MID('R.M Billets Reports'!D2456,SEARCH("-",'R.M Billets Reports'!D2456)+1,200)),""))&lt;&gt;"",IF(ISNUMBER(SEARCH("Party Name:-",'R.M Billets Reports'!D2456)),TRIM('R.M Billets Reports'!F2456),IF(ISNUMBER(SEARCH("Party Name-",'R.M Billets Reports'!D2456)),TRIM(MID('R.M Billets Reports'!D2456,SEARCH("-",'R.M Billets Reports'!D2456)+1,200)),"")),IF(ISNUMBER(SEARCH("Party Name:-",'R.M Billets Reports'!D2457)),TRIM('R.M Billets Reports'!F2457),IF(ISNUMBER(SEARCH("Party Name-",'R.M Billets Reports'!D2457)),TRIM(MID('R.M Billets Reports'!D2457,SEARCH("-",'R.M Billets Reports'!D2457)+1,200)),"")))="SHREE RADHE SHAKTI SPONGE AND POWER PVT. LTD.","SHREE RADHE",IF(IF(ISNUMBER(SEARCH("Party Name:-",'R.M Billets Reports'!D2456)),TRIM('R.M Billets Reports'!F2456),IF(ISNUMBER(SEARCH("Party Name-",'R.M Billets Reports'!D2456)),TRIM(MID('R.M Billets Reports'!D2456,SEARCH("-",'R.M Billets Reports'!D2456)+1,200)),""))&lt;&gt;"",IF(ISNUMBER(SEARCH("Party Name:-",'R.M Billets Reports'!D2456)),TRIM('R.M Billets Reports'!F2456),IF(ISNUMBER(SEARCH("Party Name-",'R.M Billets Reports'!D2456)),TRIM(MID('R.M Billets Reports'!D2456,SEARCH("-",'R.M Billets Reports'!D2456)+1,200)),"")),IF(ISNUMBER(SEARCH("Party Name:-",'R.M Billets Reports'!D2457)),TRIM('R.M Billets Reports'!F2457),IF(ISNUMBER(SEARCH("Party Name-",'R.M Billets Reports'!D2457)),TRIM(MID('R.M Billets Reports'!D2457,SEARCH("-",'R.M Billets Reports'!D2457)+1,200)),"")))))),IF(ROW()=2,"",A2456))</f>
      </c>
      <c r="B2457">
        <f>IF(OR('R.M Billets Reports'!A2456="Date-",'R.M Billets Reports'!A2456="Date:-"),'R.M Billets Reports'!B2456,IF(ROW()=2,"",B2456))</f>
      </c>
      <c r="C2457">
        <f>IF('R.M Billets Reports'!A2456="V.No.",'R.M Billets Reports'!B2456,IF(ROW()=2,"",C2456))</f>
      </c>
      <c r="D2457">
        <f>IF('R.M Billets Reports'!A2456&lt;&gt;"",'R.M Billets Reports'!A2456,IF(ROW()=2,"",D2456))</f>
      </c>
      <c r="E2457">
        <f>IF('R.M Billets Reports'!B2456="","",TRIM('R.M Billets Reports'!B2456))</f>
      </c>
      <c r="F2457">
        <f>'R.M Billets Reports'!C2456</f>
      </c>
      <c r="G2457">
        <f>'R.M Billets Reports'!D2456</f>
      </c>
      <c r="H2457">
        <f>'R.M Billets Reports'!E2456</f>
      </c>
      <c r="I2457">
        <f>'R.M Billets Reports'!F2456</f>
      </c>
      <c r="J2457">
        <f>'R.M Billets Reports'!G2456</f>
      </c>
      <c r="K2457">
        <f>'R.M Billets Reports'!H2456</f>
      </c>
      <c r="L2457">
        <f>IF('R.M Billets Reports'!I2456="","",'R.M Billets Reports'!I2456)</f>
      </c>
      <c r="M2457">
        <f t="shared" si="76"/>
      </c>
      <c r="N2457">
        <f>IF('R.M Billets Reports'!J2456="","",'R.M Billets Reports'!J2456)</f>
      </c>
      <c r="O2457">
        <f t="shared" si="77"/>
      </c>
      <c r="P2457">
        <f>IF('R.M Billets Reports'!A2456="SIZE",'R.M Billets Reports'!B2456,P2456)</f>
      </c>
    </row>
    <row r="2458" spans="1:16" x14ac:dyDescent="0.25">
      <c r="A2458">
        <f>IF(OR('R.M Billets Reports'!A2457="Date-",'R.M Billets Reports'!A2457="Date:-"),IF(IF(IF(ISNUMBER(SEARCH("Party Name:-",'R.M Billets Reports'!D2457)),TRIM('R.M Billets Reports'!F2457),IF(ISNUMBER(SEARCH("Party Name-",'R.M Billets Reports'!D2457)),TRIM(MID('R.M Billets Reports'!D2457,SEARCH("-",'R.M Billets Reports'!D2457)+1,200)),""))&lt;&gt;"",IF(ISNUMBER(SEARCH("Party Name:-",'R.M Billets Reports'!D2457)),TRIM('R.M Billets Reports'!F2457),IF(ISNUMBER(SEARCH("Party Name-",'R.M Billets Reports'!D2457)),TRIM(MID('R.M Billets Reports'!D2457,SEARCH("-",'R.M Billets Reports'!D2457)+1,200)),"")),IF(ISNUMBER(SEARCH("Party Name:-",'R.M Billets Reports'!D2458)),TRIM('R.M Billets Reports'!F2458),IF(ISNUMBER(SEARCH("Party Name-",'R.M Billets Reports'!D2458)),TRIM(MID('R.M Billets Reports'!D2458,SEARCH("-",'R.M Billets Reports'!D2458)+1,200)),"")))="VRKP ISPAT PVT LTD","VRKP",IF(IF(IF(ISNUMBER(SEARCH("Party Name:-",'R.M Billets Reports'!D2457)),TRIM('R.M Billets Reports'!F2457),IF(ISNUMBER(SEARCH("Party Name-",'R.M Billets Reports'!D2457)),TRIM(MID('R.M Billets Reports'!D2457,SEARCH("-",'R.M Billets Reports'!D2457)+1,200)),""))&lt;&gt;"",IF(ISNUMBER(SEARCH("Party Name:-",'R.M Billets Reports'!D2457)),TRIM('R.M Billets Reports'!F2457),IF(ISNUMBER(SEARCH("Party Name-",'R.M Billets Reports'!D2457)),TRIM(MID('R.M Billets Reports'!D2457,SEARCH("-",'R.M Billets Reports'!D2457)+1,200)),"")),IF(ISNUMBER(SEARCH("Party Name:-",'R.M Billets Reports'!D2458)),TRIM('R.M Billets Reports'!F2458),IF(ISNUMBER(SEARCH("Party Name-",'R.M Billets Reports'!D2458)),TRIM(MID('R.M Billets Reports'!D2458,SEARCH("-",'R.M Billets Reports'!D2458)+1,200)),"")))="SHRI RADHE","SHREE RADHE",IF(IF(IF(ISNUMBER(SEARCH("Party Name:-",'R.M Billets Reports'!D2457)),TRIM('R.M Billets Reports'!F2457),IF(ISNUMBER(SEARCH("Party Name-",'R.M Billets Reports'!D2457)),TRIM(MID('R.M Billets Reports'!D2457,SEARCH("-",'R.M Billets Reports'!D2457)+1,200)),""))&lt;&gt;"",IF(ISNUMBER(SEARCH("Party Name:-",'R.M Billets Reports'!D2457)),TRIM('R.M Billets Reports'!F2457),IF(ISNUMBER(SEARCH("Party Name-",'R.M Billets Reports'!D2457)),TRIM(MID('R.M Billets Reports'!D2457,SEARCH("-",'R.M Billets Reports'!D2457)+1,200)),"")),IF(ISNUMBER(SEARCH("Party Name:-",'R.M Billets Reports'!D2458)),TRIM('R.M Billets Reports'!F2458),IF(ISNUMBER(SEARCH("Party Name-",'R.M Billets Reports'!D2458)),TRIM(MID('R.M Billets Reports'!D2458,SEARCH("-",'R.M Billets Reports'!D2458)+1,200)),"")))="SHREE RADHE SHAKTI SPONGE AND POWER PVT. LTD.","SHREE RADHE",IF(IF(ISNUMBER(SEARCH("Party Name:-",'R.M Billets Reports'!D2457)),TRIM('R.M Billets Reports'!F2457),IF(ISNUMBER(SEARCH("Party Name-",'R.M Billets Reports'!D2457)),TRIM(MID('R.M Billets Reports'!D2457,SEARCH("-",'R.M Billets Reports'!D2457)+1,200)),""))&lt;&gt;"",IF(ISNUMBER(SEARCH("Party Name:-",'R.M Billets Reports'!D2457)),TRIM('R.M Billets Reports'!F2457),IF(ISNUMBER(SEARCH("Party Name-",'R.M Billets Reports'!D2457)),TRIM(MID('R.M Billets Reports'!D2457,SEARCH("-",'R.M Billets Reports'!D2457)+1,200)),"")),IF(ISNUMBER(SEARCH("Party Name:-",'R.M Billets Reports'!D2458)),TRIM('R.M Billets Reports'!F2458),IF(ISNUMBER(SEARCH("Party Name-",'R.M Billets Reports'!D2458)),TRIM(MID('R.M Billets Reports'!D2458,SEARCH("-",'R.M Billets Reports'!D2458)+1,200)),"")))))),IF(ROW()=2,"",A2457))</f>
      </c>
      <c r="B2458">
        <f>IF(OR('R.M Billets Reports'!A2457="Date-",'R.M Billets Reports'!A2457="Date:-"),'R.M Billets Reports'!B2457,IF(ROW()=2,"",B2457))</f>
      </c>
      <c r="C2458">
        <f>IF('R.M Billets Reports'!A2457="V.No.",'R.M Billets Reports'!B2457,IF(ROW()=2,"",C2457))</f>
      </c>
      <c r="D2458">
        <f>IF('R.M Billets Reports'!A2457&lt;&gt;"",'R.M Billets Reports'!A2457,IF(ROW()=2,"",D2457))</f>
      </c>
      <c r="E2458">
        <f>IF('R.M Billets Reports'!B2457="","",TRIM('R.M Billets Reports'!B2457))</f>
      </c>
      <c r="F2458">
        <f>'R.M Billets Reports'!C2457</f>
      </c>
      <c r="G2458">
        <f>'R.M Billets Reports'!D2457</f>
      </c>
      <c r="H2458">
        <f>'R.M Billets Reports'!E2457</f>
      </c>
      <c r="I2458">
        <f>'R.M Billets Reports'!F2457</f>
      </c>
      <c r="J2458">
        <f>'R.M Billets Reports'!G2457</f>
      </c>
      <c r="K2458">
        <f>'R.M Billets Reports'!H2457</f>
      </c>
      <c r="L2458">
        <f>IF('R.M Billets Reports'!I2457="","",'R.M Billets Reports'!I2457)</f>
      </c>
      <c r="M2458">
        <f t="shared" si="76"/>
      </c>
      <c r="N2458">
        <f>IF('R.M Billets Reports'!J2457="","",'R.M Billets Reports'!J2457)</f>
      </c>
      <c r="O2458">
        <f t="shared" si="77"/>
      </c>
      <c r="P2458">
        <f>IF('R.M Billets Reports'!A2457="SIZE",'R.M Billets Reports'!B2457,P2457)</f>
      </c>
    </row>
    <row r="2459" spans="1:16" x14ac:dyDescent="0.25">
      <c r="A2459">
        <f>IF(OR('R.M Billets Reports'!A2458="Date-",'R.M Billets Reports'!A2458="Date:-"),IF(IF(IF(ISNUMBER(SEARCH("Party Name:-",'R.M Billets Reports'!D2458)),TRIM('R.M Billets Reports'!F2458),IF(ISNUMBER(SEARCH("Party Name-",'R.M Billets Reports'!D2458)),TRIM(MID('R.M Billets Reports'!D2458,SEARCH("-",'R.M Billets Reports'!D2458)+1,200)),""))&lt;&gt;"",IF(ISNUMBER(SEARCH("Party Name:-",'R.M Billets Reports'!D2458)),TRIM('R.M Billets Reports'!F2458),IF(ISNUMBER(SEARCH("Party Name-",'R.M Billets Reports'!D2458)),TRIM(MID('R.M Billets Reports'!D2458,SEARCH("-",'R.M Billets Reports'!D2458)+1,200)),"")),IF(ISNUMBER(SEARCH("Party Name:-",'R.M Billets Reports'!D2459)),TRIM('R.M Billets Reports'!F2459),IF(ISNUMBER(SEARCH("Party Name-",'R.M Billets Reports'!D2459)),TRIM(MID('R.M Billets Reports'!D2459,SEARCH("-",'R.M Billets Reports'!D2459)+1,200)),"")))="VRKP ISPAT PVT LTD","VRKP",IF(IF(IF(ISNUMBER(SEARCH("Party Name:-",'R.M Billets Reports'!D2458)),TRIM('R.M Billets Reports'!F2458),IF(ISNUMBER(SEARCH("Party Name-",'R.M Billets Reports'!D2458)),TRIM(MID('R.M Billets Reports'!D2458,SEARCH("-",'R.M Billets Reports'!D2458)+1,200)),""))&lt;&gt;"",IF(ISNUMBER(SEARCH("Party Name:-",'R.M Billets Reports'!D2458)),TRIM('R.M Billets Reports'!F2458),IF(ISNUMBER(SEARCH("Party Name-",'R.M Billets Reports'!D2458)),TRIM(MID('R.M Billets Reports'!D2458,SEARCH("-",'R.M Billets Reports'!D2458)+1,200)),"")),IF(ISNUMBER(SEARCH("Party Name:-",'R.M Billets Reports'!D2459)),TRIM('R.M Billets Reports'!F2459),IF(ISNUMBER(SEARCH("Party Name-",'R.M Billets Reports'!D2459)),TRIM(MID('R.M Billets Reports'!D2459,SEARCH("-",'R.M Billets Reports'!D2459)+1,200)),"")))="SHRI RADHE","SHREE RADHE",IF(IF(IF(ISNUMBER(SEARCH("Party Name:-",'R.M Billets Reports'!D2458)),TRIM('R.M Billets Reports'!F2458),IF(ISNUMBER(SEARCH("Party Name-",'R.M Billets Reports'!D2458)),TRIM(MID('R.M Billets Reports'!D2458,SEARCH("-",'R.M Billets Reports'!D2458)+1,200)),""))&lt;&gt;"",IF(ISNUMBER(SEARCH("Party Name:-",'R.M Billets Reports'!D2458)),TRIM('R.M Billets Reports'!F2458),IF(ISNUMBER(SEARCH("Party Name-",'R.M Billets Reports'!D2458)),TRIM(MID('R.M Billets Reports'!D2458,SEARCH("-",'R.M Billets Reports'!D2458)+1,200)),"")),IF(ISNUMBER(SEARCH("Party Name:-",'R.M Billets Reports'!D2459)),TRIM('R.M Billets Reports'!F2459),IF(ISNUMBER(SEARCH("Party Name-",'R.M Billets Reports'!D2459)),TRIM(MID('R.M Billets Reports'!D2459,SEARCH("-",'R.M Billets Reports'!D2459)+1,200)),"")))="SHREE RADHE SHAKTI SPONGE AND POWER PVT. LTD.","SHREE RADHE",IF(IF(ISNUMBER(SEARCH("Party Name:-",'R.M Billets Reports'!D2458)),TRIM('R.M Billets Reports'!F2458),IF(ISNUMBER(SEARCH("Party Name-",'R.M Billets Reports'!D2458)),TRIM(MID('R.M Billets Reports'!D2458,SEARCH("-",'R.M Billets Reports'!D2458)+1,200)),""))&lt;&gt;"",IF(ISNUMBER(SEARCH("Party Name:-",'R.M Billets Reports'!D2458)),TRIM('R.M Billets Reports'!F2458),IF(ISNUMBER(SEARCH("Party Name-",'R.M Billets Reports'!D2458)),TRIM(MID('R.M Billets Reports'!D2458,SEARCH("-",'R.M Billets Reports'!D2458)+1,200)),"")),IF(ISNUMBER(SEARCH("Party Name:-",'R.M Billets Reports'!D2459)),TRIM('R.M Billets Reports'!F2459),IF(ISNUMBER(SEARCH("Party Name-",'R.M Billets Reports'!D2459)),TRIM(MID('R.M Billets Reports'!D2459,SEARCH("-",'R.M Billets Reports'!D2459)+1,200)),"")))))),IF(ROW()=2,"",A2458))</f>
      </c>
      <c r="B2459">
        <f>IF(OR('R.M Billets Reports'!A2458="Date-",'R.M Billets Reports'!A2458="Date:-"),'R.M Billets Reports'!B2458,IF(ROW()=2,"",B2458))</f>
      </c>
      <c r="C2459">
        <f>IF('R.M Billets Reports'!A2458="V.No.",'R.M Billets Reports'!B2458,IF(ROW()=2,"",C2458))</f>
      </c>
      <c r="D2459">
        <f>IF('R.M Billets Reports'!A2458&lt;&gt;"",'R.M Billets Reports'!A2458,IF(ROW()=2,"",D2458))</f>
      </c>
      <c r="E2459">
        <f>IF('R.M Billets Reports'!B2458="","",TRIM('R.M Billets Reports'!B2458))</f>
      </c>
      <c r="F2459">
        <f>'R.M Billets Reports'!C2458</f>
      </c>
      <c r="G2459">
        <f>'R.M Billets Reports'!D2458</f>
      </c>
      <c r="H2459">
        <f>'R.M Billets Reports'!E2458</f>
      </c>
      <c r="I2459">
        <f>'R.M Billets Reports'!F2458</f>
      </c>
      <c r="J2459">
        <f>'R.M Billets Reports'!G2458</f>
      </c>
      <c r="K2459">
        <f>'R.M Billets Reports'!H2458</f>
      </c>
      <c r="L2459">
        <f>IF('R.M Billets Reports'!I2458="","",'R.M Billets Reports'!I2458)</f>
      </c>
      <c r="M2459">
        <f t="shared" si="76"/>
      </c>
      <c r="N2459">
        <f>IF('R.M Billets Reports'!J2458="","",'R.M Billets Reports'!J2458)</f>
      </c>
      <c r="O2459">
        <f t="shared" si="77"/>
      </c>
      <c r="P2459">
        <f>IF('R.M Billets Reports'!A2458="SIZE",'R.M Billets Reports'!B2458,P2458)</f>
      </c>
    </row>
    <row r="2460" spans="1:16" x14ac:dyDescent="0.25">
      <c r="A2460">
        <f>IF(OR('R.M Billets Reports'!A2459="Date-",'R.M Billets Reports'!A2459="Date:-"),IF(IF(IF(ISNUMBER(SEARCH("Party Name:-",'R.M Billets Reports'!D2459)),TRIM('R.M Billets Reports'!F2459),IF(ISNUMBER(SEARCH("Party Name-",'R.M Billets Reports'!D2459)),TRIM(MID('R.M Billets Reports'!D2459,SEARCH("-",'R.M Billets Reports'!D2459)+1,200)),""))&lt;&gt;"",IF(ISNUMBER(SEARCH("Party Name:-",'R.M Billets Reports'!D2459)),TRIM('R.M Billets Reports'!F2459),IF(ISNUMBER(SEARCH("Party Name-",'R.M Billets Reports'!D2459)),TRIM(MID('R.M Billets Reports'!D2459,SEARCH("-",'R.M Billets Reports'!D2459)+1,200)),"")),IF(ISNUMBER(SEARCH("Party Name:-",'R.M Billets Reports'!D2460)),TRIM('R.M Billets Reports'!F2460),IF(ISNUMBER(SEARCH("Party Name-",'R.M Billets Reports'!D2460)),TRIM(MID('R.M Billets Reports'!D2460,SEARCH("-",'R.M Billets Reports'!D2460)+1,200)),"")))="VRKP ISPAT PVT LTD","VRKP",IF(IF(IF(ISNUMBER(SEARCH("Party Name:-",'R.M Billets Reports'!D2459)),TRIM('R.M Billets Reports'!F2459),IF(ISNUMBER(SEARCH("Party Name-",'R.M Billets Reports'!D2459)),TRIM(MID('R.M Billets Reports'!D2459,SEARCH("-",'R.M Billets Reports'!D2459)+1,200)),""))&lt;&gt;"",IF(ISNUMBER(SEARCH("Party Name:-",'R.M Billets Reports'!D2459)),TRIM('R.M Billets Reports'!F2459),IF(ISNUMBER(SEARCH("Party Name-",'R.M Billets Reports'!D2459)),TRIM(MID('R.M Billets Reports'!D2459,SEARCH("-",'R.M Billets Reports'!D2459)+1,200)),"")),IF(ISNUMBER(SEARCH("Party Name:-",'R.M Billets Reports'!D2460)),TRIM('R.M Billets Reports'!F2460),IF(ISNUMBER(SEARCH("Party Name-",'R.M Billets Reports'!D2460)),TRIM(MID('R.M Billets Reports'!D2460,SEARCH("-",'R.M Billets Reports'!D2460)+1,200)),"")))="SHRI RADHE","SHREE RADHE",IF(IF(IF(ISNUMBER(SEARCH("Party Name:-",'R.M Billets Reports'!D2459)),TRIM('R.M Billets Reports'!F2459),IF(ISNUMBER(SEARCH("Party Name-",'R.M Billets Reports'!D2459)),TRIM(MID('R.M Billets Reports'!D2459,SEARCH("-",'R.M Billets Reports'!D2459)+1,200)),""))&lt;&gt;"",IF(ISNUMBER(SEARCH("Party Name:-",'R.M Billets Reports'!D2459)),TRIM('R.M Billets Reports'!F2459),IF(ISNUMBER(SEARCH("Party Name-",'R.M Billets Reports'!D2459)),TRIM(MID('R.M Billets Reports'!D2459,SEARCH("-",'R.M Billets Reports'!D2459)+1,200)),"")),IF(ISNUMBER(SEARCH("Party Name:-",'R.M Billets Reports'!D2460)),TRIM('R.M Billets Reports'!F2460),IF(ISNUMBER(SEARCH("Party Name-",'R.M Billets Reports'!D2460)),TRIM(MID('R.M Billets Reports'!D2460,SEARCH("-",'R.M Billets Reports'!D2460)+1,200)),"")))="SHREE RADHE SHAKTI SPONGE AND POWER PVT. LTD.","SHREE RADHE",IF(IF(ISNUMBER(SEARCH("Party Name:-",'R.M Billets Reports'!D2459)),TRIM('R.M Billets Reports'!F2459),IF(ISNUMBER(SEARCH("Party Name-",'R.M Billets Reports'!D2459)),TRIM(MID('R.M Billets Reports'!D2459,SEARCH("-",'R.M Billets Reports'!D2459)+1,200)),""))&lt;&gt;"",IF(ISNUMBER(SEARCH("Party Name:-",'R.M Billets Reports'!D2459)),TRIM('R.M Billets Reports'!F2459),IF(ISNUMBER(SEARCH("Party Name-",'R.M Billets Reports'!D2459)),TRIM(MID('R.M Billets Reports'!D2459,SEARCH("-",'R.M Billets Reports'!D2459)+1,200)),"")),IF(ISNUMBER(SEARCH("Party Name:-",'R.M Billets Reports'!D2460)),TRIM('R.M Billets Reports'!F2460),IF(ISNUMBER(SEARCH("Party Name-",'R.M Billets Reports'!D2460)),TRIM(MID('R.M Billets Reports'!D2460,SEARCH("-",'R.M Billets Reports'!D2460)+1,200)),"")))))),IF(ROW()=2,"",A2459))</f>
      </c>
      <c r="B2460">
        <f>IF(OR('R.M Billets Reports'!A2459="Date-",'R.M Billets Reports'!A2459="Date:-"),'R.M Billets Reports'!B2459,IF(ROW()=2,"",B2459))</f>
      </c>
      <c r="C2460">
        <f>IF('R.M Billets Reports'!A2459="V.No.",'R.M Billets Reports'!B2459,IF(ROW()=2,"",C2459))</f>
      </c>
      <c r="D2460">
        <f>IF('R.M Billets Reports'!A2459&lt;&gt;"",'R.M Billets Reports'!A2459,IF(ROW()=2,"",D2459))</f>
      </c>
      <c r="E2460">
        <f>IF('R.M Billets Reports'!B2459="","",TRIM('R.M Billets Reports'!B2459))</f>
      </c>
      <c r="F2460">
        <f>'R.M Billets Reports'!C2459</f>
      </c>
      <c r="G2460">
        <f>'R.M Billets Reports'!D2459</f>
      </c>
      <c r="H2460">
        <f>'R.M Billets Reports'!E2459</f>
      </c>
      <c r="I2460">
        <f>'R.M Billets Reports'!F2459</f>
      </c>
      <c r="J2460">
        <f>'R.M Billets Reports'!G2459</f>
      </c>
      <c r="K2460">
        <f>'R.M Billets Reports'!H2459</f>
      </c>
      <c r="L2460">
        <f>IF('R.M Billets Reports'!I2459="","",'R.M Billets Reports'!I2459)</f>
      </c>
      <c r="M2460">
        <f t="shared" si="76"/>
      </c>
      <c r="N2460">
        <f>IF('R.M Billets Reports'!J2459="","",'R.M Billets Reports'!J2459)</f>
      </c>
      <c r="O2460">
        <f t="shared" si="77"/>
      </c>
      <c r="P2460">
        <f>IF('R.M Billets Reports'!A2459="SIZE",'R.M Billets Reports'!B2459,P2459)</f>
      </c>
    </row>
    <row r="2461" spans="1:16" x14ac:dyDescent="0.25">
      <c r="A2461">
        <f>IF(OR('R.M Billets Reports'!A2460="Date-",'R.M Billets Reports'!A2460="Date:-"),IF(IF(IF(ISNUMBER(SEARCH("Party Name:-",'R.M Billets Reports'!D2460)),TRIM('R.M Billets Reports'!F2460),IF(ISNUMBER(SEARCH("Party Name-",'R.M Billets Reports'!D2460)),TRIM(MID('R.M Billets Reports'!D2460,SEARCH("-",'R.M Billets Reports'!D2460)+1,200)),""))&lt;&gt;"",IF(ISNUMBER(SEARCH("Party Name:-",'R.M Billets Reports'!D2460)),TRIM('R.M Billets Reports'!F2460),IF(ISNUMBER(SEARCH("Party Name-",'R.M Billets Reports'!D2460)),TRIM(MID('R.M Billets Reports'!D2460,SEARCH("-",'R.M Billets Reports'!D2460)+1,200)),"")),IF(ISNUMBER(SEARCH("Party Name:-",'R.M Billets Reports'!D2461)),TRIM('R.M Billets Reports'!F2461),IF(ISNUMBER(SEARCH("Party Name-",'R.M Billets Reports'!D2461)),TRIM(MID('R.M Billets Reports'!D2461,SEARCH("-",'R.M Billets Reports'!D2461)+1,200)),"")))="VRKP ISPAT PVT LTD","VRKP",IF(IF(IF(ISNUMBER(SEARCH("Party Name:-",'R.M Billets Reports'!D2460)),TRIM('R.M Billets Reports'!F2460),IF(ISNUMBER(SEARCH("Party Name-",'R.M Billets Reports'!D2460)),TRIM(MID('R.M Billets Reports'!D2460,SEARCH("-",'R.M Billets Reports'!D2460)+1,200)),""))&lt;&gt;"",IF(ISNUMBER(SEARCH("Party Name:-",'R.M Billets Reports'!D2460)),TRIM('R.M Billets Reports'!F2460),IF(ISNUMBER(SEARCH("Party Name-",'R.M Billets Reports'!D2460)),TRIM(MID('R.M Billets Reports'!D2460,SEARCH("-",'R.M Billets Reports'!D2460)+1,200)),"")),IF(ISNUMBER(SEARCH("Party Name:-",'R.M Billets Reports'!D2461)),TRIM('R.M Billets Reports'!F2461),IF(ISNUMBER(SEARCH("Party Name-",'R.M Billets Reports'!D2461)),TRIM(MID('R.M Billets Reports'!D2461,SEARCH("-",'R.M Billets Reports'!D2461)+1,200)),"")))="SHRI RADHE","SHREE RADHE",IF(IF(IF(ISNUMBER(SEARCH("Party Name:-",'R.M Billets Reports'!D2460)),TRIM('R.M Billets Reports'!F2460),IF(ISNUMBER(SEARCH("Party Name-",'R.M Billets Reports'!D2460)),TRIM(MID('R.M Billets Reports'!D2460,SEARCH("-",'R.M Billets Reports'!D2460)+1,200)),""))&lt;&gt;"",IF(ISNUMBER(SEARCH("Party Name:-",'R.M Billets Reports'!D2460)),TRIM('R.M Billets Reports'!F2460),IF(ISNUMBER(SEARCH("Party Name-",'R.M Billets Reports'!D2460)),TRIM(MID('R.M Billets Reports'!D2460,SEARCH("-",'R.M Billets Reports'!D2460)+1,200)),"")),IF(ISNUMBER(SEARCH("Party Name:-",'R.M Billets Reports'!D2461)),TRIM('R.M Billets Reports'!F2461),IF(ISNUMBER(SEARCH("Party Name-",'R.M Billets Reports'!D2461)),TRIM(MID('R.M Billets Reports'!D2461,SEARCH("-",'R.M Billets Reports'!D2461)+1,200)),"")))="SHREE RADHE SHAKTI SPONGE AND POWER PVT. LTD.","SHREE RADHE",IF(IF(ISNUMBER(SEARCH("Party Name:-",'R.M Billets Reports'!D2460)),TRIM('R.M Billets Reports'!F2460),IF(ISNUMBER(SEARCH("Party Name-",'R.M Billets Reports'!D2460)),TRIM(MID('R.M Billets Reports'!D2460,SEARCH("-",'R.M Billets Reports'!D2460)+1,200)),""))&lt;&gt;"",IF(ISNUMBER(SEARCH("Party Name:-",'R.M Billets Reports'!D2460)),TRIM('R.M Billets Reports'!F2460),IF(ISNUMBER(SEARCH("Party Name-",'R.M Billets Reports'!D2460)),TRIM(MID('R.M Billets Reports'!D2460,SEARCH("-",'R.M Billets Reports'!D2460)+1,200)),"")),IF(ISNUMBER(SEARCH("Party Name:-",'R.M Billets Reports'!D2461)),TRIM('R.M Billets Reports'!F2461),IF(ISNUMBER(SEARCH("Party Name-",'R.M Billets Reports'!D2461)),TRIM(MID('R.M Billets Reports'!D2461,SEARCH("-",'R.M Billets Reports'!D2461)+1,200)),"")))))),IF(ROW()=2,"",A2460))</f>
      </c>
      <c r="B2461">
        <f>IF(OR('R.M Billets Reports'!A2460="Date-",'R.M Billets Reports'!A2460="Date:-"),'R.M Billets Reports'!B2460,IF(ROW()=2,"",B2460))</f>
      </c>
      <c r="C2461">
        <f>IF('R.M Billets Reports'!A2460="V.No.",'R.M Billets Reports'!B2460,IF(ROW()=2,"",C2460))</f>
      </c>
      <c r="D2461">
        <f>IF('R.M Billets Reports'!A2460&lt;&gt;"",'R.M Billets Reports'!A2460,IF(ROW()=2,"",D2460))</f>
      </c>
      <c r="E2461">
        <f>IF('R.M Billets Reports'!B2460="","",TRIM('R.M Billets Reports'!B2460))</f>
      </c>
      <c r="F2461">
        <f>'R.M Billets Reports'!C2460</f>
      </c>
      <c r="G2461">
        <f>'R.M Billets Reports'!D2460</f>
      </c>
      <c r="H2461">
        <f>'R.M Billets Reports'!E2460</f>
      </c>
      <c r="I2461">
        <f>'R.M Billets Reports'!F2460</f>
      </c>
      <c r="J2461">
        <f>'R.M Billets Reports'!G2460</f>
      </c>
      <c r="K2461">
        <f>'R.M Billets Reports'!H2460</f>
      </c>
      <c r="L2461">
        <f>IF('R.M Billets Reports'!I2460="","",'R.M Billets Reports'!I2460)</f>
      </c>
      <c r="M2461">
        <f t="shared" si="76"/>
      </c>
      <c r="N2461">
        <f>IF('R.M Billets Reports'!J2460="","",'R.M Billets Reports'!J2460)</f>
      </c>
      <c r="O2461">
        <f t="shared" si="77"/>
      </c>
      <c r="P2461">
        <f>IF('R.M Billets Reports'!A2460="SIZE",'R.M Billets Reports'!B2460,P2460)</f>
      </c>
    </row>
    <row r="2462" spans="1:16" x14ac:dyDescent="0.25">
      <c r="A2462">
        <f>IF(OR('R.M Billets Reports'!A2461="Date-",'R.M Billets Reports'!A2461="Date:-"),IF(IF(IF(ISNUMBER(SEARCH("Party Name:-",'R.M Billets Reports'!D2461)),TRIM('R.M Billets Reports'!F2461),IF(ISNUMBER(SEARCH("Party Name-",'R.M Billets Reports'!D2461)),TRIM(MID('R.M Billets Reports'!D2461,SEARCH("-",'R.M Billets Reports'!D2461)+1,200)),""))&lt;&gt;"",IF(ISNUMBER(SEARCH("Party Name:-",'R.M Billets Reports'!D2461)),TRIM('R.M Billets Reports'!F2461),IF(ISNUMBER(SEARCH("Party Name-",'R.M Billets Reports'!D2461)),TRIM(MID('R.M Billets Reports'!D2461,SEARCH("-",'R.M Billets Reports'!D2461)+1,200)),"")),IF(ISNUMBER(SEARCH("Party Name:-",'R.M Billets Reports'!D2462)),TRIM('R.M Billets Reports'!F2462),IF(ISNUMBER(SEARCH("Party Name-",'R.M Billets Reports'!D2462)),TRIM(MID('R.M Billets Reports'!D2462,SEARCH("-",'R.M Billets Reports'!D2462)+1,200)),"")))="VRKP ISPAT PVT LTD","VRKP",IF(IF(IF(ISNUMBER(SEARCH("Party Name:-",'R.M Billets Reports'!D2461)),TRIM('R.M Billets Reports'!F2461),IF(ISNUMBER(SEARCH("Party Name-",'R.M Billets Reports'!D2461)),TRIM(MID('R.M Billets Reports'!D2461,SEARCH("-",'R.M Billets Reports'!D2461)+1,200)),""))&lt;&gt;"",IF(ISNUMBER(SEARCH("Party Name:-",'R.M Billets Reports'!D2461)),TRIM('R.M Billets Reports'!F2461),IF(ISNUMBER(SEARCH("Party Name-",'R.M Billets Reports'!D2461)),TRIM(MID('R.M Billets Reports'!D2461,SEARCH("-",'R.M Billets Reports'!D2461)+1,200)),"")),IF(ISNUMBER(SEARCH("Party Name:-",'R.M Billets Reports'!D2462)),TRIM('R.M Billets Reports'!F2462),IF(ISNUMBER(SEARCH("Party Name-",'R.M Billets Reports'!D2462)),TRIM(MID('R.M Billets Reports'!D2462,SEARCH("-",'R.M Billets Reports'!D2462)+1,200)),"")))="SHRI RADHE","SHREE RADHE",IF(IF(IF(ISNUMBER(SEARCH("Party Name:-",'R.M Billets Reports'!D2461)),TRIM('R.M Billets Reports'!F2461),IF(ISNUMBER(SEARCH("Party Name-",'R.M Billets Reports'!D2461)),TRIM(MID('R.M Billets Reports'!D2461,SEARCH("-",'R.M Billets Reports'!D2461)+1,200)),""))&lt;&gt;"",IF(ISNUMBER(SEARCH("Party Name:-",'R.M Billets Reports'!D2461)),TRIM('R.M Billets Reports'!F2461),IF(ISNUMBER(SEARCH("Party Name-",'R.M Billets Reports'!D2461)),TRIM(MID('R.M Billets Reports'!D2461,SEARCH("-",'R.M Billets Reports'!D2461)+1,200)),"")),IF(ISNUMBER(SEARCH("Party Name:-",'R.M Billets Reports'!D2462)),TRIM('R.M Billets Reports'!F2462),IF(ISNUMBER(SEARCH("Party Name-",'R.M Billets Reports'!D2462)),TRIM(MID('R.M Billets Reports'!D2462,SEARCH("-",'R.M Billets Reports'!D2462)+1,200)),"")))="SHREE RADHE SHAKTI SPONGE AND POWER PVT. LTD.","SHREE RADHE",IF(IF(ISNUMBER(SEARCH("Party Name:-",'R.M Billets Reports'!D2461)),TRIM('R.M Billets Reports'!F2461),IF(ISNUMBER(SEARCH("Party Name-",'R.M Billets Reports'!D2461)),TRIM(MID('R.M Billets Reports'!D2461,SEARCH("-",'R.M Billets Reports'!D2461)+1,200)),""))&lt;&gt;"",IF(ISNUMBER(SEARCH("Party Name:-",'R.M Billets Reports'!D2461)),TRIM('R.M Billets Reports'!F2461),IF(ISNUMBER(SEARCH("Party Name-",'R.M Billets Reports'!D2461)),TRIM(MID('R.M Billets Reports'!D2461,SEARCH("-",'R.M Billets Reports'!D2461)+1,200)),"")),IF(ISNUMBER(SEARCH("Party Name:-",'R.M Billets Reports'!D2462)),TRIM('R.M Billets Reports'!F2462),IF(ISNUMBER(SEARCH("Party Name-",'R.M Billets Reports'!D2462)),TRIM(MID('R.M Billets Reports'!D2462,SEARCH("-",'R.M Billets Reports'!D2462)+1,200)),"")))))),IF(ROW()=2,"",A2461))</f>
      </c>
      <c r="B2462">
        <f>IF(OR('R.M Billets Reports'!A2461="Date-",'R.M Billets Reports'!A2461="Date:-"),'R.M Billets Reports'!B2461,IF(ROW()=2,"",B2461))</f>
      </c>
      <c r="C2462">
        <f>IF('R.M Billets Reports'!A2461="V.No.",'R.M Billets Reports'!B2461,IF(ROW()=2,"",C2461))</f>
      </c>
      <c r="D2462">
        <f>IF('R.M Billets Reports'!A2461&lt;&gt;"",'R.M Billets Reports'!A2461,IF(ROW()=2,"",D2461))</f>
      </c>
      <c r="E2462">
        <f>IF('R.M Billets Reports'!B2461="","",TRIM('R.M Billets Reports'!B2461))</f>
      </c>
      <c r="F2462">
        <f>'R.M Billets Reports'!C2461</f>
      </c>
      <c r="G2462">
        <f>'R.M Billets Reports'!D2461</f>
      </c>
      <c r="H2462">
        <f>'R.M Billets Reports'!E2461</f>
      </c>
      <c r="I2462">
        <f>'R.M Billets Reports'!F2461</f>
      </c>
      <c r="J2462">
        <f>'R.M Billets Reports'!G2461</f>
      </c>
      <c r="K2462">
        <f>'R.M Billets Reports'!H2461</f>
      </c>
      <c r="L2462">
        <f>IF('R.M Billets Reports'!I2461="","",'R.M Billets Reports'!I2461)</f>
      </c>
      <c r="M2462">
        <f t="shared" si="76"/>
      </c>
      <c r="N2462">
        <f>IF('R.M Billets Reports'!J2461="","",'R.M Billets Reports'!J2461)</f>
      </c>
      <c r="O2462">
        <f t="shared" si="77"/>
      </c>
      <c r="P2462">
        <f>IF('R.M Billets Reports'!A2461="SIZE",'R.M Billets Reports'!B2461,P2461)</f>
      </c>
    </row>
    <row r="2463" spans="1:16" x14ac:dyDescent="0.25">
      <c r="A2463">
        <f>IF(OR('R.M Billets Reports'!A2462="Date-",'R.M Billets Reports'!A2462="Date:-"),IF(IF(IF(ISNUMBER(SEARCH("Party Name:-",'R.M Billets Reports'!D2462)),TRIM('R.M Billets Reports'!F2462),IF(ISNUMBER(SEARCH("Party Name-",'R.M Billets Reports'!D2462)),TRIM(MID('R.M Billets Reports'!D2462,SEARCH("-",'R.M Billets Reports'!D2462)+1,200)),""))&lt;&gt;"",IF(ISNUMBER(SEARCH("Party Name:-",'R.M Billets Reports'!D2462)),TRIM('R.M Billets Reports'!F2462),IF(ISNUMBER(SEARCH("Party Name-",'R.M Billets Reports'!D2462)),TRIM(MID('R.M Billets Reports'!D2462,SEARCH("-",'R.M Billets Reports'!D2462)+1,200)),"")),IF(ISNUMBER(SEARCH("Party Name:-",'R.M Billets Reports'!D2463)),TRIM('R.M Billets Reports'!F2463),IF(ISNUMBER(SEARCH("Party Name-",'R.M Billets Reports'!D2463)),TRIM(MID('R.M Billets Reports'!D2463,SEARCH("-",'R.M Billets Reports'!D2463)+1,200)),"")))="VRKP ISPAT PVT LTD","VRKP",IF(IF(IF(ISNUMBER(SEARCH("Party Name:-",'R.M Billets Reports'!D2462)),TRIM('R.M Billets Reports'!F2462),IF(ISNUMBER(SEARCH("Party Name-",'R.M Billets Reports'!D2462)),TRIM(MID('R.M Billets Reports'!D2462,SEARCH("-",'R.M Billets Reports'!D2462)+1,200)),""))&lt;&gt;"",IF(ISNUMBER(SEARCH("Party Name:-",'R.M Billets Reports'!D2462)),TRIM('R.M Billets Reports'!F2462),IF(ISNUMBER(SEARCH("Party Name-",'R.M Billets Reports'!D2462)),TRIM(MID('R.M Billets Reports'!D2462,SEARCH("-",'R.M Billets Reports'!D2462)+1,200)),"")),IF(ISNUMBER(SEARCH("Party Name:-",'R.M Billets Reports'!D2463)),TRIM('R.M Billets Reports'!F2463),IF(ISNUMBER(SEARCH("Party Name-",'R.M Billets Reports'!D2463)),TRIM(MID('R.M Billets Reports'!D2463,SEARCH("-",'R.M Billets Reports'!D2463)+1,200)),"")))="SHRI RADHE","SHREE RADHE",IF(IF(IF(ISNUMBER(SEARCH("Party Name:-",'R.M Billets Reports'!D2462)),TRIM('R.M Billets Reports'!F2462),IF(ISNUMBER(SEARCH("Party Name-",'R.M Billets Reports'!D2462)),TRIM(MID('R.M Billets Reports'!D2462,SEARCH("-",'R.M Billets Reports'!D2462)+1,200)),""))&lt;&gt;"",IF(ISNUMBER(SEARCH("Party Name:-",'R.M Billets Reports'!D2462)),TRIM('R.M Billets Reports'!F2462),IF(ISNUMBER(SEARCH("Party Name-",'R.M Billets Reports'!D2462)),TRIM(MID('R.M Billets Reports'!D2462,SEARCH("-",'R.M Billets Reports'!D2462)+1,200)),"")),IF(ISNUMBER(SEARCH("Party Name:-",'R.M Billets Reports'!D2463)),TRIM('R.M Billets Reports'!F2463),IF(ISNUMBER(SEARCH("Party Name-",'R.M Billets Reports'!D2463)),TRIM(MID('R.M Billets Reports'!D2463,SEARCH("-",'R.M Billets Reports'!D2463)+1,200)),"")))="SHREE RADHE SHAKTI SPONGE AND POWER PVT. LTD.","SHREE RADHE",IF(IF(ISNUMBER(SEARCH("Party Name:-",'R.M Billets Reports'!D2462)),TRIM('R.M Billets Reports'!F2462),IF(ISNUMBER(SEARCH("Party Name-",'R.M Billets Reports'!D2462)),TRIM(MID('R.M Billets Reports'!D2462,SEARCH("-",'R.M Billets Reports'!D2462)+1,200)),""))&lt;&gt;"",IF(ISNUMBER(SEARCH("Party Name:-",'R.M Billets Reports'!D2462)),TRIM('R.M Billets Reports'!F2462),IF(ISNUMBER(SEARCH("Party Name-",'R.M Billets Reports'!D2462)),TRIM(MID('R.M Billets Reports'!D2462,SEARCH("-",'R.M Billets Reports'!D2462)+1,200)),"")),IF(ISNUMBER(SEARCH("Party Name:-",'R.M Billets Reports'!D2463)),TRIM('R.M Billets Reports'!F2463),IF(ISNUMBER(SEARCH("Party Name-",'R.M Billets Reports'!D2463)),TRIM(MID('R.M Billets Reports'!D2463,SEARCH("-",'R.M Billets Reports'!D2463)+1,200)),"")))))),IF(ROW()=2,"",A2462))</f>
      </c>
      <c r="B2463">
        <f>IF(OR('R.M Billets Reports'!A2462="Date-",'R.M Billets Reports'!A2462="Date:-"),'R.M Billets Reports'!B2462,IF(ROW()=2,"",B2462))</f>
      </c>
      <c r="C2463">
        <f>IF('R.M Billets Reports'!A2462="V.No.",'R.M Billets Reports'!B2462,IF(ROW()=2,"",C2462))</f>
      </c>
      <c r="D2463">
        <f>IF('R.M Billets Reports'!A2462&lt;&gt;"",'R.M Billets Reports'!A2462,IF(ROW()=2,"",D2462))</f>
      </c>
      <c r="E2463">
        <f>IF('R.M Billets Reports'!B2462="","",TRIM('R.M Billets Reports'!B2462))</f>
      </c>
      <c r="F2463">
        <f>'R.M Billets Reports'!C2462</f>
      </c>
      <c r="G2463">
        <f>'R.M Billets Reports'!D2462</f>
      </c>
      <c r="H2463">
        <f>'R.M Billets Reports'!E2462</f>
      </c>
      <c r="I2463">
        <f>'R.M Billets Reports'!F2462</f>
      </c>
      <c r="J2463">
        <f>'R.M Billets Reports'!G2462</f>
      </c>
      <c r="K2463">
        <f>'R.M Billets Reports'!H2462</f>
      </c>
      <c r="L2463">
        <f>IF('R.M Billets Reports'!I2462="","",'R.M Billets Reports'!I2462)</f>
      </c>
      <c r="M2463">
        <f t="shared" si="76"/>
      </c>
      <c r="N2463">
        <f>IF('R.M Billets Reports'!J2462="","",'R.M Billets Reports'!J2462)</f>
      </c>
      <c r="O2463">
        <f t="shared" si="77"/>
      </c>
      <c r="P2463">
        <f>IF('R.M Billets Reports'!A2462="SIZE",'R.M Billets Reports'!B2462,P2462)</f>
      </c>
    </row>
    <row r="2464" spans="1:16" x14ac:dyDescent="0.25">
      <c r="A2464">
        <f>IF(OR('R.M Billets Reports'!A2463="Date-",'R.M Billets Reports'!A2463="Date:-"),IF(IF(IF(ISNUMBER(SEARCH("Party Name:-",'R.M Billets Reports'!D2463)),TRIM('R.M Billets Reports'!F2463),IF(ISNUMBER(SEARCH("Party Name-",'R.M Billets Reports'!D2463)),TRIM(MID('R.M Billets Reports'!D2463,SEARCH("-",'R.M Billets Reports'!D2463)+1,200)),""))&lt;&gt;"",IF(ISNUMBER(SEARCH("Party Name:-",'R.M Billets Reports'!D2463)),TRIM('R.M Billets Reports'!F2463),IF(ISNUMBER(SEARCH("Party Name-",'R.M Billets Reports'!D2463)),TRIM(MID('R.M Billets Reports'!D2463,SEARCH("-",'R.M Billets Reports'!D2463)+1,200)),"")),IF(ISNUMBER(SEARCH("Party Name:-",'R.M Billets Reports'!D2464)),TRIM('R.M Billets Reports'!F2464),IF(ISNUMBER(SEARCH("Party Name-",'R.M Billets Reports'!D2464)),TRIM(MID('R.M Billets Reports'!D2464,SEARCH("-",'R.M Billets Reports'!D2464)+1,200)),"")))="VRKP ISPAT PVT LTD","VRKP",IF(IF(IF(ISNUMBER(SEARCH("Party Name:-",'R.M Billets Reports'!D2463)),TRIM('R.M Billets Reports'!F2463),IF(ISNUMBER(SEARCH("Party Name-",'R.M Billets Reports'!D2463)),TRIM(MID('R.M Billets Reports'!D2463,SEARCH("-",'R.M Billets Reports'!D2463)+1,200)),""))&lt;&gt;"",IF(ISNUMBER(SEARCH("Party Name:-",'R.M Billets Reports'!D2463)),TRIM('R.M Billets Reports'!F2463),IF(ISNUMBER(SEARCH("Party Name-",'R.M Billets Reports'!D2463)),TRIM(MID('R.M Billets Reports'!D2463,SEARCH("-",'R.M Billets Reports'!D2463)+1,200)),"")),IF(ISNUMBER(SEARCH("Party Name:-",'R.M Billets Reports'!D2464)),TRIM('R.M Billets Reports'!F2464),IF(ISNUMBER(SEARCH("Party Name-",'R.M Billets Reports'!D2464)),TRIM(MID('R.M Billets Reports'!D2464,SEARCH("-",'R.M Billets Reports'!D2464)+1,200)),"")))="SHRI RADHE","SHREE RADHE",IF(IF(IF(ISNUMBER(SEARCH("Party Name:-",'R.M Billets Reports'!D2463)),TRIM('R.M Billets Reports'!F2463),IF(ISNUMBER(SEARCH("Party Name-",'R.M Billets Reports'!D2463)),TRIM(MID('R.M Billets Reports'!D2463,SEARCH("-",'R.M Billets Reports'!D2463)+1,200)),""))&lt;&gt;"",IF(ISNUMBER(SEARCH("Party Name:-",'R.M Billets Reports'!D2463)),TRIM('R.M Billets Reports'!F2463),IF(ISNUMBER(SEARCH("Party Name-",'R.M Billets Reports'!D2463)),TRIM(MID('R.M Billets Reports'!D2463,SEARCH("-",'R.M Billets Reports'!D2463)+1,200)),"")),IF(ISNUMBER(SEARCH("Party Name:-",'R.M Billets Reports'!D2464)),TRIM('R.M Billets Reports'!F2464),IF(ISNUMBER(SEARCH("Party Name-",'R.M Billets Reports'!D2464)),TRIM(MID('R.M Billets Reports'!D2464,SEARCH("-",'R.M Billets Reports'!D2464)+1,200)),"")))="SHREE RADHE SHAKTI SPONGE AND POWER PVT. LTD.","SHREE RADHE",IF(IF(ISNUMBER(SEARCH("Party Name:-",'R.M Billets Reports'!D2463)),TRIM('R.M Billets Reports'!F2463),IF(ISNUMBER(SEARCH("Party Name-",'R.M Billets Reports'!D2463)),TRIM(MID('R.M Billets Reports'!D2463,SEARCH("-",'R.M Billets Reports'!D2463)+1,200)),""))&lt;&gt;"",IF(ISNUMBER(SEARCH("Party Name:-",'R.M Billets Reports'!D2463)),TRIM('R.M Billets Reports'!F2463),IF(ISNUMBER(SEARCH("Party Name-",'R.M Billets Reports'!D2463)),TRIM(MID('R.M Billets Reports'!D2463,SEARCH("-",'R.M Billets Reports'!D2463)+1,200)),"")),IF(ISNUMBER(SEARCH("Party Name:-",'R.M Billets Reports'!D2464)),TRIM('R.M Billets Reports'!F2464),IF(ISNUMBER(SEARCH("Party Name-",'R.M Billets Reports'!D2464)),TRIM(MID('R.M Billets Reports'!D2464,SEARCH("-",'R.M Billets Reports'!D2464)+1,200)),"")))))),IF(ROW()=2,"",A2463))</f>
      </c>
      <c r="B2464">
        <f>IF(OR('R.M Billets Reports'!A2463="Date-",'R.M Billets Reports'!A2463="Date:-"),'R.M Billets Reports'!B2463,IF(ROW()=2,"",B2463))</f>
      </c>
      <c r="C2464">
        <f>IF('R.M Billets Reports'!A2463="V.No.",'R.M Billets Reports'!B2463,IF(ROW()=2,"",C2463))</f>
      </c>
      <c r="D2464">
        <f>IF('R.M Billets Reports'!A2463&lt;&gt;"",'R.M Billets Reports'!A2463,IF(ROW()=2,"",D2463))</f>
      </c>
      <c r="E2464">
        <f>IF('R.M Billets Reports'!B2463="","",TRIM('R.M Billets Reports'!B2463))</f>
      </c>
      <c r="F2464">
        <f>'R.M Billets Reports'!C2463</f>
      </c>
      <c r="G2464">
        <f>'R.M Billets Reports'!D2463</f>
      </c>
      <c r="H2464">
        <f>'R.M Billets Reports'!E2463</f>
      </c>
      <c r="I2464">
        <f>'R.M Billets Reports'!F2463</f>
      </c>
      <c r="J2464">
        <f>'R.M Billets Reports'!G2463</f>
      </c>
      <c r="K2464">
        <f>'R.M Billets Reports'!H2463</f>
      </c>
      <c r="L2464">
        <f>IF('R.M Billets Reports'!I2463="","",'R.M Billets Reports'!I2463)</f>
      </c>
      <c r="M2464">
        <f t="shared" si="76"/>
      </c>
      <c r="N2464">
        <f>IF('R.M Billets Reports'!J2463="","",'R.M Billets Reports'!J2463)</f>
      </c>
      <c r="O2464">
        <f t="shared" si="77"/>
      </c>
      <c r="P2464">
        <f>IF('R.M Billets Reports'!A2463="SIZE",'R.M Billets Reports'!B2463,P2463)</f>
      </c>
    </row>
    <row r="2465" spans="1:16" x14ac:dyDescent="0.25">
      <c r="A2465">
        <f>IF(OR('R.M Billets Reports'!A2464="Date-",'R.M Billets Reports'!A2464="Date:-"),IF(IF(IF(ISNUMBER(SEARCH("Party Name:-",'R.M Billets Reports'!D2464)),TRIM('R.M Billets Reports'!F2464),IF(ISNUMBER(SEARCH("Party Name-",'R.M Billets Reports'!D2464)),TRIM(MID('R.M Billets Reports'!D2464,SEARCH("-",'R.M Billets Reports'!D2464)+1,200)),""))&lt;&gt;"",IF(ISNUMBER(SEARCH("Party Name:-",'R.M Billets Reports'!D2464)),TRIM('R.M Billets Reports'!F2464),IF(ISNUMBER(SEARCH("Party Name-",'R.M Billets Reports'!D2464)),TRIM(MID('R.M Billets Reports'!D2464,SEARCH("-",'R.M Billets Reports'!D2464)+1,200)),"")),IF(ISNUMBER(SEARCH("Party Name:-",'R.M Billets Reports'!D2465)),TRIM('R.M Billets Reports'!F2465),IF(ISNUMBER(SEARCH("Party Name-",'R.M Billets Reports'!D2465)),TRIM(MID('R.M Billets Reports'!D2465,SEARCH("-",'R.M Billets Reports'!D2465)+1,200)),"")))="VRKP ISPAT PVT LTD","VRKP",IF(IF(IF(ISNUMBER(SEARCH("Party Name:-",'R.M Billets Reports'!D2464)),TRIM('R.M Billets Reports'!F2464),IF(ISNUMBER(SEARCH("Party Name-",'R.M Billets Reports'!D2464)),TRIM(MID('R.M Billets Reports'!D2464,SEARCH("-",'R.M Billets Reports'!D2464)+1,200)),""))&lt;&gt;"",IF(ISNUMBER(SEARCH("Party Name:-",'R.M Billets Reports'!D2464)),TRIM('R.M Billets Reports'!F2464),IF(ISNUMBER(SEARCH("Party Name-",'R.M Billets Reports'!D2464)),TRIM(MID('R.M Billets Reports'!D2464,SEARCH("-",'R.M Billets Reports'!D2464)+1,200)),"")),IF(ISNUMBER(SEARCH("Party Name:-",'R.M Billets Reports'!D2465)),TRIM('R.M Billets Reports'!F2465),IF(ISNUMBER(SEARCH("Party Name-",'R.M Billets Reports'!D2465)),TRIM(MID('R.M Billets Reports'!D2465,SEARCH("-",'R.M Billets Reports'!D2465)+1,200)),"")))="SHRI RADHE","SHREE RADHE",IF(IF(IF(ISNUMBER(SEARCH("Party Name:-",'R.M Billets Reports'!D2464)),TRIM('R.M Billets Reports'!F2464),IF(ISNUMBER(SEARCH("Party Name-",'R.M Billets Reports'!D2464)),TRIM(MID('R.M Billets Reports'!D2464,SEARCH("-",'R.M Billets Reports'!D2464)+1,200)),""))&lt;&gt;"",IF(ISNUMBER(SEARCH("Party Name:-",'R.M Billets Reports'!D2464)),TRIM('R.M Billets Reports'!F2464),IF(ISNUMBER(SEARCH("Party Name-",'R.M Billets Reports'!D2464)),TRIM(MID('R.M Billets Reports'!D2464,SEARCH("-",'R.M Billets Reports'!D2464)+1,200)),"")),IF(ISNUMBER(SEARCH("Party Name:-",'R.M Billets Reports'!D2465)),TRIM('R.M Billets Reports'!F2465),IF(ISNUMBER(SEARCH("Party Name-",'R.M Billets Reports'!D2465)),TRIM(MID('R.M Billets Reports'!D2465,SEARCH("-",'R.M Billets Reports'!D2465)+1,200)),"")))="SHREE RADHE SHAKTI SPONGE AND POWER PVT. LTD.","SHREE RADHE",IF(IF(ISNUMBER(SEARCH("Party Name:-",'R.M Billets Reports'!D2464)),TRIM('R.M Billets Reports'!F2464),IF(ISNUMBER(SEARCH("Party Name-",'R.M Billets Reports'!D2464)),TRIM(MID('R.M Billets Reports'!D2464,SEARCH("-",'R.M Billets Reports'!D2464)+1,200)),""))&lt;&gt;"",IF(ISNUMBER(SEARCH("Party Name:-",'R.M Billets Reports'!D2464)),TRIM('R.M Billets Reports'!F2464),IF(ISNUMBER(SEARCH("Party Name-",'R.M Billets Reports'!D2464)),TRIM(MID('R.M Billets Reports'!D2464,SEARCH("-",'R.M Billets Reports'!D2464)+1,200)),"")),IF(ISNUMBER(SEARCH("Party Name:-",'R.M Billets Reports'!D2465)),TRIM('R.M Billets Reports'!F2465),IF(ISNUMBER(SEARCH("Party Name-",'R.M Billets Reports'!D2465)),TRIM(MID('R.M Billets Reports'!D2465,SEARCH("-",'R.M Billets Reports'!D2465)+1,200)),"")))))),IF(ROW()=2,"",A2464))</f>
      </c>
      <c r="B2465">
        <f>IF(OR('R.M Billets Reports'!A2464="Date-",'R.M Billets Reports'!A2464="Date:-"),'R.M Billets Reports'!B2464,IF(ROW()=2,"",B2464))</f>
      </c>
      <c r="C2465">
        <f>IF('R.M Billets Reports'!A2464="V.No.",'R.M Billets Reports'!B2464,IF(ROW()=2,"",C2464))</f>
      </c>
      <c r="D2465">
        <f>IF('R.M Billets Reports'!A2464&lt;&gt;"",'R.M Billets Reports'!A2464,IF(ROW()=2,"",D2464))</f>
      </c>
      <c r="E2465">
        <f>IF('R.M Billets Reports'!B2464="","",TRIM('R.M Billets Reports'!B2464))</f>
      </c>
      <c r="F2465">
        <f>'R.M Billets Reports'!C2464</f>
      </c>
      <c r="G2465">
        <f>'R.M Billets Reports'!D2464</f>
      </c>
      <c r="H2465">
        <f>'R.M Billets Reports'!E2464</f>
      </c>
      <c r="I2465">
        <f>'R.M Billets Reports'!F2464</f>
      </c>
      <c r="J2465">
        <f>'R.M Billets Reports'!G2464</f>
      </c>
      <c r="K2465">
        <f>'R.M Billets Reports'!H2464</f>
      </c>
      <c r="L2465">
        <f>IF('R.M Billets Reports'!I2464="","",'R.M Billets Reports'!I2464)</f>
      </c>
      <c r="M2465">
        <f t="shared" si="76"/>
      </c>
      <c r="N2465">
        <f>IF('R.M Billets Reports'!J2464="","",'R.M Billets Reports'!J2464)</f>
      </c>
      <c r="O2465">
        <f t="shared" si="77"/>
      </c>
      <c r="P2465">
        <f>IF('R.M Billets Reports'!A2464="SIZE",'R.M Billets Reports'!B2464,P2464)</f>
      </c>
    </row>
    <row r="2466" spans="1:16" x14ac:dyDescent="0.25">
      <c r="A2466">
        <f>IF(OR('R.M Billets Reports'!A2465="Date-",'R.M Billets Reports'!A2465="Date:-"),IF(IF(IF(ISNUMBER(SEARCH("Party Name:-",'R.M Billets Reports'!D2465)),TRIM('R.M Billets Reports'!F2465),IF(ISNUMBER(SEARCH("Party Name-",'R.M Billets Reports'!D2465)),TRIM(MID('R.M Billets Reports'!D2465,SEARCH("-",'R.M Billets Reports'!D2465)+1,200)),""))&lt;&gt;"",IF(ISNUMBER(SEARCH("Party Name:-",'R.M Billets Reports'!D2465)),TRIM('R.M Billets Reports'!F2465),IF(ISNUMBER(SEARCH("Party Name-",'R.M Billets Reports'!D2465)),TRIM(MID('R.M Billets Reports'!D2465,SEARCH("-",'R.M Billets Reports'!D2465)+1,200)),"")),IF(ISNUMBER(SEARCH("Party Name:-",'R.M Billets Reports'!D2466)),TRIM('R.M Billets Reports'!F2466),IF(ISNUMBER(SEARCH("Party Name-",'R.M Billets Reports'!D2466)),TRIM(MID('R.M Billets Reports'!D2466,SEARCH("-",'R.M Billets Reports'!D2466)+1,200)),"")))="VRKP ISPAT PVT LTD","VRKP",IF(IF(IF(ISNUMBER(SEARCH("Party Name:-",'R.M Billets Reports'!D2465)),TRIM('R.M Billets Reports'!F2465),IF(ISNUMBER(SEARCH("Party Name-",'R.M Billets Reports'!D2465)),TRIM(MID('R.M Billets Reports'!D2465,SEARCH("-",'R.M Billets Reports'!D2465)+1,200)),""))&lt;&gt;"",IF(ISNUMBER(SEARCH("Party Name:-",'R.M Billets Reports'!D2465)),TRIM('R.M Billets Reports'!F2465),IF(ISNUMBER(SEARCH("Party Name-",'R.M Billets Reports'!D2465)),TRIM(MID('R.M Billets Reports'!D2465,SEARCH("-",'R.M Billets Reports'!D2465)+1,200)),"")),IF(ISNUMBER(SEARCH("Party Name:-",'R.M Billets Reports'!D2466)),TRIM('R.M Billets Reports'!F2466),IF(ISNUMBER(SEARCH("Party Name-",'R.M Billets Reports'!D2466)),TRIM(MID('R.M Billets Reports'!D2466,SEARCH("-",'R.M Billets Reports'!D2466)+1,200)),"")))="SHRI RADHE","SHREE RADHE",IF(IF(IF(ISNUMBER(SEARCH("Party Name:-",'R.M Billets Reports'!D2465)),TRIM('R.M Billets Reports'!F2465),IF(ISNUMBER(SEARCH("Party Name-",'R.M Billets Reports'!D2465)),TRIM(MID('R.M Billets Reports'!D2465,SEARCH("-",'R.M Billets Reports'!D2465)+1,200)),""))&lt;&gt;"",IF(ISNUMBER(SEARCH("Party Name:-",'R.M Billets Reports'!D2465)),TRIM('R.M Billets Reports'!F2465),IF(ISNUMBER(SEARCH("Party Name-",'R.M Billets Reports'!D2465)),TRIM(MID('R.M Billets Reports'!D2465,SEARCH("-",'R.M Billets Reports'!D2465)+1,200)),"")),IF(ISNUMBER(SEARCH("Party Name:-",'R.M Billets Reports'!D2466)),TRIM('R.M Billets Reports'!F2466),IF(ISNUMBER(SEARCH("Party Name-",'R.M Billets Reports'!D2466)),TRIM(MID('R.M Billets Reports'!D2466,SEARCH("-",'R.M Billets Reports'!D2466)+1,200)),"")))="SHREE RADHE SHAKTI SPONGE AND POWER PVT. LTD.","SHREE RADHE",IF(IF(ISNUMBER(SEARCH("Party Name:-",'R.M Billets Reports'!D2465)),TRIM('R.M Billets Reports'!F2465),IF(ISNUMBER(SEARCH("Party Name-",'R.M Billets Reports'!D2465)),TRIM(MID('R.M Billets Reports'!D2465,SEARCH("-",'R.M Billets Reports'!D2465)+1,200)),""))&lt;&gt;"",IF(ISNUMBER(SEARCH("Party Name:-",'R.M Billets Reports'!D2465)),TRIM('R.M Billets Reports'!F2465),IF(ISNUMBER(SEARCH("Party Name-",'R.M Billets Reports'!D2465)),TRIM(MID('R.M Billets Reports'!D2465,SEARCH("-",'R.M Billets Reports'!D2465)+1,200)),"")),IF(ISNUMBER(SEARCH("Party Name:-",'R.M Billets Reports'!D2466)),TRIM('R.M Billets Reports'!F2466),IF(ISNUMBER(SEARCH("Party Name-",'R.M Billets Reports'!D2466)),TRIM(MID('R.M Billets Reports'!D2466,SEARCH("-",'R.M Billets Reports'!D2466)+1,200)),"")))))),IF(ROW()=2,"",A2465))</f>
      </c>
      <c r="B2466">
        <f>IF(OR('R.M Billets Reports'!A2465="Date-",'R.M Billets Reports'!A2465="Date:-"),'R.M Billets Reports'!B2465,IF(ROW()=2,"",B2465))</f>
      </c>
      <c r="C2466">
        <f>IF('R.M Billets Reports'!A2465="V.No.",'R.M Billets Reports'!B2465,IF(ROW()=2,"",C2465))</f>
      </c>
      <c r="D2466">
        <f>IF('R.M Billets Reports'!A2465&lt;&gt;"",'R.M Billets Reports'!A2465,IF(ROW()=2,"",D2465))</f>
      </c>
      <c r="E2466">
        <f>IF('R.M Billets Reports'!B2465="","",TRIM('R.M Billets Reports'!B2465))</f>
      </c>
      <c r="F2466">
        <f>'R.M Billets Reports'!C2465</f>
      </c>
      <c r="G2466">
        <f>'R.M Billets Reports'!D2465</f>
      </c>
      <c r="H2466">
        <f>'R.M Billets Reports'!E2465</f>
      </c>
      <c r="I2466">
        <f>'R.M Billets Reports'!F2465</f>
      </c>
      <c r="J2466">
        <f>'R.M Billets Reports'!G2465</f>
      </c>
      <c r="K2466">
        <f>'R.M Billets Reports'!H2465</f>
      </c>
      <c r="L2466">
        <f>IF('R.M Billets Reports'!I2465="","",'R.M Billets Reports'!I2465)</f>
      </c>
      <c r="M2466">
        <f t="shared" si="76"/>
      </c>
      <c r="N2466">
        <f>IF('R.M Billets Reports'!J2465="","",'R.M Billets Reports'!J2465)</f>
      </c>
      <c r="O2466">
        <f t="shared" si="77"/>
      </c>
      <c r="P2466">
        <f>IF('R.M Billets Reports'!A2465="SIZE",'R.M Billets Reports'!B2465,P2465)</f>
      </c>
    </row>
    <row r="2467" spans="1:16" x14ac:dyDescent="0.25">
      <c r="A2467">
        <f>IF(OR('R.M Billets Reports'!A2466="Date-",'R.M Billets Reports'!A2466="Date:-"),IF(IF(IF(ISNUMBER(SEARCH("Party Name:-",'R.M Billets Reports'!D2466)),TRIM('R.M Billets Reports'!F2466),IF(ISNUMBER(SEARCH("Party Name-",'R.M Billets Reports'!D2466)),TRIM(MID('R.M Billets Reports'!D2466,SEARCH("-",'R.M Billets Reports'!D2466)+1,200)),""))&lt;&gt;"",IF(ISNUMBER(SEARCH("Party Name:-",'R.M Billets Reports'!D2466)),TRIM('R.M Billets Reports'!F2466),IF(ISNUMBER(SEARCH("Party Name-",'R.M Billets Reports'!D2466)),TRIM(MID('R.M Billets Reports'!D2466,SEARCH("-",'R.M Billets Reports'!D2466)+1,200)),"")),IF(ISNUMBER(SEARCH("Party Name:-",'R.M Billets Reports'!D2467)),TRIM('R.M Billets Reports'!F2467),IF(ISNUMBER(SEARCH("Party Name-",'R.M Billets Reports'!D2467)),TRIM(MID('R.M Billets Reports'!D2467,SEARCH("-",'R.M Billets Reports'!D2467)+1,200)),"")))="VRKP ISPAT PVT LTD","VRKP",IF(IF(IF(ISNUMBER(SEARCH("Party Name:-",'R.M Billets Reports'!D2466)),TRIM('R.M Billets Reports'!F2466),IF(ISNUMBER(SEARCH("Party Name-",'R.M Billets Reports'!D2466)),TRIM(MID('R.M Billets Reports'!D2466,SEARCH("-",'R.M Billets Reports'!D2466)+1,200)),""))&lt;&gt;"",IF(ISNUMBER(SEARCH("Party Name:-",'R.M Billets Reports'!D2466)),TRIM('R.M Billets Reports'!F2466),IF(ISNUMBER(SEARCH("Party Name-",'R.M Billets Reports'!D2466)),TRIM(MID('R.M Billets Reports'!D2466,SEARCH("-",'R.M Billets Reports'!D2466)+1,200)),"")),IF(ISNUMBER(SEARCH("Party Name:-",'R.M Billets Reports'!D2467)),TRIM('R.M Billets Reports'!F2467),IF(ISNUMBER(SEARCH("Party Name-",'R.M Billets Reports'!D2467)),TRIM(MID('R.M Billets Reports'!D2467,SEARCH("-",'R.M Billets Reports'!D2467)+1,200)),"")))="SHRI RADHE","SHREE RADHE",IF(IF(IF(ISNUMBER(SEARCH("Party Name:-",'R.M Billets Reports'!D2466)),TRIM('R.M Billets Reports'!F2466),IF(ISNUMBER(SEARCH("Party Name-",'R.M Billets Reports'!D2466)),TRIM(MID('R.M Billets Reports'!D2466,SEARCH("-",'R.M Billets Reports'!D2466)+1,200)),""))&lt;&gt;"",IF(ISNUMBER(SEARCH("Party Name:-",'R.M Billets Reports'!D2466)),TRIM('R.M Billets Reports'!F2466),IF(ISNUMBER(SEARCH("Party Name-",'R.M Billets Reports'!D2466)),TRIM(MID('R.M Billets Reports'!D2466,SEARCH("-",'R.M Billets Reports'!D2466)+1,200)),"")),IF(ISNUMBER(SEARCH("Party Name:-",'R.M Billets Reports'!D2467)),TRIM('R.M Billets Reports'!F2467),IF(ISNUMBER(SEARCH("Party Name-",'R.M Billets Reports'!D2467)),TRIM(MID('R.M Billets Reports'!D2467,SEARCH("-",'R.M Billets Reports'!D2467)+1,200)),"")))="SHREE RADHE SHAKTI SPONGE AND POWER PVT. LTD.","SHREE RADHE",IF(IF(ISNUMBER(SEARCH("Party Name:-",'R.M Billets Reports'!D2466)),TRIM('R.M Billets Reports'!F2466),IF(ISNUMBER(SEARCH("Party Name-",'R.M Billets Reports'!D2466)),TRIM(MID('R.M Billets Reports'!D2466,SEARCH("-",'R.M Billets Reports'!D2466)+1,200)),""))&lt;&gt;"",IF(ISNUMBER(SEARCH("Party Name:-",'R.M Billets Reports'!D2466)),TRIM('R.M Billets Reports'!F2466),IF(ISNUMBER(SEARCH("Party Name-",'R.M Billets Reports'!D2466)),TRIM(MID('R.M Billets Reports'!D2466,SEARCH("-",'R.M Billets Reports'!D2466)+1,200)),"")),IF(ISNUMBER(SEARCH("Party Name:-",'R.M Billets Reports'!D2467)),TRIM('R.M Billets Reports'!F2467),IF(ISNUMBER(SEARCH("Party Name-",'R.M Billets Reports'!D2467)),TRIM(MID('R.M Billets Reports'!D2467,SEARCH("-",'R.M Billets Reports'!D2467)+1,200)),"")))))),IF(ROW()=2,"",A2466))</f>
      </c>
      <c r="B2467">
        <f>IF(OR('R.M Billets Reports'!A2466="Date-",'R.M Billets Reports'!A2466="Date:-"),'R.M Billets Reports'!B2466,IF(ROW()=2,"",B2466))</f>
      </c>
      <c r="C2467">
        <f>IF('R.M Billets Reports'!A2466="V.No.",'R.M Billets Reports'!B2466,IF(ROW()=2,"",C2466))</f>
      </c>
      <c r="D2467">
        <f>IF('R.M Billets Reports'!A2466&lt;&gt;"",'R.M Billets Reports'!A2466,IF(ROW()=2,"",D2466))</f>
      </c>
      <c r="E2467">
        <f>IF('R.M Billets Reports'!B2466="","",TRIM('R.M Billets Reports'!B2466))</f>
      </c>
      <c r="F2467">
        <f>'R.M Billets Reports'!C2466</f>
      </c>
      <c r="G2467">
        <f>'R.M Billets Reports'!D2466</f>
      </c>
      <c r="H2467">
        <f>'R.M Billets Reports'!E2466</f>
      </c>
      <c r="I2467">
        <f>'R.M Billets Reports'!F2466</f>
      </c>
      <c r="J2467">
        <f>'R.M Billets Reports'!G2466</f>
      </c>
      <c r="K2467">
        <f>'R.M Billets Reports'!H2466</f>
      </c>
      <c r="L2467">
        <f>IF('R.M Billets Reports'!I2466="","",'R.M Billets Reports'!I2466)</f>
      </c>
      <c r="M2467">
        <f t="shared" si="76"/>
      </c>
      <c r="N2467">
        <f>IF('R.M Billets Reports'!J2466="","",'R.M Billets Reports'!J2466)</f>
      </c>
      <c r="O2467">
        <f t="shared" si="77"/>
      </c>
      <c r="P2467">
        <f>IF('R.M Billets Reports'!A2466="SIZE",'R.M Billets Reports'!B2466,P2466)</f>
      </c>
    </row>
    <row r="2468" spans="1:16" x14ac:dyDescent="0.25">
      <c r="A2468">
        <f>IF(OR('R.M Billets Reports'!A2467="Date-",'R.M Billets Reports'!A2467="Date:-"),IF(IF(IF(ISNUMBER(SEARCH("Party Name:-",'R.M Billets Reports'!D2467)),TRIM('R.M Billets Reports'!F2467),IF(ISNUMBER(SEARCH("Party Name-",'R.M Billets Reports'!D2467)),TRIM(MID('R.M Billets Reports'!D2467,SEARCH("-",'R.M Billets Reports'!D2467)+1,200)),""))&lt;&gt;"",IF(ISNUMBER(SEARCH("Party Name:-",'R.M Billets Reports'!D2467)),TRIM('R.M Billets Reports'!F2467),IF(ISNUMBER(SEARCH("Party Name-",'R.M Billets Reports'!D2467)),TRIM(MID('R.M Billets Reports'!D2467,SEARCH("-",'R.M Billets Reports'!D2467)+1,200)),"")),IF(ISNUMBER(SEARCH("Party Name:-",'R.M Billets Reports'!D2468)),TRIM('R.M Billets Reports'!F2468),IF(ISNUMBER(SEARCH("Party Name-",'R.M Billets Reports'!D2468)),TRIM(MID('R.M Billets Reports'!D2468,SEARCH("-",'R.M Billets Reports'!D2468)+1,200)),"")))="VRKP ISPAT PVT LTD","VRKP",IF(IF(IF(ISNUMBER(SEARCH("Party Name:-",'R.M Billets Reports'!D2467)),TRIM('R.M Billets Reports'!F2467),IF(ISNUMBER(SEARCH("Party Name-",'R.M Billets Reports'!D2467)),TRIM(MID('R.M Billets Reports'!D2467,SEARCH("-",'R.M Billets Reports'!D2467)+1,200)),""))&lt;&gt;"",IF(ISNUMBER(SEARCH("Party Name:-",'R.M Billets Reports'!D2467)),TRIM('R.M Billets Reports'!F2467),IF(ISNUMBER(SEARCH("Party Name-",'R.M Billets Reports'!D2467)),TRIM(MID('R.M Billets Reports'!D2467,SEARCH("-",'R.M Billets Reports'!D2467)+1,200)),"")),IF(ISNUMBER(SEARCH("Party Name:-",'R.M Billets Reports'!D2468)),TRIM('R.M Billets Reports'!F2468),IF(ISNUMBER(SEARCH("Party Name-",'R.M Billets Reports'!D2468)),TRIM(MID('R.M Billets Reports'!D2468,SEARCH("-",'R.M Billets Reports'!D2468)+1,200)),"")))="SHRI RADHE","SHREE RADHE",IF(IF(IF(ISNUMBER(SEARCH("Party Name:-",'R.M Billets Reports'!D2467)),TRIM('R.M Billets Reports'!F2467),IF(ISNUMBER(SEARCH("Party Name-",'R.M Billets Reports'!D2467)),TRIM(MID('R.M Billets Reports'!D2467,SEARCH("-",'R.M Billets Reports'!D2467)+1,200)),""))&lt;&gt;"",IF(ISNUMBER(SEARCH("Party Name:-",'R.M Billets Reports'!D2467)),TRIM('R.M Billets Reports'!F2467),IF(ISNUMBER(SEARCH("Party Name-",'R.M Billets Reports'!D2467)),TRIM(MID('R.M Billets Reports'!D2467,SEARCH("-",'R.M Billets Reports'!D2467)+1,200)),"")),IF(ISNUMBER(SEARCH("Party Name:-",'R.M Billets Reports'!D2468)),TRIM('R.M Billets Reports'!F2468),IF(ISNUMBER(SEARCH("Party Name-",'R.M Billets Reports'!D2468)),TRIM(MID('R.M Billets Reports'!D2468,SEARCH("-",'R.M Billets Reports'!D2468)+1,200)),"")))="SHREE RADHE SHAKTI SPONGE AND POWER PVT. LTD.","SHREE RADHE",IF(IF(ISNUMBER(SEARCH("Party Name:-",'R.M Billets Reports'!D2467)),TRIM('R.M Billets Reports'!F2467),IF(ISNUMBER(SEARCH("Party Name-",'R.M Billets Reports'!D2467)),TRIM(MID('R.M Billets Reports'!D2467,SEARCH("-",'R.M Billets Reports'!D2467)+1,200)),""))&lt;&gt;"",IF(ISNUMBER(SEARCH("Party Name:-",'R.M Billets Reports'!D2467)),TRIM('R.M Billets Reports'!F2467),IF(ISNUMBER(SEARCH("Party Name-",'R.M Billets Reports'!D2467)),TRIM(MID('R.M Billets Reports'!D2467,SEARCH("-",'R.M Billets Reports'!D2467)+1,200)),"")),IF(ISNUMBER(SEARCH("Party Name:-",'R.M Billets Reports'!D2468)),TRIM('R.M Billets Reports'!F2468),IF(ISNUMBER(SEARCH("Party Name-",'R.M Billets Reports'!D2468)),TRIM(MID('R.M Billets Reports'!D2468,SEARCH("-",'R.M Billets Reports'!D2468)+1,200)),"")))))),IF(ROW()=2,"",A2467))</f>
      </c>
      <c r="B2468">
        <f>IF(OR('R.M Billets Reports'!A2467="Date-",'R.M Billets Reports'!A2467="Date:-"),'R.M Billets Reports'!B2467,IF(ROW()=2,"",B2467))</f>
      </c>
      <c r="C2468">
        <f>IF('R.M Billets Reports'!A2467="V.No.",'R.M Billets Reports'!B2467,IF(ROW()=2,"",C2467))</f>
      </c>
      <c r="D2468">
        <f>IF('R.M Billets Reports'!A2467&lt;&gt;"",'R.M Billets Reports'!A2467,IF(ROW()=2,"",D2467))</f>
      </c>
      <c r="E2468">
        <f>IF('R.M Billets Reports'!B2467="","",TRIM('R.M Billets Reports'!B2467))</f>
      </c>
      <c r="F2468">
        <f>'R.M Billets Reports'!C2467</f>
      </c>
      <c r="G2468">
        <f>'R.M Billets Reports'!D2467</f>
      </c>
      <c r="H2468">
        <f>'R.M Billets Reports'!E2467</f>
      </c>
      <c r="I2468">
        <f>'R.M Billets Reports'!F2467</f>
      </c>
      <c r="J2468">
        <f>'R.M Billets Reports'!G2467</f>
      </c>
      <c r="K2468">
        <f>'R.M Billets Reports'!H2467</f>
      </c>
      <c r="L2468">
        <f>IF('R.M Billets Reports'!I2467="","",'R.M Billets Reports'!I2467)</f>
      </c>
      <c r="M2468">
        <f t="shared" si="76"/>
      </c>
      <c r="N2468">
        <f>IF('R.M Billets Reports'!J2467="","",'R.M Billets Reports'!J2467)</f>
      </c>
      <c r="O2468">
        <f t="shared" si="77"/>
      </c>
      <c r="P2468">
        <f>IF('R.M Billets Reports'!A2467="SIZE",'R.M Billets Reports'!B2467,P2467)</f>
      </c>
    </row>
    <row r="2469" spans="1:16" x14ac:dyDescent="0.25">
      <c r="A2469">
        <f>IF(OR('R.M Billets Reports'!A2468="Date-",'R.M Billets Reports'!A2468="Date:-"),IF(IF(IF(ISNUMBER(SEARCH("Party Name:-",'R.M Billets Reports'!D2468)),TRIM('R.M Billets Reports'!F2468),IF(ISNUMBER(SEARCH("Party Name-",'R.M Billets Reports'!D2468)),TRIM(MID('R.M Billets Reports'!D2468,SEARCH("-",'R.M Billets Reports'!D2468)+1,200)),""))&lt;&gt;"",IF(ISNUMBER(SEARCH("Party Name:-",'R.M Billets Reports'!D2468)),TRIM('R.M Billets Reports'!F2468),IF(ISNUMBER(SEARCH("Party Name-",'R.M Billets Reports'!D2468)),TRIM(MID('R.M Billets Reports'!D2468,SEARCH("-",'R.M Billets Reports'!D2468)+1,200)),"")),IF(ISNUMBER(SEARCH("Party Name:-",'R.M Billets Reports'!D2469)),TRIM('R.M Billets Reports'!F2469),IF(ISNUMBER(SEARCH("Party Name-",'R.M Billets Reports'!D2469)),TRIM(MID('R.M Billets Reports'!D2469,SEARCH("-",'R.M Billets Reports'!D2469)+1,200)),"")))="VRKP ISPAT PVT LTD","VRKP",IF(IF(IF(ISNUMBER(SEARCH("Party Name:-",'R.M Billets Reports'!D2468)),TRIM('R.M Billets Reports'!F2468),IF(ISNUMBER(SEARCH("Party Name-",'R.M Billets Reports'!D2468)),TRIM(MID('R.M Billets Reports'!D2468,SEARCH("-",'R.M Billets Reports'!D2468)+1,200)),""))&lt;&gt;"",IF(ISNUMBER(SEARCH("Party Name:-",'R.M Billets Reports'!D2468)),TRIM('R.M Billets Reports'!F2468),IF(ISNUMBER(SEARCH("Party Name-",'R.M Billets Reports'!D2468)),TRIM(MID('R.M Billets Reports'!D2468,SEARCH("-",'R.M Billets Reports'!D2468)+1,200)),"")),IF(ISNUMBER(SEARCH("Party Name:-",'R.M Billets Reports'!D2469)),TRIM('R.M Billets Reports'!F2469),IF(ISNUMBER(SEARCH("Party Name-",'R.M Billets Reports'!D2469)),TRIM(MID('R.M Billets Reports'!D2469,SEARCH("-",'R.M Billets Reports'!D2469)+1,200)),"")))="SHRI RADHE","SHREE RADHE",IF(IF(IF(ISNUMBER(SEARCH("Party Name:-",'R.M Billets Reports'!D2468)),TRIM('R.M Billets Reports'!F2468),IF(ISNUMBER(SEARCH("Party Name-",'R.M Billets Reports'!D2468)),TRIM(MID('R.M Billets Reports'!D2468,SEARCH("-",'R.M Billets Reports'!D2468)+1,200)),""))&lt;&gt;"",IF(ISNUMBER(SEARCH("Party Name:-",'R.M Billets Reports'!D2468)),TRIM('R.M Billets Reports'!F2468),IF(ISNUMBER(SEARCH("Party Name-",'R.M Billets Reports'!D2468)),TRIM(MID('R.M Billets Reports'!D2468,SEARCH("-",'R.M Billets Reports'!D2468)+1,200)),"")),IF(ISNUMBER(SEARCH("Party Name:-",'R.M Billets Reports'!D2469)),TRIM('R.M Billets Reports'!F2469),IF(ISNUMBER(SEARCH("Party Name-",'R.M Billets Reports'!D2469)),TRIM(MID('R.M Billets Reports'!D2469,SEARCH("-",'R.M Billets Reports'!D2469)+1,200)),"")))="SHREE RADHE SHAKTI SPONGE AND POWER PVT. LTD.","SHREE RADHE",IF(IF(ISNUMBER(SEARCH("Party Name:-",'R.M Billets Reports'!D2468)),TRIM('R.M Billets Reports'!F2468),IF(ISNUMBER(SEARCH("Party Name-",'R.M Billets Reports'!D2468)),TRIM(MID('R.M Billets Reports'!D2468,SEARCH("-",'R.M Billets Reports'!D2468)+1,200)),""))&lt;&gt;"",IF(ISNUMBER(SEARCH("Party Name:-",'R.M Billets Reports'!D2468)),TRIM('R.M Billets Reports'!F2468),IF(ISNUMBER(SEARCH("Party Name-",'R.M Billets Reports'!D2468)),TRIM(MID('R.M Billets Reports'!D2468,SEARCH("-",'R.M Billets Reports'!D2468)+1,200)),"")),IF(ISNUMBER(SEARCH("Party Name:-",'R.M Billets Reports'!D2469)),TRIM('R.M Billets Reports'!F2469),IF(ISNUMBER(SEARCH("Party Name-",'R.M Billets Reports'!D2469)),TRIM(MID('R.M Billets Reports'!D2469,SEARCH("-",'R.M Billets Reports'!D2469)+1,200)),"")))))),IF(ROW()=2,"",A2468))</f>
      </c>
      <c r="B2469">
        <f>IF(OR('R.M Billets Reports'!A2468="Date-",'R.M Billets Reports'!A2468="Date:-"),'R.M Billets Reports'!B2468,IF(ROW()=2,"",B2468))</f>
      </c>
      <c r="C2469">
        <f>IF('R.M Billets Reports'!A2468="V.No.",'R.M Billets Reports'!B2468,IF(ROW()=2,"",C2468))</f>
      </c>
      <c r="D2469">
        <f>IF('R.M Billets Reports'!A2468&lt;&gt;"",'R.M Billets Reports'!A2468,IF(ROW()=2,"",D2468))</f>
      </c>
      <c r="E2469">
        <f>IF('R.M Billets Reports'!B2468="","",TRIM('R.M Billets Reports'!B2468))</f>
      </c>
      <c r="F2469">
        <f>'R.M Billets Reports'!C2468</f>
      </c>
      <c r="G2469">
        <f>'R.M Billets Reports'!D2468</f>
      </c>
      <c r="H2469">
        <f>'R.M Billets Reports'!E2468</f>
      </c>
      <c r="I2469">
        <f>'R.M Billets Reports'!F2468</f>
      </c>
      <c r="J2469">
        <f>'R.M Billets Reports'!G2468</f>
      </c>
      <c r="K2469">
        <f>'R.M Billets Reports'!H2468</f>
      </c>
      <c r="L2469">
        <f>IF('R.M Billets Reports'!I2468="","",'R.M Billets Reports'!I2468)</f>
      </c>
      <c r="M2469">
        <f t="shared" si="76"/>
      </c>
      <c r="N2469">
        <f>IF('R.M Billets Reports'!J2468="","",'R.M Billets Reports'!J2468)</f>
      </c>
      <c r="O2469">
        <f t="shared" si="77"/>
      </c>
      <c r="P2469">
        <f>IF('R.M Billets Reports'!A2468="SIZE",'R.M Billets Reports'!B2468,P2468)</f>
      </c>
    </row>
    <row r="2470" spans="1:16" x14ac:dyDescent="0.25">
      <c r="A2470">
        <f>IF(OR('R.M Billets Reports'!A2469="Date-",'R.M Billets Reports'!A2469="Date:-"),IF(IF(IF(ISNUMBER(SEARCH("Party Name:-",'R.M Billets Reports'!D2469)),TRIM('R.M Billets Reports'!F2469),IF(ISNUMBER(SEARCH("Party Name-",'R.M Billets Reports'!D2469)),TRIM(MID('R.M Billets Reports'!D2469,SEARCH("-",'R.M Billets Reports'!D2469)+1,200)),""))&lt;&gt;"",IF(ISNUMBER(SEARCH("Party Name:-",'R.M Billets Reports'!D2469)),TRIM('R.M Billets Reports'!F2469),IF(ISNUMBER(SEARCH("Party Name-",'R.M Billets Reports'!D2469)),TRIM(MID('R.M Billets Reports'!D2469,SEARCH("-",'R.M Billets Reports'!D2469)+1,200)),"")),IF(ISNUMBER(SEARCH("Party Name:-",'R.M Billets Reports'!D2470)),TRIM('R.M Billets Reports'!F2470),IF(ISNUMBER(SEARCH("Party Name-",'R.M Billets Reports'!D2470)),TRIM(MID('R.M Billets Reports'!D2470,SEARCH("-",'R.M Billets Reports'!D2470)+1,200)),"")))="VRKP ISPAT PVT LTD","VRKP",IF(IF(IF(ISNUMBER(SEARCH("Party Name:-",'R.M Billets Reports'!D2469)),TRIM('R.M Billets Reports'!F2469),IF(ISNUMBER(SEARCH("Party Name-",'R.M Billets Reports'!D2469)),TRIM(MID('R.M Billets Reports'!D2469,SEARCH("-",'R.M Billets Reports'!D2469)+1,200)),""))&lt;&gt;"",IF(ISNUMBER(SEARCH("Party Name:-",'R.M Billets Reports'!D2469)),TRIM('R.M Billets Reports'!F2469),IF(ISNUMBER(SEARCH("Party Name-",'R.M Billets Reports'!D2469)),TRIM(MID('R.M Billets Reports'!D2469,SEARCH("-",'R.M Billets Reports'!D2469)+1,200)),"")),IF(ISNUMBER(SEARCH("Party Name:-",'R.M Billets Reports'!D2470)),TRIM('R.M Billets Reports'!F2470),IF(ISNUMBER(SEARCH("Party Name-",'R.M Billets Reports'!D2470)),TRIM(MID('R.M Billets Reports'!D2470,SEARCH("-",'R.M Billets Reports'!D2470)+1,200)),"")))="SHRI RADHE","SHREE RADHE",IF(IF(IF(ISNUMBER(SEARCH("Party Name:-",'R.M Billets Reports'!D2469)),TRIM('R.M Billets Reports'!F2469),IF(ISNUMBER(SEARCH("Party Name-",'R.M Billets Reports'!D2469)),TRIM(MID('R.M Billets Reports'!D2469,SEARCH("-",'R.M Billets Reports'!D2469)+1,200)),""))&lt;&gt;"",IF(ISNUMBER(SEARCH("Party Name:-",'R.M Billets Reports'!D2469)),TRIM('R.M Billets Reports'!F2469),IF(ISNUMBER(SEARCH("Party Name-",'R.M Billets Reports'!D2469)),TRIM(MID('R.M Billets Reports'!D2469,SEARCH("-",'R.M Billets Reports'!D2469)+1,200)),"")),IF(ISNUMBER(SEARCH("Party Name:-",'R.M Billets Reports'!D2470)),TRIM('R.M Billets Reports'!F2470),IF(ISNUMBER(SEARCH("Party Name-",'R.M Billets Reports'!D2470)),TRIM(MID('R.M Billets Reports'!D2470,SEARCH("-",'R.M Billets Reports'!D2470)+1,200)),"")))="SHREE RADHE SHAKTI SPONGE AND POWER PVT. LTD.","SHREE RADHE",IF(IF(ISNUMBER(SEARCH("Party Name:-",'R.M Billets Reports'!D2469)),TRIM('R.M Billets Reports'!F2469),IF(ISNUMBER(SEARCH("Party Name-",'R.M Billets Reports'!D2469)),TRIM(MID('R.M Billets Reports'!D2469,SEARCH("-",'R.M Billets Reports'!D2469)+1,200)),""))&lt;&gt;"",IF(ISNUMBER(SEARCH("Party Name:-",'R.M Billets Reports'!D2469)),TRIM('R.M Billets Reports'!F2469),IF(ISNUMBER(SEARCH("Party Name-",'R.M Billets Reports'!D2469)),TRIM(MID('R.M Billets Reports'!D2469,SEARCH("-",'R.M Billets Reports'!D2469)+1,200)),"")),IF(ISNUMBER(SEARCH("Party Name:-",'R.M Billets Reports'!D2470)),TRIM('R.M Billets Reports'!F2470),IF(ISNUMBER(SEARCH("Party Name-",'R.M Billets Reports'!D2470)),TRIM(MID('R.M Billets Reports'!D2470,SEARCH("-",'R.M Billets Reports'!D2470)+1,200)),"")))))),IF(ROW()=2,"",A2469))</f>
      </c>
      <c r="B2470">
        <f>IF(OR('R.M Billets Reports'!A2469="Date-",'R.M Billets Reports'!A2469="Date:-"),'R.M Billets Reports'!B2469,IF(ROW()=2,"",B2469))</f>
      </c>
      <c r="C2470">
        <f>IF('R.M Billets Reports'!A2469="V.No.",'R.M Billets Reports'!B2469,IF(ROW()=2,"",C2469))</f>
      </c>
      <c r="D2470">
        <f>IF('R.M Billets Reports'!A2469&lt;&gt;"",'R.M Billets Reports'!A2469,IF(ROW()=2,"",D2469))</f>
      </c>
      <c r="E2470">
        <f>IF('R.M Billets Reports'!B2469="","",TRIM('R.M Billets Reports'!B2469))</f>
      </c>
      <c r="F2470">
        <f>'R.M Billets Reports'!C2469</f>
      </c>
      <c r="G2470">
        <f>'R.M Billets Reports'!D2469</f>
      </c>
      <c r="H2470">
        <f>'R.M Billets Reports'!E2469</f>
      </c>
      <c r="I2470">
        <f>'R.M Billets Reports'!F2469</f>
      </c>
      <c r="J2470">
        <f>'R.M Billets Reports'!G2469</f>
      </c>
      <c r="K2470">
        <f>'R.M Billets Reports'!H2469</f>
      </c>
      <c r="L2470">
        <f>IF('R.M Billets Reports'!I2469="","",'R.M Billets Reports'!I2469)</f>
      </c>
      <c r="M2470">
        <f t="shared" si="76"/>
      </c>
      <c r="N2470">
        <f>IF('R.M Billets Reports'!J2469="","",'R.M Billets Reports'!J2469)</f>
      </c>
      <c r="O2470">
        <f t="shared" si="77"/>
      </c>
      <c r="P2470">
        <f>IF('R.M Billets Reports'!A2469="SIZE",'R.M Billets Reports'!B2469,P2469)</f>
      </c>
    </row>
    <row r="2471" spans="1:16" x14ac:dyDescent="0.25">
      <c r="A2471">
        <f>IF(OR('R.M Billets Reports'!A2470="Date-",'R.M Billets Reports'!A2470="Date:-"),IF(IF(IF(ISNUMBER(SEARCH("Party Name:-",'R.M Billets Reports'!D2470)),TRIM('R.M Billets Reports'!F2470),IF(ISNUMBER(SEARCH("Party Name-",'R.M Billets Reports'!D2470)),TRIM(MID('R.M Billets Reports'!D2470,SEARCH("-",'R.M Billets Reports'!D2470)+1,200)),""))&lt;&gt;"",IF(ISNUMBER(SEARCH("Party Name:-",'R.M Billets Reports'!D2470)),TRIM('R.M Billets Reports'!F2470),IF(ISNUMBER(SEARCH("Party Name-",'R.M Billets Reports'!D2470)),TRIM(MID('R.M Billets Reports'!D2470,SEARCH("-",'R.M Billets Reports'!D2470)+1,200)),"")),IF(ISNUMBER(SEARCH("Party Name:-",'R.M Billets Reports'!D2471)),TRIM('R.M Billets Reports'!F2471),IF(ISNUMBER(SEARCH("Party Name-",'R.M Billets Reports'!D2471)),TRIM(MID('R.M Billets Reports'!D2471,SEARCH("-",'R.M Billets Reports'!D2471)+1,200)),"")))="VRKP ISPAT PVT LTD","VRKP",IF(IF(IF(ISNUMBER(SEARCH("Party Name:-",'R.M Billets Reports'!D2470)),TRIM('R.M Billets Reports'!F2470),IF(ISNUMBER(SEARCH("Party Name-",'R.M Billets Reports'!D2470)),TRIM(MID('R.M Billets Reports'!D2470,SEARCH("-",'R.M Billets Reports'!D2470)+1,200)),""))&lt;&gt;"",IF(ISNUMBER(SEARCH("Party Name:-",'R.M Billets Reports'!D2470)),TRIM('R.M Billets Reports'!F2470),IF(ISNUMBER(SEARCH("Party Name-",'R.M Billets Reports'!D2470)),TRIM(MID('R.M Billets Reports'!D2470,SEARCH("-",'R.M Billets Reports'!D2470)+1,200)),"")),IF(ISNUMBER(SEARCH("Party Name:-",'R.M Billets Reports'!D2471)),TRIM('R.M Billets Reports'!F2471),IF(ISNUMBER(SEARCH("Party Name-",'R.M Billets Reports'!D2471)),TRIM(MID('R.M Billets Reports'!D2471,SEARCH("-",'R.M Billets Reports'!D2471)+1,200)),"")))="SHRI RADHE","SHREE RADHE",IF(IF(IF(ISNUMBER(SEARCH("Party Name:-",'R.M Billets Reports'!D2470)),TRIM('R.M Billets Reports'!F2470),IF(ISNUMBER(SEARCH("Party Name-",'R.M Billets Reports'!D2470)),TRIM(MID('R.M Billets Reports'!D2470,SEARCH("-",'R.M Billets Reports'!D2470)+1,200)),""))&lt;&gt;"",IF(ISNUMBER(SEARCH("Party Name:-",'R.M Billets Reports'!D2470)),TRIM('R.M Billets Reports'!F2470),IF(ISNUMBER(SEARCH("Party Name-",'R.M Billets Reports'!D2470)),TRIM(MID('R.M Billets Reports'!D2470,SEARCH("-",'R.M Billets Reports'!D2470)+1,200)),"")),IF(ISNUMBER(SEARCH("Party Name:-",'R.M Billets Reports'!D2471)),TRIM('R.M Billets Reports'!F2471),IF(ISNUMBER(SEARCH("Party Name-",'R.M Billets Reports'!D2471)),TRIM(MID('R.M Billets Reports'!D2471,SEARCH("-",'R.M Billets Reports'!D2471)+1,200)),"")))="SHREE RADHE SHAKTI SPONGE AND POWER PVT. LTD.","SHREE RADHE",IF(IF(ISNUMBER(SEARCH("Party Name:-",'R.M Billets Reports'!D2470)),TRIM('R.M Billets Reports'!F2470),IF(ISNUMBER(SEARCH("Party Name-",'R.M Billets Reports'!D2470)),TRIM(MID('R.M Billets Reports'!D2470,SEARCH("-",'R.M Billets Reports'!D2470)+1,200)),""))&lt;&gt;"",IF(ISNUMBER(SEARCH("Party Name:-",'R.M Billets Reports'!D2470)),TRIM('R.M Billets Reports'!F2470),IF(ISNUMBER(SEARCH("Party Name-",'R.M Billets Reports'!D2470)),TRIM(MID('R.M Billets Reports'!D2470,SEARCH("-",'R.M Billets Reports'!D2470)+1,200)),"")),IF(ISNUMBER(SEARCH("Party Name:-",'R.M Billets Reports'!D2471)),TRIM('R.M Billets Reports'!F2471),IF(ISNUMBER(SEARCH("Party Name-",'R.M Billets Reports'!D2471)),TRIM(MID('R.M Billets Reports'!D2471,SEARCH("-",'R.M Billets Reports'!D2471)+1,200)),"")))))),IF(ROW()=2,"",A2470))</f>
      </c>
      <c r="B2471">
        <f>IF(OR('R.M Billets Reports'!A2470="Date-",'R.M Billets Reports'!A2470="Date:-"),'R.M Billets Reports'!B2470,IF(ROW()=2,"",B2470))</f>
      </c>
      <c r="C2471">
        <f>IF('R.M Billets Reports'!A2470="V.No.",'R.M Billets Reports'!B2470,IF(ROW()=2,"",C2470))</f>
      </c>
      <c r="D2471">
        <f>IF('R.M Billets Reports'!A2470&lt;&gt;"",'R.M Billets Reports'!A2470,IF(ROW()=2,"",D2470))</f>
      </c>
      <c r="E2471">
        <f>IF('R.M Billets Reports'!B2470="","",TRIM('R.M Billets Reports'!B2470))</f>
      </c>
      <c r="F2471">
        <f>'R.M Billets Reports'!C2470</f>
      </c>
      <c r="G2471">
        <f>'R.M Billets Reports'!D2470</f>
      </c>
      <c r="H2471">
        <f>'R.M Billets Reports'!E2470</f>
      </c>
      <c r="I2471">
        <f>'R.M Billets Reports'!F2470</f>
      </c>
      <c r="J2471">
        <f>'R.M Billets Reports'!G2470</f>
      </c>
      <c r="K2471">
        <f>'R.M Billets Reports'!H2470</f>
      </c>
      <c r="L2471">
        <f>IF('R.M Billets Reports'!I2470="","",'R.M Billets Reports'!I2470)</f>
      </c>
      <c r="M2471">
        <f t="shared" si="76"/>
      </c>
      <c r="N2471">
        <f>IF('R.M Billets Reports'!J2470="","",'R.M Billets Reports'!J2470)</f>
      </c>
      <c r="O2471">
        <f t="shared" si="77"/>
      </c>
      <c r="P2471">
        <f>IF('R.M Billets Reports'!A2470="SIZE",'R.M Billets Reports'!B2470,P2470)</f>
      </c>
    </row>
    <row r="2472" spans="1:16" x14ac:dyDescent="0.25">
      <c r="A2472">
        <f>IF(OR('R.M Billets Reports'!A2471="Date-",'R.M Billets Reports'!A2471="Date:-"),IF(IF(IF(ISNUMBER(SEARCH("Party Name:-",'R.M Billets Reports'!D2471)),TRIM('R.M Billets Reports'!F2471),IF(ISNUMBER(SEARCH("Party Name-",'R.M Billets Reports'!D2471)),TRIM(MID('R.M Billets Reports'!D2471,SEARCH("-",'R.M Billets Reports'!D2471)+1,200)),""))&lt;&gt;"",IF(ISNUMBER(SEARCH("Party Name:-",'R.M Billets Reports'!D2471)),TRIM('R.M Billets Reports'!F2471),IF(ISNUMBER(SEARCH("Party Name-",'R.M Billets Reports'!D2471)),TRIM(MID('R.M Billets Reports'!D2471,SEARCH("-",'R.M Billets Reports'!D2471)+1,200)),"")),IF(ISNUMBER(SEARCH("Party Name:-",'R.M Billets Reports'!D2472)),TRIM('R.M Billets Reports'!F2472),IF(ISNUMBER(SEARCH("Party Name-",'R.M Billets Reports'!D2472)),TRIM(MID('R.M Billets Reports'!D2472,SEARCH("-",'R.M Billets Reports'!D2472)+1,200)),"")))="VRKP ISPAT PVT LTD","VRKP",IF(IF(IF(ISNUMBER(SEARCH("Party Name:-",'R.M Billets Reports'!D2471)),TRIM('R.M Billets Reports'!F2471),IF(ISNUMBER(SEARCH("Party Name-",'R.M Billets Reports'!D2471)),TRIM(MID('R.M Billets Reports'!D2471,SEARCH("-",'R.M Billets Reports'!D2471)+1,200)),""))&lt;&gt;"",IF(ISNUMBER(SEARCH("Party Name:-",'R.M Billets Reports'!D2471)),TRIM('R.M Billets Reports'!F2471),IF(ISNUMBER(SEARCH("Party Name-",'R.M Billets Reports'!D2471)),TRIM(MID('R.M Billets Reports'!D2471,SEARCH("-",'R.M Billets Reports'!D2471)+1,200)),"")),IF(ISNUMBER(SEARCH("Party Name:-",'R.M Billets Reports'!D2472)),TRIM('R.M Billets Reports'!F2472),IF(ISNUMBER(SEARCH("Party Name-",'R.M Billets Reports'!D2472)),TRIM(MID('R.M Billets Reports'!D2472,SEARCH("-",'R.M Billets Reports'!D2472)+1,200)),"")))="SHRI RADHE","SHREE RADHE",IF(IF(IF(ISNUMBER(SEARCH("Party Name:-",'R.M Billets Reports'!D2471)),TRIM('R.M Billets Reports'!F2471),IF(ISNUMBER(SEARCH("Party Name-",'R.M Billets Reports'!D2471)),TRIM(MID('R.M Billets Reports'!D2471,SEARCH("-",'R.M Billets Reports'!D2471)+1,200)),""))&lt;&gt;"",IF(ISNUMBER(SEARCH("Party Name:-",'R.M Billets Reports'!D2471)),TRIM('R.M Billets Reports'!F2471),IF(ISNUMBER(SEARCH("Party Name-",'R.M Billets Reports'!D2471)),TRIM(MID('R.M Billets Reports'!D2471,SEARCH("-",'R.M Billets Reports'!D2471)+1,200)),"")),IF(ISNUMBER(SEARCH("Party Name:-",'R.M Billets Reports'!D2472)),TRIM('R.M Billets Reports'!F2472),IF(ISNUMBER(SEARCH("Party Name-",'R.M Billets Reports'!D2472)),TRIM(MID('R.M Billets Reports'!D2472,SEARCH("-",'R.M Billets Reports'!D2472)+1,200)),"")))="SHREE RADHE SHAKTI SPONGE AND POWER PVT. LTD.","SHREE RADHE",IF(IF(ISNUMBER(SEARCH("Party Name:-",'R.M Billets Reports'!D2471)),TRIM('R.M Billets Reports'!F2471),IF(ISNUMBER(SEARCH("Party Name-",'R.M Billets Reports'!D2471)),TRIM(MID('R.M Billets Reports'!D2471,SEARCH("-",'R.M Billets Reports'!D2471)+1,200)),""))&lt;&gt;"",IF(ISNUMBER(SEARCH("Party Name:-",'R.M Billets Reports'!D2471)),TRIM('R.M Billets Reports'!F2471),IF(ISNUMBER(SEARCH("Party Name-",'R.M Billets Reports'!D2471)),TRIM(MID('R.M Billets Reports'!D2471,SEARCH("-",'R.M Billets Reports'!D2471)+1,200)),"")),IF(ISNUMBER(SEARCH("Party Name:-",'R.M Billets Reports'!D2472)),TRIM('R.M Billets Reports'!F2472),IF(ISNUMBER(SEARCH("Party Name-",'R.M Billets Reports'!D2472)),TRIM(MID('R.M Billets Reports'!D2472,SEARCH("-",'R.M Billets Reports'!D2472)+1,200)),"")))))),IF(ROW()=2,"",A2471))</f>
      </c>
      <c r="B2472">
        <f>IF(OR('R.M Billets Reports'!A2471="Date-",'R.M Billets Reports'!A2471="Date:-"),'R.M Billets Reports'!B2471,IF(ROW()=2,"",B2471))</f>
      </c>
      <c r="C2472">
        <f>IF('R.M Billets Reports'!A2471="V.No.",'R.M Billets Reports'!B2471,IF(ROW()=2,"",C2471))</f>
      </c>
      <c r="D2472">
        <f>IF('R.M Billets Reports'!A2471&lt;&gt;"",'R.M Billets Reports'!A2471,IF(ROW()=2,"",D2471))</f>
      </c>
      <c r="E2472">
        <f>IF('R.M Billets Reports'!B2471="","",TRIM('R.M Billets Reports'!B2471))</f>
      </c>
      <c r="F2472">
        <f>'R.M Billets Reports'!C2471</f>
      </c>
      <c r="G2472">
        <f>'R.M Billets Reports'!D2471</f>
      </c>
      <c r="H2472">
        <f>'R.M Billets Reports'!E2471</f>
      </c>
      <c r="I2472">
        <f>'R.M Billets Reports'!F2471</f>
      </c>
      <c r="J2472">
        <f>'R.M Billets Reports'!G2471</f>
      </c>
      <c r="K2472">
        <f>'R.M Billets Reports'!H2471</f>
      </c>
      <c r="L2472">
        <f>IF('R.M Billets Reports'!I2471="","",'R.M Billets Reports'!I2471)</f>
      </c>
      <c r="M2472">
        <f t="shared" si="76"/>
      </c>
      <c r="N2472">
        <f>IF('R.M Billets Reports'!J2471="","",'R.M Billets Reports'!J2471)</f>
      </c>
      <c r="O2472">
        <f t="shared" si="77"/>
      </c>
      <c r="P2472">
        <f>IF('R.M Billets Reports'!A2471="SIZE",'R.M Billets Reports'!B2471,P2471)</f>
      </c>
    </row>
    <row r="2473" spans="1:16" x14ac:dyDescent="0.25">
      <c r="A2473">
        <f>IF(OR('R.M Billets Reports'!A2472="Date-",'R.M Billets Reports'!A2472="Date:-"),IF(IF(IF(ISNUMBER(SEARCH("Party Name:-",'R.M Billets Reports'!D2472)),TRIM('R.M Billets Reports'!F2472),IF(ISNUMBER(SEARCH("Party Name-",'R.M Billets Reports'!D2472)),TRIM(MID('R.M Billets Reports'!D2472,SEARCH("-",'R.M Billets Reports'!D2472)+1,200)),""))&lt;&gt;"",IF(ISNUMBER(SEARCH("Party Name:-",'R.M Billets Reports'!D2472)),TRIM('R.M Billets Reports'!F2472),IF(ISNUMBER(SEARCH("Party Name-",'R.M Billets Reports'!D2472)),TRIM(MID('R.M Billets Reports'!D2472,SEARCH("-",'R.M Billets Reports'!D2472)+1,200)),"")),IF(ISNUMBER(SEARCH("Party Name:-",'R.M Billets Reports'!D2473)),TRIM('R.M Billets Reports'!F2473),IF(ISNUMBER(SEARCH("Party Name-",'R.M Billets Reports'!D2473)),TRIM(MID('R.M Billets Reports'!D2473,SEARCH("-",'R.M Billets Reports'!D2473)+1,200)),"")))="VRKP ISPAT PVT LTD","VRKP",IF(IF(IF(ISNUMBER(SEARCH("Party Name:-",'R.M Billets Reports'!D2472)),TRIM('R.M Billets Reports'!F2472),IF(ISNUMBER(SEARCH("Party Name-",'R.M Billets Reports'!D2472)),TRIM(MID('R.M Billets Reports'!D2472,SEARCH("-",'R.M Billets Reports'!D2472)+1,200)),""))&lt;&gt;"",IF(ISNUMBER(SEARCH("Party Name:-",'R.M Billets Reports'!D2472)),TRIM('R.M Billets Reports'!F2472),IF(ISNUMBER(SEARCH("Party Name-",'R.M Billets Reports'!D2472)),TRIM(MID('R.M Billets Reports'!D2472,SEARCH("-",'R.M Billets Reports'!D2472)+1,200)),"")),IF(ISNUMBER(SEARCH("Party Name:-",'R.M Billets Reports'!D2473)),TRIM('R.M Billets Reports'!F2473),IF(ISNUMBER(SEARCH("Party Name-",'R.M Billets Reports'!D2473)),TRIM(MID('R.M Billets Reports'!D2473,SEARCH("-",'R.M Billets Reports'!D2473)+1,200)),"")))="SHRI RADHE","SHREE RADHE",IF(IF(IF(ISNUMBER(SEARCH("Party Name:-",'R.M Billets Reports'!D2472)),TRIM('R.M Billets Reports'!F2472),IF(ISNUMBER(SEARCH("Party Name-",'R.M Billets Reports'!D2472)),TRIM(MID('R.M Billets Reports'!D2472,SEARCH("-",'R.M Billets Reports'!D2472)+1,200)),""))&lt;&gt;"",IF(ISNUMBER(SEARCH("Party Name:-",'R.M Billets Reports'!D2472)),TRIM('R.M Billets Reports'!F2472),IF(ISNUMBER(SEARCH("Party Name-",'R.M Billets Reports'!D2472)),TRIM(MID('R.M Billets Reports'!D2472,SEARCH("-",'R.M Billets Reports'!D2472)+1,200)),"")),IF(ISNUMBER(SEARCH("Party Name:-",'R.M Billets Reports'!D2473)),TRIM('R.M Billets Reports'!F2473),IF(ISNUMBER(SEARCH("Party Name-",'R.M Billets Reports'!D2473)),TRIM(MID('R.M Billets Reports'!D2473,SEARCH("-",'R.M Billets Reports'!D2473)+1,200)),"")))="SHREE RADHE SHAKTI SPONGE AND POWER PVT. LTD.","SHREE RADHE",IF(IF(ISNUMBER(SEARCH("Party Name:-",'R.M Billets Reports'!D2472)),TRIM('R.M Billets Reports'!F2472),IF(ISNUMBER(SEARCH("Party Name-",'R.M Billets Reports'!D2472)),TRIM(MID('R.M Billets Reports'!D2472,SEARCH("-",'R.M Billets Reports'!D2472)+1,200)),""))&lt;&gt;"",IF(ISNUMBER(SEARCH("Party Name:-",'R.M Billets Reports'!D2472)),TRIM('R.M Billets Reports'!F2472),IF(ISNUMBER(SEARCH("Party Name-",'R.M Billets Reports'!D2472)),TRIM(MID('R.M Billets Reports'!D2472,SEARCH("-",'R.M Billets Reports'!D2472)+1,200)),"")),IF(ISNUMBER(SEARCH("Party Name:-",'R.M Billets Reports'!D2473)),TRIM('R.M Billets Reports'!F2473),IF(ISNUMBER(SEARCH("Party Name-",'R.M Billets Reports'!D2473)),TRIM(MID('R.M Billets Reports'!D2473,SEARCH("-",'R.M Billets Reports'!D2473)+1,200)),"")))))),IF(ROW()=2,"",A2472))</f>
      </c>
      <c r="B2473">
        <f>IF(OR('R.M Billets Reports'!A2472="Date-",'R.M Billets Reports'!A2472="Date:-"),'R.M Billets Reports'!B2472,IF(ROW()=2,"",B2472))</f>
      </c>
      <c r="C2473">
        <f>IF('R.M Billets Reports'!A2472="V.No.",'R.M Billets Reports'!B2472,IF(ROW()=2,"",C2472))</f>
      </c>
      <c r="D2473">
        <f>IF('R.M Billets Reports'!A2472&lt;&gt;"",'R.M Billets Reports'!A2472,IF(ROW()=2,"",D2472))</f>
      </c>
      <c r="E2473">
        <f>IF('R.M Billets Reports'!B2472="","",TRIM('R.M Billets Reports'!B2472))</f>
      </c>
      <c r="F2473">
        <f>'R.M Billets Reports'!C2472</f>
      </c>
      <c r="G2473">
        <f>'R.M Billets Reports'!D2472</f>
      </c>
      <c r="H2473">
        <f>'R.M Billets Reports'!E2472</f>
      </c>
      <c r="I2473">
        <f>'R.M Billets Reports'!F2472</f>
      </c>
      <c r="J2473">
        <f>'R.M Billets Reports'!G2472</f>
      </c>
      <c r="K2473">
        <f>'R.M Billets Reports'!H2472</f>
      </c>
      <c r="L2473">
        <f>IF('R.M Billets Reports'!I2472="","",'R.M Billets Reports'!I2472)</f>
      </c>
      <c r="M2473">
        <f t="shared" si="76"/>
      </c>
      <c r="N2473">
        <f>IF('R.M Billets Reports'!J2472="","",'R.M Billets Reports'!J2472)</f>
      </c>
      <c r="O2473">
        <f t="shared" si="77"/>
      </c>
      <c r="P2473">
        <f>IF('R.M Billets Reports'!A2472="SIZE",'R.M Billets Reports'!B2472,P2472)</f>
      </c>
    </row>
    <row r="2474" spans="1:16" x14ac:dyDescent="0.25">
      <c r="A2474">
        <f>IF(OR('R.M Billets Reports'!A2473="Date-",'R.M Billets Reports'!A2473="Date:-"),IF(IF(IF(ISNUMBER(SEARCH("Party Name:-",'R.M Billets Reports'!D2473)),TRIM('R.M Billets Reports'!F2473),IF(ISNUMBER(SEARCH("Party Name-",'R.M Billets Reports'!D2473)),TRIM(MID('R.M Billets Reports'!D2473,SEARCH("-",'R.M Billets Reports'!D2473)+1,200)),""))&lt;&gt;"",IF(ISNUMBER(SEARCH("Party Name:-",'R.M Billets Reports'!D2473)),TRIM('R.M Billets Reports'!F2473),IF(ISNUMBER(SEARCH("Party Name-",'R.M Billets Reports'!D2473)),TRIM(MID('R.M Billets Reports'!D2473,SEARCH("-",'R.M Billets Reports'!D2473)+1,200)),"")),IF(ISNUMBER(SEARCH("Party Name:-",'R.M Billets Reports'!D2474)),TRIM('R.M Billets Reports'!F2474),IF(ISNUMBER(SEARCH("Party Name-",'R.M Billets Reports'!D2474)),TRIM(MID('R.M Billets Reports'!D2474,SEARCH("-",'R.M Billets Reports'!D2474)+1,200)),"")))="VRKP ISPAT PVT LTD","VRKP",IF(IF(IF(ISNUMBER(SEARCH("Party Name:-",'R.M Billets Reports'!D2473)),TRIM('R.M Billets Reports'!F2473),IF(ISNUMBER(SEARCH("Party Name-",'R.M Billets Reports'!D2473)),TRIM(MID('R.M Billets Reports'!D2473,SEARCH("-",'R.M Billets Reports'!D2473)+1,200)),""))&lt;&gt;"",IF(ISNUMBER(SEARCH("Party Name:-",'R.M Billets Reports'!D2473)),TRIM('R.M Billets Reports'!F2473),IF(ISNUMBER(SEARCH("Party Name-",'R.M Billets Reports'!D2473)),TRIM(MID('R.M Billets Reports'!D2473,SEARCH("-",'R.M Billets Reports'!D2473)+1,200)),"")),IF(ISNUMBER(SEARCH("Party Name:-",'R.M Billets Reports'!D2474)),TRIM('R.M Billets Reports'!F2474),IF(ISNUMBER(SEARCH("Party Name-",'R.M Billets Reports'!D2474)),TRIM(MID('R.M Billets Reports'!D2474,SEARCH("-",'R.M Billets Reports'!D2474)+1,200)),"")))="SHRI RADHE","SHREE RADHE",IF(IF(IF(ISNUMBER(SEARCH("Party Name:-",'R.M Billets Reports'!D2473)),TRIM('R.M Billets Reports'!F2473),IF(ISNUMBER(SEARCH("Party Name-",'R.M Billets Reports'!D2473)),TRIM(MID('R.M Billets Reports'!D2473,SEARCH("-",'R.M Billets Reports'!D2473)+1,200)),""))&lt;&gt;"",IF(ISNUMBER(SEARCH("Party Name:-",'R.M Billets Reports'!D2473)),TRIM('R.M Billets Reports'!F2473),IF(ISNUMBER(SEARCH("Party Name-",'R.M Billets Reports'!D2473)),TRIM(MID('R.M Billets Reports'!D2473,SEARCH("-",'R.M Billets Reports'!D2473)+1,200)),"")),IF(ISNUMBER(SEARCH("Party Name:-",'R.M Billets Reports'!D2474)),TRIM('R.M Billets Reports'!F2474),IF(ISNUMBER(SEARCH("Party Name-",'R.M Billets Reports'!D2474)),TRIM(MID('R.M Billets Reports'!D2474,SEARCH("-",'R.M Billets Reports'!D2474)+1,200)),"")))="SHREE RADHE SHAKTI SPONGE AND POWER PVT. LTD.","SHREE RADHE",IF(IF(ISNUMBER(SEARCH("Party Name:-",'R.M Billets Reports'!D2473)),TRIM('R.M Billets Reports'!F2473),IF(ISNUMBER(SEARCH("Party Name-",'R.M Billets Reports'!D2473)),TRIM(MID('R.M Billets Reports'!D2473,SEARCH("-",'R.M Billets Reports'!D2473)+1,200)),""))&lt;&gt;"",IF(ISNUMBER(SEARCH("Party Name:-",'R.M Billets Reports'!D2473)),TRIM('R.M Billets Reports'!F2473),IF(ISNUMBER(SEARCH("Party Name-",'R.M Billets Reports'!D2473)),TRIM(MID('R.M Billets Reports'!D2473,SEARCH("-",'R.M Billets Reports'!D2473)+1,200)),"")),IF(ISNUMBER(SEARCH("Party Name:-",'R.M Billets Reports'!D2474)),TRIM('R.M Billets Reports'!F2474),IF(ISNUMBER(SEARCH("Party Name-",'R.M Billets Reports'!D2474)),TRIM(MID('R.M Billets Reports'!D2474,SEARCH("-",'R.M Billets Reports'!D2474)+1,200)),"")))))),IF(ROW()=2,"",A2473))</f>
      </c>
      <c r="B2474">
        <f>IF(OR('R.M Billets Reports'!A2473="Date-",'R.M Billets Reports'!A2473="Date:-"),'R.M Billets Reports'!B2473,IF(ROW()=2,"",B2473))</f>
      </c>
      <c r="C2474">
        <f>IF('R.M Billets Reports'!A2473="V.No.",'R.M Billets Reports'!B2473,IF(ROW()=2,"",C2473))</f>
      </c>
      <c r="D2474">
        <f>IF('R.M Billets Reports'!A2473&lt;&gt;"",'R.M Billets Reports'!A2473,IF(ROW()=2,"",D2473))</f>
      </c>
      <c r="E2474">
        <f>IF('R.M Billets Reports'!B2473="","",TRIM('R.M Billets Reports'!B2473))</f>
      </c>
      <c r="F2474">
        <f>'R.M Billets Reports'!C2473</f>
      </c>
      <c r="G2474">
        <f>'R.M Billets Reports'!D2473</f>
      </c>
      <c r="H2474">
        <f>'R.M Billets Reports'!E2473</f>
      </c>
      <c r="I2474">
        <f>'R.M Billets Reports'!F2473</f>
      </c>
      <c r="J2474">
        <f>'R.M Billets Reports'!G2473</f>
      </c>
      <c r="K2474">
        <f>'R.M Billets Reports'!H2473</f>
      </c>
      <c r="L2474">
        <f>IF('R.M Billets Reports'!I2473="","",'R.M Billets Reports'!I2473)</f>
      </c>
      <c r="M2474">
        <f t="shared" si="76"/>
      </c>
      <c r="N2474">
        <f>IF('R.M Billets Reports'!J2473="","",'R.M Billets Reports'!J2473)</f>
      </c>
      <c r="O2474">
        <f t="shared" si="77"/>
      </c>
      <c r="P2474">
        <f>IF('R.M Billets Reports'!A2473="SIZE",'R.M Billets Reports'!B2473,P2473)</f>
      </c>
    </row>
    <row r="2475" spans="1:16" x14ac:dyDescent="0.25">
      <c r="A2475">
        <f>IF(OR('R.M Billets Reports'!A2474="Date-",'R.M Billets Reports'!A2474="Date:-"),IF(IF(IF(ISNUMBER(SEARCH("Party Name:-",'R.M Billets Reports'!D2474)),TRIM('R.M Billets Reports'!F2474),IF(ISNUMBER(SEARCH("Party Name-",'R.M Billets Reports'!D2474)),TRIM(MID('R.M Billets Reports'!D2474,SEARCH("-",'R.M Billets Reports'!D2474)+1,200)),""))&lt;&gt;"",IF(ISNUMBER(SEARCH("Party Name:-",'R.M Billets Reports'!D2474)),TRIM('R.M Billets Reports'!F2474),IF(ISNUMBER(SEARCH("Party Name-",'R.M Billets Reports'!D2474)),TRIM(MID('R.M Billets Reports'!D2474,SEARCH("-",'R.M Billets Reports'!D2474)+1,200)),"")),IF(ISNUMBER(SEARCH("Party Name:-",'R.M Billets Reports'!D2475)),TRIM('R.M Billets Reports'!F2475),IF(ISNUMBER(SEARCH("Party Name-",'R.M Billets Reports'!D2475)),TRIM(MID('R.M Billets Reports'!D2475,SEARCH("-",'R.M Billets Reports'!D2475)+1,200)),"")))="VRKP ISPAT PVT LTD","VRKP",IF(IF(IF(ISNUMBER(SEARCH("Party Name:-",'R.M Billets Reports'!D2474)),TRIM('R.M Billets Reports'!F2474),IF(ISNUMBER(SEARCH("Party Name-",'R.M Billets Reports'!D2474)),TRIM(MID('R.M Billets Reports'!D2474,SEARCH("-",'R.M Billets Reports'!D2474)+1,200)),""))&lt;&gt;"",IF(ISNUMBER(SEARCH("Party Name:-",'R.M Billets Reports'!D2474)),TRIM('R.M Billets Reports'!F2474),IF(ISNUMBER(SEARCH("Party Name-",'R.M Billets Reports'!D2474)),TRIM(MID('R.M Billets Reports'!D2474,SEARCH("-",'R.M Billets Reports'!D2474)+1,200)),"")),IF(ISNUMBER(SEARCH("Party Name:-",'R.M Billets Reports'!D2475)),TRIM('R.M Billets Reports'!F2475),IF(ISNUMBER(SEARCH("Party Name-",'R.M Billets Reports'!D2475)),TRIM(MID('R.M Billets Reports'!D2475,SEARCH("-",'R.M Billets Reports'!D2475)+1,200)),"")))="SHRI RADHE","SHREE RADHE",IF(IF(IF(ISNUMBER(SEARCH("Party Name:-",'R.M Billets Reports'!D2474)),TRIM('R.M Billets Reports'!F2474),IF(ISNUMBER(SEARCH("Party Name-",'R.M Billets Reports'!D2474)),TRIM(MID('R.M Billets Reports'!D2474,SEARCH("-",'R.M Billets Reports'!D2474)+1,200)),""))&lt;&gt;"",IF(ISNUMBER(SEARCH("Party Name:-",'R.M Billets Reports'!D2474)),TRIM('R.M Billets Reports'!F2474),IF(ISNUMBER(SEARCH("Party Name-",'R.M Billets Reports'!D2474)),TRIM(MID('R.M Billets Reports'!D2474,SEARCH("-",'R.M Billets Reports'!D2474)+1,200)),"")),IF(ISNUMBER(SEARCH("Party Name:-",'R.M Billets Reports'!D2475)),TRIM('R.M Billets Reports'!F2475),IF(ISNUMBER(SEARCH("Party Name-",'R.M Billets Reports'!D2475)),TRIM(MID('R.M Billets Reports'!D2475,SEARCH("-",'R.M Billets Reports'!D2475)+1,200)),"")))="SHREE RADHE SHAKTI SPONGE AND POWER PVT. LTD.","SHREE RADHE",IF(IF(ISNUMBER(SEARCH("Party Name:-",'R.M Billets Reports'!D2474)),TRIM('R.M Billets Reports'!F2474),IF(ISNUMBER(SEARCH("Party Name-",'R.M Billets Reports'!D2474)),TRIM(MID('R.M Billets Reports'!D2474,SEARCH("-",'R.M Billets Reports'!D2474)+1,200)),""))&lt;&gt;"",IF(ISNUMBER(SEARCH("Party Name:-",'R.M Billets Reports'!D2474)),TRIM('R.M Billets Reports'!F2474),IF(ISNUMBER(SEARCH("Party Name-",'R.M Billets Reports'!D2474)),TRIM(MID('R.M Billets Reports'!D2474,SEARCH("-",'R.M Billets Reports'!D2474)+1,200)),"")),IF(ISNUMBER(SEARCH("Party Name:-",'R.M Billets Reports'!D2475)),TRIM('R.M Billets Reports'!F2475),IF(ISNUMBER(SEARCH("Party Name-",'R.M Billets Reports'!D2475)),TRIM(MID('R.M Billets Reports'!D2475,SEARCH("-",'R.M Billets Reports'!D2475)+1,200)),"")))))),IF(ROW()=2,"",A2474))</f>
      </c>
      <c r="B2475">
        <f>IF(OR('R.M Billets Reports'!A2474="Date-",'R.M Billets Reports'!A2474="Date:-"),'R.M Billets Reports'!B2474,IF(ROW()=2,"",B2474))</f>
      </c>
      <c r="C2475">
        <f>IF('R.M Billets Reports'!A2474="V.No.",'R.M Billets Reports'!B2474,IF(ROW()=2,"",C2474))</f>
      </c>
      <c r="D2475">
        <f>IF('R.M Billets Reports'!A2474&lt;&gt;"",'R.M Billets Reports'!A2474,IF(ROW()=2,"",D2474))</f>
      </c>
      <c r="E2475">
        <f>IF('R.M Billets Reports'!B2474="","",TRIM('R.M Billets Reports'!B2474))</f>
      </c>
      <c r="F2475">
        <f>'R.M Billets Reports'!C2474</f>
      </c>
      <c r="G2475">
        <f>'R.M Billets Reports'!D2474</f>
      </c>
      <c r="H2475">
        <f>'R.M Billets Reports'!E2474</f>
      </c>
      <c r="I2475">
        <f>'R.M Billets Reports'!F2474</f>
      </c>
      <c r="J2475">
        <f>'R.M Billets Reports'!G2474</f>
      </c>
      <c r="K2475">
        <f>'R.M Billets Reports'!H2474</f>
      </c>
      <c r="L2475">
        <f>IF('R.M Billets Reports'!I2474="","",'R.M Billets Reports'!I2474)</f>
      </c>
      <c r="M2475">
        <f t="shared" si="76"/>
      </c>
      <c r="N2475">
        <f>IF('R.M Billets Reports'!J2474="","",'R.M Billets Reports'!J2474)</f>
      </c>
      <c r="O2475">
        <f t="shared" si="77"/>
      </c>
      <c r="P2475">
        <f>IF('R.M Billets Reports'!A2474="SIZE",'R.M Billets Reports'!B2474,P2474)</f>
      </c>
    </row>
    <row r="2476" spans="1:16" x14ac:dyDescent="0.25">
      <c r="A2476">
        <f>IF(OR('R.M Billets Reports'!A2475="Date-",'R.M Billets Reports'!A2475="Date:-"),IF(IF(IF(ISNUMBER(SEARCH("Party Name:-",'R.M Billets Reports'!D2475)),TRIM('R.M Billets Reports'!F2475),IF(ISNUMBER(SEARCH("Party Name-",'R.M Billets Reports'!D2475)),TRIM(MID('R.M Billets Reports'!D2475,SEARCH("-",'R.M Billets Reports'!D2475)+1,200)),""))&lt;&gt;"",IF(ISNUMBER(SEARCH("Party Name:-",'R.M Billets Reports'!D2475)),TRIM('R.M Billets Reports'!F2475),IF(ISNUMBER(SEARCH("Party Name-",'R.M Billets Reports'!D2475)),TRIM(MID('R.M Billets Reports'!D2475,SEARCH("-",'R.M Billets Reports'!D2475)+1,200)),"")),IF(ISNUMBER(SEARCH("Party Name:-",'R.M Billets Reports'!D2476)),TRIM('R.M Billets Reports'!F2476),IF(ISNUMBER(SEARCH("Party Name-",'R.M Billets Reports'!D2476)),TRIM(MID('R.M Billets Reports'!D2476,SEARCH("-",'R.M Billets Reports'!D2476)+1,200)),"")))="VRKP ISPAT PVT LTD","VRKP",IF(IF(IF(ISNUMBER(SEARCH("Party Name:-",'R.M Billets Reports'!D2475)),TRIM('R.M Billets Reports'!F2475),IF(ISNUMBER(SEARCH("Party Name-",'R.M Billets Reports'!D2475)),TRIM(MID('R.M Billets Reports'!D2475,SEARCH("-",'R.M Billets Reports'!D2475)+1,200)),""))&lt;&gt;"",IF(ISNUMBER(SEARCH("Party Name:-",'R.M Billets Reports'!D2475)),TRIM('R.M Billets Reports'!F2475),IF(ISNUMBER(SEARCH("Party Name-",'R.M Billets Reports'!D2475)),TRIM(MID('R.M Billets Reports'!D2475,SEARCH("-",'R.M Billets Reports'!D2475)+1,200)),"")),IF(ISNUMBER(SEARCH("Party Name:-",'R.M Billets Reports'!D2476)),TRIM('R.M Billets Reports'!F2476),IF(ISNUMBER(SEARCH("Party Name-",'R.M Billets Reports'!D2476)),TRIM(MID('R.M Billets Reports'!D2476,SEARCH("-",'R.M Billets Reports'!D2476)+1,200)),"")))="SHRI RADHE","SHREE RADHE",IF(IF(IF(ISNUMBER(SEARCH("Party Name:-",'R.M Billets Reports'!D2475)),TRIM('R.M Billets Reports'!F2475),IF(ISNUMBER(SEARCH("Party Name-",'R.M Billets Reports'!D2475)),TRIM(MID('R.M Billets Reports'!D2475,SEARCH("-",'R.M Billets Reports'!D2475)+1,200)),""))&lt;&gt;"",IF(ISNUMBER(SEARCH("Party Name:-",'R.M Billets Reports'!D2475)),TRIM('R.M Billets Reports'!F2475),IF(ISNUMBER(SEARCH("Party Name-",'R.M Billets Reports'!D2475)),TRIM(MID('R.M Billets Reports'!D2475,SEARCH("-",'R.M Billets Reports'!D2475)+1,200)),"")),IF(ISNUMBER(SEARCH("Party Name:-",'R.M Billets Reports'!D2476)),TRIM('R.M Billets Reports'!F2476),IF(ISNUMBER(SEARCH("Party Name-",'R.M Billets Reports'!D2476)),TRIM(MID('R.M Billets Reports'!D2476,SEARCH("-",'R.M Billets Reports'!D2476)+1,200)),"")))="SHREE RADHE SHAKTI SPONGE AND POWER PVT. LTD.","SHREE RADHE",IF(IF(ISNUMBER(SEARCH("Party Name:-",'R.M Billets Reports'!D2475)),TRIM('R.M Billets Reports'!F2475),IF(ISNUMBER(SEARCH("Party Name-",'R.M Billets Reports'!D2475)),TRIM(MID('R.M Billets Reports'!D2475,SEARCH("-",'R.M Billets Reports'!D2475)+1,200)),""))&lt;&gt;"",IF(ISNUMBER(SEARCH("Party Name:-",'R.M Billets Reports'!D2475)),TRIM('R.M Billets Reports'!F2475),IF(ISNUMBER(SEARCH("Party Name-",'R.M Billets Reports'!D2475)),TRIM(MID('R.M Billets Reports'!D2475,SEARCH("-",'R.M Billets Reports'!D2475)+1,200)),"")),IF(ISNUMBER(SEARCH("Party Name:-",'R.M Billets Reports'!D2476)),TRIM('R.M Billets Reports'!F2476),IF(ISNUMBER(SEARCH("Party Name-",'R.M Billets Reports'!D2476)),TRIM(MID('R.M Billets Reports'!D2476,SEARCH("-",'R.M Billets Reports'!D2476)+1,200)),"")))))),IF(ROW()=2,"",A2475))</f>
      </c>
      <c r="B2476">
        <f>IF(OR('R.M Billets Reports'!A2475="Date-",'R.M Billets Reports'!A2475="Date:-"),'R.M Billets Reports'!B2475,IF(ROW()=2,"",B2475))</f>
      </c>
      <c r="C2476">
        <f>IF('R.M Billets Reports'!A2475="V.No.",'R.M Billets Reports'!B2475,IF(ROW()=2,"",C2475))</f>
      </c>
      <c r="D2476">
        <f>IF('R.M Billets Reports'!A2475&lt;&gt;"",'R.M Billets Reports'!A2475,IF(ROW()=2,"",D2475))</f>
      </c>
      <c r="E2476">
        <f>IF('R.M Billets Reports'!B2475="","",TRIM('R.M Billets Reports'!B2475))</f>
      </c>
      <c r="F2476">
        <f>'R.M Billets Reports'!C2475</f>
      </c>
      <c r="G2476">
        <f>'R.M Billets Reports'!D2475</f>
      </c>
      <c r="H2476">
        <f>'R.M Billets Reports'!E2475</f>
      </c>
      <c r="I2476">
        <f>'R.M Billets Reports'!F2475</f>
      </c>
      <c r="J2476">
        <f>'R.M Billets Reports'!G2475</f>
      </c>
      <c r="K2476">
        <f>'R.M Billets Reports'!H2475</f>
      </c>
      <c r="L2476">
        <f>IF('R.M Billets Reports'!I2475="","",'R.M Billets Reports'!I2475)</f>
      </c>
      <c r="M2476">
        <f t="shared" si="76"/>
      </c>
      <c r="N2476">
        <f>IF('R.M Billets Reports'!J2475="","",'R.M Billets Reports'!J2475)</f>
      </c>
      <c r="O2476">
        <f t="shared" si="77"/>
      </c>
      <c r="P2476">
        <f>IF('R.M Billets Reports'!A2475="SIZE",'R.M Billets Reports'!B2475,P2475)</f>
      </c>
    </row>
    <row r="2477" spans="1:16" x14ac:dyDescent="0.25">
      <c r="A2477">
        <f>IF(OR('R.M Billets Reports'!A2476="Date-",'R.M Billets Reports'!A2476="Date:-"),IF(IF(IF(ISNUMBER(SEARCH("Party Name:-",'R.M Billets Reports'!D2476)),TRIM('R.M Billets Reports'!F2476),IF(ISNUMBER(SEARCH("Party Name-",'R.M Billets Reports'!D2476)),TRIM(MID('R.M Billets Reports'!D2476,SEARCH("-",'R.M Billets Reports'!D2476)+1,200)),""))&lt;&gt;"",IF(ISNUMBER(SEARCH("Party Name:-",'R.M Billets Reports'!D2476)),TRIM('R.M Billets Reports'!F2476),IF(ISNUMBER(SEARCH("Party Name-",'R.M Billets Reports'!D2476)),TRIM(MID('R.M Billets Reports'!D2476,SEARCH("-",'R.M Billets Reports'!D2476)+1,200)),"")),IF(ISNUMBER(SEARCH("Party Name:-",'R.M Billets Reports'!D2477)),TRIM('R.M Billets Reports'!F2477),IF(ISNUMBER(SEARCH("Party Name-",'R.M Billets Reports'!D2477)),TRIM(MID('R.M Billets Reports'!D2477,SEARCH("-",'R.M Billets Reports'!D2477)+1,200)),"")))="VRKP ISPAT PVT LTD","VRKP",IF(IF(IF(ISNUMBER(SEARCH("Party Name:-",'R.M Billets Reports'!D2476)),TRIM('R.M Billets Reports'!F2476),IF(ISNUMBER(SEARCH("Party Name-",'R.M Billets Reports'!D2476)),TRIM(MID('R.M Billets Reports'!D2476,SEARCH("-",'R.M Billets Reports'!D2476)+1,200)),""))&lt;&gt;"",IF(ISNUMBER(SEARCH("Party Name:-",'R.M Billets Reports'!D2476)),TRIM('R.M Billets Reports'!F2476),IF(ISNUMBER(SEARCH("Party Name-",'R.M Billets Reports'!D2476)),TRIM(MID('R.M Billets Reports'!D2476,SEARCH("-",'R.M Billets Reports'!D2476)+1,200)),"")),IF(ISNUMBER(SEARCH("Party Name:-",'R.M Billets Reports'!D2477)),TRIM('R.M Billets Reports'!F2477),IF(ISNUMBER(SEARCH("Party Name-",'R.M Billets Reports'!D2477)),TRIM(MID('R.M Billets Reports'!D2477,SEARCH("-",'R.M Billets Reports'!D2477)+1,200)),"")))="SHRI RADHE","SHREE RADHE",IF(IF(IF(ISNUMBER(SEARCH("Party Name:-",'R.M Billets Reports'!D2476)),TRIM('R.M Billets Reports'!F2476),IF(ISNUMBER(SEARCH("Party Name-",'R.M Billets Reports'!D2476)),TRIM(MID('R.M Billets Reports'!D2476,SEARCH("-",'R.M Billets Reports'!D2476)+1,200)),""))&lt;&gt;"",IF(ISNUMBER(SEARCH("Party Name:-",'R.M Billets Reports'!D2476)),TRIM('R.M Billets Reports'!F2476),IF(ISNUMBER(SEARCH("Party Name-",'R.M Billets Reports'!D2476)),TRIM(MID('R.M Billets Reports'!D2476,SEARCH("-",'R.M Billets Reports'!D2476)+1,200)),"")),IF(ISNUMBER(SEARCH("Party Name:-",'R.M Billets Reports'!D2477)),TRIM('R.M Billets Reports'!F2477),IF(ISNUMBER(SEARCH("Party Name-",'R.M Billets Reports'!D2477)),TRIM(MID('R.M Billets Reports'!D2477,SEARCH("-",'R.M Billets Reports'!D2477)+1,200)),"")))="SHREE RADHE SHAKTI SPONGE AND POWER PVT. LTD.","SHREE RADHE",IF(IF(ISNUMBER(SEARCH("Party Name:-",'R.M Billets Reports'!D2476)),TRIM('R.M Billets Reports'!F2476),IF(ISNUMBER(SEARCH("Party Name-",'R.M Billets Reports'!D2476)),TRIM(MID('R.M Billets Reports'!D2476,SEARCH("-",'R.M Billets Reports'!D2476)+1,200)),""))&lt;&gt;"",IF(ISNUMBER(SEARCH("Party Name:-",'R.M Billets Reports'!D2476)),TRIM('R.M Billets Reports'!F2476),IF(ISNUMBER(SEARCH("Party Name-",'R.M Billets Reports'!D2476)),TRIM(MID('R.M Billets Reports'!D2476,SEARCH("-",'R.M Billets Reports'!D2476)+1,200)),"")),IF(ISNUMBER(SEARCH("Party Name:-",'R.M Billets Reports'!D2477)),TRIM('R.M Billets Reports'!F2477),IF(ISNUMBER(SEARCH("Party Name-",'R.M Billets Reports'!D2477)),TRIM(MID('R.M Billets Reports'!D2477,SEARCH("-",'R.M Billets Reports'!D2477)+1,200)),"")))))),IF(ROW()=2,"",A2476))</f>
      </c>
      <c r="B2477">
        <f>IF(OR('R.M Billets Reports'!A2476="Date-",'R.M Billets Reports'!A2476="Date:-"),'R.M Billets Reports'!B2476,IF(ROW()=2,"",B2476))</f>
      </c>
      <c r="C2477">
        <f>IF('R.M Billets Reports'!A2476="V.No.",'R.M Billets Reports'!B2476,IF(ROW()=2,"",C2476))</f>
      </c>
      <c r="D2477">
        <f>IF('R.M Billets Reports'!A2476&lt;&gt;"",'R.M Billets Reports'!A2476,IF(ROW()=2,"",D2476))</f>
      </c>
      <c r="E2477">
        <f>IF('R.M Billets Reports'!B2476="","",TRIM('R.M Billets Reports'!B2476))</f>
      </c>
      <c r="F2477">
        <f>'R.M Billets Reports'!C2476</f>
      </c>
      <c r="G2477">
        <f>'R.M Billets Reports'!D2476</f>
      </c>
      <c r="H2477">
        <f>'R.M Billets Reports'!E2476</f>
      </c>
      <c r="I2477">
        <f>'R.M Billets Reports'!F2476</f>
      </c>
      <c r="J2477">
        <f>'R.M Billets Reports'!G2476</f>
      </c>
      <c r="K2477">
        <f>'R.M Billets Reports'!H2476</f>
      </c>
      <c r="L2477">
        <f>IF('R.M Billets Reports'!I2476="","",'R.M Billets Reports'!I2476)</f>
      </c>
      <c r="M2477">
        <f t="shared" si="76"/>
      </c>
      <c r="N2477">
        <f>IF('R.M Billets Reports'!J2476="","",'R.M Billets Reports'!J2476)</f>
      </c>
      <c r="O2477">
        <f t="shared" si="77"/>
      </c>
      <c r="P2477">
        <f>IF('R.M Billets Reports'!A2476="SIZE",'R.M Billets Reports'!B2476,P2476)</f>
      </c>
    </row>
    <row r="2478" spans="1:16" x14ac:dyDescent="0.25">
      <c r="A2478">
        <f>IF(OR('R.M Billets Reports'!A2477="Date-",'R.M Billets Reports'!A2477="Date:-"),IF(IF(IF(ISNUMBER(SEARCH("Party Name:-",'R.M Billets Reports'!D2477)),TRIM('R.M Billets Reports'!F2477),IF(ISNUMBER(SEARCH("Party Name-",'R.M Billets Reports'!D2477)),TRIM(MID('R.M Billets Reports'!D2477,SEARCH("-",'R.M Billets Reports'!D2477)+1,200)),""))&lt;&gt;"",IF(ISNUMBER(SEARCH("Party Name:-",'R.M Billets Reports'!D2477)),TRIM('R.M Billets Reports'!F2477),IF(ISNUMBER(SEARCH("Party Name-",'R.M Billets Reports'!D2477)),TRIM(MID('R.M Billets Reports'!D2477,SEARCH("-",'R.M Billets Reports'!D2477)+1,200)),"")),IF(ISNUMBER(SEARCH("Party Name:-",'R.M Billets Reports'!D2478)),TRIM('R.M Billets Reports'!F2478),IF(ISNUMBER(SEARCH("Party Name-",'R.M Billets Reports'!D2478)),TRIM(MID('R.M Billets Reports'!D2478,SEARCH("-",'R.M Billets Reports'!D2478)+1,200)),"")))="VRKP ISPAT PVT LTD","VRKP",IF(IF(IF(ISNUMBER(SEARCH("Party Name:-",'R.M Billets Reports'!D2477)),TRIM('R.M Billets Reports'!F2477),IF(ISNUMBER(SEARCH("Party Name-",'R.M Billets Reports'!D2477)),TRIM(MID('R.M Billets Reports'!D2477,SEARCH("-",'R.M Billets Reports'!D2477)+1,200)),""))&lt;&gt;"",IF(ISNUMBER(SEARCH("Party Name:-",'R.M Billets Reports'!D2477)),TRIM('R.M Billets Reports'!F2477),IF(ISNUMBER(SEARCH("Party Name-",'R.M Billets Reports'!D2477)),TRIM(MID('R.M Billets Reports'!D2477,SEARCH("-",'R.M Billets Reports'!D2477)+1,200)),"")),IF(ISNUMBER(SEARCH("Party Name:-",'R.M Billets Reports'!D2478)),TRIM('R.M Billets Reports'!F2478),IF(ISNUMBER(SEARCH("Party Name-",'R.M Billets Reports'!D2478)),TRIM(MID('R.M Billets Reports'!D2478,SEARCH("-",'R.M Billets Reports'!D2478)+1,200)),"")))="SHRI RADHE","SHREE RADHE",IF(IF(IF(ISNUMBER(SEARCH("Party Name:-",'R.M Billets Reports'!D2477)),TRIM('R.M Billets Reports'!F2477),IF(ISNUMBER(SEARCH("Party Name-",'R.M Billets Reports'!D2477)),TRIM(MID('R.M Billets Reports'!D2477,SEARCH("-",'R.M Billets Reports'!D2477)+1,200)),""))&lt;&gt;"",IF(ISNUMBER(SEARCH("Party Name:-",'R.M Billets Reports'!D2477)),TRIM('R.M Billets Reports'!F2477),IF(ISNUMBER(SEARCH("Party Name-",'R.M Billets Reports'!D2477)),TRIM(MID('R.M Billets Reports'!D2477,SEARCH("-",'R.M Billets Reports'!D2477)+1,200)),"")),IF(ISNUMBER(SEARCH("Party Name:-",'R.M Billets Reports'!D2478)),TRIM('R.M Billets Reports'!F2478),IF(ISNUMBER(SEARCH("Party Name-",'R.M Billets Reports'!D2478)),TRIM(MID('R.M Billets Reports'!D2478,SEARCH("-",'R.M Billets Reports'!D2478)+1,200)),"")))="SHREE RADHE SHAKTI SPONGE AND POWER PVT. LTD.","SHREE RADHE",IF(IF(ISNUMBER(SEARCH("Party Name:-",'R.M Billets Reports'!D2477)),TRIM('R.M Billets Reports'!F2477),IF(ISNUMBER(SEARCH("Party Name-",'R.M Billets Reports'!D2477)),TRIM(MID('R.M Billets Reports'!D2477,SEARCH("-",'R.M Billets Reports'!D2477)+1,200)),""))&lt;&gt;"",IF(ISNUMBER(SEARCH("Party Name:-",'R.M Billets Reports'!D2477)),TRIM('R.M Billets Reports'!F2477),IF(ISNUMBER(SEARCH("Party Name-",'R.M Billets Reports'!D2477)),TRIM(MID('R.M Billets Reports'!D2477,SEARCH("-",'R.M Billets Reports'!D2477)+1,200)),"")),IF(ISNUMBER(SEARCH("Party Name:-",'R.M Billets Reports'!D2478)),TRIM('R.M Billets Reports'!F2478),IF(ISNUMBER(SEARCH("Party Name-",'R.M Billets Reports'!D2478)),TRIM(MID('R.M Billets Reports'!D2478,SEARCH("-",'R.M Billets Reports'!D2478)+1,200)),"")))))),IF(ROW()=2,"",A2477))</f>
      </c>
      <c r="B2478">
        <f>IF(OR('R.M Billets Reports'!A2477="Date-",'R.M Billets Reports'!A2477="Date:-"),'R.M Billets Reports'!B2477,IF(ROW()=2,"",B2477))</f>
      </c>
      <c r="C2478">
        <f>IF('R.M Billets Reports'!A2477="V.No.",'R.M Billets Reports'!B2477,IF(ROW()=2,"",C2477))</f>
      </c>
      <c r="D2478">
        <f>IF('R.M Billets Reports'!A2477&lt;&gt;"",'R.M Billets Reports'!A2477,IF(ROW()=2,"",D2477))</f>
      </c>
      <c r="E2478">
        <f>IF('R.M Billets Reports'!B2477="","",TRIM('R.M Billets Reports'!B2477))</f>
      </c>
      <c r="F2478">
        <f>'R.M Billets Reports'!C2477</f>
      </c>
      <c r="G2478">
        <f>'R.M Billets Reports'!D2477</f>
      </c>
      <c r="H2478">
        <f>'R.M Billets Reports'!E2477</f>
      </c>
      <c r="I2478">
        <f>'R.M Billets Reports'!F2477</f>
      </c>
      <c r="J2478">
        <f>'R.M Billets Reports'!G2477</f>
      </c>
      <c r="K2478">
        <f>'R.M Billets Reports'!H2477</f>
      </c>
      <c r="L2478">
        <f>IF('R.M Billets Reports'!I2477="","",'R.M Billets Reports'!I2477)</f>
      </c>
      <c r="M2478">
        <f t="shared" si="76"/>
      </c>
      <c r="N2478">
        <f>IF('R.M Billets Reports'!J2477="","",'R.M Billets Reports'!J2477)</f>
      </c>
      <c r="O2478">
        <f t="shared" si="77"/>
      </c>
      <c r="P2478">
        <f>IF('R.M Billets Reports'!A2477="SIZE",'R.M Billets Reports'!B2477,P2477)</f>
      </c>
    </row>
    <row r="2479" spans="1:16" x14ac:dyDescent="0.25">
      <c r="A2479">
        <f>IF(OR('R.M Billets Reports'!A2478="Date-",'R.M Billets Reports'!A2478="Date:-"),IF(IF(IF(ISNUMBER(SEARCH("Party Name:-",'R.M Billets Reports'!D2478)),TRIM('R.M Billets Reports'!F2478),IF(ISNUMBER(SEARCH("Party Name-",'R.M Billets Reports'!D2478)),TRIM(MID('R.M Billets Reports'!D2478,SEARCH("-",'R.M Billets Reports'!D2478)+1,200)),""))&lt;&gt;"",IF(ISNUMBER(SEARCH("Party Name:-",'R.M Billets Reports'!D2478)),TRIM('R.M Billets Reports'!F2478),IF(ISNUMBER(SEARCH("Party Name-",'R.M Billets Reports'!D2478)),TRIM(MID('R.M Billets Reports'!D2478,SEARCH("-",'R.M Billets Reports'!D2478)+1,200)),"")),IF(ISNUMBER(SEARCH("Party Name:-",'R.M Billets Reports'!D2479)),TRIM('R.M Billets Reports'!F2479),IF(ISNUMBER(SEARCH("Party Name-",'R.M Billets Reports'!D2479)),TRIM(MID('R.M Billets Reports'!D2479,SEARCH("-",'R.M Billets Reports'!D2479)+1,200)),"")))="VRKP ISPAT PVT LTD","VRKP",IF(IF(IF(ISNUMBER(SEARCH("Party Name:-",'R.M Billets Reports'!D2478)),TRIM('R.M Billets Reports'!F2478),IF(ISNUMBER(SEARCH("Party Name-",'R.M Billets Reports'!D2478)),TRIM(MID('R.M Billets Reports'!D2478,SEARCH("-",'R.M Billets Reports'!D2478)+1,200)),""))&lt;&gt;"",IF(ISNUMBER(SEARCH("Party Name:-",'R.M Billets Reports'!D2478)),TRIM('R.M Billets Reports'!F2478),IF(ISNUMBER(SEARCH("Party Name-",'R.M Billets Reports'!D2478)),TRIM(MID('R.M Billets Reports'!D2478,SEARCH("-",'R.M Billets Reports'!D2478)+1,200)),"")),IF(ISNUMBER(SEARCH("Party Name:-",'R.M Billets Reports'!D2479)),TRIM('R.M Billets Reports'!F2479),IF(ISNUMBER(SEARCH("Party Name-",'R.M Billets Reports'!D2479)),TRIM(MID('R.M Billets Reports'!D2479,SEARCH("-",'R.M Billets Reports'!D2479)+1,200)),"")))="SHRI RADHE","SHREE RADHE",IF(IF(IF(ISNUMBER(SEARCH("Party Name:-",'R.M Billets Reports'!D2478)),TRIM('R.M Billets Reports'!F2478),IF(ISNUMBER(SEARCH("Party Name-",'R.M Billets Reports'!D2478)),TRIM(MID('R.M Billets Reports'!D2478,SEARCH("-",'R.M Billets Reports'!D2478)+1,200)),""))&lt;&gt;"",IF(ISNUMBER(SEARCH("Party Name:-",'R.M Billets Reports'!D2478)),TRIM('R.M Billets Reports'!F2478),IF(ISNUMBER(SEARCH("Party Name-",'R.M Billets Reports'!D2478)),TRIM(MID('R.M Billets Reports'!D2478,SEARCH("-",'R.M Billets Reports'!D2478)+1,200)),"")),IF(ISNUMBER(SEARCH("Party Name:-",'R.M Billets Reports'!D2479)),TRIM('R.M Billets Reports'!F2479),IF(ISNUMBER(SEARCH("Party Name-",'R.M Billets Reports'!D2479)),TRIM(MID('R.M Billets Reports'!D2479,SEARCH("-",'R.M Billets Reports'!D2479)+1,200)),"")))="SHREE RADHE SHAKTI SPONGE AND POWER PVT. LTD.","SHREE RADHE",IF(IF(ISNUMBER(SEARCH("Party Name:-",'R.M Billets Reports'!D2478)),TRIM('R.M Billets Reports'!F2478),IF(ISNUMBER(SEARCH("Party Name-",'R.M Billets Reports'!D2478)),TRIM(MID('R.M Billets Reports'!D2478,SEARCH("-",'R.M Billets Reports'!D2478)+1,200)),""))&lt;&gt;"",IF(ISNUMBER(SEARCH("Party Name:-",'R.M Billets Reports'!D2478)),TRIM('R.M Billets Reports'!F2478),IF(ISNUMBER(SEARCH("Party Name-",'R.M Billets Reports'!D2478)),TRIM(MID('R.M Billets Reports'!D2478,SEARCH("-",'R.M Billets Reports'!D2478)+1,200)),"")),IF(ISNUMBER(SEARCH("Party Name:-",'R.M Billets Reports'!D2479)),TRIM('R.M Billets Reports'!F2479),IF(ISNUMBER(SEARCH("Party Name-",'R.M Billets Reports'!D2479)),TRIM(MID('R.M Billets Reports'!D2479,SEARCH("-",'R.M Billets Reports'!D2479)+1,200)),"")))))),IF(ROW()=2,"",A2478))</f>
      </c>
      <c r="B2479">
        <f>IF(OR('R.M Billets Reports'!A2478="Date-",'R.M Billets Reports'!A2478="Date:-"),'R.M Billets Reports'!B2478,IF(ROW()=2,"",B2478))</f>
      </c>
      <c r="C2479">
        <f>IF('R.M Billets Reports'!A2478="V.No.",'R.M Billets Reports'!B2478,IF(ROW()=2,"",C2478))</f>
      </c>
      <c r="D2479">
        <f>IF('R.M Billets Reports'!A2478&lt;&gt;"",'R.M Billets Reports'!A2478,IF(ROW()=2,"",D2478))</f>
      </c>
      <c r="E2479">
        <f>IF('R.M Billets Reports'!B2478="","",TRIM('R.M Billets Reports'!B2478))</f>
      </c>
      <c r="F2479">
        <f>'R.M Billets Reports'!C2478</f>
      </c>
      <c r="G2479">
        <f>'R.M Billets Reports'!D2478</f>
      </c>
      <c r="H2479">
        <f>'R.M Billets Reports'!E2478</f>
      </c>
      <c r="I2479">
        <f>'R.M Billets Reports'!F2478</f>
      </c>
      <c r="J2479">
        <f>'R.M Billets Reports'!G2478</f>
      </c>
      <c r="K2479">
        <f>'R.M Billets Reports'!H2478</f>
      </c>
      <c r="L2479">
        <f>IF('R.M Billets Reports'!I2478="","",'R.M Billets Reports'!I2478)</f>
      </c>
      <c r="M2479">
        <f t="shared" si="76"/>
      </c>
      <c r="N2479">
        <f>IF('R.M Billets Reports'!J2478="","",'R.M Billets Reports'!J2478)</f>
      </c>
      <c r="O2479">
        <f t="shared" si="77"/>
      </c>
      <c r="P2479">
        <f>IF('R.M Billets Reports'!A2478="SIZE",'R.M Billets Reports'!B2478,P2478)</f>
      </c>
    </row>
    <row r="2480" spans="1:16" x14ac:dyDescent="0.25">
      <c r="A2480">
        <f>IF(OR('R.M Billets Reports'!A2479="Date-",'R.M Billets Reports'!A2479="Date:-"),IF(IF(IF(ISNUMBER(SEARCH("Party Name:-",'R.M Billets Reports'!D2479)),TRIM('R.M Billets Reports'!F2479),IF(ISNUMBER(SEARCH("Party Name-",'R.M Billets Reports'!D2479)),TRIM(MID('R.M Billets Reports'!D2479,SEARCH("-",'R.M Billets Reports'!D2479)+1,200)),""))&lt;&gt;"",IF(ISNUMBER(SEARCH("Party Name:-",'R.M Billets Reports'!D2479)),TRIM('R.M Billets Reports'!F2479),IF(ISNUMBER(SEARCH("Party Name-",'R.M Billets Reports'!D2479)),TRIM(MID('R.M Billets Reports'!D2479,SEARCH("-",'R.M Billets Reports'!D2479)+1,200)),"")),IF(ISNUMBER(SEARCH("Party Name:-",'R.M Billets Reports'!D2480)),TRIM('R.M Billets Reports'!F2480),IF(ISNUMBER(SEARCH("Party Name-",'R.M Billets Reports'!D2480)),TRIM(MID('R.M Billets Reports'!D2480,SEARCH("-",'R.M Billets Reports'!D2480)+1,200)),"")))="VRKP ISPAT PVT LTD","VRKP",IF(IF(IF(ISNUMBER(SEARCH("Party Name:-",'R.M Billets Reports'!D2479)),TRIM('R.M Billets Reports'!F2479),IF(ISNUMBER(SEARCH("Party Name-",'R.M Billets Reports'!D2479)),TRIM(MID('R.M Billets Reports'!D2479,SEARCH("-",'R.M Billets Reports'!D2479)+1,200)),""))&lt;&gt;"",IF(ISNUMBER(SEARCH("Party Name:-",'R.M Billets Reports'!D2479)),TRIM('R.M Billets Reports'!F2479),IF(ISNUMBER(SEARCH("Party Name-",'R.M Billets Reports'!D2479)),TRIM(MID('R.M Billets Reports'!D2479,SEARCH("-",'R.M Billets Reports'!D2479)+1,200)),"")),IF(ISNUMBER(SEARCH("Party Name:-",'R.M Billets Reports'!D2480)),TRIM('R.M Billets Reports'!F2480),IF(ISNUMBER(SEARCH("Party Name-",'R.M Billets Reports'!D2480)),TRIM(MID('R.M Billets Reports'!D2480,SEARCH("-",'R.M Billets Reports'!D2480)+1,200)),"")))="SHRI RADHE","SHREE RADHE",IF(IF(IF(ISNUMBER(SEARCH("Party Name:-",'R.M Billets Reports'!D2479)),TRIM('R.M Billets Reports'!F2479),IF(ISNUMBER(SEARCH("Party Name-",'R.M Billets Reports'!D2479)),TRIM(MID('R.M Billets Reports'!D2479,SEARCH("-",'R.M Billets Reports'!D2479)+1,200)),""))&lt;&gt;"",IF(ISNUMBER(SEARCH("Party Name:-",'R.M Billets Reports'!D2479)),TRIM('R.M Billets Reports'!F2479),IF(ISNUMBER(SEARCH("Party Name-",'R.M Billets Reports'!D2479)),TRIM(MID('R.M Billets Reports'!D2479,SEARCH("-",'R.M Billets Reports'!D2479)+1,200)),"")),IF(ISNUMBER(SEARCH("Party Name:-",'R.M Billets Reports'!D2480)),TRIM('R.M Billets Reports'!F2480),IF(ISNUMBER(SEARCH("Party Name-",'R.M Billets Reports'!D2480)),TRIM(MID('R.M Billets Reports'!D2480,SEARCH("-",'R.M Billets Reports'!D2480)+1,200)),"")))="SHREE RADHE SHAKTI SPONGE AND POWER PVT. LTD.","SHREE RADHE",IF(IF(ISNUMBER(SEARCH("Party Name:-",'R.M Billets Reports'!D2479)),TRIM('R.M Billets Reports'!F2479),IF(ISNUMBER(SEARCH("Party Name-",'R.M Billets Reports'!D2479)),TRIM(MID('R.M Billets Reports'!D2479,SEARCH("-",'R.M Billets Reports'!D2479)+1,200)),""))&lt;&gt;"",IF(ISNUMBER(SEARCH("Party Name:-",'R.M Billets Reports'!D2479)),TRIM('R.M Billets Reports'!F2479),IF(ISNUMBER(SEARCH("Party Name-",'R.M Billets Reports'!D2479)),TRIM(MID('R.M Billets Reports'!D2479,SEARCH("-",'R.M Billets Reports'!D2479)+1,200)),"")),IF(ISNUMBER(SEARCH("Party Name:-",'R.M Billets Reports'!D2480)),TRIM('R.M Billets Reports'!F2480),IF(ISNUMBER(SEARCH("Party Name-",'R.M Billets Reports'!D2480)),TRIM(MID('R.M Billets Reports'!D2480,SEARCH("-",'R.M Billets Reports'!D2480)+1,200)),"")))))),IF(ROW()=2,"",A2479))</f>
      </c>
      <c r="B2480">
        <f>IF(OR('R.M Billets Reports'!A2479="Date-",'R.M Billets Reports'!A2479="Date:-"),'R.M Billets Reports'!B2479,IF(ROW()=2,"",B2479))</f>
      </c>
      <c r="C2480">
        <f>IF('R.M Billets Reports'!A2479="V.No.",'R.M Billets Reports'!B2479,IF(ROW()=2,"",C2479))</f>
      </c>
      <c r="D2480">
        <f>IF('R.M Billets Reports'!A2479&lt;&gt;"",'R.M Billets Reports'!A2479,IF(ROW()=2,"",D2479))</f>
      </c>
      <c r="E2480">
        <f>IF('R.M Billets Reports'!B2479="","",TRIM('R.M Billets Reports'!B2479))</f>
      </c>
      <c r="F2480">
        <f>'R.M Billets Reports'!C2479</f>
      </c>
      <c r="G2480">
        <f>'R.M Billets Reports'!D2479</f>
      </c>
      <c r="H2480">
        <f>'R.M Billets Reports'!E2479</f>
      </c>
      <c r="I2480">
        <f>'R.M Billets Reports'!F2479</f>
      </c>
      <c r="J2480">
        <f>'R.M Billets Reports'!G2479</f>
      </c>
      <c r="K2480">
        <f>'R.M Billets Reports'!H2479</f>
      </c>
      <c r="L2480">
        <f>IF('R.M Billets Reports'!I2479="","",'R.M Billets Reports'!I2479)</f>
      </c>
      <c r="M2480">
        <f t="shared" si="76"/>
      </c>
      <c r="N2480">
        <f>IF('R.M Billets Reports'!J2479="","",'R.M Billets Reports'!J2479)</f>
      </c>
      <c r="O2480">
        <f t="shared" si="77"/>
      </c>
      <c r="P2480">
        <f>IF('R.M Billets Reports'!A2479="SIZE",'R.M Billets Reports'!B2479,P2479)</f>
      </c>
    </row>
    <row r="2481" spans="1:16" x14ac:dyDescent="0.25">
      <c r="A2481">
        <f>IF(OR('R.M Billets Reports'!A2480="Date-",'R.M Billets Reports'!A2480="Date:-"),IF(IF(IF(ISNUMBER(SEARCH("Party Name:-",'R.M Billets Reports'!D2480)),TRIM('R.M Billets Reports'!F2480),IF(ISNUMBER(SEARCH("Party Name-",'R.M Billets Reports'!D2480)),TRIM(MID('R.M Billets Reports'!D2480,SEARCH("-",'R.M Billets Reports'!D2480)+1,200)),""))&lt;&gt;"",IF(ISNUMBER(SEARCH("Party Name:-",'R.M Billets Reports'!D2480)),TRIM('R.M Billets Reports'!F2480),IF(ISNUMBER(SEARCH("Party Name-",'R.M Billets Reports'!D2480)),TRIM(MID('R.M Billets Reports'!D2480,SEARCH("-",'R.M Billets Reports'!D2480)+1,200)),"")),IF(ISNUMBER(SEARCH("Party Name:-",'R.M Billets Reports'!D2481)),TRIM('R.M Billets Reports'!F2481),IF(ISNUMBER(SEARCH("Party Name-",'R.M Billets Reports'!D2481)),TRIM(MID('R.M Billets Reports'!D2481,SEARCH("-",'R.M Billets Reports'!D2481)+1,200)),"")))="VRKP ISPAT PVT LTD","VRKP",IF(IF(IF(ISNUMBER(SEARCH("Party Name:-",'R.M Billets Reports'!D2480)),TRIM('R.M Billets Reports'!F2480),IF(ISNUMBER(SEARCH("Party Name-",'R.M Billets Reports'!D2480)),TRIM(MID('R.M Billets Reports'!D2480,SEARCH("-",'R.M Billets Reports'!D2480)+1,200)),""))&lt;&gt;"",IF(ISNUMBER(SEARCH("Party Name:-",'R.M Billets Reports'!D2480)),TRIM('R.M Billets Reports'!F2480),IF(ISNUMBER(SEARCH("Party Name-",'R.M Billets Reports'!D2480)),TRIM(MID('R.M Billets Reports'!D2480,SEARCH("-",'R.M Billets Reports'!D2480)+1,200)),"")),IF(ISNUMBER(SEARCH("Party Name:-",'R.M Billets Reports'!D2481)),TRIM('R.M Billets Reports'!F2481),IF(ISNUMBER(SEARCH("Party Name-",'R.M Billets Reports'!D2481)),TRIM(MID('R.M Billets Reports'!D2481,SEARCH("-",'R.M Billets Reports'!D2481)+1,200)),"")))="SHRI RADHE","SHREE RADHE",IF(IF(IF(ISNUMBER(SEARCH("Party Name:-",'R.M Billets Reports'!D2480)),TRIM('R.M Billets Reports'!F2480),IF(ISNUMBER(SEARCH("Party Name-",'R.M Billets Reports'!D2480)),TRIM(MID('R.M Billets Reports'!D2480,SEARCH("-",'R.M Billets Reports'!D2480)+1,200)),""))&lt;&gt;"",IF(ISNUMBER(SEARCH("Party Name:-",'R.M Billets Reports'!D2480)),TRIM('R.M Billets Reports'!F2480),IF(ISNUMBER(SEARCH("Party Name-",'R.M Billets Reports'!D2480)),TRIM(MID('R.M Billets Reports'!D2480,SEARCH("-",'R.M Billets Reports'!D2480)+1,200)),"")),IF(ISNUMBER(SEARCH("Party Name:-",'R.M Billets Reports'!D2481)),TRIM('R.M Billets Reports'!F2481),IF(ISNUMBER(SEARCH("Party Name-",'R.M Billets Reports'!D2481)),TRIM(MID('R.M Billets Reports'!D2481,SEARCH("-",'R.M Billets Reports'!D2481)+1,200)),"")))="SHREE RADHE SHAKTI SPONGE AND POWER PVT. LTD.","SHREE RADHE",IF(IF(ISNUMBER(SEARCH("Party Name:-",'R.M Billets Reports'!D2480)),TRIM('R.M Billets Reports'!F2480),IF(ISNUMBER(SEARCH("Party Name-",'R.M Billets Reports'!D2480)),TRIM(MID('R.M Billets Reports'!D2480,SEARCH("-",'R.M Billets Reports'!D2480)+1,200)),""))&lt;&gt;"",IF(ISNUMBER(SEARCH("Party Name:-",'R.M Billets Reports'!D2480)),TRIM('R.M Billets Reports'!F2480),IF(ISNUMBER(SEARCH("Party Name-",'R.M Billets Reports'!D2480)),TRIM(MID('R.M Billets Reports'!D2480,SEARCH("-",'R.M Billets Reports'!D2480)+1,200)),"")),IF(ISNUMBER(SEARCH("Party Name:-",'R.M Billets Reports'!D2481)),TRIM('R.M Billets Reports'!F2481),IF(ISNUMBER(SEARCH("Party Name-",'R.M Billets Reports'!D2481)),TRIM(MID('R.M Billets Reports'!D2481,SEARCH("-",'R.M Billets Reports'!D2481)+1,200)),"")))))),IF(ROW()=2,"",A2480))</f>
      </c>
      <c r="B2481">
        <f>IF(OR('R.M Billets Reports'!A2480="Date-",'R.M Billets Reports'!A2480="Date:-"),'R.M Billets Reports'!B2480,IF(ROW()=2,"",B2480))</f>
      </c>
      <c r="C2481">
        <f>IF('R.M Billets Reports'!A2480="V.No.",'R.M Billets Reports'!B2480,IF(ROW()=2,"",C2480))</f>
      </c>
      <c r="D2481">
        <f>IF('R.M Billets Reports'!A2480&lt;&gt;"",'R.M Billets Reports'!A2480,IF(ROW()=2,"",D2480))</f>
      </c>
      <c r="E2481">
        <f>IF('R.M Billets Reports'!B2480="","",TRIM('R.M Billets Reports'!B2480))</f>
      </c>
      <c r="F2481">
        <f>'R.M Billets Reports'!C2480</f>
      </c>
      <c r="G2481">
        <f>'R.M Billets Reports'!D2480</f>
      </c>
      <c r="H2481">
        <f>'R.M Billets Reports'!E2480</f>
      </c>
      <c r="I2481">
        <f>'R.M Billets Reports'!F2480</f>
      </c>
      <c r="J2481">
        <f>'R.M Billets Reports'!G2480</f>
      </c>
      <c r="K2481">
        <f>'R.M Billets Reports'!H2480</f>
      </c>
      <c r="L2481">
        <f>IF('R.M Billets Reports'!I2480="","",'R.M Billets Reports'!I2480)</f>
      </c>
      <c r="M2481">
        <f t="shared" si="76"/>
      </c>
      <c r="N2481">
        <f>IF('R.M Billets Reports'!J2480="","",'R.M Billets Reports'!J2480)</f>
      </c>
      <c r="O2481">
        <f t="shared" si="77"/>
      </c>
      <c r="P2481">
        <f>IF('R.M Billets Reports'!A2480="SIZE",'R.M Billets Reports'!B2480,P2480)</f>
      </c>
    </row>
    <row r="2482" spans="1:16" x14ac:dyDescent="0.25">
      <c r="A2482">
        <f>IF(OR('R.M Billets Reports'!A2481="Date-",'R.M Billets Reports'!A2481="Date:-"),IF(IF(IF(ISNUMBER(SEARCH("Party Name:-",'R.M Billets Reports'!D2481)),TRIM('R.M Billets Reports'!F2481),IF(ISNUMBER(SEARCH("Party Name-",'R.M Billets Reports'!D2481)),TRIM(MID('R.M Billets Reports'!D2481,SEARCH("-",'R.M Billets Reports'!D2481)+1,200)),""))&lt;&gt;"",IF(ISNUMBER(SEARCH("Party Name:-",'R.M Billets Reports'!D2481)),TRIM('R.M Billets Reports'!F2481),IF(ISNUMBER(SEARCH("Party Name-",'R.M Billets Reports'!D2481)),TRIM(MID('R.M Billets Reports'!D2481,SEARCH("-",'R.M Billets Reports'!D2481)+1,200)),"")),IF(ISNUMBER(SEARCH("Party Name:-",'R.M Billets Reports'!D2482)),TRIM('R.M Billets Reports'!F2482),IF(ISNUMBER(SEARCH("Party Name-",'R.M Billets Reports'!D2482)),TRIM(MID('R.M Billets Reports'!D2482,SEARCH("-",'R.M Billets Reports'!D2482)+1,200)),"")))="VRKP ISPAT PVT LTD","VRKP",IF(IF(IF(ISNUMBER(SEARCH("Party Name:-",'R.M Billets Reports'!D2481)),TRIM('R.M Billets Reports'!F2481),IF(ISNUMBER(SEARCH("Party Name-",'R.M Billets Reports'!D2481)),TRIM(MID('R.M Billets Reports'!D2481,SEARCH("-",'R.M Billets Reports'!D2481)+1,200)),""))&lt;&gt;"",IF(ISNUMBER(SEARCH("Party Name:-",'R.M Billets Reports'!D2481)),TRIM('R.M Billets Reports'!F2481),IF(ISNUMBER(SEARCH("Party Name-",'R.M Billets Reports'!D2481)),TRIM(MID('R.M Billets Reports'!D2481,SEARCH("-",'R.M Billets Reports'!D2481)+1,200)),"")),IF(ISNUMBER(SEARCH("Party Name:-",'R.M Billets Reports'!D2482)),TRIM('R.M Billets Reports'!F2482),IF(ISNUMBER(SEARCH("Party Name-",'R.M Billets Reports'!D2482)),TRIM(MID('R.M Billets Reports'!D2482,SEARCH("-",'R.M Billets Reports'!D2482)+1,200)),"")))="SHRI RADHE","SHREE RADHE",IF(IF(IF(ISNUMBER(SEARCH("Party Name:-",'R.M Billets Reports'!D2481)),TRIM('R.M Billets Reports'!F2481),IF(ISNUMBER(SEARCH("Party Name-",'R.M Billets Reports'!D2481)),TRIM(MID('R.M Billets Reports'!D2481,SEARCH("-",'R.M Billets Reports'!D2481)+1,200)),""))&lt;&gt;"",IF(ISNUMBER(SEARCH("Party Name:-",'R.M Billets Reports'!D2481)),TRIM('R.M Billets Reports'!F2481),IF(ISNUMBER(SEARCH("Party Name-",'R.M Billets Reports'!D2481)),TRIM(MID('R.M Billets Reports'!D2481,SEARCH("-",'R.M Billets Reports'!D2481)+1,200)),"")),IF(ISNUMBER(SEARCH("Party Name:-",'R.M Billets Reports'!D2482)),TRIM('R.M Billets Reports'!F2482),IF(ISNUMBER(SEARCH("Party Name-",'R.M Billets Reports'!D2482)),TRIM(MID('R.M Billets Reports'!D2482,SEARCH("-",'R.M Billets Reports'!D2482)+1,200)),"")))="SHREE RADHE SHAKTI SPONGE AND POWER PVT. LTD.","SHREE RADHE",IF(IF(ISNUMBER(SEARCH("Party Name:-",'R.M Billets Reports'!D2481)),TRIM('R.M Billets Reports'!F2481),IF(ISNUMBER(SEARCH("Party Name-",'R.M Billets Reports'!D2481)),TRIM(MID('R.M Billets Reports'!D2481,SEARCH("-",'R.M Billets Reports'!D2481)+1,200)),""))&lt;&gt;"",IF(ISNUMBER(SEARCH("Party Name:-",'R.M Billets Reports'!D2481)),TRIM('R.M Billets Reports'!F2481),IF(ISNUMBER(SEARCH("Party Name-",'R.M Billets Reports'!D2481)),TRIM(MID('R.M Billets Reports'!D2481,SEARCH("-",'R.M Billets Reports'!D2481)+1,200)),"")),IF(ISNUMBER(SEARCH("Party Name:-",'R.M Billets Reports'!D2482)),TRIM('R.M Billets Reports'!F2482),IF(ISNUMBER(SEARCH("Party Name-",'R.M Billets Reports'!D2482)),TRIM(MID('R.M Billets Reports'!D2482,SEARCH("-",'R.M Billets Reports'!D2482)+1,200)),"")))))),IF(ROW()=2,"",A2481))</f>
      </c>
      <c r="B2482">
        <f>IF(OR('R.M Billets Reports'!A2481="Date-",'R.M Billets Reports'!A2481="Date:-"),'R.M Billets Reports'!B2481,IF(ROW()=2,"",B2481))</f>
      </c>
      <c r="C2482">
        <f>IF('R.M Billets Reports'!A2481="V.No.",'R.M Billets Reports'!B2481,IF(ROW()=2,"",C2481))</f>
      </c>
      <c r="D2482">
        <f>IF('R.M Billets Reports'!A2481&lt;&gt;"",'R.M Billets Reports'!A2481,IF(ROW()=2,"",D2481))</f>
      </c>
      <c r="E2482">
        <f>IF('R.M Billets Reports'!B2481="","",TRIM('R.M Billets Reports'!B2481))</f>
      </c>
      <c r="F2482">
        <f>'R.M Billets Reports'!C2481</f>
      </c>
      <c r="G2482">
        <f>'R.M Billets Reports'!D2481</f>
      </c>
      <c r="H2482">
        <f>'R.M Billets Reports'!E2481</f>
      </c>
      <c r="I2482">
        <f>'R.M Billets Reports'!F2481</f>
      </c>
      <c r="J2482">
        <f>'R.M Billets Reports'!G2481</f>
      </c>
      <c r="K2482">
        <f>'R.M Billets Reports'!H2481</f>
      </c>
      <c r="L2482">
        <f>IF('R.M Billets Reports'!I2481="","",'R.M Billets Reports'!I2481)</f>
      </c>
      <c r="M2482">
        <f t="shared" si="76"/>
      </c>
      <c r="N2482">
        <f>IF('R.M Billets Reports'!J2481="","",'R.M Billets Reports'!J2481)</f>
      </c>
      <c r="O2482">
        <f t="shared" si="77"/>
      </c>
      <c r="P2482">
        <f>IF('R.M Billets Reports'!A2481="SIZE",'R.M Billets Reports'!B2481,P2481)</f>
      </c>
    </row>
    <row r="2483" spans="1:16" x14ac:dyDescent="0.25">
      <c r="A2483">
        <f>IF(OR('R.M Billets Reports'!A2482="Date-",'R.M Billets Reports'!A2482="Date:-"),IF(IF(IF(ISNUMBER(SEARCH("Party Name:-",'R.M Billets Reports'!D2482)),TRIM('R.M Billets Reports'!F2482),IF(ISNUMBER(SEARCH("Party Name-",'R.M Billets Reports'!D2482)),TRIM(MID('R.M Billets Reports'!D2482,SEARCH("-",'R.M Billets Reports'!D2482)+1,200)),""))&lt;&gt;"",IF(ISNUMBER(SEARCH("Party Name:-",'R.M Billets Reports'!D2482)),TRIM('R.M Billets Reports'!F2482),IF(ISNUMBER(SEARCH("Party Name-",'R.M Billets Reports'!D2482)),TRIM(MID('R.M Billets Reports'!D2482,SEARCH("-",'R.M Billets Reports'!D2482)+1,200)),"")),IF(ISNUMBER(SEARCH("Party Name:-",'R.M Billets Reports'!D2483)),TRIM('R.M Billets Reports'!F2483),IF(ISNUMBER(SEARCH("Party Name-",'R.M Billets Reports'!D2483)),TRIM(MID('R.M Billets Reports'!D2483,SEARCH("-",'R.M Billets Reports'!D2483)+1,200)),"")))="VRKP ISPAT PVT LTD","VRKP",IF(IF(IF(ISNUMBER(SEARCH("Party Name:-",'R.M Billets Reports'!D2482)),TRIM('R.M Billets Reports'!F2482),IF(ISNUMBER(SEARCH("Party Name-",'R.M Billets Reports'!D2482)),TRIM(MID('R.M Billets Reports'!D2482,SEARCH("-",'R.M Billets Reports'!D2482)+1,200)),""))&lt;&gt;"",IF(ISNUMBER(SEARCH("Party Name:-",'R.M Billets Reports'!D2482)),TRIM('R.M Billets Reports'!F2482),IF(ISNUMBER(SEARCH("Party Name-",'R.M Billets Reports'!D2482)),TRIM(MID('R.M Billets Reports'!D2482,SEARCH("-",'R.M Billets Reports'!D2482)+1,200)),"")),IF(ISNUMBER(SEARCH("Party Name:-",'R.M Billets Reports'!D2483)),TRIM('R.M Billets Reports'!F2483),IF(ISNUMBER(SEARCH("Party Name-",'R.M Billets Reports'!D2483)),TRIM(MID('R.M Billets Reports'!D2483,SEARCH("-",'R.M Billets Reports'!D2483)+1,200)),"")))="SHRI RADHE","SHREE RADHE",IF(IF(IF(ISNUMBER(SEARCH("Party Name:-",'R.M Billets Reports'!D2482)),TRIM('R.M Billets Reports'!F2482),IF(ISNUMBER(SEARCH("Party Name-",'R.M Billets Reports'!D2482)),TRIM(MID('R.M Billets Reports'!D2482,SEARCH("-",'R.M Billets Reports'!D2482)+1,200)),""))&lt;&gt;"",IF(ISNUMBER(SEARCH("Party Name:-",'R.M Billets Reports'!D2482)),TRIM('R.M Billets Reports'!F2482),IF(ISNUMBER(SEARCH("Party Name-",'R.M Billets Reports'!D2482)),TRIM(MID('R.M Billets Reports'!D2482,SEARCH("-",'R.M Billets Reports'!D2482)+1,200)),"")),IF(ISNUMBER(SEARCH("Party Name:-",'R.M Billets Reports'!D2483)),TRIM('R.M Billets Reports'!F2483),IF(ISNUMBER(SEARCH("Party Name-",'R.M Billets Reports'!D2483)),TRIM(MID('R.M Billets Reports'!D2483,SEARCH("-",'R.M Billets Reports'!D2483)+1,200)),"")))="SHREE RADHE SHAKTI SPONGE AND POWER PVT. LTD.","SHREE RADHE",IF(IF(ISNUMBER(SEARCH("Party Name:-",'R.M Billets Reports'!D2482)),TRIM('R.M Billets Reports'!F2482),IF(ISNUMBER(SEARCH("Party Name-",'R.M Billets Reports'!D2482)),TRIM(MID('R.M Billets Reports'!D2482,SEARCH("-",'R.M Billets Reports'!D2482)+1,200)),""))&lt;&gt;"",IF(ISNUMBER(SEARCH("Party Name:-",'R.M Billets Reports'!D2482)),TRIM('R.M Billets Reports'!F2482),IF(ISNUMBER(SEARCH("Party Name-",'R.M Billets Reports'!D2482)),TRIM(MID('R.M Billets Reports'!D2482,SEARCH("-",'R.M Billets Reports'!D2482)+1,200)),"")),IF(ISNUMBER(SEARCH("Party Name:-",'R.M Billets Reports'!D2483)),TRIM('R.M Billets Reports'!F2483),IF(ISNUMBER(SEARCH("Party Name-",'R.M Billets Reports'!D2483)),TRIM(MID('R.M Billets Reports'!D2483,SEARCH("-",'R.M Billets Reports'!D2483)+1,200)),"")))))),IF(ROW()=2,"",A2482))</f>
      </c>
      <c r="B2483">
        <f>IF(OR('R.M Billets Reports'!A2482="Date-",'R.M Billets Reports'!A2482="Date:-"),'R.M Billets Reports'!B2482,IF(ROW()=2,"",B2482))</f>
      </c>
      <c r="C2483">
        <f>IF('R.M Billets Reports'!A2482="V.No.",'R.M Billets Reports'!B2482,IF(ROW()=2,"",C2482))</f>
      </c>
      <c r="D2483">
        <f>IF('R.M Billets Reports'!A2482&lt;&gt;"",'R.M Billets Reports'!A2482,IF(ROW()=2,"",D2482))</f>
      </c>
      <c r="E2483">
        <f>IF('R.M Billets Reports'!B2482="","",TRIM('R.M Billets Reports'!B2482))</f>
      </c>
      <c r="F2483">
        <f>'R.M Billets Reports'!C2482</f>
      </c>
      <c r="G2483">
        <f>'R.M Billets Reports'!D2482</f>
      </c>
      <c r="H2483">
        <f>'R.M Billets Reports'!E2482</f>
      </c>
      <c r="I2483">
        <f>'R.M Billets Reports'!F2482</f>
      </c>
      <c r="J2483">
        <f>'R.M Billets Reports'!G2482</f>
      </c>
      <c r="K2483">
        <f>'R.M Billets Reports'!H2482</f>
      </c>
      <c r="L2483">
        <f>IF('R.M Billets Reports'!I2482="","",'R.M Billets Reports'!I2482)</f>
      </c>
      <c r="M2483">
        <f t="shared" si="76"/>
      </c>
      <c r="N2483">
        <f>IF('R.M Billets Reports'!J2482="","",'R.M Billets Reports'!J2482)</f>
      </c>
      <c r="O2483">
        <f t="shared" si="77"/>
      </c>
      <c r="P2483">
        <f>IF('R.M Billets Reports'!A2482="SIZE",'R.M Billets Reports'!B2482,P2482)</f>
      </c>
    </row>
    <row r="2484" spans="1:16" x14ac:dyDescent="0.25">
      <c r="A2484">
        <f>IF(OR('R.M Billets Reports'!A2483="Date-",'R.M Billets Reports'!A2483="Date:-"),IF(IF(IF(ISNUMBER(SEARCH("Party Name:-",'R.M Billets Reports'!D2483)),TRIM('R.M Billets Reports'!F2483),IF(ISNUMBER(SEARCH("Party Name-",'R.M Billets Reports'!D2483)),TRIM(MID('R.M Billets Reports'!D2483,SEARCH("-",'R.M Billets Reports'!D2483)+1,200)),""))&lt;&gt;"",IF(ISNUMBER(SEARCH("Party Name:-",'R.M Billets Reports'!D2483)),TRIM('R.M Billets Reports'!F2483),IF(ISNUMBER(SEARCH("Party Name-",'R.M Billets Reports'!D2483)),TRIM(MID('R.M Billets Reports'!D2483,SEARCH("-",'R.M Billets Reports'!D2483)+1,200)),"")),IF(ISNUMBER(SEARCH("Party Name:-",'R.M Billets Reports'!D2484)),TRIM('R.M Billets Reports'!F2484),IF(ISNUMBER(SEARCH("Party Name-",'R.M Billets Reports'!D2484)),TRIM(MID('R.M Billets Reports'!D2484,SEARCH("-",'R.M Billets Reports'!D2484)+1,200)),"")))="VRKP ISPAT PVT LTD","VRKP",IF(IF(IF(ISNUMBER(SEARCH("Party Name:-",'R.M Billets Reports'!D2483)),TRIM('R.M Billets Reports'!F2483),IF(ISNUMBER(SEARCH("Party Name-",'R.M Billets Reports'!D2483)),TRIM(MID('R.M Billets Reports'!D2483,SEARCH("-",'R.M Billets Reports'!D2483)+1,200)),""))&lt;&gt;"",IF(ISNUMBER(SEARCH("Party Name:-",'R.M Billets Reports'!D2483)),TRIM('R.M Billets Reports'!F2483),IF(ISNUMBER(SEARCH("Party Name-",'R.M Billets Reports'!D2483)),TRIM(MID('R.M Billets Reports'!D2483,SEARCH("-",'R.M Billets Reports'!D2483)+1,200)),"")),IF(ISNUMBER(SEARCH("Party Name:-",'R.M Billets Reports'!D2484)),TRIM('R.M Billets Reports'!F2484),IF(ISNUMBER(SEARCH("Party Name-",'R.M Billets Reports'!D2484)),TRIM(MID('R.M Billets Reports'!D2484,SEARCH("-",'R.M Billets Reports'!D2484)+1,200)),"")))="SHRI RADHE","SHREE RADHE",IF(IF(IF(ISNUMBER(SEARCH("Party Name:-",'R.M Billets Reports'!D2483)),TRIM('R.M Billets Reports'!F2483),IF(ISNUMBER(SEARCH("Party Name-",'R.M Billets Reports'!D2483)),TRIM(MID('R.M Billets Reports'!D2483,SEARCH("-",'R.M Billets Reports'!D2483)+1,200)),""))&lt;&gt;"",IF(ISNUMBER(SEARCH("Party Name:-",'R.M Billets Reports'!D2483)),TRIM('R.M Billets Reports'!F2483),IF(ISNUMBER(SEARCH("Party Name-",'R.M Billets Reports'!D2483)),TRIM(MID('R.M Billets Reports'!D2483,SEARCH("-",'R.M Billets Reports'!D2483)+1,200)),"")),IF(ISNUMBER(SEARCH("Party Name:-",'R.M Billets Reports'!D2484)),TRIM('R.M Billets Reports'!F2484),IF(ISNUMBER(SEARCH("Party Name-",'R.M Billets Reports'!D2484)),TRIM(MID('R.M Billets Reports'!D2484,SEARCH("-",'R.M Billets Reports'!D2484)+1,200)),"")))="SHREE RADHE SHAKTI SPONGE AND POWER PVT. LTD.","SHREE RADHE",IF(IF(ISNUMBER(SEARCH("Party Name:-",'R.M Billets Reports'!D2483)),TRIM('R.M Billets Reports'!F2483),IF(ISNUMBER(SEARCH("Party Name-",'R.M Billets Reports'!D2483)),TRIM(MID('R.M Billets Reports'!D2483,SEARCH("-",'R.M Billets Reports'!D2483)+1,200)),""))&lt;&gt;"",IF(ISNUMBER(SEARCH("Party Name:-",'R.M Billets Reports'!D2483)),TRIM('R.M Billets Reports'!F2483),IF(ISNUMBER(SEARCH("Party Name-",'R.M Billets Reports'!D2483)),TRIM(MID('R.M Billets Reports'!D2483,SEARCH("-",'R.M Billets Reports'!D2483)+1,200)),"")),IF(ISNUMBER(SEARCH("Party Name:-",'R.M Billets Reports'!D2484)),TRIM('R.M Billets Reports'!F2484),IF(ISNUMBER(SEARCH("Party Name-",'R.M Billets Reports'!D2484)),TRIM(MID('R.M Billets Reports'!D2484,SEARCH("-",'R.M Billets Reports'!D2484)+1,200)),"")))))),IF(ROW()=2,"",A2483))</f>
      </c>
      <c r="B2484">
        <f>IF(OR('R.M Billets Reports'!A2483="Date-",'R.M Billets Reports'!A2483="Date:-"),'R.M Billets Reports'!B2483,IF(ROW()=2,"",B2483))</f>
      </c>
      <c r="C2484">
        <f>IF('R.M Billets Reports'!A2483="V.No.",'R.M Billets Reports'!B2483,IF(ROW()=2,"",C2483))</f>
      </c>
      <c r="D2484">
        <f>IF('R.M Billets Reports'!A2483&lt;&gt;"",'R.M Billets Reports'!A2483,IF(ROW()=2,"",D2483))</f>
      </c>
      <c r="E2484">
        <f>IF('R.M Billets Reports'!B2483="","",TRIM('R.M Billets Reports'!B2483))</f>
      </c>
      <c r="F2484">
        <f>'R.M Billets Reports'!C2483</f>
      </c>
      <c r="G2484">
        <f>'R.M Billets Reports'!D2483</f>
      </c>
      <c r="H2484">
        <f>'R.M Billets Reports'!E2483</f>
      </c>
      <c r="I2484">
        <f>'R.M Billets Reports'!F2483</f>
      </c>
      <c r="J2484">
        <f>'R.M Billets Reports'!G2483</f>
      </c>
      <c r="K2484">
        <f>'R.M Billets Reports'!H2483</f>
      </c>
      <c r="L2484">
        <f>IF('R.M Billets Reports'!I2483="","",'R.M Billets Reports'!I2483)</f>
      </c>
      <c r="M2484">
        <f t="shared" si="76"/>
      </c>
      <c r="N2484">
        <f>IF('R.M Billets Reports'!J2483="","",'R.M Billets Reports'!J2483)</f>
      </c>
      <c r="O2484">
        <f t="shared" si="77"/>
      </c>
      <c r="P2484">
        <f>IF('R.M Billets Reports'!A2483="SIZE",'R.M Billets Reports'!B2483,P2483)</f>
      </c>
    </row>
    <row r="2485" spans="1:16" x14ac:dyDescent="0.25">
      <c r="A2485">
        <f>IF(OR('R.M Billets Reports'!A2484="Date-",'R.M Billets Reports'!A2484="Date:-"),IF(IF(IF(ISNUMBER(SEARCH("Party Name:-",'R.M Billets Reports'!D2484)),TRIM('R.M Billets Reports'!F2484),IF(ISNUMBER(SEARCH("Party Name-",'R.M Billets Reports'!D2484)),TRIM(MID('R.M Billets Reports'!D2484,SEARCH("-",'R.M Billets Reports'!D2484)+1,200)),""))&lt;&gt;"",IF(ISNUMBER(SEARCH("Party Name:-",'R.M Billets Reports'!D2484)),TRIM('R.M Billets Reports'!F2484),IF(ISNUMBER(SEARCH("Party Name-",'R.M Billets Reports'!D2484)),TRIM(MID('R.M Billets Reports'!D2484,SEARCH("-",'R.M Billets Reports'!D2484)+1,200)),"")),IF(ISNUMBER(SEARCH("Party Name:-",'R.M Billets Reports'!D2485)),TRIM('R.M Billets Reports'!F2485),IF(ISNUMBER(SEARCH("Party Name-",'R.M Billets Reports'!D2485)),TRIM(MID('R.M Billets Reports'!D2485,SEARCH("-",'R.M Billets Reports'!D2485)+1,200)),"")))="VRKP ISPAT PVT LTD","VRKP",IF(IF(IF(ISNUMBER(SEARCH("Party Name:-",'R.M Billets Reports'!D2484)),TRIM('R.M Billets Reports'!F2484),IF(ISNUMBER(SEARCH("Party Name-",'R.M Billets Reports'!D2484)),TRIM(MID('R.M Billets Reports'!D2484,SEARCH("-",'R.M Billets Reports'!D2484)+1,200)),""))&lt;&gt;"",IF(ISNUMBER(SEARCH("Party Name:-",'R.M Billets Reports'!D2484)),TRIM('R.M Billets Reports'!F2484),IF(ISNUMBER(SEARCH("Party Name-",'R.M Billets Reports'!D2484)),TRIM(MID('R.M Billets Reports'!D2484,SEARCH("-",'R.M Billets Reports'!D2484)+1,200)),"")),IF(ISNUMBER(SEARCH("Party Name:-",'R.M Billets Reports'!D2485)),TRIM('R.M Billets Reports'!F2485),IF(ISNUMBER(SEARCH("Party Name-",'R.M Billets Reports'!D2485)),TRIM(MID('R.M Billets Reports'!D2485,SEARCH("-",'R.M Billets Reports'!D2485)+1,200)),"")))="SHRI RADHE","SHREE RADHE",IF(IF(IF(ISNUMBER(SEARCH("Party Name:-",'R.M Billets Reports'!D2484)),TRIM('R.M Billets Reports'!F2484),IF(ISNUMBER(SEARCH("Party Name-",'R.M Billets Reports'!D2484)),TRIM(MID('R.M Billets Reports'!D2484,SEARCH("-",'R.M Billets Reports'!D2484)+1,200)),""))&lt;&gt;"",IF(ISNUMBER(SEARCH("Party Name:-",'R.M Billets Reports'!D2484)),TRIM('R.M Billets Reports'!F2484),IF(ISNUMBER(SEARCH("Party Name-",'R.M Billets Reports'!D2484)),TRIM(MID('R.M Billets Reports'!D2484,SEARCH("-",'R.M Billets Reports'!D2484)+1,200)),"")),IF(ISNUMBER(SEARCH("Party Name:-",'R.M Billets Reports'!D2485)),TRIM('R.M Billets Reports'!F2485),IF(ISNUMBER(SEARCH("Party Name-",'R.M Billets Reports'!D2485)),TRIM(MID('R.M Billets Reports'!D2485,SEARCH("-",'R.M Billets Reports'!D2485)+1,200)),"")))="SHREE RADHE SHAKTI SPONGE AND POWER PVT. LTD.","SHREE RADHE",IF(IF(ISNUMBER(SEARCH("Party Name:-",'R.M Billets Reports'!D2484)),TRIM('R.M Billets Reports'!F2484),IF(ISNUMBER(SEARCH("Party Name-",'R.M Billets Reports'!D2484)),TRIM(MID('R.M Billets Reports'!D2484,SEARCH("-",'R.M Billets Reports'!D2484)+1,200)),""))&lt;&gt;"",IF(ISNUMBER(SEARCH("Party Name:-",'R.M Billets Reports'!D2484)),TRIM('R.M Billets Reports'!F2484),IF(ISNUMBER(SEARCH("Party Name-",'R.M Billets Reports'!D2484)),TRIM(MID('R.M Billets Reports'!D2484,SEARCH("-",'R.M Billets Reports'!D2484)+1,200)),"")),IF(ISNUMBER(SEARCH("Party Name:-",'R.M Billets Reports'!D2485)),TRIM('R.M Billets Reports'!F2485),IF(ISNUMBER(SEARCH("Party Name-",'R.M Billets Reports'!D2485)),TRIM(MID('R.M Billets Reports'!D2485,SEARCH("-",'R.M Billets Reports'!D2485)+1,200)),"")))))),IF(ROW()=2,"",A2484))</f>
      </c>
      <c r="B2485">
        <f>IF(OR('R.M Billets Reports'!A2484="Date-",'R.M Billets Reports'!A2484="Date:-"),'R.M Billets Reports'!B2484,IF(ROW()=2,"",B2484))</f>
      </c>
      <c r="C2485">
        <f>IF('R.M Billets Reports'!A2484="V.No.",'R.M Billets Reports'!B2484,IF(ROW()=2,"",C2484))</f>
      </c>
      <c r="D2485">
        <f>IF('R.M Billets Reports'!A2484&lt;&gt;"",'R.M Billets Reports'!A2484,IF(ROW()=2,"",D2484))</f>
      </c>
      <c r="E2485">
        <f>IF('R.M Billets Reports'!B2484="","",TRIM('R.M Billets Reports'!B2484))</f>
      </c>
      <c r="F2485">
        <f>'R.M Billets Reports'!C2484</f>
      </c>
      <c r="G2485">
        <f>'R.M Billets Reports'!D2484</f>
      </c>
      <c r="H2485">
        <f>'R.M Billets Reports'!E2484</f>
      </c>
      <c r="I2485">
        <f>'R.M Billets Reports'!F2484</f>
      </c>
      <c r="J2485">
        <f>'R.M Billets Reports'!G2484</f>
      </c>
      <c r="K2485">
        <f>'R.M Billets Reports'!H2484</f>
      </c>
      <c r="L2485">
        <f>IF('R.M Billets Reports'!I2484="","",'R.M Billets Reports'!I2484)</f>
      </c>
      <c r="M2485">
        <f t="shared" si="76"/>
      </c>
      <c r="N2485">
        <f>IF('R.M Billets Reports'!J2484="","",'R.M Billets Reports'!J2484)</f>
      </c>
      <c r="O2485">
        <f t="shared" si="77"/>
      </c>
      <c r="P2485">
        <f>IF('R.M Billets Reports'!A2484="SIZE",'R.M Billets Reports'!B2484,P2484)</f>
      </c>
    </row>
    <row r="2486" spans="1:16" x14ac:dyDescent="0.25">
      <c r="A2486">
        <f>IF(OR('R.M Billets Reports'!A2485="Date-",'R.M Billets Reports'!A2485="Date:-"),IF(IF(IF(ISNUMBER(SEARCH("Party Name:-",'R.M Billets Reports'!D2485)),TRIM('R.M Billets Reports'!F2485),IF(ISNUMBER(SEARCH("Party Name-",'R.M Billets Reports'!D2485)),TRIM(MID('R.M Billets Reports'!D2485,SEARCH("-",'R.M Billets Reports'!D2485)+1,200)),""))&lt;&gt;"",IF(ISNUMBER(SEARCH("Party Name:-",'R.M Billets Reports'!D2485)),TRIM('R.M Billets Reports'!F2485),IF(ISNUMBER(SEARCH("Party Name-",'R.M Billets Reports'!D2485)),TRIM(MID('R.M Billets Reports'!D2485,SEARCH("-",'R.M Billets Reports'!D2485)+1,200)),"")),IF(ISNUMBER(SEARCH("Party Name:-",'R.M Billets Reports'!D2486)),TRIM('R.M Billets Reports'!F2486),IF(ISNUMBER(SEARCH("Party Name-",'R.M Billets Reports'!D2486)),TRIM(MID('R.M Billets Reports'!D2486,SEARCH("-",'R.M Billets Reports'!D2486)+1,200)),"")))="VRKP ISPAT PVT LTD","VRKP",IF(IF(IF(ISNUMBER(SEARCH("Party Name:-",'R.M Billets Reports'!D2485)),TRIM('R.M Billets Reports'!F2485),IF(ISNUMBER(SEARCH("Party Name-",'R.M Billets Reports'!D2485)),TRIM(MID('R.M Billets Reports'!D2485,SEARCH("-",'R.M Billets Reports'!D2485)+1,200)),""))&lt;&gt;"",IF(ISNUMBER(SEARCH("Party Name:-",'R.M Billets Reports'!D2485)),TRIM('R.M Billets Reports'!F2485),IF(ISNUMBER(SEARCH("Party Name-",'R.M Billets Reports'!D2485)),TRIM(MID('R.M Billets Reports'!D2485,SEARCH("-",'R.M Billets Reports'!D2485)+1,200)),"")),IF(ISNUMBER(SEARCH("Party Name:-",'R.M Billets Reports'!D2486)),TRIM('R.M Billets Reports'!F2486),IF(ISNUMBER(SEARCH("Party Name-",'R.M Billets Reports'!D2486)),TRIM(MID('R.M Billets Reports'!D2486,SEARCH("-",'R.M Billets Reports'!D2486)+1,200)),"")))="SHRI RADHE","SHREE RADHE",IF(IF(IF(ISNUMBER(SEARCH("Party Name:-",'R.M Billets Reports'!D2485)),TRIM('R.M Billets Reports'!F2485),IF(ISNUMBER(SEARCH("Party Name-",'R.M Billets Reports'!D2485)),TRIM(MID('R.M Billets Reports'!D2485,SEARCH("-",'R.M Billets Reports'!D2485)+1,200)),""))&lt;&gt;"",IF(ISNUMBER(SEARCH("Party Name:-",'R.M Billets Reports'!D2485)),TRIM('R.M Billets Reports'!F2485),IF(ISNUMBER(SEARCH("Party Name-",'R.M Billets Reports'!D2485)),TRIM(MID('R.M Billets Reports'!D2485,SEARCH("-",'R.M Billets Reports'!D2485)+1,200)),"")),IF(ISNUMBER(SEARCH("Party Name:-",'R.M Billets Reports'!D2486)),TRIM('R.M Billets Reports'!F2486),IF(ISNUMBER(SEARCH("Party Name-",'R.M Billets Reports'!D2486)),TRIM(MID('R.M Billets Reports'!D2486,SEARCH("-",'R.M Billets Reports'!D2486)+1,200)),"")))="SHREE RADHE SHAKTI SPONGE AND POWER PVT. LTD.","SHREE RADHE",IF(IF(ISNUMBER(SEARCH("Party Name:-",'R.M Billets Reports'!D2485)),TRIM('R.M Billets Reports'!F2485),IF(ISNUMBER(SEARCH("Party Name-",'R.M Billets Reports'!D2485)),TRIM(MID('R.M Billets Reports'!D2485,SEARCH("-",'R.M Billets Reports'!D2485)+1,200)),""))&lt;&gt;"",IF(ISNUMBER(SEARCH("Party Name:-",'R.M Billets Reports'!D2485)),TRIM('R.M Billets Reports'!F2485),IF(ISNUMBER(SEARCH("Party Name-",'R.M Billets Reports'!D2485)),TRIM(MID('R.M Billets Reports'!D2485,SEARCH("-",'R.M Billets Reports'!D2485)+1,200)),"")),IF(ISNUMBER(SEARCH("Party Name:-",'R.M Billets Reports'!D2486)),TRIM('R.M Billets Reports'!F2486),IF(ISNUMBER(SEARCH("Party Name-",'R.M Billets Reports'!D2486)),TRIM(MID('R.M Billets Reports'!D2486,SEARCH("-",'R.M Billets Reports'!D2486)+1,200)),"")))))),IF(ROW()=2,"",A2485))</f>
      </c>
      <c r="B2486">
        <f>IF(OR('R.M Billets Reports'!A2485="Date-",'R.M Billets Reports'!A2485="Date:-"),'R.M Billets Reports'!B2485,IF(ROW()=2,"",B2485))</f>
      </c>
      <c r="C2486">
        <f>IF('R.M Billets Reports'!A2485="V.No.",'R.M Billets Reports'!B2485,IF(ROW()=2,"",C2485))</f>
      </c>
      <c r="D2486">
        <f>IF('R.M Billets Reports'!A2485&lt;&gt;"",'R.M Billets Reports'!A2485,IF(ROW()=2,"",D2485))</f>
      </c>
      <c r="E2486">
        <f>IF('R.M Billets Reports'!B2485="","",TRIM('R.M Billets Reports'!B2485))</f>
      </c>
      <c r="F2486">
        <f>'R.M Billets Reports'!C2485</f>
      </c>
      <c r="G2486">
        <f>'R.M Billets Reports'!D2485</f>
      </c>
      <c r="H2486">
        <f>'R.M Billets Reports'!E2485</f>
      </c>
      <c r="I2486">
        <f>'R.M Billets Reports'!F2485</f>
      </c>
      <c r="J2486">
        <f>'R.M Billets Reports'!G2485</f>
      </c>
      <c r="K2486">
        <f>'R.M Billets Reports'!H2485</f>
      </c>
      <c r="L2486">
        <f>IF('R.M Billets Reports'!I2485="","",'R.M Billets Reports'!I2485)</f>
      </c>
      <c r="M2486">
        <f t="shared" si="76"/>
      </c>
      <c r="N2486">
        <f>IF('R.M Billets Reports'!J2485="","",'R.M Billets Reports'!J2485)</f>
      </c>
      <c r="O2486">
        <f t="shared" si="77"/>
      </c>
      <c r="P2486">
        <f>IF('R.M Billets Reports'!A2485="SIZE",'R.M Billets Reports'!B2485,P2485)</f>
      </c>
    </row>
    <row r="2487" spans="1:16" x14ac:dyDescent="0.25">
      <c r="A2487">
        <f>IF(OR('R.M Billets Reports'!A2486="Date-",'R.M Billets Reports'!A2486="Date:-"),IF(IF(IF(ISNUMBER(SEARCH("Party Name:-",'R.M Billets Reports'!D2486)),TRIM('R.M Billets Reports'!F2486),IF(ISNUMBER(SEARCH("Party Name-",'R.M Billets Reports'!D2486)),TRIM(MID('R.M Billets Reports'!D2486,SEARCH("-",'R.M Billets Reports'!D2486)+1,200)),""))&lt;&gt;"",IF(ISNUMBER(SEARCH("Party Name:-",'R.M Billets Reports'!D2486)),TRIM('R.M Billets Reports'!F2486),IF(ISNUMBER(SEARCH("Party Name-",'R.M Billets Reports'!D2486)),TRIM(MID('R.M Billets Reports'!D2486,SEARCH("-",'R.M Billets Reports'!D2486)+1,200)),"")),IF(ISNUMBER(SEARCH("Party Name:-",'R.M Billets Reports'!D2487)),TRIM('R.M Billets Reports'!F2487),IF(ISNUMBER(SEARCH("Party Name-",'R.M Billets Reports'!D2487)),TRIM(MID('R.M Billets Reports'!D2487,SEARCH("-",'R.M Billets Reports'!D2487)+1,200)),"")))="VRKP ISPAT PVT LTD","VRKP",IF(IF(IF(ISNUMBER(SEARCH("Party Name:-",'R.M Billets Reports'!D2486)),TRIM('R.M Billets Reports'!F2486),IF(ISNUMBER(SEARCH("Party Name-",'R.M Billets Reports'!D2486)),TRIM(MID('R.M Billets Reports'!D2486,SEARCH("-",'R.M Billets Reports'!D2486)+1,200)),""))&lt;&gt;"",IF(ISNUMBER(SEARCH("Party Name:-",'R.M Billets Reports'!D2486)),TRIM('R.M Billets Reports'!F2486),IF(ISNUMBER(SEARCH("Party Name-",'R.M Billets Reports'!D2486)),TRIM(MID('R.M Billets Reports'!D2486,SEARCH("-",'R.M Billets Reports'!D2486)+1,200)),"")),IF(ISNUMBER(SEARCH("Party Name:-",'R.M Billets Reports'!D2487)),TRIM('R.M Billets Reports'!F2487),IF(ISNUMBER(SEARCH("Party Name-",'R.M Billets Reports'!D2487)),TRIM(MID('R.M Billets Reports'!D2487,SEARCH("-",'R.M Billets Reports'!D2487)+1,200)),"")))="SHRI RADHE","SHREE RADHE",IF(IF(IF(ISNUMBER(SEARCH("Party Name:-",'R.M Billets Reports'!D2486)),TRIM('R.M Billets Reports'!F2486),IF(ISNUMBER(SEARCH("Party Name-",'R.M Billets Reports'!D2486)),TRIM(MID('R.M Billets Reports'!D2486,SEARCH("-",'R.M Billets Reports'!D2486)+1,200)),""))&lt;&gt;"",IF(ISNUMBER(SEARCH("Party Name:-",'R.M Billets Reports'!D2486)),TRIM('R.M Billets Reports'!F2486),IF(ISNUMBER(SEARCH("Party Name-",'R.M Billets Reports'!D2486)),TRIM(MID('R.M Billets Reports'!D2486,SEARCH("-",'R.M Billets Reports'!D2486)+1,200)),"")),IF(ISNUMBER(SEARCH("Party Name:-",'R.M Billets Reports'!D2487)),TRIM('R.M Billets Reports'!F2487),IF(ISNUMBER(SEARCH("Party Name-",'R.M Billets Reports'!D2487)),TRIM(MID('R.M Billets Reports'!D2487,SEARCH("-",'R.M Billets Reports'!D2487)+1,200)),"")))="SHREE RADHE SHAKTI SPONGE AND POWER PVT. LTD.","SHREE RADHE",IF(IF(ISNUMBER(SEARCH("Party Name:-",'R.M Billets Reports'!D2486)),TRIM('R.M Billets Reports'!F2486),IF(ISNUMBER(SEARCH("Party Name-",'R.M Billets Reports'!D2486)),TRIM(MID('R.M Billets Reports'!D2486,SEARCH("-",'R.M Billets Reports'!D2486)+1,200)),""))&lt;&gt;"",IF(ISNUMBER(SEARCH("Party Name:-",'R.M Billets Reports'!D2486)),TRIM('R.M Billets Reports'!F2486),IF(ISNUMBER(SEARCH("Party Name-",'R.M Billets Reports'!D2486)),TRIM(MID('R.M Billets Reports'!D2486,SEARCH("-",'R.M Billets Reports'!D2486)+1,200)),"")),IF(ISNUMBER(SEARCH("Party Name:-",'R.M Billets Reports'!D2487)),TRIM('R.M Billets Reports'!F2487),IF(ISNUMBER(SEARCH("Party Name-",'R.M Billets Reports'!D2487)),TRIM(MID('R.M Billets Reports'!D2487,SEARCH("-",'R.M Billets Reports'!D2487)+1,200)),"")))))),IF(ROW()=2,"",A2486))</f>
      </c>
      <c r="B2487">
        <f>IF(OR('R.M Billets Reports'!A2486="Date-",'R.M Billets Reports'!A2486="Date:-"),'R.M Billets Reports'!B2486,IF(ROW()=2,"",B2486))</f>
      </c>
      <c r="C2487">
        <f>IF('R.M Billets Reports'!A2486="V.No.",'R.M Billets Reports'!B2486,IF(ROW()=2,"",C2486))</f>
      </c>
      <c r="D2487">
        <f>IF('R.M Billets Reports'!A2486&lt;&gt;"",'R.M Billets Reports'!A2486,IF(ROW()=2,"",D2486))</f>
      </c>
      <c r="E2487">
        <f>IF('R.M Billets Reports'!B2486="","",TRIM('R.M Billets Reports'!B2486))</f>
      </c>
      <c r="F2487">
        <f>'R.M Billets Reports'!C2486</f>
      </c>
      <c r="G2487">
        <f>'R.M Billets Reports'!D2486</f>
      </c>
      <c r="H2487">
        <f>'R.M Billets Reports'!E2486</f>
      </c>
      <c r="I2487">
        <f>'R.M Billets Reports'!F2486</f>
      </c>
      <c r="J2487">
        <f>'R.M Billets Reports'!G2486</f>
      </c>
      <c r="K2487">
        <f>'R.M Billets Reports'!H2486</f>
      </c>
      <c r="L2487">
        <f>IF('R.M Billets Reports'!I2486="","",'R.M Billets Reports'!I2486)</f>
      </c>
      <c r="M2487">
        <f t="shared" si="76"/>
      </c>
      <c r="N2487">
        <f>IF('R.M Billets Reports'!J2486="","",'R.M Billets Reports'!J2486)</f>
      </c>
      <c r="O2487">
        <f t="shared" si="77"/>
      </c>
      <c r="P2487">
        <f>IF('R.M Billets Reports'!A2486="SIZE",'R.M Billets Reports'!B2486,P2486)</f>
      </c>
    </row>
    <row r="2488" spans="1:16" x14ac:dyDescent="0.25">
      <c r="A2488">
        <f>IF(OR('R.M Billets Reports'!A2487="Date-",'R.M Billets Reports'!A2487="Date:-"),IF(IF(IF(ISNUMBER(SEARCH("Party Name:-",'R.M Billets Reports'!D2487)),TRIM('R.M Billets Reports'!F2487),IF(ISNUMBER(SEARCH("Party Name-",'R.M Billets Reports'!D2487)),TRIM(MID('R.M Billets Reports'!D2487,SEARCH("-",'R.M Billets Reports'!D2487)+1,200)),""))&lt;&gt;"",IF(ISNUMBER(SEARCH("Party Name:-",'R.M Billets Reports'!D2487)),TRIM('R.M Billets Reports'!F2487),IF(ISNUMBER(SEARCH("Party Name-",'R.M Billets Reports'!D2487)),TRIM(MID('R.M Billets Reports'!D2487,SEARCH("-",'R.M Billets Reports'!D2487)+1,200)),"")),IF(ISNUMBER(SEARCH("Party Name:-",'R.M Billets Reports'!D2488)),TRIM('R.M Billets Reports'!F2488),IF(ISNUMBER(SEARCH("Party Name-",'R.M Billets Reports'!D2488)),TRIM(MID('R.M Billets Reports'!D2488,SEARCH("-",'R.M Billets Reports'!D2488)+1,200)),"")))="VRKP ISPAT PVT LTD","VRKP",IF(IF(IF(ISNUMBER(SEARCH("Party Name:-",'R.M Billets Reports'!D2487)),TRIM('R.M Billets Reports'!F2487),IF(ISNUMBER(SEARCH("Party Name-",'R.M Billets Reports'!D2487)),TRIM(MID('R.M Billets Reports'!D2487,SEARCH("-",'R.M Billets Reports'!D2487)+1,200)),""))&lt;&gt;"",IF(ISNUMBER(SEARCH("Party Name:-",'R.M Billets Reports'!D2487)),TRIM('R.M Billets Reports'!F2487),IF(ISNUMBER(SEARCH("Party Name-",'R.M Billets Reports'!D2487)),TRIM(MID('R.M Billets Reports'!D2487,SEARCH("-",'R.M Billets Reports'!D2487)+1,200)),"")),IF(ISNUMBER(SEARCH("Party Name:-",'R.M Billets Reports'!D2488)),TRIM('R.M Billets Reports'!F2488),IF(ISNUMBER(SEARCH("Party Name-",'R.M Billets Reports'!D2488)),TRIM(MID('R.M Billets Reports'!D2488,SEARCH("-",'R.M Billets Reports'!D2488)+1,200)),"")))="SHRI RADHE","SHREE RADHE",IF(IF(IF(ISNUMBER(SEARCH("Party Name:-",'R.M Billets Reports'!D2487)),TRIM('R.M Billets Reports'!F2487),IF(ISNUMBER(SEARCH("Party Name-",'R.M Billets Reports'!D2487)),TRIM(MID('R.M Billets Reports'!D2487,SEARCH("-",'R.M Billets Reports'!D2487)+1,200)),""))&lt;&gt;"",IF(ISNUMBER(SEARCH("Party Name:-",'R.M Billets Reports'!D2487)),TRIM('R.M Billets Reports'!F2487),IF(ISNUMBER(SEARCH("Party Name-",'R.M Billets Reports'!D2487)),TRIM(MID('R.M Billets Reports'!D2487,SEARCH("-",'R.M Billets Reports'!D2487)+1,200)),"")),IF(ISNUMBER(SEARCH("Party Name:-",'R.M Billets Reports'!D2488)),TRIM('R.M Billets Reports'!F2488),IF(ISNUMBER(SEARCH("Party Name-",'R.M Billets Reports'!D2488)),TRIM(MID('R.M Billets Reports'!D2488,SEARCH("-",'R.M Billets Reports'!D2488)+1,200)),"")))="SHREE RADHE SHAKTI SPONGE AND POWER PVT. LTD.","SHREE RADHE",IF(IF(ISNUMBER(SEARCH("Party Name:-",'R.M Billets Reports'!D2487)),TRIM('R.M Billets Reports'!F2487),IF(ISNUMBER(SEARCH("Party Name-",'R.M Billets Reports'!D2487)),TRIM(MID('R.M Billets Reports'!D2487,SEARCH("-",'R.M Billets Reports'!D2487)+1,200)),""))&lt;&gt;"",IF(ISNUMBER(SEARCH("Party Name:-",'R.M Billets Reports'!D2487)),TRIM('R.M Billets Reports'!F2487),IF(ISNUMBER(SEARCH("Party Name-",'R.M Billets Reports'!D2487)),TRIM(MID('R.M Billets Reports'!D2487,SEARCH("-",'R.M Billets Reports'!D2487)+1,200)),"")),IF(ISNUMBER(SEARCH("Party Name:-",'R.M Billets Reports'!D2488)),TRIM('R.M Billets Reports'!F2488),IF(ISNUMBER(SEARCH("Party Name-",'R.M Billets Reports'!D2488)),TRIM(MID('R.M Billets Reports'!D2488,SEARCH("-",'R.M Billets Reports'!D2488)+1,200)),"")))))),IF(ROW()=2,"",A2487))</f>
      </c>
      <c r="B2488">
        <f>IF(OR('R.M Billets Reports'!A2487="Date-",'R.M Billets Reports'!A2487="Date:-"),'R.M Billets Reports'!B2487,IF(ROW()=2,"",B2487))</f>
      </c>
      <c r="C2488">
        <f>IF('R.M Billets Reports'!A2487="V.No.",'R.M Billets Reports'!B2487,IF(ROW()=2,"",C2487))</f>
      </c>
      <c r="D2488">
        <f>IF('R.M Billets Reports'!A2487&lt;&gt;"",'R.M Billets Reports'!A2487,IF(ROW()=2,"",D2487))</f>
      </c>
      <c r="E2488">
        <f>IF('R.M Billets Reports'!B2487="","",TRIM('R.M Billets Reports'!B2487))</f>
      </c>
      <c r="F2488">
        <f>'R.M Billets Reports'!C2487</f>
      </c>
      <c r="G2488">
        <f>'R.M Billets Reports'!D2487</f>
      </c>
      <c r="H2488">
        <f>'R.M Billets Reports'!E2487</f>
      </c>
      <c r="I2488">
        <f>'R.M Billets Reports'!F2487</f>
      </c>
      <c r="J2488">
        <f>'R.M Billets Reports'!G2487</f>
      </c>
      <c r="K2488">
        <f>'R.M Billets Reports'!H2487</f>
      </c>
      <c r="L2488">
        <f>IF('R.M Billets Reports'!I2487="","",'R.M Billets Reports'!I2487)</f>
      </c>
      <c r="M2488">
        <f t="shared" si="76"/>
      </c>
      <c r="N2488">
        <f>IF('R.M Billets Reports'!J2487="","",'R.M Billets Reports'!J2487)</f>
      </c>
      <c r="O2488">
        <f t="shared" si="77"/>
      </c>
      <c r="P2488">
        <f>IF('R.M Billets Reports'!A2487="SIZE",'R.M Billets Reports'!B2487,P2487)</f>
      </c>
    </row>
    <row r="2489" spans="1:16" x14ac:dyDescent="0.25">
      <c r="A2489">
        <f>IF(OR('R.M Billets Reports'!A2488="Date-",'R.M Billets Reports'!A2488="Date:-"),IF(IF(IF(ISNUMBER(SEARCH("Party Name:-",'R.M Billets Reports'!D2488)),TRIM('R.M Billets Reports'!F2488),IF(ISNUMBER(SEARCH("Party Name-",'R.M Billets Reports'!D2488)),TRIM(MID('R.M Billets Reports'!D2488,SEARCH("-",'R.M Billets Reports'!D2488)+1,200)),""))&lt;&gt;"",IF(ISNUMBER(SEARCH("Party Name:-",'R.M Billets Reports'!D2488)),TRIM('R.M Billets Reports'!F2488),IF(ISNUMBER(SEARCH("Party Name-",'R.M Billets Reports'!D2488)),TRIM(MID('R.M Billets Reports'!D2488,SEARCH("-",'R.M Billets Reports'!D2488)+1,200)),"")),IF(ISNUMBER(SEARCH("Party Name:-",'R.M Billets Reports'!D2489)),TRIM('R.M Billets Reports'!F2489),IF(ISNUMBER(SEARCH("Party Name-",'R.M Billets Reports'!D2489)),TRIM(MID('R.M Billets Reports'!D2489,SEARCH("-",'R.M Billets Reports'!D2489)+1,200)),"")))="VRKP ISPAT PVT LTD","VRKP",IF(IF(IF(ISNUMBER(SEARCH("Party Name:-",'R.M Billets Reports'!D2488)),TRIM('R.M Billets Reports'!F2488),IF(ISNUMBER(SEARCH("Party Name-",'R.M Billets Reports'!D2488)),TRIM(MID('R.M Billets Reports'!D2488,SEARCH("-",'R.M Billets Reports'!D2488)+1,200)),""))&lt;&gt;"",IF(ISNUMBER(SEARCH("Party Name:-",'R.M Billets Reports'!D2488)),TRIM('R.M Billets Reports'!F2488),IF(ISNUMBER(SEARCH("Party Name-",'R.M Billets Reports'!D2488)),TRIM(MID('R.M Billets Reports'!D2488,SEARCH("-",'R.M Billets Reports'!D2488)+1,200)),"")),IF(ISNUMBER(SEARCH("Party Name:-",'R.M Billets Reports'!D2489)),TRIM('R.M Billets Reports'!F2489),IF(ISNUMBER(SEARCH("Party Name-",'R.M Billets Reports'!D2489)),TRIM(MID('R.M Billets Reports'!D2489,SEARCH("-",'R.M Billets Reports'!D2489)+1,200)),"")))="SHRI RADHE","SHREE RADHE",IF(IF(IF(ISNUMBER(SEARCH("Party Name:-",'R.M Billets Reports'!D2488)),TRIM('R.M Billets Reports'!F2488),IF(ISNUMBER(SEARCH("Party Name-",'R.M Billets Reports'!D2488)),TRIM(MID('R.M Billets Reports'!D2488,SEARCH("-",'R.M Billets Reports'!D2488)+1,200)),""))&lt;&gt;"",IF(ISNUMBER(SEARCH("Party Name:-",'R.M Billets Reports'!D2488)),TRIM('R.M Billets Reports'!F2488),IF(ISNUMBER(SEARCH("Party Name-",'R.M Billets Reports'!D2488)),TRIM(MID('R.M Billets Reports'!D2488,SEARCH("-",'R.M Billets Reports'!D2488)+1,200)),"")),IF(ISNUMBER(SEARCH("Party Name:-",'R.M Billets Reports'!D2489)),TRIM('R.M Billets Reports'!F2489),IF(ISNUMBER(SEARCH("Party Name-",'R.M Billets Reports'!D2489)),TRIM(MID('R.M Billets Reports'!D2489,SEARCH("-",'R.M Billets Reports'!D2489)+1,200)),"")))="SHREE RADHE SHAKTI SPONGE AND POWER PVT. LTD.","SHREE RADHE",IF(IF(ISNUMBER(SEARCH("Party Name:-",'R.M Billets Reports'!D2488)),TRIM('R.M Billets Reports'!F2488),IF(ISNUMBER(SEARCH("Party Name-",'R.M Billets Reports'!D2488)),TRIM(MID('R.M Billets Reports'!D2488,SEARCH("-",'R.M Billets Reports'!D2488)+1,200)),""))&lt;&gt;"",IF(ISNUMBER(SEARCH("Party Name:-",'R.M Billets Reports'!D2488)),TRIM('R.M Billets Reports'!F2488),IF(ISNUMBER(SEARCH("Party Name-",'R.M Billets Reports'!D2488)),TRIM(MID('R.M Billets Reports'!D2488,SEARCH("-",'R.M Billets Reports'!D2488)+1,200)),"")),IF(ISNUMBER(SEARCH("Party Name:-",'R.M Billets Reports'!D2489)),TRIM('R.M Billets Reports'!F2489),IF(ISNUMBER(SEARCH("Party Name-",'R.M Billets Reports'!D2489)),TRIM(MID('R.M Billets Reports'!D2489,SEARCH("-",'R.M Billets Reports'!D2489)+1,200)),"")))))),IF(ROW()=2,"",A2488))</f>
      </c>
      <c r="B2489">
        <f>IF(OR('R.M Billets Reports'!A2488="Date-",'R.M Billets Reports'!A2488="Date:-"),'R.M Billets Reports'!B2488,IF(ROW()=2,"",B2488))</f>
      </c>
      <c r="C2489">
        <f>IF('R.M Billets Reports'!A2488="V.No.",'R.M Billets Reports'!B2488,IF(ROW()=2,"",C2488))</f>
      </c>
      <c r="D2489">
        <f>IF('R.M Billets Reports'!A2488&lt;&gt;"",'R.M Billets Reports'!A2488,IF(ROW()=2,"",D2488))</f>
      </c>
      <c r="E2489">
        <f>IF('R.M Billets Reports'!B2488="","",TRIM('R.M Billets Reports'!B2488))</f>
      </c>
      <c r="F2489">
        <f>'R.M Billets Reports'!C2488</f>
      </c>
      <c r="G2489">
        <f>'R.M Billets Reports'!D2488</f>
      </c>
      <c r="H2489">
        <f>'R.M Billets Reports'!E2488</f>
      </c>
      <c r="I2489">
        <f>'R.M Billets Reports'!F2488</f>
      </c>
      <c r="J2489">
        <f>'R.M Billets Reports'!G2488</f>
      </c>
      <c r="K2489">
        <f>'R.M Billets Reports'!H2488</f>
      </c>
      <c r="L2489">
        <f>IF('R.M Billets Reports'!I2488="","",'R.M Billets Reports'!I2488)</f>
      </c>
      <c r="M2489">
        <f t="shared" si="76"/>
      </c>
      <c r="N2489">
        <f>IF('R.M Billets Reports'!J2488="","",'R.M Billets Reports'!J2488)</f>
      </c>
      <c r="O2489">
        <f t="shared" si="77"/>
      </c>
      <c r="P2489">
        <f>IF('R.M Billets Reports'!A2488="SIZE",'R.M Billets Reports'!B2488,P2488)</f>
      </c>
    </row>
    <row r="2490" spans="1:16" x14ac:dyDescent="0.25">
      <c r="A2490">
        <f>IF(OR('R.M Billets Reports'!A2489="Date-",'R.M Billets Reports'!A2489="Date:-"),IF(IF(IF(ISNUMBER(SEARCH("Party Name:-",'R.M Billets Reports'!D2489)),TRIM('R.M Billets Reports'!F2489),IF(ISNUMBER(SEARCH("Party Name-",'R.M Billets Reports'!D2489)),TRIM(MID('R.M Billets Reports'!D2489,SEARCH("-",'R.M Billets Reports'!D2489)+1,200)),""))&lt;&gt;"",IF(ISNUMBER(SEARCH("Party Name:-",'R.M Billets Reports'!D2489)),TRIM('R.M Billets Reports'!F2489),IF(ISNUMBER(SEARCH("Party Name-",'R.M Billets Reports'!D2489)),TRIM(MID('R.M Billets Reports'!D2489,SEARCH("-",'R.M Billets Reports'!D2489)+1,200)),"")),IF(ISNUMBER(SEARCH("Party Name:-",'R.M Billets Reports'!D2490)),TRIM('R.M Billets Reports'!F2490),IF(ISNUMBER(SEARCH("Party Name-",'R.M Billets Reports'!D2490)),TRIM(MID('R.M Billets Reports'!D2490,SEARCH("-",'R.M Billets Reports'!D2490)+1,200)),"")))="VRKP ISPAT PVT LTD","VRKP",IF(IF(IF(ISNUMBER(SEARCH("Party Name:-",'R.M Billets Reports'!D2489)),TRIM('R.M Billets Reports'!F2489),IF(ISNUMBER(SEARCH("Party Name-",'R.M Billets Reports'!D2489)),TRIM(MID('R.M Billets Reports'!D2489,SEARCH("-",'R.M Billets Reports'!D2489)+1,200)),""))&lt;&gt;"",IF(ISNUMBER(SEARCH("Party Name:-",'R.M Billets Reports'!D2489)),TRIM('R.M Billets Reports'!F2489),IF(ISNUMBER(SEARCH("Party Name-",'R.M Billets Reports'!D2489)),TRIM(MID('R.M Billets Reports'!D2489,SEARCH("-",'R.M Billets Reports'!D2489)+1,200)),"")),IF(ISNUMBER(SEARCH("Party Name:-",'R.M Billets Reports'!D2490)),TRIM('R.M Billets Reports'!F2490),IF(ISNUMBER(SEARCH("Party Name-",'R.M Billets Reports'!D2490)),TRIM(MID('R.M Billets Reports'!D2490,SEARCH("-",'R.M Billets Reports'!D2490)+1,200)),"")))="SHRI RADHE","SHREE RADHE",IF(IF(IF(ISNUMBER(SEARCH("Party Name:-",'R.M Billets Reports'!D2489)),TRIM('R.M Billets Reports'!F2489),IF(ISNUMBER(SEARCH("Party Name-",'R.M Billets Reports'!D2489)),TRIM(MID('R.M Billets Reports'!D2489,SEARCH("-",'R.M Billets Reports'!D2489)+1,200)),""))&lt;&gt;"",IF(ISNUMBER(SEARCH("Party Name:-",'R.M Billets Reports'!D2489)),TRIM('R.M Billets Reports'!F2489),IF(ISNUMBER(SEARCH("Party Name-",'R.M Billets Reports'!D2489)),TRIM(MID('R.M Billets Reports'!D2489,SEARCH("-",'R.M Billets Reports'!D2489)+1,200)),"")),IF(ISNUMBER(SEARCH("Party Name:-",'R.M Billets Reports'!D2490)),TRIM('R.M Billets Reports'!F2490),IF(ISNUMBER(SEARCH("Party Name-",'R.M Billets Reports'!D2490)),TRIM(MID('R.M Billets Reports'!D2490,SEARCH("-",'R.M Billets Reports'!D2490)+1,200)),"")))="SHREE RADHE SHAKTI SPONGE AND POWER PVT. LTD.","SHREE RADHE",IF(IF(ISNUMBER(SEARCH("Party Name:-",'R.M Billets Reports'!D2489)),TRIM('R.M Billets Reports'!F2489),IF(ISNUMBER(SEARCH("Party Name-",'R.M Billets Reports'!D2489)),TRIM(MID('R.M Billets Reports'!D2489,SEARCH("-",'R.M Billets Reports'!D2489)+1,200)),""))&lt;&gt;"",IF(ISNUMBER(SEARCH("Party Name:-",'R.M Billets Reports'!D2489)),TRIM('R.M Billets Reports'!F2489),IF(ISNUMBER(SEARCH("Party Name-",'R.M Billets Reports'!D2489)),TRIM(MID('R.M Billets Reports'!D2489,SEARCH("-",'R.M Billets Reports'!D2489)+1,200)),"")),IF(ISNUMBER(SEARCH("Party Name:-",'R.M Billets Reports'!D2490)),TRIM('R.M Billets Reports'!F2490),IF(ISNUMBER(SEARCH("Party Name-",'R.M Billets Reports'!D2490)),TRIM(MID('R.M Billets Reports'!D2490,SEARCH("-",'R.M Billets Reports'!D2490)+1,200)),"")))))),IF(ROW()=2,"",A2489))</f>
      </c>
      <c r="B2490">
        <f>IF(OR('R.M Billets Reports'!A2489="Date-",'R.M Billets Reports'!A2489="Date:-"),'R.M Billets Reports'!B2489,IF(ROW()=2,"",B2489))</f>
      </c>
      <c r="C2490">
        <f>IF('R.M Billets Reports'!A2489="V.No.",'R.M Billets Reports'!B2489,IF(ROW()=2,"",C2489))</f>
      </c>
      <c r="D2490">
        <f>IF('R.M Billets Reports'!A2489&lt;&gt;"",'R.M Billets Reports'!A2489,IF(ROW()=2,"",D2489))</f>
      </c>
      <c r="E2490">
        <f>IF('R.M Billets Reports'!B2489="","",TRIM('R.M Billets Reports'!B2489))</f>
      </c>
      <c r="F2490">
        <f>'R.M Billets Reports'!C2489</f>
      </c>
      <c r="G2490">
        <f>'R.M Billets Reports'!D2489</f>
      </c>
      <c r="H2490">
        <f>'R.M Billets Reports'!E2489</f>
      </c>
      <c r="I2490">
        <f>'R.M Billets Reports'!F2489</f>
      </c>
      <c r="J2490">
        <f>'R.M Billets Reports'!G2489</f>
      </c>
      <c r="K2490">
        <f>'R.M Billets Reports'!H2489</f>
      </c>
      <c r="L2490">
        <f>IF('R.M Billets Reports'!I2489="","",'R.M Billets Reports'!I2489)</f>
      </c>
      <c r="M2490">
        <f t="shared" si="76"/>
      </c>
      <c r="N2490">
        <f>IF('R.M Billets Reports'!J2489="","",'R.M Billets Reports'!J2489)</f>
      </c>
      <c r="O2490">
        <f t="shared" si="77"/>
      </c>
      <c r="P2490">
        <f>IF('R.M Billets Reports'!A2489="SIZE",'R.M Billets Reports'!B2489,P2489)</f>
      </c>
    </row>
    <row r="2491" spans="1:16" x14ac:dyDescent="0.25">
      <c r="A2491">
        <f>IF(OR('R.M Billets Reports'!A2490="Date-",'R.M Billets Reports'!A2490="Date:-"),IF(IF(IF(ISNUMBER(SEARCH("Party Name:-",'R.M Billets Reports'!D2490)),TRIM('R.M Billets Reports'!F2490),IF(ISNUMBER(SEARCH("Party Name-",'R.M Billets Reports'!D2490)),TRIM(MID('R.M Billets Reports'!D2490,SEARCH("-",'R.M Billets Reports'!D2490)+1,200)),""))&lt;&gt;"",IF(ISNUMBER(SEARCH("Party Name:-",'R.M Billets Reports'!D2490)),TRIM('R.M Billets Reports'!F2490),IF(ISNUMBER(SEARCH("Party Name-",'R.M Billets Reports'!D2490)),TRIM(MID('R.M Billets Reports'!D2490,SEARCH("-",'R.M Billets Reports'!D2490)+1,200)),"")),IF(ISNUMBER(SEARCH("Party Name:-",'R.M Billets Reports'!D2491)),TRIM('R.M Billets Reports'!F2491),IF(ISNUMBER(SEARCH("Party Name-",'R.M Billets Reports'!D2491)),TRIM(MID('R.M Billets Reports'!D2491,SEARCH("-",'R.M Billets Reports'!D2491)+1,200)),"")))="VRKP ISPAT PVT LTD","VRKP",IF(IF(IF(ISNUMBER(SEARCH("Party Name:-",'R.M Billets Reports'!D2490)),TRIM('R.M Billets Reports'!F2490),IF(ISNUMBER(SEARCH("Party Name-",'R.M Billets Reports'!D2490)),TRIM(MID('R.M Billets Reports'!D2490,SEARCH("-",'R.M Billets Reports'!D2490)+1,200)),""))&lt;&gt;"",IF(ISNUMBER(SEARCH("Party Name:-",'R.M Billets Reports'!D2490)),TRIM('R.M Billets Reports'!F2490),IF(ISNUMBER(SEARCH("Party Name-",'R.M Billets Reports'!D2490)),TRIM(MID('R.M Billets Reports'!D2490,SEARCH("-",'R.M Billets Reports'!D2490)+1,200)),"")),IF(ISNUMBER(SEARCH("Party Name:-",'R.M Billets Reports'!D2491)),TRIM('R.M Billets Reports'!F2491),IF(ISNUMBER(SEARCH("Party Name-",'R.M Billets Reports'!D2491)),TRIM(MID('R.M Billets Reports'!D2491,SEARCH("-",'R.M Billets Reports'!D2491)+1,200)),"")))="SHRI RADHE","SHREE RADHE",IF(IF(IF(ISNUMBER(SEARCH("Party Name:-",'R.M Billets Reports'!D2490)),TRIM('R.M Billets Reports'!F2490),IF(ISNUMBER(SEARCH("Party Name-",'R.M Billets Reports'!D2490)),TRIM(MID('R.M Billets Reports'!D2490,SEARCH("-",'R.M Billets Reports'!D2490)+1,200)),""))&lt;&gt;"",IF(ISNUMBER(SEARCH("Party Name:-",'R.M Billets Reports'!D2490)),TRIM('R.M Billets Reports'!F2490),IF(ISNUMBER(SEARCH("Party Name-",'R.M Billets Reports'!D2490)),TRIM(MID('R.M Billets Reports'!D2490,SEARCH("-",'R.M Billets Reports'!D2490)+1,200)),"")),IF(ISNUMBER(SEARCH("Party Name:-",'R.M Billets Reports'!D2491)),TRIM('R.M Billets Reports'!F2491),IF(ISNUMBER(SEARCH("Party Name-",'R.M Billets Reports'!D2491)),TRIM(MID('R.M Billets Reports'!D2491,SEARCH("-",'R.M Billets Reports'!D2491)+1,200)),"")))="SHREE RADHE SHAKTI SPONGE AND POWER PVT. LTD.","SHREE RADHE",IF(IF(ISNUMBER(SEARCH("Party Name:-",'R.M Billets Reports'!D2490)),TRIM('R.M Billets Reports'!F2490),IF(ISNUMBER(SEARCH("Party Name-",'R.M Billets Reports'!D2490)),TRIM(MID('R.M Billets Reports'!D2490,SEARCH("-",'R.M Billets Reports'!D2490)+1,200)),""))&lt;&gt;"",IF(ISNUMBER(SEARCH("Party Name:-",'R.M Billets Reports'!D2490)),TRIM('R.M Billets Reports'!F2490),IF(ISNUMBER(SEARCH("Party Name-",'R.M Billets Reports'!D2490)),TRIM(MID('R.M Billets Reports'!D2490,SEARCH("-",'R.M Billets Reports'!D2490)+1,200)),"")),IF(ISNUMBER(SEARCH("Party Name:-",'R.M Billets Reports'!D2491)),TRIM('R.M Billets Reports'!F2491),IF(ISNUMBER(SEARCH("Party Name-",'R.M Billets Reports'!D2491)),TRIM(MID('R.M Billets Reports'!D2491,SEARCH("-",'R.M Billets Reports'!D2491)+1,200)),"")))))),IF(ROW()=2,"",A2490))</f>
      </c>
      <c r="B2491">
        <f>IF(OR('R.M Billets Reports'!A2490="Date-",'R.M Billets Reports'!A2490="Date:-"),'R.M Billets Reports'!B2490,IF(ROW()=2,"",B2490))</f>
      </c>
      <c r="C2491">
        <f>IF('R.M Billets Reports'!A2490="V.No.",'R.M Billets Reports'!B2490,IF(ROW()=2,"",C2490))</f>
      </c>
      <c r="D2491">
        <f>IF('R.M Billets Reports'!A2490&lt;&gt;"",'R.M Billets Reports'!A2490,IF(ROW()=2,"",D2490))</f>
      </c>
      <c r="E2491">
        <f>IF('R.M Billets Reports'!B2490="","",TRIM('R.M Billets Reports'!B2490))</f>
      </c>
      <c r="F2491">
        <f>'R.M Billets Reports'!C2490</f>
      </c>
      <c r="G2491">
        <f>'R.M Billets Reports'!D2490</f>
      </c>
      <c r="H2491">
        <f>'R.M Billets Reports'!E2490</f>
      </c>
      <c r="I2491">
        <f>'R.M Billets Reports'!F2490</f>
      </c>
      <c r="J2491">
        <f>'R.M Billets Reports'!G2490</f>
      </c>
      <c r="K2491">
        <f>'R.M Billets Reports'!H2490</f>
      </c>
      <c r="L2491">
        <f>IF('R.M Billets Reports'!I2490="","",'R.M Billets Reports'!I2490)</f>
      </c>
      <c r="M2491">
        <f t="shared" si="76"/>
      </c>
      <c r="N2491">
        <f>IF('R.M Billets Reports'!J2490="","",'R.M Billets Reports'!J2490)</f>
      </c>
      <c r="O2491">
        <f t="shared" si="77"/>
      </c>
      <c r="P2491">
        <f>IF('R.M Billets Reports'!A2490="SIZE",'R.M Billets Reports'!B2490,P2490)</f>
      </c>
    </row>
    <row r="2492" spans="1:16" x14ac:dyDescent="0.25">
      <c r="A2492">
        <f>IF(OR('R.M Billets Reports'!A2491="Date-",'R.M Billets Reports'!A2491="Date:-"),IF(IF(IF(ISNUMBER(SEARCH("Party Name:-",'R.M Billets Reports'!D2491)),TRIM('R.M Billets Reports'!F2491),IF(ISNUMBER(SEARCH("Party Name-",'R.M Billets Reports'!D2491)),TRIM(MID('R.M Billets Reports'!D2491,SEARCH("-",'R.M Billets Reports'!D2491)+1,200)),""))&lt;&gt;"",IF(ISNUMBER(SEARCH("Party Name:-",'R.M Billets Reports'!D2491)),TRIM('R.M Billets Reports'!F2491),IF(ISNUMBER(SEARCH("Party Name-",'R.M Billets Reports'!D2491)),TRIM(MID('R.M Billets Reports'!D2491,SEARCH("-",'R.M Billets Reports'!D2491)+1,200)),"")),IF(ISNUMBER(SEARCH("Party Name:-",'R.M Billets Reports'!D2492)),TRIM('R.M Billets Reports'!F2492),IF(ISNUMBER(SEARCH("Party Name-",'R.M Billets Reports'!D2492)),TRIM(MID('R.M Billets Reports'!D2492,SEARCH("-",'R.M Billets Reports'!D2492)+1,200)),"")))="VRKP ISPAT PVT LTD","VRKP",IF(IF(IF(ISNUMBER(SEARCH("Party Name:-",'R.M Billets Reports'!D2491)),TRIM('R.M Billets Reports'!F2491),IF(ISNUMBER(SEARCH("Party Name-",'R.M Billets Reports'!D2491)),TRIM(MID('R.M Billets Reports'!D2491,SEARCH("-",'R.M Billets Reports'!D2491)+1,200)),""))&lt;&gt;"",IF(ISNUMBER(SEARCH("Party Name:-",'R.M Billets Reports'!D2491)),TRIM('R.M Billets Reports'!F2491),IF(ISNUMBER(SEARCH("Party Name-",'R.M Billets Reports'!D2491)),TRIM(MID('R.M Billets Reports'!D2491,SEARCH("-",'R.M Billets Reports'!D2491)+1,200)),"")),IF(ISNUMBER(SEARCH("Party Name:-",'R.M Billets Reports'!D2492)),TRIM('R.M Billets Reports'!F2492),IF(ISNUMBER(SEARCH("Party Name-",'R.M Billets Reports'!D2492)),TRIM(MID('R.M Billets Reports'!D2492,SEARCH("-",'R.M Billets Reports'!D2492)+1,200)),"")))="SHRI RADHE","SHREE RADHE",IF(IF(IF(ISNUMBER(SEARCH("Party Name:-",'R.M Billets Reports'!D2491)),TRIM('R.M Billets Reports'!F2491),IF(ISNUMBER(SEARCH("Party Name-",'R.M Billets Reports'!D2491)),TRIM(MID('R.M Billets Reports'!D2491,SEARCH("-",'R.M Billets Reports'!D2491)+1,200)),""))&lt;&gt;"",IF(ISNUMBER(SEARCH("Party Name:-",'R.M Billets Reports'!D2491)),TRIM('R.M Billets Reports'!F2491),IF(ISNUMBER(SEARCH("Party Name-",'R.M Billets Reports'!D2491)),TRIM(MID('R.M Billets Reports'!D2491,SEARCH("-",'R.M Billets Reports'!D2491)+1,200)),"")),IF(ISNUMBER(SEARCH("Party Name:-",'R.M Billets Reports'!D2492)),TRIM('R.M Billets Reports'!F2492),IF(ISNUMBER(SEARCH("Party Name-",'R.M Billets Reports'!D2492)),TRIM(MID('R.M Billets Reports'!D2492,SEARCH("-",'R.M Billets Reports'!D2492)+1,200)),"")))="SHREE RADHE SHAKTI SPONGE AND POWER PVT. LTD.","SHREE RADHE",IF(IF(ISNUMBER(SEARCH("Party Name:-",'R.M Billets Reports'!D2491)),TRIM('R.M Billets Reports'!F2491),IF(ISNUMBER(SEARCH("Party Name-",'R.M Billets Reports'!D2491)),TRIM(MID('R.M Billets Reports'!D2491,SEARCH("-",'R.M Billets Reports'!D2491)+1,200)),""))&lt;&gt;"",IF(ISNUMBER(SEARCH("Party Name:-",'R.M Billets Reports'!D2491)),TRIM('R.M Billets Reports'!F2491),IF(ISNUMBER(SEARCH("Party Name-",'R.M Billets Reports'!D2491)),TRIM(MID('R.M Billets Reports'!D2491,SEARCH("-",'R.M Billets Reports'!D2491)+1,200)),"")),IF(ISNUMBER(SEARCH("Party Name:-",'R.M Billets Reports'!D2492)),TRIM('R.M Billets Reports'!F2492),IF(ISNUMBER(SEARCH("Party Name-",'R.M Billets Reports'!D2492)),TRIM(MID('R.M Billets Reports'!D2492,SEARCH("-",'R.M Billets Reports'!D2492)+1,200)),"")))))),IF(ROW()=2,"",A2491))</f>
      </c>
      <c r="B2492">
        <f>IF(OR('R.M Billets Reports'!A2491="Date-",'R.M Billets Reports'!A2491="Date:-"),'R.M Billets Reports'!B2491,IF(ROW()=2,"",B2491))</f>
      </c>
      <c r="C2492">
        <f>IF('R.M Billets Reports'!A2491="V.No.",'R.M Billets Reports'!B2491,IF(ROW()=2,"",C2491))</f>
      </c>
      <c r="D2492">
        <f>IF('R.M Billets Reports'!A2491&lt;&gt;"",'R.M Billets Reports'!A2491,IF(ROW()=2,"",D2491))</f>
      </c>
      <c r="E2492">
        <f>IF('R.M Billets Reports'!B2491="","",TRIM('R.M Billets Reports'!B2491))</f>
      </c>
      <c r="F2492">
        <f>'R.M Billets Reports'!C2491</f>
      </c>
      <c r="G2492">
        <f>'R.M Billets Reports'!D2491</f>
      </c>
      <c r="H2492">
        <f>'R.M Billets Reports'!E2491</f>
      </c>
      <c r="I2492">
        <f>'R.M Billets Reports'!F2491</f>
      </c>
      <c r="J2492">
        <f>'R.M Billets Reports'!G2491</f>
      </c>
      <c r="K2492">
        <f>'R.M Billets Reports'!H2491</f>
      </c>
      <c r="L2492">
        <f>IF('R.M Billets Reports'!I2491="","",'R.M Billets Reports'!I2491)</f>
      </c>
      <c r="M2492">
        <f t="shared" si="76"/>
      </c>
      <c r="N2492">
        <f>IF('R.M Billets Reports'!J2491="","",'R.M Billets Reports'!J2491)</f>
      </c>
      <c r="O2492">
        <f t="shared" si="77"/>
      </c>
      <c r="P2492">
        <f>IF('R.M Billets Reports'!A2491="SIZE",'R.M Billets Reports'!B2491,P2491)</f>
      </c>
    </row>
    <row r="2493" spans="1:16" x14ac:dyDescent="0.25">
      <c r="A2493">
        <f>IF(OR('R.M Billets Reports'!A2492="Date-",'R.M Billets Reports'!A2492="Date:-"),IF(IF(IF(ISNUMBER(SEARCH("Party Name:-",'R.M Billets Reports'!D2492)),TRIM('R.M Billets Reports'!F2492),IF(ISNUMBER(SEARCH("Party Name-",'R.M Billets Reports'!D2492)),TRIM(MID('R.M Billets Reports'!D2492,SEARCH("-",'R.M Billets Reports'!D2492)+1,200)),""))&lt;&gt;"",IF(ISNUMBER(SEARCH("Party Name:-",'R.M Billets Reports'!D2492)),TRIM('R.M Billets Reports'!F2492),IF(ISNUMBER(SEARCH("Party Name-",'R.M Billets Reports'!D2492)),TRIM(MID('R.M Billets Reports'!D2492,SEARCH("-",'R.M Billets Reports'!D2492)+1,200)),"")),IF(ISNUMBER(SEARCH("Party Name:-",'R.M Billets Reports'!D2493)),TRIM('R.M Billets Reports'!F2493),IF(ISNUMBER(SEARCH("Party Name-",'R.M Billets Reports'!D2493)),TRIM(MID('R.M Billets Reports'!D2493,SEARCH("-",'R.M Billets Reports'!D2493)+1,200)),"")))="VRKP ISPAT PVT LTD","VRKP",IF(IF(IF(ISNUMBER(SEARCH("Party Name:-",'R.M Billets Reports'!D2492)),TRIM('R.M Billets Reports'!F2492),IF(ISNUMBER(SEARCH("Party Name-",'R.M Billets Reports'!D2492)),TRIM(MID('R.M Billets Reports'!D2492,SEARCH("-",'R.M Billets Reports'!D2492)+1,200)),""))&lt;&gt;"",IF(ISNUMBER(SEARCH("Party Name:-",'R.M Billets Reports'!D2492)),TRIM('R.M Billets Reports'!F2492),IF(ISNUMBER(SEARCH("Party Name-",'R.M Billets Reports'!D2492)),TRIM(MID('R.M Billets Reports'!D2492,SEARCH("-",'R.M Billets Reports'!D2492)+1,200)),"")),IF(ISNUMBER(SEARCH("Party Name:-",'R.M Billets Reports'!D2493)),TRIM('R.M Billets Reports'!F2493),IF(ISNUMBER(SEARCH("Party Name-",'R.M Billets Reports'!D2493)),TRIM(MID('R.M Billets Reports'!D2493,SEARCH("-",'R.M Billets Reports'!D2493)+1,200)),"")))="SHRI RADHE","SHREE RADHE",IF(IF(IF(ISNUMBER(SEARCH("Party Name:-",'R.M Billets Reports'!D2492)),TRIM('R.M Billets Reports'!F2492),IF(ISNUMBER(SEARCH("Party Name-",'R.M Billets Reports'!D2492)),TRIM(MID('R.M Billets Reports'!D2492,SEARCH("-",'R.M Billets Reports'!D2492)+1,200)),""))&lt;&gt;"",IF(ISNUMBER(SEARCH("Party Name:-",'R.M Billets Reports'!D2492)),TRIM('R.M Billets Reports'!F2492),IF(ISNUMBER(SEARCH("Party Name-",'R.M Billets Reports'!D2492)),TRIM(MID('R.M Billets Reports'!D2492,SEARCH("-",'R.M Billets Reports'!D2492)+1,200)),"")),IF(ISNUMBER(SEARCH("Party Name:-",'R.M Billets Reports'!D2493)),TRIM('R.M Billets Reports'!F2493),IF(ISNUMBER(SEARCH("Party Name-",'R.M Billets Reports'!D2493)),TRIM(MID('R.M Billets Reports'!D2493,SEARCH("-",'R.M Billets Reports'!D2493)+1,200)),"")))="SHREE RADHE SHAKTI SPONGE AND POWER PVT. LTD.","SHREE RADHE",IF(IF(ISNUMBER(SEARCH("Party Name:-",'R.M Billets Reports'!D2492)),TRIM('R.M Billets Reports'!F2492),IF(ISNUMBER(SEARCH("Party Name-",'R.M Billets Reports'!D2492)),TRIM(MID('R.M Billets Reports'!D2492,SEARCH("-",'R.M Billets Reports'!D2492)+1,200)),""))&lt;&gt;"",IF(ISNUMBER(SEARCH("Party Name:-",'R.M Billets Reports'!D2492)),TRIM('R.M Billets Reports'!F2492),IF(ISNUMBER(SEARCH("Party Name-",'R.M Billets Reports'!D2492)),TRIM(MID('R.M Billets Reports'!D2492,SEARCH("-",'R.M Billets Reports'!D2492)+1,200)),"")),IF(ISNUMBER(SEARCH("Party Name:-",'R.M Billets Reports'!D2493)),TRIM('R.M Billets Reports'!F2493),IF(ISNUMBER(SEARCH("Party Name-",'R.M Billets Reports'!D2493)),TRIM(MID('R.M Billets Reports'!D2493,SEARCH("-",'R.M Billets Reports'!D2493)+1,200)),"")))))),IF(ROW()=2,"",A2492))</f>
      </c>
      <c r="B2493">
        <f>IF(OR('R.M Billets Reports'!A2492="Date-",'R.M Billets Reports'!A2492="Date:-"),'R.M Billets Reports'!B2492,IF(ROW()=2,"",B2492))</f>
      </c>
      <c r="C2493">
        <f>IF('R.M Billets Reports'!A2492="V.No.",'R.M Billets Reports'!B2492,IF(ROW()=2,"",C2492))</f>
      </c>
      <c r="D2493">
        <f>IF('R.M Billets Reports'!A2492&lt;&gt;"",'R.M Billets Reports'!A2492,IF(ROW()=2,"",D2492))</f>
      </c>
      <c r="E2493">
        <f>IF('R.M Billets Reports'!B2492="","",TRIM('R.M Billets Reports'!B2492))</f>
      </c>
      <c r="F2493">
        <f>'R.M Billets Reports'!C2492</f>
      </c>
      <c r="G2493">
        <f>'R.M Billets Reports'!D2492</f>
      </c>
      <c r="H2493">
        <f>'R.M Billets Reports'!E2492</f>
      </c>
      <c r="I2493">
        <f>'R.M Billets Reports'!F2492</f>
      </c>
      <c r="J2493">
        <f>'R.M Billets Reports'!G2492</f>
      </c>
      <c r="K2493">
        <f>'R.M Billets Reports'!H2492</f>
      </c>
      <c r="L2493">
        <f>IF('R.M Billets Reports'!I2492="","",'R.M Billets Reports'!I2492)</f>
      </c>
      <c r="M2493">
        <f t="shared" si="76"/>
      </c>
      <c r="N2493">
        <f>IF('R.M Billets Reports'!J2492="","",'R.M Billets Reports'!J2492)</f>
      </c>
      <c r="O2493">
        <f t="shared" si="77"/>
      </c>
      <c r="P2493">
        <f>IF('R.M Billets Reports'!A2492="SIZE",'R.M Billets Reports'!B2492,P2492)</f>
      </c>
    </row>
    <row r="2494" spans="1:16" x14ac:dyDescent="0.25">
      <c r="A2494">
        <f>IF(OR('R.M Billets Reports'!A2493="Date-",'R.M Billets Reports'!A2493="Date:-"),IF(IF(IF(ISNUMBER(SEARCH("Party Name:-",'R.M Billets Reports'!D2493)),TRIM('R.M Billets Reports'!F2493),IF(ISNUMBER(SEARCH("Party Name-",'R.M Billets Reports'!D2493)),TRIM(MID('R.M Billets Reports'!D2493,SEARCH("-",'R.M Billets Reports'!D2493)+1,200)),""))&lt;&gt;"",IF(ISNUMBER(SEARCH("Party Name:-",'R.M Billets Reports'!D2493)),TRIM('R.M Billets Reports'!F2493),IF(ISNUMBER(SEARCH("Party Name-",'R.M Billets Reports'!D2493)),TRIM(MID('R.M Billets Reports'!D2493,SEARCH("-",'R.M Billets Reports'!D2493)+1,200)),"")),IF(ISNUMBER(SEARCH("Party Name:-",'R.M Billets Reports'!D2494)),TRIM('R.M Billets Reports'!F2494),IF(ISNUMBER(SEARCH("Party Name-",'R.M Billets Reports'!D2494)),TRIM(MID('R.M Billets Reports'!D2494,SEARCH("-",'R.M Billets Reports'!D2494)+1,200)),"")))="VRKP ISPAT PVT LTD","VRKP",IF(IF(IF(ISNUMBER(SEARCH("Party Name:-",'R.M Billets Reports'!D2493)),TRIM('R.M Billets Reports'!F2493),IF(ISNUMBER(SEARCH("Party Name-",'R.M Billets Reports'!D2493)),TRIM(MID('R.M Billets Reports'!D2493,SEARCH("-",'R.M Billets Reports'!D2493)+1,200)),""))&lt;&gt;"",IF(ISNUMBER(SEARCH("Party Name:-",'R.M Billets Reports'!D2493)),TRIM('R.M Billets Reports'!F2493),IF(ISNUMBER(SEARCH("Party Name-",'R.M Billets Reports'!D2493)),TRIM(MID('R.M Billets Reports'!D2493,SEARCH("-",'R.M Billets Reports'!D2493)+1,200)),"")),IF(ISNUMBER(SEARCH("Party Name:-",'R.M Billets Reports'!D2494)),TRIM('R.M Billets Reports'!F2494),IF(ISNUMBER(SEARCH("Party Name-",'R.M Billets Reports'!D2494)),TRIM(MID('R.M Billets Reports'!D2494,SEARCH("-",'R.M Billets Reports'!D2494)+1,200)),"")))="SHRI RADHE","SHREE RADHE",IF(IF(IF(ISNUMBER(SEARCH("Party Name:-",'R.M Billets Reports'!D2493)),TRIM('R.M Billets Reports'!F2493),IF(ISNUMBER(SEARCH("Party Name-",'R.M Billets Reports'!D2493)),TRIM(MID('R.M Billets Reports'!D2493,SEARCH("-",'R.M Billets Reports'!D2493)+1,200)),""))&lt;&gt;"",IF(ISNUMBER(SEARCH("Party Name:-",'R.M Billets Reports'!D2493)),TRIM('R.M Billets Reports'!F2493),IF(ISNUMBER(SEARCH("Party Name-",'R.M Billets Reports'!D2493)),TRIM(MID('R.M Billets Reports'!D2493,SEARCH("-",'R.M Billets Reports'!D2493)+1,200)),"")),IF(ISNUMBER(SEARCH("Party Name:-",'R.M Billets Reports'!D2494)),TRIM('R.M Billets Reports'!F2494),IF(ISNUMBER(SEARCH("Party Name-",'R.M Billets Reports'!D2494)),TRIM(MID('R.M Billets Reports'!D2494,SEARCH("-",'R.M Billets Reports'!D2494)+1,200)),"")))="SHREE RADHE SHAKTI SPONGE AND POWER PVT. LTD.","SHREE RADHE",IF(IF(ISNUMBER(SEARCH("Party Name:-",'R.M Billets Reports'!D2493)),TRIM('R.M Billets Reports'!F2493),IF(ISNUMBER(SEARCH("Party Name-",'R.M Billets Reports'!D2493)),TRIM(MID('R.M Billets Reports'!D2493,SEARCH("-",'R.M Billets Reports'!D2493)+1,200)),""))&lt;&gt;"",IF(ISNUMBER(SEARCH("Party Name:-",'R.M Billets Reports'!D2493)),TRIM('R.M Billets Reports'!F2493),IF(ISNUMBER(SEARCH("Party Name-",'R.M Billets Reports'!D2493)),TRIM(MID('R.M Billets Reports'!D2493,SEARCH("-",'R.M Billets Reports'!D2493)+1,200)),"")),IF(ISNUMBER(SEARCH("Party Name:-",'R.M Billets Reports'!D2494)),TRIM('R.M Billets Reports'!F2494),IF(ISNUMBER(SEARCH("Party Name-",'R.M Billets Reports'!D2494)),TRIM(MID('R.M Billets Reports'!D2494,SEARCH("-",'R.M Billets Reports'!D2494)+1,200)),"")))))),IF(ROW()=2,"",A2493))</f>
      </c>
      <c r="B2494">
        <f>IF(OR('R.M Billets Reports'!A2493="Date-",'R.M Billets Reports'!A2493="Date:-"),'R.M Billets Reports'!B2493,IF(ROW()=2,"",B2493))</f>
      </c>
      <c r="C2494">
        <f>IF('R.M Billets Reports'!A2493="V.No.",'R.M Billets Reports'!B2493,IF(ROW()=2,"",C2493))</f>
      </c>
      <c r="D2494">
        <f>IF('R.M Billets Reports'!A2493&lt;&gt;"",'R.M Billets Reports'!A2493,IF(ROW()=2,"",D2493))</f>
      </c>
      <c r="E2494">
        <f>IF('R.M Billets Reports'!B2493="","",TRIM('R.M Billets Reports'!B2493))</f>
      </c>
      <c r="F2494">
        <f>'R.M Billets Reports'!C2493</f>
      </c>
      <c r="G2494">
        <f>'R.M Billets Reports'!D2493</f>
      </c>
      <c r="H2494">
        <f>'R.M Billets Reports'!E2493</f>
      </c>
      <c r="I2494">
        <f>'R.M Billets Reports'!F2493</f>
      </c>
      <c r="J2494">
        <f>'R.M Billets Reports'!G2493</f>
      </c>
      <c r="K2494">
        <f>'R.M Billets Reports'!H2493</f>
      </c>
      <c r="L2494">
        <f>IF('R.M Billets Reports'!I2493="","",'R.M Billets Reports'!I2493)</f>
      </c>
      <c r="M2494">
        <f t="shared" si="76"/>
      </c>
      <c r="N2494">
        <f>IF('R.M Billets Reports'!J2493="","",'R.M Billets Reports'!J2493)</f>
      </c>
      <c r="O2494">
        <f t="shared" si="77"/>
      </c>
      <c r="P2494">
        <f>IF('R.M Billets Reports'!A2493="SIZE",'R.M Billets Reports'!B2493,P2493)</f>
      </c>
    </row>
    <row r="2495" spans="1:16" x14ac:dyDescent="0.25">
      <c r="A2495">
        <f>IF(OR('R.M Billets Reports'!A2494="Date-",'R.M Billets Reports'!A2494="Date:-"),IF(IF(IF(ISNUMBER(SEARCH("Party Name:-",'R.M Billets Reports'!D2494)),TRIM('R.M Billets Reports'!F2494),IF(ISNUMBER(SEARCH("Party Name-",'R.M Billets Reports'!D2494)),TRIM(MID('R.M Billets Reports'!D2494,SEARCH("-",'R.M Billets Reports'!D2494)+1,200)),""))&lt;&gt;"",IF(ISNUMBER(SEARCH("Party Name:-",'R.M Billets Reports'!D2494)),TRIM('R.M Billets Reports'!F2494),IF(ISNUMBER(SEARCH("Party Name-",'R.M Billets Reports'!D2494)),TRIM(MID('R.M Billets Reports'!D2494,SEARCH("-",'R.M Billets Reports'!D2494)+1,200)),"")),IF(ISNUMBER(SEARCH("Party Name:-",'R.M Billets Reports'!D2495)),TRIM('R.M Billets Reports'!F2495),IF(ISNUMBER(SEARCH("Party Name-",'R.M Billets Reports'!D2495)),TRIM(MID('R.M Billets Reports'!D2495,SEARCH("-",'R.M Billets Reports'!D2495)+1,200)),"")))="VRKP ISPAT PVT LTD","VRKP",IF(IF(IF(ISNUMBER(SEARCH("Party Name:-",'R.M Billets Reports'!D2494)),TRIM('R.M Billets Reports'!F2494),IF(ISNUMBER(SEARCH("Party Name-",'R.M Billets Reports'!D2494)),TRIM(MID('R.M Billets Reports'!D2494,SEARCH("-",'R.M Billets Reports'!D2494)+1,200)),""))&lt;&gt;"",IF(ISNUMBER(SEARCH("Party Name:-",'R.M Billets Reports'!D2494)),TRIM('R.M Billets Reports'!F2494),IF(ISNUMBER(SEARCH("Party Name-",'R.M Billets Reports'!D2494)),TRIM(MID('R.M Billets Reports'!D2494,SEARCH("-",'R.M Billets Reports'!D2494)+1,200)),"")),IF(ISNUMBER(SEARCH("Party Name:-",'R.M Billets Reports'!D2495)),TRIM('R.M Billets Reports'!F2495),IF(ISNUMBER(SEARCH("Party Name-",'R.M Billets Reports'!D2495)),TRIM(MID('R.M Billets Reports'!D2495,SEARCH("-",'R.M Billets Reports'!D2495)+1,200)),"")))="SHRI RADHE","SHREE RADHE",IF(IF(IF(ISNUMBER(SEARCH("Party Name:-",'R.M Billets Reports'!D2494)),TRIM('R.M Billets Reports'!F2494),IF(ISNUMBER(SEARCH("Party Name-",'R.M Billets Reports'!D2494)),TRIM(MID('R.M Billets Reports'!D2494,SEARCH("-",'R.M Billets Reports'!D2494)+1,200)),""))&lt;&gt;"",IF(ISNUMBER(SEARCH("Party Name:-",'R.M Billets Reports'!D2494)),TRIM('R.M Billets Reports'!F2494),IF(ISNUMBER(SEARCH("Party Name-",'R.M Billets Reports'!D2494)),TRIM(MID('R.M Billets Reports'!D2494,SEARCH("-",'R.M Billets Reports'!D2494)+1,200)),"")),IF(ISNUMBER(SEARCH("Party Name:-",'R.M Billets Reports'!D2495)),TRIM('R.M Billets Reports'!F2495),IF(ISNUMBER(SEARCH("Party Name-",'R.M Billets Reports'!D2495)),TRIM(MID('R.M Billets Reports'!D2495,SEARCH("-",'R.M Billets Reports'!D2495)+1,200)),"")))="SHREE RADHE SHAKTI SPONGE AND POWER PVT. LTD.","SHREE RADHE",IF(IF(ISNUMBER(SEARCH("Party Name:-",'R.M Billets Reports'!D2494)),TRIM('R.M Billets Reports'!F2494),IF(ISNUMBER(SEARCH("Party Name-",'R.M Billets Reports'!D2494)),TRIM(MID('R.M Billets Reports'!D2494,SEARCH("-",'R.M Billets Reports'!D2494)+1,200)),""))&lt;&gt;"",IF(ISNUMBER(SEARCH("Party Name:-",'R.M Billets Reports'!D2494)),TRIM('R.M Billets Reports'!F2494),IF(ISNUMBER(SEARCH("Party Name-",'R.M Billets Reports'!D2494)),TRIM(MID('R.M Billets Reports'!D2494,SEARCH("-",'R.M Billets Reports'!D2494)+1,200)),"")),IF(ISNUMBER(SEARCH("Party Name:-",'R.M Billets Reports'!D2495)),TRIM('R.M Billets Reports'!F2495),IF(ISNUMBER(SEARCH("Party Name-",'R.M Billets Reports'!D2495)),TRIM(MID('R.M Billets Reports'!D2495,SEARCH("-",'R.M Billets Reports'!D2495)+1,200)),"")))))),IF(ROW()=2,"",A2494))</f>
      </c>
      <c r="B2495">
        <f>IF(OR('R.M Billets Reports'!A2494="Date-",'R.M Billets Reports'!A2494="Date:-"),'R.M Billets Reports'!B2494,IF(ROW()=2,"",B2494))</f>
      </c>
      <c r="C2495">
        <f>IF('R.M Billets Reports'!A2494="V.No.",'R.M Billets Reports'!B2494,IF(ROW()=2,"",C2494))</f>
      </c>
      <c r="D2495">
        <f>IF('R.M Billets Reports'!A2494&lt;&gt;"",'R.M Billets Reports'!A2494,IF(ROW()=2,"",D2494))</f>
      </c>
      <c r="E2495">
        <f>IF('R.M Billets Reports'!B2494="","",TRIM('R.M Billets Reports'!B2494))</f>
      </c>
      <c r="F2495">
        <f>'R.M Billets Reports'!C2494</f>
      </c>
      <c r="G2495">
        <f>'R.M Billets Reports'!D2494</f>
      </c>
      <c r="H2495">
        <f>'R.M Billets Reports'!E2494</f>
      </c>
      <c r="I2495">
        <f>'R.M Billets Reports'!F2494</f>
      </c>
      <c r="J2495">
        <f>'R.M Billets Reports'!G2494</f>
      </c>
      <c r="K2495">
        <f>'R.M Billets Reports'!H2494</f>
      </c>
      <c r="L2495">
        <f>IF('R.M Billets Reports'!I2494="","",'R.M Billets Reports'!I2494)</f>
      </c>
      <c r="M2495">
        <f t="shared" si="76"/>
      </c>
      <c r="N2495">
        <f>IF('R.M Billets Reports'!J2494="","",'R.M Billets Reports'!J2494)</f>
      </c>
      <c r="O2495">
        <f t="shared" si="77"/>
      </c>
      <c r="P2495">
        <f>IF('R.M Billets Reports'!A2494="SIZE",'R.M Billets Reports'!B2494,P2494)</f>
      </c>
    </row>
    <row r="2496" spans="1:16" x14ac:dyDescent="0.25">
      <c r="A2496">
        <f>IF(OR('R.M Billets Reports'!A2495="Date-",'R.M Billets Reports'!A2495="Date:-"),IF(IF(IF(ISNUMBER(SEARCH("Party Name:-",'R.M Billets Reports'!D2495)),TRIM('R.M Billets Reports'!F2495),IF(ISNUMBER(SEARCH("Party Name-",'R.M Billets Reports'!D2495)),TRIM(MID('R.M Billets Reports'!D2495,SEARCH("-",'R.M Billets Reports'!D2495)+1,200)),""))&lt;&gt;"",IF(ISNUMBER(SEARCH("Party Name:-",'R.M Billets Reports'!D2495)),TRIM('R.M Billets Reports'!F2495),IF(ISNUMBER(SEARCH("Party Name-",'R.M Billets Reports'!D2495)),TRIM(MID('R.M Billets Reports'!D2495,SEARCH("-",'R.M Billets Reports'!D2495)+1,200)),"")),IF(ISNUMBER(SEARCH("Party Name:-",'R.M Billets Reports'!D2496)),TRIM('R.M Billets Reports'!F2496),IF(ISNUMBER(SEARCH("Party Name-",'R.M Billets Reports'!D2496)),TRIM(MID('R.M Billets Reports'!D2496,SEARCH("-",'R.M Billets Reports'!D2496)+1,200)),"")))="VRKP ISPAT PVT LTD","VRKP",IF(IF(IF(ISNUMBER(SEARCH("Party Name:-",'R.M Billets Reports'!D2495)),TRIM('R.M Billets Reports'!F2495),IF(ISNUMBER(SEARCH("Party Name-",'R.M Billets Reports'!D2495)),TRIM(MID('R.M Billets Reports'!D2495,SEARCH("-",'R.M Billets Reports'!D2495)+1,200)),""))&lt;&gt;"",IF(ISNUMBER(SEARCH("Party Name:-",'R.M Billets Reports'!D2495)),TRIM('R.M Billets Reports'!F2495),IF(ISNUMBER(SEARCH("Party Name-",'R.M Billets Reports'!D2495)),TRIM(MID('R.M Billets Reports'!D2495,SEARCH("-",'R.M Billets Reports'!D2495)+1,200)),"")),IF(ISNUMBER(SEARCH("Party Name:-",'R.M Billets Reports'!D2496)),TRIM('R.M Billets Reports'!F2496),IF(ISNUMBER(SEARCH("Party Name-",'R.M Billets Reports'!D2496)),TRIM(MID('R.M Billets Reports'!D2496,SEARCH("-",'R.M Billets Reports'!D2496)+1,200)),"")))="SHRI RADHE","SHREE RADHE",IF(IF(IF(ISNUMBER(SEARCH("Party Name:-",'R.M Billets Reports'!D2495)),TRIM('R.M Billets Reports'!F2495),IF(ISNUMBER(SEARCH("Party Name-",'R.M Billets Reports'!D2495)),TRIM(MID('R.M Billets Reports'!D2495,SEARCH("-",'R.M Billets Reports'!D2495)+1,200)),""))&lt;&gt;"",IF(ISNUMBER(SEARCH("Party Name:-",'R.M Billets Reports'!D2495)),TRIM('R.M Billets Reports'!F2495),IF(ISNUMBER(SEARCH("Party Name-",'R.M Billets Reports'!D2495)),TRIM(MID('R.M Billets Reports'!D2495,SEARCH("-",'R.M Billets Reports'!D2495)+1,200)),"")),IF(ISNUMBER(SEARCH("Party Name:-",'R.M Billets Reports'!D2496)),TRIM('R.M Billets Reports'!F2496),IF(ISNUMBER(SEARCH("Party Name-",'R.M Billets Reports'!D2496)),TRIM(MID('R.M Billets Reports'!D2496,SEARCH("-",'R.M Billets Reports'!D2496)+1,200)),"")))="SHREE RADHE SHAKTI SPONGE AND POWER PVT. LTD.","SHREE RADHE",IF(IF(ISNUMBER(SEARCH("Party Name:-",'R.M Billets Reports'!D2495)),TRIM('R.M Billets Reports'!F2495),IF(ISNUMBER(SEARCH("Party Name-",'R.M Billets Reports'!D2495)),TRIM(MID('R.M Billets Reports'!D2495,SEARCH("-",'R.M Billets Reports'!D2495)+1,200)),""))&lt;&gt;"",IF(ISNUMBER(SEARCH("Party Name:-",'R.M Billets Reports'!D2495)),TRIM('R.M Billets Reports'!F2495),IF(ISNUMBER(SEARCH("Party Name-",'R.M Billets Reports'!D2495)),TRIM(MID('R.M Billets Reports'!D2495,SEARCH("-",'R.M Billets Reports'!D2495)+1,200)),"")),IF(ISNUMBER(SEARCH("Party Name:-",'R.M Billets Reports'!D2496)),TRIM('R.M Billets Reports'!F2496),IF(ISNUMBER(SEARCH("Party Name-",'R.M Billets Reports'!D2496)),TRIM(MID('R.M Billets Reports'!D2496,SEARCH("-",'R.M Billets Reports'!D2496)+1,200)),"")))))),IF(ROW()=2,"",A2495))</f>
      </c>
      <c r="B2496">
        <f>IF(OR('R.M Billets Reports'!A2495="Date-",'R.M Billets Reports'!A2495="Date:-"),'R.M Billets Reports'!B2495,IF(ROW()=2,"",B2495))</f>
      </c>
      <c r="C2496">
        <f>IF('R.M Billets Reports'!A2495="V.No.",'R.M Billets Reports'!B2495,IF(ROW()=2,"",C2495))</f>
      </c>
      <c r="D2496">
        <f>IF('R.M Billets Reports'!A2495&lt;&gt;"",'R.M Billets Reports'!A2495,IF(ROW()=2,"",D2495))</f>
      </c>
      <c r="E2496">
        <f>IF('R.M Billets Reports'!B2495="","",TRIM('R.M Billets Reports'!B2495))</f>
      </c>
      <c r="F2496">
        <f>'R.M Billets Reports'!C2495</f>
      </c>
      <c r="G2496">
        <f>'R.M Billets Reports'!D2495</f>
      </c>
      <c r="H2496">
        <f>'R.M Billets Reports'!E2495</f>
      </c>
      <c r="I2496">
        <f>'R.M Billets Reports'!F2495</f>
      </c>
      <c r="J2496">
        <f>'R.M Billets Reports'!G2495</f>
      </c>
      <c r="K2496">
        <f>'R.M Billets Reports'!H2495</f>
      </c>
      <c r="L2496">
        <f>IF('R.M Billets Reports'!I2495="","",'R.M Billets Reports'!I2495)</f>
      </c>
      <c r="M2496">
        <f t="shared" si="76"/>
      </c>
      <c r="N2496">
        <f>IF('R.M Billets Reports'!J2495="","",'R.M Billets Reports'!J2495)</f>
      </c>
      <c r="O2496">
        <f t="shared" si="77"/>
      </c>
      <c r="P2496">
        <f>IF('R.M Billets Reports'!A2495="SIZE",'R.M Billets Reports'!B2495,P2495)</f>
      </c>
    </row>
    <row r="2497" spans="1:16" x14ac:dyDescent="0.25">
      <c r="A2497">
        <f>IF(OR('R.M Billets Reports'!A2496="Date-",'R.M Billets Reports'!A2496="Date:-"),IF(IF(IF(ISNUMBER(SEARCH("Party Name:-",'R.M Billets Reports'!D2496)),TRIM('R.M Billets Reports'!F2496),IF(ISNUMBER(SEARCH("Party Name-",'R.M Billets Reports'!D2496)),TRIM(MID('R.M Billets Reports'!D2496,SEARCH("-",'R.M Billets Reports'!D2496)+1,200)),""))&lt;&gt;"",IF(ISNUMBER(SEARCH("Party Name:-",'R.M Billets Reports'!D2496)),TRIM('R.M Billets Reports'!F2496),IF(ISNUMBER(SEARCH("Party Name-",'R.M Billets Reports'!D2496)),TRIM(MID('R.M Billets Reports'!D2496,SEARCH("-",'R.M Billets Reports'!D2496)+1,200)),"")),IF(ISNUMBER(SEARCH("Party Name:-",'R.M Billets Reports'!D2497)),TRIM('R.M Billets Reports'!F2497),IF(ISNUMBER(SEARCH("Party Name-",'R.M Billets Reports'!D2497)),TRIM(MID('R.M Billets Reports'!D2497,SEARCH("-",'R.M Billets Reports'!D2497)+1,200)),"")))="VRKP ISPAT PVT LTD","VRKP",IF(IF(IF(ISNUMBER(SEARCH("Party Name:-",'R.M Billets Reports'!D2496)),TRIM('R.M Billets Reports'!F2496),IF(ISNUMBER(SEARCH("Party Name-",'R.M Billets Reports'!D2496)),TRIM(MID('R.M Billets Reports'!D2496,SEARCH("-",'R.M Billets Reports'!D2496)+1,200)),""))&lt;&gt;"",IF(ISNUMBER(SEARCH("Party Name:-",'R.M Billets Reports'!D2496)),TRIM('R.M Billets Reports'!F2496),IF(ISNUMBER(SEARCH("Party Name-",'R.M Billets Reports'!D2496)),TRIM(MID('R.M Billets Reports'!D2496,SEARCH("-",'R.M Billets Reports'!D2496)+1,200)),"")),IF(ISNUMBER(SEARCH("Party Name:-",'R.M Billets Reports'!D2497)),TRIM('R.M Billets Reports'!F2497),IF(ISNUMBER(SEARCH("Party Name-",'R.M Billets Reports'!D2497)),TRIM(MID('R.M Billets Reports'!D2497,SEARCH("-",'R.M Billets Reports'!D2497)+1,200)),"")))="SHRI RADHE","SHREE RADHE",IF(IF(IF(ISNUMBER(SEARCH("Party Name:-",'R.M Billets Reports'!D2496)),TRIM('R.M Billets Reports'!F2496),IF(ISNUMBER(SEARCH("Party Name-",'R.M Billets Reports'!D2496)),TRIM(MID('R.M Billets Reports'!D2496,SEARCH("-",'R.M Billets Reports'!D2496)+1,200)),""))&lt;&gt;"",IF(ISNUMBER(SEARCH("Party Name:-",'R.M Billets Reports'!D2496)),TRIM('R.M Billets Reports'!F2496),IF(ISNUMBER(SEARCH("Party Name-",'R.M Billets Reports'!D2496)),TRIM(MID('R.M Billets Reports'!D2496,SEARCH("-",'R.M Billets Reports'!D2496)+1,200)),"")),IF(ISNUMBER(SEARCH("Party Name:-",'R.M Billets Reports'!D2497)),TRIM('R.M Billets Reports'!F2497),IF(ISNUMBER(SEARCH("Party Name-",'R.M Billets Reports'!D2497)),TRIM(MID('R.M Billets Reports'!D2497,SEARCH("-",'R.M Billets Reports'!D2497)+1,200)),"")))="SHREE RADHE SHAKTI SPONGE AND POWER PVT. LTD.","SHREE RADHE",IF(IF(ISNUMBER(SEARCH("Party Name:-",'R.M Billets Reports'!D2496)),TRIM('R.M Billets Reports'!F2496),IF(ISNUMBER(SEARCH("Party Name-",'R.M Billets Reports'!D2496)),TRIM(MID('R.M Billets Reports'!D2496,SEARCH("-",'R.M Billets Reports'!D2496)+1,200)),""))&lt;&gt;"",IF(ISNUMBER(SEARCH("Party Name:-",'R.M Billets Reports'!D2496)),TRIM('R.M Billets Reports'!F2496),IF(ISNUMBER(SEARCH("Party Name-",'R.M Billets Reports'!D2496)),TRIM(MID('R.M Billets Reports'!D2496,SEARCH("-",'R.M Billets Reports'!D2496)+1,200)),"")),IF(ISNUMBER(SEARCH("Party Name:-",'R.M Billets Reports'!D2497)),TRIM('R.M Billets Reports'!F2497),IF(ISNUMBER(SEARCH("Party Name-",'R.M Billets Reports'!D2497)),TRIM(MID('R.M Billets Reports'!D2497,SEARCH("-",'R.M Billets Reports'!D2497)+1,200)),"")))))),IF(ROW()=2,"",A2496))</f>
      </c>
      <c r="B2497">
        <f>IF(OR('R.M Billets Reports'!A2496="Date-",'R.M Billets Reports'!A2496="Date:-"),'R.M Billets Reports'!B2496,IF(ROW()=2,"",B2496))</f>
      </c>
      <c r="C2497">
        <f>IF('R.M Billets Reports'!A2496="V.No.",'R.M Billets Reports'!B2496,IF(ROW()=2,"",C2496))</f>
      </c>
      <c r="D2497">
        <f>IF('R.M Billets Reports'!A2496&lt;&gt;"",'R.M Billets Reports'!A2496,IF(ROW()=2,"",D2496))</f>
      </c>
      <c r="E2497">
        <f>IF('R.M Billets Reports'!B2496="","",TRIM('R.M Billets Reports'!B2496))</f>
      </c>
      <c r="F2497">
        <f>'R.M Billets Reports'!C2496</f>
      </c>
      <c r="G2497">
        <f>'R.M Billets Reports'!D2496</f>
      </c>
      <c r="H2497">
        <f>'R.M Billets Reports'!E2496</f>
      </c>
      <c r="I2497">
        <f>'R.M Billets Reports'!F2496</f>
      </c>
      <c r="J2497">
        <f>'R.M Billets Reports'!G2496</f>
      </c>
      <c r="K2497">
        <f>'R.M Billets Reports'!H2496</f>
      </c>
      <c r="L2497">
        <f>IF('R.M Billets Reports'!I2496="","",'R.M Billets Reports'!I2496)</f>
      </c>
      <c r="M2497">
        <f t="shared" si="76"/>
      </c>
      <c r="N2497">
        <f>IF('R.M Billets Reports'!J2496="","",'R.M Billets Reports'!J2496)</f>
      </c>
      <c r="O2497">
        <f t="shared" si="77"/>
      </c>
      <c r="P2497">
        <f>IF('R.M Billets Reports'!A2496="SIZE",'R.M Billets Reports'!B2496,P2496)</f>
      </c>
    </row>
    <row r="2498" spans="1:16" x14ac:dyDescent="0.25">
      <c r="A2498">
        <f>IF(OR('R.M Billets Reports'!A2497="Date-",'R.M Billets Reports'!A2497="Date:-"),IF(IF(IF(ISNUMBER(SEARCH("Party Name:-",'R.M Billets Reports'!D2497)),TRIM('R.M Billets Reports'!F2497),IF(ISNUMBER(SEARCH("Party Name-",'R.M Billets Reports'!D2497)),TRIM(MID('R.M Billets Reports'!D2497,SEARCH("-",'R.M Billets Reports'!D2497)+1,200)),""))&lt;&gt;"",IF(ISNUMBER(SEARCH("Party Name:-",'R.M Billets Reports'!D2497)),TRIM('R.M Billets Reports'!F2497),IF(ISNUMBER(SEARCH("Party Name-",'R.M Billets Reports'!D2497)),TRIM(MID('R.M Billets Reports'!D2497,SEARCH("-",'R.M Billets Reports'!D2497)+1,200)),"")),IF(ISNUMBER(SEARCH("Party Name:-",'R.M Billets Reports'!D2498)),TRIM('R.M Billets Reports'!F2498),IF(ISNUMBER(SEARCH("Party Name-",'R.M Billets Reports'!D2498)),TRIM(MID('R.M Billets Reports'!D2498,SEARCH("-",'R.M Billets Reports'!D2498)+1,200)),"")))="VRKP ISPAT PVT LTD","VRKP",IF(IF(IF(ISNUMBER(SEARCH("Party Name:-",'R.M Billets Reports'!D2497)),TRIM('R.M Billets Reports'!F2497),IF(ISNUMBER(SEARCH("Party Name-",'R.M Billets Reports'!D2497)),TRIM(MID('R.M Billets Reports'!D2497,SEARCH("-",'R.M Billets Reports'!D2497)+1,200)),""))&lt;&gt;"",IF(ISNUMBER(SEARCH("Party Name:-",'R.M Billets Reports'!D2497)),TRIM('R.M Billets Reports'!F2497),IF(ISNUMBER(SEARCH("Party Name-",'R.M Billets Reports'!D2497)),TRIM(MID('R.M Billets Reports'!D2497,SEARCH("-",'R.M Billets Reports'!D2497)+1,200)),"")),IF(ISNUMBER(SEARCH("Party Name:-",'R.M Billets Reports'!D2498)),TRIM('R.M Billets Reports'!F2498),IF(ISNUMBER(SEARCH("Party Name-",'R.M Billets Reports'!D2498)),TRIM(MID('R.M Billets Reports'!D2498,SEARCH("-",'R.M Billets Reports'!D2498)+1,200)),"")))="SHRI RADHE","SHREE RADHE",IF(IF(IF(ISNUMBER(SEARCH("Party Name:-",'R.M Billets Reports'!D2497)),TRIM('R.M Billets Reports'!F2497),IF(ISNUMBER(SEARCH("Party Name-",'R.M Billets Reports'!D2497)),TRIM(MID('R.M Billets Reports'!D2497,SEARCH("-",'R.M Billets Reports'!D2497)+1,200)),""))&lt;&gt;"",IF(ISNUMBER(SEARCH("Party Name:-",'R.M Billets Reports'!D2497)),TRIM('R.M Billets Reports'!F2497),IF(ISNUMBER(SEARCH("Party Name-",'R.M Billets Reports'!D2497)),TRIM(MID('R.M Billets Reports'!D2497,SEARCH("-",'R.M Billets Reports'!D2497)+1,200)),"")),IF(ISNUMBER(SEARCH("Party Name:-",'R.M Billets Reports'!D2498)),TRIM('R.M Billets Reports'!F2498),IF(ISNUMBER(SEARCH("Party Name-",'R.M Billets Reports'!D2498)),TRIM(MID('R.M Billets Reports'!D2498,SEARCH("-",'R.M Billets Reports'!D2498)+1,200)),"")))="SHREE RADHE SHAKTI SPONGE AND POWER PVT. LTD.","SHREE RADHE",IF(IF(ISNUMBER(SEARCH("Party Name:-",'R.M Billets Reports'!D2497)),TRIM('R.M Billets Reports'!F2497),IF(ISNUMBER(SEARCH("Party Name-",'R.M Billets Reports'!D2497)),TRIM(MID('R.M Billets Reports'!D2497,SEARCH("-",'R.M Billets Reports'!D2497)+1,200)),""))&lt;&gt;"",IF(ISNUMBER(SEARCH("Party Name:-",'R.M Billets Reports'!D2497)),TRIM('R.M Billets Reports'!F2497),IF(ISNUMBER(SEARCH("Party Name-",'R.M Billets Reports'!D2497)),TRIM(MID('R.M Billets Reports'!D2497,SEARCH("-",'R.M Billets Reports'!D2497)+1,200)),"")),IF(ISNUMBER(SEARCH("Party Name:-",'R.M Billets Reports'!D2498)),TRIM('R.M Billets Reports'!F2498),IF(ISNUMBER(SEARCH("Party Name-",'R.M Billets Reports'!D2498)),TRIM(MID('R.M Billets Reports'!D2498,SEARCH("-",'R.M Billets Reports'!D2498)+1,200)),"")))))),IF(ROW()=2,"",A2497))</f>
      </c>
      <c r="B2498">
        <f>IF(OR('R.M Billets Reports'!A2497="Date-",'R.M Billets Reports'!A2497="Date:-"),'R.M Billets Reports'!B2497,IF(ROW()=2,"",B2497))</f>
      </c>
      <c r="C2498">
        <f>IF('R.M Billets Reports'!A2497="V.No.",'R.M Billets Reports'!B2497,IF(ROW()=2,"",C2497))</f>
      </c>
      <c r="D2498">
        <f>IF('R.M Billets Reports'!A2497&lt;&gt;"",'R.M Billets Reports'!A2497,IF(ROW()=2,"",D2497))</f>
      </c>
      <c r="E2498">
        <f>IF('R.M Billets Reports'!B2497="","",TRIM('R.M Billets Reports'!B2497))</f>
      </c>
      <c r="F2498">
        <f>'R.M Billets Reports'!C2497</f>
      </c>
      <c r="G2498">
        <f>'R.M Billets Reports'!D2497</f>
      </c>
      <c r="H2498">
        <f>'R.M Billets Reports'!E2497</f>
      </c>
      <c r="I2498">
        <f>'R.M Billets Reports'!F2497</f>
      </c>
      <c r="J2498">
        <f>'R.M Billets Reports'!G2497</f>
      </c>
      <c r="K2498">
        <f>'R.M Billets Reports'!H2497</f>
      </c>
      <c r="L2498">
        <f>IF('R.M Billets Reports'!I2497="","",'R.M Billets Reports'!I2497)</f>
      </c>
      <c r="M2498">
        <f t="shared" si="76"/>
      </c>
      <c r="N2498">
        <f>IF('R.M Billets Reports'!J2497="","",'R.M Billets Reports'!J2497)</f>
      </c>
      <c r="O2498">
        <f t="shared" si="77"/>
      </c>
      <c r="P2498">
        <f>IF('R.M Billets Reports'!A2497="SIZE",'R.M Billets Reports'!B2497,P2497)</f>
      </c>
    </row>
    <row r="2499" spans="1:16" x14ac:dyDescent="0.25">
      <c r="A2499">
        <f>IF(OR('R.M Billets Reports'!A2498="Date-",'R.M Billets Reports'!A2498="Date:-"),IF(IF(IF(ISNUMBER(SEARCH("Party Name:-",'R.M Billets Reports'!D2498)),TRIM('R.M Billets Reports'!F2498),IF(ISNUMBER(SEARCH("Party Name-",'R.M Billets Reports'!D2498)),TRIM(MID('R.M Billets Reports'!D2498,SEARCH("-",'R.M Billets Reports'!D2498)+1,200)),""))&lt;&gt;"",IF(ISNUMBER(SEARCH("Party Name:-",'R.M Billets Reports'!D2498)),TRIM('R.M Billets Reports'!F2498),IF(ISNUMBER(SEARCH("Party Name-",'R.M Billets Reports'!D2498)),TRIM(MID('R.M Billets Reports'!D2498,SEARCH("-",'R.M Billets Reports'!D2498)+1,200)),"")),IF(ISNUMBER(SEARCH("Party Name:-",'R.M Billets Reports'!D2499)),TRIM('R.M Billets Reports'!F2499),IF(ISNUMBER(SEARCH("Party Name-",'R.M Billets Reports'!D2499)),TRIM(MID('R.M Billets Reports'!D2499,SEARCH("-",'R.M Billets Reports'!D2499)+1,200)),"")))="VRKP ISPAT PVT LTD","VRKP",IF(IF(IF(ISNUMBER(SEARCH("Party Name:-",'R.M Billets Reports'!D2498)),TRIM('R.M Billets Reports'!F2498),IF(ISNUMBER(SEARCH("Party Name-",'R.M Billets Reports'!D2498)),TRIM(MID('R.M Billets Reports'!D2498,SEARCH("-",'R.M Billets Reports'!D2498)+1,200)),""))&lt;&gt;"",IF(ISNUMBER(SEARCH("Party Name:-",'R.M Billets Reports'!D2498)),TRIM('R.M Billets Reports'!F2498),IF(ISNUMBER(SEARCH("Party Name-",'R.M Billets Reports'!D2498)),TRIM(MID('R.M Billets Reports'!D2498,SEARCH("-",'R.M Billets Reports'!D2498)+1,200)),"")),IF(ISNUMBER(SEARCH("Party Name:-",'R.M Billets Reports'!D2499)),TRIM('R.M Billets Reports'!F2499),IF(ISNUMBER(SEARCH("Party Name-",'R.M Billets Reports'!D2499)),TRIM(MID('R.M Billets Reports'!D2499,SEARCH("-",'R.M Billets Reports'!D2499)+1,200)),"")))="SHRI RADHE","SHREE RADHE",IF(IF(IF(ISNUMBER(SEARCH("Party Name:-",'R.M Billets Reports'!D2498)),TRIM('R.M Billets Reports'!F2498),IF(ISNUMBER(SEARCH("Party Name-",'R.M Billets Reports'!D2498)),TRIM(MID('R.M Billets Reports'!D2498,SEARCH("-",'R.M Billets Reports'!D2498)+1,200)),""))&lt;&gt;"",IF(ISNUMBER(SEARCH("Party Name:-",'R.M Billets Reports'!D2498)),TRIM('R.M Billets Reports'!F2498),IF(ISNUMBER(SEARCH("Party Name-",'R.M Billets Reports'!D2498)),TRIM(MID('R.M Billets Reports'!D2498,SEARCH("-",'R.M Billets Reports'!D2498)+1,200)),"")),IF(ISNUMBER(SEARCH("Party Name:-",'R.M Billets Reports'!D2499)),TRIM('R.M Billets Reports'!F2499),IF(ISNUMBER(SEARCH("Party Name-",'R.M Billets Reports'!D2499)),TRIM(MID('R.M Billets Reports'!D2499,SEARCH("-",'R.M Billets Reports'!D2499)+1,200)),"")))="SHREE RADHE SHAKTI SPONGE AND POWER PVT. LTD.","SHREE RADHE",IF(IF(ISNUMBER(SEARCH("Party Name:-",'R.M Billets Reports'!D2498)),TRIM('R.M Billets Reports'!F2498),IF(ISNUMBER(SEARCH("Party Name-",'R.M Billets Reports'!D2498)),TRIM(MID('R.M Billets Reports'!D2498,SEARCH("-",'R.M Billets Reports'!D2498)+1,200)),""))&lt;&gt;"",IF(ISNUMBER(SEARCH("Party Name:-",'R.M Billets Reports'!D2498)),TRIM('R.M Billets Reports'!F2498),IF(ISNUMBER(SEARCH("Party Name-",'R.M Billets Reports'!D2498)),TRIM(MID('R.M Billets Reports'!D2498,SEARCH("-",'R.M Billets Reports'!D2498)+1,200)),"")),IF(ISNUMBER(SEARCH("Party Name:-",'R.M Billets Reports'!D2499)),TRIM('R.M Billets Reports'!F2499),IF(ISNUMBER(SEARCH("Party Name-",'R.M Billets Reports'!D2499)),TRIM(MID('R.M Billets Reports'!D2499,SEARCH("-",'R.M Billets Reports'!D2499)+1,200)),"")))))),IF(ROW()=2,"",A2498))</f>
      </c>
      <c r="B2499">
        <f>IF(OR('R.M Billets Reports'!A2498="Date-",'R.M Billets Reports'!A2498="Date:-"),'R.M Billets Reports'!B2498,IF(ROW()=2,"",B2498))</f>
      </c>
      <c r="C2499">
        <f>IF('R.M Billets Reports'!A2498="V.No.",'R.M Billets Reports'!B2498,IF(ROW()=2,"",C2498))</f>
      </c>
      <c r="D2499">
        <f>IF('R.M Billets Reports'!A2498&lt;&gt;"",'R.M Billets Reports'!A2498,IF(ROW()=2,"",D2498))</f>
      </c>
      <c r="E2499">
        <f>IF('R.M Billets Reports'!B2498="","",TRIM('R.M Billets Reports'!B2498))</f>
      </c>
      <c r="F2499">
        <f>'R.M Billets Reports'!C2498</f>
      </c>
      <c r="G2499">
        <f>'R.M Billets Reports'!D2498</f>
      </c>
      <c r="H2499">
        <f>'R.M Billets Reports'!E2498</f>
      </c>
      <c r="I2499">
        <f>'R.M Billets Reports'!F2498</f>
      </c>
      <c r="J2499">
        <f>'R.M Billets Reports'!G2498</f>
      </c>
      <c r="K2499">
        <f>'R.M Billets Reports'!H2498</f>
      </c>
      <c r="L2499">
        <f>IF('R.M Billets Reports'!I2498="","",'R.M Billets Reports'!I2498)</f>
      </c>
      <c r="M2499">
        <f t="shared" ref="M2499:M2562" si="78">IF(L2499&lt;&gt;"",L2499,IF(D2499=D2498,M2498,""))</f>
      </c>
      <c r="N2499">
        <f>IF('R.M Billets Reports'!J2498="","",'R.M Billets Reports'!J2498)</f>
      </c>
      <c r="O2499">
        <f t="shared" ref="O2499:O2562" si="79">IF(N2499&lt;&gt;"",N2499,IF(D2499=D2498,O2498,""))</f>
      </c>
      <c r="P2499">
        <f>IF('R.M Billets Reports'!A2498="SIZE",'R.M Billets Reports'!B2498,P2498)</f>
      </c>
    </row>
    <row r="2500" spans="1:16" x14ac:dyDescent="0.25">
      <c r="A2500">
        <f>IF(OR('R.M Billets Reports'!A2499="Date-",'R.M Billets Reports'!A2499="Date:-"),IF(IF(IF(ISNUMBER(SEARCH("Party Name:-",'R.M Billets Reports'!D2499)),TRIM('R.M Billets Reports'!F2499),IF(ISNUMBER(SEARCH("Party Name-",'R.M Billets Reports'!D2499)),TRIM(MID('R.M Billets Reports'!D2499,SEARCH("-",'R.M Billets Reports'!D2499)+1,200)),""))&lt;&gt;"",IF(ISNUMBER(SEARCH("Party Name:-",'R.M Billets Reports'!D2499)),TRIM('R.M Billets Reports'!F2499),IF(ISNUMBER(SEARCH("Party Name-",'R.M Billets Reports'!D2499)),TRIM(MID('R.M Billets Reports'!D2499,SEARCH("-",'R.M Billets Reports'!D2499)+1,200)),"")),IF(ISNUMBER(SEARCH("Party Name:-",'R.M Billets Reports'!D2500)),TRIM('R.M Billets Reports'!F2500),IF(ISNUMBER(SEARCH("Party Name-",'R.M Billets Reports'!D2500)),TRIM(MID('R.M Billets Reports'!D2500,SEARCH("-",'R.M Billets Reports'!D2500)+1,200)),"")))="VRKP ISPAT PVT LTD","VRKP",IF(IF(IF(ISNUMBER(SEARCH("Party Name:-",'R.M Billets Reports'!D2499)),TRIM('R.M Billets Reports'!F2499),IF(ISNUMBER(SEARCH("Party Name-",'R.M Billets Reports'!D2499)),TRIM(MID('R.M Billets Reports'!D2499,SEARCH("-",'R.M Billets Reports'!D2499)+1,200)),""))&lt;&gt;"",IF(ISNUMBER(SEARCH("Party Name:-",'R.M Billets Reports'!D2499)),TRIM('R.M Billets Reports'!F2499),IF(ISNUMBER(SEARCH("Party Name-",'R.M Billets Reports'!D2499)),TRIM(MID('R.M Billets Reports'!D2499,SEARCH("-",'R.M Billets Reports'!D2499)+1,200)),"")),IF(ISNUMBER(SEARCH("Party Name:-",'R.M Billets Reports'!D2500)),TRIM('R.M Billets Reports'!F2500),IF(ISNUMBER(SEARCH("Party Name-",'R.M Billets Reports'!D2500)),TRIM(MID('R.M Billets Reports'!D2500,SEARCH("-",'R.M Billets Reports'!D2500)+1,200)),"")))="SHRI RADHE","SHREE RADHE",IF(IF(IF(ISNUMBER(SEARCH("Party Name:-",'R.M Billets Reports'!D2499)),TRIM('R.M Billets Reports'!F2499),IF(ISNUMBER(SEARCH("Party Name-",'R.M Billets Reports'!D2499)),TRIM(MID('R.M Billets Reports'!D2499,SEARCH("-",'R.M Billets Reports'!D2499)+1,200)),""))&lt;&gt;"",IF(ISNUMBER(SEARCH("Party Name:-",'R.M Billets Reports'!D2499)),TRIM('R.M Billets Reports'!F2499),IF(ISNUMBER(SEARCH("Party Name-",'R.M Billets Reports'!D2499)),TRIM(MID('R.M Billets Reports'!D2499,SEARCH("-",'R.M Billets Reports'!D2499)+1,200)),"")),IF(ISNUMBER(SEARCH("Party Name:-",'R.M Billets Reports'!D2500)),TRIM('R.M Billets Reports'!F2500),IF(ISNUMBER(SEARCH("Party Name-",'R.M Billets Reports'!D2500)),TRIM(MID('R.M Billets Reports'!D2500,SEARCH("-",'R.M Billets Reports'!D2500)+1,200)),"")))="SHREE RADHE SHAKTI SPONGE AND POWER PVT. LTD.","SHREE RADHE",IF(IF(ISNUMBER(SEARCH("Party Name:-",'R.M Billets Reports'!D2499)),TRIM('R.M Billets Reports'!F2499),IF(ISNUMBER(SEARCH("Party Name-",'R.M Billets Reports'!D2499)),TRIM(MID('R.M Billets Reports'!D2499,SEARCH("-",'R.M Billets Reports'!D2499)+1,200)),""))&lt;&gt;"",IF(ISNUMBER(SEARCH("Party Name:-",'R.M Billets Reports'!D2499)),TRIM('R.M Billets Reports'!F2499),IF(ISNUMBER(SEARCH("Party Name-",'R.M Billets Reports'!D2499)),TRIM(MID('R.M Billets Reports'!D2499,SEARCH("-",'R.M Billets Reports'!D2499)+1,200)),"")),IF(ISNUMBER(SEARCH("Party Name:-",'R.M Billets Reports'!D2500)),TRIM('R.M Billets Reports'!F2500),IF(ISNUMBER(SEARCH("Party Name-",'R.M Billets Reports'!D2500)),TRIM(MID('R.M Billets Reports'!D2500,SEARCH("-",'R.M Billets Reports'!D2500)+1,200)),"")))))),IF(ROW()=2,"",A2499))</f>
      </c>
      <c r="B2500">
        <f>IF(OR('R.M Billets Reports'!A2499="Date-",'R.M Billets Reports'!A2499="Date:-"),'R.M Billets Reports'!B2499,IF(ROW()=2,"",B2499))</f>
      </c>
      <c r="C2500">
        <f>IF('R.M Billets Reports'!A2499="V.No.",'R.M Billets Reports'!B2499,IF(ROW()=2,"",C2499))</f>
      </c>
      <c r="D2500">
        <f>IF('R.M Billets Reports'!A2499&lt;&gt;"",'R.M Billets Reports'!A2499,IF(ROW()=2,"",D2499))</f>
      </c>
      <c r="E2500">
        <f>IF('R.M Billets Reports'!B2499="","",TRIM('R.M Billets Reports'!B2499))</f>
      </c>
      <c r="F2500">
        <f>'R.M Billets Reports'!C2499</f>
      </c>
      <c r="G2500">
        <f>'R.M Billets Reports'!D2499</f>
      </c>
      <c r="H2500">
        <f>'R.M Billets Reports'!E2499</f>
      </c>
      <c r="I2500">
        <f>'R.M Billets Reports'!F2499</f>
      </c>
      <c r="J2500">
        <f>'R.M Billets Reports'!G2499</f>
      </c>
      <c r="K2500">
        <f>'R.M Billets Reports'!H2499</f>
      </c>
      <c r="L2500">
        <f>IF('R.M Billets Reports'!I2499="","",'R.M Billets Reports'!I2499)</f>
      </c>
      <c r="M2500">
        <f t="shared" si="78"/>
      </c>
      <c r="N2500">
        <f>IF('R.M Billets Reports'!J2499="","",'R.M Billets Reports'!J2499)</f>
      </c>
      <c r="O2500">
        <f t="shared" si="79"/>
      </c>
      <c r="P2500">
        <f>IF('R.M Billets Reports'!A2499="SIZE",'R.M Billets Reports'!B2499,P2499)</f>
      </c>
    </row>
    <row r="2501" spans="1:16" x14ac:dyDescent="0.25">
      <c r="A2501">
        <f>IF(OR('R.M Billets Reports'!A2500="Date-",'R.M Billets Reports'!A2500="Date:-"),IF(IF(IF(ISNUMBER(SEARCH("Party Name:-",'R.M Billets Reports'!D2500)),TRIM('R.M Billets Reports'!F2500),IF(ISNUMBER(SEARCH("Party Name-",'R.M Billets Reports'!D2500)),TRIM(MID('R.M Billets Reports'!D2500,SEARCH("-",'R.M Billets Reports'!D2500)+1,200)),""))&lt;&gt;"",IF(ISNUMBER(SEARCH("Party Name:-",'R.M Billets Reports'!D2500)),TRIM('R.M Billets Reports'!F2500),IF(ISNUMBER(SEARCH("Party Name-",'R.M Billets Reports'!D2500)),TRIM(MID('R.M Billets Reports'!D2500,SEARCH("-",'R.M Billets Reports'!D2500)+1,200)),"")),IF(ISNUMBER(SEARCH("Party Name:-",'R.M Billets Reports'!D2501)),TRIM('R.M Billets Reports'!F2501),IF(ISNUMBER(SEARCH("Party Name-",'R.M Billets Reports'!D2501)),TRIM(MID('R.M Billets Reports'!D2501,SEARCH("-",'R.M Billets Reports'!D2501)+1,200)),"")))="VRKP ISPAT PVT LTD","VRKP",IF(IF(IF(ISNUMBER(SEARCH("Party Name:-",'R.M Billets Reports'!D2500)),TRIM('R.M Billets Reports'!F2500),IF(ISNUMBER(SEARCH("Party Name-",'R.M Billets Reports'!D2500)),TRIM(MID('R.M Billets Reports'!D2500,SEARCH("-",'R.M Billets Reports'!D2500)+1,200)),""))&lt;&gt;"",IF(ISNUMBER(SEARCH("Party Name:-",'R.M Billets Reports'!D2500)),TRIM('R.M Billets Reports'!F2500),IF(ISNUMBER(SEARCH("Party Name-",'R.M Billets Reports'!D2500)),TRIM(MID('R.M Billets Reports'!D2500,SEARCH("-",'R.M Billets Reports'!D2500)+1,200)),"")),IF(ISNUMBER(SEARCH("Party Name:-",'R.M Billets Reports'!D2501)),TRIM('R.M Billets Reports'!F2501),IF(ISNUMBER(SEARCH("Party Name-",'R.M Billets Reports'!D2501)),TRIM(MID('R.M Billets Reports'!D2501,SEARCH("-",'R.M Billets Reports'!D2501)+1,200)),"")))="SHRI RADHE","SHREE RADHE",IF(IF(IF(ISNUMBER(SEARCH("Party Name:-",'R.M Billets Reports'!D2500)),TRIM('R.M Billets Reports'!F2500),IF(ISNUMBER(SEARCH("Party Name-",'R.M Billets Reports'!D2500)),TRIM(MID('R.M Billets Reports'!D2500,SEARCH("-",'R.M Billets Reports'!D2500)+1,200)),""))&lt;&gt;"",IF(ISNUMBER(SEARCH("Party Name:-",'R.M Billets Reports'!D2500)),TRIM('R.M Billets Reports'!F2500),IF(ISNUMBER(SEARCH("Party Name-",'R.M Billets Reports'!D2500)),TRIM(MID('R.M Billets Reports'!D2500,SEARCH("-",'R.M Billets Reports'!D2500)+1,200)),"")),IF(ISNUMBER(SEARCH("Party Name:-",'R.M Billets Reports'!D2501)),TRIM('R.M Billets Reports'!F2501),IF(ISNUMBER(SEARCH("Party Name-",'R.M Billets Reports'!D2501)),TRIM(MID('R.M Billets Reports'!D2501,SEARCH("-",'R.M Billets Reports'!D2501)+1,200)),"")))="SHREE RADHE SHAKTI SPONGE AND POWER PVT. LTD.","SHREE RADHE",IF(IF(ISNUMBER(SEARCH("Party Name:-",'R.M Billets Reports'!D2500)),TRIM('R.M Billets Reports'!F2500),IF(ISNUMBER(SEARCH("Party Name-",'R.M Billets Reports'!D2500)),TRIM(MID('R.M Billets Reports'!D2500,SEARCH("-",'R.M Billets Reports'!D2500)+1,200)),""))&lt;&gt;"",IF(ISNUMBER(SEARCH("Party Name:-",'R.M Billets Reports'!D2500)),TRIM('R.M Billets Reports'!F2500),IF(ISNUMBER(SEARCH("Party Name-",'R.M Billets Reports'!D2500)),TRIM(MID('R.M Billets Reports'!D2500,SEARCH("-",'R.M Billets Reports'!D2500)+1,200)),"")),IF(ISNUMBER(SEARCH("Party Name:-",'R.M Billets Reports'!D2501)),TRIM('R.M Billets Reports'!F2501),IF(ISNUMBER(SEARCH("Party Name-",'R.M Billets Reports'!D2501)),TRIM(MID('R.M Billets Reports'!D2501,SEARCH("-",'R.M Billets Reports'!D2501)+1,200)),"")))))),IF(ROW()=2,"",A2500))</f>
      </c>
      <c r="B2501">
        <f>IF(OR('R.M Billets Reports'!A2500="Date-",'R.M Billets Reports'!A2500="Date:-"),'R.M Billets Reports'!B2500,IF(ROW()=2,"",B2500))</f>
      </c>
      <c r="C2501">
        <f>IF('R.M Billets Reports'!A2500="V.No.",'R.M Billets Reports'!B2500,IF(ROW()=2,"",C2500))</f>
      </c>
      <c r="D2501">
        <f>IF('R.M Billets Reports'!A2500&lt;&gt;"",'R.M Billets Reports'!A2500,IF(ROW()=2,"",D2500))</f>
      </c>
      <c r="E2501">
        <f>IF('R.M Billets Reports'!B2500="","",TRIM('R.M Billets Reports'!B2500))</f>
      </c>
      <c r="F2501">
        <f>'R.M Billets Reports'!C2500</f>
      </c>
      <c r="G2501">
        <f>'R.M Billets Reports'!D2500</f>
      </c>
      <c r="H2501">
        <f>'R.M Billets Reports'!E2500</f>
      </c>
      <c r="I2501">
        <f>'R.M Billets Reports'!F2500</f>
      </c>
      <c r="J2501">
        <f>'R.M Billets Reports'!G2500</f>
      </c>
      <c r="K2501">
        <f>'R.M Billets Reports'!H2500</f>
      </c>
      <c r="L2501">
        <f>IF('R.M Billets Reports'!I2500="","",'R.M Billets Reports'!I2500)</f>
      </c>
      <c r="M2501">
        <f t="shared" si="78"/>
      </c>
      <c r="N2501">
        <f>IF('R.M Billets Reports'!J2500="","",'R.M Billets Reports'!J2500)</f>
      </c>
      <c r="O2501">
        <f t="shared" si="79"/>
      </c>
      <c r="P2501">
        <f>IF('R.M Billets Reports'!A2500="SIZE",'R.M Billets Reports'!B2500,P2500)</f>
      </c>
    </row>
    <row r="2502" spans="1:16" x14ac:dyDescent="0.25">
      <c r="A2502">
        <f>IF(OR('R.M Billets Reports'!A2501="Date-",'R.M Billets Reports'!A2501="Date:-"),IF(IF(IF(ISNUMBER(SEARCH("Party Name:-",'R.M Billets Reports'!D2501)),TRIM('R.M Billets Reports'!F2501),IF(ISNUMBER(SEARCH("Party Name-",'R.M Billets Reports'!D2501)),TRIM(MID('R.M Billets Reports'!D2501,SEARCH("-",'R.M Billets Reports'!D2501)+1,200)),""))&lt;&gt;"",IF(ISNUMBER(SEARCH("Party Name:-",'R.M Billets Reports'!D2501)),TRIM('R.M Billets Reports'!F2501),IF(ISNUMBER(SEARCH("Party Name-",'R.M Billets Reports'!D2501)),TRIM(MID('R.M Billets Reports'!D2501,SEARCH("-",'R.M Billets Reports'!D2501)+1,200)),"")),IF(ISNUMBER(SEARCH("Party Name:-",'R.M Billets Reports'!D2502)),TRIM('R.M Billets Reports'!F2502),IF(ISNUMBER(SEARCH("Party Name-",'R.M Billets Reports'!D2502)),TRIM(MID('R.M Billets Reports'!D2502,SEARCH("-",'R.M Billets Reports'!D2502)+1,200)),"")))="VRKP ISPAT PVT LTD","VRKP",IF(IF(IF(ISNUMBER(SEARCH("Party Name:-",'R.M Billets Reports'!D2501)),TRIM('R.M Billets Reports'!F2501),IF(ISNUMBER(SEARCH("Party Name-",'R.M Billets Reports'!D2501)),TRIM(MID('R.M Billets Reports'!D2501,SEARCH("-",'R.M Billets Reports'!D2501)+1,200)),""))&lt;&gt;"",IF(ISNUMBER(SEARCH("Party Name:-",'R.M Billets Reports'!D2501)),TRIM('R.M Billets Reports'!F2501),IF(ISNUMBER(SEARCH("Party Name-",'R.M Billets Reports'!D2501)),TRIM(MID('R.M Billets Reports'!D2501,SEARCH("-",'R.M Billets Reports'!D2501)+1,200)),"")),IF(ISNUMBER(SEARCH("Party Name:-",'R.M Billets Reports'!D2502)),TRIM('R.M Billets Reports'!F2502),IF(ISNUMBER(SEARCH("Party Name-",'R.M Billets Reports'!D2502)),TRIM(MID('R.M Billets Reports'!D2502,SEARCH("-",'R.M Billets Reports'!D2502)+1,200)),"")))="SHRI RADHE","SHREE RADHE",IF(IF(IF(ISNUMBER(SEARCH("Party Name:-",'R.M Billets Reports'!D2501)),TRIM('R.M Billets Reports'!F2501),IF(ISNUMBER(SEARCH("Party Name-",'R.M Billets Reports'!D2501)),TRIM(MID('R.M Billets Reports'!D2501,SEARCH("-",'R.M Billets Reports'!D2501)+1,200)),""))&lt;&gt;"",IF(ISNUMBER(SEARCH("Party Name:-",'R.M Billets Reports'!D2501)),TRIM('R.M Billets Reports'!F2501),IF(ISNUMBER(SEARCH("Party Name-",'R.M Billets Reports'!D2501)),TRIM(MID('R.M Billets Reports'!D2501,SEARCH("-",'R.M Billets Reports'!D2501)+1,200)),"")),IF(ISNUMBER(SEARCH("Party Name:-",'R.M Billets Reports'!D2502)),TRIM('R.M Billets Reports'!F2502),IF(ISNUMBER(SEARCH("Party Name-",'R.M Billets Reports'!D2502)),TRIM(MID('R.M Billets Reports'!D2502,SEARCH("-",'R.M Billets Reports'!D2502)+1,200)),"")))="SHREE RADHE SHAKTI SPONGE AND POWER PVT. LTD.","SHREE RADHE",IF(IF(ISNUMBER(SEARCH("Party Name:-",'R.M Billets Reports'!D2501)),TRIM('R.M Billets Reports'!F2501),IF(ISNUMBER(SEARCH("Party Name-",'R.M Billets Reports'!D2501)),TRIM(MID('R.M Billets Reports'!D2501,SEARCH("-",'R.M Billets Reports'!D2501)+1,200)),""))&lt;&gt;"",IF(ISNUMBER(SEARCH("Party Name:-",'R.M Billets Reports'!D2501)),TRIM('R.M Billets Reports'!F2501),IF(ISNUMBER(SEARCH("Party Name-",'R.M Billets Reports'!D2501)),TRIM(MID('R.M Billets Reports'!D2501,SEARCH("-",'R.M Billets Reports'!D2501)+1,200)),"")),IF(ISNUMBER(SEARCH("Party Name:-",'R.M Billets Reports'!D2502)),TRIM('R.M Billets Reports'!F2502),IF(ISNUMBER(SEARCH("Party Name-",'R.M Billets Reports'!D2502)),TRIM(MID('R.M Billets Reports'!D2502,SEARCH("-",'R.M Billets Reports'!D2502)+1,200)),"")))))),IF(ROW()=2,"",A2501))</f>
      </c>
      <c r="B2502">
        <f>IF(OR('R.M Billets Reports'!A2501="Date-",'R.M Billets Reports'!A2501="Date:-"),'R.M Billets Reports'!B2501,IF(ROW()=2,"",B2501))</f>
      </c>
      <c r="C2502">
        <f>IF('R.M Billets Reports'!A2501="V.No.",'R.M Billets Reports'!B2501,IF(ROW()=2,"",C2501))</f>
      </c>
      <c r="D2502">
        <f>IF('R.M Billets Reports'!A2501&lt;&gt;"",'R.M Billets Reports'!A2501,IF(ROW()=2,"",D2501))</f>
      </c>
      <c r="E2502">
        <f>IF('R.M Billets Reports'!B2501="","",TRIM('R.M Billets Reports'!B2501))</f>
      </c>
      <c r="F2502">
        <f>'R.M Billets Reports'!C2501</f>
      </c>
      <c r="G2502">
        <f>'R.M Billets Reports'!D2501</f>
      </c>
      <c r="H2502">
        <f>'R.M Billets Reports'!E2501</f>
      </c>
      <c r="I2502">
        <f>'R.M Billets Reports'!F2501</f>
      </c>
      <c r="J2502">
        <f>'R.M Billets Reports'!G2501</f>
      </c>
      <c r="K2502">
        <f>'R.M Billets Reports'!H2501</f>
      </c>
      <c r="L2502">
        <f>IF('R.M Billets Reports'!I2501="","",'R.M Billets Reports'!I2501)</f>
      </c>
      <c r="M2502">
        <f t="shared" si="78"/>
      </c>
      <c r="N2502">
        <f>IF('R.M Billets Reports'!J2501="","",'R.M Billets Reports'!J2501)</f>
      </c>
      <c r="O2502">
        <f t="shared" si="79"/>
      </c>
      <c r="P2502">
        <f>IF('R.M Billets Reports'!A2501="SIZE",'R.M Billets Reports'!B2501,P2501)</f>
      </c>
    </row>
    <row r="2503" spans="1:16" x14ac:dyDescent="0.25">
      <c r="A2503">
        <f>IF(OR('R.M Billets Reports'!A2502="Date-",'R.M Billets Reports'!A2502="Date:-"),IF(IF(IF(ISNUMBER(SEARCH("Party Name:-",'R.M Billets Reports'!D2502)),TRIM('R.M Billets Reports'!F2502),IF(ISNUMBER(SEARCH("Party Name-",'R.M Billets Reports'!D2502)),TRIM(MID('R.M Billets Reports'!D2502,SEARCH("-",'R.M Billets Reports'!D2502)+1,200)),""))&lt;&gt;"",IF(ISNUMBER(SEARCH("Party Name:-",'R.M Billets Reports'!D2502)),TRIM('R.M Billets Reports'!F2502),IF(ISNUMBER(SEARCH("Party Name-",'R.M Billets Reports'!D2502)),TRIM(MID('R.M Billets Reports'!D2502,SEARCH("-",'R.M Billets Reports'!D2502)+1,200)),"")),IF(ISNUMBER(SEARCH("Party Name:-",'R.M Billets Reports'!D2503)),TRIM('R.M Billets Reports'!F2503),IF(ISNUMBER(SEARCH("Party Name-",'R.M Billets Reports'!D2503)),TRIM(MID('R.M Billets Reports'!D2503,SEARCH("-",'R.M Billets Reports'!D2503)+1,200)),"")))="VRKP ISPAT PVT LTD","VRKP",IF(IF(IF(ISNUMBER(SEARCH("Party Name:-",'R.M Billets Reports'!D2502)),TRIM('R.M Billets Reports'!F2502),IF(ISNUMBER(SEARCH("Party Name-",'R.M Billets Reports'!D2502)),TRIM(MID('R.M Billets Reports'!D2502,SEARCH("-",'R.M Billets Reports'!D2502)+1,200)),""))&lt;&gt;"",IF(ISNUMBER(SEARCH("Party Name:-",'R.M Billets Reports'!D2502)),TRIM('R.M Billets Reports'!F2502),IF(ISNUMBER(SEARCH("Party Name-",'R.M Billets Reports'!D2502)),TRIM(MID('R.M Billets Reports'!D2502,SEARCH("-",'R.M Billets Reports'!D2502)+1,200)),"")),IF(ISNUMBER(SEARCH("Party Name:-",'R.M Billets Reports'!D2503)),TRIM('R.M Billets Reports'!F2503),IF(ISNUMBER(SEARCH("Party Name-",'R.M Billets Reports'!D2503)),TRIM(MID('R.M Billets Reports'!D2503,SEARCH("-",'R.M Billets Reports'!D2503)+1,200)),"")))="SHRI RADHE","SHREE RADHE",IF(IF(IF(ISNUMBER(SEARCH("Party Name:-",'R.M Billets Reports'!D2502)),TRIM('R.M Billets Reports'!F2502),IF(ISNUMBER(SEARCH("Party Name-",'R.M Billets Reports'!D2502)),TRIM(MID('R.M Billets Reports'!D2502,SEARCH("-",'R.M Billets Reports'!D2502)+1,200)),""))&lt;&gt;"",IF(ISNUMBER(SEARCH("Party Name:-",'R.M Billets Reports'!D2502)),TRIM('R.M Billets Reports'!F2502),IF(ISNUMBER(SEARCH("Party Name-",'R.M Billets Reports'!D2502)),TRIM(MID('R.M Billets Reports'!D2502,SEARCH("-",'R.M Billets Reports'!D2502)+1,200)),"")),IF(ISNUMBER(SEARCH("Party Name:-",'R.M Billets Reports'!D2503)),TRIM('R.M Billets Reports'!F2503),IF(ISNUMBER(SEARCH("Party Name-",'R.M Billets Reports'!D2503)),TRIM(MID('R.M Billets Reports'!D2503,SEARCH("-",'R.M Billets Reports'!D2503)+1,200)),"")))="SHREE RADHE SHAKTI SPONGE AND POWER PVT. LTD.","SHREE RADHE",IF(IF(ISNUMBER(SEARCH("Party Name:-",'R.M Billets Reports'!D2502)),TRIM('R.M Billets Reports'!F2502),IF(ISNUMBER(SEARCH("Party Name-",'R.M Billets Reports'!D2502)),TRIM(MID('R.M Billets Reports'!D2502,SEARCH("-",'R.M Billets Reports'!D2502)+1,200)),""))&lt;&gt;"",IF(ISNUMBER(SEARCH("Party Name:-",'R.M Billets Reports'!D2502)),TRIM('R.M Billets Reports'!F2502),IF(ISNUMBER(SEARCH("Party Name-",'R.M Billets Reports'!D2502)),TRIM(MID('R.M Billets Reports'!D2502,SEARCH("-",'R.M Billets Reports'!D2502)+1,200)),"")),IF(ISNUMBER(SEARCH("Party Name:-",'R.M Billets Reports'!D2503)),TRIM('R.M Billets Reports'!F2503),IF(ISNUMBER(SEARCH("Party Name-",'R.M Billets Reports'!D2503)),TRIM(MID('R.M Billets Reports'!D2503,SEARCH("-",'R.M Billets Reports'!D2503)+1,200)),"")))))),IF(ROW()=2,"",A2502))</f>
      </c>
      <c r="B2503">
        <f>IF(OR('R.M Billets Reports'!A2502="Date-",'R.M Billets Reports'!A2502="Date:-"),'R.M Billets Reports'!B2502,IF(ROW()=2,"",B2502))</f>
      </c>
      <c r="C2503">
        <f>IF('R.M Billets Reports'!A2502="V.No.",'R.M Billets Reports'!B2502,IF(ROW()=2,"",C2502))</f>
      </c>
      <c r="D2503">
        <f>IF('R.M Billets Reports'!A2502&lt;&gt;"",'R.M Billets Reports'!A2502,IF(ROW()=2,"",D2502))</f>
      </c>
      <c r="E2503">
        <f>IF('R.M Billets Reports'!B2502="","",TRIM('R.M Billets Reports'!B2502))</f>
      </c>
      <c r="F2503">
        <f>'R.M Billets Reports'!C2502</f>
      </c>
      <c r="G2503">
        <f>'R.M Billets Reports'!D2502</f>
      </c>
      <c r="H2503">
        <f>'R.M Billets Reports'!E2502</f>
      </c>
      <c r="I2503">
        <f>'R.M Billets Reports'!F2502</f>
      </c>
      <c r="J2503">
        <f>'R.M Billets Reports'!G2502</f>
      </c>
      <c r="K2503">
        <f>'R.M Billets Reports'!H2502</f>
      </c>
      <c r="L2503">
        <f>IF('R.M Billets Reports'!I2502="","",'R.M Billets Reports'!I2502)</f>
      </c>
      <c r="M2503">
        <f t="shared" si="78"/>
      </c>
      <c r="N2503">
        <f>IF('R.M Billets Reports'!J2502="","",'R.M Billets Reports'!J2502)</f>
      </c>
      <c r="O2503">
        <f t="shared" si="79"/>
      </c>
      <c r="P2503">
        <f>IF('R.M Billets Reports'!A2502="SIZE",'R.M Billets Reports'!B2502,P2502)</f>
      </c>
    </row>
    <row r="2504" spans="1:16" x14ac:dyDescent="0.25">
      <c r="A2504">
        <f>IF(OR('R.M Billets Reports'!A2503="Date-",'R.M Billets Reports'!A2503="Date:-"),IF(IF(IF(ISNUMBER(SEARCH("Party Name:-",'R.M Billets Reports'!D2503)),TRIM('R.M Billets Reports'!F2503),IF(ISNUMBER(SEARCH("Party Name-",'R.M Billets Reports'!D2503)),TRIM(MID('R.M Billets Reports'!D2503,SEARCH("-",'R.M Billets Reports'!D2503)+1,200)),""))&lt;&gt;"",IF(ISNUMBER(SEARCH("Party Name:-",'R.M Billets Reports'!D2503)),TRIM('R.M Billets Reports'!F2503),IF(ISNUMBER(SEARCH("Party Name-",'R.M Billets Reports'!D2503)),TRIM(MID('R.M Billets Reports'!D2503,SEARCH("-",'R.M Billets Reports'!D2503)+1,200)),"")),IF(ISNUMBER(SEARCH("Party Name:-",'R.M Billets Reports'!D2504)),TRIM('R.M Billets Reports'!F2504),IF(ISNUMBER(SEARCH("Party Name-",'R.M Billets Reports'!D2504)),TRIM(MID('R.M Billets Reports'!D2504,SEARCH("-",'R.M Billets Reports'!D2504)+1,200)),"")))="VRKP ISPAT PVT LTD","VRKP",IF(IF(IF(ISNUMBER(SEARCH("Party Name:-",'R.M Billets Reports'!D2503)),TRIM('R.M Billets Reports'!F2503),IF(ISNUMBER(SEARCH("Party Name-",'R.M Billets Reports'!D2503)),TRIM(MID('R.M Billets Reports'!D2503,SEARCH("-",'R.M Billets Reports'!D2503)+1,200)),""))&lt;&gt;"",IF(ISNUMBER(SEARCH("Party Name:-",'R.M Billets Reports'!D2503)),TRIM('R.M Billets Reports'!F2503),IF(ISNUMBER(SEARCH("Party Name-",'R.M Billets Reports'!D2503)),TRIM(MID('R.M Billets Reports'!D2503,SEARCH("-",'R.M Billets Reports'!D2503)+1,200)),"")),IF(ISNUMBER(SEARCH("Party Name:-",'R.M Billets Reports'!D2504)),TRIM('R.M Billets Reports'!F2504),IF(ISNUMBER(SEARCH("Party Name-",'R.M Billets Reports'!D2504)),TRIM(MID('R.M Billets Reports'!D2504,SEARCH("-",'R.M Billets Reports'!D2504)+1,200)),"")))="SHRI RADHE","SHREE RADHE",IF(IF(IF(ISNUMBER(SEARCH("Party Name:-",'R.M Billets Reports'!D2503)),TRIM('R.M Billets Reports'!F2503),IF(ISNUMBER(SEARCH("Party Name-",'R.M Billets Reports'!D2503)),TRIM(MID('R.M Billets Reports'!D2503,SEARCH("-",'R.M Billets Reports'!D2503)+1,200)),""))&lt;&gt;"",IF(ISNUMBER(SEARCH("Party Name:-",'R.M Billets Reports'!D2503)),TRIM('R.M Billets Reports'!F2503),IF(ISNUMBER(SEARCH("Party Name-",'R.M Billets Reports'!D2503)),TRIM(MID('R.M Billets Reports'!D2503,SEARCH("-",'R.M Billets Reports'!D2503)+1,200)),"")),IF(ISNUMBER(SEARCH("Party Name:-",'R.M Billets Reports'!D2504)),TRIM('R.M Billets Reports'!F2504),IF(ISNUMBER(SEARCH("Party Name-",'R.M Billets Reports'!D2504)),TRIM(MID('R.M Billets Reports'!D2504,SEARCH("-",'R.M Billets Reports'!D2504)+1,200)),"")))="SHREE RADHE SHAKTI SPONGE AND POWER PVT. LTD.","SHREE RADHE",IF(IF(ISNUMBER(SEARCH("Party Name:-",'R.M Billets Reports'!D2503)),TRIM('R.M Billets Reports'!F2503),IF(ISNUMBER(SEARCH("Party Name-",'R.M Billets Reports'!D2503)),TRIM(MID('R.M Billets Reports'!D2503,SEARCH("-",'R.M Billets Reports'!D2503)+1,200)),""))&lt;&gt;"",IF(ISNUMBER(SEARCH("Party Name:-",'R.M Billets Reports'!D2503)),TRIM('R.M Billets Reports'!F2503),IF(ISNUMBER(SEARCH("Party Name-",'R.M Billets Reports'!D2503)),TRIM(MID('R.M Billets Reports'!D2503,SEARCH("-",'R.M Billets Reports'!D2503)+1,200)),"")),IF(ISNUMBER(SEARCH("Party Name:-",'R.M Billets Reports'!D2504)),TRIM('R.M Billets Reports'!F2504),IF(ISNUMBER(SEARCH("Party Name-",'R.M Billets Reports'!D2504)),TRIM(MID('R.M Billets Reports'!D2504,SEARCH("-",'R.M Billets Reports'!D2504)+1,200)),"")))))),IF(ROW()=2,"",A2503))</f>
      </c>
      <c r="B2504">
        <f>IF(OR('R.M Billets Reports'!A2503="Date-",'R.M Billets Reports'!A2503="Date:-"),'R.M Billets Reports'!B2503,IF(ROW()=2,"",B2503))</f>
      </c>
      <c r="C2504">
        <f>IF('R.M Billets Reports'!A2503="V.No.",'R.M Billets Reports'!B2503,IF(ROW()=2,"",C2503))</f>
      </c>
      <c r="D2504">
        <f>IF('R.M Billets Reports'!A2503&lt;&gt;"",'R.M Billets Reports'!A2503,IF(ROW()=2,"",D2503))</f>
      </c>
      <c r="E2504">
        <f>IF('R.M Billets Reports'!B2503="","",TRIM('R.M Billets Reports'!B2503))</f>
      </c>
      <c r="F2504">
        <f>'R.M Billets Reports'!C2503</f>
      </c>
      <c r="G2504">
        <f>'R.M Billets Reports'!D2503</f>
      </c>
      <c r="H2504">
        <f>'R.M Billets Reports'!E2503</f>
      </c>
      <c r="I2504">
        <f>'R.M Billets Reports'!F2503</f>
      </c>
      <c r="J2504">
        <f>'R.M Billets Reports'!G2503</f>
      </c>
      <c r="K2504">
        <f>'R.M Billets Reports'!H2503</f>
      </c>
      <c r="L2504">
        <f>IF('R.M Billets Reports'!I2503="","",'R.M Billets Reports'!I2503)</f>
      </c>
      <c r="M2504">
        <f t="shared" si="78"/>
      </c>
      <c r="N2504">
        <f>IF('R.M Billets Reports'!J2503="","",'R.M Billets Reports'!J2503)</f>
      </c>
      <c r="O2504">
        <f t="shared" si="79"/>
      </c>
      <c r="P2504">
        <f>IF('R.M Billets Reports'!A2503="SIZE",'R.M Billets Reports'!B2503,P2503)</f>
      </c>
    </row>
    <row r="2505" spans="1:16" x14ac:dyDescent="0.25">
      <c r="A2505">
        <f>IF(OR('R.M Billets Reports'!A2504="Date-",'R.M Billets Reports'!A2504="Date:-"),IF(IF(IF(ISNUMBER(SEARCH("Party Name:-",'R.M Billets Reports'!D2504)),TRIM('R.M Billets Reports'!F2504),IF(ISNUMBER(SEARCH("Party Name-",'R.M Billets Reports'!D2504)),TRIM(MID('R.M Billets Reports'!D2504,SEARCH("-",'R.M Billets Reports'!D2504)+1,200)),""))&lt;&gt;"",IF(ISNUMBER(SEARCH("Party Name:-",'R.M Billets Reports'!D2504)),TRIM('R.M Billets Reports'!F2504),IF(ISNUMBER(SEARCH("Party Name-",'R.M Billets Reports'!D2504)),TRIM(MID('R.M Billets Reports'!D2504,SEARCH("-",'R.M Billets Reports'!D2504)+1,200)),"")),IF(ISNUMBER(SEARCH("Party Name:-",'R.M Billets Reports'!D2505)),TRIM('R.M Billets Reports'!F2505),IF(ISNUMBER(SEARCH("Party Name-",'R.M Billets Reports'!D2505)),TRIM(MID('R.M Billets Reports'!D2505,SEARCH("-",'R.M Billets Reports'!D2505)+1,200)),"")))="VRKP ISPAT PVT LTD","VRKP",IF(IF(IF(ISNUMBER(SEARCH("Party Name:-",'R.M Billets Reports'!D2504)),TRIM('R.M Billets Reports'!F2504),IF(ISNUMBER(SEARCH("Party Name-",'R.M Billets Reports'!D2504)),TRIM(MID('R.M Billets Reports'!D2504,SEARCH("-",'R.M Billets Reports'!D2504)+1,200)),""))&lt;&gt;"",IF(ISNUMBER(SEARCH("Party Name:-",'R.M Billets Reports'!D2504)),TRIM('R.M Billets Reports'!F2504),IF(ISNUMBER(SEARCH("Party Name-",'R.M Billets Reports'!D2504)),TRIM(MID('R.M Billets Reports'!D2504,SEARCH("-",'R.M Billets Reports'!D2504)+1,200)),"")),IF(ISNUMBER(SEARCH("Party Name:-",'R.M Billets Reports'!D2505)),TRIM('R.M Billets Reports'!F2505),IF(ISNUMBER(SEARCH("Party Name-",'R.M Billets Reports'!D2505)),TRIM(MID('R.M Billets Reports'!D2505,SEARCH("-",'R.M Billets Reports'!D2505)+1,200)),"")))="SHRI RADHE","SHREE RADHE",IF(IF(IF(ISNUMBER(SEARCH("Party Name:-",'R.M Billets Reports'!D2504)),TRIM('R.M Billets Reports'!F2504),IF(ISNUMBER(SEARCH("Party Name-",'R.M Billets Reports'!D2504)),TRIM(MID('R.M Billets Reports'!D2504,SEARCH("-",'R.M Billets Reports'!D2504)+1,200)),""))&lt;&gt;"",IF(ISNUMBER(SEARCH("Party Name:-",'R.M Billets Reports'!D2504)),TRIM('R.M Billets Reports'!F2504),IF(ISNUMBER(SEARCH("Party Name-",'R.M Billets Reports'!D2504)),TRIM(MID('R.M Billets Reports'!D2504,SEARCH("-",'R.M Billets Reports'!D2504)+1,200)),"")),IF(ISNUMBER(SEARCH("Party Name:-",'R.M Billets Reports'!D2505)),TRIM('R.M Billets Reports'!F2505),IF(ISNUMBER(SEARCH("Party Name-",'R.M Billets Reports'!D2505)),TRIM(MID('R.M Billets Reports'!D2505,SEARCH("-",'R.M Billets Reports'!D2505)+1,200)),"")))="SHREE RADHE SHAKTI SPONGE AND POWER PVT. LTD.","SHREE RADHE",IF(IF(ISNUMBER(SEARCH("Party Name:-",'R.M Billets Reports'!D2504)),TRIM('R.M Billets Reports'!F2504),IF(ISNUMBER(SEARCH("Party Name-",'R.M Billets Reports'!D2504)),TRIM(MID('R.M Billets Reports'!D2504,SEARCH("-",'R.M Billets Reports'!D2504)+1,200)),""))&lt;&gt;"",IF(ISNUMBER(SEARCH("Party Name:-",'R.M Billets Reports'!D2504)),TRIM('R.M Billets Reports'!F2504),IF(ISNUMBER(SEARCH("Party Name-",'R.M Billets Reports'!D2504)),TRIM(MID('R.M Billets Reports'!D2504,SEARCH("-",'R.M Billets Reports'!D2504)+1,200)),"")),IF(ISNUMBER(SEARCH("Party Name:-",'R.M Billets Reports'!D2505)),TRIM('R.M Billets Reports'!F2505),IF(ISNUMBER(SEARCH("Party Name-",'R.M Billets Reports'!D2505)),TRIM(MID('R.M Billets Reports'!D2505,SEARCH("-",'R.M Billets Reports'!D2505)+1,200)),"")))))),IF(ROW()=2,"",A2504))</f>
      </c>
      <c r="B2505">
        <f>IF(OR('R.M Billets Reports'!A2504="Date-",'R.M Billets Reports'!A2504="Date:-"),'R.M Billets Reports'!B2504,IF(ROW()=2,"",B2504))</f>
      </c>
      <c r="C2505">
        <f>IF('R.M Billets Reports'!A2504="V.No.",'R.M Billets Reports'!B2504,IF(ROW()=2,"",C2504))</f>
      </c>
      <c r="D2505">
        <f>IF('R.M Billets Reports'!A2504&lt;&gt;"",'R.M Billets Reports'!A2504,IF(ROW()=2,"",D2504))</f>
      </c>
      <c r="E2505">
        <f>IF('R.M Billets Reports'!B2504="","",TRIM('R.M Billets Reports'!B2504))</f>
      </c>
      <c r="F2505">
        <f>'R.M Billets Reports'!C2504</f>
      </c>
      <c r="G2505">
        <f>'R.M Billets Reports'!D2504</f>
      </c>
      <c r="H2505">
        <f>'R.M Billets Reports'!E2504</f>
      </c>
      <c r="I2505">
        <f>'R.M Billets Reports'!F2504</f>
      </c>
      <c r="J2505">
        <f>'R.M Billets Reports'!G2504</f>
      </c>
      <c r="K2505">
        <f>'R.M Billets Reports'!H2504</f>
      </c>
      <c r="L2505">
        <f>IF('R.M Billets Reports'!I2504="","",'R.M Billets Reports'!I2504)</f>
      </c>
      <c r="M2505">
        <f t="shared" si="78"/>
      </c>
      <c r="N2505">
        <f>IF('R.M Billets Reports'!J2504="","",'R.M Billets Reports'!J2504)</f>
      </c>
      <c r="O2505">
        <f t="shared" si="79"/>
      </c>
      <c r="P2505">
        <f>IF('R.M Billets Reports'!A2504="SIZE",'R.M Billets Reports'!B2504,P2504)</f>
      </c>
    </row>
    <row r="2506" spans="1:16" x14ac:dyDescent="0.25">
      <c r="A2506">
        <f>IF(OR('R.M Billets Reports'!A2505="Date-",'R.M Billets Reports'!A2505="Date:-"),IF(IF(IF(ISNUMBER(SEARCH("Party Name:-",'R.M Billets Reports'!D2505)),TRIM('R.M Billets Reports'!F2505),IF(ISNUMBER(SEARCH("Party Name-",'R.M Billets Reports'!D2505)),TRIM(MID('R.M Billets Reports'!D2505,SEARCH("-",'R.M Billets Reports'!D2505)+1,200)),""))&lt;&gt;"",IF(ISNUMBER(SEARCH("Party Name:-",'R.M Billets Reports'!D2505)),TRIM('R.M Billets Reports'!F2505),IF(ISNUMBER(SEARCH("Party Name-",'R.M Billets Reports'!D2505)),TRIM(MID('R.M Billets Reports'!D2505,SEARCH("-",'R.M Billets Reports'!D2505)+1,200)),"")),IF(ISNUMBER(SEARCH("Party Name:-",'R.M Billets Reports'!D2506)),TRIM('R.M Billets Reports'!F2506),IF(ISNUMBER(SEARCH("Party Name-",'R.M Billets Reports'!D2506)),TRIM(MID('R.M Billets Reports'!D2506,SEARCH("-",'R.M Billets Reports'!D2506)+1,200)),"")))="VRKP ISPAT PVT LTD","VRKP",IF(IF(IF(ISNUMBER(SEARCH("Party Name:-",'R.M Billets Reports'!D2505)),TRIM('R.M Billets Reports'!F2505),IF(ISNUMBER(SEARCH("Party Name-",'R.M Billets Reports'!D2505)),TRIM(MID('R.M Billets Reports'!D2505,SEARCH("-",'R.M Billets Reports'!D2505)+1,200)),""))&lt;&gt;"",IF(ISNUMBER(SEARCH("Party Name:-",'R.M Billets Reports'!D2505)),TRIM('R.M Billets Reports'!F2505),IF(ISNUMBER(SEARCH("Party Name-",'R.M Billets Reports'!D2505)),TRIM(MID('R.M Billets Reports'!D2505,SEARCH("-",'R.M Billets Reports'!D2505)+1,200)),"")),IF(ISNUMBER(SEARCH("Party Name:-",'R.M Billets Reports'!D2506)),TRIM('R.M Billets Reports'!F2506),IF(ISNUMBER(SEARCH("Party Name-",'R.M Billets Reports'!D2506)),TRIM(MID('R.M Billets Reports'!D2506,SEARCH("-",'R.M Billets Reports'!D2506)+1,200)),"")))="SHRI RADHE","SHREE RADHE",IF(IF(IF(ISNUMBER(SEARCH("Party Name:-",'R.M Billets Reports'!D2505)),TRIM('R.M Billets Reports'!F2505),IF(ISNUMBER(SEARCH("Party Name-",'R.M Billets Reports'!D2505)),TRIM(MID('R.M Billets Reports'!D2505,SEARCH("-",'R.M Billets Reports'!D2505)+1,200)),""))&lt;&gt;"",IF(ISNUMBER(SEARCH("Party Name:-",'R.M Billets Reports'!D2505)),TRIM('R.M Billets Reports'!F2505),IF(ISNUMBER(SEARCH("Party Name-",'R.M Billets Reports'!D2505)),TRIM(MID('R.M Billets Reports'!D2505,SEARCH("-",'R.M Billets Reports'!D2505)+1,200)),"")),IF(ISNUMBER(SEARCH("Party Name:-",'R.M Billets Reports'!D2506)),TRIM('R.M Billets Reports'!F2506),IF(ISNUMBER(SEARCH("Party Name-",'R.M Billets Reports'!D2506)),TRIM(MID('R.M Billets Reports'!D2506,SEARCH("-",'R.M Billets Reports'!D2506)+1,200)),"")))="SHREE RADHE SHAKTI SPONGE AND POWER PVT. LTD.","SHREE RADHE",IF(IF(ISNUMBER(SEARCH("Party Name:-",'R.M Billets Reports'!D2505)),TRIM('R.M Billets Reports'!F2505),IF(ISNUMBER(SEARCH("Party Name-",'R.M Billets Reports'!D2505)),TRIM(MID('R.M Billets Reports'!D2505,SEARCH("-",'R.M Billets Reports'!D2505)+1,200)),""))&lt;&gt;"",IF(ISNUMBER(SEARCH("Party Name:-",'R.M Billets Reports'!D2505)),TRIM('R.M Billets Reports'!F2505),IF(ISNUMBER(SEARCH("Party Name-",'R.M Billets Reports'!D2505)),TRIM(MID('R.M Billets Reports'!D2505,SEARCH("-",'R.M Billets Reports'!D2505)+1,200)),"")),IF(ISNUMBER(SEARCH("Party Name:-",'R.M Billets Reports'!D2506)),TRIM('R.M Billets Reports'!F2506),IF(ISNUMBER(SEARCH("Party Name-",'R.M Billets Reports'!D2506)),TRIM(MID('R.M Billets Reports'!D2506,SEARCH("-",'R.M Billets Reports'!D2506)+1,200)),"")))))),IF(ROW()=2,"",A2505))</f>
      </c>
      <c r="B2506">
        <f>IF(OR('R.M Billets Reports'!A2505="Date-",'R.M Billets Reports'!A2505="Date:-"),'R.M Billets Reports'!B2505,IF(ROW()=2,"",B2505))</f>
      </c>
      <c r="C2506">
        <f>IF('R.M Billets Reports'!A2505="V.No.",'R.M Billets Reports'!B2505,IF(ROW()=2,"",C2505))</f>
      </c>
      <c r="D2506">
        <f>IF('R.M Billets Reports'!A2505&lt;&gt;"",'R.M Billets Reports'!A2505,IF(ROW()=2,"",D2505))</f>
      </c>
      <c r="E2506">
        <f>IF('R.M Billets Reports'!B2505="","",TRIM('R.M Billets Reports'!B2505))</f>
      </c>
      <c r="F2506">
        <f>'R.M Billets Reports'!C2505</f>
      </c>
      <c r="G2506">
        <f>'R.M Billets Reports'!D2505</f>
      </c>
      <c r="H2506">
        <f>'R.M Billets Reports'!E2505</f>
      </c>
      <c r="I2506">
        <f>'R.M Billets Reports'!F2505</f>
      </c>
      <c r="J2506">
        <f>'R.M Billets Reports'!G2505</f>
      </c>
      <c r="K2506">
        <f>'R.M Billets Reports'!H2505</f>
      </c>
      <c r="L2506">
        <f>IF('R.M Billets Reports'!I2505="","",'R.M Billets Reports'!I2505)</f>
      </c>
      <c r="M2506">
        <f t="shared" si="78"/>
      </c>
      <c r="N2506">
        <f>IF('R.M Billets Reports'!J2505="","",'R.M Billets Reports'!J2505)</f>
      </c>
      <c r="O2506">
        <f t="shared" si="79"/>
      </c>
      <c r="P2506">
        <f>IF('R.M Billets Reports'!A2505="SIZE",'R.M Billets Reports'!B2505,P2505)</f>
      </c>
    </row>
    <row r="2507" spans="1:16" x14ac:dyDescent="0.25">
      <c r="A2507">
        <f>IF(OR('R.M Billets Reports'!A2506="Date-",'R.M Billets Reports'!A2506="Date:-"),IF(IF(IF(ISNUMBER(SEARCH("Party Name:-",'R.M Billets Reports'!D2506)),TRIM('R.M Billets Reports'!F2506),IF(ISNUMBER(SEARCH("Party Name-",'R.M Billets Reports'!D2506)),TRIM(MID('R.M Billets Reports'!D2506,SEARCH("-",'R.M Billets Reports'!D2506)+1,200)),""))&lt;&gt;"",IF(ISNUMBER(SEARCH("Party Name:-",'R.M Billets Reports'!D2506)),TRIM('R.M Billets Reports'!F2506),IF(ISNUMBER(SEARCH("Party Name-",'R.M Billets Reports'!D2506)),TRIM(MID('R.M Billets Reports'!D2506,SEARCH("-",'R.M Billets Reports'!D2506)+1,200)),"")),IF(ISNUMBER(SEARCH("Party Name:-",'R.M Billets Reports'!D2507)),TRIM('R.M Billets Reports'!F2507),IF(ISNUMBER(SEARCH("Party Name-",'R.M Billets Reports'!D2507)),TRIM(MID('R.M Billets Reports'!D2507,SEARCH("-",'R.M Billets Reports'!D2507)+1,200)),"")))="VRKP ISPAT PVT LTD","VRKP",IF(IF(IF(ISNUMBER(SEARCH("Party Name:-",'R.M Billets Reports'!D2506)),TRIM('R.M Billets Reports'!F2506),IF(ISNUMBER(SEARCH("Party Name-",'R.M Billets Reports'!D2506)),TRIM(MID('R.M Billets Reports'!D2506,SEARCH("-",'R.M Billets Reports'!D2506)+1,200)),""))&lt;&gt;"",IF(ISNUMBER(SEARCH("Party Name:-",'R.M Billets Reports'!D2506)),TRIM('R.M Billets Reports'!F2506),IF(ISNUMBER(SEARCH("Party Name-",'R.M Billets Reports'!D2506)),TRIM(MID('R.M Billets Reports'!D2506,SEARCH("-",'R.M Billets Reports'!D2506)+1,200)),"")),IF(ISNUMBER(SEARCH("Party Name:-",'R.M Billets Reports'!D2507)),TRIM('R.M Billets Reports'!F2507),IF(ISNUMBER(SEARCH("Party Name-",'R.M Billets Reports'!D2507)),TRIM(MID('R.M Billets Reports'!D2507,SEARCH("-",'R.M Billets Reports'!D2507)+1,200)),"")))="SHRI RADHE","SHREE RADHE",IF(IF(IF(ISNUMBER(SEARCH("Party Name:-",'R.M Billets Reports'!D2506)),TRIM('R.M Billets Reports'!F2506),IF(ISNUMBER(SEARCH("Party Name-",'R.M Billets Reports'!D2506)),TRIM(MID('R.M Billets Reports'!D2506,SEARCH("-",'R.M Billets Reports'!D2506)+1,200)),""))&lt;&gt;"",IF(ISNUMBER(SEARCH("Party Name:-",'R.M Billets Reports'!D2506)),TRIM('R.M Billets Reports'!F2506),IF(ISNUMBER(SEARCH("Party Name-",'R.M Billets Reports'!D2506)),TRIM(MID('R.M Billets Reports'!D2506,SEARCH("-",'R.M Billets Reports'!D2506)+1,200)),"")),IF(ISNUMBER(SEARCH("Party Name:-",'R.M Billets Reports'!D2507)),TRIM('R.M Billets Reports'!F2507),IF(ISNUMBER(SEARCH("Party Name-",'R.M Billets Reports'!D2507)),TRIM(MID('R.M Billets Reports'!D2507,SEARCH("-",'R.M Billets Reports'!D2507)+1,200)),"")))="SHREE RADHE SHAKTI SPONGE AND POWER PVT. LTD.","SHREE RADHE",IF(IF(ISNUMBER(SEARCH("Party Name:-",'R.M Billets Reports'!D2506)),TRIM('R.M Billets Reports'!F2506),IF(ISNUMBER(SEARCH("Party Name-",'R.M Billets Reports'!D2506)),TRIM(MID('R.M Billets Reports'!D2506,SEARCH("-",'R.M Billets Reports'!D2506)+1,200)),""))&lt;&gt;"",IF(ISNUMBER(SEARCH("Party Name:-",'R.M Billets Reports'!D2506)),TRIM('R.M Billets Reports'!F2506),IF(ISNUMBER(SEARCH("Party Name-",'R.M Billets Reports'!D2506)),TRIM(MID('R.M Billets Reports'!D2506,SEARCH("-",'R.M Billets Reports'!D2506)+1,200)),"")),IF(ISNUMBER(SEARCH("Party Name:-",'R.M Billets Reports'!D2507)),TRIM('R.M Billets Reports'!F2507),IF(ISNUMBER(SEARCH("Party Name-",'R.M Billets Reports'!D2507)),TRIM(MID('R.M Billets Reports'!D2507,SEARCH("-",'R.M Billets Reports'!D2507)+1,200)),"")))))),IF(ROW()=2,"",A2506))</f>
      </c>
      <c r="B2507">
        <f>IF(OR('R.M Billets Reports'!A2506="Date-",'R.M Billets Reports'!A2506="Date:-"),'R.M Billets Reports'!B2506,IF(ROW()=2,"",B2506))</f>
      </c>
      <c r="C2507">
        <f>IF('R.M Billets Reports'!A2506="V.No.",'R.M Billets Reports'!B2506,IF(ROW()=2,"",C2506))</f>
      </c>
      <c r="D2507">
        <f>IF('R.M Billets Reports'!A2506&lt;&gt;"",'R.M Billets Reports'!A2506,IF(ROW()=2,"",D2506))</f>
      </c>
      <c r="E2507">
        <f>IF('R.M Billets Reports'!B2506="","",TRIM('R.M Billets Reports'!B2506))</f>
      </c>
      <c r="F2507">
        <f>'R.M Billets Reports'!C2506</f>
      </c>
      <c r="G2507">
        <f>'R.M Billets Reports'!D2506</f>
      </c>
      <c r="H2507">
        <f>'R.M Billets Reports'!E2506</f>
      </c>
      <c r="I2507">
        <f>'R.M Billets Reports'!F2506</f>
      </c>
      <c r="J2507">
        <f>'R.M Billets Reports'!G2506</f>
      </c>
      <c r="K2507">
        <f>'R.M Billets Reports'!H2506</f>
      </c>
      <c r="L2507">
        <f>IF('R.M Billets Reports'!I2506="","",'R.M Billets Reports'!I2506)</f>
      </c>
      <c r="M2507">
        <f t="shared" si="78"/>
      </c>
      <c r="N2507">
        <f>IF('R.M Billets Reports'!J2506="","",'R.M Billets Reports'!J2506)</f>
      </c>
      <c r="O2507">
        <f t="shared" si="79"/>
      </c>
      <c r="P2507">
        <f>IF('R.M Billets Reports'!A2506="SIZE",'R.M Billets Reports'!B2506,P2506)</f>
      </c>
    </row>
    <row r="2508" spans="1:16" x14ac:dyDescent="0.25">
      <c r="A2508">
        <f>IF(OR('R.M Billets Reports'!A2507="Date-",'R.M Billets Reports'!A2507="Date:-"),IF(IF(IF(ISNUMBER(SEARCH("Party Name:-",'R.M Billets Reports'!D2507)),TRIM('R.M Billets Reports'!F2507),IF(ISNUMBER(SEARCH("Party Name-",'R.M Billets Reports'!D2507)),TRIM(MID('R.M Billets Reports'!D2507,SEARCH("-",'R.M Billets Reports'!D2507)+1,200)),""))&lt;&gt;"",IF(ISNUMBER(SEARCH("Party Name:-",'R.M Billets Reports'!D2507)),TRIM('R.M Billets Reports'!F2507),IF(ISNUMBER(SEARCH("Party Name-",'R.M Billets Reports'!D2507)),TRIM(MID('R.M Billets Reports'!D2507,SEARCH("-",'R.M Billets Reports'!D2507)+1,200)),"")),IF(ISNUMBER(SEARCH("Party Name:-",'R.M Billets Reports'!D2508)),TRIM('R.M Billets Reports'!F2508),IF(ISNUMBER(SEARCH("Party Name-",'R.M Billets Reports'!D2508)),TRIM(MID('R.M Billets Reports'!D2508,SEARCH("-",'R.M Billets Reports'!D2508)+1,200)),"")))="VRKP ISPAT PVT LTD","VRKP",IF(IF(IF(ISNUMBER(SEARCH("Party Name:-",'R.M Billets Reports'!D2507)),TRIM('R.M Billets Reports'!F2507),IF(ISNUMBER(SEARCH("Party Name-",'R.M Billets Reports'!D2507)),TRIM(MID('R.M Billets Reports'!D2507,SEARCH("-",'R.M Billets Reports'!D2507)+1,200)),""))&lt;&gt;"",IF(ISNUMBER(SEARCH("Party Name:-",'R.M Billets Reports'!D2507)),TRIM('R.M Billets Reports'!F2507),IF(ISNUMBER(SEARCH("Party Name-",'R.M Billets Reports'!D2507)),TRIM(MID('R.M Billets Reports'!D2507,SEARCH("-",'R.M Billets Reports'!D2507)+1,200)),"")),IF(ISNUMBER(SEARCH("Party Name:-",'R.M Billets Reports'!D2508)),TRIM('R.M Billets Reports'!F2508),IF(ISNUMBER(SEARCH("Party Name-",'R.M Billets Reports'!D2508)),TRIM(MID('R.M Billets Reports'!D2508,SEARCH("-",'R.M Billets Reports'!D2508)+1,200)),"")))="SHRI RADHE","SHREE RADHE",IF(IF(IF(ISNUMBER(SEARCH("Party Name:-",'R.M Billets Reports'!D2507)),TRIM('R.M Billets Reports'!F2507),IF(ISNUMBER(SEARCH("Party Name-",'R.M Billets Reports'!D2507)),TRIM(MID('R.M Billets Reports'!D2507,SEARCH("-",'R.M Billets Reports'!D2507)+1,200)),""))&lt;&gt;"",IF(ISNUMBER(SEARCH("Party Name:-",'R.M Billets Reports'!D2507)),TRIM('R.M Billets Reports'!F2507),IF(ISNUMBER(SEARCH("Party Name-",'R.M Billets Reports'!D2507)),TRIM(MID('R.M Billets Reports'!D2507,SEARCH("-",'R.M Billets Reports'!D2507)+1,200)),"")),IF(ISNUMBER(SEARCH("Party Name:-",'R.M Billets Reports'!D2508)),TRIM('R.M Billets Reports'!F2508),IF(ISNUMBER(SEARCH("Party Name-",'R.M Billets Reports'!D2508)),TRIM(MID('R.M Billets Reports'!D2508,SEARCH("-",'R.M Billets Reports'!D2508)+1,200)),"")))="SHREE RADHE SHAKTI SPONGE AND POWER PVT. LTD.","SHREE RADHE",IF(IF(ISNUMBER(SEARCH("Party Name:-",'R.M Billets Reports'!D2507)),TRIM('R.M Billets Reports'!F2507),IF(ISNUMBER(SEARCH("Party Name-",'R.M Billets Reports'!D2507)),TRIM(MID('R.M Billets Reports'!D2507,SEARCH("-",'R.M Billets Reports'!D2507)+1,200)),""))&lt;&gt;"",IF(ISNUMBER(SEARCH("Party Name:-",'R.M Billets Reports'!D2507)),TRIM('R.M Billets Reports'!F2507),IF(ISNUMBER(SEARCH("Party Name-",'R.M Billets Reports'!D2507)),TRIM(MID('R.M Billets Reports'!D2507,SEARCH("-",'R.M Billets Reports'!D2507)+1,200)),"")),IF(ISNUMBER(SEARCH("Party Name:-",'R.M Billets Reports'!D2508)),TRIM('R.M Billets Reports'!F2508),IF(ISNUMBER(SEARCH("Party Name-",'R.M Billets Reports'!D2508)),TRIM(MID('R.M Billets Reports'!D2508,SEARCH("-",'R.M Billets Reports'!D2508)+1,200)),"")))))),IF(ROW()=2,"",A2507))</f>
      </c>
      <c r="B2508">
        <f>IF(OR('R.M Billets Reports'!A2507="Date-",'R.M Billets Reports'!A2507="Date:-"),'R.M Billets Reports'!B2507,IF(ROW()=2,"",B2507))</f>
      </c>
      <c r="C2508">
        <f>IF('R.M Billets Reports'!A2507="V.No.",'R.M Billets Reports'!B2507,IF(ROW()=2,"",C2507))</f>
      </c>
      <c r="D2508">
        <f>IF('R.M Billets Reports'!A2507&lt;&gt;"",'R.M Billets Reports'!A2507,IF(ROW()=2,"",D2507))</f>
      </c>
      <c r="E2508">
        <f>IF('R.M Billets Reports'!B2507="","",TRIM('R.M Billets Reports'!B2507))</f>
      </c>
      <c r="F2508">
        <f>'R.M Billets Reports'!C2507</f>
      </c>
      <c r="G2508">
        <f>'R.M Billets Reports'!D2507</f>
      </c>
      <c r="H2508">
        <f>'R.M Billets Reports'!E2507</f>
      </c>
      <c r="I2508">
        <f>'R.M Billets Reports'!F2507</f>
      </c>
      <c r="J2508">
        <f>'R.M Billets Reports'!G2507</f>
      </c>
      <c r="K2508">
        <f>'R.M Billets Reports'!H2507</f>
      </c>
      <c r="L2508">
        <f>IF('R.M Billets Reports'!I2507="","",'R.M Billets Reports'!I2507)</f>
      </c>
      <c r="M2508">
        <f t="shared" si="78"/>
      </c>
      <c r="N2508">
        <f>IF('R.M Billets Reports'!J2507="","",'R.M Billets Reports'!J2507)</f>
      </c>
      <c r="O2508">
        <f t="shared" si="79"/>
      </c>
      <c r="P2508">
        <f>IF('R.M Billets Reports'!A2507="SIZE",'R.M Billets Reports'!B2507,P2507)</f>
      </c>
    </row>
    <row r="2509" spans="1:16" x14ac:dyDescent="0.25">
      <c r="A2509">
        <f>IF(OR('R.M Billets Reports'!A2508="Date-",'R.M Billets Reports'!A2508="Date:-"),IF(IF(IF(ISNUMBER(SEARCH("Party Name:-",'R.M Billets Reports'!D2508)),TRIM('R.M Billets Reports'!F2508),IF(ISNUMBER(SEARCH("Party Name-",'R.M Billets Reports'!D2508)),TRIM(MID('R.M Billets Reports'!D2508,SEARCH("-",'R.M Billets Reports'!D2508)+1,200)),""))&lt;&gt;"",IF(ISNUMBER(SEARCH("Party Name:-",'R.M Billets Reports'!D2508)),TRIM('R.M Billets Reports'!F2508),IF(ISNUMBER(SEARCH("Party Name-",'R.M Billets Reports'!D2508)),TRIM(MID('R.M Billets Reports'!D2508,SEARCH("-",'R.M Billets Reports'!D2508)+1,200)),"")),IF(ISNUMBER(SEARCH("Party Name:-",'R.M Billets Reports'!D2509)),TRIM('R.M Billets Reports'!F2509),IF(ISNUMBER(SEARCH("Party Name-",'R.M Billets Reports'!D2509)),TRIM(MID('R.M Billets Reports'!D2509,SEARCH("-",'R.M Billets Reports'!D2509)+1,200)),"")))="VRKP ISPAT PVT LTD","VRKP",IF(IF(IF(ISNUMBER(SEARCH("Party Name:-",'R.M Billets Reports'!D2508)),TRIM('R.M Billets Reports'!F2508),IF(ISNUMBER(SEARCH("Party Name-",'R.M Billets Reports'!D2508)),TRIM(MID('R.M Billets Reports'!D2508,SEARCH("-",'R.M Billets Reports'!D2508)+1,200)),""))&lt;&gt;"",IF(ISNUMBER(SEARCH("Party Name:-",'R.M Billets Reports'!D2508)),TRIM('R.M Billets Reports'!F2508),IF(ISNUMBER(SEARCH("Party Name-",'R.M Billets Reports'!D2508)),TRIM(MID('R.M Billets Reports'!D2508,SEARCH("-",'R.M Billets Reports'!D2508)+1,200)),"")),IF(ISNUMBER(SEARCH("Party Name:-",'R.M Billets Reports'!D2509)),TRIM('R.M Billets Reports'!F2509),IF(ISNUMBER(SEARCH("Party Name-",'R.M Billets Reports'!D2509)),TRIM(MID('R.M Billets Reports'!D2509,SEARCH("-",'R.M Billets Reports'!D2509)+1,200)),"")))="SHRI RADHE","SHREE RADHE",IF(IF(IF(ISNUMBER(SEARCH("Party Name:-",'R.M Billets Reports'!D2508)),TRIM('R.M Billets Reports'!F2508),IF(ISNUMBER(SEARCH("Party Name-",'R.M Billets Reports'!D2508)),TRIM(MID('R.M Billets Reports'!D2508,SEARCH("-",'R.M Billets Reports'!D2508)+1,200)),""))&lt;&gt;"",IF(ISNUMBER(SEARCH("Party Name:-",'R.M Billets Reports'!D2508)),TRIM('R.M Billets Reports'!F2508),IF(ISNUMBER(SEARCH("Party Name-",'R.M Billets Reports'!D2508)),TRIM(MID('R.M Billets Reports'!D2508,SEARCH("-",'R.M Billets Reports'!D2508)+1,200)),"")),IF(ISNUMBER(SEARCH("Party Name:-",'R.M Billets Reports'!D2509)),TRIM('R.M Billets Reports'!F2509),IF(ISNUMBER(SEARCH("Party Name-",'R.M Billets Reports'!D2509)),TRIM(MID('R.M Billets Reports'!D2509,SEARCH("-",'R.M Billets Reports'!D2509)+1,200)),"")))="SHREE RADHE SHAKTI SPONGE AND POWER PVT. LTD.","SHREE RADHE",IF(IF(ISNUMBER(SEARCH("Party Name:-",'R.M Billets Reports'!D2508)),TRIM('R.M Billets Reports'!F2508),IF(ISNUMBER(SEARCH("Party Name-",'R.M Billets Reports'!D2508)),TRIM(MID('R.M Billets Reports'!D2508,SEARCH("-",'R.M Billets Reports'!D2508)+1,200)),""))&lt;&gt;"",IF(ISNUMBER(SEARCH("Party Name:-",'R.M Billets Reports'!D2508)),TRIM('R.M Billets Reports'!F2508),IF(ISNUMBER(SEARCH("Party Name-",'R.M Billets Reports'!D2508)),TRIM(MID('R.M Billets Reports'!D2508,SEARCH("-",'R.M Billets Reports'!D2508)+1,200)),"")),IF(ISNUMBER(SEARCH("Party Name:-",'R.M Billets Reports'!D2509)),TRIM('R.M Billets Reports'!F2509),IF(ISNUMBER(SEARCH("Party Name-",'R.M Billets Reports'!D2509)),TRIM(MID('R.M Billets Reports'!D2509,SEARCH("-",'R.M Billets Reports'!D2509)+1,200)),"")))))),IF(ROW()=2,"",A2508))</f>
      </c>
      <c r="B2509">
        <f>IF(OR('R.M Billets Reports'!A2508="Date-",'R.M Billets Reports'!A2508="Date:-"),'R.M Billets Reports'!B2508,IF(ROW()=2,"",B2508))</f>
      </c>
      <c r="C2509">
        <f>IF('R.M Billets Reports'!A2508="V.No.",'R.M Billets Reports'!B2508,IF(ROW()=2,"",C2508))</f>
      </c>
      <c r="D2509">
        <f>IF('R.M Billets Reports'!A2508&lt;&gt;"",'R.M Billets Reports'!A2508,IF(ROW()=2,"",D2508))</f>
      </c>
      <c r="E2509">
        <f>IF('R.M Billets Reports'!B2508="","",TRIM('R.M Billets Reports'!B2508))</f>
      </c>
      <c r="F2509">
        <f>'R.M Billets Reports'!C2508</f>
      </c>
      <c r="G2509">
        <f>'R.M Billets Reports'!D2508</f>
      </c>
      <c r="H2509">
        <f>'R.M Billets Reports'!E2508</f>
      </c>
      <c r="I2509">
        <f>'R.M Billets Reports'!F2508</f>
      </c>
      <c r="J2509">
        <f>'R.M Billets Reports'!G2508</f>
      </c>
      <c r="K2509">
        <f>'R.M Billets Reports'!H2508</f>
      </c>
      <c r="L2509">
        <f>IF('R.M Billets Reports'!I2508="","",'R.M Billets Reports'!I2508)</f>
      </c>
      <c r="M2509">
        <f t="shared" si="78"/>
      </c>
      <c r="N2509">
        <f>IF('R.M Billets Reports'!J2508="","",'R.M Billets Reports'!J2508)</f>
      </c>
      <c r="O2509">
        <f t="shared" si="79"/>
      </c>
      <c r="P2509">
        <f>IF('R.M Billets Reports'!A2508="SIZE",'R.M Billets Reports'!B2508,P2508)</f>
      </c>
    </row>
    <row r="2510" spans="1:16" x14ac:dyDescent="0.25">
      <c r="A2510">
        <f>IF(OR('R.M Billets Reports'!A2509="Date-",'R.M Billets Reports'!A2509="Date:-"),IF(IF(IF(ISNUMBER(SEARCH("Party Name:-",'R.M Billets Reports'!D2509)),TRIM('R.M Billets Reports'!F2509),IF(ISNUMBER(SEARCH("Party Name-",'R.M Billets Reports'!D2509)),TRIM(MID('R.M Billets Reports'!D2509,SEARCH("-",'R.M Billets Reports'!D2509)+1,200)),""))&lt;&gt;"",IF(ISNUMBER(SEARCH("Party Name:-",'R.M Billets Reports'!D2509)),TRIM('R.M Billets Reports'!F2509),IF(ISNUMBER(SEARCH("Party Name-",'R.M Billets Reports'!D2509)),TRIM(MID('R.M Billets Reports'!D2509,SEARCH("-",'R.M Billets Reports'!D2509)+1,200)),"")),IF(ISNUMBER(SEARCH("Party Name:-",'R.M Billets Reports'!D2510)),TRIM('R.M Billets Reports'!F2510),IF(ISNUMBER(SEARCH("Party Name-",'R.M Billets Reports'!D2510)),TRIM(MID('R.M Billets Reports'!D2510,SEARCH("-",'R.M Billets Reports'!D2510)+1,200)),"")))="VRKP ISPAT PVT LTD","VRKP",IF(IF(IF(ISNUMBER(SEARCH("Party Name:-",'R.M Billets Reports'!D2509)),TRIM('R.M Billets Reports'!F2509),IF(ISNUMBER(SEARCH("Party Name-",'R.M Billets Reports'!D2509)),TRIM(MID('R.M Billets Reports'!D2509,SEARCH("-",'R.M Billets Reports'!D2509)+1,200)),""))&lt;&gt;"",IF(ISNUMBER(SEARCH("Party Name:-",'R.M Billets Reports'!D2509)),TRIM('R.M Billets Reports'!F2509),IF(ISNUMBER(SEARCH("Party Name-",'R.M Billets Reports'!D2509)),TRIM(MID('R.M Billets Reports'!D2509,SEARCH("-",'R.M Billets Reports'!D2509)+1,200)),"")),IF(ISNUMBER(SEARCH("Party Name:-",'R.M Billets Reports'!D2510)),TRIM('R.M Billets Reports'!F2510),IF(ISNUMBER(SEARCH("Party Name-",'R.M Billets Reports'!D2510)),TRIM(MID('R.M Billets Reports'!D2510,SEARCH("-",'R.M Billets Reports'!D2510)+1,200)),"")))="SHRI RADHE","SHREE RADHE",IF(IF(IF(ISNUMBER(SEARCH("Party Name:-",'R.M Billets Reports'!D2509)),TRIM('R.M Billets Reports'!F2509),IF(ISNUMBER(SEARCH("Party Name-",'R.M Billets Reports'!D2509)),TRIM(MID('R.M Billets Reports'!D2509,SEARCH("-",'R.M Billets Reports'!D2509)+1,200)),""))&lt;&gt;"",IF(ISNUMBER(SEARCH("Party Name:-",'R.M Billets Reports'!D2509)),TRIM('R.M Billets Reports'!F2509),IF(ISNUMBER(SEARCH("Party Name-",'R.M Billets Reports'!D2509)),TRIM(MID('R.M Billets Reports'!D2509,SEARCH("-",'R.M Billets Reports'!D2509)+1,200)),"")),IF(ISNUMBER(SEARCH("Party Name:-",'R.M Billets Reports'!D2510)),TRIM('R.M Billets Reports'!F2510),IF(ISNUMBER(SEARCH("Party Name-",'R.M Billets Reports'!D2510)),TRIM(MID('R.M Billets Reports'!D2510,SEARCH("-",'R.M Billets Reports'!D2510)+1,200)),"")))="SHREE RADHE SHAKTI SPONGE AND POWER PVT. LTD.","SHREE RADHE",IF(IF(ISNUMBER(SEARCH("Party Name:-",'R.M Billets Reports'!D2509)),TRIM('R.M Billets Reports'!F2509),IF(ISNUMBER(SEARCH("Party Name-",'R.M Billets Reports'!D2509)),TRIM(MID('R.M Billets Reports'!D2509,SEARCH("-",'R.M Billets Reports'!D2509)+1,200)),""))&lt;&gt;"",IF(ISNUMBER(SEARCH("Party Name:-",'R.M Billets Reports'!D2509)),TRIM('R.M Billets Reports'!F2509),IF(ISNUMBER(SEARCH("Party Name-",'R.M Billets Reports'!D2509)),TRIM(MID('R.M Billets Reports'!D2509,SEARCH("-",'R.M Billets Reports'!D2509)+1,200)),"")),IF(ISNUMBER(SEARCH("Party Name:-",'R.M Billets Reports'!D2510)),TRIM('R.M Billets Reports'!F2510),IF(ISNUMBER(SEARCH("Party Name-",'R.M Billets Reports'!D2510)),TRIM(MID('R.M Billets Reports'!D2510,SEARCH("-",'R.M Billets Reports'!D2510)+1,200)),"")))))),IF(ROW()=2,"",A2509))</f>
      </c>
      <c r="B2510">
        <f>IF(OR('R.M Billets Reports'!A2509="Date-",'R.M Billets Reports'!A2509="Date:-"),'R.M Billets Reports'!B2509,IF(ROW()=2,"",B2509))</f>
      </c>
      <c r="C2510">
        <f>IF('R.M Billets Reports'!A2509="V.No.",'R.M Billets Reports'!B2509,IF(ROW()=2,"",C2509))</f>
      </c>
      <c r="D2510">
        <f>IF('R.M Billets Reports'!A2509&lt;&gt;"",'R.M Billets Reports'!A2509,IF(ROW()=2,"",D2509))</f>
      </c>
      <c r="E2510">
        <f>IF('R.M Billets Reports'!B2509="","",TRIM('R.M Billets Reports'!B2509))</f>
      </c>
      <c r="F2510">
        <f>'R.M Billets Reports'!C2509</f>
      </c>
      <c r="G2510">
        <f>'R.M Billets Reports'!D2509</f>
      </c>
      <c r="H2510">
        <f>'R.M Billets Reports'!E2509</f>
      </c>
      <c r="I2510">
        <f>'R.M Billets Reports'!F2509</f>
      </c>
      <c r="J2510">
        <f>'R.M Billets Reports'!G2509</f>
      </c>
      <c r="K2510">
        <f>'R.M Billets Reports'!H2509</f>
      </c>
      <c r="L2510">
        <f>IF('R.M Billets Reports'!I2509="","",'R.M Billets Reports'!I2509)</f>
      </c>
      <c r="M2510">
        <f t="shared" si="78"/>
      </c>
      <c r="N2510">
        <f>IF('R.M Billets Reports'!J2509="","",'R.M Billets Reports'!J2509)</f>
      </c>
      <c r="O2510">
        <f t="shared" si="79"/>
      </c>
      <c r="P2510">
        <f>IF('R.M Billets Reports'!A2509="SIZE",'R.M Billets Reports'!B2509,P2509)</f>
      </c>
    </row>
    <row r="2511" spans="1:16" x14ac:dyDescent="0.25">
      <c r="A2511">
        <f>IF(OR('R.M Billets Reports'!A2510="Date-",'R.M Billets Reports'!A2510="Date:-"),IF(IF(IF(ISNUMBER(SEARCH("Party Name:-",'R.M Billets Reports'!D2510)),TRIM('R.M Billets Reports'!F2510),IF(ISNUMBER(SEARCH("Party Name-",'R.M Billets Reports'!D2510)),TRIM(MID('R.M Billets Reports'!D2510,SEARCH("-",'R.M Billets Reports'!D2510)+1,200)),""))&lt;&gt;"",IF(ISNUMBER(SEARCH("Party Name:-",'R.M Billets Reports'!D2510)),TRIM('R.M Billets Reports'!F2510),IF(ISNUMBER(SEARCH("Party Name-",'R.M Billets Reports'!D2510)),TRIM(MID('R.M Billets Reports'!D2510,SEARCH("-",'R.M Billets Reports'!D2510)+1,200)),"")),IF(ISNUMBER(SEARCH("Party Name:-",'R.M Billets Reports'!D2511)),TRIM('R.M Billets Reports'!F2511),IF(ISNUMBER(SEARCH("Party Name-",'R.M Billets Reports'!D2511)),TRIM(MID('R.M Billets Reports'!D2511,SEARCH("-",'R.M Billets Reports'!D2511)+1,200)),"")))="VRKP ISPAT PVT LTD","VRKP",IF(IF(IF(ISNUMBER(SEARCH("Party Name:-",'R.M Billets Reports'!D2510)),TRIM('R.M Billets Reports'!F2510),IF(ISNUMBER(SEARCH("Party Name-",'R.M Billets Reports'!D2510)),TRIM(MID('R.M Billets Reports'!D2510,SEARCH("-",'R.M Billets Reports'!D2510)+1,200)),""))&lt;&gt;"",IF(ISNUMBER(SEARCH("Party Name:-",'R.M Billets Reports'!D2510)),TRIM('R.M Billets Reports'!F2510),IF(ISNUMBER(SEARCH("Party Name-",'R.M Billets Reports'!D2510)),TRIM(MID('R.M Billets Reports'!D2510,SEARCH("-",'R.M Billets Reports'!D2510)+1,200)),"")),IF(ISNUMBER(SEARCH("Party Name:-",'R.M Billets Reports'!D2511)),TRIM('R.M Billets Reports'!F2511),IF(ISNUMBER(SEARCH("Party Name-",'R.M Billets Reports'!D2511)),TRIM(MID('R.M Billets Reports'!D2511,SEARCH("-",'R.M Billets Reports'!D2511)+1,200)),"")))="SHRI RADHE","SHREE RADHE",IF(IF(IF(ISNUMBER(SEARCH("Party Name:-",'R.M Billets Reports'!D2510)),TRIM('R.M Billets Reports'!F2510),IF(ISNUMBER(SEARCH("Party Name-",'R.M Billets Reports'!D2510)),TRIM(MID('R.M Billets Reports'!D2510,SEARCH("-",'R.M Billets Reports'!D2510)+1,200)),""))&lt;&gt;"",IF(ISNUMBER(SEARCH("Party Name:-",'R.M Billets Reports'!D2510)),TRIM('R.M Billets Reports'!F2510),IF(ISNUMBER(SEARCH("Party Name-",'R.M Billets Reports'!D2510)),TRIM(MID('R.M Billets Reports'!D2510,SEARCH("-",'R.M Billets Reports'!D2510)+1,200)),"")),IF(ISNUMBER(SEARCH("Party Name:-",'R.M Billets Reports'!D2511)),TRIM('R.M Billets Reports'!F2511),IF(ISNUMBER(SEARCH("Party Name-",'R.M Billets Reports'!D2511)),TRIM(MID('R.M Billets Reports'!D2511,SEARCH("-",'R.M Billets Reports'!D2511)+1,200)),"")))="SHREE RADHE SHAKTI SPONGE AND POWER PVT. LTD.","SHREE RADHE",IF(IF(ISNUMBER(SEARCH("Party Name:-",'R.M Billets Reports'!D2510)),TRIM('R.M Billets Reports'!F2510),IF(ISNUMBER(SEARCH("Party Name-",'R.M Billets Reports'!D2510)),TRIM(MID('R.M Billets Reports'!D2510,SEARCH("-",'R.M Billets Reports'!D2510)+1,200)),""))&lt;&gt;"",IF(ISNUMBER(SEARCH("Party Name:-",'R.M Billets Reports'!D2510)),TRIM('R.M Billets Reports'!F2510),IF(ISNUMBER(SEARCH("Party Name-",'R.M Billets Reports'!D2510)),TRIM(MID('R.M Billets Reports'!D2510,SEARCH("-",'R.M Billets Reports'!D2510)+1,200)),"")),IF(ISNUMBER(SEARCH("Party Name:-",'R.M Billets Reports'!D2511)),TRIM('R.M Billets Reports'!F2511),IF(ISNUMBER(SEARCH("Party Name-",'R.M Billets Reports'!D2511)),TRIM(MID('R.M Billets Reports'!D2511,SEARCH("-",'R.M Billets Reports'!D2511)+1,200)),"")))))),IF(ROW()=2,"",A2510))</f>
      </c>
      <c r="B2511">
        <f>IF(OR('R.M Billets Reports'!A2510="Date-",'R.M Billets Reports'!A2510="Date:-"),'R.M Billets Reports'!B2510,IF(ROW()=2,"",B2510))</f>
      </c>
      <c r="C2511">
        <f>IF('R.M Billets Reports'!A2510="V.No.",'R.M Billets Reports'!B2510,IF(ROW()=2,"",C2510))</f>
      </c>
      <c r="D2511">
        <f>IF('R.M Billets Reports'!A2510&lt;&gt;"",'R.M Billets Reports'!A2510,IF(ROW()=2,"",D2510))</f>
      </c>
      <c r="E2511">
        <f>IF('R.M Billets Reports'!B2510="","",TRIM('R.M Billets Reports'!B2510))</f>
      </c>
      <c r="F2511">
        <f>'R.M Billets Reports'!C2510</f>
      </c>
      <c r="G2511">
        <f>'R.M Billets Reports'!D2510</f>
      </c>
      <c r="H2511">
        <f>'R.M Billets Reports'!E2510</f>
      </c>
      <c r="I2511">
        <f>'R.M Billets Reports'!F2510</f>
      </c>
      <c r="J2511">
        <f>'R.M Billets Reports'!G2510</f>
      </c>
      <c r="K2511">
        <f>'R.M Billets Reports'!H2510</f>
      </c>
      <c r="L2511">
        <f>IF('R.M Billets Reports'!I2510="","",'R.M Billets Reports'!I2510)</f>
      </c>
      <c r="M2511">
        <f t="shared" si="78"/>
      </c>
      <c r="N2511">
        <f>IF('R.M Billets Reports'!J2510="","",'R.M Billets Reports'!J2510)</f>
      </c>
      <c r="O2511">
        <f t="shared" si="79"/>
      </c>
      <c r="P2511">
        <f>IF('R.M Billets Reports'!A2510="SIZE",'R.M Billets Reports'!B2510,P2510)</f>
      </c>
    </row>
    <row r="2512" spans="1:16" x14ac:dyDescent="0.25">
      <c r="A2512">
        <f>IF(OR('R.M Billets Reports'!A2511="Date-",'R.M Billets Reports'!A2511="Date:-"),IF(IF(IF(ISNUMBER(SEARCH("Party Name:-",'R.M Billets Reports'!D2511)),TRIM('R.M Billets Reports'!F2511),IF(ISNUMBER(SEARCH("Party Name-",'R.M Billets Reports'!D2511)),TRIM(MID('R.M Billets Reports'!D2511,SEARCH("-",'R.M Billets Reports'!D2511)+1,200)),""))&lt;&gt;"",IF(ISNUMBER(SEARCH("Party Name:-",'R.M Billets Reports'!D2511)),TRIM('R.M Billets Reports'!F2511),IF(ISNUMBER(SEARCH("Party Name-",'R.M Billets Reports'!D2511)),TRIM(MID('R.M Billets Reports'!D2511,SEARCH("-",'R.M Billets Reports'!D2511)+1,200)),"")),IF(ISNUMBER(SEARCH("Party Name:-",'R.M Billets Reports'!D2512)),TRIM('R.M Billets Reports'!F2512),IF(ISNUMBER(SEARCH("Party Name-",'R.M Billets Reports'!D2512)),TRIM(MID('R.M Billets Reports'!D2512,SEARCH("-",'R.M Billets Reports'!D2512)+1,200)),"")))="VRKP ISPAT PVT LTD","VRKP",IF(IF(IF(ISNUMBER(SEARCH("Party Name:-",'R.M Billets Reports'!D2511)),TRIM('R.M Billets Reports'!F2511),IF(ISNUMBER(SEARCH("Party Name-",'R.M Billets Reports'!D2511)),TRIM(MID('R.M Billets Reports'!D2511,SEARCH("-",'R.M Billets Reports'!D2511)+1,200)),""))&lt;&gt;"",IF(ISNUMBER(SEARCH("Party Name:-",'R.M Billets Reports'!D2511)),TRIM('R.M Billets Reports'!F2511),IF(ISNUMBER(SEARCH("Party Name-",'R.M Billets Reports'!D2511)),TRIM(MID('R.M Billets Reports'!D2511,SEARCH("-",'R.M Billets Reports'!D2511)+1,200)),"")),IF(ISNUMBER(SEARCH("Party Name:-",'R.M Billets Reports'!D2512)),TRIM('R.M Billets Reports'!F2512),IF(ISNUMBER(SEARCH("Party Name-",'R.M Billets Reports'!D2512)),TRIM(MID('R.M Billets Reports'!D2512,SEARCH("-",'R.M Billets Reports'!D2512)+1,200)),"")))="SHRI RADHE","SHREE RADHE",IF(IF(IF(ISNUMBER(SEARCH("Party Name:-",'R.M Billets Reports'!D2511)),TRIM('R.M Billets Reports'!F2511),IF(ISNUMBER(SEARCH("Party Name-",'R.M Billets Reports'!D2511)),TRIM(MID('R.M Billets Reports'!D2511,SEARCH("-",'R.M Billets Reports'!D2511)+1,200)),""))&lt;&gt;"",IF(ISNUMBER(SEARCH("Party Name:-",'R.M Billets Reports'!D2511)),TRIM('R.M Billets Reports'!F2511),IF(ISNUMBER(SEARCH("Party Name-",'R.M Billets Reports'!D2511)),TRIM(MID('R.M Billets Reports'!D2511,SEARCH("-",'R.M Billets Reports'!D2511)+1,200)),"")),IF(ISNUMBER(SEARCH("Party Name:-",'R.M Billets Reports'!D2512)),TRIM('R.M Billets Reports'!F2512),IF(ISNUMBER(SEARCH("Party Name-",'R.M Billets Reports'!D2512)),TRIM(MID('R.M Billets Reports'!D2512,SEARCH("-",'R.M Billets Reports'!D2512)+1,200)),"")))="SHREE RADHE SHAKTI SPONGE AND POWER PVT. LTD.","SHREE RADHE",IF(IF(ISNUMBER(SEARCH("Party Name:-",'R.M Billets Reports'!D2511)),TRIM('R.M Billets Reports'!F2511),IF(ISNUMBER(SEARCH("Party Name-",'R.M Billets Reports'!D2511)),TRIM(MID('R.M Billets Reports'!D2511,SEARCH("-",'R.M Billets Reports'!D2511)+1,200)),""))&lt;&gt;"",IF(ISNUMBER(SEARCH("Party Name:-",'R.M Billets Reports'!D2511)),TRIM('R.M Billets Reports'!F2511),IF(ISNUMBER(SEARCH("Party Name-",'R.M Billets Reports'!D2511)),TRIM(MID('R.M Billets Reports'!D2511,SEARCH("-",'R.M Billets Reports'!D2511)+1,200)),"")),IF(ISNUMBER(SEARCH("Party Name:-",'R.M Billets Reports'!D2512)),TRIM('R.M Billets Reports'!F2512),IF(ISNUMBER(SEARCH("Party Name-",'R.M Billets Reports'!D2512)),TRIM(MID('R.M Billets Reports'!D2512,SEARCH("-",'R.M Billets Reports'!D2512)+1,200)),"")))))),IF(ROW()=2,"",A2511))</f>
      </c>
      <c r="B2512">
        <f>IF(OR('R.M Billets Reports'!A2511="Date-",'R.M Billets Reports'!A2511="Date:-"),'R.M Billets Reports'!B2511,IF(ROW()=2,"",B2511))</f>
      </c>
      <c r="C2512">
        <f>IF('R.M Billets Reports'!A2511="V.No.",'R.M Billets Reports'!B2511,IF(ROW()=2,"",C2511))</f>
      </c>
      <c r="D2512">
        <f>IF('R.M Billets Reports'!A2511&lt;&gt;"",'R.M Billets Reports'!A2511,IF(ROW()=2,"",D2511))</f>
      </c>
      <c r="E2512">
        <f>IF('R.M Billets Reports'!B2511="","",TRIM('R.M Billets Reports'!B2511))</f>
      </c>
      <c r="F2512">
        <f>'R.M Billets Reports'!C2511</f>
      </c>
      <c r="G2512">
        <f>'R.M Billets Reports'!D2511</f>
      </c>
      <c r="H2512">
        <f>'R.M Billets Reports'!E2511</f>
      </c>
      <c r="I2512">
        <f>'R.M Billets Reports'!F2511</f>
      </c>
      <c r="J2512">
        <f>'R.M Billets Reports'!G2511</f>
      </c>
      <c r="K2512">
        <f>'R.M Billets Reports'!H2511</f>
      </c>
      <c r="L2512">
        <f>IF('R.M Billets Reports'!I2511="","",'R.M Billets Reports'!I2511)</f>
      </c>
      <c r="M2512">
        <f t="shared" si="78"/>
      </c>
      <c r="N2512">
        <f>IF('R.M Billets Reports'!J2511="","",'R.M Billets Reports'!J2511)</f>
      </c>
      <c r="O2512">
        <f t="shared" si="79"/>
      </c>
      <c r="P2512">
        <f>IF('R.M Billets Reports'!A2511="SIZE",'R.M Billets Reports'!B2511,P2511)</f>
      </c>
    </row>
    <row r="2513" spans="1:16" x14ac:dyDescent="0.25">
      <c r="A2513">
        <f>IF(OR('R.M Billets Reports'!A2512="Date-",'R.M Billets Reports'!A2512="Date:-"),IF(IF(IF(ISNUMBER(SEARCH("Party Name:-",'R.M Billets Reports'!D2512)),TRIM('R.M Billets Reports'!F2512),IF(ISNUMBER(SEARCH("Party Name-",'R.M Billets Reports'!D2512)),TRIM(MID('R.M Billets Reports'!D2512,SEARCH("-",'R.M Billets Reports'!D2512)+1,200)),""))&lt;&gt;"",IF(ISNUMBER(SEARCH("Party Name:-",'R.M Billets Reports'!D2512)),TRIM('R.M Billets Reports'!F2512),IF(ISNUMBER(SEARCH("Party Name-",'R.M Billets Reports'!D2512)),TRIM(MID('R.M Billets Reports'!D2512,SEARCH("-",'R.M Billets Reports'!D2512)+1,200)),"")),IF(ISNUMBER(SEARCH("Party Name:-",'R.M Billets Reports'!D2513)),TRIM('R.M Billets Reports'!F2513),IF(ISNUMBER(SEARCH("Party Name-",'R.M Billets Reports'!D2513)),TRIM(MID('R.M Billets Reports'!D2513,SEARCH("-",'R.M Billets Reports'!D2513)+1,200)),"")))="VRKP ISPAT PVT LTD","VRKP",IF(IF(IF(ISNUMBER(SEARCH("Party Name:-",'R.M Billets Reports'!D2512)),TRIM('R.M Billets Reports'!F2512),IF(ISNUMBER(SEARCH("Party Name-",'R.M Billets Reports'!D2512)),TRIM(MID('R.M Billets Reports'!D2512,SEARCH("-",'R.M Billets Reports'!D2512)+1,200)),""))&lt;&gt;"",IF(ISNUMBER(SEARCH("Party Name:-",'R.M Billets Reports'!D2512)),TRIM('R.M Billets Reports'!F2512),IF(ISNUMBER(SEARCH("Party Name-",'R.M Billets Reports'!D2512)),TRIM(MID('R.M Billets Reports'!D2512,SEARCH("-",'R.M Billets Reports'!D2512)+1,200)),"")),IF(ISNUMBER(SEARCH("Party Name:-",'R.M Billets Reports'!D2513)),TRIM('R.M Billets Reports'!F2513),IF(ISNUMBER(SEARCH("Party Name-",'R.M Billets Reports'!D2513)),TRIM(MID('R.M Billets Reports'!D2513,SEARCH("-",'R.M Billets Reports'!D2513)+1,200)),"")))="SHRI RADHE","SHREE RADHE",IF(IF(IF(ISNUMBER(SEARCH("Party Name:-",'R.M Billets Reports'!D2512)),TRIM('R.M Billets Reports'!F2512),IF(ISNUMBER(SEARCH("Party Name-",'R.M Billets Reports'!D2512)),TRIM(MID('R.M Billets Reports'!D2512,SEARCH("-",'R.M Billets Reports'!D2512)+1,200)),""))&lt;&gt;"",IF(ISNUMBER(SEARCH("Party Name:-",'R.M Billets Reports'!D2512)),TRIM('R.M Billets Reports'!F2512),IF(ISNUMBER(SEARCH("Party Name-",'R.M Billets Reports'!D2512)),TRIM(MID('R.M Billets Reports'!D2512,SEARCH("-",'R.M Billets Reports'!D2512)+1,200)),"")),IF(ISNUMBER(SEARCH("Party Name:-",'R.M Billets Reports'!D2513)),TRIM('R.M Billets Reports'!F2513),IF(ISNUMBER(SEARCH("Party Name-",'R.M Billets Reports'!D2513)),TRIM(MID('R.M Billets Reports'!D2513,SEARCH("-",'R.M Billets Reports'!D2513)+1,200)),"")))="SHREE RADHE SHAKTI SPONGE AND POWER PVT. LTD.","SHREE RADHE",IF(IF(ISNUMBER(SEARCH("Party Name:-",'R.M Billets Reports'!D2512)),TRIM('R.M Billets Reports'!F2512),IF(ISNUMBER(SEARCH("Party Name-",'R.M Billets Reports'!D2512)),TRIM(MID('R.M Billets Reports'!D2512,SEARCH("-",'R.M Billets Reports'!D2512)+1,200)),""))&lt;&gt;"",IF(ISNUMBER(SEARCH("Party Name:-",'R.M Billets Reports'!D2512)),TRIM('R.M Billets Reports'!F2512),IF(ISNUMBER(SEARCH("Party Name-",'R.M Billets Reports'!D2512)),TRIM(MID('R.M Billets Reports'!D2512,SEARCH("-",'R.M Billets Reports'!D2512)+1,200)),"")),IF(ISNUMBER(SEARCH("Party Name:-",'R.M Billets Reports'!D2513)),TRIM('R.M Billets Reports'!F2513),IF(ISNUMBER(SEARCH("Party Name-",'R.M Billets Reports'!D2513)),TRIM(MID('R.M Billets Reports'!D2513,SEARCH("-",'R.M Billets Reports'!D2513)+1,200)),"")))))),IF(ROW()=2,"",A2512))</f>
      </c>
      <c r="B2513">
        <f>IF(OR('R.M Billets Reports'!A2512="Date-",'R.M Billets Reports'!A2512="Date:-"),'R.M Billets Reports'!B2512,IF(ROW()=2,"",B2512))</f>
      </c>
      <c r="C2513">
        <f>IF('R.M Billets Reports'!A2512="V.No.",'R.M Billets Reports'!B2512,IF(ROW()=2,"",C2512))</f>
      </c>
      <c r="D2513">
        <f>IF('R.M Billets Reports'!A2512&lt;&gt;"",'R.M Billets Reports'!A2512,IF(ROW()=2,"",D2512))</f>
      </c>
      <c r="E2513">
        <f>IF('R.M Billets Reports'!B2512="","",TRIM('R.M Billets Reports'!B2512))</f>
      </c>
      <c r="F2513">
        <f>'R.M Billets Reports'!C2512</f>
      </c>
      <c r="G2513">
        <f>'R.M Billets Reports'!D2512</f>
      </c>
      <c r="H2513">
        <f>'R.M Billets Reports'!E2512</f>
      </c>
      <c r="I2513">
        <f>'R.M Billets Reports'!F2512</f>
      </c>
      <c r="J2513">
        <f>'R.M Billets Reports'!G2512</f>
      </c>
      <c r="K2513">
        <f>'R.M Billets Reports'!H2512</f>
      </c>
      <c r="L2513">
        <f>IF('R.M Billets Reports'!I2512="","",'R.M Billets Reports'!I2512)</f>
      </c>
      <c r="M2513">
        <f t="shared" si="78"/>
      </c>
      <c r="N2513">
        <f>IF('R.M Billets Reports'!J2512="","",'R.M Billets Reports'!J2512)</f>
      </c>
      <c r="O2513">
        <f t="shared" si="79"/>
      </c>
      <c r="P2513">
        <f>IF('R.M Billets Reports'!A2512="SIZE",'R.M Billets Reports'!B2512,P2512)</f>
      </c>
    </row>
    <row r="2514" spans="1:16" x14ac:dyDescent="0.25">
      <c r="A2514">
        <f>IF(OR('R.M Billets Reports'!A2513="Date-",'R.M Billets Reports'!A2513="Date:-"),IF(IF(IF(ISNUMBER(SEARCH("Party Name:-",'R.M Billets Reports'!D2513)),TRIM('R.M Billets Reports'!F2513),IF(ISNUMBER(SEARCH("Party Name-",'R.M Billets Reports'!D2513)),TRIM(MID('R.M Billets Reports'!D2513,SEARCH("-",'R.M Billets Reports'!D2513)+1,200)),""))&lt;&gt;"",IF(ISNUMBER(SEARCH("Party Name:-",'R.M Billets Reports'!D2513)),TRIM('R.M Billets Reports'!F2513),IF(ISNUMBER(SEARCH("Party Name-",'R.M Billets Reports'!D2513)),TRIM(MID('R.M Billets Reports'!D2513,SEARCH("-",'R.M Billets Reports'!D2513)+1,200)),"")),IF(ISNUMBER(SEARCH("Party Name:-",'R.M Billets Reports'!D2514)),TRIM('R.M Billets Reports'!F2514),IF(ISNUMBER(SEARCH("Party Name-",'R.M Billets Reports'!D2514)),TRIM(MID('R.M Billets Reports'!D2514,SEARCH("-",'R.M Billets Reports'!D2514)+1,200)),"")))="VRKP ISPAT PVT LTD","VRKP",IF(IF(IF(ISNUMBER(SEARCH("Party Name:-",'R.M Billets Reports'!D2513)),TRIM('R.M Billets Reports'!F2513),IF(ISNUMBER(SEARCH("Party Name-",'R.M Billets Reports'!D2513)),TRIM(MID('R.M Billets Reports'!D2513,SEARCH("-",'R.M Billets Reports'!D2513)+1,200)),""))&lt;&gt;"",IF(ISNUMBER(SEARCH("Party Name:-",'R.M Billets Reports'!D2513)),TRIM('R.M Billets Reports'!F2513),IF(ISNUMBER(SEARCH("Party Name-",'R.M Billets Reports'!D2513)),TRIM(MID('R.M Billets Reports'!D2513,SEARCH("-",'R.M Billets Reports'!D2513)+1,200)),"")),IF(ISNUMBER(SEARCH("Party Name:-",'R.M Billets Reports'!D2514)),TRIM('R.M Billets Reports'!F2514),IF(ISNUMBER(SEARCH("Party Name-",'R.M Billets Reports'!D2514)),TRIM(MID('R.M Billets Reports'!D2514,SEARCH("-",'R.M Billets Reports'!D2514)+1,200)),"")))="SHRI RADHE","SHREE RADHE",IF(IF(IF(ISNUMBER(SEARCH("Party Name:-",'R.M Billets Reports'!D2513)),TRIM('R.M Billets Reports'!F2513),IF(ISNUMBER(SEARCH("Party Name-",'R.M Billets Reports'!D2513)),TRIM(MID('R.M Billets Reports'!D2513,SEARCH("-",'R.M Billets Reports'!D2513)+1,200)),""))&lt;&gt;"",IF(ISNUMBER(SEARCH("Party Name:-",'R.M Billets Reports'!D2513)),TRIM('R.M Billets Reports'!F2513),IF(ISNUMBER(SEARCH("Party Name-",'R.M Billets Reports'!D2513)),TRIM(MID('R.M Billets Reports'!D2513,SEARCH("-",'R.M Billets Reports'!D2513)+1,200)),"")),IF(ISNUMBER(SEARCH("Party Name:-",'R.M Billets Reports'!D2514)),TRIM('R.M Billets Reports'!F2514),IF(ISNUMBER(SEARCH("Party Name-",'R.M Billets Reports'!D2514)),TRIM(MID('R.M Billets Reports'!D2514,SEARCH("-",'R.M Billets Reports'!D2514)+1,200)),"")))="SHREE RADHE SHAKTI SPONGE AND POWER PVT. LTD.","SHREE RADHE",IF(IF(ISNUMBER(SEARCH("Party Name:-",'R.M Billets Reports'!D2513)),TRIM('R.M Billets Reports'!F2513),IF(ISNUMBER(SEARCH("Party Name-",'R.M Billets Reports'!D2513)),TRIM(MID('R.M Billets Reports'!D2513,SEARCH("-",'R.M Billets Reports'!D2513)+1,200)),""))&lt;&gt;"",IF(ISNUMBER(SEARCH("Party Name:-",'R.M Billets Reports'!D2513)),TRIM('R.M Billets Reports'!F2513),IF(ISNUMBER(SEARCH("Party Name-",'R.M Billets Reports'!D2513)),TRIM(MID('R.M Billets Reports'!D2513,SEARCH("-",'R.M Billets Reports'!D2513)+1,200)),"")),IF(ISNUMBER(SEARCH("Party Name:-",'R.M Billets Reports'!D2514)),TRIM('R.M Billets Reports'!F2514),IF(ISNUMBER(SEARCH("Party Name-",'R.M Billets Reports'!D2514)),TRIM(MID('R.M Billets Reports'!D2514,SEARCH("-",'R.M Billets Reports'!D2514)+1,200)),"")))))),IF(ROW()=2,"",A2513))</f>
      </c>
      <c r="B2514">
        <f>IF(OR('R.M Billets Reports'!A2513="Date-",'R.M Billets Reports'!A2513="Date:-"),'R.M Billets Reports'!B2513,IF(ROW()=2,"",B2513))</f>
      </c>
      <c r="C2514">
        <f>IF('R.M Billets Reports'!A2513="V.No.",'R.M Billets Reports'!B2513,IF(ROW()=2,"",C2513))</f>
      </c>
      <c r="D2514">
        <f>IF('R.M Billets Reports'!A2513&lt;&gt;"",'R.M Billets Reports'!A2513,IF(ROW()=2,"",D2513))</f>
      </c>
      <c r="E2514">
        <f>IF('R.M Billets Reports'!B2513="","",TRIM('R.M Billets Reports'!B2513))</f>
      </c>
      <c r="F2514">
        <f>'R.M Billets Reports'!C2513</f>
      </c>
      <c r="G2514">
        <f>'R.M Billets Reports'!D2513</f>
      </c>
      <c r="H2514">
        <f>'R.M Billets Reports'!E2513</f>
      </c>
      <c r="I2514">
        <f>'R.M Billets Reports'!F2513</f>
      </c>
      <c r="J2514">
        <f>'R.M Billets Reports'!G2513</f>
      </c>
      <c r="K2514">
        <f>'R.M Billets Reports'!H2513</f>
      </c>
      <c r="L2514">
        <f>IF('R.M Billets Reports'!I2513="","",'R.M Billets Reports'!I2513)</f>
      </c>
      <c r="M2514">
        <f t="shared" si="78"/>
      </c>
      <c r="N2514">
        <f>IF('R.M Billets Reports'!J2513="","",'R.M Billets Reports'!J2513)</f>
      </c>
      <c r="O2514">
        <f t="shared" si="79"/>
      </c>
      <c r="P2514">
        <f>IF('R.M Billets Reports'!A2513="SIZE",'R.M Billets Reports'!B2513,P2513)</f>
      </c>
    </row>
    <row r="2515" spans="1:16" x14ac:dyDescent="0.25">
      <c r="A2515">
        <f>IF(OR('R.M Billets Reports'!A2514="Date-",'R.M Billets Reports'!A2514="Date:-"),IF(IF(IF(ISNUMBER(SEARCH("Party Name:-",'R.M Billets Reports'!D2514)),TRIM('R.M Billets Reports'!F2514),IF(ISNUMBER(SEARCH("Party Name-",'R.M Billets Reports'!D2514)),TRIM(MID('R.M Billets Reports'!D2514,SEARCH("-",'R.M Billets Reports'!D2514)+1,200)),""))&lt;&gt;"",IF(ISNUMBER(SEARCH("Party Name:-",'R.M Billets Reports'!D2514)),TRIM('R.M Billets Reports'!F2514),IF(ISNUMBER(SEARCH("Party Name-",'R.M Billets Reports'!D2514)),TRIM(MID('R.M Billets Reports'!D2514,SEARCH("-",'R.M Billets Reports'!D2514)+1,200)),"")),IF(ISNUMBER(SEARCH("Party Name:-",'R.M Billets Reports'!D2515)),TRIM('R.M Billets Reports'!F2515),IF(ISNUMBER(SEARCH("Party Name-",'R.M Billets Reports'!D2515)),TRIM(MID('R.M Billets Reports'!D2515,SEARCH("-",'R.M Billets Reports'!D2515)+1,200)),"")))="VRKP ISPAT PVT LTD","VRKP",IF(IF(IF(ISNUMBER(SEARCH("Party Name:-",'R.M Billets Reports'!D2514)),TRIM('R.M Billets Reports'!F2514),IF(ISNUMBER(SEARCH("Party Name-",'R.M Billets Reports'!D2514)),TRIM(MID('R.M Billets Reports'!D2514,SEARCH("-",'R.M Billets Reports'!D2514)+1,200)),""))&lt;&gt;"",IF(ISNUMBER(SEARCH("Party Name:-",'R.M Billets Reports'!D2514)),TRIM('R.M Billets Reports'!F2514),IF(ISNUMBER(SEARCH("Party Name-",'R.M Billets Reports'!D2514)),TRIM(MID('R.M Billets Reports'!D2514,SEARCH("-",'R.M Billets Reports'!D2514)+1,200)),"")),IF(ISNUMBER(SEARCH("Party Name:-",'R.M Billets Reports'!D2515)),TRIM('R.M Billets Reports'!F2515),IF(ISNUMBER(SEARCH("Party Name-",'R.M Billets Reports'!D2515)),TRIM(MID('R.M Billets Reports'!D2515,SEARCH("-",'R.M Billets Reports'!D2515)+1,200)),"")))="SHRI RADHE","SHREE RADHE",IF(IF(IF(ISNUMBER(SEARCH("Party Name:-",'R.M Billets Reports'!D2514)),TRIM('R.M Billets Reports'!F2514),IF(ISNUMBER(SEARCH("Party Name-",'R.M Billets Reports'!D2514)),TRIM(MID('R.M Billets Reports'!D2514,SEARCH("-",'R.M Billets Reports'!D2514)+1,200)),""))&lt;&gt;"",IF(ISNUMBER(SEARCH("Party Name:-",'R.M Billets Reports'!D2514)),TRIM('R.M Billets Reports'!F2514),IF(ISNUMBER(SEARCH("Party Name-",'R.M Billets Reports'!D2514)),TRIM(MID('R.M Billets Reports'!D2514,SEARCH("-",'R.M Billets Reports'!D2514)+1,200)),"")),IF(ISNUMBER(SEARCH("Party Name:-",'R.M Billets Reports'!D2515)),TRIM('R.M Billets Reports'!F2515),IF(ISNUMBER(SEARCH("Party Name-",'R.M Billets Reports'!D2515)),TRIM(MID('R.M Billets Reports'!D2515,SEARCH("-",'R.M Billets Reports'!D2515)+1,200)),"")))="SHREE RADHE SHAKTI SPONGE AND POWER PVT. LTD.","SHREE RADHE",IF(IF(ISNUMBER(SEARCH("Party Name:-",'R.M Billets Reports'!D2514)),TRIM('R.M Billets Reports'!F2514),IF(ISNUMBER(SEARCH("Party Name-",'R.M Billets Reports'!D2514)),TRIM(MID('R.M Billets Reports'!D2514,SEARCH("-",'R.M Billets Reports'!D2514)+1,200)),""))&lt;&gt;"",IF(ISNUMBER(SEARCH("Party Name:-",'R.M Billets Reports'!D2514)),TRIM('R.M Billets Reports'!F2514),IF(ISNUMBER(SEARCH("Party Name-",'R.M Billets Reports'!D2514)),TRIM(MID('R.M Billets Reports'!D2514,SEARCH("-",'R.M Billets Reports'!D2514)+1,200)),"")),IF(ISNUMBER(SEARCH("Party Name:-",'R.M Billets Reports'!D2515)),TRIM('R.M Billets Reports'!F2515),IF(ISNUMBER(SEARCH("Party Name-",'R.M Billets Reports'!D2515)),TRIM(MID('R.M Billets Reports'!D2515,SEARCH("-",'R.M Billets Reports'!D2515)+1,200)),"")))))),IF(ROW()=2,"",A2514))</f>
      </c>
      <c r="B2515">
        <f>IF(OR('R.M Billets Reports'!A2514="Date-",'R.M Billets Reports'!A2514="Date:-"),'R.M Billets Reports'!B2514,IF(ROW()=2,"",B2514))</f>
      </c>
      <c r="C2515">
        <f>IF('R.M Billets Reports'!A2514="V.No.",'R.M Billets Reports'!B2514,IF(ROW()=2,"",C2514))</f>
      </c>
      <c r="D2515">
        <f>IF('R.M Billets Reports'!A2514&lt;&gt;"",'R.M Billets Reports'!A2514,IF(ROW()=2,"",D2514))</f>
      </c>
      <c r="E2515">
        <f>IF('R.M Billets Reports'!B2514="","",TRIM('R.M Billets Reports'!B2514))</f>
      </c>
      <c r="F2515">
        <f>'R.M Billets Reports'!C2514</f>
      </c>
      <c r="G2515">
        <f>'R.M Billets Reports'!D2514</f>
      </c>
      <c r="H2515">
        <f>'R.M Billets Reports'!E2514</f>
      </c>
      <c r="I2515">
        <f>'R.M Billets Reports'!F2514</f>
      </c>
      <c r="J2515">
        <f>'R.M Billets Reports'!G2514</f>
      </c>
      <c r="K2515">
        <f>'R.M Billets Reports'!H2514</f>
      </c>
      <c r="L2515">
        <f>IF('R.M Billets Reports'!I2514="","",'R.M Billets Reports'!I2514)</f>
      </c>
      <c r="M2515">
        <f t="shared" si="78"/>
      </c>
      <c r="N2515">
        <f>IF('R.M Billets Reports'!J2514="","",'R.M Billets Reports'!J2514)</f>
      </c>
      <c r="O2515">
        <f t="shared" si="79"/>
      </c>
      <c r="P2515">
        <f>IF('R.M Billets Reports'!A2514="SIZE",'R.M Billets Reports'!B2514,P2514)</f>
      </c>
    </row>
    <row r="2516" spans="1:16" x14ac:dyDescent="0.25">
      <c r="A2516">
        <f>IF(OR('R.M Billets Reports'!A2515="Date-",'R.M Billets Reports'!A2515="Date:-"),IF(IF(IF(ISNUMBER(SEARCH("Party Name:-",'R.M Billets Reports'!D2515)),TRIM('R.M Billets Reports'!F2515),IF(ISNUMBER(SEARCH("Party Name-",'R.M Billets Reports'!D2515)),TRIM(MID('R.M Billets Reports'!D2515,SEARCH("-",'R.M Billets Reports'!D2515)+1,200)),""))&lt;&gt;"",IF(ISNUMBER(SEARCH("Party Name:-",'R.M Billets Reports'!D2515)),TRIM('R.M Billets Reports'!F2515),IF(ISNUMBER(SEARCH("Party Name-",'R.M Billets Reports'!D2515)),TRIM(MID('R.M Billets Reports'!D2515,SEARCH("-",'R.M Billets Reports'!D2515)+1,200)),"")),IF(ISNUMBER(SEARCH("Party Name:-",'R.M Billets Reports'!D2516)),TRIM('R.M Billets Reports'!F2516),IF(ISNUMBER(SEARCH("Party Name-",'R.M Billets Reports'!D2516)),TRIM(MID('R.M Billets Reports'!D2516,SEARCH("-",'R.M Billets Reports'!D2516)+1,200)),"")))="VRKP ISPAT PVT LTD","VRKP",IF(IF(IF(ISNUMBER(SEARCH("Party Name:-",'R.M Billets Reports'!D2515)),TRIM('R.M Billets Reports'!F2515),IF(ISNUMBER(SEARCH("Party Name-",'R.M Billets Reports'!D2515)),TRIM(MID('R.M Billets Reports'!D2515,SEARCH("-",'R.M Billets Reports'!D2515)+1,200)),""))&lt;&gt;"",IF(ISNUMBER(SEARCH("Party Name:-",'R.M Billets Reports'!D2515)),TRIM('R.M Billets Reports'!F2515),IF(ISNUMBER(SEARCH("Party Name-",'R.M Billets Reports'!D2515)),TRIM(MID('R.M Billets Reports'!D2515,SEARCH("-",'R.M Billets Reports'!D2515)+1,200)),"")),IF(ISNUMBER(SEARCH("Party Name:-",'R.M Billets Reports'!D2516)),TRIM('R.M Billets Reports'!F2516),IF(ISNUMBER(SEARCH("Party Name-",'R.M Billets Reports'!D2516)),TRIM(MID('R.M Billets Reports'!D2516,SEARCH("-",'R.M Billets Reports'!D2516)+1,200)),"")))="SHRI RADHE","SHREE RADHE",IF(IF(IF(ISNUMBER(SEARCH("Party Name:-",'R.M Billets Reports'!D2515)),TRIM('R.M Billets Reports'!F2515),IF(ISNUMBER(SEARCH("Party Name-",'R.M Billets Reports'!D2515)),TRIM(MID('R.M Billets Reports'!D2515,SEARCH("-",'R.M Billets Reports'!D2515)+1,200)),""))&lt;&gt;"",IF(ISNUMBER(SEARCH("Party Name:-",'R.M Billets Reports'!D2515)),TRIM('R.M Billets Reports'!F2515),IF(ISNUMBER(SEARCH("Party Name-",'R.M Billets Reports'!D2515)),TRIM(MID('R.M Billets Reports'!D2515,SEARCH("-",'R.M Billets Reports'!D2515)+1,200)),"")),IF(ISNUMBER(SEARCH("Party Name:-",'R.M Billets Reports'!D2516)),TRIM('R.M Billets Reports'!F2516),IF(ISNUMBER(SEARCH("Party Name-",'R.M Billets Reports'!D2516)),TRIM(MID('R.M Billets Reports'!D2516,SEARCH("-",'R.M Billets Reports'!D2516)+1,200)),"")))="SHREE RADHE SHAKTI SPONGE AND POWER PVT. LTD.","SHREE RADHE",IF(IF(ISNUMBER(SEARCH("Party Name:-",'R.M Billets Reports'!D2515)),TRIM('R.M Billets Reports'!F2515),IF(ISNUMBER(SEARCH("Party Name-",'R.M Billets Reports'!D2515)),TRIM(MID('R.M Billets Reports'!D2515,SEARCH("-",'R.M Billets Reports'!D2515)+1,200)),""))&lt;&gt;"",IF(ISNUMBER(SEARCH("Party Name:-",'R.M Billets Reports'!D2515)),TRIM('R.M Billets Reports'!F2515),IF(ISNUMBER(SEARCH("Party Name-",'R.M Billets Reports'!D2515)),TRIM(MID('R.M Billets Reports'!D2515,SEARCH("-",'R.M Billets Reports'!D2515)+1,200)),"")),IF(ISNUMBER(SEARCH("Party Name:-",'R.M Billets Reports'!D2516)),TRIM('R.M Billets Reports'!F2516),IF(ISNUMBER(SEARCH("Party Name-",'R.M Billets Reports'!D2516)),TRIM(MID('R.M Billets Reports'!D2516,SEARCH("-",'R.M Billets Reports'!D2516)+1,200)),"")))))),IF(ROW()=2,"",A2515))</f>
      </c>
      <c r="B2516">
        <f>IF(OR('R.M Billets Reports'!A2515="Date-",'R.M Billets Reports'!A2515="Date:-"),'R.M Billets Reports'!B2515,IF(ROW()=2,"",B2515))</f>
      </c>
      <c r="C2516">
        <f>IF('R.M Billets Reports'!A2515="V.No.",'R.M Billets Reports'!B2515,IF(ROW()=2,"",C2515))</f>
      </c>
      <c r="D2516">
        <f>IF('R.M Billets Reports'!A2515&lt;&gt;"",'R.M Billets Reports'!A2515,IF(ROW()=2,"",D2515))</f>
      </c>
      <c r="E2516">
        <f>IF('R.M Billets Reports'!B2515="","",TRIM('R.M Billets Reports'!B2515))</f>
      </c>
      <c r="F2516">
        <f>'R.M Billets Reports'!C2515</f>
      </c>
      <c r="G2516">
        <f>'R.M Billets Reports'!D2515</f>
      </c>
      <c r="H2516">
        <f>'R.M Billets Reports'!E2515</f>
      </c>
      <c r="I2516">
        <f>'R.M Billets Reports'!F2515</f>
      </c>
      <c r="J2516">
        <f>'R.M Billets Reports'!G2515</f>
      </c>
      <c r="K2516">
        <f>'R.M Billets Reports'!H2515</f>
      </c>
      <c r="L2516">
        <f>IF('R.M Billets Reports'!I2515="","",'R.M Billets Reports'!I2515)</f>
      </c>
      <c r="M2516">
        <f t="shared" si="78"/>
      </c>
      <c r="N2516">
        <f>IF('R.M Billets Reports'!J2515="","",'R.M Billets Reports'!J2515)</f>
      </c>
      <c r="O2516">
        <f t="shared" si="79"/>
      </c>
      <c r="P2516">
        <f>IF('R.M Billets Reports'!A2515="SIZE",'R.M Billets Reports'!B2515,P2515)</f>
      </c>
    </row>
    <row r="2517" spans="1:16" x14ac:dyDescent="0.25">
      <c r="A2517">
        <f>IF(OR('R.M Billets Reports'!A2516="Date-",'R.M Billets Reports'!A2516="Date:-"),IF(IF(IF(ISNUMBER(SEARCH("Party Name:-",'R.M Billets Reports'!D2516)),TRIM('R.M Billets Reports'!F2516),IF(ISNUMBER(SEARCH("Party Name-",'R.M Billets Reports'!D2516)),TRIM(MID('R.M Billets Reports'!D2516,SEARCH("-",'R.M Billets Reports'!D2516)+1,200)),""))&lt;&gt;"",IF(ISNUMBER(SEARCH("Party Name:-",'R.M Billets Reports'!D2516)),TRIM('R.M Billets Reports'!F2516),IF(ISNUMBER(SEARCH("Party Name-",'R.M Billets Reports'!D2516)),TRIM(MID('R.M Billets Reports'!D2516,SEARCH("-",'R.M Billets Reports'!D2516)+1,200)),"")),IF(ISNUMBER(SEARCH("Party Name:-",'R.M Billets Reports'!D2517)),TRIM('R.M Billets Reports'!F2517),IF(ISNUMBER(SEARCH("Party Name-",'R.M Billets Reports'!D2517)),TRIM(MID('R.M Billets Reports'!D2517,SEARCH("-",'R.M Billets Reports'!D2517)+1,200)),"")))="VRKP ISPAT PVT LTD","VRKP",IF(IF(IF(ISNUMBER(SEARCH("Party Name:-",'R.M Billets Reports'!D2516)),TRIM('R.M Billets Reports'!F2516),IF(ISNUMBER(SEARCH("Party Name-",'R.M Billets Reports'!D2516)),TRIM(MID('R.M Billets Reports'!D2516,SEARCH("-",'R.M Billets Reports'!D2516)+1,200)),""))&lt;&gt;"",IF(ISNUMBER(SEARCH("Party Name:-",'R.M Billets Reports'!D2516)),TRIM('R.M Billets Reports'!F2516),IF(ISNUMBER(SEARCH("Party Name-",'R.M Billets Reports'!D2516)),TRIM(MID('R.M Billets Reports'!D2516,SEARCH("-",'R.M Billets Reports'!D2516)+1,200)),"")),IF(ISNUMBER(SEARCH("Party Name:-",'R.M Billets Reports'!D2517)),TRIM('R.M Billets Reports'!F2517),IF(ISNUMBER(SEARCH("Party Name-",'R.M Billets Reports'!D2517)),TRIM(MID('R.M Billets Reports'!D2517,SEARCH("-",'R.M Billets Reports'!D2517)+1,200)),"")))="SHRI RADHE","SHREE RADHE",IF(IF(IF(ISNUMBER(SEARCH("Party Name:-",'R.M Billets Reports'!D2516)),TRIM('R.M Billets Reports'!F2516),IF(ISNUMBER(SEARCH("Party Name-",'R.M Billets Reports'!D2516)),TRIM(MID('R.M Billets Reports'!D2516,SEARCH("-",'R.M Billets Reports'!D2516)+1,200)),""))&lt;&gt;"",IF(ISNUMBER(SEARCH("Party Name:-",'R.M Billets Reports'!D2516)),TRIM('R.M Billets Reports'!F2516),IF(ISNUMBER(SEARCH("Party Name-",'R.M Billets Reports'!D2516)),TRIM(MID('R.M Billets Reports'!D2516,SEARCH("-",'R.M Billets Reports'!D2516)+1,200)),"")),IF(ISNUMBER(SEARCH("Party Name:-",'R.M Billets Reports'!D2517)),TRIM('R.M Billets Reports'!F2517),IF(ISNUMBER(SEARCH("Party Name-",'R.M Billets Reports'!D2517)),TRIM(MID('R.M Billets Reports'!D2517,SEARCH("-",'R.M Billets Reports'!D2517)+1,200)),"")))="SHREE RADHE SHAKTI SPONGE AND POWER PVT. LTD.","SHREE RADHE",IF(IF(ISNUMBER(SEARCH("Party Name:-",'R.M Billets Reports'!D2516)),TRIM('R.M Billets Reports'!F2516),IF(ISNUMBER(SEARCH("Party Name-",'R.M Billets Reports'!D2516)),TRIM(MID('R.M Billets Reports'!D2516,SEARCH("-",'R.M Billets Reports'!D2516)+1,200)),""))&lt;&gt;"",IF(ISNUMBER(SEARCH("Party Name:-",'R.M Billets Reports'!D2516)),TRIM('R.M Billets Reports'!F2516),IF(ISNUMBER(SEARCH("Party Name-",'R.M Billets Reports'!D2516)),TRIM(MID('R.M Billets Reports'!D2516,SEARCH("-",'R.M Billets Reports'!D2516)+1,200)),"")),IF(ISNUMBER(SEARCH("Party Name:-",'R.M Billets Reports'!D2517)),TRIM('R.M Billets Reports'!F2517),IF(ISNUMBER(SEARCH("Party Name-",'R.M Billets Reports'!D2517)),TRIM(MID('R.M Billets Reports'!D2517,SEARCH("-",'R.M Billets Reports'!D2517)+1,200)),"")))))),IF(ROW()=2,"",A2516))</f>
      </c>
      <c r="B2517">
        <f>IF(OR('R.M Billets Reports'!A2516="Date-",'R.M Billets Reports'!A2516="Date:-"),'R.M Billets Reports'!B2516,IF(ROW()=2,"",B2516))</f>
      </c>
      <c r="C2517">
        <f>IF('R.M Billets Reports'!A2516="V.No.",'R.M Billets Reports'!B2516,IF(ROW()=2,"",C2516))</f>
      </c>
      <c r="D2517">
        <f>IF('R.M Billets Reports'!A2516&lt;&gt;"",'R.M Billets Reports'!A2516,IF(ROW()=2,"",D2516))</f>
      </c>
      <c r="E2517">
        <f>IF('R.M Billets Reports'!B2516="","",TRIM('R.M Billets Reports'!B2516))</f>
      </c>
      <c r="F2517">
        <f>'R.M Billets Reports'!C2516</f>
      </c>
      <c r="G2517">
        <f>'R.M Billets Reports'!D2516</f>
      </c>
      <c r="H2517">
        <f>'R.M Billets Reports'!E2516</f>
      </c>
      <c r="I2517">
        <f>'R.M Billets Reports'!F2516</f>
      </c>
      <c r="J2517">
        <f>'R.M Billets Reports'!G2516</f>
      </c>
      <c r="K2517">
        <f>'R.M Billets Reports'!H2516</f>
      </c>
      <c r="L2517">
        <f>IF('R.M Billets Reports'!I2516="","",'R.M Billets Reports'!I2516)</f>
      </c>
      <c r="M2517">
        <f t="shared" si="78"/>
      </c>
      <c r="N2517">
        <f>IF('R.M Billets Reports'!J2516="","",'R.M Billets Reports'!J2516)</f>
      </c>
      <c r="O2517">
        <f t="shared" si="79"/>
      </c>
      <c r="P2517">
        <f>IF('R.M Billets Reports'!A2516="SIZE",'R.M Billets Reports'!B2516,P2516)</f>
      </c>
    </row>
    <row r="2518" spans="1:16" x14ac:dyDescent="0.25">
      <c r="A2518">
        <f>IF(OR('R.M Billets Reports'!A2517="Date-",'R.M Billets Reports'!A2517="Date:-"),IF(IF(IF(ISNUMBER(SEARCH("Party Name:-",'R.M Billets Reports'!D2517)),TRIM('R.M Billets Reports'!F2517),IF(ISNUMBER(SEARCH("Party Name-",'R.M Billets Reports'!D2517)),TRIM(MID('R.M Billets Reports'!D2517,SEARCH("-",'R.M Billets Reports'!D2517)+1,200)),""))&lt;&gt;"",IF(ISNUMBER(SEARCH("Party Name:-",'R.M Billets Reports'!D2517)),TRIM('R.M Billets Reports'!F2517),IF(ISNUMBER(SEARCH("Party Name-",'R.M Billets Reports'!D2517)),TRIM(MID('R.M Billets Reports'!D2517,SEARCH("-",'R.M Billets Reports'!D2517)+1,200)),"")),IF(ISNUMBER(SEARCH("Party Name:-",'R.M Billets Reports'!D2518)),TRIM('R.M Billets Reports'!F2518),IF(ISNUMBER(SEARCH("Party Name-",'R.M Billets Reports'!D2518)),TRIM(MID('R.M Billets Reports'!D2518,SEARCH("-",'R.M Billets Reports'!D2518)+1,200)),"")))="VRKP ISPAT PVT LTD","VRKP",IF(IF(IF(ISNUMBER(SEARCH("Party Name:-",'R.M Billets Reports'!D2517)),TRIM('R.M Billets Reports'!F2517),IF(ISNUMBER(SEARCH("Party Name-",'R.M Billets Reports'!D2517)),TRIM(MID('R.M Billets Reports'!D2517,SEARCH("-",'R.M Billets Reports'!D2517)+1,200)),""))&lt;&gt;"",IF(ISNUMBER(SEARCH("Party Name:-",'R.M Billets Reports'!D2517)),TRIM('R.M Billets Reports'!F2517),IF(ISNUMBER(SEARCH("Party Name-",'R.M Billets Reports'!D2517)),TRIM(MID('R.M Billets Reports'!D2517,SEARCH("-",'R.M Billets Reports'!D2517)+1,200)),"")),IF(ISNUMBER(SEARCH("Party Name:-",'R.M Billets Reports'!D2518)),TRIM('R.M Billets Reports'!F2518),IF(ISNUMBER(SEARCH("Party Name-",'R.M Billets Reports'!D2518)),TRIM(MID('R.M Billets Reports'!D2518,SEARCH("-",'R.M Billets Reports'!D2518)+1,200)),"")))="SHRI RADHE","SHREE RADHE",IF(IF(IF(ISNUMBER(SEARCH("Party Name:-",'R.M Billets Reports'!D2517)),TRIM('R.M Billets Reports'!F2517),IF(ISNUMBER(SEARCH("Party Name-",'R.M Billets Reports'!D2517)),TRIM(MID('R.M Billets Reports'!D2517,SEARCH("-",'R.M Billets Reports'!D2517)+1,200)),""))&lt;&gt;"",IF(ISNUMBER(SEARCH("Party Name:-",'R.M Billets Reports'!D2517)),TRIM('R.M Billets Reports'!F2517),IF(ISNUMBER(SEARCH("Party Name-",'R.M Billets Reports'!D2517)),TRIM(MID('R.M Billets Reports'!D2517,SEARCH("-",'R.M Billets Reports'!D2517)+1,200)),"")),IF(ISNUMBER(SEARCH("Party Name:-",'R.M Billets Reports'!D2518)),TRIM('R.M Billets Reports'!F2518),IF(ISNUMBER(SEARCH("Party Name-",'R.M Billets Reports'!D2518)),TRIM(MID('R.M Billets Reports'!D2518,SEARCH("-",'R.M Billets Reports'!D2518)+1,200)),"")))="SHREE RADHE SHAKTI SPONGE AND POWER PVT. LTD.","SHREE RADHE",IF(IF(ISNUMBER(SEARCH("Party Name:-",'R.M Billets Reports'!D2517)),TRIM('R.M Billets Reports'!F2517),IF(ISNUMBER(SEARCH("Party Name-",'R.M Billets Reports'!D2517)),TRIM(MID('R.M Billets Reports'!D2517,SEARCH("-",'R.M Billets Reports'!D2517)+1,200)),""))&lt;&gt;"",IF(ISNUMBER(SEARCH("Party Name:-",'R.M Billets Reports'!D2517)),TRIM('R.M Billets Reports'!F2517),IF(ISNUMBER(SEARCH("Party Name-",'R.M Billets Reports'!D2517)),TRIM(MID('R.M Billets Reports'!D2517,SEARCH("-",'R.M Billets Reports'!D2517)+1,200)),"")),IF(ISNUMBER(SEARCH("Party Name:-",'R.M Billets Reports'!D2518)),TRIM('R.M Billets Reports'!F2518),IF(ISNUMBER(SEARCH("Party Name-",'R.M Billets Reports'!D2518)),TRIM(MID('R.M Billets Reports'!D2518,SEARCH("-",'R.M Billets Reports'!D2518)+1,200)),"")))))),IF(ROW()=2,"",A2517))</f>
      </c>
      <c r="B2518">
        <f>IF(OR('R.M Billets Reports'!A2517="Date-",'R.M Billets Reports'!A2517="Date:-"),'R.M Billets Reports'!B2517,IF(ROW()=2,"",B2517))</f>
      </c>
      <c r="C2518">
        <f>IF('R.M Billets Reports'!A2517="V.No.",'R.M Billets Reports'!B2517,IF(ROW()=2,"",C2517))</f>
      </c>
      <c r="D2518">
        <f>IF('R.M Billets Reports'!A2517&lt;&gt;"",'R.M Billets Reports'!A2517,IF(ROW()=2,"",D2517))</f>
      </c>
      <c r="E2518">
        <f>IF('R.M Billets Reports'!B2517="","",TRIM('R.M Billets Reports'!B2517))</f>
      </c>
      <c r="F2518">
        <f>'R.M Billets Reports'!C2517</f>
      </c>
      <c r="G2518">
        <f>'R.M Billets Reports'!D2517</f>
      </c>
      <c r="H2518">
        <f>'R.M Billets Reports'!E2517</f>
      </c>
      <c r="I2518">
        <f>'R.M Billets Reports'!F2517</f>
      </c>
      <c r="J2518">
        <f>'R.M Billets Reports'!G2517</f>
      </c>
      <c r="K2518">
        <f>'R.M Billets Reports'!H2517</f>
      </c>
      <c r="L2518">
        <f>IF('R.M Billets Reports'!I2517="","",'R.M Billets Reports'!I2517)</f>
      </c>
      <c r="M2518">
        <f t="shared" si="78"/>
      </c>
      <c r="N2518">
        <f>IF('R.M Billets Reports'!J2517="","",'R.M Billets Reports'!J2517)</f>
      </c>
      <c r="O2518">
        <f t="shared" si="79"/>
      </c>
      <c r="P2518">
        <f>IF('R.M Billets Reports'!A2517="SIZE",'R.M Billets Reports'!B2517,P2517)</f>
      </c>
    </row>
    <row r="2519" spans="1:16" x14ac:dyDescent="0.25">
      <c r="A2519">
        <f>IF(OR('R.M Billets Reports'!A2518="Date-",'R.M Billets Reports'!A2518="Date:-"),IF(IF(IF(ISNUMBER(SEARCH("Party Name:-",'R.M Billets Reports'!D2518)),TRIM('R.M Billets Reports'!F2518),IF(ISNUMBER(SEARCH("Party Name-",'R.M Billets Reports'!D2518)),TRIM(MID('R.M Billets Reports'!D2518,SEARCH("-",'R.M Billets Reports'!D2518)+1,200)),""))&lt;&gt;"",IF(ISNUMBER(SEARCH("Party Name:-",'R.M Billets Reports'!D2518)),TRIM('R.M Billets Reports'!F2518),IF(ISNUMBER(SEARCH("Party Name-",'R.M Billets Reports'!D2518)),TRIM(MID('R.M Billets Reports'!D2518,SEARCH("-",'R.M Billets Reports'!D2518)+1,200)),"")),IF(ISNUMBER(SEARCH("Party Name:-",'R.M Billets Reports'!D2519)),TRIM('R.M Billets Reports'!F2519),IF(ISNUMBER(SEARCH("Party Name-",'R.M Billets Reports'!D2519)),TRIM(MID('R.M Billets Reports'!D2519,SEARCH("-",'R.M Billets Reports'!D2519)+1,200)),"")))="VRKP ISPAT PVT LTD","VRKP",IF(IF(IF(ISNUMBER(SEARCH("Party Name:-",'R.M Billets Reports'!D2518)),TRIM('R.M Billets Reports'!F2518),IF(ISNUMBER(SEARCH("Party Name-",'R.M Billets Reports'!D2518)),TRIM(MID('R.M Billets Reports'!D2518,SEARCH("-",'R.M Billets Reports'!D2518)+1,200)),""))&lt;&gt;"",IF(ISNUMBER(SEARCH("Party Name:-",'R.M Billets Reports'!D2518)),TRIM('R.M Billets Reports'!F2518),IF(ISNUMBER(SEARCH("Party Name-",'R.M Billets Reports'!D2518)),TRIM(MID('R.M Billets Reports'!D2518,SEARCH("-",'R.M Billets Reports'!D2518)+1,200)),"")),IF(ISNUMBER(SEARCH("Party Name:-",'R.M Billets Reports'!D2519)),TRIM('R.M Billets Reports'!F2519),IF(ISNUMBER(SEARCH("Party Name-",'R.M Billets Reports'!D2519)),TRIM(MID('R.M Billets Reports'!D2519,SEARCH("-",'R.M Billets Reports'!D2519)+1,200)),"")))="SHRI RADHE","SHREE RADHE",IF(IF(IF(ISNUMBER(SEARCH("Party Name:-",'R.M Billets Reports'!D2518)),TRIM('R.M Billets Reports'!F2518),IF(ISNUMBER(SEARCH("Party Name-",'R.M Billets Reports'!D2518)),TRIM(MID('R.M Billets Reports'!D2518,SEARCH("-",'R.M Billets Reports'!D2518)+1,200)),""))&lt;&gt;"",IF(ISNUMBER(SEARCH("Party Name:-",'R.M Billets Reports'!D2518)),TRIM('R.M Billets Reports'!F2518),IF(ISNUMBER(SEARCH("Party Name-",'R.M Billets Reports'!D2518)),TRIM(MID('R.M Billets Reports'!D2518,SEARCH("-",'R.M Billets Reports'!D2518)+1,200)),"")),IF(ISNUMBER(SEARCH("Party Name:-",'R.M Billets Reports'!D2519)),TRIM('R.M Billets Reports'!F2519),IF(ISNUMBER(SEARCH("Party Name-",'R.M Billets Reports'!D2519)),TRIM(MID('R.M Billets Reports'!D2519,SEARCH("-",'R.M Billets Reports'!D2519)+1,200)),"")))="SHREE RADHE SHAKTI SPONGE AND POWER PVT. LTD.","SHREE RADHE",IF(IF(ISNUMBER(SEARCH("Party Name:-",'R.M Billets Reports'!D2518)),TRIM('R.M Billets Reports'!F2518),IF(ISNUMBER(SEARCH("Party Name-",'R.M Billets Reports'!D2518)),TRIM(MID('R.M Billets Reports'!D2518,SEARCH("-",'R.M Billets Reports'!D2518)+1,200)),""))&lt;&gt;"",IF(ISNUMBER(SEARCH("Party Name:-",'R.M Billets Reports'!D2518)),TRIM('R.M Billets Reports'!F2518),IF(ISNUMBER(SEARCH("Party Name-",'R.M Billets Reports'!D2518)),TRIM(MID('R.M Billets Reports'!D2518,SEARCH("-",'R.M Billets Reports'!D2518)+1,200)),"")),IF(ISNUMBER(SEARCH("Party Name:-",'R.M Billets Reports'!D2519)),TRIM('R.M Billets Reports'!F2519),IF(ISNUMBER(SEARCH("Party Name-",'R.M Billets Reports'!D2519)),TRIM(MID('R.M Billets Reports'!D2519,SEARCH("-",'R.M Billets Reports'!D2519)+1,200)),"")))))),IF(ROW()=2,"",A2518))</f>
      </c>
      <c r="B2519">
        <f>IF(OR('R.M Billets Reports'!A2518="Date-",'R.M Billets Reports'!A2518="Date:-"),'R.M Billets Reports'!B2518,IF(ROW()=2,"",B2518))</f>
      </c>
      <c r="C2519">
        <f>IF('R.M Billets Reports'!A2518="V.No.",'R.M Billets Reports'!B2518,IF(ROW()=2,"",C2518))</f>
      </c>
      <c r="D2519">
        <f>IF('R.M Billets Reports'!A2518&lt;&gt;"",'R.M Billets Reports'!A2518,IF(ROW()=2,"",D2518))</f>
      </c>
      <c r="E2519">
        <f>IF('R.M Billets Reports'!B2518="","",TRIM('R.M Billets Reports'!B2518))</f>
      </c>
      <c r="F2519">
        <f>'R.M Billets Reports'!C2518</f>
      </c>
      <c r="G2519">
        <f>'R.M Billets Reports'!D2518</f>
      </c>
      <c r="H2519">
        <f>'R.M Billets Reports'!E2518</f>
      </c>
      <c r="I2519">
        <f>'R.M Billets Reports'!F2518</f>
      </c>
      <c r="J2519">
        <f>'R.M Billets Reports'!G2518</f>
      </c>
      <c r="K2519">
        <f>'R.M Billets Reports'!H2518</f>
      </c>
      <c r="L2519">
        <f>IF('R.M Billets Reports'!I2518="","",'R.M Billets Reports'!I2518)</f>
      </c>
      <c r="M2519">
        <f t="shared" si="78"/>
      </c>
      <c r="N2519">
        <f>IF('R.M Billets Reports'!J2518="","",'R.M Billets Reports'!J2518)</f>
      </c>
      <c r="O2519">
        <f t="shared" si="79"/>
      </c>
      <c r="P2519">
        <f>IF('R.M Billets Reports'!A2518="SIZE",'R.M Billets Reports'!B2518,P2518)</f>
      </c>
    </row>
    <row r="2520" spans="1:16" x14ac:dyDescent="0.25">
      <c r="A2520">
        <f>IF(OR('R.M Billets Reports'!A2519="Date-",'R.M Billets Reports'!A2519="Date:-"),IF(IF(IF(ISNUMBER(SEARCH("Party Name:-",'R.M Billets Reports'!D2519)),TRIM('R.M Billets Reports'!F2519),IF(ISNUMBER(SEARCH("Party Name-",'R.M Billets Reports'!D2519)),TRIM(MID('R.M Billets Reports'!D2519,SEARCH("-",'R.M Billets Reports'!D2519)+1,200)),""))&lt;&gt;"",IF(ISNUMBER(SEARCH("Party Name:-",'R.M Billets Reports'!D2519)),TRIM('R.M Billets Reports'!F2519),IF(ISNUMBER(SEARCH("Party Name-",'R.M Billets Reports'!D2519)),TRIM(MID('R.M Billets Reports'!D2519,SEARCH("-",'R.M Billets Reports'!D2519)+1,200)),"")),IF(ISNUMBER(SEARCH("Party Name:-",'R.M Billets Reports'!D2520)),TRIM('R.M Billets Reports'!F2520),IF(ISNUMBER(SEARCH("Party Name-",'R.M Billets Reports'!D2520)),TRIM(MID('R.M Billets Reports'!D2520,SEARCH("-",'R.M Billets Reports'!D2520)+1,200)),"")))="VRKP ISPAT PVT LTD","VRKP",IF(IF(IF(ISNUMBER(SEARCH("Party Name:-",'R.M Billets Reports'!D2519)),TRIM('R.M Billets Reports'!F2519),IF(ISNUMBER(SEARCH("Party Name-",'R.M Billets Reports'!D2519)),TRIM(MID('R.M Billets Reports'!D2519,SEARCH("-",'R.M Billets Reports'!D2519)+1,200)),""))&lt;&gt;"",IF(ISNUMBER(SEARCH("Party Name:-",'R.M Billets Reports'!D2519)),TRIM('R.M Billets Reports'!F2519),IF(ISNUMBER(SEARCH("Party Name-",'R.M Billets Reports'!D2519)),TRIM(MID('R.M Billets Reports'!D2519,SEARCH("-",'R.M Billets Reports'!D2519)+1,200)),"")),IF(ISNUMBER(SEARCH("Party Name:-",'R.M Billets Reports'!D2520)),TRIM('R.M Billets Reports'!F2520),IF(ISNUMBER(SEARCH("Party Name-",'R.M Billets Reports'!D2520)),TRIM(MID('R.M Billets Reports'!D2520,SEARCH("-",'R.M Billets Reports'!D2520)+1,200)),"")))="SHRI RADHE","SHREE RADHE",IF(IF(IF(ISNUMBER(SEARCH("Party Name:-",'R.M Billets Reports'!D2519)),TRIM('R.M Billets Reports'!F2519),IF(ISNUMBER(SEARCH("Party Name-",'R.M Billets Reports'!D2519)),TRIM(MID('R.M Billets Reports'!D2519,SEARCH("-",'R.M Billets Reports'!D2519)+1,200)),""))&lt;&gt;"",IF(ISNUMBER(SEARCH("Party Name:-",'R.M Billets Reports'!D2519)),TRIM('R.M Billets Reports'!F2519),IF(ISNUMBER(SEARCH("Party Name-",'R.M Billets Reports'!D2519)),TRIM(MID('R.M Billets Reports'!D2519,SEARCH("-",'R.M Billets Reports'!D2519)+1,200)),"")),IF(ISNUMBER(SEARCH("Party Name:-",'R.M Billets Reports'!D2520)),TRIM('R.M Billets Reports'!F2520),IF(ISNUMBER(SEARCH("Party Name-",'R.M Billets Reports'!D2520)),TRIM(MID('R.M Billets Reports'!D2520,SEARCH("-",'R.M Billets Reports'!D2520)+1,200)),"")))="SHREE RADHE SHAKTI SPONGE AND POWER PVT. LTD.","SHREE RADHE",IF(IF(ISNUMBER(SEARCH("Party Name:-",'R.M Billets Reports'!D2519)),TRIM('R.M Billets Reports'!F2519),IF(ISNUMBER(SEARCH("Party Name-",'R.M Billets Reports'!D2519)),TRIM(MID('R.M Billets Reports'!D2519,SEARCH("-",'R.M Billets Reports'!D2519)+1,200)),""))&lt;&gt;"",IF(ISNUMBER(SEARCH("Party Name:-",'R.M Billets Reports'!D2519)),TRIM('R.M Billets Reports'!F2519),IF(ISNUMBER(SEARCH("Party Name-",'R.M Billets Reports'!D2519)),TRIM(MID('R.M Billets Reports'!D2519,SEARCH("-",'R.M Billets Reports'!D2519)+1,200)),"")),IF(ISNUMBER(SEARCH("Party Name:-",'R.M Billets Reports'!D2520)),TRIM('R.M Billets Reports'!F2520),IF(ISNUMBER(SEARCH("Party Name-",'R.M Billets Reports'!D2520)),TRIM(MID('R.M Billets Reports'!D2520,SEARCH("-",'R.M Billets Reports'!D2520)+1,200)),"")))))),IF(ROW()=2,"",A2519))</f>
      </c>
      <c r="B2520">
        <f>IF(OR('R.M Billets Reports'!A2519="Date-",'R.M Billets Reports'!A2519="Date:-"),'R.M Billets Reports'!B2519,IF(ROW()=2,"",B2519))</f>
      </c>
      <c r="C2520">
        <f>IF('R.M Billets Reports'!A2519="V.No.",'R.M Billets Reports'!B2519,IF(ROW()=2,"",C2519))</f>
      </c>
      <c r="D2520">
        <f>IF('R.M Billets Reports'!A2519&lt;&gt;"",'R.M Billets Reports'!A2519,IF(ROW()=2,"",D2519))</f>
      </c>
      <c r="E2520">
        <f>IF('R.M Billets Reports'!B2519="","",TRIM('R.M Billets Reports'!B2519))</f>
      </c>
      <c r="F2520">
        <f>'R.M Billets Reports'!C2519</f>
      </c>
      <c r="G2520">
        <f>'R.M Billets Reports'!D2519</f>
      </c>
      <c r="H2520">
        <f>'R.M Billets Reports'!E2519</f>
      </c>
      <c r="I2520">
        <f>'R.M Billets Reports'!F2519</f>
      </c>
      <c r="J2520">
        <f>'R.M Billets Reports'!G2519</f>
      </c>
      <c r="K2520">
        <f>'R.M Billets Reports'!H2519</f>
      </c>
      <c r="L2520">
        <f>IF('R.M Billets Reports'!I2519="","",'R.M Billets Reports'!I2519)</f>
      </c>
      <c r="M2520">
        <f t="shared" si="78"/>
      </c>
      <c r="N2520">
        <f>IF('R.M Billets Reports'!J2519="","",'R.M Billets Reports'!J2519)</f>
      </c>
      <c r="O2520">
        <f t="shared" si="79"/>
      </c>
      <c r="P2520">
        <f>IF('R.M Billets Reports'!A2519="SIZE",'R.M Billets Reports'!B2519,P2519)</f>
      </c>
    </row>
    <row r="2521" spans="1:16" x14ac:dyDescent="0.25">
      <c r="A2521">
        <f>IF(OR('R.M Billets Reports'!A2520="Date-",'R.M Billets Reports'!A2520="Date:-"),IF(IF(IF(ISNUMBER(SEARCH("Party Name:-",'R.M Billets Reports'!D2520)),TRIM('R.M Billets Reports'!F2520),IF(ISNUMBER(SEARCH("Party Name-",'R.M Billets Reports'!D2520)),TRIM(MID('R.M Billets Reports'!D2520,SEARCH("-",'R.M Billets Reports'!D2520)+1,200)),""))&lt;&gt;"",IF(ISNUMBER(SEARCH("Party Name:-",'R.M Billets Reports'!D2520)),TRIM('R.M Billets Reports'!F2520),IF(ISNUMBER(SEARCH("Party Name-",'R.M Billets Reports'!D2520)),TRIM(MID('R.M Billets Reports'!D2520,SEARCH("-",'R.M Billets Reports'!D2520)+1,200)),"")),IF(ISNUMBER(SEARCH("Party Name:-",'R.M Billets Reports'!D2521)),TRIM('R.M Billets Reports'!F2521),IF(ISNUMBER(SEARCH("Party Name-",'R.M Billets Reports'!D2521)),TRIM(MID('R.M Billets Reports'!D2521,SEARCH("-",'R.M Billets Reports'!D2521)+1,200)),"")))="VRKP ISPAT PVT LTD","VRKP",IF(IF(IF(ISNUMBER(SEARCH("Party Name:-",'R.M Billets Reports'!D2520)),TRIM('R.M Billets Reports'!F2520),IF(ISNUMBER(SEARCH("Party Name-",'R.M Billets Reports'!D2520)),TRIM(MID('R.M Billets Reports'!D2520,SEARCH("-",'R.M Billets Reports'!D2520)+1,200)),""))&lt;&gt;"",IF(ISNUMBER(SEARCH("Party Name:-",'R.M Billets Reports'!D2520)),TRIM('R.M Billets Reports'!F2520),IF(ISNUMBER(SEARCH("Party Name-",'R.M Billets Reports'!D2520)),TRIM(MID('R.M Billets Reports'!D2520,SEARCH("-",'R.M Billets Reports'!D2520)+1,200)),"")),IF(ISNUMBER(SEARCH("Party Name:-",'R.M Billets Reports'!D2521)),TRIM('R.M Billets Reports'!F2521),IF(ISNUMBER(SEARCH("Party Name-",'R.M Billets Reports'!D2521)),TRIM(MID('R.M Billets Reports'!D2521,SEARCH("-",'R.M Billets Reports'!D2521)+1,200)),"")))="SHRI RADHE","SHREE RADHE",IF(IF(IF(ISNUMBER(SEARCH("Party Name:-",'R.M Billets Reports'!D2520)),TRIM('R.M Billets Reports'!F2520),IF(ISNUMBER(SEARCH("Party Name-",'R.M Billets Reports'!D2520)),TRIM(MID('R.M Billets Reports'!D2520,SEARCH("-",'R.M Billets Reports'!D2520)+1,200)),""))&lt;&gt;"",IF(ISNUMBER(SEARCH("Party Name:-",'R.M Billets Reports'!D2520)),TRIM('R.M Billets Reports'!F2520),IF(ISNUMBER(SEARCH("Party Name-",'R.M Billets Reports'!D2520)),TRIM(MID('R.M Billets Reports'!D2520,SEARCH("-",'R.M Billets Reports'!D2520)+1,200)),"")),IF(ISNUMBER(SEARCH("Party Name:-",'R.M Billets Reports'!D2521)),TRIM('R.M Billets Reports'!F2521),IF(ISNUMBER(SEARCH("Party Name-",'R.M Billets Reports'!D2521)),TRIM(MID('R.M Billets Reports'!D2521,SEARCH("-",'R.M Billets Reports'!D2521)+1,200)),"")))="SHREE RADHE SHAKTI SPONGE AND POWER PVT. LTD.","SHREE RADHE",IF(IF(ISNUMBER(SEARCH("Party Name:-",'R.M Billets Reports'!D2520)),TRIM('R.M Billets Reports'!F2520),IF(ISNUMBER(SEARCH("Party Name-",'R.M Billets Reports'!D2520)),TRIM(MID('R.M Billets Reports'!D2520,SEARCH("-",'R.M Billets Reports'!D2520)+1,200)),""))&lt;&gt;"",IF(ISNUMBER(SEARCH("Party Name:-",'R.M Billets Reports'!D2520)),TRIM('R.M Billets Reports'!F2520),IF(ISNUMBER(SEARCH("Party Name-",'R.M Billets Reports'!D2520)),TRIM(MID('R.M Billets Reports'!D2520,SEARCH("-",'R.M Billets Reports'!D2520)+1,200)),"")),IF(ISNUMBER(SEARCH("Party Name:-",'R.M Billets Reports'!D2521)),TRIM('R.M Billets Reports'!F2521),IF(ISNUMBER(SEARCH("Party Name-",'R.M Billets Reports'!D2521)),TRIM(MID('R.M Billets Reports'!D2521,SEARCH("-",'R.M Billets Reports'!D2521)+1,200)),"")))))),IF(ROW()=2,"",A2520))</f>
      </c>
      <c r="B2521">
        <f>IF(OR('R.M Billets Reports'!A2520="Date-",'R.M Billets Reports'!A2520="Date:-"),'R.M Billets Reports'!B2520,IF(ROW()=2,"",B2520))</f>
      </c>
      <c r="C2521">
        <f>IF('R.M Billets Reports'!A2520="V.No.",'R.M Billets Reports'!B2520,IF(ROW()=2,"",C2520))</f>
      </c>
      <c r="D2521">
        <f>IF('R.M Billets Reports'!A2520&lt;&gt;"",'R.M Billets Reports'!A2520,IF(ROW()=2,"",D2520))</f>
      </c>
      <c r="E2521">
        <f>IF('R.M Billets Reports'!B2520="","",TRIM('R.M Billets Reports'!B2520))</f>
      </c>
      <c r="F2521">
        <f>'R.M Billets Reports'!C2520</f>
      </c>
      <c r="G2521">
        <f>'R.M Billets Reports'!D2520</f>
      </c>
      <c r="H2521">
        <f>'R.M Billets Reports'!E2520</f>
      </c>
      <c r="I2521">
        <f>'R.M Billets Reports'!F2520</f>
      </c>
      <c r="J2521">
        <f>'R.M Billets Reports'!G2520</f>
      </c>
      <c r="K2521">
        <f>'R.M Billets Reports'!H2520</f>
      </c>
      <c r="L2521">
        <f>IF('R.M Billets Reports'!I2520="","",'R.M Billets Reports'!I2520)</f>
      </c>
      <c r="M2521">
        <f t="shared" si="78"/>
      </c>
      <c r="N2521">
        <f>IF('R.M Billets Reports'!J2520="","",'R.M Billets Reports'!J2520)</f>
      </c>
      <c r="O2521">
        <f t="shared" si="79"/>
      </c>
      <c r="P2521">
        <f>IF('R.M Billets Reports'!A2520="SIZE",'R.M Billets Reports'!B2520,P2520)</f>
      </c>
    </row>
    <row r="2522" spans="1:16" x14ac:dyDescent="0.25">
      <c r="A2522">
        <f>IF(OR('R.M Billets Reports'!A2521="Date-",'R.M Billets Reports'!A2521="Date:-"),IF(IF(IF(ISNUMBER(SEARCH("Party Name:-",'R.M Billets Reports'!D2521)),TRIM('R.M Billets Reports'!F2521),IF(ISNUMBER(SEARCH("Party Name-",'R.M Billets Reports'!D2521)),TRIM(MID('R.M Billets Reports'!D2521,SEARCH("-",'R.M Billets Reports'!D2521)+1,200)),""))&lt;&gt;"",IF(ISNUMBER(SEARCH("Party Name:-",'R.M Billets Reports'!D2521)),TRIM('R.M Billets Reports'!F2521),IF(ISNUMBER(SEARCH("Party Name-",'R.M Billets Reports'!D2521)),TRIM(MID('R.M Billets Reports'!D2521,SEARCH("-",'R.M Billets Reports'!D2521)+1,200)),"")),IF(ISNUMBER(SEARCH("Party Name:-",'R.M Billets Reports'!D2522)),TRIM('R.M Billets Reports'!F2522),IF(ISNUMBER(SEARCH("Party Name-",'R.M Billets Reports'!D2522)),TRIM(MID('R.M Billets Reports'!D2522,SEARCH("-",'R.M Billets Reports'!D2522)+1,200)),"")))="VRKP ISPAT PVT LTD","VRKP",IF(IF(IF(ISNUMBER(SEARCH("Party Name:-",'R.M Billets Reports'!D2521)),TRIM('R.M Billets Reports'!F2521),IF(ISNUMBER(SEARCH("Party Name-",'R.M Billets Reports'!D2521)),TRIM(MID('R.M Billets Reports'!D2521,SEARCH("-",'R.M Billets Reports'!D2521)+1,200)),""))&lt;&gt;"",IF(ISNUMBER(SEARCH("Party Name:-",'R.M Billets Reports'!D2521)),TRIM('R.M Billets Reports'!F2521),IF(ISNUMBER(SEARCH("Party Name-",'R.M Billets Reports'!D2521)),TRIM(MID('R.M Billets Reports'!D2521,SEARCH("-",'R.M Billets Reports'!D2521)+1,200)),"")),IF(ISNUMBER(SEARCH("Party Name:-",'R.M Billets Reports'!D2522)),TRIM('R.M Billets Reports'!F2522),IF(ISNUMBER(SEARCH("Party Name-",'R.M Billets Reports'!D2522)),TRIM(MID('R.M Billets Reports'!D2522,SEARCH("-",'R.M Billets Reports'!D2522)+1,200)),"")))="SHRI RADHE","SHREE RADHE",IF(IF(IF(ISNUMBER(SEARCH("Party Name:-",'R.M Billets Reports'!D2521)),TRIM('R.M Billets Reports'!F2521),IF(ISNUMBER(SEARCH("Party Name-",'R.M Billets Reports'!D2521)),TRIM(MID('R.M Billets Reports'!D2521,SEARCH("-",'R.M Billets Reports'!D2521)+1,200)),""))&lt;&gt;"",IF(ISNUMBER(SEARCH("Party Name:-",'R.M Billets Reports'!D2521)),TRIM('R.M Billets Reports'!F2521),IF(ISNUMBER(SEARCH("Party Name-",'R.M Billets Reports'!D2521)),TRIM(MID('R.M Billets Reports'!D2521,SEARCH("-",'R.M Billets Reports'!D2521)+1,200)),"")),IF(ISNUMBER(SEARCH("Party Name:-",'R.M Billets Reports'!D2522)),TRIM('R.M Billets Reports'!F2522),IF(ISNUMBER(SEARCH("Party Name-",'R.M Billets Reports'!D2522)),TRIM(MID('R.M Billets Reports'!D2522,SEARCH("-",'R.M Billets Reports'!D2522)+1,200)),"")))="SHREE RADHE SHAKTI SPONGE AND POWER PVT. LTD.","SHREE RADHE",IF(IF(ISNUMBER(SEARCH("Party Name:-",'R.M Billets Reports'!D2521)),TRIM('R.M Billets Reports'!F2521),IF(ISNUMBER(SEARCH("Party Name-",'R.M Billets Reports'!D2521)),TRIM(MID('R.M Billets Reports'!D2521,SEARCH("-",'R.M Billets Reports'!D2521)+1,200)),""))&lt;&gt;"",IF(ISNUMBER(SEARCH("Party Name:-",'R.M Billets Reports'!D2521)),TRIM('R.M Billets Reports'!F2521),IF(ISNUMBER(SEARCH("Party Name-",'R.M Billets Reports'!D2521)),TRIM(MID('R.M Billets Reports'!D2521,SEARCH("-",'R.M Billets Reports'!D2521)+1,200)),"")),IF(ISNUMBER(SEARCH("Party Name:-",'R.M Billets Reports'!D2522)),TRIM('R.M Billets Reports'!F2522),IF(ISNUMBER(SEARCH("Party Name-",'R.M Billets Reports'!D2522)),TRIM(MID('R.M Billets Reports'!D2522,SEARCH("-",'R.M Billets Reports'!D2522)+1,200)),"")))))),IF(ROW()=2,"",A2521))</f>
      </c>
      <c r="B2522">
        <f>IF(OR('R.M Billets Reports'!A2521="Date-",'R.M Billets Reports'!A2521="Date:-"),'R.M Billets Reports'!B2521,IF(ROW()=2,"",B2521))</f>
      </c>
      <c r="C2522">
        <f>IF('R.M Billets Reports'!A2521="V.No.",'R.M Billets Reports'!B2521,IF(ROW()=2,"",C2521))</f>
      </c>
      <c r="D2522">
        <f>IF('R.M Billets Reports'!A2521&lt;&gt;"",'R.M Billets Reports'!A2521,IF(ROW()=2,"",D2521))</f>
      </c>
      <c r="E2522">
        <f>IF('R.M Billets Reports'!B2521="","",TRIM('R.M Billets Reports'!B2521))</f>
      </c>
      <c r="F2522">
        <f>'R.M Billets Reports'!C2521</f>
      </c>
      <c r="G2522">
        <f>'R.M Billets Reports'!D2521</f>
      </c>
      <c r="H2522">
        <f>'R.M Billets Reports'!E2521</f>
      </c>
      <c r="I2522">
        <f>'R.M Billets Reports'!F2521</f>
      </c>
      <c r="J2522">
        <f>'R.M Billets Reports'!G2521</f>
      </c>
      <c r="K2522">
        <f>'R.M Billets Reports'!H2521</f>
      </c>
      <c r="L2522">
        <f>IF('R.M Billets Reports'!I2521="","",'R.M Billets Reports'!I2521)</f>
      </c>
      <c r="M2522">
        <f t="shared" si="78"/>
      </c>
      <c r="N2522">
        <f>IF('R.M Billets Reports'!J2521="","",'R.M Billets Reports'!J2521)</f>
      </c>
      <c r="O2522">
        <f t="shared" si="79"/>
      </c>
      <c r="P2522">
        <f>IF('R.M Billets Reports'!A2521="SIZE",'R.M Billets Reports'!B2521,P2521)</f>
      </c>
    </row>
    <row r="2523" spans="1:16" x14ac:dyDescent="0.25">
      <c r="A2523">
        <f>IF(OR('R.M Billets Reports'!A2522="Date-",'R.M Billets Reports'!A2522="Date:-"),IF(IF(IF(ISNUMBER(SEARCH("Party Name:-",'R.M Billets Reports'!D2522)),TRIM('R.M Billets Reports'!F2522),IF(ISNUMBER(SEARCH("Party Name-",'R.M Billets Reports'!D2522)),TRIM(MID('R.M Billets Reports'!D2522,SEARCH("-",'R.M Billets Reports'!D2522)+1,200)),""))&lt;&gt;"",IF(ISNUMBER(SEARCH("Party Name:-",'R.M Billets Reports'!D2522)),TRIM('R.M Billets Reports'!F2522),IF(ISNUMBER(SEARCH("Party Name-",'R.M Billets Reports'!D2522)),TRIM(MID('R.M Billets Reports'!D2522,SEARCH("-",'R.M Billets Reports'!D2522)+1,200)),"")),IF(ISNUMBER(SEARCH("Party Name:-",'R.M Billets Reports'!D2523)),TRIM('R.M Billets Reports'!F2523),IF(ISNUMBER(SEARCH("Party Name-",'R.M Billets Reports'!D2523)),TRIM(MID('R.M Billets Reports'!D2523,SEARCH("-",'R.M Billets Reports'!D2523)+1,200)),"")))="VRKP ISPAT PVT LTD","VRKP",IF(IF(IF(ISNUMBER(SEARCH("Party Name:-",'R.M Billets Reports'!D2522)),TRIM('R.M Billets Reports'!F2522),IF(ISNUMBER(SEARCH("Party Name-",'R.M Billets Reports'!D2522)),TRIM(MID('R.M Billets Reports'!D2522,SEARCH("-",'R.M Billets Reports'!D2522)+1,200)),""))&lt;&gt;"",IF(ISNUMBER(SEARCH("Party Name:-",'R.M Billets Reports'!D2522)),TRIM('R.M Billets Reports'!F2522),IF(ISNUMBER(SEARCH("Party Name-",'R.M Billets Reports'!D2522)),TRIM(MID('R.M Billets Reports'!D2522,SEARCH("-",'R.M Billets Reports'!D2522)+1,200)),"")),IF(ISNUMBER(SEARCH("Party Name:-",'R.M Billets Reports'!D2523)),TRIM('R.M Billets Reports'!F2523),IF(ISNUMBER(SEARCH("Party Name-",'R.M Billets Reports'!D2523)),TRIM(MID('R.M Billets Reports'!D2523,SEARCH("-",'R.M Billets Reports'!D2523)+1,200)),"")))="SHRI RADHE","SHREE RADHE",IF(IF(IF(ISNUMBER(SEARCH("Party Name:-",'R.M Billets Reports'!D2522)),TRIM('R.M Billets Reports'!F2522),IF(ISNUMBER(SEARCH("Party Name-",'R.M Billets Reports'!D2522)),TRIM(MID('R.M Billets Reports'!D2522,SEARCH("-",'R.M Billets Reports'!D2522)+1,200)),""))&lt;&gt;"",IF(ISNUMBER(SEARCH("Party Name:-",'R.M Billets Reports'!D2522)),TRIM('R.M Billets Reports'!F2522),IF(ISNUMBER(SEARCH("Party Name-",'R.M Billets Reports'!D2522)),TRIM(MID('R.M Billets Reports'!D2522,SEARCH("-",'R.M Billets Reports'!D2522)+1,200)),"")),IF(ISNUMBER(SEARCH("Party Name:-",'R.M Billets Reports'!D2523)),TRIM('R.M Billets Reports'!F2523),IF(ISNUMBER(SEARCH("Party Name-",'R.M Billets Reports'!D2523)),TRIM(MID('R.M Billets Reports'!D2523,SEARCH("-",'R.M Billets Reports'!D2523)+1,200)),"")))="SHREE RADHE SHAKTI SPONGE AND POWER PVT. LTD.","SHREE RADHE",IF(IF(ISNUMBER(SEARCH("Party Name:-",'R.M Billets Reports'!D2522)),TRIM('R.M Billets Reports'!F2522),IF(ISNUMBER(SEARCH("Party Name-",'R.M Billets Reports'!D2522)),TRIM(MID('R.M Billets Reports'!D2522,SEARCH("-",'R.M Billets Reports'!D2522)+1,200)),""))&lt;&gt;"",IF(ISNUMBER(SEARCH("Party Name:-",'R.M Billets Reports'!D2522)),TRIM('R.M Billets Reports'!F2522),IF(ISNUMBER(SEARCH("Party Name-",'R.M Billets Reports'!D2522)),TRIM(MID('R.M Billets Reports'!D2522,SEARCH("-",'R.M Billets Reports'!D2522)+1,200)),"")),IF(ISNUMBER(SEARCH("Party Name:-",'R.M Billets Reports'!D2523)),TRIM('R.M Billets Reports'!F2523),IF(ISNUMBER(SEARCH("Party Name-",'R.M Billets Reports'!D2523)),TRIM(MID('R.M Billets Reports'!D2523,SEARCH("-",'R.M Billets Reports'!D2523)+1,200)),"")))))),IF(ROW()=2,"",A2522))</f>
      </c>
      <c r="B2523">
        <f>IF(OR('R.M Billets Reports'!A2522="Date-",'R.M Billets Reports'!A2522="Date:-"),'R.M Billets Reports'!B2522,IF(ROW()=2,"",B2522))</f>
      </c>
      <c r="C2523">
        <f>IF('R.M Billets Reports'!A2522="V.No.",'R.M Billets Reports'!B2522,IF(ROW()=2,"",C2522))</f>
      </c>
      <c r="D2523">
        <f>IF('R.M Billets Reports'!A2522&lt;&gt;"",'R.M Billets Reports'!A2522,IF(ROW()=2,"",D2522))</f>
      </c>
      <c r="E2523">
        <f>IF('R.M Billets Reports'!B2522="","",TRIM('R.M Billets Reports'!B2522))</f>
      </c>
      <c r="F2523">
        <f>'R.M Billets Reports'!C2522</f>
      </c>
      <c r="G2523">
        <f>'R.M Billets Reports'!D2522</f>
      </c>
      <c r="H2523">
        <f>'R.M Billets Reports'!E2522</f>
      </c>
      <c r="I2523">
        <f>'R.M Billets Reports'!F2522</f>
      </c>
      <c r="J2523">
        <f>'R.M Billets Reports'!G2522</f>
      </c>
      <c r="K2523">
        <f>'R.M Billets Reports'!H2522</f>
      </c>
      <c r="L2523">
        <f>IF('R.M Billets Reports'!I2522="","",'R.M Billets Reports'!I2522)</f>
      </c>
      <c r="M2523">
        <f t="shared" si="78"/>
      </c>
      <c r="N2523">
        <f>IF('R.M Billets Reports'!J2522="","",'R.M Billets Reports'!J2522)</f>
      </c>
      <c r="O2523">
        <f t="shared" si="79"/>
      </c>
      <c r="P2523">
        <f>IF('R.M Billets Reports'!A2522="SIZE",'R.M Billets Reports'!B2522,P2522)</f>
      </c>
    </row>
    <row r="2524" spans="1:16" x14ac:dyDescent="0.25">
      <c r="A2524">
        <f>IF(OR('R.M Billets Reports'!A2523="Date-",'R.M Billets Reports'!A2523="Date:-"),IF(IF(IF(ISNUMBER(SEARCH("Party Name:-",'R.M Billets Reports'!D2523)),TRIM('R.M Billets Reports'!F2523),IF(ISNUMBER(SEARCH("Party Name-",'R.M Billets Reports'!D2523)),TRIM(MID('R.M Billets Reports'!D2523,SEARCH("-",'R.M Billets Reports'!D2523)+1,200)),""))&lt;&gt;"",IF(ISNUMBER(SEARCH("Party Name:-",'R.M Billets Reports'!D2523)),TRIM('R.M Billets Reports'!F2523),IF(ISNUMBER(SEARCH("Party Name-",'R.M Billets Reports'!D2523)),TRIM(MID('R.M Billets Reports'!D2523,SEARCH("-",'R.M Billets Reports'!D2523)+1,200)),"")),IF(ISNUMBER(SEARCH("Party Name:-",'R.M Billets Reports'!D2524)),TRIM('R.M Billets Reports'!F2524),IF(ISNUMBER(SEARCH("Party Name-",'R.M Billets Reports'!D2524)),TRIM(MID('R.M Billets Reports'!D2524,SEARCH("-",'R.M Billets Reports'!D2524)+1,200)),"")))="VRKP ISPAT PVT LTD","VRKP",IF(IF(IF(ISNUMBER(SEARCH("Party Name:-",'R.M Billets Reports'!D2523)),TRIM('R.M Billets Reports'!F2523),IF(ISNUMBER(SEARCH("Party Name-",'R.M Billets Reports'!D2523)),TRIM(MID('R.M Billets Reports'!D2523,SEARCH("-",'R.M Billets Reports'!D2523)+1,200)),""))&lt;&gt;"",IF(ISNUMBER(SEARCH("Party Name:-",'R.M Billets Reports'!D2523)),TRIM('R.M Billets Reports'!F2523),IF(ISNUMBER(SEARCH("Party Name-",'R.M Billets Reports'!D2523)),TRIM(MID('R.M Billets Reports'!D2523,SEARCH("-",'R.M Billets Reports'!D2523)+1,200)),"")),IF(ISNUMBER(SEARCH("Party Name:-",'R.M Billets Reports'!D2524)),TRIM('R.M Billets Reports'!F2524),IF(ISNUMBER(SEARCH("Party Name-",'R.M Billets Reports'!D2524)),TRIM(MID('R.M Billets Reports'!D2524,SEARCH("-",'R.M Billets Reports'!D2524)+1,200)),"")))="SHRI RADHE","SHREE RADHE",IF(IF(IF(ISNUMBER(SEARCH("Party Name:-",'R.M Billets Reports'!D2523)),TRIM('R.M Billets Reports'!F2523),IF(ISNUMBER(SEARCH("Party Name-",'R.M Billets Reports'!D2523)),TRIM(MID('R.M Billets Reports'!D2523,SEARCH("-",'R.M Billets Reports'!D2523)+1,200)),""))&lt;&gt;"",IF(ISNUMBER(SEARCH("Party Name:-",'R.M Billets Reports'!D2523)),TRIM('R.M Billets Reports'!F2523),IF(ISNUMBER(SEARCH("Party Name-",'R.M Billets Reports'!D2523)),TRIM(MID('R.M Billets Reports'!D2523,SEARCH("-",'R.M Billets Reports'!D2523)+1,200)),"")),IF(ISNUMBER(SEARCH("Party Name:-",'R.M Billets Reports'!D2524)),TRIM('R.M Billets Reports'!F2524),IF(ISNUMBER(SEARCH("Party Name-",'R.M Billets Reports'!D2524)),TRIM(MID('R.M Billets Reports'!D2524,SEARCH("-",'R.M Billets Reports'!D2524)+1,200)),"")))="SHREE RADHE SHAKTI SPONGE AND POWER PVT. LTD.","SHREE RADHE",IF(IF(ISNUMBER(SEARCH("Party Name:-",'R.M Billets Reports'!D2523)),TRIM('R.M Billets Reports'!F2523),IF(ISNUMBER(SEARCH("Party Name-",'R.M Billets Reports'!D2523)),TRIM(MID('R.M Billets Reports'!D2523,SEARCH("-",'R.M Billets Reports'!D2523)+1,200)),""))&lt;&gt;"",IF(ISNUMBER(SEARCH("Party Name:-",'R.M Billets Reports'!D2523)),TRIM('R.M Billets Reports'!F2523),IF(ISNUMBER(SEARCH("Party Name-",'R.M Billets Reports'!D2523)),TRIM(MID('R.M Billets Reports'!D2523,SEARCH("-",'R.M Billets Reports'!D2523)+1,200)),"")),IF(ISNUMBER(SEARCH("Party Name:-",'R.M Billets Reports'!D2524)),TRIM('R.M Billets Reports'!F2524),IF(ISNUMBER(SEARCH("Party Name-",'R.M Billets Reports'!D2524)),TRIM(MID('R.M Billets Reports'!D2524,SEARCH("-",'R.M Billets Reports'!D2524)+1,200)),"")))))),IF(ROW()=2,"",A2523))</f>
      </c>
      <c r="B2524">
        <f>IF(OR('R.M Billets Reports'!A2523="Date-",'R.M Billets Reports'!A2523="Date:-"),'R.M Billets Reports'!B2523,IF(ROW()=2,"",B2523))</f>
      </c>
      <c r="C2524">
        <f>IF('R.M Billets Reports'!A2523="V.No.",'R.M Billets Reports'!B2523,IF(ROW()=2,"",C2523))</f>
      </c>
      <c r="D2524">
        <f>IF('R.M Billets Reports'!A2523&lt;&gt;"",'R.M Billets Reports'!A2523,IF(ROW()=2,"",D2523))</f>
      </c>
      <c r="E2524">
        <f>IF('R.M Billets Reports'!B2523="","",TRIM('R.M Billets Reports'!B2523))</f>
      </c>
      <c r="F2524">
        <f>'R.M Billets Reports'!C2523</f>
      </c>
      <c r="G2524">
        <f>'R.M Billets Reports'!D2523</f>
      </c>
      <c r="H2524">
        <f>'R.M Billets Reports'!E2523</f>
      </c>
      <c r="I2524">
        <f>'R.M Billets Reports'!F2523</f>
      </c>
      <c r="J2524">
        <f>'R.M Billets Reports'!G2523</f>
      </c>
      <c r="K2524">
        <f>'R.M Billets Reports'!H2523</f>
      </c>
      <c r="L2524">
        <f>IF('R.M Billets Reports'!I2523="","",'R.M Billets Reports'!I2523)</f>
      </c>
      <c r="M2524">
        <f t="shared" si="78"/>
      </c>
      <c r="N2524">
        <f>IF('R.M Billets Reports'!J2523="","",'R.M Billets Reports'!J2523)</f>
      </c>
      <c r="O2524">
        <f t="shared" si="79"/>
      </c>
      <c r="P2524">
        <f>IF('R.M Billets Reports'!A2523="SIZE",'R.M Billets Reports'!B2523,P2523)</f>
      </c>
    </row>
    <row r="2525" spans="1:16" x14ac:dyDescent="0.25">
      <c r="A2525">
        <f>IF(OR('R.M Billets Reports'!A2524="Date-",'R.M Billets Reports'!A2524="Date:-"),IF(IF(IF(ISNUMBER(SEARCH("Party Name:-",'R.M Billets Reports'!D2524)),TRIM('R.M Billets Reports'!F2524),IF(ISNUMBER(SEARCH("Party Name-",'R.M Billets Reports'!D2524)),TRIM(MID('R.M Billets Reports'!D2524,SEARCH("-",'R.M Billets Reports'!D2524)+1,200)),""))&lt;&gt;"",IF(ISNUMBER(SEARCH("Party Name:-",'R.M Billets Reports'!D2524)),TRIM('R.M Billets Reports'!F2524),IF(ISNUMBER(SEARCH("Party Name-",'R.M Billets Reports'!D2524)),TRIM(MID('R.M Billets Reports'!D2524,SEARCH("-",'R.M Billets Reports'!D2524)+1,200)),"")),IF(ISNUMBER(SEARCH("Party Name:-",'R.M Billets Reports'!D2525)),TRIM('R.M Billets Reports'!F2525),IF(ISNUMBER(SEARCH("Party Name-",'R.M Billets Reports'!D2525)),TRIM(MID('R.M Billets Reports'!D2525,SEARCH("-",'R.M Billets Reports'!D2525)+1,200)),"")))="VRKP ISPAT PVT LTD","VRKP",IF(IF(IF(ISNUMBER(SEARCH("Party Name:-",'R.M Billets Reports'!D2524)),TRIM('R.M Billets Reports'!F2524),IF(ISNUMBER(SEARCH("Party Name-",'R.M Billets Reports'!D2524)),TRIM(MID('R.M Billets Reports'!D2524,SEARCH("-",'R.M Billets Reports'!D2524)+1,200)),""))&lt;&gt;"",IF(ISNUMBER(SEARCH("Party Name:-",'R.M Billets Reports'!D2524)),TRIM('R.M Billets Reports'!F2524),IF(ISNUMBER(SEARCH("Party Name-",'R.M Billets Reports'!D2524)),TRIM(MID('R.M Billets Reports'!D2524,SEARCH("-",'R.M Billets Reports'!D2524)+1,200)),"")),IF(ISNUMBER(SEARCH("Party Name:-",'R.M Billets Reports'!D2525)),TRIM('R.M Billets Reports'!F2525),IF(ISNUMBER(SEARCH("Party Name-",'R.M Billets Reports'!D2525)),TRIM(MID('R.M Billets Reports'!D2525,SEARCH("-",'R.M Billets Reports'!D2525)+1,200)),"")))="SHRI RADHE","SHREE RADHE",IF(IF(IF(ISNUMBER(SEARCH("Party Name:-",'R.M Billets Reports'!D2524)),TRIM('R.M Billets Reports'!F2524),IF(ISNUMBER(SEARCH("Party Name-",'R.M Billets Reports'!D2524)),TRIM(MID('R.M Billets Reports'!D2524,SEARCH("-",'R.M Billets Reports'!D2524)+1,200)),""))&lt;&gt;"",IF(ISNUMBER(SEARCH("Party Name:-",'R.M Billets Reports'!D2524)),TRIM('R.M Billets Reports'!F2524),IF(ISNUMBER(SEARCH("Party Name-",'R.M Billets Reports'!D2524)),TRIM(MID('R.M Billets Reports'!D2524,SEARCH("-",'R.M Billets Reports'!D2524)+1,200)),"")),IF(ISNUMBER(SEARCH("Party Name:-",'R.M Billets Reports'!D2525)),TRIM('R.M Billets Reports'!F2525),IF(ISNUMBER(SEARCH("Party Name-",'R.M Billets Reports'!D2525)),TRIM(MID('R.M Billets Reports'!D2525,SEARCH("-",'R.M Billets Reports'!D2525)+1,200)),"")))="SHREE RADHE SHAKTI SPONGE AND POWER PVT. LTD.","SHREE RADHE",IF(IF(ISNUMBER(SEARCH("Party Name:-",'R.M Billets Reports'!D2524)),TRIM('R.M Billets Reports'!F2524),IF(ISNUMBER(SEARCH("Party Name-",'R.M Billets Reports'!D2524)),TRIM(MID('R.M Billets Reports'!D2524,SEARCH("-",'R.M Billets Reports'!D2524)+1,200)),""))&lt;&gt;"",IF(ISNUMBER(SEARCH("Party Name:-",'R.M Billets Reports'!D2524)),TRIM('R.M Billets Reports'!F2524),IF(ISNUMBER(SEARCH("Party Name-",'R.M Billets Reports'!D2524)),TRIM(MID('R.M Billets Reports'!D2524,SEARCH("-",'R.M Billets Reports'!D2524)+1,200)),"")),IF(ISNUMBER(SEARCH("Party Name:-",'R.M Billets Reports'!D2525)),TRIM('R.M Billets Reports'!F2525),IF(ISNUMBER(SEARCH("Party Name-",'R.M Billets Reports'!D2525)),TRIM(MID('R.M Billets Reports'!D2525,SEARCH("-",'R.M Billets Reports'!D2525)+1,200)),"")))))),IF(ROW()=2,"",A2524))</f>
      </c>
      <c r="B2525">
        <f>IF(OR('R.M Billets Reports'!A2524="Date-",'R.M Billets Reports'!A2524="Date:-"),'R.M Billets Reports'!B2524,IF(ROW()=2,"",B2524))</f>
      </c>
      <c r="C2525">
        <f>IF('R.M Billets Reports'!A2524="V.No.",'R.M Billets Reports'!B2524,IF(ROW()=2,"",C2524))</f>
      </c>
      <c r="D2525">
        <f>IF('R.M Billets Reports'!A2524&lt;&gt;"",'R.M Billets Reports'!A2524,IF(ROW()=2,"",D2524))</f>
      </c>
      <c r="E2525">
        <f>IF('R.M Billets Reports'!B2524="","",TRIM('R.M Billets Reports'!B2524))</f>
      </c>
      <c r="F2525">
        <f>'R.M Billets Reports'!C2524</f>
      </c>
      <c r="G2525">
        <f>'R.M Billets Reports'!D2524</f>
      </c>
      <c r="H2525">
        <f>'R.M Billets Reports'!E2524</f>
      </c>
      <c r="I2525">
        <f>'R.M Billets Reports'!F2524</f>
      </c>
      <c r="J2525">
        <f>'R.M Billets Reports'!G2524</f>
      </c>
      <c r="K2525">
        <f>'R.M Billets Reports'!H2524</f>
      </c>
      <c r="L2525">
        <f>IF('R.M Billets Reports'!I2524="","",'R.M Billets Reports'!I2524)</f>
      </c>
      <c r="M2525">
        <f t="shared" si="78"/>
      </c>
      <c r="N2525">
        <f>IF('R.M Billets Reports'!J2524="","",'R.M Billets Reports'!J2524)</f>
      </c>
      <c r="O2525">
        <f t="shared" si="79"/>
      </c>
      <c r="P2525">
        <f>IF('R.M Billets Reports'!A2524="SIZE",'R.M Billets Reports'!B2524,P2524)</f>
      </c>
    </row>
    <row r="2526" spans="1:16" x14ac:dyDescent="0.25">
      <c r="A2526">
        <f>IF(OR('R.M Billets Reports'!A2525="Date-",'R.M Billets Reports'!A2525="Date:-"),IF(IF(IF(ISNUMBER(SEARCH("Party Name:-",'R.M Billets Reports'!D2525)),TRIM('R.M Billets Reports'!F2525),IF(ISNUMBER(SEARCH("Party Name-",'R.M Billets Reports'!D2525)),TRIM(MID('R.M Billets Reports'!D2525,SEARCH("-",'R.M Billets Reports'!D2525)+1,200)),""))&lt;&gt;"",IF(ISNUMBER(SEARCH("Party Name:-",'R.M Billets Reports'!D2525)),TRIM('R.M Billets Reports'!F2525),IF(ISNUMBER(SEARCH("Party Name-",'R.M Billets Reports'!D2525)),TRIM(MID('R.M Billets Reports'!D2525,SEARCH("-",'R.M Billets Reports'!D2525)+1,200)),"")),IF(ISNUMBER(SEARCH("Party Name:-",'R.M Billets Reports'!D2526)),TRIM('R.M Billets Reports'!F2526),IF(ISNUMBER(SEARCH("Party Name-",'R.M Billets Reports'!D2526)),TRIM(MID('R.M Billets Reports'!D2526,SEARCH("-",'R.M Billets Reports'!D2526)+1,200)),"")))="VRKP ISPAT PVT LTD","VRKP",IF(IF(IF(ISNUMBER(SEARCH("Party Name:-",'R.M Billets Reports'!D2525)),TRIM('R.M Billets Reports'!F2525),IF(ISNUMBER(SEARCH("Party Name-",'R.M Billets Reports'!D2525)),TRIM(MID('R.M Billets Reports'!D2525,SEARCH("-",'R.M Billets Reports'!D2525)+1,200)),""))&lt;&gt;"",IF(ISNUMBER(SEARCH("Party Name:-",'R.M Billets Reports'!D2525)),TRIM('R.M Billets Reports'!F2525),IF(ISNUMBER(SEARCH("Party Name-",'R.M Billets Reports'!D2525)),TRIM(MID('R.M Billets Reports'!D2525,SEARCH("-",'R.M Billets Reports'!D2525)+1,200)),"")),IF(ISNUMBER(SEARCH("Party Name:-",'R.M Billets Reports'!D2526)),TRIM('R.M Billets Reports'!F2526),IF(ISNUMBER(SEARCH("Party Name-",'R.M Billets Reports'!D2526)),TRIM(MID('R.M Billets Reports'!D2526,SEARCH("-",'R.M Billets Reports'!D2526)+1,200)),"")))="SHRI RADHE","SHREE RADHE",IF(IF(IF(ISNUMBER(SEARCH("Party Name:-",'R.M Billets Reports'!D2525)),TRIM('R.M Billets Reports'!F2525),IF(ISNUMBER(SEARCH("Party Name-",'R.M Billets Reports'!D2525)),TRIM(MID('R.M Billets Reports'!D2525,SEARCH("-",'R.M Billets Reports'!D2525)+1,200)),""))&lt;&gt;"",IF(ISNUMBER(SEARCH("Party Name:-",'R.M Billets Reports'!D2525)),TRIM('R.M Billets Reports'!F2525),IF(ISNUMBER(SEARCH("Party Name-",'R.M Billets Reports'!D2525)),TRIM(MID('R.M Billets Reports'!D2525,SEARCH("-",'R.M Billets Reports'!D2525)+1,200)),"")),IF(ISNUMBER(SEARCH("Party Name:-",'R.M Billets Reports'!D2526)),TRIM('R.M Billets Reports'!F2526),IF(ISNUMBER(SEARCH("Party Name-",'R.M Billets Reports'!D2526)),TRIM(MID('R.M Billets Reports'!D2526,SEARCH("-",'R.M Billets Reports'!D2526)+1,200)),"")))="SHREE RADHE SHAKTI SPONGE AND POWER PVT. LTD.","SHREE RADHE",IF(IF(ISNUMBER(SEARCH("Party Name:-",'R.M Billets Reports'!D2525)),TRIM('R.M Billets Reports'!F2525),IF(ISNUMBER(SEARCH("Party Name-",'R.M Billets Reports'!D2525)),TRIM(MID('R.M Billets Reports'!D2525,SEARCH("-",'R.M Billets Reports'!D2525)+1,200)),""))&lt;&gt;"",IF(ISNUMBER(SEARCH("Party Name:-",'R.M Billets Reports'!D2525)),TRIM('R.M Billets Reports'!F2525),IF(ISNUMBER(SEARCH("Party Name-",'R.M Billets Reports'!D2525)),TRIM(MID('R.M Billets Reports'!D2525,SEARCH("-",'R.M Billets Reports'!D2525)+1,200)),"")),IF(ISNUMBER(SEARCH("Party Name:-",'R.M Billets Reports'!D2526)),TRIM('R.M Billets Reports'!F2526),IF(ISNUMBER(SEARCH("Party Name-",'R.M Billets Reports'!D2526)),TRIM(MID('R.M Billets Reports'!D2526,SEARCH("-",'R.M Billets Reports'!D2526)+1,200)),"")))))),IF(ROW()=2,"",A2525))</f>
      </c>
      <c r="B2526">
        <f>IF(OR('R.M Billets Reports'!A2525="Date-",'R.M Billets Reports'!A2525="Date:-"),'R.M Billets Reports'!B2525,IF(ROW()=2,"",B2525))</f>
      </c>
      <c r="C2526">
        <f>IF('R.M Billets Reports'!A2525="V.No.",'R.M Billets Reports'!B2525,IF(ROW()=2,"",C2525))</f>
      </c>
      <c r="D2526">
        <f>IF('R.M Billets Reports'!A2525&lt;&gt;"",'R.M Billets Reports'!A2525,IF(ROW()=2,"",D2525))</f>
      </c>
      <c r="E2526">
        <f>IF('R.M Billets Reports'!B2525="","",TRIM('R.M Billets Reports'!B2525))</f>
      </c>
      <c r="F2526">
        <f>'R.M Billets Reports'!C2525</f>
      </c>
      <c r="G2526">
        <f>'R.M Billets Reports'!D2525</f>
      </c>
      <c r="H2526">
        <f>'R.M Billets Reports'!E2525</f>
      </c>
      <c r="I2526">
        <f>'R.M Billets Reports'!F2525</f>
      </c>
      <c r="J2526">
        <f>'R.M Billets Reports'!G2525</f>
      </c>
      <c r="K2526">
        <f>'R.M Billets Reports'!H2525</f>
      </c>
      <c r="L2526">
        <f>IF('R.M Billets Reports'!I2525="","",'R.M Billets Reports'!I2525)</f>
      </c>
      <c r="M2526">
        <f t="shared" si="78"/>
      </c>
      <c r="N2526">
        <f>IF('R.M Billets Reports'!J2525="","",'R.M Billets Reports'!J2525)</f>
      </c>
      <c r="O2526">
        <f t="shared" si="79"/>
      </c>
      <c r="P2526">
        <f>IF('R.M Billets Reports'!A2525="SIZE",'R.M Billets Reports'!B2525,P2525)</f>
      </c>
    </row>
    <row r="2527" spans="1:16" x14ac:dyDescent="0.25">
      <c r="A2527">
        <f>IF(OR('R.M Billets Reports'!A2526="Date-",'R.M Billets Reports'!A2526="Date:-"),IF(IF(IF(ISNUMBER(SEARCH("Party Name:-",'R.M Billets Reports'!D2526)),TRIM('R.M Billets Reports'!F2526),IF(ISNUMBER(SEARCH("Party Name-",'R.M Billets Reports'!D2526)),TRIM(MID('R.M Billets Reports'!D2526,SEARCH("-",'R.M Billets Reports'!D2526)+1,200)),""))&lt;&gt;"",IF(ISNUMBER(SEARCH("Party Name:-",'R.M Billets Reports'!D2526)),TRIM('R.M Billets Reports'!F2526),IF(ISNUMBER(SEARCH("Party Name-",'R.M Billets Reports'!D2526)),TRIM(MID('R.M Billets Reports'!D2526,SEARCH("-",'R.M Billets Reports'!D2526)+1,200)),"")),IF(ISNUMBER(SEARCH("Party Name:-",'R.M Billets Reports'!D2527)),TRIM('R.M Billets Reports'!F2527),IF(ISNUMBER(SEARCH("Party Name-",'R.M Billets Reports'!D2527)),TRIM(MID('R.M Billets Reports'!D2527,SEARCH("-",'R.M Billets Reports'!D2527)+1,200)),"")))="VRKP ISPAT PVT LTD","VRKP",IF(IF(IF(ISNUMBER(SEARCH("Party Name:-",'R.M Billets Reports'!D2526)),TRIM('R.M Billets Reports'!F2526),IF(ISNUMBER(SEARCH("Party Name-",'R.M Billets Reports'!D2526)),TRIM(MID('R.M Billets Reports'!D2526,SEARCH("-",'R.M Billets Reports'!D2526)+1,200)),""))&lt;&gt;"",IF(ISNUMBER(SEARCH("Party Name:-",'R.M Billets Reports'!D2526)),TRIM('R.M Billets Reports'!F2526),IF(ISNUMBER(SEARCH("Party Name-",'R.M Billets Reports'!D2526)),TRIM(MID('R.M Billets Reports'!D2526,SEARCH("-",'R.M Billets Reports'!D2526)+1,200)),"")),IF(ISNUMBER(SEARCH("Party Name:-",'R.M Billets Reports'!D2527)),TRIM('R.M Billets Reports'!F2527),IF(ISNUMBER(SEARCH("Party Name-",'R.M Billets Reports'!D2527)),TRIM(MID('R.M Billets Reports'!D2527,SEARCH("-",'R.M Billets Reports'!D2527)+1,200)),"")))="SHRI RADHE","SHREE RADHE",IF(IF(IF(ISNUMBER(SEARCH("Party Name:-",'R.M Billets Reports'!D2526)),TRIM('R.M Billets Reports'!F2526),IF(ISNUMBER(SEARCH("Party Name-",'R.M Billets Reports'!D2526)),TRIM(MID('R.M Billets Reports'!D2526,SEARCH("-",'R.M Billets Reports'!D2526)+1,200)),""))&lt;&gt;"",IF(ISNUMBER(SEARCH("Party Name:-",'R.M Billets Reports'!D2526)),TRIM('R.M Billets Reports'!F2526),IF(ISNUMBER(SEARCH("Party Name-",'R.M Billets Reports'!D2526)),TRIM(MID('R.M Billets Reports'!D2526,SEARCH("-",'R.M Billets Reports'!D2526)+1,200)),"")),IF(ISNUMBER(SEARCH("Party Name:-",'R.M Billets Reports'!D2527)),TRIM('R.M Billets Reports'!F2527),IF(ISNUMBER(SEARCH("Party Name-",'R.M Billets Reports'!D2527)),TRIM(MID('R.M Billets Reports'!D2527,SEARCH("-",'R.M Billets Reports'!D2527)+1,200)),"")))="SHREE RADHE SHAKTI SPONGE AND POWER PVT. LTD.","SHREE RADHE",IF(IF(ISNUMBER(SEARCH("Party Name:-",'R.M Billets Reports'!D2526)),TRIM('R.M Billets Reports'!F2526),IF(ISNUMBER(SEARCH("Party Name-",'R.M Billets Reports'!D2526)),TRIM(MID('R.M Billets Reports'!D2526,SEARCH("-",'R.M Billets Reports'!D2526)+1,200)),""))&lt;&gt;"",IF(ISNUMBER(SEARCH("Party Name:-",'R.M Billets Reports'!D2526)),TRIM('R.M Billets Reports'!F2526),IF(ISNUMBER(SEARCH("Party Name-",'R.M Billets Reports'!D2526)),TRIM(MID('R.M Billets Reports'!D2526,SEARCH("-",'R.M Billets Reports'!D2526)+1,200)),"")),IF(ISNUMBER(SEARCH("Party Name:-",'R.M Billets Reports'!D2527)),TRIM('R.M Billets Reports'!F2527),IF(ISNUMBER(SEARCH("Party Name-",'R.M Billets Reports'!D2527)),TRIM(MID('R.M Billets Reports'!D2527,SEARCH("-",'R.M Billets Reports'!D2527)+1,200)),"")))))),IF(ROW()=2,"",A2526))</f>
      </c>
      <c r="B2527">
        <f>IF(OR('R.M Billets Reports'!A2526="Date-",'R.M Billets Reports'!A2526="Date:-"),'R.M Billets Reports'!B2526,IF(ROW()=2,"",B2526))</f>
      </c>
      <c r="C2527">
        <f>IF('R.M Billets Reports'!A2526="V.No.",'R.M Billets Reports'!B2526,IF(ROW()=2,"",C2526))</f>
      </c>
      <c r="D2527">
        <f>IF('R.M Billets Reports'!A2526&lt;&gt;"",'R.M Billets Reports'!A2526,IF(ROW()=2,"",D2526))</f>
      </c>
      <c r="E2527">
        <f>IF('R.M Billets Reports'!B2526="","",TRIM('R.M Billets Reports'!B2526))</f>
      </c>
      <c r="F2527">
        <f>'R.M Billets Reports'!C2526</f>
      </c>
      <c r="G2527">
        <f>'R.M Billets Reports'!D2526</f>
      </c>
      <c r="H2527">
        <f>'R.M Billets Reports'!E2526</f>
      </c>
      <c r="I2527">
        <f>'R.M Billets Reports'!F2526</f>
      </c>
      <c r="J2527">
        <f>'R.M Billets Reports'!G2526</f>
      </c>
      <c r="K2527">
        <f>'R.M Billets Reports'!H2526</f>
      </c>
      <c r="L2527">
        <f>IF('R.M Billets Reports'!I2526="","",'R.M Billets Reports'!I2526)</f>
      </c>
      <c r="M2527">
        <f t="shared" si="78"/>
      </c>
      <c r="N2527">
        <f>IF('R.M Billets Reports'!J2526="","",'R.M Billets Reports'!J2526)</f>
      </c>
      <c r="O2527">
        <f t="shared" si="79"/>
      </c>
      <c r="P2527">
        <f>IF('R.M Billets Reports'!A2526="SIZE",'R.M Billets Reports'!B2526,P2526)</f>
      </c>
    </row>
    <row r="2528" spans="1:16" x14ac:dyDescent="0.25">
      <c r="A2528">
        <f>IF(OR('R.M Billets Reports'!A2527="Date-",'R.M Billets Reports'!A2527="Date:-"),IF(IF(IF(ISNUMBER(SEARCH("Party Name:-",'R.M Billets Reports'!D2527)),TRIM('R.M Billets Reports'!F2527),IF(ISNUMBER(SEARCH("Party Name-",'R.M Billets Reports'!D2527)),TRIM(MID('R.M Billets Reports'!D2527,SEARCH("-",'R.M Billets Reports'!D2527)+1,200)),""))&lt;&gt;"",IF(ISNUMBER(SEARCH("Party Name:-",'R.M Billets Reports'!D2527)),TRIM('R.M Billets Reports'!F2527),IF(ISNUMBER(SEARCH("Party Name-",'R.M Billets Reports'!D2527)),TRIM(MID('R.M Billets Reports'!D2527,SEARCH("-",'R.M Billets Reports'!D2527)+1,200)),"")),IF(ISNUMBER(SEARCH("Party Name:-",'R.M Billets Reports'!D2528)),TRIM('R.M Billets Reports'!F2528),IF(ISNUMBER(SEARCH("Party Name-",'R.M Billets Reports'!D2528)),TRIM(MID('R.M Billets Reports'!D2528,SEARCH("-",'R.M Billets Reports'!D2528)+1,200)),"")))="VRKP ISPAT PVT LTD","VRKP",IF(IF(IF(ISNUMBER(SEARCH("Party Name:-",'R.M Billets Reports'!D2527)),TRIM('R.M Billets Reports'!F2527),IF(ISNUMBER(SEARCH("Party Name-",'R.M Billets Reports'!D2527)),TRIM(MID('R.M Billets Reports'!D2527,SEARCH("-",'R.M Billets Reports'!D2527)+1,200)),""))&lt;&gt;"",IF(ISNUMBER(SEARCH("Party Name:-",'R.M Billets Reports'!D2527)),TRIM('R.M Billets Reports'!F2527),IF(ISNUMBER(SEARCH("Party Name-",'R.M Billets Reports'!D2527)),TRIM(MID('R.M Billets Reports'!D2527,SEARCH("-",'R.M Billets Reports'!D2527)+1,200)),"")),IF(ISNUMBER(SEARCH("Party Name:-",'R.M Billets Reports'!D2528)),TRIM('R.M Billets Reports'!F2528),IF(ISNUMBER(SEARCH("Party Name-",'R.M Billets Reports'!D2528)),TRIM(MID('R.M Billets Reports'!D2528,SEARCH("-",'R.M Billets Reports'!D2528)+1,200)),"")))="SHRI RADHE","SHREE RADHE",IF(IF(IF(ISNUMBER(SEARCH("Party Name:-",'R.M Billets Reports'!D2527)),TRIM('R.M Billets Reports'!F2527),IF(ISNUMBER(SEARCH("Party Name-",'R.M Billets Reports'!D2527)),TRIM(MID('R.M Billets Reports'!D2527,SEARCH("-",'R.M Billets Reports'!D2527)+1,200)),""))&lt;&gt;"",IF(ISNUMBER(SEARCH("Party Name:-",'R.M Billets Reports'!D2527)),TRIM('R.M Billets Reports'!F2527),IF(ISNUMBER(SEARCH("Party Name-",'R.M Billets Reports'!D2527)),TRIM(MID('R.M Billets Reports'!D2527,SEARCH("-",'R.M Billets Reports'!D2527)+1,200)),"")),IF(ISNUMBER(SEARCH("Party Name:-",'R.M Billets Reports'!D2528)),TRIM('R.M Billets Reports'!F2528),IF(ISNUMBER(SEARCH("Party Name-",'R.M Billets Reports'!D2528)),TRIM(MID('R.M Billets Reports'!D2528,SEARCH("-",'R.M Billets Reports'!D2528)+1,200)),"")))="SHREE RADHE SHAKTI SPONGE AND POWER PVT. LTD.","SHREE RADHE",IF(IF(ISNUMBER(SEARCH("Party Name:-",'R.M Billets Reports'!D2527)),TRIM('R.M Billets Reports'!F2527),IF(ISNUMBER(SEARCH("Party Name-",'R.M Billets Reports'!D2527)),TRIM(MID('R.M Billets Reports'!D2527,SEARCH("-",'R.M Billets Reports'!D2527)+1,200)),""))&lt;&gt;"",IF(ISNUMBER(SEARCH("Party Name:-",'R.M Billets Reports'!D2527)),TRIM('R.M Billets Reports'!F2527),IF(ISNUMBER(SEARCH("Party Name-",'R.M Billets Reports'!D2527)),TRIM(MID('R.M Billets Reports'!D2527,SEARCH("-",'R.M Billets Reports'!D2527)+1,200)),"")),IF(ISNUMBER(SEARCH("Party Name:-",'R.M Billets Reports'!D2528)),TRIM('R.M Billets Reports'!F2528),IF(ISNUMBER(SEARCH("Party Name-",'R.M Billets Reports'!D2528)),TRIM(MID('R.M Billets Reports'!D2528,SEARCH("-",'R.M Billets Reports'!D2528)+1,200)),"")))))),IF(ROW()=2,"",A2527))</f>
      </c>
      <c r="B2528">
        <f>IF(OR('R.M Billets Reports'!A2527="Date-",'R.M Billets Reports'!A2527="Date:-"),'R.M Billets Reports'!B2527,IF(ROW()=2,"",B2527))</f>
      </c>
      <c r="C2528">
        <f>IF('R.M Billets Reports'!A2527="V.No.",'R.M Billets Reports'!B2527,IF(ROW()=2,"",C2527))</f>
      </c>
      <c r="D2528">
        <f>IF('R.M Billets Reports'!A2527&lt;&gt;"",'R.M Billets Reports'!A2527,IF(ROW()=2,"",D2527))</f>
      </c>
      <c r="E2528">
        <f>IF('R.M Billets Reports'!B2527="","",TRIM('R.M Billets Reports'!B2527))</f>
      </c>
      <c r="F2528">
        <f>'R.M Billets Reports'!C2527</f>
      </c>
      <c r="G2528">
        <f>'R.M Billets Reports'!D2527</f>
      </c>
      <c r="H2528">
        <f>'R.M Billets Reports'!E2527</f>
      </c>
      <c r="I2528">
        <f>'R.M Billets Reports'!F2527</f>
      </c>
      <c r="J2528">
        <f>'R.M Billets Reports'!G2527</f>
      </c>
      <c r="K2528">
        <f>'R.M Billets Reports'!H2527</f>
      </c>
      <c r="L2528">
        <f>IF('R.M Billets Reports'!I2527="","",'R.M Billets Reports'!I2527)</f>
      </c>
      <c r="M2528">
        <f t="shared" si="78"/>
      </c>
      <c r="N2528">
        <f>IF('R.M Billets Reports'!J2527="","",'R.M Billets Reports'!J2527)</f>
      </c>
      <c r="O2528">
        <f t="shared" si="79"/>
      </c>
      <c r="P2528">
        <f>IF('R.M Billets Reports'!A2527="SIZE",'R.M Billets Reports'!B2527,P2527)</f>
      </c>
    </row>
    <row r="2529" spans="1:16" x14ac:dyDescent="0.25">
      <c r="A2529">
        <f>IF(OR('R.M Billets Reports'!A2528="Date-",'R.M Billets Reports'!A2528="Date:-"),IF(IF(IF(ISNUMBER(SEARCH("Party Name:-",'R.M Billets Reports'!D2528)),TRIM('R.M Billets Reports'!F2528),IF(ISNUMBER(SEARCH("Party Name-",'R.M Billets Reports'!D2528)),TRIM(MID('R.M Billets Reports'!D2528,SEARCH("-",'R.M Billets Reports'!D2528)+1,200)),""))&lt;&gt;"",IF(ISNUMBER(SEARCH("Party Name:-",'R.M Billets Reports'!D2528)),TRIM('R.M Billets Reports'!F2528),IF(ISNUMBER(SEARCH("Party Name-",'R.M Billets Reports'!D2528)),TRIM(MID('R.M Billets Reports'!D2528,SEARCH("-",'R.M Billets Reports'!D2528)+1,200)),"")),IF(ISNUMBER(SEARCH("Party Name:-",'R.M Billets Reports'!D2529)),TRIM('R.M Billets Reports'!F2529),IF(ISNUMBER(SEARCH("Party Name-",'R.M Billets Reports'!D2529)),TRIM(MID('R.M Billets Reports'!D2529,SEARCH("-",'R.M Billets Reports'!D2529)+1,200)),"")))="VRKP ISPAT PVT LTD","VRKP",IF(IF(IF(ISNUMBER(SEARCH("Party Name:-",'R.M Billets Reports'!D2528)),TRIM('R.M Billets Reports'!F2528),IF(ISNUMBER(SEARCH("Party Name-",'R.M Billets Reports'!D2528)),TRIM(MID('R.M Billets Reports'!D2528,SEARCH("-",'R.M Billets Reports'!D2528)+1,200)),""))&lt;&gt;"",IF(ISNUMBER(SEARCH("Party Name:-",'R.M Billets Reports'!D2528)),TRIM('R.M Billets Reports'!F2528),IF(ISNUMBER(SEARCH("Party Name-",'R.M Billets Reports'!D2528)),TRIM(MID('R.M Billets Reports'!D2528,SEARCH("-",'R.M Billets Reports'!D2528)+1,200)),"")),IF(ISNUMBER(SEARCH("Party Name:-",'R.M Billets Reports'!D2529)),TRIM('R.M Billets Reports'!F2529),IF(ISNUMBER(SEARCH("Party Name-",'R.M Billets Reports'!D2529)),TRIM(MID('R.M Billets Reports'!D2529,SEARCH("-",'R.M Billets Reports'!D2529)+1,200)),"")))="SHRI RADHE","SHREE RADHE",IF(IF(IF(ISNUMBER(SEARCH("Party Name:-",'R.M Billets Reports'!D2528)),TRIM('R.M Billets Reports'!F2528),IF(ISNUMBER(SEARCH("Party Name-",'R.M Billets Reports'!D2528)),TRIM(MID('R.M Billets Reports'!D2528,SEARCH("-",'R.M Billets Reports'!D2528)+1,200)),""))&lt;&gt;"",IF(ISNUMBER(SEARCH("Party Name:-",'R.M Billets Reports'!D2528)),TRIM('R.M Billets Reports'!F2528),IF(ISNUMBER(SEARCH("Party Name-",'R.M Billets Reports'!D2528)),TRIM(MID('R.M Billets Reports'!D2528,SEARCH("-",'R.M Billets Reports'!D2528)+1,200)),"")),IF(ISNUMBER(SEARCH("Party Name:-",'R.M Billets Reports'!D2529)),TRIM('R.M Billets Reports'!F2529),IF(ISNUMBER(SEARCH("Party Name-",'R.M Billets Reports'!D2529)),TRIM(MID('R.M Billets Reports'!D2529,SEARCH("-",'R.M Billets Reports'!D2529)+1,200)),"")))="SHREE RADHE SHAKTI SPONGE AND POWER PVT. LTD.","SHREE RADHE",IF(IF(ISNUMBER(SEARCH("Party Name:-",'R.M Billets Reports'!D2528)),TRIM('R.M Billets Reports'!F2528),IF(ISNUMBER(SEARCH("Party Name-",'R.M Billets Reports'!D2528)),TRIM(MID('R.M Billets Reports'!D2528,SEARCH("-",'R.M Billets Reports'!D2528)+1,200)),""))&lt;&gt;"",IF(ISNUMBER(SEARCH("Party Name:-",'R.M Billets Reports'!D2528)),TRIM('R.M Billets Reports'!F2528),IF(ISNUMBER(SEARCH("Party Name-",'R.M Billets Reports'!D2528)),TRIM(MID('R.M Billets Reports'!D2528,SEARCH("-",'R.M Billets Reports'!D2528)+1,200)),"")),IF(ISNUMBER(SEARCH("Party Name:-",'R.M Billets Reports'!D2529)),TRIM('R.M Billets Reports'!F2529),IF(ISNUMBER(SEARCH("Party Name-",'R.M Billets Reports'!D2529)),TRIM(MID('R.M Billets Reports'!D2529,SEARCH("-",'R.M Billets Reports'!D2529)+1,200)),"")))))),IF(ROW()=2,"",A2528))</f>
      </c>
      <c r="B2529">
        <f>IF(OR('R.M Billets Reports'!A2528="Date-",'R.M Billets Reports'!A2528="Date:-"),'R.M Billets Reports'!B2528,IF(ROW()=2,"",B2528))</f>
      </c>
      <c r="C2529">
        <f>IF('R.M Billets Reports'!A2528="V.No.",'R.M Billets Reports'!B2528,IF(ROW()=2,"",C2528))</f>
      </c>
      <c r="D2529">
        <f>IF('R.M Billets Reports'!A2528&lt;&gt;"",'R.M Billets Reports'!A2528,IF(ROW()=2,"",D2528))</f>
      </c>
      <c r="E2529">
        <f>IF('R.M Billets Reports'!B2528="","",TRIM('R.M Billets Reports'!B2528))</f>
      </c>
      <c r="F2529">
        <f>'R.M Billets Reports'!C2528</f>
      </c>
      <c r="G2529">
        <f>'R.M Billets Reports'!D2528</f>
      </c>
      <c r="H2529">
        <f>'R.M Billets Reports'!E2528</f>
      </c>
      <c r="I2529">
        <f>'R.M Billets Reports'!F2528</f>
      </c>
      <c r="J2529">
        <f>'R.M Billets Reports'!G2528</f>
      </c>
      <c r="K2529">
        <f>'R.M Billets Reports'!H2528</f>
      </c>
      <c r="L2529">
        <f>IF('R.M Billets Reports'!I2528="","",'R.M Billets Reports'!I2528)</f>
      </c>
      <c r="M2529">
        <f t="shared" si="78"/>
      </c>
      <c r="N2529">
        <f>IF('R.M Billets Reports'!J2528="","",'R.M Billets Reports'!J2528)</f>
      </c>
      <c r="O2529">
        <f t="shared" si="79"/>
      </c>
      <c r="P2529">
        <f>IF('R.M Billets Reports'!A2528="SIZE",'R.M Billets Reports'!B2528,P2528)</f>
      </c>
    </row>
    <row r="2530" spans="1:16" x14ac:dyDescent="0.25">
      <c r="A2530">
        <f>IF(OR('R.M Billets Reports'!A2529="Date-",'R.M Billets Reports'!A2529="Date:-"),IF(IF(IF(ISNUMBER(SEARCH("Party Name:-",'R.M Billets Reports'!D2529)),TRIM('R.M Billets Reports'!F2529),IF(ISNUMBER(SEARCH("Party Name-",'R.M Billets Reports'!D2529)),TRIM(MID('R.M Billets Reports'!D2529,SEARCH("-",'R.M Billets Reports'!D2529)+1,200)),""))&lt;&gt;"",IF(ISNUMBER(SEARCH("Party Name:-",'R.M Billets Reports'!D2529)),TRIM('R.M Billets Reports'!F2529),IF(ISNUMBER(SEARCH("Party Name-",'R.M Billets Reports'!D2529)),TRIM(MID('R.M Billets Reports'!D2529,SEARCH("-",'R.M Billets Reports'!D2529)+1,200)),"")),IF(ISNUMBER(SEARCH("Party Name:-",'R.M Billets Reports'!D2530)),TRIM('R.M Billets Reports'!F2530),IF(ISNUMBER(SEARCH("Party Name-",'R.M Billets Reports'!D2530)),TRIM(MID('R.M Billets Reports'!D2530,SEARCH("-",'R.M Billets Reports'!D2530)+1,200)),"")))="VRKP ISPAT PVT LTD","VRKP",IF(IF(IF(ISNUMBER(SEARCH("Party Name:-",'R.M Billets Reports'!D2529)),TRIM('R.M Billets Reports'!F2529),IF(ISNUMBER(SEARCH("Party Name-",'R.M Billets Reports'!D2529)),TRIM(MID('R.M Billets Reports'!D2529,SEARCH("-",'R.M Billets Reports'!D2529)+1,200)),""))&lt;&gt;"",IF(ISNUMBER(SEARCH("Party Name:-",'R.M Billets Reports'!D2529)),TRIM('R.M Billets Reports'!F2529),IF(ISNUMBER(SEARCH("Party Name-",'R.M Billets Reports'!D2529)),TRIM(MID('R.M Billets Reports'!D2529,SEARCH("-",'R.M Billets Reports'!D2529)+1,200)),"")),IF(ISNUMBER(SEARCH("Party Name:-",'R.M Billets Reports'!D2530)),TRIM('R.M Billets Reports'!F2530),IF(ISNUMBER(SEARCH("Party Name-",'R.M Billets Reports'!D2530)),TRIM(MID('R.M Billets Reports'!D2530,SEARCH("-",'R.M Billets Reports'!D2530)+1,200)),"")))="SHRI RADHE","SHREE RADHE",IF(IF(IF(ISNUMBER(SEARCH("Party Name:-",'R.M Billets Reports'!D2529)),TRIM('R.M Billets Reports'!F2529),IF(ISNUMBER(SEARCH("Party Name-",'R.M Billets Reports'!D2529)),TRIM(MID('R.M Billets Reports'!D2529,SEARCH("-",'R.M Billets Reports'!D2529)+1,200)),""))&lt;&gt;"",IF(ISNUMBER(SEARCH("Party Name:-",'R.M Billets Reports'!D2529)),TRIM('R.M Billets Reports'!F2529),IF(ISNUMBER(SEARCH("Party Name-",'R.M Billets Reports'!D2529)),TRIM(MID('R.M Billets Reports'!D2529,SEARCH("-",'R.M Billets Reports'!D2529)+1,200)),"")),IF(ISNUMBER(SEARCH("Party Name:-",'R.M Billets Reports'!D2530)),TRIM('R.M Billets Reports'!F2530),IF(ISNUMBER(SEARCH("Party Name-",'R.M Billets Reports'!D2530)),TRIM(MID('R.M Billets Reports'!D2530,SEARCH("-",'R.M Billets Reports'!D2530)+1,200)),"")))="SHREE RADHE SHAKTI SPONGE AND POWER PVT. LTD.","SHREE RADHE",IF(IF(ISNUMBER(SEARCH("Party Name:-",'R.M Billets Reports'!D2529)),TRIM('R.M Billets Reports'!F2529),IF(ISNUMBER(SEARCH("Party Name-",'R.M Billets Reports'!D2529)),TRIM(MID('R.M Billets Reports'!D2529,SEARCH("-",'R.M Billets Reports'!D2529)+1,200)),""))&lt;&gt;"",IF(ISNUMBER(SEARCH("Party Name:-",'R.M Billets Reports'!D2529)),TRIM('R.M Billets Reports'!F2529),IF(ISNUMBER(SEARCH("Party Name-",'R.M Billets Reports'!D2529)),TRIM(MID('R.M Billets Reports'!D2529,SEARCH("-",'R.M Billets Reports'!D2529)+1,200)),"")),IF(ISNUMBER(SEARCH("Party Name:-",'R.M Billets Reports'!D2530)),TRIM('R.M Billets Reports'!F2530),IF(ISNUMBER(SEARCH("Party Name-",'R.M Billets Reports'!D2530)),TRIM(MID('R.M Billets Reports'!D2530,SEARCH("-",'R.M Billets Reports'!D2530)+1,200)),"")))))),IF(ROW()=2,"",A2529))</f>
      </c>
      <c r="B2530">
        <f>IF(OR('R.M Billets Reports'!A2529="Date-",'R.M Billets Reports'!A2529="Date:-"),'R.M Billets Reports'!B2529,IF(ROW()=2,"",B2529))</f>
      </c>
      <c r="C2530">
        <f>IF('R.M Billets Reports'!A2529="V.No.",'R.M Billets Reports'!B2529,IF(ROW()=2,"",C2529))</f>
      </c>
      <c r="D2530">
        <f>IF('R.M Billets Reports'!A2529&lt;&gt;"",'R.M Billets Reports'!A2529,IF(ROW()=2,"",D2529))</f>
      </c>
      <c r="E2530">
        <f>IF('R.M Billets Reports'!B2529="","",TRIM('R.M Billets Reports'!B2529))</f>
      </c>
      <c r="F2530">
        <f>'R.M Billets Reports'!C2529</f>
      </c>
      <c r="G2530">
        <f>'R.M Billets Reports'!D2529</f>
      </c>
      <c r="H2530">
        <f>'R.M Billets Reports'!E2529</f>
      </c>
      <c r="I2530">
        <f>'R.M Billets Reports'!F2529</f>
      </c>
      <c r="J2530">
        <f>'R.M Billets Reports'!G2529</f>
      </c>
      <c r="K2530">
        <f>'R.M Billets Reports'!H2529</f>
      </c>
      <c r="L2530">
        <f>IF('R.M Billets Reports'!I2529="","",'R.M Billets Reports'!I2529)</f>
      </c>
      <c r="M2530">
        <f t="shared" si="78"/>
      </c>
      <c r="N2530">
        <f>IF('R.M Billets Reports'!J2529="","",'R.M Billets Reports'!J2529)</f>
      </c>
      <c r="O2530">
        <f t="shared" si="79"/>
      </c>
      <c r="P2530">
        <f>IF('R.M Billets Reports'!A2529="SIZE",'R.M Billets Reports'!B2529,P2529)</f>
      </c>
    </row>
    <row r="2531" spans="1:16" x14ac:dyDescent="0.25">
      <c r="A2531">
        <f>IF(OR('R.M Billets Reports'!A2530="Date-",'R.M Billets Reports'!A2530="Date:-"),IF(IF(IF(ISNUMBER(SEARCH("Party Name:-",'R.M Billets Reports'!D2530)),TRIM('R.M Billets Reports'!F2530),IF(ISNUMBER(SEARCH("Party Name-",'R.M Billets Reports'!D2530)),TRIM(MID('R.M Billets Reports'!D2530,SEARCH("-",'R.M Billets Reports'!D2530)+1,200)),""))&lt;&gt;"",IF(ISNUMBER(SEARCH("Party Name:-",'R.M Billets Reports'!D2530)),TRIM('R.M Billets Reports'!F2530),IF(ISNUMBER(SEARCH("Party Name-",'R.M Billets Reports'!D2530)),TRIM(MID('R.M Billets Reports'!D2530,SEARCH("-",'R.M Billets Reports'!D2530)+1,200)),"")),IF(ISNUMBER(SEARCH("Party Name:-",'R.M Billets Reports'!D2531)),TRIM('R.M Billets Reports'!F2531),IF(ISNUMBER(SEARCH("Party Name-",'R.M Billets Reports'!D2531)),TRIM(MID('R.M Billets Reports'!D2531,SEARCH("-",'R.M Billets Reports'!D2531)+1,200)),"")))="VRKP ISPAT PVT LTD","VRKP",IF(IF(IF(ISNUMBER(SEARCH("Party Name:-",'R.M Billets Reports'!D2530)),TRIM('R.M Billets Reports'!F2530),IF(ISNUMBER(SEARCH("Party Name-",'R.M Billets Reports'!D2530)),TRIM(MID('R.M Billets Reports'!D2530,SEARCH("-",'R.M Billets Reports'!D2530)+1,200)),""))&lt;&gt;"",IF(ISNUMBER(SEARCH("Party Name:-",'R.M Billets Reports'!D2530)),TRIM('R.M Billets Reports'!F2530),IF(ISNUMBER(SEARCH("Party Name-",'R.M Billets Reports'!D2530)),TRIM(MID('R.M Billets Reports'!D2530,SEARCH("-",'R.M Billets Reports'!D2530)+1,200)),"")),IF(ISNUMBER(SEARCH("Party Name:-",'R.M Billets Reports'!D2531)),TRIM('R.M Billets Reports'!F2531),IF(ISNUMBER(SEARCH("Party Name-",'R.M Billets Reports'!D2531)),TRIM(MID('R.M Billets Reports'!D2531,SEARCH("-",'R.M Billets Reports'!D2531)+1,200)),"")))="SHRI RADHE","SHREE RADHE",IF(IF(IF(ISNUMBER(SEARCH("Party Name:-",'R.M Billets Reports'!D2530)),TRIM('R.M Billets Reports'!F2530),IF(ISNUMBER(SEARCH("Party Name-",'R.M Billets Reports'!D2530)),TRIM(MID('R.M Billets Reports'!D2530,SEARCH("-",'R.M Billets Reports'!D2530)+1,200)),""))&lt;&gt;"",IF(ISNUMBER(SEARCH("Party Name:-",'R.M Billets Reports'!D2530)),TRIM('R.M Billets Reports'!F2530),IF(ISNUMBER(SEARCH("Party Name-",'R.M Billets Reports'!D2530)),TRIM(MID('R.M Billets Reports'!D2530,SEARCH("-",'R.M Billets Reports'!D2530)+1,200)),"")),IF(ISNUMBER(SEARCH("Party Name:-",'R.M Billets Reports'!D2531)),TRIM('R.M Billets Reports'!F2531),IF(ISNUMBER(SEARCH("Party Name-",'R.M Billets Reports'!D2531)),TRIM(MID('R.M Billets Reports'!D2531,SEARCH("-",'R.M Billets Reports'!D2531)+1,200)),"")))="SHREE RADHE SHAKTI SPONGE AND POWER PVT. LTD.","SHREE RADHE",IF(IF(ISNUMBER(SEARCH("Party Name:-",'R.M Billets Reports'!D2530)),TRIM('R.M Billets Reports'!F2530),IF(ISNUMBER(SEARCH("Party Name-",'R.M Billets Reports'!D2530)),TRIM(MID('R.M Billets Reports'!D2530,SEARCH("-",'R.M Billets Reports'!D2530)+1,200)),""))&lt;&gt;"",IF(ISNUMBER(SEARCH("Party Name:-",'R.M Billets Reports'!D2530)),TRIM('R.M Billets Reports'!F2530),IF(ISNUMBER(SEARCH("Party Name-",'R.M Billets Reports'!D2530)),TRIM(MID('R.M Billets Reports'!D2530,SEARCH("-",'R.M Billets Reports'!D2530)+1,200)),"")),IF(ISNUMBER(SEARCH("Party Name:-",'R.M Billets Reports'!D2531)),TRIM('R.M Billets Reports'!F2531),IF(ISNUMBER(SEARCH("Party Name-",'R.M Billets Reports'!D2531)),TRIM(MID('R.M Billets Reports'!D2531,SEARCH("-",'R.M Billets Reports'!D2531)+1,200)),"")))))),IF(ROW()=2,"",A2530))</f>
      </c>
      <c r="B2531">
        <f>IF(OR('R.M Billets Reports'!A2530="Date-",'R.M Billets Reports'!A2530="Date:-"),'R.M Billets Reports'!B2530,IF(ROW()=2,"",B2530))</f>
      </c>
      <c r="C2531">
        <f>IF('R.M Billets Reports'!A2530="V.No.",'R.M Billets Reports'!B2530,IF(ROW()=2,"",C2530))</f>
      </c>
      <c r="D2531">
        <f>IF('R.M Billets Reports'!A2530&lt;&gt;"",'R.M Billets Reports'!A2530,IF(ROW()=2,"",D2530))</f>
      </c>
      <c r="E2531">
        <f>IF('R.M Billets Reports'!B2530="","",TRIM('R.M Billets Reports'!B2530))</f>
      </c>
      <c r="F2531">
        <f>'R.M Billets Reports'!C2530</f>
      </c>
      <c r="G2531">
        <f>'R.M Billets Reports'!D2530</f>
      </c>
      <c r="H2531">
        <f>'R.M Billets Reports'!E2530</f>
      </c>
      <c r="I2531">
        <f>'R.M Billets Reports'!F2530</f>
      </c>
      <c r="J2531">
        <f>'R.M Billets Reports'!G2530</f>
      </c>
      <c r="K2531">
        <f>'R.M Billets Reports'!H2530</f>
      </c>
      <c r="L2531">
        <f>IF('R.M Billets Reports'!I2530="","",'R.M Billets Reports'!I2530)</f>
      </c>
      <c r="M2531">
        <f t="shared" si="78"/>
      </c>
      <c r="N2531">
        <f>IF('R.M Billets Reports'!J2530="","",'R.M Billets Reports'!J2530)</f>
      </c>
      <c r="O2531">
        <f t="shared" si="79"/>
      </c>
      <c r="P2531">
        <f>IF('R.M Billets Reports'!A2530="SIZE",'R.M Billets Reports'!B2530,P2530)</f>
      </c>
    </row>
    <row r="2532" spans="1:16" x14ac:dyDescent="0.25">
      <c r="A2532">
        <f>IF(OR('R.M Billets Reports'!A2531="Date-",'R.M Billets Reports'!A2531="Date:-"),IF(IF(IF(ISNUMBER(SEARCH("Party Name:-",'R.M Billets Reports'!D2531)),TRIM('R.M Billets Reports'!F2531),IF(ISNUMBER(SEARCH("Party Name-",'R.M Billets Reports'!D2531)),TRIM(MID('R.M Billets Reports'!D2531,SEARCH("-",'R.M Billets Reports'!D2531)+1,200)),""))&lt;&gt;"",IF(ISNUMBER(SEARCH("Party Name:-",'R.M Billets Reports'!D2531)),TRIM('R.M Billets Reports'!F2531),IF(ISNUMBER(SEARCH("Party Name-",'R.M Billets Reports'!D2531)),TRIM(MID('R.M Billets Reports'!D2531,SEARCH("-",'R.M Billets Reports'!D2531)+1,200)),"")),IF(ISNUMBER(SEARCH("Party Name:-",'R.M Billets Reports'!D2532)),TRIM('R.M Billets Reports'!F2532),IF(ISNUMBER(SEARCH("Party Name-",'R.M Billets Reports'!D2532)),TRIM(MID('R.M Billets Reports'!D2532,SEARCH("-",'R.M Billets Reports'!D2532)+1,200)),"")))="VRKP ISPAT PVT LTD","VRKP",IF(IF(IF(ISNUMBER(SEARCH("Party Name:-",'R.M Billets Reports'!D2531)),TRIM('R.M Billets Reports'!F2531),IF(ISNUMBER(SEARCH("Party Name-",'R.M Billets Reports'!D2531)),TRIM(MID('R.M Billets Reports'!D2531,SEARCH("-",'R.M Billets Reports'!D2531)+1,200)),""))&lt;&gt;"",IF(ISNUMBER(SEARCH("Party Name:-",'R.M Billets Reports'!D2531)),TRIM('R.M Billets Reports'!F2531),IF(ISNUMBER(SEARCH("Party Name-",'R.M Billets Reports'!D2531)),TRIM(MID('R.M Billets Reports'!D2531,SEARCH("-",'R.M Billets Reports'!D2531)+1,200)),"")),IF(ISNUMBER(SEARCH("Party Name:-",'R.M Billets Reports'!D2532)),TRIM('R.M Billets Reports'!F2532),IF(ISNUMBER(SEARCH("Party Name-",'R.M Billets Reports'!D2532)),TRIM(MID('R.M Billets Reports'!D2532,SEARCH("-",'R.M Billets Reports'!D2532)+1,200)),"")))="SHRI RADHE","SHREE RADHE",IF(IF(IF(ISNUMBER(SEARCH("Party Name:-",'R.M Billets Reports'!D2531)),TRIM('R.M Billets Reports'!F2531),IF(ISNUMBER(SEARCH("Party Name-",'R.M Billets Reports'!D2531)),TRIM(MID('R.M Billets Reports'!D2531,SEARCH("-",'R.M Billets Reports'!D2531)+1,200)),""))&lt;&gt;"",IF(ISNUMBER(SEARCH("Party Name:-",'R.M Billets Reports'!D2531)),TRIM('R.M Billets Reports'!F2531),IF(ISNUMBER(SEARCH("Party Name-",'R.M Billets Reports'!D2531)),TRIM(MID('R.M Billets Reports'!D2531,SEARCH("-",'R.M Billets Reports'!D2531)+1,200)),"")),IF(ISNUMBER(SEARCH("Party Name:-",'R.M Billets Reports'!D2532)),TRIM('R.M Billets Reports'!F2532),IF(ISNUMBER(SEARCH("Party Name-",'R.M Billets Reports'!D2532)),TRIM(MID('R.M Billets Reports'!D2532,SEARCH("-",'R.M Billets Reports'!D2532)+1,200)),"")))="SHREE RADHE SHAKTI SPONGE AND POWER PVT. LTD.","SHREE RADHE",IF(IF(ISNUMBER(SEARCH("Party Name:-",'R.M Billets Reports'!D2531)),TRIM('R.M Billets Reports'!F2531),IF(ISNUMBER(SEARCH("Party Name-",'R.M Billets Reports'!D2531)),TRIM(MID('R.M Billets Reports'!D2531,SEARCH("-",'R.M Billets Reports'!D2531)+1,200)),""))&lt;&gt;"",IF(ISNUMBER(SEARCH("Party Name:-",'R.M Billets Reports'!D2531)),TRIM('R.M Billets Reports'!F2531),IF(ISNUMBER(SEARCH("Party Name-",'R.M Billets Reports'!D2531)),TRIM(MID('R.M Billets Reports'!D2531,SEARCH("-",'R.M Billets Reports'!D2531)+1,200)),"")),IF(ISNUMBER(SEARCH("Party Name:-",'R.M Billets Reports'!D2532)),TRIM('R.M Billets Reports'!F2532),IF(ISNUMBER(SEARCH("Party Name-",'R.M Billets Reports'!D2532)),TRIM(MID('R.M Billets Reports'!D2532,SEARCH("-",'R.M Billets Reports'!D2532)+1,200)),"")))))),IF(ROW()=2,"",A2531))</f>
      </c>
      <c r="B2532">
        <f>IF(OR('R.M Billets Reports'!A2531="Date-",'R.M Billets Reports'!A2531="Date:-"),'R.M Billets Reports'!B2531,IF(ROW()=2,"",B2531))</f>
      </c>
      <c r="C2532">
        <f>IF('R.M Billets Reports'!A2531="V.No.",'R.M Billets Reports'!B2531,IF(ROW()=2,"",C2531))</f>
      </c>
      <c r="D2532">
        <f>IF('R.M Billets Reports'!A2531&lt;&gt;"",'R.M Billets Reports'!A2531,IF(ROW()=2,"",D2531))</f>
      </c>
      <c r="E2532">
        <f>IF('R.M Billets Reports'!B2531="","",TRIM('R.M Billets Reports'!B2531))</f>
      </c>
      <c r="F2532">
        <f>'R.M Billets Reports'!C2531</f>
      </c>
      <c r="G2532">
        <f>'R.M Billets Reports'!D2531</f>
      </c>
      <c r="H2532">
        <f>'R.M Billets Reports'!E2531</f>
      </c>
      <c r="I2532">
        <f>'R.M Billets Reports'!F2531</f>
      </c>
      <c r="J2532">
        <f>'R.M Billets Reports'!G2531</f>
      </c>
      <c r="K2532">
        <f>'R.M Billets Reports'!H2531</f>
      </c>
      <c r="L2532">
        <f>IF('R.M Billets Reports'!I2531="","",'R.M Billets Reports'!I2531)</f>
      </c>
      <c r="M2532">
        <f t="shared" si="78"/>
      </c>
      <c r="N2532">
        <f>IF('R.M Billets Reports'!J2531="","",'R.M Billets Reports'!J2531)</f>
      </c>
      <c r="O2532">
        <f t="shared" si="79"/>
      </c>
      <c r="P2532">
        <f>IF('R.M Billets Reports'!A2531="SIZE",'R.M Billets Reports'!B2531,P2531)</f>
      </c>
    </row>
    <row r="2533" spans="1:16" x14ac:dyDescent="0.25">
      <c r="A2533">
        <f>IF(OR('R.M Billets Reports'!A2532="Date-",'R.M Billets Reports'!A2532="Date:-"),IF(IF(IF(ISNUMBER(SEARCH("Party Name:-",'R.M Billets Reports'!D2532)),TRIM('R.M Billets Reports'!F2532),IF(ISNUMBER(SEARCH("Party Name-",'R.M Billets Reports'!D2532)),TRIM(MID('R.M Billets Reports'!D2532,SEARCH("-",'R.M Billets Reports'!D2532)+1,200)),""))&lt;&gt;"",IF(ISNUMBER(SEARCH("Party Name:-",'R.M Billets Reports'!D2532)),TRIM('R.M Billets Reports'!F2532),IF(ISNUMBER(SEARCH("Party Name-",'R.M Billets Reports'!D2532)),TRIM(MID('R.M Billets Reports'!D2532,SEARCH("-",'R.M Billets Reports'!D2532)+1,200)),"")),IF(ISNUMBER(SEARCH("Party Name:-",'R.M Billets Reports'!D2533)),TRIM('R.M Billets Reports'!F2533),IF(ISNUMBER(SEARCH("Party Name-",'R.M Billets Reports'!D2533)),TRIM(MID('R.M Billets Reports'!D2533,SEARCH("-",'R.M Billets Reports'!D2533)+1,200)),"")))="VRKP ISPAT PVT LTD","VRKP",IF(IF(IF(ISNUMBER(SEARCH("Party Name:-",'R.M Billets Reports'!D2532)),TRIM('R.M Billets Reports'!F2532),IF(ISNUMBER(SEARCH("Party Name-",'R.M Billets Reports'!D2532)),TRIM(MID('R.M Billets Reports'!D2532,SEARCH("-",'R.M Billets Reports'!D2532)+1,200)),""))&lt;&gt;"",IF(ISNUMBER(SEARCH("Party Name:-",'R.M Billets Reports'!D2532)),TRIM('R.M Billets Reports'!F2532),IF(ISNUMBER(SEARCH("Party Name-",'R.M Billets Reports'!D2532)),TRIM(MID('R.M Billets Reports'!D2532,SEARCH("-",'R.M Billets Reports'!D2532)+1,200)),"")),IF(ISNUMBER(SEARCH("Party Name:-",'R.M Billets Reports'!D2533)),TRIM('R.M Billets Reports'!F2533),IF(ISNUMBER(SEARCH("Party Name-",'R.M Billets Reports'!D2533)),TRIM(MID('R.M Billets Reports'!D2533,SEARCH("-",'R.M Billets Reports'!D2533)+1,200)),"")))="SHRI RADHE","SHREE RADHE",IF(IF(IF(ISNUMBER(SEARCH("Party Name:-",'R.M Billets Reports'!D2532)),TRIM('R.M Billets Reports'!F2532),IF(ISNUMBER(SEARCH("Party Name-",'R.M Billets Reports'!D2532)),TRIM(MID('R.M Billets Reports'!D2532,SEARCH("-",'R.M Billets Reports'!D2532)+1,200)),""))&lt;&gt;"",IF(ISNUMBER(SEARCH("Party Name:-",'R.M Billets Reports'!D2532)),TRIM('R.M Billets Reports'!F2532),IF(ISNUMBER(SEARCH("Party Name-",'R.M Billets Reports'!D2532)),TRIM(MID('R.M Billets Reports'!D2532,SEARCH("-",'R.M Billets Reports'!D2532)+1,200)),"")),IF(ISNUMBER(SEARCH("Party Name:-",'R.M Billets Reports'!D2533)),TRIM('R.M Billets Reports'!F2533),IF(ISNUMBER(SEARCH("Party Name-",'R.M Billets Reports'!D2533)),TRIM(MID('R.M Billets Reports'!D2533,SEARCH("-",'R.M Billets Reports'!D2533)+1,200)),"")))="SHREE RADHE SHAKTI SPONGE AND POWER PVT. LTD.","SHREE RADHE",IF(IF(ISNUMBER(SEARCH("Party Name:-",'R.M Billets Reports'!D2532)),TRIM('R.M Billets Reports'!F2532),IF(ISNUMBER(SEARCH("Party Name-",'R.M Billets Reports'!D2532)),TRIM(MID('R.M Billets Reports'!D2532,SEARCH("-",'R.M Billets Reports'!D2532)+1,200)),""))&lt;&gt;"",IF(ISNUMBER(SEARCH("Party Name:-",'R.M Billets Reports'!D2532)),TRIM('R.M Billets Reports'!F2532),IF(ISNUMBER(SEARCH("Party Name-",'R.M Billets Reports'!D2532)),TRIM(MID('R.M Billets Reports'!D2532,SEARCH("-",'R.M Billets Reports'!D2532)+1,200)),"")),IF(ISNUMBER(SEARCH("Party Name:-",'R.M Billets Reports'!D2533)),TRIM('R.M Billets Reports'!F2533),IF(ISNUMBER(SEARCH("Party Name-",'R.M Billets Reports'!D2533)),TRIM(MID('R.M Billets Reports'!D2533,SEARCH("-",'R.M Billets Reports'!D2533)+1,200)),"")))))),IF(ROW()=2,"",A2532))</f>
      </c>
      <c r="B2533">
        <f>IF(OR('R.M Billets Reports'!A2532="Date-",'R.M Billets Reports'!A2532="Date:-"),'R.M Billets Reports'!B2532,IF(ROW()=2,"",B2532))</f>
      </c>
      <c r="C2533">
        <f>IF('R.M Billets Reports'!A2532="V.No.",'R.M Billets Reports'!B2532,IF(ROW()=2,"",C2532))</f>
      </c>
      <c r="D2533">
        <f>IF('R.M Billets Reports'!A2532&lt;&gt;"",'R.M Billets Reports'!A2532,IF(ROW()=2,"",D2532))</f>
      </c>
      <c r="E2533">
        <f>IF('R.M Billets Reports'!B2532="","",TRIM('R.M Billets Reports'!B2532))</f>
      </c>
      <c r="F2533">
        <f>'R.M Billets Reports'!C2532</f>
      </c>
      <c r="G2533">
        <f>'R.M Billets Reports'!D2532</f>
      </c>
      <c r="H2533">
        <f>'R.M Billets Reports'!E2532</f>
      </c>
      <c r="I2533">
        <f>'R.M Billets Reports'!F2532</f>
      </c>
      <c r="J2533">
        <f>'R.M Billets Reports'!G2532</f>
      </c>
      <c r="K2533">
        <f>'R.M Billets Reports'!H2532</f>
      </c>
      <c r="L2533">
        <f>IF('R.M Billets Reports'!I2532="","",'R.M Billets Reports'!I2532)</f>
      </c>
      <c r="M2533">
        <f t="shared" si="78"/>
      </c>
      <c r="N2533">
        <f>IF('R.M Billets Reports'!J2532="","",'R.M Billets Reports'!J2532)</f>
      </c>
      <c r="O2533">
        <f t="shared" si="79"/>
      </c>
      <c r="P2533">
        <f>IF('R.M Billets Reports'!A2532="SIZE",'R.M Billets Reports'!B2532,P2532)</f>
      </c>
    </row>
    <row r="2534" spans="1:16" x14ac:dyDescent="0.25">
      <c r="A2534">
        <f>IF(OR('R.M Billets Reports'!A2533="Date-",'R.M Billets Reports'!A2533="Date:-"),IF(IF(IF(ISNUMBER(SEARCH("Party Name:-",'R.M Billets Reports'!D2533)),TRIM('R.M Billets Reports'!F2533),IF(ISNUMBER(SEARCH("Party Name-",'R.M Billets Reports'!D2533)),TRIM(MID('R.M Billets Reports'!D2533,SEARCH("-",'R.M Billets Reports'!D2533)+1,200)),""))&lt;&gt;"",IF(ISNUMBER(SEARCH("Party Name:-",'R.M Billets Reports'!D2533)),TRIM('R.M Billets Reports'!F2533),IF(ISNUMBER(SEARCH("Party Name-",'R.M Billets Reports'!D2533)),TRIM(MID('R.M Billets Reports'!D2533,SEARCH("-",'R.M Billets Reports'!D2533)+1,200)),"")),IF(ISNUMBER(SEARCH("Party Name:-",'R.M Billets Reports'!D2534)),TRIM('R.M Billets Reports'!F2534),IF(ISNUMBER(SEARCH("Party Name-",'R.M Billets Reports'!D2534)),TRIM(MID('R.M Billets Reports'!D2534,SEARCH("-",'R.M Billets Reports'!D2534)+1,200)),"")))="VRKP ISPAT PVT LTD","VRKP",IF(IF(IF(ISNUMBER(SEARCH("Party Name:-",'R.M Billets Reports'!D2533)),TRIM('R.M Billets Reports'!F2533),IF(ISNUMBER(SEARCH("Party Name-",'R.M Billets Reports'!D2533)),TRIM(MID('R.M Billets Reports'!D2533,SEARCH("-",'R.M Billets Reports'!D2533)+1,200)),""))&lt;&gt;"",IF(ISNUMBER(SEARCH("Party Name:-",'R.M Billets Reports'!D2533)),TRIM('R.M Billets Reports'!F2533),IF(ISNUMBER(SEARCH("Party Name-",'R.M Billets Reports'!D2533)),TRIM(MID('R.M Billets Reports'!D2533,SEARCH("-",'R.M Billets Reports'!D2533)+1,200)),"")),IF(ISNUMBER(SEARCH("Party Name:-",'R.M Billets Reports'!D2534)),TRIM('R.M Billets Reports'!F2534),IF(ISNUMBER(SEARCH("Party Name-",'R.M Billets Reports'!D2534)),TRIM(MID('R.M Billets Reports'!D2534,SEARCH("-",'R.M Billets Reports'!D2534)+1,200)),"")))="SHRI RADHE","SHREE RADHE",IF(IF(IF(ISNUMBER(SEARCH("Party Name:-",'R.M Billets Reports'!D2533)),TRIM('R.M Billets Reports'!F2533),IF(ISNUMBER(SEARCH("Party Name-",'R.M Billets Reports'!D2533)),TRIM(MID('R.M Billets Reports'!D2533,SEARCH("-",'R.M Billets Reports'!D2533)+1,200)),""))&lt;&gt;"",IF(ISNUMBER(SEARCH("Party Name:-",'R.M Billets Reports'!D2533)),TRIM('R.M Billets Reports'!F2533),IF(ISNUMBER(SEARCH("Party Name-",'R.M Billets Reports'!D2533)),TRIM(MID('R.M Billets Reports'!D2533,SEARCH("-",'R.M Billets Reports'!D2533)+1,200)),"")),IF(ISNUMBER(SEARCH("Party Name:-",'R.M Billets Reports'!D2534)),TRIM('R.M Billets Reports'!F2534),IF(ISNUMBER(SEARCH("Party Name-",'R.M Billets Reports'!D2534)),TRIM(MID('R.M Billets Reports'!D2534,SEARCH("-",'R.M Billets Reports'!D2534)+1,200)),"")))="SHREE RADHE SHAKTI SPONGE AND POWER PVT. LTD.","SHREE RADHE",IF(IF(ISNUMBER(SEARCH("Party Name:-",'R.M Billets Reports'!D2533)),TRIM('R.M Billets Reports'!F2533),IF(ISNUMBER(SEARCH("Party Name-",'R.M Billets Reports'!D2533)),TRIM(MID('R.M Billets Reports'!D2533,SEARCH("-",'R.M Billets Reports'!D2533)+1,200)),""))&lt;&gt;"",IF(ISNUMBER(SEARCH("Party Name:-",'R.M Billets Reports'!D2533)),TRIM('R.M Billets Reports'!F2533),IF(ISNUMBER(SEARCH("Party Name-",'R.M Billets Reports'!D2533)),TRIM(MID('R.M Billets Reports'!D2533,SEARCH("-",'R.M Billets Reports'!D2533)+1,200)),"")),IF(ISNUMBER(SEARCH("Party Name:-",'R.M Billets Reports'!D2534)),TRIM('R.M Billets Reports'!F2534),IF(ISNUMBER(SEARCH("Party Name-",'R.M Billets Reports'!D2534)),TRIM(MID('R.M Billets Reports'!D2534,SEARCH("-",'R.M Billets Reports'!D2534)+1,200)),"")))))),IF(ROW()=2,"",A2533))</f>
      </c>
      <c r="B2534">
        <f>IF(OR('R.M Billets Reports'!A2533="Date-",'R.M Billets Reports'!A2533="Date:-"),'R.M Billets Reports'!B2533,IF(ROW()=2,"",B2533))</f>
      </c>
      <c r="C2534">
        <f>IF('R.M Billets Reports'!A2533="V.No.",'R.M Billets Reports'!B2533,IF(ROW()=2,"",C2533))</f>
      </c>
      <c r="D2534">
        <f>IF('R.M Billets Reports'!A2533&lt;&gt;"",'R.M Billets Reports'!A2533,IF(ROW()=2,"",D2533))</f>
      </c>
      <c r="E2534">
        <f>IF('R.M Billets Reports'!B2533="","",TRIM('R.M Billets Reports'!B2533))</f>
      </c>
      <c r="F2534">
        <f>'R.M Billets Reports'!C2533</f>
      </c>
      <c r="G2534">
        <f>'R.M Billets Reports'!D2533</f>
      </c>
      <c r="H2534">
        <f>'R.M Billets Reports'!E2533</f>
      </c>
      <c r="I2534">
        <f>'R.M Billets Reports'!F2533</f>
      </c>
      <c r="J2534">
        <f>'R.M Billets Reports'!G2533</f>
      </c>
      <c r="K2534">
        <f>'R.M Billets Reports'!H2533</f>
      </c>
      <c r="L2534">
        <f>IF('R.M Billets Reports'!I2533="","",'R.M Billets Reports'!I2533)</f>
      </c>
      <c r="M2534">
        <f t="shared" si="78"/>
      </c>
      <c r="N2534">
        <f>IF('R.M Billets Reports'!J2533="","",'R.M Billets Reports'!J2533)</f>
      </c>
      <c r="O2534">
        <f t="shared" si="79"/>
      </c>
      <c r="P2534">
        <f>IF('R.M Billets Reports'!A2533="SIZE",'R.M Billets Reports'!B2533,P2533)</f>
      </c>
    </row>
    <row r="2535" spans="1:16" x14ac:dyDescent="0.25">
      <c r="A2535">
        <f>IF(OR('R.M Billets Reports'!A2534="Date-",'R.M Billets Reports'!A2534="Date:-"),IF(IF(IF(ISNUMBER(SEARCH("Party Name:-",'R.M Billets Reports'!D2534)),TRIM('R.M Billets Reports'!F2534),IF(ISNUMBER(SEARCH("Party Name-",'R.M Billets Reports'!D2534)),TRIM(MID('R.M Billets Reports'!D2534,SEARCH("-",'R.M Billets Reports'!D2534)+1,200)),""))&lt;&gt;"",IF(ISNUMBER(SEARCH("Party Name:-",'R.M Billets Reports'!D2534)),TRIM('R.M Billets Reports'!F2534),IF(ISNUMBER(SEARCH("Party Name-",'R.M Billets Reports'!D2534)),TRIM(MID('R.M Billets Reports'!D2534,SEARCH("-",'R.M Billets Reports'!D2534)+1,200)),"")),IF(ISNUMBER(SEARCH("Party Name:-",'R.M Billets Reports'!D2535)),TRIM('R.M Billets Reports'!F2535),IF(ISNUMBER(SEARCH("Party Name-",'R.M Billets Reports'!D2535)),TRIM(MID('R.M Billets Reports'!D2535,SEARCH("-",'R.M Billets Reports'!D2535)+1,200)),"")))="VRKP ISPAT PVT LTD","VRKP",IF(IF(IF(ISNUMBER(SEARCH("Party Name:-",'R.M Billets Reports'!D2534)),TRIM('R.M Billets Reports'!F2534),IF(ISNUMBER(SEARCH("Party Name-",'R.M Billets Reports'!D2534)),TRIM(MID('R.M Billets Reports'!D2534,SEARCH("-",'R.M Billets Reports'!D2534)+1,200)),""))&lt;&gt;"",IF(ISNUMBER(SEARCH("Party Name:-",'R.M Billets Reports'!D2534)),TRIM('R.M Billets Reports'!F2534),IF(ISNUMBER(SEARCH("Party Name-",'R.M Billets Reports'!D2534)),TRIM(MID('R.M Billets Reports'!D2534,SEARCH("-",'R.M Billets Reports'!D2534)+1,200)),"")),IF(ISNUMBER(SEARCH("Party Name:-",'R.M Billets Reports'!D2535)),TRIM('R.M Billets Reports'!F2535),IF(ISNUMBER(SEARCH("Party Name-",'R.M Billets Reports'!D2535)),TRIM(MID('R.M Billets Reports'!D2535,SEARCH("-",'R.M Billets Reports'!D2535)+1,200)),"")))="SHRI RADHE","SHREE RADHE",IF(IF(IF(ISNUMBER(SEARCH("Party Name:-",'R.M Billets Reports'!D2534)),TRIM('R.M Billets Reports'!F2534),IF(ISNUMBER(SEARCH("Party Name-",'R.M Billets Reports'!D2534)),TRIM(MID('R.M Billets Reports'!D2534,SEARCH("-",'R.M Billets Reports'!D2534)+1,200)),""))&lt;&gt;"",IF(ISNUMBER(SEARCH("Party Name:-",'R.M Billets Reports'!D2534)),TRIM('R.M Billets Reports'!F2534),IF(ISNUMBER(SEARCH("Party Name-",'R.M Billets Reports'!D2534)),TRIM(MID('R.M Billets Reports'!D2534,SEARCH("-",'R.M Billets Reports'!D2534)+1,200)),"")),IF(ISNUMBER(SEARCH("Party Name:-",'R.M Billets Reports'!D2535)),TRIM('R.M Billets Reports'!F2535),IF(ISNUMBER(SEARCH("Party Name-",'R.M Billets Reports'!D2535)),TRIM(MID('R.M Billets Reports'!D2535,SEARCH("-",'R.M Billets Reports'!D2535)+1,200)),"")))="SHREE RADHE SHAKTI SPONGE AND POWER PVT. LTD.","SHREE RADHE",IF(IF(ISNUMBER(SEARCH("Party Name:-",'R.M Billets Reports'!D2534)),TRIM('R.M Billets Reports'!F2534),IF(ISNUMBER(SEARCH("Party Name-",'R.M Billets Reports'!D2534)),TRIM(MID('R.M Billets Reports'!D2534,SEARCH("-",'R.M Billets Reports'!D2534)+1,200)),""))&lt;&gt;"",IF(ISNUMBER(SEARCH("Party Name:-",'R.M Billets Reports'!D2534)),TRIM('R.M Billets Reports'!F2534),IF(ISNUMBER(SEARCH("Party Name-",'R.M Billets Reports'!D2534)),TRIM(MID('R.M Billets Reports'!D2534,SEARCH("-",'R.M Billets Reports'!D2534)+1,200)),"")),IF(ISNUMBER(SEARCH("Party Name:-",'R.M Billets Reports'!D2535)),TRIM('R.M Billets Reports'!F2535),IF(ISNUMBER(SEARCH("Party Name-",'R.M Billets Reports'!D2535)),TRIM(MID('R.M Billets Reports'!D2535,SEARCH("-",'R.M Billets Reports'!D2535)+1,200)),"")))))),IF(ROW()=2,"",A2534))</f>
      </c>
      <c r="B2535">
        <f>IF(OR('R.M Billets Reports'!A2534="Date-",'R.M Billets Reports'!A2534="Date:-"),'R.M Billets Reports'!B2534,IF(ROW()=2,"",B2534))</f>
      </c>
      <c r="C2535">
        <f>IF('R.M Billets Reports'!A2534="V.No.",'R.M Billets Reports'!B2534,IF(ROW()=2,"",C2534))</f>
      </c>
      <c r="D2535">
        <f>IF('R.M Billets Reports'!A2534&lt;&gt;"",'R.M Billets Reports'!A2534,IF(ROW()=2,"",D2534))</f>
      </c>
      <c r="E2535">
        <f>IF('R.M Billets Reports'!B2534="","",TRIM('R.M Billets Reports'!B2534))</f>
      </c>
      <c r="F2535">
        <f>'R.M Billets Reports'!C2534</f>
      </c>
      <c r="G2535">
        <f>'R.M Billets Reports'!D2534</f>
      </c>
      <c r="H2535">
        <f>'R.M Billets Reports'!E2534</f>
      </c>
      <c r="I2535">
        <f>'R.M Billets Reports'!F2534</f>
      </c>
      <c r="J2535">
        <f>'R.M Billets Reports'!G2534</f>
      </c>
      <c r="K2535">
        <f>'R.M Billets Reports'!H2534</f>
      </c>
      <c r="L2535">
        <f>IF('R.M Billets Reports'!I2534="","",'R.M Billets Reports'!I2534)</f>
      </c>
      <c r="M2535">
        <f t="shared" si="78"/>
      </c>
      <c r="N2535">
        <f>IF('R.M Billets Reports'!J2534="","",'R.M Billets Reports'!J2534)</f>
      </c>
      <c r="O2535">
        <f t="shared" si="79"/>
      </c>
      <c r="P2535">
        <f>IF('R.M Billets Reports'!A2534="SIZE",'R.M Billets Reports'!B2534,P2534)</f>
      </c>
    </row>
    <row r="2536" spans="1:16" x14ac:dyDescent="0.25">
      <c r="A2536">
        <f>IF(OR('R.M Billets Reports'!A2535="Date-",'R.M Billets Reports'!A2535="Date:-"),IF(IF(IF(ISNUMBER(SEARCH("Party Name:-",'R.M Billets Reports'!D2535)),TRIM('R.M Billets Reports'!F2535),IF(ISNUMBER(SEARCH("Party Name-",'R.M Billets Reports'!D2535)),TRIM(MID('R.M Billets Reports'!D2535,SEARCH("-",'R.M Billets Reports'!D2535)+1,200)),""))&lt;&gt;"",IF(ISNUMBER(SEARCH("Party Name:-",'R.M Billets Reports'!D2535)),TRIM('R.M Billets Reports'!F2535),IF(ISNUMBER(SEARCH("Party Name-",'R.M Billets Reports'!D2535)),TRIM(MID('R.M Billets Reports'!D2535,SEARCH("-",'R.M Billets Reports'!D2535)+1,200)),"")),IF(ISNUMBER(SEARCH("Party Name:-",'R.M Billets Reports'!D2536)),TRIM('R.M Billets Reports'!F2536),IF(ISNUMBER(SEARCH("Party Name-",'R.M Billets Reports'!D2536)),TRIM(MID('R.M Billets Reports'!D2536,SEARCH("-",'R.M Billets Reports'!D2536)+1,200)),"")))="VRKP ISPAT PVT LTD","VRKP",IF(IF(IF(ISNUMBER(SEARCH("Party Name:-",'R.M Billets Reports'!D2535)),TRIM('R.M Billets Reports'!F2535),IF(ISNUMBER(SEARCH("Party Name-",'R.M Billets Reports'!D2535)),TRIM(MID('R.M Billets Reports'!D2535,SEARCH("-",'R.M Billets Reports'!D2535)+1,200)),""))&lt;&gt;"",IF(ISNUMBER(SEARCH("Party Name:-",'R.M Billets Reports'!D2535)),TRIM('R.M Billets Reports'!F2535),IF(ISNUMBER(SEARCH("Party Name-",'R.M Billets Reports'!D2535)),TRIM(MID('R.M Billets Reports'!D2535,SEARCH("-",'R.M Billets Reports'!D2535)+1,200)),"")),IF(ISNUMBER(SEARCH("Party Name:-",'R.M Billets Reports'!D2536)),TRIM('R.M Billets Reports'!F2536),IF(ISNUMBER(SEARCH("Party Name-",'R.M Billets Reports'!D2536)),TRIM(MID('R.M Billets Reports'!D2536,SEARCH("-",'R.M Billets Reports'!D2536)+1,200)),"")))="SHRI RADHE","SHREE RADHE",IF(IF(IF(ISNUMBER(SEARCH("Party Name:-",'R.M Billets Reports'!D2535)),TRIM('R.M Billets Reports'!F2535),IF(ISNUMBER(SEARCH("Party Name-",'R.M Billets Reports'!D2535)),TRIM(MID('R.M Billets Reports'!D2535,SEARCH("-",'R.M Billets Reports'!D2535)+1,200)),""))&lt;&gt;"",IF(ISNUMBER(SEARCH("Party Name:-",'R.M Billets Reports'!D2535)),TRIM('R.M Billets Reports'!F2535),IF(ISNUMBER(SEARCH("Party Name-",'R.M Billets Reports'!D2535)),TRIM(MID('R.M Billets Reports'!D2535,SEARCH("-",'R.M Billets Reports'!D2535)+1,200)),"")),IF(ISNUMBER(SEARCH("Party Name:-",'R.M Billets Reports'!D2536)),TRIM('R.M Billets Reports'!F2536),IF(ISNUMBER(SEARCH("Party Name-",'R.M Billets Reports'!D2536)),TRIM(MID('R.M Billets Reports'!D2536,SEARCH("-",'R.M Billets Reports'!D2536)+1,200)),"")))="SHREE RADHE SHAKTI SPONGE AND POWER PVT. LTD.","SHREE RADHE",IF(IF(ISNUMBER(SEARCH("Party Name:-",'R.M Billets Reports'!D2535)),TRIM('R.M Billets Reports'!F2535),IF(ISNUMBER(SEARCH("Party Name-",'R.M Billets Reports'!D2535)),TRIM(MID('R.M Billets Reports'!D2535,SEARCH("-",'R.M Billets Reports'!D2535)+1,200)),""))&lt;&gt;"",IF(ISNUMBER(SEARCH("Party Name:-",'R.M Billets Reports'!D2535)),TRIM('R.M Billets Reports'!F2535),IF(ISNUMBER(SEARCH("Party Name-",'R.M Billets Reports'!D2535)),TRIM(MID('R.M Billets Reports'!D2535,SEARCH("-",'R.M Billets Reports'!D2535)+1,200)),"")),IF(ISNUMBER(SEARCH("Party Name:-",'R.M Billets Reports'!D2536)),TRIM('R.M Billets Reports'!F2536),IF(ISNUMBER(SEARCH("Party Name-",'R.M Billets Reports'!D2536)),TRIM(MID('R.M Billets Reports'!D2536,SEARCH("-",'R.M Billets Reports'!D2536)+1,200)),"")))))),IF(ROW()=2,"",A2535))</f>
      </c>
      <c r="B2536">
        <f>IF(OR('R.M Billets Reports'!A2535="Date-",'R.M Billets Reports'!A2535="Date:-"),'R.M Billets Reports'!B2535,IF(ROW()=2,"",B2535))</f>
      </c>
      <c r="C2536">
        <f>IF('R.M Billets Reports'!A2535="V.No.",'R.M Billets Reports'!B2535,IF(ROW()=2,"",C2535))</f>
      </c>
      <c r="D2536">
        <f>IF('R.M Billets Reports'!A2535&lt;&gt;"",'R.M Billets Reports'!A2535,IF(ROW()=2,"",D2535))</f>
      </c>
      <c r="E2536">
        <f>IF('R.M Billets Reports'!B2535="","",TRIM('R.M Billets Reports'!B2535))</f>
      </c>
      <c r="F2536">
        <f>'R.M Billets Reports'!C2535</f>
      </c>
      <c r="G2536">
        <f>'R.M Billets Reports'!D2535</f>
      </c>
      <c r="H2536">
        <f>'R.M Billets Reports'!E2535</f>
      </c>
      <c r="I2536">
        <f>'R.M Billets Reports'!F2535</f>
      </c>
      <c r="J2536">
        <f>'R.M Billets Reports'!G2535</f>
      </c>
      <c r="K2536">
        <f>'R.M Billets Reports'!H2535</f>
      </c>
      <c r="L2536">
        <f>IF('R.M Billets Reports'!I2535="","",'R.M Billets Reports'!I2535)</f>
      </c>
      <c r="M2536">
        <f t="shared" si="78"/>
      </c>
      <c r="N2536">
        <f>IF('R.M Billets Reports'!J2535="","",'R.M Billets Reports'!J2535)</f>
      </c>
      <c r="O2536">
        <f t="shared" si="79"/>
      </c>
      <c r="P2536">
        <f>IF('R.M Billets Reports'!A2535="SIZE",'R.M Billets Reports'!B2535,P2535)</f>
      </c>
    </row>
    <row r="2537" spans="1:16" x14ac:dyDescent="0.25">
      <c r="A2537">
        <f>IF(OR('R.M Billets Reports'!A2536="Date-",'R.M Billets Reports'!A2536="Date:-"),IF(IF(IF(ISNUMBER(SEARCH("Party Name:-",'R.M Billets Reports'!D2536)),TRIM('R.M Billets Reports'!F2536),IF(ISNUMBER(SEARCH("Party Name-",'R.M Billets Reports'!D2536)),TRIM(MID('R.M Billets Reports'!D2536,SEARCH("-",'R.M Billets Reports'!D2536)+1,200)),""))&lt;&gt;"",IF(ISNUMBER(SEARCH("Party Name:-",'R.M Billets Reports'!D2536)),TRIM('R.M Billets Reports'!F2536),IF(ISNUMBER(SEARCH("Party Name-",'R.M Billets Reports'!D2536)),TRIM(MID('R.M Billets Reports'!D2536,SEARCH("-",'R.M Billets Reports'!D2536)+1,200)),"")),IF(ISNUMBER(SEARCH("Party Name:-",'R.M Billets Reports'!D2537)),TRIM('R.M Billets Reports'!F2537),IF(ISNUMBER(SEARCH("Party Name-",'R.M Billets Reports'!D2537)),TRIM(MID('R.M Billets Reports'!D2537,SEARCH("-",'R.M Billets Reports'!D2537)+1,200)),"")))="VRKP ISPAT PVT LTD","VRKP",IF(IF(IF(ISNUMBER(SEARCH("Party Name:-",'R.M Billets Reports'!D2536)),TRIM('R.M Billets Reports'!F2536),IF(ISNUMBER(SEARCH("Party Name-",'R.M Billets Reports'!D2536)),TRIM(MID('R.M Billets Reports'!D2536,SEARCH("-",'R.M Billets Reports'!D2536)+1,200)),""))&lt;&gt;"",IF(ISNUMBER(SEARCH("Party Name:-",'R.M Billets Reports'!D2536)),TRIM('R.M Billets Reports'!F2536),IF(ISNUMBER(SEARCH("Party Name-",'R.M Billets Reports'!D2536)),TRIM(MID('R.M Billets Reports'!D2536,SEARCH("-",'R.M Billets Reports'!D2536)+1,200)),"")),IF(ISNUMBER(SEARCH("Party Name:-",'R.M Billets Reports'!D2537)),TRIM('R.M Billets Reports'!F2537),IF(ISNUMBER(SEARCH("Party Name-",'R.M Billets Reports'!D2537)),TRIM(MID('R.M Billets Reports'!D2537,SEARCH("-",'R.M Billets Reports'!D2537)+1,200)),"")))="SHRI RADHE","SHREE RADHE",IF(IF(IF(ISNUMBER(SEARCH("Party Name:-",'R.M Billets Reports'!D2536)),TRIM('R.M Billets Reports'!F2536),IF(ISNUMBER(SEARCH("Party Name-",'R.M Billets Reports'!D2536)),TRIM(MID('R.M Billets Reports'!D2536,SEARCH("-",'R.M Billets Reports'!D2536)+1,200)),""))&lt;&gt;"",IF(ISNUMBER(SEARCH("Party Name:-",'R.M Billets Reports'!D2536)),TRIM('R.M Billets Reports'!F2536),IF(ISNUMBER(SEARCH("Party Name-",'R.M Billets Reports'!D2536)),TRIM(MID('R.M Billets Reports'!D2536,SEARCH("-",'R.M Billets Reports'!D2536)+1,200)),"")),IF(ISNUMBER(SEARCH("Party Name:-",'R.M Billets Reports'!D2537)),TRIM('R.M Billets Reports'!F2537),IF(ISNUMBER(SEARCH("Party Name-",'R.M Billets Reports'!D2537)),TRIM(MID('R.M Billets Reports'!D2537,SEARCH("-",'R.M Billets Reports'!D2537)+1,200)),"")))="SHREE RADHE SHAKTI SPONGE AND POWER PVT. LTD.","SHREE RADHE",IF(IF(ISNUMBER(SEARCH("Party Name:-",'R.M Billets Reports'!D2536)),TRIM('R.M Billets Reports'!F2536),IF(ISNUMBER(SEARCH("Party Name-",'R.M Billets Reports'!D2536)),TRIM(MID('R.M Billets Reports'!D2536,SEARCH("-",'R.M Billets Reports'!D2536)+1,200)),""))&lt;&gt;"",IF(ISNUMBER(SEARCH("Party Name:-",'R.M Billets Reports'!D2536)),TRIM('R.M Billets Reports'!F2536),IF(ISNUMBER(SEARCH("Party Name-",'R.M Billets Reports'!D2536)),TRIM(MID('R.M Billets Reports'!D2536,SEARCH("-",'R.M Billets Reports'!D2536)+1,200)),"")),IF(ISNUMBER(SEARCH("Party Name:-",'R.M Billets Reports'!D2537)),TRIM('R.M Billets Reports'!F2537),IF(ISNUMBER(SEARCH("Party Name-",'R.M Billets Reports'!D2537)),TRIM(MID('R.M Billets Reports'!D2537,SEARCH("-",'R.M Billets Reports'!D2537)+1,200)),"")))))),IF(ROW()=2,"",A2536))</f>
      </c>
      <c r="B2537">
        <f>IF(OR('R.M Billets Reports'!A2536="Date-",'R.M Billets Reports'!A2536="Date:-"),'R.M Billets Reports'!B2536,IF(ROW()=2,"",B2536))</f>
      </c>
      <c r="C2537">
        <f>IF('R.M Billets Reports'!A2536="V.No.",'R.M Billets Reports'!B2536,IF(ROW()=2,"",C2536))</f>
      </c>
      <c r="D2537">
        <f>IF('R.M Billets Reports'!A2536&lt;&gt;"",'R.M Billets Reports'!A2536,IF(ROW()=2,"",D2536))</f>
      </c>
      <c r="E2537">
        <f>IF('R.M Billets Reports'!B2536="","",TRIM('R.M Billets Reports'!B2536))</f>
      </c>
      <c r="F2537">
        <f>'R.M Billets Reports'!C2536</f>
      </c>
      <c r="G2537">
        <f>'R.M Billets Reports'!D2536</f>
      </c>
      <c r="H2537">
        <f>'R.M Billets Reports'!E2536</f>
      </c>
      <c r="I2537">
        <f>'R.M Billets Reports'!F2536</f>
      </c>
      <c r="J2537">
        <f>'R.M Billets Reports'!G2536</f>
      </c>
      <c r="K2537">
        <f>'R.M Billets Reports'!H2536</f>
      </c>
      <c r="L2537">
        <f>IF('R.M Billets Reports'!I2536="","",'R.M Billets Reports'!I2536)</f>
      </c>
      <c r="M2537">
        <f t="shared" si="78"/>
      </c>
      <c r="N2537">
        <f>IF('R.M Billets Reports'!J2536="","",'R.M Billets Reports'!J2536)</f>
      </c>
      <c r="O2537">
        <f t="shared" si="79"/>
      </c>
      <c r="P2537">
        <f>IF('R.M Billets Reports'!A2536="SIZE",'R.M Billets Reports'!B2536,P2536)</f>
      </c>
    </row>
    <row r="2538" spans="1:16" x14ac:dyDescent="0.25">
      <c r="A2538">
        <f>IF(OR('R.M Billets Reports'!A2537="Date-",'R.M Billets Reports'!A2537="Date:-"),IF(IF(IF(ISNUMBER(SEARCH("Party Name:-",'R.M Billets Reports'!D2537)),TRIM('R.M Billets Reports'!F2537),IF(ISNUMBER(SEARCH("Party Name-",'R.M Billets Reports'!D2537)),TRIM(MID('R.M Billets Reports'!D2537,SEARCH("-",'R.M Billets Reports'!D2537)+1,200)),""))&lt;&gt;"",IF(ISNUMBER(SEARCH("Party Name:-",'R.M Billets Reports'!D2537)),TRIM('R.M Billets Reports'!F2537),IF(ISNUMBER(SEARCH("Party Name-",'R.M Billets Reports'!D2537)),TRIM(MID('R.M Billets Reports'!D2537,SEARCH("-",'R.M Billets Reports'!D2537)+1,200)),"")),IF(ISNUMBER(SEARCH("Party Name:-",'R.M Billets Reports'!D2538)),TRIM('R.M Billets Reports'!F2538),IF(ISNUMBER(SEARCH("Party Name-",'R.M Billets Reports'!D2538)),TRIM(MID('R.M Billets Reports'!D2538,SEARCH("-",'R.M Billets Reports'!D2538)+1,200)),"")))="VRKP ISPAT PVT LTD","VRKP",IF(IF(IF(ISNUMBER(SEARCH("Party Name:-",'R.M Billets Reports'!D2537)),TRIM('R.M Billets Reports'!F2537),IF(ISNUMBER(SEARCH("Party Name-",'R.M Billets Reports'!D2537)),TRIM(MID('R.M Billets Reports'!D2537,SEARCH("-",'R.M Billets Reports'!D2537)+1,200)),""))&lt;&gt;"",IF(ISNUMBER(SEARCH("Party Name:-",'R.M Billets Reports'!D2537)),TRIM('R.M Billets Reports'!F2537),IF(ISNUMBER(SEARCH("Party Name-",'R.M Billets Reports'!D2537)),TRIM(MID('R.M Billets Reports'!D2537,SEARCH("-",'R.M Billets Reports'!D2537)+1,200)),"")),IF(ISNUMBER(SEARCH("Party Name:-",'R.M Billets Reports'!D2538)),TRIM('R.M Billets Reports'!F2538),IF(ISNUMBER(SEARCH("Party Name-",'R.M Billets Reports'!D2538)),TRIM(MID('R.M Billets Reports'!D2538,SEARCH("-",'R.M Billets Reports'!D2538)+1,200)),"")))="SHRI RADHE","SHREE RADHE",IF(IF(IF(ISNUMBER(SEARCH("Party Name:-",'R.M Billets Reports'!D2537)),TRIM('R.M Billets Reports'!F2537),IF(ISNUMBER(SEARCH("Party Name-",'R.M Billets Reports'!D2537)),TRIM(MID('R.M Billets Reports'!D2537,SEARCH("-",'R.M Billets Reports'!D2537)+1,200)),""))&lt;&gt;"",IF(ISNUMBER(SEARCH("Party Name:-",'R.M Billets Reports'!D2537)),TRIM('R.M Billets Reports'!F2537),IF(ISNUMBER(SEARCH("Party Name-",'R.M Billets Reports'!D2537)),TRIM(MID('R.M Billets Reports'!D2537,SEARCH("-",'R.M Billets Reports'!D2537)+1,200)),"")),IF(ISNUMBER(SEARCH("Party Name:-",'R.M Billets Reports'!D2538)),TRIM('R.M Billets Reports'!F2538),IF(ISNUMBER(SEARCH("Party Name-",'R.M Billets Reports'!D2538)),TRIM(MID('R.M Billets Reports'!D2538,SEARCH("-",'R.M Billets Reports'!D2538)+1,200)),"")))="SHREE RADHE SHAKTI SPONGE AND POWER PVT. LTD.","SHREE RADHE",IF(IF(ISNUMBER(SEARCH("Party Name:-",'R.M Billets Reports'!D2537)),TRIM('R.M Billets Reports'!F2537),IF(ISNUMBER(SEARCH("Party Name-",'R.M Billets Reports'!D2537)),TRIM(MID('R.M Billets Reports'!D2537,SEARCH("-",'R.M Billets Reports'!D2537)+1,200)),""))&lt;&gt;"",IF(ISNUMBER(SEARCH("Party Name:-",'R.M Billets Reports'!D2537)),TRIM('R.M Billets Reports'!F2537),IF(ISNUMBER(SEARCH("Party Name-",'R.M Billets Reports'!D2537)),TRIM(MID('R.M Billets Reports'!D2537,SEARCH("-",'R.M Billets Reports'!D2537)+1,200)),"")),IF(ISNUMBER(SEARCH("Party Name:-",'R.M Billets Reports'!D2538)),TRIM('R.M Billets Reports'!F2538),IF(ISNUMBER(SEARCH("Party Name-",'R.M Billets Reports'!D2538)),TRIM(MID('R.M Billets Reports'!D2538,SEARCH("-",'R.M Billets Reports'!D2538)+1,200)),"")))))),IF(ROW()=2,"",A2537))</f>
      </c>
      <c r="B2538">
        <f>IF(OR('R.M Billets Reports'!A2537="Date-",'R.M Billets Reports'!A2537="Date:-"),'R.M Billets Reports'!B2537,IF(ROW()=2,"",B2537))</f>
      </c>
      <c r="C2538">
        <f>IF('R.M Billets Reports'!A2537="V.No.",'R.M Billets Reports'!B2537,IF(ROW()=2,"",C2537))</f>
      </c>
      <c r="D2538">
        <f>IF('R.M Billets Reports'!A2537&lt;&gt;"",'R.M Billets Reports'!A2537,IF(ROW()=2,"",D2537))</f>
      </c>
      <c r="E2538">
        <f>IF('R.M Billets Reports'!B2537="","",TRIM('R.M Billets Reports'!B2537))</f>
      </c>
      <c r="F2538">
        <f>'R.M Billets Reports'!C2537</f>
      </c>
      <c r="G2538">
        <f>'R.M Billets Reports'!D2537</f>
      </c>
      <c r="H2538">
        <f>'R.M Billets Reports'!E2537</f>
      </c>
      <c r="I2538">
        <f>'R.M Billets Reports'!F2537</f>
      </c>
      <c r="J2538">
        <f>'R.M Billets Reports'!G2537</f>
      </c>
      <c r="K2538">
        <f>'R.M Billets Reports'!H2537</f>
      </c>
      <c r="L2538">
        <f>IF('R.M Billets Reports'!I2537="","",'R.M Billets Reports'!I2537)</f>
      </c>
      <c r="M2538">
        <f t="shared" si="78"/>
      </c>
      <c r="N2538">
        <f>IF('R.M Billets Reports'!J2537="","",'R.M Billets Reports'!J2537)</f>
      </c>
      <c r="O2538">
        <f t="shared" si="79"/>
      </c>
      <c r="P2538">
        <f>IF('R.M Billets Reports'!A2537="SIZE",'R.M Billets Reports'!B2537,P2537)</f>
      </c>
    </row>
    <row r="2539" spans="1:16" x14ac:dyDescent="0.25">
      <c r="A2539">
        <f>IF(OR('R.M Billets Reports'!A2538="Date-",'R.M Billets Reports'!A2538="Date:-"),IF(IF(IF(ISNUMBER(SEARCH("Party Name:-",'R.M Billets Reports'!D2538)),TRIM('R.M Billets Reports'!F2538),IF(ISNUMBER(SEARCH("Party Name-",'R.M Billets Reports'!D2538)),TRIM(MID('R.M Billets Reports'!D2538,SEARCH("-",'R.M Billets Reports'!D2538)+1,200)),""))&lt;&gt;"",IF(ISNUMBER(SEARCH("Party Name:-",'R.M Billets Reports'!D2538)),TRIM('R.M Billets Reports'!F2538),IF(ISNUMBER(SEARCH("Party Name-",'R.M Billets Reports'!D2538)),TRIM(MID('R.M Billets Reports'!D2538,SEARCH("-",'R.M Billets Reports'!D2538)+1,200)),"")),IF(ISNUMBER(SEARCH("Party Name:-",'R.M Billets Reports'!D2539)),TRIM('R.M Billets Reports'!F2539),IF(ISNUMBER(SEARCH("Party Name-",'R.M Billets Reports'!D2539)),TRIM(MID('R.M Billets Reports'!D2539,SEARCH("-",'R.M Billets Reports'!D2539)+1,200)),"")))="VRKP ISPAT PVT LTD","VRKP",IF(IF(IF(ISNUMBER(SEARCH("Party Name:-",'R.M Billets Reports'!D2538)),TRIM('R.M Billets Reports'!F2538),IF(ISNUMBER(SEARCH("Party Name-",'R.M Billets Reports'!D2538)),TRIM(MID('R.M Billets Reports'!D2538,SEARCH("-",'R.M Billets Reports'!D2538)+1,200)),""))&lt;&gt;"",IF(ISNUMBER(SEARCH("Party Name:-",'R.M Billets Reports'!D2538)),TRIM('R.M Billets Reports'!F2538),IF(ISNUMBER(SEARCH("Party Name-",'R.M Billets Reports'!D2538)),TRIM(MID('R.M Billets Reports'!D2538,SEARCH("-",'R.M Billets Reports'!D2538)+1,200)),"")),IF(ISNUMBER(SEARCH("Party Name:-",'R.M Billets Reports'!D2539)),TRIM('R.M Billets Reports'!F2539),IF(ISNUMBER(SEARCH("Party Name-",'R.M Billets Reports'!D2539)),TRIM(MID('R.M Billets Reports'!D2539,SEARCH("-",'R.M Billets Reports'!D2539)+1,200)),"")))="SHRI RADHE","SHREE RADHE",IF(IF(IF(ISNUMBER(SEARCH("Party Name:-",'R.M Billets Reports'!D2538)),TRIM('R.M Billets Reports'!F2538),IF(ISNUMBER(SEARCH("Party Name-",'R.M Billets Reports'!D2538)),TRIM(MID('R.M Billets Reports'!D2538,SEARCH("-",'R.M Billets Reports'!D2538)+1,200)),""))&lt;&gt;"",IF(ISNUMBER(SEARCH("Party Name:-",'R.M Billets Reports'!D2538)),TRIM('R.M Billets Reports'!F2538),IF(ISNUMBER(SEARCH("Party Name-",'R.M Billets Reports'!D2538)),TRIM(MID('R.M Billets Reports'!D2538,SEARCH("-",'R.M Billets Reports'!D2538)+1,200)),"")),IF(ISNUMBER(SEARCH("Party Name:-",'R.M Billets Reports'!D2539)),TRIM('R.M Billets Reports'!F2539),IF(ISNUMBER(SEARCH("Party Name-",'R.M Billets Reports'!D2539)),TRIM(MID('R.M Billets Reports'!D2539,SEARCH("-",'R.M Billets Reports'!D2539)+1,200)),"")))="SHREE RADHE SHAKTI SPONGE AND POWER PVT. LTD.","SHREE RADHE",IF(IF(ISNUMBER(SEARCH("Party Name:-",'R.M Billets Reports'!D2538)),TRIM('R.M Billets Reports'!F2538),IF(ISNUMBER(SEARCH("Party Name-",'R.M Billets Reports'!D2538)),TRIM(MID('R.M Billets Reports'!D2538,SEARCH("-",'R.M Billets Reports'!D2538)+1,200)),""))&lt;&gt;"",IF(ISNUMBER(SEARCH("Party Name:-",'R.M Billets Reports'!D2538)),TRIM('R.M Billets Reports'!F2538),IF(ISNUMBER(SEARCH("Party Name-",'R.M Billets Reports'!D2538)),TRIM(MID('R.M Billets Reports'!D2538,SEARCH("-",'R.M Billets Reports'!D2538)+1,200)),"")),IF(ISNUMBER(SEARCH("Party Name:-",'R.M Billets Reports'!D2539)),TRIM('R.M Billets Reports'!F2539),IF(ISNUMBER(SEARCH("Party Name-",'R.M Billets Reports'!D2539)),TRIM(MID('R.M Billets Reports'!D2539,SEARCH("-",'R.M Billets Reports'!D2539)+1,200)),"")))))),IF(ROW()=2,"",A2538))</f>
      </c>
      <c r="B2539">
        <f>IF(OR('R.M Billets Reports'!A2538="Date-",'R.M Billets Reports'!A2538="Date:-"),'R.M Billets Reports'!B2538,IF(ROW()=2,"",B2538))</f>
      </c>
      <c r="C2539">
        <f>IF('R.M Billets Reports'!A2538="V.No.",'R.M Billets Reports'!B2538,IF(ROW()=2,"",C2538))</f>
      </c>
      <c r="D2539">
        <f>IF('R.M Billets Reports'!A2538&lt;&gt;"",'R.M Billets Reports'!A2538,IF(ROW()=2,"",D2538))</f>
      </c>
      <c r="E2539">
        <f>IF('R.M Billets Reports'!B2538="","",TRIM('R.M Billets Reports'!B2538))</f>
      </c>
      <c r="F2539">
        <f>'R.M Billets Reports'!C2538</f>
      </c>
      <c r="G2539">
        <f>'R.M Billets Reports'!D2538</f>
      </c>
      <c r="H2539">
        <f>'R.M Billets Reports'!E2538</f>
      </c>
      <c r="I2539">
        <f>'R.M Billets Reports'!F2538</f>
      </c>
      <c r="J2539">
        <f>'R.M Billets Reports'!G2538</f>
      </c>
      <c r="K2539">
        <f>'R.M Billets Reports'!H2538</f>
      </c>
      <c r="L2539">
        <f>IF('R.M Billets Reports'!I2538="","",'R.M Billets Reports'!I2538)</f>
      </c>
      <c r="M2539">
        <f t="shared" si="78"/>
      </c>
      <c r="N2539">
        <f>IF('R.M Billets Reports'!J2538="","",'R.M Billets Reports'!J2538)</f>
      </c>
      <c r="O2539">
        <f t="shared" si="79"/>
      </c>
      <c r="P2539">
        <f>IF('R.M Billets Reports'!A2538="SIZE",'R.M Billets Reports'!B2538,P2538)</f>
      </c>
    </row>
    <row r="2540" spans="1:16" x14ac:dyDescent="0.25">
      <c r="A2540">
        <f>IF(OR('R.M Billets Reports'!A2539="Date-",'R.M Billets Reports'!A2539="Date:-"),IF(IF(IF(ISNUMBER(SEARCH("Party Name:-",'R.M Billets Reports'!D2539)),TRIM('R.M Billets Reports'!F2539),IF(ISNUMBER(SEARCH("Party Name-",'R.M Billets Reports'!D2539)),TRIM(MID('R.M Billets Reports'!D2539,SEARCH("-",'R.M Billets Reports'!D2539)+1,200)),""))&lt;&gt;"",IF(ISNUMBER(SEARCH("Party Name:-",'R.M Billets Reports'!D2539)),TRIM('R.M Billets Reports'!F2539),IF(ISNUMBER(SEARCH("Party Name-",'R.M Billets Reports'!D2539)),TRIM(MID('R.M Billets Reports'!D2539,SEARCH("-",'R.M Billets Reports'!D2539)+1,200)),"")),IF(ISNUMBER(SEARCH("Party Name:-",'R.M Billets Reports'!D2540)),TRIM('R.M Billets Reports'!F2540),IF(ISNUMBER(SEARCH("Party Name-",'R.M Billets Reports'!D2540)),TRIM(MID('R.M Billets Reports'!D2540,SEARCH("-",'R.M Billets Reports'!D2540)+1,200)),"")))="VRKP ISPAT PVT LTD","VRKP",IF(IF(IF(ISNUMBER(SEARCH("Party Name:-",'R.M Billets Reports'!D2539)),TRIM('R.M Billets Reports'!F2539),IF(ISNUMBER(SEARCH("Party Name-",'R.M Billets Reports'!D2539)),TRIM(MID('R.M Billets Reports'!D2539,SEARCH("-",'R.M Billets Reports'!D2539)+1,200)),""))&lt;&gt;"",IF(ISNUMBER(SEARCH("Party Name:-",'R.M Billets Reports'!D2539)),TRIM('R.M Billets Reports'!F2539),IF(ISNUMBER(SEARCH("Party Name-",'R.M Billets Reports'!D2539)),TRIM(MID('R.M Billets Reports'!D2539,SEARCH("-",'R.M Billets Reports'!D2539)+1,200)),"")),IF(ISNUMBER(SEARCH("Party Name:-",'R.M Billets Reports'!D2540)),TRIM('R.M Billets Reports'!F2540),IF(ISNUMBER(SEARCH("Party Name-",'R.M Billets Reports'!D2540)),TRIM(MID('R.M Billets Reports'!D2540,SEARCH("-",'R.M Billets Reports'!D2540)+1,200)),"")))="SHRI RADHE","SHREE RADHE",IF(IF(IF(ISNUMBER(SEARCH("Party Name:-",'R.M Billets Reports'!D2539)),TRIM('R.M Billets Reports'!F2539),IF(ISNUMBER(SEARCH("Party Name-",'R.M Billets Reports'!D2539)),TRIM(MID('R.M Billets Reports'!D2539,SEARCH("-",'R.M Billets Reports'!D2539)+1,200)),""))&lt;&gt;"",IF(ISNUMBER(SEARCH("Party Name:-",'R.M Billets Reports'!D2539)),TRIM('R.M Billets Reports'!F2539),IF(ISNUMBER(SEARCH("Party Name-",'R.M Billets Reports'!D2539)),TRIM(MID('R.M Billets Reports'!D2539,SEARCH("-",'R.M Billets Reports'!D2539)+1,200)),"")),IF(ISNUMBER(SEARCH("Party Name:-",'R.M Billets Reports'!D2540)),TRIM('R.M Billets Reports'!F2540),IF(ISNUMBER(SEARCH("Party Name-",'R.M Billets Reports'!D2540)),TRIM(MID('R.M Billets Reports'!D2540,SEARCH("-",'R.M Billets Reports'!D2540)+1,200)),"")))="SHREE RADHE SHAKTI SPONGE AND POWER PVT. LTD.","SHREE RADHE",IF(IF(ISNUMBER(SEARCH("Party Name:-",'R.M Billets Reports'!D2539)),TRIM('R.M Billets Reports'!F2539),IF(ISNUMBER(SEARCH("Party Name-",'R.M Billets Reports'!D2539)),TRIM(MID('R.M Billets Reports'!D2539,SEARCH("-",'R.M Billets Reports'!D2539)+1,200)),""))&lt;&gt;"",IF(ISNUMBER(SEARCH("Party Name:-",'R.M Billets Reports'!D2539)),TRIM('R.M Billets Reports'!F2539),IF(ISNUMBER(SEARCH("Party Name-",'R.M Billets Reports'!D2539)),TRIM(MID('R.M Billets Reports'!D2539,SEARCH("-",'R.M Billets Reports'!D2539)+1,200)),"")),IF(ISNUMBER(SEARCH("Party Name:-",'R.M Billets Reports'!D2540)),TRIM('R.M Billets Reports'!F2540),IF(ISNUMBER(SEARCH("Party Name-",'R.M Billets Reports'!D2540)),TRIM(MID('R.M Billets Reports'!D2540,SEARCH("-",'R.M Billets Reports'!D2540)+1,200)),"")))))),IF(ROW()=2,"",A2539))</f>
      </c>
      <c r="B2540">
        <f>IF(OR('R.M Billets Reports'!A2539="Date-",'R.M Billets Reports'!A2539="Date:-"),'R.M Billets Reports'!B2539,IF(ROW()=2,"",B2539))</f>
      </c>
      <c r="C2540">
        <f>IF('R.M Billets Reports'!A2539="V.No.",'R.M Billets Reports'!B2539,IF(ROW()=2,"",C2539))</f>
      </c>
      <c r="D2540">
        <f>IF('R.M Billets Reports'!A2539&lt;&gt;"",'R.M Billets Reports'!A2539,IF(ROW()=2,"",D2539))</f>
      </c>
      <c r="E2540">
        <f>IF('R.M Billets Reports'!B2539="","",TRIM('R.M Billets Reports'!B2539))</f>
      </c>
      <c r="F2540">
        <f>'R.M Billets Reports'!C2539</f>
      </c>
      <c r="G2540">
        <f>'R.M Billets Reports'!D2539</f>
      </c>
      <c r="H2540">
        <f>'R.M Billets Reports'!E2539</f>
      </c>
      <c r="I2540">
        <f>'R.M Billets Reports'!F2539</f>
      </c>
      <c r="J2540">
        <f>'R.M Billets Reports'!G2539</f>
      </c>
      <c r="K2540">
        <f>'R.M Billets Reports'!H2539</f>
      </c>
      <c r="L2540">
        <f>IF('R.M Billets Reports'!I2539="","",'R.M Billets Reports'!I2539)</f>
      </c>
      <c r="M2540">
        <f t="shared" si="78"/>
      </c>
      <c r="N2540">
        <f>IF('R.M Billets Reports'!J2539="","",'R.M Billets Reports'!J2539)</f>
      </c>
      <c r="O2540">
        <f t="shared" si="79"/>
      </c>
      <c r="P2540">
        <f>IF('R.M Billets Reports'!A2539="SIZE",'R.M Billets Reports'!B2539,P2539)</f>
      </c>
    </row>
    <row r="2541" spans="1:16" x14ac:dyDescent="0.25">
      <c r="A2541">
        <f>IF(OR('R.M Billets Reports'!A2540="Date-",'R.M Billets Reports'!A2540="Date:-"),IF(IF(IF(ISNUMBER(SEARCH("Party Name:-",'R.M Billets Reports'!D2540)),TRIM('R.M Billets Reports'!F2540),IF(ISNUMBER(SEARCH("Party Name-",'R.M Billets Reports'!D2540)),TRIM(MID('R.M Billets Reports'!D2540,SEARCH("-",'R.M Billets Reports'!D2540)+1,200)),""))&lt;&gt;"",IF(ISNUMBER(SEARCH("Party Name:-",'R.M Billets Reports'!D2540)),TRIM('R.M Billets Reports'!F2540),IF(ISNUMBER(SEARCH("Party Name-",'R.M Billets Reports'!D2540)),TRIM(MID('R.M Billets Reports'!D2540,SEARCH("-",'R.M Billets Reports'!D2540)+1,200)),"")),IF(ISNUMBER(SEARCH("Party Name:-",'R.M Billets Reports'!D2541)),TRIM('R.M Billets Reports'!F2541),IF(ISNUMBER(SEARCH("Party Name-",'R.M Billets Reports'!D2541)),TRIM(MID('R.M Billets Reports'!D2541,SEARCH("-",'R.M Billets Reports'!D2541)+1,200)),"")))="VRKP ISPAT PVT LTD","VRKP",IF(IF(IF(ISNUMBER(SEARCH("Party Name:-",'R.M Billets Reports'!D2540)),TRIM('R.M Billets Reports'!F2540),IF(ISNUMBER(SEARCH("Party Name-",'R.M Billets Reports'!D2540)),TRIM(MID('R.M Billets Reports'!D2540,SEARCH("-",'R.M Billets Reports'!D2540)+1,200)),""))&lt;&gt;"",IF(ISNUMBER(SEARCH("Party Name:-",'R.M Billets Reports'!D2540)),TRIM('R.M Billets Reports'!F2540),IF(ISNUMBER(SEARCH("Party Name-",'R.M Billets Reports'!D2540)),TRIM(MID('R.M Billets Reports'!D2540,SEARCH("-",'R.M Billets Reports'!D2540)+1,200)),"")),IF(ISNUMBER(SEARCH("Party Name:-",'R.M Billets Reports'!D2541)),TRIM('R.M Billets Reports'!F2541),IF(ISNUMBER(SEARCH("Party Name-",'R.M Billets Reports'!D2541)),TRIM(MID('R.M Billets Reports'!D2541,SEARCH("-",'R.M Billets Reports'!D2541)+1,200)),"")))="SHRI RADHE","SHREE RADHE",IF(IF(IF(ISNUMBER(SEARCH("Party Name:-",'R.M Billets Reports'!D2540)),TRIM('R.M Billets Reports'!F2540),IF(ISNUMBER(SEARCH("Party Name-",'R.M Billets Reports'!D2540)),TRIM(MID('R.M Billets Reports'!D2540,SEARCH("-",'R.M Billets Reports'!D2540)+1,200)),""))&lt;&gt;"",IF(ISNUMBER(SEARCH("Party Name:-",'R.M Billets Reports'!D2540)),TRIM('R.M Billets Reports'!F2540),IF(ISNUMBER(SEARCH("Party Name-",'R.M Billets Reports'!D2540)),TRIM(MID('R.M Billets Reports'!D2540,SEARCH("-",'R.M Billets Reports'!D2540)+1,200)),"")),IF(ISNUMBER(SEARCH("Party Name:-",'R.M Billets Reports'!D2541)),TRIM('R.M Billets Reports'!F2541),IF(ISNUMBER(SEARCH("Party Name-",'R.M Billets Reports'!D2541)),TRIM(MID('R.M Billets Reports'!D2541,SEARCH("-",'R.M Billets Reports'!D2541)+1,200)),"")))="SHREE RADHE SHAKTI SPONGE AND POWER PVT. LTD.","SHREE RADHE",IF(IF(ISNUMBER(SEARCH("Party Name:-",'R.M Billets Reports'!D2540)),TRIM('R.M Billets Reports'!F2540),IF(ISNUMBER(SEARCH("Party Name-",'R.M Billets Reports'!D2540)),TRIM(MID('R.M Billets Reports'!D2540,SEARCH("-",'R.M Billets Reports'!D2540)+1,200)),""))&lt;&gt;"",IF(ISNUMBER(SEARCH("Party Name:-",'R.M Billets Reports'!D2540)),TRIM('R.M Billets Reports'!F2540),IF(ISNUMBER(SEARCH("Party Name-",'R.M Billets Reports'!D2540)),TRIM(MID('R.M Billets Reports'!D2540,SEARCH("-",'R.M Billets Reports'!D2540)+1,200)),"")),IF(ISNUMBER(SEARCH("Party Name:-",'R.M Billets Reports'!D2541)),TRIM('R.M Billets Reports'!F2541),IF(ISNUMBER(SEARCH("Party Name-",'R.M Billets Reports'!D2541)),TRIM(MID('R.M Billets Reports'!D2541,SEARCH("-",'R.M Billets Reports'!D2541)+1,200)),"")))))),IF(ROW()=2,"",A2540))</f>
      </c>
      <c r="B2541">
        <f>IF(OR('R.M Billets Reports'!A2540="Date-",'R.M Billets Reports'!A2540="Date:-"),'R.M Billets Reports'!B2540,IF(ROW()=2,"",B2540))</f>
      </c>
      <c r="C2541">
        <f>IF('R.M Billets Reports'!A2540="V.No.",'R.M Billets Reports'!B2540,IF(ROW()=2,"",C2540))</f>
      </c>
      <c r="D2541">
        <f>IF('R.M Billets Reports'!A2540&lt;&gt;"",'R.M Billets Reports'!A2540,IF(ROW()=2,"",D2540))</f>
      </c>
      <c r="E2541">
        <f>IF('R.M Billets Reports'!B2540="","",TRIM('R.M Billets Reports'!B2540))</f>
      </c>
      <c r="F2541">
        <f>'R.M Billets Reports'!C2540</f>
      </c>
      <c r="G2541">
        <f>'R.M Billets Reports'!D2540</f>
      </c>
      <c r="H2541">
        <f>'R.M Billets Reports'!E2540</f>
      </c>
      <c r="I2541">
        <f>'R.M Billets Reports'!F2540</f>
      </c>
      <c r="J2541">
        <f>'R.M Billets Reports'!G2540</f>
      </c>
      <c r="K2541">
        <f>'R.M Billets Reports'!H2540</f>
      </c>
      <c r="L2541">
        <f>IF('R.M Billets Reports'!I2540="","",'R.M Billets Reports'!I2540)</f>
      </c>
      <c r="M2541">
        <f t="shared" si="78"/>
      </c>
      <c r="N2541">
        <f>IF('R.M Billets Reports'!J2540="","",'R.M Billets Reports'!J2540)</f>
      </c>
      <c r="O2541">
        <f t="shared" si="79"/>
      </c>
      <c r="P2541">
        <f>IF('R.M Billets Reports'!A2540="SIZE",'R.M Billets Reports'!B2540,P2540)</f>
      </c>
    </row>
    <row r="2542" spans="1:16" x14ac:dyDescent="0.25">
      <c r="A2542">
        <f>IF(OR('R.M Billets Reports'!A2541="Date-",'R.M Billets Reports'!A2541="Date:-"),IF(IF(IF(ISNUMBER(SEARCH("Party Name:-",'R.M Billets Reports'!D2541)),TRIM('R.M Billets Reports'!F2541),IF(ISNUMBER(SEARCH("Party Name-",'R.M Billets Reports'!D2541)),TRIM(MID('R.M Billets Reports'!D2541,SEARCH("-",'R.M Billets Reports'!D2541)+1,200)),""))&lt;&gt;"",IF(ISNUMBER(SEARCH("Party Name:-",'R.M Billets Reports'!D2541)),TRIM('R.M Billets Reports'!F2541),IF(ISNUMBER(SEARCH("Party Name-",'R.M Billets Reports'!D2541)),TRIM(MID('R.M Billets Reports'!D2541,SEARCH("-",'R.M Billets Reports'!D2541)+1,200)),"")),IF(ISNUMBER(SEARCH("Party Name:-",'R.M Billets Reports'!D2542)),TRIM('R.M Billets Reports'!F2542),IF(ISNUMBER(SEARCH("Party Name-",'R.M Billets Reports'!D2542)),TRIM(MID('R.M Billets Reports'!D2542,SEARCH("-",'R.M Billets Reports'!D2542)+1,200)),"")))="VRKP ISPAT PVT LTD","VRKP",IF(IF(IF(ISNUMBER(SEARCH("Party Name:-",'R.M Billets Reports'!D2541)),TRIM('R.M Billets Reports'!F2541),IF(ISNUMBER(SEARCH("Party Name-",'R.M Billets Reports'!D2541)),TRIM(MID('R.M Billets Reports'!D2541,SEARCH("-",'R.M Billets Reports'!D2541)+1,200)),""))&lt;&gt;"",IF(ISNUMBER(SEARCH("Party Name:-",'R.M Billets Reports'!D2541)),TRIM('R.M Billets Reports'!F2541),IF(ISNUMBER(SEARCH("Party Name-",'R.M Billets Reports'!D2541)),TRIM(MID('R.M Billets Reports'!D2541,SEARCH("-",'R.M Billets Reports'!D2541)+1,200)),"")),IF(ISNUMBER(SEARCH("Party Name:-",'R.M Billets Reports'!D2542)),TRIM('R.M Billets Reports'!F2542),IF(ISNUMBER(SEARCH("Party Name-",'R.M Billets Reports'!D2542)),TRIM(MID('R.M Billets Reports'!D2542,SEARCH("-",'R.M Billets Reports'!D2542)+1,200)),"")))="SHRI RADHE","SHREE RADHE",IF(IF(IF(ISNUMBER(SEARCH("Party Name:-",'R.M Billets Reports'!D2541)),TRIM('R.M Billets Reports'!F2541),IF(ISNUMBER(SEARCH("Party Name-",'R.M Billets Reports'!D2541)),TRIM(MID('R.M Billets Reports'!D2541,SEARCH("-",'R.M Billets Reports'!D2541)+1,200)),""))&lt;&gt;"",IF(ISNUMBER(SEARCH("Party Name:-",'R.M Billets Reports'!D2541)),TRIM('R.M Billets Reports'!F2541),IF(ISNUMBER(SEARCH("Party Name-",'R.M Billets Reports'!D2541)),TRIM(MID('R.M Billets Reports'!D2541,SEARCH("-",'R.M Billets Reports'!D2541)+1,200)),"")),IF(ISNUMBER(SEARCH("Party Name:-",'R.M Billets Reports'!D2542)),TRIM('R.M Billets Reports'!F2542),IF(ISNUMBER(SEARCH("Party Name-",'R.M Billets Reports'!D2542)),TRIM(MID('R.M Billets Reports'!D2542,SEARCH("-",'R.M Billets Reports'!D2542)+1,200)),"")))="SHREE RADHE SHAKTI SPONGE AND POWER PVT. LTD.","SHREE RADHE",IF(IF(ISNUMBER(SEARCH("Party Name:-",'R.M Billets Reports'!D2541)),TRIM('R.M Billets Reports'!F2541),IF(ISNUMBER(SEARCH("Party Name-",'R.M Billets Reports'!D2541)),TRIM(MID('R.M Billets Reports'!D2541,SEARCH("-",'R.M Billets Reports'!D2541)+1,200)),""))&lt;&gt;"",IF(ISNUMBER(SEARCH("Party Name:-",'R.M Billets Reports'!D2541)),TRIM('R.M Billets Reports'!F2541),IF(ISNUMBER(SEARCH("Party Name-",'R.M Billets Reports'!D2541)),TRIM(MID('R.M Billets Reports'!D2541,SEARCH("-",'R.M Billets Reports'!D2541)+1,200)),"")),IF(ISNUMBER(SEARCH("Party Name:-",'R.M Billets Reports'!D2542)),TRIM('R.M Billets Reports'!F2542),IF(ISNUMBER(SEARCH("Party Name-",'R.M Billets Reports'!D2542)),TRIM(MID('R.M Billets Reports'!D2542,SEARCH("-",'R.M Billets Reports'!D2542)+1,200)),"")))))),IF(ROW()=2,"",A2541))</f>
      </c>
      <c r="B2542">
        <f>IF(OR('R.M Billets Reports'!A2541="Date-",'R.M Billets Reports'!A2541="Date:-"),'R.M Billets Reports'!B2541,IF(ROW()=2,"",B2541))</f>
      </c>
      <c r="C2542">
        <f>IF('R.M Billets Reports'!A2541="V.No.",'R.M Billets Reports'!B2541,IF(ROW()=2,"",C2541))</f>
      </c>
      <c r="D2542">
        <f>IF('R.M Billets Reports'!A2541&lt;&gt;"",'R.M Billets Reports'!A2541,IF(ROW()=2,"",D2541))</f>
      </c>
      <c r="E2542">
        <f>IF('R.M Billets Reports'!B2541="","",TRIM('R.M Billets Reports'!B2541))</f>
      </c>
      <c r="F2542">
        <f>'R.M Billets Reports'!C2541</f>
      </c>
      <c r="G2542">
        <f>'R.M Billets Reports'!D2541</f>
      </c>
      <c r="H2542">
        <f>'R.M Billets Reports'!E2541</f>
      </c>
      <c r="I2542">
        <f>'R.M Billets Reports'!F2541</f>
      </c>
      <c r="J2542">
        <f>'R.M Billets Reports'!G2541</f>
      </c>
      <c r="K2542">
        <f>'R.M Billets Reports'!H2541</f>
      </c>
      <c r="L2542">
        <f>IF('R.M Billets Reports'!I2541="","",'R.M Billets Reports'!I2541)</f>
      </c>
      <c r="M2542">
        <f t="shared" si="78"/>
      </c>
      <c r="N2542">
        <f>IF('R.M Billets Reports'!J2541="","",'R.M Billets Reports'!J2541)</f>
      </c>
      <c r="O2542">
        <f t="shared" si="79"/>
      </c>
      <c r="P2542">
        <f>IF('R.M Billets Reports'!A2541="SIZE",'R.M Billets Reports'!B2541,P2541)</f>
      </c>
    </row>
    <row r="2543" spans="1:16" x14ac:dyDescent="0.25">
      <c r="A2543">
        <f>IF(OR('R.M Billets Reports'!A2542="Date-",'R.M Billets Reports'!A2542="Date:-"),IF(IF(IF(ISNUMBER(SEARCH("Party Name:-",'R.M Billets Reports'!D2542)),TRIM('R.M Billets Reports'!F2542),IF(ISNUMBER(SEARCH("Party Name-",'R.M Billets Reports'!D2542)),TRIM(MID('R.M Billets Reports'!D2542,SEARCH("-",'R.M Billets Reports'!D2542)+1,200)),""))&lt;&gt;"",IF(ISNUMBER(SEARCH("Party Name:-",'R.M Billets Reports'!D2542)),TRIM('R.M Billets Reports'!F2542),IF(ISNUMBER(SEARCH("Party Name-",'R.M Billets Reports'!D2542)),TRIM(MID('R.M Billets Reports'!D2542,SEARCH("-",'R.M Billets Reports'!D2542)+1,200)),"")),IF(ISNUMBER(SEARCH("Party Name:-",'R.M Billets Reports'!D2543)),TRIM('R.M Billets Reports'!F2543),IF(ISNUMBER(SEARCH("Party Name-",'R.M Billets Reports'!D2543)),TRIM(MID('R.M Billets Reports'!D2543,SEARCH("-",'R.M Billets Reports'!D2543)+1,200)),"")))="VRKP ISPAT PVT LTD","VRKP",IF(IF(IF(ISNUMBER(SEARCH("Party Name:-",'R.M Billets Reports'!D2542)),TRIM('R.M Billets Reports'!F2542),IF(ISNUMBER(SEARCH("Party Name-",'R.M Billets Reports'!D2542)),TRIM(MID('R.M Billets Reports'!D2542,SEARCH("-",'R.M Billets Reports'!D2542)+1,200)),""))&lt;&gt;"",IF(ISNUMBER(SEARCH("Party Name:-",'R.M Billets Reports'!D2542)),TRIM('R.M Billets Reports'!F2542),IF(ISNUMBER(SEARCH("Party Name-",'R.M Billets Reports'!D2542)),TRIM(MID('R.M Billets Reports'!D2542,SEARCH("-",'R.M Billets Reports'!D2542)+1,200)),"")),IF(ISNUMBER(SEARCH("Party Name:-",'R.M Billets Reports'!D2543)),TRIM('R.M Billets Reports'!F2543),IF(ISNUMBER(SEARCH("Party Name-",'R.M Billets Reports'!D2543)),TRIM(MID('R.M Billets Reports'!D2543,SEARCH("-",'R.M Billets Reports'!D2543)+1,200)),"")))="SHRI RADHE","SHREE RADHE",IF(IF(IF(ISNUMBER(SEARCH("Party Name:-",'R.M Billets Reports'!D2542)),TRIM('R.M Billets Reports'!F2542),IF(ISNUMBER(SEARCH("Party Name-",'R.M Billets Reports'!D2542)),TRIM(MID('R.M Billets Reports'!D2542,SEARCH("-",'R.M Billets Reports'!D2542)+1,200)),""))&lt;&gt;"",IF(ISNUMBER(SEARCH("Party Name:-",'R.M Billets Reports'!D2542)),TRIM('R.M Billets Reports'!F2542),IF(ISNUMBER(SEARCH("Party Name-",'R.M Billets Reports'!D2542)),TRIM(MID('R.M Billets Reports'!D2542,SEARCH("-",'R.M Billets Reports'!D2542)+1,200)),"")),IF(ISNUMBER(SEARCH("Party Name:-",'R.M Billets Reports'!D2543)),TRIM('R.M Billets Reports'!F2543),IF(ISNUMBER(SEARCH("Party Name-",'R.M Billets Reports'!D2543)),TRIM(MID('R.M Billets Reports'!D2543,SEARCH("-",'R.M Billets Reports'!D2543)+1,200)),"")))="SHREE RADHE SHAKTI SPONGE AND POWER PVT. LTD.","SHREE RADHE",IF(IF(ISNUMBER(SEARCH("Party Name:-",'R.M Billets Reports'!D2542)),TRIM('R.M Billets Reports'!F2542),IF(ISNUMBER(SEARCH("Party Name-",'R.M Billets Reports'!D2542)),TRIM(MID('R.M Billets Reports'!D2542,SEARCH("-",'R.M Billets Reports'!D2542)+1,200)),""))&lt;&gt;"",IF(ISNUMBER(SEARCH("Party Name:-",'R.M Billets Reports'!D2542)),TRIM('R.M Billets Reports'!F2542),IF(ISNUMBER(SEARCH("Party Name-",'R.M Billets Reports'!D2542)),TRIM(MID('R.M Billets Reports'!D2542,SEARCH("-",'R.M Billets Reports'!D2542)+1,200)),"")),IF(ISNUMBER(SEARCH("Party Name:-",'R.M Billets Reports'!D2543)),TRIM('R.M Billets Reports'!F2543),IF(ISNUMBER(SEARCH("Party Name-",'R.M Billets Reports'!D2543)),TRIM(MID('R.M Billets Reports'!D2543,SEARCH("-",'R.M Billets Reports'!D2543)+1,200)),"")))))),IF(ROW()=2,"",A2542))</f>
      </c>
      <c r="B2543">
        <f>IF(OR('R.M Billets Reports'!A2542="Date-",'R.M Billets Reports'!A2542="Date:-"),'R.M Billets Reports'!B2542,IF(ROW()=2,"",B2542))</f>
      </c>
      <c r="C2543">
        <f>IF('R.M Billets Reports'!A2542="V.No.",'R.M Billets Reports'!B2542,IF(ROW()=2,"",C2542))</f>
      </c>
      <c r="D2543">
        <f>IF('R.M Billets Reports'!A2542&lt;&gt;"",'R.M Billets Reports'!A2542,IF(ROW()=2,"",D2542))</f>
      </c>
      <c r="E2543">
        <f>IF('R.M Billets Reports'!B2542="","",TRIM('R.M Billets Reports'!B2542))</f>
      </c>
      <c r="F2543">
        <f>'R.M Billets Reports'!C2542</f>
      </c>
      <c r="G2543">
        <f>'R.M Billets Reports'!D2542</f>
      </c>
      <c r="H2543">
        <f>'R.M Billets Reports'!E2542</f>
      </c>
      <c r="I2543">
        <f>'R.M Billets Reports'!F2542</f>
      </c>
      <c r="J2543">
        <f>'R.M Billets Reports'!G2542</f>
      </c>
      <c r="K2543">
        <f>'R.M Billets Reports'!H2542</f>
      </c>
      <c r="L2543">
        <f>IF('R.M Billets Reports'!I2542="","",'R.M Billets Reports'!I2542)</f>
      </c>
      <c r="M2543">
        <f t="shared" si="78"/>
      </c>
      <c r="N2543">
        <f>IF('R.M Billets Reports'!J2542="","",'R.M Billets Reports'!J2542)</f>
      </c>
      <c r="O2543">
        <f t="shared" si="79"/>
      </c>
      <c r="P2543">
        <f>IF('R.M Billets Reports'!A2542="SIZE",'R.M Billets Reports'!B2542,P2542)</f>
      </c>
    </row>
    <row r="2544" spans="1:16" x14ac:dyDescent="0.25">
      <c r="A2544">
        <f>IF(OR('R.M Billets Reports'!A2543="Date-",'R.M Billets Reports'!A2543="Date:-"),IF(IF(IF(ISNUMBER(SEARCH("Party Name:-",'R.M Billets Reports'!D2543)),TRIM('R.M Billets Reports'!F2543),IF(ISNUMBER(SEARCH("Party Name-",'R.M Billets Reports'!D2543)),TRIM(MID('R.M Billets Reports'!D2543,SEARCH("-",'R.M Billets Reports'!D2543)+1,200)),""))&lt;&gt;"",IF(ISNUMBER(SEARCH("Party Name:-",'R.M Billets Reports'!D2543)),TRIM('R.M Billets Reports'!F2543),IF(ISNUMBER(SEARCH("Party Name-",'R.M Billets Reports'!D2543)),TRIM(MID('R.M Billets Reports'!D2543,SEARCH("-",'R.M Billets Reports'!D2543)+1,200)),"")),IF(ISNUMBER(SEARCH("Party Name:-",'R.M Billets Reports'!D2544)),TRIM('R.M Billets Reports'!F2544),IF(ISNUMBER(SEARCH("Party Name-",'R.M Billets Reports'!D2544)),TRIM(MID('R.M Billets Reports'!D2544,SEARCH("-",'R.M Billets Reports'!D2544)+1,200)),"")))="VRKP ISPAT PVT LTD","VRKP",IF(IF(IF(ISNUMBER(SEARCH("Party Name:-",'R.M Billets Reports'!D2543)),TRIM('R.M Billets Reports'!F2543),IF(ISNUMBER(SEARCH("Party Name-",'R.M Billets Reports'!D2543)),TRIM(MID('R.M Billets Reports'!D2543,SEARCH("-",'R.M Billets Reports'!D2543)+1,200)),""))&lt;&gt;"",IF(ISNUMBER(SEARCH("Party Name:-",'R.M Billets Reports'!D2543)),TRIM('R.M Billets Reports'!F2543),IF(ISNUMBER(SEARCH("Party Name-",'R.M Billets Reports'!D2543)),TRIM(MID('R.M Billets Reports'!D2543,SEARCH("-",'R.M Billets Reports'!D2543)+1,200)),"")),IF(ISNUMBER(SEARCH("Party Name:-",'R.M Billets Reports'!D2544)),TRIM('R.M Billets Reports'!F2544),IF(ISNUMBER(SEARCH("Party Name-",'R.M Billets Reports'!D2544)),TRIM(MID('R.M Billets Reports'!D2544,SEARCH("-",'R.M Billets Reports'!D2544)+1,200)),"")))="SHRI RADHE","SHREE RADHE",IF(IF(IF(ISNUMBER(SEARCH("Party Name:-",'R.M Billets Reports'!D2543)),TRIM('R.M Billets Reports'!F2543),IF(ISNUMBER(SEARCH("Party Name-",'R.M Billets Reports'!D2543)),TRIM(MID('R.M Billets Reports'!D2543,SEARCH("-",'R.M Billets Reports'!D2543)+1,200)),""))&lt;&gt;"",IF(ISNUMBER(SEARCH("Party Name:-",'R.M Billets Reports'!D2543)),TRIM('R.M Billets Reports'!F2543),IF(ISNUMBER(SEARCH("Party Name-",'R.M Billets Reports'!D2543)),TRIM(MID('R.M Billets Reports'!D2543,SEARCH("-",'R.M Billets Reports'!D2543)+1,200)),"")),IF(ISNUMBER(SEARCH("Party Name:-",'R.M Billets Reports'!D2544)),TRIM('R.M Billets Reports'!F2544),IF(ISNUMBER(SEARCH("Party Name-",'R.M Billets Reports'!D2544)),TRIM(MID('R.M Billets Reports'!D2544,SEARCH("-",'R.M Billets Reports'!D2544)+1,200)),"")))="SHREE RADHE SHAKTI SPONGE AND POWER PVT. LTD.","SHREE RADHE",IF(IF(ISNUMBER(SEARCH("Party Name:-",'R.M Billets Reports'!D2543)),TRIM('R.M Billets Reports'!F2543),IF(ISNUMBER(SEARCH("Party Name-",'R.M Billets Reports'!D2543)),TRIM(MID('R.M Billets Reports'!D2543,SEARCH("-",'R.M Billets Reports'!D2543)+1,200)),""))&lt;&gt;"",IF(ISNUMBER(SEARCH("Party Name:-",'R.M Billets Reports'!D2543)),TRIM('R.M Billets Reports'!F2543),IF(ISNUMBER(SEARCH("Party Name-",'R.M Billets Reports'!D2543)),TRIM(MID('R.M Billets Reports'!D2543,SEARCH("-",'R.M Billets Reports'!D2543)+1,200)),"")),IF(ISNUMBER(SEARCH("Party Name:-",'R.M Billets Reports'!D2544)),TRIM('R.M Billets Reports'!F2544),IF(ISNUMBER(SEARCH("Party Name-",'R.M Billets Reports'!D2544)),TRIM(MID('R.M Billets Reports'!D2544,SEARCH("-",'R.M Billets Reports'!D2544)+1,200)),"")))))),IF(ROW()=2,"",A2543))</f>
      </c>
      <c r="B2544">
        <f>IF(OR('R.M Billets Reports'!A2543="Date-",'R.M Billets Reports'!A2543="Date:-"),'R.M Billets Reports'!B2543,IF(ROW()=2,"",B2543))</f>
      </c>
      <c r="C2544">
        <f>IF('R.M Billets Reports'!A2543="V.No.",'R.M Billets Reports'!B2543,IF(ROW()=2,"",C2543))</f>
      </c>
      <c r="D2544">
        <f>IF('R.M Billets Reports'!A2543&lt;&gt;"",'R.M Billets Reports'!A2543,IF(ROW()=2,"",D2543))</f>
      </c>
      <c r="E2544">
        <f>IF('R.M Billets Reports'!B2543="","",TRIM('R.M Billets Reports'!B2543))</f>
      </c>
      <c r="F2544">
        <f>'R.M Billets Reports'!C2543</f>
      </c>
      <c r="G2544">
        <f>'R.M Billets Reports'!D2543</f>
      </c>
      <c r="H2544">
        <f>'R.M Billets Reports'!E2543</f>
      </c>
      <c r="I2544">
        <f>'R.M Billets Reports'!F2543</f>
      </c>
      <c r="J2544">
        <f>'R.M Billets Reports'!G2543</f>
      </c>
      <c r="K2544">
        <f>'R.M Billets Reports'!H2543</f>
      </c>
      <c r="L2544">
        <f>IF('R.M Billets Reports'!I2543="","",'R.M Billets Reports'!I2543)</f>
      </c>
      <c r="M2544">
        <f t="shared" si="78"/>
      </c>
      <c r="N2544">
        <f>IF('R.M Billets Reports'!J2543="","",'R.M Billets Reports'!J2543)</f>
      </c>
      <c r="O2544">
        <f t="shared" si="79"/>
      </c>
      <c r="P2544">
        <f>IF('R.M Billets Reports'!A2543="SIZE",'R.M Billets Reports'!B2543,P2543)</f>
      </c>
    </row>
    <row r="2545" spans="1:16" x14ac:dyDescent="0.25">
      <c r="A2545">
        <f>IF(OR('R.M Billets Reports'!A2544="Date-",'R.M Billets Reports'!A2544="Date:-"),IF(IF(IF(ISNUMBER(SEARCH("Party Name:-",'R.M Billets Reports'!D2544)),TRIM('R.M Billets Reports'!F2544),IF(ISNUMBER(SEARCH("Party Name-",'R.M Billets Reports'!D2544)),TRIM(MID('R.M Billets Reports'!D2544,SEARCH("-",'R.M Billets Reports'!D2544)+1,200)),""))&lt;&gt;"",IF(ISNUMBER(SEARCH("Party Name:-",'R.M Billets Reports'!D2544)),TRIM('R.M Billets Reports'!F2544),IF(ISNUMBER(SEARCH("Party Name-",'R.M Billets Reports'!D2544)),TRIM(MID('R.M Billets Reports'!D2544,SEARCH("-",'R.M Billets Reports'!D2544)+1,200)),"")),IF(ISNUMBER(SEARCH("Party Name:-",'R.M Billets Reports'!D2545)),TRIM('R.M Billets Reports'!F2545),IF(ISNUMBER(SEARCH("Party Name-",'R.M Billets Reports'!D2545)),TRIM(MID('R.M Billets Reports'!D2545,SEARCH("-",'R.M Billets Reports'!D2545)+1,200)),"")))="VRKP ISPAT PVT LTD","VRKP",IF(IF(IF(ISNUMBER(SEARCH("Party Name:-",'R.M Billets Reports'!D2544)),TRIM('R.M Billets Reports'!F2544),IF(ISNUMBER(SEARCH("Party Name-",'R.M Billets Reports'!D2544)),TRIM(MID('R.M Billets Reports'!D2544,SEARCH("-",'R.M Billets Reports'!D2544)+1,200)),""))&lt;&gt;"",IF(ISNUMBER(SEARCH("Party Name:-",'R.M Billets Reports'!D2544)),TRIM('R.M Billets Reports'!F2544),IF(ISNUMBER(SEARCH("Party Name-",'R.M Billets Reports'!D2544)),TRIM(MID('R.M Billets Reports'!D2544,SEARCH("-",'R.M Billets Reports'!D2544)+1,200)),"")),IF(ISNUMBER(SEARCH("Party Name:-",'R.M Billets Reports'!D2545)),TRIM('R.M Billets Reports'!F2545),IF(ISNUMBER(SEARCH("Party Name-",'R.M Billets Reports'!D2545)),TRIM(MID('R.M Billets Reports'!D2545,SEARCH("-",'R.M Billets Reports'!D2545)+1,200)),"")))="SHRI RADHE","SHREE RADHE",IF(IF(IF(ISNUMBER(SEARCH("Party Name:-",'R.M Billets Reports'!D2544)),TRIM('R.M Billets Reports'!F2544),IF(ISNUMBER(SEARCH("Party Name-",'R.M Billets Reports'!D2544)),TRIM(MID('R.M Billets Reports'!D2544,SEARCH("-",'R.M Billets Reports'!D2544)+1,200)),""))&lt;&gt;"",IF(ISNUMBER(SEARCH("Party Name:-",'R.M Billets Reports'!D2544)),TRIM('R.M Billets Reports'!F2544),IF(ISNUMBER(SEARCH("Party Name-",'R.M Billets Reports'!D2544)),TRIM(MID('R.M Billets Reports'!D2544,SEARCH("-",'R.M Billets Reports'!D2544)+1,200)),"")),IF(ISNUMBER(SEARCH("Party Name:-",'R.M Billets Reports'!D2545)),TRIM('R.M Billets Reports'!F2545),IF(ISNUMBER(SEARCH("Party Name-",'R.M Billets Reports'!D2545)),TRIM(MID('R.M Billets Reports'!D2545,SEARCH("-",'R.M Billets Reports'!D2545)+1,200)),"")))="SHREE RADHE SHAKTI SPONGE AND POWER PVT. LTD.","SHREE RADHE",IF(IF(ISNUMBER(SEARCH("Party Name:-",'R.M Billets Reports'!D2544)),TRIM('R.M Billets Reports'!F2544),IF(ISNUMBER(SEARCH("Party Name-",'R.M Billets Reports'!D2544)),TRIM(MID('R.M Billets Reports'!D2544,SEARCH("-",'R.M Billets Reports'!D2544)+1,200)),""))&lt;&gt;"",IF(ISNUMBER(SEARCH("Party Name:-",'R.M Billets Reports'!D2544)),TRIM('R.M Billets Reports'!F2544),IF(ISNUMBER(SEARCH("Party Name-",'R.M Billets Reports'!D2544)),TRIM(MID('R.M Billets Reports'!D2544,SEARCH("-",'R.M Billets Reports'!D2544)+1,200)),"")),IF(ISNUMBER(SEARCH("Party Name:-",'R.M Billets Reports'!D2545)),TRIM('R.M Billets Reports'!F2545),IF(ISNUMBER(SEARCH("Party Name-",'R.M Billets Reports'!D2545)),TRIM(MID('R.M Billets Reports'!D2545,SEARCH("-",'R.M Billets Reports'!D2545)+1,200)),"")))))),IF(ROW()=2,"",A2544))</f>
      </c>
      <c r="B2545">
        <f>IF(OR('R.M Billets Reports'!A2544="Date-",'R.M Billets Reports'!A2544="Date:-"),'R.M Billets Reports'!B2544,IF(ROW()=2,"",B2544))</f>
      </c>
      <c r="C2545">
        <f>IF('R.M Billets Reports'!A2544="V.No.",'R.M Billets Reports'!B2544,IF(ROW()=2,"",C2544))</f>
      </c>
      <c r="D2545">
        <f>IF('R.M Billets Reports'!A2544&lt;&gt;"",'R.M Billets Reports'!A2544,IF(ROW()=2,"",D2544))</f>
      </c>
      <c r="E2545">
        <f>IF('R.M Billets Reports'!B2544="","",TRIM('R.M Billets Reports'!B2544))</f>
      </c>
      <c r="F2545">
        <f>'R.M Billets Reports'!C2544</f>
      </c>
      <c r="G2545">
        <f>'R.M Billets Reports'!D2544</f>
      </c>
      <c r="H2545">
        <f>'R.M Billets Reports'!E2544</f>
      </c>
      <c r="I2545">
        <f>'R.M Billets Reports'!F2544</f>
      </c>
      <c r="J2545">
        <f>'R.M Billets Reports'!G2544</f>
      </c>
      <c r="K2545">
        <f>'R.M Billets Reports'!H2544</f>
      </c>
      <c r="L2545">
        <f>IF('R.M Billets Reports'!I2544="","",'R.M Billets Reports'!I2544)</f>
      </c>
      <c r="M2545">
        <f t="shared" si="78"/>
      </c>
      <c r="N2545">
        <f>IF('R.M Billets Reports'!J2544="","",'R.M Billets Reports'!J2544)</f>
      </c>
      <c r="O2545">
        <f t="shared" si="79"/>
      </c>
      <c r="P2545">
        <f>IF('R.M Billets Reports'!A2544="SIZE",'R.M Billets Reports'!B2544,P2544)</f>
      </c>
    </row>
    <row r="2546" spans="1:16" x14ac:dyDescent="0.25">
      <c r="A2546">
        <f>IF(OR('R.M Billets Reports'!A2545="Date-",'R.M Billets Reports'!A2545="Date:-"),IF(IF(IF(ISNUMBER(SEARCH("Party Name:-",'R.M Billets Reports'!D2545)),TRIM('R.M Billets Reports'!F2545),IF(ISNUMBER(SEARCH("Party Name-",'R.M Billets Reports'!D2545)),TRIM(MID('R.M Billets Reports'!D2545,SEARCH("-",'R.M Billets Reports'!D2545)+1,200)),""))&lt;&gt;"",IF(ISNUMBER(SEARCH("Party Name:-",'R.M Billets Reports'!D2545)),TRIM('R.M Billets Reports'!F2545),IF(ISNUMBER(SEARCH("Party Name-",'R.M Billets Reports'!D2545)),TRIM(MID('R.M Billets Reports'!D2545,SEARCH("-",'R.M Billets Reports'!D2545)+1,200)),"")),IF(ISNUMBER(SEARCH("Party Name:-",'R.M Billets Reports'!D2546)),TRIM('R.M Billets Reports'!F2546),IF(ISNUMBER(SEARCH("Party Name-",'R.M Billets Reports'!D2546)),TRIM(MID('R.M Billets Reports'!D2546,SEARCH("-",'R.M Billets Reports'!D2546)+1,200)),"")))="VRKP ISPAT PVT LTD","VRKP",IF(IF(IF(ISNUMBER(SEARCH("Party Name:-",'R.M Billets Reports'!D2545)),TRIM('R.M Billets Reports'!F2545),IF(ISNUMBER(SEARCH("Party Name-",'R.M Billets Reports'!D2545)),TRIM(MID('R.M Billets Reports'!D2545,SEARCH("-",'R.M Billets Reports'!D2545)+1,200)),""))&lt;&gt;"",IF(ISNUMBER(SEARCH("Party Name:-",'R.M Billets Reports'!D2545)),TRIM('R.M Billets Reports'!F2545),IF(ISNUMBER(SEARCH("Party Name-",'R.M Billets Reports'!D2545)),TRIM(MID('R.M Billets Reports'!D2545,SEARCH("-",'R.M Billets Reports'!D2545)+1,200)),"")),IF(ISNUMBER(SEARCH("Party Name:-",'R.M Billets Reports'!D2546)),TRIM('R.M Billets Reports'!F2546),IF(ISNUMBER(SEARCH("Party Name-",'R.M Billets Reports'!D2546)),TRIM(MID('R.M Billets Reports'!D2546,SEARCH("-",'R.M Billets Reports'!D2546)+1,200)),"")))="SHRI RADHE","SHREE RADHE",IF(IF(IF(ISNUMBER(SEARCH("Party Name:-",'R.M Billets Reports'!D2545)),TRIM('R.M Billets Reports'!F2545),IF(ISNUMBER(SEARCH("Party Name-",'R.M Billets Reports'!D2545)),TRIM(MID('R.M Billets Reports'!D2545,SEARCH("-",'R.M Billets Reports'!D2545)+1,200)),""))&lt;&gt;"",IF(ISNUMBER(SEARCH("Party Name:-",'R.M Billets Reports'!D2545)),TRIM('R.M Billets Reports'!F2545),IF(ISNUMBER(SEARCH("Party Name-",'R.M Billets Reports'!D2545)),TRIM(MID('R.M Billets Reports'!D2545,SEARCH("-",'R.M Billets Reports'!D2545)+1,200)),"")),IF(ISNUMBER(SEARCH("Party Name:-",'R.M Billets Reports'!D2546)),TRIM('R.M Billets Reports'!F2546),IF(ISNUMBER(SEARCH("Party Name-",'R.M Billets Reports'!D2546)),TRIM(MID('R.M Billets Reports'!D2546,SEARCH("-",'R.M Billets Reports'!D2546)+1,200)),"")))="SHREE RADHE SHAKTI SPONGE AND POWER PVT. LTD.","SHREE RADHE",IF(IF(ISNUMBER(SEARCH("Party Name:-",'R.M Billets Reports'!D2545)),TRIM('R.M Billets Reports'!F2545),IF(ISNUMBER(SEARCH("Party Name-",'R.M Billets Reports'!D2545)),TRIM(MID('R.M Billets Reports'!D2545,SEARCH("-",'R.M Billets Reports'!D2545)+1,200)),""))&lt;&gt;"",IF(ISNUMBER(SEARCH("Party Name:-",'R.M Billets Reports'!D2545)),TRIM('R.M Billets Reports'!F2545),IF(ISNUMBER(SEARCH("Party Name-",'R.M Billets Reports'!D2545)),TRIM(MID('R.M Billets Reports'!D2545,SEARCH("-",'R.M Billets Reports'!D2545)+1,200)),"")),IF(ISNUMBER(SEARCH("Party Name:-",'R.M Billets Reports'!D2546)),TRIM('R.M Billets Reports'!F2546),IF(ISNUMBER(SEARCH("Party Name-",'R.M Billets Reports'!D2546)),TRIM(MID('R.M Billets Reports'!D2546,SEARCH("-",'R.M Billets Reports'!D2546)+1,200)),"")))))),IF(ROW()=2,"",A2545))</f>
      </c>
      <c r="B2546">
        <f>IF(OR('R.M Billets Reports'!A2545="Date-",'R.M Billets Reports'!A2545="Date:-"),'R.M Billets Reports'!B2545,IF(ROW()=2,"",B2545))</f>
      </c>
      <c r="C2546">
        <f>IF('R.M Billets Reports'!A2545="V.No.",'R.M Billets Reports'!B2545,IF(ROW()=2,"",C2545))</f>
      </c>
      <c r="D2546">
        <f>IF('R.M Billets Reports'!A2545&lt;&gt;"",'R.M Billets Reports'!A2545,IF(ROW()=2,"",D2545))</f>
      </c>
      <c r="E2546">
        <f>IF('R.M Billets Reports'!B2545="","",TRIM('R.M Billets Reports'!B2545))</f>
      </c>
      <c r="F2546">
        <f>'R.M Billets Reports'!C2545</f>
      </c>
      <c r="G2546">
        <f>'R.M Billets Reports'!D2545</f>
      </c>
      <c r="H2546">
        <f>'R.M Billets Reports'!E2545</f>
      </c>
      <c r="I2546">
        <f>'R.M Billets Reports'!F2545</f>
      </c>
      <c r="J2546">
        <f>'R.M Billets Reports'!G2545</f>
      </c>
      <c r="K2546">
        <f>'R.M Billets Reports'!H2545</f>
      </c>
      <c r="L2546">
        <f>IF('R.M Billets Reports'!I2545="","",'R.M Billets Reports'!I2545)</f>
      </c>
      <c r="M2546">
        <f t="shared" si="78"/>
      </c>
      <c r="N2546">
        <f>IF('R.M Billets Reports'!J2545="","",'R.M Billets Reports'!J2545)</f>
      </c>
      <c r="O2546">
        <f t="shared" si="79"/>
      </c>
      <c r="P2546">
        <f>IF('R.M Billets Reports'!A2545="SIZE",'R.M Billets Reports'!B2545,P2545)</f>
      </c>
    </row>
    <row r="2547" spans="1:16" x14ac:dyDescent="0.25">
      <c r="A2547">
        <f>IF(OR('R.M Billets Reports'!A2546="Date-",'R.M Billets Reports'!A2546="Date:-"),IF(IF(IF(ISNUMBER(SEARCH("Party Name:-",'R.M Billets Reports'!D2546)),TRIM('R.M Billets Reports'!F2546),IF(ISNUMBER(SEARCH("Party Name-",'R.M Billets Reports'!D2546)),TRIM(MID('R.M Billets Reports'!D2546,SEARCH("-",'R.M Billets Reports'!D2546)+1,200)),""))&lt;&gt;"",IF(ISNUMBER(SEARCH("Party Name:-",'R.M Billets Reports'!D2546)),TRIM('R.M Billets Reports'!F2546),IF(ISNUMBER(SEARCH("Party Name-",'R.M Billets Reports'!D2546)),TRIM(MID('R.M Billets Reports'!D2546,SEARCH("-",'R.M Billets Reports'!D2546)+1,200)),"")),IF(ISNUMBER(SEARCH("Party Name:-",'R.M Billets Reports'!D2547)),TRIM('R.M Billets Reports'!F2547),IF(ISNUMBER(SEARCH("Party Name-",'R.M Billets Reports'!D2547)),TRIM(MID('R.M Billets Reports'!D2547,SEARCH("-",'R.M Billets Reports'!D2547)+1,200)),"")))="VRKP ISPAT PVT LTD","VRKP",IF(IF(IF(ISNUMBER(SEARCH("Party Name:-",'R.M Billets Reports'!D2546)),TRIM('R.M Billets Reports'!F2546),IF(ISNUMBER(SEARCH("Party Name-",'R.M Billets Reports'!D2546)),TRIM(MID('R.M Billets Reports'!D2546,SEARCH("-",'R.M Billets Reports'!D2546)+1,200)),""))&lt;&gt;"",IF(ISNUMBER(SEARCH("Party Name:-",'R.M Billets Reports'!D2546)),TRIM('R.M Billets Reports'!F2546),IF(ISNUMBER(SEARCH("Party Name-",'R.M Billets Reports'!D2546)),TRIM(MID('R.M Billets Reports'!D2546,SEARCH("-",'R.M Billets Reports'!D2546)+1,200)),"")),IF(ISNUMBER(SEARCH("Party Name:-",'R.M Billets Reports'!D2547)),TRIM('R.M Billets Reports'!F2547),IF(ISNUMBER(SEARCH("Party Name-",'R.M Billets Reports'!D2547)),TRIM(MID('R.M Billets Reports'!D2547,SEARCH("-",'R.M Billets Reports'!D2547)+1,200)),"")))="SHRI RADHE","SHREE RADHE",IF(IF(IF(ISNUMBER(SEARCH("Party Name:-",'R.M Billets Reports'!D2546)),TRIM('R.M Billets Reports'!F2546),IF(ISNUMBER(SEARCH("Party Name-",'R.M Billets Reports'!D2546)),TRIM(MID('R.M Billets Reports'!D2546,SEARCH("-",'R.M Billets Reports'!D2546)+1,200)),""))&lt;&gt;"",IF(ISNUMBER(SEARCH("Party Name:-",'R.M Billets Reports'!D2546)),TRIM('R.M Billets Reports'!F2546),IF(ISNUMBER(SEARCH("Party Name-",'R.M Billets Reports'!D2546)),TRIM(MID('R.M Billets Reports'!D2546,SEARCH("-",'R.M Billets Reports'!D2546)+1,200)),"")),IF(ISNUMBER(SEARCH("Party Name:-",'R.M Billets Reports'!D2547)),TRIM('R.M Billets Reports'!F2547),IF(ISNUMBER(SEARCH("Party Name-",'R.M Billets Reports'!D2547)),TRIM(MID('R.M Billets Reports'!D2547,SEARCH("-",'R.M Billets Reports'!D2547)+1,200)),"")))="SHREE RADHE SHAKTI SPONGE AND POWER PVT. LTD.","SHREE RADHE",IF(IF(ISNUMBER(SEARCH("Party Name:-",'R.M Billets Reports'!D2546)),TRIM('R.M Billets Reports'!F2546),IF(ISNUMBER(SEARCH("Party Name-",'R.M Billets Reports'!D2546)),TRIM(MID('R.M Billets Reports'!D2546,SEARCH("-",'R.M Billets Reports'!D2546)+1,200)),""))&lt;&gt;"",IF(ISNUMBER(SEARCH("Party Name:-",'R.M Billets Reports'!D2546)),TRIM('R.M Billets Reports'!F2546),IF(ISNUMBER(SEARCH("Party Name-",'R.M Billets Reports'!D2546)),TRIM(MID('R.M Billets Reports'!D2546,SEARCH("-",'R.M Billets Reports'!D2546)+1,200)),"")),IF(ISNUMBER(SEARCH("Party Name:-",'R.M Billets Reports'!D2547)),TRIM('R.M Billets Reports'!F2547),IF(ISNUMBER(SEARCH("Party Name-",'R.M Billets Reports'!D2547)),TRIM(MID('R.M Billets Reports'!D2547,SEARCH("-",'R.M Billets Reports'!D2547)+1,200)),"")))))),IF(ROW()=2,"",A2546))</f>
      </c>
      <c r="B2547">
        <f>IF(OR('R.M Billets Reports'!A2546="Date-",'R.M Billets Reports'!A2546="Date:-"),'R.M Billets Reports'!B2546,IF(ROW()=2,"",B2546))</f>
      </c>
      <c r="C2547">
        <f>IF('R.M Billets Reports'!A2546="V.No.",'R.M Billets Reports'!B2546,IF(ROW()=2,"",C2546))</f>
      </c>
      <c r="D2547">
        <f>IF('R.M Billets Reports'!A2546&lt;&gt;"",'R.M Billets Reports'!A2546,IF(ROW()=2,"",D2546))</f>
      </c>
      <c r="E2547">
        <f>IF('R.M Billets Reports'!B2546="","",TRIM('R.M Billets Reports'!B2546))</f>
      </c>
      <c r="F2547">
        <f>'R.M Billets Reports'!C2546</f>
      </c>
      <c r="G2547">
        <f>'R.M Billets Reports'!D2546</f>
      </c>
      <c r="H2547">
        <f>'R.M Billets Reports'!E2546</f>
      </c>
      <c r="I2547">
        <f>'R.M Billets Reports'!F2546</f>
      </c>
      <c r="J2547">
        <f>'R.M Billets Reports'!G2546</f>
      </c>
      <c r="K2547">
        <f>'R.M Billets Reports'!H2546</f>
      </c>
      <c r="L2547">
        <f>IF('R.M Billets Reports'!I2546="","",'R.M Billets Reports'!I2546)</f>
      </c>
      <c r="M2547">
        <f t="shared" si="78"/>
      </c>
      <c r="N2547">
        <f>IF('R.M Billets Reports'!J2546="","",'R.M Billets Reports'!J2546)</f>
      </c>
      <c r="O2547">
        <f t="shared" si="79"/>
      </c>
      <c r="P2547">
        <f>IF('R.M Billets Reports'!A2546="SIZE",'R.M Billets Reports'!B2546,P2546)</f>
      </c>
    </row>
    <row r="2548" spans="1:16" x14ac:dyDescent="0.25">
      <c r="A2548">
        <f>IF(OR('R.M Billets Reports'!A2547="Date-",'R.M Billets Reports'!A2547="Date:-"),IF(IF(IF(ISNUMBER(SEARCH("Party Name:-",'R.M Billets Reports'!D2547)),TRIM('R.M Billets Reports'!F2547),IF(ISNUMBER(SEARCH("Party Name-",'R.M Billets Reports'!D2547)),TRIM(MID('R.M Billets Reports'!D2547,SEARCH("-",'R.M Billets Reports'!D2547)+1,200)),""))&lt;&gt;"",IF(ISNUMBER(SEARCH("Party Name:-",'R.M Billets Reports'!D2547)),TRIM('R.M Billets Reports'!F2547),IF(ISNUMBER(SEARCH("Party Name-",'R.M Billets Reports'!D2547)),TRIM(MID('R.M Billets Reports'!D2547,SEARCH("-",'R.M Billets Reports'!D2547)+1,200)),"")),IF(ISNUMBER(SEARCH("Party Name:-",'R.M Billets Reports'!D2548)),TRIM('R.M Billets Reports'!F2548),IF(ISNUMBER(SEARCH("Party Name-",'R.M Billets Reports'!D2548)),TRIM(MID('R.M Billets Reports'!D2548,SEARCH("-",'R.M Billets Reports'!D2548)+1,200)),"")))="VRKP ISPAT PVT LTD","VRKP",IF(IF(IF(ISNUMBER(SEARCH("Party Name:-",'R.M Billets Reports'!D2547)),TRIM('R.M Billets Reports'!F2547),IF(ISNUMBER(SEARCH("Party Name-",'R.M Billets Reports'!D2547)),TRIM(MID('R.M Billets Reports'!D2547,SEARCH("-",'R.M Billets Reports'!D2547)+1,200)),""))&lt;&gt;"",IF(ISNUMBER(SEARCH("Party Name:-",'R.M Billets Reports'!D2547)),TRIM('R.M Billets Reports'!F2547),IF(ISNUMBER(SEARCH("Party Name-",'R.M Billets Reports'!D2547)),TRIM(MID('R.M Billets Reports'!D2547,SEARCH("-",'R.M Billets Reports'!D2547)+1,200)),"")),IF(ISNUMBER(SEARCH("Party Name:-",'R.M Billets Reports'!D2548)),TRIM('R.M Billets Reports'!F2548),IF(ISNUMBER(SEARCH("Party Name-",'R.M Billets Reports'!D2548)),TRIM(MID('R.M Billets Reports'!D2548,SEARCH("-",'R.M Billets Reports'!D2548)+1,200)),"")))="SHRI RADHE","SHREE RADHE",IF(IF(IF(ISNUMBER(SEARCH("Party Name:-",'R.M Billets Reports'!D2547)),TRIM('R.M Billets Reports'!F2547),IF(ISNUMBER(SEARCH("Party Name-",'R.M Billets Reports'!D2547)),TRIM(MID('R.M Billets Reports'!D2547,SEARCH("-",'R.M Billets Reports'!D2547)+1,200)),""))&lt;&gt;"",IF(ISNUMBER(SEARCH("Party Name:-",'R.M Billets Reports'!D2547)),TRIM('R.M Billets Reports'!F2547),IF(ISNUMBER(SEARCH("Party Name-",'R.M Billets Reports'!D2547)),TRIM(MID('R.M Billets Reports'!D2547,SEARCH("-",'R.M Billets Reports'!D2547)+1,200)),"")),IF(ISNUMBER(SEARCH("Party Name:-",'R.M Billets Reports'!D2548)),TRIM('R.M Billets Reports'!F2548),IF(ISNUMBER(SEARCH("Party Name-",'R.M Billets Reports'!D2548)),TRIM(MID('R.M Billets Reports'!D2548,SEARCH("-",'R.M Billets Reports'!D2548)+1,200)),"")))="SHREE RADHE SHAKTI SPONGE AND POWER PVT. LTD.","SHREE RADHE",IF(IF(ISNUMBER(SEARCH("Party Name:-",'R.M Billets Reports'!D2547)),TRIM('R.M Billets Reports'!F2547),IF(ISNUMBER(SEARCH("Party Name-",'R.M Billets Reports'!D2547)),TRIM(MID('R.M Billets Reports'!D2547,SEARCH("-",'R.M Billets Reports'!D2547)+1,200)),""))&lt;&gt;"",IF(ISNUMBER(SEARCH("Party Name:-",'R.M Billets Reports'!D2547)),TRIM('R.M Billets Reports'!F2547),IF(ISNUMBER(SEARCH("Party Name-",'R.M Billets Reports'!D2547)),TRIM(MID('R.M Billets Reports'!D2547,SEARCH("-",'R.M Billets Reports'!D2547)+1,200)),"")),IF(ISNUMBER(SEARCH("Party Name:-",'R.M Billets Reports'!D2548)),TRIM('R.M Billets Reports'!F2548),IF(ISNUMBER(SEARCH("Party Name-",'R.M Billets Reports'!D2548)),TRIM(MID('R.M Billets Reports'!D2548,SEARCH("-",'R.M Billets Reports'!D2548)+1,200)),"")))))),IF(ROW()=2,"",A2547))</f>
      </c>
      <c r="B2548">
        <f>IF(OR('R.M Billets Reports'!A2547="Date-",'R.M Billets Reports'!A2547="Date:-"),'R.M Billets Reports'!B2547,IF(ROW()=2,"",B2547))</f>
      </c>
      <c r="C2548">
        <f>IF('R.M Billets Reports'!A2547="V.No.",'R.M Billets Reports'!B2547,IF(ROW()=2,"",C2547))</f>
      </c>
      <c r="D2548">
        <f>IF('R.M Billets Reports'!A2547&lt;&gt;"",'R.M Billets Reports'!A2547,IF(ROW()=2,"",D2547))</f>
      </c>
      <c r="E2548">
        <f>IF('R.M Billets Reports'!B2547="","",TRIM('R.M Billets Reports'!B2547))</f>
      </c>
      <c r="F2548">
        <f>'R.M Billets Reports'!C2547</f>
      </c>
      <c r="G2548">
        <f>'R.M Billets Reports'!D2547</f>
      </c>
      <c r="H2548">
        <f>'R.M Billets Reports'!E2547</f>
      </c>
      <c r="I2548">
        <f>'R.M Billets Reports'!F2547</f>
      </c>
      <c r="J2548">
        <f>'R.M Billets Reports'!G2547</f>
      </c>
      <c r="K2548">
        <f>'R.M Billets Reports'!H2547</f>
      </c>
      <c r="L2548">
        <f>IF('R.M Billets Reports'!I2547="","",'R.M Billets Reports'!I2547)</f>
      </c>
      <c r="M2548">
        <f t="shared" si="78"/>
      </c>
      <c r="N2548">
        <f>IF('R.M Billets Reports'!J2547="","",'R.M Billets Reports'!J2547)</f>
      </c>
      <c r="O2548">
        <f t="shared" si="79"/>
      </c>
      <c r="P2548">
        <f>IF('R.M Billets Reports'!A2547="SIZE",'R.M Billets Reports'!B2547,P2547)</f>
      </c>
    </row>
    <row r="2549" spans="1:16" x14ac:dyDescent="0.25">
      <c r="A2549">
        <f>IF(OR('R.M Billets Reports'!A2548="Date-",'R.M Billets Reports'!A2548="Date:-"),IF(IF(IF(ISNUMBER(SEARCH("Party Name:-",'R.M Billets Reports'!D2548)),TRIM('R.M Billets Reports'!F2548),IF(ISNUMBER(SEARCH("Party Name-",'R.M Billets Reports'!D2548)),TRIM(MID('R.M Billets Reports'!D2548,SEARCH("-",'R.M Billets Reports'!D2548)+1,200)),""))&lt;&gt;"",IF(ISNUMBER(SEARCH("Party Name:-",'R.M Billets Reports'!D2548)),TRIM('R.M Billets Reports'!F2548),IF(ISNUMBER(SEARCH("Party Name-",'R.M Billets Reports'!D2548)),TRIM(MID('R.M Billets Reports'!D2548,SEARCH("-",'R.M Billets Reports'!D2548)+1,200)),"")),IF(ISNUMBER(SEARCH("Party Name:-",'R.M Billets Reports'!D2549)),TRIM('R.M Billets Reports'!F2549),IF(ISNUMBER(SEARCH("Party Name-",'R.M Billets Reports'!D2549)),TRIM(MID('R.M Billets Reports'!D2549,SEARCH("-",'R.M Billets Reports'!D2549)+1,200)),"")))="VRKP ISPAT PVT LTD","VRKP",IF(IF(IF(ISNUMBER(SEARCH("Party Name:-",'R.M Billets Reports'!D2548)),TRIM('R.M Billets Reports'!F2548),IF(ISNUMBER(SEARCH("Party Name-",'R.M Billets Reports'!D2548)),TRIM(MID('R.M Billets Reports'!D2548,SEARCH("-",'R.M Billets Reports'!D2548)+1,200)),""))&lt;&gt;"",IF(ISNUMBER(SEARCH("Party Name:-",'R.M Billets Reports'!D2548)),TRIM('R.M Billets Reports'!F2548),IF(ISNUMBER(SEARCH("Party Name-",'R.M Billets Reports'!D2548)),TRIM(MID('R.M Billets Reports'!D2548,SEARCH("-",'R.M Billets Reports'!D2548)+1,200)),"")),IF(ISNUMBER(SEARCH("Party Name:-",'R.M Billets Reports'!D2549)),TRIM('R.M Billets Reports'!F2549),IF(ISNUMBER(SEARCH("Party Name-",'R.M Billets Reports'!D2549)),TRIM(MID('R.M Billets Reports'!D2549,SEARCH("-",'R.M Billets Reports'!D2549)+1,200)),"")))="SHRI RADHE","SHREE RADHE",IF(IF(IF(ISNUMBER(SEARCH("Party Name:-",'R.M Billets Reports'!D2548)),TRIM('R.M Billets Reports'!F2548),IF(ISNUMBER(SEARCH("Party Name-",'R.M Billets Reports'!D2548)),TRIM(MID('R.M Billets Reports'!D2548,SEARCH("-",'R.M Billets Reports'!D2548)+1,200)),""))&lt;&gt;"",IF(ISNUMBER(SEARCH("Party Name:-",'R.M Billets Reports'!D2548)),TRIM('R.M Billets Reports'!F2548),IF(ISNUMBER(SEARCH("Party Name-",'R.M Billets Reports'!D2548)),TRIM(MID('R.M Billets Reports'!D2548,SEARCH("-",'R.M Billets Reports'!D2548)+1,200)),"")),IF(ISNUMBER(SEARCH("Party Name:-",'R.M Billets Reports'!D2549)),TRIM('R.M Billets Reports'!F2549),IF(ISNUMBER(SEARCH("Party Name-",'R.M Billets Reports'!D2549)),TRIM(MID('R.M Billets Reports'!D2549,SEARCH("-",'R.M Billets Reports'!D2549)+1,200)),"")))="SHREE RADHE SHAKTI SPONGE AND POWER PVT. LTD.","SHREE RADHE",IF(IF(ISNUMBER(SEARCH("Party Name:-",'R.M Billets Reports'!D2548)),TRIM('R.M Billets Reports'!F2548),IF(ISNUMBER(SEARCH("Party Name-",'R.M Billets Reports'!D2548)),TRIM(MID('R.M Billets Reports'!D2548,SEARCH("-",'R.M Billets Reports'!D2548)+1,200)),""))&lt;&gt;"",IF(ISNUMBER(SEARCH("Party Name:-",'R.M Billets Reports'!D2548)),TRIM('R.M Billets Reports'!F2548),IF(ISNUMBER(SEARCH("Party Name-",'R.M Billets Reports'!D2548)),TRIM(MID('R.M Billets Reports'!D2548,SEARCH("-",'R.M Billets Reports'!D2548)+1,200)),"")),IF(ISNUMBER(SEARCH("Party Name:-",'R.M Billets Reports'!D2549)),TRIM('R.M Billets Reports'!F2549),IF(ISNUMBER(SEARCH("Party Name-",'R.M Billets Reports'!D2549)),TRIM(MID('R.M Billets Reports'!D2549,SEARCH("-",'R.M Billets Reports'!D2549)+1,200)),"")))))),IF(ROW()=2,"",A2548))</f>
      </c>
      <c r="B2549">
        <f>IF(OR('R.M Billets Reports'!A2548="Date-",'R.M Billets Reports'!A2548="Date:-"),'R.M Billets Reports'!B2548,IF(ROW()=2,"",B2548))</f>
      </c>
      <c r="C2549">
        <f>IF('R.M Billets Reports'!A2548="V.No.",'R.M Billets Reports'!B2548,IF(ROW()=2,"",C2548))</f>
      </c>
      <c r="D2549">
        <f>IF('R.M Billets Reports'!A2548&lt;&gt;"",'R.M Billets Reports'!A2548,IF(ROW()=2,"",D2548))</f>
      </c>
      <c r="E2549">
        <f>IF('R.M Billets Reports'!B2548="","",TRIM('R.M Billets Reports'!B2548))</f>
      </c>
      <c r="F2549">
        <f>'R.M Billets Reports'!C2548</f>
      </c>
      <c r="G2549">
        <f>'R.M Billets Reports'!D2548</f>
      </c>
      <c r="H2549">
        <f>'R.M Billets Reports'!E2548</f>
      </c>
      <c r="I2549">
        <f>'R.M Billets Reports'!F2548</f>
      </c>
      <c r="J2549">
        <f>'R.M Billets Reports'!G2548</f>
      </c>
      <c r="K2549">
        <f>'R.M Billets Reports'!H2548</f>
      </c>
      <c r="L2549">
        <f>IF('R.M Billets Reports'!I2548="","",'R.M Billets Reports'!I2548)</f>
      </c>
      <c r="M2549">
        <f t="shared" si="78"/>
      </c>
      <c r="N2549">
        <f>IF('R.M Billets Reports'!J2548="","",'R.M Billets Reports'!J2548)</f>
      </c>
      <c r="O2549">
        <f t="shared" si="79"/>
      </c>
      <c r="P2549">
        <f>IF('R.M Billets Reports'!A2548="SIZE",'R.M Billets Reports'!B2548,P2548)</f>
      </c>
    </row>
    <row r="2550" spans="1:16" x14ac:dyDescent="0.25">
      <c r="A2550">
        <f>IF(OR('R.M Billets Reports'!A2549="Date-",'R.M Billets Reports'!A2549="Date:-"),IF(IF(IF(ISNUMBER(SEARCH("Party Name:-",'R.M Billets Reports'!D2549)),TRIM('R.M Billets Reports'!F2549),IF(ISNUMBER(SEARCH("Party Name-",'R.M Billets Reports'!D2549)),TRIM(MID('R.M Billets Reports'!D2549,SEARCH("-",'R.M Billets Reports'!D2549)+1,200)),""))&lt;&gt;"",IF(ISNUMBER(SEARCH("Party Name:-",'R.M Billets Reports'!D2549)),TRIM('R.M Billets Reports'!F2549),IF(ISNUMBER(SEARCH("Party Name-",'R.M Billets Reports'!D2549)),TRIM(MID('R.M Billets Reports'!D2549,SEARCH("-",'R.M Billets Reports'!D2549)+1,200)),"")),IF(ISNUMBER(SEARCH("Party Name:-",'R.M Billets Reports'!D2550)),TRIM('R.M Billets Reports'!F2550),IF(ISNUMBER(SEARCH("Party Name-",'R.M Billets Reports'!D2550)),TRIM(MID('R.M Billets Reports'!D2550,SEARCH("-",'R.M Billets Reports'!D2550)+1,200)),"")))="VRKP ISPAT PVT LTD","VRKP",IF(IF(IF(ISNUMBER(SEARCH("Party Name:-",'R.M Billets Reports'!D2549)),TRIM('R.M Billets Reports'!F2549),IF(ISNUMBER(SEARCH("Party Name-",'R.M Billets Reports'!D2549)),TRIM(MID('R.M Billets Reports'!D2549,SEARCH("-",'R.M Billets Reports'!D2549)+1,200)),""))&lt;&gt;"",IF(ISNUMBER(SEARCH("Party Name:-",'R.M Billets Reports'!D2549)),TRIM('R.M Billets Reports'!F2549),IF(ISNUMBER(SEARCH("Party Name-",'R.M Billets Reports'!D2549)),TRIM(MID('R.M Billets Reports'!D2549,SEARCH("-",'R.M Billets Reports'!D2549)+1,200)),"")),IF(ISNUMBER(SEARCH("Party Name:-",'R.M Billets Reports'!D2550)),TRIM('R.M Billets Reports'!F2550),IF(ISNUMBER(SEARCH("Party Name-",'R.M Billets Reports'!D2550)),TRIM(MID('R.M Billets Reports'!D2550,SEARCH("-",'R.M Billets Reports'!D2550)+1,200)),"")))="SHRI RADHE","SHREE RADHE",IF(IF(IF(ISNUMBER(SEARCH("Party Name:-",'R.M Billets Reports'!D2549)),TRIM('R.M Billets Reports'!F2549),IF(ISNUMBER(SEARCH("Party Name-",'R.M Billets Reports'!D2549)),TRIM(MID('R.M Billets Reports'!D2549,SEARCH("-",'R.M Billets Reports'!D2549)+1,200)),""))&lt;&gt;"",IF(ISNUMBER(SEARCH("Party Name:-",'R.M Billets Reports'!D2549)),TRIM('R.M Billets Reports'!F2549),IF(ISNUMBER(SEARCH("Party Name-",'R.M Billets Reports'!D2549)),TRIM(MID('R.M Billets Reports'!D2549,SEARCH("-",'R.M Billets Reports'!D2549)+1,200)),"")),IF(ISNUMBER(SEARCH("Party Name:-",'R.M Billets Reports'!D2550)),TRIM('R.M Billets Reports'!F2550),IF(ISNUMBER(SEARCH("Party Name-",'R.M Billets Reports'!D2550)),TRIM(MID('R.M Billets Reports'!D2550,SEARCH("-",'R.M Billets Reports'!D2550)+1,200)),"")))="SHREE RADHE SHAKTI SPONGE AND POWER PVT. LTD.","SHREE RADHE",IF(IF(ISNUMBER(SEARCH("Party Name:-",'R.M Billets Reports'!D2549)),TRIM('R.M Billets Reports'!F2549),IF(ISNUMBER(SEARCH("Party Name-",'R.M Billets Reports'!D2549)),TRIM(MID('R.M Billets Reports'!D2549,SEARCH("-",'R.M Billets Reports'!D2549)+1,200)),""))&lt;&gt;"",IF(ISNUMBER(SEARCH("Party Name:-",'R.M Billets Reports'!D2549)),TRIM('R.M Billets Reports'!F2549),IF(ISNUMBER(SEARCH("Party Name-",'R.M Billets Reports'!D2549)),TRIM(MID('R.M Billets Reports'!D2549,SEARCH("-",'R.M Billets Reports'!D2549)+1,200)),"")),IF(ISNUMBER(SEARCH("Party Name:-",'R.M Billets Reports'!D2550)),TRIM('R.M Billets Reports'!F2550),IF(ISNUMBER(SEARCH("Party Name-",'R.M Billets Reports'!D2550)),TRIM(MID('R.M Billets Reports'!D2550,SEARCH("-",'R.M Billets Reports'!D2550)+1,200)),"")))))),IF(ROW()=2,"",A2549))</f>
      </c>
      <c r="B2550">
        <f>IF(OR('R.M Billets Reports'!A2549="Date-",'R.M Billets Reports'!A2549="Date:-"),'R.M Billets Reports'!B2549,IF(ROW()=2,"",B2549))</f>
      </c>
      <c r="C2550">
        <f>IF('R.M Billets Reports'!A2549="V.No.",'R.M Billets Reports'!B2549,IF(ROW()=2,"",C2549))</f>
      </c>
      <c r="D2550">
        <f>IF('R.M Billets Reports'!A2549&lt;&gt;"",'R.M Billets Reports'!A2549,IF(ROW()=2,"",D2549))</f>
      </c>
      <c r="E2550">
        <f>IF('R.M Billets Reports'!B2549="","",TRIM('R.M Billets Reports'!B2549))</f>
      </c>
      <c r="F2550">
        <f>'R.M Billets Reports'!C2549</f>
      </c>
      <c r="G2550">
        <f>'R.M Billets Reports'!D2549</f>
      </c>
      <c r="H2550">
        <f>'R.M Billets Reports'!E2549</f>
      </c>
      <c r="I2550">
        <f>'R.M Billets Reports'!F2549</f>
      </c>
      <c r="J2550">
        <f>'R.M Billets Reports'!G2549</f>
      </c>
      <c r="K2550">
        <f>'R.M Billets Reports'!H2549</f>
      </c>
      <c r="L2550">
        <f>IF('R.M Billets Reports'!I2549="","",'R.M Billets Reports'!I2549)</f>
      </c>
      <c r="M2550">
        <f t="shared" si="78"/>
      </c>
      <c r="N2550">
        <f>IF('R.M Billets Reports'!J2549="","",'R.M Billets Reports'!J2549)</f>
      </c>
      <c r="O2550">
        <f t="shared" si="79"/>
      </c>
      <c r="P2550">
        <f>IF('R.M Billets Reports'!A2549="SIZE",'R.M Billets Reports'!B2549,P2549)</f>
      </c>
    </row>
    <row r="2551" spans="1:16" x14ac:dyDescent="0.25">
      <c r="A2551">
        <f>IF(OR('R.M Billets Reports'!A2550="Date-",'R.M Billets Reports'!A2550="Date:-"),IF(IF(IF(ISNUMBER(SEARCH("Party Name:-",'R.M Billets Reports'!D2550)),TRIM('R.M Billets Reports'!F2550),IF(ISNUMBER(SEARCH("Party Name-",'R.M Billets Reports'!D2550)),TRIM(MID('R.M Billets Reports'!D2550,SEARCH("-",'R.M Billets Reports'!D2550)+1,200)),""))&lt;&gt;"",IF(ISNUMBER(SEARCH("Party Name:-",'R.M Billets Reports'!D2550)),TRIM('R.M Billets Reports'!F2550),IF(ISNUMBER(SEARCH("Party Name-",'R.M Billets Reports'!D2550)),TRIM(MID('R.M Billets Reports'!D2550,SEARCH("-",'R.M Billets Reports'!D2550)+1,200)),"")),IF(ISNUMBER(SEARCH("Party Name:-",'R.M Billets Reports'!D2551)),TRIM('R.M Billets Reports'!F2551),IF(ISNUMBER(SEARCH("Party Name-",'R.M Billets Reports'!D2551)),TRIM(MID('R.M Billets Reports'!D2551,SEARCH("-",'R.M Billets Reports'!D2551)+1,200)),"")))="VRKP ISPAT PVT LTD","VRKP",IF(IF(IF(ISNUMBER(SEARCH("Party Name:-",'R.M Billets Reports'!D2550)),TRIM('R.M Billets Reports'!F2550),IF(ISNUMBER(SEARCH("Party Name-",'R.M Billets Reports'!D2550)),TRIM(MID('R.M Billets Reports'!D2550,SEARCH("-",'R.M Billets Reports'!D2550)+1,200)),""))&lt;&gt;"",IF(ISNUMBER(SEARCH("Party Name:-",'R.M Billets Reports'!D2550)),TRIM('R.M Billets Reports'!F2550),IF(ISNUMBER(SEARCH("Party Name-",'R.M Billets Reports'!D2550)),TRIM(MID('R.M Billets Reports'!D2550,SEARCH("-",'R.M Billets Reports'!D2550)+1,200)),"")),IF(ISNUMBER(SEARCH("Party Name:-",'R.M Billets Reports'!D2551)),TRIM('R.M Billets Reports'!F2551),IF(ISNUMBER(SEARCH("Party Name-",'R.M Billets Reports'!D2551)),TRIM(MID('R.M Billets Reports'!D2551,SEARCH("-",'R.M Billets Reports'!D2551)+1,200)),"")))="SHRI RADHE","SHREE RADHE",IF(IF(IF(ISNUMBER(SEARCH("Party Name:-",'R.M Billets Reports'!D2550)),TRIM('R.M Billets Reports'!F2550),IF(ISNUMBER(SEARCH("Party Name-",'R.M Billets Reports'!D2550)),TRIM(MID('R.M Billets Reports'!D2550,SEARCH("-",'R.M Billets Reports'!D2550)+1,200)),""))&lt;&gt;"",IF(ISNUMBER(SEARCH("Party Name:-",'R.M Billets Reports'!D2550)),TRIM('R.M Billets Reports'!F2550),IF(ISNUMBER(SEARCH("Party Name-",'R.M Billets Reports'!D2550)),TRIM(MID('R.M Billets Reports'!D2550,SEARCH("-",'R.M Billets Reports'!D2550)+1,200)),"")),IF(ISNUMBER(SEARCH("Party Name:-",'R.M Billets Reports'!D2551)),TRIM('R.M Billets Reports'!F2551),IF(ISNUMBER(SEARCH("Party Name-",'R.M Billets Reports'!D2551)),TRIM(MID('R.M Billets Reports'!D2551,SEARCH("-",'R.M Billets Reports'!D2551)+1,200)),"")))="SHREE RADHE SHAKTI SPONGE AND POWER PVT. LTD.","SHREE RADHE",IF(IF(ISNUMBER(SEARCH("Party Name:-",'R.M Billets Reports'!D2550)),TRIM('R.M Billets Reports'!F2550),IF(ISNUMBER(SEARCH("Party Name-",'R.M Billets Reports'!D2550)),TRIM(MID('R.M Billets Reports'!D2550,SEARCH("-",'R.M Billets Reports'!D2550)+1,200)),""))&lt;&gt;"",IF(ISNUMBER(SEARCH("Party Name:-",'R.M Billets Reports'!D2550)),TRIM('R.M Billets Reports'!F2550),IF(ISNUMBER(SEARCH("Party Name-",'R.M Billets Reports'!D2550)),TRIM(MID('R.M Billets Reports'!D2550,SEARCH("-",'R.M Billets Reports'!D2550)+1,200)),"")),IF(ISNUMBER(SEARCH("Party Name:-",'R.M Billets Reports'!D2551)),TRIM('R.M Billets Reports'!F2551),IF(ISNUMBER(SEARCH("Party Name-",'R.M Billets Reports'!D2551)),TRIM(MID('R.M Billets Reports'!D2551,SEARCH("-",'R.M Billets Reports'!D2551)+1,200)),"")))))),IF(ROW()=2,"",A2550))</f>
      </c>
      <c r="B2551">
        <f>IF(OR('R.M Billets Reports'!A2550="Date-",'R.M Billets Reports'!A2550="Date:-"),'R.M Billets Reports'!B2550,IF(ROW()=2,"",B2550))</f>
      </c>
      <c r="C2551">
        <f>IF('R.M Billets Reports'!A2550="V.No.",'R.M Billets Reports'!B2550,IF(ROW()=2,"",C2550))</f>
      </c>
      <c r="D2551">
        <f>IF('R.M Billets Reports'!A2550&lt;&gt;"",'R.M Billets Reports'!A2550,IF(ROW()=2,"",D2550))</f>
      </c>
      <c r="E2551">
        <f>IF('R.M Billets Reports'!B2550="","",TRIM('R.M Billets Reports'!B2550))</f>
      </c>
      <c r="F2551">
        <f>'R.M Billets Reports'!C2550</f>
      </c>
      <c r="G2551">
        <f>'R.M Billets Reports'!D2550</f>
      </c>
      <c r="H2551">
        <f>'R.M Billets Reports'!E2550</f>
      </c>
      <c r="I2551">
        <f>'R.M Billets Reports'!F2550</f>
      </c>
      <c r="J2551">
        <f>'R.M Billets Reports'!G2550</f>
      </c>
      <c r="K2551">
        <f>'R.M Billets Reports'!H2550</f>
      </c>
      <c r="L2551">
        <f>IF('R.M Billets Reports'!I2550="","",'R.M Billets Reports'!I2550)</f>
      </c>
      <c r="M2551">
        <f t="shared" si="78"/>
      </c>
      <c r="N2551">
        <f>IF('R.M Billets Reports'!J2550="","",'R.M Billets Reports'!J2550)</f>
      </c>
      <c r="O2551">
        <f t="shared" si="79"/>
      </c>
      <c r="P2551">
        <f>IF('R.M Billets Reports'!A2550="SIZE",'R.M Billets Reports'!B2550,P2550)</f>
      </c>
    </row>
    <row r="2552" spans="1:16" x14ac:dyDescent="0.25">
      <c r="A2552">
        <f>IF(OR('R.M Billets Reports'!A2551="Date-",'R.M Billets Reports'!A2551="Date:-"),IF(IF(IF(ISNUMBER(SEARCH("Party Name:-",'R.M Billets Reports'!D2551)),TRIM('R.M Billets Reports'!F2551),IF(ISNUMBER(SEARCH("Party Name-",'R.M Billets Reports'!D2551)),TRIM(MID('R.M Billets Reports'!D2551,SEARCH("-",'R.M Billets Reports'!D2551)+1,200)),""))&lt;&gt;"",IF(ISNUMBER(SEARCH("Party Name:-",'R.M Billets Reports'!D2551)),TRIM('R.M Billets Reports'!F2551),IF(ISNUMBER(SEARCH("Party Name-",'R.M Billets Reports'!D2551)),TRIM(MID('R.M Billets Reports'!D2551,SEARCH("-",'R.M Billets Reports'!D2551)+1,200)),"")),IF(ISNUMBER(SEARCH("Party Name:-",'R.M Billets Reports'!D2552)),TRIM('R.M Billets Reports'!F2552),IF(ISNUMBER(SEARCH("Party Name-",'R.M Billets Reports'!D2552)),TRIM(MID('R.M Billets Reports'!D2552,SEARCH("-",'R.M Billets Reports'!D2552)+1,200)),"")))="VRKP ISPAT PVT LTD","VRKP",IF(IF(IF(ISNUMBER(SEARCH("Party Name:-",'R.M Billets Reports'!D2551)),TRIM('R.M Billets Reports'!F2551),IF(ISNUMBER(SEARCH("Party Name-",'R.M Billets Reports'!D2551)),TRIM(MID('R.M Billets Reports'!D2551,SEARCH("-",'R.M Billets Reports'!D2551)+1,200)),""))&lt;&gt;"",IF(ISNUMBER(SEARCH("Party Name:-",'R.M Billets Reports'!D2551)),TRIM('R.M Billets Reports'!F2551),IF(ISNUMBER(SEARCH("Party Name-",'R.M Billets Reports'!D2551)),TRIM(MID('R.M Billets Reports'!D2551,SEARCH("-",'R.M Billets Reports'!D2551)+1,200)),"")),IF(ISNUMBER(SEARCH("Party Name:-",'R.M Billets Reports'!D2552)),TRIM('R.M Billets Reports'!F2552),IF(ISNUMBER(SEARCH("Party Name-",'R.M Billets Reports'!D2552)),TRIM(MID('R.M Billets Reports'!D2552,SEARCH("-",'R.M Billets Reports'!D2552)+1,200)),"")))="SHRI RADHE","SHREE RADHE",IF(IF(IF(ISNUMBER(SEARCH("Party Name:-",'R.M Billets Reports'!D2551)),TRIM('R.M Billets Reports'!F2551),IF(ISNUMBER(SEARCH("Party Name-",'R.M Billets Reports'!D2551)),TRIM(MID('R.M Billets Reports'!D2551,SEARCH("-",'R.M Billets Reports'!D2551)+1,200)),""))&lt;&gt;"",IF(ISNUMBER(SEARCH("Party Name:-",'R.M Billets Reports'!D2551)),TRIM('R.M Billets Reports'!F2551),IF(ISNUMBER(SEARCH("Party Name-",'R.M Billets Reports'!D2551)),TRIM(MID('R.M Billets Reports'!D2551,SEARCH("-",'R.M Billets Reports'!D2551)+1,200)),"")),IF(ISNUMBER(SEARCH("Party Name:-",'R.M Billets Reports'!D2552)),TRIM('R.M Billets Reports'!F2552),IF(ISNUMBER(SEARCH("Party Name-",'R.M Billets Reports'!D2552)),TRIM(MID('R.M Billets Reports'!D2552,SEARCH("-",'R.M Billets Reports'!D2552)+1,200)),"")))="SHREE RADHE SHAKTI SPONGE AND POWER PVT. LTD.","SHREE RADHE",IF(IF(ISNUMBER(SEARCH("Party Name:-",'R.M Billets Reports'!D2551)),TRIM('R.M Billets Reports'!F2551),IF(ISNUMBER(SEARCH("Party Name-",'R.M Billets Reports'!D2551)),TRIM(MID('R.M Billets Reports'!D2551,SEARCH("-",'R.M Billets Reports'!D2551)+1,200)),""))&lt;&gt;"",IF(ISNUMBER(SEARCH("Party Name:-",'R.M Billets Reports'!D2551)),TRIM('R.M Billets Reports'!F2551),IF(ISNUMBER(SEARCH("Party Name-",'R.M Billets Reports'!D2551)),TRIM(MID('R.M Billets Reports'!D2551,SEARCH("-",'R.M Billets Reports'!D2551)+1,200)),"")),IF(ISNUMBER(SEARCH("Party Name:-",'R.M Billets Reports'!D2552)),TRIM('R.M Billets Reports'!F2552),IF(ISNUMBER(SEARCH("Party Name-",'R.M Billets Reports'!D2552)),TRIM(MID('R.M Billets Reports'!D2552,SEARCH("-",'R.M Billets Reports'!D2552)+1,200)),"")))))),IF(ROW()=2,"",A2551))</f>
      </c>
      <c r="B2552">
        <f>IF(OR('R.M Billets Reports'!A2551="Date-",'R.M Billets Reports'!A2551="Date:-"),'R.M Billets Reports'!B2551,IF(ROW()=2,"",B2551))</f>
      </c>
      <c r="C2552">
        <f>IF('R.M Billets Reports'!A2551="V.No.",'R.M Billets Reports'!B2551,IF(ROW()=2,"",C2551))</f>
      </c>
      <c r="D2552">
        <f>IF('R.M Billets Reports'!A2551&lt;&gt;"",'R.M Billets Reports'!A2551,IF(ROW()=2,"",D2551))</f>
      </c>
      <c r="E2552">
        <f>IF('R.M Billets Reports'!B2551="","",TRIM('R.M Billets Reports'!B2551))</f>
      </c>
      <c r="F2552">
        <f>'R.M Billets Reports'!C2551</f>
      </c>
      <c r="G2552">
        <f>'R.M Billets Reports'!D2551</f>
      </c>
      <c r="H2552">
        <f>'R.M Billets Reports'!E2551</f>
      </c>
      <c r="I2552">
        <f>'R.M Billets Reports'!F2551</f>
      </c>
      <c r="J2552">
        <f>'R.M Billets Reports'!G2551</f>
      </c>
      <c r="K2552">
        <f>'R.M Billets Reports'!H2551</f>
      </c>
      <c r="L2552">
        <f>IF('R.M Billets Reports'!I2551="","",'R.M Billets Reports'!I2551)</f>
      </c>
      <c r="M2552">
        <f t="shared" si="78"/>
      </c>
      <c r="N2552">
        <f>IF('R.M Billets Reports'!J2551="","",'R.M Billets Reports'!J2551)</f>
      </c>
      <c r="O2552">
        <f t="shared" si="79"/>
      </c>
      <c r="P2552">
        <f>IF('R.M Billets Reports'!A2551="SIZE",'R.M Billets Reports'!B2551,P2551)</f>
      </c>
    </row>
    <row r="2553" spans="1:16" x14ac:dyDescent="0.25">
      <c r="A2553">
        <f>IF(OR('R.M Billets Reports'!A2552="Date-",'R.M Billets Reports'!A2552="Date:-"),IF(IF(IF(ISNUMBER(SEARCH("Party Name:-",'R.M Billets Reports'!D2552)),TRIM('R.M Billets Reports'!F2552),IF(ISNUMBER(SEARCH("Party Name-",'R.M Billets Reports'!D2552)),TRIM(MID('R.M Billets Reports'!D2552,SEARCH("-",'R.M Billets Reports'!D2552)+1,200)),""))&lt;&gt;"",IF(ISNUMBER(SEARCH("Party Name:-",'R.M Billets Reports'!D2552)),TRIM('R.M Billets Reports'!F2552),IF(ISNUMBER(SEARCH("Party Name-",'R.M Billets Reports'!D2552)),TRIM(MID('R.M Billets Reports'!D2552,SEARCH("-",'R.M Billets Reports'!D2552)+1,200)),"")),IF(ISNUMBER(SEARCH("Party Name:-",'R.M Billets Reports'!D2553)),TRIM('R.M Billets Reports'!F2553),IF(ISNUMBER(SEARCH("Party Name-",'R.M Billets Reports'!D2553)),TRIM(MID('R.M Billets Reports'!D2553,SEARCH("-",'R.M Billets Reports'!D2553)+1,200)),"")))="VRKP ISPAT PVT LTD","VRKP",IF(IF(IF(ISNUMBER(SEARCH("Party Name:-",'R.M Billets Reports'!D2552)),TRIM('R.M Billets Reports'!F2552),IF(ISNUMBER(SEARCH("Party Name-",'R.M Billets Reports'!D2552)),TRIM(MID('R.M Billets Reports'!D2552,SEARCH("-",'R.M Billets Reports'!D2552)+1,200)),""))&lt;&gt;"",IF(ISNUMBER(SEARCH("Party Name:-",'R.M Billets Reports'!D2552)),TRIM('R.M Billets Reports'!F2552),IF(ISNUMBER(SEARCH("Party Name-",'R.M Billets Reports'!D2552)),TRIM(MID('R.M Billets Reports'!D2552,SEARCH("-",'R.M Billets Reports'!D2552)+1,200)),"")),IF(ISNUMBER(SEARCH("Party Name:-",'R.M Billets Reports'!D2553)),TRIM('R.M Billets Reports'!F2553),IF(ISNUMBER(SEARCH("Party Name-",'R.M Billets Reports'!D2553)),TRIM(MID('R.M Billets Reports'!D2553,SEARCH("-",'R.M Billets Reports'!D2553)+1,200)),"")))="SHRI RADHE","SHREE RADHE",IF(IF(IF(ISNUMBER(SEARCH("Party Name:-",'R.M Billets Reports'!D2552)),TRIM('R.M Billets Reports'!F2552),IF(ISNUMBER(SEARCH("Party Name-",'R.M Billets Reports'!D2552)),TRIM(MID('R.M Billets Reports'!D2552,SEARCH("-",'R.M Billets Reports'!D2552)+1,200)),""))&lt;&gt;"",IF(ISNUMBER(SEARCH("Party Name:-",'R.M Billets Reports'!D2552)),TRIM('R.M Billets Reports'!F2552),IF(ISNUMBER(SEARCH("Party Name-",'R.M Billets Reports'!D2552)),TRIM(MID('R.M Billets Reports'!D2552,SEARCH("-",'R.M Billets Reports'!D2552)+1,200)),"")),IF(ISNUMBER(SEARCH("Party Name:-",'R.M Billets Reports'!D2553)),TRIM('R.M Billets Reports'!F2553),IF(ISNUMBER(SEARCH("Party Name-",'R.M Billets Reports'!D2553)),TRIM(MID('R.M Billets Reports'!D2553,SEARCH("-",'R.M Billets Reports'!D2553)+1,200)),"")))="SHREE RADHE SHAKTI SPONGE AND POWER PVT. LTD.","SHREE RADHE",IF(IF(ISNUMBER(SEARCH("Party Name:-",'R.M Billets Reports'!D2552)),TRIM('R.M Billets Reports'!F2552),IF(ISNUMBER(SEARCH("Party Name-",'R.M Billets Reports'!D2552)),TRIM(MID('R.M Billets Reports'!D2552,SEARCH("-",'R.M Billets Reports'!D2552)+1,200)),""))&lt;&gt;"",IF(ISNUMBER(SEARCH("Party Name:-",'R.M Billets Reports'!D2552)),TRIM('R.M Billets Reports'!F2552),IF(ISNUMBER(SEARCH("Party Name-",'R.M Billets Reports'!D2552)),TRIM(MID('R.M Billets Reports'!D2552,SEARCH("-",'R.M Billets Reports'!D2552)+1,200)),"")),IF(ISNUMBER(SEARCH("Party Name:-",'R.M Billets Reports'!D2553)),TRIM('R.M Billets Reports'!F2553),IF(ISNUMBER(SEARCH("Party Name-",'R.M Billets Reports'!D2553)),TRIM(MID('R.M Billets Reports'!D2553,SEARCH("-",'R.M Billets Reports'!D2553)+1,200)),"")))))),IF(ROW()=2,"",A2552))</f>
      </c>
      <c r="B2553">
        <f>IF(OR('R.M Billets Reports'!A2552="Date-",'R.M Billets Reports'!A2552="Date:-"),'R.M Billets Reports'!B2552,IF(ROW()=2,"",B2552))</f>
      </c>
      <c r="C2553">
        <f>IF('R.M Billets Reports'!A2552="V.No.",'R.M Billets Reports'!B2552,IF(ROW()=2,"",C2552))</f>
      </c>
      <c r="D2553">
        <f>IF('R.M Billets Reports'!A2552&lt;&gt;"",'R.M Billets Reports'!A2552,IF(ROW()=2,"",D2552))</f>
      </c>
      <c r="E2553">
        <f>IF('R.M Billets Reports'!B2552="","",TRIM('R.M Billets Reports'!B2552))</f>
      </c>
      <c r="F2553">
        <f>'R.M Billets Reports'!C2552</f>
      </c>
      <c r="G2553">
        <f>'R.M Billets Reports'!D2552</f>
      </c>
      <c r="H2553">
        <f>'R.M Billets Reports'!E2552</f>
      </c>
      <c r="I2553">
        <f>'R.M Billets Reports'!F2552</f>
      </c>
      <c r="J2553">
        <f>'R.M Billets Reports'!G2552</f>
      </c>
      <c r="K2553">
        <f>'R.M Billets Reports'!H2552</f>
      </c>
      <c r="L2553">
        <f>IF('R.M Billets Reports'!I2552="","",'R.M Billets Reports'!I2552)</f>
      </c>
      <c r="M2553">
        <f t="shared" si="78"/>
      </c>
      <c r="N2553">
        <f>IF('R.M Billets Reports'!J2552="","",'R.M Billets Reports'!J2552)</f>
      </c>
      <c r="O2553">
        <f t="shared" si="79"/>
      </c>
      <c r="P2553">
        <f>IF('R.M Billets Reports'!A2552="SIZE",'R.M Billets Reports'!B2552,P2552)</f>
      </c>
    </row>
    <row r="2554" spans="1:16" x14ac:dyDescent="0.25">
      <c r="A2554">
        <f>IF(OR('R.M Billets Reports'!A2553="Date-",'R.M Billets Reports'!A2553="Date:-"),IF(IF(IF(ISNUMBER(SEARCH("Party Name:-",'R.M Billets Reports'!D2553)),TRIM('R.M Billets Reports'!F2553),IF(ISNUMBER(SEARCH("Party Name-",'R.M Billets Reports'!D2553)),TRIM(MID('R.M Billets Reports'!D2553,SEARCH("-",'R.M Billets Reports'!D2553)+1,200)),""))&lt;&gt;"",IF(ISNUMBER(SEARCH("Party Name:-",'R.M Billets Reports'!D2553)),TRIM('R.M Billets Reports'!F2553),IF(ISNUMBER(SEARCH("Party Name-",'R.M Billets Reports'!D2553)),TRIM(MID('R.M Billets Reports'!D2553,SEARCH("-",'R.M Billets Reports'!D2553)+1,200)),"")),IF(ISNUMBER(SEARCH("Party Name:-",'R.M Billets Reports'!D2554)),TRIM('R.M Billets Reports'!F2554),IF(ISNUMBER(SEARCH("Party Name-",'R.M Billets Reports'!D2554)),TRIM(MID('R.M Billets Reports'!D2554,SEARCH("-",'R.M Billets Reports'!D2554)+1,200)),"")))="VRKP ISPAT PVT LTD","VRKP",IF(IF(IF(ISNUMBER(SEARCH("Party Name:-",'R.M Billets Reports'!D2553)),TRIM('R.M Billets Reports'!F2553),IF(ISNUMBER(SEARCH("Party Name-",'R.M Billets Reports'!D2553)),TRIM(MID('R.M Billets Reports'!D2553,SEARCH("-",'R.M Billets Reports'!D2553)+1,200)),""))&lt;&gt;"",IF(ISNUMBER(SEARCH("Party Name:-",'R.M Billets Reports'!D2553)),TRIM('R.M Billets Reports'!F2553),IF(ISNUMBER(SEARCH("Party Name-",'R.M Billets Reports'!D2553)),TRIM(MID('R.M Billets Reports'!D2553,SEARCH("-",'R.M Billets Reports'!D2553)+1,200)),"")),IF(ISNUMBER(SEARCH("Party Name:-",'R.M Billets Reports'!D2554)),TRIM('R.M Billets Reports'!F2554),IF(ISNUMBER(SEARCH("Party Name-",'R.M Billets Reports'!D2554)),TRIM(MID('R.M Billets Reports'!D2554,SEARCH("-",'R.M Billets Reports'!D2554)+1,200)),"")))="SHRI RADHE","SHREE RADHE",IF(IF(IF(ISNUMBER(SEARCH("Party Name:-",'R.M Billets Reports'!D2553)),TRIM('R.M Billets Reports'!F2553),IF(ISNUMBER(SEARCH("Party Name-",'R.M Billets Reports'!D2553)),TRIM(MID('R.M Billets Reports'!D2553,SEARCH("-",'R.M Billets Reports'!D2553)+1,200)),""))&lt;&gt;"",IF(ISNUMBER(SEARCH("Party Name:-",'R.M Billets Reports'!D2553)),TRIM('R.M Billets Reports'!F2553),IF(ISNUMBER(SEARCH("Party Name-",'R.M Billets Reports'!D2553)),TRIM(MID('R.M Billets Reports'!D2553,SEARCH("-",'R.M Billets Reports'!D2553)+1,200)),"")),IF(ISNUMBER(SEARCH("Party Name:-",'R.M Billets Reports'!D2554)),TRIM('R.M Billets Reports'!F2554),IF(ISNUMBER(SEARCH("Party Name-",'R.M Billets Reports'!D2554)),TRIM(MID('R.M Billets Reports'!D2554,SEARCH("-",'R.M Billets Reports'!D2554)+1,200)),"")))="SHREE RADHE SHAKTI SPONGE AND POWER PVT. LTD.","SHREE RADHE",IF(IF(ISNUMBER(SEARCH("Party Name:-",'R.M Billets Reports'!D2553)),TRIM('R.M Billets Reports'!F2553),IF(ISNUMBER(SEARCH("Party Name-",'R.M Billets Reports'!D2553)),TRIM(MID('R.M Billets Reports'!D2553,SEARCH("-",'R.M Billets Reports'!D2553)+1,200)),""))&lt;&gt;"",IF(ISNUMBER(SEARCH("Party Name:-",'R.M Billets Reports'!D2553)),TRIM('R.M Billets Reports'!F2553),IF(ISNUMBER(SEARCH("Party Name-",'R.M Billets Reports'!D2553)),TRIM(MID('R.M Billets Reports'!D2553,SEARCH("-",'R.M Billets Reports'!D2553)+1,200)),"")),IF(ISNUMBER(SEARCH("Party Name:-",'R.M Billets Reports'!D2554)),TRIM('R.M Billets Reports'!F2554),IF(ISNUMBER(SEARCH("Party Name-",'R.M Billets Reports'!D2554)),TRIM(MID('R.M Billets Reports'!D2554,SEARCH("-",'R.M Billets Reports'!D2554)+1,200)),"")))))),IF(ROW()=2,"",A2553))</f>
      </c>
      <c r="B2554">
        <f>IF(OR('R.M Billets Reports'!A2553="Date-",'R.M Billets Reports'!A2553="Date:-"),'R.M Billets Reports'!B2553,IF(ROW()=2,"",B2553))</f>
      </c>
      <c r="C2554">
        <f>IF('R.M Billets Reports'!A2553="V.No.",'R.M Billets Reports'!B2553,IF(ROW()=2,"",C2553))</f>
      </c>
      <c r="D2554">
        <f>IF('R.M Billets Reports'!A2553&lt;&gt;"",'R.M Billets Reports'!A2553,IF(ROW()=2,"",D2553))</f>
      </c>
      <c r="E2554">
        <f>IF('R.M Billets Reports'!B2553="","",TRIM('R.M Billets Reports'!B2553))</f>
      </c>
      <c r="F2554">
        <f>'R.M Billets Reports'!C2553</f>
      </c>
      <c r="G2554">
        <f>'R.M Billets Reports'!D2553</f>
      </c>
      <c r="H2554">
        <f>'R.M Billets Reports'!E2553</f>
      </c>
      <c r="I2554">
        <f>'R.M Billets Reports'!F2553</f>
      </c>
      <c r="J2554">
        <f>'R.M Billets Reports'!G2553</f>
      </c>
      <c r="K2554">
        <f>'R.M Billets Reports'!H2553</f>
      </c>
      <c r="L2554">
        <f>IF('R.M Billets Reports'!I2553="","",'R.M Billets Reports'!I2553)</f>
      </c>
      <c r="M2554">
        <f t="shared" si="78"/>
      </c>
      <c r="N2554">
        <f>IF('R.M Billets Reports'!J2553="","",'R.M Billets Reports'!J2553)</f>
      </c>
      <c r="O2554">
        <f t="shared" si="79"/>
      </c>
      <c r="P2554">
        <f>IF('R.M Billets Reports'!A2553="SIZE",'R.M Billets Reports'!B2553,P2553)</f>
      </c>
    </row>
    <row r="2555" spans="1:16" x14ac:dyDescent="0.25">
      <c r="A2555">
        <f>IF(OR('R.M Billets Reports'!A2554="Date-",'R.M Billets Reports'!A2554="Date:-"),IF(IF(IF(ISNUMBER(SEARCH("Party Name:-",'R.M Billets Reports'!D2554)),TRIM('R.M Billets Reports'!F2554),IF(ISNUMBER(SEARCH("Party Name-",'R.M Billets Reports'!D2554)),TRIM(MID('R.M Billets Reports'!D2554,SEARCH("-",'R.M Billets Reports'!D2554)+1,200)),""))&lt;&gt;"",IF(ISNUMBER(SEARCH("Party Name:-",'R.M Billets Reports'!D2554)),TRIM('R.M Billets Reports'!F2554),IF(ISNUMBER(SEARCH("Party Name-",'R.M Billets Reports'!D2554)),TRIM(MID('R.M Billets Reports'!D2554,SEARCH("-",'R.M Billets Reports'!D2554)+1,200)),"")),IF(ISNUMBER(SEARCH("Party Name:-",'R.M Billets Reports'!D2555)),TRIM('R.M Billets Reports'!F2555),IF(ISNUMBER(SEARCH("Party Name-",'R.M Billets Reports'!D2555)),TRIM(MID('R.M Billets Reports'!D2555,SEARCH("-",'R.M Billets Reports'!D2555)+1,200)),"")))="VRKP ISPAT PVT LTD","VRKP",IF(IF(IF(ISNUMBER(SEARCH("Party Name:-",'R.M Billets Reports'!D2554)),TRIM('R.M Billets Reports'!F2554),IF(ISNUMBER(SEARCH("Party Name-",'R.M Billets Reports'!D2554)),TRIM(MID('R.M Billets Reports'!D2554,SEARCH("-",'R.M Billets Reports'!D2554)+1,200)),""))&lt;&gt;"",IF(ISNUMBER(SEARCH("Party Name:-",'R.M Billets Reports'!D2554)),TRIM('R.M Billets Reports'!F2554),IF(ISNUMBER(SEARCH("Party Name-",'R.M Billets Reports'!D2554)),TRIM(MID('R.M Billets Reports'!D2554,SEARCH("-",'R.M Billets Reports'!D2554)+1,200)),"")),IF(ISNUMBER(SEARCH("Party Name:-",'R.M Billets Reports'!D2555)),TRIM('R.M Billets Reports'!F2555),IF(ISNUMBER(SEARCH("Party Name-",'R.M Billets Reports'!D2555)),TRIM(MID('R.M Billets Reports'!D2555,SEARCH("-",'R.M Billets Reports'!D2555)+1,200)),"")))="SHRI RADHE","SHREE RADHE",IF(IF(IF(ISNUMBER(SEARCH("Party Name:-",'R.M Billets Reports'!D2554)),TRIM('R.M Billets Reports'!F2554),IF(ISNUMBER(SEARCH("Party Name-",'R.M Billets Reports'!D2554)),TRIM(MID('R.M Billets Reports'!D2554,SEARCH("-",'R.M Billets Reports'!D2554)+1,200)),""))&lt;&gt;"",IF(ISNUMBER(SEARCH("Party Name:-",'R.M Billets Reports'!D2554)),TRIM('R.M Billets Reports'!F2554),IF(ISNUMBER(SEARCH("Party Name-",'R.M Billets Reports'!D2554)),TRIM(MID('R.M Billets Reports'!D2554,SEARCH("-",'R.M Billets Reports'!D2554)+1,200)),"")),IF(ISNUMBER(SEARCH("Party Name:-",'R.M Billets Reports'!D2555)),TRIM('R.M Billets Reports'!F2555),IF(ISNUMBER(SEARCH("Party Name-",'R.M Billets Reports'!D2555)),TRIM(MID('R.M Billets Reports'!D2555,SEARCH("-",'R.M Billets Reports'!D2555)+1,200)),"")))="SHREE RADHE SHAKTI SPONGE AND POWER PVT. LTD.","SHREE RADHE",IF(IF(ISNUMBER(SEARCH("Party Name:-",'R.M Billets Reports'!D2554)),TRIM('R.M Billets Reports'!F2554),IF(ISNUMBER(SEARCH("Party Name-",'R.M Billets Reports'!D2554)),TRIM(MID('R.M Billets Reports'!D2554,SEARCH("-",'R.M Billets Reports'!D2554)+1,200)),""))&lt;&gt;"",IF(ISNUMBER(SEARCH("Party Name:-",'R.M Billets Reports'!D2554)),TRIM('R.M Billets Reports'!F2554),IF(ISNUMBER(SEARCH("Party Name-",'R.M Billets Reports'!D2554)),TRIM(MID('R.M Billets Reports'!D2554,SEARCH("-",'R.M Billets Reports'!D2554)+1,200)),"")),IF(ISNUMBER(SEARCH("Party Name:-",'R.M Billets Reports'!D2555)),TRIM('R.M Billets Reports'!F2555),IF(ISNUMBER(SEARCH("Party Name-",'R.M Billets Reports'!D2555)),TRIM(MID('R.M Billets Reports'!D2555,SEARCH("-",'R.M Billets Reports'!D2555)+1,200)),"")))))),IF(ROW()=2,"",A2554))</f>
      </c>
      <c r="B2555">
        <f>IF(OR('R.M Billets Reports'!A2554="Date-",'R.M Billets Reports'!A2554="Date:-"),'R.M Billets Reports'!B2554,IF(ROW()=2,"",B2554))</f>
      </c>
      <c r="C2555">
        <f>IF('R.M Billets Reports'!A2554="V.No.",'R.M Billets Reports'!B2554,IF(ROW()=2,"",C2554))</f>
      </c>
      <c r="D2555">
        <f>IF('R.M Billets Reports'!A2554&lt;&gt;"",'R.M Billets Reports'!A2554,IF(ROW()=2,"",D2554))</f>
      </c>
      <c r="E2555">
        <f>IF('R.M Billets Reports'!B2554="","",TRIM('R.M Billets Reports'!B2554))</f>
      </c>
      <c r="F2555">
        <f>'R.M Billets Reports'!C2554</f>
      </c>
      <c r="G2555">
        <f>'R.M Billets Reports'!D2554</f>
      </c>
      <c r="H2555">
        <f>'R.M Billets Reports'!E2554</f>
      </c>
      <c r="I2555">
        <f>'R.M Billets Reports'!F2554</f>
      </c>
      <c r="J2555">
        <f>'R.M Billets Reports'!G2554</f>
      </c>
      <c r="K2555">
        <f>'R.M Billets Reports'!H2554</f>
      </c>
      <c r="L2555">
        <f>IF('R.M Billets Reports'!I2554="","",'R.M Billets Reports'!I2554)</f>
      </c>
      <c r="M2555">
        <f t="shared" si="78"/>
      </c>
      <c r="N2555">
        <f>IF('R.M Billets Reports'!J2554="","",'R.M Billets Reports'!J2554)</f>
      </c>
      <c r="O2555">
        <f t="shared" si="79"/>
      </c>
      <c r="P2555">
        <f>IF('R.M Billets Reports'!A2554="SIZE",'R.M Billets Reports'!B2554,P2554)</f>
      </c>
    </row>
    <row r="2556" spans="1:16" x14ac:dyDescent="0.25">
      <c r="A2556">
        <f>IF(OR('R.M Billets Reports'!A2555="Date-",'R.M Billets Reports'!A2555="Date:-"),IF(IF(IF(ISNUMBER(SEARCH("Party Name:-",'R.M Billets Reports'!D2555)),TRIM('R.M Billets Reports'!F2555),IF(ISNUMBER(SEARCH("Party Name-",'R.M Billets Reports'!D2555)),TRIM(MID('R.M Billets Reports'!D2555,SEARCH("-",'R.M Billets Reports'!D2555)+1,200)),""))&lt;&gt;"",IF(ISNUMBER(SEARCH("Party Name:-",'R.M Billets Reports'!D2555)),TRIM('R.M Billets Reports'!F2555),IF(ISNUMBER(SEARCH("Party Name-",'R.M Billets Reports'!D2555)),TRIM(MID('R.M Billets Reports'!D2555,SEARCH("-",'R.M Billets Reports'!D2555)+1,200)),"")),IF(ISNUMBER(SEARCH("Party Name:-",'R.M Billets Reports'!D2556)),TRIM('R.M Billets Reports'!F2556),IF(ISNUMBER(SEARCH("Party Name-",'R.M Billets Reports'!D2556)),TRIM(MID('R.M Billets Reports'!D2556,SEARCH("-",'R.M Billets Reports'!D2556)+1,200)),"")))="VRKP ISPAT PVT LTD","VRKP",IF(IF(IF(ISNUMBER(SEARCH("Party Name:-",'R.M Billets Reports'!D2555)),TRIM('R.M Billets Reports'!F2555),IF(ISNUMBER(SEARCH("Party Name-",'R.M Billets Reports'!D2555)),TRIM(MID('R.M Billets Reports'!D2555,SEARCH("-",'R.M Billets Reports'!D2555)+1,200)),""))&lt;&gt;"",IF(ISNUMBER(SEARCH("Party Name:-",'R.M Billets Reports'!D2555)),TRIM('R.M Billets Reports'!F2555),IF(ISNUMBER(SEARCH("Party Name-",'R.M Billets Reports'!D2555)),TRIM(MID('R.M Billets Reports'!D2555,SEARCH("-",'R.M Billets Reports'!D2555)+1,200)),"")),IF(ISNUMBER(SEARCH("Party Name:-",'R.M Billets Reports'!D2556)),TRIM('R.M Billets Reports'!F2556),IF(ISNUMBER(SEARCH("Party Name-",'R.M Billets Reports'!D2556)),TRIM(MID('R.M Billets Reports'!D2556,SEARCH("-",'R.M Billets Reports'!D2556)+1,200)),"")))="SHRI RADHE","SHREE RADHE",IF(IF(IF(ISNUMBER(SEARCH("Party Name:-",'R.M Billets Reports'!D2555)),TRIM('R.M Billets Reports'!F2555),IF(ISNUMBER(SEARCH("Party Name-",'R.M Billets Reports'!D2555)),TRIM(MID('R.M Billets Reports'!D2555,SEARCH("-",'R.M Billets Reports'!D2555)+1,200)),""))&lt;&gt;"",IF(ISNUMBER(SEARCH("Party Name:-",'R.M Billets Reports'!D2555)),TRIM('R.M Billets Reports'!F2555),IF(ISNUMBER(SEARCH("Party Name-",'R.M Billets Reports'!D2555)),TRIM(MID('R.M Billets Reports'!D2555,SEARCH("-",'R.M Billets Reports'!D2555)+1,200)),"")),IF(ISNUMBER(SEARCH("Party Name:-",'R.M Billets Reports'!D2556)),TRIM('R.M Billets Reports'!F2556),IF(ISNUMBER(SEARCH("Party Name-",'R.M Billets Reports'!D2556)),TRIM(MID('R.M Billets Reports'!D2556,SEARCH("-",'R.M Billets Reports'!D2556)+1,200)),"")))="SHREE RADHE SHAKTI SPONGE AND POWER PVT. LTD.","SHREE RADHE",IF(IF(ISNUMBER(SEARCH("Party Name:-",'R.M Billets Reports'!D2555)),TRIM('R.M Billets Reports'!F2555),IF(ISNUMBER(SEARCH("Party Name-",'R.M Billets Reports'!D2555)),TRIM(MID('R.M Billets Reports'!D2555,SEARCH("-",'R.M Billets Reports'!D2555)+1,200)),""))&lt;&gt;"",IF(ISNUMBER(SEARCH("Party Name:-",'R.M Billets Reports'!D2555)),TRIM('R.M Billets Reports'!F2555),IF(ISNUMBER(SEARCH("Party Name-",'R.M Billets Reports'!D2555)),TRIM(MID('R.M Billets Reports'!D2555,SEARCH("-",'R.M Billets Reports'!D2555)+1,200)),"")),IF(ISNUMBER(SEARCH("Party Name:-",'R.M Billets Reports'!D2556)),TRIM('R.M Billets Reports'!F2556),IF(ISNUMBER(SEARCH("Party Name-",'R.M Billets Reports'!D2556)),TRIM(MID('R.M Billets Reports'!D2556,SEARCH("-",'R.M Billets Reports'!D2556)+1,200)),"")))))),IF(ROW()=2,"",A2555))</f>
      </c>
      <c r="B2556">
        <f>IF(OR('R.M Billets Reports'!A2555="Date-",'R.M Billets Reports'!A2555="Date:-"),'R.M Billets Reports'!B2555,IF(ROW()=2,"",B2555))</f>
      </c>
      <c r="C2556">
        <f>IF('R.M Billets Reports'!A2555="V.No.",'R.M Billets Reports'!B2555,IF(ROW()=2,"",C2555))</f>
      </c>
      <c r="D2556">
        <f>IF('R.M Billets Reports'!A2555&lt;&gt;"",'R.M Billets Reports'!A2555,IF(ROW()=2,"",D2555))</f>
      </c>
      <c r="E2556">
        <f>IF('R.M Billets Reports'!B2555="","",TRIM('R.M Billets Reports'!B2555))</f>
      </c>
      <c r="F2556">
        <f>'R.M Billets Reports'!C2555</f>
      </c>
      <c r="G2556">
        <f>'R.M Billets Reports'!D2555</f>
      </c>
      <c r="H2556">
        <f>'R.M Billets Reports'!E2555</f>
      </c>
      <c r="I2556">
        <f>'R.M Billets Reports'!F2555</f>
      </c>
      <c r="J2556">
        <f>'R.M Billets Reports'!G2555</f>
      </c>
      <c r="K2556">
        <f>'R.M Billets Reports'!H2555</f>
      </c>
      <c r="L2556">
        <f>IF('R.M Billets Reports'!I2555="","",'R.M Billets Reports'!I2555)</f>
      </c>
      <c r="M2556">
        <f t="shared" si="78"/>
      </c>
      <c r="N2556">
        <f>IF('R.M Billets Reports'!J2555="","",'R.M Billets Reports'!J2555)</f>
      </c>
      <c r="O2556">
        <f t="shared" si="79"/>
      </c>
      <c r="P2556">
        <f>IF('R.M Billets Reports'!A2555="SIZE",'R.M Billets Reports'!B2555,P2555)</f>
      </c>
    </row>
    <row r="2557" spans="1:16" x14ac:dyDescent="0.25">
      <c r="A2557">
        <f>IF(OR('R.M Billets Reports'!A2556="Date-",'R.M Billets Reports'!A2556="Date:-"),IF(IF(IF(ISNUMBER(SEARCH("Party Name:-",'R.M Billets Reports'!D2556)),TRIM('R.M Billets Reports'!F2556),IF(ISNUMBER(SEARCH("Party Name-",'R.M Billets Reports'!D2556)),TRIM(MID('R.M Billets Reports'!D2556,SEARCH("-",'R.M Billets Reports'!D2556)+1,200)),""))&lt;&gt;"",IF(ISNUMBER(SEARCH("Party Name:-",'R.M Billets Reports'!D2556)),TRIM('R.M Billets Reports'!F2556),IF(ISNUMBER(SEARCH("Party Name-",'R.M Billets Reports'!D2556)),TRIM(MID('R.M Billets Reports'!D2556,SEARCH("-",'R.M Billets Reports'!D2556)+1,200)),"")),IF(ISNUMBER(SEARCH("Party Name:-",'R.M Billets Reports'!D2557)),TRIM('R.M Billets Reports'!F2557),IF(ISNUMBER(SEARCH("Party Name-",'R.M Billets Reports'!D2557)),TRIM(MID('R.M Billets Reports'!D2557,SEARCH("-",'R.M Billets Reports'!D2557)+1,200)),"")))="VRKP ISPAT PVT LTD","VRKP",IF(IF(IF(ISNUMBER(SEARCH("Party Name:-",'R.M Billets Reports'!D2556)),TRIM('R.M Billets Reports'!F2556),IF(ISNUMBER(SEARCH("Party Name-",'R.M Billets Reports'!D2556)),TRIM(MID('R.M Billets Reports'!D2556,SEARCH("-",'R.M Billets Reports'!D2556)+1,200)),""))&lt;&gt;"",IF(ISNUMBER(SEARCH("Party Name:-",'R.M Billets Reports'!D2556)),TRIM('R.M Billets Reports'!F2556),IF(ISNUMBER(SEARCH("Party Name-",'R.M Billets Reports'!D2556)),TRIM(MID('R.M Billets Reports'!D2556,SEARCH("-",'R.M Billets Reports'!D2556)+1,200)),"")),IF(ISNUMBER(SEARCH("Party Name:-",'R.M Billets Reports'!D2557)),TRIM('R.M Billets Reports'!F2557),IF(ISNUMBER(SEARCH("Party Name-",'R.M Billets Reports'!D2557)),TRIM(MID('R.M Billets Reports'!D2557,SEARCH("-",'R.M Billets Reports'!D2557)+1,200)),"")))="SHRI RADHE","SHREE RADHE",IF(IF(IF(ISNUMBER(SEARCH("Party Name:-",'R.M Billets Reports'!D2556)),TRIM('R.M Billets Reports'!F2556),IF(ISNUMBER(SEARCH("Party Name-",'R.M Billets Reports'!D2556)),TRIM(MID('R.M Billets Reports'!D2556,SEARCH("-",'R.M Billets Reports'!D2556)+1,200)),""))&lt;&gt;"",IF(ISNUMBER(SEARCH("Party Name:-",'R.M Billets Reports'!D2556)),TRIM('R.M Billets Reports'!F2556),IF(ISNUMBER(SEARCH("Party Name-",'R.M Billets Reports'!D2556)),TRIM(MID('R.M Billets Reports'!D2556,SEARCH("-",'R.M Billets Reports'!D2556)+1,200)),"")),IF(ISNUMBER(SEARCH("Party Name:-",'R.M Billets Reports'!D2557)),TRIM('R.M Billets Reports'!F2557),IF(ISNUMBER(SEARCH("Party Name-",'R.M Billets Reports'!D2557)),TRIM(MID('R.M Billets Reports'!D2557,SEARCH("-",'R.M Billets Reports'!D2557)+1,200)),"")))="SHREE RADHE SHAKTI SPONGE AND POWER PVT. LTD.","SHREE RADHE",IF(IF(ISNUMBER(SEARCH("Party Name:-",'R.M Billets Reports'!D2556)),TRIM('R.M Billets Reports'!F2556),IF(ISNUMBER(SEARCH("Party Name-",'R.M Billets Reports'!D2556)),TRIM(MID('R.M Billets Reports'!D2556,SEARCH("-",'R.M Billets Reports'!D2556)+1,200)),""))&lt;&gt;"",IF(ISNUMBER(SEARCH("Party Name:-",'R.M Billets Reports'!D2556)),TRIM('R.M Billets Reports'!F2556),IF(ISNUMBER(SEARCH("Party Name-",'R.M Billets Reports'!D2556)),TRIM(MID('R.M Billets Reports'!D2556,SEARCH("-",'R.M Billets Reports'!D2556)+1,200)),"")),IF(ISNUMBER(SEARCH("Party Name:-",'R.M Billets Reports'!D2557)),TRIM('R.M Billets Reports'!F2557),IF(ISNUMBER(SEARCH("Party Name-",'R.M Billets Reports'!D2557)),TRIM(MID('R.M Billets Reports'!D2557,SEARCH("-",'R.M Billets Reports'!D2557)+1,200)),"")))))),IF(ROW()=2,"",A2556))</f>
      </c>
      <c r="B2557">
        <f>IF(OR('R.M Billets Reports'!A2556="Date-",'R.M Billets Reports'!A2556="Date:-"),'R.M Billets Reports'!B2556,IF(ROW()=2,"",B2556))</f>
      </c>
      <c r="C2557">
        <f>IF('R.M Billets Reports'!A2556="V.No.",'R.M Billets Reports'!B2556,IF(ROW()=2,"",C2556))</f>
      </c>
      <c r="D2557">
        <f>IF('R.M Billets Reports'!A2556&lt;&gt;"",'R.M Billets Reports'!A2556,IF(ROW()=2,"",D2556))</f>
      </c>
      <c r="E2557">
        <f>IF('R.M Billets Reports'!B2556="","",TRIM('R.M Billets Reports'!B2556))</f>
      </c>
      <c r="F2557">
        <f>'R.M Billets Reports'!C2556</f>
      </c>
      <c r="G2557">
        <f>'R.M Billets Reports'!D2556</f>
      </c>
      <c r="H2557">
        <f>'R.M Billets Reports'!E2556</f>
      </c>
      <c r="I2557">
        <f>'R.M Billets Reports'!F2556</f>
      </c>
      <c r="J2557">
        <f>'R.M Billets Reports'!G2556</f>
      </c>
      <c r="K2557">
        <f>'R.M Billets Reports'!H2556</f>
      </c>
      <c r="L2557">
        <f>IF('R.M Billets Reports'!I2556="","",'R.M Billets Reports'!I2556)</f>
      </c>
      <c r="M2557">
        <f t="shared" si="78"/>
      </c>
      <c r="N2557">
        <f>IF('R.M Billets Reports'!J2556="","",'R.M Billets Reports'!J2556)</f>
      </c>
      <c r="O2557">
        <f t="shared" si="79"/>
      </c>
      <c r="P2557">
        <f>IF('R.M Billets Reports'!A2556="SIZE",'R.M Billets Reports'!B2556,P2556)</f>
      </c>
    </row>
    <row r="2558" spans="1:16" x14ac:dyDescent="0.25">
      <c r="A2558">
        <f>IF(OR('R.M Billets Reports'!A2557="Date-",'R.M Billets Reports'!A2557="Date:-"),IF(IF(IF(ISNUMBER(SEARCH("Party Name:-",'R.M Billets Reports'!D2557)),TRIM('R.M Billets Reports'!F2557),IF(ISNUMBER(SEARCH("Party Name-",'R.M Billets Reports'!D2557)),TRIM(MID('R.M Billets Reports'!D2557,SEARCH("-",'R.M Billets Reports'!D2557)+1,200)),""))&lt;&gt;"",IF(ISNUMBER(SEARCH("Party Name:-",'R.M Billets Reports'!D2557)),TRIM('R.M Billets Reports'!F2557),IF(ISNUMBER(SEARCH("Party Name-",'R.M Billets Reports'!D2557)),TRIM(MID('R.M Billets Reports'!D2557,SEARCH("-",'R.M Billets Reports'!D2557)+1,200)),"")),IF(ISNUMBER(SEARCH("Party Name:-",'R.M Billets Reports'!D2558)),TRIM('R.M Billets Reports'!F2558),IF(ISNUMBER(SEARCH("Party Name-",'R.M Billets Reports'!D2558)),TRIM(MID('R.M Billets Reports'!D2558,SEARCH("-",'R.M Billets Reports'!D2558)+1,200)),"")))="VRKP ISPAT PVT LTD","VRKP",IF(IF(IF(ISNUMBER(SEARCH("Party Name:-",'R.M Billets Reports'!D2557)),TRIM('R.M Billets Reports'!F2557),IF(ISNUMBER(SEARCH("Party Name-",'R.M Billets Reports'!D2557)),TRIM(MID('R.M Billets Reports'!D2557,SEARCH("-",'R.M Billets Reports'!D2557)+1,200)),""))&lt;&gt;"",IF(ISNUMBER(SEARCH("Party Name:-",'R.M Billets Reports'!D2557)),TRIM('R.M Billets Reports'!F2557),IF(ISNUMBER(SEARCH("Party Name-",'R.M Billets Reports'!D2557)),TRIM(MID('R.M Billets Reports'!D2557,SEARCH("-",'R.M Billets Reports'!D2557)+1,200)),"")),IF(ISNUMBER(SEARCH("Party Name:-",'R.M Billets Reports'!D2558)),TRIM('R.M Billets Reports'!F2558),IF(ISNUMBER(SEARCH("Party Name-",'R.M Billets Reports'!D2558)),TRIM(MID('R.M Billets Reports'!D2558,SEARCH("-",'R.M Billets Reports'!D2558)+1,200)),"")))="SHRI RADHE","SHREE RADHE",IF(IF(IF(ISNUMBER(SEARCH("Party Name:-",'R.M Billets Reports'!D2557)),TRIM('R.M Billets Reports'!F2557),IF(ISNUMBER(SEARCH("Party Name-",'R.M Billets Reports'!D2557)),TRIM(MID('R.M Billets Reports'!D2557,SEARCH("-",'R.M Billets Reports'!D2557)+1,200)),""))&lt;&gt;"",IF(ISNUMBER(SEARCH("Party Name:-",'R.M Billets Reports'!D2557)),TRIM('R.M Billets Reports'!F2557),IF(ISNUMBER(SEARCH("Party Name-",'R.M Billets Reports'!D2557)),TRIM(MID('R.M Billets Reports'!D2557,SEARCH("-",'R.M Billets Reports'!D2557)+1,200)),"")),IF(ISNUMBER(SEARCH("Party Name:-",'R.M Billets Reports'!D2558)),TRIM('R.M Billets Reports'!F2558),IF(ISNUMBER(SEARCH("Party Name-",'R.M Billets Reports'!D2558)),TRIM(MID('R.M Billets Reports'!D2558,SEARCH("-",'R.M Billets Reports'!D2558)+1,200)),"")))="SHREE RADHE SHAKTI SPONGE AND POWER PVT. LTD.","SHREE RADHE",IF(IF(ISNUMBER(SEARCH("Party Name:-",'R.M Billets Reports'!D2557)),TRIM('R.M Billets Reports'!F2557),IF(ISNUMBER(SEARCH("Party Name-",'R.M Billets Reports'!D2557)),TRIM(MID('R.M Billets Reports'!D2557,SEARCH("-",'R.M Billets Reports'!D2557)+1,200)),""))&lt;&gt;"",IF(ISNUMBER(SEARCH("Party Name:-",'R.M Billets Reports'!D2557)),TRIM('R.M Billets Reports'!F2557),IF(ISNUMBER(SEARCH("Party Name-",'R.M Billets Reports'!D2557)),TRIM(MID('R.M Billets Reports'!D2557,SEARCH("-",'R.M Billets Reports'!D2557)+1,200)),"")),IF(ISNUMBER(SEARCH("Party Name:-",'R.M Billets Reports'!D2558)),TRIM('R.M Billets Reports'!F2558),IF(ISNUMBER(SEARCH("Party Name-",'R.M Billets Reports'!D2558)),TRIM(MID('R.M Billets Reports'!D2558,SEARCH("-",'R.M Billets Reports'!D2558)+1,200)),"")))))),IF(ROW()=2,"",A2557))</f>
      </c>
      <c r="B2558">
        <f>IF(OR('R.M Billets Reports'!A2557="Date-",'R.M Billets Reports'!A2557="Date:-"),'R.M Billets Reports'!B2557,IF(ROW()=2,"",B2557))</f>
      </c>
      <c r="C2558">
        <f>IF('R.M Billets Reports'!A2557="V.No.",'R.M Billets Reports'!B2557,IF(ROW()=2,"",C2557))</f>
      </c>
      <c r="D2558">
        <f>IF('R.M Billets Reports'!A2557&lt;&gt;"",'R.M Billets Reports'!A2557,IF(ROW()=2,"",D2557))</f>
      </c>
      <c r="E2558">
        <f>IF('R.M Billets Reports'!B2557="","",TRIM('R.M Billets Reports'!B2557))</f>
      </c>
      <c r="F2558">
        <f>'R.M Billets Reports'!C2557</f>
      </c>
      <c r="G2558">
        <f>'R.M Billets Reports'!D2557</f>
      </c>
      <c r="H2558">
        <f>'R.M Billets Reports'!E2557</f>
      </c>
      <c r="I2558">
        <f>'R.M Billets Reports'!F2557</f>
      </c>
      <c r="J2558">
        <f>'R.M Billets Reports'!G2557</f>
      </c>
      <c r="K2558">
        <f>'R.M Billets Reports'!H2557</f>
      </c>
      <c r="L2558">
        <f>IF('R.M Billets Reports'!I2557="","",'R.M Billets Reports'!I2557)</f>
      </c>
      <c r="M2558">
        <f t="shared" si="78"/>
      </c>
      <c r="N2558">
        <f>IF('R.M Billets Reports'!J2557="","",'R.M Billets Reports'!J2557)</f>
      </c>
      <c r="O2558">
        <f t="shared" si="79"/>
      </c>
      <c r="P2558">
        <f>IF('R.M Billets Reports'!A2557="SIZE",'R.M Billets Reports'!B2557,P2557)</f>
      </c>
    </row>
    <row r="2559" spans="1:16" x14ac:dyDescent="0.25">
      <c r="A2559">
        <f>IF(OR('R.M Billets Reports'!A2558="Date-",'R.M Billets Reports'!A2558="Date:-"),IF(IF(IF(ISNUMBER(SEARCH("Party Name:-",'R.M Billets Reports'!D2558)),TRIM('R.M Billets Reports'!F2558),IF(ISNUMBER(SEARCH("Party Name-",'R.M Billets Reports'!D2558)),TRIM(MID('R.M Billets Reports'!D2558,SEARCH("-",'R.M Billets Reports'!D2558)+1,200)),""))&lt;&gt;"",IF(ISNUMBER(SEARCH("Party Name:-",'R.M Billets Reports'!D2558)),TRIM('R.M Billets Reports'!F2558),IF(ISNUMBER(SEARCH("Party Name-",'R.M Billets Reports'!D2558)),TRIM(MID('R.M Billets Reports'!D2558,SEARCH("-",'R.M Billets Reports'!D2558)+1,200)),"")),IF(ISNUMBER(SEARCH("Party Name:-",'R.M Billets Reports'!D2559)),TRIM('R.M Billets Reports'!F2559),IF(ISNUMBER(SEARCH("Party Name-",'R.M Billets Reports'!D2559)),TRIM(MID('R.M Billets Reports'!D2559,SEARCH("-",'R.M Billets Reports'!D2559)+1,200)),"")))="VRKP ISPAT PVT LTD","VRKP",IF(IF(IF(ISNUMBER(SEARCH("Party Name:-",'R.M Billets Reports'!D2558)),TRIM('R.M Billets Reports'!F2558),IF(ISNUMBER(SEARCH("Party Name-",'R.M Billets Reports'!D2558)),TRIM(MID('R.M Billets Reports'!D2558,SEARCH("-",'R.M Billets Reports'!D2558)+1,200)),""))&lt;&gt;"",IF(ISNUMBER(SEARCH("Party Name:-",'R.M Billets Reports'!D2558)),TRIM('R.M Billets Reports'!F2558),IF(ISNUMBER(SEARCH("Party Name-",'R.M Billets Reports'!D2558)),TRIM(MID('R.M Billets Reports'!D2558,SEARCH("-",'R.M Billets Reports'!D2558)+1,200)),"")),IF(ISNUMBER(SEARCH("Party Name:-",'R.M Billets Reports'!D2559)),TRIM('R.M Billets Reports'!F2559),IF(ISNUMBER(SEARCH("Party Name-",'R.M Billets Reports'!D2559)),TRIM(MID('R.M Billets Reports'!D2559,SEARCH("-",'R.M Billets Reports'!D2559)+1,200)),"")))="SHRI RADHE","SHREE RADHE",IF(IF(IF(ISNUMBER(SEARCH("Party Name:-",'R.M Billets Reports'!D2558)),TRIM('R.M Billets Reports'!F2558),IF(ISNUMBER(SEARCH("Party Name-",'R.M Billets Reports'!D2558)),TRIM(MID('R.M Billets Reports'!D2558,SEARCH("-",'R.M Billets Reports'!D2558)+1,200)),""))&lt;&gt;"",IF(ISNUMBER(SEARCH("Party Name:-",'R.M Billets Reports'!D2558)),TRIM('R.M Billets Reports'!F2558),IF(ISNUMBER(SEARCH("Party Name-",'R.M Billets Reports'!D2558)),TRIM(MID('R.M Billets Reports'!D2558,SEARCH("-",'R.M Billets Reports'!D2558)+1,200)),"")),IF(ISNUMBER(SEARCH("Party Name:-",'R.M Billets Reports'!D2559)),TRIM('R.M Billets Reports'!F2559),IF(ISNUMBER(SEARCH("Party Name-",'R.M Billets Reports'!D2559)),TRIM(MID('R.M Billets Reports'!D2559,SEARCH("-",'R.M Billets Reports'!D2559)+1,200)),"")))="SHREE RADHE SHAKTI SPONGE AND POWER PVT. LTD.","SHREE RADHE",IF(IF(ISNUMBER(SEARCH("Party Name:-",'R.M Billets Reports'!D2558)),TRIM('R.M Billets Reports'!F2558),IF(ISNUMBER(SEARCH("Party Name-",'R.M Billets Reports'!D2558)),TRIM(MID('R.M Billets Reports'!D2558,SEARCH("-",'R.M Billets Reports'!D2558)+1,200)),""))&lt;&gt;"",IF(ISNUMBER(SEARCH("Party Name:-",'R.M Billets Reports'!D2558)),TRIM('R.M Billets Reports'!F2558),IF(ISNUMBER(SEARCH("Party Name-",'R.M Billets Reports'!D2558)),TRIM(MID('R.M Billets Reports'!D2558,SEARCH("-",'R.M Billets Reports'!D2558)+1,200)),"")),IF(ISNUMBER(SEARCH("Party Name:-",'R.M Billets Reports'!D2559)),TRIM('R.M Billets Reports'!F2559),IF(ISNUMBER(SEARCH("Party Name-",'R.M Billets Reports'!D2559)),TRIM(MID('R.M Billets Reports'!D2559,SEARCH("-",'R.M Billets Reports'!D2559)+1,200)),"")))))),IF(ROW()=2,"",A2558))</f>
      </c>
      <c r="B2559">
        <f>IF(OR('R.M Billets Reports'!A2558="Date-",'R.M Billets Reports'!A2558="Date:-"),'R.M Billets Reports'!B2558,IF(ROW()=2,"",B2558))</f>
      </c>
      <c r="C2559">
        <f>IF('R.M Billets Reports'!A2558="V.No.",'R.M Billets Reports'!B2558,IF(ROW()=2,"",C2558))</f>
      </c>
      <c r="D2559">
        <f>IF('R.M Billets Reports'!A2558&lt;&gt;"",'R.M Billets Reports'!A2558,IF(ROW()=2,"",D2558))</f>
      </c>
      <c r="E2559">
        <f>IF('R.M Billets Reports'!B2558="","",TRIM('R.M Billets Reports'!B2558))</f>
      </c>
      <c r="F2559">
        <f>'R.M Billets Reports'!C2558</f>
      </c>
      <c r="G2559">
        <f>'R.M Billets Reports'!D2558</f>
      </c>
      <c r="H2559">
        <f>'R.M Billets Reports'!E2558</f>
      </c>
      <c r="I2559">
        <f>'R.M Billets Reports'!F2558</f>
      </c>
      <c r="J2559">
        <f>'R.M Billets Reports'!G2558</f>
      </c>
      <c r="K2559">
        <f>'R.M Billets Reports'!H2558</f>
      </c>
      <c r="L2559">
        <f>IF('R.M Billets Reports'!I2558="","",'R.M Billets Reports'!I2558)</f>
      </c>
      <c r="M2559">
        <f t="shared" si="78"/>
      </c>
      <c r="N2559">
        <f>IF('R.M Billets Reports'!J2558="","",'R.M Billets Reports'!J2558)</f>
      </c>
      <c r="O2559">
        <f t="shared" si="79"/>
      </c>
      <c r="P2559">
        <f>IF('R.M Billets Reports'!A2558="SIZE",'R.M Billets Reports'!B2558,P2558)</f>
      </c>
    </row>
    <row r="2560" spans="1:16" x14ac:dyDescent="0.25">
      <c r="A2560">
        <f>IF(OR('R.M Billets Reports'!A2559="Date-",'R.M Billets Reports'!A2559="Date:-"),IF(IF(IF(ISNUMBER(SEARCH("Party Name:-",'R.M Billets Reports'!D2559)),TRIM('R.M Billets Reports'!F2559),IF(ISNUMBER(SEARCH("Party Name-",'R.M Billets Reports'!D2559)),TRIM(MID('R.M Billets Reports'!D2559,SEARCH("-",'R.M Billets Reports'!D2559)+1,200)),""))&lt;&gt;"",IF(ISNUMBER(SEARCH("Party Name:-",'R.M Billets Reports'!D2559)),TRIM('R.M Billets Reports'!F2559),IF(ISNUMBER(SEARCH("Party Name-",'R.M Billets Reports'!D2559)),TRIM(MID('R.M Billets Reports'!D2559,SEARCH("-",'R.M Billets Reports'!D2559)+1,200)),"")),IF(ISNUMBER(SEARCH("Party Name:-",'R.M Billets Reports'!D2560)),TRIM('R.M Billets Reports'!F2560),IF(ISNUMBER(SEARCH("Party Name-",'R.M Billets Reports'!D2560)),TRIM(MID('R.M Billets Reports'!D2560,SEARCH("-",'R.M Billets Reports'!D2560)+1,200)),"")))="VRKP ISPAT PVT LTD","VRKP",IF(IF(IF(ISNUMBER(SEARCH("Party Name:-",'R.M Billets Reports'!D2559)),TRIM('R.M Billets Reports'!F2559),IF(ISNUMBER(SEARCH("Party Name-",'R.M Billets Reports'!D2559)),TRIM(MID('R.M Billets Reports'!D2559,SEARCH("-",'R.M Billets Reports'!D2559)+1,200)),""))&lt;&gt;"",IF(ISNUMBER(SEARCH("Party Name:-",'R.M Billets Reports'!D2559)),TRIM('R.M Billets Reports'!F2559),IF(ISNUMBER(SEARCH("Party Name-",'R.M Billets Reports'!D2559)),TRIM(MID('R.M Billets Reports'!D2559,SEARCH("-",'R.M Billets Reports'!D2559)+1,200)),"")),IF(ISNUMBER(SEARCH("Party Name:-",'R.M Billets Reports'!D2560)),TRIM('R.M Billets Reports'!F2560),IF(ISNUMBER(SEARCH("Party Name-",'R.M Billets Reports'!D2560)),TRIM(MID('R.M Billets Reports'!D2560,SEARCH("-",'R.M Billets Reports'!D2560)+1,200)),"")))="SHRI RADHE","SHREE RADHE",IF(IF(IF(ISNUMBER(SEARCH("Party Name:-",'R.M Billets Reports'!D2559)),TRIM('R.M Billets Reports'!F2559),IF(ISNUMBER(SEARCH("Party Name-",'R.M Billets Reports'!D2559)),TRIM(MID('R.M Billets Reports'!D2559,SEARCH("-",'R.M Billets Reports'!D2559)+1,200)),""))&lt;&gt;"",IF(ISNUMBER(SEARCH("Party Name:-",'R.M Billets Reports'!D2559)),TRIM('R.M Billets Reports'!F2559),IF(ISNUMBER(SEARCH("Party Name-",'R.M Billets Reports'!D2559)),TRIM(MID('R.M Billets Reports'!D2559,SEARCH("-",'R.M Billets Reports'!D2559)+1,200)),"")),IF(ISNUMBER(SEARCH("Party Name:-",'R.M Billets Reports'!D2560)),TRIM('R.M Billets Reports'!F2560),IF(ISNUMBER(SEARCH("Party Name-",'R.M Billets Reports'!D2560)),TRIM(MID('R.M Billets Reports'!D2560,SEARCH("-",'R.M Billets Reports'!D2560)+1,200)),"")))="SHREE RADHE SHAKTI SPONGE AND POWER PVT. LTD.","SHREE RADHE",IF(IF(ISNUMBER(SEARCH("Party Name:-",'R.M Billets Reports'!D2559)),TRIM('R.M Billets Reports'!F2559),IF(ISNUMBER(SEARCH("Party Name-",'R.M Billets Reports'!D2559)),TRIM(MID('R.M Billets Reports'!D2559,SEARCH("-",'R.M Billets Reports'!D2559)+1,200)),""))&lt;&gt;"",IF(ISNUMBER(SEARCH("Party Name:-",'R.M Billets Reports'!D2559)),TRIM('R.M Billets Reports'!F2559),IF(ISNUMBER(SEARCH("Party Name-",'R.M Billets Reports'!D2559)),TRIM(MID('R.M Billets Reports'!D2559,SEARCH("-",'R.M Billets Reports'!D2559)+1,200)),"")),IF(ISNUMBER(SEARCH("Party Name:-",'R.M Billets Reports'!D2560)),TRIM('R.M Billets Reports'!F2560),IF(ISNUMBER(SEARCH("Party Name-",'R.M Billets Reports'!D2560)),TRIM(MID('R.M Billets Reports'!D2560,SEARCH("-",'R.M Billets Reports'!D2560)+1,200)),"")))))),IF(ROW()=2,"",A2559))</f>
      </c>
      <c r="B2560">
        <f>IF(OR('R.M Billets Reports'!A2559="Date-",'R.M Billets Reports'!A2559="Date:-"),'R.M Billets Reports'!B2559,IF(ROW()=2,"",B2559))</f>
      </c>
      <c r="C2560">
        <f>IF('R.M Billets Reports'!A2559="V.No.",'R.M Billets Reports'!B2559,IF(ROW()=2,"",C2559))</f>
      </c>
      <c r="D2560">
        <f>IF('R.M Billets Reports'!A2559&lt;&gt;"",'R.M Billets Reports'!A2559,IF(ROW()=2,"",D2559))</f>
      </c>
      <c r="E2560">
        <f>IF('R.M Billets Reports'!B2559="","",TRIM('R.M Billets Reports'!B2559))</f>
      </c>
      <c r="F2560">
        <f>'R.M Billets Reports'!C2559</f>
      </c>
      <c r="G2560">
        <f>'R.M Billets Reports'!D2559</f>
      </c>
      <c r="H2560">
        <f>'R.M Billets Reports'!E2559</f>
      </c>
      <c r="I2560">
        <f>'R.M Billets Reports'!F2559</f>
      </c>
      <c r="J2560">
        <f>'R.M Billets Reports'!G2559</f>
      </c>
      <c r="K2560">
        <f>'R.M Billets Reports'!H2559</f>
      </c>
      <c r="L2560">
        <f>IF('R.M Billets Reports'!I2559="","",'R.M Billets Reports'!I2559)</f>
      </c>
      <c r="M2560">
        <f t="shared" si="78"/>
      </c>
      <c r="N2560">
        <f>IF('R.M Billets Reports'!J2559="","",'R.M Billets Reports'!J2559)</f>
      </c>
      <c r="O2560">
        <f t="shared" si="79"/>
      </c>
      <c r="P2560">
        <f>IF('R.M Billets Reports'!A2559="SIZE",'R.M Billets Reports'!B2559,P2559)</f>
      </c>
    </row>
    <row r="2561" spans="1:16" x14ac:dyDescent="0.25">
      <c r="A2561">
        <f>IF(OR('R.M Billets Reports'!A2560="Date-",'R.M Billets Reports'!A2560="Date:-"),IF(IF(IF(ISNUMBER(SEARCH("Party Name:-",'R.M Billets Reports'!D2560)),TRIM('R.M Billets Reports'!F2560),IF(ISNUMBER(SEARCH("Party Name-",'R.M Billets Reports'!D2560)),TRIM(MID('R.M Billets Reports'!D2560,SEARCH("-",'R.M Billets Reports'!D2560)+1,200)),""))&lt;&gt;"",IF(ISNUMBER(SEARCH("Party Name:-",'R.M Billets Reports'!D2560)),TRIM('R.M Billets Reports'!F2560),IF(ISNUMBER(SEARCH("Party Name-",'R.M Billets Reports'!D2560)),TRIM(MID('R.M Billets Reports'!D2560,SEARCH("-",'R.M Billets Reports'!D2560)+1,200)),"")),IF(ISNUMBER(SEARCH("Party Name:-",'R.M Billets Reports'!D2561)),TRIM('R.M Billets Reports'!F2561),IF(ISNUMBER(SEARCH("Party Name-",'R.M Billets Reports'!D2561)),TRIM(MID('R.M Billets Reports'!D2561,SEARCH("-",'R.M Billets Reports'!D2561)+1,200)),"")))="VRKP ISPAT PVT LTD","VRKP",IF(IF(IF(ISNUMBER(SEARCH("Party Name:-",'R.M Billets Reports'!D2560)),TRIM('R.M Billets Reports'!F2560),IF(ISNUMBER(SEARCH("Party Name-",'R.M Billets Reports'!D2560)),TRIM(MID('R.M Billets Reports'!D2560,SEARCH("-",'R.M Billets Reports'!D2560)+1,200)),""))&lt;&gt;"",IF(ISNUMBER(SEARCH("Party Name:-",'R.M Billets Reports'!D2560)),TRIM('R.M Billets Reports'!F2560),IF(ISNUMBER(SEARCH("Party Name-",'R.M Billets Reports'!D2560)),TRIM(MID('R.M Billets Reports'!D2560,SEARCH("-",'R.M Billets Reports'!D2560)+1,200)),"")),IF(ISNUMBER(SEARCH("Party Name:-",'R.M Billets Reports'!D2561)),TRIM('R.M Billets Reports'!F2561),IF(ISNUMBER(SEARCH("Party Name-",'R.M Billets Reports'!D2561)),TRIM(MID('R.M Billets Reports'!D2561,SEARCH("-",'R.M Billets Reports'!D2561)+1,200)),"")))="SHRI RADHE","SHREE RADHE",IF(IF(IF(ISNUMBER(SEARCH("Party Name:-",'R.M Billets Reports'!D2560)),TRIM('R.M Billets Reports'!F2560),IF(ISNUMBER(SEARCH("Party Name-",'R.M Billets Reports'!D2560)),TRIM(MID('R.M Billets Reports'!D2560,SEARCH("-",'R.M Billets Reports'!D2560)+1,200)),""))&lt;&gt;"",IF(ISNUMBER(SEARCH("Party Name:-",'R.M Billets Reports'!D2560)),TRIM('R.M Billets Reports'!F2560),IF(ISNUMBER(SEARCH("Party Name-",'R.M Billets Reports'!D2560)),TRIM(MID('R.M Billets Reports'!D2560,SEARCH("-",'R.M Billets Reports'!D2560)+1,200)),"")),IF(ISNUMBER(SEARCH("Party Name:-",'R.M Billets Reports'!D2561)),TRIM('R.M Billets Reports'!F2561),IF(ISNUMBER(SEARCH("Party Name-",'R.M Billets Reports'!D2561)),TRIM(MID('R.M Billets Reports'!D2561,SEARCH("-",'R.M Billets Reports'!D2561)+1,200)),"")))="SHREE RADHE SHAKTI SPONGE AND POWER PVT. LTD.","SHREE RADHE",IF(IF(ISNUMBER(SEARCH("Party Name:-",'R.M Billets Reports'!D2560)),TRIM('R.M Billets Reports'!F2560),IF(ISNUMBER(SEARCH("Party Name-",'R.M Billets Reports'!D2560)),TRIM(MID('R.M Billets Reports'!D2560,SEARCH("-",'R.M Billets Reports'!D2560)+1,200)),""))&lt;&gt;"",IF(ISNUMBER(SEARCH("Party Name:-",'R.M Billets Reports'!D2560)),TRIM('R.M Billets Reports'!F2560),IF(ISNUMBER(SEARCH("Party Name-",'R.M Billets Reports'!D2560)),TRIM(MID('R.M Billets Reports'!D2560,SEARCH("-",'R.M Billets Reports'!D2560)+1,200)),"")),IF(ISNUMBER(SEARCH("Party Name:-",'R.M Billets Reports'!D2561)),TRIM('R.M Billets Reports'!F2561),IF(ISNUMBER(SEARCH("Party Name-",'R.M Billets Reports'!D2561)),TRIM(MID('R.M Billets Reports'!D2561,SEARCH("-",'R.M Billets Reports'!D2561)+1,200)),"")))))),IF(ROW()=2,"",A2560))</f>
      </c>
      <c r="B2561">
        <f>IF(OR('R.M Billets Reports'!A2560="Date-",'R.M Billets Reports'!A2560="Date:-"),'R.M Billets Reports'!B2560,IF(ROW()=2,"",B2560))</f>
      </c>
      <c r="C2561">
        <f>IF('R.M Billets Reports'!A2560="V.No.",'R.M Billets Reports'!B2560,IF(ROW()=2,"",C2560))</f>
      </c>
      <c r="D2561">
        <f>IF('R.M Billets Reports'!A2560&lt;&gt;"",'R.M Billets Reports'!A2560,IF(ROW()=2,"",D2560))</f>
      </c>
      <c r="E2561">
        <f>IF('R.M Billets Reports'!B2560="","",TRIM('R.M Billets Reports'!B2560))</f>
      </c>
      <c r="F2561">
        <f>'R.M Billets Reports'!C2560</f>
      </c>
      <c r="G2561">
        <f>'R.M Billets Reports'!D2560</f>
      </c>
      <c r="H2561">
        <f>'R.M Billets Reports'!E2560</f>
      </c>
      <c r="I2561">
        <f>'R.M Billets Reports'!F2560</f>
      </c>
      <c r="J2561">
        <f>'R.M Billets Reports'!G2560</f>
      </c>
      <c r="K2561">
        <f>'R.M Billets Reports'!H2560</f>
      </c>
      <c r="L2561">
        <f>IF('R.M Billets Reports'!I2560="","",'R.M Billets Reports'!I2560)</f>
      </c>
      <c r="M2561">
        <f t="shared" si="78"/>
      </c>
      <c r="N2561">
        <f>IF('R.M Billets Reports'!J2560="","",'R.M Billets Reports'!J2560)</f>
      </c>
      <c r="O2561">
        <f t="shared" si="79"/>
      </c>
      <c r="P2561">
        <f>IF('R.M Billets Reports'!A2560="SIZE",'R.M Billets Reports'!B2560,P2560)</f>
      </c>
    </row>
    <row r="2562" spans="1:16" x14ac:dyDescent="0.25">
      <c r="A2562">
        <f>IF(OR('R.M Billets Reports'!A2561="Date-",'R.M Billets Reports'!A2561="Date:-"),IF(IF(IF(ISNUMBER(SEARCH("Party Name:-",'R.M Billets Reports'!D2561)),TRIM('R.M Billets Reports'!F2561),IF(ISNUMBER(SEARCH("Party Name-",'R.M Billets Reports'!D2561)),TRIM(MID('R.M Billets Reports'!D2561,SEARCH("-",'R.M Billets Reports'!D2561)+1,200)),""))&lt;&gt;"",IF(ISNUMBER(SEARCH("Party Name:-",'R.M Billets Reports'!D2561)),TRIM('R.M Billets Reports'!F2561),IF(ISNUMBER(SEARCH("Party Name-",'R.M Billets Reports'!D2561)),TRIM(MID('R.M Billets Reports'!D2561,SEARCH("-",'R.M Billets Reports'!D2561)+1,200)),"")),IF(ISNUMBER(SEARCH("Party Name:-",'R.M Billets Reports'!D2562)),TRIM('R.M Billets Reports'!F2562),IF(ISNUMBER(SEARCH("Party Name-",'R.M Billets Reports'!D2562)),TRIM(MID('R.M Billets Reports'!D2562,SEARCH("-",'R.M Billets Reports'!D2562)+1,200)),"")))="VRKP ISPAT PVT LTD","VRKP",IF(IF(IF(ISNUMBER(SEARCH("Party Name:-",'R.M Billets Reports'!D2561)),TRIM('R.M Billets Reports'!F2561),IF(ISNUMBER(SEARCH("Party Name-",'R.M Billets Reports'!D2561)),TRIM(MID('R.M Billets Reports'!D2561,SEARCH("-",'R.M Billets Reports'!D2561)+1,200)),""))&lt;&gt;"",IF(ISNUMBER(SEARCH("Party Name:-",'R.M Billets Reports'!D2561)),TRIM('R.M Billets Reports'!F2561),IF(ISNUMBER(SEARCH("Party Name-",'R.M Billets Reports'!D2561)),TRIM(MID('R.M Billets Reports'!D2561,SEARCH("-",'R.M Billets Reports'!D2561)+1,200)),"")),IF(ISNUMBER(SEARCH("Party Name:-",'R.M Billets Reports'!D2562)),TRIM('R.M Billets Reports'!F2562),IF(ISNUMBER(SEARCH("Party Name-",'R.M Billets Reports'!D2562)),TRIM(MID('R.M Billets Reports'!D2562,SEARCH("-",'R.M Billets Reports'!D2562)+1,200)),"")))="SHRI RADHE","SHREE RADHE",IF(IF(IF(ISNUMBER(SEARCH("Party Name:-",'R.M Billets Reports'!D2561)),TRIM('R.M Billets Reports'!F2561),IF(ISNUMBER(SEARCH("Party Name-",'R.M Billets Reports'!D2561)),TRIM(MID('R.M Billets Reports'!D2561,SEARCH("-",'R.M Billets Reports'!D2561)+1,200)),""))&lt;&gt;"",IF(ISNUMBER(SEARCH("Party Name:-",'R.M Billets Reports'!D2561)),TRIM('R.M Billets Reports'!F2561),IF(ISNUMBER(SEARCH("Party Name-",'R.M Billets Reports'!D2561)),TRIM(MID('R.M Billets Reports'!D2561,SEARCH("-",'R.M Billets Reports'!D2561)+1,200)),"")),IF(ISNUMBER(SEARCH("Party Name:-",'R.M Billets Reports'!D2562)),TRIM('R.M Billets Reports'!F2562),IF(ISNUMBER(SEARCH("Party Name-",'R.M Billets Reports'!D2562)),TRIM(MID('R.M Billets Reports'!D2562,SEARCH("-",'R.M Billets Reports'!D2562)+1,200)),"")))="SHREE RADHE SHAKTI SPONGE AND POWER PVT. LTD.","SHREE RADHE",IF(IF(ISNUMBER(SEARCH("Party Name:-",'R.M Billets Reports'!D2561)),TRIM('R.M Billets Reports'!F2561),IF(ISNUMBER(SEARCH("Party Name-",'R.M Billets Reports'!D2561)),TRIM(MID('R.M Billets Reports'!D2561,SEARCH("-",'R.M Billets Reports'!D2561)+1,200)),""))&lt;&gt;"",IF(ISNUMBER(SEARCH("Party Name:-",'R.M Billets Reports'!D2561)),TRIM('R.M Billets Reports'!F2561),IF(ISNUMBER(SEARCH("Party Name-",'R.M Billets Reports'!D2561)),TRIM(MID('R.M Billets Reports'!D2561,SEARCH("-",'R.M Billets Reports'!D2561)+1,200)),"")),IF(ISNUMBER(SEARCH("Party Name:-",'R.M Billets Reports'!D2562)),TRIM('R.M Billets Reports'!F2562),IF(ISNUMBER(SEARCH("Party Name-",'R.M Billets Reports'!D2562)),TRIM(MID('R.M Billets Reports'!D2562,SEARCH("-",'R.M Billets Reports'!D2562)+1,200)),"")))))),IF(ROW()=2,"",A2561))</f>
      </c>
      <c r="B2562">
        <f>IF(OR('R.M Billets Reports'!A2561="Date-",'R.M Billets Reports'!A2561="Date:-"),'R.M Billets Reports'!B2561,IF(ROW()=2,"",B2561))</f>
      </c>
      <c r="C2562">
        <f>IF('R.M Billets Reports'!A2561="V.No.",'R.M Billets Reports'!B2561,IF(ROW()=2,"",C2561))</f>
      </c>
      <c r="D2562">
        <f>IF('R.M Billets Reports'!A2561&lt;&gt;"",'R.M Billets Reports'!A2561,IF(ROW()=2,"",D2561))</f>
      </c>
      <c r="E2562">
        <f>IF('R.M Billets Reports'!B2561="","",TRIM('R.M Billets Reports'!B2561))</f>
      </c>
      <c r="F2562">
        <f>'R.M Billets Reports'!C2561</f>
      </c>
      <c r="G2562">
        <f>'R.M Billets Reports'!D2561</f>
      </c>
      <c r="H2562">
        <f>'R.M Billets Reports'!E2561</f>
      </c>
      <c r="I2562">
        <f>'R.M Billets Reports'!F2561</f>
      </c>
      <c r="J2562">
        <f>'R.M Billets Reports'!G2561</f>
      </c>
      <c r="K2562">
        <f>'R.M Billets Reports'!H2561</f>
      </c>
      <c r="L2562">
        <f>IF('R.M Billets Reports'!I2561="","",'R.M Billets Reports'!I2561)</f>
      </c>
      <c r="M2562">
        <f t="shared" si="78"/>
      </c>
      <c r="N2562">
        <f>IF('R.M Billets Reports'!J2561="","",'R.M Billets Reports'!J2561)</f>
      </c>
      <c r="O2562">
        <f t="shared" si="79"/>
      </c>
      <c r="P2562">
        <f>IF('R.M Billets Reports'!A2561="SIZE",'R.M Billets Reports'!B2561,P2561)</f>
      </c>
    </row>
    <row r="2563" spans="1:16" x14ac:dyDescent="0.25">
      <c r="A2563">
        <f>IF(OR('R.M Billets Reports'!A2562="Date-",'R.M Billets Reports'!A2562="Date:-"),IF(IF(IF(ISNUMBER(SEARCH("Party Name:-",'R.M Billets Reports'!D2562)),TRIM('R.M Billets Reports'!F2562),IF(ISNUMBER(SEARCH("Party Name-",'R.M Billets Reports'!D2562)),TRIM(MID('R.M Billets Reports'!D2562,SEARCH("-",'R.M Billets Reports'!D2562)+1,200)),""))&lt;&gt;"",IF(ISNUMBER(SEARCH("Party Name:-",'R.M Billets Reports'!D2562)),TRIM('R.M Billets Reports'!F2562),IF(ISNUMBER(SEARCH("Party Name-",'R.M Billets Reports'!D2562)),TRIM(MID('R.M Billets Reports'!D2562,SEARCH("-",'R.M Billets Reports'!D2562)+1,200)),"")),IF(ISNUMBER(SEARCH("Party Name:-",'R.M Billets Reports'!D2563)),TRIM('R.M Billets Reports'!F2563),IF(ISNUMBER(SEARCH("Party Name-",'R.M Billets Reports'!D2563)),TRIM(MID('R.M Billets Reports'!D2563,SEARCH("-",'R.M Billets Reports'!D2563)+1,200)),"")))="VRKP ISPAT PVT LTD","VRKP",IF(IF(IF(ISNUMBER(SEARCH("Party Name:-",'R.M Billets Reports'!D2562)),TRIM('R.M Billets Reports'!F2562),IF(ISNUMBER(SEARCH("Party Name-",'R.M Billets Reports'!D2562)),TRIM(MID('R.M Billets Reports'!D2562,SEARCH("-",'R.M Billets Reports'!D2562)+1,200)),""))&lt;&gt;"",IF(ISNUMBER(SEARCH("Party Name:-",'R.M Billets Reports'!D2562)),TRIM('R.M Billets Reports'!F2562),IF(ISNUMBER(SEARCH("Party Name-",'R.M Billets Reports'!D2562)),TRIM(MID('R.M Billets Reports'!D2562,SEARCH("-",'R.M Billets Reports'!D2562)+1,200)),"")),IF(ISNUMBER(SEARCH("Party Name:-",'R.M Billets Reports'!D2563)),TRIM('R.M Billets Reports'!F2563),IF(ISNUMBER(SEARCH("Party Name-",'R.M Billets Reports'!D2563)),TRIM(MID('R.M Billets Reports'!D2563,SEARCH("-",'R.M Billets Reports'!D2563)+1,200)),"")))="SHRI RADHE","SHREE RADHE",IF(IF(IF(ISNUMBER(SEARCH("Party Name:-",'R.M Billets Reports'!D2562)),TRIM('R.M Billets Reports'!F2562),IF(ISNUMBER(SEARCH("Party Name-",'R.M Billets Reports'!D2562)),TRIM(MID('R.M Billets Reports'!D2562,SEARCH("-",'R.M Billets Reports'!D2562)+1,200)),""))&lt;&gt;"",IF(ISNUMBER(SEARCH("Party Name:-",'R.M Billets Reports'!D2562)),TRIM('R.M Billets Reports'!F2562),IF(ISNUMBER(SEARCH("Party Name-",'R.M Billets Reports'!D2562)),TRIM(MID('R.M Billets Reports'!D2562,SEARCH("-",'R.M Billets Reports'!D2562)+1,200)),"")),IF(ISNUMBER(SEARCH("Party Name:-",'R.M Billets Reports'!D2563)),TRIM('R.M Billets Reports'!F2563),IF(ISNUMBER(SEARCH("Party Name-",'R.M Billets Reports'!D2563)),TRIM(MID('R.M Billets Reports'!D2563,SEARCH("-",'R.M Billets Reports'!D2563)+1,200)),"")))="SHREE RADHE SHAKTI SPONGE AND POWER PVT. LTD.","SHREE RADHE",IF(IF(ISNUMBER(SEARCH("Party Name:-",'R.M Billets Reports'!D2562)),TRIM('R.M Billets Reports'!F2562),IF(ISNUMBER(SEARCH("Party Name-",'R.M Billets Reports'!D2562)),TRIM(MID('R.M Billets Reports'!D2562,SEARCH("-",'R.M Billets Reports'!D2562)+1,200)),""))&lt;&gt;"",IF(ISNUMBER(SEARCH("Party Name:-",'R.M Billets Reports'!D2562)),TRIM('R.M Billets Reports'!F2562),IF(ISNUMBER(SEARCH("Party Name-",'R.M Billets Reports'!D2562)),TRIM(MID('R.M Billets Reports'!D2562,SEARCH("-",'R.M Billets Reports'!D2562)+1,200)),"")),IF(ISNUMBER(SEARCH("Party Name:-",'R.M Billets Reports'!D2563)),TRIM('R.M Billets Reports'!F2563),IF(ISNUMBER(SEARCH("Party Name-",'R.M Billets Reports'!D2563)),TRIM(MID('R.M Billets Reports'!D2563,SEARCH("-",'R.M Billets Reports'!D2563)+1,200)),"")))))),IF(ROW()=2,"",A2562))</f>
      </c>
      <c r="B2563">
        <f>IF(OR('R.M Billets Reports'!A2562="Date-",'R.M Billets Reports'!A2562="Date:-"),'R.M Billets Reports'!B2562,IF(ROW()=2,"",B2562))</f>
      </c>
      <c r="C2563">
        <f>IF('R.M Billets Reports'!A2562="V.No.",'R.M Billets Reports'!B2562,IF(ROW()=2,"",C2562))</f>
      </c>
      <c r="D2563">
        <f>IF('R.M Billets Reports'!A2562&lt;&gt;"",'R.M Billets Reports'!A2562,IF(ROW()=2,"",D2562))</f>
      </c>
      <c r="E2563">
        <f>IF('R.M Billets Reports'!B2562="","",TRIM('R.M Billets Reports'!B2562))</f>
      </c>
      <c r="F2563">
        <f>'R.M Billets Reports'!C2562</f>
      </c>
      <c r="G2563">
        <f>'R.M Billets Reports'!D2562</f>
      </c>
      <c r="H2563">
        <f>'R.M Billets Reports'!E2562</f>
      </c>
      <c r="I2563">
        <f>'R.M Billets Reports'!F2562</f>
      </c>
      <c r="J2563">
        <f>'R.M Billets Reports'!G2562</f>
      </c>
      <c r="K2563">
        <f>'R.M Billets Reports'!H2562</f>
      </c>
      <c r="L2563">
        <f>IF('R.M Billets Reports'!I2562="","",'R.M Billets Reports'!I2562)</f>
      </c>
      <c r="M2563">
        <f t="shared" ref="M2563:M2626" si="80">IF(L2563&lt;&gt;"",L2563,IF(D2563=D2562,M2562,""))</f>
      </c>
      <c r="N2563">
        <f>IF('R.M Billets Reports'!J2562="","",'R.M Billets Reports'!J2562)</f>
      </c>
      <c r="O2563">
        <f t="shared" ref="O2563:O2626" si="81">IF(N2563&lt;&gt;"",N2563,IF(D2563=D2562,O2562,""))</f>
      </c>
      <c r="P2563">
        <f>IF('R.M Billets Reports'!A2562="SIZE",'R.M Billets Reports'!B2562,P2562)</f>
      </c>
    </row>
    <row r="2564" spans="1:16" x14ac:dyDescent="0.25">
      <c r="A2564">
        <f>IF(OR('R.M Billets Reports'!A2563="Date-",'R.M Billets Reports'!A2563="Date:-"),IF(IF(IF(ISNUMBER(SEARCH("Party Name:-",'R.M Billets Reports'!D2563)),TRIM('R.M Billets Reports'!F2563),IF(ISNUMBER(SEARCH("Party Name-",'R.M Billets Reports'!D2563)),TRIM(MID('R.M Billets Reports'!D2563,SEARCH("-",'R.M Billets Reports'!D2563)+1,200)),""))&lt;&gt;"",IF(ISNUMBER(SEARCH("Party Name:-",'R.M Billets Reports'!D2563)),TRIM('R.M Billets Reports'!F2563),IF(ISNUMBER(SEARCH("Party Name-",'R.M Billets Reports'!D2563)),TRIM(MID('R.M Billets Reports'!D2563,SEARCH("-",'R.M Billets Reports'!D2563)+1,200)),"")),IF(ISNUMBER(SEARCH("Party Name:-",'R.M Billets Reports'!D2564)),TRIM('R.M Billets Reports'!F2564),IF(ISNUMBER(SEARCH("Party Name-",'R.M Billets Reports'!D2564)),TRIM(MID('R.M Billets Reports'!D2564,SEARCH("-",'R.M Billets Reports'!D2564)+1,200)),"")))="VRKP ISPAT PVT LTD","VRKP",IF(IF(IF(ISNUMBER(SEARCH("Party Name:-",'R.M Billets Reports'!D2563)),TRIM('R.M Billets Reports'!F2563),IF(ISNUMBER(SEARCH("Party Name-",'R.M Billets Reports'!D2563)),TRIM(MID('R.M Billets Reports'!D2563,SEARCH("-",'R.M Billets Reports'!D2563)+1,200)),""))&lt;&gt;"",IF(ISNUMBER(SEARCH("Party Name:-",'R.M Billets Reports'!D2563)),TRIM('R.M Billets Reports'!F2563),IF(ISNUMBER(SEARCH("Party Name-",'R.M Billets Reports'!D2563)),TRIM(MID('R.M Billets Reports'!D2563,SEARCH("-",'R.M Billets Reports'!D2563)+1,200)),"")),IF(ISNUMBER(SEARCH("Party Name:-",'R.M Billets Reports'!D2564)),TRIM('R.M Billets Reports'!F2564),IF(ISNUMBER(SEARCH("Party Name-",'R.M Billets Reports'!D2564)),TRIM(MID('R.M Billets Reports'!D2564,SEARCH("-",'R.M Billets Reports'!D2564)+1,200)),"")))="SHRI RADHE","SHREE RADHE",IF(IF(IF(ISNUMBER(SEARCH("Party Name:-",'R.M Billets Reports'!D2563)),TRIM('R.M Billets Reports'!F2563),IF(ISNUMBER(SEARCH("Party Name-",'R.M Billets Reports'!D2563)),TRIM(MID('R.M Billets Reports'!D2563,SEARCH("-",'R.M Billets Reports'!D2563)+1,200)),""))&lt;&gt;"",IF(ISNUMBER(SEARCH("Party Name:-",'R.M Billets Reports'!D2563)),TRIM('R.M Billets Reports'!F2563),IF(ISNUMBER(SEARCH("Party Name-",'R.M Billets Reports'!D2563)),TRIM(MID('R.M Billets Reports'!D2563,SEARCH("-",'R.M Billets Reports'!D2563)+1,200)),"")),IF(ISNUMBER(SEARCH("Party Name:-",'R.M Billets Reports'!D2564)),TRIM('R.M Billets Reports'!F2564),IF(ISNUMBER(SEARCH("Party Name-",'R.M Billets Reports'!D2564)),TRIM(MID('R.M Billets Reports'!D2564,SEARCH("-",'R.M Billets Reports'!D2564)+1,200)),"")))="SHREE RADHE SHAKTI SPONGE AND POWER PVT. LTD.","SHREE RADHE",IF(IF(ISNUMBER(SEARCH("Party Name:-",'R.M Billets Reports'!D2563)),TRIM('R.M Billets Reports'!F2563),IF(ISNUMBER(SEARCH("Party Name-",'R.M Billets Reports'!D2563)),TRIM(MID('R.M Billets Reports'!D2563,SEARCH("-",'R.M Billets Reports'!D2563)+1,200)),""))&lt;&gt;"",IF(ISNUMBER(SEARCH("Party Name:-",'R.M Billets Reports'!D2563)),TRIM('R.M Billets Reports'!F2563),IF(ISNUMBER(SEARCH("Party Name-",'R.M Billets Reports'!D2563)),TRIM(MID('R.M Billets Reports'!D2563,SEARCH("-",'R.M Billets Reports'!D2563)+1,200)),"")),IF(ISNUMBER(SEARCH("Party Name:-",'R.M Billets Reports'!D2564)),TRIM('R.M Billets Reports'!F2564),IF(ISNUMBER(SEARCH("Party Name-",'R.M Billets Reports'!D2564)),TRIM(MID('R.M Billets Reports'!D2564,SEARCH("-",'R.M Billets Reports'!D2564)+1,200)),"")))))),IF(ROW()=2,"",A2563))</f>
      </c>
      <c r="B2564">
        <f>IF(OR('R.M Billets Reports'!A2563="Date-",'R.M Billets Reports'!A2563="Date:-"),'R.M Billets Reports'!B2563,IF(ROW()=2,"",B2563))</f>
      </c>
      <c r="C2564">
        <f>IF('R.M Billets Reports'!A2563="V.No.",'R.M Billets Reports'!B2563,IF(ROW()=2,"",C2563))</f>
      </c>
      <c r="D2564">
        <f>IF('R.M Billets Reports'!A2563&lt;&gt;"",'R.M Billets Reports'!A2563,IF(ROW()=2,"",D2563))</f>
      </c>
      <c r="E2564">
        <f>IF('R.M Billets Reports'!B2563="","",TRIM('R.M Billets Reports'!B2563))</f>
      </c>
      <c r="F2564">
        <f>'R.M Billets Reports'!C2563</f>
      </c>
      <c r="G2564">
        <f>'R.M Billets Reports'!D2563</f>
      </c>
      <c r="H2564">
        <f>'R.M Billets Reports'!E2563</f>
      </c>
      <c r="I2564">
        <f>'R.M Billets Reports'!F2563</f>
      </c>
      <c r="J2564">
        <f>'R.M Billets Reports'!G2563</f>
      </c>
      <c r="K2564">
        <f>'R.M Billets Reports'!H2563</f>
      </c>
      <c r="L2564">
        <f>IF('R.M Billets Reports'!I2563="","",'R.M Billets Reports'!I2563)</f>
      </c>
      <c r="M2564">
        <f t="shared" si="80"/>
      </c>
      <c r="N2564">
        <f>IF('R.M Billets Reports'!J2563="","",'R.M Billets Reports'!J2563)</f>
      </c>
      <c r="O2564">
        <f t="shared" si="81"/>
      </c>
      <c r="P2564">
        <f>IF('R.M Billets Reports'!A2563="SIZE",'R.M Billets Reports'!B2563,P2563)</f>
      </c>
    </row>
    <row r="2565" spans="1:16" x14ac:dyDescent="0.25">
      <c r="A2565">
        <f>IF(OR('R.M Billets Reports'!A2564="Date-",'R.M Billets Reports'!A2564="Date:-"),IF(IF(IF(ISNUMBER(SEARCH("Party Name:-",'R.M Billets Reports'!D2564)),TRIM('R.M Billets Reports'!F2564),IF(ISNUMBER(SEARCH("Party Name-",'R.M Billets Reports'!D2564)),TRIM(MID('R.M Billets Reports'!D2564,SEARCH("-",'R.M Billets Reports'!D2564)+1,200)),""))&lt;&gt;"",IF(ISNUMBER(SEARCH("Party Name:-",'R.M Billets Reports'!D2564)),TRIM('R.M Billets Reports'!F2564),IF(ISNUMBER(SEARCH("Party Name-",'R.M Billets Reports'!D2564)),TRIM(MID('R.M Billets Reports'!D2564,SEARCH("-",'R.M Billets Reports'!D2564)+1,200)),"")),IF(ISNUMBER(SEARCH("Party Name:-",'R.M Billets Reports'!D2565)),TRIM('R.M Billets Reports'!F2565),IF(ISNUMBER(SEARCH("Party Name-",'R.M Billets Reports'!D2565)),TRIM(MID('R.M Billets Reports'!D2565,SEARCH("-",'R.M Billets Reports'!D2565)+1,200)),"")))="VRKP ISPAT PVT LTD","VRKP",IF(IF(IF(ISNUMBER(SEARCH("Party Name:-",'R.M Billets Reports'!D2564)),TRIM('R.M Billets Reports'!F2564),IF(ISNUMBER(SEARCH("Party Name-",'R.M Billets Reports'!D2564)),TRIM(MID('R.M Billets Reports'!D2564,SEARCH("-",'R.M Billets Reports'!D2564)+1,200)),""))&lt;&gt;"",IF(ISNUMBER(SEARCH("Party Name:-",'R.M Billets Reports'!D2564)),TRIM('R.M Billets Reports'!F2564),IF(ISNUMBER(SEARCH("Party Name-",'R.M Billets Reports'!D2564)),TRIM(MID('R.M Billets Reports'!D2564,SEARCH("-",'R.M Billets Reports'!D2564)+1,200)),"")),IF(ISNUMBER(SEARCH("Party Name:-",'R.M Billets Reports'!D2565)),TRIM('R.M Billets Reports'!F2565),IF(ISNUMBER(SEARCH("Party Name-",'R.M Billets Reports'!D2565)),TRIM(MID('R.M Billets Reports'!D2565,SEARCH("-",'R.M Billets Reports'!D2565)+1,200)),"")))="SHRI RADHE","SHREE RADHE",IF(IF(IF(ISNUMBER(SEARCH("Party Name:-",'R.M Billets Reports'!D2564)),TRIM('R.M Billets Reports'!F2564),IF(ISNUMBER(SEARCH("Party Name-",'R.M Billets Reports'!D2564)),TRIM(MID('R.M Billets Reports'!D2564,SEARCH("-",'R.M Billets Reports'!D2564)+1,200)),""))&lt;&gt;"",IF(ISNUMBER(SEARCH("Party Name:-",'R.M Billets Reports'!D2564)),TRIM('R.M Billets Reports'!F2564),IF(ISNUMBER(SEARCH("Party Name-",'R.M Billets Reports'!D2564)),TRIM(MID('R.M Billets Reports'!D2564,SEARCH("-",'R.M Billets Reports'!D2564)+1,200)),"")),IF(ISNUMBER(SEARCH("Party Name:-",'R.M Billets Reports'!D2565)),TRIM('R.M Billets Reports'!F2565),IF(ISNUMBER(SEARCH("Party Name-",'R.M Billets Reports'!D2565)),TRIM(MID('R.M Billets Reports'!D2565,SEARCH("-",'R.M Billets Reports'!D2565)+1,200)),"")))="SHREE RADHE SHAKTI SPONGE AND POWER PVT. LTD.","SHREE RADHE",IF(IF(ISNUMBER(SEARCH("Party Name:-",'R.M Billets Reports'!D2564)),TRIM('R.M Billets Reports'!F2564),IF(ISNUMBER(SEARCH("Party Name-",'R.M Billets Reports'!D2564)),TRIM(MID('R.M Billets Reports'!D2564,SEARCH("-",'R.M Billets Reports'!D2564)+1,200)),""))&lt;&gt;"",IF(ISNUMBER(SEARCH("Party Name:-",'R.M Billets Reports'!D2564)),TRIM('R.M Billets Reports'!F2564),IF(ISNUMBER(SEARCH("Party Name-",'R.M Billets Reports'!D2564)),TRIM(MID('R.M Billets Reports'!D2564,SEARCH("-",'R.M Billets Reports'!D2564)+1,200)),"")),IF(ISNUMBER(SEARCH("Party Name:-",'R.M Billets Reports'!D2565)),TRIM('R.M Billets Reports'!F2565),IF(ISNUMBER(SEARCH("Party Name-",'R.M Billets Reports'!D2565)),TRIM(MID('R.M Billets Reports'!D2565,SEARCH("-",'R.M Billets Reports'!D2565)+1,200)),"")))))),IF(ROW()=2,"",A2564))</f>
      </c>
      <c r="B2565">
        <f>IF(OR('R.M Billets Reports'!A2564="Date-",'R.M Billets Reports'!A2564="Date:-"),'R.M Billets Reports'!B2564,IF(ROW()=2,"",B2564))</f>
      </c>
      <c r="C2565">
        <f>IF('R.M Billets Reports'!A2564="V.No.",'R.M Billets Reports'!B2564,IF(ROW()=2,"",C2564))</f>
      </c>
      <c r="D2565">
        <f>IF('R.M Billets Reports'!A2564&lt;&gt;"",'R.M Billets Reports'!A2564,IF(ROW()=2,"",D2564))</f>
      </c>
      <c r="E2565">
        <f>IF('R.M Billets Reports'!B2564="","",TRIM('R.M Billets Reports'!B2564))</f>
      </c>
      <c r="F2565">
        <f>'R.M Billets Reports'!C2564</f>
      </c>
      <c r="G2565">
        <f>'R.M Billets Reports'!D2564</f>
      </c>
      <c r="H2565">
        <f>'R.M Billets Reports'!E2564</f>
      </c>
      <c r="I2565">
        <f>'R.M Billets Reports'!F2564</f>
      </c>
      <c r="J2565">
        <f>'R.M Billets Reports'!G2564</f>
      </c>
      <c r="K2565">
        <f>'R.M Billets Reports'!H2564</f>
      </c>
      <c r="L2565">
        <f>IF('R.M Billets Reports'!I2564="","",'R.M Billets Reports'!I2564)</f>
      </c>
      <c r="M2565">
        <f t="shared" si="80"/>
      </c>
      <c r="N2565">
        <f>IF('R.M Billets Reports'!J2564="","",'R.M Billets Reports'!J2564)</f>
      </c>
      <c r="O2565">
        <f t="shared" si="81"/>
      </c>
      <c r="P2565">
        <f>IF('R.M Billets Reports'!A2564="SIZE",'R.M Billets Reports'!B2564,P2564)</f>
      </c>
    </row>
    <row r="2566" spans="1:16" x14ac:dyDescent="0.25">
      <c r="A2566">
        <f>IF(OR('R.M Billets Reports'!A2565="Date-",'R.M Billets Reports'!A2565="Date:-"),IF(IF(IF(ISNUMBER(SEARCH("Party Name:-",'R.M Billets Reports'!D2565)),TRIM('R.M Billets Reports'!F2565),IF(ISNUMBER(SEARCH("Party Name-",'R.M Billets Reports'!D2565)),TRIM(MID('R.M Billets Reports'!D2565,SEARCH("-",'R.M Billets Reports'!D2565)+1,200)),""))&lt;&gt;"",IF(ISNUMBER(SEARCH("Party Name:-",'R.M Billets Reports'!D2565)),TRIM('R.M Billets Reports'!F2565),IF(ISNUMBER(SEARCH("Party Name-",'R.M Billets Reports'!D2565)),TRIM(MID('R.M Billets Reports'!D2565,SEARCH("-",'R.M Billets Reports'!D2565)+1,200)),"")),IF(ISNUMBER(SEARCH("Party Name:-",'R.M Billets Reports'!D2566)),TRIM('R.M Billets Reports'!F2566),IF(ISNUMBER(SEARCH("Party Name-",'R.M Billets Reports'!D2566)),TRIM(MID('R.M Billets Reports'!D2566,SEARCH("-",'R.M Billets Reports'!D2566)+1,200)),"")))="VRKP ISPAT PVT LTD","VRKP",IF(IF(IF(ISNUMBER(SEARCH("Party Name:-",'R.M Billets Reports'!D2565)),TRIM('R.M Billets Reports'!F2565),IF(ISNUMBER(SEARCH("Party Name-",'R.M Billets Reports'!D2565)),TRIM(MID('R.M Billets Reports'!D2565,SEARCH("-",'R.M Billets Reports'!D2565)+1,200)),""))&lt;&gt;"",IF(ISNUMBER(SEARCH("Party Name:-",'R.M Billets Reports'!D2565)),TRIM('R.M Billets Reports'!F2565),IF(ISNUMBER(SEARCH("Party Name-",'R.M Billets Reports'!D2565)),TRIM(MID('R.M Billets Reports'!D2565,SEARCH("-",'R.M Billets Reports'!D2565)+1,200)),"")),IF(ISNUMBER(SEARCH("Party Name:-",'R.M Billets Reports'!D2566)),TRIM('R.M Billets Reports'!F2566),IF(ISNUMBER(SEARCH("Party Name-",'R.M Billets Reports'!D2566)),TRIM(MID('R.M Billets Reports'!D2566,SEARCH("-",'R.M Billets Reports'!D2566)+1,200)),"")))="SHRI RADHE","SHREE RADHE",IF(IF(IF(ISNUMBER(SEARCH("Party Name:-",'R.M Billets Reports'!D2565)),TRIM('R.M Billets Reports'!F2565),IF(ISNUMBER(SEARCH("Party Name-",'R.M Billets Reports'!D2565)),TRIM(MID('R.M Billets Reports'!D2565,SEARCH("-",'R.M Billets Reports'!D2565)+1,200)),""))&lt;&gt;"",IF(ISNUMBER(SEARCH("Party Name:-",'R.M Billets Reports'!D2565)),TRIM('R.M Billets Reports'!F2565),IF(ISNUMBER(SEARCH("Party Name-",'R.M Billets Reports'!D2565)),TRIM(MID('R.M Billets Reports'!D2565,SEARCH("-",'R.M Billets Reports'!D2565)+1,200)),"")),IF(ISNUMBER(SEARCH("Party Name:-",'R.M Billets Reports'!D2566)),TRIM('R.M Billets Reports'!F2566),IF(ISNUMBER(SEARCH("Party Name-",'R.M Billets Reports'!D2566)),TRIM(MID('R.M Billets Reports'!D2566,SEARCH("-",'R.M Billets Reports'!D2566)+1,200)),"")))="SHREE RADHE SHAKTI SPONGE AND POWER PVT. LTD.","SHREE RADHE",IF(IF(ISNUMBER(SEARCH("Party Name:-",'R.M Billets Reports'!D2565)),TRIM('R.M Billets Reports'!F2565),IF(ISNUMBER(SEARCH("Party Name-",'R.M Billets Reports'!D2565)),TRIM(MID('R.M Billets Reports'!D2565,SEARCH("-",'R.M Billets Reports'!D2565)+1,200)),""))&lt;&gt;"",IF(ISNUMBER(SEARCH("Party Name:-",'R.M Billets Reports'!D2565)),TRIM('R.M Billets Reports'!F2565),IF(ISNUMBER(SEARCH("Party Name-",'R.M Billets Reports'!D2565)),TRIM(MID('R.M Billets Reports'!D2565,SEARCH("-",'R.M Billets Reports'!D2565)+1,200)),"")),IF(ISNUMBER(SEARCH("Party Name:-",'R.M Billets Reports'!D2566)),TRIM('R.M Billets Reports'!F2566),IF(ISNUMBER(SEARCH("Party Name-",'R.M Billets Reports'!D2566)),TRIM(MID('R.M Billets Reports'!D2566,SEARCH("-",'R.M Billets Reports'!D2566)+1,200)),"")))))),IF(ROW()=2,"",A2565))</f>
      </c>
      <c r="B2566">
        <f>IF(OR('R.M Billets Reports'!A2565="Date-",'R.M Billets Reports'!A2565="Date:-"),'R.M Billets Reports'!B2565,IF(ROW()=2,"",B2565))</f>
      </c>
      <c r="C2566">
        <f>IF('R.M Billets Reports'!A2565="V.No.",'R.M Billets Reports'!B2565,IF(ROW()=2,"",C2565))</f>
      </c>
      <c r="D2566">
        <f>IF('R.M Billets Reports'!A2565&lt;&gt;"",'R.M Billets Reports'!A2565,IF(ROW()=2,"",D2565))</f>
      </c>
      <c r="E2566">
        <f>IF('R.M Billets Reports'!B2565="","",TRIM('R.M Billets Reports'!B2565))</f>
      </c>
      <c r="F2566">
        <f>'R.M Billets Reports'!C2565</f>
      </c>
      <c r="G2566">
        <f>'R.M Billets Reports'!D2565</f>
      </c>
      <c r="H2566">
        <f>'R.M Billets Reports'!E2565</f>
      </c>
      <c r="I2566">
        <f>'R.M Billets Reports'!F2565</f>
      </c>
      <c r="J2566">
        <f>'R.M Billets Reports'!G2565</f>
      </c>
      <c r="K2566">
        <f>'R.M Billets Reports'!H2565</f>
      </c>
      <c r="L2566">
        <f>IF('R.M Billets Reports'!I2565="","",'R.M Billets Reports'!I2565)</f>
      </c>
      <c r="M2566">
        <f t="shared" si="80"/>
      </c>
      <c r="N2566">
        <f>IF('R.M Billets Reports'!J2565="","",'R.M Billets Reports'!J2565)</f>
      </c>
      <c r="O2566">
        <f t="shared" si="81"/>
      </c>
      <c r="P2566">
        <f>IF('R.M Billets Reports'!A2565="SIZE",'R.M Billets Reports'!B2565,P2565)</f>
      </c>
    </row>
    <row r="2567" spans="1:16" x14ac:dyDescent="0.25">
      <c r="A2567">
        <f>IF(OR('R.M Billets Reports'!A2566="Date-",'R.M Billets Reports'!A2566="Date:-"),IF(IF(IF(ISNUMBER(SEARCH("Party Name:-",'R.M Billets Reports'!D2566)),TRIM('R.M Billets Reports'!F2566),IF(ISNUMBER(SEARCH("Party Name-",'R.M Billets Reports'!D2566)),TRIM(MID('R.M Billets Reports'!D2566,SEARCH("-",'R.M Billets Reports'!D2566)+1,200)),""))&lt;&gt;"",IF(ISNUMBER(SEARCH("Party Name:-",'R.M Billets Reports'!D2566)),TRIM('R.M Billets Reports'!F2566),IF(ISNUMBER(SEARCH("Party Name-",'R.M Billets Reports'!D2566)),TRIM(MID('R.M Billets Reports'!D2566,SEARCH("-",'R.M Billets Reports'!D2566)+1,200)),"")),IF(ISNUMBER(SEARCH("Party Name:-",'R.M Billets Reports'!D2567)),TRIM('R.M Billets Reports'!F2567),IF(ISNUMBER(SEARCH("Party Name-",'R.M Billets Reports'!D2567)),TRIM(MID('R.M Billets Reports'!D2567,SEARCH("-",'R.M Billets Reports'!D2567)+1,200)),"")))="VRKP ISPAT PVT LTD","VRKP",IF(IF(IF(ISNUMBER(SEARCH("Party Name:-",'R.M Billets Reports'!D2566)),TRIM('R.M Billets Reports'!F2566),IF(ISNUMBER(SEARCH("Party Name-",'R.M Billets Reports'!D2566)),TRIM(MID('R.M Billets Reports'!D2566,SEARCH("-",'R.M Billets Reports'!D2566)+1,200)),""))&lt;&gt;"",IF(ISNUMBER(SEARCH("Party Name:-",'R.M Billets Reports'!D2566)),TRIM('R.M Billets Reports'!F2566),IF(ISNUMBER(SEARCH("Party Name-",'R.M Billets Reports'!D2566)),TRIM(MID('R.M Billets Reports'!D2566,SEARCH("-",'R.M Billets Reports'!D2566)+1,200)),"")),IF(ISNUMBER(SEARCH("Party Name:-",'R.M Billets Reports'!D2567)),TRIM('R.M Billets Reports'!F2567),IF(ISNUMBER(SEARCH("Party Name-",'R.M Billets Reports'!D2567)),TRIM(MID('R.M Billets Reports'!D2567,SEARCH("-",'R.M Billets Reports'!D2567)+1,200)),"")))="SHRI RADHE","SHREE RADHE",IF(IF(IF(ISNUMBER(SEARCH("Party Name:-",'R.M Billets Reports'!D2566)),TRIM('R.M Billets Reports'!F2566),IF(ISNUMBER(SEARCH("Party Name-",'R.M Billets Reports'!D2566)),TRIM(MID('R.M Billets Reports'!D2566,SEARCH("-",'R.M Billets Reports'!D2566)+1,200)),""))&lt;&gt;"",IF(ISNUMBER(SEARCH("Party Name:-",'R.M Billets Reports'!D2566)),TRIM('R.M Billets Reports'!F2566),IF(ISNUMBER(SEARCH("Party Name-",'R.M Billets Reports'!D2566)),TRIM(MID('R.M Billets Reports'!D2566,SEARCH("-",'R.M Billets Reports'!D2566)+1,200)),"")),IF(ISNUMBER(SEARCH("Party Name:-",'R.M Billets Reports'!D2567)),TRIM('R.M Billets Reports'!F2567),IF(ISNUMBER(SEARCH("Party Name-",'R.M Billets Reports'!D2567)),TRIM(MID('R.M Billets Reports'!D2567,SEARCH("-",'R.M Billets Reports'!D2567)+1,200)),"")))="SHREE RADHE SHAKTI SPONGE AND POWER PVT. LTD.","SHREE RADHE",IF(IF(ISNUMBER(SEARCH("Party Name:-",'R.M Billets Reports'!D2566)),TRIM('R.M Billets Reports'!F2566),IF(ISNUMBER(SEARCH("Party Name-",'R.M Billets Reports'!D2566)),TRIM(MID('R.M Billets Reports'!D2566,SEARCH("-",'R.M Billets Reports'!D2566)+1,200)),""))&lt;&gt;"",IF(ISNUMBER(SEARCH("Party Name:-",'R.M Billets Reports'!D2566)),TRIM('R.M Billets Reports'!F2566),IF(ISNUMBER(SEARCH("Party Name-",'R.M Billets Reports'!D2566)),TRIM(MID('R.M Billets Reports'!D2566,SEARCH("-",'R.M Billets Reports'!D2566)+1,200)),"")),IF(ISNUMBER(SEARCH("Party Name:-",'R.M Billets Reports'!D2567)),TRIM('R.M Billets Reports'!F2567),IF(ISNUMBER(SEARCH("Party Name-",'R.M Billets Reports'!D2567)),TRIM(MID('R.M Billets Reports'!D2567,SEARCH("-",'R.M Billets Reports'!D2567)+1,200)),"")))))),IF(ROW()=2,"",A2566))</f>
      </c>
      <c r="B2567">
        <f>IF(OR('R.M Billets Reports'!A2566="Date-",'R.M Billets Reports'!A2566="Date:-"),'R.M Billets Reports'!B2566,IF(ROW()=2,"",B2566))</f>
      </c>
      <c r="C2567">
        <f>IF('R.M Billets Reports'!A2566="V.No.",'R.M Billets Reports'!B2566,IF(ROW()=2,"",C2566))</f>
      </c>
      <c r="D2567">
        <f>IF('R.M Billets Reports'!A2566&lt;&gt;"",'R.M Billets Reports'!A2566,IF(ROW()=2,"",D2566))</f>
      </c>
      <c r="E2567">
        <f>IF('R.M Billets Reports'!B2566="","",TRIM('R.M Billets Reports'!B2566))</f>
      </c>
      <c r="F2567">
        <f>'R.M Billets Reports'!C2566</f>
      </c>
      <c r="G2567">
        <f>'R.M Billets Reports'!D2566</f>
      </c>
      <c r="H2567">
        <f>'R.M Billets Reports'!E2566</f>
      </c>
      <c r="I2567">
        <f>'R.M Billets Reports'!F2566</f>
      </c>
      <c r="J2567">
        <f>'R.M Billets Reports'!G2566</f>
      </c>
      <c r="K2567">
        <f>'R.M Billets Reports'!H2566</f>
      </c>
      <c r="L2567">
        <f>IF('R.M Billets Reports'!I2566="","",'R.M Billets Reports'!I2566)</f>
      </c>
      <c r="M2567">
        <f t="shared" si="80"/>
      </c>
      <c r="N2567">
        <f>IF('R.M Billets Reports'!J2566="","",'R.M Billets Reports'!J2566)</f>
      </c>
      <c r="O2567">
        <f t="shared" si="81"/>
      </c>
      <c r="P2567">
        <f>IF('R.M Billets Reports'!A2566="SIZE",'R.M Billets Reports'!B2566,P2566)</f>
      </c>
    </row>
    <row r="2568" spans="1:16" x14ac:dyDescent="0.25">
      <c r="A2568">
        <f>IF(OR('R.M Billets Reports'!A2567="Date-",'R.M Billets Reports'!A2567="Date:-"),IF(IF(IF(ISNUMBER(SEARCH("Party Name:-",'R.M Billets Reports'!D2567)),TRIM('R.M Billets Reports'!F2567),IF(ISNUMBER(SEARCH("Party Name-",'R.M Billets Reports'!D2567)),TRIM(MID('R.M Billets Reports'!D2567,SEARCH("-",'R.M Billets Reports'!D2567)+1,200)),""))&lt;&gt;"",IF(ISNUMBER(SEARCH("Party Name:-",'R.M Billets Reports'!D2567)),TRIM('R.M Billets Reports'!F2567),IF(ISNUMBER(SEARCH("Party Name-",'R.M Billets Reports'!D2567)),TRIM(MID('R.M Billets Reports'!D2567,SEARCH("-",'R.M Billets Reports'!D2567)+1,200)),"")),IF(ISNUMBER(SEARCH("Party Name:-",'R.M Billets Reports'!D2568)),TRIM('R.M Billets Reports'!F2568),IF(ISNUMBER(SEARCH("Party Name-",'R.M Billets Reports'!D2568)),TRIM(MID('R.M Billets Reports'!D2568,SEARCH("-",'R.M Billets Reports'!D2568)+1,200)),"")))="VRKP ISPAT PVT LTD","VRKP",IF(IF(IF(ISNUMBER(SEARCH("Party Name:-",'R.M Billets Reports'!D2567)),TRIM('R.M Billets Reports'!F2567),IF(ISNUMBER(SEARCH("Party Name-",'R.M Billets Reports'!D2567)),TRIM(MID('R.M Billets Reports'!D2567,SEARCH("-",'R.M Billets Reports'!D2567)+1,200)),""))&lt;&gt;"",IF(ISNUMBER(SEARCH("Party Name:-",'R.M Billets Reports'!D2567)),TRIM('R.M Billets Reports'!F2567),IF(ISNUMBER(SEARCH("Party Name-",'R.M Billets Reports'!D2567)),TRIM(MID('R.M Billets Reports'!D2567,SEARCH("-",'R.M Billets Reports'!D2567)+1,200)),"")),IF(ISNUMBER(SEARCH("Party Name:-",'R.M Billets Reports'!D2568)),TRIM('R.M Billets Reports'!F2568),IF(ISNUMBER(SEARCH("Party Name-",'R.M Billets Reports'!D2568)),TRIM(MID('R.M Billets Reports'!D2568,SEARCH("-",'R.M Billets Reports'!D2568)+1,200)),"")))="SHRI RADHE","SHREE RADHE",IF(IF(IF(ISNUMBER(SEARCH("Party Name:-",'R.M Billets Reports'!D2567)),TRIM('R.M Billets Reports'!F2567),IF(ISNUMBER(SEARCH("Party Name-",'R.M Billets Reports'!D2567)),TRIM(MID('R.M Billets Reports'!D2567,SEARCH("-",'R.M Billets Reports'!D2567)+1,200)),""))&lt;&gt;"",IF(ISNUMBER(SEARCH("Party Name:-",'R.M Billets Reports'!D2567)),TRIM('R.M Billets Reports'!F2567),IF(ISNUMBER(SEARCH("Party Name-",'R.M Billets Reports'!D2567)),TRIM(MID('R.M Billets Reports'!D2567,SEARCH("-",'R.M Billets Reports'!D2567)+1,200)),"")),IF(ISNUMBER(SEARCH("Party Name:-",'R.M Billets Reports'!D2568)),TRIM('R.M Billets Reports'!F2568),IF(ISNUMBER(SEARCH("Party Name-",'R.M Billets Reports'!D2568)),TRIM(MID('R.M Billets Reports'!D2568,SEARCH("-",'R.M Billets Reports'!D2568)+1,200)),"")))="SHREE RADHE SHAKTI SPONGE AND POWER PVT. LTD.","SHREE RADHE",IF(IF(ISNUMBER(SEARCH("Party Name:-",'R.M Billets Reports'!D2567)),TRIM('R.M Billets Reports'!F2567),IF(ISNUMBER(SEARCH("Party Name-",'R.M Billets Reports'!D2567)),TRIM(MID('R.M Billets Reports'!D2567,SEARCH("-",'R.M Billets Reports'!D2567)+1,200)),""))&lt;&gt;"",IF(ISNUMBER(SEARCH("Party Name:-",'R.M Billets Reports'!D2567)),TRIM('R.M Billets Reports'!F2567),IF(ISNUMBER(SEARCH("Party Name-",'R.M Billets Reports'!D2567)),TRIM(MID('R.M Billets Reports'!D2567,SEARCH("-",'R.M Billets Reports'!D2567)+1,200)),"")),IF(ISNUMBER(SEARCH("Party Name:-",'R.M Billets Reports'!D2568)),TRIM('R.M Billets Reports'!F2568),IF(ISNUMBER(SEARCH("Party Name-",'R.M Billets Reports'!D2568)),TRIM(MID('R.M Billets Reports'!D2568,SEARCH("-",'R.M Billets Reports'!D2568)+1,200)),"")))))),IF(ROW()=2,"",A2567))</f>
      </c>
      <c r="B2568">
        <f>IF(OR('R.M Billets Reports'!A2567="Date-",'R.M Billets Reports'!A2567="Date:-"),'R.M Billets Reports'!B2567,IF(ROW()=2,"",B2567))</f>
      </c>
      <c r="C2568">
        <f>IF('R.M Billets Reports'!A2567="V.No.",'R.M Billets Reports'!B2567,IF(ROW()=2,"",C2567))</f>
      </c>
      <c r="D2568">
        <f>IF('R.M Billets Reports'!A2567&lt;&gt;"",'R.M Billets Reports'!A2567,IF(ROW()=2,"",D2567))</f>
      </c>
      <c r="E2568">
        <f>IF('R.M Billets Reports'!B2567="","",TRIM('R.M Billets Reports'!B2567))</f>
      </c>
      <c r="F2568">
        <f>'R.M Billets Reports'!C2567</f>
      </c>
      <c r="G2568">
        <f>'R.M Billets Reports'!D2567</f>
      </c>
      <c r="H2568">
        <f>'R.M Billets Reports'!E2567</f>
      </c>
      <c r="I2568">
        <f>'R.M Billets Reports'!F2567</f>
      </c>
      <c r="J2568">
        <f>'R.M Billets Reports'!G2567</f>
      </c>
      <c r="K2568">
        <f>'R.M Billets Reports'!H2567</f>
      </c>
      <c r="L2568">
        <f>IF('R.M Billets Reports'!I2567="","",'R.M Billets Reports'!I2567)</f>
      </c>
      <c r="M2568">
        <f t="shared" si="80"/>
      </c>
      <c r="N2568">
        <f>IF('R.M Billets Reports'!J2567="","",'R.M Billets Reports'!J2567)</f>
      </c>
      <c r="O2568">
        <f t="shared" si="81"/>
      </c>
      <c r="P2568">
        <f>IF('R.M Billets Reports'!A2567="SIZE",'R.M Billets Reports'!B2567,P2567)</f>
      </c>
    </row>
    <row r="2569" spans="1:16" x14ac:dyDescent="0.25">
      <c r="A2569">
        <f>IF(OR('R.M Billets Reports'!A2568="Date-",'R.M Billets Reports'!A2568="Date:-"),IF(IF(IF(ISNUMBER(SEARCH("Party Name:-",'R.M Billets Reports'!D2568)),TRIM('R.M Billets Reports'!F2568),IF(ISNUMBER(SEARCH("Party Name-",'R.M Billets Reports'!D2568)),TRIM(MID('R.M Billets Reports'!D2568,SEARCH("-",'R.M Billets Reports'!D2568)+1,200)),""))&lt;&gt;"",IF(ISNUMBER(SEARCH("Party Name:-",'R.M Billets Reports'!D2568)),TRIM('R.M Billets Reports'!F2568),IF(ISNUMBER(SEARCH("Party Name-",'R.M Billets Reports'!D2568)),TRIM(MID('R.M Billets Reports'!D2568,SEARCH("-",'R.M Billets Reports'!D2568)+1,200)),"")),IF(ISNUMBER(SEARCH("Party Name:-",'R.M Billets Reports'!D2569)),TRIM('R.M Billets Reports'!F2569),IF(ISNUMBER(SEARCH("Party Name-",'R.M Billets Reports'!D2569)),TRIM(MID('R.M Billets Reports'!D2569,SEARCH("-",'R.M Billets Reports'!D2569)+1,200)),"")))="VRKP ISPAT PVT LTD","VRKP",IF(IF(IF(ISNUMBER(SEARCH("Party Name:-",'R.M Billets Reports'!D2568)),TRIM('R.M Billets Reports'!F2568),IF(ISNUMBER(SEARCH("Party Name-",'R.M Billets Reports'!D2568)),TRIM(MID('R.M Billets Reports'!D2568,SEARCH("-",'R.M Billets Reports'!D2568)+1,200)),""))&lt;&gt;"",IF(ISNUMBER(SEARCH("Party Name:-",'R.M Billets Reports'!D2568)),TRIM('R.M Billets Reports'!F2568),IF(ISNUMBER(SEARCH("Party Name-",'R.M Billets Reports'!D2568)),TRIM(MID('R.M Billets Reports'!D2568,SEARCH("-",'R.M Billets Reports'!D2568)+1,200)),"")),IF(ISNUMBER(SEARCH("Party Name:-",'R.M Billets Reports'!D2569)),TRIM('R.M Billets Reports'!F2569),IF(ISNUMBER(SEARCH("Party Name-",'R.M Billets Reports'!D2569)),TRIM(MID('R.M Billets Reports'!D2569,SEARCH("-",'R.M Billets Reports'!D2569)+1,200)),"")))="SHRI RADHE","SHREE RADHE",IF(IF(IF(ISNUMBER(SEARCH("Party Name:-",'R.M Billets Reports'!D2568)),TRIM('R.M Billets Reports'!F2568),IF(ISNUMBER(SEARCH("Party Name-",'R.M Billets Reports'!D2568)),TRIM(MID('R.M Billets Reports'!D2568,SEARCH("-",'R.M Billets Reports'!D2568)+1,200)),""))&lt;&gt;"",IF(ISNUMBER(SEARCH("Party Name:-",'R.M Billets Reports'!D2568)),TRIM('R.M Billets Reports'!F2568),IF(ISNUMBER(SEARCH("Party Name-",'R.M Billets Reports'!D2568)),TRIM(MID('R.M Billets Reports'!D2568,SEARCH("-",'R.M Billets Reports'!D2568)+1,200)),"")),IF(ISNUMBER(SEARCH("Party Name:-",'R.M Billets Reports'!D2569)),TRIM('R.M Billets Reports'!F2569),IF(ISNUMBER(SEARCH("Party Name-",'R.M Billets Reports'!D2569)),TRIM(MID('R.M Billets Reports'!D2569,SEARCH("-",'R.M Billets Reports'!D2569)+1,200)),"")))="SHREE RADHE SHAKTI SPONGE AND POWER PVT. LTD.","SHREE RADHE",IF(IF(ISNUMBER(SEARCH("Party Name:-",'R.M Billets Reports'!D2568)),TRIM('R.M Billets Reports'!F2568),IF(ISNUMBER(SEARCH("Party Name-",'R.M Billets Reports'!D2568)),TRIM(MID('R.M Billets Reports'!D2568,SEARCH("-",'R.M Billets Reports'!D2568)+1,200)),""))&lt;&gt;"",IF(ISNUMBER(SEARCH("Party Name:-",'R.M Billets Reports'!D2568)),TRIM('R.M Billets Reports'!F2568),IF(ISNUMBER(SEARCH("Party Name-",'R.M Billets Reports'!D2568)),TRIM(MID('R.M Billets Reports'!D2568,SEARCH("-",'R.M Billets Reports'!D2568)+1,200)),"")),IF(ISNUMBER(SEARCH("Party Name:-",'R.M Billets Reports'!D2569)),TRIM('R.M Billets Reports'!F2569),IF(ISNUMBER(SEARCH("Party Name-",'R.M Billets Reports'!D2569)),TRIM(MID('R.M Billets Reports'!D2569,SEARCH("-",'R.M Billets Reports'!D2569)+1,200)),"")))))),IF(ROW()=2,"",A2568))</f>
      </c>
      <c r="B2569">
        <f>IF(OR('R.M Billets Reports'!A2568="Date-",'R.M Billets Reports'!A2568="Date:-"),'R.M Billets Reports'!B2568,IF(ROW()=2,"",B2568))</f>
      </c>
      <c r="C2569">
        <f>IF('R.M Billets Reports'!A2568="V.No.",'R.M Billets Reports'!B2568,IF(ROW()=2,"",C2568))</f>
      </c>
      <c r="D2569">
        <f>IF('R.M Billets Reports'!A2568&lt;&gt;"",'R.M Billets Reports'!A2568,IF(ROW()=2,"",D2568))</f>
      </c>
      <c r="E2569">
        <f>IF('R.M Billets Reports'!B2568="","",TRIM('R.M Billets Reports'!B2568))</f>
      </c>
      <c r="F2569">
        <f>'R.M Billets Reports'!C2568</f>
      </c>
      <c r="G2569">
        <f>'R.M Billets Reports'!D2568</f>
      </c>
      <c r="H2569">
        <f>'R.M Billets Reports'!E2568</f>
      </c>
      <c r="I2569">
        <f>'R.M Billets Reports'!F2568</f>
      </c>
      <c r="J2569">
        <f>'R.M Billets Reports'!G2568</f>
      </c>
      <c r="K2569">
        <f>'R.M Billets Reports'!H2568</f>
      </c>
      <c r="L2569">
        <f>IF('R.M Billets Reports'!I2568="","",'R.M Billets Reports'!I2568)</f>
      </c>
      <c r="M2569">
        <f t="shared" si="80"/>
      </c>
      <c r="N2569">
        <f>IF('R.M Billets Reports'!J2568="","",'R.M Billets Reports'!J2568)</f>
      </c>
      <c r="O2569">
        <f t="shared" si="81"/>
      </c>
      <c r="P2569">
        <f>IF('R.M Billets Reports'!A2568="SIZE",'R.M Billets Reports'!B2568,P2568)</f>
      </c>
    </row>
    <row r="2570" spans="1:16" x14ac:dyDescent="0.25">
      <c r="A2570">
        <f>IF(OR('R.M Billets Reports'!A2569="Date-",'R.M Billets Reports'!A2569="Date:-"),IF(IF(IF(ISNUMBER(SEARCH("Party Name:-",'R.M Billets Reports'!D2569)),TRIM('R.M Billets Reports'!F2569),IF(ISNUMBER(SEARCH("Party Name-",'R.M Billets Reports'!D2569)),TRIM(MID('R.M Billets Reports'!D2569,SEARCH("-",'R.M Billets Reports'!D2569)+1,200)),""))&lt;&gt;"",IF(ISNUMBER(SEARCH("Party Name:-",'R.M Billets Reports'!D2569)),TRIM('R.M Billets Reports'!F2569),IF(ISNUMBER(SEARCH("Party Name-",'R.M Billets Reports'!D2569)),TRIM(MID('R.M Billets Reports'!D2569,SEARCH("-",'R.M Billets Reports'!D2569)+1,200)),"")),IF(ISNUMBER(SEARCH("Party Name:-",'R.M Billets Reports'!D2570)),TRIM('R.M Billets Reports'!F2570),IF(ISNUMBER(SEARCH("Party Name-",'R.M Billets Reports'!D2570)),TRIM(MID('R.M Billets Reports'!D2570,SEARCH("-",'R.M Billets Reports'!D2570)+1,200)),"")))="VRKP ISPAT PVT LTD","VRKP",IF(IF(IF(ISNUMBER(SEARCH("Party Name:-",'R.M Billets Reports'!D2569)),TRIM('R.M Billets Reports'!F2569),IF(ISNUMBER(SEARCH("Party Name-",'R.M Billets Reports'!D2569)),TRIM(MID('R.M Billets Reports'!D2569,SEARCH("-",'R.M Billets Reports'!D2569)+1,200)),""))&lt;&gt;"",IF(ISNUMBER(SEARCH("Party Name:-",'R.M Billets Reports'!D2569)),TRIM('R.M Billets Reports'!F2569),IF(ISNUMBER(SEARCH("Party Name-",'R.M Billets Reports'!D2569)),TRIM(MID('R.M Billets Reports'!D2569,SEARCH("-",'R.M Billets Reports'!D2569)+1,200)),"")),IF(ISNUMBER(SEARCH("Party Name:-",'R.M Billets Reports'!D2570)),TRIM('R.M Billets Reports'!F2570),IF(ISNUMBER(SEARCH("Party Name-",'R.M Billets Reports'!D2570)),TRIM(MID('R.M Billets Reports'!D2570,SEARCH("-",'R.M Billets Reports'!D2570)+1,200)),"")))="SHRI RADHE","SHREE RADHE",IF(IF(IF(ISNUMBER(SEARCH("Party Name:-",'R.M Billets Reports'!D2569)),TRIM('R.M Billets Reports'!F2569),IF(ISNUMBER(SEARCH("Party Name-",'R.M Billets Reports'!D2569)),TRIM(MID('R.M Billets Reports'!D2569,SEARCH("-",'R.M Billets Reports'!D2569)+1,200)),""))&lt;&gt;"",IF(ISNUMBER(SEARCH("Party Name:-",'R.M Billets Reports'!D2569)),TRIM('R.M Billets Reports'!F2569),IF(ISNUMBER(SEARCH("Party Name-",'R.M Billets Reports'!D2569)),TRIM(MID('R.M Billets Reports'!D2569,SEARCH("-",'R.M Billets Reports'!D2569)+1,200)),"")),IF(ISNUMBER(SEARCH("Party Name:-",'R.M Billets Reports'!D2570)),TRIM('R.M Billets Reports'!F2570),IF(ISNUMBER(SEARCH("Party Name-",'R.M Billets Reports'!D2570)),TRIM(MID('R.M Billets Reports'!D2570,SEARCH("-",'R.M Billets Reports'!D2570)+1,200)),"")))="SHREE RADHE SHAKTI SPONGE AND POWER PVT. LTD.","SHREE RADHE",IF(IF(ISNUMBER(SEARCH("Party Name:-",'R.M Billets Reports'!D2569)),TRIM('R.M Billets Reports'!F2569),IF(ISNUMBER(SEARCH("Party Name-",'R.M Billets Reports'!D2569)),TRIM(MID('R.M Billets Reports'!D2569,SEARCH("-",'R.M Billets Reports'!D2569)+1,200)),""))&lt;&gt;"",IF(ISNUMBER(SEARCH("Party Name:-",'R.M Billets Reports'!D2569)),TRIM('R.M Billets Reports'!F2569),IF(ISNUMBER(SEARCH("Party Name-",'R.M Billets Reports'!D2569)),TRIM(MID('R.M Billets Reports'!D2569,SEARCH("-",'R.M Billets Reports'!D2569)+1,200)),"")),IF(ISNUMBER(SEARCH("Party Name:-",'R.M Billets Reports'!D2570)),TRIM('R.M Billets Reports'!F2570),IF(ISNUMBER(SEARCH("Party Name-",'R.M Billets Reports'!D2570)),TRIM(MID('R.M Billets Reports'!D2570,SEARCH("-",'R.M Billets Reports'!D2570)+1,200)),"")))))),IF(ROW()=2,"",A2569))</f>
      </c>
      <c r="B2570">
        <f>IF(OR('R.M Billets Reports'!A2569="Date-",'R.M Billets Reports'!A2569="Date:-"),'R.M Billets Reports'!B2569,IF(ROW()=2,"",B2569))</f>
      </c>
      <c r="C2570">
        <f>IF('R.M Billets Reports'!A2569="V.No.",'R.M Billets Reports'!B2569,IF(ROW()=2,"",C2569))</f>
      </c>
      <c r="D2570">
        <f>IF('R.M Billets Reports'!A2569&lt;&gt;"",'R.M Billets Reports'!A2569,IF(ROW()=2,"",D2569))</f>
      </c>
      <c r="E2570">
        <f>IF('R.M Billets Reports'!B2569="","",TRIM('R.M Billets Reports'!B2569))</f>
      </c>
      <c r="F2570">
        <f>'R.M Billets Reports'!C2569</f>
      </c>
      <c r="G2570">
        <f>'R.M Billets Reports'!D2569</f>
      </c>
      <c r="H2570">
        <f>'R.M Billets Reports'!E2569</f>
      </c>
      <c r="I2570">
        <f>'R.M Billets Reports'!F2569</f>
      </c>
      <c r="J2570">
        <f>'R.M Billets Reports'!G2569</f>
      </c>
      <c r="K2570">
        <f>'R.M Billets Reports'!H2569</f>
      </c>
      <c r="L2570">
        <f>IF('R.M Billets Reports'!I2569="","",'R.M Billets Reports'!I2569)</f>
      </c>
      <c r="M2570">
        <f t="shared" si="80"/>
      </c>
      <c r="N2570">
        <f>IF('R.M Billets Reports'!J2569="","",'R.M Billets Reports'!J2569)</f>
      </c>
      <c r="O2570">
        <f t="shared" si="81"/>
      </c>
      <c r="P2570">
        <f>IF('R.M Billets Reports'!A2569="SIZE",'R.M Billets Reports'!B2569,P2569)</f>
      </c>
    </row>
    <row r="2571" spans="1:16" x14ac:dyDescent="0.25">
      <c r="A2571">
        <f>IF(OR('R.M Billets Reports'!A2570="Date-",'R.M Billets Reports'!A2570="Date:-"),IF(IF(IF(ISNUMBER(SEARCH("Party Name:-",'R.M Billets Reports'!D2570)),TRIM('R.M Billets Reports'!F2570),IF(ISNUMBER(SEARCH("Party Name-",'R.M Billets Reports'!D2570)),TRIM(MID('R.M Billets Reports'!D2570,SEARCH("-",'R.M Billets Reports'!D2570)+1,200)),""))&lt;&gt;"",IF(ISNUMBER(SEARCH("Party Name:-",'R.M Billets Reports'!D2570)),TRIM('R.M Billets Reports'!F2570),IF(ISNUMBER(SEARCH("Party Name-",'R.M Billets Reports'!D2570)),TRIM(MID('R.M Billets Reports'!D2570,SEARCH("-",'R.M Billets Reports'!D2570)+1,200)),"")),IF(ISNUMBER(SEARCH("Party Name:-",'R.M Billets Reports'!D2571)),TRIM('R.M Billets Reports'!F2571),IF(ISNUMBER(SEARCH("Party Name-",'R.M Billets Reports'!D2571)),TRIM(MID('R.M Billets Reports'!D2571,SEARCH("-",'R.M Billets Reports'!D2571)+1,200)),"")))="VRKP ISPAT PVT LTD","VRKP",IF(IF(IF(ISNUMBER(SEARCH("Party Name:-",'R.M Billets Reports'!D2570)),TRIM('R.M Billets Reports'!F2570),IF(ISNUMBER(SEARCH("Party Name-",'R.M Billets Reports'!D2570)),TRIM(MID('R.M Billets Reports'!D2570,SEARCH("-",'R.M Billets Reports'!D2570)+1,200)),""))&lt;&gt;"",IF(ISNUMBER(SEARCH("Party Name:-",'R.M Billets Reports'!D2570)),TRIM('R.M Billets Reports'!F2570),IF(ISNUMBER(SEARCH("Party Name-",'R.M Billets Reports'!D2570)),TRIM(MID('R.M Billets Reports'!D2570,SEARCH("-",'R.M Billets Reports'!D2570)+1,200)),"")),IF(ISNUMBER(SEARCH("Party Name:-",'R.M Billets Reports'!D2571)),TRIM('R.M Billets Reports'!F2571),IF(ISNUMBER(SEARCH("Party Name-",'R.M Billets Reports'!D2571)),TRIM(MID('R.M Billets Reports'!D2571,SEARCH("-",'R.M Billets Reports'!D2571)+1,200)),"")))="SHRI RADHE","SHREE RADHE",IF(IF(IF(ISNUMBER(SEARCH("Party Name:-",'R.M Billets Reports'!D2570)),TRIM('R.M Billets Reports'!F2570),IF(ISNUMBER(SEARCH("Party Name-",'R.M Billets Reports'!D2570)),TRIM(MID('R.M Billets Reports'!D2570,SEARCH("-",'R.M Billets Reports'!D2570)+1,200)),""))&lt;&gt;"",IF(ISNUMBER(SEARCH("Party Name:-",'R.M Billets Reports'!D2570)),TRIM('R.M Billets Reports'!F2570),IF(ISNUMBER(SEARCH("Party Name-",'R.M Billets Reports'!D2570)),TRIM(MID('R.M Billets Reports'!D2570,SEARCH("-",'R.M Billets Reports'!D2570)+1,200)),"")),IF(ISNUMBER(SEARCH("Party Name:-",'R.M Billets Reports'!D2571)),TRIM('R.M Billets Reports'!F2571),IF(ISNUMBER(SEARCH("Party Name-",'R.M Billets Reports'!D2571)),TRIM(MID('R.M Billets Reports'!D2571,SEARCH("-",'R.M Billets Reports'!D2571)+1,200)),"")))="SHREE RADHE SHAKTI SPONGE AND POWER PVT. LTD.","SHREE RADHE",IF(IF(ISNUMBER(SEARCH("Party Name:-",'R.M Billets Reports'!D2570)),TRIM('R.M Billets Reports'!F2570),IF(ISNUMBER(SEARCH("Party Name-",'R.M Billets Reports'!D2570)),TRIM(MID('R.M Billets Reports'!D2570,SEARCH("-",'R.M Billets Reports'!D2570)+1,200)),""))&lt;&gt;"",IF(ISNUMBER(SEARCH("Party Name:-",'R.M Billets Reports'!D2570)),TRIM('R.M Billets Reports'!F2570),IF(ISNUMBER(SEARCH("Party Name-",'R.M Billets Reports'!D2570)),TRIM(MID('R.M Billets Reports'!D2570,SEARCH("-",'R.M Billets Reports'!D2570)+1,200)),"")),IF(ISNUMBER(SEARCH("Party Name:-",'R.M Billets Reports'!D2571)),TRIM('R.M Billets Reports'!F2571),IF(ISNUMBER(SEARCH("Party Name-",'R.M Billets Reports'!D2571)),TRIM(MID('R.M Billets Reports'!D2571,SEARCH("-",'R.M Billets Reports'!D2571)+1,200)),"")))))),IF(ROW()=2,"",A2570))</f>
      </c>
      <c r="B2571">
        <f>IF(OR('R.M Billets Reports'!A2570="Date-",'R.M Billets Reports'!A2570="Date:-"),'R.M Billets Reports'!B2570,IF(ROW()=2,"",B2570))</f>
      </c>
      <c r="C2571">
        <f>IF('R.M Billets Reports'!A2570="V.No.",'R.M Billets Reports'!B2570,IF(ROW()=2,"",C2570))</f>
      </c>
      <c r="D2571">
        <f>IF('R.M Billets Reports'!A2570&lt;&gt;"",'R.M Billets Reports'!A2570,IF(ROW()=2,"",D2570))</f>
      </c>
      <c r="E2571">
        <f>IF('R.M Billets Reports'!B2570="","",TRIM('R.M Billets Reports'!B2570))</f>
      </c>
      <c r="F2571">
        <f>'R.M Billets Reports'!C2570</f>
      </c>
      <c r="G2571">
        <f>'R.M Billets Reports'!D2570</f>
      </c>
      <c r="H2571">
        <f>'R.M Billets Reports'!E2570</f>
      </c>
      <c r="I2571">
        <f>'R.M Billets Reports'!F2570</f>
      </c>
      <c r="J2571">
        <f>'R.M Billets Reports'!G2570</f>
      </c>
      <c r="K2571">
        <f>'R.M Billets Reports'!H2570</f>
      </c>
      <c r="L2571">
        <f>IF('R.M Billets Reports'!I2570="","",'R.M Billets Reports'!I2570)</f>
      </c>
      <c r="M2571">
        <f t="shared" si="80"/>
      </c>
      <c r="N2571">
        <f>IF('R.M Billets Reports'!J2570="","",'R.M Billets Reports'!J2570)</f>
      </c>
      <c r="O2571">
        <f t="shared" si="81"/>
      </c>
      <c r="P2571">
        <f>IF('R.M Billets Reports'!A2570="SIZE",'R.M Billets Reports'!B2570,P2570)</f>
      </c>
    </row>
    <row r="2572" spans="1:16" x14ac:dyDescent="0.25">
      <c r="A2572">
        <f>IF(OR('R.M Billets Reports'!A2571="Date-",'R.M Billets Reports'!A2571="Date:-"),IF(IF(IF(ISNUMBER(SEARCH("Party Name:-",'R.M Billets Reports'!D2571)),TRIM('R.M Billets Reports'!F2571),IF(ISNUMBER(SEARCH("Party Name-",'R.M Billets Reports'!D2571)),TRIM(MID('R.M Billets Reports'!D2571,SEARCH("-",'R.M Billets Reports'!D2571)+1,200)),""))&lt;&gt;"",IF(ISNUMBER(SEARCH("Party Name:-",'R.M Billets Reports'!D2571)),TRIM('R.M Billets Reports'!F2571),IF(ISNUMBER(SEARCH("Party Name-",'R.M Billets Reports'!D2571)),TRIM(MID('R.M Billets Reports'!D2571,SEARCH("-",'R.M Billets Reports'!D2571)+1,200)),"")),IF(ISNUMBER(SEARCH("Party Name:-",'R.M Billets Reports'!D2572)),TRIM('R.M Billets Reports'!F2572),IF(ISNUMBER(SEARCH("Party Name-",'R.M Billets Reports'!D2572)),TRIM(MID('R.M Billets Reports'!D2572,SEARCH("-",'R.M Billets Reports'!D2572)+1,200)),"")))="VRKP ISPAT PVT LTD","VRKP",IF(IF(IF(ISNUMBER(SEARCH("Party Name:-",'R.M Billets Reports'!D2571)),TRIM('R.M Billets Reports'!F2571),IF(ISNUMBER(SEARCH("Party Name-",'R.M Billets Reports'!D2571)),TRIM(MID('R.M Billets Reports'!D2571,SEARCH("-",'R.M Billets Reports'!D2571)+1,200)),""))&lt;&gt;"",IF(ISNUMBER(SEARCH("Party Name:-",'R.M Billets Reports'!D2571)),TRIM('R.M Billets Reports'!F2571),IF(ISNUMBER(SEARCH("Party Name-",'R.M Billets Reports'!D2571)),TRIM(MID('R.M Billets Reports'!D2571,SEARCH("-",'R.M Billets Reports'!D2571)+1,200)),"")),IF(ISNUMBER(SEARCH("Party Name:-",'R.M Billets Reports'!D2572)),TRIM('R.M Billets Reports'!F2572),IF(ISNUMBER(SEARCH("Party Name-",'R.M Billets Reports'!D2572)),TRIM(MID('R.M Billets Reports'!D2572,SEARCH("-",'R.M Billets Reports'!D2572)+1,200)),"")))="SHRI RADHE","SHREE RADHE",IF(IF(IF(ISNUMBER(SEARCH("Party Name:-",'R.M Billets Reports'!D2571)),TRIM('R.M Billets Reports'!F2571),IF(ISNUMBER(SEARCH("Party Name-",'R.M Billets Reports'!D2571)),TRIM(MID('R.M Billets Reports'!D2571,SEARCH("-",'R.M Billets Reports'!D2571)+1,200)),""))&lt;&gt;"",IF(ISNUMBER(SEARCH("Party Name:-",'R.M Billets Reports'!D2571)),TRIM('R.M Billets Reports'!F2571),IF(ISNUMBER(SEARCH("Party Name-",'R.M Billets Reports'!D2571)),TRIM(MID('R.M Billets Reports'!D2571,SEARCH("-",'R.M Billets Reports'!D2571)+1,200)),"")),IF(ISNUMBER(SEARCH("Party Name:-",'R.M Billets Reports'!D2572)),TRIM('R.M Billets Reports'!F2572),IF(ISNUMBER(SEARCH("Party Name-",'R.M Billets Reports'!D2572)),TRIM(MID('R.M Billets Reports'!D2572,SEARCH("-",'R.M Billets Reports'!D2572)+1,200)),"")))="SHREE RADHE SHAKTI SPONGE AND POWER PVT. LTD.","SHREE RADHE",IF(IF(ISNUMBER(SEARCH("Party Name:-",'R.M Billets Reports'!D2571)),TRIM('R.M Billets Reports'!F2571),IF(ISNUMBER(SEARCH("Party Name-",'R.M Billets Reports'!D2571)),TRIM(MID('R.M Billets Reports'!D2571,SEARCH("-",'R.M Billets Reports'!D2571)+1,200)),""))&lt;&gt;"",IF(ISNUMBER(SEARCH("Party Name:-",'R.M Billets Reports'!D2571)),TRIM('R.M Billets Reports'!F2571),IF(ISNUMBER(SEARCH("Party Name-",'R.M Billets Reports'!D2571)),TRIM(MID('R.M Billets Reports'!D2571,SEARCH("-",'R.M Billets Reports'!D2571)+1,200)),"")),IF(ISNUMBER(SEARCH("Party Name:-",'R.M Billets Reports'!D2572)),TRIM('R.M Billets Reports'!F2572),IF(ISNUMBER(SEARCH("Party Name-",'R.M Billets Reports'!D2572)),TRIM(MID('R.M Billets Reports'!D2572,SEARCH("-",'R.M Billets Reports'!D2572)+1,200)),"")))))),IF(ROW()=2,"",A2571))</f>
      </c>
      <c r="B2572">
        <f>IF(OR('R.M Billets Reports'!A2571="Date-",'R.M Billets Reports'!A2571="Date:-"),'R.M Billets Reports'!B2571,IF(ROW()=2,"",B2571))</f>
      </c>
      <c r="C2572">
        <f>IF('R.M Billets Reports'!A2571="V.No.",'R.M Billets Reports'!B2571,IF(ROW()=2,"",C2571))</f>
      </c>
      <c r="D2572">
        <f>IF('R.M Billets Reports'!A2571&lt;&gt;"",'R.M Billets Reports'!A2571,IF(ROW()=2,"",D2571))</f>
      </c>
      <c r="E2572">
        <f>IF('R.M Billets Reports'!B2571="","",TRIM('R.M Billets Reports'!B2571))</f>
      </c>
      <c r="F2572">
        <f>'R.M Billets Reports'!C2571</f>
      </c>
      <c r="G2572">
        <f>'R.M Billets Reports'!D2571</f>
      </c>
      <c r="H2572">
        <f>'R.M Billets Reports'!E2571</f>
      </c>
      <c r="I2572">
        <f>'R.M Billets Reports'!F2571</f>
      </c>
      <c r="J2572">
        <f>'R.M Billets Reports'!G2571</f>
      </c>
      <c r="K2572">
        <f>'R.M Billets Reports'!H2571</f>
      </c>
      <c r="L2572">
        <f>IF('R.M Billets Reports'!I2571="","",'R.M Billets Reports'!I2571)</f>
      </c>
      <c r="M2572">
        <f t="shared" si="80"/>
      </c>
      <c r="N2572">
        <f>IF('R.M Billets Reports'!J2571="","",'R.M Billets Reports'!J2571)</f>
      </c>
      <c r="O2572">
        <f t="shared" si="81"/>
      </c>
      <c r="P2572">
        <f>IF('R.M Billets Reports'!A2571="SIZE",'R.M Billets Reports'!B2571,P2571)</f>
      </c>
    </row>
    <row r="2573" spans="1:16" x14ac:dyDescent="0.25">
      <c r="A2573">
        <f>IF(OR('R.M Billets Reports'!A2572="Date-",'R.M Billets Reports'!A2572="Date:-"),IF(IF(IF(ISNUMBER(SEARCH("Party Name:-",'R.M Billets Reports'!D2572)),TRIM('R.M Billets Reports'!F2572),IF(ISNUMBER(SEARCH("Party Name-",'R.M Billets Reports'!D2572)),TRIM(MID('R.M Billets Reports'!D2572,SEARCH("-",'R.M Billets Reports'!D2572)+1,200)),""))&lt;&gt;"",IF(ISNUMBER(SEARCH("Party Name:-",'R.M Billets Reports'!D2572)),TRIM('R.M Billets Reports'!F2572),IF(ISNUMBER(SEARCH("Party Name-",'R.M Billets Reports'!D2572)),TRIM(MID('R.M Billets Reports'!D2572,SEARCH("-",'R.M Billets Reports'!D2572)+1,200)),"")),IF(ISNUMBER(SEARCH("Party Name:-",'R.M Billets Reports'!D2573)),TRIM('R.M Billets Reports'!F2573),IF(ISNUMBER(SEARCH("Party Name-",'R.M Billets Reports'!D2573)),TRIM(MID('R.M Billets Reports'!D2573,SEARCH("-",'R.M Billets Reports'!D2573)+1,200)),"")))="VRKP ISPAT PVT LTD","VRKP",IF(IF(IF(ISNUMBER(SEARCH("Party Name:-",'R.M Billets Reports'!D2572)),TRIM('R.M Billets Reports'!F2572),IF(ISNUMBER(SEARCH("Party Name-",'R.M Billets Reports'!D2572)),TRIM(MID('R.M Billets Reports'!D2572,SEARCH("-",'R.M Billets Reports'!D2572)+1,200)),""))&lt;&gt;"",IF(ISNUMBER(SEARCH("Party Name:-",'R.M Billets Reports'!D2572)),TRIM('R.M Billets Reports'!F2572),IF(ISNUMBER(SEARCH("Party Name-",'R.M Billets Reports'!D2572)),TRIM(MID('R.M Billets Reports'!D2572,SEARCH("-",'R.M Billets Reports'!D2572)+1,200)),"")),IF(ISNUMBER(SEARCH("Party Name:-",'R.M Billets Reports'!D2573)),TRIM('R.M Billets Reports'!F2573),IF(ISNUMBER(SEARCH("Party Name-",'R.M Billets Reports'!D2573)),TRIM(MID('R.M Billets Reports'!D2573,SEARCH("-",'R.M Billets Reports'!D2573)+1,200)),"")))="SHRI RADHE","SHREE RADHE",IF(IF(IF(ISNUMBER(SEARCH("Party Name:-",'R.M Billets Reports'!D2572)),TRIM('R.M Billets Reports'!F2572),IF(ISNUMBER(SEARCH("Party Name-",'R.M Billets Reports'!D2572)),TRIM(MID('R.M Billets Reports'!D2572,SEARCH("-",'R.M Billets Reports'!D2572)+1,200)),""))&lt;&gt;"",IF(ISNUMBER(SEARCH("Party Name:-",'R.M Billets Reports'!D2572)),TRIM('R.M Billets Reports'!F2572),IF(ISNUMBER(SEARCH("Party Name-",'R.M Billets Reports'!D2572)),TRIM(MID('R.M Billets Reports'!D2572,SEARCH("-",'R.M Billets Reports'!D2572)+1,200)),"")),IF(ISNUMBER(SEARCH("Party Name:-",'R.M Billets Reports'!D2573)),TRIM('R.M Billets Reports'!F2573),IF(ISNUMBER(SEARCH("Party Name-",'R.M Billets Reports'!D2573)),TRIM(MID('R.M Billets Reports'!D2573,SEARCH("-",'R.M Billets Reports'!D2573)+1,200)),"")))="SHREE RADHE SHAKTI SPONGE AND POWER PVT. LTD.","SHREE RADHE",IF(IF(ISNUMBER(SEARCH("Party Name:-",'R.M Billets Reports'!D2572)),TRIM('R.M Billets Reports'!F2572),IF(ISNUMBER(SEARCH("Party Name-",'R.M Billets Reports'!D2572)),TRIM(MID('R.M Billets Reports'!D2572,SEARCH("-",'R.M Billets Reports'!D2572)+1,200)),""))&lt;&gt;"",IF(ISNUMBER(SEARCH("Party Name:-",'R.M Billets Reports'!D2572)),TRIM('R.M Billets Reports'!F2572),IF(ISNUMBER(SEARCH("Party Name-",'R.M Billets Reports'!D2572)),TRIM(MID('R.M Billets Reports'!D2572,SEARCH("-",'R.M Billets Reports'!D2572)+1,200)),"")),IF(ISNUMBER(SEARCH("Party Name:-",'R.M Billets Reports'!D2573)),TRIM('R.M Billets Reports'!F2573),IF(ISNUMBER(SEARCH("Party Name-",'R.M Billets Reports'!D2573)),TRIM(MID('R.M Billets Reports'!D2573,SEARCH("-",'R.M Billets Reports'!D2573)+1,200)),"")))))),IF(ROW()=2,"",A2572))</f>
      </c>
      <c r="B2573">
        <f>IF(OR('R.M Billets Reports'!A2572="Date-",'R.M Billets Reports'!A2572="Date:-"),'R.M Billets Reports'!B2572,IF(ROW()=2,"",B2572))</f>
      </c>
      <c r="C2573">
        <f>IF('R.M Billets Reports'!A2572="V.No.",'R.M Billets Reports'!B2572,IF(ROW()=2,"",C2572))</f>
      </c>
      <c r="D2573">
        <f>IF('R.M Billets Reports'!A2572&lt;&gt;"",'R.M Billets Reports'!A2572,IF(ROW()=2,"",D2572))</f>
      </c>
      <c r="E2573">
        <f>IF('R.M Billets Reports'!B2572="","",TRIM('R.M Billets Reports'!B2572))</f>
      </c>
      <c r="F2573">
        <f>'R.M Billets Reports'!C2572</f>
      </c>
      <c r="G2573">
        <f>'R.M Billets Reports'!D2572</f>
      </c>
      <c r="H2573">
        <f>'R.M Billets Reports'!E2572</f>
      </c>
      <c r="I2573">
        <f>'R.M Billets Reports'!F2572</f>
      </c>
      <c r="J2573">
        <f>'R.M Billets Reports'!G2572</f>
      </c>
      <c r="K2573">
        <f>'R.M Billets Reports'!H2572</f>
      </c>
      <c r="L2573">
        <f>IF('R.M Billets Reports'!I2572="","",'R.M Billets Reports'!I2572)</f>
      </c>
      <c r="M2573">
        <f t="shared" si="80"/>
      </c>
      <c r="N2573">
        <f>IF('R.M Billets Reports'!J2572="","",'R.M Billets Reports'!J2572)</f>
      </c>
      <c r="O2573">
        <f t="shared" si="81"/>
      </c>
      <c r="P2573">
        <f>IF('R.M Billets Reports'!A2572="SIZE",'R.M Billets Reports'!B2572,P2572)</f>
      </c>
    </row>
    <row r="2574" spans="1:16" x14ac:dyDescent="0.25">
      <c r="A2574">
        <f>IF(OR('R.M Billets Reports'!A2573="Date-",'R.M Billets Reports'!A2573="Date:-"),IF(IF(IF(ISNUMBER(SEARCH("Party Name:-",'R.M Billets Reports'!D2573)),TRIM('R.M Billets Reports'!F2573),IF(ISNUMBER(SEARCH("Party Name-",'R.M Billets Reports'!D2573)),TRIM(MID('R.M Billets Reports'!D2573,SEARCH("-",'R.M Billets Reports'!D2573)+1,200)),""))&lt;&gt;"",IF(ISNUMBER(SEARCH("Party Name:-",'R.M Billets Reports'!D2573)),TRIM('R.M Billets Reports'!F2573),IF(ISNUMBER(SEARCH("Party Name-",'R.M Billets Reports'!D2573)),TRIM(MID('R.M Billets Reports'!D2573,SEARCH("-",'R.M Billets Reports'!D2573)+1,200)),"")),IF(ISNUMBER(SEARCH("Party Name:-",'R.M Billets Reports'!D2574)),TRIM('R.M Billets Reports'!F2574),IF(ISNUMBER(SEARCH("Party Name-",'R.M Billets Reports'!D2574)),TRIM(MID('R.M Billets Reports'!D2574,SEARCH("-",'R.M Billets Reports'!D2574)+1,200)),"")))="VRKP ISPAT PVT LTD","VRKP",IF(IF(IF(ISNUMBER(SEARCH("Party Name:-",'R.M Billets Reports'!D2573)),TRIM('R.M Billets Reports'!F2573),IF(ISNUMBER(SEARCH("Party Name-",'R.M Billets Reports'!D2573)),TRIM(MID('R.M Billets Reports'!D2573,SEARCH("-",'R.M Billets Reports'!D2573)+1,200)),""))&lt;&gt;"",IF(ISNUMBER(SEARCH("Party Name:-",'R.M Billets Reports'!D2573)),TRIM('R.M Billets Reports'!F2573),IF(ISNUMBER(SEARCH("Party Name-",'R.M Billets Reports'!D2573)),TRIM(MID('R.M Billets Reports'!D2573,SEARCH("-",'R.M Billets Reports'!D2573)+1,200)),"")),IF(ISNUMBER(SEARCH("Party Name:-",'R.M Billets Reports'!D2574)),TRIM('R.M Billets Reports'!F2574),IF(ISNUMBER(SEARCH("Party Name-",'R.M Billets Reports'!D2574)),TRIM(MID('R.M Billets Reports'!D2574,SEARCH("-",'R.M Billets Reports'!D2574)+1,200)),"")))="SHRI RADHE","SHREE RADHE",IF(IF(IF(ISNUMBER(SEARCH("Party Name:-",'R.M Billets Reports'!D2573)),TRIM('R.M Billets Reports'!F2573),IF(ISNUMBER(SEARCH("Party Name-",'R.M Billets Reports'!D2573)),TRIM(MID('R.M Billets Reports'!D2573,SEARCH("-",'R.M Billets Reports'!D2573)+1,200)),""))&lt;&gt;"",IF(ISNUMBER(SEARCH("Party Name:-",'R.M Billets Reports'!D2573)),TRIM('R.M Billets Reports'!F2573),IF(ISNUMBER(SEARCH("Party Name-",'R.M Billets Reports'!D2573)),TRIM(MID('R.M Billets Reports'!D2573,SEARCH("-",'R.M Billets Reports'!D2573)+1,200)),"")),IF(ISNUMBER(SEARCH("Party Name:-",'R.M Billets Reports'!D2574)),TRIM('R.M Billets Reports'!F2574),IF(ISNUMBER(SEARCH("Party Name-",'R.M Billets Reports'!D2574)),TRIM(MID('R.M Billets Reports'!D2574,SEARCH("-",'R.M Billets Reports'!D2574)+1,200)),"")))="SHREE RADHE SHAKTI SPONGE AND POWER PVT. LTD.","SHREE RADHE",IF(IF(ISNUMBER(SEARCH("Party Name:-",'R.M Billets Reports'!D2573)),TRIM('R.M Billets Reports'!F2573),IF(ISNUMBER(SEARCH("Party Name-",'R.M Billets Reports'!D2573)),TRIM(MID('R.M Billets Reports'!D2573,SEARCH("-",'R.M Billets Reports'!D2573)+1,200)),""))&lt;&gt;"",IF(ISNUMBER(SEARCH("Party Name:-",'R.M Billets Reports'!D2573)),TRIM('R.M Billets Reports'!F2573),IF(ISNUMBER(SEARCH("Party Name-",'R.M Billets Reports'!D2573)),TRIM(MID('R.M Billets Reports'!D2573,SEARCH("-",'R.M Billets Reports'!D2573)+1,200)),"")),IF(ISNUMBER(SEARCH("Party Name:-",'R.M Billets Reports'!D2574)),TRIM('R.M Billets Reports'!F2574),IF(ISNUMBER(SEARCH("Party Name-",'R.M Billets Reports'!D2574)),TRIM(MID('R.M Billets Reports'!D2574,SEARCH("-",'R.M Billets Reports'!D2574)+1,200)),"")))))),IF(ROW()=2,"",A2573))</f>
      </c>
      <c r="B2574">
        <f>IF(OR('R.M Billets Reports'!A2573="Date-",'R.M Billets Reports'!A2573="Date:-"),'R.M Billets Reports'!B2573,IF(ROW()=2,"",B2573))</f>
      </c>
      <c r="C2574">
        <f>IF('R.M Billets Reports'!A2573="V.No.",'R.M Billets Reports'!B2573,IF(ROW()=2,"",C2573))</f>
      </c>
      <c r="D2574">
        <f>IF('R.M Billets Reports'!A2573&lt;&gt;"",'R.M Billets Reports'!A2573,IF(ROW()=2,"",D2573))</f>
      </c>
      <c r="E2574">
        <f>IF('R.M Billets Reports'!B2573="","",TRIM('R.M Billets Reports'!B2573))</f>
      </c>
      <c r="F2574">
        <f>'R.M Billets Reports'!C2573</f>
      </c>
      <c r="G2574">
        <f>'R.M Billets Reports'!D2573</f>
      </c>
      <c r="H2574">
        <f>'R.M Billets Reports'!E2573</f>
      </c>
      <c r="I2574">
        <f>'R.M Billets Reports'!F2573</f>
      </c>
      <c r="J2574">
        <f>'R.M Billets Reports'!G2573</f>
      </c>
      <c r="K2574">
        <f>'R.M Billets Reports'!H2573</f>
      </c>
      <c r="L2574">
        <f>IF('R.M Billets Reports'!I2573="","",'R.M Billets Reports'!I2573)</f>
      </c>
      <c r="M2574">
        <f t="shared" si="80"/>
      </c>
      <c r="N2574">
        <f>IF('R.M Billets Reports'!J2573="","",'R.M Billets Reports'!J2573)</f>
      </c>
      <c r="O2574">
        <f t="shared" si="81"/>
      </c>
      <c r="P2574">
        <f>IF('R.M Billets Reports'!A2573="SIZE",'R.M Billets Reports'!B2573,P2573)</f>
      </c>
    </row>
    <row r="2575" spans="1:16" x14ac:dyDescent="0.25">
      <c r="A2575">
        <f>IF(OR('R.M Billets Reports'!A2574="Date-",'R.M Billets Reports'!A2574="Date:-"),IF(IF(IF(ISNUMBER(SEARCH("Party Name:-",'R.M Billets Reports'!D2574)),TRIM('R.M Billets Reports'!F2574),IF(ISNUMBER(SEARCH("Party Name-",'R.M Billets Reports'!D2574)),TRIM(MID('R.M Billets Reports'!D2574,SEARCH("-",'R.M Billets Reports'!D2574)+1,200)),""))&lt;&gt;"",IF(ISNUMBER(SEARCH("Party Name:-",'R.M Billets Reports'!D2574)),TRIM('R.M Billets Reports'!F2574),IF(ISNUMBER(SEARCH("Party Name-",'R.M Billets Reports'!D2574)),TRIM(MID('R.M Billets Reports'!D2574,SEARCH("-",'R.M Billets Reports'!D2574)+1,200)),"")),IF(ISNUMBER(SEARCH("Party Name:-",'R.M Billets Reports'!D2575)),TRIM('R.M Billets Reports'!F2575),IF(ISNUMBER(SEARCH("Party Name-",'R.M Billets Reports'!D2575)),TRIM(MID('R.M Billets Reports'!D2575,SEARCH("-",'R.M Billets Reports'!D2575)+1,200)),"")))="VRKP ISPAT PVT LTD","VRKP",IF(IF(IF(ISNUMBER(SEARCH("Party Name:-",'R.M Billets Reports'!D2574)),TRIM('R.M Billets Reports'!F2574),IF(ISNUMBER(SEARCH("Party Name-",'R.M Billets Reports'!D2574)),TRIM(MID('R.M Billets Reports'!D2574,SEARCH("-",'R.M Billets Reports'!D2574)+1,200)),""))&lt;&gt;"",IF(ISNUMBER(SEARCH("Party Name:-",'R.M Billets Reports'!D2574)),TRIM('R.M Billets Reports'!F2574),IF(ISNUMBER(SEARCH("Party Name-",'R.M Billets Reports'!D2574)),TRIM(MID('R.M Billets Reports'!D2574,SEARCH("-",'R.M Billets Reports'!D2574)+1,200)),"")),IF(ISNUMBER(SEARCH("Party Name:-",'R.M Billets Reports'!D2575)),TRIM('R.M Billets Reports'!F2575),IF(ISNUMBER(SEARCH("Party Name-",'R.M Billets Reports'!D2575)),TRIM(MID('R.M Billets Reports'!D2575,SEARCH("-",'R.M Billets Reports'!D2575)+1,200)),"")))="SHRI RADHE","SHREE RADHE",IF(IF(IF(ISNUMBER(SEARCH("Party Name:-",'R.M Billets Reports'!D2574)),TRIM('R.M Billets Reports'!F2574),IF(ISNUMBER(SEARCH("Party Name-",'R.M Billets Reports'!D2574)),TRIM(MID('R.M Billets Reports'!D2574,SEARCH("-",'R.M Billets Reports'!D2574)+1,200)),""))&lt;&gt;"",IF(ISNUMBER(SEARCH("Party Name:-",'R.M Billets Reports'!D2574)),TRIM('R.M Billets Reports'!F2574),IF(ISNUMBER(SEARCH("Party Name-",'R.M Billets Reports'!D2574)),TRIM(MID('R.M Billets Reports'!D2574,SEARCH("-",'R.M Billets Reports'!D2574)+1,200)),"")),IF(ISNUMBER(SEARCH("Party Name:-",'R.M Billets Reports'!D2575)),TRIM('R.M Billets Reports'!F2575),IF(ISNUMBER(SEARCH("Party Name-",'R.M Billets Reports'!D2575)),TRIM(MID('R.M Billets Reports'!D2575,SEARCH("-",'R.M Billets Reports'!D2575)+1,200)),"")))="SHREE RADHE SHAKTI SPONGE AND POWER PVT. LTD.","SHREE RADHE",IF(IF(ISNUMBER(SEARCH("Party Name:-",'R.M Billets Reports'!D2574)),TRIM('R.M Billets Reports'!F2574),IF(ISNUMBER(SEARCH("Party Name-",'R.M Billets Reports'!D2574)),TRIM(MID('R.M Billets Reports'!D2574,SEARCH("-",'R.M Billets Reports'!D2574)+1,200)),""))&lt;&gt;"",IF(ISNUMBER(SEARCH("Party Name:-",'R.M Billets Reports'!D2574)),TRIM('R.M Billets Reports'!F2574),IF(ISNUMBER(SEARCH("Party Name-",'R.M Billets Reports'!D2574)),TRIM(MID('R.M Billets Reports'!D2574,SEARCH("-",'R.M Billets Reports'!D2574)+1,200)),"")),IF(ISNUMBER(SEARCH("Party Name:-",'R.M Billets Reports'!D2575)),TRIM('R.M Billets Reports'!F2575),IF(ISNUMBER(SEARCH("Party Name-",'R.M Billets Reports'!D2575)),TRIM(MID('R.M Billets Reports'!D2575,SEARCH("-",'R.M Billets Reports'!D2575)+1,200)),"")))))),IF(ROW()=2,"",A2574))</f>
      </c>
      <c r="B2575">
        <f>IF(OR('R.M Billets Reports'!A2574="Date-",'R.M Billets Reports'!A2574="Date:-"),'R.M Billets Reports'!B2574,IF(ROW()=2,"",B2574))</f>
      </c>
      <c r="C2575">
        <f>IF('R.M Billets Reports'!A2574="V.No.",'R.M Billets Reports'!B2574,IF(ROW()=2,"",C2574))</f>
      </c>
      <c r="D2575">
        <f>IF('R.M Billets Reports'!A2574&lt;&gt;"",'R.M Billets Reports'!A2574,IF(ROW()=2,"",D2574))</f>
      </c>
      <c r="E2575">
        <f>IF('R.M Billets Reports'!B2574="","",TRIM('R.M Billets Reports'!B2574))</f>
      </c>
      <c r="F2575">
        <f>'R.M Billets Reports'!C2574</f>
      </c>
      <c r="G2575">
        <f>'R.M Billets Reports'!D2574</f>
      </c>
      <c r="H2575">
        <f>'R.M Billets Reports'!E2574</f>
      </c>
      <c r="I2575">
        <f>'R.M Billets Reports'!F2574</f>
      </c>
      <c r="J2575">
        <f>'R.M Billets Reports'!G2574</f>
      </c>
      <c r="K2575">
        <f>'R.M Billets Reports'!H2574</f>
      </c>
      <c r="L2575">
        <f>IF('R.M Billets Reports'!I2574="","",'R.M Billets Reports'!I2574)</f>
      </c>
      <c r="M2575">
        <f t="shared" si="80"/>
      </c>
      <c r="N2575">
        <f>IF('R.M Billets Reports'!J2574="","",'R.M Billets Reports'!J2574)</f>
      </c>
      <c r="O2575">
        <f t="shared" si="81"/>
      </c>
      <c r="P2575">
        <f>IF('R.M Billets Reports'!A2574="SIZE",'R.M Billets Reports'!B2574,P2574)</f>
      </c>
    </row>
    <row r="2576" spans="1:16" x14ac:dyDescent="0.25">
      <c r="A2576">
        <f>IF(OR('R.M Billets Reports'!A2575="Date-",'R.M Billets Reports'!A2575="Date:-"),IF(IF(IF(ISNUMBER(SEARCH("Party Name:-",'R.M Billets Reports'!D2575)),TRIM('R.M Billets Reports'!F2575),IF(ISNUMBER(SEARCH("Party Name-",'R.M Billets Reports'!D2575)),TRIM(MID('R.M Billets Reports'!D2575,SEARCH("-",'R.M Billets Reports'!D2575)+1,200)),""))&lt;&gt;"",IF(ISNUMBER(SEARCH("Party Name:-",'R.M Billets Reports'!D2575)),TRIM('R.M Billets Reports'!F2575),IF(ISNUMBER(SEARCH("Party Name-",'R.M Billets Reports'!D2575)),TRIM(MID('R.M Billets Reports'!D2575,SEARCH("-",'R.M Billets Reports'!D2575)+1,200)),"")),IF(ISNUMBER(SEARCH("Party Name:-",'R.M Billets Reports'!D2576)),TRIM('R.M Billets Reports'!F2576),IF(ISNUMBER(SEARCH("Party Name-",'R.M Billets Reports'!D2576)),TRIM(MID('R.M Billets Reports'!D2576,SEARCH("-",'R.M Billets Reports'!D2576)+1,200)),"")))="VRKP ISPAT PVT LTD","VRKP",IF(IF(IF(ISNUMBER(SEARCH("Party Name:-",'R.M Billets Reports'!D2575)),TRIM('R.M Billets Reports'!F2575),IF(ISNUMBER(SEARCH("Party Name-",'R.M Billets Reports'!D2575)),TRIM(MID('R.M Billets Reports'!D2575,SEARCH("-",'R.M Billets Reports'!D2575)+1,200)),""))&lt;&gt;"",IF(ISNUMBER(SEARCH("Party Name:-",'R.M Billets Reports'!D2575)),TRIM('R.M Billets Reports'!F2575),IF(ISNUMBER(SEARCH("Party Name-",'R.M Billets Reports'!D2575)),TRIM(MID('R.M Billets Reports'!D2575,SEARCH("-",'R.M Billets Reports'!D2575)+1,200)),"")),IF(ISNUMBER(SEARCH("Party Name:-",'R.M Billets Reports'!D2576)),TRIM('R.M Billets Reports'!F2576),IF(ISNUMBER(SEARCH("Party Name-",'R.M Billets Reports'!D2576)),TRIM(MID('R.M Billets Reports'!D2576,SEARCH("-",'R.M Billets Reports'!D2576)+1,200)),"")))="SHRI RADHE","SHREE RADHE",IF(IF(IF(ISNUMBER(SEARCH("Party Name:-",'R.M Billets Reports'!D2575)),TRIM('R.M Billets Reports'!F2575),IF(ISNUMBER(SEARCH("Party Name-",'R.M Billets Reports'!D2575)),TRIM(MID('R.M Billets Reports'!D2575,SEARCH("-",'R.M Billets Reports'!D2575)+1,200)),""))&lt;&gt;"",IF(ISNUMBER(SEARCH("Party Name:-",'R.M Billets Reports'!D2575)),TRIM('R.M Billets Reports'!F2575),IF(ISNUMBER(SEARCH("Party Name-",'R.M Billets Reports'!D2575)),TRIM(MID('R.M Billets Reports'!D2575,SEARCH("-",'R.M Billets Reports'!D2575)+1,200)),"")),IF(ISNUMBER(SEARCH("Party Name:-",'R.M Billets Reports'!D2576)),TRIM('R.M Billets Reports'!F2576),IF(ISNUMBER(SEARCH("Party Name-",'R.M Billets Reports'!D2576)),TRIM(MID('R.M Billets Reports'!D2576,SEARCH("-",'R.M Billets Reports'!D2576)+1,200)),"")))="SHREE RADHE SHAKTI SPONGE AND POWER PVT. LTD.","SHREE RADHE",IF(IF(ISNUMBER(SEARCH("Party Name:-",'R.M Billets Reports'!D2575)),TRIM('R.M Billets Reports'!F2575),IF(ISNUMBER(SEARCH("Party Name-",'R.M Billets Reports'!D2575)),TRIM(MID('R.M Billets Reports'!D2575,SEARCH("-",'R.M Billets Reports'!D2575)+1,200)),""))&lt;&gt;"",IF(ISNUMBER(SEARCH("Party Name:-",'R.M Billets Reports'!D2575)),TRIM('R.M Billets Reports'!F2575),IF(ISNUMBER(SEARCH("Party Name-",'R.M Billets Reports'!D2575)),TRIM(MID('R.M Billets Reports'!D2575,SEARCH("-",'R.M Billets Reports'!D2575)+1,200)),"")),IF(ISNUMBER(SEARCH("Party Name:-",'R.M Billets Reports'!D2576)),TRIM('R.M Billets Reports'!F2576),IF(ISNUMBER(SEARCH("Party Name-",'R.M Billets Reports'!D2576)),TRIM(MID('R.M Billets Reports'!D2576,SEARCH("-",'R.M Billets Reports'!D2576)+1,200)),"")))))),IF(ROW()=2,"",A2575))</f>
      </c>
      <c r="B2576">
        <f>IF(OR('R.M Billets Reports'!A2575="Date-",'R.M Billets Reports'!A2575="Date:-"),'R.M Billets Reports'!B2575,IF(ROW()=2,"",B2575))</f>
      </c>
      <c r="C2576">
        <f>IF('R.M Billets Reports'!A2575="V.No.",'R.M Billets Reports'!B2575,IF(ROW()=2,"",C2575))</f>
      </c>
      <c r="D2576">
        <f>IF('R.M Billets Reports'!A2575&lt;&gt;"",'R.M Billets Reports'!A2575,IF(ROW()=2,"",D2575))</f>
      </c>
      <c r="E2576">
        <f>IF('R.M Billets Reports'!B2575="","",TRIM('R.M Billets Reports'!B2575))</f>
      </c>
      <c r="F2576">
        <f>'R.M Billets Reports'!C2575</f>
      </c>
      <c r="G2576">
        <f>'R.M Billets Reports'!D2575</f>
      </c>
      <c r="H2576">
        <f>'R.M Billets Reports'!E2575</f>
      </c>
      <c r="I2576">
        <f>'R.M Billets Reports'!F2575</f>
      </c>
      <c r="J2576">
        <f>'R.M Billets Reports'!G2575</f>
      </c>
      <c r="K2576">
        <f>'R.M Billets Reports'!H2575</f>
      </c>
      <c r="L2576">
        <f>IF('R.M Billets Reports'!I2575="","",'R.M Billets Reports'!I2575)</f>
      </c>
      <c r="M2576">
        <f t="shared" si="80"/>
      </c>
      <c r="N2576">
        <f>IF('R.M Billets Reports'!J2575="","",'R.M Billets Reports'!J2575)</f>
      </c>
      <c r="O2576">
        <f t="shared" si="81"/>
      </c>
      <c r="P2576">
        <f>IF('R.M Billets Reports'!A2575="SIZE",'R.M Billets Reports'!B2575,P2575)</f>
      </c>
    </row>
    <row r="2577" spans="1:16" x14ac:dyDescent="0.25">
      <c r="A2577">
        <f>IF(OR('R.M Billets Reports'!A2576="Date-",'R.M Billets Reports'!A2576="Date:-"),IF(IF(IF(ISNUMBER(SEARCH("Party Name:-",'R.M Billets Reports'!D2576)),TRIM('R.M Billets Reports'!F2576),IF(ISNUMBER(SEARCH("Party Name-",'R.M Billets Reports'!D2576)),TRIM(MID('R.M Billets Reports'!D2576,SEARCH("-",'R.M Billets Reports'!D2576)+1,200)),""))&lt;&gt;"",IF(ISNUMBER(SEARCH("Party Name:-",'R.M Billets Reports'!D2576)),TRIM('R.M Billets Reports'!F2576),IF(ISNUMBER(SEARCH("Party Name-",'R.M Billets Reports'!D2576)),TRIM(MID('R.M Billets Reports'!D2576,SEARCH("-",'R.M Billets Reports'!D2576)+1,200)),"")),IF(ISNUMBER(SEARCH("Party Name:-",'R.M Billets Reports'!D2577)),TRIM('R.M Billets Reports'!F2577),IF(ISNUMBER(SEARCH("Party Name-",'R.M Billets Reports'!D2577)),TRIM(MID('R.M Billets Reports'!D2577,SEARCH("-",'R.M Billets Reports'!D2577)+1,200)),"")))="VRKP ISPAT PVT LTD","VRKP",IF(IF(IF(ISNUMBER(SEARCH("Party Name:-",'R.M Billets Reports'!D2576)),TRIM('R.M Billets Reports'!F2576),IF(ISNUMBER(SEARCH("Party Name-",'R.M Billets Reports'!D2576)),TRIM(MID('R.M Billets Reports'!D2576,SEARCH("-",'R.M Billets Reports'!D2576)+1,200)),""))&lt;&gt;"",IF(ISNUMBER(SEARCH("Party Name:-",'R.M Billets Reports'!D2576)),TRIM('R.M Billets Reports'!F2576),IF(ISNUMBER(SEARCH("Party Name-",'R.M Billets Reports'!D2576)),TRIM(MID('R.M Billets Reports'!D2576,SEARCH("-",'R.M Billets Reports'!D2576)+1,200)),"")),IF(ISNUMBER(SEARCH("Party Name:-",'R.M Billets Reports'!D2577)),TRIM('R.M Billets Reports'!F2577),IF(ISNUMBER(SEARCH("Party Name-",'R.M Billets Reports'!D2577)),TRIM(MID('R.M Billets Reports'!D2577,SEARCH("-",'R.M Billets Reports'!D2577)+1,200)),"")))="SHRI RADHE","SHREE RADHE",IF(IF(IF(ISNUMBER(SEARCH("Party Name:-",'R.M Billets Reports'!D2576)),TRIM('R.M Billets Reports'!F2576),IF(ISNUMBER(SEARCH("Party Name-",'R.M Billets Reports'!D2576)),TRIM(MID('R.M Billets Reports'!D2576,SEARCH("-",'R.M Billets Reports'!D2576)+1,200)),""))&lt;&gt;"",IF(ISNUMBER(SEARCH("Party Name:-",'R.M Billets Reports'!D2576)),TRIM('R.M Billets Reports'!F2576),IF(ISNUMBER(SEARCH("Party Name-",'R.M Billets Reports'!D2576)),TRIM(MID('R.M Billets Reports'!D2576,SEARCH("-",'R.M Billets Reports'!D2576)+1,200)),"")),IF(ISNUMBER(SEARCH("Party Name:-",'R.M Billets Reports'!D2577)),TRIM('R.M Billets Reports'!F2577),IF(ISNUMBER(SEARCH("Party Name-",'R.M Billets Reports'!D2577)),TRIM(MID('R.M Billets Reports'!D2577,SEARCH("-",'R.M Billets Reports'!D2577)+1,200)),"")))="SHREE RADHE SHAKTI SPONGE AND POWER PVT. LTD.","SHREE RADHE",IF(IF(ISNUMBER(SEARCH("Party Name:-",'R.M Billets Reports'!D2576)),TRIM('R.M Billets Reports'!F2576),IF(ISNUMBER(SEARCH("Party Name-",'R.M Billets Reports'!D2576)),TRIM(MID('R.M Billets Reports'!D2576,SEARCH("-",'R.M Billets Reports'!D2576)+1,200)),""))&lt;&gt;"",IF(ISNUMBER(SEARCH("Party Name:-",'R.M Billets Reports'!D2576)),TRIM('R.M Billets Reports'!F2576),IF(ISNUMBER(SEARCH("Party Name-",'R.M Billets Reports'!D2576)),TRIM(MID('R.M Billets Reports'!D2576,SEARCH("-",'R.M Billets Reports'!D2576)+1,200)),"")),IF(ISNUMBER(SEARCH("Party Name:-",'R.M Billets Reports'!D2577)),TRIM('R.M Billets Reports'!F2577),IF(ISNUMBER(SEARCH("Party Name-",'R.M Billets Reports'!D2577)),TRIM(MID('R.M Billets Reports'!D2577,SEARCH("-",'R.M Billets Reports'!D2577)+1,200)),"")))))),IF(ROW()=2,"",A2576))</f>
      </c>
      <c r="B2577">
        <f>IF(OR('R.M Billets Reports'!A2576="Date-",'R.M Billets Reports'!A2576="Date:-"),'R.M Billets Reports'!B2576,IF(ROW()=2,"",B2576))</f>
      </c>
      <c r="C2577">
        <f>IF('R.M Billets Reports'!A2576="V.No.",'R.M Billets Reports'!B2576,IF(ROW()=2,"",C2576))</f>
      </c>
      <c r="D2577">
        <f>IF('R.M Billets Reports'!A2576&lt;&gt;"",'R.M Billets Reports'!A2576,IF(ROW()=2,"",D2576))</f>
      </c>
      <c r="E2577">
        <f>IF('R.M Billets Reports'!B2576="","",TRIM('R.M Billets Reports'!B2576))</f>
      </c>
      <c r="F2577">
        <f>'R.M Billets Reports'!C2576</f>
      </c>
      <c r="G2577">
        <f>'R.M Billets Reports'!D2576</f>
      </c>
      <c r="H2577">
        <f>'R.M Billets Reports'!E2576</f>
      </c>
      <c r="I2577">
        <f>'R.M Billets Reports'!F2576</f>
      </c>
      <c r="J2577">
        <f>'R.M Billets Reports'!G2576</f>
      </c>
      <c r="K2577">
        <f>'R.M Billets Reports'!H2576</f>
      </c>
      <c r="L2577">
        <f>IF('R.M Billets Reports'!I2576="","",'R.M Billets Reports'!I2576)</f>
      </c>
      <c r="M2577">
        <f t="shared" si="80"/>
      </c>
      <c r="N2577">
        <f>IF('R.M Billets Reports'!J2576="","",'R.M Billets Reports'!J2576)</f>
      </c>
      <c r="O2577">
        <f t="shared" si="81"/>
      </c>
      <c r="P2577">
        <f>IF('R.M Billets Reports'!A2576="SIZE",'R.M Billets Reports'!B2576,P2576)</f>
      </c>
    </row>
    <row r="2578" spans="1:16" x14ac:dyDescent="0.25">
      <c r="A2578">
        <f>IF(OR('R.M Billets Reports'!A2577="Date-",'R.M Billets Reports'!A2577="Date:-"),IF(IF(IF(ISNUMBER(SEARCH("Party Name:-",'R.M Billets Reports'!D2577)),TRIM('R.M Billets Reports'!F2577),IF(ISNUMBER(SEARCH("Party Name-",'R.M Billets Reports'!D2577)),TRIM(MID('R.M Billets Reports'!D2577,SEARCH("-",'R.M Billets Reports'!D2577)+1,200)),""))&lt;&gt;"",IF(ISNUMBER(SEARCH("Party Name:-",'R.M Billets Reports'!D2577)),TRIM('R.M Billets Reports'!F2577),IF(ISNUMBER(SEARCH("Party Name-",'R.M Billets Reports'!D2577)),TRIM(MID('R.M Billets Reports'!D2577,SEARCH("-",'R.M Billets Reports'!D2577)+1,200)),"")),IF(ISNUMBER(SEARCH("Party Name:-",'R.M Billets Reports'!D2578)),TRIM('R.M Billets Reports'!F2578),IF(ISNUMBER(SEARCH("Party Name-",'R.M Billets Reports'!D2578)),TRIM(MID('R.M Billets Reports'!D2578,SEARCH("-",'R.M Billets Reports'!D2578)+1,200)),"")))="VRKP ISPAT PVT LTD","VRKP",IF(IF(IF(ISNUMBER(SEARCH("Party Name:-",'R.M Billets Reports'!D2577)),TRIM('R.M Billets Reports'!F2577),IF(ISNUMBER(SEARCH("Party Name-",'R.M Billets Reports'!D2577)),TRIM(MID('R.M Billets Reports'!D2577,SEARCH("-",'R.M Billets Reports'!D2577)+1,200)),""))&lt;&gt;"",IF(ISNUMBER(SEARCH("Party Name:-",'R.M Billets Reports'!D2577)),TRIM('R.M Billets Reports'!F2577),IF(ISNUMBER(SEARCH("Party Name-",'R.M Billets Reports'!D2577)),TRIM(MID('R.M Billets Reports'!D2577,SEARCH("-",'R.M Billets Reports'!D2577)+1,200)),"")),IF(ISNUMBER(SEARCH("Party Name:-",'R.M Billets Reports'!D2578)),TRIM('R.M Billets Reports'!F2578),IF(ISNUMBER(SEARCH("Party Name-",'R.M Billets Reports'!D2578)),TRIM(MID('R.M Billets Reports'!D2578,SEARCH("-",'R.M Billets Reports'!D2578)+1,200)),"")))="SHRI RADHE","SHREE RADHE",IF(IF(IF(ISNUMBER(SEARCH("Party Name:-",'R.M Billets Reports'!D2577)),TRIM('R.M Billets Reports'!F2577),IF(ISNUMBER(SEARCH("Party Name-",'R.M Billets Reports'!D2577)),TRIM(MID('R.M Billets Reports'!D2577,SEARCH("-",'R.M Billets Reports'!D2577)+1,200)),""))&lt;&gt;"",IF(ISNUMBER(SEARCH("Party Name:-",'R.M Billets Reports'!D2577)),TRIM('R.M Billets Reports'!F2577),IF(ISNUMBER(SEARCH("Party Name-",'R.M Billets Reports'!D2577)),TRIM(MID('R.M Billets Reports'!D2577,SEARCH("-",'R.M Billets Reports'!D2577)+1,200)),"")),IF(ISNUMBER(SEARCH("Party Name:-",'R.M Billets Reports'!D2578)),TRIM('R.M Billets Reports'!F2578),IF(ISNUMBER(SEARCH("Party Name-",'R.M Billets Reports'!D2578)),TRIM(MID('R.M Billets Reports'!D2578,SEARCH("-",'R.M Billets Reports'!D2578)+1,200)),"")))="SHREE RADHE SHAKTI SPONGE AND POWER PVT. LTD.","SHREE RADHE",IF(IF(ISNUMBER(SEARCH("Party Name:-",'R.M Billets Reports'!D2577)),TRIM('R.M Billets Reports'!F2577),IF(ISNUMBER(SEARCH("Party Name-",'R.M Billets Reports'!D2577)),TRIM(MID('R.M Billets Reports'!D2577,SEARCH("-",'R.M Billets Reports'!D2577)+1,200)),""))&lt;&gt;"",IF(ISNUMBER(SEARCH("Party Name:-",'R.M Billets Reports'!D2577)),TRIM('R.M Billets Reports'!F2577),IF(ISNUMBER(SEARCH("Party Name-",'R.M Billets Reports'!D2577)),TRIM(MID('R.M Billets Reports'!D2577,SEARCH("-",'R.M Billets Reports'!D2577)+1,200)),"")),IF(ISNUMBER(SEARCH("Party Name:-",'R.M Billets Reports'!D2578)),TRIM('R.M Billets Reports'!F2578),IF(ISNUMBER(SEARCH("Party Name-",'R.M Billets Reports'!D2578)),TRIM(MID('R.M Billets Reports'!D2578,SEARCH("-",'R.M Billets Reports'!D2578)+1,200)),"")))))),IF(ROW()=2,"",A2577))</f>
      </c>
      <c r="B2578">
        <f>IF(OR('R.M Billets Reports'!A2577="Date-",'R.M Billets Reports'!A2577="Date:-"),'R.M Billets Reports'!B2577,IF(ROW()=2,"",B2577))</f>
      </c>
      <c r="C2578">
        <f>IF('R.M Billets Reports'!A2577="V.No.",'R.M Billets Reports'!B2577,IF(ROW()=2,"",C2577))</f>
      </c>
      <c r="D2578">
        <f>IF('R.M Billets Reports'!A2577&lt;&gt;"",'R.M Billets Reports'!A2577,IF(ROW()=2,"",D2577))</f>
      </c>
      <c r="E2578">
        <f>IF('R.M Billets Reports'!B2577="","",TRIM('R.M Billets Reports'!B2577))</f>
      </c>
      <c r="F2578">
        <f>'R.M Billets Reports'!C2577</f>
      </c>
      <c r="G2578">
        <f>'R.M Billets Reports'!D2577</f>
      </c>
      <c r="H2578">
        <f>'R.M Billets Reports'!E2577</f>
      </c>
      <c r="I2578">
        <f>'R.M Billets Reports'!F2577</f>
      </c>
      <c r="J2578">
        <f>'R.M Billets Reports'!G2577</f>
      </c>
      <c r="K2578">
        <f>'R.M Billets Reports'!H2577</f>
      </c>
      <c r="L2578">
        <f>IF('R.M Billets Reports'!I2577="","",'R.M Billets Reports'!I2577)</f>
      </c>
      <c r="M2578">
        <f t="shared" si="80"/>
      </c>
      <c r="N2578">
        <f>IF('R.M Billets Reports'!J2577="","",'R.M Billets Reports'!J2577)</f>
      </c>
      <c r="O2578">
        <f t="shared" si="81"/>
      </c>
      <c r="P2578">
        <f>IF('R.M Billets Reports'!A2577="SIZE",'R.M Billets Reports'!B2577,P2577)</f>
      </c>
    </row>
    <row r="2579" spans="1:16" x14ac:dyDescent="0.25">
      <c r="A2579">
        <f>IF(OR('R.M Billets Reports'!A2578="Date-",'R.M Billets Reports'!A2578="Date:-"),IF(IF(IF(ISNUMBER(SEARCH("Party Name:-",'R.M Billets Reports'!D2578)),TRIM('R.M Billets Reports'!F2578),IF(ISNUMBER(SEARCH("Party Name-",'R.M Billets Reports'!D2578)),TRIM(MID('R.M Billets Reports'!D2578,SEARCH("-",'R.M Billets Reports'!D2578)+1,200)),""))&lt;&gt;"",IF(ISNUMBER(SEARCH("Party Name:-",'R.M Billets Reports'!D2578)),TRIM('R.M Billets Reports'!F2578),IF(ISNUMBER(SEARCH("Party Name-",'R.M Billets Reports'!D2578)),TRIM(MID('R.M Billets Reports'!D2578,SEARCH("-",'R.M Billets Reports'!D2578)+1,200)),"")),IF(ISNUMBER(SEARCH("Party Name:-",'R.M Billets Reports'!D2579)),TRIM('R.M Billets Reports'!F2579),IF(ISNUMBER(SEARCH("Party Name-",'R.M Billets Reports'!D2579)),TRIM(MID('R.M Billets Reports'!D2579,SEARCH("-",'R.M Billets Reports'!D2579)+1,200)),"")))="VRKP ISPAT PVT LTD","VRKP",IF(IF(IF(ISNUMBER(SEARCH("Party Name:-",'R.M Billets Reports'!D2578)),TRIM('R.M Billets Reports'!F2578),IF(ISNUMBER(SEARCH("Party Name-",'R.M Billets Reports'!D2578)),TRIM(MID('R.M Billets Reports'!D2578,SEARCH("-",'R.M Billets Reports'!D2578)+1,200)),""))&lt;&gt;"",IF(ISNUMBER(SEARCH("Party Name:-",'R.M Billets Reports'!D2578)),TRIM('R.M Billets Reports'!F2578),IF(ISNUMBER(SEARCH("Party Name-",'R.M Billets Reports'!D2578)),TRIM(MID('R.M Billets Reports'!D2578,SEARCH("-",'R.M Billets Reports'!D2578)+1,200)),"")),IF(ISNUMBER(SEARCH("Party Name:-",'R.M Billets Reports'!D2579)),TRIM('R.M Billets Reports'!F2579),IF(ISNUMBER(SEARCH("Party Name-",'R.M Billets Reports'!D2579)),TRIM(MID('R.M Billets Reports'!D2579,SEARCH("-",'R.M Billets Reports'!D2579)+1,200)),"")))="SHRI RADHE","SHREE RADHE",IF(IF(IF(ISNUMBER(SEARCH("Party Name:-",'R.M Billets Reports'!D2578)),TRIM('R.M Billets Reports'!F2578),IF(ISNUMBER(SEARCH("Party Name-",'R.M Billets Reports'!D2578)),TRIM(MID('R.M Billets Reports'!D2578,SEARCH("-",'R.M Billets Reports'!D2578)+1,200)),""))&lt;&gt;"",IF(ISNUMBER(SEARCH("Party Name:-",'R.M Billets Reports'!D2578)),TRIM('R.M Billets Reports'!F2578),IF(ISNUMBER(SEARCH("Party Name-",'R.M Billets Reports'!D2578)),TRIM(MID('R.M Billets Reports'!D2578,SEARCH("-",'R.M Billets Reports'!D2578)+1,200)),"")),IF(ISNUMBER(SEARCH("Party Name:-",'R.M Billets Reports'!D2579)),TRIM('R.M Billets Reports'!F2579),IF(ISNUMBER(SEARCH("Party Name-",'R.M Billets Reports'!D2579)),TRIM(MID('R.M Billets Reports'!D2579,SEARCH("-",'R.M Billets Reports'!D2579)+1,200)),"")))="SHREE RADHE SHAKTI SPONGE AND POWER PVT. LTD.","SHREE RADHE",IF(IF(ISNUMBER(SEARCH("Party Name:-",'R.M Billets Reports'!D2578)),TRIM('R.M Billets Reports'!F2578),IF(ISNUMBER(SEARCH("Party Name-",'R.M Billets Reports'!D2578)),TRIM(MID('R.M Billets Reports'!D2578,SEARCH("-",'R.M Billets Reports'!D2578)+1,200)),""))&lt;&gt;"",IF(ISNUMBER(SEARCH("Party Name:-",'R.M Billets Reports'!D2578)),TRIM('R.M Billets Reports'!F2578),IF(ISNUMBER(SEARCH("Party Name-",'R.M Billets Reports'!D2578)),TRIM(MID('R.M Billets Reports'!D2578,SEARCH("-",'R.M Billets Reports'!D2578)+1,200)),"")),IF(ISNUMBER(SEARCH("Party Name:-",'R.M Billets Reports'!D2579)),TRIM('R.M Billets Reports'!F2579),IF(ISNUMBER(SEARCH("Party Name-",'R.M Billets Reports'!D2579)),TRIM(MID('R.M Billets Reports'!D2579,SEARCH("-",'R.M Billets Reports'!D2579)+1,200)),"")))))),IF(ROW()=2,"",A2578))</f>
      </c>
      <c r="B2579">
        <f>IF(OR('R.M Billets Reports'!A2578="Date-",'R.M Billets Reports'!A2578="Date:-"),'R.M Billets Reports'!B2578,IF(ROW()=2,"",B2578))</f>
      </c>
      <c r="C2579">
        <f>IF('R.M Billets Reports'!A2578="V.No.",'R.M Billets Reports'!B2578,IF(ROW()=2,"",C2578))</f>
      </c>
      <c r="D2579">
        <f>IF('R.M Billets Reports'!A2578&lt;&gt;"",'R.M Billets Reports'!A2578,IF(ROW()=2,"",D2578))</f>
      </c>
      <c r="E2579">
        <f>IF('R.M Billets Reports'!B2578="","",TRIM('R.M Billets Reports'!B2578))</f>
      </c>
      <c r="F2579">
        <f>'R.M Billets Reports'!C2578</f>
      </c>
      <c r="G2579">
        <f>'R.M Billets Reports'!D2578</f>
      </c>
      <c r="H2579">
        <f>'R.M Billets Reports'!E2578</f>
      </c>
      <c r="I2579">
        <f>'R.M Billets Reports'!F2578</f>
      </c>
      <c r="J2579">
        <f>'R.M Billets Reports'!G2578</f>
      </c>
      <c r="K2579">
        <f>'R.M Billets Reports'!H2578</f>
      </c>
      <c r="L2579">
        <f>IF('R.M Billets Reports'!I2578="","",'R.M Billets Reports'!I2578)</f>
      </c>
      <c r="M2579">
        <f t="shared" si="80"/>
      </c>
      <c r="N2579">
        <f>IF('R.M Billets Reports'!J2578="","",'R.M Billets Reports'!J2578)</f>
      </c>
      <c r="O2579">
        <f t="shared" si="81"/>
      </c>
      <c r="P2579">
        <f>IF('R.M Billets Reports'!A2578="SIZE",'R.M Billets Reports'!B2578,P2578)</f>
      </c>
    </row>
    <row r="2580" spans="1:16" x14ac:dyDescent="0.25">
      <c r="A2580">
        <f>IF(OR('R.M Billets Reports'!A2579="Date-",'R.M Billets Reports'!A2579="Date:-"),IF(IF(IF(ISNUMBER(SEARCH("Party Name:-",'R.M Billets Reports'!D2579)),TRIM('R.M Billets Reports'!F2579),IF(ISNUMBER(SEARCH("Party Name-",'R.M Billets Reports'!D2579)),TRIM(MID('R.M Billets Reports'!D2579,SEARCH("-",'R.M Billets Reports'!D2579)+1,200)),""))&lt;&gt;"",IF(ISNUMBER(SEARCH("Party Name:-",'R.M Billets Reports'!D2579)),TRIM('R.M Billets Reports'!F2579),IF(ISNUMBER(SEARCH("Party Name-",'R.M Billets Reports'!D2579)),TRIM(MID('R.M Billets Reports'!D2579,SEARCH("-",'R.M Billets Reports'!D2579)+1,200)),"")),IF(ISNUMBER(SEARCH("Party Name:-",'R.M Billets Reports'!D2580)),TRIM('R.M Billets Reports'!F2580),IF(ISNUMBER(SEARCH("Party Name-",'R.M Billets Reports'!D2580)),TRIM(MID('R.M Billets Reports'!D2580,SEARCH("-",'R.M Billets Reports'!D2580)+1,200)),"")))="VRKP ISPAT PVT LTD","VRKP",IF(IF(IF(ISNUMBER(SEARCH("Party Name:-",'R.M Billets Reports'!D2579)),TRIM('R.M Billets Reports'!F2579),IF(ISNUMBER(SEARCH("Party Name-",'R.M Billets Reports'!D2579)),TRIM(MID('R.M Billets Reports'!D2579,SEARCH("-",'R.M Billets Reports'!D2579)+1,200)),""))&lt;&gt;"",IF(ISNUMBER(SEARCH("Party Name:-",'R.M Billets Reports'!D2579)),TRIM('R.M Billets Reports'!F2579),IF(ISNUMBER(SEARCH("Party Name-",'R.M Billets Reports'!D2579)),TRIM(MID('R.M Billets Reports'!D2579,SEARCH("-",'R.M Billets Reports'!D2579)+1,200)),"")),IF(ISNUMBER(SEARCH("Party Name:-",'R.M Billets Reports'!D2580)),TRIM('R.M Billets Reports'!F2580),IF(ISNUMBER(SEARCH("Party Name-",'R.M Billets Reports'!D2580)),TRIM(MID('R.M Billets Reports'!D2580,SEARCH("-",'R.M Billets Reports'!D2580)+1,200)),"")))="SHRI RADHE","SHREE RADHE",IF(IF(IF(ISNUMBER(SEARCH("Party Name:-",'R.M Billets Reports'!D2579)),TRIM('R.M Billets Reports'!F2579),IF(ISNUMBER(SEARCH("Party Name-",'R.M Billets Reports'!D2579)),TRIM(MID('R.M Billets Reports'!D2579,SEARCH("-",'R.M Billets Reports'!D2579)+1,200)),""))&lt;&gt;"",IF(ISNUMBER(SEARCH("Party Name:-",'R.M Billets Reports'!D2579)),TRIM('R.M Billets Reports'!F2579),IF(ISNUMBER(SEARCH("Party Name-",'R.M Billets Reports'!D2579)),TRIM(MID('R.M Billets Reports'!D2579,SEARCH("-",'R.M Billets Reports'!D2579)+1,200)),"")),IF(ISNUMBER(SEARCH("Party Name:-",'R.M Billets Reports'!D2580)),TRIM('R.M Billets Reports'!F2580),IF(ISNUMBER(SEARCH("Party Name-",'R.M Billets Reports'!D2580)),TRIM(MID('R.M Billets Reports'!D2580,SEARCH("-",'R.M Billets Reports'!D2580)+1,200)),"")))="SHREE RADHE SHAKTI SPONGE AND POWER PVT. LTD.","SHREE RADHE",IF(IF(ISNUMBER(SEARCH("Party Name:-",'R.M Billets Reports'!D2579)),TRIM('R.M Billets Reports'!F2579),IF(ISNUMBER(SEARCH("Party Name-",'R.M Billets Reports'!D2579)),TRIM(MID('R.M Billets Reports'!D2579,SEARCH("-",'R.M Billets Reports'!D2579)+1,200)),""))&lt;&gt;"",IF(ISNUMBER(SEARCH("Party Name:-",'R.M Billets Reports'!D2579)),TRIM('R.M Billets Reports'!F2579),IF(ISNUMBER(SEARCH("Party Name-",'R.M Billets Reports'!D2579)),TRIM(MID('R.M Billets Reports'!D2579,SEARCH("-",'R.M Billets Reports'!D2579)+1,200)),"")),IF(ISNUMBER(SEARCH("Party Name:-",'R.M Billets Reports'!D2580)),TRIM('R.M Billets Reports'!F2580),IF(ISNUMBER(SEARCH("Party Name-",'R.M Billets Reports'!D2580)),TRIM(MID('R.M Billets Reports'!D2580,SEARCH("-",'R.M Billets Reports'!D2580)+1,200)),"")))))),IF(ROW()=2,"",A2579))</f>
      </c>
      <c r="B2580">
        <f>IF(OR('R.M Billets Reports'!A2579="Date-",'R.M Billets Reports'!A2579="Date:-"),'R.M Billets Reports'!B2579,IF(ROW()=2,"",B2579))</f>
      </c>
      <c r="C2580">
        <f>IF('R.M Billets Reports'!A2579="V.No.",'R.M Billets Reports'!B2579,IF(ROW()=2,"",C2579))</f>
      </c>
      <c r="D2580">
        <f>IF('R.M Billets Reports'!A2579&lt;&gt;"",'R.M Billets Reports'!A2579,IF(ROW()=2,"",D2579))</f>
      </c>
      <c r="E2580">
        <f>IF('R.M Billets Reports'!B2579="","",TRIM('R.M Billets Reports'!B2579))</f>
      </c>
      <c r="F2580">
        <f>'R.M Billets Reports'!C2579</f>
      </c>
      <c r="G2580">
        <f>'R.M Billets Reports'!D2579</f>
      </c>
      <c r="H2580">
        <f>'R.M Billets Reports'!E2579</f>
      </c>
      <c r="I2580">
        <f>'R.M Billets Reports'!F2579</f>
      </c>
      <c r="J2580">
        <f>'R.M Billets Reports'!G2579</f>
      </c>
      <c r="K2580">
        <f>'R.M Billets Reports'!H2579</f>
      </c>
      <c r="L2580">
        <f>IF('R.M Billets Reports'!I2579="","",'R.M Billets Reports'!I2579)</f>
      </c>
      <c r="M2580">
        <f t="shared" si="80"/>
      </c>
      <c r="N2580">
        <f>IF('R.M Billets Reports'!J2579="","",'R.M Billets Reports'!J2579)</f>
      </c>
      <c r="O2580">
        <f t="shared" si="81"/>
      </c>
      <c r="P2580">
        <f>IF('R.M Billets Reports'!A2579="SIZE",'R.M Billets Reports'!B2579,P2579)</f>
      </c>
    </row>
    <row r="2581" spans="1:16" x14ac:dyDescent="0.25">
      <c r="A2581">
        <f>IF(OR('R.M Billets Reports'!A2580="Date-",'R.M Billets Reports'!A2580="Date:-"),IF(IF(IF(ISNUMBER(SEARCH("Party Name:-",'R.M Billets Reports'!D2580)),TRIM('R.M Billets Reports'!F2580),IF(ISNUMBER(SEARCH("Party Name-",'R.M Billets Reports'!D2580)),TRIM(MID('R.M Billets Reports'!D2580,SEARCH("-",'R.M Billets Reports'!D2580)+1,200)),""))&lt;&gt;"",IF(ISNUMBER(SEARCH("Party Name:-",'R.M Billets Reports'!D2580)),TRIM('R.M Billets Reports'!F2580),IF(ISNUMBER(SEARCH("Party Name-",'R.M Billets Reports'!D2580)),TRIM(MID('R.M Billets Reports'!D2580,SEARCH("-",'R.M Billets Reports'!D2580)+1,200)),"")),IF(ISNUMBER(SEARCH("Party Name:-",'R.M Billets Reports'!D2581)),TRIM('R.M Billets Reports'!F2581),IF(ISNUMBER(SEARCH("Party Name-",'R.M Billets Reports'!D2581)),TRIM(MID('R.M Billets Reports'!D2581,SEARCH("-",'R.M Billets Reports'!D2581)+1,200)),"")))="VRKP ISPAT PVT LTD","VRKP",IF(IF(IF(ISNUMBER(SEARCH("Party Name:-",'R.M Billets Reports'!D2580)),TRIM('R.M Billets Reports'!F2580),IF(ISNUMBER(SEARCH("Party Name-",'R.M Billets Reports'!D2580)),TRIM(MID('R.M Billets Reports'!D2580,SEARCH("-",'R.M Billets Reports'!D2580)+1,200)),""))&lt;&gt;"",IF(ISNUMBER(SEARCH("Party Name:-",'R.M Billets Reports'!D2580)),TRIM('R.M Billets Reports'!F2580),IF(ISNUMBER(SEARCH("Party Name-",'R.M Billets Reports'!D2580)),TRIM(MID('R.M Billets Reports'!D2580,SEARCH("-",'R.M Billets Reports'!D2580)+1,200)),"")),IF(ISNUMBER(SEARCH("Party Name:-",'R.M Billets Reports'!D2581)),TRIM('R.M Billets Reports'!F2581),IF(ISNUMBER(SEARCH("Party Name-",'R.M Billets Reports'!D2581)),TRIM(MID('R.M Billets Reports'!D2581,SEARCH("-",'R.M Billets Reports'!D2581)+1,200)),"")))="SHRI RADHE","SHREE RADHE",IF(IF(IF(ISNUMBER(SEARCH("Party Name:-",'R.M Billets Reports'!D2580)),TRIM('R.M Billets Reports'!F2580),IF(ISNUMBER(SEARCH("Party Name-",'R.M Billets Reports'!D2580)),TRIM(MID('R.M Billets Reports'!D2580,SEARCH("-",'R.M Billets Reports'!D2580)+1,200)),""))&lt;&gt;"",IF(ISNUMBER(SEARCH("Party Name:-",'R.M Billets Reports'!D2580)),TRIM('R.M Billets Reports'!F2580),IF(ISNUMBER(SEARCH("Party Name-",'R.M Billets Reports'!D2580)),TRIM(MID('R.M Billets Reports'!D2580,SEARCH("-",'R.M Billets Reports'!D2580)+1,200)),"")),IF(ISNUMBER(SEARCH("Party Name:-",'R.M Billets Reports'!D2581)),TRIM('R.M Billets Reports'!F2581),IF(ISNUMBER(SEARCH("Party Name-",'R.M Billets Reports'!D2581)),TRIM(MID('R.M Billets Reports'!D2581,SEARCH("-",'R.M Billets Reports'!D2581)+1,200)),"")))="SHREE RADHE SHAKTI SPONGE AND POWER PVT. LTD.","SHREE RADHE",IF(IF(ISNUMBER(SEARCH("Party Name:-",'R.M Billets Reports'!D2580)),TRIM('R.M Billets Reports'!F2580),IF(ISNUMBER(SEARCH("Party Name-",'R.M Billets Reports'!D2580)),TRIM(MID('R.M Billets Reports'!D2580,SEARCH("-",'R.M Billets Reports'!D2580)+1,200)),""))&lt;&gt;"",IF(ISNUMBER(SEARCH("Party Name:-",'R.M Billets Reports'!D2580)),TRIM('R.M Billets Reports'!F2580),IF(ISNUMBER(SEARCH("Party Name-",'R.M Billets Reports'!D2580)),TRIM(MID('R.M Billets Reports'!D2580,SEARCH("-",'R.M Billets Reports'!D2580)+1,200)),"")),IF(ISNUMBER(SEARCH("Party Name:-",'R.M Billets Reports'!D2581)),TRIM('R.M Billets Reports'!F2581),IF(ISNUMBER(SEARCH("Party Name-",'R.M Billets Reports'!D2581)),TRIM(MID('R.M Billets Reports'!D2581,SEARCH("-",'R.M Billets Reports'!D2581)+1,200)),"")))))),IF(ROW()=2,"",A2580))</f>
      </c>
      <c r="B2581">
        <f>IF(OR('R.M Billets Reports'!A2580="Date-",'R.M Billets Reports'!A2580="Date:-"),'R.M Billets Reports'!B2580,IF(ROW()=2,"",B2580))</f>
      </c>
      <c r="C2581">
        <f>IF('R.M Billets Reports'!A2580="V.No.",'R.M Billets Reports'!B2580,IF(ROW()=2,"",C2580))</f>
      </c>
      <c r="D2581">
        <f>IF('R.M Billets Reports'!A2580&lt;&gt;"",'R.M Billets Reports'!A2580,IF(ROW()=2,"",D2580))</f>
      </c>
      <c r="E2581">
        <f>IF('R.M Billets Reports'!B2580="","",TRIM('R.M Billets Reports'!B2580))</f>
      </c>
      <c r="F2581">
        <f>'R.M Billets Reports'!C2580</f>
      </c>
      <c r="G2581">
        <f>'R.M Billets Reports'!D2580</f>
      </c>
      <c r="H2581">
        <f>'R.M Billets Reports'!E2580</f>
      </c>
      <c r="I2581">
        <f>'R.M Billets Reports'!F2580</f>
      </c>
      <c r="J2581">
        <f>'R.M Billets Reports'!G2580</f>
      </c>
      <c r="K2581">
        <f>'R.M Billets Reports'!H2580</f>
      </c>
      <c r="L2581">
        <f>IF('R.M Billets Reports'!I2580="","",'R.M Billets Reports'!I2580)</f>
      </c>
      <c r="M2581">
        <f t="shared" si="80"/>
      </c>
      <c r="N2581">
        <f>IF('R.M Billets Reports'!J2580="","",'R.M Billets Reports'!J2580)</f>
      </c>
      <c r="O2581">
        <f t="shared" si="81"/>
      </c>
      <c r="P2581">
        <f>IF('R.M Billets Reports'!A2580="SIZE",'R.M Billets Reports'!B2580,P2580)</f>
      </c>
    </row>
    <row r="2582" spans="1:16" x14ac:dyDescent="0.25">
      <c r="A2582">
        <f>IF(OR('R.M Billets Reports'!A2581="Date-",'R.M Billets Reports'!A2581="Date:-"),IF(IF(IF(ISNUMBER(SEARCH("Party Name:-",'R.M Billets Reports'!D2581)),TRIM('R.M Billets Reports'!F2581),IF(ISNUMBER(SEARCH("Party Name-",'R.M Billets Reports'!D2581)),TRIM(MID('R.M Billets Reports'!D2581,SEARCH("-",'R.M Billets Reports'!D2581)+1,200)),""))&lt;&gt;"",IF(ISNUMBER(SEARCH("Party Name:-",'R.M Billets Reports'!D2581)),TRIM('R.M Billets Reports'!F2581),IF(ISNUMBER(SEARCH("Party Name-",'R.M Billets Reports'!D2581)),TRIM(MID('R.M Billets Reports'!D2581,SEARCH("-",'R.M Billets Reports'!D2581)+1,200)),"")),IF(ISNUMBER(SEARCH("Party Name:-",'R.M Billets Reports'!D2582)),TRIM('R.M Billets Reports'!F2582),IF(ISNUMBER(SEARCH("Party Name-",'R.M Billets Reports'!D2582)),TRIM(MID('R.M Billets Reports'!D2582,SEARCH("-",'R.M Billets Reports'!D2582)+1,200)),"")))="VRKP ISPAT PVT LTD","VRKP",IF(IF(IF(ISNUMBER(SEARCH("Party Name:-",'R.M Billets Reports'!D2581)),TRIM('R.M Billets Reports'!F2581),IF(ISNUMBER(SEARCH("Party Name-",'R.M Billets Reports'!D2581)),TRIM(MID('R.M Billets Reports'!D2581,SEARCH("-",'R.M Billets Reports'!D2581)+1,200)),""))&lt;&gt;"",IF(ISNUMBER(SEARCH("Party Name:-",'R.M Billets Reports'!D2581)),TRIM('R.M Billets Reports'!F2581),IF(ISNUMBER(SEARCH("Party Name-",'R.M Billets Reports'!D2581)),TRIM(MID('R.M Billets Reports'!D2581,SEARCH("-",'R.M Billets Reports'!D2581)+1,200)),"")),IF(ISNUMBER(SEARCH("Party Name:-",'R.M Billets Reports'!D2582)),TRIM('R.M Billets Reports'!F2582),IF(ISNUMBER(SEARCH("Party Name-",'R.M Billets Reports'!D2582)),TRIM(MID('R.M Billets Reports'!D2582,SEARCH("-",'R.M Billets Reports'!D2582)+1,200)),"")))="SHRI RADHE","SHREE RADHE",IF(IF(IF(ISNUMBER(SEARCH("Party Name:-",'R.M Billets Reports'!D2581)),TRIM('R.M Billets Reports'!F2581),IF(ISNUMBER(SEARCH("Party Name-",'R.M Billets Reports'!D2581)),TRIM(MID('R.M Billets Reports'!D2581,SEARCH("-",'R.M Billets Reports'!D2581)+1,200)),""))&lt;&gt;"",IF(ISNUMBER(SEARCH("Party Name:-",'R.M Billets Reports'!D2581)),TRIM('R.M Billets Reports'!F2581),IF(ISNUMBER(SEARCH("Party Name-",'R.M Billets Reports'!D2581)),TRIM(MID('R.M Billets Reports'!D2581,SEARCH("-",'R.M Billets Reports'!D2581)+1,200)),"")),IF(ISNUMBER(SEARCH("Party Name:-",'R.M Billets Reports'!D2582)),TRIM('R.M Billets Reports'!F2582),IF(ISNUMBER(SEARCH("Party Name-",'R.M Billets Reports'!D2582)),TRIM(MID('R.M Billets Reports'!D2582,SEARCH("-",'R.M Billets Reports'!D2582)+1,200)),"")))="SHREE RADHE SHAKTI SPONGE AND POWER PVT. LTD.","SHREE RADHE",IF(IF(ISNUMBER(SEARCH("Party Name:-",'R.M Billets Reports'!D2581)),TRIM('R.M Billets Reports'!F2581),IF(ISNUMBER(SEARCH("Party Name-",'R.M Billets Reports'!D2581)),TRIM(MID('R.M Billets Reports'!D2581,SEARCH("-",'R.M Billets Reports'!D2581)+1,200)),""))&lt;&gt;"",IF(ISNUMBER(SEARCH("Party Name:-",'R.M Billets Reports'!D2581)),TRIM('R.M Billets Reports'!F2581),IF(ISNUMBER(SEARCH("Party Name-",'R.M Billets Reports'!D2581)),TRIM(MID('R.M Billets Reports'!D2581,SEARCH("-",'R.M Billets Reports'!D2581)+1,200)),"")),IF(ISNUMBER(SEARCH("Party Name:-",'R.M Billets Reports'!D2582)),TRIM('R.M Billets Reports'!F2582),IF(ISNUMBER(SEARCH("Party Name-",'R.M Billets Reports'!D2582)),TRIM(MID('R.M Billets Reports'!D2582,SEARCH("-",'R.M Billets Reports'!D2582)+1,200)),"")))))),IF(ROW()=2,"",A2581))</f>
      </c>
      <c r="B2582">
        <f>IF(OR('R.M Billets Reports'!A2581="Date-",'R.M Billets Reports'!A2581="Date:-"),'R.M Billets Reports'!B2581,IF(ROW()=2,"",B2581))</f>
      </c>
      <c r="C2582">
        <f>IF('R.M Billets Reports'!A2581="V.No.",'R.M Billets Reports'!B2581,IF(ROW()=2,"",C2581))</f>
      </c>
      <c r="D2582">
        <f>IF('R.M Billets Reports'!A2581&lt;&gt;"",'R.M Billets Reports'!A2581,IF(ROW()=2,"",D2581))</f>
      </c>
      <c r="E2582">
        <f>IF('R.M Billets Reports'!B2581="","",TRIM('R.M Billets Reports'!B2581))</f>
      </c>
      <c r="F2582">
        <f>'R.M Billets Reports'!C2581</f>
      </c>
      <c r="G2582">
        <f>'R.M Billets Reports'!D2581</f>
      </c>
      <c r="H2582">
        <f>'R.M Billets Reports'!E2581</f>
      </c>
      <c r="I2582">
        <f>'R.M Billets Reports'!F2581</f>
      </c>
      <c r="J2582">
        <f>'R.M Billets Reports'!G2581</f>
      </c>
      <c r="K2582">
        <f>'R.M Billets Reports'!H2581</f>
      </c>
      <c r="L2582">
        <f>IF('R.M Billets Reports'!I2581="","",'R.M Billets Reports'!I2581)</f>
      </c>
      <c r="M2582">
        <f t="shared" si="80"/>
      </c>
      <c r="N2582">
        <f>IF('R.M Billets Reports'!J2581="","",'R.M Billets Reports'!J2581)</f>
      </c>
      <c r="O2582">
        <f t="shared" si="81"/>
      </c>
      <c r="P2582">
        <f>IF('R.M Billets Reports'!A2581="SIZE",'R.M Billets Reports'!B2581,P2581)</f>
      </c>
    </row>
    <row r="2583" spans="1:16" x14ac:dyDescent="0.25">
      <c r="A2583">
        <f>IF(OR('R.M Billets Reports'!A2582="Date-",'R.M Billets Reports'!A2582="Date:-"),IF(IF(IF(ISNUMBER(SEARCH("Party Name:-",'R.M Billets Reports'!D2582)),TRIM('R.M Billets Reports'!F2582),IF(ISNUMBER(SEARCH("Party Name-",'R.M Billets Reports'!D2582)),TRIM(MID('R.M Billets Reports'!D2582,SEARCH("-",'R.M Billets Reports'!D2582)+1,200)),""))&lt;&gt;"",IF(ISNUMBER(SEARCH("Party Name:-",'R.M Billets Reports'!D2582)),TRIM('R.M Billets Reports'!F2582),IF(ISNUMBER(SEARCH("Party Name-",'R.M Billets Reports'!D2582)),TRIM(MID('R.M Billets Reports'!D2582,SEARCH("-",'R.M Billets Reports'!D2582)+1,200)),"")),IF(ISNUMBER(SEARCH("Party Name:-",'R.M Billets Reports'!D2583)),TRIM('R.M Billets Reports'!F2583),IF(ISNUMBER(SEARCH("Party Name-",'R.M Billets Reports'!D2583)),TRIM(MID('R.M Billets Reports'!D2583,SEARCH("-",'R.M Billets Reports'!D2583)+1,200)),"")))="VRKP ISPAT PVT LTD","VRKP",IF(IF(IF(ISNUMBER(SEARCH("Party Name:-",'R.M Billets Reports'!D2582)),TRIM('R.M Billets Reports'!F2582),IF(ISNUMBER(SEARCH("Party Name-",'R.M Billets Reports'!D2582)),TRIM(MID('R.M Billets Reports'!D2582,SEARCH("-",'R.M Billets Reports'!D2582)+1,200)),""))&lt;&gt;"",IF(ISNUMBER(SEARCH("Party Name:-",'R.M Billets Reports'!D2582)),TRIM('R.M Billets Reports'!F2582),IF(ISNUMBER(SEARCH("Party Name-",'R.M Billets Reports'!D2582)),TRIM(MID('R.M Billets Reports'!D2582,SEARCH("-",'R.M Billets Reports'!D2582)+1,200)),"")),IF(ISNUMBER(SEARCH("Party Name:-",'R.M Billets Reports'!D2583)),TRIM('R.M Billets Reports'!F2583),IF(ISNUMBER(SEARCH("Party Name-",'R.M Billets Reports'!D2583)),TRIM(MID('R.M Billets Reports'!D2583,SEARCH("-",'R.M Billets Reports'!D2583)+1,200)),"")))="SHRI RADHE","SHREE RADHE",IF(IF(IF(ISNUMBER(SEARCH("Party Name:-",'R.M Billets Reports'!D2582)),TRIM('R.M Billets Reports'!F2582),IF(ISNUMBER(SEARCH("Party Name-",'R.M Billets Reports'!D2582)),TRIM(MID('R.M Billets Reports'!D2582,SEARCH("-",'R.M Billets Reports'!D2582)+1,200)),""))&lt;&gt;"",IF(ISNUMBER(SEARCH("Party Name:-",'R.M Billets Reports'!D2582)),TRIM('R.M Billets Reports'!F2582),IF(ISNUMBER(SEARCH("Party Name-",'R.M Billets Reports'!D2582)),TRIM(MID('R.M Billets Reports'!D2582,SEARCH("-",'R.M Billets Reports'!D2582)+1,200)),"")),IF(ISNUMBER(SEARCH("Party Name:-",'R.M Billets Reports'!D2583)),TRIM('R.M Billets Reports'!F2583),IF(ISNUMBER(SEARCH("Party Name-",'R.M Billets Reports'!D2583)),TRIM(MID('R.M Billets Reports'!D2583,SEARCH("-",'R.M Billets Reports'!D2583)+1,200)),"")))="SHREE RADHE SHAKTI SPONGE AND POWER PVT. LTD.","SHREE RADHE",IF(IF(ISNUMBER(SEARCH("Party Name:-",'R.M Billets Reports'!D2582)),TRIM('R.M Billets Reports'!F2582),IF(ISNUMBER(SEARCH("Party Name-",'R.M Billets Reports'!D2582)),TRIM(MID('R.M Billets Reports'!D2582,SEARCH("-",'R.M Billets Reports'!D2582)+1,200)),""))&lt;&gt;"",IF(ISNUMBER(SEARCH("Party Name:-",'R.M Billets Reports'!D2582)),TRIM('R.M Billets Reports'!F2582),IF(ISNUMBER(SEARCH("Party Name-",'R.M Billets Reports'!D2582)),TRIM(MID('R.M Billets Reports'!D2582,SEARCH("-",'R.M Billets Reports'!D2582)+1,200)),"")),IF(ISNUMBER(SEARCH("Party Name:-",'R.M Billets Reports'!D2583)),TRIM('R.M Billets Reports'!F2583),IF(ISNUMBER(SEARCH("Party Name-",'R.M Billets Reports'!D2583)),TRIM(MID('R.M Billets Reports'!D2583,SEARCH("-",'R.M Billets Reports'!D2583)+1,200)),"")))))),IF(ROW()=2,"",A2582))</f>
      </c>
      <c r="B2583">
        <f>IF(OR('R.M Billets Reports'!A2582="Date-",'R.M Billets Reports'!A2582="Date:-"),'R.M Billets Reports'!B2582,IF(ROW()=2,"",B2582))</f>
      </c>
      <c r="C2583">
        <f>IF('R.M Billets Reports'!A2582="V.No.",'R.M Billets Reports'!B2582,IF(ROW()=2,"",C2582))</f>
      </c>
      <c r="D2583">
        <f>IF('R.M Billets Reports'!A2582&lt;&gt;"",'R.M Billets Reports'!A2582,IF(ROW()=2,"",D2582))</f>
      </c>
      <c r="E2583">
        <f>IF('R.M Billets Reports'!B2582="","",TRIM('R.M Billets Reports'!B2582))</f>
      </c>
      <c r="F2583">
        <f>'R.M Billets Reports'!C2582</f>
      </c>
      <c r="G2583">
        <f>'R.M Billets Reports'!D2582</f>
      </c>
      <c r="H2583">
        <f>'R.M Billets Reports'!E2582</f>
      </c>
      <c r="I2583">
        <f>'R.M Billets Reports'!F2582</f>
      </c>
      <c r="J2583">
        <f>'R.M Billets Reports'!G2582</f>
      </c>
      <c r="K2583">
        <f>'R.M Billets Reports'!H2582</f>
      </c>
      <c r="L2583">
        <f>IF('R.M Billets Reports'!I2582="","",'R.M Billets Reports'!I2582)</f>
      </c>
      <c r="M2583">
        <f t="shared" si="80"/>
      </c>
      <c r="N2583">
        <f>IF('R.M Billets Reports'!J2582="","",'R.M Billets Reports'!J2582)</f>
      </c>
      <c r="O2583">
        <f t="shared" si="81"/>
      </c>
      <c r="P2583">
        <f>IF('R.M Billets Reports'!A2582="SIZE",'R.M Billets Reports'!B2582,P2582)</f>
      </c>
    </row>
    <row r="2584" spans="1:16" x14ac:dyDescent="0.25">
      <c r="A2584">
        <f>IF(OR('R.M Billets Reports'!A2583="Date-",'R.M Billets Reports'!A2583="Date:-"),IF(IF(IF(ISNUMBER(SEARCH("Party Name:-",'R.M Billets Reports'!D2583)),TRIM('R.M Billets Reports'!F2583),IF(ISNUMBER(SEARCH("Party Name-",'R.M Billets Reports'!D2583)),TRIM(MID('R.M Billets Reports'!D2583,SEARCH("-",'R.M Billets Reports'!D2583)+1,200)),""))&lt;&gt;"",IF(ISNUMBER(SEARCH("Party Name:-",'R.M Billets Reports'!D2583)),TRIM('R.M Billets Reports'!F2583),IF(ISNUMBER(SEARCH("Party Name-",'R.M Billets Reports'!D2583)),TRIM(MID('R.M Billets Reports'!D2583,SEARCH("-",'R.M Billets Reports'!D2583)+1,200)),"")),IF(ISNUMBER(SEARCH("Party Name:-",'R.M Billets Reports'!D2584)),TRIM('R.M Billets Reports'!F2584),IF(ISNUMBER(SEARCH("Party Name-",'R.M Billets Reports'!D2584)),TRIM(MID('R.M Billets Reports'!D2584,SEARCH("-",'R.M Billets Reports'!D2584)+1,200)),"")))="VRKP ISPAT PVT LTD","VRKP",IF(IF(IF(ISNUMBER(SEARCH("Party Name:-",'R.M Billets Reports'!D2583)),TRIM('R.M Billets Reports'!F2583),IF(ISNUMBER(SEARCH("Party Name-",'R.M Billets Reports'!D2583)),TRIM(MID('R.M Billets Reports'!D2583,SEARCH("-",'R.M Billets Reports'!D2583)+1,200)),""))&lt;&gt;"",IF(ISNUMBER(SEARCH("Party Name:-",'R.M Billets Reports'!D2583)),TRIM('R.M Billets Reports'!F2583),IF(ISNUMBER(SEARCH("Party Name-",'R.M Billets Reports'!D2583)),TRIM(MID('R.M Billets Reports'!D2583,SEARCH("-",'R.M Billets Reports'!D2583)+1,200)),"")),IF(ISNUMBER(SEARCH("Party Name:-",'R.M Billets Reports'!D2584)),TRIM('R.M Billets Reports'!F2584),IF(ISNUMBER(SEARCH("Party Name-",'R.M Billets Reports'!D2584)),TRIM(MID('R.M Billets Reports'!D2584,SEARCH("-",'R.M Billets Reports'!D2584)+1,200)),"")))="SHRI RADHE","SHREE RADHE",IF(IF(IF(ISNUMBER(SEARCH("Party Name:-",'R.M Billets Reports'!D2583)),TRIM('R.M Billets Reports'!F2583),IF(ISNUMBER(SEARCH("Party Name-",'R.M Billets Reports'!D2583)),TRIM(MID('R.M Billets Reports'!D2583,SEARCH("-",'R.M Billets Reports'!D2583)+1,200)),""))&lt;&gt;"",IF(ISNUMBER(SEARCH("Party Name:-",'R.M Billets Reports'!D2583)),TRIM('R.M Billets Reports'!F2583),IF(ISNUMBER(SEARCH("Party Name-",'R.M Billets Reports'!D2583)),TRIM(MID('R.M Billets Reports'!D2583,SEARCH("-",'R.M Billets Reports'!D2583)+1,200)),"")),IF(ISNUMBER(SEARCH("Party Name:-",'R.M Billets Reports'!D2584)),TRIM('R.M Billets Reports'!F2584),IF(ISNUMBER(SEARCH("Party Name-",'R.M Billets Reports'!D2584)),TRIM(MID('R.M Billets Reports'!D2584,SEARCH("-",'R.M Billets Reports'!D2584)+1,200)),"")))="SHREE RADHE SHAKTI SPONGE AND POWER PVT. LTD.","SHREE RADHE",IF(IF(ISNUMBER(SEARCH("Party Name:-",'R.M Billets Reports'!D2583)),TRIM('R.M Billets Reports'!F2583),IF(ISNUMBER(SEARCH("Party Name-",'R.M Billets Reports'!D2583)),TRIM(MID('R.M Billets Reports'!D2583,SEARCH("-",'R.M Billets Reports'!D2583)+1,200)),""))&lt;&gt;"",IF(ISNUMBER(SEARCH("Party Name:-",'R.M Billets Reports'!D2583)),TRIM('R.M Billets Reports'!F2583),IF(ISNUMBER(SEARCH("Party Name-",'R.M Billets Reports'!D2583)),TRIM(MID('R.M Billets Reports'!D2583,SEARCH("-",'R.M Billets Reports'!D2583)+1,200)),"")),IF(ISNUMBER(SEARCH("Party Name:-",'R.M Billets Reports'!D2584)),TRIM('R.M Billets Reports'!F2584),IF(ISNUMBER(SEARCH("Party Name-",'R.M Billets Reports'!D2584)),TRIM(MID('R.M Billets Reports'!D2584,SEARCH("-",'R.M Billets Reports'!D2584)+1,200)),"")))))),IF(ROW()=2,"",A2583))</f>
      </c>
      <c r="B2584">
        <f>IF(OR('R.M Billets Reports'!A2583="Date-",'R.M Billets Reports'!A2583="Date:-"),'R.M Billets Reports'!B2583,IF(ROW()=2,"",B2583))</f>
      </c>
      <c r="C2584">
        <f>IF('R.M Billets Reports'!A2583="V.No.",'R.M Billets Reports'!B2583,IF(ROW()=2,"",C2583))</f>
      </c>
      <c r="D2584">
        <f>IF('R.M Billets Reports'!A2583&lt;&gt;"",'R.M Billets Reports'!A2583,IF(ROW()=2,"",D2583))</f>
      </c>
      <c r="E2584">
        <f>IF('R.M Billets Reports'!B2583="","",TRIM('R.M Billets Reports'!B2583))</f>
      </c>
      <c r="F2584">
        <f>'R.M Billets Reports'!C2583</f>
      </c>
      <c r="G2584">
        <f>'R.M Billets Reports'!D2583</f>
      </c>
      <c r="H2584">
        <f>'R.M Billets Reports'!E2583</f>
      </c>
      <c r="I2584">
        <f>'R.M Billets Reports'!F2583</f>
      </c>
      <c r="J2584">
        <f>'R.M Billets Reports'!G2583</f>
      </c>
      <c r="K2584">
        <f>'R.M Billets Reports'!H2583</f>
      </c>
      <c r="L2584">
        <f>IF('R.M Billets Reports'!I2583="","",'R.M Billets Reports'!I2583)</f>
      </c>
      <c r="M2584">
        <f t="shared" si="80"/>
      </c>
      <c r="N2584">
        <f>IF('R.M Billets Reports'!J2583="","",'R.M Billets Reports'!J2583)</f>
      </c>
      <c r="O2584">
        <f t="shared" si="81"/>
      </c>
      <c r="P2584">
        <f>IF('R.M Billets Reports'!A2583="SIZE",'R.M Billets Reports'!B2583,P2583)</f>
      </c>
    </row>
    <row r="2585" spans="1:16" x14ac:dyDescent="0.25">
      <c r="A2585">
        <f>IF(OR('R.M Billets Reports'!A2584="Date-",'R.M Billets Reports'!A2584="Date:-"),IF(IF(IF(ISNUMBER(SEARCH("Party Name:-",'R.M Billets Reports'!D2584)),TRIM('R.M Billets Reports'!F2584),IF(ISNUMBER(SEARCH("Party Name-",'R.M Billets Reports'!D2584)),TRIM(MID('R.M Billets Reports'!D2584,SEARCH("-",'R.M Billets Reports'!D2584)+1,200)),""))&lt;&gt;"",IF(ISNUMBER(SEARCH("Party Name:-",'R.M Billets Reports'!D2584)),TRIM('R.M Billets Reports'!F2584),IF(ISNUMBER(SEARCH("Party Name-",'R.M Billets Reports'!D2584)),TRIM(MID('R.M Billets Reports'!D2584,SEARCH("-",'R.M Billets Reports'!D2584)+1,200)),"")),IF(ISNUMBER(SEARCH("Party Name:-",'R.M Billets Reports'!D2585)),TRIM('R.M Billets Reports'!F2585),IF(ISNUMBER(SEARCH("Party Name-",'R.M Billets Reports'!D2585)),TRIM(MID('R.M Billets Reports'!D2585,SEARCH("-",'R.M Billets Reports'!D2585)+1,200)),"")))="VRKP ISPAT PVT LTD","VRKP",IF(IF(IF(ISNUMBER(SEARCH("Party Name:-",'R.M Billets Reports'!D2584)),TRIM('R.M Billets Reports'!F2584),IF(ISNUMBER(SEARCH("Party Name-",'R.M Billets Reports'!D2584)),TRIM(MID('R.M Billets Reports'!D2584,SEARCH("-",'R.M Billets Reports'!D2584)+1,200)),""))&lt;&gt;"",IF(ISNUMBER(SEARCH("Party Name:-",'R.M Billets Reports'!D2584)),TRIM('R.M Billets Reports'!F2584),IF(ISNUMBER(SEARCH("Party Name-",'R.M Billets Reports'!D2584)),TRIM(MID('R.M Billets Reports'!D2584,SEARCH("-",'R.M Billets Reports'!D2584)+1,200)),"")),IF(ISNUMBER(SEARCH("Party Name:-",'R.M Billets Reports'!D2585)),TRIM('R.M Billets Reports'!F2585),IF(ISNUMBER(SEARCH("Party Name-",'R.M Billets Reports'!D2585)),TRIM(MID('R.M Billets Reports'!D2585,SEARCH("-",'R.M Billets Reports'!D2585)+1,200)),"")))="SHRI RADHE","SHREE RADHE",IF(IF(IF(ISNUMBER(SEARCH("Party Name:-",'R.M Billets Reports'!D2584)),TRIM('R.M Billets Reports'!F2584),IF(ISNUMBER(SEARCH("Party Name-",'R.M Billets Reports'!D2584)),TRIM(MID('R.M Billets Reports'!D2584,SEARCH("-",'R.M Billets Reports'!D2584)+1,200)),""))&lt;&gt;"",IF(ISNUMBER(SEARCH("Party Name:-",'R.M Billets Reports'!D2584)),TRIM('R.M Billets Reports'!F2584),IF(ISNUMBER(SEARCH("Party Name-",'R.M Billets Reports'!D2584)),TRIM(MID('R.M Billets Reports'!D2584,SEARCH("-",'R.M Billets Reports'!D2584)+1,200)),"")),IF(ISNUMBER(SEARCH("Party Name:-",'R.M Billets Reports'!D2585)),TRIM('R.M Billets Reports'!F2585),IF(ISNUMBER(SEARCH("Party Name-",'R.M Billets Reports'!D2585)),TRIM(MID('R.M Billets Reports'!D2585,SEARCH("-",'R.M Billets Reports'!D2585)+1,200)),"")))="SHREE RADHE SHAKTI SPONGE AND POWER PVT. LTD.","SHREE RADHE",IF(IF(ISNUMBER(SEARCH("Party Name:-",'R.M Billets Reports'!D2584)),TRIM('R.M Billets Reports'!F2584),IF(ISNUMBER(SEARCH("Party Name-",'R.M Billets Reports'!D2584)),TRIM(MID('R.M Billets Reports'!D2584,SEARCH("-",'R.M Billets Reports'!D2584)+1,200)),""))&lt;&gt;"",IF(ISNUMBER(SEARCH("Party Name:-",'R.M Billets Reports'!D2584)),TRIM('R.M Billets Reports'!F2584),IF(ISNUMBER(SEARCH("Party Name-",'R.M Billets Reports'!D2584)),TRIM(MID('R.M Billets Reports'!D2584,SEARCH("-",'R.M Billets Reports'!D2584)+1,200)),"")),IF(ISNUMBER(SEARCH("Party Name:-",'R.M Billets Reports'!D2585)),TRIM('R.M Billets Reports'!F2585),IF(ISNUMBER(SEARCH("Party Name-",'R.M Billets Reports'!D2585)),TRIM(MID('R.M Billets Reports'!D2585,SEARCH("-",'R.M Billets Reports'!D2585)+1,200)),"")))))),IF(ROW()=2,"",A2584))</f>
      </c>
      <c r="B2585">
        <f>IF(OR('R.M Billets Reports'!A2584="Date-",'R.M Billets Reports'!A2584="Date:-"),'R.M Billets Reports'!B2584,IF(ROW()=2,"",B2584))</f>
      </c>
      <c r="C2585">
        <f>IF('R.M Billets Reports'!A2584="V.No.",'R.M Billets Reports'!B2584,IF(ROW()=2,"",C2584))</f>
      </c>
      <c r="D2585">
        <f>IF('R.M Billets Reports'!A2584&lt;&gt;"",'R.M Billets Reports'!A2584,IF(ROW()=2,"",D2584))</f>
      </c>
      <c r="E2585">
        <f>IF('R.M Billets Reports'!B2584="","",TRIM('R.M Billets Reports'!B2584))</f>
      </c>
      <c r="F2585">
        <f>'R.M Billets Reports'!C2584</f>
      </c>
      <c r="G2585">
        <f>'R.M Billets Reports'!D2584</f>
      </c>
      <c r="H2585">
        <f>'R.M Billets Reports'!E2584</f>
      </c>
      <c r="I2585">
        <f>'R.M Billets Reports'!F2584</f>
      </c>
      <c r="J2585">
        <f>'R.M Billets Reports'!G2584</f>
      </c>
      <c r="K2585">
        <f>'R.M Billets Reports'!H2584</f>
      </c>
      <c r="L2585">
        <f>IF('R.M Billets Reports'!I2584="","",'R.M Billets Reports'!I2584)</f>
      </c>
      <c r="M2585">
        <f t="shared" si="80"/>
      </c>
      <c r="N2585">
        <f>IF('R.M Billets Reports'!J2584="","",'R.M Billets Reports'!J2584)</f>
      </c>
      <c r="O2585">
        <f t="shared" si="81"/>
      </c>
      <c r="P2585">
        <f>IF('R.M Billets Reports'!A2584="SIZE",'R.M Billets Reports'!B2584,P2584)</f>
      </c>
    </row>
    <row r="2586" spans="1:16" x14ac:dyDescent="0.25">
      <c r="A2586">
        <f>IF(OR('R.M Billets Reports'!A2585="Date-",'R.M Billets Reports'!A2585="Date:-"),IF(IF(IF(ISNUMBER(SEARCH("Party Name:-",'R.M Billets Reports'!D2585)),TRIM('R.M Billets Reports'!F2585),IF(ISNUMBER(SEARCH("Party Name-",'R.M Billets Reports'!D2585)),TRIM(MID('R.M Billets Reports'!D2585,SEARCH("-",'R.M Billets Reports'!D2585)+1,200)),""))&lt;&gt;"",IF(ISNUMBER(SEARCH("Party Name:-",'R.M Billets Reports'!D2585)),TRIM('R.M Billets Reports'!F2585),IF(ISNUMBER(SEARCH("Party Name-",'R.M Billets Reports'!D2585)),TRIM(MID('R.M Billets Reports'!D2585,SEARCH("-",'R.M Billets Reports'!D2585)+1,200)),"")),IF(ISNUMBER(SEARCH("Party Name:-",'R.M Billets Reports'!D2586)),TRIM('R.M Billets Reports'!F2586),IF(ISNUMBER(SEARCH("Party Name-",'R.M Billets Reports'!D2586)),TRIM(MID('R.M Billets Reports'!D2586,SEARCH("-",'R.M Billets Reports'!D2586)+1,200)),"")))="VRKP ISPAT PVT LTD","VRKP",IF(IF(IF(ISNUMBER(SEARCH("Party Name:-",'R.M Billets Reports'!D2585)),TRIM('R.M Billets Reports'!F2585),IF(ISNUMBER(SEARCH("Party Name-",'R.M Billets Reports'!D2585)),TRIM(MID('R.M Billets Reports'!D2585,SEARCH("-",'R.M Billets Reports'!D2585)+1,200)),""))&lt;&gt;"",IF(ISNUMBER(SEARCH("Party Name:-",'R.M Billets Reports'!D2585)),TRIM('R.M Billets Reports'!F2585),IF(ISNUMBER(SEARCH("Party Name-",'R.M Billets Reports'!D2585)),TRIM(MID('R.M Billets Reports'!D2585,SEARCH("-",'R.M Billets Reports'!D2585)+1,200)),"")),IF(ISNUMBER(SEARCH("Party Name:-",'R.M Billets Reports'!D2586)),TRIM('R.M Billets Reports'!F2586),IF(ISNUMBER(SEARCH("Party Name-",'R.M Billets Reports'!D2586)),TRIM(MID('R.M Billets Reports'!D2586,SEARCH("-",'R.M Billets Reports'!D2586)+1,200)),"")))="SHRI RADHE","SHREE RADHE",IF(IF(IF(ISNUMBER(SEARCH("Party Name:-",'R.M Billets Reports'!D2585)),TRIM('R.M Billets Reports'!F2585),IF(ISNUMBER(SEARCH("Party Name-",'R.M Billets Reports'!D2585)),TRIM(MID('R.M Billets Reports'!D2585,SEARCH("-",'R.M Billets Reports'!D2585)+1,200)),""))&lt;&gt;"",IF(ISNUMBER(SEARCH("Party Name:-",'R.M Billets Reports'!D2585)),TRIM('R.M Billets Reports'!F2585),IF(ISNUMBER(SEARCH("Party Name-",'R.M Billets Reports'!D2585)),TRIM(MID('R.M Billets Reports'!D2585,SEARCH("-",'R.M Billets Reports'!D2585)+1,200)),"")),IF(ISNUMBER(SEARCH("Party Name:-",'R.M Billets Reports'!D2586)),TRIM('R.M Billets Reports'!F2586),IF(ISNUMBER(SEARCH("Party Name-",'R.M Billets Reports'!D2586)),TRIM(MID('R.M Billets Reports'!D2586,SEARCH("-",'R.M Billets Reports'!D2586)+1,200)),"")))="SHREE RADHE SHAKTI SPONGE AND POWER PVT. LTD.","SHREE RADHE",IF(IF(ISNUMBER(SEARCH("Party Name:-",'R.M Billets Reports'!D2585)),TRIM('R.M Billets Reports'!F2585),IF(ISNUMBER(SEARCH("Party Name-",'R.M Billets Reports'!D2585)),TRIM(MID('R.M Billets Reports'!D2585,SEARCH("-",'R.M Billets Reports'!D2585)+1,200)),""))&lt;&gt;"",IF(ISNUMBER(SEARCH("Party Name:-",'R.M Billets Reports'!D2585)),TRIM('R.M Billets Reports'!F2585),IF(ISNUMBER(SEARCH("Party Name-",'R.M Billets Reports'!D2585)),TRIM(MID('R.M Billets Reports'!D2585,SEARCH("-",'R.M Billets Reports'!D2585)+1,200)),"")),IF(ISNUMBER(SEARCH("Party Name:-",'R.M Billets Reports'!D2586)),TRIM('R.M Billets Reports'!F2586),IF(ISNUMBER(SEARCH("Party Name-",'R.M Billets Reports'!D2586)),TRIM(MID('R.M Billets Reports'!D2586,SEARCH("-",'R.M Billets Reports'!D2586)+1,200)),"")))))),IF(ROW()=2,"",A2585))</f>
      </c>
      <c r="B2586">
        <f>IF(OR('R.M Billets Reports'!A2585="Date-",'R.M Billets Reports'!A2585="Date:-"),'R.M Billets Reports'!B2585,IF(ROW()=2,"",B2585))</f>
      </c>
      <c r="C2586">
        <f>IF('R.M Billets Reports'!A2585="V.No.",'R.M Billets Reports'!B2585,IF(ROW()=2,"",C2585))</f>
      </c>
      <c r="D2586">
        <f>IF('R.M Billets Reports'!A2585&lt;&gt;"",'R.M Billets Reports'!A2585,IF(ROW()=2,"",D2585))</f>
      </c>
      <c r="E2586">
        <f>IF('R.M Billets Reports'!B2585="","",TRIM('R.M Billets Reports'!B2585))</f>
      </c>
      <c r="F2586">
        <f>'R.M Billets Reports'!C2585</f>
      </c>
      <c r="G2586">
        <f>'R.M Billets Reports'!D2585</f>
      </c>
      <c r="H2586">
        <f>'R.M Billets Reports'!E2585</f>
      </c>
      <c r="I2586">
        <f>'R.M Billets Reports'!F2585</f>
      </c>
      <c r="J2586">
        <f>'R.M Billets Reports'!G2585</f>
      </c>
      <c r="K2586">
        <f>'R.M Billets Reports'!H2585</f>
      </c>
      <c r="L2586">
        <f>IF('R.M Billets Reports'!I2585="","",'R.M Billets Reports'!I2585)</f>
      </c>
      <c r="M2586">
        <f t="shared" si="80"/>
      </c>
      <c r="N2586">
        <f>IF('R.M Billets Reports'!J2585="","",'R.M Billets Reports'!J2585)</f>
      </c>
      <c r="O2586">
        <f t="shared" si="81"/>
      </c>
      <c r="P2586">
        <f>IF('R.M Billets Reports'!A2585="SIZE",'R.M Billets Reports'!B2585,P2585)</f>
      </c>
    </row>
    <row r="2587" spans="1:16" x14ac:dyDescent="0.25">
      <c r="A2587">
        <f>IF(OR('R.M Billets Reports'!A2586="Date-",'R.M Billets Reports'!A2586="Date:-"),IF(IF(IF(ISNUMBER(SEARCH("Party Name:-",'R.M Billets Reports'!D2586)),TRIM('R.M Billets Reports'!F2586),IF(ISNUMBER(SEARCH("Party Name-",'R.M Billets Reports'!D2586)),TRIM(MID('R.M Billets Reports'!D2586,SEARCH("-",'R.M Billets Reports'!D2586)+1,200)),""))&lt;&gt;"",IF(ISNUMBER(SEARCH("Party Name:-",'R.M Billets Reports'!D2586)),TRIM('R.M Billets Reports'!F2586),IF(ISNUMBER(SEARCH("Party Name-",'R.M Billets Reports'!D2586)),TRIM(MID('R.M Billets Reports'!D2586,SEARCH("-",'R.M Billets Reports'!D2586)+1,200)),"")),IF(ISNUMBER(SEARCH("Party Name:-",'R.M Billets Reports'!D2587)),TRIM('R.M Billets Reports'!F2587),IF(ISNUMBER(SEARCH("Party Name-",'R.M Billets Reports'!D2587)),TRIM(MID('R.M Billets Reports'!D2587,SEARCH("-",'R.M Billets Reports'!D2587)+1,200)),"")))="VRKP ISPAT PVT LTD","VRKP",IF(IF(IF(ISNUMBER(SEARCH("Party Name:-",'R.M Billets Reports'!D2586)),TRIM('R.M Billets Reports'!F2586),IF(ISNUMBER(SEARCH("Party Name-",'R.M Billets Reports'!D2586)),TRIM(MID('R.M Billets Reports'!D2586,SEARCH("-",'R.M Billets Reports'!D2586)+1,200)),""))&lt;&gt;"",IF(ISNUMBER(SEARCH("Party Name:-",'R.M Billets Reports'!D2586)),TRIM('R.M Billets Reports'!F2586),IF(ISNUMBER(SEARCH("Party Name-",'R.M Billets Reports'!D2586)),TRIM(MID('R.M Billets Reports'!D2586,SEARCH("-",'R.M Billets Reports'!D2586)+1,200)),"")),IF(ISNUMBER(SEARCH("Party Name:-",'R.M Billets Reports'!D2587)),TRIM('R.M Billets Reports'!F2587),IF(ISNUMBER(SEARCH("Party Name-",'R.M Billets Reports'!D2587)),TRIM(MID('R.M Billets Reports'!D2587,SEARCH("-",'R.M Billets Reports'!D2587)+1,200)),"")))="SHRI RADHE","SHREE RADHE",IF(IF(IF(ISNUMBER(SEARCH("Party Name:-",'R.M Billets Reports'!D2586)),TRIM('R.M Billets Reports'!F2586),IF(ISNUMBER(SEARCH("Party Name-",'R.M Billets Reports'!D2586)),TRIM(MID('R.M Billets Reports'!D2586,SEARCH("-",'R.M Billets Reports'!D2586)+1,200)),""))&lt;&gt;"",IF(ISNUMBER(SEARCH("Party Name:-",'R.M Billets Reports'!D2586)),TRIM('R.M Billets Reports'!F2586),IF(ISNUMBER(SEARCH("Party Name-",'R.M Billets Reports'!D2586)),TRIM(MID('R.M Billets Reports'!D2586,SEARCH("-",'R.M Billets Reports'!D2586)+1,200)),"")),IF(ISNUMBER(SEARCH("Party Name:-",'R.M Billets Reports'!D2587)),TRIM('R.M Billets Reports'!F2587),IF(ISNUMBER(SEARCH("Party Name-",'R.M Billets Reports'!D2587)),TRIM(MID('R.M Billets Reports'!D2587,SEARCH("-",'R.M Billets Reports'!D2587)+1,200)),"")))="SHREE RADHE SHAKTI SPONGE AND POWER PVT. LTD.","SHREE RADHE",IF(IF(ISNUMBER(SEARCH("Party Name:-",'R.M Billets Reports'!D2586)),TRIM('R.M Billets Reports'!F2586),IF(ISNUMBER(SEARCH("Party Name-",'R.M Billets Reports'!D2586)),TRIM(MID('R.M Billets Reports'!D2586,SEARCH("-",'R.M Billets Reports'!D2586)+1,200)),""))&lt;&gt;"",IF(ISNUMBER(SEARCH("Party Name:-",'R.M Billets Reports'!D2586)),TRIM('R.M Billets Reports'!F2586),IF(ISNUMBER(SEARCH("Party Name-",'R.M Billets Reports'!D2586)),TRIM(MID('R.M Billets Reports'!D2586,SEARCH("-",'R.M Billets Reports'!D2586)+1,200)),"")),IF(ISNUMBER(SEARCH("Party Name:-",'R.M Billets Reports'!D2587)),TRIM('R.M Billets Reports'!F2587),IF(ISNUMBER(SEARCH("Party Name-",'R.M Billets Reports'!D2587)),TRIM(MID('R.M Billets Reports'!D2587,SEARCH("-",'R.M Billets Reports'!D2587)+1,200)),"")))))),IF(ROW()=2,"",A2586))</f>
      </c>
      <c r="B2587">
        <f>IF(OR('R.M Billets Reports'!A2586="Date-",'R.M Billets Reports'!A2586="Date:-"),'R.M Billets Reports'!B2586,IF(ROW()=2,"",B2586))</f>
      </c>
      <c r="C2587">
        <f>IF('R.M Billets Reports'!A2586="V.No.",'R.M Billets Reports'!B2586,IF(ROW()=2,"",C2586))</f>
      </c>
      <c r="D2587">
        <f>IF('R.M Billets Reports'!A2586&lt;&gt;"",'R.M Billets Reports'!A2586,IF(ROW()=2,"",D2586))</f>
      </c>
      <c r="E2587">
        <f>IF('R.M Billets Reports'!B2586="","",TRIM('R.M Billets Reports'!B2586))</f>
      </c>
      <c r="F2587">
        <f>'R.M Billets Reports'!C2586</f>
      </c>
      <c r="G2587">
        <f>'R.M Billets Reports'!D2586</f>
      </c>
      <c r="H2587">
        <f>'R.M Billets Reports'!E2586</f>
      </c>
      <c r="I2587">
        <f>'R.M Billets Reports'!F2586</f>
      </c>
      <c r="J2587">
        <f>'R.M Billets Reports'!G2586</f>
      </c>
      <c r="K2587">
        <f>'R.M Billets Reports'!H2586</f>
      </c>
      <c r="L2587">
        <f>IF('R.M Billets Reports'!I2586="","",'R.M Billets Reports'!I2586)</f>
      </c>
      <c r="M2587">
        <f t="shared" si="80"/>
      </c>
      <c r="N2587">
        <f>IF('R.M Billets Reports'!J2586="","",'R.M Billets Reports'!J2586)</f>
      </c>
      <c r="O2587">
        <f t="shared" si="81"/>
      </c>
      <c r="P2587">
        <f>IF('R.M Billets Reports'!A2586="SIZE",'R.M Billets Reports'!B2586,P2586)</f>
      </c>
    </row>
    <row r="2588" spans="1:16" x14ac:dyDescent="0.25">
      <c r="A2588">
        <f>IF(OR('R.M Billets Reports'!A2587="Date-",'R.M Billets Reports'!A2587="Date:-"),IF(IF(IF(ISNUMBER(SEARCH("Party Name:-",'R.M Billets Reports'!D2587)),TRIM('R.M Billets Reports'!F2587),IF(ISNUMBER(SEARCH("Party Name-",'R.M Billets Reports'!D2587)),TRIM(MID('R.M Billets Reports'!D2587,SEARCH("-",'R.M Billets Reports'!D2587)+1,200)),""))&lt;&gt;"",IF(ISNUMBER(SEARCH("Party Name:-",'R.M Billets Reports'!D2587)),TRIM('R.M Billets Reports'!F2587),IF(ISNUMBER(SEARCH("Party Name-",'R.M Billets Reports'!D2587)),TRIM(MID('R.M Billets Reports'!D2587,SEARCH("-",'R.M Billets Reports'!D2587)+1,200)),"")),IF(ISNUMBER(SEARCH("Party Name:-",'R.M Billets Reports'!D2588)),TRIM('R.M Billets Reports'!F2588),IF(ISNUMBER(SEARCH("Party Name-",'R.M Billets Reports'!D2588)),TRIM(MID('R.M Billets Reports'!D2588,SEARCH("-",'R.M Billets Reports'!D2588)+1,200)),"")))="VRKP ISPAT PVT LTD","VRKP",IF(IF(IF(ISNUMBER(SEARCH("Party Name:-",'R.M Billets Reports'!D2587)),TRIM('R.M Billets Reports'!F2587),IF(ISNUMBER(SEARCH("Party Name-",'R.M Billets Reports'!D2587)),TRIM(MID('R.M Billets Reports'!D2587,SEARCH("-",'R.M Billets Reports'!D2587)+1,200)),""))&lt;&gt;"",IF(ISNUMBER(SEARCH("Party Name:-",'R.M Billets Reports'!D2587)),TRIM('R.M Billets Reports'!F2587),IF(ISNUMBER(SEARCH("Party Name-",'R.M Billets Reports'!D2587)),TRIM(MID('R.M Billets Reports'!D2587,SEARCH("-",'R.M Billets Reports'!D2587)+1,200)),"")),IF(ISNUMBER(SEARCH("Party Name:-",'R.M Billets Reports'!D2588)),TRIM('R.M Billets Reports'!F2588),IF(ISNUMBER(SEARCH("Party Name-",'R.M Billets Reports'!D2588)),TRIM(MID('R.M Billets Reports'!D2588,SEARCH("-",'R.M Billets Reports'!D2588)+1,200)),"")))="SHRI RADHE","SHREE RADHE",IF(IF(IF(ISNUMBER(SEARCH("Party Name:-",'R.M Billets Reports'!D2587)),TRIM('R.M Billets Reports'!F2587),IF(ISNUMBER(SEARCH("Party Name-",'R.M Billets Reports'!D2587)),TRIM(MID('R.M Billets Reports'!D2587,SEARCH("-",'R.M Billets Reports'!D2587)+1,200)),""))&lt;&gt;"",IF(ISNUMBER(SEARCH("Party Name:-",'R.M Billets Reports'!D2587)),TRIM('R.M Billets Reports'!F2587),IF(ISNUMBER(SEARCH("Party Name-",'R.M Billets Reports'!D2587)),TRIM(MID('R.M Billets Reports'!D2587,SEARCH("-",'R.M Billets Reports'!D2587)+1,200)),"")),IF(ISNUMBER(SEARCH("Party Name:-",'R.M Billets Reports'!D2588)),TRIM('R.M Billets Reports'!F2588),IF(ISNUMBER(SEARCH("Party Name-",'R.M Billets Reports'!D2588)),TRIM(MID('R.M Billets Reports'!D2588,SEARCH("-",'R.M Billets Reports'!D2588)+1,200)),"")))="SHREE RADHE SHAKTI SPONGE AND POWER PVT. LTD.","SHREE RADHE",IF(IF(ISNUMBER(SEARCH("Party Name:-",'R.M Billets Reports'!D2587)),TRIM('R.M Billets Reports'!F2587),IF(ISNUMBER(SEARCH("Party Name-",'R.M Billets Reports'!D2587)),TRIM(MID('R.M Billets Reports'!D2587,SEARCH("-",'R.M Billets Reports'!D2587)+1,200)),""))&lt;&gt;"",IF(ISNUMBER(SEARCH("Party Name:-",'R.M Billets Reports'!D2587)),TRIM('R.M Billets Reports'!F2587),IF(ISNUMBER(SEARCH("Party Name-",'R.M Billets Reports'!D2587)),TRIM(MID('R.M Billets Reports'!D2587,SEARCH("-",'R.M Billets Reports'!D2587)+1,200)),"")),IF(ISNUMBER(SEARCH("Party Name:-",'R.M Billets Reports'!D2588)),TRIM('R.M Billets Reports'!F2588),IF(ISNUMBER(SEARCH("Party Name-",'R.M Billets Reports'!D2588)),TRIM(MID('R.M Billets Reports'!D2588,SEARCH("-",'R.M Billets Reports'!D2588)+1,200)),"")))))),IF(ROW()=2,"",A2587))</f>
      </c>
      <c r="B2588">
        <f>IF(OR('R.M Billets Reports'!A2587="Date-",'R.M Billets Reports'!A2587="Date:-"),'R.M Billets Reports'!B2587,IF(ROW()=2,"",B2587))</f>
      </c>
      <c r="C2588">
        <f>IF('R.M Billets Reports'!A2587="V.No.",'R.M Billets Reports'!B2587,IF(ROW()=2,"",C2587))</f>
      </c>
      <c r="D2588">
        <f>IF('R.M Billets Reports'!A2587&lt;&gt;"",'R.M Billets Reports'!A2587,IF(ROW()=2,"",D2587))</f>
      </c>
      <c r="E2588">
        <f>IF('R.M Billets Reports'!B2587="","",TRIM('R.M Billets Reports'!B2587))</f>
      </c>
      <c r="F2588">
        <f>'R.M Billets Reports'!C2587</f>
      </c>
      <c r="G2588">
        <f>'R.M Billets Reports'!D2587</f>
      </c>
      <c r="H2588">
        <f>'R.M Billets Reports'!E2587</f>
      </c>
      <c r="I2588">
        <f>'R.M Billets Reports'!F2587</f>
      </c>
      <c r="J2588">
        <f>'R.M Billets Reports'!G2587</f>
      </c>
      <c r="K2588">
        <f>'R.M Billets Reports'!H2587</f>
      </c>
      <c r="L2588">
        <f>IF('R.M Billets Reports'!I2587="","",'R.M Billets Reports'!I2587)</f>
      </c>
      <c r="M2588">
        <f t="shared" si="80"/>
      </c>
      <c r="N2588">
        <f>IF('R.M Billets Reports'!J2587="","",'R.M Billets Reports'!J2587)</f>
      </c>
      <c r="O2588">
        <f t="shared" si="81"/>
      </c>
      <c r="P2588">
        <f>IF('R.M Billets Reports'!A2587="SIZE",'R.M Billets Reports'!B2587,P2587)</f>
      </c>
    </row>
    <row r="2589" spans="1:16" x14ac:dyDescent="0.25">
      <c r="A2589">
        <f>IF(OR('R.M Billets Reports'!A2588="Date-",'R.M Billets Reports'!A2588="Date:-"),IF(IF(IF(ISNUMBER(SEARCH("Party Name:-",'R.M Billets Reports'!D2588)),TRIM('R.M Billets Reports'!F2588),IF(ISNUMBER(SEARCH("Party Name-",'R.M Billets Reports'!D2588)),TRIM(MID('R.M Billets Reports'!D2588,SEARCH("-",'R.M Billets Reports'!D2588)+1,200)),""))&lt;&gt;"",IF(ISNUMBER(SEARCH("Party Name:-",'R.M Billets Reports'!D2588)),TRIM('R.M Billets Reports'!F2588),IF(ISNUMBER(SEARCH("Party Name-",'R.M Billets Reports'!D2588)),TRIM(MID('R.M Billets Reports'!D2588,SEARCH("-",'R.M Billets Reports'!D2588)+1,200)),"")),IF(ISNUMBER(SEARCH("Party Name:-",'R.M Billets Reports'!D2589)),TRIM('R.M Billets Reports'!F2589),IF(ISNUMBER(SEARCH("Party Name-",'R.M Billets Reports'!D2589)),TRIM(MID('R.M Billets Reports'!D2589,SEARCH("-",'R.M Billets Reports'!D2589)+1,200)),"")))="VRKP ISPAT PVT LTD","VRKP",IF(IF(IF(ISNUMBER(SEARCH("Party Name:-",'R.M Billets Reports'!D2588)),TRIM('R.M Billets Reports'!F2588),IF(ISNUMBER(SEARCH("Party Name-",'R.M Billets Reports'!D2588)),TRIM(MID('R.M Billets Reports'!D2588,SEARCH("-",'R.M Billets Reports'!D2588)+1,200)),""))&lt;&gt;"",IF(ISNUMBER(SEARCH("Party Name:-",'R.M Billets Reports'!D2588)),TRIM('R.M Billets Reports'!F2588),IF(ISNUMBER(SEARCH("Party Name-",'R.M Billets Reports'!D2588)),TRIM(MID('R.M Billets Reports'!D2588,SEARCH("-",'R.M Billets Reports'!D2588)+1,200)),"")),IF(ISNUMBER(SEARCH("Party Name:-",'R.M Billets Reports'!D2589)),TRIM('R.M Billets Reports'!F2589),IF(ISNUMBER(SEARCH("Party Name-",'R.M Billets Reports'!D2589)),TRIM(MID('R.M Billets Reports'!D2589,SEARCH("-",'R.M Billets Reports'!D2589)+1,200)),"")))="SHRI RADHE","SHREE RADHE",IF(IF(IF(ISNUMBER(SEARCH("Party Name:-",'R.M Billets Reports'!D2588)),TRIM('R.M Billets Reports'!F2588),IF(ISNUMBER(SEARCH("Party Name-",'R.M Billets Reports'!D2588)),TRIM(MID('R.M Billets Reports'!D2588,SEARCH("-",'R.M Billets Reports'!D2588)+1,200)),""))&lt;&gt;"",IF(ISNUMBER(SEARCH("Party Name:-",'R.M Billets Reports'!D2588)),TRIM('R.M Billets Reports'!F2588),IF(ISNUMBER(SEARCH("Party Name-",'R.M Billets Reports'!D2588)),TRIM(MID('R.M Billets Reports'!D2588,SEARCH("-",'R.M Billets Reports'!D2588)+1,200)),"")),IF(ISNUMBER(SEARCH("Party Name:-",'R.M Billets Reports'!D2589)),TRIM('R.M Billets Reports'!F2589),IF(ISNUMBER(SEARCH("Party Name-",'R.M Billets Reports'!D2589)),TRIM(MID('R.M Billets Reports'!D2589,SEARCH("-",'R.M Billets Reports'!D2589)+1,200)),"")))="SHREE RADHE SHAKTI SPONGE AND POWER PVT. LTD.","SHREE RADHE",IF(IF(ISNUMBER(SEARCH("Party Name:-",'R.M Billets Reports'!D2588)),TRIM('R.M Billets Reports'!F2588),IF(ISNUMBER(SEARCH("Party Name-",'R.M Billets Reports'!D2588)),TRIM(MID('R.M Billets Reports'!D2588,SEARCH("-",'R.M Billets Reports'!D2588)+1,200)),""))&lt;&gt;"",IF(ISNUMBER(SEARCH("Party Name:-",'R.M Billets Reports'!D2588)),TRIM('R.M Billets Reports'!F2588),IF(ISNUMBER(SEARCH("Party Name-",'R.M Billets Reports'!D2588)),TRIM(MID('R.M Billets Reports'!D2588,SEARCH("-",'R.M Billets Reports'!D2588)+1,200)),"")),IF(ISNUMBER(SEARCH("Party Name:-",'R.M Billets Reports'!D2589)),TRIM('R.M Billets Reports'!F2589),IF(ISNUMBER(SEARCH("Party Name-",'R.M Billets Reports'!D2589)),TRIM(MID('R.M Billets Reports'!D2589,SEARCH("-",'R.M Billets Reports'!D2589)+1,200)),"")))))),IF(ROW()=2,"",A2588))</f>
      </c>
      <c r="B2589">
        <f>IF(OR('R.M Billets Reports'!A2588="Date-",'R.M Billets Reports'!A2588="Date:-"),'R.M Billets Reports'!B2588,IF(ROW()=2,"",B2588))</f>
      </c>
      <c r="C2589">
        <f>IF('R.M Billets Reports'!A2588="V.No.",'R.M Billets Reports'!B2588,IF(ROW()=2,"",C2588))</f>
      </c>
      <c r="D2589">
        <f>IF('R.M Billets Reports'!A2588&lt;&gt;"",'R.M Billets Reports'!A2588,IF(ROW()=2,"",D2588))</f>
      </c>
      <c r="E2589">
        <f>IF('R.M Billets Reports'!B2588="","",TRIM('R.M Billets Reports'!B2588))</f>
      </c>
      <c r="F2589">
        <f>'R.M Billets Reports'!C2588</f>
      </c>
      <c r="G2589">
        <f>'R.M Billets Reports'!D2588</f>
      </c>
      <c r="H2589">
        <f>'R.M Billets Reports'!E2588</f>
      </c>
      <c r="I2589">
        <f>'R.M Billets Reports'!F2588</f>
      </c>
      <c r="J2589">
        <f>'R.M Billets Reports'!G2588</f>
      </c>
      <c r="K2589">
        <f>'R.M Billets Reports'!H2588</f>
      </c>
      <c r="L2589">
        <f>IF('R.M Billets Reports'!I2588="","",'R.M Billets Reports'!I2588)</f>
      </c>
      <c r="M2589">
        <f t="shared" si="80"/>
      </c>
      <c r="N2589">
        <f>IF('R.M Billets Reports'!J2588="","",'R.M Billets Reports'!J2588)</f>
      </c>
      <c r="O2589">
        <f t="shared" si="81"/>
      </c>
      <c r="P2589">
        <f>IF('R.M Billets Reports'!A2588="SIZE",'R.M Billets Reports'!B2588,P2588)</f>
      </c>
    </row>
    <row r="2590" spans="1:16" x14ac:dyDescent="0.25">
      <c r="A2590">
        <f>IF(OR('R.M Billets Reports'!A2589="Date-",'R.M Billets Reports'!A2589="Date:-"),IF(IF(IF(ISNUMBER(SEARCH("Party Name:-",'R.M Billets Reports'!D2589)),TRIM('R.M Billets Reports'!F2589),IF(ISNUMBER(SEARCH("Party Name-",'R.M Billets Reports'!D2589)),TRIM(MID('R.M Billets Reports'!D2589,SEARCH("-",'R.M Billets Reports'!D2589)+1,200)),""))&lt;&gt;"",IF(ISNUMBER(SEARCH("Party Name:-",'R.M Billets Reports'!D2589)),TRIM('R.M Billets Reports'!F2589),IF(ISNUMBER(SEARCH("Party Name-",'R.M Billets Reports'!D2589)),TRIM(MID('R.M Billets Reports'!D2589,SEARCH("-",'R.M Billets Reports'!D2589)+1,200)),"")),IF(ISNUMBER(SEARCH("Party Name:-",'R.M Billets Reports'!D2590)),TRIM('R.M Billets Reports'!F2590),IF(ISNUMBER(SEARCH("Party Name-",'R.M Billets Reports'!D2590)),TRIM(MID('R.M Billets Reports'!D2590,SEARCH("-",'R.M Billets Reports'!D2590)+1,200)),"")))="VRKP ISPAT PVT LTD","VRKP",IF(IF(IF(ISNUMBER(SEARCH("Party Name:-",'R.M Billets Reports'!D2589)),TRIM('R.M Billets Reports'!F2589),IF(ISNUMBER(SEARCH("Party Name-",'R.M Billets Reports'!D2589)),TRIM(MID('R.M Billets Reports'!D2589,SEARCH("-",'R.M Billets Reports'!D2589)+1,200)),""))&lt;&gt;"",IF(ISNUMBER(SEARCH("Party Name:-",'R.M Billets Reports'!D2589)),TRIM('R.M Billets Reports'!F2589),IF(ISNUMBER(SEARCH("Party Name-",'R.M Billets Reports'!D2589)),TRIM(MID('R.M Billets Reports'!D2589,SEARCH("-",'R.M Billets Reports'!D2589)+1,200)),"")),IF(ISNUMBER(SEARCH("Party Name:-",'R.M Billets Reports'!D2590)),TRIM('R.M Billets Reports'!F2590),IF(ISNUMBER(SEARCH("Party Name-",'R.M Billets Reports'!D2590)),TRIM(MID('R.M Billets Reports'!D2590,SEARCH("-",'R.M Billets Reports'!D2590)+1,200)),"")))="SHRI RADHE","SHREE RADHE",IF(IF(IF(ISNUMBER(SEARCH("Party Name:-",'R.M Billets Reports'!D2589)),TRIM('R.M Billets Reports'!F2589),IF(ISNUMBER(SEARCH("Party Name-",'R.M Billets Reports'!D2589)),TRIM(MID('R.M Billets Reports'!D2589,SEARCH("-",'R.M Billets Reports'!D2589)+1,200)),""))&lt;&gt;"",IF(ISNUMBER(SEARCH("Party Name:-",'R.M Billets Reports'!D2589)),TRIM('R.M Billets Reports'!F2589),IF(ISNUMBER(SEARCH("Party Name-",'R.M Billets Reports'!D2589)),TRIM(MID('R.M Billets Reports'!D2589,SEARCH("-",'R.M Billets Reports'!D2589)+1,200)),"")),IF(ISNUMBER(SEARCH("Party Name:-",'R.M Billets Reports'!D2590)),TRIM('R.M Billets Reports'!F2590),IF(ISNUMBER(SEARCH("Party Name-",'R.M Billets Reports'!D2590)),TRIM(MID('R.M Billets Reports'!D2590,SEARCH("-",'R.M Billets Reports'!D2590)+1,200)),"")))="SHREE RADHE SHAKTI SPONGE AND POWER PVT. LTD.","SHREE RADHE",IF(IF(ISNUMBER(SEARCH("Party Name:-",'R.M Billets Reports'!D2589)),TRIM('R.M Billets Reports'!F2589),IF(ISNUMBER(SEARCH("Party Name-",'R.M Billets Reports'!D2589)),TRIM(MID('R.M Billets Reports'!D2589,SEARCH("-",'R.M Billets Reports'!D2589)+1,200)),""))&lt;&gt;"",IF(ISNUMBER(SEARCH("Party Name:-",'R.M Billets Reports'!D2589)),TRIM('R.M Billets Reports'!F2589),IF(ISNUMBER(SEARCH("Party Name-",'R.M Billets Reports'!D2589)),TRIM(MID('R.M Billets Reports'!D2589,SEARCH("-",'R.M Billets Reports'!D2589)+1,200)),"")),IF(ISNUMBER(SEARCH("Party Name:-",'R.M Billets Reports'!D2590)),TRIM('R.M Billets Reports'!F2590),IF(ISNUMBER(SEARCH("Party Name-",'R.M Billets Reports'!D2590)),TRIM(MID('R.M Billets Reports'!D2590,SEARCH("-",'R.M Billets Reports'!D2590)+1,200)),"")))))),IF(ROW()=2,"",A2589))</f>
      </c>
      <c r="B2590">
        <f>IF(OR('R.M Billets Reports'!A2589="Date-",'R.M Billets Reports'!A2589="Date:-"),'R.M Billets Reports'!B2589,IF(ROW()=2,"",B2589))</f>
      </c>
      <c r="C2590">
        <f>IF('R.M Billets Reports'!A2589="V.No.",'R.M Billets Reports'!B2589,IF(ROW()=2,"",C2589))</f>
      </c>
      <c r="D2590">
        <f>IF('R.M Billets Reports'!A2589&lt;&gt;"",'R.M Billets Reports'!A2589,IF(ROW()=2,"",D2589))</f>
      </c>
      <c r="E2590">
        <f>IF('R.M Billets Reports'!B2589="","",TRIM('R.M Billets Reports'!B2589))</f>
      </c>
      <c r="F2590">
        <f>'R.M Billets Reports'!C2589</f>
      </c>
      <c r="G2590">
        <f>'R.M Billets Reports'!D2589</f>
      </c>
      <c r="H2590">
        <f>'R.M Billets Reports'!E2589</f>
      </c>
      <c r="I2590">
        <f>'R.M Billets Reports'!F2589</f>
      </c>
      <c r="J2590">
        <f>'R.M Billets Reports'!G2589</f>
      </c>
      <c r="K2590">
        <f>'R.M Billets Reports'!H2589</f>
      </c>
      <c r="L2590">
        <f>IF('R.M Billets Reports'!I2589="","",'R.M Billets Reports'!I2589)</f>
      </c>
      <c r="M2590">
        <f t="shared" si="80"/>
      </c>
      <c r="N2590">
        <f>IF('R.M Billets Reports'!J2589="","",'R.M Billets Reports'!J2589)</f>
      </c>
      <c r="O2590">
        <f t="shared" si="81"/>
      </c>
      <c r="P2590">
        <f>IF('R.M Billets Reports'!A2589="SIZE",'R.M Billets Reports'!B2589,P2589)</f>
      </c>
    </row>
    <row r="2591" spans="1:16" x14ac:dyDescent="0.25">
      <c r="A2591">
        <f>IF(OR('R.M Billets Reports'!A2590="Date-",'R.M Billets Reports'!A2590="Date:-"),IF(IF(IF(ISNUMBER(SEARCH("Party Name:-",'R.M Billets Reports'!D2590)),TRIM('R.M Billets Reports'!F2590),IF(ISNUMBER(SEARCH("Party Name-",'R.M Billets Reports'!D2590)),TRIM(MID('R.M Billets Reports'!D2590,SEARCH("-",'R.M Billets Reports'!D2590)+1,200)),""))&lt;&gt;"",IF(ISNUMBER(SEARCH("Party Name:-",'R.M Billets Reports'!D2590)),TRIM('R.M Billets Reports'!F2590),IF(ISNUMBER(SEARCH("Party Name-",'R.M Billets Reports'!D2590)),TRIM(MID('R.M Billets Reports'!D2590,SEARCH("-",'R.M Billets Reports'!D2590)+1,200)),"")),IF(ISNUMBER(SEARCH("Party Name:-",'R.M Billets Reports'!D2591)),TRIM('R.M Billets Reports'!F2591),IF(ISNUMBER(SEARCH("Party Name-",'R.M Billets Reports'!D2591)),TRIM(MID('R.M Billets Reports'!D2591,SEARCH("-",'R.M Billets Reports'!D2591)+1,200)),"")))="VRKP ISPAT PVT LTD","VRKP",IF(IF(IF(ISNUMBER(SEARCH("Party Name:-",'R.M Billets Reports'!D2590)),TRIM('R.M Billets Reports'!F2590),IF(ISNUMBER(SEARCH("Party Name-",'R.M Billets Reports'!D2590)),TRIM(MID('R.M Billets Reports'!D2590,SEARCH("-",'R.M Billets Reports'!D2590)+1,200)),""))&lt;&gt;"",IF(ISNUMBER(SEARCH("Party Name:-",'R.M Billets Reports'!D2590)),TRIM('R.M Billets Reports'!F2590),IF(ISNUMBER(SEARCH("Party Name-",'R.M Billets Reports'!D2590)),TRIM(MID('R.M Billets Reports'!D2590,SEARCH("-",'R.M Billets Reports'!D2590)+1,200)),"")),IF(ISNUMBER(SEARCH("Party Name:-",'R.M Billets Reports'!D2591)),TRIM('R.M Billets Reports'!F2591),IF(ISNUMBER(SEARCH("Party Name-",'R.M Billets Reports'!D2591)),TRIM(MID('R.M Billets Reports'!D2591,SEARCH("-",'R.M Billets Reports'!D2591)+1,200)),"")))="SHRI RADHE","SHREE RADHE",IF(IF(IF(ISNUMBER(SEARCH("Party Name:-",'R.M Billets Reports'!D2590)),TRIM('R.M Billets Reports'!F2590),IF(ISNUMBER(SEARCH("Party Name-",'R.M Billets Reports'!D2590)),TRIM(MID('R.M Billets Reports'!D2590,SEARCH("-",'R.M Billets Reports'!D2590)+1,200)),""))&lt;&gt;"",IF(ISNUMBER(SEARCH("Party Name:-",'R.M Billets Reports'!D2590)),TRIM('R.M Billets Reports'!F2590),IF(ISNUMBER(SEARCH("Party Name-",'R.M Billets Reports'!D2590)),TRIM(MID('R.M Billets Reports'!D2590,SEARCH("-",'R.M Billets Reports'!D2590)+1,200)),"")),IF(ISNUMBER(SEARCH("Party Name:-",'R.M Billets Reports'!D2591)),TRIM('R.M Billets Reports'!F2591),IF(ISNUMBER(SEARCH("Party Name-",'R.M Billets Reports'!D2591)),TRIM(MID('R.M Billets Reports'!D2591,SEARCH("-",'R.M Billets Reports'!D2591)+1,200)),"")))="SHREE RADHE SHAKTI SPONGE AND POWER PVT. LTD.","SHREE RADHE",IF(IF(ISNUMBER(SEARCH("Party Name:-",'R.M Billets Reports'!D2590)),TRIM('R.M Billets Reports'!F2590),IF(ISNUMBER(SEARCH("Party Name-",'R.M Billets Reports'!D2590)),TRIM(MID('R.M Billets Reports'!D2590,SEARCH("-",'R.M Billets Reports'!D2590)+1,200)),""))&lt;&gt;"",IF(ISNUMBER(SEARCH("Party Name:-",'R.M Billets Reports'!D2590)),TRIM('R.M Billets Reports'!F2590),IF(ISNUMBER(SEARCH("Party Name-",'R.M Billets Reports'!D2590)),TRIM(MID('R.M Billets Reports'!D2590,SEARCH("-",'R.M Billets Reports'!D2590)+1,200)),"")),IF(ISNUMBER(SEARCH("Party Name:-",'R.M Billets Reports'!D2591)),TRIM('R.M Billets Reports'!F2591),IF(ISNUMBER(SEARCH("Party Name-",'R.M Billets Reports'!D2591)),TRIM(MID('R.M Billets Reports'!D2591,SEARCH("-",'R.M Billets Reports'!D2591)+1,200)),"")))))),IF(ROW()=2,"",A2590))</f>
      </c>
      <c r="B2591">
        <f>IF(OR('R.M Billets Reports'!A2590="Date-",'R.M Billets Reports'!A2590="Date:-"),'R.M Billets Reports'!B2590,IF(ROW()=2,"",B2590))</f>
      </c>
      <c r="C2591">
        <f>IF('R.M Billets Reports'!A2590="V.No.",'R.M Billets Reports'!B2590,IF(ROW()=2,"",C2590))</f>
      </c>
      <c r="D2591">
        <f>IF('R.M Billets Reports'!A2590&lt;&gt;"",'R.M Billets Reports'!A2590,IF(ROW()=2,"",D2590))</f>
      </c>
      <c r="E2591">
        <f>IF('R.M Billets Reports'!B2590="","",TRIM('R.M Billets Reports'!B2590))</f>
      </c>
      <c r="F2591">
        <f>'R.M Billets Reports'!C2590</f>
      </c>
      <c r="G2591">
        <f>'R.M Billets Reports'!D2590</f>
      </c>
      <c r="H2591">
        <f>'R.M Billets Reports'!E2590</f>
      </c>
      <c r="I2591">
        <f>'R.M Billets Reports'!F2590</f>
      </c>
      <c r="J2591">
        <f>'R.M Billets Reports'!G2590</f>
      </c>
      <c r="K2591">
        <f>'R.M Billets Reports'!H2590</f>
      </c>
      <c r="L2591">
        <f>IF('R.M Billets Reports'!I2590="","",'R.M Billets Reports'!I2590)</f>
      </c>
      <c r="M2591">
        <f t="shared" si="80"/>
      </c>
      <c r="N2591">
        <f>IF('R.M Billets Reports'!J2590="","",'R.M Billets Reports'!J2590)</f>
      </c>
      <c r="O2591">
        <f t="shared" si="81"/>
      </c>
      <c r="P2591">
        <f>IF('R.M Billets Reports'!A2590="SIZE",'R.M Billets Reports'!B2590,P2590)</f>
      </c>
    </row>
    <row r="2592" spans="1:16" x14ac:dyDescent="0.25">
      <c r="A2592">
        <f>IF(OR('R.M Billets Reports'!A2591="Date-",'R.M Billets Reports'!A2591="Date:-"),IF(IF(IF(ISNUMBER(SEARCH("Party Name:-",'R.M Billets Reports'!D2591)),TRIM('R.M Billets Reports'!F2591),IF(ISNUMBER(SEARCH("Party Name-",'R.M Billets Reports'!D2591)),TRIM(MID('R.M Billets Reports'!D2591,SEARCH("-",'R.M Billets Reports'!D2591)+1,200)),""))&lt;&gt;"",IF(ISNUMBER(SEARCH("Party Name:-",'R.M Billets Reports'!D2591)),TRIM('R.M Billets Reports'!F2591),IF(ISNUMBER(SEARCH("Party Name-",'R.M Billets Reports'!D2591)),TRIM(MID('R.M Billets Reports'!D2591,SEARCH("-",'R.M Billets Reports'!D2591)+1,200)),"")),IF(ISNUMBER(SEARCH("Party Name:-",'R.M Billets Reports'!D2592)),TRIM('R.M Billets Reports'!F2592),IF(ISNUMBER(SEARCH("Party Name-",'R.M Billets Reports'!D2592)),TRIM(MID('R.M Billets Reports'!D2592,SEARCH("-",'R.M Billets Reports'!D2592)+1,200)),"")))="VRKP ISPAT PVT LTD","VRKP",IF(IF(IF(ISNUMBER(SEARCH("Party Name:-",'R.M Billets Reports'!D2591)),TRIM('R.M Billets Reports'!F2591),IF(ISNUMBER(SEARCH("Party Name-",'R.M Billets Reports'!D2591)),TRIM(MID('R.M Billets Reports'!D2591,SEARCH("-",'R.M Billets Reports'!D2591)+1,200)),""))&lt;&gt;"",IF(ISNUMBER(SEARCH("Party Name:-",'R.M Billets Reports'!D2591)),TRIM('R.M Billets Reports'!F2591),IF(ISNUMBER(SEARCH("Party Name-",'R.M Billets Reports'!D2591)),TRIM(MID('R.M Billets Reports'!D2591,SEARCH("-",'R.M Billets Reports'!D2591)+1,200)),"")),IF(ISNUMBER(SEARCH("Party Name:-",'R.M Billets Reports'!D2592)),TRIM('R.M Billets Reports'!F2592),IF(ISNUMBER(SEARCH("Party Name-",'R.M Billets Reports'!D2592)),TRIM(MID('R.M Billets Reports'!D2592,SEARCH("-",'R.M Billets Reports'!D2592)+1,200)),"")))="SHRI RADHE","SHREE RADHE",IF(IF(IF(ISNUMBER(SEARCH("Party Name:-",'R.M Billets Reports'!D2591)),TRIM('R.M Billets Reports'!F2591),IF(ISNUMBER(SEARCH("Party Name-",'R.M Billets Reports'!D2591)),TRIM(MID('R.M Billets Reports'!D2591,SEARCH("-",'R.M Billets Reports'!D2591)+1,200)),""))&lt;&gt;"",IF(ISNUMBER(SEARCH("Party Name:-",'R.M Billets Reports'!D2591)),TRIM('R.M Billets Reports'!F2591),IF(ISNUMBER(SEARCH("Party Name-",'R.M Billets Reports'!D2591)),TRIM(MID('R.M Billets Reports'!D2591,SEARCH("-",'R.M Billets Reports'!D2591)+1,200)),"")),IF(ISNUMBER(SEARCH("Party Name:-",'R.M Billets Reports'!D2592)),TRIM('R.M Billets Reports'!F2592),IF(ISNUMBER(SEARCH("Party Name-",'R.M Billets Reports'!D2592)),TRIM(MID('R.M Billets Reports'!D2592,SEARCH("-",'R.M Billets Reports'!D2592)+1,200)),"")))="SHREE RADHE SHAKTI SPONGE AND POWER PVT. LTD.","SHREE RADHE",IF(IF(ISNUMBER(SEARCH("Party Name:-",'R.M Billets Reports'!D2591)),TRIM('R.M Billets Reports'!F2591),IF(ISNUMBER(SEARCH("Party Name-",'R.M Billets Reports'!D2591)),TRIM(MID('R.M Billets Reports'!D2591,SEARCH("-",'R.M Billets Reports'!D2591)+1,200)),""))&lt;&gt;"",IF(ISNUMBER(SEARCH("Party Name:-",'R.M Billets Reports'!D2591)),TRIM('R.M Billets Reports'!F2591),IF(ISNUMBER(SEARCH("Party Name-",'R.M Billets Reports'!D2591)),TRIM(MID('R.M Billets Reports'!D2591,SEARCH("-",'R.M Billets Reports'!D2591)+1,200)),"")),IF(ISNUMBER(SEARCH("Party Name:-",'R.M Billets Reports'!D2592)),TRIM('R.M Billets Reports'!F2592),IF(ISNUMBER(SEARCH("Party Name-",'R.M Billets Reports'!D2592)),TRIM(MID('R.M Billets Reports'!D2592,SEARCH("-",'R.M Billets Reports'!D2592)+1,200)),"")))))),IF(ROW()=2,"",A2591))</f>
      </c>
      <c r="B2592">
        <f>IF(OR('R.M Billets Reports'!A2591="Date-",'R.M Billets Reports'!A2591="Date:-"),'R.M Billets Reports'!B2591,IF(ROW()=2,"",B2591))</f>
      </c>
      <c r="C2592">
        <f>IF('R.M Billets Reports'!A2591="V.No.",'R.M Billets Reports'!B2591,IF(ROW()=2,"",C2591))</f>
      </c>
      <c r="D2592">
        <f>IF('R.M Billets Reports'!A2591&lt;&gt;"",'R.M Billets Reports'!A2591,IF(ROW()=2,"",D2591))</f>
      </c>
      <c r="E2592">
        <f>IF('R.M Billets Reports'!B2591="","",TRIM('R.M Billets Reports'!B2591))</f>
      </c>
      <c r="F2592">
        <f>'R.M Billets Reports'!C2591</f>
      </c>
      <c r="G2592">
        <f>'R.M Billets Reports'!D2591</f>
      </c>
      <c r="H2592">
        <f>'R.M Billets Reports'!E2591</f>
      </c>
      <c r="I2592">
        <f>'R.M Billets Reports'!F2591</f>
      </c>
      <c r="J2592">
        <f>'R.M Billets Reports'!G2591</f>
      </c>
      <c r="K2592">
        <f>'R.M Billets Reports'!H2591</f>
      </c>
      <c r="L2592">
        <f>IF('R.M Billets Reports'!I2591="","",'R.M Billets Reports'!I2591)</f>
      </c>
      <c r="M2592">
        <f t="shared" si="80"/>
      </c>
      <c r="N2592">
        <f>IF('R.M Billets Reports'!J2591="","",'R.M Billets Reports'!J2591)</f>
      </c>
      <c r="O2592">
        <f t="shared" si="81"/>
      </c>
      <c r="P2592">
        <f>IF('R.M Billets Reports'!A2591="SIZE",'R.M Billets Reports'!B2591,P2591)</f>
      </c>
    </row>
    <row r="2593" spans="1:16" x14ac:dyDescent="0.25">
      <c r="A2593">
        <f>IF(OR('R.M Billets Reports'!A2592="Date-",'R.M Billets Reports'!A2592="Date:-"),IF(IF(IF(ISNUMBER(SEARCH("Party Name:-",'R.M Billets Reports'!D2592)),TRIM('R.M Billets Reports'!F2592),IF(ISNUMBER(SEARCH("Party Name-",'R.M Billets Reports'!D2592)),TRIM(MID('R.M Billets Reports'!D2592,SEARCH("-",'R.M Billets Reports'!D2592)+1,200)),""))&lt;&gt;"",IF(ISNUMBER(SEARCH("Party Name:-",'R.M Billets Reports'!D2592)),TRIM('R.M Billets Reports'!F2592),IF(ISNUMBER(SEARCH("Party Name-",'R.M Billets Reports'!D2592)),TRIM(MID('R.M Billets Reports'!D2592,SEARCH("-",'R.M Billets Reports'!D2592)+1,200)),"")),IF(ISNUMBER(SEARCH("Party Name:-",'R.M Billets Reports'!D2593)),TRIM('R.M Billets Reports'!F2593),IF(ISNUMBER(SEARCH("Party Name-",'R.M Billets Reports'!D2593)),TRIM(MID('R.M Billets Reports'!D2593,SEARCH("-",'R.M Billets Reports'!D2593)+1,200)),"")))="VRKP ISPAT PVT LTD","VRKP",IF(IF(IF(ISNUMBER(SEARCH("Party Name:-",'R.M Billets Reports'!D2592)),TRIM('R.M Billets Reports'!F2592),IF(ISNUMBER(SEARCH("Party Name-",'R.M Billets Reports'!D2592)),TRIM(MID('R.M Billets Reports'!D2592,SEARCH("-",'R.M Billets Reports'!D2592)+1,200)),""))&lt;&gt;"",IF(ISNUMBER(SEARCH("Party Name:-",'R.M Billets Reports'!D2592)),TRIM('R.M Billets Reports'!F2592),IF(ISNUMBER(SEARCH("Party Name-",'R.M Billets Reports'!D2592)),TRIM(MID('R.M Billets Reports'!D2592,SEARCH("-",'R.M Billets Reports'!D2592)+1,200)),"")),IF(ISNUMBER(SEARCH("Party Name:-",'R.M Billets Reports'!D2593)),TRIM('R.M Billets Reports'!F2593),IF(ISNUMBER(SEARCH("Party Name-",'R.M Billets Reports'!D2593)),TRIM(MID('R.M Billets Reports'!D2593,SEARCH("-",'R.M Billets Reports'!D2593)+1,200)),"")))="SHRI RADHE","SHREE RADHE",IF(IF(IF(ISNUMBER(SEARCH("Party Name:-",'R.M Billets Reports'!D2592)),TRIM('R.M Billets Reports'!F2592),IF(ISNUMBER(SEARCH("Party Name-",'R.M Billets Reports'!D2592)),TRIM(MID('R.M Billets Reports'!D2592,SEARCH("-",'R.M Billets Reports'!D2592)+1,200)),""))&lt;&gt;"",IF(ISNUMBER(SEARCH("Party Name:-",'R.M Billets Reports'!D2592)),TRIM('R.M Billets Reports'!F2592),IF(ISNUMBER(SEARCH("Party Name-",'R.M Billets Reports'!D2592)),TRIM(MID('R.M Billets Reports'!D2592,SEARCH("-",'R.M Billets Reports'!D2592)+1,200)),"")),IF(ISNUMBER(SEARCH("Party Name:-",'R.M Billets Reports'!D2593)),TRIM('R.M Billets Reports'!F2593),IF(ISNUMBER(SEARCH("Party Name-",'R.M Billets Reports'!D2593)),TRIM(MID('R.M Billets Reports'!D2593,SEARCH("-",'R.M Billets Reports'!D2593)+1,200)),"")))="SHREE RADHE SHAKTI SPONGE AND POWER PVT. LTD.","SHREE RADHE",IF(IF(ISNUMBER(SEARCH("Party Name:-",'R.M Billets Reports'!D2592)),TRIM('R.M Billets Reports'!F2592),IF(ISNUMBER(SEARCH("Party Name-",'R.M Billets Reports'!D2592)),TRIM(MID('R.M Billets Reports'!D2592,SEARCH("-",'R.M Billets Reports'!D2592)+1,200)),""))&lt;&gt;"",IF(ISNUMBER(SEARCH("Party Name:-",'R.M Billets Reports'!D2592)),TRIM('R.M Billets Reports'!F2592),IF(ISNUMBER(SEARCH("Party Name-",'R.M Billets Reports'!D2592)),TRIM(MID('R.M Billets Reports'!D2592,SEARCH("-",'R.M Billets Reports'!D2592)+1,200)),"")),IF(ISNUMBER(SEARCH("Party Name:-",'R.M Billets Reports'!D2593)),TRIM('R.M Billets Reports'!F2593),IF(ISNUMBER(SEARCH("Party Name-",'R.M Billets Reports'!D2593)),TRIM(MID('R.M Billets Reports'!D2593,SEARCH("-",'R.M Billets Reports'!D2593)+1,200)),"")))))),IF(ROW()=2,"",A2592))</f>
      </c>
      <c r="B2593">
        <f>IF(OR('R.M Billets Reports'!A2592="Date-",'R.M Billets Reports'!A2592="Date:-"),'R.M Billets Reports'!B2592,IF(ROW()=2,"",B2592))</f>
      </c>
      <c r="C2593">
        <f>IF('R.M Billets Reports'!A2592="V.No.",'R.M Billets Reports'!B2592,IF(ROW()=2,"",C2592))</f>
      </c>
      <c r="D2593">
        <f>IF('R.M Billets Reports'!A2592&lt;&gt;"",'R.M Billets Reports'!A2592,IF(ROW()=2,"",D2592))</f>
      </c>
      <c r="E2593">
        <f>IF('R.M Billets Reports'!B2592="","",TRIM('R.M Billets Reports'!B2592))</f>
      </c>
      <c r="F2593">
        <f>'R.M Billets Reports'!C2592</f>
      </c>
      <c r="G2593">
        <f>'R.M Billets Reports'!D2592</f>
      </c>
      <c r="H2593">
        <f>'R.M Billets Reports'!E2592</f>
      </c>
      <c r="I2593">
        <f>'R.M Billets Reports'!F2592</f>
      </c>
      <c r="J2593">
        <f>'R.M Billets Reports'!G2592</f>
      </c>
      <c r="K2593">
        <f>'R.M Billets Reports'!H2592</f>
      </c>
      <c r="L2593">
        <f>IF('R.M Billets Reports'!I2592="","",'R.M Billets Reports'!I2592)</f>
      </c>
      <c r="M2593">
        <f t="shared" si="80"/>
      </c>
      <c r="N2593">
        <f>IF('R.M Billets Reports'!J2592="","",'R.M Billets Reports'!J2592)</f>
      </c>
      <c r="O2593">
        <f t="shared" si="81"/>
      </c>
      <c r="P2593">
        <f>IF('R.M Billets Reports'!A2592="SIZE",'R.M Billets Reports'!B2592,P2592)</f>
      </c>
    </row>
    <row r="2594" spans="1:16" x14ac:dyDescent="0.25">
      <c r="A2594">
        <f>IF(OR('R.M Billets Reports'!A2593="Date-",'R.M Billets Reports'!A2593="Date:-"),IF(IF(IF(ISNUMBER(SEARCH("Party Name:-",'R.M Billets Reports'!D2593)),TRIM('R.M Billets Reports'!F2593),IF(ISNUMBER(SEARCH("Party Name-",'R.M Billets Reports'!D2593)),TRIM(MID('R.M Billets Reports'!D2593,SEARCH("-",'R.M Billets Reports'!D2593)+1,200)),""))&lt;&gt;"",IF(ISNUMBER(SEARCH("Party Name:-",'R.M Billets Reports'!D2593)),TRIM('R.M Billets Reports'!F2593),IF(ISNUMBER(SEARCH("Party Name-",'R.M Billets Reports'!D2593)),TRIM(MID('R.M Billets Reports'!D2593,SEARCH("-",'R.M Billets Reports'!D2593)+1,200)),"")),IF(ISNUMBER(SEARCH("Party Name:-",'R.M Billets Reports'!D2594)),TRIM('R.M Billets Reports'!F2594),IF(ISNUMBER(SEARCH("Party Name-",'R.M Billets Reports'!D2594)),TRIM(MID('R.M Billets Reports'!D2594,SEARCH("-",'R.M Billets Reports'!D2594)+1,200)),"")))="VRKP ISPAT PVT LTD","VRKP",IF(IF(IF(ISNUMBER(SEARCH("Party Name:-",'R.M Billets Reports'!D2593)),TRIM('R.M Billets Reports'!F2593),IF(ISNUMBER(SEARCH("Party Name-",'R.M Billets Reports'!D2593)),TRIM(MID('R.M Billets Reports'!D2593,SEARCH("-",'R.M Billets Reports'!D2593)+1,200)),""))&lt;&gt;"",IF(ISNUMBER(SEARCH("Party Name:-",'R.M Billets Reports'!D2593)),TRIM('R.M Billets Reports'!F2593),IF(ISNUMBER(SEARCH("Party Name-",'R.M Billets Reports'!D2593)),TRIM(MID('R.M Billets Reports'!D2593,SEARCH("-",'R.M Billets Reports'!D2593)+1,200)),"")),IF(ISNUMBER(SEARCH("Party Name:-",'R.M Billets Reports'!D2594)),TRIM('R.M Billets Reports'!F2594),IF(ISNUMBER(SEARCH("Party Name-",'R.M Billets Reports'!D2594)),TRIM(MID('R.M Billets Reports'!D2594,SEARCH("-",'R.M Billets Reports'!D2594)+1,200)),"")))="SHRI RADHE","SHREE RADHE",IF(IF(IF(ISNUMBER(SEARCH("Party Name:-",'R.M Billets Reports'!D2593)),TRIM('R.M Billets Reports'!F2593),IF(ISNUMBER(SEARCH("Party Name-",'R.M Billets Reports'!D2593)),TRIM(MID('R.M Billets Reports'!D2593,SEARCH("-",'R.M Billets Reports'!D2593)+1,200)),""))&lt;&gt;"",IF(ISNUMBER(SEARCH("Party Name:-",'R.M Billets Reports'!D2593)),TRIM('R.M Billets Reports'!F2593),IF(ISNUMBER(SEARCH("Party Name-",'R.M Billets Reports'!D2593)),TRIM(MID('R.M Billets Reports'!D2593,SEARCH("-",'R.M Billets Reports'!D2593)+1,200)),"")),IF(ISNUMBER(SEARCH("Party Name:-",'R.M Billets Reports'!D2594)),TRIM('R.M Billets Reports'!F2594),IF(ISNUMBER(SEARCH("Party Name-",'R.M Billets Reports'!D2594)),TRIM(MID('R.M Billets Reports'!D2594,SEARCH("-",'R.M Billets Reports'!D2594)+1,200)),"")))="SHREE RADHE SHAKTI SPONGE AND POWER PVT. LTD.","SHREE RADHE",IF(IF(ISNUMBER(SEARCH("Party Name:-",'R.M Billets Reports'!D2593)),TRIM('R.M Billets Reports'!F2593),IF(ISNUMBER(SEARCH("Party Name-",'R.M Billets Reports'!D2593)),TRIM(MID('R.M Billets Reports'!D2593,SEARCH("-",'R.M Billets Reports'!D2593)+1,200)),""))&lt;&gt;"",IF(ISNUMBER(SEARCH("Party Name:-",'R.M Billets Reports'!D2593)),TRIM('R.M Billets Reports'!F2593),IF(ISNUMBER(SEARCH("Party Name-",'R.M Billets Reports'!D2593)),TRIM(MID('R.M Billets Reports'!D2593,SEARCH("-",'R.M Billets Reports'!D2593)+1,200)),"")),IF(ISNUMBER(SEARCH("Party Name:-",'R.M Billets Reports'!D2594)),TRIM('R.M Billets Reports'!F2594),IF(ISNUMBER(SEARCH("Party Name-",'R.M Billets Reports'!D2594)),TRIM(MID('R.M Billets Reports'!D2594,SEARCH("-",'R.M Billets Reports'!D2594)+1,200)),"")))))),IF(ROW()=2,"",A2593))</f>
      </c>
      <c r="B2594">
        <f>IF(OR('R.M Billets Reports'!A2593="Date-",'R.M Billets Reports'!A2593="Date:-"),'R.M Billets Reports'!B2593,IF(ROW()=2,"",B2593))</f>
      </c>
      <c r="C2594">
        <f>IF('R.M Billets Reports'!A2593="V.No.",'R.M Billets Reports'!B2593,IF(ROW()=2,"",C2593))</f>
      </c>
      <c r="D2594">
        <f>IF('R.M Billets Reports'!A2593&lt;&gt;"",'R.M Billets Reports'!A2593,IF(ROW()=2,"",D2593))</f>
      </c>
      <c r="E2594">
        <f>IF('R.M Billets Reports'!B2593="","",TRIM('R.M Billets Reports'!B2593))</f>
      </c>
      <c r="F2594">
        <f>'R.M Billets Reports'!C2593</f>
      </c>
      <c r="G2594">
        <f>'R.M Billets Reports'!D2593</f>
      </c>
      <c r="H2594">
        <f>'R.M Billets Reports'!E2593</f>
      </c>
      <c r="I2594">
        <f>'R.M Billets Reports'!F2593</f>
      </c>
      <c r="J2594">
        <f>'R.M Billets Reports'!G2593</f>
      </c>
      <c r="K2594">
        <f>'R.M Billets Reports'!H2593</f>
      </c>
      <c r="L2594">
        <f>IF('R.M Billets Reports'!I2593="","",'R.M Billets Reports'!I2593)</f>
      </c>
      <c r="M2594">
        <f t="shared" si="80"/>
      </c>
      <c r="N2594">
        <f>IF('R.M Billets Reports'!J2593="","",'R.M Billets Reports'!J2593)</f>
      </c>
      <c r="O2594">
        <f t="shared" si="81"/>
      </c>
      <c r="P2594">
        <f>IF('R.M Billets Reports'!A2593="SIZE",'R.M Billets Reports'!B2593,P2593)</f>
      </c>
    </row>
    <row r="2595" spans="1:16" x14ac:dyDescent="0.25">
      <c r="A2595">
        <f>IF(OR('R.M Billets Reports'!A2594="Date-",'R.M Billets Reports'!A2594="Date:-"),IF(IF(IF(ISNUMBER(SEARCH("Party Name:-",'R.M Billets Reports'!D2594)),TRIM('R.M Billets Reports'!F2594),IF(ISNUMBER(SEARCH("Party Name-",'R.M Billets Reports'!D2594)),TRIM(MID('R.M Billets Reports'!D2594,SEARCH("-",'R.M Billets Reports'!D2594)+1,200)),""))&lt;&gt;"",IF(ISNUMBER(SEARCH("Party Name:-",'R.M Billets Reports'!D2594)),TRIM('R.M Billets Reports'!F2594),IF(ISNUMBER(SEARCH("Party Name-",'R.M Billets Reports'!D2594)),TRIM(MID('R.M Billets Reports'!D2594,SEARCH("-",'R.M Billets Reports'!D2594)+1,200)),"")),IF(ISNUMBER(SEARCH("Party Name:-",'R.M Billets Reports'!D2595)),TRIM('R.M Billets Reports'!F2595),IF(ISNUMBER(SEARCH("Party Name-",'R.M Billets Reports'!D2595)),TRIM(MID('R.M Billets Reports'!D2595,SEARCH("-",'R.M Billets Reports'!D2595)+1,200)),"")))="VRKP ISPAT PVT LTD","VRKP",IF(IF(IF(ISNUMBER(SEARCH("Party Name:-",'R.M Billets Reports'!D2594)),TRIM('R.M Billets Reports'!F2594),IF(ISNUMBER(SEARCH("Party Name-",'R.M Billets Reports'!D2594)),TRIM(MID('R.M Billets Reports'!D2594,SEARCH("-",'R.M Billets Reports'!D2594)+1,200)),""))&lt;&gt;"",IF(ISNUMBER(SEARCH("Party Name:-",'R.M Billets Reports'!D2594)),TRIM('R.M Billets Reports'!F2594),IF(ISNUMBER(SEARCH("Party Name-",'R.M Billets Reports'!D2594)),TRIM(MID('R.M Billets Reports'!D2594,SEARCH("-",'R.M Billets Reports'!D2594)+1,200)),"")),IF(ISNUMBER(SEARCH("Party Name:-",'R.M Billets Reports'!D2595)),TRIM('R.M Billets Reports'!F2595),IF(ISNUMBER(SEARCH("Party Name-",'R.M Billets Reports'!D2595)),TRIM(MID('R.M Billets Reports'!D2595,SEARCH("-",'R.M Billets Reports'!D2595)+1,200)),"")))="SHRI RADHE","SHREE RADHE",IF(IF(IF(ISNUMBER(SEARCH("Party Name:-",'R.M Billets Reports'!D2594)),TRIM('R.M Billets Reports'!F2594),IF(ISNUMBER(SEARCH("Party Name-",'R.M Billets Reports'!D2594)),TRIM(MID('R.M Billets Reports'!D2594,SEARCH("-",'R.M Billets Reports'!D2594)+1,200)),""))&lt;&gt;"",IF(ISNUMBER(SEARCH("Party Name:-",'R.M Billets Reports'!D2594)),TRIM('R.M Billets Reports'!F2594),IF(ISNUMBER(SEARCH("Party Name-",'R.M Billets Reports'!D2594)),TRIM(MID('R.M Billets Reports'!D2594,SEARCH("-",'R.M Billets Reports'!D2594)+1,200)),"")),IF(ISNUMBER(SEARCH("Party Name:-",'R.M Billets Reports'!D2595)),TRIM('R.M Billets Reports'!F2595),IF(ISNUMBER(SEARCH("Party Name-",'R.M Billets Reports'!D2595)),TRIM(MID('R.M Billets Reports'!D2595,SEARCH("-",'R.M Billets Reports'!D2595)+1,200)),"")))="SHREE RADHE SHAKTI SPONGE AND POWER PVT. LTD.","SHREE RADHE",IF(IF(ISNUMBER(SEARCH("Party Name:-",'R.M Billets Reports'!D2594)),TRIM('R.M Billets Reports'!F2594),IF(ISNUMBER(SEARCH("Party Name-",'R.M Billets Reports'!D2594)),TRIM(MID('R.M Billets Reports'!D2594,SEARCH("-",'R.M Billets Reports'!D2594)+1,200)),""))&lt;&gt;"",IF(ISNUMBER(SEARCH("Party Name:-",'R.M Billets Reports'!D2594)),TRIM('R.M Billets Reports'!F2594),IF(ISNUMBER(SEARCH("Party Name-",'R.M Billets Reports'!D2594)),TRIM(MID('R.M Billets Reports'!D2594,SEARCH("-",'R.M Billets Reports'!D2594)+1,200)),"")),IF(ISNUMBER(SEARCH("Party Name:-",'R.M Billets Reports'!D2595)),TRIM('R.M Billets Reports'!F2595),IF(ISNUMBER(SEARCH("Party Name-",'R.M Billets Reports'!D2595)),TRIM(MID('R.M Billets Reports'!D2595,SEARCH("-",'R.M Billets Reports'!D2595)+1,200)),"")))))),IF(ROW()=2,"",A2594))</f>
      </c>
      <c r="B2595">
        <f>IF(OR('R.M Billets Reports'!A2594="Date-",'R.M Billets Reports'!A2594="Date:-"),'R.M Billets Reports'!B2594,IF(ROW()=2,"",B2594))</f>
      </c>
      <c r="C2595">
        <f>IF('R.M Billets Reports'!A2594="V.No.",'R.M Billets Reports'!B2594,IF(ROW()=2,"",C2594))</f>
      </c>
      <c r="D2595">
        <f>IF('R.M Billets Reports'!A2594&lt;&gt;"",'R.M Billets Reports'!A2594,IF(ROW()=2,"",D2594))</f>
      </c>
      <c r="E2595">
        <f>IF('R.M Billets Reports'!B2594="","",TRIM('R.M Billets Reports'!B2594))</f>
      </c>
      <c r="F2595">
        <f>'R.M Billets Reports'!C2594</f>
      </c>
      <c r="G2595">
        <f>'R.M Billets Reports'!D2594</f>
      </c>
      <c r="H2595">
        <f>'R.M Billets Reports'!E2594</f>
      </c>
      <c r="I2595">
        <f>'R.M Billets Reports'!F2594</f>
      </c>
      <c r="J2595">
        <f>'R.M Billets Reports'!G2594</f>
      </c>
      <c r="K2595">
        <f>'R.M Billets Reports'!H2594</f>
      </c>
      <c r="L2595">
        <f>IF('R.M Billets Reports'!I2594="","",'R.M Billets Reports'!I2594)</f>
      </c>
      <c r="M2595">
        <f t="shared" si="80"/>
      </c>
      <c r="N2595">
        <f>IF('R.M Billets Reports'!J2594="","",'R.M Billets Reports'!J2594)</f>
      </c>
      <c r="O2595">
        <f t="shared" si="81"/>
      </c>
      <c r="P2595">
        <f>IF('R.M Billets Reports'!A2594="SIZE",'R.M Billets Reports'!B2594,P2594)</f>
      </c>
    </row>
    <row r="2596" spans="1:16" x14ac:dyDescent="0.25">
      <c r="A2596">
        <f>IF(OR('R.M Billets Reports'!A2595="Date-",'R.M Billets Reports'!A2595="Date:-"),IF(IF(IF(ISNUMBER(SEARCH("Party Name:-",'R.M Billets Reports'!D2595)),TRIM('R.M Billets Reports'!F2595),IF(ISNUMBER(SEARCH("Party Name-",'R.M Billets Reports'!D2595)),TRIM(MID('R.M Billets Reports'!D2595,SEARCH("-",'R.M Billets Reports'!D2595)+1,200)),""))&lt;&gt;"",IF(ISNUMBER(SEARCH("Party Name:-",'R.M Billets Reports'!D2595)),TRIM('R.M Billets Reports'!F2595),IF(ISNUMBER(SEARCH("Party Name-",'R.M Billets Reports'!D2595)),TRIM(MID('R.M Billets Reports'!D2595,SEARCH("-",'R.M Billets Reports'!D2595)+1,200)),"")),IF(ISNUMBER(SEARCH("Party Name:-",'R.M Billets Reports'!D2596)),TRIM('R.M Billets Reports'!F2596),IF(ISNUMBER(SEARCH("Party Name-",'R.M Billets Reports'!D2596)),TRIM(MID('R.M Billets Reports'!D2596,SEARCH("-",'R.M Billets Reports'!D2596)+1,200)),"")))="VRKP ISPAT PVT LTD","VRKP",IF(IF(IF(ISNUMBER(SEARCH("Party Name:-",'R.M Billets Reports'!D2595)),TRIM('R.M Billets Reports'!F2595),IF(ISNUMBER(SEARCH("Party Name-",'R.M Billets Reports'!D2595)),TRIM(MID('R.M Billets Reports'!D2595,SEARCH("-",'R.M Billets Reports'!D2595)+1,200)),""))&lt;&gt;"",IF(ISNUMBER(SEARCH("Party Name:-",'R.M Billets Reports'!D2595)),TRIM('R.M Billets Reports'!F2595),IF(ISNUMBER(SEARCH("Party Name-",'R.M Billets Reports'!D2595)),TRIM(MID('R.M Billets Reports'!D2595,SEARCH("-",'R.M Billets Reports'!D2595)+1,200)),"")),IF(ISNUMBER(SEARCH("Party Name:-",'R.M Billets Reports'!D2596)),TRIM('R.M Billets Reports'!F2596),IF(ISNUMBER(SEARCH("Party Name-",'R.M Billets Reports'!D2596)),TRIM(MID('R.M Billets Reports'!D2596,SEARCH("-",'R.M Billets Reports'!D2596)+1,200)),"")))="SHRI RADHE","SHREE RADHE",IF(IF(IF(ISNUMBER(SEARCH("Party Name:-",'R.M Billets Reports'!D2595)),TRIM('R.M Billets Reports'!F2595),IF(ISNUMBER(SEARCH("Party Name-",'R.M Billets Reports'!D2595)),TRIM(MID('R.M Billets Reports'!D2595,SEARCH("-",'R.M Billets Reports'!D2595)+1,200)),""))&lt;&gt;"",IF(ISNUMBER(SEARCH("Party Name:-",'R.M Billets Reports'!D2595)),TRIM('R.M Billets Reports'!F2595),IF(ISNUMBER(SEARCH("Party Name-",'R.M Billets Reports'!D2595)),TRIM(MID('R.M Billets Reports'!D2595,SEARCH("-",'R.M Billets Reports'!D2595)+1,200)),"")),IF(ISNUMBER(SEARCH("Party Name:-",'R.M Billets Reports'!D2596)),TRIM('R.M Billets Reports'!F2596),IF(ISNUMBER(SEARCH("Party Name-",'R.M Billets Reports'!D2596)),TRIM(MID('R.M Billets Reports'!D2596,SEARCH("-",'R.M Billets Reports'!D2596)+1,200)),"")))="SHREE RADHE SHAKTI SPONGE AND POWER PVT. LTD.","SHREE RADHE",IF(IF(ISNUMBER(SEARCH("Party Name:-",'R.M Billets Reports'!D2595)),TRIM('R.M Billets Reports'!F2595),IF(ISNUMBER(SEARCH("Party Name-",'R.M Billets Reports'!D2595)),TRIM(MID('R.M Billets Reports'!D2595,SEARCH("-",'R.M Billets Reports'!D2595)+1,200)),""))&lt;&gt;"",IF(ISNUMBER(SEARCH("Party Name:-",'R.M Billets Reports'!D2595)),TRIM('R.M Billets Reports'!F2595),IF(ISNUMBER(SEARCH("Party Name-",'R.M Billets Reports'!D2595)),TRIM(MID('R.M Billets Reports'!D2595,SEARCH("-",'R.M Billets Reports'!D2595)+1,200)),"")),IF(ISNUMBER(SEARCH("Party Name:-",'R.M Billets Reports'!D2596)),TRIM('R.M Billets Reports'!F2596),IF(ISNUMBER(SEARCH("Party Name-",'R.M Billets Reports'!D2596)),TRIM(MID('R.M Billets Reports'!D2596,SEARCH("-",'R.M Billets Reports'!D2596)+1,200)),"")))))),IF(ROW()=2,"",A2595))</f>
      </c>
      <c r="B2596">
        <f>IF(OR('R.M Billets Reports'!A2595="Date-",'R.M Billets Reports'!A2595="Date:-"),'R.M Billets Reports'!B2595,IF(ROW()=2,"",B2595))</f>
      </c>
      <c r="C2596">
        <f>IF('R.M Billets Reports'!A2595="V.No.",'R.M Billets Reports'!B2595,IF(ROW()=2,"",C2595))</f>
      </c>
      <c r="D2596">
        <f>IF('R.M Billets Reports'!A2595&lt;&gt;"",'R.M Billets Reports'!A2595,IF(ROW()=2,"",D2595))</f>
      </c>
      <c r="E2596">
        <f>IF('R.M Billets Reports'!B2595="","",TRIM('R.M Billets Reports'!B2595))</f>
      </c>
      <c r="F2596">
        <f>'R.M Billets Reports'!C2595</f>
      </c>
      <c r="G2596">
        <f>'R.M Billets Reports'!D2595</f>
      </c>
      <c r="H2596">
        <f>'R.M Billets Reports'!E2595</f>
      </c>
      <c r="I2596">
        <f>'R.M Billets Reports'!F2595</f>
      </c>
      <c r="J2596">
        <f>'R.M Billets Reports'!G2595</f>
      </c>
      <c r="K2596">
        <f>'R.M Billets Reports'!H2595</f>
      </c>
      <c r="L2596">
        <f>IF('R.M Billets Reports'!I2595="","",'R.M Billets Reports'!I2595)</f>
      </c>
      <c r="M2596">
        <f t="shared" si="80"/>
      </c>
      <c r="N2596">
        <f>IF('R.M Billets Reports'!J2595="","",'R.M Billets Reports'!J2595)</f>
      </c>
      <c r="O2596">
        <f t="shared" si="81"/>
      </c>
      <c r="P2596">
        <f>IF('R.M Billets Reports'!A2595="SIZE",'R.M Billets Reports'!B2595,P2595)</f>
      </c>
    </row>
    <row r="2597" spans="1:16" x14ac:dyDescent="0.25">
      <c r="A2597">
        <f>IF(OR('R.M Billets Reports'!A2596="Date-",'R.M Billets Reports'!A2596="Date:-"),IF(IF(IF(ISNUMBER(SEARCH("Party Name:-",'R.M Billets Reports'!D2596)),TRIM('R.M Billets Reports'!F2596),IF(ISNUMBER(SEARCH("Party Name-",'R.M Billets Reports'!D2596)),TRIM(MID('R.M Billets Reports'!D2596,SEARCH("-",'R.M Billets Reports'!D2596)+1,200)),""))&lt;&gt;"",IF(ISNUMBER(SEARCH("Party Name:-",'R.M Billets Reports'!D2596)),TRIM('R.M Billets Reports'!F2596),IF(ISNUMBER(SEARCH("Party Name-",'R.M Billets Reports'!D2596)),TRIM(MID('R.M Billets Reports'!D2596,SEARCH("-",'R.M Billets Reports'!D2596)+1,200)),"")),IF(ISNUMBER(SEARCH("Party Name:-",'R.M Billets Reports'!D2597)),TRIM('R.M Billets Reports'!F2597),IF(ISNUMBER(SEARCH("Party Name-",'R.M Billets Reports'!D2597)),TRIM(MID('R.M Billets Reports'!D2597,SEARCH("-",'R.M Billets Reports'!D2597)+1,200)),"")))="VRKP ISPAT PVT LTD","VRKP",IF(IF(IF(ISNUMBER(SEARCH("Party Name:-",'R.M Billets Reports'!D2596)),TRIM('R.M Billets Reports'!F2596),IF(ISNUMBER(SEARCH("Party Name-",'R.M Billets Reports'!D2596)),TRIM(MID('R.M Billets Reports'!D2596,SEARCH("-",'R.M Billets Reports'!D2596)+1,200)),""))&lt;&gt;"",IF(ISNUMBER(SEARCH("Party Name:-",'R.M Billets Reports'!D2596)),TRIM('R.M Billets Reports'!F2596),IF(ISNUMBER(SEARCH("Party Name-",'R.M Billets Reports'!D2596)),TRIM(MID('R.M Billets Reports'!D2596,SEARCH("-",'R.M Billets Reports'!D2596)+1,200)),"")),IF(ISNUMBER(SEARCH("Party Name:-",'R.M Billets Reports'!D2597)),TRIM('R.M Billets Reports'!F2597),IF(ISNUMBER(SEARCH("Party Name-",'R.M Billets Reports'!D2597)),TRIM(MID('R.M Billets Reports'!D2597,SEARCH("-",'R.M Billets Reports'!D2597)+1,200)),"")))="SHRI RADHE","SHREE RADHE",IF(IF(IF(ISNUMBER(SEARCH("Party Name:-",'R.M Billets Reports'!D2596)),TRIM('R.M Billets Reports'!F2596),IF(ISNUMBER(SEARCH("Party Name-",'R.M Billets Reports'!D2596)),TRIM(MID('R.M Billets Reports'!D2596,SEARCH("-",'R.M Billets Reports'!D2596)+1,200)),""))&lt;&gt;"",IF(ISNUMBER(SEARCH("Party Name:-",'R.M Billets Reports'!D2596)),TRIM('R.M Billets Reports'!F2596),IF(ISNUMBER(SEARCH("Party Name-",'R.M Billets Reports'!D2596)),TRIM(MID('R.M Billets Reports'!D2596,SEARCH("-",'R.M Billets Reports'!D2596)+1,200)),"")),IF(ISNUMBER(SEARCH("Party Name:-",'R.M Billets Reports'!D2597)),TRIM('R.M Billets Reports'!F2597),IF(ISNUMBER(SEARCH("Party Name-",'R.M Billets Reports'!D2597)),TRIM(MID('R.M Billets Reports'!D2597,SEARCH("-",'R.M Billets Reports'!D2597)+1,200)),"")))="SHREE RADHE SHAKTI SPONGE AND POWER PVT. LTD.","SHREE RADHE",IF(IF(ISNUMBER(SEARCH("Party Name:-",'R.M Billets Reports'!D2596)),TRIM('R.M Billets Reports'!F2596),IF(ISNUMBER(SEARCH("Party Name-",'R.M Billets Reports'!D2596)),TRIM(MID('R.M Billets Reports'!D2596,SEARCH("-",'R.M Billets Reports'!D2596)+1,200)),""))&lt;&gt;"",IF(ISNUMBER(SEARCH("Party Name:-",'R.M Billets Reports'!D2596)),TRIM('R.M Billets Reports'!F2596),IF(ISNUMBER(SEARCH("Party Name-",'R.M Billets Reports'!D2596)),TRIM(MID('R.M Billets Reports'!D2596,SEARCH("-",'R.M Billets Reports'!D2596)+1,200)),"")),IF(ISNUMBER(SEARCH("Party Name:-",'R.M Billets Reports'!D2597)),TRIM('R.M Billets Reports'!F2597),IF(ISNUMBER(SEARCH("Party Name-",'R.M Billets Reports'!D2597)),TRIM(MID('R.M Billets Reports'!D2597,SEARCH("-",'R.M Billets Reports'!D2597)+1,200)),"")))))),IF(ROW()=2,"",A2596))</f>
      </c>
      <c r="B2597">
        <f>IF(OR('R.M Billets Reports'!A2596="Date-",'R.M Billets Reports'!A2596="Date:-"),'R.M Billets Reports'!B2596,IF(ROW()=2,"",B2596))</f>
      </c>
      <c r="C2597">
        <f>IF('R.M Billets Reports'!A2596="V.No.",'R.M Billets Reports'!B2596,IF(ROW()=2,"",C2596))</f>
      </c>
      <c r="D2597">
        <f>IF('R.M Billets Reports'!A2596&lt;&gt;"",'R.M Billets Reports'!A2596,IF(ROW()=2,"",D2596))</f>
      </c>
      <c r="E2597">
        <f>IF('R.M Billets Reports'!B2596="","",TRIM('R.M Billets Reports'!B2596))</f>
      </c>
      <c r="F2597">
        <f>'R.M Billets Reports'!C2596</f>
      </c>
      <c r="G2597">
        <f>'R.M Billets Reports'!D2596</f>
      </c>
      <c r="H2597">
        <f>'R.M Billets Reports'!E2596</f>
      </c>
      <c r="I2597">
        <f>'R.M Billets Reports'!F2596</f>
      </c>
      <c r="J2597">
        <f>'R.M Billets Reports'!G2596</f>
      </c>
      <c r="K2597">
        <f>'R.M Billets Reports'!H2596</f>
      </c>
      <c r="L2597">
        <f>IF('R.M Billets Reports'!I2596="","",'R.M Billets Reports'!I2596)</f>
      </c>
      <c r="M2597">
        <f t="shared" si="80"/>
      </c>
      <c r="N2597">
        <f>IF('R.M Billets Reports'!J2596="","",'R.M Billets Reports'!J2596)</f>
      </c>
      <c r="O2597">
        <f t="shared" si="81"/>
      </c>
      <c r="P2597">
        <f>IF('R.M Billets Reports'!A2596="SIZE",'R.M Billets Reports'!B2596,P2596)</f>
      </c>
    </row>
    <row r="2598" spans="1:16" x14ac:dyDescent="0.25">
      <c r="A2598">
        <f>IF(OR('R.M Billets Reports'!A2597="Date-",'R.M Billets Reports'!A2597="Date:-"),IF(IF(IF(ISNUMBER(SEARCH("Party Name:-",'R.M Billets Reports'!D2597)),TRIM('R.M Billets Reports'!F2597),IF(ISNUMBER(SEARCH("Party Name-",'R.M Billets Reports'!D2597)),TRIM(MID('R.M Billets Reports'!D2597,SEARCH("-",'R.M Billets Reports'!D2597)+1,200)),""))&lt;&gt;"",IF(ISNUMBER(SEARCH("Party Name:-",'R.M Billets Reports'!D2597)),TRIM('R.M Billets Reports'!F2597),IF(ISNUMBER(SEARCH("Party Name-",'R.M Billets Reports'!D2597)),TRIM(MID('R.M Billets Reports'!D2597,SEARCH("-",'R.M Billets Reports'!D2597)+1,200)),"")),IF(ISNUMBER(SEARCH("Party Name:-",'R.M Billets Reports'!D2598)),TRIM('R.M Billets Reports'!F2598),IF(ISNUMBER(SEARCH("Party Name-",'R.M Billets Reports'!D2598)),TRIM(MID('R.M Billets Reports'!D2598,SEARCH("-",'R.M Billets Reports'!D2598)+1,200)),"")))="VRKP ISPAT PVT LTD","VRKP",IF(IF(IF(ISNUMBER(SEARCH("Party Name:-",'R.M Billets Reports'!D2597)),TRIM('R.M Billets Reports'!F2597),IF(ISNUMBER(SEARCH("Party Name-",'R.M Billets Reports'!D2597)),TRIM(MID('R.M Billets Reports'!D2597,SEARCH("-",'R.M Billets Reports'!D2597)+1,200)),""))&lt;&gt;"",IF(ISNUMBER(SEARCH("Party Name:-",'R.M Billets Reports'!D2597)),TRIM('R.M Billets Reports'!F2597),IF(ISNUMBER(SEARCH("Party Name-",'R.M Billets Reports'!D2597)),TRIM(MID('R.M Billets Reports'!D2597,SEARCH("-",'R.M Billets Reports'!D2597)+1,200)),"")),IF(ISNUMBER(SEARCH("Party Name:-",'R.M Billets Reports'!D2598)),TRIM('R.M Billets Reports'!F2598),IF(ISNUMBER(SEARCH("Party Name-",'R.M Billets Reports'!D2598)),TRIM(MID('R.M Billets Reports'!D2598,SEARCH("-",'R.M Billets Reports'!D2598)+1,200)),"")))="SHRI RADHE","SHREE RADHE",IF(IF(IF(ISNUMBER(SEARCH("Party Name:-",'R.M Billets Reports'!D2597)),TRIM('R.M Billets Reports'!F2597),IF(ISNUMBER(SEARCH("Party Name-",'R.M Billets Reports'!D2597)),TRIM(MID('R.M Billets Reports'!D2597,SEARCH("-",'R.M Billets Reports'!D2597)+1,200)),""))&lt;&gt;"",IF(ISNUMBER(SEARCH("Party Name:-",'R.M Billets Reports'!D2597)),TRIM('R.M Billets Reports'!F2597),IF(ISNUMBER(SEARCH("Party Name-",'R.M Billets Reports'!D2597)),TRIM(MID('R.M Billets Reports'!D2597,SEARCH("-",'R.M Billets Reports'!D2597)+1,200)),"")),IF(ISNUMBER(SEARCH("Party Name:-",'R.M Billets Reports'!D2598)),TRIM('R.M Billets Reports'!F2598),IF(ISNUMBER(SEARCH("Party Name-",'R.M Billets Reports'!D2598)),TRIM(MID('R.M Billets Reports'!D2598,SEARCH("-",'R.M Billets Reports'!D2598)+1,200)),"")))="SHREE RADHE SHAKTI SPONGE AND POWER PVT. LTD.","SHREE RADHE",IF(IF(ISNUMBER(SEARCH("Party Name:-",'R.M Billets Reports'!D2597)),TRIM('R.M Billets Reports'!F2597),IF(ISNUMBER(SEARCH("Party Name-",'R.M Billets Reports'!D2597)),TRIM(MID('R.M Billets Reports'!D2597,SEARCH("-",'R.M Billets Reports'!D2597)+1,200)),""))&lt;&gt;"",IF(ISNUMBER(SEARCH("Party Name:-",'R.M Billets Reports'!D2597)),TRIM('R.M Billets Reports'!F2597),IF(ISNUMBER(SEARCH("Party Name-",'R.M Billets Reports'!D2597)),TRIM(MID('R.M Billets Reports'!D2597,SEARCH("-",'R.M Billets Reports'!D2597)+1,200)),"")),IF(ISNUMBER(SEARCH("Party Name:-",'R.M Billets Reports'!D2598)),TRIM('R.M Billets Reports'!F2598),IF(ISNUMBER(SEARCH("Party Name-",'R.M Billets Reports'!D2598)),TRIM(MID('R.M Billets Reports'!D2598,SEARCH("-",'R.M Billets Reports'!D2598)+1,200)),"")))))),IF(ROW()=2,"",A2597))</f>
      </c>
      <c r="B2598">
        <f>IF(OR('R.M Billets Reports'!A2597="Date-",'R.M Billets Reports'!A2597="Date:-"),'R.M Billets Reports'!B2597,IF(ROW()=2,"",B2597))</f>
      </c>
      <c r="C2598">
        <f>IF('R.M Billets Reports'!A2597="V.No.",'R.M Billets Reports'!B2597,IF(ROW()=2,"",C2597))</f>
      </c>
      <c r="D2598">
        <f>IF('R.M Billets Reports'!A2597&lt;&gt;"",'R.M Billets Reports'!A2597,IF(ROW()=2,"",D2597))</f>
      </c>
      <c r="E2598">
        <f>IF('R.M Billets Reports'!B2597="","",TRIM('R.M Billets Reports'!B2597))</f>
      </c>
      <c r="F2598">
        <f>'R.M Billets Reports'!C2597</f>
      </c>
      <c r="G2598">
        <f>'R.M Billets Reports'!D2597</f>
      </c>
      <c r="H2598">
        <f>'R.M Billets Reports'!E2597</f>
      </c>
      <c r="I2598">
        <f>'R.M Billets Reports'!F2597</f>
      </c>
      <c r="J2598">
        <f>'R.M Billets Reports'!G2597</f>
      </c>
      <c r="K2598">
        <f>'R.M Billets Reports'!H2597</f>
      </c>
      <c r="L2598">
        <f>IF('R.M Billets Reports'!I2597="","",'R.M Billets Reports'!I2597)</f>
      </c>
      <c r="M2598">
        <f t="shared" si="80"/>
      </c>
      <c r="N2598">
        <f>IF('R.M Billets Reports'!J2597="","",'R.M Billets Reports'!J2597)</f>
      </c>
      <c r="O2598">
        <f t="shared" si="81"/>
      </c>
      <c r="P2598">
        <f>IF('R.M Billets Reports'!A2597="SIZE",'R.M Billets Reports'!B2597,P2597)</f>
      </c>
    </row>
    <row r="2599" spans="1:16" x14ac:dyDescent="0.25">
      <c r="A2599">
        <f>IF(OR('R.M Billets Reports'!A2598="Date-",'R.M Billets Reports'!A2598="Date:-"),IF(IF(IF(ISNUMBER(SEARCH("Party Name:-",'R.M Billets Reports'!D2598)),TRIM('R.M Billets Reports'!F2598),IF(ISNUMBER(SEARCH("Party Name-",'R.M Billets Reports'!D2598)),TRIM(MID('R.M Billets Reports'!D2598,SEARCH("-",'R.M Billets Reports'!D2598)+1,200)),""))&lt;&gt;"",IF(ISNUMBER(SEARCH("Party Name:-",'R.M Billets Reports'!D2598)),TRIM('R.M Billets Reports'!F2598),IF(ISNUMBER(SEARCH("Party Name-",'R.M Billets Reports'!D2598)),TRIM(MID('R.M Billets Reports'!D2598,SEARCH("-",'R.M Billets Reports'!D2598)+1,200)),"")),IF(ISNUMBER(SEARCH("Party Name:-",'R.M Billets Reports'!D2599)),TRIM('R.M Billets Reports'!F2599),IF(ISNUMBER(SEARCH("Party Name-",'R.M Billets Reports'!D2599)),TRIM(MID('R.M Billets Reports'!D2599,SEARCH("-",'R.M Billets Reports'!D2599)+1,200)),"")))="VRKP ISPAT PVT LTD","VRKP",IF(IF(IF(ISNUMBER(SEARCH("Party Name:-",'R.M Billets Reports'!D2598)),TRIM('R.M Billets Reports'!F2598),IF(ISNUMBER(SEARCH("Party Name-",'R.M Billets Reports'!D2598)),TRIM(MID('R.M Billets Reports'!D2598,SEARCH("-",'R.M Billets Reports'!D2598)+1,200)),""))&lt;&gt;"",IF(ISNUMBER(SEARCH("Party Name:-",'R.M Billets Reports'!D2598)),TRIM('R.M Billets Reports'!F2598),IF(ISNUMBER(SEARCH("Party Name-",'R.M Billets Reports'!D2598)),TRIM(MID('R.M Billets Reports'!D2598,SEARCH("-",'R.M Billets Reports'!D2598)+1,200)),"")),IF(ISNUMBER(SEARCH("Party Name:-",'R.M Billets Reports'!D2599)),TRIM('R.M Billets Reports'!F2599),IF(ISNUMBER(SEARCH("Party Name-",'R.M Billets Reports'!D2599)),TRIM(MID('R.M Billets Reports'!D2599,SEARCH("-",'R.M Billets Reports'!D2599)+1,200)),"")))="SHRI RADHE","SHREE RADHE",IF(IF(IF(ISNUMBER(SEARCH("Party Name:-",'R.M Billets Reports'!D2598)),TRIM('R.M Billets Reports'!F2598),IF(ISNUMBER(SEARCH("Party Name-",'R.M Billets Reports'!D2598)),TRIM(MID('R.M Billets Reports'!D2598,SEARCH("-",'R.M Billets Reports'!D2598)+1,200)),""))&lt;&gt;"",IF(ISNUMBER(SEARCH("Party Name:-",'R.M Billets Reports'!D2598)),TRIM('R.M Billets Reports'!F2598),IF(ISNUMBER(SEARCH("Party Name-",'R.M Billets Reports'!D2598)),TRIM(MID('R.M Billets Reports'!D2598,SEARCH("-",'R.M Billets Reports'!D2598)+1,200)),"")),IF(ISNUMBER(SEARCH("Party Name:-",'R.M Billets Reports'!D2599)),TRIM('R.M Billets Reports'!F2599),IF(ISNUMBER(SEARCH("Party Name-",'R.M Billets Reports'!D2599)),TRIM(MID('R.M Billets Reports'!D2599,SEARCH("-",'R.M Billets Reports'!D2599)+1,200)),"")))="SHREE RADHE SHAKTI SPONGE AND POWER PVT. LTD.","SHREE RADHE",IF(IF(ISNUMBER(SEARCH("Party Name:-",'R.M Billets Reports'!D2598)),TRIM('R.M Billets Reports'!F2598),IF(ISNUMBER(SEARCH("Party Name-",'R.M Billets Reports'!D2598)),TRIM(MID('R.M Billets Reports'!D2598,SEARCH("-",'R.M Billets Reports'!D2598)+1,200)),""))&lt;&gt;"",IF(ISNUMBER(SEARCH("Party Name:-",'R.M Billets Reports'!D2598)),TRIM('R.M Billets Reports'!F2598),IF(ISNUMBER(SEARCH("Party Name-",'R.M Billets Reports'!D2598)),TRIM(MID('R.M Billets Reports'!D2598,SEARCH("-",'R.M Billets Reports'!D2598)+1,200)),"")),IF(ISNUMBER(SEARCH("Party Name:-",'R.M Billets Reports'!D2599)),TRIM('R.M Billets Reports'!F2599),IF(ISNUMBER(SEARCH("Party Name-",'R.M Billets Reports'!D2599)),TRIM(MID('R.M Billets Reports'!D2599,SEARCH("-",'R.M Billets Reports'!D2599)+1,200)),"")))))),IF(ROW()=2,"",A2598))</f>
      </c>
      <c r="B2599">
        <f>IF(OR('R.M Billets Reports'!A2598="Date-",'R.M Billets Reports'!A2598="Date:-"),'R.M Billets Reports'!B2598,IF(ROW()=2,"",B2598))</f>
      </c>
      <c r="C2599">
        <f>IF('R.M Billets Reports'!A2598="V.No.",'R.M Billets Reports'!B2598,IF(ROW()=2,"",C2598))</f>
      </c>
      <c r="D2599">
        <f>IF('R.M Billets Reports'!A2598&lt;&gt;"",'R.M Billets Reports'!A2598,IF(ROW()=2,"",D2598))</f>
      </c>
      <c r="E2599">
        <f>IF('R.M Billets Reports'!B2598="","",TRIM('R.M Billets Reports'!B2598))</f>
      </c>
      <c r="F2599">
        <f>'R.M Billets Reports'!C2598</f>
      </c>
      <c r="G2599">
        <f>'R.M Billets Reports'!D2598</f>
      </c>
      <c r="H2599">
        <f>'R.M Billets Reports'!E2598</f>
      </c>
      <c r="I2599">
        <f>'R.M Billets Reports'!F2598</f>
      </c>
      <c r="J2599">
        <f>'R.M Billets Reports'!G2598</f>
      </c>
      <c r="K2599">
        <f>'R.M Billets Reports'!H2598</f>
      </c>
      <c r="L2599">
        <f>IF('R.M Billets Reports'!I2598="","",'R.M Billets Reports'!I2598)</f>
      </c>
      <c r="M2599">
        <f t="shared" si="80"/>
      </c>
      <c r="N2599">
        <f>IF('R.M Billets Reports'!J2598="","",'R.M Billets Reports'!J2598)</f>
      </c>
      <c r="O2599">
        <f t="shared" si="81"/>
      </c>
      <c r="P2599">
        <f>IF('R.M Billets Reports'!A2598="SIZE",'R.M Billets Reports'!B2598,P2598)</f>
      </c>
    </row>
    <row r="2600" spans="1:16" x14ac:dyDescent="0.25">
      <c r="A2600">
        <f>IF(OR('R.M Billets Reports'!A2599="Date-",'R.M Billets Reports'!A2599="Date:-"),IF(IF(IF(ISNUMBER(SEARCH("Party Name:-",'R.M Billets Reports'!D2599)),TRIM('R.M Billets Reports'!F2599),IF(ISNUMBER(SEARCH("Party Name-",'R.M Billets Reports'!D2599)),TRIM(MID('R.M Billets Reports'!D2599,SEARCH("-",'R.M Billets Reports'!D2599)+1,200)),""))&lt;&gt;"",IF(ISNUMBER(SEARCH("Party Name:-",'R.M Billets Reports'!D2599)),TRIM('R.M Billets Reports'!F2599),IF(ISNUMBER(SEARCH("Party Name-",'R.M Billets Reports'!D2599)),TRIM(MID('R.M Billets Reports'!D2599,SEARCH("-",'R.M Billets Reports'!D2599)+1,200)),"")),IF(ISNUMBER(SEARCH("Party Name:-",'R.M Billets Reports'!D2600)),TRIM('R.M Billets Reports'!F2600),IF(ISNUMBER(SEARCH("Party Name-",'R.M Billets Reports'!D2600)),TRIM(MID('R.M Billets Reports'!D2600,SEARCH("-",'R.M Billets Reports'!D2600)+1,200)),"")))="VRKP ISPAT PVT LTD","VRKP",IF(IF(IF(ISNUMBER(SEARCH("Party Name:-",'R.M Billets Reports'!D2599)),TRIM('R.M Billets Reports'!F2599),IF(ISNUMBER(SEARCH("Party Name-",'R.M Billets Reports'!D2599)),TRIM(MID('R.M Billets Reports'!D2599,SEARCH("-",'R.M Billets Reports'!D2599)+1,200)),""))&lt;&gt;"",IF(ISNUMBER(SEARCH("Party Name:-",'R.M Billets Reports'!D2599)),TRIM('R.M Billets Reports'!F2599),IF(ISNUMBER(SEARCH("Party Name-",'R.M Billets Reports'!D2599)),TRIM(MID('R.M Billets Reports'!D2599,SEARCH("-",'R.M Billets Reports'!D2599)+1,200)),"")),IF(ISNUMBER(SEARCH("Party Name:-",'R.M Billets Reports'!D2600)),TRIM('R.M Billets Reports'!F2600),IF(ISNUMBER(SEARCH("Party Name-",'R.M Billets Reports'!D2600)),TRIM(MID('R.M Billets Reports'!D2600,SEARCH("-",'R.M Billets Reports'!D2600)+1,200)),"")))="SHRI RADHE","SHREE RADHE",IF(IF(IF(ISNUMBER(SEARCH("Party Name:-",'R.M Billets Reports'!D2599)),TRIM('R.M Billets Reports'!F2599),IF(ISNUMBER(SEARCH("Party Name-",'R.M Billets Reports'!D2599)),TRIM(MID('R.M Billets Reports'!D2599,SEARCH("-",'R.M Billets Reports'!D2599)+1,200)),""))&lt;&gt;"",IF(ISNUMBER(SEARCH("Party Name:-",'R.M Billets Reports'!D2599)),TRIM('R.M Billets Reports'!F2599),IF(ISNUMBER(SEARCH("Party Name-",'R.M Billets Reports'!D2599)),TRIM(MID('R.M Billets Reports'!D2599,SEARCH("-",'R.M Billets Reports'!D2599)+1,200)),"")),IF(ISNUMBER(SEARCH("Party Name:-",'R.M Billets Reports'!D2600)),TRIM('R.M Billets Reports'!F2600),IF(ISNUMBER(SEARCH("Party Name-",'R.M Billets Reports'!D2600)),TRIM(MID('R.M Billets Reports'!D2600,SEARCH("-",'R.M Billets Reports'!D2600)+1,200)),"")))="SHREE RADHE SHAKTI SPONGE AND POWER PVT. LTD.","SHREE RADHE",IF(IF(ISNUMBER(SEARCH("Party Name:-",'R.M Billets Reports'!D2599)),TRIM('R.M Billets Reports'!F2599),IF(ISNUMBER(SEARCH("Party Name-",'R.M Billets Reports'!D2599)),TRIM(MID('R.M Billets Reports'!D2599,SEARCH("-",'R.M Billets Reports'!D2599)+1,200)),""))&lt;&gt;"",IF(ISNUMBER(SEARCH("Party Name:-",'R.M Billets Reports'!D2599)),TRIM('R.M Billets Reports'!F2599),IF(ISNUMBER(SEARCH("Party Name-",'R.M Billets Reports'!D2599)),TRIM(MID('R.M Billets Reports'!D2599,SEARCH("-",'R.M Billets Reports'!D2599)+1,200)),"")),IF(ISNUMBER(SEARCH("Party Name:-",'R.M Billets Reports'!D2600)),TRIM('R.M Billets Reports'!F2600),IF(ISNUMBER(SEARCH("Party Name-",'R.M Billets Reports'!D2600)),TRIM(MID('R.M Billets Reports'!D2600,SEARCH("-",'R.M Billets Reports'!D2600)+1,200)),"")))))),IF(ROW()=2,"",A2599))</f>
      </c>
      <c r="B2600">
        <f>IF(OR('R.M Billets Reports'!A2599="Date-",'R.M Billets Reports'!A2599="Date:-"),'R.M Billets Reports'!B2599,IF(ROW()=2,"",B2599))</f>
      </c>
      <c r="C2600">
        <f>IF('R.M Billets Reports'!A2599="V.No.",'R.M Billets Reports'!B2599,IF(ROW()=2,"",C2599))</f>
      </c>
      <c r="D2600">
        <f>IF('R.M Billets Reports'!A2599&lt;&gt;"",'R.M Billets Reports'!A2599,IF(ROW()=2,"",D2599))</f>
      </c>
      <c r="E2600">
        <f>IF('R.M Billets Reports'!B2599="","",TRIM('R.M Billets Reports'!B2599))</f>
      </c>
      <c r="F2600">
        <f>'R.M Billets Reports'!C2599</f>
      </c>
      <c r="G2600">
        <f>'R.M Billets Reports'!D2599</f>
      </c>
      <c r="H2600">
        <f>'R.M Billets Reports'!E2599</f>
      </c>
      <c r="I2600">
        <f>'R.M Billets Reports'!F2599</f>
      </c>
      <c r="J2600">
        <f>'R.M Billets Reports'!G2599</f>
      </c>
      <c r="K2600">
        <f>'R.M Billets Reports'!H2599</f>
      </c>
      <c r="L2600">
        <f>IF('R.M Billets Reports'!I2599="","",'R.M Billets Reports'!I2599)</f>
      </c>
      <c r="M2600">
        <f t="shared" si="80"/>
      </c>
      <c r="N2600">
        <f>IF('R.M Billets Reports'!J2599="","",'R.M Billets Reports'!J2599)</f>
      </c>
      <c r="O2600">
        <f t="shared" si="81"/>
      </c>
      <c r="P2600">
        <f>IF('R.M Billets Reports'!A2599="SIZE",'R.M Billets Reports'!B2599,P2599)</f>
      </c>
    </row>
    <row r="2601" spans="1:16" x14ac:dyDescent="0.25">
      <c r="A2601">
        <f>IF(OR('R.M Billets Reports'!A2600="Date-",'R.M Billets Reports'!A2600="Date:-"),IF(IF(IF(ISNUMBER(SEARCH("Party Name:-",'R.M Billets Reports'!D2600)),TRIM('R.M Billets Reports'!F2600),IF(ISNUMBER(SEARCH("Party Name-",'R.M Billets Reports'!D2600)),TRIM(MID('R.M Billets Reports'!D2600,SEARCH("-",'R.M Billets Reports'!D2600)+1,200)),""))&lt;&gt;"",IF(ISNUMBER(SEARCH("Party Name:-",'R.M Billets Reports'!D2600)),TRIM('R.M Billets Reports'!F2600),IF(ISNUMBER(SEARCH("Party Name-",'R.M Billets Reports'!D2600)),TRIM(MID('R.M Billets Reports'!D2600,SEARCH("-",'R.M Billets Reports'!D2600)+1,200)),"")),IF(ISNUMBER(SEARCH("Party Name:-",'R.M Billets Reports'!D2601)),TRIM('R.M Billets Reports'!F2601),IF(ISNUMBER(SEARCH("Party Name-",'R.M Billets Reports'!D2601)),TRIM(MID('R.M Billets Reports'!D2601,SEARCH("-",'R.M Billets Reports'!D2601)+1,200)),"")))="VRKP ISPAT PVT LTD","VRKP",IF(IF(IF(ISNUMBER(SEARCH("Party Name:-",'R.M Billets Reports'!D2600)),TRIM('R.M Billets Reports'!F2600),IF(ISNUMBER(SEARCH("Party Name-",'R.M Billets Reports'!D2600)),TRIM(MID('R.M Billets Reports'!D2600,SEARCH("-",'R.M Billets Reports'!D2600)+1,200)),""))&lt;&gt;"",IF(ISNUMBER(SEARCH("Party Name:-",'R.M Billets Reports'!D2600)),TRIM('R.M Billets Reports'!F2600),IF(ISNUMBER(SEARCH("Party Name-",'R.M Billets Reports'!D2600)),TRIM(MID('R.M Billets Reports'!D2600,SEARCH("-",'R.M Billets Reports'!D2600)+1,200)),"")),IF(ISNUMBER(SEARCH("Party Name:-",'R.M Billets Reports'!D2601)),TRIM('R.M Billets Reports'!F2601),IF(ISNUMBER(SEARCH("Party Name-",'R.M Billets Reports'!D2601)),TRIM(MID('R.M Billets Reports'!D2601,SEARCH("-",'R.M Billets Reports'!D2601)+1,200)),"")))="SHRI RADHE","SHREE RADHE",IF(IF(IF(ISNUMBER(SEARCH("Party Name:-",'R.M Billets Reports'!D2600)),TRIM('R.M Billets Reports'!F2600),IF(ISNUMBER(SEARCH("Party Name-",'R.M Billets Reports'!D2600)),TRIM(MID('R.M Billets Reports'!D2600,SEARCH("-",'R.M Billets Reports'!D2600)+1,200)),""))&lt;&gt;"",IF(ISNUMBER(SEARCH("Party Name:-",'R.M Billets Reports'!D2600)),TRIM('R.M Billets Reports'!F2600),IF(ISNUMBER(SEARCH("Party Name-",'R.M Billets Reports'!D2600)),TRIM(MID('R.M Billets Reports'!D2600,SEARCH("-",'R.M Billets Reports'!D2600)+1,200)),"")),IF(ISNUMBER(SEARCH("Party Name:-",'R.M Billets Reports'!D2601)),TRIM('R.M Billets Reports'!F2601),IF(ISNUMBER(SEARCH("Party Name-",'R.M Billets Reports'!D2601)),TRIM(MID('R.M Billets Reports'!D2601,SEARCH("-",'R.M Billets Reports'!D2601)+1,200)),"")))="SHREE RADHE SHAKTI SPONGE AND POWER PVT. LTD.","SHREE RADHE",IF(IF(ISNUMBER(SEARCH("Party Name:-",'R.M Billets Reports'!D2600)),TRIM('R.M Billets Reports'!F2600),IF(ISNUMBER(SEARCH("Party Name-",'R.M Billets Reports'!D2600)),TRIM(MID('R.M Billets Reports'!D2600,SEARCH("-",'R.M Billets Reports'!D2600)+1,200)),""))&lt;&gt;"",IF(ISNUMBER(SEARCH("Party Name:-",'R.M Billets Reports'!D2600)),TRIM('R.M Billets Reports'!F2600),IF(ISNUMBER(SEARCH("Party Name-",'R.M Billets Reports'!D2600)),TRIM(MID('R.M Billets Reports'!D2600,SEARCH("-",'R.M Billets Reports'!D2600)+1,200)),"")),IF(ISNUMBER(SEARCH("Party Name:-",'R.M Billets Reports'!D2601)),TRIM('R.M Billets Reports'!F2601),IF(ISNUMBER(SEARCH("Party Name-",'R.M Billets Reports'!D2601)),TRIM(MID('R.M Billets Reports'!D2601,SEARCH("-",'R.M Billets Reports'!D2601)+1,200)),"")))))),IF(ROW()=2,"",A2600))</f>
      </c>
      <c r="B2601">
        <f>IF(OR('R.M Billets Reports'!A2600="Date-",'R.M Billets Reports'!A2600="Date:-"),'R.M Billets Reports'!B2600,IF(ROW()=2,"",B2600))</f>
      </c>
      <c r="C2601">
        <f>IF('R.M Billets Reports'!A2600="V.No.",'R.M Billets Reports'!B2600,IF(ROW()=2,"",C2600))</f>
      </c>
      <c r="D2601">
        <f>IF('R.M Billets Reports'!A2600&lt;&gt;"",'R.M Billets Reports'!A2600,IF(ROW()=2,"",D2600))</f>
      </c>
      <c r="E2601">
        <f>IF('R.M Billets Reports'!B2600="","",TRIM('R.M Billets Reports'!B2600))</f>
      </c>
      <c r="F2601">
        <f>'R.M Billets Reports'!C2600</f>
      </c>
      <c r="G2601">
        <f>'R.M Billets Reports'!D2600</f>
      </c>
      <c r="H2601">
        <f>'R.M Billets Reports'!E2600</f>
      </c>
      <c r="I2601">
        <f>'R.M Billets Reports'!F2600</f>
      </c>
      <c r="J2601">
        <f>'R.M Billets Reports'!G2600</f>
      </c>
      <c r="K2601">
        <f>'R.M Billets Reports'!H2600</f>
      </c>
      <c r="L2601">
        <f>IF('R.M Billets Reports'!I2600="","",'R.M Billets Reports'!I2600)</f>
      </c>
      <c r="M2601">
        <f t="shared" si="80"/>
      </c>
      <c r="N2601">
        <f>IF('R.M Billets Reports'!J2600="","",'R.M Billets Reports'!J2600)</f>
      </c>
      <c r="O2601">
        <f t="shared" si="81"/>
      </c>
      <c r="P2601">
        <f>IF('R.M Billets Reports'!A2600="SIZE",'R.M Billets Reports'!B2600,P2600)</f>
      </c>
    </row>
    <row r="2602" spans="1:16" x14ac:dyDescent="0.25">
      <c r="A2602">
        <f>IF(OR('R.M Billets Reports'!A2601="Date-",'R.M Billets Reports'!A2601="Date:-"),IF(IF(IF(ISNUMBER(SEARCH("Party Name:-",'R.M Billets Reports'!D2601)),TRIM('R.M Billets Reports'!F2601),IF(ISNUMBER(SEARCH("Party Name-",'R.M Billets Reports'!D2601)),TRIM(MID('R.M Billets Reports'!D2601,SEARCH("-",'R.M Billets Reports'!D2601)+1,200)),""))&lt;&gt;"",IF(ISNUMBER(SEARCH("Party Name:-",'R.M Billets Reports'!D2601)),TRIM('R.M Billets Reports'!F2601),IF(ISNUMBER(SEARCH("Party Name-",'R.M Billets Reports'!D2601)),TRIM(MID('R.M Billets Reports'!D2601,SEARCH("-",'R.M Billets Reports'!D2601)+1,200)),"")),IF(ISNUMBER(SEARCH("Party Name:-",'R.M Billets Reports'!D2602)),TRIM('R.M Billets Reports'!F2602),IF(ISNUMBER(SEARCH("Party Name-",'R.M Billets Reports'!D2602)),TRIM(MID('R.M Billets Reports'!D2602,SEARCH("-",'R.M Billets Reports'!D2602)+1,200)),"")))="VRKP ISPAT PVT LTD","VRKP",IF(IF(IF(ISNUMBER(SEARCH("Party Name:-",'R.M Billets Reports'!D2601)),TRIM('R.M Billets Reports'!F2601),IF(ISNUMBER(SEARCH("Party Name-",'R.M Billets Reports'!D2601)),TRIM(MID('R.M Billets Reports'!D2601,SEARCH("-",'R.M Billets Reports'!D2601)+1,200)),""))&lt;&gt;"",IF(ISNUMBER(SEARCH("Party Name:-",'R.M Billets Reports'!D2601)),TRIM('R.M Billets Reports'!F2601),IF(ISNUMBER(SEARCH("Party Name-",'R.M Billets Reports'!D2601)),TRIM(MID('R.M Billets Reports'!D2601,SEARCH("-",'R.M Billets Reports'!D2601)+1,200)),"")),IF(ISNUMBER(SEARCH("Party Name:-",'R.M Billets Reports'!D2602)),TRIM('R.M Billets Reports'!F2602),IF(ISNUMBER(SEARCH("Party Name-",'R.M Billets Reports'!D2602)),TRIM(MID('R.M Billets Reports'!D2602,SEARCH("-",'R.M Billets Reports'!D2602)+1,200)),"")))="SHRI RADHE","SHREE RADHE",IF(IF(IF(ISNUMBER(SEARCH("Party Name:-",'R.M Billets Reports'!D2601)),TRIM('R.M Billets Reports'!F2601),IF(ISNUMBER(SEARCH("Party Name-",'R.M Billets Reports'!D2601)),TRIM(MID('R.M Billets Reports'!D2601,SEARCH("-",'R.M Billets Reports'!D2601)+1,200)),""))&lt;&gt;"",IF(ISNUMBER(SEARCH("Party Name:-",'R.M Billets Reports'!D2601)),TRIM('R.M Billets Reports'!F2601),IF(ISNUMBER(SEARCH("Party Name-",'R.M Billets Reports'!D2601)),TRIM(MID('R.M Billets Reports'!D2601,SEARCH("-",'R.M Billets Reports'!D2601)+1,200)),"")),IF(ISNUMBER(SEARCH("Party Name:-",'R.M Billets Reports'!D2602)),TRIM('R.M Billets Reports'!F2602),IF(ISNUMBER(SEARCH("Party Name-",'R.M Billets Reports'!D2602)),TRIM(MID('R.M Billets Reports'!D2602,SEARCH("-",'R.M Billets Reports'!D2602)+1,200)),"")))="SHREE RADHE SHAKTI SPONGE AND POWER PVT. LTD.","SHREE RADHE",IF(IF(ISNUMBER(SEARCH("Party Name:-",'R.M Billets Reports'!D2601)),TRIM('R.M Billets Reports'!F2601),IF(ISNUMBER(SEARCH("Party Name-",'R.M Billets Reports'!D2601)),TRIM(MID('R.M Billets Reports'!D2601,SEARCH("-",'R.M Billets Reports'!D2601)+1,200)),""))&lt;&gt;"",IF(ISNUMBER(SEARCH("Party Name:-",'R.M Billets Reports'!D2601)),TRIM('R.M Billets Reports'!F2601),IF(ISNUMBER(SEARCH("Party Name-",'R.M Billets Reports'!D2601)),TRIM(MID('R.M Billets Reports'!D2601,SEARCH("-",'R.M Billets Reports'!D2601)+1,200)),"")),IF(ISNUMBER(SEARCH("Party Name:-",'R.M Billets Reports'!D2602)),TRIM('R.M Billets Reports'!F2602),IF(ISNUMBER(SEARCH("Party Name-",'R.M Billets Reports'!D2602)),TRIM(MID('R.M Billets Reports'!D2602,SEARCH("-",'R.M Billets Reports'!D2602)+1,200)),"")))))),IF(ROW()=2,"",A2601))</f>
      </c>
      <c r="B2602">
        <f>IF(OR('R.M Billets Reports'!A2601="Date-",'R.M Billets Reports'!A2601="Date:-"),'R.M Billets Reports'!B2601,IF(ROW()=2,"",B2601))</f>
      </c>
      <c r="C2602">
        <f>IF('R.M Billets Reports'!A2601="V.No.",'R.M Billets Reports'!B2601,IF(ROW()=2,"",C2601))</f>
      </c>
      <c r="D2602">
        <f>IF('R.M Billets Reports'!A2601&lt;&gt;"",'R.M Billets Reports'!A2601,IF(ROW()=2,"",D2601))</f>
      </c>
      <c r="E2602">
        <f>IF('R.M Billets Reports'!B2601="","",TRIM('R.M Billets Reports'!B2601))</f>
      </c>
      <c r="F2602">
        <f>'R.M Billets Reports'!C2601</f>
      </c>
      <c r="G2602">
        <f>'R.M Billets Reports'!D2601</f>
      </c>
      <c r="H2602">
        <f>'R.M Billets Reports'!E2601</f>
      </c>
      <c r="I2602">
        <f>'R.M Billets Reports'!F2601</f>
      </c>
      <c r="J2602">
        <f>'R.M Billets Reports'!G2601</f>
      </c>
      <c r="K2602">
        <f>'R.M Billets Reports'!H2601</f>
      </c>
      <c r="L2602">
        <f>IF('R.M Billets Reports'!I2601="","",'R.M Billets Reports'!I2601)</f>
      </c>
      <c r="M2602">
        <f t="shared" si="80"/>
      </c>
      <c r="N2602">
        <f>IF('R.M Billets Reports'!J2601="","",'R.M Billets Reports'!J2601)</f>
      </c>
      <c r="O2602">
        <f t="shared" si="81"/>
      </c>
      <c r="P2602">
        <f>IF('R.M Billets Reports'!A2601="SIZE",'R.M Billets Reports'!B2601,P2601)</f>
      </c>
    </row>
    <row r="2603" spans="1:16" x14ac:dyDescent="0.25">
      <c r="A2603">
        <f>IF(OR('R.M Billets Reports'!A2602="Date-",'R.M Billets Reports'!A2602="Date:-"),IF(IF(IF(ISNUMBER(SEARCH("Party Name:-",'R.M Billets Reports'!D2602)),TRIM('R.M Billets Reports'!F2602),IF(ISNUMBER(SEARCH("Party Name-",'R.M Billets Reports'!D2602)),TRIM(MID('R.M Billets Reports'!D2602,SEARCH("-",'R.M Billets Reports'!D2602)+1,200)),""))&lt;&gt;"",IF(ISNUMBER(SEARCH("Party Name:-",'R.M Billets Reports'!D2602)),TRIM('R.M Billets Reports'!F2602),IF(ISNUMBER(SEARCH("Party Name-",'R.M Billets Reports'!D2602)),TRIM(MID('R.M Billets Reports'!D2602,SEARCH("-",'R.M Billets Reports'!D2602)+1,200)),"")),IF(ISNUMBER(SEARCH("Party Name:-",'R.M Billets Reports'!D2603)),TRIM('R.M Billets Reports'!F2603),IF(ISNUMBER(SEARCH("Party Name-",'R.M Billets Reports'!D2603)),TRIM(MID('R.M Billets Reports'!D2603,SEARCH("-",'R.M Billets Reports'!D2603)+1,200)),"")))="VRKP ISPAT PVT LTD","VRKP",IF(IF(IF(ISNUMBER(SEARCH("Party Name:-",'R.M Billets Reports'!D2602)),TRIM('R.M Billets Reports'!F2602),IF(ISNUMBER(SEARCH("Party Name-",'R.M Billets Reports'!D2602)),TRIM(MID('R.M Billets Reports'!D2602,SEARCH("-",'R.M Billets Reports'!D2602)+1,200)),""))&lt;&gt;"",IF(ISNUMBER(SEARCH("Party Name:-",'R.M Billets Reports'!D2602)),TRIM('R.M Billets Reports'!F2602),IF(ISNUMBER(SEARCH("Party Name-",'R.M Billets Reports'!D2602)),TRIM(MID('R.M Billets Reports'!D2602,SEARCH("-",'R.M Billets Reports'!D2602)+1,200)),"")),IF(ISNUMBER(SEARCH("Party Name:-",'R.M Billets Reports'!D2603)),TRIM('R.M Billets Reports'!F2603),IF(ISNUMBER(SEARCH("Party Name-",'R.M Billets Reports'!D2603)),TRIM(MID('R.M Billets Reports'!D2603,SEARCH("-",'R.M Billets Reports'!D2603)+1,200)),"")))="SHRI RADHE","SHREE RADHE",IF(IF(IF(ISNUMBER(SEARCH("Party Name:-",'R.M Billets Reports'!D2602)),TRIM('R.M Billets Reports'!F2602),IF(ISNUMBER(SEARCH("Party Name-",'R.M Billets Reports'!D2602)),TRIM(MID('R.M Billets Reports'!D2602,SEARCH("-",'R.M Billets Reports'!D2602)+1,200)),""))&lt;&gt;"",IF(ISNUMBER(SEARCH("Party Name:-",'R.M Billets Reports'!D2602)),TRIM('R.M Billets Reports'!F2602),IF(ISNUMBER(SEARCH("Party Name-",'R.M Billets Reports'!D2602)),TRIM(MID('R.M Billets Reports'!D2602,SEARCH("-",'R.M Billets Reports'!D2602)+1,200)),"")),IF(ISNUMBER(SEARCH("Party Name:-",'R.M Billets Reports'!D2603)),TRIM('R.M Billets Reports'!F2603),IF(ISNUMBER(SEARCH("Party Name-",'R.M Billets Reports'!D2603)),TRIM(MID('R.M Billets Reports'!D2603,SEARCH("-",'R.M Billets Reports'!D2603)+1,200)),"")))="SHREE RADHE SHAKTI SPONGE AND POWER PVT. LTD.","SHREE RADHE",IF(IF(ISNUMBER(SEARCH("Party Name:-",'R.M Billets Reports'!D2602)),TRIM('R.M Billets Reports'!F2602),IF(ISNUMBER(SEARCH("Party Name-",'R.M Billets Reports'!D2602)),TRIM(MID('R.M Billets Reports'!D2602,SEARCH("-",'R.M Billets Reports'!D2602)+1,200)),""))&lt;&gt;"",IF(ISNUMBER(SEARCH("Party Name:-",'R.M Billets Reports'!D2602)),TRIM('R.M Billets Reports'!F2602),IF(ISNUMBER(SEARCH("Party Name-",'R.M Billets Reports'!D2602)),TRIM(MID('R.M Billets Reports'!D2602,SEARCH("-",'R.M Billets Reports'!D2602)+1,200)),"")),IF(ISNUMBER(SEARCH("Party Name:-",'R.M Billets Reports'!D2603)),TRIM('R.M Billets Reports'!F2603),IF(ISNUMBER(SEARCH("Party Name-",'R.M Billets Reports'!D2603)),TRIM(MID('R.M Billets Reports'!D2603,SEARCH("-",'R.M Billets Reports'!D2603)+1,200)),"")))))),IF(ROW()=2,"",A2602))</f>
      </c>
      <c r="B2603">
        <f>IF(OR('R.M Billets Reports'!A2602="Date-",'R.M Billets Reports'!A2602="Date:-"),'R.M Billets Reports'!B2602,IF(ROW()=2,"",B2602))</f>
      </c>
      <c r="C2603">
        <f>IF('R.M Billets Reports'!A2602="V.No.",'R.M Billets Reports'!B2602,IF(ROW()=2,"",C2602))</f>
      </c>
      <c r="D2603">
        <f>IF('R.M Billets Reports'!A2602&lt;&gt;"",'R.M Billets Reports'!A2602,IF(ROW()=2,"",D2602))</f>
      </c>
      <c r="E2603">
        <f>IF('R.M Billets Reports'!B2602="","",TRIM('R.M Billets Reports'!B2602))</f>
      </c>
      <c r="F2603">
        <f>'R.M Billets Reports'!C2602</f>
      </c>
      <c r="G2603">
        <f>'R.M Billets Reports'!D2602</f>
      </c>
      <c r="H2603">
        <f>'R.M Billets Reports'!E2602</f>
      </c>
      <c r="I2603">
        <f>'R.M Billets Reports'!F2602</f>
      </c>
      <c r="J2603">
        <f>'R.M Billets Reports'!G2602</f>
      </c>
      <c r="K2603">
        <f>'R.M Billets Reports'!H2602</f>
      </c>
      <c r="L2603">
        <f>IF('R.M Billets Reports'!I2602="","",'R.M Billets Reports'!I2602)</f>
      </c>
      <c r="M2603">
        <f t="shared" si="80"/>
      </c>
      <c r="N2603">
        <f>IF('R.M Billets Reports'!J2602="","",'R.M Billets Reports'!J2602)</f>
      </c>
      <c r="O2603">
        <f t="shared" si="81"/>
      </c>
      <c r="P2603">
        <f>IF('R.M Billets Reports'!A2602="SIZE",'R.M Billets Reports'!B2602,P2602)</f>
      </c>
    </row>
    <row r="2604" spans="1:16" x14ac:dyDescent="0.25">
      <c r="A2604">
        <f>IF(OR('R.M Billets Reports'!A2603="Date-",'R.M Billets Reports'!A2603="Date:-"),IF(IF(IF(ISNUMBER(SEARCH("Party Name:-",'R.M Billets Reports'!D2603)),TRIM('R.M Billets Reports'!F2603),IF(ISNUMBER(SEARCH("Party Name-",'R.M Billets Reports'!D2603)),TRIM(MID('R.M Billets Reports'!D2603,SEARCH("-",'R.M Billets Reports'!D2603)+1,200)),""))&lt;&gt;"",IF(ISNUMBER(SEARCH("Party Name:-",'R.M Billets Reports'!D2603)),TRIM('R.M Billets Reports'!F2603),IF(ISNUMBER(SEARCH("Party Name-",'R.M Billets Reports'!D2603)),TRIM(MID('R.M Billets Reports'!D2603,SEARCH("-",'R.M Billets Reports'!D2603)+1,200)),"")),IF(ISNUMBER(SEARCH("Party Name:-",'R.M Billets Reports'!D2604)),TRIM('R.M Billets Reports'!F2604),IF(ISNUMBER(SEARCH("Party Name-",'R.M Billets Reports'!D2604)),TRIM(MID('R.M Billets Reports'!D2604,SEARCH("-",'R.M Billets Reports'!D2604)+1,200)),"")))="VRKP ISPAT PVT LTD","VRKP",IF(IF(IF(ISNUMBER(SEARCH("Party Name:-",'R.M Billets Reports'!D2603)),TRIM('R.M Billets Reports'!F2603),IF(ISNUMBER(SEARCH("Party Name-",'R.M Billets Reports'!D2603)),TRIM(MID('R.M Billets Reports'!D2603,SEARCH("-",'R.M Billets Reports'!D2603)+1,200)),""))&lt;&gt;"",IF(ISNUMBER(SEARCH("Party Name:-",'R.M Billets Reports'!D2603)),TRIM('R.M Billets Reports'!F2603),IF(ISNUMBER(SEARCH("Party Name-",'R.M Billets Reports'!D2603)),TRIM(MID('R.M Billets Reports'!D2603,SEARCH("-",'R.M Billets Reports'!D2603)+1,200)),"")),IF(ISNUMBER(SEARCH("Party Name:-",'R.M Billets Reports'!D2604)),TRIM('R.M Billets Reports'!F2604),IF(ISNUMBER(SEARCH("Party Name-",'R.M Billets Reports'!D2604)),TRIM(MID('R.M Billets Reports'!D2604,SEARCH("-",'R.M Billets Reports'!D2604)+1,200)),"")))="SHRI RADHE","SHREE RADHE",IF(IF(IF(ISNUMBER(SEARCH("Party Name:-",'R.M Billets Reports'!D2603)),TRIM('R.M Billets Reports'!F2603),IF(ISNUMBER(SEARCH("Party Name-",'R.M Billets Reports'!D2603)),TRIM(MID('R.M Billets Reports'!D2603,SEARCH("-",'R.M Billets Reports'!D2603)+1,200)),""))&lt;&gt;"",IF(ISNUMBER(SEARCH("Party Name:-",'R.M Billets Reports'!D2603)),TRIM('R.M Billets Reports'!F2603),IF(ISNUMBER(SEARCH("Party Name-",'R.M Billets Reports'!D2603)),TRIM(MID('R.M Billets Reports'!D2603,SEARCH("-",'R.M Billets Reports'!D2603)+1,200)),"")),IF(ISNUMBER(SEARCH("Party Name:-",'R.M Billets Reports'!D2604)),TRIM('R.M Billets Reports'!F2604),IF(ISNUMBER(SEARCH("Party Name-",'R.M Billets Reports'!D2604)),TRIM(MID('R.M Billets Reports'!D2604,SEARCH("-",'R.M Billets Reports'!D2604)+1,200)),"")))="SHREE RADHE SHAKTI SPONGE AND POWER PVT. LTD.","SHREE RADHE",IF(IF(ISNUMBER(SEARCH("Party Name:-",'R.M Billets Reports'!D2603)),TRIM('R.M Billets Reports'!F2603),IF(ISNUMBER(SEARCH("Party Name-",'R.M Billets Reports'!D2603)),TRIM(MID('R.M Billets Reports'!D2603,SEARCH("-",'R.M Billets Reports'!D2603)+1,200)),""))&lt;&gt;"",IF(ISNUMBER(SEARCH("Party Name:-",'R.M Billets Reports'!D2603)),TRIM('R.M Billets Reports'!F2603),IF(ISNUMBER(SEARCH("Party Name-",'R.M Billets Reports'!D2603)),TRIM(MID('R.M Billets Reports'!D2603,SEARCH("-",'R.M Billets Reports'!D2603)+1,200)),"")),IF(ISNUMBER(SEARCH("Party Name:-",'R.M Billets Reports'!D2604)),TRIM('R.M Billets Reports'!F2604),IF(ISNUMBER(SEARCH("Party Name-",'R.M Billets Reports'!D2604)),TRIM(MID('R.M Billets Reports'!D2604,SEARCH("-",'R.M Billets Reports'!D2604)+1,200)),"")))))),IF(ROW()=2,"",A2603))</f>
      </c>
      <c r="B2604">
        <f>IF(OR('R.M Billets Reports'!A2603="Date-",'R.M Billets Reports'!A2603="Date:-"),'R.M Billets Reports'!B2603,IF(ROW()=2,"",B2603))</f>
      </c>
      <c r="C2604">
        <f>IF('R.M Billets Reports'!A2603="V.No.",'R.M Billets Reports'!B2603,IF(ROW()=2,"",C2603))</f>
      </c>
      <c r="D2604">
        <f>IF('R.M Billets Reports'!A2603&lt;&gt;"",'R.M Billets Reports'!A2603,IF(ROW()=2,"",D2603))</f>
      </c>
      <c r="E2604">
        <f>IF('R.M Billets Reports'!B2603="","",TRIM('R.M Billets Reports'!B2603))</f>
      </c>
      <c r="F2604">
        <f>'R.M Billets Reports'!C2603</f>
      </c>
      <c r="G2604">
        <f>'R.M Billets Reports'!D2603</f>
      </c>
      <c r="H2604">
        <f>'R.M Billets Reports'!E2603</f>
      </c>
      <c r="I2604">
        <f>'R.M Billets Reports'!F2603</f>
      </c>
      <c r="J2604">
        <f>'R.M Billets Reports'!G2603</f>
      </c>
      <c r="K2604">
        <f>'R.M Billets Reports'!H2603</f>
      </c>
      <c r="L2604">
        <f>IF('R.M Billets Reports'!I2603="","",'R.M Billets Reports'!I2603)</f>
      </c>
      <c r="M2604">
        <f t="shared" si="80"/>
      </c>
      <c r="N2604">
        <f>IF('R.M Billets Reports'!J2603="","",'R.M Billets Reports'!J2603)</f>
      </c>
      <c r="O2604">
        <f t="shared" si="81"/>
      </c>
      <c r="P2604">
        <f>IF('R.M Billets Reports'!A2603="SIZE",'R.M Billets Reports'!B2603,P2603)</f>
      </c>
    </row>
    <row r="2605" spans="1:16" x14ac:dyDescent="0.25">
      <c r="A2605">
        <f>IF(OR('R.M Billets Reports'!A2604="Date-",'R.M Billets Reports'!A2604="Date:-"),IF(IF(IF(ISNUMBER(SEARCH("Party Name:-",'R.M Billets Reports'!D2604)),TRIM('R.M Billets Reports'!F2604),IF(ISNUMBER(SEARCH("Party Name-",'R.M Billets Reports'!D2604)),TRIM(MID('R.M Billets Reports'!D2604,SEARCH("-",'R.M Billets Reports'!D2604)+1,200)),""))&lt;&gt;"",IF(ISNUMBER(SEARCH("Party Name:-",'R.M Billets Reports'!D2604)),TRIM('R.M Billets Reports'!F2604),IF(ISNUMBER(SEARCH("Party Name-",'R.M Billets Reports'!D2604)),TRIM(MID('R.M Billets Reports'!D2604,SEARCH("-",'R.M Billets Reports'!D2604)+1,200)),"")),IF(ISNUMBER(SEARCH("Party Name:-",'R.M Billets Reports'!D2605)),TRIM('R.M Billets Reports'!F2605),IF(ISNUMBER(SEARCH("Party Name-",'R.M Billets Reports'!D2605)),TRIM(MID('R.M Billets Reports'!D2605,SEARCH("-",'R.M Billets Reports'!D2605)+1,200)),"")))="VRKP ISPAT PVT LTD","VRKP",IF(IF(IF(ISNUMBER(SEARCH("Party Name:-",'R.M Billets Reports'!D2604)),TRIM('R.M Billets Reports'!F2604),IF(ISNUMBER(SEARCH("Party Name-",'R.M Billets Reports'!D2604)),TRIM(MID('R.M Billets Reports'!D2604,SEARCH("-",'R.M Billets Reports'!D2604)+1,200)),""))&lt;&gt;"",IF(ISNUMBER(SEARCH("Party Name:-",'R.M Billets Reports'!D2604)),TRIM('R.M Billets Reports'!F2604),IF(ISNUMBER(SEARCH("Party Name-",'R.M Billets Reports'!D2604)),TRIM(MID('R.M Billets Reports'!D2604,SEARCH("-",'R.M Billets Reports'!D2604)+1,200)),"")),IF(ISNUMBER(SEARCH("Party Name:-",'R.M Billets Reports'!D2605)),TRIM('R.M Billets Reports'!F2605),IF(ISNUMBER(SEARCH("Party Name-",'R.M Billets Reports'!D2605)),TRIM(MID('R.M Billets Reports'!D2605,SEARCH("-",'R.M Billets Reports'!D2605)+1,200)),"")))="SHRI RADHE","SHREE RADHE",IF(IF(IF(ISNUMBER(SEARCH("Party Name:-",'R.M Billets Reports'!D2604)),TRIM('R.M Billets Reports'!F2604),IF(ISNUMBER(SEARCH("Party Name-",'R.M Billets Reports'!D2604)),TRIM(MID('R.M Billets Reports'!D2604,SEARCH("-",'R.M Billets Reports'!D2604)+1,200)),""))&lt;&gt;"",IF(ISNUMBER(SEARCH("Party Name:-",'R.M Billets Reports'!D2604)),TRIM('R.M Billets Reports'!F2604),IF(ISNUMBER(SEARCH("Party Name-",'R.M Billets Reports'!D2604)),TRIM(MID('R.M Billets Reports'!D2604,SEARCH("-",'R.M Billets Reports'!D2604)+1,200)),"")),IF(ISNUMBER(SEARCH("Party Name:-",'R.M Billets Reports'!D2605)),TRIM('R.M Billets Reports'!F2605),IF(ISNUMBER(SEARCH("Party Name-",'R.M Billets Reports'!D2605)),TRIM(MID('R.M Billets Reports'!D2605,SEARCH("-",'R.M Billets Reports'!D2605)+1,200)),"")))="SHREE RADHE SHAKTI SPONGE AND POWER PVT. LTD.","SHREE RADHE",IF(IF(ISNUMBER(SEARCH("Party Name:-",'R.M Billets Reports'!D2604)),TRIM('R.M Billets Reports'!F2604),IF(ISNUMBER(SEARCH("Party Name-",'R.M Billets Reports'!D2604)),TRIM(MID('R.M Billets Reports'!D2604,SEARCH("-",'R.M Billets Reports'!D2604)+1,200)),""))&lt;&gt;"",IF(ISNUMBER(SEARCH("Party Name:-",'R.M Billets Reports'!D2604)),TRIM('R.M Billets Reports'!F2604),IF(ISNUMBER(SEARCH("Party Name-",'R.M Billets Reports'!D2604)),TRIM(MID('R.M Billets Reports'!D2604,SEARCH("-",'R.M Billets Reports'!D2604)+1,200)),"")),IF(ISNUMBER(SEARCH("Party Name:-",'R.M Billets Reports'!D2605)),TRIM('R.M Billets Reports'!F2605),IF(ISNUMBER(SEARCH("Party Name-",'R.M Billets Reports'!D2605)),TRIM(MID('R.M Billets Reports'!D2605,SEARCH("-",'R.M Billets Reports'!D2605)+1,200)),"")))))),IF(ROW()=2,"",A2604))</f>
      </c>
      <c r="B2605">
        <f>IF(OR('R.M Billets Reports'!A2604="Date-",'R.M Billets Reports'!A2604="Date:-"),'R.M Billets Reports'!B2604,IF(ROW()=2,"",B2604))</f>
      </c>
      <c r="C2605">
        <f>IF('R.M Billets Reports'!A2604="V.No.",'R.M Billets Reports'!B2604,IF(ROW()=2,"",C2604))</f>
      </c>
      <c r="D2605">
        <f>IF('R.M Billets Reports'!A2604&lt;&gt;"",'R.M Billets Reports'!A2604,IF(ROW()=2,"",D2604))</f>
      </c>
      <c r="E2605">
        <f>IF('R.M Billets Reports'!B2604="","",TRIM('R.M Billets Reports'!B2604))</f>
      </c>
      <c r="F2605">
        <f>'R.M Billets Reports'!C2604</f>
      </c>
      <c r="G2605">
        <f>'R.M Billets Reports'!D2604</f>
      </c>
      <c r="H2605">
        <f>'R.M Billets Reports'!E2604</f>
      </c>
      <c r="I2605">
        <f>'R.M Billets Reports'!F2604</f>
      </c>
      <c r="J2605">
        <f>'R.M Billets Reports'!G2604</f>
      </c>
      <c r="K2605">
        <f>'R.M Billets Reports'!H2604</f>
      </c>
      <c r="L2605">
        <f>IF('R.M Billets Reports'!I2604="","",'R.M Billets Reports'!I2604)</f>
      </c>
      <c r="M2605">
        <f t="shared" si="80"/>
      </c>
      <c r="N2605">
        <f>IF('R.M Billets Reports'!J2604="","",'R.M Billets Reports'!J2604)</f>
      </c>
      <c r="O2605">
        <f t="shared" si="81"/>
      </c>
      <c r="P2605">
        <f>IF('R.M Billets Reports'!A2604="SIZE",'R.M Billets Reports'!B2604,P2604)</f>
      </c>
    </row>
    <row r="2606" spans="1:16" x14ac:dyDescent="0.25">
      <c r="A2606">
        <f>IF(OR('R.M Billets Reports'!A2605="Date-",'R.M Billets Reports'!A2605="Date:-"),IF(IF(IF(ISNUMBER(SEARCH("Party Name:-",'R.M Billets Reports'!D2605)),TRIM('R.M Billets Reports'!F2605),IF(ISNUMBER(SEARCH("Party Name-",'R.M Billets Reports'!D2605)),TRIM(MID('R.M Billets Reports'!D2605,SEARCH("-",'R.M Billets Reports'!D2605)+1,200)),""))&lt;&gt;"",IF(ISNUMBER(SEARCH("Party Name:-",'R.M Billets Reports'!D2605)),TRIM('R.M Billets Reports'!F2605),IF(ISNUMBER(SEARCH("Party Name-",'R.M Billets Reports'!D2605)),TRIM(MID('R.M Billets Reports'!D2605,SEARCH("-",'R.M Billets Reports'!D2605)+1,200)),"")),IF(ISNUMBER(SEARCH("Party Name:-",'R.M Billets Reports'!D2606)),TRIM('R.M Billets Reports'!F2606),IF(ISNUMBER(SEARCH("Party Name-",'R.M Billets Reports'!D2606)),TRIM(MID('R.M Billets Reports'!D2606,SEARCH("-",'R.M Billets Reports'!D2606)+1,200)),"")))="VRKP ISPAT PVT LTD","VRKP",IF(IF(IF(ISNUMBER(SEARCH("Party Name:-",'R.M Billets Reports'!D2605)),TRIM('R.M Billets Reports'!F2605),IF(ISNUMBER(SEARCH("Party Name-",'R.M Billets Reports'!D2605)),TRIM(MID('R.M Billets Reports'!D2605,SEARCH("-",'R.M Billets Reports'!D2605)+1,200)),""))&lt;&gt;"",IF(ISNUMBER(SEARCH("Party Name:-",'R.M Billets Reports'!D2605)),TRIM('R.M Billets Reports'!F2605),IF(ISNUMBER(SEARCH("Party Name-",'R.M Billets Reports'!D2605)),TRIM(MID('R.M Billets Reports'!D2605,SEARCH("-",'R.M Billets Reports'!D2605)+1,200)),"")),IF(ISNUMBER(SEARCH("Party Name:-",'R.M Billets Reports'!D2606)),TRIM('R.M Billets Reports'!F2606),IF(ISNUMBER(SEARCH("Party Name-",'R.M Billets Reports'!D2606)),TRIM(MID('R.M Billets Reports'!D2606,SEARCH("-",'R.M Billets Reports'!D2606)+1,200)),"")))="SHRI RADHE","SHREE RADHE",IF(IF(IF(ISNUMBER(SEARCH("Party Name:-",'R.M Billets Reports'!D2605)),TRIM('R.M Billets Reports'!F2605),IF(ISNUMBER(SEARCH("Party Name-",'R.M Billets Reports'!D2605)),TRIM(MID('R.M Billets Reports'!D2605,SEARCH("-",'R.M Billets Reports'!D2605)+1,200)),""))&lt;&gt;"",IF(ISNUMBER(SEARCH("Party Name:-",'R.M Billets Reports'!D2605)),TRIM('R.M Billets Reports'!F2605),IF(ISNUMBER(SEARCH("Party Name-",'R.M Billets Reports'!D2605)),TRIM(MID('R.M Billets Reports'!D2605,SEARCH("-",'R.M Billets Reports'!D2605)+1,200)),"")),IF(ISNUMBER(SEARCH("Party Name:-",'R.M Billets Reports'!D2606)),TRIM('R.M Billets Reports'!F2606),IF(ISNUMBER(SEARCH("Party Name-",'R.M Billets Reports'!D2606)),TRIM(MID('R.M Billets Reports'!D2606,SEARCH("-",'R.M Billets Reports'!D2606)+1,200)),"")))="SHREE RADHE SHAKTI SPONGE AND POWER PVT. LTD.","SHREE RADHE",IF(IF(ISNUMBER(SEARCH("Party Name:-",'R.M Billets Reports'!D2605)),TRIM('R.M Billets Reports'!F2605),IF(ISNUMBER(SEARCH("Party Name-",'R.M Billets Reports'!D2605)),TRIM(MID('R.M Billets Reports'!D2605,SEARCH("-",'R.M Billets Reports'!D2605)+1,200)),""))&lt;&gt;"",IF(ISNUMBER(SEARCH("Party Name:-",'R.M Billets Reports'!D2605)),TRIM('R.M Billets Reports'!F2605),IF(ISNUMBER(SEARCH("Party Name-",'R.M Billets Reports'!D2605)),TRIM(MID('R.M Billets Reports'!D2605,SEARCH("-",'R.M Billets Reports'!D2605)+1,200)),"")),IF(ISNUMBER(SEARCH("Party Name:-",'R.M Billets Reports'!D2606)),TRIM('R.M Billets Reports'!F2606),IF(ISNUMBER(SEARCH("Party Name-",'R.M Billets Reports'!D2606)),TRIM(MID('R.M Billets Reports'!D2606,SEARCH("-",'R.M Billets Reports'!D2606)+1,200)),"")))))),IF(ROW()=2,"",A2605))</f>
      </c>
      <c r="B2606">
        <f>IF(OR('R.M Billets Reports'!A2605="Date-",'R.M Billets Reports'!A2605="Date:-"),'R.M Billets Reports'!B2605,IF(ROW()=2,"",B2605))</f>
      </c>
      <c r="C2606">
        <f>IF('R.M Billets Reports'!A2605="V.No.",'R.M Billets Reports'!B2605,IF(ROW()=2,"",C2605))</f>
      </c>
      <c r="D2606">
        <f>IF('R.M Billets Reports'!A2605&lt;&gt;"",'R.M Billets Reports'!A2605,IF(ROW()=2,"",D2605))</f>
      </c>
      <c r="E2606">
        <f>IF('R.M Billets Reports'!B2605="","",TRIM('R.M Billets Reports'!B2605))</f>
      </c>
      <c r="F2606">
        <f>'R.M Billets Reports'!C2605</f>
      </c>
      <c r="G2606">
        <f>'R.M Billets Reports'!D2605</f>
      </c>
      <c r="H2606">
        <f>'R.M Billets Reports'!E2605</f>
      </c>
      <c r="I2606">
        <f>'R.M Billets Reports'!F2605</f>
      </c>
      <c r="J2606">
        <f>'R.M Billets Reports'!G2605</f>
      </c>
      <c r="K2606">
        <f>'R.M Billets Reports'!H2605</f>
      </c>
      <c r="L2606">
        <f>IF('R.M Billets Reports'!I2605="","",'R.M Billets Reports'!I2605)</f>
      </c>
      <c r="M2606">
        <f t="shared" si="80"/>
      </c>
      <c r="N2606">
        <f>IF('R.M Billets Reports'!J2605="","",'R.M Billets Reports'!J2605)</f>
      </c>
      <c r="O2606">
        <f t="shared" si="81"/>
      </c>
      <c r="P2606">
        <f>IF('R.M Billets Reports'!A2605="SIZE",'R.M Billets Reports'!B2605,P2605)</f>
      </c>
    </row>
    <row r="2607" spans="1:16" x14ac:dyDescent="0.25">
      <c r="A2607">
        <f>IF(OR('R.M Billets Reports'!A2606="Date-",'R.M Billets Reports'!A2606="Date:-"),IF(IF(IF(ISNUMBER(SEARCH("Party Name:-",'R.M Billets Reports'!D2606)),TRIM('R.M Billets Reports'!F2606),IF(ISNUMBER(SEARCH("Party Name-",'R.M Billets Reports'!D2606)),TRIM(MID('R.M Billets Reports'!D2606,SEARCH("-",'R.M Billets Reports'!D2606)+1,200)),""))&lt;&gt;"",IF(ISNUMBER(SEARCH("Party Name:-",'R.M Billets Reports'!D2606)),TRIM('R.M Billets Reports'!F2606),IF(ISNUMBER(SEARCH("Party Name-",'R.M Billets Reports'!D2606)),TRIM(MID('R.M Billets Reports'!D2606,SEARCH("-",'R.M Billets Reports'!D2606)+1,200)),"")),IF(ISNUMBER(SEARCH("Party Name:-",'R.M Billets Reports'!D2607)),TRIM('R.M Billets Reports'!F2607),IF(ISNUMBER(SEARCH("Party Name-",'R.M Billets Reports'!D2607)),TRIM(MID('R.M Billets Reports'!D2607,SEARCH("-",'R.M Billets Reports'!D2607)+1,200)),"")))="VRKP ISPAT PVT LTD","VRKP",IF(IF(IF(ISNUMBER(SEARCH("Party Name:-",'R.M Billets Reports'!D2606)),TRIM('R.M Billets Reports'!F2606),IF(ISNUMBER(SEARCH("Party Name-",'R.M Billets Reports'!D2606)),TRIM(MID('R.M Billets Reports'!D2606,SEARCH("-",'R.M Billets Reports'!D2606)+1,200)),""))&lt;&gt;"",IF(ISNUMBER(SEARCH("Party Name:-",'R.M Billets Reports'!D2606)),TRIM('R.M Billets Reports'!F2606),IF(ISNUMBER(SEARCH("Party Name-",'R.M Billets Reports'!D2606)),TRIM(MID('R.M Billets Reports'!D2606,SEARCH("-",'R.M Billets Reports'!D2606)+1,200)),"")),IF(ISNUMBER(SEARCH("Party Name:-",'R.M Billets Reports'!D2607)),TRIM('R.M Billets Reports'!F2607),IF(ISNUMBER(SEARCH("Party Name-",'R.M Billets Reports'!D2607)),TRIM(MID('R.M Billets Reports'!D2607,SEARCH("-",'R.M Billets Reports'!D2607)+1,200)),"")))="SHRI RADHE","SHREE RADHE",IF(IF(IF(ISNUMBER(SEARCH("Party Name:-",'R.M Billets Reports'!D2606)),TRIM('R.M Billets Reports'!F2606),IF(ISNUMBER(SEARCH("Party Name-",'R.M Billets Reports'!D2606)),TRIM(MID('R.M Billets Reports'!D2606,SEARCH("-",'R.M Billets Reports'!D2606)+1,200)),""))&lt;&gt;"",IF(ISNUMBER(SEARCH("Party Name:-",'R.M Billets Reports'!D2606)),TRIM('R.M Billets Reports'!F2606),IF(ISNUMBER(SEARCH("Party Name-",'R.M Billets Reports'!D2606)),TRIM(MID('R.M Billets Reports'!D2606,SEARCH("-",'R.M Billets Reports'!D2606)+1,200)),"")),IF(ISNUMBER(SEARCH("Party Name:-",'R.M Billets Reports'!D2607)),TRIM('R.M Billets Reports'!F2607),IF(ISNUMBER(SEARCH("Party Name-",'R.M Billets Reports'!D2607)),TRIM(MID('R.M Billets Reports'!D2607,SEARCH("-",'R.M Billets Reports'!D2607)+1,200)),"")))="SHREE RADHE SHAKTI SPONGE AND POWER PVT. LTD.","SHREE RADHE",IF(IF(ISNUMBER(SEARCH("Party Name:-",'R.M Billets Reports'!D2606)),TRIM('R.M Billets Reports'!F2606),IF(ISNUMBER(SEARCH("Party Name-",'R.M Billets Reports'!D2606)),TRIM(MID('R.M Billets Reports'!D2606,SEARCH("-",'R.M Billets Reports'!D2606)+1,200)),""))&lt;&gt;"",IF(ISNUMBER(SEARCH("Party Name:-",'R.M Billets Reports'!D2606)),TRIM('R.M Billets Reports'!F2606),IF(ISNUMBER(SEARCH("Party Name-",'R.M Billets Reports'!D2606)),TRIM(MID('R.M Billets Reports'!D2606,SEARCH("-",'R.M Billets Reports'!D2606)+1,200)),"")),IF(ISNUMBER(SEARCH("Party Name:-",'R.M Billets Reports'!D2607)),TRIM('R.M Billets Reports'!F2607),IF(ISNUMBER(SEARCH("Party Name-",'R.M Billets Reports'!D2607)),TRIM(MID('R.M Billets Reports'!D2607,SEARCH("-",'R.M Billets Reports'!D2607)+1,200)),"")))))),IF(ROW()=2,"",A2606))</f>
      </c>
      <c r="B2607">
        <f>IF(OR('R.M Billets Reports'!A2606="Date-",'R.M Billets Reports'!A2606="Date:-"),'R.M Billets Reports'!B2606,IF(ROW()=2,"",B2606))</f>
      </c>
      <c r="C2607">
        <f>IF('R.M Billets Reports'!A2606="V.No.",'R.M Billets Reports'!B2606,IF(ROW()=2,"",C2606))</f>
      </c>
      <c r="D2607">
        <f>IF('R.M Billets Reports'!A2606&lt;&gt;"",'R.M Billets Reports'!A2606,IF(ROW()=2,"",D2606))</f>
      </c>
      <c r="E2607">
        <f>IF('R.M Billets Reports'!B2606="","",TRIM('R.M Billets Reports'!B2606))</f>
      </c>
      <c r="F2607">
        <f>'R.M Billets Reports'!C2606</f>
      </c>
      <c r="G2607">
        <f>'R.M Billets Reports'!D2606</f>
      </c>
      <c r="H2607">
        <f>'R.M Billets Reports'!E2606</f>
      </c>
      <c r="I2607">
        <f>'R.M Billets Reports'!F2606</f>
      </c>
      <c r="J2607">
        <f>'R.M Billets Reports'!G2606</f>
      </c>
      <c r="K2607">
        <f>'R.M Billets Reports'!H2606</f>
      </c>
      <c r="L2607">
        <f>IF('R.M Billets Reports'!I2606="","",'R.M Billets Reports'!I2606)</f>
      </c>
      <c r="M2607">
        <f t="shared" si="80"/>
      </c>
      <c r="N2607">
        <f>IF('R.M Billets Reports'!J2606="","",'R.M Billets Reports'!J2606)</f>
      </c>
      <c r="O2607">
        <f t="shared" si="81"/>
      </c>
      <c r="P2607">
        <f>IF('R.M Billets Reports'!A2606="SIZE",'R.M Billets Reports'!B2606,P2606)</f>
      </c>
    </row>
    <row r="2608" spans="1:16" x14ac:dyDescent="0.25">
      <c r="A2608">
        <f>IF(OR('R.M Billets Reports'!A2607="Date-",'R.M Billets Reports'!A2607="Date:-"),IF(IF(IF(ISNUMBER(SEARCH("Party Name:-",'R.M Billets Reports'!D2607)),TRIM('R.M Billets Reports'!F2607),IF(ISNUMBER(SEARCH("Party Name-",'R.M Billets Reports'!D2607)),TRIM(MID('R.M Billets Reports'!D2607,SEARCH("-",'R.M Billets Reports'!D2607)+1,200)),""))&lt;&gt;"",IF(ISNUMBER(SEARCH("Party Name:-",'R.M Billets Reports'!D2607)),TRIM('R.M Billets Reports'!F2607),IF(ISNUMBER(SEARCH("Party Name-",'R.M Billets Reports'!D2607)),TRIM(MID('R.M Billets Reports'!D2607,SEARCH("-",'R.M Billets Reports'!D2607)+1,200)),"")),IF(ISNUMBER(SEARCH("Party Name:-",'R.M Billets Reports'!D2608)),TRIM('R.M Billets Reports'!F2608),IF(ISNUMBER(SEARCH("Party Name-",'R.M Billets Reports'!D2608)),TRIM(MID('R.M Billets Reports'!D2608,SEARCH("-",'R.M Billets Reports'!D2608)+1,200)),"")))="VRKP ISPAT PVT LTD","VRKP",IF(IF(IF(ISNUMBER(SEARCH("Party Name:-",'R.M Billets Reports'!D2607)),TRIM('R.M Billets Reports'!F2607),IF(ISNUMBER(SEARCH("Party Name-",'R.M Billets Reports'!D2607)),TRIM(MID('R.M Billets Reports'!D2607,SEARCH("-",'R.M Billets Reports'!D2607)+1,200)),""))&lt;&gt;"",IF(ISNUMBER(SEARCH("Party Name:-",'R.M Billets Reports'!D2607)),TRIM('R.M Billets Reports'!F2607),IF(ISNUMBER(SEARCH("Party Name-",'R.M Billets Reports'!D2607)),TRIM(MID('R.M Billets Reports'!D2607,SEARCH("-",'R.M Billets Reports'!D2607)+1,200)),"")),IF(ISNUMBER(SEARCH("Party Name:-",'R.M Billets Reports'!D2608)),TRIM('R.M Billets Reports'!F2608),IF(ISNUMBER(SEARCH("Party Name-",'R.M Billets Reports'!D2608)),TRIM(MID('R.M Billets Reports'!D2608,SEARCH("-",'R.M Billets Reports'!D2608)+1,200)),"")))="SHRI RADHE","SHREE RADHE",IF(IF(IF(ISNUMBER(SEARCH("Party Name:-",'R.M Billets Reports'!D2607)),TRIM('R.M Billets Reports'!F2607),IF(ISNUMBER(SEARCH("Party Name-",'R.M Billets Reports'!D2607)),TRIM(MID('R.M Billets Reports'!D2607,SEARCH("-",'R.M Billets Reports'!D2607)+1,200)),""))&lt;&gt;"",IF(ISNUMBER(SEARCH("Party Name:-",'R.M Billets Reports'!D2607)),TRIM('R.M Billets Reports'!F2607),IF(ISNUMBER(SEARCH("Party Name-",'R.M Billets Reports'!D2607)),TRIM(MID('R.M Billets Reports'!D2607,SEARCH("-",'R.M Billets Reports'!D2607)+1,200)),"")),IF(ISNUMBER(SEARCH("Party Name:-",'R.M Billets Reports'!D2608)),TRIM('R.M Billets Reports'!F2608),IF(ISNUMBER(SEARCH("Party Name-",'R.M Billets Reports'!D2608)),TRIM(MID('R.M Billets Reports'!D2608,SEARCH("-",'R.M Billets Reports'!D2608)+1,200)),"")))="SHREE RADHE SHAKTI SPONGE AND POWER PVT. LTD.","SHREE RADHE",IF(IF(ISNUMBER(SEARCH("Party Name:-",'R.M Billets Reports'!D2607)),TRIM('R.M Billets Reports'!F2607),IF(ISNUMBER(SEARCH("Party Name-",'R.M Billets Reports'!D2607)),TRIM(MID('R.M Billets Reports'!D2607,SEARCH("-",'R.M Billets Reports'!D2607)+1,200)),""))&lt;&gt;"",IF(ISNUMBER(SEARCH("Party Name:-",'R.M Billets Reports'!D2607)),TRIM('R.M Billets Reports'!F2607),IF(ISNUMBER(SEARCH("Party Name-",'R.M Billets Reports'!D2607)),TRIM(MID('R.M Billets Reports'!D2607,SEARCH("-",'R.M Billets Reports'!D2607)+1,200)),"")),IF(ISNUMBER(SEARCH("Party Name:-",'R.M Billets Reports'!D2608)),TRIM('R.M Billets Reports'!F2608),IF(ISNUMBER(SEARCH("Party Name-",'R.M Billets Reports'!D2608)),TRIM(MID('R.M Billets Reports'!D2608,SEARCH("-",'R.M Billets Reports'!D2608)+1,200)),"")))))),IF(ROW()=2,"",A2607))</f>
      </c>
      <c r="B2608">
        <f>IF(OR('R.M Billets Reports'!A2607="Date-",'R.M Billets Reports'!A2607="Date:-"),'R.M Billets Reports'!B2607,IF(ROW()=2,"",B2607))</f>
      </c>
      <c r="C2608">
        <f>IF('R.M Billets Reports'!A2607="V.No.",'R.M Billets Reports'!B2607,IF(ROW()=2,"",C2607))</f>
      </c>
      <c r="D2608">
        <f>IF('R.M Billets Reports'!A2607&lt;&gt;"",'R.M Billets Reports'!A2607,IF(ROW()=2,"",D2607))</f>
      </c>
      <c r="E2608">
        <f>IF('R.M Billets Reports'!B2607="","",TRIM('R.M Billets Reports'!B2607))</f>
      </c>
      <c r="F2608">
        <f>'R.M Billets Reports'!C2607</f>
      </c>
      <c r="G2608">
        <f>'R.M Billets Reports'!D2607</f>
      </c>
      <c r="H2608">
        <f>'R.M Billets Reports'!E2607</f>
      </c>
      <c r="I2608">
        <f>'R.M Billets Reports'!F2607</f>
      </c>
      <c r="J2608">
        <f>'R.M Billets Reports'!G2607</f>
      </c>
      <c r="K2608">
        <f>'R.M Billets Reports'!H2607</f>
      </c>
      <c r="L2608">
        <f>IF('R.M Billets Reports'!I2607="","",'R.M Billets Reports'!I2607)</f>
      </c>
      <c r="M2608">
        <f t="shared" si="80"/>
      </c>
      <c r="N2608">
        <f>IF('R.M Billets Reports'!J2607="","",'R.M Billets Reports'!J2607)</f>
      </c>
      <c r="O2608">
        <f t="shared" si="81"/>
      </c>
      <c r="P2608">
        <f>IF('R.M Billets Reports'!A2607="SIZE",'R.M Billets Reports'!B2607,P2607)</f>
      </c>
    </row>
    <row r="2609" spans="1:16" x14ac:dyDescent="0.25">
      <c r="A2609">
        <f>IF(OR('R.M Billets Reports'!A2608="Date-",'R.M Billets Reports'!A2608="Date:-"),IF(IF(IF(ISNUMBER(SEARCH("Party Name:-",'R.M Billets Reports'!D2608)),TRIM('R.M Billets Reports'!F2608),IF(ISNUMBER(SEARCH("Party Name-",'R.M Billets Reports'!D2608)),TRIM(MID('R.M Billets Reports'!D2608,SEARCH("-",'R.M Billets Reports'!D2608)+1,200)),""))&lt;&gt;"",IF(ISNUMBER(SEARCH("Party Name:-",'R.M Billets Reports'!D2608)),TRIM('R.M Billets Reports'!F2608),IF(ISNUMBER(SEARCH("Party Name-",'R.M Billets Reports'!D2608)),TRIM(MID('R.M Billets Reports'!D2608,SEARCH("-",'R.M Billets Reports'!D2608)+1,200)),"")),IF(ISNUMBER(SEARCH("Party Name:-",'R.M Billets Reports'!D2609)),TRIM('R.M Billets Reports'!F2609),IF(ISNUMBER(SEARCH("Party Name-",'R.M Billets Reports'!D2609)),TRIM(MID('R.M Billets Reports'!D2609,SEARCH("-",'R.M Billets Reports'!D2609)+1,200)),"")))="VRKP ISPAT PVT LTD","VRKP",IF(IF(IF(ISNUMBER(SEARCH("Party Name:-",'R.M Billets Reports'!D2608)),TRIM('R.M Billets Reports'!F2608),IF(ISNUMBER(SEARCH("Party Name-",'R.M Billets Reports'!D2608)),TRIM(MID('R.M Billets Reports'!D2608,SEARCH("-",'R.M Billets Reports'!D2608)+1,200)),""))&lt;&gt;"",IF(ISNUMBER(SEARCH("Party Name:-",'R.M Billets Reports'!D2608)),TRIM('R.M Billets Reports'!F2608),IF(ISNUMBER(SEARCH("Party Name-",'R.M Billets Reports'!D2608)),TRIM(MID('R.M Billets Reports'!D2608,SEARCH("-",'R.M Billets Reports'!D2608)+1,200)),"")),IF(ISNUMBER(SEARCH("Party Name:-",'R.M Billets Reports'!D2609)),TRIM('R.M Billets Reports'!F2609),IF(ISNUMBER(SEARCH("Party Name-",'R.M Billets Reports'!D2609)),TRIM(MID('R.M Billets Reports'!D2609,SEARCH("-",'R.M Billets Reports'!D2609)+1,200)),"")))="SHRI RADHE","SHREE RADHE",IF(IF(IF(ISNUMBER(SEARCH("Party Name:-",'R.M Billets Reports'!D2608)),TRIM('R.M Billets Reports'!F2608),IF(ISNUMBER(SEARCH("Party Name-",'R.M Billets Reports'!D2608)),TRIM(MID('R.M Billets Reports'!D2608,SEARCH("-",'R.M Billets Reports'!D2608)+1,200)),""))&lt;&gt;"",IF(ISNUMBER(SEARCH("Party Name:-",'R.M Billets Reports'!D2608)),TRIM('R.M Billets Reports'!F2608),IF(ISNUMBER(SEARCH("Party Name-",'R.M Billets Reports'!D2608)),TRIM(MID('R.M Billets Reports'!D2608,SEARCH("-",'R.M Billets Reports'!D2608)+1,200)),"")),IF(ISNUMBER(SEARCH("Party Name:-",'R.M Billets Reports'!D2609)),TRIM('R.M Billets Reports'!F2609),IF(ISNUMBER(SEARCH("Party Name-",'R.M Billets Reports'!D2609)),TRIM(MID('R.M Billets Reports'!D2609,SEARCH("-",'R.M Billets Reports'!D2609)+1,200)),"")))="SHREE RADHE SHAKTI SPONGE AND POWER PVT. LTD.","SHREE RADHE",IF(IF(ISNUMBER(SEARCH("Party Name:-",'R.M Billets Reports'!D2608)),TRIM('R.M Billets Reports'!F2608),IF(ISNUMBER(SEARCH("Party Name-",'R.M Billets Reports'!D2608)),TRIM(MID('R.M Billets Reports'!D2608,SEARCH("-",'R.M Billets Reports'!D2608)+1,200)),""))&lt;&gt;"",IF(ISNUMBER(SEARCH("Party Name:-",'R.M Billets Reports'!D2608)),TRIM('R.M Billets Reports'!F2608),IF(ISNUMBER(SEARCH("Party Name-",'R.M Billets Reports'!D2608)),TRIM(MID('R.M Billets Reports'!D2608,SEARCH("-",'R.M Billets Reports'!D2608)+1,200)),"")),IF(ISNUMBER(SEARCH("Party Name:-",'R.M Billets Reports'!D2609)),TRIM('R.M Billets Reports'!F2609),IF(ISNUMBER(SEARCH("Party Name-",'R.M Billets Reports'!D2609)),TRIM(MID('R.M Billets Reports'!D2609,SEARCH("-",'R.M Billets Reports'!D2609)+1,200)),"")))))),IF(ROW()=2,"",A2608))</f>
      </c>
      <c r="B2609">
        <f>IF(OR('R.M Billets Reports'!A2608="Date-",'R.M Billets Reports'!A2608="Date:-"),'R.M Billets Reports'!B2608,IF(ROW()=2,"",B2608))</f>
      </c>
      <c r="C2609">
        <f>IF('R.M Billets Reports'!A2608="V.No.",'R.M Billets Reports'!B2608,IF(ROW()=2,"",C2608))</f>
      </c>
      <c r="D2609">
        <f>IF('R.M Billets Reports'!A2608&lt;&gt;"",'R.M Billets Reports'!A2608,IF(ROW()=2,"",D2608))</f>
      </c>
      <c r="E2609">
        <f>IF('R.M Billets Reports'!B2608="","",TRIM('R.M Billets Reports'!B2608))</f>
      </c>
      <c r="F2609">
        <f>'R.M Billets Reports'!C2608</f>
      </c>
      <c r="G2609">
        <f>'R.M Billets Reports'!D2608</f>
      </c>
      <c r="H2609">
        <f>'R.M Billets Reports'!E2608</f>
      </c>
      <c r="I2609">
        <f>'R.M Billets Reports'!F2608</f>
      </c>
      <c r="J2609">
        <f>'R.M Billets Reports'!G2608</f>
      </c>
      <c r="K2609">
        <f>'R.M Billets Reports'!H2608</f>
      </c>
      <c r="L2609">
        <f>IF('R.M Billets Reports'!I2608="","",'R.M Billets Reports'!I2608)</f>
      </c>
      <c r="M2609">
        <f t="shared" si="80"/>
      </c>
      <c r="N2609">
        <f>IF('R.M Billets Reports'!J2608="","",'R.M Billets Reports'!J2608)</f>
      </c>
      <c r="O2609">
        <f t="shared" si="81"/>
      </c>
      <c r="P2609">
        <f>IF('R.M Billets Reports'!A2608="SIZE",'R.M Billets Reports'!B2608,P2608)</f>
      </c>
    </row>
    <row r="2610" spans="1:16" x14ac:dyDescent="0.25">
      <c r="A2610">
        <f>IF(OR('R.M Billets Reports'!A2609="Date-",'R.M Billets Reports'!A2609="Date:-"),IF(IF(IF(ISNUMBER(SEARCH("Party Name:-",'R.M Billets Reports'!D2609)),TRIM('R.M Billets Reports'!F2609),IF(ISNUMBER(SEARCH("Party Name-",'R.M Billets Reports'!D2609)),TRIM(MID('R.M Billets Reports'!D2609,SEARCH("-",'R.M Billets Reports'!D2609)+1,200)),""))&lt;&gt;"",IF(ISNUMBER(SEARCH("Party Name:-",'R.M Billets Reports'!D2609)),TRIM('R.M Billets Reports'!F2609),IF(ISNUMBER(SEARCH("Party Name-",'R.M Billets Reports'!D2609)),TRIM(MID('R.M Billets Reports'!D2609,SEARCH("-",'R.M Billets Reports'!D2609)+1,200)),"")),IF(ISNUMBER(SEARCH("Party Name:-",'R.M Billets Reports'!D2610)),TRIM('R.M Billets Reports'!F2610),IF(ISNUMBER(SEARCH("Party Name-",'R.M Billets Reports'!D2610)),TRIM(MID('R.M Billets Reports'!D2610,SEARCH("-",'R.M Billets Reports'!D2610)+1,200)),"")))="VRKP ISPAT PVT LTD","VRKP",IF(IF(IF(ISNUMBER(SEARCH("Party Name:-",'R.M Billets Reports'!D2609)),TRIM('R.M Billets Reports'!F2609),IF(ISNUMBER(SEARCH("Party Name-",'R.M Billets Reports'!D2609)),TRIM(MID('R.M Billets Reports'!D2609,SEARCH("-",'R.M Billets Reports'!D2609)+1,200)),""))&lt;&gt;"",IF(ISNUMBER(SEARCH("Party Name:-",'R.M Billets Reports'!D2609)),TRIM('R.M Billets Reports'!F2609),IF(ISNUMBER(SEARCH("Party Name-",'R.M Billets Reports'!D2609)),TRIM(MID('R.M Billets Reports'!D2609,SEARCH("-",'R.M Billets Reports'!D2609)+1,200)),"")),IF(ISNUMBER(SEARCH("Party Name:-",'R.M Billets Reports'!D2610)),TRIM('R.M Billets Reports'!F2610),IF(ISNUMBER(SEARCH("Party Name-",'R.M Billets Reports'!D2610)),TRIM(MID('R.M Billets Reports'!D2610,SEARCH("-",'R.M Billets Reports'!D2610)+1,200)),"")))="SHRI RADHE","SHREE RADHE",IF(IF(IF(ISNUMBER(SEARCH("Party Name:-",'R.M Billets Reports'!D2609)),TRIM('R.M Billets Reports'!F2609),IF(ISNUMBER(SEARCH("Party Name-",'R.M Billets Reports'!D2609)),TRIM(MID('R.M Billets Reports'!D2609,SEARCH("-",'R.M Billets Reports'!D2609)+1,200)),""))&lt;&gt;"",IF(ISNUMBER(SEARCH("Party Name:-",'R.M Billets Reports'!D2609)),TRIM('R.M Billets Reports'!F2609),IF(ISNUMBER(SEARCH("Party Name-",'R.M Billets Reports'!D2609)),TRIM(MID('R.M Billets Reports'!D2609,SEARCH("-",'R.M Billets Reports'!D2609)+1,200)),"")),IF(ISNUMBER(SEARCH("Party Name:-",'R.M Billets Reports'!D2610)),TRIM('R.M Billets Reports'!F2610),IF(ISNUMBER(SEARCH("Party Name-",'R.M Billets Reports'!D2610)),TRIM(MID('R.M Billets Reports'!D2610,SEARCH("-",'R.M Billets Reports'!D2610)+1,200)),"")))="SHREE RADHE SHAKTI SPONGE AND POWER PVT. LTD.","SHREE RADHE",IF(IF(ISNUMBER(SEARCH("Party Name:-",'R.M Billets Reports'!D2609)),TRIM('R.M Billets Reports'!F2609),IF(ISNUMBER(SEARCH("Party Name-",'R.M Billets Reports'!D2609)),TRIM(MID('R.M Billets Reports'!D2609,SEARCH("-",'R.M Billets Reports'!D2609)+1,200)),""))&lt;&gt;"",IF(ISNUMBER(SEARCH("Party Name:-",'R.M Billets Reports'!D2609)),TRIM('R.M Billets Reports'!F2609),IF(ISNUMBER(SEARCH("Party Name-",'R.M Billets Reports'!D2609)),TRIM(MID('R.M Billets Reports'!D2609,SEARCH("-",'R.M Billets Reports'!D2609)+1,200)),"")),IF(ISNUMBER(SEARCH("Party Name:-",'R.M Billets Reports'!D2610)),TRIM('R.M Billets Reports'!F2610),IF(ISNUMBER(SEARCH("Party Name-",'R.M Billets Reports'!D2610)),TRIM(MID('R.M Billets Reports'!D2610,SEARCH("-",'R.M Billets Reports'!D2610)+1,200)),"")))))),IF(ROW()=2,"",A2609))</f>
      </c>
      <c r="B2610">
        <f>IF(OR('R.M Billets Reports'!A2609="Date-",'R.M Billets Reports'!A2609="Date:-"),'R.M Billets Reports'!B2609,IF(ROW()=2,"",B2609))</f>
      </c>
      <c r="C2610">
        <f>IF('R.M Billets Reports'!A2609="V.No.",'R.M Billets Reports'!B2609,IF(ROW()=2,"",C2609))</f>
      </c>
      <c r="D2610">
        <f>IF('R.M Billets Reports'!A2609&lt;&gt;"",'R.M Billets Reports'!A2609,IF(ROW()=2,"",D2609))</f>
      </c>
      <c r="E2610">
        <f>IF('R.M Billets Reports'!B2609="","",TRIM('R.M Billets Reports'!B2609))</f>
      </c>
      <c r="F2610">
        <f>'R.M Billets Reports'!C2609</f>
      </c>
      <c r="G2610">
        <f>'R.M Billets Reports'!D2609</f>
      </c>
      <c r="H2610">
        <f>'R.M Billets Reports'!E2609</f>
      </c>
      <c r="I2610">
        <f>'R.M Billets Reports'!F2609</f>
      </c>
      <c r="J2610">
        <f>'R.M Billets Reports'!G2609</f>
      </c>
      <c r="K2610">
        <f>'R.M Billets Reports'!H2609</f>
      </c>
      <c r="L2610">
        <f>IF('R.M Billets Reports'!I2609="","",'R.M Billets Reports'!I2609)</f>
      </c>
      <c r="M2610">
        <f t="shared" si="80"/>
      </c>
      <c r="N2610">
        <f>IF('R.M Billets Reports'!J2609="","",'R.M Billets Reports'!J2609)</f>
      </c>
      <c r="O2610">
        <f t="shared" si="81"/>
      </c>
      <c r="P2610">
        <f>IF('R.M Billets Reports'!A2609="SIZE",'R.M Billets Reports'!B2609,P2609)</f>
      </c>
    </row>
    <row r="2611" spans="1:16" x14ac:dyDescent="0.25">
      <c r="A2611">
        <f>IF(OR('R.M Billets Reports'!A2610="Date-",'R.M Billets Reports'!A2610="Date:-"),IF(IF(IF(ISNUMBER(SEARCH("Party Name:-",'R.M Billets Reports'!D2610)),TRIM('R.M Billets Reports'!F2610),IF(ISNUMBER(SEARCH("Party Name-",'R.M Billets Reports'!D2610)),TRIM(MID('R.M Billets Reports'!D2610,SEARCH("-",'R.M Billets Reports'!D2610)+1,200)),""))&lt;&gt;"",IF(ISNUMBER(SEARCH("Party Name:-",'R.M Billets Reports'!D2610)),TRIM('R.M Billets Reports'!F2610),IF(ISNUMBER(SEARCH("Party Name-",'R.M Billets Reports'!D2610)),TRIM(MID('R.M Billets Reports'!D2610,SEARCH("-",'R.M Billets Reports'!D2610)+1,200)),"")),IF(ISNUMBER(SEARCH("Party Name:-",'R.M Billets Reports'!D2611)),TRIM('R.M Billets Reports'!F2611),IF(ISNUMBER(SEARCH("Party Name-",'R.M Billets Reports'!D2611)),TRIM(MID('R.M Billets Reports'!D2611,SEARCH("-",'R.M Billets Reports'!D2611)+1,200)),"")))="VRKP ISPAT PVT LTD","VRKP",IF(IF(IF(ISNUMBER(SEARCH("Party Name:-",'R.M Billets Reports'!D2610)),TRIM('R.M Billets Reports'!F2610),IF(ISNUMBER(SEARCH("Party Name-",'R.M Billets Reports'!D2610)),TRIM(MID('R.M Billets Reports'!D2610,SEARCH("-",'R.M Billets Reports'!D2610)+1,200)),""))&lt;&gt;"",IF(ISNUMBER(SEARCH("Party Name:-",'R.M Billets Reports'!D2610)),TRIM('R.M Billets Reports'!F2610),IF(ISNUMBER(SEARCH("Party Name-",'R.M Billets Reports'!D2610)),TRIM(MID('R.M Billets Reports'!D2610,SEARCH("-",'R.M Billets Reports'!D2610)+1,200)),"")),IF(ISNUMBER(SEARCH("Party Name:-",'R.M Billets Reports'!D2611)),TRIM('R.M Billets Reports'!F2611),IF(ISNUMBER(SEARCH("Party Name-",'R.M Billets Reports'!D2611)),TRIM(MID('R.M Billets Reports'!D2611,SEARCH("-",'R.M Billets Reports'!D2611)+1,200)),"")))="SHRI RADHE","SHREE RADHE",IF(IF(IF(ISNUMBER(SEARCH("Party Name:-",'R.M Billets Reports'!D2610)),TRIM('R.M Billets Reports'!F2610),IF(ISNUMBER(SEARCH("Party Name-",'R.M Billets Reports'!D2610)),TRIM(MID('R.M Billets Reports'!D2610,SEARCH("-",'R.M Billets Reports'!D2610)+1,200)),""))&lt;&gt;"",IF(ISNUMBER(SEARCH("Party Name:-",'R.M Billets Reports'!D2610)),TRIM('R.M Billets Reports'!F2610),IF(ISNUMBER(SEARCH("Party Name-",'R.M Billets Reports'!D2610)),TRIM(MID('R.M Billets Reports'!D2610,SEARCH("-",'R.M Billets Reports'!D2610)+1,200)),"")),IF(ISNUMBER(SEARCH("Party Name:-",'R.M Billets Reports'!D2611)),TRIM('R.M Billets Reports'!F2611),IF(ISNUMBER(SEARCH("Party Name-",'R.M Billets Reports'!D2611)),TRIM(MID('R.M Billets Reports'!D2611,SEARCH("-",'R.M Billets Reports'!D2611)+1,200)),"")))="SHREE RADHE SHAKTI SPONGE AND POWER PVT. LTD.","SHREE RADHE",IF(IF(ISNUMBER(SEARCH("Party Name:-",'R.M Billets Reports'!D2610)),TRIM('R.M Billets Reports'!F2610),IF(ISNUMBER(SEARCH("Party Name-",'R.M Billets Reports'!D2610)),TRIM(MID('R.M Billets Reports'!D2610,SEARCH("-",'R.M Billets Reports'!D2610)+1,200)),""))&lt;&gt;"",IF(ISNUMBER(SEARCH("Party Name:-",'R.M Billets Reports'!D2610)),TRIM('R.M Billets Reports'!F2610),IF(ISNUMBER(SEARCH("Party Name-",'R.M Billets Reports'!D2610)),TRIM(MID('R.M Billets Reports'!D2610,SEARCH("-",'R.M Billets Reports'!D2610)+1,200)),"")),IF(ISNUMBER(SEARCH("Party Name:-",'R.M Billets Reports'!D2611)),TRIM('R.M Billets Reports'!F2611),IF(ISNUMBER(SEARCH("Party Name-",'R.M Billets Reports'!D2611)),TRIM(MID('R.M Billets Reports'!D2611,SEARCH("-",'R.M Billets Reports'!D2611)+1,200)),"")))))),IF(ROW()=2,"",A2610))</f>
      </c>
      <c r="B2611">
        <f>IF(OR('R.M Billets Reports'!A2610="Date-",'R.M Billets Reports'!A2610="Date:-"),'R.M Billets Reports'!B2610,IF(ROW()=2,"",B2610))</f>
      </c>
      <c r="C2611">
        <f>IF('R.M Billets Reports'!A2610="V.No.",'R.M Billets Reports'!B2610,IF(ROW()=2,"",C2610))</f>
      </c>
      <c r="D2611">
        <f>IF('R.M Billets Reports'!A2610&lt;&gt;"",'R.M Billets Reports'!A2610,IF(ROW()=2,"",D2610))</f>
      </c>
      <c r="E2611">
        <f>IF('R.M Billets Reports'!B2610="","",TRIM('R.M Billets Reports'!B2610))</f>
      </c>
      <c r="F2611">
        <f>'R.M Billets Reports'!C2610</f>
      </c>
      <c r="G2611">
        <f>'R.M Billets Reports'!D2610</f>
      </c>
      <c r="H2611">
        <f>'R.M Billets Reports'!E2610</f>
      </c>
      <c r="I2611">
        <f>'R.M Billets Reports'!F2610</f>
      </c>
      <c r="J2611">
        <f>'R.M Billets Reports'!G2610</f>
      </c>
      <c r="K2611">
        <f>'R.M Billets Reports'!H2610</f>
      </c>
      <c r="L2611">
        <f>IF('R.M Billets Reports'!I2610="","",'R.M Billets Reports'!I2610)</f>
      </c>
      <c r="M2611">
        <f t="shared" si="80"/>
      </c>
      <c r="N2611">
        <f>IF('R.M Billets Reports'!J2610="","",'R.M Billets Reports'!J2610)</f>
      </c>
      <c r="O2611">
        <f t="shared" si="81"/>
      </c>
      <c r="P2611">
        <f>IF('R.M Billets Reports'!A2610="SIZE",'R.M Billets Reports'!B2610,P2610)</f>
      </c>
    </row>
    <row r="2612" spans="1:16" x14ac:dyDescent="0.25">
      <c r="A2612">
        <f>IF(OR('R.M Billets Reports'!A2611="Date-",'R.M Billets Reports'!A2611="Date:-"),IF(IF(IF(ISNUMBER(SEARCH("Party Name:-",'R.M Billets Reports'!D2611)),TRIM('R.M Billets Reports'!F2611),IF(ISNUMBER(SEARCH("Party Name-",'R.M Billets Reports'!D2611)),TRIM(MID('R.M Billets Reports'!D2611,SEARCH("-",'R.M Billets Reports'!D2611)+1,200)),""))&lt;&gt;"",IF(ISNUMBER(SEARCH("Party Name:-",'R.M Billets Reports'!D2611)),TRIM('R.M Billets Reports'!F2611),IF(ISNUMBER(SEARCH("Party Name-",'R.M Billets Reports'!D2611)),TRIM(MID('R.M Billets Reports'!D2611,SEARCH("-",'R.M Billets Reports'!D2611)+1,200)),"")),IF(ISNUMBER(SEARCH("Party Name:-",'R.M Billets Reports'!D2612)),TRIM('R.M Billets Reports'!F2612),IF(ISNUMBER(SEARCH("Party Name-",'R.M Billets Reports'!D2612)),TRIM(MID('R.M Billets Reports'!D2612,SEARCH("-",'R.M Billets Reports'!D2612)+1,200)),"")))="VRKP ISPAT PVT LTD","VRKP",IF(IF(IF(ISNUMBER(SEARCH("Party Name:-",'R.M Billets Reports'!D2611)),TRIM('R.M Billets Reports'!F2611),IF(ISNUMBER(SEARCH("Party Name-",'R.M Billets Reports'!D2611)),TRIM(MID('R.M Billets Reports'!D2611,SEARCH("-",'R.M Billets Reports'!D2611)+1,200)),""))&lt;&gt;"",IF(ISNUMBER(SEARCH("Party Name:-",'R.M Billets Reports'!D2611)),TRIM('R.M Billets Reports'!F2611),IF(ISNUMBER(SEARCH("Party Name-",'R.M Billets Reports'!D2611)),TRIM(MID('R.M Billets Reports'!D2611,SEARCH("-",'R.M Billets Reports'!D2611)+1,200)),"")),IF(ISNUMBER(SEARCH("Party Name:-",'R.M Billets Reports'!D2612)),TRIM('R.M Billets Reports'!F2612),IF(ISNUMBER(SEARCH("Party Name-",'R.M Billets Reports'!D2612)),TRIM(MID('R.M Billets Reports'!D2612,SEARCH("-",'R.M Billets Reports'!D2612)+1,200)),"")))="SHRI RADHE","SHREE RADHE",IF(IF(IF(ISNUMBER(SEARCH("Party Name:-",'R.M Billets Reports'!D2611)),TRIM('R.M Billets Reports'!F2611),IF(ISNUMBER(SEARCH("Party Name-",'R.M Billets Reports'!D2611)),TRIM(MID('R.M Billets Reports'!D2611,SEARCH("-",'R.M Billets Reports'!D2611)+1,200)),""))&lt;&gt;"",IF(ISNUMBER(SEARCH("Party Name:-",'R.M Billets Reports'!D2611)),TRIM('R.M Billets Reports'!F2611),IF(ISNUMBER(SEARCH("Party Name-",'R.M Billets Reports'!D2611)),TRIM(MID('R.M Billets Reports'!D2611,SEARCH("-",'R.M Billets Reports'!D2611)+1,200)),"")),IF(ISNUMBER(SEARCH("Party Name:-",'R.M Billets Reports'!D2612)),TRIM('R.M Billets Reports'!F2612),IF(ISNUMBER(SEARCH("Party Name-",'R.M Billets Reports'!D2612)),TRIM(MID('R.M Billets Reports'!D2612,SEARCH("-",'R.M Billets Reports'!D2612)+1,200)),"")))="SHREE RADHE SHAKTI SPONGE AND POWER PVT. LTD.","SHREE RADHE",IF(IF(ISNUMBER(SEARCH("Party Name:-",'R.M Billets Reports'!D2611)),TRIM('R.M Billets Reports'!F2611),IF(ISNUMBER(SEARCH("Party Name-",'R.M Billets Reports'!D2611)),TRIM(MID('R.M Billets Reports'!D2611,SEARCH("-",'R.M Billets Reports'!D2611)+1,200)),""))&lt;&gt;"",IF(ISNUMBER(SEARCH("Party Name:-",'R.M Billets Reports'!D2611)),TRIM('R.M Billets Reports'!F2611),IF(ISNUMBER(SEARCH("Party Name-",'R.M Billets Reports'!D2611)),TRIM(MID('R.M Billets Reports'!D2611,SEARCH("-",'R.M Billets Reports'!D2611)+1,200)),"")),IF(ISNUMBER(SEARCH("Party Name:-",'R.M Billets Reports'!D2612)),TRIM('R.M Billets Reports'!F2612),IF(ISNUMBER(SEARCH("Party Name-",'R.M Billets Reports'!D2612)),TRIM(MID('R.M Billets Reports'!D2612,SEARCH("-",'R.M Billets Reports'!D2612)+1,200)),"")))))),IF(ROW()=2,"",A2611))</f>
      </c>
      <c r="B2612">
        <f>IF(OR('R.M Billets Reports'!A2611="Date-",'R.M Billets Reports'!A2611="Date:-"),'R.M Billets Reports'!B2611,IF(ROW()=2,"",B2611))</f>
      </c>
      <c r="C2612">
        <f>IF('R.M Billets Reports'!A2611="V.No.",'R.M Billets Reports'!B2611,IF(ROW()=2,"",C2611))</f>
      </c>
      <c r="D2612">
        <f>IF('R.M Billets Reports'!A2611&lt;&gt;"",'R.M Billets Reports'!A2611,IF(ROW()=2,"",D2611))</f>
      </c>
      <c r="E2612">
        <f>IF('R.M Billets Reports'!B2611="","",TRIM('R.M Billets Reports'!B2611))</f>
      </c>
      <c r="F2612">
        <f>'R.M Billets Reports'!C2611</f>
      </c>
      <c r="G2612">
        <f>'R.M Billets Reports'!D2611</f>
      </c>
      <c r="H2612">
        <f>'R.M Billets Reports'!E2611</f>
      </c>
      <c r="I2612">
        <f>'R.M Billets Reports'!F2611</f>
      </c>
      <c r="J2612">
        <f>'R.M Billets Reports'!G2611</f>
      </c>
      <c r="K2612">
        <f>'R.M Billets Reports'!H2611</f>
      </c>
      <c r="L2612">
        <f>IF('R.M Billets Reports'!I2611="","",'R.M Billets Reports'!I2611)</f>
      </c>
      <c r="M2612">
        <f t="shared" si="80"/>
      </c>
      <c r="N2612">
        <f>IF('R.M Billets Reports'!J2611="","",'R.M Billets Reports'!J2611)</f>
      </c>
      <c r="O2612">
        <f t="shared" si="81"/>
      </c>
      <c r="P2612">
        <f>IF('R.M Billets Reports'!A2611="SIZE",'R.M Billets Reports'!B2611,P2611)</f>
      </c>
    </row>
    <row r="2613" spans="1:16" x14ac:dyDescent="0.25">
      <c r="A2613">
        <f>IF(OR('R.M Billets Reports'!A2612="Date-",'R.M Billets Reports'!A2612="Date:-"),IF(IF(IF(ISNUMBER(SEARCH("Party Name:-",'R.M Billets Reports'!D2612)),TRIM('R.M Billets Reports'!F2612),IF(ISNUMBER(SEARCH("Party Name-",'R.M Billets Reports'!D2612)),TRIM(MID('R.M Billets Reports'!D2612,SEARCH("-",'R.M Billets Reports'!D2612)+1,200)),""))&lt;&gt;"",IF(ISNUMBER(SEARCH("Party Name:-",'R.M Billets Reports'!D2612)),TRIM('R.M Billets Reports'!F2612),IF(ISNUMBER(SEARCH("Party Name-",'R.M Billets Reports'!D2612)),TRIM(MID('R.M Billets Reports'!D2612,SEARCH("-",'R.M Billets Reports'!D2612)+1,200)),"")),IF(ISNUMBER(SEARCH("Party Name:-",'R.M Billets Reports'!D2613)),TRIM('R.M Billets Reports'!F2613),IF(ISNUMBER(SEARCH("Party Name-",'R.M Billets Reports'!D2613)),TRIM(MID('R.M Billets Reports'!D2613,SEARCH("-",'R.M Billets Reports'!D2613)+1,200)),"")))="VRKP ISPAT PVT LTD","VRKP",IF(IF(IF(ISNUMBER(SEARCH("Party Name:-",'R.M Billets Reports'!D2612)),TRIM('R.M Billets Reports'!F2612),IF(ISNUMBER(SEARCH("Party Name-",'R.M Billets Reports'!D2612)),TRIM(MID('R.M Billets Reports'!D2612,SEARCH("-",'R.M Billets Reports'!D2612)+1,200)),""))&lt;&gt;"",IF(ISNUMBER(SEARCH("Party Name:-",'R.M Billets Reports'!D2612)),TRIM('R.M Billets Reports'!F2612),IF(ISNUMBER(SEARCH("Party Name-",'R.M Billets Reports'!D2612)),TRIM(MID('R.M Billets Reports'!D2612,SEARCH("-",'R.M Billets Reports'!D2612)+1,200)),"")),IF(ISNUMBER(SEARCH("Party Name:-",'R.M Billets Reports'!D2613)),TRIM('R.M Billets Reports'!F2613),IF(ISNUMBER(SEARCH("Party Name-",'R.M Billets Reports'!D2613)),TRIM(MID('R.M Billets Reports'!D2613,SEARCH("-",'R.M Billets Reports'!D2613)+1,200)),"")))="SHRI RADHE","SHREE RADHE",IF(IF(IF(ISNUMBER(SEARCH("Party Name:-",'R.M Billets Reports'!D2612)),TRIM('R.M Billets Reports'!F2612),IF(ISNUMBER(SEARCH("Party Name-",'R.M Billets Reports'!D2612)),TRIM(MID('R.M Billets Reports'!D2612,SEARCH("-",'R.M Billets Reports'!D2612)+1,200)),""))&lt;&gt;"",IF(ISNUMBER(SEARCH("Party Name:-",'R.M Billets Reports'!D2612)),TRIM('R.M Billets Reports'!F2612),IF(ISNUMBER(SEARCH("Party Name-",'R.M Billets Reports'!D2612)),TRIM(MID('R.M Billets Reports'!D2612,SEARCH("-",'R.M Billets Reports'!D2612)+1,200)),"")),IF(ISNUMBER(SEARCH("Party Name:-",'R.M Billets Reports'!D2613)),TRIM('R.M Billets Reports'!F2613),IF(ISNUMBER(SEARCH("Party Name-",'R.M Billets Reports'!D2613)),TRIM(MID('R.M Billets Reports'!D2613,SEARCH("-",'R.M Billets Reports'!D2613)+1,200)),"")))="SHREE RADHE SHAKTI SPONGE AND POWER PVT. LTD.","SHREE RADHE",IF(IF(ISNUMBER(SEARCH("Party Name:-",'R.M Billets Reports'!D2612)),TRIM('R.M Billets Reports'!F2612),IF(ISNUMBER(SEARCH("Party Name-",'R.M Billets Reports'!D2612)),TRIM(MID('R.M Billets Reports'!D2612,SEARCH("-",'R.M Billets Reports'!D2612)+1,200)),""))&lt;&gt;"",IF(ISNUMBER(SEARCH("Party Name:-",'R.M Billets Reports'!D2612)),TRIM('R.M Billets Reports'!F2612),IF(ISNUMBER(SEARCH("Party Name-",'R.M Billets Reports'!D2612)),TRIM(MID('R.M Billets Reports'!D2612,SEARCH("-",'R.M Billets Reports'!D2612)+1,200)),"")),IF(ISNUMBER(SEARCH("Party Name:-",'R.M Billets Reports'!D2613)),TRIM('R.M Billets Reports'!F2613),IF(ISNUMBER(SEARCH("Party Name-",'R.M Billets Reports'!D2613)),TRIM(MID('R.M Billets Reports'!D2613,SEARCH("-",'R.M Billets Reports'!D2613)+1,200)),"")))))),IF(ROW()=2,"",A2612))</f>
      </c>
      <c r="B2613">
        <f>IF(OR('R.M Billets Reports'!A2612="Date-",'R.M Billets Reports'!A2612="Date:-"),'R.M Billets Reports'!B2612,IF(ROW()=2,"",B2612))</f>
      </c>
      <c r="C2613">
        <f>IF('R.M Billets Reports'!A2612="V.No.",'R.M Billets Reports'!B2612,IF(ROW()=2,"",C2612))</f>
      </c>
      <c r="D2613">
        <f>IF('R.M Billets Reports'!A2612&lt;&gt;"",'R.M Billets Reports'!A2612,IF(ROW()=2,"",D2612))</f>
      </c>
      <c r="E2613">
        <f>IF('R.M Billets Reports'!B2612="","",TRIM('R.M Billets Reports'!B2612))</f>
      </c>
      <c r="F2613">
        <f>'R.M Billets Reports'!C2612</f>
      </c>
      <c r="G2613">
        <f>'R.M Billets Reports'!D2612</f>
      </c>
      <c r="H2613">
        <f>'R.M Billets Reports'!E2612</f>
      </c>
      <c r="I2613">
        <f>'R.M Billets Reports'!F2612</f>
      </c>
      <c r="J2613">
        <f>'R.M Billets Reports'!G2612</f>
      </c>
      <c r="K2613">
        <f>'R.M Billets Reports'!H2612</f>
      </c>
      <c r="L2613">
        <f>IF('R.M Billets Reports'!I2612="","",'R.M Billets Reports'!I2612)</f>
      </c>
      <c r="M2613">
        <f t="shared" si="80"/>
      </c>
      <c r="N2613">
        <f>IF('R.M Billets Reports'!J2612="","",'R.M Billets Reports'!J2612)</f>
      </c>
      <c r="O2613">
        <f t="shared" si="81"/>
      </c>
      <c r="P2613">
        <f>IF('R.M Billets Reports'!A2612="SIZE",'R.M Billets Reports'!B2612,P2612)</f>
      </c>
    </row>
    <row r="2614" spans="1:16" x14ac:dyDescent="0.25">
      <c r="A2614">
        <f>IF(OR('R.M Billets Reports'!A2613="Date-",'R.M Billets Reports'!A2613="Date:-"),IF(IF(IF(ISNUMBER(SEARCH("Party Name:-",'R.M Billets Reports'!D2613)),TRIM('R.M Billets Reports'!F2613),IF(ISNUMBER(SEARCH("Party Name-",'R.M Billets Reports'!D2613)),TRIM(MID('R.M Billets Reports'!D2613,SEARCH("-",'R.M Billets Reports'!D2613)+1,200)),""))&lt;&gt;"",IF(ISNUMBER(SEARCH("Party Name:-",'R.M Billets Reports'!D2613)),TRIM('R.M Billets Reports'!F2613),IF(ISNUMBER(SEARCH("Party Name-",'R.M Billets Reports'!D2613)),TRIM(MID('R.M Billets Reports'!D2613,SEARCH("-",'R.M Billets Reports'!D2613)+1,200)),"")),IF(ISNUMBER(SEARCH("Party Name:-",'R.M Billets Reports'!D2614)),TRIM('R.M Billets Reports'!F2614),IF(ISNUMBER(SEARCH("Party Name-",'R.M Billets Reports'!D2614)),TRIM(MID('R.M Billets Reports'!D2614,SEARCH("-",'R.M Billets Reports'!D2614)+1,200)),"")))="VRKP ISPAT PVT LTD","VRKP",IF(IF(IF(ISNUMBER(SEARCH("Party Name:-",'R.M Billets Reports'!D2613)),TRIM('R.M Billets Reports'!F2613),IF(ISNUMBER(SEARCH("Party Name-",'R.M Billets Reports'!D2613)),TRIM(MID('R.M Billets Reports'!D2613,SEARCH("-",'R.M Billets Reports'!D2613)+1,200)),""))&lt;&gt;"",IF(ISNUMBER(SEARCH("Party Name:-",'R.M Billets Reports'!D2613)),TRIM('R.M Billets Reports'!F2613),IF(ISNUMBER(SEARCH("Party Name-",'R.M Billets Reports'!D2613)),TRIM(MID('R.M Billets Reports'!D2613,SEARCH("-",'R.M Billets Reports'!D2613)+1,200)),"")),IF(ISNUMBER(SEARCH("Party Name:-",'R.M Billets Reports'!D2614)),TRIM('R.M Billets Reports'!F2614),IF(ISNUMBER(SEARCH("Party Name-",'R.M Billets Reports'!D2614)),TRIM(MID('R.M Billets Reports'!D2614,SEARCH("-",'R.M Billets Reports'!D2614)+1,200)),"")))="SHRI RADHE","SHREE RADHE",IF(IF(IF(ISNUMBER(SEARCH("Party Name:-",'R.M Billets Reports'!D2613)),TRIM('R.M Billets Reports'!F2613),IF(ISNUMBER(SEARCH("Party Name-",'R.M Billets Reports'!D2613)),TRIM(MID('R.M Billets Reports'!D2613,SEARCH("-",'R.M Billets Reports'!D2613)+1,200)),""))&lt;&gt;"",IF(ISNUMBER(SEARCH("Party Name:-",'R.M Billets Reports'!D2613)),TRIM('R.M Billets Reports'!F2613),IF(ISNUMBER(SEARCH("Party Name-",'R.M Billets Reports'!D2613)),TRIM(MID('R.M Billets Reports'!D2613,SEARCH("-",'R.M Billets Reports'!D2613)+1,200)),"")),IF(ISNUMBER(SEARCH("Party Name:-",'R.M Billets Reports'!D2614)),TRIM('R.M Billets Reports'!F2614),IF(ISNUMBER(SEARCH("Party Name-",'R.M Billets Reports'!D2614)),TRIM(MID('R.M Billets Reports'!D2614,SEARCH("-",'R.M Billets Reports'!D2614)+1,200)),"")))="SHREE RADHE SHAKTI SPONGE AND POWER PVT. LTD.","SHREE RADHE",IF(IF(ISNUMBER(SEARCH("Party Name:-",'R.M Billets Reports'!D2613)),TRIM('R.M Billets Reports'!F2613),IF(ISNUMBER(SEARCH("Party Name-",'R.M Billets Reports'!D2613)),TRIM(MID('R.M Billets Reports'!D2613,SEARCH("-",'R.M Billets Reports'!D2613)+1,200)),""))&lt;&gt;"",IF(ISNUMBER(SEARCH("Party Name:-",'R.M Billets Reports'!D2613)),TRIM('R.M Billets Reports'!F2613),IF(ISNUMBER(SEARCH("Party Name-",'R.M Billets Reports'!D2613)),TRIM(MID('R.M Billets Reports'!D2613,SEARCH("-",'R.M Billets Reports'!D2613)+1,200)),"")),IF(ISNUMBER(SEARCH("Party Name:-",'R.M Billets Reports'!D2614)),TRIM('R.M Billets Reports'!F2614),IF(ISNUMBER(SEARCH("Party Name-",'R.M Billets Reports'!D2614)),TRIM(MID('R.M Billets Reports'!D2614,SEARCH("-",'R.M Billets Reports'!D2614)+1,200)),"")))))),IF(ROW()=2,"",A2613))</f>
      </c>
      <c r="B2614">
        <f>IF(OR('R.M Billets Reports'!A2613="Date-",'R.M Billets Reports'!A2613="Date:-"),'R.M Billets Reports'!B2613,IF(ROW()=2,"",B2613))</f>
      </c>
      <c r="C2614">
        <f>IF('R.M Billets Reports'!A2613="V.No.",'R.M Billets Reports'!B2613,IF(ROW()=2,"",C2613))</f>
      </c>
      <c r="D2614">
        <f>IF('R.M Billets Reports'!A2613&lt;&gt;"",'R.M Billets Reports'!A2613,IF(ROW()=2,"",D2613))</f>
      </c>
      <c r="E2614">
        <f>IF('R.M Billets Reports'!B2613="","",TRIM('R.M Billets Reports'!B2613))</f>
      </c>
      <c r="F2614">
        <f>'R.M Billets Reports'!C2613</f>
      </c>
      <c r="G2614">
        <f>'R.M Billets Reports'!D2613</f>
      </c>
      <c r="H2614">
        <f>'R.M Billets Reports'!E2613</f>
      </c>
      <c r="I2614">
        <f>'R.M Billets Reports'!F2613</f>
      </c>
      <c r="J2614">
        <f>'R.M Billets Reports'!G2613</f>
      </c>
      <c r="K2614">
        <f>'R.M Billets Reports'!H2613</f>
      </c>
      <c r="L2614">
        <f>IF('R.M Billets Reports'!I2613="","",'R.M Billets Reports'!I2613)</f>
      </c>
      <c r="M2614">
        <f t="shared" si="80"/>
      </c>
      <c r="N2614">
        <f>IF('R.M Billets Reports'!J2613="","",'R.M Billets Reports'!J2613)</f>
      </c>
      <c r="O2614">
        <f t="shared" si="81"/>
      </c>
      <c r="P2614">
        <f>IF('R.M Billets Reports'!A2613="SIZE",'R.M Billets Reports'!B2613,P2613)</f>
      </c>
    </row>
    <row r="2615" spans="1:16" x14ac:dyDescent="0.25">
      <c r="A2615">
        <f>IF(OR('R.M Billets Reports'!A2614="Date-",'R.M Billets Reports'!A2614="Date:-"),IF(IF(IF(ISNUMBER(SEARCH("Party Name:-",'R.M Billets Reports'!D2614)),TRIM('R.M Billets Reports'!F2614),IF(ISNUMBER(SEARCH("Party Name-",'R.M Billets Reports'!D2614)),TRIM(MID('R.M Billets Reports'!D2614,SEARCH("-",'R.M Billets Reports'!D2614)+1,200)),""))&lt;&gt;"",IF(ISNUMBER(SEARCH("Party Name:-",'R.M Billets Reports'!D2614)),TRIM('R.M Billets Reports'!F2614),IF(ISNUMBER(SEARCH("Party Name-",'R.M Billets Reports'!D2614)),TRIM(MID('R.M Billets Reports'!D2614,SEARCH("-",'R.M Billets Reports'!D2614)+1,200)),"")),IF(ISNUMBER(SEARCH("Party Name:-",'R.M Billets Reports'!D2615)),TRIM('R.M Billets Reports'!F2615),IF(ISNUMBER(SEARCH("Party Name-",'R.M Billets Reports'!D2615)),TRIM(MID('R.M Billets Reports'!D2615,SEARCH("-",'R.M Billets Reports'!D2615)+1,200)),"")))="VRKP ISPAT PVT LTD","VRKP",IF(IF(IF(ISNUMBER(SEARCH("Party Name:-",'R.M Billets Reports'!D2614)),TRIM('R.M Billets Reports'!F2614),IF(ISNUMBER(SEARCH("Party Name-",'R.M Billets Reports'!D2614)),TRIM(MID('R.M Billets Reports'!D2614,SEARCH("-",'R.M Billets Reports'!D2614)+1,200)),""))&lt;&gt;"",IF(ISNUMBER(SEARCH("Party Name:-",'R.M Billets Reports'!D2614)),TRIM('R.M Billets Reports'!F2614),IF(ISNUMBER(SEARCH("Party Name-",'R.M Billets Reports'!D2614)),TRIM(MID('R.M Billets Reports'!D2614,SEARCH("-",'R.M Billets Reports'!D2614)+1,200)),"")),IF(ISNUMBER(SEARCH("Party Name:-",'R.M Billets Reports'!D2615)),TRIM('R.M Billets Reports'!F2615),IF(ISNUMBER(SEARCH("Party Name-",'R.M Billets Reports'!D2615)),TRIM(MID('R.M Billets Reports'!D2615,SEARCH("-",'R.M Billets Reports'!D2615)+1,200)),"")))="SHRI RADHE","SHREE RADHE",IF(IF(IF(ISNUMBER(SEARCH("Party Name:-",'R.M Billets Reports'!D2614)),TRIM('R.M Billets Reports'!F2614),IF(ISNUMBER(SEARCH("Party Name-",'R.M Billets Reports'!D2614)),TRIM(MID('R.M Billets Reports'!D2614,SEARCH("-",'R.M Billets Reports'!D2614)+1,200)),""))&lt;&gt;"",IF(ISNUMBER(SEARCH("Party Name:-",'R.M Billets Reports'!D2614)),TRIM('R.M Billets Reports'!F2614),IF(ISNUMBER(SEARCH("Party Name-",'R.M Billets Reports'!D2614)),TRIM(MID('R.M Billets Reports'!D2614,SEARCH("-",'R.M Billets Reports'!D2614)+1,200)),"")),IF(ISNUMBER(SEARCH("Party Name:-",'R.M Billets Reports'!D2615)),TRIM('R.M Billets Reports'!F2615),IF(ISNUMBER(SEARCH("Party Name-",'R.M Billets Reports'!D2615)),TRIM(MID('R.M Billets Reports'!D2615,SEARCH("-",'R.M Billets Reports'!D2615)+1,200)),"")))="SHREE RADHE SHAKTI SPONGE AND POWER PVT. LTD.","SHREE RADHE",IF(IF(ISNUMBER(SEARCH("Party Name:-",'R.M Billets Reports'!D2614)),TRIM('R.M Billets Reports'!F2614),IF(ISNUMBER(SEARCH("Party Name-",'R.M Billets Reports'!D2614)),TRIM(MID('R.M Billets Reports'!D2614,SEARCH("-",'R.M Billets Reports'!D2614)+1,200)),""))&lt;&gt;"",IF(ISNUMBER(SEARCH("Party Name:-",'R.M Billets Reports'!D2614)),TRIM('R.M Billets Reports'!F2614),IF(ISNUMBER(SEARCH("Party Name-",'R.M Billets Reports'!D2614)),TRIM(MID('R.M Billets Reports'!D2614,SEARCH("-",'R.M Billets Reports'!D2614)+1,200)),"")),IF(ISNUMBER(SEARCH("Party Name:-",'R.M Billets Reports'!D2615)),TRIM('R.M Billets Reports'!F2615),IF(ISNUMBER(SEARCH("Party Name-",'R.M Billets Reports'!D2615)),TRIM(MID('R.M Billets Reports'!D2615,SEARCH("-",'R.M Billets Reports'!D2615)+1,200)),"")))))),IF(ROW()=2,"",A2614))</f>
      </c>
      <c r="B2615">
        <f>IF(OR('R.M Billets Reports'!A2614="Date-",'R.M Billets Reports'!A2614="Date:-"),'R.M Billets Reports'!B2614,IF(ROW()=2,"",B2614))</f>
      </c>
      <c r="C2615">
        <f>IF('R.M Billets Reports'!A2614="V.No.",'R.M Billets Reports'!B2614,IF(ROW()=2,"",C2614))</f>
      </c>
      <c r="D2615">
        <f>IF('R.M Billets Reports'!A2614&lt;&gt;"",'R.M Billets Reports'!A2614,IF(ROW()=2,"",D2614))</f>
      </c>
      <c r="E2615">
        <f>IF('R.M Billets Reports'!B2614="","",TRIM('R.M Billets Reports'!B2614))</f>
      </c>
      <c r="F2615">
        <f>'R.M Billets Reports'!C2614</f>
      </c>
      <c r="G2615">
        <f>'R.M Billets Reports'!D2614</f>
      </c>
      <c r="H2615">
        <f>'R.M Billets Reports'!E2614</f>
      </c>
      <c r="I2615">
        <f>'R.M Billets Reports'!F2614</f>
      </c>
      <c r="J2615">
        <f>'R.M Billets Reports'!G2614</f>
      </c>
      <c r="K2615">
        <f>'R.M Billets Reports'!H2614</f>
      </c>
      <c r="L2615">
        <f>IF('R.M Billets Reports'!I2614="","",'R.M Billets Reports'!I2614)</f>
      </c>
      <c r="M2615">
        <f t="shared" si="80"/>
      </c>
      <c r="N2615">
        <f>IF('R.M Billets Reports'!J2614="","",'R.M Billets Reports'!J2614)</f>
      </c>
      <c r="O2615">
        <f t="shared" si="81"/>
      </c>
      <c r="P2615">
        <f>IF('R.M Billets Reports'!A2614="SIZE",'R.M Billets Reports'!B2614,P2614)</f>
      </c>
    </row>
    <row r="2616" spans="1:16" x14ac:dyDescent="0.25">
      <c r="A2616">
        <f>IF(OR('R.M Billets Reports'!A2615="Date-",'R.M Billets Reports'!A2615="Date:-"),IF(IF(IF(ISNUMBER(SEARCH("Party Name:-",'R.M Billets Reports'!D2615)),TRIM('R.M Billets Reports'!F2615),IF(ISNUMBER(SEARCH("Party Name-",'R.M Billets Reports'!D2615)),TRIM(MID('R.M Billets Reports'!D2615,SEARCH("-",'R.M Billets Reports'!D2615)+1,200)),""))&lt;&gt;"",IF(ISNUMBER(SEARCH("Party Name:-",'R.M Billets Reports'!D2615)),TRIM('R.M Billets Reports'!F2615),IF(ISNUMBER(SEARCH("Party Name-",'R.M Billets Reports'!D2615)),TRIM(MID('R.M Billets Reports'!D2615,SEARCH("-",'R.M Billets Reports'!D2615)+1,200)),"")),IF(ISNUMBER(SEARCH("Party Name:-",'R.M Billets Reports'!D2616)),TRIM('R.M Billets Reports'!F2616),IF(ISNUMBER(SEARCH("Party Name-",'R.M Billets Reports'!D2616)),TRIM(MID('R.M Billets Reports'!D2616,SEARCH("-",'R.M Billets Reports'!D2616)+1,200)),"")))="VRKP ISPAT PVT LTD","VRKP",IF(IF(IF(ISNUMBER(SEARCH("Party Name:-",'R.M Billets Reports'!D2615)),TRIM('R.M Billets Reports'!F2615),IF(ISNUMBER(SEARCH("Party Name-",'R.M Billets Reports'!D2615)),TRIM(MID('R.M Billets Reports'!D2615,SEARCH("-",'R.M Billets Reports'!D2615)+1,200)),""))&lt;&gt;"",IF(ISNUMBER(SEARCH("Party Name:-",'R.M Billets Reports'!D2615)),TRIM('R.M Billets Reports'!F2615),IF(ISNUMBER(SEARCH("Party Name-",'R.M Billets Reports'!D2615)),TRIM(MID('R.M Billets Reports'!D2615,SEARCH("-",'R.M Billets Reports'!D2615)+1,200)),"")),IF(ISNUMBER(SEARCH("Party Name:-",'R.M Billets Reports'!D2616)),TRIM('R.M Billets Reports'!F2616),IF(ISNUMBER(SEARCH("Party Name-",'R.M Billets Reports'!D2616)),TRIM(MID('R.M Billets Reports'!D2616,SEARCH("-",'R.M Billets Reports'!D2616)+1,200)),"")))="SHRI RADHE","SHREE RADHE",IF(IF(IF(ISNUMBER(SEARCH("Party Name:-",'R.M Billets Reports'!D2615)),TRIM('R.M Billets Reports'!F2615),IF(ISNUMBER(SEARCH("Party Name-",'R.M Billets Reports'!D2615)),TRIM(MID('R.M Billets Reports'!D2615,SEARCH("-",'R.M Billets Reports'!D2615)+1,200)),""))&lt;&gt;"",IF(ISNUMBER(SEARCH("Party Name:-",'R.M Billets Reports'!D2615)),TRIM('R.M Billets Reports'!F2615),IF(ISNUMBER(SEARCH("Party Name-",'R.M Billets Reports'!D2615)),TRIM(MID('R.M Billets Reports'!D2615,SEARCH("-",'R.M Billets Reports'!D2615)+1,200)),"")),IF(ISNUMBER(SEARCH("Party Name:-",'R.M Billets Reports'!D2616)),TRIM('R.M Billets Reports'!F2616),IF(ISNUMBER(SEARCH("Party Name-",'R.M Billets Reports'!D2616)),TRIM(MID('R.M Billets Reports'!D2616,SEARCH("-",'R.M Billets Reports'!D2616)+1,200)),"")))="SHREE RADHE SHAKTI SPONGE AND POWER PVT. LTD.","SHREE RADHE",IF(IF(ISNUMBER(SEARCH("Party Name:-",'R.M Billets Reports'!D2615)),TRIM('R.M Billets Reports'!F2615),IF(ISNUMBER(SEARCH("Party Name-",'R.M Billets Reports'!D2615)),TRIM(MID('R.M Billets Reports'!D2615,SEARCH("-",'R.M Billets Reports'!D2615)+1,200)),""))&lt;&gt;"",IF(ISNUMBER(SEARCH("Party Name:-",'R.M Billets Reports'!D2615)),TRIM('R.M Billets Reports'!F2615),IF(ISNUMBER(SEARCH("Party Name-",'R.M Billets Reports'!D2615)),TRIM(MID('R.M Billets Reports'!D2615,SEARCH("-",'R.M Billets Reports'!D2615)+1,200)),"")),IF(ISNUMBER(SEARCH("Party Name:-",'R.M Billets Reports'!D2616)),TRIM('R.M Billets Reports'!F2616),IF(ISNUMBER(SEARCH("Party Name-",'R.M Billets Reports'!D2616)),TRIM(MID('R.M Billets Reports'!D2616,SEARCH("-",'R.M Billets Reports'!D2616)+1,200)),"")))))),IF(ROW()=2,"",A2615))</f>
      </c>
      <c r="B2616">
        <f>IF(OR('R.M Billets Reports'!A2615="Date-",'R.M Billets Reports'!A2615="Date:-"),'R.M Billets Reports'!B2615,IF(ROW()=2,"",B2615))</f>
      </c>
      <c r="C2616">
        <f>IF('R.M Billets Reports'!A2615="V.No.",'R.M Billets Reports'!B2615,IF(ROW()=2,"",C2615))</f>
      </c>
      <c r="D2616">
        <f>IF('R.M Billets Reports'!A2615&lt;&gt;"",'R.M Billets Reports'!A2615,IF(ROW()=2,"",D2615))</f>
      </c>
      <c r="E2616">
        <f>IF('R.M Billets Reports'!B2615="","",TRIM('R.M Billets Reports'!B2615))</f>
      </c>
      <c r="F2616">
        <f>'R.M Billets Reports'!C2615</f>
      </c>
      <c r="G2616">
        <f>'R.M Billets Reports'!D2615</f>
      </c>
      <c r="H2616">
        <f>'R.M Billets Reports'!E2615</f>
      </c>
      <c r="I2616">
        <f>'R.M Billets Reports'!F2615</f>
      </c>
      <c r="J2616">
        <f>'R.M Billets Reports'!G2615</f>
      </c>
      <c r="K2616">
        <f>'R.M Billets Reports'!H2615</f>
      </c>
      <c r="L2616">
        <f>IF('R.M Billets Reports'!I2615="","",'R.M Billets Reports'!I2615)</f>
      </c>
      <c r="M2616">
        <f t="shared" si="80"/>
      </c>
      <c r="N2616">
        <f>IF('R.M Billets Reports'!J2615="","",'R.M Billets Reports'!J2615)</f>
      </c>
      <c r="O2616">
        <f t="shared" si="81"/>
      </c>
      <c r="P2616">
        <f>IF('R.M Billets Reports'!A2615="SIZE",'R.M Billets Reports'!B2615,P2615)</f>
      </c>
    </row>
    <row r="2617" spans="1:16" x14ac:dyDescent="0.25">
      <c r="A2617">
        <f>IF(OR('R.M Billets Reports'!A2616="Date-",'R.M Billets Reports'!A2616="Date:-"),IF(IF(IF(ISNUMBER(SEARCH("Party Name:-",'R.M Billets Reports'!D2616)),TRIM('R.M Billets Reports'!F2616),IF(ISNUMBER(SEARCH("Party Name-",'R.M Billets Reports'!D2616)),TRIM(MID('R.M Billets Reports'!D2616,SEARCH("-",'R.M Billets Reports'!D2616)+1,200)),""))&lt;&gt;"",IF(ISNUMBER(SEARCH("Party Name:-",'R.M Billets Reports'!D2616)),TRIM('R.M Billets Reports'!F2616),IF(ISNUMBER(SEARCH("Party Name-",'R.M Billets Reports'!D2616)),TRIM(MID('R.M Billets Reports'!D2616,SEARCH("-",'R.M Billets Reports'!D2616)+1,200)),"")),IF(ISNUMBER(SEARCH("Party Name:-",'R.M Billets Reports'!D2617)),TRIM('R.M Billets Reports'!F2617),IF(ISNUMBER(SEARCH("Party Name-",'R.M Billets Reports'!D2617)),TRIM(MID('R.M Billets Reports'!D2617,SEARCH("-",'R.M Billets Reports'!D2617)+1,200)),"")))="VRKP ISPAT PVT LTD","VRKP",IF(IF(IF(ISNUMBER(SEARCH("Party Name:-",'R.M Billets Reports'!D2616)),TRIM('R.M Billets Reports'!F2616),IF(ISNUMBER(SEARCH("Party Name-",'R.M Billets Reports'!D2616)),TRIM(MID('R.M Billets Reports'!D2616,SEARCH("-",'R.M Billets Reports'!D2616)+1,200)),""))&lt;&gt;"",IF(ISNUMBER(SEARCH("Party Name:-",'R.M Billets Reports'!D2616)),TRIM('R.M Billets Reports'!F2616),IF(ISNUMBER(SEARCH("Party Name-",'R.M Billets Reports'!D2616)),TRIM(MID('R.M Billets Reports'!D2616,SEARCH("-",'R.M Billets Reports'!D2616)+1,200)),"")),IF(ISNUMBER(SEARCH("Party Name:-",'R.M Billets Reports'!D2617)),TRIM('R.M Billets Reports'!F2617),IF(ISNUMBER(SEARCH("Party Name-",'R.M Billets Reports'!D2617)),TRIM(MID('R.M Billets Reports'!D2617,SEARCH("-",'R.M Billets Reports'!D2617)+1,200)),"")))="SHRI RADHE","SHREE RADHE",IF(IF(IF(ISNUMBER(SEARCH("Party Name:-",'R.M Billets Reports'!D2616)),TRIM('R.M Billets Reports'!F2616),IF(ISNUMBER(SEARCH("Party Name-",'R.M Billets Reports'!D2616)),TRIM(MID('R.M Billets Reports'!D2616,SEARCH("-",'R.M Billets Reports'!D2616)+1,200)),""))&lt;&gt;"",IF(ISNUMBER(SEARCH("Party Name:-",'R.M Billets Reports'!D2616)),TRIM('R.M Billets Reports'!F2616),IF(ISNUMBER(SEARCH("Party Name-",'R.M Billets Reports'!D2616)),TRIM(MID('R.M Billets Reports'!D2616,SEARCH("-",'R.M Billets Reports'!D2616)+1,200)),"")),IF(ISNUMBER(SEARCH("Party Name:-",'R.M Billets Reports'!D2617)),TRIM('R.M Billets Reports'!F2617),IF(ISNUMBER(SEARCH("Party Name-",'R.M Billets Reports'!D2617)),TRIM(MID('R.M Billets Reports'!D2617,SEARCH("-",'R.M Billets Reports'!D2617)+1,200)),"")))="SHREE RADHE SHAKTI SPONGE AND POWER PVT. LTD.","SHREE RADHE",IF(IF(ISNUMBER(SEARCH("Party Name:-",'R.M Billets Reports'!D2616)),TRIM('R.M Billets Reports'!F2616),IF(ISNUMBER(SEARCH("Party Name-",'R.M Billets Reports'!D2616)),TRIM(MID('R.M Billets Reports'!D2616,SEARCH("-",'R.M Billets Reports'!D2616)+1,200)),""))&lt;&gt;"",IF(ISNUMBER(SEARCH("Party Name:-",'R.M Billets Reports'!D2616)),TRIM('R.M Billets Reports'!F2616),IF(ISNUMBER(SEARCH("Party Name-",'R.M Billets Reports'!D2616)),TRIM(MID('R.M Billets Reports'!D2616,SEARCH("-",'R.M Billets Reports'!D2616)+1,200)),"")),IF(ISNUMBER(SEARCH("Party Name:-",'R.M Billets Reports'!D2617)),TRIM('R.M Billets Reports'!F2617),IF(ISNUMBER(SEARCH("Party Name-",'R.M Billets Reports'!D2617)),TRIM(MID('R.M Billets Reports'!D2617,SEARCH("-",'R.M Billets Reports'!D2617)+1,200)),"")))))),IF(ROW()=2,"",A2616))</f>
      </c>
      <c r="B2617">
        <f>IF(OR('R.M Billets Reports'!A2616="Date-",'R.M Billets Reports'!A2616="Date:-"),'R.M Billets Reports'!B2616,IF(ROW()=2,"",B2616))</f>
      </c>
      <c r="C2617">
        <f>IF('R.M Billets Reports'!A2616="V.No.",'R.M Billets Reports'!B2616,IF(ROW()=2,"",C2616))</f>
      </c>
      <c r="D2617">
        <f>IF('R.M Billets Reports'!A2616&lt;&gt;"",'R.M Billets Reports'!A2616,IF(ROW()=2,"",D2616))</f>
      </c>
      <c r="E2617">
        <f>IF('R.M Billets Reports'!B2616="","",TRIM('R.M Billets Reports'!B2616))</f>
      </c>
      <c r="F2617">
        <f>'R.M Billets Reports'!C2616</f>
      </c>
      <c r="G2617">
        <f>'R.M Billets Reports'!D2616</f>
      </c>
      <c r="H2617">
        <f>'R.M Billets Reports'!E2616</f>
      </c>
      <c r="I2617">
        <f>'R.M Billets Reports'!F2616</f>
      </c>
      <c r="J2617">
        <f>'R.M Billets Reports'!G2616</f>
      </c>
      <c r="K2617">
        <f>'R.M Billets Reports'!H2616</f>
      </c>
      <c r="L2617">
        <f>IF('R.M Billets Reports'!I2616="","",'R.M Billets Reports'!I2616)</f>
      </c>
      <c r="M2617">
        <f t="shared" si="80"/>
      </c>
      <c r="N2617">
        <f>IF('R.M Billets Reports'!J2616="","",'R.M Billets Reports'!J2616)</f>
      </c>
      <c r="O2617">
        <f t="shared" si="81"/>
      </c>
      <c r="P2617">
        <f>IF('R.M Billets Reports'!A2616="SIZE",'R.M Billets Reports'!B2616,P2616)</f>
      </c>
    </row>
    <row r="2618" spans="1:16" x14ac:dyDescent="0.25">
      <c r="A2618">
        <f>IF(OR('R.M Billets Reports'!A2617="Date-",'R.M Billets Reports'!A2617="Date:-"),IF(IF(IF(ISNUMBER(SEARCH("Party Name:-",'R.M Billets Reports'!D2617)),TRIM('R.M Billets Reports'!F2617),IF(ISNUMBER(SEARCH("Party Name-",'R.M Billets Reports'!D2617)),TRIM(MID('R.M Billets Reports'!D2617,SEARCH("-",'R.M Billets Reports'!D2617)+1,200)),""))&lt;&gt;"",IF(ISNUMBER(SEARCH("Party Name:-",'R.M Billets Reports'!D2617)),TRIM('R.M Billets Reports'!F2617),IF(ISNUMBER(SEARCH("Party Name-",'R.M Billets Reports'!D2617)),TRIM(MID('R.M Billets Reports'!D2617,SEARCH("-",'R.M Billets Reports'!D2617)+1,200)),"")),IF(ISNUMBER(SEARCH("Party Name:-",'R.M Billets Reports'!D2618)),TRIM('R.M Billets Reports'!F2618),IF(ISNUMBER(SEARCH("Party Name-",'R.M Billets Reports'!D2618)),TRIM(MID('R.M Billets Reports'!D2618,SEARCH("-",'R.M Billets Reports'!D2618)+1,200)),"")))="VRKP ISPAT PVT LTD","VRKP",IF(IF(IF(ISNUMBER(SEARCH("Party Name:-",'R.M Billets Reports'!D2617)),TRIM('R.M Billets Reports'!F2617),IF(ISNUMBER(SEARCH("Party Name-",'R.M Billets Reports'!D2617)),TRIM(MID('R.M Billets Reports'!D2617,SEARCH("-",'R.M Billets Reports'!D2617)+1,200)),""))&lt;&gt;"",IF(ISNUMBER(SEARCH("Party Name:-",'R.M Billets Reports'!D2617)),TRIM('R.M Billets Reports'!F2617),IF(ISNUMBER(SEARCH("Party Name-",'R.M Billets Reports'!D2617)),TRIM(MID('R.M Billets Reports'!D2617,SEARCH("-",'R.M Billets Reports'!D2617)+1,200)),"")),IF(ISNUMBER(SEARCH("Party Name:-",'R.M Billets Reports'!D2618)),TRIM('R.M Billets Reports'!F2618),IF(ISNUMBER(SEARCH("Party Name-",'R.M Billets Reports'!D2618)),TRIM(MID('R.M Billets Reports'!D2618,SEARCH("-",'R.M Billets Reports'!D2618)+1,200)),"")))="SHRI RADHE","SHREE RADHE",IF(IF(IF(ISNUMBER(SEARCH("Party Name:-",'R.M Billets Reports'!D2617)),TRIM('R.M Billets Reports'!F2617),IF(ISNUMBER(SEARCH("Party Name-",'R.M Billets Reports'!D2617)),TRIM(MID('R.M Billets Reports'!D2617,SEARCH("-",'R.M Billets Reports'!D2617)+1,200)),""))&lt;&gt;"",IF(ISNUMBER(SEARCH("Party Name:-",'R.M Billets Reports'!D2617)),TRIM('R.M Billets Reports'!F2617),IF(ISNUMBER(SEARCH("Party Name-",'R.M Billets Reports'!D2617)),TRIM(MID('R.M Billets Reports'!D2617,SEARCH("-",'R.M Billets Reports'!D2617)+1,200)),"")),IF(ISNUMBER(SEARCH("Party Name:-",'R.M Billets Reports'!D2618)),TRIM('R.M Billets Reports'!F2618),IF(ISNUMBER(SEARCH("Party Name-",'R.M Billets Reports'!D2618)),TRIM(MID('R.M Billets Reports'!D2618,SEARCH("-",'R.M Billets Reports'!D2618)+1,200)),"")))="SHREE RADHE SHAKTI SPONGE AND POWER PVT. LTD.","SHREE RADHE",IF(IF(ISNUMBER(SEARCH("Party Name:-",'R.M Billets Reports'!D2617)),TRIM('R.M Billets Reports'!F2617),IF(ISNUMBER(SEARCH("Party Name-",'R.M Billets Reports'!D2617)),TRIM(MID('R.M Billets Reports'!D2617,SEARCH("-",'R.M Billets Reports'!D2617)+1,200)),""))&lt;&gt;"",IF(ISNUMBER(SEARCH("Party Name:-",'R.M Billets Reports'!D2617)),TRIM('R.M Billets Reports'!F2617),IF(ISNUMBER(SEARCH("Party Name-",'R.M Billets Reports'!D2617)),TRIM(MID('R.M Billets Reports'!D2617,SEARCH("-",'R.M Billets Reports'!D2617)+1,200)),"")),IF(ISNUMBER(SEARCH("Party Name:-",'R.M Billets Reports'!D2618)),TRIM('R.M Billets Reports'!F2618),IF(ISNUMBER(SEARCH("Party Name-",'R.M Billets Reports'!D2618)),TRIM(MID('R.M Billets Reports'!D2618,SEARCH("-",'R.M Billets Reports'!D2618)+1,200)),"")))))),IF(ROW()=2,"",A2617))</f>
      </c>
      <c r="B2618">
        <f>IF(OR('R.M Billets Reports'!A2617="Date-",'R.M Billets Reports'!A2617="Date:-"),'R.M Billets Reports'!B2617,IF(ROW()=2,"",B2617))</f>
      </c>
      <c r="C2618">
        <f>IF('R.M Billets Reports'!A2617="V.No.",'R.M Billets Reports'!B2617,IF(ROW()=2,"",C2617))</f>
      </c>
      <c r="D2618">
        <f>IF('R.M Billets Reports'!A2617&lt;&gt;"",'R.M Billets Reports'!A2617,IF(ROW()=2,"",D2617))</f>
      </c>
      <c r="E2618">
        <f>IF('R.M Billets Reports'!B2617="","",TRIM('R.M Billets Reports'!B2617))</f>
      </c>
      <c r="F2618">
        <f>'R.M Billets Reports'!C2617</f>
      </c>
      <c r="G2618">
        <f>'R.M Billets Reports'!D2617</f>
      </c>
      <c r="H2618">
        <f>'R.M Billets Reports'!E2617</f>
      </c>
      <c r="I2618">
        <f>'R.M Billets Reports'!F2617</f>
      </c>
      <c r="J2618">
        <f>'R.M Billets Reports'!G2617</f>
      </c>
      <c r="K2618">
        <f>'R.M Billets Reports'!H2617</f>
      </c>
      <c r="L2618">
        <f>IF('R.M Billets Reports'!I2617="","",'R.M Billets Reports'!I2617)</f>
      </c>
      <c r="M2618">
        <f t="shared" si="80"/>
      </c>
      <c r="N2618">
        <f>IF('R.M Billets Reports'!J2617="","",'R.M Billets Reports'!J2617)</f>
      </c>
      <c r="O2618">
        <f t="shared" si="81"/>
      </c>
      <c r="P2618">
        <f>IF('R.M Billets Reports'!A2617="SIZE",'R.M Billets Reports'!B2617,P2617)</f>
      </c>
    </row>
    <row r="2619" spans="1:16" x14ac:dyDescent="0.25">
      <c r="A2619">
        <f>IF(OR('R.M Billets Reports'!A2618="Date-",'R.M Billets Reports'!A2618="Date:-"),IF(IF(IF(ISNUMBER(SEARCH("Party Name:-",'R.M Billets Reports'!D2618)),TRIM('R.M Billets Reports'!F2618),IF(ISNUMBER(SEARCH("Party Name-",'R.M Billets Reports'!D2618)),TRIM(MID('R.M Billets Reports'!D2618,SEARCH("-",'R.M Billets Reports'!D2618)+1,200)),""))&lt;&gt;"",IF(ISNUMBER(SEARCH("Party Name:-",'R.M Billets Reports'!D2618)),TRIM('R.M Billets Reports'!F2618),IF(ISNUMBER(SEARCH("Party Name-",'R.M Billets Reports'!D2618)),TRIM(MID('R.M Billets Reports'!D2618,SEARCH("-",'R.M Billets Reports'!D2618)+1,200)),"")),IF(ISNUMBER(SEARCH("Party Name:-",'R.M Billets Reports'!D2619)),TRIM('R.M Billets Reports'!F2619),IF(ISNUMBER(SEARCH("Party Name-",'R.M Billets Reports'!D2619)),TRIM(MID('R.M Billets Reports'!D2619,SEARCH("-",'R.M Billets Reports'!D2619)+1,200)),"")))="VRKP ISPAT PVT LTD","VRKP",IF(IF(IF(ISNUMBER(SEARCH("Party Name:-",'R.M Billets Reports'!D2618)),TRIM('R.M Billets Reports'!F2618),IF(ISNUMBER(SEARCH("Party Name-",'R.M Billets Reports'!D2618)),TRIM(MID('R.M Billets Reports'!D2618,SEARCH("-",'R.M Billets Reports'!D2618)+1,200)),""))&lt;&gt;"",IF(ISNUMBER(SEARCH("Party Name:-",'R.M Billets Reports'!D2618)),TRIM('R.M Billets Reports'!F2618),IF(ISNUMBER(SEARCH("Party Name-",'R.M Billets Reports'!D2618)),TRIM(MID('R.M Billets Reports'!D2618,SEARCH("-",'R.M Billets Reports'!D2618)+1,200)),"")),IF(ISNUMBER(SEARCH("Party Name:-",'R.M Billets Reports'!D2619)),TRIM('R.M Billets Reports'!F2619),IF(ISNUMBER(SEARCH("Party Name-",'R.M Billets Reports'!D2619)),TRIM(MID('R.M Billets Reports'!D2619,SEARCH("-",'R.M Billets Reports'!D2619)+1,200)),"")))="SHRI RADHE","SHREE RADHE",IF(IF(IF(ISNUMBER(SEARCH("Party Name:-",'R.M Billets Reports'!D2618)),TRIM('R.M Billets Reports'!F2618),IF(ISNUMBER(SEARCH("Party Name-",'R.M Billets Reports'!D2618)),TRIM(MID('R.M Billets Reports'!D2618,SEARCH("-",'R.M Billets Reports'!D2618)+1,200)),""))&lt;&gt;"",IF(ISNUMBER(SEARCH("Party Name:-",'R.M Billets Reports'!D2618)),TRIM('R.M Billets Reports'!F2618),IF(ISNUMBER(SEARCH("Party Name-",'R.M Billets Reports'!D2618)),TRIM(MID('R.M Billets Reports'!D2618,SEARCH("-",'R.M Billets Reports'!D2618)+1,200)),"")),IF(ISNUMBER(SEARCH("Party Name:-",'R.M Billets Reports'!D2619)),TRIM('R.M Billets Reports'!F2619),IF(ISNUMBER(SEARCH("Party Name-",'R.M Billets Reports'!D2619)),TRIM(MID('R.M Billets Reports'!D2619,SEARCH("-",'R.M Billets Reports'!D2619)+1,200)),"")))="SHREE RADHE SHAKTI SPONGE AND POWER PVT. LTD.","SHREE RADHE",IF(IF(ISNUMBER(SEARCH("Party Name:-",'R.M Billets Reports'!D2618)),TRIM('R.M Billets Reports'!F2618),IF(ISNUMBER(SEARCH("Party Name-",'R.M Billets Reports'!D2618)),TRIM(MID('R.M Billets Reports'!D2618,SEARCH("-",'R.M Billets Reports'!D2618)+1,200)),""))&lt;&gt;"",IF(ISNUMBER(SEARCH("Party Name:-",'R.M Billets Reports'!D2618)),TRIM('R.M Billets Reports'!F2618),IF(ISNUMBER(SEARCH("Party Name-",'R.M Billets Reports'!D2618)),TRIM(MID('R.M Billets Reports'!D2618,SEARCH("-",'R.M Billets Reports'!D2618)+1,200)),"")),IF(ISNUMBER(SEARCH("Party Name:-",'R.M Billets Reports'!D2619)),TRIM('R.M Billets Reports'!F2619),IF(ISNUMBER(SEARCH("Party Name-",'R.M Billets Reports'!D2619)),TRIM(MID('R.M Billets Reports'!D2619,SEARCH("-",'R.M Billets Reports'!D2619)+1,200)),"")))))),IF(ROW()=2,"",A2618))</f>
      </c>
      <c r="B2619">
        <f>IF(OR('R.M Billets Reports'!A2618="Date-",'R.M Billets Reports'!A2618="Date:-"),'R.M Billets Reports'!B2618,IF(ROW()=2,"",B2618))</f>
      </c>
      <c r="C2619">
        <f>IF('R.M Billets Reports'!A2618="V.No.",'R.M Billets Reports'!B2618,IF(ROW()=2,"",C2618))</f>
      </c>
      <c r="D2619">
        <f>IF('R.M Billets Reports'!A2618&lt;&gt;"",'R.M Billets Reports'!A2618,IF(ROW()=2,"",D2618))</f>
      </c>
      <c r="E2619">
        <f>IF('R.M Billets Reports'!B2618="","",TRIM('R.M Billets Reports'!B2618))</f>
      </c>
      <c r="F2619">
        <f>'R.M Billets Reports'!C2618</f>
      </c>
      <c r="G2619">
        <f>'R.M Billets Reports'!D2618</f>
      </c>
      <c r="H2619">
        <f>'R.M Billets Reports'!E2618</f>
      </c>
      <c r="I2619">
        <f>'R.M Billets Reports'!F2618</f>
      </c>
      <c r="J2619">
        <f>'R.M Billets Reports'!G2618</f>
      </c>
      <c r="K2619">
        <f>'R.M Billets Reports'!H2618</f>
      </c>
      <c r="L2619">
        <f>IF('R.M Billets Reports'!I2618="","",'R.M Billets Reports'!I2618)</f>
      </c>
      <c r="M2619">
        <f t="shared" si="80"/>
      </c>
      <c r="N2619">
        <f>IF('R.M Billets Reports'!J2618="","",'R.M Billets Reports'!J2618)</f>
      </c>
      <c r="O2619">
        <f t="shared" si="81"/>
      </c>
      <c r="P2619">
        <f>IF('R.M Billets Reports'!A2618="SIZE",'R.M Billets Reports'!B2618,P2618)</f>
      </c>
    </row>
    <row r="2620" spans="1:16" x14ac:dyDescent="0.25">
      <c r="A2620">
        <f>IF(OR('R.M Billets Reports'!A2619="Date-",'R.M Billets Reports'!A2619="Date:-"),IF(IF(IF(ISNUMBER(SEARCH("Party Name:-",'R.M Billets Reports'!D2619)),TRIM('R.M Billets Reports'!F2619),IF(ISNUMBER(SEARCH("Party Name-",'R.M Billets Reports'!D2619)),TRIM(MID('R.M Billets Reports'!D2619,SEARCH("-",'R.M Billets Reports'!D2619)+1,200)),""))&lt;&gt;"",IF(ISNUMBER(SEARCH("Party Name:-",'R.M Billets Reports'!D2619)),TRIM('R.M Billets Reports'!F2619),IF(ISNUMBER(SEARCH("Party Name-",'R.M Billets Reports'!D2619)),TRIM(MID('R.M Billets Reports'!D2619,SEARCH("-",'R.M Billets Reports'!D2619)+1,200)),"")),IF(ISNUMBER(SEARCH("Party Name:-",'R.M Billets Reports'!D2620)),TRIM('R.M Billets Reports'!F2620),IF(ISNUMBER(SEARCH("Party Name-",'R.M Billets Reports'!D2620)),TRIM(MID('R.M Billets Reports'!D2620,SEARCH("-",'R.M Billets Reports'!D2620)+1,200)),"")))="VRKP ISPAT PVT LTD","VRKP",IF(IF(IF(ISNUMBER(SEARCH("Party Name:-",'R.M Billets Reports'!D2619)),TRIM('R.M Billets Reports'!F2619),IF(ISNUMBER(SEARCH("Party Name-",'R.M Billets Reports'!D2619)),TRIM(MID('R.M Billets Reports'!D2619,SEARCH("-",'R.M Billets Reports'!D2619)+1,200)),""))&lt;&gt;"",IF(ISNUMBER(SEARCH("Party Name:-",'R.M Billets Reports'!D2619)),TRIM('R.M Billets Reports'!F2619),IF(ISNUMBER(SEARCH("Party Name-",'R.M Billets Reports'!D2619)),TRIM(MID('R.M Billets Reports'!D2619,SEARCH("-",'R.M Billets Reports'!D2619)+1,200)),"")),IF(ISNUMBER(SEARCH("Party Name:-",'R.M Billets Reports'!D2620)),TRIM('R.M Billets Reports'!F2620),IF(ISNUMBER(SEARCH("Party Name-",'R.M Billets Reports'!D2620)),TRIM(MID('R.M Billets Reports'!D2620,SEARCH("-",'R.M Billets Reports'!D2620)+1,200)),"")))="SHRI RADHE","SHREE RADHE",IF(IF(IF(ISNUMBER(SEARCH("Party Name:-",'R.M Billets Reports'!D2619)),TRIM('R.M Billets Reports'!F2619),IF(ISNUMBER(SEARCH("Party Name-",'R.M Billets Reports'!D2619)),TRIM(MID('R.M Billets Reports'!D2619,SEARCH("-",'R.M Billets Reports'!D2619)+1,200)),""))&lt;&gt;"",IF(ISNUMBER(SEARCH("Party Name:-",'R.M Billets Reports'!D2619)),TRIM('R.M Billets Reports'!F2619),IF(ISNUMBER(SEARCH("Party Name-",'R.M Billets Reports'!D2619)),TRIM(MID('R.M Billets Reports'!D2619,SEARCH("-",'R.M Billets Reports'!D2619)+1,200)),"")),IF(ISNUMBER(SEARCH("Party Name:-",'R.M Billets Reports'!D2620)),TRIM('R.M Billets Reports'!F2620),IF(ISNUMBER(SEARCH("Party Name-",'R.M Billets Reports'!D2620)),TRIM(MID('R.M Billets Reports'!D2620,SEARCH("-",'R.M Billets Reports'!D2620)+1,200)),"")))="SHREE RADHE SHAKTI SPONGE AND POWER PVT. LTD.","SHREE RADHE",IF(IF(ISNUMBER(SEARCH("Party Name:-",'R.M Billets Reports'!D2619)),TRIM('R.M Billets Reports'!F2619),IF(ISNUMBER(SEARCH("Party Name-",'R.M Billets Reports'!D2619)),TRIM(MID('R.M Billets Reports'!D2619,SEARCH("-",'R.M Billets Reports'!D2619)+1,200)),""))&lt;&gt;"",IF(ISNUMBER(SEARCH("Party Name:-",'R.M Billets Reports'!D2619)),TRIM('R.M Billets Reports'!F2619),IF(ISNUMBER(SEARCH("Party Name-",'R.M Billets Reports'!D2619)),TRIM(MID('R.M Billets Reports'!D2619,SEARCH("-",'R.M Billets Reports'!D2619)+1,200)),"")),IF(ISNUMBER(SEARCH("Party Name:-",'R.M Billets Reports'!D2620)),TRIM('R.M Billets Reports'!F2620),IF(ISNUMBER(SEARCH("Party Name-",'R.M Billets Reports'!D2620)),TRIM(MID('R.M Billets Reports'!D2620,SEARCH("-",'R.M Billets Reports'!D2620)+1,200)),"")))))),IF(ROW()=2,"",A2619))</f>
      </c>
      <c r="B2620">
        <f>IF(OR('R.M Billets Reports'!A2619="Date-",'R.M Billets Reports'!A2619="Date:-"),'R.M Billets Reports'!B2619,IF(ROW()=2,"",B2619))</f>
      </c>
      <c r="C2620">
        <f>IF('R.M Billets Reports'!A2619="V.No.",'R.M Billets Reports'!B2619,IF(ROW()=2,"",C2619))</f>
      </c>
      <c r="D2620">
        <f>IF('R.M Billets Reports'!A2619&lt;&gt;"",'R.M Billets Reports'!A2619,IF(ROW()=2,"",D2619))</f>
      </c>
      <c r="E2620">
        <f>IF('R.M Billets Reports'!B2619="","",TRIM('R.M Billets Reports'!B2619))</f>
      </c>
      <c r="F2620">
        <f>'R.M Billets Reports'!C2619</f>
      </c>
      <c r="G2620">
        <f>'R.M Billets Reports'!D2619</f>
      </c>
      <c r="H2620">
        <f>'R.M Billets Reports'!E2619</f>
      </c>
      <c r="I2620">
        <f>'R.M Billets Reports'!F2619</f>
      </c>
      <c r="J2620">
        <f>'R.M Billets Reports'!G2619</f>
      </c>
      <c r="K2620">
        <f>'R.M Billets Reports'!H2619</f>
      </c>
      <c r="L2620">
        <f>IF('R.M Billets Reports'!I2619="","",'R.M Billets Reports'!I2619)</f>
      </c>
      <c r="M2620">
        <f t="shared" si="80"/>
      </c>
      <c r="N2620">
        <f>IF('R.M Billets Reports'!J2619="","",'R.M Billets Reports'!J2619)</f>
      </c>
      <c r="O2620">
        <f t="shared" si="81"/>
      </c>
      <c r="P2620">
        <f>IF('R.M Billets Reports'!A2619="SIZE",'R.M Billets Reports'!B2619,P2619)</f>
      </c>
    </row>
    <row r="2621" spans="1:16" x14ac:dyDescent="0.25">
      <c r="A2621">
        <f>IF(OR('R.M Billets Reports'!A2620="Date-",'R.M Billets Reports'!A2620="Date:-"),IF(IF(IF(ISNUMBER(SEARCH("Party Name:-",'R.M Billets Reports'!D2620)),TRIM('R.M Billets Reports'!F2620),IF(ISNUMBER(SEARCH("Party Name-",'R.M Billets Reports'!D2620)),TRIM(MID('R.M Billets Reports'!D2620,SEARCH("-",'R.M Billets Reports'!D2620)+1,200)),""))&lt;&gt;"",IF(ISNUMBER(SEARCH("Party Name:-",'R.M Billets Reports'!D2620)),TRIM('R.M Billets Reports'!F2620),IF(ISNUMBER(SEARCH("Party Name-",'R.M Billets Reports'!D2620)),TRIM(MID('R.M Billets Reports'!D2620,SEARCH("-",'R.M Billets Reports'!D2620)+1,200)),"")),IF(ISNUMBER(SEARCH("Party Name:-",'R.M Billets Reports'!D2621)),TRIM('R.M Billets Reports'!F2621),IF(ISNUMBER(SEARCH("Party Name-",'R.M Billets Reports'!D2621)),TRIM(MID('R.M Billets Reports'!D2621,SEARCH("-",'R.M Billets Reports'!D2621)+1,200)),"")))="VRKP ISPAT PVT LTD","VRKP",IF(IF(IF(ISNUMBER(SEARCH("Party Name:-",'R.M Billets Reports'!D2620)),TRIM('R.M Billets Reports'!F2620),IF(ISNUMBER(SEARCH("Party Name-",'R.M Billets Reports'!D2620)),TRIM(MID('R.M Billets Reports'!D2620,SEARCH("-",'R.M Billets Reports'!D2620)+1,200)),""))&lt;&gt;"",IF(ISNUMBER(SEARCH("Party Name:-",'R.M Billets Reports'!D2620)),TRIM('R.M Billets Reports'!F2620),IF(ISNUMBER(SEARCH("Party Name-",'R.M Billets Reports'!D2620)),TRIM(MID('R.M Billets Reports'!D2620,SEARCH("-",'R.M Billets Reports'!D2620)+1,200)),"")),IF(ISNUMBER(SEARCH("Party Name:-",'R.M Billets Reports'!D2621)),TRIM('R.M Billets Reports'!F2621),IF(ISNUMBER(SEARCH("Party Name-",'R.M Billets Reports'!D2621)),TRIM(MID('R.M Billets Reports'!D2621,SEARCH("-",'R.M Billets Reports'!D2621)+1,200)),"")))="SHRI RADHE","SHREE RADHE",IF(IF(IF(ISNUMBER(SEARCH("Party Name:-",'R.M Billets Reports'!D2620)),TRIM('R.M Billets Reports'!F2620),IF(ISNUMBER(SEARCH("Party Name-",'R.M Billets Reports'!D2620)),TRIM(MID('R.M Billets Reports'!D2620,SEARCH("-",'R.M Billets Reports'!D2620)+1,200)),""))&lt;&gt;"",IF(ISNUMBER(SEARCH("Party Name:-",'R.M Billets Reports'!D2620)),TRIM('R.M Billets Reports'!F2620),IF(ISNUMBER(SEARCH("Party Name-",'R.M Billets Reports'!D2620)),TRIM(MID('R.M Billets Reports'!D2620,SEARCH("-",'R.M Billets Reports'!D2620)+1,200)),"")),IF(ISNUMBER(SEARCH("Party Name:-",'R.M Billets Reports'!D2621)),TRIM('R.M Billets Reports'!F2621),IF(ISNUMBER(SEARCH("Party Name-",'R.M Billets Reports'!D2621)),TRIM(MID('R.M Billets Reports'!D2621,SEARCH("-",'R.M Billets Reports'!D2621)+1,200)),"")))="SHREE RADHE SHAKTI SPONGE AND POWER PVT. LTD.","SHREE RADHE",IF(IF(ISNUMBER(SEARCH("Party Name:-",'R.M Billets Reports'!D2620)),TRIM('R.M Billets Reports'!F2620),IF(ISNUMBER(SEARCH("Party Name-",'R.M Billets Reports'!D2620)),TRIM(MID('R.M Billets Reports'!D2620,SEARCH("-",'R.M Billets Reports'!D2620)+1,200)),""))&lt;&gt;"",IF(ISNUMBER(SEARCH("Party Name:-",'R.M Billets Reports'!D2620)),TRIM('R.M Billets Reports'!F2620),IF(ISNUMBER(SEARCH("Party Name-",'R.M Billets Reports'!D2620)),TRIM(MID('R.M Billets Reports'!D2620,SEARCH("-",'R.M Billets Reports'!D2620)+1,200)),"")),IF(ISNUMBER(SEARCH("Party Name:-",'R.M Billets Reports'!D2621)),TRIM('R.M Billets Reports'!F2621),IF(ISNUMBER(SEARCH("Party Name-",'R.M Billets Reports'!D2621)),TRIM(MID('R.M Billets Reports'!D2621,SEARCH("-",'R.M Billets Reports'!D2621)+1,200)),"")))))),IF(ROW()=2,"",A2620))</f>
      </c>
      <c r="B2621">
        <f>IF(OR('R.M Billets Reports'!A2620="Date-",'R.M Billets Reports'!A2620="Date:-"),'R.M Billets Reports'!B2620,IF(ROW()=2,"",B2620))</f>
      </c>
      <c r="C2621">
        <f>IF('R.M Billets Reports'!A2620="V.No.",'R.M Billets Reports'!B2620,IF(ROW()=2,"",C2620))</f>
      </c>
      <c r="D2621">
        <f>IF('R.M Billets Reports'!A2620&lt;&gt;"",'R.M Billets Reports'!A2620,IF(ROW()=2,"",D2620))</f>
      </c>
      <c r="E2621">
        <f>IF('R.M Billets Reports'!B2620="","",TRIM('R.M Billets Reports'!B2620))</f>
      </c>
      <c r="F2621">
        <f>'R.M Billets Reports'!C2620</f>
      </c>
      <c r="G2621">
        <f>'R.M Billets Reports'!D2620</f>
      </c>
      <c r="H2621">
        <f>'R.M Billets Reports'!E2620</f>
      </c>
      <c r="I2621">
        <f>'R.M Billets Reports'!F2620</f>
      </c>
      <c r="J2621">
        <f>'R.M Billets Reports'!G2620</f>
      </c>
      <c r="K2621">
        <f>'R.M Billets Reports'!H2620</f>
      </c>
      <c r="L2621">
        <f>IF('R.M Billets Reports'!I2620="","",'R.M Billets Reports'!I2620)</f>
      </c>
      <c r="M2621">
        <f t="shared" si="80"/>
      </c>
      <c r="N2621">
        <f>IF('R.M Billets Reports'!J2620="","",'R.M Billets Reports'!J2620)</f>
      </c>
      <c r="O2621">
        <f t="shared" si="81"/>
      </c>
      <c r="P2621">
        <f>IF('R.M Billets Reports'!A2620="SIZE",'R.M Billets Reports'!B2620,P2620)</f>
      </c>
    </row>
    <row r="2622" spans="1:16" x14ac:dyDescent="0.25">
      <c r="A2622">
        <f>IF(OR('R.M Billets Reports'!A2621="Date-",'R.M Billets Reports'!A2621="Date:-"),IF(IF(IF(ISNUMBER(SEARCH("Party Name:-",'R.M Billets Reports'!D2621)),TRIM('R.M Billets Reports'!F2621),IF(ISNUMBER(SEARCH("Party Name-",'R.M Billets Reports'!D2621)),TRIM(MID('R.M Billets Reports'!D2621,SEARCH("-",'R.M Billets Reports'!D2621)+1,200)),""))&lt;&gt;"",IF(ISNUMBER(SEARCH("Party Name:-",'R.M Billets Reports'!D2621)),TRIM('R.M Billets Reports'!F2621),IF(ISNUMBER(SEARCH("Party Name-",'R.M Billets Reports'!D2621)),TRIM(MID('R.M Billets Reports'!D2621,SEARCH("-",'R.M Billets Reports'!D2621)+1,200)),"")),IF(ISNUMBER(SEARCH("Party Name:-",'R.M Billets Reports'!D2622)),TRIM('R.M Billets Reports'!F2622),IF(ISNUMBER(SEARCH("Party Name-",'R.M Billets Reports'!D2622)),TRIM(MID('R.M Billets Reports'!D2622,SEARCH("-",'R.M Billets Reports'!D2622)+1,200)),"")))="VRKP ISPAT PVT LTD","VRKP",IF(IF(IF(ISNUMBER(SEARCH("Party Name:-",'R.M Billets Reports'!D2621)),TRIM('R.M Billets Reports'!F2621),IF(ISNUMBER(SEARCH("Party Name-",'R.M Billets Reports'!D2621)),TRIM(MID('R.M Billets Reports'!D2621,SEARCH("-",'R.M Billets Reports'!D2621)+1,200)),""))&lt;&gt;"",IF(ISNUMBER(SEARCH("Party Name:-",'R.M Billets Reports'!D2621)),TRIM('R.M Billets Reports'!F2621),IF(ISNUMBER(SEARCH("Party Name-",'R.M Billets Reports'!D2621)),TRIM(MID('R.M Billets Reports'!D2621,SEARCH("-",'R.M Billets Reports'!D2621)+1,200)),"")),IF(ISNUMBER(SEARCH("Party Name:-",'R.M Billets Reports'!D2622)),TRIM('R.M Billets Reports'!F2622),IF(ISNUMBER(SEARCH("Party Name-",'R.M Billets Reports'!D2622)),TRIM(MID('R.M Billets Reports'!D2622,SEARCH("-",'R.M Billets Reports'!D2622)+1,200)),"")))="SHRI RADHE","SHREE RADHE",IF(IF(IF(ISNUMBER(SEARCH("Party Name:-",'R.M Billets Reports'!D2621)),TRIM('R.M Billets Reports'!F2621),IF(ISNUMBER(SEARCH("Party Name-",'R.M Billets Reports'!D2621)),TRIM(MID('R.M Billets Reports'!D2621,SEARCH("-",'R.M Billets Reports'!D2621)+1,200)),""))&lt;&gt;"",IF(ISNUMBER(SEARCH("Party Name:-",'R.M Billets Reports'!D2621)),TRIM('R.M Billets Reports'!F2621),IF(ISNUMBER(SEARCH("Party Name-",'R.M Billets Reports'!D2621)),TRIM(MID('R.M Billets Reports'!D2621,SEARCH("-",'R.M Billets Reports'!D2621)+1,200)),"")),IF(ISNUMBER(SEARCH("Party Name:-",'R.M Billets Reports'!D2622)),TRIM('R.M Billets Reports'!F2622),IF(ISNUMBER(SEARCH("Party Name-",'R.M Billets Reports'!D2622)),TRIM(MID('R.M Billets Reports'!D2622,SEARCH("-",'R.M Billets Reports'!D2622)+1,200)),"")))="SHREE RADHE SHAKTI SPONGE AND POWER PVT. LTD.","SHREE RADHE",IF(IF(ISNUMBER(SEARCH("Party Name:-",'R.M Billets Reports'!D2621)),TRIM('R.M Billets Reports'!F2621),IF(ISNUMBER(SEARCH("Party Name-",'R.M Billets Reports'!D2621)),TRIM(MID('R.M Billets Reports'!D2621,SEARCH("-",'R.M Billets Reports'!D2621)+1,200)),""))&lt;&gt;"",IF(ISNUMBER(SEARCH("Party Name:-",'R.M Billets Reports'!D2621)),TRIM('R.M Billets Reports'!F2621),IF(ISNUMBER(SEARCH("Party Name-",'R.M Billets Reports'!D2621)),TRIM(MID('R.M Billets Reports'!D2621,SEARCH("-",'R.M Billets Reports'!D2621)+1,200)),"")),IF(ISNUMBER(SEARCH("Party Name:-",'R.M Billets Reports'!D2622)),TRIM('R.M Billets Reports'!F2622),IF(ISNUMBER(SEARCH("Party Name-",'R.M Billets Reports'!D2622)),TRIM(MID('R.M Billets Reports'!D2622,SEARCH("-",'R.M Billets Reports'!D2622)+1,200)),"")))))),IF(ROW()=2,"",A2621))</f>
      </c>
      <c r="B2622">
        <f>IF(OR('R.M Billets Reports'!A2621="Date-",'R.M Billets Reports'!A2621="Date:-"),'R.M Billets Reports'!B2621,IF(ROW()=2,"",B2621))</f>
      </c>
      <c r="C2622">
        <f>IF('R.M Billets Reports'!A2621="V.No.",'R.M Billets Reports'!B2621,IF(ROW()=2,"",C2621))</f>
      </c>
      <c r="D2622">
        <f>IF('R.M Billets Reports'!A2621&lt;&gt;"",'R.M Billets Reports'!A2621,IF(ROW()=2,"",D2621))</f>
      </c>
      <c r="E2622">
        <f>IF('R.M Billets Reports'!B2621="","",TRIM('R.M Billets Reports'!B2621))</f>
      </c>
      <c r="F2622">
        <f>'R.M Billets Reports'!C2621</f>
      </c>
      <c r="G2622">
        <f>'R.M Billets Reports'!D2621</f>
      </c>
      <c r="H2622">
        <f>'R.M Billets Reports'!E2621</f>
      </c>
      <c r="I2622">
        <f>'R.M Billets Reports'!F2621</f>
      </c>
      <c r="J2622">
        <f>'R.M Billets Reports'!G2621</f>
      </c>
      <c r="K2622">
        <f>'R.M Billets Reports'!H2621</f>
      </c>
      <c r="L2622">
        <f>IF('R.M Billets Reports'!I2621="","",'R.M Billets Reports'!I2621)</f>
      </c>
      <c r="M2622">
        <f t="shared" si="80"/>
      </c>
      <c r="N2622">
        <f>IF('R.M Billets Reports'!J2621="","",'R.M Billets Reports'!J2621)</f>
      </c>
      <c r="O2622">
        <f t="shared" si="81"/>
      </c>
      <c r="P2622">
        <f>IF('R.M Billets Reports'!A2621="SIZE",'R.M Billets Reports'!B2621,P2621)</f>
      </c>
    </row>
    <row r="2623" spans="1:16" x14ac:dyDescent="0.25">
      <c r="A2623">
        <f>IF(OR('R.M Billets Reports'!A2622="Date-",'R.M Billets Reports'!A2622="Date:-"),IF(IF(IF(ISNUMBER(SEARCH("Party Name:-",'R.M Billets Reports'!D2622)),TRIM('R.M Billets Reports'!F2622),IF(ISNUMBER(SEARCH("Party Name-",'R.M Billets Reports'!D2622)),TRIM(MID('R.M Billets Reports'!D2622,SEARCH("-",'R.M Billets Reports'!D2622)+1,200)),""))&lt;&gt;"",IF(ISNUMBER(SEARCH("Party Name:-",'R.M Billets Reports'!D2622)),TRIM('R.M Billets Reports'!F2622),IF(ISNUMBER(SEARCH("Party Name-",'R.M Billets Reports'!D2622)),TRIM(MID('R.M Billets Reports'!D2622,SEARCH("-",'R.M Billets Reports'!D2622)+1,200)),"")),IF(ISNUMBER(SEARCH("Party Name:-",'R.M Billets Reports'!D2623)),TRIM('R.M Billets Reports'!F2623),IF(ISNUMBER(SEARCH("Party Name-",'R.M Billets Reports'!D2623)),TRIM(MID('R.M Billets Reports'!D2623,SEARCH("-",'R.M Billets Reports'!D2623)+1,200)),"")))="VRKP ISPAT PVT LTD","VRKP",IF(IF(IF(ISNUMBER(SEARCH("Party Name:-",'R.M Billets Reports'!D2622)),TRIM('R.M Billets Reports'!F2622),IF(ISNUMBER(SEARCH("Party Name-",'R.M Billets Reports'!D2622)),TRIM(MID('R.M Billets Reports'!D2622,SEARCH("-",'R.M Billets Reports'!D2622)+1,200)),""))&lt;&gt;"",IF(ISNUMBER(SEARCH("Party Name:-",'R.M Billets Reports'!D2622)),TRIM('R.M Billets Reports'!F2622),IF(ISNUMBER(SEARCH("Party Name-",'R.M Billets Reports'!D2622)),TRIM(MID('R.M Billets Reports'!D2622,SEARCH("-",'R.M Billets Reports'!D2622)+1,200)),"")),IF(ISNUMBER(SEARCH("Party Name:-",'R.M Billets Reports'!D2623)),TRIM('R.M Billets Reports'!F2623),IF(ISNUMBER(SEARCH("Party Name-",'R.M Billets Reports'!D2623)),TRIM(MID('R.M Billets Reports'!D2623,SEARCH("-",'R.M Billets Reports'!D2623)+1,200)),"")))="SHRI RADHE","SHREE RADHE",IF(IF(IF(ISNUMBER(SEARCH("Party Name:-",'R.M Billets Reports'!D2622)),TRIM('R.M Billets Reports'!F2622),IF(ISNUMBER(SEARCH("Party Name-",'R.M Billets Reports'!D2622)),TRIM(MID('R.M Billets Reports'!D2622,SEARCH("-",'R.M Billets Reports'!D2622)+1,200)),""))&lt;&gt;"",IF(ISNUMBER(SEARCH("Party Name:-",'R.M Billets Reports'!D2622)),TRIM('R.M Billets Reports'!F2622),IF(ISNUMBER(SEARCH("Party Name-",'R.M Billets Reports'!D2622)),TRIM(MID('R.M Billets Reports'!D2622,SEARCH("-",'R.M Billets Reports'!D2622)+1,200)),"")),IF(ISNUMBER(SEARCH("Party Name:-",'R.M Billets Reports'!D2623)),TRIM('R.M Billets Reports'!F2623),IF(ISNUMBER(SEARCH("Party Name-",'R.M Billets Reports'!D2623)),TRIM(MID('R.M Billets Reports'!D2623,SEARCH("-",'R.M Billets Reports'!D2623)+1,200)),"")))="SHREE RADHE SHAKTI SPONGE AND POWER PVT. LTD.","SHREE RADHE",IF(IF(ISNUMBER(SEARCH("Party Name:-",'R.M Billets Reports'!D2622)),TRIM('R.M Billets Reports'!F2622),IF(ISNUMBER(SEARCH("Party Name-",'R.M Billets Reports'!D2622)),TRIM(MID('R.M Billets Reports'!D2622,SEARCH("-",'R.M Billets Reports'!D2622)+1,200)),""))&lt;&gt;"",IF(ISNUMBER(SEARCH("Party Name:-",'R.M Billets Reports'!D2622)),TRIM('R.M Billets Reports'!F2622),IF(ISNUMBER(SEARCH("Party Name-",'R.M Billets Reports'!D2622)),TRIM(MID('R.M Billets Reports'!D2622,SEARCH("-",'R.M Billets Reports'!D2622)+1,200)),"")),IF(ISNUMBER(SEARCH("Party Name:-",'R.M Billets Reports'!D2623)),TRIM('R.M Billets Reports'!F2623),IF(ISNUMBER(SEARCH("Party Name-",'R.M Billets Reports'!D2623)),TRIM(MID('R.M Billets Reports'!D2623,SEARCH("-",'R.M Billets Reports'!D2623)+1,200)),"")))))),IF(ROW()=2,"",A2622))</f>
      </c>
      <c r="B2623">
        <f>IF(OR('R.M Billets Reports'!A2622="Date-",'R.M Billets Reports'!A2622="Date:-"),'R.M Billets Reports'!B2622,IF(ROW()=2,"",B2622))</f>
      </c>
      <c r="C2623">
        <f>IF('R.M Billets Reports'!A2622="V.No.",'R.M Billets Reports'!B2622,IF(ROW()=2,"",C2622))</f>
      </c>
      <c r="D2623">
        <f>IF('R.M Billets Reports'!A2622&lt;&gt;"",'R.M Billets Reports'!A2622,IF(ROW()=2,"",D2622))</f>
      </c>
      <c r="E2623">
        <f>IF('R.M Billets Reports'!B2622="","",TRIM('R.M Billets Reports'!B2622))</f>
      </c>
      <c r="F2623">
        <f>'R.M Billets Reports'!C2622</f>
      </c>
      <c r="G2623">
        <f>'R.M Billets Reports'!D2622</f>
      </c>
      <c r="H2623">
        <f>'R.M Billets Reports'!E2622</f>
      </c>
      <c r="I2623">
        <f>'R.M Billets Reports'!F2622</f>
      </c>
      <c r="J2623">
        <f>'R.M Billets Reports'!G2622</f>
      </c>
      <c r="K2623">
        <f>'R.M Billets Reports'!H2622</f>
      </c>
      <c r="L2623">
        <f>IF('R.M Billets Reports'!I2622="","",'R.M Billets Reports'!I2622)</f>
      </c>
      <c r="M2623">
        <f t="shared" si="80"/>
      </c>
      <c r="N2623">
        <f>IF('R.M Billets Reports'!J2622="","",'R.M Billets Reports'!J2622)</f>
      </c>
      <c r="O2623">
        <f t="shared" si="81"/>
      </c>
      <c r="P2623">
        <f>IF('R.M Billets Reports'!A2622="SIZE",'R.M Billets Reports'!B2622,P2622)</f>
      </c>
    </row>
    <row r="2624" spans="1:16" x14ac:dyDescent="0.25">
      <c r="A2624">
        <f>IF(OR('R.M Billets Reports'!A2623="Date-",'R.M Billets Reports'!A2623="Date:-"),IF(IF(IF(ISNUMBER(SEARCH("Party Name:-",'R.M Billets Reports'!D2623)),TRIM('R.M Billets Reports'!F2623),IF(ISNUMBER(SEARCH("Party Name-",'R.M Billets Reports'!D2623)),TRIM(MID('R.M Billets Reports'!D2623,SEARCH("-",'R.M Billets Reports'!D2623)+1,200)),""))&lt;&gt;"",IF(ISNUMBER(SEARCH("Party Name:-",'R.M Billets Reports'!D2623)),TRIM('R.M Billets Reports'!F2623),IF(ISNUMBER(SEARCH("Party Name-",'R.M Billets Reports'!D2623)),TRIM(MID('R.M Billets Reports'!D2623,SEARCH("-",'R.M Billets Reports'!D2623)+1,200)),"")),IF(ISNUMBER(SEARCH("Party Name:-",'R.M Billets Reports'!D2624)),TRIM('R.M Billets Reports'!F2624),IF(ISNUMBER(SEARCH("Party Name-",'R.M Billets Reports'!D2624)),TRIM(MID('R.M Billets Reports'!D2624,SEARCH("-",'R.M Billets Reports'!D2624)+1,200)),"")))="VRKP ISPAT PVT LTD","VRKP",IF(IF(IF(ISNUMBER(SEARCH("Party Name:-",'R.M Billets Reports'!D2623)),TRIM('R.M Billets Reports'!F2623),IF(ISNUMBER(SEARCH("Party Name-",'R.M Billets Reports'!D2623)),TRIM(MID('R.M Billets Reports'!D2623,SEARCH("-",'R.M Billets Reports'!D2623)+1,200)),""))&lt;&gt;"",IF(ISNUMBER(SEARCH("Party Name:-",'R.M Billets Reports'!D2623)),TRIM('R.M Billets Reports'!F2623),IF(ISNUMBER(SEARCH("Party Name-",'R.M Billets Reports'!D2623)),TRIM(MID('R.M Billets Reports'!D2623,SEARCH("-",'R.M Billets Reports'!D2623)+1,200)),"")),IF(ISNUMBER(SEARCH("Party Name:-",'R.M Billets Reports'!D2624)),TRIM('R.M Billets Reports'!F2624),IF(ISNUMBER(SEARCH("Party Name-",'R.M Billets Reports'!D2624)),TRIM(MID('R.M Billets Reports'!D2624,SEARCH("-",'R.M Billets Reports'!D2624)+1,200)),"")))="SHRI RADHE","SHREE RADHE",IF(IF(IF(ISNUMBER(SEARCH("Party Name:-",'R.M Billets Reports'!D2623)),TRIM('R.M Billets Reports'!F2623),IF(ISNUMBER(SEARCH("Party Name-",'R.M Billets Reports'!D2623)),TRIM(MID('R.M Billets Reports'!D2623,SEARCH("-",'R.M Billets Reports'!D2623)+1,200)),""))&lt;&gt;"",IF(ISNUMBER(SEARCH("Party Name:-",'R.M Billets Reports'!D2623)),TRIM('R.M Billets Reports'!F2623),IF(ISNUMBER(SEARCH("Party Name-",'R.M Billets Reports'!D2623)),TRIM(MID('R.M Billets Reports'!D2623,SEARCH("-",'R.M Billets Reports'!D2623)+1,200)),"")),IF(ISNUMBER(SEARCH("Party Name:-",'R.M Billets Reports'!D2624)),TRIM('R.M Billets Reports'!F2624),IF(ISNUMBER(SEARCH("Party Name-",'R.M Billets Reports'!D2624)),TRIM(MID('R.M Billets Reports'!D2624,SEARCH("-",'R.M Billets Reports'!D2624)+1,200)),"")))="SHREE RADHE SHAKTI SPONGE AND POWER PVT. LTD.","SHREE RADHE",IF(IF(ISNUMBER(SEARCH("Party Name:-",'R.M Billets Reports'!D2623)),TRIM('R.M Billets Reports'!F2623),IF(ISNUMBER(SEARCH("Party Name-",'R.M Billets Reports'!D2623)),TRIM(MID('R.M Billets Reports'!D2623,SEARCH("-",'R.M Billets Reports'!D2623)+1,200)),""))&lt;&gt;"",IF(ISNUMBER(SEARCH("Party Name:-",'R.M Billets Reports'!D2623)),TRIM('R.M Billets Reports'!F2623),IF(ISNUMBER(SEARCH("Party Name-",'R.M Billets Reports'!D2623)),TRIM(MID('R.M Billets Reports'!D2623,SEARCH("-",'R.M Billets Reports'!D2623)+1,200)),"")),IF(ISNUMBER(SEARCH("Party Name:-",'R.M Billets Reports'!D2624)),TRIM('R.M Billets Reports'!F2624),IF(ISNUMBER(SEARCH("Party Name-",'R.M Billets Reports'!D2624)),TRIM(MID('R.M Billets Reports'!D2624,SEARCH("-",'R.M Billets Reports'!D2624)+1,200)),"")))))),IF(ROW()=2,"",A2623))</f>
      </c>
      <c r="B2624">
        <f>IF(OR('R.M Billets Reports'!A2623="Date-",'R.M Billets Reports'!A2623="Date:-"),'R.M Billets Reports'!B2623,IF(ROW()=2,"",B2623))</f>
      </c>
      <c r="C2624">
        <f>IF('R.M Billets Reports'!A2623="V.No.",'R.M Billets Reports'!B2623,IF(ROW()=2,"",C2623))</f>
      </c>
      <c r="D2624">
        <f>IF('R.M Billets Reports'!A2623&lt;&gt;"",'R.M Billets Reports'!A2623,IF(ROW()=2,"",D2623))</f>
      </c>
      <c r="E2624">
        <f>IF('R.M Billets Reports'!B2623="","",TRIM('R.M Billets Reports'!B2623))</f>
      </c>
      <c r="F2624">
        <f>'R.M Billets Reports'!C2623</f>
      </c>
      <c r="G2624">
        <f>'R.M Billets Reports'!D2623</f>
      </c>
      <c r="H2624">
        <f>'R.M Billets Reports'!E2623</f>
      </c>
      <c r="I2624">
        <f>'R.M Billets Reports'!F2623</f>
      </c>
      <c r="J2624">
        <f>'R.M Billets Reports'!G2623</f>
      </c>
      <c r="K2624">
        <f>'R.M Billets Reports'!H2623</f>
      </c>
      <c r="L2624">
        <f>IF('R.M Billets Reports'!I2623="","",'R.M Billets Reports'!I2623)</f>
      </c>
      <c r="M2624">
        <f t="shared" si="80"/>
      </c>
      <c r="N2624">
        <f>IF('R.M Billets Reports'!J2623="","",'R.M Billets Reports'!J2623)</f>
      </c>
      <c r="O2624">
        <f t="shared" si="81"/>
      </c>
      <c r="P2624">
        <f>IF('R.M Billets Reports'!A2623="SIZE",'R.M Billets Reports'!B2623,P2623)</f>
      </c>
    </row>
    <row r="2625" spans="1:16" x14ac:dyDescent="0.25">
      <c r="A2625">
        <f>IF(OR('R.M Billets Reports'!A2624="Date-",'R.M Billets Reports'!A2624="Date:-"),IF(IF(IF(ISNUMBER(SEARCH("Party Name:-",'R.M Billets Reports'!D2624)),TRIM('R.M Billets Reports'!F2624),IF(ISNUMBER(SEARCH("Party Name-",'R.M Billets Reports'!D2624)),TRIM(MID('R.M Billets Reports'!D2624,SEARCH("-",'R.M Billets Reports'!D2624)+1,200)),""))&lt;&gt;"",IF(ISNUMBER(SEARCH("Party Name:-",'R.M Billets Reports'!D2624)),TRIM('R.M Billets Reports'!F2624),IF(ISNUMBER(SEARCH("Party Name-",'R.M Billets Reports'!D2624)),TRIM(MID('R.M Billets Reports'!D2624,SEARCH("-",'R.M Billets Reports'!D2624)+1,200)),"")),IF(ISNUMBER(SEARCH("Party Name:-",'R.M Billets Reports'!D2625)),TRIM('R.M Billets Reports'!F2625),IF(ISNUMBER(SEARCH("Party Name-",'R.M Billets Reports'!D2625)),TRIM(MID('R.M Billets Reports'!D2625,SEARCH("-",'R.M Billets Reports'!D2625)+1,200)),"")))="VRKP ISPAT PVT LTD","VRKP",IF(IF(IF(ISNUMBER(SEARCH("Party Name:-",'R.M Billets Reports'!D2624)),TRIM('R.M Billets Reports'!F2624),IF(ISNUMBER(SEARCH("Party Name-",'R.M Billets Reports'!D2624)),TRIM(MID('R.M Billets Reports'!D2624,SEARCH("-",'R.M Billets Reports'!D2624)+1,200)),""))&lt;&gt;"",IF(ISNUMBER(SEARCH("Party Name:-",'R.M Billets Reports'!D2624)),TRIM('R.M Billets Reports'!F2624),IF(ISNUMBER(SEARCH("Party Name-",'R.M Billets Reports'!D2624)),TRIM(MID('R.M Billets Reports'!D2624,SEARCH("-",'R.M Billets Reports'!D2624)+1,200)),"")),IF(ISNUMBER(SEARCH("Party Name:-",'R.M Billets Reports'!D2625)),TRIM('R.M Billets Reports'!F2625),IF(ISNUMBER(SEARCH("Party Name-",'R.M Billets Reports'!D2625)),TRIM(MID('R.M Billets Reports'!D2625,SEARCH("-",'R.M Billets Reports'!D2625)+1,200)),"")))="SHRI RADHE","SHREE RADHE",IF(IF(IF(ISNUMBER(SEARCH("Party Name:-",'R.M Billets Reports'!D2624)),TRIM('R.M Billets Reports'!F2624),IF(ISNUMBER(SEARCH("Party Name-",'R.M Billets Reports'!D2624)),TRIM(MID('R.M Billets Reports'!D2624,SEARCH("-",'R.M Billets Reports'!D2624)+1,200)),""))&lt;&gt;"",IF(ISNUMBER(SEARCH("Party Name:-",'R.M Billets Reports'!D2624)),TRIM('R.M Billets Reports'!F2624),IF(ISNUMBER(SEARCH("Party Name-",'R.M Billets Reports'!D2624)),TRIM(MID('R.M Billets Reports'!D2624,SEARCH("-",'R.M Billets Reports'!D2624)+1,200)),"")),IF(ISNUMBER(SEARCH("Party Name:-",'R.M Billets Reports'!D2625)),TRIM('R.M Billets Reports'!F2625),IF(ISNUMBER(SEARCH("Party Name-",'R.M Billets Reports'!D2625)),TRIM(MID('R.M Billets Reports'!D2625,SEARCH("-",'R.M Billets Reports'!D2625)+1,200)),"")))="SHREE RADHE SHAKTI SPONGE AND POWER PVT. LTD.","SHREE RADHE",IF(IF(ISNUMBER(SEARCH("Party Name:-",'R.M Billets Reports'!D2624)),TRIM('R.M Billets Reports'!F2624),IF(ISNUMBER(SEARCH("Party Name-",'R.M Billets Reports'!D2624)),TRIM(MID('R.M Billets Reports'!D2624,SEARCH("-",'R.M Billets Reports'!D2624)+1,200)),""))&lt;&gt;"",IF(ISNUMBER(SEARCH("Party Name:-",'R.M Billets Reports'!D2624)),TRIM('R.M Billets Reports'!F2624),IF(ISNUMBER(SEARCH("Party Name-",'R.M Billets Reports'!D2624)),TRIM(MID('R.M Billets Reports'!D2624,SEARCH("-",'R.M Billets Reports'!D2624)+1,200)),"")),IF(ISNUMBER(SEARCH("Party Name:-",'R.M Billets Reports'!D2625)),TRIM('R.M Billets Reports'!F2625),IF(ISNUMBER(SEARCH("Party Name-",'R.M Billets Reports'!D2625)),TRIM(MID('R.M Billets Reports'!D2625,SEARCH("-",'R.M Billets Reports'!D2625)+1,200)),"")))))),IF(ROW()=2,"",A2624))</f>
      </c>
      <c r="B2625">
        <f>IF(OR('R.M Billets Reports'!A2624="Date-",'R.M Billets Reports'!A2624="Date:-"),'R.M Billets Reports'!B2624,IF(ROW()=2,"",B2624))</f>
      </c>
      <c r="C2625">
        <f>IF('R.M Billets Reports'!A2624="V.No.",'R.M Billets Reports'!B2624,IF(ROW()=2,"",C2624))</f>
      </c>
      <c r="D2625">
        <f>IF('R.M Billets Reports'!A2624&lt;&gt;"",'R.M Billets Reports'!A2624,IF(ROW()=2,"",D2624))</f>
      </c>
      <c r="E2625">
        <f>IF('R.M Billets Reports'!B2624="","",TRIM('R.M Billets Reports'!B2624))</f>
      </c>
      <c r="F2625">
        <f>'R.M Billets Reports'!C2624</f>
      </c>
      <c r="G2625">
        <f>'R.M Billets Reports'!D2624</f>
      </c>
      <c r="H2625">
        <f>'R.M Billets Reports'!E2624</f>
      </c>
      <c r="I2625">
        <f>'R.M Billets Reports'!F2624</f>
      </c>
      <c r="J2625">
        <f>'R.M Billets Reports'!G2624</f>
      </c>
      <c r="K2625">
        <f>'R.M Billets Reports'!H2624</f>
      </c>
      <c r="L2625">
        <f>IF('R.M Billets Reports'!I2624="","",'R.M Billets Reports'!I2624)</f>
      </c>
      <c r="M2625">
        <f t="shared" si="80"/>
      </c>
      <c r="N2625">
        <f>IF('R.M Billets Reports'!J2624="","",'R.M Billets Reports'!J2624)</f>
      </c>
      <c r="O2625">
        <f t="shared" si="81"/>
      </c>
      <c r="P2625">
        <f>IF('R.M Billets Reports'!A2624="SIZE",'R.M Billets Reports'!B2624,P2624)</f>
      </c>
    </row>
    <row r="2626" spans="1:16" x14ac:dyDescent="0.25">
      <c r="A2626">
        <f>IF(OR('R.M Billets Reports'!A2625="Date-",'R.M Billets Reports'!A2625="Date:-"),IF(IF(IF(ISNUMBER(SEARCH("Party Name:-",'R.M Billets Reports'!D2625)),TRIM('R.M Billets Reports'!F2625),IF(ISNUMBER(SEARCH("Party Name-",'R.M Billets Reports'!D2625)),TRIM(MID('R.M Billets Reports'!D2625,SEARCH("-",'R.M Billets Reports'!D2625)+1,200)),""))&lt;&gt;"",IF(ISNUMBER(SEARCH("Party Name:-",'R.M Billets Reports'!D2625)),TRIM('R.M Billets Reports'!F2625),IF(ISNUMBER(SEARCH("Party Name-",'R.M Billets Reports'!D2625)),TRIM(MID('R.M Billets Reports'!D2625,SEARCH("-",'R.M Billets Reports'!D2625)+1,200)),"")),IF(ISNUMBER(SEARCH("Party Name:-",'R.M Billets Reports'!D2626)),TRIM('R.M Billets Reports'!F2626),IF(ISNUMBER(SEARCH("Party Name-",'R.M Billets Reports'!D2626)),TRIM(MID('R.M Billets Reports'!D2626,SEARCH("-",'R.M Billets Reports'!D2626)+1,200)),"")))="VRKP ISPAT PVT LTD","VRKP",IF(IF(IF(ISNUMBER(SEARCH("Party Name:-",'R.M Billets Reports'!D2625)),TRIM('R.M Billets Reports'!F2625),IF(ISNUMBER(SEARCH("Party Name-",'R.M Billets Reports'!D2625)),TRIM(MID('R.M Billets Reports'!D2625,SEARCH("-",'R.M Billets Reports'!D2625)+1,200)),""))&lt;&gt;"",IF(ISNUMBER(SEARCH("Party Name:-",'R.M Billets Reports'!D2625)),TRIM('R.M Billets Reports'!F2625),IF(ISNUMBER(SEARCH("Party Name-",'R.M Billets Reports'!D2625)),TRIM(MID('R.M Billets Reports'!D2625,SEARCH("-",'R.M Billets Reports'!D2625)+1,200)),"")),IF(ISNUMBER(SEARCH("Party Name:-",'R.M Billets Reports'!D2626)),TRIM('R.M Billets Reports'!F2626),IF(ISNUMBER(SEARCH("Party Name-",'R.M Billets Reports'!D2626)),TRIM(MID('R.M Billets Reports'!D2626,SEARCH("-",'R.M Billets Reports'!D2626)+1,200)),"")))="SHRI RADHE","SHREE RADHE",IF(IF(IF(ISNUMBER(SEARCH("Party Name:-",'R.M Billets Reports'!D2625)),TRIM('R.M Billets Reports'!F2625),IF(ISNUMBER(SEARCH("Party Name-",'R.M Billets Reports'!D2625)),TRIM(MID('R.M Billets Reports'!D2625,SEARCH("-",'R.M Billets Reports'!D2625)+1,200)),""))&lt;&gt;"",IF(ISNUMBER(SEARCH("Party Name:-",'R.M Billets Reports'!D2625)),TRIM('R.M Billets Reports'!F2625),IF(ISNUMBER(SEARCH("Party Name-",'R.M Billets Reports'!D2625)),TRIM(MID('R.M Billets Reports'!D2625,SEARCH("-",'R.M Billets Reports'!D2625)+1,200)),"")),IF(ISNUMBER(SEARCH("Party Name:-",'R.M Billets Reports'!D2626)),TRIM('R.M Billets Reports'!F2626),IF(ISNUMBER(SEARCH("Party Name-",'R.M Billets Reports'!D2626)),TRIM(MID('R.M Billets Reports'!D2626,SEARCH("-",'R.M Billets Reports'!D2626)+1,200)),"")))="SHREE RADHE SHAKTI SPONGE AND POWER PVT. LTD.","SHREE RADHE",IF(IF(ISNUMBER(SEARCH("Party Name:-",'R.M Billets Reports'!D2625)),TRIM('R.M Billets Reports'!F2625),IF(ISNUMBER(SEARCH("Party Name-",'R.M Billets Reports'!D2625)),TRIM(MID('R.M Billets Reports'!D2625,SEARCH("-",'R.M Billets Reports'!D2625)+1,200)),""))&lt;&gt;"",IF(ISNUMBER(SEARCH("Party Name:-",'R.M Billets Reports'!D2625)),TRIM('R.M Billets Reports'!F2625),IF(ISNUMBER(SEARCH("Party Name-",'R.M Billets Reports'!D2625)),TRIM(MID('R.M Billets Reports'!D2625,SEARCH("-",'R.M Billets Reports'!D2625)+1,200)),"")),IF(ISNUMBER(SEARCH("Party Name:-",'R.M Billets Reports'!D2626)),TRIM('R.M Billets Reports'!F2626),IF(ISNUMBER(SEARCH("Party Name-",'R.M Billets Reports'!D2626)),TRIM(MID('R.M Billets Reports'!D2626,SEARCH("-",'R.M Billets Reports'!D2626)+1,200)),"")))))),IF(ROW()=2,"",A2625))</f>
      </c>
      <c r="B2626">
        <f>IF(OR('R.M Billets Reports'!A2625="Date-",'R.M Billets Reports'!A2625="Date:-"),'R.M Billets Reports'!B2625,IF(ROW()=2,"",B2625))</f>
      </c>
      <c r="C2626">
        <f>IF('R.M Billets Reports'!A2625="V.No.",'R.M Billets Reports'!B2625,IF(ROW()=2,"",C2625))</f>
      </c>
      <c r="D2626">
        <f>IF('R.M Billets Reports'!A2625&lt;&gt;"",'R.M Billets Reports'!A2625,IF(ROW()=2,"",D2625))</f>
      </c>
      <c r="E2626">
        <f>IF('R.M Billets Reports'!B2625="","",TRIM('R.M Billets Reports'!B2625))</f>
      </c>
      <c r="F2626">
        <f>'R.M Billets Reports'!C2625</f>
      </c>
      <c r="G2626">
        <f>'R.M Billets Reports'!D2625</f>
      </c>
      <c r="H2626">
        <f>'R.M Billets Reports'!E2625</f>
      </c>
      <c r="I2626">
        <f>'R.M Billets Reports'!F2625</f>
      </c>
      <c r="J2626">
        <f>'R.M Billets Reports'!G2625</f>
      </c>
      <c r="K2626">
        <f>'R.M Billets Reports'!H2625</f>
      </c>
      <c r="L2626">
        <f>IF('R.M Billets Reports'!I2625="","",'R.M Billets Reports'!I2625)</f>
      </c>
      <c r="M2626">
        <f t="shared" si="80"/>
      </c>
      <c r="N2626">
        <f>IF('R.M Billets Reports'!J2625="","",'R.M Billets Reports'!J2625)</f>
      </c>
      <c r="O2626">
        <f t="shared" si="81"/>
      </c>
      <c r="P2626">
        <f>IF('R.M Billets Reports'!A2625="SIZE",'R.M Billets Reports'!B2625,P2625)</f>
      </c>
    </row>
    <row r="2627" spans="1:16" x14ac:dyDescent="0.25">
      <c r="A2627">
        <f>IF(OR('R.M Billets Reports'!A2626="Date-",'R.M Billets Reports'!A2626="Date:-"),IF(IF(IF(ISNUMBER(SEARCH("Party Name:-",'R.M Billets Reports'!D2626)),TRIM('R.M Billets Reports'!F2626),IF(ISNUMBER(SEARCH("Party Name-",'R.M Billets Reports'!D2626)),TRIM(MID('R.M Billets Reports'!D2626,SEARCH("-",'R.M Billets Reports'!D2626)+1,200)),""))&lt;&gt;"",IF(ISNUMBER(SEARCH("Party Name:-",'R.M Billets Reports'!D2626)),TRIM('R.M Billets Reports'!F2626),IF(ISNUMBER(SEARCH("Party Name-",'R.M Billets Reports'!D2626)),TRIM(MID('R.M Billets Reports'!D2626,SEARCH("-",'R.M Billets Reports'!D2626)+1,200)),"")),IF(ISNUMBER(SEARCH("Party Name:-",'R.M Billets Reports'!D2627)),TRIM('R.M Billets Reports'!F2627),IF(ISNUMBER(SEARCH("Party Name-",'R.M Billets Reports'!D2627)),TRIM(MID('R.M Billets Reports'!D2627,SEARCH("-",'R.M Billets Reports'!D2627)+1,200)),"")))="VRKP ISPAT PVT LTD","VRKP",IF(IF(IF(ISNUMBER(SEARCH("Party Name:-",'R.M Billets Reports'!D2626)),TRIM('R.M Billets Reports'!F2626),IF(ISNUMBER(SEARCH("Party Name-",'R.M Billets Reports'!D2626)),TRIM(MID('R.M Billets Reports'!D2626,SEARCH("-",'R.M Billets Reports'!D2626)+1,200)),""))&lt;&gt;"",IF(ISNUMBER(SEARCH("Party Name:-",'R.M Billets Reports'!D2626)),TRIM('R.M Billets Reports'!F2626),IF(ISNUMBER(SEARCH("Party Name-",'R.M Billets Reports'!D2626)),TRIM(MID('R.M Billets Reports'!D2626,SEARCH("-",'R.M Billets Reports'!D2626)+1,200)),"")),IF(ISNUMBER(SEARCH("Party Name:-",'R.M Billets Reports'!D2627)),TRIM('R.M Billets Reports'!F2627),IF(ISNUMBER(SEARCH("Party Name-",'R.M Billets Reports'!D2627)),TRIM(MID('R.M Billets Reports'!D2627,SEARCH("-",'R.M Billets Reports'!D2627)+1,200)),"")))="SHRI RADHE","SHREE RADHE",IF(IF(IF(ISNUMBER(SEARCH("Party Name:-",'R.M Billets Reports'!D2626)),TRIM('R.M Billets Reports'!F2626),IF(ISNUMBER(SEARCH("Party Name-",'R.M Billets Reports'!D2626)),TRIM(MID('R.M Billets Reports'!D2626,SEARCH("-",'R.M Billets Reports'!D2626)+1,200)),""))&lt;&gt;"",IF(ISNUMBER(SEARCH("Party Name:-",'R.M Billets Reports'!D2626)),TRIM('R.M Billets Reports'!F2626),IF(ISNUMBER(SEARCH("Party Name-",'R.M Billets Reports'!D2626)),TRIM(MID('R.M Billets Reports'!D2626,SEARCH("-",'R.M Billets Reports'!D2626)+1,200)),"")),IF(ISNUMBER(SEARCH("Party Name:-",'R.M Billets Reports'!D2627)),TRIM('R.M Billets Reports'!F2627),IF(ISNUMBER(SEARCH("Party Name-",'R.M Billets Reports'!D2627)),TRIM(MID('R.M Billets Reports'!D2627,SEARCH("-",'R.M Billets Reports'!D2627)+1,200)),"")))="SHREE RADHE SHAKTI SPONGE AND POWER PVT. LTD.","SHREE RADHE",IF(IF(ISNUMBER(SEARCH("Party Name:-",'R.M Billets Reports'!D2626)),TRIM('R.M Billets Reports'!F2626),IF(ISNUMBER(SEARCH("Party Name-",'R.M Billets Reports'!D2626)),TRIM(MID('R.M Billets Reports'!D2626,SEARCH("-",'R.M Billets Reports'!D2626)+1,200)),""))&lt;&gt;"",IF(ISNUMBER(SEARCH("Party Name:-",'R.M Billets Reports'!D2626)),TRIM('R.M Billets Reports'!F2626),IF(ISNUMBER(SEARCH("Party Name-",'R.M Billets Reports'!D2626)),TRIM(MID('R.M Billets Reports'!D2626,SEARCH("-",'R.M Billets Reports'!D2626)+1,200)),"")),IF(ISNUMBER(SEARCH("Party Name:-",'R.M Billets Reports'!D2627)),TRIM('R.M Billets Reports'!F2627),IF(ISNUMBER(SEARCH("Party Name-",'R.M Billets Reports'!D2627)),TRIM(MID('R.M Billets Reports'!D2627,SEARCH("-",'R.M Billets Reports'!D2627)+1,200)),"")))))),IF(ROW()=2,"",A2626))</f>
      </c>
      <c r="B2627">
        <f>IF(OR('R.M Billets Reports'!A2626="Date-",'R.M Billets Reports'!A2626="Date:-"),'R.M Billets Reports'!B2626,IF(ROW()=2,"",B2626))</f>
      </c>
      <c r="C2627">
        <f>IF('R.M Billets Reports'!A2626="V.No.",'R.M Billets Reports'!B2626,IF(ROW()=2,"",C2626))</f>
      </c>
      <c r="D2627">
        <f>IF('R.M Billets Reports'!A2626&lt;&gt;"",'R.M Billets Reports'!A2626,IF(ROW()=2,"",D2626))</f>
      </c>
      <c r="E2627">
        <f>IF('R.M Billets Reports'!B2626="","",TRIM('R.M Billets Reports'!B2626))</f>
      </c>
      <c r="F2627">
        <f>'R.M Billets Reports'!C2626</f>
      </c>
      <c r="G2627">
        <f>'R.M Billets Reports'!D2626</f>
      </c>
      <c r="H2627">
        <f>'R.M Billets Reports'!E2626</f>
      </c>
      <c r="I2627">
        <f>'R.M Billets Reports'!F2626</f>
      </c>
      <c r="J2627">
        <f>'R.M Billets Reports'!G2626</f>
      </c>
      <c r="K2627">
        <f>'R.M Billets Reports'!H2626</f>
      </c>
      <c r="L2627">
        <f>IF('R.M Billets Reports'!I2626="","",'R.M Billets Reports'!I2626)</f>
      </c>
      <c r="M2627">
        <f t="shared" ref="M2627:M2690" si="82">IF(L2627&lt;&gt;"",L2627,IF(D2627=D2626,M2626,""))</f>
      </c>
      <c r="N2627">
        <f>IF('R.M Billets Reports'!J2626="","",'R.M Billets Reports'!J2626)</f>
      </c>
      <c r="O2627">
        <f t="shared" ref="O2627:O2690" si="83">IF(N2627&lt;&gt;"",N2627,IF(D2627=D2626,O2626,""))</f>
      </c>
      <c r="P2627">
        <f>IF('R.M Billets Reports'!A2626="SIZE",'R.M Billets Reports'!B2626,P2626)</f>
      </c>
    </row>
    <row r="2628" spans="1:16" x14ac:dyDescent="0.25">
      <c r="A2628">
        <f>IF(OR('R.M Billets Reports'!A2627="Date-",'R.M Billets Reports'!A2627="Date:-"),IF(IF(IF(ISNUMBER(SEARCH("Party Name:-",'R.M Billets Reports'!D2627)),TRIM('R.M Billets Reports'!F2627),IF(ISNUMBER(SEARCH("Party Name-",'R.M Billets Reports'!D2627)),TRIM(MID('R.M Billets Reports'!D2627,SEARCH("-",'R.M Billets Reports'!D2627)+1,200)),""))&lt;&gt;"",IF(ISNUMBER(SEARCH("Party Name:-",'R.M Billets Reports'!D2627)),TRIM('R.M Billets Reports'!F2627),IF(ISNUMBER(SEARCH("Party Name-",'R.M Billets Reports'!D2627)),TRIM(MID('R.M Billets Reports'!D2627,SEARCH("-",'R.M Billets Reports'!D2627)+1,200)),"")),IF(ISNUMBER(SEARCH("Party Name:-",'R.M Billets Reports'!D2628)),TRIM('R.M Billets Reports'!F2628),IF(ISNUMBER(SEARCH("Party Name-",'R.M Billets Reports'!D2628)),TRIM(MID('R.M Billets Reports'!D2628,SEARCH("-",'R.M Billets Reports'!D2628)+1,200)),"")))="VRKP ISPAT PVT LTD","VRKP",IF(IF(IF(ISNUMBER(SEARCH("Party Name:-",'R.M Billets Reports'!D2627)),TRIM('R.M Billets Reports'!F2627),IF(ISNUMBER(SEARCH("Party Name-",'R.M Billets Reports'!D2627)),TRIM(MID('R.M Billets Reports'!D2627,SEARCH("-",'R.M Billets Reports'!D2627)+1,200)),""))&lt;&gt;"",IF(ISNUMBER(SEARCH("Party Name:-",'R.M Billets Reports'!D2627)),TRIM('R.M Billets Reports'!F2627),IF(ISNUMBER(SEARCH("Party Name-",'R.M Billets Reports'!D2627)),TRIM(MID('R.M Billets Reports'!D2627,SEARCH("-",'R.M Billets Reports'!D2627)+1,200)),"")),IF(ISNUMBER(SEARCH("Party Name:-",'R.M Billets Reports'!D2628)),TRIM('R.M Billets Reports'!F2628),IF(ISNUMBER(SEARCH("Party Name-",'R.M Billets Reports'!D2628)),TRIM(MID('R.M Billets Reports'!D2628,SEARCH("-",'R.M Billets Reports'!D2628)+1,200)),"")))="SHRI RADHE","SHREE RADHE",IF(IF(IF(ISNUMBER(SEARCH("Party Name:-",'R.M Billets Reports'!D2627)),TRIM('R.M Billets Reports'!F2627),IF(ISNUMBER(SEARCH("Party Name-",'R.M Billets Reports'!D2627)),TRIM(MID('R.M Billets Reports'!D2627,SEARCH("-",'R.M Billets Reports'!D2627)+1,200)),""))&lt;&gt;"",IF(ISNUMBER(SEARCH("Party Name:-",'R.M Billets Reports'!D2627)),TRIM('R.M Billets Reports'!F2627),IF(ISNUMBER(SEARCH("Party Name-",'R.M Billets Reports'!D2627)),TRIM(MID('R.M Billets Reports'!D2627,SEARCH("-",'R.M Billets Reports'!D2627)+1,200)),"")),IF(ISNUMBER(SEARCH("Party Name:-",'R.M Billets Reports'!D2628)),TRIM('R.M Billets Reports'!F2628),IF(ISNUMBER(SEARCH("Party Name-",'R.M Billets Reports'!D2628)),TRIM(MID('R.M Billets Reports'!D2628,SEARCH("-",'R.M Billets Reports'!D2628)+1,200)),"")))="SHREE RADHE SHAKTI SPONGE AND POWER PVT. LTD.","SHREE RADHE",IF(IF(ISNUMBER(SEARCH("Party Name:-",'R.M Billets Reports'!D2627)),TRIM('R.M Billets Reports'!F2627),IF(ISNUMBER(SEARCH("Party Name-",'R.M Billets Reports'!D2627)),TRIM(MID('R.M Billets Reports'!D2627,SEARCH("-",'R.M Billets Reports'!D2627)+1,200)),""))&lt;&gt;"",IF(ISNUMBER(SEARCH("Party Name:-",'R.M Billets Reports'!D2627)),TRIM('R.M Billets Reports'!F2627),IF(ISNUMBER(SEARCH("Party Name-",'R.M Billets Reports'!D2627)),TRIM(MID('R.M Billets Reports'!D2627,SEARCH("-",'R.M Billets Reports'!D2627)+1,200)),"")),IF(ISNUMBER(SEARCH("Party Name:-",'R.M Billets Reports'!D2628)),TRIM('R.M Billets Reports'!F2628),IF(ISNUMBER(SEARCH("Party Name-",'R.M Billets Reports'!D2628)),TRIM(MID('R.M Billets Reports'!D2628,SEARCH("-",'R.M Billets Reports'!D2628)+1,200)),"")))))),IF(ROW()=2,"",A2627))</f>
      </c>
      <c r="B2628">
        <f>IF(OR('R.M Billets Reports'!A2627="Date-",'R.M Billets Reports'!A2627="Date:-"),'R.M Billets Reports'!B2627,IF(ROW()=2,"",B2627))</f>
      </c>
      <c r="C2628">
        <f>IF('R.M Billets Reports'!A2627="V.No.",'R.M Billets Reports'!B2627,IF(ROW()=2,"",C2627))</f>
      </c>
      <c r="D2628">
        <f>IF('R.M Billets Reports'!A2627&lt;&gt;"",'R.M Billets Reports'!A2627,IF(ROW()=2,"",D2627))</f>
      </c>
      <c r="E2628">
        <f>IF('R.M Billets Reports'!B2627="","",TRIM('R.M Billets Reports'!B2627))</f>
      </c>
      <c r="F2628">
        <f>'R.M Billets Reports'!C2627</f>
      </c>
      <c r="G2628">
        <f>'R.M Billets Reports'!D2627</f>
      </c>
      <c r="H2628">
        <f>'R.M Billets Reports'!E2627</f>
      </c>
      <c r="I2628">
        <f>'R.M Billets Reports'!F2627</f>
      </c>
      <c r="J2628">
        <f>'R.M Billets Reports'!G2627</f>
      </c>
      <c r="K2628">
        <f>'R.M Billets Reports'!H2627</f>
      </c>
      <c r="L2628">
        <f>IF('R.M Billets Reports'!I2627="","",'R.M Billets Reports'!I2627)</f>
      </c>
      <c r="M2628">
        <f t="shared" si="82"/>
      </c>
      <c r="N2628">
        <f>IF('R.M Billets Reports'!J2627="","",'R.M Billets Reports'!J2627)</f>
      </c>
      <c r="O2628">
        <f t="shared" si="83"/>
      </c>
      <c r="P2628">
        <f>IF('R.M Billets Reports'!A2627="SIZE",'R.M Billets Reports'!B2627,P2627)</f>
      </c>
    </row>
    <row r="2629" spans="1:16" x14ac:dyDescent="0.25">
      <c r="A2629">
        <f>IF(OR('R.M Billets Reports'!A2628="Date-",'R.M Billets Reports'!A2628="Date:-"),IF(IF(IF(ISNUMBER(SEARCH("Party Name:-",'R.M Billets Reports'!D2628)),TRIM('R.M Billets Reports'!F2628),IF(ISNUMBER(SEARCH("Party Name-",'R.M Billets Reports'!D2628)),TRIM(MID('R.M Billets Reports'!D2628,SEARCH("-",'R.M Billets Reports'!D2628)+1,200)),""))&lt;&gt;"",IF(ISNUMBER(SEARCH("Party Name:-",'R.M Billets Reports'!D2628)),TRIM('R.M Billets Reports'!F2628),IF(ISNUMBER(SEARCH("Party Name-",'R.M Billets Reports'!D2628)),TRIM(MID('R.M Billets Reports'!D2628,SEARCH("-",'R.M Billets Reports'!D2628)+1,200)),"")),IF(ISNUMBER(SEARCH("Party Name:-",'R.M Billets Reports'!D2629)),TRIM('R.M Billets Reports'!F2629),IF(ISNUMBER(SEARCH("Party Name-",'R.M Billets Reports'!D2629)),TRIM(MID('R.M Billets Reports'!D2629,SEARCH("-",'R.M Billets Reports'!D2629)+1,200)),"")))="VRKP ISPAT PVT LTD","VRKP",IF(IF(IF(ISNUMBER(SEARCH("Party Name:-",'R.M Billets Reports'!D2628)),TRIM('R.M Billets Reports'!F2628),IF(ISNUMBER(SEARCH("Party Name-",'R.M Billets Reports'!D2628)),TRIM(MID('R.M Billets Reports'!D2628,SEARCH("-",'R.M Billets Reports'!D2628)+1,200)),""))&lt;&gt;"",IF(ISNUMBER(SEARCH("Party Name:-",'R.M Billets Reports'!D2628)),TRIM('R.M Billets Reports'!F2628),IF(ISNUMBER(SEARCH("Party Name-",'R.M Billets Reports'!D2628)),TRIM(MID('R.M Billets Reports'!D2628,SEARCH("-",'R.M Billets Reports'!D2628)+1,200)),"")),IF(ISNUMBER(SEARCH("Party Name:-",'R.M Billets Reports'!D2629)),TRIM('R.M Billets Reports'!F2629),IF(ISNUMBER(SEARCH("Party Name-",'R.M Billets Reports'!D2629)),TRIM(MID('R.M Billets Reports'!D2629,SEARCH("-",'R.M Billets Reports'!D2629)+1,200)),"")))="SHRI RADHE","SHREE RADHE",IF(IF(IF(ISNUMBER(SEARCH("Party Name:-",'R.M Billets Reports'!D2628)),TRIM('R.M Billets Reports'!F2628),IF(ISNUMBER(SEARCH("Party Name-",'R.M Billets Reports'!D2628)),TRIM(MID('R.M Billets Reports'!D2628,SEARCH("-",'R.M Billets Reports'!D2628)+1,200)),""))&lt;&gt;"",IF(ISNUMBER(SEARCH("Party Name:-",'R.M Billets Reports'!D2628)),TRIM('R.M Billets Reports'!F2628),IF(ISNUMBER(SEARCH("Party Name-",'R.M Billets Reports'!D2628)),TRIM(MID('R.M Billets Reports'!D2628,SEARCH("-",'R.M Billets Reports'!D2628)+1,200)),"")),IF(ISNUMBER(SEARCH("Party Name:-",'R.M Billets Reports'!D2629)),TRIM('R.M Billets Reports'!F2629),IF(ISNUMBER(SEARCH("Party Name-",'R.M Billets Reports'!D2629)),TRIM(MID('R.M Billets Reports'!D2629,SEARCH("-",'R.M Billets Reports'!D2629)+1,200)),"")))="SHREE RADHE SHAKTI SPONGE AND POWER PVT. LTD.","SHREE RADHE",IF(IF(ISNUMBER(SEARCH("Party Name:-",'R.M Billets Reports'!D2628)),TRIM('R.M Billets Reports'!F2628),IF(ISNUMBER(SEARCH("Party Name-",'R.M Billets Reports'!D2628)),TRIM(MID('R.M Billets Reports'!D2628,SEARCH("-",'R.M Billets Reports'!D2628)+1,200)),""))&lt;&gt;"",IF(ISNUMBER(SEARCH("Party Name:-",'R.M Billets Reports'!D2628)),TRIM('R.M Billets Reports'!F2628),IF(ISNUMBER(SEARCH("Party Name-",'R.M Billets Reports'!D2628)),TRIM(MID('R.M Billets Reports'!D2628,SEARCH("-",'R.M Billets Reports'!D2628)+1,200)),"")),IF(ISNUMBER(SEARCH("Party Name:-",'R.M Billets Reports'!D2629)),TRIM('R.M Billets Reports'!F2629),IF(ISNUMBER(SEARCH("Party Name-",'R.M Billets Reports'!D2629)),TRIM(MID('R.M Billets Reports'!D2629,SEARCH("-",'R.M Billets Reports'!D2629)+1,200)),"")))))),IF(ROW()=2,"",A2628))</f>
      </c>
      <c r="B2629">
        <f>IF(OR('R.M Billets Reports'!A2628="Date-",'R.M Billets Reports'!A2628="Date:-"),'R.M Billets Reports'!B2628,IF(ROW()=2,"",B2628))</f>
      </c>
      <c r="C2629">
        <f>IF('R.M Billets Reports'!A2628="V.No.",'R.M Billets Reports'!B2628,IF(ROW()=2,"",C2628))</f>
      </c>
      <c r="D2629">
        <f>IF('R.M Billets Reports'!A2628&lt;&gt;"",'R.M Billets Reports'!A2628,IF(ROW()=2,"",D2628))</f>
      </c>
      <c r="E2629">
        <f>IF('R.M Billets Reports'!B2628="","",TRIM('R.M Billets Reports'!B2628))</f>
      </c>
      <c r="F2629">
        <f>'R.M Billets Reports'!C2628</f>
      </c>
      <c r="G2629">
        <f>'R.M Billets Reports'!D2628</f>
      </c>
      <c r="H2629">
        <f>'R.M Billets Reports'!E2628</f>
      </c>
      <c r="I2629">
        <f>'R.M Billets Reports'!F2628</f>
      </c>
      <c r="J2629">
        <f>'R.M Billets Reports'!G2628</f>
      </c>
      <c r="K2629">
        <f>'R.M Billets Reports'!H2628</f>
      </c>
      <c r="L2629">
        <f>IF('R.M Billets Reports'!I2628="","",'R.M Billets Reports'!I2628)</f>
      </c>
      <c r="M2629">
        <f t="shared" si="82"/>
      </c>
      <c r="N2629">
        <f>IF('R.M Billets Reports'!J2628="","",'R.M Billets Reports'!J2628)</f>
      </c>
      <c r="O2629">
        <f t="shared" si="83"/>
      </c>
      <c r="P2629">
        <f>IF('R.M Billets Reports'!A2628="SIZE",'R.M Billets Reports'!B2628,P2628)</f>
      </c>
    </row>
    <row r="2630" spans="1:16" x14ac:dyDescent="0.25">
      <c r="A2630">
        <f>IF(OR('R.M Billets Reports'!A2629="Date-",'R.M Billets Reports'!A2629="Date:-"),IF(IF(IF(ISNUMBER(SEARCH("Party Name:-",'R.M Billets Reports'!D2629)),TRIM('R.M Billets Reports'!F2629),IF(ISNUMBER(SEARCH("Party Name-",'R.M Billets Reports'!D2629)),TRIM(MID('R.M Billets Reports'!D2629,SEARCH("-",'R.M Billets Reports'!D2629)+1,200)),""))&lt;&gt;"",IF(ISNUMBER(SEARCH("Party Name:-",'R.M Billets Reports'!D2629)),TRIM('R.M Billets Reports'!F2629),IF(ISNUMBER(SEARCH("Party Name-",'R.M Billets Reports'!D2629)),TRIM(MID('R.M Billets Reports'!D2629,SEARCH("-",'R.M Billets Reports'!D2629)+1,200)),"")),IF(ISNUMBER(SEARCH("Party Name:-",'R.M Billets Reports'!D2630)),TRIM('R.M Billets Reports'!F2630),IF(ISNUMBER(SEARCH("Party Name-",'R.M Billets Reports'!D2630)),TRIM(MID('R.M Billets Reports'!D2630,SEARCH("-",'R.M Billets Reports'!D2630)+1,200)),"")))="VRKP ISPAT PVT LTD","VRKP",IF(IF(IF(ISNUMBER(SEARCH("Party Name:-",'R.M Billets Reports'!D2629)),TRIM('R.M Billets Reports'!F2629),IF(ISNUMBER(SEARCH("Party Name-",'R.M Billets Reports'!D2629)),TRIM(MID('R.M Billets Reports'!D2629,SEARCH("-",'R.M Billets Reports'!D2629)+1,200)),""))&lt;&gt;"",IF(ISNUMBER(SEARCH("Party Name:-",'R.M Billets Reports'!D2629)),TRIM('R.M Billets Reports'!F2629),IF(ISNUMBER(SEARCH("Party Name-",'R.M Billets Reports'!D2629)),TRIM(MID('R.M Billets Reports'!D2629,SEARCH("-",'R.M Billets Reports'!D2629)+1,200)),"")),IF(ISNUMBER(SEARCH("Party Name:-",'R.M Billets Reports'!D2630)),TRIM('R.M Billets Reports'!F2630),IF(ISNUMBER(SEARCH("Party Name-",'R.M Billets Reports'!D2630)),TRIM(MID('R.M Billets Reports'!D2630,SEARCH("-",'R.M Billets Reports'!D2630)+1,200)),"")))="SHRI RADHE","SHREE RADHE",IF(IF(IF(ISNUMBER(SEARCH("Party Name:-",'R.M Billets Reports'!D2629)),TRIM('R.M Billets Reports'!F2629),IF(ISNUMBER(SEARCH("Party Name-",'R.M Billets Reports'!D2629)),TRIM(MID('R.M Billets Reports'!D2629,SEARCH("-",'R.M Billets Reports'!D2629)+1,200)),""))&lt;&gt;"",IF(ISNUMBER(SEARCH("Party Name:-",'R.M Billets Reports'!D2629)),TRIM('R.M Billets Reports'!F2629),IF(ISNUMBER(SEARCH("Party Name-",'R.M Billets Reports'!D2629)),TRIM(MID('R.M Billets Reports'!D2629,SEARCH("-",'R.M Billets Reports'!D2629)+1,200)),"")),IF(ISNUMBER(SEARCH("Party Name:-",'R.M Billets Reports'!D2630)),TRIM('R.M Billets Reports'!F2630),IF(ISNUMBER(SEARCH("Party Name-",'R.M Billets Reports'!D2630)),TRIM(MID('R.M Billets Reports'!D2630,SEARCH("-",'R.M Billets Reports'!D2630)+1,200)),"")))="SHREE RADHE SHAKTI SPONGE AND POWER PVT. LTD.","SHREE RADHE",IF(IF(ISNUMBER(SEARCH("Party Name:-",'R.M Billets Reports'!D2629)),TRIM('R.M Billets Reports'!F2629),IF(ISNUMBER(SEARCH("Party Name-",'R.M Billets Reports'!D2629)),TRIM(MID('R.M Billets Reports'!D2629,SEARCH("-",'R.M Billets Reports'!D2629)+1,200)),""))&lt;&gt;"",IF(ISNUMBER(SEARCH("Party Name:-",'R.M Billets Reports'!D2629)),TRIM('R.M Billets Reports'!F2629),IF(ISNUMBER(SEARCH("Party Name-",'R.M Billets Reports'!D2629)),TRIM(MID('R.M Billets Reports'!D2629,SEARCH("-",'R.M Billets Reports'!D2629)+1,200)),"")),IF(ISNUMBER(SEARCH("Party Name:-",'R.M Billets Reports'!D2630)),TRIM('R.M Billets Reports'!F2630),IF(ISNUMBER(SEARCH("Party Name-",'R.M Billets Reports'!D2630)),TRIM(MID('R.M Billets Reports'!D2630,SEARCH("-",'R.M Billets Reports'!D2630)+1,200)),"")))))),IF(ROW()=2,"",A2629))</f>
      </c>
      <c r="B2630">
        <f>IF(OR('R.M Billets Reports'!A2629="Date-",'R.M Billets Reports'!A2629="Date:-"),'R.M Billets Reports'!B2629,IF(ROW()=2,"",B2629))</f>
      </c>
      <c r="C2630">
        <f>IF('R.M Billets Reports'!A2629="V.No.",'R.M Billets Reports'!B2629,IF(ROW()=2,"",C2629))</f>
      </c>
      <c r="D2630">
        <f>IF('R.M Billets Reports'!A2629&lt;&gt;"",'R.M Billets Reports'!A2629,IF(ROW()=2,"",D2629))</f>
      </c>
      <c r="E2630">
        <f>IF('R.M Billets Reports'!B2629="","",TRIM('R.M Billets Reports'!B2629))</f>
      </c>
      <c r="F2630">
        <f>'R.M Billets Reports'!C2629</f>
      </c>
      <c r="G2630">
        <f>'R.M Billets Reports'!D2629</f>
      </c>
      <c r="H2630">
        <f>'R.M Billets Reports'!E2629</f>
      </c>
      <c r="I2630">
        <f>'R.M Billets Reports'!F2629</f>
      </c>
      <c r="J2630">
        <f>'R.M Billets Reports'!G2629</f>
      </c>
      <c r="K2630">
        <f>'R.M Billets Reports'!H2629</f>
      </c>
      <c r="L2630">
        <f>IF('R.M Billets Reports'!I2629="","",'R.M Billets Reports'!I2629)</f>
      </c>
      <c r="M2630">
        <f t="shared" si="82"/>
      </c>
      <c r="N2630">
        <f>IF('R.M Billets Reports'!J2629="","",'R.M Billets Reports'!J2629)</f>
      </c>
      <c r="O2630">
        <f t="shared" si="83"/>
      </c>
      <c r="P2630">
        <f>IF('R.M Billets Reports'!A2629="SIZE",'R.M Billets Reports'!B2629,P2629)</f>
      </c>
    </row>
    <row r="2631" spans="1:16" x14ac:dyDescent="0.25">
      <c r="A2631">
        <f>IF(OR('R.M Billets Reports'!A2630="Date-",'R.M Billets Reports'!A2630="Date:-"),IF(IF(IF(ISNUMBER(SEARCH("Party Name:-",'R.M Billets Reports'!D2630)),TRIM('R.M Billets Reports'!F2630),IF(ISNUMBER(SEARCH("Party Name-",'R.M Billets Reports'!D2630)),TRIM(MID('R.M Billets Reports'!D2630,SEARCH("-",'R.M Billets Reports'!D2630)+1,200)),""))&lt;&gt;"",IF(ISNUMBER(SEARCH("Party Name:-",'R.M Billets Reports'!D2630)),TRIM('R.M Billets Reports'!F2630),IF(ISNUMBER(SEARCH("Party Name-",'R.M Billets Reports'!D2630)),TRIM(MID('R.M Billets Reports'!D2630,SEARCH("-",'R.M Billets Reports'!D2630)+1,200)),"")),IF(ISNUMBER(SEARCH("Party Name:-",'R.M Billets Reports'!D2631)),TRIM('R.M Billets Reports'!F2631),IF(ISNUMBER(SEARCH("Party Name-",'R.M Billets Reports'!D2631)),TRIM(MID('R.M Billets Reports'!D2631,SEARCH("-",'R.M Billets Reports'!D2631)+1,200)),"")))="VRKP ISPAT PVT LTD","VRKP",IF(IF(IF(ISNUMBER(SEARCH("Party Name:-",'R.M Billets Reports'!D2630)),TRIM('R.M Billets Reports'!F2630),IF(ISNUMBER(SEARCH("Party Name-",'R.M Billets Reports'!D2630)),TRIM(MID('R.M Billets Reports'!D2630,SEARCH("-",'R.M Billets Reports'!D2630)+1,200)),""))&lt;&gt;"",IF(ISNUMBER(SEARCH("Party Name:-",'R.M Billets Reports'!D2630)),TRIM('R.M Billets Reports'!F2630),IF(ISNUMBER(SEARCH("Party Name-",'R.M Billets Reports'!D2630)),TRIM(MID('R.M Billets Reports'!D2630,SEARCH("-",'R.M Billets Reports'!D2630)+1,200)),"")),IF(ISNUMBER(SEARCH("Party Name:-",'R.M Billets Reports'!D2631)),TRIM('R.M Billets Reports'!F2631),IF(ISNUMBER(SEARCH("Party Name-",'R.M Billets Reports'!D2631)),TRIM(MID('R.M Billets Reports'!D2631,SEARCH("-",'R.M Billets Reports'!D2631)+1,200)),"")))="SHRI RADHE","SHREE RADHE",IF(IF(IF(ISNUMBER(SEARCH("Party Name:-",'R.M Billets Reports'!D2630)),TRIM('R.M Billets Reports'!F2630),IF(ISNUMBER(SEARCH("Party Name-",'R.M Billets Reports'!D2630)),TRIM(MID('R.M Billets Reports'!D2630,SEARCH("-",'R.M Billets Reports'!D2630)+1,200)),""))&lt;&gt;"",IF(ISNUMBER(SEARCH("Party Name:-",'R.M Billets Reports'!D2630)),TRIM('R.M Billets Reports'!F2630),IF(ISNUMBER(SEARCH("Party Name-",'R.M Billets Reports'!D2630)),TRIM(MID('R.M Billets Reports'!D2630,SEARCH("-",'R.M Billets Reports'!D2630)+1,200)),"")),IF(ISNUMBER(SEARCH("Party Name:-",'R.M Billets Reports'!D2631)),TRIM('R.M Billets Reports'!F2631),IF(ISNUMBER(SEARCH("Party Name-",'R.M Billets Reports'!D2631)),TRIM(MID('R.M Billets Reports'!D2631,SEARCH("-",'R.M Billets Reports'!D2631)+1,200)),"")))="SHREE RADHE SHAKTI SPONGE AND POWER PVT. LTD.","SHREE RADHE",IF(IF(ISNUMBER(SEARCH("Party Name:-",'R.M Billets Reports'!D2630)),TRIM('R.M Billets Reports'!F2630),IF(ISNUMBER(SEARCH("Party Name-",'R.M Billets Reports'!D2630)),TRIM(MID('R.M Billets Reports'!D2630,SEARCH("-",'R.M Billets Reports'!D2630)+1,200)),""))&lt;&gt;"",IF(ISNUMBER(SEARCH("Party Name:-",'R.M Billets Reports'!D2630)),TRIM('R.M Billets Reports'!F2630),IF(ISNUMBER(SEARCH("Party Name-",'R.M Billets Reports'!D2630)),TRIM(MID('R.M Billets Reports'!D2630,SEARCH("-",'R.M Billets Reports'!D2630)+1,200)),"")),IF(ISNUMBER(SEARCH("Party Name:-",'R.M Billets Reports'!D2631)),TRIM('R.M Billets Reports'!F2631),IF(ISNUMBER(SEARCH("Party Name-",'R.M Billets Reports'!D2631)),TRIM(MID('R.M Billets Reports'!D2631,SEARCH("-",'R.M Billets Reports'!D2631)+1,200)),"")))))),IF(ROW()=2,"",A2630))</f>
      </c>
      <c r="B2631">
        <f>IF(OR('R.M Billets Reports'!A2630="Date-",'R.M Billets Reports'!A2630="Date:-"),'R.M Billets Reports'!B2630,IF(ROW()=2,"",B2630))</f>
      </c>
      <c r="C2631">
        <f>IF('R.M Billets Reports'!A2630="V.No.",'R.M Billets Reports'!B2630,IF(ROW()=2,"",C2630))</f>
      </c>
      <c r="D2631">
        <f>IF('R.M Billets Reports'!A2630&lt;&gt;"",'R.M Billets Reports'!A2630,IF(ROW()=2,"",D2630))</f>
      </c>
      <c r="E2631">
        <f>IF('R.M Billets Reports'!B2630="","",TRIM('R.M Billets Reports'!B2630))</f>
      </c>
      <c r="F2631">
        <f>'R.M Billets Reports'!C2630</f>
      </c>
      <c r="G2631">
        <f>'R.M Billets Reports'!D2630</f>
      </c>
      <c r="H2631">
        <f>'R.M Billets Reports'!E2630</f>
      </c>
      <c r="I2631">
        <f>'R.M Billets Reports'!F2630</f>
      </c>
      <c r="J2631">
        <f>'R.M Billets Reports'!G2630</f>
      </c>
      <c r="K2631">
        <f>'R.M Billets Reports'!H2630</f>
      </c>
      <c r="L2631">
        <f>IF('R.M Billets Reports'!I2630="","",'R.M Billets Reports'!I2630)</f>
      </c>
      <c r="M2631">
        <f t="shared" si="82"/>
      </c>
      <c r="N2631">
        <f>IF('R.M Billets Reports'!J2630="","",'R.M Billets Reports'!J2630)</f>
      </c>
      <c r="O2631">
        <f t="shared" si="83"/>
      </c>
      <c r="P2631">
        <f>IF('R.M Billets Reports'!A2630="SIZE",'R.M Billets Reports'!B2630,P2630)</f>
      </c>
    </row>
    <row r="2632" spans="1:16" x14ac:dyDescent="0.25">
      <c r="A2632">
        <f>IF(OR('R.M Billets Reports'!A2631="Date-",'R.M Billets Reports'!A2631="Date:-"),IF(IF(IF(ISNUMBER(SEARCH("Party Name:-",'R.M Billets Reports'!D2631)),TRIM('R.M Billets Reports'!F2631),IF(ISNUMBER(SEARCH("Party Name-",'R.M Billets Reports'!D2631)),TRIM(MID('R.M Billets Reports'!D2631,SEARCH("-",'R.M Billets Reports'!D2631)+1,200)),""))&lt;&gt;"",IF(ISNUMBER(SEARCH("Party Name:-",'R.M Billets Reports'!D2631)),TRIM('R.M Billets Reports'!F2631),IF(ISNUMBER(SEARCH("Party Name-",'R.M Billets Reports'!D2631)),TRIM(MID('R.M Billets Reports'!D2631,SEARCH("-",'R.M Billets Reports'!D2631)+1,200)),"")),IF(ISNUMBER(SEARCH("Party Name:-",'R.M Billets Reports'!D2632)),TRIM('R.M Billets Reports'!F2632),IF(ISNUMBER(SEARCH("Party Name-",'R.M Billets Reports'!D2632)),TRIM(MID('R.M Billets Reports'!D2632,SEARCH("-",'R.M Billets Reports'!D2632)+1,200)),"")))="VRKP ISPAT PVT LTD","VRKP",IF(IF(IF(ISNUMBER(SEARCH("Party Name:-",'R.M Billets Reports'!D2631)),TRIM('R.M Billets Reports'!F2631),IF(ISNUMBER(SEARCH("Party Name-",'R.M Billets Reports'!D2631)),TRIM(MID('R.M Billets Reports'!D2631,SEARCH("-",'R.M Billets Reports'!D2631)+1,200)),""))&lt;&gt;"",IF(ISNUMBER(SEARCH("Party Name:-",'R.M Billets Reports'!D2631)),TRIM('R.M Billets Reports'!F2631),IF(ISNUMBER(SEARCH("Party Name-",'R.M Billets Reports'!D2631)),TRIM(MID('R.M Billets Reports'!D2631,SEARCH("-",'R.M Billets Reports'!D2631)+1,200)),"")),IF(ISNUMBER(SEARCH("Party Name:-",'R.M Billets Reports'!D2632)),TRIM('R.M Billets Reports'!F2632),IF(ISNUMBER(SEARCH("Party Name-",'R.M Billets Reports'!D2632)),TRIM(MID('R.M Billets Reports'!D2632,SEARCH("-",'R.M Billets Reports'!D2632)+1,200)),"")))="SHRI RADHE","SHREE RADHE",IF(IF(IF(ISNUMBER(SEARCH("Party Name:-",'R.M Billets Reports'!D2631)),TRIM('R.M Billets Reports'!F2631),IF(ISNUMBER(SEARCH("Party Name-",'R.M Billets Reports'!D2631)),TRIM(MID('R.M Billets Reports'!D2631,SEARCH("-",'R.M Billets Reports'!D2631)+1,200)),""))&lt;&gt;"",IF(ISNUMBER(SEARCH("Party Name:-",'R.M Billets Reports'!D2631)),TRIM('R.M Billets Reports'!F2631),IF(ISNUMBER(SEARCH("Party Name-",'R.M Billets Reports'!D2631)),TRIM(MID('R.M Billets Reports'!D2631,SEARCH("-",'R.M Billets Reports'!D2631)+1,200)),"")),IF(ISNUMBER(SEARCH("Party Name:-",'R.M Billets Reports'!D2632)),TRIM('R.M Billets Reports'!F2632),IF(ISNUMBER(SEARCH("Party Name-",'R.M Billets Reports'!D2632)),TRIM(MID('R.M Billets Reports'!D2632,SEARCH("-",'R.M Billets Reports'!D2632)+1,200)),"")))="SHREE RADHE SHAKTI SPONGE AND POWER PVT. LTD.","SHREE RADHE",IF(IF(ISNUMBER(SEARCH("Party Name:-",'R.M Billets Reports'!D2631)),TRIM('R.M Billets Reports'!F2631),IF(ISNUMBER(SEARCH("Party Name-",'R.M Billets Reports'!D2631)),TRIM(MID('R.M Billets Reports'!D2631,SEARCH("-",'R.M Billets Reports'!D2631)+1,200)),""))&lt;&gt;"",IF(ISNUMBER(SEARCH("Party Name:-",'R.M Billets Reports'!D2631)),TRIM('R.M Billets Reports'!F2631),IF(ISNUMBER(SEARCH("Party Name-",'R.M Billets Reports'!D2631)),TRIM(MID('R.M Billets Reports'!D2631,SEARCH("-",'R.M Billets Reports'!D2631)+1,200)),"")),IF(ISNUMBER(SEARCH("Party Name:-",'R.M Billets Reports'!D2632)),TRIM('R.M Billets Reports'!F2632),IF(ISNUMBER(SEARCH("Party Name-",'R.M Billets Reports'!D2632)),TRIM(MID('R.M Billets Reports'!D2632,SEARCH("-",'R.M Billets Reports'!D2632)+1,200)),"")))))),IF(ROW()=2,"",A2631))</f>
      </c>
      <c r="B2632">
        <f>IF(OR('R.M Billets Reports'!A2631="Date-",'R.M Billets Reports'!A2631="Date:-"),'R.M Billets Reports'!B2631,IF(ROW()=2,"",B2631))</f>
      </c>
      <c r="C2632">
        <f>IF('R.M Billets Reports'!A2631="V.No.",'R.M Billets Reports'!B2631,IF(ROW()=2,"",C2631))</f>
      </c>
      <c r="D2632">
        <f>IF('R.M Billets Reports'!A2631&lt;&gt;"",'R.M Billets Reports'!A2631,IF(ROW()=2,"",D2631))</f>
      </c>
      <c r="E2632">
        <f>IF('R.M Billets Reports'!B2631="","",TRIM('R.M Billets Reports'!B2631))</f>
      </c>
      <c r="F2632">
        <f>'R.M Billets Reports'!C2631</f>
      </c>
      <c r="G2632">
        <f>'R.M Billets Reports'!D2631</f>
      </c>
      <c r="H2632">
        <f>'R.M Billets Reports'!E2631</f>
      </c>
      <c r="I2632">
        <f>'R.M Billets Reports'!F2631</f>
      </c>
      <c r="J2632">
        <f>'R.M Billets Reports'!G2631</f>
      </c>
      <c r="K2632">
        <f>'R.M Billets Reports'!H2631</f>
      </c>
      <c r="L2632">
        <f>IF('R.M Billets Reports'!I2631="","",'R.M Billets Reports'!I2631)</f>
      </c>
      <c r="M2632">
        <f t="shared" si="82"/>
      </c>
      <c r="N2632">
        <f>IF('R.M Billets Reports'!J2631="","",'R.M Billets Reports'!J2631)</f>
      </c>
      <c r="O2632">
        <f t="shared" si="83"/>
      </c>
      <c r="P2632">
        <f>IF('R.M Billets Reports'!A2631="SIZE",'R.M Billets Reports'!B2631,P2631)</f>
      </c>
    </row>
    <row r="2633" spans="1:16" x14ac:dyDescent="0.25">
      <c r="A2633">
        <f>IF(OR('R.M Billets Reports'!A2632="Date-",'R.M Billets Reports'!A2632="Date:-"),IF(IF(IF(ISNUMBER(SEARCH("Party Name:-",'R.M Billets Reports'!D2632)),TRIM('R.M Billets Reports'!F2632),IF(ISNUMBER(SEARCH("Party Name-",'R.M Billets Reports'!D2632)),TRIM(MID('R.M Billets Reports'!D2632,SEARCH("-",'R.M Billets Reports'!D2632)+1,200)),""))&lt;&gt;"",IF(ISNUMBER(SEARCH("Party Name:-",'R.M Billets Reports'!D2632)),TRIM('R.M Billets Reports'!F2632),IF(ISNUMBER(SEARCH("Party Name-",'R.M Billets Reports'!D2632)),TRIM(MID('R.M Billets Reports'!D2632,SEARCH("-",'R.M Billets Reports'!D2632)+1,200)),"")),IF(ISNUMBER(SEARCH("Party Name:-",'R.M Billets Reports'!D2633)),TRIM('R.M Billets Reports'!F2633),IF(ISNUMBER(SEARCH("Party Name-",'R.M Billets Reports'!D2633)),TRIM(MID('R.M Billets Reports'!D2633,SEARCH("-",'R.M Billets Reports'!D2633)+1,200)),"")))="VRKP ISPAT PVT LTD","VRKP",IF(IF(IF(ISNUMBER(SEARCH("Party Name:-",'R.M Billets Reports'!D2632)),TRIM('R.M Billets Reports'!F2632),IF(ISNUMBER(SEARCH("Party Name-",'R.M Billets Reports'!D2632)),TRIM(MID('R.M Billets Reports'!D2632,SEARCH("-",'R.M Billets Reports'!D2632)+1,200)),""))&lt;&gt;"",IF(ISNUMBER(SEARCH("Party Name:-",'R.M Billets Reports'!D2632)),TRIM('R.M Billets Reports'!F2632),IF(ISNUMBER(SEARCH("Party Name-",'R.M Billets Reports'!D2632)),TRIM(MID('R.M Billets Reports'!D2632,SEARCH("-",'R.M Billets Reports'!D2632)+1,200)),"")),IF(ISNUMBER(SEARCH("Party Name:-",'R.M Billets Reports'!D2633)),TRIM('R.M Billets Reports'!F2633),IF(ISNUMBER(SEARCH("Party Name-",'R.M Billets Reports'!D2633)),TRIM(MID('R.M Billets Reports'!D2633,SEARCH("-",'R.M Billets Reports'!D2633)+1,200)),"")))="SHRI RADHE","SHREE RADHE",IF(IF(IF(ISNUMBER(SEARCH("Party Name:-",'R.M Billets Reports'!D2632)),TRIM('R.M Billets Reports'!F2632),IF(ISNUMBER(SEARCH("Party Name-",'R.M Billets Reports'!D2632)),TRIM(MID('R.M Billets Reports'!D2632,SEARCH("-",'R.M Billets Reports'!D2632)+1,200)),""))&lt;&gt;"",IF(ISNUMBER(SEARCH("Party Name:-",'R.M Billets Reports'!D2632)),TRIM('R.M Billets Reports'!F2632),IF(ISNUMBER(SEARCH("Party Name-",'R.M Billets Reports'!D2632)),TRIM(MID('R.M Billets Reports'!D2632,SEARCH("-",'R.M Billets Reports'!D2632)+1,200)),"")),IF(ISNUMBER(SEARCH("Party Name:-",'R.M Billets Reports'!D2633)),TRIM('R.M Billets Reports'!F2633),IF(ISNUMBER(SEARCH("Party Name-",'R.M Billets Reports'!D2633)),TRIM(MID('R.M Billets Reports'!D2633,SEARCH("-",'R.M Billets Reports'!D2633)+1,200)),"")))="SHREE RADHE SHAKTI SPONGE AND POWER PVT. LTD.","SHREE RADHE",IF(IF(ISNUMBER(SEARCH("Party Name:-",'R.M Billets Reports'!D2632)),TRIM('R.M Billets Reports'!F2632),IF(ISNUMBER(SEARCH("Party Name-",'R.M Billets Reports'!D2632)),TRIM(MID('R.M Billets Reports'!D2632,SEARCH("-",'R.M Billets Reports'!D2632)+1,200)),""))&lt;&gt;"",IF(ISNUMBER(SEARCH("Party Name:-",'R.M Billets Reports'!D2632)),TRIM('R.M Billets Reports'!F2632),IF(ISNUMBER(SEARCH("Party Name-",'R.M Billets Reports'!D2632)),TRIM(MID('R.M Billets Reports'!D2632,SEARCH("-",'R.M Billets Reports'!D2632)+1,200)),"")),IF(ISNUMBER(SEARCH("Party Name:-",'R.M Billets Reports'!D2633)),TRIM('R.M Billets Reports'!F2633),IF(ISNUMBER(SEARCH("Party Name-",'R.M Billets Reports'!D2633)),TRIM(MID('R.M Billets Reports'!D2633,SEARCH("-",'R.M Billets Reports'!D2633)+1,200)),"")))))),IF(ROW()=2,"",A2632))</f>
      </c>
      <c r="B2633">
        <f>IF(OR('R.M Billets Reports'!A2632="Date-",'R.M Billets Reports'!A2632="Date:-"),'R.M Billets Reports'!B2632,IF(ROW()=2,"",B2632))</f>
      </c>
      <c r="C2633">
        <f>IF('R.M Billets Reports'!A2632="V.No.",'R.M Billets Reports'!B2632,IF(ROW()=2,"",C2632))</f>
      </c>
      <c r="D2633">
        <f>IF('R.M Billets Reports'!A2632&lt;&gt;"",'R.M Billets Reports'!A2632,IF(ROW()=2,"",D2632))</f>
      </c>
      <c r="E2633">
        <f>IF('R.M Billets Reports'!B2632="","",TRIM('R.M Billets Reports'!B2632))</f>
      </c>
      <c r="F2633">
        <f>'R.M Billets Reports'!C2632</f>
      </c>
      <c r="G2633">
        <f>'R.M Billets Reports'!D2632</f>
      </c>
      <c r="H2633">
        <f>'R.M Billets Reports'!E2632</f>
      </c>
      <c r="I2633">
        <f>'R.M Billets Reports'!F2632</f>
      </c>
      <c r="J2633">
        <f>'R.M Billets Reports'!G2632</f>
      </c>
      <c r="K2633">
        <f>'R.M Billets Reports'!H2632</f>
      </c>
      <c r="L2633">
        <f>IF('R.M Billets Reports'!I2632="","",'R.M Billets Reports'!I2632)</f>
      </c>
      <c r="M2633">
        <f t="shared" si="82"/>
      </c>
      <c r="N2633">
        <f>IF('R.M Billets Reports'!J2632="","",'R.M Billets Reports'!J2632)</f>
      </c>
      <c r="O2633">
        <f t="shared" si="83"/>
      </c>
      <c r="P2633">
        <f>IF('R.M Billets Reports'!A2632="SIZE",'R.M Billets Reports'!B2632,P2632)</f>
      </c>
    </row>
    <row r="2634" spans="1:16" x14ac:dyDescent="0.25">
      <c r="A2634">
        <f>IF(OR('R.M Billets Reports'!A2633="Date-",'R.M Billets Reports'!A2633="Date:-"),IF(IF(IF(ISNUMBER(SEARCH("Party Name:-",'R.M Billets Reports'!D2633)),TRIM('R.M Billets Reports'!F2633),IF(ISNUMBER(SEARCH("Party Name-",'R.M Billets Reports'!D2633)),TRIM(MID('R.M Billets Reports'!D2633,SEARCH("-",'R.M Billets Reports'!D2633)+1,200)),""))&lt;&gt;"",IF(ISNUMBER(SEARCH("Party Name:-",'R.M Billets Reports'!D2633)),TRIM('R.M Billets Reports'!F2633),IF(ISNUMBER(SEARCH("Party Name-",'R.M Billets Reports'!D2633)),TRIM(MID('R.M Billets Reports'!D2633,SEARCH("-",'R.M Billets Reports'!D2633)+1,200)),"")),IF(ISNUMBER(SEARCH("Party Name:-",'R.M Billets Reports'!D2634)),TRIM('R.M Billets Reports'!F2634),IF(ISNUMBER(SEARCH("Party Name-",'R.M Billets Reports'!D2634)),TRIM(MID('R.M Billets Reports'!D2634,SEARCH("-",'R.M Billets Reports'!D2634)+1,200)),"")))="VRKP ISPAT PVT LTD","VRKP",IF(IF(IF(ISNUMBER(SEARCH("Party Name:-",'R.M Billets Reports'!D2633)),TRIM('R.M Billets Reports'!F2633),IF(ISNUMBER(SEARCH("Party Name-",'R.M Billets Reports'!D2633)),TRIM(MID('R.M Billets Reports'!D2633,SEARCH("-",'R.M Billets Reports'!D2633)+1,200)),""))&lt;&gt;"",IF(ISNUMBER(SEARCH("Party Name:-",'R.M Billets Reports'!D2633)),TRIM('R.M Billets Reports'!F2633),IF(ISNUMBER(SEARCH("Party Name-",'R.M Billets Reports'!D2633)),TRIM(MID('R.M Billets Reports'!D2633,SEARCH("-",'R.M Billets Reports'!D2633)+1,200)),"")),IF(ISNUMBER(SEARCH("Party Name:-",'R.M Billets Reports'!D2634)),TRIM('R.M Billets Reports'!F2634),IF(ISNUMBER(SEARCH("Party Name-",'R.M Billets Reports'!D2634)),TRIM(MID('R.M Billets Reports'!D2634,SEARCH("-",'R.M Billets Reports'!D2634)+1,200)),"")))="SHRI RADHE","SHREE RADHE",IF(IF(IF(ISNUMBER(SEARCH("Party Name:-",'R.M Billets Reports'!D2633)),TRIM('R.M Billets Reports'!F2633),IF(ISNUMBER(SEARCH("Party Name-",'R.M Billets Reports'!D2633)),TRIM(MID('R.M Billets Reports'!D2633,SEARCH("-",'R.M Billets Reports'!D2633)+1,200)),""))&lt;&gt;"",IF(ISNUMBER(SEARCH("Party Name:-",'R.M Billets Reports'!D2633)),TRIM('R.M Billets Reports'!F2633),IF(ISNUMBER(SEARCH("Party Name-",'R.M Billets Reports'!D2633)),TRIM(MID('R.M Billets Reports'!D2633,SEARCH("-",'R.M Billets Reports'!D2633)+1,200)),"")),IF(ISNUMBER(SEARCH("Party Name:-",'R.M Billets Reports'!D2634)),TRIM('R.M Billets Reports'!F2634),IF(ISNUMBER(SEARCH("Party Name-",'R.M Billets Reports'!D2634)),TRIM(MID('R.M Billets Reports'!D2634,SEARCH("-",'R.M Billets Reports'!D2634)+1,200)),"")))="SHREE RADHE SHAKTI SPONGE AND POWER PVT. LTD.","SHREE RADHE",IF(IF(ISNUMBER(SEARCH("Party Name:-",'R.M Billets Reports'!D2633)),TRIM('R.M Billets Reports'!F2633),IF(ISNUMBER(SEARCH("Party Name-",'R.M Billets Reports'!D2633)),TRIM(MID('R.M Billets Reports'!D2633,SEARCH("-",'R.M Billets Reports'!D2633)+1,200)),""))&lt;&gt;"",IF(ISNUMBER(SEARCH("Party Name:-",'R.M Billets Reports'!D2633)),TRIM('R.M Billets Reports'!F2633),IF(ISNUMBER(SEARCH("Party Name-",'R.M Billets Reports'!D2633)),TRIM(MID('R.M Billets Reports'!D2633,SEARCH("-",'R.M Billets Reports'!D2633)+1,200)),"")),IF(ISNUMBER(SEARCH("Party Name:-",'R.M Billets Reports'!D2634)),TRIM('R.M Billets Reports'!F2634),IF(ISNUMBER(SEARCH("Party Name-",'R.M Billets Reports'!D2634)),TRIM(MID('R.M Billets Reports'!D2634,SEARCH("-",'R.M Billets Reports'!D2634)+1,200)),"")))))),IF(ROW()=2,"",A2633))</f>
      </c>
      <c r="B2634">
        <f>IF(OR('R.M Billets Reports'!A2633="Date-",'R.M Billets Reports'!A2633="Date:-"),'R.M Billets Reports'!B2633,IF(ROW()=2,"",B2633))</f>
      </c>
      <c r="C2634">
        <f>IF('R.M Billets Reports'!A2633="V.No.",'R.M Billets Reports'!B2633,IF(ROW()=2,"",C2633))</f>
      </c>
      <c r="D2634">
        <f>IF('R.M Billets Reports'!A2633&lt;&gt;"",'R.M Billets Reports'!A2633,IF(ROW()=2,"",D2633))</f>
      </c>
      <c r="E2634">
        <f>IF('R.M Billets Reports'!B2633="","",TRIM('R.M Billets Reports'!B2633))</f>
      </c>
      <c r="F2634">
        <f>'R.M Billets Reports'!C2633</f>
      </c>
      <c r="G2634">
        <f>'R.M Billets Reports'!D2633</f>
      </c>
      <c r="H2634">
        <f>'R.M Billets Reports'!E2633</f>
      </c>
      <c r="I2634">
        <f>'R.M Billets Reports'!F2633</f>
      </c>
      <c r="J2634">
        <f>'R.M Billets Reports'!G2633</f>
      </c>
      <c r="K2634">
        <f>'R.M Billets Reports'!H2633</f>
      </c>
      <c r="L2634">
        <f>IF('R.M Billets Reports'!I2633="","",'R.M Billets Reports'!I2633)</f>
      </c>
      <c r="M2634">
        <f t="shared" si="82"/>
      </c>
      <c r="N2634">
        <f>IF('R.M Billets Reports'!J2633="","",'R.M Billets Reports'!J2633)</f>
      </c>
      <c r="O2634">
        <f t="shared" si="83"/>
      </c>
      <c r="P2634">
        <f>IF('R.M Billets Reports'!A2633="SIZE",'R.M Billets Reports'!B2633,P2633)</f>
      </c>
    </row>
    <row r="2635" spans="1:16" x14ac:dyDescent="0.25">
      <c r="A2635">
        <f>IF(OR('R.M Billets Reports'!A2634="Date-",'R.M Billets Reports'!A2634="Date:-"),IF(IF(IF(ISNUMBER(SEARCH("Party Name:-",'R.M Billets Reports'!D2634)),TRIM('R.M Billets Reports'!F2634),IF(ISNUMBER(SEARCH("Party Name-",'R.M Billets Reports'!D2634)),TRIM(MID('R.M Billets Reports'!D2634,SEARCH("-",'R.M Billets Reports'!D2634)+1,200)),""))&lt;&gt;"",IF(ISNUMBER(SEARCH("Party Name:-",'R.M Billets Reports'!D2634)),TRIM('R.M Billets Reports'!F2634),IF(ISNUMBER(SEARCH("Party Name-",'R.M Billets Reports'!D2634)),TRIM(MID('R.M Billets Reports'!D2634,SEARCH("-",'R.M Billets Reports'!D2634)+1,200)),"")),IF(ISNUMBER(SEARCH("Party Name:-",'R.M Billets Reports'!D2635)),TRIM('R.M Billets Reports'!F2635),IF(ISNUMBER(SEARCH("Party Name-",'R.M Billets Reports'!D2635)),TRIM(MID('R.M Billets Reports'!D2635,SEARCH("-",'R.M Billets Reports'!D2635)+1,200)),"")))="VRKP ISPAT PVT LTD","VRKP",IF(IF(IF(ISNUMBER(SEARCH("Party Name:-",'R.M Billets Reports'!D2634)),TRIM('R.M Billets Reports'!F2634),IF(ISNUMBER(SEARCH("Party Name-",'R.M Billets Reports'!D2634)),TRIM(MID('R.M Billets Reports'!D2634,SEARCH("-",'R.M Billets Reports'!D2634)+1,200)),""))&lt;&gt;"",IF(ISNUMBER(SEARCH("Party Name:-",'R.M Billets Reports'!D2634)),TRIM('R.M Billets Reports'!F2634),IF(ISNUMBER(SEARCH("Party Name-",'R.M Billets Reports'!D2634)),TRIM(MID('R.M Billets Reports'!D2634,SEARCH("-",'R.M Billets Reports'!D2634)+1,200)),"")),IF(ISNUMBER(SEARCH("Party Name:-",'R.M Billets Reports'!D2635)),TRIM('R.M Billets Reports'!F2635),IF(ISNUMBER(SEARCH("Party Name-",'R.M Billets Reports'!D2635)),TRIM(MID('R.M Billets Reports'!D2635,SEARCH("-",'R.M Billets Reports'!D2635)+1,200)),"")))="SHRI RADHE","SHREE RADHE",IF(IF(IF(ISNUMBER(SEARCH("Party Name:-",'R.M Billets Reports'!D2634)),TRIM('R.M Billets Reports'!F2634),IF(ISNUMBER(SEARCH("Party Name-",'R.M Billets Reports'!D2634)),TRIM(MID('R.M Billets Reports'!D2634,SEARCH("-",'R.M Billets Reports'!D2634)+1,200)),""))&lt;&gt;"",IF(ISNUMBER(SEARCH("Party Name:-",'R.M Billets Reports'!D2634)),TRIM('R.M Billets Reports'!F2634),IF(ISNUMBER(SEARCH("Party Name-",'R.M Billets Reports'!D2634)),TRIM(MID('R.M Billets Reports'!D2634,SEARCH("-",'R.M Billets Reports'!D2634)+1,200)),"")),IF(ISNUMBER(SEARCH("Party Name:-",'R.M Billets Reports'!D2635)),TRIM('R.M Billets Reports'!F2635),IF(ISNUMBER(SEARCH("Party Name-",'R.M Billets Reports'!D2635)),TRIM(MID('R.M Billets Reports'!D2635,SEARCH("-",'R.M Billets Reports'!D2635)+1,200)),"")))="SHREE RADHE SHAKTI SPONGE AND POWER PVT. LTD.","SHREE RADHE",IF(IF(ISNUMBER(SEARCH("Party Name:-",'R.M Billets Reports'!D2634)),TRIM('R.M Billets Reports'!F2634),IF(ISNUMBER(SEARCH("Party Name-",'R.M Billets Reports'!D2634)),TRIM(MID('R.M Billets Reports'!D2634,SEARCH("-",'R.M Billets Reports'!D2634)+1,200)),""))&lt;&gt;"",IF(ISNUMBER(SEARCH("Party Name:-",'R.M Billets Reports'!D2634)),TRIM('R.M Billets Reports'!F2634),IF(ISNUMBER(SEARCH("Party Name-",'R.M Billets Reports'!D2634)),TRIM(MID('R.M Billets Reports'!D2634,SEARCH("-",'R.M Billets Reports'!D2634)+1,200)),"")),IF(ISNUMBER(SEARCH("Party Name:-",'R.M Billets Reports'!D2635)),TRIM('R.M Billets Reports'!F2635),IF(ISNUMBER(SEARCH("Party Name-",'R.M Billets Reports'!D2635)),TRIM(MID('R.M Billets Reports'!D2635,SEARCH("-",'R.M Billets Reports'!D2635)+1,200)),"")))))),IF(ROW()=2,"",A2634))</f>
      </c>
      <c r="B2635">
        <f>IF(OR('R.M Billets Reports'!A2634="Date-",'R.M Billets Reports'!A2634="Date:-"),'R.M Billets Reports'!B2634,IF(ROW()=2,"",B2634))</f>
      </c>
      <c r="C2635">
        <f>IF('R.M Billets Reports'!A2634="V.No.",'R.M Billets Reports'!B2634,IF(ROW()=2,"",C2634))</f>
      </c>
      <c r="D2635">
        <f>IF('R.M Billets Reports'!A2634&lt;&gt;"",'R.M Billets Reports'!A2634,IF(ROW()=2,"",D2634))</f>
      </c>
      <c r="E2635">
        <f>IF('R.M Billets Reports'!B2634="","",TRIM('R.M Billets Reports'!B2634))</f>
      </c>
      <c r="F2635">
        <f>'R.M Billets Reports'!C2634</f>
      </c>
      <c r="G2635">
        <f>'R.M Billets Reports'!D2634</f>
      </c>
      <c r="H2635">
        <f>'R.M Billets Reports'!E2634</f>
      </c>
      <c r="I2635">
        <f>'R.M Billets Reports'!F2634</f>
      </c>
      <c r="J2635">
        <f>'R.M Billets Reports'!G2634</f>
      </c>
      <c r="K2635">
        <f>'R.M Billets Reports'!H2634</f>
      </c>
      <c r="L2635">
        <f>IF('R.M Billets Reports'!I2634="","",'R.M Billets Reports'!I2634)</f>
      </c>
      <c r="M2635">
        <f t="shared" si="82"/>
      </c>
      <c r="N2635">
        <f>IF('R.M Billets Reports'!J2634="","",'R.M Billets Reports'!J2634)</f>
      </c>
      <c r="O2635">
        <f t="shared" si="83"/>
      </c>
      <c r="P2635">
        <f>IF('R.M Billets Reports'!A2634="SIZE",'R.M Billets Reports'!B2634,P2634)</f>
      </c>
    </row>
    <row r="2636" spans="1:16" x14ac:dyDescent="0.25">
      <c r="A2636">
        <f>IF(OR('R.M Billets Reports'!A2635="Date-",'R.M Billets Reports'!A2635="Date:-"),IF(IF(IF(ISNUMBER(SEARCH("Party Name:-",'R.M Billets Reports'!D2635)),TRIM('R.M Billets Reports'!F2635),IF(ISNUMBER(SEARCH("Party Name-",'R.M Billets Reports'!D2635)),TRIM(MID('R.M Billets Reports'!D2635,SEARCH("-",'R.M Billets Reports'!D2635)+1,200)),""))&lt;&gt;"",IF(ISNUMBER(SEARCH("Party Name:-",'R.M Billets Reports'!D2635)),TRIM('R.M Billets Reports'!F2635),IF(ISNUMBER(SEARCH("Party Name-",'R.M Billets Reports'!D2635)),TRIM(MID('R.M Billets Reports'!D2635,SEARCH("-",'R.M Billets Reports'!D2635)+1,200)),"")),IF(ISNUMBER(SEARCH("Party Name:-",'R.M Billets Reports'!D2636)),TRIM('R.M Billets Reports'!F2636),IF(ISNUMBER(SEARCH("Party Name-",'R.M Billets Reports'!D2636)),TRIM(MID('R.M Billets Reports'!D2636,SEARCH("-",'R.M Billets Reports'!D2636)+1,200)),"")))="VRKP ISPAT PVT LTD","VRKP",IF(IF(IF(ISNUMBER(SEARCH("Party Name:-",'R.M Billets Reports'!D2635)),TRIM('R.M Billets Reports'!F2635),IF(ISNUMBER(SEARCH("Party Name-",'R.M Billets Reports'!D2635)),TRIM(MID('R.M Billets Reports'!D2635,SEARCH("-",'R.M Billets Reports'!D2635)+1,200)),""))&lt;&gt;"",IF(ISNUMBER(SEARCH("Party Name:-",'R.M Billets Reports'!D2635)),TRIM('R.M Billets Reports'!F2635),IF(ISNUMBER(SEARCH("Party Name-",'R.M Billets Reports'!D2635)),TRIM(MID('R.M Billets Reports'!D2635,SEARCH("-",'R.M Billets Reports'!D2635)+1,200)),"")),IF(ISNUMBER(SEARCH("Party Name:-",'R.M Billets Reports'!D2636)),TRIM('R.M Billets Reports'!F2636),IF(ISNUMBER(SEARCH("Party Name-",'R.M Billets Reports'!D2636)),TRIM(MID('R.M Billets Reports'!D2636,SEARCH("-",'R.M Billets Reports'!D2636)+1,200)),"")))="SHRI RADHE","SHREE RADHE",IF(IF(IF(ISNUMBER(SEARCH("Party Name:-",'R.M Billets Reports'!D2635)),TRIM('R.M Billets Reports'!F2635),IF(ISNUMBER(SEARCH("Party Name-",'R.M Billets Reports'!D2635)),TRIM(MID('R.M Billets Reports'!D2635,SEARCH("-",'R.M Billets Reports'!D2635)+1,200)),""))&lt;&gt;"",IF(ISNUMBER(SEARCH("Party Name:-",'R.M Billets Reports'!D2635)),TRIM('R.M Billets Reports'!F2635),IF(ISNUMBER(SEARCH("Party Name-",'R.M Billets Reports'!D2635)),TRIM(MID('R.M Billets Reports'!D2635,SEARCH("-",'R.M Billets Reports'!D2635)+1,200)),"")),IF(ISNUMBER(SEARCH("Party Name:-",'R.M Billets Reports'!D2636)),TRIM('R.M Billets Reports'!F2636),IF(ISNUMBER(SEARCH("Party Name-",'R.M Billets Reports'!D2636)),TRIM(MID('R.M Billets Reports'!D2636,SEARCH("-",'R.M Billets Reports'!D2636)+1,200)),"")))="SHREE RADHE SHAKTI SPONGE AND POWER PVT. LTD.","SHREE RADHE",IF(IF(ISNUMBER(SEARCH("Party Name:-",'R.M Billets Reports'!D2635)),TRIM('R.M Billets Reports'!F2635),IF(ISNUMBER(SEARCH("Party Name-",'R.M Billets Reports'!D2635)),TRIM(MID('R.M Billets Reports'!D2635,SEARCH("-",'R.M Billets Reports'!D2635)+1,200)),""))&lt;&gt;"",IF(ISNUMBER(SEARCH("Party Name:-",'R.M Billets Reports'!D2635)),TRIM('R.M Billets Reports'!F2635),IF(ISNUMBER(SEARCH("Party Name-",'R.M Billets Reports'!D2635)),TRIM(MID('R.M Billets Reports'!D2635,SEARCH("-",'R.M Billets Reports'!D2635)+1,200)),"")),IF(ISNUMBER(SEARCH("Party Name:-",'R.M Billets Reports'!D2636)),TRIM('R.M Billets Reports'!F2636),IF(ISNUMBER(SEARCH("Party Name-",'R.M Billets Reports'!D2636)),TRIM(MID('R.M Billets Reports'!D2636,SEARCH("-",'R.M Billets Reports'!D2636)+1,200)),"")))))),IF(ROW()=2,"",A2635))</f>
      </c>
      <c r="B2636">
        <f>IF(OR('R.M Billets Reports'!A2635="Date-",'R.M Billets Reports'!A2635="Date:-"),'R.M Billets Reports'!B2635,IF(ROW()=2,"",B2635))</f>
      </c>
      <c r="C2636">
        <f>IF('R.M Billets Reports'!A2635="V.No.",'R.M Billets Reports'!B2635,IF(ROW()=2,"",C2635))</f>
      </c>
      <c r="D2636">
        <f>IF('R.M Billets Reports'!A2635&lt;&gt;"",'R.M Billets Reports'!A2635,IF(ROW()=2,"",D2635))</f>
      </c>
      <c r="E2636">
        <f>IF('R.M Billets Reports'!B2635="","",TRIM('R.M Billets Reports'!B2635))</f>
      </c>
      <c r="F2636">
        <f>'R.M Billets Reports'!C2635</f>
      </c>
      <c r="G2636">
        <f>'R.M Billets Reports'!D2635</f>
      </c>
      <c r="H2636">
        <f>'R.M Billets Reports'!E2635</f>
      </c>
      <c r="I2636">
        <f>'R.M Billets Reports'!F2635</f>
      </c>
      <c r="J2636">
        <f>'R.M Billets Reports'!G2635</f>
      </c>
      <c r="K2636">
        <f>'R.M Billets Reports'!H2635</f>
      </c>
      <c r="L2636">
        <f>IF('R.M Billets Reports'!I2635="","",'R.M Billets Reports'!I2635)</f>
      </c>
      <c r="M2636">
        <f t="shared" si="82"/>
      </c>
      <c r="N2636">
        <f>IF('R.M Billets Reports'!J2635="","",'R.M Billets Reports'!J2635)</f>
      </c>
      <c r="O2636">
        <f t="shared" si="83"/>
      </c>
      <c r="P2636">
        <f>IF('R.M Billets Reports'!A2635="SIZE",'R.M Billets Reports'!B2635,P2635)</f>
      </c>
    </row>
    <row r="2637" spans="1:16" x14ac:dyDescent="0.25">
      <c r="A2637">
        <f>IF(OR('R.M Billets Reports'!A2636="Date-",'R.M Billets Reports'!A2636="Date:-"),IF(IF(IF(ISNUMBER(SEARCH("Party Name:-",'R.M Billets Reports'!D2636)),TRIM('R.M Billets Reports'!F2636),IF(ISNUMBER(SEARCH("Party Name-",'R.M Billets Reports'!D2636)),TRIM(MID('R.M Billets Reports'!D2636,SEARCH("-",'R.M Billets Reports'!D2636)+1,200)),""))&lt;&gt;"",IF(ISNUMBER(SEARCH("Party Name:-",'R.M Billets Reports'!D2636)),TRIM('R.M Billets Reports'!F2636),IF(ISNUMBER(SEARCH("Party Name-",'R.M Billets Reports'!D2636)),TRIM(MID('R.M Billets Reports'!D2636,SEARCH("-",'R.M Billets Reports'!D2636)+1,200)),"")),IF(ISNUMBER(SEARCH("Party Name:-",'R.M Billets Reports'!D2637)),TRIM('R.M Billets Reports'!F2637),IF(ISNUMBER(SEARCH("Party Name-",'R.M Billets Reports'!D2637)),TRIM(MID('R.M Billets Reports'!D2637,SEARCH("-",'R.M Billets Reports'!D2637)+1,200)),"")))="VRKP ISPAT PVT LTD","VRKP",IF(IF(IF(ISNUMBER(SEARCH("Party Name:-",'R.M Billets Reports'!D2636)),TRIM('R.M Billets Reports'!F2636),IF(ISNUMBER(SEARCH("Party Name-",'R.M Billets Reports'!D2636)),TRIM(MID('R.M Billets Reports'!D2636,SEARCH("-",'R.M Billets Reports'!D2636)+1,200)),""))&lt;&gt;"",IF(ISNUMBER(SEARCH("Party Name:-",'R.M Billets Reports'!D2636)),TRIM('R.M Billets Reports'!F2636),IF(ISNUMBER(SEARCH("Party Name-",'R.M Billets Reports'!D2636)),TRIM(MID('R.M Billets Reports'!D2636,SEARCH("-",'R.M Billets Reports'!D2636)+1,200)),"")),IF(ISNUMBER(SEARCH("Party Name:-",'R.M Billets Reports'!D2637)),TRIM('R.M Billets Reports'!F2637),IF(ISNUMBER(SEARCH("Party Name-",'R.M Billets Reports'!D2637)),TRIM(MID('R.M Billets Reports'!D2637,SEARCH("-",'R.M Billets Reports'!D2637)+1,200)),"")))="SHRI RADHE","SHREE RADHE",IF(IF(IF(ISNUMBER(SEARCH("Party Name:-",'R.M Billets Reports'!D2636)),TRIM('R.M Billets Reports'!F2636),IF(ISNUMBER(SEARCH("Party Name-",'R.M Billets Reports'!D2636)),TRIM(MID('R.M Billets Reports'!D2636,SEARCH("-",'R.M Billets Reports'!D2636)+1,200)),""))&lt;&gt;"",IF(ISNUMBER(SEARCH("Party Name:-",'R.M Billets Reports'!D2636)),TRIM('R.M Billets Reports'!F2636),IF(ISNUMBER(SEARCH("Party Name-",'R.M Billets Reports'!D2636)),TRIM(MID('R.M Billets Reports'!D2636,SEARCH("-",'R.M Billets Reports'!D2636)+1,200)),"")),IF(ISNUMBER(SEARCH("Party Name:-",'R.M Billets Reports'!D2637)),TRIM('R.M Billets Reports'!F2637),IF(ISNUMBER(SEARCH("Party Name-",'R.M Billets Reports'!D2637)),TRIM(MID('R.M Billets Reports'!D2637,SEARCH("-",'R.M Billets Reports'!D2637)+1,200)),"")))="SHREE RADHE SHAKTI SPONGE AND POWER PVT. LTD.","SHREE RADHE",IF(IF(ISNUMBER(SEARCH("Party Name:-",'R.M Billets Reports'!D2636)),TRIM('R.M Billets Reports'!F2636),IF(ISNUMBER(SEARCH("Party Name-",'R.M Billets Reports'!D2636)),TRIM(MID('R.M Billets Reports'!D2636,SEARCH("-",'R.M Billets Reports'!D2636)+1,200)),""))&lt;&gt;"",IF(ISNUMBER(SEARCH("Party Name:-",'R.M Billets Reports'!D2636)),TRIM('R.M Billets Reports'!F2636),IF(ISNUMBER(SEARCH("Party Name-",'R.M Billets Reports'!D2636)),TRIM(MID('R.M Billets Reports'!D2636,SEARCH("-",'R.M Billets Reports'!D2636)+1,200)),"")),IF(ISNUMBER(SEARCH("Party Name:-",'R.M Billets Reports'!D2637)),TRIM('R.M Billets Reports'!F2637),IF(ISNUMBER(SEARCH("Party Name-",'R.M Billets Reports'!D2637)),TRIM(MID('R.M Billets Reports'!D2637,SEARCH("-",'R.M Billets Reports'!D2637)+1,200)),"")))))),IF(ROW()=2,"",A2636))</f>
      </c>
      <c r="B2637">
        <f>IF(OR('R.M Billets Reports'!A2636="Date-",'R.M Billets Reports'!A2636="Date:-"),'R.M Billets Reports'!B2636,IF(ROW()=2,"",B2636))</f>
      </c>
      <c r="C2637">
        <f>IF('R.M Billets Reports'!A2636="V.No.",'R.M Billets Reports'!B2636,IF(ROW()=2,"",C2636))</f>
      </c>
      <c r="D2637">
        <f>IF('R.M Billets Reports'!A2636&lt;&gt;"",'R.M Billets Reports'!A2636,IF(ROW()=2,"",D2636))</f>
      </c>
      <c r="E2637">
        <f>IF('R.M Billets Reports'!B2636="","",TRIM('R.M Billets Reports'!B2636))</f>
      </c>
      <c r="F2637">
        <f>'R.M Billets Reports'!C2636</f>
      </c>
      <c r="G2637">
        <f>'R.M Billets Reports'!D2636</f>
      </c>
      <c r="H2637">
        <f>'R.M Billets Reports'!E2636</f>
      </c>
      <c r="I2637">
        <f>'R.M Billets Reports'!F2636</f>
      </c>
      <c r="J2637">
        <f>'R.M Billets Reports'!G2636</f>
      </c>
      <c r="K2637">
        <f>'R.M Billets Reports'!H2636</f>
      </c>
      <c r="L2637">
        <f>IF('R.M Billets Reports'!I2636="","",'R.M Billets Reports'!I2636)</f>
      </c>
      <c r="M2637">
        <f t="shared" si="82"/>
      </c>
      <c r="N2637">
        <f>IF('R.M Billets Reports'!J2636="","",'R.M Billets Reports'!J2636)</f>
      </c>
      <c r="O2637">
        <f t="shared" si="83"/>
      </c>
      <c r="P2637">
        <f>IF('R.M Billets Reports'!A2636="SIZE",'R.M Billets Reports'!B2636,P2636)</f>
      </c>
    </row>
    <row r="2638" spans="1:16" x14ac:dyDescent="0.25">
      <c r="A2638">
        <f>IF(OR('R.M Billets Reports'!A2637="Date-",'R.M Billets Reports'!A2637="Date:-"),IF(IF(IF(ISNUMBER(SEARCH("Party Name:-",'R.M Billets Reports'!D2637)),TRIM('R.M Billets Reports'!F2637),IF(ISNUMBER(SEARCH("Party Name-",'R.M Billets Reports'!D2637)),TRIM(MID('R.M Billets Reports'!D2637,SEARCH("-",'R.M Billets Reports'!D2637)+1,200)),""))&lt;&gt;"",IF(ISNUMBER(SEARCH("Party Name:-",'R.M Billets Reports'!D2637)),TRIM('R.M Billets Reports'!F2637),IF(ISNUMBER(SEARCH("Party Name-",'R.M Billets Reports'!D2637)),TRIM(MID('R.M Billets Reports'!D2637,SEARCH("-",'R.M Billets Reports'!D2637)+1,200)),"")),IF(ISNUMBER(SEARCH("Party Name:-",'R.M Billets Reports'!D2638)),TRIM('R.M Billets Reports'!F2638),IF(ISNUMBER(SEARCH("Party Name-",'R.M Billets Reports'!D2638)),TRIM(MID('R.M Billets Reports'!D2638,SEARCH("-",'R.M Billets Reports'!D2638)+1,200)),"")))="VRKP ISPAT PVT LTD","VRKP",IF(IF(IF(ISNUMBER(SEARCH("Party Name:-",'R.M Billets Reports'!D2637)),TRIM('R.M Billets Reports'!F2637),IF(ISNUMBER(SEARCH("Party Name-",'R.M Billets Reports'!D2637)),TRIM(MID('R.M Billets Reports'!D2637,SEARCH("-",'R.M Billets Reports'!D2637)+1,200)),""))&lt;&gt;"",IF(ISNUMBER(SEARCH("Party Name:-",'R.M Billets Reports'!D2637)),TRIM('R.M Billets Reports'!F2637),IF(ISNUMBER(SEARCH("Party Name-",'R.M Billets Reports'!D2637)),TRIM(MID('R.M Billets Reports'!D2637,SEARCH("-",'R.M Billets Reports'!D2637)+1,200)),"")),IF(ISNUMBER(SEARCH("Party Name:-",'R.M Billets Reports'!D2638)),TRIM('R.M Billets Reports'!F2638),IF(ISNUMBER(SEARCH("Party Name-",'R.M Billets Reports'!D2638)),TRIM(MID('R.M Billets Reports'!D2638,SEARCH("-",'R.M Billets Reports'!D2638)+1,200)),"")))="SHRI RADHE","SHREE RADHE",IF(IF(IF(ISNUMBER(SEARCH("Party Name:-",'R.M Billets Reports'!D2637)),TRIM('R.M Billets Reports'!F2637),IF(ISNUMBER(SEARCH("Party Name-",'R.M Billets Reports'!D2637)),TRIM(MID('R.M Billets Reports'!D2637,SEARCH("-",'R.M Billets Reports'!D2637)+1,200)),""))&lt;&gt;"",IF(ISNUMBER(SEARCH("Party Name:-",'R.M Billets Reports'!D2637)),TRIM('R.M Billets Reports'!F2637),IF(ISNUMBER(SEARCH("Party Name-",'R.M Billets Reports'!D2637)),TRIM(MID('R.M Billets Reports'!D2637,SEARCH("-",'R.M Billets Reports'!D2637)+1,200)),"")),IF(ISNUMBER(SEARCH("Party Name:-",'R.M Billets Reports'!D2638)),TRIM('R.M Billets Reports'!F2638),IF(ISNUMBER(SEARCH("Party Name-",'R.M Billets Reports'!D2638)),TRIM(MID('R.M Billets Reports'!D2638,SEARCH("-",'R.M Billets Reports'!D2638)+1,200)),"")))="SHREE RADHE SHAKTI SPONGE AND POWER PVT. LTD.","SHREE RADHE",IF(IF(ISNUMBER(SEARCH("Party Name:-",'R.M Billets Reports'!D2637)),TRIM('R.M Billets Reports'!F2637),IF(ISNUMBER(SEARCH("Party Name-",'R.M Billets Reports'!D2637)),TRIM(MID('R.M Billets Reports'!D2637,SEARCH("-",'R.M Billets Reports'!D2637)+1,200)),""))&lt;&gt;"",IF(ISNUMBER(SEARCH("Party Name:-",'R.M Billets Reports'!D2637)),TRIM('R.M Billets Reports'!F2637),IF(ISNUMBER(SEARCH("Party Name-",'R.M Billets Reports'!D2637)),TRIM(MID('R.M Billets Reports'!D2637,SEARCH("-",'R.M Billets Reports'!D2637)+1,200)),"")),IF(ISNUMBER(SEARCH("Party Name:-",'R.M Billets Reports'!D2638)),TRIM('R.M Billets Reports'!F2638),IF(ISNUMBER(SEARCH("Party Name-",'R.M Billets Reports'!D2638)),TRIM(MID('R.M Billets Reports'!D2638,SEARCH("-",'R.M Billets Reports'!D2638)+1,200)),"")))))),IF(ROW()=2,"",A2637))</f>
      </c>
      <c r="B2638">
        <f>IF(OR('R.M Billets Reports'!A2637="Date-",'R.M Billets Reports'!A2637="Date:-"),'R.M Billets Reports'!B2637,IF(ROW()=2,"",B2637))</f>
      </c>
      <c r="C2638">
        <f>IF('R.M Billets Reports'!A2637="V.No.",'R.M Billets Reports'!B2637,IF(ROW()=2,"",C2637))</f>
      </c>
      <c r="D2638">
        <f>IF('R.M Billets Reports'!A2637&lt;&gt;"",'R.M Billets Reports'!A2637,IF(ROW()=2,"",D2637))</f>
      </c>
      <c r="E2638">
        <f>IF('R.M Billets Reports'!B2637="","",TRIM('R.M Billets Reports'!B2637))</f>
      </c>
      <c r="F2638">
        <f>'R.M Billets Reports'!C2637</f>
      </c>
      <c r="G2638">
        <f>'R.M Billets Reports'!D2637</f>
      </c>
      <c r="H2638">
        <f>'R.M Billets Reports'!E2637</f>
      </c>
      <c r="I2638">
        <f>'R.M Billets Reports'!F2637</f>
      </c>
      <c r="J2638">
        <f>'R.M Billets Reports'!G2637</f>
      </c>
      <c r="K2638">
        <f>'R.M Billets Reports'!H2637</f>
      </c>
      <c r="L2638">
        <f>IF('R.M Billets Reports'!I2637="","",'R.M Billets Reports'!I2637)</f>
      </c>
      <c r="M2638">
        <f t="shared" si="82"/>
      </c>
      <c r="N2638">
        <f>IF('R.M Billets Reports'!J2637="","",'R.M Billets Reports'!J2637)</f>
      </c>
      <c r="O2638">
        <f t="shared" si="83"/>
      </c>
      <c r="P2638">
        <f>IF('R.M Billets Reports'!A2637="SIZE",'R.M Billets Reports'!B2637,P2637)</f>
      </c>
    </row>
    <row r="2639" spans="1:16" x14ac:dyDescent="0.25">
      <c r="A2639">
        <f>IF(OR('R.M Billets Reports'!A2638="Date-",'R.M Billets Reports'!A2638="Date:-"),IF(IF(IF(ISNUMBER(SEARCH("Party Name:-",'R.M Billets Reports'!D2638)),TRIM('R.M Billets Reports'!F2638),IF(ISNUMBER(SEARCH("Party Name-",'R.M Billets Reports'!D2638)),TRIM(MID('R.M Billets Reports'!D2638,SEARCH("-",'R.M Billets Reports'!D2638)+1,200)),""))&lt;&gt;"",IF(ISNUMBER(SEARCH("Party Name:-",'R.M Billets Reports'!D2638)),TRIM('R.M Billets Reports'!F2638),IF(ISNUMBER(SEARCH("Party Name-",'R.M Billets Reports'!D2638)),TRIM(MID('R.M Billets Reports'!D2638,SEARCH("-",'R.M Billets Reports'!D2638)+1,200)),"")),IF(ISNUMBER(SEARCH("Party Name:-",'R.M Billets Reports'!D2639)),TRIM('R.M Billets Reports'!F2639),IF(ISNUMBER(SEARCH("Party Name-",'R.M Billets Reports'!D2639)),TRIM(MID('R.M Billets Reports'!D2639,SEARCH("-",'R.M Billets Reports'!D2639)+1,200)),"")))="VRKP ISPAT PVT LTD","VRKP",IF(IF(IF(ISNUMBER(SEARCH("Party Name:-",'R.M Billets Reports'!D2638)),TRIM('R.M Billets Reports'!F2638),IF(ISNUMBER(SEARCH("Party Name-",'R.M Billets Reports'!D2638)),TRIM(MID('R.M Billets Reports'!D2638,SEARCH("-",'R.M Billets Reports'!D2638)+1,200)),""))&lt;&gt;"",IF(ISNUMBER(SEARCH("Party Name:-",'R.M Billets Reports'!D2638)),TRIM('R.M Billets Reports'!F2638),IF(ISNUMBER(SEARCH("Party Name-",'R.M Billets Reports'!D2638)),TRIM(MID('R.M Billets Reports'!D2638,SEARCH("-",'R.M Billets Reports'!D2638)+1,200)),"")),IF(ISNUMBER(SEARCH("Party Name:-",'R.M Billets Reports'!D2639)),TRIM('R.M Billets Reports'!F2639),IF(ISNUMBER(SEARCH("Party Name-",'R.M Billets Reports'!D2639)),TRIM(MID('R.M Billets Reports'!D2639,SEARCH("-",'R.M Billets Reports'!D2639)+1,200)),"")))="SHRI RADHE","SHREE RADHE",IF(IF(IF(ISNUMBER(SEARCH("Party Name:-",'R.M Billets Reports'!D2638)),TRIM('R.M Billets Reports'!F2638),IF(ISNUMBER(SEARCH("Party Name-",'R.M Billets Reports'!D2638)),TRIM(MID('R.M Billets Reports'!D2638,SEARCH("-",'R.M Billets Reports'!D2638)+1,200)),""))&lt;&gt;"",IF(ISNUMBER(SEARCH("Party Name:-",'R.M Billets Reports'!D2638)),TRIM('R.M Billets Reports'!F2638),IF(ISNUMBER(SEARCH("Party Name-",'R.M Billets Reports'!D2638)),TRIM(MID('R.M Billets Reports'!D2638,SEARCH("-",'R.M Billets Reports'!D2638)+1,200)),"")),IF(ISNUMBER(SEARCH("Party Name:-",'R.M Billets Reports'!D2639)),TRIM('R.M Billets Reports'!F2639),IF(ISNUMBER(SEARCH("Party Name-",'R.M Billets Reports'!D2639)),TRIM(MID('R.M Billets Reports'!D2639,SEARCH("-",'R.M Billets Reports'!D2639)+1,200)),"")))="SHREE RADHE SHAKTI SPONGE AND POWER PVT. LTD.","SHREE RADHE",IF(IF(ISNUMBER(SEARCH("Party Name:-",'R.M Billets Reports'!D2638)),TRIM('R.M Billets Reports'!F2638),IF(ISNUMBER(SEARCH("Party Name-",'R.M Billets Reports'!D2638)),TRIM(MID('R.M Billets Reports'!D2638,SEARCH("-",'R.M Billets Reports'!D2638)+1,200)),""))&lt;&gt;"",IF(ISNUMBER(SEARCH("Party Name:-",'R.M Billets Reports'!D2638)),TRIM('R.M Billets Reports'!F2638),IF(ISNUMBER(SEARCH("Party Name-",'R.M Billets Reports'!D2638)),TRIM(MID('R.M Billets Reports'!D2638,SEARCH("-",'R.M Billets Reports'!D2638)+1,200)),"")),IF(ISNUMBER(SEARCH("Party Name:-",'R.M Billets Reports'!D2639)),TRIM('R.M Billets Reports'!F2639),IF(ISNUMBER(SEARCH("Party Name-",'R.M Billets Reports'!D2639)),TRIM(MID('R.M Billets Reports'!D2639,SEARCH("-",'R.M Billets Reports'!D2639)+1,200)),"")))))),IF(ROW()=2,"",A2638))</f>
      </c>
      <c r="B2639">
        <f>IF(OR('R.M Billets Reports'!A2638="Date-",'R.M Billets Reports'!A2638="Date:-"),'R.M Billets Reports'!B2638,IF(ROW()=2,"",B2638))</f>
      </c>
      <c r="C2639">
        <f>IF('R.M Billets Reports'!A2638="V.No.",'R.M Billets Reports'!B2638,IF(ROW()=2,"",C2638))</f>
      </c>
      <c r="D2639">
        <f>IF('R.M Billets Reports'!A2638&lt;&gt;"",'R.M Billets Reports'!A2638,IF(ROW()=2,"",D2638))</f>
      </c>
      <c r="E2639">
        <f>IF('R.M Billets Reports'!B2638="","",TRIM('R.M Billets Reports'!B2638))</f>
      </c>
      <c r="F2639">
        <f>'R.M Billets Reports'!C2638</f>
      </c>
      <c r="G2639">
        <f>'R.M Billets Reports'!D2638</f>
      </c>
      <c r="H2639">
        <f>'R.M Billets Reports'!E2638</f>
      </c>
      <c r="I2639">
        <f>'R.M Billets Reports'!F2638</f>
      </c>
      <c r="J2639">
        <f>'R.M Billets Reports'!G2638</f>
      </c>
      <c r="K2639">
        <f>'R.M Billets Reports'!H2638</f>
      </c>
      <c r="L2639">
        <f>IF('R.M Billets Reports'!I2638="","",'R.M Billets Reports'!I2638)</f>
      </c>
      <c r="M2639">
        <f t="shared" si="82"/>
      </c>
      <c r="N2639">
        <f>IF('R.M Billets Reports'!J2638="","",'R.M Billets Reports'!J2638)</f>
      </c>
      <c r="O2639">
        <f t="shared" si="83"/>
      </c>
      <c r="P2639">
        <f>IF('R.M Billets Reports'!A2638="SIZE",'R.M Billets Reports'!B2638,P2638)</f>
      </c>
    </row>
    <row r="2640" spans="1:16" x14ac:dyDescent="0.25">
      <c r="A2640">
        <f>IF(OR('R.M Billets Reports'!A2639="Date-",'R.M Billets Reports'!A2639="Date:-"),IF(IF(IF(ISNUMBER(SEARCH("Party Name:-",'R.M Billets Reports'!D2639)),TRIM('R.M Billets Reports'!F2639),IF(ISNUMBER(SEARCH("Party Name-",'R.M Billets Reports'!D2639)),TRIM(MID('R.M Billets Reports'!D2639,SEARCH("-",'R.M Billets Reports'!D2639)+1,200)),""))&lt;&gt;"",IF(ISNUMBER(SEARCH("Party Name:-",'R.M Billets Reports'!D2639)),TRIM('R.M Billets Reports'!F2639),IF(ISNUMBER(SEARCH("Party Name-",'R.M Billets Reports'!D2639)),TRIM(MID('R.M Billets Reports'!D2639,SEARCH("-",'R.M Billets Reports'!D2639)+1,200)),"")),IF(ISNUMBER(SEARCH("Party Name:-",'R.M Billets Reports'!D2640)),TRIM('R.M Billets Reports'!F2640),IF(ISNUMBER(SEARCH("Party Name-",'R.M Billets Reports'!D2640)),TRIM(MID('R.M Billets Reports'!D2640,SEARCH("-",'R.M Billets Reports'!D2640)+1,200)),"")))="VRKP ISPAT PVT LTD","VRKP",IF(IF(IF(ISNUMBER(SEARCH("Party Name:-",'R.M Billets Reports'!D2639)),TRIM('R.M Billets Reports'!F2639),IF(ISNUMBER(SEARCH("Party Name-",'R.M Billets Reports'!D2639)),TRIM(MID('R.M Billets Reports'!D2639,SEARCH("-",'R.M Billets Reports'!D2639)+1,200)),""))&lt;&gt;"",IF(ISNUMBER(SEARCH("Party Name:-",'R.M Billets Reports'!D2639)),TRIM('R.M Billets Reports'!F2639),IF(ISNUMBER(SEARCH("Party Name-",'R.M Billets Reports'!D2639)),TRIM(MID('R.M Billets Reports'!D2639,SEARCH("-",'R.M Billets Reports'!D2639)+1,200)),"")),IF(ISNUMBER(SEARCH("Party Name:-",'R.M Billets Reports'!D2640)),TRIM('R.M Billets Reports'!F2640),IF(ISNUMBER(SEARCH("Party Name-",'R.M Billets Reports'!D2640)),TRIM(MID('R.M Billets Reports'!D2640,SEARCH("-",'R.M Billets Reports'!D2640)+1,200)),"")))="SHRI RADHE","SHREE RADHE",IF(IF(IF(ISNUMBER(SEARCH("Party Name:-",'R.M Billets Reports'!D2639)),TRIM('R.M Billets Reports'!F2639),IF(ISNUMBER(SEARCH("Party Name-",'R.M Billets Reports'!D2639)),TRIM(MID('R.M Billets Reports'!D2639,SEARCH("-",'R.M Billets Reports'!D2639)+1,200)),""))&lt;&gt;"",IF(ISNUMBER(SEARCH("Party Name:-",'R.M Billets Reports'!D2639)),TRIM('R.M Billets Reports'!F2639),IF(ISNUMBER(SEARCH("Party Name-",'R.M Billets Reports'!D2639)),TRIM(MID('R.M Billets Reports'!D2639,SEARCH("-",'R.M Billets Reports'!D2639)+1,200)),"")),IF(ISNUMBER(SEARCH("Party Name:-",'R.M Billets Reports'!D2640)),TRIM('R.M Billets Reports'!F2640),IF(ISNUMBER(SEARCH("Party Name-",'R.M Billets Reports'!D2640)),TRIM(MID('R.M Billets Reports'!D2640,SEARCH("-",'R.M Billets Reports'!D2640)+1,200)),"")))="SHREE RADHE SHAKTI SPONGE AND POWER PVT. LTD.","SHREE RADHE",IF(IF(ISNUMBER(SEARCH("Party Name:-",'R.M Billets Reports'!D2639)),TRIM('R.M Billets Reports'!F2639),IF(ISNUMBER(SEARCH("Party Name-",'R.M Billets Reports'!D2639)),TRIM(MID('R.M Billets Reports'!D2639,SEARCH("-",'R.M Billets Reports'!D2639)+1,200)),""))&lt;&gt;"",IF(ISNUMBER(SEARCH("Party Name:-",'R.M Billets Reports'!D2639)),TRIM('R.M Billets Reports'!F2639),IF(ISNUMBER(SEARCH("Party Name-",'R.M Billets Reports'!D2639)),TRIM(MID('R.M Billets Reports'!D2639,SEARCH("-",'R.M Billets Reports'!D2639)+1,200)),"")),IF(ISNUMBER(SEARCH("Party Name:-",'R.M Billets Reports'!D2640)),TRIM('R.M Billets Reports'!F2640),IF(ISNUMBER(SEARCH("Party Name-",'R.M Billets Reports'!D2640)),TRIM(MID('R.M Billets Reports'!D2640,SEARCH("-",'R.M Billets Reports'!D2640)+1,200)),"")))))),IF(ROW()=2,"",A2639))</f>
      </c>
      <c r="B2640">
        <f>IF(OR('R.M Billets Reports'!A2639="Date-",'R.M Billets Reports'!A2639="Date:-"),'R.M Billets Reports'!B2639,IF(ROW()=2,"",B2639))</f>
      </c>
      <c r="C2640">
        <f>IF('R.M Billets Reports'!A2639="V.No.",'R.M Billets Reports'!B2639,IF(ROW()=2,"",C2639))</f>
      </c>
      <c r="D2640">
        <f>IF('R.M Billets Reports'!A2639&lt;&gt;"",'R.M Billets Reports'!A2639,IF(ROW()=2,"",D2639))</f>
      </c>
      <c r="E2640">
        <f>IF('R.M Billets Reports'!B2639="","",TRIM('R.M Billets Reports'!B2639))</f>
      </c>
      <c r="F2640">
        <f>'R.M Billets Reports'!C2639</f>
      </c>
      <c r="G2640">
        <f>'R.M Billets Reports'!D2639</f>
      </c>
      <c r="H2640">
        <f>'R.M Billets Reports'!E2639</f>
      </c>
      <c r="I2640">
        <f>'R.M Billets Reports'!F2639</f>
      </c>
      <c r="J2640">
        <f>'R.M Billets Reports'!G2639</f>
      </c>
      <c r="K2640">
        <f>'R.M Billets Reports'!H2639</f>
      </c>
      <c r="L2640">
        <f>IF('R.M Billets Reports'!I2639="","",'R.M Billets Reports'!I2639)</f>
      </c>
      <c r="M2640">
        <f t="shared" si="82"/>
      </c>
      <c r="N2640">
        <f>IF('R.M Billets Reports'!J2639="","",'R.M Billets Reports'!J2639)</f>
      </c>
      <c r="O2640">
        <f t="shared" si="83"/>
      </c>
      <c r="P2640">
        <f>IF('R.M Billets Reports'!A2639="SIZE",'R.M Billets Reports'!B2639,P2639)</f>
      </c>
    </row>
    <row r="2641" spans="1:16" x14ac:dyDescent="0.25">
      <c r="A2641">
        <f>IF(OR('R.M Billets Reports'!A2640="Date-",'R.M Billets Reports'!A2640="Date:-"),IF(IF(IF(ISNUMBER(SEARCH("Party Name:-",'R.M Billets Reports'!D2640)),TRIM('R.M Billets Reports'!F2640),IF(ISNUMBER(SEARCH("Party Name-",'R.M Billets Reports'!D2640)),TRIM(MID('R.M Billets Reports'!D2640,SEARCH("-",'R.M Billets Reports'!D2640)+1,200)),""))&lt;&gt;"",IF(ISNUMBER(SEARCH("Party Name:-",'R.M Billets Reports'!D2640)),TRIM('R.M Billets Reports'!F2640),IF(ISNUMBER(SEARCH("Party Name-",'R.M Billets Reports'!D2640)),TRIM(MID('R.M Billets Reports'!D2640,SEARCH("-",'R.M Billets Reports'!D2640)+1,200)),"")),IF(ISNUMBER(SEARCH("Party Name:-",'R.M Billets Reports'!D2641)),TRIM('R.M Billets Reports'!F2641),IF(ISNUMBER(SEARCH("Party Name-",'R.M Billets Reports'!D2641)),TRIM(MID('R.M Billets Reports'!D2641,SEARCH("-",'R.M Billets Reports'!D2641)+1,200)),"")))="VRKP ISPAT PVT LTD","VRKP",IF(IF(IF(ISNUMBER(SEARCH("Party Name:-",'R.M Billets Reports'!D2640)),TRIM('R.M Billets Reports'!F2640),IF(ISNUMBER(SEARCH("Party Name-",'R.M Billets Reports'!D2640)),TRIM(MID('R.M Billets Reports'!D2640,SEARCH("-",'R.M Billets Reports'!D2640)+1,200)),""))&lt;&gt;"",IF(ISNUMBER(SEARCH("Party Name:-",'R.M Billets Reports'!D2640)),TRIM('R.M Billets Reports'!F2640),IF(ISNUMBER(SEARCH("Party Name-",'R.M Billets Reports'!D2640)),TRIM(MID('R.M Billets Reports'!D2640,SEARCH("-",'R.M Billets Reports'!D2640)+1,200)),"")),IF(ISNUMBER(SEARCH("Party Name:-",'R.M Billets Reports'!D2641)),TRIM('R.M Billets Reports'!F2641),IF(ISNUMBER(SEARCH("Party Name-",'R.M Billets Reports'!D2641)),TRIM(MID('R.M Billets Reports'!D2641,SEARCH("-",'R.M Billets Reports'!D2641)+1,200)),"")))="SHRI RADHE","SHREE RADHE",IF(IF(IF(ISNUMBER(SEARCH("Party Name:-",'R.M Billets Reports'!D2640)),TRIM('R.M Billets Reports'!F2640),IF(ISNUMBER(SEARCH("Party Name-",'R.M Billets Reports'!D2640)),TRIM(MID('R.M Billets Reports'!D2640,SEARCH("-",'R.M Billets Reports'!D2640)+1,200)),""))&lt;&gt;"",IF(ISNUMBER(SEARCH("Party Name:-",'R.M Billets Reports'!D2640)),TRIM('R.M Billets Reports'!F2640),IF(ISNUMBER(SEARCH("Party Name-",'R.M Billets Reports'!D2640)),TRIM(MID('R.M Billets Reports'!D2640,SEARCH("-",'R.M Billets Reports'!D2640)+1,200)),"")),IF(ISNUMBER(SEARCH("Party Name:-",'R.M Billets Reports'!D2641)),TRIM('R.M Billets Reports'!F2641),IF(ISNUMBER(SEARCH("Party Name-",'R.M Billets Reports'!D2641)),TRIM(MID('R.M Billets Reports'!D2641,SEARCH("-",'R.M Billets Reports'!D2641)+1,200)),"")))="SHREE RADHE SHAKTI SPONGE AND POWER PVT. LTD.","SHREE RADHE",IF(IF(ISNUMBER(SEARCH("Party Name:-",'R.M Billets Reports'!D2640)),TRIM('R.M Billets Reports'!F2640),IF(ISNUMBER(SEARCH("Party Name-",'R.M Billets Reports'!D2640)),TRIM(MID('R.M Billets Reports'!D2640,SEARCH("-",'R.M Billets Reports'!D2640)+1,200)),""))&lt;&gt;"",IF(ISNUMBER(SEARCH("Party Name:-",'R.M Billets Reports'!D2640)),TRIM('R.M Billets Reports'!F2640),IF(ISNUMBER(SEARCH("Party Name-",'R.M Billets Reports'!D2640)),TRIM(MID('R.M Billets Reports'!D2640,SEARCH("-",'R.M Billets Reports'!D2640)+1,200)),"")),IF(ISNUMBER(SEARCH("Party Name:-",'R.M Billets Reports'!D2641)),TRIM('R.M Billets Reports'!F2641),IF(ISNUMBER(SEARCH("Party Name-",'R.M Billets Reports'!D2641)),TRIM(MID('R.M Billets Reports'!D2641,SEARCH("-",'R.M Billets Reports'!D2641)+1,200)),"")))))),IF(ROW()=2,"",A2640))</f>
      </c>
      <c r="B2641">
        <f>IF(OR('R.M Billets Reports'!A2640="Date-",'R.M Billets Reports'!A2640="Date:-"),'R.M Billets Reports'!B2640,IF(ROW()=2,"",B2640))</f>
      </c>
      <c r="C2641">
        <f>IF('R.M Billets Reports'!A2640="V.No.",'R.M Billets Reports'!B2640,IF(ROW()=2,"",C2640))</f>
      </c>
      <c r="D2641">
        <f>IF('R.M Billets Reports'!A2640&lt;&gt;"",'R.M Billets Reports'!A2640,IF(ROW()=2,"",D2640))</f>
      </c>
      <c r="E2641">
        <f>IF('R.M Billets Reports'!B2640="","",TRIM('R.M Billets Reports'!B2640))</f>
      </c>
      <c r="F2641">
        <f>'R.M Billets Reports'!C2640</f>
      </c>
      <c r="G2641">
        <f>'R.M Billets Reports'!D2640</f>
      </c>
      <c r="H2641">
        <f>'R.M Billets Reports'!E2640</f>
      </c>
      <c r="I2641">
        <f>'R.M Billets Reports'!F2640</f>
      </c>
      <c r="J2641">
        <f>'R.M Billets Reports'!G2640</f>
      </c>
      <c r="K2641">
        <f>'R.M Billets Reports'!H2640</f>
      </c>
      <c r="L2641">
        <f>IF('R.M Billets Reports'!I2640="","",'R.M Billets Reports'!I2640)</f>
      </c>
      <c r="M2641">
        <f t="shared" si="82"/>
      </c>
      <c r="N2641">
        <f>IF('R.M Billets Reports'!J2640="","",'R.M Billets Reports'!J2640)</f>
      </c>
      <c r="O2641">
        <f t="shared" si="83"/>
      </c>
      <c r="P2641">
        <f>IF('R.M Billets Reports'!A2640="SIZE",'R.M Billets Reports'!B2640,P2640)</f>
      </c>
    </row>
    <row r="2642" spans="1:16" x14ac:dyDescent="0.25">
      <c r="A2642">
        <f>IF(OR('R.M Billets Reports'!A2641="Date-",'R.M Billets Reports'!A2641="Date:-"),IF(IF(IF(ISNUMBER(SEARCH("Party Name:-",'R.M Billets Reports'!D2641)),TRIM('R.M Billets Reports'!F2641),IF(ISNUMBER(SEARCH("Party Name-",'R.M Billets Reports'!D2641)),TRIM(MID('R.M Billets Reports'!D2641,SEARCH("-",'R.M Billets Reports'!D2641)+1,200)),""))&lt;&gt;"",IF(ISNUMBER(SEARCH("Party Name:-",'R.M Billets Reports'!D2641)),TRIM('R.M Billets Reports'!F2641),IF(ISNUMBER(SEARCH("Party Name-",'R.M Billets Reports'!D2641)),TRIM(MID('R.M Billets Reports'!D2641,SEARCH("-",'R.M Billets Reports'!D2641)+1,200)),"")),IF(ISNUMBER(SEARCH("Party Name:-",'R.M Billets Reports'!D2642)),TRIM('R.M Billets Reports'!F2642),IF(ISNUMBER(SEARCH("Party Name-",'R.M Billets Reports'!D2642)),TRIM(MID('R.M Billets Reports'!D2642,SEARCH("-",'R.M Billets Reports'!D2642)+1,200)),"")))="VRKP ISPAT PVT LTD","VRKP",IF(IF(IF(ISNUMBER(SEARCH("Party Name:-",'R.M Billets Reports'!D2641)),TRIM('R.M Billets Reports'!F2641),IF(ISNUMBER(SEARCH("Party Name-",'R.M Billets Reports'!D2641)),TRIM(MID('R.M Billets Reports'!D2641,SEARCH("-",'R.M Billets Reports'!D2641)+1,200)),""))&lt;&gt;"",IF(ISNUMBER(SEARCH("Party Name:-",'R.M Billets Reports'!D2641)),TRIM('R.M Billets Reports'!F2641),IF(ISNUMBER(SEARCH("Party Name-",'R.M Billets Reports'!D2641)),TRIM(MID('R.M Billets Reports'!D2641,SEARCH("-",'R.M Billets Reports'!D2641)+1,200)),"")),IF(ISNUMBER(SEARCH("Party Name:-",'R.M Billets Reports'!D2642)),TRIM('R.M Billets Reports'!F2642),IF(ISNUMBER(SEARCH("Party Name-",'R.M Billets Reports'!D2642)),TRIM(MID('R.M Billets Reports'!D2642,SEARCH("-",'R.M Billets Reports'!D2642)+1,200)),"")))="SHRI RADHE","SHREE RADHE",IF(IF(IF(ISNUMBER(SEARCH("Party Name:-",'R.M Billets Reports'!D2641)),TRIM('R.M Billets Reports'!F2641),IF(ISNUMBER(SEARCH("Party Name-",'R.M Billets Reports'!D2641)),TRIM(MID('R.M Billets Reports'!D2641,SEARCH("-",'R.M Billets Reports'!D2641)+1,200)),""))&lt;&gt;"",IF(ISNUMBER(SEARCH("Party Name:-",'R.M Billets Reports'!D2641)),TRIM('R.M Billets Reports'!F2641),IF(ISNUMBER(SEARCH("Party Name-",'R.M Billets Reports'!D2641)),TRIM(MID('R.M Billets Reports'!D2641,SEARCH("-",'R.M Billets Reports'!D2641)+1,200)),"")),IF(ISNUMBER(SEARCH("Party Name:-",'R.M Billets Reports'!D2642)),TRIM('R.M Billets Reports'!F2642),IF(ISNUMBER(SEARCH("Party Name-",'R.M Billets Reports'!D2642)),TRIM(MID('R.M Billets Reports'!D2642,SEARCH("-",'R.M Billets Reports'!D2642)+1,200)),"")))="SHREE RADHE SHAKTI SPONGE AND POWER PVT. LTD.","SHREE RADHE",IF(IF(ISNUMBER(SEARCH("Party Name:-",'R.M Billets Reports'!D2641)),TRIM('R.M Billets Reports'!F2641),IF(ISNUMBER(SEARCH("Party Name-",'R.M Billets Reports'!D2641)),TRIM(MID('R.M Billets Reports'!D2641,SEARCH("-",'R.M Billets Reports'!D2641)+1,200)),""))&lt;&gt;"",IF(ISNUMBER(SEARCH("Party Name:-",'R.M Billets Reports'!D2641)),TRIM('R.M Billets Reports'!F2641),IF(ISNUMBER(SEARCH("Party Name-",'R.M Billets Reports'!D2641)),TRIM(MID('R.M Billets Reports'!D2641,SEARCH("-",'R.M Billets Reports'!D2641)+1,200)),"")),IF(ISNUMBER(SEARCH("Party Name:-",'R.M Billets Reports'!D2642)),TRIM('R.M Billets Reports'!F2642),IF(ISNUMBER(SEARCH("Party Name-",'R.M Billets Reports'!D2642)),TRIM(MID('R.M Billets Reports'!D2642,SEARCH("-",'R.M Billets Reports'!D2642)+1,200)),"")))))),IF(ROW()=2,"",A2641))</f>
      </c>
      <c r="B2642">
        <f>IF(OR('R.M Billets Reports'!A2641="Date-",'R.M Billets Reports'!A2641="Date:-"),'R.M Billets Reports'!B2641,IF(ROW()=2,"",B2641))</f>
      </c>
      <c r="C2642">
        <f>IF('R.M Billets Reports'!A2641="V.No.",'R.M Billets Reports'!B2641,IF(ROW()=2,"",C2641))</f>
      </c>
      <c r="D2642">
        <f>IF('R.M Billets Reports'!A2641&lt;&gt;"",'R.M Billets Reports'!A2641,IF(ROW()=2,"",D2641))</f>
      </c>
      <c r="E2642">
        <f>IF('R.M Billets Reports'!B2641="","",TRIM('R.M Billets Reports'!B2641))</f>
      </c>
      <c r="F2642">
        <f>'R.M Billets Reports'!C2641</f>
      </c>
      <c r="G2642">
        <f>'R.M Billets Reports'!D2641</f>
      </c>
      <c r="H2642">
        <f>'R.M Billets Reports'!E2641</f>
      </c>
      <c r="I2642">
        <f>'R.M Billets Reports'!F2641</f>
      </c>
      <c r="J2642">
        <f>'R.M Billets Reports'!G2641</f>
      </c>
      <c r="K2642">
        <f>'R.M Billets Reports'!H2641</f>
      </c>
      <c r="L2642">
        <f>IF('R.M Billets Reports'!I2641="","",'R.M Billets Reports'!I2641)</f>
      </c>
      <c r="M2642">
        <f t="shared" si="82"/>
      </c>
      <c r="N2642">
        <f>IF('R.M Billets Reports'!J2641="","",'R.M Billets Reports'!J2641)</f>
      </c>
      <c r="O2642">
        <f t="shared" si="83"/>
      </c>
      <c r="P2642">
        <f>IF('R.M Billets Reports'!A2641="SIZE",'R.M Billets Reports'!B2641,P2641)</f>
      </c>
    </row>
    <row r="2643" spans="1:16" x14ac:dyDescent="0.25">
      <c r="A2643">
        <f>IF(OR('R.M Billets Reports'!A2642="Date-",'R.M Billets Reports'!A2642="Date:-"),IF(IF(IF(ISNUMBER(SEARCH("Party Name:-",'R.M Billets Reports'!D2642)),TRIM('R.M Billets Reports'!F2642),IF(ISNUMBER(SEARCH("Party Name-",'R.M Billets Reports'!D2642)),TRIM(MID('R.M Billets Reports'!D2642,SEARCH("-",'R.M Billets Reports'!D2642)+1,200)),""))&lt;&gt;"",IF(ISNUMBER(SEARCH("Party Name:-",'R.M Billets Reports'!D2642)),TRIM('R.M Billets Reports'!F2642),IF(ISNUMBER(SEARCH("Party Name-",'R.M Billets Reports'!D2642)),TRIM(MID('R.M Billets Reports'!D2642,SEARCH("-",'R.M Billets Reports'!D2642)+1,200)),"")),IF(ISNUMBER(SEARCH("Party Name:-",'R.M Billets Reports'!D2643)),TRIM('R.M Billets Reports'!F2643),IF(ISNUMBER(SEARCH("Party Name-",'R.M Billets Reports'!D2643)),TRIM(MID('R.M Billets Reports'!D2643,SEARCH("-",'R.M Billets Reports'!D2643)+1,200)),"")))="VRKP ISPAT PVT LTD","VRKP",IF(IF(IF(ISNUMBER(SEARCH("Party Name:-",'R.M Billets Reports'!D2642)),TRIM('R.M Billets Reports'!F2642),IF(ISNUMBER(SEARCH("Party Name-",'R.M Billets Reports'!D2642)),TRIM(MID('R.M Billets Reports'!D2642,SEARCH("-",'R.M Billets Reports'!D2642)+1,200)),""))&lt;&gt;"",IF(ISNUMBER(SEARCH("Party Name:-",'R.M Billets Reports'!D2642)),TRIM('R.M Billets Reports'!F2642),IF(ISNUMBER(SEARCH("Party Name-",'R.M Billets Reports'!D2642)),TRIM(MID('R.M Billets Reports'!D2642,SEARCH("-",'R.M Billets Reports'!D2642)+1,200)),"")),IF(ISNUMBER(SEARCH("Party Name:-",'R.M Billets Reports'!D2643)),TRIM('R.M Billets Reports'!F2643),IF(ISNUMBER(SEARCH("Party Name-",'R.M Billets Reports'!D2643)),TRIM(MID('R.M Billets Reports'!D2643,SEARCH("-",'R.M Billets Reports'!D2643)+1,200)),"")))="SHRI RADHE","SHREE RADHE",IF(IF(IF(ISNUMBER(SEARCH("Party Name:-",'R.M Billets Reports'!D2642)),TRIM('R.M Billets Reports'!F2642),IF(ISNUMBER(SEARCH("Party Name-",'R.M Billets Reports'!D2642)),TRIM(MID('R.M Billets Reports'!D2642,SEARCH("-",'R.M Billets Reports'!D2642)+1,200)),""))&lt;&gt;"",IF(ISNUMBER(SEARCH("Party Name:-",'R.M Billets Reports'!D2642)),TRIM('R.M Billets Reports'!F2642),IF(ISNUMBER(SEARCH("Party Name-",'R.M Billets Reports'!D2642)),TRIM(MID('R.M Billets Reports'!D2642,SEARCH("-",'R.M Billets Reports'!D2642)+1,200)),"")),IF(ISNUMBER(SEARCH("Party Name:-",'R.M Billets Reports'!D2643)),TRIM('R.M Billets Reports'!F2643),IF(ISNUMBER(SEARCH("Party Name-",'R.M Billets Reports'!D2643)),TRIM(MID('R.M Billets Reports'!D2643,SEARCH("-",'R.M Billets Reports'!D2643)+1,200)),"")))="SHREE RADHE SHAKTI SPONGE AND POWER PVT. LTD.","SHREE RADHE",IF(IF(ISNUMBER(SEARCH("Party Name:-",'R.M Billets Reports'!D2642)),TRIM('R.M Billets Reports'!F2642),IF(ISNUMBER(SEARCH("Party Name-",'R.M Billets Reports'!D2642)),TRIM(MID('R.M Billets Reports'!D2642,SEARCH("-",'R.M Billets Reports'!D2642)+1,200)),""))&lt;&gt;"",IF(ISNUMBER(SEARCH("Party Name:-",'R.M Billets Reports'!D2642)),TRIM('R.M Billets Reports'!F2642),IF(ISNUMBER(SEARCH("Party Name-",'R.M Billets Reports'!D2642)),TRIM(MID('R.M Billets Reports'!D2642,SEARCH("-",'R.M Billets Reports'!D2642)+1,200)),"")),IF(ISNUMBER(SEARCH("Party Name:-",'R.M Billets Reports'!D2643)),TRIM('R.M Billets Reports'!F2643),IF(ISNUMBER(SEARCH("Party Name-",'R.M Billets Reports'!D2643)),TRIM(MID('R.M Billets Reports'!D2643,SEARCH("-",'R.M Billets Reports'!D2643)+1,200)),"")))))),IF(ROW()=2,"",A2642))</f>
      </c>
      <c r="B2643">
        <f>IF(OR('R.M Billets Reports'!A2642="Date-",'R.M Billets Reports'!A2642="Date:-"),'R.M Billets Reports'!B2642,IF(ROW()=2,"",B2642))</f>
      </c>
      <c r="C2643">
        <f>IF('R.M Billets Reports'!A2642="V.No.",'R.M Billets Reports'!B2642,IF(ROW()=2,"",C2642))</f>
      </c>
      <c r="D2643">
        <f>IF('R.M Billets Reports'!A2642&lt;&gt;"",'R.M Billets Reports'!A2642,IF(ROW()=2,"",D2642))</f>
      </c>
      <c r="E2643">
        <f>IF('R.M Billets Reports'!B2642="","",TRIM('R.M Billets Reports'!B2642))</f>
      </c>
      <c r="F2643">
        <f>'R.M Billets Reports'!C2642</f>
      </c>
      <c r="G2643">
        <f>'R.M Billets Reports'!D2642</f>
      </c>
      <c r="H2643">
        <f>'R.M Billets Reports'!E2642</f>
      </c>
      <c r="I2643">
        <f>'R.M Billets Reports'!F2642</f>
      </c>
      <c r="J2643">
        <f>'R.M Billets Reports'!G2642</f>
      </c>
      <c r="K2643">
        <f>'R.M Billets Reports'!H2642</f>
      </c>
      <c r="L2643">
        <f>IF('R.M Billets Reports'!I2642="","",'R.M Billets Reports'!I2642)</f>
      </c>
      <c r="M2643">
        <f t="shared" si="82"/>
      </c>
      <c r="N2643">
        <f>IF('R.M Billets Reports'!J2642="","",'R.M Billets Reports'!J2642)</f>
      </c>
      <c r="O2643">
        <f t="shared" si="83"/>
      </c>
      <c r="P2643">
        <f>IF('R.M Billets Reports'!A2642="SIZE",'R.M Billets Reports'!B2642,P2642)</f>
      </c>
    </row>
    <row r="2644" spans="1:16" x14ac:dyDescent="0.25">
      <c r="A2644">
        <f>IF(OR('R.M Billets Reports'!A2643="Date-",'R.M Billets Reports'!A2643="Date:-"),IF(IF(IF(ISNUMBER(SEARCH("Party Name:-",'R.M Billets Reports'!D2643)),TRIM('R.M Billets Reports'!F2643),IF(ISNUMBER(SEARCH("Party Name-",'R.M Billets Reports'!D2643)),TRIM(MID('R.M Billets Reports'!D2643,SEARCH("-",'R.M Billets Reports'!D2643)+1,200)),""))&lt;&gt;"",IF(ISNUMBER(SEARCH("Party Name:-",'R.M Billets Reports'!D2643)),TRIM('R.M Billets Reports'!F2643),IF(ISNUMBER(SEARCH("Party Name-",'R.M Billets Reports'!D2643)),TRIM(MID('R.M Billets Reports'!D2643,SEARCH("-",'R.M Billets Reports'!D2643)+1,200)),"")),IF(ISNUMBER(SEARCH("Party Name:-",'R.M Billets Reports'!D2644)),TRIM('R.M Billets Reports'!F2644),IF(ISNUMBER(SEARCH("Party Name-",'R.M Billets Reports'!D2644)),TRIM(MID('R.M Billets Reports'!D2644,SEARCH("-",'R.M Billets Reports'!D2644)+1,200)),"")))="VRKP ISPAT PVT LTD","VRKP",IF(IF(IF(ISNUMBER(SEARCH("Party Name:-",'R.M Billets Reports'!D2643)),TRIM('R.M Billets Reports'!F2643),IF(ISNUMBER(SEARCH("Party Name-",'R.M Billets Reports'!D2643)),TRIM(MID('R.M Billets Reports'!D2643,SEARCH("-",'R.M Billets Reports'!D2643)+1,200)),""))&lt;&gt;"",IF(ISNUMBER(SEARCH("Party Name:-",'R.M Billets Reports'!D2643)),TRIM('R.M Billets Reports'!F2643),IF(ISNUMBER(SEARCH("Party Name-",'R.M Billets Reports'!D2643)),TRIM(MID('R.M Billets Reports'!D2643,SEARCH("-",'R.M Billets Reports'!D2643)+1,200)),"")),IF(ISNUMBER(SEARCH("Party Name:-",'R.M Billets Reports'!D2644)),TRIM('R.M Billets Reports'!F2644),IF(ISNUMBER(SEARCH("Party Name-",'R.M Billets Reports'!D2644)),TRIM(MID('R.M Billets Reports'!D2644,SEARCH("-",'R.M Billets Reports'!D2644)+1,200)),"")))="SHRI RADHE","SHREE RADHE",IF(IF(IF(ISNUMBER(SEARCH("Party Name:-",'R.M Billets Reports'!D2643)),TRIM('R.M Billets Reports'!F2643),IF(ISNUMBER(SEARCH("Party Name-",'R.M Billets Reports'!D2643)),TRIM(MID('R.M Billets Reports'!D2643,SEARCH("-",'R.M Billets Reports'!D2643)+1,200)),""))&lt;&gt;"",IF(ISNUMBER(SEARCH("Party Name:-",'R.M Billets Reports'!D2643)),TRIM('R.M Billets Reports'!F2643),IF(ISNUMBER(SEARCH("Party Name-",'R.M Billets Reports'!D2643)),TRIM(MID('R.M Billets Reports'!D2643,SEARCH("-",'R.M Billets Reports'!D2643)+1,200)),"")),IF(ISNUMBER(SEARCH("Party Name:-",'R.M Billets Reports'!D2644)),TRIM('R.M Billets Reports'!F2644),IF(ISNUMBER(SEARCH("Party Name-",'R.M Billets Reports'!D2644)),TRIM(MID('R.M Billets Reports'!D2644,SEARCH("-",'R.M Billets Reports'!D2644)+1,200)),"")))="SHREE RADHE SHAKTI SPONGE AND POWER PVT. LTD.","SHREE RADHE",IF(IF(ISNUMBER(SEARCH("Party Name:-",'R.M Billets Reports'!D2643)),TRIM('R.M Billets Reports'!F2643),IF(ISNUMBER(SEARCH("Party Name-",'R.M Billets Reports'!D2643)),TRIM(MID('R.M Billets Reports'!D2643,SEARCH("-",'R.M Billets Reports'!D2643)+1,200)),""))&lt;&gt;"",IF(ISNUMBER(SEARCH("Party Name:-",'R.M Billets Reports'!D2643)),TRIM('R.M Billets Reports'!F2643),IF(ISNUMBER(SEARCH("Party Name-",'R.M Billets Reports'!D2643)),TRIM(MID('R.M Billets Reports'!D2643,SEARCH("-",'R.M Billets Reports'!D2643)+1,200)),"")),IF(ISNUMBER(SEARCH("Party Name:-",'R.M Billets Reports'!D2644)),TRIM('R.M Billets Reports'!F2644),IF(ISNUMBER(SEARCH("Party Name-",'R.M Billets Reports'!D2644)),TRIM(MID('R.M Billets Reports'!D2644,SEARCH("-",'R.M Billets Reports'!D2644)+1,200)),"")))))),IF(ROW()=2,"",A2643))</f>
      </c>
      <c r="B2644">
        <f>IF(OR('R.M Billets Reports'!A2643="Date-",'R.M Billets Reports'!A2643="Date:-"),'R.M Billets Reports'!B2643,IF(ROW()=2,"",B2643))</f>
      </c>
      <c r="C2644">
        <f>IF('R.M Billets Reports'!A2643="V.No.",'R.M Billets Reports'!B2643,IF(ROW()=2,"",C2643))</f>
      </c>
      <c r="D2644">
        <f>IF('R.M Billets Reports'!A2643&lt;&gt;"",'R.M Billets Reports'!A2643,IF(ROW()=2,"",D2643))</f>
      </c>
      <c r="E2644">
        <f>IF('R.M Billets Reports'!B2643="","",TRIM('R.M Billets Reports'!B2643))</f>
      </c>
      <c r="F2644">
        <f>'R.M Billets Reports'!C2643</f>
      </c>
      <c r="G2644">
        <f>'R.M Billets Reports'!D2643</f>
      </c>
      <c r="H2644">
        <f>'R.M Billets Reports'!E2643</f>
      </c>
      <c r="I2644">
        <f>'R.M Billets Reports'!F2643</f>
      </c>
      <c r="J2644">
        <f>'R.M Billets Reports'!G2643</f>
      </c>
      <c r="K2644">
        <f>'R.M Billets Reports'!H2643</f>
      </c>
      <c r="L2644">
        <f>IF('R.M Billets Reports'!I2643="","",'R.M Billets Reports'!I2643)</f>
      </c>
      <c r="M2644">
        <f t="shared" si="82"/>
      </c>
      <c r="N2644">
        <f>IF('R.M Billets Reports'!J2643="","",'R.M Billets Reports'!J2643)</f>
      </c>
      <c r="O2644">
        <f t="shared" si="83"/>
      </c>
      <c r="P2644">
        <f>IF('R.M Billets Reports'!A2643="SIZE",'R.M Billets Reports'!B2643,P2643)</f>
      </c>
    </row>
    <row r="2645" spans="1:16" x14ac:dyDescent="0.25">
      <c r="A2645">
        <f>IF(OR('R.M Billets Reports'!A2644="Date-",'R.M Billets Reports'!A2644="Date:-"),IF(IF(IF(ISNUMBER(SEARCH("Party Name:-",'R.M Billets Reports'!D2644)),TRIM('R.M Billets Reports'!F2644),IF(ISNUMBER(SEARCH("Party Name-",'R.M Billets Reports'!D2644)),TRIM(MID('R.M Billets Reports'!D2644,SEARCH("-",'R.M Billets Reports'!D2644)+1,200)),""))&lt;&gt;"",IF(ISNUMBER(SEARCH("Party Name:-",'R.M Billets Reports'!D2644)),TRIM('R.M Billets Reports'!F2644),IF(ISNUMBER(SEARCH("Party Name-",'R.M Billets Reports'!D2644)),TRIM(MID('R.M Billets Reports'!D2644,SEARCH("-",'R.M Billets Reports'!D2644)+1,200)),"")),IF(ISNUMBER(SEARCH("Party Name:-",'R.M Billets Reports'!D2645)),TRIM('R.M Billets Reports'!F2645),IF(ISNUMBER(SEARCH("Party Name-",'R.M Billets Reports'!D2645)),TRIM(MID('R.M Billets Reports'!D2645,SEARCH("-",'R.M Billets Reports'!D2645)+1,200)),"")))="VRKP ISPAT PVT LTD","VRKP",IF(IF(IF(ISNUMBER(SEARCH("Party Name:-",'R.M Billets Reports'!D2644)),TRIM('R.M Billets Reports'!F2644),IF(ISNUMBER(SEARCH("Party Name-",'R.M Billets Reports'!D2644)),TRIM(MID('R.M Billets Reports'!D2644,SEARCH("-",'R.M Billets Reports'!D2644)+1,200)),""))&lt;&gt;"",IF(ISNUMBER(SEARCH("Party Name:-",'R.M Billets Reports'!D2644)),TRIM('R.M Billets Reports'!F2644),IF(ISNUMBER(SEARCH("Party Name-",'R.M Billets Reports'!D2644)),TRIM(MID('R.M Billets Reports'!D2644,SEARCH("-",'R.M Billets Reports'!D2644)+1,200)),"")),IF(ISNUMBER(SEARCH("Party Name:-",'R.M Billets Reports'!D2645)),TRIM('R.M Billets Reports'!F2645),IF(ISNUMBER(SEARCH("Party Name-",'R.M Billets Reports'!D2645)),TRIM(MID('R.M Billets Reports'!D2645,SEARCH("-",'R.M Billets Reports'!D2645)+1,200)),"")))="SHRI RADHE","SHREE RADHE",IF(IF(IF(ISNUMBER(SEARCH("Party Name:-",'R.M Billets Reports'!D2644)),TRIM('R.M Billets Reports'!F2644),IF(ISNUMBER(SEARCH("Party Name-",'R.M Billets Reports'!D2644)),TRIM(MID('R.M Billets Reports'!D2644,SEARCH("-",'R.M Billets Reports'!D2644)+1,200)),""))&lt;&gt;"",IF(ISNUMBER(SEARCH("Party Name:-",'R.M Billets Reports'!D2644)),TRIM('R.M Billets Reports'!F2644),IF(ISNUMBER(SEARCH("Party Name-",'R.M Billets Reports'!D2644)),TRIM(MID('R.M Billets Reports'!D2644,SEARCH("-",'R.M Billets Reports'!D2644)+1,200)),"")),IF(ISNUMBER(SEARCH("Party Name:-",'R.M Billets Reports'!D2645)),TRIM('R.M Billets Reports'!F2645),IF(ISNUMBER(SEARCH("Party Name-",'R.M Billets Reports'!D2645)),TRIM(MID('R.M Billets Reports'!D2645,SEARCH("-",'R.M Billets Reports'!D2645)+1,200)),"")))="SHREE RADHE SHAKTI SPONGE AND POWER PVT. LTD.","SHREE RADHE",IF(IF(ISNUMBER(SEARCH("Party Name:-",'R.M Billets Reports'!D2644)),TRIM('R.M Billets Reports'!F2644),IF(ISNUMBER(SEARCH("Party Name-",'R.M Billets Reports'!D2644)),TRIM(MID('R.M Billets Reports'!D2644,SEARCH("-",'R.M Billets Reports'!D2644)+1,200)),""))&lt;&gt;"",IF(ISNUMBER(SEARCH("Party Name:-",'R.M Billets Reports'!D2644)),TRIM('R.M Billets Reports'!F2644),IF(ISNUMBER(SEARCH("Party Name-",'R.M Billets Reports'!D2644)),TRIM(MID('R.M Billets Reports'!D2644,SEARCH("-",'R.M Billets Reports'!D2644)+1,200)),"")),IF(ISNUMBER(SEARCH("Party Name:-",'R.M Billets Reports'!D2645)),TRIM('R.M Billets Reports'!F2645),IF(ISNUMBER(SEARCH("Party Name-",'R.M Billets Reports'!D2645)),TRIM(MID('R.M Billets Reports'!D2645,SEARCH("-",'R.M Billets Reports'!D2645)+1,200)),"")))))),IF(ROW()=2,"",A2644))</f>
      </c>
      <c r="B2645">
        <f>IF(OR('R.M Billets Reports'!A2644="Date-",'R.M Billets Reports'!A2644="Date:-"),'R.M Billets Reports'!B2644,IF(ROW()=2,"",B2644))</f>
      </c>
      <c r="C2645">
        <f>IF('R.M Billets Reports'!A2644="V.No.",'R.M Billets Reports'!B2644,IF(ROW()=2,"",C2644))</f>
      </c>
      <c r="D2645">
        <f>IF('R.M Billets Reports'!A2644&lt;&gt;"",'R.M Billets Reports'!A2644,IF(ROW()=2,"",D2644))</f>
      </c>
      <c r="E2645">
        <f>IF('R.M Billets Reports'!B2644="","",TRIM('R.M Billets Reports'!B2644))</f>
      </c>
      <c r="F2645">
        <f>'R.M Billets Reports'!C2644</f>
      </c>
      <c r="G2645">
        <f>'R.M Billets Reports'!D2644</f>
      </c>
      <c r="H2645">
        <f>'R.M Billets Reports'!E2644</f>
      </c>
      <c r="I2645">
        <f>'R.M Billets Reports'!F2644</f>
      </c>
      <c r="J2645">
        <f>'R.M Billets Reports'!G2644</f>
      </c>
      <c r="K2645">
        <f>'R.M Billets Reports'!H2644</f>
      </c>
      <c r="L2645">
        <f>IF('R.M Billets Reports'!I2644="","",'R.M Billets Reports'!I2644)</f>
      </c>
      <c r="M2645">
        <f t="shared" si="82"/>
      </c>
      <c r="N2645">
        <f>IF('R.M Billets Reports'!J2644="","",'R.M Billets Reports'!J2644)</f>
      </c>
      <c r="O2645">
        <f t="shared" si="83"/>
      </c>
      <c r="P2645">
        <f>IF('R.M Billets Reports'!A2644="SIZE",'R.M Billets Reports'!B2644,P2644)</f>
      </c>
    </row>
    <row r="2646" spans="1:16" x14ac:dyDescent="0.25">
      <c r="A2646">
        <f>IF(OR('R.M Billets Reports'!A2645="Date-",'R.M Billets Reports'!A2645="Date:-"),IF(IF(IF(ISNUMBER(SEARCH("Party Name:-",'R.M Billets Reports'!D2645)),TRIM('R.M Billets Reports'!F2645),IF(ISNUMBER(SEARCH("Party Name-",'R.M Billets Reports'!D2645)),TRIM(MID('R.M Billets Reports'!D2645,SEARCH("-",'R.M Billets Reports'!D2645)+1,200)),""))&lt;&gt;"",IF(ISNUMBER(SEARCH("Party Name:-",'R.M Billets Reports'!D2645)),TRIM('R.M Billets Reports'!F2645),IF(ISNUMBER(SEARCH("Party Name-",'R.M Billets Reports'!D2645)),TRIM(MID('R.M Billets Reports'!D2645,SEARCH("-",'R.M Billets Reports'!D2645)+1,200)),"")),IF(ISNUMBER(SEARCH("Party Name:-",'R.M Billets Reports'!D2646)),TRIM('R.M Billets Reports'!F2646),IF(ISNUMBER(SEARCH("Party Name-",'R.M Billets Reports'!D2646)),TRIM(MID('R.M Billets Reports'!D2646,SEARCH("-",'R.M Billets Reports'!D2646)+1,200)),"")))="VRKP ISPAT PVT LTD","VRKP",IF(IF(IF(ISNUMBER(SEARCH("Party Name:-",'R.M Billets Reports'!D2645)),TRIM('R.M Billets Reports'!F2645),IF(ISNUMBER(SEARCH("Party Name-",'R.M Billets Reports'!D2645)),TRIM(MID('R.M Billets Reports'!D2645,SEARCH("-",'R.M Billets Reports'!D2645)+1,200)),""))&lt;&gt;"",IF(ISNUMBER(SEARCH("Party Name:-",'R.M Billets Reports'!D2645)),TRIM('R.M Billets Reports'!F2645),IF(ISNUMBER(SEARCH("Party Name-",'R.M Billets Reports'!D2645)),TRIM(MID('R.M Billets Reports'!D2645,SEARCH("-",'R.M Billets Reports'!D2645)+1,200)),"")),IF(ISNUMBER(SEARCH("Party Name:-",'R.M Billets Reports'!D2646)),TRIM('R.M Billets Reports'!F2646),IF(ISNUMBER(SEARCH("Party Name-",'R.M Billets Reports'!D2646)),TRIM(MID('R.M Billets Reports'!D2646,SEARCH("-",'R.M Billets Reports'!D2646)+1,200)),"")))="SHRI RADHE","SHREE RADHE",IF(IF(IF(ISNUMBER(SEARCH("Party Name:-",'R.M Billets Reports'!D2645)),TRIM('R.M Billets Reports'!F2645),IF(ISNUMBER(SEARCH("Party Name-",'R.M Billets Reports'!D2645)),TRIM(MID('R.M Billets Reports'!D2645,SEARCH("-",'R.M Billets Reports'!D2645)+1,200)),""))&lt;&gt;"",IF(ISNUMBER(SEARCH("Party Name:-",'R.M Billets Reports'!D2645)),TRIM('R.M Billets Reports'!F2645),IF(ISNUMBER(SEARCH("Party Name-",'R.M Billets Reports'!D2645)),TRIM(MID('R.M Billets Reports'!D2645,SEARCH("-",'R.M Billets Reports'!D2645)+1,200)),"")),IF(ISNUMBER(SEARCH("Party Name:-",'R.M Billets Reports'!D2646)),TRIM('R.M Billets Reports'!F2646),IF(ISNUMBER(SEARCH("Party Name-",'R.M Billets Reports'!D2646)),TRIM(MID('R.M Billets Reports'!D2646,SEARCH("-",'R.M Billets Reports'!D2646)+1,200)),"")))="SHREE RADHE SHAKTI SPONGE AND POWER PVT. LTD.","SHREE RADHE",IF(IF(ISNUMBER(SEARCH("Party Name:-",'R.M Billets Reports'!D2645)),TRIM('R.M Billets Reports'!F2645),IF(ISNUMBER(SEARCH("Party Name-",'R.M Billets Reports'!D2645)),TRIM(MID('R.M Billets Reports'!D2645,SEARCH("-",'R.M Billets Reports'!D2645)+1,200)),""))&lt;&gt;"",IF(ISNUMBER(SEARCH("Party Name:-",'R.M Billets Reports'!D2645)),TRIM('R.M Billets Reports'!F2645),IF(ISNUMBER(SEARCH("Party Name-",'R.M Billets Reports'!D2645)),TRIM(MID('R.M Billets Reports'!D2645,SEARCH("-",'R.M Billets Reports'!D2645)+1,200)),"")),IF(ISNUMBER(SEARCH("Party Name:-",'R.M Billets Reports'!D2646)),TRIM('R.M Billets Reports'!F2646),IF(ISNUMBER(SEARCH("Party Name-",'R.M Billets Reports'!D2646)),TRIM(MID('R.M Billets Reports'!D2646,SEARCH("-",'R.M Billets Reports'!D2646)+1,200)),"")))))),IF(ROW()=2,"",A2645))</f>
      </c>
      <c r="B2646">
        <f>IF(OR('R.M Billets Reports'!A2645="Date-",'R.M Billets Reports'!A2645="Date:-"),'R.M Billets Reports'!B2645,IF(ROW()=2,"",B2645))</f>
      </c>
      <c r="C2646">
        <f>IF('R.M Billets Reports'!A2645="V.No.",'R.M Billets Reports'!B2645,IF(ROW()=2,"",C2645))</f>
      </c>
      <c r="D2646">
        <f>IF('R.M Billets Reports'!A2645&lt;&gt;"",'R.M Billets Reports'!A2645,IF(ROW()=2,"",D2645))</f>
      </c>
      <c r="E2646">
        <f>IF('R.M Billets Reports'!B2645="","",TRIM('R.M Billets Reports'!B2645))</f>
      </c>
      <c r="F2646">
        <f>'R.M Billets Reports'!C2645</f>
      </c>
      <c r="G2646">
        <f>'R.M Billets Reports'!D2645</f>
      </c>
      <c r="H2646">
        <f>'R.M Billets Reports'!E2645</f>
      </c>
      <c r="I2646">
        <f>'R.M Billets Reports'!F2645</f>
      </c>
      <c r="J2646">
        <f>'R.M Billets Reports'!G2645</f>
      </c>
      <c r="K2646">
        <f>'R.M Billets Reports'!H2645</f>
      </c>
      <c r="L2646">
        <f>IF('R.M Billets Reports'!I2645="","",'R.M Billets Reports'!I2645)</f>
      </c>
      <c r="M2646">
        <f t="shared" si="82"/>
      </c>
      <c r="N2646">
        <f>IF('R.M Billets Reports'!J2645="","",'R.M Billets Reports'!J2645)</f>
      </c>
      <c r="O2646">
        <f t="shared" si="83"/>
      </c>
      <c r="P2646">
        <f>IF('R.M Billets Reports'!A2645="SIZE",'R.M Billets Reports'!B2645,P2645)</f>
      </c>
    </row>
    <row r="2647" spans="1:16" x14ac:dyDescent="0.25">
      <c r="A2647">
        <f>IF(OR('R.M Billets Reports'!A2646="Date-",'R.M Billets Reports'!A2646="Date:-"),IF(IF(IF(ISNUMBER(SEARCH("Party Name:-",'R.M Billets Reports'!D2646)),TRIM('R.M Billets Reports'!F2646),IF(ISNUMBER(SEARCH("Party Name-",'R.M Billets Reports'!D2646)),TRIM(MID('R.M Billets Reports'!D2646,SEARCH("-",'R.M Billets Reports'!D2646)+1,200)),""))&lt;&gt;"",IF(ISNUMBER(SEARCH("Party Name:-",'R.M Billets Reports'!D2646)),TRIM('R.M Billets Reports'!F2646),IF(ISNUMBER(SEARCH("Party Name-",'R.M Billets Reports'!D2646)),TRIM(MID('R.M Billets Reports'!D2646,SEARCH("-",'R.M Billets Reports'!D2646)+1,200)),"")),IF(ISNUMBER(SEARCH("Party Name:-",'R.M Billets Reports'!D2647)),TRIM('R.M Billets Reports'!F2647),IF(ISNUMBER(SEARCH("Party Name-",'R.M Billets Reports'!D2647)),TRIM(MID('R.M Billets Reports'!D2647,SEARCH("-",'R.M Billets Reports'!D2647)+1,200)),"")))="VRKP ISPAT PVT LTD","VRKP",IF(IF(IF(ISNUMBER(SEARCH("Party Name:-",'R.M Billets Reports'!D2646)),TRIM('R.M Billets Reports'!F2646),IF(ISNUMBER(SEARCH("Party Name-",'R.M Billets Reports'!D2646)),TRIM(MID('R.M Billets Reports'!D2646,SEARCH("-",'R.M Billets Reports'!D2646)+1,200)),""))&lt;&gt;"",IF(ISNUMBER(SEARCH("Party Name:-",'R.M Billets Reports'!D2646)),TRIM('R.M Billets Reports'!F2646),IF(ISNUMBER(SEARCH("Party Name-",'R.M Billets Reports'!D2646)),TRIM(MID('R.M Billets Reports'!D2646,SEARCH("-",'R.M Billets Reports'!D2646)+1,200)),"")),IF(ISNUMBER(SEARCH("Party Name:-",'R.M Billets Reports'!D2647)),TRIM('R.M Billets Reports'!F2647),IF(ISNUMBER(SEARCH("Party Name-",'R.M Billets Reports'!D2647)),TRIM(MID('R.M Billets Reports'!D2647,SEARCH("-",'R.M Billets Reports'!D2647)+1,200)),"")))="SHRI RADHE","SHREE RADHE",IF(IF(IF(ISNUMBER(SEARCH("Party Name:-",'R.M Billets Reports'!D2646)),TRIM('R.M Billets Reports'!F2646),IF(ISNUMBER(SEARCH("Party Name-",'R.M Billets Reports'!D2646)),TRIM(MID('R.M Billets Reports'!D2646,SEARCH("-",'R.M Billets Reports'!D2646)+1,200)),""))&lt;&gt;"",IF(ISNUMBER(SEARCH("Party Name:-",'R.M Billets Reports'!D2646)),TRIM('R.M Billets Reports'!F2646),IF(ISNUMBER(SEARCH("Party Name-",'R.M Billets Reports'!D2646)),TRIM(MID('R.M Billets Reports'!D2646,SEARCH("-",'R.M Billets Reports'!D2646)+1,200)),"")),IF(ISNUMBER(SEARCH("Party Name:-",'R.M Billets Reports'!D2647)),TRIM('R.M Billets Reports'!F2647),IF(ISNUMBER(SEARCH("Party Name-",'R.M Billets Reports'!D2647)),TRIM(MID('R.M Billets Reports'!D2647,SEARCH("-",'R.M Billets Reports'!D2647)+1,200)),"")))="SHREE RADHE SHAKTI SPONGE AND POWER PVT. LTD.","SHREE RADHE",IF(IF(ISNUMBER(SEARCH("Party Name:-",'R.M Billets Reports'!D2646)),TRIM('R.M Billets Reports'!F2646),IF(ISNUMBER(SEARCH("Party Name-",'R.M Billets Reports'!D2646)),TRIM(MID('R.M Billets Reports'!D2646,SEARCH("-",'R.M Billets Reports'!D2646)+1,200)),""))&lt;&gt;"",IF(ISNUMBER(SEARCH("Party Name:-",'R.M Billets Reports'!D2646)),TRIM('R.M Billets Reports'!F2646),IF(ISNUMBER(SEARCH("Party Name-",'R.M Billets Reports'!D2646)),TRIM(MID('R.M Billets Reports'!D2646,SEARCH("-",'R.M Billets Reports'!D2646)+1,200)),"")),IF(ISNUMBER(SEARCH("Party Name:-",'R.M Billets Reports'!D2647)),TRIM('R.M Billets Reports'!F2647),IF(ISNUMBER(SEARCH("Party Name-",'R.M Billets Reports'!D2647)),TRIM(MID('R.M Billets Reports'!D2647,SEARCH("-",'R.M Billets Reports'!D2647)+1,200)),"")))))),IF(ROW()=2,"",A2646))</f>
      </c>
      <c r="B2647">
        <f>IF(OR('R.M Billets Reports'!A2646="Date-",'R.M Billets Reports'!A2646="Date:-"),'R.M Billets Reports'!B2646,IF(ROW()=2,"",B2646))</f>
      </c>
      <c r="C2647">
        <f>IF('R.M Billets Reports'!A2646="V.No.",'R.M Billets Reports'!B2646,IF(ROW()=2,"",C2646))</f>
      </c>
      <c r="D2647">
        <f>IF('R.M Billets Reports'!A2646&lt;&gt;"",'R.M Billets Reports'!A2646,IF(ROW()=2,"",D2646))</f>
      </c>
      <c r="E2647">
        <f>IF('R.M Billets Reports'!B2646="","",TRIM('R.M Billets Reports'!B2646))</f>
      </c>
      <c r="F2647">
        <f>'R.M Billets Reports'!C2646</f>
      </c>
      <c r="G2647">
        <f>'R.M Billets Reports'!D2646</f>
      </c>
      <c r="H2647">
        <f>'R.M Billets Reports'!E2646</f>
      </c>
      <c r="I2647">
        <f>'R.M Billets Reports'!F2646</f>
      </c>
      <c r="J2647">
        <f>'R.M Billets Reports'!G2646</f>
      </c>
      <c r="K2647">
        <f>'R.M Billets Reports'!H2646</f>
      </c>
      <c r="L2647">
        <f>IF('R.M Billets Reports'!I2646="","",'R.M Billets Reports'!I2646)</f>
      </c>
      <c r="M2647">
        <f t="shared" si="82"/>
      </c>
      <c r="N2647">
        <f>IF('R.M Billets Reports'!J2646="","",'R.M Billets Reports'!J2646)</f>
      </c>
      <c r="O2647">
        <f t="shared" si="83"/>
      </c>
      <c r="P2647">
        <f>IF('R.M Billets Reports'!A2646="SIZE",'R.M Billets Reports'!B2646,P2646)</f>
      </c>
    </row>
    <row r="2648" spans="1:16" x14ac:dyDescent="0.25">
      <c r="A2648">
        <f>IF(OR('R.M Billets Reports'!A2647="Date-",'R.M Billets Reports'!A2647="Date:-"),IF(IF(IF(ISNUMBER(SEARCH("Party Name:-",'R.M Billets Reports'!D2647)),TRIM('R.M Billets Reports'!F2647),IF(ISNUMBER(SEARCH("Party Name-",'R.M Billets Reports'!D2647)),TRIM(MID('R.M Billets Reports'!D2647,SEARCH("-",'R.M Billets Reports'!D2647)+1,200)),""))&lt;&gt;"",IF(ISNUMBER(SEARCH("Party Name:-",'R.M Billets Reports'!D2647)),TRIM('R.M Billets Reports'!F2647),IF(ISNUMBER(SEARCH("Party Name-",'R.M Billets Reports'!D2647)),TRIM(MID('R.M Billets Reports'!D2647,SEARCH("-",'R.M Billets Reports'!D2647)+1,200)),"")),IF(ISNUMBER(SEARCH("Party Name:-",'R.M Billets Reports'!D2648)),TRIM('R.M Billets Reports'!F2648),IF(ISNUMBER(SEARCH("Party Name-",'R.M Billets Reports'!D2648)),TRIM(MID('R.M Billets Reports'!D2648,SEARCH("-",'R.M Billets Reports'!D2648)+1,200)),"")))="VRKP ISPAT PVT LTD","VRKP",IF(IF(IF(ISNUMBER(SEARCH("Party Name:-",'R.M Billets Reports'!D2647)),TRIM('R.M Billets Reports'!F2647),IF(ISNUMBER(SEARCH("Party Name-",'R.M Billets Reports'!D2647)),TRIM(MID('R.M Billets Reports'!D2647,SEARCH("-",'R.M Billets Reports'!D2647)+1,200)),""))&lt;&gt;"",IF(ISNUMBER(SEARCH("Party Name:-",'R.M Billets Reports'!D2647)),TRIM('R.M Billets Reports'!F2647),IF(ISNUMBER(SEARCH("Party Name-",'R.M Billets Reports'!D2647)),TRIM(MID('R.M Billets Reports'!D2647,SEARCH("-",'R.M Billets Reports'!D2647)+1,200)),"")),IF(ISNUMBER(SEARCH("Party Name:-",'R.M Billets Reports'!D2648)),TRIM('R.M Billets Reports'!F2648),IF(ISNUMBER(SEARCH("Party Name-",'R.M Billets Reports'!D2648)),TRIM(MID('R.M Billets Reports'!D2648,SEARCH("-",'R.M Billets Reports'!D2648)+1,200)),"")))="SHRI RADHE","SHREE RADHE",IF(IF(IF(ISNUMBER(SEARCH("Party Name:-",'R.M Billets Reports'!D2647)),TRIM('R.M Billets Reports'!F2647),IF(ISNUMBER(SEARCH("Party Name-",'R.M Billets Reports'!D2647)),TRIM(MID('R.M Billets Reports'!D2647,SEARCH("-",'R.M Billets Reports'!D2647)+1,200)),""))&lt;&gt;"",IF(ISNUMBER(SEARCH("Party Name:-",'R.M Billets Reports'!D2647)),TRIM('R.M Billets Reports'!F2647),IF(ISNUMBER(SEARCH("Party Name-",'R.M Billets Reports'!D2647)),TRIM(MID('R.M Billets Reports'!D2647,SEARCH("-",'R.M Billets Reports'!D2647)+1,200)),"")),IF(ISNUMBER(SEARCH("Party Name:-",'R.M Billets Reports'!D2648)),TRIM('R.M Billets Reports'!F2648),IF(ISNUMBER(SEARCH("Party Name-",'R.M Billets Reports'!D2648)),TRIM(MID('R.M Billets Reports'!D2648,SEARCH("-",'R.M Billets Reports'!D2648)+1,200)),"")))="SHREE RADHE SHAKTI SPONGE AND POWER PVT. LTD.","SHREE RADHE",IF(IF(ISNUMBER(SEARCH("Party Name:-",'R.M Billets Reports'!D2647)),TRIM('R.M Billets Reports'!F2647),IF(ISNUMBER(SEARCH("Party Name-",'R.M Billets Reports'!D2647)),TRIM(MID('R.M Billets Reports'!D2647,SEARCH("-",'R.M Billets Reports'!D2647)+1,200)),""))&lt;&gt;"",IF(ISNUMBER(SEARCH("Party Name:-",'R.M Billets Reports'!D2647)),TRIM('R.M Billets Reports'!F2647),IF(ISNUMBER(SEARCH("Party Name-",'R.M Billets Reports'!D2647)),TRIM(MID('R.M Billets Reports'!D2647,SEARCH("-",'R.M Billets Reports'!D2647)+1,200)),"")),IF(ISNUMBER(SEARCH("Party Name:-",'R.M Billets Reports'!D2648)),TRIM('R.M Billets Reports'!F2648),IF(ISNUMBER(SEARCH("Party Name-",'R.M Billets Reports'!D2648)),TRIM(MID('R.M Billets Reports'!D2648,SEARCH("-",'R.M Billets Reports'!D2648)+1,200)),"")))))),IF(ROW()=2,"",A2647))</f>
      </c>
      <c r="B2648">
        <f>IF(OR('R.M Billets Reports'!A2647="Date-",'R.M Billets Reports'!A2647="Date:-"),'R.M Billets Reports'!B2647,IF(ROW()=2,"",B2647))</f>
      </c>
      <c r="C2648">
        <f>IF('R.M Billets Reports'!A2647="V.No.",'R.M Billets Reports'!B2647,IF(ROW()=2,"",C2647))</f>
      </c>
      <c r="D2648">
        <f>IF('R.M Billets Reports'!A2647&lt;&gt;"",'R.M Billets Reports'!A2647,IF(ROW()=2,"",D2647))</f>
      </c>
      <c r="E2648">
        <f>IF('R.M Billets Reports'!B2647="","",TRIM('R.M Billets Reports'!B2647))</f>
      </c>
      <c r="F2648">
        <f>'R.M Billets Reports'!C2647</f>
      </c>
      <c r="G2648">
        <f>'R.M Billets Reports'!D2647</f>
      </c>
      <c r="H2648">
        <f>'R.M Billets Reports'!E2647</f>
      </c>
      <c r="I2648">
        <f>'R.M Billets Reports'!F2647</f>
      </c>
      <c r="J2648">
        <f>'R.M Billets Reports'!G2647</f>
      </c>
      <c r="K2648">
        <f>'R.M Billets Reports'!H2647</f>
      </c>
      <c r="L2648">
        <f>IF('R.M Billets Reports'!I2647="","",'R.M Billets Reports'!I2647)</f>
      </c>
      <c r="M2648">
        <f t="shared" si="82"/>
      </c>
      <c r="N2648">
        <f>IF('R.M Billets Reports'!J2647="","",'R.M Billets Reports'!J2647)</f>
      </c>
      <c r="O2648">
        <f t="shared" si="83"/>
      </c>
      <c r="P2648">
        <f>IF('R.M Billets Reports'!A2647="SIZE",'R.M Billets Reports'!B2647,P2647)</f>
      </c>
    </row>
    <row r="2649" spans="1:16" x14ac:dyDescent="0.25">
      <c r="A2649">
        <f>IF(OR('R.M Billets Reports'!A2648="Date-",'R.M Billets Reports'!A2648="Date:-"),IF(IF(IF(ISNUMBER(SEARCH("Party Name:-",'R.M Billets Reports'!D2648)),TRIM('R.M Billets Reports'!F2648),IF(ISNUMBER(SEARCH("Party Name-",'R.M Billets Reports'!D2648)),TRIM(MID('R.M Billets Reports'!D2648,SEARCH("-",'R.M Billets Reports'!D2648)+1,200)),""))&lt;&gt;"",IF(ISNUMBER(SEARCH("Party Name:-",'R.M Billets Reports'!D2648)),TRIM('R.M Billets Reports'!F2648),IF(ISNUMBER(SEARCH("Party Name-",'R.M Billets Reports'!D2648)),TRIM(MID('R.M Billets Reports'!D2648,SEARCH("-",'R.M Billets Reports'!D2648)+1,200)),"")),IF(ISNUMBER(SEARCH("Party Name:-",'R.M Billets Reports'!D2649)),TRIM('R.M Billets Reports'!F2649),IF(ISNUMBER(SEARCH("Party Name-",'R.M Billets Reports'!D2649)),TRIM(MID('R.M Billets Reports'!D2649,SEARCH("-",'R.M Billets Reports'!D2649)+1,200)),"")))="VRKP ISPAT PVT LTD","VRKP",IF(IF(IF(ISNUMBER(SEARCH("Party Name:-",'R.M Billets Reports'!D2648)),TRIM('R.M Billets Reports'!F2648),IF(ISNUMBER(SEARCH("Party Name-",'R.M Billets Reports'!D2648)),TRIM(MID('R.M Billets Reports'!D2648,SEARCH("-",'R.M Billets Reports'!D2648)+1,200)),""))&lt;&gt;"",IF(ISNUMBER(SEARCH("Party Name:-",'R.M Billets Reports'!D2648)),TRIM('R.M Billets Reports'!F2648),IF(ISNUMBER(SEARCH("Party Name-",'R.M Billets Reports'!D2648)),TRIM(MID('R.M Billets Reports'!D2648,SEARCH("-",'R.M Billets Reports'!D2648)+1,200)),"")),IF(ISNUMBER(SEARCH("Party Name:-",'R.M Billets Reports'!D2649)),TRIM('R.M Billets Reports'!F2649),IF(ISNUMBER(SEARCH("Party Name-",'R.M Billets Reports'!D2649)),TRIM(MID('R.M Billets Reports'!D2649,SEARCH("-",'R.M Billets Reports'!D2649)+1,200)),"")))="SHRI RADHE","SHREE RADHE",IF(IF(IF(ISNUMBER(SEARCH("Party Name:-",'R.M Billets Reports'!D2648)),TRIM('R.M Billets Reports'!F2648),IF(ISNUMBER(SEARCH("Party Name-",'R.M Billets Reports'!D2648)),TRIM(MID('R.M Billets Reports'!D2648,SEARCH("-",'R.M Billets Reports'!D2648)+1,200)),""))&lt;&gt;"",IF(ISNUMBER(SEARCH("Party Name:-",'R.M Billets Reports'!D2648)),TRIM('R.M Billets Reports'!F2648),IF(ISNUMBER(SEARCH("Party Name-",'R.M Billets Reports'!D2648)),TRIM(MID('R.M Billets Reports'!D2648,SEARCH("-",'R.M Billets Reports'!D2648)+1,200)),"")),IF(ISNUMBER(SEARCH("Party Name:-",'R.M Billets Reports'!D2649)),TRIM('R.M Billets Reports'!F2649),IF(ISNUMBER(SEARCH("Party Name-",'R.M Billets Reports'!D2649)),TRIM(MID('R.M Billets Reports'!D2649,SEARCH("-",'R.M Billets Reports'!D2649)+1,200)),"")))="SHREE RADHE SHAKTI SPONGE AND POWER PVT. LTD.","SHREE RADHE",IF(IF(ISNUMBER(SEARCH("Party Name:-",'R.M Billets Reports'!D2648)),TRIM('R.M Billets Reports'!F2648),IF(ISNUMBER(SEARCH("Party Name-",'R.M Billets Reports'!D2648)),TRIM(MID('R.M Billets Reports'!D2648,SEARCH("-",'R.M Billets Reports'!D2648)+1,200)),""))&lt;&gt;"",IF(ISNUMBER(SEARCH("Party Name:-",'R.M Billets Reports'!D2648)),TRIM('R.M Billets Reports'!F2648),IF(ISNUMBER(SEARCH("Party Name-",'R.M Billets Reports'!D2648)),TRIM(MID('R.M Billets Reports'!D2648,SEARCH("-",'R.M Billets Reports'!D2648)+1,200)),"")),IF(ISNUMBER(SEARCH("Party Name:-",'R.M Billets Reports'!D2649)),TRIM('R.M Billets Reports'!F2649),IF(ISNUMBER(SEARCH("Party Name-",'R.M Billets Reports'!D2649)),TRIM(MID('R.M Billets Reports'!D2649,SEARCH("-",'R.M Billets Reports'!D2649)+1,200)),"")))))),IF(ROW()=2,"",A2648))</f>
      </c>
      <c r="B2649">
        <f>IF(OR('R.M Billets Reports'!A2648="Date-",'R.M Billets Reports'!A2648="Date:-"),'R.M Billets Reports'!B2648,IF(ROW()=2,"",B2648))</f>
      </c>
      <c r="C2649">
        <f>IF('R.M Billets Reports'!A2648="V.No.",'R.M Billets Reports'!B2648,IF(ROW()=2,"",C2648))</f>
      </c>
      <c r="D2649">
        <f>IF('R.M Billets Reports'!A2648&lt;&gt;"",'R.M Billets Reports'!A2648,IF(ROW()=2,"",D2648))</f>
      </c>
      <c r="E2649">
        <f>IF('R.M Billets Reports'!B2648="","",TRIM('R.M Billets Reports'!B2648))</f>
      </c>
      <c r="F2649">
        <f>'R.M Billets Reports'!C2648</f>
      </c>
      <c r="G2649">
        <f>'R.M Billets Reports'!D2648</f>
      </c>
      <c r="H2649">
        <f>'R.M Billets Reports'!E2648</f>
      </c>
      <c r="I2649">
        <f>'R.M Billets Reports'!F2648</f>
      </c>
      <c r="J2649">
        <f>'R.M Billets Reports'!G2648</f>
      </c>
      <c r="K2649">
        <f>'R.M Billets Reports'!H2648</f>
      </c>
      <c r="L2649">
        <f>IF('R.M Billets Reports'!I2648="","",'R.M Billets Reports'!I2648)</f>
      </c>
      <c r="M2649">
        <f t="shared" si="82"/>
      </c>
      <c r="N2649">
        <f>IF('R.M Billets Reports'!J2648="","",'R.M Billets Reports'!J2648)</f>
      </c>
      <c r="O2649">
        <f t="shared" si="83"/>
      </c>
      <c r="P2649">
        <f>IF('R.M Billets Reports'!A2648="SIZE",'R.M Billets Reports'!B2648,P2648)</f>
      </c>
    </row>
    <row r="2650" spans="1:16" x14ac:dyDescent="0.25">
      <c r="A2650">
        <f>IF(OR('R.M Billets Reports'!A2649="Date-",'R.M Billets Reports'!A2649="Date:-"),IF(IF(IF(ISNUMBER(SEARCH("Party Name:-",'R.M Billets Reports'!D2649)),TRIM('R.M Billets Reports'!F2649),IF(ISNUMBER(SEARCH("Party Name-",'R.M Billets Reports'!D2649)),TRIM(MID('R.M Billets Reports'!D2649,SEARCH("-",'R.M Billets Reports'!D2649)+1,200)),""))&lt;&gt;"",IF(ISNUMBER(SEARCH("Party Name:-",'R.M Billets Reports'!D2649)),TRIM('R.M Billets Reports'!F2649),IF(ISNUMBER(SEARCH("Party Name-",'R.M Billets Reports'!D2649)),TRIM(MID('R.M Billets Reports'!D2649,SEARCH("-",'R.M Billets Reports'!D2649)+1,200)),"")),IF(ISNUMBER(SEARCH("Party Name:-",'R.M Billets Reports'!D2650)),TRIM('R.M Billets Reports'!F2650),IF(ISNUMBER(SEARCH("Party Name-",'R.M Billets Reports'!D2650)),TRIM(MID('R.M Billets Reports'!D2650,SEARCH("-",'R.M Billets Reports'!D2650)+1,200)),"")))="VRKP ISPAT PVT LTD","VRKP",IF(IF(IF(ISNUMBER(SEARCH("Party Name:-",'R.M Billets Reports'!D2649)),TRIM('R.M Billets Reports'!F2649),IF(ISNUMBER(SEARCH("Party Name-",'R.M Billets Reports'!D2649)),TRIM(MID('R.M Billets Reports'!D2649,SEARCH("-",'R.M Billets Reports'!D2649)+1,200)),""))&lt;&gt;"",IF(ISNUMBER(SEARCH("Party Name:-",'R.M Billets Reports'!D2649)),TRIM('R.M Billets Reports'!F2649),IF(ISNUMBER(SEARCH("Party Name-",'R.M Billets Reports'!D2649)),TRIM(MID('R.M Billets Reports'!D2649,SEARCH("-",'R.M Billets Reports'!D2649)+1,200)),"")),IF(ISNUMBER(SEARCH("Party Name:-",'R.M Billets Reports'!D2650)),TRIM('R.M Billets Reports'!F2650),IF(ISNUMBER(SEARCH("Party Name-",'R.M Billets Reports'!D2650)),TRIM(MID('R.M Billets Reports'!D2650,SEARCH("-",'R.M Billets Reports'!D2650)+1,200)),"")))="SHRI RADHE","SHREE RADHE",IF(IF(IF(ISNUMBER(SEARCH("Party Name:-",'R.M Billets Reports'!D2649)),TRIM('R.M Billets Reports'!F2649),IF(ISNUMBER(SEARCH("Party Name-",'R.M Billets Reports'!D2649)),TRIM(MID('R.M Billets Reports'!D2649,SEARCH("-",'R.M Billets Reports'!D2649)+1,200)),""))&lt;&gt;"",IF(ISNUMBER(SEARCH("Party Name:-",'R.M Billets Reports'!D2649)),TRIM('R.M Billets Reports'!F2649),IF(ISNUMBER(SEARCH("Party Name-",'R.M Billets Reports'!D2649)),TRIM(MID('R.M Billets Reports'!D2649,SEARCH("-",'R.M Billets Reports'!D2649)+1,200)),"")),IF(ISNUMBER(SEARCH("Party Name:-",'R.M Billets Reports'!D2650)),TRIM('R.M Billets Reports'!F2650),IF(ISNUMBER(SEARCH("Party Name-",'R.M Billets Reports'!D2650)),TRIM(MID('R.M Billets Reports'!D2650,SEARCH("-",'R.M Billets Reports'!D2650)+1,200)),"")))="SHREE RADHE SHAKTI SPONGE AND POWER PVT. LTD.","SHREE RADHE",IF(IF(ISNUMBER(SEARCH("Party Name:-",'R.M Billets Reports'!D2649)),TRIM('R.M Billets Reports'!F2649),IF(ISNUMBER(SEARCH("Party Name-",'R.M Billets Reports'!D2649)),TRIM(MID('R.M Billets Reports'!D2649,SEARCH("-",'R.M Billets Reports'!D2649)+1,200)),""))&lt;&gt;"",IF(ISNUMBER(SEARCH("Party Name:-",'R.M Billets Reports'!D2649)),TRIM('R.M Billets Reports'!F2649),IF(ISNUMBER(SEARCH("Party Name-",'R.M Billets Reports'!D2649)),TRIM(MID('R.M Billets Reports'!D2649,SEARCH("-",'R.M Billets Reports'!D2649)+1,200)),"")),IF(ISNUMBER(SEARCH("Party Name:-",'R.M Billets Reports'!D2650)),TRIM('R.M Billets Reports'!F2650),IF(ISNUMBER(SEARCH("Party Name-",'R.M Billets Reports'!D2650)),TRIM(MID('R.M Billets Reports'!D2650,SEARCH("-",'R.M Billets Reports'!D2650)+1,200)),"")))))),IF(ROW()=2,"",A2649))</f>
      </c>
      <c r="B2650">
        <f>IF(OR('R.M Billets Reports'!A2649="Date-",'R.M Billets Reports'!A2649="Date:-"),'R.M Billets Reports'!B2649,IF(ROW()=2,"",B2649))</f>
      </c>
      <c r="C2650">
        <f>IF('R.M Billets Reports'!A2649="V.No.",'R.M Billets Reports'!B2649,IF(ROW()=2,"",C2649))</f>
      </c>
      <c r="D2650">
        <f>IF('R.M Billets Reports'!A2649&lt;&gt;"",'R.M Billets Reports'!A2649,IF(ROW()=2,"",D2649))</f>
      </c>
      <c r="E2650">
        <f>IF('R.M Billets Reports'!B2649="","",TRIM('R.M Billets Reports'!B2649))</f>
      </c>
      <c r="F2650">
        <f>'R.M Billets Reports'!C2649</f>
      </c>
      <c r="G2650">
        <f>'R.M Billets Reports'!D2649</f>
      </c>
      <c r="H2650">
        <f>'R.M Billets Reports'!E2649</f>
      </c>
      <c r="I2650">
        <f>'R.M Billets Reports'!F2649</f>
      </c>
      <c r="J2650">
        <f>'R.M Billets Reports'!G2649</f>
      </c>
      <c r="K2650">
        <f>'R.M Billets Reports'!H2649</f>
      </c>
      <c r="L2650">
        <f>IF('R.M Billets Reports'!I2649="","",'R.M Billets Reports'!I2649)</f>
      </c>
      <c r="M2650">
        <f t="shared" si="82"/>
      </c>
      <c r="N2650">
        <f>IF('R.M Billets Reports'!J2649="","",'R.M Billets Reports'!J2649)</f>
      </c>
      <c r="O2650">
        <f t="shared" si="83"/>
      </c>
      <c r="P2650">
        <f>IF('R.M Billets Reports'!A2649="SIZE",'R.M Billets Reports'!B2649,P2649)</f>
      </c>
    </row>
    <row r="2651" spans="1:16" x14ac:dyDescent="0.25">
      <c r="A2651">
        <f>IF(OR('R.M Billets Reports'!A2650="Date-",'R.M Billets Reports'!A2650="Date:-"),IF(IF(IF(ISNUMBER(SEARCH("Party Name:-",'R.M Billets Reports'!D2650)),TRIM('R.M Billets Reports'!F2650),IF(ISNUMBER(SEARCH("Party Name-",'R.M Billets Reports'!D2650)),TRIM(MID('R.M Billets Reports'!D2650,SEARCH("-",'R.M Billets Reports'!D2650)+1,200)),""))&lt;&gt;"",IF(ISNUMBER(SEARCH("Party Name:-",'R.M Billets Reports'!D2650)),TRIM('R.M Billets Reports'!F2650),IF(ISNUMBER(SEARCH("Party Name-",'R.M Billets Reports'!D2650)),TRIM(MID('R.M Billets Reports'!D2650,SEARCH("-",'R.M Billets Reports'!D2650)+1,200)),"")),IF(ISNUMBER(SEARCH("Party Name:-",'R.M Billets Reports'!D2651)),TRIM('R.M Billets Reports'!F2651),IF(ISNUMBER(SEARCH("Party Name-",'R.M Billets Reports'!D2651)),TRIM(MID('R.M Billets Reports'!D2651,SEARCH("-",'R.M Billets Reports'!D2651)+1,200)),"")))="VRKP ISPAT PVT LTD","VRKP",IF(IF(IF(ISNUMBER(SEARCH("Party Name:-",'R.M Billets Reports'!D2650)),TRIM('R.M Billets Reports'!F2650),IF(ISNUMBER(SEARCH("Party Name-",'R.M Billets Reports'!D2650)),TRIM(MID('R.M Billets Reports'!D2650,SEARCH("-",'R.M Billets Reports'!D2650)+1,200)),""))&lt;&gt;"",IF(ISNUMBER(SEARCH("Party Name:-",'R.M Billets Reports'!D2650)),TRIM('R.M Billets Reports'!F2650),IF(ISNUMBER(SEARCH("Party Name-",'R.M Billets Reports'!D2650)),TRIM(MID('R.M Billets Reports'!D2650,SEARCH("-",'R.M Billets Reports'!D2650)+1,200)),"")),IF(ISNUMBER(SEARCH("Party Name:-",'R.M Billets Reports'!D2651)),TRIM('R.M Billets Reports'!F2651),IF(ISNUMBER(SEARCH("Party Name-",'R.M Billets Reports'!D2651)),TRIM(MID('R.M Billets Reports'!D2651,SEARCH("-",'R.M Billets Reports'!D2651)+1,200)),"")))="SHRI RADHE","SHREE RADHE",IF(IF(IF(ISNUMBER(SEARCH("Party Name:-",'R.M Billets Reports'!D2650)),TRIM('R.M Billets Reports'!F2650),IF(ISNUMBER(SEARCH("Party Name-",'R.M Billets Reports'!D2650)),TRIM(MID('R.M Billets Reports'!D2650,SEARCH("-",'R.M Billets Reports'!D2650)+1,200)),""))&lt;&gt;"",IF(ISNUMBER(SEARCH("Party Name:-",'R.M Billets Reports'!D2650)),TRIM('R.M Billets Reports'!F2650),IF(ISNUMBER(SEARCH("Party Name-",'R.M Billets Reports'!D2650)),TRIM(MID('R.M Billets Reports'!D2650,SEARCH("-",'R.M Billets Reports'!D2650)+1,200)),"")),IF(ISNUMBER(SEARCH("Party Name:-",'R.M Billets Reports'!D2651)),TRIM('R.M Billets Reports'!F2651),IF(ISNUMBER(SEARCH("Party Name-",'R.M Billets Reports'!D2651)),TRIM(MID('R.M Billets Reports'!D2651,SEARCH("-",'R.M Billets Reports'!D2651)+1,200)),"")))="SHREE RADHE SHAKTI SPONGE AND POWER PVT. LTD.","SHREE RADHE",IF(IF(ISNUMBER(SEARCH("Party Name:-",'R.M Billets Reports'!D2650)),TRIM('R.M Billets Reports'!F2650),IF(ISNUMBER(SEARCH("Party Name-",'R.M Billets Reports'!D2650)),TRIM(MID('R.M Billets Reports'!D2650,SEARCH("-",'R.M Billets Reports'!D2650)+1,200)),""))&lt;&gt;"",IF(ISNUMBER(SEARCH("Party Name:-",'R.M Billets Reports'!D2650)),TRIM('R.M Billets Reports'!F2650),IF(ISNUMBER(SEARCH("Party Name-",'R.M Billets Reports'!D2650)),TRIM(MID('R.M Billets Reports'!D2650,SEARCH("-",'R.M Billets Reports'!D2650)+1,200)),"")),IF(ISNUMBER(SEARCH("Party Name:-",'R.M Billets Reports'!D2651)),TRIM('R.M Billets Reports'!F2651),IF(ISNUMBER(SEARCH("Party Name-",'R.M Billets Reports'!D2651)),TRIM(MID('R.M Billets Reports'!D2651,SEARCH("-",'R.M Billets Reports'!D2651)+1,200)),"")))))),IF(ROW()=2,"",A2650))</f>
      </c>
      <c r="B2651">
        <f>IF(OR('R.M Billets Reports'!A2650="Date-",'R.M Billets Reports'!A2650="Date:-"),'R.M Billets Reports'!B2650,IF(ROW()=2,"",B2650))</f>
      </c>
      <c r="C2651">
        <f>IF('R.M Billets Reports'!A2650="V.No.",'R.M Billets Reports'!B2650,IF(ROW()=2,"",C2650))</f>
      </c>
      <c r="D2651">
        <f>IF('R.M Billets Reports'!A2650&lt;&gt;"",'R.M Billets Reports'!A2650,IF(ROW()=2,"",D2650))</f>
      </c>
      <c r="E2651">
        <f>IF('R.M Billets Reports'!B2650="","",TRIM('R.M Billets Reports'!B2650))</f>
      </c>
      <c r="F2651">
        <f>'R.M Billets Reports'!C2650</f>
      </c>
      <c r="G2651">
        <f>'R.M Billets Reports'!D2650</f>
      </c>
      <c r="H2651">
        <f>'R.M Billets Reports'!E2650</f>
      </c>
      <c r="I2651">
        <f>'R.M Billets Reports'!F2650</f>
      </c>
      <c r="J2651">
        <f>'R.M Billets Reports'!G2650</f>
      </c>
      <c r="K2651">
        <f>'R.M Billets Reports'!H2650</f>
      </c>
      <c r="L2651">
        <f>IF('R.M Billets Reports'!I2650="","",'R.M Billets Reports'!I2650)</f>
      </c>
      <c r="M2651">
        <f t="shared" si="82"/>
      </c>
      <c r="N2651">
        <f>IF('R.M Billets Reports'!J2650="","",'R.M Billets Reports'!J2650)</f>
      </c>
      <c r="O2651">
        <f t="shared" si="83"/>
      </c>
      <c r="P2651">
        <f>IF('R.M Billets Reports'!A2650="SIZE",'R.M Billets Reports'!B2650,P2650)</f>
      </c>
    </row>
    <row r="2652" spans="1:16" x14ac:dyDescent="0.25">
      <c r="A2652">
        <f>IF(OR('R.M Billets Reports'!A2651="Date-",'R.M Billets Reports'!A2651="Date:-"),IF(IF(IF(ISNUMBER(SEARCH("Party Name:-",'R.M Billets Reports'!D2651)),TRIM('R.M Billets Reports'!F2651),IF(ISNUMBER(SEARCH("Party Name-",'R.M Billets Reports'!D2651)),TRIM(MID('R.M Billets Reports'!D2651,SEARCH("-",'R.M Billets Reports'!D2651)+1,200)),""))&lt;&gt;"",IF(ISNUMBER(SEARCH("Party Name:-",'R.M Billets Reports'!D2651)),TRIM('R.M Billets Reports'!F2651),IF(ISNUMBER(SEARCH("Party Name-",'R.M Billets Reports'!D2651)),TRIM(MID('R.M Billets Reports'!D2651,SEARCH("-",'R.M Billets Reports'!D2651)+1,200)),"")),IF(ISNUMBER(SEARCH("Party Name:-",'R.M Billets Reports'!D2652)),TRIM('R.M Billets Reports'!F2652),IF(ISNUMBER(SEARCH("Party Name-",'R.M Billets Reports'!D2652)),TRIM(MID('R.M Billets Reports'!D2652,SEARCH("-",'R.M Billets Reports'!D2652)+1,200)),"")))="VRKP ISPAT PVT LTD","VRKP",IF(IF(IF(ISNUMBER(SEARCH("Party Name:-",'R.M Billets Reports'!D2651)),TRIM('R.M Billets Reports'!F2651),IF(ISNUMBER(SEARCH("Party Name-",'R.M Billets Reports'!D2651)),TRIM(MID('R.M Billets Reports'!D2651,SEARCH("-",'R.M Billets Reports'!D2651)+1,200)),""))&lt;&gt;"",IF(ISNUMBER(SEARCH("Party Name:-",'R.M Billets Reports'!D2651)),TRIM('R.M Billets Reports'!F2651),IF(ISNUMBER(SEARCH("Party Name-",'R.M Billets Reports'!D2651)),TRIM(MID('R.M Billets Reports'!D2651,SEARCH("-",'R.M Billets Reports'!D2651)+1,200)),"")),IF(ISNUMBER(SEARCH("Party Name:-",'R.M Billets Reports'!D2652)),TRIM('R.M Billets Reports'!F2652),IF(ISNUMBER(SEARCH("Party Name-",'R.M Billets Reports'!D2652)),TRIM(MID('R.M Billets Reports'!D2652,SEARCH("-",'R.M Billets Reports'!D2652)+1,200)),"")))="SHRI RADHE","SHREE RADHE",IF(IF(IF(ISNUMBER(SEARCH("Party Name:-",'R.M Billets Reports'!D2651)),TRIM('R.M Billets Reports'!F2651),IF(ISNUMBER(SEARCH("Party Name-",'R.M Billets Reports'!D2651)),TRIM(MID('R.M Billets Reports'!D2651,SEARCH("-",'R.M Billets Reports'!D2651)+1,200)),""))&lt;&gt;"",IF(ISNUMBER(SEARCH("Party Name:-",'R.M Billets Reports'!D2651)),TRIM('R.M Billets Reports'!F2651),IF(ISNUMBER(SEARCH("Party Name-",'R.M Billets Reports'!D2651)),TRIM(MID('R.M Billets Reports'!D2651,SEARCH("-",'R.M Billets Reports'!D2651)+1,200)),"")),IF(ISNUMBER(SEARCH("Party Name:-",'R.M Billets Reports'!D2652)),TRIM('R.M Billets Reports'!F2652),IF(ISNUMBER(SEARCH("Party Name-",'R.M Billets Reports'!D2652)),TRIM(MID('R.M Billets Reports'!D2652,SEARCH("-",'R.M Billets Reports'!D2652)+1,200)),"")))="SHREE RADHE SHAKTI SPONGE AND POWER PVT. LTD.","SHREE RADHE",IF(IF(ISNUMBER(SEARCH("Party Name:-",'R.M Billets Reports'!D2651)),TRIM('R.M Billets Reports'!F2651),IF(ISNUMBER(SEARCH("Party Name-",'R.M Billets Reports'!D2651)),TRIM(MID('R.M Billets Reports'!D2651,SEARCH("-",'R.M Billets Reports'!D2651)+1,200)),""))&lt;&gt;"",IF(ISNUMBER(SEARCH("Party Name:-",'R.M Billets Reports'!D2651)),TRIM('R.M Billets Reports'!F2651),IF(ISNUMBER(SEARCH("Party Name-",'R.M Billets Reports'!D2651)),TRIM(MID('R.M Billets Reports'!D2651,SEARCH("-",'R.M Billets Reports'!D2651)+1,200)),"")),IF(ISNUMBER(SEARCH("Party Name:-",'R.M Billets Reports'!D2652)),TRIM('R.M Billets Reports'!F2652),IF(ISNUMBER(SEARCH("Party Name-",'R.M Billets Reports'!D2652)),TRIM(MID('R.M Billets Reports'!D2652,SEARCH("-",'R.M Billets Reports'!D2652)+1,200)),"")))))),IF(ROW()=2,"",A2651))</f>
      </c>
      <c r="B2652">
        <f>IF(OR('R.M Billets Reports'!A2651="Date-",'R.M Billets Reports'!A2651="Date:-"),'R.M Billets Reports'!B2651,IF(ROW()=2,"",B2651))</f>
      </c>
      <c r="C2652">
        <f>IF('R.M Billets Reports'!A2651="V.No.",'R.M Billets Reports'!B2651,IF(ROW()=2,"",C2651))</f>
      </c>
      <c r="D2652">
        <f>IF('R.M Billets Reports'!A2651&lt;&gt;"",'R.M Billets Reports'!A2651,IF(ROW()=2,"",D2651))</f>
      </c>
      <c r="E2652">
        <f>IF('R.M Billets Reports'!B2651="","",TRIM('R.M Billets Reports'!B2651))</f>
      </c>
      <c r="F2652">
        <f>'R.M Billets Reports'!C2651</f>
      </c>
      <c r="G2652">
        <f>'R.M Billets Reports'!D2651</f>
      </c>
      <c r="H2652">
        <f>'R.M Billets Reports'!E2651</f>
      </c>
      <c r="I2652">
        <f>'R.M Billets Reports'!F2651</f>
      </c>
      <c r="J2652">
        <f>'R.M Billets Reports'!G2651</f>
      </c>
      <c r="K2652">
        <f>'R.M Billets Reports'!H2651</f>
      </c>
      <c r="L2652">
        <f>IF('R.M Billets Reports'!I2651="","",'R.M Billets Reports'!I2651)</f>
      </c>
      <c r="M2652">
        <f t="shared" si="82"/>
      </c>
      <c r="N2652">
        <f>IF('R.M Billets Reports'!J2651="","",'R.M Billets Reports'!J2651)</f>
      </c>
      <c r="O2652">
        <f t="shared" si="83"/>
      </c>
      <c r="P2652">
        <f>IF('R.M Billets Reports'!A2651="SIZE",'R.M Billets Reports'!B2651,P2651)</f>
      </c>
    </row>
    <row r="2653" spans="1:16" x14ac:dyDescent="0.25">
      <c r="A2653">
        <f>IF(OR('R.M Billets Reports'!A2652="Date-",'R.M Billets Reports'!A2652="Date:-"),IF(IF(IF(ISNUMBER(SEARCH("Party Name:-",'R.M Billets Reports'!D2652)),TRIM('R.M Billets Reports'!F2652),IF(ISNUMBER(SEARCH("Party Name-",'R.M Billets Reports'!D2652)),TRIM(MID('R.M Billets Reports'!D2652,SEARCH("-",'R.M Billets Reports'!D2652)+1,200)),""))&lt;&gt;"",IF(ISNUMBER(SEARCH("Party Name:-",'R.M Billets Reports'!D2652)),TRIM('R.M Billets Reports'!F2652),IF(ISNUMBER(SEARCH("Party Name-",'R.M Billets Reports'!D2652)),TRIM(MID('R.M Billets Reports'!D2652,SEARCH("-",'R.M Billets Reports'!D2652)+1,200)),"")),IF(ISNUMBER(SEARCH("Party Name:-",'R.M Billets Reports'!D2653)),TRIM('R.M Billets Reports'!F2653),IF(ISNUMBER(SEARCH("Party Name-",'R.M Billets Reports'!D2653)),TRIM(MID('R.M Billets Reports'!D2653,SEARCH("-",'R.M Billets Reports'!D2653)+1,200)),"")))="VRKP ISPAT PVT LTD","VRKP",IF(IF(IF(ISNUMBER(SEARCH("Party Name:-",'R.M Billets Reports'!D2652)),TRIM('R.M Billets Reports'!F2652),IF(ISNUMBER(SEARCH("Party Name-",'R.M Billets Reports'!D2652)),TRIM(MID('R.M Billets Reports'!D2652,SEARCH("-",'R.M Billets Reports'!D2652)+1,200)),""))&lt;&gt;"",IF(ISNUMBER(SEARCH("Party Name:-",'R.M Billets Reports'!D2652)),TRIM('R.M Billets Reports'!F2652),IF(ISNUMBER(SEARCH("Party Name-",'R.M Billets Reports'!D2652)),TRIM(MID('R.M Billets Reports'!D2652,SEARCH("-",'R.M Billets Reports'!D2652)+1,200)),"")),IF(ISNUMBER(SEARCH("Party Name:-",'R.M Billets Reports'!D2653)),TRIM('R.M Billets Reports'!F2653),IF(ISNUMBER(SEARCH("Party Name-",'R.M Billets Reports'!D2653)),TRIM(MID('R.M Billets Reports'!D2653,SEARCH("-",'R.M Billets Reports'!D2653)+1,200)),"")))="SHRI RADHE","SHREE RADHE",IF(IF(IF(ISNUMBER(SEARCH("Party Name:-",'R.M Billets Reports'!D2652)),TRIM('R.M Billets Reports'!F2652),IF(ISNUMBER(SEARCH("Party Name-",'R.M Billets Reports'!D2652)),TRIM(MID('R.M Billets Reports'!D2652,SEARCH("-",'R.M Billets Reports'!D2652)+1,200)),""))&lt;&gt;"",IF(ISNUMBER(SEARCH("Party Name:-",'R.M Billets Reports'!D2652)),TRIM('R.M Billets Reports'!F2652),IF(ISNUMBER(SEARCH("Party Name-",'R.M Billets Reports'!D2652)),TRIM(MID('R.M Billets Reports'!D2652,SEARCH("-",'R.M Billets Reports'!D2652)+1,200)),"")),IF(ISNUMBER(SEARCH("Party Name:-",'R.M Billets Reports'!D2653)),TRIM('R.M Billets Reports'!F2653),IF(ISNUMBER(SEARCH("Party Name-",'R.M Billets Reports'!D2653)),TRIM(MID('R.M Billets Reports'!D2653,SEARCH("-",'R.M Billets Reports'!D2653)+1,200)),"")))="SHREE RADHE SHAKTI SPONGE AND POWER PVT. LTD.","SHREE RADHE",IF(IF(ISNUMBER(SEARCH("Party Name:-",'R.M Billets Reports'!D2652)),TRIM('R.M Billets Reports'!F2652),IF(ISNUMBER(SEARCH("Party Name-",'R.M Billets Reports'!D2652)),TRIM(MID('R.M Billets Reports'!D2652,SEARCH("-",'R.M Billets Reports'!D2652)+1,200)),""))&lt;&gt;"",IF(ISNUMBER(SEARCH("Party Name:-",'R.M Billets Reports'!D2652)),TRIM('R.M Billets Reports'!F2652),IF(ISNUMBER(SEARCH("Party Name-",'R.M Billets Reports'!D2652)),TRIM(MID('R.M Billets Reports'!D2652,SEARCH("-",'R.M Billets Reports'!D2652)+1,200)),"")),IF(ISNUMBER(SEARCH("Party Name:-",'R.M Billets Reports'!D2653)),TRIM('R.M Billets Reports'!F2653),IF(ISNUMBER(SEARCH("Party Name-",'R.M Billets Reports'!D2653)),TRIM(MID('R.M Billets Reports'!D2653,SEARCH("-",'R.M Billets Reports'!D2653)+1,200)),"")))))),IF(ROW()=2,"",A2652))</f>
      </c>
      <c r="B2653">
        <f>IF(OR('R.M Billets Reports'!A2652="Date-",'R.M Billets Reports'!A2652="Date:-"),'R.M Billets Reports'!B2652,IF(ROW()=2,"",B2652))</f>
      </c>
      <c r="C2653">
        <f>IF('R.M Billets Reports'!A2652="V.No.",'R.M Billets Reports'!B2652,IF(ROW()=2,"",C2652))</f>
      </c>
      <c r="D2653">
        <f>IF('R.M Billets Reports'!A2652&lt;&gt;"",'R.M Billets Reports'!A2652,IF(ROW()=2,"",D2652))</f>
      </c>
      <c r="E2653">
        <f>IF('R.M Billets Reports'!B2652="","",TRIM('R.M Billets Reports'!B2652))</f>
      </c>
      <c r="F2653">
        <f>'R.M Billets Reports'!C2652</f>
      </c>
      <c r="G2653">
        <f>'R.M Billets Reports'!D2652</f>
      </c>
      <c r="H2653">
        <f>'R.M Billets Reports'!E2652</f>
      </c>
      <c r="I2653">
        <f>'R.M Billets Reports'!F2652</f>
      </c>
      <c r="J2653">
        <f>'R.M Billets Reports'!G2652</f>
      </c>
      <c r="K2653">
        <f>'R.M Billets Reports'!H2652</f>
      </c>
      <c r="L2653">
        <f>IF('R.M Billets Reports'!I2652="","",'R.M Billets Reports'!I2652)</f>
      </c>
      <c r="M2653">
        <f t="shared" si="82"/>
      </c>
      <c r="N2653">
        <f>IF('R.M Billets Reports'!J2652="","",'R.M Billets Reports'!J2652)</f>
      </c>
      <c r="O2653">
        <f t="shared" si="83"/>
      </c>
      <c r="P2653">
        <f>IF('R.M Billets Reports'!A2652="SIZE",'R.M Billets Reports'!B2652,P2652)</f>
      </c>
    </row>
    <row r="2654" spans="1:16" x14ac:dyDescent="0.25">
      <c r="A2654">
        <f>IF(OR('R.M Billets Reports'!A2653="Date-",'R.M Billets Reports'!A2653="Date:-"),IF(IF(IF(ISNUMBER(SEARCH("Party Name:-",'R.M Billets Reports'!D2653)),TRIM('R.M Billets Reports'!F2653),IF(ISNUMBER(SEARCH("Party Name-",'R.M Billets Reports'!D2653)),TRIM(MID('R.M Billets Reports'!D2653,SEARCH("-",'R.M Billets Reports'!D2653)+1,200)),""))&lt;&gt;"",IF(ISNUMBER(SEARCH("Party Name:-",'R.M Billets Reports'!D2653)),TRIM('R.M Billets Reports'!F2653),IF(ISNUMBER(SEARCH("Party Name-",'R.M Billets Reports'!D2653)),TRIM(MID('R.M Billets Reports'!D2653,SEARCH("-",'R.M Billets Reports'!D2653)+1,200)),"")),IF(ISNUMBER(SEARCH("Party Name:-",'R.M Billets Reports'!D2654)),TRIM('R.M Billets Reports'!F2654),IF(ISNUMBER(SEARCH("Party Name-",'R.M Billets Reports'!D2654)),TRIM(MID('R.M Billets Reports'!D2654,SEARCH("-",'R.M Billets Reports'!D2654)+1,200)),"")))="VRKP ISPAT PVT LTD","VRKP",IF(IF(IF(ISNUMBER(SEARCH("Party Name:-",'R.M Billets Reports'!D2653)),TRIM('R.M Billets Reports'!F2653),IF(ISNUMBER(SEARCH("Party Name-",'R.M Billets Reports'!D2653)),TRIM(MID('R.M Billets Reports'!D2653,SEARCH("-",'R.M Billets Reports'!D2653)+1,200)),""))&lt;&gt;"",IF(ISNUMBER(SEARCH("Party Name:-",'R.M Billets Reports'!D2653)),TRIM('R.M Billets Reports'!F2653),IF(ISNUMBER(SEARCH("Party Name-",'R.M Billets Reports'!D2653)),TRIM(MID('R.M Billets Reports'!D2653,SEARCH("-",'R.M Billets Reports'!D2653)+1,200)),"")),IF(ISNUMBER(SEARCH("Party Name:-",'R.M Billets Reports'!D2654)),TRIM('R.M Billets Reports'!F2654),IF(ISNUMBER(SEARCH("Party Name-",'R.M Billets Reports'!D2654)),TRIM(MID('R.M Billets Reports'!D2654,SEARCH("-",'R.M Billets Reports'!D2654)+1,200)),"")))="SHRI RADHE","SHREE RADHE",IF(IF(IF(ISNUMBER(SEARCH("Party Name:-",'R.M Billets Reports'!D2653)),TRIM('R.M Billets Reports'!F2653),IF(ISNUMBER(SEARCH("Party Name-",'R.M Billets Reports'!D2653)),TRIM(MID('R.M Billets Reports'!D2653,SEARCH("-",'R.M Billets Reports'!D2653)+1,200)),""))&lt;&gt;"",IF(ISNUMBER(SEARCH("Party Name:-",'R.M Billets Reports'!D2653)),TRIM('R.M Billets Reports'!F2653),IF(ISNUMBER(SEARCH("Party Name-",'R.M Billets Reports'!D2653)),TRIM(MID('R.M Billets Reports'!D2653,SEARCH("-",'R.M Billets Reports'!D2653)+1,200)),"")),IF(ISNUMBER(SEARCH("Party Name:-",'R.M Billets Reports'!D2654)),TRIM('R.M Billets Reports'!F2654),IF(ISNUMBER(SEARCH("Party Name-",'R.M Billets Reports'!D2654)),TRIM(MID('R.M Billets Reports'!D2654,SEARCH("-",'R.M Billets Reports'!D2654)+1,200)),"")))="SHREE RADHE SHAKTI SPONGE AND POWER PVT. LTD.","SHREE RADHE",IF(IF(ISNUMBER(SEARCH("Party Name:-",'R.M Billets Reports'!D2653)),TRIM('R.M Billets Reports'!F2653),IF(ISNUMBER(SEARCH("Party Name-",'R.M Billets Reports'!D2653)),TRIM(MID('R.M Billets Reports'!D2653,SEARCH("-",'R.M Billets Reports'!D2653)+1,200)),""))&lt;&gt;"",IF(ISNUMBER(SEARCH("Party Name:-",'R.M Billets Reports'!D2653)),TRIM('R.M Billets Reports'!F2653),IF(ISNUMBER(SEARCH("Party Name-",'R.M Billets Reports'!D2653)),TRIM(MID('R.M Billets Reports'!D2653,SEARCH("-",'R.M Billets Reports'!D2653)+1,200)),"")),IF(ISNUMBER(SEARCH("Party Name:-",'R.M Billets Reports'!D2654)),TRIM('R.M Billets Reports'!F2654),IF(ISNUMBER(SEARCH("Party Name-",'R.M Billets Reports'!D2654)),TRIM(MID('R.M Billets Reports'!D2654,SEARCH("-",'R.M Billets Reports'!D2654)+1,200)),"")))))),IF(ROW()=2,"",A2653))</f>
      </c>
      <c r="B2654">
        <f>IF(OR('R.M Billets Reports'!A2653="Date-",'R.M Billets Reports'!A2653="Date:-"),'R.M Billets Reports'!B2653,IF(ROW()=2,"",B2653))</f>
      </c>
      <c r="C2654">
        <f>IF('R.M Billets Reports'!A2653="V.No.",'R.M Billets Reports'!B2653,IF(ROW()=2,"",C2653))</f>
      </c>
      <c r="D2654">
        <f>IF('R.M Billets Reports'!A2653&lt;&gt;"",'R.M Billets Reports'!A2653,IF(ROW()=2,"",D2653))</f>
      </c>
      <c r="E2654">
        <f>IF('R.M Billets Reports'!B2653="","",TRIM('R.M Billets Reports'!B2653))</f>
      </c>
      <c r="F2654">
        <f>'R.M Billets Reports'!C2653</f>
      </c>
      <c r="G2654">
        <f>'R.M Billets Reports'!D2653</f>
      </c>
      <c r="H2654">
        <f>'R.M Billets Reports'!E2653</f>
      </c>
      <c r="I2654">
        <f>'R.M Billets Reports'!F2653</f>
      </c>
      <c r="J2654">
        <f>'R.M Billets Reports'!G2653</f>
      </c>
      <c r="K2654">
        <f>'R.M Billets Reports'!H2653</f>
      </c>
      <c r="L2654">
        <f>IF('R.M Billets Reports'!I2653="","",'R.M Billets Reports'!I2653)</f>
      </c>
      <c r="M2654">
        <f t="shared" si="82"/>
      </c>
      <c r="N2654">
        <f>IF('R.M Billets Reports'!J2653="","",'R.M Billets Reports'!J2653)</f>
      </c>
      <c r="O2654">
        <f t="shared" si="83"/>
      </c>
      <c r="P2654">
        <f>IF('R.M Billets Reports'!A2653="SIZE",'R.M Billets Reports'!B2653,P2653)</f>
      </c>
    </row>
    <row r="2655" spans="1:16" x14ac:dyDescent="0.25">
      <c r="A2655">
        <f>IF(OR('R.M Billets Reports'!A2654="Date-",'R.M Billets Reports'!A2654="Date:-"),IF(IF(IF(ISNUMBER(SEARCH("Party Name:-",'R.M Billets Reports'!D2654)),TRIM('R.M Billets Reports'!F2654),IF(ISNUMBER(SEARCH("Party Name-",'R.M Billets Reports'!D2654)),TRIM(MID('R.M Billets Reports'!D2654,SEARCH("-",'R.M Billets Reports'!D2654)+1,200)),""))&lt;&gt;"",IF(ISNUMBER(SEARCH("Party Name:-",'R.M Billets Reports'!D2654)),TRIM('R.M Billets Reports'!F2654),IF(ISNUMBER(SEARCH("Party Name-",'R.M Billets Reports'!D2654)),TRIM(MID('R.M Billets Reports'!D2654,SEARCH("-",'R.M Billets Reports'!D2654)+1,200)),"")),IF(ISNUMBER(SEARCH("Party Name:-",'R.M Billets Reports'!D2655)),TRIM('R.M Billets Reports'!F2655),IF(ISNUMBER(SEARCH("Party Name-",'R.M Billets Reports'!D2655)),TRIM(MID('R.M Billets Reports'!D2655,SEARCH("-",'R.M Billets Reports'!D2655)+1,200)),"")))="VRKP ISPAT PVT LTD","VRKP",IF(IF(IF(ISNUMBER(SEARCH("Party Name:-",'R.M Billets Reports'!D2654)),TRIM('R.M Billets Reports'!F2654),IF(ISNUMBER(SEARCH("Party Name-",'R.M Billets Reports'!D2654)),TRIM(MID('R.M Billets Reports'!D2654,SEARCH("-",'R.M Billets Reports'!D2654)+1,200)),""))&lt;&gt;"",IF(ISNUMBER(SEARCH("Party Name:-",'R.M Billets Reports'!D2654)),TRIM('R.M Billets Reports'!F2654),IF(ISNUMBER(SEARCH("Party Name-",'R.M Billets Reports'!D2654)),TRIM(MID('R.M Billets Reports'!D2654,SEARCH("-",'R.M Billets Reports'!D2654)+1,200)),"")),IF(ISNUMBER(SEARCH("Party Name:-",'R.M Billets Reports'!D2655)),TRIM('R.M Billets Reports'!F2655),IF(ISNUMBER(SEARCH("Party Name-",'R.M Billets Reports'!D2655)),TRIM(MID('R.M Billets Reports'!D2655,SEARCH("-",'R.M Billets Reports'!D2655)+1,200)),"")))="SHRI RADHE","SHREE RADHE",IF(IF(IF(ISNUMBER(SEARCH("Party Name:-",'R.M Billets Reports'!D2654)),TRIM('R.M Billets Reports'!F2654),IF(ISNUMBER(SEARCH("Party Name-",'R.M Billets Reports'!D2654)),TRIM(MID('R.M Billets Reports'!D2654,SEARCH("-",'R.M Billets Reports'!D2654)+1,200)),""))&lt;&gt;"",IF(ISNUMBER(SEARCH("Party Name:-",'R.M Billets Reports'!D2654)),TRIM('R.M Billets Reports'!F2654),IF(ISNUMBER(SEARCH("Party Name-",'R.M Billets Reports'!D2654)),TRIM(MID('R.M Billets Reports'!D2654,SEARCH("-",'R.M Billets Reports'!D2654)+1,200)),"")),IF(ISNUMBER(SEARCH("Party Name:-",'R.M Billets Reports'!D2655)),TRIM('R.M Billets Reports'!F2655),IF(ISNUMBER(SEARCH("Party Name-",'R.M Billets Reports'!D2655)),TRIM(MID('R.M Billets Reports'!D2655,SEARCH("-",'R.M Billets Reports'!D2655)+1,200)),"")))="SHREE RADHE SHAKTI SPONGE AND POWER PVT. LTD.","SHREE RADHE",IF(IF(ISNUMBER(SEARCH("Party Name:-",'R.M Billets Reports'!D2654)),TRIM('R.M Billets Reports'!F2654),IF(ISNUMBER(SEARCH("Party Name-",'R.M Billets Reports'!D2654)),TRIM(MID('R.M Billets Reports'!D2654,SEARCH("-",'R.M Billets Reports'!D2654)+1,200)),""))&lt;&gt;"",IF(ISNUMBER(SEARCH("Party Name:-",'R.M Billets Reports'!D2654)),TRIM('R.M Billets Reports'!F2654),IF(ISNUMBER(SEARCH("Party Name-",'R.M Billets Reports'!D2654)),TRIM(MID('R.M Billets Reports'!D2654,SEARCH("-",'R.M Billets Reports'!D2654)+1,200)),"")),IF(ISNUMBER(SEARCH("Party Name:-",'R.M Billets Reports'!D2655)),TRIM('R.M Billets Reports'!F2655),IF(ISNUMBER(SEARCH("Party Name-",'R.M Billets Reports'!D2655)),TRIM(MID('R.M Billets Reports'!D2655,SEARCH("-",'R.M Billets Reports'!D2655)+1,200)),"")))))),IF(ROW()=2,"",A2654))</f>
      </c>
      <c r="B2655">
        <f>IF(OR('R.M Billets Reports'!A2654="Date-",'R.M Billets Reports'!A2654="Date:-"),'R.M Billets Reports'!B2654,IF(ROW()=2,"",B2654))</f>
      </c>
      <c r="C2655">
        <f>IF('R.M Billets Reports'!A2654="V.No.",'R.M Billets Reports'!B2654,IF(ROW()=2,"",C2654))</f>
      </c>
      <c r="D2655">
        <f>IF('R.M Billets Reports'!A2654&lt;&gt;"",'R.M Billets Reports'!A2654,IF(ROW()=2,"",D2654))</f>
      </c>
      <c r="E2655">
        <f>IF('R.M Billets Reports'!B2654="","",TRIM('R.M Billets Reports'!B2654))</f>
      </c>
      <c r="F2655">
        <f>'R.M Billets Reports'!C2654</f>
      </c>
      <c r="G2655">
        <f>'R.M Billets Reports'!D2654</f>
      </c>
      <c r="H2655">
        <f>'R.M Billets Reports'!E2654</f>
      </c>
      <c r="I2655">
        <f>'R.M Billets Reports'!F2654</f>
      </c>
      <c r="J2655">
        <f>'R.M Billets Reports'!G2654</f>
      </c>
      <c r="K2655">
        <f>'R.M Billets Reports'!H2654</f>
      </c>
      <c r="L2655">
        <f>IF('R.M Billets Reports'!I2654="","",'R.M Billets Reports'!I2654)</f>
      </c>
      <c r="M2655">
        <f t="shared" si="82"/>
      </c>
      <c r="N2655">
        <f>IF('R.M Billets Reports'!J2654="","",'R.M Billets Reports'!J2654)</f>
      </c>
      <c r="O2655">
        <f t="shared" si="83"/>
      </c>
      <c r="P2655">
        <f>IF('R.M Billets Reports'!A2654="SIZE",'R.M Billets Reports'!B2654,P2654)</f>
      </c>
    </row>
    <row r="2656" spans="1:16" x14ac:dyDescent="0.25">
      <c r="A2656">
        <f>IF(OR('R.M Billets Reports'!A2655="Date-",'R.M Billets Reports'!A2655="Date:-"),IF(IF(IF(ISNUMBER(SEARCH("Party Name:-",'R.M Billets Reports'!D2655)),TRIM('R.M Billets Reports'!F2655),IF(ISNUMBER(SEARCH("Party Name-",'R.M Billets Reports'!D2655)),TRIM(MID('R.M Billets Reports'!D2655,SEARCH("-",'R.M Billets Reports'!D2655)+1,200)),""))&lt;&gt;"",IF(ISNUMBER(SEARCH("Party Name:-",'R.M Billets Reports'!D2655)),TRIM('R.M Billets Reports'!F2655),IF(ISNUMBER(SEARCH("Party Name-",'R.M Billets Reports'!D2655)),TRIM(MID('R.M Billets Reports'!D2655,SEARCH("-",'R.M Billets Reports'!D2655)+1,200)),"")),IF(ISNUMBER(SEARCH("Party Name:-",'R.M Billets Reports'!D2656)),TRIM('R.M Billets Reports'!F2656),IF(ISNUMBER(SEARCH("Party Name-",'R.M Billets Reports'!D2656)),TRIM(MID('R.M Billets Reports'!D2656,SEARCH("-",'R.M Billets Reports'!D2656)+1,200)),"")))="VRKP ISPAT PVT LTD","VRKP",IF(IF(IF(ISNUMBER(SEARCH("Party Name:-",'R.M Billets Reports'!D2655)),TRIM('R.M Billets Reports'!F2655),IF(ISNUMBER(SEARCH("Party Name-",'R.M Billets Reports'!D2655)),TRIM(MID('R.M Billets Reports'!D2655,SEARCH("-",'R.M Billets Reports'!D2655)+1,200)),""))&lt;&gt;"",IF(ISNUMBER(SEARCH("Party Name:-",'R.M Billets Reports'!D2655)),TRIM('R.M Billets Reports'!F2655),IF(ISNUMBER(SEARCH("Party Name-",'R.M Billets Reports'!D2655)),TRIM(MID('R.M Billets Reports'!D2655,SEARCH("-",'R.M Billets Reports'!D2655)+1,200)),"")),IF(ISNUMBER(SEARCH("Party Name:-",'R.M Billets Reports'!D2656)),TRIM('R.M Billets Reports'!F2656),IF(ISNUMBER(SEARCH("Party Name-",'R.M Billets Reports'!D2656)),TRIM(MID('R.M Billets Reports'!D2656,SEARCH("-",'R.M Billets Reports'!D2656)+1,200)),"")))="SHRI RADHE","SHREE RADHE",IF(IF(IF(ISNUMBER(SEARCH("Party Name:-",'R.M Billets Reports'!D2655)),TRIM('R.M Billets Reports'!F2655),IF(ISNUMBER(SEARCH("Party Name-",'R.M Billets Reports'!D2655)),TRIM(MID('R.M Billets Reports'!D2655,SEARCH("-",'R.M Billets Reports'!D2655)+1,200)),""))&lt;&gt;"",IF(ISNUMBER(SEARCH("Party Name:-",'R.M Billets Reports'!D2655)),TRIM('R.M Billets Reports'!F2655),IF(ISNUMBER(SEARCH("Party Name-",'R.M Billets Reports'!D2655)),TRIM(MID('R.M Billets Reports'!D2655,SEARCH("-",'R.M Billets Reports'!D2655)+1,200)),"")),IF(ISNUMBER(SEARCH("Party Name:-",'R.M Billets Reports'!D2656)),TRIM('R.M Billets Reports'!F2656),IF(ISNUMBER(SEARCH("Party Name-",'R.M Billets Reports'!D2656)),TRIM(MID('R.M Billets Reports'!D2656,SEARCH("-",'R.M Billets Reports'!D2656)+1,200)),"")))="SHREE RADHE SHAKTI SPONGE AND POWER PVT. LTD.","SHREE RADHE",IF(IF(ISNUMBER(SEARCH("Party Name:-",'R.M Billets Reports'!D2655)),TRIM('R.M Billets Reports'!F2655),IF(ISNUMBER(SEARCH("Party Name-",'R.M Billets Reports'!D2655)),TRIM(MID('R.M Billets Reports'!D2655,SEARCH("-",'R.M Billets Reports'!D2655)+1,200)),""))&lt;&gt;"",IF(ISNUMBER(SEARCH("Party Name:-",'R.M Billets Reports'!D2655)),TRIM('R.M Billets Reports'!F2655),IF(ISNUMBER(SEARCH("Party Name-",'R.M Billets Reports'!D2655)),TRIM(MID('R.M Billets Reports'!D2655,SEARCH("-",'R.M Billets Reports'!D2655)+1,200)),"")),IF(ISNUMBER(SEARCH("Party Name:-",'R.M Billets Reports'!D2656)),TRIM('R.M Billets Reports'!F2656),IF(ISNUMBER(SEARCH("Party Name-",'R.M Billets Reports'!D2656)),TRIM(MID('R.M Billets Reports'!D2656,SEARCH("-",'R.M Billets Reports'!D2656)+1,200)),"")))))),IF(ROW()=2,"",A2655))</f>
      </c>
      <c r="B2656">
        <f>IF(OR('R.M Billets Reports'!A2655="Date-",'R.M Billets Reports'!A2655="Date:-"),'R.M Billets Reports'!B2655,IF(ROW()=2,"",B2655))</f>
      </c>
      <c r="C2656">
        <f>IF('R.M Billets Reports'!A2655="V.No.",'R.M Billets Reports'!B2655,IF(ROW()=2,"",C2655))</f>
      </c>
      <c r="D2656">
        <f>IF('R.M Billets Reports'!A2655&lt;&gt;"",'R.M Billets Reports'!A2655,IF(ROW()=2,"",D2655))</f>
      </c>
      <c r="E2656">
        <f>IF('R.M Billets Reports'!B2655="","",TRIM('R.M Billets Reports'!B2655))</f>
      </c>
      <c r="F2656">
        <f>'R.M Billets Reports'!C2655</f>
      </c>
      <c r="G2656">
        <f>'R.M Billets Reports'!D2655</f>
      </c>
      <c r="H2656">
        <f>'R.M Billets Reports'!E2655</f>
      </c>
      <c r="I2656">
        <f>'R.M Billets Reports'!F2655</f>
      </c>
      <c r="J2656">
        <f>'R.M Billets Reports'!G2655</f>
      </c>
      <c r="K2656">
        <f>'R.M Billets Reports'!H2655</f>
      </c>
      <c r="L2656">
        <f>IF('R.M Billets Reports'!I2655="","",'R.M Billets Reports'!I2655)</f>
      </c>
      <c r="M2656">
        <f t="shared" si="82"/>
      </c>
      <c r="N2656">
        <f>IF('R.M Billets Reports'!J2655="","",'R.M Billets Reports'!J2655)</f>
      </c>
      <c r="O2656">
        <f t="shared" si="83"/>
      </c>
      <c r="P2656">
        <f>IF('R.M Billets Reports'!A2655="SIZE",'R.M Billets Reports'!B2655,P2655)</f>
      </c>
    </row>
    <row r="2657" spans="1:16" x14ac:dyDescent="0.25">
      <c r="A2657">
        <f>IF(OR('R.M Billets Reports'!A2656="Date-",'R.M Billets Reports'!A2656="Date:-"),IF(IF(IF(ISNUMBER(SEARCH("Party Name:-",'R.M Billets Reports'!D2656)),TRIM('R.M Billets Reports'!F2656),IF(ISNUMBER(SEARCH("Party Name-",'R.M Billets Reports'!D2656)),TRIM(MID('R.M Billets Reports'!D2656,SEARCH("-",'R.M Billets Reports'!D2656)+1,200)),""))&lt;&gt;"",IF(ISNUMBER(SEARCH("Party Name:-",'R.M Billets Reports'!D2656)),TRIM('R.M Billets Reports'!F2656),IF(ISNUMBER(SEARCH("Party Name-",'R.M Billets Reports'!D2656)),TRIM(MID('R.M Billets Reports'!D2656,SEARCH("-",'R.M Billets Reports'!D2656)+1,200)),"")),IF(ISNUMBER(SEARCH("Party Name:-",'R.M Billets Reports'!D2657)),TRIM('R.M Billets Reports'!F2657),IF(ISNUMBER(SEARCH("Party Name-",'R.M Billets Reports'!D2657)),TRIM(MID('R.M Billets Reports'!D2657,SEARCH("-",'R.M Billets Reports'!D2657)+1,200)),"")))="VRKP ISPAT PVT LTD","VRKP",IF(IF(IF(ISNUMBER(SEARCH("Party Name:-",'R.M Billets Reports'!D2656)),TRIM('R.M Billets Reports'!F2656),IF(ISNUMBER(SEARCH("Party Name-",'R.M Billets Reports'!D2656)),TRIM(MID('R.M Billets Reports'!D2656,SEARCH("-",'R.M Billets Reports'!D2656)+1,200)),""))&lt;&gt;"",IF(ISNUMBER(SEARCH("Party Name:-",'R.M Billets Reports'!D2656)),TRIM('R.M Billets Reports'!F2656),IF(ISNUMBER(SEARCH("Party Name-",'R.M Billets Reports'!D2656)),TRIM(MID('R.M Billets Reports'!D2656,SEARCH("-",'R.M Billets Reports'!D2656)+1,200)),"")),IF(ISNUMBER(SEARCH("Party Name:-",'R.M Billets Reports'!D2657)),TRIM('R.M Billets Reports'!F2657),IF(ISNUMBER(SEARCH("Party Name-",'R.M Billets Reports'!D2657)),TRIM(MID('R.M Billets Reports'!D2657,SEARCH("-",'R.M Billets Reports'!D2657)+1,200)),"")))="SHRI RADHE","SHREE RADHE",IF(IF(IF(ISNUMBER(SEARCH("Party Name:-",'R.M Billets Reports'!D2656)),TRIM('R.M Billets Reports'!F2656),IF(ISNUMBER(SEARCH("Party Name-",'R.M Billets Reports'!D2656)),TRIM(MID('R.M Billets Reports'!D2656,SEARCH("-",'R.M Billets Reports'!D2656)+1,200)),""))&lt;&gt;"",IF(ISNUMBER(SEARCH("Party Name:-",'R.M Billets Reports'!D2656)),TRIM('R.M Billets Reports'!F2656),IF(ISNUMBER(SEARCH("Party Name-",'R.M Billets Reports'!D2656)),TRIM(MID('R.M Billets Reports'!D2656,SEARCH("-",'R.M Billets Reports'!D2656)+1,200)),"")),IF(ISNUMBER(SEARCH("Party Name:-",'R.M Billets Reports'!D2657)),TRIM('R.M Billets Reports'!F2657),IF(ISNUMBER(SEARCH("Party Name-",'R.M Billets Reports'!D2657)),TRIM(MID('R.M Billets Reports'!D2657,SEARCH("-",'R.M Billets Reports'!D2657)+1,200)),"")))="SHREE RADHE SHAKTI SPONGE AND POWER PVT. LTD.","SHREE RADHE",IF(IF(ISNUMBER(SEARCH("Party Name:-",'R.M Billets Reports'!D2656)),TRIM('R.M Billets Reports'!F2656),IF(ISNUMBER(SEARCH("Party Name-",'R.M Billets Reports'!D2656)),TRIM(MID('R.M Billets Reports'!D2656,SEARCH("-",'R.M Billets Reports'!D2656)+1,200)),""))&lt;&gt;"",IF(ISNUMBER(SEARCH("Party Name:-",'R.M Billets Reports'!D2656)),TRIM('R.M Billets Reports'!F2656),IF(ISNUMBER(SEARCH("Party Name-",'R.M Billets Reports'!D2656)),TRIM(MID('R.M Billets Reports'!D2656,SEARCH("-",'R.M Billets Reports'!D2656)+1,200)),"")),IF(ISNUMBER(SEARCH("Party Name:-",'R.M Billets Reports'!D2657)),TRIM('R.M Billets Reports'!F2657),IF(ISNUMBER(SEARCH("Party Name-",'R.M Billets Reports'!D2657)),TRIM(MID('R.M Billets Reports'!D2657,SEARCH("-",'R.M Billets Reports'!D2657)+1,200)),"")))))),IF(ROW()=2,"",A2656))</f>
      </c>
      <c r="B2657">
        <f>IF(OR('R.M Billets Reports'!A2656="Date-",'R.M Billets Reports'!A2656="Date:-"),'R.M Billets Reports'!B2656,IF(ROW()=2,"",B2656))</f>
      </c>
      <c r="C2657">
        <f>IF('R.M Billets Reports'!A2656="V.No.",'R.M Billets Reports'!B2656,IF(ROW()=2,"",C2656))</f>
      </c>
      <c r="D2657">
        <f>IF('R.M Billets Reports'!A2656&lt;&gt;"",'R.M Billets Reports'!A2656,IF(ROW()=2,"",D2656))</f>
      </c>
      <c r="E2657">
        <f>IF('R.M Billets Reports'!B2656="","",TRIM('R.M Billets Reports'!B2656))</f>
      </c>
      <c r="F2657">
        <f>'R.M Billets Reports'!C2656</f>
      </c>
      <c r="G2657">
        <f>'R.M Billets Reports'!D2656</f>
      </c>
      <c r="H2657">
        <f>'R.M Billets Reports'!E2656</f>
      </c>
      <c r="I2657">
        <f>'R.M Billets Reports'!F2656</f>
      </c>
      <c r="J2657">
        <f>'R.M Billets Reports'!G2656</f>
      </c>
      <c r="K2657">
        <f>'R.M Billets Reports'!H2656</f>
      </c>
      <c r="L2657">
        <f>IF('R.M Billets Reports'!I2656="","",'R.M Billets Reports'!I2656)</f>
      </c>
      <c r="M2657">
        <f t="shared" si="82"/>
      </c>
      <c r="N2657">
        <f>IF('R.M Billets Reports'!J2656="","",'R.M Billets Reports'!J2656)</f>
      </c>
      <c r="O2657">
        <f t="shared" si="83"/>
      </c>
      <c r="P2657">
        <f>IF('R.M Billets Reports'!A2656="SIZE",'R.M Billets Reports'!B2656,P2656)</f>
      </c>
    </row>
    <row r="2658" spans="1:16" x14ac:dyDescent="0.25">
      <c r="A2658">
        <f>IF(OR('R.M Billets Reports'!A2657="Date-",'R.M Billets Reports'!A2657="Date:-"),IF(IF(IF(ISNUMBER(SEARCH("Party Name:-",'R.M Billets Reports'!D2657)),TRIM('R.M Billets Reports'!F2657),IF(ISNUMBER(SEARCH("Party Name-",'R.M Billets Reports'!D2657)),TRIM(MID('R.M Billets Reports'!D2657,SEARCH("-",'R.M Billets Reports'!D2657)+1,200)),""))&lt;&gt;"",IF(ISNUMBER(SEARCH("Party Name:-",'R.M Billets Reports'!D2657)),TRIM('R.M Billets Reports'!F2657),IF(ISNUMBER(SEARCH("Party Name-",'R.M Billets Reports'!D2657)),TRIM(MID('R.M Billets Reports'!D2657,SEARCH("-",'R.M Billets Reports'!D2657)+1,200)),"")),IF(ISNUMBER(SEARCH("Party Name:-",'R.M Billets Reports'!D2658)),TRIM('R.M Billets Reports'!F2658),IF(ISNUMBER(SEARCH("Party Name-",'R.M Billets Reports'!D2658)),TRIM(MID('R.M Billets Reports'!D2658,SEARCH("-",'R.M Billets Reports'!D2658)+1,200)),"")))="VRKP ISPAT PVT LTD","VRKP",IF(IF(IF(ISNUMBER(SEARCH("Party Name:-",'R.M Billets Reports'!D2657)),TRIM('R.M Billets Reports'!F2657),IF(ISNUMBER(SEARCH("Party Name-",'R.M Billets Reports'!D2657)),TRIM(MID('R.M Billets Reports'!D2657,SEARCH("-",'R.M Billets Reports'!D2657)+1,200)),""))&lt;&gt;"",IF(ISNUMBER(SEARCH("Party Name:-",'R.M Billets Reports'!D2657)),TRIM('R.M Billets Reports'!F2657),IF(ISNUMBER(SEARCH("Party Name-",'R.M Billets Reports'!D2657)),TRIM(MID('R.M Billets Reports'!D2657,SEARCH("-",'R.M Billets Reports'!D2657)+1,200)),"")),IF(ISNUMBER(SEARCH("Party Name:-",'R.M Billets Reports'!D2658)),TRIM('R.M Billets Reports'!F2658),IF(ISNUMBER(SEARCH("Party Name-",'R.M Billets Reports'!D2658)),TRIM(MID('R.M Billets Reports'!D2658,SEARCH("-",'R.M Billets Reports'!D2658)+1,200)),"")))="SHRI RADHE","SHREE RADHE",IF(IF(IF(ISNUMBER(SEARCH("Party Name:-",'R.M Billets Reports'!D2657)),TRIM('R.M Billets Reports'!F2657),IF(ISNUMBER(SEARCH("Party Name-",'R.M Billets Reports'!D2657)),TRIM(MID('R.M Billets Reports'!D2657,SEARCH("-",'R.M Billets Reports'!D2657)+1,200)),""))&lt;&gt;"",IF(ISNUMBER(SEARCH("Party Name:-",'R.M Billets Reports'!D2657)),TRIM('R.M Billets Reports'!F2657),IF(ISNUMBER(SEARCH("Party Name-",'R.M Billets Reports'!D2657)),TRIM(MID('R.M Billets Reports'!D2657,SEARCH("-",'R.M Billets Reports'!D2657)+1,200)),"")),IF(ISNUMBER(SEARCH("Party Name:-",'R.M Billets Reports'!D2658)),TRIM('R.M Billets Reports'!F2658),IF(ISNUMBER(SEARCH("Party Name-",'R.M Billets Reports'!D2658)),TRIM(MID('R.M Billets Reports'!D2658,SEARCH("-",'R.M Billets Reports'!D2658)+1,200)),"")))="SHREE RADHE SHAKTI SPONGE AND POWER PVT. LTD.","SHREE RADHE",IF(IF(ISNUMBER(SEARCH("Party Name:-",'R.M Billets Reports'!D2657)),TRIM('R.M Billets Reports'!F2657),IF(ISNUMBER(SEARCH("Party Name-",'R.M Billets Reports'!D2657)),TRIM(MID('R.M Billets Reports'!D2657,SEARCH("-",'R.M Billets Reports'!D2657)+1,200)),""))&lt;&gt;"",IF(ISNUMBER(SEARCH("Party Name:-",'R.M Billets Reports'!D2657)),TRIM('R.M Billets Reports'!F2657),IF(ISNUMBER(SEARCH("Party Name-",'R.M Billets Reports'!D2657)),TRIM(MID('R.M Billets Reports'!D2657,SEARCH("-",'R.M Billets Reports'!D2657)+1,200)),"")),IF(ISNUMBER(SEARCH("Party Name:-",'R.M Billets Reports'!D2658)),TRIM('R.M Billets Reports'!F2658),IF(ISNUMBER(SEARCH("Party Name-",'R.M Billets Reports'!D2658)),TRIM(MID('R.M Billets Reports'!D2658,SEARCH("-",'R.M Billets Reports'!D2658)+1,200)),"")))))),IF(ROW()=2,"",A2657))</f>
      </c>
      <c r="B2658">
        <f>IF(OR('R.M Billets Reports'!A2657="Date-",'R.M Billets Reports'!A2657="Date:-"),'R.M Billets Reports'!B2657,IF(ROW()=2,"",B2657))</f>
      </c>
      <c r="C2658">
        <f>IF('R.M Billets Reports'!A2657="V.No.",'R.M Billets Reports'!B2657,IF(ROW()=2,"",C2657))</f>
      </c>
      <c r="D2658">
        <f>IF('R.M Billets Reports'!A2657&lt;&gt;"",'R.M Billets Reports'!A2657,IF(ROW()=2,"",D2657))</f>
      </c>
      <c r="E2658">
        <f>IF('R.M Billets Reports'!B2657="","",TRIM('R.M Billets Reports'!B2657))</f>
      </c>
      <c r="F2658">
        <f>'R.M Billets Reports'!C2657</f>
      </c>
      <c r="G2658">
        <f>'R.M Billets Reports'!D2657</f>
      </c>
      <c r="H2658">
        <f>'R.M Billets Reports'!E2657</f>
      </c>
      <c r="I2658">
        <f>'R.M Billets Reports'!F2657</f>
      </c>
      <c r="J2658">
        <f>'R.M Billets Reports'!G2657</f>
      </c>
      <c r="K2658">
        <f>'R.M Billets Reports'!H2657</f>
      </c>
      <c r="L2658">
        <f>IF('R.M Billets Reports'!I2657="","",'R.M Billets Reports'!I2657)</f>
      </c>
      <c r="M2658">
        <f t="shared" si="82"/>
      </c>
      <c r="N2658">
        <f>IF('R.M Billets Reports'!J2657="","",'R.M Billets Reports'!J2657)</f>
      </c>
      <c r="O2658">
        <f t="shared" si="83"/>
      </c>
      <c r="P2658">
        <f>IF('R.M Billets Reports'!A2657="SIZE",'R.M Billets Reports'!B2657,P2657)</f>
      </c>
    </row>
    <row r="2659" spans="1:16" x14ac:dyDescent="0.25">
      <c r="A2659">
        <f>IF(OR('R.M Billets Reports'!A2658="Date-",'R.M Billets Reports'!A2658="Date:-"),IF(IF(IF(ISNUMBER(SEARCH("Party Name:-",'R.M Billets Reports'!D2658)),TRIM('R.M Billets Reports'!F2658),IF(ISNUMBER(SEARCH("Party Name-",'R.M Billets Reports'!D2658)),TRIM(MID('R.M Billets Reports'!D2658,SEARCH("-",'R.M Billets Reports'!D2658)+1,200)),""))&lt;&gt;"",IF(ISNUMBER(SEARCH("Party Name:-",'R.M Billets Reports'!D2658)),TRIM('R.M Billets Reports'!F2658),IF(ISNUMBER(SEARCH("Party Name-",'R.M Billets Reports'!D2658)),TRIM(MID('R.M Billets Reports'!D2658,SEARCH("-",'R.M Billets Reports'!D2658)+1,200)),"")),IF(ISNUMBER(SEARCH("Party Name:-",'R.M Billets Reports'!D2659)),TRIM('R.M Billets Reports'!F2659),IF(ISNUMBER(SEARCH("Party Name-",'R.M Billets Reports'!D2659)),TRIM(MID('R.M Billets Reports'!D2659,SEARCH("-",'R.M Billets Reports'!D2659)+1,200)),"")))="VRKP ISPAT PVT LTD","VRKP",IF(IF(IF(ISNUMBER(SEARCH("Party Name:-",'R.M Billets Reports'!D2658)),TRIM('R.M Billets Reports'!F2658),IF(ISNUMBER(SEARCH("Party Name-",'R.M Billets Reports'!D2658)),TRIM(MID('R.M Billets Reports'!D2658,SEARCH("-",'R.M Billets Reports'!D2658)+1,200)),""))&lt;&gt;"",IF(ISNUMBER(SEARCH("Party Name:-",'R.M Billets Reports'!D2658)),TRIM('R.M Billets Reports'!F2658),IF(ISNUMBER(SEARCH("Party Name-",'R.M Billets Reports'!D2658)),TRIM(MID('R.M Billets Reports'!D2658,SEARCH("-",'R.M Billets Reports'!D2658)+1,200)),"")),IF(ISNUMBER(SEARCH("Party Name:-",'R.M Billets Reports'!D2659)),TRIM('R.M Billets Reports'!F2659),IF(ISNUMBER(SEARCH("Party Name-",'R.M Billets Reports'!D2659)),TRIM(MID('R.M Billets Reports'!D2659,SEARCH("-",'R.M Billets Reports'!D2659)+1,200)),"")))="SHRI RADHE","SHREE RADHE",IF(IF(IF(ISNUMBER(SEARCH("Party Name:-",'R.M Billets Reports'!D2658)),TRIM('R.M Billets Reports'!F2658),IF(ISNUMBER(SEARCH("Party Name-",'R.M Billets Reports'!D2658)),TRIM(MID('R.M Billets Reports'!D2658,SEARCH("-",'R.M Billets Reports'!D2658)+1,200)),""))&lt;&gt;"",IF(ISNUMBER(SEARCH("Party Name:-",'R.M Billets Reports'!D2658)),TRIM('R.M Billets Reports'!F2658),IF(ISNUMBER(SEARCH("Party Name-",'R.M Billets Reports'!D2658)),TRIM(MID('R.M Billets Reports'!D2658,SEARCH("-",'R.M Billets Reports'!D2658)+1,200)),"")),IF(ISNUMBER(SEARCH("Party Name:-",'R.M Billets Reports'!D2659)),TRIM('R.M Billets Reports'!F2659),IF(ISNUMBER(SEARCH("Party Name-",'R.M Billets Reports'!D2659)),TRIM(MID('R.M Billets Reports'!D2659,SEARCH("-",'R.M Billets Reports'!D2659)+1,200)),"")))="SHREE RADHE SHAKTI SPONGE AND POWER PVT. LTD.","SHREE RADHE",IF(IF(ISNUMBER(SEARCH("Party Name:-",'R.M Billets Reports'!D2658)),TRIM('R.M Billets Reports'!F2658),IF(ISNUMBER(SEARCH("Party Name-",'R.M Billets Reports'!D2658)),TRIM(MID('R.M Billets Reports'!D2658,SEARCH("-",'R.M Billets Reports'!D2658)+1,200)),""))&lt;&gt;"",IF(ISNUMBER(SEARCH("Party Name:-",'R.M Billets Reports'!D2658)),TRIM('R.M Billets Reports'!F2658),IF(ISNUMBER(SEARCH("Party Name-",'R.M Billets Reports'!D2658)),TRIM(MID('R.M Billets Reports'!D2658,SEARCH("-",'R.M Billets Reports'!D2658)+1,200)),"")),IF(ISNUMBER(SEARCH("Party Name:-",'R.M Billets Reports'!D2659)),TRIM('R.M Billets Reports'!F2659),IF(ISNUMBER(SEARCH("Party Name-",'R.M Billets Reports'!D2659)),TRIM(MID('R.M Billets Reports'!D2659,SEARCH("-",'R.M Billets Reports'!D2659)+1,200)),"")))))),IF(ROW()=2,"",A2658))</f>
      </c>
      <c r="B2659">
        <f>IF(OR('R.M Billets Reports'!A2658="Date-",'R.M Billets Reports'!A2658="Date:-"),'R.M Billets Reports'!B2658,IF(ROW()=2,"",B2658))</f>
      </c>
      <c r="C2659">
        <f>IF('R.M Billets Reports'!A2658="V.No.",'R.M Billets Reports'!B2658,IF(ROW()=2,"",C2658))</f>
      </c>
      <c r="D2659">
        <f>IF('R.M Billets Reports'!A2658&lt;&gt;"",'R.M Billets Reports'!A2658,IF(ROW()=2,"",D2658))</f>
      </c>
      <c r="E2659">
        <f>IF('R.M Billets Reports'!B2658="","",TRIM('R.M Billets Reports'!B2658))</f>
      </c>
      <c r="F2659">
        <f>'R.M Billets Reports'!C2658</f>
      </c>
      <c r="G2659">
        <f>'R.M Billets Reports'!D2658</f>
      </c>
      <c r="H2659">
        <f>'R.M Billets Reports'!E2658</f>
      </c>
      <c r="I2659">
        <f>'R.M Billets Reports'!F2658</f>
      </c>
      <c r="J2659">
        <f>'R.M Billets Reports'!G2658</f>
      </c>
      <c r="K2659">
        <f>'R.M Billets Reports'!H2658</f>
      </c>
      <c r="L2659">
        <f>IF('R.M Billets Reports'!I2658="","",'R.M Billets Reports'!I2658)</f>
      </c>
      <c r="M2659">
        <f t="shared" si="82"/>
      </c>
      <c r="N2659">
        <f>IF('R.M Billets Reports'!J2658="","",'R.M Billets Reports'!J2658)</f>
      </c>
      <c r="O2659">
        <f t="shared" si="83"/>
      </c>
      <c r="P2659">
        <f>IF('R.M Billets Reports'!A2658="SIZE",'R.M Billets Reports'!B2658,P2658)</f>
      </c>
    </row>
    <row r="2660" spans="1:16" x14ac:dyDescent="0.25">
      <c r="A2660">
        <f>IF(OR('R.M Billets Reports'!A2659="Date-",'R.M Billets Reports'!A2659="Date:-"),IF(IF(IF(ISNUMBER(SEARCH("Party Name:-",'R.M Billets Reports'!D2659)),TRIM('R.M Billets Reports'!F2659),IF(ISNUMBER(SEARCH("Party Name-",'R.M Billets Reports'!D2659)),TRIM(MID('R.M Billets Reports'!D2659,SEARCH("-",'R.M Billets Reports'!D2659)+1,200)),""))&lt;&gt;"",IF(ISNUMBER(SEARCH("Party Name:-",'R.M Billets Reports'!D2659)),TRIM('R.M Billets Reports'!F2659),IF(ISNUMBER(SEARCH("Party Name-",'R.M Billets Reports'!D2659)),TRIM(MID('R.M Billets Reports'!D2659,SEARCH("-",'R.M Billets Reports'!D2659)+1,200)),"")),IF(ISNUMBER(SEARCH("Party Name:-",'R.M Billets Reports'!D2660)),TRIM('R.M Billets Reports'!F2660),IF(ISNUMBER(SEARCH("Party Name-",'R.M Billets Reports'!D2660)),TRIM(MID('R.M Billets Reports'!D2660,SEARCH("-",'R.M Billets Reports'!D2660)+1,200)),"")))="VRKP ISPAT PVT LTD","VRKP",IF(IF(IF(ISNUMBER(SEARCH("Party Name:-",'R.M Billets Reports'!D2659)),TRIM('R.M Billets Reports'!F2659),IF(ISNUMBER(SEARCH("Party Name-",'R.M Billets Reports'!D2659)),TRIM(MID('R.M Billets Reports'!D2659,SEARCH("-",'R.M Billets Reports'!D2659)+1,200)),""))&lt;&gt;"",IF(ISNUMBER(SEARCH("Party Name:-",'R.M Billets Reports'!D2659)),TRIM('R.M Billets Reports'!F2659),IF(ISNUMBER(SEARCH("Party Name-",'R.M Billets Reports'!D2659)),TRIM(MID('R.M Billets Reports'!D2659,SEARCH("-",'R.M Billets Reports'!D2659)+1,200)),"")),IF(ISNUMBER(SEARCH("Party Name:-",'R.M Billets Reports'!D2660)),TRIM('R.M Billets Reports'!F2660),IF(ISNUMBER(SEARCH("Party Name-",'R.M Billets Reports'!D2660)),TRIM(MID('R.M Billets Reports'!D2660,SEARCH("-",'R.M Billets Reports'!D2660)+1,200)),"")))="SHRI RADHE","SHREE RADHE",IF(IF(IF(ISNUMBER(SEARCH("Party Name:-",'R.M Billets Reports'!D2659)),TRIM('R.M Billets Reports'!F2659),IF(ISNUMBER(SEARCH("Party Name-",'R.M Billets Reports'!D2659)),TRIM(MID('R.M Billets Reports'!D2659,SEARCH("-",'R.M Billets Reports'!D2659)+1,200)),""))&lt;&gt;"",IF(ISNUMBER(SEARCH("Party Name:-",'R.M Billets Reports'!D2659)),TRIM('R.M Billets Reports'!F2659),IF(ISNUMBER(SEARCH("Party Name-",'R.M Billets Reports'!D2659)),TRIM(MID('R.M Billets Reports'!D2659,SEARCH("-",'R.M Billets Reports'!D2659)+1,200)),"")),IF(ISNUMBER(SEARCH("Party Name:-",'R.M Billets Reports'!D2660)),TRIM('R.M Billets Reports'!F2660),IF(ISNUMBER(SEARCH("Party Name-",'R.M Billets Reports'!D2660)),TRIM(MID('R.M Billets Reports'!D2660,SEARCH("-",'R.M Billets Reports'!D2660)+1,200)),"")))="SHREE RADHE SHAKTI SPONGE AND POWER PVT. LTD.","SHREE RADHE",IF(IF(ISNUMBER(SEARCH("Party Name:-",'R.M Billets Reports'!D2659)),TRIM('R.M Billets Reports'!F2659),IF(ISNUMBER(SEARCH("Party Name-",'R.M Billets Reports'!D2659)),TRIM(MID('R.M Billets Reports'!D2659,SEARCH("-",'R.M Billets Reports'!D2659)+1,200)),""))&lt;&gt;"",IF(ISNUMBER(SEARCH("Party Name:-",'R.M Billets Reports'!D2659)),TRIM('R.M Billets Reports'!F2659),IF(ISNUMBER(SEARCH("Party Name-",'R.M Billets Reports'!D2659)),TRIM(MID('R.M Billets Reports'!D2659,SEARCH("-",'R.M Billets Reports'!D2659)+1,200)),"")),IF(ISNUMBER(SEARCH("Party Name:-",'R.M Billets Reports'!D2660)),TRIM('R.M Billets Reports'!F2660),IF(ISNUMBER(SEARCH("Party Name-",'R.M Billets Reports'!D2660)),TRIM(MID('R.M Billets Reports'!D2660,SEARCH("-",'R.M Billets Reports'!D2660)+1,200)),"")))))),IF(ROW()=2,"",A2659))</f>
      </c>
      <c r="B2660">
        <f>IF(OR('R.M Billets Reports'!A2659="Date-",'R.M Billets Reports'!A2659="Date:-"),'R.M Billets Reports'!B2659,IF(ROW()=2,"",B2659))</f>
      </c>
      <c r="C2660">
        <f>IF('R.M Billets Reports'!A2659="V.No.",'R.M Billets Reports'!B2659,IF(ROW()=2,"",C2659))</f>
      </c>
      <c r="D2660">
        <f>IF('R.M Billets Reports'!A2659&lt;&gt;"",'R.M Billets Reports'!A2659,IF(ROW()=2,"",D2659))</f>
      </c>
      <c r="E2660">
        <f>IF('R.M Billets Reports'!B2659="","",TRIM('R.M Billets Reports'!B2659))</f>
      </c>
      <c r="F2660">
        <f>'R.M Billets Reports'!C2659</f>
      </c>
      <c r="G2660">
        <f>'R.M Billets Reports'!D2659</f>
      </c>
      <c r="H2660">
        <f>'R.M Billets Reports'!E2659</f>
      </c>
      <c r="I2660">
        <f>'R.M Billets Reports'!F2659</f>
      </c>
      <c r="J2660">
        <f>'R.M Billets Reports'!G2659</f>
      </c>
      <c r="K2660">
        <f>'R.M Billets Reports'!H2659</f>
      </c>
      <c r="L2660">
        <f>IF('R.M Billets Reports'!I2659="","",'R.M Billets Reports'!I2659)</f>
      </c>
      <c r="M2660">
        <f t="shared" si="82"/>
      </c>
      <c r="N2660">
        <f>IF('R.M Billets Reports'!J2659="","",'R.M Billets Reports'!J2659)</f>
      </c>
      <c r="O2660">
        <f t="shared" si="83"/>
      </c>
      <c r="P2660">
        <f>IF('R.M Billets Reports'!A2659="SIZE",'R.M Billets Reports'!B2659,P2659)</f>
      </c>
    </row>
    <row r="2661" spans="1:16" x14ac:dyDescent="0.25">
      <c r="A2661">
        <f>IF(OR('R.M Billets Reports'!A2660="Date-",'R.M Billets Reports'!A2660="Date:-"),IF(IF(IF(ISNUMBER(SEARCH("Party Name:-",'R.M Billets Reports'!D2660)),TRIM('R.M Billets Reports'!F2660),IF(ISNUMBER(SEARCH("Party Name-",'R.M Billets Reports'!D2660)),TRIM(MID('R.M Billets Reports'!D2660,SEARCH("-",'R.M Billets Reports'!D2660)+1,200)),""))&lt;&gt;"",IF(ISNUMBER(SEARCH("Party Name:-",'R.M Billets Reports'!D2660)),TRIM('R.M Billets Reports'!F2660),IF(ISNUMBER(SEARCH("Party Name-",'R.M Billets Reports'!D2660)),TRIM(MID('R.M Billets Reports'!D2660,SEARCH("-",'R.M Billets Reports'!D2660)+1,200)),"")),IF(ISNUMBER(SEARCH("Party Name:-",'R.M Billets Reports'!D2661)),TRIM('R.M Billets Reports'!F2661),IF(ISNUMBER(SEARCH("Party Name-",'R.M Billets Reports'!D2661)),TRIM(MID('R.M Billets Reports'!D2661,SEARCH("-",'R.M Billets Reports'!D2661)+1,200)),"")))="VRKP ISPAT PVT LTD","VRKP",IF(IF(IF(ISNUMBER(SEARCH("Party Name:-",'R.M Billets Reports'!D2660)),TRIM('R.M Billets Reports'!F2660),IF(ISNUMBER(SEARCH("Party Name-",'R.M Billets Reports'!D2660)),TRIM(MID('R.M Billets Reports'!D2660,SEARCH("-",'R.M Billets Reports'!D2660)+1,200)),""))&lt;&gt;"",IF(ISNUMBER(SEARCH("Party Name:-",'R.M Billets Reports'!D2660)),TRIM('R.M Billets Reports'!F2660),IF(ISNUMBER(SEARCH("Party Name-",'R.M Billets Reports'!D2660)),TRIM(MID('R.M Billets Reports'!D2660,SEARCH("-",'R.M Billets Reports'!D2660)+1,200)),"")),IF(ISNUMBER(SEARCH("Party Name:-",'R.M Billets Reports'!D2661)),TRIM('R.M Billets Reports'!F2661),IF(ISNUMBER(SEARCH("Party Name-",'R.M Billets Reports'!D2661)),TRIM(MID('R.M Billets Reports'!D2661,SEARCH("-",'R.M Billets Reports'!D2661)+1,200)),"")))="SHRI RADHE","SHREE RADHE",IF(IF(IF(ISNUMBER(SEARCH("Party Name:-",'R.M Billets Reports'!D2660)),TRIM('R.M Billets Reports'!F2660),IF(ISNUMBER(SEARCH("Party Name-",'R.M Billets Reports'!D2660)),TRIM(MID('R.M Billets Reports'!D2660,SEARCH("-",'R.M Billets Reports'!D2660)+1,200)),""))&lt;&gt;"",IF(ISNUMBER(SEARCH("Party Name:-",'R.M Billets Reports'!D2660)),TRIM('R.M Billets Reports'!F2660),IF(ISNUMBER(SEARCH("Party Name-",'R.M Billets Reports'!D2660)),TRIM(MID('R.M Billets Reports'!D2660,SEARCH("-",'R.M Billets Reports'!D2660)+1,200)),"")),IF(ISNUMBER(SEARCH("Party Name:-",'R.M Billets Reports'!D2661)),TRIM('R.M Billets Reports'!F2661),IF(ISNUMBER(SEARCH("Party Name-",'R.M Billets Reports'!D2661)),TRIM(MID('R.M Billets Reports'!D2661,SEARCH("-",'R.M Billets Reports'!D2661)+1,200)),"")))="SHREE RADHE SHAKTI SPONGE AND POWER PVT. LTD.","SHREE RADHE",IF(IF(ISNUMBER(SEARCH("Party Name:-",'R.M Billets Reports'!D2660)),TRIM('R.M Billets Reports'!F2660),IF(ISNUMBER(SEARCH("Party Name-",'R.M Billets Reports'!D2660)),TRIM(MID('R.M Billets Reports'!D2660,SEARCH("-",'R.M Billets Reports'!D2660)+1,200)),""))&lt;&gt;"",IF(ISNUMBER(SEARCH("Party Name:-",'R.M Billets Reports'!D2660)),TRIM('R.M Billets Reports'!F2660),IF(ISNUMBER(SEARCH("Party Name-",'R.M Billets Reports'!D2660)),TRIM(MID('R.M Billets Reports'!D2660,SEARCH("-",'R.M Billets Reports'!D2660)+1,200)),"")),IF(ISNUMBER(SEARCH("Party Name:-",'R.M Billets Reports'!D2661)),TRIM('R.M Billets Reports'!F2661),IF(ISNUMBER(SEARCH("Party Name-",'R.M Billets Reports'!D2661)),TRIM(MID('R.M Billets Reports'!D2661,SEARCH("-",'R.M Billets Reports'!D2661)+1,200)),"")))))),IF(ROW()=2,"",A2660))</f>
      </c>
      <c r="B2661">
        <f>IF(OR('R.M Billets Reports'!A2660="Date-",'R.M Billets Reports'!A2660="Date:-"),'R.M Billets Reports'!B2660,IF(ROW()=2,"",B2660))</f>
      </c>
      <c r="C2661">
        <f>IF('R.M Billets Reports'!A2660="V.No.",'R.M Billets Reports'!B2660,IF(ROW()=2,"",C2660))</f>
      </c>
      <c r="D2661">
        <f>IF('R.M Billets Reports'!A2660&lt;&gt;"",'R.M Billets Reports'!A2660,IF(ROW()=2,"",D2660))</f>
      </c>
      <c r="E2661">
        <f>IF('R.M Billets Reports'!B2660="","",TRIM('R.M Billets Reports'!B2660))</f>
      </c>
      <c r="F2661">
        <f>'R.M Billets Reports'!C2660</f>
      </c>
      <c r="G2661">
        <f>'R.M Billets Reports'!D2660</f>
      </c>
      <c r="H2661">
        <f>'R.M Billets Reports'!E2660</f>
      </c>
      <c r="I2661">
        <f>'R.M Billets Reports'!F2660</f>
      </c>
      <c r="J2661">
        <f>'R.M Billets Reports'!G2660</f>
      </c>
      <c r="K2661">
        <f>'R.M Billets Reports'!H2660</f>
      </c>
      <c r="L2661">
        <f>IF('R.M Billets Reports'!I2660="","",'R.M Billets Reports'!I2660)</f>
      </c>
      <c r="M2661">
        <f t="shared" si="82"/>
      </c>
      <c r="N2661">
        <f>IF('R.M Billets Reports'!J2660="","",'R.M Billets Reports'!J2660)</f>
      </c>
      <c r="O2661">
        <f t="shared" si="83"/>
      </c>
      <c r="P2661">
        <f>IF('R.M Billets Reports'!A2660="SIZE",'R.M Billets Reports'!B2660,P2660)</f>
      </c>
    </row>
    <row r="2662" spans="1:16" x14ac:dyDescent="0.25">
      <c r="A2662">
        <f>IF(OR('R.M Billets Reports'!A2661="Date-",'R.M Billets Reports'!A2661="Date:-"),IF(IF(IF(ISNUMBER(SEARCH("Party Name:-",'R.M Billets Reports'!D2661)),TRIM('R.M Billets Reports'!F2661),IF(ISNUMBER(SEARCH("Party Name-",'R.M Billets Reports'!D2661)),TRIM(MID('R.M Billets Reports'!D2661,SEARCH("-",'R.M Billets Reports'!D2661)+1,200)),""))&lt;&gt;"",IF(ISNUMBER(SEARCH("Party Name:-",'R.M Billets Reports'!D2661)),TRIM('R.M Billets Reports'!F2661),IF(ISNUMBER(SEARCH("Party Name-",'R.M Billets Reports'!D2661)),TRIM(MID('R.M Billets Reports'!D2661,SEARCH("-",'R.M Billets Reports'!D2661)+1,200)),"")),IF(ISNUMBER(SEARCH("Party Name:-",'R.M Billets Reports'!D2662)),TRIM('R.M Billets Reports'!F2662),IF(ISNUMBER(SEARCH("Party Name-",'R.M Billets Reports'!D2662)),TRIM(MID('R.M Billets Reports'!D2662,SEARCH("-",'R.M Billets Reports'!D2662)+1,200)),"")))="VRKP ISPAT PVT LTD","VRKP",IF(IF(IF(ISNUMBER(SEARCH("Party Name:-",'R.M Billets Reports'!D2661)),TRIM('R.M Billets Reports'!F2661),IF(ISNUMBER(SEARCH("Party Name-",'R.M Billets Reports'!D2661)),TRIM(MID('R.M Billets Reports'!D2661,SEARCH("-",'R.M Billets Reports'!D2661)+1,200)),""))&lt;&gt;"",IF(ISNUMBER(SEARCH("Party Name:-",'R.M Billets Reports'!D2661)),TRIM('R.M Billets Reports'!F2661),IF(ISNUMBER(SEARCH("Party Name-",'R.M Billets Reports'!D2661)),TRIM(MID('R.M Billets Reports'!D2661,SEARCH("-",'R.M Billets Reports'!D2661)+1,200)),"")),IF(ISNUMBER(SEARCH("Party Name:-",'R.M Billets Reports'!D2662)),TRIM('R.M Billets Reports'!F2662),IF(ISNUMBER(SEARCH("Party Name-",'R.M Billets Reports'!D2662)),TRIM(MID('R.M Billets Reports'!D2662,SEARCH("-",'R.M Billets Reports'!D2662)+1,200)),"")))="SHRI RADHE","SHREE RADHE",IF(IF(IF(ISNUMBER(SEARCH("Party Name:-",'R.M Billets Reports'!D2661)),TRIM('R.M Billets Reports'!F2661),IF(ISNUMBER(SEARCH("Party Name-",'R.M Billets Reports'!D2661)),TRIM(MID('R.M Billets Reports'!D2661,SEARCH("-",'R.M Billets Reports'!D2661)+1,200)),""))&lt;&gt;"",IF(ISNUMBER(SEARCH("Party Name:-",'R.M Billets Reports'!D2661)),TRIM('R.M Billets Reports'!F2661),IF(ISNUMBER(SEARCH("Party Name-",'R.M Billets Reports'!D2661)),TRIM(MID('R.M Billets Reports'!D2661,SEARCH("-",'R.M Billets Reports'!D2661)+1,200)),"")),IF(ISNUMBER(SEARCH("Party Name:-",'R.M Billets Reports'!D2662)),TRIM('R.M Billets Reports'!F2662),IF(ISNUMBER(SEARCH("Party Name-",'R.M Billets Reports'!D2662)),TRIM(MID('R.M Billets Reports'!D2662,SEARCH("-",'R.M Billets Reports'!D2662)+1,200)),"")))="SHREE RADHE SHAKTI SPONGE AND POWER PVT. LTD.","SHREE RADHE",IF(IF(ISNUMBER(SEARCH("Party Name:-",'R.M Billets Reports'!D2661)),TRIM('R.M Billets Reports'!F2661),IF(ISNUMBER(SEARCH("Party Name-",'R.M Billets Reports'!D2661)),TRIM(MID('R.M Billets Reports'!D2661,SEARCH("-",'R.M Billets Reports'!D2661)+1,200)),""))&lt;&gt;"",IF(ISNUMBER(SEARCH("Party Name:-",'R.M Billets Reports'!D2661)),TRIM('R.M Billets Reports'!F2661),IF(ISNUMBER(SEARCH("Party Name-",'R.M Billets Reports'!D2661)),TRIM(MID('R.M Billets Reports'!D2661,SEARCH("-",'R.M Billets Reports'!D2661)+1,200)),"")),IF(ISNUMBER(SEARCH("Party Name:-",'R.M Billets Reports'!D2662)),TRIM('R.M Billets Reports'!F2662),IF(ISNUMBER(SEARCH("Party Name-",'R.M Billets Reports'!D2662)),TRIM(MID('R.M Billets Reports'!D2662,SEARCH("-",'R.M Billets Reports'!D2662)+1,200)),"")))))),IF(ROW()=2,"",A2661))</f>
      </c>
      <c r="B2662">
        <f>IF(OR('R.M Billets Reports'!A2661="Date-",'R.M Billets Reports'!A2661="Date:-"),'R.M Billets Reports'!B2661,IF(ROW()=2,"",B2661))</f>
      </c>
      <c r="C2662">
        <f>IF('R.M Billets Reports'!A2661="V.No.",'R.M Billets Reports'!B2661,IF(ROW()=2,"",C2661))</f>
      </c>
      <c r="D2662">
        <f>IF('R.M Billets Reports'!A2661&lt;&gt;"",'R.M Billets Reports'!A2661,IF(ROW()=2,"",D2661))</f>
      </c>
      <c r="E2662">
        <f>IF('R.M Billets Reports'!B2661="","",TRIM('R.M Billets Reports'!B2661))</f>
      </c>
      <c r="F2662">
        <f>'R.M Billets Reports'!C2661</f>
      </c>
      <c r="G2662">
        <f>'R.M Billets Reports'!D2661</f>
      </c>
      <c r="H2662">
        <f>'R.M Billets Reports'!E2661</f>
      </c>
      <c r="I2662">
        <f>'R.M Billets Reports'!F2661</f>
      </c>
      <c r="J2662">
        <f>'R.M Billets Reports'!G2661</f>
      </c>
      <c r="K2662">
        <f>'R.M Billets Reports'!H2661</f>
      </c>
      <c r="L2662">
        <f>IF('R.M Billets Reports'!I2661="","",'R.M Billets Reports'!I2661)</f>
      </c>
      <c r="M2662">
        <f t="shared" si="82"/>
      </c>
      <c r="N2662">
        <f>IF('R.M Billets Reports'!J2661="","",'R.M Billets Reports'!J2661)</f>
      </c>
      <c r="O2662">
        <f t="shared" si="83"/>
      </c>
      <c r="P2662">
        <f>IF('R.M Billets Reports'!A2661="SIZE",'R.M Billets Reports'!B2661,P2661)</f>
      </c>
    </row>
    <row r="2663" spans="1:16" x14ac:dyDescent="0.25">
      <c r="A2663">
        <f>IF(OR('R.M Billets Reports'!A2662="Date-",'R.M Billets Reports'!A2662="Date:-"),IF(IF(IF(ISNUMBER(SEARCH("Party Name:-",'R.M Billets Reports'!D2662)),TRIM('R.M Billets Reports'!F2662),IF(ISNUMBER(SEARCH("Party Name-",'R.M Billets Reports'!D2662)),TRIM(MID('R.M Billets Reports'!D2662,SEARCH("-",'R.M Billets Reports'!D2662)+1,200)),""))&lt;&gt;"",IF(ISNUMBER(SEARCH("Party Name:-",'R.M Billets Reports'!D2662)),TRIM('R.M Billets Reports'!F2662),IF(ISNUMBER(SEARCH("Party Name-",'R.M Billets Reports'!D2662)),TRIM(MID('R.M Billets Reports'!D2662,SEARCH("-",'R.M Billets Reports'!D2662)+1,200)),"")),IF(ISNUMBER(SEARCH("Party Name:-",'R.M Billets Reports'!D2663)),TRIM('R.M Billets Reports'!F2663),IF(ISNUMBER(SEARCH("Party Name-",'R.M Billets Reports'!D2663)),TRIM(MID('R.M Billets Reports'!D2663,SEARCH("-",'R.M Billets Reports'!D2663)+1,200)),"")))="VRKP ISPAT PVT LTD","VRKP",IF(IF(IF(ISNUMBER(SEARCH("Party Name:-",'R.M Billets Reports'!D2662)),TRIM('R.M Billets Reports'!F2662),IF(ISNUMBER(SEARCH("Party Name-",'R.M Billets Reports'!D2662)),TRIM(MID('R.M Billets Reports'!D2662,SEARCH("-",'R.M Billets Reports'!D2662)+1,200)),""))&lt;&gt;"",IF(ISNUMBER(SEARCH("Party Name:-",'R.M Billets Reports'!D2662)),TRIM('R.M Billets Reports'!F2662),IF(ISNUMBER(SEARCH("Party Name-",'R.M Billets Reports'!D2662)),TRIM(MID('R.M Billets Reports'!D2662,SEARCH("-",'R.M Billets Reports'!D2662)+1,200)),"")),IF(ISNUMBER(SEARCH("Party Name:-",'R.M Billets Reports'!D2663)),TRIM('R.M Billets Reports'!F2663),IF(ISNUMBER(SEARCH("Party Name-",'R.M Billets Reports'!D2663)),TRIM(MID('R.M Billets Reports'!D2663,SEARCH("-",'R.M Billets Reports'!D2663)+1,200)),"")))="SHRI RADHE","SHREE RADHE",IF(IF(IF(ISNUMBER(SEARCH("Party Name:-",'R.M Billets Reports'!D2662)),TRIM('R.M Billets Reports'!F2662),IF(ISNUMBER(SEARCH("Party Name-",'R.M Billets Reports'!D2662)),TRIM(MID('R.M Billets Reports'!D2662,SEARCH("-",'R.M Billets Reports'!D2662)+1,200)),""))&lt;&gt;"",IF(ISNUMBER(SEARCH("Party Name:-",'R.M Billets Reports'!D2662)),TRIM('R.M Billets Reports'!F2662),IF(ISNUMBER(SEARCH("Party Name-",'R.M Billets Reports'!D2662)),TRIM(MID('R.M Billets Reports'!D2662,SEARCH("-",'R.M Billets Reports'!D2662)+1,200)),"")),IF(ISNUMBER(SEARCH("Party Name:-",'R.M Billets Reports'!D2663)),TRIM('R.M Billets Reports'!F2663),IF(ISNUMBER(SEARCH("Party Name-",'R.M Billets Reports'!D2663)),TRIM(MID('R.M Billets Reports'!D2663,SEARCH("-",'R.M Billets Reports'!D2663)+1,200)),"")))="SHREE RADHE SHAKTI SPONGE AND POWER PVT. LTD.","SHREE RADHE",IF(IF(ISNUMBER(SEARCH("Party Name:-",'R.M Billets Reports'!D2662)),TRIM('R.M Billets Reports'!F2662),IF(ISNUMBER(SEARCH("Party Name-",'R.M Billets Reports'!D2662)),TRIM(MID('R.M Billets Reports'!D2662,SEARCH("-",'R.M Billets Reports'!D2662)+1,200)),""))&lt;&gt;"",IF(ISNUMBER(SEARCH("Party Name:-",'R.M Billets Reports'!D2662)),TRIM('R.M Billets Reports'!F2662),IF(ISNUMBER(SEARCH("Party Name-",'R.M Billets Reports'!D2662)),TRIM(MID('R.M Billets Reports'!D2662,SEARCH("-",'R.M Billets Reports'!D2662)+1,200)),"")),IF(ISNUMBER(SEARCH("Party Name:-",'R.M Billets Reports'!D2663)),TRIM('R.M Billets Reports'!F2663),IF(ISNUMBER(SEARCH("Party Name-",'R.M Billets Reports'!D2663)),TRIM(MID('R.M Billets Reports'!D2663,SEARCH("-",'R.M Billets Reports'!D2663)+1,200)),"")))))),IF(ROW()=2,"",A2662))</f>
      </c>
      <c r="B2663">
        <f>IF(OR('R.M Billets Reports'!A2662="Date-",'R.M Billets Reports'!A2662="Date:-"),'R.M Billets Reports'!B2662,IF(ROW()=2,"",B2662))</f>
      </c>
      <c r="C2663">
        <f>IF('R.M Billets Reports'!A2662="V.No.",'R.M Billets Reports'!B2662,IF(ROW()=2,"",C2662))</f>
      </c>
      <c r="D2663">
        <f>IF('R.M Billets Reports'!A2662&lt;&gt;"",'R.M Billets Reports'!A2662,IF(ROW()=2,"",D2662))</f>
      </c>
      <c r="E2663">
        <f>IF('R.M Billets Reports'!B2662="","",TRIM('R.M Billets Reports'!B2662))</f>
      </c>
      <c r="F2663">
        <f>'R.M Billets Reports'!C2662</f>
      </c>
      <c r="G2663">
        <f>'R.M Billets Reports'!D2662</f>
      </c>
      <c r="H2663">
        <f>'R.M Billets Reports'!E2662</f>
      </c>
      <c r="I2663">
        <f>'R.M Billets Reports'!F2662</f>
      </c>
      <c r="J2663">
        <f>'R.M Billets Reports'!G2662</f>
      </c>
      <c r="K2663">
        <f>'R.M Billets Reports'!H2662</f>
      </c>
      <c r="L2663">
        <f>IF('R.M Billets Reports'!I2662="","",'R.M Billets Reports'!I2662)</f>
      </c>
      <c r="M2663">
        <f t="shared" si="82"/>
      </c>
      <c r="N2663">
        <f>IF('R.M Billets Reports'!J2662="","",'R.M Billets Reports'!J2662)</f>
      </c>
      <c r="O2663">
        <f t="shared" si="83"/>
      </c>
      <c r="P2663">
        <f>IF('R.M Billets Reports'!A2662="SIZE",'R.M Billets Reports'!B2662,P2662)</f>
      </c>
    </row>
    <row r="2664" spans="1:16" x14ac:dyDescent="0.25">
      <c r="A2664">
        <f>IF(OR('R.M Billets Reports'!A2663="Date-",'R.M Billets Reports'!A2663="Date:-"),IF(IF(IF(ISNUMBER(SEARCH("Party Name:-",'R.M Billets Reports'!D2663)),TRIM('R.M Billets Reports'!F2663),IF(ISNUMBER(SEARCH("Party Name-",'R.M Billets Reports'!D2663)),TRIM(MID('R.M Billets Reports'!D2663,SEARCH("-",'R.M Billets Reports'!D2663)+1,200)),""))&lt;&gt;"",IF(ISNUMBER(SEARCH("Party Name:-",'R.M Billets Reports'!D2663)),TRIM('R.M Billets Reports'!F2663),IF(ISNUMBER(SEARCH("Party Name-",'R.M Billets Reports'!D2663)),TRIM(MID('R.M Billets Reports'!D2663,SEARCH("-",'R.M Billets Reports'!D2663)+1,200)),"")),IF(ISNUMBER(SEARCH("Party Name:-",'R.M Billets Reports'!D2664)),TRIM('R.M Billets Reports'!F2664),IF(ISNUMBER(SEARCH("Party Name-",'R.M Billets Reports'!D2664)),TRIM(MID('R.M Billets Reports'!D2664,SEARCH("-",'R.M Billets Reports'!D2664)+1,200)),"")))="VRKP ISPAT PVT LTD","VRKP",IF(IF(IF(ISNUMBER(SEARCH("Party Name:-",'R.M Billets Reports'!D2663)),TRIM('R.M Billets Reports'!F2663),IF(ISNUMBER(SEARCH("Party Name-",'R.M Billets Reports'!D2663)),TRIM(MID('R.M Billets Reports'!D2663,SEARCH("-",'R.M Billets Reports'!D2663)+1,200)),""))&lt;&gt;"",IF(ISNUMBER(SEARCH("Party Name:-",'R.M Billets Reports'!D2663)),TRIM('R.M Billets Reports'!F2663),IF(ISNUMBER(SEARCH("Party Name-",'R.M Billets Reports'!D2663)),TRIM(MID('R.M Billets Reports'!D2663,SEARCH("-",'R.M Billets Reports'!D2663)+1,200)),"")),IF(ISNUMBER(SEARCH("Party Name:-",'R.M Billets Reports'!D2664)),TRIM('R.M Billets Reports'!F2664),IF(ISNUMBER(SEARCH("Party Name-",'R.M Billets Reports'!D2664)),TRIM(MID('R.M Billets Reports'!D2664,SEARCH("-",'R.M Billets Reports'!D2664)+1,200)),"")))="SHRI RADHE","SHREE RADHE",IF(IF(IF(ISNUMBER(SEARCH("Party Name:-",'R.M Billets Reports'!D2663)),TRIM('R.M Billets Reports'!F2663),IF(ISNUMBER(SEARCH("Party Name-",'R.M Billets Reports'!D2663)),TRIM(MID('R.M Billets Reports'!D2663,SEARCH("-",'R.M Billets Reports'!D2663)+1,200)),""))&lt;&gt;"",IF(ISNUMBER(SEARCH("Party Name:-",'R.M Billets Reports'!D2663)),TRIM('R.M Billets Reports'!F2663),IF(ISNUMBER(SEARCH("Party Name-",'R.M Billets Reports'!D2663)),TRIM(MID('R.M Billets Reports'!D2663,SEARCH("-",'R.M Billets Reports'!D2663)+1,200)),"")),IF(ISNUMBER(SEARCH("Party Name:-",'R.M Billets Reports'!D2664)),TRIM('R.M Billets Reports'!F2664),IF(ISNUMBER(SEARCH("Party Name-",'R.M Billets Reports'!D2664)),TRIM(MID('R.M Billets Reports'!D2664,SEARCH("-",'R.M Billets Reports'!D2664)+1,200)),"")))="SHREE RADHE SHAKTI SPONGE AND POWER PVT. LTD.","SHREE RADHE",IF(IF(ISNUMBER(SEARCH("Party Name:-",'R.M Billets Reports'!D2663)),TRIM('R.M Billets Reports'!F2663),IF(ISNUMBER(SEARCH("Party Name-",'R.M Billets Reports'!D2663)),TRIM(MID('R.M Billets Reports'!D2663,SEARCH("-",'R.M Billets Reports'!D2663)+1,200)),""))&lt;&gt;"",IF(ISNUMBER(SEARCH("Party Name:-",'R.M Billets Reports'!D2663)),TRIM('R.M Billets Reports'!F2663),IF(ISNUMBER(SEARCH("Party Name-",'R.M Billets Reports'!D2663)),TRIM(MID('R.M Billets Reports'!D2663,SEARCH("-",'R.M Billets Reports'!D2663)+1,200)),"")),IF(ISNUMBER(SEARCH("Party Name:-",'R.M Billets Reports'!D2664)),TRIM('R.M Billets Reports'!F2664),IF(ISNUMBER(SEARCH("Party Name-",'R.M Billets Reports'!D2664)),TRIM(MID('R.M Billets Reports'!D2664,SEARCH("-",'R.M Billets Reports'!D2664)+1,200)),"")))))),IF(ROW()=2,"",A2663))</f>
      </c>
      <c r="B2664">
        <f>IF(OR('R.M Billets Reports'!A2663="Date-",'R.M Billets Reports'!A2663="Date:-"),'R.M Billets Reports'!B2663,IF(ROW()=2,"",B2663))</f>
      </c>
      <c r="C2664">
        <f>IF('R.M Billets Reports'!A2663="V.No.",'R.M Billets Reports'!B2663,IF(ROW()=2,"",C2663))</f>
      </c>
      <c r="D2664">
        <f>IF('R.M Billets Reports'!A2663&lt;&gt;"",'R.M Billets Reports'!A2663,IF(ROW()=2,"",D2663))</f>
      </c>
      <c r="E2664">
        <f>IF('R.M Billets Reports'!B2663="","",TRIM('R.M Billets Reports'!B2663))</f>
      </c>
      <c r="F2664">
        <f>'R.M Billets Reports'!C2663</f>
      </c>
      <c r="G2664">
        <f>'R.M Billets Reports'!D2663</f>
      </c>
      <c r="H2664">
        <f>'R.M Billets Reports'!E2663</f>
      </c>
      <c r="I2664">
        <f>'R.M Billets Reports'!F2663</f>
      </c>
      <c r="J2664">
        <f>'R.M Billets Reports'!G2663</f>
      </c>
      <c r="K2664">
        <f>'R.M Billets Reports'!H2663</f>
      </c>
      <c r="L2664">
        <f>IF('R.M Billets Reports'!I2663="","",'R.M Billets Reports'!I2663)</f>
      </c>
      <c r="M2664">
        <f t="shared" si="82"/>
      </c>
      <c r="N2664">
        <f>IF('R.M Billets Reports'!J2663="","",'R.M Billets Reports'!J2663)</f>
      </c>
      <c r="O2664">
        <f t="shared" si="83"/>
      </c>
      <c r="P2664">
        <f>IF('R.M Billets Reports'!A2663="SIZE",'R.M Billets Reports'!B2663,P2663)</f>
      </c>
    </row>
    <row r="2665" spans="1:16" x14ac:dyDescent="0.25">
      <c r="A2665">
        <f>IF(OR('R.M Billets Reports'!A2664="Date-",'R.M Billets Reports'!A2664="Date:-"),IF(IF(IF(ISNUMBER(SEARCH("Party Name:-",'R.M Billets Reports'!D2664)),TRIM('R.M Billets Reports'!F2664),IF(ISNUMBER(SEARCH("Party Name-",'R.M Billets Reports'!D2664)),TRIM(MID('R.M Billets Reports'!D2664,SEARCH("-",'R.M Billets Reports'!D2664)+1,200)),""))&lt;&gt;"",IF(ISNUMBER(SEARCH("Party Name:-",'R.M Billets Reports'!D2664)),TRIM('R.M Billets Reports'!F2664),IF(ISNUMBER(SEARCH("Party Name-",'R.M Billets Reports'!D2664)),TRIM(MID('R.M Billets Reports'!D2664,SEARCH("-",'R.M Billets Reports'!D2664)+1,200)),"")),IF(ISNUMBER(SEARCH("Party Name:-",'R.M Billets Reports'!D2665)),TRIM('R.M Billets Reports'!F2665),IF(ISNUMBER(SEARCH("Party Name-",'R.M Billets Reports'!D2665)),TRIM(MID('R.M Billets Reports'!D2665,SEARCH("-",'R.M Billets Reports'!D2665)+1,200)),"")))="VRKP ISPAT PVT LTD","VRKP",IF(IF(IF(ISNUMBER(SEARCH("Party Name:-",'R.M Billets Reports'!D2664)),TRIM('R.M Billets Reports'!F2664),IF(ISNUMBER(SEARCH("Party Name-",'R.M Billets Reports'!D2664)),TRIM(MID('R.M Billets Reports'!D2664,SEARCH("-",'R.M Billets Reports'!D2664)+1,200)),""))&lt;&gt;"",IF(ISNUMBER(SEARCH("Party Name:-",'R.M Billets Reports'!D2664)),TRIM('R.M Billets Reports'!F2664),IF(ISNUMBER(SEARCH("Party Name-",'R.M Billets Reports'!D2664)),TRIM(MID('R.M Billets Reports'!D2664,SEARCH("-",'R.M Billets Reports'!D2664)+1,200)),"")),IF(ISNUMBER(SEARCH("Party Name:-",'R.M Billets Reports'!D2665)),TRIM('R.M Billets Reports'!F2665),IF(ISNUMBER(SEARCH("Party Name-",'R.M Billets Reports'!D2665)),TRIM(MID('R.M Billets Reports'!D2665,SEARCH("-",'R.M Billets Reports'!D2665)+1,200)),"")))="SHRI RADHE","SHREE RADHE",IF(IF(IF(ISNUMBER(SEARCH("Party Name:-",'R.M Billets Reports'!D2664)),TRIM('R.M Billets Reports'!F2664),IF(ISNUMBER(SEARCH("Party Name-",'R.M Billets Reports'!D2664)),TRIM(MID('R.M Billets Reports'!D2664,SEARCH("-",'R.M Billets Reports'!D2664)+1,200)),""))&lt;&gt;"",IF(ISNUMBER(SEARCH("Party Name:-",'R.M Billets Reports'!D2664)),TRIM('R.M Billets Reports'!F2664),IF(ISNUMBER(SEARCH("Party Name-",'R.M Billets Reports'!D2664)),TRIM(MID('R.M Billets Reports'!D2664,SEARCH("-",'R.M Billets Reports'!D2664)+1,200)),"")),IF(ISNUMBER(SEARCH("Party Name:-",'R.M Billets Reports'!D2665)),TRIM('R.M Billets Reports'!F2665),IF(ISNUMBER(SEARCH("Party Name-",'R.M Billets Reports'!D2665)),TRIM(MID('R.M Billets Reports'!D2665,SEARCH("-",'R.M Billets Reports'!D2665)+1,200)),"")))="SHREE RADHE SHAKTI SPONGE AND POWER PVT. LTD.","SHREE RADHE",IF(IF(ISNUMBER(SEARCH("Party Name:-",'R.M Billets Reports'!D2664)),TRIM('R.M Billets Reports'!F2664),IF(ISNUMBER(SEARCH("Party Name-",'R.M Billets Reports'!D2664)),TRIM(MID('R.M Billets Reports'!D2664,SEARCH("-",'R.M Billets Reports'!D2664)+1,200)),""))&lt;&gt;"",IF(ISNUMBER(SEARCH("Party Name:-",'R.M Billets Reports'!D2664)),TRIM('R.M Billets Reports'!F2664),IF(ISNUMBER(SEARCH("Party Name-",'R.M Billets Reports'!D2664)),TRIM(MID('R.M Billets Reports'!D2664,SEARCH("-",'R.M Billets Reports'!D2664)+1,200)),"")),IF(ISNUMBER(SEARCH("Party Name:-",'R.M Billets Reports'!D2665)),TRIM('R.M Billets Reports'!F2665),IF(ISNUMBER(SEARCH("Party Name-",'R.M Billets Reports'!D2665)),TRIM(MID('R.M Billets Reports'!D2665,SEARCH("-",'R.M Billets Reports'!D2665)+1,200)),"")))))),IF(ROW()=2,"",A2664))</f>
      </c>
      <c r="B2665">
        <f>IF(OR('R.M Billets Reports'!A2664="Date-",'R.M Billets Reports'!A2664="Date:-"),'R.M Billets Reports'!B2664,IF(ROW()=2,"",B2664))</f>
      </c>
      <c r="C2665">
        <f>IF('R.M Billets Reports'!A2664="V.No.",'R.M Billets Reports'!B2664,IF(ROW()=2,"",C2664))</f>
      </c>
      <c r="D2665">
        <f>IF('R.M Billets Reports'!A2664&lt;&gt;"",'R.M Billets Reports'!A2664,IF(ROW()=2,"",D2664))</f>
      </c>
      <c r="E2665">
        <f>IF('R.M Billets Reports'!B2664="","",TRIM('R.M Billets Reports'!B2664))</f>
      </c>
      <c r="F2665">
        <f>'R.M Billets Reports'!C2664</f>
      </c>
      <c r="G2665">
        <f>'R.M Billets Reports'!D2664</f>
      </c>
      <c r="H2665">
        <f>'R.M Billets Reports'!E2664</f>
      </c>
      <c r="I2665">
        <f>'R.M Billets Reports'!F2664</f>
      </c>
      <c r="J2665">
        <f>'R.M Billets Reports'!G2664</f>
      </c>
      <c r="K2665">
        <f>'R.M Billets Reports'!H2664</f>
      </c>
      <c r="L2665">
        <f>IF('R.M Billets Reports'!I2664="","",'R.M Billets Reports'!I2664)</f>
      </c>
      <c r="M2665">
        <f t="shared" si="82"/>
      </c>
      <c r="N2665">
        <f>IF('R.M Billets Reports'!J2664="","",'R.M Billets Reports'!J2664)</f>
      </c>
      <c r="O2665">
        <f t="shared" si="83"/>
      </c>
      <c r="P2665">
        <f>IF('R.M Billets Reports'!A2664="SIZE",'R.M Billets Reports'!B2664,P2664)</f>
      </c>
    </row>
    <row r="2666" spans="1:16" x14ac:dyDescent="0.25">
      <c r="A2666">
        <f>IF(OR('R.M Billets Reports'!A2665="Date-",'R.M Billets Reports'!A2665="Date:-"),IF(IF(IF(ISNUMBER(SEARCH("Party Name:-",'R.M Billets Reports'!D2665)),TRIM('R.M Billets Reports'!F2665),IF(ISNUMBER(SEARCH("Party Name-",'R.M Billets Reports'!D2665)),TRIM(MID('R.M Billets Reports'!D2665,SEARCH("-",'R.M Billets Reports'!D2665)+1,200)),""))&lt;&gt;"",IF(ISNUMBER(SEARCH("Party Name:-",'R.M Billets Reports'!D2665)),TRIM('R.M Billets Reports'!F2665),IF(ISNUMBER(SEARCH("Party Name-",'R.M Billets Reports'!D2665)),TRIM(MID('R.M Billets Reports'!D2665,SEARCH("-",'R.M Billets Reports'!D2665)+1,200)),"")),IF(ISNUMBER(SEARCH("Party Name:-",'R.M Billets Reports'!D2666)),TRIM('R.M Billets Reports'!F2666),IF(ISNUMBER(SEARCH("Party Name-",'R.M Billets Reports'!D2666)),TRIM(MID('R.M Billets Reports'!D2666,SEARCH("-",'R.M Billets Reports'!D2666)+1,200)),"")))="VRKP ISPAT PVT LTD","VRKP",IF(IF(IF(ISNUMBER(SEARCH("Party Name:-",'R.M Billets Reports'!D2665)),TRIM('R.M Billets Reports'!F2665),IF(ISNUMBER(SEARCH("Party Name-",'R.M Billets Reports'!D2665)),TRIM(MID('R.M Billets Reports'!D2665,SEARCH("-",'R.M Billets Reports'!D2665)+1,200)),""))&lt;&gt;"",IF(ISNUMBER(SEARCH("Party Name:-",'R.M Billets Reports'!D2665)),TRIM('R.M Billets Reports'!F2665),IF(ISNUMBER(SEARCH("Party Name-",'R.M Billets Reports'!D2665)),TRIM(MID('R.M Billets Reports'!D2665,SEARCH("-",'R.M Billets Reports'!D2665)+1,200)),"")),IF(ISNUMBER(SEARCH("Party Name:-",'R.M Billets Reports'!D2666)),TRIM('R.M Billets Reports'!F2666),IF(ISNUMBER(SEARCH("Party Name-",'R.M Billets Reports'!D2666)),TRIM(MID('R.M Billets Reports'!D2666,SEARCH("-",'R.M Billets Reports'!D2666)+1,200)),"")))="SHRI RADHE","SHREE RADHE",IF(IF(IF(ISNUMBER(SEARCH("Party Name:-",'R.M Billets Reports'!D2665)),TRIM('R.M Billets Reports'!F2665),IF(ISNUMBER(SEARCH("Party Name-",'R.M Billets Reports'!D2665)),TRIM(MID('R.M Billets Reports'!D2665,SEARCH("-",'R.M Billets Reports'!D2665)+1,200)),""))&lt;&gt;"",IF(ISNUMBER(SEARCH("Party Name:-",'R.M Billets Reports'!D2665)),TRIM('R.M Billets Reports'!F2665),IF(ISNUMBER(SEARCH("Party Name-",'R.M Billets Reports'!D2665)),TRIM(MID('R.M Billets Reports'!D2665,SEARCH("-",'R.M Billets Reports'!D2665)+1,200)),"")),IF(ISNUMBER(SEARCH("Party Name:-",'R.M Billets Reports'!D2666)),TRIM('R.M Billets Reports'!F2666),IF(ISNUMBER(SEARCH("Party Name-",'R.M Billets Reports'!D2666)),TRIM(MID('R.M Billets Reports'!D2666,SEARCH("-",'R.M Billets Reports'!D2666)+1,200)),"")))="SHREE RADHE SHAKTI SPONGE AND POWER PVT. LTD.","SHREE RADHE",IF(IF(ISNUMBER(SEARCH("Party Name:-",'R.M Billets Reports'!D2665)),TRIM('R.M Billets Reports'!F2665),IF(ISNUMBER(SEARCH("Party Name-",'R.M Billets Reports'!D2665)),TRIM(MID('R.M Billets Reports'!D2665,SEARCH("-",'R.M Billets Reports'!D2665)+1,200)),""))&lt;&gt;"",IF(ISNUMBER(SEARCH("Party Name:-",'R.M Billets Reports'!D2665)),TRIM('R.M Billets Reports'!F2665),IF(ISNUMBER(SEARCH("Party Name-",'R.M Billets Reports'!D2665)),TRIM(MID('R.M Billets Reports'!D2665,SEARCH("-",'R.M Billets Reports'!D2665)+1,200)),"")),IF(ISNUMBER(SEARCH("Party Name:-",'R.M Billets Reports'!D2666)),TRIM('R.M Billets Reports'!F2666),IF(ISNUMBER(SEARCH("Party Name-",'R.M Billets Reports'!D2666)),TRIM(MID('R.M Billets Reports'!D2666,SEARCH("-",'R.M Billets Reports'!D2666)+1,200)),"")))))),IF(ROW()=2,"",A2665))</f>
      </c>
      <c r="B2666">
        <f>IF(OR('R.M Billets Reports'!A2665="Date-",'R.M Billets Reports'!A2665="Date:-"),'R.M Billets Reports'!B2665,IF(ROW()=2,"",B2665))</f>
      </c>
      <c r="C2666">
        <f>IF('R.M Billets Reports'!A2665="V.No.",'R.M Billets Reports'!B2665,IF(ROW()=2,"",C2665))</f>
      </c>
      <c r="D2666">
        <f>IF('R.M Billets Reports'!A2665&lt;&gt;"",'R.M Billets Reports'!A2665,IF(ROW()=2,"",D2665))</f>
      </c>
      <c r="E2666">
        <f>IF('R.M Billets Reports'!B2665="","",TRIM('R.M Billets Reports'!B2665))</f>
      </c>
      <c r="F2666">
        <f>'R.M Billets Reports'!C2665</f>
      </c>
      <c r="G2666">
        <f>'R.M Billets Reports'!D2665</f>
      </c>
      <c r="H2666">
        <f>'R.M Billets Reports'!E2665</f>
      </c>
      <c r="I2666">
        <f>'R.M Billets Reports'!F2665</f>
      </c>
      <c r="J2666">
        <f>'R.M Billets Reports'!G2665</f>
      </c>
      <c r="K2666">
        <f>'R.M Billets Reports'!H2665</f>
      </c>
      <c r="L2666">
        <f>IF('R.M Billets Reports'!I2665="","",'R.M Billets Reports'!I2665)</f>
      </c>
      <c r="M2666">
        <f t="shared" si="82"/>
      </c>
      <c r="N2666">
        <f>IF('R.M Billets Reports'!J2665="","",'R.M Billets Reports'!J2665)</f>
      </c>
      <c r="O2666">
        <f t="shared" si="83"/>
      </c>
      <c r="P2666">
        <f>IF('R.M Billets Reports'!A2665="SIZE",'R.M Billets Reports'!B2665,P2665)</f>
      </c>
    </row>
    <row r="2667" spans="1:16" x14ac:dyDescent="0.25">
      <c r="A2667">
        <f>IF(OR('R.M Billets Reports'!A2666="Date-",'R.M Billets Reports'!A2666="Date:-"),IF(IF(IF(ISNUMBER(SEARCH("Party Name:-",'R.M Billets Reports'!D2666)),TRIM('R.M Billets Reports'!F2666),IF(ISNUMBER(SEARCH("Party Name-",'R.M Billets Reports'!D2666)),TRIM(MID('R.M Billets Reports'!D2666,SEARCH("-",'R.M Billets Reports'!D2666)+1,200)),""))&lt;&gt;"",IF(ISNUMBER(SEARCH("Party Name:-",'R.M Billets Reports'!D2666)),TRIM('R.M Billets Reports'!F2666),IF(ISNUMBER(SEARCH("Party Name-",'R.M Billets Reports'!D2666)),TRIM(MID('R.M Billets Reports'!D2666,SEARCH("-",'R.M Billets Reports'!D2666)+1,200)),"")),IF(ISNUMBER(SEARCH("Party Name:-",'R.M Billets Reports'!D2667)),TRIM('R.M Billets Reports'!F2667),IF(ISNUMBER(SEARCH("Party Name-",'R.M Billets Reports'!D2667)),TRIM(MID('R.M Billets Reports'!D2667,SEARCH("-",'R.M Billets Reports'!D2667)+1,200)),"")))="VRKP ISPAT PVT LTD","VRKP",IF(IF(IF(ISNUMBER(SEARCH("Party Name:-",'R.M Billets Reports'!D2666)),TRIM('R.M Billets Reports'!F2666),IF(ISNUMBER(SEARCH("Party Name-",'R.M Billets Reports'!D2666)),TRIM(MID('R.M Billets Reports'!D2666,SEARCH("-",'R.M Billets Reports'!D2666)+1,200)),""))&lt;&gt;"",IF(ISNUMBER(SEARCH("Party Name:-",'R.M Billets Reports'!D2666)),TRIM('R.M Billets Reports'!F2666),IF(ISNUMBER(SEARCH("Party Name-",'R.M Billets Reports'!D2666)),TRIM(MID('R.M Billets Reports'!D2666,SEARCH("-",'R.M Billets Reports'!D2666)+1,200)),"")),IF(ISNUMBER(SEARCH("Party Name:-",'R.M Billets Reports'!D2667)),TRIM('R.M Billets Reports'!F2667),IF(ISNUMBER(SEARCH("Party Name-",'R.M Billets Reports'!D2667)),TRIM(MID('R.M Billets Reports'!D2667,SEARCH("-",'R.M Billets Reports'!D2667)+1,200)),"")))="SHRI RADHE","SHREE RADHE",IF(IF(IF(ISNUMBER(SEARCH("Party Name:-",'R.M Billets Reports'!D2666)),TRIM('R.M Billets Reports'!F2666),IF(ISNUMBER(SEARCH("Party Name-",'R.M Billets Reports'!D2666)),TRIM(MID('R.M Billets Reports'!D2666,SEARCH("-",'R.M Billets Reports'!D2666)+1,200)),""))&lt;&gt;"",IF(ISNUMBER(SEARCH("Party Name:-",'R.M Billets Reports'!D2666)),TRIM('R.M Billets Reports'!F2666),IF(ISNUMBER(SEARCH("Party Name-",'R.M Billets Reports'!D2666)),TRIM(MID('R.M Billets Reports'!D2666,SEARCH("-",'R.M Billets Reports'!D2666)+1,200)),"")),IF(ISNUMBER(SEARCH("Party Name:-",'R.M Billets Reports'!D2667)),TRIM('R.M Billets Reports'!F2667),IF(ISNUMBER(SEARCH("Party Name-",'R.M Billets Reports'!D2667)),TRIM(MID('R.M Billets Reports'!D2667,SEARCH("-",'R.M Billets Reports'!D2667)+1,200)),"")))="SHREE RADHE SHAKTI SPONGE AND POWER PVT. LTD.","SHREE RADHE",IF(IF(ISNUMBER(SEARCH("Party Name:-",'R.M Billets Reports'!D2666)),TRIM('R.M Billets Reports'!F2666),IF(ISNUMBER(SEARCH("Party Name-",'R.M Billets Reports'!D2666)),TRIM(MID('R.M Billets Reports'!D2666,SEARCH("-",'R.M Billets Reports'!D2666)+1,200)),""))&lt;&gt;"",IF(ISNUMBER(SEARCH("Party Name:-",'R.M Billets Reports'!D2666)),TRIM('R.M Billets Reports'!F2666),IF(ISNUMBER(SEARCH("Party Name-",'R.M Billets Reports'!D2666)),TRIM(MID('R.M Billets Reports'!D2666,SEARCH("-",'R.M Billets Reports'!D2666)+1,200)),"")),IF(ISNUMBER(SEARCH("Party Name:-",'R.M Billets Reports'!D2667)),TRIM('R.M Billets Reports'!F2667),IF(ISNUMBER(SEARCH("Party Name-",'R.M Billets Reports'!D2667)),TRIM(MID('R.M Billets Reports'!D2667,SEARCH("-",'R.M Billets Reports'!D2667)+1,200)),"")))))),IF(ROW()=2,"",A2666))</f>
      </c>
      <c r="B2667">
        <f>IF(OR('R.M Billets Reports'!A2666="Date-",'R.M Billets Reports'!A2666="Date:-"),'R.M Billets Reports'!B2666,IF(ROW()=2,"",B2666))</f>
      </c>
      <c r="C2667">
        <f>IF('R.M Billets Reports'!A2666="V.No.",'R.M Billets Reports'!B2666,IF(ROW()=2,"",C2666))</f>
      </c>
      <c r="D2667">
        <f>IF('R.M Billets Reports'!A2666&lt;&gt;"",'R.M Billets Reports'!A2666,IF(ROW()=2,"",D2666))</f>
      </c>
      <c r="E2667">
        <f>IF('R.M Billets Reports'!B2666="","",TRIM('R.M Billets Reports'!B2666))</f>
      </c>
      <c r="F2667">
        <f>'R.M Billets Reports'!C2666</f>
      </c>
      <c r="G2667">
        <f>'R.M Billets Reports'!D2666</f>
      </c>
      <c r="H2667">
        <f>'R.M Billets Reports'!E2666</f>
      </c>
      <c r="I2667">
        <f>'R.M Billets Reports'!F2666</f>
      </c>
      <c r="J2667">
        <f>'R.M Billets Reports'!G2666</f>
      </c>
      <c r="K2667">
        <f>'R.M Billets Reports'!H2666</f>
      </c>
      <c r="L2667">
        <f>IF('R.M Billets Reports'!I2666="","",'R.M Billets Reports'!I2666)</f>
      </c>
      <c r="M2667">
        <f t="shared" si="82"/>
      </c>
      <c r="N2667">
        <f>IF('R.M Billets Reports'!J2666="","",'R.M Billets Reports'!J2666)</f>
      </c>
      <c r="O2667">
        <f t="shared" si="83"/>
      </c>
      <c r="P2667">
        <f>IF('R.M Billets Reports'!A2666="SIZE",'R.M Billets Reports'!B2666,P2666)</f>
      </c>
    </row>
    <row r="2668" spans="1:16" x14ac:dyDescent="0.25">
      <c r="A2668">
        <f>IF(OR('R.M Billets Reports'!A2667="Date-",'R.M Billets Reports'!A2667="Date:-"),IF(IF(IF(ISNUMBER(SEARCH("Party Name:-",'R.M Billets Reports'!D2667)),TRIM('R.M Billets Reports'!F2667),IF(ISNUMBER(SEARCH("Party Name-",'R.M Billets Reports'!D2667)),TRIM(MID('R.M Billets Reports'!D2667,SEARCH("-",'R.M Billets Reports'!D2667)+1,200)),""))&lt;&gt;"",IF(ISNUMBER(SEARCH("Party Name:-",'R.M Billets Reports'!D2667)),TRIM('R.M Billets Reports'!F2667),IF(ISNUMBER(SEARCH("Party Name-",'R.M Billets Reports'!D2667)),TRIM(MID('R.M Billets Reports'!D2667,SEARCH("-",'R.M Billets Reports'!D2667)+1,200)),"")),IF(ISNUMBER(SEARCH("Party Name:-",'R.M Billets Reports'!D2668)),TRIM('R.M Billets Reports'!F2668),IF(ISNUMBER(SEARCH("Party Name-",'R.M Billets Reports'!D2668)),TRIM(MID('R.M Billets Reports'!D2668,SEARCH("-",'R.M Billets Reports'!D2668)+1,200)),"")))="VRKP ISPAT PVT LTD","VRKP",IF(IF(IF(ISNUMBER(SEARCH("Party Name:-",'R.M Billets Reports'!D2667)),TRIM('R.M Billets Reports'!F2667),IF(ISNUMBER(SEARCH("Party Name-",'R.M Billets Reports'!D2667)),TRIM(MID('R.M Billets Reports'!D2667,SEARCH("-",'R.M Billets Reports'!D2667)+1,200)),""))&lt;&gt;"",IF(ISNUMBER(SEARCH("Party Name:-",'R.M Billets Reports'!D2667)),TRIM('R.M Billets Reports'!F2667),IF(ISNUMBER(SEARCH("Party Name-",'R.M Billets Reports'!D2667)),TRIM(MID('R.M Billets Reports'!D2667,SEARCH("-",'R.M Billets Reports'!D2667)+1,200)),"")),IF(ISNUMBER(SEARCH("Party Name:-",'R.M Billets Reports'!D2668)),TRIM('R.M Billets Reports'!F2668),IF(ISNUMBER(SEARCH("Party Name-",'R.M Billets Reports'!D2668)),TRIM(MID('R.M Billets Reports'!D2668,SEARCH("-",'R.M Billets Reports'!D2668)+1,200)),"")))="SHRI RADHE","SHREE RADHE",IF(IF(IF(ISNUMBER(SEARCH("Party Name:-",'R.M Billets Reports'!D2667)),TRIM('R.M Billets Reports'!F2667),IF(ISNUMBER(SEARCH("Party Name-",'R.M Billets Reports'!D2667)),TRIM(MID('R.M Billets Reports'!D2667,SEARCH("-",'R.M Billets Reports'!D2667)+1,200)),""))&lt;&gt;"",IF(ISNUMBER(SEARCH("Party Name:-",'R.M Billets Reports'!D2667)),TRIM('R.M Billets Reports'!F2667),IF(ISNUMBER(SEARCH("Party Name-",'R.M Billets Reports'!D2667)),TRIM(MID('R.M Billets Reports'!D2667,SEARCH("-",'R.M Billets Reports'!D2667)+1,200)),"")),IF(ISNUMBER(SEARCH("Party Name:-",'R.M Billets Reports'!D2668)),TRIM('R.M Billets Reports'!F2668),IF(ISNUMBER(SEARCH("Party Name-",'R.M Billets Reports'!D2668)),TRIM(MID('R.M Billets Reports'!D2668,SEARCH("-",'R.M Billets Reports'!D2668)+1,200)),"")))="SHREE RADHE SHAKTI SPONGE AND POWER PVT. LTD.","SHREE RADHE",IF(IF(ISNUMBER(SEARCH("Party Name:-",'R.M Billets Reports'!D2667)),TRIM('R.M Billets Reports'!F2667),IF(ISNUMBER(SEARCH("Party Name-",'R.M Billets Reports'!D2667)),TRIM(MID('R.M Billets Reports'!D2667,SEARCH("-",'R.M Billets Reports'!D2667)+1,200)),""))&lt;&gt;"",IF(ISNUMBER(SEARCH("Party Name:-",'R.M Billets Reports'!D2667)),TRIM('R.M Billets Reports'!F2667),IF(ISNUMBER(SEARCH("Party Name-",'R.M Billets Reports'!D2667)),TRIM(MID('R.M Billets Reports'!D2667,SEARCH("-",'R.M Billets Reports'!D2667)+1,200)),"")),IF(ISNUMBER(SEARCH("Party Name:-",'R.M Billets Reports'!D2668)),TRIM('R.M Billets Reports'!F2668),IF(ISNUMBER(SEARCH("Party Name-",'R.M Billets Reports'!D2668)),TRIM(MID('R.M Billets Reports'!D2668,SEARCH("-",'R.M Billets Reports'!D2668)+1,200)),"")))))),IF(ROW()=2,"",A2667))</f>
      </c>
      <c r="B2668">
        <f>IF(OR('R.M Billets Reports'!A2667="Date-",'R.M Billets Reports'!A2667="Date:-"),'R.M Billets Reports'!B2667,IF(ROW()=2,"",B2667))</f>
      </c>
      <c r="C2668">
        <f>IF('R.M Billets Reports'!A2667="V.No.",'R.M Billets Reports'!B2667,IF(ROW()=2,"",C2667))</f>
      </c>
      <c r="D2668">
        <f>IF('R.M Billets Reports'!A2667&lt;&gt;"",'R.M Billets Reports'!A2667,IF(ROW()=2,"",D2667))</f>
      </c>
      <c r="E2668">
        <f>IF('R.M Billets Reports'!B2667="","",TRIM('R.M Billets Reports'!B2667))</f>
      </c>
      <c r="F2668">
        <f>'R.M Billets Reports'!C2667</f>
      </c>
      <c r="G2668">
        <f>'R.M Billets Reports'!D2667</f>
      </c>
      <c r="H2668">
        <f>'R.M Billets Reports'!E2667</f>
      </c>
      <c r="I2668">
        <f>'R.M Billets Reports'!F2667</f>
      </c>
      <c r="J2668">
        <f>'R.M Billets Reports'!G2667</f>
      </c>
      <c r="K2668">
        <f>'R.M Billets Reports'!H2667</f>
      </c>
      <c r="L2668">
        <f>IF('R.M Billets Reports'!I2667="","",'R.M Billets Reports'!I2667)</f>
      </c>
      <c r="M2668">
        <f t="shared" si="82"/>
      </c>
      <c r="N2668">
        <f>IF('R.M Billets Reports'!J2667="","",'R.M Billets Reports'!J2667)</f>
      </c>
      <c r="O2668">
        <f t="shared" si="83"/>
      </c>
      <c r="P2668">
        <f>IF('R.M Billets Reports'!A2667="SIZE",'R.M Billets Reports'!B2667,P2667)</f>
      </c>
    </row>
    <row r="2669" spans="1:16" x14ac:dyDescent="0.25">
      <c r="A2669">
        <f>IF(OR('R.M Billets Reports'!A2668="Date-",'R.M Billets Reports'!A2668="Date:-"),IF(IF(IF(ISNUMBER(SEARCH("Party Name:-",'R.M Billets Reports'!D2668)),TRIM('R.M Billets Reports'!F2668),IF(ISNUMBER(SEARCH("Party Name-",'R.M Billets Reports'!D2668)),TRIM(MID('R.M Billets Reports'!D2668,SEARCH("-",'R.M Billets Reports'!D2668)+1,200)),""))&lt;&gt;"",IF(ISNUMBER(SEARCH("Party Name:-",'R.M Billets Reports'!D2668)),TRIM('R.M Billets Reports'!F2668),IF(ISNUMBER(SEARCH("Party Name-",'R.M Billets Reports'!D2668)),TRIM(MID('R.M Billets Reports'!D2668,SEARCH("-",'R.M Billets Reports'!D2668)+1,200)),"")),IF(ISNUMBER(SEARCH("Party Name:-",'R.M Billets Reports'!D2669)),TRIM('R.M Billets Reports'!F2669),IF(ISNUMBER(SEARCH("Party Name-",'R.M Billets Reports'!D2669)),TRIM(MID('R.M Billets Reports'!D2669,SEARCH("-",'R.M Billets Reports'!D2669)+1,200)),"")))="VRKP ISPAT PVT LTD","VRKP",IF(IF(IF(ISNUMBER(SEARCH("Party Name:-",'R.M Billets Reports'!D2668)),TRIM('R.M Billets Reports'!F2668),IF(ISNUMBER(SEARCH("Party Name-",'R.M Billets Reports'!D2668)),TRIM(MID('R.M Billets Reports'!D2668,SEARCH("-",'R.M Billets Reports'!D2668)+1,200)),""))&lt;&gt;"",IF(ISNUMBER(SEARCH("Party Name:-",'R.M Billets Reports'!D2668)),TRIM('R.M Billets Reports'!F2668),IF(ISNUMBER(SEARCH("Party Name-",'R.M Billets Reports'!D2668)),TRIM(MID('R.M Billets Reports'!D2668,SEARCH("-",'R.M Billets Reports'!D2668)+1,200)),"")),IF(ISNUMBER(SEARCH("Party Name:-",'R.M Billets Reports'!D2669)),TRIM('R.M Billets Reports'!F2669),IF(ISNUMBER(SEARCH("Party Name-",'R.M Billets Reports'!D2669)),TRIM(MID('R.M Billets Reports'!D2669,SEARCH("-",'R.M Billets Reports'!D2669)+1,200)),"")))="SHRI RADHE","SHREE RADHE",IF(IF(IF(ISNUMBER(SEARCH("Party Name:-",'R.M Billets Reports'!D2668)),TRIM('R.M Billets Reports'!F2668),IF(ISNUMBER(SEARCH("Party Name-",'R.M Billets Reports'!D2668)),TRIM(MID('R.M Billets Reports'!D2668,SEARCH("-",'R.M Billets Reports'!D2668)+1,200)),""))&lt;&gt;"",IF(ISNUMBER(SEARCH("Party Name:-",'R.M Billets Reports'!D2668)),TRIM('R.M Billets Reports'!F2668),IF(ISNUMBER(SEARCH("Party Name-",'R.M Billets Reports'!D2668)),TRIM(MID('R.M Billets Reports'!D2668,SEARCH("-",'R.M Billets Reports'!D2668)+1,200)),"")),IF(ISNUMBER(SEARCH("Party Name:-",'R.M Billets Reports'!D2669)),TRIM('R.M Billets Reports'!F2669),IF(ISNUMBER(SEARCH("Party Name-",'R.M Billets Reports'!D2669)),TRIM(MID('R.M Billets Reports'!D2669,SEARCH("-",'R.M Billets Reports'!D2669)+1,200)),"")))="SHREE RADHE SHAKTI SPONGE AND POWER PVT. LTD.","SHREE RADHE",IF(IF(ISNUMBER(SEARCH("Party Name:-",'R.M Billets Reports'!D2668)),TRIM('R.M Billets Reports'!F2668),IF(ISNUMBER(SEARCH("Party Name-",'R.M Billets Reports'!D2668)),TRIM(MID('R.M Billets Reports'!D2668,SEARCH("-",'R.M Billets Reports'!D2668)+1,200)),""))&lt;&gt;"",IF(ISNUMBER(SEARCH("Party Name:-",'R.M Billets Reports'!D2668)),TRIM('R.M Billets Reports'!F2668),IF(ISNUMBER(SEARCH("Party Name-",'R.M Billets Reports'!D2668)),TRIM(MID('R.M Billets Reports'!D2668,SEARCH("-",'R.M Billets Reports'!D2668)+1,200)),"")),IF(ISNUMBER(SEARCH("Party Name:-",'R.M Billets Reports'!D2669)),TRIM('R.M Billets Reports'!F2669),IF(ISNUMBER(SEARCH("Party Name-",'R.M Billets Reports'!D2669)),TRIM(MID('R.M Billets Reports'!D2669,SEARCH("-",'R.M Billets Reports'!D2669)+1,200)),"")))))),IF(ROW()=2,"",A2668))</f>
      </c>
      <c r="B2669">
        <f>IF(OR('R.M Billets Reports'!A2668="Date-",'R.M Billets Reports'!A2668="Date:-"),'R.M Billets Reports'!B2668,IF(ROW()=2,"",B2668))</f>
      </c>
      <c r="C2669">
        <f>IF('R.M Billets Reports'!A2668="V.No.",'R.M Billets Reports'!B2668,IF(ROW()=2,"",C2668))</f>
      </c>
      <c r="D2669">
        <f>IF('R.M Billets Reports'!A2668&lt;&gt;"",'R.M Billets Reports'!A2668,IF(ROW()=2,"",D2668))</f>
      </c>
      <c r="E2669">
        <f>IF('R.M Billets Reports'!B2668="","",TRIM('R.M Billets Reports'!B2668))</f>
      </c>
      <c r="F2669">
        <f>'R.M Billets Reports'!C2668</f>
      </c>
      <c r="G2669">
        <f>'R.M Billets Reports'!D2668</f>
      </c>
      <c r="H2669">
        <f>'R.M Billets Reports'!E2668</f>
      </c>
      <c r="I2669">
        <f>'R.M Billets Reports'!F2668</f>
      </c>
      <c r="J2669">
        <f>'R.M Billets Reports'!G2668</f>
      </c>
      <c r="K2669">
        <f>'R.M Billets Reports'!H2668</f>
      </c>
      <c r="L2669">
        <f>IF('R.M Billets Reports'!I2668="","",'R.M Billets Reports'!I2668)</f>
      </c>
      <c r="M2669">
        <f t="shared" si="82"/>
      </c>
      <c r="N2669">
        <f>IF('R.M Billets Reports'!J2668="","",'R.M Billets Reports'!J2668)</f>
      </c>
      <c r="O2669">
        <f t="shared" si="83"/>
      </c>
      <c r="P2669">
        <f>IF('R.M Billets Reports'!A2668="SIZE",'R.M Billets Reports'!B2668,P2668)</f>
      </c>
    </row>
    <row r="2670" spans="1:16" x14ac:dyDescent="0.25">
      <c r="A2670">
        <f>IF(OR('R.M Billets Reports'!A2669="Date-",'R.M Billets Reports'!A2669="Date:-"),IF(IF(IF(ISNUMBER(SEARCH("Party Name:-",'R.M Billets Reports'!D2669)),TRIM('R.M Billets Reports'!F2669),IF(ISNUMBER(SEARCH("Party Name-",'R.M Billets Reports'!D2669)),TRIM(MID('R.M Billets Reports'!D2669,SEARCH("-",'R.M Billets Reports'!D2669)+1,200)),""))&lt;&gt;"",IF(ISNUMBER(SEARCH("Party Name:-",'R.M Billets Reports'!D2669)),TRIM('R.M Billets Reports'!F2669),IF(ISNUMBER(SEARCH("Party Name-",'R.M Billets Reports'!D2669)),TRIM(MID('R.M Billets Reports'!D2669,SEARCH("-",'R.M Billets Reports'!D2669)+1,200)),"")),IF(ISNUMBER(SEARCH("Party Name:-",'R.M Billets Reports'!D2670)),TRIM('R.M Billets Reports'!F2670),IF(ISNUMBER(SEARCH("Party Name-",'R.M Billets Reports'!D2670)),TRIM(MID('R.M Billets Reports'!D2670,SEARCH("-",'R.M Billets Reports'!D2670)+1,200)),"")))="VRKP ISPAT PVT LTD","VRKP",IF(IF(IF(ISNUMBER(SEARCH("Party Name:-",'R.M Billets Reports'!D2669)),TRIM('R.M Billets Reports'!F2669),IF(ISNUMBER(SEARCH("Party Name-",'R.M Billets Reports'!D2669)),TRIM(MID('R.M Billets Reports'!D2669,SEARCH("-",'R.M Billets Reports'!D2669)+1,200)),""))&lt;&gt;"",IF(ISNUMBER(SEARCH("Party Name:-",'R.M Billets Reports'!D2669)),TRIM('R.M Billets Reports'!F2669),IF(ISNUMBER(SEARCH("Party Name-",'R.M Billets Reports'!D2669)),TRIM(MID('R.M Billets Reports'!D2669,SEARCH("-",'R.M Billets Reports'!D2669)+1,200)),"")),IF(ISNUMBER(SEARCH("Party Name:-",'R.M Billets Reports'!D2670)),TRIM('R.M Billets Reports'!F2670),IF(ISNUMBER(SEARCH("Party Name-",'R.M Billets Reports'!D2670)),TRIM(MID('R.M Billets Reports'!D2670,SEARCH("-",'R.M Billets Reports'!D2670)+1,200)),"")))="SHRI RADHE","SHREE RADHE",IF(IF(IF(ISNUMBER(SEARCH("Party Name:-",'R.M Billets Reports'!D2669)),TRIM('R.M Billets Reports'!F2669),IF(ISNUMBER(SEARCH("Party Name-",'R.M Billets Reports'!D2669)),TRIM(MID('R.M Billets Reports'!D2669,SEARCH("-",'R.M Billets Reports'!D2669)+1,200)),""))&lt;&gt;"",IF(ISNUMBER(SEARCH("Party Name:-",'R.M Billets Reports'!D2669)),TRIM('R.M Billets Reports'!F2669),IF(ISNUMBER(SEARCH("Party Name-",'R.M Billets Reports'!D2669)),TRIM(MID('R.M Billets Reports'!D2669,SEARCH("-",'R.M Billets Reports'!D2669)+1,200)),"")),IF(ISNUMBER(SEARCH("Party Name:-",'R.M Billets Reports'!D2670)),TRIM('R.M Billets Reports'!F2670),IF(ISNUMBER(SEARCH("Party Name-",'R.M Billets Reports'!D2670)),TRIM(MID('R.M Billets Reports'!D2670,SEARCH("-",'R.M Billets Reports'!D2670)+1,200)),"")))="SHREE RADHE SHAKTI SPONGE AND POWER PVT. LTD.","SHREE RADHE",IF(IF(ISNUMBER(SEARCH("Party Name:-",'R.M Billets Reports'!D2669)),TRIM('R.M Billets Reports'!F2669),IF(ISNUMBER(SEARCH("Party Name-",'R.M Billets Reports'!D2669)),TRIM(MID('R.M Billets Reports'!D2669,SEARCH("-",'R.M Billets Reports'!D2669)+1,200)),""))&lt;&gt;"",IF(ISNUMBER(SEARCH("Party Name:-",'R.M Billets Reports'!D2669)),TRIM('R.M Billets Reports'!F2669),IF(ISNUMBER(SEARCH("Party Name-",'R.M Billets Reports'!D2669)),TRIM(MID('R.M Billets Reports'!D2669,SEARCH("-",'R.M Billets Reports'!D2669)+1,200)),"")),IF(ISNUMBER(SEARCH("Party Name:-",'R.M Billets Reports'!D2670)),TRIM('R.M Billets Reports'!F2670),IF(ISNUMBER(SEARCH("Party Name-",'R.M Billets Reports'!D2670)),TRIM(MID('R.M Billets Reports'!D2670,SEARCH("-",'R.M Billets Reports'!D2670)+1,200)),"")))))),IF(ROW()=2,"",A2669))</f>
      </c>
      <c r="B2670">
        <f>IF(OR('R.M Billets Reports'!A2669="Date-",'R.M Billets Reports'!A2669="Date:-"),'R.M Billets Reports'!B2669,IF(ROW()=2,"",B2669))</f>
      </c>
      <c r="C2670">
        <f>IF('R.M Billets Reports'!A2669="V.No.",'R.M Billets Reports'!B2669,IF(ROW()=2,"",C2669))</f>
      </c>
      <c r="D2670">
        <f>IF('R.M Billets Reports'!A2669&lt;&gt;"",'R.M Billets Reports'!A2669,IF(ROW()=2,"",D2669))</f>
      </c>
      <c r="E2670">
        <f>IF('R.M Billets Reports'!B2669="","",TRIM('R.M Billets Reports'!B2669))</f>
      </c>
      <c r="F2670">
        <f>'R.M Billets Reports'!C2669</f>
      </c>
      <c r="G2670">
        <f>'R.M Billets Reports'!D2669</f>
      </c>
      <c r="H2670">
        <f>'R.M Billets Reports'!E2669</f>
      </c>
      <c r="I2670">
        <f>'R.M Billets Reports'!F2669</f>
      </c>
      <c r="J2670">
        <f>'R.M Billets Reports'!G2669</f>
      </c>
      <c r="K2670">
        <f>'R.M Billets Reports'!H2669</f>
      </c>
      <c r="L2670">
        <f>IF('R.M Billets Reports'!I2669="","",'R.M Billets Reports'!I2669)</f>
      </c>
      <c r="M2670">
        <f t="shared" si="82"/>
      </c>
      <c r="N2670">
        <f>IF('R.M Billets Reports'!J2669="","",'R.M Billets Reports'!J2669)</f>
      </c>
      <c r="O2670">
        <f t="shared" si="83"/>
      </c>
      <c r="P2670">
        <f>IF('R.M Billets Reports'!A2669="SIZE",'R.M Billets Reports'!B2669,P2669)</f>
      </c>
    </row>
    <row r="2671" spans="1:16" x14ac:dyDescent="0.25">
      <c r="A2671">
        <f>IF(OR('R.M Billets Reports'!A2670="Date-",'R.M Billets Reports'!A2670="Date:-"),IF(IF(IF(ISNUMBER(SEARCH("Party Name:-",'R.M Billets Reports'!D2670)),TRIM('R.M Billets Reports'!F2670),IF(ISNUMBER(SEARCH("Party Name-",'R.M Billets Reports'!D2670)),TRIM(MID('R.M Billets Reports'!D2670,SEARCH("-",'R.M Billets Reports'!D2670)+1,200)),""))&lt;&gt;"",IF(ISNUMBER(SEARCH("Party Name:-",'R.M Billets Reports'!D2670)),TRIM('R.M Billets Reports'!F2670),IF(ISNUMBER(SEARCH("Party Name-",'R.M Billets Reports'!D2670)),TRIM(MID('R.M Billets Reports'!D2670,SEARCH("-",'R.M Billets Reports'!D2670)+1,200)),"")),IF(ISNUMBER(SEARCH("Party Name:-",'R.M Billets Reports'!D2671)),TRIM('R.M Billets Reports'!F2671),IF(ISNUMBER(SEARCH("Party Name-",'R.M Billets Reports'!D2671)),TRIM(MID('R.M Billets Reports'!D2671,SEARCH("-",'R.M Billets Reports'!D2671)+1,200)),"")))="VRKP ISPAT PVT LTD","VRKP",IF(IF(IF(ISNUMBER(SEARCH("Party Name:-",'R.M Billets Reports'!D2670)),TRIM('R.M Billets Reports'!F2670),IF(ISNUMBER(SEARCH("Party Name-",'R.M Billets Reports'!D2670)),TRIM(MID('R.M Billets Reports'!D2670,SEARCH("-",'R.M Billets Reports'!D2670)+1,200)),""))&lt;&gt;"",IF(ISNUMBER(SEARCH("Party Name:-",'R.M Billets Reports'!D2670)),TRIM('R.M Billets Reports'!F2670),IF(ISNUMBER(SEARCH("Party Name-",'R.M Billets Reports'!D2670)),TRIM(MID('R.M Billets Reports'!D2670,SEARCH("-",'R.M Billets Reports'!D2670)+1,200)),"")),IF(ISNUMBER(SEARCH("Party Name:-",'R.M Billets Reports'!D2671)),TRIM('R.M Billets Reports'!F2671),IF(ISNUMBER(SEARCH("Party Name-",'R.M Billets Reports'!D2671)),TRIM(MID('R.M Billets Reports'!D2671,SEARCH("-",'R.M Billets Reports'!D2671)+1,200)),"")))="SHRI RADHE","SHREE RADHE",IF(IF(IF(ISNUMBER(SEARCH("Party Name:-",'R.M Billets Reports'!D2670)),TRIM('R.M Billets Reports'!F2670),IF(ISNUMBER(SEARCH("Party Name-",'R.M Billets Reports'!D2670)),TRIM(MID('R.M Billets Reports'!D2670,SEARCH("-",'R.M Billets Reports'!D2670)+1,200)),""))&lt;&gt;"",IF(ISNUMBER(SEARCH("Party Name:-",'R.M Billets Reports'!D2670)),TRIM('R.M Billets Reports'!F2670),IF(ISNUMBER(SEARCH("Party Name-",'R.M Billets Reports'!D2670)),TRIM(MID('R.M Billets Reports'!D2670,SEARCH("-",'R.M Billets Reports'!D2670)+1,200)),"")),IF(ISNUMBER(SEARCH("Party Name:-",'R.M Billets Reports'!D2671)),TRIM('R.M Billets Reports'!F2671),IF(ISNUMBER(SEARCH("Party Name-",'R.M Billets Reports'!D2671)),TRIM(MID('R.M Billets Reports'!D2671,SEARCH("-",'R.M Billets Reports'!D2671)+1,200)),"")))="SHREE RADHE SHAKTI SPONGE AND POWER PVT. LTD.","SHREE RADHE",IF(IF(ISNUMBER(SEARCH("Party Name:-",'R.M Billets Reports'!D2670)),TRIM('R.M Billets Reports'!F2670),IF(ISNUMBER(SEARCH("Party Name-",'R.M Billets Reports'!D2670)),TRIM(MID('R.M Billets Reports'!D2670,SEARCH("-",'R.M Billets Reports'!D2670)+1,200)),""))&lt;&gt;"",IF(ISNUMBER(SEARCH("Party Name:-",'R.M Billets Reports'!D2670)),TRIM('R.M Billets Reports'!F2670),IF(ISNUMBER(SEARCH("Party Name-",'R.M Billets Reports'!D2670)),TRIM(MID('R.M Billets Reports'!D2670,SEARCH("-",'R.M Billets Reports'!D2670)+1,200)),"")),IF(ISNUMBER(SEARCH("Party Name:-",'R.M Billets Reports'!D2671)),TRIM('R.M Billets Reports'!F2671),IF(ISNUMBER(SEARCH("Party Name-",'R.M Billets Reports'!D2671)),TRIM(MID('R.M Billets Reports'!D2671,SEARCH("-",'R.M Billets Reports'!D2671)+1,200)),"")))))),IF(ROW()=2,"",A2670))</f>
      </c>
      <c r="B2671">
        <f>IF(OR('R.M Billets Reports'!A2670="Date-",'R.M Billets Reports'!A2670="Date:-"),'R.M Billets Reports'!B2670,IF(ROW()=2,"",B2670))</f>
      </c>
      <c r="C2671">
        <f>IF('R.M Billets Reports'!A2670="V.No.",'R.M Billets Reports'!B2670,IF(ROW()=2,"",C2670))</f>
      </c>
      <c r="D2671">
        <f>IF('R.M Billets Reports'!A2670&lt;&gt;"",'R.M Billets Reports'!A2670,IF(ROW()=2,"",D2670))</f>
      </c>
      <c r="E2671">
        <f>IF('R.M Billets Reports'!B2670="","",TRIM('R.M Billets Reports'!B2670))</f>
      </c>
      <c r="F2671">
        <f>'R.M Billets Reports'!C2670</f>
      </c>
      <c r="G2671">
        <f>'R.M Billets Reports'!D2670</f>
      </c>
      <c r="H2671">
        <f>'R.M Billets Reports'!E2670</f>
      </c>
      <c r="I2671">
        <f>'R.M Billets Reports'!F2670</f>
      </c>
      <c r="J2671">
        <f>'R.M Billets Reports'!G2670</f>
      </c>
      <c r="K2671">
        <f>'R.M Billets Reports'!H2670</f>
      </c>
      <c r="L2671">
        <f>IF('R.M Billets Reports'!I2670="","",'R.M Billets Reports'!I2670)</f>
      </c>
      <c r="M2671">
        <f t="shared" si="82"/>
      </c>
      <c r="N2671">
        <f>IF('R.M Billets Reports'!J2670="","",'R.M Billets Reports'!J2670)</f>
      </c>
      <c r="O2671">
        <f t="shared" si="83"/>
      </c>
      <c r="P2671">
        <f>IF('R.M Billets Reports'!A2670="SIZE",'R.M Billets Reports'!B2670,P2670)</f>
      </c>
    </row>
    <row r="2672" spans="1:16" x14ac:dyDescent="0.25">
      <c r="A2672">
        <f>IF(OR('R.M Billets Reports'!A2671="Date-",'R.M Billets Reports'!A2671="Date:-"),IF(IF(IF(ISNUMBER(SEARCH("Party Name:-",'R.M Billets Reports'!D2671)),TRIM('R.M Billets Reports'!F2671),IF(ISNUMBER(SEARCH("Party Name-",'R.M Billets Reports'!D2671)),TRIM(MID('R.M Billets Reports'!D2671,SEARCH("-",'R.M Billets Reports'!D2671)+1,200)),""))&lt;&gt;"",IF(ISNUMBER(SEARCH("Party Name:-",'R.M Billets Reports'!D2671)),TRIM('R.M Billets Reports'!F2671),IF(ISNUMBER(SEARCH("Party Name-",'R.M Billets Reports'!D2671)),TRIM(MID('R.M Billets Reports'!D2671,SEARCH("-",'R.M Billets Reports'!D2671)+1,200)),"")),IF(ISNUMBER(SEARCH("Party Name:-",'R.M Billets Reports'!D2672)),TRIM('R.M Billets Reports'!F2672),IF(ISNUMBER(SEARCH("Party Name-",'R.M Billets Reports'!D2672)),TRIM(MID('R.M Billets Reports'!D2672,SEARCH("-",'R.M Billets Reports'!D2672)+1,200)),"")))="VRKP ISPAT PVT LTD","VRKP",IF(IF(IF(ISNUMBER(SEARCH("Party Name:-",'R.M Billets Reports'!D2671)),TRIM('R.M Billets Reports'!F2671),IF(ISNUMBER(SEARCH("Party Name-",'R.M Billets Reports'!D2671)),TRIM(MID('R.M Billets Reports'!D2671,SEARCH("-",'R.M Billets Reports'!D2671)+1,200)),""))&lt;&gt;"",IF(ISNUMBER(SEARCH("Party Name:-",'R.M Billets Reports'!D2671)),TRIM('R.M Billets Reports'!F2671),IF(ISNUMBER(SEARCH("Party Name-",'R.M Billets Reports'!D2671)),TRIM(MID('R.M Billets Reports'!D2671,SEARCH("-",'R.M Billets Reports'!D2671)+1,200)),"")),IF(ISNUMBER(SEARCH("Party Name:-",'R.M Billets Reports'!D2672)),TRIM('R.M Billets Reports'!F2672),IF(ISNUMBER(SEARCH("Party Name-",'R.M Billets Reports'!D2672)),TRIM(MID('R.M Billets Reports'!D2672,SEARCH("-",'R.M Billets Reports'!D2672)+1,200)),"")))="SHRI RADHE","SHREE RADHE",IF(IF(IF(ISNUMBER(SEARCH("Party Name:-",'R.M Billets Reports'!D2671)),TRIM('R.M Billets Reports'!F2671),IF(ISNUMBER(SEARCH("Party Name-",'R.M Billets Reports'!D2671)),TRIM(MID('R.M Billets Reports'!D2671,SEARCH("-",'R.M Billets Reports'!D2671)+1,200)),""))&lt;&gt;"",IF(ISNUMBER(SEARCH("Party Name:-",'R.M Billets Reports'!D2671)),TRIM('R.M Billets Reports'!F2671),IF(ISNUMBER(SEARCH("Party Name-",'R.M Billets Reports'!D2671)),TRIM(MID('R.M Billets Reports'!D2671,SEARCH("-",'R.M Billets Reports'!D2671)+1,200)),"")),IF(ISNUMBER(SEARCH("Party Name:-",'R.M Billets Reports'!D2672)),TRIM('R.M Billets Reports'!F2672),IF(ISNUMBER(SEARCH("Party Name-",'R.M Billets Reports'!D2672)),TRIM(MID('R.M Billets Reports'!D2672,SEARCH("-",'R.M Billets Reports'!D2672)+1,200)),"")))="SHREE RADHE SHAKTI SPONGE AND POWER PVT. LTD.","SHREE RADHE",IF(IF(ISNUMBER(SEARCH("Party Name:-",'R.M Billets Reports'!D2671)),TRIM('R.M Billets Reports'!F2671),IF(ISNUMBER(SEARCH("Party Name-",'R.M Billets Reports'!D2671)),TRIM(MID('R.M Billets Reports'!D2671,SEARCH("-",'R.M Billets Reports'!D2671)+1,200)),""))&lt;&gt;"",IF(ISNUMBER(SEARCH("Party Name:-",'R.M Billets Reports'!D2671)),TRIM('R.M Billets Reports'!F2671),IF(ISNUMBER(SEARCH("Party Name-",'R.M Billets Reports'!D2671)),TRIM(MID('R.M Billets Reports'!D2671,SEARCH("-",'R.M Billets Reports'!D2671)+1,200)),"")),IF(ISNUMBER(SEARCH("Party Name:-",'R.M Billets Reports'!D2672)),TRIM('R.M Billets Reports'!F2672),IF(ISNUMBER(SEARCH("Party Name-",'R.M Billets Reports'!D2672)),TRIM(MID('R.M Billets Reports'!D2672,SEARCH("-",'R.M Billets Reports'!D2672)+1,200)),"")))))),IF(ROW()=2,"",A2671))</f>
      </c>
      <c r="B2672">
        <f>IF(OR('R.M Billets Reports'!A2671="Date-",'R.M Billets Reports'!A2671="Date:-"),'R.M Billets Reports'!B2671,IF(ROW()=2,"",B2671))</f>
      </c>
      <c r="C2672">
        <f>IF('R.M Billets Reports'!A2671="V.No.",'R.M Billets Reports'!B2671,IF(ROW()=2,"",C2671))</f>
      </c>
      <c r="D2672">
        <f>IF('R.M Billets Reports'!A2671&lt;&gt;"",'R.M Billets Reports'!A2671,IF(ROW()=2,"",D2671))</f>
      </c>
      <c r="E2672">
        <f>IF('R.M Billets Reports'!B2671="","",TRIM('R.M Billets Reports'!B2671))</f>
      </c>
      <c r="F2672">
        <f>'R.M Billets Reports'!C2671</f>
      </c>
      <c r="G2672">
        <f>'R.M Billets Reports'!D2671</f>
      </c>
      <c r="H2672">
        <f>'R.M Billets Reports'!E2671</f>
      </c>
      <c r="I2672">
        <f>'R.M Billets Reports'!F2671</f>
      </c>
      <c r="J2672">
        <f>'R.M Billets Reports'!G2671</f>
      </c>
      <c r="K2672">
        <f>'R.M Billets Reports'!H2671</f>
      </c>
      <c r="L2672">
        <f>IF('R.M Billets Reports'!I2671="","",'R.M Billets Reports'!I2671)</f>
      </c>
      <c r="M2672">
        <f t="shared" si="82"/>
      </c>
      <c r="N2672">
        <f>IF('R.M Billets Reports'!J2671="","",'R.M Billets Reports'!J2671)</f>
      </c>
      <c r="O2672">
        <f t="shared" si="83"/>
      </c>
      <c r="P2672">
        <f>IF('R.M Billets Reports'!A2671="SIZE",'R.M Billets Reports'!B2671,P2671)</f>
      </c>
    </row>
    <row r="2673" spans="1:16" x14ac:dyDescent="0.25">
      <c r="A2673">
        <f>IF(OR('R.M Billets Reports'!A2672="Date-",'R.M Billets Reports'!A2672="Date:-"),IF(IF(IF(ISNUMBER(SEARCH("Party Name:-",'R.M Billets Reports'!D2672)),TRIM('R.M Billets Reports'!F2672),IF(ISNUMBER(SEARCH("Party Name-",'R.M Billets Reports'!D2672)),TRIM(MID('R.M Billets Reports'!D2672,SEARCH("-",'R.M Billets Reports'!D2672)+1,200)),""))&lt;&gt;"",IF(ISNUMBER(SEARCH("Party Name:-",'R.M Billets Reports'!D2672)),TRIM('R.M Billets Reports'!F2672),IF(ISNUMBER(SEARCH("Party Name-",'R.M Billets Reports'!D2672)),TRIM(MID('R.M Billets Reports'!D2672,SEARCH("-",'R.M Billets Reports'!D2672)+1,200)),"")),IF(ISNUMBER(SEARCH("Party Name:-",'R.M Billets Reports'!D2673)),TRIM('R.M Billets Reports'!F2673),IF(ISNUMBER(SEARCH("Party Name-",'R.M Billets Reports'!D2673)),TRIM(MID('R.M Billets Reports'!D2673,SEARCH("-",'R.M Billets Reports'!D2673)+1,200)),"")))="VRKP ISPAT PVT LTD","VRKP",IF(IF(IF(ISNUMBER(SEARCH("Party Name:-",'R.M Billets Reports'!D2672)),TRIM('R.M Billets Reports'!F2672),IF(ISNUMBER(SEARCH("Party Name-",'R.M Billets Reports'!D2672)),TRIM(MID('R.M Billets Reports'!D2672,SEARCH("-",'R.M Billets Reports'!D2672)+1,200)),""))&lt;&gt;"",IF(ISNUMBER(SEARCH("Party Name:-",'R.M Billets Reports'!D2672)),TRIM('R.M Billets Reports'!F2672),IF(ISNUMBER(SEARCH("Party Name-",'R.M Billets Reports'!D2672)),TRIM(MID('R.M Billets Reports'!D2672,SEARCH("-",'R.M Billets Reports'!D2672)+1,200)),"")),IF(ISNUMBER(SEARCH("Party Name:-",'R.M Billets Reports'!D2673)),TRIM('R.M Billets Reports'!F2673),IF(ISNUMBER(SEARCH("Party Name-",'R.M Billets Reports'!D2673)),TRIM(MID('R.M Billets Reports'!D2673,SEARCH("-",'R.M Billets Reports'!D2673)+1,200)),"")))="SHRI RADHE","SHREE RADHE",IF(IF(IF(ISNUMBER(SEARCH("Party Name:-",'R.M Billets Reports'!D2672)),TRIM('R.M Billets Reports'!F2672),IF(ISNUMBER(SEARCH("Party Name-",'R.M Billets Reports'!D2672)),TRIM(MID('R.M Billets Reports'!D2672,SEARCH("-",'R.M Billets Reports'!D2672)+1,200)),""))&lt;&gt;"",IF(ISNUMBER(SEARCH("Party Name:-",'R.M Billets Reports'!D2672)),TRIM('R.M Billets Reports'!F2672),IF(ISNUMBER(SEARCH("Party Name-",'R.M Billets Reports'!D2672)),TRIM(MID('R.M Billets Reports'!D2672,SEARCH("-",'R.M Billets Reports'!D2672)+1,200)),"")),IF(ISNUMBER(SEARCH("Party Name:-",'R.M Billets Reports'!D2673)),TRIM('R.M Billets Reports'!F2673),IF(ISNUMBER(SEARCH("Party Name-",'R.M Billets Reports'!D2673)),TRIM(MID('R.M Billets Reports'!D2673,SEARCH("-",'R.M Billets Reports'!D2673)+1,200)),"")))="SHREE RADHE SHAKTI SPONGE AND POWER PVT. LTD.","SHREE RADHE",IF(IF(ISNUMBER(SEARCH("Party Name:-",'R.M Billets Reports'!D2672)),TRIM('R.M Billets Reports'!F2672),IF(ISNUMBER(SEARCH("Party Name-",'R.M Billets Reports'!D2672)),TRIM(MID('R.M Billets Reports'!D2672,SEARCH("-",'R.M Billets Reports'!D2672)+1,200)),""))&lt;&gt;"",IF(ISNUMBER(SEARCH("Party Name:-",'R.M Billets Reports'!D2672)),TRIM('R.M Billets Reports'!F2672),IF(ISNUMBER(SEARCH("Party Name-",'R.M Billets Reports'!D2672)),TRIM(MID('R.M Billets Reports'!D2672,SEARCH("-",'R.M Billets Reports'!D2672)+1,200)),"")),IF(ISNUMBER(SEARCH("Party Name:-",'R.M Billets Reports'!D2673)),TRIM('R.M Billets Reports'!F2673),IF(ISNUMBER(SEARCH("Party Name-",'R.M Billets Reports'!D2673)),TRIM(MID('R.M Billets Reports'!D2673,SEARCH("-",'R.M Billets Reports'!D2673)+1,200)),"")))))),IF(ROW()=2,"",A2672))</f>
      </c>
      <c r="B2673">
        <f>IF(OR('R.M Billets Reports'!A2672="Date-",'R.M Billets Reports'!A2672="Date:-"),'R.M Billets Reports'!B2672,IF(ROW()=2,"",B2672))</f>
      </c>
      <c r="C2673">
        <f>IF('R.M Billets Reports'!A2672="V.No.",'R.M Billets Reports'!B2672,IF(ROW()=2,"",C2672))</f>
      </c>
      <c r="D2673">
        <f>IF('R.M Billets Reports'!A2672&lt;&gt;"",'R.M Billets Reports'!A2672,IF(ROW()=2,"",D2672))</f>
      </c>
      <c r="E2673">
        <f>IF('R.M Billets Reports'!B2672="","",TRIM('R.M Billets Reports'!B2672))</f>
      </c>
      <c r="F2673">
        <f>'R.M Billets Reports'!C2672</f>
      </c>
      <c r="G2673">
        <f>'R.M Billets Reports'!D2672</f>
      </c>
      <c r="H2673">
        <f>'R.M Billets Reports'!E2672</f>
      </c>
      <c r="I2673">
        <f>'R.M Billets Reports'!F2672</f>
      </c>
      <c r="J2673">
        <f>'R.M Billets Reports'!G2672</f>
      </c>
      <c r="K2673">
        <f>'R.M Billets Reports'!H2672</f>
      </c>
      <c r="L2673">
        <f>IF('R.M Billets Reports'!I2672="","",'R.M Billets Reports'!I2672)</f>
      </c>
      <c r="M2673">
        <f t="shared" si="82"/>
      </c>
      <c r="N2673">
        <f>IF('R.M Billets Reports'!J2672="","",'R.M Billets Reports'!J2672)</f>
      </c>
      <c r="O2673">
        <f t="shared" si="83"/>
      </c>
      <c r="P2673">
        <f>IF('R.M Billets Reports'!A2672="SIZE",'R.M Billets Reports'!B2672,P2672)</f>
      </c>
    </row>
    <row r="2674" spans="1:16" x14ac:dyDescent="0.25">
      <c r="A2674">
        <f>IF(OR('R.M Billets Reports'!A2673="Date-",'R.M Billets Reports'!A2673="Date:-"),IF(IF(IF(ISNUMBER(SEARCH("Party Name:-",'R.M Billets Reports'!D2673)),TRIM('R.M Billets Reports'!F2673),IF(ISNUMBER(SEARCH("Party Name-",'R.M Billets Reports'!D2673)),TRIM(MID('R.M Billets Reports'!D2673,SEARCH("-",'R.M Billets Reports'!D2673)+1,200)),""))&lt;&gt;"",IF(ISNUMBER(SEARCH("Party Name:-",'R.M Billets Reports'!D2673)),TRIM('R.M Billets Reports'!F2673),IF(ISNUMBER(SEARCH("Party Name-",'R.M Billets Reports'!D2673)),TRIM(MID('R.M Billets Reports'!D2673,SEARCH("-",'R.M Billets Reports'!D2673)+1,200)),"")),IF(ISNUMBER(SEARCH("Party Name:-",'R.M Billets Reports'!D2674)),TRIM('R.M Billets Reports'!F2674),IF(ISNUMBER(SEARCH("Party Name-",'R.M Billets Reports'!D2674)),TRIM(MID('R.M Billets Reports'!D2674,SEARCH("-",'R.M Billets Reports'!D2674)+1,200)),"")))="VRKP ISPAT PVT LTD","VRKP",IF(IF(IF(ISNUMBER(SEARCH("Party Name:-",'R.M Billets Reports'!D2673)),TRIM('R.M Billets Reports'!F2673),IF(ISNUMBER(SEARCH("Party Name-",'R.M Billets Reports'!D2673)),TRIM(MID('R.M Billets Reports'!D2673,SEARCH("-",'R.M Billets Reports'!D2673)+1,200)),""))&lt;&gt;"",IF(ISNUMBER(SEARCH("Party Name:-",'R.M Billets Reports'!D2673)),TRIM('R.M Billets Reports'!F2673),IF(ISNUMBER(SEARCH("Party Name-",'R.M Billets Reports'!D2673)),TRIM(MID('R.M Billets Reports'!D2673,SEARCH("-",'R.M Billets Reports'!D2673)+1,200)),"")),IF(ISNUMBER(SEARCH("Party Name:-",'R.M Billets Reports'!D2674)),TRIM('R.M Billets Reports'!F2674),IF(ISNUMBER(SEARCH("Party Name-",'R.M Billets Reports'!D2674)),TRIM(MID('R.M Billets Reports'!D2674,SEARCH("-",'R.M Billets Reports'!D2674)+1,200)),"")))="SHRI RADHE","SHREE RADHE",IF(IF(IF(ISNUMBER(SEARCH("Party Name:-",'R.M Billets Reports'!D2673)),TRIM('R.M Billets Reports'!F2673),IF(ISNUMBER(SEARCH("Party Name-",'R.M Billets Reports'!D2673)),TRIM(MID('R.M Billets Reports'!D2673,SEARCH("-",'R.M Billets Reports'!D2673)+1,200)),""))&lt;&gt;"",IF(ISNUMBER(SEARCH("Party Name:-",'R.M Billets Reports'!D2673)),TRIM('R.M Billets Reports'!F2673),IF(ISNUMBER(SEARCH("Party Name-",'R.M Billets Reports'!D2673)),TRIM(MID('R.M Billets Reports'!D2673,SEARCH("-",'R.M Billets Reports'!D2673)+1,200)),"")),IF(ISNUMBER(SEARCH("Party Name:-",'R.M Billets Reports'!D2674)),TRIM('R.M Billets Reports'!F2674),IF(ISNUMBER(SEARCH("Party Name-",'R.M Billets Reports'!D2674)),TRIM(MID('R.M Billets Reports'!D2674,SEARCH("-",'R.M Billets Reports'!D2674)+1,200)),"")))="SHREE RADHE SHAKTI SPONGE AND POWER PVT. LTD.","SHREE RADHE",IF(IF(ISNUMBER(SEARCH("Party Name:-",'R.M Billets Reports'!D2673)),TRIM('R.M Billets Reports'!F2673),IF(ISNUMBER(SEARCH("Party Name-",'R.M Billets Reports'!D2673)),TRIM(MID('R.M Billets Reports'!D2673,SEARCH("-",'R.M Billets Reports'!D2673)+1,200)),""))&lt;&gt;"",IF(ISNUMBER(SEARCH("Party Name:-",'R.M Billets Reports'!D2673)),TRIM('R.M Billets Reports'!F2673),IF(ISNUMBER(SEARCH("Party Name-",'R.M Billets Reports'!D2673)),TRIM(MID('R.M Billets Reports'!D2673,SEARCH("-",'R.M Billets Reports'!D2673)+1,200)),"")),IF(ISNUMBER(SEARCH("Party Name:-",'R.M Billets Reports'!D2674)),TRIM('R.M Billets Reports'!F2674),IF(ISNUMBER(SEARCH("Party Name-",'R.M Billets Reports'!D2674)),TRIM(MID('R.M Billets Reports'!D2674,SEARCH("-",'R.M Billets Reports'!D2674)+1,200)),"")))))),IF(ROW()=2,"",A2673))</f>
      </c>
      <c r="B2674">
        <f>IF(OR('R.M Billets Reports'!A2673="Date-",'R.M Billets Reports'!A2673="Date:-"),'R.M Billets Reports'!B2673,IF(ROW()=2,"",B2673))</f>
      </c>
      <c r="C2674">
        <f>IF('R.M Billets Reports'!A2673="V.No.",'R.M Billets Reports'!B2673,IF(ROW()=2,"",C2673))</f>
      </c>
      <c r="D2674">
        <f>IF('R.M Billets Reports'!A2673&lt;&gt;"",'R.M Billets Reports'!A2673,IF(ROW()=2,"",D2673))</f>
      </c>
      <c r="E2674">
        <f>IF('R.M Billets Reports'!B2673="","",TRIM('R.M Billets Reports'!B2673))</f>
      </c>
      <c r="F2674">
        <f>'R.M Billets Reports'!C2673</f>
      </c>
      <c r="G2674">
        <f>'R.M Billets Reports'!D2673</f>
      </c>
      <c r="H2674">
        <f>'R.M Billets Reports'!E2673</f>
      </c>
      <c r="I2674">
        <f>'R.M Billets Reports'!F2673</f>
      </c>
      <c r="J2674">
        <f>'R.M Billets Reports'!G2673</f>
      </c>
      <c r="K2674">
        <f>'R.M Billets Reports'!H2673</f>
      </c>
      <c r="L2674">
        <f>IF('R.M Billets Reports'!I2673="","",'R.M Billets Reports'!I2673)</f>
      </c>
      <c r="M2674">
        <f t="shared" si="82"/>
      </c>
      <c r="N2674">
        <f>IF('R.M Billets Reports'!J2673="","",'R.M Billets Reports'!J2673)</f>
      </c>
      <c r="O2674">
        <f t="shared" si="83"/>
      </c>
      <c r="P2674">
        <f>IF('R.M Billets Reports'!A2673="SIZE",'R.M Billets Reports'!B2673,P2673)</f>
      </c>
    </row>
    <row r="2675" spans="1:16" x14ac:dyDescent="0.25">
      <c r="A2675">
        <f>IF(OR('R.M Billets Reports'!A2674="Date-",'R.M Billets Reports'!A2674="Date:-"),IF(IF(IF(ISNUMBER(SEARCH("Party Name:-",'R.M Billets Reports'!D2674)),TRIM('R.M Billets Reports'!F2674),IF(ISNUMBER(SEARCH("Party Name-",'R.M Billets Reports'!D2674)),TRIM(MID('R.M Billets Reports'!D2674,SEARCH("-",'R.M Billets Reports'!D2674)+1,200)),""))&lt;&gt;"",IF(ISNUMBER(SEARCH("Party Name:-",'R.M Billets Reports'!D2674)),TRIM('R.M Billets Reports'!F2674),IF(ISNUMBER(SEARCH("Party Name-",'R.M Billets Reports'!D2674)),TRIM(MID('R.M Billets Reports'!D2674,SEARCH("-",'R.M Billets Reports'!D2674)+1,200)),"")),IF(ISNUMBER(SEARCH("Party Name:-",'R.M Billets Reports'!D2675)),TRIM('R.M Billets Reports'!F2675),IF(ISNUMBER(SEARCH("Party Name-",'R.M Billets Reports'!D2675)),TRIM(MID('R.M Billets Reports'!D2675,SEARCH("-",'R.M Billets Reports'!D2675)+1,200)),"")))="VRKP ISPAT PVT LTD","VRKP",IF(IF(IF(ISNUMBER(SEARCH("Party Name:-",'R.M Billets Reports'!D2674)),TRIM('R.M Billets Reports'!F2674),IF(ISNUMBER(SEARCH("Party Name-",'R.M Billets Reports'!D2674)),TRIM(MID('R.M Billets Reports'!D2674,SEARCH("-",'R.M Billets Reports'!D2674)+1,200)),""))&lt;&gt;"",IF(ISNUMBER(SEARCH("Party Name:-",'R.M Billets Reports'!D2674)),TRIM('R.M Billets Reports'!F2674),IF(ISNUMBER(SEARCH("Party Name-",'R.M Billets Reports'!D2674)),TRIM(MID('R.M Billets Reports'!D2674,SEARCH("-",'R.M Billets Reports'!D2674)+1,200)),"")),IF(ISNUMBER(SEARCH("Party Name:-",'R.M Billets Reports'!D2675)),TRIM('R.M Billets Reports'!F2675),IF(ISNUMBER(SEARCH("Party Name-",'R.M Billets Reports'!D2675)),TRIM(MID('R.M Billets Reports'!D2675,SEARCH("-",'R.M Billets Reports'!D2675)+1,200)),"")))="SHRI RADHE","SHREE RADHE",IF(IF(IF(ISNUMBER(SEARCH("Party Name:-",'R.M Billets Reports'!D2674)),TRIM('R.M Billets Reports'!F2674),IF(ISNUMBER(SEARCH("Party Name-",'R.M Billets Reports'!D2674)),TRIM(MID('R.M Billets Reports'!D2674,SEARCH("-",'R.M Billets Reports'!D2674)+1,200)),""))&lt;&gt;"",IF(ISNUMBER(SEARCH("Party Name:-",'R.M Billets Reports'!D2674)),TRIM('R.M Billets Reports'!F2674),IF(ISNUMBER(SEARCH("Party Name-",'R.M Billets Reports'!D2674)),TRIM(MID('R.M Billets Reports'!D2674,SEARCH("-",'R.M Billets Reports'!D2674)+1,200)),"")),IF(ISNUMBER(SEARCH("Party Name:-",'R.M Billets Reports'!D2675)),TRIM('R.M Billets Reports'!F2675),IF(ISNUMBER(SEARCH("Party Name-",'R.M Billets Reports'!D2675)),TRIM(MID('R.M Billets Reports'!D2675,SEARCH("-",'R.M Billets Reports'!D2675)+1,200)),"")))="SHREE RADHE SHAKTI SPONGE AND POWER PVT. LTD.","SHREE RADHE",IF(IF(ISNUMBER(SEARCH("Party Name:-",'R.M Billets Reports'!D2674)),TRIM('R.M Billets Reports'!F2674),IF(ISNUMBER(SEARCH("Party Name-",'R.M Billets Reports'!D2674)),TRIM(MID('R.M Billets Reports'!D2674,SEARCH("-",'R.M Billets Reports'!D2674)+1,200)),""))&lt;&gt;"",IF(ISNUMBER(SEARCH("Party Name:-",'R.M Billets Reports'!D2674)),TRIM('R.M Billets Reports'!F2674),IF(ISNUMBER(SEARCH("Party Name-",'R.M Billets Reports'!D2674)),TRIM(MID('R.M Billets Reports'!D2674,SEARCH("-",'R.M Billets Reports'!D2674)+1,200)),"")),IF(ISNUMBER(SEARCH("Party Name:-",'R.M Billets Reports'!D2675)),TRIM('R.M Billets Reports'!F2675),IF(ISNUMBER(SEARCH("Party Name-",'R.M Billets Reports'!D2675)),TRIM(MID('R.M Billets Reports'!D2675,SEARCH("-",'R.M Billets Reports'!D2675)+1,200)),"")))))),IF(ROW()=2,"",A2674))</f>
      </c>
      <c r="B2675">
        <f>IF(OR('R.M Billets Reports'!A2674="Date-",'R.M Billets Reports'!A2674="Date:-"),'R.M Billets Reports'!B2674,IF(ROW()=2,"",B2674))</f>
      </c>
      <c r="C2675">
        <f>IF('R.M Billets Reports'!A2674="V.No.",'R.M Billets Reports'!B2674,IF(ROW()=2,"",C2674))</f>
      </c>
      <c r="D2675">
        <f>IF('R.M Billets Reports'!A2674&lt;&gt;"",'R.M Billets Reports'!A2674,IF(ROW()=2,"",D2674))</f>
      </c>
      <c r="E2675">
        <f>IF('R.M Billets Reports'!B2674="","",TRIM('R.M Billets Reports'!B2674))</f>
      </c>
      <c r="F2675">
        <f>'R.M Billets Reports'!C2674</f>
      </c>
      <c r="G2675">
        <f>'R.M Billets Reports'!D2674</f>
      </c>
      <c r="H2675">
        <f>'R.M Billets Reports'!E2674</f>
      </c>
      <c r="I2675">
        <f>'R.M Billets Reports'!F2674</f>
      </c>
      <c r="J2675">
        <f>'R.M Billets Reports'!G2674</f>
      </c>
      <c r="K2675">
        <f>'R.M Billets Reports'!H2674</f>
      </c>
      <c r="L2675">
        <f>IF('R.M Billets Reports'!I2674="","",'R.M Billets Reports'!I2674)</f>
      </c>
      <c r="M2675">
        <f t="shared" si="82"/>
      </c>
      <c r="N2675">
        <f>IF('R.M Billets Reports'!J2674="","",'R.M Billets Reports'!J2674)</f>
      </c>
      <c r="O2675">
        <f t="shared" si="83"/>
      </c>
      <c r="P2675">
        <f>IF('R.M Billets Reports'!A2674="SIZE",'R.M Billets Reports'!B2674,P2674)</f>
      </c>
    </row>
    <row r="2676" spans="1:16" x14ac:dyDescent="0.25">
      <c r="A2676">
        <f>IF(OR('R.M Billets Reports'!A2675="Date-",'R.M Billets Reports'!A2675="Date:-"),IF(IF(IF(ISNUMBER(SEARCH("Party Name:-",'R.M Billets Reports'!D2675)),TRIM('R.M Billets Reports'!F2675),IF(ISNUMBER(SEARCH("Party Name-",'R.M Billets Reports'!D2675)),TRIM(MID('R.M Billets Reports'!D2675,SEARCH("-",'R.M Billets Reports'!D2675)+1,200)),""))&lt;&gt;"",IF(ISNUMBER(SEARCH("Party Name:-",'R.M Billets Reports'!D2675)),TRIM('R.M Billets Reports'!F2675),IF(ISNUMBER(SEARCH("Party Name-",'R.M Billets Reports'!D2675)),TRIM(MID('R.M Billets Reports'!D2675,SEARCH("-",'R.M Billets Reports'!D2675)+1,200)),"")),IF(ISNUMBER(SEARCH("Party Name:-",'R.M Billets Reports'!D2676)),TRIM('R.M Billets Reports'!F2676),IF(ISNUMBER(SEARCH("Party Name-",'R.M Billets Reports'!D2676)),TRIM(MID('R.M Billets Reports'!D2676,SEARCH("-",'R.M Billets Reports'!D2676)+1,200)),"")))="VRKP ISPAT PVT LTD","VRKP",IF(IF(IF(ISNUMBER(SEARCH("Party Name:-",'R.M Billets Reports'!D2675)),TRIM('R.M Billets Reports'!F2675),IF(ISNUMBER(SEARCH("Party Name-",'R.M Billets Reports'!D2675)),TRIM(MID('R.M Billets Reports'!D2675,SEARCH("-",'R.M Billets Reports'!D2675)+1,200)),""))&lt;&gt;"",IF(ISNUMBER(SEARCH("Party Name:-",'R.M Billets Reports'!D2675)),TRIM('R.M Billets Reports'!F2675),IF(ISNUMBER(SEARCH("Party Name-",'R.M Billets Reports'!D2675)),TRIM(MID('R.M Billets Reports'!D2675,SEARCH("-",'R.M Billets Reports'!D2675)+1,200)),"")),IF(ISNUMBER(SEARCH("Party Name:-",'R.M Billets Reports'!D2676)),TRIM('R.M Billets Reports'!F2676),IF(ISNUMBER(SEARCH("Party Name-",'R.M Billets Reports'!D2676)),TRIM(MID('R.M Billets Reports'!D2676,SEARCH("-",'R.M Billets Reports'!D2676)+1,200)),"")))="SHRI RADHE","SHREE RADHE",IF(IF(IF(ISNUMBER(SEARCH("Party Name:-",'R.M Billets Reports'!D2675)),TRIM('R.M Billets Reports'!F2675),IF(ISNUMBER(SEARCH("Party Name-",'R.M Billets Reports'!D2675)),TRIM(MID('R.M Billets Reports'!D2675,SEARCH("-",'R.M Billets Reports'!D2675)+1,200)),""))&lt;&gt;"",IF(ISNUMBER(SEARCH("Party Name:-",'R.M Billets Reports'!D2675)),TRIM('R.M Billets Reports'!F2675),IF(ISNUMBER(SEARCH("Party Name-",'R.M Billets Reports'!D2675)),TRIM(MID('R.M Billets Reports'!D2675,SEARCH("-",'R.M Billets Reports'!D2675)+1,200)),"")),IF(ISNUMBER(SEARCH("Party Name:-",'R.M Billets Reports'!D2676)),TRIM('R.M Billets Reports'!F2676),IF(ISNUMBER(SEARCH("Party Name-",'R.M Billets Reports'!D2676)),TRIM(MID('R.M Billets Reports'!D2676,SEARCH("-",'R.M Billets Reports'!D2676)+1,200)),"")))="SHREE RADHE SHAKTI SPONGE AND POWER PVT. LTD.","SHREE RADHE",IF(IF(ISNUMBER(SEARCH("Party Name:-",'R.M Billets Reports'!D2675)),TRIM('R.M Billets Reports'!F2675),IF(ISNUMBER(SEARCH("Party Name-",'R.M Billets Reports'!D2675)),TRIM(MID('R.M Billets Reports'!D2675,SEARCH("-",'R.M Billets Reports'!D2675)+1,200)),""))&lt;&gt;"",IF(ISNUMBER(SEARCH("Party Name:-",'R.M Billets Reports'!D2675)),TRIM('R.M Billets Reports'!F2675),IF(ISNUMBER(SEARCH("Party Name-",'R.M Billets Reports'!D2675)),TRIM(MID('R.M Billets Reports'!D2675,SEARCH("-",'R.M Billets Reports'!D2675)+1,200)),"")),IF(ISNUMBER(SEARCH("Party Name:-",'R.M Billets Reports'!D2676)),TRIM('R.M Billets Reports'!F2676),IF(ISNUMBER(SEARCH("Party Name-",'R.M Billets Reports'!D2676)),TRIM(MID('R.M Billets Reports'!D2676,SEARCH("-",'R.M Billets Reports'!D2676)+1,200)),"")))))),IF(ROW()=2,"",A2675))</f>
      </c>
      <c r="B2676">
        <f>IF(OR('R.M Billets Reports'!A2675="Date-",'R.M Billets Reports'!A2675="Date:-"),'R.M Billets Reports'!B2675,IF(ROW()=2,"",B2675))</f>
      </c>
      <c r="C2676">
        <f>IF('R.M Billets Reports'!A2675="V.No.",'R.M Billets Reports'!B2675,IF(ROW()=2,"",C2675))</f>
      </c>
      <c r="D2676">
        <f>IF('R.M Billets Reports'!A2675&lt;&gt;"",'R.M Billets Reports'!A2675,IF(ROW()=2,"",D2675))</f>
      </c>
      <c r="E2676">
        <f>IF('R.M Billets Reports'!B2675="","",TRIM('R.M Billets Reports'!B2675))</f>
      </c>
      <c r="F2676">
        <f>'R.M Billets Reports'!C2675</f>
      </c>
      <c r="G2676">
        <f>'R.M Billets Reports'!D2675</f>
      </c>
      <c r="H2676">
        <f>'R.M Billets Reports'!E2675</f>
      </c>
      <c r="I2676">
        <f>'R.M Billets Reports'!F2675</f>
      </c>
      <c r="J2676">
        <f>'R.M Billets Reports'!G2675</f>
      </c>
      <c r="K2676">
        <f>'R.M Billets Reports'!H2675</f>
      </c>
      <c r="L2676">
        <f>IF('R.M Billets Reports'!I2675="","",'R.M Billets Reports'!I2675)</f>
      </c>
      <c r="M2676">
        <f t="shared" si="82"/>
      </c>
      <c r="N2676">
        <f>IF('R.M Billets Reports'!J2675="","",'R.M Billets Reports'!J2675)</f>
      </c>
      <c r="O2676">
        <f t="shared" si="83"/>
      </c>
      <c r="P2676">
        <f>IF('R.M Billets Reports'!A2675="SIZE",'R.M Billets Reports'!B2675,P2675)</f>
      </c>
    </row>
    <row r="2677" spans="1:16" x14ac:dyDescent="0.25">
      <c r="A2677">
        <f>IF(OR('R.M Billets Reports'!A2676="Date-",'R.M Billets Reports'!A2676="Date:-"),IF(IF(IF(ISNUMBER(SEARCH("Party Name:-",'R.M Billets Reports'!D2676)),TRIM('R.M Billets Reports'!F2676),IF(ISNUMBER(SEARCH("Party Name-",'R.M Billets Reports'!D2676)),TRIM(MID('R.M Billets Reports'!D2676,SEARCH("-",'R.M Billets Reports'!D2676)+1,200)),""))&lt;&gt;"",IF(ISNUMBER(SEARCH("Party Name:-",'R.M Billets Reports'!D2676)),TRIM('R.M Billets Reports'!F2676),IF(ISNUMBER(SEARCH("Party Name-",'R.M Billets Reports'!D2676)),TRIM(MID('R.M Billets Reports'!D2676,SEARCH("-",'R.M Billets Reports'!D2676)+1,200)),"")),IF(ISNUMBER(SEARCH("Party Name:-",'R.M Billets Reports'!D2677)),TRIM('R.M Billets Reports'!F2677),IF(ISNUMBER(SEARCH("Party Name-",'R.M Billets Reports'!D2677)),TRIM(MID('R.M Billets Reports'!D2677,SEARCH("-",'R.M Billets Reports'!D2677)+1,200)),"")))="VRKP ISPAT PVT LTD","VRKP",IF(IF(IF(ISNUMBER(SEARCH("Party Name:-",'R.M Billets Reports'!D2676)),TRIM('R.M Billets Reports'!F2676),IF(ISNUMBER(SEARCH("Party Name-",'R.M Billets Reports'!D2676)),TRIM(MID('R.M Billets Reports'!D2676,SEARCH("-",'R.M Billets Reports'!D2676)+1,200)),""))&lt;&gt;"",IF(ISNUMBER(SEARCH("Party Name:-",'R.M Billets Reports'!D2676)),TRIM('R.M Billets Reports'!F2676),IF(ISNUMBER(SEARCH("Party Name-",'R.M Billets Reports'!D2676)),TRIM(MID('R.M Billets Reports'!D2676,SEARCH("-",'R.M Billets Reports'!D2676)+1,200)),"")),IF(ISNUMBER(SEARCH("Party Name:-",'R.M Billets Reports'!D2677)),TRIM('R.M Billets Reports'!F2677),IF(ISNUMBER(SEARCH("Party Name-",'R.M Billets Reports'!D2677)),TRIM(MID('R.M Billets Reports'!D2677,SEARCH("-",'R.M Billets Reports'!D2677)+1,200)),"")))="SHRI RADHE","SHREE RADHE",IF(IF(IF(ISNUMBER(SEARCH("Party Name:-",'R.M Billets Reports'!D2676)),TRIM('R.M Billets Reports'!F2676),IF(ISNUMBER(SEARCH("Party Name-",'R.M Billets Reports'!D2676)),TRIM(MID('R.M Billets Reports'!D2676,SEARCH("-",'R.M Billets Reports'!D2676)+1,200)),""))&lt;&gt;"",IF(ISNUMBER(SEARCH("Party Name:-",'R.M Billets Reports'!D2676)),TRIM('R.M Billets Reports'!F2676),IF(ISNUMBER(SEARCH("Party Name-",'R.M Billets Reports'!D2676)),TRIM(MID('R.M Billets Reports'!D2676,SEARCH("-",'R.M Billets Reports'!D2676)+1,200)),"")),IF(ISNUMBER(SEARCH("Party Name:-",'R.M Billets Reports'!D2677)),TRIM('R.M Billets Reports'!F2677),IF(ISNUMBER(SEARCH("Party Name-",'R.M Billets Reports'!D2677)),TRIM(MID('R.M Billets Reports'!D2677,SEARCH("-",'R.M Billets Reports'!D2677)+1,200)),"")))="SHREE RADHE SHAKTI SPONGE AND POWER PVT. LTD.","SHREE RADHE",IF(IF(ISNUMBER(SEARCH("Party Name:-",'R.M Billets Reports'!D2676)),TRIM('R.M Billets Reports'!F2676),IF(ISNUMBER(SEARCH("Party Name-",'R.M Billets Reports'!D2676)),TRIM(MID('R.M Billets Reports'!D2676,SEARCH("-",'R.M Billets Reports'!D2676)+1,200)),""))&lt;&gt;"",IF(ISNUMBER(SEARCH("Party Name:-",'R.M Billets Reports'!D2676)),TRIM('R.M Billets Reports'!F2676),IF(ISNUMBER(SEARCH("Party Name-",'R.M Billets Reports'!D2676)),TRIM(MID('R.M Billets Reports'!D2676,SEARCH("-",'R.M Billets Reports'!D2676)+1,200)),"")),IF(ISNUMBER(SEARCH("Party Name:-",'R.M Billets Reports'!D2677)),TRIM('R.M Billets Reports'!F2677),IF(ISNUMBER(SEARCH("Party Name-",'R.M Billets Reports'!D2677)),TRIM(MID('R.M Billets Reports'!D2677,SEARCH("-",'R.M Billets Reports'!D2677)+1,200)),"")))))),IF(ROW()=2,"",A2676))</f>
      </c>
      <c r="B2677">
        <f>IF(OR('R.M Billets Reports'!A2676="Date-",'R.M Billets Reports'!A2676="Date:-"),'R.M Billets Reports'!B2676,IF(ROW()=2,"",B2676))</f>
      </c>
      <c r="C2677">
        <f>IF('R.M Billets Reports'!A2676="V.No.",'R.M Billets Reports'!B2676,IF(ROW()=2,"",C2676))</f>
      </c>
      <c r="D2677">
        <f>IF('R.M Billets Reports'!A2676&lt;&gt;"",'R.M Billets Reports'!A2676,IF(ROW()=2,"",D2676))</f>
      </c>
      <c r="E2677">
        <f>IF('R.M Billets Reports'!B2676="","",TRIM('R.M Billets Reports'!B2676))</f>
      </c>
      <c r="F2677">
        <f>'R.M Billets Reports'!C2676</f>
      </c>
      <c r="G2677">
        <f>'R.M Billets Reports'!D2676</f>
      </c>
      <c r="H2677">
        <f>'R.M Billets Reports'!E2676</f>
      </c>
      <c r="I2677">
        <f>'R.M Billets Reports'!F2676</f>
      </c>
      <c r="J2677">
        <f>'R.M Billets Reports'!G2676</f>
      </c>
      <c r="K2677">
        <f>'R.M Billets Reports'!H2676</f>
      </c>
      <c r="L2677">
        <f>IF('R.M Billets Reports'!I2676="","",'R.M Billets Reports'!I2676)</f>
      </c>
      <c r="M2677">
        <f t="shared" si="82"/>
      </c>
      <c r="N2677">
        <f>IF('R.M Billets Reports'!J2676="","",'R.M Billets Reports'!J2676)</f>
      </c>
      <c r="O2677">
        <f t="shared" si="83"/>
      </c>
      <c r="P2677">
        <f>IF('R.M Billets Reports'!A2676="SIZE",'R.M Billets Reports'!B2676,P2676)</f>
      </c>
    </row>
    <row r="2678" spans="1:16" x14ac:dyDescent="0.25">
      <c r="A2678">
        <f>IF(OR('R.M Billets Reports'!A2677="Date-",'R.M Billets Reports'!A2677="Date:-"),IF(IF(IF(ISNUMBER(SEARCH("Party Name:-",'R.M Billets Reports'!D2677)),TRIM('R.M Billets Reports'!F2677),IF(ISNUMBER(SEARCH("Party Name-",'R.M Billets Reports'!D2677)),TRIM(MID('R.M Billets Reports'!D2677,SEARCH("-",'R.M Billets Reports'!D2677)+1,200)),""))&lt;&gt;"",IF(ISNUMBER(SEARCH("Party Name:-",'R.M Billets Reports'!D2677)),TRIM('R.M Billets Reports'!F2677),IF(ISNUMBER(SEARCH("Party Name-",'R.M Billets Reports'!D2677)),TRIM(MID('R.M Billets Reports'!D2677,SEARCH("-",'R.M Billets Reports'!D2677)+1,200)),"")),IF(ISNUMBER(SEARCH("Party Name:-",'R.M Billets Reports'!D2678)),TRIM('R.M Billets Reports'!F2678),IF(ISNUMBER(SEARCH("Party Name-",'R.M Billets Reports'!D2678)),TRIM(MID('R.M Billets Reports'!D2678,SEARCH("-",'R.M Billets Reports'!D2678)+1,200)),"")))="VRKP ISPAT PVT LTD","VRKP",IF(IF(IF(ISNUMBER(SEARCH("Party Name:-",'R.M Billets Reports'!D2677)),TRIM('R.M Billets Reports'!F2677),IF(ISNUMBER(SEARCH("Party Name-",'R.M Billets Reports'!D2677)),TRIM(MID('R.M Billets Reports'!D2677,SEARCH("-",'R.M Billets Reports'!D2677)+1,200)),""))&lt;&gt;"",IF(ISNUMBER(SEARCH("Party Name:-",'R.M Billets Reports'!D2677)),TRIM('R.M Billets Reports'!F2677),IF(ISNUMBER(SEARCH("Party Name-",'R.M Billets Reports'!D2677)),TRIM(MID('R.M Billets Reports'!D2677,SEARCH("-",'R.M Billets Reports'!D2677)+1,200)),"")),IF(ISNUMBER(SEARCH("Party Name:-",'R.M Billets Reports'!D2678)),TRIM('R.M Billets Reports'!F2678),IF(ISNUMBER(SEARCH("Party Name-",'R.M Billets Reports'!D2678)),TRIM(MID('R.M Billets Reports'!D2678,SEARCH("-",'R.M Billets Reports'!D2678)+1,200)),"")))="SHRI RADHE","SHREE RADHE",IF(IF(IF(ISNUMBER(SEARCH("Party Name:-",'R.M Billets Reports'!D2677)),TRIM('R.M Billets Reports'!F2677),IF(ISNUMBER(SEARCH("Party Name-",'R.M Billets Reports'!D2677)),TRIM(MID('R.M Billets Reports'!D2677,SEARCH("-",'R.M Billets Reports'!D2677)+1,200)),""))&lt;&gt;"",IF(ISNUMBER(SEARCH("Party Name:-",'R.M Billets Reports'!D2677)),TRIM('R.M Billets Reports'!F2677),IF(ISNUMBER(SEARCH("Party Name-",'R.M Billets Reports'!D2677)),TRIM(MID('R.M Billets Reports'!D2677,SEARCH("-",'R.M Billets Reports'!D2677)+1,200)),"")),IF(ISNUMBER(SEARCH("Party Name:-",'R.M Billets Reports'!D2678)),TRIM('R.M Billets Reports'!F2678),IF(ISNUMBER(SEARCH("Party Name-",'R.M Billets Reports'!D2678)),TRIM(MID('R.M Billets Reports'!D2678,SEARCH("-",'R.M Billets Reports'!D2678)+1,200)),"")))="SHREE RADHE SHAKTI SPONGE AND POWER PVT. LTD.","SHREE RADHE",IF(IF(ISNUMBER(SEARCH("Party Name:-",'R.M Billets Reports'!D2677)),TRIM('R.M Billets Reports'!F2677),IF(ISNUMBER(SEARCH("Party Name-",'R.M Billets Reports'!D2677)),TRIM(MID('R.M Billets Reports'!D2677,SEARCH("-",'R.M Billets Reports'!D2677)+1,200)),""))&lt;&gt;"",IF(ISNUMBER(SEARCH("Party Name:-",'R.M Billets Reports'!D2677)),TRIM('R.M Billets Reports'!F2677),IF(ISNUMBER(SEARCH("Party Name-",'R.M Billets Reports'!D2677)),TRIM(MID('R.M Billets Reports'!D2677,SEARCH("-",'R.M Billets Reports'!D2677)+1,200)),"")),IF(ISNUMBER(SEARCH("Party Name:-",'R.M Billets Reports'!D2678)),TRIM('R.M Billets Reports'!F2678),IF(ISNUMBER(SEARCH("Party Name-",'R.M Billets Reports'!D2678)),TRIM(MID('R.M Billets Reports'!D2678,SEARCH("-",'R.M Billets Reports'!D2678)+1,200)),"")))))),IF(ROW()=2,"",A2677))</f>
      </c>
      <c r="B2678">
        <f>IF(OR('R.M Billets Reports'!A2677="Date-",'R.M Billets Reports'!A2677="Date:-"),'R.M Billets Reports'!B2677,IF(ROW()=2,"",B2677))</f>
      </c>
      <c r="C2678">
        <f>IF('R.M Billets Reports'!A2677="V.No.",'R.M Billets Reports'!B2677,IF(ROW()=2,"",C2677))</f>
      </c>
      <c r="D2678">
        <f>IF('R.M Billets Reports'!A2677&lt;&gt;"",'R.M Billets Reports'!A2677,IF(ROW()=2,"",D2677))</f>
      </c>
      <c r="E2678">
        <f>IF('R.M Billets Reports'!B2677="","",TRIM('R.M Billets Reports'!B2677))</f>
      </c>
      <c r="F2678">
        <f>'R.M Billets Reports'!C2677</f>
      </c>
      <c r="G2678">
        <f>'R.M Billets Reports'!D2677</f>
      </c>
      <c r="H2678">
        <f>'R.M Billets Reports'!E2677</f>
      </c>
      <c r="I2678">
        <f>'R.M Billets Reports'!F2677</f>
      </c>
      <c r="J2678">
        <f>'R.M Billets Reports'!G2677</f>
      </c>
      <c r="K2678">
        <f>'R.M Billets Reports'!H2677</f>
      </c>
      <c r="L2678">
        <f>IF('R.M Billets Reports'!I2677="","",'R.M Billets Reports'!I2677)</f>
      </c>
      <c r="M2678">
        <f t="shared" si="82"/>
      </c>
      <c r="N2678">
        <f>IF('R.M Billets Reports'!J2677="","",'R.M Billets Reports'!J2677)</f>
      </c>
      <c r="O2678">
        <f t="shared" si="83"/>
      </c>
      <c r="P2678">
        <f>IF('R.M Billets Reports'!A2677="SIZE",'R.M Billets Reports'!B2677,P2677)</f>
      </c>
    </row>
    <row r="2679" spans="1:16" x14ac:dyDescent="0.25">
      <c r="A2679">
        <f>IF(OR('R.M Billets Reports'!A2678="Date-",'R.M Billets Reports'!A2678="Date:-"),IF(IF(IF(ISNUMBER(SEARCH("Party Name:-",'R.M Billets Reports'!D2678)),TRIM('R.M Billets Reports'!F2678),IF(ISNUMBER(SEARCH("Party Name-",'R.M Billets Reports'!D2678)),TRIM(MID('R.M Billets Reports'!D2678,SEARCH("-",'R.M Billets Reports'!D2678)+1,200)),""))&lt;&gt;"",IF(ISNUMBER(SEARCH("Party Name:-",'R.M Billets Reports'!D2678)),TRIM('R.M Billets Reports'!F2678),IF(ISNUMBER(SEARCH("Party Name-",'R.M Billets Reports'!D2678)),TRIM(MID('R.M Billets Reports'!D2678,SEARCH("-",'R.M Billets Reports'!D2678)+1,200)),"")),IF(ISNUMBER(SEARCH("Party Name:-",'R.M Billets Reports'!D2679)),TRIM('R.M Billets Reports'!F2679),IF(ISNUMBER(SEARCH("Party Name-",'R.M Billets Reports'!D2679)),TRIM(MID('R.M Billets Reports'!D2679,SEARCH("-",'R.M Billets Reports'!D2679)+1,200)),"")))="VRKP ISPAT PVT LTD","VRKP",IF(IF(IF(ISNUMBER(SEARCH("Party Name:-",'R.M Billets Reports'!D2678)),TRIM('R.M Billets Reports'!F2678),IF(ISNUMBER(SEARCH("Party Name-",'R.M Billets Reports'!D2678)),TRIM(MID('R.M Billets Reports'!D2678,SEARCH("-",'R.M Billets Reports'!D2678)+1,200)),""))&lt;&gt;"",IF(ISNUMBER(SEARCH("Party Name:-",'R.M Billets Reports'!D2678)),TRIM('R.M Billets Reports'!F2678),IF(ISNUMBER(SEARCH("Party Name-",'R.M Billets Reports'!D2678)),TRIM(MID('R.M Billets Reports'!D2678,SEARCH("-",'R.M Billets Reports'!D2678)+1,200)),"")),IF(ISNUMBER(SEARCH("Party Name:-",'R.M Billets Reports'!D2679)),TRIM('R.M Billets Reports'!F2679),IF(ISNUMBER(SEARCH("Party Name-",'R.M Billets Reports'!D2679)),TRIM(MID('R.M Billets Reports'!D2679,SEARCH("-",'R.M Billets Reports'!D2679)+1,200)),"")))="SHRI RADHE","SHREE RADHE",IF(IF(IF(ISNUMBER(SEARCH("Party Name:-",'R.M Billets Reports'!D2678)),TRIM('R.M Billets Reports'!F2678),IF(ISNUMBER(SEARCH("Party Name-",'R.M Billets Reports'!D2678)),TRIM(MID('R.M Billets Reports'!D2678,SEARCH("-",'R.M Billets Reports'!D2678)+1,200)),""))&lt;&gt;"",IF(ISNUMBER(SEARCH("Party Name:-",'R.M Billets Reports'!D2678)),TRIM('R.M Billets Reports'!F2678),IF(ISNUMBER(SEARCH("Party Name-",'R.M Billets Reports'!D2678)),TRIM(MID('R.M Billets Reports'!D2678,SEARCH("-",'R.M Billets Reports'!D2678)+1,200)),"")),IF(ISNUMBER(SEARCH("Party Name:-",'R.M Billets Reports'!D2679)),TRIM('R.M Billets Reports'!F2679),IF(ISNUMBER(SEARCH("Party Name-",'R.M Billets Reports'!D2679)),TRIM(MID('R.M Billets Reports'!D2679,SEARCH("-",'R.M Billets Reports'!D2679)+1,200)),"")))="SHREE RADHE SHAKTI SPONGE AND POWER PVT. LTD.","SHREE RADHE",IF(IF(ISNUMBER(SEARCH("Party Name:-",'R.M Billets Reports'!D2678)),TRIM('R.M Billets Reports'!F2678),IF(ISNUMBER(SEARCH("Party Name-",'R.M Billets Reports'!D2678)),TRIM(MID('R.M Billets Reports'!D2678,SEARCH("-",'R.M Billets Reports'!D2678)+1,200)),""))&lt;&gt;"",IF(ISNUMBER(SEARCH("Party Name:-",'R.M Billets Reports'!D2678)),TRIM('R.M Billets Reports'!F2678),IF(ISNUMBER(SEARCH("Party Name-",'R.M Billets Reports'!D2678)),TRIM(MID('R.M Billets Reports'!D2678,SEARCH("-",'R.M Billets Reports'!D2678)+1,200)),"")),IF(ISNUMBER(SEARCH("Party Name:-",'R.M Billets Reports'!D2679)),TRIM('R.M Billets Reports'!F2679),IF(ISNUMBER(SEARCH("Party Name-",'R.M Billets Reports'!D2679)),TRIM(MID('R.M Billets Reports'!D2679,SEARCH("-",'R.M Billets Reports'!D2679)+1,200)),"")))))),IF(ROW()=2,"",A2678))</f>
      </c>
      <c r="B2679">
        <f>IF(OR('R.M Billets Reports'!A2678="Date-",'R.M Billets Reports'!A2678="Date:-"),'R.M Billets Reports'!B2678,IF(ROW()=2,"",B2678))</f>
      </c>
      <c r="C2679">
        <f>IF('R.M Billets Reports'!A2678="V.No.",'R.M Billets Reports'!B2678,IF(ROW()=2,"",C2678))</f>
      </c>
      <c r="D2679">
        <f>IF('R.M Billets Reports'!A2678&lt;&gt;"",'R.M Billets Reports'!A2678,IF(ROW()=2,"",D2678))</f>
      </c>
      <c r="E2679">
        <f>IF('R.M Billets Reports'!B2678="","",TRIM('R.M Billets Reports'!B2678))</f>
      </c>
      <c r="F2679">
        <f>'R.M Billets Reports'!C2678</f>
      </c>
      <c r="G2679">
        <f>'R.M Billets Reports'!D2678</f>
      </c>
      <c r="H2679">
        <f>'R.M Billets Reports'!E2678</f>
      </c>
      <c r="I2679">
        <f>'R.M Billets Reports'!F2678</f>
      </c>
      <c r="J2679">
        <f>'R.M Billets Reports'!G2678</f>
      </c>
      <c r="K2679">
        <f>'R.M Billets Reports'!H2678</f>
      </c>
      <c r="L2679">
        <f>IF('R.M Billets Reports'!I2678="","",'R.M Billets Reports'!I2678)</f>
      </c>
      <c r="M2679">
        <f t="shared" si="82"/>
      </c>
      <c r="N2679">
        <f>IF('R.M Billets Reports'!J2678="","",'R.M Billets Reports'!J2678)</f>
      </c>
      <c r="O2679">
        <f t="shared" si="83"/>
      </c>
      <c r="P2679">
        <f>IF('R.M Billets Reports'!A2678="SIZE",'R.M Billets Reports'!B2678,P2678)</f>
      </c>
    </row>
    <row r="2680" spans="1:16" x14ac:dyDescent="0.25">
      <c r="A2680">
        <f>IF(OR('R.M Billets Reports'!A2679="Date-",'R.M Billets Reports'!A2679="Date:-"),IF(IF(IF(ISNUMBER(SEARCH("Party Name:-",'R.M Billets Reports'!D2679)),TRIM('R.M Billets Reports'!F2679),IF(ISNUMBER(SEARCH("Party Name-",'R.M Billets Reports'!D2679)),TRIM(MID('R.M Billets Reports'!D2679,SEARCH("-",'R.M Billets Reports'!D2679)+1,200)),""))&lt;&gt;"",IF(ISNUMBER(SEARCH("Party Name:-",'R.M Billets Reports'!D2679)),TRIM('R.M Billets Reports'!F2679),IF(ISNUMBER(SEARCH("Party Name-",'R.M Billets Reports'!D2679)),TRIM(MID('R.M Billets Reports'!D2679,SEARCH("-",'R.M Billets Reports'!D2679)+1,200)),"")),IF(ISNUMBER(SEARCH("Party Name:-",'R.M Billets Reports'!D2680)),TRIM('R.M Billets Reports'!F2680),IF(ISNUMBER(SEARCH("Party Name-",'R.M Billets Reports'!D2680)),TRIM(MID('R.M Billets Reports'!D2680,SEARCH("-",'R.M Billets Reports'!D2680)+1,200)),"")))="VRKP ISPAT PVT LTD","VRKP",IF(IF(IF(ISNUMBER(SEARCH("Party Name:-",'R.M Billets Reports'!D2679)),TRIM('R.M Billets Reports'!F2679),IF(ISNUMBER(SEARCH("Party Name-",'R.M Billets Reports'!D2679)),TRIM(MID('R.M Billets Reports'!D2679,SEARCH("-",'R.M Billets Reports'!D2679)+1,200)),""))&lt;&gt;"",IF(ISNUMBER(SEARCH("Party Name:-",'R.M Billets Reports'!D2679)),TRIM('R.M Billets Reports'!F2679),IF(ISNUMBER(SEARCH("Party Name-",'R.M Billets Reports'!D2679)),TRIM(MID('R.M Billets Reports'!D2679,SEARCH("-",'R.M Billets Reports'!D2679)+1,200)),"")),IF(ISNUMBER(SEARCH("Party Name:-",'R.M Billets Reports'!D2680)),TRIM('R.M Billets Reports'!F2680),IF(ISNUMBER(SEARCH("Party Name-",'R.M Billets Reports'!D2680)),TRIM(MID('R.M Billets Reports'!D2680,SEARCH("-",'R.M Billets Reports'!D2680)+1,200)),"")))="SHRI RADHE","SHREE RADHE",IF(IF(IF(ISNUMBER(SEARCH("Party Name:-",'R.M Billets Reports'!D2679)),TRIM('R.M Billets Reports'!F2679),IF(ISNUMBER(SEARCH("Party Name-",'R.M Billets Reports'!D2679)),TRIM(MID('R.M Billets Reports'!D2679,SEARCH("-",'R.M Billets Reports'!D2679)+1,200)),""))&lt;&gt;"",IF(ISNUMBER(SEARCH("Party Name:-",'R.M Billets Reports'!D2679)),TRIM('R.M Billets Reports'!F2679),IF(ISNUMBER(SEARCH("Party Name-",'R.M Billets Reports'!D2679)),TRIM(MID('R.M Billets Reports'!D2679,SEARCH("-",'R.M Billets Reports'!D2679)+1,200)),"")),IF(ISNUMBER(SEARCH("Party Name:-",'R.M Billets Reports'!D2680)),TRIM('R.M Billets Reports'!F2680),IF(ISNUMBER(SEARCH("Party Name-",'R.M Billets Reports'!D2680)),TRIM(MID('R.M Billets Reports'!D2680,SEARCH("-",'R.M Billets Reports'!D2680)+1,200)),"")))="SHREE RADHE SHAKTI SPONGE AND POWER PVT. LTD.","SHREE RADHE",IF(IF(ISNUMBER(SEARCH("Party Name:-",'R.M Billets Reports'!D2679)),TRIM('R.M Billets Reports'!F2679),IF(ISNUMBER(SEARCH("Party Name-",'R.M Billets Reports'!D2679)),TRIM(MID('R.M Billets Reports'!D2679,SEARCH("-",'R.M Billets Reports'!D2679)+1,200)),""))&lt;&gt;"",IF(ISNUMBER(SEARCH("Party Name:-",'R.M Billets Reports'!D2679)),TRIM('R.M Billets Reports'!F2679),IF(ISNUMBER(SEARCH("Party Name-",'R.M Billets Reports'!D2679)),TRIM(MID('R.M Billets Reports'!D2679,SEARCH("-",'R.M Billets Reports'!D2679)+1,200)),"")),IF(ISNUMBER(SEARCH("Party Name:-",'R.M Billets Reports'!D2680)),TRIM('R.M Billets Reports'!F2680),IF(ISNUMBER(SEARCH("Party Name-",'R.M Billets Reports'!D2680)),TRIM(MID('R.M Billets Reports'!D2680,SEARCH("-",'R.M Billets Reports'!D2680)+1,200)),"")))))),IF(ROW()=2,"",A2679))</f>
      </c>
      <c r="B2680">
        <f>IF(OR('R.M Billets Reports'!A2679="Date-",'R.M Billets Reports'!A2679="Date:-"),'R.M Billets Reports'!B2679,IF(ROW()=2,"",B2679))</f>
      </c>
      <c r="C2680">
        <f>IF('R.M Billets Reports'!A2679="V.No.",'R.M Billets Reports'!B2679,IF(ROW()=2,"",C2679))</f>
      </c>
      <c r="D2680">
        <f>IF('R.M Billets Reports'!A2679&lt;&gt;"",'R.M Billets Reports'!A2679,IF(ROW()=2,"",D2679))</f>
      </c>
      <c r="E2680">
        <f>IF('R.M Billets Reports'!B2679="","",TRIM('R.M Billets Reports'!B2679))</f>
      </c>
      <c r="F2680">
        <f>'R.M Billets Reports'!C2679</f>
      </c>
      <c r="G2680">
        <f>'R.M Billets Reports'!D2679</f>
      </c>
      <c r="H2680">
        <f>'R.M Billets Reports'!E2679</f>
      </c>
      <c r="I2680">
        <f>'R.M Billets Reports'!F2679</f>
      </c>
      <c r="J2680">
        <f>'R.M Billets Reports'!G2679</f>
      </c>
      <c r="K2680">
        <f>'R.M Billets Reports'!H2679</f>
      </c>
      <c r="L2680">
        <f>IF('R.M Billets Reports'!I2679="","",'R.M Billets Reports'!I2679)</f>
      </c>
      <c r="M2680">
        <f t="shared" si="82"/>
      </c>
      <c r="N2680">
        <f>IF('R.M Billets Reports'!J2679="","",'R.M Billets Reports'!J2679)</f>
      </c>
      <c r="O2680">
        <f t="shared" si="83"/>
      </c>
      <c r="P2680">
        <f>IF('R.M Billets Reports'!A2679="SIZE",'R.M Billets Reports'!B2679,P2679)</f>
      </c>
    </row>
    <row r="2681" spans="1:16" x14ac:dyDescent="0.25">
      <c r="A2681">
        <f>IF(OR('R.M Billets Reports'!A2680="Date-",'R.M Billets Reports'!A2680="Date:-"),IF(IF(IF(ISNUMBER(SEARCH("Party Name:-",'R.M Billets Reports'!D2680)),TRIM('R.M Billets Reports'!F2680),IF(ISNUMBER(SEARCH("Party Name-",'R.M Billets Reports'!D2680)),TRIM(MID('R.M Billets Reports'!D2680,SEARCH("-",'R.M Billets Reports'!D2680)+1,200)),""))&lt;&gt;"",IF(ISNUMBER(SEARCH("Party Name:-",'R.M Billets Reports'!D2680)),TRIM('R.M Billets Reports'!F2680),IF(ISNUMBER(SEARCH("Party Name-",'R.M Billets Reports'!D2680)),TRIM(MID('R.M Billets Reports'!D2680,SEARCH("-",'R.M Billets Reports'!D2680)+1,200)),"")),IF(ISNUMBER(SEARCH("Party Name:-",'R.M Billets Reports'!D2681)),TRIM('R.M Billets Reports'!F2681),IF(ISNUMBER(SEARCH("Party Name-",'R.M Billets Reports'!D2681)),TRIM(MID('R.M Billets Reports'!D2681,SEARCH("-",'R.M Billets Reports'!D2681)+1,200)),"")))="VRKP ISPAT PVT LTD","VRKP",IF(IF(IF(ISNUMBER(SEARCH("Party Name:-",'R.M Billets Reports'!D2680)),TRIM('R.M Billets Reports'!F2680),IF(ISNUMBER(SEARCH("Party Name-",'R.M Billets Reports'!D2680)),TRIM(MID('R.M Billets Reports'!D2680,SEARCH("-",'R.M Billets Reports'!D2680)+1,200)),""))&lt;&gt;"",IF(ISNUMBER(SEARCH("Party Name:-",'R.M Billets Reports'!D2680)),TRIM('R.M Billets Reports'!F2680),IF(ISNUMBER(SEARCH("Party Name-",'R.M Billets Reports'!D2680)),TRIM(MID('R.M Billets Reports'!D2680,SEARCH("-",'R.M Billets Reports'!D2680)+1,200)),"")),IF(ISNUMBER(SEARCH("Party Name:-",'R.M Billets Reports'!D2681)),TRIM('R.M Billets Reports'!F2681),IF(ISNUMBER(SEARCH("Party Name-",'R.M Billets Reports'!D2681)),TRIM(MID('R.M Billets Reports'!D2681,SEARCH("-",'R.M Billets Reports'!D2681)+1,200)),"")))="SHRI RADHE","SHREE RADHE",IF(IF(IF(ISNUMBER(SEARCH("Party Name:-",'R.M Billets Reports'!D2680)),TRIM('R.M Billets Reports'!F2680),IF(ISNUMBER(SEARCH("Party Name-",'R.M Billets Reports'!D2680)),TRIM(MID('R.M Billets Reports'!D2680,SEARCH("-",'R.M Billets Reports'!D2680)+1,200)),""))&lt;&gt;"",IF(ISNUMBER(SEARCH("Party Name:-",'R.M Billets Reports'!D2680)),TRIM('R.M Billets Reports'!F2680),IF(ISNUMBER(SEARCH("Party Name-",'R.M Billets Reports'!D2680)),TRIM(MID('R.M Billets Reports'!D2680,SEARCH("-",'R.M Billets Reports'!D2680)+1,200)),"")),IF(ISNUMBER(SEARCH("Party Name:-",'R.M Billets Reports'!D2681)),TRIM('R.M Billets Reports'!F2681),IF(ISNUMBER(SEARCH("Party Name-",'R.M Billets Reports'!D2681)),TRIM(MID('R.M Billets Reports'!D2681,SEARCH("-",'R.M Billets Reports'!D2681)+1,200)),"")))="SHREE RADHE SHAKTI SPONGE AND POWER PVT. LTD.","SHREE RADHE",IF(IF(ISNUMBER(SEARCH("Party Name:-",'R.M Billets Reports'!D2680)),TRIM('R.M Billets Reports'!F2680),IF(ISNUMBER(SEARCH("Party Name-",'R.M Billets Reports'!D2680)),TRIM(MID('R.M Billets Reports'!D2680,SEARCH("-",'R.M Billets Reports'!D2680)+1,200)),""))&lt;&gt;"",IF(ISNUMBER(SEARCH("Party Name:-",'R.M Billets Reports'!D2680)),TRIM('R.M Billets Reports'!F2680),IF(ISNUMBER(SEARCH("Party Name-",'R.M Billets Reports'!D2680)),TRIM(MID('R.M Billets Reports'!D2680,SEARCH("-",'R.M Billets Reports'!D2680)+1,200)),"")),IF(ISNUMBER(SEARCH("Party Name:-",'R.M Billets Reports'!D2681)),TRIM('R.M Billets Reports'!F2681),IF(ISNUMBER(SEARCH("Party Name-",'R.M Billets Reports'!D2681)),TRIM(MID('R.M Billets Reports'!D2681,SEARCH("-",'R.M Billets Reports'!D2681)+1,200)),"")))))),IF(ROW()=2,"",A2680))</f>
      </c>
      <c r="B2681">
        <f>IF(OR('R.M Billets Reports'!A2680="Date-",'R.M Billets Reports'!A2680="Date:-"),'R.M Billets Reports'!B2680,IF(ROW()=2,"",B2680))</f>
      </c>
      <c r="C2681">
        <f>IF('R.M Billets Reports'!A2680="V.No.",'R.M Billets Reports'!B2680,IF(ROW()=2,"",C2680))</f>
      </c>
      <c r="D2681">
        <f>IF('R.M Billets Reports'!A2680&lt;&gt;"",'R.M Billets Reports'!A2680,IF(ROW()=2,"",D2680))</f>
      </c>
      <c r="E2681">
        <f>IF('R.M Billets Reports'!B2680="","",TRIM('R.M Billets Reports'!B2680))</f>
      </c>
      <c r="F2681">
        <f>'R.M Billets Reports'!C2680</f>
      </c>
      <c r="G2681">
        <f>'R.M Billets Reports'!D2680</f>
      </c>
      <c r="H2681">
        <f>'R.M Billets Reports'!E2680</f>
      </c>
      <c r="I2681">
        <f>'R.M Billets Reports'!F2680</f>
      </c>
      <c r="J2681">
        <f>'R.M Billets Reports'!G2680</f>
      </c>
      <c r="K2681">
        <f>'R.M Billets Reports'!H2680</f>
      </c>
      <c r="L2681">
        <f>IF('R.M Billets Reports'!I2680="","",'R.M Billets Reports'!I2680)</f>
      </c>
      <c r="M2681">
        <f t="shared" si="82"/>
      </c>
      <c r="N2681">
        <f>IF('R.M Billets Reports'!J2680="","",'R.M Billets Reports'!J2680)</f>
      </c>
      <c r="O2681">
        <f t="shared" si="83"/>
      </c>
      <c r="P2681">
        <f>IF('R.M Billets Reports'!A2680="SIZE",'R.M Billets Reports'!B2680,P2680)</f>
      </c>
    </row>
    <row r="2682" spans="1:16" x14ac:dyDescent="0.25">
      <c r="A2682">
        <f>IF(OR('R.M Billets Reports'!A2681="Date-",'R.M Billets Reports'!A2681="Date:-"),IF(IF(IF(ISNUMBER(SEARCH("Party Name:-",'R.M Billets Reports'!D2681)),TRIM('R.M Billets Reports'!F2681),IF(ISNUMBER(SEARCH("Party Name-",'R.M Billets Reports'!D2681)),TRIM(MID('R.M Billets Reports'!D2681,SEARCH("-",'R.M Billets Reports'!D2681)+1,200)),""))&lt;&gt;"",IF(ISNUMBER(SEARCH("Party Name:-",'R.M Billets Reports'!D2681)),TRIM('R.M Billets Reports'!F2681),IF(ISNUMBER(SEARCH("Party Name-",'R.M Billets Reports'!D2681)),TRIM(MID('R.M Billets Reports'!D2681,SEARCH("-",'R.M Billets Reports'!D2681)+1,200)),"")),IF(ISNUMBER(SEARCH("Party Name:-",'R.M Billets Reports'!D2682)),TRIM('R.M Billets Reports'!F2682),IF(ISNUMBER(SEARCH("Party Name-",'R.M Billets Reports'!D2682)),TRIM(MID('R.M Billets Reports'!D2682,SEARCH("-",'R.M Billets Reports'!D2682)+1,200)),"")))="VRKP ISPAT PVT LTD","VRKP",IF(IF(IF(ISNUMBER(SEARCH("Party Name:-",'R.M Billets Reports'!D2681)),TRIM('R.M Billets Reports'!F2681),IF(ISNUMBER(SEARCH("Party Name-",'R.M Billets Reports'!D2681)),TRIM(MID('R.M Billets Reports'!D2681,SEARCH("-",'R.M Billets Reports'!D2681)+1,200)),""))&lt;&gt;"",IF(ISNUMBER(SEARCH("Party Name:-",'R.M Billets Reports'!D2681)),TRIM('R.M Billets Reports'!F2681),IF(ISNUMBER(SEARCH("Party Name-",'R.M Billets Reports'!D2681)),TRIM(MID('R.M Billets Reports'!D2681,SEARCH("-",'R.M Billets Reports'!D2681)+1,200)),"")),IF(ISNUMBER(SEARCH("Party Name:-",'R.M Billets Reports'!D2682)),TRIM('R.M Billets Reports'!F2682),IF(ISNUMBER(SEARCH("Party Name-",'R.M Billets Reports'!D2682)),TRIM(MID('R.M Billets Reports'!D2682,SEARCH("-",'R.M Billets Reports'!D2682)+1,200)),"")))="SHRI RADHE","SHREE RADHE",IF(IF(IF(ISNUMBER(SEARCH("Party Name:-",'R.M Billets Reports'!D2681)),TRIM('R.M Billets Reports'!F2681),IF(ISNUMBER(SEARCH("Party Name-",'R.M Billets Reports'!D2681)),TRIM(MID('R.M Billets Reports'!D2681,SEARCH("-",'R.M Billets Reports'!D2681)+1,200)),""))&lt;&gt;"",IF(ISNUMBER(SEARCH("Party Name:-",'R.M Billets Reports'!D2681)),TRIM('R.M Billets Reports'!F2681),IF(ISNUMBER(SEARCH("Party Name-",'R.M Billets Reports'!D2681)),TRIM(MID('R.M Billets Reports'!D2681,SEARCH("-",'R.M Billets Reports'!D2681)+1,200)),"")),IF(ISNUMBER(SEARCH("Party Name:-",'R.M Billets Reports'!D2682)),TRIM('R.M Billets Reports'!F2682),IF(ISNUMBER(SEARCH("Party Name-",'R.M Billets Reports'!D2682)),TRIM(MID('R.M Billets Reports'!D2682,SEARCH("-",'R.M Billets Reports'!D2682)+1,200)),"")))="SHREE RADHE SHAKTI SPONGE AND POWER PVT. LTD.","SHREE RADHE",IF(IF(ISNUMBER(SEARCH("Party Name:-",'R.M Billets Reports'!D2681)),TRIM('R.M Billets Reports'!F2681),IF(ISNUMBER(SEARCH("Party Name-",'R.M Billets Reports'!D2681)),TRIM(MID('R.M Billets Reports'!D2681,SEARCH("-",'R.M Billets Reports'!D2681)+1,200)),""))&lt;&gt;"",IF(ISNUMBER(SEARCH("Party Name:-",'R.M Billets Reports'!D2681)),TRIM('R.M Billets Reports'!F2681),IF(ISNUMBER(SEARCH("Party Name-",'R.M Billets Reports'!D2681)),TRIM(MID('R.M Billets Reports'!D2681,SEARCH("-",'R.M Billets Reports'!D2681)+1,200)),"")),IF(ISNUMBER(SEARCH("Party Name:-",'R.M Billets Reports'!D2682)),TRIM('R.M Billets Reports'!F2682),IF(ISNUMBER(SEARCH("Party Name-",'R.M Billets Reports'!D2682)),TRIM(MID('R.M Billets Reports'!D2682,SEARCH("-",'R.M Billets Reports'!D2682)+1,200)),"")))))),IF(ROW()=2,"",A2681))</f>
      </c>
      <c r="B2682">
        <f>IF(OR('R.M Billets Reports'!A2681="Date-",'R.M Billets Reports'!A2681="Date:-"),'R.M Billets Reports'!B2681,IF(ROW()=2,"",B2681))</f>
      </c>
      <c r="C2682">
        <f>IF('R.M Billets Reports'!A2681="V.No.",'R.M Billets Reports'!B2681,IF(ROW()=2,"",C2681))</f>
      </c>
      <c r="D2682">
        <f>IF('R.M Billets Reports'!A2681&lt;&gt;"",'R.M Billets Reports'!A2681,IF(ROW()=2,"",D2681))</f>
      </c>
      <c r="E2682">
        <f>IF('R.M Billets Reports'!B2681="","",TRIM('R.M Billets Reports'!B2681))</f>
      </c>
      <c r="F2682">
        <f>'R.M Billets Reports'!C2681</f>
      </c>
      <c r="G2682">
        <f>'R.M Billets Reports'!D2681</f>
      </c>
      <c r="H2682">
        <f>'R.M Billets Reports'!E2681</f>
      </c>
      <c r="I2682">
        <f>'R.M Billets Reports'!F2681</f>
      </c>
      <c r="J2682">
        <f>'R.M Billets Reports'!G2681</f>
      </c>
      <c r="K2682">
        <f>'R.M Billets Reports'!H2681</f>
      </c>
      <c r="L2682">
        <f>IF('R.M Billets Reports'!I2681="","",'R.M Billets Reports'!I2681)</f>
      </c>
      <c r="M2682">
        <f t="shared" si="82"/>
      </c>
      <c r="N2682">
        <f>IF('R.M Billets Reports'!J2681="","",'R.M Billets Reports'!J2681)</f>
      </c>
      <c r="O2682">
        <f t="shared" si="83"/>
      </c>
      <c r="P2682">
        <f>IF('R.M Billets Reports'!A2681="SIZE",'R.M Billets Reports'!B2681,P2681)</f>
      </c>
    </row>
    <row r="2683" spans="1:16" x14ac:dyDescent="0.25">
      <c r="A2683">
        <f>IF(OR('R.M Billets Reports'!A2682="Date-",'R.M Billets Reports'!A2682="Date:-"),IF(IF(IF(ISNUMBER(SEARCH("Party Name:-",'R.M Billets Reports'!D2682)),TRIM('R.M Billets Reports'!F2682),IF(ISNUMBER(SEARCH("Party Name-",'R.M Billets Reports'!D2682)),TRIM(MID('R.M Billets Reports'!D2682,SEARCH("-",'R.M Billets Reports'!D2682)+1,200)),""))&lt;&gt;"",IF(ISNUMBER(SEARCH("Party Name:-",'R.M Billets Reports'!D2682)),TRIM('R.M Billets Reports'!F2682),IF(ISNUMBER(SEARCH("Party Name-",'R.M Billets Reports'!D2682)),TRIM(MID('R.M Billets Reports'!D2682,SEARCH("-",'R.M Billets Reports'!D2682)+1,200)),"")),IF(ISNUMBER(SEARCH("Party Name:-",'R.M Billets Reports'!D2683)),TRIM('R.M Billets Reports'!F2683),IF(ISNUMBER(SEARCH("Party Name-",'R.M Billets Reports'!D2683)),TRIM(MID('R.M Billets Reports'!D2683,SEARCH("-",'R.M Billets Reports'!D2683)+1,200)),"")))="VRKP ISPAT PVT LTD","VRKP",IF(IF(IF(ISNUMBER(SEARCH("Party Name:-",'R.M Billets Reports'!D2682)),TRIM('R.M Billets Reports'!F2682),IF(ISNUMBER(SEARCH("Party Name-",'R.M Billets Reports'!D2682)),TRIM(MID('R.M Billets Reports'!D2682,SEARCH("-",'R.M Billets Reports'!D2682)+1,200)),""))&lt;&gt;"",IF(ISNUMBER(SEARCH("Party Name:-",'R.M Billets Reports'!D2682)),TRIM('R.M Billets Reports'!F2682),IF(ISNUMBER(SEARCH("Party Name-",'R.M Billets Reports'!D2682)),TRIM(MID('R.M Billets Reports'!D2682,SEARCH("-",'R.M Billets Reports'!D2682)+1,200)),"")),IF(ISNUMBER(SEARCH("Party Name:-",'R.M Billets Reports'!D2683)),TRIM('R.M Billets Reports'!F2683),IF(ISNUMBER(SEARCH("Party Name-",'R.M Billets Reports'!D2683)),TRIM(MID('R.M Billets Reports'!D2683,SEARCH("-",'R.M Billets Reports'!D2683)+1,200)),"")))="SHRI RADHE","SHREE RADHE",IF(IF(IF(ISNUMBER(SEARCH("Party Name:-",'R.M Billets Reports'!D2682)),TRIM('R.M Billets Reports'!F2682),IF(ISNUMBER(SEARCH("Party Name-",'R.M Billets Reports'!D2682)),TRIM(MID('R.M Billets Reports'!D2682,SEARCH("-",'R.M Billets Reports'!D2682)+1,200)),""))&lt;&gt;"",IF(ISNUMBER(SEARCH("Party Name:-",'R.M Billets Reports'!D2682)),TRIM('R.M Billets Reports'!F2682),IF(ISNUMBER(SEARCH("Party Name-",'R.M Billets Reports'!D2682)),TRIM(MID('R.M Billets Reports'!D2682,SEARCH("-",'R.M Billets Reports'!D2682)+1,200)),"")),IF(ISNUMBER(SEARCH("Party Name:-",'R.M Billets Reports'!D2683)),TRIM('R.M Billets Reports'!F2683),IF(ISNUMBER(SEARCH("Party Name-",'R.M Billets Reports'!D2683)),TRIM(MID('R.M Billets Reports'!D2683,SEARCH("-",'R.M Billets Reports'!D2683)+1,200)),"")))="SHREE RADHE SHAKTI SPONGE AND POWER PVT. LTD.","SHREE RADHE",IF(IF(ISNUMBER(SEARCH("Party Name:-",'R.M Billets Reports'!D2682)),TRIM('R.M Billets Reports'!F2682),IF(ISNUMBER(SEARCH("Party Name-",'R.M Billets Reports'!D2682)),TRIM(MID('R.M Billets Reports'!D2682,SEARCH("-",'R.M Billets Reports'!D2682)+1,200)),""))&lt;&gt;"",IF(ISNUMBER(SEARCH("Party Name:-",'R.M Billets Reports'!D2682)),TRIM('R.M Billets Reports'!F2682),IF(ISNUMBER(SEARCH("Party Name-",'R.M Billets Reports'!D2682)),TRIM(MID('R.M Billets Reports'!D2682,SEARCH("-",'R.M Billets Reports'!D2682)+1,200)),"")),IF(ISNUMBER(SEARCH("Party Name:-",'R.M Billets Reports'!D2683)),TRIM('R.M Billets Reports'!F2683),IF(ISNUMBER(SEARCH("Party Name-",'R.M Billets Reports'!D2683)),TRIM(MID('R.M Billets Reports'!D2683,SEARCH("-",'R.M Billets Reports'!D2683)+1,200)),"")))))),IF(ROW()=2,"",A2682))</f>
      </c>
      <c r="B2683">
        <f>IF(OR('R.M Billets Reports'!A2682="Date-",'R.M Billets Reports'!A2682="Date:-"),'R.M Billets Reports'!B2682,IF(ROW()=2,"",B2682))</f>
      </c>
      <c r="C2683">
        <f>IF('R.M Billets Reports'!A2682="V.No.",'R.M Billets Reports'!B2682,IF(ROW()=2,"",C2682))</f>
      </c>
      <c r="D2683">
        <f>IF('R.M Billets Reports'!A2682&lt;&gt;"",'R.M Billets Reports'!A2682,IF(ROW()=2,"",D2682))</f>
      </c>
      <c r="E2683">
        <f>IF('R.M Billets Reports'!B2682="","",TRIM('R.M Billets Reports'!B2682))</f>
      </c>
      <c r="F2683">
        <f>'R.M Billets Reports'!C2682</f>
      </c>
      <c r="G2683">
        <f>'R.M Billets Reports'!D2682</f>
      </c>
      <c r="H2683">
        <f>'R.M Billets Reports'!E2682</f>
      </c>
      <c r="I2683">
        <f>'R.M Billets Reports'!F2682</f>
      </c>
      <c r="J2683">
        <f>'R.M Billets Reports'!G2682</f>
      </c>
      <c r="K2683">
        <f>'R.M Billets Reports'!H2682</f>
      </c>
      <c r="L2683">
        <f>IF('R.M Billets Reports'!I2682="","",'R.M Billets Reports'!I2682)</f>
      </c>
      <c r="M2683">
        <f t="shared" si="82"/>
      </c>
      <c r="N2683">
        <f>IF('R.M Billets Reports'!J2682="","",'R.M Billets Reports'!J2682)</f>
      </c>
      <c r="O2683">
        <f t="shared" si="83"/>
      </c>
      <c r="P2683">
        <f>IF('R.M Billets Reports'!A2682="SIZE",'R.M Billets Reports'!B2682,P2682)</f>
      </c>
    </row>
    <row r="2684" spans="1:16" x14ac:dyDescent="0.25">
      <c r="A2684">
        <f>IF(OR('R.M Billets Reports'!A2683="Date-",'R.M Billets Reports'!A2683="Date:-"),IF(IF(IF(ISNUMBER(SEARCH("Party Name:-",'R.M Billets Reports'!D2683)),TRIM('R.M Billets Reports'!F2683),IF(ISNUMBER(SEARCH("Party Name-",'R.M Billets Reports'!D2683)),TRIM(MID('R.M Billets Reports'!D2683,SEARCH("-",'R.M Billets Reports'!D2683)+1,200)),""))&lt;&gt;"",IF(ISNUMBER(SEARCH("Party Name:-",'R.M Billets Reports'!D2683)),TRIM('R.M Billets Reports'!F2683),IF(ISNUMBER(SEARCH("Party Name-",'R.M Billets Reports'!D2683)),TRIM(MID('R.M Billets Reports'!D2683,SEARCH("-",'R.M Billets Reports'!D2683)+1,200)),"")),IF(ISNUMBER(SEARCH("Party Name:-",'R.M Billets Reports'!D2684)),TRIM('R.M Billets Reports'!F2684),IF(ISNUMBER(SEARCH("Party Name-",'R.M Billets Reports'!D2684)),TRIM(MID('R.M Billets Reports'!D2684,SEARCH("-",'R.M Billets Reports'!D2684)+1,200)),"")))="VRKP ISPAT PVT LTD","VRKP",IF(IF(IF(ISNUMBER(SEARCH("Party Name:-",'R.M Billets Reports'!D2683)),TRIM('R.M Billets Reports'!F2683),IF(ISNUMBER(SEARCH("Party Name-",'R.M Billets Reports'!D2683)),TRIM(MID('R.M Billets Reports'!D2683,SEARCH("-",'R.M Billets Reports'!D2683)+1,200)),""))&lt;&gt;"",IF(ISNUMBER(SEARCH("Party Name:-",'R.M Billets Reports'!D2683)),TRIM('R.M Billets Reports'!F2683),IF(ISNUMBER(SEARCH("Party Name-",'R.M Billets Reports'!D2683)),TRIM(MID('R.M Billets Reports'!D2683,SEARCH("-",'R.M Billets Reports'!D2683)+1,200)),"")),IF(ISNUMBER(SEARCH("Party Name:-",'R.M Billets Reports'!D2684)),TRIM('R.M Billets Reports'!F2684),IF(ISNUMBER(SEARCH("Party Name-",'R.M Billets Reports'!D2684)),TRIM(MID('R.M Billets Reports'!D2684,SEARCH("-",'R.M Billets Reports'!D2684)+1,200)),"")))="SHRI RADHE","SHREE RADHE",IF(IF(IF(ISNUMBER(SEARCH("Party Name:-",'R.M Billets Reports'!D2683)),TRIM('R.M Billets Reports'!F2683),IF(ISNUMBER(SEARCH("Party Name-",'R.M Billets Reports'!D2683)),TRIM(MID('R.M Billets Reports'!D2683,SEARCH("-",'R.M Billets Reports'!D2683)+1,200)),""))&lt;&gt;"",IF(ISNUMBER(SEARCH("Party Name:-",'R.M Billets Reports'!D2683)),TRIM('R.M Billets Reports'!F2683),IF(ISNUMBER(SEARCH("Party Name-",'R.M Billets Reports'!D2683)),TRIM(MID('R.M Billets Reports'!D2683,SEARCH("-",'R.M Billets Reports'!D2683)+1,200)),"")),IF(ISNUMBER(SEARCH("Party Name:-",'R.M Billets Reports'!D2684)),TRIM('R.M Billets Reports'!F2684),IF(ISNUMBER(SEARCH("Party Name-",'R.M Billets Reports'!D2684)),TRIM(MID('R.M Billets Reports'!D2684,SEARCH("-",'R.M Billets Reports'!D2684)+1,200)),"")))="SHREE RADHE SHAKTI SPONGE AND POWER PVT. LTD.","SHREE RADHE",IF(IF(ISNUMBER(SEARCH("Party Name:-",'R.M Billets Reports'!D2683)),TRIM('R.M Billets Reports'!F2683),IF(ISNUMBER(SEARCH("Party Name-",'R.M Billets Reports'!D2683)),TRIM(MID('R.M Billets Reports'!D2683,SEARCH("-",'R.M Billets Reports'!D2683)+1,200)),""))&lt;&gt;"",IF(ISNUMBER(SEARCH("Party Name:-",'R.M Billets Reports'!D2683)),TRIM('R.M Billets Reports'!F2683),IF(ISNUMBER(SEARCH("Party Name-",'R.M Billets Reports'!D2683)),TRIM(MID('R.M Billets Reports'!D2683,SEARCH("-",'R.M Billets Reports'!D2683)+1,200)),"")),IF(ISNUMBER(SEARCH("Party Name:-",'R.M Billets Reports'!D2684)),TRIM('R.M Billets Reports'!F2684),IF(ISNUMBER(SEARCH("Party Name-",'R.M Billets Reports'!D2684)),TRIM(MID('R.M Billets Reports'!D2684,SEARCH("-",'R.M Billets Reports'!D2684)+1,200)),"")))))),IF(ROW()=2,"",A2683))</f>
      </c>
      <c r="B2684">
        <f>IF(OR('R.M Billets Reports'!A2683="Date-",'R.M Billets Reports'!A2683="Date:-"),'R.M Billets Reports'!B2683,IF(ROW()=2,"",B2683))</f>
      </c>
      <c r="C2684">
        <f>IF('R.M Billets Reports'!A2683="V.No.",'R.M Billets Reports'!B2683,IF(ROW()=2,"",C2683))</f>
      </c>
      <c r="D2684">
        <f>IF('R.M Billets Reports'!A2683&lt;&gt;"",'R.M Billets Reports'!A2683,IF(ROW()=2,"",D2683))</f>
      </c>
      <c r="E2684">
        <f>IF('R.M Billets Reports'!B2683="","",TRIM('R.M Billets Reports'!B2683))</f>
      </c>
      <c r="F2684">
        <f>'R.M Billets Reports'!C2683</f>
      </c>
      <c r="G2684">
        <f>'R.M Billets Reports'!D2683</f>
      </c>
      <c r="H2684">
        <f>'R.M Billets Reports'!E2683</f>
      </c>
      <c r="I2684">
        <f>'R.M Billets Reports'!F2683</f>
      </c>
      <c r="J2684">
        <f>'R.M Billets Reports'!G2683</f>
      </c>
      <c r="K2684">
        <f>'R.M Billets Reports'!H2683</f>
      </c>
      <c r="L2684">
        <f>IF('R.M Billets Reports'!I2683="","",'R.M Billets Reports'!I2683)</f>
      </c>
      <c r="M2684">
        <f t="shared" si="82"/>
      </c>
      <c r="N2684">
        <f>IF('R.M Billets Reports'!J2683="","",'R.M Billets Reports'!J2683)</f>
      </c>
      <c r="O2684">
        <f t="shared" si="83"/>
      </c>
      <c r="P2684">
        <f>IF('R.M Billets Reports'!A2683="SIZE",'R.M Billets Reports'!B2683,P2683)</f>
      </c>
    </row>
    <row r="2685" spans="1:16" x14ac:dyDescent="0.25">
      <c r="A2685">
        <f>IF(OR('R.M Billets Reports'!A2684="Date-",'R.M Billets Reports'!A2684="Date:-"),IF(IF(IF(ISNUMBER(SEARCH("Party Name:-",'R.M Billets Reports'!D2684)),TRIM('R.M Billets Reports'!F2684),IF(ISNUMBER(SEARCH("Party Name-",'R.M Billets Reports'!D2684)),TRIM(MID('R.M Billets Reports'!D2684,SEARCH("-",'R.M Billets Reports'!D2684)+1,200)),""))&lt;&gt;"",IF(ISNUMBER(SEARCH("Party Name:-",'R.M Billets Reports'!D2684)),TRIM('R.M Billets Reports'!F2684),IF(ISNUMBER(SEARCH("Party Name-",'R.M Billets Reports'!D2684)),TRIM(MID('R.M Billets Reports'!D2684,SEARCH("-",'R.M Billets Reports'!D2684)+1,200)),"")),IF(ISNUMBER(SEARCH("Party Name:-",'R.M Billets Reports'!D2685)),TRIM('R.M Billets Reports'!F2685),IF(ISNUMBER(SEARCH("Party Name-",'R.M Billets Reports'!D2685)),TRIM(MID('R.M Billets Reports'!D2685,SEARCH("-",'R.M Billets Reports'!D2685)+1,200)),"")))="VRKP ISPAT PVT LTD","VRKP",IF(IF(IF(ISNUMBER(SEARCH("Party Name:-",'R.M Billets Reports'!D2684)),TRIM('R.M Billets Reports'!F2684),IF(ISNUMBER(SEARCH("Party Name-",'R.M Billets Reports'!D2684)),TRIM(MID('R.M Billets Reports'!D2684,SEARCH("-",'R.M Billets Reports'!D2684)+1,200)),""))&lt;&gt;"",IF(ISNUMBER(SEARCH("Party Name:-",'R.M Billets Reports'!D2684)),TRIM('R.M Billets Reports'!F2684),IF(ISNUMBER(SEARCH("Party Name-",'R.M Billets Reports'!D2684)),TRIM(MID('R.M Billets Reports'!D2684,SEARCH("-",'R.M Billets Reports'!D2684)+1,200)),"")),IF(ISNUMBER(SEARCH("Party Name:-",'R.M Billets Reports'!D2685)),TRIM('R.M Billets Reports'!F2685),IF(ISNUMBER(SEARCH("Party Name-",'R.M Billets Reports'!D2685)),TRIM(MID('R.M Billets Reports'!D2685,SEARCH("-",'R.M Billets Reports'!D2685)+1,200)),"")))="SHRI RADHE","SHREE RADHE",IF(IF(IF(ISNUMBER(SEARCH("Party Name:-",'R.M Billets Reports'!D2684)),TRIM('R.M Billets Reports'!F2684),IF(ISNUMBER(SEARCH("Party Name-",'R.M Billets Reports'!D2684)),TRIM(MID('R.M Billets Reports'!D2684,SEARCH("-",'R.M Billets Reports'!D2684)+1,200)),""))&lt;&gt;"",IF(ISNUMBER(SEARCH("Party Name:-",'R.M Billets Reports'!D2684)),TRIM('R.M Billets Reports'!F2684),IF(ISNUMBER(SEARCH("Party Name-",'R.M Billets Reports'!D2684)),TRIM(MID('R.M Billets Reports'!D2684,SEARCH("-",'R.M Billets Reports'!D2684)+1,200)),"")),IF(ISNUMBER(SEARCH("Party Name:-",'R.M Billets Reports'!D2685)),TRIM('R.M Billets Reports'!F2685),IF(ISNUMBER(SEARCH("Party Name-",'R.M Billets Reports'!D2685)),TRIM(MID('R.M Billets Reports'!D2685,SEARCH("-",'R.M Billets Reports'!D2685)+1,200)),"")))="SHREE RADHE SHAKTI SPONGE AND POWER PVT. LTD.","SHREE RADHE",IF(IF(ISNUMBER(SEARCH("Party Name:-",'R.M Billets Reports'!D2684)),TRIM('R.M Billets Reports'!F2684),IF(ISNUMBER(SEARCH("Party Name-",'R.M Billets Reports'!D2684)),TRIM(MID('R.M Billets Reports'!D2684,SEARCH("-",'R.M Billets Reports'!D2684)+1,200)),""))&lt;&gt;"",IF(ISNUMBER(SEARCH("Party Name:-",'R.M Billets Reports'!D2684)),TRIM('R.M Billets Reports'!F2684),IF(ISNUMBER(SEARCH("Party Name-",'R.M Billets Reports'!D2684)),TRIM(MID('R.M Billets Reports'!D2684,SEARCH("-",'R.M Billets Reports'!D2684)+1,200)),"")),IF(ISNUMBER(SEARCH("Party Name:-",'R.M Billets Reports'!D2685)),TRIM('R.M Billets Reports'!F2685),IF(ISNUMBER(SEARCH("Party Name-",'R.M Billets Reports'!D2685)),TRIM(MID('R.M Billets Reports'!D2685,SEARCH("-",'R.M Billets Reports'!D2685)+1,200)),"")))))),IF(ROW()=2,"",A2684))</f>
      </c>
      <c r="B2685">
        <f>IF(OR('R.M Billets Reports'!A2684="Date-",'R.M Billets Reports'!A2684="Date:-"),'R.M Billets Reports'!B2684,IF(ROW()=2,"",B2684))</f>
      </c>
      <c r="C2685">
        <f>IF('R.M Billets Reports'!A2684="V.No.",'R.M Billets Reports'!B2684,IF(ROW()=2,"",C2684))</f>
      </c>
      <c r="D2685">
        <f>IF('R.M Billets Reports'!A2684&lt;&gt;"",'R.M Billets Reports'!A2684,IF(ROW()=2,"",D2684))</f>
      </c>
      <c r="E2685">
        <f>IF('R.M Billets Reports'!B2684="","",TRIM('R.M Billets Reports'!B2684))</f>
      </c>
      <c r="F2685">
        <f>'R.M Billets Reports'!C2684</f>
      </c>
      <c r="G2685">
        <f>'R.M Billets Reports'!D2684</f>
      </c>
      <c r="H2685">
        <f>'R.M Billets Reports'!E2684</f>
      </c>
      <c r="I2685">
        <f>'R.M Billets Reports'!F2684</f>
      </c>
      <c r="J2685">
        <f>'R.M Billets Reports'!G2684</f>
      </c>
      <c r="K2685">
        <f>'R.M Billets Reports'!H2684</f>
      </c>
      <c r="L2685">
        <f>IF('R.M Billets Reports'!I2684="","",'R.M Billets Reports'!I2684)</f>
      </c>
      <c r="M2685">
        <f t="shared" si="82"/>
      </c>
      <c r="N2685">
        <f>IF('R.M Billets Reports'!J2684="","",'R.M Billets Reports'!J2684)</f>
      </c>
      <c r="O2685">
        <f t="shared" si="83"/>
      </c>
      <c r="P2685">
        <f>IF('R.M Billets Reports'!A2684="SIZE",'R.M Billets Reports'!B2684,P2684)</f>
      </c>
    </row>
    <row r="2686" spans="1:16" x14ac:dyDescent="0.25">
      <c r="A2686">
        <f>IF(OR('R.M Billets Reports'!A2685="Date-",'R.M Billets Reports'!A2685="Date:-"),IF(IF(IF(ISNUMBER(SEARCH("Party Name:-",'R.M Billets Reports'!D2685)),TRIM('R.M Billets Reports'!F2685),IF(ISNUMBER(SEARCH("Party Name-",'R.M Billets Reports'!D2685)),TRIM(MID('R.M Billets Reports'!D2685,SEARCH("-",'R.M Billets Reports'!D2685)+1,200)),""))&lt;&gt;"",IF(ISNUMBER(SEARCH("Party Name:-",'R.M Billets Reports'!D2685)),TRIM('R.M Billets Reports'!F2685),IF(ISNUMBER(SEARCH("Party Name-",'R.M Billets Reports'!D2685)),TRIM(MID('R.M Billets Reports'!D2685,SEARCH("-",'R.M Billets Reports'!D2685)+1,200)),"")),IF(ISNUMBER(SEARCH("Party Name:-",'R.M Billets Reports'!D2686)),TRIM('R.M Billets Reports'!F2686),IF(ISNUMBER(SEARCH("Party Name-",'R.M Billets Reports'!D2686)),TRIM(MID('R.M Billets Reports'!D2686,SEARCH("-",'R.M Billets Reports'!D2686)+1,200)),"")))="VRKP ISPAT PVT LTD","VRKP",IF(IF(IF(ISNUMBER(SEARCH("Party Name:-",'R.M Billets Reports'!D2685)),TRIM('R.M Billets Reports'!F2685),IF(ISNUMBER(SEARCH("Party Name-",'R.M Billets Reports'!D2685)),TRIM(MID('R.M Billets Reports'!D2685,SEARCH("-",'R.M Billets Reports'!D2685)+1,200)),""))&lt;&gt;"",IF(ISNUMBER(SEARCH("Party Name:-",'R.M Billets Reports'!D2685)),TRIM('R.M Billets Reports'!F2685),IF(ISNUMBER(SEARCH("Party Name-",'R.M Billets Reports'!D2685)),TRIM(MID('R.M Billets Reports'!D2685,SEARCH("-",'R.M Billets Reports'!D2685)+1,200)),"")),IF(ISNUMBER(SEARCH("Party Name:-",'R.M Billets Reports'!D2686)),TRIM('R.M Billets Reports'!F2686),IF(ISNUMBER(SEARCH("Party Name-",'R.M Billets Reports'!D2686)),TRIM(MID('R.M Billets Reports'!D2686,SEARCH("-",'R.M Billets Reports'!D2686)+1,200)),"")))="SHRI RADHE","SHREE RADHE",IF(IF(IF(ISNUMBER(SEARCH("Party Name:-",'R.M Billets Reports'!D2685)),TRIM('R.M Billets Reports'!F2685),IF(ISNUMBER(SEARCH("Party Name-",'R.M Billets Reports'!D2685)),TRIM(MID('R.M Billets Reports'!D2685,SEARCH("-",'R.M Billets Reports'!D2685)+1,200)),""))&lt;&gt;"",IF(ISNUMBER(SEARCH("Party Name:-",'R.M Billets Reports'!D2685)),TRIM('R.M Billets Reports'!F2685),IF(ISNUMBER(SEARCH("Party Name-",'R.M Billets Reports'!D2685)),TRIM(MID('R.M Billets Reports'!D2685,SEARCH("-",'R.M Billets Reports'!D2685)+1,200)),"")),IF(ISNUMBER(SEARCH("Party Name:-",'R.M Billets Reports'!D2686)),TRIM('R.M Billets Reports'!F2686),IF(ISNUMBER(SEARCH("Party Name-",'R.M Billets Reports'!D2686)),TRIM(MID('R.M Billets Reports'!D2686,SEARCH("-",'R.M Billets Reports'!D2686)+1,200)),"")))="SHREE RADHE SHAKTI SPONGE AND POWER PVT. LTD.","SHREE RADHE",IF(IF(ISNUMBER(SEARCH("Party Name:-",'R.M Billets Reports'!D2685)),TRIM('R.M Billets Reports'!F2685),IF(ISNUMBER(SEARCH("Party Name-",'R.M Billets Reports'!D2685)),TRIM(MID('R.M Billets Reports'!D2685,SEARCH("-",'R.M Billets Reports'!D2685)+1,200)),""))&lt;&gt;"",IF(ISNUMBER(SEARCH("Party Name:-",'R.M Billets Reports'!D2685)),TRIM('R.M Billets Reports'!F2685),IF(ISNUMBER(SEARCH("Party Name-",'R.M Billets Reports'!D2685)),TRIM(MID('R.M Billets Reports'!D2685,SEARCH("-",'R.M Billets Reports'!D2685)+1,200)),"")),IF(ISNUMBER(SEARCH("Party Name:-",'R.M Billets Reports'!D2686)),TRIM('R.M Billets Reports'!F2686),IF(ISNUMBER(SEARCH("Party Name-",'R.M Billets Reports'!D2686)),TRIM(MID('R.M Billets Reports'!D2686,SEARCH("-",'R.M Billets Reports'!D2686)+1,200)),"")))))),IF(ROW()=2,"",A2685))</f>
      </c>
      <c r="B2686">
        <f>IF(OR('R.M Billets Reports'!A2685="Date-",'R.M Billets Reports'!A2685="Date:-"),'R.M Billets Reports'!B2685,IF(ROW()=2,"",B2685))</f>
      </c>
      <c r="C2686">
        <f>IF('R.M Billets Reports'!A2685="V.No.",'R.M Billets Reports'!B2685,IF(ROW()=2,"",C2685))</f>
      </c>
      <c r="D2686">
        <f>IF('R.M Billets Reports'!A2685&lt;&gt;"",'R.M Billets Reports'!A2685,IF(ROW()=2,"",D2685))</f>
      </c>
      <c r="E2686">
        <f>IF('R.M Billets Reports'!B2685="","",TRIM('R.M Billets Reports'!B2685))</f>
      </c>
      <c r="F2686">
        <f>'R.M Billets Reports'!C2685</f>
      </c>
      <c r="G2686">
        <f>'R.M Billets Reports'!D2685</f>
      </c>
      <c r="H2686">
        <f>'R.M Billets Reports'!E2685</f>
      </c>
      <c r="I2686">
        <f>'R.M Billets Reports'!F2685</f>
      </c>
      <c r="J2686">
        <f>'R.M Billets Reports'!G2685</f>
      </c>
      <c r="K2686">
        <f>'R.M Billets Reports'!H2685</f>
      </c>
      <c r="L2686">
        <f>IF('R.M Billets Reports'!I2685="","",'R.M Billets Reports'!I2685)</f>
      </c>
      <c r="M2686">
        <f t="shared" si="82"/>
      </c>
      <c r="N2686">
        <f>IF('R.M Billets Reports'!J2685="","",'R.M Billets Reports'!J2685)</f>
      </c>
      <c r="O2686">
        <f t="shared" si="83"/>
      </c>
      <c r="P2686">
        <f>IF('R.M Billets Reports'!A2685="SIZE",'R.M Billets Reports'!B2685,P2685)</f>
      </c>
    </row>
    <row r="2687" spans="1:16" x14ac:dyDescent="0.25">
      <c r="A2687">
        <f>IF(OR('R.M Billets Reports'!A2686="Date-",'R.M Billets Reports'!A2686="Date:-"),IF(IF(IF(ISNUMBER(SEARCH("Party Name:-",'R.M Billets Reports'!D2686)),TRIM('R.M Billets Reports'!F2686),IF(ISNUMBER(SEARCH("Party Name-",'R.M Billets Reports'!D2686)),TRIM(MID('R.M Billets Reports'!D2686,SEARCH("-",'R.M Billets Reports'!D2686)+1,200)),""))&lt;&gt;"",IF(ISNUMBER(SEARCH("Party Name:-",'R.M Billets Reports'!D2686)),TRIM('R.M Billets Reports'!F2686),IF(ISNUMBER(SEARCH("Party Name-",'R.M Billets Reports'!D2686)),TRIM(MID('R.M Billets Reports'!D2686,SEARCH("-",'R.M Billets Reports'!D2686)+1,200)),"")),IF(ISNUMBER(SEARCH("Party Name:-",'R.M Billets Reports'!D2687)),TRIM('R.M Billets Reports'!F2687),IF(ISNUMBER(SEARCH("Party Name-",'R.M Billets Reports'!D2687)),TRIM(MID('R.M Billets Reports'!D2687,SEARCH("-",'R.M Billets Reports'!D2687)+1,200)),"")))="VRKP ISPAT PVT LTD","VRKP",IF(IF(IF(ISNUMBER(SEARCH("Party Name:-",'R.M Billets Reports'!D2686)),TRIM('R.M Billets Reports'!F2686),IF(ISNUMBER(SEARCH("Party Name-",'R.M Billets Reports'!D2686)),TRIM(MID('R.M Billets Reports'!D2686,SEARCH("-",'R.M Billets Reports'!D2686)+1,200)),""))&lt;&gt;"",IF(ISNUMBER(SEARCH("Party Name:-",'R.M Billets Reports'!D2686)),TRIM('R.M Billets Reports'!F2686),IF(ISNUMBER(SEARCH("Party Name-",'R.M Billets Reports'!D2686)),TRIM(MID('R.M Billets Reports'!D2686,SEARCH("-",'R.M Billets Reports'!D2686)+1,200)),"")),IF(ISNUMBER(SEARCH("Party Name:-",'R.M Billets Reports'!D2687)),TRIM('R.M Billets Reports'!F2687),IF(ISNUMBER(SEARCH("Party Name-",'R.M Billets Reports'!D2687)),TRIM(MID('R.M Billets Reports'!D2687,SEARCH("-",'R.M Billets Reports'!D2687)+1,200)),"")))="SHRI RADHE","SHREE RADHE",IF(IF(IF(ISNUMBER(SEARCH("Party Name:-",'R.M Billets Reports'!D2686)),TRIM('R.M Billets Reports'!F2686),IF(ISNUMBER(SEARCH("Party Name-",'R.M Billets Reports'!D2686)),TRIM(MID('R.M Billets Reports'!D2686,SEARCH("-",'R.M Billets Reports'!D2686)+1,200)),""))&lt;&gt;"",IF(ISNUMBER(SEARCH("Party Name:-",'R.M Billets Reports'!D2686)),TRIM('R.M Billets Reports'!F2686),IF(ISNUMBER(SEARCH("Party Name-",'R.M Billets Reports'!D2686)),TRIM(MID('R.M Billets Reports'!D2686,SEARCH("-",'R.M Billets Reports'!D2686)+1,200)),"")),IF(ISNUMBER(SEARCH("Party Name:-",'R.M Billets Reports'!D2687)),TRIM('R.M Billets Reports'!F2687),IF(ISNUMBER(SEARCH("Party Name-",'R.M Billets Reports'!D2687)),TRIM(MID('R.M Billets Reports'!D2687,SEARCH("-",'R.M Billets Reports'!D2687)+1,200)),"")))="SHREE RADHE SHAKTI SPONGE AND POWER PVT. LTD.","SHREE RADHE",IF(IF(ISNUMBER(SEARCH("Party Name:-",'R.M Billets Reports'!D2686)),TRIM('R.M Billets Reports'!F2686),IF(ISNUMBER(SEARCH("Party Name-",'R.M Billets Reports'!D2686)),TRIM(MID('R.M Billets Reports'!D2686,SEARCH("-",'R.M Billets Reports'!D2686)+1,200)),""))&lt;&gt;"",IF(ISNUMBER(SEARCH("Party Name:-",'R.M Billets Reports'!D2686)),TRIM('R.M Billets Reports'!F2686),IF(ISNUMBER(SEARCH("Party Name-",'R.M Billets Reports'!D2686)),TRIM(MID('R.M Billets Reports'!D2686,SEARCH("-",'R.M Billets Reports'!D2686)+1,200)),"")),IF(ISNUMBER(SEARCH("Party Name:-",'R.M Billets Reports'!D2687)),TRIM('R.M Billets Reports'!F2687),IF(ISNUMBER(SEARCH("Party Name-",'R.M Billets Reports'!D2687)),TRIM(MID('R.M Billets Reports'!D2687,SEARCH("-",'R.M Billets Reports'!D2687)+1,200)),"")))))),IF(ROW()=2,"",A2686))</f>
      </c>
      <c r="B2687">
        <f>IF(OR('R.M Billets Reports'!A2686="Date-",'R.M Billets Reports'!A2686="Date:-"),'R.M Billets Reports'!B2686,IF(ROW()=2,"",B2686))</f>
      </c>
      <c r="C2687">
        <f>IF('R.M Billets Reports'!A2686="V.No.",'R.M Billets Reports'!B2686,IF(ROW()=2,"",C2686))</f>
      </c>
      <c r="D2687">
        <f>IF('R.M Billets Reports'!A2686&lt;&gt;"",'R.M Billets Reports'!A2686,IF(ROW()=2,"",D2686))</f>
      </c>
      <c r="E2687">
        <f>IF('R.M Billets Reports'!B2686="","",TRIM('R.M Billets Reports'!B2686))</f>
      </c>
      <c r="F2687">
        <f>'R.M Billets Reports'!C2686</f>
      </c>
      <c r="G2687">
        <f>'R.M Billets Reports'!D2686</f>
      </c>
      <c r="H2687">
        <f>'R.M Billets Reports'!E2686</f>
      </c>
      <c r="I2687">
        <f>'R.M Billets Reports'!F2686</f>
      </c>
      <c r="J2687">
        <f>'R.M Billets Reports'!G2686</f>
      </c>
      <c r="K2687">
        <f>'R.M Billets Reports'!H2686</f>
      </c>
      <c r="L2687">
        <f>IF('R.M Billets Reports'!I2686="","",'R.M Billets Reports'!I2686)</f>
      </c>
      <c r="M2687">
        <f t="shared" si="82"/>
      </c>
      <c r="N2687">
        <f>IF('R.M Billets Reports'!J2686="","",'R.M Billets Reports'!J2686)</f>
      </c>
      <c r="O2687">
        <f t="shared" si="83"/>
      </c>
      <c r="P2687">
        <f>IF('R.M Billets Reports'!A2686="SIZE",'R.M Billets Reports'!B2686,P2686)</f>
      </c>
    </row>
    <row r="2688" spans="1:16" x14ac:dyDescent="0.25">
      <c r="A2688">
        <f>IF(OR('R.M Billets Reports'!A2687="Date-",'R.M Billets Reports'!A2687="Date:-"),IF(IF(IF(ISNUMBER(SEARCH("Party Name:-",'R.M Billets Reports'!D2687)),TRIM('R.M Billets Reports'!F2687),IF(ISNUMBER(SEARCH("Party Name-",'R.M Billets Reports'!D2687)),TRIM(MID('R.M Billets Reports'!D2687,SEARCH("-",'R.M Billets Reports'!D2687)+1,200)),""))&lt;&gt;"",IF(ISNUMBER(SEARCH("Party Name:-",'R.M Billets Reports'!D2687)),TRIM('R.M Billets Reports'!F2687),IF(ISNUMBER(SEARCH("Party Name-",'R.M Billets Reports'!D2687)),TRIM(MID('R.M Billets Reports'!D2687,SEARCH("-",'R.M Billets Reports'!D2687)+1,200)),"")),IF(ISNUMBER(SEARCH("Party Name:-",'R.M Billets Reports'!D2688)),TRIM('R.M Billets Reports'!F2688),IF(ISNUMBER(SEARCH("Party Name-",'R.M Billets Reports'!D2688)),TRIM(MID('R.M Billets Reports'!D2688,SEARCH("-",'R.M Billets Reports'!D2688)+1,200)),"")))="VRKP ISPAT PVT LTD","VRKP",IF(IF(IF(ISNUMBER(SEARCH("Party Name:-",'R.M Billets Reports'!D2687)),TRIM('R.M Billets Reports'!F2687),IF(ISNUMBER(SEARCH("Party Name-",'R.M Billets Reports'!D2687)),TRIM(MID('R.M Billets Reports'!D2687,SEARCH("-",'R.M Billets Reports'!D2687)+1,200)),""))&lt;&gt;"",IF(ISNUMBER(SEARCH("Party Name:-",'R.M Billets Reports'!D2687)),TRIM('R.M Billets Reports'!F2687),IF(ISNUMBER(SEARCH("Party Name-",'R.M Billets Reports'!D2687)),TRIM(MID('R.M Billets Reports'!D2687,SEARCH("-",'R.M Billets Reports'!D2687)+1,200)),"")),IF(ISNUMBER(SEARCH("Party Name:-",'R.M Billets Reports'!D2688)),TRIM('R.M Billets Reports'!F2688),IF(ISNUMBER(SEARCH("Party Name-",'R.M Billets Reports'!D2688)),TRIM(MID('R.M Billets Reports'!D2688,SEARCH("-",'R.M Billets Reports'!D2688)+1,200)),"")))="SHRI RADHE","SHREE RADHE",IF(IF(IF(ISNUMBER(SEARCH("Party Name:-",'R.M Billets Reports'!D2687)),TRIM('R.M Billets Reports'!F2687),IF(ISNUMBER(SEARCH("Party Name-",'R.M Billets Reports'!D2687)),TRIM(MID('R.M Billets Reports'!D2687,SEARCH("-",'R.M Billets Reports'!D2687)+1,200)),""))&lt;&gt;"",IF(ISNUMBER(SEARCH("Party Name:-",'R.M Billets Reports'!D2687)),TRIM('R.M Billets Reports'!F2687),IF(ISNUMBER(SEARCH("Party Name-",'R.M Billets Reports'!D2687)),TRIM(MID('R.M Billets Reports'!D2687,SEARCH("-",'R.M Billets Reports'!D2687)+1,200)),"")),IF(ISNUMBER(SEARCH("Party Name:-",'R.M Billets Reports'!D2688)),TRIM('R.M Billets Reports'!F2688),IF(ISNUMBER(SEARCH("Party Name-",'R.M Billets Reports'!D2688)),TRIM(MID('R.M Billets Reports'!D2688,SEARCH("-",'R.M Billets Reports'!D2688)+1,200)),"")))="SHREE RADHE SHAKTI SPONGE AND POWER PVT. LTD.","SHREE RADHE",IF(IF(ISNUMBER(SEARCH("Party Name:-",'R.M Billets Reports'!D2687)),TRIM('R.M Billets Reports'!F2687),IF(ISNUMBER(SEARCH("Party Name-",'R.M Billets Reports'!D2687)),TRIM(MID('R.M Billets Reports'!D2687,SEARCH("-",'R.M Billets Reports'!D2687)+1,200)),""))&lt;&gt;"",IF(ISNUMBER(SEARCH("Party Name:-",'R.M Billets Reports'!D2687)),TRIM('R.M Billets Reports'!F2687),IF(ISNUMBER(SEARCH("Party Name-",'R.M Billets Reports'!D2687)),TRIM(MID('R.M Billets Reports'!D2687,SEARCH("-",'R.M Billets Reports'!D2687)+1,200)),"")),IF(ISNUMBER(SEARCH("Party Name:-",'R.M Billets Reports'!D2688)),TRIM('R.M Billets Reports'!F2688),IF(ISNUMBER(SEARCH("Party Name-",'R.M Billets Reports'!D2688)),TRIM(MID('R.M Billets Reports'!D2688,SEARCH("-",'R.M Billets Reports'!D2688)+1,200)),"")))))),IF(ROW()=2,"",A2687))</f>
      </c>
      <c r="B2688">
        <f>IF(OR('R.M Billets Reports'!A2687="Date-",'R.M Billets Reports'!A2687="Date:-"),'R.M Billets Reports'!B2687,IF(ROW()=2,"",B2687))</f>
      </c>
      <c r="C2688">
        <f>IF('R.M Billets Reports'!A2687="V.No.",'R.M Billets Reports'!B2687,IF(ROW()=2,"",C2687))</f>
      </c>
      <c r="D2688">
        <f>IF('R.M Billets Reports'!A2687&lt;&gt;"",'R.M Billets Reports'!A2687,IF(ROW()=2,"",D2687))</f>
      </c>
      <c r="E2688">
        <f>IF('R.M Billets Reports'!B2687="","",TRIM('R.M Billets Reports'!B2687))</f>
      </c>
      <c r="F2688">
        <f>'R.M Billets Reports'!C2687</f>
      </c>
      <c r="G2688">
        <f>'R.M Billets Reports'!D2687</f>
      </c>
      <c r="H2688">
        <f>'R.M Billets Reports'!E2687</f>
      </c>
      <c r="I2688">
        <f>'R.M Billets Reports'!F2687</f>
      </c>
      <c r="J2688">
        <f>'R.M Billets Reports'!G2687</f>
      </c>
      <c r="K2688">
        <f>'R.M Billets Reports'!H2687</f>
      </c>
      <c r="L2688">
        <f>IF('R.M Billets Reports'!I2687="","",'R.M Billets Reports'!I2687)</f>
      </c>
      <c r="M2688">
        <f t="shared" si="82"/>
      </c>
      <c r="N2688">
        <f>IF('R.M Billets Reports'!J2687="","",'R.M Billets Reports'!J2687)</f>
      </c>
      <c r="O2688">
        <f t="shared" si="83"/>
      </c>
      <c r="P2688">
        <f>IF('R.M Billets Reports'!A2687="SIZE",'R.M Billets Reports'!B2687,P2687)</f>
      </c>
    </row>
    <row r="2689" spans="1:16" x14ac:dyDescent="0.25">
      <c r="A2689">
        <f>IF(OR('R.M Billets Reports'!A2688="Date-",'R.M Billets Reports'!A2688="Date:-"),IF(IF(IF(ISNUMBER(SEARCH("Party Name:-",'R.M Billets Reports'!D2688)),TRIM('R.M Billets Reports'!F2688),IF(ISNUMBER(SEARCH("Party Name-",'R.M Billets Reports'!D2688)),TRIM(MID('R.M Billets Reports'!D2688,SEARCH("-",'R.M Billets Reports'!D2688)+1,200)),""))&lt;&gt;"",IF(ISNUMBER(SEARCH("Party Name:-",'R.M Billets Reports'!D2688)),TRIM('R.M Billets Reports'!F2688),IF(ISNUMBER(SEARCH("Party Name-",'R.M Billets Reports'!D2688)),TRIM(MID('R.M Billets Reports'!D2688,SEARCH("-",'R.M Billets Reports'!D2688)+1,200)),"")),IF(ISNUMBER(SEARCH("Party Name:-",'R.M Billets Reports'!D2689)),TRIM('R.M Billets Reports'!F2689),IF(ISNUMBER(SEARCH("Party Name-",'R.M Billets Reports'!D2689)),TRIM(MID('R.M Billets Reports'!D2689,SEARCH("-",'R.M Billets Reports'!D2689)+1,200)),"")))="VRKP ISPAT PVT LTD","VRKP",IF(IF(IF(ISNUMBER(SEARCH("Party Name:-",'R.M Billets Reports'!D2688)),TRIM('R.M Billets Reports'!F2688),IF(ISNUMBER(SEARCH("Party Name-",'R.M Billets Reports'!D2688)),TRIM(MID('R.M Billets Reports'!D2688,SEARCH("-",'R.M Billets Reports'!D2688)+1,200)),""))&lt;&gt;"",IF(ISNUMBER(SEARCH("Party Name:-",'R.M Billets Reports'!D2688)),TRIM('R.M Billets Reports'!F2688),IF(ISNUMBER(SEARCH("Party Name-",'R.M Billets Reports'!D2688)),TRIM(MID('R.M Billets Reports'!D2688,SEARCH("-",'R.M Billets Reports'!D2688)+1,200)),"")),IF(ISNUMBER(SEARCH("Party Name:-",'R.M Billets Reports'!D2689)),TRIM('R.M Billets Reports'!F2689),IF(ISNUMBER(SEARCH("Party Name-",'R.M Billets Reports'!D2689)),TRIM(MID('R.M Billets Reports'!D2689,SEARCH("-",'R.M Billets Reports'!D2689)+1,200)),"")))="SHRI RADHE","SHREE RADHE",IF(IF(IF(ISNUMBER(SEARCH("Party Name:-",'R.M Billets Reports'!D2688)),TRIM('R.M Billets Reports'!F2688),IF(ISNUMBER(SEARCH("Party Name-",'R.M Billets Reports'!D2688)),TRIM(MID('R.M Billets Reports'!D2688,SEARCH("-",'R.M Billets Reports'!D2688)+1,200)),""))&lt;&gt;"",IF(ISNUMBER(SEARCH("Party Name:-",'R.M Billets Reports'!D2688)),TRIM('R.M Billets Reports'!F2688),IF(ISNUMBER(SEARCH("Party Name-",'R.M Billets Reports'!D2688)),TRIM(MID('R.M Billets Reports'!D2688,SEARCH("-",'R.M Billets Reports'!D2688)+1,200)),"")),IF(ISNUMBER(SEARCH("Party Name:-",'R.M Billets Reports'!D2689)),TRIM('R.M Billets Reports'!F2689),IF(ISNUMBER(SEARCH("Party Name-",'R.M Billets Reports'!D2689)),TRIM(MID('R.M Billets Reports'!D2689,SEARCH("-",'R.M Billets Reports'!D2689)+1,200)),"")))="SHREE RADHE SHAKTI SPONGE AND POWER PVT. LTD.","SHREE RADHE",IF(IF(ISNUMBER(SEARCH("Party Name:-",'R.M Billets Reports'!D2688)),TRIM('R.M Billets Reports'!F2688),IF(ISNUMBER(SEARCH("Party Name-",'R.M Billets Reports'!D2688)),TRIM(MID('R.M Billets Reports'!D2688,SEARCH("-",'R.M Billets Reports'!D2688)+1,200)),""))&lt;&gt;"",IF(ISNUMBER(SEARCH("Party Name:-",'R.M Billets Reports'!D2688)),TRIM('R.M Billets Reports'!F2688),IF(ISNUMBER(SEARCH("Party Name-",'R.M Billets Reports'!D2688)),TRIM(MID('R.M Billets Reports'!D2688,SEARCH("-",'R.M Billets Reports'!D2688)+1,200)),"")),IF(ISNUMBER(SEARCH("Party Name:-",'R.M Billets Reports'!D2689)),TRIM('R.M Billets Reports'!F2689),IF(ISNUMBER(SEARCH("Party Name-",'R.M Billets Reports'!D2689)),TRIM(MID('R.M Billets Reports'!D2689,SEARCH("-",'R.M Billets Reports'!D2689)+1,200)),"")))))),IF(ROW()=2,"",A2688))</f>
      </c>
      <c r="B2689">
        <f>IF(OR('R.M Billets Reports'!A2688="Date-",'R.M Billets Reports'!A2688="Date:-"),'R.M Billets Reports'!B2688,IF(ROW()=2,"",B2688))</f>
      </c>
      <c r="C2689">
        <f>IF('R.M Billets Reports'!A2688="V.No.",'R.M Billets Reports'!B2688,IF(ROW()=2,"",C2688))</f>
      </c>
      <c r="D2689">
        <f>IF('R.M Billets Reports'!A2688&lt;&gt;"",'R.M Billets Reports'!A2688,IF(ROW()=2,"",D2688))</f>
      </c>
      <c r="E2689">
        <f>IF('R.M Billets Reports'!B2688="","",TRIM('R.M Billets Reports'!B2688))</f>
      </c>
      <c r="F2689">
        <f>'R.M Billets Reports'!C2688</f>
      </c>
      <c r="G2689">
        <f>'R.M Billets Reports'!D2688</f>
      </c>
      <c r="H2689">
        <f>'R.M Billets Reports'!E2688</f>
      </c>
      <c r="I2689">
        <f>'R.M Billets Reports'!F2688</f>
      </c>
      <c r="J2689">
        <f>'R.M Billets Reports'!G2688</f>
      </c>
      <c r="K2689">
        <f>'R.M Billets Reports'!H2688</f>
      </c>
      <c r="L2689">
        <f>IF('R.M Billets Reports'!I2688="","",'R.M Billets Reports'!I2688)</f>
      </c>
      <c r="M2689">
        <f t="shared" si="82"/>
      </c>
      <c r="N2689">
        <f>IF('R.M Billets Reports'!J2688="","",'R.M Billets Reports'!J2688)</f>
      </c>
      <c r="O2689">
        <f t="shared" si="83"/>
      </c>
      <c r="P2689">
        <f>IF('R.M Billets Reports'!A2688="SIZE",'R.M Billets Reports'!B2688,P2688)</f>
      </c>
    </row>
    <row r="2690" spans="1:16" x14ac:dyDescent="0.25">
      <c r="A2690">
        <f>IF(OR('R.M Billets Reports'!A2689="Date-",'R.M Billets Reports'!A2689="Date:-"),IF(IF(IF(ISNUMBER(SEARCH("Party Name:-",'R.M Billets Reports'!D2689)),TRIM('R.M Billets Reports'!F2689),IF(ISNUMBER(SEARCH("Party Name-",'R.M Billets Reports'!D2689)),TRIM(MID('R.M Billets Reports'!D2689,SEARCH("-",'R.M Billets Reports'!D2689)+1,200)),""))&lt;&gt;"",IF(ISNUMBER(SEARCH("Party Name:-",'R.M Billets Reports'!D2689)),TRIM('R.M Billets Reports'!F2689),IF(ISNUMBER(SEARCH("Party Name-",'R.M Billets Reports'!D2689)),TRIM(MID('R.M Billets Reports'!D2689,SEARCH("-",'R.M Billets Reports'!D2689)+1,200)),"")),IF(ISNUMBER(SEARCH("Party Name:-",'R.M Billets Reports'!D2690)),TRIM('R.M Billets Reports'!F2690),IF(ISNUMBER(SEARCH("Party Name-",'R.M Billets Reports'!D2690)),TRIM(MID('R.M Billets Reports'!D2690,SEARCH("-",'R.M Billets Reports'!D2690)+1,200)),"")))="VRKP ISPAT PVT LTD","VRKP",IF(IF(IF(ISNUMBER(SEARCH("Party Name:-",'R.M Billets Reports'!D2689)),TRIM('R.M Billets Reports'!F2689),IF(ISNUMBER(SEARCH("Party Name-",'R.M Billets Reports'!D2689)),TRIM(MID('R.M Billets Reports'!D2689,SEARCH("-",'R.M Billets Reports'!D2689)+1,200)),""))&lt;&gt;"",IF(ISNUMBER(SEARCH("Party Name:-",'R.M Billets Reports'!D2689)),TRIM('R.M Billets Reports'!F2689),IF(ISNUMBER(SEARCH("Party Name-",'R.M Billets Reports'!D2689)),TRIM(MID('R.M Billets Reports'!D2689,SEARCH("-",'R.M Billets Reports'!D2689)+1,200)),"")),IF(ISNUMBER(SEARCH("Party Name:-",'R.M Billets Reports'!D2690)),TRIM('R.M Billets Reports'!F2690),IF(ISNUMBER(SEARCH("Party Name-",'R.M Billets Reports'!D2690)),TRIM(MID('R.M Billets Reports'!D2690,SEARCH("-",'R.M Billets Reports'!D2690)+1,200)),"")))="SHRI RADHE","SHREE RADHE",IF(IF(IF(ISNUMBER(SEARCH("Party Name:-",'R.M Billets Reports'!D2689)),TRIM('R.M Billets Reports'!F2689),IF(ISNUMBER(SEARCH("Party Name-",'R.M Billets Reports'!D2689)),TRIM(MID('R.M Billets Reports'!D2689,SEARCH("-",'R.M Billets Reports'!D2689)+1,200)),""))&lt;&gt;"",IF(ISNUMBER(SEARCH("Party Name:-",'R.M Billets Reports'!D2689)),TRIM('R.M Billets Reports'!F2689),IF(ISNUMBER(SEARCH("Party Name-",'R.M Billets Reports'!D2689)),TRIM(MID('R.M Billets Reports'!D2689,SEARCH("-",'R.M Billets Reports'!D2689)+1,200)),"")),IF(ISNUMBER(SEARCH("Party Name:-",'R.M Billets Reports'!D2690)),TRIM('R.M Billets Reports'!F2690),IF(ISNUMBER(SEARCH("Party Name-",'R.M Billets Reports'!D2690)),TRIM(MID('R.M Billets Reports'!D2690,SEARCH("-",'R.M Billets Reports'!D2690)+1,200)),"")))="SHREE RADHE SHAKTI SPONGE AND POWER PVT. LTD.","SHREE RADHE",IF(IF(ISNUMBER(SEARCH("Party Name:-",'R.M Billets Reports'!D2689)),TRIM('R.M Billets Reports'!F2689),IF(ISNUMBER(SEARCH("Party Name-",'R.M Billets Reports'!D2689)),TRIM(MID('R.M Billets Reports'!D2689,SEARCH("-",'R.M Billets Reports'!D2689)+1,200)),""))&lt;&gt;"",IF(ISNUMBER(SEARCH("Party Name:-",'R.M Billets Reports'!D2689)),TRIM('R.M Billets Reports'!F2689),IF(ISNUMBER(SEARCH("Party Name-",'R.M Billets Reports'!D2689)),TRIM(MID('R.M Billets Reports'!D2689,SEARCH("-",'R.M Billets Reports'!D2689)+1,200)),"")),IF(ISNUMBER(SEARCH("Party Name:-",'R.M Billets Reports'!D2690)),TRIM('R.M Billets Reports'!F2690),IF(ISNUMBER(SEARCH("Party Name-",'R.M Billets Reports'!D2690)),TRIM(MID('R.M Billets Reports'!D2690,SEARCH("-",'R.M Billets Reports'!D2690)+1,200)),"")))))),IF(ROW()=2,"",A2689))</f>
      </c>
      <c r="B2690">
        <f>IF(OR('R.M Billets Reports'!A2689="Date-",'R.M Billets Reports'!A2689="Date:-"),'R.M Billets Reports'!B2689,IF(ROW()=2,"",B2689))</f>
      </c>
      <c r="C2690">
        <f>IF('R.M Billets Reports'!A2689="V.No.",'R.M Billets Reports'!B2689,IF(ROW()=2,"",C2689))</f>
      </c>
      <c r="D2690">
        <f>IF('R.M Billets Reports'!A2689&lt;&gt;"",'R.M Billets Reports'!A2689,IF(ROW()=2,"",D2689))</f>
      </c>
      <c r="E2690">
        <f>IF('R.M Billets Reports'!B2689="","",TRIM('R.M Billets Reports'!B2689))</f>
      </c>
      <c r="F2690">
        <f>'R.M Billets Reports'!C2689</f>
      </c>
      <c r="G2690">
        <f>'R.M Billets Reports'!D2689</f>
      </c>
      <c r="H2690">
        <f>'R.M Billets Reports'!E2689</f>
      </c>
      <c r="I2690">
        <f>'R.M Billets Reports'!F2689</f>
      </c>
      <c r="J2690">
        <f>'R.M Billets Reports'!G2689</f>
      </c>
      <c r="K2690">
        <f>'R.M Billets Reports'!H2689</f>
      </c>
      <c r="L2690">
        <f>IF('R.M Billets Reports'!I2689="","",'R.M Billets Reports'!I2689)</f>
      </c>
      <c r="M2690">
        <f t="shared" si="82"/>
      </c>
      <c r="N2690">
        <f>IF('R.M Billets Reports'!J2689="","",'R.M Billets Reports'!J2689)</f>
      </c>
      <c r="O2690">
        <f t="shared" si="83"/>
      </c>
      <c r="P2690">
        <f>IF('R.M Billets Reports'!A2689="SIZE",'R.M Billets Reports'!B2689,P2689)</f>
      </c>
    </row>
    <row r="2691" spans="1:16" x14ac:dyDescent="0.25">
      <c r="A2691">
        <f>IF(OR('R.M Billets Reports'!A2690="Date-",'R.M Billets Reports'!A2690="Date:-"),IF(IF(IF(ISNUMBER(SEARCH("Party Name:-",'R.M Billets Reports'!D2690)),TRIM('R.M Billets Reports'!F2690),IF(ISNUMBER(SEARCH("Party Name-",'R.M Billets Reports'!D2690)),TRIM(MID('R.M Billets Reports'!D2690,SEARCH("-",'R.M Billets Reports'!D2690)+1,200)),""))&lt;&gt;"",IF(ISNUMBER(SEARCH("Party Name:-",'R.M Billets Reports'!D2690)),TRIM('R.M Billets Reports'!F2690),IF(ISNUMBER(SEARCH("Party Name-",'R.M Billets Reports'!D2690)),TRIM(MID('R.M Billets Reports'!D2690,SEARCH("-",'R.M Billets Reports'!D2690)+1,200)),"")),IF(ISNUMBER(SEARCH("Party Name:-",'R.M Billets Reports'!D2691)),TRIM('R.M Billets Reports'!F2691),IF(ISNUMBER(SEARCH("Party Name-",'R.M Billets Reports'!D2691)),TRIM(MID('R.M Billets Reports'!D2691,SEARCH("-",'R.M Billets Reports'!D2691)+1,200)),"")))="VRKP ISPAT PVT LTD","VRKP",IF(IF(IF(ISNUMBER(SEARCH("Party Name:-",'R.M Billets Reports'!D2690)),TRIM('R.M Billets Reports'!F2690),IF(ISNUMBER(SEARCH("Party Name-",'R.M Billets Reports'!D2690)),TRIM(MID('R.M Billets Reports'!D2690,SEARCH("-",'R.M Billets Reports'!D2690)+1,200)),""))&lt;&gt;"",IF(ISNUMBER(SEARCH("Party Name:-",'R.M Billets Reports'!D2690)),TRIM('R.M Billets Reports'!F2690),IF(ISNUMBER(SEARCH("Party Name-",'R.M Billets Reports'!D2690)),TRIM(MID('R.M Billets Reports'!D2690,SEARCH("-",'R.M Billets Reports'!D2690)+1,200)),"")),IF(ISNUMBER(SEARCH("Party Name:-",'R.M Billets Reports'!D2691)),TRIM('R.M Billets Reports'!F2691),IF(ISNUMBER(SEARCH("Party Name-",'R.M Billets Reports'!D2691)),TRIM(MID('R.M Billets Reports'!D2691,SEARCH("-",'R.M Billets Reports'!D2691)+1,200)),"")))="SHRI RADHE","SHREE RADHE",IF(IF(IF(ISNUMBER(SEARCH("Party Name:-",'R.M Billets Reports'!D2690)),TRIM('R.M Billets Reports'!F2690),IF(ISNUMBER(SEARCH("Party Name-",'R.M Billets Reports'!D2690)),TRIM(MID('R.M Billets Reports'!D2690,SEARCH("-",'R.M Billets Reports'!D2690)+1,200)),""))&lt;&gt;"",IF(ISNUMBER(SEARCH("Party Name:-",'R.M Billets Reports'!D2690)),TRIM('R.M Billets Reports'!F2690),IF(ISNUMBER(SEARCH("Party Name-",'R.M Billets Reports'!D2690)),TRIM(MID('R.M Billets Reports'!D2690,SEARCH("-",'R.M Billets Reports'!D2690)+1,200)),"")),IF(ISNUMBER(SEARCH("Party Name:-",'R.M Billets Reports'!D2691)),TRIM('R.M Billets Reports'!F2691),IF(ISNUMBER(SEARCH("Party Name-",'R.M Billets Reports'!D2691)),TRIM(MID('R.M Billets Reports'!D2691,SEARCH("-",'R.M Billets Reports'!D2691)+1,200)),"")))="SHREE RADHE SHAKTI SPONGE AND POWER PVT. LTD.","SHREE RADHE",IF(IF(ISNUMBER(SEARCH("Party Name:-",'R.M Billets Reports'!D2690)),TRIM('R.M Billets Reports'!F2690),IF(ISNUMBER(SEARCH("Party Name-",'R.M Billets Reports'!D2690)),TRIM(MID('R.M Billets Reports'!D2690,SEARCH("-",'R.M Billets Reports'!D2690)+1,200)),""))&lt;&gt;"",IF(ISNUMBER(SEARCH("Party Name:-",'R.M Billets Reports'!D2690)),TRIM('R.M Billets Reports'!F2690),IF(ISNUMBER(SEARCH("Party Name-",'R.M Billets Reports'!D2690)),TRIM(MID('R.M Billets Reports'!D2690,SEARCH("-",'R.M Billets Reports'!D2690)+1,200)),"")),IF(ISNUMBER(SEARCH("Party Name:-",'R.M Billets Reports'!D2691)),TRIM('R.M Billets Reports'!F2691),IF(ISNUMBER(SEARCH("Party Name-",'R.M Billets Reports'!D2691)),TRIM(MID('R.M Billets Reports'!D2691,SEARCH("-",'R.M Billets Reports'!D2691)+1,200)),"")))))),IF(ROW()=2,"",A2690))</f>
      </c>
      <c r="B2691">
        <f>IF(OR('R.M Billets Reports'!A2690="Date-",'R.M Billets Reports'!A2690="Date:-"),'R.M Billets Reports'!B2690,IF(ROW()=2,"",B2690))</f>
      </c>
      <c r="C2691">
        <f>IF('R.M Billets Reports'!A2690="V.No.",'R.M Billets Reports'!B2690,IF(ROW()=2,"",C2690))</f>
      </c>
      <c r="D2691">
        <f>IF('R.M Billets Reports'!A2690&lt;&gt;"",'R.M Billets Reports'!A2690,IF(ROW()=2,"",D2690))</f>
      </c>
      <c r="E2691">
        <f>IF('R.M Billets Reports'!B2690="","",TRIM('R.M Billets Reports'!B2690))</f>
      </c>
      <c r="F2691">
        <f>'R.M Billets Reports'!C2690</f>
      </c>
      <c r="G2691">
        <f>'R.M Billets Reports'!D2690</f>
      </c>
      <c r="H2691">
        <f>'R.M Billets Reports'!E2690</f>
      </c>
      <c r="I2691">
        <f>'R.M Billets Reports'!F2690</f>
      </c>
      <c r="J2691">
        <f>'R.M Billets Reports'!G2690</f>
      </c>
      <c r="K2691">
        <f>'R.M Billets Reports'!H2690</f>
      </c>
      <c r="L2691">
        <f>IF('R.M Billets Reports'!I2690="","",'R.M Billets Reports'!I2690)</f>
      </c>
      <c r="M2691">
        <f t="shared" ref="M2691:M2754" si="84">IF(L2691&lt;&gt;"",L2691,IF(D2691=D2690,M2690,""))</f>
      </c>
      <c r="N2691">
        <f>IF('R.M Billets Reports'!J2690="","",'R.M Billets Reports'!J2690)</f>
      </c>
      <c r="O2691">
        <f t="shared" ref="O2691:O2754" si="85">IF(N2691&lt;&gt;"",N2691,IF(D2691=D2690,O2690,""))</f>
      </c>
      <c r="P2691">
        <f>IF('R.M Billets Reports'!A2690="SIZE",'R.M Billets Reports'!B2690,P2690)</f>
      </c>
    </row>
    <row r="2692" spans="1:16" x14ac:dyDescent="0.25">
      <c r="A2692">
        <f>IF(OR('R.M Billets Reports'!A2691="Date-",'R.M Billets Reports'!A2691="Date:-"),IF(IF(IF(ISNUMBER(SEARCH("Party Name:-",'R.M Billets Reports'!D2691)),TRIM('R.M Billets Reports'!F2691),IF(ISNUMBER(SEARCH("Party Name-",'R.M Billets Reports'!D2691)),TRIM(MID('R.M Billets Reports'!D2691,SEARCH("-",'R.M Billets Reports'!D2691)+1,200)),""))&lt;&gt;"",IF(ISNUMBER(SEARCH("Party Name:-",'R.M Billets Reports'!D2691)),TRIM('R.M Billets Reports'!F2691),IF(ISNUMBER(SEARCH("Party Name-",'R.M Billets Reports'!D2691)),TRIM(MID('R.M Billets Reports'!D2691,SEARCH("-",'R.M Billets Reports'!D2691)+1,200)),"")),IF(ISNUMBER(SEARCH("Party Name:-",'R.M Billets Reports'!D2692)),TRIM('R.M Billets Reports'!F2692),IF(ISNUMBER(SEARCH("Party Name-",'R.M Billets Reports'!D2692)),TRIM(MID('R.M Billets Reports'!D2692,SEARCH("-",'R.M Billets Reports'!D2692)+1,200)),"")))="VRKP ISPAT PVT LTD","VRKP",IF(IF(IF(ISNUMBER(SEARCH("Party Name:-",'R.M Billets Reports'!D2691)),TRIM('R.M Billets Reports'!F2691),IF(ISNUMBER(SEARCH("Party Name-",'R.M Billets Reports'!D2691)),TRIM(MID('R.M Billets Reports'!D2691,SEARCH("-",'R.M Billets Reports'!D2691)+1,200)),""))&lt;&gt;"",IF(ISNUMBER(SEARCH("Party Name:-",'R.M Billets Reports'!D2691)),TRIM('R.M Billets Reports'!F2691),IF(ISNUMBER(SEARCH("Party Name-",'R.M Billets Reports'!D2691)),TRIM(MID('R.M Billets Reports'!D2691,SEARCH("-",'R.M Billets Reports'!D2691)+1,200)),"")),IF(ISNUMBER(SEARCH("Party Name:-",'R.M Billets Reports'!D2692)),TRIM('R.M Billets Reports'!F2692),IF(ISNUMBER(SEARCH("Party Name-",'R.M Billets Reports'!D2692)),TRIM(MID('R.M Billets Reports'!D2692,SEARCH("-",'R.M Billets Reports'!D2692)+1,200)),"")))="SHRI RADHE","SHREE RADHE",IF(IF(IF(ISNUMBER(SEARCH("Party Name:-",'R.M Billets Reports'!D2691)),TRIM('R.M Billets Reports'!F2691),IF(ISNUMBER(SEARCH("Party Name-",'R.M Billets Reports'!D2691)),TRIM(MID('R.M Billets Reports'!D2691,SEARCH("-",'R.M Billets Reports'!D2691)+1,200)),""))&lt;&gt;"",IF(ISNUMBER(SEARCH("Party Name:-",'R.M Billets Reports'!D2691)),TRIM('R.M Billets Reports'!F2691),IF(ISNUMBER(SEARCH("Party Name-",'R.M Billets Reports'!D2691)),TRIM(MID('R.M Billets Reports'!D2691,SEARCH("-",'R.M Billets Reports'!D2691)+1,200)),"")),IF(ISNUMBER(SEARCH("Party Name:-",'R.M Billets Reports'!D2692)),TRIM('R.M Billets Reports'!F2692),IF(ISNUMBER(SEARCH("Party Name-",'R.M Billets Reports'!D2692)),TRIM(MID('R.M Billets Reports'!D2692,SEARCH("-",'R.M Billets Reports'!D2692)+1,200)),"")))="SHREE RADHE SHAKTI SPONGE AND POWER PVT. LTD.","SHREE RADHE",IF(IF(ISNUMBER(SEARCH("Party Name:-",'R.M Billets Reports'!D2691)),TRIM('R.M Billets Reports'!F2691),IF(ISNUMBER(SEARCH("Party Name-",'R.M Billets Reports'!D2691)),TRIM(MID('R.M Billets Reports'!D2691,SEARCH("-",'R.M Billets Reports'!D2691)+1,200)),""))&lt;&gt;"",IF(ISNUMBER(SEARCH("Party Name:-",'R.M Billets Reports'!D2691)),TRIM('R.M Billets Reports'!F2691),IF(ISNUMBER(SEARCH("Party Name-",'R.M Billets Reports'!D2691)),TRIM(MID('R.M Billets Reports'!D2691,SEARCH("-",'R.M Billets Reports'!D2691)+1,200)),"")),IF(ISNUMBER(SEARCH("Party Name:-",'R.M Billets Reports'!D2692)),TRIM('R.M Billets Reports'!F2692),IF(ISNUMBER(SEARCH("Party Name-",'R.M Billets Reports'!D2692)),TRIM(MID('R.M Billets Reports'!D2692,SEARCH("-",'R.M Billets Reports'!D2692)+1,200)),"")))))),IF(ROW()=2,"",A2691))</f>
      </c>
      <c r="B2692">
        <f>IF(OR('R.M Billets Reports'!A2691="Date-",'R.M Billets Reports'!A2691="Date:-"),'R.M Billets Reports'!B2691,IF(ROW()=2,"",B2691))</f>
      </c>
      <c r="C2692">
        <f>IF('R.M Billets Reports'!A2691="V.No.",'R.M Billets Reports'!B2691,IF(ROW()=2,"",C2691))</f>
      </c>
      <c r="D2692">
        <f>IF('R.M Billets Reports'!A2691&lt;&gt;"",'R.M Billets Reports'!A2691,IF(ROW()=2,"",D2691))</f>
      </c>
      <c r="E2692">
        <f>IF('R.M Billets Reports'!B2691="","",TRIM('R.M Billets Reports'!B2691))</f>
      </c>
      <c r="F2692">
        <f>'R.M Billets Reports'!C2691</f>
      </c>
      <c r="G2692">
        <f>'R.M Billets Reports'!D2691</f>
      </c>
      <c r="H2692">
        <f>'R.M Billets Reports'!E2691</f>
      </c>
      <c r="I2692">
        <f>'R.M Billets Reports'!F2691</f>
      </c>
      <c r="J2692">
        <f>'R.M Billets Reports'!G2691</f>
      </c>
      <c r="K2692">
        <f>'R.M Billets Reports'!H2691</f>
      </c>
      <c r="L2692">
        <f>IF('R.M Billets Reports'!I2691="","",'R.M Billets Reports'!I2691)</f>
      </c>
      <c r="M2692">
        <f t="shared" si="84"/>
      </c>
      <c r="N2692">
        <f>IF('R.M Billets Reports'!J2691="","",'R.M Billets Reports'!J2691)</f>
      </c>
      <c r="O2692">
        <f t="shared" si="85"/>
      </c>
      <c r="P2692">
        <f>IF('R.M Billets Reports'!A2691="SIZE",'R.M Billets Reports'!B2691,P2691)</f>
      </c>
    </row>
    <row r="2693" spans="1:16" x14ac:dyDescent="0.25">
      <c r="A2693">
        <f>IF(OR('R.M Billets Reports'!A2692="Date-",'R.M Billets Reports'!A2692="Date:-"),IF(IF(IF(ISNUMBER(SEARCH("Party Name:-",'R.M Billets Reports'!D2692)),TRIM('R.M Billets Reports'!F2692),IF(ISNUMBER(SEARCH("Party Name-",'R.M Billets Reports'!D2692)),TRIM(MID('R.M Billets Reports'!D2692,SEARCH("-",'R.M Billets Reports'!D2692)+1,200)),""))&lt;&gt;"",IF(ISNUMBER(SEARCH("Party Name:-",'R.M Billets Reports'!D2692)),TRIM('R.M Billets Reports'!F2692),IF(ISNUMBER(SEARCH("Party Name-",'R.M Billets Reports'!D2692)),TRIM(MID('R.M Billets Reports'!D2692,SEARCH("-",'R.M Billets Reports'!D2692)+1,200)),"")),IF(ISNUMBER(SEARCH("Party Name:-",'R.M Billets Reports'!D2693)),TRIM('R.M Billets Reports'!F2693),IF(ISNUMBER(SEARCH("Party Name-",'R.M Billets Reports'!D2693)),TRIM(MID('R.M Billets Reports'!D2693,SEARCH("-",'R.M Billets Reports'!D2693)+1,200)),"")))="VRKP ISPAT PVT LTD","VRKP",IF(IF(IF(ISNUMBER(SEARCH("Party Name:-",'R.M Billets Reports'!D2692)),TRIM('R.M Billets Reports'!F2692),IF(ISNUMBER(SEARCH("Party Name-",'R.M Billets Reports'!D2692)),TRIM(MID('R.M Billets Reports'!D2692,SEARCH("-",'R.M Billets Reports'!D2692)+1,200)),""))&lt;&gt;"",IF(ISNUMBER(SEARCH("Party Name:-",'R.M Billets Reports'!D2692)),TRIM('R.M Billets Reports'!F2692),IF(ISNUMBER(SEARCH("Party Name-",'R.M Billets Reports'!D2692)),TRIM(MID('R.M Billets Reports'!D2692,SEARCH("-",'R.M Billets Reports'!D2692)+1,200)),"")),IF(ISNUMBER(SEARCH("Party Name:-",'R.M Billets Reports'!D2693)),TRIM('R.M Billets Reports'!F2693),IF(ISNUMBER(SEARCH("Party Name-",'R.M Billets Reports'!D2693)),TRIM(MID('R.M Billets Reports'!D2693,SEARCH("-",'R.M Billets Reports'!D2693)+1,200)),"")))="SHRI RADHE","SHREE RADHE",IF(IF(IF(ISNUMBER(SEARCH("Party Name:-",'R.M Billets Reports'!D2692)),TRIM('R.M Billets Reports'!F2692),IF(ISNUMBER(SEARCH("Party Name-",'R.M Billets Reports'!D2692)),TRIM(MID('R.M Billets Reports'!D2692,SEARCH("-",'R.M Billets Reports'!D2692)+1,200)),""))&lt;&gt;"",IF(ISNUMBER(SEARCH("Party Name:-",'R.M Billets Reports'!D2692)),TRIM('R.M Billets Reports'!F2692),IF(ISNUMBER(SEARCH("Party Name-",'R.M Billets Reports'!D2692)),TRIM(MID('R.M Billets Reports'!D2692,SEARCH("-",'R.M Billets Reports'!D2692)+1,200)),"")),IF(ISNUMBER(SEARCH("Party Name:-",'R.M Billets Reports'!D2693)),TRIM('R.M Billets Reports'!F2693),IF(ISNUMBER(SEARCH("Party Name-",'R.M Billets Reports'!D2693)),TRIM(MID('R.M Billets Reports'!D2693,SEARCH("-",'R.M Billets Reports'!D2693)+1,200)),"")))="SHREE RADHE SHAKTI SPONGE AND POWER PVT. LTD.","SHREE RADHE",IF(IF(ISNUMBER(SEARCH("Party Name:-",'R.M Billets Reports'!D2692)),TRIM('R.M Billets Reports'!F2692),IF(ISNUMBER(SEARCH("Party Name-",'R.M Billets Reports'!D2692)),TRIM(MID('R.M Billets Reports'!D2692,SEARCH("-",'R.M Billets Reports'!D2692)+1,200)),""))&lt;&gt;"",IF(ISNUMBER(SEARCH("Party Name:-",'R.M Billets Reports'!D2692)),TRIM('R.M Billets Reports'!F2692),IF(ISNUMBER(SEARCH("Party Name-",'R.M Billets Reports'!D2692)),TRIM(MID('R.M Billets Reports'!D2692,SEARCH("-",'R.M Billets Reports'!D2692)+1,200)),"")),IF(ISNUMBER(SEARCH("Party Name:-",'R.M Billets Reports'!D2693)),TRIM('R.M Billets Reports'!F2693),IF(ISNUMBER(SEARCH("Party Name-",'R.M Billets Reports'!D2693)),TRIM(MID('R.M Billets Reports'!D2693,SEARCH("-",'R.M Billets Reports'!D2693)+1,200)),"")))))),IF(ROW()=2,"",A2692))</f>
      </c>
      <c r="B2693">
        <f>IF(OR('R.M Billets Reports'!A2692="Date-",'R.M Billets Reports'!A2692="Date:-"),'R.M Billets Reports'!B2692,IF(ROW()=2,"",B2692))</f>
      </c>
      <c r="C2693">
        <f>IF('R.M Billets Reports'!A2692="V.No.",'R.M Billets Reports'!B2692,IF(ROW()=2,"",C2692))</f>
      </c>
      <c r="D2693">
        <f>IF('R.M Billets Reports'!A2692&lt;&gt;"",'R.M Billets Reports'!A2692,IF(ROW()=2,"",D2692))</f>
      </c>
      <c r="E2693">
        <f>IF('R.M Billets Reports'!B2692="","",TRIM('R.M Billets Reports'!B2692))</f>
      </c>
      <c r="F2693">
        <f>'R.M Billets Reports'!C2692</f>
      </c>
      <c r="G2693">
        <f>'R.M Billets Reports'!D2692</f>
      </c>
      <c r="H2693">
        <f>'R.M Billets Reports'!E2692</f>
      </c>
      <c r="I2693">
        <f>'R.M Billets Reports'!F2692</f>
      </c>
      <c r="J2693">
        <f>'R.M Billets Reports'!G2692</f>
      </c>
      <c r="K2693">
        <f>'R.M Billets Reports'!H2692</f>
      </c>
      <c r="L2693">
        <f>IF('R.M Billets Reports'!I2692="","",'R.M Billets Reports'!I2692)</f>
      </c>
      <c r="M2693">
        <f t="shared" si="84"/>
      </c>
      <c r="N2693">
        <f>IF('R.M Billets Reports'!J2692="","",'R.M Billets Reports'!J2692)</f>
      </c>
      <c r="O2693">
        <f t="shared" si="85"/>
      </c>
      <c r="P2693">
        <f>IF('R.M Billets Reports'!A2692="SIZE",'R.M Billets Reports'!B2692,P2692)</f>
      </c>
    </row>
    <row r="2694" spans="1:16" x14ac:dyDescent="0.25">
      <c r="A2694">
        <f>IF(OR('R.M Billets Reports'!A2693="Date-",'R.M Billets Reports'!A2693="Date:-"),IF(IF(IF(ISNUMBER(SEARCH("Party Name:-",'R.M Billets Reports'!D2693)),TRIM('R.M Billets Reports'!F2693),IF(ISNUMBER(SEARCH("Party Name-",'R.M Billets Reports'!D2693)),TRIM(MID('R.M Billets Reports'!D2693,SEARCH("-",'R.M Billets Reports'!D2693)+1,200)),""))&lt;&gt;"",IF(ISNUMBER(SEARCH("Party Name:-",'R.M Billets Reports'!D2693)),TRIM('R.M Billets Reports'!F2693),IF(ISNUMBER(SEARCH("Party Name-",'R.M Billets Reports'!D2693)),TRIM(MID('R.M Billets Reports'!D2693,SEARCH("-",'R.M Billets Reports'!D2693)+1,200)),"")),IF(ISNUMBER(SEARCH("Party Name:-",'R.M Billets Reports'!D2694)),TRIM('R.M Billets Reports'!F2694),IF(ISNUMBER(SEARCH("Party Name-",'R.M Billets Reports'!D2694)),TRIM(MID('R.M Billets Reports'!D2694,SEARCH("-",'R.M Billets Reports'!D2694)+1,200)),"")))="VRKP ISPAT PVT LTD","VRKP",IF(IF(IF(ISNUMBER(SEARCH("Party Name:-",'R.M Billets Reports'!D2693)),TRIM('R.M Billets Reports'!F2693),IF(ISNUMBER(SEARCH("Party Name-",'R.M Billets Reports'!D2693)),TRIM(MID('R.M Billets Reports'!D2693,SEARCH("-",'R.M Billets Reports'!D2693)+1,200)),""))&lt;&gt;"",IF(ISNUMBER(SEARCH("Party Name:-",'R.M Billets Reports'!D2693)),TRIM('R.M Billets Reports'!F2693),IF(ISNUMBER(SEARCH("Party Name-",'R.M Billets Reports'!D2693)),TRIM(MID('R.M Billets Reports'!D2693,SEARCH("-",'R.M Billets Reports'!D2693)+1,200)),"")),IF(ISNUMBER(SEARCH("Party Name:-",'R.M Billets Reports'!D2694)),TRIM('R.M Billets Reports'!F2694),IF(ISNUMBER(SEARCH("Party Name-",'R.M Billets Reports'!D2694)),TRIM(MID('R.M Billets Reports'!D2694,SEARCH("-",'R.M Billets Reports'!D2694)+1,200)),"")))="SHRI RADHE","SHREE RADHE",IF(IF(IF(ISNUMBER(SEARCH("Party Name:-",'R.M Billets Reports'!D2693)),TRIM('R.M Billets Reports'!F2693),IF(ISNUMBER(SEARCH("Party Name-",'R.M Billets Reports'!D2693)),TRIM(MID('R.M Billets Reports'!D2693,SEARCH("-",'R.M Billets Reports'!D2693)+1,200)),""))&lt;&gt;"",IF(ISNUMBER(SEARCH("Party Name:-",'R.M Billets Reports'!D2693)),TRIM('R.M Billets Reports'!F2693),IF(ISNUMBER(SEARCH("Party Name-",'R.M Billets Reports'!D2693)),TRIM(MID('R.M Billets Reports'!D2693,SEARCH("-",'R.M Billets Reports'!D2693)+1,200)),"")),IF(ISNUMBER(SEARCH("Party Name:-",'R.M Billets Reports'!D2694)),TRIM('R.M Billets Reports'!F2694),IF(ISNUMBER(SEARCH("Party Name-",'R.M Billets Reports'!D2694)),TRIM(MID('R.M Billets Reports'!D2694,SEARCH("-",'R.M Billets Reports'!D2694)+1,200)),"")))="SHREE RADHE SHAKTI SPONGE AND POWER PVT. LTD.","SHREE RADHE",IF(IF(ISNUMBER(SEARCH("Party Name:-",'R.M Billets Reports'!D2693)),TRIM('R.M Billets Reports'!F2693),IF(ISNUMBER(SEARCH("Party Name-",'R.M Billets Reports'!D2693)),TRIM(MID('R.M Billets Reports'!D2693,SEARCH("-",'R.M Billets Reports'!D2693)+1,200)),""))&lt;&gt;"",IF(ISNUMBER(SEARCH("Party Name:-",'R.M Billets Reports'!D2693)),TRIM('R.M Billets Reports'!F2693),IF(ISNUMBER(SEARCH("Party Name-",'R.M Billets Reports'!D2693)),TRIM(MID('R.M Billets Reports'!D2693,SEARCH("-",'R.M Billets Reports'!D2693)+1,200)),"")),IF(ISNUMBER(SEARCH("Party Name:-",'R.M Billets Reports'!D2694)),TRIM('R.M Billets Reports'!F2694),IF(ISNUMBER(SEARCH("Party Name-",'R.M Billets Reports'!D2694)),TRIM(MID('R.M Billets Reports'!D2694,SEARCH("-",'R.M Billets Reports'!D2694)+1,200)),"")))))),IF(ROW()=2,"",A2693))</f>
      </c>
      <c r="B2694">
        <f>IF(OR('R.M Billets Reports'!A2693="Date-",'R.M Billets Reports'!A2693="Date:-"),'R.M Billets Reports'!B2693,IF(ROW()=2,"",B2693))</f>
      </c>
      <c r="C2694">
        <f>IF('R.M Billets Reports'!A2693="V.No.",'R.M Billets Reports'!B2693,IF(ROW()=2,"",C2693))</f>
      </c>
      <c r="D2694">
        <f>IF('R.M Billets Reports'!A2693&lt;&gt;"",'R.M Billets Reports'!A2693,IF(ROW()=2,"",D2693))</f>
      </c>
      <c r="E2694">
        <f>IF('R.M Billets Reports'!B2693="","",TRIM('R.M Billets Reports'!B2693))</f>
      </c>
      <c r="F2694">
        <f>'R.M Billets Reports'!C2693</f>
      </c>
      <c r="G2694">
        <f>'R.M Billets Reports'!D2693</f>
      </c>
      <c r="H2694">
        <f>'R.M Billets Reports'!E2693</f>
      </c>
      <c r="I2694">
        <f>'R.M Billets Reports'!F2693</f>
      </c>
      <c r="J2694">
        <f>'R.M Billets Reports'!G2693</f>
      </c>
      <c r="K2694">
        <f>'R.M Billets Reports'!H2693</f>
      </c>
      <c r="L2694">
        <f>IF('R.M Billets Reports'!I2693="","",'R.M Billets Reports'!I2693)</f>
      </c>
      <c r="M2694">
        <f t="shared" si="84"/>
      </c>
      <c r="N2694">
        <f>IF('R.M Billets Reports'!J2693="","",'R.M Billets Reports'!J2693)</f>
      </c>
      <c r="O2694">
        <f t="shared" si="85"/>
      </c>
      <c r="P2694">
        <f>IF('R.M Billets Reports'!A2693="SIZE",'R.M Billets Reports'!B2693,P2693)</f>
      </c>
    </row>
    <row r="2695" spans="1:16" x14ac:dyDescent="0.25">
      <c r="A2695">
        <f>IF(OR('R.M Billets Reports'!A2694="Date-",'R.M Billets Reports'!A2694="Date:-"),IF(IF(IF(ISNUMBER(SEARCH("Party Name:-",'R.M Billets Reports'!D2694)),TRIM('R.M Billets Reports'!F2694),IF(ISNUMBER(SEARCH("Party Name-",'R.M Billets Reports'!D2694)),TRIM(MID('R.M Billets Reports'!D2694,SEARCH("-",'R.M Billets Reports'!D2694)+1,200)),""))&lt;&gt;"",IF(ISNUMBER(SEARCH("Party Name:-",'R.M Billets Reports'!D2694)),TRIM('R.M Billets Reports'!F2694),IF(ISNUMBER(SEARCH("Party Name-",'R.M Billets Reports'!D2694)),TRIM(MID('R.M Billets Reports'!D2694,SEARCH("-",'R.M Billets Reports'!D2694)+1,200)),"")),IF(ISNUMBER(SEARCH("Party Name:-",'R.M Billets Reports'!D2695)),TRIM('R.M Billets Reports'!F2695),IF(ISNUMBER(SEARCH("Party Name-",'R.M Billets Reports'!D2695)),TRIM(MID('R.M Billets Reports'!D2695,SEARCH("-",'R.M Billets Reports'!D2695)+1,200)),"")))="VRKP ISPAT PVT LTD","VRKP",IF(IF(IF(ISNUMBER(SEARCH("Party Name:-",'R.M Billets Reports'!D2694)),TRIM('R.M Billets Reports'!F2694),IF(ISNUMBER(SEARCH("Party Name-",'R.M Billets Reports'!D2694)),TRIM(MID('R.M Billets Reports'!D2694,SEARCH("-",'R.M Billets Reports'!D2694)+1,200)),""))&lt;&gt;"",IF(ISNUMBER(SEARCH("Party Name:-",'R.M Billets Reports'!D2694)),TRIM('R.M Billets Reports'!F2694),IF(ISNUMBER(SEARCH("Party Name-",'R.M Billets Reports'!D2694)),TRIM(MID('R.M Billets Reports'!D2694,SEARCH("-",'R.M Billets Reports'!D2694)+1,200)),"")),IF(ISNUMBER(SEARCH("Party Name:-",'R.M Billets Reports'!D2695)),TRIM('R.M Billets Reports'!F2695),IF(ISNUMBER(SEARCH("Party Name-",'R.M Billets Reports'!D2695)),TRIM(MID('R.M Billets Reports'!D2695,SEARCH("-",'R.M Billets Reports'!D2695)+1,200)),"")))="SHRI RADHE","SHREE RADHE",IF(IF(IF(ISNUMBER(SEARCH("Party Name:-",'R.M Billets Reports'!D2694)),TRIM('R.M Billets Reports'!F2694),IF(ISNUMBER(SEARCH("Party Name-",'R.M Billets Reports'!D2694)),TRIM(MID('R.M Billets Reports'!D2694,SEARCH("-",'R.M Billets Reports'!D2694)+1,200)),""))&lt;&gt;"",IF(ISNUMBER(SEARCH("Party Name:-",'R.M Billets Reports'!D2694)),TRIM('R.M Billets Reports'!F2694),IF(ISNUMBER(SEARCH("Party Name-",'R.M Billets Reports'!D2694)),TRIM(MID('R.M Billets Reports'!D2694,SEARCH("-",'R.M Billets Reports'!D2694)+1,200)),"")),IF(ISNUMBER(SEARCH("Party Name:-",'R.M Billets Reports'!D2695)),TRIM('R.M Billets Reports'!F2695),IF(ISNUMBER(SEARCH("Party Name-",'R.M Billets Reports'!D2695)),TRIM(MID('R.M Billets Reports'!D2695,SEARCH("-",'R.M Billets Reports'!D2695)+1,200)),"")))="SHREE RADHE SHAKTI SPONGE AND POWER PVT. LTD.","SHREE RADHE",IF(IF(ISNUMBER(SEARCH("Party Name:-",'R.M Billets Reports'!D2694)),TRIM('R.M Billets Reports'!F2694),IF(ISNUMBER(SEARCH("Party Name-",'R.M Billets Reports'!D2694)),TRIM(MID('R.M Billets Reports'!D2694,SEARCH("-",'R.M Billets Reports'!D2694)+1,200)),""))&lt;&gt;"",IF(ISNUMBER(SEARCH("Party Name:-",'R.M Billets Reports'!D2694)),TRIM('R.M Billets Reports'!F2694),IF(ISNUMBER(SEARCH("Party Name-",'R.M Billets Reports'!D2694)),TRIM(MID('R.M Billets Reports'!D2694,SEARCH("-",'R.M Billets Reports'!D2694)+1,200)),"")),IF(ISNUMBER(SEARCH("Party Name:-",'R.M Billets Reports'!D2695)),TRIM('R.M Billets Reports'!F2695),IF(ISNUMBER(SEARCH("Party Name-",'R.M Billets Reports'!D2695)),TRIM(MID('R.M Billets Reports'!D2695,SEARCH("-",'R.M Billets Reports'!D2695)+1,200)),"")))))),IF(ROW()=2,"",A2694))</f>
      </c>
      <c r="B2695">
        <f>IF(OR('R.M Billets Reports'!A2694="Date-",'R.M Billets Reports'!A2694="Date:-"),'R.M Billets Reports'!B2694,IF(ROW()=2,"",B2694))</f>
      </c>
      <c r="C2695">
        <f>IF('R.M Billets Reports'!A2694="V.No.",'R.M Billets Reports'!B2694,IF(ROW()=2,"",C2694))</f>
      </c>
      <c r="D2695">
        <f>IF('R.M Billets Reports'!A2694&lt;&gt;"",'R.M Billets Reports'!A2694,IF(ROW()=2,"",D2694))</f>
      </c>
      <c r="E2695">
        <f>IF('R.M Billets Reports'!B2694="","",TRIM('R.M Billets Reports'!B2694))</f>
      </c>
      <c r="F2695">
        <f>'R.M Billets Reports'!C2694</f>
      </c>
      <c r="G2695">
        <f>'R.M Billets Reports'!D2694</f>
      </c>
      <c r="H2695">
        <f>'R.M Billets Reports'!E2694</f>
      </c>
      <c r="I2695">
        <f>'R.M Billets Reports'!F2694</f>
      </c>
      <c r="J2695">
        <f>'R.M Billets Reports'!G2694</f>
      </c>
      <c r="K2695">
        <f>'R.M Billets Reports'!H2694</f>
      </c>
      <c r="L2695">
        <f>IF('R.M Billets Reports'!I2694="","",'R.M Billets Reports'!I2694)</f>
      </c>
      <c r="M2695">
        <f t="shared" si="84"/>
      </c>
      <c r="N2695">
        <f>IF('R.M Billets Reports'!J2694="","",'R.M Billets Reports'!J2694)</f>
      </c>
      <c r="O2695">
        <f t="shared" si="85"/>
      </c>
      <c r="P2695">
        <f>IF('R.M Billets Reports'!A2694="SIZE",'R.M Billets Reports'!B2694,P2694)</f>
      </c>
    </row>
    <row r="2696" spans="1:16" x14ac:dyDescent="0.25">
      <c r="A2696">
        <f>IF(OR('R.M Billets Reports'!A2695="Date-",'R.M Billets Reports'!A2695="Date:-"),IF(IF(IF(ISNUMBER(SEARCH("Party Name:-",'R.M Billets Reports'!D2695)),TRIM('R.M Billets Reports'!F2695),IF(ISNUMBER(SEARCH("Party Name-",'R.M Billets Reports'!D2695)),TRIM(MID('R.M Billets Reports'!D2695,SEARCH("-",'R.M Billets Reports'!D2695)+1,200)),""))&lt;&gt;"",IF(ISNUMBER(SEARCH("Party Name:-",'R.M Billets Reports'!D2695)),TRIM('R.M Billets Reports'!F2695),IF(ISNUMBER(SEARCH("Party Name-",'R.M Billets Reports'!D2695)),TRIM(MID('R.M Billets Reports'!D2695,SEARCH("-",'R.M Billets Reports'!D2695)+1,200)),"")),IF(ISNUMBER(SEARCH("Party Name:-",'R.M Billets Reports'!D2696)),TRIM('R.M Billets Reports'!F2696),IF(ISNUMBER(SEARCH("Party Name-",'R.M Billets Reports'!D2696)),TRIM(MID('R.M Billets Reports'!D2696,SEARCH("-",'R.M Billets Reports'!D2696)+1,200)),"")))="VRKP ISPAT PVT LTD","VRKP",IF(IF(IF(ISNUMBER(SEARCH("Party Name:-",'R.M Billets Reports'!D2695)),TRIM('R.M Billets Reports'!F2695),IF(ISNUMBER(SEARCH("Party Name-",'R.M Billets Reports'!D2695)),TRIM(MID('R.M Billets Reports'!D2695,SEARCH("-",'R.M Billets Reports'!D2695)+1,200)),""))&lt;&gt;"",IF(ISNUMBER(SEARCH("Party Name:-",'R.M Billets Reports'!D2695)),TRIM('R.M Billets Reports'!F2695),IF(ISNUMBER(SEARCH("Party Name-",'R.M Billets Reports'!D2695)),TRIM(MID('R.M Billets Reports'!D2695,SEARCH("-",'R.M Billets Reports'!D2695)+1,200)),"")),IF(ISNUMBER(SEARCH("Party Name:-",'R.M Billets Reports'!D2696)),TRIM('R.M Billets Reports'!F2696),IF(ISNUMBER(SEARCH("Party Name-",'R.M Billets Reports'!D2696)),TRIM(MID('R.M Billets Reports'!D2696,SEARCH("-",'R.M Billets Reports'!D2696)+1,200)),"")))="SHRI RADHE","SHREE RADHE",IF(IF(IF(ISNUMBER(SEARCH("Party Name:-",'R.M Billets Reports'!D2695)),TRIM('R.M Billets Reports'!F2695),IF(ISNUMBER(SEARCH("Party Name-",'R.M Billets Reports'!D2695)),TRIM(MID('R.M Billets Reports'!D2695,SEARCH("-",'R.M Billets Reports'!D2695)+1,200)),""))&lt;&gt;"",IF(ISNUMBER(SEARCH("Party Name:-",'R.M Billets Reports'!D2695)),TRIM('R.M Billets Reports'!F2695),IF(ISNUMBER(SEARCH("Party Name-",'R.M Billets Reports'!D2695)),TRIM(MID('R.M Billets Reports'!D2695,SEARCH("-",'R.M Billets Reports'!D2695)+1,200)),"")),IF(ISNUMBER(SEARCH("Party Name:-",'R.M Billets Reports'!D2696)),TRIM('R.M Billets Reports'!F2696),IF(ISNUMBER(SEARCH("Party Name-",'R.M Billets Reports'!D2696)),TRIM(MID('R.M Billets Reports'!D2696,SEARCH("-",'R.M Billets Reports'!D2696)+1,200)),"")))="SHREE RADHE SHAKTI SPONGE AND POWER PVT. LTD.","SHREE RADHE",IF(IF(ISNUMBER(SEARCH("Party Name:-",'R.M Billets Reports'!D2695)),TRIM('R.M Billets Reports'!F2695),IF(ISNUMBER(SEARCH("Party Name-",'R.M Billets Reports'!D2695)),TRIM(MID('R.M Billets Reports'!D2695,SEARCH("-",'R.M Billets Reports'!D2695)+1,200)),""))&lt;&gt;"",IF(ISNUMBER(SEARCH("Party Name:-",'R.M Billets Reports'!D2695)),TRIM('R.M Billets Reports'!F2695),IF(ISNUMBER(SEARCH("Party Name-",'R.M Billets Reports'!D2695)),TRIM(MID('R.M Billets Reports'!D2695,SEARCH("-",'R.M Billets Reports'!D2695)+1,200)),"")),IF(ISNUMBER(SEARCH("Party Name:-",'R.M Billets Reports'!D2696)),TRIM('R.M Billets Reports'!F2696),IF(ISNUMBER(SEARCH("Party Name-",'R.M Billets Reports'!D2696)),TRIM(MID('R.M Billets Reports'!D2696,SEARCH("-",'R.M Billets Reports'!D2696)+1,200)),"")))))),IF(ROW()=2,"",A2695))</f>
      </c>
      <c r="B2696">
        <f>IF(OR('R.M Billets Reports'!A2695="Date-",'R.M Billets Reports'!A2695="Date:-"),'R.M Billets Reports'!B2695,IF(ROW()=2,"",B2695))</f>
      </c>
      <c r="C2696">
        <f>IF('R.M Billets Reports'!A2695="V.No.",'R.M Billets Reports'!B2695,IF(ROW()=2,"",C2695))</f>
      </c>
      <c r="D2696">
        <f>IF('R.M Billets Reports'!A2695&lt;&gt;"",'R.M Billets Reports'!A2695,IF(ROW()=2,"",D2695))</f>
      </c>
      <c r="E2696">
        <f>IF('R.M Billets Reports'!B2695="","",TRIM('R.M Billets Reports'!B2695))</f>
      </c>
      <c r="F2696">
        <f>'R.M Billets Reports'!C2695</f>
      </c>
      <c r="G2696">
        <f>'R.M Billets Reports'!D2695</f>
      </c>
      <c r="H2696">
        <f>'R.M Billets Reports'!E2695</f>
      </c>
      <c r="I2696">
        <f>'R.M Billets Reports'!F2695</f>
      </c>
      <c r="J2696">
        <f>'R.M Billets Reports'!G2695</f>
      </c>
      <c r="K2696">
        <f>'R.M Billets Reports'!H2695</f>
      </c>
      <c r="L2696">
        <f>IF('R.M Billets Reports'!I2695="","",'R.M Billets Reports'!I2695)</f>
      </c>
      <c r="M2696">
        <f t="shared" si="84"/>
      </c>
      <c r="N2696">
        <f>IF('R.M Billets Reports'!J2695="","",'R.M Billets Reports'!J2695)</f>
      </c>
      <c r="O2696">
        <f t="shared" si="85"/>
      </c>
      <c r="P2696">
        <f>IF('R.M Billets Reports'!A2695="SIZE",'R.M Billets Reports'!B2695,P2695)</f>
      </c>
    </row>
    <row r="2697" spans="1:16" x14ac:dyDescent="0.25">
      <c r="A2697">
        <f>IF(OR('R.M Billets Reports'!A2696="Date-",'R.M Billets Reports'!A2696="Date:-"),IF(IF(IF(ISNUMBER(SEARCH("Party Name:-",'R.M Billets Reports'!D2696)),TRIM('R.M Billets Reports'!F2696),IF(ISNUMBER(SEARCH("Party Name-",'R.M Billets Reports'!D2696)),TRIM(MID('R.M Billets Reports'!D2696,SEARCH("-",'R.M Billets Reports'!D2696)+1,200)),""))&lt;&gt;"",IF(ISNUMBER(SEARCH("Party Name:-",'R.M Billets Reports'!D2696)),TRIM('R.M Billets Reports'!F2696),IF(ISNUMBER(SEARCH("Party Name-",'R.M Billets Reports'!D2696)),TRIM(MID('R.M Billets Reports'!D2696,SEARCH("-",'R.M Billets Reports'!D2696)+1,200)),"")),IF(ISNUMBER(SEARCH("Party Name:-",'R.M Billets Reports'!D2697)),TRIM('R.M Billets Reports'!F2697),IF(ISNUMBER(SEARCH("Party Name-",'R.M Billets Reports'!D2697)),TRIM(MID('R.M Billets Reports'!D2697,SEARCH("-",'R.M Billets Reports'!D2697)+1,200)),"")))="VRKP ISPAT PVT LTD","VRKP",IF(IF(IF(ISNUMBER(SEARCH("Party Name:-",'R.M Billets Reports'!D2696)),TRIM('R.M Billets Reports'!F2696),IF(ISNUMBER(SEARCH("Party Name-",'R.M Billets Reports'!D2696)),TRIM(MID('R.M Billets Reports'!D2696,SEARCH("-",'R.M Billets Reports'!D2696)+1,200)),""))&lt;&gt;"",IF(ISNUMBER(SEARCH("Party Name:-",'R.M Billets Reports'!D2696)),TRIM('R.M Billets Reports'!F2696),IF(ISNUMBER(SEARCH("Party Name-",'R.M Billets Reports'!D2696)),TRIM(MID('R.M Billets Reports'!D2696,SEARCH("-",'R.M Billets Reports'!D2696)+1,200)),"")),IF(ISNUMBER(SEARCH("Party Name:-",'R.M Billets Reports'!D2697)),TRIM('R.M Billets Reports'!F2697),IF(ISNUMBER(SEARCH("Party Name-",'R.M Billets Reports'!D2697)),TRIM(MID('R.M Billets Reports'!D2697,SEARCH("-",'R.M Billets Reports'!D2697)+1,200)),"")))="SHRI RADHE","SHREE RADHE",IF(IF(IF(ISNUMBER(SEARCH("Party Name:-",'R.M Billets Reports'!D2696)),TRIM('R.M Billets Reports'!F2696),IF(ISNUMBER(SEARCH("Party Name-",'R.M Billets Reports'!D2696)),TRIM(MID('R.M Billets Reports'!D2696,SEARCH("-",'R.M Billets Reports'!D2696)+1,200)),""))&lt;&gt;"",IF(ISNUMBER(SEARCH("Party Name:-",'R.M Billets Reports'!D2696)),TRIM('R.M Billets Reports'!F2696),IF(ISNUMBER(SEARCH("Party Name-",'R.M Billets Reports'!D2696)),TRIM(MID('R.M Billets Reports'!D2696,SEARCH("-",'R.M Billets Reports'!D2696)+1,200)),"")),IF(ISNUMBER(SEARCH("Party Name:-",'R.M Billets Reports'!D2697)),TRIM('R.M Billets Reports'!F2697),IF(ISNUMBER(SEARCH("Party Name-",'R.M Billets Reports'!D2697)),TRIM(MID('R.M Billets Reports'!D2697,SEARCH("-",'R.M Billets Reports'!D2697)+1,200)),"")))="SHREE RADHE SHAKTI SPONGE AND POWER PVT. LTD.","SHREE RADHE",IF(IF(ISNUMBER(SEARCH("Party Name:-",'R.M Billets Reports'!D2696)),TRIM('R.M Billets Reports'!F2696),IF(ISNUMBER(SEARCH("Party Name-",'R.M Billets Reports'!D2696)),TRIM(MID('R.M Billets Reports'!D2696,SEARCH("-",'R.M Billets Reports'!D2696)+1,200)),""))&lt;&gt;"",IF(ISNUMBER(SEARCH("Party Name:-",'R.M Billets Reports'!D2696)),TRIM('R.M Billets Reports'!F2696),IF(ISNUMBER(SEARCH("Party Name-",'R.M Billets Reports'!D2696)),TRIM(MID('R.M Billets Reports'!D2696,SEARCH("-",'R.M Billets Reports'!D2696)+1,200)),"")),IF(ISNUMBER(SEARCH("Party Name:-",'R.M Billets Reports'!D2697)),TRIM('R.M Billets Reports'!F2697),IF(ISNUMBER(SEARCH("Party Name-",'R.M Billets Reports'!D2697)),TRIM(MID('R.M Billets Reports'!D2697,SEARCH("-",'R.M Billets Reports'!D2697)+1,200)),"")))))),IF(ROW()=2,"",A2696))</f>
      </c>
      <c r="B2697">
        <f>IF(OR('R.M Billets Reports'!A2696="Date-",'R.M Billets Reports'!A2696="Date:-"),'R.M Billets Reports'!B2696,IF(ROW()=2,"",B2696))</f>
      </c>
      <c r="C2697">
        <f>IF('R.M Billets Reports'!A2696="V.No.",'R.M Billets Reports'!B2696,IF(ROW()=2,"",C2696))</f>
      </c>
      <c r="D2697">
        <f>IF('R.M Billets Reports'!A2696&lt;&gt;"",'R.M Billets Reports'!A2696,IF(ROW()=2,"",D2696))</f>
      </c>
      <c r="E2697">
        <f>IF('R.M Billets Reports'!B2696="","",TRIM('R.M Billets Reports'!B2696))</f>
      </c>
      <c r="F2697">
        <f>'R.M Billets Reports'!C2696</f>
      </c>
      <c r="G2697">
        <f>'R.M Billets Reports'!D2696</f>
      </c>
      <c r="H2697">
        <f>'R.M Billets Reports'!E2696</f>
      </c>
      <c r="I2697">
        <f>'R.M Billets Reports'!F2696</f>
      </c>
      <c r="J2697">
        <f>'R.M Billets Reports'!G2696</f>
      </c>
      <c r="K2697">
        <f>'R.M Billets Reports'!H2696</f>
      </c>
      <c r="L2697">
        <f>IF('R.M Billets Reports'!I2696="","",'R.M Billets Reports'!I2696)</f>
      </c>
      <c r="M2697">
        <f t="shared" si="84"/>
      </c>
      <c r="N2697">
        <f>IF('R.M Billets Reports'!J2696="","",'R.M Billets Reports'!J2696)</f>
      </c>
      <c r="O2697">
        <f t="shared" si="85"/>
      </c>
      <c r="P2697">
        <f>IF('R.M Billets Reports'!A2696="SIZE",'R.M Billets Reports'!B2696,P2696)</f>
      </c>
    </row>
    <row r="2698" spans="1:16" x14ac:dyDescent="0.25">
      <c r="A2698">
        <f>IF(OR('R.M Billets Reports'!A2697="Date-",'R.M Billets Reports'!A2697="Date:-"),IF(IF(IF(ISNUMBER(SEARCH("Party Name:-",'R.M Billets Reports'!D2697)),TRIM('R.M Billets Reports'!F2697),IF(ISNUMBER(SEARCH("Party Name-",'R.M Billets Reports'!D2697)),TRIM(MID('R.M Billets Reports'!D2697,SEARCH("-",'R.M Billets Reports'!D2697)+1,200)),""))&lt;&gt;"",IF(ISNUMBER(SEARCH("Party Name:-",'R.M Billets Reports'!D2697)),TRIM('R.M Billets Reports'!F2697),IF(ISNUMBER(SEARCH("Party Name-",'R.M Billets Reports'!D2697)),TRIM(MID('R.M Billets Reports'!D2697,SEARCH("-",'R.M Billets Reports'!D2697)+1,200)),"")),IF(ISNUMBER(SEARCH("Party Name:-",'R.M Billets Reports'!D2698)),TRIM('R.M Billets Reports'!F2698),IF(ISNUMBER(SEARCH("Party Name-",'R.M Billets Reports'!D2698)),TRIM(MID('R.M Billets Reports'!D2698,SEARCH("-",'R.M Billets Reports'!D2698)+1,200)),"")))="VRKP ISPAT PVT LTD","VRKP",IF(IF(IF(ISNUMBER(SEARCH("Party Name:-",'R.M Billets Reports'!D2697)),TRIM('R.M Billets Reports'!F2697),IF(ISNUMBER(SEARCH("Party Name-",'R.M Billets Reports'!D2697)),TRIM(MID('R.M Billets Reports'!D2697,SEARCH("-",'R.M Billets Reports'!D2697)+1,200)),""))&lt;&gt;"",IF(ISNUMBER(SEARCH("Party Name:-",'R.M Billets Reports'!D2697)),TRIM('R.M Billets Reports'!F2697),IF(ISNUMBER(SEARCH("Party Name-",'R.M Billets Reports'!D2697)),TRIM(MID('R.M Billets Reports'!D2697,SEARCH("-",'R.M Billets Reports'!D2697)+1,200)),"")),IF(ISNUMBER(SEARCH("Party Name:-",'R.M Billets Reports'!D2698)),TRIM('R.M Billets Reports'!F2698),IF(ISNUMBER(SEARCH("Party Name-",'R.M Billets Reports'!D2698)),TRIM(MID('R.M Billets Reports'!D2698,SEARCH("-",'R.M Billets Reports'!D2698)+1,200)),"")))="SHRI RADHE","SHREE RADHE",IF(IF(IF(ISNUMBER(SEARCH("Party Name:-",'R.M Billets Reports'!D2697)),TRIM('R.M Billets Reports'!F2697),IF(ISNUMBER(SEARCH("Party Name-",'R.M Billets Reports'!D2697)),TRIM(MID('R.M Billets Reports'!D2697,SEARCH("-",'R.M Billets Reports'!D2697)+1,200)),""))&lt;&gt;"",IF(ISNUMBER(SEARCH("Party Name:-",'R.M Billets Reports'!D2697)),TRIM('R.M Billets Reports'!F2697),IF(ISNUMBER(SEARCH("Party Name-",'R.M Billets Reports'!D2697)),TRIM(MID('R.M Billets Reports'!D2697,SEARCH("-",'R.M Billets Reports'!D2697)+1,200)),"")),IF(ISNUMBER(SEARCH("Party Name:-",'R.M Billets Reports'!D2698)),TRIM('R.M Billets Reports'!F2698),IF(ISNUMBER(SEARCH("Party Name-",'R.M Billets Reports'!D2698)),TRIM(MID('R.M Billets Reports'!D2698,SEARCH("-",'R.M Billets Reports'!D2698)+1,200)),"")))="SHREE RADHE SHAKTI SPONGE AND POWER PVT. LTD.","SHREE RADHE",IF(IF(ISNUMBER(SEARCH("Party Name:-",'R.M Billets Reports'!D2697)),TRIM('R.M Billets Reports'!F2697),IF(ISNUMBER(SEARCH("Party Name-",'R.M Billets Reports'!D2697)),TRIM(MID('R.M Billets Reports'!D2697,SEARCH("-",'R.M Billets Reports'!D2697)+1,200)),""))&lt;&gt;"",IF(ISNUMBER(SEARCH("Party Name:-",'R.M Billets Reports'!D2697)),TRIM('R.M Billets Reports'!F2697),IF(ISNUMBER(SEARCH("Party Name-",'R.M Billets Reports'!D2697)),TRIM(MID('R.M Billets Reports'!D2697,SEARCH("-",'R.M Billets Reports'!D2697)+1,200)),"")),IF(ISNUMBER(SEARCH("Party Name:-",'R.M Billets Reports'!D2698)),TRIM('R.M Billets Reports'!F2698),IF(ISNUMBER(SEARCH("Party Name-",'R.M Billets Reports'!D2698)),TRIM(MID('R.M Billets Reports'!D2698,SEARCH("-",'R.M Billets Reports'!D2698)+1,200)),"")))))),IF(ROW()=2,"",A2697))</f>
      </c>
      <c r="B2698">
        <f>IF(OR('R.M Billets Reports'!A2697="Date-",'R.M Billets Reports'!A2697="Date:-"),'R.M Billets Reports'!B2697,IF(ROW()=2,"",B2697))</f>
      </c>
      <c r="C2698">
        <f>IF('R.M Billets Reports'!A2697="V.No.",'R.M Billets Reports'!B2697,IF(ROW()=2,"",C2697))</f>
      </c>
      <c r="D2698">
        <f>IF('R.M Billets Reports'!A2697&lt;&gt;"",'R.M Billets Reports'!A2697,IF(ROW()=2,"",D2697))</f>
      </c>
      <c r="E2698">
        <f>IF('R.M Billets Reports'!B2697="","",TRIM('R.M Billets Reports'!B2697))</f>
      </c>
      <c r="F2698">
        <f>'R.M Billets Reports'!C2697</f>
      </c>
      <c r="G2698">
        <f>'R.M Billets Reports'!D2697</f>
      </c>
      <c r="H2698">
        <f>'R.M Billets Reports'!E2697</f>
      </c>
      <c r="I2698">
        <f>'R.M Billets Reports'!F2697</f>
      </c>
      <c r="J2698">
        <f>'R.M Billets Reports'!G2697</f>
      </c>
      <c r="K2698">
        <f>'R.M Billets Reports'!H2697</f>
      </c>
      <c r="L2698">
        <f>IF('R.M Billets Reports'!I2697="","",'R.M Billets Reports'!I2697)</f>
      </c>
      <c r="M2698">
        <f t="shared" si="84"/>
      </c>
      <c r="N2698">
        <f>IF('R.M Billets Reports'!J2697="","",'R.M Billets Reports'!J2697)</f>
      </c>
      <c r="O2698">
        <f t="shared" si="85"/>
      </c>
      <c r="P2698">
        <f>IF('R.M Billets Reports'!A2697="SIZE",'R.M Billets Reports'!B2697,P2697)</f>
      </c>
    </row>
    <row r="2699" spans="1:16" x14ac:dyDescent="0.25">
      <c r="A2699">
        <f>IF(OR('R.M Billets Reports'!A2698="Date-",'R.M Billets Reports'!A2698="Date:-"),IF(IF(IF(ISNUMBER(SEARCH("Party Name:-",'R.M Billets Reports'!D2698)),TRIM('R.M Billets Reports'!F2698),IF(ISNUMBER(SEARCH("Party Name-",'R.M Billets Reports'!D2698)),TRIM(MID('R.M Billets Reports'!D2698,SEARCH("-",'R.M Billets Reports'!D2698)+1,200)),""))&lt;&gt;"",IF(ISNUMBER(SEARCH("Party Name:-",'R.M Billets Reports'!D2698)),TRIM('R.M Billets Reports'!F2698),IF(ISNUMBER(SEARCH("Party Name-",'R.M Billets Reports'!D2698)),TRIM(MID('R.M Billets Reports'!D2698,SEARCH("-",'R.M Billets Reports'!D2698)+1,200)),"")),IF(ISNUMBER(SEARCH("Party Name:-",'R.M Billets Reports'!D2699)),TRIM('R.M Billets Reports'!F2699),IF(ISNUMBER(SEARCH("Party Name-",'R.M Billets Reports'!D2699)),TRIM(MID('R.M Billets Reports'!D2699,SEARCH("-",'R.M Billets Reports'!D2699)+1,200)),"")))="VRKP ISPAT PVT LTD","VRKP",IF(IF(IF(ISNUMBER(SEARCH("Party Name:-",'R.M Billets Reports'!D2698)),TRIM('R.M Billets Reports'!F2698),IF(ISNUMBER(SEARCH("Party Name-",'R.M Billets Reports'!D2698)),TRIM(MID('R.M Billets Reports'!D2698,SEARCH("-",'R.M Billets Reports'!D2698)+1,200)),""))&lt;&gt;"",IF(ISNUMBER(SEARCH("Party Name:-",'R.M Billets Reports'!D2698)),TRIM('R.M Billets Reports'!F2698),IF(ISNUMBER(SEARCH("Party Name-",'R.M Billets Reports'!D2698)),TRIM(MID('R.M Billets Reports'!D2698,SEARCH("-",'R.M Billets Reports'!D2698)+1,200)),"")),IF(ISNUMBER(SEARCH("Party Name:-",'R.M Billets Reports'!D2699)),TRIM('R.M Billets Reports'!F2699),IF(ISNUMBER(SEARCH("Party Name-",'R.M Billets Reports'!D2699)),TRIM(MID('R.M Billets Reports'!D2699,SEARCH("-",'R.M Billets Reports'!D2699)+1,200)),"")))="SHRI RADHE","SHREE RADHE",IF(IF(IF(ISNUMBER(SEARCH("Party Name:-",'R.M Billets Reports'!D2698)),TRIM('R.M Billets Reports'!F2698),IF(ISNUMBER(SEARCH("Party Name-",'R.M Billets Reports'!D2698)),TRIM(MID('R.M Billets Reports'!D2698,SEARCH("-",'R.M Billets Reports'!D2698)+1,200)),""))&lt;&gt;"",IF(ISNUMBER(SEARCH("Party Name:-",'R.M Billets Reports'!D2698)),TRIM('R.M Billets Reports'!F2698),IF(ISNUMBER(SEARCH("Party Name-",'R.M Billets Reports'!D2698)),TRIM(MID('R.M Billets Reports'!D2698,SEARCH("-",'R.M Billets Reports'!D2698)+1,200)),"")),IF(ISNUMBER(SEARCH("Party Name:-",'R.M Billets Reports'!D2699)),TRIM('R.M Billets Reports'!F2699),IF(ISNUMBER(SEARCH("Party Name-",'R.M Billets Reports'!D2699)),TRIM(MID('R.M Billets Reports'!D2699,SEARCH("-",'R.M Billets Reports'!D2699)+1,200)),"")))="SHREE RADHE SHAKTI SPONGE AND POWER PVT. LTD.","SHREE RADHE",IF(IF(ISNUMBER(SEARCH("Party Name:-",'R.M Billets Reports'!D2698)),TRIM('R.M Billets Reports'!F2698),IF(ISNUMBER(SEARCH("Party Name-",'R.M Billets Reports'!D2698)),TRIM(MID('R.M Billets Reports'!D2698,SEARCH("-",'R.M Billets Reports'!D2698)+1,200)),""))&lt;&gt;"",IF(ISNUMBER(SEARCH("Party Name:-",'R.M Billets Reports'!D2698)),TRIM('R.M Billets Reports'!F2698),IF(ISNUMBER(SEARCH("Party Name-",'R.M Billets Reports'!D2698)),TRIM(MID('R.M Billets Reports'!D2698,SEARCH("-",'R.M Billets Reports'!D2698)+1,200)),"")),IF(ISNUMBER(SEARCH("Party Name:-",'R.M Billets Reports'!D2699)),TRIM('R.M Billets Reports'!F2699),IF(ISNUMBER(SEARCH("Party Name-",'R.M Billets Reports'!D2699)),TRIM(MID('R.M Billets Reports'!D2699,SEARCH("-",'R.M Billets Reports'!D2699)+1,200)),"")))))),IF(ROW()=2,"",A2698))</f>
      </c>
      <c r="B2699">
        <f>IF(OR('R.M Billets Reports'!A2698="Date-",'R.M Billets Reports'!A2698="Date:-"),'R.M Billets Reports'!B2698,IF(ROW()=2,"",B2698))</f>
      </c>
      <c r="C2699">
        <f>IF('R.M Billets Reports'!A2698="V.No.",'R.M Billets Reports'!B2698,IF(ROW()=2,"",C2698))</f>
      </c>
      <c r="D2699">
        <f>IF('R.M Billets Reports'!A2698&lt;&gt;"",'R.M Billets Reports'!A2698,IF(ROW()=2,"",D2698))</f>
      </c>
      <c r="E2699">
        <f>IF('R.M Billets Reports'!B2698="","",TRIM('R.M Billets Reports'!B2698))</f>
      </c>
      <c r="F2699">
        <f>'R.M Billets Reports'!C2698</f>
      </c>
      <c r="G2699">
        <f>'R.M Billets Reports'!D2698</f>
      </c>
      <c r="H2699">
        <f>'R.M Billets Reports'!E2698</f>
      </c>
      <c r="I2699">
        <f>'R.M Billets Reports'!F2698</f>
      </c>
      <c r="J2699">
        <f>'R.M Billets Reports'!G2698</f>
      </c>
      <c r="K2699">
        <f>'R.M Billets Reports'!H2698</f>
      </c>
      <c r="L2699">
        <f>IF('R.M Billets Reports'!I2698="","",'R.M Billets Reports'!I2698)</f>
      </c>
      <c r="M2699">
        <f t="shared" si="84"/>
      </c>
      <c r="N2699">
        <f>IF('R.M Billets Reports'!J2698="","",'R.M Billets Reports'!J2698)</f>
      </c>
      <c r="O2699">
        <f t="shared" si="85"/>
      </c>
      <c r="P2699">
        <f>IF('R.M Billets Reports'!A2698="SIZE",'R.M Billets Reports'!B2698,P2698)</f>
      </c>
    </row>
    <row r="2700" spans="1:16" x14ac:dyDescent="0.25">
      <c r="A2700">
        <f>IF(OR('R.M Billets Reports'!A2699="Date-",'R.M Billets Reports'!A2699="Date:-"),IF(IF(IF(ISNUMBER(SEARCH("Party Name:-",'R.M Billets Reports'!D2699)),TRIM('R.M Billets Reports'!F2699),IF(ISNUMBER(SEARCH("Party Name-",'R.M Billets Reports'!D2699)),TRIM(MID('R.M Billets Reports'!D2699,SEARCH("-",'R.M Billets Reports'!D2699)+1,200)),""))&lt;&gt;"",IF(ISNUMBER(SEARCH("Party Name:-",'R.M Billets Reports'!D2699)),TRIM('R.M Billets Reports'!F2699),IF(ISNUMBER(SEARCH("Party Name-",'R.M Billets Reports'!D2699)),TRIM(MID('R.M Billets Reports'!D2699,SEARCH("-",'R.M Billets Reports'!D2699)+1,200)),"")),IF(ISNUMBER(SEARCH("Party Name:-",'R.M Billets Reports'!D2700)),TRIM('R.M Billets Reports'!F2700),IF(ISNUMBER(SEARCH("Party Name-",'R.M Billets Reports'!D2700)),TRIM(MID('R.M Billets Reports'!D2700,SEARCH("-",'R.M Billets Reports'!D2700)+1,200)),"")))="VRKP ISPAT PVT LTD","VRKP",IF(IF(IF(ISNUMBER(SEARCH("Party Name:-",'R.M Billets Reports'!D2699)),TRIM('R.M Billets Reports'!F2699),IF(ISNUMBER(SEARCH("Party Name-",'R.M Billets Reports'!D2699)),TRIM(MID('R.M Billets Reports'!D2699,SEARCH("-",'R.M Billets Reports'!D2699)+1,200)),""))&lt;&gt;"",IF(ISNUMBER(SEARCH("Party Name:-",'R.M Billets Reports'!D2699)),TRIM('R.M Billets Reports'!F2699),IF(ISNUMBER(SEARCH("Party Name-",'R.M Billets Reports'!D2699)),TRIM(MID('R.M Billets Reports'!D2699,SEARCH("-",'R.M Billets Reports'!D2699)+1,200)),"")),IF(ISNUMBER(SEARCH("Party Name:-",'R.M Billets Reports'!D2700)),TRIM('R.M Billets Reports'!F2700),IF(ISNUMBER(SEARCH("Party Name-",'R.M Billets Reports'!D2700)),TRIM(MID('R.M Billets Reports'!D2700,SEARCH("-",'R.M Billets Reports'!D2700)+1,200)),"")))="SHRI RADHE","SHREE RADHE",IF(IF(IF(ISNUMBER(SEARCH("Party Name:-",'R.M Billets Reports'!D2699)),TRIM('R.M Billets Reports'!F2699),IF(ISNUMBER(SEARCH("Party Name-",'R.M Billets Reports'!D2699)),TRIM(MID('R.M Billets Reports'!D2699,SEARCH("-",'R.M Billets Reports'!D2699)+1,200)),""))&lt;&gt;"",IF(ISNUMBER(SEARCH("Party Name:-",'R.M Billets Reports'!D2699)),TRIM('R.M Billets Reports'!F2699),IF(ISNUMBER(SEARCH("Party Name-",'R.M Billets Reports'!D2699)),TRIM(MID('R.M Billets Reports'!D2699,SEARCH("-",'R.M Billets Reports'!D2699)+1,200)),"")),IF(ISNUMBER(SEARCH("Party Name:-",'R.M Billets Reports'!D2700)),TRIM('R.M Billets Reports'!F2700),IF(ISNUMBER(SEARCH("Party Name-",'R.M Billets Reports'!D2700)),TRIM(MID('R.M Billets Reports'!D2700,SEARCH("-",'R.M Billets Reports'!D2700)+1,200)),"")))="SHREE RADHE SHAKTI SPONGE AND POWER PVT. LTD.","SHREE RADHE",IF(IF(ISNUMBER(SEARCH("Party Name:-",'R.M Billets Reports'!D2699)),TRIM('R.M Billets Reports'!F2699),IF(ISNUMBER(SEARCH("Party Name-",'R.M Billets Reports'!D2699)),TRIM(MID('R.M Billets Reports'!D2699,SEARCH("-",'R.M Billets Reports'!D2699)+1,200)),""))&lt;&gt;"",IF(ISNUMBER(SEARCH("Party Name:-",'R.M Billets Reports'!D2699)),TRIM('R.M Billets Reports'!F2699),IF(ISNUMBER(SEARCH("Party Name-",'R.M Billets Reports'!D2699)),TRIM(MID('R.M Billets Reports'!D2699,SEARCH("-",'R.M Billets Reports'!D2699)+1,200)),"")),IF(ISNUMBER(SEARCH("Party Name:-",'R.M Billets Reports'!D2700)),TRIM('R.M Billets Reports'!F2700),IF(ISNUMBER(SEARCH("Party Name-",'R.M Billets Reports'!D2700)),TRIM(MID('R.M Billets Reports'!D2700,SEARCH("-",'R.M Billets Reports'!D2700)+1,200)),"")))))),IF(ROW()=2,"",A2699))</f>
      </c>
      <c r="B2700">
        <f>IF(OR('R.M Billets Reports'!A2699="Date-",'R.M Billets Reports'!A2699="Date:-"),'R.M Billets Reports'!B2699,IF(ROW()=2,"",B2699))</f>
      </c>
      <c r="C2700">
        <f>IF('R.M Billets Reports'!A2699="V.No.",'R.M Billets Reports'!B2699,IF(ROW()=2,"",C2699))</f>
      </c>
      <c r="D2700">
        <f>IF('R.M Billets Reports'!A2699&lt;&gt;"",'R.M Billets Reports'!A2699,IF(ROW()=2,"",D2699))</f>
      </c>
      <c r="E2700">
        <f>IF('R.M Billets Reports'!B2699="","",TRIM('R.M Billets Reports'!B2699))</f>
      </c>
      <c r="F2700">
        <f>'R.M Billets Reports'!C2699</f>
      </c>
      <c r="G2700">
        <f>'R.M Billets Reports'!D2699</f>
      </c>
      <c r="H2700">
        <f>'R.M Billets Reports'!E2699</f>
      </c>
      <c r="I2700">
        <f>'R.M Billets Reports'!F2699</f>
      </c>
      <c r="J2700">
        <f>'R.M Billets Reports'!G2699</f>
      </c>
      <c r="K2700">
        <f>'R.M Billets Reports'!H2699</f>
      </c>
      <c r="L2700">
        <f>IF('R.M Billets Reports'!I2699="","",'R.M Billets Reports'!I2699)</f>
      </c>
      <c r="M2700">
        <f t="shared" si="84"/>
      </c>
      <c r="N2700">
        <f>IF('R.M Billets Reports'!J2699="","",'R.M Billets Reports'!J2699)</f>
      </c>
      <c r="O2700">
        <f t="shared" si="85"/>
      </c>
      <c r="P2700">
        <f>IF('R.M Billets Reports'!A2699="SIZE",'R.M Billets Reports'!B2699,P2699)</f>
      </c>
    </row>
    <row r="2701" spans="1:16" x14ac:dyDescent="0.25">
      <c r="A2701">
        <f>IF(OR('R.M Billets Reports'!A2700="Date-",'R.M Billets Reports'!A2700="Date:-"),IF(IF(IF(ISNUMBER(SEARCH("Party Name:-",'R.M Billets Reports'!D2700)),TRIM('R.M Billets Reports'!F2700),IF(ISNUMBER(SEARCH("Party Name-",'R.M Billets Reports'!D2700)),TRIM(MID('R.M Billets Reports'!D2700,SEARCH("-",'R.M Billets Reports'!D2700)+1,200)),""))&lt;&gt;"",IF(ISNUMBER(SEARCH("Party Name:-",'R.M Billets Reports'!D2700)),TRIM('R.M Billets Reports'!F2700),IF(ISNUMBER(SEARCH("Party Name-",'R.M Billets Reports'!D2700)),TRIM(MID('R.M Billets Reports'!D2700,SEARCH("-",'R.M Billets Reports'!D2700)+1,200)),"")),IF(ISNUMBER(SEARCH("Party Name:-",'R.M Billets Reports'!D2701)),TRIM('R.M Billets Reports'!F2701),IF(ISNUMBER(SEARCH("Party Name-",'R.M Billets Reports'!D2701)),TRIM(MID('R.M Billets Reports'!D2701,SEARCH("-",'R.M Billets Reports'!D2701)+1,200)),"")))="VRKP ISPAT PVT LTD","VRKP",IF(IF(IF(ISNUMBER(SEARCH("Party Name:-",'R.M Billets Reports'!D2700)),TRIM('R.M Billets Reports'!F2700),IF(ISNUMBER(SEARCH("Party Name-",'R.M Billets Reports'!D2700)),TRIM(MID('R.M Billets Reports'!D2700,SEARCH("-",'R.M Billets Reports'!D2700)+1,200)),""))&lt;&gt;"",IF(ISNUMBER(SEARCH("Party Name:-",'R.M Billets Reports'!D2700)),TRIM('R.M Billets Reports'!F2700),IF(ISNUMBER(SEARCH("Party Name-",'R.M Billets Reports'!D2700)),TRIM(MID('R.M Billets Reports'!D2700,SEARCH("-",'R.M Billets Reports'!D2700)+1,200)),"")),IF(ISNUMBER(SEARCH("Party Name:-",'R.M Billets Reports'!D2701)),TRIM('R.M Billets Reports'!F2701),IF(ISNUMBER(SEARCH("Party Name-",'R.M Billets Reports'!D2701)),TRIM(MID('R.M Billets Reports'!D2701,SEARCH("-",'R.M Billets Reports'!D2701)+1,200)),"")))="SHRI RADHE","SHREE RADHE",IF(IF(IF(ISNUMBER(SEARCH("Party Name:-",'R.M Billets Reports'!D2700)),TRIM('R.M Billets Reports'!F2700),IF(ISNUMBER(SEARCH("Party Name-",'R.M Billets Reports'!D2700)),TRIM(MID('R.M Billets Reports'!D2700,SEARCH("-",'R.M Billets Reports'!D2700)+1,200)),""))&lt;&gt;"",IF(ISNUMBER(SEARCH("Party Name:-",'R.M Billets Reports'!D2700)),TRIM('R.M Billets Reports'!F2700),IF(ISNUMBER(SEARCH("Party Name-",'R.M Billets Reports'!D2700)),TRIM(MID('R.M Billets Reports'!D2700,SEARCH("-",'R.M Billets Reports'!D2700)+1,200)),"")),IF(ISNUMBER(SEARCH("Party Name:-",'R.M Billets Reports'!D2701)),TRIM('R.M Billets Reports'!F2701),IF(ISNUMBER(SEARCH("Party Name-",'R.M Billets Reports'!D2701)),TRIM(MID('R.M Billets Reports'!D2701,SEARCH("-",'R.M Billets Reports'!D2701)+1,200)),"")))="SHREE RADHE SHAKTI SPONGE AND POWER PVT. LTD.","SHREE RADHE",IF(IF(ISNUMBER(SEARCH("Party Name:-",'R.M Billets Reports'!D2700)),TRIM('R.M Billets Reports'!F2700),IF(ISNUMBER(SEARCH("Party Name-",'R.M Billets Reports'!D2700)),TRIM(MID('R.M Billets Reports'!D2700,SEARCH("-",'R.M Billets Reports'!D2700)+1,200)),""))&lt;&gt;"",IF(ISNUMBER(SEARCH("Party Name:-",'R.M Billets Reports'!D2700)),TRIM('R.M Billets Reports'!F2700),IF(ISNUMBER(SEARCH("Party Name-",'R.M Billets Reports'!D2700)),TRIM(MID('R.M Billets Reports'!D2700,SEARCH("-",'R.M Billets Reports'!D2700)+1,200)),"")),IF(ISNUMBER(SEARCH("Party Name:-",'R.M Billets Reports'!D2701)),TRIM('R.M Billets Reports'!F2701),IF(ISNUMBER(SEARCH("Party Name-",'R.M Billets Reports'!D2701)),TRIM(MID('R.M Billets Reports'!D2701,SEARCH("-",'R.M Billets Reports'!D2701)+1,200)),"")))))),IF(ROW()=2,"",A2700))</f>
      </c>
      <c r="B2701">
        <f>IF(OR('R.M Billets Reports'!A2700="Date-",'R.M Billets Reports'!A2700="Date:-"),'R.M Billets Reports'!B2700,IF(ROW()=2,"",B2700))</f>
      </c>
      <c r="C2701">
        <f>IF('R.M Billets Reports'!A2700="V.No.",'R.M Billets Reports'!B2700,IF(ROW()=2,"",C2700))</f>
      </c>
      <c r="D2701">
        <f>IF('R.M Billets Reports'!A2700&lt;&gt;"",'R.M Billets Reports'!A2700,IF(ROW()=2,"",D2700))</f>
      </c>
      <c r="E2701">
        <f>IF('R.M Billets Reports'!B2700="","",TRIM('R.M Billets Reports'!B2700))</f>
      </c>
      <c r="F2701">
        <f>'R.M Billets Reports'!C2700</f>
      </c>
      <c r="G2701">
        <f>'R.M Billets Reports'!D2700</f>
      </c>
      <c r="H2701">
        <f>'R.M Billets Reports'!E2700</f>
      </c>
      <c r="I2701">
        <f>'R.M Billets Reports'!F2700</f>
      </c>
      <c r="J2701">
        <f>'R.M Billets Reports'!G2700</f>
      </c>
      <c r="K2701">
        <f>'R.M Billets Reports'!H2700</f>
      </c>
      <c r="L2701">
        <f>IF('R.M Billets Reports'!I2700="","",'R.M Billets Reports'!I2700)</f>
      </c>
      <c r="M2701">
        <f t="shared" si="84"/>
      </c>
      <c r="N2701">
        <f>IF('R.M Billets Reports'!J2700="","",'R.M Billets Reports'!J2700)</f>
      </c>
      <c r="O2701">
        <f t="shared" si="85"/>
      </c>
      <c r="P2701">
        <f>IF('R.M Billets Reports'!A2700="SIZE",'R.M Billets Reports'!B2700,P2700)</f>
      </c>
    </row>
    <row r="2702" spans="1:16" x14ac:dyDescent="0.25">
      <c r="A2702">
        <f>IF(OR('R.M Billets Reports'!A2701="Date-",'R.M Billets Reports'!A2701="Date:-"),IF(IF(IF(ISNUMBER(SEARCH("Party Name:-",'R.M Billets Reports'!D2701)),TRIM('R.M Billets Reports'!F2701),IF(ISNUMBER(SEARCH("Party Name-",'R.M Billets Reports'!D2701)),TRIM(MID('R.M Billets Reports'!D2701,SEARCH("-",'R.M Billets Reports'!D2701)+1,200)),""))&lt;&gt;"",IF(ISNUMBER(SEARCH("Party Name:-",'R.M Billets Reports'!D2701)),TRIM('R.M Billets Reports'!F2701),IF(ISNUMBER(SEARCH("Party Name-",'R.M Billets Reports'!D2701)),TRIM(MID('R.M Billets Reports'!D2701,SEARCH("-",'R.M Billets Reports'!D2701)+1,200)),"")),IF(ISNUMBER(SEARCH("Party Name:-",'R.M Billets Reports'!D2702)),TRIM('R.M Billets Reports'!F2702),IF(ISNUMBER(SEARCH("Party Name-",'R.M Billets Reports'!D2702)),TRIM(MID('R.M Billets Reports'!D2702,SEARCH("-",'R.M Billets Reports'!D2702)+1,200)),"")))="VRKP ISPAT PVT LTD","VRKP",IF(IF(IF(ISNUMBER(SEARCH("Party Name:-",'R.M Billets Reports'!D2701)),TRIM('R.M Billets Reports'!F2701),IF(ISNUMBER(SEARCH("Party Name-",'R.M Billets Reports'!D2701)),TRIM(MID('R.M Billets Reports'!D2701,SEARCH("-",'R.M Billets Reports'!D2701)+1,200)),""))&lt;&gt;"",IF(ISNUMBER(SEARCH("Party Name:-",'R.M Billets Reports'!D2701)),TRIM('R.M Billets Reports'!F2701),IF(ISNUMBER(SEARCH("Party Name-",'R.M Billets Reports'!D2701)),TRIM(MID('R.M Billets Reports'!D2701,SEARCH("-",'R.M Billets Reports'!D2701)+1,200)),"")),IF(ISNUMBER(SEARCH("Party Name:-",'R.M Billets Reports'!D2702)),TRIM('R.M Billets Reports'!F2702),IF(ISNUMBER(SEARCH("Party Name-",'R.M Billets Reports'!D2702)),TRIM(MID('R.M Billets Reports'!D2702,SEARCH("-",'R.M Billets Reports'!D2702)+1,200)),"")))="SHRI RADHE","SHREE RADHE",IF(IF(IF(ISNUMBER(SEARCH("Party Name:-",'R.M Billets Reports'!D2701)),TRIM('R.M Billets Reports'!F2701),IF(ISNUMBER(SEARCH("Party Name-",'R.M Billets Reports'!D2701)),TRIM(MID('R.M Billets Reports'!D2701,SEARCH("-",'R.M Billets Reports'!D2701)+1,200)),""))&lt;&gt;"",IF(ISNUMBER(SEARCH("Party Name:-",'R.M Billets Reports'!D2701)),TRIM('R.M Billets Reports'!F2701),IF(ISNUMBER(SEARCH("Party Name-",'R.M Billets Reports'!D2701)),TRIM(MID('R.M Billets Reports'!D2701,SEARCH("-",'R.M Billets Reports'!D2701)+1,200)),"")),IF(ISNUMBER(SEARCH("Party Name:-",'R.M Billets Reports'!D2702)),TRIM('R.M Billets Reports'!F2702),IF(ISNUMBER(SEARCH("Party Name-",'R.M Billets Reports'!D2702)),TRIM(MID('R.M Billets Reports'!D2702,SEARCH("-",'R.M Billets Reports'!D2702)+1,200)),"")))="SHREE RADHE SHAKTI SPONGE AND POWER PVT. LTD.","SHREE RADHE",IF(IF(ISNUMBER(SEARCH("Party Name:-",'R.M Billets Reports'!D2701)),TRIM('R.M Billets Reports'!F2701),IF(ISNUMBER(SEARCH("Party Name-",'R.M Billets Reports'!D2701)),TRIM(MID('R.M Billets Reports'!D2701,SEARCH("-",'R.M Billets Reports'!D2701)+1,200)),""))&lt;&gt;"",IF(ISNUMBER(SEARCH("Party Name:-",'R.M Billets Reports'!D2701)),TRIM('R.M Billets Reports'!F2701),IF(ISNUMBER(SEARCH("Party Name-",'R.M Billets Reports'!D2701)),TRIM(MID('R.M Billets Reports'!D2701,SEARCH("-",'R.M Billets Reports'!D2701)+1,200)),"")),IF(ISNUMBER(SEARCH("Party Name:-",'R.M Billets Reports'!D2702)),TRIM('R.M Billets Reports'!F2702),IF(ISNUMBER(SEARCH("Party Name-",'R.M Billets Reports'!D2702)),TRIM(MID('R.M Billets Reports'!D2702,SEARCH("-",'R.M Billets Reports'!D2702)+1,200)),"")))))),IF(ROW()=2,"",A2701))</f>
      </c>
      <c r="B2702">
        <f>IF(OR('R.M Billets Reports'!A2701="Date-",'R.M Billets Reports'!A2701="Date:-"),'R.M Billets Reports'!B2701,IF(ROW()=2,"",B2701))</f>
      </c>
      <c r="C2702">
        <f>IF('R.M Billets Reports'!A2701="V.No.",'R.M Billets Reports'!B2701,IF(ROW()=2,"",C2701))</f>
      </c>
      <c r="D2702">
        <f>IF('R.M Billets Reports'!A2701&lt;&gt;"",'R.M Billets Reports'!A2701,IF(ROW()=2,"",D2701))</f>
      </c>
      <c r="E2702">
        <f>IF('R.M Billets Reports'!B2701="","",TRIM('R.M Billets Reports'!B2701))</f>
      </c>
      <c r="F2702">
        <f>'R.M Billets Reports'!C2701</f>
      </c>
      <c r="G2702">
        <f>'R.M Billets Reports'!D2701</f>
      </c>
      <c r="H2702">
        <f>'R.M Billets Reports'!E2701</f>
      </c>
      <c r="I2702">
        <f>'R.M Billets Reports'!F2701</f>
      </c>
      <c r="J2702">
        <f>'R.M Billets Reports'!G2701</f>
      </c>
      <c r="K2702">
        <f>'R.M Billets Reports'!H2701</f>
      </c>
      <c r="L2702">
        <f>IF('R.M Billets Reports'!I2701="","",'R.M Billets Reports'!I2701)</f>
      </c>
      <c r="M2702">
        <f t="shared" si="84"/>
      </c>
      <c r="N2702">
        <f>IF('R.M Billets Reports'!J2701="","",'R.M Billets Reports'!J2701)</f>
      </c>
      <c r="O2702">
        <f t="shared" si="85"/>
      </c>
      <c r="P2702">
        <f>IF('R.M Billets Reports'!A2701="SIZE",'R.M Billets Reports'!B2701,P2701)</f>
      </c>
    </row>
    <row r="2703" spans="1:16" x14ac:dyDescent="0.25">
      <c r="A2703">
        <f>IF(OR('R.M Billets Reports'!A2702="Date-",'R.M Billets Reports'!A2702="Date:-"),IF(IF(IF(ISNUMBER(SEARCH("Party Name:-",'R.M Billets Reports'!D2702)),TRIM('R.M Billets Reports'!F2702),IF(ISNUMBER(SEARCH("Party Name-",'R.M Billets Reports'!D2702)),TRIM(MID('R.M Billets Reports'!D2702,SEARCH("-",'R.M Billets Reports'!D2702)+1,200)),""))&lt;&gt;"",IF(ISNUMBER(SEARCH("Party Name:-",'R.M Billets Reports'!D2702)),TRIM('R.M Billets Reports'!F2702),IF(ISNUMBER(SEARCH("Party Name-",'R.M Billets Reports'!D2702)),TRIM(MID('R.M Billets Reports'!D2702,SEARCH("-",'R.M Billets Reports'!D2702)+1,200)),"")),IF(ISNUMBER(SEARCH("Party Name:-",'R.M Billets Reports'!D2703)),TRIM('R.M Billets Reports'!F2703),IF(ISNUMBER(SEARCH("Party Name-",'R.M Billets Reports'!D2703)),TRIM(MID('R.M Billets Reports'!D2703,SEARCH("-",'R.M Billets Reports'!D2703)+1,200)),"")))="VRKP ISPAT PVT LTD","VRKP",IF(IF(IF(ISNUMBER(SEARCH("Party Name:-",'R.M Billets Reports'!D2702)),TRIM('R.M Billets Reports'!F2702),IF(ISNUMBER(SEARCH("Party Name-",'R.M Billets Reports'!D2702)),TRIM(MID('R.M Billets Reports'!D2702,SEARCH("-",'R.M Billets Reports'!D2702)+1,200)),""))&lt;&gt;"",IF(ISNUMBER(SEARCH("Party Name:-",'R.M Billets Reports'!D2702)),TRIM('R.M Billets Reports'!F2702),IF(ISNUMBER(SEARCH("Party Name-",'R.M Billets Reports'!D2702)),TRIM(MID('R.M Billets Reports'!D2702,SEARCH("-",'R.M Billets Reports'!D2702)+1,200)),"")),IF(ISNUMBER(SEARCH("Party Name:-",'R.M Billets Reports'!D2703)),TRIM('R.M Billets Reports'!F2703),IF(ISNUMBER(SEARCH("Party Name-",'R.M Billets Reports'!D2703)),TRIM(MID('R.M Billets Reports'!D2703,SEARCH("-",'R.M Billets Reports'!D2703)+1,200)),"")))="SHRI RADHE","SHREE RADHE",IF(IF(IF(ISNUMBER(SEARCH("Party Name:-",'R.M Billets Reports'!D2702)),TRIM('R.M Billets Reports'!F2702),IF(ISNUMBER(SEARCH("Party Name-",'R.M Billets Reports'!D2702)),TRIM(MID('R.M Billets Reports'!D2702,SEARCH("-",'R.M Billets Reports'!D2702)+1,200)),""))&lt;&gt;"",IF(ISNUMBER(SEARCH("Party Name:-",'R.M Billets Reports'!D2702)),TRIM('R.M Billets Reports'!F2702),IF(ISNUMBER(SEARCH("Party Name-",'R.M Billets Reports'!D2702)),TRIM(MID('R.M Billets Reports'!D2702,SEARCH("-",'R.M Billets Reports'!D2702)+1,200)),"")),IF(ISNUMBER(SEARCH("Party Name:-",'R.M Billets Reports'!D2703)),TRIM('R.M Billets Reports'!F2703),IF(ISNUMBER(SEARCH("Party Name-",'R.M Billets Reports'!D2703)),TRIM(MID('R.M Billets Reports'!D2703,SEARCH("-",'R.M Billets Reports'!D2703)+1,200)),"")))="SHREE RADHE SHAKTI SPONGE AND POWER PVT. LTD.","SHREE RADHE",IF(IF(ISNUMBER(SEARCH("Party Name:-",'R.M Billets Reports'!D2702)),TRIM('R.M Billets Reports'!F2702),IF(ISNUMBER(SEARCH("Party Name-",'R.M Billets Reports'!D2702)),TRIM(MID('R.M Billets Reports'!D2702,SEARCH("-",'R.M Billets Reports'!D2702)+1,200)),""))&lt;&gt;"",IF(ISNUMBER(SEARCH("Party Name:-",'R.M Billets Reports'!D2702)),TRIM('R.M Billets Reports'!F2702),IF(ISNUMBER(SEARCH("Party Name-",'R.M Billets Reports'!D2702)),TRIM(MID('R.M Billets Reports'!D2702,SEARCH("-",'R.M Billets Reports'!D2702)+1,200)),"")),IF(ISNUMBER(SEARCH("Party Name:-",'R.M Billets Reports'!D2703)),TRIM('R.M Billets Reports'!F2703),IF(ISNUMBER(SEARCH("Party Name-",'R.M Billets Reports'!D2703)),TRIM(MID('R.M Billets Reports'!D2703,SEARCH("-",'R.M Billets Reports'!D2703)+1,200)),"")))))),IF(ROW()=2,"",A2702))</f>
      </c>
      <c r="B2703">
        <f>IF(OR('R.M Billets Reports'!A2702="Date-",'R.M Billets Reports'!A2702="Date:-"),'R.M Billets Reports'!B2702,IF(ROW()=2,"",B2702))</f>
      </c>
      <c r="C2703">
        <f>IF('R.M Billets Reports'!A2702="V.No.",'R.M Billets Reports'!B2702,IF(ROW()=2,"",C2702))</f>
      </c>
      <c r="D2703">
        <f>IF('R.M Billets Reports'!A2702&lt;&gt;"",'R.M Billets Reports'!A2702,IF(ROW()=2,"",D2702))</f>
      </c>
      <c r="E2703">
        <f>IF('R.M Billets Reports'!B2702="","",TRIM('R.M Billets Reports'!B2702))</f>
      </c>
      <c r="F2703">
        <f>'R.M Billets Reports'!C2702</f>
      </c>
      <c r="G2703">
        <f>'R.M Billets Reports'!D2702</f>
      </c>
      <c r="H2703">
        <f>'R.M Billets Reports'!E2702</f>
      </c>
      <c r="I2703">
        <f>'R.M Billets Reports'!F2702</f>
      </c>
      <c r="J2703">
        <f>'R.M Billets Reports'!G2702</f>
      </c>
      <c r="K2703">
        <f>'R.M Billets Reports'!H2702</f>
      </c>
      <c r="L2703">
        <f>IF('R.M Billets Reports'!I2702="","",'R.M Billets Reports'!I2702)</f>
      </c>
      <c r="M2703">
        <f t="shared" si="84"/>
      </c>
      <c r="N2703">
        <f>IF('R.M Billets Reports'!J2702="","",'R.M Billets Reports'!J2702)</f>
      </c>
      <c r="O2703">
        <f t="shared" si="85"/>
      </c>
      <c r="P2703">
        <f>IF('R.M Billets Reports'!A2702="SIZE",'R.M Billets Reports'!B2702,P2702)</f>
      </c>
    </row>
    <row r="2704" spans="1:16" x14ac:dyDescent="0.25">
      <c r="A2704">
        <f>IF(OR('R.M Billets Reports'!A2703="Date-",'R.M Billets Reports'!A2703="Date:-"),IF(IF(IF(ISNUMBER(SEARCH("Party Name:-",'R.M Billets Reports'!D2703)),TRIM('R.M Billets Reports'!F2703),IF(ISNUMBER(SEARCH("Party Name-",'R.M Billets Reports'!D2703)),TRIM(MID('R.M Billets Reports'!D2703,SEARCH("-",'R.M Billets Reports'!D2703)+1,200)),""))&lt;&gt;"",IF(ISNUMBER(SEARCH("Party Name:-",'R.M Billets Reports'!D2703)),TRIM('R.M Billets Reports'!F2703),IF(ISNUMBER(SEARCH("Party Name-",'R.M Billets Reports'!D2703)),TRIM(MID('R.M Billets Reports'!D2703,SEARCH("-",'R.M Billets Reports'!D2703)+1,200)),"")),IF(ISNUMBER(SEARCH("Party Name:-",'R.M Billets Reports'!D2704)),TRIM('R.M Billets Reports'!F2704),IF(ISNUMBER(SEARCH("Party Name-",'R.M Billets Reports'!D2704)),TRIM(MID('R.M Billets Reports'!D2704,SEARCH("-",'R.M Billets Reports'!D2704)+1,200)),"")))="VRKP ISPAT PVT LTD","VRKP",IF(IF(IF(ISNUMBER(SEARCH("Party Name:-",'R.M Billets Reports'!D2703)),TRIM('R.M Billets Reports'!F2703),IF(ISNUMBER(SEARCH("Party Name-",'R.M Billets Reports'!D2703)),TRIM(MID('R.M Billets Reports'!D2703,SEARCH("-",'R.M Billets Reports'!D2703)+1,200)),""))&lt;&gt;"",IF(ISNUMBER(SEARCH("Party Name:-",'R.M Billets Reports'!D2703)),TRIM('R.M Billets Reports'!F2703),IF(ISNUMBER(SEARCH("Party Name-",'R.M Billets Reports'!D2703)),TRIM(MID('R.M Billets Reports'!D2703,SEARCH("-",'R.M Billets Reports'!D2703)+1,200)),"")),IF(ISNUMBER(SEARCH("Party Name:-",'R.M Billets Reports'!D2704)),TRIM('R.M Billets Reports'!F2704),IF(ISNUMBER(SEARCH("Party Name-",'R.M Billets Reports'!D2704)),TRIM(MID('R.M Billets Reports'!D2704,SEARCH("-",'R.M Billets Reports'!D2704)+1,200)),"")))="SHRI RADHE","SHREE RADHE",IF(IF(IF(ISNUMBER(SEARCH("Party Name:-",'R.M Billets Reports'!D2703)),TRIM('R.M Billets Reports'!F2703),IF(ISNUMBER(SEARCH("Party Name-",'R.M Billets Reports'!D2703)),TRIM(MID('R.M Billets Reports'!D2703,SEARCH("-",'R.M Billets Reports'!D2703)+1,200)),""))&lt;&gt;"",IF(ISNUMBER(SEARCH("Party Name:-",'R.M Billets Reports'!D2703)),TRIM('R.M Billets Reports'!F2703),IF(ISNUMBER(SEARCH("Party Name-",'R.M Billets Reports'!D2703)),TRIM(MID('R.M Billets Reports'!D2703,SEARCH("-",'R.M Billets Reports'!D2703)+1,200)),"")),IF(ISNUMBER(SEARCH("Party Name:-",'R.M Billets Reports'!D2704)),TRIM('R.M Billets Reports'!F2704),IF(ISNUMBER(SEARCH("Party Name-",'R.M Billets Reports'!D2704)),TRIM(MID('R.M Billets Reports'!D2704,SEARCH("-",'R.M Billets Reports'!D2704)+1,200)),"")))="SHREE RADHE SHAKTI SPONGE AND POWER PVT. LTD.","SHREE RADHE",IF(IF(ISNUMBER(SEARCH("Party Name:-",'R.M Billets Reports'!D2703)),TRIM('R.M Billets Reports'!F2703),IF(ISNUMBER(SEARCH("Party Name-",'R.M Billets Reports'!D2703)),TRIM(MID('R.M Billets Reports'!D2703,SEARCH("-",'R.M Billets Reports'!D2703)+1,200)),""))&lt;&gt;"",IF(ISNUMBER(SEARCH("Party Name:-",'R.M Billets Reports'!D2703)),TRIM('R.M Billets Reports'!F2703),IF(ISNUMBER(SEARCH("Party Name-",'R.M Billets Reports'!D2703)),TRIM(MID('R.M Billets Reports'!D2703,SEARCH("-",'R.M Billets Reports'!D2703)+1,200)),"")),IF(ISNUMBER(SEARCH("Party Name:-",'R.M Billets Reports'!D2704)),TRIM('R.M Billets Reports'!F2704),IF(ISNUMBER(SEARCH("Party Name-",'R.M Billets Reports'!D2704)),TRIM(MID('R.M Billets Reports'!D2704,SEARCH("-",'R.M Billets Reports'!D2704)+1,200)),"")))))),IF(ROW()=2,"",A2703))</f>
      </c>
      <c r="B2704">
        <f>IF(OR('R.M Billets Reports'!A2703="Date-",'R.M Billets Reports'!A2703="Date:-"),'R.M Billets Reports'!B2703,IF(ROW()=2,"",B2703))</f>
      </c>
      <c r="C2704">
        <f>IF('R.M Billets Reports'!A2703="V.No.",'R.M Billets Reports'!B2703,IF(ROW()=2,"",C2703))</f>
      </c>
      <c r="D2704">
        <f>IF('R.M Billets Reports'!A2703&lt;&gt;"",'R.M Billets Reports'!A2703,IF(ROW()=2,"",D2703))</f>
      </c>
      <c r="E2704">
        <f>IF('R.M Billets Reports'!B2703="","",TRIM('R.M Billets Reports'!B2703))</f>
      </c>
      <c r="F2704">
        <f>'R.M Billets Reports'!C2703</f>
      </c>
      <c r="G2704">
        <f>'R.M Billets Reports'!D2703</f>
      </c>
      <c r="H2704">
        <f>'R.M Billets Reports'!E2703</f>
      </c>
      <c r="I2704">
        <f>'R.M Billets Reports'!F2703</f>
      </c>
      <c r="J2704">
        <f>'R.M Billets Reports'!G2703</f>
      </c>
      <c r="K2704">
        <f>'R.M Billets Reports'!H2703</f>
      </c>
      <c r="L2704">
        <f>IF('R.M Billets Reports'!I2703="","",'R.M Billets Reports'!I2703)</f>
      </c>
      <c r="M2704">
        <f t="shared" si="84"/>
      </c>
      <c r="N2704">
        <f>IF('R.M Billets Reports'!J2703="","",'R.M Billets Reports'!J2703)</f>
      </c>
      <c r="O2704">
        <f t="shared" si="85"/>
      </c>
      <c r="P2704">
        <f>IF('R.M Billets Reports'!A2703="SIZE",'R.M Billets Reports'!B2703,P2703)</f>
      </c>
    </row>
    <row r="2705" spans="1:16" x14ac:dyDescent="0.25">
      <c r="A2705">
        <f>IF(OR('R.M Billets Reports'!A2704="Date-",'R.M Billets Reports'!A2704="Date:-"),IF(IF(IF(ISNUMBER(SEARCH("Party Name:-",'R.M Billets Reports'!D2704)),TRIM('R.M Billets Reports'!F2704),IF(ISNUMBER(SEARCH("Party Name-",'R.M Billets Reports'!D2704)),TRIM(MID('R.M Billets Reports'!D2704,SEARCH("-",'R.M Billets Reports'!D2704)+1,200)),""))&lt;&gt;"",IF(ISNUMBER(SEARCH("Party Name:-",'R.M Billets Reports'!D2704)),TRIM('R.M Billets Reports'!F2704),IF(ISNUMBER(SEARCH("Party Name-",'R.M Billets Reports'!D2704)),TRIM(MID('R.M Billets Reports'!D2704,SEARCH("-",'R.M Billets Reports'!D2704)+1,200)),"")),IF(ISNUMBER(SEARCH("Party Name:-",'R.M Billets Reports'!D2705)),TRIM('R.M Billets Reports'!F2705),IF(ISNUMBER(SEARCH("Party Name-",'R.M Billets Reports'!D2705)),TRIM(MID('R.M Billets Reports'!D2705,SEARCH("-",'R.M Billets Reports'!D2705)+1,200)),"")))="VRKP ISPAT PVT LTD","VRKP",IF(IF(IF(ISNUMBER(SEARCH("Party Name:-",'R.M Billets Reports'!D2704)),TRIM('R.M Billets Reports'!F2704),IF(ISNUMBER(SEARCH("Party Name-",'R.M Billets Reports'!D2704)),TRIM(MID('R.M Billets Reports'!D2704,SEARCH("-",'R.M Billets Reports'!D2704)+1,200)),""))&lt;&gt;"",IF(ISNUMBER(SEARCH("Party Name:-",'R.M Billets Reports'!D2704)),TRIM('R.M Billets Reports'!F2704),IF(ISNUMBER(SEARCH("Party Name-",'R.M Billets Reports'!D2704)),TRIM(MID('R.M Billets Reports'!D2704,SEARCH("-",'R.M Billets Reports'!D2704)+1,200)),"")),IF(ISNUMBER(SEARCH("Party Name:-",'R.M Billets Reports'!D2705)),TRIM('R.M Billets Reports'!F2705),IF(ISNUMBER(SEARCH("Party Name-",'R.M Billets Reports'!D2705)),TRIM(MID('R.M Billets Reports'!D2705,SEARCH("-",'R.M Billets Reports'!D2705)+1,200)),"")))="SHRI RADHE","SHREE RADHE",IF(IF(IF(ISNUMBER(SEARCH("Party Name:-",'R.M Billets Reports'!D2704)),TRIM('R.M Billets Reports'!F2704),IF(ISNUMBER(SEARCH("Party Name-",'R.M Billets Reports'!D2704)),TRIM(MID('R.M Billets Reports'!D2704,SEARCH("-",'R.M Billets Reports'!D2704)+1,200)),""))&lt;&gt;"",IF(ISNUMBER(SEARCH("Party Name:-",'R.M Billets Reports'!D2704)),TRIM('R.M Billets Reports'!F2704),IF(ISNUMBER(SEARCH("Party Name-",'R.M Billets Reports'!D2704)),TRIM(MID('R.M Billets Reports'!D2704,SEARCH("-",'R.M Billets Reports'!D2704)+1,200)),"")),IF(ISNUMBER(SEARCH("Party Name:-",'R.M Billets Reports'!D2705)),TRIM('R.M Billets Reports'!F2705),IF(ISNUMBER(SEARCH("Party Name-",'R.M Billets Reports'!D2705)),TRIM(MID('R.M Billets Reports'!D2705,SEARCH("-",'R.M Billets Reports'!D2705)+1,200)),"")))="SHREE RADHE SHAKTI SPONGE AND POWER PVT. LTD.","SHREE RADHE",IF(IF(ISNUMBER(SEARCH("Party Name:-",'R.M Billets Reports'!D2704)),TRIM('R.M Billets Reports'!F2704),IF(ISNUMBER(SEARCH("Party Name-",'R.M Billets Reports'!D2704)),TRIM(MID('R.M Billets Reports'!D2704,SEARCH("-",'R.M Billets Reports'!D2704)+1,200)),""))&lt;&gt;"",IF(ISNUMBER(SEARCH("Party Name:-",'R.M Billets Reports'!D2704)),TRIM('R.M Billets Reports'!F2704),IF(ISNUMBER(SEARCH("Party Name-",'R.M Billets Reports'!D2704)),TRIM(MID('R.M Billets Reports'!D2704,SEARCH("-",'R.M Billets Reports'!D2704)+1,200)),"")),IF(ISNUMBER(SEARCH("Party Name:-",'R.M Billets Reports'!D2705)),TRIM('R.M Billets Reports'!F2705),IF(ISNUMBER(SEARCH("Party Name-",'R.M Billets Reports'!D2705)),TRIM(MID('R.M Billets Reports'!D2705,SEARCH("-",'R.M Billets Reports'!D2705)+1,200)),"")))))),IF(ROW()=2,"",A2704))</f>
      </c>
      <c r="B2705">
        <f>IF(OR('R.M Billets Reports'!A2704="Date-",'R.M Billets Reports'!A2704="Date:-"),'R.M Billets Reports'!B2704,IF(ROW()=2,"",B2704))</f>
      </c>
      <c r="C2705">
        <f>IF('R.M Billets Reports'!A2704="V.No.",'R.M Billets Reports'!B2704,IF(ROW()=2,"",C2704))</f>
      </c>
      <c r="D2705">
        <f>IF('R.M Billets Reports'!A2704&lt;&gt;"",'R.M Billets Reports'!A2704,IF(ROW()=2,"",D2704))</f>
      </c>
      <c r="E2705">
        <f>IF('R.M Billets Reports'!B2704="","",TRIM('R.M Billets Reports'!B2704))</f>
      </c>
      <c r="F2705">
        <f>'R.M Billets Reports'!C2704</f>
      </c>
      <c r="G2705">
        <f>'R.M Billets Reports'!D2704</f>
      </c>
      <c r="H2705">
        <f>'R.M Billets Reports'!E2704</f>
      </c>
      <c r="I2705">
        <f>'R.M Billets Reports'!F2704</f>
      </c>
      <c r="J2705">
        <f>'R.M Billets Reports'!G2704</f>
      </c>
      <c r="K2705">
        <f>'R.M Billets Reports'!H2704</f>
      </c>
      <c r="L2705">
        <f>IF('R.M Billets Reports'!I2704="","",'R.M Billets Reports'!I2704)</f>
      </c>
      <c r="M2705">
        <f t="shared" si="84"/>
      </c>
      <c r="N2705">
        <f>IF('R.M Billets Reports'!J2704="","",'R.M Billets Reports'!J2704)</f>
      </c>
      <c r="O2705">
        <f t="shared" si="85"/>
      </c>
      <c r="P2705">
        <f>IF('R.M Billets Reports'!A2704="SIZE",'R.M Billets Reports'!B2704,P2704)</f>
      </c>
    </row>
    <row r="2706" spans="1:16" x14ac:dyDescent="0.25">
      <c r="A2706">
        <f>IF(OR('R.M Billets Reports'!A2705="Date-",'R.M Billets Reports'!A2705="Date:-"),IF(IF(IF(ISNUMBER(SEARCH("Party Name:-",'R.M Billets Reports'!D2705)),TRIM('R.M Billets Reports'!F2705),IF(ISNUMBER(SEARCH("Party Name-",'R.M Billets Reports'!D2705)),TRIM(MID('R.M Billets Reports'!D2705,SEARCH("-",'R.M Billets Reports'!D2705)+1,200)),""))&lt;&gt;"",IF(ISNUMBER(SEARCH("Party Name:-",'R.M Billets Reports'!D2705)),TRIM('R.M Billets Reports'!F2705),IF(ISNUMBER(SEARCH("Party Name-",'R.M Billets Reports'!D2705)),TRIM(MID('R.M Billets Reports'!D2705,SEARCH("-",'R.M Billets Reports'!D2705)+1,200)),"")),IF(ISNUMBER(SEARCH("Party Name:-",'R.M Billets Reports'!D2706)),TRIM('R.M Billets Reports'!F2706),IF(ISNUMBER(SEARCH("Party Name-",'R.M Billets Reports'!D2706)),TRIM(MID('R.M Billets Reports'!D2706,SEARCH("-",'R.M Billets Reports'!D2706)+1,200)),"")))="VRKP ISPAT PVT LTD","VRKP",IF(IF(IF(ISNUMBER(SEARCH("Party Name:-",'R.M Billets Reports'!D2705)),TRIM('R.M Billets Reports'!F2705),IF(ISNUMBER(SEARCH("Party Name-",'R.M Billets Reports'!D2705)),TRIM(MID('R.M Billets Reports'!D2705,SEARCH("-",'R.M Billets Reports'!D2705)+1,200)),""))&lt;&gt;"",IF(ISNUMBER(SEARCH("Party Name:-",'R.M Billets Reports'!D2705)),TRIM('R.M Billets Reports'!F2705),IF(ISNUMBER(SEARCH("Party Name-",'R.M Billets Reports'!D2705)),TRIM(MID('R.M Billets Reports'!D2705,SEARCH("-",'R.M Billets Reports'!D2705)+1,200)),"")),IF(ISNUMBER(SEARCH("Party Name:-",'R.M Billets Reports'!D2706)),TRIM('R.M Billets Reports'!F2706),IF(ISNUMBER(SEARCH("Party Name-",'R.M Billets Reports'!D2706)),TRIM(MID('R.M Billets Reports'!D2706,SEARCH("-",'R.M Billets Reports'!D2706)+1,200)),"")))="SHRI RADHE","SHREE RADHE",IF(IF(IF(ISNUMBER(SEARCH("Party Name:-",'R.M Billets Reports'!D2705)),TRIM('R.M Billets Reports'!F2705),IF(ISNUMBER(SEARCH("Party Name-",'R.M Billets Reports'!D2705)),TRIM(MID('R.M Billets Reports'!D2705,SEARCH("-",'R.M Billets Reports'!D2705)+1,200)),""))&lt;&gt;"",IF(ISNUMBER(SEARCH("Party Name:-",'R.M Billets Reports'!D2705)),TRIM('R.M Billets Reports'!F2705),IF(ISNUMBER(SEARCH("Party Name-",'R.M Billets Reports'!D2705)),TRIM(MID('R.M Billets Reports'!D2705,SEARCH("-",'R.M Billets Reports'!D2705)+1,200)),"")),IF(ISNUMBER(SEARCH("Party Name:-",'R.M Billets Reports'!D2706)),TRIM('R.M Billets Reports'!F2706),IF(ISNUMBER(SEARCH("Party Name-",'R.M Billets Reports'!D2706)),TRIM(MID('R.M Billets Reports'!D2706,SEARCH("-",'R.M Billets Reports'!D2706)+1,200)),"")))="SHREE RADHE SHAKTI SPONGE AND POWER PVT. LTD.","SHREE RADHE",IF(IF(ISNUMBER(SEARCH("Party Name:-",'R.M Billets Reports'!D2705)),TRIM('R.M Billets Reports'!F2705),IF(ISNUMBER(SEARCH("Party Name-",'R.M Billets Reports'!D2705)),TRIM(MID('R.M Billets Reports'!D2705,SEARCH("-",'R.M Billets Reports'!D2705)+1,200)),""))&lt;&gt;"",IF(ISNUMBER(SEARCH("Party Name:-",'R.M Billets Reports'!D2705)),TRIM('R.M Billets Reports'!F2705),IF(ISNUMBER(SEARCH("Party Name-",'R.M Billets Reports'!D2705)),TRIM(MID('R.M Billets Reports'!D2705,SEARCH("-",'R.M Billets Reports'!D2705)+1,200)),"")),IF(ISNUMBER(SEARCH("Party Name:-",'R.M Billets Reports'!D2706)),TRIM('R.M Billets Reports'!F2706),IF(ISNUMBER(SEARCH("Party Name-",'R.M Billets Reports'!D2706)),TRIM(MID('R.M Billets Reports'!D2706,SEARCH("-",'R.M Billets Reports'!D2706)+1,200)),"")))))),IF(ROW()=2,"",A2705))</f>
      </c>
      <c r="B2706">
        <f>IF(OR('R.M Billets Reports'!A2705="Date-",'R.M Billets Reports'!A2705="Date:-"),'R.M Billets Reports'!B2705,IF(ROW()=2,"",B2705))</f>
      </c>
      <c r="C2706">
        <f>IF('R.M Billets Reports'!A2705="V.No.",'R.M Billets Reports'!B2705,IF(ROW()=2,"",C2705))</f>
      </c>
      <c r="D2706">
        <f>IF('R.M Billets Reports'!A2705&lt;&gt;"",'R.M Billets Reports'!A2705,IF(ROW()=2,"",D2705))</f>
      </c>
      <c r="E2706">
        <f>IF('R.M Billets Reports'!B2705="","",TRIM('R.M Billets Reports'!B2705))</f>
      </c>
      <c r="F2706">
        <f>'R.M Billets Reports'!C2705</f>
      </c>
      <c r="G2706">
        <f>'R.M Billets Reports'!D2705</f>
      </c>
      <c r="H2706">
        <f>'R.M Billets Reports'!E2705</f>
      </c>
      <c r="I2706">
        <f>'R.M Billets Reports'!F2705</f>
      </c>
      <c r="J2706">
        <f>'R.M Billets Reports'!G2705</f>
      </c>
      <c r="K2706">
        <f>'R.M Billets Reports'!H2705</f>
      </c>
      <c r="L2706">
        <f>IF('R.M Billets Reports'!I2705="","",'R.M Billets Reports'!I2705)</f>
      </c>
      <c r="M2706">
        <f t="shared" si="84"/>
      </c>
      <c r="N2706">
        <f>IF('R.M Billets Reports'!J2705="","",'R.M Billets Reports'!J2705)</f>
      </c>
      <c r="O2706">
        <f t="shared" si="85"/>
      </c>
      <c r="P2706">
        <f>IF('R.M Billets Reports'!A2705="SIZE",'R.M Billets Reports'!B2705,P2705)</f>
      </c>
    </row>
    <row r="2707" spans="1:16" x14ac:dyDescent="0.25">
      <c r="A2707">
        <f>IF(OR('R.M Billets Reports'!A2706="Date-",'R.M Billets Reports'!A2706="Date:-"),IF(IF(IF(ISNUMBER(SEARCH("Party Name:-",'R.M Billets Reports'!D2706)),TRIM('R.M Billets Reports'!F2706),IF(ISNUMBER(SEARCH("Party Name-",'R.M Billets Reports'!D2706)),TRIM(MID('R.M Billets Reports'!D2706,SEARCH("-",'R.M Billets Reports'!D2706)+1,200)),""))&lt;&gt;"",IF(ISNUMBER(SEARCH("Party Name:-",'R.M Billets Reports'!D2706)),TRIM('R.M Billets Reports'!F2706),IF(ISNUMBER(SEARCH("Party Name-",'R.M Billets Reports'!D2706)),TRIM(MID('R.M Billets Reports'!D2706,SEARCH("-",'R.M Billets Reports'!D2706)+1,200)),"")),IF(ISNUMBER(SEARCH("Party Name:-",'R.M Billets Reports'!D2707)),TRIM('R.M Billets Reports'!F2707),IF(ISNUMBER(SEARCH("Party Name-",'R.M Billets Reports'!D2707)),TRIM(MID('R.M Billets Reports'!D2707,SEARCH("-",'R.M Billets Reports'!D2707)+1,200)),"")))="VRKP ISPAT PVT LTD","VRKP",IF(IF(IF(ISNUMBER(SEARCH("Party Name:-",'R.M Billets Reports'!D2706)),TRIM('R.M Billets Reports'!F2706),IF(ISNUMBER(SEARCH("Party Name-",'R.M Billets Reports'!D2706)),TRIM(MID('R.M Billets Reports'!D2706,SEARCH("-",'R.M Billets Reports'!D2706)+1,200)),""))&lt;&gt;"",IF(ISNUMBER(SEARCH("Party Name:-",'R.M Billets Reports'!D2706)),TRIM('R.M Billets Reports'!F2706),IF(ISNUMBER(SEARCH("Party Name-",'R.M Billets Reports'!D2706)),TRIM(MID('R.M Billets Reports'!D2706,SEARCH("-",'R.M Billets Reports'!D2706)+1,200)),"")),IF(ISNUMBER(SEARCH("Party Name:-",'R.M Billets Reports'!D2707)),TRIM('R.M Billets Reports'!F2707),IF(ISNUMBER(SEARCH("Party Name-",'R.M Billets Reports'!D2707)),TRIM(MID('R.M Billets Reports'!D2707,SEARCH("-",'R.M Billets Reports'!D2707)+1,200)),"")))="SHRI RADHE","SHREE RADHE",IF(IF(IF(ISNUMBER(SEARCH("Party Name:-",'R.M Billets Reports'!D2706)),TRIM('R.M Billets Reports'!F2706),IF(ISNUMBER(SEARCH("Party Name-",'R.M Billets Reports'!D2706)),TRIM(MID('R.M Billets Reports'!D2706,SEARCH("-",'R.M Billets Reports'!D2706)+1,200)),""))&lt;&gt;"",IF(ISNUMBER(SEARCH("Party Name:-",'R.M Billets Reports'!D2706)),TRIM('R.M Billets Reports'!F2706),IF(ISNUMBER(SEARCH("Party Name-",'R.M Billets Reports'!D2706)),TRIM(MID('R.M Billets Reports'!D2706,SEARCH("-",'R.M Billets Reports'!D2706)+1,200)),"")),IF(ISNUMBER(SEARCH("Party Name:-",'R.M Billets Reports'!D2707)),TRIM('R.M Billets Reports'!F2707),IF(ISNUMBER(SEARCH("Party Name-",'R.M Billets Reports'!D2707)),TRIM(MID('R.M Billets Reports'!D2707,SEARCH("-",'R.M Billets Reports'!D2707)+1,200)),"")))="SHREE RADHE SHAKTI SPONGE AND POWER PVT. LTD.","SHREE RADHE",IF(IF(ISNUMBER(SEARCH("Party Name:-",'R.M Billets Reports'!D2706)),TRIM('R.M Billets Reports'!F2706),IF(ISNUMBER(SEARCH("Party Name-",'R.M Billets Reports'!D2706)),TRIM(MID('R.M Billets Reports'!D2706,SEARCH("-",'R.M Billets Reports'!D2706)+1,200)),""))&lt;&gt;"",IF(ISNUMBER(SEARCH("Party Name:-",'R.M Billets Reports'!D2706)),TRIM('R.M Billets Reports'!F2706),IF(ISNUMBER(SEARCH("Party Name-",'R.M Billets Reports'!D2706)),TRIM(MID('R.M Billets Reports'!D2706,SEARCH("-",'R.M Billets Reports'!D2706)+1,200)),"")),IF(ISNUMBER(SEARCH("Party Name:-",'R.M Billets Reports'!D2707)),TRIM('R.M Billets Reports'!F2707),IF(ISNUMBER(SEARCH("Party Name-",'R.M Billets Reports'!D2707)),TRIM(MID('R.M Billets Reports'!D2707,SEARCH("-",'R.M Billets Reports'!D2707)+1,200)),"")))))),IF(ROW()=2,"",A2706))</f>
      </c>
      <c r="B2707">
        <f>IF(OR('R.M Billets Reports'!A2706="Date-",'R.M Billets Reports'!A2706="Date:-"),'R.M Billets Reports'!B2706,IF(ROW()=2,"",B2706))</f>
      </c>
      <c r="C2707">
        <f>IF('R.M Billets Reports'!A2706="V.No.",'R.M Billets Reports'!B2706,IF(ROW()=2,"",C2706))</f>
      </c>
      <c r="D2707">
        <f>IF('R.M Billets Reports'!A2706&lt;&gt;"",'R.M Billets Reports'!A2706,IF(ROW()=2,"",D2706))</f>
      </c>
      <c r="E2707">
        <f>IF('R.M Billets Reports'!B2706="","",TRIM('R.M Billets Reports'!B2706))</f>
      </c>
      <c r="F2707">
        <f>'R.M Billets Reports'!C2706</f>
      </c>
      <c r="G2707">
        <f>'R.M Billets Reports'!D2706</f>
      </c>
      <c r="H2707">
        <f>'R.M Billets Reports'!E2706</f>
      </c>
      <c r="I2707">
        <f>'R.M Billets Reports'!F2706</f>
      </c>
      <c r="J2707">
        <f>'R.M Billets Reports'!G2706</f>
      </c>
      <c r="K2707">
        <f>'R.M Billets Reports'!H2706</f>
      </c>
      <c r="L2707">
        <f>IF('R.M Billets Reports'!I2706="","",'R.M Billets Reports'!I2706)</f>
      </c>
      <c r="M2707">
        <f t="shared" si="84"/>
      </c>
      <c r="N2707">
        <f>IF('R.M Billets Reports'!J2706="","",'R.M Billets Reports'!J2706)</f>
      </c>
      <c r="O2707">
        <f t="shared" si="85"/>
      </c>
      <c r="P2707">
        <f>IF('R.M Billets Reports'!A2706="SIZE",'R.M Billets Reports'!B2706,P2706)</f>
      </c>
    </row>
    <row r="2708" spans="1:16" x14ac:dyDescent="0.25">
      <c r="A2708">
        <f>IF(OR('R.M Billets Reports'!A2707="Date-",'R.M Billets Reports'!A2707="Date:-"),IF(IF(IF(ISNUMBER(SEARCH("Party Name:-",'R.M Billets Reports'!D2707)),TRIM('R.M Billets Reports'!F2707),IF(ISNUMBER(SEARCH("Party Name-",'R.M Billets Reports'!D2707)),TRIM(MID('R.M Billets Reports'!D2707,SEARCH("-",'R.M Billets Reports'!D2707)+1,200)),""))&lt;&gt;"",IF(ISNUMBER(SEARCH("Party Name:-",'R.M Billets Reports'!D2707)),TRIM('R.M Billets Reports'!F2707),IF(ISNUMBER(SEARCH("Party Name-",'R.M Billets Reports'!D2707)),TRIM(MID('R.M Billets Reports'!D2707,SEARCH("-",'R.M Billets Reports'!D2707)+1,200)),"")),IF(ISNUMBER(SEARCH("Party Name:-",'R.M Billets Reports'!D2708)),TRIM('R.M Billets Reports'!F2708),IF(ISNUMBER(SEARCH("Party Name-",'R.M Billets Reports'!D2708)),TRIM(MID('R.M Billets Reports'!D2708,SEARCH("-",'R.M Billets Reports'!D2708)+1,200)),"")))="VRKP ISPAT PVT LTD","VRKP",IF(IF(IF(ISNUMBER(SEARCH("Party Name:-",'R.M Billets Reports'!D2707)),TRIM('R.M Billets Reports'!F2707),IF(ISNUMBER(SEARCH("Party Name-",'R.M Billets Reports'!D2707)),TRIM(MID('R.M Billets Reports'!D2707,SEARCH("-",'R.M Billets Reports'!D2707)+1,200)),""))&lt;&gt;"",IF(ISNUMBER(SEARCH("Party Name:-",'R.M Billets Reports'!D2707)),TRIM('R.M Billets Reports'!F2707),IF(ISNUMBER(SEARCH("Party Name-",'R.M Billets Reports'!D2707)),TRIM(MID('R.M Billets Reports'!D2707,SEARCH("-",'R.M Billets Reports'!D2707)+1,200)),"")),IF(ISNUMBER(SEARCH("Party Name:-",'R.M Billets Reports'!D2708)),TRIM('R.M Billets Reports'!F2708),IF(ISNUMBER(SEARCH("Party Name-",'R.M Billets Reports'!D2708)),TRIM(MID('R.M Billets Reports'!D2708,SEARCH("-",'R.M Billets Reports'!D2708)+1,200)),"")))="SHRI RADHE","SHREE RADHE",IF(IF(IF(ISNUMBER(SEARCH("Party Name:-",'R.M Billets Reports'!D2707)),TRIM('R.M Billets Reports'!F2707),IF(ISNUMBER(SEARCH("Party Name-",'R.M Billets Reports'!D2707)),TRIM(MID('R.M Billets Reports'!D2707,SEARCH("-",'R.M Billets Reports'!D2707)+1,200)),""))&lt;&gt;"",IF(ISNUMBER(SEARCH("Party Name:-",'R.M Billets Reports'!D2707)),TRIM('R.M Billets Reports'!F2707),IF(ISNUMBER(SEARCH("Party Name-",'R.M Billets Reports'!D2707)),TRIM(MID('R.M Billets Reports'!D2707,SEARCH("-",'R.M Billets Reports'!D2707)+1,200)),"")),IF(ISNUMBER(SEARCH("Party Name:-",'R.M Billets Reports'!D2708)),TRIM('R.M Billets Reports'!F2708),IF(ISNUMBER(SEARCH("Party Name-",'R.M Billets Reports'!D2708)),TRIM(MID('R.M Billets Reports'!D2708,SEARCH("-",'R.M Billets Reports'!D2708)+1,200)),"")))="SHREE RADHE SHAKTI SPONGE AND POWER PVT. LTD.","SHREE RADHE",IF(IF(ISNUMBER(SEARCH("Party Name:-",'R.M Billets Reports'!D2707)),TRIM('R.M Billets Reports'!F2707),IF(ISNUMBER(SEARCH("Party Name-",'R.M Billets Reports'!D2707)),TRIM(MID('R.M Billets Reports'!D2707,SEARCH("-",'R.M Billets Reports'!D2707)+1,200)),""))&lt;&gt;"",IF(ISNUMBER(SEARCH("Party Name:-",'R.M Billets Reports'!D2707)),TRIM('R.M Billets Reports'!F2707),IF(ISNUMBER(SEARCH("Party Name-",'R.M Billets Reports'!D2707)),TRIM(MID('R.M Billets Reports'!D2707,SEARCH("-",'R.M Billets Reports'!D2707)+1,200)),"")),IF(ISNUMBER(SEARCH("Party Name:-",'R.M Billets Reports'!D2708)),TRIM('R.M Billets Reports'!F2708),IF(ISNUMBER(SEARCH("Party Name-",'R.M Billets Reports'!D2708)),TRIM(MID('R.M Billets Reports'!D2708,SEARCH("-",'R.M Billets Reports'!D2708)+1,200)),"")))))),IF(ROW()=2,"",A2707))</f>
      </c>
      <c r="B2708">
        <f>IF(OR('R.M Billets Reports'!A2707="Date-",'R.M Billets Reports'!A2707="Date:-"),'R.M Billets Reports'!B2707,IF(ROW()=2,"",B2707))</f>
      </c>
      <c r="C2708">
        <f>IF('R.M Billets Reports'!A2707="V.No.",'R.M Billets Reports'!B2707,IF(ROW()=2,"",C2707))</f>
      </c>
      <c r="D2708">
        <f>IF('R.M Billets Reports'!A2707&lt;&gt;"",'R.M Billets Reports'!A2707,IF(ROW()=2,"",D2707))</f>
      </c>
      <c r="E2708">
        <f>IF('R.M Billets Reports'!B2707="","",TRIM('R.M Billets Reports'!B2707))</f>
      </c>
      <c r="F2708">
        <f>'R.M Billets Reports'!C2707</f>
      </c>
      <c r="G2708">
        <f>'R.M Billets Reports'!D2707</f>
      </c>
      <c r="H2708">
        <f>'R.M Billets Reports'!E2707</f>
      </c>
      <c r="I2708">
        <f>'R.M Billets Reports'!F2707</f>
      </c>
      <c r="J2708">
        <f>'R.M Billets Reports'!G2707</f>
      </c>
      <c r="K2708">
        <f>'R.M Billets Reports'!H2707</f>
      </c>
      <c r="L2708">
        <f>IF('R.M Billets Reports'!I2707="","",'R.M Billets Reports'!I2707)</f>
      </c>
      <c r="M2708">
        <f t="shared" si="84"/>
      </c>
      <c r="N2708">
        <f>IF('R.M Billets Reports'!J2707="","",'R.M Billets Reports'!J2707)</f>
      </c>
      <c r="O2708">
        <f t="shared" si="85"/>
      </c>
      <c r="P2708">
        <f>IF('R.M Billets Reports'!A2707="SIZE",'R.M Billets Reports'!B2707,P2707)</f>
      </c>
    </row>
    <row r="2709" spans="1:16" x14ac:dyDescent="0.25">
      <c r="A2709">
        <f>IF(OR('R.M Billets Reports'!A2708="Date-",'R.M Billets Reports'!A2708="Date:-"),IF(IF(IF(ISNUMBER(SEARCH("Party Name:-",'R.M Billets Reports'!D2708)),TRIM('R.M Billets Reports'!F2708),IF(ISNUMBER(SEARCH("Party Name-",'R.M Billets Reports'!D2708)),TRIM(MID('R.M Billets Reports'!D2708,SEARCH("-",'R.M Billets Reports'!D2708)+1,200)),""))&lt;&gt;"",IF(ISNUMBER(SEARCH("Party Name:-",'R.M Billets Reports'!D2708)),TRIM('R.M Billets Reports'!F2708),IF(ISNUMBER(SEARCH("Party Name-",'R.M Billets Reports'!D2708)),TRIM(MID('R.M Billets Reports'!D2708,SEARCH("-",'R.M Billets Reports'!D2708)+1,200)),"")),IF(ISNUMBER(SEARCH("Party Name:-",'R.M Billets Reports'!D2709)),TRIM('R.M Billets Reports'!F2709),IF(ISNUMBER(SEARCH("Party Name-",'R.M Billets Reports'!D2709)),TRIM(MID('R.M Billets Reports'!D2709,SEARCH("-",'R.M Billets Reports'!D2709)+1,200)),"")))="VRKP ISPAT PVT LTD","VRKP",IF(IF(IF(ISNUMBER(SEARCH("Party Name:-",'R.M Billets Reports'!D2708)),TRIM('R.M Billets Reports'!F2708),IF(ISNUMBER(SEARCH("Party Name-",'R.M Billets Reports'!D2708)),TRIM(MID('R.M Billets Reports'!D2708,SEARCH("-",'R.M Billets Reports'!D2708)+1,200)),""))&lt;&gt;"",IF(ISNUMBER(SEARCH("Party Name:-",'R.M Billets Reports'!D2708)),TRIM('R.M Billets Reports'!F2708),IF(ISNUMBER(SEARCH("Party Name-",'R.M Billets Reports'!D2708)),TRIM(MID('R.M Billets Reports'!D2708,SEARCH("-",'R.M Billets Reports'!D2708)+1,200)),"")),IF(ISNUMBER(SEARCH("Party Name:-",'R.M Billets Reports'!D2709)),TRIM('R.M Billets Reports'!F2709),IF(ISNUMBER(SEARCH("Party Name-",'R.M Billets Reports'!D2709)),TRIM(MID('R.M Billets Reports'!D2709,SEARCH("-",'R.M Billets Reports'!D2709)+1,200)),"")))="SHRI RADHE","SHREE RADHE",IF(IF(IF(ISNUMBER(SEARCH("Party Name:-",'R.M Billets Reports'!D2708)),TRIM('R.M Billets Reports'!F2708),IF(ISNUMBER(SEARCH("Party Name-",'R.M Billets Reports'!D2708)),TRIM(MID('R.M Billets Reports'!D2708,SEARCH("-",'R.M Billets Reports'!D2708)+1,200)),""))&lt;&gt;"",IF(ISNUMBER(SEARCH("Party Name:-",'R.M Billets Reports'!D2708)),TRIM('R.M Billets Reports'!F2708),IF(ISNUMBER(SEARCH("Party Name-",'R.M Billets Reports'!D2708)),TRIM(MID('R.M Billets Reports'!D2708,SEARCH("-",'R.M Billets Reports'!D2708)+1,200)),"")),IF(ISNUMBER(SEARCH("Party Name:-",'R.M Billets Reports'!D2709)),TRIM('R.M Billets Reports'!F2709),IF(ISNUMBER(SEARCH("Party Name-",'R.M Billets Reports'!D2709)),TRIM(MID('R.M Billets Reports'!D2709,SEARCH("-",'R.M Billets Reports'!D2709)+1,200)),"")))="SHREE RADHE SHAKTI SPONGE AND POWER PVT. LTD.","SHREE RADHE",IF(IF(ISNUMBER(SEARCH("Party Name:-",'R.M Billets Reports'!D2708)),TRIM('R.M Billets Reports'!F2708),IF(ISNUMBER(SEARCH("Party Name-",'R.M Billets Reports'!D2708)),TRIM(MID('R.M Billets Reports'!D2708,SEARCH("-",'R.M Billets Reports'!D2708)+1,200)),""))&lt;&gt;"",IF(ISNUMBER(SEARCH("Party Name:-",'R.M Billets Reports'!D2708)),TRIM('R.M Billets Reports'!F2708),IF(ISNUMBER(SEARCH("Party Name-",'R.M Billets Reports'!D2708)),TRIM(MID('R.M Billets Reports'!D2708,SEARCH("-",'R.M Billets Reports'!D2708)+1,200)),"")),IF(ISNUMBER(SEARCH("Party Name:-",'R.M Billets Reports'!D2709)),TRIM('R.M Billets Reports'!F2709),IF(ISNUMBER(SEARCH("Party Name-",'R.M Billets Reports'!D2709)),TRIM(MID('R.M Billets Reports'!D2709,SEARCH("-",'R.M Billets Reports'!D2709)+1,200)),"")))))),IF(ROW()=2,"",A2708))</f>
      </c>
      <c r="B2709">
        <f>IF(OR('R.M Billets Reports'!A2708="Date-",'R.M Billets Reports'!A2708="Date:-"),'R.M Billets Reports'!B2708,IF(ROW()=2,"",B2708))</f>
      </c>
      <c r="C2709">
        <f>IF('R.M Billets Reports'!A2708="V.No.",'R.M Billets Reports'!B2708,IF(ROW()=2,"",C2708))</f>
      </c>
      <c r="D2709">
        <f>IF('R.M Billets Reports'!A2708&lt;&gt;"",'R.M Billets Reports'!A2708,IF(ROW()=2,"",D2708))</f>
      </c>
      <c r="E2709">
        <f>IF('R.M Billets Reports'!B2708="","",TRIM('R.M Billets Reports'!B2708))</f>
      </c>
      <c r="F2709">
        <f>'R.M Billets Reports'!C2708</f>
      </c>
      <c r="G2709">
        <f>'R.M Billets Reports'!D2708</f>
      </c>
      <c r="H2709">
        <f>'R.M Billets Reports'!E2708</f>
      </c>
      <c r="I2709">
        <f>'R.M Billets Reports'!F2708</f>
      </c>
      <c r="J2709">
        <f>'R.M Billets Reports'!G2708</f>
      </c>
      <c r="K2709">
        <f>'R.M Billets Reports'!H2708</f>
      </c>
      <c r="L2709">
        <f>IF('R.M Billets Reports'!I2708="","",'R.M Billets Reports'!I2708)</f>
      </c>
      <c r="M2709">
        <f t="shared" si="84"/>
      </c>
      <c r="N2709">
        <f>IF('R.M Billets Reports'!J2708="","",'R.M Billets Reports'!J2708)</f>
      </c>
      <c r="O2709">
        <f t="shared" si="85"/>
      </c>
      <c r="P2709">
        <f>IF('R.M Billets Reports'!A2708="SIZE",'R.M Billets Reports'!B2708,P2708)</f>
      </c>
    </row>
    <row r="2710" spans="1:16" x14ac:dyDescent="0.25">
      <c r="A2710">
        <f>IF(OR('R.M Billets Reports'!A2709="Date-",'R.M Billets Reports'!A2709="Date:-"),IF(IF(IF(ISNUMBER(SEARCH("Party Name:-",'R.M Billets Reports'!D2709)),TRIM('R.M Billets Reports'!F2709),IF(ISNUMBER(SEARCH("Party Name-",'R.M Billets Reports'!D2709)),TRIM(MID('R.M Billets Reports'!D2709,SEARCH("-",'R.M Billets Reports'!D2709)+1,200)),""))&lt;&gt;"",IF(ISNUMBER(SEARCH("Party Name:-",'R.M Billets Reports'!D2709)),TRIM('R.M Billets Reports'!F2709),IF(ISNUMBER(SEARCH("Party Name-",'R.M Billets Reports'!D2709)),TRIM(MID('R.M Billets Reports'!D2709,SEARCH("-",'R.M Billets Reports'!D2709)+1,200)),"")),IF(ISNUMBER(SEARCH("Party Name:-",'R.M Billets Reports'!D2710)),TRIM('R.M Billets Reports'!F2710),IF(ISNUMBER(SEARCH("Party Name-",'R.M Billets Reports'!D2710)),TRIM(MID('R.M Billets Reports'!D2710,SEARCH("-",'R.M Billets Reports'!D2710)+1,200)),"")))="VRKP ISPAT PVT LTD","VRKP",IF(IF(IF(ISNUMBER(SEARCH("Party Name:-",'R.M Billets Reports'!D2709)),TRIM('R.M Billets Reports'!F2709),IF(ISNUMBER(SEARCH("Party Name-",'R.M Billets Reports'!D2709)),TRIM(MID('R.M Billets Reports'!D2709,SEARCH("-",'R.M Billets Reports'!D2709)+1,200)),""))&lt;&gt;"",IF(ISNUMBER(SEARCH("Party Name:-",'R.M Billets Reports'!D2709)),TRIM('R.M Billets Reports'!F2709),IF(ISNUMBER(SEARCH("Party Name-",'R.M Billets Reports'!D2709)),TRIM(MID('R.M Billets Reports'!D2709,SEARCH("-",'R.M Billets Reports'!D2709)+1,200)),"")),IF(ISNUMBER(SEARCH("Party Name:-",'R.M Billets Reports'!D2710)),TRIM('R.M Billets Reports'!F2710),IF(ISNUMBER(SEARCH("Party Name-",'R.M Billets Reports'!D2710)),TRIM(MID('R.M Billets Reports'!D2710,SEARCH("-",'R.M Billets Reports'!D2710)+1,200)),"")))="SHRI RADHE","SHREE RADHE",IF(IF(IF(ISNUMBER(SEARCH("Party Name:-",'R.M Billets Reports'!D2709)),TRIM('R.M Billets Reports'!F2709),IF(ISNUMBER(SEARCH("Party Name-",'R.M Billets Reports'!D2709)),TRIM(MID('R.M Billets Reports'!D2709,SEARCH("-",'R.M Billets Reports'!D2709)+1,200)),""))&lt;&gt;"",IF(ISNUMBER(SEARCH("Party Name:-",'R.M Billets Reports'!D2709)),TRIM('R.M Billets Reports'!F2709),IF(ISNUMBER(SEARCH("Party Name-",'R.M Billets Reports'!D2709)),TRIM(MID('R.M Billets Reports'!D2709,SEARCH("-",'R.M Billets Reports'!D2709)+1,200)),"")),IF(ISNUMBER(SEARCH("Party Name:-",'R.M Billets Reports'!D2710)),TRIM('R.M Billets Reports'!F2710),IF(ISNUMBER(SEARCH("Party Name-",'R.M Billets Reports'!D2710)),TRIM(MID('R.M Billets Reports'!D2710,SEARCH("-",'R.M Billets Reports'!D2710)+1,200)),"")))="SHREE RADHE SHAKTI SPONGE AND POWER PVT. LTD.","SHREE RADHE",IF(IF(ISNUMBER(SEARCH("Party Name:-",'R.M Billets Reports'!D2709)),TRIM('R.M Billets Reports'!F2709),IF(ISNUMBER(SEARCH("Party Name-",'R.M Billets Reports'!D2709)),TRIM(MID('R.M Billets Reports'!D2709,SEARCH("-",'R.M Billets Reports'!D2709)+1,200)),""))&lt;&gt;"",IF(ISNUMBER(SEARCH("Party Name:-",'R.M Billets Reports'!D2709)),TRIM('R.M Billets Reports'!F2709),IF(ISNUMBER(SEARCH("Party Name-",'R.M Billets Reports'!D2709)),TRIM(MID('R.M Billets Reports'!D2709,SEARCH("-",'R.M Billets Reports'!D2709)+1,200)),"")),IF(ISNUMBER(SEARCH("Party Name:-",'R.M Billets Reports'!D2710)),TRIM('R.M Billets Reports'!F2710),IF(ISNUMBER(SEARCH("Party Name-",'R.M Billets Reports'!D2710)),TRIM(MID('R.M Billets Reports'!D2710,SEARCH("-",'R.M Billets Reports'!D2710)+1,200)),"")))))),IF(ROW()=2,"",A2709))</f>
      </c>
      <c r="B2710">
        <f>IF(OR('R.M Billets Reports'!A2709="Date-",'R.M Billets Reports'!A2709="Date:-"),'R.M Billets Reports'!B2709,IF(ROW()=2,"",B2709))</f>
      </c>
      <c r="C2710">
        <f>IF('R.M Billets Reports'!A2709="V.No.",'R.M Billets Reports'!B2709,IF(ROW()=2,"",C2709))</f>
      </c>
      <c r="D2710">
        <f>IF('R.M Billets Reports'!A2709&lt;&gt;"",'R.M Billets Reports'!A2709,IF(ROW()=2,"",D2709))</f>
      </c>
      <c r="E2710">
        <f>IF('R.M Billets Reports'!B2709="","",TRIM('R.M Billets Reports'!B2709))</f>
      </c>
      <c r="F2710">
        <f>'R.M Billets Reports'!C2709</f>
      </c>
      <c r="G2710">
        <f>'R.M Billets Reports'!D2709</f>
      </c>
      <c r="H2710">
        <f>'R.M Billets Reports'!E2709</f>
      </c>
      <c r="I2710">
        <f>'R.M Billets Reports'!F2709</f>
      </c>
      <c r="J2710">
        <f>'R.M Billets Reports'!G2709</f>
      </c>
      <c r="K2710">
        <f>'R.M Billets Reports'!H2709</f>
      </c>
      <c r="L2710">
        <f>IF('R.M Billets Reports'!I2709="","",'R.M Billets Reports'!I2709)</f>
      </c>
      <c r="M2710">
        <f t="shared" si="84"/>
      </c>
      <c r="N2710">
        <f>IF('R.M Billets Reports'!J2709="","",'R.M Billets Reports'!J2709)</f>
      </c>
      <c r="O2710">
        <f t="shared" si="85"/>
      </c>
      <c r="P2710">
        <f>IF('R.M Billets Reports'!A2709="SIZE",'R.M Billets Reports'!B2709,P2709)</f>
      </c>
    </row>
    <row r="2711" spans="1:16" x14ac:dyDescent="0.25">
      <c r="A2711">
        <f>IF(OR('R.M Billets Reports'!A2710="Date-",'R.M Billets Reports'!A2710="Date:-"),IF(IF(IF(ISNUMBER(SEARCH("Party Name:-",'R.M Billets Reports'!D2710)),TRIM('R.M Billets Reports'!F2710),IF(ISNUMBER(SEARCH("Party Name-",'R.M Billets Reports'!D2710)),TRIM(MID('R.M Billets Reports'!D2710,SEARCH("-",'R.M Billets Reports'!D2710)+1,200)),""))&lt;&gt;"",IF(ISNUMBER(SEARCH("Party Name:-",'R.M Billets Reports'!D2710)),TRIM('R.M Billets Reports'!F2710),IF(ISNUMBER(SEARCH("Party Name-",'R.M Billets Reports'!D2710)),TRIM(MID('R.M Billets Reports'!D2710,SEARCH("-",'R.M Billets Reports'!D2710)+1,200)),"")),IF(ISNUMBER(SEARCH("Party Name:-",'R.M Billets Reports'!D2711)),TRIM('R.M Billets Reports'!F2711),IF(ISNUMBER(SEARCH("Party Name-",'R.M Billets Reports'!D2711)),TRIM(MID('R.M Billets Reports'!D2711,SEARCH("-",'R.M Billets Reports'!D2711)+1,200)),"")))="VRKP ISPAT PVT LTD","VRKP",IF(IF(IF(ISNUMBER(SEARCH("Party Name:-",'R.M Billets Reports'!D2710)),TRIM('R.M Billets Reports'!F2710),IF(ISNUMBER(SEARCH("Party Name-",'R.M Billets Reports'!D2710)),TRIM(MID('R.M Billets Reports'!D2710,SEARCH("-",'R.M Billets Reports'!D2710)+1,200)),""))&lt;&gt;"",IF(ISNUMBER(SEARCH("Party Name:-",'R.M Billets Reports'!D2710)),TRIM('R.M Billets Reports'!F2710),IF(ISNUMBER(SEARCH("Party Name-",'R.M Billets Reports'!D2710)),TRIM(MID('R.M Billets Reports'!D2710,SEARCH("-",'R.M Billets Reports'!D2710)+1,200)),"")),IF(ISNUMBER(SEARCH("Party Name:-",'R.M Billets Reports'!D2711)),TRIM('R.M Billets Reports'!F2711),IF(ISNUMBER(SEARCH("Party Name-",'R.M Billets Reports'!D2711)),TRIM(MID('R.M Billets Reports'!D2711,SEARCH("-",'R.M Billets Reports'!D2711)+1,200)),"")))="SHRI RADHE","SHREE RADHE",IF(IF(IF(ISNUMBER(SEARCH("Party Name:-",'R.M Billets Reports'!D2710)),TRIM('R.M Billets Reports'!F2710),IF(ISNUMBER(SEARCH("Party Name-",'R.M Billets Reports'!D2710)),TRIM(MID('R.M Billets Reports'!D2710,SEARCH("-",'R.M Billets Reports'!D2710)+1,200)),""))&lt;&gt;"",IF(ISNUMBER(SEARCH("Party Name:-",'R.M Billets Reports'!D2710)),TRIM('R.M Billets Reports'!F2710),IF(ISNUMBER(SEARCH("Party Name-",'R.M Billets Reports'!D2710)),TRIM(MID('R.M Billets Reports'!D2710,SEARCH("-",'R.M Billets Reports'!D2710)+1,200)),"")),IF(ISNUMBER(SEARCH("Party Name:-",'R.M Billets Reports'!D2711)),TRIM('R.M Billets Reports'!F2711),IF(ISNUMBER(SEARCH("Party Name-",'R.M Billets Reports'!D2711)),TRIM(MID('R.M Billets Reports'!D2711,SEARCH("-",'R.M Billets Reports'!D2711)+1,200)),"")))="SHREE RADHE SHAKTI SPONGE AND POWER PVT. LTD.","SHREE RADHE",IF(IF(ISNUMBER(SEARCH("Party Name:-",'R.M Billets Reports'!D2710)),TRIM('R.M Billets Reports'!F2710),IF(ISNUMBER(SEARCH("Party Name-",'R.M Billets Reports'!D2710)),TRIM(MID('R.M Billets Reports'!D2710,SEARCH("-",'R.M Billets Reports'!D2710)+1,200)),""))&lt;&gt;"",IF(ISNUMBER(SEARCH("Party Name:-",'R.M Billets Reports'!D2710)),TRIM('R.M Billets Reports'!F2710),IF(ISNUMBER(SEARCH("Party Name-",'R.M Billets Reports'!D2710)),TRIM(MID('R.M Billets Reports'!D2710,SEARCH("-",'R.M Billets Reports'!D2710)+1,200)),"")),IF(ISNUMBER(SEARCH("Party Name:-",'R.M Billets Reports'!D2711)),TRIM('R.M Billets Reports'!F2711),IF(ISNUMBER(SEARCH("Party Name-",'R.M Billets Reports'!D2711)),TRIM(MID('R.M Billets Reports'!D2711,SEARCH("-",'R.M Billets Reports'!D2711)+1,200)),"")))))),IF(ROW()=2,"",A2710))</f>
      </c>
      <c r="B2711">
        <f>IF(OR('R.M Billets Reports'!A2710="Date-",'R.M Billets Reports'!A2710="Date:-"),'R.M Billets Reports'!B2710,IF(ROW()=2,"",B2710))</f>
      </c>
      <c r="C2711">
        <f>IF('R.M Billets Reports'!A2710="V.No.",'R.M Billets Reports'!B2710,IF(ROW()=2,"",C2710))</f>
      </c>
      <c r="D2711">
        <f>IF('R.M Billets Reports'!A2710&lt;&gt;"",'R.M Billets Reports'!A2710,IF(ROW()=2,"",D2710))</f>
      </c>
      <c r="E2711">
        <f>IF('R.M Billets Reports'!B2710="","",TRIM('R.M Billets Reports'!B2710))</f>
      </c>
      <c r="F2711">
        <f>'R.M Billets Reports'!C2710</f>
      </c>
      <c r="G2711">
        <f>'R.M Billets Reports'!D2710</f>
      </c>
      <c r="H2711">
        <f>'R.M Billets Reports'!E2710</f>
      </c>
      <c r="I2711">
        <f>'R.M Billets Reports'!F2710</f>
      </c>
      <c r="J2711">
        <f>'R.M Billets Reports'!G2710</f>
      </c>
      <c r="K2711">
        <f>'R.M Billets Reports'!H2710</f>
      </c>
      <c r="L2711">
        <f>IF('R.M Billets Reports'!I2710="","",'R.M Billets Reports'!I2710)</f>
      </c>
      <c r="M2711">
        <f t="shared" si="84"/>
      </c>
      <c r="N2711">
        <f>IF('R.M Billets Reports'!J2710="","",'R.M Billets Reports'!J2710)</f>
      </c>
      <c r="O2711">
        <f t="shared" si="85"/>
      </c>
      <c r="P2711">
        <f>IF('R.M Billets Reports'!A2710="SIZE",'R.M Billets Reports'!B2710,P2710)</f>
      </c>
    </row>
    <row r="2712" spans="1:16" x14ac:dyDescent="0.25">
      <c r="A2712">
        <f>IF(OR('R.M Billets Reports'!A2711="Date-",'R.M Billets Reports'!A2711="Date:-"),IF(IF(IF(ISNUMBER(SEARCH("Party Name:-",'R.M Billets Reports'!D2711)),TRIM('R.M Billets Reports'!F2711),IF(ISNUMBER(SEARCH("Party Name-",'R.M Billets Reports'!D2711)),TRIM(MID('R.M Billets Reports'!D2711,SEARCH("-",'R.M Billets Reports'!D2711)+1,200)),""))&lt;&gt;"",IF(ISNUMBER(SEARCH("Party Name:-",'R.M Billets Reports'!D2711)),TRIM('R.M Billets Reports'!F2711),IF(ISNUMBER(SEARCH("Party Name-",'R.M Billets Reports'!D2711)),TRIM(MID('R.M Billets Reports'!D2711,SEARCH("-",'R.M Billets Reports'!D2711)+1,200)),"")),IF(ISNUMBER(SEARCH("Party Name:-",'R.M Billets Reports'!D2712)),TRIM('R.M Billets Reports'!F2712),IF(ISNUMBER(SEARCH("Party Name-",'R.M Billets Reports'!D2712)),TRIM(MID('R.M Billets Reports'!D2712,SEARCH("-",'R.M Billets Reports'!D2712)+1,200)),"")))="VRKP ISPAT PVT LTD","VRKP",IF(IF(IF(ISNUMBER(SEARCH("Party Name:-",'R.M Billets Reports'!D2711)),TRIM('R.M Billets Reports'!F2711),IF(ISNUMBER(SEARCH("Party Name-",'R.M Billets Reports'!D2711)),TRIM(MID('R.M Billets Reports'!D2711,SEARCH("-",'R.M Billets Reports'!D2711)+1,200)),""))&lt;&gt;"",IF(ISNUMBER(SEARCH("Party Name:-",'R.M Billets Reports'!D2711)),TRIM('R.M Billets Reports'!F2711),IF(ISNUMBER(SEARCH("Party Name-",'R.M Billets Reports'!D2711)),TRIM(MID('R.M Billets Reports'!D2711,SEARCH("-",'R.M Billets Reports'!D2711)+1,200)),"")),IF(ISNUMBER(SEARCH("Party Name:-",'R.M Billets Reports'!D2712)),TRIM('R.M Billets Reports'!F2712),IF(ISNUMBER(SEARCH("Party Name-",'R.M Billets Reports'!D2712)),TRIM(MID('R.M Billets Reports'!D2712,SEARCH("-",'R.M Billets Reports'!D2712)+1,200)),"")))="SHRI RADHE","SHREE RADHE",IF(IF(IF(ISNUMBER(SEARCH("Party Name:-",'R.M Billets Reports'!D2711)),TRIM('R.M Billets Reports'!F2711),IF(ISNUMBER(SEARCH("Party Name-",'R.M Billets Reports'!D2711)),TRIM(MID('R.M Billets Reports'!D2711,SEARCH("-",'R.M Billets Reports'!D2711)+1,200)),""))&lt;&gt;"",IF(ISNUMBER(SEARCH("Party Name:-",'R.M Billets Reports'!D2711)),TRIM('R.M Billets Reports'!F2711),IF(ISNUMBER(SEARCH("Party Name-",'R.M Billets Reports'!D2711)),TRIM(MID('R.M Billets Reports'!D2711,SEARCH("-",'R.M Billets Reports'!D2711)+1,200)),"")),IF(ISNUMBER(SEARCH("Party Name:-",'R.M Billets Reports'!D2712)),TRIM('R.M Billets Reports'!F2712),IF(ISNUMBER(SEARCH("Party Name-",'R.M Billets Reports'!D2712)),TRIM(MID('R.M Billets Reports'!D2712,SEARCH("-",'R.M Billets Reports'!D2712)+1,200)),"")))="SHREE RADHE SHAKTI SPONGE AND POWER PVT. LTD.","SHREE RADHE",IF(IF(ISNUMBER(SEARCH("Party Name:-",'R.M Billets Reports'!D2711)),TRIM('R.M Billets Reports'!F2711),IF(ISNUMBER(SEARCH("Party Name-",'R.M Billets Reports'!D2711)),TRIM(MID('R.M Billets Reports'!D2711,SEARCH("-",'R.M Billets Reports'!D2711)+1,200)),""))&lt;&gt;"",IF(ISNUMBER(SEARCH("Party Name:-",'R.M Billets Reports'!D2711)),TRIM('R.M Billets Reports'!F2711),IF(ISNUMBER(SEARCH("Party Name-",'R.M Billets Reports'!D2711)),TRIM(MID('R.M Billets Reports'!D2711,SEARCH("-",'R.M Billets Reports'!D2711)+1,200)),"")),IF(ISNUMBER(SEARCH("Party Name:-",'R.M Billets Reports'!D2712)),TRIM('R.M Billets Reports'!F2712),IF(ISNUMBER(SEARCH("Party Name-",'R.M Billets Reports'!D2712)),TRIM(MID('R.M Billets Reports'!D2712,SEARCH("-",'R.M Billets Reports'!D2712)+1,200)),"")))))),IF(ROW()=2,"",A2711))</f>
      </c>
      <c r="B2712">
        <f>IF(OR('R.M Billets Reports'!A2711="Date-",'R.M Billets Reports'!A2711="Date:-"),'R.M Billets Reports'!B2711,IF(ROW()=2,"",B2711))</f>
      </c>
      <c r="C2712">
        <f>IF('R.M Billets Reports'!A2711="V.No.",'R.M Billets Reports'!B2711,IF(ROW()=2,"",C2711))</f>
      </c>
      <c r="D2712">
        <f>IF('R.M Billets Reports'!A2711&lt;&gt;"",'R.M Billets Reports'!A2711,IF(ROW()=2,"",D2711))</f>
      </c>
      <c r="E2712">
        <f>IF('R.M Billets Reports'!B2711="","",TRIM('R.M Billets Reports'!B2711))</f>
      </c>
      <c r="F2712">
        <f>'R.M Billets Reports'!C2711</f>
      </c>
      <c r="G2712">
        <f>'R.M Billets Reports'!D2711</f>
      </c>
      <c r="H2712">
        <f>'R.M Billets Reports'!E2711</f>
      </c>
      <c r="I2712">
        <f>'R.M Billets Reports'!F2711</f>
      </c>
      <c r="J2712">
        <f>'R.M Billets Reports'!G2711</f>
      </c>
      <c r="K2712">
        <f>'R.M Billets Reports'!H2711</f>
      </c>
      <c r="L2712">
        <f>IF('R.M Billets Reports'!I2711="","",'R.M Billets Reports'!I2711)</f>
      </c>
      <c r="M2712">
        <f t="shared" si="84"/>
      </c>
      <c r="N2712">
        <f>IF('R.M Billets Reports'!J2711="","",'R.M Billets Reports'!J2711)</f>
      </c>
      <c r="O2712">
        <f t="shared" si="85"/>
      </c>
      <c r="P2712">
        <f>IF('R.M Billets Reports'!A2711="SIZE",'R.M Billets Reports'!B2711,P2711)</f>
      </c>
    </row>
    <row r="2713" spans="1:16" x14ac:dyDescent="0.25">
      <c r="A2713">
        <f>IF(OR('R.M Billets Reports'!A2712="Date-",'R.M Billets Reports'!A2712="Date:-"),IF(IF(IF(ISNUMBER(SEARCH("Party Name:-",'R.M Billets Reports'!D2712)),TRIM('R.M Billets Reports'!F2712),IF(ISNUMBER(SEARCH("Party Name-",'R.M Billets Reports'!D2712)),TRIM(MID('R.M Billets Reports'!D2712,SEARCH("-",'R.M Billets Reports'!D2712)+1,200)),""))&lt;&gt;"",IF(ISNUMBER(SEARCH("Party Name:-",'R.M Billets Reports'!D2712)),TRIM('R.M Billets Reports'!F2712),IF(ISNUMBER(SEARCH("Party Name-",'R.M Billets Reports'!D2712)),TRIM(MID('R.M Billets Reports'!D2712,SEARCH("-",'R.M Billets Reports'!D2712)+1,200)),"")),IF(ISNUMBER(SEARCH("Party Name:-",'R.M Billets Reports'!D2713)),TRIM('R.M Billets Reports'!F2713),IF(ISNUMBER(SEARCH("Party Name-",'R.M Billets Reports'!D2713)),TRIM(MID('R.M Billets Reports'!D2713,SEARCH("-",'R.M Billets Reports'!D2713)+1,200)),"")))="VRKP ISPAT PVT LTD","VRKP",IF(IF(IF(ISNUMBER(SEARCH("Party Name:-",'R.M Billets Reports'!D2712)),TRIM('R.M Billets Reports'!F2712),IF(ISNUMBER(SEARCH("Party Name-",'R.M Billets Reports'!D2712)),TRIM(MID('R.M Billets Reports'!D2712,SEARCH("-",'R.M Billets Reports'!D2712)+1,200)),""))&lt;&gt;"",IF(ISNUMBER(SEARCH("Party Name:-",'R.M Billets Reports'!D2712)),TRIM('R.M Billets Reports'!F2712),IF(ISNUMBER(SEARCH("Party Name-",'R.M Billets Reports'!D2712)),TRIM(MID('R.M Billets Reports'!D2712,SEARCH("-",'R.M Billets Reports'!D2712)+1,200)),"")),IF(ISNUMBER(SEARCH("Party Name:-",'R.M Billets Reports'!D2713)),TRIM('R.M Billets Reports'!F2713),IF(ISNUMBER(SEARCH("Party Name-",'R.M Billets Reports'!D2713)),TRIM(MID('R.M Billets Reports'!D2713,SEARCH("-",'R.M Billets Reports'!D2713)+1,200)),"")))="SHRI RADHE","SHREE RADHE",IF(IF(IF(ISNUMBER(SEARCH("Party Name:-",'R.M Billets Reports'!D2712)),TRIM('R.M Billets Reports'!F2712),IF(ISNUMBER(SEARCH("Party Name-",'R.M Billets Reports'!D2712)),TRIM(MID('R.M Billets Reports'!D2712,SEARCH("-",'R.M Billets Reports'!D2712)+1,200)),""))&lt;&gt;"",IF(ISNUMBER(SEARCH("Party Name:-",'R.M Billets Reports'!D2712)),TRIM('R.M Billets Reports'!F2712),IF(ISNUMBER(SEARCH("Party Name-",'R.M Billets Reports'!D2712)),TRIM(MID('R.M Billets Reports'!D2712,SEARCH("-",'R.M Billets Reports'!D2712)+1,200)),"")),IF(ISNUMBER(SEARCH("Party Name:-",'R.M Billets Reports'!D2713)),TRIM('R.M Billets Reports'!F2713),IF(ISNUMBER(SEARCH("Party Name-",'R.M Billets Reports'!D2713)),TRIM(MID('R.M Billets Reports'!D2713,SEARCH("-",'R.M Billets Reports'!D2713)+1,200)),"")))="SHREE RADHE SHAKTI SPONGE AND POWER PVT. LTD.","SHREE RADHE",IF(IF(ISNUMBER(SEARCH("Party Name:-",'R.M Billets Reports'!D2712)),TRIM('R.M Billets Reports'!F2712),IF(ISNUMBER(SEARCH("Party Name-",'R.M Billets Reports'!D2712)),TRIM(MID('R.M Billets Reports'!D2712,SEARCH("-",'R.M Billets Reports'!D2712)+1,200)),""))&lt;&gt;"",IF(ISNUMBER(SEARCH("Party Name:-",'R.M Billets Reports'!D2712)),TRIM('R.M Billets Reports'!F2712),IF(ISNUMBER(SEARCH("Party Name-",'R.M Billets Reports'!D2712)),TRIM(MID('R.M Billets Reports'!D2712,SEARCH("-",'R.M Billets Reports'!D2712)+1,200)),"")),IF(ISNUMBER(SEARCH("Party Name:-",'R.M Billets Reports'!D2713)),TRIM('R.M Billets Reports'!F2713),IF(ISNUMBER(SEARCH("Party Name-",'R.M Billets Reports'!D2713)),TRIM(MID('R.M Billets Reports'!D2713,SEARCH("-",'R.M Billets Reports'!D2713)+1,200)),"")))))),IF(ROW()=2,"",A2712))</f>
      </c>
      <c r="B2713">
        <f>IF(OR('R.M Billets Reports'!A2712="Date-",'R.M Billets Reports'!A2712="Date:-"),'R.M Billets Reports'!B2712,IF(ROW()=2,"",B2712))</f>
      </c>
      <c r="C2713">
        <f>IF('R.M Billets Reports'!A2712="V.No.",'R.M Billets Reports'!B2712,IF(ROW()=2,"",C2712))</f>
      </c>
      <c r="D2713">
        <f>IF('R.M Billets Reports'!A2712&lt;&gt;"",'R.M Billets Reports'!A2712,IF(ROW()=2,"",D2712))</f>
      </c>
      <c r="E2713">
        <f>IF('R.M Billets Reports'!B2712="","",TRIM('R.M Billets Reports'!B2712))</f>
      </c>
      <c r="F2713">
        <f>'R.M Billets Reports'!C2712</f>
      </c>
      <c r="G2713">
        <f>'R.M Billets Reports'!D2712</f>
      </c>
      <c r="H2713">
        <f>'R.M Billets Reports'!E2712</f>
      </c>
      <c r="I2713">
        <f>'R.M Billets Reports'!F2712</f>
      </c>
      <c r="J2713">
        <f>'R.M Billets Reports'!G2712</f>
      </c>
      <c r="K2713">
        <f>'R.M Billets Reports'!H2712</f>
      </c>
      <c r="L2713">
        <f>IF('R.M Billets Reports'!I2712="","",'R.M Billets Reports'!I2712)</f>
      </c>
      <c r="M2713">
        <f t="shared" si="84"/>
      </c>
      <c r="N2713">
        <f>IF('R.M Billets Reports'!J2712="","",'R.M Billets Reports'!J2712)</f>
      </c>
      <c r="O2713">
        <f t="shared" si="85"/>
      </c>
      <c r="P2713">
        <f>IF('R.M Billets Reports'!A2712="SIZE",'R.M Billets Reports'!B2712,P2712)</f>
      </c>
    </row>
    <row r="2714" spans="1:16" x14ac:dyDescent="0.25">
      <c r="A2714">
        <f>IF(OR('R.M Billets Reports'!A2713="Date-",'R.M Billets Reports'!A2713="Date:-"),IF(IF(IF(ISNUMBER(SEARCH("Party Name:-",'R.M Billets Reports'!D2713)),TRIM('R.M Billets Reports'!F2713),IF(ISNUMBER(SEARCH("Party Name-",'R.M Billets Reports'!D2713)),TRIM(MID('R.M Billets Reports'!D2713,SEARCH("-",'R.M Billets Reports'!D2713)+1,200)),""))&lt;&gt;"",IF(ISNUMBER(SEARCH("Party Name:-",'R.M Billets Reports'!D2713)),TRIM('R.M Billets Reports'!F2713),IF(ISNUMBER(SEARCH("Party Name-",'R.M Billets Reports'!D2713)),TRIM(MID('R.M Billets Reports'!D2713,SEARCH("-",'R.M Billets Reports'!D2713)+1,200)),"")),IF(ISNUMBER(SEARCH("Party Name:-",'R.M Billets Reports'!D2714)),TRIM('R.M Billets Reports'!F2714),IF(ISNUMBER(SEARCH("Party Name-",'R.M Billets Reports'!D2714)),TRIM(MID('R.M Billets Reports'!D2714,SEARCH("-",'R.M Billets Reports'!D2714)+1,200)),"")))="VRKP ISPAT PVT LTD","VRKP",IF(IF(IF(ISNUMBER(SEARCH("Party Name:-",'R.M Billets Reports'!D2713)),TRIM('R.M Billets Reports'!F2713),IF(ISNUMBER(SEARCH("Party Name-",'R.M Billets Reports'!D2713)),TRIM(MID('R.M Billets Reports'!D2713,SEARCH("-",'R.M Billets Reports'!D2713)+1,200)),""))&lt;&gt;"",IF(ISNUMBER(SEARCH("Party Name:-",'R.M Billets Reports'!D2713)),TRIM('R.M Billets Reports'!F2713),IF(ISNUMBER(SEARCH("Party Name-",'R.M Billets Reports'!D2713)),TRIM(MID('R.M Billets Reports'!D2713,SEARCH("-",'R.M Billets Reports'!D2713)+1,200)),"")),IF(ISNUMBER(SEARCH("Party Name:-",'R.M Billets Reports'!D2714)),TRIM('R.M Billets Reports'!F2714),IF(ISNUMBER(SEARCH("Party Name-",'R.M Billets Reports'!D2714)),TRIM(MID('R.M Billets Reports'!D2714,SEARCH("-",'R.M Billets Reports'!D2714)+1,200)),"")))="SHRI RADHE","SHREE RADHE",IF(IF(IF(ISNUMBER(SEARCH("Party Name:-",'R.M Billets Reports'!D2713)),TRIM('R.M Billets Reports'!F2713),IF(ISNUMBER(SEARCH("Party Name-",'R.M Billets Reports'!D2713)),TRIM(MID('R.M Billets Reports'!D2713,SEARCH("-",'R.M Billets Reports'!D2713)+1,200)),""))&lt;&gt;"",IF(ISNUMBER(SEARCH("Party Name:-",'R.M Billets Reports'!D2713)),TRIM('R.M Billets Reports'!F2713),IF(ISNUMBER(SEARCH("Party Name-",'R.M Billets Reports'!D2713)),TRIM(MID('R.M Billets Reports'!D2713,SEARCH("-",'R.M Billets Reports'!D2713)+1,200)),"")),IF(ISNUMBER(SEARCH("Party Name:-",'R.M Billets Reports'!D2714)),TRIM('R.M Billets Reports'!F2714),IF(ISNUMBER(SEARCH("Party Name-",'R.M Billets Reports'!D2714)),TRIM(MID('R.M Billets Reports'!D2714,SEARCH("-",'R.M Billets Reports'!D2714)+1,200)),"")))="SHREE RADHE SHAKTI SPONGE AND POWER PVT. LTD.","SHREE RADHE",IF(IF(ISNUMBER(SEARCH("Party Name:-",'R.M Billets Reports'!D2713)),TRIM('R.M Billets Reports'!F2713),IF(ISNUMBER(SEARCH("Party Name-",'R.M Billets Reports'!D2713)),TRIM(MID('R.M Billets Reports'!D2713,SEARCH("-",'R.M Billets Reports'!D2713)+1,200)),""))&lt;&gt;"",IF(ISNUMBER(SEARCH("Party Name:-",'R.M Billets Reports'!D2713)),TRIM('R.M Billets Reports'!F2713),IF(ISNUMBER(SEARCH("Party Name-",'R.M Billets Reports'!D2713)),TRIM(MID('R.M Billets Reports'!D2713,SEARCH("-",'R.M Billets Reports'!D2713)+1,200)),"")),IF(ISNUMBER(SEARCH("Party Name:-",'R.M Billets Reports'!D2714)),TRIM('R.M Billets Reports'!F2714),IF(ISNUMBER(SEARCH("Party Name-",'R.M Billets Reports'!D2714)),TRIM(MID('R.M Billets Reports'!D2714,SEARCH("-",'R.M Billets Reports'!D2714)+1,200)),"")))))),IF(ROW()=2,"",A2713))</f>
      </c>
      <c r="B2714">
        <f>IF(OR('R.M Billets Reports'!A2713="Date-",'R.M Billets Reports'!A2713="Date:-"),'R.M Billets Reports'!B2713,IF(ROW()=2,"",B2713))</f>
      </c>
      <c r="C2714">
        <f>IF('R.M Billets Reports'!A2713="V.No.",'R.M Billets Reports'!B2713,IF(ROW()=2,"",C2713))</f>
      </c>
      <c r="D2714">
        <f>IF('R.M Billets Reports'!A2713&lt;&gt;"",'R.M Billets Reports'!A2713,IF(ROW()=2,"",D2713))</f>
      </c>
      <c r="E2714">
        <f>IF('R.M Billets Reports'!B2713="","",TRIM('R.M Billets Reports'!B2713))</f>
      </c>
      <c r="F2714">
        <f>'R.M Billets Reports'!C2713</f>
      </c>
      <c r="G2714">
        <f>'R.M Billets Reports'!D2713</f>
      </c>
      <c r="H2714">
        <f>'R.M Billets Reports'!E2713</f>
      </c>
      <c r="I2714">
        <f>'R.M Billets Reports'!F2713</f>
      </c>
      <c r="J2714">
        <f>'R.M Billets Reports'!G2713</f>
      </c>
      <c r="K2714">
        <f>'R.M Billets Reports'!H2713</f>
      </c>
      <c r="L2714">
        <f>IF('R.M Billets Reports'!I2713="","",'R.M Billets Reports'!I2713)</f>
      </c>
      <c r="M2714">
        <f t="shared" si="84"/>
      </c>
      <c r="N2714">
        <f>IF('R.M Billets Reports'!J2713="","",'R.M Billets Reports'!J2713)</f>
      </c>
      <c r="O2714">
        <f t="shared" si="85"/>
      </c>
      <c r="P2714">
        <f>IF('R.M Billets Reports'!A2713="SIZE",'R.M Billets Reports'!B2713,P2713)</f>
      </c>
    </row>
    <row r="2715" spans="1:16" x14ac:dyDescent="0.25">
      <c r="A2715">
        <f>IF(OR('R.M Billets Reports'!A2714="Date-",'R.M Billets Reports'!A2714="Date:-"),IF(IF(IF(ISNUMBER(SEARCH("Party Name:-",'R.M Billets Reports'!D2714)),TRIM('R.M Billets Reports'!F2714),IF(ISNUMBER(SEARCH("Party Name-",'R.M Billets Reports'!D2714)),TRIM(MID('R.M Billets Reports'!D2714,SEARCH("-",'R.M Billets Reports'!D2714)+1,200)),""))&lt;&gt;"",IF(ISNUMBER(SEARCH("Party Name:-",'R.M Billets Reports'!D2714)),TRIM('R.M Billets Reports'!F2714),IF(ISNUMBER(SEARCH("Party Name-",'R.M Billets Reports'!D2714)),TRIM(MID('R.M Billets Reports'!D2714,SEARCH("-",'R.M Billets Reports'!D2714)+1,200)),"")),IF(ISNUMBER(SEARCH("Party Name:-",'R.M Billets Reports'!D2715)),TRIM('R.M Billets Reports'!F2715),IF(ISNUMBER(SEARCH("Party Name-",'R.M Billets Reports'!D2715)),TRIM(MID('R.M Billets Reports'!D2715,SEARCH("-",'R.M Billets Reports'!D2715)+1,200)),"")))="VRKP ISPAT PVT LTD","VRKP",IF(IF(IF(ISNUMBER(SEARCH("Party Name:-",'R.M Billets Reports'!D2714)),TRIM('R.M Billets Reports'!F2714),IF(ISNUMBER(SEARCH("Party Name-",'R.M Billets Reports'!D2714)),TRIM(MID('R.M Billets Reports'!D2714,SEARCH("-",'R.M Billets Reports'!D2714)+1,200)),""))&lt;&gt;"",IF(ISNUMBER(SEARCH("Party Name:-",'R.M Billets Reports'!D2714)),TRIM('R.M Billets Reports'!F2714),IF(ISNUMBER(SEARCH("Party Name-",'R.M Billets Reports'!D2714)),TRIM(MID('R.M Billets Reports'!D2714,SEARCH("-",'R.M Billets Reports'!D2714)+1,200)),"")),IF(ISNUMBER(SEARCH("Party Name:-",'R.M Billets Reports'!D2715)),TRIM('R.M Billets Reports'!F2715),IF(ISNUMBER(SEARCH("Party Name-",'R.M Billets Reports'!D2715)),TRIM(MID('R.M Billets Reports'!D2715,SEARCH("-",'R.M Billets Reports'!D2715)+1,200)),"")))="SHRI RADHE","SHREE RADHE",IF(IF(IF(ISNUMBER(SEARCH("Party Name:-",'R.M Billets Reports'!D2714)),TRIM('R.M Billets Reports'!F2714),IF(ISNUMBER(SEARCH("Party Name-",'R.M Billets Reports'!D2714)),TRIM(MID('R.M Billets Reports'!D2714,SEARCH("-",'R.M Billets Reports'!D2714)+1,200)),""))&lt;&gt;"",IF(ISNUMBER(SEARCH("Party Name:-",'R.M Billets Reports'!D2714)),TRIM('R.M Billets Reports'!F2714),IF(ISNUMBER(SEARCH("Party Name-",'R.M Billets Reports'!D2714)),TRIM(MID('R.M Billets Reports'!D2714,SEARCH("-",'R.M Billets Reports'!D2714)+1,200)),"")),IF(ISNUMBER(SEARCH("Party Name:-",'R.M Billets Reports'!D2715)),TRIM('R.M Billets Reports'!F2715),IF(ISNUMBER(SEARCH("Party Name-",'R.M Billets Reports'!D2715)),TRIM(MID('R.M Billets Reports'!D2715,SEARCH("-",'R.M Billets Reports'!D2715)+1,200)),"")))="SHREE RADHE SHAKTI SPONGE AND POWER PVT. LTD.","SHREE RADHE",IF(IF(ISNUMBER(SEARCH("Party Name:-",'R.M Billets Reports'!D2714)),TRIM('R.M Billets Reports'!F2714),IF(ISNUMBER(SEARCH("Party Name-",'R.M Billets Reports'!D2714)),TRIM(MID('R.M Billets Reports'!D2714,SEARCH("-",'R.M Billets Reports'!D2714)+1,200)),""))&lt;&gt;"",IF(ISNUMBER(SEARCH("Party Name:-",'R.M Billets Reports'!D2714)),TRIM('R.M Billets Reports'!F2714),IF(ISNUMBER(SEARCH("Party Name-",'R.M Billets Reports'!D2714)),TRIM(MID('R.M Billets Reports'!D2714,SEARCH("-",'R.M Billets Reports'!D2714)+1,200)),"")),IF(ISNUMBER(SEARCH("Party Name:-",'R.M Billets Reports'!D2715)),TRIM('R.M Billets Reports'!F2715),IF(ISNUMBER(SEARCH("Party Name-",'R.M Billets Reports'!D2715)),TRIM(MID('R.M Billets Reports'!D2715,SEARCH("-",'R.M Billets Reports'!D2715)+1,200)),"")))))),IF(ROW()=2,"",A2714))</f>
      </c>
      <c r="B2715">
        <f>IF(OR('R.M Billets Reports'!A2714="Date-",'R.M Billets Reports'!A2714="Date:-"),'R.M Billets Reports'!B2714,IF(ROW()=2,"",B2714))</f>
      </c>
      <c r="C2715">
        <f>IF('R.M Billets Reports'!A2714="V.No.",'R.M Billets Reports'!B2714,IF(ROW()=2,"",C2714))</f>
      </c>
      <c r="D2715">
        <f>IF('R.M Billets Reports'!A2714&lt;&gt;"",'R.M Billets Reports'!A2714,IF(ROW()=2,"",D2714))</f>
      </c>
      <c r="E2715">
        <f>IF('R.M Billets Reports'!B2714="","",TRIM('R.M Billets Reports'!B2714))</f>
      </c>
      <c r="F2715">
        <f>'R.M Billets Reports'!C2714</f>
      </c>
      <c r="G2715">
        <f>'R.M Billets Reports'!D2714</f>
      </c>
      <c r="H2715">
        <f>'R.M Billets Reports'!E2714</f>
      </c>
      <c r="I2715">
        <f>'R.M Billets Reports'!F2714</f>
      </c>
      <c r="J2715">
        <f>'R.M Billets Reports'!G2714</f>
      </c>
      <c r="K2715">
        <f>'R.M Billets Reports'!H2714</f>
      </c>
      <c r="L2715">
        <f>IF('R.M Billets Reports'!I2714="","",'R.M Billets Reports'!I2714)</f>
      </c>
      <c r="M2715">
        <f t="shared" si="84"/>
      </c>
      <c r="N2715">
        <f>IF('R.M Billets Reports'!J2714="","",'R.M Billets Reports'!J2714)</f>
      </c>
      <c r="O2715">
        <f t="shared" si="85"/>
      </c>
      <c r="P2715">
        <f>IF('R.M Billets Reports'!A2714="SIZE",'R.M Billets Reports'!B2714,P2714)</f>
      </c>
    </row>
    <row r="2716" spans="1:16" x14ac:dyDescent="0.25">
      <c r="A2716">
        <f>IF(OR('R.M Billets Reports'!A2715="Date-",'R.M Billets Reports'!A2715="Date:-"),IF(IF(IF(ISNUMBER(SEARCH("Party Name:-",'R.M Billets Reports'!D2715)),TRIM('R.M Billets Reports'!F2715),IF(ISNUMBER(SEARCH("Party Name-",'R.M Billets Reports'!D2715)),TRIM(MID('R.M Billets Reports'!D2715,SEARCH("-",'R.M Billets Reports'!D2715)+1,200)),""))&lt;&gt;"",IF(ISNUMBER(SEARCH("Party Name:-",'R.M Billets Reports'!D2715)),TRIM('R.M Billets Reports'!F2715),IF(ISNUMBER(SEARCH("Party Name-",'R.M Billets Reports'!D2715)),TRIM(MID('R.M Billets Reports'!D2715,SEARCH("-",'R.M Billets Reports'!D2715)+1,200)),"")),IF(ISNUMBER(SEARCH("Party Name:-",'R.M Billets Reports'!D2716)),TRIM('R.M Billets Reports'!F2716),IF(ISNUMBER(SEARCH("Party Name-",'R.M Billets Reports'!D2716)),TRIM(MID('R.M Billets Reports'!D2716,SEARCH("-",'R.M Billets Reports'!D2716)+1,200)),"")))="VRKP ISPAT PVT LTD","VRKP",IF(IF(IF(ISNUMBER(SEARCH("Party Name:-",'R.M Billets Reports'!D2715)),TRIM('R.M Billets Reports'!F2715),IF(ISNUMBER(SEARCH("Party Name-",'R.M Billets Reports'!D2715)),TRIM(MID('R.M Billets Reports'!D2715,SEARCH("-",'R.M Billets Reports'!D2715)+1,200)),""))&lt;&gt;"",IF(ISNUMBER(SEARCH("Party Name:-",'R.M Billets Reports'!D2715)),TRIM('R.M Billets Reports'!F2715),IF(ISNUMBER(SEARCH("Party Name-",'R.M Billets Reports'!D2715)),TRIM(MID('R.M Billets Reports'!D2715,SEARCH("-",'R.M Billets Reports'!D2715)+1,200)),"")),IF(ISNUMBER(SEARCH("Party Name:-",'R.M Billets Reports'!D2716)),TRIM('R.M Billets Reports'!F2716),IF(ISNUMBER(SEARCH("Party Name-",'R.M Billets Reports'!D2716)),TRIM(MID('R.M Billets Reports'!D2716,SEARCH("-",'R.M Billets Reports'!D2716)+1,200)),"")))="SHRI RADHE","SHREE RADHE",IF(IF(IF(ISNUMBER(SEARCH("Party Name:-",'R.M Billets Reports'!D2715)),TRIM('R.M Billets Reports'!F2715),IF(ISNUMBER(SEARCH("Party Name-",'R.M Billets Reports'!D2715)),TRIM(MID('R.M Billets Reports'!D2715,SEARCH("-",'R.M Billets Reports'!D2715)+1,200)),""))&lt;&gt;"",IF(ISNUMBER(SEARCH("Party Name:-",'R.M Billets Reports'!D2715)),TRIM('R.M Billets Reports'!F2715),IF(ISNUMBER(SEARCH("Party Name-",'R.M Billets Reports'!D2715)),TRIM(MID('R.M Billets Reports'!D2715,SEARCH("-",'R.M Billets Reports'!D2715)+1,200)),"")),IF(ISNUMBER(SEARCH("Party Name:-",'R.M Billets Reports'!D2716)),TRIM('R.M Billets Reports'!F2716),IF(ISNUMBER(SEARCH("Party Name-",'R.M Billets Reports'!D2716)),TRIM(MID('R.M Billets Reports'!D2716,SEARCH("-",'R.M Billets Reports'!D2716)+1,200)),"")))="SHREE RADHE SHAKTI SPONGE AND POWER PVT. LTD.","SHREE RADHE",IF(IF(ISNUMBER(SEARCH("Party Name:-",'R.M Billets Reports'!D2715)),TRIM('R.M Billets Reports'!F2715),IF(ISNUMBER(SEARCH("Party Name-",'R.M Billets Reports'!D2715)),TRIM(MID('R.M Billets Reports'!D2715,SEARCH("-",'R.M Billets Reports'!D2715)+1,200)),""))&lt;&gt;"",IF(ISNUMBER(SEARCH("Party Name:-",'R.M Billets Reports'!D2715)),TRIM('R.M Billets Reports'!F2715),IF(ISNUMBER(SEARCH("Party Name-",'R.M Billets Reports'!D2715)),TRIM(MID('R.M Billets Reports'!D2715,SEARCH("-",'R.M Billets Reports'!D2715)+1,200)),"")),IF(ISNUMBER(SEARCH("Party Name:-",'R.M Billets Reports'!D2716)),TRIM('R.M Billets Reports'!F2716),IF(ISNUMBER(SEARCH("Party Name-",'R.M Billets Reports'!D2716)),TRIM(MID('R.M Billets Reports'!D2716,SEARCH("-",'R.M Billets Reports'!D2716)+1,200)),"")))))),IF(ROW()=2,"",A2715))</f>
      </c>
      <c r="B2716">
        <f>IF(OR('R.M Billets Reports'!A2715="Date-",'R.M Billets Reports'!A2715="Date:-"),'R.M Billets Reports'!B2715,IF(ROW()=2,"",B2715))</f>
      </c>
      <c r="C2716">
        <f>IF('R.M Billets Reports'!A2715="V.No.",'R.M Billets Reports'!B2715,IF(ROW()=2,"",C2715))</f>
      </c>
      <c r="D2716">
        <f>IF('R.M Billets Reports'!A2715&lt;&gt;"",'R.M Billets Reports'!A2715,IF(ROW()=2,"",D2715))</f>
      </c>
      <c r="E2716">
        <f>IF('R.M Billets Reports'!B2715="","",TRIM('R.M Billets Reports'!B2715))</f>
      </c>
      <c r="F2716">
        <f>'R.M Billets Reports'!C2715</f>
      </c>
      <c r="G2716">
        <f>'R.M Billets Reports'!D2715</f>
      </c>
      <c r="H2716">
        <f>'R.M Billets Reports'!E2715</f>
      </c>
      <c r="I2716">
        <f>'R.M Billets Reports'!F2715</f>
      </c>
      <c r="J2716">
        <f>'R.M Billets Reports'!G2715</f>
      </c>
      <c r="K2716">
        <f>'R.M Billets Reports'!H2715</f>
      </c>
      <c r="L2716">
        <f>IF('R.M Billets Reports'!I2715="","",'R.M Billets Reports'!I2715)</f>
      </c>
      <c r="M2716">
        <f t="shared" si="84"/>
      </c>
      <c r="N2716">
        <f>IF('R.M Billets Reports'!J2715="","",'R.M Billets Reports'!J2715)</f>
      </c>
      <c r="O2716">
        <f t="shared" si="85"/>
      </c>
      <c r="P2716">
        <f>IF('R.M Billets Reports'!A2715="SIZE",'R.M Billets Reports'!B2715,P2715)</f>
      </c>
    </row>
    <row r="2717" spans="1:16" x14ac:dyDescent="0.25">
      <c r="A2717">
        <f>IF(OR('R.M Billets Reports'!A2716="Date-",'R.M Billets Reports'!A2716="Date:-"),IF(IF(IF(ISNUMBER(SEARCH("Party Name:-",'R.M Billets Reports'!D2716)),TRIM('R.M Billets Reports'!F2716),IF(ISNUMBER(SEARCH("Party Name-",'R.M Billets Reports'!D2716)),TRIM(MID('R.M Billets Reports'!D2716,SEARCH("-",'R.M Billets Reports'!D2716)+1,200)),""))&lt;&gt;"",IF(ISNUMBER(SEARCH("Party Name:-",'R.M Billets Reports'!D2716)),TRIM('R.M Billets Reports'!F2716),IF(ISNUMBER(SEARCH("Party Name-",'R.M Billets Reports'!D2716)),TRIM(MID('R.M Billets Reports'!D2716,SEARCH("-",'R.M Billets Reports'!D2716)+1,200)),"")),IF(ISNUMBER(SEARCH("Party Name:-",'R.M Billets Reports'!D2717)),TRIM('R.M Billets Reports'!F2717),IF(ISNUMBER(SEARCH("Party Name-",'R.M Billets Reports'!D2717)),TRIM(MID('R.M Billets Reports'!D2717,SEARCH("-",'R.M Billets Reports'!D2717)+1,200)),"")))="VRKP ISPAT PVT LTD","VRKP",IF(IF(IF(ISNUMBER(SEARCH("Party Name:-",'R.M Billets Reports'!D2716)),TRIM('R.M Billets Reports'!F2716),IF(ISNUMBER(SEARCH("Party Name-",'R.M Billets Reports'!D2716)),TRIM(MID('R.M Billets Reports'!D2716,SEARCH("-",'R.M Billets Reports'!D2716)+1,200)),""))&lt;&gt;"",IF(ISNUMBER(SEARCH("Party Name:-",'R.M Billets Reports'!D2716)),TRIM('R.M Billets Reports'!F2716),IF(ISNUMBER(SEARCH("Party Name-",'R.M Billets Reports'!D2716)),TRIM(MID('R.M Billets Reports'!D2716,SEARCH("-",'R.M Billets Reports'!D2716)+1,200)),"")),IF(ISNUMBER(SEARCH("Party Name:-",'R.M Billets Reports'!D2717)),TRIM('R.M Billets Reports'!F2717),IF(ISNUMBER(SEARCH("Party Name-",'R.M Billets Reports'!D2717)),TRIM(MID('R.M Billets Reports'!D2717,SEARCH("-",'R.M Billets Reports'!D2717)+1,200)),"")))="SHRI RADHE","SHREE RADHE",IF(IF(IF(ISNUMBER(SEARCH("Party Name:-",'R.M Billets Reports'!D2716)),TRIM('R.M Billets Reports'!F2716),IF(ISNUMBER(SEARCH("Party Name-",'R.M Billets Reports'!D2716)),TRIM(MID('R.M Billets Reports'!D2716,SEARCH("-",'R.M Billets Reports'!D2716)+1,200)),""))&lt;&gt;"",IF(ISNUMBER(SEARCH("Party Name:-",'R.M Billets Reports'!D2716)),TRIM('R.M Billets Reports'!F2716),IF(ISNUMBER(SEARCH("Party Name-",'R.M Billets Reports'!D2716)),TRIM(MID('R.M Billets Reports'!D2716,SEARCH("-",'R.M Billets Reports'!D2716)+1,200)),"")),IF(ISNUMBER(SEARCH("Party Name:-",'R.M Billets Reports'!D2717)),TRIM('R.M Billets Reports'!F2717),IF(ISNUMBER(SEARCH("Party Name-",'R.M Billets Reports'!D2717)),TRIM(MID('R.M Billets Reports'!D2717,SEARCH("-",'R.M Billets Reports'!D2717)+1,200)),"")))="SHREE RADHE SHAKTI SPONGE AND POWER PVT. LTD.","SHREE RADHE",IF(IF(ISNUMBER(SEARCH("Party Name:-",'R.M Billets Reports'!D2716)),TRIM('R.M Billets Reports'!F2716),IF(ISNUMBER(SEARCH("Party Name-",'R.M Billets Reports'!D2716)),TRIM(MID('R.M Billets Reports'!D2716,SEARCH("-",'R.M Billets Reports'!D2716)+1,200)),""))&lt;&gt;"",IF(ISNUMBER(SEARCH("Party Name:-",'R.M Billets Reports'!D2716)),TRIM('R.M Billets Reports'!F2716),IF(ISNUMBER(SEARCH("Party Name-",'R.M Billets Reports'!D2716)),TRIM(MID('R.M Billets Reports'!D2716,SEARCH("-",'R.M Billets Reports'!D2716)+1,200)),"")),IF(ISNUMBER(SEARCH("Party Name:-",'R.M Billets Reports'!D2717)),TRIM('R.M Billets Reports'!F2717),IF(ISNUMBER(SEARCH("Party Name-",'R.M Billets Reports'!D2717)),TRIM(MID('R.M Billets Reports'!D2717,SEARCH("-",'R.M Billets Reports'!D2717)+1,200)),"")))))),IF(ROW()=2,"",A2716))</f>
      </c>
      <c r="B2717">
        <f>IF(OR('R.M Billets Reports'!A2716="Date-",'R.M Billets Reports'!A2716="Date:-"),'R.M Billets Reports'!B2716,IF(ROW()=2,"",B2716))</f>
      </c>
      <c r="C2717">
        <f>IF('R.M Billets Reports'!A2716="V.No.",'R.M Billets Reports'!B2716,IF(ROW()=2,"",C2716))</f>
      </c>
      <c r="D2717">
        <f>IF('R.M Billets Reports'!A2716&lt;&gt;"",'R.M Billets Reports'!A2716,IF(ROW()=2,"",D2716))</f>
      </c>
      <c r="E2717">
        <f>IF('R.M Billets Reports'!B2716="","",TRIM('R.M Billets Reports'!B2716))</f>
      </c>
      <c r="F2717">
        <f>'R.M Billets Reports'!C2716</f>
      </c>
      <c r="G2717">
        <f>'R.M Billets Reports'!D2716</f>
      </c>
      <c r="H2717">
        <f>'R.M Billets Reports'!E2716</f>
      </c>
      <c r="I2717">
        <f>'R.M Billets Reports'!F2716</f>
      </c>
      <c r="J2717">
        <f>'R.M Billets Reports'!G2716</f>
      </c>
      <c r="K2717">
        <f>'R.M Billets Reports'!H2716</f>
      </c>
      <c r="L2717">
        <f>IF('R.M Billets Reports'!I2716="","",'R.M Billets Reports'!I2716)</f>
      </c>
      <c r="M2717">
        <f t="shared" si="84"/>
      </c>
      <c r="N2717">
        <f>IF('R.M Billets Reports'!J2716="","",'R.M Billets Reports'!J2716)</f>
      </c>
      <c r="O2717">
        <f t="shared" si="85"/>
      </c>
      <c r="P2717">
        <f>IF('R.M Billets Reports'!A2716="SIZE",'R.M Billets Reports'!B2716,P2716)</f>
      </c>
    </row>
    <row r="2718" spans="1:16" x14ac:dyDescent="0.25">
      <c r="A2718">
        <f>IF(OR('R.M Billets Reports'!A2717="Date-",'R.M Billets Reports'!A2717="Date:-"),IF(IF(IF(ISNUMBER(SEARCH("Party Name:-",'R.M Billets Reports'!D2717)),TRIM('R.M Billets Reports'!F2717),IF(ISNUMBER(SEARCH("Party Name-",'R.M Billets Reports'!D2717)),TRIM(MID('R.M Billets Reports'!D2717,SEARCH("-",'R.M Billets Reports'!D2717)+1,200)),""))&lt;&gt;"",IF(ISNUMBER(SEARCH("Party Name:-",'R.M Billets Reports'!D2717)),TRIM('R.M Billets Reports'!F2717),IF(ISNUMBER(SEARCH("Party Name-",'R.M Billets Reports'!D2717)),TRIM(MID('R.M Billets Reports'!D2717,SEARCH("-",'R.M Billets Reports'!D2717)+1,200)),"")),IF(ISNUMBER(SEARCH("Party Name:-",'R.M Billets Reports'!D2718)),TRIM('R.M Billets Reports'!F2718),IF(ISNUMBER(SEARCH("Party Name-",'R.M Billets Reports'!D2718)),TRIM(MID('R.M Billets Reports'!D2718,SEARCH("-",'R.M Billets Reports'!D2718)+1,200)),"")))="VRKP ISPAT PVT LTD","VRKP",IF(IF(IF(ISNUMBER(SEARCH("Party Name:-",'R.M Billets Reports'!D2717)),TRIM('R.M Billets Reports'!F2717),IF(ISNUMBER(SEARCH("Party Name-",'R.M Billets Reports'!D2717)),TRIM(MID('R.M Billets Reports'!D2717,SEARCH("-",'R.M Billets Reports'!D2717)+1,200)),""))&lt;&gt;"",IF(ISNUMBER(SEARCH("Party Name:-",'R.M Billets Reports'!D2717)),TRIM('R.M Billets Reports'!F2717),IF(ISNUMBER(SEARCH("Party Name-",'R.M Billets Reports'!D2717)),TRIM(MID('R.M Billets Reports'!D2717,SEARCH("-",'R.M Billets Reports'!D2717)+1,200)),"")),IF(ISNUMBER(SEARCH("Party Name:-",'R.M Billets Reports'!D2718)),TRIM('R.M Billets Reports'!F2718),IF(ISNUMBER(SEARCH("Party Name-",'R.M Billets Reports'!D2718)),TRIM(MID('R.M Billets Reports'!D2718,SEARCH("-",'R.M Billets Reports'!D2718)+1,200)),"")))="SHRI RADHE","SHREE RADHE",IF(IF(IF(ISNUMBER(SEARCH("Party Name:-",'R.M Billets Reports'!D2717)),TRIM('R.M Billets Reports'!F2717),IF(ISNUMBER(SEARCH("Party Name-",'R.M Billets Reports'!D2717)),TRIM(MID('R.M Billets Reports'!D2717,SEARCH("-",'R.M Billets Reports'!D2717)+1,200)),""))&lt;&gt;"",IF(ISNUMBER(SEARCH("Party Name:-",'R.M Billets Reports'!D2717)),TRIM('R.M Billets Reports'!F2717),IF(ISNUMBER(SEARCH("Party Name-",'R.M Billets Reports'!D2717)),TRIM(MID('R.M Billets Reports'!D2717,SEARCH("-",'R.M Billets Reports'!D2717)+1,200)),"")),IF(ISNUMBER(SEARCH("Party Name:-",'R.M Billets Reports'!D2718)),TRIM('R.M Billets Reports'!F2718),IF(ISNUMBER(SEARCH("Party Name-",'R.M Billets Reports'!D2718)),TRIM(MID('R.M Billets Reports'!D2718,SEARCH("-",'R.M Billets Reports'!D2718)+1,200)),"")))="SHREE RADHE SHAKTI SPONGE AND POWER PVT. LTD.","SHREE RADHE",IF(IF(ISNUMBER(SEARCH("Party Name:-",'R.M Billets Reports'!D2717)),TRIM('R.M Billets Reports'!F2717),IF(ISNUMBER(SEARCH("Party Name-",'R.M Billets Reports'!D2717)),TRIM(MID('R.M Billets Reports'!D2717,SEARCH("-",'R.M Billets Reports'!D2717)+1,200)),""))&lt;&gt;"",IF(ISNUMBER(SEARCH("Party Name:-",'R.M Billets Reports'!D2717)),TRIM('R.M Billets Reports'!F2717),IF(ISNUMBER(SEARCH("Party Name-",'R.M Billets Reports'!D2717)),TRIM(MID('R.M Billets Reports'!D2717,SEARCH("-",'R.M Billets Reports'!D2717)+1,200)),"")),IF(ISNUMBER(SEARCH("Party Name:-",'R.M Billets Reports'!D2718)),TRIM('R.M Billets Reports'!F2718),IF(ISNUMBER(SEARCH("Party Name-",'R.M Billets Reports'!D2718)),TRIM(MID('R.M Billets Reports'!D2718,SEARCH("-",'R.M Billets Reports'!D2718)+1,200)),"")))))),IF(ROW()=2,"",A2717))</f>
      </c>
      <c r="B2718">
        <f>IF(OR('R.M Billets Reports'!A2717="Date-",'R.M Billets Reports'!A2717="Date:-"),'R.M Billets Reports'!B2717,IF(ROW()=2,"",B2717))</f>
      </c>
      <c r="C2718">
        <f>IF('R.M Billets Reports'!A2717="V.No.",'R.M Billets Reports'!B2717,IF(ROW()=2,"",C2717))</f>
      </c>
      <c r="D2718">
        <f>IF('R.M Billets Reports'!A2717&lt;&gt;"",'R.M Billets Reports'!A2717,IF(ROW()=2,"",D2717))</f>
      </c>
      <c r="E2718">
        <f>IF('R.M Billets Reports'!B2717="","",TRIM('R.M Billets Reports'!B2717))</f>
      </c>
      <c r="F2718">
        <f>'R.M Billets Reports'!C2717</f>
      </c>
      <c r="G2718">
        <f>'R.M Billets Reports'!D2717</f>
      </c>
      <c r="H2718">
        <f>'R.M Billets Reports'!E2717</f>
      </c>
      <c r="I2718">
        <f>'R.M Billets Reports'!F2717</f>
      </c>
      <c r="J2718">
        <f>'R.M Billets Reports'!G2717</f>
      </c>
      <c r="K2718">
        <f>'R.M Billets Reports'!H2717</f>
      </c>
      <c r="L2718">
        <f>IF('R.M Billets Reports'!I2717="","",'R.M Billets Reports'!I2717)</f>
      </c>
      <c r="M2718">
        <f t="shared" si="84"/>
      </c>
      <c r="N2718">
        <f>IF('R.M Billets Reports'!J2717="","",'R.M Billets Reports'!J2717)</f>
      </c>
      <c r="O2718">
        <f t="shared" si="85"/>
      </c>
      <c r="P2718">
        <f>IF('R.M Billets Reports'!A2717="SIZE",'R.M Billets Reports'!B2717,P2717)</f>
      </c>
    </row>
    <row r="2719" spans="1:16" x14ac:dyDescent="0.25">
      <c r="A2719">
        <f>IF(OR('R.M Billets Reports'!A2718="Date-",'R.M Billets Reports'!A2718="Date:-"),IF(IF(IF(ISNUMBER(SEARCH("Party Name:-",'R.M Billets Reports'!D2718)),TRIM('R.M Billets Reports'!F2718),IF(ISNUMBER(SEARCH("Party Name-",'R.M Billets Reports'!D2718)),TRIM(MID('R.M Billets Reports'!D2718,SEARCH("-",'R.M Billets Reports'!D2718)+1,200)),""))&lt;&gt;"",IF(ISNUMBER(SEARCH("Party Name:-",'R.M Billets Reports'!D2718)),TRIM('R.M Billets Reports'!F2718),IF(ISNUMBER(SEARCH("Party Name-",'R.M Billets Reports'!D2718)),TRIM(MID('R.M Billets Reports'!D2718,SEARCH("-",'R.M Billets Reports'!D2718)+1,200)),"")),IF(ISNUMBER(SEARCH("Party Name:-",'R.M Billets Reports'!D2719)),TRIM('R.M Billets Reports'!F2719),IF(ISNUMBER(SEARCH("Party Name-",'R.M Billets Reports'!D2719)),TRIM(MID('R.M Billets Reports'!D2719,SEARCH("-",'R.M Billets Reports'!D2719)+1,200)),"")))="VRKP ISPAT PVT LTD","VRKP",IF(IF(IF(ISNUMBER(SEARCH("Party Name:-",'R.M Billets Reports'!D2718)),TRIM('R.M Billets Reports'!F2718),IF(ISNUMBER(SEARCH("Party Name-",'R.M Billets Reports'!D2718)),TRIM(MID('R.M Billets Reports'!D2718,SEARCH("-",'R.M Billets Reports'!D2718)+1,200)),""))&lt;&gt;"",IF(ISNUMBER(SEARCH("Party Name:-",'R.M Billets Reports'!D2718)),TRIM('R.M Billets Reports'!F2718),IF(ISNUMBER(SEARCH("Party Name-",'R.M Billets Reports'!D2718)),TRIM(MID('R.M Billets Reports'!D2718,SEARCH("-",'R.M Billets Reports'!D2718)+1,200)),"")),IF(ISNUMBER(SEARCH("Party Name:-",'R.M Billets Reports'!D2719)),TRIM('R.M Billets Reports'!F2719),IF(ISNUMBER(SEARCH("Party Name-",'R.M Billets Reports'!D2719)),TRIM(MID('R.M Billets Reports'!D2719,SEARCH("-",'R.M Billets Reports'!D2719)+1,200)),"")))="SHRI RADHE","SHREE RADHE",IF(IF(IF(ISNUMBER(SEARCH("Party Name:-",'R.M Billets Reports'!D2718)),TRIM('R.M Billets Reports'!F2718),IF(ISNUMBER(SEARCH("Party Name-",'R.M Billets Reports'!D2718)),TRIM(MID('R.M Billets Reports'!D2718,SEARCH("-",'R.M Billets Reports'!D2718)+1,200)),""))&lt;&gt;"",IF(ISNUMBER(SEARCH("Party Name:-",'R.M Billets Reports'!D2718)),TRIM('R.M Billets Reports'!F2718),IF(ISNUMBER(SEARCH("Party Name-",'R.M Billets Reports'!D2718)),TRIM(MID('R.M Billets Reports'!D2718,SEARCH("-",'R.M Billets Reports'!D2718)+1,200)),"")),IF(ISNUMBER(SEARCH("Party Name:-",'R.M Billets Reports'!D2719)),TRIM('R.M Billets Reports'!F2719),IF(ISNUMBER(SEARCH("Party Name-",'R.M Billets Reports'!D2719)),TRIM(MID('R.M Billets Reports'!D2719,SEARCH("-",'R.M Billets Reports'!D2719)+1,200)),"")))="SHREE RADHE SHAKTI SPONGE AND POWER PVT. LTD.","SHREE RADHE",IF(IF(ISNUMBER(SEARCH("Party Name:-",'R.M Billets Reports'!D2718)),TRIM('R.M Billets Reports'!F2718),IF(ISNUMBER(SEARCH("Party Name-",'R.M Billets Reports'!D2718)),TRIM(MID('R.M Billets Reports'!D2718,SEARCH("-",'R.M Billets Reports'!D2718)+1,200)),""))&lt;&gt;"",IF(ISNUMBER(SEARCH("Party Name:-",'R.M Billets Reports'!D2718)),TRIM('R.M Billets Reports'!F2718),IF(ISNUMBER(SEARCH("Party Name-",'R.M Billets Reports'!D2718)),TRIM(MID('R.M Billets Reports'!D2718,SEARCH("-",'R.M Billets Reports'!D2718)+1,200)),"")),IF(ISNUMBER(SEARCH("Party Name:-",'R.M Billets Reports'!D2719)),TRIM('R.M Billets Reports'!F2719),IF(ISNUMBER(SEARCH("Party Name-",'R.M Billets Reports'!D2719)),TRIM(MID('R.M Billets Reports'!D2719,SEARCH("-",'R.M Billets Reports'!D2719)+1,200)),"")))))),IF(ROW()=2,"",A2718))</f>
      </c>
      <c r="B2719">
        <f>IF(OR('R.M Billets Reports'!A2718="Date-",'R.M Billets Reports'!A2718="Date:-"),'R.M Billets Reports'!B2718,IF(ROW()=2,"",B2718))</f>
      </c>
      <c r="C2719">
        <f>IF('R.M Billets Reports'!A2718="V.No.",'R.M Billets Reports'!B2718,IF(ROW()=2,"",C2718))</f>
      </c>
      <c r="D2719">
        <f>IF('R.M Billets Reports'!A2718&lt;&gt;"",'R.M Billets Reports'!A2718,IF(ROW()=2,"",D2718))</f>
      </c>
      <c r="E2719">
        <f>IF('R.M Billets Reports'!B2718="","",TRIM('R.M Billets Reports'!B2718))</f>
      </c>
      <c r="F2719">
        <f>'R.M Billets Reports'!C2718</f>
      </c>
      <c r="G2719">
        <f>'R.M Billets Reports'!D2718</f>
      </c>
      <c r="H2719">
        <f>'R.M Billets Reports'!E2718</f>
      </c>
      <c r="I2719">
        <f>'R.M Billets Reports'!F2718</f>
      </c>
      <c r="J2719">
        <f>'R.M Billets Reports'!G2718</f>
      </c>
      <c r="K2719">
        <f>'R.M Billets Reports'!H2718</f>
      </c>
      <c r="L2719">
        <f>IF('R.M Billets Reports'!I2718="","",'R.M Billets Reports'!I2718)</f>
      </c>
      <c r="M2719">
        <f t="shared" si="84"/>
      </c>
      <c r="N2719">
        <f>IF('R.M Billets Reports'!J2718="","",'R.M Billets Reports'!J2718)</f>
      </c>
      <c r="O2719">
        <f t="shared" si="85"/>
      </c>
      <c r="P2719">
        <f>IF('R.M Billets Reports'!A2718="SIZE",'R.M Billets Reports'!B2718,P2718)</f>
      </c>
    </row>
    <row r="2720" spans="1:16" x14ac:dyDescent="0.25">
      <c r="A2720">
        <f>IF(OR('R.M Billets Reports'!A2719="Date-",'R.M Billets Reports'!A2719="Date:-"),IF(IF(IF(ISNUMBER(SEARCH("Party Name:-",'R.M Billets Reports'!D2719)),TRIM('R.M Billets Reports'!F2719),IF(ISNUMBER(SEARCH("Party Name-",'R.M Billets Reports'!D2719)),TRIM(MID('R.M Billets Reports'!D2719,SEARCH("-",'R.M Billets Reports'!D2719)+1,200)),""))&lt;&gt;"",IF(ISNUMBER(SEARCH("Party Name:-",'R.M Billets Reports'!D2719)),TRIM('R.M Billets Reports'!F2719),IF(ISNUMBER(SEARCH("Party Name-",'R.M Billets Reports'!D2719)),TRIM(MID('R.M Billets Reports'!D2719,SEARCH("-",'R.M Billets Reports'!D2719)+1,200)),"")),IF(ISNUMBER(SEARCH("Party Name:-",'R.M Billets Reports'!D2720)),TRIM('R.M Billets Reports'!F2720),IF(ISNUMBER(SEARCH("Party Name-",'R.M Billets Reports'!D2720)),TRIM(MID('R.M Billets Reports'!D2720,SEARCH("-",'R.M Billets Reports'!D2720)+1,200)),"")))="VRKP ISPAT PVT LTD","VRKP",IF(IF(IF(ISNUMBER(SEARCH("Party Name:-",'R.M Billets Reports'!D2719)),TRIM('R.M Billets Reports'!F2719),IF(ISNUMBER(SEARCH("Party Name-",'R.M Billets Reports'!D2719)),TRIM(MID('R.M Billets Reports'!D2719,SEARCH("-",'R.M Billets Reports'!D2719)+1,200)),""))&lt;&gt;"",IF(ISNUMBER(SEARCH("Party Name:-",'R.M Billets Reports'!D2719)),TRIM('R.M Billets Reports'!F2719),IF(ISNUMBER(SEARCH("Party Name-",'R.M Billets Reports'!D2719)),TRIM(MID('R.M Billets Reports'!D2719,SEARCH("-",'R.M Billets Reports'!D2719)+1,200)),"")),IF(ISNUMBER(SEARCH("Party Name:-",'R.M Billets Reports'!D2720)),TRIM('R.M Billets Reports'!F2720),IF(ISNUMBER(SEARCH("Party Name-",'R.M Billets Reports'!D2720)),TRIM(MID('R.M Billets Reports'!D2720,SEARCH("-",'R.M Billets Reports'!D2720)+1,200)),"")))="SHRI RADHE","SHREE RADHE",IF(IF(IF(ISNUMBER(SEARCH("Party Name:-",'R.M Billets Reports'!D2719)),TRIM('R.M Billets Reports'!F2719),IF(ISNUMBER(SEARCH("Party Name-",'R.M Billets Reports'!D2719)),TRIM(MID('R.M Billets Reports'!D2719,SEARCH("-",'R.M Billets Reports'!D2719)+1,200)),""))&lt;&gt;"",IF(ISNUMBER(SEARCH("Party Name:-",'R.M Billets Reports'!D2719)),TRIM('R.M Billets Reports'!F2719),IF(ISNUMBER(SEARCH("Party Name-",'R.M Billets Reports'!D2719)),TRIM(MID('R.M Billets Reports'!D2719,SEARCH("-",'R.M Billets Reports'!D2719)+1,200)),"")),IF(ISNUMBER(SEARCH("Party Name:-",'R.M Billets Reports'!D2720)),TRIM('R.M Billets Reports'!F2720),IF(ISNUMBER(SEARCH("Party Name-",'R.M Billets Reports'!D2720)),TRIM(MID('R.M Billets Reports'!D2720,SEARCH("-",'R.M Billets Reports'!D2720)+1,200)),"")))="SHREE RADHE SHAKTI SPONGE AND POWER PVT. LTD.","SHREE RADHE",IF(IF(ISNUMBER(SEARCH("Party Name:-",'R.M Billets Reports'!D2719)),TRIM('R.M Billets Reports'!F2719),IF(ISNUMBER(SEARCH("Party Name-",'R.M Billets Reports'!D2719)),TRIM(MID('R.M Billets Reports'!D2719,SEARCH("-",'R.M Billets Reports'!D2719)+1,200)),""))&lt;&gt;"",IF(ISNUMBER(SEARCH("Party Name:-",'R.M Billets Reports'!D2719)),TRIM('R.M Billets Reports'!F2719),IF(ISNUMBER(SEARCH("Party Name-",'R.M Billets Reports'!D2719)),TRIM(MID('R.M Billets Reports'!D2719,SEARCH("-",'R.M Billets Reports'!D2719)+1,200)),"")),IF(ISNUMBER(SEARCH("Party Name:-",'R.M Billets Reports'!D2720)),TRIM('R.M Billets Reports'!F2720),IF(ISNUMBER(SEARCH("Party Name-",'R.M Billets Reports'!D2720)),TRIM(MID('R.M Billets Reports'!D2720,SEARCH("-",'R.M Billets Reports'!D2720)+1,200)),"")))))),IF(ROW()=2,"",A2719))</f>
      </c>
      <c r="B2720">
        <f>IF(OR('R.M Billets Reports'!A2719="Date-",'R.M Billets Reports'!A2719="Date:-"),'R.M Billets Reports'!B2719,IF(ROW()=2,"",B2719))</f>
      </c>
      <c r="C2720">
        <f>IF('R.M Billets Reports'!A2719="V.No.",'R.M Billets Reports'!B2719,IF(ROW()=2,"",C2719))</f>
      </c>
      <c r="D2720">
        <f>IF('R.M Billets Reports'!A2719&lt;&gt;"",'R.M Billets Reports'!A2719,IF(ROW()=2,"",D2719))</f>
      </c>
      <c r="E2720">
        <f>IF('R.M Billets Reports'!B2719="","",TRIM('R.M Billets Reports'!B2719))</f>
      </c>
      <c r="F2720">
        <f>'R.M Billets Reports'!C2719</f>
      </c>
      <c r="G2720">
        <f>'R.M Billets Reports'!D2719</f>
      </c>
      <c r="H2720">
        <f>'R.M Billets Reports'!E2719</f>
      </c>
      <c r="I2720">
        <f>'R.M Billets Reports'!F2719</f>
      </c>
      <c r="J2720">
        <f>'R.M Billets Reports'!G2719</f>
      </c>
      <c r="K2720">
        <f>'R.M Billets Reports'!H2719</f>
      </c>
      <c r="L2720">
        <f>IF('R.M Billets Reports'!I2719="","",'R.M Billets Reports'!I2719)</f>
      </c>
      <c r="M2720">
        <f t="shared" si="84"/>
      </c>
      <c r="N2720">
        <f>IF('R.M Billets Reports'!J2719="","",'R.M Billets Reports'!J2719)</f>
      </c>
      <c r="O2720">
        <f t="shared" si="85"/>
      </c>
      <c r="P2720">
        <f>IF('R.M Billets Reports'!A2719="SIZE",'R.M Billets Reports'!B2719,P2719)</f>
      </c>
    </row>
    <row r="2721" spans="1:16" x14ac:dyDescent="0.25">
      <c r="A2721">
        <f>IF(OR('R.M Billets Reports'!A2720="Date-",'R.M Billets Reports'!A2720="Date:-"),IF(IF(IF(ISNUMBER(SEARCH("Party Name:-",'R.M Billets Reports'!D2720)),TRIM('R.M Billets Reports'!F2720),IF(ISNUMBER(SEARCH("Party Name-",'R.M Billets Reports'!D2720)),TRIM(MID('R.M Billets Reports'!D2720,SEARCH("-",'R.M Billets Reports'!D2720)+1,200)),""))&lt;&gt;"",IF(ISNUMBER(SEARCH("Party Name:-",'R.M Billets Reports'!D2720)),TRIM('R.M Billets Reports'!F2720),IF(ISNUMBER(SEARCH("Party Name-",'R.M Billets Reports'!D2720)),TRIM(MID('R.M Billets Reports'!D2720,SEARCH("-",'R.M Billets Reports'!D2720)+1,200)),"")),IF(ISNUMBER(SEARCH("Party Name:-",'R.M Billets Reports'!D2721)),TRIM('R.M Billets Reports'!F2721),IF(ISNUMBER(SEARCH("Party Name-",'R.M Billets Reports'!D2721)),TRIM(MID('R.M Billets Reports'!D2721,SEARCH("-",'R.M Billets Reports'!D2721)+1,200)),"")))="VRKP ISPAT PVT LTD","VRKP",IF(IF(IF(ISNUMBER(SEARCH("Party Name:-",'R.M Billets Reports'!D2720)),TRIM('R.M Billets Reports'!F2720),IF(ISNUMBER(SEARCH("Party Name-",'R.M Billets Reports'!D2720)),TRIM(MID('R.M Billets Reports'!D2720,SEARCH("-",'R.M Billets Reports'!D2720)+1,200)),""))&lt;&gt;"",IF(ISNUMBER(SEARCH("Party Name:-",'R.M Billets Reports'!D2720)),TRIM('R.M Billets Reports'!F2720),IF(ISNUMBER(SEARCH("Party Name-",'R.M Billets Reports'!D2720)),TRIM(MID('R.M Billets Reports'!D2720,SEARCH("-",'R.M Billets Reports'!D2720)+1,200)),"")),IF(ISNUMBER(SEARCH("Party Name:-",'R.M Billets Reports'!D2721)),TRIM('R.M Billets Reports'!F2721),IF(ISNUMBER(SEARCH("Party Name-",'R.M Billets Reports'!D2721)),TRIM(MID('R.M Billets Reports'!D2721,SEARCH("-",'R.M Billets Reports'!D2721)+1,200)),"")))="SHRI RADHE","SHREE RADHE",IF(IF(IF(ISNUMBER(SEARCH("Party Name:-",'R.M Billets Reports'!D2720)),TRIM('R.M Billets Reports'!F2720),IF(ISNUMBER(SEARCH("Party Name-",'R.M Billets Reports'!D2720)),TRIM(MID('R.M Billets Reports'!D2720,SEARCH("-",'R.M Billets Reports'!D2720)+1,200)),""))&lt;&gt;"",IF(ISNUMBER(SEARCH("Party Name:-",'R.M Billets Reports'!D2720)),TRIM('R.M Billets Reports'!F2720),IF(ISNUMBER(SEARCH("Party Name-",'R.M Billets Reports'!D2720)),TRIM(MID('R.M Billets Reports'!D2720,SEARCH("-",'R.M Billets Reports'!D2720)+1,200)),"")),IF(ISNUMBER(SEARCH("Party Name:-",'R.M Billets Reports'!D2721)),TRIM('R.M Billets Reports'!F2721),IF(ISNUMBER(SEARCH("Party Name-",'R.M Billets Reports'!D2721)),TRIM(MID('R.M Billets Reports'!D2721,SEARCH("-",'R.M Billets Reports'!D2721)+1,200)),"")))="SHREE RADHE SHAKTI SPONGE AND POWER PVT. LTD.","SHREE RADHE",IF(IF(ISNUMBER(SEARCH("Party Name:-",'R.M Billets Reports'!D2720)),TRIM('R.M Billets Reports'!F2720),IF(ISNUMBER(SEARCH("Party Name-",'R.M Billets Reports'!D2720)),TRIM(MID('R.M Billets Reports'!D2720,SEARCH("-",'R.M Billets Reports'!D2720)+1,200)),""))&lt;&gt;"",IF(ISNUMBER(SEARCH("Party Name:-",'R.M Billets Reports'!D2720)),TRIM('R.M Billets Reports'!F2720),IF(ISNUMBER(SEARCH("Party Name-",'R.M Billets Reports'!D2720)),TRIM(MID('R.M Billets Reports'!D2720,SEARCH("-",'R.M Billets Reports'!D2720)+1,200)),"")),IF(ISNUMBER(SEARCH("Party Name:-",'R.M Billets Reports'!D2721)),TRIM('R.M Billets Reports'!F2721),IF(ISNUMBER(SEARCH("Party Name-",'R.M Billets Reports'!D2721)),TRIM(MID('R.M Billets Reports'!D2721,SEARCH("-",'R.M Billets Reports'!D2721)+1,200)),"")))))),IF(ROW()=2,"",A2720))</f>
      </c>
      <c r="B2721">
        <f>IF(OR('R.M Billets Reports'!A2720="Date-",'R.M Billets Reports'!A2720="Date:-"),'R.M Billets Reports'!B2720,IF(ROW()=2,"",B2720))</f>
      </c>
      <c r="C2721">
        <f>IF('R.M Billets Reports'!A2720="V.No.",'R.M Billets Reports'!B2720,IF(ROW()=2,"",C2720))</f>
      </c>
      <c r="D2721">
        <f>IF('R.M Billets Reports'!A2720&lt;&gt;"",'R.M Billets Reports'!A2720,IF(ROW()=2,"",D2720))</f>
      </c>
      <c r="E2721">
        <f>IF('R.M Billets Reports'!B2720="","",TRIM('R.M Billets Reports'!B2720))</f>
      </c>
      <c r="F2721">
        <f>'R.M Billets Reports'!C2720</f>
      </c>
      <c r="G2721">
        <f>'R.M Billets Reports'!D2720</f>
      </c>
      <c r="H2721">
        <f>'R.M Billets Reports'!E2720</f>
      </c>
      <c r="I2721">
        <f>'R.M Billets Reports'!F2720</f>
      </c>
      <c r="J2721">
        <f>'R.M Billets Reports'!G2720</f>
      </c>
      <c r="K2721">
        <f>'R.M Billets Reports'!H2720</f>
      </c>
      <c r="L2721">
        <f>IF('R.M Billets Reports'!I2720="","",'R.M Billets Reports'!I2720)</f>
      </c>
      <c r="M2721">
        <f t="shared" si="84"/>
      </c>
      <c r="N2721">
        <f>IF('R.M Billets Reports'!J2720="","",'R.M Billets Reports'!J2720)</f>
      </c>
      <c r="O2721">
        <f t="shared" si="85"/>
      </c>
      <c r="P2721">
        <f>IF('R.M Billets Reports'!A2720="SIZE",'R.M Billets Reports'!B2720,P2720)</f>
      </c>
    </row>
    <row r="2722" spans="1:16" x14ac:dyDescent="0.25">
      <c r="A2722">
        <f>IF(OR('R.M Billets Reports'!A2721="Date-",'R.M Billets Reports'!A2721="Date:-"),IF(IF(IF(ISNUMBER(SEARCH("Party Name:-",'R.M Billets Reports'!D2721)),TRIM('R.M Billets Reports'!F2721),IF(ISNUMBER(SEARCH("Party Name-",'R.M Billets Reports'!D2721)),TRIM(MID('R.M Billets Reports'!D2721,SEARCH("-",'R.M Billets Reports'!D2721)+1,200)),""))&lt;&gt;"",IF(ISNUMBER(SEARCH("Party Name:-",'R.M Billets Reports'!D2721)),TRIM('R.M Billets Reports'!F2721),IF(ISNUMBER(SEARCH("Party Name-",'R.M Billets Reports'!D2721)),TRIM(MID('R.M Billets Reports'!D2721,SEARCH("-",'R.M Billets Reports'!D2721)+1,200)),"")),IF(ISNUMBER(SEARCH("Party Name:-",'R.M Billets Reports'!D2722)),TRIM('R.M Billets Reports'!F2722),IF(ISNUMBER(SEARCH("Party Name-",'R.M Billets Reports'!D2722)),TRIM(MID('R.M Billets Reports'!D2722,SEARCH("-",'R.M Billets Reports'!D2722)+1,200)),"")))="VRKP ISPAT PVT LTD","VRKP",IF(IF(IF(ISNUMBER(SEARCH("Party Name:-",'R.M Billets Reports'!D2721)),TRIM('R.M Billets Reports'!F2721),IF(ISNUMBER(SEARCH("Party Name-",'R.M Billets Reports'!D2721)),TRIM(MID('R.M Billets Reports'!D2721,SEARCH("-",'R.M Billets Reports'!D2721)+1,200)),""))&lt;&gt;"",IF(ISNUMBER(SEARCH("Party Name:-",'R.M Billets Reports'!D2721)),TRIM('R.M Billets Reports'!F2721),IF(ISNUMBER(SEARCH("Party Name-",'R.M Billets Reports'!D2721)),TRIM(MID('R.M Billets Reports'!D2721,SEARCH("-",'R.M Billets Reports'!D2721)+1,200)),"")),IF(ISNUMBER(SEARCH("Party Name:-",'R.M Billets Reports'!D2722)),TRIM('R.M Billets Reports'!F2722),IF(ISNUMBER(SEARCH("Party Name-",'R.M Billets Reports'!D2722)),TRIM(MID('R.M Billets Reports'!D2722,SEARCH("-",'R.M Billets Reports'!D2722)+1,200)),"")))="SHRI RADHE","SHREE RADHE",IF(IF(IF(ISNUMBER(SEARCH("Party Name:-",'R.M Billets Reports'!D2721)),TRIM('R.M Billets Reports'!F2721),IF(ISNUMBER(SEARCH("Party Name-",'R.M Billets Reports'!D2721)),TRIM(MID('R.M Billets Reports'!D2721,SEARCH("-",'R.M Billets Reports'!D2721)+1,200)),""))&lt;&gt;"",IF(ISNUMBER(SEARCH("Party Name:-",'R.M Billets Reports'!D2721)),TRIM('R.M Billets Reports'!F2721),IF(ISNUMBER(SEARCH("Party Name-",'R.M Billets Reports'!D2721)),TRIM(MID('R.M Billets Reports'!D2721,SEARCH("-",'R.M Billets Reports'!D2721)+1,200)),"")),IF(ISNUMBER(SEARCH("Party Name:-",'R.M Billets Reports'!D2722)),TRIM('R.M Billets Reports'!F2722),IF(ISNUMBER(SEARCH("Party Name-",'R.M Billets Reports'!D2722)),TRIM(MID('R.M Billets Reports'!D2722,SEARCH("-",'R.M Billets Reports'!D2722)+1,200)),"")))="SHREE RADHE SHAKTI SPONGE AND POWER PVT. LTD.","SHREE RADHE",IF(IF(ISNUMBER(SEARCH("Party Name:-",'R.M Billets Reports'!D2721)),TRIM('R.M Billets Reports'!F2721),IF(ISNUMBER(SEARCH("Party Name-",'R.M Billets Reports'!D2721)),TRIM(MID('R.M Billets Reports'!D2721,SEARCH("-",'R.M Billets Reports'!D2721)+1,200)),""))&lt;&gt;"",IF(ISNUMBER(SEARCH("Party Name:-",'R.M Billets Reports'!D2721)),TRIM('R.M Billets Reports'!F2721),IF(ISNUMBER(SEARCH("Party Name-",'R.M Billets Reports'!D2721)),TRIM(MID('R.M Billets Reports'!D2721,SEARCH("-",'R.M Billets Reports'!D2721)+1,200)),"")),IF(ISNUMBER(SEARCH("Party Name:-",'R.M Billets Reports'!D2722)),TRIM('R.M Billets Reports'!F2722),IF(ISNUMBER(SEARCH("Party Name-",'R.M Billets Reports'!D2722)),TRIM(MID('R.M Billets Reports'!D2722,SEARCH("-",'R.M Billets Reports'!D2722)+1,200)),"")))))),IF(ROW()=2,"",A2721))</f>
      </c>
      <c r="B2722">
        <f>IF(OR('R.M Billets Reports'!A2721="Date-",'R.M Billets Reports'!A2721="Date:-"),'R.M Billets Reports'!B2721,IF(ROW()=2,"",B2721))</f>
      </c>
      <c r="C2722">
        <f>IF('R.M Billets Reports'!A2721="V.No.",'R.M Billets Reports'!B2721,IF(ROW()=2,"",C2721))</f>
      </c>
      <c r="D2722">
        <f>IF('R.M Billets Reports'!A2721&lt;&gt;"",'R.M Billets Reports'!A2721,IF(ROW()=2,"",D2721))</f>
      </c>
      <c r="E2722">
        <f>IF('R.M Billets Reports'!B2721="","",TRIM('R.M Billets Reports'!B2721))</f>
      </c>
      <c r="F2722">
        <f>'R.M Billets Reports'!C2721</f>
      </c>
      <c r="G2722">
        <f>'R.M Billets Reports'!D2721</f>
      </c>
      <c r="H2722">
        <f>'R.M Billets Reports'!E2721</f>
      </c>
      <c r="I2722">
        <f>'R.M Billets Reports'!F2721</f>
      </c>
      <c r="J2722">
        <f>'R.M Billets Reports'!G2721</f>
      </c>
      <c r="K2722">
        <f>'R.M Billets Reports'!H2721</f>
      </c>
      <c r="L2722">
        <f>IF('R.M Billets Reports'!I2721="","",'R.M Billets Reports'!I2721)</f>
      </c>
      <c r="M2722">
        <f t="shared" si="84"/>
      </c>
      <c r="N2722">
        <f>IF('R.M Billets Reports'!J2721="","",'R.M Billets Reports'!J2721)</f>
      </c>
      <c r="O2722">
        <f t="shared" si="85"/>
      </c>
      <c r="P2722">
        <f>IF('R.M Billets Reports'!A2721="SIZE",'R.M Billets Reports'!B2721,P2721)</f>
      </c>
    </row>
    <row r="2723" spans="1:16" x14ac:dyDescent="0.25">
      <c r="A2723">
        <f>IF(OR('R.M Billets Reports'!A2722="Date-",'R.M Billets Reports'!A2722="Date:-"),IF(IF(IF(ISNUMBER(SEARCH("Party Name:-",'R.M Billets Reports'!D2722)),TRIM('R.M Billets Reports'!F2722),IF(ISNUMBER(SEARCH("Party Name-",'R.M Billets Reports'!D2722)),TRIM(MID('R.M Billets Reports'!D2722,SEARCH("-",'R.M Billets Reports'!D2722)+1,200)),""))&lt;&gt;"",IF(ISNUMBER(SEARCH("Party Name:-",'R.M Billets Reports'!D2722)),TRIM('R.M Billets Reports'!F2722),IF(ISNUMBER(SEARCH("Party Name-",'R.M Billets Reports'!D2722)),TRIM(MID('R.M Billets Reports'!D2722,SEARCH("-",'R.M Billets Reports'!D2722)+1,200)),"")),IF(ISNUMBER(SEARCH("Party Name:-",'R.M Billets Reports'!D2723)),TRIM('R.M Billets Reports'!F2723),IF(ISNUMBER(SEARCH("Party Name-",'R.M Billets Reports'!D2723)),TRIM(MID('R.M Billets Reports'!D2723,SEARCH("-",'R.M Billets Reports'!D2723)+1,200)),"")))="VRKP ISPAT PVT LTD","VRKP",IF(IF(IF(ISNUMBER(SEARCH("Party Name:-",'R.M Billets Reports'!D2722)),TRIM('R.M Billets Reports'!F2722),IF(ISNUMBER(SEARCH("Party Name-",'R.M Billets Reports'!D2722)),TRIM(MID('R.M Billets Reports'!D2722,SEARCH("-",'R.M Billets Reports'!D2722)+1,200)),""))&lt;&gt;"",IF(ISNUMBER(SEARCH("Party Name:-",'R.M Billets Reports'!D2722)),TRIM('R.M Billets Reports'!F2722),IF(ISNUMBER(SEARCH("Party Name-",'R.M Billets Reports'!D2722)),TRIM(MID('R.M Billets Reports'!D2722,SEARCH("-",'R.M Billets Reports'!D2722)+1,200)),"")),IF(ISNUMBER(SEARCH("Party Name:-",'R.M Billets Reports'!D2723)),TRIM('R.M Billets Reports'!F2723),IF(ISNUMBER(SEARCH("Party Name-",'R.M Billets Reports'!D2723)),TRIM(MID('R.M Billets Reports'!D2723,SEARCH("-",'R.M Billets Reports'!D2723)+1,200)),"")))="SHRI RADHE","SHREE RADHE",IF(IF(IF(ISNUMBER(SEARCH("Party Name:-",'R.M Billets Reports'!D2722)),TRIM('R.M Billets Reports'!F2722),IF(ISNUMBER(SEARCH("Party Name-",'R.M Billets Reports'!D2722)),TRIM(MID('R.M Billets Reports'!D2722,SEARCH("-",'R.M Billets Reports'!D2722)+1,200)),""))&lt;&gt;"",IF(ISNUMBER(SEARCH("Party Name:-",'R.M Billets Reports'!D2722)),TRIM('R.M Billets Reports'!F2722),IF(ISNUMBER(SEARCH("Party Name-",'R.M Billets Reports'!D2722)),TRIM(MID('R.M Billets Reports'!D2722,SEARCH("-",'R.M Billets Reports'!D2722)+1,200)),"")),IF(ISNUMBER(SEARCH("Party Name:-",'R.M Billets Reports'!D2723)),TRIM('R.M Billets Reports'!F2723),IF(ISNUMBER(SEARCH("Party Name-",'R.M Billets Reports'!D2723)),TRIM(MID('R.M Billets Reports'!D2723,SEARCH("-",'R.M Billets Reports'!D2723)+1,200)),"")))="SHREE RADHE SHAKTI SPONGE AND POWER PVT. LTD.","SHREE RADHE",IF(IF(ISNUMBER(SEARCH("Party Name:-",'R.M Billets Reports'!D2722)),TRIM('R.M Billets Reports'!F2722),IF(ISNUMBER(SEARCH("Party Name-",'R.M Billets Reports'!D2722)),TRIM(MID('R.M Billets Reports'!D2722,SEARCH("-",'R.M Billets Reports'!D2722)+1,200)),""))&lt;&gt;"",IF(ISNUMBER(SEARCH("Party Name:-",'R.M Billets Reports'!D2722)),TRIM('R.M Billets Reports'!F2722),IF(ISNUMBER(SEARCH("Party Name-",'R.M Billets Reports'!D2722)),TRIM(MID('R.M Billets Reports'!D2722,SEARCH("-",'R.M Billets Reports'!D2722)+1,200)),"")),IF(ISNUMBER(SEARCH("Party Name:-",'R.M Billets Reports'!D2723)),TRIM('R.M Billets Reports'!F2723),IF(ISNUMBER(SEARCH("Party Name-",'R.M Billets Reports'!D2723)),TRIM(MID('R.M Billets Reports'!D2723,SEARCH("-",'R.M Billets Reports'!D2723)+1,200)),"")))))),IF(ROW()=2,"",A2722))</f>
      </c>
      <c r="B2723">
        <f>IF(OR('R.M Billets Reports'!A2722="Date-",'R.M Billets Reports'!A2722="Date:-"),'R.M Billets Reports'!B2722,IF(ROW()=2,"",B2722))</f>
      </c>
      <c r="C2723">
        <f>IF('R.M Billets Reports'!A2722="V.No.",'R.M Billets Reports'!B2722,IF(ROW()=2,"",C2722))</f>
      </c>
      <c r="D2723">
        <f>IF('R.M Billets Reports'!A2722&lt;&gt;"",'R.M Billets Reports'!A2722,IF(ROW()=2,"",D2722))</f>
      </c>
      <c r="E2723">
        <f>IF('R.M Billets Reports'!B2722="","",TRIM('R.M Billets Reports'!B2722))</f>
      </c>
      <c r="F2723">
        <f>'R.M Billets Reports'!C2722</f>
      </c>
      <c r="G2723">
        <f>'R.M Billets Reports'!D2722</f>
      </c>
      <c r="H2723">
        <f>'R.M Billets Reports'!E2722</f>
      </c>
      <c r="I2723">
        <f>'R.M Billets Reports'!F2722</f>
      </c>
      <c r="J2723">
        <f>'R.M Billets Reports'!G2722</f>
      </c>
      <c r="K2723">
        <f>'R.M Billets Reports'!H2722</f>
      </c>
      <c r="L2723">
        <f>IF('R.M Billets Reports'!I2722="","",'R.M Billets Reports'!I2722)</f>
      </c>
      <c r="M2723">
        <f t="shared" si="84"/>
      </c>
      <c r="N2723">
        <f>IF('R.M Billets Reports'!J2722="","",'R.M Billets Reports'!J2722)</f>
      </c>
      <c r="O2723">
        <f t="shared" si="85"/>
      </c>
      <c r="P2723">
        <f>IF('R.M Billets Reports'!A2722="SIZE",'R.M Billets Reports'!B2722,P2722)</f>
      </c>
    </row>
    <row r="2724" spans="1:16" x14ac:dyDescent="0.25">
      <c r="A2724">
        <f>IF(OR('R.M Billets Reports'!A2723="Date-",'R.M Billets Reports'!A2723="Date:-"),IF(IF(IF(ISNUMBER(SEARCH("Party Name:-",'R.M Billets Reports'!D2723)),TRIM('R.M Billets Reports'!F2723),IF(ISNUMBER(SEARCH("Party Name-",'R.M Billets Reports'!D2723)),TRIM(MID('R.M Billets Reports'!D2723,SEARCH("-",'R.M Billets Reports'!D2723)+1,200)),""))&lt;&gt;"",IF(ISNUMBER(SEARCH("Party Name:-",'R.M Billets Reports'!D2723)),TRIM('R.M Billets Reports'!F2723),IF(ISNUMBER(SEARCH("Party Name-",'R.M Billets Reports'!D2723)),TRIM(MID('R.M Billets Reports'!D2723,SEARCH("-",'R.M Billets Reports'!D2723)+1,200)),"")),IF(ISNUMBER(SEARCH("Party Name:-",'R.M Billets Reports'!D2724)),TRIM('R.M Billets Reports'!F2724),IF(ISNUMBER(SEARCH("Party Name-",'R.M Billets Reports'!D2724)),TRIM(MID('R.M Billets Reports'!D2724,SEARCH("-",'R.M Billets Reports'!D2724)+1,200)),"")))="VRKP ISPAT PVT LTD","VRKP",IF(IF(IF(ISNUMBER(SEARCH("Party Name:-",'R.M Billets Reports'!D2723)),TRIM('R.M Billets Reports'!F2723),IF(ISNUMBER(SEARCH("Party Name-",'R.M Billets Reports'!D2723)),TRIM(MID('R.M Billets Reports'!D2723,SEARCH("-",'R.M Billets Reports'!D2723)+1,200)),""))&lt;&gt;"",IF(ISNUMBER(SEARCH("Party Name:-",'R.M Billets Reports'!D2723)),TRIM('R.M Billets Reports'!F2723),IF(ISNUMBER(SEARCH("Party Name-",'R.M Billets Reports'!D2723)),TRIM(MID('R.M Billets Reports'!D2723,SEARCH("-",'R.M Billets Reports'!D2723)+1,200)),"")),IF(ISNUMBER(SEARCH("Party Name:-",'R.M Billets Reports'!D2724)),TRIM('R.M Billets Reports'!F2724),IF(ISNUMBER(SEARCH("Party Name-",'R.M Billets Reports'!D2724)),TRIM(MID('R.M Billets Reports'!D2724,SEARCH("-",'R.M Billets Reports'!D2724)+1,200)),"")))="SHRI RADHE","SHREE RADHE",IF(IF(IF(ISNUMBER(SEARCH("Party Name:-",'R.M Billets Reports'!D2723)),TRIM('R.M Billets Reports'!F2723),IF(ISNUMBER(SEARCH("Party Name-",'R.M Billets Reports'!D2723)),TRIM(MID('R.M Billets Reports'!D2723,SEARCH("-",'R.M Billets Reports'!D2723)+1,200)),""))&lt;&gt;"",IF(ISNUMBER(SEARCH("Party Name:-",'R.M Billets Reports'!D2723)),TRIM('R.M Billets Reports'!F2723),IF(ISNUMBER(SEARCH("Party Name-",'R.M Billets Reports'!D2723)),TRIM(MID('R.M Billets Reports'!D2723,SEARCH("-",'R.M Billets Reports'!D2723)+1,200)),"")),IF(ISNUMBER(SEARCH("Party Name:-",'R.M Billets Reports'!D2724)),TRIM('R.M Billets Reports'!F2724),IF(ISNUMBER(SEARCH("Party Name-",'R.M Billets Reports'!D2724)),TRIM(MID('R.M Billets Reports'!D2724,SEARCH("-",'R.M Billets Reports'!D2724)+1,200)),"")))="SHREE RADHE SHAKTI SPONGE AND POWER PVT. LTD.","SHREE RADHE",IF(IF(ISNUMBER(SEARCH("Party Name:-",'R.M Billets Reports'!D2723)),TRIM('R.M Billets Reports'!F2723),IF(ISNUMBER(SEARCH("Party Name-",'R.M Billets Reports'!D2723)),TRIM(MID('R.M Billets Reports'!D2723,SEARCH("-",'R.M Billets Reports'!D2723)+1,200)),""))&lt;&gt;"",IF(ISNUMBER(SEARCH("Party Name:-",'R.M Billets Reports'!D2723)),TRIM('R.M Billets Reports'!F2723),IF(ISNUMBER(SEARCH("Party Name-",'R.M Billets Reports'!D2723)),TRIM(MID('R.M Billets Reports'!D2723,SEARCH("-",'R.M Billets Reports'!D2723)+1,200)),"")),IF(ISNUMBER(SEARCH("Party Name:-",'R.M Billets Reports'!D2724)),TRIM('R.M Billets Reports'!F2724),IF(ISNUMBER(SEARCH("Party Name-",'R.M Billets Reports'!D2724)),TRIM(MID('R.M Billets Reports'!D2724,SEARCH("-",'R.M Billets Reports'!D2724)+1,200)),"")))))),IF(ROW()=2,"",A2723))</f>
      </c>
      <c r="B2724">
        <f>IF(OR('R.M Billets Reports'!A2723="Date-",'R.M Billets Reports'!A2723="Date:-"),'R.M Billets Reports'!B2723,IF(ROW()=2,"",B2723))</f>
      </c>
      <c r="C2724">
        <f>IF('R.M Billets Reports'!A2723="V.No.",'R.M Billets Reports'!B2723,IF(ROW()=2,"",C2723))</f>
      </c>
      <c r="D2724">
        <f>IF('R.M Billets Reports'!A2723&lt;&gt;"",'R.M Billets Reports'!A2723,IF(ROW()=2,"",D2723))</f>
      </c>
      <c r="E2724">
        <f>IF('R.M Billets Reports'!B2723="","",TRIM('R.M Billets Reports'!B2723))</f>
      </c>
      <c r="F2724">
        <f>'R.M Billets Reports'!C2723</f>
      </c>
      <c r="G2724">
        <f>'R.M Billets Reports'!D2723</f>
      </c>
      <c r="H2724">
        <f>'R.M Billets Reports'!E2723</f>
      </c>
      <c r="I2724">
        <f>'R.M Billets Reports'!F2723</f>
      </c>
      <c r="J2724">
        <f>'R.M Billets Reports'!G2723</f>
      </c>
      <c r="K2724">
        <f>'R.M Billets Reports'!H2723</f>
      </c>
      <c r="L2724">
        <f>IF('R.M Billets Reports'!I2723="","",'R.M Billets Reports'!I2723)</f>
      </c>
      <c r="M2724">
        <f t="shared" si="84"/>
      </c>
      <c r="N2724">
        <f>IF('R.M Billets Reports'!J2723="","",'R.M Billets Reports'!J2723)</f>
      </c>
      <c r="O2724">
        <f t="shared" si="85"/>
      </c>
      <c r="P2724">
        <f>IF('R.M Billets Reports'!A2723="SIZE",'R.M Billets Reports'!B2723,P2723)</f>
      </c>
    </row>
    <row r="2725" spans="1:16" x14ac:dyDescent="0.25">
      <c r="A2725">
        <f>IF(OR('R.M Billets Reports'!A2724="Date-",'R.M Billets Reports'!A2724="Date:-"),IF(IF(IF(ISNUMBER(SEARCH("Party Name:-",'R.M Billets Reports'!D2724)),TRIM('R.M Billets Reports'!F2724),IF(ISNUMBER(SEARCH("Party Name-",'R.M Billets Reports'!D2724)),TRIM(MID('R.M Billets Reports'!D2724,SEARCH("-",'R.M Billets Reports'!D2724)+1,200)),""))&lt;&gt;"",IF(ISNUMBER(SEARCH("Party Name:-",'R.M Billets Reports'!D2724)),TRIM('R.M Billets Reports'!F2724),IF(ISNUMBER(SEARCH("Party Name-",'R.M Billets Reports'!D2724)),TRIM(MID('R.M Billets Reports'!D2724,SEARCH("-",'R.M Billets Reports'!D2724)+1,200)),"")),IF(ISNUMBER(SEARCH("Party Name:-",'R.M Billets Reports'!D2725)),TRIM('R.M Billets Reports'!F2725),IF(ISNUMBER(SEARCH("Party Name-",'R.M Billets Reports'!D2725)),TRIM(MID('R.M Billets Reports'!D2725,SEARCH("-",'R.M Billets Reports'!D2725)+1,200)),"")))="VRKP ISPAT PVT LTD","VRKP",IF(IF(IF(ISNUMBER(SEARCH("Party Name:-",'R.M Billets Reports'!D2724)),TRIM('R.M Billets Reports'!F2724),IF(ISNUMBER(SEARCH("Party Name-",'R.M Billets Reports'!D2724)),TRIM(MID('R.M Billets Reports'!D2724,SEARCH("-",'R.M Billets Reports'!D2724)+1,200)),""))&lt;&gt;"",IF(ISNUMBER(SEARCH("Party Name:-",'R.M Billets Reports'!D2724)),TRIM('R.M Billets Reports'!F2724),IF(ISNUMBER(SEARCH("Party Name-",'R.M Billets Reports'!D2724)),TRIM(MID('R.M Billets Reports'!D2724,SEARCH("-",'R.M Billets Reports'!D2724)+1,200)),"")),IF(ISNUMBER(SEARCH("Party Name:-",'R.M Billets Reports'!D2725)),TRIM('R.M Billets Reports'!F2725),IF(ISNUMBER(SEARCH("Party Name-",'R.M Billets Reports'!D2725)),TRIM(MID('R.M Billets Reports'!D2725,SEARCH("-",'R.M Billets Reports'!D2725)+1,200)),"")))="SHRI RADHE","SHREE RADHE",IF(IF(IF(ISNUMBER(SEARCH("Party Name:-",'R.M Billets Reports'!D2724)),TRIM('R.M Billets Reports'!F2724),IF(ISNUMBER(SEARCH("Party Name-",'R.M Billets Reports'!D2724)),TRIM(MID('R.M Billets Reports'!D2724,SEARCH("-",'R.M Billets Reports'!D2724)+1,200)),""))&lt;&gt;"",IF(ISNUMBER(SEARCH("Party Name:-",'R.M Billets Reports'!D2724)),TRIM('R.M Billets Reports'!F2724),IF(ISNUMBER(SEARCH("Party Name-",'R.M Billets Reports'!D2724)),TRIM(MID('R.M Billets Reports'!D2724,SEARCH("-",'R.M Billets Reports'!D2724)+1,200)),"")),IF(ISNUMBER(SEARCH("Party Name:-",'R.M Billets Reports'!D2725)),TRIM('R.M Billets Reports'!F2725),IF(ISNUMBER(SEARCH("Party Name-",'R.M Billets Reports'!D2725)),TRIM(MID('R.M Billets Reports'!D2725,SEARCH("-",'R.M Billets Reports'!D2725)+1,200)),"")))="SHREE RADHE SHAKTI SPONGE AND POWER PVT. LTD.","SHREE RADHE",IF(IF(ISNUMBER(SEARCH("Party Name:-",'R.M Billets Reports'!D2724)),TRIM('R.M Billets Reports'!F2724),IF(ISNUMBER(SEARCH("Party Name-",'R.M Billets Reports'!D2724)),TRIM(MID('R.M Billets Reports'!D2724,SEARCH("-",'R.M Billets Reports'!D2724)+1,200)),""))&lt;&gt;"",IF(ISNUMBER(SEARCH("Party Name:-",'R.M Billets Reports'!D2724)),TRIM('R.M Billets Reports'!F2724),IF(ISNUMBER(SEARCH("Party Name-",'R.M Billets Reports'!D2724)),TRIM(MID('R.M Billets Reports'!D2724,SEARCH("-",'R.M Billets Reports'!D2724)+1,200)),"")),IF(ISNUMBER(SEARCH("Party Name:-",'R.M Billets Reports'!D2725)),TRIM('R.M Billets Reports'!F2725),IF(ISNUMBER(SEARCH("Party Name-",'R.M Billets Reports'!D2725)),TRIM(MID('R.M Billets Reports'!D2725,SEARCH("-",'R.M Billets Reports'!D2725)+1,200)),"")))))),IF(ROW()=2,"",A2724))</f>
      </c>
      <c r="B2725">
        <f>IF(OR('R.M Billets Reports'!A2724="Date-",'R.M Billets Reports'!A2724="Date:-"),'R.M Billets Reports'!B2724,IF(ROW()=2,"",B2724))</f>
      </c>
      <c r="C2725">
        <f>IF('R.M Billets Reports'!A2724="V.No.",'R.M Billets Reports'!B2724,IF(ROW()=2,"",C2724))</f>
      </c>
      <c r="D2725">
        <f>IF('R.M Billets Reports'!A2724&lt;&gt;"",'R.M Billets Reports'!A2724,IF(ROW()=2,"",D2724))</f>
      </c>
      <c r="E2725">
        <f>IF('R.M Billets Reports'!B2724="","",TRIM('R.M Billets Reports'!B2724))</f>
      </c>
      <c r="F2725">
        <f>'R.M Billets Reports'!C2724</f>
      </c>
      <c r="G2725">
        <f>'R.M Billets Reports'!D2724</f>
      </c>
      <c r="H2725">
        <f>'R.M Billets Reports'!E2724</f>
      </c>
      <c r="I2725">
        <f>'R.M Billets Reports'!F2724</f>
      </c>
      <c r="J2725">
        <f>'R.M Billets Reports'!G2724</f>
      </c>
      <c r="K2725">
        <f>'R.M Billets Reports'!H2724</f>
      </c>
      <c r="L2725">
        <f>IF('R.M Billets Reports'!I2724="","",'R.M Billets Reports'!I2724)</f>
      </c>
      <c r="M2725">
        <f t="shared" si="84"/>
      </c>
      <c r="N2725">
        <f>IF('R.M Billets Reports'!J2724="","",'R.M Billets Reports'!J2724)</f>
      </c>
      <c r="O2725">
        <f t="shared" si="85"/>
      </c>
      <c r="P2725">
        <f>IF('R.M Billets Reports'!A2724="SIZE",'R.M Billets Reports'!B2724,P2724)</f>
      </c>
    </row>
    <row r="2726" spans="1:16" x14ac:dyDescent="0.25">
      <c r="A2726">
        <f>IF(OR('R.M Billets Reports'!A2725="Date-",'R.M Billets Reports'!A2725="Date:-"),IF(IF(IF(ISNUMBER(SEARCH("Party Name:-",'R.M Billets Reports'!D2725)),TRIM('R.M Billets Reports'!F2725),IF(ISNUMBER(SEARCH("Party Name-",'R.M Billets Reports'!D2725)),TRIM(MID('R.M Billets Reports'!D2725,SEARCH("-",'R.M Billets Reports'!D2725)+1,200)),""))&lt;&gt;"",IF(ISNUMBER(SEARCH("Party Name:-",'R.M Billets Reports'!D2725)),TRIM('R.M Billets Reports'!F2725),IF(ISNUMBER(SEARCH("Party Name-",'R.M Billets Reports'!D2725)),TRIM(MID('R.M Billets Reports'!D2725,SEARCH("-",'R.M Billets Reports'!D2725)+1,200)),"")),IF(ISNUMBER(SEARCH("Party Name:-",'R.M Billets Reports'!D2726)),TRIM('R.M Billets Reports'!F2726),IF(ISNUMBER(SEARCH("Party Name-",'R.M Billets Reports'!D2726)),TRIM(MID('R.M Billets Reports'!D2726,SEARCH("-",'R.M Billets Reports'!D2726)+1,200)),"")))="VRKP ISPAT PVT LTD","VRKP",IF(IF(IF(ISNUMBER(SEARCH("Party Name:-",'R.M Billets Reports'!D2725)),TRIM('R.M Billets Reports'!F2725),IF(ISNUMBER(SEARCH("Party Name-",'R.M Billets Reports'!D2725)),TRIM(MID('R.M Billets Reports'!D2725,SEARCH("-",'R.M Billets Reports'!D2725)+1,200)),""))&lt;&gt;"",IF(ISNUMBER(SEARCH("Party Name:-",'R.M Billets Reports'!D2725)),TRIM('R.M Billets Reports'!F2725),IF(ISNUMBER(SEARCH("Party Name-",'R.M Billets Reports'!D2725)),TRIM(MID('R.M Billets Reports'!D2725,SEARCH("-",'R.M Billets Reports'!D2725)+1,200)),"")),IF(ISNUMBER(SEARCH("Party Name:-",'R.M Billets Reports'!D2726)),TRIM('R.M Billets Reports'!F2726),IF(ISNUMBER(SEARCH("Party Name-",'R.M Billets Reports'!D2726)),TRIM(MID('R.M Billets Reports'!D2726,SEARCH("-",'R.M Billets Reports'!D2726)+1,200)),"")))="SHRI RADHE","SHREE RADHE",IF(IF(IF(ISNUMBER(SEARCH("Party Name:-",'R.M Billets Reports'!D2725)),TRIM('R.M Billets Reports'!F2725),IF(ISNUMBER(SEARCH("Party Name-",'R.M Billets Reports'!D2725)),TRIM(MID('R.M Billets Reports'!D2725,SEARCH("-",'R.M Billets Reports'!D2725)+1,200)),""))&lt;&gt;"",IF(ISNUMBER(SEARCH("Party Name:-",'R.M Billets Reports'!D2725)),TRIM('R.M Billets Reports'!F2725),IF(ISNUMBER(SEARCH("Party Name-",'R.M Billets Reports'!D2725)),TRIM(MID('R.M Billets Reports'!D2725,SEARCH("-",'R.M Billets Reports'!D2725)+1,200)),"")),IF(ISNUMBER(SEARCH("Party Name:-",'R.M Billets Reports'!D2726)),TRIM('R.M Billets Reports'!F2726),IF(ISNUMBER(SEARCH("Party Name-",'R.M Billets Reports'!D2726)),TRIM(MID('R.M Billets Reports'!D2726,SEARCH("-",'R.M Billets Reports'!D2726)+1,200)),"")))="SHREE RADHE SHAKTI SPONGE AND POWER PVT. LTD.","SHREE RADHE",IF(IF(ISNUMBER(SEARCH("Party Name:-",'R.M Billets Reports'!D2725)),TRIM('R.M Billets Reports'!F2725),IF(ISNUMBER(SEARCH("Party Name-",'R.M Billets Reports'!D2725)),TRIM(MID('R.M Billets Reports'!D2725,SEARCH("-",'R.M Billets Reports'!D2725)+1,200)),""))&lt;&gt;"",IF(ISNUMBER(SEARCH("Party Name:-",'R.M Billets Reports'!D2725)),TRIM('R.M Billets Reports'!F2725),IF(ISNUMBER(SEARCH("Party Name-",'R.M Billets Reports'!D2725)),TRIM(MID('R.M Billets Reports'!D2725,SEARCH("-",'R.M Billets Reports'!D2725)+1,200)),"")),IF(ISNUMBER(SEARCH("Party Name:-",'R.M Billets Reports'!D2726)),TRIM('R.M Billets Reports'!F2726),IF(ISNUMBER(SEARCH("Party Name-",'R.M Billets Reports'!D2726)),TRIM(MID('R.M Billets Reports'!D2726,SEARCH("-",'R.M Billets Reports'!D2726)+1,200)),"")))))),IF(ROW()=2,"",A2725))</f>
      </c>
      <c r="B2726">
        <f>IF(OR('R.M Billets Reports'!A2725="Date-",'R.M Billets Reports'!A2725="Date:-"),'R.M Billets Reports'!B2725,IF(ROW()=2,"",B2725))</f>
      </c>
      <c r="C2726">
        <f>IF('R.M Billets Reports'!A2725="V.No.",'R.M Billets Reports'!B2725,IF(ROW()=2,"",C2725))</f>
      </c>
      <c r="D2726">
        <f>IF('R.M Billets Reports'!A2725&lt;&gt;"",'R.M Billets Reports'!A2725,IF(ROW()=2,"",D2725))</f>
      </c>
      <c r="E2726">
        <f>IF('R.M Billets Reports'!B2725="","",TRIM('R.M Billets Reports'!B2725))</f>
      </c>
      <c r="F2726">
        <f>'R.M Billets Reports'!C2725</f>
      </c>
      <c r="G2726">
        <f>'R.M Billets Reports'!D2725</f>
      </c>
      <c r="H2726">
        <f>'R.M Billets Reports'!E2725</f>
      </c>
      <c r="I2726">
        <f>'R.M Billets Reports'!F2725</f>
      </c>
      <c r="J2726">
        <f>'R.M Billets Reports'!G2725</f>
      </c>
      <c r="K2726">
        <f>'R.M Billets Reports'!H2725</f>
      </c>
      <c r="L2726">
        <f>IF('R.M Billets Reports'!I2725="","",'R.M Billets Reports'!I2725)</f>
      </c>
      <c r="M2726">
        <f t="shared" si="84"/>
      </c>
      <c r="N2726">
        <f>IF('R.M Billets Reports'!J2725="","",'R.M Billets Reports'!J2725)</f>
      </c>
      <c r="O2726">
        <f t="shared" si="85"/>
      </c>
      <c r="P2726">
        <f>IF('R.M Billets Reports'!A2725="SIZE",'R.M Billets Reports'!B2725,P2725)</f>
      </c>
    </row>
    <row r="2727" spans="1:16" x14ac:dyDescent="0.25">
      <c r="A2727">
        <f>IF(OR('R.M Billets Reports'!A2726="Date-",'R.M Billets Reports'!A2726="Date:-"),IF(IF(IF(ISNUMBER(SEARCH("Party Name:-",'R.M Billets Reports'!D2726)),TRIM('R.M Billets Reports'!F2726),IF(ISNUMBER(SEARCH("Party Name-",'R.M Billets Reports'!D2726)),TRIM(MID('R.M Billets Reports'!D2726,SEARCH("-",'R.M Billets Reports'!D2726)+1,200)),""))&lt;&gt;"",IF(ISNUMBER(SEARCH("Party Name:-",'R.M Billets Reports'!D2726)),TRIM('R.M Billets Reports'!F2726),IF(ISNUMBER(SEARCH("Party Name-",'R.M Billets Reports'!D2726)),TRIM(MID('R.M Billets Reports'!D2726,SEARCH("-",'R.M Billets Reports'!D2726)+1,200)),"")),IF(ISNUMBER(SEARCH("Party Name:-",'R.M Billets Reports'!D2727)),TRIM('R.M Billets Reports'!F2727),IF(ISNUMBER(SEARCH("Party Name-",'R.M Billets Reports'!D2727)),TRIM(MID('R.M Billets Reports'!D2727,SEARCH("-",'R.M Billets Reports'!D2727)+1,200)),"")))="VRKP ISPAT PVT LTD","VRKP",IF(IF(IF(ISNUMBER(SEARCH("Party Name:-",'R.M Billets Reports'!D2726)),TRIM('R.M Billets Reports'!F2726),IF(ISNUMBER(SEARCH("Party Name-",'R.M Billets Reports'!D2726)),TRIM(MID('R.M Billets Reports'!D2726,SEARCH("-",'R.M Billets Reports'!D2726)+1,200)),""))&lt;&gt;"",IF(ISNUMBER(SEARCH("Party Name:-",'R.M Billets Reports'!D2726)),TRIM('R.M Billets Reports'!F2726),IF(ISNUMBER(SEARCH("Party Name-",'R.M Billets Reports'!D2726)),TRIM(MID('R.M Billets Reports'!D2726,SEARCH("-",'R.M Billets Reports'!D2726)+1,200)),"")),IF(ISNUMBER(SEARCH("Party Name:-",'R.M Billets Reports'!D2727)),TRIM('R.M Billets Reports'!F2727),IF(ISNUMBER(SEARCH("Party Name-",'R.M Billets Reports'!D2727)),TRIM(MID('R.M Billets Reports'!D2727,SEARCH("-",'R.M Billets Reports'!D2727)+1,200)),"")))="SHRI RADHE","SHREE RADHE",IF(IF(IF(ISNUMBER(SEARCH("Party Name:-",'R.M Billets Reports'!D2726)),TRIM('R.M Billets Reports'!F2726),IF(ISNUMBER(SEARCH("Party Name-",'R.M Billets Reports'!D2726)),TRIM(MID('R.M Billets Reports'!D2726,SEARCH("-",'R.M Billets Reports'!D2726)+1,200)),""))&lt;&gt;"",IF(ISNUMBER(SEARCH("Party Name:-",'R.M Billets Reports'!D2726)),TRIM('R.M Billets Reports'!F2726),IF(ISNUMBER(SEARCH("Party Name-",'R.M Billets Reports'!D2726)),TRIM(MID('R.M Billets Reports'!D2726,SEARCH("-",'R.M Billets Reports'!D2726)+1,200)),"")),IF(ISNUMBER(SEARCH("Party Name:-",'R.M Billets Reports'!D2727)),TRIM('R.M Billets Reports'!F2727),IF(ISNUMBER(SEARCH("Party Name-",'R.M Billets Reports'!D2727)),TRIM(MID('R.M Billets Reports'!D2727,SEARCH("-",'R.M Billets Reports'!D2727)+1,200)),"")))="SHREE RADHE SHAKTI SPONGE AND POWER PVT. LTD.","SHREE RADHE",IF(IF(ISNUMBER(SEARCH("Party Name:-",'R.M Billets Reports'!D2726)),TRIM('R.M Billets Reports'!F2726),IF(ISNUMBER(SEARCH("Party Name-",'R.M Billets Reports'!D2726)),TRIM(MID('R.M Billets Reports'!D2726,SEARCH("-",'R.M Billets Reports'!D2726)+1,200)),""))&lt;&gt;"",IF(ISNUMBER(SEARCH("Party Name:-",'R.M Billets Reports'!D2726)),TRIM('R.M Billets Reports'!F2726),IF(ISNUMBER(SEARCH("Party Name-",'R.M Billets Reports'!D2726)),TRIM(MID('R.M Billets Reports'!D2726,SEARCH("-",'R.M Billets Reports'!D2726)+1,200)),"")),IF(ISNUMBER(SEARCH("Party Name:-",'R.M Billets Reports'!D2727)),TRIM('R.M Billets Reports'!F2727),IF(ISNUMBER(SEARCH("Party Name-",'R.M Billets Reports'!D2727)),TRIM(MID('R.M Billets Reports'!D2727,SEARCH("-",'R.M Billets Reports'!D2727)+1,200)),"")))))),IF(ROW()=2,"",A2726))</f>
      </c>
      <c r="B2727">
        <f>IF(OR('R.M Billets Reports'!A2726="Date-",'R.M Billets Reports'!A2726="Date:-"),'R.M Billets Reports'!B2726,IF(ROW()=2,"",B2726))</f>
      </c>
      <c r="C2727">
        <f>IF('R.M Billets Reports'!A2726="V.No.",'R.M Billets Reports'!B2726,IF(ROW()=2,"",C2726))</f>
      </c>
      <c r="D2727">
        <f>IF('R.M Billets Reports'!A2726&lt;&gt;"",'R.M Billets Reports'!A2726,IF(ROW()=2,"",D2726))</f>
      </c>
      <c r="E2727">
        <f>IF('R.M Billets Reports'!B2726="","",TRIM('R.M Billets Reports'!B2726))</f>
      </c>
      <c r="F2727">
        <f>'R.M Billets Reports'!C2726</f>
      </c>
      <c r="G2727">
        <f>'R.M Billets Reports'!D2726</f>
      </c>
      <c r="H2727">
        <f>'R.M Billets Reports'!E2726</f>
      </c>
      <c r="I2727">
        <f>'R.M Billets Reports'!F2726</f>
      </c>
      <c r="J2727">
        <f>'R.M Billets Reports'!G2726</f>
      </c>
      <c r="K2727">
        <f>'R.M Billets Reports'!H2726</f>
      </c>
      <c r="L2727">
        <f>IF('R.M Billets Reports'!I2726="","",'R.M Billets Reports'!I2726)</f>
      </c>
      <c r="M2727">
        <f t="shared" si="84"/>
      </c>
      <c r="N2727">
        <f>IF('R.M Billets Reports'!J2726="","",'R.M Billets Reports'!J2726)</f>
      </c>
      <c r="O2727">
        <f t="shared" si="85"/>
      </c>
      <c r="P2727">
        <f>IF('R.M Billets Reports'!A2726="SIZE",'R.M Billets Reports'!B2726,P2726)</f>
      </c>
    </row>
    <row r="2728" spans="1:16" x14ac:dyDescent="0.25">
      <c r="A2728">
        <f>IF(OR('R.M Billets Reports'!A2727="Date-",'R.M Billets Reports'!A2727="Date:-"),IF(IF(IF(ISNUMBER(SEARCH("Party Name:-",'R.M Billets Reports'!D2727)),TRIM('R.M Billets Reports'!F2727),IF(ISNUMBER(SEARCH("Party Name-",'R.M Billets Reports'!D2727)),TRIM(MID('R.M Billets Reports'!D2727,SEARCH("-",'R.M Billets Reports'!D2727)+1,200)),""))&lt;&gt;"",IF(ISNUMBER(SEARCH("Party Name:-",'R.M Billets Reports'!D2727)),TRIM('R.M Billets Reports'!F2727),IF(ISNUMBER(SEARCH("Party Name-",'R.M Billets Reports'!D2727)),TRIM(MID('R.M Billets Reports'!D2727,SEARCH("-",'R.M Billets Reports'!D2727)+1,200)),"")),IF(ISNUMBER(SEARCH("Party Name:-",'R.M Billets Reports'!D2728)),TRIM('R.M Billets Reports'!F2728),IF(ISNUMBER(SEARCH("Party Name-",'R.M Billets Reports'!D2728)),TRIM(MID('R.M Billets Reports'!D2728,SEARCH("-",'R.M Billets Reports'!D2728)+1,200)),"")))="VRKP ISPAT PVT LTD","VRKP",IF(IF(IF(ISNUMBER(SEARCH("Party Name:-",'R.M Billets Reports'!D2727)),TRIM('R.M Billets Reports'!F2727),IF(ISNUMBER(SEARCH("Party Name-",'R.M Billets Reports'!D2727)),TRIM(MID('R.M Billets Reports'!D2727,SEARCH("-",'R.M Billets Reports'!D2727)+1,200)),""))&lt;&gt;"",IF(ISNUMBER(SEARCH("Party Name:-",'R.M Billets Reports'!D2727)),TRIM('R.M Billets Reports'!F2727),IF(ISNUMBER(SEARCH("Party Name-",'R.M Billets Reports'!D2727)),TRIM(MID('R.M Billets Reports'!D2727,SEARCH("-",'R.M Billets Reports'!D2727)+1,200)),"")),IF(ISNUMBER(SEARCH("Party Name:-",'R.M Billets Reports'!D2728)),TRIM('R.M Billets Reports'!F2728),IF(ISNUMBER(SEARCH("Party Name-",'R.M Billets Reports'!D2728)),TRIM(MID('R.M Billets Reports'!D2728,SEARCH("-",'R.M Billets Reports'!D2728)+1,200)),"")))="SHRI RADHE","SHREE RADHE",IF(IF(IF(ISNUMBER(SEARCH("Party Name:-",'R.M Billets Reports'!D2727)),TRIM('R.M Billets Reports'!F2727),IF(ISNUMBER(SEARCH("Party Name-",'R.M Billets Reports'!D2727)),TRIM(MID('R.M Billets Reports'!D2727,SEARCH("-",'R.M Billets Reports'!D2727)+1,200)),""))&lt;&gt;"",IF(ISNUMBER(SEARCH("Party Name:-",'R.M Billets Reports'!D2727)),TRIM('R.M Billets Reports'!F2727),IF(ISNUMBER(SEARCH("Party Name-",'R.M Billets Reports'!D2727)),TRIM(MID('R.M Billets Reports'!D2727,SEARCH("-",'R.M Billets Reports'!D2727)+1,200)),"")),IF(ISNUMBER(SEARCH("Party Name:-",'R.M Billets Reports'!D2728)),TRIM('R.M Billets Reports'!F2728),IF(ISNUMBER(SEARCH("Party Name-",'R.M Billets Reports'!D2728)),TRIM(MID('R.M Billets Reports'!D2728,SEARCH("-",'R.M Billets Reports'!D2728)+1,200)),"")))="SHREE RADHE SHAKTI SPONGE AND POWER PVT. LTD.","SHREE RADHE",IF(IF(ISNUMBER(SEARCH("Party Name:-",'R.M Billets Reports'!D2727)),TRIM('R.M Billets Reports'!F2727),IF(ISNUMBER(SEARCH("Party Name-",'R.M Billets Reports'!D2727)),TRIM(MID('R.M Billets Reports'!D2727,SEARCH("-",'R.M Billets Reports'!D2727)+1,200)),""))&lt;&gt;"",IF(ISNUMBER(SEARCH("Party Name:-",'R.M Billets Reports'!D2727)),TRIM('R.M Billets Reports'!F2727),IF(ISNUMBER(SEARCH("Party Name-",'R.M Billets Reports'!D2727)),TRIM(MID('R.M Billets Reports'!D2727,SEARCH("-",'R.M Billets Reports'!D2727)+1,200)),"")),IF(ISNUMBER(SEARCH("Party Name:-",'R.M Billets Reports'!D2728)),TRIM('R.M Billets Reports'!F2728),IF(ISNUMBER(SEARCH("Party Name-",'R.M Billets Reports'!D2728)),TRIM(MID('R.M Billets Reports'!D2728,SEARCH("-",'R.M Billets Reports'!D2728)+1,200)),"")))))),IF(ROW()=2,"",A2727))</f>
      </c>
      <c r="B2728">
        <f>IF(OR('R.M Billets Reports'!A2727="Date-",'R.M Billets Reports'!A2727="Date:-"),'R.M Billets Reports'!B2727,IF(ROW()=2,"",B2727))</f>
      </c>
      <c r="C2728">
        <f>IF('R.M Billets Reports'!A2727="V.No.",'R.M Billets Reports'!B2727,IF(ROW()=2,"",C2727))</f>
      </c>
      <c r="D2728">
        <f>IF('R.M Billets Reports'!A2727&lt;&gt;"",'R.M Billets Reports'!A2727,IF(ROW()=2,"",D2727))</f>
      </c>
      <c r="E2728">
        <f>IF('R.M Billets Reports'!B2727="","",TRIM('R.M Billets Reports'!B2727))</f>
      </c>
      <c r="F2728">
        <f>'R.M Billets Reports'!C2727</f>
      </c>
      <c r="G2728">
        <f>'R.M Billets Reports'!D2727</f>
      </c>
      <c r="H2728">
        <f>'R.M Billets Reports'!E2727</f>
      </c>
      <c r="I2728">
        <f>'R.M Billets Reports'!F2727</f>
      </c>
      <c r="J2728">
        <f>'R.M Billets Reports'!G2727</f>
      </c>
      <c r="K2728">
        <f>'R.M Billets Reports'!H2727</f>
      </c>
      <c r="L2728">
        <f>IF('R.M Billets Reports'!I2727="","",'R.M Billets Reports'!I2727)</f>
      </c>
      <c r="M2728">
        <f t="shared" si="84"/>
      </c>
      <c r="N2728">
        <f>IF('R.M Billets Reports'!J2727="","",'R.M Billets Reports'!J2727)</f>
      </c>
      <c r="O2728">
        <f t="shared" si="85"/>
      </c>
      <c r="P2728">
        <f>IF('R.M Billets Reports'!A2727="SIZE",'R.M Billets Reports'!B2727,P2727)</f>
      </c>
    </row>
    <row r="2729" spans="1:16" x14ac:dyDescent="0.25">
      <c r="A2729">
        <f>IF(OR('R.M Billets Reports'!A2728="Date-",'R.M Billets Reports'!A2728="Date:-"),IF(IF(IF(ISNUMBER(SEARCH("Party Name:-",'R.M Billets Reports'!D2728)),TRIM('R.M Billets Reports'!F2728),IF(ISNUMBER(SEARCH("Party Name-",'R.M Billets Reports'!D2728)),TRIM(MID('R.M Billets Reports'!D2728,SEARCH("-",'R.M Billets Reports'!D2728)+1,200)),""))&lt;&gt;"",IF(ISNUMBER(SEARCH("Party Name:-",'R.M Billets Reports'!D2728)),TRIM('R.M Billets Reports'!F2728),IF(ISNUMBER(SEARCH("Party Name-",'R.M Billets Reports'!D2728)),TRIM(MID('R.M Billets Reports'!D2728,SEARCH("-",'R.M Billets Reports'!D2728)+1,200)),"")),IF(ISNUMBER(SEARCH("Party Name:-",'R.M Billets Reports'!D2729)),TRIM('R.M Billets Reports'!F2729),IF(ISNUMBER(SEARCH("Party Name-",'R.M Billets Reports'!D2729)),TRIM(MID('R.M Billets Reports'!D2729,SEARCH("-",'R.M Billets Reports'!D2729)+1,200)),"")))="VRKP ISPAT PVT LTD","VRKP",IF(IF(IF(ISNUMBER(SEARCH("Party Name:-",'R.M Billets Reports'!D2728)),TRIM('R.M Billets Reports'!F2728),IF(ISNUMBER(SEARCH("Party Name-",'R.M Billets Reports'!D2728)),TRIM(MID('R.M Billets Reports'!D2728,SEARCH("-",'R.M Billets Reports'!D2728)+1,200)),""))&lt;&gt;"",IF(ISNUMBER(SEARCH("Party Name:-",'R.M Billets Reports'!D2728)),TRIM('R.M Billets Reports'!F2728),IF(ISNUMBER(SEARCH("Party Name-",'R.M Billets Reports'!D2728)),TRIM(MID('R.M Billets Reports'!D2728,SEARCH("-",'R.M Billets Reports'!D2728)+1,200)),"")),IF(ISNUMBER(SEARCH("Party Name:-",'R.M Billets Reports'!D2729)),TRIM('R.M Billets Reports'!F2729),IF(ISNUMBER(SEARCH("Party Name-",'R.M Billets Reports'!D2729)),TRIM(MID('R.M Billets Reports'!D2729,SEARCH("-",'R.M Billets Reports'!D2729)+1,200)),"")))="SHRI RADHE","SHREE RADHE",IF(IF(IF(ISNUMBER(SEARCH("Party Name:-",'R.M Billets Reports'!D2728)),TRIM('R.M Billets Reports'!F2728),IF(ISNUMBER(SEARCH("Party Name-",'R.M Billets Reports'!D2728)),TRIM(MID('R.M Billets Reports'!D2728,SEARCH("-",'R.M Billets Reports'!D2728)+1,200)),""))&lt;&gt;"",IF(ISNUMBER(SEARCH("Party Name:-",'R.M Billets Reports'!D2728)),TRIM('R.M Billets Reports'!F2728),IF(ISNUMBER(SEARCH("Party Name-",'R.M Billets Reports'!D2728)),TRIM(MID('R.M Billets Reports'!D2728,SEARCH("-",'R.M Billets Reports'!D2728)+1,200)),"")),IF(ISNUMBER(SEARCH("Party Name:-",'R.M Billets Reports'!D2729)),TRIM('R.M Billets Reports'!F2729),IF(ISNUMBER(SEARCH("Party Name-",'R.M Billets Reports'!D2729)),TRIM(MID('R.M Billets Reports'!D2729,SEARCH("-",'R.M Billets Reports'!D2729)+1,200)),"")))="SHREE RADHE SHAKTI SPONGE AND POWER PVT. LTD.","SHREE RADHE",IF(IF(ISNUMBER(SEARCH("Party Name:-",'R.M Billets Reports'!D2728)),TRIM('R.M Billets Reports'!F2728),IF(ISNUMBER(SEARCH("Party Name-",'R.M Billets Reports'!D2728)),TRIM(MID('R.M Billets Reports'!D2728,SEARCH("-",'R.M Billets Reports'!D2728)+1,200)),""))&lt;&gt;"",IF(ISNUMBER(SEARCH("Party Name:-",'R.M Billets Reports'!D2728)),TRIM('R.M Billets Reports'!F2728),IF(ISNUMBER(SEARCH("Party Name-",'R.M Billets Reports'!D2728)),TRIM(MID('R.M Billets Reports'!D2728,SEARCH("-",'R.M Billets Reports'!D2728)+1,200)),"")),IF(ISNUMBER(SEARCH("Party Name:-",'R.M Billets Reports'!D2729)),TRIM('R.M Billets Reports'!F2729),IF(ISNUMBER(SEARCH("Party Name-",'R.M Billets Reports'!D2729)),TRIM(MID('R.M Billets Reports'!D2729,SEARCH("-",'R.M Billets Reports'!D2729)+1,200)),"")))))),IF(ROW()=2,"",A2728))</f>
      </c>
      <c r="B2729">
        <f>IF(OR('R.M Billets Reports'!A2728="Date-",'R.M Billets Reports'!A2728="Date:-"),'R.M Billets Reports'!B2728,IF(ROW()=2,"",B2728))</f>
      </c>
      <c r="C2729">
        <f>IF('R.M Billets Reports'!A2728="V.No.",'R.M Billets Reports'!B2728,IF(ROW()=2,"",C2728))</f>
      </c>
      <c r="D2729">
        <f>IF('R.M Billets Reports'!A2728&lt;&gt;"",'R.M Billets Reports'!A2728,IF(ROW()=2,"",D2728))</f>
      </c>
      <c r="E2729">
        <f>IF('R.M Billets Reports'!B2728="","",TRIM('R.M Billets Reports'!B2728))</f>
      </c>
      <c r="F2729">
        <f>'R.M Billets Reports'!C2728</f>
      </c>
      <c r="G2729">
        <f>'R.M Billets Reports'!D2728</f>
      </c>
      <c r="H2729">
        <f>'R.M Billets Reports'!E2728</f>
      </c>
      <c r="I2729">
        <f>'R.M Billets Reports'!F2728</f>
      </c>
      <c r="J2729">
        <f>'R.M Billets Reports'!G2728</f>
      </c>
      <c r="K2729">
        <f>'R.M Billets Reports'!H2728</f>
      </c>
      <c r="L2729">
        <f>IF('R.M Billets Reports'!I2728="","",'R.M Billets Reports'!I2728)</f>
      </c>
      <c r="M2729">
        <f t="shared" si="84"/>
      </c>
      <c r="N2729">
        <f>IF('R.M Billets Reports'!J2728="","",'R.M Billets Reports'!J2728)</f>
      </c>
      <c r="O2729">
        <f t="shared" si="85"/>
      </c>
      <c r="P2729">
        <f>IF('R.M Billets Reports'!A2728="SIZE",'R.M Billets Reports'!B2728,P2728)</f>
      </c>
    </row>
    <row r="2730" spans="1:16" x14ac:dyDescent="0.25">
      <c r="A2730">
        <f>IF(OR('R.M Billets Reports'!A2729="Date-",'R.M Billets Reports'!A2729="Date:-"),IF(IF(IF(ISNUMBER(SEARCH("Party Name:-",'R.M Billets Reports'!D2729)),TRIM('R.M Billets Reports'!F2729),IF(ISNUMBER(SEARCH("Party Name-",'R.M Billets Reports'!D2729)),TRIM(MID('R.M Billets Reports'!D2729,SEARCH("-",'R.M Billets Reports'!D2729)+1,200)),""))&lt;&gt;"",IF(ISNUMBER(SEARCH("Party Name:-",'R.M Billets Reports'!D2729)),TRIM('R.M Billets Reports'!F2729),IF(ISNUMBER(SEARCH("Party Name-",'R.M Billets Reports'!D2729)),TRIM(MID('R.M Billets Reports'!D2729,SEARCH("-",'R.M Billets Reports'!D2729)+1,200)),"")),IF(ISNUMBER(SEARCH("Party Name:-",'R.M Billets Reports'!D2730)),TRIM('R.M Billets Reports'!F2730),IF(ISNUMBER(SEARCH("Party Name-",'R.M Billets Reports'!D2730)),TRIM(MID('R.M Billets Reports'!D2730,SEARCH("-",'R.M Billets Reports'!D2730)+1,200)),"")))="VRKP ISPAT PVT LTD","VRKP",IF(IF(IF(ISNUMBER(SEARCH("Party Name:-",'R.M Billets Reports'!D2729)),TRIM('R.M Billets Reports'!F2729),IF(ISNUMBER(SEARCH("Party Name-",'R.M Billets Reports'!D2729)),TRIM(MID('R.M Billets Reports'!D2729,SEARCH("-",'R.M Billets Reports'!D2729)+1,200)),""))&lt;&gt;"",IF(ISNUMBER(SEARCH("Party Name:-",'R.M Billets Reports'!D2729)),TRIM('R.M Billets Reports'!F2729),IF(ISNUMBER(SEARCH("Party Name-",'R.M Billets Reports'!D2729)),TRIM(MID('R.M Billets Reports'!D2729,SEARCH("-",'R.M Billets Reports'!D2729)+1,200)),"")),IF(ISNUMBER(SEARCH("Party Name:-",'R.M Billets Reports'!D2730)),TRIM('R.M Billets Reports'!F2730),IF(ISNUMBER(SEARCH("Party Name-",'R.M Billets Reports'!D2730)),TRIM(MID('R.M Billets Reports'!D2730,SEARCH("-",'R.M Billets Reports'!D2730)+1,200)),"")))="SHRI RADHE","SHREE RADHE",IF(IF(IF(ISNUMBER(SEARCH("Party Name:-",'R.M Billets Reports'!D2729)),TRIM('R.M Billets Reports'!F2729),IF(ISNUMBER(SEARCH("Party Name-",'R.M Billets Reports'!D2729)),TRIM(MID('R.M Billets Reports'!D2729,SEARCH("-",'R.M Billets Reports'!D2729)+1,200)),""))&lt;&gt;"",IF(ISNUMBER(SEARCH("Party Name:-",'R.M Billets Reports'!D2729)),TRIM('R.M Billets Reports'!F2729),IF(ISNUMBER(SEARCH("Party Name-",'R.M Billets Reports'!D2729)),TRIM(MID('R.M Billets Reports'!D2729,SEARCH("-",'R.M Billets Reports'!D2729)+1,200)),"")),IF(ISNUMBER(SEARCH("Party Name:-",'R.M Billets Reports'!D2730)),TRIM('R.M Billets Reports'!F2730),IF(ISNUMBER(SEARCH("Party Name-",'R.M Billets Reports'!D2730)),TRIM(MID('R.M Billets Reports'!D2730,SEARCH("-",'R.M Billets Reports'!D2730)+1,200)),"")))="SHREE RADHE SHAKTI SPONGE AND POWER PVT. LTD.","SHREE RADHE",IF(IF(ISNUMBER(SEARCH("Party Name:-",'R.M Billets Reports'!D2729)),TRIM('R.M Billets Reports'!F2729),IF(ISNUMBER(SEARCH("Party Name-",'R.M Billets Reports'!D2729)),TRIM(MID('R.M Billets Reports'!D2729,SEARCH("-",'R.M Billets Reports'!D2729)+1,200)),""))&lt;&gt;"",IF(ISNUMBER(SEARCH("Party Name:-",'R.M Billets Reports'!D2729)),TRIM('R.M Billets Reports'!F2729),IF(ISNUMBER(SEARCH("Party Name-",'R.M Billets Reports'!D2729)),TRIM(MID('R.M Billets Reports'!D2729,SEARCH("-",'R.M Billets Reports'!D2729)+1,200)),"")),IF(ISNUMBER(SEARCH("Party Name:-",'R.M Billets Reports'!D2730)),TRIM('R.M Billets Reports'!F2730),IF(ISNUMBER(SEARCH("Party Name-",'R.M Billets Reports'!D2730)),TRIM(MID('R.M Billets Reports'!D2730,SEARCH("-",'R.M Billets Reports'!D2730)+1,200)),"")))))),IF(ROW()=2,"",A2729))</f>
      </c>
      <c r="B2730">
        <f>IF(OR('R.M Billets Reports'!A2729="Date-",'R.M Billets Reports'!A2729="Date:-"),'R.M Billets Reports'!B2729,IF(ROW()=2,"",B2729))</f>
      </c>
      <c r="C2730">
        <f>IF('R.M Billets Reports'!A2729="V.No.",'R.M Billets Reports'!B2729,IF(ROW()=2,"",C2729))</f>
      </c>
      <c r="D2730">
        <f>IF('R.M Billets Reports'!A2729&lt;&gt;"",'R.M Billets Reports'!A2729,IF(ROW()=2,"",D2729))</f>
      </c>
      <c r="E2730">
        <f>IF('R.M Billets Reports'!B2729="","",TRIM('R.M Billets Reports'!B2729))</f>
      </c>
      <c r="F2730">
        <f>'R.M Billets Reports'!C2729</f>
      </c>
      <c r="G2730">
        <f>'R.M Billets Reports'!D2729</f>
      </c>
      <c r="H2730">
        <f>'R.M Billets Reports'!E2729</f>
      </c>
      <c r="I2730">
        <f>'R.M Billets Reports'!F2729</f>
      </c>
      <c r="J2730">
        <f>'R.M Billets Reports'!G2729</f>
      </c>
      <c r="K2730">
        <f>'R.M Billets Reports'!H2729</f>
      </c>
      <c r="L2730">
        <f>IF('R.M Billets Reports'!I2729="","",'R.M Billets Reports'!I2729)</f>
      </c>
      <c r="M2730">
        <f t="shared" si="84"/>
      </c>
      <c r="N2730">
        <f>IF('R.M Billets Reports'!J2729="","",'R.M Billets Reports'!J2729)</f>
      </c>
      <c r="O2730">
        <f t="shared" si="85"/>
      </c>
      <c r="P2730">
        <f>IF('R.M Billets Reports'!A2729="SIZE",'R.M Billets Reports'!B2729,P2729)</f>
      </c>
    </row>
    <row r="2731" spans="1:16" x14ac:dyDescent="0.25">
      <c r="A2731">
        <f>IF(OR('R.M Billets Reports'!A2730="Date-",'R.M Billets Reports'!A2730="Date:-"),IF(IF(IF(ISNUMBER(SEARCH("Party Name:-",'R.M Billets Reports'!D2730)),TRIM('R.M Billets Reports'!F2730),IF(ISNUMBER(SEARCH("Party Name-",'R.M Billets Reports'!D2730)),TRIM(MID('R.M Billets Reports'!D2730,SEARCH("-",'R.M Billets Reports'!D2730)+1,200)),""))&lt;&gt;"",IF(ISNUMBER(SEARCH("Party Name:-",'R.M Billets Reports'!D2730)),TRIM('R.M Billets Reports'!F2730),IF(ISNUMBER(SEARCH("Party Name-",'R.M Billets Reports'!D2730)),TRIM(MID('R.M Billets Reports'!D2730,SEARCH("-",'R.M Billets Reports'!D2730)+1,200)),"")),IF(ISNUMBER(SEARCH("Party Name:-",'R.M Billets Reports'!D2731)),TRIM('R.M Billets Reports'!F2731),IF(ISNUMBER(SEARCH("Party Name-",'R.M Billets Reports'!D2731)),TRIM(MID('R.M Billets Reports'!D2731,SEARCH("-",'R.M Billets Reports'!D2731)+1,200)),"")))="VRKP ISPAT PVT LTD","VRKP",IF(IF(IF(ISNUMBER(SEARCH("Party Name:-",'R.M Billets Reports'!D2730)),TRIM('R.M Billets Reports'!F2730),IF(ISNUMBER(SEARCH("Party Name-",'R.M Billets Reports'!D2730)),TRIM(MID('R.M Billets Reports'!D2730,SEARCH("-",'R.M Billets Reports'!D2730)+1,200)),""))&lt;&gt;"",IF(ISNUMBER(SEARCH("Party Name:-",'R.M Billets Reports'!D2730)),TRIM('R.M Billets Reports'!F2730),IF(ISNUMBER(SEARCH("Party Name-",'R.M Billets Reports'!D2730)),TRIM(MID('R.M Billets Reports'!D2730,SEARCH("-",'R.M Billets Reports'!D2730)+1,200)),"")),IF(ISNUMBER(SEARCH("Party Name:-",'R.M Billets Reports'!D2731)),TRIM('R.M Billets Reports'!F2731),IF(ISNUMBER(SEARCH("Party Name-",'R.M Billets Reports'!D2731)),TRIM(MID('R.M Billets Reports'!D2731,SEARCH("-",'R.M Billets Reports'!D2731)+1,200)),"")))="SHRI RADHE","SHREE RADHE",IF(IF(IF(ISNUMBER(SEARCH("Party Name:-",'R.M Billets Reports'!D2730)),TRIM('R.M Billets Reports'!F2730),IF(ISNUMBER(SEARCH("Party Name-",'R.M Billets Reports'!D2730)),TRIM(MID('R.M Billets Reports'!D2730,SEARCH("-",'R.M Billets Reports'!D2730)+1,200)),""))&lt;&gt;"",IF(ISNUMBER(SEARCH("Party Name:-",'R.M Billets Reports'!D2730)),TRIM('R.M Billets Reports'!F2730),IF(ISNUMBER(SEARCH("Party Name-",'R.M Billets Reports'!D2730)),TRIM(MID('R.M Billets Reports'!D2730,SEARCH("-",'R.M Billets Reports'!D2730)+1,200)),"")),IF(ISNUMBER(SEARCH("Party Name:-",'R.M Billets Reports'!D2731)),TRIM('R.M Billets Reports'!F2731),IF(ISNUMBER(SEARCH("Party Name-",'R.M Billets Reports'!D2731)),TRIM(MID('R.M Billets Reports'!D2731,SEARCH("-",'R.M Billets Reports'!D2731)+1,200)),"")))="SHREE RADHE SHAKTI SPONGE AND POWER PVT. LTD.","SHREE RADHE",IF(IF(ISNUMBER(SEARCH("Party Name:-",'R.M Billets Reports'!D2730)),TRIM('R.M Billets Reports'!F2730),IF(ISNUMBER(SEARCH("Party Name-",'R.M Billets Reports'!D2730)),TRIM(MID('R.M Billets Reports'!D2730,SEARCH("-",'R.M Billets Reports'!D2730)+1,200)),""))&lt;&gt;"",IF(ISNUMBER(SEARCH("Party Name:-",'R.M Billets Reports'!D2730)),TRIM('R.M Billets Reports'!F2730),IF(ISNUMBER(SEARCH("Party Name-",'R.M Billets Reports'!D2730)),TRIM(MID('R.M Billets Reports'!D2730,SEARCH("-",'R.M Billets Reports'!D2730)+1,200)),"")),IF(ISNUMBER(SEARCH("Party Name:-",'R.M Billets Reports'!D2731)),TRIM('R.M Billets Reports'!F2731),IF(ISNUMBER(SEARCH("Party Name-",'R.M Billets Reports'!D2731)),TRIM(MID('R.M Billets Reports'!D2731,SEARCH("-",'R.M Billets Reports'!D2731)+1,200)),"")))))),IF(ROW()=2,"",A2730))</f>
      </c>
      <c r="B2731">
        <f>IF(OR('R.M Billets Reports'!A2730="Date-",'R.M Billets Reports'!A2730="Date:-"),'R.M Billets Reports'!B2730,IF(ROW()=2,"",B2730))</f>
      </c>
      <c r="C2731">
        <f>IF('R.M Billets Reports'!A2730="V.No.",'R.M Billets Reports'!B2730,IF(ROW()=2,"",C2730))</f>
      </c>
      <c r="D2731">
        <f>IF('R.M Billets Reports'!A2730&lt;&gt;"",'R.M Billets Reports'!A2730,IF(ROW()=2,"",D2730))</f>
      </c>
      <c r="E2731">
        <f>IF('R.M Billets Reports'!B2730="","",TRIM('R.M Billets Reports'!B2730))</f>
      </c>
      <c r="F2731">
        <f>'R.M Billets Reports'!C2730</f>
      </c>
      <c r="G2731">
        <f>'R.M Billets Reports'!D2730</f>
      </c>
      <c r="H2731">
        <f>'R.M Billets Reports'!E2730</f>
      </c>
      <c r="I2731">
        <f>'R.M Billets Reports'!F2730</f>
      </c>
      <c r="J2731">
        <f>'R.M Billets Reports'!G2730</f>
      </c>
      <c r="K2731">
        <f>'R.M Billets Reports'!H2730</f>
      </c>
      <c r="L2731">
        <f>IF('R.M Billets Reports'!I2730="","",'R.M Billets Reports'!I2730)</f>
      </c>
      <c r="M2731">
        <f t="shared" si="84"/>
      </c>
      <c r="N2731">
        <f>IF('R.M Billets Reports'!J2730="","",'R.M Billets Reports'!J2730)</f>
      </c>
      <c r="O2731">
        <f t="shared" si="85"/>
      </c>
      <c r="P2731">
        <f>IF('R.M Billets Reports'!A2730="SIZE",'R.M Billets Reports'!B2730,P2730)</f>
      </c>
    </row>
    <row r="2732" spans="1:16" x14ac:dyDescent="0.25">
      <c r="A2732">
        <f>IF(OR('R.M Billets Reports'!A2731="Date-",'R.M Billets Reports'!A2731="Date:-"),IF(IF(IF(ISNUMBER(SEARCH("Party Name:-",'R.M Billets Reports'!D2731)),TRIM('R.M Billets Reports'!F2731),IF(ISNUMBER(SEARCH("Party Name-",'R.M Billets Reports'!D2731)),TRIM(MID('R.M Billets Reports'!D2731,SEARCH("-",'R.M Billets Reports'!D2731)+1,200)),""))&lt;&gt;"",IF(ISNUMBER(SEARCH("Party Name:-",'R.M Billets Reports'!D2731)),TRIM('R.M Billets Reports'!F2731),IF(ISNUMBER(SEARCH("Party Name-",'R.M Billets Reports'!D2731)),TRIM(MID('R.M Billets Reports'!D2731,SEARCH("-",'R.M Billets Reports'!D2731)+1,200)),"")),IF(ISNUMBER(SEARCH("Party Name:-",'R.M Billets Reports'!D2732)),TRIM('R.M Billets Reports'!F2732),IF(ISNUMBER(SEARCH("Party Name-",'R.M Billets Reports'!D2732)),TRIM(MID('R.M Billets Reports'!D2732,SEARCH("-",'R.M Billets Reports'!D2732)+1,200)),"")))="VRKP ISPAT PVT LTD","VRKP",IF(IF(IF(ISNUMBER(SEARCH("Party Name:-",'R.M Billets Reports'!D2731)),TRIM('R.M Billets Reports'!F2731),IF(ISNUMBER(SEARCH("Party Name-",'R.M Billets Reports'!D2731)),TRIM(MID('R.M Billets Reports'!D2731,SEARCH("-",'R.M Billets Reports'!D2731)+1,200)),""))&lt;&gt;"",IF(ISNUMBER(SEARCH("Party Name:-",'R.M Billets Reports'!D2731)),TRIM('R.M Billets Reports'!F2731),IF(ISNUMBER(SEARCH("Party Name-",'R.M Billets Reports'!D2731)),TRIM(MID('R.M Billets Reports'!D2731,SEARCH("-",'R.M Billets Reports'!D2731)+1,200)),"")),IF(ISNUMBER(SEARCH("Party Name:-",'R.M Billets Reports'!D2732)),TRIM('R.M Billets Reports'!F2732),IF(ISNUMBER(SEARCH("Party Name-",'R.M Billets Reports'!D2732)),TRIM(MID('R.M Billets Reports'!D2732,SEARCH("-",'R.M Billets Reports'!D2732)+1,200)),"")))="SHRI RADHE","SHREE RADHE",IF(IF(IF(ISNUMBER(SEARCH("Party Name:-",'R.M Billets Reports'!D2731)),TRIM('R.M Billets Reports'!F2731),IF(ISNUMBER(SEARCH("Party Name-",'R.M Billets Reports'!D2731)),TRIM(MID('R.M Billets Reports'!D2731,SEARCH("-",'R.M Billets Reports'!D2731)+1,200)),""))&lt;&gt;"",IF(ISNUMBER(SEARCH("Party Name:-",'R.M Billets Reports'!D2731)),TRIM('R.M Billets Reports'!F2731),IF(ISNUMBER(SEARCH("Party Name-",'R.M Billets Reports'!D2731)),TRIM(MID('R.M Billets Reports'!D2731,SEARCH("-",'R.M Billets Reports'!D2731)+1,200)),"")),IF(ISNUMBER(SEARCH("Party Name:-",'R.M Billets Reports'!D2732)),TRIM('R.M Billets Reports'!F2732),IF(ISNUMBER(SEARCH("Party Name-",'R.M Billets Reports'!D2732)),TRIM(MID('R.M Billets Reports'!D2732,SEARCH("-",'R.M Billets Reports'!D2732)+1,200)),"")))="SHREE RADHE SHAKTI SPONGE AND POWER PVT. LTD.","SHREE RADHE",IF(IF(ISNUMBER(SEARCH("Party Name:-",'R.M Billets Reports'!D2731)),TRIM('R.M Billets Reports'!F2731),IF(ISNUMBER(SEARCH("Party Name-",'R.M Billets Reports'!D2731)),TRIM(MID('R.M Billets Reports'!D2731,SEARCH("-",'R.M Billets Reports'!D2731)+1,200)),""))&lt;&gt;"",IF(ISNUMBER(SEARCH("Party Name:-",'R.M Billets Reports'!D2731)),TRIM('R.M Billets Reports'!F2731),IF(ISNUMBER(SEARCH("Party Name-",'R.M Billets Reports'!D2731)),TRIM(MID('R.M Billets Reports'!D2731,SEARCH("-",'R.M Billets Reports'!D2731)+1,200)),"")),IF(ISNUMBER(SEARCH("Party Name:-",'R.M Billets Reports'!D2732)),TRIM('R.M Billets Reports'!F2732),IF(ISNUMBER(SEARCH("Party Name-",'R.M Billets Reports'!D2732)),TRIM(MID('R.M Billets Reports'!D2732,SEARCH("-",'R.M Billets Reports'!D2732)+1,200)),"")))))),IF(ROW()=2,"",A2731))</f>
      </c>
      <c r="B2732">
        <f>IF(OR('R.M Billets Reports'!A2731="Date-",'R.M Billets Reports'!A2731="Date:-"),'R.M Billets Reports'!B2731,IF(ROW()=2,"",B2731))</f>
      </c>
      <c r="C2732">
        <f>IF('R.M Billets Reports'!A2731="V.No.",'R.M Billets Reports'!B2731,IF(ROW()=2,"",C2731))</f>
      </c>
      <c r="D2732">
        <f>IF('R.M Billets Reports'!A2731&lt;&gt;"",'R.M Billets Reports'!A2731,IF(ROW()=2,"",D2731))</f>
      </c>
      <c r="E2732">
        <f>IF('R.M Billets Reports'!B2731="","",TRIM('R.M Billets Reports'!B2731))</f>
      </c>
      <c r="F2732">
        <f>'R.M Billets Reports'!C2731</f>
      </c>
      <c r="G2732">
        <f>'R.M Billets Reports'!D2731</f>
      </c>
      <c r="H2732">
        <f>'R.M Billets Reports'!E2731</f>
      </c>
      <c r="I2732">
        <f>'R.M Billets Reports'!F2731</f>
      </c>
      <c r="J2732">
        <f>'R.M Billets Reports'!G2731</f>
      </c>
      <c r="K2732">
        <f>'R.M Billets Reports'!H2731</f>
      </c>
      <c r="L2732">
        <f>IF('R.M Billets Reports'!I2731="","",'R.M Billets Reports'!I2731)</f>
      </c>
      <c r="M2732">
        <f t="shared" si="84"/>
      </c>
      <c r="N2732">
        <f>IF('R.M Billets Reports'!J2731="","",'R.M Billets Reports'!J2731)</f>
      </c>
      <c r="O2732">
        <f t="shared" si="85"/>
      </c>
      <c r="P2732">
        <f>IF('R.M Billets Reports'!A2731="SIZE",'R.M Billets Reports'!B2731,P2731)</f>
      </c>
    </row>
    <row r="2733" spans="1:16" x14ac:dyDescent="0.25">
      <c r="A2733">
        <f>IF(OR('R.M Billets Reports'!A2732="Date-",'R.M Billets Reports'!A2732="Date:-"),IF(IF(IF(ISNUMBER(SEARCH("Party Name:-",'R.M Billets Reports'!D2732)),TRIM('R.M Billets Reports'!F2732),IF(ISNUMBER(SEARCH("Party Name-",'R.M Billets Reports'!D2732)),TRIM(MID('R.M Billets Reports'!D2732,SEARCH("-",'R.M Billets Reports'!D2732)+1,200)),""))&lt;&gt;"",IF(ISNUMBER(SEARCH("Party Name:-",'R.M Billets Reports'!D2732)),TRIM('R.M Billets Reports'!F2732),IF(ISNUMBER(SEARCH("Party Name-",'R.M Billets Reports'!D2732)),TRIM(MID('R.M Billets Reports'!D2732,SEARCH("-",'R.M Billets Reports'!D2732)+1,200)),"")),IF(ISNUMBER(SEARCH("Party Name:-",'R.M Billets Reports'!D2733)),TRIM('R.M Billets Reports'!F2733),IF(ISNUMBER(SEARCH("Party Name-",'R.M Billets Reports'!D2733)),TRIM(MID('R.M Billets Reports'!D2733,SEARCH("-",'R.M Billets Reports'!D2733)+1,200)),"")))="VRKP ISPAT PVT LTD","VRKP",IF(IF(IF(ISNUMBER(SEARCH("Party Name:-",'R.M Billets Reports'!D2732)),TRIM('R.M Billets Reports'!F2732),IF(ISNUMBER(SEARCH("Party Name-",'R.M Billets Reports'!D2732)),TRIM(MID('R.M Billets Reports'!D2732,SEARCH("-",'R.M Billets Reports'!D2732)+1,200)),""))&lt;&gt;"",IF(ISNUMBER(SEARCH("Party Name:-",'R.M Billets Reports'!D2732)),TRIM('R.M Billets Reports'!F2732),IF(ISNUMBER(SEARCH("Party Name-",'R.M Billets Reports'!D2732)),TRIM(MID('R.M Billets Reports'!D2732,SEARCH("-",'R.M Billets Reports'!D2732)+1,200)),"")),IF(ISNUMBER(SEARCH("Party Name:-",'R.M Billets Reports'!D2733)),TRIM('R.M Billets Reports'!F2733),IF(ISNUMBER(SEARCH("Party Name-",'R.M Billets Reports'!D2733)),TRIM(MID('R.M Billets Reports'!D2733,SEARCH("-",'R.M Billets Reports'!D2733)+1,200)),"")))="SHRI RADHE","SHREE RADHE",IF(IF(IF(ISNUMBER(SEARCH("Party Name:-",'R.M Billets Reports'!D2732)),TRIM('R.M Billets Reports'!F2732),IF(ISNUMBER(SEARCH("Party Name-",'R.M Billets Reports'!D2732)),TRIM(MID('R.M Billets Reports'!D2732,SEARCH("-",'R.M Billets Reports'!D2732)+1,200)),""))&lt;&gt;"",IF(ISNUMBER(SEARCH("Party Name:-",'R.M Billets Reports'!D2732)),TRIM('R.M Billets Reports'!F2732),IF(ISNUMBER(SEARCH("Party Name-",'R.M Billets Reports'!D2732)),TRIM(MID('R.M Billets Reports'!D2732,SEARCH("-",'R.M Billets Reports'!D2732)+1,200)),"")),IF(ISNUMBER(SEARCH("Party Name:-",'R.M Billets Reports'!D2733)),TRIM('R.M Billets Reports'!F2733),IF(ISNUMBER(SEARCH("Party Name-",'R.M Billets Reports'!D2733)),TRIM(MID('R.M Billets Reports'!D2733,SEARCH("-",'R.M Billets Reports'!D2733)+1,200)),"")))="SHREE RADHE SHAKTI SPONGE AND POWER PVT. LTD.","SHREE RADHE",IF(IF(ISNUMBER(SEARCH("Party Name:-",'R.M Billets Reports'!D2732)),TRIM('R.M Billets Reports'!F2732),IF(ISNUMBER(SEARCH("Party Name-",'R.M Billets Reports'!D2732)),TRIM(MID('R.M Billets Reports'!D2732,SEARCH("-",'R.M Billets Reports'!D2732)+1,200)),""))&lt;&gt;"",IF(ISNUMBER(SEARCH("Party Name:-",'R.M Billets Reports'!D2732)),TRIM('R.M Billets Reports'!F2732),IF(ISNUMBER(SEARCH("Party Name-",'R.M Billets Reports'!D2732)),TRIM(MID('R.M Billets Reports'!D2732,SEARCH("-",'R.M Billets Reports'!D2732)+1,200)),"")),IF(ISNUMBER(SEARCH("Party Name:-",'R.M Billets Reports'!D2733)),TRIM('R.M Billets Reports'!F2733),IF(ISNUMBER(SEARCH("Party Name-",'R.M Billets Reports'!D2733)),TRIM(MID('R.M Billets Reports'!D2733,SEARCH("-",'R.M Billets Reports'!D2733)+1,200)),"")))))),IF(ROW()=2,"",A2732))</f>
      </c>
      <c r="B2733">
        <f>IF(OR('R.M Billets Reports'!A2732="Date-",'R.M Billets Reports'!A2732="Date:-"),'R.M Billets Reports'!B2732,IF(ROW()=2,"",B2732))</f>
      </c>
      <c r="C2733">
        <f>IF('R.M Billets Reports'!A2732="V.No.",'R.M Billets Reports'!B2732,IF(ROW()=2,"",C2732))</f>
      </c>
      <c r="D2733">
        <f>IF('R.M Billets Reports'!A2732&lt;&gt;"",'R.M Billets Reports'!A2732,IF(ROW()=2,"",D2732))</f>
      </c>
      <c r="E2733">
        <f>IF('R.M Billets Reports'!B2732="","",TRIM('R.M Billets Reports'!B2732))</f>
      </c>
      <c r="F2733">
        <f>'R.M Billets Reports'!C2732</f>
      </c>
      <c r="G2733">
        <f>'R.M Billets Reports'!D2732</f>
      </c>
      <c r="H2733">
        <f>'R.M Billets Reports'!E2732</f>
      </c>
      <c r="I2733">
        <f>'R.M Billets Reports'!F2732</f>
      </c>
      <c r="J2733">
        <f>'R.M Billets Reports'!G2732</f>
      </c>
      <c r="K2733">
        <f>'R.M Billets Reports'!H2732</f>
      </c>
      <c r="L2733">
        <f>IF('R.M Billets Reports'!I2732="","",'R.M Billets Reports'!I2732)</f>
      </c>
      <c r="M2733">
        <f t="shared" si="84"/>
      </c>
      <c r="N2733">
        <f>IF('R.M Billets Reports'!J2732="","",'R.M Billets Reports'!J2732)</f>
      </c>
      <c r="O2733">
        <f t="shared" si="85"/>
      </c>
      <c r="P2733">
        <f>IF('R.M Billets Reports'!A2732="SIZE",'R.M Billets Reports'!B2732,P2732)</f>
      </c>
    </row>
    <row r="2734" spans="1:16" x14ac:dyDescent="0.25">
      <c r="A2734">
        <f>IF(OR('R.M Billets Reports'!A2733="Date-",'R.M Billets Reports'!A2733="Date:-"),IF(IF(IF(ISNUMBER(SEARCH("Party Name:-",'R.M Billets Reports'!D2733)),TRIM('R.M Billets Reports'!F2733),IF(ISNUMBER(SEARCH("Party Name-",'R.M Billets Reports'!D2733)),TRIM(MID('R.M Billets Reports'!D2733,SEARCH("-",'R.M Billets Reports'!D2733)+1,200)),""))&lt;&gt;"",IF(ISNUMBER(SEARCH("Party Name:-",'R.M Billets Reports'!D2733)),TRIM('R.M Billets Reports'!F2733),IF(ISNUMBER(SEARCH("Party Name-",'R.M Billets Reports'!D2733)),TRIM(MID('R.M Billets Reports'!D2733,SEARCH("-",'R.M Billets Reports'!D2733)+1,200)),"")),IF(ISNUMBER(SEARCH("Party Name:-",'R.M Billets Reports'!D2734)),TRIM('R.M Billets Reports'!F2734),IF(ISNUMBER(SEARCH("Party Name-",'R.M Billets Reports'!D2734)),TRIM(MID('R.M Billets Reports'!D2734,SEARCH("-",'R.M Billets Reports'!D2734)+1,200)),"")))="VRKP ISPAT PVT LTD","VRKP",IF(IF(IF(ISNUMBER(SEARCH("Party Name:-",'R.M Billets Reports'!D2733)),TRIM('R.M Billets Reports'!F2733),IF(ISNUMBER(SEARCH("Party Name-",'R.M Billets Reports'!D2733)),TRIM(MID('R.M Billets Reports'!D2733,SEARCH("-",'R.M Billets Reports'!D2733)+1,200)),""))&lt;&gt;"",IF(ISNUMBER(SEARCH("Party Name:-",'R.M Billets Reports'!D2733)),TRIM('R.M Billets Reports'!F2733),IF(ISNUMBER(SEARCH("Party Name-",'R.M Billets Reports'!D2733)),TRIM(MID('R.M Billets Reports'!D2733,SEARCH("-",'R.M Billets Reports'!D2733)+1,200)),"")),IF(ISNUMBER(SEARCH("Party Name:-",'R.M Billets Reports'!D2734)),TRIM('R.M Billets Reports'!F2734),IF(ISNUMBER(SEARCH("Party Name-",'R.M Billets Reports'!D2734)),TRIM(MID('R.M Billets Reports'!D2734,SEARCH("-",'R.M Billets Reports'!D2734)+1,200)),"")))="SHRI RADHE","SHREE RADHE",IF(IF(IF(ISNUMBER(SEARCH("Party Name:-",'R.M Billets Reports'!D2733)),TRIM('R.M Billets Reports'!F2733),IF(ISNUMBER(SEARCH("Party Name-",'R.M Billets Reports'!D2733)),TRIM(MID('R.M Billets Reports'!D2733,SEARCH("-",'R.M Billets Reports'!D2733)+1,200)),""))&lt;&gt;"",IF(ISNUMBER(SEARCH("Party Name:-",'R.M Billets Reports'!D2733)),TRIM('R.M Billets Reports'!F2733),IF(ISNUMBER(SEARCH("Party Name-",'R.M Billets Reports'!D2733)),TRIM(MID('R.M Billets Reports'!D2733,SEARCH("-",'R.M Billets Reports'!D2733)+1,200)),"")),IF(ISNUMBER(SEARCH("Party Name:-",'R.M Billets Reports'!D2734)),TRIM('R.M Billets Reports'!F2734),IF(ISNUMBER(SEARCH("Party Name-",'R.M Billets Reports'!D2734)),TRIM(MID('R.M Billets Reports'!D2734,SEARCH("-",'R.M Billets Reports'!D2734)+1,200)),"")))="SHREE RADHE SHAKTI SPONGE AND POWER PVT. LTD.","SHREE RADHE",IF(IF(ISNUMBER(SEARCH("Party Name:-",'R.M Billets Reports'!D2733)),TRIM('R.M Billets Reports'!F2733),IF(ISNUMBER(SEARCH("Party Name-",'R.M Billets Reports'!D2733)),TRIM(MID('R.M Billets Reports'!D2733,SEARCH("-",'R.M Billets Reports'!D2733)+1,200)),""))&lt;&gt;"",IF(ISNUMBER(SEARCH("Party Name:-",'R.M Billets Reports'!D2733)),TRIM('R.M Billets Reports'!F2733),IF(ISNUMBER(SEARCH("Party Name-",'R.M Billets Reports'!D2733)),TRIM(MID('R.M Billets Reports'!D2733,SEARCH("-",'R.M Billets Reports'!D2733)+1,200)),"")),IF(ISNUMBER(SEARCH("Party Name:-",'R.M Billets Reports'!D2734)),TRIM('R.M Billets Reports'!F2734),IF(ISNUMBER(SEARCH("Party Name-",'R.M Billets Reports'!D2734)),TRIM(MID('R.M Billets Reports'!D2734,SEARCH("-",'R.M Billets Reports'!D2734)+1,200)),"")))))),IF(ROW()=2,"",A2733))</f>
      </c>
      <c r="B2734">
        <f>IF(OR('R.M Billets Reports'!A2733="Date-",'R.M Billets Reports'!A2733="Date:-"),'R.M Billets Reports'!B2733,IF(ROW()=2,"",B2733))</f>
      </c>
      <c r="C2734">
        <f>IF('R.M Billets Reports'!A2733="V.No.",'R.M Billets Reports'!B2733,IF(ROW()=2,"",C2733))</f>
      </c>
      <c r="D2734">
        <f>IF('R.M Billets Reports'!A2733&lt;&gt;"",'R.M Billets Reports'!A2733,IF(ROW()=2,"",D2733))</f>
      </c>
      <c r="E2734">
        <f>IF('R.M Billets Reports'!B2733="","",TRIM('R.M Billets Reports'!B2733))</f>
      </c>
      <c r="F2734">
        <f>'R.M Billets Reports'!C2733</f>
      </c>
      <c r="G2734">
        <f>'R.M Billets Reports'!D2733</f>
      </c>
      <c r="H2734">
        <f>'R.M Billets Reports'!E2733</f>
      </c>
      <c r="I2734">
        <f>'R.M Billets Reports'!F2733</f>
      </c>
      <c r="J2734">
        <f>'R.M Billets Reports'!G2733</f>
      </c>
      <c r="K2734">
        <f>'R.M Billets Reports'!H2733</f>
      </c>
      <c r="L2734">
        <f>IF('R.M Billets Reports'!I2733="","",'R.M Billets Reports'!I2733)</f>
      </c>
      <c r="M2734">
        <f t="shared" si="84"/>
      </c>
      <c r="N2734">
        <f>IF('R.M Billets Reports'!J2733="","",'R.M Billets Reports'!J2733)</f>
      </c>
      <c r="O2734">
        <f t="shared" si="85"/>
      </c>
      <c r="P2734">
        <f>IF('R.M Billets Reports'!A2733="SIZE",'R.M Billets Reports'!B2733,P2733)</f>
      </c>
    </row>
    <row r="2735" spans="1:16" x14ac:dyDescent="0.25">
      <c r="A2735">
        <f>IF(OR('R.M Billets Reports'!A2734="Date-",'R.M Billets Reports'!A2734="Date:-"),IF(IF(IF(ISNUMBER(SEARCH("Party Name:-",'R.M Billets Reports'!D2734)),TRIM('R.M Billets Reports'!F2734),IF(ISNUMBER(SEARCH("Party Name-",'R.M Billets Reports'!D2734)),TRIM(MID('R.M Billets Reports'!D2734,SEARCH("-",'R.M Billets Reports'!D2734)+1,200)),""))&lt;&gt;"",IF(ISNUMBER(SEARCH("Party Name:-",'R.M Billets Reports'!D2734)),TRIM('R.M Billets Reports'!F2734),IF(ISNUMBER(SEARCH("Party Name-",'R.M Billets Reports'!D2734)),TRIM(MID('R.M Billets Reports'!D2734,SEARCH("-",'R.M Billets Reports'!D2734)+1,200)),"")),IF(ISNUMBER(SEARCH("Party Name:-",'R.M Billets Reports'!D2735)),TRIM('R.M Billets Reports'!F2735),IF(ISNUMBER(SEARCH("Party Name-",'R.M Billets Reports'!D2735)),TRIM(MID('R.M Billets Reports'!D2735,SEARCH("-",'R.M Billets Reports'!D2735)+1,200)),"")))="VRKP ISPAT PVT LTD","VRKP",IF(IF(IF(ISNUMBER(SEARCH("Party Name:-",'R.M Billets Reports'!D2734)),TRIM('R.M Billets Reports'!F2734),IF(ISNUMBER(SEARCH("Party Name-",'R.M Billets Reports'!D2734)),TRIM(MID('R.M Billets Reports'!D2734,SEARCH("-",'R.M Billets Reports'!D2734)+1,200)),""))&lt;&gt;"",IF(ISNUMBER(SEARCH("Party Name:-",'R.M Billets Reports'!D2734)),TRIM('R.M Billets Reports'!F2734),IF(ISNUMBER(SEARCH("Party Name-",'R.M Billets Reports'!D2734)),TRIM(MID('R.M Billets Reports'!D2734,SEARCH("-",'R.M Billets Reports'!D2734)+1,200)),"")),IF(ISNUMBER(SEARCH("Party Name:-",'R.M Billets Reports'!D2735)),TRIM('R.M Billets Reports'!F2735),IF(ISNUMBER(SEARCH("Party Name-",'R.M Billets Reports'!D2735)),TRIM(MID('R.M Billets Reports'!D2735,SEARCH("-",'R.M Billets Reports'!D2735)+1,200)),"")))="SHRI RADHE","SHREE RADHE",IF(IF(IF(ISNUMBER(SEARCH("Party Name:-",'R.M Billets Reports'!D2734)),TRIM('R.M Billets Reports'!F2734),IF(ISNUMBER(SEARCH("Party Name-",'R.M Billets Reports'!D2734)),TRIM(MID('R.M Billets Reports'!D2734,SEARCH("-",'R.M Billets Reports'!D2734)+1,200)),""))&lt;&gt;"",IF(ISNUMBER(SEARCH("Party Name:-",'R.M Billets Reports'!D2734)),TRIM('R.M Billets Reports'!F2734),IF(ISNUMBER(SEARCH("Party Name-",'R.M Billets Reports'!D2734)),TRIM(MID('R.M Billets Reports'!D2734,SEARCH("-",'R.M Billets Reports'!D2734)+1,200)),"")),IF(ISNUMBER(SEARCH("Party Name:-",'R.M Billets Reports'!D2735)),TRIM('R.M Billets Reports'!F2735),IF(ISNUMBER(SEARCH("Party Name-",'R.M Billets Reports'!D2735)),TRIM(MID('R.M Billets Reports'!D2735,SEARCH("-",'R.M Billets Reports'!D2735)+1,200)),"")))="SHREE RADHE SHAKTI SPONGE AND POWER PVT. LTD.","SHREE RADHE",IF(IF(ISNUMBER(SEARCH("Party Name:-",'R.M Billets Reports'!D2734)),TRIM('R.M Billets Reports'!F2734),IF(ISNUMBER(SEARCH("Party Name-",'R.M Billets Reports'!D2734)),TRIM(MID('R.M Billets Reports'!D2734,SEARCH("-",'R.M Billets Reports'!D2734)+1,200)),""))&lt;&gt;"",IF(ISNUMBER(SEARCH("Party Name:-",'R.M Billets Reports'!D2734)),TRIM('R.M Billets Reports'!F2734),IF(ISNUMBER(SEARCH("Party Name-",'R.M Billets Reports'!D2734)),TRIM(MID('R.M Billets Reports'!D2734,SEARCH("-",'R.M Billets Reports'!D2734)+1,200)),"")),IF(ISNUMBER(SEARCH("Party Name:-",'R.M Billets Reports'!D2735)),TRIM('R.M Billets Reports'!F2735),IF(ISNUMBER(SEARCH("Party Name-",'R.M Billets Reports'!D2735)),TRIM(MID('R.M Billets Reports'!D2735,SEARCH("-",'R.M Billets Reports'!D2735)+1,200)),"")))))),IF(ROW()=2,"",A2734))</f>
      </c>
      <c r="B2735">
        <f>IF(OR('R.M Billets Reports'!A2734="Date-",'R.M Billets Reports'!A2734="Date:-"),'R.M Billets Reports'!B2734,IF(ROW()=2,"",B2734))</f>
      </c>
      <c r="C2735">
        <f>IF('R.M Billets Reports'!A2734="V.No.",'R.M Billets Reports'!B2734,IF(ROW()=2,"",C2734))</f>
      </c>
      <c r="D2735">
        <f>IF('R.M Billets Reports'!A2734&lt;&gt;"",'R.M Billets Reports'!A2734,IF(ROW()=2,"",D2734))</f>
      </c>
      <c r="E2735">
        <f>IF('R.M Billets Reports'!B2734="","",TRIM('R.M Billets Reports'!B2734))</f>
      </c>
      <c r="F2735">
        <f>'R.M Billets Reports'!C2734</f>
      </c>
      <c r="G2735">
        <f>'R.M Billets Reports'!D2734</f>
      </c>
      <c r="H2735">
        <f>'R.M Billets Reports'!E2734</f>
      </c>
      <c r="I2735">
        <f>'R.M Billets Reports'!F2734</f>
      </c>
      <c r="J2735">
        <f>'R.M Billets Reports'!G2734</f>
      </c>
      <c r="K2735">
        <f>'R.M Billets Reports'!H2734</f>
      </c>
      <c r="L2735">
        <f>IF('R.M Billets Reports'!I2734="","",'R.M Billets Reports'!I2734)</f>
      </c>
      <c r="M2735">
        <f t="shared" si="84"/>
      </c>
      <c r="N2735">
        <f>IF('R.M Billets Reports'!J2734="","",'R.M Billets Reports'!J2734)</f>
      </c>
      <c r="O2735">
        <f t="shared" si="85"/>
      </c>
      <c r="P2735">
        <f>IF('R.M Billets Reports'!A2734="SIZE",'R.M Billets Reports'!B2734,P2734)</f>
      </c>
    </row>
    <row r="2736" spans="1:16" x14ac:dyDescent="0.25">
      <c r="A2736">
        <f>IF(OR('R.M Billets Reports'!A2735="Date-",'R.M Billets Reports'!A2735="Date:-"),IF(IF(IF(ISNUMBER(SEARCH("Party Name:-",'R.M Billets Reports'!D2735)),TRIM('R.M Billets Reports'!F2735),IF(ISNUMBER(SEARCH("Party Name-",'R.M Billets Reports'!D2735)),TRIM(MID('R.M Billets Reports'!D2735,SEARCH("-",'R.M Billets Reports'!D2735)+1,200)),""))&lt;&gt;"",IF(ISNUMBER(SEARCH("Party Name:-",'R.M Billets Reports'!D2735)),TRIM('R.M Billets Reports'!F2735),IF(ISNUMBER(SEARCH("Party Name-",'R.M Billets Reports'!D2735)),TRIM(MID('R.M Billets Reports'!D2735,SEARCH("-",'R.M Billets Reports'!D2735)+1,200)),"")),IF(ISNUMBER(SEARCH("Party Name:-",'R.M Billets Reports'!D2736)),TRIM('R.M Billets Reports'!F2736),IF(ISNUMBER(SEARCH("Party Name-",'R.M Billets Reports'!D2736)),TRIM(MID('R.M Billets Reports'!D2736,SEARCH("-",'R.M Billets Reports'!D2736)+1,200)),"")))="VRKP ISPAT PVT LTD","VRKP",IF(IF(IF(ISNUMBER(SEARCH("Party Name:-",'R.M Billets Reports'!D2735)),TRIM('R.M Billets Reports'!F2735),IF(ISNUMBER(SEARCH("Party Name-",'R.M Billets Reports'!D2735)),TRIM(MID('R.M Billets Reports'!D2735,SEARCH("-",'R.M Billets Reports'!D2735)+1,200)),""))&lt;&gt;"",IF(ISNUMBER(SEARCH("Party Name:-",'R.M Billets Reports'!D2735)),TRIM('R.M Billets Reports'!F2735),IF(ISNUMBER(SEARCH("Party Name-",'R.M Billets Reports'!D2735)),TRIM(MID('R.M Billets Reports'!D2735,SEARCH("-",'R.M Billets Reports'!D2735)+1,200)),"")),IF(ISNUMBER(SEARCH("Party Name:-",'R.M Billets Reports'!D2736)),TRIM('R.M Billets Reports'!F2736),IF(ISNUMBER(SEARCH("Party Name-",'R.M Billets Reports'!D2736)),TRIM(MID('R.M Billets Reports'!D2736,SEARCH("-",'R.M Billets Reports'!D2736)+1,200)),"")))="SHRI RADHE","SHREE RADHE",IF(IF(IF(ISNUMBER(SEARCH("Party Name:-",'R.M Billets Reports'!D2735)),TRIM('R.M Billets Reports'!F2735),IF(ISNUMBER(SEARCH("Party Name-",'R.M Billets Reports'!D2735)),TRIM(MID('R.M Billets Reports'!D2735,SEARCH("-",'R.M Billets Reports'!D2735)+1,200)),""))&lt;&gt;"",IF(ISNUMBER(SEARCH("Party Name:-",'R.M Billets Reports'!D2735)),TRIM('R.M Billets Reports'!F2735),IF(ISNUMBER(SEARCH("Party Name-",'R.M Billets Reports'!D2735)),TRIM(MID('R.M Billets Reports'!D2735,SEARCH("-",'R.M Billets Reports'!D2735)+1,200)),"")),IF(ISNUMBER(SEARCH("Party Name:-",'R.M Billets Reports'!D2736)),TRIM('R.M Billets Reports'!F2736),IF(ISNUMBER(SEARCH("Party Name-",'R.M Billets Reports'!D2736)),TRIM(MID('R.M Billets Reports'!D2736,SEARCH("-",'R.M Billets Reports'!D2736)+1,200)),"")))="SHREE RADHE SHAKTI SPONGE AND POWER PVT. LTD.","SHREE RADHE",IF(IF(ISNUMBER(SEARCH("Party Name:-",'R.M Billets Reports'!D2735)),TRIM('R.M Billets Reports'!F2735),IF(ISNUMBER(SEARCH("Party Name-",'R.M Billets Reports'!D2735)),TRIM(MID('R.M Billets Reports'!D2735,SEARCH("-",'R.M Billets Reports'!D2735)+1,200)),""))&lt;&gt;"",IF(ISNUMBER(SEARCH("Party Name:-",'R.M Billets Reports'!D2735)),TRIM('R.M Billets Reports'!F2735),IF(ISNUMBER(SEARCH("Party Name-",'R.M Billets Reports'!D2735)),TRIM(MID('R.M Billets Reports'!D2735,SEARCH("-",'R.M Billets Reports'!D2735)+1,200)),"")),IF(ISNUMBER(SEARCH("Party Name:-",'R.M Billets Reports'!D2736)),TRIM('R.M Billets Reports'!F2736),IF(ISNUMBER(SEARCH("Party Name-",'R.M Billets Reports'!D2736)),TRIM(MID('R.M Billets Reports'!D2736,SEARCH("-",'R.M Billets Reports'!D2736)+1,200)),"")))))),IF(ROW()=2,"",A2735))</f>
      </c>
      <c r="B2736">
        <f>IF(OR('R.M Billets Reports'!A2735="Date-",'R.M Billets Reports'!A2735="Date:-"),'R.M Billets Reports'!B2735,IF(ROW()=2,"",B2735))</f>
      </c>
      <c r="C2736">
        <f>IF('R.M Billets Reports'!A2735="V.No.",'R.M Billets Reports'!B2735,IF(ROW()=2,"",C2735))</f>
      </c>
      <c r="D2736">
        <f>IF('R.M Billets Reports'!A2735&lt;&gt;"",'R.M Billets Reports'!A2735,IF(ROW()=2,"",D2735))</f>
      </c>
      <c r="E2736">
        <f>IF('R.M Billets Reports'!B2735="","",TRIM('R.M Billets Reports'!B2735))</f>
      </c>
      <c r="F2736">
        <f>'R.M Billets Reports'!C2735</f>
      </c>
      <c r="G2736">
        <f>'R.M Billets Reports'!D2735</f>
      </c>
      <c r="H2736">
        <f>'R.M Billets Reports'!E2735</f>
      </c>
      <c r="I2736">
        <f>'R.M Billets Reports'!F2735</f>
      </c>
      <c r="J2736">
        <f>'R.M Billets Reports'!G2735</f>
      </c>
      <c r="K2736">
        <f>'R.M Billets Reports'!H2735</f>
      </c>
      <c r="L2736">
        <f>IF('R.M Billets Reports'!I2735="","",'R.M Billets Reports'!I2735)</f>
      </c>
      <c r="M2736">
        <f t="shared" si="84"/>
      </c>
      <c r="N2736">
        <f>IF('R.M Billets Reports'!J2735="","",'R.M Billets Reports'!J2735)</f>
      </c>
      <c r="O2736">
        <f t="shared" si="85"/>
      </c>
      <c r="P2736">
        <f>IF('R.M Billets Reports'!A2735="SIZE",'R.M Billets Reports'!B2735,P2735)</f>
      </c>
    </row>
    <row r="2737" spans="1:16" x14ac:dyDescent="0.25">
      <c r="A2737">
        <f>IF(OR('R.M Billets Reports'!A2736="Date-",'R.M Billets Reports'!A2736="Date:-"),IF(IF(IF(ISNUMBER(SEARCH("Party Name:-",'R.M Billets Reports'!D2736)),TRIM('R.M Billets Reports'!F2736),IF(ISNUMBER(SEARCH("Party Name-",'R.M Billets Reports'!D2736)),TRIM(MID('R.M Billets Reports'!D2736,SEARCH("-",'R.M Billets Reports'!D2736)+1,200)),""))&lt;&gt;"",IF(ISNUMBER(SEARCH("Party Name:-",'R.M Billets Reports'!D2736)),TRIM('R.M Billets Reports'!F2736),IF(ISNUMBER(SEARCH("Party Name-",'R.M Billets Reports'!D2736)),TRIM(MID('R.M Billets Reports'!D2736,SEARCH("-",'R.M Billets Reports'!D2736)+1,200)),"")),IF(ISNUMBER(SEARCH("Party Name:-",'R.M Billets Reports'!D2737)),TRIM('R.M Billets Reports'!F2737),IF(ISNUMBER(SEARCH("Party Name-",'R.M Billets Reports'!D2737)),TRIM(MID('R.M Billets Reports'!D2737,SEARCH("-",'R.M Billets Reports'!D2737)+1,200)),"")))="VRKP ISPAT PVT LTD","VRKP",IF(IF(IF(ISNUMBER(SEARCH("Party Name:-",'R.M Billets Reports'!D2736)),TRIM('R.M Billets Reports'!F2736),IF(ISNUMBER(SEARCH("Party Name-",'R.M Billets Reports'!D2736)),TRIM(MID('R.M Billets Reports'!D2736,SEARCH("-",'R.M Billets Reports'!D2736)+1,200)),""))&lt;&gt;"",IF(ISNUMBER(SEARCH("Party Name:-",'R.M Billets Reports'!D2736)),TRIM('R.M Billets Reports'!F2736),IF(ISNUMBER(SEARCH("Party Name-",'R.M Billets Reports'!D2736)),TRIM(MID('R.M Billets Reports'!D2736,SEARCH("-",'R.M Billets Reports'!D2736)+1,200)),"")),IF(ISNUMBER(SEARCH("Party Name:-",'R.M Billets Reports'!D2737)),TRIM('R.M Billets Reports'!F2737),IF(ISNUMBER(SEARCH("Party Name-",'R.M Billets Reports'!D2737)),TRIM(MID('R.M Billets Reports'!D2737,SEARCH("-",'R.M Billets Reports'!D2737)+1,200)),"")))="SHRI RADHE","SHREE RADHE",IF(IF(IF(ISNUMBER(SEARCH("Party Name:-",'R.M Billets Reports'!D2736)),TRIM('R.M Billets Reports'!F2736),IF(ISNUMBER(SEARCH("Party Name-",'R.M Billets Reports'!D2736)),TRIM(MID('R.M Billets Reports'!D2736,SEARCH("-",'R.M Billets Reports'!D2736)+1,200)),""))&lt;&gt;"",IF(ISNUMBER(SEARCH("Party Name:-",'R.M Billets Reports'!D2736)),TRIM('R.M Billets Reports'!F2736),IF(ISNUMBER(SEARCH("Party Name-",'R.M Billets Reports'!D2736)),TRIM(MID('R.M Billets Reports'!D2736,SEARCH("-",'R.M Billets Reports'!D2736)+1,200)),"")),IF(ISNUMBER(SEARCH("Party Name:-",'R.M Billets Reports'!D2737)),TRIM('R.M Billets Reports'!F2737),IF(ISNUMBER(SEARCH("Party Name-",'R.M Billets Reports'!D2737)),TRIM(MID('R.M Billets Reports'!D2737,SEARCH("-",'R.M Billets Reports'!D2737)+1,200)),"")))="SHREE RADHE SHAKTI SPONGE AND POWER PVT. LTD.","SHREE RADHE",IF(IF(ISNUMBER(SEARCH("Party Name:-",'R.M Billets Reports'!D2736)),TRIM('R.M Billets Reports'!F2736),IF(ISNUMBER(SEARCH("Party Name-",'R.M Billets Reports'!D2736)),TRIM(MID('R.M Billets Reports'!D2736,SEARCH("-",'R.M Billets Reports'!D2736)+1,200)),""))&lt;&gt;"",IF(ISNUMBER(SEARCH("Party Name:-",'R.M Billets Reports'!D2736)),TRIM('R.M Billets Reports'!F2736),IF(ISNUMBER(SEARCH("Party Name-",'R.M Billets Reports'!D2736)),TRIM(MID('R.M Billets Reports'!D2736,SEARCH("-",'R.M Billets Reports'!D2736)+1,200)),"")),IF(ISNUMBER(SEARCH("Party Name:-",'R.M Billets Reports'!D2737)),TRIM('R.M Billets Reports'!F2737),IF(ISNUMBER(SEARCH("Party Name-",'R.M Billets Reports'!D2737)),TRIM(MID('R.M Billets Reports'!D2737,SEARCH("-",'R.M Billets Reports'!D2737)+1,200)),"")))))),IF(ROW()=2,"",A2736))</f>
      </c>
      <c r="B2737">
        <f>IF(OR('R.M Billets Reports'!A2736="Date-",'R.M Billets Reports'!A2736="Date:-"),'R.M Billets Reports'!B2736,IF(ROW()=2,"",B2736))</f>
      </c>
      <c r="C2737">
        <f>IF('R.M Billets Reports'!A2736="V.No.",'R.M Billets Reports'!B2736,IF(ROW()=2,"",C2736))</f>
      </c>
      <c r="D2737">
        <f>IF('R.M Billets Reports'!A2736&lt;&gt;"",'R.M Billets Reports'!A2736,IF(ROW()=2,"",D2736))</f>
      </c>
      <c r="E2737">
        <f>IF('R.M Billets Reports'!B2736="","",TRIM('R.M Billets Reports'!B2736))</f>
      </c>
      <c r="F2737">
        <f>'R.M Billets Reports'!C2736</f>
      </c>
      <c r="G2737">
        <f>'R.M Billets Reports'!D2736</f>
      </c>
      <c r="H2737">
        <f>'R.M Billets Reports'!E2736</f>
      </c>
      <c r="I2737">
        <f>'R.M Billets Reports'!F2736</f>
      </c>
      <c r="J2737">
        <f>'R.M Billets Reports'!G2736</f>
      </c>
      <c r="K2737">
        <f>'R.M Billets Reports'!H2736</f>
      </c>
      <c r="L2737">
        <f>IF('R.M Billets Reports'!I2736="","",'R.M Billets Reports'!I2736)</f>
      </c>
      <c r="M2737">
        <f t="shared" si="84"/>
      </c>
      <c r="N2737">
        <f>IF('R.M Billets Reports'!J2736="","",'R.M Billets Reports'!J2736)</f>
      </c>
      <c r="O2737">
        <f t="shared" si="85"/>
      </c>
      <c r="P2737">
        <f>IF('R.M Billets Reports'!A2736="SIZE",'R.M Billets Reports'!B2736,P2736)</f>
      </c>
    </row>
    <row r="2738" spans="1:16" x14ac:dyDescent="0.25">
      <c r="A2738">
        <f>IF(OR('R.M Billets Reports'!A2737="Date-",'R.M Billets Reports'!A2737="Date:-"),IF(IF(IF(ISNUMBER(SEARCH("Party Name:-",'R.M Billets Reports'!D2737)),TRIM('R.M Billets Reports'!F2737),IF(ISNUMBER(SEARCH("Party Name-",'R.M Billets Reports'!D2737)),TRIM(MID('R.M Billets Reports'!D2737,SEARCH("-",'R.M Billets Reports'!D2737)+1,200)),""))&lt;&gt;"",IF(ISNUMBER(SEARCH("Party Name:-",'R.M Billets Reports'!D2737)),TRIM('R.M Billets Reports'!F2737),IF(ISNUMBER(SEARCH("Party Name-",'R.M Billets Reports'!D2737)),TRIM(MID('R.M Billets Reports'!D2737,SEARCH("-",'R.M Billets Reports'!D2737)+1,200)),"")),IF(ISNUMBER(SEARCH("Party Name:-",'R.M Billets Reports'!D2738)),TRIM('R.M Billets Reports'!F2738),IF(ISNUMBER(SEARCH("Party Name-",'R.M Billets Reports'!D2738)),TRIM(MID('R.M Billets Reports'!D2738,SEARCH("-",'R.M Billets Reports'!D2738)+1,200)),"")))="VRKP ISPAT PVT LTD","VRKP",IF(IF(IF(ISNUMBER(SEARCH("Party Name:-",'R.M Billets Reports'!D2737)),TRIM('R.M Billets Reports'!F2737),IF(ISNUMBER(SEARCH("Party Name-",'R.M Billets Reports'!D2737)),TRIM(MID('R.M Billets Reports'!D2737,SEARCH("-",'R.M Billets Reports'!D2737)+1,200)),""))&lt;&gt;"",IF(ISNUMBER(SEARCH("Party Name:-",'R.M Billets Reports'!D2737)),TRIM('R.M Billets Reports'!F2737),IF(ISNUMBER(SEARCH("Party Name-",'R.M Billets Reports'!D2737)),TRIM(MID('R.M Billets Reports'!D2737,SEARCH("-",'R.M Billets Reports'!D2737)+1,200)),"")),IF(ISNUMBER(SEARCH("Party Name:-",'R.M Billets Reports'!D2738)),TRIM('R.M Billets Reports'!F2738),IF(ISNUMBER(SEARCH("Party Name-",'R.M Billets Reports'!D2738)),TRIM(MID('R.M Billets Reports'!D2738,SEARCH("-",'R.M Billets Reports'!D2738)+1,200)),"")))="SHRI RADHE","SHREE RADHE",IF(IF(IF(ISNUMBER(SEARCH("Party Name:-",'R.M Billets Reports'!D2737)),TRIM('R.M Billets Reports'!F2737),IF(ISNUMBER(SEARCH("Party Name-",'R.M Billets Reports'!D2737)),TRIM(MID('R.M Billets Reports'!D2737,SEARCH("-",'R.M Billets Reports'!D2737)+1,200)),""))&lt;&gt;"",IF(ISNUMBER(SEARCH("Party Name:-",'R.M Billets Reports'!D2737)),TRIM('R.M Billets Reports'!F2737),IF(ISNUMBER(SEARCH("Party Name-",'R.M Billets Reports'!D2737)),TRIM(MID('R.M Billets Reports'!D2737,SEARCH("-",'R.M Billets Reports'!D2737)+1,200)),"")),IF(ISNUMBER(SEARCH("Party Name:-",'R.M Billets Reports'!D2738)),TRIM('R.M Billets Reports'!F2738),IF(ISNUMBER(SEARCH("Party Name-",'R.M Billets Reports'!D2738)),TRIM(MID('R.M Billets Reports'!D2738,SEARCH("-",'R.M Billets Reports'!D2738)+1,200)),"")))="SHREE RADHE SHAKTI SPONGE AND POWER PVT. LTD.","SHREE RADHE",IF(IF(ISNUMBER(SEARCH("Party Name:-",'R.M Billets Reports'!D2737)),TRIM('R.M Billets Reports'!F2737),IF(ISNUMBER(SEARCH("Party Name-",'R.M Billets Reports'!D2737)),TRIM(MID('R.M Billets Reports'!D2737,SEARCH("-",'R.M Billets Reports'!D2737)+1,200)),""))&lt;&gt;"",IF(ISNUMBER(SEARCH("Party Name:-",'R.M Billets Reports'!D2737)),TRIM('R.M Billets Reports'!F2737),IF(ISNUMBER(SEARCH("Party Name-",'R.M Billets Reports'!D2737)),TRIM(MID('R.M Billets Reports'!D2737,SEARCH("-",'R.M Billets Reports'!D2737)+1,200)),"")),IF(ISNUMBER(SEARCH("Party Name:-",'R.M Billets Reports'!D2738)),TRIM('R.M Billets Reports'!F2738),IF(ISNUMBER(SEARCH("Party Name-",'R.M Billets Reports'!D2738)),TRIM(MID('R.M Billets Reports'!D2738,SEARCH("-",'R.M Billets Reports'!D2738)+1,200)),"")))))),IF(ROW()=2,"",A2737))</f>
      </c>
      <c r="B2738">
        <f>IF(OR('R.M Billets Reports'!A2737="Date-",'R.M Billets Reports'!A2737="Date:-"),'R.M Billets Reports'!B2737,IF(ROW()=2,"",B2737))</f>
      </c>
      <c r="C2738">
        <f>IF('R.M Billets Reports'!A2737="V.No.",'R.M Billets Reports'!B2737,IF(ROW()=2,"",C2737))</f>
      </c>
      <c r="D2738">
        <f>IF('R.M Billets Reports'!A2737&lt;&gt;"",'R.M Billets Reports'!A2737,IF(ROW()=2,"",D2737))</f>
      </c>
      <c r="E2738">
        <f>IF('R.M Billets Reports'!B2737="","",TRIM('R.M Billets Reports'!B2737))</f>
      </c>
      <c r="F2738">
        <f>'R.M Billets Reports'!C2737</f>
      </c>
      <c r="G2738">
        <f>'R.M Billets Reports'!D2737</f>
      </c>
      <c r="H2738">
        <f>'R.M Billets Reports'!E2737</f>
      </c>
      <c r="I2738">
        <f>'R.M Billets Reports'!F2737</f>
      </c>
      <c r="J2738">
        <f>'R.M Billets Reports'!G2737</f>
      </c>
      <c r="K2738">
        <f>'R.M Billets Reports'!H2737</f>
      </c>
      <c r="L2738">
        <f>IF('R.M Billets Reports'!I2737="","",'R.M Billets Reports'!I2737)</f>
      </c>
      <c r="M2738">
        <f t="shared" si="84"/>
      </c>
      <c r="N2738">
        <f>IF('R.M Billets Reports'!J2737="","",'R.M Billets Reports'!J2737)</f>
      </c>
      <c r="O2738">
        <f t="shared" si="85"/>
      </c>
      <c r="P2738">
        <f>IF('R.M Billets Reports'!A2737="SIZE",'R.M Billets Reports'!B2737,P2737)</f>
      </c>
    </row>
    <row r="2739" spans="1:16" x14ac:dyDescent="0.25">
      <c r="A2739">
        <f>IF(OR('R.M Billets Reports'!A2738="Date-",'R.M Billets Reports'!A2738="Date:-"),IF(IF(IF(ISNUMBER(SEARCH("Party Name:-",'R.M Billets Reports'!D2738)),TRIM('R.M Billets Reports'!F2738),IF(ISNUMBER(SEARCH("Party Name-",'R.M Billets Reports'!D2738)),TRIM(MID('R.M Billets Reports'!D2738,SEARCH("-",'R.M Billets Reports'!D2738)+1,200)),""))&lt;&gt;"",IF(ISNUMBER(SEARCH("Party Name:-",'R.M Billets Reports'!D2738)),TRIM('R.M Billets Reports'!F2738),IF(ISNUMBER(SEARCH("Party Name-",'R.M Billets Reports'!D2738)),TRIM(MID('R.M Billets Reports'!D2738,SEARCH("-",'R.M Billets Reports'!D2738)+1,200)),"")),IF(ISNUMBER(SEARCH("Party Name:-",'R.M Billets Reports'!D2739)),TRIM('R.M Billets Reports'!F2739),IF(ISNUMBER(SEARCH("Party Name-",'R.M Billets Reports'!D2739)),TRIM(MID('R.M Billets Reports'!D2739,SEARCH("-",'R.M Billets Reports'!D2739)+1,200)),"")))="VRKP ISPAT PVT LTD","VRKP",IF(IF(IF(ISNUMBER(SEARCH("Party Name:-",'R.M Billets Reports'!D2738)),TRIM('R.M Billets Reports'!F2738),IF(ISNUMBER(SEARCH("Party Name-",'R.M Billets Reports'!D2738)),TRIM(MID('R.M Billets Reports'!D2738,SEARCH("-",'R.M Billets Reports'!D2738)+1,200)),""))&lt;&gt;"",IF(ISNUMBER(SEARCH("Party Name:-",'R.M Billets Reports'!D2738)),TRIM('R.M Billets Reports'!F2738),IF(ISNUMBER(SEARCH("Party Name-",'R.M Billets Reports'!D2738)),TRIM(MID('R.M Billets Reports'!D2738,SEARCH("-",'R.M Billets Reports'!D2738)+1,200)),"")),IF(ISNUMBER(SEARCH("Party Name:-",'R.M Billets Reports'!D2739)),TRIM('R.M Billets Reports'!F2739),IF(ISNUMBER(SEARCH("Party Name-",'R.M Billets Reports'!D2739)),TRIM(MID('R.M Billets Reports'!D2739,SEARCH("-",'R.M Billets Reports'!D2739)+1,200)),"")))="SHRI RADHE","SHREE RADHE",IF(IF(IF(ISNUMBER(SEARCH("Party Name:-",'R.M Billets Reports'!D2738)),TRIM('R.M Billets Reports'!F2738),IF(ISNUMBER(SEARCH("Party Name-",'R.M Billets Reports'!D2738)),TRIM(MID('R.M Billets Reports'!D2738,SEARCH("-",'R.M Billets Reports'!D2738)+1,200)),""))&lt;&gt;"",IF(ISNUMBER(SEARCH("Party Name:-",'R.M Billets Reports'!D2738)),TRIM('R.M Billets Reports'!F2738),IF(ISNUMBER(SEARCH("Party Name-",'R.M Billets Reports'!D2738)),TRIM(MID('R.M Billets Reports'!D2738,SEARCH("-",'R.M Billets Reports'!D2738)+1,200)),"")),IF(ISNUMBER(SEARCH("Party Name:-",'R.M Billets Reports'!D2739)),TRIM('R.M Billets Reports'!F2739),IF(ISNUMBER(SEARCH("Party Name-",'R.M Billets Reports'!D2739)),TRIM(MID('R.M Billets Reports'!D2739,SEARCH("-",'R.M Billets Reports'!D2739)+1,200)),"")))="SHREE RADHE SHAKTI SPONGE AND POWER PVT. LTD.","SHREE RADHE",IF(IF(ISNUMBER(SEARCH("Party Name:-",'R.M Billets Reports'!D2738)),TRIM('R.M Billets Reports'!F2738),IF(ISNUMBER(SEARCH("Party Name-",'R.M Billets Reports'!D2738)),TRIM(MID('R.M Billets Reports'!D2738,SEARCH("-",'R.M Billets Reports'!D2738)+1,200)),""))&lt;&gt;"",IF(ISNUMBER(SEARCH("Party Name:-",'R.M Billets Reports'!D2738)),TRIM('R.M Billets Reports'!F2738),IF(ISNUMBER(SEARCH("Party Name-",'R.M Billets Reports'!D2738)),TRIM(MID('R.M Billets Reports'!D2738,SEARCH("-",'R.M Billets Reports'!D2738)+1,200)),"")),IF(ISNUMBER(SEARCH("Party Name:-",'R.M Billets Reports'!D2739)),TRIM('R.M Billets Reports'!F2739),IF(ISNUMBER(SEARCH("Party Name-",'R.M Billets Reports'!D2739)),TRIM(MID('R.M Billets Reports'!D2739,SEARCH("-",'R.M Billets Reports'!D2739)+1,200)),"")))))),IF(ROW()=2,"",A2738))</f>
      </c>
      <c r="B2739">
        <f>IF(OR('R.M Billets Reports'!A2738="Date-",'R.M Billets Reports'!A2738="Date:-"),'R.M Billets Reports'!B2738,IF(ROW()=2,"",B2738))</f>
      </c>
      <c r="C2739">
        <f>IF('R.M Billets Reports'!A2738="V.No.",'R.M Billets Reports'!B2738,IF(ROW()=2,"",C2738))</f>
      </c>
      <c r="D2739">
        <f>IF('R.M Billets Reports'!A2738&lt;&gt;"",'R.M Billets Reports'!A2738,IF(ROW()=2,"",D2738))</f>
      </c>
      <c r="E2739">
        <f>IF('R.M Billets Reports'!B2738="","",TRIM('R.M Billets Reports'!B2738))</f>
      </c>
      <c r="F2739">
        <f>'R.M Billets Reports'!C2738</f>
      </c>
      <c r="G2739">
        <f>'R.M Billets Reports'!D2738</f>
      </c>
      <c r="H2739">
        <f>'R.M Billets Reports'!E2738</f>
      </c>
      <c r="I2739">
        <f>'R.M Billets Reports'!F2738</f>
      </c>
      <c r="J2739">
        <f>'R.M Billets Reports'!G2738</f>
      </c>
      <c r="K2739">
        <f>'R.M Billets Reports'!H2738</f>
      </c>
      <c r="L2739">
        <f>IF('R.M Billets Reports'!I2738="","",'R.M Billets Reports'!I2738)</f>
      </c>
      <c r="M2739">
        <f t="shared" si="84"/>
      </c>
      <c r="N2739">
        <f>IF('R.M Billets Reports'!J2738="","",'R.M Billets Reports'!J2738)</f>
      </c>
      <c r="O2739">
        <f t="shared" si="85"/>
      </c>
      <c r="P2739">
        <f>IF('R.M Billets Reports'!A2738="SIZE",'R.M Billets Reports'!B2738,P2738)</f>
      </c>
    </row>
    <row r="2740" spans="1:16" x14ac:dyDescent="0.25">
      <c r="A2740">
        <f>IF(OR('R.M Billets Reports'!A2739="Date-",'R.M Billets Reports'!A2739="Date:-"),IF(IF(IF(ISNUMBER(SEARCH("Party Name:-",'R.M Billets Reports'!D2739)),TRIM('R.M Billets Reports'!F2739),IF(ISNUMBER(SEARCH("Party Name-",'R.M Billets Reports'!D2739)),TRIM(MID('R.M Billets Reports'!D2739,SEARCH("-",'R.M Billets Reports'!D2739)+1,200)),""))&lt;&gt;"",IF(ISNUMBER(SEARCH("Party Name:-",'R.M Billets Reports'!D2739)),TRIM('R.M Billets Reports'!F2739),IF(ISNUMBER(SEARCH("Party Name-",'R.M Billets Reports'!D2739)),TRIM(MID('R.M Billets Reports'!D2739,SEARCH("-",'R.M Billets Reports'!D2739)+1,200)),"")),IF(ISNUMBER(SEARCH("Party Name:-",'R.M Billets Reports'!D2740)),TRIM('R.M Billets Reports'!F2740),IF(ISNUMBER(SEARCH("Party Name-",'R.M Billets Reports'!D2740)),TRIM(MID('R.M Billets Reports'!D2740,SEARCH("-",'R.M Billets Reports'!D2740)+1,200)),"")))="VRKP ISPAT PVT LTD","VRKP",IF(IF(IF(ISNUMBER(SEARCH("Party Name:-",'R.M Billets Reports'!D2739)),TRIM('R.M Billets Reports'!F2739),IF(ISNUMBER(SEARCH("Party Name-",'R.M Billets Reports'!D2739)),TRIM(MID('R.M Billets Reports'!D2739,SEARCH("-",'R.M Billets Reports'!D2739)+1,200)),""))&lt;&gt;"",IF(ISNUMBER(SEARCH("Party Name:-",'R.M Billets Reports'!D2739)),TRIM('R.M Billets Reports'!F2739),IF(ISNUMBER(SEARCH("Party Name-",'R.M Billets Reports'!D2739)),TRIM(MID('R.M Billets Reports'!D2739,SEARCH("-",'R.M Billets Reports'!D2739)+1,200)),"")),IF(ISNUMBER(SEARCH("Party Name:-",'R.M Billets Reports'!D2740)),TRIM('R.M Billets Reports'!F2740),IF(ISNUMBER(SEARCH("Party Name-",'R.M Billets Reports'!D2740)),TRIM(MID('R.M Billets Reports'!D2740,SEARCH("-",'R.M Billets Reports'!D2740)+1,200)),"")))="SHRI RADHE","SHREE RADHE",IF(IF(IF(ISNUMBER(SEARCH("Party Name:-",'R.M Billets Reports'!D2739)),TRIM('R.M Billets Reports'!F2739),IF(ISNUMBER(SEARCH("Party Name-",'R.M Billets Reports'!D2739)),TRIM(MID('R.M Billets Reports'!D2739,SEARCH("-",'R.M Billets Reports'!D2739)+1,200)),""))&lt;&gt;"",IF(ISNUMBER(SEARCH("Party Name:-",'R.M Billets Reports'!D2739)),TRIM('R.M Billets Reports'!F2739),IF(ISNUMBER(SEARCH("Party Name-",'R.M Billets Reports'!D2739)),TRIM(MID('R.M Billets Reports'!D2739,SEARCH("-",'R.M Billets Reports'!D2739)+1,200)),"")),IF(ISNUMBER(SEARCH("Party Name:-",'R.M Billets Reports'!D2740)),TRIM('R.M Billets Reports'!F2740),IF(ISNUMBER(SEARCH("Party Name-",'R.M Billets Reports'!D2740)),TRIM(MID('R.M Billets Reports'!D2740,SEARCH("-",'R.M Billets Reports'!D2740)+1,200)),"")))="SHREE RADHE SHAKTI SPONGE AND POWER PVT. LTD.","SHREE RADHE",IF(IF(ISNUMBER(SEARCH("Party Name:-",'R.M Billets Reports'!D2739)),TRIM('R.M Billets Reports'!F2739),IF(ISNUMBER(SEARCH("Party Name-",'R.M Billets Reports'!D2739)),TRIM(MID('R.M Billets Reports'!D2739,SEARCH("-",'R.M Billets Reports'!D2739)+1,200)),""))&lt;&gt;"",IF(ISNUMBER(SEARCH("Party Name:-",'R.M Billets Reports'!D2739)),TRIM('R.M Billets Reports'!F2739),IF(ISNUMBER(SEARCH("Party Name-",'R.M Billets Reports'!D2739)),TRIM(MID('R.M Billets Reports'!D2739,SEARCH("-",'R.M Billets Reports'!D2739)+1,200)),"")),IF(ISNUMBER(SEARCH("Party Name:-",'R.M Billets Reports'!D2740)),TRIM('R.M Billets Reports'!F2740),IF(ISNUMBER(SEARCH("Party Name-",'R.M Billets Reports'!D2740)),TRIM(MID('R.M Billets Reports'!D2740,SEARCH("-",'R.M Billets Reports'!D2740)+1,200)),"")))))),IF(ROW()=2,"",A2739))</f>
      </c>
      <c r="B2740">
        <f>IF(OR('R.M Billets Reports'!A2739="Date-",'R.M Billets Reports'!A2739="Date:-"),'R.M Billets Reports'!B2739,IF(ROW()=2,"",B2739))</f>
      </c>
      <c r="C2740">
        <f>IF('R.M Billets Reports'!A2739="V.No.",'R.M Billets Reports'!B2739,IF(ROW()=2,"",C2739))</f>
      </c>
      <c r="D2740">
        <f>IF('R.M Billets Reports'!A2739&lt;&gt;"",'R.M Billets Reports'!A2739,IF(ROW()=2,"",D2739))</f>
      </c>
      <c r="E2740">
        <f>IF('R.M Billets Reports'!B2739="","",TRIM('R.M Billets Reports'!B2739))</f>
      </c>
      <c r="F2740">
        <f>'R.M Billets Reports'!C2739</f>
      </c>
      <c r="G2740">
        <f>'R.M Billets Reports'!D2739</f>
      </c>
      <c r="H2740">
        <f>'R.M Billets Reports'!E2739</f>
      </c>
      <c r="I2740">
        <f>'R.M Billets Reports'!F2739</f>
      </c>
      <c r="J2740">
        <f>'R.M Billets Reports'!G2739</f>
      </c>
      <c r="K2740">
        <f>'R.M Billets Reports'!H2739</f>
      </c>
      <c r="L2740">
        <f>IF('R.M Billets Reports'!I2739="","",'R.M Billets Reports'!I2739)</f>
      </c>
      <c r="M2740">
        <f t="shared" si="84"/>
      </c>
      <c r="N2740">
        <f>IF('R.M Billets Reports'!J2739="","",'R.M Billets Reports'!J2739)</f>
      </c>
      <c r="O2740">
        <f t="shared" si="85"/>
      </c>
      <c r="P2740">
        <f>IF('R.M Billets Reports'!A2739="SIZE",'R.M Billets Reports'!B2739,P2739)</f>
      </c>
    </row>
    <row r="2741" spans="1:16" x14ac:dyDescent="0.25">
      <c r="A2741">
        <f>IF(OR('R.M Billets Reports'!A2740="Date-",'R.M Billets Reports'!A2740="Date:-"),IF(IF(IF(ISNUMBER(SEARCH("Party Name:-",'R.M Billets Reports'!D2740)),TRIM('R.M Billets Reports'!F2740),IF(ISNUMBER(SEARCH("Party Name-",'R.M Billets Reports'!D2740)),TRIM(MID('R.M Billets Reports'!D2740,SEARCH("-",'R.M Billets Reports'!D2740)+1,200)),""))&lt;&gt;"",IF(ISNUMBER(SEARCH("Party Name:-",'R.M Billets Reports'!D2740)),TRIM('R.M Billets Reports'!F2740),IF(ISNUMBER(SEARCH("Party Name-",'R.M Billets Reports'!D2740)),TRIM(MID('R.M Billets Reports'!D2740,SEARCH("-",'R.M Billets Reports'!D2740)+1,200)),"")),IF(ISNUMBER(SEARCH("Party Name:-",'R.M Billets Reports'!D2741)),TRIM('R.M Billets Reports'!F2741),IF(ISNUMBER(SEARCH("Party Name-",'R.M Billets Reports'!D2741)),TRIM(MID('R.M Billets Reports'!D2741,SEARCH("-",'R.M Billets Reports'!D2741)+1,200)),"")))="VRKP ISPAT PVT LTD","VRKP",IF(IF(IF(ISNUMBER(SEARCH("Party Name:-",'R.M Billets Reports'!D2740)),TRIM('R.M Billets Reports'!F2740),IF(ISNUMBER(SEARCH("Party Name-",'R.M Billets Reports'!D2740)),TRIM(MID('R.M Billets Reports'!D2740,SEARCH("-",'R.M Billets Reports'!D2740)+1,200)),""))&lt;&gt;"",IF(ISNUMBER(SEARCH("Party Name:-",'R.M Billets Reports'!D2740)),TRIM('R.M Billets Reports'!F2740),IF(ISNUMBER(SEARCH("Party Name-",'R.M Billets Reports'!D2740)),TRIM(MID('R.M Billets Reports'!D2740,SEARCH("-",'R.M Billets Reports'!D2740)+1,200)),"")),IF(ISNUMBER(SEARCH("Party Name:-",'R.M Billets Reports'!D2741)),TRIM('R.M Billets Reports'!F2741),IF(ISNUMBER(SEARCH("Party Name-",'R.M Billets Reports'!D2741)),TRIM(MID('R.M Billets Reports'!D2741,SEARCH("-",'R.M Billets Reports'!D2741)+1,200)),"")))="SHRI RADHE","SHREE RADHE",IF(IF(IF(ISNUMBER(SEARCH("Party Name:-",'R.M Billets Reports'!D2740)),TRIM('R.M Billets Reports'!F2740),IF(ISNUMBER(SEARCH("Party Name-",'R.M Billets Reports'!D2740)),TRIM(MID('R.M Billets Reports'!D2740,SEARCH("-",'R.M Billets Reports'!D2740)+1,200)),""))&lt;&gt;"",IF(ISNUMBER(SEARCH("Party Name:-",'R.M Billets Reports'!D2740)),TRIM('R.M Billets Reports'!F2740),IF(ISNUMBER(SEARCH("Party Name-",'R.M Billets Reports'!D2740)),TRIM(MID('R.M Billets Reports'!D2740,SEARCH("-",'R.M Billets Reports'!D2740)+1,200)),"")),IF(ISNUMBER(SEARCH("Party Name:-",'R.M Billets Reports'!D2741)),TRIM('R.M Billets Reports'!F2741),IF(ISNUMBER(SEARCH("Party Name-",'R.M Billets Reports'!D2741)),TRIM(MID('R.M Billets Reports'!D2741,SEARCH("-",'R.M Billets Reports'!D2741)+1,200)),"")))="SHREE RADHE SHAKTI SPONGE AND POWER PVT. LTD.","SHREE RADHE",IF(IF(ISNUMBER(SEARCH("Party Name:-",'R.M Billets Reports'!D2740)),TRIM('R.M Billets Reports'!F2740),IF(ISNUMBER(SEARCH("Party Name-",'R.M Billets Reports'!D2740)),TRIM(MID('R.M Billets Reports'!D2740,SEARCH("-",'R.M Billets Reports'!D2740)+1,200)),""))&lt;&gt;"",IF(ISNUMBER(SEARCH("Party Name:-",'R.M Billets Reports'!D2740)),TRIM('R.M Billets Reports'!F2740),IF(ISNUMBER(SEARCH("Party Name-",'R.M Billets Reports'!D2740)),TRIM(MID('R.M Billets Reports'!D2740,SEARCH("-",'R.M Billets Reports'!D2740)+1,200)),"")),IF(ISNUMBER(SEARCH("Party Name:-",'R.M Billets Reports'!D2741)),TRIM('R.M Billets Reports'!F2741),IF(ISNUMBER(SEARCH("Party Name-",'R.M Billets Reports'!D2741)),TRIM(MID('R.M Billets Reports'!D2741,SEARCH("-",'R.M Billets Reports'!D2741)+1,200)),"")))))),IF(ROW()=2,"",A2740))</f>
      </c>
      <c r="B2741">
        <f>IF(OR('R.M Billets Reports'!A2740="Date-",'R.M Billets Reports'!A2740="Date:-"),'R.M Billets Reports'!B2740,IF(ROW()=2,"",B2740))</f>
      </c>
      <c r="C2741">
        <f>IF('R.M Billets Reports'!A2740="V.No.",'R.M Billets Reports'!B2740,IF(ROW()=2,"",C2740))</f>
      </c>
      <c r="D2741">
        <f>IF('R.M Billets Reports'!A2740&lt;&gt;"",'R.M Billets Reports'!A2740,IF(ROW()=2,"",D2740))</f>
      </c>
      <c r="E2741">
        <f>IF('R.M Billets Reports'!B2740="","",TRIM('R.M Billets Reports'!B2740))</f>
      </c>
      <c r="F2741">
        <f>'R.M Billets Reports'!C2740</f>
      </c>
      <c r="G2741">
        <f>'R.M Billets Reports'!D2740</f>
      </c>
      <c r="H2741">
        <f>'R.M Billets Reports'!E2740</f>
      </c>
      <c r="I2741">
        <f>'R.M Billets Reports'!F2740</f>
      </c>
      <c r="J2741">
        <f>'R.M Billets Reports'!G2740</f>
      </c>
      <c r="K2741">
        <f>'R.M Billets Reports'!H2740</f>
      </c>
      <c r="L2741">
        <f>IF('R.M Billets Reports'!I2740="","",'R.M Billets Reports'!I2740)</f>
      </c>
      <c r="M2741">
        <f t="shared" si="84"/>
      </c>
      <c r="N2741">
        <f>IF('R.M Billets Reports'!J2740="","",'R.M Billets Reports'!J2740)</f>
      </c>
      <c r="O2741">
        <f t="shared" si="85"/>
      </c>
      <c r="P2741">
        <f>IF('R.M Billets Reports'!A2740="SIZE",'R.M Billets Reports'!B2740,P2740)</f>
      </c>
    </row>
    <row r="2742" spans="1:16" x14ac:dyDescent="0.25">
      <c r="A2742">
        <f>IF(OR('R.M Billets Reports'!A2741="Date-",'R.M Billets Reports'!A2741="Date:-"),IF(IF(IF(ISNUMBER(SEARCH("Party Name:-",'R.M Billets Reports'!D2741)),TRIM('R.M Billets Reports'!F2741),IF(ISNUMBER(SEARCH("Party Name-",'R.M Billets Reports'!D2741)),TRIM(MID('R.M Billets Reports'!D2741,SEARCH("-",'R.M Billets Reports'!D2741)+1,200)),""))&lt;&gt;"",IF(ISNUMBER(SEARCH("Party Name:-",'R.M Billets Reports'!D2741)),TRIM('R.M Billets Reports'!F2741),IF(ISNUMBER(SEARCH("Party Name-",'R.M Billets Reports'!D2741)),TRIM(MID('R.M Billets Reports'!D2741,SEARCH("-",'R.M Billets Reports'!D2741)+1,200)),"")),IF(ISNUMBER(SEARCH("Party Name:-",'R.M Billets Reports'!D2742)),TRIM('R.M Billets Reports'!F2742),IF(ISNUMBER(SEARCH("Party Name-",'R.M Billets Reports'!D2742)),TRIM(MID('R.M Billets Reports'!D2742,SEARCH("-",'R.M Billets Reports'!D2742)+1,200)),"")))="VRKP ISPAT PVT LTD","VRKP",IF(IF(IF(ISNUMBER(SEARCH("Party Name:-",'R.M Billets Reports'!D2741)),TRIM('R.M Billets Reports'!F2741),IF(ISNUMBER(SEARCH("Party Name-",'R.M Billets Reports'!D2741)),TRIM(MID('R.M Billets Reports'!D2741,SEARCH("-",'R.M Billets Reports'!D2741)+1,200)),""))&lt;&gt;"",IF(ISNUMBER(SEARCH("Party Name:-",'R.M Billets Reports'!D2741)),TRIM('R.M Billets Reports'!F2741),IF(ISNUMBER(SEARCH("Party Name-",'R.M Billets Reports'!D2741)),TRIM(MID('R.M Billets Reports'!D2741,SEARCH("-",'R.M Billets Reports'!D2741)+1,200)),"")),IF(ISNUMBER(SEARCH("Party Name:-",'R.M Billets Reports'!D2742)),TRIM('R.M Billets Reports'!F2742),IF(ISNUMBER(SEARCH("Party Name-",'R.M Billets Reports'!D2742)),TRIM(MID('R.M Billets Reports'!D2742,SEARCH("-",'R.M Billets Reports'!D2742)+1,200)),"")))="SHRI RADHE","SHREE RADHE",IF(IF(IF(ISNUMBER(SEARCH("Party Name:-",'R.M Billets Reports'!D2741)),TRIM('R.M Billets Reports'!F2741),IF(ISNUMBER(SEARCH("Party Name-",'R.M Billets Reports'!D2741)),TRIM(MID('R.M Billets Reports'!D2741,SEARCH("-",'R.M Billets Reports'!D2741)+1,200)),""))&lt;&gt;"",IF(ISNUMBER(SEARCH("Party Name:-",'R.M Billets Reports'!D2741)),TRIM('R.M Billets Reports'!F2741),IF(ISNUMBER(SEARCH("Party Name-",'R.M Billets Reports'!D2741)),TRIM(MID('R.M Billets Reports'!D2741,SEARCH("-",'R.M Billets Reports'!D2741)+1,200)),"")),IF(ISNUMBER(SEARCH("Party Name:-",'R.M Billets Reports'!D2742)),TRIM('R.M Billets Reports'!F2742),IF(ISNUMBER(SEARCH("Party Name-",'R.M Billets Reports'!D2742)),TRIM(MID('R.M Billets Reports'!D2742,SEARCH("-",'R.M Billets Reports'!D2742)+1,200)),"")))="SHREE RADHE SHAKTI SPONGE AND POWER PVT. LTD.","SHREE RADHE",IF(IF(ISNUMBER(SEARCH("Party Name:-",'R.M Billets Reports'!D2741)),TRIM('R.M Billets Reports'!F2741),IF(ISNUMBER(SEARCH("Party Name-",'R.M Billets Reports'!D2741)),TRIM(MID('R.M Billets Reports'!D2741,SEARCH("-",'R.M Billets Reports'!D2741)+1,200)),""))&lt;&gt;"",IF(ISNUMBER(SEARCH("Party Name:-",'R.M Billets Reports'!D2741)),TRIM('R.M Billets Reports'!F2741),IF(ISNUMBER(SEARCH("Party Name-",'R.M Billets Reports'!D2741)),TRIM(MID('R.M Billets Reports'!D2741,SEARCH("-",'R.M Billets Reports'!D2741)+1,200)),"")),IF(ISNUMBER(SEARCH("Party Name:-",'R.M Billets Reports'!D2742)),TRIM('R.M Billets Reports'!F2742),IF(ISNUMBER(SEARCH("Party Name-",'R.M Billets Reports'!D2742)),TRIM(MID('R.M Billets Reports'!D2742,SEARCH("-",'R.M Billets Reports'!D2742)+1,200)),"")))))),IF(ROW()=2,"",A2741))</f>
      </c>
      <c r="B2742">
        <f>IF(OR('R.M Billets Reports'!A2741="Date-",'R.M Billets Reports'!A2741="Date:-"),'R.M Billets Reports'!B2741,IF(ROW()=2,"",B2741))</f>
      </c>
      <c r="C2742">
        <f>IF('R.M Billets Reports'!A2741="V.No.",'R.M Billets Reports'!B2741,IF(ROW()=2,"",C2741))</f>
      </c>
      <c r="D2742">
        <f>IF('R.M Billets Reports'!A2741&lt;&gt;"",'R.M Billets Reports'!A2741,IF(ROW()=2,"",D2741))</f>
      </c>
      <c r="E2742">
        <f>IF('R.M Billets Reports'!B2741="","",TRIM('R.M Billets Reports'!B2741))</f>
      </c>
      <c r="F2742">
        <f>'R.M Billets Reports'!C2741</f>
      </c>
      <c r="G2742">
        <f>'R.M Billets Reports'!D2741</f>
      </c>
      <c r="H2742">
        <f>'R.M Billets Reports'!E2741</f>
      </c>
      <c r="I2742">
        <f>'R.M Billets Reports'!F2741</f>
      </c>
      <c r="J2742">
        <f>'R.M Billets Reports'!G2741</f>
      </c>
      <c r="K2742">
        <f>'R.M Billets Reports'!H2741</f>
      </c>
      <c r="L2742">
        <f>IF('R.M Billets Reports'!I2741="","",'R.M Billets Reports'!I2741)</f>
      </c>
      <c r="M2742">
        <f t="shared" si="84"/>
      </c>
      <c r="N2742">
        <f>IF('R.M Billets Reports'!J2741="","",'R.M Billets Reports'!J2741)</f>
      </c>
      <c r="O2742">
        <f t="shared" si="85"/>
      </c>
      <c r="P2742">
        <f>IF('R.M Billets Reports'!A2741="SIZE",'R.M Billets Reports'!B2741,P2741)</f>
      </c>
    </row>
    <row r="2743" spans="1:16" x14ac:dyDescent="0.25">
      <c r="A2743">
        <f>IF(OR('R.M Billets Reports'!A2742="Date-",'R.M Billets Reports'!A2742="Date:-"),IF(IF(IF(ISNUMBER(SEARCH("Party Name:-",'R.M Billets Reports'!D2742)),TRIM('R.M Billets Reports'!F2742),IF(ISNUMBER(SEARCH("Party Name-",'R.M Billets Reports'!D2742)),TRIM(MID('R.M Billets Reports'!D2742,SEARCH("-",'R.M Billets Reports'!D2742)+1,200)),""))&lt;&gt;"",IF(ISNUMBER(SEARCH("Party Name:-",'R.M Billets Reports'!D2742)),TRIM('R.M Billets Reports'!F2742),IF(ISNUMBER(SEARCH("Party Name-",'R.M Billets Reports'!D2742)),TRIM(MID('R.M Billets Reports'!D2742,SEARCH("-",'R.M Billets Reports'!D2742)+1,200)),"")),IF(ISNUMBER(SEARCH("Party Name:-",'R.M Billets Reports'!D2743)),TRIM('R.M Billets Reports'!F2743),IF(ISNUMBER(SEARCH("Party Name-",'R.M Billets Reports'!D2743)),TRIM(MID('R.M Billets Reports'!D2743,SEARCH("-",'R.M Billets Reports'!D2743)+1,200)),"")))="VRKP ISPAT PVT LTD","VRKP",IF(IF(IF(ISNUMBER(SEARCH("Party Name:-",'R.M Billets Reports'!D2742)),TRIM('R.M Billets Reports'!F2742),IF(ISNUMBER(SEARCH("Party Name-",'R.M Billets Reports'!D2742)),TRIM(MID('R.M Billets Reports'!D2742,SEARCH("-",'R.M Billets Reports'!D2742)+1,200)),""))&lt;&gt;"",IF(ISNUMBER(SEARCH("Party Name:-",'R.M Billets Reports'!D2742)),TRIM('R.M Billets Reports'!F2742),IF(ISNUMBER(SEARCH("Party Name-",'R.M Billets Reports'!D2742)),TRIM(MID('R.M Billets Reports'!D2742,SEARCH("-",'R.M Billets Reports'!D2742)+1,200)),"")),IF(ISNUMBER(SEARCH("Party Name:-",'R.M Billets Reports'!D2743)),TRIM('R.M Billets Reports'!F2743),IF(ISNUMBER(SEARCH("Party Name-",'R.M Billets Reports'!D2743)),TRIM(MID('R.M Billets Reports'!D2743,SEARCH("-",'R.M Billets Reports'!D2743)+1,200)),"")))="SHRI RADHE","SHREE RADHE",IF(IF(IF(ISNUMBER(SEARCH("Party Name:-",'R.M Billets Reports'!D2742)),TRIM('R.M Billets Reports'!F2742),IF(ISNUMBER(SEARCH("Party Name-",'R.M Billets Reports'!D2742)),TRIM(MID('R.M Billets Reports'!D2742,SEARCH("-",'R.M Billets Reports'!D2742)+1,200)),""))&lt;&gt;"",IF(ISNUMBER(SEARCH("Party Name:-",'R.M Billets Reports'!D2742)),TRIM('R.M Billets Reports'!F2742),IF(ISNUMBER(SEARCH("Party Name-",'R.M Billets Reports'!D2742)),TRIM(MID('R.M Billets Reports'!D2742,SEARCH("-",'R.M Billets Reports'!D2742)+1,200)),"")),IF(ISNUMBER(SEARCH("Party Name:-",'R.M Billets Reports'!D2743)),TRIM('R.M Billets Reports'!F2743),IF(ISNUMBER(SEARCH("Party Name-",'R.M Billets Reports'!D2743)),TRIM(MID('R.M Billets Reports'!D2743,SEARCH("-",'R.M Billets Reports'!D2743)+1,200)),"")))="SHREE RADHE SHAKTI SPONGE AND POWER PVT. LTD.","SHREE RADHE",IF(IF(ISNUMBER(SEARCH("Party Name:-",'R.M Billets Reports'!D2742)),TRIM('R.M Billets Reports'!F2742),IF(ISNUMBER(SEARCH("Party Name-",'R.M Billets Reports'!D2742)),TRIM(MID('R.M Billets Reports'!D2742,SEARCH("-",'R.M Billets Reports'!D2742)+1,200)),""))&lt;&gt;"",IF(ISNUMBER(SEARCH("Party Name:-",'R.M Billets Reports'!D2742)),TRIM('R.M Billets Reports'!F2742),IF(ISNUMBER(SEARCH("Party Name-",'R.M Billets Reports'!D2742)),TRIM(MID('R.M Billets Reports'!D2742,SEARCH("-",'R.M Billets Reports'!D2742)+1,200)),"")),IF(ISNUMBER(SEARCH("Party Name:-",'R.M Billets Reports'!D2743)),TRIM('R.M Billets Reports'!F2743),IF(ISNUMBER(SEARCH("Party Name-",'R.M Billets Reports'!D2743)),TRIM(MID('R.M Billets Reports'!D2743,SEARCH("-",'R.M Billets Reports'!D2743)+1,200)),"")))))),IF(ROW()=2,"",A2742))</f>
      </c>
      <c r="B2743">
        <f>IF(OR('R.M Billets Reports'!A2742="Date-",'R.M Billets Reports'!A2742="Date:-"),'R.M Billets Reports'!B2742,IF(ROW()=2,"",B2742))</f>
      </c>
      <c r="C2743">
        <f>IF('R.M Billets Reports'!A2742="V.No.",'R.M Billets Reports'!B2742,IF(ROW()=2,"",C2742))</f>
      </c>
      <c r="D2743">
        <f>IF('R.M Billets Reports'!A2742&lt;&gt;"",'R.M Billets Reports'!A2742,IF(ROW()=2,"",D2742))</f>
      </c>
      <c r="E2743">
        <f>IF('R.M Billets Reports'!B2742="","",TRIM('R.M Billets Reports'!B2742))</f>
      </c>
      <c r="F2743">
        <f>'R.M Billets Reports'!C2742</f>
      </c>
      <c r="G2743">
        <f>'R.M Billets Reports'!D2742</f>
      </c>
      <c r="H2743">
        <f>'R.M Billets Reports'!E2742</f>
      </c>
      <c r="I2743">
        <f>'R.M Billets Reports'!F2742</f>
      </c>
      <c r="J2743">
        <f>'R.M Billets Reports'!G2742</f>
      </c>
      <c r="K2743">
        <f>'R.M Billets Reports'!H2742</f>
      </c>
      <c r="L2743">
        <f>IF('R.M Billets Reports'!I2742="","",'R.M Billets Reports'!I2742)</f>
      </c>
      <c r="M2743">
        <f t="shared" si="84"/>
      </c>
      <c r="N2743">
        <f>IF('R.M Billets Reports'!J2742="","",'R.M Billets Reports'!J2742)</f>
      </c>
      <c r="O2743">
        <f t="shared" si="85"/>
      </c>
      <c r="P2743">
        <f>IF('R.M Billets Reports'!A2742="SIZE",'R.M Billets Reports'!B2742,P2742)</f>
      </c>
    </row>
    <row r="2744" spans="1:16" x14ac:dyDescent="0.25">
      <c r="A2744">
        <f>IF(OR('R.M Billets Reports'!A2743="Date-",'R.M Billets Reports'!A2743="Date:-"),IF(IF(IF(ISNUMBER(SEARCH("Party Name:-",'R.M Billets Reports'!D2743)),TRIM('R.M Billets Reports'!F2743),IF(ISNUMBER(SEARCH("Party Name-",'R.M Billets Reports'!D2743)),TRIM(MID('R.M Billets Reports'!D2743,SEARCH("-",'R.M Billets Reports'!D2743)+1,200)),""))&lt;&gt;"",IF(ISNUMBER(SEARCH("Party Name:-",'R.M Billets Reports'!D2743)),TRIM('R.M Billets Reports'!F2743),IF(ISNUMBER(SEARCH("Party Name-",'R.M Billets Reports'!D2743)),TRIM(MID('R.M Billets Reports'!D2743,SEARCH("-",'R.M Billets Reports'!D2743)+1,200)),"")),IF(ISNUMBER(SEARCH("Party Name:-",'R.M Billets Reports'!D2744)),TRIM('R.M Billets Reports'!F2744),IF(ISNUMBER(SEARCH("Party Name-",'R.M Billets Reports'!D2744)),TRIM(MID('R.M Billets Reports'!D2744,SEARCH("-",'R.M Billets Reports'!D2744)+1,200)),"")))="VRKP ISPAT PVT LTD","VRKP",IF(IF(IF(ISNUMBER(SEARCH("Party Name:-",'R.M Billets Reports'!D2743)),TRIM('R.M Billets Reports'!F2743),IF(ISNUMBER(SEARCH("Party Name-",'R.M Billets Reports'!D2743)),TRIM(MID('R.M Billets Reports'!D2743,SEARCH("-",'R.M Billets Reports'!D2743)+1,200)),""))&lt;&gt;"",IF(ISNUMBER(SEARCH("Party Name:-",'R.M Billets Reports'!D2743)),TRIM('R.M Billets Reports'!F2743),IF(ISNUMBER(SEARCH("Party Name-",'R.M Billets Reports'!D2743)),TRIM(MID('R.M Billets Reports'!D2743,SEARCH("-",'R.M Billets Reports'!D2743)+1,200)),"")),IF(ISNUMBER(SEARCH("Party Name:-",'R.M Billets Reports'!D2744)),TRIM('R.M Billets Reports'!F2744),IF(ISNUMBER(SEARCH("Party Name-",'R.M Billets Reports'!D2744)),TRIM(MID('R.M Billets Reports'!D2744,SEARCH("-",'R.M Billets Reports'!D2744)+1,200)),"")))="SHRI RADHE","SHREE RADHE",IF(IF(IF(ISNUMBER(SEARCH("Party Name:-",'R.M Billets Reports'!D2743)),TRIM('R.M Billets Reports'!F2743),IF(ISNUMBER(SEARCH("Party Name-",'R.M Billets Reports'!D2743)),TRIM(MID('R.M Billets Reports'!D2743,SEARCH("-",'R.M Billets Reports'!D2743)+1,200)),""))&lt;&gt;"",IF(ISNUMBER(SEARCH("Party Name:-",'R.M Billets Reports'!D2743)),TRIM('R.M Billets Reports'!F2743),IF(ISNUMBER(SEARCH("Party Name-",'R.M Billets Reports'!D2743)),TRIM(MID('R.M Billets Reports'!D2743,SEARCH("-",'R.M Billets Reports'!D2743)+1,200)),"")),IF(ISNUMBER(SEARCH("Party Name:-",'R.M Billets Reports'!D2744)),TRIM('R.M Billets Reports'!F2744),IF(ISNUMBER(SEARCH("Party Name-",'R.M Billets Reports'!D2744)),TRIM(MID('R.M Billets Reports'!D2744,SEARCH("-",'R.M Billets Reports'!D2744)+1,200)),"")))="SHREE RADHE SHAKTI SPONGE AND POWER PVT. LTD.","SHREE RADHE",IF(IF(ISNUMBER(SEARCH("Party Name:-",'R.M Billets Reports'!D2743)),TRIM('R.M Billets Reports'!F2743),IF(ISNUMBER(SEARCH("Party Name-",'R.M Billets Reports'!D2743)),TRIM(MID('R.M Billets Reports'!D2743,SEARCH("-",'R.M Billets Reports'!D2743)+1,200)),""))&lt;&gt;"",IF(ISNUMBER(SEARCH("Party Name:-",'R.M Billets Reports'!D2743)),TRIM('R.M Billets Reports'!F2743),IF(ISNUMBER(SEARCH("Party Name-",'R.M Billets Reports'!D2743)),TRIM(MID('R.M Billets Reports'!D2743,SEARCH("-",'R.M Billets Reports'!D2743)+1,200)),"")),IF(ISNUMBER(SEARCH("Party Name:-",'R.M Billets Reports'!D2744)),TRIM('R.M Billets Reports'!F2744),IF(ISNUMBER(SEARCH("Party Name-",'R.M Billets Reports'!D2744)),TRIM(MID('R.M Billets Reports'!D2744,SEARCH("-",'R.M Billets Reports'!D2744)+1,200)),"")))))),IF(ROW()=2,"",A2743))</f>
      </c>
      <c r="B2744">
        <f>IF(OR('R.M Billets Reports'!A2743="Date-",'R.M Billets Reports'!A2743="Date:-"),'R.M Billets Reports'!B2743,IF(ROW()=2,"",B2743))</f>
      </c>
      <c r="C2744">
        <f>IF('R.M Billets Reports'!A2743="V.No.",'R.M Billets Reports'!B2743,IF(ROW()=2,"",C2743))</f>
      </c>
      <c r="D2744">
        <f>IF('R.M Billets Reports'!A2743&lt;&gt;"",'R.M Billets Reports'!A2743,IF(ROW()=2,"",D2743))</f>
      </c>
      <c r="E2744">
        <f>IF('R.M Billets Reports'!B2743="","",TRIM('R.M Billets Reports'!B2743))</f>
      </c>
      <c r="F2744">
        <f>'R.M Billets Reports'!C2743</f>
      </c>
      <c r="G2744">
        <f>'R.M Billets Reports'!D2743</f>
      </c>
      <c r="H2744">
        <f>'R.M Billets Reports'!E2743</f>
      </c>
      <c r="I2744">
        <f>'R.M Billets Reports'!F2743</f>
      </c>
      <c r="J2744">
        <f>'R.M Billets Reports'!G2743</f>
      </c>
      <c r="K2744">
        <f>'R.M Billets Reports'!H2743</f>
      </c>
      <c r="L2744">
        <f>IF('R.M Billets Reports'!I2743="","",'R.M Billets Reports'!I2743)</f>
      </c>
      <c r="M2744">
        <f t="shared" si="84"/>
      </c>
      <c r="N2744">
        <f>IF('R.M Billets Reports'!J2743="","",'R.M Billets Reports'!J2743)</f>
      </c>
      <c r="O2744">
        <f t="shared" si="85"/>
      </c>
      <c r="P2744">
        <f>IF('R.M Billets Reports'!A2743="SIZE",'R.M Billets Reports'!B2743,P2743)</f>
      </c>
    </row>
    <row r="2745" spans="1:16" x14ac:dyDescent="0.25">
      <c r="A2745">
        <f>IF(OR('R.M Billets Reports'!A2744="Date-",'R.M Billets Reports'!A2744="Date:-"),IF(IF(IF(ISNUMBER(SEARCH("Party Name:-",'R.M Billets Reports'!D2744)),TRIM('R.M Billets Reports'!F2744),IF(ISNUMBER(SEARCH("Party Name-",'R.M Billets Reports'!D2744)),TRIM(MID('R.M Billets Reports'!D2744,SEARCH("-",'R.M Billets Reports'!D2744)+1,200)),""))&lt;&gt;"",IF(ISNUMBER(SEARCH("Party Name:-",'R.M Billets Reports'!D2744)),TRIM('R.M Billets Reports'!F2744),IF(ISNUMBER(SEARCH("Party Name-",'R.M Billets Reports'!D2744)),TRIM(MID('R.M Billets Reports'!D2744,SEARCH("-",'R.M Billets Reports'!D2744)+1,200)),"")),IF(ISNUMBER(SEARCH("Party Name:-",'R.M Billets Reports'!D2745)),TRIM('R.M Billets Reports'!F2745),IF(ISNUMBER(SEARCH("Party Name-",'R.M Billets Reports'!D2745)),TRIM(MID('R.M Billets Reports'!D2745,SEARCH("-",'R.M Billets Reports'!D2745)+1,200)),"")))="VRKP ISPAT PVT LTD","VRKP",IF(IF(IF(ISNUMBER(SEARCH("Party Name:-",'R.M Billets Reports'!D2744)),TRIM('R.M Billets Reports'!F2744),IF(ISNUMBER(SEARCH("Party Name-",'R.M Billets Reports'!D2744)),TRIM(MID('R.M Billets Reports'!D2744,SEARCH("-",'R.M Billets Reports'!D2744)+1,200)),""))&lt;&gt;"",IF(ISNUMBER(SEARCH("Party Name:-",'R.M Billets Reports'!D2744)),TRIM('R.M Billets Reports'!F2744),IF(ISNUMBER(SEARCH("Party Name-",'R.M Billets Reports'!D2744)),TRIM(MID('R.M Billets Reports'!D2744,SEARCH("-",'R.M Billets Reports'!D2744)+1,200)),"")),IF(ISNUMBER(SEARCH("Party Name:-",'R.M Billets Reports'!D2745)),TRIM('R.M Billets Reports'!F2745),IF(ISNUMBER(SEARCH("Party Name-",'R.M Billets Reports'!D2745)),TRIM(MID('R.M Billets Reports'!D2745,SEARCH("-",'R.M Billets Reports'!D2745)+1,200)),"")))="SHRI RADHE","SHREE RADHE",IF(IF(IF(ISNUMBER(SEARCH("Party Name:-",'R.M Billets Reports'!D2744)),TRIM('R.M Billets Reports'!F2744),IF(ISNUMBER(SEARCH("Party Name-",'R.M Billets Reports'!D2744)),TRIM(MID('R.M Billets Reports'!D2744,SEARCH("-",'R.M Billets Reports'!D2744)+1,200)),""))&lt;&gt;"",IF(ISNUMBER(SEARCH("Party Name:-",'R.M Billets Reports'!D2744)),TRIM('R.M Billets Reports'!F2744),IF(ISNUMBER(SEARCH("Party Name-",'R.M Billets Reports'!D2744)),TRIM(MID('R.M Billets Reports'!D2744,SEARCH("-",'R.M Billets Reports'!D2744)+1,200)),"")),IF(ISNUMBER(SEARCH("Party Name:-",'R.M Billets Reports'!D2745)),TRIM('R.M Billets Reports'!F2745),IF(ISNUMBER(SEARCH("Party Name-",'R.M Billets Reports'!D2745)),TRIM(MID('R.M Billets Reports'!D2745,SEARCH("-",'R.M Billets Reports'!D2745)+1,200)),"")))="SHREE RADHE SHAKTI SPONGE AND POWER PVT. LTD.","SHREE RADHE",IF(IF(ISNUMBER(SEARCH("Party Name:-",'R.M Billets Reports'!D2744)),TRIM('R.M Billets Reports'!F2744),IF(ISNUMBER(SEARCH("Party Name-",'R.M Billets Reports'!D2744)),TRIM(MID('R.M Billets Reports'!D2744,SEARCH("-",'R.M Billets Reports'!D2744)+1,200)),""))&lt;&gt;"",IF(ISNUMBER(SEARCH("Party Name:-",'R.M Billets Reports'!D2744)),TRIM('R.M Billets Reports'!F2744),IF(ISNUMBER(SEARCH("Party Name-",'R.M Billets Reports'!D2744)),TRIM(MID('R.M Billets Reports'!D2744,SEARCH("-",'R.M Billets Reports'!D2744)+1,200)),"")),IF(ISNUMBER(SEARCH("Party Name:-",'R.M Billets Reports'!D2745)),TRIM('R.M Billets Reports'!F2745),IF(ISNUMBER(SEARCH("Party Name-",'R.M Billets Reports'!D2745)),TRIM(MID('R.M Billets Reports'!D2745,SEARCH("-",'R.M Billets Reports'!D2745)+1,200)),"")))))),IF(ROW()=2,"",A2744))</f>
      </c>
      <c r="B2745">
        <f>IF(OR('R.M Billets Reports'!A2744="Date-",'R.M Billets Reports'!A2744="Date:-"),'R.M Billets Reports'!B2744,IF(ROW()=2,"",B2744))</f>
      </c>
      <c r="C2745">
        <f>IF('R.M Billets Reports'!A2744="V.No.",'R.M Billets Reports'!B2744,IF(ROW()=2,"",C2744))</f>
      </c>
      <c r="D2745">
        <f>IF('R.M Billets Reports'!A2744&lt;&gt;"",'R.M Billets Reports'!A2744,IF(ROW()=2,"",D2744))</f>
      </c>
      <c r="E2745">
        <f>IF('R.M Billets Reports'!B2744="","",TRIM('R.M Billets Reports'!B2744))</f>
      </c>
      <c r="F2745">
        <f>'R.M Billets Reports'!C2744</f>
      </c>
      <c r="G2745">
        <f>'R.M Billets Reports'!D2744</f>
      </c>
      <c r="H2745">
        <f>'R.M Billets Reports'!E2744</f>
      </c>
      <c r="I2745">
        <f>'R.M Billets Reports'!F2744</f>
      </c>
      <c r="J2745">
        <f>'R.M Billets Reports'!G2744</f>
      </c>
      <c r="K2745">
        <f>'R.M Billets Reports'!H2744</f>
      </c>
      <c r="L2745">
        <f>IF('R.M Billets Reports'!I2744="","",'R.M Billets Reports'!I2744)</f>
      </c>
      <c r="M2745">
        <f t="shared" si="84"/>
      </c>
      <c r="N2745">
        <f>IF('R.M Billets Reports'!J2744="","",'R.M Billets Reports'!J2744)</f>
      </c>
      <c r="O2745">
        <f t="shared" si="85"/>
      </c>
      <c r="P2745">
        <f>IF('R.M Billets Reports'!A2744="SIZE",'R.M Billets Reports'!B2744,P2744)</f>
      </c>
    </row>
    <row r="2746" spans="1:16" x14ac:dyDescent="0.25">
      <c r="A2746">
        <f>IF(OR('R.M Billets Reports'!A2745="Date-",'R.M Billets Reports'!A2745="Date:-"),IF(IF(IF(ISNUMBER(SEARCH("Party Name:-",'R.M Billets Reports'!D2745)),TRIM('R.M Billets Reports'!F2745),IF(ISNUMBER(SEARCH("Party Name-",'R.M Billets Reports'!D2745)),TRIM(MID('R.M Billets Reports'!D2745,SEARCH("-",'R.M Billets Reports'!D2745)+1,200)),""))&lt;&gt;"",IF(ISNUMBER(SEARCH("Party Name:-",'R.M Billets Reports'!D2745)),TRIM('R.M Billets Reports'!F2745),IF(ISNUMBER(SEARCH("Party Name-",'R.M Billets Reports'!D2745)),TRIM(MID('R.M Billets Reports'!D2745,SEARCH("-",'R.M Billets Reports'!D2745)+1,200)),"")),IF(ISNUMBER(SEARCH("Party Name:-",'R.M Billets Reports'!D2746)),TRIM('R.M Billets Reports'!F2746),IF(ISNUMBER(SEARCH("Party Name-",'R.M Billets Reports'!D2746)),TRIM(MID('R.M Billets Reports'!D2746,SEARCH("-",'R.M Billets Reports'!D2746)+1,200)),"")))="VRKP ISPAT PVT LTD","VRKP",IF(IF(IF(ISNUMBER(SEARCH("Party Name:-",'R.M Billets Reports'!D2745)),TRIM('R.M Billets Reports'!F2745),IF(ISNUMBER(SEARCH("Party Name-",'R.M Billets Reports'!D2745)),TRIM(MID('R.M Billets Reports'!D2745,SEARCH("-",'R.M Billets Reports'!D2745)+1,200)),""))&lt;&gt;"",IF(ISNUMBER(SEARCH("Party Name:-",'R.M Billets Reports'!D2745)),TRIM('R.M Billets Reports'!F2745),IF(ISNUMBER(SEARCH("Party Name-",'R.M Billets Reports'!D2745)),TRIM(MID('R.M Billets Reports'!D2745,SEARCH("-",'R.M Billets Reports'!D2745)+1,200)),"")),IF(ISNUMBER(SEARCH("Party Name:-",'R.M Billets Reports'!D2746)),TRIM('R.M Billets Reports'!F2746),IF(ISNUMBER(SEARCH("Party Name-",'R.M Billets Reports'!D2746)),TRIM(MID('R.M Billets Reports'!D2746,SEARCH("-",'R.M Billets Reports'!D2746)+1,200)),"")))="SHRI RADHE","SHREE RADHE",IF(IF(IF(ISNUMBER(SEARCH("Party Name:-",'R.M Billets Reports'!D2745)),TRIM('R.M Billets Reports'!F2745),IF(ISNUMBER(SEARCH("Party Name-",'R.M Billets Reports'!D2745)),TRIM(MID('R.M Billets Reports'!D2745,SEARCH("-",'R.M Billets Reports'!D2745)+1,200)),""))&lt;&gt;"",IF(ISNUMBER(SEARCH("Party Name:-",'R.M Billets Reports'!D2745)),TRIM('R.M Billets Reports'!F2745),IF(ISNUMBER(SEARCH("Party Name-",'R.M Billets Reports'!D2745)),TRIM(MID('R.M Billets Reports'!D2745,SEARCH("-",'R.M Billets Reports'!D2745)+1,200)),"")),IF(ISNUMBER(SEARCH("Party Name:-",'R.M Billets Reports'!D2746)),TRIM('R.M Billets Reports'!F2746),IF(ISNUMBER(SEARCH("Party Name-",'R.M Billets Reports'!D2746)),TRIM(MID('R.M Billets Reports'!D2746,SEARCH("-",'R.M Billets Reports'!D2746)+1,200)),"")))="SHREE RADHE SHAKTI SPONGE AND POWER PVT. LTD.","SHREE RADHE",IF(IF(ISNUMBER(SEARCH("Party Name:-",'R.M Billets Reports'!D2745)),TRIM('R.M Billets Reports'!F2745),IF(ISNUMBER(SEARCH("Party Name-",'R.M Billets Reports'!D2745)),TRIM(MID('R.M Billets Reports'!D2745,SEARCH("-",'R.M Billets Reports'!D2745)+1,200)),""))&lt;&gt;"",IF(ISNUMBER(SEARCH("Party Name:-",'R.M Billets Reports'!D2745)),TRIM('R.M Billets Reports'!F2745),IF(ISNUMBER(SEARCH("Party Name-",'R.M Billets Reports'!D2745)),TRIM(MID('R.M Billets Reports'!D2745,SEARCH("-",'R.M Billets Reports'!D2745)+1,200)),"")),IF(ISNUMBER(SEARCH("Party Name:-",'R.M Billets Reports'!D2746)),TRIM('R.M Billets Reports'!F2746),IF(ISNUMBER(SEARCH("Party Name-",'R.M Billets Reports'!D2746)),TRIM(MID('R.M Billets Reports'!D2746,SEARCH("-",'R.M Billets Reports'!D2746)+1,200)),"")))))),IF(ROW()=2,"",A2745))</f>
      </c>
      <c r="B2746">
        <f>IF(OR('R.M Billets Reports'!A2745="Date-",'R.M Billets Reports'!A2745="Date:-"),'R.M Billets Reports'!B2745,IF(ROW()=2,"",B2745))</f>
      </c>
      <c r="C2746">
        <f>IF('R.M Billets Reports'!A2745="V.No.",'R.M Billets Reports'!B2745,IF(ROW()=2,"",C2745))</f>
      </c>
      <c r="D2746">
        <f>IF('R.M Billets Reports'!A2745&lt;&gt;"",'R.M Billets Reports'!A2745,IF(ROW()=2,"",D2745))</f>
      </c>
      <c r="E2746">
        <f>IF('R.M Billets Reports'!B2745="","",TRIM('R.M Billets Reports'!B2745))</f>
      </c>
      <c r="F2746">
        <f>'R.M Billets Reports'!C2745</f>
      </c>
      <c r="G2746">
        <f>'R.M Billets Reports'!D2745</f>
      </c>
      <c r="H2746">
        <f>'R.M Billets Reports'!E2745</f>
      </c>
      <c r="I2746">
        <f>'R.M Billets Reports'!F2745</f>
      </c>
      <c r="J2746">
        <f>'R.M Billets Reports'!G2745</f>
      </c>
      <c r="K2746">
        <f>'R.M Billets Reports'!H2745</f>
      </c>
      <c r="L2746">
        <f>IF('R.M Billets Reports'!I2745="","",'R.M Billets Reports'!I2745)</f>
      </c>
      <c r="M2746">
        <f t="shared" si="84"/>
      </c>
      <c r="N2746">
        <f>IF('R.M Billets Reports'!J2745="","",'R.M Billets Reports'!J2745)</f>
      </c>
      <c r="O2746">
        <f t="shared" si="85"/>
      </c>
      <c r="P2746">
        <f>IF('R.M Billets Reports'!A2745="SIZE",'R.M Billets Reports'!B2745,P2745)</f>
      </c>
    </row>
    <row r="2747" spans="1:16" x14ac:dyDescent="0.25">
      <c r="A2747">
        <f>IF(OR('R.M Billets Reports'!A2746="Date-",'R.M Billets Reports'!A2746="Date:-"),IF(IF(IF(ISNUMBER(SEARCH("Party Name:-",'R.M Billets Reports'!D2746)),TRIM('R.M Billets Reports'!F2746),IF(ISNUMBER(SEARCH("Party Name-",'R.M Billets Reports'!D2746)),TRIM(MID('R.M Billets Reports'!D2746,SEARCH("-",'R.M Billets Reports'!D2746)+1,200)),""))&lt;&gt;"",IF(ISNUMBER(SEARCH("Party Name:-",'R.M Billets Reports'!D2746)),TRIM('R.M Billets Reports'!F2746),IF(ISNUMBER(SEARCH("Party Name-",'R.M Billets Reports'!D2746)),TRIM(MID('R.M Billets Reports'!D2746,SEARCH("-",'R.M Billets Reports'!D2746)+1,200)),"")),IF(ISNUMBER(SEARCH("Party Name:-",'R.M Billets Reports'!D2747)),TRIM('R.M Billets Reports'!F2747),IF(ISNUMBER(SEARCH("Party Name-",'R.M Billets Reports'!D2747)),TRIM(MID('R.M Billets Reports'!D2747,SEARCH("-",'R.M Billets Reports'!D2747)+1,200)),"")))="VRKP ISPAT PVT LTD","VRKP",IF(IF(IF(ISNUMBER(SEARCH("Party Name:-",'R.M Billets Reports'!D2746)),TRIM('R.M Billets Reports'!F2746),IF(ISNUMBER(SEARCH("Party Name-",'R.M Billets Reports'!D2746)),TRIM(MID('R.M Billets Reports'!D2746,SEARCH("-",'R.M Billets Reports'!D2746)+1,200)),""))&lt;&gt;"",IF(ISNUMBER(SEARCH("Party Name:-",'R.M Billets Reports'!D2746)),TRIM('R.M Billets Reports'!F2746),IF(ISNUMBER(SEARCH("Party Name-",'R.M Billets Reports'!D2746)),TRIM(MID('R.M Billets Reports'!D2746,SEARCH("-",'R.M Billets Reports'!D2746)+1,200)),"")),IF(ISNUMBER(SEARCH("Party Name:-",'R.M Billets Reports'!D2747)),TRIM('R.M Billets Reports'!F2747),IF(ISNUMBER(SEARCH("Party Name-",'R.M Billets Reports'!D2747)),TRIM(MID('R.M Billets Reports'!D2747,SEARCH("-",'R.M Billets Reports'!D2747)+1,200)),"")))="SHRI RADHE","SHREE RADHE",IF(IF(IF(ISNUMBER(SEARCH("Party Name:-",'R.M Billets Reports'!D2746)),TRIM('R.M Billets Reports'!F2746),IF(ISNUMBER(SEARCH("Party Name-",'R.M Billets Reports'!D2746)),TRIM(MID('R.M Billets Reports'!D2746,SEARCH("-",'R.M Billets Reports'!D2746)+1,200)),""))&lt;&gt;"",IF(ISNUMBER(SEARCH("Party Name:-",'R.M Billets Reports'!D2746)),TRIM('R.M Billets Reports'!F2746),IF(ISNUMBER(SEARCH("Party Name-",'R.M Billets Reports'!D2746)),TRIM(MID('R.M Billets Reports'!D2746,SEARCH("-",'R.M Billets Reports'!D2746)+1,200)),"")),IF(ISNUMBER(SEARCH("Party Name:-",'R.M Billets Reports'!D2747)),TRIM('R.M Billets Reports'!F2747),IF(ISNUMBER(SEARCH("Party Name-",'R.M Billets Reports'!D2747)),TRIM(MID('R.M Billets Reports'!D2747,SEARCH("-",'R.M Billets Reports'!D2747)+1,200)),"")))="SHREE RADHE SHAKTI SPONGE AND POWER PVT. LTD.","SHREE RADHE",IF(IF(ISNUMBER(SEARCH("Party Name:-",'R.M Billets Reports'!D2746)),TRIM('R.M Billets Reports'!F2746),IF(ISNUMBER(SEARCH("Party Name-",'R.M Billets Reports'!D2746)),TRIM(MID('R.M Billets Reports'!D2746,SEARCH("-",'R.M Billets Reports'!D2746)+1,200)),""))&lt;&gt;"",IF(ISNUMBER(SEARCH("Party Name:-",'R.M Billets Reports'!D2746)),TRIM('R.M Billets Reports'!F2746),IF(ISNUMBER(SEARCH("Party Name-",'R.M Billets Reports'!D2746)),TRIM(MID('R.M Billets Reports'!D2746,SEARCH("-",'R.M Billets Reports'!D2746)+1,200)),"")),IF(ISNUMBER(SEARCH("Party Name:-",'R.M Billets Reports'!D2747)),TRIM('R.M Billets Reports'!F2747),IF(ISNUMBER(SEARCH("Party Name-",'R.M Billets Reports'!D2747)),TRIM(MID('R.M Billets Reports'!D2747,SEARCH("-",'R.M Billets Reports'!D2747)+1,200)),"")))))),IF(ROW()=2,"",A2746))</f>
      </c>
      <c r="B2747">
        <f>IF(OR('R.M Billets Reports'!A2746="Date-",'R.M Billets Reports'!A2746="Date:-"),'R.M Billets Reports'!B2746,IF(ROW()=2,"",B2746))</f>
      </c>
      <c r="C2747">
        <f>IF('R.M Billets Reports'!A2746="V.No.",'R.M Billets Reports'!B2746,IF(ROW()=2,"",C2746))</f>
      </c>
      <c r="D2747">
        <f>IF('R.M Billets Reports'!A2746&lt;&gt;"",'R.M Billets Reports'!A2746,IF(ROW()=2,"",D2746))</f>
      </c>
      <c r="E2747">
        <f>IF('R.M Billets Reports'!B2746="","",TRIM('R.M Billets Reports'!B2746))</f>
      </c>
      <c r="F2747">
        <f>'R.M Billets Reports'!C2746</f>
      </c>
      <c r="G2747">
        <f>'R.M Billets Reports'!D2746</f>
      </c>
      <c r="H2747">
        <f>'R.M Billets Reports'!E2746</f>
      </c>
      <c r="I2747">
        <f>'R.M Billets Reports'!F2746</f>
      </c>
      <c r="J2747">
        <f>'R.M Billets Reports'!G2746</f>
      </c>
      <c r="K2747">
        <f>'R.M Billets Reports'!H2746</f>
      </c>
      <c r="L2747">
        <f>IF('R.M Billets Reports'!I2746="","",'R.M Billets Reports'!I2746)</f>
      </c>
      <c r="M2747">
        <f t="shared" si="84"/>
      </c>
      <c r="N2747">
        <f>IF('R.M Billets Reports'!J2746="","",'R.M Billets Reports'!J2746)</f>
      </c>
      <c r="O2747">
        <f t="shared" si="85"/>
      </c>
      <c r="P2747">
        <f>IF('R.M Billets Reports'!A2746="SIZE",'R.M Billets Reports'!B2746,P2746)</f>
      </c>
    </row>
    <row r="2748" spans="1:16" x14ac:dyDescent="0.25">
      <c r="A2748">
        <f>IF(OR('R.M Billets Reports'!A2747="Date-",'R.M Billets Reports'!A2747="Date:-"),IF(IF(IF(ISNUMBER(SEARCH("Party Name:-",'R.M Billets Reports'!D2747)),TRIM('R.M Billets Reports'!F2747),IF(ISNUMBER(SEARCH("Party Name-",'R.M Billets Reports'!D2747)),TRIM(MID('R.M Billets Reports'!D2747,SEARCH("-",'R.M Billets Reports'!D2747)+1,200)),""))&lt;&gt;"",IF(ISNUMBER(SEARCH("Party Name:-",'R.M Billets Reports'!D2747)),TRIM('R.M Billets Reports'!F2747),IF(ISNUMBER(SEARCH("Party Name-",'R.M Billets Reports'!D2747)),TRIM(MID('R.M Billets Reports'!D2747,SEARCH("-",'R.M Billets Reports'!D2747)+1,200)),"")),IF(ISNUMBER(SEARCH("Party Name:-",'R.M Billets Reports'!D2748)),TRIM('R.M Billets Reports'!F2748),IF(ISNUMBER(SEARCH("Party Name-",'R.M Billets Reports'!D2748)),TRIM(MID('R.M Billets Reports'!D2748,SEARCH("-",'R.M Billets Reports'!D2748)+1,200)),"")))="VRKP ISPAT PVT LTD","VRKP",IF(IF(IF(ISNUMBER(SEARCH("Party Name:-",'R.M Billets Reports'!D2747)),TRIM('R.M Billets Reports'!F2747),IF(ISNUMBER(SEARCH("Party Name-",'R.M Billets Reports'!D2747)),TRIM(MID('R.M Billets Reports'!D2747,SEARCH("-",'R.M Billets Reports'!D2747)+1,200)),""))&lt;&gt;"",IF(ISNUMBER(SEARCH("Party Name:-",'R.M Billets Reports'!D2747)),TRIM('R.M Billets Reports'!F2747),IF(ISNUMBER(SEARCH("Party Name-",'R.M Billets Reports'!D2747)),TRIM(MID('R.M Billets Reports'!D2747,SEARCH("-",'R.M Billets Reports'!D2747)+1,200)),"")),IF(ISNUMBER(SEARCH("Party Name:-",'R.M Billets Reports'!D2748)),TRIM('R.M Billets Reports'!F2748),IF(ISNUMBER(SEARCH("Party Name-",'R.M Billets Reports'!D2748)),TRIM(MID('R.M Billets Reports'!D2748,SEARCH("-",'R.M Billets Reports'!D2748)+1,200)),"")))="SHRI RADHE","SHREE RADHE",IF(IF(IF(ISNUMBER(SEARCH("Party Name:-",'R.M Billets Reports'!D2747)),TRIM('R.M Billets Reports'!F2747),IF(ISNUMBER(SEARCH("Party Name-",'R.M Billets Reports'!D2747)),TRIM(MID('R.M Billets Reports'!D2747,SEARCH("-",'R.M Billets Reports'!D2747)+1,200)),""))&lt;&gt;"",IF(ISNUMBER(SEARCH("Party Name:-",'R.M Billets Reports'!D2747)),TRIM('R.M Billets Reports'!F2747),IF(ISNUMBER(SEARCH("Party Name-",'R.M Billets Reports'!D2747)),TRIM(MID('R.M Billets Reports'!D2747,SEARCH("-",'R.M Billets Reports'!D2747)+1,200)),"")),IF(ISNUMBER(SEARCH("Party Name:-",'R.M Billets Reports'!D2748)),TRIM('R.M Billets Reports'!F2748),IF(ISNUMBER(SEARCH("Party Name-",'R.M Billets Reports'!D2748)),TRIM(MID('R.M Billets Reports'!D2748,SEARCH("-",'R.M Billets Reports'!D2748)+1,200)),"")))="SHREE RADHE SHAKTI SPONGE AND POWER PVT. LTD.","SHREE RADHE",IF(IF(ISNUMBER(SEARCH("Party Name:-",'R.M Billets Reports'!D2747)),TRIM('R.M Billets Reports'!F2747),IF(ISNUMBER(SEARCH("Party Name-",'R.M Billets Reports'!D2747)),TRIM(MID('R.M Billets Reports'!D2747,SEARCH("-",'R.M Billets Reports'!D2747)+1,200)),""))&lt;&gt;"",IF(ISNUMBER(SEARCH("Party Name:-",'R.M Billets Reports'!D2747)),TRIM('R.M Billets Reports'!F2747),IF(ISNUMBER(SEARCH("Party Name-",'R.M Billets Reports'!D2747)),TRIM(MID('R.M Billets Reports'!D2747,SEARCH("-",'R.M Billets Reports'!D2747)+1,200)),"")),IF(ISNUMBER(SEARCH("Party Name:-",'R.M Billets Reports'!D2748)),TRIM('R.M Billets Reports'!F2748),IF(ISNUMBER(SEARCH("Party Name-",'R.M Billets Reports'!D2748)),TRIM(MID('R.M Billets Reports'!D2748,SEARCH("-",'R.M Billets Reports'!D2748)+1,200)),"")))))),IF(ROW()=2,"",A2747))</f>
      </c>
      <c r="B2748">
        <f>IF(OR('R.M Billets Reports'!A2747="Date-",'R.M Billets Reports'!A2747="Date:-"),'R.M Billets Reports'!B2747,IF(ROW()=2,"",B2747))</f>
      </c>
      <c r="C2748">
        <f>IF('R.M Billets Reports'!A2747="V.No.",'R.M Billets Reports'!B2747,IF(ROW()=2,"",C2747))</f>
      </c>
      <c r="D2748">
        <f>IF('R.M Billets Reports'!A2747&lt;&gt;"",'R.M Billets Reports'!A2747,IF(ROW()=2,"",D2747))</f>
      </c>
      <c r="E2748">
        <f>IF('R.M Billets Reports'!B2747="","",TRIM('R.M Billets Reports'!B2747))</f>
      </c>
      <c r="F2748">
        <f>'R.M Billets Reports'!C2747</f>
      </c>
      <c r="G2748">
        <f>'R.M Billets Reports'!D2747</f>
      </c>
      <c r="H2748">
        <f>'R.M Billets Reports'!E2747</f>
      </c>
      <c r="I2748">
        <f>'R.M Billets Reports'!F2747</f>
      </c>
      <c r="J2748">
        <f>'R.M Billets Reports'!G2747</f>
      </c>
      <c r="K2748">
        <f>'R.M Billets Reports'!H2747</f>
      </c>
      <c r="L2748">
        <f>IF('R.M Billets Reports'!I2747="","",'R.M Billets Reports'!I2747)</f>
      </c>
      <c r="M2748">
        <f t="shared" si="84"/>
      </c>
      <c r="N2748">
        <f>IF('R.M Billets Reports'!J2747="","",'R.M Billets Reports'!J2747)</f>
      </c>
      <c r="O2748">
        <f t="shared" si="85"/>
      </c>
      <c r="P2748">
        <f>IF('R.M Billets Reports'!A2747="SIZE",'R.M Billets Reports'!B2747,P2747)</f>
      </c>
    </row>
    <row r="2749" spans="1:16" x14ac:dyDescent="0.25">
      <c r="A2749">
        <f>IF(OR('R.M Billets Reports'!A2748="Date-",'R.M Billets Reports'!A2748="Date:-"),IF(IF(IF(ISNUMBER(SEARCH("Party Name:-",'R.M Billets Reports'!D2748)),TRIM('R.M Billets Reports'!F2748),IF(ISNUMBER(SEARCH("Party Name-",'R.M Billets Reports'!D2748)),TRIM(MID('R.M Billets Reports'!D2748,SEARCH("-",'R.M Billets Reports'!D2748)+1,200)),""))&lt;&gt;"",IF(ISNUMBER(SEARCH("Party Name:-",'R.M Billets Reports'!D2748)),TRIM('R.M Billets Reports'!F2748),IF(ISNUMBER(SEARCH("Party Name-",'R.M Billets Reports'!D2748)),TRIM(MID('R.M Billets Reports'!D2748,SEARCH("-",'R.M Billets Reports'!D2748)+1,200)),"")),IF(ISNUMBER(SEARCH("Party Name:-",'R.M Billets Reports'!D2749)),TRIM('R.M Billets Reports'!F2749),IF(ISNUMBER(SEARCH("Party Name-",'R.M Billets Reports'!D2749)),TRIM(MID('R.M Billets Reports'!D2749,SEARCH("-",'R.M Billets Reports'!D2749)+1,200)),"")))="VRKP ISPAT PVT LTD","VRKP",IF(IF(IF(ISNUMBER(SEARCH("Party Name:-",'R.M Billets Reports'!D2748)),TRIM('R.M Billets Reports'!F2748),IF(ISNUMBER(SEARCH("Party Name-",'R.M Billets Reports'!D2748)),TRIM(MID('R.M Billets Reports'!D2748,SEARCH("-",'R.M Billets Reports'!D2748)+1,200)),""))&lt;&gt;"",IF(ISNUMBER(SEARCH("Party Name:-",'R.M Billets Reports'!D2748)),TRIM('R.M Billets Reports'!F2748),IF(ISNUMBER(SEARCH("Party Name-",'R.M Billets Reports'!D2748)),TRIM(MID('R.M Billets Reports'!D2748,SEARCH("-",'R.M Billets Reports'!D2748)+1,200)),"")),IF(ISNUMBER(SEARCH("Party Name:-",'R.M Billets Reports'!D2749)),TRIM('R.M Billets Reports'!F2749),IF(ISNUMBER(SEARCH("Party Name-",'R.M Billets Reports'!D2749)),TRIM(MID('R.M Billets Reports'!D2749,SEARCH("-",'R.M Billets Reports'!D2749)+1,200)),"")))="SHRI RADHE","SHREE RADHE",IF(IF(IF(ISNUMBER(SEARCH("Party Name:-",'R.M Billets Reports'!D2748)),TRIM('R.M Billets Reports'!F2748),IF(ISNUMBER(SEARCH("Party Name-",'R.M Billets Reports'!D2748)),TRIM(MID('R.M Billets Reports'!D2748,SEARCH("-",'R.M Billets Reports'!D2748)+1,200)),""))&lt;&gt;"",IF(ISNUMBER(SEARCH("Party Name:-",'R.M Billets Reports'!D2748)),TRIM('R.M Billets Reports'!F2748),IF(ISNUMBER(SEARCH("Party Name-",'R.M Billets Reports'!D2748)),TRIM(MID('R.M Billets Reports'!D2748,SEARCH("-",'R.M Billets Reports'!D2748)+1,200)),"")),IF(ISNUMBER(SEARCH("Party Name:-",'R.M Billets Reports'!D2749)),TRIM('R.M Billets Reports'!F2749),IF(ISNUMBER(SEARCH("Party Name-",'R.M Billets Reports'!D2749)),TRIM(MID('R.M Billets Reports'!D2749,SEARCH("-",'R.M Billets Reports'!D2749)+1,200)),"")))="SHREE RADHE SHAKTI SPONGE AND POWER PVT. LTD.","SHREE RADHE",IF(IF(ISNUMBER(SEARCH("Party Name:-",'R.M Billets Reports'!D2748)),TRIM('R.M Billets Reports'!F2748),IF(ISNUMBER(SEARCH("Party Name-",'R.M Billets Reports'!D2748)),TRIM(MID('R.M Billets Reports'!D2748,SEARCH("-",'R.M Billets Reports'!D2748)+1,200)),""))&lt;&gt;"",IF(ISNUMBER(SEARCH("Party Name:-",'R.M Billets Reports'!D2748)),TRIM('R.M Billets Reports'!F2748),IF(ISNUMBER(SEARCH("Party Name-",'R.M Billets Reports'!D2748)),TRIM(MID('R.M Billets Reports'!D2748,SEARCH("-",'R.M Billets Reports'!D2748)+1,200)),"")),IF(ISNUMBER(SEARCH("Party Name:-",'R.M Billets Reports'!D2749)),TRIM('R.M Billets Reports'!F2749),IF(ISNUMBER(SEARCH("Party Name-",'R.M Billets Reports'!D2749)),TRIM(MID('R.M Billets Reports'!D2749,SEARCH("-",'R.M Billets Reports'!D2749)+1,200)),"")))))),IF(ROW()=2,"",A2748))</f>
      </c>
      <c r="B2749">
        <f>IF(OR('R.M Billets Reports'!A2748="Date-",'R.M Billets Reports'!A2748="Date:-"),'R.M Billets Reports'!B2748,IF(ROW()=2,"",B2748))</f>
      </c>
      <c r="C2749">
        <f>IF('R.M Billets Reports'!A2748="V.No.",'R.M Billets Reports'!B2748,IF(ROW()=2,"",C2748))</f>
      </c>
      <c r="D2749">
        <f>IF('R.M Billets Reports'!A2748&lt;&gt;"",'R.M Billets Reports'!A2748,IF(ROW()=2,"",D2748))</f>
      </c>
      <c r="E2749">
        <f>IF('R.M Billets Reports'!B2748="","",TRIM('R.M Billets Reports'!B2748))</f>
      </c>
      <c r="F2749">
        <f>'R.M Billets Reports'!C2748</f>
      </c>
      <c r="G2749">
        <f>'R.M Billets Reports'!D2748</f>
      </c>
      <c r="H2749">
        <f>'R.M Billets Reports'!E2748</f>
      </c>
      <c r="I2749">
        <f>'R.M Billets Reports'!F2748</f>
      </c>
      <c r="J2749">
        <f>'R.M Billets Reports'!G2748</f>
      </c>
      <c r="K2749">
        <f>'R.M Billets Reports'!H2748</f>
      </c>
      <c r="L2749">
        <f>IF('R.M Billets Reports'!I2748="","",'R.M Billets Reports'!I2748)</f>
      </c>
      <c r="M2749">
        <f t="shared" si="84"/>
      </c>
      <c r="N2749">
        <f>IF('R.M Billets Reports'!J2748="","",'R.M Billets Reports'!J2748)</f>
      </c>
      <c r="O2749">
        <f t="shared" si="85"/>
      </c>
      <c r="P2749">
        <f>IF('R.M Billets Reports'!A2748="SIZE",'R.M Billets Reports'!B2748,P2748)</f>
      </c>
    </row>
    <row r="2750" spans="1:16" x14ac:dyDescent="0.25">
      <c r="A2750">
        <f>IF(OR('R.M Billets Reports'!A2749="Date-",'R.M Billets Reports'!A2749="Date:-"),IF(IF(IF(ISNUMBER(SEARCH("Party Name:-",'R.M Billets Reports'!D2749)),TRIM('R.M Billets Reports'!F2749),IF(ISNUMBER(SEARCH("Party Name-",'R.M Billets Reports'!D2749)),TRIM(MID('R.M Billets Reports'!D2749,SEARCH("-",'R.M Billets Reports'!D2749)+1,200)),""))&lt;&gt;"",IF(ISNUMBER(SEARCH("Party Name:-",'R.M Billets Reports'!D2749)),TRIM('R.M Billets Reports'!F2749),IF(ISNUMBER(SEARCH("Party Name-",'R.M Billets Reports'!D2749)),TRIM(MID('R.M Billets Reports'!D2749,SEARCH("-",'R.M Billets Reports'!D2749)+1,200)),"")),IF(ISNUMBER(SEARCH("Party Name:-",'R.M Billets Reports'!D2750)),TRIM('R.M Billets Reports'!F2750),IF(ISNUMBER(SEARCH("Party Name-",'R.M Billets Reports'!D2750)),TRIM(MID('R.M Billets Reports'!D2750,SEARCH("-",'R.M Billets Reports'!D2750)+1,200)),"")))="VRKP ISPAT PVT LTD","VRKP",IF(IF(IF(ISNUMBER(SEARCH("Party Name:-",'R.M Billets Reports'!D2749)),TRIM('R.M Billets Reports'!F2749),IF(ISNUMBER(SEARCH("Party Name-",'R.M Billets Reports'!D2749)),TRIM(MID('R.M Billets Reports'!D2749,SEARCH("-",'R.M Billets Reports'!D2749)+1,200)),""))&lt;&gt;"",IF(ISNUMBER(SEARCH("Party Name:-",'R.M Billets Reports'!D2749)),TRIM('R.M Billets Reports'!F2749),IF(ISNUMBER(SEARCH("Party Name-",'R.M Billets Reports'!D2749)),TRIM(MID('R.M Billets Reports'!D2749,SEARCH("-",'R.M Billets Reports'!D2749)+1,200)),"")),IF(ISNUMBER(SEARCH("Party Name:-",'R.M Billets Reports'!D2750)),TRIM('R.M Billets Reports'!F2750),IF(ISNUMBER(SEARCH("Party Name-",'R.M Billets Reports'!D2750)),TRIM(MID('R.M Billets Reports'!D2750,SEARCH("-",'R.M Billets Reports'!D2750)+1,200)),"")))="SHRI RADHE","SHREE RADHE",IF(IF(IF(ISNUMBER(SEARCH("Party Name:-",'R.M Billets Reports'!D2749)),TRIM('R.M Billets Reports'!F2749),IF(ISNUMBER(SEARCH("Party Name-",'R.M Billets Reports'!D2749)),TRIM(MID('R.M Billets Reports'!D2749,SEARCH("-",'R.M Billets Reports'!D2749)+1,200)),""))&lt;&gt;"",IF(ISNUMBER(SEARCH("Party Name:-",'R.M Billets Reports'!D2749)),TRIM('R.M Billets Reports'!F2749),IF(ISNUMBER(SEARCH("Party Name-",'R.M Billets Reports'!D2749)),TRIM(MID('R.M Billets Reports'!D2749,SEARCH("-",'R.M Billets Reports'!D2749)+1,200)),"")),IF(ISNUMBER(SEARCH("Party Name:-",'R.M Billets Reports'!D2750)),TRIM('R.M Billets Reports'!F2750),IF(ISNUMBER(SEARCH("Party Name-",'R.M Billets Reports'!D2750)),TRIM(MID('R.M Billets Reports'!D2750,SEARCH("-",'R.M Billets Reports'!D2750)+1,200)),"")))="SHREE RADHE SHAKTI SPONGE AND POWER PVT. LTD.","SHREE RADHE",IF(IF(ISNUMBER(SEARCH("Party Name:-",'R.M Billets Reports'!D2749)),TRIM('R.M Billets Reports'!F2749),IF(ISNUMBER(SEARCH("Party Name-",'R.M Billets Reports'!D2749)),TRIM(MID('R.M Billets Reports'!D2749,SEARCH("-",'R.M Billets Reports'!D2749)+1,200)),""))&lt;&gt;"",IF(ISNUMBER(SEARCH("Party Name:-",'R.M Billets Reports'!D2749)),TRIM('R.M Billets Reports'!F2749),IF(ISNUMBER(SEARCH("Party Name-",'R.M Billets Reports'!D2749)),TRIM(MID('R.M Billets Reports'!D2749,SEARCH("-",'R.M Billets Reports'!D2749)+1,200)),"")),IF(ISNUMBER(SEARCH("Party Name:-",'R.M Billets Reports'!D2750)),TRIM('R.M Billets Reports'!F2750),IF(ISNUMBER(SEARCH("Party Name-",'R.M Billets Reports'!D2750)),TRIM(MID('R.M Billets Reports'!D2750,SEARCH("-",'R.M Billets Reports'!D2750)+1,200)),"")))))),IF(ROW()=2,"",A2749))</f>
      </c>
      <c r="B2750">
        <f>IF(OR('R.M Billets Reports'!A2749="Date-",'R.M Billets Reports'!A2749="Date:-"),'R.M Billets Reports'!B2749,IF(ROW()=2,"",B2749))</f>
      </c>
      <c r="C2750">
        <f>IF('R.M Billets Reports'!A2749="V.No.",'R.M Billets Reports'!B2749,IF(ROW()=2,"",C2749))</f>
      </c>
      <c r="D2750">
        <f>IF('R.M Billets Reports'!A2749&lt;&gt;"",'R.M Billets Reports'!A2749,IF(ROW()=2,"",D2749))</f>
      </c>
      <c r="E2750">
        <f>IF('R.M Billets Reports'!B2749="","",TRIM('R.M Billets Reports'!B2749))</f>
      </c>
      <c r="F2750">
        <f>'R.M Billets Reports'!C2749</f>
      </c>
      <c r="G2750">
        <f>'R.M Billets Reports'!D2749</f>
      </c>
      <c r="H2750">
        <f>'R.M Billets Reports'!E2749</f>
      </c>
      <c r="I2750">
        <f>'R.M Billets Reports'!F2749</f>
      </c>
      <c r="J2750">
        <f>'R.M Billets Reports'!G2749</f>
      </c>
      <c r="K2750">
        <f>'R.M Billets Reports'!H2749</f>
      </c>
      <c r="L2750">
        <f>IF('R.M Billets Reports'!I2749="","",'R.M Billets Reports'!I2749)</f>
      </c>
      <c r="M2750">
        <f t="shared" si="84"/>
      </c>
      <c r="N2750">
        <f>IF('R.M Billets Reports'!J2749="","",'R.M Billets Reports'!J2749)</f>
      </c>
      <c r="O2750">
        <f t="shared" si="85"/>
      </c>
      <c r="P2750">
        <f>IF('R.M Billets Reports'!A2749="SIZE",'R.M Billets Reports'!B2749,P2749)</f>
      </c>
    </row>
    <row r="2751" spans="1:16" x14ac:dyDescent="0.25">
      <c r="A2751">
        <f>IF(OR('R.M Billets Reports'!A2750="Date-",'R.M Billets Reports'!A2750="Date:-"),IF(IF(IF(ISNUMBER(SEARCH("Party Name:-",'R.M Billets Reports'!D2750)),TRIM('R.M Billets Reports'!F2750),IF(ISNUMBER(SEARCH("Party Name-",'R.M Billets Reports'!D2750)),TRIM(MID('R.M Billets Reports'!D2750,SEARCH("-",'R.M Billets Reports'!D2750)+1,200)),""))&lt;&gt;"",IF(ISNUMBER(SEARCH("Party Name:-",'R.M Billets Reports'!D2750)),TRIM('R.M Billets Reports'!F2750),IF(ISNUMBER(SEARCH("Party Name-",'R.M Billets Reports'!D2750)),TRIM(MID('R.M Billets Reports'!D2750,SEARCH("-",'R.M Billets Reports'!D2750)+1,200)),"")),IF(ISNUMBER(SEARCH("Party Name:-",'R.M Billets Reports'!D2751)),TRIM('R.M Billets Reports'!F2751),IF(ISNUMBER(SEARCH("Party Name-",'R.M Billets Reports'!D2751)),TRIM(MID('R.M Billets Reports'!D2751,SEARCH("-",'R.M Billets Reports'!D2751)+1,200)),"")))="VRKP ISPAT PVT LTD","VRKP",IF(IF(IF(ISNUMBER(SEARCH("Party Name:-",'R.M Billets Reports'!D2750)),TRIM('R.M Billets Reports'!F2750),IF(ISNUMBER(SEARCH("Party Name-",'R.M Billets Reports'!D2750)),TRIM(MID('R.M Billets Reports'!D2750,SEARCH("-",'R.M Billets Reports'!D2750)+1,200)),""))&lt;&gt;"",IF(ISNUMBER(SEARCH("Party Name:-",'R.M Billets Reports'!D2750)),TRIM('R.M Billets Reports'!F2750),IF(ISNUMBER(SEARCH("Party Name-",'R.M Billets Reports'!D2750)),TRIM(MID('R.M Billets Reports'!D2750,SEARCH("-",'R.M Billets Reports'!D2750)+1,200)),"")),IF(ISNUMBER(SEARCH("Party Name:-",'R.M Billets Reports'!D2751)),TRIM('R.M Billets Reports'!F2751),IF(ISNUMBER(SEARCH("Party Name-",'R.M Billets Reports'!D2751)),TRIM(MID('R.M Billets Reports'!D2751,SEARCH("-",'R.M Billets Reports'!D2751)+1,200)),"")))="SHRI RADHE","SHREE RADHE",IF(IF(IF(ISNUMBER(SEARCH("Party Name:-",'R.M Billets Reports'!D2750)),TRIM('R.M Billets Reports'!F2750),IF(ISNUMBER(SEARCH("Party Name-",'R.M Billets Reports'!D2750)),TRIM(MID('R.M Billets Reports'!D2750,SEARCH("-",'R.M Billets Reports'!D2750)+1,200)),""))&lt;&gt;"",IF(ISNUMBER(SEARCH("Party Name:-",'R.M Billets Reports'!D2750)),TRIM('R.M Billets Reports'!F2750),IF(ISNUMBER(SEARCH("Party Name-",'R.M Billets Reports'!D2750)),TRIM(MID('R.M Billets Reports'!D2750,SEARCH("-",'R.M Billets Reports'!D2750)+1,200)),"")),IF(ISNUMBER(SEARCH("Party Name:-",'R.M Billets Reports'!D2751)),TRIM('R.M Billets Reports'!F2751),IF(ISNUMBER(SEARCH("Party Name-",'R.M Billets Reports'!D2751)),TRIM(MID('R.M Billets Reports'!D2751,SEARCH("-",'R.M Billets Reports'!D2751)+1,200)),"")))="SHREE RADHE SHAKTI SPONGE AND POWER PVT. LTD.","SHREE RADHE",IF(IF(ISNUMBER(SEARCH("Party Name:-",'R.M Billets Reports'!D2750)),TRIM('R.M Billets Reports'!F2750),IF(ISNUMBER(SEARCH("Party Name-",'R.M Billets Reports'!D2750)),TRIM(MID('R.M Billets Reports'!D2750,SEARCH("-",'R.M Billets Reports'!D2750)+1,200)),""))&lt;&gt;"",IF(ISNUMBER(SEARCH("Party Name:-",'R.M Billets Reports'!D2750)),TRIM('R.M Billets Reports'!F2750),IF(ISNUMBER(SEARCH("Party Name-",'R.M Billets Reports'!D2750)),TRIM(MID('R.M Billets Reports'!D2750,SEARCH("-",'R.M Billets Reports'!D2750)+1,200)),"")),IF(ISNUMBER(SEARCH("Party Name:-",'R.M Billets Reports'!D2751)),TRIM('R.M Billets Reports'!F2751),IF(ISNUMBER(SEARCH("Party Name-",'R.M Billets Reports'!D2751)),TRIM(MID('R.M Billets Reports'!D2751,SEARCH("-",'R.M Billets Reports'!D2751)+1,200)),"")))))),IF(ROW()=2,"",A2750))</f>
      </c>
      <c r="B2751">
        <f>IF(OR('R.M Billets Reports'!A2750="Date-",'R.M Billets Reports'!A2750="Date:-"),'R.M Billets Reports'!B2750,IF(ROW()=2,"",B2750))</f>
      </c>
      <c r="C2751">
        <f>IF('R.M Billets Reports'!A2750="V.No.",'R.M Billets Reports'!B2750,IF(ROW()=2,"",C2750))</f>
      </c>
      <c r="D2751">
        <f>IF('R.M Billets Reports'!A2750&lt;&gt;"",'R.M Billets Reports'!A2750,IF(ROW()=2,"",D2750))</f>
      </c>
      <c r="E2751">
        <f>IF('R.M Billets Reports'!B2750="","",TRIM('R.M Billets Reports'!B2750))</f>
      </c>
      <c r="F2751">
        <f>'R.M Billets Reports'!C2750</f>
      </c>
      <c r="G2751">
        <f>'R.M Billets Reports'!D2750</f>
      </c>
      <c r="H2751">
        <f>'R.M Billets Reports'!E2750</f>
      </c>
      <c r="I2751">
        <f>'R.M Billets Reports'!F2750</f>
      </c>
      <c r="J2751">
        <f>'R.M Billets Reports'!G2750</f>
      </c>
      <c r="K2751">
        <f>'R.M Billets Reports'!H2750</f>
      </c>
      <c r="L2751">
        <f>IF('R.M Billets Reports'!I2750="","",'R.M Billets Reports'!I2750)</f>
      </c>
      <c r="M2751">
        <f t="shared" si="84"/>
      </c>
      <c r="N2751">
        <f>IF('R.M Billets Reports'!J2750="","",'R.M Billets Reports'!J2750)</f>
      </c>
      <c r="O2751">
        <f t="shared" si="85"/>
      </c>
      <c r="P2751">
        <f>IF('R.M Billets Reports'!A2750="SIZE",'R.M Billets Reports'!B2750,P2750)</f>
      </c>
    </row>
    <row r="2752" spans="1:16" x14ac:dyDescent="0.25">
      <c r="A2752">
        <f>IF(OR('R.M Billets Reports'!A2751="Date-",'R.M Billets Reports'!A2751="Date:-"),IF(IF(IF(ISNUMBER(SEARCH("Party Name:-",'R.M Billets Reports'!D2751)),TRIM('R.M Billets Reports'!F2751),IF(ISNUMBER(SEARCH("Party Name-",'R.M Billets Reports'!D2751)),TRIM(MID('R.M Billets Reports'!D2751,SEARCH("-",'R.M Billets Reports'!D2751)+1,200)),""))&lt;&gt;"",IF(ISNUMBER(SEARCH("Party Name:-",'R.M Billets Reports'!D2751)),TRIM('R.M Billets Reports'!F2751),IF(ISNUMBER(SEARCH("Party Name-",'R.M Billets Reports'!D2751)),TRIM(MID('R.M Billets Reports'!D2751,SEARCH("-",'R.M Billets Reports'!D2751)+1,200)),"")),IF(ISNUMBER(SEARCH("Party Name:-",'R.M Billets Reports'!D2752)),TRIM('R.M Billets Reports'!F2752),IF(ISNUMBER(SEARCH("Party Name-",'R.M Billets Reports'!D2752)),TRIM(MID('R.M Billets Reports'!D2752,SEARCH("-",'R.M Billets Reports'!D2752)+1,200)),"")))="VRKP ISPAT PVT LTD","VRKP",IF(IF(IF(ISNUMBER(SEARCH("Party Name:-",'R.M Billets Reports'!D2751)),TRIM('R.M Billets Reports'!F2751),IF(ISNUMBER(SEARCH("Party Name-",'R.M Billets Reports'!D2751)),TRIM(MID('R.M Billets Reports'!D2751,SEARCH("-",'R.M Billets Reports'!D2751)+1,200)),""))&lt;&gt;"",IF(ISNUMBER(SEARCH("Party Name:-",'R.M Billets Reports'!D2751)),TRIM('R.M Billets Reports'!F2751),IF(ISNUMBER(SEARCH("Party Name-",'R.M Billets Reports'!D2751)),TRIM(MID('R.M Billets Reports'!D2751,SEARCH("-",'R.M Billets Reports'!D2751)+1,200)),"")),IF(ISNUMBER(SEARCH("Party Name:-",'R.M Billets Reports'!D2752)),TRIM('R.M Billets Reports'!F2752),IF(ISNUMBER(SEARCH("Party Name-",'R.M Billets Reports'!D2752)),TRIM(MID('R.M Billets Reports'!D2752,SEARCH("-",'R.M Billets Reports'!D2752)+1,200)),"")))="SHRI RADHE","SHREE RADHE",IF(IF(IF(ISNUMBER(SEARCH("Party Name:-",'R.M Billets Reports'!D2751)),TRIM('R.M Billets Reports'!F2751),IF(ISNUMBER(SEARCH("Party Name-",'R.M Billets Reports'!D2751)),TRIM(MID('R.M Billets Reports'!D2751,SEARCH("-",'R.M Billets Reports'!D2751)+1,200)),""))&lt;&gt;"",IF(ISNUMBER(SEARCH("Party Name:-",'R.M Billets Reports'!D2751)),TRIM('R.M Billets Reports'!F2751),IF(ISNUMBER(SEARCH("Party Name-",'R.M Billets Reports'!D2751)),TRIM(MID('R.M Billets Reports'!D2751,SEARCH("-",'R.M Billets Reports'!D2751)+1,200)),"")),IF(ISNUMBER(SEARCH("Party Name:-",'R.M Billets Reports'!D2752)),TRIM('R.M Billets Reports'!F2752),IF(ISNUMBER(SEARCH("Party Name-",'R.M Billets Reports'!D2752)),TRIM(MID('R.M Billets Reports'!D2752,SEARCH("-",'R.M Billets Reports'!D2752)+1,200)),"")))="SHREE RADHE SHAKTI SPONGE AND POWER PVT. LTD.","SHREE RADHE",IF(IF(ISNUMBER(SEARCH("Party Name:-",'R.M Billets Reports'!D2751)),TRIM('R.M Billets Reports'!F2751),IF(ISNUMBER(SEARCH("Party Name-",'R.M Billets Reports'!D2751)),TRIM(MID('R.M Billets Reports'!D2751,SEARCH("-",'R.M Billets Reports'!D2751)+1,200)),""))&lt;&gt;"",IF(ISNUMBER(SEARCH("Party Name:-",'R.M Billets Reports'!D2751)),TRIM('R.M Billets Reports'!F2751),IF(ISNUMBER(SEARCH("Party Name-",'R.M Billets Reports'!D2751)),TRIM(MID('R.M Billets Reports'!D2751,SEARCH("-",'R.M Billets Reports'!D2751)+1,200)),"")),IF(ISNUMBER(SEARCH("Party Name:-",'R.M Billets Reports'!D2752)),TRIM('R.M Billets Reports'!F2752),IF(ISNUMBER(SEARCH("Party Name-",'R.M Billets Reports'!D2752)),TRIM(MID('R.M Billets Reports'!D2752,SEARCH("-",'R.M Billets Reports'!D2752)+1,200)),"")))))),IF(ROW()=2,"",A2751))</f>
      </c>
      <c r="B2752">
        <f>IF(OR('R.M Billets Reports'!A2751="Date-",'R.M Billets Reports'!A2751="Date:-"),'R.M Billets Reports'!B2751,IF(ROW()=2,"",B2751))</f>
      </c>
      <c r="C2752">
        <f>IF('R.M Billets Reports'!A2751="V.No.",'R.M Billets Reports'!B2751,IF(ROW()=2,"",C2751))</f>
      </c>
      <c r="D2752">
        <f>IF('R.M Billets Reports'!A2751&lt;&gt;"",'R.M Billets Reports'!A2751,IF(ROW()=2,"",D2751))</f>
      </c>
      <c r="E2752">
        <f>IF('R.M Billets Reports'!B2751="","",TRIM('R.M Billets Reports'!B2751))</f>
      </c>
      <c r="F2752">
        <f>'R.M Billets Reports'!C2751</f>
      </c>
      <c r="G2752">
        <f>'R.M Billets Reports'!D2751</f>
      </c>
      <c r="H2752">
        <f>'R.M Billets Reports'!E2751</f>
      </c>
      <c r="I2752">
        <f>'R.M Billets Reports'!F2751</f>
      </c>
      <c r="J2752">
        <f>'R.M Billets Reports'!G2751</f>
      </c>
      <c r="K2752">
        <f>'R.M Billets Reports'!H2751</f>
      </c>
      <c r="L2752">
        <f>IF('R.M Billets Reports'!I2751="","",'R.M Billets Reports'!I2751)</f>
      </c>
      <c r="M2752">
        <f t="shared" si="84"/>
      </c>
      <c r="N2752">
        <f>IF('R.M Billets Reports'!J2751="","",'R.M Billets Reports'!J2751)</f>
      </c>
      <c r="O2752">
        <f t="shared" si="85"/>
      </c>
      <c r="P2752">
        <f>IF('R.M Billets Reports'!A2751="SIZE",'R.M Billets Reports'!B2751,P2751)</f>
      </c>
    </row>
    <row r="2753" spans="1:16" x14ac:dyDescent="0.25">
      <c r="A2753">
        <f>IF(OR('R.M Billets Reports'!A2752="Date-",'R.M Billets Reports'!A2752="Date:-"),IF(IF(IF(ISNUMBER(SEARCH("Party Name:-",'R.M Billets Reports'!D2752)),TRIM('R.M Billets Reports'!F2752),IF(ISNUMBER(SEARCH("Party Name-",'R.M Billets Reports'!D2752)),TRIM(MID('R.M Billets Reports'!D2752,SEARCH("-",'R.M Billets Reports'!D2752)+1,200)),""))&lt;&gt;"",IF(ISNUMBER(SEARCH("Party Name:-",'R.M Billets Reports'!D2752)),TRIM('R.M Billets Reports'!F2752),IF(ISNUMBER(SEARCH("Party Name-",'R.M Billets Reports'!D2752)),TRIM(MID('R.M Billets Reports'!D2752,SEARCH("-",'R.M Billets Reports'!D2752)+1,200)),"")),IF(ISNUMBER(SEARCH("Party Name:-",'R.M Billets Reports'!D2753)),TRIM('R.M Billets Reports'!F2753),IF(ISNUMBER(SEARCH("Party Name-",'R.M Billets Reports'!D2753)),TRIM(MID('R.M Billets Reports'!D2753,SEARCH("-",'R.M Billets Reports'!D2753)+1,200)),"")))="VRKP ISPAT PVT LTD","VRKP",IF(IF(IF(ISNUMBER(SEARCH("Party Name:-",'R.M Billets Reports'!D2752)),TRIM('R.M Billets Reports'!F2752),IF(ISNUMBER(SEARCH("Party Name-",'R.M Billets Reports'!D2752)),TRIM(MID('R.M Billets Reports'!D2752,SEARCH("-",'R.M Billets Reports'!D2752)+1,200)),""))&lt;&gt;"",IF(ISNUMBER(SEARCH("Party Name:-",'R.M Billets Reports'!D2752)),TRIM('R.M Billets Reports'!F2752),IF(ISNUMBER(SEARCH("Party Name-",'R.M Billets Reports'!D2752)),TRIM(MID('R.M Billets Reports'!D2752,SEARCH("-",'R.M Billets Reports'!D2752)+1,200)),"")),IF(ISNUMBER(SEARCH("Party Name:-",'R.M Billets Reports'!D2753)),TRIM('R.M Billets Reports'!F2753),IF(ISNUMBER(SEARCH("Party Name-",'R.M Billets Reports'!D2753)),TRIM(MID('R.M Billets Reports'!D2753,SEARCH("-",'R.M Billets Reports'!D2753)+1,200)),"")))="SHRI RADHE","SHREE RADHE",IF(IF(IF(ISNUMBER(SEARCH("Party Name:-",'R.M Billets Reports'!D2752)),TRIM('R.M Billets Reports'!F2752),IF(ISNUMBER(SEARCH("Party Name-",'R.M Billets Reports'!D2752)),TRIM(MID('R.M Billets Reports'!D2752,SEARCH("-",'R.M Billets Reports'!D2752)+1,200)),""))&lt;&gt;"",IF(ISNUMBER(SEARCH("Party Name:-",'R.M Billets Reports'!D2752)),TRIM('R.M Billets Reports'!F2752),IF(ISNUMBER(SEARCH("Party Name-",'R.M Billets Reports'!D2752)),TRIM(MID('R.M Billets Reports'!D2752,SEARCH("-",'R.M Billets Reports'!D2752)+1,200)),"")),IF(ISNUMBER(SEARCH("Party Name:-",'R.M Billets Reports'!D2753)),TRIM('R.M Billets Reports'!F2753),IF(ISNUMBER(SEARCH("Party Name-",'R.M Billets Reports'!D2753)),TRIM(MID('R.M Billets Reports'!D2753,SEARCH("-",'R.M Billets Reports'!D2753)+1,200)),"")))="SHREE RADHE SHAKTI SPONGE AND POWER PVT. LTD.","SHREE RADHE",IF(IF(ISNUMBER(SEARCH("Party Name:-",'R.M Billets Reports'!D2752)),TRIM('R.M Billets Reports'!F2752),IF(ISNUMBER(SEARCH("Party Name-",'R.M Billets Reports'!D2752)),TRIM(MID('R.M Billets Reports'!D2752,SEARCH("-",'R.M Billets Reports'!D2752)+1,200)),""))&lt;&gt;"",IF(ISNUMBER(SEARCH("Party Name:-",'R.M Billets Reports'!D2752)),TRIM('R.M Billets Reports'!F2752),IF(ISNUMBER(SEARCH("Party Name-",'R.M Billets Reports'!D2752)),TRIM(MID('R.M Billets Reports'!D2752,SEARCH("-",'R.M Billets Reports'!D2752)+1,200)),"")),IF(ISNUMBER(SEARCH("Party Name:-",'R.M Billets Reports'!D2753)),TRIM('R.M Billets Reports'!F2753),IF(ISNUMBER(SEARCH("Party Name-",'R.M Billets Reports'!D2753)),TRIM(MID('R.M Billets Reports'!D2753,SEARCH("-",'R.M Billets Reports'!D2753)+1,200)),"")))))),IF(ROW()=2,"",A2752))</f>
      </c>
      <c r="B2753">
        <f>IF(OR('R.M Billets Reports'!A2752="Date-",'R.M Billets Reports'!A2752="Date:-"),'R.M Billets Reports'!B2752,IF(ROW()=2,"",B2752))</f>
      </c>
      <c r="C2753">
        <f>IF('R.M Billets Reports'!A2752="V.No.",'R.M Billets Reports'!B2752,IF(ROW()=2,"",C2752))</f>
      </c>
      <c r="D2753">
        <f>IF('R.M Billets Reports'!A2752&lt;&gt;"",'R.M Billets Reports'!A2752,IF(ROW()=2,"",D2752))</f>
      </c>
      <c r="E2753">
        <f>IF('R.M Billets Reports'!B2752="","",TRIM('R.M Billets Reports'!B2752))</f>
      </c>
      <c r="F2753">
        <f>'R.M Billets Reports'!C2752</f>
      </c>
      <c r="G2753">
        <f>'R.M Billets Reports'!D2752</f>
      </c>
      <c r="H2753">
        <f>'R.M Billets Reports'!E2752</f>
      </c>
      <c r="I2753">
        <f>'R.M Billets Reports'!F2752</f>
      </c>
      <c r="J2753">
        <f>'R.M Billets Reports'!G2752</f>
      </c>
      <c r="K2753">
        <f>'R.M Billets Reports'!H2752</f>
      </c>
      <c r="L2753">
        <f>IF('R.M Billets Reports'!I2752="","",'R.M Billets Reports'!I2752)</f>
      </c>
      <c r="M2753">
        <f t="shared" si="84"/>
      </c>
      <c r="N2753">
        <f>IF('R.M Billets Reports'!J2752="","",'R.M Billets Reports'!J2752)</f>
      </c>
      <c r="O2753">
        <f t="shared" si="85"/>
      </c>
      <c r="P2753">
        <f>IF('R.M Billets Reports'!A2752="SIZE",'R.M Billets Reports'!B2752,P2752)</f>
      </c>
    </row>
    <row r="2754" spans="1:16" x14ac:dyDescent="0.25">
      <c r="A2754">
        <f>IF(OR('R.M Billets Reports'!A2753="Date-",'R.M Billets Reports'!A2753="Date:-"),IF(IF(IF(ISNUMBER(SEARCH("Party Name:-",'R.M Billets Reports'!D2753)),TRIM('R.M Billets Reports'!F2753),IF(ISNUMBER(SEARCH("Party Name-",'R.M Billets Reports'!D2753)),TRIM(MID('R.M Billets Reports'!D2753,SEARCH("-",'R.M Billets Reports'!D2753)+1,200)),""))&lt;&gt;"",IF(ISNUMBER(SEARCH("Party Name:-",'R.M Billets Reports'!D2753)),TRIM('R.M Billets Reports'!F2753),IF(ISNUMBER(SEARCH("Party Name-",'R.M Billets Reports'!D2753)),TRIM(MID('R.M Billets Reports'!D2753,SEARCH("-",'R.M Billets Reports'!D2753)+1,200)),"")),IF(ISNUMBER(SEARCH("Party Name:-",'R.M Billets Reports'!D2754)),TRIM('R.M Billets Reports'!F2754),IF(ISNUMBER(SEARCH("Party Name-",'R.M Billets Reports'!D2754)),TRIM(MID('R.M Billets Reports'!D2754,SEARCH("-",'R.M Billets Reports'!D2754)+1,200)),"")))="VRKP ISPAT PVT LTD","VRKP",IF(IF(IF(ISNUMBER(SEARCH("Party Name:-",'R.M Billets Reports'!D2753)),TRIM('R.M Billets Reports'!F2753),IF(ISNUMBER(SEARCH("Party Name-",'R.M Billets Reports'!D2753)),TRIM(MID('R.M Billets Reports'!D2753,SEARCH("-",'R.M Billets Reports'!D2753)+1,200)),""))&lt;&gt;"",IF(ISNUMBER(SEARCH("Party Name:-",'R.M Billets Reports'!D2753)),TRIM('R.M Billets Reports'!F2753),IF(ISNUMBER(SEARCH("Party Name-",'R.M Billets Reports'!D2753)),TRIM(MID('R.M Billets Reports'!D2753,SEARCH("-",'R.M Billets Reports'!D2753)+1,200)),"")),IF(ISNUMBER(SEARCH("Party Name:-",'R.M Billets Reports'!D2754)),TRIM('R.M Billets Reports'!F2754),IF(ISNUMBER(SEARCH("Party Name-",'R.M Billets Reports'!D2754)),TRIM(MID('R.M Billets Reports'!D2754,SEARCH("-",'R.M Billets Reports'!D2754)+1,200)),"")))="SHRI RADHE","SHREE RADHE",IF(IF(IF(ISNUMBER(SEARCH("Party Name:-",'R.M Billets Reports'!D2753)),TRIM('R.M Billets Reports'!F2753),IF(ISNUMBER(SEARCH("Party Name-",'R.M Billets Reports'!D2753)),TRIM(MID('R.M Billets Reports'!D2753,SEARCH("-",'R.M Billets Reports'!D2753)+1,200)),""))&lt;&gt;"",IF(ISNUMBER(SEARCH("Party Name:-",'R.M Billets Reports'!D2753)),TRIM('R.M Billets Reports'!F2753),IF(ISNUMBER(SEARCH("Party Name-",'R.M Billets Reports'!D2753)),TRIM(MID('R.M Billets Reports'!D2753,SEARCH("-",'R.M Billets Reports'!D2753)+1,200)),"")),IF(ISNUMBER(SEARCH("Party Name:-",'R.M Billets Reports'!D2754)),TRIM('R.M Billets Reports'!F2754),IF(ISNUMBER(SEARCH("Party Name-",'R.M Billets Reports'!D2754)),TRIM(MID('R.M Billets Reports'!D2754,SEARCH("-",'R.M Billets Reports'!D2754)+1,200)),"")))="SHREE RADHE SHAKTI SPONGE AND POWER PVT. LTD.","SHREE RADHE",IF(IF(ISNUMBER(SEARCH("Party Name:-",'R.M Billets Reports'!D2753)),TRIM('R.M Billets Reports'!F2753),IF(ISNUMBER(SEARCH("Party Name-",'R.M Billets Reports'!D2753)),TRIM(MID('R.M Billets Reports'!D2753,SEARCH("-",'R.M Billets Reports'!D2753)+1,200)),""))&lt;&gt;"",IF(ISNUMBER(SEARCH("Party Name:-",'R.M Billets Reports'!D2753)),TRIM('R.M Billets Reports'!F2753),IF(ISNUMBER(SEARCH("Party Name-",'R.M Billets Reports'!D2753)),TRIM(MID('R.M Billets Reports'!D2753,SEARCH("-",'R.M Billets Reports'!D2753)+1,200)),"")),IF(ISNUMBER(SEARCH("Party Name:-",'R.M Billets Reports'!D2754)),TRIM('R.M Billets Reports'!F2754),IF(ISNUMBER(SEARCH("Party Name-",'R.M Billets Reports'!D2754)),TRIM(MID('R.M Billets Reports'!D2754,SEARCH("-",'R.M Billets Reports'!D2754)+1,200)),"")))))),IF(ROW()=2,"",A2753))</f>
      </c>
      <c r="B2754">
        <f>IF(OR('R.M Billets Reports'!A2753="Date-",'R.M Billets Reports'!A2753="Date:-"),'R.M Billets Reports'!B2753,IF(ROW()=2,"",B2753))</f>
      </c>
      <c r="C2754">
        <f>IF('R.M Billets Reports'!A2753="V.No.",'R.M Billets Reports'!B2753,IF(ROW()=2,"",C2753))</f>
      </c>
      <c r="D2754">
        <f>IF('R.M Billets Reports'!A2753&lt;&gt;"",'R.M Billets Reports'!A2753,IF(ROW()=2,"",D2753))</f>
      </c>
      <c r="E2754">
        <f>IF('R.M Billets Reports'!B2753="","",TRIM('R.M Billets Reports'!B2753))</f>
      </c>
      <c r="F2754">
        <f>'R.M Billets Reports'!C2753</f>
      </c>
      <c r="G2754">
        <f>'R.M Billets Reports'!D2753</f>
      </c>
      <c r="H2754">
        <f>'R.M Billets Reports'!E2753</f>
      </c>
      <c r="I2754">
        <f>'R.M Billets Reports'!F2753</f>
      </c>
      <c r="J2754">
        <f>'R.M Billets Reports'!G2753</f>
      </c>
      <c r="K2754">
        <f>'R.M Billets Reports'!H2753</f>
      </c>
      <c r="L2754">
        <f>IF('R.M Billets Reports'!I2753="","",'R.M Billets Reports'!I2753)</f>
      </c>
      <c r="M2754">
        <f t="shared" si="84"/>
      </c>
      <c r="N2754">
        <f>IF('R.M Billets Reports'!J2753="","",'R.M Billets Reports'!J2753)</f>
      </c>
      <c r="O2754">
        <f t="shared" si="85"/>
      </c>
      <c r="P2754">
        <f>IF('R.M Billets Reports'!A2753="SIZE",'R.M Billets Reports'!B2753,P2753)</f>
      </c>
    </row>
    <row r="2755" spans="1:16" x14ac:dyDescent="0.25">
      <c r="A2755">
        <f>IF(OR('R.M Billets Reports'!A2754="Date-",'R.M Billets Reports'!A2754="Date:-"),IF(IF(IF(ISNUMBER(SEARCH("Party Name:-",'R.M Billets Reports'!D2754)),TRIM('R.M Billets Reports'!F2754),IF(ISNUMBER(SEARCH("Party Name-",'R.M Billets Reports'!D2754)),TRIM(MID('R.M Billets Reports'!D2754,SEARCH("-",'R.M Billets Reports'!D2754)+1,200)),""))&lt;&gt;"",IF(ISNUMBER(SEARCH("Party Name:-",'R.M Billets Reports'!D2754)),TRIM('R.M Billets Reports'!F2754),IF(ISNUMBER(SEARCH("Party Name-",'R.M Billets Reports'!D2754)),TRIM(MID('R.M Billets Reports'!D2754,SEARCH("-",'R.M Billets Reports'!D2754)+1,200)),"")),IF(ISNUMBER(SEARCH("Party Name:-",'R.M Billets Reports'!D2755)),TRIM('R.M Billets Reports'!F2755),IF(ISNUMBER(SEARCH("Party Name-",'R.M Billets Reports'!D2755)),TRIM(MID('R.M Billets Reports'!D2755,SEARCH("-",'R.M Billets Reports'!D2755)+1,200)),"")))="VRKP ISPAT PVT LTD","VRKP",IF(IF(IF(ISNUMBER(SEARCH("Party Name:-",'R.M Billets Reports'!D2754)),TRIM('R.M Billets Reports'!F2754),IF(ISNUMBER(SEARCH("Party Name-",'R.M Billets Reports'!D2754)),TRIM(MID('R.M Billets Reports'!D2754,SEARCH("-",'R.M Billets Reports'!D2754)+1,200)),""))&lt;&gt;"",IF(ISNUMBER(SEARCH("Party Name:-",'R.M Billets Reports'!D2754)),TRIM('R.M Billets Reports'!F2754),IF(ISNUMBER(SEARCH("Party Name-",'R.M Billets Reports'!D2754)),TRIM(MID('R.M Billets Reports'!D2754,SEARCH("-",'R.M Billets Reports'!D2754)+1,200)),"")),IF(ISNUMBER(SEARCH("Party Name:-",'R.M Billets Reports'!D2755)),TRIM('R.M Billets Reports'!F2755),IF(ISNUMBER(SEARCH("Party Name-",'R.M Billets Reports'!D2755)),TRIM(MID('R.M Billets Reports'!D2755,SEARCH("-",'R.M Billets Reports'!D2755)+1,200)),"")))="SHRI RADHE","SHREE RADHE",IF(IF(IF(ISNUMBER(SEARCH("Party Name:-",'R.M Billets Reports'!D2754)),TRIM('R.M Billets Reports'!F2754),IF(ISNUMBER(SEARCH("Party Name-",'R.M Billets Reports'!D2754)),TRIM(MID('R.M Billets Reports'!D2754,SEARCH("-",'R.M Billets Reports'!D2754)+1,200)),""))&lt;&gt;"",IF(ISNUMBER(SEARCH("Party Name:-",'R.M Billets Reports'!D2754)),TRIM('R.M Billets Reports'!F2754),IF(ISNUMBER(SEARCH("Party Name-",'R.M Billets Reports'!D2754)),TRIM(MID('R.M Billets Reports'!D2754,SEARCH("-",'R.M Billets Reports'!D2754)+1,200)),"")),IF(ISNUMBER(SEARCH("Party Name:-",'R.M Billets Reports'!D2755)),TRIM('R.M Billets Reports'!F2755),IF(ISNUMBER(SEARCH("Party Name-",'R.M Billets Reports'!D2755)),TRIM(MID('R.M Billets Reports'!D2755,SEARCH("-",'R.M Billets Reports'!D2755)+1,200)),"")))="SHREE RADHE SHAKTI SPONGE AND POWER PVT. LTD.","SHREE RADHE",IF(IF(ISNUMBER(SEARCH("Party Name:-",'R.M Billets Reports'!D2754)),TRIM('R.M Billets Reports'!F2754),IF(ISNUMBER(SEARCH("Party Name-",'R.M Billets Reports'!D2754)),TRIM(MID('R.M Billets Reports'!D2754,SEARCH("-",'R.M Billets Reports'!D2754)+1,200)),""))&lt;&gt;"",IF(ISNUMBER(SEARCH("Party Name:-",'R.M Billets Reports'!D2754)),TRIM('R.M Billets Reports'!F2754),IF(ISNUMBER(SEARCH("Party Name-",'R.M Billets Reports'!D2754)),TRIM(MID('R.M Billets Reports'!D2754,SEARCH("-",'R.M Billets Reports'!D2754)+1,200)),"")),IF(ISNUMBER(SEARCH("Party Name:-",'R.M Billets Reports'!D2755)),TRIM('R.M Billets Reports'!F2755),IF(ISNUMBER(SEARCH("Party Name-",'R.M Billets Reports'!D2755)),TRIM(MID('R.M Billets Reports'!D2755,SEARCH("-",'R.M Billets Reports'!D2755)+1,200)),"")))))),IF(ROW()=2,"",A2754))</f>
      </c>
      <c r="B2755">
        <f>IF(OR('R.M Billets Reports'!A2754="Date-",'R.M Billets Reports'!A2754="Date:-"),'R.M Billets Reports'!B2754,IF(ROW()=2,"",B2754))</f>
      </c>
      <c r="C2755">
        <f>IF('R.M Billets Reports'!A2754="V.No.",'R.M Billets Reports'!B2754,IF(ROW()=2,"",C2754))</f>
      </c>
      <c r="D2755">
        <f>IF('R.M Billets Reports'!A2754&lt;&gt;"",'R.M Billets Reports'!A2754,IF(ROW()=2,"",D2754))</f>
      </c>
      <c r="E2755">
        <f>IF('R.M Billets Reports'!B2754="","",TRIM('R.M Billets Reports'!B2754))</f>
      </c>
      <c r="F2755">
        <f>'R.M Billets Reports'!C2754</f>
      </c>
      <c r="G2755">
        <f>'R.M Billets Reports'!D2754</f>
      </c>
      <c r="H2755">
        <f>'R.M Billets Reports'!E2754</f>
      </c>
      <c r="I2755">
        <f>'R.M Billets Reports'!F2754</f>
      </c>
      <c r="J2755">
        <f>'R.M Billets Reports'!G2754</f>
      </c>
      <c r="K2755">
        <f>'R.M Billets Reports'!H2754</f>
      </c>
      <c r="L2755">
        <f>IF('R.M Billets Reports'!I2754="","",'R.M Billets Reports'!I2754)</f>
      </c>
      <c r="M2755">
        <f t="shared" ref="M2755:M2818" si="86">IF(L2755&lt;&gt;"",L2755,IF(D2755=D2754,M2754,""))</f>
      </c>
      <c r="N2755">
        <f>IF('R.M Billets Reports'!J2754="","",'R.M Billets Reports'!J2754)</f>
      </c>
      <c r="O2755">
        <f t="shared" ref="O2755:O2818" si="87">IF(N2755&lt;&gt;"",N2755,IF(D2755=D2754,O2754,""))</f>
      </c>
      <c r="P2755">
        <f>IF('R.M Billets Reports'!A2754="SIZE",'R.M Billets Reports'!B2754,P2754)</f>
      </c>
    </row>
    <row r="2756" spans="1:16" x14ac:dyDescent="0.25">
      <c r="A2756">
        <f>IF(OR('R.M Billets Reports'!A2755="Date-",'R.M Billets Reports'!A2755="Date:-"),IF(IF(IF(ISNUMBER(SEARCH("Party Name:-",'R.M Billets Reports'!D2755)),TRIM('R.M Billets Reports'!F2755),IF(ISNUMBER(SEARCH("Party Name-",'R.M Billets Reports'!D2755)),TRIM(MID('R.M Billets Reports'!D2755,SEARCH("-",'R.M Billets Reports'!D2755)+1,200)),""))&lt;&gt;"",IF(ISNUMBER(SEARCH("Party Name:-",'R.M Billets Reports'!D2755)),TRIM('R.M Billets Reports'!F2755),IF(ISNUMBER(SEARCH("Party Name-",'R.M Billets Reports'!D2755)),TRIM(MID('R.M Billets Reports'!D2755,SEARCH("-",'R.M Billets Reports'!D2755)+1,200)),"")),IF(ISNUMBER(SEARCH("Party Name:-",'R.M Billets Reports'!D2756)),TRIM('R.M Billets Reports'!F2756),IF(ISNUMBER(SEARCH("Party Name-",'R.M Billets Reports'!D2756)),TRIM(MID('R.M Billets Reports'!D2756,SEARCH("-",'R.M Billets Reports'!D2756)+1,200)),"")))="VRKP ISPAT PVT LTD","VRKP",IF(IF(IF(ISNUMBER(SEARCH("Party Name:-",'R.M Billets Reports'!D2755)),TRIM('R.M Billets Reports'!F2755),IF(ISNUMBER(SEARCH("Party Name-",'R.M Billets Reports'!D2755)),TRIM(MID('R.M Billets Reports'!D2755,SEARCH("-",'R.M Billets Reports'!D2755)+1,200)),""))&lt;&gt;"",IF(ISNUMBER(SEARCH("Party Name:-",'R.M Billets Reports'!D2755)),TRIM('R.M Billets Reports'!F2755),IF(ISNUMBER(SEARCH("Party Name-",'R.M Billets Reports'!D2755)),TRIM(MID('R.M Billets Reports'!D2755,SEARCH("-",'R.M Billets Reports'!D2755)+1,200)),"")),IF(ISNUMBER(SEARCH("Party Name:-",'R.M Billets Reports'!D2756)),TRIM('R.M Billets Reports'!F2756),IF(ISNUMBER(SEARCH("Party Name-",'R.M Billets Reports'!D2756)),TRIM(MID('R.M Billets Reports'!D2756,SEARCH("-",'R.M Billets Reports'!D2756)+1,200)),"")))="SHRI RADHE","SHREE RADHE",IF(IF(IF(ISNUMBER(SEARCH("Party Name:-",'R.M Billets Reports'!D2755)),TRIM('R.M Billets Reports'!F2755),IF(ISNUMBER(SEARCH("Party Name-",'R.M Billets Reports'!D2755)),TRIM(MID('R.M Billets Reports'!D2755,SEARCH("-",'R.M Billets Reports'!D2755)+1,200)),""))&lt;&gt;"",IF(ISNUMBER(SEARCH("Party Name:-",'R.M Billets Reports'!D2755)),TRIM('R.M Billets Reports'!F2755),IF(ISNUMBER(SEARCH("Party Name-",'R.M Billets Reports'!D2755)),TRIM(MID('R.M Billets Reports'!D2755,SEARCH("-",'R.M Billets Reports'!D2755)+1,200)),"")),IF(ISNUMBER(SEARCH("Party Name:-",'R.M Billets Reports'!D2756)),TRIM('R.M Billets Reports'!F2756),IF(ISNUMBER(SEARCH("Party Name-",'R.M Billets Reports'!D2756)),TRIM(MID('R.M Billets Reports'!D2756,SEARCH("-",'R.M Billets Reports'!D2756)+1,200)),"")))="SHREE RADHE SHAKTI SPONGE AND POWER PVT. LTD.","SHREE RADHE",IF(IF(ISNUMBER(SEARCH("Party Name:-",'R.M Billets Reports'!D2755)),TRIM('R.M Billets Reports'!F2755),IF(ISNUMBER(SEARCH("Party Name-",'R.M Billets Reports'!D2755)),TRIM(MID('R.M Billets Reports'!D2755,SEARCH("-",'R.M Billets Reports'!D2755)+1,200)),""))&lt;&gt;"",IF(ISNUMBER(SEARCH("Party Name:-",'R.M Billets Reports'!D2755)),TRIM('R.M Billets Reports'!F2755),IF(ISNUMBER(SEARCH("Party Name-",'R.M Billets Reports'!D2755)),TRIM(MID('R.M Billets Reports'!D2755,SEARCH("-",'R.M Billets Reports'!D2755)+1,200)),"")),IF(ISNUMBER(SEARCH("Party Name:-",'R.M Billets Reports'!D2756)),TRIM('R.M Billets Reports'!F2756),IF(ISNUMBER(SEARCH("Party Name-",'R.M Billets Reports'!D2756)),TRIM(MID('R.M Billets Reports'!D2756,SEARCH("-",'R.M Billets Reports'!D2756)+1,200)),"")))))),IF(ROW()=2,"",A2755))</f>
      </c>
      <c r="B2756">
        <f>IF(OR('R.M Billets Reports'!A2755="Date-",'R.M Billets Reports'!A2755="Date:-"),'R.M Billets Reports'!B2755,IF(ROW()=2,"",B2755))</f>
      </c>
      <c r="C2756">
        <f>IF('R.M Billets Reports'!A2755="V.No.",'R.M Billets Reports'!B2755,IF(ROW()=2,"",C2755))</f>
      </c>
      <c r="D2756">
        <f>IF('R.M Billets Reports'!A2755&lt;&gt;"",'R.M Billets Reports'!A2755,IF(ROW()=2,"",D2755))</f>
      </c>
      <c r="E2756">
        <f>IF('R.M Billets Reports'!B2755="","",TRIM('R.M Billets Reports'!B2755))</f>
      </c>
      <c r="F2756">
        <f>'R.M Billets Reports'!C2755</f>
      </c>
      <c r="G2756">
        <f>'R.M Billets Reports'!D2755</f>
      </c>
      <c r="H2756">
        <f>'R.M Billets Reports'!E2755</f>
      </c>
      <c r="I2756">
        <f>'R.M Billets Reports'!F2755</f>
      </c>
      <c r="J2756">
        <f>'R.M Billets Reports'!G2755</f>
      </c>
      <c r="K2756">
        <f>'R.M Billets Reports'!H2755</f>
      </c>
      <c r="L2756">
        <f>IF('R.M Billets Reports'!I2755="","",'R.M Billets Reports'!I2755)</f>
      </c>
      <c r="M2756">
        <f t="shared" si="86"/>
      </c>
      <c r="N2756">
        <f>IF('R.M Billets Reports'!J2755="","",'R.M Billets Reports'!J2755)</f>
      </c>
      <c r="O2756">
        <f t="shared" si="87"/>
      </c>
      <c r="P2756">
        <f>IF('R.M Billets Reports'!A2755="SIZE",'R.M Billets Reports'!B2755,P2755)</f>
      </c>
    </row>
    <row r="2757" spans="1:16" x14ac:dyDescent="0.25">
      <c r="A2757">
        <f>IF(OR('R.M Billets Reports'!A2756="Date-",'R.M Billets Reports'!A2756="Date:-"),IF(IF(IF(ISNUMBER(SEARCH("Party Name:-",'R.M Billets Reports'!D2756)),TRIM('R.M Billets Reports'!F2756),IF(ISNUMBER(SEARCH("Party Name-",'R.M Billets Reports'!D2756)),TRIM(MID('R.M Billets Reports'!D2756,SEARCH("-",'R.M Billets Reports'!D2756)+1,200)),""))&lt;&gt;"",IF(ISNUMBER(SEARCH("Party Name:-",'R.M Billets Reports'!D2756)),TRIM('R.M Billets Reports'!F2756),IF(ISNUMBER(SEARCH("Party Name-",'R.M Billets Reports'!D2756)),TRIM(MID('R.M Billets Reports'!D2756,SEARCH("-",'R.M Billets Reports'!D2756)+1,200)),"")),IF(ISNUMBER(SEARCH("Party Name:-",'R.M Billets Reports'!D2757)),TRIM('R.M Billets Reports'!F2757),IF(ISNUMBER(SEARCH("Party Name-",'R.M Billets Reports'!D2757)),TRIM(MID('R.M Billets Reports'!D2757,SEARCH("-",'R.M Billets Reports'!D2757)+1,200)),"")))="VRKP ISPAT PVT LTD","VRKP",IF(IF(IF(ISNUMBER(SEARCH("Party Name:-",'R.M Billets Reports'!D2756)),TRIM('R.M Billets Reports'!F2756),IF(ISNUMBER(SEARCH("Party Name-",'R.M Billets Reports'!D2756)),TRIM(MID('R.M Billets Reports'!D2756,SEARCH("-",'R.M Billets Reports'!D2756)+1,200)),""))&lt;&gt;"",IF(ISNUMBER(SEARCH("Party Name:-",'R.M Billets Reports'!D2756)),TRIM('R.M Billets Reports'!F2756),IF(ISNUMBER(SEARCH("Party Name-",'R.M Billets Reports'!D2756)),TRIM(MID('R.M Billets Reports'!D2756,SEARCH("-",'R.M Billets Reports'!D2756)+1,200)),"")),IF(ISNUMBER(SEARCH("Party Name:-",'R.M Billets Reports'!D2757)),TRIM('R.M Billets Reports'!F2757),IF(ISNUMBER(SEARCH("Party Name-",'R.M Billets Reports'!D2757)),TRIM(MID('R.M Billets Reports'!D2757,SEARCH("-",'R.M Billets Reports'!D2757)+1,200)),"")))="SHRI RADHE","SHREE RADHE",IF(IF(IF(ISNUMBER(SEARCH("Party Name:-",'R.M Billets Reports'!D2756)),TRIM('R.M Billets Reports'!F2756),IF(ISNUMBER(SEARCH("Party Name-",'R.M Billets Reports'!D2756)),TRIM(MID('R.M Billets Reports'!D2756,SEARCH("-",'R.M Billets Reports'!D2756)+1,200)),""))&lt;&gt;"",IF(ISNUMBER(SEARCH("Party Name:-",'R.M Billets Reports'!D2756)),TRIM('R.M Billets Reports'!F2756),IF(ISNUMBER(SEARCH("Party Name-",'R.M Billets Reports'!D2756)),TRIM(MID('R.M Billets Reports'!D2756,SEARCH("-",'R.M Billets Reports'!D2756)+1,200)),"")),IF(ISNUMBER(SEARCH("Party Name:-",'R.M Billets Reports'!D2757)),TRIM('R.M Billets Reports'!F2757),IF(ISNUMBER(SEARCH("Party Name-",'R.M Billets Reports'!D2757)),TRIM(MID('R.M Billets Reports'!D2757,SEARCH("-",'R.M Billets Reports'!D2757)+1,200)),"")))="SHREE RADHE SHAKTI SPONGE AND POWER PVT. LTD.","SHREE RADHE",IF(IF(ISNUMBER(SEARCH("Party Name:-",'R.M Billets Reports'!D2756)),TRIM('R.M Billets Reports'!F2756),IF(ISNUMBER(SEARCH("Party Name-",'R.M Billets Reports'!D2756)),TRIM(MID('R.M Billets Reports'!D2756,SEARCH("-",'R.M Billets Reports'!D2756)+1,200)),""))&lt;&gt;"",IF(ISNUMBER(SEARCH("Party Name:-",'R.M Billets Reports'!D2756)),TRIM('R.M Billets Reports'!F2756),IF(ISNUMBER(SEARCH("Party Name-",'R.M Billets Reports'!D2756)),TRIM(MID('R.M Billets Reports'!D2756,SEARCH("-",'R.M Billets Reports'!D2756)+1,200)),"")),IF(ISNUMBER(SEARCH("Party Name:-",'R.M Billets Reports'!D2757)),TRIM('R.M Billets Reports'!F2757),IF(ISNUMBER(SEARCH("Party Name-",'R.M Billets Reports'!D2757)),TRIM(MID('R.M Billets Reports'!D2757,SEARCH("-",'R.M Billets Reports'!D2757)+1,200)),"")))))),IF(ROW()=2,"",A2756))</f>
      </c>
      <c r="B2757">
        <f>IF(OR('R.M Billets Reports'!A2756="Date-",'R.M Billets Reports'!A2756="Date:-"),'R.M Billets Reports'!B2756,IF(ROW()=2,"",B2756))</f>
      </c>
      <c r="C2757">
        <f>IF('R.M Billets Reports'!A2756="V.No.",'R.M Billets Reports'!B2756,IF(ROW()=2,"",C2756))</f>
      </c>
      <c r="D2757">
        <f>IF('R.M Billets Reports'!A2756&lt;&gt;"",'R.M Billets Reports'!A2756,IF(ROW()=2,"",D2756))</f>
      </c>
      <c r="E2757">
        <f>IF('R.M Billets Reports'!B2756="","",TRIM('R.M Billets Reports'!B2756))</f>
      </c>
      <c r="F2757">
        <f>'R.M Billets Reports'!C2756</f>
      </c>
      <c r="G2757">
        <f>'R.M Billets Reports'!D2756</f>
      </c>
      <c r="H2757">
        <f>'R.M Billets Reports'!E2756</f>
      </c>
      <c r="I2757">
        <f>'R.M Billets Reports'!F2756</f>
      </c>
      <c r="J2757">
        <f>'R.M Billets Reports'!G2756</f>
      </c>
      <c r="K2757">
        <f>'R.M Billets Reports'!H2756</f>
      </c>
      <c r="L2757">
        <f>IF('R.M Billets Reports'!I2756="","",'R.M Billets Reports'!I2756)</f>
      </c>
      <c r="M2757">
        <f t="shared" si="86"/>
      </c>
      <c r="N2757">
        <f>IF('R.M Billets Reports'!J2756="","",'R.M Billets Reports'!J2756)</f>
      </c>
      <c r="O2757">
        <f t="shared" si="87"/>
      </c>
      <c r="P2757">
        <f>IF('R.M Billets Reports'!A2756="SIZE",'R.M Billets Reports'!B2756,P2756)</f>
      </c>
    </row>
    <row r="2758" spans="1:16" x14ac:dyDescent="0.25">
      <c r="A2758">
        <f>IF(OR('R.M Billets Reports'!A2757="Date-",'R.M Billets Reports'!A2757="Date:-"),IF(IF(IF(ISNUMBER(SEARCH("Party Name:-",'R.M Billets Reports'!D2757)),TRIM('R.M Billets Reports'!F2757),IF(ISNUMBER(SEARCH("Party Name-",'R.M Billets Reports'!D2757)),TRIM(MID('R.M Billets Reports'!D2757,SEARCH("-",'R.M Billets Reports'!D2757)+1,200)),""))&lt;&gt;"",IF(ISNUMBER(SEARCH("Party Name:-",'R.M Billets Reports'!D2757)),TRIM('R.M Billets Reports'!F2757),IF(ISNUMBER(SEARCH("Party Name-",'R.M Billets Reports'!D2757)),TRIM(MID('R.M Billets Reports'!D2757,SEARCH("-",'R.M Billets Reports'!D2757)+1,200)),"")),IF(ISNUMBER(SEARCH("Party Name:-",'R.M Billets Reports'!D2758)),TRIM('R.M Billets Reports'!F2758),IF(ISNUMBER(SEARCH("Party Name-",'R.M Billets Reports'!D2758)),TRIM(MID('R.M Billets Reports'!D2758,SEARCH("-",'R.M Billets Reports'!D2758)+1,200)),"")))="VRKP ISPAT PVT LTD","VRKP",IF(IF(IF(ISNUMBER(SEARCH("Party Name:-",'R.M Billets Reports'!D2757)),TRIM('R.M Billets Reports'!F2757),IF(ISNUMBER(SEARCH("Party Name-",'R.M Billets Reports'!D2757)),TRIM(MID('R.M Billets Reports'!D2757,SEARCH("-",'R.M Billets Reports'!D2757)+1,200)),""))&lt;&gt;"",IF(ISNUMBER(SEARCH("Party Name:-",'R.M Billets Reports'!D2757)),TRIM('R.M Billets Reports'!F2757),IF(ISNUMBER(SEARCH("Party Name-",'R.M Billets Reports'!D2757)),TRIM(MID('R.M Billets Reports'!D2757,SEARCH("-",'R.M Billets Reports'!D2757)+1,200)),"")),IF(ISNUMBER(SEARCH("Party Name:-",'R.M Billets Reports'!D2758)),TRIM('R.M Billets Reports'!F2758),IF(ISNUMBER(SEARCH("Party Name-",'R.M Billets Reports'!D2758)),TRIM(MID('R.M Billets Reports'!D2758,SEARCH("-",'R.M Billets Reports'!D2758)+1,200)),"")))="SHRI RADHE","SHREE RADHE",IF(IF(IF(ISNUMBER(SEARCH("Party Name:-",'R.M Billets Reports'!D2757)),TRIM('R.M Billets Reports'!F2757),IF(ISNUMBER(SEARCH("Party Name-",'R.M Billets Reports'!D2757)),TRIM(MID('R.M Billets Reports'!D2757,SEARCH("-",'R.M Billets Reports'!D2757)+1,200)),""))&lt;&gt;"",IF(ISNUMBER(SEARCH("Party Name:-",'R.M Billets Reports'!D2757)),TRIM('R.M Billets Reports'!F2757),IF(ISNUMBER(SEARCH("Party Name-",'R.M Billets Reports'!D2757)),TRIM(MID('R.M Billets Reports'!D2757,SEARCH("-",'R.M Billets Reports'!D2757)+1,200)),"")),IF(ISNUMBER(SEARCH("Party Name:-",'R.M Billets Reports'!D2758)),TRIM('R.M Billets Reports'!F2758),IF(ISNUMBER(SEARCH("Party Name-",'R.M Billets Reports'!D2758)),TRIM(MID('R.M Billets Reports'!D2758,SEARCH("-",'R.M Billets Reports'!D2758)+1,200)),"")))="SHREE RADHE SHAKTI SPONGE AND POWER PVT. LTD.","SHREE RADHE",IF(IF(ISNUMBER(SEARCH("Party Name:-",'R.M Billets Reports'!D2757)),TRIM('R.M Billets Reports'!F2757),IF(ISNUMBER(SEARCH("Party Name-",'R.M Billets Reports'!D2757)),TRIM(MID('R.M Billets Reports'!D2757,SEARCH("-",'R.M Billets Reports'!D2757)+1,200)),""))&lt;&gt;"",IF(ISNUMBER(SEARCH("Party Name:-",'R.M Billets Reports'!D2757)),TRIM('R.M Billets Reports'!F2757),IF(ISNUMBER(SEARCH("Party Name-",'R.M Billets Reports'!D2757)),TRIM(MID('R.M Billets Reports'!D2757,SEARCH("-",'R.M Billets Reports'!D2757)+1,200)),"")),IF(ISNUMBER(SEARCH("Party Name:-",'R.M Billets Reports'!D2758)),TRIM('R.M Billets Reports'!F2758),IF(ISNUMBER(SEARCH("Party Name-",'R.M Billets Reports'!D2758)),TRIM(MID('R.M Billets Reports'!D2758,SEARCH("-",'R.M Billets Reports'!D2758)+1,200)),"")))))),IF(ROW()=2,"",A2757))</f>
      </c>
      <c r="B2758">
        <f>IF(OR('R.M Billets Reports'!A2757="Date-",'R.M Billets Reports'!A2757="Date:-"),'R.M Billets Reports'!B2757,IF(ROW()=2,"",B2757))</f>
      </c>
      <c r="C2758">
        <f>IF('R.M Billets Reports'!A2757="V.No.",'R.M Billets Reports'!B2757,IF(ROW()=2,"",C2757))</f>
      </c>
      <c r="D2758">
        <f>IF('R.M Billets Reports'!A2757&lt;&gt;"",'R.M Billets Reports'!A2757,IF(ROW()=2,"",D2757))</f>
      </c>
      <c r="E2758">
        <f>IF('R.M Billets Reports'!B2757="","",TRIM('R.M Billets Reports'!B2757))</f>
      </c>
      <c r="F2758">
        <f>'R.M Billets Reports'!C2757</f>
      </c>
      <c r="G2758">
        <f>'R.M Billets Reports'!D2757</f>
      </c>
      <c r="H2758">
        <f>'R.M Billets Reports'!E2757</f>
      </c>
      <c r="I2758">
        <f>'R.M Billets Reports'!F2757</f>
      </c>
      <c r="J2758">
        <f>'R.M Billets Reports'!G2757</f>
      </c>
      <c r="K2758">
        <f>'R.M Billets Reports'!H2757</f>
      </c>
      <c r="L2758">
        <f>IF('R.M Billets Reports'!I2757="","",'R.M Billets Reports'!I2757)</f>
      </c>
      <c r="M2758">
        <f t="shared" si="86"/>
      </c>
      <c r="N2758">
        <f>IF('R.M Billets Reports'!J2757="","",'R.M Billets Reports'!J2757)</f>
      </c>
      <c r="O2758">
        <f t="shared" si="87"/>
      </c>
      <c r="P2758">
        <f>IF('R.M Billets Reports'!A2757="SIZE",'R.M Billets Reports'!B2757,P2757)</f>
      </c>
    </row>
    <row r="2759" spans="1:16" x14ac:dyDescent="0.25">
      <c r="A2759">
        <f>IF(OR('R.M Billets Reports'!A2758="Date-",'R.M Billets Reports'!A2758="Date:-"),IF(IF(IF(ISNUMBER(SEARCH("Party Name:-",'R.M Billets Reports'!D2758)),TRIM('R.M Billets Reports'!F2758),IF(ISNUMBER(SEARCH("Party Name-",'R.M Billets Reports'!D2758)),TRIM(MID('R.M Billets Reports'!D2758,SEARCH("-",'R.M Billets Reports'!D2758)+1,200)),""))&lt;&gt;"",IF(ISNUMBER(SEARCH("Party Name:-",'R.M Billets Reports'!D2758)),TRIM('R.M Billets Reports'!F2758),IF(ISNUMBER(SEARCH("Party Name-",'R.M Billets Reports'!D2758)),TRIM(MID('R.M Billets Reports'!D2758,SEARCH("-",'R.M Billets Reports'!D2758)+1,200)),"")),IF(ISNUMBER(SEARCH("Party Name:-",'R.M Billets Reports'!D2759)),TRIM('R.M Billets Reports'!F2759),IF(ISNUMBER(SEARCH("Party Name-",'R.M Billets Reports'!D2759)),TRIM(MID('R.M Billets Reports'!D2759,SEARCH("-",'R.M Billets Reports'!D2759)+1,200)),"")))="VRKP ISPAT PVT LTD","VRKP",IF(IF(IF(ISNUMBER(SEARCH("Party Name:-",'R.M Billets Reports'!D2758)),TRIM('R.M Billets Reports'!F2758),IF(ISNUMBER(SEARCH("Party Name-",'R.M Billets Reports'!D2758)),TRIM(MID('R.M Billets Reports'!D2758,SEARCH("-",'R.M Billets Reports'!D2758)+1,200)),""))&lt;&gt;"",IF(ISNUMBER(SEARCH("Party Name:-",'R.M Billets Reports'!D2758)),TRIM('R.M Billets Reports'!F2758),IF(ISNUMBER(SEARCH("Party Name-",'R.M Billets Reports'!D2758)),TRIM(MID('R.M Billets Reports'!D2758,SEARCH("-",'R.M Billets Reports'!D2758)+1,200)),"")),IF(ISNUMBER(SEARCH("Party Name:-",'R.M Billets Reports'!D2759)),TRIM('R.M Billets Reports'!F2759),IF(ISNUMBER(SEARCH("Party Name-",'R.M Billets Reports'!D2759)),TRIM(MID('R.M Billets Reports'!D2759,SEARCH("-",'R.M Billets Reports'!D2759)+1,200)),"")))="SHRI RADHE","SHREE RADHE",IF(IF(IF(ISNUMBER(SEARCH("Party Name:-",'R.M Billets Reports'!D2758)),TRIM('R.M Billets Reports'!F2758),IF(ISNUMBER(SEARCH("Party Name-",'R.M Billets Reports'!D2758)),TRIM(MID('R.M Billets Reports'!D2758,SEARCH("-",'R.M Billets Reports'!D2758)+1,200)),""))&lt;&gt;"",IF(ISNUMBER(SEARCH("Party Name:-",'R.M Billets Reports'!D2758)),TRIM('R.M Billets Reports'!F2758),IF(ISNUMBER(SEARCH("Party Name-",'R.M Billets Reports'!D2758)),TRIM(MID('R.M Billets Reports'!D2758,SEARCH("-",'R.M Billets Reports'!D2758)+1,200)),"")),IF(ISNUMBER(SEARCH("Party Name:-",'R.M Billets Reports'!D2759)),TRIM('R.M Billets Reports'!F2759),IF(ISNUMBER(SEARCH("Party Name-",'R.M Billets Reports'!D2759)),TRIM(MID('R.M Billets Reports'!D2759,SEARCH("-",'R.M Billets Reports'!D2759)+1,200)),"")))="SHREE RADHE SHAKTI SPONGE AND POWER PVT. LTD.","SHREE RADHE",IF(IF(ISNUMBER(SEARCH("Party Name:-",'R.M Billets Reports'!D2758)),TRIM('R.M Billets Reports'!F2758),IF(ISNUMBER(SEARCH("Party Name-",'R.M Billets Reports'!D2758)),TRIM(MID('R.M Billets Reports'!D2758,SEARCH("-",'R.M Billets Reports'!D2758)+1,200)),""))&lt;&gt;"",IF(ISNUMBER(SEARCH("Party Name:-",'R.M Billets Reports'!D2758)),TRIM('R.M Billets Reports'!F2758),IF(ISNUMBER(SEARCH("Party Name-",'R.M Billets Reports'!D2758)),TRIM(MID('R.M Billets Reports'!D2758,SEARCH("-",'R.M Billets Reports'!D2758)+1,200)),"")),IF(ISNUMBER(SEARCH("Party Name:-",'R.M Billets Reports'!D2759)),TRIM('R.M Billets Reports'!F2759),IF(ISNUMBER(SEARCH("Party Name-",'R.M Billets Reports'!D2759)),TRIM(MID('R.M Billets Reports'!D2759,SEARCH("-",'R.M Billets Reports'!D2759)+1,200)),"")))))),IF(ROW()=2,"",A2758))</f>
      </c>
      <c r="B2759">
        <f>IF(OR('R.M Billets Reports'!A2758="Date-",'R.M Billets Reports'!A2758="Date:-"),'R.M Billets Reports'!B2758,IF(ROW()=2,"",B2758))</f>
      </c>
      <c r="C2759">
        <f>IF('R.M Billets Reports'!A2758="V.No.",'R.M Billets Reports'!B2758,IF(ROW()=2,"",C2758))</f>
      </c>
      <c r="D2759">
        <f>IF('R.M Billets Reports'!A2758&lt;&gt;"",'R.M Billets Reports'!A2758,IF(ROW()=2,"",D2758))</f>
      </c>
      <c r="E2759">
        <f>IF('R.M Billets Reports'!B2758="","",TRIM('R.M Billets Reports'!B2758))</f>
      </c>
      <c r="F2759">
        <f>'R.M Billets Reports'!C2758</f>
      </c>
      <c r="G2759">
        <f>'R.M Billets Reports'!D2758</f>
      </c>
      <c r="H2759">
        <f>'R.M Billets Reports'!E2758</f>
      </c>
      <c r="I2759">
        <f>'R.M Billets Reports'!F2758</f>
      </c>
      <c r="J2759">
        <f>'R.M Billets Reports'!G2758</f>
      </c>
      <c r="K2759">
        <f>'R.M Billets Reports'!H2758</f>
      </c>
      <c r="L2759">
        <f>IF('R.M Billets Reports'!I2758="","",'R.M Billets Reports'!I2758)</f>
      </c>
      <c r="M2759">
        <f t="shared" si="86"/>
      </c>
      <c r="N2759">
        <f>IF('R.M Billets Reports'!J2758="","",'R.M Billets Reports'!J2758)</f>
      </c>
      <c r="O2759">
        <f t="shared" si="87"/>
      </c>
      <c r="P2759">
        <f>IF('R.M Billets Reports'!A2758="SIZE",'R.M Billets Reports'!B2758,P2758)</f>
      </c>
    </row>
    <row r="2760" spans="1:16" x14ac:dyDescent="0.25">
      <c r="A2760">
        <f>IF(OR('R.M Billets Reports'!A2759="Date-",'R.M Billets Reports'!A2759="Date:-"),IF(IF(IF(ISNUMBER(SEARCH("Party Name:-",'R.M Billets Reports'!D2759)),TRIM('R.M Billets Reports'!F2759),IF(ISNUMBER(SEARCH("Party Name-",'R.M Billets Reports'!D2759)),TRIM(MID('R.M Billets Reports'!D2759,SEARCH("-",'R.M Billets Reports'!D2759)+1,200)),""))&lt;&gt;"",IF(ISNUMBER(SEARCH("Party Name:-",'R.M Billets Reports'!D2759)),TRIM('R.M Billets Reports'!F2759),IF(ISNUMBER(SEARCH("Party Name-",'R.M Billets Reports'!D2759)),TRIM(MID('R.M Billets Reports'!D2759,SEARCH("-",'R.M Billets Reports'!D2759)+1,200)),"")),IF(ISNUMBER(SEARCH("Party Name:-",'R.M Billets Reports'!D2760)),TRIM('R.M Billets Reports'!F2760),IF(ISNUMBER(SEARCH("Party Name-",'R.M Billets Reports'!D2760)),TRIM(MID('R.M Billets Reports'!D2760,SEARCH("-",'R.M Billets Reports'!D2760)+1,200)),"")))="VRKP ISPAT PVT LTD","VRKP",IF(IF(IF(ISNUMBER(SEARCH("Party Name:-",'R.M Billets Reports'!D2759)),TRIM('R.M Billets Reports'!F2759),IF(ISNUMBER(SEARCH("Party Name-",'R.M Billets Reports'!D2759)),TRIM(MID('R.M Billets Reports'!D2759,SEARCH("-",'R.M Billets Reports'!D2759)+1,200)),""))&lt;&gt;"",IF(ISNUMBER(SEARCH("Party Name:-",'R.M Billets Reports'!D2759)),TRIM('R.M Billets Reports'!F2759),IF(ISNUMBER(SEARCH("Party Name-",'R.M Billets Reports'!D2759)),TRIM(MID('R.M Billets Reports'!D2759,SEARCH("-",'R.M Billets Reports'!D2759)+1,200)),"")),IF(ISNUMBER(SEARCH("Party Name:-",'R.M Billets Reports'!D2760)),TRIM('R.M Billets Reports'!F2760),IF(ISNUMBER(SEARCH("Party Name-",'R.M Billets Reports'!D2760)),TRIM(MID('R.M Billets Reports'!D2760,SEARCH("-",'R.M Billets Reports'!D2760)+1,200)),"")))="SHRI RADHE","SHREE RADHE",IF(IF(IF(ISNUMBER(SEARCH("Party Name:-",'R.M Billets Reports'!D2759)),TRIM('R.M Billets Reports'!F2759),IF(ISNUMBER(SEARCH("Party Name-",'R.M Billets Reports'!D2759)),TRIM(MID('R.M Billets Reports'!D2759,SEARCH("-",'R.M Billets Reports'!D2759)+1,200)),""))&lt;&gt;"",IF(ISNUMBER(SEARCH("Party Name:-",'R.M Billets Reports'!D2759)),TRIM('R.M Billets Reports'!F2759),IF(ISNUMBER(SEARCH("Party Name-",'R.M Billets Reports'!D2759)),TRIM(MID('R.M Billets Reports'!D2759,SEARCH("-",'R.M Billets Reports'!D2759)+1,200)),"")),IF(ISNUMBER(SEARCH("Party Name:-",'R.M Billets Reports'!D2760)),TRIM('R.M Billets Reports'!F2760),IF(ISNUMBER(SEARCH("Party Name-",'R.M Billets Reports'!D2760)),TRIM(MID('R.M Billets Reports'!D2760,SEARCH("-",'R.M Billets Reports'!D2760)+1,200)),"")))="SHREE RADHE SHAKTI SPONGE AND POWER PVT. LTD.","SHREE RADHE",IF(IF(ISNUMBER(SEARCH("Party Name:-",'R.M Billets Reports'!D2759)),TRIM('R.M Billets Reports'!F2759),IF(ISNUMBER(SEARCH("Party Name-",'R.M Billets Reports'!D2759)),TRIM(MID('R.M Billets Reports'!D2759,SEARCH("-",'R.M Billets Reports'!D2759)+1,200)),""))&lt;&gt;"",IF(ISNUMBER(SEARCH("Party Name:-",'R.M Billets Reports'!D2759)),TRIM('R.M Billets Reports'!F2759),IF(ISNUMBER(SEARCH("Party Name-",'R.M Billets Reports'!D2759)),TRIM(MID('R.M Billets Reports'!D2759,SEARCH("-",'R.M Billets Reports'!D2759)+1,200)),"")),IF(ISNUMBER(SEARCH("Party Name:-",'R.M Billets Reports'!D2760)),TRIM('R.M Billets Reports'!F2760),IF(ISNUMBER(SEARCH("Party Name-",'R.M Billets Reports'!D2760)),TRIM(MID('R.M Billets Reports'!D2760,SEARCH("-",'R.M Billets Reports'!D2760)+1,200)),"")))))),IF(ROW()=2,"",A2759))</f>
      </c>
      <c r="B2760">
        <f>IF(OR('R.M Billets Reports'!A2759="Date-",'R.M Billets Reports'!A2759="Date:-"),'R.M Billets Reports'!B2759,IF(ROW()=2,"",B2759))</f>
      </c>
      <c r="C2760">
        <f>IF('R.M Billets Reports'!A2759="V.No.",'R.M Billets Reports'!B2759,IF(ROW()=2,"",C2759))</f>
      </c>
      <c r="D2760">
        <f>IF('R.M Billets Reports'!A2759&lt;&gt;"",'R.M Billets Reports'!A2759,IF(ROW()=2,"",D2759))</f>
      </c>
      <c r="E2760">
        <f>IF('R.M Billets Reports'!B2759="","",TRIM('R.M Billets Reports'!B2759))</f>
      </c>
      <c r="F2760">
        <f>'R.M Billets Reports'!C2759</f>
      </c>
      <c r="G2760">
        <f>'R.M Billets Reports'!D2759</f>
      </c>
      <c r="H2760">
        <f>'R.M Billets Reports'!E2759</f>
      </c>
      <c r="I2760">
        <f>'R.M Billets Reports'!F2759</f>
      </c>
      <c r="J2760">
        <f>'R.M Billets Reports'!G2759</f>
      </c>
      <c r="K2760">
        <f>'R.M Billets Reports'!H2759</f>
      </c>
      <c r="L2760">
        <f>IF('R.M Billets Reports'!I2759="","",'R.M Billets Reports'!I2759)</f>
      </c>
      <c r="M2760">
        <f t="shared" si="86"/>
      </c>
      <c r="N2760">
        <f>IF('R.M Billets Reports'!J2759="","",'R.M Billets Reports'!J2759)</f>
      </c>
      <c r="O2760">
        <f t="shared" si="87"/>
      </c>
      <c r="P2760">
        <f>IF('R.M Billets Reports'!A2759="SIZE",'R.M Billets Reports'!B2759,P2759)</f>
      </c>
    </row>
    <row r="2761" spans="1:16" x14ac:dyDescent="0.25">
      <c r="A2761">
        <f>IF(OR('R.M Billets Reports'!A2760="Date-",'R.M Billets Reports'!A2760="Date:-"),IF(IF(IF(ISNUMBER(SEARCH("Party Name:-",'R.M Billets Reports'!D2760)),TRIM('R.M Billets Reports'!F2760),IF(ISNUMBER(SEARCH("Party Name-",'R.M Billets Reports'!D2760)),TRIM(MID('R.M Billets Reports'!D2760,SEARCH("-",'R.M Billets Reports'!D2760)+1,200)),""))&lt;&gt;"",IF(ISNUMBER(SEARCH("Party Name:-",'R.M Billets Reports'!D2760)),TRIM('R.M Billets Reports'!F2760),IF(ISNUMBER(SEARCH("Party Name-",'R.M Billets Reports'!D2760)),TRIM(MID('R.M Billets Reports'!D2760,SEARCH("-",'R.M Billets Reports'!D2760)+1,200)),"")),IF(ISNUMBER(SEARCH("Party Name:-",'R.M Billets Reports'!D2761)),TRIM('R.M Billets Reports'!F2761),IF(ISNUMBER(SEARCH("Party Name-",'R.M Billets Reports'!D2761)),TRIM(MID('R.M Billets Reports'!D2761,SEARCH("-",'R.M Billets Reports'!D2761)+1,200)),"")))="VRKP ISPAT PVT LTD","VRKP",IF(IF(IF(ISNUMBER(SEARCH("Party Name:-",'R.M Billets Reports'!D2760)),TRIM('R.M Billets Reports'!F2760),IF(ISNUMBER(SEARCH("Party Name-",'R.M Billets Reports'!D2760)),TRIM(MID('R.M Billets Reports'!D2760,SEARCH("-",'R.M Billets Reports'!D2760)+1,200)),""))&lt;&gt;"",IF(ISNUMBER(SEARCH("Party Name:-",'R.M Billets Reports'!D2760)),TRIM('R.M Billets Reports'!F2760),IF(ISNUMBER(SEARCH("Party Name-",'R.M Billets Reports'!D2760)),TRIM(MID('R.M Billets Reports'!D2760,SEARCH("-",'R.M Billets Reports'!D2760)+1,200)),"")),IF(ISNUMBER(SEARCH("Party Name:-",'R.M Billets Reports'!D2761)),TRIM('R.M Billets Reports'!F2761),IF(ISNUMBER(SEARCH("Party Name-",'R.M Billets Reports'!D2761)),TRIM(MID('R.M Billets Reports'!D2761,SEARCH("-",'R.M Billets Reports'!D2761)+1,200)),"")))="SHRI RADHE","SHREE RADHE",IF(IF(IF(ISNUMBER(SEARCH("Party Name:-",'R.M Billets Reports'!D2760)),TRIM('R.M Billets Reports'!F2760),IF(ISNUMBER(SEARCH("Party Name-",'R.M Billets Reports'!D2760)),TRIM(MID('R.M Billets Reports'!D2760,SEARCH("-",'R.M Billets Reports'!D2760)+1,200)),""))&lt;&gt;"",IF(ISNUMBER(SEARCH("Party Name:-",'R.M Billets Reports'!D2760)),TRIM('R.M Billets Reports'!F2760),IF(ISNUMBER(SEARCH("Party Name-",'R.M Billets Reports'!D2760)),TRIM(MID('R.M Billets Reports'!D2760,SEARCH("-",'R.M Billets Reports'!D2760)+1,200)),"")),IF(ISNUMBER(SEARCH("Party Name:-",'R.M Billets Reports'!D2761)),TRIM('R.M Billets Reports'!F2761),IF(ISNUMBER(SEARCH("Party Name-",'R.M Billets Reports'!D2761)),TRIM(MID('R.M Billets Reports'!D2761,SEARCH("-",'R.M Billets Reports'!D2761)+1,200)),"")))="SHREE RADHE SHAKTI SPONGE AND POWER PVT. LTD.","SHREE RADHE",IF(IF(ISNUMBER(SEARCH("Party Name:-",'R.M Billets Reports'!D2760)),TRIM('R.M Billets Reports'!F2760),IF(ISNUMBER(SEARCH("Party Name-",'R.M Billets Reports'!D2760)),TRIM(MID('R.M Billets Reports'!D2760,SEARCH("-",'R.M Billets Reports'!D2760)+1,200)),""))&lt;&gt;"",IF(ISNUMBER(SEARCH("Party Name:-",'R.M Billets Reports'!D2760)),TRIM('R.M Billets Reports'!F2760),IF(ISNUMBER(SEARCH("Party Name-",'R.M Billets Reports'!D2760)),TRIM(MID('R.M Billets Reports'!D2760,SEARCH("-",'R.M Billets Reports'!D2760)+1,200)),"")),IF(ISNUMBER(SEARCH("Party Name:-",'R.M Billets Reports'!D2761)),TRIM('R.M Billets Reports'!F2761),IF(ISNUMBER(SEARCH("Party Name-",'R.M Billets Reports'!D2761)),TRIM(MID('R.M Billets Reports'!D2761,SEARCH("-",'R.M Billets Reports'!D2761)+1,200)),"")))))),IF(ROW()=2,"",A2760))</f>
      </c>
      <c r="B2761">
        <f>IF(OR('R.M Billets Reports'!A2760="Date-",'R.M Billets Reports'!A2760="Date:-"),'R.M Billets Reports'!B2760,IF(ROW()=2,"",B2760))</f>
      </c>
      <c r="C2761">
        <f>IF('R.M Billets Reports'!A2760="V.No.",'R.M Billets Reports'!B2760,IF(ROW()=2,"",C2760))</f>
      </c>
      <c r="D2761">
        <f>IF('R.M Billets Reports'!A2760&lt;&gt;"",'R.M Billets Reports'!A2760,IF(ROW()=2,"",D2760))</f>
      </c>
      <c r="E2761">
        <f>IF('R.M Billets Reports'!B2760="","",TRIM('R.M Billets Reports'!B2760))</f>
      </c>
      <c r="F2761">
        <f>'R.M Billets Reports'!C2760</f>
      </c>
      <c r="G2761">
        <f>'R.M Billets Reports'!D2760</f>
      </c>
      <c r="H2761">
        <f>'R.M Billets Reports'!E2760</f>
      </c>
      <c r="I2761">
        <f>'R.M Billets Reports'!F2760</f>
      </c>
      <c r="J2761">
        <f>'R.M Billets Reports'!G2760</f>
      </c>
      <c r="K2761">
        <f>'R.M Billets Reports'!H2760</f>
      </c>
      <c r="L2761">
        <f>IF('R.M Billets Reports'!I2760="","",'R.M Billets Reports'!I2760)</f>
      </c>
      <c r="M2761">
        <f t="shared" si="86"/>
      </c>
      <c r="N2761">
        <f>IF('R.M Billets Reports'!J2760="","",'R.M Billets Reports'!J2760)</f>
      </c>
      <c r="O2761">
        <f t="shared" si="87"/>
      </c>
      <c r="P2761">
        <f>IF('R.M Billets Reports'!A2760="SIZE",'R.M Billets Reports'!B2760,P2760)</f>
      </c>
    </row>
    <row r="2762" spans="1:16" x14ac:dyDescent="0.25">
      <c r="A2762">
        <f>IF(OR('R.M Billets Reports'!A2761="Date-",'R.M Billets Reports'!A2761="Date:-"),IF(IF(IF(ISNUMBER(SEARCH("Party Name:-",'R.M Billets Reports'!D2761)),TRIM('R.M Billets Reports'!F2761),IF(ISNUMBER(SEARCH("Party Name-",'R.M Billets Reports'!D2761)),TRIM(MID('R.M Billets Reports'!D2761,SEARCH("-",'R.M Billets Reports'!D2761)+1,200)),""))&lt;&gt;"",IF(ISNUMBER(SEARCH("Party Name:-",'R.M Billets Reports'!D2761)),TRIM('R.M Billets Reports'!F2761),IF(ISNUMBER(SEARCH("Party Name-",'R.M Billets Reports'!D2761)),TRIM(MID('R.M Billets Reports'!D2761,SEARCH("-",'R.M Billets Reports'!D2761)+1,200)),"")),IF(ISNUMBER(SEARCH("Party Name:-",'R.M Billets Reports'!D2762)),TRIM('R.M Billets Reports'!F2762),IF(ISNUMBER(SEARCH("Party Name-",'R.M Billets Reports'!D2762)),TRIM(MID('R.M Billets Reports'!D2762,SEARCH("-",'R.M Billets Reports'!D2762)+1,200)),"")))="VRKP ISPAT PVT LTD","VRKP",IF(IF(IF(ISNUMBER(SEARCH("Party Name:-",'R.M Billets Reports'!D2761)),TRIM('R.M Billets Reports'!F2761),IF(ISNUMBER(SEARCH("Party Name-",'R.M Billets Reports'!D2761)),TRIM(MID('R.M Billets Reports'!D2761,SEARCH("-",'R.M Billets Reports'!D2761)+1,200)),""))&lt;&gt;"",IF(ISNUMBER(SEARCH("Party Name:-",'R.M Billets Reports'!D2761)),TRIM('R.M Billets Reports'!F2761),IF(ISNUMBER(SEARCH("Party Name-",'R.M Billets Reports'!D2761)),TRIM(MID('R.M Billets Reports'!D2761,SEARCH("-",'R.M Billets Reports'!D2761)+1,200)),"")),IF(ISNUMBER(SEARCH("Party Name:-",'R.M Billets Reports'!D2762)),TRIM('R.M Billets Reports'!F2762),IF(ISNUMBER(SEARCH("Party Name-",'R.M Billets Reports'!D2762)),TRIM(MID('R.M Billets Reports'!D2762,SEARCH("-",'R.M Billets Reports'!D2762)+1,200)),"")))="SHRI RADHE","SHREE RADHE",IF(IF(IF(ISNUMBER(SEARCH("Party Name:-",'R.M Billets Reports'!D2761)),TRIM('R.M Billets Reports'!F2761),IF(ISNUMBER(SEARCH("Party Name-",'R.M Billets Reports'!D2761)),TRIM(MID('R.M Billets Reports'!D2761,SEARCH("-",'R.M Billets Reports'!D2761)+1,200)),""))&lt;&gt;"",IF(ISNUMBER(SEARCH("Party Name:-",'R.M Billets Reports'!D2761)),TRIM('R.M Billets Reports'!F2761),IF(ISNUMBER(SEARCH("Party Name-",'R.M Billets Reports'!D2761)),TRIM(MID('R.M Billets Reports'!D2761,SEARCH("-",'R.M Billets Reports'!D2761)+1,200)),"")),IF(ISNUMBER(SEARCH("Party Name:-",'R.M Billets Reports'!D2762)),TRIM('R.M Billets Reports'!F2762),IF(ISNUMBER(SEARCH("Party Name-",'R.M Billets Reports'!D2762)),TRIM(MID('R.M Billets Reports'!D2762,SEARCH("-",'R.M Billets Reports'!D2762)+1,200)),"")))="SHREE RADHE SHAKTI SPONGE AND POWER PVT. LTD.","SHREE RADHE",IF(IF(ISNUMBER(SEARCH("Party Name:-",'R.M Billets Reports'!D2761)),TRIM('R.M Billets Reports'!F2761),IF(ISNUMBER(SEARCH("Party Name-",'R.M Billets Reports'!D2761)),TRIM(MID('R.M Billets Reports'!D2761,SEARCH("-",'R.M Billets Reports'!D2761)+1,200)),""))&lt;&gt;"",IF(ISNUMBER(SEARCH("Party Name:-",'R.M Billets Reports'!D2761)),TRIM('R.M Billets Reports'!F2761),IF(ISNUMBER(SEARCH("Party Name-",'R.M Billets Reports'!D2761)),TRIM(MID('R.M Billets Reports'!D2761,SEARCH("-",'R.M Billets Reports'!D2761)+1,200)),"")),IF(ISNUMBER(SEARCH("Party Name:-",'R.M Billets Reports'!D2762)),TRIM('R.M Billets Reports'!F2762),IF(ISNUMBER(SEARCH("Party Name-",'R.M Billets Reports'!D2762)),TRIM(MID('R.M Billets Reports'!D2762,SEARCH("-",'R.M Billets Reports'!D2762)+1,200)),"")))))),IF(ROW()=2,"",A2761))</f>
      </c>
      <c r="B2762">
        <f>IF(OR('R.M Billets Reports'!A2761="Date-",'R.M Billets Reports'!A2761="Date:-"),'R.M Billets Reports'!B2761,IF(ROW()=2,"",B2761))</f>
      </c>
      <c r="C2762">
        <f>IF('R.M Billets Reports'!A2761="V.No.",'R.M Billets Reports'!B2761,IF(ROW()=2,"",C2761))</f>
      </c>
      <c r="D2762">
        <f>IF('R.M Billets Reports'!A2761&lt;&gt;"",'R.M Billets Reports'!A2761,IF(ROW()=2,"",D2761))</f>
      </c>
      <c r="E2762">
        <f>IF('R.M Billets Reports'!B2761="","",TRIM('R.M Billets Reports'!B2761))</f>
      </c>
      <c r="F2762">
        <f>'R.M Billets Reports'!C2761</f>
      </c>
      <c r="G2762">
        <f>'R.M Billets Reports'!D2761</f>
      </c>
      <c r="H2762">
        <f>'R.M Billets Reports'!E2761</f>
      </c>
      <c r="I2762">
        <f>'R.M Billets Reports'!F2761</f>
      </c>
      <c r="J2762">
        <f>'R.M Billets Reports'!G2761</f>
      </c>
      <c r="K2762">
        <f>'R.M Billets Reports'!H2761</f>
      </c>
      <c r="L2762">
        <f>IF('R.M Billets Reports'!I2761="","",'R.M Billets Reports'!I2761)</f>
      </c>
      <c r="M2762">
        <f t="shared" si="86"/>
      </c>
      <c r="N2762">
        <f>IF('R.M Billets Reports'!J2761="","",'R.M Billets Reports'!J2761)</f>
      </c>
      <c r="O2762">
        <f t="shared" si="87"/>
      </c>
      <c r="P2762">
        <f>IF('R.M Billets Reports'!A2761="SIZE",'R.M Billets Reports'!B2761,P2761)</f>
      </c>
    </row>
    <row r="2763" spans="1:16" x14ac:dyDescent="0.25">
      <c r="A2763">
        <f>IF(OR('R.M Billets Reports'!A2762="Date-",'R.M Billets Reports'!A2762="Date:-"),IF(IF(IF(ISNUMBER(SEARCH("Party Name:-",'R.M Billets Reports'!D2762)),TRIM('R.M Billets Reports'!F2762),IF(ISNUMBER(SEARCH("Party Name-",'R.M Billets Reports'!D2762)),TRIM(MID('R.M Billets Reports'!D2762,SEARCH("-",'R.M Billets Reports'!D2762)+1,200)),""))&lt;&gt;"",IF(ISNUMBER(SEARCH("Party Name:-",'R.M Billets Reports'!D2762)),TRIM('R.M Billets Reports'!F2762),IF(ISNUMBER(SEARCH("Party Name-",'R.M Billets Reports'!D2762)),TRIM(MID('R.M Billets Reports'!D2762,SEARCH("-",'R.M Billets Reports'!D2762)+1,200)),"")),IF(ISNUMBER(SEARCH("Party Name:-",'R.M Billets Reports'!D2763)),TRIM('R.M Billets Reports'!F2763),IF(ISNUMBER(SEARCH("Party Name-",'R.M Billets Reports'!D2763)),TRIM(MID('R.M Billets Reports'!D2763,SEARCH("-",'R.M Billets Reports'!D2763)+1,200)),"")))="VRKP ISPAT PVT LTD","VRKP",IF(IF(IF(ISNUMBER(SEARCH("Party Name:-",'R.M Billets Reports'!D2762)),TRIM('R.M Billets Reports'!F2762),IF(ISNUMBER(SEARCH("Party Name-",'R.M Billets Reports'!D2762)),TRIM(MID('R.M Billets Reports'!D2762,SEARCH("-",'R.M Billets Reports'!D2762)+1,200)),""))&lt;&gt;"",IF(ISNUMBER(SEARCH("Party Name:-",'R.M Billets Reports'!D2762)),TRIM('R.M Billets Reports'!F2762),IF(ISNUMBER(SEARCH("Party Name-",'R.M Billets Reports'!D2762)),TRIM(MID('R.M Billets Reports'!D2762,SEARCH("-",'R.M Billets Reports'!D2762)+1,200)),"")),IF(ISNUMBER(SEARCH("Party Name:-",'R.M Billets Reports'!D2763)),TRIM('R.M Billets Reports'!F2763),IF(ISNUMBER(SEARCH("Party Name-",'R.M Billets Reports'!D2763)),TRIM(MID('R.M Billets Reports'!D2763,SEARCH("-",'R.M Billets Reports'!D2763)+1,200)),"")))="SHRI RADHE","SHREE RADHE",IF(IF(IF(ISNUMBER(SEARCH("Party Name:-",'R.M Billets Reports'!D2762)),TRIM('R.M Billets Reports'!F2762),IF(ISNUMBER(SEARCH("Party Name-",'R.M Billets Reports'!D2762)),TRIM(MID('R.M Billets Reports'!D2762,SEARCH("-",'R.M Billets Reports'!D2762)+1,200)),""))&lt;&gt;"",IF(ISNUMBER(SEARCH("Party Name:-",'R.M Billets Reports'!D2762)),TRIM('R.M Billets Reports'!F2762),IF(ISNUMBER(SEARCH("Party Name-",'R.M Billets Reports'!D2762)),TRIM(MID('R.M Billets Reports'!D2762,SEARCH("-",'R.M Billets Reports'!D2762)+1,200)),"")),IF(ISNUMBER(SEARCH("Party Name:-",'R.M Billets Reports'!D2763)),TRIM('R.M Billets Reports'!F2763),IF(ISNUMBER(SEARCH("Party Name-",'R.M Billets Reports'!D2763)),TRIM(MID('R.M Billets Reports'!D2763,SEARCH("-",'R.M Billets Reports'!D2763)+1,200)),"")))="SHREE RADHE SHAKTI SPONGE AND POWER PVT. LTD.","SHREE RADHE",IF(IF(ISNUMBER(SEARCH("Party Name:-",'R.M Billets Reports'!D2762)),TRIM('R.M Billets Reports'!F2762),IF(ISNUMBER(SEARCH("Party Name-",'R.M Billets Reports'!D2762)),TRIM(MID('R.M Billets Reports'!D2762,SEARCH("-",'R.M Billets Reports'!D2762)+1,200)),""))&lt;&gt;"",IF(ISNUMBER(SEARCH("Party Name:-",'R.M Billets Reports'!D2762)),TRIM('R.M Billets Reports'!F2762),IF(ISNUMBER(SEARCH("Party Name-",'R.M Billets Reports'!D2762)),TRIM(MID('R.M Billets Reports'!D2762,SEARCH("-",'R.M Billets Reports'!D2762)+1,200)),"")),IF(ISNUMBER(SEARCH("Party Name:-",'R.M Billets Reports'!D2763)),TRIM('R.M Billets Reports'!F2763),IF(ISNUMBER(SEARCH("Party Name-",'R.M Billets Reports'!D2763)),TRIM(MID('R.M Billets Reports'!D2763,SEARCH("-",'R.M Billets Reports'!D2763)+1,200)),"")))))),IF(ROW()=2,"",A2762))</f>
      </c>
      <c r="B2763">
        <f>IF(OR('R.M Billets Reports'!A2762="Date-",'R.M Billets Reports'!A2762="Date:-"),'R.M Billets Reports'!B2762,IF(ROW()=2,"",B2762))</f>
      </c>
      <c r="C2763">
        <f>IF('R.M Billets Reports'!A2762="V.No.",'R.M Billets Reports'!B2762,IF(ROW()=2,"",C2762))</f>
      </c>
      <c r="D2763">
        <f>IF('R.M Billets Reports'!A2762&lt;&gt;"",'R.M Billets Reports'!A2762,IF(ROW()=2,"",D2762))</f>
      </c>
      <c r="E2763">
        <f>IF('R.M Billets Reports'!B2762="","",TRIM('R.M Billets Reports'!B2762))</f>
      </c>
      <c r="F2763">
        <f>'R.M Billets Reports'!C2762</f>
      </c>
      <c r="G2763">
        <f>'R.M Billets Reports'!D2762</f>
      </c>
      <c r="H2763">
        <f>'R.M Billets Reports'!E2762</f>
      </c>
      <c r="I2763">
        <f>'R.M Billets Reports'!F2762</f>
      </c>
      <c r="J2763">
        <f>'R.M Billets Reports'!G2762</f>
      </c>
      <c r="K2763">
        <f>'R.M Billets Reports'!H2762</f>
      </c>
      <c r="L2763">
        <f>IF('R.M Billets Reports'!I2762="","",'R.M Billets Reports'!I2762)</f>
      </c>
      <c r="M2763">
        <f t="shared" si="86"/>
      </c>
      <c r="N2763">
        <f>IF('R.M Billets Reports'!J2762="","",'R.M Billets Reports'!J2762)</f>
      </c>
      <c r="O2763">
        <f t="shared" si="87"/>
      </c>
      <c r="P2763">
        <f>IF('R.M Billets Reports'!A2762="SIZE",'R.M Billets Reports'!B2762,P2762)</f>
      </c>
    </row>
    <row r="2764" spans="1:16" x14ac:dyDescent="0.25">
      <c r="A2764">
        <f>IF(OR('R.M Billets Reports'!A2763="Date-",'R.M Billets Reports'!A2763="Date:-"),IF(IF(IF(ISNUMBER(SEARCH("Party Name:-",'R.M Billets Reports'!D2763)),TRIM('R.M Billets Reports'!F2763),IF(ISNUMBER(SEARCH("Party Name-",'R.M Billets Reports'!D2763)),TRIM(MID('R.M Billets Reports'!D2763,SEARCH("-",'R.M Billets Reports'!D2763)+1,200)),""))&lt;&gt;"",IF(ISNUMBER(SEARCH("Party Name:-",'R.M Billets Reports'!D2763)),TRIM('R.M Billets Reports'!F2763),IF(ISNUMBER(SEARCH("Party Name-",'R.M Billets Reports'!D2763)),TRIM(MID('R.M Billets Reports'!D2763,SEARCH("-",'R.M Billets Reports'!D2763)+1,200)),"")),IF(ISNUMBER(SEARCH("Party Name:-",'R.M Billets Reports'!D2764)),TRIM('R.M Billets Reports'!F2764),IF(ISNUMBER(SEARCH("Party Name-",'R.M Billets Reports'!D2764)),TRIM(MID('R.M Billets Reports'!D2764,SEARCH("-",'R.M Billets Reports'!D2764)+1,200)),"")))="VRKP ISPAT PVT LTD","VRKP",IF(IF(IF(ISNUMBER(SEARCH("Party Name:-",'R.M Billets Reports'!D2763)),TRIM('R.M Billets Reports'!F2763),IF(ISNUMBER(SEARCH("Party Name-",'R.M Billets Reports'!D2763)),TRIM(MID('R.M Billets Reports'!D2763,SEARCH("-",'R.M Billets Reports'!D2763)+1,200)),""))&lt;&gt;"",IF(ISNUMBER(SEARCH("Party Name:-",'R.M Billets Reports'!D2763)),TRIM('R.M Billets Reports'!F2763),IF(ISNUMBER(SEARCH("Party Name-",'R.M Billets Reports'!D2763)),TRIM(MID('R.M Billets Reports'!D2763,SEARCH("-",'R.M Billets Reports'!D2763)+1,200)),"")),IF(ISNUMBER(SEARCH("Party Name:-",'R.M Billets Reports'!D2764)),TRIM('R.M Billets Reports'!F2764),IF(ISNUMBER(SEARCH("Party Name-",'R.M Billets Reports'!D2764)),TRIM(MID('R.M Billets Reports'!D2764,SEARCH("-",'R.M Billets Reports'!D2764)+1,200)),"")))="SHRI RADHE","SHREE RADHE",IF(IF(IF(ISNUMBER(SEARCH("Party Name:-",'R.M Billets Reports'!D2763)),TRIM('R.M Billets Reports'!F2763),IF(ISNUMBER(SEARCH("Party Name-",'R.M Billets Reports'!D2763)),TRIM(MID('R.M Billets Reports'!D2763,SEARCH("-",'R.M Billets Reports'!D2763)+1,200)),""))&lt;&gt;"",IF(ISNUMBER(SEARCH("Party Name:-",'R.M Billets Reports'!D2763)),TRIM('R.M Billets Reports'!F2763),IF(ISNUMBER(SEARCH("Party Name-",'R.M Billets Reports'!D2763)),TRIM(MID('R.M Billets Reports'!D2763,SEARCH("-",'R.M Billets Reports'!D2763)+1,200)),"")),IF(ISNUMBER(SEARCH("Party Name:-",'R.M Billets Reports'!D2764)),TRIM('R.M Billets Reports'!F2764),IF(ISNUMBER(SEARCH("Party Name-",'R.M Billets Reports'!D2764)),TRIM(MID('R.M Billets Reports'!D2764,SEARCH("-",'R.M Billets Reports'!D2764)+1,200)),"")))="SHREE RADHE SHAKTI SPONGE AND POWER PVT. LTD.","SHREE RADHE",IF(IF(ISNUMBER(SEARCH("Party Name:-",'R.M Billets Reports'!D2763)),TRIM('R.M Billets Reports'!F2763),IF(ISNUMBER(SEARCH("Party Name-",'R.M Billets Reports'!D2763)),TRIM(MID('R.M Billets Reports'!D2763,SEARCH("-",'R.M Billets Reports'!D2763)+1,200)),""))&lt;&gt;"",IF(ISNUMBER(SEARCH("Party Name:-",'R.M Billets Reports'!D2763)),TRIM('R.M Billets Reports'!F2763),IF(ISNUMBER(SEARCH("Party Name-",'R.M Billets Reports'!D2763)),TRIM(MID('R.M Billets Reports'!D2763,SEARCH("-",'R.M Billets Reports'!D2763)+1,200)),"")),IF(ISNUMBER(SEARCH("Party Name:-",'R.M Billets Reports'!D2764)),TRIM('R.M Billets Reports'!F2764),IF(ISNUMBER(SEARCH("Party Name-",'R.M Billets Reports'!D2764)),TRIM(MID('R.M Billets Reports'!D2764,SEARCH("-",'R.M Billets Reports'!D2764)+1,200)),"")))))),IF(ROW()=2,"",A2763))</f>
      </c>
      <c r="B2764">
        <f>IF(OR('R.M Billets Reports'!A2763="Date-",'R.M Billets Reports'!A2763="Date:-"),'R.M Billets Reports'!B2763,IF(ROW()=2,"",B2763))</f>
      </c>
      <c r="C2764">
        <f>IF('R.M Billets Reports'!A2763="V.No.",'R.M Billets Reports'!B2763,IF(ROW()=2,"",C2763))</f>
      </c>
      <c r="D2764">
        <f>IF('R.M Billets Reports'!A2763&lt;&gt;"",'R.M Billets Reports'!A2763,IF(ROW()=2,"",D2763))</f>
      </c>
      <c r="E2764">
        <f>IF('R.M Billets Reports'!B2763="","",TRIM('R.M Billets Reports'!B2763))</f>
      </c>
      <c r="F2764">
        <f>'R.M Billets Reports'!C2763</f>
      </c>
      <c r="G2764">
        <f>'R.M Billets Reports'!D2763</f>
      </c>
      <c r="H2764">
        <f>'R.M Billets Reports'!E2763</f>
      </c>
      <c r="I2764">
        <f>'R.M Billets Reports'!F2763</f>
      </c>
      <c r="J2764">
        <f>'R.M Billets Reports'!G2763</f>
      </c>
      <c r="K2764">
        <f>'R.M Billets Reports'!H2763</f>
      </c>
      <c r="L2764">
        <f>IF('R.M Billets Reports'!I2763="","",'R.M Billets Reports'!I2763)</f>
      </c>
      <c r="M2764">
        <f t="shared" si="86"/>
      </c>
      <c r="N2764">
        <f>IF('R.M Billets Reports'!J2763="","",'R.M Billets Reports'!J2763)</f>
      </c>
      <c r="O2764">
        <f t="shared" si="87"/>
      </c>
      <c r="P2764">
        <f>IF('R.M Billets Reports'!A2763="SIZE",'R.M Billets Reports'!B2763,P2763)</f>
      </c>
    </row>
    <row r="2765" spans="1:16" x14ac:dyDescent="0.25">
      <c r="A2765">
        <f>IF(OR('R.M Billets Reports'!A2764="Date-",'R.M Billets Reports'!A2764="Date:-"),IF(IF(IF(ISNUMBER(SEARCH("Party Name:-",'R.M Billets Reports'!D2764)),TRIM('R.M Billets Reports'!F2764),IF(ISNUMBER(SEARCH("Party Name-",'R.M Billets Reports'!D2764)),TRIM(MID('R.M Billets Reports'!D2764,SEARCH("-",'R.M Billets Reports'!D2764)+1,200)),""))&lt;&gt;"",IF(ISNUMBER(SEARCH("Party Name:-",'R.M Billets Reports'!D2764)),TRIM('R.M Billets Reports'!F2764),IF(ISNUMBER(SEARCH("Party Name-",'R.M Billets Reports'!D2764)),TRIM(MID('R.M Billets Reports'!D2764,SEARCH("-",'R.M Billets Reports'!D2764)+1,200)),"")),IF(ISNUMBER(SEARCH("Party Name:-",'R.M Billets Reports'!D2765)),TRIM('R.M Billets Reports'!F2765),IF(ISNUMBER(SEARCH("Party Name-",'R.M Billets Reports'!D2765)),TRIM(MID('R.M Billets Reports'!D2765,SEARCH("-",'R.M Billets Reports'!D2765)+1,200)),"")))="VRKP ISPAT PVT LTD","VRKP",IF(IF(IF(ISNUMBER(SEARCH("Party Name:-",'R.M Billets Reports'!D2764)),TRIM('R.M Billets Reports'!F2764),IF(ISNUMBER(SEARCH("Party Name-",'R.M Billets Reports'!D2764)),TRIM(MID('R.M Billets Reports'!D2764,SEARCH("-",'R.M Billets Reports'!D2764)+1,200)),""))&lt;&gt;"",IF(ISNUMBER(SEARCH("Party Name:-",'R.M Billets Reports'!D2764)),TRIM('R.M Billets Reports'!F2764),IF(ISNUMBER(SEARCH("Party Name-",'R.M Billets Reports'!D2764)),TRIM(MID('R.M Billets Reports'!D2764,SEARCH("-",'R.M Billets Reports'!D2764)+1,200)),"")),IF(ISNUMBER(SEARCH("Party Name:-",'R.M Billets Reports'!D2765)),TRIM('R.M Billets Reports'!F2765),IF(ISNUMBER(SEARCH("Party Name-",'R.M Billets Reports'!D2765)),TRIM(MID('R.M Billets Reports'!D2765,SEARCH("-",'R.M Billets Reports'!D2765)+1,200)),"")))="SHRI RADHE","SHREE RADHE",IF(IF(IF(ISNUMBER(SEARCH("Party Name:-",'R.M Billets Reports'!D2764)),TRIM('R.M Billets Reports'!F2764),IF(ISNUMBER(SEARCH("Party Name-",'R.M Billets Reports'!D2764)),TRIM(MID('R.M Billets Reports'!D2764,SEARCH("-",'R.M Billets Reports'!D2764)+1,200)),""))&lt;&gt;"",IF(ISNUMBER(SEARCH("Party Name:-",'R.M Billets Reports'!D2764)),TRIM('R.M Billets Reports'!F2764),IF(ISNUMBER(SEARCH("Party Name-",'R.M Billets Reports'!D2764)),TRIM(MID('R.M Billets Reports'!D2764,SEARCH("-",'R.M Billets Reports'!D2764)+1,200)),"")),IF(ISNUMBER(SEARCH("Party Name:-",'R.M Billets Reports'!D2765)),TRIM('R.M Billets Reports'!F2765),IF(ISNUMBER(SEARCH("Party Name-",'R.M Billets Reports'!D2765)),TRIM(MID('R.M Billets Reports'!D2765,SEARCH("-",'R.M Billets Reports'!D2765)+1,200)),"")))="SHREE RADHE SHAKTI SPONGE AND POWER PVT. LTD.","SHREE RADHE",IF(IF(ISNUMBER(SEARCH("Party Name:-",'R.M Billets Reports'!D2764)),TRIM('R.M Billets Reports'!F2764),IF(ISNUMBER(SEARCH("Party Name-",'R.M Billets Reports'!D2764)),TRIM(MID('R.M Billets Reports'!D2764,SEARCH("-",'R.M Billets Reports'!D2764)+1,200)),""))&lt;&gt;"",IF(ISNUMBER(SEARCH("Party Name:-",'R.M Billets Reports'!D2764)),TRIM('R.M Billets Reports'!F2764),IF(ISNUMBER(SEARCH("Party Name-",'R.M Billets Reports'!D2764)),TRIM(MID('R.M Billets Reports'!D2764,SEARCH("-",'R.M Billets Reports'!D2764)+1,200)),"")),IF(ISNUMBER(SEARCH("Party Name:-",'R.M Billets Reports'!D2765)),TRIM('R.M Billets Reports'!F2765),IF(ISNUMBER(SEARCH("Party Name-",'R.M Billets Reports'!D2765)),TRIM(MID('R.M Billets Reports'!D2765,SEARCH("-",'R.M Billets Reports'!D2765)+1,200)),"")))))),IF(ROW()=2,"",A2764))</f>
      </c>
      <c r="B2765">
        <f>IF(OR('R.M Billets Reports'!A2764="Date-",'R.M Billets Reports'!A2764="Date:-"),'R.M Billets Reports'!B2764,IF(ROW()=2,"",B2764))</f>
      </c>
      <c r="C2765">
        <f>IF('R.M Billets Reports'!A2764="V.No.",'R.M Billets Reports'!B2764,IF(ROW()=2,"",C2764))</f>
      </c>
      <c r="D2765">
        <f>IF('R.M Billets Reports'!A2764&lt;&gt;"",'R.M Billets Reports'!A2764,IF(ROW()=2,"",D2764))</f>
      </c>
      <c r="E2765">
        <f>IF('R.M Billets Reports'!B2764="","",TRIM('R.M Billets Reports'!B2764))</f>
      </c>
      <c r="F2765">
        <f>'R.M Billets Reports'!C2764</f>
      </c>
      <c r="G2765">
        <f>'R.M Billets Reports'!D2764</f>
      </c>
      <c r="H2765">
        <f>'R.M Billets Reports'!E2764</f>
      </c>
      <c r="I2765">
        <f>'R.M Billets Reports'!F2764</f>
      </c>
      <c r="J2765">
        <f>'R.M Billets Reports'!G2764</f>
      </c>
      <c r="K2765">
        <f>'R.M Billets Reports'!H2764</f>
      </c>
      <c r="L2765">
        <f>IF('R.M Billets Reports'!I2764="","",'R.M Billets Reports'!I2764)</f>
      </c>
      <c r="M2765">
        <f t="shared" si="86"/>
      </c>
      <c r="N2765">
        <f>IF('R.M Billets Reports'!J2764="","",'R.M Billets Reports'!J2764)</f>
      </c>
      <c r="O2765">
        <f t="shared" si="87"/>
      </c>
      <c r="P2765">
        <f>IF('R.M Billets Reports'!A2764="SIZE",'R.M Billets Reports'!B2764,P2764)</f>
      </c>
    </row>
    <row r="2766" spans="1:16" x14ac:dyDescent="0.25">
      <c r="A2766">
        <f>IF(OR('R.M Billets Reports'!A2765="Date-",'R.M Billets Reports'!A2765="Date:-"),IF(IF(IF(ISNUMBER(SEARCH("Party Name:-",'R.M Billets Reports'!D2765)),TRIM('R.M Billets Reports'!F2765),IF(ISNUMBER(SEARCH("Party Name-",'R.M Billets Reports'!D2765)),TRIM(MID('R.M Billets Reports'!D2765,SEARCH("-",'R.M Billets Reports'!D2765)+1,200)),""))&lt;&gt;"",IF(ISNUMBER(SEARCH("Party Name:-",'R.M Billets Reports'!D2765)),TRIM('R.M Billets Reports'!F2765),IF(ISNUMBER(SEARCH("Party Name-",'R.M Billets Reports'!D2765)),TRIM(MID('R.M Billets Reports'!D2765,SEARCH("-",'R.M Billets Reports'!D2765)+1,200)),"")),IF(ISNUMBER(SEARCH("Party Name:-",'R.M Billets Reports'!D2766)),TRIM('R.M Billets Reports'!F2766),IF(ISNUMBER(SEARCH("Party Name-",'R.M Billets Reports'!D2766)),TRIM(MID('R.M Billets Reports'!D2766,SEARCH("-",'R.M Billets Reports'!D2766)+1,200)),"")))="VRKP ISPAT PVT LTD","VRKP",IF(IF(IF(ISNUMBER(SEARCH("Party Name:-",'R.M Billets Reports'!D2765)),TRIM('R.M Billets Reports'!F2765),IF(ISNUMBER(SEARCH("Party Name-",'R.M Billets Reports'!D2765)),TRIM(MID('R.M Billets Reports'!D2765,SEARCH("-",'R.M Billets Reports'!D2765)+1,200)),""))&lt;&gt;"",IF(ISNUMBER(SEARCH("Party Name:-",'R.M Billets Reports'!D2765)),TRIM('R.M Billets Reports'!F2765),IF(ISNUMBER(SEARCH("Party Name-",'R.M Billets Reports'!D2765)),TRIM(MID('R.M Billets Reports'!D2765,SEARCH("-",'R.M Billets Reports'!D2765)+1,200)),"")),IF(ISNUMBER(SEARCH("Party Name:-",'R.M Billets Reports'!D2766)),TRIM('R.M Billets Reports'!F2766),IF(ISNUMBER(SEARCH("Party Name-",'R.M Billets Reports'!D2766)),TRIM(MID('R.M Billets Reports'!D2766,SEARCH("-",'R.M Billets Reports'!D2766)+1,200)),"")))="SHRI RADHE","SHREE RADHE",IF(IF(IF(ISNUMBER(SEARCH("Party Name:-",'R.M Billets Reports'!D2765)),TRIM('R.M Billets Reports'!F2765),IF(ISNUMBER(SEARCH("Party Name-",'R.M Billets Reports'!D2765)),TRIM(MID('R.M Billets Reports'!D2765,SEARCH("-",'R.M Billets Reports'!D2765)+1,200)),""))&lt;&gt;"",IF(ISNUMBER(SEARCH("Party Name:-",'R.M Billets Reports'!D2765)),TRIM('R.M Billets Reports'!F2765),IF(ISNUMBER(SEARCH("Party Name-",'R.M Billets Reports'!D2765)),TRIM(MID('R.M Billets Reports'!D2765,SEARCH("-",'R.M Billets Reports'!D2765)+1,200)),"")),IF(ISNUMBER(SEARCH("Party Name:-",'R.M Billets Reports'!D2766)),TRIM('R.M Billets Reports'!F2766),IF(ISNUMBER(SEARCH("Party Name-",'R.M Billets Reports'!D2766)),TRIM(MID('R.M Billets Reports'!D2766,SEARCH("-",'R.M Billets Reports'!D2766)+1,200)),"")))="SHREE RADHE SHAKTI SPONGE AND POWER PVT. LTD.","SHREE RADHE",IF(IF(ISNUMBER(SEARCH("Party Name:-",'R.M Billets Reports'!D2765)),TRIM('R.M Billets Reports'!F2765),IF(ISNUMBER(SEARCH("Party Name-",'R.M Billets Reports'!D2765)),TRIM(MID('R.M Billets Reports'!D2765,SEARCH("-",'R.M Billets Reports'!D2765)+1,200)),""))&lt;&gt;"",IF(ISNUMBER(SEARCH("Party Name:-",'R.M Billets Reports'!D2765)),TRIM('R.M Billets Reports'!F2765),IF(ISNUMBER(SEARCH("Party Name-",'R.M Billets Reports'!D2765)),TRIM(MID('R.M Billets Reports'!D2765,SEARCH("-",'R.M Billets Reports'!D2765)+1,200)),"")),IF(ISNUMBER(SEARCH("Party Name:-",'R.M Billets Reports'!D2766)),TRIM('R.M Billets Reports'!F2766),IF(ISNUMBER(SEARCH("Party Name-",'R.M Billets Reports'!D2766)),TRIM(MID('R.M Billets Reports'!D2766,SEARCH("-",'R.M Billets Reports'!D2766)+1,200)),"")))))),IF(ROW()=2,"",A2765))</f>
      </c>
      <c r="B2766">
        <f>IF(OR('R.M Billets Reports'!A2765="Date-",'R.M Billets Reports'!A2765="Date:-"),'R.M Billets Reports'!B2765,IF(ROW()=2,"",B2765))</f>
      </c>
      <c r="C2766">
        <f>IF('R.M Billets Reports'!A2765="V.No.",'R.M Billets Reports'!B2765,IF(ROW()=2,"",C2765))</f>
      </c>
      <c r="D2766">
        <f>IF('R.M Billets Reports'!A2765&lt;&gt;"",'R.M Billets Reports'!A2765,IF(ROW()=2,"",D2765))</f>
      </c>
      <c r="E2766">
        <f>IF('R.M Billets Reports'!B2765="","",TRIM('R.M Billets Reports'!B2765))</f>
      </c>
      <c r="F2766">
        <f>'R.M Billets Reports'!C2765</f>
      </c>
      <c r="G2766">
        <f>'R.M Billets Reports'!D2765</f>
      </c>
      <c r="H2766">
        <f>'R.M Billets Reports'!E2765</f>
      </c>
      <c r="I2766">
        <f>'R.M Billets Reports'!F2765</f>
      </c>
      <c r="J2766">
        <f>'R.M Billets Reports'!G2765</f>
      </c>
      <c r="K2766">
        <f>'R.M Billets Reports'!H2765</f>
      </c>
      <c r="L2766">
        <f>IF('R.M Billets Reports'!I2765="","",'R.M Billets Reports'!I2765)</f>
      </c>
      <c r="M2766">
        <f t="shared" si="86"/>
      </c>
      <c r="N2766">
        <f>IF('R.M Billets Reports'!J2765="","",'R.M Billets Reports'!J2765)</f>
      </c>
      <c r="O2766">
        <f t="shared" si="87"/>
      </c>
      <c r="P2766">
        <f>IF('R.M Billets Reports'!A2765="SIZE",'R.M Billets Reports'!B2765,P2765)</f>
      </c>
    </row>
    <row r="2767" spans="1:16" x14ac:dyDescent="0.25">
      <c r="A2767">
        <f>IF(OR('R.M Billets Reports'!A2766="Date-",'R.M Billets Reports'!A2766="Date:-"),IF(IF(IF(ISNUMBER(SEARCH("Party Name:-",'R.M Billets Reports'!D2766)),TRIM('R.M Billets Reports'!F2766),IF(ISNUMBER(SEARCH("Party Name-",'R.M Billets Reports'!D2766)),TRIM(MID('R.M Billets Reports'!D2766,SEARCH("-",'R.M Billets Reports'!D2766)+1,200)),""))&lt;&gt;"",IF(ISNUMBER(SEARCH("Party Name:-",'R.M Billets Reports'!D2766)),TRIM('R.M Billets Reports'!F2766),IF(ISNUMBER(SEARCH("Party Name-",'R.M Billets Reports'!D2766)),TRIM(MID('R.M Billets Reports'!D2766,SEARCH("-",'R.M Billets Reports'!D2766)+1,200)),"")),IF(ISNUMBER(SEARCH("Party Name:-",'R.M Billets Reports'!D2767)),TRIM('R.M Billets Reports'!F2767),IF(ISNUMBER(SEARCH("Party Name-",'R.M Billets Reports'!D2767)),TRIM(MID('R.M Billets Reports'!D2767,SEARCH("-",'R.M Billets Reports'!D2767)+1,200)),"")))="VRKP ISPAT PVT LTD","VRKP",IF(IF(IF(ISNUMBER(SEARCH("Party Name:-",'R.M Billets Reports'!D2766)),TRIM('R.M Billets Reports'!F2766),IF(ISNUMBER(SEARCH("Party Name-",'R.M Billets Reports'!D2766)),TRIM(MID('R.M Billets Reports'!D2766,SEARCH("-",'R.M Billets Reports'!D2766)+1,200)),""))&lt;&gt;"",IF(ISNUMBER(SEARCH("Party Name:-",'R.M Billets Reports'!D2766)),TRIM('R.M Billets Reports'!F2766),IF(ISNUMBER(SEARCH("Party Name-",'R.M Billets Reports'!D2766)),TRIM(MID('R.M Billets Reports'!D2766,SEARCH("-",'R.M Billets Reports'!D2766)+1,200)),"")),IF(ISNUMBER(SEARCH("Party Name:-",'R.M Billets Reports'!D2767)),TRIM('R.M Billets Reports'!F2767),IF(ISNUMBER(SEARCH("Party Name-",'R.M Billets Reports'!D2767)),TRIM(MID('R.M Billets Reports'!D2767,SEARCH("-",'R.M Billets Reports'!D2767)+1,200)),"")))="SHRI RADHE","SHREE RADHE",IF(IF(IF(ISNUMBER(SEARCH("Party Name:-",'R.M Billets Reports'!D2766)),TRIM('R.M Billets Reports'!F2766),IF(ISNUMBER(SEARCH("Party Name-",'R.M Billets Reports'!D2766)),TRIM(MID('R.M Billets Reports'!D2766,SEARCH("-",'R.M Billets Reports'!D2766)+1,200)),""))&lt;&gt;"",IF(ISNUMBER(SEARCH("Party Name:-",'R.M Billets Reports'!D2766)),TRIM('R.M Billets Reports'!F2766),IF(ISNUMBER(SEARCH("Party Name-",'R.M Billets Reports'!D2766)),TRIM(MID('R.M Billets Reports'!D2766,SEARCH("-",'R.M Billets Reports'!D2766)+1,200)),"")),IF(ISNUMBER(SEARCH("Party Name:-",'R.M Billets Reports'!D2767)),TRIM('R.M Billets Reports'!F2767),IF(ISNUMBER(SEARCH("Party Name-",'R.M Billets Reports'!D2767)),TRIM(MID('R.M Billets Reports'!D2767,SEARCH("-",'R.M Billets Reports'!D2767)+1,200)),"")))="SHREE RADHE SHAKTI SPONGE AND POWER PVT. LTD.","SHREE RADHE",IF(IF(ISNUMBER(SEARCH("Party Name:-",'R.M Billets Reports'!D2766)),TRIM('R.M Billets Reports'!F2766),IF(ISNUMBER(SEARCH("Party Name-",'R.M Billets Reports'!D2766)),TRIM(MID('R.M Billets Reports'!D2766,SEARCH("-",'R.M Billets Reports'!D2766)+1,200)),""))&lt;&gt;"",IF(ISNUMBER(SEARCH("Party Name:-",'R.M Billets Reports'!D2766)),TRIM('R.M Billets Reports'!F2766),IF(ISNUMBER(SEARCH("Party Name-",'R.M Billets Reports'!D2766)),TRIM(MID('R.M Billets Reports'!D2766,SEARCH("-",'R.M Billets Reports'!D2766)+1,200)),"")),IF(ISNUMBER(SEARCH("Party Name:-",'R.M Billets Reports'!D2767)),TRIM('R.M Billets Reports'!F2767),IF(ISNUMBER(SEARCH("Party Name-",'R.M Billets Reports'!D2767)),TRIM(MID('R.M Billets Reports'!D2767,SEARCH("-",'R.M Billets Reports'!D2767)+1,200)),"")))))),IF(ROW()=2,"",A2766))</f>
      </c>
      <c r="B2767">
        <f>IF(OR('R.M Billets Reports'!A2766="Date-",'R.M Billets Reports'!A2766="Date:-"),'R.M Billets Reports'!B2766,IF(ROW()=2,"",B2766))</f>
      </c>
      <c r="C2767">
        <f>IF('R.M Billets Reports'!A2766="V.No.",'R.M Billets Reports'!B2766,IF(ROW()=2,"",C2766))</f>
      </c>
      <c r="D2767">
        <f>IF('R.M Billets Reports'!A2766&lt;&gt;"",'R.M Billets Reports'!A2766,IF(ROW()=2,"",D2766))</f>
      </c>
      <c r="E2767">
        <f>IF('R.M Billets Reports'!B2766="","",TRIM('R.M Billets Reports'!B2766))</f>
      </c>
      <c r="F2767">
        <f>'R.M Billets Reports'!C2766</f>
      </c>
      <c r="G2767">
        <f>'R.M Billets Reports'!D2766</f>
      </c>
      <c r="H2767">
        <f>'R.M Billets Reports'!E2766</f>
      </c>
      <c r="I2767">
        <f>'R.M Billets Reports'!F2766</f>
      </c>
      <c r="J2767">
        <f>'R.M Billets Reports'!G2766</f>
      </c>
      <c r="K2767">
        <f>'R.M Billets Reports'!H2766</f>
      </c>
      <c r="L2767">
        <f>IF('R.M Billets Reports'!I2766="","",'R.M Billets Reports'!I2766)</f>
      </c>
      <c r="M2767">
        <f t="shared" si="86"/>
      </c>
      <c r="N2767">
        <f>IF('R.M Billets Reports'!J2766="","",'R.M Billets Reports'!J2766)</f>
      </c>
      <c r="O2767">
        <f t="shared" si="87"/>
      </c>
      <c r="P2767">
        <f>IF('R.M Billets Reports'!A2766="SIZE",'R.M Billets Reports'!B2766,P2766)</f>
      </c>
    </row>
    <row r="2768" spans="1:16" x14ac:dyDescent="0.25">
      <c r="A2768">
        <f>IF(OR('R.M Billets Reports'!A2767="Date-",'R.M Billets Reports'!A2767="Date:-"),IF(IF(IF(ISNUMBER(SEARCH("Party Name:-",'R.M Billets Reports'!D2767)),TRIM('R.M Billets Reports'!F2767),IF(ISNUMBER(SEARCH("Party Name-",'R.M Billets Reports'!D2767)),TRIM(MID('R.M Billets Reports'!D2767,SEARCH("-",'R.M Billets Reports'!D2767)+1,200)),""))&lt;&gt;"",IF(ISNUMBER(SEARCH("Party Name:-",'R.M Billets Reports'!D2767)),TRIM('R.M Billets Reports'!F2767),IF(ISNUMBER(SEARCH("Party Name-",'R.M Billets Reports'!D2767)),TRIM(MID('R.M Billets Reports'!D2767,SEARCH("-",'R.M Billets Reports'!D2767)+1,200)),"")),IF(ISNUMBER(SEARCH("Party Name:-",'R.M Billets Reports'!D2768)),TRIM('R.M Billets Reports'!F2768),IF(ISNUMBER(SEARCH("Party Name-",'R.M Billets Reports'!D2768)),TRIM(MID('R.M Billets Reports'!D2768,SEARCH("-",'R.M Billets Reports'!D2768)+1,200)),"")))="VRKP ISPAT PVT LTD","VRKP",IF(IF(IF(ISNUMBER(SEARCH("Party Name:-",'R.M Billets Reports'!D2767)),TRIM('R.M Billets Reports'!F2767),IF(ISNUMBER(SEARCH("Party Name-",'R.M Billets Reports'!D2767)),TRIM(MID('R.M Billets Reports'!D2767,SEARCH("-",'R.M Billets Reports'!D2767)+1,200)),""))&lt;&gt;"",IF(ISNUMBER(SEARCH("Party Name:-",'R.M Billets Reports'!D2767)),TRIM('R.M Billets Reports'!F2767),IF(ISNUMBER(SEARCH("Party Name-",'R.M Billets Reports'!D2767)),TRIM(MID('R.M Billets Reports'!D2767,SEARCH("-",'R.M Billets Reports'!D2767)+1,200)),"")),IF(ISNUMBER(SEARCH("Party Name:-",'R.M Billets Reports'!D2768)),TRIM('R.M Billets Reports'!F2768),IF(ISNUMBER(SEARCH("Party Name-",'R.M Billets Reports'!D2768)),TRIM(MID('R.M Billets Reports'!D2768,SEARCH("-",'R.M Billets Reports'!D2768)+1,200)),"")))="SHRI RADHE","SHREE RADHE",IF(IF(IF(ISNUMBER(SEARCH("Party Name:-",'R.M Billets Reports'!D2767)),TRIM('R.M Billets Reports'!F2767),IF(ISNUMBER(SEARCH("Party Name-",'R.M Billets Reports'!D2767)),TRIM(MID('R.M Billets Reports'!D2767,SEARCH("-",'R.M Billets Reports'!D2767)+1,200)),""))&lt;&gt;"",IF(ISNUMBER(SEARCH("Party Name:-",'R.M Billets Reports'!D2767)),TRIM('R.M Billets Reports'!F2767),IF(ISNUMBER(SEARCH("Party Name-",'R.M Billets Reports'!D2767)),TRIM(MID('R.M Billets Reports'!D2767,SEARCH("-",'R.M Billets Reports'!D2767)+1,200)),"")),IF(ISNUMBER(SEARCH("Party Name:-",'R.M Billets Reports'!D2768)),TRIM('R.M Billets Reports'!F2768),IF(ISNUMBER(SEARCH("Party Name-",'R.M Billets Reports'!D2768)),TRIM(MID('R.M Billets Reports'!D2768,SEARCH("-",'R.M Billets Reports'!D2768)+1,200)),"")))="SHREE RADHE SHAKTI SPONGE AND POWER PVT. LTD.","SHREE RADHE",IF(IF(ISNUMBER(SEARCH("Party Name:-",'R.M Billets Reports'!D2767)),TRIM('R.M Billets Reports'!F2767),IF(ISNUMBER(SEARCH("Party Name-",'R.M Billets Reports'!D2767)),TRIM(MID('R.M Billets Reports'!D2767,SEARCH("-",'R.M Billets Reports'!D2767)+1,200)),""))&lt;&gt;"",IF(ISNUMBER(SEARCH("Party Name:-",'R.M Billets Reports'!D2767)),TRIM('R.M Billets Reports'!F2767),IF(ISNUMBER(SEARCH("Party Name-",'R.M Billets Reports'!D2767)),TRIM(MID('R.M Billets Reports'!D2767,SEARCH("-",'R.M Billets Reports'!D2767)+1,200)),"")),IF(ISNUMBER(SEARCH("Party Name:-",'R.M Billets Reports'!D2768)),TRIM('R.M Billets Reports'!F2768),IF(ISNUMBER(SEARCH("Party Name-",'R.M Billets Reports'!D2768)),TRIM(MID('R.M Billets Reports'!D2768,SEARCH("-",'R.M Billets Reports'!D2768)+1,200)),"")))))),IF(ROW()=2,"",A2767))</f>
      </c>
      <c r="B2768">
        <f>IF(OR('R.M Billets Reports'!A2767="Date-",'R.M Billets Reports'!A2767="Date:-"),'R.M Billets Reports'!B2767,IF(ROW()=2,"",B2767))</f>
      </c>
      <c r="C2768">
        <f>IF('R.M Billets Reports'!A2767="V.No.",'R.M Billets Reports'!B2767,IF(ROW()=2,"",C2767))</f>
      </c>
      <c r="D2768">
        <f>IF('R.M Billets Reports'!A2767&lt;&gt;"",'R.M Billets Reports'!A2767,IF(ROW()=2,"",D2767))</f>
      </c>
      <c r="E2768">
        <f>IF('R.M Billets Reports'!B2767="","",TRIM('R.M Billets Reports'!B2767))</f>
      </c>
      <c r="F2768">
        <f>'R.M Billets Reports'!C2767</f>
      </c>
      <c r="G2768">
        <f>'R.M Billets Reports'!D2767</f>
      </c>
      <c r="H2768">
        <f>'R.M Billets Reports'!E2767</f>
      </c>
      <c r="I2768">
        <f>'R.M Billets Reports'!F2767</f>
      </c>
      <c r="J2768">
        <f>'R.M Billets Reports'!G2767</f>
      </c>
      <c r="K2768">
        <f>'R.M Billets Reports'!H2767</f>
      </c>
      <c r="L2768">
        <f>IF('R.M Billets Reports'!I2767="","",'R.M Billets Reports'!I2767)</f>
      </c>
      <c r="M2768">
        <f t="shared" si="86"/>
      </c>
      <c r="N2768">
        <f>IF('R.M Billets Reports'!J2767="","",'R.M Billets Reports'!J2767)</f>
      </c>
      <c r="O2768">
        <f t="shared" si="87"/>
      </c>
      <c r="P2768">
        <f>IF('R.M Billets Reports'!A2767="SIZE",'R.M Billets Reports'!B2767,P2767)</f>
      </c>
    </row>
    <row r="2769" spans="1:16" x14ac:dyDescent="0.25">
      <c r="A2769">
        <f>IF(OR('R.M Billets Reports'!A2768="Date-",'R.M Billets Reports'!A2768="Date:-"),IF(IF(IF(ISNUMBER(SEARCH("Party Name:-",'R.M Billets Reports'!D2768)),TRIM('R.M Billets Reports'!F2768),IF(ISNUMBER(SEARCH("Party Name-",'R.M Billets Reports'!D2768)),TRIM(MID('R.M Billets Reports'!D2768,SEARCH("-",'R.M Billets Reports'!D2768)+1,200)),""))&lt;&gt;"",IF(ISNUMBER(SEARCH("Party Name:-",'R.M Billets Reports'!D2768)),TRIM('R.M Billets Reports'!F2768),IF(ISNUMBER(SEARCH("Party Name-",'R.M Billets Reports'!D2768)),TRIM(MID('R.M Billets Reports'!D2768,SEARCH("-",'R.M Billets Reports'!D2768)+1,200)),"")),IF(ISNUMBER(SEARCH("Party Name:-",'R.M Billets Reports'!D2769)),TRIM('R.M Billets Reports'!F2769),IF(ISNUMBER(SEARCH("Party Name-",'R.M Billets Reports'!D2769)),TRIM(MID('R.M Billets Reports'!D2769,SEARCH("-",'R.M Billets Reports'!D2769)+1,200)),"")))="VRKP ISPAT PVT LTD","VRKP",IF(IF(IF(ISNUMBER(SEARCH("Party Name:-",'R.M Billets Reports'!D2768)),TRIM('R.M Billets Reports'!F2768),IF(ISNUMBER(SEARCH("Party Name-",'R.M Billets Reports'!D2768)),TRIM(MID('R.M Billets Reports'!D2768,SEARCH("-",'R.M Billets Reports'!D2768)+1,200)),""))&lt;&gt;"",IF(ISNUMBER(SEARCH("Party Name:-",'R.M Billets Reports'!D2768)),TRIM('R.M Billets Reports'!F2768),IF(ISNUMBER(SEARCH("Party Name-",'R.M Billets Reports'!D2768)),TRIM(MID('R.M Billets Reports'!D2768,SEARCH("-",'R.M Billets Reports'!D2768)+1,200)),"")),IF(ISNUMBER(SEARCH("Party Name:-",'R.M Billets Reports'!D2769)),TRIM('R.M Billets Reports'!F2769),IF(ISNUMBER(SEARCH("Party Name-",'R.M Billets Reports'!D2769)),TRIM(MID('R.M Billets Reports'!D2769,SEARCH("-",'R.M Billets Reports'!D2769)+1,200)),"")))="SHRI RADHE","SHREE RADHE",IF(IF(IF(ISNUMBER(SEARCH("Party Name:-",'R.M Billets Reports'!D2768)),TRIM('R.M Billets Reports'!F2768),IF(ISNUMBER(SEARCH("Party Name-",'R.M Billets Reports'!D2768)),TRIM(MID('R.M Billets Reports'!D2768,SEARCH("-",'R.M Billets Reports'!D2768)+1,200)),""))&lt;&gt;"",IF(ISNUMBER(SEARCH("Party Name:-",'R.M Billets Reports'!D2768)),TRIM('R.M Billets Reports'!F2768),IF(ISNUMBER(SEARCH("Party Name-",'R.M Billets Reports'!D2768)),TRIM(MID('R.M Billets Reports'!D2768,SEARCH("-",'R.M Billets Reports'!D2768)+1,200)),"")),IF(ISNUMBER(SEARCH("Party Name:-",'R.M Billets Reports'!D2769)),TRIM('R.M Billets Reports'!F2769),IF(ISNUMBER(SEARCH("Party Name-",'R.M Billets Reports'!D2769)),TRIM(MID('R.M Billets Reports'!D2769,SEARCH("-",'R.M Billets Reports'!D2769)+1,200)),"")))="SHREE RADHE SHAKTI SPONGE AND POWER PVT. LTD.","SHREE RADHE",IF(IF(ISNUMBER(SEARCH("Party Name:-",'R.M Billets Reports'!D2768)),TRIM('R.M Billets Reports'!F2768),IF(ISNUMBER(SEARCH("Party Name-",'R.M Billets Reports'!D2768)),TRIM(MID('R.M Billets Reports'!D2768,SEARCH("-",'R.M Billets Reports'!D2768)+1,200)),""))&lt;&gt;"",IF(ISNUMBER(SEARCH("Party Name:-",'R.M Billets Reports'!D2768)),TRIM('R.M Billets Reports'!F2768),IF(ISNUMBER(SEARCH("Party Name-",'R.M Billets Reports'!D2768)),TRIM(MID('R.M Billets Reports'!D2768,SEARCH("-",'R.M Billets Reports'!D2768)+1,200)),"")),IF(ISNUMBER(SEARCH("Party Name:-",'R.M Billets Reports'!D2769)),TRIM('R.M Billets Reports'!F2769),IF(ISNUMBER(SEARCH("Party Name-",'R.M Billets Reports'!D2769)),TRIM(MID('R.M Billets Reports'!D2769,SEARCH("-",'R.M Billets Reports'!D2769)+1,200)),"")))))),IF(ROW()=2,"",A2768))</f>
      </c>
      <c r="B2769">
        <f>IF(OR('R.M Billets Reports'!A2768="Date-",'R.M Billets Reports'!A2768="Date:-"),'R.M Billets Reports'!B2768,IF(ROW()=2,"",B2768))</f>
      </c>
      <c r="C2769">
        <f>IF('R.M Billets Reports'!A2768="V.No.",'R.M Billets Reports'!B2768,IF(ROW()=2,"",C2768))</f>
      </c>
      <c r="D2769">
        <f>IF('R.M Billets Reports'!A2768&lt;&gt;"",'R.M Billets Reports'!A2768,IF(ROW()=2,"",D2768))</f>
      </c>
      <c r="E2769">
        <f>IF('R.M Billets Reports'!B2768="","",TRIM('R.M Billets Reports'!B2768))</f>
      </c>
      <c r="F2769">
        <f>'R.M Billets Reports'!C2768</f>
      </c>
      <c r="G2769">
        <f>'R.M Billets Reports'!D2768</f>
      </c>
      <c r="H2769">
        <f>'R.M Billets Reports'!E2768</f>
      </c>
      <c r="I2769">
        <f>'R.M Billets Reports'!F2768</f>
      </c>
      <c r="J2769">
        <f>'R.M Billets Reports'!G2768</f>
      </c>
      <c r="K2769">
        <f>'R.M Billets Reports'!H2768</f>
      </c>
      <c r="L2769">
        <f>IF('R.M Billets Reports'!I2768="","",'R.M Billets Reports'!I2768)</f>
      </c>
      <c r="M2769">
        <f t="shared" si="86"/>
      </c>
      <c r="N2769">
        <f>IF('R.M Billets Reports'!J2768="","",'R.M Billets Reports'!J2768)</f>
      </c>
      <c r="O2769">
        <f t="shared" si="87"/>
      </c>
      <c r="P2769">
        <f>IF('R.M Billets Reports'!A2768="SIZE",'R.M Billets Reports'!B2768,P2768)</f>
      </c>
    </row>
    <row r="2770" spans="1:16" x14ac:dyDescent="0.25">
      <c r="A2770">
        <f>IF(OR('R.M Billets Reports'!A2769="Date-",'R.M Billets Reports'!A2769="Date:-"),IF(IF(IF(ISNUMBER(SEARCH("Party Name:-",'R.M Billets Reports'!D2769)),TRIM('R.M Billets Reports'!F2769),IF(ISNUMBER(SEARCH("Party Name-",'R.M Billets Reports'!D2769)),TRIM(MID('R.M Billets Reports'!D2769,SEARCH("-",'R.M Billets Reports'!D2769)+1,200)),""))&lt;&gt;"",IF(ISNUMBER(SEARCH("Party Name:-",'R.M Billets Reports'!D2769)),TRIM('R.M Billets Reports'!F2769),IF(ISNUMBER(SEARCH("Party Name-",'R.M Billets Reports'!D2769)),TRIM(MID('R.M Billets Reports'!D2769,SEARCH("-",'R.M Billets Reports'!D2769)+1,200)),"")),IF(ISNUMBER(SEARCH("Party Name:-",'R.M Billets Reports'!D2770)),TRIM('R.M Billets Reports'!F2770),IF(ISNUMBER(SEARCH("Party Name-",'R.M Billets Reports'!D2770)),TRIM(MID('R.M Billets Reports'!D2770,SEARCH("-",'R.M Billets Reports'!D2770)+1,200)),"")))="VRKP ISPAT PVT LTD","VRKP",IF(IF(IF(ISNUMBER(SEARCH("Party Name:-",'R.M Billets Reports'!D2769)),TRIM('R.M Billets Reports'!F2769),IF(ISNUMBER(SEARCH("Party Name-",'R.M Billets Reports'!D2769)),TRIM(MID('R.M Billets Reports'!D2769,SEARCH("-",'R.M Billets Reports'!D2769)+1,200)),""))&lt;&gt;"",IF(ISNUMBER(SEARCH("Party Name:-",'R.M Billets Reports'!D2769)),TRIM('R.M Billets Reports'!F2769),IF(ISNUMBER(SEARCH("Party Name-",'R.M Billets Reports'!D2769)),TRIM(MID('R.M Billets Reports'!D2769,SEARCH("-",'R.M Billets Reports'!D2769)+1,200)),"")),IF(ISNUMBER(SEARCH("Party Name:-",'R.M Billets Reports'!D2770)),TRIM('R.M Billets Reports'!F2770),IF(ISNUMBER(SEARCH("Party Name-",'R.M Billets Reports'!D2770)),TRIM(MID('R.M Billets Reports'!D2770,SEARCH("-",'R.M Billets Reports'!D2770)+1,200)),"")))="SHRI RADHE","SHREE RADHE",IF(IF(IF(ISNUMBER(SEARCH("Party Name:-",'R.M Billets Reports'!D2769)),TRIM('R.M Billets Reports'!F2769),IF(ISNUMBER(SEARCH("Party Name-",'R.M Billets Reports'!D2769)),TRIM(MID('R.M Billets Reports'!D2769,SEARCH("-",'R.M Billets Reports'!D2769)+1,200)),""))&lt;&gt;"",IF(ISNUMBER(SEARCH("Party Name:-",'R.M Billets Reports'!D2769)),TRIM('R.M Billets Reports'!F2769),IF(ISNUMBER(SEARCH("Party Name-",'R.M Billets Reports'!D2769)),TRIM(MID('R.M Billets Reports'!D2769,SEARCH("-",'R.M Billets Reports'!D2769)+1,200)),"")),IF(ISNUMBER(SEARCH("Party Name:-",'R.M Billets Reports'!D2770)),TRIM('R.M Billets Reports'!F2770),IF(ISNUMBER(SEARCH("Party Name-",'R.M Billets Reports'!D2770)),TRIM(MID('R.M Billets Reports'!D2770,SEARCH("-",'R.M Billets Reports'!D2770)+1,200)),"")))="SHREE RADHE SHAKTI SPONGE AND POWER PVT. LTD.","SHREE RADHE",IF(IF(ISNUMBER(SEARCH("Party Name:-",'R.M Billets Reports'!D2769)),TRIM('R.M Billets Reports'!F2769),IF(ISNUMBER(SEARCH("Party Name-",'R.M Billets Reports'!D2769)),TRIM(MID('R.M Billets Reports'!D2769,SEARCH("-",'R.M Billets Reports'!D2769)+1,200)),""))&lt;&gt;"",IF(ISNUMBER(SEARCH("Party Name:-",'R.M Billets Reports'!D2769)),TRIM('R.M Billets Reports'!F2769),IF(ISNUMBER(SEARCH("Party Name-",'R.M Billets Reports'!D2769)),TRIM(MID('R.M Billets Reports'!D2769,SEARCH("-",'R.M Billets Reports'!D2769)+1,200)),"")),IF(ISNUMBER(SEARCH("Party Name:-",'R.M Billets Reports'!D2770)),TRIM('R.M Billets Reports'!F2770),IF(ISNUMBER(SEARCH("Party Name-",'R.M Billets Reports'!D2770)),TRIM(MID('R.M Billets Reports'!D2770,SEARCH("-",'R.M Billets Reports'!D2770)+1,200)),"")))))),IF(ROW()=2,"",A2769))</f>
      </c>
      <c r="B2770">
        <f>IF(OR('R.M Billets Reports'!A2769="Date-",'R.M Billets Reports'!A2769="Date:-"),'R.M Billets Reports'!B2769,IF(ROW()=2,"",B2769))</f>
      </c>
      <c r="C2770">
        <f>IF('R.M Billets Reports'!A2769="V.No.",'R.M Billets Reports'!B2769,IF(ROW()=2,"",C2769))</f>
      </c>
      <c r="D2770">
        <f>IF('R.M Billets Reports'!A2769&lt;&gt;"",'R.M Billets Reports'!A2769,IF(ROW()=2,"",D2769))</f>
      </c>
      <c r="E2770">
        <f>IF('R.M Billets Reports'!B2769="","",TRIM('R.M Billets Reports'!B2769))</f>
      </c>
      <c r="F2770">
        <f>'R.M Billets Reports'!C2769</f>
      </c>
      <c r="G2770">
        <f>'R.M Billets Reports'!D2769</f>
      </c>
      <c r="H2770">
        <f>'R.M Billets Reports'!E2769</f>
      </c>
      <c r="I2770">
        <f>'R.M Billets Reports'!F2769</f>
      </c>
      <c r="J2770">
        <f>'R.M Billets Reports'!G2769</f>
      </c>
      <c r="K2770">
        <f>'R.M Billets Reports'!H2769</f>
      </c>
      <c r="L2770">
        <f>IF('R.M Billets Reports'!I2769="","",'R.M Billets Reports'!I2769)</f>
      </c>
      <c r="M2770">
        <f t="shared" si="86"/>
      </c>
      <c r="N2770">
        <f>IF('R.M Billets Reports'!J2769="","",'R.M Billets Reports'!J2769)</f>
      </c>
      <c r="O2770">
        <f t="shared" si="87"/>
      </c>
      <c r="P2770">
        <f>IF('R.M Billets Reports'!A2769="SIZE",'R.M Billets Reports'!B2769,P2769)</f>
      </c>
    </row>
    <row r="2771" spans="1:16" x14ac:dyDescent="0.25">
      <c r="A2771">
        <f>IF(OR('R.M Billets Reports'!A2770="Date-",'R.M Billets Reports'!A2770="Date:-"),IF(IF(IF(ISNUMBER(SEARCH("Party Name:-",'R.M Billets Reports'!D2770)),TRIM('R.M Billets Reports'!F2770),IF(ISNUMBER(SEARCH("Party Name-",'R.M Billets Reports'!D2770)),TRIM(MID('R.M Billets Reports'!D2770,SEARCH("-",'R.M Billets Reports'!D2770)+1,200)),""))&lt;&gt;"",IF(ISNUMBER(SEARCH("Party Name:-",'R.M Billets Reports'!D2770)),TRIM('R.M Billets Reports'!F2770),IF(ISNUMBER(SEARCH("Party Name-",'R.M Billets Reports'!D2770)),TRIM(MID('R.M Billets Reports'!D2770,SEARCH("-",'R.M Billets Reports'!D2770)+1,200)),"")),IF(ISNUMBER(SEARCH("Party Name:-",'R.M Billets Reports'!D2771)),TRIM('R.M Billets Reports'!F2771),IF(ISNUMBER(SEARCH("Party Name-",'R.M Billets Reports'!D2771)),TRIM(MID('R.M Billets Reports'!D2771,SEARCH("-",'R.M Billets Reports'!D2771)+1,200)),"")))="VRKP ISPAT PVT LTD","VRKP",IF(IF(IF(ISNUMBER(SEARCH("Party Name:-",'R.M Billets Reports'!D2770)),TRIM('R.M Billets Reports'!F2770),IF(ISNUMBER(SEARCH("Party Name-",'R.M Billets Reports'!D2770)),TRIM(MID('R.M Billets Reports'!D2770,SEARCH("-",'R.M Billets Reports'!D2770)+1,200)),""))&lt;&gt;"",IF(ISNUMBER(SEARCH("Party Name:-",'R.M Billets Reports'!D2770)),TRIM('R.M Billets Reports'!F2770),IF(ISNUMBER(SEARCH("Party Name-",'R.M Billets Reports'!D2770)),TRIM(MID('R.M Billets Reports'!D2770,SEARCH("-",'R.M Billets Reports'!D2770)+1,200)),"")),IF(ISNUMBER(SEARCH("Party Name:-",'R.M Billets Reports'!D2771)),TRIM('R.M Billets Reports'!F2771),IF(ISNUMBER(SEARCH("Party Name-",'R.M Billets Reports'!D2771)),TRIM(MID('R.M Billets Reports'!D2771,SEARCH("-",'R.M Billets Reports'!D2771)+1,200)),"")))="SHRI RADHE","SHREE RADHE",IF(IF(IF(ISNUMBER(SEARCH("Party Name:-",'R.M Billets Reports'!D2770)),TRIM('R.M Billets Reports'!F2770),IF(ISNUMBER(SEARCH("Party Name-",'R.M Billets Reports'!D2770)),TRIM(MID('R.M Billets Reports'!D2770,SEARCH("-",'R.M Billets Reports'!D2770)+1,200)),""))&lt;&gt;"",IF(ISNUMBER(SEARCH("Party Name:-",'R.M Billets Reports'!D2770)),TRIM('R.M Billets Reports'!F2770),IF(ISNUMBER(SEARCH("Party Name-",'R.M Billets Reports'!D2770)),TRIM(MID('R.M Billets Reports'!D2770,SEARCH("-",'R.M Billets Reports'!D2770)+1,200)),"")),IF(ISNUMBER(SEARCH("Party Name:-",'R.M Billets Reports'!D2771)),TRIM('R.M Billets Reports'!F2771),IF(ISNUMBER(SEARCH("Party Name-",'R.M Billets Reports'!D2771)),TRIM(MID('R.M Billets Reports'!D2771,SEARCH("-",'R.M Billets Reports'!D2771)+1,200)),"")))="SHREE RADHE SHAKTI SPONGE AND POWER PVT. LTD.","SHREE RADHE",IF(IF(ISNUMBER(SEARCH("Party Name:-",'R.M Billets Reports'!D2770)),TRIM('R.M Billets Reports'!F2770),IF(ISNUMBER(SEARCH("Party Name-",'R.M Billets Reports'!D2770)),TRIM(MID('R.M Billets Reports'!D2770,SEARCH("-",'R.M Billets Reports'!D2770)+1,200)),""))&lt;&gt;"",IF(ISNUMBER(SEARCH("Party Name:-",'R.M Billets Reports'!D2770)),TRIM('R.M Billets Reports'!F2770),IF(ISNUMBER(SEARCH("Party Name-",'R.M Billets Reports'!D2770)),TRIM(MID('R.M Billets Reports'!D2770,SEARCH("-",'R.M Billets Reports'!D2770)+1,200)),"")),IF(ISNUMBER(SEARCH("Party Name:-",'R.M Billets Reports'!D2771)),TRIM('R.M Billets Reports'!F2771),IF(ISNUMBER(SEARCH("Party Name-",'R.M Billets Reports'!D2771)),TRIM(MID('R.M Billets Reports'!D2771,SEARCH("-",'R.M Billets Reports'!D2771)+1,200)),"")))))),IF(ROW()=2,"",A2770))</f>
      </c>
      <c r="B2771">
        <f>IF(OR('R.M Billets Reports'!A2770="Date-",'R.M Billets Reports'!A2770="Date:-"),'R.M Billets Reports'!B2770,IF(ROW()=2,"",B2770))</f>
      </c>
      <c r="C2771">
        <f>IF('R.M Billets Reports'!A2770="V.No.",'R.M Billets Reports'!B2770,IF(ROW()=2,"",C2770))</f>
      </c>
      <c r="D2771">
        <f>IF('R.M Billets Reports'!A2770&lt;&gt;"",'R.M Billets Reports'!A2770,IF(ROW()=2,"",D2770))</f>
      </c>
      <c r="E2771">
        <f>IF('R.M Billets Reports'!B2770="","",TRIM('R.M Billets Reports'!B2770))</f>
      </c>
      <c r="F2771">
        <f>'R.M Billets Reports'!C2770</f>
      </c>
      <c r="G2771">
        <f>'R.M Billets Reports'!D2770</f>
      </c>
      <c r="H2771">
        <f>'R.M Billets Reports'!E2770</f>
      </c>
      <c r="I2771">
        <f>'R.M Billets Reports'!F2770</f>
      </c>
      <c r="J2771">
        <f>'R.M Billets Reports'!G2770</f>
      </c>
      <c r="K2771">
        <f>'R.M Billets Reports'!H2770</f>
      </c>
      <c r="L2771">
        <f>IF('R.M Billets Reports'!I2770="","",'R.M Billets Reports'!I2770)</f>
      </c>
      <c r="M2771">
        <f t="shared" si="86"/>
      </c>
      <c r="N2771">
        <f>IF('R.M Billets Reports'!J2770="","",'R.M Billets Reports'!J2770)</f>
      </c>
      <c r="O2771">
        <f t="shared" si="87"/>
      </c>
      <c r="P2771">
        <f>IF('R.M Billets Reports'!A2770="SIZE",'R.M Billets Reports'!B2770,P2770)</f>
      </c>
    </row>
    <row r="2772" spans="1:16" x14ac:dyDescent="0.25">
      <c r="A2772">
        <f>IF(OR('R.M Billets Reports'!A2771="Date-",'R.M Billets Reports'!A2771="Date:-"),IF(IF(IF(ISNUMBER(SEARCH("Party Name:-",'R.M Billets Reports'!D2771)),TRIM('R.M Billets Reports'!F2771),IF(ISNUMBER(SEARCH("Party Name-",'R.M Billets Reports'!D2771)),TRIM(MID('R.M Billets Reports'!D2771,SEARCH("-",'R.M Billets Reports'!D2771)+1,200)),""))&lt;&gt;"",IF(ISNUMBER(SEARCH("Party Name:-",'R.M Billets Reports'!D2771)),TRIM('R.M Billets Reports'!F2771),IF(ISNUMBER(SEARCH("Party Name-",'R.M Billets Reports'!D2771)),TRIM(MID('R.M Billets Reports'!D2771,SEARCH("-",'R.M Billets Reports'!D2771)+1,200)),"")),IF(ISNUMBER(SEARCH("Party Name:-",'R.M Billets Reports'!D2772)),TRIM('R.M Billets Reports'!F2772),IF(ISNUMBER(SEARCH("Party Name-",'R.M Billets Reports'!D2772)),TRIM(MID('R.M Billets Reports'!D2772,SEARCH("-",'R.M Billets Reports'!D2772)+1,200)),"")))="VRKP ISPAT PVT LTD","VRKP",IF(IF(IF(ISNUMBER(SEARCH("Party Name:-",'R.M Billets Reports'!D2771)),TRIM('R.M Billets Reports'!F2771),IF(ISNUMBER(SEARCH("Party Name-",'R.M Billets Reports'!D2771)),TRIM(MID('R.M Billets Reports'!D2771,SEARCH("-",'R.M Billets Reports'!D2771)+1,200)),""))&lt;&gt;"",IF(ISNUMBER(SEARCH("Party Name:-",'R.M Billets Reports'!D2771)),TRIM('R.M Billets Reports'!F2771),IF(ISNUMBER(SEARCH("Party Name-",'R.M Billets Reports'!D2771)),TRIM(MID('R.M Billets Reports'!D2771,SEARCH("-",'R.M Billets Reports'!D2771)+1,200)),"")),IF(ISNUMBER(SEARCH("Party Name:-",'R.M Billets Reports'!D2772)),TRIM('R.M Billets Reports'!F2772),IF(ISNUMBER(SEARCH("Party Name-",'R.M Billets Reports'!D2772)),TRIM(MID('R.M Billets Reports'!D2772,SEARCH("-",'R.M Billets Reports'!D2772)+1,200)),"")))="SHRI RADHE","SHREE RADHE",IF(IF(IF(ISNUMBER(SEARCH("Party Name:-",'R.M Billets Reports'!D2771)),TRIM('R.M Billets Reports'!F2771),IF(ISNUMBER(SEARCH("Party Name-",'R.M Billets Reports'!D2771)),TRIM(MID('R.M Billets Reports'!D2771,SEARCH("-",'R.M Billets Reports'!D2771)+1,200)),""))&lt;&gt;"",IF(ISNUMBER(SEARCH("Party Name:-",'R.M Billets Reports'!D2771)),TRIM('R.M Billets Reports'!F2771),IF(ISNUMBER(SEARCH("Party Name-",'R.M Billets Reports'!D2771)),TRIM(MID('R.M Billets Reports'!D2771,SEARCH("-",'R.M Billets Reports'!D2771)+1,200)),"")),IF(ISNUMBER(SEARCH("Party Name:-",'R.M Billets Reports'!D2772)),TRIM('R.M Billets Reports'!F2772),IF(ISNUMBER(SEARCH("Party Name-",'R.M Billets Reports'!D2772)),TRIM(MID('R.M Billets Reports'!D2772,SEARCH("-",'R.M Billets Reports'!D2772)+1,200)),"")))="SHREE RADHE SHAKTI SPONGE AND POWER PVT. LTD.","SHREE RADHE",IF(IF(ISNUMBER(SEARCH("Party Name:-",'R.M Billets Reports'!D2771)),TRIM('R.M Billets Reports'!F2771),IF(ISNUMBER(SEARCH("Party Name-",'R.M Billets Reports'!D2771)),TRIM(MID('R.M Billets Reports'!D2771,SEARCH("-",'R.M Billets Reports'!D2771)+1,200)),""))&lt;&gt;"",IF(ISNUMBER(SEARCH("Party Name:-",'R.M Billets Reports'!D2771)),TRIM('R.M Billets Reports'!F2771),IF(ISNUMBER(SEARCH("Party Name-",'R.M Billets Reports'!D2771)),TRIM(MID('R.M Billets Reports'!D2771,SEARCH("-",'R.M Billets Reports'!D2771)+1,200)),"")),IF(ISNUMBER(SEARCH("Party Name:-",'R.M Billets Reports'!D2772)),TRIM('R.M Billets Reports'!F2772),IF(ISNUMBER(SEARCH("Party Name-",'R.M Billets Reports'!D2772)),TRIM(MID('R.M Billets Reports'!D2772,SEARCH("-",'R.M Billets Reports'!D2772)+1,200)),"")))))),IF(ROW()=2,"",A2771))</f>
      </c>
      <c r="B2772">
        <f>IF(OR('R.M Billets Reports'!A2771="Date-",'R.M Billets Reports'!A2771="Date:-"),'R.M Billets Reports'!B2771,IF(ROW()=2,"",B2771))</f>
      </c>
      <c r="C2772">
        <f>IF('R.M Billets Reports'!A2771="V.No.",'R.M Billets Reports'!B2771,IF(ROW()=2,"",C2771))</f>
      </c>
      <c r="D2772">
        <f>IF('R.M Billets Reports'!A2771&lt;&gt;"",'R.M Billets Reports'!A2771,IF(ROW()=2,"",D2771))</f>
      </c>
      <c r="E2772">
        <f>IF('R.M Billets Reports'!B2771="","",TRIM('R.M Billets Reports'!B2771))</f>
      </c>
      <c r="F2772">
        <f>'R.M Billets Reports'!C2771</f>
      </c>
      <c r="G2772">
        <f>'R.M Billets Reports'!D2771</f>
      </c>
      <c r="H2772">
        <f>'R.M Billets Reports'!E2771</f>
      </c>
      <c r="I2772">
        <f>'R.M Billets Reports'!F2771</f>
      </c>
      <c r="J2772">
        <f>'R.M Billets Reports'!G2771</f>
      </c>
      <c r="K2772">
        <f>'R.M Billets Reports'!H2771</f>
      </c>
      <c r="L2772">
        <f>IF('R.M Billets Reports'!I2771="","",'R.M Billets Reports'!I2771)</f>
      </c>
      <c r="M2772">
        <f t="shared" si="86"/>
      </c>
      <c r="N2772">
        <f>IF('R.M Billets Reports'!J2771="","",'R.M Billets Reports'!J2771)</f>
      </c>
      <c r="O2772">
        <f t="shared" si="87"/>
      </c>
      <c r="P2772">
        <f>IF('R.M Billets Reports'!A2771="SIZE",'R.M Billets Reports'!B2771,P2771)</f>
      </c>
    </row>
    <row r="2773" spans="1:16" x14ac:dyDescent="0.25">
      <c r="A2773">
        <f>IF(OR('R.M Billets Reports'!A2772="Date-",'R.M Billets Reports'!A2772="Date:-"),IF(IF(IF(ISNUMBER(SEARCH("Party Name:-",'R.M Billets Reports'!D2772)),TRIM('R.M Billets Reports'!F2772),IF(ISNUMBER(SEARCH("Party Name-",'R.M Billets Reports'!D2772)),TRIM(MID('R.M Billets Reports'!D2772,SEARCH("-",'R.M Billets Reports'!D2772)+1,200)),""))&lt;&gt;"",IF(ISNUMBER(SEARCH("Party Name:-",'R.M Billets Reports'!D2772)),TRIM('R.M Billets Reports'!F2772),IF(ISNUMBER(SEARCH("Party Name-",'R.M Billets Reports'!D2772)),TRIM(MID('R.M Billets Reports'!D2772,SEARCH("-",'R.M Billets Reports'!D2772)+1,200)),"")),IF(ISNUMBER(SEARCH("Party Name:-",'R.M Billets Reports'!D2773)),TRIM('R.M Billets Reports'!F2773),IF(ISNUMBER(SEARCH("Party Name-",'R.M Billets Reports'!D2773)),TRIM(MID('R.M Billets Reports'!D2773,SEARCH("-",'R.M Billets Reports'!D2773)+1,200)),"")))="VRKP ISPAT PVT LTD","VRKP",IF(IF(IF(ISNUMBER(SEARCH("Party Name:-",'R.M Billets Reports'!D2772)),TRIM('R.M Billets Reports'!F2772),IF(ISNUMBER(SEARCH("Party Name-",'R.M Billets Reports'!D2772)),TRIM(MID('R.M Billets Reports'!D2772,SEARCH("-",'R.M Billets Reports'!D2772)+1,200)),""))&lt;&gt;"",IF(ISNUMBER(SEARCH("Party Name:-",'R.M Billets Reports'!D2772)),TRIM('R.M Billets Reports'!F2772),IF(ISNUMBER(SEARCH("Party Name-",'R.M Billets Reports'!D2772)),TRIM(MID('R.M Billets Reports'!D2772,SEARCH("-",'R.M Billets Reports'!D2772)+1,200)),"")),IF(ISNUMBER(SEARCH("Party Name:-",'R.M Billets Reports'!D2773)),TRIM('R.M Billets Reports'!F2773),IF(ISNUMBER(SEARCH("Party Name-",'R.M Billets Reports'!D2773)),TRIM(MID('R.M Billets Reports'!D2773,SEARCH("-",'R.M Billets Reports'!D2773)+1,200)),"")))="SHRI RADHE","SHREE RADHE",IF(IF(IF(ISNUMBER(SEARCH("Party Name:-",'R.M Billets Reports'!D2772)),TRIM('R.M Billets Reports'!F2772),IF(ISNUMBER(SEARCH("Party Name-",'R.M Billets Reports'!D2772)),TRIM(MID('R.M Billets Reports'!D2772,SEARCH("-",'R.M Billets Reports'!D2772)+1,200)),""))&lt;&gt;"",IF(ISNUMBER(SEARCH("Party Name:-",'R.M Billets Reports'!D2772)),TRIM('R.M Billets Reports'!F2772),IF(ISNUMBER(SEARCH("Party Name-",'R.M Billets Reports'!D2772)),TRIM(MID('R.M Billets Reports'!D2772,SEARCH("-",'R.M Billets Reports'!D2772)+1,200)),"")),IF(ISNUMBER(SEARCH("Party Name:-",'R.M Billets Reports'!D2773)),TRIM('R.M Billets Reports'!F2773),IF(ISNUMBER(SEARCH("Party Name-",'R.M Billets Reports'!D2773)),TRIM(MID('R.M Billets Reports'!D2773,SEARCH("-",'R.M Billets Reports'!D2773)+1,200)),"")))="SHREE RADHE SHAKTI SPONGE AND POWER PVT. LTD.","SHREE RADHE",IF(IF(ISNUMBER(SEARCH("Party Name:-",'R.M Billets Reports'!D2772)),TRIM('R.M Billets Reports'!F2772),IF(ISNUMBER(SEARCH("Party Name-",'R.M Billets Reports'!D2772)),TRIM(MID('R.M Billets Reports'!D2772,SEARCH("-",'R.M Billets Reports'!D2772)+1,200)),""))&lt;&gt;"",IF(ISNUMBER(SEARCH("Party Name:-",'R.M Billets Reports'!D2772)),TRIM('R.M Billets Reports'!F2772),IF(ISNUMBER(SEARCH("Party Name-",'R.M Billets Reports'!D2772)),TRIM(MID('R.M Billets Reports'!D2772,SEARCH("-",'R.M Billets Reports'!D2772)+1,200)),"")),IF(ISNUMBER(SEARCH("Party Name:-",'R.M Billets Reports'!D2773)),TRIM('R.M Billets Reports'!F2773),IF(ISNUMBER(SEARCH("Party Name-",'R.M Billets Reports'!D2773)),TRIM(MID('R.M Billets Reports'!D2773,SEARCH("-",'R.M Billets Reports'!D2773)+1,200)),"")))))),IF(ROW()=2,"",A2772))</f>
      </c>
      <c r="B2773">
        <f>IF(OR('R.M Billets Reports'!A2772="Date-",'R.M Billets Reports'!A2772="Date:-"),'R.M Billets Reports'!B2772,IF(ROW()=2,"",B2772))</f>
      </c>
      <c r="C2773">
        <f>IF('R.M Billets Reports'!A2772="V.No.",'R.M Billets Reports'!B2772,IF(ROW()=2,"",C2772))</f>
      </c>
      <c r="D2773">
        <f>IF('R.M Billets Reports'!A2772&lt;&gt;"",'R.M Billets Reports'!A2772,IF(ROW()=2,"",D2772))</f>
      </c>
      <c r="E2773">
        <f>IF('R.M Billets Reports'!B2772="","",TRIM('R.M Billets Reports'!B2772))</f>
      </c>
      <c r="F2773">
        <f>'R.M Billets Reports'!C2772</f>
      </c>
      <c r="G2773">
        <f>'R.M Billets Reports'!D2772</f>
      </c>
      <c r="H2773">
        <f>'R.M Billets Reports'!E2772</f>
      </c>
      <c r="I2773">
        <f>'R.M Billets Reports'!F2772</f>
      </c>
      <c r="J2773">
        <f>'R.M Billets Reports'!G2772</f>
      </c>
      <c r="K2773">
        <f>'R.M Billets Reports'!H2772</f>
      </c>
      <c r="L2773">
        <f>IF('R.M Billets Reports'!I2772="","",'R.M Billets Reports'!I2772)</f>
      </c>
      <c r="M2773">
        <f t="shared" si="86"/>
      </c>
      <c r="N2773">
        <f>IF('R.M Billets Reports'!J2772="","",'R.M Billets Reports'!J2772)</f>
      </c>
      <c r="O2773">
        <f t="shared" si="87"/>
      </c>
      <c r="P2773">
        <f>IF('R.M Billets Reports'!A2772="SIZE",'R.M Billets Reports'!B2772,P2772)</f>
      </c>
    </row>
    <row r="2774" spans="1:16" x14ac:dyDescent="0.25">
      <c r="A2774">
        <f>IF(OR('R.M Billets Reports'!A2773="Date-",'R.M Billets Reports'!A2773="Date:-"),IF(IF(IF(ISNUMBER(SEARCH("Party Name:-",'R.M Billets Reports'!D2773)),TRIM('R.M Billets Reports'!F2773),IF(ISNUMBER(SEARCH("Party Name-",'R.M Billets Reports'!D2773)),TRIM(MID('R.M Billets Reports'!D2773,SEARCH("-",'R.M Billets Reports'!D2773)+1,200)),""))&lt;&gt;"",IF(ISNUMBER(SEARCH("Party Name:-",'R.M Billets Reports'!D2773)),TRIM('R.M Billets Reports'!F2773),IF(ISNUMBER(SEARCH("Party Name-",'R.M Billets Reports'!D2773)),TRIM(MID('R.M Billets Reports'!D2773,SEARCH("-",'R.M Billets Reports'!D2773)+1,200)),"")),IF(ISNUMBER(SEARCH("Party Name:-",'R.M Billets Reports'!D2774)),TRIM('R.M Billets Reports'!F2774),IF(ISNUMBER(SEARCH("Party Name-",'R.M Billets Reports'!D2774)),TRIM(MID('R.M Billets Reports'!D2774,SEARCH("-",'R.M Billets Reports'!D2774)+1,200)),"")))="VRKP ISPAT PVT LTD","VRKP",IF(IF(IF(ISNUMBER(SEARCH("Party Name:-",'R.M Billets Reports'!D2773)),TRIM('R.M Billets Reports'!F2773),IF(ISNUMBER(SEARCH("Party Name-",'R.M Billets Reports'!D2773)),TRIM(MID('R.M Billets Reports'!D2773,SEARCH("-",'R.M Billets Reports'!D2773)+1,200)),""))&lt;&gt;"",IF(ISNUMBER(SEARCH("Party Name:-",'R.M Billets Reports'!D2773)),TRIM('R.M Billets Reports'!F2773),IF(ISNUMBER(SEARCH("Party Name-",'R.M Billets Reports'!D2773)),TRIM(MID('R.M Billets Reports'!D2773,SEARCH("-",'R.M Billets Reports'!D2773)+1,200)),"")),IF(ISNUMBER(SEARCH("Party Name:-",'R.M Billets Reports'!D2774)),TRIM('R.M Billets Reports'!F2774),IF(ISNUMBER(SEARCH("Party Name-",'R.M Billets Reports'!D2774)),TRIM(MID('R.M Billets Reports'!D2774,SEARCH("-",'R.M Billets Reports'!D2774)+1,200)),"")))="SHRI RADHE","SHREE RADHE",IF(IF(IF(ISNUMBER(SEARCH("Party Name:-",'R.M Billets Reports'!D2773)),TRIM('R.M Billets Reports'!F2773),IF(ISNUMBER(SEARCH("Party Name-",'R.M Billets Reports'!D2773)),TRIM(MID('R.M Billets Reports'!D2773,SEARCH("-",'R.M Billets Reports'!D2773)+1,200)),""))&lt;&gt;"",IF(ISNUMBER(SEARCH("Party Name:-",'R.M Billets Reports'!D2773)),TRIM('R.M Billets Reports'!F2773),IF(ISNUMBER(SEARCH("Party Name-",'R.M Billets Reports'!D2773)),TRIM(MID('R.M Billets Reports'!D2773,SEARCH("-",'R.M Billets Reports'!D2773)+1,200)),"")),IF(ISNUMBER(SEARCH("Party Name:-",'R.M Billets Reports'!D2774)),TRIM('R.M Billets Reports'!F2774),IF(ISNUMBER(SEARCH("Party Name-",'R.M Billets Reports'!D2774)),TRIM(MID('R.M Billets Reports'!D2774,SEARCH("-",'R.M Billets Reports'!D2774)+1,200)),"")))="SHREE RADHE SHAKTI SPONGE AND POWER PVT. LTD.","SHREE RADHE",IF(IF(ISNUMBER(SEARCH("Party Name:-",'R.M Billets Reports'!D2773)),TRIM('R.M Billets Reports'!F2773),IF(ISNUMBER(SEARCH("Party Name-",'R.M Billets Reports'!D2773)),TRIM(MID('R.M Billets Reports'!D2773,SEARCH("-",'R.M Billets Reports'!D2773)+1,200)),""))&lt;&gt;"",IF(ISNUMBER(SEARCH("Party Name:-",'R.M Billets Reports'!D2773)),TRIM('R.M Billets Reports'!F2773),IF(ISNUMBER(SEARCH("Party Name-",'R.M Billets Reports'!D2773)),TRIM(MID('R.M Billets Reports'!D2773,SEARCH("-",'R.M Billets Reports'!D2773)+1,200)),"")),IF(ISNUMBER(SEARCH("Party Name:-",'R.M Billets Reports'!D2774)),TRIM('R.M Billets Reports'!F2774),IF(ISNUMBER(SEARCH("Party Name-",'R.M Billets Reports'!D2774)),TRIM(MID('R.M Billets Reports'!D2774,SEARCH("-",'R.M Billets Reports'!D2774)+1,200)),"")))))),IF(ROW()=2,"",A2773))</f>
      </c>
      <c r="B2774">
        <f>IF(OR('R.M Billets Reports'!A2773="Date-",'R.M Billets Reports'!A2773="Date:-"),'R.M Billets Reports'!B2773,IF(ROW()=2,"",B2773))</f>
      </c>
      <c r="C2774">
        <f>IF('R.M Billets Reports'!A2773="V.No.",'R.M Billets Reports'!B2773,IF(ROW()=2,"",C2773))</f>
      </c>
      <c r="D2774">
        <f>IF('R.M Billets Reports'!A2773&lt;&gt;"",'R.M Billets Reports'!A2773,IF(ROW()=2,"",D2773))</f>
      </c>
      <c r="E2774">
        <f>IF('R.M Billets Reports'!B2773="","",TRIM('R.M Billets Reports'!B2773))</f>
      </c>
      <c r="F2774">
        <f>'R.M Billets Reports'!C2773</f>
      </c>
      <c r="G2774">
        <f>'R.M Billets Reports'!D2773</f>
      </c>
      <c r="H2774">
        <f>'R.M Billets Reports'!E2773</f>
      </c>
      <c r="I2774">
        <f>'R.M Billets Reports'!F2773</f>
      </c>
      <c r="J2774">
        <f>'R.M Billets Reports'!G2773</f>
      </c>
      <c r="K2774">
        <f>'R.M Billets Reports'!H2773</f>
      </c>
      <c r="L2774">
        <f>IF('R.M Billets Reports'!I2773="","",'R.M Billets Reports'!I2773)</f>
      </c>
      <c r="M2774">
        <f t="shared" si="86"/>
      </c>
      <c r="N2774">
        <f>IF('R.M Billets Reports'!J2773="","",'R.M Billets Reports'!J2773)</f>
      </c>
      <c r="O2774">
        <f t="shared" si="87"/>
      </c>
      <c r="P2774">
        <f>IF('R.M Billets Reports'!A2773="SIZE",'R.M Billets Reports'!B2773,P2773)</f>
      </c>
    </row>
    <row r="2775" spans="1:16" x14ac:dyDescent="0.25">
      <c r="A2775">
        <f>IF(OR('R.M Billets Reports'!A2774="Date-",'R.M Billets Reports'!A2774="Date:-"),IF(IF(IF(ISNUMBER(SEARCH("Party Name:-",'R.M Billets Reports'!D2774)),TRIM('R.M Billets Reports'!F2774),IF(ISNUMBER(SEARCH("Party Name-",'R.M Billets Reports'!D2774)),TRIM(MID('R.M Billets Reports'!D2774,SEARCH("-",'R.M Billets Reports'!D2774)+1,200)),""))&lt;&gt;"",IF(ISNUMBER(SEARCH("Party Name:-",'R.M Billets Reports'!D2774)),TRIM('R.M Billets Reports'!F2774),IF(ISNUMBER(SEARCH("Party Name-",'R.M Billets Reports'!D2774)),TRIM(MID('R.M Billets Reports'!D2774,SEARCH("-",'R.M Billets Reports'!D2774)+1,200)),"")),IF(ISNUMBER(SEARCH("Party Name:-",'R.M Billets Reports'!D2775)),TRIM('R.M Billets Reports'!F2775),IF(ISNUMBER(SEARCH("Party Name-",'R.M Billets Reports'!D2775)),TRIM(MID('R.M Billets Reports'!D2775,SEARCH("-",'R.M Billets Reports'!D2775)+1,200)),"")))="VRKP ISPAT PVT LTD","VRKP",IF(IF(IF(ISNUMBER(SEARCH("Party Name:-",'R.M Billets Reports'!D2774)),TRIM('R.M Billets Reports'!F2774),IF(ISNUMBER(SEARCH("Party Name-",'R.M Billets Reports'!D2774)),TRIM(MID('R.M Billets Reports'!D2774,SEARCH("-",'R.M Billets Reports'!D2774)+1,200)),""))&lt;&gt;"",IF(ISNUMBER(SEARCH("Party Name:-",'R.M Billets Reports'!D2774)),TRIM('R.M Billets Reports'!F2774),IF(ISNUMBER(SEARCH("Party Name-",'R.M Billets Reports'!D2774)),TRIM(MID('R.M Billets Reports'!D2774,SEARCH("-",'R.M Billets Reports'!D2774)+1,200)),"")),IF(ISNUMBER(SEARCH("Party Name:-",'R.M Billets Reports'!D2775)),TRIM('R.M Billets Reports'!F2775),IF(ISNUMBER(SEARCH("Party Name-",'R.M Billets Reports'!D2775)),TRIM(MID('R.M Billets Reports'!D2775,SEARCH("-",'R.M Billets Reports'!D2775)+1,200)),"")))="SHRI RADHE","SHREE RADHE",IF(IF(IF(ISNUMBER(SEARCH("Party Name:-",'R.M Billets Reports'!D2774)),TRIM('R.M Billets Reports'!F2774),IF(ISNUMBER(SEARCH("Party Name-",'R.M Billets Reports'!D2774)),TRIM(MID('R.M Billets Reports'!D2774,SEARCH("-",'R.M Billets Reports'!D2774)+1,200)),""))&lt;&gt;"",IF(ISNUMBER(SEARCH("Party Name:-",'R.M Billets Reports'!D2774)),TRIM('R.M Billets Reports'!F2774),IF(ISNUMBER(SEARCH("Party Name-",'R.M Billets Reports'!D2774)),TRIM(MID('R.M Billets Reports'!D2774,SEARCH("-",'R.M Billets Reports'!D2774)+1,200)),"")),IF(ISNUMBER(SEARCH("Party Name:-",'R.M Billets Reports'!D2775)),TRIM('R.M Billets Reports'!F2775),IF(ISNUMBER(SEARCH("Party Name-",'R.M Billets Reports'!D2775)),TRIM(MID('R.M Billets Reports'!D2775,SEARCH("-",'R.M Billets Reports'!D2775)+1,200)),"")))="SHREE RADHE SHAKTI SPONGE AND POWER PVT. LTD.","SHREE RADHE",IF(IF(ISNUMBER(SEARCH("Party Name:-",'R.M Billets Reports'!D2774)),TRIM('R.M Billets Reports'!F2774),IF(ISNUMBER(SEARCH("Party Name-",'R.M Billets Reports'!D2774)),TRIM(MID('R.M Billets Reports'!D2774,SEARCH("-",'R.M Billets Reports'!D2774)+1,200)),""))&lt;&gt;"",IF(ISNUMBER(SEARCH("Party Name:-",'R.M Billets Reports'!D2774)),TRIM('R.M Billets Reports'!F2774),IF(ISNUMBER(SEARCH("Party Name-",'R.M Billets Reports'!D2774)),TRIM(MID('R.M Billets Reports'!D2774,SEARCH("-",'R.M Billets Reports'!D2774)+1,200)),"")),IF(ISNUMBER(SEARCH("Party Name:-",'R.M Billets Reports'!D2775)),TRIM('R.M Billets Reports'!F2775),IF(ISNUMBER(SEARCH("Party Name-",'R.M Billets Reports'!D2775)),TRIM(MID('R.M Billets Reports'!D2775,SEARCH("-",'R.M Billets Reports'!D2775)+1,200)),"")))))),IF(ROW()=2,"",A2774))</f>
      </c>
      <c r="B2775">
        <f>IF(OR('R.M Billets Reports'!A2774="Date-",'R.M Billets Reports'!A2774="Date:-"),'R.M Billets Reports'!B2774,IF(ROW()=2,"",B2774))</f>
      </c>
      <c r="C2775">
        <f>IF('R.M Billets Reports'!A2774="V.No.",'R.M Billets Reports'!B2774,IF(ROW()=2,"",C2774))</f>
      </c>
      <c r="D2775">
        <f>IF('R.M Billets Reports'!A2774&lt;&gt;"",'R.M Billets Reports'!A2774,IF(ROW()=2,"",D2774))</f>
      </c>
      <c r="E2775">
        <f>IF('R.M Billets Reports'!B2774="","",TRIM('R.M Billets Reports'!B2774))</f>
      </c>
      <c r="F2775">
        <f>'R.M Billets Reports'!C2774</f>
      </c>
      <c r="G2775">
        <f>'R.M Billets Reports'!D2774</f>
      </c>
      <c r="H2775">
        <f>'R.M Billets Reports'!E2774</f>
      </c>
      <c r="I2775">
        <f>'R.M Billets Reports'!F2774</f>
      </c>
      <c r="J2775">
        <f>'R.M Billets Reports'!G2774</f>
      </c>
      <c r="K2775">
        <f>'R.M Billets Reports'!H2774</f>
      </c>
      <c r="L2775">
        <f>IF('R.M Billets Reports'!I2774="","",'R.M Billets Reports'!I2774)</f>
      </c>
      <c r="M2775">
        <f t="shared" si="86"/>
      </c>
      <c r="N2775">
        <f>IF('R.M Billets Reports'!J2774="","",'R.M Billets Reports'!J2774)</f>
      </c>
      <c r="O2775">
        <f t="shared" si="87"/>
      </c>
      <c r="P2775">
        <f>IF('R.M Billets Reports'!A2774="SIZE",'R.M Billets Reports'!B2774,P2774)</f>
      </c>
    </row>
    <row r="2776" spans="1:16" x14ac:dyDescent="0.25">
      <c r="A2776">
        <f>IF(OR('R.M Billets Reports'!A2775="Date-",'R.M Billets Reports'!A2775="Date:-"),IF(IF(IF(ISNUMBER(SEARCH("Party Name:-",'R.M Billets Reports'!D2775)),TRIM('R.M Billets Reports'!F2775),IF(ISNUMBER(SEARCH("Party Name-",'R.M Billets Reports'!D2775)),TRIM(MID('R.M Billets Reports'!D2775,SEARCH("-",'R.M Billets Reports'!D2775)+1,200)),""))&lt;&gt;"",IF(ISNUMBER(SEARCH("Party Name:-",'R.M Billets Reports'!D2775)),TRIM('R.M Billets Reports'!F2775),IF(ISNUMBER(SEARCH("Party Name-",'R.M Billets Reports'!D2775)),TRIM(MID('R.M Billets Reports'!D2775,SEARCH("-",'R.M Billets Reports'!D2775)+1,200)),"")),IF(ISNUMBER(SEARCH("Party Name:-",'R.M Billets Reports'!D2776)),TRIM('R.M Billets Reports'!F2776),IF(ISNUMBER(SEARCH("Party Name-",'R.M Billets Reports'!D2776)),TRIM(MID('R.M Billets Reports'!D2776,SEARCH("-",'R.M Billets Reports'!D2776)+1,200)),"")))="VRKP ISPAT PVT LTD","VRKP",IF(IF(IF(ISNUMBER(SEARCH("Party Name:-",'R.M Billets Reports'!D2775)),TRIM('R.M Billets Reports'!F2775),IF(ISNUMBER(SEARCH("Party Name-",'R.M Billets Reports'!D2775)),TRIM(MID('R.M Billets Reports'!D2775,SEARCH("-",'R.M Billets Reports'!D2775)+1,200)),""))&lt;&gt;"",IF(ISNUMBER(SEARCH("Party Name:-",'R.M Billets Reports'!D2775)),TRIM('R.M Billets Reports'!F2775),IF(ISNUMBER(SEARCH("Party Name-",'R.M Billets Reports'!D2775)),TRIM(MID('R.M Billets Reports'!D2775,SEARCH("-",'R.M Billets Reports'!D2775)+1,200)),"")),IF(ISNUMBER(SEARCH("Party Name:-",'R.M Billets Reports'!D2776)),TRIM('R.M Billets Reports'!F2776),IF(ISNUMBER(SEARCH("Party Name-",'R.M Billets Reports'!D2776)),TRIM(MID('R.M Billets Reports'!D2776,SEARCH("-",'R.M Billets Reports'!D2776)+1,200)),"")))="SHRI RADHE","SHREE RADHE",IF(IF(IF(ISNUMBER(SEARCH("Party Name:-",'R.M Billets Reports'!D2775)),TRIM('R.M Billets Reports'!F2775),IF(ISNUMBER(SEARCH("Party Name-",'R.M Billets Reports'!D2775)),TRIM(MID('R.M Billets Reports'!D2775,SEARCH("-",'R.M Billets Reports'!D2775)+1,200)),""))&lt;&gt;"",IF(ISNUMBER(SEARCH("Party Name:-",'R.M Billets Reports'!D2775)),TRIM('R.M Billets Reports'!F2775),IF(ISNUMBER(SEARCH("Party Name-",'R.M Billets Reports'!D2775)),TRIM(MID('R.M Billets Reports'!D2775,SEARCH("-",'R.M Billets Reports'!D2775)+1,200)),"")),IF(ISNUMBER(SEARCH("Party Name:-",'R.M Billets Reports'!D2776)),TRIM('R.M Billets Reports'!F2776),IF(ISNUMBER(SEARCH("Party Name-",'R.M Billets Reports'!D2776)),TRIM(MID('R.M Billets Reports'!D2776,SEARCH("-",'R.M Billets Reports'!D2776)+1,200)),"")))="SHREE RADHE SHAKTI SPONGE AND POWER PVT. LTD.","SHREE RADHE",IF(IF(ISNUMBER(SEARCH("Party Name:-",'R.M Billets Reports'!D2775)),TRIM('R.M Billets Reports'!F2775),IF(ISNUMBER(SEARCH("Party Name-",'R.M Billets Reports'!D2775)),TRIM(MID('R.M Billets Reports'!D2775,SEARCH("-",'R.M Billets Reports'!D2775)+1,200)),""))&lt;&gt;"",IF(ISNUMBER(SEARCH("Party Name:-",'R.M Billets Reports'!D2775)),TRIM('R.M Billets Reports'!F2775),IF(ISNUMBER(SEARCH("Party Name-",'R.M Billets Reports'!D2775)),TRIM(MID('R.M Billets Reports'!D2775,SEARCH("-",'R.M Billets Reports'!D2775)+1,200)),"")),IF(ISNUMBER(SEARCH("Party Name:-",'R.M Billets Reports'!D2776)),TRIM('R.M Billets Reports'!F2776),IF(ISNUMBER(SEARCH("Party Name-",'R.M Billets Reports'!D2776)),TRIM(MID('R.M Billets Reports'!D2776,SEARCH("-",'R.M Billets Reports'!D2776)+1,200)),"")))))),IF(ROW()=2,"",A2775))</f>
      </c>
      <c r="B2776">
        <f>IF(OR('R.M Billets Reports'!A2775="Date-",'R.M Billets Reports'!A2775="Date:-"),'R.M Billets Reports'!B2775,IF(ROW()=2,"",B2775))</f>
      </c>
      <c r="C2776">
        <f>IF('R.M Billets Reports'!A2775="V.No.",'R.M Billets Reports'!B2775,IF(ROW()=2,"",C2775))</f>
      </c>
      <c r="D2776">
        <f>IF('R.M Billets Reports'!A2775&lt;&gt;"",'R.M Billets Reports'!A2775,IF(ROW()=2,"",D2775))</f>
      </c>
      <c r="E2776">
        <f>IF('R.M Billets Reports'!B2775="","",TRIM('R.M Billets Reports'!B2775))</f>
      </c>
      <c r="F2776">
        <f>'R.M Billets Reports'!C2775</f>
      </c>
      <c r="G2776">
        <f>'R.M Billets Reports'!D2775</f>
      </c>
      <c r="H2776">
        <f>'R.M Billets Reports'!E2775</f>
      </c>
      <c r="I2776">
        <f>'R.M Billets Reports'!F2775</f>
      </c>
      <c r="J2776">
        <f>'R.M Billets Reports'!G2775</f>
      </c>
      <c r="K2776">
        <f>'R.M Billets Reports'!H2775</f>
      </c>
      <c r="L2776">
        <f>IF('R.M Billets Reports'!I2775="","",'R.M Billets Reports'!I2775)</f>
      </c>
      <c r="M2776">
        <f t="shared" si="86"/>
      </c>
      <c r="N2776">
        <f>IF('R.M Billets Reports'!J2775="","",'R.M Billets Reports'!J2775)</f>
      </c>
      <c r="O2776">
        <f t="shared" si="87"/>
      </c>
      <c r="P2776">
        <f>IF('R.M Billets Reports'!A2775="SIZE",'R.M Billets Reports'!B2775,P2775)</f>
      </c>
    </row>
    <row r="2777" spans="1:16" x14ac:dyDescent="0.25">
      <c r="A2777">
        <f>IF(OR('R.M Billets Reports'!A2776="Date-",'R.M Billets Reports'!A2776="Date:-"),IF(IF(IF(ISNUMBER(SEARCH("Party Name:-",'R.M Billets Reports'!D2776)),TRIM('R.M Billets Reports'!F2776),IF(ISNUMBER(SEARCH("Party Name-",'R.M Billets Reports'!D2776)),TRIM(MID('R.M Billets Reports'!D2776,SEARCH("-",'R.M Billets Reports'!D2776)+1,200)),""))&lt;&gt;"",IF(ISNUMBER(SEARCH("Party Name:-",'R.M Billets Reports'!D2776)),TRIM('R.M Billets Reports'!F2776),IF(ISNUMBER(SEARCH("Party Name-",'R.M Billets Reports'!D2776)),TRIM(MID('R.M Billets Reports'!D2776,SEARCH("-",'R.M Billets Reports'!D2776)+1,200)),"")),IF(ISNUMBER(SEARCH("Party Name:-",'R.M Billets Reports'!D2777)),TRIM('R.M Billets Reports'!F2777),IF(ISNUMBER(SEARCH("Party Name-",'R.M Billets Reports'!D2777)),TRIM(MID('R.M Billets Reports'!D2777,SEARCH("-",'R.M Billets Reports'!D2777)+1,200)),"")))="VRKP ISPAT PVT LTD","VRKP",IF(IF(IF(ISNUMBER(SEARCH("Party Name:-",'R.M Billets Reports'!D2776)),TRIM('R.M Billets Reports'!F2776),IF(ISNUMBER(SEARCH("Party Name-",'R.M Billets Reports'!D2776)),TRIM(MID('R.M Billets Reports'!D2776,SEARCH("-",'R.M Billets Reports'!D2776)+1,200)),""))&lt;&gt;"",IF(ISNUMBER(SEARCH("Party Name:-",'R.M Billets Reports'!D2776)),TRIM('R.M Billets Reports'!F2776),IF(ISNUMBER(SEARCH("Party Name-",'R.M Billets Reports'!D2776)),TRIM(MID('R.M Billets Reports'!D2776,SEARCH("-",'R.M Billets Reports'!D2776)+1,200)),"")),IF(ISNUMBER(SEARCH("Party Name:-",'R.M Billets Reports'!D2777)),TRIM('R.M Billets Reports'!F2777),IF(ISNUMBER(SEARCH("Party Name-",'R.M Billets Reports'!D2777)),TRIM(MID('R.M Billets Reports'!D2777,SEARCH("-",'R.M Billets Reports'!D2777)+1,200)),"")))="SHRI RADHE","SHREE RADHE",IF(IF(IF(ISNUMBER(SEARCH("Party Name:-",'R.M Billets Reports'!D2776)),TRIM('R.M Billets Reports'!F2776),IF(ISNUMBER(SEARCH("Party Name-",'R.M Billets Reports'!D2776)),TRIM(MID('R.M Billets Reports'!D2776,SEARCH("-",'R.M Billets Reports'!D2776)+1,200)),""))&lt;&gt;"",IF(ISNUMBER(SEARCH("Party Name:-",'R.M Billets Reports'!D2776)),TRIM('R.M Billets Reports'!F2776),IF(ISNUMBER(SEARCH("Party Name-",'R.M Billets Reports'!D2776)),TRIM(MID('R.M Billets Reports'!D2776,SEARCH("-",'R.M Billets Reports'!D2776)+1,200)),"")),IF(ISNUMBER(SEARCH("Party Name:-",'R.M Billets Reports'!D2777)),TRIM('R.M Billets Reports'!F2777),IF(ISNUMBER(SEARCH("Party Name-",'R.M Billets Reports'!D2777)),TRIM(MID('R.M Billets Reports'!D2777,SEARCH("-",'R.M Billets Reports'!D2777)+1,200)),"")))="SHREE RADHE SHAKTI SPONGE AND POWER PVT. LTD.","SHREE RADHE",IF(IF(ISNUMBER(SEARCH("Party Name:-",'R.M Billets Reports'!D2776)),TRIM('R.M Billets Reports'!F2776),IF(ISNUMBER(SEARCH("Party Name-",'R.M Billets Reports'!D2776)),TRIM(MID('R.M Billets Reports'!D2776,SEARCH("-",'R.M Billets Reports'!D2776)+1,200)),""))&lt;&gt;"",IF(ISNUMBER(SEARCH("Party Name:-",'R.M Billets Reports'!D2776)),TRIM('R.M Billets Reports'!F2776),IF(ISNUMBER(SEARCH("Party Name-",'R.M Billets Reports'!D2776)),TRIM(MID('R.M Billets Reports'!D2776,SEARCH("-",'R.M Billets Reports'!D2776)+1,200)),"")),IF(ISNUMBER(SEARCH("Party Name:-",'R.M Billets Reports'!D2777)),TRIM('R.M Billets Reports'!F2777),IF(ISNUMBER(SEARCH("Party Name-",'R.M Billets Reports'!D2777)),TRIM(MID('R.M Billets Reports'!D2777,SEARCH("-",'R.M Billets Reports'!D2777)+1,200)),"")))))),IF(ROW()=2,"",A2776))</f>
      </c>
      <c r="B2777">
        <f>IF(OR('R.M Billets Reports'!A2776="Date-",'R.M Billets Reports'!A2776="Date:-"),'R.M Billets Reports'!B2776,IF(ROW()=2,"",B2776))</f>
      </c>
      <c r="C2777">
        <f>IF('R.M Billets Reports'!A2776="V.No.",'R.M Billets Reports'!B2776,IF(ROW()=2,"",C2776))</f>
      </c>
      <c r="D2777">
        <f>IF('R.M Billets Reports'!A2776&lt;&gt;"",'R.M Billets Reports'!A2776,IF(ROW()=2,"",D2776))</f>
      </c>
      <c r="E2777">
        <f>IF('R.M Billets Reports'!B2776="","",TRIM('R.M Billets Reports'!B2776))</f>
      </c>
      <c r="F2777">
        <f>'R.M Billets Reports'!C2776</f>
      </c>
      <c r="G2777">
        <f>'R.M Billets Reports'!D2776</f>
      </c>
      <c r="H2777">
        <f>'R.M Billets Reports'!E2776</f>
      </c>
      <c r="I2777">
        <f>'R.M Billets Reports'!F2776</f>
      </c>
      <c r="J2777">
        <f>'R.M Billets Reports'!G2776</f>
      </c>
      <c r="K2777">
        <f>'R.M Billets Reports'!H2776</f>
      </c>
      <c r="L2777">
        <f>IF('R.M Billets Reports'!I2776="","",'R.M Billets Reports'!I2776)</f>
      </c>
      <c r="M2777">
        <f t="shared" si="86"/>
      </c>
      <c r="N2777">
        <f>IF('R.M Billets Reports'!J2776="","",'R.M Billets Reports'!J2776)</f>
      </c>
      <c r="O2777">
        <f t="shared" si="87"/>
      </c>
      <c r="P2777">
        <f>IF('R.M Billets Reports'!A2776="SIZE",'R.M Billets Reports'!B2776,P2776)</f>
      </c>
    </row>
    <row r="2778" spans="1:16" x14ac:dyDescent="0.25">
      <c r="A2778">
        <f>IF(OR('R.M Billets Reports'!A2777="Date-",'R.M Billets Reports'!A2777="Date:-"),IF(IF(IF(ISNUMBER(SEARCH("Party Name:-",'R.M Billets Reports'!D2777)),TRIM('R.M Billets Reports'!F2777),IF(ISNUMBER(SEARCH("Party Name-",'R.M Billets Reports'!D2777)),TRIM(MID('R.M Billets Reports'!D2777,SEARCH("-",'R.M Billets Reports'!D2777)+1,200)),""))&lt;&gt;"",IF(ISNUMBER(SEARCH("Party Name:-",'R.M Billets Reports'!D2777)),TRIM('R.M Billets Reports'!F2777),IF(ISNUMBER(SEARCH("Party Name-",'R.M Billets Reports'!D2777)),TRIM(MID('R.M Billets Reports'!D2777,SEARCH("-",'R.M Billets Reports'!D2777)+1,200)),"")),IF(ISNUMBER(SEARCH("Party Name:-",'R.M Billets Reports'!D2778)),TRIM('R.M Billets Reports'!F2778),IF(ISNUMBER(SEARCH("Party Name-",'R.M Billets Reports'!D2778)),TRIM(MID('R.M Billets Reports'!D2778,SEARCH("-",'R.M Billets Reports'!D2778)+1,200)),"")))="VRKP ISPAT PVT LTD","VRKP",IF(IF(IF(ISNUMBER(SEARCH("Party Name:-",'R.M Billets Reports'!D2777)),TRIM('R.M Billets Reports'!F2777),IF(ISNUMBER(SEARCH("Party Name-",'R.M Billets Reports'!D2777)),TRIM(MID('R.M Billets Reports'!D2777,SEARCH("-",'R.M Billets Reports'!D2777)+1,200)),""))&lt;&gt;"",IF(ISNUMBER(SEARCH("Party Name:-",'R.M Billets Reports'!D2777)),TRIM('R.M Billets Reports'!F2777),IF(ISNUMBER(SEARCH("Party Name-",'R.M Billets Reports'!D2777)),TRIM(MID('R.M Billets Reports'!D2777,SEARCH("-",'R.M Billets Reports'!D2777)+1,200)),"")),IF(ISNUMBER(SEARCH("Party Name:-",'R.M Billets Reports'!D2778)),TRIM('R.M Billets Reports'!F2778),IF(ISNUMBER(SEARCH("Party Name-",'R.M Billets Reports'!D2778)),TRIM(MID('R.M Billets Reports'!D2778,SEARCH("-",'R.M Billets Reports'!D2778)+1,200)),"")))="SHRI RADHE","SHREE RADHE",IF(IF(IF(ISNUMBER(SEARCH("Party Name:-",'R.M Billets Reports'!D2777)),TRIM('R.M Billets Reports'!F2777),IF(ISNUMBER(SEARCH("Party Name-",'R.M Billets Reports'!D2777)),TRIM(MID('R.M Billets Reports'!D2777,SEARCH("-",'R.M Billets Reports'!D2777)+1,200)),""))&lt;&gt;"",IF(ISNUMBER(SEARCH("Party Name:-",'R.M Billets Reports'!D2777)),TRIM('R.M Billets Reports'!F2777),IF(ISNUMBER(SEARCH("Party Name-",'R.M Billets Reports'!D2777)),TRIM(MID('R.M Billets Reports'!D2777,SEARCH("-",'R.M Billets Reports'!D2777)+1,200)),"")),IF(ISNUMBER(SEARCH("Party Name:-",'R.M Billets Reports'!D2778)),TRIM('R.M Billets Reports'!F2778),IF(ISNUMBER(SEARCH("Party Name-",'R.M Billets Reports'!D2778)),TRIM(MID('R.M Billets Reports'!D2778,SEARCH("-",'R.M Billets Reports'!D2778)+1,200)),"")))="SHREE RADHE SHAKTI SPONGE AND POWER PVT. LTD.","SHREE RADHE",IF(IF(ISNUMBER(SEARCH("Party Name:-",'R.M Billets Reports'!D2777)),TRIM('R.M Billets Reports'!F2777),IF(ISNUMBER(SEARCH("Party Name-",'R.M Billets Reports'!D2777)),TRIM(MID('R.M Billets Reports'!D2777,SEARCH("-",'R.M Billets Reports'!D2777)+1,200)),""))&lt;&gt;"",IF(ISNUMBER(SEARCH("Party Name:-",'R.M Billets Reports'!D2777)),TRIM('R.M Billets Reports'!F2777),IF(ISNUMBER(SEARCH("Party Name-",'R.M Billets Reports'!D2777)),TRIM(MID('R.M Billets Reports'!D2777,SEARCH("-",'R.M Billets Reports'!D2777)+1,200)),"")),IF(ISNUMBER(SEARCH("Party Name:-",'R.M Billets Reports'!D2778)),TRIM('R.M Billets Reports'!F2778),IF(ISNUMBER(SEARCH("Party Name-",'R.M Billets Reports'!D2778)),TRIM(MID('R.M Billets Reports'!D2778,SEARCH("-",'R.M Billets Reports'!D2778)+1,200)),"")))))),IF(ROW()=2,"",A2777))</f>
      </c>
      <c r="B2778">
        <f>IF(OR('R.M Billets Reports'!A2777="Date-",'R.M Billets Reports'!A2777="Date:-"),'R.M Billets Reports'!B2777,IF(ROW()=2,"",B2777))</f>
      </c>
      <c r="C2778">
        <f>IF('R.M Billets Reports'!A2777="V.No.",'R.M Billets Reports'!B2777,IF(ROW()=2,"",C2777))</f>
      </c>
      <c r="D2778">
        <f>IF('R.M Billets Reports'!A2777&lt;&gt;"",'R.M Billets Reports'!A2777,IF(ROW()=2,"",D2777))</f>
      </c>
      <c r="E2778">
        <f>IF('R.M Billets Reports'!B2777="","",TRIM('R.M Billets Reports'!B2777))</f>
      </c>
      <c r="F2778">
        <f>'R.M Billets Reports'!C2777</f>
      </c>
      <c r="G2778">
        <f>'R.M Billets Reports'!D2777</f>
      </c>
      <c r="H2778">
        <f>'R.M Billets Reports'!E2777</f>
      </c>
      <c r="I2778">
        <f>'R.M Billets Reports'!F2777</f>
      </c>
      <c r="J2778">
        <f>'R.M Billets Reports'!G2777</f>
      </c>
      <c r="K2778">
        <f>'R.M Billets Reports'!H2777</f>
      </c>
      <c r="L2778">
        <f>IF('R.M Billets Reports'!I2777="","",'R.M Billets Reports'!I2777)</f>
      </c>
      <c r="M2778">
        <f t="shared" si="86"/>
      </c>
      <c r="N2778">
        <f>IF('R.M Billets Reports'!J2777="","",'R.M Billets Reports'!J2777)</f>
      </c>
      <c r="O2778">
        <f t="shared" si="87"/>
      </c>
      <c r="P2778">
        <f>IF('R.M Billets Reports'!A2777="SIZE",'R.M Billets Reports'!B2777,P2777)</f>
      </c>
    </row>
    <row r="2779" spans="1:16" x14ac:dyDescent="0.25">
      <c r="A2779">
        <f>IF(OR('R.M Billets Reports'!A2778="Date-",'R.M Billets Reports'!A2778="Date:-"),IF(IF(IF(ISNUMBER(SEARCH("Party Name:-",'R.M Billets Reports'!D2778)),TRIM('R.M Billets Reports'!F2778),IF(ISNUMBER(SEARCH("Party Name-",'R.M Billets Reports'!D2778)),TRIM(MID('R.M Billets Reports'!D2778,SEARCH("-",'R.M Billets Reports'!D2778)+1,200)),""))&lt;&gt;"",IF(ISNUMBER(SEARCH("Party Name:-",'R.M Billets Reports'!D2778)),TRIM('R.M Billets Reports'!F2778),IF(ISNUMBER(SEARCH("Party Name-",'R.M Billets Reports'!D2778)),TRIM(MID('R.M Billets Reports'!D2778,SEARCH("-",'R.M Billets Reports'!D2778)+1,200)),"")),IF(ISNUMBER(SEARCH("Party Name:-",'R.M Billets Reports'!D2779)),TRIM('R.M Billets Reports'!F2779),IF(ISNUMBER(SEARCH("Party Name-",'R.M Billets Reports'!D2779)),TRIM(MID('R.M Billets Reports'!D2779,SEARCH("-",'R.M Billets Reports'!D2779)+1,200)),"")))="VRKP ISPAT PVT LTD","VRKP",IF(IF(IF(ISNUMBER(SEARCH("Party Name:-",'R.M Billets Reports'!D2778)),TRIM('R.M Billets Reports'!F2778),IF(ISNUMBER(SEARCH("Party Name-",'R.M Billets Reports'!D2778)),TRIM(MID('R.M Billets Reports'!D2778,SEARCH("-",'R.M Billets Reports'!D2778)+1,200)),""))&lt;&gt;"",IF(ISNUMBER(SEARCH("Party Name:-",'R.M Billets Reports'!D2778)),TRIM('R.M Billets Reports'!F2778),IF(ISNUMBER(SEARCH("Party Name-",'R.M Billets Reports'!D2778)),TRIM(MID('R.M Billets Reports'!D2778,SEARCH("-",'R.M Billets Reports'!D2778)+1,200)),"")),IF(ISNUMBER(SEARCH("Party Name:-",'R.M Billets Reports'!D2779)),TRIM('R.M Billets Reports'!F2779),IF(ISNUMBER(SEARCH("Party Name-",'R.M Billets Reports'!D2779)),TRIM(MID('R.M Billets Reports'!D2779,SEARCH("-",'R.M Billets Reports'!D2779)+1,200)),"")))="SHRI RADHE","SHREE RADHE",IF(IF(IF(ISNUMBER(SEARCH("Party Name:-",'R.M Billets Reports'!D2778)),TRIM('R.M Billets Reports'!F2778),IF(ISNUMBER(SEARCH("Party Name-",'R.M Billets Reports'!D2778)),TRIM(MID('R.M Billets Reports'!D2778,SEARCH("-",'R.M Billets Reports'!D2778)+1,200)),""))&lt;&gt;"",IF(ISNUMBER(SEARCH("Party Name:-",'R.M Billets Reports'!D2778)),TRIM('R.M Billets Reports'!F2778),IF(ISNUMBER(SEARCH("Party Name-",'R.M Billets Reports'!D2778)),TRIM(MID('R.M Billets Reports'!D2778,SEARCH("-",'R.M Billets Reports'!D2778)+1,200)),"")),IF(ISNUMBER(SEARCH("Party Name:-",'R.M Billets Reports'!D2779)),TRIM('R.M Billets Reports'!F2779),IF(ISNUMBER(SEARCH("Party Name-",'R.M Billets Reports'!D2779)),TRIM(MID('R.M Billets Reports'!D2779,SEARCH("-",'R.M Billets Reports'!D2779)+1,200)),"")))="SHREE RADHE SHAKTI SPONGE AND POWER PVT. LTD.","SHREE RADHE",IF(IF(ISNUMBER(SEARCH("Party Name:-",'R.M Billets Reports'!D2778)),TRIM('R.M Billets Reports'!F2778),IF(ISNUMBER(SEARCH("Party Name-",'R.M Billets Reports'!D2778)),TRIM(MID('R.M Billets Reports'!D2778,SEARCH("-",'R.M Billets Reports'!D2778)+1,200)),""))&lt;&gt;"",IF(ISNUMBER(SEARCH("Party Name:-",'R.M Billets Reports'!D2778)),TRIM('R.M Billets Reports'!F2778),IF(ISNUMBER(SEARCH("Party Name-",'R.M Billets Reports'!D2778)),TRIM(MID('R.M Billets Reports'!D2778,SEARCH("-",'R.M Billets Reports'!D2778)+1,200)),"")),IF(ISNUMBER(SEARCH("Party Name:-",'R.M Billets Reports'!D2779)),TRIM('R.M Billets Reports'!F2779),IF(ISNUMBER(SEARCH("Party Name-",'R.M Billets Reports'!D2779)),TRIM(MID('R.M Billets Reports'!D2779,SEARCH("-",'R.M Billets Reports'!D2779)+1,200)),"")))))),IF(ROW()=2,"",A2778))</f>
      </c>
      <c r="B2779">
        <f>IF(OR('R.M Billets Reports'!A2778="Date-",'R.M Billets Reports'!A2778="Date:-"),'R.M Billets Reports'!B2778,IF(ROW()=2,"",B2778))</f>
      </c>
      <c r="C2779">
        <f>IF('R.M Billets Reports'!A2778="V.No.",'R.M Billets Reports'!B2778,IF(ROW()=2,"",C2778))</f>
      </c>
      <c r="D2779">
        <f>IF('R.M Billets Reports'!A2778&lt;&gt;"",'R.M Billets Reports'!A2778,IF(ROW()=2,"",D2778))</f>
      </c>
      <c r="E2779">
        <f>IF('R.M Billets Reports'!B2778="","",TRIM('R.M Billets Reports'!B2778))</f>
      </c>
      <c r="F2779">
        <f>'R.M Billets Reports'!C2778</f>
      </c>
      <c r="G2779">
        <f>'R.M Billets Reports'!D2778</f>
      </c>
      <c r="H2779">
        <f>'R.M Billets Reports'!E2778</f>
      </c>
      <c r="I2779">
        <f>'R.M Billets Reports'!F2778</f>
      </c>
      <c r="J2779">
        <f>'R.M Billets Reports'!G2778</f>
      </c>
      <c r="K2779">
        <f>'R.M Billets Reports'!H2778</f>
      </c>
      <c r="L2779">
        <f>IF('R.M Billets Reports'!I2778="","",'R.M Billets Reports'!I2778)</f>
      </c>
      <c r="M2779">
        <f t="shared" si="86"/>
      </c>
      <c r="N2779">
        <f>IF('R.M Billets Reports'!J2778="","",'R.M Billets Reports'!J2778)</f>
      </c>
      <c r="O2779">
        <f t="shared" si="87"/>
      </c>
      <c r="P2779">
        <f>IF('R.M Billets Reports'!A2778="SIZE",'R.M Billets Reports'!B2778,P2778)</f>
      </c>
    </row>
    <row r="2780" spans="1:16" x14ac:dyDescent="0.25">
      <c r="A2780">
        <f>IF(OR('R.M Billets Reports'!A2779="Date-",'R.M Billets Reports'!A2779="Date:-"),IF(IF(IF(ISNUMBER(SEARCH("Party Name:-",'R.M Billets Reports'!D2779)),TRIM('R.M Billets Reports'!F2779),IF(ISNUMBER(SEARCH("Party Name-",'R.M Billets Reports'!D2779)),TRIM(MID('R.M Billets Reports'!D2779,SEARCH("-",'R.M Billets Reports'!D2779)+1,200)),""))&lt;&gt;"",IF(ISNUMBER(SEARCH("Party Name:-",'R.M Billets Reports'!D2779)),TRIM('R.M Billets Reports'!F2779),IF(ISNUMBER(SEARCH("Party Name-",'R.M Billets Reports'!D2779)),TRIM(MID('R.M Billets Reports'!D2779,SEARCH("-",'R.M Billets Reports'!D2779)+1,200)),"")),IF(ISNUMBER(SEARCH("Party Name:-",'R.M Billets Reports'!D2780)),TRIM('R.M Billets Reports'!F2780),IF(ISNUMBER(SEARCH("Party Name-",'R.M Billets Reports'!D2780)),TRIM(MID('R.M Billets Reports'!D2780,SEARCH("-",'R.M Billets Reports'!D2780)+1,200)),"")))="VRKP ISPAT PVT LTD","VRKP",IF(IF(IF(ISNUMBER(SEARCH("Party Name:-",'R.M Billets Reports'!D2779)),TRIM('R.M Billets Reports'!F2779),IF(ISNUMBER(SEARCH("Party Name-",'R.M Billets Reports'!D2779)),TRIM(MID('R.M Billets Reports'!D2779,SEARCH("-",'R.M Billets Reports'!D2779)+1,200)),""))&lt;&gt;"",IF(ISNUMBER(SEARCH("Party Name:-",'R.M Billets Reports'!D2779)),TRIM('R.M Billets Reports'!F2779),IF(ISNUMBER(SEARCH("Party Name-",'R.M Billets Reports'!D2779)),TRIM(MID('R.M Billets Reports'!D2779,SEARCH("-",'R.M Billets Reports'!D2779)+1,200)),"")),IF(ISNUMBER(SEARCH("Party Name:-",'R.M Billets Reports'!D2780)),TRIM('R.M Billets Reports'!F2780),IF(ISNUMBER(SEARCH("Party Name-",'R.M Billets Reports'!D2780)),TRIM(MID('R.M Billets Reports'!D2780,SEARCH("-",'R.M Billets Reports'!D2780)+1,200)),"")))="SHRI RADHE","SHREE RADHE",IF(IF(IF(ISNUMBER(SEARCH("Party Name:-",'R.M Billets Reports'!D2779)),TRIM('R.M Billets Reports'!F2779),IF(ISNUMBER(SEARCH("Party Name-",'R.M Billets Reports'!D2779)),TRIM(MID('R.M Billets Reports'!D2779,SEARCH("-",'R.M Billets Reports'!D2779)+1,200)),""))&lt;&gt;"",IF(ISNUMBER(SEARCH("Party Name:-",'R.M Billets Reports'!D2779)),TRIM('R.M Billets Reports'!F2779),IF(ISNUMBER(SEARCH("Party Name-",'R.M Billets Reports'!D2779)),TRIM(MID('R.M Billets Reports'!D2779,SEARCH("-",'R.M Billets Reports'!D2779)+1,200)),"")),IF(ISNUMBER(SEARCH("Party Name:-",'R.M Billets Reports'!D2780)),TRIM('R.M Billets Reports'!F2780),IF(ISNUMBER(SEARCH("Party Name-",'R.M Billets Reports'!D2780)),TRIM(MID('R.M Billets Reports'!D2780,SEARCH("-",'R.M Billets Reports'!D2780)+1,200)),"")))="SHREE RADHE SHAKTI SPONGE AND POWER PVT. LTD.","SHREE RADHE",IF(IF(ISNUMBER(SEARCH("Party Name:-",'R.M Billets Reports'!D2779)),TRIM('R.M Billets Reports'!F2779),IF(ISNUMBER(SEARCH("Party Name-",'R.M Billets Reports'!D2779)),TRIM(MID('R.M Billets Reports'!D2779,SEARCH("-",'R.M Billets Reports'!D2779)+1,200)),""))&lt;&gt;"",IF(ISNUMBER(SEARCH("Party Name:-",'R.M Billets Reports'!D2779)),TRIM('R.M Billets Reports'!F2779),IF(ISNUMBER(SEARCH("Party Name-",'R.M Billets Reports'!D2779)),TRIM(MID('R.M Billets Reports'!D2779,SEARCH("-",'R.M Billets Reports'!D2779)+1,200)),"")),IF(ISNUMBER(SEARCH("Party Name:-",'R.M Billets Reports'!D2780)),TRIM('R.M Billets Reports'!F2780),IF(ISNUMBER(SEARCH("Party Name-",'R.M Billets Reports'!D2780)),TRIM(MID('R.M Billets Reports'!D2780,SEARCH("-",'R.M Billets Reports'!D2780)+1,200)),"")))))),IF(ROW()=2,"",A2779))</f>
      </c>
      <c r="B2780">
        <f>IF(OR('R.M Billets Reports'!A2779="Date-",'R.M Billets Reports'!A2779="Date:-"),'R.M Billets Reports'!B2779,IF(ROW()=2,"",B2779))</f>
      </c>
      <c r="C2780">
        <f>IF('R.M Billets Reports'!A2779="V.No.",'R.M Billets Reports'!B2779,IF(ROW()=2,"",C2779))</f>
      </c>
      <c r="D2780">
        <f>IF('R.M Billets Reports'!A2779&lt;&gt;"",'R.M Billets Reports'!A2779,IF(ROW()=2,"",D2779))</f>
      </c>
      <c r="E2780">
        <f>IF('R.M Billets Reports'!B2779="","",TRIM('R.M Billets Reports'!B2779))</f>
      </c>
      <c r="F2780">
        <f>'R.M Billets Reports'!C2779</f>
      </c>
      <c r="G2780">
        <f>'R.M Billets Reports'!D2779</f>
      </c>
      <c r="H2780">
        <f>'R.M Billets Reports'!E2779</f>
      </c>
      <c r="I2780">
        <f>'R.M Billets Reports'!F2779</f>
      </c>
      <c r="J2780">
        <f>'R.M Billets Reports'!G2779</f>
      </c>
      <c r="K2780">
        <f>'R.M Billets Reports'!H2779</f>
      </c>
      <c r="L2780">
        <f>IF('R.M Billets Reports'!I2779="","",'R.M Billets Reports'!I2779)</f>
      </c>
      <c r="M2780">
        <f t="shared" si="86"/>
      </c>
      <c r="N2780">
        <f>IF('R.M Billets Reports'!J2779="","",'R.M Billets Reports'!J2779)</f>
      </c>
      <c r="O2780">
        <f t="shared" si="87"/>
      </c>
      <c r="P2780">
        <f>IF('R.M Billets Reports'!A2779="SIZE",'R.M Billets Reports'!B2779,P2779)</f>
      </c>
    </row>
    <row r="2781" spans="1:16" x14ac:dyDescent="0.25">
      <c r="A2781">
        <f>IF(OR('R.M Billets Reports'!A2780="Date-",'R.M Billets Reports'!A2780="Date:-"),IF(IF(IF(ISNUMBER(SEARCH("Party Name:-",'R.M Billets Reports'!D2780)),TRIM('R.M Billets Reports'!F2780),IF(ISNUMBER(SEARCH("Party Name-",'R.M Billets Reports'!D2780)),TRIM(MID('R.M Billets Reports'!D2780,SEARCH("-",'R.M Billets Reports'!D2780)+1,200)),""))&lt;&gt;"",IF(ISNUMBER(SEARCH("Party Name:-",'R.M Billets Reports'!D2780)),TRIM('R.M Billets Reports'!F2780),IF(ISNUMBER(SEARCH("Party Name-",'R.M Billets Reports'!D2780)),TRIM(MID('R.M Billets Reports'!D2780,SEARCH("-",'R.M Billets Reports'!D2780)+1,200)),"")),IF(ISNUMBER(SEARCH("Party Name:-",'R.M Billets Reports'!D2781)),TRIM('R.M Billets Reports'!F2781),IF(ISNUMBER(SEARCH("Party Name-",'R.M Billets Reports'!D2781)),TRIM(MID('R.M Billets Reports'!D2781,SEARCH("-",'R.M Billets Reports'!D2781)+1,200)),"")))="VRKP ISPAT PVT LTD","VRKP",IF(IF(IF(ISNUMBER(SEARCH("Party Name:-",'R.M Billets Reports'!D2780)),TRIM('R.M Billets Reports'!F2780),IF(ISNUMBER(SEARCH("Party Name-",'R.M Billets Reports'!D2780)),TRIM(MID('R.M Billets Reports'!D2780,SEARCH("-",'R.M Billets Reports'!D2780)+1,200)),""))&lt;&gt;"",IF(ISNUMBER(SEARCH("Party Name:-",'R.M Billets Reports'!D2780)),TRIM('R.M Billets Reports'!F2780),IF(ISNUMBER(SEARCH("Party Name-",'R.M Billets Reports'!D2780)),TRIM(MID('R.M Billets Reports'!D2780,SEARCH("-",'R.M Billets Reports'!D2780)+1,200)),"")),IF(ISNUMBER(SEARCH("Party Name:-",'R.M Billets Reports'!D2781)),TRIM('R.M Billets Reports'!F2781),IF(ISNUMBER(SEARCH("Party Name-",'R.M Billets Reports'!D2781)),TRIM(MID('R.M Billets Reports'!D2781,SEARCH("-",'R.M Billets Reports'!D2781)+1,200)),"")))="SHRI RADHE","SHREE RADHE",IF(IF(IF(ISNUMBER(SEARCH("Party Name:-",'R.M Billets Reports'!D2780)),TRIM('R.M Billets Reports'!F2780),IF(ISNUMBER(SEARCH("Party Name-",'R.M Billets Reports'!D2780)),TRIM(MID('R.M Billets Reports'!D2780,SEARCH("-",'R.M Billets Reports'!D2780)+1,200)),""))&lt;&gt;"",IF(ISNUMBER(SEARCH("Party Name:-",'R.M Billets Reports'!D2780)),TRIM('R.M Billets Reports'!F2780),IF(ISNUMBER(SEARCH("Party Name-",'R.M Billets Reports'!D2780)),TRIM(MID('R.M Billets Reports'!D2780,SEARCH("-",'R.M Billets Reports'!D2780)+1,200)),"")),IF(ISNUMBER(SEARCH("Party Name:-",'R.M Billets Reports'!D2781)),TRIM('R.M Billets Reports'!F2781),IF(ISNUMBER(SEARCH("Party Name-",'R.M Billets Reports'!D2781)),TRIM(MID('R.M Billets Reports'!D2781,SEARCH("-",'R.M Billets Reports'!D2781)+1,200)),"")))="SHREE RADHE SHAKTI SPONGE AND POWER PVT. LTD.","SHREE RADHE",IF(IF(ISNUMBER(SEARCH("Party Name:-",'R.M Billets Reports'!D2780)),TRIM('R.M Billets Reports'!F2780),IF(ISNUMBER(SEARCH("Party Name-",'R.M Billets Reports'!D2780)),TRIM(MID('R.M Billets Reports'!D2780,SEARCH("-",'R.M Billets Reports'!D2780)+1,200)),""))&lt;&gt;"",IF(ISNUMBER(SEARCH("Party Name:-",'R.M Billets Reports'!D2780)),TRIM('R.M Billets Reports'!F2780),IF(ISNUMBER(SEARCH("Party Name-",'R.M Billets Reports'!D2780)),TRIM(MID('R.M Billets Reports'!D2780,SEARCH("-",'R.M Billets Reports'!D2780)+1,200)),"")),IF(ISNUMBER(SEARCH("Party Name:-",'R.M Billets Reports'!D2781)),TRIM('R.M Billets Reports'!F2781),IF(ISNUMBER(SEARCH("Party Name-",'R.M Billets Reports'!D2781)),TRIM(MID('R.M Billets Reports'!D2781,SEARCH("-",'R.M Billets Reports'!D2781)+1,200)),"")))))),IF(ROW()=2,"",A2780))</f>
      </c>
      <c r="B2781">
        <f>IF(OR('R.M Billets Reports'!A2780="Date-",'R.M Billets Reports'!A2780="Date:-"),'R.M Billets Reports'!B2780,IF(ROW()=2,"",B2780))</f>
      </c>
      <c r="C2781">
        <f>IF('R.M Billets Reports'!A2780="V.No.",'R.M Billets Reports'!B2780,IF(ROW()=2,"",C2780))</f>
      </c>
      <c r="D2781">
        <f>IF('R.M Billets Reports'!A2780&lt;&gt;"",'R.M Billets Reports'!A2780,IF(ROW()=2,"",D2780))</f>
      </c>
      <c r="E2781">
        <f>IF('R.M Billets Reports'!B2780="","",TRIM('R.M Billets Reports'!B2780))</f>
      </c>
      <c r="F2781">
        <f>'R.M Billets Reports'!C2780</f>
      </c>
      <c r="G2781">
        <f>'R.M Billets Reports'!D2780</f>
      </c>
      <c r="H2781">
        <f>'R.M Billets Reports'!E2780</f>
      </c>
      <c r="I2781">
        <f>'R.M Billets Reports'!F2780</f>
      </c>
      <c r="J2781">
        <f>'R.M Billets Reports'!G2780</f>
      </c>
      <c r="K2781">
        <f>'R.M Billets Reports'!H2780</f>
      </c>
      <c r="L2781">
        <f>IF('R.M Billets Reports'!I2780="","",'R.M Billets Reports'!I2780)</f>
      </c>
      <c r="M2781">
        <f t="shared" si="86"/>
      </c>
      <c r="N2781">
        <f>IF('R.M Billets Reports'!J2780="","",'R.M Billets Reports'!J2780)</f>
      </c>
      <c r="O2781">
        <f t="shared" si="87"/>
      </c>
      <c r="P2781">
        <f>IF('R.M Billets Reports'!A2780="SIZE",'R.M Billets Reports'!B2780,P2780)</f>
      </c>
    </row>
    <row r="2782" spans="1:16" x14ac:dyDescent="0.25">
      <c r="A2782">
        <f>IF(OR('R.M Billets Reports'!A2781="Date-",'R.M Billets Reports'!A2781="Date:-"),IF(IF(IF(ISNUMBER(SEARCH("Party Name:-",'R.M Billets Reports'!D2781)),TRIM('R.M Billets Reports'!F2781),IF(ISNUMBER(SEARCH("Party Name-",'R.M Billets Reports'!D2781)),TRIM(MID('R.M Billets Reports'!D2781,SEARCH("-",'R.M Billets Reports'!D2781)+1,200)),""))&lt;&gt;"",IF(ISNUMBER(SEARCH("Party Name:-",'R.M Billets Reports'!D2781)),TRIM('R.M Billets Reports'!F2781),IF(ISNUMBER(SEARCH("Party Name-",'R.M Billets Reports'!D2781)),TRIM(MID('R.M Billets Reports'!D2781,SEARCH("-",'R.M Billets Reports'!D2781)+1,200)),"")),IF(ISNUMBER(SEARCH("Party Name:-",'R.M Billets Reports'!D2782)),TRIM('R.M Billets Reports'!F2782),IF(ISNUMBER(SEARCH("Party Name-",'R.M Billets Reports'!D2782)),TRIM(MID('R.M Billets Reports'!D2782,SEARCH("-",'R.M Billets Reports'!D2782)+1,200)),"")))="VRKP ISPAT PVT LTD","VRKP",IF(IF(IF(ISNUMBER(SEARCH("Party Name:-",'R.M Billets Reports'!D2781)),TRIM('R.M Billets Reports'!F2781),IF(ISNUMBER(SEARCH("Party Name-",'R.M Billets Reports'!D2781)),TRIM(MID('R.M Billets Reports'!D2781,SEARCH("-",'R.M Billets Reports'!D2781)+1,200)),""))&lt;&gt;"",IF(ISNUMBER(SEARCH("Party Name:-",'R.M Billets Reports'!D2781)),TRIM('R.M Billets Reports'!F2781),IF(ISNUMBER(SEARCH("Party Name-",'R.M Billets Reports'!D2781)),TRIM(MID('R.M Billets Reports'!D2781,SEARCH("-",'R.M Billets Reports'!D2781)+1,200)),"")),IF(ISNUMBER(SEARCH("Party Name:-",'R.M Billets Reports'!D2782)),TRIM('R.M Billets Reports'!F2782),IF(ISNUMBER(SEARCH("Party Name-",'R.M Billets Reports'!D2782)),TRIM(MID('R.M Billets Reports'!D2782,SEARCH("-",'R.M Billets Reports'!D2782)+1,200)),"")))="SHRI RADHE","SHREE RADHE",IF(IF(IF(ISNUMBER(SEARCH("Party Name:-",'R.M Billets Reports'!D2781)),TRIM('R.M Billets Reports'!F2781),IF(ISNUMBER(SEARCH("Party Name-",'R.M Billets Reports'!D2781)),TRIM(MID('R.M Billets Reports'!D2781,SEARCH("-",'R.M Billets Reports'!D2781)+1,200)),""))&lt;&gt;"",IF(ISNUMBER(SEARCH("Party Name:-",'R.M Billets Reports'!D2781)),TRIM('R.M Billets Reports'!F2781),IF(ISNUMBER(SEARCH("Party Name-",'R.M Billets Reports'!D2781)),TRIM(MID('R.M Billets Reports'!D2781,SEARCH("-",'R.M Billets Reports'!D2781)+1,200)),"")),IF(ISNUMBER(SEARCH("Party Name:-",'R.M Billets Reports'!D2782)),TRIM('R.M Billets Reports'!F2782),IF(ISNUMBER(SEARCH("Party Name-",'R.M Billets Reports'!D2782)),TRIM(MID('R.M Billets Reports'!D2782,SEARCH("-",'R.M Billets Reports'!D2782)+1,200)),"")))="SHREE RADHE SHAKTI SPONGE AND POWER PVT. LTD.","SHREE RADHE",IF(IF(ISNUMBER(SEARCH("Party Name:-",'R.M Billets Reports'!D2781)),TRIM('R.M Billets Reports'!F2781),IF(ISNUMBER(SEARCH("Party Name-",'R.M Billets Reports'!D2781)),TRIM(MID('R.M Billets Reports'!D2781,SEARCH("-",'R.M Billets Reports'!D2781)+1,200)),""))&lt;&gt;"",IF(ISNUMBER(SEARCH("Party Name:-",'R.M Billets Reports'!D2781)),TRIM('R.M Billets Reports'!F2781),IF(ISNUMBER(SEARCH("Party Name-",'R.M Billets Reports'!D2781)),TRIM(MID('R.M Billets Reports'!D2781,SEARCH("-",'R.M Billets Reports'!D2781)+1,200)),"")),IF(ISNUMBER(SEARCH("Party Name:-",'R.M Billets Reports'!D2782)),TRIM('R.M Billets Reports'!F2782),IF(ISNUMBER(SEARCH("Party Name-",'R.M Billets Reports'!D2782)),TRIM(MID('R.M Billets Reports'!D2782,SEARCH("-",'R.M Billets Reports'!D2782)+1,200)),"")))))),IF(ROW()=2,"",A2781))</f>
      </c>
      <c r="B2782">
        <f>IF(OR('R.M Billets Reports'!A2781="Date-",'R.M Billets Reports'!A2781="Date:-"),'R.M Billets Reports'!B2781,IF(ROW()=2,"",B2781))</f>
      </c>
      <c r="C2782">
        <f>IF('R.M Billets Reports'!A2781="V.No.",'R.M Billets Reports'!B2781,IF(ROW()=2,"",C2781))</f>
      </c>
      <c r="D2782">
        <f>IF('R.M Billets Reports'!A2781&lt;&gt;"",'R.M Billets Reports'!A2781,IF(ROW()=2,"",D2781))</f>
      </c>
      <c r="E2782">
        <f>IF('R.M Billets Reports'!B2781="","",TRIM('R.M Billets Reports'!B2781))</f>
      </c>
      <c r="F2782">
        <f>'R.M Billets Reports'!C2781</f>
      </c>
      <c r="G2782">
        <f>'R.M Billets Reports'!D2781</f>
      </c>
      <c r="H2782">
        <f>'R.M Billets Reports'!E2781</f>
      </c>
      <c r="I2782">
        <f>'R.M Billets Reports'!F2781</f>
      </c>
      <c r="J2782">
        <f>'R.M Billets Reports'!G2781</f>
      </c>
      <c r="K2782">
        <f>'R.M Billets Reports'!H2781</f>
      </c>
      <c r="L2782">
        <f>IF('R.M Billets Reports'!I2781="","",'R.M Billets Reports'!I2781)</f>
      </c>
      <c r="M2782">
        <f t="shared" si="86"/>
      </c>
      <c r="N2782">
        <f>IF('R.M Billets Reports'!J2781="","",'R.M Billets Reports'!J2781)</f>
      </c>
      <c r="O2782">
        <f t="shared" si="87"/>
      </c>
      <c r="P2782">
        <f>IF('R.M Billets Reports'!A2781="SIZE",'R.M Billets Reports'!B2781,P2781)</f>
      </c>
    </row>
    <row r="2783" spans="1:16" x14ac:dyDescent="0.25">
      <c r="A2783">
        <f>IF(OR('R.M Billets Reports'!A2782="Date-",'R.M Billets Reports'!A2782="Date:-"),IF(IF(IF(ISNUMBER(SEARCH("Party Name:-",'R.M Billets Reports'!D2782)),TRIM('R.M Billets Reports'!F2782),IF(ISNUMBER(SEARCH("Party Name-",'R.M Billets Reports'!D2782)),TRIM(MID('R.M Billets Reports'!D2782,SEARCH("-",'R.M Billets Reports'!D2782)+1,200)),""))&lt;&gt;"",IF(ISNUMBER(SEARCH("Party Name:-",'R.M Billets Reports'!D2782)),TRIM('R.M Billets Reports'!F2782),IF(ISNUMBER(SEARCH("Party Name-",'R.M Billets Reports'!D2782)),TRIM(MID('R.M Billets Reports'!D2782,SEARCH("-",'R.M Billets Reports'!D2782)+1,200)),"")),IF(ISNUMBER(SEARCH("Party Name:-",'R.M Billets Reports'!D2783)),TRIM('R.M Billets Reports'!F2783),IF(ISNUMBER(SEARCH("Party Name-",'R.M Billets Reports'!D2783)),TRIM(MID('R.M Billets Reports'!D2783,SEARCH("-",'R.M Billets Reports'!D2783)+1,200)),"")))="VRKP ISPAT PVT LTD","VRKP",IF(IF(IF(ISNUMBER(SEARCH("Party Name:-",'R.M Billets Reports'!D2782)),TRIM('R.M Billets Reports'!F2782),IF(ISNUMBER(SEARCH("Party Name-",'R.M Billets Reports'!D2782)),TRIM(MID('R.M Billets Reports'!D2782,SEARCH("-",'R.M Billets Reports'!D2782)+1,200)),""))&lt;&gt;"",IF(ISNUMBER(SEARCH("Party Name:-",'R.M Billets Reports'!D2782)),TRIM('R.M Billets Reports'!F2782),IF(ISNUMBER(SEARCH("Party Name-",'R.M Billets Reports'!D2782)),TRIM(MID('R.M Billets Reports'!D2782,SEARCH("-",'R.M Billets Reports'!D2782)+1,200)),"")),IF(ISNUMBER(SEARCH("Party Name:-",'R.M Billets Reports'!D2783)),TRIM('R.M Billets Reports'!F2783),IF(ISNUMBER(SEARCH("Party Name-",'R.M Billets Reports'!D2783)),TRIM(MID('R.M Billets Reports'!D2783,SEARCH("-",'R.M Billets Reports'!D2783)+1,200)),"")))="SHRI RADHE","SHREE RADHE",IF(IF(IF(ISNUMBER(SEARCH("Party Name:-",'R.M Billets Reports'!D2782)),TRIM('R.M Billets Reports'!F2782),IF(ISNUMBER(SEARCH("Party Name-",'R.M Billets Reports'!D2782)),TRIM(MID('R.M Billets Reports'!D2782,SEARCH("-",'R.M Billets Reports'!D2782)+1,200)),""))&lt;&gt;"",IF(ISNUMBER(SEARCH("Party Name:-",'R.M Billets Reports'!D2782)),TRIM('R.M Billets Reports'!F2782),IF(ISNUMBER(SEARCH("Party Name-",'R.M Billets Reports'!D2782)),TRIM(MID('R.M Billets Reports'!D2782,SEARCH("-",'R.M Billets Reports'!D2782)+1,200)),"")),IF(ISNUMBER(SEARCH("Party Name:-",'R.M Billets Reports'!D2783)),TRIM('R.M Billets Reports'!F2783),IF(ISNUMBER(SEARCH("Party Name-",'R.M Billets Reports'!D2783)),TRIM(MID('R.M Billets Reports'!D2783,SEARCH("-",'R.M Billets Reports'!D2783)+1,200)),"")))="SHREE RADHE SHAKTI SPONGE AND POWER PVT. LTD.","SHREE RADHE",IF(IF(ISNUMBER(SEARCH("Party Name:-",'R.M Billets Reports'!D2782)),TRIM('R.M Billets Reports'!F2782),IF(ISNUMBER(SEARCH("Party Name-",'R.M Billets Reports'!D2782)),TRIM(MID('R.M Billets Reports'!D2782,SEARCH("-",'R.M Billets Reports'!D2782)+1,200)),""))&lt;&gt;"",IF(ISNUMBER(SEARCH("Party Name:-",'R.M Billets Reports'!D2782)),TRIM('R.M Billets Reports'!F2782),IF(ISNUMBER(SEARCH("Party Name-",'R.M Billets Reports'!D2782)),TRIM(MID('R.M Billets Reports'!D2782,SEARCH("-",'R.M Billets Reports'!D2782)+1,200)),"")),IF(ISNUMBER(SEARCH("Party Name:-",'R.M Billets Reports'!D2783)),TRIM('R.M Billets Reports'!F2783),IF(ISNUMBER(SEARCH("Party Name-",'R.M Billets Reports'!D2783)),TRIM(MID('R.M Billets Reports'!D2783,SEARCH("-",'R.M Billets Reports'!D2783)+1,200)),"")))))),IF(ROW()=2,"",A2782))</f>
      </c>
      <c r="B2783">
        <f>IF(OR('R.M Billets Reports'!A2782="Date-",'R.M Billets Reports'!A2782="Date:-"),'R.M Billets Reports'!B2782,IF(ROW()=2,"",B2782))</f>
      </c>
      <c r="C2783">
        <f>IF('R.M Billets Reports'!A2782="V.No.",'R.M Billets Reports'!B2782,IF(ROW()=2,"",C2782))</f>
      </c>
      <c r="D2783">
        <f>IF('R.M Billets Reports'!A2782&lt;&gt;"",'R.M Billets Reports'!A2782,IF(ROW()=2,"",D2782))</f>
      </c>
      <c r="E2783">
        <f>IF('R.M Billets Reports'!B2782="","",TRIM('R.M Billets Reports'!B2782))</f>
      </c>
      <c r="F2783">
        <f>'R.M Billets Reports'!C2782</f>
      </c>
      <c r="G2783">
        <f>'R.M Billets Reports'!D2782</f>
      </c>
      <c r="H2783">
        <f>'R.M Billets Reports'!E2782</f>
      </c>
      <c r="I2783">
        <f>'R.M Billets Reports'!F2782</f>
      </c>
      <c r="J2783">
        <f>'R.M Billets Reports'!G2782</f>
      </c>
      <c r="K2783">
        <f>'R.M Billets Reports'!H2782</f>
      </c>
      <c r="L2783">
        <f>IF('R.M Billets Reports'!I2782="","",'R.M Billets Reports'!I2782)</f>
      </c>
      <c r="M2783">
        <f t="shared" si="86"/>
      </c>
      <c r="N2783">
        <f>IF('R.M Billets Reports'!J2782="","",'R.M Billets Reports'!J2782)</f>
      </c>
      <c r="O2783">
        <f t="shared" si="87"/>
      </c>
      <c r="P2783">
        <f>IF('R.M Billets Reports'!A2782="SIZE",'R.M Billets Reports'!B2782,P2782)</f>
      </c>
    </row>
    <row r="2784" spans="1:16" x14ac:dyDescent="0.25">
      <c r="A2784">
        <f>IF(OR('R.M Billets Reports'!A2783="Date-",'R.M Billets Reports'!A2783="Date:-"),IF(IF(IF(ISNUMBER(SEARCH("Party Name:-",'R.M Billets Reports'!D2783)),TRIM('R.M Billets Reports'!F2783),IF(ISNUMBER(SEARCH("Party Name-",'R.M Billets Reports'!D2783)),TRIM(MID('R.M Billets Reports'!D2783,SEARCH("-",'R.M Billets Reports'!D2783)+1,200)),""))&lt;&gt;"",IF(ISNUMBER(SEARCH("Party Name:-",'R.M Billets Reports'!D2783)),TRIM('R.M Billets Reports'!F2783),IF(ISNUMBER(SEARCH("Party Name-",'R.M Billets Reports'!D2783)),TRIM(MID('R.M Billets Reports'!D2783,SEARCH("-",'R.M Billets Reports'!D2783)+1,200)),"")),IF(ISNUMBER(SEARCH("Party Name:-",'R.M Billets Reports'!D2784)),TRIM('R.M Billets Reports'!F2784),IF(ISNUMBER(SEARCH("Party Name-",'R.M Billets Reports'!D2784)),TRIM(MID('R.M Billets Reports'!D2784,SEARCH("-",'R.M Billets Reports'!D2784)+1,200)),"")))="VRKP ISPAT PVT LTD","VRKP",IF(IF(IF(ISNUMBER(SEARCH("Party Name:-",'R.M Billets Reports'!D2783)),TRIM('R.M Billets Reports'!F2783),IF(ISNUMBER(SEARCH("Party Name-",'R.M Billets Reports'!D2783)),TRIM(MID('R.M Billets Reports'!D2783,SEARCH("-",'R.M Billets Reports'!D2783)+1,200)),""))&lt;&gt;"",IF(ISNUMBER(SEARCH("Party Name:-",'R.M Billets Reports'!D2783)),TRIM('R.M Billets Reports'!F2783),IF(ISNUMBER(SEARCH("Party Name-",'R.M Billets Reports'!D2783)),TRIM(MID('R.M Billets Reports'!D2783,SEARCH("-",'R.M Billets Reports'!D2783)+1,200)),"")),IF(ISNUMBER(SEARCH("Party Name:-",'R.M Billets Reports'!D2784)),TRIM('R.M Billets Reports'!F2784),IF(ISNUMBER(SEARCH("Party Name-",'R.M Billets Reports'!D2784)),TRIM(MID('R.M Billets Reports'!D2784,SEARCH("-",'R.M Billets Reports'!D2784)+1,200)),"")))="SHRI RADHE","SHREE RADHE",IF(IF(IF(ISNUMBER(SEARCH("Party Name:-",'R.M Billets Reports'!D2783)),TRIM('R.M Billets Reports'!F2783),IF(ISNUMBER(SEARCH("Party Name-",'R.M Billets Reports'!D2783)),TRIM(MID('R.M Billets Reports'!D2783,SEARCH("-",'R.M Billets Reports'!D2783)+1,200)),""))&lt;&gt;"",IF(ISNUMBER(SEARCH("Party Name:-",'R.M Billets Reports'!D2783)),TRIM('R.M Billets Reports'!F2783),IF(ISNUMBER(SEARCH("Party Name-",'R.M Billets Reports'!D2783)),TRIM(MID('R.M Billets Reports'!D2783,SEARCH("-",'R.M Billets Reports'!D2783)+1,200)),"")),IF(ISNUMBER(SEARCH("Party Name:-",'R.M Billets Reports'!D2784)),TRIM('R.M Billets Reports'!F2784),IF(ISNUMBER(SEARCH("Party Name-",'R.M Billets Reports'!D2784)),TRIM(MID('R.M Billets Reports'!D2784,SEARCH("-",'R.M Billets Reports'!D2784)+1,200)),"")))="SHREE RADHE SHAKTI SPONGE AND POWER PVT. LTD.","SHREE RADHE",IF(IF(ISNUMBER(SEARCH("Party Name:-",'R.M Billets Reports'!D2783)),TRIM('R.M Billets Reports'!F2783),IF(ISNUMBER(SEARCH("Party Name-",'R.M Billets Reports'!D2783)),TRIM(MID('R.M Billets Reports'!D2783,SEARCH("-",'R.M Billets Reports'!D2783)+1,200)),""))&lt;&gt;"",IF(ISNUMBER(SEARCH("Party Name:-",'R.M Billets Reports'!D2783)),TRIM('R.M Billets Reports'!F2783),IF(ISNUMBER(SEARCH("Party Name-",'R.M Billets Reports'!D2783)),TRIM(MID('R.M Billets Reports'!D2783,SEARCH("-",'R.M Billets Reports'!D2783)+1,200)),"")),IF(ISNUMBER(SEARCH("Party Name:-",'R.M Billets Reports'!D2784)),TRIM('R.M Billets Reports'!F2784),IF(ISNUMBER(SEARCH("Party Name-",'R.M Billets Reports'!D2784)),TRIM(MID('R.M Billets Reports'!D2784,SEARCH("-",'R.M Billets Reports'!D2784)+1,200)),"")))))),IF(ROW()=2,"",A2783))</f>
      </c>
      <c r="B2784">
        <f>IF(OR('R.M Billets Reports'!A2783="Date-",'R.M Billets Reports'!A2783="Date:-"),'R.M Billets Reports'!B2783,IF(ROW()=2,"",B2783))</f>
      </c>
      <c r="C2784">
        <f>IF('R.M Billets Reports'!A2783="V.No.",'R.M Billets Reports'!B2783,IF(ROW()=2,"",C2783))</f>
      </c>
      <c r="D2784">
        <f>IF('R.M Billets Reports'!A2783&lt;&gt;"",'R.M Billets Reports'!A2783,IF(ROW()=2,"",D2783))</f>
      </c>
      <c r="E2784">
        <f>IF('R.M Billets Reports'!B2783="","",TRIM('R.M Billets Reports'!B2783))</f>
      </c>
      <c r="F2784">
        <f>'R.M Billets Reports'!C2783</f>
      </c>
      <c r="G2784">
        <f>'R.M Billets Reports'!D2783</f>
      </c>
      <c r="H2784">
        <f>'R.M Billets Reports'!E2783</f>
      </c>
      <c r="I2784">
        <f>'R.M Billets Reports'!F2783</f>
      </c>
      <c r="J2784">
        <f>'R.M Billets Reports'!G2783</f>
      </c>
      <c r="K2784">
        <f>'R.M Billets Reports'!H2783</f>
      </c>
      <c r="L2784">
        <f>IF('R.M Billets Reports'!I2783="","",'R.M Billets Reports'!I2783)</f>
      </c>
      <c r="M2784">
        <f t="shared" si="86"/>
      </c>
      <c r="N2784">
        <f>IF('R.M Billets Reports'!J2783="","",'R.M Billets Reports'!J2783)</f>
      </c>
      <c r="O2784">
        <f t="shared" si="87"/>
      </c>
      <c r="P2784">
        <f>IF('R.M Billets Reports'!A2783="SIZE",'R.M Billets Reports'!B2783,P2783)</f>
      </c>
    </row>
    <row r="2785" spans="1:16" x14ac:dyDescent="0.25">
      <c r="A2785">
        <f>IF(OR('R.M Billets Reports'!A2784="Date-",'R.M Billets Reports'!A2784="Date:-"),IF(IF(IF(ISNUMBER(SEARCH("Party Name:-",'R.M Billets Reports'!D2784)),TRIM('R.M Billets Reports'!F2784),IF(ISNUMBER(SEARCH("Party Name-",'R.M Billets Reports'!D2784)),TRIM(MID('R.M Billets Reports'!D2784,SEARCH("-",'R.M Billets Reports'!D2784)+1,200)),""))&lt;&gt;"",IF(ISNUMBER(SEARCH("Party Name:-",'R.M Billets Reports'!D2784)),TRIM('R.M Billets Reports'!F2784),IF(ISNUMBER(SEARCH("Party Name-",'R.M Billets Reports'!D2784)),TRIM(MID('R.M Billets Reports'!D2784,SEARCH("-",'R.M Billets Reports'!D2784)+1,200)),"")),IF(ISNUMBER(SEARCH("Party Name:-",'R.M Billets Reports'!D2785)),TRIM('R.M Billets Reports'!F2785),IF(ISNUMBER(SEARCH("Party Name-",'R.M Billets Reports'!D2785)),TRIM(MID('R.M Billets Reports'!D2785,SEARCH("-",'R.M Billets Reports'!D2785)+1,200)),"")))="VRKP ISPAT PVT LTD","VRKP",IF(IF(IF(ISNUMBER(SEARCH("Party Name:-",'R.M Billets Reports'!D2784)),TRIM('R.M Billets Reports'!F2784),IF(ISNUMBER(SEARCH("Party Name-",'R.M Billets Reports'!D2784)),TRIM(MID('R.M Billets Reports'!D2784,SEARCH("-",'R.M Billets Reports'!D2784)+1,200)),""))&lt;&gt;"",IF(ISNUMBER(SEARCH("Party Name:-",'R.M Billets Reports'!D2784)),TRIM('R.M Billets Reports'!F2784),IF(ISNUMBER(SEARCH("Party Name-",'R.M Billets Reports'!D2784)),TRIM(MID('R.M Billets Reports'!D2784,SEARCH("-",'R.M Billets Reports'!D2784)+1,200)),"")),IF(ISNUMBER(SEARCH("Party Name:-",'R.M Billets Reports'!D2785)),TRIM('R.M Billets Reports'!F2785),IF(ISNUMBER(SEARCH("Party Name-",'R.M Billets Reports'!D2785)),TRIM(MID('R.M Billets Reports'!D2785,SEARCH("-",'R.M Billets Reports'!D2785)+1,200)),"")))="SHRI RADHE","SHREE RADHE",IF(IF(IF(ISNUMBER(SEARCH("Party Name:-",'R.M Billets Reports'!D2784)),TRIM('R.M Billets Reports'!F2784),IF(ISNUMBER(SEARCH("Party Name-",'R.M Billets Reports'!D2784)),TRIM(MID('R.M Billets Reports'!D2784,SEARCH("-",'R.M Billets Reports'!D2784)+1,200)),""))&lt;&gt;"",IF(ISNUMBER(SEARCH("Party Name:-",'R.M Billets Reports'!D2784)),TRIM('R.M Billets Reports'!F2784),IF(ISNUMBER(SEARCH("Party Name-",'R.M Billets Reports'!D2784)),TRIM(MID('R.M Billets Reports'!D2784,SEARCH("-",'R.M Billets Reports'!D2784)+1,200)),"")),IF(ISNUMBER(SEARCH("Party Name:-",'R.M Billets Reports'!D2785)),TRIM('R.M Billets Reports'!F2785),IF(ISNUMBER(SEARCH("Party Name-",'R.M Billets Reports'!D2785)),TRIM(MID('R.M Billets Reports'!D2785,SEARCH("-",'R.M Billets Reports'!D2785)+1,200)),"")))="SHREE RADHE SHAKTI SPONGE AND POWER PVT. LTD.","SHREE RADHE",IF(IF(ISNUMBER(SEARCH("Party Name:-",'R.M Billets Reports'!D2784)),TRIM('R.M Billets Reports'!F2784),IF(ISNUMBER(SEARCH("Party Name-",'R.M Billets Reports'!D2784)),TRIM(MID('R.M Billets Reports'!D2784,SEARCH("-",'R.M Billets Reports'!D2784)+1,200)),""))&lt;&gt;"",IF(ISNUMBER(SEARCH("Party Name:-",'R.M Billets Reports'!D2784)),TRIM('R.M Billets Reports'!F2784),IF(ISNUMBER(SEARCH("Party Name-",'R.M Billets Reports'!D2784)),TRIM(MID('R.M Billets Reports'!D2784,SEARCH("-",'R.M Billets Reports'!D2784)+1,200)),"")),IF(ISNUMBER(SEARCH("Party Name:-",'R.M Billets Reports'!D2785)),TRIM('R.M Billets Reports'!F2785),IF(ISNUMBER(SEARCH("Party Name-",'R.M Billets Reports'!D2785)),TRIM(MID('R.M Billets Reports'!D2785,SEARCH("-",'R.M Billets Reports'!D2785)+1,200)),"")))))),IF(ROW()=2,"",A2784))</f>
      </c>
      <c r="B2785">
        <f>IF(OR('R.M Billets Reports'!A2784="Date-",'R.M Billets Reports'!A2784="Date:-"),'R.M Billets Reports'!B2784,IF(ROW()=2,"",B2784))</f>
      </c>
      <c r="C2785">
        <f>IF('R.M Billets Reports'!A2784="V.No.",'R.M Billets Reports'!B2784,IF(ROW()=2,"",C2784))</f>
      </c>
      <c r="D2785">
        <f>IF('R.M Billets Reports'!A2784&lt;&gt;"",'R.M Billets Reports'!A2784,IF(ROW()=2,"",D2784))</f>
      </c>
      <c r="E2785">
        <f>IF('R.M Billets Reports'!B2784="","",TRIM('R.M Billets Reports'!B2784))</f>
      </c>
      <c r="F2785">
        <f>'R.M Billets Reports'!C2784</f>
      </c>
      <c r="G2785">
        <f>'R.M Billets Reports'!D2784</f>
      </c>
      <c r="H2785">
        <f>'R.M Billets Reports'!E2784</f>
      </c>
      <c r="I2785">
        <f>'R.M Billets Reports'!F2784</f>
      </c>
      <c r="J2785">
        <f>'R.M Billets Reports'!G2784</f>
      </c>
      <c r="K2785">
        <f>'R.M Billets Reports'!H2784</f>
      </c>
      <c r="L2785">
        <f>IF('R.M Billets Reports'!I2784="","",'R.M Billets Reports'!I2784)</f>
      </c>
      <c r="M2785">
        <f t="shared" si="86"/>
      </c>
      <c r="N2785">
        <f>IF('R.M Billets Reports'!J2784="","",'R.M Billets Reports'!J2784)</f>
      </c>
      <c r="O2785">
        <f t="shared" si="87"/>
      </c>
      <c r="P2785">
        <f>IF('R.M Billets Reports'!A2784="SIZE",'R.M Billets Reports'!B2784,P2784)</f>
      </c>
    </row>
    <row r="2786" spans="1:16" x14ac:dyDescent="0.25">
      <c r="A2786">
        <f>IF(OR('R.M Billets Reports'!A2785="Date-",'R.M Billets Reports'!A2785="Date:-"),IF(IF(IF(ISNUMBER(SEARCH("Party Name:-",'R.M Billets Reports'!D2785)),TRIM('R.M Billets Reports'!F2785),IF(ISNUMBER(SEARCH("Party Name-",'R.M Billets Reports'!D2785)),TRIM(MID('R.M Billets Reports'!D2785,SEARCH("-",'R.M Billets Reports'!D2785)+1,200)),""))&lt;&gt;"",IF(ISNUMBER(SEARCH("Party Name:-",'R.M Billets Reports'!D2785)),TRIM('R.M Billets Reports'!F2785),IF(ISNUMBER(SEARCH("Party Name-",'R.M Billets Reports'!D2785)),TRIM(MID('R.M Billets Reports'!D2785,SEARCH("-",'R.M Billets Reports'!D2785)+1,200)),"")),IF(ISNUMBER(SEARCH("Party Name:-",'R.M Billets Reports'!D2786)),TRIM('R.M Billets Reports'!F2786),IF(ISNUMBER(SEARCH("Party Name-",'R.M Billets Reports'!D2786)),TRIM(MID('R.M Billets Reports'!D2786,SEARCH("-",'R.M Billets Reports'!D2786)+1,200)),"")))="VRKP ISPAT PVT LTD","VRKP",IF(IF(IF(ISNUMBER(SEARCH("Party Name:-",'R.M Billets Reports'!D2785)),TRIM('R.M Billets Reports'!F2785),IF(ISNUMBER(SEARCH("Party Name-",'R.M Billets Reports'!D2785)),TRIM(MID('R.M Billets Reports'!D2785,SEARCH("-",'R.M Billets Reports'!D2785)+1,200)),""))&lt;&gt;"",IF(ISNUMBER(SEARCH("Party Name:-",'R.M Billets Reports'!D2785)),TRIM('R.M Billets Reports'!F2785),IF(ISNUMBER(SEARCH("Party Name-",'R.M Billets Reports'!D2785)),TRIM(MID('R.M Billets Reports'!D2785,SEARCH("-",'R.M Billets Reports'!D2785)+1,200)),"")),IF(ISNUMBER(SEARCH("Party Name:-",'R.M Billets Reports'!D2786)),TRIM('R.M Billets Reports'!F2786),IF(ISNUMBER(SEARCH("Party Name-",'R.M Billets Reports'!D2786)),TRIM(MID('R.M Billets Reports'!D2786,SEARCH("-",'R.M Billets Reports'!D2786)+1,200)),"")))="SHRI RADHE","SHREE RADHE",IF(IF(IF(ISNUMBER(SEARCH("Party Name:-",'R.M Billets Reports'!D2785)),TRIM('R.M Billets Reports'!F2785),IF(ISNUMBER(SEARCH("Party Name-",'R.M Billets Reports'!D2785)),TRIM(MID('R.M Billets Reports'!D2785,SEARCH("-",'R.M Billets Reports'!D2785)+1,200)),""))&lt;&gt;"",IF(ISNUMBER(SEARCH("Party Name:-",'R.M Billets Reports'!D2785)),TRIM('R.M Billets Reports'!F2785),IF(ISNUMBER(SEARCH("Party Name-",'R.M Billets Reports'!D2785)),TRIM(MID('R.M Billets Reports'!D2785,SEARCH("-",'R.M Billets Reports'!D2785)+1,200)),"")),IF(ISNUMBER(SEARCH("Party Name:-",'R.M Billets Reports'!D2786)),TRIM('R.M Billets Reports'!F2786),IF(ISNUMBER(SEARCH("Party Name-",'R.M Billets Reports'!D2786)),TRIM(MID('R.M Billets Reports'!D2786,SEARCH("-",'R.M Billets Reports'!D2786)+1,200)),"")))="SHREE RADHE SHAKTI SPONGE AND POWER PVT. LTD.","SHREE RADHE",IF(IF(ISNUMBER(SEARCH("Party Name:-",'R.M Billets Reports'!D2785)),TRIM('R.M Billets Reports'!F2785),IF(ISNUMBER(SEARCH("Party Name-",'R.M Billets Reports'!D2785)),TRIM(MID('R.M Billets Reports'!D2785,SEARCH("-",'R.M Billets Reports'!D2785)+1,200)),""))&lt;&gt;"",IF(ISNUMBER(SEARCH("Party Name:-",'R.M Billets Reports'!D2785)),TRIM('R.M Billets Reports'!F2785),IF(ISNUMBER(SEARCH("Party Name-",'R.M Billets Reports'!D2785)),TRIM(MID('R.M Billets Reports'!D2785,SEARCH("-",'R.M Billets Reports'!D2785)+1,200)),"")),IF(ISNUMBER(SEARCH("Party Name:-",'R.M Billets Reports'!D2786)),TRIM('R.M Billets Reports'!F2786),IF(ISNUMBER(SEARCH("Party Name-",'R.M Billets Reports'!D2786)),TRIM(MID('R.M Billets Reports'!D2786,SEARCH("-",'R.M Billets Reports'!D2786)+1,200)),"")))))),IF(ROW()=2,"",A2785))</f>
      </c>
      <c r="B2786">
        <f>IF(OR('R.M Billets Reports'!A2785="Date-",'R.M Billets Reports'!A2785="Date:-"),'R.M Billets Reports'!B2785,IF(ROW()=2,"",B2785))</f>
      </c>
      <c r="C2786">
        <f>IF('R.M Billets Reports'!A2785="V.No.",'R.M Billets Reports'!B2785,IF(ROW()=2,"",C2785))</f>
      </c>
      <c r="D2786">
        <f>IF('R.M Billets Reports'!A2785&lt;&gt;"",'R.M Billets Reports'!A2785,IF(ROW()=2,"",D2785))</f>
      </c>
      <c r="E2786">
        <f>IF('R.M Billets Reports'!B2785="","",TRIM('R.M Billets Reports'!B2785))</f>
      </c>
      <c r="F2786">
        <f>'R.M Billets Reports'!C2785</f>
      </c>
      <c r="G2786">
        <f>'R.M Billets Reports'!D2785</f>
      </c>
      <c r="H2786">
        <f>'R.M Billets Reports'!E2785</f>
      </c>
      <c r="I2786">
        <f>'R.M Billets Reports'!F2785</f>
      </c>
      <c r="J2786">
        <f>'R.M Billets Reports'!G2785</f>
      </c>
      <c r="K2786">
        <f>'R.M Billets Reports'!H2785</f>
      </c>
      <c r="L2786">
        <f>IF('R.M Billets Reports'!I2785="","",'R.M Billets Reports'!I2785)</f>
      </c>
      <c r="M2786">
        <f t="shared" si="86"/>
      </c>
      <c r="N2786">
        <f>IF('R.M Billets Reports'!J2785="","",'R.M Billets Reports'!J2785)</f>
      </c>
      <c r="O2786">
        <f t="shared" si="87"/>
      </c>
      <c r="P2786">
        <f>IF('R.M Billets Reports'!A2785="SIZE",'R.M Billets Reports'!B2785,P2785)</f>
      </c>
    </row>
    <row r="2787" spans="1:16" x14ac:dyDescent="0.25">
      <c r="A2787">
        <f>IF(OR('R.M Billets Reports'!A2786="Date-",'R.M Billets Reports'!A2786="Date:-"),IF(IF(IF(ISNUMBER(SEARCH("Party Name:-",'R.M Billets Reports'!D2786)),TRIM('R.M Billets Reports'!F2786),IF(ISNUMBER(SEARCH("Party Name-",'R.M Billets Reports'!D2786)),TRIM(MID('R.M Billets Reports'!D2786,SEARCH("-",'R.M Billets Reports'!D2786)+1,200)),""))&lt;&gt;"",IF(ISNUMBER(SEARCH("Party Name:-",'R.M Billets Reports'!D2786)),TRIM('R.M Billets Reports'!F2786),IF(ISNUMBER(SEARCH("Party Name-",'R.M Billets Reports'!D2786)),TRIM(MID('R.M Billets Reports'!D2786,SEARCH("-",'R.M Billets Reports'!D2786)+1,200)),"")),IF(ISNUMBER(SEARCH("Party Name:-",'R.M Billets Reports'!D2787)),TRIM('R.M Billets Reports'!F2787),IF(ISNUMBER(SEARCH("Party Name-",'R.M Billets Reports'!D2787)),TRIM(MID('R.M Billets Reports'!D2787,SEARCH("-",'R.M Billets Reports'!D2787)+1,200)),"")))="VRKP ISPAT PVT LTD","VRKP",IF(IF(IF(ISNUMBER(SEARCH("Party Name:-",'R.M Billets Reports'!D2786)),TRIM('R.M Billets Reports'!F2786),IF(ISNUMBER(SEARCH("Party Name-",'R.M Billets Reports'!D2786)),TRIM(MID('R.M Billets Reports'!D2786,SEARCH("-",'R.M Billets Reports'!D2786)+1,200)),""))&lt;&gt;"",IF(ISNUMBER(SEARCH("Party Name:-",'R.M Billets Reports'!D2786)),TRIM('R.M Billets Reports'!F2786),IF(ISNUMBER(SEARCH("Party Name-",'R.M Billets Reports'!D2786)),TRIM(MID('R.M Billets Reports'!D2786,SEARCH("-",'R.M Billets Reports'!D2786)+1,200)),"")),IF(ISNUMBER(SEARCH("Party Name:-",'R.M Billets Reports'!D2787)),TRIM('R.M Billets Reports'!F2787),IF(ISNUMBER(SEARCH("Party Name-",'R.M Billets Reports'!D2787)),TRIM(MID('R.M Billets Reports'!D2787,SEARCH("-",'R.M Billets Reports'!D2787)+1,200)),"")))="SHRI RADHE","SHREE RADHE",IF(IF(IF(ISNUMBER(SEARCH("Party Name:-",'R.M Billets Reports'!D2786)),TRIM('R.M Billets Reports'!F2786),IF(ISNUMBER(SEARCH("Party Name-",'R.M Billets Reports'!D2786)),TRIM(MID('R.M Billets Reports'!D2786,SEARCH("-",'R.M Billets Reports'!D2786)+1,200)),""))&lt;&gt;"",IF(ISNUMBER(SEARCH("Party Name:-",'R.M Billets Reports'!D2786)),TRIM('R.M Billets Reports'!F2786),IF(ISNUMBER(SEARCH("Party Name-",'R.M Billets Reports'!D2786)),TRIM(MID('R.M Billets Reports'!D2786,SEARCH("-",'R.M Billets Reports'!D2786)+1,200)),"")),IF(ISNUMBER(SEARCH("Party Name:-",'R.M Billets Reports'!D2787)),TRIM('R.M Billets Reports'!F2787),IF(ISNUMBER(SEARCH("Party Name-",'R.M Billets Reports'!D2787)),TRIM(MID('R.M Billets Reports'!D2787,SEARCH("-",'R.M Billets Reports'!D2787)+1,200)),"")))="SHREE RADHE SHAKTI SPONGE AND POWER PVT. LTD.","SHREE RADHE",IF(IF(ISNUMBER(SEARCH("Party Name:-",'R.M Billets Reports'!D2786)),TRIM('R.M Billets Reports'!F2786),IF(ISNUMBER(SEARCH("Party Name-",'R.M Billets Reports'!D2786)),TRIM(MID('R.M Billets Reports'!D2786,SEARCH("-",'R.M Billets Reports'!D2786)+1,200)),""))&lt;&gt;"",IF(ISNUMBER(SEARCH("Party Name:-",'R.M Billets Reports'!D2786)),TRIM('R.M Billets Reports'!F2786),IF(ISNUMBER(SEARCH("Party Name-",'R.M Billets Reports'!D2786)),TRIM(MID('R.M Billets Reports'!D2786,SEARCH("-",'R.M Billets Reports'!D2786)+1,200)),"")),IF(ISNUMBER(SEARCH("Party Name:-",'R.M Billets Reports'!D2787)),TRIM('R.M Billets Reports'!F2787),IF(ISNUMBER(SEARCH("Party Name-",'R.M Billets Reports'!D2787)),TRIM(MID('R.M Billets Reports'!D2787,SEARCH("-",'R.M Billets Reports'!D2787)+1,200)),"")))))),IF(ROW()=2,"",A2786))</f>
      </c>
      <c r="B2787">
        <f>IF(OR('R.M Billets Reports'!A2786="Date-",'R.M Billets Reports'!A2786="Date:-"),'R.M Billets Reports'!B2786,IF(ROW()=2,"",B2786))</f>
      </c>
      <c r="C2787">
        <f>IF('R.M Billets Reports'!A2786="V.No.",'R.M Billets Reports'!B2786,IF(ROW()=2,"",C2786))</f>
      </c>
      <c r="D2787">
        <f>IF('R.M Billets Reports'!A2786&lt;&gt;"",'R.M Billets Reports'!A2786,IF(ROW()=2,"",D2786))</f>
      </c>
      <c r="E2787">
        <f>IF('R.M Billets Reports'!B2786="","",TRIM('R.M Billets Reports'!B2786))</f>
      </c>
      <c r="F2787">
        <f>'R.M Billets Reports'!C2786</f>
      </c>
      <c r="G2787">
        <f>'R.M Billets Reports'!D2786</f>
      </c>
      <c r="H2787">
        <f>'R.M Billets Reports'!E2786</f>
      </c>
      <c r="I2787">
        <f>'R.M Billets Reports'!F2786</f>
      </c>
      <c r="J2787">
        <f>'R.M Billets Reports'!G2786</f>
      </c>
      <c r="K2787">
        <f>'R.M Billets Reports'!H2786</f>
      </c>
      <c r="L2787">
        <f>IF('R.M Billets Reports'!I2786="","",'R.M Billets Reports'!I2786)</f>
      </c>
      <c r="M2787">
        <f t="shared" si="86"/>
      </c>
      <c r="N2787">
        <f>IF('R.M Billets Reports'!J2786="","",'R.M Billets Reports'!J2786)</f>
      </c>
      <c r="O2787">
        <f t="shared" si="87"/>
      </c>
      <c r="P2787">
        <f>IF('R.M Billets Reports'!A2786="SIZE",'R.M Billets Reports'!B2786,P2786)</f>
      </c>
    </row>
    <row r="2788" spans="1:16" x14ac:dyDescent="0.25">
      <c r="A2788">
        <f>IF(OR('R.M Billets Reports'!A2787="Date-",'R.M Billets Reports'!A2787="Date:-"),IF(IF(IF(ISNUMBER(SEARCH("Party Name:-",'R.M Billets Reports'!D2787)),TRIM('R.M Billets Reports'!F2787),IF(ISNUMBER(SEARCH("Party Name-",'R.M Billets Reports'!D2787)),TRIM(MID('R.M Billets Reports'!D2787,SEARCH("-",'R.M Billets Reports'!D2787)+1,200)),""))&lt;&gt;"",IF(ISNUMBER(SEARCH("Party Name:-",'R.M Billets Reports'!D2787)),TRIM('R.M Billets Reports'!F2787),IF(ISNUMBER(SEARCH("Party Name-",'R.M Billets Reports'!D2787)),TRIM(MID('R.M Billets Reports'!D2787,SEARCH("-",'R.M Billets Reports'!D2787)+1,200)),"")),IF(ISNUMBER(SEARCH("Party Name:-",'R.M Billets Reports'!D2788)),TRIM('R.M Billets Reports'!F2788),IF(ISNUMBER(SEARCH("Party Name-",'R.M Billets Reports'!D2788)),TRIM(MID('R.M Billets Reports'!D2788,SEARCH("-",'R.M Billets Reports'!D2788)+1,200)),"")))="VRKP ISPAT PVT LTD","VRKP",IF(IF(IF(ISNUMBER(SEARCH("Party Name:-",'R.M Billets Reports'!D2787)),TRIM('R.M Billets Reports'!F2787),IF(ISNUMBER(SEARCH("Party Name-",'R.M Billets Reports'!D2787)),TRIM(MID('R.M Billets Reports'!D2787,SEARCH("-",'R.M Billets Reports'!D2787)+1,200)),""))&lt;&gt;"",IF(ISNUMBER(SEARCH("Party Name:-",'R.M Billets Reports'!D2787)),TRIM('R.M Billets Reports'!F2787),IF(ISNUMBER(SEARCH("Party Name-",'R.M Billets Reports'!D2787)),TRIM(MID('R.M Billets Reports'!D2787,SEARCH("-",'R.M Billets Reports'!D2787)+1,200)),"")),IF(ISNUMBER(SEARCH("Party Name:-",'R.M Billets Reports'!D2788)),TRIM('R.M Billets Reports'!F2788),IF(ISNUMBER(SEARCH("Party Name-",'R.M Billets Reports'!D2788)),TRIM(MID('R.M Billets Reports'!D2788,SEARCH("-",'R.M Billets Reports'!D2788)+1,200)),"")))="SHRI RADHE","SHREE RADHE",IF(IF(IF(ISNUMBER(SEARCH("Party Name:-",'R.M Billets Reports'!D2787)),TRIM('R.M Billets Reports'!F2787),IF(ISNUMBER(SEARCH("Party Name-",'R.M Billets Reports'!D2787)),TRIM(MID('R.M Billets Reports'!D2787,SEARCH("-",'R.M Billets Reports'!D2787)+1,200)),""))&lt;&gt;"",IF(ISNUMBER(SEARCH("Party Name:-",'R.M Billets Reports'!D2787)),TRIM('R.M Billets Reports'!F2787),IF(ISNUMBER(SEARCH("Party Name-",'R.M Billets Reports'!D2787)),TRIM(MID('R.M Billets Reports'!D2787,SEARCH("-",'R.M Billets Reports'!D2787)+1,200)),"")),IF(ISNUMBER(SEARCH("Party Name:-",'R.M Billets Reports'!D2788)),TRIM('R.M Billets Reports'!F2788),IF(ISNUMBER(SEARCH("Party Name-",'R.M Billets Reports'!D2788)),TRIM(MID('R.M Billets Reports'!D2788,SEARCH("-",'R.M Billets Reports'!D2788)+1,200)),"")))="SHREE RADHE SHAKTI SPONGE AND POWER PVT. LTD.","SHREE RADHE",IF(IF(ISNUMBER(SEARCH("Party Name:-",'R.M Billets Reports'!D2787)),TRIM('R.M Billets Reports'!F2787),IF(ISNUMBER(SEARCH("Party Name-",'R.M Billets Reports'!D2787)),TRIM(MID('R.M Billets Reports'!D2787,SEARCH("-",'R.M Billets Reports'!D2787)+1,200)),""))&lt;&gt;"",IF(ISNUMBER(SEARCH("Party Name:-",'R.M Billets Reports'!D2787)),TRIM('R.M Billets Reports'!F2787),IF(ISNUMBER(SEARCH("Party Name-",'R.M Billets Reports'!D2787)),TRIM(MID('R.M Billets Reports'!D2787,SEARCH("-",'R.M Billets Reports'!D2787)+1,200)),"")),IF(ISNUMBER(SEARCH("Party Name:-",'R.M Billets Reports'!D2788)),TRIM('R.M Billets Reports'!F2788),IF(ISNUMBER(SEARCH("Party Name-",'R.M Billets Reports'!D2788)),TRIM(MID('R.M Billets Reports'!D2788,SEARCH("-",'R.M Billets Reports'!D2788)+1,200)),"")))))),IF(ROW()=2,"",A2787))</f>
      </c>
      <c r="B2788">
        <f>IF(OR('R.M Billets Reports'!A2787="Date-",'R.M Billets Reports'!A2787="Date:-"),'R.M Billets Reports'!B2787,IF(ROW()=2,"",B2787))</f>
      </c>
      <c r="C2788">
        <f>IF('R.M Billets Reports'!A2787="V.No.",'R.M Billets Reports'!B2787,IF(ROW()=2,"",C2787))</f>
      </c>
      <c r="D2788">
        <f>IF('R.M Billets Reports'!A2787&lt;&gt;"",'R.M Billets Reports'!A2787,IF(ROW()=2,"",D2787))</f>
      </c>
      <c r="E2788">
        <f>IF('R.M Billets Reports'!B2787="","",TRIM('R.M Billets Reports'!B2787))</f>
      </c>
      <c r="F2788">
        <f>'R.M Billets Reports'!C2787</f>
      </c>
      <c r="G2788">
        <f>'R.M Billets Reports'!D2787</f>
      </c>
      <c r="H2788">
        <f>'R.M Billets Reports'!E2787</f>
      </c>
      <c r="I2788">
        <f>'R.M Billets Reports'!F2787</f>
      </c>
      <c r="J2788">
        <f>'R.M Billets Reports'!G2787</f>
      </c>
      <c r="K2788">
        <f>'R.M Billets Reports'!H2787</f>
      </c>
      <c r="L2788">
        <f>IF('R.M Billets Reports'!I2787="","",'R.M Billets Reports'!I2787)</f>
      </c>
      <c r="M2788">
        <f t="shared" si="86"/>
      </c>
      <c r="N2788">
        <f>IF('R.M Billets Reports'!J2787="","",'R.M Billets Reports'!J2787)</f>
      </c>
      <c r="O2788">
        <f t="shared" si="87"/>
      </c>
      <c r="P2788">
        <f>IF('R.M Billets Reports'!A2787="SIZE",'R.M Billets Reports'!B2787,P2787)</f>
      </c>
    </row>
    <row r="2789" spans="1:16" x14ac:dyDescent="0.25">
      <c r="A2789">
        <f>IF(OR('R.M Billets Reports'!A2788="Date-",'R.M Billets Reports'!A2788="Date:-"),IF(IF(IF(ISNUMBER(SEARCH("Party Name:-",'R.M Billets Reports'!D2788)),TRIM('R.M Billets Reports'!F2788),IF(ISNUMBER(SEARCH("Party Name-",'R.M Billets Reports'!D2788)),TRIM(MID('R.M Billets Reports'!D2788,SEARCH("-",'R.M Billets Reports'!D2788)+1,200)),""))&lt;&gt;"",IF(ISNUMBER(SEARCH("Party Name:-",'R.M Billets Reports'!D2788)),TRIM('R.M Billets Reports'!F2788),IF(ISNUMBER(SEARCH("Party Name-",'R.M Billets Reports'!D2788)),TRIM(MID('R.M Billets Reports'!D2788,SEARCH("-",'R.M Billets Reports'!D2788)+1,200)),"")),IF(ISNUMBER(SEARCH("Party Name:-",'R.M Billets Reports'!D2789)),TRIM('R.M Billets Reports'!F2789),IF(ISNUMBER(SEARCH("Party Name-",'R.M Billets Reports'!D2789)),TRIM(MID('R.M Billets Reports'!D2789,SEARCH("-",'R.M Billets Reports'!D2789)+1,200)),"")))="VRKP ISPAT PVT LTD","VRKP",IF(IF(IF(ISNUMBER(SEARCH("Party Name:-",'R.M Billets Reports'!D2788)),TRIM('R.M Billets Reports'!F2788),IF(ISNUMBER(SEARCH("Party Name-",'R.M Billets Reports'!D2788)),TRIM(MID('R.M Billets Reports'!D2788,SEARCH("-",'R.M Billets Reports'!D2788)+1,200)),""))&lt;&gt;"",IF(ISNUMBER(SEARCH("Party Name:-",'R.M Billets Reports'!D2788)),TRIM('R.M Billets Reports'!F2788),IF(ISNUMBER(SEARCH("Party Name-",'R.M Billets Reports'!D2788)),TRIM(MID('R.M Billets Reports'!D2788,SEARCH("-",'R.M Billets Reports'!D2788)+1,200)),"")),IF(ISNUMBER(SEARCH("Party Name:-",'R.M Billets Reports'!D2789)),TRIM('R.M Billets Reports'!F2789),IF(ISNUMBER(SEARCH("Party Name-",'R.M Billets Reports'!D2789)),TRIM(MID('R.M Billets Reports'!D2789,SEARCH("-",'R.M Billets Reports'!D2789)+1,200)),"")))="SHRI RADHE","SHREE RADHE",IF(IF(IF(ISNUMBER(SEARCH("Party Name:-",'R.M Billets Reports'!D2788)),TRIM('R.M Billets Reports'!F2788),IF(ISNUMBER(SEARCH("Party Name-",'R.M Billets Reports'!D2788)),TRIM(MID('R.M Billets Reports'!D2788,SEARCH("-",'R.M Billets Reports'!D2788)+1,200)),""))&lt;&gt;"",IF(ISNUMBER(SEARCH("Party Name:-",'R.M Billets Reports'!D2788)),TRIM('R.M Billets Reports'!F2788),IF(ISNUMBER(SEARCH("Party Name-",'R.M Billets Reports'!D2788)),TRIM(MID('R.M Billets Reports'!D2788,SEARCH("-",'R.M Billets Reports'!D2788)+1,200)),"")),IF(ISNUMBER(SEARCH("Party Name:-",'R.M Billets Reports'!D2789)),TRIM('R.M Billets Reports'!F2789),IF(ISNUMBER(SEARCH("Party Name-",'R.M Billets Reports'!D2789)),TRIM(MID('R.M Billets Reports'!D2789,SEARCH("-",'R.M Billets Reports'!D2789)+1,200)),"")))="SHREE RADHE SHAKTI SPONGE AND POWER PVT. LTD.","SHREE RADHE",IF(IF(ISNUMBER(SEARCH("Party Name:-",'R.M Billets Reports'!D2788)),TRIM('R.M Billets Reports'!F2788),IF(ISNUMBER(SEARCH("Party Name-",'R.M Billets Reports'!D2788)),TRIM(MID('R.M Billets Reports'!D2788,SEARCH("-",'R.M Billets Reports'!D2788)+1,200)),""))&lt;&gt;"",IF(ISNUMBER(SEARCH("Party Name:-",'R.M Billets Reports'!D2788)),TRIM('R.M Billets Reports'!F2788),IF(ISNUMBER(SEARCH("Party Name-",'R.M Billets Reports'!D2788)),TRIM(MID('R.M Billets Reports'!D2788,SEARCH("-",'R.M Billets Reports'!D2788)+1,200)),"")),IF(ISNUMBER(SEARCH("Party Name:-",'R.M Billets Reports'!D2789)),TRIM('R.M Billets Reports'!F2789),IF(ISNUMBER(SEARCH("Party Name-",'R.M Billets Reports'!D2789)),TRIM(MID('R.M Billets Reports'!D2789,SEARCH("-",'R.M Billets Reports'!D2789)+1,200)),"")))))),IF(ROW()=2,"",A2788))</f>
      </c>
      <c r="B2789">
        <f>IF(OR('R.M Billets Reports'!A2788="Date-",'R.M Billets Reports'!A2788="Date:-"),'R.M Billets Reports'!B2788,IF(ROW()=2,"",B2788))</f>
      </c>
      <c r="C2789">
        <f>IF('R.M Billets Reports'!A2788="V.No.",'R.M Billets Reports'!B2788,IF(ROW()=2,"",C2788))</f>
      </c>
      <c r="D2789">
        <f>IF('R.M Billets Reports'!A2788&lt;&gt;"",'R.M Billets Reports'!A2788,IF(ROW()=2,"",D2788))</f>
      </c>
      <c r="E2789">
        <f>IF('R.M Billets Reports'!B2788="","",TRIM('R.M Billets Reports'!B2788))</f>
      </c>
      <c r="F2789">
        <f>'R.M Billets Reports'!C2788</f>
      </c>
      <c r="G2789">
        <f>'R.M Billets Reports'!D2788</f>
      </c>
      <c r="H2789">
        <f>'R.M Billets Reports'!E2788</f>
      </c>
      <c r="I2789">
        <f>'R.M Billets Reports'!F2788</f>
      </c>
      <c r="J2789">
        <f>'R.M Billets Reports'!G2788</f>
      </c>
      <c r="K2789">
        <f>'R.M Billets Reports'!H2788</f>
      </c>
      <c r="L2789">
        <f>IF('R.M Billets Reports'!I2788="","",'R.M Billets Reports'!I2788)</f>
      </c>
      <c r="M2789">
        <f t="shared" si="86"/>
      </c>
      <c r="N2789">
        <f>IF('R.M Billets Reports'!J2788="","",'R.M Billets Reports'!J2788)</f>
      </c>
      <c r="O2789">
        <f t="shared" si="87"/>
      </c>
      <c r="P2789">
        <f>IF('R.M Billets Reports'!A2788="SIZE",'R.M Billets Reports'!B2788,P2788)</f>
      </c>
    </row>
    <row r="2790" spans="1:16" x14ac:dyDescent="0.25">
      <c r="A2790">
        <f>IF(OR('R.M Billets Reports'!A2789="Date-",'R.M Billets Reports'!A2789="Date:-"),IF(IF(IF(ISNUMBER(SEARCH("Party Name:-",'R.M Billets Reports'!D2789)),TRIM('R.M Billets Reports'!F2789),IF(ISNUMBER(SEARCH("Party Name-",'R.M Billets Reports'!D2789)),TRIM(MID('R.M Billets Reports'!D2789,SEARCH("-",'R.M Billets Reports'!D2789)+1,200)),""))&lt;&gt;"",IF(ISNUMBER(SEARCH("Party Name:-",'R.M Billets Reports'!D2789)),TRIM('R.M Billets Reports'!F2789),IF(ISNUMBER(SEARCH("Party Name-",'R.M Billets Reports'!D2789)),TRIM(MID('R.M Billets Reports'!D2789,SEARCH("-",'R.M Billets Reports'!D2789)+1,200)),"")),IF(ISNUMBER(SEARCH("Party Name:-",'R.M Billets Reports'!D2790)),TRIM('R.M Billets Reports'!F2790),IF(ISNUMBER(SEARCH("Party Name-",'R.M Billets Reports'!D2790)),TRIM(MID('R.M Billets Reports'!D2790,SEARCH("-",'R.M Billets Reports'!D2790)+1,200)),"")))="VRKP ISPAT PVT LTD","VRKP",IF(IF(IF(ISNUMBER(SEARCH("Party Name:-",'R.M Billets Reports'!D2789)),TRIM('R.M Billets Reports'!F2789),IF(ISNUMBER(SEARCH("Party Name-",'R.M Billets Reports'!D2789)),TRIM(MID('R.M Billets Reports'!D2789,SEARCH("-",'R.M Billets Reports'!D2789)+1,200)),""))&lt;&gt;"",IF(ISNUMBER(SEARCH("Party Name:-",'R.M Billets Reports'!D2789)),TRIM('R.M Billets Reports'!F2789),IF(ISNUMBER(SEARCH("Party Name-",'R.M Billets Reports'!D2789)),TRIM(MID('R.M Billets Reports'!D2789,SEARCH("-",'R.M Billets Reports'!D2789)+1,200)),"")),IF(ISNUMBER(SEARCH("Party Name:-",'R.M Billets Reports'!D2790)),TRIM('R.M Billets Reports'!F2790),IF(ISNUMBER(SEARCH("Party Name-",'R.M Billets Reports'!D2790)),TRIM(MID('R.M Billets Reports'!D2790,SEARCH("-",'R.M Billets Reports'!D2790)+1,200)),"")))="SHRI RADHE","SHREE RADHE",IF(IF(IF(ISNUMBER(SEARCH("Party Name:-",'R.M Billets Reports'!D2789)),TRIM('R.M Billets Reports'!F2789),IF(ISNUMBER(SEARCH("Party Name-",'R.M Billets Reports'!D2789)),TRIM(MID('R.M Billets Reports'!D2789,SEARCH("-",'R.M Billets Reports'!D2789)+1,200)),""))&lt;&gt;"",IF(ISNUMBER(SEARCH("Party Name:-",'R.M Billets Reports'!D2789)),TRIM('R.M Billets Reports'!F2789),IF(ISNUMBER(SEARCH("Party Name-",'R.M Billets Reports'!D2789)),TRIM(MID('R.M Billets Reports'!D2789,SEARCH("-",'R.M Billets Reports'!D2789)+1,200)),"")),IF(ISNUMBER(SEARCH("Party Name:-",'R.M Billets Reports'!D2790)),TRIM('R.M Billets Reports'!F2790),IF(ISNUMBER(SEARCH("Party Name-",'R.M Billets Reports'!D2790)),TRIM(MID('R.M Billets Reports'!D2790,SEARCH("-",'R.M Billets Reports'!D2790)+1,200)),"")))="SHREE RADHE SHAKTI SPONGE AND POWER PVT. LTD.","SHREE RADHE",IF(IF(ISNUMBER(SEARCH("Party Name:-",'R.M Billets Reports'!D2789)),TRIM('R.M Billets Reports'!F2789),IF(ISNUMBER(SEARCH("Party Name-",'R.M Billets Reports'!D2789)),TRIM(MID('R.M Billets Reports'!D2789,SEARCH("-",'R.M Billets Reports'!D2789)+1,200)),""))&lt;&gt;"",IF(ISNUMBER(SEARCH("Party Name:-",'R.M Billets Reports'!D2789)),TRIM('R.M Billets Reports'!F2789),IF(ISNUMBER(SEARCH("Party Name-",'R.M Billets Reports'!D2789)),TRIM(MID('R.M Billets Reports'!D2789,SEARCH("-",'R.M Billets Reports'!D2789)+1,200)),"")),IF(ISNUMBER(SEARCH("Party Name:-",'R.M Billets Reports'!D2790)),TRIM('R.M Billets Reports'!F2790),IF(ISNUMBER(SEARCH("Party Name-",'R.M Billets Reports'!D2790)),TRIM(MID('R.M Billets Reports'!D2790,SEARCH("-",'R.M Billets Reports'!D2790)+1,200)),"")))))),IF(ROW()=2,"",A2789))</f>
      </c>
      <c r="B2790">
        <f>IF(OR('R.M Billets Reports'!A2789="Date-",'R.M Billets Reports'!A2789="Date:-"),'R.M Billets Reports'!B2789,IF(ROW()=2,"",B2789))</f>
      </c>
      <c r="C2790">
        <f>IF('R.M Billets Reports'!A2789="V.No.",'R.M Billets Reports'!B2789,IF(ROW()=2,"",C2789))</f>
      </c>
      <c r="D2790">
        <f>IF('R.M Billets Reports'!A2789&lt;&gt;"",'R.M Billets Reports'!A2789,IF(ROW()=2,"",D2789))</f>
      </c>
      <c r="E2790">
        <f>IF('R.M Billets Reports'!B2789="","",TRIM('R.M Billets Reports'!B2789))</f>
      </c>
      <c r="F2790">
        <f>'R.M Billets Reports'!C2789</f>
      </c>
      <c r="G2790">
        <f>'R.M Billets Reports'!D2789</f>
      </c>
      <c r="H2790">
        <f>'R.M Billets Reports'!E2789</f>
      </c>
      <c r="I2790">
        <f>'R.M Billets Reports'!F2789</f>
      </c>
      <c r="J2790">
        <f>'R.M Billets Reports'!G2789</f>
      </c>
      <c r="K2790">
        <f>'R.M Billets Reports'!H2789</f>
      </c>
      <c r="L2790">
        <f>IF('R.M Billets Reports'!I2789="","",'R.M Billets Reports'!I2789)</f>
      </c>
      <c r="M2790">
        <f t="shared" si="86"/>
      </c>
      <c r="N2790">
        <f>IF('R.M Billets Reports'!J2789="","",'R.M Billets Reports'!J2789)</f>
      </c>
      <c r="O2790">
        <f t="shared" si="87"/>
      </c>
      <c r="P2790">
        <f>IF('R.M Billets Reports'!A2789="SIZE",'R.M Billets Reports'!B2789,P2789)</f>
      </c>
    </row>
    <row r="2791" spans="1:16" x14ac:dyDescent="0.25">
      <c r="A2791">
        <f>IF(OR('R.M Billets Reports'!A2790="Date-",'R.M Billets Reports'!A2790="Date:-"),IF(IF(IF(ISNUMBER(SEARCH("Party Name:-",'R.M Billets Reports'!D2790)),TRIM('R.M Billets Reports'!F2790),IF(ISNUMBER(SEARCH("Party Name-",'R.M Billets Reports'!D2790)),TRIM(MID('R.M Billets Reports'!D2790,SEARCH("-",'R.M Billets Reports'!D2790)+1,200)),""))&lt;&gt;"",IF(ISNUMBER(SEARCH("Party Name:-",'R.M Billets Reports'!D2790)),TRIM('R.M Billets Reports'!F2790),IF(ISNUMBER(SEARCH("Party Name-",'R.M Billets Reports'!D2790)),TRIM(MID('R.M Billets Reports'!D2790,SEARCH("-",'R.M Billets Reports'!D2790)+1,200)),"")),IF(ISNUMBER(SEARCH("Party Name:-",'R.M Billets Reports'!D2791)),TRIM('R.M Billets Reports'!F2791),IF(ISNUMBER(SEARCH("Party Name-",'R.M Billets Reports'!D2791)),TRIM(MID('R.M Billets Reports'!D2791,SEARCH("-",'R.M Billets Reports'!D2791)+1,200)),"")))="VRKP ISPAT PVT LTD","VRKP",IF(IF(IF(ISNUMBER(SEARCH("Party Name:-",'R.M Billets Reports'!D2790)),TRIM('R.M Billets Reports'!F2790),IF(ISNUMBER(SEARCH("Party Name-",'R.M Billets Reports'!D2790)),TRIM(MID('R.M Billets Reports'!D2790,SEARCH("-",'R.M Billets Reports'!D2790)+1,200)),""))&lt;&gt;"",IF(ISNUMBER(SEARCH("Party Name:-",'R.M Billets Reports'!D2790)),TRIM('R.M Billets Reports'!F2790),IF(ISNUMBER(SEARCH("Party Name-",'R.M Billets Reports'!D2790)),TRIM(MID('R.M Billets Reports'!D2790,SEARCH("-",'R.M Billets Reports'!D2790)+1,200)),"")),IF(ISNUMBER(SEARCH("Party Name:-",'R.M Billets Reports'!D2791)),TRIM('R.M Billets Reports'!F2791),IF(ISNUMBER(SEARCH("Party Name-",'R.M Billets Reports'!D2791)),TRIM(MID('R.M Billets Reports'!D2791,SEARCH("-",'R.M Billets Reports'!D2791)+1,200)),"")))="SHRI RADHE","SHREE RADHE",IF(IF(IF(ISNUMBER(SEARCH("Party Name:-",'R.M Billets Reports'!D2790)),TRIM('R.M Billets Reports'!F2790),IF(ISNUMBER(SEARCH("Party Name-",'R.M Billets Reports'!D2790)),TRIM(MID('R.M Billets Reports'!D2790,SEARCH("-",'R.M Billets Reports'!D2790)+1,200)),""))&lt;&gt;"",IF(ISNUMBER(SEARCH("Party Name:-",'R.M Billets Reports'!D2790)),TRIM('R.M Billets Reports'!F2790),IF(ISNUMBER(SEARCH("Party Name-",'R.M Billets Reports'!D2790)),TRIM(MID('R.M Billets Reports'!D2790,SEARCH("-",'R.M Billets Reports'!D2790)+1,200)),"")),IF(ISNUMBER(SEARCH("Party Name:-",'R.M Billets Reports'!D2791)),TRIM('R.M Billets Reports'!F2791),IF(ISNUMBER(SEARCH("Party Name-",'R.M Billets Reports'!D2791)),TRIM(MID('R.M Billets Reports'!D2791,SEARCH("-",'R.M Billets Reports'!D2791)+1,200)),"")))="SHREE RADHE SHAKTI SPONGE AND POWER PVT. LTD.","SHREE RADHE",IF(IF(ISNUMBER(SEARCH("Party Name:-",'R.M Billets Reports'!D2790)),TRIM('R.M Billets Reports'!F2790),IF(ISNUMBER(SEARCH("Party Name-",'R.M Billets Reports'!D2790)),TRIM(MID('R.M Billets Reports'!D2790,SEARCH("-",'R.M Billets Reports'!D2790)+1,200)),""))&lt;&gt;"",IF(ISNUMBER(SEARCH("Party Name:-",'R.M Billets Reports'!D2790)),TRIM('R.M Billets Reports'!F2790),IF(ISNUMBER(SEARCH("Party Name-",'R.M Billets Reports'!D2790)),TRIM(MID('R.M Billets Reports'!D2790,SEARCH("-",'R.M Billets Reports'!D2790)+1,200)),"")),IF(ISNUMBER(SEARCH("Party Name:-",'R.M Billets Reports'!D2791)),TRIM('R.M Billets Reports'!F2791),IF(ISNUMBER(SEARCH("Party Name-",'R.M Billets Reports'!D2791)),TRIM(MID('R.M Billets Reports'!D2791,SEARCH("-",'R.M Billets Reports'!D2791)+1,200)),"")))))),IF(ROW()=2,"",A2790))</f>
      </c>
      <c r="B2791">
        <f>IF(OR('R.M Billets Reports'!A2790="Date-",'R.M Billets Reports'!A2790="Date:-"),'R.M Billets Reports'!B2790,IF(ROW()=2,"",B2790))</f>
      </c>
      <c r="C2791">
        <f>IF('R.M Billets Reports'!A2790="V.No.",'R.M Billets Reports'!B2790,IF(ROW()=2,"",C2790))</f>
      </c>
      <c r="D2791">
        <f>IF('R.M Billets Reports'!A2790&lt;&gt;"",'R.M Billets Reports'!A2790,IF(ROW()=2,"",D2790))</f>
      </c>
      <c r="E2791">
        <f>IF('R.M Billets Reports'!B2790="","",TRIM('R.M Billets Reports'!B2790))</f>
      </c>
      <c r="F2791">
        <f>'R.M Billets Reports'!C2790</f>
      </c>
      <c r="G2791">
        <f>'R.M Billets Reports'!D2790</f>
      </c>
      <c r="H2791">
        <f>'R.M Billets Reports'!E2790</f>
      </c>
      <c r="I2791">
        <f>'R.M Billets Reports'!F2790</f>
      </c>
      <c r="J2791">
        <f>'R.M Billets Reports'!G2790</f>
      </c>
      <c r="K2791">
        <f>'R.M Billets Reports'!H2790</f>
      </c>
      <c r="L2791">
        <f>IF('R.M Billets Reports'!I2790="","",'R.M Billets Reports'!I2790)</f>
      </c>
      <c r="M2791">
        <f t="shared" si="86"/>
      </c>
      <c r="N2791">
        <f>IF('R.M Billets Reports'!J2790="","",'R.M Billets Reports'!J2790)</f>
      </c>
      <c r="O2791">
        <f t="shared" si="87"/>
      </c>
      <c r="P2791">
        <f>IF('R.M Billets Reports'!A2790="SIZE",'R.M Billets Reports'!B2790,P2790)</f>
      </c>
    </row>
    <row r="2792" spans="1:16" x14ac:dyDescent="0.25">
      <c r="A2792">
        <f>IF(OR('R.M Billets Reports'!A2791="Date-",'R.M Billets Reports'!A2791="Date:-"),IF(IF(IF(ISNUMBER(SEARCH("Party Name:-",'R.M Billets Reports'!D2791)),TRIM('R.M Billets Reports'!F2791),IF(ISNUMBER(SEARCH("Party Name-",'R.M Billets Reports'!D2791)),TRIM(MID('R.M Billets Reports'!D2791,SEARCH("-",'R.M Billets Reports'!D2791)+1,200)),""))&lt;&gt;"",IF(ISNUMBER(SEARCH("Party Name:-",'R.M Billets Reports'!D2791)),TRIM('R.M Billets Reports'!F2791),IF(ISNUMBER(SEARCH("Party Name-",'R.M Billets Reports'!D2791)),TRIM(MID('R.M Billets Reports'!D2791,SEARCH("-",'R.M Billets Reports'!D2791)+1,200)),"")),IF(ISNUMBER(SEARCH("Party Name:-",'R.M Billets Reports'!D2792)),TRIM('R.M Billets Reports'!F2792),IF(ISNUMBER(SEARCH("Party Name-",'R.M Billets Reports'!D2792)),TRIM(MID('R.M Billets Reports'!D2792,SEARCH("-",'R.M Billets Reports'!D2792)+1,200)),"")))="VRKP ISPAT PVT LTD","VRKP",IF(IF(IF(ISNUMBER(SEARCH("Party Name:-",'R.M Billets Reports'!D2791)),TRIM('R.M Billets Reports'!F2791),IF(ISNUMBER(SEARCH("Party Name-",'R.M Billets Reports'!D2791)),TRIM(MID('R.M Billets Reports'!D2791,SEARCH("-",'R.M Billets Reports'!D2791)+1,200)),""))&lt;&gt;"",IF(ISNUMBER(SEARCH("Party Name:-",'R.M Billets Reports'!D2791)),TRIM('R.M Billets Reports'!F2791),IF(ISNUMBER(SEARCH("Party Name-",'R.M Billets Reports'!D2791)),TRIM(MID('R.M Billets Reports'!D2791,SEARCH("-",'R.M Billets Reports'!D2791)+1,200)),"")),IF(ISNUMBER(SEARCH("Party Name:-",'R.M Billets Reports'!D2792)),TRIM('R.M Billets Reports'!F2792),IF(ISNUMBER(SEARCH("Party Name-",'R.M Billets Reports'!D2792)),TRIM(MID('R.M Billets Reports'!D2792,SEARCH("-",'R.M Billets Reports'!D2792)+1,200)),"")))="SHRI RADHE","SHREE RADHE",IF(IF(IF(ISNUMBER(SEARCH("Party Name:-",'R.M Billets Reports'!D2791)),TRIM('R.M Billets Reports'!F2791),IF(ISNUMBER(SEARCH("Party Name-",'R.M Billets Reports'!D2791)),TRIM(MID('R.M Billets Reports'!D2791,SEARCH("-",'R.M Billets Reports'!D2791)+1,200)),""))&lt;&gt;"",IF(ISNUMBER(SEARCH("Party Name:-",'R.M Billets Reports'!D2791)),TRIM('R.M Billets Reports'!F2791),IF(ISNUMBER(SEARCH("Party Name-",'R.M Billets Reports'!D2791)),TRIM(MID('R.M Billets Reports'!D2791,SEARCH("-",'R.M Billets Reports'!D2791)+1,200)),"")),IF(ISNUMBER(SEARCH("Party Name:-",'R.M Billets Reports'!D2792)),TRIM('R.M Billets Reports'!F2792),IF(ISNUMBER(SEARCH("Party Name-",'R.M Billets Reports'!D2792)),TRIM(MID('R.M Billets Reports'!D2792,SEARCH("-",'R.M Billets Reports'!D2792)+1,200)),"")))="SHREE RADHE SHAKTI SPONGE AND POWER PVT. LTD.","SHREE RADHE",IF(IF(ISNUMBER(SEARCH("Party Name:-",'R.M Billets Reports'!D2791)),TRIM('R.M Billets Reports'!F2791),IF(ISNUMBER(SEARCH("Party Name-",'R.M Billets Reports'!D2791)),TRIM(MID('R.M Billets Reports'!D2791,SEARCH("-",'R.M Billets Reports'!D2791)+1,200)),""))&lt;&gt;"",IF(ISNUMBER(SEARCH("Party Name:-",'R.M Billets Reports'!D2791)),TRIM('R.M Billets Reports'!F2791),IF(ISNUMBER(SEARCH("Party Name-",'R.M Billets Reports'!D2791)),TRIM(MID('R.M Billets Reports'!D2791,SEARCH("-",'R.M Billets Reports'!D2791)+1,200)),"")),IF(ISNUMBER(SEARCH("Party Name:-",'R.M Billets Reports'!D2792)),TRIM('R.M Billets Reports'!F2792),IF(ISNUMBER(SEARCH("Party Name-",'R.M Billets Reports'!D2792)),TRIM(MID('R.M Billets Reports'!D2792,SEARCH("-",'R.M Billets Reports'!D2792)+1,200)),"")))))),IF(ROW()=2,"",A2791))</f>
      </c>
      <c r="B2792">
        <f>IF(OR('R.M Billets Reports'!A2791="Date-",'R.M Billets Reports'!A2791="Date:-"),'R.M Billets Reports'!B2791,IF(ROW()=2,"",B2791))</f>
      </c>
      <c r="C2792">
        <f>IF('R.M Billets Reports'!A2791="V.No.",'R.M Billets Reports'!B2791,IF(ROW()=2,"",C2791))</f>
      </c>
      <c r="D2792">
        <f>IF('R.M Billets Reports'!A2791&lt;&gt;"",'R.M Billets Reports'!A2791,IF(ROW()=2,"",D2791))</f>
      </c>
      <c r="E2792">
        <f>IF('R.M Billets Reports'!B2791="","",TRIM('R.M Billets Reports'!B2791))</f>
      </c>
      <c r="F2792">
        <f>'R.M Billets Reports'!C2791</f>
      </c>
      <c r="G2792">
        <f>'R.M Billets Reports'!D2791</f>
      </c>
      <c r="H2792">
        <f>'R.M Billets Reports'!E2791</f>
      </c>
      <c r="I2792">
        <f>'R.M Billets Reports'!F2791</f>
      </c>
      <c r="J2792">
        <f>'R.M Billets Reports'!G2791</f>
      </c>
      <c r="K2792">
        <f>'R.M Billets Reports'!H2791</f>
      </c>
      <c r="L2792">
        <f>IF('R.M Billets Reports'!I2791="","",'R.M Billets Reports'!I2791)</f>
      </c>
      <c r="M2792">
        <f t="shared" si="86"/>
      </c>
      <c r="N2792">
        <f>IF('R.M Billets Reports'!J2791="","",'R.M Billets Reports'!J2791)</f>
      </c>
      <c r="O2792">
        <f t="shared" si="87"/>
      </c>
      <c r="P2792">
        <f>IF('R.M Billets Reports'!A2791="SIZE",'R.M Billets Reports'!B2791,P2791)</f>
      </c>
    </row>
    <row r="2793" spans="1:16" x14ac:dyDescent="0.25">
      <c r="A2793">
        <f>IF(OR('R.M Billets Reports'!A2792="Date-",'R.M Billets Reports'!A2792="Date:-"),IF(IF(IF(ISNUMBER(SEARCH("Party Name:-",'R.M Billets Reports'!D2792)),TRIM('R.M Billets Reports'!F2792),IF(ISNUMBER(SEARCH("Party Name-",'R.M Billets Reports'!D2792)),TRIM(MID('R.M Billets Reports'!D2792,SEARCH("-",'R.M Billets Reports'!D2792)+1,200)),""))&lt;&gt;"",IF(ISNUMBER(SEARCH("Party Name:-",'R.M Billets Reports'!D2792)),TRIM('R.M Billets Reports'!F2792),IF(ISNUMBER(SEARCH("Party Name-",'R.M Billets Reports'!D2792)),TRIM(MID('R.M Billets Reports'!D2792,SEARCH("-",'R.M Billets Reports'!D2792)+1,200)),"")),IF(ISNUMBER(SEARCH("Party Name:-",'R.M Billets Reports'!D2793)),TRIM('R.M Billets Reports'!F2793),IF(ISNUMBER(SEARCH("Party Name-",'R.M Billets Reports'!D2793)),TRIM(MID('R.M Billets Reports'!D2793,SEARCH("-",'R.M Billets Reports'!D2793)+1,200)),"")))="VRKP ISPAT PVT LTD","VRKP",IF(IF(IF(ISNUMBER(SEARCH("Party Name:-",'R.M Billets Reports'!D2792)),TRIM('R.M Billets Reports'!F2792),IF(ISNUMBER(SEARCH("Party Name-",'R.M Billets Reports'!D2792)),TRIM(MID('R.M Billets Reports'!D2792,SEARCH("-",'R.M Billets Reports'!D2792)+1,200)),""))&lt;&gt;"",IF(ISNUMBER(SEARCH("Party Name:-",'R.M Billets Reports'!D2792)),TRIM('R.M Billets Reports'!F2792),IF(ISNUMBER(SEARCH("Party Name-",'R.M Billets Reports'!D2792)),TRIM(MID('R.M Billets Reports'!D2792,SEARCH("-",'R.M Billets Reports'!D2792)+1,200)),"")),IF(ISNUMBER(SEARCH("Party Name:-",'R.M Billets Reports'!D2793)),TRIM('R.M Billets Reports'!F2793),IF(ISNUMBER(SEARCH("Party Name-",'R.M Billets Reports'!D2793)),TRIM(MID('R.M Billets Reports'!D2793,SEARCH("-",'R.M Billets Reports'!D2793)+1,200)),"")))="SHRI RADHE","SHREE RADHE",IF(IF(IF(ISNUMBER(SEARCH("Party Name:-",'R.M Billets Reports'!D2792)),TRIM('R.M Billets Reports'!F2792),IF(ISNUMBER(SEARCH("Party Name-",'R.M Billets Reports'!D2792)),TRIM(MID('R.M Billets Reports'!D2792,SEARCH("-",'R.M Billets Reports'!D2792)+1,200)),""))&lt;&gt;"",IF(ISNUMBER(SEARCH("Party Name:-",'R.M Billets Reports'!D2792)),TRIM('R.M Billets Reports'!F2792),IF(ISNUMBER(SEARCH("Party Name-",'R.M Billets Reports'!D2792)),TRIM(MID('R.M Billets Reports'!D2792,SEARCH("-",'R.M Billets Reports'!D2792)+1,200)),"")),IF(ISNUMBER(SEARCH("Party Name:-",'R.M Billets Reports'!D2793)),TRIM('R.M Billets Reports'!F2793),IF(ISNUMBER(SEARCH("Party Name-",'R.M Billets Reports'!D2793)),TRIM(MID('R.M Billets Reports'!D2793,SEARCH("-",'R.M Billets Reports'!D2793)+1,200)),"")))="SHREE RADHE SHAKTI SPONGE AND POWER PVT. LTD.","SHREE RADHE",IF(IF(ISNUMBER(SEARCH("Party Name:-",'R.M Billets Reports'!D2792)),TRIM('R.M Billets Reports'!F2792),IF(ISNUMBER(SEARCH("Party Name-",'R.M Billets Reports'!D2792)),TRIM(MID('R.M Billets Reports'!D2792,SEARCH("-",'R.M Billets Reports'!D2792)+1,200)),""))&lt;&gt;"",IF(ISNUMBER(SEARCH("Party Name:-",'R.M Billets Reports'!D2792)),TRIM('R.M Billets Reports'!F2792),IF(ISNUMBER(SEARCH("Party Name-",'R.M Billets Reports'!D2792)),TRIM(MID('R.M Billets Reports'!D2792,SEARCH("-",'R.M Billets Reports'!D2792)+1,200)),"")),IF(ISNUMBER(SEARCH("Party Name:-",'R.M Billets Reports'!D2793)),TRIM('R.M Billets Reports'!F2793),IF(ISNUMBER(SEARCH("Party Name-",'R.M Billets Reports'!D2793)),TRIM(MID('R.M Billets Reports'!D2793,SEARCH("-",'R.M Billets Reports'!D2793)+1,200)),"")))))),IF(ROW()=2,"",A2792))</f>
      </c>
      <c r="B2793">
        <f>IF(OR('R.M Billets Reports'!A2792="Date-",'R.M Billets Reports'!A2792="Date:-"),'R.M Billets Reports'!B2792,IF(ROW()=2,"",B2792))</f>
      </c>
      <c r="C2793">
        <f>IF('R.M Billets Reports'!A2792="V.No.",'R.M Billets Reports'!B2792,IF(ROW()=2,"",C2792))</f>
      </c>
      <c r="D2793">
        <f>IF('R.M Billets Reports'!A2792&lt;&gt;"",'R.M Billets Reports'!A2792,IF(ROW()=2,"",D2792))</f>
      </c>
      <c r="E2793">
        <f>IF('R.M Billets Reports'!B2792="","",TRIM('R.M Billets Reports'!B2792))</f>
      </c>
      <c r="F2793">
        <f>'R.M Billets Reports'!C2792</f>
      </c>
      <c r="G2793">
        <f>'R.M Billets Reports'!D2792</f>
      </c>
      <c r="H2793">
        <f>'R.M Billets Reports'!E2792</f>
      </c>
      <c r="I2793">
        <f>'R.M Billets Reports'!F2792</f>
      </c>
      <c r="J2793">
        <f>'R.M Billets Reports'!G2792</f>
      </c>
      <c r="K2793">
        <f>'R.M Billets Reports'!H2792</f>
      </c>
      <c r="L2793">
        <f>IF('R.M Billets Reports'!I2792="","",'R.M Billets Reports'!I2792)</f>
      </c>
      <c r="M2793">
        <f t="shared" si="86"/>
      </c>
      <c r="N2793">
        <f>IF('R.M Billets Reports'!J2792="","",'R.M Billets Reports'!J2792)</f>
      </c>
      <c r="O2793">
        <f t="shared" si="87"/>
      </c>
      <c r="P2793">
        <f>IF('R.M Billets Reports'!A2792="SIZE",'R.M Billets Reports'!B2792,P2792)</f>
      </c>
    </row>
    <row r="2794" spans="1:16" x14ac:dyDescent="0.25">
      <c r="A2794">
        <f>IF(OR('R.M Billets Reports'!A2793="Date-",'R.M Billets Reports'!A2793="Date:-"),IF(IF(IF(ISNUMBER(SEARCH("Party Name:-",'R.M Billets Reports'!D2793)),TRIM('R.M Billets Reports'!F2793),IF(ISNUMBER(SEARCH("Party Name-",'R.M Billets Reports'!D2793)),TRIM(MID('R.M Billets Reports'!D2793,SEARCH("-",'R.M Billets Reports'!D2793)+1,200)),""))&lt;&gt;"",IF(ISNUMBER(SEARCH("Party Name:-",'R.M Billets Reports'!D2793)),TRIM('R.M Billets Reports'!F2793),IF(ISNUMBER(SEARCH("Party Name-",'R.M Billets Reports'!D2793)),TRIM(MID('R.M Billets Reports'!D2793,SEARCH("-",'R.M Billets Reports'!D2793)+1,200)),"")),IF(ISNUMBER(SEARCH("Party Name:-",'R.M Billets Reports'!D2794)),TRIM('R.M Billets Reports'!F2794),IF(ISNUMBER(SEARCH("Party Name-",'R.M Billets Reports'!D2794)),TRIM(MID('R.M Billets Reports'!D2794,SEARCH("-",'R.M Billets Reports'!D2794)+1,200)),"")))="VRKP ISPAT PVT LTD","VRKP",IF(IF(IF(ISNUMBER(SEARCH("Party Name:-",'R.M Billets Reports'!D2793)),TRIM('R.M Billets Reports'!F2793),IF(ISNUMBER(SEARCH("Party Name-",'R.M Billets Reports'!D2793)),TRIM(MID('R.M Billets Reports'!D2793,SEARCH("-",'R.M Billets Reports'!D2793)+1,200)),""))&lt;&gt;"",IF(ISNUMBER(SEARCH("Party Name:-",'R.M Billets Reports'!D2793)),TRIM('R.M Billets Reports'!F2793),IF(ISNUMBER(SEARCH("Party Name-",'R.M Billets Reports'!D2793)),TRIM(MID('R.M Billets Reports'!D2793,SEARCH("-",'R.M Billets Reports'!D2793)+1,200)),"")),IF(ISNUMBER(SEARCH("Party Name:-",'R.M Billets Reports'!D2794)),TRIM('R.M Billets Reports'!F2794),IF(ISNUMBER(SEARCH("Party Name-",'R.M Billets Reports'!D2794)),TRIM(MID('R.M Billets Reports'!D2794,SEARCH("-",'R.M Billets Reports'!D2794)+1,200)),"")))="SHRI RADHE","SHREE RADHE",IF(IF(IF(ISNUMBER(SEARCH("Party Name:-",'R.M Billets Reports'!D2793)),TRIM('R.M Billets Reports'!F2793),IF(ISNUMBER(SEARCH("Party Name-",'R.M Billets Reports'!D2793)),TRIM(MID('R.M Billets Reports'!D2793,SEARCH("-",'R.M Billets Reports'!D2793)+1,200)),""))&lt;&gt;"",IF(ISNUMBER(SEARCH("Party Name:-",'R.M Billets Reports'!D2793)),TRIM('R.M Billets Reports'!F2793),IF(ISNUMBER(SEARCH("Party Name-",'R.M Billets Reports'!D2793)),TRIM(MID('R.M Billets Reports'!D2793,SEARCH("-",'R.M Billets Reports'!D2793)+1,200)),"")),IF(ISNUMBER(SEARCH("Party Name:-",'R.M Billets Reports'!D2794)),TRIM('R.M Billets Reports'!F2794),IF(ISNUMBER(SEARCH("Party Name-",'R.M Billets Reports'!D2794)),TRIM(MID('R.M Billets Reports'!D2794,SEARCH("-",'R.M Billets Reports'!D2794)+1,200)),"")))="SHREE RADHE SHAKTI SPONGE AND POWER PVT. LTD.","SHREE RADHE",IF(IF(ISNUMBER(SEARCH("Party Name:-",'R.M Billets Reports'!D2793)),TRIM('R.M Billets Reports'!F2793),IF(ISNUMBER(SEARCH("Party Name-",'R.M Billets Reports'!D2793)),TRIM(MID('R.M Billets Reports'!D2793,SEARCH("-",'R.M Billets Reports'!D2793)+1,200)),""))&lt;&gt;"",IF(ISNUMBER(SEARCH("Party Name:-",'R.M Billets Reports'!D2793)),TRIM('R.M Billets Reports'!F2793),IF(ISNUMBER(SEARCH("Party Name-",'R.M Billets Reports'!D2793)),TRIM(MID('R.M Billets Reports'!D2793,SEARCH("-",'R.M Billets Reports'!D2793)+1,200)),"")),IF(ISNUMBER(SEARCH("Party Name:-",'R.M Billets Reports'!D2794)),TRIM('R.M Billets Reports'!F2794),IF(ISNUMBER(SEARCH("Party Name-",'R.M Billets Reports'!D2794)),TRIM(MID('R.M Billets Reports'!D2794,SEARCH("-",'R.M Billets Reports'!D2794)+1,200)),"")))))),IF(ROW()=2,"",A2793))</f>
      </c>
      <c r="B2794">
        <f>IF(OR('R.M Billets Reports'!A2793="Date-",'R.M Billets Reports'!A2793="Date:-"),'R.M Billets Reports'!B2793,IF(ROW()=2,"",B2793))</f>
      </c>
      <c r="C2794">
        <f>IF('R.M Billets Reports'!A2793="V.No.",'R.M Billets Reports'!B2793,IF(ROW()=2,"",C2793))</f>
      </c>
      <c r="D2794">
        <f>IF('R.M Billets Reports'!A2793&lt;&gt;"",'R.M Billets Reports'!A2793,IF(ROW()=2,"",D2793))</f>
      </c>
      <c r="E2794">
        <f>IF('R.M Billets Reports'!B2793="","",TRIM('R.M Billets Reports'!B2793))</f>
      </c>
      <c r="F2794">
        <f>'R.M Billets Reports'!C2793</f>
      </c>
      <c r="G2794">
        <f>'R.M Billets Reports'!D2793</f>
      </c>
      <c r="H2794">
        <f>'R.M Billets Reports'!E2793</f>
      </c>
      <c r="I2794">
        <f>'R.M Billets Reports'!F2793</f>
      </c>
      <c r="J2794">
        <f>'R.M Billets Reports'!G2793</f>
      </c>
      <c r="K2794">
        <f>'R.M Billets Reports'!H2793</f>
      </c>
      <c r="L2794">
        <f>IF('R.M Billets Reports'!I2793="","",'R.M Billets Reports'!I2793)</f>
      </c>
      <c r="M2794">
        <f t="shared" si="86"/>
      </c>
      <c r="N2794">
        <f>IF('R.M Billets Reports'!J2793="","",'R.M Billets Reports'!J2793)</f>
      </c>
      <c r="O2794">
        <f t="shared" si="87"/>
      </c>
      <c r="P2794">
        <f>IF('R.M Billets Reports'!A2793="SIZE",'R.M Billets Reports'!B2793,P2793)</f>
      </c>
    </row>
    <row r="2795" spans="1:16" x14ac:dyDescent="0.25">
      <c r="A2795">
        <f>IF(OR('R.M Billets Reports'!A2794="Date-",'R.M Billets Reports'!A2794="Date:-"),IF(IF(IF(ISNUMBER(SEARCH("Party Name:-",'R.M Billets Reports'!D2794)),TRIM('R.M Billets Reports'!F2794),IF(ISNUMBER(SEARCH("Party Name-",'R.M Billets Reports'!D2794)),TRIM(MID('R.M Billets Reports'!D2794,SEARCH("-",'R.M Billets Reports'!D2794)+1,200)),""))&lt;&gt;"",IF(ISNUMBER(SEARCH("Party Name:-",'R.M Billets Reports'!D2794)),TRIM('R.M Billets Reports'!F2794),IF(ISNUMBER(SEARCH("Party Name-",'R.M Billets Reports'!D2794)),TRIM(MID('R.M Billets Reports'!D2794,SEARCH("-",'R.M Billets Reports'!D2794)+1,200)),"")),IF(ISNUMBER(SEARCH("Party Name:-",'R.M Billets Reports'!D2795)),TRIM('R.M Billets Reports'!F2795),IF(ISNUMBER(SEARCH("Party Name-",'R.M Billets Reports'!D2795)),TRIM(MID('R.M Billets Reports'!D2795,SEARCH("-",'R.M Billets Reports'!D2795)+1,200)),"")))="VRKP ISPAT PVT LTD","VRKP",IF(IF(IF(ISNUMBER(SEARCH("Party Name:-",'R.M Billets Reports'!D2794)),TRIM('R.M Billets Reports'!F2794),IF(ISNUMBER(SEARCH("Party Name-",'R.M Billets Reports'!D2794)),TRIM(MID('R.M Billets Reports'!D2794,SEARCH("-",'R.M Billets Reports'!D2794)+1,200)),""))&lt;&gt;"",IF(ISNUMBER(SEARCH("Party Name:-",'R.M Billets Reports'!D2794)),TRIM('R.M Billets Reports'!F2794),IF(ISNUMBER(SEARCH("Party Name-",'R.M Billets Reports'!D2794)),TRIM(MID('R.M Billets Reports'!D2794,SEARCH("-",'R.M Billets Reports'!D2794)+1,200)),"")),IF(ISNUMBER(SEARCH("Party Name:-",'R.M Billets Reports'!D2795)),TRIM('R.M Billets Reports'!F2795),IF(ISNUMBER(SEARCH("Party Name-",'R.M Billets Reports'!D2795)),TRIM(MID('R.M Billets Reports'!D2795,SEARCH("-",'R.M Billets Reports'!D2795)+1,200)),"")))="SHRI RADHE","SHREE RADHE",IF(IF(IF(ISNUMBER(SEARCH("Party Name:-",'R.M Billets Reports'!D2794)),TRIM('R.M Billets Reports'!F2794),IF(ISNUMBER(SEARCH("Party Name-",'R.M Billets Reports'!D2794)),TRIM(MID('R.M Billets Reports'!D2794,SEARCH("-",'R.M Billets Reports'!D2794)+1,200)),""))&lt;&gt;"",IF(ISNUMBER(SEARCH("Party Name:-",'R.M Billets Reports'!D2794)),TRIM('R.M Billets Reports'!F2794),IF(ISNUMBER(SEARCH("Party Name-",'R.M Billets Reports'!D2794)),TRIM(MID('R.M Billets Reports'!D2794,SEARCH("-",'R.M Billets Reports'!D2794)+1,200)),"")),IF(ISNUMBER(SEARCH("Party Name:-",'R.M Billets Reports'!D2795)),TRIM('R.M Billets Reports'!F2795),IF(ISNUMBER(SEARCH("Party Name-",'R.M Billets Reports'!D2795)),TRIM(MID('R.M Billets Reports'!D2795,SEARCH("-",'R.M Billets Reports'!D2795)+1,200)),"")))="SHREE RADHE SHAKTI SPONGE AND POWER PVT. LTD.","SHREE RADHE",IF(IF(ISNUMBER(SEARCH("Party Name:-",'R.M Billets Reports'!D2794)),TRIM('R.M Billets Reports'!F2794),IF(ISNUMBER(SEARCH("Party Name-",'R.M Billets Reports'!D2794)),TRIM(MID('R.M Billets Reports'!D2794,SEARCH("-",'R.M Billets Reports'!D2794)+1,200)),""))&lt;&gt;"",IF(ISNUMBER(SEARCH("Party Name:-",'R.M Billets Reports'!D2794)),TRIM('R.M Billets Reports'!F2794),IF(ISNUMBER(SEARCH("Party Name-",'R.M Billets Reports'!D2794)),TRIM(MID('R.M Billets Reports'!D2794,SEARCH("-",'R.M Billets Reports'!D2794)+1,200)),"")),IF(ISNUMBER(SEARCH("Party Name:-",'R.M Billets Reports'!D2795)),TRIM('R.M Billets Reports'!F2795),IF(ISNUMBER(SEARCH("Party Name-",'R.M Billets Reports'!D2795)),TRIM(MID('R.M Billets Reports'!D2795,SEARCH("-",'R.M Billets Reports'!D2795)+1,200)),"")))))),IF(ROW()=2,"",A2794))</f>
      </c>
      <c r="B2795">
        <f>IF(OR('R.M Billets Reports'!A2794="Date-",'R.M Billets Reports'!A2794="Date:-"),'R.M Billets Reports'!B2794,IF(ROW()=2,"",B2794))</f>
      </c>
      <c r="C2795">
        <f>IF('R.M Billets Reports'!A2794="V.No.",'R.M Billets Reports'!B2794,IF(ROW()=2,"",C2794))</f>
      </c>
      <c r="D2795">
        <f>IF('R.M Billets Reports'!A2794&lt;&gt;"",'R.M Billets Reports'!A2794,IF(ROW()=2,"",D2794))</f>
      </c>
      <c r="E2795">
        <f>IF('R.M Billets Reports'!B2794="","",TRIM('R.M Billets Reports'!B2794))</f>
      </c>
      <c r="F2795">
        <f>'R.M Billets Reports'!C2794</f>
      </c>
      <c r="G2795">
        <f>'R.M Billets Reports'!D2794</f>
      </c>
      <c r="H2795">
        <f>'R.M Billets Reports'!E2794</f>
      </c>
      <c r="I2795">
        <f>'R.M Billets Reports'!F2794</f>
      </c>
      <c r="J2795">
        <f>'R.M Billets Reports'!G2794</f>
      </c>
      <c r="K2795">
        <f>'R.M Billets Reports'!H2794</f>
      </c>
      <c r="L2795">
        <f>IF('R.M Billets Reports'!I2794="","",'R.M Billets Reports'!I2794)</f>
      </c>
      <c r="M2795">
        <f t="shared" si="86"/>
      </c>
      <c r="N2795">
        <f>IF('R.M Billets Reports'!J2794="","",'R.M Billets Reports'!J2794)</f>
      </c>
      <c r="O2795">
        <f t="shared" si="87"/>
      </c>
      <c r="P2795">
        <f>IF('R.M Billets Reports'!A2794="SIZE",'R.M Billets Reports'!B2794,P2794)</f>
      </c>
    </row>
    <row r="2796" spans="1:16" x14ac:dyDescent="0.25">
      <c r="A2796">
        <f>IF(OR('R.M Billets Reports'!A2795="Date-",'R.M Billets Reports'!A2795="Date:-"),IF(IF(IF(ISNUMBER(SEARCH("Party Name:-",'R.M Billets Reports'!D2795)),TRIM('R.M Billets Reports'!F2795),IF(ISNUMBER(SEARCH("Party Name-",'R.M Billets Reports'!D2795)),TRIM(MID('R.M Billets Reports'!D2795,SEARCH("-",'R.M Billets Reports'!D2795)+1,200)),""))&lt;&gt;"",IF(ISNUMBER(SEARCH("Party Name:-",'R.M Billets Reports'!D2795)),TRIM('R.M Billets Reports'!F2795),IF(ISNUMBER(SEARCH("Party Name-",'R.M Billets Reports'!D2795)),TRIM(MID('R.M Billets Reports'!D2795,SEARCH("-",'R.M Billets Reports'!D2795)+1,200)),"")),IF(ISNUMBER(SEARCH("Party Name:-",'R.M Billets Reports'!D2796)),TRIM('R.M Billets Reports'!F2796),IF(ISNUMBER(SEARCH("Party Name-",'R.M Billets Reports'!D2796)),TRIM(MID('R.M Billets Reports'!D2796,SEARCH("-",'R.M Billets Reports'!D2796)+1,200)),"")))="VRKP ISPAT PVT LTD","VRKP",IF(IF(IF(ISNUMBER(SEARCH("Party Name:-",'R.M Billets Reports'!D2795)),TRIM('R.M Billets Reports'!F2795),IF(ISNUMBER(SEARCH("Party Name-",'R.M Billets Reports'!D2795)),TRIM(MID('R.M Billets Reports'!D2795,SEARCH("-",'R.M Billets Reports'!D2795)+1,200)),""))&lt;&gt;"",IF(ISNUMBER(SEARCH("Party Name:-",'R.M Billets Reports'!D2795)),TRIM('R.M Billets Reports'!F2795),IF(ISNUMBER(SEARCH("Party Name-",'R.M Billets Reports'!D2795)),TRIM(MID('R.M Billets Reports'!D2795,SEARCH("-",'R.M Billets Reports'!D2795)+1,200)),"")),IF(ISNUMBER(SEARCH("Party Name:-",'R.M Billets Reports'!D2796)),TRIM('R.M Billets Reports'!F2796),IF(ISNUMBER(SEARCH("Party Name-",'R.M Billets Reports'!D2796)),TRIM(MID('R.M Billets Reports'!D2796,SEARCH("-",'R.M Billets Reports'!D2796)+1,200)),"")))="SHRI RADHE","SHREE RADHE",IF(IF(IF(ISNUMBER(SEARCH("Party Name:-",'R.M Billets Reports'!D2795)),TRIM('R.M Billets Reports'!F2795),IF(ISNUMBER(SEARCH("Party Name-",'R.M Billets Reports'!D2795)),TRIM(MID('R.M Billets Reports'!D2795,SEARCH("-",'R.M Billets Reports'!D2795)+1,200)),""))&lt;&gt;"",IF(ISNUMBER(SEARCH("Party Name:-",'R.M Billets Reports'!D2795)),TRIM('R.M Billets Reports'!F2795),IF(ISNUMBER(SEARCH("Party Name-",'R.M Billets Reports'!D2795)),TRIM(MID('R.M Billets Reports'!D2795,SEARCH("-",'R.M Billets Reports'!D2795)+1,200)),"")),IF(ISNUMBER(SEARCH("Party Name:-",'R.M Billets Reports'!D2796)),TRIM('R.M Billets Reports'!F2796),IF(ISNUMBER(SEARCH("Party Name-",'R.M Billets Reports'!D2796)),TRIM(MID('R.M Billets Reports'!D2796,SEARCH("-",'R.M Billets Reports'!D2796)+1,200)),"")))="SHREE RADHE SHAKTI SPONGE AND POWER PVT. LTD.","SHREE RADHE",IF(IF(ISNUMBER(SEARCH("Party Name:-",'R.M Billets Reports'!D2795)),TRIM('R.M Billets Reports'!F2795),IF(ISNUMBER(SEARCH("Party Name-",'R.M Billets Reports'!D2795)),TRIM(MID('R.M Billets Reports'!D2795,SEARCH("-",'R.M Billets Reports'!D2795)+1,200)),""))&lt;&gt;"",IF(ISNUMBER(SEARCH("Party Name:-",'R.M Billets Reports'!D2795)),TRIM('R.M Billets Reports'!F2795),IF(ISNUMBER(SEARCH("Party Name-",'R.M Billets Reports'!D2795)),TRIM(MID('R.M Billets Reports'!D2795,SEARCH("-",'R.M Billets Reports'!D2795)+1,200)),"")),IF(ISNUMBER(SEARCH("Party Name:-",'R.M Billets Reports'!D2796)),TRIM('R.M Billets Reports'!F2796),IF(ISNUMBER(SEARCH("Party Name-",'R.M Billets Reports'!D2796)),TRIM(MID('R.M Billets Reports'!D2796,SEARCH("-",'R.M Billets Reports'!D2796)+1,200)),"")))))),IF(ROW()=2,"",A2795))</f>
      </c>
      <c r="B2796">
        <f>IF(OR('R.M Billets Reports'!A2795="Date-",'R.M Billets Reports'!A2795="Date:-"),'R.M Billets Reports'!B2795,IF(ROW()=2,"",B2795))</f>
      </c>
      <c r="C2796">
        <f>IF('R.M Billets Reports'!A2795="V.No.",'R.M Billets Reports'!B2795,IF(ROW()=2,"",C2795))</f>
      </c>
      <c r="D2796">
        <f>IF('R.M Billets Reports'!A2795&lt;&gt;"",'R.M Billets Reports'!A2795,IF(ROW()=2,"",D2795))</f>
      </c>
      <c r="E2796">
        <f>IF('R.M Billets Reports'!B2795="","",TRIM('R.M Billets Reports'!B2795))</f>
      </c>
      <c r="F2796">
        <f>'R.M Billets Reports'!C2795</f>
      </c>
      <c r="G2796">
        <f>'R.M Billets Reports'!D2795</f>
      </c>
      <c r="H2796">
        <f>'R.M Billets Reports'!E2795</f>
      </c>
      <c r="I2796">
        <f>'R.M Billets Reports'!F2795</f>
      </c>
      <c r="J2796">
        <f>'R.M Billets Reports'!G2795</f>
      </c>
      <c r="K2796">
        <f>'R.M Billets Reports'!H2795</f>
      </c>
      <c r="L2796">
        <f>IF('R.M Billets Reports'!I2795="","",'R.M Billets Reports'!I2795)</f>
      </c>
      <c r="M2796">
        <f t="shared" si="86"/>
      </c>
      <c r="N2796">
        <f>IF('R.M Billets Reports'!J2795="","",'R.M Billets Reports'!J2795)</f>
      </c>
      <c r="O2796">
        <f t="shared" si="87"/>
      </c>
      <c r="P2796">
        <f>IF('R.M Billets Reports'!A2795="SIZE",'R.M Billets Reports'!B2795,P2795)</f>
      </c>
    </row>
    <row r="2797" spans="1:16" x14ac:dyDescent="0.25">
      <c r="A2797">
        <f>IF(OR('R.M Billets Reports'!A2796="Date-",'R.M Billets Reports'!A2796="Date:-"),IF(IF(IF(ISNUMBER(SEARCH("Party Name:-",'R.M Billets Reports'!D2796)),TRIM('R.M Billets Reports'!F2796),IF(ISNUMBER(SEARCH("Party Name-",'R.M Billets Reports'!D2796)),TRIM(MID('R.M Billets Reports'!D2796,SEARCH("-",'R.M Billets Reports'!D2796)+1,200)),""))&lt;&gt;"",IF(ISNUMBER(SEARCH("Party Name:-",'R.M Billets Reports'!D2796)),TRIM('R.M Billets Reports'!F2796),IF(ISNUMBER(SEARCH("Party Name-",'R.M Billets Reports'!D2796)),TRIM(MID('R.M Billets Reports'!D2796,SEARCH("-",'R.M Billets Reports'!D2796)+1,200)),"")),IF(ISNUMBER(SEARCH("Party Name:-",'R.M Billets Reports'!D2797)),TRIM('R.M Billets Reports'!F2797),IF(ISNUMBER(SEARCH("Party Name-",'R.M Billets Reports'!D2797)),TRIM(MID('R.M Billets Reports'!D2797,SEARCH("-",'R.M Billets Reports'!D2797)+1,200)),"")))="VRKP ISPAT PVT LTD","VRKP",IF(IF(IF(ISNUMBER(SEARCH("Party Name:-",'R.M Billets Reports'!D2796)),TRIM('R.M Billets Reports'!F2796),IF(ISNUMBER(SEARCH("Party Name-",'R.M Billets Reports'!D2796)),TRIM(MID('R.M Billets Reports'!D2796,SEARCH("-",'R.M Billets Reports'!D2796)+1,200)),""))&lt;&gt;"",IF(ISNUMBER(SEARCH("Party Name:-",'R.M Billets Reports'!D2796)),TRIM('R.M Billets Reports'!F2796),IF(ISNUMBER(SEARCH("Party Name-",'R.M Billets Reports'!D2796)),TRIM(MID('R.M Billets Reports'!D2796,SEARCH("-",'R.M Billets Reports'!D2796)+1,200)),"")),IF(ISNUMBER(SEARCH("Party Name:-",'R.M Billets Reports'!D2797)),TRIM('R.M Billets Reports'!F2797),IF(ISNUMBER(SEARCH("Party Name-",'R.M Billets Reports'!D2797)),TRIM(MID('R.M Billets Reports'!D2797,SEARCH("-",'R.M Billets Reports'!D2797)+1,200)),"")))="SHRI RADHE","SHREE RADHE",IF(IF(IF(ISNUMBER(SEARCH("Party Name:-",'R.M Billets Reports'!D2796)),TRIM('R.M Billets Reports'!F2796),IF(ISNUMBER(SEARCH("Party Name-",'R.M Billets Reports'!D2796)),TRIM(MID('R.M Billets Reports'!D2796,SEARCH("-",'R.M Billets Reports'!D2796)+1,200)),""))&lt;&gt;"",IF(ISNUMBER(SEARCH("Party Name:-",'R.M Billets Reports'!D2796)),TRIM('R.M Billets Reports'!F2796),IF(ISNUMBER(SEARCH("Party Name-",'R.M Billets Reports'!D2796)),TRIM(MID('R.M Billets Reports'!D2796,SEARCH("-",'R.M Billets Reports'!D2796)+1,200)),"")),IF(ISNUMBER(SEARCH("Party Name:-",'R.M Billets Reports'!D2797)),TRIM('R.M Billets Reports'!F2797),IF(ISNUMBER(SEARCH("Party Name-",'R.M Billets Reports'!D2797)),TRIM(MID('R.M Billets Reports'!D2797,SEARCH("-",'R.M Billets Reports'!D2797)+1,200)),"")))="SHREE RADHE SHAKTI SPONGE AND POWER PVT. LTD.","SHREE RADHE",IF(IF(ISNUMBER(SEARCH("Party Name:-",'R.M Billets Reports'!D2796)),TRIM('R.M Billets Reports'!F2796),IF(ISNUMBER(SEARCH("Party Name-",'R.M Billets Reports'!D2796)),TRIM(MID('R.M Billets Reports'!D2796,SEARCH("-",'R.M Billets Reports'!D2796)+1,200)),""))&lt;&gt;"",IF(ISNUMBER(SEARCH("Party Name:-",'R.M Billets Reports'!D2796)),TRIM('R.M Billets Reports'!F2796),IF(ISNUMBER(SEARCH("Party Name-",'R.M Billets Reports'!D2796)),TRIM(MID('R.M Billets Reports'!D2796,SEARCH("-",'R.M Billets Reports'!D2796)+1,200)),"")),IF(ISNUMBER(SEARCH("Party Name:-",'R.M Billets Reports'!D2797)),TRIM('R.M Billets Reports'!F2797),IF(ISNUMBER(SEARCH("Party Name-",'R.M Billets Reports'!D2797)),TRIM(MID('R.M Billets Reports'!D2797,SEARCH("-",'R.M Billets Reports'!D2797)+1,200)),"")))))),IF(ROW()=2,"",A2796))</f>
      </c>
      <c r="B2797">
        <f>IF(OR('R.M Billets Reports'!A2796="Date-",'R.M Billets Reports'!A2796="Date:-"),'R.M Billets Reports'!B2796,IF(ROW()=2,"",B2796))</f>
      </c>
      <c r="C2797">
        <f>IF('R.M Billets Reports'!A2796="V.No.",'R.M Billets Reports'!B2796,IF(ROW()=2,"",C2796))</f>
      </c>
      <c r="D2797">
        <f>IF('R.M Billets Reports'!A2796&lt;&gt;"",'R.M Billets Reports'!A2796,IF(ROW()=2,"",D2796))</f>
      </c>
      <c r="E2797">
        <f>IF('R.M Billets Reports'!B2796="","",TRIM('R.M Billets Reports'!B2796))</f>
      </c>
      <c r="F2797">
        <f>'R.M Billets Reports'!C2796</f>
      </c>
      <c r="G2797">
        <f>'R.M Billets Reports'!D2796</f>
      </c>
      <c r="H2797">
        <f>'R.M Billets Reports'!E2796</f>
      </c>
      <c r="I2797">
        <f>'R.M Billets Reports'!F2796</f>
      </c>
      <c r="J2797">
        <f>'R.M Billets Reports'!G2796</f>
      </c>
      <c r="K2797">
        <f>'R.M Billets Reports'!H2796</f>
      </c>
      <c r="L2797">
        <f>IF('R.M Billets Reports'!I2796="","",'R.M Billets Reports'!I2796)</f>
      </c>
      <c r="M2797">
        <f t="shared" si="86"/>
      </c>
      <c r="N2797">
        <f>IF('R.M Billets Reports'!J2796="","",'R.M Billets Reports'!J2796)</f>
      </c>
      <c r="O2797">
        <f t="shared" si="87"/>
      </c>
      <c r="P2797">
        <f>IF('R.M Billets Reports'!A2796="SIZE",'R.M Billets Reports'!B2796,P2796)</f>
      </c>
    </row>
    <row r="2798" spans="1:16" x14ac:dyDescent="0.25">
      <c r="A2798">
        <f>IF(OR('R.M Billets Reports'!A2797="Date-",'R.M Billets Reports'!A2797="Date:-"),IF(IF(IF(ISNUMBER(SEARCH("Party Name:-",'R.M Billets Reports'!D2797)),TRIM('R.M Billets Reports'!F2797),IF(ISNUMBER(SEARCH("Party Name-",'R.M Billets Reports'!D2797)),TRIM(MID('R.M Billets Reports'!D2797,SEARCH("-",'R.M Billets Reports'!D2797)+1,200)),""))&lt;&gt;"",IF(ISNUMBER(SEARCH("Party Name:-",'R.M Billets Reports'!D2797)),TRIM('R.M Billets Reports'!F2797),IF(ISNUMBER(SEARCH("Party Name-",'R.M Billets Reports'!D2797)),TRIM(MID('R.M Billets Reports'!D2797,SEARCH("-",'R.M Billets Reports'!D2797)+1,200)),"")),IF(ISNUMBER(SEARCH("Party Name:-",'R.M Billets Reports'!D2798)),TRIM('R.M Billets Reports'!F2798),IF(ISNUMBER(SEARCH("Party Name-",'R.M Billets Reports'!D2798)),TRIM(MID('R.M Billets Reports'!D2798,SEARCH("-",'R.M Billets Reports'!D2798)+1,200)),"")))="VRKP ISPAT PVT LTD","VRKP",IF(IF(IF(ISNUMBER(SEARCH("Party Name:-",'R.M Billets Reports'!D2797)),TRIM('R.M Billets Reports'!F2797),IF(ISNUMBER(SEARCH("Party Name-",'R.M Billets Reports'!D2797)),TRIM(MID('R.M Billets Reports'!D2797,SEARCH("-",'R.M Billets Reports'!D2797)+1,200)),""))&lt;&gt;"",IF(ISNUMBER(SEARCH("Party Name:-",'R.M Billets Reports'!D2797)),TRIM('R.M Billets Reports'!F2797),IF(ISNUMBER(SEARCH("Party Name-",'R.M Billets Reports'!D2797)),TRIM(MID('R.M Billets Reports'!D2797,SEARCH("-",'R.M Billets Reports'!D2797)+1,200)),"")),IF(ISNUMBER(SEARCH("Party Name:-",'R.M Billets Reports'!D2798)),TRIM('R.M Billets Reports'!F2798),IF(ISNUMBER(SEARCH("Party Name-",'R.M Billets Reports'!D2798)),TRIM(MID('R.M Billets Reports'!D2798,SEARCH("-",'R.M Billets Reports'!D2798)+1,200)),"")))="SHRI RADHE","SHREE RADHE",IF(IF(IF(ISNUMBER(SEARCH("Party Name:-",'R.M Billets Reports'!D2797)),TRIM('R.M Billets Reports'!F2797),IF(ISNUMBER(SEARCH("Party Name-",'R.M Billets Reports'!D2797)),TRIM(MID('R.M Billets Reports'!D2797,SEARCH("-",'R.M Billets Reports'!D2797)+1,200)),""))&lt;&gt;"",IF(ISNUMBER(SEARCH("Party Name:-",'R.M Billets Reports'!D2797)),TRIM('R.M Billets Reports'!F2797),IF(ISNUMBER(SEARCH("Party Name-",'R.M Billets Reports'!D2797)),TRIM(MID('R.M Billets Reports'!D2797,SEARCH("-",'R.M Billets Reports'!D2797)+1,200)),"")),IF(ISNUMBER(SEARCH("Party Name:-",'R.M Billets Reports'!D2798)),TRIM('R.M Billets Reports'!F2798),IF(ISNUMBER(SEARCH("Party Name-",'R.M Billets Reports'!D2798)),TRIM(MID('R.M Billets Reports'!D2798,SEARCH("-",'R.M Billets Reports'!D2798)+1,200)),"")))="SHREE RADHE SHAKTI SPONGE AND POWER PVT. LTD.","SHREE RADHE",IF(IF(ISNUMBER(SEARCH("Party Name:-",'R.M Billets Reports'!D2797)),TRIM('R.M Billets Reports'!F2797),IF(ISNUMBER(SEARCH("Party Name-",'R.M Billets Reports'!D2797)),TRIM(MID('R.M Billets Reports'!D2797,SEARCH("-",'R.M Billets Reports'!D2797)+1,200)),""))&lt;&gt;"",IF(ISNUMBER(SEARCH("Party Name:-",'R.M Billets Reports'!D2797)),TRIM('R.M Billets Reports'!F2797),IF(ISNUMBER(SEARCH("Party Name-",'R.M Billets Reports'!D2797)),TRIM(MID('R.M Billets Reports'!D2797,SEARCH("-",'R.M Billets Reports'!D2797)+1,200)),"")),IF(ISNUMBER(SEARCH("Party Name:-",'R.M Billets Reports'!D2798)),TRIM('R.M Billets Reports'!F2798),IF(ISNUMBER(SEARCH("Party Name-",'R.M Billets Reports'!D2798)),TRIM(MID('R.M Billets Reports'!D2798,SEARCH("-",'R.M Billets Reports'!D2798)+1,200)),"")))))),IF(ROW()=2,"",A2797))</f>
      </c>
      <c r="B2798">
        <f>IF(OR('R.M Billets Reports'!A2797="Date-",'R.M Billets Reports'!A2797="Date:-"),'R.M Billets Reports'!B2797,IF(ROW()=2,"",B2797))</f>
      </c>
      <c r="C2798">
        <f>IF('R.M Billets Reports'!A2797="V.No.",'R.M Billets Reports'!B2797,IF(ROW()=2,"",C2797))</f>
      </c>
      <c r="D2798">
        <f>IF('R.M Billets Reports'!A2797&lt;&gt;"",'R.M Billets Reports'!A2797,IF(ROW()=2,"",D2797))</f>
      </c>
      <c r="E2798">
        <f>IF('R.M Billets Reports'!B2797="","",TRIM('R.M Billets Reports'!B2797))</f>
      </c>
      <c r="F2798">
        <f>'R.M Billets Reports'!C2797</f>
      </c>
      <c r="G2798">
        <f>'R.M Billets Reports'!D2797</f>
      </c>
      <c r="H2798">
        <f>'R.M Billets Reports'!E2797</f>
      </c>
      <c r="I2798">
        <f>'R.M Billets Reports'!F2797</f>
      </c>
      <c r="J2798">
        <f>'R.M Billets Reports'!G2797</f>
      </c>
      <c r="K2798">
        <f>'R.M Billets Reports'!H2797</f>
      </c>
      <c r="L2798">
        <f>IF('R.M Billets Reports'!I2797="","",'R.M Billets Reports'!I2797)</f>
      </c>
      <c r="M2798">
        <f t="shared" si="86"/>
      </c>
      <c r="N2798">
        <f>IF('R.M Billets Reports'!J2797="","",'R.M Billets Reports'!J2797)</f>
      </c>
      <c r="O2798">
        <f t="shared" si="87"/>
      </c>
      <c r="P2798">
        <f>IF('R.M Billets Reports'!A2797="SIZE",'R.M Billets Reports'!B2797,P2797)</f>
      </c>
    </row>
    <row r="2799" spans="1:16" x14ac:dyDescent="0.25">
      <c r="A2799">
        <f>IF(OR('R.M Billets Reports'!A2798="Date-",'R.M Billets Reports'!A2798="Date:-"),IF(IF(IF(ISNUMBER(SEARCH("Party Name:-",'R.M Billets Reports'!D2798)),TRIM('R.M Billets Reports'!F2798),IF(ISNUMBER(SEARCH("Party Name-",'R.M Billets Reports'!D2798)),TRIM(MID('R.M Billets Reports'!D2798,SEARCH("-",'R.M Billets Reports'!D2798)+1,200)),""))&lt;&gt;"",IF(ISNUMBER(SEARCH("Party Name:-",'R.M Billets Reports'!D2798)),TRIM('R.M Billets Reports'!F2798),IF(ISNUMBER(SEARCH("Party Name-",'R.M Billets Reports'!D2798)),TRIM(MID('R.M Billets Reports'!D2798,SEARCH("-",'R.M Billets Reports'!D2798)+1,200)),"")),IF(ISNUMBER(SEARCH("Party Name:-",'R.M Billets Reports'!D2799)),TRIM('R.M Billets Reports'!F2799),IF(ISNUMBER(SEARCH("Party Name-",'R.M Billets Reports'!D2799)),TRIM(MID('R.M Billets Reports'!D2799,SEARCH("-",'R.M Billets Reports'!D2799)+1,200)),"")))="VRKP ISPAT PVT LTD","VRKP",IF(IF(IF(ISNUMBER(SEARCH("Party Name:-",'R.M Billets Reports'!D2798)),TRIM('R.M Billets Reports'!F2798),IF(ISNUMBER(SEARCH("Party Name-",'R.M Billets Reports'!D2798)),TRIM(MID('R.M Billets Reports'!D2798,SEARCH("-",'R.M Billets Reports'!D2798)+1,200)),""))&lt;&gt;"",IF(ISNUMBER(SEARCH("Party Name:-",'R.M Billets Reports'!D2798)),TRIM('R.M Billets Reports'!F2798),IF(ISNUMBER(SEARCH("Party Name-",'R.M Billets Reports'!D2798)),TRIM(MID('R.M Billets Reports'!D2798,SEARCH("-",'R.M Billets Reports'!D2798)+1,200)),"")),IF(ISNUMBER(SEARCH("Party Name:-",'R.M Billets Reports'!D2799)),TRIM('R.M Billets Reports'!F2799),IF(ISNUMBER(SEARCH("Party Name-",'R.M Billets Reports'!D2799)),TRIM(MID('R.M Billets Reports'!D2799,SEARCH("-",'R.M Billets Reports'!D2799)+1,200)),"")))="SHRI RADHE","SHREE RADHE",IF(IF(IF(ISNUMBER(SEARCH("Party Name:-",'R.M Billets Reports'!D2798)),TRIM('R.M Billets Reports'!F2798),IF(ISNUMBER(SEARCH("Party Name-",'R.M Billets Reports'!D2798)),TRIM(MID('R.M Billets Reports'!D2798,SEARCH("-",'R.M Billets Reports'!D2798)+1,200)),""))&lt;&gt;"",IF(ISNUMBER(SEARCH("Party Name:-",'R.M Billets Reports'!D2798)),TRIM('R.M Billets Reports'!F2798),IF(ISNUMBER(SEARCH("Party Name-",'R.M Billets Reports'!D2798)),TRIM(MID('R.M Billets Reports'!D2798,SEARCH("-",'R.M Billets Reports'!D2798)+1,200)),"")),IF(ISNUMBER(SEARCH("Party Name:-",'R.M Billets Reports'!D2799)),TRIM('R.M Billets Reports'!F2799),IF(ISNUMBER(SEARCH("Party Name-",'R.M Billets Reports'!D2799)),TRIM(MID('R.M Billets Reports'!D2799,SEARCH("-",'R.M Billets Reports'!D2799)+1,200)),"")))="SHREE RADHE SHAKTI SPONGE AND POWER PVT. LTD.","SHREE RADHE",IF(IF(ISNUMBER(SEARCH("Party Name:-",'R.M Billets Reports'!D2798)),TRIM('R.M Billets Reports'!F2798),IF(ISNUMBER(SEARCH("Party Name-",'R.M Billets Reports'!D2798)),TRIM(MID('R.M Billets Reports'!D2798,SEARCH("-",'R.M Billets Reports'!D2798)+1,200)),""))&lt;&gt;"",IF(ISNUMBER(SEARCH("Party Name:-",'R.M Billets Reports'!D2798)),TRIM('R.M Billets Reports'!F2798),IF(ISNUMBER(SEARCH("Party Name-",'R.M Billets Reports'!D2798)),TRIM(MID('R.M Billets Reports'!D2798,SEARCH("-",'R.M Billets Reports'!D2798)+1,200)),"")),IF(ISNUMBER(SEARCH("Party Name:-",'R.M Billets Reports'!D2799)),TRIM('R.M Billets Reports'!F2799),IF(ISNUMBER(SEARCH("Party Name-",'R.M Billets Reports'!D2799)),TRIM(MID('R.M Billets Reports'!D2799,SEARCH("-",'R.M Billets Reports'!D2799)+1,200)),"")))))),IF(ROW()=2,"",A2798))</f>
      </c>
      <c r="B2799">
        <f>IF(OR('R.M Billets Reports'!A2798="Date-",'R.M Billets Reports'!A2798="Date:-"),'R.M Billets Reports'!B2798,IF(ROW()=2,"",B2798))</f>
      </c>
      <c r="C2799">
        <f>IF('R.M Billets Reports'!A2798="V.No.",'R.M Billets Reports'!B2798,IF(ROW()=2,"",C2798))</f>
      </c>
      <c r="D2799">
        <f>IF('R.M Billets Reports'!A2798&lt;&gt;"",'R.M Billets Reports'!A2798,IF(ROW()=2,"",D2798))</f>
      </c>
      <c r="E2799">
        <f>IF('R.M Billets Reports'!B2798="","",TRIM('R.M Billets Reports'!B2798))</f>
      </c>
      <c r="F2799">
        <f>'R.M Billets Reports'!C2798</f>
      </c>
      <c r="G2799">
        <f>'R.M Billets Reports'!D2798</f>
      </c>
      <c r="H2799">
        <f>'R.M Billets Reports'!E2798</f>
      </c>
      <c r="I2799">
        <f>'R.M Billets Reports'!F2798</f>
      </c>
      <c r="J2799">
        <f>'R.M Billets Reports'!G2798</f>
      </c>
      <c r="K2799">
        <f>'R.M Billets Reports'!H2798</f>
      </c>
      <c r="L2799">
        <f>IF('R.M Billets Reports'!I2798="","",'R.M Billets Reports'!I2798)</f>
      </c>
      <c r="M2799">
        <f t="shared" si="86"/>
      </c>
      <c r="N2799">
        <f>IF('R.M Billets Reports'!J2798="","",'R.M Billets Reports'!J2798)</f>
      </c>
      <c r="O2799">
        <f t="shared" si="87"/>
      </c>
      <c r="P2799">
        <f>IF('R.M Billets Reports'!A2798="SIZE",'R.M Billets Reports'!B2798,P2798)</f>
      </c>
    </row>
    <row r="2800" spans="1:16" x14ac:dyDescent="0.25">
      <c r="A2800">
        <f>IF(OR('R.M Billets Reports'!A2799="Date-",'R.M Billets Reports'!A2799="Date:-"),IF(IF(IF(ISNUMBER(SEARCH("Party Name:-",'R.M Billets Reports'!D2799)),TRIM('R.M Billets Reports'!F2799),IF(ISNUMBER(SEARCH("Party Name-",'R.M Billets Reports'!D2799)),TRIM(MID('R.M Billets Reports'!D2799,SEARCH("-",'R.M Billets Reports'!D2799)+1,200)),""))&lt;&gt;"",IF(ISNUMBER(SEARCH("Party Name:-",'R.M Billets Reports'!D2799)),TRIM('R.M Billets Reports'!F2799),IF(ISNUMBER(SEARCH("Party Name-",'R.M Billets Reports'!D2799)),TRIM(MID('R.M Billets Reports'!D2799,SEARCH("-",'R.M Billets Reports'!D2799)+1,200)),"")),IF(ISNUMBER(SEARCH("Party Name:-",'R.M Billets Reports'!D2800)),TRIM('R.M Billets Reports'!F2800),IF(ISNUMBER(SEARCH("Party Name-",'R.M Billets Reports'!D2800)),TRIM(MID('R.M Billets Reports'!D2800,SEARCH("-",'R.M Billets Reports'!D2800)+1,200)),"")))="VRKP ISPAT PVT LTD","VRKP",IF(IF(IF(ISNUMBER(SEARCH("Party Name:-",'R.M Billets Reports'!D2799)),TRIM('R.M Billets Reports'!F2799),IF(ISNUMBER(SEARCH("Party Name-",'R.M Billets Reports'!D2799)),TRIM(MID('R.M Billets Reports'!D2799,SEARCH("-",'R.M Billets Reports'!D2799)+1,200)),""))&lt;&gt;"",IF(ISNUMBER(SEARCH("Party Name:-",'R.M Billets Reports'!D2799)),TRIM('R.M Billets Reports'!F2799),IF(ISNUMBER(SEARCH("Party Name-",'R.M Billets Reports'!D2799)),TRIM(MID('R.M Billets Reports'!D2799,SEARCH("-",'R.M Billets Reports'!D2799)+1,200)),"")),IF(ISNUMBER(SEARCH("Party Name:-",'R.M Billets Reports'!D2800)),TRIM('R.M Billets Reports'!F2800),IF(ISNUMBER(SEARCH("Party Name-",'R.M Billets Reports'!D2800)),TRIM(MID('R.M Billets Reports'!D2800,SEARCH("-",'R.M Billets Reports'!D2800)+1,200)),"")))="SHRI RADHE","SHREE RADHE",IF(IF(IF(ISNUMBER(SEARCH("Party Name:-",'R.M Billets Reports'!D2799)),TRIM('R.M Billets Reports'!F2799),IF(ISNUMBER(SEARCH("Party Name-",'R.M Billets Reports'!D2799)),TRIM(MID('R.M Billets Reports'!D2799,SEARCH("-",'R.M Billets Reports'!D2799)+1,200)),""))&lt;&gt;"",IF(ISNUMBER(SEARCH("Party Name:-",'R.M Billets Reports'!D2799)),TRIM('R.M Billets Reports'!F2799),IF(ISNUMBER(SEARCH("Party Name-",'R.M Billets Reports'!D2799)),TRIM(MID('R.M Billets Reports'!D2799,SEARCH("-",'R.M Billets Reports'!D2799)+1,200)),"")),IF(ISNUMBER(SEARCH("Party Name:-",'R.M Billets Reports'!D2800)),TRIM('R.M Billets Reports'!F2800),IF(ISNUMBER(SEARCH("Party Name-",'R.M Billets Reports'!D2800)),TRIM(MID('R.M Billets Reports'!D2800,SEARCH("-",'R.M Billets Reports'!D2800)+1,200)),"")))="SHREE RADHE SHAKTI SPONGE AND POWER PVT. LTD.","SHREE RADHE",IF(IF(ISNUMBER(SEARCH("Party Name:-",'R.M Billets Reports'!D2799)),TRIM('R.M Billets Reports'!F2799),IF(ISNUMBER(SEARCH("Party Name-",'R.M Billets Reports'!D2799)),TRIM(MID('R.M Billets Reports'!D2799,SEARCH("-",'R.M Billets Reports'!D2799)+1,200)),""))&lt;&gt;"",IF(ISNUMBER(SEARCH("Party Name:-",'R.M Billets Reports'!D2799)),TRIM('R.M Billets Reports'!F2799),IF(ISNUMBER(SEARCH("Party Name-",'R.M Billets Reports'!D2799)),TRIM(MID('R.M Billets Reports'!D2799,SEARCH("-",'R.M Billets Reports'!D2799)+1,200)),"")),IF(ISNUMBER(SEARCH("Party Name:-",'R.M Billets Reports'!D2800)),TRIM('R.M Billets Reports'!F2800),IF(ISNUMBER(SEARCH("Party Name-",'R.M Billets Reports'!D2800)),TRIM(MID('R.M Billets Reports'!D2800,SEARCH("-",'R.M Billets Reports'!D2800)+1,200)),"")))))),IF(ROW()=2,"",A2799))</f>
      </c>
      <c r="B2800">
        <f>IF(OR('R.M Billets Reports'!A2799="Date-",'R.M Billets Reports'!A2799="Date:-"),'R.M Billets Reports'!B2799,IF(ROW()=2,"",B2799))</f>
      </c>
      <c r="C2800">
        <f>IF('R.M Billets Reports'!A2799="V.No.",'R.M Billets Reports'!B2799,IF(ROW()=2,"",C2799))</f>
      </c>
      <c r="D2800">
        <f>IF('R.M Billets Reports'!A2799&lt;&gt;"",'R.M Billets Reports'!A2799,IF(ROW()=2,"",D2799))</f>
      </c>
      <c r="E2800">
        <f>IF('R.M Billets Reports'!B2799="","",TRIM('R.M Billets Reports'!B2799))</f>
      </c>
      <c r="F2800">
        <f>'R.M Billets Reports'!C2799</f>
      </c>
      <c r="G2800">
        <f>'R.M Billets Reports'!D2799</f>
      </c>
      <c r="H2800">
        <f>'R.M Billets Reports'!E2799</f>
      </c>
      <c r="I2800">
        <f>'R.M Billets Reports'!F2799</f>
      </c>
      <c r="J2800">
        <f>'R.M Billets Reports'!G2799</f>
      </c>
      <c r="K2800">
        <f>'R.M Billets Reports'!H2799</f>
      </c>
      <c r="L2800">
        <f>IF('R.M Billets Reports'!I2799="","",'R.M Billets Reports'!I2799)</f>
      </c>
      <c r="M2800">
        <f t="shared" si="86"/>
      </c>
      <c r="N2800">
        <f>IF('R.M Billets Reports'!J2799="","",'R.M Billets Reports'!J2799)</f>
      </c>
      <c r="O2800">
        <f t="shared" si="87"/>
      </c>
      <c r="P2800">
        <f>IF('R.M Billets Reports'!A2799="SIZE",'R.M Billets Reports'!B2799,P2799)</f>
      </c>
    </row>
    <row r="2801" spans="1:16" x14ac:dyDescent="0.25">
      <c r="A2801">
        <f>IF(OR('R.M Billets Reports'!A2800="Date-",'R.M Billets Reports'!A2800="Date:-"),IF(IF(IF(ISNUMBER(SEARCH("Party Name:-",'R.M Billets Reports'!D2800)),TRIM('R.M Billets Reports'!F2800),IF(ISNUMBER(SEARCH("Party Name-",'R.M Billets Reports'!D2800)),TRIM(MID('R.M Billets Reports'!D2800,SEARCH("-",'R.M Billets Reports'!D2800)+1,200)),""))&lt;&gt;"",IF(ISNUMBER(SEARCH("Party Name:-",'R.M Billets Reports'!D2800)),TRIM('R.M Billets Reports'!F2800),IF(ISNUMBER(SEARCH("Party Name-",'R.M Billets Reports'!D2800)),TRIM(MID('R.M Billets Reports'!D2800,SEARCH("-",'R.M Billets Reports'!D2800)+1,200)),"")),IF(ISNUMBER(SEARCH("Party Name:-",'R.M Billets Reports'!D2801)),TRIM('R.M Billets Reports'!F2801),IF(ISNUMBER(SEARCH("Party Name-",'R.M Billets Reports'!D2801)),TRIM(MID('R.M Billets Reports'!D2801,SEARCH("-",'R.M Billets Reports'!D2801)+1,200)),"")))="VRKP ISPAT PVT LTD","VRKP",IF(IF(IF(ISNUMBER(SEARCH("Party Name:-",'R.M Billets Reports'!D2800)),TRIM('R.M Billets Reports'!F2800),IF(ISNUMBER(SEARCH("Party Name-",'R.M Billets Reports'!D2800)),TRIM(MID('R.M Billets Reports'!D2800,SEARCH("-",'R.M Billets Reports'!D2800)+1,200)),""))&lt;&gt;"",IF(ISNUMBER(SEARCH("Party Name:-",'R.M Billets Reports'!D2800)),TRIM('R.M Billets Reports'!F2800),IF(ISNUMBER(SEARCH("Party Name-",'R.M Billets Reports'!D2800)),TRIM(MID('R.M Billets Reports'!D2800,SEARCH("-",'R.M Billets Reports'!D2800)+1,200)),"")),IF(ISNUMBER(SEARCH("Party Name:-",'R.M Billets Reports'!D2801)),TRIM('R.M Billets Reports'!F2801),IF(ISNUMBER(SEARCH("Party Name-",'R.M Billets Reports'!D2801)),TRIM(MID('R.M Billets Reports'!D2801,SEARCH("-",'R.M Billets Reports'!D2801)+1,200)),"")))="SHRI RADHE","SHREE RADHE",IF(IF(IF(ISNUMBER(SEARCH("Party Name:-",'R.M Billets Reports'!D2800)),TRIM('R.M Billets Reports'!F2800),IF(ISNUMBER(SEARCH("Party Name-",'R.M Billets Reports'!D2800)),TRIM(MID('R.M Billets Reports'!D2800,SEARCH("-",'R.M Billets Reports'!D2800)+1,200)),""))&lt;&gt;"",IF(ISNUMBER(SEARCH("Party Name:-",'R.M Billets Reports'!D2800)),TRIM('R.M Billets Reports'!F2800),IF(ISNUMBER(SEARCH("Party Name-",'R.M Billets Reports'!D2800)),TRIM(MID('R.M Billets Reports'!D2800,SEARCH("-",'R.M Billets Reports'!D2800)+1,200)),"")),IF(ISNUMBER(SEARCH("Party Name:-",'R.M Billets Reports'!D2801)),TRIM('R.M Billets Reports'!F2801),IF(ISNUMBER(SEARCH("Party Name-",'R.M Billets Reports'!D2801)),TRIM(MID('R.M Billets Reports'!D2801,SEARCH("-",'R.M Billets Reports'!D2801)+1,200)),"")))="SHREE RADHE SHAKTI SPONGE AND POWER PVT. LTD.","SHREE RADHE",IF(IF(ISNUMBER(SEARCH("Party Name:-",'R.M Billets Reports'!D2800)),TRIM('R.M Billets Reports'!F2800),IF(ISNUMBER(SEARCH("Party Name-",'R.M Billets Reports'!D2800)),TRIM(MID('R.M Billets Reports'!D2800,SEARCH("-",'R.M Billets Reports'!D2800)+1,200)),""))&lt;&gt;"",IF(ISNUMBER(SEARCH("Party Name:-",'R.M Billets Reports'!D2800)),TRIM('R.M Billets Reports'!F2800),IF(ISNUMBER(SEARCH("Party Name-",'R.M Billets Reports'!D2800)),TRIM(MID('R.M Billets Reports'!D2800,SEARCH("-",'R.M Billets Reports'!D2800)+1,200)),"")),IF(ISNUMBER(SEARCH("Party Name:-",'R.M Billets Reports'!D2801)),TRIM('R.M Billets Reports'!F2801),IF(ISNUMBER(SEARCH("Party Name-",'R.M Billets Reports'!D2801)),TRIM(MID('R.M Billets Reports'!D2801,SEARCH("-",'R.M Billets Reports'!D2801)+1,200)),"")))))),IF(ROW()=2,"",A2800))</f>
      </c>
      <c r="B2801">
        <f>IF(OR('R.M Billets Reports'!A2800="Date-",'R.M Billets Reports'!A2800="Date:-"),'R.M Billets Reports'!B2800,IF(ROW()=2,"",B2800))</f>
      </c>
      <c r="C2801">
        <f>IF('R.M Billets Reports'!A2800="V.No.",'R.M Billets Reports'!B2800,IF(ROW()=2,"",C2800))</f>
      </c>
      <c r="D2801">
        <f>IF('R.M Billets Reports'!A2800&lt;&gt;"",'R.M Billets Reports'!A2800,IF(ROW()=2,"",D2800))</f>
      </c>
      <c r="E2801">
        <f>IF('R.M Billets Reports'!B2800="","",TRIM('R.M Billets Reports'!B2800))</f>
      </c>
      <c r="F2801">
        <f>'R.M Billets Reports'!C2800</f>
      </c>
      <c r="G2801">
        <f>'R.M Billets Reports'!D2800</f>
      </c>
      <c r="H2801">
        <f>'R.M Billets Reports'!E2800</f>
      </c>
      <c r="I2801">
        <f>'R.M Billets Reports'!F2800</f>
      </c>
      <c r="J2801">
        <f>'R.M Billets Reports'!G2800</f>
      </c>
      <c r="K2801">
        <f>'R.M Billets Reports'!H2800</f>
      </c>
      <c r="L2801">
        <f>IF('R.M Billets Reports'!I2800="","",'R.M Billets Reports'!I2800)</f>
      </c>
      <c r="M2801">
        <f t="shared" si="86"/>
      </c>
      <c r="N2801">
        <f>IF('R.M Billets Reports'!J2800="","",'R.M Billets Reports'!J2800)</f>
      </c>
      <c r="O2801">
        <f t="shared" si="87"/>
      </c>
      <c r="P2801">
        <f>IF('R.M Billets Reports'!A2800="SIZE",'R.M Billets Reports'!B2800,P2800)</f>
      </c>
    </row>
    <row r="2802" spans="1:16" x14ac:dyDescent="0.25">
      <c r="A2802">
        <f>IF(OR('R.M Billets Reports'!A2801="Date-",'R.M Billets Reports'!A2801="Date:-"),IF(IF(IF(ISNUMBER(SEARCH("Party Name:-",'R.M Billets Reports'!D2801)),TRIM('R.M Billets Reports'!F2801),IF(ISNUMBER(SEARCH("Party Name-",'R.M Billets Reports'!D2801)),TRIM(MID('R.M Billets Reports'!D2801,SEARCH("-",'R.M Billets Reports'!D2801)+1,200)),""))&lt;&gt;"",IF(ISNUMBER(SEARCH("Party Name:-",'R.M Billets Reports'!D2801)),TRIM('R.M Billets Reports'!F2801),IF(ISNUMBER(SEARCH("Party Name-",'R.M Billets Reports'!D2801)),TRIM(MID('R.M Billets Reports'!D2801,SEARCH("-",'R.M Billets Reports'!D2801)+1,200)),"")),IF(ISNUMBER(SEARCH("Party Name:-",'R.M Billets Reports'!D2802)),TRIM('R.M Billets Reports'!F2802),IF(ISNUMBER(SEARCH("Party Name-",'R.M Billets Reports'!D2802)),TRIM(MID('R.M Billets Reports'!D2802,SEARCH("-",'R.M Billets Reports'!D2802)+1,200)),"")))="VRKP ISPAT PVT LTD","VRKP",IF(IF(IF(ISNUMBER(SEARCH("Party Name:-",'R.M Billets Reports'!D2801)),TRIM('R.M Billets Reports'!F2801),IF(ISNUMBER(SEARCH("Party Name-",'R.M Billets Reports'!D2801)),TRIM(MID('R.M Billets Reports'!D2801,SEARCH("-",'R.M Billets Reports'!D2801)+1,200)),""))&lt;&gt;"",IF(ISNUMBER(SEARCH("Party Name:-",'R.M Billets Reports'!D2801)),TRIM('R.M Billets Reports'!F2801),IF(ISNUMBER(SEARCH("Party Name-",'R.M Billets Reports'!D2801)),TRIM(MID('R.M Billets Reports'!D2801,SEARCH("-",'R.M Billets Reports'!D2801)+1,200)),"")),IF(ISNUMBER(SEARCH("Party Name:-",'R.M Billets Reports'!D2802)),TRIM('R.M Billets Reports'!F2802),IF(ISNUMBER(SEARCH("Party Name-",'R.M Billets Reports'!D2802)),TRIM(MID('R.M Billets Reports'!D2802,SEARCH("-",'R.M Billets Reports'!D2802)+1,200)),"")))="SHRI RADHE","SHREE RADHE",IF(IF(IF(ISNUMBER(SEARCH("Party Name:-",'R.M Billets Reports'!D2801)),TRIM('R.M Billets Reports'!F2801),IF(ISNUMBER(SEARCH("Party Name-",'R.M Billets Reports'!D2801)),TRIM(MID('R.M Billets Reports'!D2801,SEARCH("-",'R.M Billets Reports'!D2801)+1,200)),""))&lt;&gt;"",IF(ISNUMBER(SEARCH("Party Name:-",'R.M Billets Reports'!D2801)),TRIM('R.M Billets Reports'!F2801),IF(ISNUMBER(SEARCH("Party Name-",'R.M Billets Reports'!D2801)),TRIM(MID('R.M Billets Reports'!D2801,SEARCH("-",'R.M Billets Reports'!D2801)+1,200)),"")),IF(ISNUMBER(SEARCH("Party Name:-",'R.M Billets Reports'!D2802)),TRIM('R.M Billets Reports'!F2802),IF(ISNUMBER(SEARCH("Party Name-",'R.M Billets Reports'!D2802)),TRIM(MID('R.M Billets Reports'!D2802,SEARCH("-",'R.M Billets Reports'!D2802)+1,200)),"")))="SHREE RADHE SHAKTI SPONGE AND POWER PVT. LTD.","SHREE RADHE",IF(IF(ISNUMBER(SEARCH("Party Name:-",'R.M Billets Reports'!D2801)),TRIM('R.M Billets Reports'!F2801),IF(ISNUMBER(SEARCH("Party Name-",'R.M Billets Reports'!D2801)),TRIM(MID('R.M Billets Reports'!D2801,SEARCH("-",'R.M Billets Reports'!D2801)+1,200)),""))&lt;&gt;"",IF(ISNUMBER(SEARCH("Party Name:-",'R.M Billets Reports'!D2801)),TRIM('R.M Billets Reports'!F2801),IF(ISNUMBER(SEARCH("Party Name-",'R.M Billets Reports'!D2801)),TRIM(MID('R.M Billets Reports'!D2801,SEARCH("-",'R.M Billets Reports'!D2801)+1,200)),"")),IF(ISNUMBER(SEARCH("Party Name:-",'R.M Billets Reports'!D2802)),TRIM('R.M Billets Reports'!F2802),IF(ISNUMBER(SEARCH("Party Name-",'R.M Billets Reports'!D2802)),TRIM(MID('R.M Billets Reports'!D2802,SEARCH("-",'R.M Billets Reports'!D2802)+1,200)),"")))))),IF(ROW()=2,"",A2801))</f>
      </c>
      <c r="B2802">
        <f>IF(OR('R.M Billets Reports'!A2801="Date-",'R.M Billets Reports'!A2801="Date:-"),'R.M Billets Reports'!B2801,IF(ROW()=2,"",B2801))</f>
      </c>
      <c r="C2802">
        <f>IF('R.M Billets Reports'!A2801="V.No.",'R.M Billets Reports'!B2801,IF(ROW()=2,"",C2801))</f>
      </c>
      <c r="D2802">
        <f>IF('R.M Billets Reports'!A2801&lt;&gt;"",'R.M Billets Reports'!A2801,IF(ROW()=2,"",D2801))</f>
      </c>
      <c r="E2802">
        <f>IF('R.M Billets Reports'!B2801="","",TRIM('R.M Billets Reports'!B2801))</f>
      </c>
      <c r="F2802">
        <f>'R.M Billets Reports'!C2801</f>
      </c>
      <c r="G2802">
        <f>'R.M Billets Reports'!D2801</f>
      </c>
      <c r="H2802">
        <f>'R.M Billets Reports'!E2801</f>
      </c>
      <c r="I2802">
        <f>'R.M Billets Reports'!F2801</f>
      </c>
      <c r="J2802">
        <f>'R.M Billets Reports'!G2801</f>
      </c>
      <c r="K2802">
        <f>'R.M Billets Reports'!H2801</f>
      </c>
      <c r="L2802">
        <f>IF('R.M Billets Reports'!I2801="","",'R.M Billets Reports'!I2801)</f>
      </c>
      <c r="M2802">
        <f t="shared" si="86"/>
      </c>
      <c r="N2802">
        <f>IF('R.M Billets Reports'!J2801="","",'R.M Billets Reports'!J2801)</f>
      </c>
      <c r="O2802">
        <f t="shared" si="87"/>
      </c>
      <c r="P2802">
        <f>IF('R.M Billets Reports'!A2801="SIZE",'R.M Billets Reports'!B2801,P2801)</f>
      </c>
    </row>
    <row r="2803" spans="1:16" x14ac:dyDescent="0.25">
      <c r="A2803">
        <f>IF(OR('R.M Billets Reports'!A2802="Date-",'R.M Billets Reports'!A2802="Date:-"),IF(IF(IF(ISNUMBER(SEARCH("Party Name:-",'R.M Billets Reports'!D2802)),TRIM('R.M Billets Reports'!F2802),IF(ISNUMBER(SEARCH("Party Name-",'R.M Billets Reports'!D2802)),TRIM(MID('R.M Billets Reports'!D2802,SEARCH("-",'R.M Billets Reports'!D2802)+1,200)),""))&lt;&gt;"",IF(ISNUMBER(SEARCH("Party Name:-",'R.M Billets Reports'!D2802)),TRIM('R.M Billets Reports'!F2802),IF(ISNUMBER(SEARCH("Party Name-",'R.M Billets Reports'!D2802)),TRIM(MID('R.M Billets Reports'!D2802,SEARCH("-",'R.M Billets Reports'!D2802)+1,200)),"")),IF(ISNUMBER(SEARCH("Party Name:-",'R.M Billets Reports'!D2803)),TRIM('R.M Billets Reports'!F2803),IF(ISNUMBER(SEARCH("Party Name-",'R.M Billets Reports'!D2803)),TRIM(MID('R.M Billets Reports'!D2803,SEARCH("-",'R.M Billets Reports'!D2803)+1,200)),"")))="VRKP ISPAT PVT LTD","VRKP",IF(IF(IF(ISNUMBER(SEARCH("Party Name:-",'R.M Billets Reports'!D2802)),TRIM('R.M Billets Reports'!F2802),IF(ISNUMBER(SEARCH("Party Name-",'R.M Billets Reports'!D2802)),TRIM(MID('R.M Billets Reports'!D2802,SEARCH("-",'R.M Billets Reports'!D2802)+1,200)),""))&lt;&gt;"",IF(ISNUMBER(SEARCH("Party Name:-",'R.M Billets Reports'!D2802)),TRIM('R.M Billets Reports'!F2802),IF(ISNUMBER(SEARCH("Party Name-",'R.M Billets Reports'!D2802)),TRIM(MID('R.M Billets Reports'!D2802,SEARCH("-",'R.M Billets Reports'!D2802)+1,200)),"")),IF(ISNUMBER(SEARCH("Party Name:-",'R.M Billets Reports'!D2803)),TRIM('R.M Billets Reports'!F2803),IF(ISNUMBER(SEARCH("Party Name-",'R.M Billets Reports'!D2803)),TRIM(MID('R.M Billets Reports'!D2803,SEARCH("-",'R.M Billets Reports'!D2803)+1,200)),"")))="SHRI RADHE","SHREE RADHE",IF(IF(IF(ISNUMBER(SEARCH("Party Name:-",'R.M Billets Reports'!D2802)),TRIM('R.M Billets Reports'!F2802),IF(ISNUMBER(SEARCH("Party Name-",'R.M Billets Reports'!D2802)),TRIM(MID('R.M Billets Reports'!D2802,SEARCH("-",'R.M Billets Reports'!D2802)+1,200)),""))&lt;&gt;"",IF(ISNUMBER(SEARCH("Party Name:-",'R.M Billets Reports'!D2802)),TRIM('R.M Billets Reports'!F2802),IF(ISNUMBER(SEARCH("Party Name-",'R.M Billets Reports'!D2802)),TRIM(MID('R.M Billets Reports'!D2802,SEARCH("-",'R.M Billets Reports'!D2802)+1,200)),"")),IF(ISNUMBER(SEARCH("Party Name:-",'R.M Billets Reports'!D2803)),TRIM('R.M Billets Reports'!F2803),IF(ISNUMBER(SEARCH("Party Name-",'R.M Billets Reports'!D2803)),TRIM(MID('R.M Billets Reports'!D2803,SEARCH("-",'R.M Billets Reports'!D2803)+1,200)),"")))="SHREE RADHE SHAKTI SPONGE AND POWER PVT. LTD.","SHREE RADHE",IF(IF(ISNUMBER(SEARCH("Party Name:-",'R.M Billets Reports'!D2802)),TRIM('R.M Billets Reports'!F2802),IF(ISNUMBER(SEARCH("Party Name-",'R.M Billets Reports'!D2802)),TRIM(MID('R.M Billets Reports'!D2802,SEARCH("-",'R.M Billets Reports'!D2802)+1,200)),""))&lt;&gt;"",IF(ISNUMBER(SEARCH("Party Name:-",'R.M Billets Reports'!D2802)),TRIM('R.M Billets Reports'!F2802),IF(ISNUMBER(SEARCH("Party Name-",'R.M Billets Reports'!D2802)),TRIM(MID('R.M Billets Reports'!D2802,SEARCH("-",'R.M Billets Reports'!D2802)+1,200)),"")),IF(ISNUMBER(SEARCH("Party Name:-",'R.M Billets Reports'!D2803)),TRIM('R.M Billets Reports'!F2803),IF(ISNUMBER(SEARCH("Party Name-",'R.M Billets Reports'!D2803)),TRIM(MID('R.M Billets Reports'!D2803,SEARCH("-",'R.M Billets Reports'!D2803)+1,200)),"")))))),IF(ROW()=2,"",A2802))</f>
      </c>
      <c r="B2803">
        <f>IF(OR('R.M Billets Reports'!A2802="Date-",'R.M Billets Reports'!A2802="Date:-"),'R.M Billets Reports'!B2802,IF(ROW()=2,"",B2802))</f>
      </c>
      <c r="C2803">
        <f>IF('R.M Billets Reports'!A2802="V.No.",'R.M Billets Reports'!B2802,IF(ROW()=2,"",C2802))</f>
      </c>
      <c r="D2803">
        <f>IF('R.M Billets Reports'!A2802&lt;&gt;"",'R.M Billets Reports'!A2802,IF(ROW()=2,"",D2802))</f>
      </c>
      <c r="E2803">
        <f>IF('R.M Billets Reports'!B2802="","",TRIM('R.M Billets Reports'!B2802))</f>
      </c>
      <c r="F2803">
        <f>'R.M Billets Reports'!C2802</f>
      </c>
      <c r="G2803">
        <f>'R.M Billets Reports'!D2802</f>
      </c>
      <c r="H2803">
        <f>'R.M Billets Reports'!E2802</f>
      </c>
      <c r="I2803">
        <f>'R.M Billets Reports'!F2802</f>
      </c>
      <c r="J2803">
        <f>'R.M Billets Reports'!G2802</f>
      </c>
      <c r="K2803">
        <f>'R.M Billets Reports'!H2802</f>
      </c>
      <c r="L2803">
        <f>IF('R.M Billets Reports'!I2802="","",'R.M Billets Reports'!I2802)</f>
      </c>
      <c r="M2803">
        <f t="shared" si="86"/>
      </c>
      <c r="N2803">
        <f>IF('R.M Billets Reports'!J2802="","",'R.M Billets Reports'!J2802)</f>
      </c>
      <c r="O2803">
        <f t="shared" si="87"/>
      </c>
      <c r="P2803">
        <f>IF('R.M Billets Reports'!A2802="SIZE",'R.M Billets Reports'!B2802,P2802)</f>
      </c>
    </row>
    <row r="2804" spans="1:16" x14ac:dyDescent="0.25">
      <c r="A2804">
        <f>IF(OR('R.M Billets Reports'!A2803="Date-",'R.M Billets Reports'!A2803="Date:-"),IF(IF(IF(ISNUMBER(SEARCH("Party Name:-",'R.M Billets Reports'!D2803)),TRIM('R.M Billets Reports'!F2803),IF(ISNUMBER(SEARCH("Party Name-",'R.M Billets Reports'!D2803)),TRIM(MID('R.M Billets Reports'!D2803,SEARCH("-",'R.M Billets Reports'!D2803)+1,200)),""))&lt;&gt;"",IF(ISNUMBER(SEARCH("Party Name:-",'R.M Billets Reports'!D2803)),TRIM('R.M Billets Reports'!F2803),IF(ISNUMBER(SEARCH("Party Name-",'R.M Billets Reports'!D2803)),TRIM(MID('R.M Billets Reports'!D2803,SEARCH("-",'R.M Billets Reports'!D2803)+1,200)),"")),IF(ISNUMBER(SEARCH("Party Name:-",'R.M Billets Reports'!D2804)),TRIM('R.M Billets Reports'!F2804),IF(ISNUMBER(SEARCH("Party Name-",'R.M Billets Reports'!D2804)),TRIM(MID('R.M Billets Reports'!D2804,SEARCH("-",'R.M Billets Reports'!D2804)+1,200)),"")))="VRKP ISPAT PVT LTD","VRKP",IF(IF(IF(ISNUMBER(SEARCH("Party Name:-",'R.M Billets Reports'!D2803)),TRIM('R.M Billets Reports'!F2803),IF(ISNUMBER(SEARCH("Party Name-",'R.M Billets Reports'!D2803)),TRIM(MID('R.M Billets Reports'!D2803,SEARCH("-",'R.M Billets Reports'!D2803)+1,200)),""))&lt;&gt;"",IF(ISNUMBER(SEARCH("Party Name:-",'R.M Billets Reports'!D2803)),TRIM('R.M Billets Reports'!F2803),IF(ISNUMBER(SEARCH("Party Name-",'R.M Billets Reports'!D2803)),TRIM(MID('R.M Billets Reports'!D2803,SEARCH("-",'R.M Billets Reports'!D2803)+1,200)),"")),IF(ISNUMBER(SEARCH("Party Name:-",'R.M Billets Reports'!D2804)),TRIM('R.M Billets Reports'!F2804),IF(ISNUMBER(SEARCH("Party Name-",'R.M Billets Reports'!D2804)),TRIM(MID('R.M Billets Reports'!D2804,SEARCH("-",'R.M Billets Reports'!D2804)+1,200)),"")))="SHRI RADHE","SHREE RADHE",IF(IF(IF(ISNUMBER(SEARCH("Party Name:-",'R.M Billets Reports'!D2803)),TRIM('R.M Billets Reports'!F2803),IF(ISNUMBER(SEARCH("Party Name-",'R.M Billets Reports'!D2803)),TRIM(MID('R.M Billets Reports'!D2803,SEARCH("-",'R.M Billets Reports'!D2803)+1,200)),""))&lt;&gt;"",IF(ISNUMBER(SEARCH("Party Name:-",'R.M Billets Reports'!D2803)),TRIM('R.M Billets Reports'!F2803),IF(ISNUMBER(SEARCH("Party Name-",'R.M Billets Reports'!D2803)),TRIM(MID('R.M Billets Reports'!D2803,SEARCH("-",'R.M Billets Reports'!D2803)+1,200)),"")),IF(ISNUMBER(SEARCH("Party Name:-",'R.M Billets Reports'!D2804)),TRIM('R.M Billets Reports'!F2804),IF(ISNUMBER(SEARCH("Party Name-",'R.M Billets Reports'!D2804)),TRIM(MID('R.M Billets Reports'!D2804,SEARCH("-",'R.M Billets Reports'!D2804)+1,200)),"")))="SHREE RADHE SHAKTI SPONGE AND POWER PVT. LTD.","SHREE RADHE",IF(IF(ISNUMBER(SEARCH("Party Name:-",'R.M Billets Reports'!D2803)),TRIM('R.M Billets Reports'!F2803),IF(ISNUMBER(SEARCH("Party Name-",'R.M Billets Reports'!D2803)),TRIM(MID('R.M Billets Reports'!D2803,SEARCH("-",'R.M Billets Reports'!D2803)+1,200)),""))&lt;&gt;"",IF(ISNUMBER(SEARCH("Party Name:-",'R.M Billets Reports'!D2803)),TRIM('R.M Billets Reports'!F2803),IF(ISNUMBER(SEARCH("Party Name-",'R.M Billets Reports'!D2803)),TRIM(MID('R.M Billets Reports'!D2803,SEARCH("-",'R.M Billets Reports'!D2803)+1,200)),"")),IF(ISNUMBER(SEARCH("Party Name:-",'R.M Billets Reports'!D2804)),TRIM('R.M Billets Reports'!F2804),IF(ISNUMBER(SEARCH("Party Name-",'R.M Billets Reports'!D2804)),TRIM(MID('R.M Billets Reports'!D2804,SEARCH("-",'R.M Billets Reports'!D2804)+1,200)),"")))))),IF(ROW()=2,"",A2803))</f>
      </c>
      <c r="B2804">
        <f>IF(OR('R.M Billets Reports'!A2803="Date-",'R.M Billets Reports'!A2803="Date:-"),'R.M Billets Reports'!B2803,IF(ROW()=2,"",B2803))</f>
      </c>
      <c r="C2804">
        <f>IF('R.M Billets Reports'!A2803="V.No.",'R.M Billets Reports'!B2803,IF(ROW()=2,"",C2803))</f>
      </c>
      <c r="D2804">
        <f>IF('R.M Billets Reports'!A2803&lt;&gt;"",'R.M Billets Reports'!A2803,IF(ROW()=2,"",D2803))</f>
      </c>
      <c r="E2804">
        <f>IF('R.M Billets Reports'!B2803="","",TRIM('R.M Billets Reports'!B2803))</f>
      </c>
      <c r="F2804">
        <f>'R.M Billets Reports'!C2803</f>
      </c>
      <c r="G2804">
        <f>'R.M Billets Reports'!D2803</f>
      </c>
      <c r="H2804">
        <f>'R.M Billets Reports'!E2803</f>
      </c>
      <c r="I2804">
        <f>'R.M Billets Reports'!F2803</f>
      </c>
      <c r="J2804">
        <f>'R.M Billets Reports'!G2803</f>
      </c>
      <c r="K2804">
        <f>'R.M Billets Reports'!H2803</f>
      </c>
      <c r="L2804">
        <f>IF('R.M Billets Reports'!I2803="","",'R.M Billets Reports'!I2803)</f>
      </c>
      <c r="M2804">
        <f t="shared" si="86"/>
      </c>
      <c r="N2804">
        <f>IF('R.M Billets Reports'!J2803="","",'R.M Billets Reports'!J2803)</f>
      </c>
      <c r="O2804">
        <f t="shared" si="87"/>
      </c>
      <c r="P2804">
        <f>IF('R.M Billets Reports'!A2803="SIZE",'R.M Billets Reports'!B2803,P2803)</f>
      </c>
    </row>
    <row r="2805" spans="1:16" x14ac:dyDescent="0.25">
      <c r="A2805">
        <f>IF(OR('R.M Billets Reports'!A2804="Date-",'R.M Billets Reports'!A2804="Date:-"),IF(IF(IF(ISNUMBER(SEARCH("Party Name:-",'R.M Billets Reports'!D2804)),TRIM('R.M Billets Reports'!F2804),IF(ISNUMBER(SEARCH("Party Name-",'R.M Billets Reports'!D2804)),TRIM(MID('R.M Billets Reports'!D2804,SEARCH("-",'R.M Billets Reports'!D2804)+1,200)),""))&lt;&gt;"",IF(ISNUMBER(SEARCH("Party Name:-",'R.M Billets Reports'!D2804)),TRIM('R.M Billets Reports'!F2804),IF(ISNUMBER(SEARCH("Party Name-",'R.M Billets Reports'!D2804)),TRIM(MID('R.M Billets Reports'!D2804,SEARCH("-",'R.M Billets Reports'!D2804)+1,200)),"")),IF(ISNUMBER(SEARCH("Party Name:-",'R.M Billets Reports'!D2805)),TRIM('R.M Billets Reports'!F2805),IF(ISNUMBER(SEARCH("Party Name-",'R.M Billets Reports'!D2805)),TRIM(MID('R.M Billets Reports'!D2805,SEARCH("-",'R.M Billets Reports'!D2805)+1,200)),"")))="VRKP ISPAT PVT LTD","VRKP",IF(IF(IF(ISNUMBER(SEARCH("Party Name:-",'R.M Billets Reports'!D2804)),TRIM('R.M Billets Reports'!F2804),IF(ISNUMBER(SEARCH("Party Name-",'R.M Billets Reports'!D2804)),TRIM(MID('R.M Billets Reports'!D2804,SEARCH("-",'R.M Billets Reports'!D2804)+1,200)),""))&lt;&gt;"",IF(ISNUMBER(SEARCH("Party Name:-",'R.M Billets Reports'!D2804)),TRIM('R.M Billets Reports'!F2804),IF(ISNUMBER(SEARCH("Party Name-",'R.M Billets Reports'!D2804)),TRIM(MID('R.M Billets Reports'!D2804,SEARCH("-",'R.M Billets Reports'!D2804)+1,200)),"")),IF(ISNUMBER(SEARCH("Party Name:-",'R.M Billets Reports'!D2805)),TRIM('R.M Billets Reports'!F2805),IF(ISNUMBER(SEARCH("Party Name-",'R.M Billets Reports'!D2805)),TRIM(MID('R.M Billets Reports'!D2805,SEARCH("-",'R.M Billets Reports'!D2805)+1,200)),"")))="SHRI RADHE","SHREE RADHE",IF(IF(IF(ISNUMBER(SEARCH("Party Name:-",'R.M Billets Reports'!D2804)),TRIM('R.M Billets Reports'!F2804),IF(ISNUMBER(SEARCH("Party Name-",'R.M Billets Reports'!D2804)),TRIM(MID('R.M Billets Reports'!D2804,SEARCH("-",'R.M Billets Reports'!D2804)+1,200)),""))&lt;&gt;"",IF(ISNUMBER(SEARCH("Party Name:-",'R.M Billets Reports'!D2804)),TRIM('R.M Billets Reports'!F2804),IF(ISNUMBER(SEARCH("Party Name-",'R.M Billets Reports'!D2804)),TRIM(MID('R.M Billets Reports'!D2804,SEARCH("-",'R.M Billets Reports'!D2804)+1,200)),"")),IF(ISNUMBER(SEARCH("Party Name:-",'R.M Billets Reports'!D2805)),TRIM('R.M Billets Reports'!F2805),IF(ISNUMBER(SEARCH("Party Name-",'R.M Billets Reports'!D2805)),TRIM(MID('R.M Billets Reports'!D2805,SEARCH("-",'R.M Billets Reports'!D2805)+1,200)),"")))="SHREE RADHE SHAKTI SPONGE AND POWER PVT. LTD.","SHREE RADHE",IF(IF(ISNUMBER(SEARCH("Party Name:-",'R.M Billets Reports'!D2804)),TRIM('R.M Billets Reports'!F2804),IF(ISNUMBER(SEARCH("Party Name-",'R.M Billets Reports'!D2804)),TRIM(MID('R.M Billets Reports'!D2804,SEARCH("-",'R.M Billets Reports'!D2804)+1,200)),""))&lt;&gt;"",IF(ISNUMBER(SEARCH("Party Name:-",'R.M Billets Reports'!D2804)),TRIM('R.M Billets Reports'!F2804),IF(ISNUMBER(SEARCH("Party Name-",'R.M Billets Reports'!D2804)),TRIM(MID('R.M Billets Reports'!D2804,SEARCH("-",'R.M Billets Reports'!D2804)+1,200)),"")),IF(ISNUMBER(SEARCH("Party Name:-",'R.M Billets Reports'!D2805)),TRIM('R.M Billets Reports'!F2805),IF(ISNUMBER(SEARCH("Party Name-",'R.M Billets Reports'!D2805)),TRIM(MID('R.M Billets Reports'!D2805,SEARCH("-",'R.M Billets Reports'!D2805)+1,200)),"")))))),IF(ROW()=2,"",A2804))</f>
      </c>
      <c r="B2805">
        <f>IF(OR('R.M Billets Reports'!A2804="Date-",'R.M Billets Reports'!A2804="Date:-"),'R.M Billets Reports'!B2804,IF(ROW()=2,"",B2804))</f>
      </c>
      <c r="C2805">
        <f>IF('R.M Billets Reports'!A2804="V.No.",'R.M Billets Reports'!B2804,IF(ROW()=2,"",C2804))</f>
      </c>
      <c r="D2805">
        <f>IF('R.M Billets Reports'!A2804&lt;&gt;"",'R.M Billets Reports'!A2804,IF(ROW()=2,"",D2804))</f>
      </c>
      <c r="E2805">
        <f>IF('R.M Billets Reports'!B2804="","",TRIM('R.M Billets Reports'!B2804))</f>
      </c>
      <c r="F2805">
        <f>'R.M Billets Reports'!C2804</f>
      </c>
      <c r="G2805">
        <f>'R.M Billets Reports'!D2804</f>
      </c>
      <c r="H2805">
        <f>'R.M Billets Reports'!E2804</f>
      </c>
      <c r="I2805">
        <f>'R.M Billets Reports'!F2804</f>
      </c>
      <c r="J2805">
        <f>'R.M Billets Reports'!G2804</f>
      </c>
      <c r="K2805">
        <f>'R.M Billets Reports'!H2804</f>
      </c>
      <c r="L2805">
        <f>IF('R.M Billets Reports'!I2804="","",'R.M Billets Reports'!I2804)</f>
      </c>
      <c r="M2805">
        <f t="shared" si="86"/>
      </c>
      <c r="N2805">
        <f>IF('R.M Billets Reports'!J2804="","",'R.M Billets Reports'!J2804)</f>
      </c>
      <c r="O2805">
        <f t="shared" si="87"/>
      </c>
      <c r="P2805">
        <f>IF('R.M Billets Reports'!A2804="SIZE",'R.M Billets Reports'!B2804,P2804)</f>
      </c>
    </row>
    <row r="2806" spans="1:16" x14ac:dyDescent="0.25">
      <c r="A2806">
        <f>IF(OR('R.M Billets Reports'!A2805="Date-",'R.M Billets Reports'!A2805="Date:-"),IF(IF(IF(ISNUMBER(SEARCH("Party Name:-",'R.M Billets Reports'!D2805)),TRIM('R.M Billets Reports'!F2805),IF(ISNUMBER(SEARCH("Party Name-",'R.M Billets Reports'!D2805)),TRIM(MID('R.M Billets Reports'!D2805,SEARCH("-",'R.M Billets Reports'!D2805)+1,200)),""))&lt;&gt;"",IF(ISNUMBER(SEARCH("Party Name:-",'R.M Billets Reports'!D2805)),TRIM('R.M Billets Reports'!F2805),IF(ISNUMBER(SEARCH("Party Name-",'R.M Billets Reports'!D2805)),TRIM(MID('R.M Billets Reports'!D2805,SEARCH("-",'R.M Billets Reports'!D2805)+1,200)),"")),IF(ISNUMBER(SEARCH("Party Name:-",'R.M Billets Reports'!D2806)),TRIM('R.M Billets Reports'!F2806),IF(ISNUMBER(SEARCH("Party Name-",'R.M Billets Reports'!D2806)),TRIM(MID('R.M Billets Reports'!D2806,SEARCH("-",'R.M Billets Reports'!D2806)+1,200)),"")))="VRKP ISPAT PVT LTD","VRKP",IF(IF(IF(ISNUMBER(SEARCH("Party Name:-",'R.M Billets Reports'!D2805)),TRIM('R.M Billets Reports'!F2805),IF(ISNUMBER(SEARCH("Party Name-",'R.M Billets Reports'!D2805)),TRIM(MID('R.M Billets Reports'!D2805,SEARCH("-",'R.M Billets Reports'!D2805)+1,200)),""))&lt;&gt;"",IF(ISNUMBER(SEARCH("Party Name:-",'R.M Billets Reports'!D2805)),TRIM('R.M Billets Reports'!F2805),IF(ISNUMBER(SEARCH("Party Name-",'R.M Billets Reports'!D2805)),TRIM(MID('R.M Billets Reports'!D2805,SEARCH("-",'R.M Billets Reports'!D2805)+1,200)),"")),IF(ISNUMBER(SEARCH("Party Name:-",'R.M Billets Reports'!D2806)),TRIM('R.M Billets Reports'!F2806),IF(ISNUMBER(SEARCH("Party Name-",'R.M Billets Reports'!D2806)),TRIM(MID('R.M Billets Reports'!D2806,SEARCH("-",'R.M Billets Reports'!D2806)+1,200)),"")))="SHRI RADHE","SHREE RADHE",IF(IF(IF(ISNUMBER(SEARCH("Party Name:-",'R.M Billets Reports'!D2805)),TRIM('R.M Billets Reports'!F2805),IF(ISNUMBER(SEARCH("Party Name-",'R.M Billets Reports'!D2805)),TRIM(MID('R.M Billets Reports'!D2805,SEARCH("-",'R.M Billets Reports'!D2805)+1,200)),""))&lt;&gt;"",IF(ISNUMBER(SEARCH("Party Name:-",'R.M Billets Reports'!D2805)),TRIM('R.M Billets Reports'!F2805),IF(ISNUMBER(SEARCH("Party Name-",'R.M Billets Reports'!D2805)),TRIM(MID('R.M Billets Reports'!D2805,SEARCH("-",'R.M Billets Reports'!D2805)+1,200)),"")),IF(ISNUMBER(SEARCH("Party Name:-",'R.M Billets Reports'!D2806)),TRIM('R.M Billets Reports'!F2806),IF(ISNUMBER(SEARCH("Party Name-",'R.M Billets Reports'!D2806)),TRIM(MID('R.M Billets Reports'!D2806,SEARCH("-",'R.M Billets Reports'!D2806)+1,200)),"")))="SHREE RADHE SHAKTI SPONGE AND POWER PVT. LTD.","SHREE RADHE",IF(IF(ISNUMBER(SEARCH("Party Name:-",'R.M Billets Reports'!D2805)),TRIM('R.M Billets Reports'!F2805),IF(ISNUMBER(SEARCH("Party Name-",'R.M Billets Reports'!D2805)),TRIM(MID('R.M Billets Reports'!D2805,SEARCH("-",'R.M Billets Reports'!D2805)+1,200)),""))&lt;&gt;"",IF(ISNUMBER(SEARCH("Party Name:-",'R.M Billets Reports'!D2805)),TRIM('R.M Billets Reports'!F2805),IF(ISNUMBER(SEARCH("Party Name-",'R.M Billets Reports'!D2805)),TRIM(MID('R.M Billets Reports'!D2805,SEARCH("-",'R.M Billets Reports'!D2805)+1,200)),"")),IF(ISNUMBER(SEARCH("Party Name:-",'R.M Billets Reports'!D2806)),TRIM('R.M Billets Reports'!F2806),IF(ISNUMBER(SEARCH("Party Name-",'R.M Billets Reports'!D2806)),TRIM(MID('R.M Billets Reports'!D2806,SEARCH("-",'R.M Billets Reports'!D2806)+1,200)),"")))))),IF(ROW()=2,"",A2805))</f>
      </c>
      <c r="B2806">
        <f>IF(OR('R.M Billets Reports'!A2805="Date-",'R.M Billets Reports'!A2805="Date:-"),'R.M Billets Reports'!B2805,IF(ROW()=2,"",B2805))</f>
      </c>
      <c r="C2806">
        <f>IF('R.M Billets Reports'!A2805="V.No.",'R.M Billets Reports'!B2805,IF(ROW()=2,"",C2805))</f>
      </c>
      <c r="D2806">
        <f>IF('R.M Billets Reports'!A2805&lt;&gt;"",'R.M Billets Reports'!A2805,IF(ROW()=2,"",D2805))</f>
      </c>
      <c r="E2806">
        <f>IF('R.M Billets Reports'!B2805="","",TRIM('R.M Billets Reports'!B2805))</f>
      </c>
      <c r="F2806">
        <f>'R.M Billets Reports'!C2805</f>
      </c>
      <c r="G2806">
        <f>'R.M Billets Reports'!D2805</f>
      </c>
      <c r="H2806">
        <f>'R.M Billets Reports'!E2805</f>
      </c>
      <c r="I2806">
        <f>'R.M Billets Reports'!F2805</f>
      </c>
      <c r="J2806">
        <f>'R.M Billets Reports'!G2805</f>
      </c>
      <c r="K2806">
        <f>'R.M Billets Reports'!H2805</f>
      </c>
      <c r="L2806">
        <f>IF('R.M Billets Reports'!I2805="","",'R.M Billets Reports'!I2805)</f>
      </c>
      <c r="M2806">
        <f t="shared" si="86"/>
      </c>
      <c r="N2806">
        <f>IF('R.M Billets Reports'!J2805="","",'R.M Billets Reports'!J2805)</f>
      </c>
      <c r="O2806">
        <f t="shared" si="87"/>
      </c>
      <c r="P2806">
        <f>IF('R.M Billets Reports'!A2805="SIZE",'R.M Billets Reports'!B2805,P2805)</f>
      </c>
    </row>
    <row r="2807" spans="1:16" x14ac:dyDescent="0.25">
      <c r="A2807">
        <f>IF(OR('R.M Billets Reports'!A2806="Date-",'R.M Billets Reports'!A2806="Date:-"),IF(IF(IF(ISNUMBER(SEARCH("Party Name:-",'R.M Billets Reports'!D2806)),TRIM('R.M Billets Reports'!F2806),IF(ISNUMBER(SEARCH("Party Name-",'R.M Billets Reports'!D2806)),TRIM(MID('R.M Billets Reports'!D2806,SEARCH("-",'R.M Billets Reports'!D2806)+1,200)),""))&lt;&gt;"",IF(ISNUMBER(SEARCH("Party Name:-",'R.M Billets Reports'!D2806)),TRIM('R.M Billets Reports'!F2806),IF(ISNUMBER(SEARCH("Party Name-",'R.M Billets Reports'!D2806)),TRIM(MID('R.M Billets Reports'!D2806,SEARCH("-",'R.M Billets Reports'!D2806)+1,200)),"")),IF(ISNUMBER(SEARCH("Party Name:-",'R.M Billets Reports'!D2807)),TRIM('R.M Billets Reports'!F2807),IF(ISNUMBER(SEARCH("Party Name-",'R.M Billets Reports'!D2807)),TRIM(MID('R.M Billets Reports'!D2807,SEARCH("-",'R.M Billets Reports'!D2807)+1,200)),"")))="VRKP ISPAT PVT LTD","VRKP",IF(IF(IF(ISNUMBER(SEARCH("Party Name:-",'R.M Billets Reports'!D2806)),TRIM('R.M Billets Reports'!F2806),IF(ISNUMBER(SEARCH("Party Name-",'R.M Billets Reports'!D2806)),TRIM(MID('R.M Billets Reports'!D2806,SEARCH("-",'R.M Billets Reports'!D2806)+1,200)),""))&lt;&gt;"",IF(ISNUMBER(SEARCH("Party Name:-",'R.M Billets Reports'!D2806)),TRIM('R.M Billets Reports'!F2806),IF(ISNUMBER(SEARCH("Party Name-",'R.M Billets Reports'!D2806)),TRIM(MID('R.M Billets Reports'!D2806,SEARCH("-",'R.M Billets Reports'!D2806)+1,200)),"")),IF(ISNUMBER(SEARCH("Party Name:-",'R.M Billets Reports'!D2807)),TRIM('R.M Billets Reports'!F2807),IF(ISNUMBER(SEARCH("Party Name-",'R.M Billets Reports'!D2807)),TRIM(MID('R.M Billets Reports'!D2807,SEARCH("-",'R.M Billets Reports'!D2807)+1,200)),"")))="SHRI RADHE","SHREE RADHE",IF(IF(IF(ISNUMBER(SEARCH("Party Name:-",'R.M Billets Reports'!D2806)),TRIM('R.M Billets Reports'!F2806),IF(ISNUMBER(SEARCH("Party Name-",'R.M Billets Reports'!D2806)),TRIM(MID('R.M Billets Reports'!D2806,SEARCH("-",'R.M Billets Reports'!D2806)+1,200)),""))&lt;&gt;"",IF(ISNUMBER(SEARCH("Party Name:-",'R.M Billets Reports'!D2806)),TRIM('R.M Billets Reports'!F2806),IF(ISNUMBER(SEARCH("Party Name-",'R.M Billets Reports'!D2806)),TRIM(MID('R.M Billets Reports'!D2806,SEARCH("-",'R.M Billets Reports'!D2806)+1,200)),"")),IF(ISNUMBER(SEARCH("Party Name:-",'R.M Billets Reports'!D2807)),TRIM('R.M Billets Reports'!F2807),IF(ISNUMBER(SEARCH("Party Name-",'R.M Billets Reports'!D2807)),TRIM(MID('R.M Billets Reports'!D2807,SEARCH("-",'R.M Billets Reports'!D2807)+1,200)),"")))="SHREE RADHE SHAKTI SPONGE AND POWER PVT. LTD.","SHREE RADHE",IF(IF(ISNUMBER(SEARCH("Party Name:-",'R.M Billets Reports'!D2806)),TRIM('R.M Billets Reports'!F2806),IF(ISNUMBER(SEARCH("Party Name-",'R.M Billets Reports'!D2806)),TRIM(MID('R.M Billets Reports'!D2806,SEARCH("-",'R.M Billets Reports'!D2806)+1,200)),""))&lt;&gt;"",IF(ISNUMBER(SEARCH("Party Name:-",'R.M Billets Reports'!D2806)),TRIM('R.M Billets Reports'!F2806),IF(ISNUMBER(SEARCH("Party Name-",'R.M Billets Reports'!D2806)),TRIM(MID('R.M Billets Reports'!D2806,SEARCH("-",'R.M Billets Reports'!D2806)+1,200)),"")),IF(ISNUMBER(SEARCH("Party Name:-",'R.M Billets Reports'!D2807)),TRIM('R.M Billets Reports'!F2807),IF(ISNUMBER(SEARCH("Party Name-",'R.M Billets Reports'!D2807)),TRIM(MID('R.M Billets Reports'!D2807,SEARCH("-",'R.M Billets Reports'!D2807)+1,200)),"")))))),IF(ROW()=2,"",A2806))</f>
      </c>
      <c r="B2807">
        <f>IF(OR('R.M Billets Reports'!A2806="Date-",'R.M Billets Reports'!A2806="Date:-"),'R.M Billets Reports'!B2806,IF(ROW()=2,"",B2806))</f>
      </c>
      <c r="C2807">
        <f>IF('R.M Billets Reports'!A2806="V.No.",'R.M Billets Reports'!B2806,IF(ROW()=2,"",C2806))</f>
      </c>
      <c r="D2807">
        <f>IF('R.M Billets Reports'!A2806&lt;&gt;"",'R.M Billets Reports'!A2806,IF(ROW()=2,"",D2806))</f>
      </c>
      <c r="E2807">
        <f>IF('R.M Billets Reports'!B2806="","",TRIM('R.M Billets Reports'!B2806))</f>
      </c>
      <c r="F2807">
        <f>'R.M Billets Reports'!C2806</f>
      </c>
      <c r="G2807">
        <f>'R.M Billets Reports'!D2806</f>
      </c>
      <c r="H2807">
        <f>'R.M Billets Reports'!E2806</f>
      </c>
      <c r="I2807">
        <f>'R.M Billets Reports'!F2806</f>
      </c>
      <c r="J2807">
        <f>'R.M Billets Reports'!G2806</f>
      </c>
      <c r="K2807">
        <f>'R.M Billets Reports'!H2806</f>
      </c>
      <c r="L2807">
        <f>IF('R.M Billets Reports'!I2806="","",'R.M Billets Reports'!I2806)</f>
      </c>
      <c r="M2807">
        <f t="shared" si="86"/>
      </c>
      <c r="N2807">
        <f>IF('R.M Billets Reports'!J2806="","",'R.M Billets Reports'!J2806)</f>
      </c>
      <c r="O2807">
        <f t="shared" si="87"/>
      </c>
      <c r="P2807">
        <f>IF('R.M Billets Reports'!A2806="SIZE",'R.M Billets Reports'!B2806,P2806)</f>
      </c>
    </row>
    <row r="2808" spans="1:16" x14ac:dyDescent="0.25">
      <c r="A2808">
        <f>IF(OR('R.M Billets Reports'!A2807="Date-",'R.M Billets Reports'!A2807="Date:-"),IF(IF(IF(ISNUMBER(SEARCH("Party Name:-",'R.M Billets Reports'!D2807)),TRIM('R.M Billets Reports'!F2807),IF(ISNUMBER(SEARCH("Party Name-",'R.M Billets Reports'!D2807)),TRIM(MID('R.M Billets Reports'!D2807,SEARCH("-",'R.M Billets Reports'!D2807)+1,200)),""))&lt;&gt;"",IF(ISNUMBER(SEARCH("Party Name:-",'R.M Billets Reports'!D2807)),TRIM('R.M Billets Reports'!F2807),IF(ISNUMBER(SEARCH("Party Name-",'R.M Billets Reports'!D2807)),TRIM(MID('R.M Billets Reports'!D2807,SEARCH("-",'R.M Billets Reports'!D2807)+1,200)),"")),IF(ISNUMBER(SEARCH("Party Name:-",'R.M Billets Reports'!D2808)),TRIM('R.M Billets Reports'!F2808),IF(ISNUMBER(SEARCH("Party Name-",'R.M Billets Reports'!D2808)),TRIM(MID('R.M Billets Reports'!D2808,SEARCH("-",'R.M Billets Reports'!D2808)+1,200)),"")))="VRKP ISPAT PVT LTD","VRKP",IF(IF(IF(ISNUMBER(SEARCH("Party Name:-",'R.M Billets Reports'!D2807)),TRIM('R.M Billets Reports'!F2807),IF(ISNUMBER(SEARCH("Party Name-",'R.M Billets Reports'!D2807)),TRIM(MID('R.M Billets Reports'!D2807,SEARCH("-",'R.M Billets Reports'!D2807)+1,200)),""))&lt;&gt;"",IF(ISNUMBER(SEARCH("Party Name:-",'R.M Billets Reports'!D2807)),TRIM('R.M Billets Reports'!F2807),IF(ISNUMBER(SEARCH("Party Name-",'R.M Billets Reports'!D2807)),TRIM(MID('R.M Billets Reports'!D2807,SEARCH("-",'R.M Billets Reports'!D2807)+1,200)),"")),IF(ISNUMBER(SEARCH("Party Name:-",'R.M Billets Reports'!D2808)),TRIM('R.M Billets Reports'!F2808),IF(ISNUMBER(SEARCH("Party Name-",'R.M Billets Reports'!D2808)),TRIM(MID('R.M Billets Reports'!D2808,SEARCH("-",'R.M Billets Reports'!D2808)+1,200)),"")))="SHRI RADHE","SHREE RADHE",IF(IF(IF(ISNUMBER(SEARCH("Party Name:-",'R.M Billets Reports'!D2807)),TRIM('R.M Billets Reports'!F2807),IF(ISNUMBER(SEARCH("Party Name-",'R.M Billets Reports'!D2807)),TRIM(MID('R.M Billets Reports'!D2807,SEARCH("-",'R.M Billets Reports'!D2807)+1,200)),""))&lt;&gt;"",IF(ISNUMBER(SEARCH("Party Name:-",'R.M Billets Reports'!D2807)),TRIM('R.M Billets Reports'!F2807),IF(ISNUMBER(SEARCH("Party Name-",'R.M Billets Reports'!D2807)),TRIM(MID('R.M Billets Reports'!D2807,SEARCH("-",'R.M Billets Reports'!D2807)+1,200)),"")),IF(ISNUMBER(SEARCH("Party Name:-",'R.M Billets Reports'!D2808)),TRIM('R.M Billets Reports'!F2808),IF(ISNUMBER(SEARCH("Party Name-",'R.M Billets Reports'!D2808)),TRIM(MID('R.M Billets Reports'!D2808,SEARCH("-",'R.M Billets Reports'!D2808)+1,200)),"")))="SHREE RADHE SHAKTI SPONGE AND POWER PVT. LTD.","SHREE RADHE",IF(IF(ISNUMBER(SEARCH("Party Name:-",'R.M Billets Reports'!D2807)),TRIM('R.M Billets Reports'!F2807),IF(ISNUMBER(SEARCH("Party Name-",'R.M Billets Reports'!D2807)),TRIM(MID('R.M Billets Reports'!D2807,SEARCH("-",'R.M Billets Reports'!D2807)+1,200)),""))&lt;&gt;"",IF(ISNUMBER(SEARCH("Party Name:-",'R.M Billets Reports'!D2807)),TRIM('R.M Billets Reports'!F2807),IF(ISNUMBER(SEARCH("Party Name-",'R.M Billets Reports'!D2807)),TRIM(MID('R.M Billets Reports'!D2807,SEARCH("-",'R.M Billets Reports'!D2807)+1,200)),"")),IF(ISNUMBER(SEARCH("Party Name:-",'R.M Billets Reports'!D2808)),TRIM('R.M Billets Reports'!F2808),IF(ISNUMBER(SEARCH("Party Name-",'R.M Billets Reports'!D2808)),TRIM(MID('R.M Billets Reports'!D2808,SEARCH("-",'R.M Billets Reports'!D2808)+1,200)),"")))))),IF(ROW()=2,"",A2807))</f>
      </c>
      <c r="B2808">
        <f>IF(OR('R.M Billets Reports'!A2807="Date-",'R.M Billets Reports'!A2807="Date:-"),'R.M Billets Reports'!B2807,IF(ROW()=2,"",B2807))</f>
      </c>
      <c r="C2808">
        <f>IF('R.M Billets Reports'!A2807="V.No.",'R.M Billets Reports'!B2807,IF(ROW()=2,"",C2807))</f>
      </c>
      <c r="D2808">
        <f>IF('R.M Billets Reports'!A2807&lt;&gt;"",'R.M Billets Reports'!A2807,IF(ROW()=2,"",D2807))</f>
      </c>
      <c r="E2808">
        <f>IF('R.M Billets Reports'!B2807="","",TRIM('R.M Billets Reports'!B2807))</f>
      </c>
      <c r="F2808">
        <f>'R.M Billets Reports'!C2807</f>
      </c>
      <c r="G2808">
        <f>'R.M Billets Reports'!D2807</f>
      </c>
      <c r="H2808">
        <f>'R.M Billets Reports'!E2807</f>
      </c>
      <c r="I2808">
        <f>'R.M Billets Reports'!F2807</f>
      </c>
      <c r="J2808">
        <f>'R.M Billets Reports'!G2807</f>
      </c>
      <c r="K2808">
        <f>'R.M Billets Reports'!H2807</f>
      </c>
      <c r="L2808">
        <f>IF('R.M Billets Reports'!I2807="","",'R.M Billets Reports'!I2807)</f>
      </c>
      <c r="M2808">
        <f t="shared" si="86"/>
      </c>
      <c r="N2808">
        <f>IF('R.M Billets Reports'!J2807="","",'R.M Billets Reports'!J2807)</f>
      </c>
      <c r="O2808">
        <f t="shared" si="87"/>
      </c>
      <c r="P2808">
        <f>IF('R.M Billets Reports'!A2807="SIZE",'R.M Billets Reports'!B2807,P2807)</f>
      </c>
    </row>
    <row r="2809" spans="1:16" x14ac:dyDescent="0.25">
      <c r="A2809">
        <f>IF(OR('R.M Billets Reports'!A2808="Date-",'R.M Billets Reports'!A2808="Date:-"),IF(IF(IF(ISNUMBER(SEARCH("Party Name:-",'R.M Billets Reports'!D2808)),TRIM('R.M Billets Reports'!F2808),IF(ISNUMBER(SEARCH("Party Name-",'R.M Billets Reports'!D2808)),TRIM(MID('R.M Billets Reports'!D2808,SEARCH("-",'R.M Billets Reports'!D2808)+1,200)),""))&lt;&gt;"",IF(ISNUMBER(SEARCH("Party Name:-",'R.M Billets Reports'!D2808)),TRIM('R.M Billets Reports'!F2808),IF(ISNUMBER(SEARCH("Party Name-",'R.M Billets Reports'!D2808)),TRIM(MID('R.M Billets Reports'!D2808,SEARCH("-",'R.M Billets Reports'!D2808)+1,200)),"")),IF(ISNUMBER(SEARCH("Party Name:-",'R.M Billets Reports'!D2809)),TRIM('R.M Billets Reports'!F2809),IF(ISNUMBER(SEARCH("Party Name-",'R.M Billets Reports'!D2809)),TRIM(MID('R.M Billets Reports'!D2809,SEARCH("-",'R.M Billets Reports'!D2809)+1,200)),"")))="VRKP ISPAT PVT LTD","VRKP",IF(IF(IF(ISNUMBER(SEARCH("Party Name:-",'R.M Billets Reports'!D2808)),TRIM('R.M Billets Reports'!F2808),IF(ISNUMBER(SEARCH("Party Name-",'R.M Billets Reports'!D2808)),TRIM(MID('R.M Billets Reports'!D2808,SEARCH("-",'R.M Billets Reports'!D2808)+1,200)),""))&lt;&gt;"",IF(ISNUMBER(SEARCH("Party Name:-",'R.M Billets Reports'!D2808)),TRIM('R.M Billets Reports'!F2808),IF(ISNUMBER(SEARCH("Party Name-",'R.M Billets Reports'!D2808)),TRIM(MID('R.M Billets Reports'!D2808,SEARCH("-",'R.M Billets Reports'!D2808)+1,200)),"")),IF(ISNUMBER(SEARCH("Party Name:-",'R.M Billets Reports'!D2809)),TRIM('R.M Billets Reports'!F2809),IF(ISNUMBER(SEARCH("Party Name-",'R.M Billets Reports'!D2809)),TRIM(MID('R.M Billets Reports'!D2809,SEARCH("-",'R.M Billets Reports'!D2809)+1,200)),"")))="SHRI RADHE","SHREE RADHE",IF(IF(IF(ISNUMBER(SEARCH("Party Name:-",'R.M Billets Reports'!D2808)),TRIM('R.M Billets Reports'!F2808),IF(ISNUMBER(SEARCH("Party Name-",'R.M Billets Reports'!D2808)),TRIM(MID('R.M Billets Reports'!D2808,SEARCH("-",'R.M Billets Reports'!D2808)+1,200)),""))&lt;&gt;"",IF(ISNUMBER(SEARCH("Party Name:-",'R.M Billets Reports'!D2808)),TRIM('R.M Billets Reports'!F2808),IF(ISNUMBER(SEARCH("Party Name-",'R.M Billets Reports'!D2808)),TRIM(MID('R.M Billets Reports'!D2808,SEARCH("-",'R.M Billets Reports'!D2808)+1,200)),"")),IF(ISNUMBER(SEARCH("Party Name:-",'R.M Billets Reports'!D2809)),TRIM('R.M Billets Reports'!F2809),IF(ISNUMBER(SEARCH("Party Name-",'R.M Billets Reports'!D2809)),TRIM(MID('R.M Billets Reports'!D2809,SEARCH("-",'R.M Billets Reports'!D2809)+1,200)),"")))="SHREE RADHE SHAKTI SPONGE AND POWER PVT. LTD.","SHREE RADHE",IF(IF(ISNUMBER(SEARCH("Party Name:-",'R.M Billets Reports'!D2808)),TRIM('R.M Billets Reports'!F2808),IF(ISNUMBER(SEARCH("Party Name-",'R.M Billets Reports'!D2808)),TRIM(MID('R.M Billets Reports'!D2808,SEARCH("-",'R.M Billets Reports'!D2808)+1,200)),""))&lt;&gt;"",IF(ISNUMBER(SEARCH("Party Name:-",'R.M Billets Reports'!D2808)),TRIM('R.M Billets Reports'!F2808),IF(ISNUMBER(SEARCH("Party Name-",'R.M Billets Reports'!D2808)),TRIM(MID('R.M Billets Reports'!D2808,SEARCH("-",'R.M Billets Reports'!D2808)+1,200)),"")),IF(ISNUMBER(SEARCH("Party Name:-",'R.M Billets Reports'!D2809)),TRIM('R.M Billets Reports'!F2809),IF(ISNUMBER(SEARCH("Party Name-",'R.M Billets Reports'!D2809)),TRIM(MID('R.M Billets Reports'!D2809,SEARCH("-",'R.M Billets Reports'!D2809)+1,200)),"")))))),IF(ROW()=2,"",A2808))</f>
      </c>
      <c r="B2809">
        <f>IF(OR('R.M Billets Reports'!A2808="Date-",'R.M Billets Reports'!A2808="Date:-"),'R.M Billets Reports'!B2808,IF(ROW()=2,"",B2808))</f>
      </c>
      <c r="C2809">
        <f>IF('R.M Billets Reports'!A2808="V.No.",'R.M Billets Reports'!B2808,IF(ROW()=2,"",C2808))</f>
      </c>
      <c r="D2809">
        <f>IF('R.M Billets Reports'!A2808&lt;&gt;"",'R.M Billets Reports'!A2808,IF(ROW()=2,"",D2808))</f>
      </c>
      <c r="E2809">
        <f>IF('R.M Billets Reports'!B2808="","",TRIM('R.M Billets Reports'!B2808))</f>
      </c>
      <c r="F2809">
        <f>'R.M Billets Reports'!C2808</f>
      </c>
      <c r="G2809">
        <f>'R.M Billets Reports'!D2808</f>
      </c>
      <c r="H2809">
        <f>'R.M Billets Reports'!E2808</f>
      </c>
      <c r="I2809">
        <f>'R.M Billets Reports'!F2808</f>
      </c>
      <c r="J2809">
        <f>'R.M Billets Reports'!G2808</f>
      </c>
      <c r="K2809">
        <f>'R.M Billets Reports'!H2808</f>
      </c>
      <c r="L2809">
        <f>IF('R.M Billets Reports'!I2808="","",'R.M Billets Reports'!I2808)</f>
      </c>
      <c r="M2809">
        <f t="shared" si="86"/>
      </c>
      <c r="N2809">
        <f>IF('R.M Billets Reports'!J2808="","",'R.M Billets Reports'!J2808)</f>
      </c>
      <c r="O2809">
        <f t="shared" si="87"/>
      </c>
      <c r="P2809">
        <f>IF('R.M Billets Reports'!A2808="SIZE",'R.M Billets Reports'!B2808,P2808)</f>
      </c>
    </row>
    <row r="2810" spans="1:16" x14ac:dyDescent="0.25">
      <c r="A2810">
        <f>IF(OR('R.M Billets Reports'!A2809="Date-",'R.M Billets Reports'!A2809="Date:-"),IF(IF(IF(ISNUMBER(SEARCH("Party Name:-",'R.M Billets Reports'!D2809)),TRIM('R.M Billets Reports'!F2809),IF(ISNUMBER(SEARCH("Party Name-",'R.M Billets Reports'!D2809)),TRIM(MID('R.M Billets Reports'!D2809,SEARCH("-",'R.M Billets Reports'!D2809)+1,200)),""))&lt;&gt;"",IF(ISNUMBER(SEARCH("Party Name:-",'R.M Billets Reports'!D2809)),TRIM('R.M Billets Reports'!F2809),IF(ISNUMBER(SEARCH("Party Name-",'R.M Billets Reports'!D2809)),TRIM(MID('R.M Billets Reports'!D2809,SEARCH("-",'R.M Billets Reports'!D2809)+1,200)),"")),IF(ISNUMBER(SEARCH("Party Name:-",'R.M Billets Reports'!D2810)),TRIM('R.M Billets Reports'!F2810),IF(ISNUMBER(SEARCH("Party Name-",'R.M Billets Reports'!D2810)),TRIM(MID('R.M Billets Reports'!D2810,SEARCH("-",'R.M Billets Reports'!D2810)+1,200)),"")))="VRKP ISPAT PVT LTD","VRKP",IF(IF(IF(ISNUMBER(SEARCH("Party Name:-",'R.M Billets Reports'!D2809)),TRIM('R.M Billets Reports'!F2809),IF(ISNUMBER(SEARCH("Party Name-",'R.M Billets Reports'!D2809)),TRIM(MID('R.M Billets Reports'!D2809,SEARCH("-",'R.M Billets Reports'!D2809)+1,200)),""))&lt;&gt;"",IF(ISNUMBER(SEARCH("Party Name:-",'R.M Billets Reports'!D2809)),TRIM('R.M Billets Reports'!F2809),IF(ISNUMBER(SEARCH("Party Name-",'R.M Billets Reports'!D2809)),TRIM(MID('R.M Billets Reports'!D2809,SEARCH("-",'R.M Billets Reports'!D2809)+1,200)),"")),IF(ISNUMBER(SEARCH("Party Name:-",'R.M Billets Reports'!D2810)),TRIM('R.M Billets Reports'!F2810),IF(ISNUMBER(SEARCH("Party Name-",'R.M Billets Reports'!D2810)),TRIM(MID('R.M Billets Reports'!D2810,SEARCH("-",'R.M Billets Reports'!D2810)+1,200)),"")))="SHRI RADHE","SHREE RADHE",IF(IF(IF(ISNUMBER(SEARCH("Party Name:-",'R.M Billets Reports'!D2809)),TRIM('R.M Billets Reports'!F2809),IF(ISNUMBER(SEARCH("Party Name-",'R.M Billets Reports'!D2809)),TRIM(MID('R.M Billets Reports'!D2809,SEARCH("-",'R.M Billets Reports'!D2809)+1,200)),""))&lt;&gt;"",IF(ISNUMBER(SEARCH("Party Name:-",'R.M Billets Reports'!D2809)),TRIM('R.M Billets Reports'!F2809),IF(ISNUMBER(SEARCH("Party Name-",'R.M Billets Reports'!D2809)),TRIM(MID('R.M Billets Reports'!D2809,SEARCH("-",'R.M Billets Reports'!D2809)+1,200)),"")),IF(ISNUMBER(SEARCH("Party Name:-",'R.M Billets Reports'!D2810)),TRIM('R.M Billets Reports'!F2810),IF(ISNUMBER(SEARCH("Party Name-",'R.M Billets Reports'!D2810)),TRIM(MID('R.M Billets Reports'!D2810,SEARCH("-",'R.M Billets Reports'!D2810)+1,200)),"")))="SHREE RADHE SHAKTI SPONGE AND POWER PVT. LTD.","SHREE RADHE",IF(IF(ISNUMBER(SEARCH("Party Name:-",'R.M Billets Reports'!D2809)),TRIM('R.M Billets Reports'!F2809),IF(ISNUMBER(SEARCH("Party Name-",'R.M Billets Reports'!D2809)),TRIM(MID('R.M Billets Reports'!D2809,SEARCH("-",'R.M Billets Reports'!D2809)+1,200)),""))&lt;&gt;"",IF(ISNUMBER(SEARCH("Party Name:-",'R.M Billets Reports'!D2809)),TRIM('R.M Billets Reports'!F2809),IF(ISNUMBER(SEARCH("Party Name-",'R.M Billets Reports'!D2809)),TRIM(MID('R.M Billets Reports'!D2809,SEARCH("-",'R.M Billets Reports'!D2809)+1,200)),"")),IF(ISNUMBER(SEARCH("Party Name:-",'R.M Billets Reports'!D2810)),TRIM('R.M Billets Reports'!F2810),IF(ISNUMBER(SEARCH("Party Name-",'R.M Billets Reports'!D2810)),TRIM(MID('R.M Billets Reports'!D2810,SEARCH("-",'R.M Billets Reports'!D2810)+1,200)),"")))))),IF(ROW()=2,"",A2809))</f>
      </c>
      <c r="B2810">
        <f>IF(OR('R.M Billets Reports'!A2809="Date-",'R.M Billets Reports'!A2809="Date:-"),'R.M Billets Reports'!B2809,IF(ROW()=2,"",B2809))</f>
      </c>
      <c r="C2810">
        <f>IF('R.M Billets Reports'!A2809="V.No.",'R.M Billets Reports'!B2809,IF(ROW()=2,"",C2809))</f>
      </c>
      <c r="D2810">
        <f>IF('R.M Billets Reports'!A2809&lt;&gt;"",'R.M Billets Reports'!A2809,IF(ROW()=2,"",D2809))</f>
      </c>
      <c r="E2810">
        <f>IF('R.M Billets Reports'!B2809="","",TRIM('R.M Billets Reports'!B2809))</f>
      </c>
      <c r="F2810">
        <f>'R.M Billets Reports'!C2809</f>
      </c>
      <c r="G2810">
        <f>'R.M Billets Reports'!D2809</f>
      </c>
      <c r="H2810">
        <f>'R.M Billets Reports'!E2809</f>
      </c>
      <c r="I2810">
        <f>'R.M Billets Reports'!F2809</f>
      </c>
      <c r="J2810">
        <f>'R.M Billets Reports'!G2809</f>
      </c>
      <c r="K2810">
        <f>'R.M Billets Reports'!H2809</f>
      </c>
      <c r="L2810">
        <f>IF('R.M Billets Reports'!I2809="","",'R.M Billets Reports'!I2809)</f>
      </c>
      <c r="M2810">
        <f t="shared" si="86"/>
      </c>
      <c r="N2810">
        <f>IF('R.M Billets Reports'!J2809="","",'R.M Billets Reports'!J2809)</f>
      </c>
      <c r="O2810">
        <f t="shared" si="87"/>
      </c>
      <c r="P2810">
        <f>IF('R.M Billets Reports'!A2809="SIZE",'R.M Billets Reports'!B2809,P2809)</f>
      </c>
    </row>
    <row r="2811" spans="1:16" x14ac:dyDescent="0.25">
      <c r="A2811">
        <f>IF(OR('R.M Billets Reports'!A2810="Date-",'R.M Billets Reports'!A2810="Date:-"),IF(IF(IF(ISNUMBER(SEARCH("Party Name:-",'R.M Billets Reports'!D2810)),TRIM('R.M Billets Reports'!F2810),IF(ISNUMBER(SEARCH("Party Name-",'R.M Billets Reports'!D2810)),TRIM(MID('R.M Billets Reports'!D2810,SEARCH("-",'R.M Billets Reports'!D2810)+1,200)),""))&lt;&gt;"",IF(ISNUMBER(SEARCH("Party Name:-",'R.M Billets Reports'!D2810)),TRIM('R.M Billets Reports'!F2810),IF(ISNUMBER(SEARCH("Party Name-",'R.M Billets Reports'!D2810)),TRIM(MID('R.M Billets Reports'!D2810,SEARCH("-",'R.M Billets Reports'!D2810)+1,200)),"")),IF(ISNUMBER(SEARCH("Party Name:-",'R.M Billets Reports'!D2811)),TRIM('R.M Billets Reports'!F2811),IF(ISNUMBER(SEARCH("Party Name-",'R.M Billets Reports'!D2811)),TRIM(MID('R.M Billets Reports'!D2811,SEARCH("-",'R.M Billets Reports'!D2811)+1,200)),"")))="VRKP ISPAT PVT LTD","VRKP",IF(IF(IF(ISNUMBER(SEARCH("Party Name:-",'R.M Billets Reports'!D2810)),TRIM('R.M Billets Reports'!F2810),IF(ISNUMBER(SEARCH("Party Name-",'R.M Billets Reports'!D2810)),TRIM(MID('R.M Billets Reports'!D2810,SEARCH("-",'R.M Billets Reports'!D2810)+1,200)),""))&lt;&gt;"",IF(ISNUMBER(SEARCH("Party Name:-",'R.M Billets Reports'!D2810)),TRIM('R.M Billets Reports'!F2810),IF(ISNUMBER(SEARCH("Party Name-",'R.M Billets Reports'!D2810)),TRIM(MID('R.M Billets Reports'!D2810,SEARCH("-",'R.M Billets Reports'!D2810)+1,200)),"")),IF(ISNUMBER(SEARCH("Party Name:-",'R.M Billets Reports'!D2811)),TRIM('R.M Billets Reports'!F2811),IF(ISNUMBER(SEARCH("Party Name-",'R.M Billets Reports'!D2811)),TRIM(MID('R.M Billets Reports'!D2811,SEARCH("-",'R.M Billets Reports'!D2811)+1,200)),"")))="SHRI RADHE","SHREE RADHE",IF(IF(IF(ISNUMBER(SEARCH("Party Name:-",'R.M Billets Reports'!D2810)),TRIM('R.M Billets Reports'!F2810),IF(ISNUMBER(SEARCH("Party Name-",'R.M Billets Reports'!D2810)),TRIM(MID('R.M Billets Reports'!D2810,SEARCH("-",'R.M Billets Reports'!D2810)+1,200)),""))&lt;&gt;"",IF(ISNUMBER(SEARCH("Party Name:-",'R.M Billets Reports'!D2810)),TRIM('R.M Billets Reports'!F2810),IF(ISNUMBER(SEARCH("Party Name-",'R.M Billets Reports'!D2810)),TRIM(MID('R.M Billets Reports'!D2810,SEARCH("-",'R.M Billets Reports'!D2810)+1,200)),"")),IF(ISNUMBER(SEARCH("Party Name:-",'R.M Billets Reports'!D2811)),TRIM('R.M Billets Reports'!F2811),IF(ISNUMBER(SEARCH("Party Name-",'R.M Billets Reports'!D2811)),TRIM(MID('R.M Billets Reports'!D2811,SEARCH("-",'R.M Billets Reports'!D2811)+1,200)),"")))="SHREE RADHE SHAKTI SPONGE AND POWER PVT. LTD.","SHREE RADHE",IF(IF(ISNUMBER(SEARCH("Party Name:-",'R.M Billets Reports'!D2810)),TRIM('R.M Billets Reports'!F2810),IF(ISNUMBER(SEARCH("Party Name-",'R.M Billets Reports'!D2810)),TRIM(MID('R.M Billets Reports'!D2810,SEARCH("-",'R.M Billets Reports'!D2810)+1,200)),""))&lt;&gt;"",IF(ISNUMBER(SEARCH("Party Name:-",'R.M Billets Reports'!D2810)),TRIM('R.M Billets Reports'!F2810),IF(ISNUMBER(SEARCH("Party Name-",'R.M Billets Reports'!D2810)),TRIM(MID('R.M Billets Reports'!D2810,SEARCH("-",'R.M Billets Reports'!D2810)+1,200)),"")),IF(ISNUMBER(SEARCH("Party Name:-",'R.M Billets Reports'!D2811)),TRIM('R.M Billets Reports'!F2811),IF(ISNUMBER(SEARCH("Party Name-",'R.M Billets Reports'!D2811)),TRIM(MID('R.M Billets Reports'!D2811,SEARCH("-",'R.M Billets Reports'!D2811)+1,200)),"")))))),IF(ROW()=2,"",A2810))</f>
      </c>
      <c r="B2811">
        <f>IF(OR('R.M Billets Reports'!A2810="Date-",'R.M Billets Reports'!A2810="Date:-"),'R.M Billets Reports'!B2810,IF(ROW()=2,"",B2810))</f>
      </c>
      <c r="C2811">
        <f>IF('R.M Billets Reports'!A2810="V.No.",'R.M Billets Reports'!B2810,IF(ROW()=2,"",C2810))</f>
      </c>
      <c r="D2811">
        <f>IF('R.M Billets Reports'!A2810&lt;&gt;"",'R.M Billets Reports'!A2810,IF(ROW()=2,"",D2810))</f>
      </c>
      <c r="E2811">
        <f>IF('R.M Billets Reports'!B2810="","",TRIM('R.M Billets Reports'!B2810))</f>
      </c>
      <c r="F2811">
        <f>'R.M Billets Reports'!C2810</f>
      </c>
      <c r="G2811">
        <f>'R.M Billets Reports'!D2810</f>
      </c>
      <c r="H2811">
        <f>'R.M Billets Reports'!E2810</f>
      </c>
      <c r="I2811">
        <f>'R.M Billets Reports'!F2810</f>
      </c>
      <c r="J2811">
        <f>'R.M Billets Reports'!G2810</f>
      </c>
      <c r="K2811">
        <f>'R.M Billets Reports'!H2810</f>
      </c>
      <c r="L2811">
        <f>IF('R.M Billets Reports'!I2810="","",'R.M Billets Reports'!I2810)</f>
      </c>
      <c r="M2811">
        <f t="shared" si="86"/>
      </c>
      <c r="N2811">
        <f>IF('R.M Billets Reports'!J2810="","",'R.M Billets Reports'!J2810)</f>
      </c>
      <c r="O2811">
        <f t="shared" si="87"/>
      </c>
      <c r="P2811">
        <f>IF('R.M Billets Reports'!A2810="SIZE",'R.M Billets Reports'!B2810,P2810)</f>
      </c>
    </row>
    <row r="2812" spans="1:16" x14ac:dyDescent="0.25">
      <c r="A2812">
        <f>IF(OR('R.M Billets Reports'!A2811="Date-",'R.M Billets Reports'!A2811="Date:-"),IF(IF(IF(ISNUMBER(SEARCH("Party Name:-",'R.M Billets Reports'!D2811)),TRIM('R.M Billets Reports'!F2811),IF(ISNUMBER(SEARCH("Party Name-",'R.M Billets Reports'!D2811)),TRIM(MID('R.M Billets Reports'!D2811,SEARCH("-",'R.M Billets Reports'!D2811)+1,200)),""))&lt;&gt;"",IF(ISNUMBER(SEARCH("Party Name:-",'R.M Billets Reports'!D2811)),TRIM('R.M Billets Reports'!F2811),IF(ISNUMBER(SEARCH("Party Name-",'R.M Billets Reports'!D2811)),TRIM(MID('R.M Billets Reports'!D2811,SEARCH("-",'R.M Billets Reports'!D2811)+1,200)),"")),IF(ISNUMBER(SEARCH("Party Name:-",'R.M Billets Reports'!D2812)),TRIM('R.M Billets Reports'!F2812),IF(ISNUMBER(SEARCH("Party Name-",'R.M Billets Reports'!D2812)),TRIM(MID('R.M Billets Reports'!D2812,SEARCH("-",'R.M Billets Reports'!D2812)+1,200)),"")))="VRKP ISPAT PVT LTD","VRKP",IF(IF(IF(ISNUMBER(SEARCH("Party Name:-",'R.M Billets Reports'!D2811)),TRIM('R.M Billets Reports'!F2811),IF(ISNUMBER(SEARCH("Party Name-",'R.M Billets Reports'!D2811)),TRIM(MID('R.M Billets Reports'!D2811,SEARCH("-",'R.M Billets Reports'!D2811)+1,200)),""))&lt;&gt;"",IF(ISNUMBER(SEARCH("Party Name:-",'R.M Billets Reports'!D2811)),TRIM('R.M Billets Reports'!F2811),IF(ISNUMBER(SEARCH("Party Name-",'R.M Billets Reports'!D2811)),TRIM(MID('R.M Billets Reports'!D2811,SEARCH("-",'R.M Billets Reports'!D2811)+1,200)),"")),IF(ISNUMBER(SEARCH("Party Name:-",'R.M Billets Reports'!D2812)),TRIM('R.M Billets Reports'!F2812),IF(ISNUMBER(SEARCH("Party Name-",'R.M Billets Reports'!D2812)),TRIM(MID('R.M Billets Reports'!D2812,SEARCH("-",'R.M Billets Reports'!D2812)+1,200)),"")))="SHRI RADHE","SHREE RADHE",IF(IF(IF(ISNUMBER(SEARCH("Party Name:-",'R.M Billets Reports'!D2811)),TRIM('R.M Billets Reports'!F2811),IF(ISNUMBER(SEARCH("Party Name-",'R.M Billets Reports'!D2811)),TRIM(MID('R.M Billets Reports'!D2811,SEARCH("-",'R.M Billets Reports'!D2811)+1,200)),""))&lt;&gt;"",IF(ISNUMBER(SEARCH("Party Name:-",'R.M Billets Reports'!D2811)),TRIM('R.M Billets Reports'!F2811),IF(ISNUMBER(SEARCH("Party Name-",'R.M Billets Reports'!D2811)),TRIM(MID('R.M Billets Reports'!D2811,SEARCH("-",'R.M Billets Reports'!D2811)+1,200)),"")),IF(ISNUMBER(SEARCH("Party Name:-",'R.M Billets Reports'!D2812)),TRIM('R.M Billets Reports'!F2812),IF(ISNUMBER(SEARCH("Party Name-",'R.M Billets Reports'!D2812)),TRIM(MID('R.M Billets Reports'!D2812,SEARCH("-",'R.M Billets Reports'!D2812)+1,200)),"")))="SHREE RADHE SHAKTI SPONGE AND POWER PVT. LTD.","SHREE RADHE",IF(IF(ISNUMBER(SEARCH("Party Name:-",'R.M Billets Reports'!D2811)),TRIM('R.M Billets Reports'!F2811),IF(ISNUMBER(SEARCH("Party Name-",'R.M Billets Reports'!D2811)),TRIM(MID('R.M Billets Reports'!D2811,SEARCH("-",'R.M Billets Reports'!D2811)+1,200)),""))&lt;&gt;"",IF(ISNUMBER(SEARCH("Party Name:-",'R.M Billets Reports'!D2811)),TRIM('R.M Billets Reports'!F2811),IF(ISNUMBER(SEARCH("Party Name-",'R.M Billets Reports'!D2811)),TRIM(MID('R.M Billets Reports'!D2811,SEARCH("-",'R.M Billets Reports'!D2811)+1,200)),"")),IF(ISNUMBER(SEARCH("Party Name:-",'R.M Billets Reports'!D2812)),TRIM('R.M Billets Reports'!F2812),IF(ISNUMBER(SEARCH("Party Name-",'R.M Billets Reports'!D2812)),TRIM(MID('R.M Billets Reports'!D2812,SEARCH("-",'R.M Billets Reports'!D2812)+1,200)),"")))))),IF(ROW()=2,"",A2811))</f>
      </c>
      <c r="B2812">
        <f>IF(OR('R.M Billets Reports'!A2811="Date-",'R.M Billets Reports'!A2811="Date:-"),'R.M Billets Reports'!B2811,IF(ROW()=2,"",B2811))</f>
      </c>
      <c r="C2812">
        <f>IF('R.M Billets Reports'!A2811="V.No.",'R.M Billets Reports'!B2811,IF(ROW()=2,"",C2811))</f>
      </c>
      <c r="D2812">
        <f>IF('R.M Billets Reports'!A2811&lt;&gt;"",'R.M Billets Reports'!A2811,IF(ROW()=2,"",D2811))</f>
      </c>
      <c r="E2812">
        <f>IF('R.M Billets Reports'!B2811="","",TRIM('R.M Billets Reports'!B2811))</f>
      </c>
      <c r="F2812">
        <f>'R.M Billets Reports'!C2811</f>
      </c>
      <c r="G2812">
        <f>'R.M Billets Reports'!D2811</f>
      </c>
      <c r="H2812">
        <f>'R.M Billets Reports'!E2811</f>
      </c>
      <c r="I2812">
        <f>'R.M Billets Reports'!F2811</f>
      </c>
      <c r="J2812">
        <f>'R.M Billets Reports'!G2811</f>
      </c>
      <c r="K2812">
        <f>'R.M Billets Reports'!H2811</f>
      </c>
      <c r="L2812">
        <f>IF('R.M Billets Reports'!I2811="","",'R.M Billets Reports'!I2811)</f>
      </c>
      <c r="M2812">
        <f t="shared" si="86"/>
      </c>
      <c r="N2812">
        <f>IF('R.M Billets Reports'!J2811="","",'R.M Billets Reports'!J2811)</f>
      </c>
      <c r="O2812">
        <f t="shared" si="87"/>
      </c>
      <c r="P2812">
        <f>IF('R.M Billets Reports'!A2811="SIZE",'R.M Billets Reports'!B2811,P2811)</f>
      </c>
    </row>
    <row r="2813" spans="1:16" x14ac:dyDescent="0.25">
      <c r="A2813">
        <f>IF(OR('R.M Billets Reports'!A2812="Date-",'R.M Billets Reports'!A2812="Date:-"),IF(IF(IF(ISNUMBER(SEARCH("Party Name:-",'R.M Billets Reports'!D2812)),TRIM('R.M Billets Reports'!F2812),IF(ISNUMBER(SEARCH("Party Name-",'R.M Billets Reports'!D2812)),TRIM(MID('R.M Billets Reports'!D2812,SEARCH("-",'R.M Billets Reports'!D2812)+1,200)),""))&lt;&gt;"",IF(ISNUMBER(SEARCH("Party Name:-",'R.M Billets Reports'!D2812)),TRIM('R.M Billets Reports'!F2812),IF(ISNUMBER(SEARCH("Party Name-",'R.M Billets Reports'!D2812)),TRIM(MID('R.M Billets Reports'!D2812,SEARCH("-",'R.M Billets Reports'!D2812)+1,200)),"")),IF(ISNUMBER(SEARCH("Party Name:-",'R.M Billets Reports'!D2813)),TRIM('R.M Billets Reports'!F2813),IF(ISNUMBER(SEARCH("Party Name-",'R.M Billets Reports'!D2813)),TRIM(MID('R.M Billets Reports'!D2813,SEARCH("-",'R.M Billets Reports'!D2813)+1,200)),"")))="VRKP ISPAT PVT LTD","VRKP",IF(IF(IF(ISNUMBER(SEARCH("Party Name:-",'R.M Billets Reports'!D2812)),TRIM('R.M Billets Reports'!F2812),IF(ISNUMBER(SEARCH("Party Name-",'R.M Billets Reports'!D2812)),TRIM(MID('R.M Billets Reports'!D2812,SEARCH("-",'R.M Billets Reports'!D2812)+1,200)),""))&lt;&gt;"",IF(ISNUMBER(SEARCH("Party Name:-",'R.M Billets Reports'!D2812)),TRIM('R.M Billets Reports'!F2812),IF(ISNUMBER(SEARCH("Party Name-",'R.M Billets Reports'!D2812)),TRIM(MID('R.M Billets Reports'!D2812,SEARCH("-",'R.M Billets Reports'!D2812)+1,200)),"")),IF(ISNUMBER(SEARCH("Party Name:-",'R.M Billets Reports'!D2813)),TRIM('R.M Billets Reports'!F2813),IF(ISNUMBER(SEARCH("Party Name-",'R.M Billets Reports'!D2813)),TRIM(MID('R.M Billets Reports'!D2813,SEARCH("-",'R.M Billets Reports'!D2813)+1,200)),"")))="SHRI RADHE","SHREE RADHE",IF(IF(IF(ISNUMBER(SEARCH("Party Name:-",'R.M Billets Reports'!D2812)),TRIM('R.M Billets Reports'!F2812),IF(ISNUMBER(SEARCH("Party Name-",'R.M Billets Reports'!D2812)),TRIM(MID('R.M Billets Reports'!D2812,SEARCH("-",'R.M Billets Reports'!D2812)+1,200)),""))&lt;&gt;"",IF(ISNUMBER(SEARCH("Party Name:-",'R.M Billets Reports'!D2812)),TRIM('R.M Billets Reports'!F2812),IF(ISNUMBER(SEARCH("Party Name-",'R.M Billets Reports'!D2812)),TRIM(MID('R.M Billets Reports'!D2812,SEARCH("-",'R.M Billets Reports'!D2812)+1,200)),"")),IF(ISNUMBER(SEARCH("Party Name:-",'R.M Billets Reports'!D2813)),TRIM('R.M Billets Reports'!F2813),IF(ISNUMBER(SEARCH("Party Name-",'R.M Billets Reports'!D2813)),TRIM(MID('R.M Billets Reports'!D2813,SEARCH("-",'R.M Billets Reports'!D2813)+1,200)),"")))="SHREE RADHE SHAKTI SPONGE AND POWER PVT. LTD.","SHREE RADHE",IF(IF(ISNUMBER(SEARCH("Party Name:-",'R.M Billets Reports'!D2812)),TRIM('R.M Billets Reports'!F2812),IF(ISNUMBER(SEARCH("Party Name-",'R.M Billets Reports'!D2812)),TRIM(MID('R.M Billets Reports'!D2812,SEARCH("-",'R.M Billets Reports'!D2812)+1,200)),""))&lt;&gt;"",IF(ISNUMBER(SEARCH("Party Name:-",'R.M Billets Reports'!D2812)),TRIM('R.M Billets Reports'!F2812),IF(ISNUMBER(SEARCH("Party Name-",'R.M Billets Reports'!D2812)),TRIM(MID('R.M Billets Reports'!D2812,SEARCH("-",'R.M Billets Reports'!D2812)+1,200)),"")),IF(ISNUMBER(SEARCH("Party Name:-",'R.M Billets Reports'!D2813)),TRIM('R.M Billets Reports'!F2813),IF(ISNUMBER(SEARCH("Party Name-",'R.M Billets Reports'!D2813)),TRIM(MID('R.M Billets Reports'!D2813,SEARCH("-",'R.M Billets Reports'!D2813)+1,200)),"")))))),IF(ROW()=2,"",A2812))</f>
      </c>
      <c r="B2813">
        <f>IF(OR('R.M Billets Reports'!A2812="Date-",'R.M Billets Reports'!A2812="Date:-"),'R.M Billets Reports'!B2812,IF(ROW()=2,"",B2812))</f>
      </c>
      <c r="C2813">
        <f>IF('R.M Billets Reports'!A2812="V.No.",'R.M Billets Reports'!B2812,IF(ROW()=2,"",C2812))</f>
      </c>
      <c r="D2813">
        <f>IF('R.M Billets Reports'!A2812&lt;&gt;"",'R.M Billets Reports'!A2812,IF(ROW()=2,"",D2812))</f>
      </c>
      <c r="E2813">
        <f>IF('R.M Billets Reports'!B2812="","",TRIM('R.M Billets Reports'!B2812))</f>
      </c>
      <c r="F2813">
        <f>'R.M Billets Reports'!C2812</f>
      </c>
      <c r="G2813">
        <f>'R.M Billets Reports'!D2812</f>
      </c>
      <c r="H2813">
        <f>'R.M Billets Reports'!E2812</f>
      </c>
      <c r="I2813">
        <f>'R.M Billets Reports'!F2812</f>
      </c>
      <c r="J2813">
        <f>'R.M Billets Reports'!G2812</f>
      </c>
      <c r="K2813">
        <f>'R.M Billets Reports'!H2812</f>
      </c>
      <c r="L2813">
        <f>IF('R.M Billets Reports'!I2812="","",'R.M Billets Reports'!I2812)</f>
      </c>
      <c r="M2813">
        <f t="shared" si="86"/>
      </c>
      <c r="N2813">
        <f>IF('R.M Billets Reports'!J2812="","",'R.M Billets Reports'!J2812)</f>
      </c>
      <c r="O2813">
        <f t="shared" si="87"/>
      </c>
      <c r="P2813">
        <f>IF('R.M Billets Reports'!A2812="SIZE",'R.M Billets Reports'!B2812,P2812)</f>
      </c>
    </row>
    <row r="2814" spans="1:16" x14ac:dyDescent="0.25">
      <c r="A2814">
        <f>IF(OR('R.M Billets Reports'!A2813="Date-",'R.M Billets Reports'!A2813="Date:-"),IF(IF(IF(ISNUMBER(SEARCH("Party Name:-",'R.M Billets Reports'!D2813)),TRIM('R.M Billets Reports'!F2813),IF(ISNUMBER(SEARCH("Party Name-",'R.M Billets Reports'!D2813)),TRIM(MID('R.M Billets Reports'!D2813,SEARCH("-",'R.M Billets Reports'!D2813)+1,200)),""))&lt;&gt;"",IF(ISNUMBER(SEARCH("Party Name:-",'R.M Billets Reports'!D2813)),TRIM('R.M Billets Reports'!F2813),IF(ISNUMBER(SEARCH("Party Name-",'R.M Billets Reports'!D2813)),TRIM(MID('R.M Billets Reports'!D2813,SEARCH("-",'R.M Billets Reports'!D2813)+1,200)),"")),IF(ISNUMBER(SEARCH("Party Name:-",'R.M Billets Reports'!D2814)),TRIM('R.M Billets Reports'!F2814),IF(ISNUMBER(SEARCH("Party Name-",'R.M Billets Reports'!D2814)),TRIM(MID('R.M Billets Reports'!D2814,SEARCH("-",'R.M Billets Reports'!D2814)+1,200)),"")))="VRKP ISPAT PVT LTD","VRKP",IF(IF(IF(ISNUMBER(SEARCH("Party Name:-",'R.M Billets Reports'!D2813)),TRIM('R.M Billets Reports'!F2813),IF(ISNUMBER(SEARCH("Party Name-",'R.M Billets Reports'!D2813)),TRIM(MID('R.M Billets Reports'!D2813,SEARCH("-",'R.M Billets Reports'!D2813)+1,200)),""))&lt;&gt;"",IF(ISNUMBER(SEARCH("Party Name:-",'R.M Billets Reports'!D2813)),TRIM('R.M Billets Reports'!F2813),IF(ISNUMBER(SEARCH("Party Name-",'R.M Billets Reports'!D2813)),TRIM(MID('R.M Billets Reports'!D2813,SEARCH("-",'R.M Billets Reports'!D2813)+1,200)),"")),IF(ISNUMBER(SEARCH("Party Name:-",'R.M Billets Reports'!D2814)),TRIM('R.M Billets Reports'!F2814),IF(ISNUMBER(SEARCH("Party Name-",'R.M Billets Reports'!D2814)),TRIM(MID('R.M Billets Reports'!D2814,SEARCH("-",'R.M Billets Reports'!D2814)+1,200)),"")))="SHRI RADHE","SHREE RADHE",IF(IF(IF(ISNUMBER(SEARCH("Party Name:-",'R.M Billets Reports'!D2813)),TRIM('R.M Billets Reports'!F2813),IF(ISNUMBER(SEARCH("Party Name-",'R.M Billets Reports'!D2813)),TRIM(MID('R.M Billets Reports'!D2813,SEARCH("-",'R.M Billets Reports'!D2813)+1,200)),""))&lt;&gt;"",IF(ISNUMBER(SEARCH("Party Name:-",'R.M Billets Reports'!D2813)),TRIM('R.M Billets Reports'!F2813),IF(ISNUMBER(SEARCH("Party Name-",'R.M Billets Reports'!D2813)),TRIM(MID('R.M Billets Reports'!D2813,SEARCH("-",'R.M Billets Reports'!D2813)+1,200)),"")),IF(ISNUMBER(SEARCH("Party Name:-",'R.M Billets Reports'!D2814)),TRIM('R.M Billets Reports'!F2814),IF(ISNUMBER(SEARCH("Party Name-",'R.M Billets Reports'!D2814)),TRIM(MID('R.M Billets Reports'!D2814,SEARCH("-",'R.M Billets Reports'!D2814)+1,200)),"")))="SHREE RADHE SHAKTI SPONGE AND POWER PVT. LTD.","SHREE RADHE",IF(IF(ISNUMBER(SEARCH("Party Name:-",'R.M Billets Reports'!D2813)),TRIM('R.M Billets Reports'!F2813),IF(ISNUMBER(SEARCH("Party Name-",'R.M Billets Reports'!D2813)),TRIM(MID('R.M Billets Reports'!D2813,SEARCH("-",'R.M Billets Reports'!D2813)+1,200)),""))&lt;&gt;"",IF(ISNUMBER(SEARCH("Party Name:-",'R.M Billets Reports'!D2813)),TRIM('R.M Billets Reports'!F2813),IF(ISNUMBER(SEARCH("Party Name-",'R.M Billets Reports'!D2813)),TRIM(MID('R.M Billets Reports'!D2813,SEARCH("-",'R.M Billets Reports'!D2813)+1,200)),"")),IF(ISNUMBER(SEARCH("Party Name:-",'R.M Billets Reports'!D2814)),TRIM('R.M Billets Reports'!F2814),IF(ISNUMBER(SEARCH("Party Name-",'R.M Billets Reports'!D2814)),TRIM(MID('R.M Billets Reports'!D2814,SEARCH("-",'R.M Billets Reports'!D2814)+1,200)),"")))))),IF(ROW()=2,"",A2813))</f>
      </c>
      <c r="B2814">
        <f>IF(OR('R.M Billets Reports'!A2813="Date-",'R.M Billets Reports'!A2813="Date:-"),'R.M Billets Reports'!B2813,IF(ROW()=2,"",B2813))</f>
      </c>
      <c r="C2814">
        <f>IF('R.M Billets Reports'!A2813="V.No.",'R.M Billets Reports'!B2813,IF(ROW()=2,"",C2813))</f>
      </c>
      <c r="D2814">
        <f>IF('R.M Billets Reports'!A2813&lt;&gt;"",'R.M Billets Reports'!A2813,IF(ROW()=2,"",D2813))</f>
      </c>
      <c r="E2814">
        <f>IF('R.M Billets Reports'!B2813="","",TRIM('R.M Billets Reports'!B2813))</f>
      </c>
      <c r="F2814">
        <f>'R.M Billets Reports'!C2813</f>
      </c>
      <c r="G2814">
        <f>'R.M Billets Reports'!D2813</f>
      </c>
      <c r="H2814">
        <f>'R.M Billets Reports'!E2813</f>
      </c>
      <c r="I2814">
        <f>'R.M Billets Reports'!F2813</f>
      </c>
      <c r="J2814">
        <f>'R.M Billets Reports'!G2813</f>
      </c>
      <c r="K2814">
        <f>'R.M Billets Reports'!H2813</f>
      </c>
      <c r="L2814">
        <f>IF('R.M Billets Reports'!I2813="","",'R.M Billets Reports'!I2813)</f>
      </c>
      <c r="M2814">
        <f t="shared" si="86"/>
      </c>
      <c r="N2814">
        <f>IF('R.M Billets Reports'!J2813="","",'R.M Billets Reports'!J2813)</f>
      </c>
      <c r="O2814">
        <f t="shared" si="87"/>
      </c>
      <c r="P2814">
        <f>IF('R.M Billets Reports'!A2813="SIZE",'R.M Billets Reports'!B2813,P2813)</f>
      </c>
    </row>
    <row r="2815" spans="1:16" x14ac:dyDescent="0.25">
      <c r="A2815">
        <f>IF(OR('R.M Billets Reports'!A2814="Date-",'R.M Billets Reports'!A2814="Date:-"),IF(IF(IF(ISNUMBER(SEARCH("Party Name:-",'R.M Billets Reports'!D2814)),TRIM('R.M Billets Reports'!F2814),IF(ISNUMBER(SEARCH("Party Name-",'R.M Billets Reports'!D2814)),TRIM(MID('R.M Billets Reports'!D2814,SEARCH("-",'R.M Billets Reports'!D2814)+1,200)),""))&lt;&gt;"",IF(ISNUMBER(SEARCH("Party Name:-",'R.M Billets Reports'!D2814)),TRIM('R.M Billets Reports'!F2814),IF(ISNUMBER(SEARCH("Party Name-",'R.M Billets Reports'!D2814)),TRIM(MID('R.M Billets Reports'!D2814,SEARCH("-",'R.M Billets Reports'!D2814)+1,200)),"")),IF(ISNUMBER(SEARCH("Party Name:-",'R.M Billets Reports'!D2815)),TRIM('R.M Billets Reports'!F2815),IF(ISNUMBER(SEARCH("Party Name-",'R.M Billets Reports'!D2815)),TRIM(MID('R.M Billets Reports'!D2815,SEARCH("-",'R.M Billets Reports'!D2815)+1,200)),"")))="VRKP ISPAT PVT LTD","VRKP",IF(IF(IF(ISNUMBER(SEARCH("Party Name:-",'R.M Billets Reports'!D2814)),TRIM('R.M Billets Reports'!F2814),IF(ISNUMBER(SEARCH("Party Name-",'R.M Billets Reports'!D2814)),TRIM(MID('R.M Billets Reports'!D2814,SEARCH("-",'R.M Billets Reports'!D2814)+1,200)),""))&lt;&gt;"",IF(ISNUMBER(SEARCH("Party Name:-",'R.M Billets Reports'!D2814)),TRIM('R.M Billets Reports'!F2814),IF(ISNUMBER(SEARCH("Party Name-",'R.M Billets Reports'!D2814)),TRIM(MID('R.M Billets Reports'!D2814,SEARCH("-",'R.M Billets Reports'!D2814)+1,200)),"")),IF(ISNUMBER(SEARCH("Party Name:-",'R.M Billets Reports'!D2815)),TRIM('R.M Billets Reports'!F2815),IF(ISNUMBER(SEARCH("Party Name-",'R.M Billets Reports'!D2815)),TRIM(MID('R.M Billets Reports'!D2815,SEARCH("-",'R.M Billets Reports'!D2815)+1,200)),"")))="SHRI RADHE","SHREE RADHE",IF(IF(IF(ISNUMBER(SEARCH("Party Name:-",'R.M Billets Reports'!D2814)),TRIM('R.M Billets Reports'!F2814),IF(ISNUMBER(SEARCH("Party Name-",'R.M Billets Reports'!D2814)),TRIM(MID('R.M Billets Reports'!D2814,SEARCH("-",'R.M Billets Reports'!D2814)+1,200)),""))&lt;&gt;"",IF(ISNUMBER(SEARCH("Party Name:-",'R.M Billets Reports'!D2814)),TRIM('R.M Billets Reports'!F2814),IF(ISNUMBER(SEARCH("Party Name-",'R.M Billets Reports'!D2814)),TRIM(MID('R.M Billets Reports'!D2814,SEARCH("-",'R.M Billets Reports'!D2814)+1,200)),"")),IF(ISNUMBER(SEARCH("Party Name:-",'R.M Billets Reports'!D2815)),TRIM('R.M Billets Reports'!F2815),IF(ISNUMBER(SEARCH("Party Name-",'R.M Billets Reports'!D2815)),TRIM(MID('R.M Billets Reports'!D2815,SEARCH("-",'R.M Billets Reports'!D2815)+1,200)),"")))="SHREE RADHE SHAKTI SPONGE AND POWER PVT. LTD.","SHREE RADHE",IF(IF(ISNUMBER(SEARCH("Party Name:-",'R.M Billets Reports'!D2814)),TRIM('R.M Billets Reports'!F2814),IF(ISNUMBER(SEARCH("Party Name-",'R.M Billets Reports'!D2814)),TRIM(MID('R.M Billets Reports'!D2814,SEARCH("-",'R.M Billets Reports'!D2814)+1,200)),""))&lt;&gt;"",IF(ISNUMBER(SEARCH("Party Name:-",'R.M Billets Reports'!D2814)),TRIM('R.M Billets Reports'!F2814),IF(ISNUMBER(SEARCH("Party Name-",'R.M Billets Reports'!D2814)),TRIM(MID('R.M Billets Reports'!D2814,SEARCH("-",'R.M Billets Reports'!D2814)+1,200)),"")),IF(ISNUMBER(SEARCH("Party Name:-",'R.M Billets Reports'!D2815)),TRIM('R.M Billets Reports'!F2815),IF(ISNUMBER(SEARCH("Party Name-",'R.M Billets Reports'!D2815)),TRIM(MID('R.M Billets Reports'!D2815,SEARCH("-",'R.M Billets Reports'!D2815)+1,200)),"")))))),IF(ROW()=2,"",A2814))</f>
      </c>
      <c r="B2815">
        <f>IF(OR('R.M Billets Reports'!A2814="Date-",'R.M Billets Reports'!A2814="Date:-"),'R.M Billets Reports'!B2814,IF(ROW()=2,"",B2814))</f>
      </c>
      <c r="C2815">
        <f>IF('R.M Billets Reports'!A2814="V.No.",'R.M Billets Reports'!B2814,IF(ROW()=2,"",C2814))</f>
      </c>
      <c r="D2815">
        <f>IF('R.M Billets Reports'!A2814&lt;&gt;"",'R.M Billets Reports'!A2814,IF(ROW()=2,"",D2814))</f>
      </c>
      <c r="E2815">
        <f>IF('R.M Billets Reports'!B2814="","",TRIM('R.M Billets Reports'!B2814))</f>
      </c>
      <c r="F2815">
        <f>'R.M Billets Reports'!C2814</f>
      </c>
      <c r="G2815">
        <f>'R.M Billets Reports'!D2814</f>
      </c>
      <c r="H2815">
        <f>'R.M Billets Reports'!E2814</f>
      </c>
      <c r="I2815">
        <f>'R.M Billets Reports'!F2814</f>
      </c>
      <c r="J2815">
        <f>'R.M Billets Reports'!G2814</f>
      </c>
      <c r="K2815">
        <f>'R.M Billets Reports'!H2814</f>
      </c>
      <c r="L2815">
        <f>IF('R.M Billets Reports'!I2814="","",'R.M Billets Reports'!I2814)</f>
      </c>
      <c r="M2815">
        <f t="shared" si="86"/>
      </c>
      <c r="N2815">
        <f>IF('R.M Billets Reports'!J2814="","",'R.M Billets Reports'!J2814)</f>
      </c>
      <c r="O2815">
        <f t="shared" si="87"/>
      </c>
      <c r="P2815">
        <f>IF('R.M Billets Reports'!A2814="SIZE",'R.M Billets Reports'!B2814,P2814)</f>
      </c>
    </row>
    <row r="2816" spans="1:16" x14ac:dyDescent="0.25">
      <c r="A2816">
        <f>IF(OR('R.M Billets Reports'!A2815="Date-",'R.M Billets Reports'!A2815="Date:-"),IF(IF(IF(ISNUMBER(SEARCH("Party Name:-",'R.M Billets Reports'!D2815)),TRIM('R.M Billets Reports'!F2815),IF(ISNUMBER(SEARCH("Party Name-",'R.M Billets Reports'!D2815)),TRIM(MID('R.M Billets Reports'!D2815,SEARCH("-",'R.M Billets Reports'!D2815)+1,200)),""))&lt;&gt;"",IF(ISNUMBER(SEARCH("Party Name:-",'R.M Billets Reports'!D2815)),TRIM('R.M Billets Reports'!F2815),IF(ISNUMBER(SEARCH("Party Name-",'R.M Billets Reports'!D2815)),TRIM(MID('R.M Billets Reports'!D2815,SEARCH("-",'R.M Billets Reports'!D2815)+1,200)),"")),IF(ISNUMBER(SEARCH("Party Name:-",'R.M Billets Reports'!D2816)),TRIM('R.M Billets Reports'!F2816),IF(ISNUMBER(SEARCH("Party Name-",'R.M Billets Reports'!D2816)),TRIM(MID('R.M Billets Reports'!D2816,SEARCH("-",'R.M Billets Reports'!D2816)+1,200)),"")))="VRKP ISPAT PVT LTD","VRKP",IF(IF(IF(ISNUMBER(SEARCH("Party Name:-",'R.M Billets Reports'!D2815)),TRIM('R.M Billets Reports'!F2815),IF(ISNUMBER(SEARCH("Party Name-",'R.M Billets Reports'!D2815)),TRIM(MID('R.M Billets Reports'!D2815,SEARCH("-",'R.M Billets Reports'!D2815)+1,200)),""))&lt;&gt;"",IF(ISNUMBER(SEARCH("Party Name:-",'R.M Billets Reports'!D2815)),TRIM('R.M Billets Reports'!F2815),IF(ISNUMBER(SEARCH("Party Name-",'R.M Billets Reports'!D2815)),TRIM(MID('R.M Billets Reports'!D2815,SEARCH("-",'R.M Billets Reports'!D2815)+1,200)),"")),IF(ISNUMBER(SEARCH("Party Name:-",'R.M Billets Reports'!D2816)),TRIM('R.M Billets Reports'!F2816),IF(ISNUMBER(SEARCH("Party Name-",'R.M Billets Reports'!D2816)),TRIM(MID('R.M Billets Reports'!D2816,SEARCH("-",'R.M Billets Reports'!D2816)+1,200)),"")))="SHRI RADHE","SHREE RADHE",IF(IF(IF(ISNUMBER(SEARCH("Party Name:-",'R.M Billets Reports'!D2815)),TRIM('R.M Billets Reports'!F2815),IF(ISNUMBER(SEARCH("Party Name-",'R.M Billets Reports'!D2815)),TRIM(MID('R.M Billets Reports'!D2815,SEARCH("-",'R.M Billets Reports'!D2815)+1,200)),""))&lt;&gt;"",IF(ISNUMBER(SEARCH("Party Name:-",'R.M Billets Reports'!D2815)),TRIM('R.M Billets Reports'!F2815),IF(ISNUMBER(SEARCH("Party Name-",'R.M Billets Reports'!D2815)),TRIM(MID('R.M Billets Reports'!D2815,SEARCH("-",'R.M Billets Reports'!D2815)+1,200)),"")),IF(ISNUMBER(SEARCH("Party Name:-",'R.M Billets Reports'!D2816)),TRIM('R.M Billets Reports'!F2816),IF(ISNUMBER(SEARCH("Party Name-",'R.M Billets Reports'!D2816)),TRIM(MID('R.M Billets Reports'!D2816,SEARCH("-",'R.M Billets Reports'!D2816)+1,200)),"")))="SHREE RADHE SHAKTI SPONGE AND POWER PVT. LTD.","SHREE RADHE",IF(IF(ISNUMBER(SEARCH("Party Name:-",'R.M Billets Reports'!D2815)),TRIM('R.M Billets Reports'!F2815),IF(ISNUMBER(SEARCH("Party Name-",'R.M Billets Reports'!D2815)),TRIM(MID('R.M Billets Reports'!D2815,SEARCH("-",'R.M Billets Reports'!D2815)+1,200)),""))&lt;&gt;"",IF(ISNUMBER(SEARCH("Party Name:-",'R.M Billets Reports'!D2815)),TRIM('R.M Billets Reports'!F2815),IF(ISNUMBER(SEARCH("Party Name-",'R.M Billets Reports'!D2815)),TRIM(MID('R.M Billets Reports'!D2815,SEARCH("-",'R.M Billets Reports'!D2815)+1,200)),"")),IF(ISNUMBER(SEARCH("Party Name:-",'R.M Billets Reports'!D2816)),TRIM('R.M Billets Reports'!F2816),IF(ISNUMBER(SEARCH("Party Name-",'R.M Billets Reports'!D2816)),TRIM(MID('R.M Billets Reports'!D2816,SEARCH("-",'R.M Billets Reports'!D2816)+1,200)),"")))))),IF(ROW()=2,"",A2815))</f>
      </c>
      <c r="B2816">
        <f>IF(OR('R.M Billets Reports'!A2815="Date-",'R.M Billets Reports'!A2815="Date:-"),'R.M Billets Reports'!B2815,IF(ROW()=2,"",B2815))</f>
      </c>
      <c r="C2816">
        <f>IF('R.M Billets Reports'!A2815="V.No.",'R.M Billets Reports'!B2815,IF(ROW()=2,"",C2815))</f>
      </c>
      <c r="D2816">
        <f>IF('R.M Billets Reports'!A2815&lt;&gt;"",'R.M Billets Reports'!A2815,IF(ROW()=2,"",D2815))</f>
      </c>
      <c r="E2816">
        <f>IF('R.M Billets Reports'!B2815="","",TRIM('R.M Billets Reports'!B2815))</f>
      </c>
      <c r="F2816">
        <f>'R.M Billets Reports'!C2815</f>
      </c>
      <c r="G2816">
        <f>'R.M Billets Reports'!D2815</f>
      </c>
      <c r="H2816">
        <f>'R.M Billets Reports'!E2815</f>
      </c>
      <c r="I2816">
        <f>'R.M Billets Reports'!F2815</f>
      </c>
      <c r="J2816">
        <f>'R.M Billets Reports'!G2815</f>
      </c>
      <c r="K2816">
        <f>'R.M Billets Reports'!H2815</f>
      </c>
      <c r="L2816">
        <f>IF('R.M Billets Reports'!I2815="","",'R.M Billets Reports'!I2815)</f>
      </c>
      <c r="M2816">
        <f t="shared" si="86"/>
      </c>
      <c r="N2816">
        <f>IF('R.M Billets Reports'!J2815="","",'R.M Billets Reports'!J2815)</f>
      </c>
      <c r="O2816">
        <f t="shared" si="87"/>
      </c>
      <c r="P2816">
        <f>IF('R.M Billets Reports'!A2815="SIZE",'R.M Billets Reports'!B2815,P2815)</f>
      </c>
    </row>
    <row r="2817" spans="1:16" x14ac:dyDescent="0.25">
      <c r="A2817">
        <f>IF(OR('R.M Billets Reports'!A2816="Date-",'R.M Billets Reports'!A2816="Date:-"),IF(IF(IF(ISNUMBER(SEARCH("Party Name:-",'R.M Billets Reports'!D2816)),TRIM('R.M Billets Reports'!F2816),IF(ISNUMBER(SEARCH("Party Name-",'R.M Billets Reports'!D2816)),TRIM(MID('R.M Billets Reports'!D2816,SEARCH("-",'R.M Billets Reports'!D2816)+1,200)),""))&lt;&gt;"",IF(ISNUMBER(SEARCH("Party Name:-",'R.M Billets Reports'!D2816)),TRIM('R.M Billets Reports'!F2816),IF(ISNUMBER(SEARCH("Party Name-",'R.M Billets Reports'!D2816)),TRIM(MID('R.M Billets Reports'!D2816,SEARCH("-",'R.M Billets Reports'!D2816)+1,200)),"")),IF(ISNUMBER(SEARCH("Party Name:-",'R.M Billets Reports'!D2817)),TRIM('R.M Billets Reports'!F2817),IF(ISNUMBER(SEARCH("Party Name-",'R.M Billets Reports'!D2817)),TRIM(MID('R.M Billets Reports'!D2817,SEARCH("-",'R.M Billets Reports'!D2817)+1,200)),"")))="VRKP ISPAT PVT LTD","VRKP",IF(IF(IF(ISNUMBER(SEARCH("Party Name:-",'R.M Billets Reports'!D2816)),TRIM('R.M Billets Reports'!F2816),IF(ISNUMBER(SEARCH("Party Name-",'R.M Billets Reports'!D2816)),TRIM(MID('R.M Billets Reports'!D2816,SEARCH("-",'R.M Billets Reports'!D2816)+1,200)),""))&lt;&gt;"",IF(ISNUMBER(SEARCH("Party Name:-",'R.M Billets Reports'!D2816)),TRIM('R.M Billets Reports'!F2816),IF(ISNUMBER(SEARCH("Party Name-",'R.M Billets Reports'!D2816)),TRIM(MID('R.M Billets Reports'!D2816,SEARCH("-",'R.M Billets Reports'!D2816)+1,200)),"")),IF(ISNUMBER(SEARCH("Party Name:-",'R.M Billets Reports'!D2817)),TRIM('R.M Billets Reports'!F2817),IF(ISNUMBER(SEARCH("Party Name-",'R.M Billets Reports'!D2817)),TRIM(MID('R.M Billets Reports'!D2817,SEARCH("-",'R.M Billets Reports'!D2817)+1,200)),"")))="SHRI RADHE","SHREE RADHE",IF(IF(IF(ISNUMBER(SEARCH("Party Name:-",'R.M Billets Reports'!D2816)),TRIM('R.M Billets Reports'!F2816),IF(ISNUMBER(SEARCH("Party Name-",'R.M Billets Reports'!D2816)),TRIM(MID('R.M Billets Reports'!D2816,SEARCH("-",'R.M Billets Reports'!D2816)+1,200)),""))&lt;&gt;"",IF(ISNUMBER(SEARCH("Party Name:-",'R.M Billets Reports'!D2816)),TRIM('R.M Billets Reports'!F2816),IF(ISNUMBER(SEARCH("Party Name-",'R.M Billets Reports'!D2816)),TRIM(MID('R.M Billets Reports'!D2816,SEARCH("-",'R.M Billets Reports'!D2816)+1,200)),"")),IF(ISNUMBER(SEARCH("Party Name:-",'R.M Billets Reports'!D2817)),TRIM('R.M Billets Reports'!F2817),IF(ISNUMBER(SEARCH("Party Name-",'R.M Billets Reports'!D2817)),TRIM(MID('R.M Billets Reports'!D2817,SEARCH("-",'R.M Billets Reports'!D2817)+1,200)),"")))="SHREE RADHE SHAKTI SPONGE AND POWER PVT. LTD.","SHREE RADHE",IF(IF(ISNUMBER(SEARCH("Party Name:-",'R.M Billets Reports'!D2816)),TRIM('R.M Billets Reports'!F2816),IF(ISNUMBER(SEARCH("Party Name-",'R.M Billets Reports'!D2816)),TRIM(MID('R.M Billets Reports'!D2816,SEARCH("-",'R.M Billets Reports'!D2816)+1,200)),""))&lt;&gt;"",IF(ISNUMBER(SEARCH("Party Name:-",'R.M Billets Reports'!D2816)),TRIM('R.M Billets Reports'!F2816),IF(ISNUMBER(SEARCH("Party Name-",'R.M Billets Reports'!D2816)),TRIM(MID('R.M Billets Reports'!D2816,SEARCH("-",'R.M Billets Reports'!D2816)+1,200)),"")),IF(ISNUMBER(SEARCH("Party Name:-",'R.M Billets Reports'!D2817)),TRIM('R.M Billets Reports'!F2817),IF(ISNUMBER(SEARCH("Party Name-",'R.M Billets Reports'!D2817)),TRIM(MID('R.M Billets Reports'!D2817,SEARCH("-",'R.M Billets Reports'!D2817)+1,200)),"")))))),IF(ROW()=2,"",A2816))</f>
      </c>
      <c r="B2817">
        <f>IF(OR('R.M Billets Reports'!A2816="Date-",'R.M Billets Reports'!A2816="Date:-"),'R.M Billets Reports'!B2816,IF(ROW()=2,"",B2816))</f>
      </c>
      <c r="C2817">
        <f>IF('R.M Billets Reports'!A2816="V.No.",'R.M Billets Reports'!B2816,IF(ROW()=2,"",C2816))</f>
      </c>
      <c r="D2817">
        <f>IF('R.M Billets Reports'!A2816&lt;&gt;"",'R.M Billets Reports'!A2816,IF(ROW()=2,"",D2816))</f>
      </c>
      <c r="E2817">
        <f>IF('R.M Billets Reports'!B2816="","",TRIM('R.M Billets Reports'!B2816))</f>
      </c>
      <c r="F2817">
        <f>'R.M Billets Reports'!C2816</f>
      </c>
      <c r="G2817">
        <f>'R.M Billets Reports'!D2816</f>
      </c>
      <c r="H2817">
        <f>'R.M Billets Reports'!E2816</f>
      </c>
      <c r="I2817">
        <f>'R.M Billets Reports'!F2816</f>
      </c>
      <c r="J2817">
        <f>'R.M Billets Reports'!G2816</f>
      </c>
      <c r="K2817">
        <f>'R.M Billets Reports'!H2816</f>
      </c>
      <c r="L2817">
        <f>IF('R.M Billets Reports'!I2816="","",'R.M Billets Reports'!I2816)</f>
      </c>
      <c r="M2817">
        <f t="shared" si="86"/>
      </c>
      <c r="N2817">
        <f>IF('R.M Billets Reports'!J2816="","",'R.M Billets Reports'!J2816)</f>
      </c>
      <c r="O2817">
        <f t="shared" si="87"/>
      </c>
      <c r="P2817">
        <f>IF('R.M Billets Reports'!A2816="SIZE",'R.M Billets Reports'!B2816,P2816)</f>
      </c>
    </row>
    <row r="2818" spans="1:16" x14ac:dyDescent="0.25">
      <c r="A2818">
        <f>IF(OR('R.M Billets Reports'!A2817="Date-",'R.M Billets Reports'!A2817="Date:-"),IF(IF(IF(ISNUMBER(SEARCH("Party Name:-",'R.M Billets Reports'!D2817)),TRIM('R.M Billets Reports'!F2817),IF(ISNUMBER(SEARCH("Party Name-",'R.M Billets Reports'!D2817)),TRIM(MID('R.M Billets Reports'!D2817,SEARCH("-",'R.M Billets Reports'!D2817)+1,200)),""))&lt;&gt;"",IF(ISNUMBER(SEARCH("Party Name:-",'R.M Billets Reports'!D2817)),TRIM('R.M Billets Reports'!F2817),IF(ISNUMBER(SEARCH("Party Name-",'R.M Billets Reports'!D2817)),TRIM(MID('R.M Billets Reports'!D2817,SEARCH("-",'R.M Billets Reports'!D2817)+1,200)),"")),IF(ISNUMBER(SEARCH("Party Name:-",'R.M Billets Reports'!D2818)),TRIM('R.M Billets Reports'!F2818),IF(ISNUMBER(SEARCH("Party Name-",'R.M Billets Reports'!D2818)),TRIM(MID('R.M Billets Reports'!D2818,SEARCH("-",'R.M Billets Reports'!D2818)+1,200)),"")))="VRKP ISPAT PVT LTD","VRKP",IF(IF(IF(ISNUMBER(SEARCH("Party Name:-",'R.M Billets Reports'!D2817)),TRIM('R.M Billets Reports'!F2817),IF(ISNUMBER(SEARCH("Party Name-",'R.M Billets Reports'!D2817)),TRIM(MID('R.M Billets Reports'!D2817,SEARCH("-",'R.M Billets Reports'!D2817)+1,200)),""))&lt;&gt;"",IF(ISNUMBER(SEARCH("Party Name:-",'R.M Billets Reports'!D2817)),TRIM('R.M Billets Reports'!F2817),IF(ISNUMBER(SEARCH("Party Name-",'R.M Billets Reports'!D2817)),TRIM(MID('R.M Billets Reports'!D2817,SEARCH("-",'R.M Billets Reports'!D2817)+1,200)),"")),IF(ISNUMBER(SEARCH("Party Name:-",'R.M Billets Reports'!D2818)),TRIM('R.M Billets Reports'!F2818),IF(ISNUMBER(SEARCH("Party Name-",'R.M Billets Reports'!D2818)),TRIM(MID('R.M Billets Reports'!D2818,SEARCH("-",'R.M Billets Reports'!D2818)+1,200)),"")))="SHRI RADHE","SHREE RADHE",IF(IF(IF(ISNUMBER(SEARCH("Party Name:-",'R.M Billets Reports'!D2817)),TRIM('R.M Billets Reports'!F2817),IF(ISNUMBER(SEARCH("Party Name-",'R.M Billets Reports'!D2817)),TRIM(MID('R.M Billets Reports'!D2817,SEARCH("-",'R.M Billets Reports'!D2817)+1,200)),""))&lt;&gt;"",IF(ISNUMBER(SEARCH("Party Name:-",'R.M Billets Reports'!D2817)),TRIM('R.M Billets Reports'!F2817),IF(ISNUMBER(SEARCH("Party Name-",'R.M Billets Reports'!D2817)),TRIM(MID('R.M Billets Reports'!D2817,SEARCH("-",'R.M Billets Reports'!D2817)+1,200)),"")),IF(ISNUMBER(SEARCH("Party Name:-",'R.M Billets Reports'!D2818)),TRIM('R.M Billets Reports'!F2818),IF(ISNUMBER(SEARCH("Party Name-",'R.M Billets Reports'!D2818)),TRIM(MID('R.M Billets Reports'!D2818,SEARCH("-",'R.M Billets Reports'!D2818)+1,200)),"")))="SHREE RADHE SHAKTI SPONGE AND POWER PVT. LTD.","SHREE RADHE",IF(IF(ISNUMBER(SEARCH("Party Name:-",'R.M Billets Reports'!D2817)),TRIM('R.M Billets Reports'!F2817),IF(ISNUMBER(SEARCH("Party Name-",'R.M Billets Reports'!D2817)),TRIM(MID('R.M Billets Reports'!D2817,SEARCH("-",'R.M Billets Reports'!D2817)+1,200)),""))&lt;&gt;"",IF(ISNUMBER(SEARCH("Party Name:-",'R.M Billets Reports'!D2817)),TRIM('R.M Billets Reports'!F2817),IF(ISNUMBER(SEARCH("Party Name-",'R.M Billets Reports'!D2817)),TRIM(MID('R.M Billets Reports'!D2817,SEARCH("-",'R.M Billets Reports'!D2817)+1,200)),"")),IF(ISNUMBER(SEARCH("Party Name:-",'R.M Billets Reports'!D2818)),TRIM('R.M Billets Reports'!F2818),IF(ISNUMBER(SEARCH("Party Name-",'R.M Billets Reports'!D2818)),TRIM(MID('R.M Billets Reports'!D2818,SEARCH("-",'R.M Billets Reports'!D2818)+1,200)),"")))))),IF(ROW()=2,"",A2817))</f>
      </c>
      <c r="B2818">
        <f>IF(OR('R.M Billets Reports'!A2817="Date-",'R.M Billets Reports'!A2817="Date:-"),'R.M Billets Reports'!B2817,IF(ROW()=2,"",B2817))</f>
      </c>
      <c r="C2818">
        <f>IF('R.M Billets Reports'!A2817="V.No.",'R.M Billets Reports'!B2817,IF(ROW()=2,"",C2817))</f>
      </c>
      <c r="D2818">
        <f>IF('R.M Billets Reports'!A2817&lt;&gt;"",'R.M Billets Reports'!A2817,IF(ROW()=2,"",D2817))</f>
      </c>
      <c r="E2818">
        <f>IF('R.M Billets Reports'!B2817="","",TRIM('R.M Billets Reports'!B2817))</f>
      </c>
      <c r="F2818">
        <f>'R.M Billets Reports'!C2817</f>
      </c>
      <c r="G2818">
        <f>'R.M Billets Reports'!D2817</f>
      </c>
      <c r="H2818">
        <f>'R.M Billets Reports'!E2817</f>
      </c>
      <c r="I2818">
        <f>'R.M Billets Reports'!F2817</f>
      </c>
      <c r="J2818">
        <f>'R.M Billets Reports'!G2817</f>
      </c>
      <c r="K2818">
        <f>'R.M Billets Reports'!H2817</f>
      </c>
      <c r="L2818">
        <f>IF('R.M Billets Reports'!I2817="","",'R.M Billets Reports'!I2817)</f>
      </c>
      <c r="M2818">
        <f t="shared" si="86"/>
      </c>
      <c r="N2818">
        <f>IF('R.M Billets Reports'!J2817="","",'R.M Billets Reports'!J2817)</f>
      </c>
      <c r="O2818">
        <f t="shared" si="87"/>
      </c>
      <c r="P2818">
        <f>IF('R.M Billets Reports'!A2817="SIZE",'R.M Billets Reports'!B2817,P2817)</f>
      </c>
    </row>
    <row r="2819" spans="1:16" x14ac:dyDescent="0.25">
      <c r="A2819">
        <f>IF(OR('R.M Billets Reports'!A2818="Date-",'R.M Billets Reports'!A2818="Date:-"),IF(IF(IF(ISNUMBER(SEARCH("Party Name:-",'R.M Billets Reports'!D2818)),TRIM('R.M Billets Reports'!F2818),IF(ISNUMBER(SEARCH("Party Name-",'R.M Billets Reports'!D2818)),TRIM(MID('R.M Billets Reports'!D2818,SEARCH("-",'R.M Billets Reports'!D2818)+1,200)),""))&lt;&gt;"",IF(ISNUMBER(SEARCH("Party Name:-",'R.M Billets Reports'!D2818)),TRIM('R.M Billets Reports'!F2818),IF(ISNUMBER(SEARCH("Party Name-",'R.M Billets Reports'!D2818)),TRIM(MID('R.M Billets Reports'!D2818,SEARCH("-",'R.M Billets Reports'!D2818)+1,200)),"")),IF(ISNUMBER(SEARCH("Party Name:-",'R.M Billets Reports'!D2819)),TRIM('R.M Billets Reports'!F2819),IF(ISNUMBER(SEARCH("Party Name-",'R.M Billets Reports'!D2819)),TRIM(MID('R.M Billets Reports'!D2819,SEARCH("-",'R.M Billets Reports'!D2819)+1,200)),"")))="VRKP ISPAT PVT LTD","VRKP",IF(IF(IF(ISNUMBER(SEARCH("Party Name:-",'R.M Billets Reports'!D2818)),TRIM('R.M Billets Reports'!F2818),IF(ISNUMBER(SEARCH("Party Name-",'R.M Billets Reports'!D2818)),TRIM(MID('R.M Billets Reports'!D2818,SEARCH("-",'R.M Billets Reports'!D2818)+1,200)),""))&lt;&gt;"",IF(ISNUMBER(SEARCH("Party Name:-",'R.M Billets Reports'!D2818)),TRIM('R.M Billets Reports'!F2818),IF(ISNUMBER(SEARCH("Party Name-",'R.M Billets Reports'!D2818)),TRIM(MID('R.M Billets Reports'!D2818,SEARCH("-",'R.M Billets Reports'!D2818)+1,200)),"")),IF(ISNUMBER(SEARCH("Party Name:-",'R.M Billets Reports'!D2819)),TRIM('R.M Billets Reports'!F2819),IF(ISNUMBER(SEARCH("Party Name-",'R.M Billets Reports'!D2819)),TRIM(MID('R.M Billets Reports'!D2819,SEARCH("-",'R.M Billets Reports'!D2819)+1,200)),"")))="SHRI RADHE","SHREE RADHE",IF(IF(IF(ISNUMBER(SEARCH("Party Name:-",'R.M Billets Reports'!D2818)),TRIM('R.M Billets Reports'!F2818),IF(ISNUMBER(SEARCH("Party Name-",'R.M Billets Reports'!D2818)),TRIM(MID('R.M Billets Reports'!D2818,SEARCH("-",'R.M Billets Reports'!D2818)+1,200)),""))&lt;&gt;"",IF(ISNUMBER(SEARCH("Party Name:-",'R.M Billets Reports'!D2818)),TRIM('R.M Billets Reports'!F2818),IF(ISNUMBER(SEARCH("Party Name-",'R.M Billets Reports'!D2818)),TRIM(MID('R.M Billets Reports'!D2818,SEARCH("-",'R.M Billets Reports'!D2818)+1,200)),"")),IF(ISNUMBER(SEARCH("Party Name:-",'R.M Billets Reports'!D2819)),TRIM('R.M Billets Reports'!F2819),IF(ISNUMBER(SEARCH("Party Name-",'R.M Billets Reports'!D2819)),TRIM(MID('R.M Billets Reports'!D2819,SEARCH("-",'R.M Billets Reports'!D2819)+1,200)),"")))="SHREE RADHE SHAKTI SPONGE AND POWER PVT. LTD.","SHREE RADHE",IF(IF(ISNUMBER(SEARCH("Party Name:-",'R.M Billets Reports'!D2818)),TRIM('R.M Billets Reports'!F2818),IF(ISNUMBER(SEARCH("Party Name-",'R.M Billets Reports'!D2818)),TRIM(MID('R.M Billets Reports'!D2818,SEARCH("-",'R.M Billets Reports'!D2818)+1,200)),""))&lt;&gt;"",IF(ISNUMBER(SEARCH("Party Name:-",'R.M Billets Reports'!D2818)),TRIM('R.M Billets Reports'!F2818),IF(ISNUMBER(SEARCH("Party Name-",'R.M Billets Reports'!D2818)),TRIM(MID('R.M Billets Reports'!D2818,SEARCH("-",'R.M Billets Reports'!D2818)+1,200)),"")),IF(ISNUMBER(SEARCH("Party Name:-",'R.M Billets Reports'!D2819)),TRIM('R.M Billets Reports'!F2819),IF(ISNUMBER(SEARCH("Party Name-",'R.M Billets Reports'!D2819)),TRIM(MID('R.M Billets Reports'!D2819,SEARCH("-",'R.M Billets Reports'!D2819)+1,200)),"")))))),IF(ROW()=2,"",A2818))</f>
      </c>
      <c r="B2819">
        <f>IF(OR('R.M Billets Reports'!A2818="Date-",'R.M Billets Reports'!A2818="Date:-"),'R.M Billets Reports'!B2818,IF(ROW()=2,"",B2818))</f>
      </c>
      <c r="C2819">
        <f>IF('R.M Billets Reports'!A2818="V.No.",'R.M Billets Reports'!B2818,IF(ROW()=2,"",C2818))</f>
      </c>
      <c r="D2819">
        <f>IF('R.M Billets Reports'!A2818&lt;&gt;"",'R.M Billets Reports'!A2818,IF(ROW()=2,"",D2818))</f>
      </c>
      <c r="E2819">
        <f>IF('R.M Billets Reports'!B2818="","",TRIM('R.M Billets Reports'!B2818))</f>
      </c>
      <c r="F2819">
        <f>'R.M Billets Reports'!C2818</f>
      </c>
      <c r="G2819">
        <f>'R.M Billets Reports'!D2818</f>
      </c>
      <c r="H2819">
        <f>'R.M Billets Reports'!E2818</f>
      </c>
      <c r="I2819">
        <f>'R.M Billets Reports'!F2818</f>
      </c>
      <c r="J2819">
        <f>'R.M Billets Reports'!G2818</f>
      </c>
      <c r="K2819">
        <f>'R.M Billets Reports'!H2818</f>
      </c>
      <c r="L2819">
        <f>IF('R.M Billets Reports'!I2818="","",'R.M Billets Reports'!I2818)</f>
      </c>
      <c r="M2819">
        <f t="shared" ref="M2819:M2882" si="88">IF(L2819&lt;&gt;"",L2819,IF(D2819=D2818,M2818,""))</f>
      </c>
      <c r="N2819">
        <f>IF('R.M Billets Reports'!J2818="","",'R.M Billets Reports'!J2818)</f>
      </c>
      <c r="O2819">
        <f t="shared" ref="O2819:O2882" si="89">IF(N2819&lt;&gt;"",N2819,IF(D2819=D2818,O2818,""))</f>
      </c>
      <c r="P2819">
        <f>IF('R.M Billets Reports'!A2818="SIZE",'R.M Billets Reports'!B2818,P2818)</f>
      </c>
    </row>
    <row r="2820" spans="1:16" x14ac:dyDescent="0.25">
      <c r="A2820">
        <f>IF(OR('R.M Billets Reports'!A2819="Date-",'R.M Billets Reports'!A2819="Date:-"),IF(IF(IF(ISNUMBER(SEARCH("Party Name:-",'R.M Billets Reports'!D2819)),TRIM('R.M Billets Reports'!F2819),IF(ISNUMBER(SEARCH("Party Name-",'R.M Billets Reports'!D2819)),TRIM(MID('R.M Billets Reports'!D2819,SEARCH("-",'R.M Billets Reports'!D2819)+1,200)),""))&lt;&gt;"",IF(ISNUMBER(SEARCH("Party Name:-",'R.M Billets Reports'!D2819)),TRIM('R.M Billets Reports'!F2819),IF(ISNUMBER(SEARCH("Party Name-",'R.M Billets Reports'!D2819)),TRIM(MID('R.M Billets Reports'!D2819,SEARCH("-",'R.M Billets Reports'!D2819)+1,200)),"")),IF(ISNUMBER(SEARCH("Party Name:-",'R.M Billets Reports'!D2820)),TRIM('R.M Billets Reports'!F2820),IF(ISNUMBER(SEARCH("Party Name-",'R.M Billets Reports'!D2820)),TRIM(MID('R.M Billets Reports'!D2820,SEARCH("-",'R.M Billets Reports'!D2820)+1,200)),"")))="VRKP ISPAT PVT LTD","VRKP",IF(IF(IF(ISNUMBER(SEARCH("Party Name:-",'R.M Billets Reports'!D2819)),TRIM('R.M Billets Reports'!F2819),IF(ISNUMBER(SEARCH("Party Name-",'R.M Billets Reports'!D2819)),TRIM(MID('R.M Billets Reports'!D2819,SEARCH("-",'R.M Billets Reports'!D2819)+1,200)),""))&lt;&gt;"",IF(ISNUMBER(SEARCH("Party Name:-",'R.M Billets Reports'!D2819)),TRIM('R.M Billets Reports'!F2819),IF(ISNUMBER(SEARCH("Party Name-",'R.M Billets Reports'!D2819)),TRIM(MID('R.M Billets Reports'!D2819,SEARCH("-",'R.M Billets Reports'!D2819)+1,200)),"")),IF(ISNUMBER(SEARCH("Party Name:-",'R.M Billets Reports'!D2820)),TRIM('R.M Billets Reports'!F2820),IF(ISNUMBER(SEARCH("Party Name-",'R.M Billets Reports'!D2820)),TRIM(MID('R.M Billets Reports'!D2820,SEARCH("-",'R.M Billets Reports'!D2820)+1,200)),"")))="SHRI RADHE","SHREE RADHE",IF(IF(IF(ISNUMBER(SEARCH("Party Name:-",'R.M Billets Reports'!D2819)),TRIM('R.M Billets Reports'!F2819),IF(ISNUMBER(SEARCH("Party Name-",'R.M Billets Reports'!D2819)),TRIM(MID('R.M Billets Reports'!D2819,SEARCH("-",'R.M Billets Reports'!D2819)+1,200)),""))&lt;&gt;"",IF(ISNUMBER(SEARCH("Party Name:-",'R.M Billets Reports'!D2819)),TRIM('R.M Billets Reports'!F2819),IF(ISNUMBER(SEARCH("Party Name-",'R.M Billets Reports'!D2819)),TRIM(MID('R.M Billets Reports'!D2819,SEARCH("-",'R.M Billets Reports'!D2819)+1,200)),"")),IF(ISNUMBER(SEARCH("Party Name:-",'R.M Billets Reports'!D2820)),TRIM('R.M Billets Reports'!F2820),IF(ISNUMBER(SEARCH("Party Name-",'R.M Billets Reports'!D2820)),TRIM(MID('R.M Billets Reports'!D2820,SEARCH("-",'R.M Billets Reports'!D2820)+1,200)),"")))="SHREE RADHE SHAKTI SPONGE AND POWER PVT. LTD.","SHREE RADHE",IF(IF(ISNUMBER(SEARCH("Party Name:-",'R.M Billets Reports'!D2819)),TRIM('R.M Billets Reports'!F2819),IF(ISNUMBER(SEARCH("Party Name-",'R.M Billets Reports'!D2819)),TRIM(MID('R.M Billets Reports'!D2819,SEARCH("-",'R.M Billets Reports'!D2819)+1,200)),""))&lt;&gt;"",IF(ISNUMBER(SEARCH("Party Name:-",'R.M Billets Reports'!D2819)),TRIM('R.M Billets Reports'!F2819),IF(ISNUMBER(SEARCH("Party Name-",'R.M Billets Reports'!D2819)),TRIM(MID('R.M Billets Reports'!D2819,SEARCH("-",'R.M Billets Reports'!D2819)+1,200)),"")),IF(ISNUMBER(SEARCH("Party Name:-",'R.M Billets Reports'!D2820)),TRIM('R.M Billets Reports'!F2820),IF(ISNUMBER(SEARCH("Party Name-",'R.M Billets Reports'!D2820)),TRIM(MID('R.M Billets Reports'!D2820,SEARCH("-",'R.M Billets Reports'!D2820)+1,200)),"")))))),IF(ROW()=2,"",A2819))</f>
      </c>
      <c r="B2820">
        <f>IF(OR('R.M Billets Reports'!A2819="Date-",'R.M Billets Reports'!A2819="Date:-"),'R.M Billets Reports'!B2819,IF(ROW()=2,"",B2819))</f>
      </c>
      <c r="C2820">
        <f>IF('R.M Billets Reports'!A2819="V.No.",'R.M Billets Reports'!B2819,IF(ROW()=2,"",C2819))</f>
      </c>
      <c r="D2820">
        <f>IF('R.M Billets Reports'!A2819&lt;&gt;"",'R.M Billets Reports'!A2819,IF(ROW()=2,"",D2819))</f>
      </c>
      <c r="E2820">
        <f>IF('R.M Billets Reports'!B2819="","",TRIM('R.M Billets Reports'!B2819))</f>
      </c>
      <c r="F2820">
        <f>'R.M Billets Reports'!C2819</f>
      </c>
      <c r="G2820">
        <f>'R.M Billets Reports'!D2819</f>
      </c>
      <c r="H2820">
        <f>'R.M Billets Reports'!E2819</f>
      </c>
      <c r="I2820">
        <f>'R.M Billets Reports'!F2819</f>
      </c>
      <c r="J2820">
        <f>'R.M Billets Reports'!G2819</f>
      </c>
      <c r="K2820">
        <f>'R.M Billets Reports'!H2819</f>
      </c>
      <c r="L2820">
        <f>IF('R.M Billets Reports'!I2819="","",'R.M Billets Reports'!I2819)</f>
      </c>
      <c r="M2820">
        <f t="shared" si="88"/>
      </c>
      <c r="N2820">
        <f>IF('R.M Billets Reports'!J2819="","",'R.M Billets Reports'!J2819)</f>
      </c>
      <c r="O2820">
        <f t="shared" si="89"/>
      </c>
      <c r="P2820">
        <f>IF('R.M Billets Reports'!A2819="SIZE",'R.M Billets Reports'!B2819,P2819)</f>
      </c>
    </row>
    <row r="2821" spans="1:16" x14ac:dyDescent="0.25">
      <c r="A2821">
        <f>IF(OR('R.M Billets Reports'!A2820="Date-",'R.M Billets Reports'!A2820="Date:-"),IF(IF(IF(ISNUMBER(SEARCH("Party Name:-",'R.M Billets Reports'!D2820)),TRIM('R.M Billets Reports'!F2820),IF(ISNUMBER(SEARCH("Party Name-",'R.M Billets Reports'!D2820)),TRIM(MID('R.M Billets Reports'!D2820,SEARCH("-",'R.M Billets Reports'!D2820)+1,200)),""))&lt;&gt;"",IF(ISNUMBER(SEARCH("Party Name:-",'R.M Billets Reports'!D2820)),TRIM('R.M Billets Reports'!F2820),IF(ISNUMBER(SEARCH("Party Name-",'R.M Billets Reports'!D2820)),TRIM(MID('R.M Billets Reports'!D2820,SEARCH("-",'R.M Billets Reports'!D2820)+1,200)),"")),IF(ISNUMBER(SEARCH("Party Name:-",'R.M Billets Reports'!D2821)),TRIM('R.M Billets Reports'!F2821),IF(ISNUMBER(SEARCH("Party Name-",'R.M Billets Reports'!D2821)),TRIM(MID('R.M Billets Reports'!D2821,SEARCH("-",'R.M Billets Reports'!D2821)+1,200)),"")))="VRKP ISPAT PVT LTD","VRKP",IF(IF(IF(ISNUMBER(SEARCH("Party Name:-",'R.M Billets Reports'!D2820)),TRIM('R.M Billets Reports'!F2820),IF(ISNUMBER(SEARCH("Party Name-",'R.M Billets Reports'!D2820)),TRIM(MID('R.M Billets Reports'!D2820,SEARCH("-",'R.M Billets Reports'!D2820)+1,200)),""))&lt;&gt;"",IF(ISNUMBER(SEARCH("Party Name:-",'R.M Billets Reports'!D2820)),TRIM('R.M Billets Reports'!F2820),IF(ISNUMBER(SEARCH("Party Name-",'R.M Billets Reports'!D2820)),TRIM(MID('R.M Billets Reports'!D2820,SEARCH("-",'R.M Billets Reports'!D2820)+1,200)),"")),IF(ISNUMBER(SEARCH("Party Name:-",'R.M Billets Reports'!D2821)),TRIM('R.M Billets Reports'!F2821),IF(ISNUMBER(SEARCH("Party Name-",'R.M Billets Reports'!D2821)),TRIM(MID('R.M Billets Reports'!D2821,SEARCH("-",'R.M Billets Reports'!D2821)+1,200)),"")))="SHRI RADHE","SHREE RADHE",IF(IF(IF(ISNUMBER(SEARCH("Party Name:-",'R.M Billets Reports'!D2820)),TRIM('R.M Billets Reports'!F2820),IF(ISNUMBER(SEARCH("Party Name-",'R.M Billets Reports'!D2820)),TRIM(MID('R.M Billets Reports'!D2820,SEARCH("-",'R.M Billets Reports'!D2820)+1,200)),""))&lt;&gt;"",IF(ISNUMBER(SEARCH("Party Name:-",'R.M Billets Reports'!D2820)),TRIM('R.M Billets Reports'!F2820),IF(ISNUMBER(SEARCH("Party Name-",'R.M Billets Reports'!D2820)),TRIM(MID('R.M Billets Reports'!D2820,SEARCH("-",'R.M Billets Reports'!D2820)+1,200)),"")),IF(ISNUMBER(SEARCH("Party Name:-",'R.M Billets Reports'!D2821)),TRIM('R.M Billets Reports'!F2821),IF(ISNUMBER(SEARCH("Party Name-",'R.M Billets Reports'!D2821)),TRIM(MID('R.M Billets Reports'!D2821,SEARCH("-",'R.M Billets Reports'!D2821)+1,200)),"")))="SHREE RADHE SHAKTI SPONGE AND POWER PVT. LTD.","SHREE RADHE",IF(IF(ISNUMBER(SEARCH("Party Name:-",'R.M Billets Reports'!D2820)),TRIM('R.M Billets Reports'!F2820),IF(ISNUMBER(SEARCH("Party Name-",'R.M Billets Reports'!D2820)),TRIM(MID('R.M Billets Reports'!D2820,SEARCH("-",'R.M Billets Reports'!D2820)+1,200)),""))&lt;&gt;"",IF(ISNUMBER(SEARCH("Party Name:-",'R.M Billets Reports'!D2820)),TRIM('R.M Billets Reports'!F2820),IF(ISNUMBER(SEARCH("Party Name-",'R.M Billets Reports'!D2820)),TRIM(MID('R.M Billets Reports'!D2820,SEARCH("-",'R.M Billets Reports'!D2820)+1,200)),"")),IF(ISNUMBER(SEARCH("Party Name:-",'R.M Billets Reports'!D2821)),TRIM('R.M Billets Reports'!F2821),IF(ISNUMBER(SEARCH("Party Name-",'R.M Billets Reports'!D2821)),TRIM(MID('R.M Billets Reports'!D2821,SEARCH("-",'R.M Billets Reports'!D2821)+1,200)),"")))))),IF(ROW()=2,"",A2820))</f>
      </c>
      <c r="B2821">
        <f>IF(OR('R.M Billets Reports'!A2820="Date-",'R.M Billets Reports'!A2820="Date:-"),'R.M Billets Reports'!B2820,IF(ROW()=2,"",B2820))</f>
      </c>
      <c r="C2821">
        <f>IF('R.M Billets Reports'!A2820="V.No.",'R.M Billets Reports'!B2820,IF(ROW()=2,"",C2820))</f>
      </c>
      <c r="D2821">
        <f>IF('R.M Billets Reports'!A2820&lt;&gt;"",'R.M Billets Reports'!A2820,IF(ROW()=2,"",D2820))</f>
      </c>
      <c r="E2821">
        <f>IF('R.M Billets Reports'!B2820="","",TRIM('R.M Billets Reports'!B2820))</f>
      </c>
      <c r="F2821">
        <f>'R.M Billets Reports'!C2820</f>
      </c>
      <c r="G2821">
        <f>'R.M Billets Reports'!D2820</f>
      </c>
      <c r="H2821">
        <f>'R.M Billets Reports'!E2820</f>
      </c>
      <c r="I2821">
        <f>'R.M Billets Reports'!F2820</f>
      </c>
      <c r="J2821">
        <f>'R.M Billets Reports'!G2820</f>
      </c>
      <c r="K2821">
        <f>'R.M Billets Reports'!H2820</f>
      </c>
      <c r="L2821">
        <f>IF('R.M Billets Reports'!I2820="","",'R.M Billets Reports'!I2820)</f>
      </c>
      <c r="M2821">
        <f t="shared" si="88"/>
      </c>
      <c r="N2821">
        <f>IF('R.M Billets Reports'!J2820="","",'R.M Billets Reports'!J2820)</f>
      </c>
      <c r="O2821">
        <f t="shared" si="89"/>
      </c>
      <c r="P2821">
        <f>IF('R.M Billets Reports'!A2820="SIZE",'R.M Billets Reports'!B2820,P2820)</f>
      </c>
    </row>
    <row r="2822" spans="1:16" x14ac:dyDescent="0.25">
      <c r="A2822">
        <f>IF(OR('R.M Billets Reports'!A2821="Date-",'R.M Billets Reports'!A2821="Date:-"),IF(IF(IF(ISNUMBER(SEARCH("Party Name:-",'R.M Billets Reports'!D2821)),TRIM('R.M Billets Reports'!F2821),IF(ISNUMBER(SEARCH("Party Name-",'R.M Billets Reports'!D2821)),TRIM(MID('R.M Billets Reports'!D2821,SEARCH("-",'R.M Billets Reports'!D2821)+1,200)),""))&lt;&gt;"",IF(ISNUMBER(SEARCH("Party Name:-",'R.M Billets Reports'!D2821)),TRIM('R.M Billets Reports'!F2821),IF(ISNUMBER(SEARCH("Party Name-",'R.M Billets Reports'!D2821)),TRIM(MID('R.M Billets Reports'!D2821,SEARCH("-",'R.M Billets Reports'!D2821)+1,200)),"")),IF(ISNUMBER(SEARCH("Party Name:-",'R.M Billets Reports'!D2822)),TRIM('R.M Billets Reports'!F2822),IF(ISNUMBER(SEARCH("Party Name-",'R.M Billets Reports'!D2822)),TRIM(MID('R.M Billets Reports'!D2822,SEARCH("-",'R.M Billets Reports'!D2822)+1,200)),"")))="VRKP ISPAT PVT LTD","VRKP",IF(IF(IF(ISNUMBER(SEARCH("Party Name:-",'R.M Billets Reports'!D2821)),TRIM('R.M Billets Reports'!F2821),IF(ISNUMBER(SEARCH("Party Name-",'R.M Billets Reports'!D2821)),TRIM(MID('R.M Billets Reports'!D2821,SEARCH("-",'R.M Billets Reports'!D2821)+1,200)),""))&lt;&gt;"",IF(ISNUMBER(SEARCH("Party Name:-",'R.M Billets Reports'!D2821)),TRIM('R.M Billets Reports'!F2821),IF(ISNUMBER(SEARCH("Party Name-",'R.M Billets Reports'!D2821)),TRIM(MID('R.M Billets Reports'!D2821,SEARCH("-",'R.M Billets Reports'!D2821)+1,200)),"")),IF(ISNUMBER(SEARCH("Party Name:-",'R.M Billets Reports'!D2822)),TRIM('R.M Billets Reports'!F2822),IF(ISNUMBER(SEARCH("Party Name-",'R.M Billets Reports'!D2822)),TRIM(MID('R.M Billets Reports'!D2822,SEARCH("-",'R.M Billets Reports'!D2822)+1,200)),"")))="SHRI RADHE","SHREE RADHE",IF(IF(IF(ISNUMBER(SEARCH("Party Name:-",'R.M Billets Reports'!D2821)),TRIM('R.M Billets Reports'!F2821),IF(ISNUMBER(SEARCH("Party Name-",'R.M Billets Reports'!D2821)),TRIM(MID('R.M Billets Reports'!D2821,SEARCH("-",'R.M Billets Reports'!D2821)+1,200)),""))&lt;&gt;"",IF(ISNUMBER(SEARCH("Party Name:-",'R.M Billets Reports'!D2821)),TRIM('R.M Billets Reports'!F2821),IF(ISNUMBER(SEARCH("Party Name-",'R.M Billets Reports'!D2821)),TRIM(MID('R.M Billets Reports'!D2821,SEARCH("-",'R.M Billets Reports'!D2821)+1,200)),"")),IF(ISNUMBER(SEARCH("Party Name:-",'R.M Billets Reports'!D2822)),TRIM('R.M Billets Reports'!F2822),IF(ISNUMBER(SEARCH("Party Name-",'R.M Billets Reports'!D2822)),TRIM(MID('R.M Billets Reports'!D2822,SEARCH("-",'R.M Billets Reports'!D2822)+1,200)),"")))="SHREE RADHE SHAKTI SPONGE AND POWER PVT. LTD.","SHREE RADHE",IF(IF(ISNUMBER(SEARCH("Party Name:-",'R.M Billets Reports'!D2821)),TRIM('R.M Billets Reports'!F2821),IF(ISNUMBER(SEARCH("Party Name-",'R.M Billets Reports'!D2821)),TRIM(MID('R.M Billets Reports'!D2821,SEARCH("-",'R.M Billets Reports'!D2821)+1,200)),""))&lt;&gt;"",IF(ISNUMBER(SEARCH("Party Name:-",'R.M Billets Reports'!D2821)),TRIM('R.M Billets Reports'!F2821),IF(ISNUMBER(SEARCH("Party Name-",'R.M Billets Reports'!D2821)),TRIM(MID('R.M Billets Reports'!D2821,SEARCH("-",'R.M Billets Reports'!D2821)+1,200)),"")),IF(ISNUMBER(SEARCH("Party Name:-",'R.M Billets Reports'!D2822)),TRIM('R.M Billets Reports'!F2822),IF(ISNUMBER(SEARCH("Party Name-",'R.M Billets Reports'!D2822)),TRIM(MID('R.M Billets Reports'!D2822,SEARCH("-",'R.M Billets Reports'!D2822)+1,200)),"")))))),IF(ROW()=2,"",A2821))</f>
      </c>
      <c r="B2822">
        <f>IF(OR('R.M Billets Reports'!A2821="Date-",'R.M Billets Reports'!A2821="Date:-"),'R.M Billets Reports'!B2821,IF(ROW()=2,"",B2821))</f>
      </c>
      <c r="C2822">
        <f>IF('R.M Billets Reports'!A2821="V.No.",'R.M Billets Reports'!B2821,IF(ROW()=2,"",C2821))</f>
      </c>
      <c r="D2822">
        <f>IF('R.M Billets Reports'!A2821&lt;&gt;"",'R.M Billets Reports'!A2821,IF(ROW()=2,"",D2821))</f>
      </c>
      <c r="E2822">
        <f>IF('R.M Billets Reports'!B2821="","",TRIM('R.M Billets Reports'!B2821))</f>
      </c>
      <c r="F2822">
        <f>'R.M Billets Reports'!C2821</f>
      </c>
      <c r="G2822">
        <f>'R.M Billets Reports'!D2821</f>
      </c>
      <c r="H2822">
        <f>'R.M Billets Reports'!E2821</f>
      </c>
      <c r="I2822">
        <f>'R.M Billets Reports'!F2821</f>
      </c>
      <c r="J2822">
        <f>'R.M Billets Reports'!G2821</f>
      </c>
      <c r="K2822">
        <f>'R.M Billets Reports'!H2821</f>
      </c>
      <c r="L2822">
        <f>IF('R.M Billets Reports'!I2821="","",'R.M Billets Reports'!I2821)</f>
      </c>
      <c r="M2822">
        <f t="shared" si="88"/>
      </c>
      <c r="N2822">
        <f>IF('R.M Billets Reports'!J2821="","",'R.M Billets Reports'!J2821)</f>
      </c>
      <c r="O2822">
        <f t="shared" si="89"/>
      </c>
      <c r="P2822">
        <f>IF('R.M Billets Reports'!A2821="SIZE",'R.M Billets Reports'!B2821,P2821)</f>
      </c>
    </row>
    <row r="2823" spans="1:16" x14ac:dyDescent="0.25">
      <c r="A2823">
        <f>IF(OR('R.M Billets Reports'!A2822="Date-",'R.M Billets Reports'!A2822="Date:-"),IF(IF(IF(ISNUMBER(SEARCH("Party Name:-",'R.M Billets Reports'!D2822)),TRIM('R.M Billets Reports'!F2822),IF(ISNUMBER(SEARCH("Party Name-",'R.M Billets Reports'!D2822)),TRIM(MID('R.M Billets Reports'!D2822,SEARCH("-",'R.M Billets Reports'!D2822)+1,200)),""))&lt;&gt;"",IF(ISNUMBER(SEARCH("Party Name:-",'R.M Billets Reports'!D2822)),TRIM('R.M Billets Reports'!F2822),IF(ISNUMBER(SEARCH("Party Name-",'R.M Billets Reports'!D2822)),TRIM(MID('R.M Billets Reports'!D2822,SEARCH("-",'R.M Billets Reports'!D2822)+1,200)),"")),IF(ISNUMBER(SEARCH("Party Name:-",'R.M Billets Reports'!D2823)),TRIM('R.M Billets Reports'!F2823),IF(ISNUMBER(SEARCH("Party Name-",'R.M Billets Reports'!D2823)),TRIM(MID('R.M Billets Reports'!D2823,SEARCH("-",'R.M Billets Reports'!D2823)+1,200)),"")))="VRKP ISPAT PVT LTD","VRKP",IF(IF(IF(ISNUMBER(SEARCH("Party Name:-",'R.M Billets Reports'!D2822)),TRIM('R.M Billets Reports'!F2822),IF(ISNUMBER(SEARCH("Party Name-",'R.M Billets Reports'!D2822)),TRIM(MID('R.M Billets Reports'!D2822,SEARCH("-",'R.M Billets Reports'!D2822)+1,200)),""))&lt;&gt;"",IF(ISNUMBER(SEARCH("Party Name:-",'R.M Billets Reports'!D2822)),TRIM('R.M Billets Reports'!F2822),IF(ISNUMBER(SEARCH("Party Name-",'R.M Billets Reports'!D2822)),TRIM(MID('R.M Billets Reports'!D2822,SEARCH("-",'R.M Billets Reports'!D2822)+1,200)),"")),IF(ISNUMBER(SEARCH("Party Name:-",'R.M Billets Reports'!D2823)),TRIM('R.M Billets Reports'!F2823),IF(ISNUMBER(SEARCH("Party Name-",'R.M Billets Reports'!D2823)),TRIM(MID('R.M Billets Reports'!D2823,SEARCH("-",'R.M Billets Reports'!D2823)+1,200)),"")))="SHRI RADHE","SHREE RADHE",IF(IF(IF(ISNUMBER(SEARCH("Party Name:-",'R.M Billets Reports'!D2822)),TRIM('R.M Billets Reports'!F2822),IF(ISNUMBER(SEARCH("Party Name-",'R.M Billets Reports'!D2822)),TRIM(MID('R.M Billets Reports'!D2822,SEARCH("-",'R.M Billets Reports'!D2822)+1,200)),""))&lt;&gt;"",IF(ISNUMBER(SEARCH("Party Name:-",'R.M Billets Reports'!D2822)),TRIM('R.M Billets Reports'!F2822),IF(ISNUMBER(SEARCH("Party Name-",'R.M Billets Reports'!D2822)),TRIM(MID('R.M Billets Reports'!D2822,SEARCH("-",'R.M Billets Reports'!D2822)+1,200)),"")),IF(ISNUMBER(SEARCH("Party Name:-",'R.M Billets Reports'!D2823)),TRIM('R.M Billets Reports'!F2823),IF(ISNUMBER(SEARCH("Party Name-",'R.M Billets Reports'!D2823)),TRIM(MID('R.M Billets Reports'!D2823,SEARCH("-",'R.M Billets Reports'!D2823)+1,200)),"")))="SHREE RADHE SHAKTI SPONGE AND POWER PVT. LTD.","SHREE RADHE",IF(IF(ISNUMBER(SEARCH("Party Name:-",'R.M Billets Reports'!D2822)),TRIM('R.M Billets Reports'!F2822),IF(ISNUMBER(SEARCH("Party Name-",'R.M Billets Reports'!D2822)),TRIM(MID('R.M Billets Reports'!D2822,SEARCH("-",'R.M Billets Reports'!D2822)+1,200)),""))&lt;&gt;"",IF(ISNUMBER(SEARCH("Party Name:-",'R.M Billets Reports'!D2822)),TRIM('R.M Billets Reports'!F2822),IF(ISNUMBER(SEARCH("Party Name-",'R.M Billets Reports'!D2822)),TRIM(MID('R.M Billets Reports'!D2822,SEARCH("-",'R.M Billets Reports'!D2822)+1,200)),"")),IF(ISNUMBER(SEARCH("Party Name:-",'R.M Billets Reports'!D2823)),TRIM('R.M Billets Reports'!F2823),IF(ISNUMBER(SEARCH("Party Name-",'R.M Billets Reports'!D2823)),TRIM(MID('R.M Billets Reports'!D2823,SEARCH("-",'R.M Billets Reports'!D2823)+1,200)),"")))))),IF(ROW()=2,"",A2822))</f>
      </c>
      <c r="B2823">
        <f>IF(OR('R.M Billets Reports'!A2822="Date-",'R.M Billets Reports'!A2822="Date:-"),'R.M Billets Reports'!B2822,IF(ROW()=2,"",B2822))</f>
      </c>
      <c r="C2823">
        <f>IF('R.M Billets Reports'!A2822="V.No.",'R.M Billets Reports'!B2822,IF(ROW()=2,"",C2822))</f>
      </c>
      <c r="D2823">
        <f>IF('R.M Billets Reports'!A2822&lt;&gt;"",'R.M Billets Reports'!A2822,IF(ROW()=2,"",D2822))</f>
      </c>
      <c r="E2823">
        <f>IF('R.M Billets Reports'!B2822="","",TRIM('R.M Billets Reports'!B2822))</f>
      </c>
      <c r="F2823">
        <f>'R.M Billets Reports'!C2822</f>
      </c>
      <c r="G2823">
        <f>'R.M Billets Reports'!D2822</f>
      </c>
      <c r="H2823">
        <f>'R.M Billets Reports'!E2822</f>
      </c>
      <c r="I2823">
        <f>'R.M Billets Reports'!F2822</f>
      </c>
      <c r="J2823">
        <f>'R.M Billets Reports'!G2822</f>
      </c>
      <c r="K2823">
        <f>'R.M Billets Reports'!H2822</f>
      </c>
      <c r="L2823">
        <f>IF('R.M Billets Reports'!I2822="","",'R.M Billets Reports'!I2822)</f>
      </c>
      <c r="M2823">
        <f t="shared" si="88"/>
      </c>
      <c r="N2823">
        <f>IF('R.M Billets Reports'!J2822="","",'R.M Billets Reports'!J2822)</f>
      </c>
      <c r="O2823">
        <f t="shared" si="89"/>
      </c>
      <c r="P2823">
        <f>IF('R.M Billets Reports'!A2822="SIZE",'R.M Billets Reports'!B2822,P2822)</f>
      </c>
    </row>
    <row r="2824" spans="1:16" x14ac:dyDescent="0.25">
      <c r="A2824">
        <f>IF(OR('R.M Billets Reports'!A2823="Date-",'R.M Billets Reports'!A2823="Date:-"),IF(IF(IF(ISNUMBER(SEARCH("Party Name:-",'R.M Billets Reports'!D2823)),TRIM('R.M Billets Reports'!F2823),IF(ISNUMBER(SEARCH("Party Name-",'R.M Billets Reports'!D2823)),TRIM(MID('R.M Billets Reports'!D2823,SEARCH("-",'R.M Billets Reports'!D2823)+1,200)),""))&lt;&gt;"",IF(ISNUMBER(SEARCH("Party Name:-",'R.M Billets Reports'!D2823)),TRIM('R.M Billets Reports'!F2823),IF(ISNUMBER(SEARCH("Party Name-",'R.M Billets Reports'!D2823)),TRIM(MID('R.M Billets Reports'!D2823,SEARCH("-",'R.M Billets Reports'!D2823)+1,200)),"")),IF(ISNUMBER(SEARCH("Party Name:-",'R.M Billets Reports'!D2824)),TRIM('R.M Billets Reports'!F2824),IF(ISNUMBER(SEARCH("Party Name-",'R.M Billets Reports'!D2824)),TRIM(MID('R.M Billets Reports'!D2824,SEARCH("-",'R.M Billets Reports'!D2824)+1,200)),"")))="VRKP ISPAT PVT LTD","VRKP",IF(IF(IF(ISNUMBER(SEARCH("Party Name:-",'R.M Billets Reports'!D2823)),TRIM('R.M Billets Reports'!F2823),IF(ISNUMBER(SEARCH("Party Name-",'R.M Billets Reports'!D2823)),TRIM(MID('R.M Billets Reports'!D2823,SEARCH("-",'R.M Billets Reports'!D2823)+1,200)),""))&lt;&gt;"",IF(ISNUMBER(SEARCH("Party Name:-",'R.M Billets Reports'!D2823)),TRIM('R.M Billets Reports'!F2823),IF(ISNUMBER(SEARCH("Party Name-",'R.M Billets Reports'!D2823)),TRIM(MID('R.M Billets Reports'!D2823,SEARCH("-",'R.M Billets Reports'!D2823)+1,200)),"")),IF(ISNUMBER(SEARCH("Party Name:-",'R.M Billets Reports'!D2824)),TRIM('R.M Billets Reports'!F2824),IF(ISNUMBER(SEARCH("Party Name-",'R.M Billets Reports'!D2824)),TRIM(MID('R.M Billets Reports'!D2824,SEARCH("-",'R.M Billets Reports'!D2824)+1,200)),"")))="SHRI RADHE","SHREE RADHE",IF(IF(IF(ISNUMBER(SEARCH("Party Name:-",'R.M Billets Reports'!D2823)),TRIM('R.M Billets Reports'!F2823),IF(ISNUMBER(SEARCH("Party Name-",'R.M Billets Reports'!D2823)),TRIM(MID('R.M Billets Reports'!D2823,SEARCH("-",'R.M Billets Reports'!D2823)+1,200)),""))&lt;&gt;"",IF(ISNUMBER(SEARCH("Party Name:-",'R.M Billets Reports'!D2823)),TRIM('R.M Billets Reports'!F2823),IF(ISNUMBER(SEARCH("Party Name-",'R.M Billets Reports'!D2823)),TRIM(MID('R.M Billets Reports'!D2823,SEARCH("-",'R.M Billets Reports'!D2823)+1,200)),"")),IF(ISNUMBER(SEARCH("Party Name:-",'R.M Billets Reports'!D2824)),TRIM('R.M Billets Reports'!F2824),IF(ISNUMBER(SEARCH("Party Name-",'R.M Billets Reports'!D2824)),TRIM(MID('R.M Billets Reports'!D2824,SEARCH("-",'R.M Billets Reports'!D2824)+1,200)),"")))="SHREE RADHE SHAKTI SPONGE AND POWER PVT. LTD.","SHREE RADHE",IF(IF(ISNUMBER(SEARCH("Party Name:-",'R.M Billets Reports'!D2823)),TRIM('R.M Billets Reports'!F2823),IF(ISNUMBER(SEARCH("Party Name-",'R.M Billets Reports'!D2823)),TRIM(MID('R.M Billets Reports'!D2823,SEARCH("-",'R.M Billets Reports'!D2823)+1,200)),""))&lt;&gt;"",IF(ISNUMBER(SEARCH("Party Name:-",'R.M Billets Reports'!D2823)),TRIM('R.M Billets Reports'!F2823),IF(ISNUMBER(SEARCH("Party Name-",'R.M Billets Reports'!D2823)),TRIM(MID('R.M Billets Reports'!D2823,SEARCH("-",'R.M Billets Reports'!D2823)+1,200)),"")),IF(ISNUMBER(SEARCH("Party Name:-",'R.M Billets Reports'!D2824)),TRIM('R.M Billets Reports'!F2824),IF(ISNUMBER(SEARCH("Party Name-",'R.M Billets Reports'!D2824)),TRIM(MID('R.M Billets Reports'!D2824,SEARCH("-",'R.M Billets Reports'!D2824)+1,200)),"")))))),IF(ROW()=2,"",A2823))</f>
      </c>
      <c r="B2824">
        <f>IF(OR('R.M Billets Reports'!A2823="Date-",'R.M Billets Reports'!A2823="Date:-"),'R.M Billets Reports'!B2823,IF(ROW()=2,"",B2823))</f>
      </c>
      <c r="C2824">
        <f>IF('R.M Billets Reports'!A2823="V.No.",'R.M Billets Reports'!B2823,IF(ROW()=2,"",C2823))</f>
      </c>
      <c r="D2824">
        <f>IF('R.M Billets Reports'!A2823&lt;&gt;"",'R.M Billets Reports'!A2823,IF(ROW()=2,"",D2823))</f>
      </c>
      <c r="E2824">
        <f>IF('R.M Billets Reports'!B2823="","",TRIM('R.M Billets Reports'!B2823))</f>
      </c>
      <c r="F2824">
        <f>'R.M Billets Reports'!C2823</f>
      </c>
      <c r="G2824">
        <f>'R.M Billets Reports'!D2823</f>
      </c>
      <c r="H2824">
        <f>'R.M Billets Reports'!E2823</f>
      </c>
      <c r="I2824">
        <f>'R.M Billets Reports'!F2823</f>
      </c>
      <c r="J2824">
        <f>'R.M Billets Reports'!G2823</f>
      </c>
      <c r="K2824">
        <f>'R.M Billets Reports'!H2823</f>
      </c>
      <c r="L2824">
        <f>IF('R.M Billets Reports'!I2823="","",'R.M Billets Reports'!I2823)</f>
      </c>
      <c r="M2824">
        <f t="shared" si="88"/>
      </c>
      <c r="N2824">
        <f>IF('R.M Billets Reports'!J2823="","",'R.M Billets Reports'!J2823)</f>
      </c>
      <c r="O2824">
        <f t="shared" si="89"/>
      </c>
      <c r="P2824">
        <f>IF('R.M Billets Reports'!A2823="SIZE",'R.M Billets Reports'!B2823,P2823)</f>
      </c>
    </row>
    <row r="2825" spans="1:16" x14ac:dyDescent="0.25">
      <c r="A2825">
        <f>IF(OR('R.M Billets Reports'!A2824="Date-",'R.M Billets Reports'!A2824="Date:-"),IF(IF(IF(ISNUMBER(SEARCH("Party Name:-",'R.M Billets Reports'!D2824)),TRIM('R.M Billets Reports'!F2824),IF(ISNUMBER(SEARCH("Party Name-",'R.M Billets Reports'!D2824)),TRIM(MID('R.M Billets Reports'!D2824,SEARCH("-",'R.M Billets Reports'!D2824)+1,200)),""))&lt;&gt;"",IF(ISNUMBER(SEARCH("Party Name:-",'R.M Billets Reports'!D2824)),TRIM('R.M Billets Reports'!F2824),IF(ISNUMBER(SEARCH("Party Name-",'R.M Billets Reports'!D2824)),TRIM(MID('R.M Billets Reports'!D2824,SEARCH("-",'R.M Billets Reports'!D2824)+1,200)),"")),IF(ISNUMBER(SEARCH("Party Name:-",'R.M Billets Reports'!D2825)),TRIM('R.M Billets Reports'!F2825),IF(ISNUMBER(SEARCH("Party Name-",'R.M Billets Reports'!D2825)),TRIM(MID('R.M Billets Reports'!D2825,SEARCH("-",'R.M Billets Reports'!D2825)+1,200)),"")))="VRKP ISPAT PVT LTD","VRKP",IF(IF(IF(ISNUMBER(SEARCH("Party Name:-",'R.M Billets Reports'!D2824)),TRIM('R.M Billets Reports'!F2824),IF(ISNUMBER(SEARCH("Party Name-",'R.M Billets Reports'!D2824)),TRIM(MID('R.M Billets Reports'!D2824,SEARCH("-",'R.M Billets Reports'!D2824)+1,200)),""))&lt;&gt;"",IF(ISNUMBER(SEARCH("Party Name:-",'R.M Billets Reports'!D2824)),TRIM('R.M Billets Reports'!F2824),IF(ISNUMBER(SEARCH("Party Name-",'R.M Billets Reports'!D2824)),TRIM(MID('R.M Billets Reports'!D2824,SEARCH("-",'R.M Billets Reports'!D2824)+1,200)),"")),IF(ISNUMBER(SEARCH("Party Name:-",'R.M Billets Reports'!D2825)),TRIM('R.M Billets Reports'!F2825),IF(ISNUMBER(SEARCH("Party Name-",'R.M Billets Reports'!D2825)),TRIM(MID('R.M Billets Reports'!D2825,SEARCH("-",'R.M Billets Reports'!D2825)+1,200)),"")))="SHRI RADHE","SHREE RADHE",IF(IF(IF(ISNUMBER(SEARCH("Party Name:-",'R.M Billets Reports'!D2824)),TRIM('R.M Billets Reports'!F2824),IF(ISNUMBER(SEARCH("Party Name-",'R.M Billets Reports'!D2824)),TRIM(MID('R.M Billets Reports'!D2824,SEARCH("-",'R.M Billets Reports'!D2824)+1,200)),""))&lt;&gt;"",IF(ISNUMBER(SEARCH("Party Name:-",'R.M Billets Reports'!D2824)),TRIM('R.M Billets Reports'!F2824),IF(ISNUMBER(SEARCH("Party Name-",'R.M Billets Reports'!D2824)),TRIM(MID('R.M Billets Reports'!D2824,SEARCH("-",'R.M Billets Reports'!D2824)+1,200)),"")),IF(ISNUMBER(SEARCH("Party Name:-",'R.M Billets Reports'!D2825)),TRIM('R.M Billets Reports'!F2825),IF(ISNUMBER(SEARCH("Party Name-",'R.M Billets Reports'!D2825)),TRIM(MID('R.M Billets Reports'!D2825,SEARCH("-",'R.M Billets Reports'!D2825)+1,200)),"")))="SHREE RADHE SHAKTI SPONGE AND POWER PVT. LTD.","SHREE RADHE",IF(IF(ISNUMBER(SEARCH("Party Name:-",'R.M Billets Reports'!D2824)),TRIM('R.M Billets Reports'!F2824),IF(ISNUMBER(SEARCH("Party Name-",'R.M Billets Reports'!D2824)),TRIM(MID('R.M Billets Reports'!D2824,SEARCH("-",'R.M Billets Reports'!D2824)+1,200)),""))&lt;&gt;"",IF(ISNUMBER(SEARCH("Party Name:-",'R.M Billets Reports'!D2824)),TRIM('R.M Billets Reports'!F2824),IF(ISNUMBER(SEARCH("Party Name-",'R.M Billets Reports'!D2824)),TRIM(MID('R.M Billets Reports'!D2824,SEARCH("-",'R.M Billets Reports'!D2824)+1,200)),"")),IF(ISNUMBER(SEARCH("Party Name:-",'R.M Billets Reports'!D2825)),TRIM('R.M Billets Reports'!F2825),IF(ISNUMBER(SEARCH("Party Name-",'R.M Billets Reports'!D2825)),TRIM(MID('R.M Billets Reports'!D2825,SEARCH("-",'R.M Billets Reports'!D2825)+1,200)),"")))))),IF(ROW()=2,"",A2824))</f>
      </c>
      <c r="B2825">
        <f>IF(OR('R.M Billets Reports'!A2824="Date-",'R.M Billets Reports'!A2824="Date:-"),'R.M Billets Reports'!B2824,IF(ROW()=2,"",B2824))</f>
      </c>
      <c r="C2825">
        <f>IF('R.M Billets Reports'!A2824="V.No.",'R.M Billets Reports'!B2824,IF(ROW()=2,"",C2824))</f>
      </c>
      <c r="D2825">
        <f>IF('R.M Billets Reports'!A2824&lt;&gt;"",'R.M Billets Reports'!A2824,IF(ROW()=2,"",D2824))</f>
      </c>
      <c r="E2825">
        <f>IF('R.M Billets Reports'!B2824="","",TRIM('R.M Billets Reports'!B2824))</f>
      </c>
      <c r="F2825">
        <f>'R.M Billets Reports'!C2824</f>
      </c>
      <c r="G2825">
        <f>'R.M Billets Reports'!D2824</f>
      </c>
      <c r="H2825">
        <f>'R.M Billets Reports'!E2824</f>
      </c>
      <c r="I2825">
        <f>'R.M Billets Reports'!F2824</f>
      </c>
      <c r="J2825">
        <f>'R.M Billets Reports'!G2824</f>
      </c>
      <c r="K2825">
        <f>'R.M Billets Reports'!H2824</f>
      </c>
      <c r="L2825">
        <f>IF('R.M Billets Reports'!I2824="","",'R.M Billets Reports'!I2824)</f>
      </c>
      <c r="M2825">
        <f t="shared" si="88"/>
      </c>
      <c r="N2825">
        <f>IF('R.M Billets Reports'!J2824="","",'R.M Billets Reports'!J2824)</f>
      </c>
      <c r="O2825">
        <f t="shared" si="89"/>
      </c>
      <c r="P2825">
        <f>IF('R.M Billets Reports'!A2824="SIZE",'R.M Billets Reports'!B2824,P2824)</f>
      </c>
    </row>
    <row r="2826" spans="1:16" x14ac:dyDescent="0.25">
      <c r="A2826">
        <f>IF(OR('R.M Billets Reports'!A2825="Date-",'R.M Billets Reports'!A2825="Date:-"),IF(IF(IF(ISNUMBER(SEARCH("Party Name:-",'R.M Billets Reports'!D2825)),TRIM('R.M Billets Reports'!F2825),IF(ISNUMBER(SEARCH("Party Name-",'R.M Billets Reports'!D2825)),TRIM(MID('R.M Billets Reports'!D2825,SEARCH("-",'R.M Billets Reports'!D2825)+1,200)),""))&lt;&gt;"",IF(ISNUMBER(SEARCH("Party Name:-",'R.M Billets Reports'!D2825)),TRIM('R.M Billets Reports'!F2825),IF(ISNUMBER(SEARCH("Party Name-",'R.M Billets Reports'!D2825)),TRIM(MID('R.M Billets Reports'!D2825,SEARCH("-",'R.M Billets Reports'!D2825)+1,200)),"")),IF(ISNUMBER(SEARCH("Party Name:-",'R.M Billets Reports'!D2826)),TRIM('R.M Billets Reports'!F2826),IF(ISNUMBER(SEARCH("Party Name-",'R.M Billets Reports'!D2826)),TRIM(MID('R.M Billets Reports'!D2826,SEARCH("-",'R.M Billets Reports'!D2826)+1,200)),"")))="VRKP ISPAT PVT LTD","VRKP",IF(IF(IF(ISNUMBER(SEARCH("Party Name:-",'R.M Billets Reports'!D2825)),TRIM('R.M Billets Reports'!F2825),IF(ISNUMBER(SEARCH("Party Name-",'R.M Billets Reports'!D2825)),TRIM(MID('R.M Billets Reports'!D2825,SEARCH("-",'R.M Billets Reports'!D2825)+1,200)),""))&lt;&gt;"",IF(ISNUMBER(SEARCH("Party Name:-",'R.M Billets Reports'!D2825)),TRIM('R.M Billets Reports'!F2825),IF(ISNUMBER(SEARCH("Party Name-",'R.M Billets Reports'!D2825)),TRIM(MID('R.M Billets Reports'!D2825,SEARCH("-",'R.M Billets Reports'!D2825)+1,200)),"")),IF(ISNUMBER(SEARCH("Party Name:-",'R.M Billets Reports'!D2826)),TRIM('R.M Billets Reports'!F2826),IF(ISNUMBER(SEARCH("Party Name-",'R.M Billets Reports'!D2826)),TRIM(MID('R.M Billets Reports'!D2826,SEARCH("-",'R.M Billets Reports'!D2826)+1,200)),"")))="SHRI RADHE","SHREE RADHE",IF(IF(IF(ISNUMBER(SEARCH("Party Name:-",'R.M Billets Reports'!D2825)),TRIM('R.M Billets Reports'!F2825),IF(ISNUMBER(SEARCH("Party Name-",'R.M Billets Reports'!D2825)),TRIM(MID('R.M Billets Reports'!D2825,SEARCH("-",'R.M Billets Reports'!D2825)+1,200)),""))&lt;&gt;"",IF(ISNUMBER(SEARCH("Party Name:-",'R.M Billets Reports'!D2825)),TRIM('R.M Billets Reports'!F2825),IF(ISNUMBER(SEARCH("Party Name-",'R.M Billets Reports'!D2825)),TRIM(MID('R.M Billets Reports'!D2825,SEARCH("-",'R.M Billets Reports'!D2825)+1,200)),"")),IF(ISNUMBER(SEARCH("Party Name:-",'R.M Billets Reports'!D2826)),TRIM('R.M Billets Reports'!F2826),IF(ISNUMBER(SEARCH("Party Name-",'R.M Billets Reports'!D2826)),TRIM(MID('R.M Billets Reports'!D2826,SEARCH("-",'R.M Billets Reports'!D2826)+1,200)),"")))="SHREE RADHE SHAKTI SPONGE AND POWER PVT. LTD.","SHREE RADHE",IF(IF(ISNUMBER(SEARCH("Party Name:-",'R.M Billets Reports'!D2825)),TRIM('R.M Billets Reports'!F2825),IF(ISNUMBER(SEARCH("Party Name-",'R.M Billets Reports'!D2825)),TRIM(MID('R.M Billets Reports'!D2825,SEARCH("-",'R.M Billets Reports'!D2825)+1,200)),""))&lt;&gt;"",IF(ISNUMBER(SEARCH("Party Name:-",'R.M Billets Reports'!D2825)),TRIM('R.M Billets Reports'!F2825),IF(ISNUMBER(SEARCH("Party Name-",'R.M Billets Reports'!D2825)),TRIM(MID('R.M Billets Reports'!D2825,SEARCH("-",'R.M Billets Reports'!D2825)+1,200)),"")),IF(ISNUMBER(SEARCH("Party Name:-",'R.M Billets Reports'!D2826)),TRIM('R.M Billets Reports'!F2826),IF(ISNUMBER(SEARCH("Party Name-",'R.M Billets Reports'!D2826)),TRIM(MID('R.M Billets Reports'!D2826,SEARCH("-",'R.M Billets Reports'!D2826)+1,200)),"")))))),IF(ROW()=2,"",A2825))</f>
      </c>
      <c r="B2826">
        <f>IF(OR('R.M Billets Reports'!A2825="Date-",'R.M Billets Reports'!A2825="Date:-"),'R.M Billets Reports'!B2825,IF(ROW()=2,"",B2825))</f>
      </c>
      <c r="C2826">
        <f>IF('R.M Billets Reports'!A2825="V.No.",'R.M Billets Reports'!B2825,IF(ROW()=2,"",C2825))</f>
      </c>
      <c r="D2826">
        <f>IF('R.M Billets Reports'!A2825&lt;&gt;"",'R.M Billets Reports'!A2825,IF(ROW()=2,"",D2825))</f>
      </c>
      <c r="E2826">
        <f>IF('R.M Billets Reports'!B2825="","",TRIM('R.M Billets Reports'!B2825))</f>
      </c>
      <c r="F2826">
        <f>'R.M Billets Reports'!C2825</f>
      </c>
      <c r="G2826">
        <f>'R.M Billets Reports'!D2825</f>
      </c>
      <c r="H2826">
        <f>'R.M Billets Reports'!E2825</f>
      </c>
      <c r="I2826">
        <f>'R.M Billets Reports'!F2825</f>
      </c>
      <c r="J2826">
        <f>'R.M Billets Reports'!G2825</f>
      </c>
      <c r="K2826">
        <f>'R.M Billets Reports'!H2825</f>
      </c>
      <c r="L2826">
        <f>IF('R.M Billets Reports'!I2825="","",'R.M Billets Reports'!I2825)</f>
      </c>
      <c r="M2826">
        <f t="shared" si="88"/>
      </c>
      <c r="N2826">
        <f>IF('R.M Billets Reports'!J2825="","",'R.M Billets Reports'!J2825)</f>
      </c>
      <c r="O2826">
        <f t="shared" si="89"/>
      </c>
      <c r="P2826">
        <f>IF('R.M Billets Reports'!A2825="SIZE",'R.M Billets Reports'!B2825,P2825)</f>
      </c>
    </row>
    <row r="2827" spans="1:16" x14ac:dyDescent="0.25">
      <c r="A2827">
        <f>IF(OR('R.M Billets Reports'!A2826="Date-",'R.M Billets Reports'!A2826="Date:-"),IF(IF(IF(ISNUMBER(SEARCH("Party Name:-",'R.M Billets Reports'!D2826)),TRIM('R.M Billets Reports'!F2826),IF(ISNUMBER(SEARCH("Party Name-",'R.M Billets Reports'!D2826)),TRIM(MID('R.M Billets Reports'!D2826,SEARCH("-",'R.M Billets Reports'!D2826)+1,200)),""))&lt;&gt;"",IF(ISNUMBER(SEARCH("Party Name:-",'R.M Billets Reports'!D2826)),TRIM('R.M Billets Reports'!F2826),IF(ISNUMBER(SEARCH("Party Name-",'R.M Billets Reports'!D2826)),TRIM(MID('R.M Billets Reports'!D2826,SEARCH("-",'R.M Billets Reports'!D2826)+1,200)),"")),IF(ISNUMBER(SEARCH("Party Name:-",'R.M Billets Reports'!D2827)),TRIM('R.M Billets Reports'!F2827),IF(ISNUMBER(SEARCH("Party Name-",'R.M Billets Reports'!D2827)),TRIM(MID('R.M Billets Reports'!D2827,SEARCH("-",'R.M Billets Reports'!D2827)+1,200)),"")))="VRKP ISPAT PVT LTD","VRKP",IF(IF(IF(ISNUMBER(SEARCH("Party Name:-",'R.M Billets Reports'!D2826)),TRIM('R.M Billets Reports'!F2826),IF(ISNUMBER(SEARCH("Party Name-",'R.M Billets Reports'!D2826)),TRIM(MID('R.M Billets Reports'!D2826,SEARCH("-",'R.M Billets Reports'!D2826)+1,200)),""))&lt;&gt;"",IF(ISNUMBER(SEARCH("Party Name:-",'R.M Billets Reports'!D2826)),TRIM('R.M Billets Reports'!F2826),IF(ISNUMBER(SEARCH("Party Name-",'R.M Billets Reports'!D2826)),TRIM(MID('R.M Billets Reports'!D2826,SEARCH("-",'R.M Billets Reports'!D2826)+1,200)),"")),IF(ISNUMBER(SEARCH("Party Name:-",'R.M Billets Reports'!D2827)),TRIM('R.M Billets Reports'!F2827),IF(ISNUMBER(SEARCH("Party Name-",'R.M Billets Reports'!D2827)),TRIM(MID('R.M Billets Reports'!D2827,SEARCH("-",'R.M Billets Reports'!D2827)+1,200)),"")))="SHRI RADHE","SHREE RADHE",IF(IF(IF(ISNUMBER(SEARCH("Party Name:-",'R.M Billets Reports'!D2826)),TRIM('R.M Billets Reports'!F2826),IF(ISNUMBER(SEARCH("Party Name-",'R.M Billets Reports'!D2826)),TRIM(MID('R.M Billets Reports'!D2826,SEARCH("-",'R.M Billets Reports'!D2826)+1,200)),""))&lt;&gt;"",IF(ISNUMBER(SEARCH("Party Name:-",'R.M Billets Reports'!D2826)),TRIM('R.M Billets Reports'!F2826),IF(ISNUMBER(SEARCH("Party Name-",'R.M Billets Reports'!D2826)),TRIM(MID('R.M Billets Reports'!D2826,SEARCH("-",'R.M Billets Reports'!D2826)+1,200)),"")),IF(ISNUMBER(SEARCH("Party Name:-",'R.M Billets Reports'!D2827)),TRIM('R.M Billets Reports'!F2827),IF(ISNUMBER(SEARCH("Party Name-",'R.M Billets Reports'!D2827)),TRIM(MID('R.M Billets Reports'!D2827,SEARCH("-",'R.M Billets Reports'!D2827)+1,200)),"")))="SHREE RADHE SHAKTI SPONGE AND POWER PVT. LTD.","SHREE RADHE",IF(IF(ISNUMBER(SEARCH("Party Name:-",'R.M Billets Reports'!D2826)),TRIM('R.M Billets Reports'!F2826),IF(ISNUMBER(SEARCH("Party Name-",'R.M Billets Reports'!D2826)),TRIM(MID('R.M Billets Reports'!D2826,SEARCH("-",'R.M Billets Reports'!D2826)+1,200)),""))&lt;&gt;"",IF(ISNUMBER(SEARCH("Party Name:-",'R.M Billets Reports'!D2826)),TRIM('R.M Billets Reports'!F2826),IF(ISNUMBER(SEARCH("Party Name-",'R.M Billets Reports'!D2826)),TRIM(MID('R.M Billets Reports'!D2826,SEARCH("-",'R.M Billets Reports'!D2826)+1,200)),"")),IF(ISNUMBER(SEARCH("Party Name:-",'R.M Billets Reports'!D2827)),TRIM('R.M Billets Reports'!F2827),IF(ISNUMBER(SEARCH("Party Name-",'R.M Billets Reports'!D2827)),TRIM(MID('R.M Billets Reports'!D2827,SEARCH("-",'R.M Billets Reports'!D2827)+1,200)),"")))))),IF(ROW()=2,"",A2826))</f>
      </c>
      <c r="B2827">
        <f>IF(OR('R.M Billets Reports'!A2826="Date-",'R.M Billets Reports'!A2826="Date:-"),'R.M Billets Reports'!B2826,IF(ROW()=2,"",B2826))</f>
      </c>
      <c r="C2827">
        <f>IF('R.M Billets Reports'!A2826="V.No.",'R.M Billets Reports'!B2826,IF(ROW()=2,"",C2826))</f>
      </c>
      <c r="D2827">
        <f>IF('R.M Billets Reports'!A2826&lt;&gt;"",'R.M Billets Reports'!A2826,IF(ROW()=2,"",D2826))</f>
      </c>
      <c r="E2827">
        <f>IF('R.M Billets Reports'!B2826="","",TRIM('R.M Billets Reports'!B2826))</f>
      </c>
      <c r="F2827">
        <f>'R.M Billets Reports'!C2826</f>
      </c>
      <c r="G2827">
        <f>'R.M Billets Reports'!D2826</f>
      </c>
      <c r="H2827">
        <f>'R.M Billets Reports'!E2826</f>
      </c>
      <c r="I2827">
        <f>'R.M Billets Reports'!F2826</f>
      </c>
      <c r="J2827">
        <f>'R.M Billets Reports'!G2826</f>
      </c>
      <c r="K2827">
        <f>'R.M Billets Reports'!H2826</f>
      </c>
      <c r="L2827">
        <f>IF('R.M Billets Reports'!I2826="","",'R.M Billets Reports'!I2826)</f>
      </c>
      <c r="M2827">
        <f t="shared" si="88"/>
      </c>
      <c r="N2827">
        <f>IF('R.M Billets Reports'!J2826="","",'R.M Billets Reports'!J2826)</f>
      </c>
      <c r="O2827">
        <f t="shared" si="89"/>
      </c>
      <c r="P2827">
        <f>IF('R.M Billets Reports'!A2826="SIZE",'R.M Billets Reports'!B2826,P2826)</f>
      </c>
    </row>
    <row r="2828" spans="1:16" x14ac:dyDescent="0.25">
      <c r="A2828">
        <f>IF(OR('R.M Billets Reports'!A2827="Date-",'R.M Billets Reports'!A2827="Date:-"),IF(IF(IF(ISNUMBER(SEARCH("Party Name:-",'R.M Billets Reports'!D2827)),TRIM('R.M Billets Reports'!F2827),IF(ISNUMBER(SEARCH("Party Name-",'R.M Billets Reports'!D2827)),TRIM(MID('R.M Billets Reports'!D2827,SEARCH("-",'R.M Billets Reports'!D2827)+1,200)),""))&lt;&gt;"",IF(ISNUMBER(SEARCH("Party Name:-",'R.M Billets Reports'!D2827)),TRIM('R.M Billets Reports'!F2827),IF(ISNUMBER(SEARCH("Party Name-",'R.M Billets Reports'!D2827)),TRIM(MID('R.M Billets Reports'!D2827,SEARCH("-",'R.M Billets Reports'!D2827)+1,200)),"")),IF(ISNUMBER(SEARCH("Party Name:-",'R.M Billets Reports'!D2828)),TRIM('R.M Billets Reports'!F2828),IF(ISNUMBER(SEARCH("Party Name-",'R.M Billets Reports'!D2828)),TRIM(MID('R.M Billets Reports'!D2828,SEARCH("-",'R.M Billets Reports'!D2828)+1,200)),"")))="VRKP ISPAT PVT LTD","VRKP",IF(IF(IF(ISNUMBER(SEARCH("Party Name:-",'R.M Billets Reports'!D2827)),TRIM('R.M Billets Reports'!F2827),IF(ISNUMBER(SEARCH("Party Name-",'R.M Billets Reports'!D2827)),TRIM(MID('R.M Billets Reports'!D2827,SEARCH("-",'R.M Billets Reports'!D2827)+1,200)),""))&lt;&gt;"",IF(ISNUMBER(SEARCH("Party Name:-",'R.M Billets Reports'!D2827)),TRIM('R.M Billets Reports'!F2827),IF(ISNUMBER(SEARCH("Party Name-",'R.M Billets Reports'!D2827)),TRIM(MID('R.M Billets Reports'!D2827,SEARCH("-",'R.M Billets Reports'!D2827)+1,200)),"")),IF(ISNUMBER(SEARCH("Party Name:-",'R.M Billets Reports'!D2828)),TRIM('R.M Billets Reports'!F2828),IF(ISNUMBER(SEARCH("Party Name-",'R.M Billets Reports'!D2828)),TRIM(MID('R.M Billets Reports'!D2828,SEARCH("-",'R.M Billets Reports'!D2828)+1,200)),"")))="SHRI RADHE","SHREE RADHE",IF(IF(IF(ISNUMBER(SEARCH("Party Name:-",'R.M Billets Reports'!D2827)),TRIM('R.M Billets Reports'!F2827),IF(ISNUMBER(SEARCH("Party Name-",'R.M Billets Reports'!D2827)),TRIM(MID('R.M Billets Reports'!D2827,SEARCH("-",'R.M Billets Reports'!D2827)+1,200)),""))&lt;&gt;"",IF(ISNUMBER(SEARCH("Party Name:-",'R.M Billets Reports'!D2827)),TRIM('R.M Billets Reports'!F2827),IF(ISNUMBER(SEARCH("Party Name-",'R.M Billets Reports'!D2827)),TRIM(MID('R.M Billets Reports'!D2827,SEARCH("-",'R.M Billets Reports'!D2827)+1,200)),"")),IF(ISNUMBER(SEARCH("Party Name:-",'R.M Billets Reports'!D2828)),TRIM('R.M Billets Reports'!F2828),IF(ISNUMBER(SEARCH("Party Name-",'R.M Billets Reports'!D2828)),TRIM(MID('R.M Billets Reports'!D2828,SEARCH("-",'R.M Billets Reports'!D2828)+1,200)),"")))="SHREE RADHE SHAKTI SPONGE AND POWER PVT. LTD.","SHREE RADHE",IF(IF(ISNUMBER(SEARCH("Party Name:-",'R.M Billets Reports'!D2827)),TRIM('R.M Billets Reports'!F2827),IF(ISNUMBER(SEARCH("Party Name-",'R.M Billets Reports'!D2827)),TRIM(MID('R.M Billets Reports'!D2827,SEARCH("-",'R.M Billets Reports'!D2827)+1,200)),""))&lt;&gt;"",IF(ISNUMBER(SEARCH("Party Name:-",'R.M Billets Reports'!D2827)),TRIM('R.M Billets Reports'!F2827),IF(ISNUMBER(SEARCH("Party Name-",'R.M Billets Reports'!D2827)),TRIM(MID('R.M Billets Reports'!D2827,SEARCH("-",'R.M Billets Reports'!D2827)+1,200)),"")),IF(ISNUMBER(SEARCH("Party Name:-",'R.M Billets Reports'!D2828)),TRIM('R.M Billets Reports'!F2828),IF(ISNUMBER(SEARCH("Party Name-",'R.M Billets Reports'!D2828)),TRIM(MID('R.M Billets Reports'!D2828,SEARCH("-",'R.M Billets Reports'!D2828)+1,200)),"")))))),IF(ROW()=2,"",A2827))</f>
      </c>
      <c r="B2828">
        <f>IF(OR('R.M Billets Reports'!A2827="Date-",'R.M Billets Reports'!A2827="Date:-"),'R.M Billets Reports'!B2827,IF(ROW()=2,"",B2827))</f>
      </c>
      <c r="C2828">
        <f>IF('R.M Billets Reports'!A2827="V.No.",'R.M Billets Reports'!B2827,IF(ROW()=2,"",C2827))</f>
      </c>
      <c r="D2828">
        <f>IF('R.M Billets Reports'!A2827&lt;&gt;"",'R.M Billets Reports'!A2827,IF(ROW()=2,"",D2827))</f>
      </c>
      <c r="E2828">
        <f>IF('R.M Billets Reports'!B2827="","",TRIM('R.M Billets Reports'!B2827))</f>
      </c>
      <c r="F2828">
        <f>'R.M Billets Reports'!C2827</f>
      </c>
      <c r="G2828">
        <f>'R.M Billets Reports'!D2827</f>
      </c>
      <c r="H2828">
        <f>'R.M Billets Reports'!E2827</f>
      </c>
      <c r="I2828">
        <f>'R.M Billets Reports'!F2827</f>
      </c>
      <c r="J2828">
        <f>'R.M Billets Reports'!G2827</f>
      </c>
      <c r="K2828">
        <f>'R.M Billets Reports'!H2827</f>
      </c>
      <c r="L2828">
        <f>IF('R.M Billets Reports'!I2827="","",'R.M Billets Reports'!I2827)</f>
      </c>
      <c r="M2828">
        <f t="shared" si="88"/>
      </c>
      <c r="N2828">
        <f>IF('R.M Billets Reports'!J2827="","",'R.M Billets Reports'!J2827)</f>
      </c>
      <c r="O2828">
        <f t="shared" si="89"/>
      </c>
      <c r="P2828">
        <f>IF('R.M Billets Reports'!A2827="SIZE",'R.M Billets Reports'!B2827,P2827)</f>
      </c>
    </row>
    <row r="2829" spans="1:16" x14ac:dyDescent="0.25">
      <c r="A2829">
        <f>IF(OR('R.M Billets Reports'!A2828="Date-",'R.M Billets Reports'!A2828="Date:-"),IF(IF(IF(ISNUMBER(SEARCH("Party Name:-",'R.M Billets Reports'!D2828)),TRIM('R.M Billets Reports'!F2828),IF(ISNUMBER(SEARCH("Party Name-",'R.M Billets Reports'!D2828)),TRIM(MID('R.M Billets Reports'!D2828,SEARCH("-",'R.M Billets Reports'!D2828)+1,200)),""))&lt;&gt;"",IF(ISNUMBER(SEARCH("Party Name:-",'R.M Billets Reports'!D2828)),TRIM('R.M Billets Reports'!F2828),IF(ISNUMBER(SEARCH("Party Name-",'R.M Billets Reports'!D2828)),TRIM(MID('R.M Billets Reports'!D2828,SEARCH("-",'R.M Billets Reports'!D2828)+1,200)),"")),IF(ISNUMBER(SEARCH("Party Name:-",'R.M Billets Reports'!D2829)),TRIM('R.M Billets Reports'!F2829),IF(ISNUMBER(SEARCH("Party Name-",'R.M Billets Reports'!D2829)),TRIM(MID('R.M Billets Reports'!D2829,SEARCH("-",'R.M Billets Reports'!D2829)+1,200)),"")))="VRKP ISPAT PVT LTD","VRKP",IF(IF(IF(ISNUMBER(SEARCH("Party Name:-",'R.M Billets Reports'!D2828)),TRIM('R.M Billets Reports'!F2828),IF(ISNUMBER(SEARCH("Party Name-",'R.M Billets Reports'!D2828)),TRIM(MID('R.M Billets Reports'!D2828,SEARCH("-",'R.M Billets Reports'!D2828)+1,200)),""))&lt;&gt;"",IF(ISNUMBER(SEARCH("Party Name:-",'R.M Billets Reports'!D2828)),TRIM('R.M Billets Reports'!F2828),IF(ISNUMBER(SEARCH("Party Name-",'R.M Billets Reports'!D2828)),TRIM(MID('R.M Billets Reports'!D2828,SEARCH("-",'R.M Billets Reports'!D2828)+1,200)),"")),IF(ISNUMBER(SEARCH("Party Name:-",'R.M Billets Reports'!D2829)),TRIM('R.M Billets Reports'!F2829),IF(ISNUMBER(SEARCH("Party Name-",'R.M Billets Reports'!D2829)),TRIM(MID('R.M Billets Reports'!D2829,SEARCH("-",'R.M Billets Reports'!D2829)+1,200)),"")))="SHRI RADHE","SHREE RADHE",IF(IF(IF(ISNUMBER(SEARCH("Party Name:-",'R.M Billets Reports'!D2828)),TRIM('R.M Billets Reports'!F2828),IF(ISNUMBER(SEARCH("Party Name-",'R.M Billets Reports'!D2828)),TRIM(MID('R.M Billets Reports'!D2828,SEARCH("-",'R.M Billets Reports'!D2828)+1,200)),""))&lt;&gt;"",IF(ISNUMBER(SEARCH("Party Name:-",'R.M Billets Reports'!D2828)),TRIM('R.M Billets Reports'!F2828),IF(ISNUMBER(SEARCH("Party Name-",'R.M Billets Reports'!D2828)),TRIM(MID('R.M Billets Reports'!D2828,SEARCH("-",'R.M Billets Reports'!D2828)+1,200)),"")),IF(ISNUMBER(SEARCH("Party Name:-",'R.M Billets Reports'!D2829)),TRIM('R.M Billets Reports'!F2829),IF(ISNUMBER(SEARCH("Party Name-",'R.M Billets Reports'!D2829)),TRIM(MID('R.M Billets Reports'!D2829,SEARCH("-",'R.M Billets Reports'!D2829)+1,200)),"")))="SHREE RADHE SHAKTI SPONGE AND POWER PVT. LTD.","SHREE RADHE",IF(IF(ISNUMBER(SEARCH("Party Name:-",'R.M Billets Reports'!D2828)),TRIM('R.M Billets Reports'!F2828),IF(ISNUMBER(SEARCH("Party Name-",'R.M Billets Reports'!D2828)),TRIM(MID('R.M Billets Reports'!D2828,SEARCH("-",'R.M Billets Reports'!D2828)+1,200)),""))&lt;&gt;"",IF(ISNUMBER(SEARCH("Party Name:-",'R.M Billets Reports'!D2828)),TRIM('R.M Billets Reports'!F2828),IF(ISNUMBER(SEARCH("Party Name-",'R.M Billets Reports'!D2828)),TRIM(MID('R.M Billets Reports'!D2828,SEARCH("-",'R.M Billets Reports'!D2828)+1,200)),"")),IF(ISNUMBER(SEARCH("Party Name:-",'R.M Billets Reports'!D2829)),TRIM('R.M Billets Reports'!F2829),IF(ISNUMBER(SEARCH("Party Name-",'R.M Billets Reports'!D2829)),TRIM(MID('R.M Billets Reports'!D2829,SEARCH("-",'R.M Billets Reports'!D2829)+1,200)),"")))))),IF(ROW()=2,"",A2828))</f>
      </c>
      <c r="B2829">
        <f>IF(OR('R.M Billets Reports'!A2828="Date-",'R.M Billets Reports'!A2828="Date:-"),'R.M Billets Reports'!B2828,IF(ROW()=2,"",B2828))</f>
      </c>
      <c r="C2829">
        <f>IF('R.M Billets Reports'!A2828="V.No.",'R.M Billets Reports'!B2828,IF(ROW()=2,"",C2828))</f>
      </c>
      <c r="D2829">
        <f>IF('R.M Billets Reports'!A2828&lt;&gt;"",'R.M Billets Reports'!A2828,IF(ROW()=2,"",D2828))</f>
      </c>
      <c r="E2829">
        <f>IF('R.M Billets Reports'!B2828="","",TRIM('R.M Billets Reports'!B2828))</f>
      </c>
      <c r="F2829">
        <f>'R.M Billets Reports'!C2828</f>
      </c>
      <c r="G2829">
        <f>'R.M Billets Reports'!D2828</f>
      </c>
      <c r="H2829">
        <f>'R.M Billets Reports'!E2828</f>
      </c>
      <c r="I2829">
        <f>'R.M Billets Reports'!F2828</f>
      </c>
      <c r="J2829">
        <f>'R.M Billets Reports'!G2828</f>
      </c>
      <c r="K2829">
        <f>'R.M Billets Reports'!H2828</f>
      </c>
      <c r="L2829">
        <f>IF('R.M Billets Reports'!I2828="","",'R.M Billets Reports'!I2828)</f>
      </c>
      <c r="M2829">
        <f t="shared" si="88"/>
      </c>
      <c r="N2829">
        <f>IF('R.M Billets Reports'!J2828="","",'R.M Billets Reports'!J2828)</f>
      </c>
      <c r="O2829">
        <f t="shared" si="89"/>
      </c>
      <c r="P2829">
        <f>IF('R.M Billets Reports'!A2828="SIZE",'R.M Billets Reports'!B2828,P2828)</f>
      </c>
    </row>
    <row r="2830" spans="1:16" x14ac:dyDescent="0.25">
      <c r="A2830">
        <f>IF(OR('R.M Billets Reports'!A2829="Date-",'R.M Billets Reports'!A2829="Date:-"),IF(IF(IF(ISNUMBER(SEARCH("Party Name:-",'R.M Billets Reports'!D2829)),TRIM('R.M Billets Reports'!F2829),IF(ISNUMBER(SEARCH("Party Name-",'R.M Billets Reports'!D2829)),TRIM(MID('R.M Billets Reports'!D2829,SEARCH("-",'R.M Billets Reports'!D2829)+1,200)),""))&lt;&gt;"",IF(ISNUMBER(SEARCH("Party Name:-",'R.M Billets Reports'!D2829)),TRIM('R.M Billets Reports'!F2829),IF(ISNUMBER(SEARCH("Party Name-",'R.M Billets Reports'!D2829)),TRIM(MID('R.M Billets Reports'!D2829,SEARCH("-",'R.M Billets Reports'!D2829)+1,200)),"")),IF(ISNUMBER(SEARCH("Party Name:-",'R.M Billets Reports'!D2830)),TRIM('R.M Billets Reports'!F2830),IF(ISNUMBER(SEARCH("Party Name-",'R.M Billets Reports'!D2830)),TRIM(MID('R.M Billets Reports'!D2830,SEARCH("-",'R.M Billets Reports'!D2830)+1,200)),"")))="VRKP ISPAT PVT LTD","VRKP",IF(IF(IF(ISNUMBER(SEARCH("Party Name:-",'R.M Billets Reports'!D2829)),TRIM('R.M Billets Reports'!F2829),IF(ISNUMBER(SEARCH("Party Name-",'R.M Billets Reports'!D2829)),TRIM(MID('R.M Billets Reports'!D2829,SEARCH("-",'R.M Billets Reports'!D2829)+1,200)),""))&lt;&gt;"",IF(ISNUMBER(SEARCH("Party Name:-",'R.M Billets Reports'!D2829)),TRIM('R.M Billets Reports'!F2829),IF(ISNUMBER(SEARCH("Party Name-",'R.M Billets Reports'!D2829)),TRIM(MID('R.M Billets Reports'!D2829,SEARCH("-",'R.M Billets Reports'!D2829)+1,200)),"")),IF(ISNUMBER(SEARCH("Party Name:-",'R.M Billets Reports'!D2830)),TRIM('R.M Billets Reports'!F2830),IF(ISNUMBER(SEARCH("Party Name-",'R.M Billets Reports'!D2830)),TRIM(MID('R.M Billets Reports'!D2830,SEARCH("-",'R.M Billets Reports'!D2830)+1,200)),"")))="SHRI RADHE","SHREE RADHE",IF(IF(IF(ISNUMBER(SEARCH("Party Name:-",'R.M Billets Reports'!D2829)),TRIM('R.M Billets Reports'!F2829),IF(ISNUMBER(SEARCH("Party Name-",'R.M Billets Reports'!D2829)),TRIM(MID('R.M Billets Reports'!D2829,SEARCH("-",'R.M Billets Reports'!D2829)+1,200)),""))&lt;&gt;"",IF(ISNUMBER(SEARCH("Party Name:-",'R.M Billets Reports'!D2829)),TRIM('R.M Billets Reports'!F2829),IF(ISNUMBER(SEARCH("Party Name-",'R.M Billets Reports'!D2829)),TRIM(MID('R.M Billets Reports'!D2829,SEARCH("-",'R.M Billets Reports'!D2829)+1,200)),"")),IF(ISNUMBER(SEARCH("Party Name:-",'R.M Billets Reports'!D2830)),TRIM('R.M Billets Reports'!F2830),IF(ISNUMBER(SEARCH("Party Name-",'R.M Billets Reports'!D2830)),TRIM(MID('R.M Billets Reports'!D2830,SEARCH("-",'R.M Billets Reports'!D2830)+1,200)),"")))="SHREE RADHE SHAKTI SPONGE AND POWER PVT. LTD.","SHREE RADHE",IF(IF(ISNUMBER(SEARCH("Party Name:-",'R.M Billets Reports'!D2829)),TRIM('R.M Billets Reports'!F2829),IF(ISNUMBER(SEARCH("Party Name-",'R.M Billets Reports'!D2829)),TRIM(MID('R.M Billets Reports'!D2829,SEARCH("-",'R.M Billets Reports'!D2829)+1,200)),""))&lt;&gt;"",IF(ISNUMBER(SEARCH("Party Name:-",'R.M Billets Reports'!D2829)),TRIM('R.M Billets Reports'!F2829),IF(ISNUMBER(SEARCH("Party Name-",'R.M Billets Reports'!D2829)),TRIM(MID('R.M Billets Reports'!D2829,SEARCH("-",'R.M Billets Reports'!D2829)+1,200)),"")),IF(ISNUMBER(SEARCH("Party Name:-",'R.M Billets Reports'!D2830)),TRIM('R.M Billets Reports'!F2830),IF(ISNUMBER(SEARCH("Party Name-",'R.M Billets Reports'!D2830)),TRIM(MID('R.M Billets Reports'!D2830,SEARCH("-",'R.M Billets Reports'!D2830)+1,200)),"")))))),IF(ROW()=2,"",A2829))</f>
      </c>
      <c r="B2830">
        <f>IF(OR('R.M Billets Reports'!A2829="Date-",'R.M Billets Reports'!A2829="Date:-"),'R.M Billets Reports'!B2829,IF(ROW()=2,"",B2829))</f>
      </c>
      <c r="C2830">
        <f>IF('R.M Billets Reports'!A2829="V.No.",'R.M Billets Reports'!B2829,IF(ROW()=2,"",C2829))</f>
      </c>
      <c r="D2830">
        <f>IF('R.M Billets Reports'!A2829&lt;&gt;"",'R.M Billets Reports'!A2829,IF(ROW()=2,"",D2829))</f>
      </c>
      <c r="E2830">
        <f>IF('R.M Billets Reports'!B2829="","",TRIM('R.M Billets Reports'!B2829))</f>
      </c>
      <c r="F2830">
        <f>'R.M Billets Reports'!C2829</f>
      </c>
      <c r="G2830">
        <f>'R.M Billets Reports'!D2829</f>
      </c>
      <c r="H2830">
        <f>'R.M Billets Reports'!E2829</f>
      </c>
      <c r="I2830">
        <f>'R.M Billets Reports'!F2829</f>
      </c>
      <c r="J2830">
        <f>'R.M Billets Reports'!G2829</f>
      </c>
      <c r="K2830">
        <f>'R.M Billets Reports'!H2829</f>
      </c>
      <c r="L2830">
        <f>IF('R.M Billets Reports'!I2829="","",'R.M Billets Reports'!I2829)</f>
      </c>
      <c r="M2830">
        <f t="shared" si="88"/>
      </c>
      <c r="N2830">
        <f>IF('R.M Billets Reports'!J2829="","",'R.M Billets Reports'!J2829)</f>
      </c>
      <c r="O2830">
        <f t="shared" si="89"/>
      </c>
      <c r="P2830">
        <f>IF('R.M Billets Reports'!A2829="SIZE",'R.M Billets Reports'!B2829,P2829)</f>
      </c>
    </row>
    <row r="2831" spans="1:16" x14ac:dyDescent="0.25">
      <c r="A2831">
        <f>IF(OR('R.M Billets Reports'!A2830="Date-",'R.M Billets Reports'!A2830="Date:-"),IF(IF(IF(ISNUMBER(SEARCH("Party Name:-",'R.M Billets Reports'!D2830)),TRIM('R.M Billets Reports'!F2830),IF(ISNUMBER(SEARCH("Party Name-",'R.M Billets Reports'!D2830)),TRIM(MID('R.M Billets Reports'!D2830,SEARCH("-",'R.M Billets Reports'!D2830)+1,200)),""))&lt;&gt;"",IF(ISNUMBER(SEARCH("Party Name:-",'R.M Billets Reports'!D2830)),TRIM('R.M Billets Reports'!F2830),IF(ISNUMBER(SEARCH("Party Name-",'R.M Billets Reports'!D2830)),TRIM(MID('R.M Billets Reports'!D2830,SEARCH("-",'R.M Billets Reports'!D2830)+1,200)),"")),IF(ISNUMBER(SEARCH("Party Name:-",'R.M Billets Reports'!D2831)),TRIM('R.M Billets Reports'!F2831),IF(ISNUMBER(SEARCH("Party Name-",'R.M Billets Reports'!D2831)),TRIM(MID('R.M Billets Reports'!D2831,SEARCH("-",'R.M Billets Reports'!D2831)+1,200)),"")))="VRKP ISPAT PVT LTD","VRKP",IF(IF(IF(ISNUMBER(SEARCH("Party Name:-",'R.M Billets Reports'!D2830)),TRIM('R.M Billets Reports'!F2830),IF(ISNUMBER(SEARCH("Party Name-",'R.M Billets Reports'!D2830)),TRIM(MID('R.M Billets Reports'!D2830,SEARCH("-",'R.M Billets Reports'!D2830)+1,200)),""))&lt;&gt;"",IF(ISNUMBER(SEARCH("Party Name:-",'R.M Billets Reports'!D2830)),TRIM('R.M Billets Reports'!F2830),IF(ISNUMBER(SEARCH("Party Name-",'R.M Billets Reports'!D2830)),TRIM(MID('R.M Billets Reports'!D2830,SEARCH("-",'R.M Billets Reports'!D2830)+1,200)),"")),IF(ISNUMBER(SEARCH("Party Name:-",'R.M Billets Reports'!D2831)),TRIM('R.M Billets Reports'!F2831),IF(ISNUMBER(SEARCH("Party Name-",'R.M Billets Reports'!D2831)),TRIM(MID('R.M Billets Reports'!D2831,SEARCH("-",'R.M Billets Reports'!D2831)+1,200)),"")))="SHRI RADHE","SHREE RADHE",IF(IF(IF(ISNUMBER(SEARCH("Party Name:-",'R.M Billets Reports'!D2830)),TRIM('R.M Billets Reports'!F2830),IF(ISNUMBER(SEARCH("Party Name-",'R.M Billets Reports'!D2830)),TRIM(MID('R.M Billets Reports'!D2830,SEARCH("-",'R.M Billets Reports'!D2830)+1,200)),""))&lt;&gt;"",IF(ISNUMBER(SEARCH("Party Name:-",'R.M Billets Reports'!D2830)),TRIM('R.M Billets Reports'!F2830),IF(ISNUMBER(SEARCH("Party Name-",'R.M Billets Reports'!D2830)),TRIM(MID('R.M Billets Reports'!D2830,SEARCH("-",'R.M Billets Reports'!D2830)+1,200)),"")),IF(ISNUMBER(SEARCH("Party Name:-",'R.M Billets Reports'!D2831)),TRIM('R.M Billets Reports'!F2831),IF(ISNUMBER(SEARCH("Party Name-",'R.M Billets Reports'!D2831)),TRIM(MID('R.M Billets Reports'!D2831,SEARCH("-",'R.M Billets Reports'!D2831)+1,200)),"")))="SHREE RADHE SHAKTI SPONGE AND POWER PVT. LTD.","SHREE RADHE",IF(IF(ISNUMBER(SEARCH("Party Name:-",'R.M Billets Reports'!D2830)),TRIM('R.M Billets Reports'!F2830),IF(ISNUMBER(SEARCH("Party Name-",'R.M Billets Reports'!D2830)),TRIM(MID('R.M Billets Reports'!D2830,SEARCH("-",'R.M Billets Reports'!D2830)+1,200)),""))&lt;&gt;"",IF(ISNUMBER(SEARCH("Party Name:-",'R.M Billets Reports'!D2830)),TRIM('R.M Billets Reports'!F2830),IF(ISNUMBER(SEARCH("Party Name-",'R.M Billets Reports'!D2830)),TRIM(MID('R.M Billets Reports'!D2830,SEARCH("-",'R.M Billets Reports'!D2830)+1,200)),"")),IF(ISNUMBER(SEARCH("Party Name:-",'R.M Billets Reports'!D2831)),TRIM('R.M Billets Reports'!F2831),IF(ISNUMBER(SEARCH("Party Name-",'R.M Billets Reports'!D2831)),TRIM(MID('R.M Billets Reports'!D2831,SEARCH("-",'R.M Billets Reports'!D2831)+1,200)),"")))))),IF(ROW()=2,"",A2830))</f>
      </c>
      <c r="B2831">
        <f>IF(OR('R.M Billets Reports'!A2830="Date-",'R.M Billets Reports'!A2830="Date:-"),'R.M Billets Reports'!B2830,IF(ROW()=2,"",B2830))</f>
      </c>
      <c r="C2831">
        <f>IF('R.M Billets Reports'!A2830="V.No.",'R.M Billets Reports'!B2830,IF(ROW()=2,"",C2830))</f>
      </c>
      <c r="D2831">
        <f>IF('R.M Billets Reports'!A2830&lt;&gt;"",'R.M Billets Reports'!A2830,IF(ROW()=2,"",D2830))</f>
      </c>
      <c r="E2831">
        <f>IF('R.M Billets Reports'!B2830="","",TRIM('R.M Billets Reports'!B2830))</f>
      </c>
      <c r="F2831">
        <f>'R.M Billets Reports'!C2830</f>
      </c>
      <c r="G2831">
        <f>'R.M Billets Reports'!D2830</f>
      </c>
      <c r="H2831">
        <f>'R.M Billets Reports'!E2830</f>
      </c>
      <c r="I2831">
        <f>'R.M Billets Reports'!F2830</f>
      </c>
      <c r="J2831">
        <f>'R.M Billets Reports'!G2830</f>
      </c>
      <c r="K2831">
        <f>'R.M Billets Reports'!H2830</f>
      </c>
      <c r="L2831">
        <f>IF('R.M Billets Reports'!I2830="","",'R.M Billets Reports'!I2830)</f>
      </c>
      <c r="M2831">
        <f t="shared" si="88"/>
      </c>
      <c r="N2831">
        <f>IF('R.M Billets Reports'!J2830="","",'R.M Billets Reports'!J2830)</f>
      </c>
      <c r="O2831">
        <f t="shared" si="89"/>
      </c>
      <c r="P2831">
        <f>IF('R.M Billets Reports'!A2830="SIZE",'R.M Billets Reports'!B2830,P2830)</f>
      </c>
    </row>
    <row r="2832" spans="1:16" x14ac:dyDescent="0.25">
      <c r="A2832">
        <f>IF(OR('R.M Billets Reports'!A2831="Date-",'R.M Billets Reports'!A2831="Date:-"),IF(IF(IF(ISNUMBER(SEARCH("Party Name:-",'R.M Billets Reports'!D2831)),TRIM('R.M Billets Reports'!F2831),IF(ISNUMBER(SEARCH("Party Name-",'R.M Billets Reports'!D2831)),TRIM(MID('R.M Billets Reports'!D2831,SEARCH("-",'R.M Billets Reports'!D2831)+1,200)),""))&lt;&gt;"",IF(ISNUMBER(SEARCH("Party Name:-",'R.M Billets Reports'!D2831)),TRIM('R.M Billets Reports'!F2831),IF(ISNUMBER(SEARCH("Party Name-",'R.M Billets Reports'!D2831)),TRIM(MID('R.M Billets Reports'!D2831,SEARCH("-",'R.M Billets Reports'!D2831)+1,200)),"")),IF(ISNUMBER(SEARCH("Party Name:-",'R.M Billets Reports'!D2832)),TRIM('R.M Billets Reports'!F2832),IF(ISNUMBER(SEARCH("Party Name-",'R.M Billets Reports'!D2832)),TRIM(MID('R.M Billets Reports'!D2832,SEARCH("-",'R.M Billets Reports'!D2832)+1,200)),"")))="VRKP ISPAT PVT LTD","VRKP",IF(IF(IF(ISNUMBER(SEARCH("Party Name:-",'R.M Billets Reports'!D2831)),TRIM('R.M Billets Reports'!F2831),IF(ISNUMBER(SEARCH("Party Name-",'R.M Billets Reports'!D2831)),TRIM(MID('R.M Billets Reports'!D2831,SEARCH("-",'R.M Billets Reports'!D2831)+1,200)),""))&lt;&gt;"",IF(ISNUMBER(SEARCH("Party Name:-",'R.M Billets Reports'!D2831)),TRIM('R.M Billets Reports'!F2831),IF(ISNUMBER(SEARCH("Party Name-",'R.M Billets Reports'!D2831)),TRIM(MID('R.M Billets Reports'!D2831,SEARCH("-",'R.M Billets Reports'!D2831)+1,200)),"")),IF(ISNUMBER(SEARCH("Party Name:-",'R.M Billets Reports'!D2832)),TRIM('R.M Billets Reports'!F2832),IF(ISNUMBER(SEARCH("Party Name-",'R.M Billets Reports'!D2832)),TRIM(MID('R.M Billets Reports'!D2832,SEARCH("-",'R.M Billets Reports'!D2832)+1,200)),"")))="SHRI RADHE","SHREE RADHE",IF(IF(IF(ISNUMBER(SEARCH("Party Name:-",'R.M Billets Reports'!D2831)),TRIM('R.M Billets Reports'!F2831),IF(ISNUMBER(SEARCH("Party Name-",'R.M Billets Reports'!D2831)),TRIM(MID('R.M Billets Reports'!D2831,SEARCH("-",'R.M Billets Reports'!D2831)+1,200)),""))&lt;&gt;"",IF(ISNUMBER(SEARCH("Party Name:-",'R.M Billets Reports'!D2831)),TRIM('R.M Billets Reports'!F2831),IF(ISNUMBER(SEARCH("Party Name-",'R.M Billets Reports'!D2831)),TRIM(MID('R.M Billets Reports'!D2831,SEARCH("-",'R.M Billets Reports'!D2831)+1,200)),"")),IF(ISNUMBER(SEARCH("Party Name:-",'R.M Billets Reports'!D2832)),TRIM('R.M Billets Reports'!F2832),IF(ISNUMBER(SEARCH("Party Name-",'R.M Billets Reports'!D2832)),TRIM(MID('R.M Billets Reports'!D2832,SEARCH("-",'R.M Billets Reports'!D2832)+1,200)),"")))="SHREE RADHE SHAKTI SPONGE AND POWER PVT. LTD.","SHREE RADHE",IF(IF(ISNUMBER(SEARCH("Party Name:-",'R.M Billets Reports'!D2831)),TRIM('R.M Billets Reports'!F2831),IF(ISNUMBER(SEARCH("Party Name-",'R.M Billets Reports'!D2831)),TRIM(MID('R.M Billets Reports'!D2831,SEARCH("-",'R.M Billets Reports'!D2831)+1,200)),""))&lt;&gt;"",IF(ISNUMBER(SEARCH("Party Name:-",'R.M Billets Reports'!D2831)),TRIM('R.M Billets Reports'!F2831),IF(ISNUMBER(SEARCH("Party Name-",'R.M Billets Reports'!D2831)),TRIM(MID('R.M Billets Reports'!D2831,SEARCH("-",'R.M Billets Reports'!D2831)+1,200)),"")),IF(ISNUMBER(SEARCH("Party Name:-",'R.M Billets Reports'!D2832)),TRIM('R.M Billets Reports'!F2832),IF(ISNUMBER(SEARCH("Party Name-",'R.M Billets Reports'!D2832)),TRIM(MID('R.M Billets Reports'!D2832,SEARCH("-",'R.M Billets Reports'!D2832)+1,200)),"")))))),IF(ROW()=2,"",A2831))</f>
      </c>
      <c r="B2832">
        <f>IF(OR('R.M Billets Reports'!A2831="Date-",'R.M Billets Reports'!A2831="Date:-"),'R.M Billets Reports'!B2831,IF(ROW()=2,"",B2831))</f>
      </c>
      <c r="C2832">
        <f>IF('R.M Billets Reports'!A2831="V.No.",'R.M Billets Reports'!B2831,IF(ROW()=2,"",C2831))</f>
      </c>
      <c r="D2832">
        <f>IF('R.M Billets Reports'!A2831&lt;&gt;"",'R.M Billets Reports'!A2831,IF(ROW()=2,"",D2831))</f>
      </c>
      <c r="E2832">
        <f>IF('R.M Billets Reports'!B2831="","",TRIM('R.M Billets Reports'!B2831))</f>
      </c>
      <c r="F2832">
        <f>'R.M Billets Reports'!C2831</f>
      </c>
      <c r="G2832">
        <f>'R.M Billets Reports'!D2831</f>
      </c>
      <c r="H2832">
        <f>'R.M Billets Reports'!E2831</f>
      </c>
      <c r="I2832">
        <f>'R.M Billets Reports'!F2831</f>
      </c>
      <c r="J2832">
        <f>'R.M Billets Reports'!G2831</f>
      </c>
      <c r="K2832">
        <f>'R.M Billets Reports'!H2831</f>
      </c>
      <c r="L2832">
        <f>IF('R.M Billets Reports'!I2831="","",'R.M Billets Reports'!I2831)</f>
      </c>
      <c r="M2832">
        <f t="shared" si="88"/>
      </c>
      <c r="N2832">
        <f>IF('R.M Billets Reports'!J2831="","",'R.M Billets Reports'!J2831)</f>
      </c>
      <c r="O2832">
        <f t="shared" si="89"/>
      </c>
      <c r="P2832">
        <f>IF('R.M Billets Reports'!A2831="SIZE",'R.M Billets Reports'!B2831,P2831)</f>
      </c>
    </row>
    <row r="2833" spans="1:16" x14ac:dyDescent="0.25">
      <c r="A2833">
        <f>IF(OR('R.M Billets Reports'!A2832="Date-",'R.M Billets Reports'!A2832="Date:-"),IF(IF(IF(ISNUMBER(SEARCH("Party Name:-",'R.M Billets Reports'!D2832)),TRIM('R.M Billets Reports'!F2832),IF(ISNUMBER(SEARCH("Party Name-",'R.M Billets Reports'!D2832)),TRIM(MID('R.M Billets Reports'!D2832,SEARCH("-",'R.M Billets Reports'!D2832)+1,200)),""))&lt;&gt;"",IF(ISNUMBER(SEARCH("Party Name:-",'R.M Billets Reports'!D2832)),TRIM('R.M Billets Reports'!F2832),IF(ISNUMBER(SEARCH("Party Name-",'R.M Billets Reports'!D2832)),TRIM(MID('R.M Billets Reports'!D2832,SEARCH("-",'R.M Billets Reports'!D2832)+1,200)),"")),IF(ISNUMBER(SEARCH("Party Name:-",'R.M Billets Reports'!D2833)),TRIM('R.M Billets Reports'!F2833),IF(ISNUMBER(SEARCH("Party Name-",'R.M Billets Reports'!D2833)),TRIM(MID('R.M Billets Reports'!D2833,SEARCH("-",'R.M Billets Reports'!D2833)+1,200)),"")))="VRKP ISPAT PVT LTD","VRKP",IF(IF(IF(ISNUMBER(SEARCH("Party Name:-",'R.M Billets Reports'!D2832)),TRIM('R.M Billets Reports'!F2832),IF(ISNUMBER(SEARCH("Party Name-",'R.M Billets Reports'!D2832)),TRIM(MID('R.M Billets Reports'!D2832,SEARCH("-",'R.M Billets Reports'!D2832)+1,200)),""))&lt;&gt;"",IF(ISNUMBER(SEARCH("Party Name:-",'R.M Billets Reports'!D2832)),TRIM('R.M Billets Reports'!F2832),IF(ISNUMBER(SEARCH("Party Name-",'R.M Billets Reports'!D2832)),TRIM(MID('R.M Billets Reports'!D2832,SEARCH("-",'R.M Billets Reports'!D2832)+1,200)),"")),IF(ISNUMBER(SEARCH("Party Name:-",'R.M Billets Reports'!D2833)),TRIM('R.M Billets Reports'!F2833),IF(ISNUMBER(SEARCH("Party Name-",'R.M Billets Reports'!D2833)),TRIM(MID('R.M Billets Reports'!D2833,SEARCH("-",'R.M Billets Reports'!D2833)+1,200)),"")))="SHRI RADHE","SHREE RADHE",IF(IF(IF(ISNUMBER(SEARCH("Party Name:-",'R.M Billets Reports'!D2832)),TRIM('R.M Billets Reports'!F2832),IF(ISNUMBER(SEARCH("Party Name-",'R.M Billets Reports'!D2832)),TRIM(MID('R.M Billets Reports'!D2832,SEARCH("-",'R.M Billets Reports'!D2832)+1,200)),""))&lt;&gt;"",IF(ISNUMBER(SEARCH("Party Name:-",'R.M Billets Reports'!D2832)),TRIM('R.M Billets Reports'!F2832),IF(ISNUMBER(SEARCH("Party Name-",'R.M Billets Reports'!D2832)),TRIM(MID('R.M Billets Reports'!D2832,SEARCH("-",'R.M Billets Reports'!D2832)+1,200)),"")),IF(ISNUMBER(SEARCH("Party Name:-",'R.M Billets Reports'!D2833)),TRIM('R.M Billets Reports'!F2833),IF(ISNUMBER(SEARCH("Party Name-",'R.M Billets Reports'!D2833)),TRIM(MID('R.M Billets Reports'!D2833,SEARCH("-",'R.M Billets Reports'!D2833)+1,200)),"")))="SHREE RADHE SHAKTI SPONGE AND POWER PVT. LTD.","SHREE RADHE",IF(IF(ISNUMBER(SEARCH("Party Name:-",'R.M Billets Reports'!D2832)),TRIM('R.M Billets Reports'!F2832),IF(ISNUMBER(SEARCH("Party Name-",'R.M Billets Reports'!D2832)),TRIM(MID('R.M Billets Reports'!D2832,SEARCH("-",'R.M Billets Reports'!D2832)+1,200)),""))&lt;&gt;"",IF(ISNUMBER(SEARCH("Party Name:-",'R.M Billets Reports'!D2832)),TRIM('R.M Billets Reports'!F2832),IF(ISNUMBER(SEARCH("Party Name-",'R.M Billets Reports'!D2832)),TRIM(MID('R.M Billets Reports'!D2832,SEARCH("-",'R.M Billets Reports'!D2832)+1,200)),"")),IF(ISNUMBER(SEARCH("Party Name:-",'R.M Billets Reports'!D2833)),TRIM('R.M Billets Reports'!F2833),IF(ISNUMBER(SEARCH("Party Name-",'R.M Billets Reports'!D2833)),TRIM(MID('R.M Billets Reports'!D2833,SEARCH("-",'R.M Billets Reports'!D2833)+1,200)),"")))))),IF(ROW()=2,"",A2832))</f>
      </c>
      <c r="B2833">
        <f>IF(OR('R.M Billets Reports'!A2832="Date-",'R.M Billets Reports'!A2832="Date:-"),'R.M Billets Reports'!B2832,IF(ROW()=2,"",B2832))</f>
      </c>
      <c r="C2833">
        <f>IF('R.M Billets Reports'!A2832="V.No.",'R.M Billets Reports'!B2832,IF(ROW()=2,"",C2832))</f>
      </c>
      <c r="D2833">
        <f>IF('R.M Billets Reports'!A2832&lt;&gt;"",'R.M Billets Reports'!A2832,IF(ROW()=2,"",D2832))</f>
      </c>
      <c r="E2833">
        <f>IF('R.M Billets Reports'!B2832="","",TRIM('R.M Billets Reports'!B2832))</f>
      </c>
      <c r="F2833">
        <f>'R.M Billets Reports'!C2832</f>
      </c>
      <c r="G2833">
        <f>'R.M Billets Reports'!D2832</f>
      </c>
      <c r="H2833">
        <f>'R.M Billets Reports'!E2832</f>
      </c>
      <c r="I2833">
        <f>'R.M Billets Reports'!F2832</f>
      </c>
      <c r="J2833">
        <f>'R.M Billets Reports'!G2832</f>
      </c>
      <c r="K2833">
        <f>'R.M Billets Reports'!H2832</f>
      </c>
      <c r="L2833">
        <f>IF('R.M Billets Reports'!I2832="","",'R.M Billets Reports'!I2832)</f>
      </c>
      <c r="M2833">
        <f t="shared" si="88"/>
      </c>
      <c r="N2833">
        <f>IF('R.M Billets Reports'!J2832="","",'R.M Billets Reports'!J2832)</f>
      </c>
      <c r="O2833">
        <f t="shared" si="89"/>
      </c>
      <c r="P2833">
        <f>IF('R.M Billets Reports'!A2832="SIZE",'R.M Billets Reports'!B2832,P2832)</f>
      </c>
    </row>
    <row r="2834" spans="1:16" x14ac:dyDescent="0.25">
      <c r="A2834">
        <f>IF(OR('R.M Billets Reports'!A2833="Date-",'R.M Billets Reports'!A2833="Date:-"),IF(IF(IF(ISNUMBER(SEARCH("Party Name:-",'R.M Billets Reports'!D2833)),TRIM('R.M Billets Reports'!F2833),IF(ISNUMBER(SEARCH("Party Name-",'R.M Billets Reports'!D2833)),TRIM(MID('R.M Billets Reports'!D2833,SEARCH("-",'R.M Billets Reports'!D2833)+1,200)),""))&lt;&gt;"",IF(ISNUMBER(SEARCH("Party Name:-",'R.M Billets Reports'!D2833)),TRIM('R.M Billets Reports'!F2833),IF(ISNUMBER(SEARCH("Party Name-",'R.M Billets Reports'!D2833)),TRIM(MID('R.M Billets Reports'!D2833,SEARCH("-",'R.M Billets Reports'!D2833)+1,200)),"")),IF(ISNUMBER(SEARCH("Party Name:-",'R.M Billets Reports'!D2834)),TRIM('R.M Billets Reports'!F2834),IF(ISNUMBER(SEARCH("Party Name-",'R.M Billets Reports'!D2834)),TRIM(MID('R.M Billets Reports'!D2834,SEARCH("-",'R.M Billets Reports'!D2834)+1,200)),"")))="VRKP ISPAT PVT LTD","VRKP",IF(IF(IF(ISNUMBER(SEARCH("Party Name:-",'R.M Billets Reports'!D2833)),TRIM('R.M Billets Reports'!F2833),IF(ISNUMBER(SEARCH("Party Name-",'R.M Billets Reports'!D2833)),TRIM(MID('R.M Billets Reports'!D2833,SEARCH("-",'R.M Billets Reports'!D2833)+1,200)),""))&lt;&gt;"",IF(ISNUMBER(SEARCH("Party Name:-",'R.M Billets Reports'!D2833)),TRIM('R.M Billets Reports'!F2833),IF(ISNUMBER(SEARCH("Party Name-",'R.M Billets Reports'!D2833)),TRIM(MID('R.M Billets Reports'!D2833,SEARCH("-",'R.M Billets Reports'!D2833)+1,200)),"")),IF(ISNUMBER(SEARCH("Party Name:-",'R.M Billets Reports'!D2834)),TRIM('R.M Billets Reports'!F2834),IF(ISNUMBER(SEARCH("Party Name-",'R.M Billets Reports'!D2834)),TRIM(MID('R.M Billets Reports'!D2834,SEARCH("-",'R.M Billets Reports'!D2834)+1,200)),"")))="SHRI RADHE","SHREE RADHE",IF(IF(IF(ISNUMBER(SEARCH("Party Name:-",'R.M Billets Reports'!D2833)),TRIM('R.M Billets Reports'!F2833),IF(ISNUMBER(SEARCH("Party Name-",'R.M Billets Reports'!D2833)),TRIM(MID('R.M Billets Reports'!D2833,SEARCH("-",'R.M Billets Reports'!D2833)+1,200)),""))&lt;&gt;"",IF(ISNUMBER(SEARCH("Party Name:-",'R.M Billets Reports'!D2833)),TRIM('R.M Billets Reports'!F2833),IF(ISNUMBER(SEARCH("Party Name-",'R.M Billets Reports'!D2833)),TRIM(MID('R.M Billets Reports'!D2833,SEARCH("-",'R.M Billets Reports'!D2833)+1,200)),"")),IF(ISNUMBER(SEARCH("Party Name:-",'R.M Billets Reports'!D2834)),TRIM('R.M Billets Reports'!F2834),IF(ISNUMBER(SEARCH("Party Name-",'R.M Billets Reports'!D2834)),TRIM(MID('R.M Billets Reports'!D2834,SEARCH("-",'R.M Billets Reports'!D2834)+1,200)),"")))="SHREE RADHE SHAKTI SPONGE AND POWER PVT. LTD.","SHREE RADHE",IF(IF(ISNUMBER(SEARCH("Party Name:-",'R.M Billets Reports'!D2833)),TRIM('R.M Billets Reports'!F2833),IF(ISNUMBER(SEARCH("Party Name-",'R.M Billets Reports'!D2833)),TRIM(MID('R.M Billets Reports'!D2833,SEARCH("-",'R.M Billets Reports'!D2833)+1,200)),""))&lt;&gt;"",IF(ISNUMBER(SEARCH("Party Name:-",'R.M Billets Reports'!D2833)),TRIM('R.M Billets Reports'!F2833),IF(ISNUMBER(SEARCH("Party Name-",'R.M Billets Reports'!D2833)),TRIM(MID('R.M Billets Reports'!D2833,SEARCH("-",'R.M Billets Reports'!D2833)+1,200)),"")),IF(ISNUMBER(SEARCH("Party Name:-",'R.M Billets Reports'!D2834)),TRIM('R.M Billets Reports'!F2834),IF(ISNUMBER(SEARCH("Party Name-",'R.M Billets Reports'!D2834)),TRIM(MID('R.M Billets Reports'!D2834,SEARCH("-",'R.M Billets Reports'!D2834)+1,200)),"")))))),IF(ROW()=2,"",A2833))</f>
      </c>
      <c r="B2834">
        <f>IF(OR('R.M Billets Reports'!A2833="Date-",'R.M Billets Reports'!A2833="Date:-"),'R.M Billets Reports'!B2833,IF(ROW()=2,"",B2833))</f>
      </c>
      <c r="C2834">
        <f>IF('R.M Billets Reports'!A2833="V.No.",'R.M Billets Reports'!B2833,IF(ROW()=2,"",C2833))</f>
      </c>
      <c r="D2834">
        <f>IF('R.M Billets Reports'!A2833&lt;&gt;"",'R.M Billets Reports'!A2833,IF(ROW()=2,"",D2833))</f>
      </c>
      <c r="E2834">
        <f>IF('R.M Billets Reports'!B2833="","",TRIM('R.M Billets Reports'!B2833))</f>
      </c>
      <c r="F2834">
        <f>'R.M Billets Reports'!C2833</f>
      </c>
      <c r="G2834">
        <f>'R.M Billets Reports'!D2833</f>
      </c>
      <c r="H2834">
        <f>'R.M Billets Reports'!E2833</f>
      </c>
      <c r="I2834">
        <f>'R.M Billets Reports'!F2833</f>
      </c>
      <c r="J2834">
        <f>'R.M Billets Reports'!G2833</f>
      </c>
      <c r="K2834">
        <f>'R.M Billets Reports'!H2833</f>
      </c>
      <c r="L2834">
        <f>IF('R.M Billets Reports'!I2833="","",'R.M Billets Reports'!I2833)</f>
      </c>
      <c r="M2834">
        <f t="shared" si="88"/>
      </c>
      <c r="N2834">
        <f>IF('R.M Billets Reports'!J2833="","",'R.M Billets Reports'!J2833)</f>
      </c>
      <c r="O2834">
        <f t="shared" si="89"/>
      </c>
      <c r="P2834">
        <f>IF('R.M Billets Reports'!A2833="SIZE",'R.M Billets Reports'!B2833,P2833)</f>
      </c>
    </row>
    <row r="2835" spans="1:16" x14ac:dyDescent="0.25">
      <c r="A2835">
        <f>IF(OR('R.M Billets Reports'!A2834="Date-",'R.M Billets Reports'!A2834="Date:-"),IF(IF(IF(ISNUMBER(SEARCH("Party Name:-",'R.M Billets Reports'!D2834)),TRIM('R.M Billets Reports'!F2834),IF(ISNUMBER(SEARCH("Party Name-",'R.M Billets Reports'!D2834)),TRIM(MID('R.M Billets Reports'!D2834,SEARCH("-",'R.M Billets Reports'!D2834)+1,200)),""))&lt;&gt;"",IF(ISNUMBER(SEARCH("Party Name:-",'R.M Billets Reports'!D2834)),TRIM('R.M Billets Reports'!F2834),IF(ISNUMBER(SEARCH("Party Name-",'R.M Billets Reports'!D2834)),TRIM(MID('R.M Billets Reports'!D2834,SEARCH("-",'R.M Billets Reports'!D2834)+1,200)),"")),IF(ISNUMBER(SEARCH("Party Name:-",'R.M Billets Reports'!D2835)),TRIM('R.M Billets Reports'!F2835),IF(ISNUMBER(SEARCH("Party Name-",'R.M Billets Reports'!D2835)),TRIM(MID('R.M Billets Reports'!D2835,SEARCH("-",'R.M Billets Reports'!D2835)+1,200)),"")))="VRKP ISPAT PVT LTD","VRKP",IF(IF(IF(ISNUMBER(SEARCH("Party Name:-",'R.M Billets Reports'!D2834)),TRIM('R.M Billets Reports'!F2834),IF(ISNUMBER(SEARCH("Party Name-",'R.M Billets Reports'!D2834)),TRIM(MID('R.M Billets Reports'!D2834,SEARCH("-",'R.M Billets Reports'!D2834)+1,200)),""))&lt;&gt;"",IF(ISNUMBER(SEARCH("Party Name:-",'R.M Billets Reports'!D2834)),TRIM('R.M Billets Reports'!F2834),IF(ISNUMBER(SEARCH("Party Name-",'R.M Billets Reports'!D2834)),TRIM(MID('R.M Billets Reports'!D2834,SEARCH("-",'R.M Billets Reports'!D2834)+1,200)),"")),IF(ISNUMBER(SEARCH("Party Name:-",'R.M Billets Reports'!D2835)),TRIM('R.M Billets Reports'!F2835),IF(ISNUMBER(SEARCH("Party Name-",'R.M Billets Reports'!D2835)),TRIM(MID('R.M Billets Reports'!D2835,SEARCH("-",'R.M Billets Reports'!D2835)+1,200)),"")))="SHRI RADHE","SHREE RADHE",IF(IF(IF(ISNUMBER(SEARCH("Party Name:-",'R.M Billets Reports'!D2834)),TRIM('R.M Billets Reports'!F2834),IF(ISNUMBER(SEARCH("Party Name-",'R.M Billets Reports'!D2834)),TRIM(MID('R.M Billets Reports'!D2834,SEARCH("-",'R.M Billets Reports'!D2834)+1,200)),""))&lt;&gt;"",IF(ISNUMBER(SEARCH("Party Name:-",'R.M Billets Reports'!D2834)),TRIM('R.M Billets Reports'!F2834),IF(ISNUMBER(SEARCH("Party Name-",'R.M Billets Reports'!D2834)),TRIM(MID('R.M Billets Reports'!D2834,SEARCH("-",'R.M Billets Reports'!D2834)+1,200)),"")),IF(ISNUMBER(SEARCH("Party Name:-",'R.M Billets Reports'!D2835)),TRIM('R.M Billets Reports'!F2835),IF(ISNUMBER(SEARCH("Party Name-",'R.M Billets Reports'!D2835)),TRIM(MID('R.M Billets Reports'!D2835,SEARCH("-",'R.M Billets Reports'!D2835)+1,200)),"")))="SHREE RADHE SHAKTI SPONGE AND POWER PVT. LTD.","SHREE RADHE",IF(IF(ISNUMBER(SEARCH("Party Name:-",'R.M Billets Reports'!D2834)),TRIM('R.M Billets Reports'!F2834),IF(ISNUMBER(SEARCH("Party Name-",'R.M Billets Reports'!D2834)),TRIM(MID('R.M Billets Reports'!D2834,SEARCH("-",'R.M Billets Reports'!D2834)+1,200)),""))&lt;&gt;"",IF(ISNUMBER(SEARCH("Party Name:-",'R.M Billets Reports'!D2834)),TRIM('R.M Billets Reports'!F2834),IF(ISNUMBER(SEARCH("Party Name-",'R.M Billets Reports'!D2834)),TRIM(MID('R.M Billets Reports'!D2834,SEARCH("-",'R.M Billets Reports'!D2834)+1,200)),"")),IF(ISNUMBER(SEARCH("Party Name:-",'R.M Billets Reports'!D2835)),TRIM('R.M Billets Reports'!F2835),IF(ISNUMBER(SEARCH("Party Name-",'R.M Billets Reports'!D2835)),TRIM(MID('R.M Billets Reports'!D2835,SEARCH("-",'R.M Billets Reports'!D2835)+1,200)),"")))))),IF(ROW()=2,"",A2834))</f>
      </c>
      <c r="B2835">
        <f>IF(OR('R.M Billets Reports'!A2834="Date-",'R.M Billets Reports'!A2834="Date:-"),'R.M Billets Reports'!B2834,IF(ROW()=2,"",B2834))</f>
      </c>
      <c r="C2835">
        <f>IF('R.M Billets Reports'!A2834="V.No.",'R.M Billets Reports'!B2834,IF(ROW()=2,"",C2834))</f>
      </c>
      <c r="D2835">
        <f>IF('R.M Billets Reports'!A2834&lt;&gt;"",'R.M Billets Reports'!A2834,IF(ROW()=2,"",D2834))</f>
      </c>
      <c r="E2835">
        <f>IF('R.M Billets Reports'!B2834="","",TRIM('R.M Billets Reports'!B2834))</f>
      </c>
      <c r="F2835">
        <f>'R.M Billets Reports'!C2834</f>
      </c>
      <c r="G2835">
        <f>'R.M Billets Reports'!D2834</f>
      </c>
      <c r="H2835">
        <f>'R.M Billets Reports'!E2834</f>
      </c>
      <c r="I2835">
        <f>'R.M Billets Reports'!F2834</f>
      </c>
      <c r="J2835">
        <f>'R.M Billets Reports'!G2834</f>
      </c>
      <c r="K2835">
        <f>'R.M Billets Reports'!H2834</f>
      </c>
      <c r="L2835">
        <f>IF('R.M Billets Reports'!I2834="","",'R.M Billets Reports'!I2834)</f>
      </c>
      <c r="M2835">
        <f t="shared" si="88"/>
      </c>
      <c r="N2835">
        <f>IF('R.M Billets Reports'!J2834="","",'R.M Billets Reports'!J2834)</f>
      </c>
      <c r="O2835">
        <f t="shared" si="89"/>
      </c>
      <c r="P2835">
        <f>IF('R.M Billets Reports'!A2834="SIZE",'R.M Billets Reports'!B2834,P2834)</f>
      </c>
    </row>
    <row r="2836" spans="1:16" x14ac:dyDescent="0.25">
      <c r="A2836">
        <f>IF(OR('R.M Billets Reports'!A2835="Date-",'R.M Billets Reports'!A2835="Date:-"),IF(IF(IF(ISNUMBER(SEARCH("Party Name:-",'R.M Billets Reports'!D2835)),TRIM('R.M Billets Reports'!F2835),IF(ISNUMBER(SEARCH("Party Name-",'R.M Billets Reports'!D2835)),TRIM(MID('R.M Billets Reports'!D2835,SEARCH("-",'R.M Billets Reports'!D2835)+1,200)),""))&lt;&gt;"",IF(ISNUMBER(SEARCH("Party Name:-",'R.M Billets Reports'!D2835)),TRIM('R.M Billets Reports'!F2835),IF(ISNUMBER(SEARCH("Party Name-",'R.M Billets Reports'!D2835)),TRIM(MID('R.M Billets Reports'!D2835,SEARCH("-",'R.M Billets Reports'!D2835)+1,200)),"")),IF(ISNUMBER(SEARCH("Party Name:-",'R.M Billets Reports'!D2836)),TRIM('R.M Billets Reports'!F2836),IF(ISNUMBER(SEARCH("Party Name-",'R.M Billets Reports'!D2836)),TRIM(MID('R.M Billets Reports'!D2836,SEARCH("-",'R.M Billets Reports'!D2836)+1,200)),"")))="VRKP ISPAT PVT LTD","VRKP",IF(IF(IF(ISNUMBER(SEARCH("Party Name:-",'R.M Billets Reports'!D2835)),TRIM('R.M Billets Reports'!F2835),IF(ISNUMBER(SEARCH("Party Name-",'R.M Billets Reports'!D2835)),TRIM(MID('R.M Billets Reports'!D2835,SEARCH("-",'R.M Billets Reports'!D2835)+1,200)),""))&lt;&gt;"",IF(ISNUMBER(SEARCH("Party Name:-",'R.M Billets Reports'!D2835)),TRIM('R.M Billets Reports'!F2835),IF(ISNUMBER(SEARCH("Party Name-",'R.M Billets Reports'!D2835)),TRIM(MID('R.M Billets Reports'!D2835,SEARCH("-",'R.M Billets Reports'!D2835)+1,200)),"")),IF(ISNUMBER(SEARCH("Party Name:-",'R.M Billets Reports'!D2836)),TRIM('R.M Billets Reports'!F2836),IF(ISNUMBER(SEARCH("Party Name-",'R.M Billets Reports'!D2836)),TRIM(MID('R.M Billets Reports'!D2836,SEARCH("-",'R.M Billets Reports'!D2836)+1,200)),"")))="SHRI RADHE","SHREE RADHE",IF(IF(IF(ISNUMBER(SEARCH("Party Name:-",'R.M Billets Reports'!D2835)),TRIM('R.M Billets Reports'!F2835),IF(ISNUMBER(SEARCH("Party Name-",'R.M Billets Reports'!D2835)),TRIM(MID('R.M Billets Reports'!D2835,SEARCH("-",'R.M Billets Reports'!D2835)+1,200)),""))&lt;&gt;"",IF(ISNUMBER(SEARCH("Party Name:-",'R.M Billets Reports'!D2835)),TRIM('R.M Billets Reports'!F2835),IF(ISNUMBER(SEARCH("Party Name-",'R.M Billets Reports'!D2835)),TRIM(MID('R.M Billets Reports'!D2835,SEARCH("-",'R.M Billets Reports'!D2835)+1,200)),"")),IF(ISNUMBER(SEARCH("Party Name:-",'R.M Billets Reports'!D2836)),TRIM('R.M Billets Reports'!F2836),IF(ISNUMBER(SEARCH("Party Name-",'R.M Billets Reports'!D2836)),TRIM(MID('R.M Billets Reports'!D2836,SEARCH("-",'R.M Billets Reports'!D2836)+1,200)),"")))="SHREE RADHE SHAKTI SPONGE AND POWER PVT. LTD.","SHREE RADHE",IF(IF(ISNUMBER(SEARCH("Party Name:-",'R.M Billets Reports'!D2835)),TRIM('R.M Billets Reports'!F2835),IF(ISNUMBER(SEARCH("Party Name-",'R.M Billets Reports'!D2835)),TRIM(MID('R.M Billets Reports'!D2835,SEARCH("-",'R.M Billets Reports'!D2835)+1,200)),""))&lt;&gt;"",IF(ISNUMBER(SEARCH("Party Name:-",'R.M Billets Reports'!D2835)),TRIM('R.M Billets Reports'!F2835),IF(ISNUMBER(SEARCH("Party Name-",'R.M Billets Reports'!D2835)),TRIM(MID('R.M Billets Reports'!D2835,SEARCH("-",'R.M Billets Reports'!D2835)+1,200)),"")),IF(ISNUMBER(SEARCH("Party Name:-",'R.M Billets Reports'!D2836)),TRIM('R.M Billets Reports'!F2836),IF(ISNUMBER(SEARCH("Party Name-",'R.M Billets Reports'!D2836)),TRIM(MID('R.M Billets Reports'!D2836,SEARCH("-",'R.M Billets Reports'!D2836)+1,200)),"")))))),IF(ROW()=2,"",A2835))</f>
      </c>
      <c r="B2836">
        <f>IF(OR('R.M Billets Reports'!A2835="Date-",'R.M Billets Reports'!A2835="Date:-"),'R.M Billets Reports'!B2835,IF(ROW()=2,"",B2835))</f>
      </c>
      <c r="C2836">
        <f>IF('R.M Billets Reports'!A2835="V.No.",'R.M Billets Reports'!B2835,IF(ROW()=2,"",C2835))</f>
      </c>
      <c r="D2836">
        <f>IF('R.M Billets Reports'!A2835&lt;&gt;"",'R.M Billets Reports'!A2835,IF(ROW()=2,"",D2835))</f>
      </c>
      <c r="E2836">
        <f>IF('R.M Billets Reports'!B2835="","",TRIM('R.M Billets Reports'!B2835))</f>
      </c>
      <c r="F2836">
        <f>'R.M Billets Reports'!C2835</f>
      </c>
      <c r="G2836">
        <f>'R.M Billets Reports'!D2835</f>
      </c>
      <c r="H2836">
        <f>'R.M Billets Reports'!E2835</f>
      </c>
      <c r="I2836">
        <f>'R.M Billets Reports'!F2835</f>
      </c>
      <c r="J2836">
        <f>'R.M Billets Reports'!G2835</f>
      </c>
      <c r="K2836">
        <f>'R.M Billets Reports'!H2835</f>
      </c>
      <c r="L2836">
        <f>IF('R.M Billets Reports'!I2835="","",'R.M Billets Reports'!I2835)</f>
      </c>
      <c r="M2836">
        <f t="shared" si="88"/>
      </c>
      <c r="N2836">
        <f>IF('R.M Billets Reports'!J2835="","",'R.M Billets Reports'!J2835)</f>
      </c>
      <c r="O2836">
        <f t="shared" si="89"/>
      </c>
      <c r="P2836">
        <f>IF('R.M Billets Reports'!A2835="SIZE",'R.M Billets Reports'!B2835,P2835)</f>
      </c>
    </row>
    <row r="2837" spans="1:16" x14ac:dyDescent="0.25">
      <c r="A2837">
        <f>IF(OR('R.M Billets Reports'!A2836="Date-",'R.M Billets Reports'!A2836="Date:-"),IF(IF(IF(ISNUMBER(SEARCH("Party Name:-",'R.M Billets Reports'!D2836)),TRIM('R.M Billets Reports'!F2836),IF(ISNUMBER(SEARCH("Party Name-",'R.M Billets Reports'!D2836)),TRIM(MID('R.M Billets Reports'!D2836,SEARCH("-",'R.M Billets Reports'!D2836)+1,200)),""))&lt;&gt;"",IF(ISNUMBER(SEARCH("Party Name:-",'R.M Billets Reports'!D2836)),TRIM('R.M Billets Reports'!F2836),IF(ISNUMBER(SEARCH("Party Name-",'R.M Billets Reports'!D2836)),TRIM(MID('R.M Billets Reports'!D2836,SEARCH("-",'R.M Billets Reports'!D2836)+1,200)),"")),IF(ISNUMBER(SEARCH("Party Name:-",'R.M Billets Reports'!D2837)),TRIM('R.M Billets Reports'!F2837),IF(ISNUMBER(SEARCH("Party Name-",'R.M Billets Reports'!D2837)),TRIM(MID('R.M Billets Reports'!D2837,SEARCH("-",'R.M Billets Reports'!D2837)+1,200)),"")))="VRKP ISPAT PVT LTD","VRKP",IF(IF(IF(ISNUMBER(SEARCH("Party Name:-",'R.M Billets Reports'!D2836)),TRIM('R.M Billets Reports'!F2836),IF(ISNUMBER(SEARCH("Party Name-",'R.M Billets Reports'!D2836)),TRIM(MID('R.M Billets Reports'!D2836,SEARCH("-",'R.M Billets Reports'!D2836)+1,200)),""))&lt;&gt;"",IF(ISNUMBER(SEARCH("Party Name:-",'R.M Billets Reports'!D2836)),TRIM('R.M Billets Reports'!F2836),IF(ISNUMBER(SEARCH("Party Name-",'R.M Billets Reports'!D2836)),TRIM(MID('R.M Billets Reports'!D2836,SEARCH("-",'R.M Billets Reports'!D2836)+1,200)),"")),IF(ISNUMBER(SEARCH("Party Name:-",'R.M Billets Reports'!D2837)),TRIM('R.M Billets Reports'!F2837),IF(ISNUMBER(SEARCH("Party Name-",'R.M Billets Reports'!D2837)),TRIM(MID('R.M Billets Reports'!D2837,SEARCH("-",'R.M Billets Reports'!D2837)+1,200)),"")))="SHRI RADHE","SHREE RADHE",IF(IF(IF(ISNUMBER(SEARCH("Party Name:-",'R.M Billets Reports'!D2836)),TRIM('R.M Billets Reports'!F2836),IF(ISNUMBER(SEARCH("Party Name-",'R.M Billets Reports'!D2836)),TRIM(MID('R.M Billets Reports'!D2836,SEARCH("-",'R.M Billets Reports'!D2836)+1,200)),""))&lt;&gt;"",IF(ISNUMBER(SEARCH("Party Name:-",'R.M Billets Reports'!D2836)),TRIM('R.M Billets Reports'!F2836),IF(ISNUMBER(SEARCH("Party Name-",'R.M Billets Reports'!D2836)),TRIM(MID('R.M Billets Reports'!D2836,SEARCH("-",'R.M Billets Reports'!D2836)+1,200)),"")),IF(ISNUMBER(SEARCH("Party Name:-",'R.M Billets Reports'!D2837)),TRIM('R.M Billets Reports'!F2837),IF(ISNUMBER(SEARCH("Party Name-",'R.M Billets Reports'!D2837)),TRIM(MID('R.M Billets Reports'!D2837,SEARCH("-",'R.M Billets Reports'!D2837)+1,200)),"")))="SHREE RADHE SHAKTI SPONGE AND POWER PVT. LTD.","SHREE RADHE",IF(IF(ISNUMBER(SEARCH("Party Name:-",'R.M Billets Reports'!D2836)),TRIM('R.M Billets Reports'!F2836),IF(ISNUMBER(SEARCH("Party Name-",'R.M Billets Reports'!D2836)),TRIM(MID('R.M Billets Reports'!D2836,SEARCH("-",'R.M Billets Reports'!D2836)+1,200)),""))&lt;&gt;"",IF(ISNUMBER(SEARCH("Party Name:-",'R.M Billets Reports'!D2836)),TRIM('R.M Billets Reports'!F2836),IF(ISNUMBER(SEARCH("Party Name-",'R.M Billets Reports'!D2836)),TRIM(MID('R.M Billets Reports'!D2836,SEARCH("-",'R.M Billets Reports'!D2836)+1,200)),"")),IF(ISNUMBER(SEARCH("Party Name:-",'R.M Billets Reports'!D2837)),TRIM('R.M Billets Reports'!F2837),IF(ISNUMBER(SEARCH("Party Name-",'R.M Billets Reports'!D2837)),TRIM(MID('R.M Billets Reports'!D2837,SEARCH("-",'R.M Billets Reports'!D2837)+1,200)),"")))))),IF(ROW()=2,"",A2836))</f>
      </c>
      <c r="B2837">
        <f>IF(OR('R.M Billets Reports'!A2836="Date-",'R.M Billets Reports'!A2836="Date:-"),'R.M Billets Reports'!B2836,IF(ROW()=2,"",B2836))</f>
      </c>
      <c r="C2837">
        <f>IF('R.M Billets Reports'!A2836="V.No.",'R.M Billets Reports'!B2836,IF(ROW()=2,"",C2836))</f>
      </c>
      <c r="D2837">
        <f>IF('R.M Billets Reports'!A2836&lt;&gt;"",'R.M Billets Reports'!A2836,IF(ROW()=2,"",D2836))</f>
      </c>
      <c r="E2837">
        <f>IF('R.M Billets Reports'!B2836="","",TRIM('R.M Billets Reports'!B2836))</f>
      </c>
      <c r="F2837">
        <f>'R.M Billets Reports'!C2836</f>
      </c>
      <c r="G2837">
        <f>'R.M Billets Reports'!D2836</f>
      </c>
      <c r="H2837">
        <f>'R.M Billets Reports'!E2836</f>
      </c>
      <c r="I2837">
        <f>'R.M Billets Reports'!F2836</f>
      </c>
      <c r="J2837">
        <f>'R.M Billets Reports'!G2836</f>
      </c>
      <c r="K2837">
        <f>'R.M Billets Reports'!H2836</f>
      </c>
      <c r="L2837">
        <f>IF('R.M Billets Reports'!I2836="","",'R.M Billets Reports'!I2836)</f>
      </c>
      <c r="M2837">
        <f t="shared" si="88"/>
      </c>
      <c r="N2837">
        <f>IF('R.M Billets Reports'!J2836="","",'R.M Billets Reports'!J2836)</f>
      </c>
      <c r="O2837">
        <f t="shared" si="89"/>
      </c>
      <c r="P2837">
        <f>IF('R.M Billets Reports'!A2836="SIZE",'R.M Billets Reports'!B2836,P2836)</f>
      </c>
    </row>
    <row r="2838" spans="1:16" x14ac:dyDescent="0.25">
      <c r="A2838">
        <f>IF(OR('R.M Billets Reports'!A2837="Date-",'R.M Billets Reports'!A2837="Date:-"),IF(IF(IF(ISNUMBER(SEARCH("Party Name:-",'R.M Billets Reports'!D2837)),TRIM('R.M Billets Reports'!F2837),IF(ISNUMBER(SEARCH("Party Name-",'R.M Billets Reports'!D2837)),TRIM(MID('R.M Billets Reports'!D2837,SEARCH("-",'R.M Billets Reports'!D2837)+1,200)),""))&lt;&gt;"",IF(ISNUMBER(SEARCH("Party Name:-",'R.M Billets Reports'!D2837)),TRIM('R.M Billets Reports'!F2837),IF(ISNUMBER(SEARCH("Party Name-",'R.M Billets Reports'!D2837)),TRIM(MID('R.M Billets Reports'!D2837,SEARCH("-",'R.M Billets Reports'!D2837)+1,200)),"")),IF(ISNUMBER(SEARCH("Party Name:-",'R.M Billets Reports'!D2838)),TRIM('R.M Billets Reports'!F2838),IF(ISNUMBER(SEARCH("Party Name-",'R.M Billets Reports'!D2838)),TRIM(MID('R.M Billets Reports'!D2838,SEARCH("-",'R.M Billets Reports'!D2838)+1,200)),"")))="VRKP ISPAT PVT LTD","VRKP",IF(IF(IF(ISNUMBER(SEARCH("Party Name:-",'R.M Billets Reports'!D2837)),TRIM('R.M Billets Reports'!F2837),IF(ISNUMBER(SEARCH("Party Name-",'R.M Billets Reports'!D2837)),TRIM(MID('R.M Billets Reports'!D2837,SEARCH("-",'R.M Billets Reports'!D2837)+1,200)),""))&lt;&gt;"",IF(ISNUMBER(SEARCH("Party Name:-",'R.M Billets Reports'!D2837)),TRIM('R.M Billets Reports'!F2837),IF(ISNUMBER(SEARCH("Party Name-",'R.M Billets Reports'!D2837)),TRIM(MID('R.M Billets Reports'!D2837,SEARCH("-",'R.M Billets Reports'!D2837)+1,200)),"")),IF(ISNUMBER(SEARCH("Party Name:-",'R.M Billets Reports'!D2838)),TRIM('R.M Billets Reports'!F2838),IF(ISNUMBER(SEARCH("Party Name-",'R.M Billets Reports'!D2838)),TRIM(MID('R.M Billets Reports'!D2838,SEARCH("-",'R.M Billets Reports'!D2838)+1,200)),"")))="SHRI RADHE","SHREE RADHE",IF(IF(IF(ISNUMBER(SEARCH("Party Name:-",'R.M Billets Reports'!D2837)),TRIM('R.M Billets Reports'!F2837),IF(ISNUMBER(SEARCH("Party Name-",'R.M Billets Reports'!D2837)),TRIM(MID('R.M Billets Reports'!D2837,SEARCH("-",'R.M Billets Reports'!D2837)+1,200)),""))&lt;&gt;"",IF(ISNUMBER(SEARCH("Party Name:-",'R.M Billets Reports'!D2837)),TRIM('R.M Billets Reports'!F2837),IF(ISNUMBER(SEARCH("Party Name-",'R.M Billets Reports'!D2837)),TRIM(MID('R.M Billets Reports'!D2837,SEARCH("-",'R.M Billets Reports'!D2837)+1,200)),"")),IF(ISNUMBER(SEARCH("Party Name:-",'R.M Billets Reports'!D2838)),TRIM('R.M Billets Reports'!F2838),IF(ISNUMBER(SEARCH("Party Name-",'R.M Billets Reports'!D2838)),TRIM(MID('R.M Billets Reports'!D2838,SEARCH("-",'R.M Billets Reports'!D2838)+1,200)),"")))="SHREE RADHE SHAKTI SPONGE AND POWER PVT. LTD.","SHREE RADHE",IF(IF(ISNUMBER(SEARCH("Party Name:-",'R.M Billets Reports'!D2837)),TRIM('R.M Billets Reports'!F2837),IF(ISNUMBER(SEARCH("Party Name-",'R.M Billets Reports'!D2837)),TRIM(MID('R.M Billets Reports'!D2837,SEARCH("-",'R.M Billets Reports'!D2837)+1,200)),""))&lt;&gt;"",IF(ISNUMBER(SEARCH("Party Name:-",'R.M Billets Reports'!D2837)),TRIM('R.M Billets Reports'!F2837),IF(ISNUMBER(SEARCH("Party Name-",'R.M Billets Reports'!D2837)),TRIM(MID('R.M Billets Reports'!D2837,SEARCH("-",'R.M Billets Reports'!D2837)+1,200)),"")),IF(ISNUMBER(SEARCH("Party Name:-",'R.M Billets Reports'!D2838)),TRIM('R.M Billets Reports'!F2838),IF(ISNUMBER(SEARCH("Party Name-",'R.M Billets Reports'!D2838)),TRIM(MID('R.M Billets Reports'!D2838,SEARCH("-",'R.M Billets Reports'!D2838)+1,200)),"")))))),IF(ROW()=2,"",A2837))</f>
      </c>
      <c r="B2838">
        <f>IF(OR('R.M Billets Reports'!A2837="Date-",'R.M Billets Reports'!A2837="Date:-"),'R.M Billets Reports'!B2837,IF(ROW()=2,"",B2837))</f>
      </c>
      <c r="C2838">
        <f>IF('R.M Billets Reports'!A2837="V.No.",'R.M Billets Reports'!B2837,IF(ROW()=2,"",C2837))</f>
      </c>
      <c r="D2838">
        <f>IF('R.M Billets Reports'!A2837&lt;&gt;"",'R.M Billets Reports'!A2837,IF(ROW()=2,"",D2837))</f>
      </c>
      <c r="E2838">
        <f>IF('R.M Billets Reports'!B2837="","",TRIM('R.M Billets Reports'!B2837))</f>
      </c>
      <c r="F2838">
        <f>'R.M Billets Reports'!C2837</f>
      </c>
      <c r="G2838">
        <f>'R.M Billets Reports'!D2837</f>
      </c>
      <c r="H2838">
        <f>'R.M Billets Reports'!E2837</f>
      </c>
      <c r="I2838">
        <f>'R.M Billets Reports'!F2837</f>
      </c>
      <c r="J2838">
        <f>'R.M Billets Reports'!G2837</f>
      </c>
      <c r="K2838">
        <f>'R.M Billets Reports'!H2837</f>
      </c>
      <c r="L2838">
        <f>IF('R.M Billets Reports'!I2837="","",'R.M Billets Reports'!I2837)</f>
      </c>
      <c r="M2838">
        <f t="shared" si="88"/>
      </c>
      <c r="N2838">
        <f>IF('R.M Billets Reports'!J2837="","",'R.M Billets Reports'!J2837)</f>
      </c>
      <c r="O2838">
        <f t="shared" si="89"/>
      </c>
      <c r="P2838">
        <f>IF('R.M Billets Reports'!A2837="SIZE",'R.M Billets Reports'!B2837,P2837)</f>
      </c>
    </row>
    <row r="2839" spans="1:16" x14ac:dyDescent="0.25">
      <c r="A2839">
        <f>IF(OR('R.M Billets Reports'!A2838="Date-",'R.M Billets Reports'!A2838="Date:-"),IF(IF(IF(ISNUMBER(SEARCH("Party Name:-",'R.M Billets Reports'!D2838)),TRIM('R.M Billets Reports'!F2838),IF(ISNUMBER(SEARCH("Party Name-",'R.M Billets Reports'!D2838)),TRIM(MID('R.M Billets Reports'!D2838,SEARCH("-",'R.M Billets Reports'!D2838)+1,200)),""))&lt;&gt;"",IF(ISNUMBER(SEARCH("Party Name:-",'R.M Billets Reports'!D2838)),TRIM('R.M Billets Reports'!F2838),IF(ISNUMBER(SEARCH("Party Name-",'R.M Billets Reports'!D2838)),TRIM(MID('R.M Billets Reports'!D2838,SEARCH("-",'R.M Billets Reports'!D2838)+1,200)),"")),IF(ISNUMBER(SEARCH("Party Name:-",'R.M Billets Reports'!D2839)),TRIM('R.M Billets Reports'!F2839),IF(ISNUMBER(SEARCH("Party Name-",'R.M Billets Reports'!D2839)),TRIM(MID('R.M Billets Reports'!D2839,SEARCH("-",'R.M Billets Reports'!D2839)+1,200)),"")))="VRKP ISPAT PVT LTD","VRKP",IF(IF(IF(ISNUMBER(SEARCH("Party Name:-",'R.M Billets Reports'!D2838)),TRIM('R.M Billets Reports'!F2838),IF(ISNUMBER(SEARCH("Party Name-",'R.M Billets Reports'!D2838)),TRIM(MID('R.M Billets Reports'!D2838,SEARCH("-",'R.M Billets Reports'!D2838)+1,200)),""))&lt;&gt;"",IF(ISNUMBER(SEARCH("Party Name:-",'R.M Billets Reports'!D2838)),TRIM('R.M Billets Reports'!F2838),IF(ISNUMBER(SEARCH("Party Name-",'R.M Billets Reports'!D2838)),TRIM(MID('R.M Billets Reports'!D2838,SEARCH("-",'R.M Billets Reports'!D2838)+1,200)),"")),IF(ISNUMBER(SEARCH("Party Name:-",'R.M Billets Reports'!D2839)),TRIM('R.M Billets Reports'!F2839),IF(ISNUMBER(SEARCH("Party Name-",'R.M Billets Reports'!D2839)),TRIM(MID('R.M Billets Reports'!D2839,SEARCH("-",'R.M Billets Reports'!D2839)+1,200)),"")))="SHRI RADHE","SHREE RADHE",IF(IF(IF(ISNUMBER(SEARCH("Party Name:-",'R.M Billets Reports'!D2838)),TRIM('R.M Billets Reports'!F2838),IF(ISNUMBER(SEARCH("Party Name-",'R.M Billets Reports'!D2838)),TRIM(MID('R.M Billets Reports'!D2838,SEARCH("-",'R.M Billets Reports'!D2838)+1,200)),""))&lt;&gt;"",IF(ISNUMBER(SEARCH("Party Name:-",'R.M Billets Reports'!D2838)),TRIM('R.M Billets Reports'!F2838),IF(ISNUMBER(SEARCH("Party Name-",'R.M Billets Reports'!D2838)),TRIM(MID('R.M Billets Reports'!D2838,SEARCH("-",'R.M Billets Reports'!D2838)+1,200)),"")),IF(ISNUMBER(SEARCH("Party Name:-",'R.M Billets Reports'!D2839)),TRIM('R.M Billets Reports'!F2839),IF(ISNUMBER(SEARCH("Party Name-",'R.M Billets Reports'!D2839)),TRIM(MID('R.M Billets Reports'!D2839,SEARCH("-",'R.M Billets Reports'!D2839)+1,200)),"")))="SHREE RADHE SHAKTI SPONGE AND POWER PVT. LTD.","SHREE RADHE",IF(IF(ISNUMBER(SEARCH("Party Name:-",'R.M Billets Reports'!D2838)),TRIM('R.M Billets Reports'!F2838),IF(ISNUMBER(SEARCH("Party Name-",'R.M Billets Reports'!D2838)),TRIM(MID('R.M Billets Reports'!D2838,SEARCH("-",'R.M Billets Reports'!D2838)+1,200)),""))&lt;&gt;"",IF(ISNUMBER(SEARCH("Party Name:-",'R.M Billets Reports'!D2838)),TRIM('R.M Billets Reports'!F2838),IF(ISNUMBER(SEARCH("Party Name-",'R.M Billets Reports'!D2838)),TRIM(MID('R.M Billets Reports'!D2838,SEARCH("-",'R.M Billets Reports'!D2838)+1,200)),"")),IF(ISNUMBER(SEARCH("Party Name:-",'R.M Billets Reports'!D2839)),TRIM('R.M Billets Reports'!F2839),IF(ISNUMBER(SEARCH("Party Name-",'R.M Billets Reports'!D2839)),TRIM(MID('R.M Billets Reports'!D2839,SEARCH("-",'R.M Billets Reports'!D2839)+1,200)),"")))))),IF(ROW()=2,"",A2838))</f>
      </c>
      <c r="B2839">
        <f>IF(OR('R.M Billets Reports'!A2838="Date-",'R.M Billets Reports'!A2838="Date:-"),'R.M Billets Reports'!B2838,IF(ROW()=2,"",B2838))</f>
      </c>
      <c r="C2839">
        <f>IF('R.M Billets Reports'!A2838="V.No.",'R.M Billets Reports'!B2838,IF(ROW()=2,"",C2838))</f>
      </c>
      <c r="D2839">
        <f>IF('R.M Billets Reports'!A2838&lt;&gt;"",'R.M Billets Reports'!A2838,IF(ROW()=2,"",D2838))</f>
      </c>
      <c r="E2839">
        <f>IF('R.M Billets Reports'!B2838="","",TRIM('R.M Billets Reports'!B2838))</f>
      </c>
      <c r="F2839">
        <f>'R.M Billets Reports'!C2838</f>
      </c>
      <c r="G2839">
        <f>'R.M Billets Reports'!D2838</f>
      </c>
      <c r="H2839">
        <f>'R.M Billets Reports'!E2838</f>
      </c>
      <c r="I2839">
        <f>'R.M Billets Reports'!F2838</f>
      </c>
      <c r="J2839">
        <f>'R.M Billets Reports'!G2838</f>
      </c>
      <c r="K2839">
        <f>'R.M Billets Reports'!H2838</f>
      </c>
      <c r="L2839">
        <f>IF('R.M Billets Reports'!I2838="","",'R.M Billets Reports'!I2838)</f>
      </c>
      <c r="M2839">
        <f t="shared" si="88"/>
      </c>
      <c r="N2839">
        <f>IF('R.M Billets Reports'!J2838="","",'R.M Billets Reports'!J2838)</f>
      </c>
      <c r="O2839">
        <f t="shared" si="89"/>
      </c>
      <c r="P2839">
        <f>IF('R.M Billets Reports'!A2838="SIZE",'R.M Billets Reports'!B2838,P2838)</f>
      </c>
    </row>
    <row r="2840" spans="1:16" x14ac:dyDescent="0.25">
      <c r="A2840">
        <f>IF(OR('R.M Billets Reports'!A2839="Date-",'R.M Billets Reports'!A2839="Date:-"),IF(IF(IF(ISNUMBER(SEARCH("Party Name:-",'R.M Billets Reports'!D2839)),TRIM('R.M Billets Reports'!F2839),IF(ISNUMBER(SEARCH("Party Name-",'R.M Billets Reports'!D2839)),TRIM(MID('R.M Billets Reports'!D2839,SEARCH("-",'R.M Billets Reports'!D2839)+1,200)),""))&lt;&gt;"",IF(ISNUMBER(SEARCH("Party Name:-",'R.M Billets Reports'!D2839)),TRIM('R.M Billets Reports'!F2839),IF(ISNUMBER(SEARCH("Party Name-",'R.M Billets Reports'!D2839)),TRIM(MID('R.M Billets Reports'!D2839,SEARCH("-",'R.M Billets Reports'!D2839)+1,200)),"")),IF(ISNUMBER(SEARCH("Party Name:-",'R.M Billets Reports'!D2840)),TRIM('R.M Billets Reports'!F2840),IF(ISNUMBER(SEARCH("Party Name-",'R.M Billets Reports'!D2840)),TRIM(MID('R.M Billets Reports'!D2840,SEARCH("-",'R.M Billets Reports'!D2840)+1,200)),"")))="VRKP ISPAT PVT LTD","VRKP",IF(IF(IF(ISNUMBER(SEARCH("Party Name:-",'R.M Billets Reports'!D2839)),TRIM('R.M Billets Reports'!F2839),IF(ISNUMBER(SEARCH("Party Name-",'R.M Billets Reports'!D2839)),TRIM(MID('R.M Billets Reports'!D2839,SEARCH("-",'R.M Billets Reports'!D2839)+1,200)),""))&lt;&gt;"",IF(ISNUMBER(SEARCH("Party Name:-",'R.M Billets Reports'!D2839)),TRIM('R.M Billets Reports'!F2839),IF(ISNUMBER(SEARCH("Party Name-",'R.M Billets Reports'!D2839)),TRIM(MID('R.M Billets Reports'!D2839,SEARCH("-",'R.M Billets Reports'!D2839)+1,200)),"")),IF(ISNUMBER(SEARCH("Party Name:-",'R.M Billets Reports'!D2840)),TRIM('R.M Billets Reports'!F2840),IF(ISNUMBER(SEARCH("Party Name-",'R.M Billets Reports'!D2840)),TRIM(MID('R.M Billets Reports'!D2840,SEARCH("-",'R.M Billets Reports'!D2840)+1,200)),"")))="SHRI RADHE","SHREE RADHE",IF(IF(IF(ISNUMBER(SEARCH("Party Name:-",'R.M Billets Reports'!D2839)),TRIM('R.M Billets Reports'!F2839),IF(ISNUMBER(SEARCH("Party Name-",'R.M Billets Reports'!D2839)),TRIM(MID('R.M Billets Reports'!D2839,SEARCH("-",'R.M Billets Reports'!D2839)+1,200)),""))&lt;&gt;"",IF(ISNUMBER(SEARCH("Party Name:-",'R.M Billets Reports'!D2839)),TRIM('R.M Billets Reports'!F2839),IF(ISNUMBER(SEARCH("Party Name-",'R.M Billets Reports'!D2839)),TRIM(MID('R.M Billets Reports'!D2839,SEARCH("-",'R.M Billets Reports'!D2839)+1,200)),"")),IF(ISNUMBER(SEARCH("Party Name:-",'R.M Billets Reports'!D2840)),TRIM('R.M Billets Reports'!F2840),IF(ISNUMBER(SEARCH("Party Name-",'R.M Billets Reports'!D2840)),TRIM(MID('R.M Billets Reports'!D2840,SEARCH("-",'R.M Billets Reports'!D2840)+1,200)),"")))="SHREE RADHE SHAKTI SPONGE AND POWER PVT. LTD.","SHREE RADHE",IF(IF(ISNUMBER(SEARCH("Party Name:-",'R.M Billets Reports'!D2839)),TRIM('R.M Billets Reports'!F2839),IF(ISNUMBER(SEARCH("Party Name-",'R.M Billets Reports'!D2839)),TRIM(MID('R.M Billets Reports'!D2839,SEARCH("-",'R.M Billets Reports'!D2839)+1,200)),""))&lt;&gt;"",IF(ISNUMBER(SEARCH("Party Name:-",'R.M Billets Reports'!D2839)),TRIM('R.M Billets Reports'!F2839),IF(ISNUMBER(SEARCH("Party Name-",'R.M Billets Reports'!D2839)),TRIM(MID('R.M Billets Reports'!D2839,SEARCH("-",'R.M Billets Reports'!D2839)+1,200)),"")),IF(ISNUMBER(SEARCH("Party Name:-",'R.M Billets Reports'!D2840)),TRIM('R.M Billets Reports'!F2840),IF(ISNUMBER(SEARCH("Party Name-",'R.M Billets Reports'!D2840)),TRIM(MID('R.M Billets Reports'!D2840,SEARCH("-",'R.M Billets Reports'!D2840)+1,200)),"")))))),IF(ROW()=2,"",A2839))</f>
      </c>
      <c r="B2840">
        <f>IF(OR('R.M Billets Reports'!A2839="Date-",'R.M Billets Reports'!A2839="Date:-"),'R.M Billets Reports'!B2839,IF(ROW()=2,"",B2839))</f>
      </c>
      <c r="C2840">
        <f>IF('R.M Billets Reports'!A2839="V.No.",'R.M Billets Reports'!B2839,IF(ROW()=2,"",C2839))</f>
      </c>
      <c r="D2840">
        <f>IF('R.M Billets Reports'!A2839&lt;&gt;"",'R.M Billets Reports'!A2839,IF(ROW()=2,"",D2839))</f>
      </c>
      <c r="E2840">
        <f>IF('R.M Billets Reports'!B2839="","",TRIM('R.M Billets Reports'!B2839))</f>
      </c>
      <c r="F2840">
        <f>'R.M Billets Reports'!C2839</f>
      </c>
      <c r="G2840">
        <f>'R.M Billets Reports'!D2839</f>
      </c>
      <c r="H2840">
        <f>'R.M Billets Reports'!E2839</f>
      </c>
      <c r="I2840">
        <f>'R.M Billets Reports'!F2839</f>
      </c>
      <c r="J2840">
        <f>'R.M Billets Reports'!G2839</f>
      </c>
      <c r="K2840">
        <f>'R.M Billets Reports'!H2839</f>
      </c>
      <c r="L2840">
        <f>IF('R.M Billets Reports'!I2839="","",'R.M Billets Reports'!I2839)</f>
      </c>
      <c r="M2840">
        <f t="shared" si="88"/>
      </c>
      <c r="N2840">
        <f>IF('R.M Billets Reports'!J2839="","",'R.M Billets Reports'!J2839)</f>
      </c>
      <c r="O2840">
        <f t="shared" si="89"/>
      </c>
      <c r="P2840">
        <f>IF('R.M Billets Reports'!A2839="SIZE",'R.M Billets Reports'!B2839,P2839)</f>
      </c>
    </row>
    <row r="2841" spans="1:16" x14ac:dyDescent="0.25">
      <c r="A2841">
        <f>IF(OR('R.M Billets Reports'!A2840="Date-",'R.M Billets Reports'!A2840="Date:-"),IF(IF(IF(ISNUMBER(SEARCH("Party Name:-",'R.M Billets Reports'!D2840)),TRIM('R.M Billets Reports'!F2840),IF(ISNUMBER(SEARCH("Party Name-",'R.M Billets Reports'!D2840)),TRIM(MID('R.M Billets Reports'!D2840,SEARCH("-",'R.M Billets Reports'!D2840)+1,200)),""))&lt;&gt;"",IF(ISNUMBER(SEARCH("Party Name:-",'R.M Billets Reports'!D2840)),TRIM('R.M Billets Reports'!F2840),IF(ISNUMBER(SEARCH("Party Name-",'R.M Billets Reports'!D2840)),TRIM(MID('R.M Billets Reports'!D2840,SEARCH("-",'R.M Billets Reports'!D2840)+1,200)),"")),IF(ISNUMBER(SEARCH("Party Name:-",'R.M Billets Reports'!D2841)),TRIM('R.M Billets Reports'!F2841),IF(ISNUMBER(SEARCH("Party Name-",'R.M Billets Reports'!D2841)),TRIM(MID('R.M Billets Reports'!D2841,SEARCH("-",'R.M Billets Reports'!D2841)+1,200)),"")))="VRKP ISPAT PVT LTD","VRKP",IF(IF(IF(ISNUMBER(SEARCH("Party Name:-",'R.M Billets Reports'!D2840)),TRIM('R.M Billets Reports'!F2840),IF(ISNUMBER(SEARCH("Party Name-",'R.M Billets Reports'!D2840)),TRIM(MID('R.M Billets Reports'!D2840,SEARCH("-",'R.M Billets Reports'!D2840)+1,200)),""))&lt;&gt;"",IF(ISNUMBER(SEARCH("Party Name:-",'R.M Billets Reports'!D2840)),TRIM('R.M Billets Reports'!F2840),IF(ISNUMBER(SEARCH("Party Name-",'R.M Billets Reports'!D2840)),TRIM(MID('R.M Billets Reports'!D2840,SEARCH("-",'R.M Billets Reports'!D2840)+1,200)),"")),IF(ISNUMBER(SEARCH("Party Name:-",'R.M Billets Reports'!D2841)),TRIM('R.M Billets Reports'!F2841),IF(ISNUMBER(SEARCH("Party Name-",'R.M Billets Reports'!D2841)),TRIM(MID('R.M Billets Reports'!D2841,SEARCH("-",'R.M Billets Reports'!D2841)+1,200)),"")))="SHRI RADHE","SHREE RADHE",IF(IF(IF(ISNUMBER(SEARCH("Party Name:-",'R.M Billets Reports'!D2840)),TRIM('R.M Billets Reports'!F2840),IF(ISNUMBER(SEARCH("Party Name-",'R.M Billets Reports'!D2840)),TRIM(MID('R.M Billets Reports'!D2840,SEARCH("-",'R.M Billets Reports'!D2840)+1,200)),""))&lt;&gt;"",IF(ISNUMBER(SEARCH("Party Name:-",'R.M Billets Reports'!D2840)),TRIM('R.M Billets Reports'!F2840),IF(ISNUMBER(SEARCH("Party Name-",'R.M Billets Reports'!D2840)),TRIM(MID('R.M Billets Reports'!D2840,SEARCH("-",'R.M Billets Reports'!D2840)+1,200)),"")),IF(ISNUMBER(SEARCH("Party Name:-",'R.M Billets Reports'!D2841)),TRIM('R.M Billets Reports'!F2841),IF(ISNUMBER(SEARCH("Party Name-",'R.M Billets Reports'!D2841)),TRIM(MID('R.M Billets Reports'!D2841,SEARCH("-",'R.M Billets Reports'!D2841)+1,200)),"")))="SHREE RADHE SHAKTI SPONGE AND POWER PVT. LTD.","SHREE RADHE",IF(IF(ISNUMBER(SEARCH("Party Name:-",'R.M Billets Reports'!D2840)),TRIM('R.M Billets Reports'!F2840),IF(ISNUMBER(SEARCH("Party Name-",'R.M Billets Reports'!D2840)),TRIM(MID('R.M Billets Reports'!D2840,SEARCH("-",'R.M Billets Reports'!D2840)+1,200)),""))&lt;&gt;"",IF(ISNUMBER(SEARCH("Party Name:-",'R.M Billets Reports'!D2840)),TRIM('R.M Billets Reports'!F2840),IF(ISNUMBER(SEARCH("Party Name-",'R.M Billets Reports'!D2840)),TRIM(MID('R.M Billets Reports'!D2840,SEARCH("-",'R.M Billets Reports'!D2840)+1,200)),"")),IF(ISNUMBER(SEARCH("Party Name:-",'R.M Billets Reports'!D2841)),TRIM('R.M Billets Reports'!F2841),IF(ISNUMBER(SEARCH("Party Name-",'R.M Billets Reports'!D2841)),TRIM(MID('R.M Billets Reports'!D2841,SEARCH("-",'R.M Billets Reports'!D2841)+1,200)),"")))))),IF(ROW()=2,"",A2840))</f>
      </c>
      <c r="B2841">
        <f>IF(OR('R.M Billets Reports'!A2840="Date-",'R.M Billets Reports'!A2840="Date:-"),'R.M Billets Reports'!B2840,IF(ROW()=2,"",B2840))</f>
      </c>
      <c r="C2841">
        <f>IF('R.M Billets Reports'!A2840="V.No.",'R.M Billets Reports'!B2840,IF(ROW()=2,"",C2840))</f>
      </c>
      <c r="D2841">
        <f>IF('R.M Billets Reports'!A2840&lt;&gt;"",'R.M Billets Reports'!A2840,IF(ROW()=2,"",D2840))</f>
      </c>
      <c r="E2841">
        <f>IF('R.M Billets Reports'!B2840="","",TRIM('R.M Billets Reports'!B2840))</f>
      </c>
      <c r="F2841">
        <f>'R.M Billets Reports'!C2840</f>
      </c>
      <c r="G2841">
        <f>'R.M Billets Reports'!D2840</f>
      </c>
      <c r="H2841">
        <f>'R.M Billets Reports'!E2840</f>
      </c>
      <c r="I2841">
        <f>'R.M Billets Reports'!F2840</f>
      </c>
      <c r="J2841">
        <f>'R.M Billets Reports'!G2840</f>
      </c>
      <c r="K2841">
        <f>'R.M Billets Reports'!H2840</f>
      </c>
      <c r="L2841">
        <f>IF('R.M Billets Reports'!I2840="","",'R.M Billets Reports'!I2840)</f>
      </c>
      <c r="M2841">
        <f t="shared" si="88"/>
      </c>
      <c r="N2841">
        <f>IF('R.M Billets Reports'!J2840="","",'R.M Billets Reports'!J2840)</f>
      </c>
      <c r="O2841">
        <f t="shared" si="89"/>
      </c>
      <c r="P2841">
        <f>IF('R.M Billets Reports'!A2840="SIZE",'R.M Billets Reports'!B2840,P2840)</f>
      </c>
    </row>
    <row r="2842" spans="1:16" x14ac:dyDescent="0.25">
      <c r="A2842">
        <f>IF(OR('R.M Billets Reports'!A2841="Date-",'R.M Billets Reports'!A2841="Date:-"),IF(IF(IF(ISNUMBER(SEARCH("Party Name:-",'R.M Billets Reports'!D2841)),TRIM('R.M Billets Reports'!F2841),IF(ISNUMBER(SEARCH("Party Name-",'R.M Billets Reports'!D2841)),TRIM(MID('R.M Billets Reports'!D2841,SEARCH("-",'R.M Billets Reports'!D2841)+1,200)),""))&lt;&gt;"",IF(ISNUMBER(SEARCH("Party Name:-",'R.M Billets Reports'!D2841)),TRIM('R.M Billets Reports'!F2841),IF(ISNUMBER(SEARCH("Party Name-",'R.M Billets Reports'!D2841)),TRIM(MID('R.M Billets Reports'!D2841,SEARCH("-",'R.M Billets Reports'!D2841)+1,200)),"")),IF(ISNUMBER(SEARCH("Party Name:-",'R.M Billets Reports'!D2842)),TRIM('R.M Billets Reports'!F2842),IF(ISNUMBER(SEARCH("Party Name-",'R.M Billets Reports'!D2842)),TRIM(MID('R.M Billets Reports'!D2842,SEARCH("-",'R.M Billets Reports'!D2842)+1,200)),"")))="VRKP ISPAT PVT LTD","VRKP",IF(IF(IF(ISNUMBER(SEARCH("Party Name:-",'R.M Billets Reports'!D2841)),TRIM('R.M Billets Reports'!F2841),IF(ISNUMBER(SEARCH("Party Name-",'R.M Billets Reports'!D2841)),TRIM(MID('R.M Billets Reports'!D2841,SEARCH("-",'R.M Billets Reports'!D2841)+1,200)),""))&lt;&gt;"",IF(ISNUMBER(SEARCH("Party Name:-",'R.M Billets Reports'!D2841)),TRIM('R.M Billets Reports'!F2841),IF(ISNUMBER(SEARCH("Party Name-",'R.M Billets Reports'!D2841)),TRIM(MID('R.M Billets Reports'!D2841,SEARCH("-",'R.M Billets Reports'!D2841)+1,200)),"")),IF(ISNUMBER(SEARCH("Party Name:-",'R.M Billets Reports'!D2842)),TRIM('R.M Billets Reports'!F2842),IF(ISNUMBER(SEARCH("Party Name-",'R.M Billets Reports'!D2842)),TRIM(MID('R.M Billets Reports'!D2842,SEARCH("-",'R.M Billets Reports'!D2842)+1,200)),"")))="SHRI RADHE","SHREE RADHE",IF(IF(IF(ISNUMBER(SEARCH("Party Name:-",'R.M Billets Reports'!D2841)),TRIM('R.M Billets Reports'!F2841),IF(ISNUMBER(SEARCH("Party Name-",'R.M Billets Reports'!D2841)),TRIM(MID('R.M Billets Reports'!D2841,SEARCH("-",'R.M Billets Reports'!D2841)+1,200)),""))&lt;&gt;"",IF(ISNUMBER(SEARCH("Party Name:-",'R.M Billets Reports'!D2841)),TRIM('R.M Billets Reports'!F2841),IF(ISNUMBER(SEARCH("Party Name-",'R.M Billets Reports'!D2841)),TRIM(MID('R.M Billets Reports'!D2841,SEARCH("-",'R.M Billets Reports'!D2841)+1,200)),"")),IF(ISNUMBER(SEARCH("Party Name:-",'R.M Billets Reports'!D2842)),TRIM('R.M Billets Reports'!F2842),IF(ISNUMBER(SEARCH("Party Name-",'R.M Billets Reports'!D2842)),TRIM(MID('R.M Billets Reports'!D2842,SEARCH("-",'R.M Billets Reports'!D2842)+1,200)),"")))="SHREE RADHE SHAKTI SPONGE AND POWER PVT. LTD.","SHREE RADHE",IF(IF(ISNUMBER(SEARCH("Party Name:-",'R.M Billets Reports'!D2841)),TRIM('R.M Billets Reports'!F2841),IF(ISNUMBER(SEARCH("Party Name-",'R.M Billets Reports'!D2841)),TRIM(MID('R.M Billets Reports'!D2841,SEARCH("-",'R.M Billets Reports'!D2841)+1,200)),""))&lt;&gt;"",IF(ISNUMBER(SEARCH("Party Name:-",'R.M Billets Reports'!D2841)),TRIM('R.M Billets Reports'!F2841),IF(ISNUMBER(SEARCH("Party Name-",'R.M Billets Reports'!D2841)),TRIM(MID('R.M Billets Reports'!D2841,SEARCH("-",'R.M Billets Reports'!D2841)+1,200)),"")),IF(ISNUMBER(SEARCH("Party Name:-",'R.M Billets Reports'!D2842)),TRIM('R.M Billets Reports'!F2842),IF(ISNUMBER(SEARCH("Party Name-",'R.M Billets Reports'!D2842)),TRIM(MID('R.M Billets Reports'!D2842,SEARCH("-",'R.M Billets Reports'!D2842)+1,200)),"")))))),IF(ROW()=2,"",A2841))</f>
      </c>
      <c r="B2842">
        <f>IF(OR('R.M Billets Reports'!A2841="Date-",'R.M Billets Reports'!A2841="Date:-"),'R.M Billets Reports'!B2841,IF(ROW()=2,"",B2841))</f>
      </c>
      <c r="C2842">
        <f>IF('R.M Billets Reports'!A2841="V.No.",'R.M Billets Reports'!B2841,IF(ROW()=2,"",C2841))</f>
      </c>
      <c r="D2842">
        <f>IF('R.M Billets Reports'!A2841&lt;&gt;"",'R.M Billets Reports'!A2841,IF(ROW()=2,"",D2841))</f>
      </c>
      <c r="E2842">
        <f>IF('R.M Billets Reports'!B2841="","",TRIM('R.M Billets Reports'!B2841))</f>
      </c>
      <c r="F2842">
        <f>'R.M Billets Reports'!C2841</f>
      </c>
      <c r="G2842">
        <f>'R.M Billets Reports'!D2841</f>
      </c>
      <c r="H2842">
        <f>'R.M Billets Reports'!E2841</f>
      </c>
      <c r="I2842">
        <f>'R.M Billets Reports'!F2841</f>
      </c>
      <c r="J2842">
        <f>'R.M Billets Reports'!G2841</f>
      </c>
      <c r="K2842">
        <f>'R.M Billets Reports'!H2841</f>
      </c>
      <c r="L2842">
        <f>IF('R.M Billets Reports'!I2841="","",'R.M Billets Reports'!I2841)</f>
      </c>
      <c r="M2842">
        <f t="shared" si="88"/>
      </c>
      <c r="N2842">
        <f>IF('R.M Billets Reports'!J2841="","",'R.M Billets Reports'!J2841)</f>
      </c>
      <c r="O2842">
        <f t="shared" si="89"/>
      </c>
      <c r="P2842">
        <f>IF('R.M Billets Reports'!A2841="SIZE",'R.M Billets Reports'!B2841,P2841)</f>
      </c>
    </row>
    <row r="2843" spans="1:16" x14ac:dyDescent="0.25">
      <c r="A2843">
        <f>IF(OR('R.M Billets Reports'!A2842="Date-",'R.M Billets Reports'!A2842="Date:-"),IF(IF(IF(ISNUMBER(SEARCH("Party Name:-",'R.M Billets Reports'!D2842)),TRIM('R.M Billets Reports'!F2842),IF(ISNUMBER(SEARCH("Party Name-",'R.M Billets Reports'!D2842)),TRIM(MID('R.M Billets Reports'!D2842,SEARCH("-",'R.M Billets Reports'!D2842)+1,200)),""))&lt;&gt;"",IF(ISNUMBER(SEARCH("Party Name:-",'R.M Billets Reports'!D2842)),TRIM('R.M Billets Reports'!F2842),IF(ISNUMBER(SEARCH("Party Name-",'R.M Billets Reports'!D2842)),TRIM(MID('R.M Billets Reports'!D2842,SEARCH("-",'R.M Billets Reports'!D2842)+1,200)),"")),IF(ISNUMBER(SEARCH("Party Name:-",'R.M Billets Reports'!D2843)),TRIM('R.M Billets Reports'!F2843),IF(ISNUMBER(SEARCH("Party Name-",'R.M Billets Reports'!D2843)),TRIM(MID('R.M Billets Reports'!D2843,SEARCH("-",'R.M Billets Reports'!D2843)+1,200)),"")))="VRKP ISPAT PVT LTD","VRKP",IF(IF(IF(ISNUMBER(SEARCH("Party Name:-",'R.M Billets Reports'!D2842)),TRIM('R.M Billets Reports'!F2842),IF(ISNUMBER(SEARCH("Party Name-",'R.M Billets Reports'!D2842)),TRIM(MID('R.M Billets Reports'!D2842,SEARCH("-",'R.M Billets Reports'!D2842)+1,200)),""))&lt;&gt;"",IF(ISNUMBER(SEARCH("Party Name:-",'R.M Billets Reports'!D2842)),TRIM('R.M Billets Reports'!F2842),IF(ISNUMBER(SEARCH("Party Name-",'R.M Billets Reports'!D2842)),TRIM(MID('R.M Billets Reports'!D2842,SEARCH("-",'R.M Billets Reports'!D2842)+1,200)),"")),IF(ISNUMBER(SEARCH("Party Name:-",'R.M Billets Reports'!D2843)),TRIM('R.M Billets Reports'!F2843),IF(ISNUMBER(SEARCH("Party Name-",'R.M Billets Reports'!D2843)),TRIM(MID('R.M Billets Reports'!D2843,SEARCH("-",'R.M Billets Reports'!D2843)+1,200)),"")))="SHRI RADHE","SHREE RADHE",IF(IF(IF(ISNUMBER(SEARCH("Party Name:-",'R.M Billets Reports'!D2842)),TRIM('R.M Billets Reports'!F2842),IF(ISNUMBER(SEARCH("Party Name-",'R.M Billets Reports'!D2842)),TRIM(MID('R.M Billets Reports'!D2842,SEARCH("-",'R.M Billets Reports'!D2842)+1,200)),""))&lt;&gt;"",IF(ISNUMBER(SEARCH("Party Name:-",'R.M Billets Reports'!D2842)),TRIM('R.M Billets Reports'!F2842),IF(ISNUMBER(SEARCH("Party Name-",'R.M Billets Reports'!D2842)),TRIM(MID('R.M Billets Reports'!D2842,SEARCH("-",'R.M Billets Reports'!D2842)+1,200)),"")),IF(ISNUMBER(SEARCH("Party Name:-",'R.M Billets Reports'!D2843)),TRIM('R.M Billets Reports'!F2843),IF(ISNUMBER(SEARCH("Party Name-",'R.M Billets Reports'!D2843)),TRIM(MID('R.M Billets Reports'!D2843,SEARCH("-",'R.M Billets Reports'!D2843)+1,200)),"")))="SHREE RADHE SHAKTI SPONGE AND POWER PVT. LTD.","SHREE RADHE",IF(IF(ISNUMBER(SEARCH("Party Name:-",'R.M Billets Reports'!D2842)),TRIM('R.M Billets Reports'!F2842),IF(ISNUMBER(SEARCH("Party Name-",'R.M Billets Reports'!D2842)),TRIM(MID('R.M Billets Reports'!D2842,SEARCH("-",'R.M Billets Reports'!D2842)+1,200)),""))&lt;&gt;"",IF(ISNUMBER(SEARCH("Party Name:-",'R.M Billets Reports'!D2842)),TRIM('R.M Billets Reports'!F2842),IF(ISNUMBER(SEARCH("Party Name-",'R.M Billets Reports'!D2842)),TRIM(MID('R.M Billets Reports'!D2842,SEARCH("-",'R.M Billets Reports'!D2842)+1,200)),"")),IF(ISNUMBER(SEARCH("Party Name:-",'R.M Billets Reports'!D2843)),TRIM('R.M Billets Reports'!F2843),IF(ISNUMBER(SEARCH("Party Name-",'R.M Billets Reports'!D2843)),TRIM(MID('R.M Billets Reports'!D2843,SEARCH("-",'R.M Billets Reports'!D2843)+1,200)),"")))))),IF(ROW()=2,"",A2842))</f>
      </c>
      <c r="B2843">
        <f>IF(OR('R.M Billets Reports'!A2842="Date-",'R.M Billets Reports'!A2842="Date:-"),'R.M Billets Reports'!B2842,IF(ROW()=2,"",B2842))</f>
      </c>
      <c r="C2843">
        <f>IF('R.M Billets Reports'!A2842="V.No.",'R.M Billets Reports'!B2842,IF(ROW()=2,"",C2842))</f>
      </c>
      <c r="D2843">
        <f>IF('R.M Billets Reports'!A2842&lt;&gt;"",'R.M Billets Reports'!A2842,IF(ROW()=2,"",D2842))</f>
      </c>
      <c r="E2843">
        <f>IF('R.M Billets Reports'!B2842="","",TRIM('R.M Billets Reports'!B2842))</f>
      </c>
      <c r="F2843">
        <f>'R.M Billets Reports'!C2842</f>
      </c>
      <c r="G2843">
        <f>'R.M Billets Reports'!D2842</f>
      </c>
      <c r="H2843">
        <f>'R.M Billets Reports'!E2842</f>
      </c>
      <c r="I2843">
        <f>'R.M Billets Reports'!F2842</f>
      </c>
      <c r="J2843">
        <f>'R.M Billets Reports'!G2842</f>
      </c>
      <c r="K2843">
        <f>'R.M Billets Reports'!H2842</f>
      </c>
      <c r="L2843">
        <f>IF('R.M Billets Reports'!I2842="","",'R.M Billets Reports'!I2842)</f>
      </c>
      <c r="M2843">
        <f t="shared" si="88"/>
      </c>
      <c r="N2843">
        <f>IF('R.M Billets Reports'!J2842="","",'R.M Billets Reports'!J2842)</f>
      </c>
      <c r="O2843">
        <f t="shared" si="89"/>
      </c>
      <c r="P2843">
        <f>IF('R.M Billets Reports'!A2842="SIZE",'R.M Billets Reports'!B2842,P2842)</f>
      </c>
    </row>
    <row r="2844" spans="1:16" x14ac:dyDescent="0.25">
      <c r="A2844">
        <f>IF(OR('R.M Billets Reports'!A2843="Date-",'R.M Billets Reports'!A2843="Date:-"),IF(IF(IF(ISNUMBER(SEARCH("Party Name:-",'R.M Billets Reports'!D2843)),TRIM('R.M Billets Reports'!F2843),IF(ISNUMBER(SEARCH("Party Name-",'R.M Billets Reports'!D2843)),TRIM(MID('R.M Billets Reports'!D2843,SEARCH("-",'R.M Billets Reports'!D2843)+1,200)),""))&lt;&gt;"",IF(ISNUMBER(SEARCH("Party Name:-",'R.M Billets Reports'!D2843)),TRIM('R.M Billets Reports'!F2843),IF(ISNUMBER(SEARCH("Party Name-",'R.M Billets Reports'!D2843)),TRIM(MID('R.M Billets Reports'!D2843,SEARCH("-",'R.M Billets Reports'!D2843)+1,200)),"")),IF(ISNUMBER(SEARCH("Party Name:-",'R.M Billets Reports'!D2844)),TRIM('R.M Billets Reports'!F2844),IF(ISNUMBER(SEARCH("Party Name-",'R.M Billets Reports'!D2844)),TRIM(MID('R.M Billets Reports'!D2844,SEARCH("-",'R.M Billets Reports'!D2844)+1,200)),"")))="VRKP ISPAT PVT LTD","VRKP",IF(IF(IF(ISNUMBER(SEARCH("Party Name:-",'R.M Billets Reports'!D2843)),TRIM('R.M Billets Reports'!F2843),IF(ISNUMBER(SEARCH("Party Name-",'R.M Billets Reports'!D2843)),TRIM(MID('R.M Billets Reports'!D2843,SEARCH("-",'R.M Billets Reports'!D2843)+1,200)),""))&lt;&gt;"",IF(ISNUMBER(SEARCH("Party Name:-",'R.M Billets Reports'!D2843)),TRIM('R.M Billets Reports'!F2843),IF(ISNUMBER(SEARCH("Party Name-",'R.M Billets Reports'!D2843)),TRIM(MID('R.M Billets Reports'!D2843,SEARCH("-",'R.M Billets Reports'!D2843)+1,200)),"")),IF(ISNUMBER(SEARCH("Party Name:-",'R.M Billets Reports'!D2844)),TRIM('R.M Billets Reports'!F2844),IF(ISNUMBER(SEARCH("Party Name-",'R.M Billets Reports'!D2844)),TRIM(MID('R.M Billets Reports'!D2844,SEARCH("-",'R.M Billets Reports'!D2844)+1,200)),"")))="SHRI RADHE","SHREE RADHE",IF(IF(IF(ISNUMBER(SEARCH("Party Name:-",'R.M Billets Reports'!D2843)),TRIM('R.M Billets Reports'!F2843),IF(ISNUMBER(SEARCH("Party Name-",'R.M Billets Reports'!D2843)),TRIM(MID('R.M Billets Reports'!D2843,SEARCH("-",'R.M Billets Reports'!D2843)+1,200)),""))&lt;&gt;"",IF(ISNUMBER(SEARCH("Party Name:-",'R.M Billets Reports'!D2843)),TRIM('R.M Billets Reports'!F2843),IF(ISNUMBER(SEARCH("Party Name-",'R.M Billets Reports'!D2843)),TRIM(MID('R.M Billets Reports'!D2843,SEARCH("-",'R.M Billets Reports'!D2843)+1,200)),"")),IF(ISNUMBER(SEARCH("Party Name:-",'R.M Billets Reports'!D2844)),TRIM('R.M Billets Reports'!F2844),IF(ISNUMBER(SEARCH("Party Name-",'R.M Billets Reports'!D2844)),TRIM(MID('R.M Billets Reports'!D2844,SEARCH("-",'R.M Billets Reports'!D2844)+1,200)),"")))="SHREE RADHE SHAKTI SPONGE AND POWER PVT. LTD.","SHREE RADHE",IF(IF(ISNUMBER(SEARCH("Party Name:-",'R.M Billets Reports'!D2843)),TRIM('R.M Billets Reports'!F2843),IF(ISNUMBER(SEARCH("Party Name-",'R.M Billets Reports'!D2843)),TRIM(MID('R.M Billets Reports'!D2843,SEARCH("-",'R.M Billets Reports'!D2843)+1,200)),""))&lt;&gt;"",IF(ISNUMBER(SEARCH("Party Name:-",'R.M Billets Reports'!D2843)),TRIM('R.M Billets Reports'!F2843),IF(ISNUMBER(SEARCH("Party Name-",'R.M Billets Reports'!D2843)),TRIM(MID('R.M Billets Reports'!D2843,SEARCH("-",'R.M Billets Reports'!D2843)+1,200)),"")),IF(ISNUMBER(SEARCH("Party Name:-",'R.M Billets Reports'!D2844)),TRIM('R.M Billets Reports'!F2844),IF(ISNUMBER(SEARCH("Party Name-",'R.M Billets Reports'!D2844)),TRIM(MID('R.M Billets Reports'!D2844,SEARCH("-",'R.M Billets Reports'!D2844)+1,200)),"")))))),IF(ROW()=2,"",A2843))</f>
      </c>
      <c r="B2844">
        <f>IF(OR('R.M Billets Reports'!A2843="Date-",'R.M Billets Reports'!A2843="Date:-"),'R.M Billets Reports'!B2843,IF(ROW()=2,"",B2843))</f>
      </c>
      <c r="C2844">
        <f>IF('R.M Billets Reports'!A2843="V.No.",'R.M Billets Reports'!B2843,IF(ROW()=2,"",C2843))</f>
      </c>
      <c r="D2844">
        <f>IF('R.M Billets Reports'!A2843&lt;&gt;"",'R.M Billets Reports'!A2843,IF(ROW()=2,"",D2843))</f>
      </c>
      <c r="E2844">
        <f>IF('R.M Billets Reports'!B2843="","",TRIM('R.M Billets Reports'!B2843))</f>
      </c>
      <c r="F2844">
        <f>'R.M Billets Reports'!C2843</f>
      </c>
      <c r="G2844">
        <f>'R.M Billets Reports'!D2843</f>
      </c>
      <c r="H2844">
        <f>'R.M Billets Reports'!E2843</f>
      </c>
      <c r="I2844">
        <f>'R.M Billets Reports'!F2843</f>
      </c>
      <c r="J2844">
        <f>'R.M Billets Reports'!G2843</f>
      </c>
      <c r="K2844">
        <f>'R.M Billets Reports'!H2843</f>
      </c>
      <c r="L2844">
        <f>IF('R.M Billets Reports'!I2843="","",'R.M Billets Reports'!I2843)</f>
      </c>
      <c r="M2844">
        <f t="shared" si="88"/>
      </c>
      <c r="N2844">
        <f>IF('R.M Billets Reports'!J2843="","",'R.M Billets Reports'!J2843)</f>
      </c>
      <c r="O2844">
        <f t="shared" si="89"/>
      </c>
      <c r="P2844">
        <f>IF('R.M Billets Reports'!A2843="SIZE",'R.M Billets Reports'!B2843,P2843)</f>
      </c>
    </row>
    <row r="2845" spans="1:16" x14ac:dyDescent="0.25">
      <c r="A2845">
        <f>IF(OR('R.M Billets Reports'!A2844="Date-",'R.M Billets Reports'!A2844="Date:-"),IF(IF(IF(ISNUMBER(SEARCH("Party Name:-",'R.M Billets Reports'!D2844)),TRIM('R.M Billets Reports'!F2844),IF(ISNUMBER(SEARCH("Party Name-",'R.M Billets Reports'!D2844)),TRIM(MID('R.M Billets Reports'!D2844,SEARCH("-",'R.M Billets Reports'!D2844)+1,200)),""))&lt;&gt;"",IF(ISNUMBER(SEARCH("Party Name:-",'R.M Billets Reports'!D2844)),TRIM('R.M Billets Reports'!F2844),IF(ISNUMBER(SEARCH("Party Name-",'R.M Billets Reports'!D2844)),TRIM(MID('R.M Billets Reports'!D2844,SEARCH("-",'R.M Billets Reports'!D2844)+1,200)),"")),IF(ISNUMBER(SEARCH("Party Name:-",'R.M Billets Reports'!D2845)),TRIM('R.M Billets Reports'!F2845),IF(ISNUMBER(SEARCH("Party Name-",'R.M Billets Reports'!D2845)),TRIM(MID('R.M Billets Reports'!D2845,SEARCH("-",'R.M Billets Reports'!D2845)+1,200)),"")))="VRKP ISPAT PVT LTD","VRKP",IF(IF(IF(ISNUMBER(SEARCH("Party Name:-",'R.M Billets Reports'!D2844)),TRIM('R.M Billets Reports'!F2844),IF(ISNUMBER(SEARCH("Party Name-",'R.M Billets Reports'!D2844)),TRIM(MID('R.M Billets Reports'!D2844,SEARCH("-",'R.M Billets Reports'!D2844)+1,200)),""))&lt;&gt;"",IF(ISNUMBER(SEARCH("Party Name:-",'R.M Billets Reports'!D2844)),TRIM('R.M Billets Reports'!F2844),IF(ISNUMBER(SEARCH("Party Name-",'R.M Billets Reports'!D2844)),TRIM(MID('R.M Billets Reports'!D2844,SEARCH("-",'R.M Billets Reports'!D2844)+1,200)),"")),IF(ISNUMBER(SEARCH("Party Name:-",'R.M Billets Reports'!D2845)),TRIM('R.M Billets Reports'!F2845),IF(ISNUMBER(SEARCH("Party Name-",'R.M Billets Reports'!D2845)),TRIM(MID('R.M Billets Reports'!D2845,SEARCH("-",'R.M Billets Reports'!D2845)+1,200)),"")))="SHRI RADHE","SHREE RADHE",IF(IF(IF(ISNUMBER(SEARCH("Party Name:-",'R.M Billets Reports'!D2844)),TRIM('R.M Billets Reports'!F2844),IF(ISNUMBER(SEARCH("Party Name-",'R.M Billets Reports'!D2844)),TRIM(MID('R.M Billets Reports'!D2844,SEARCH("-",'R.M Billets Reports'!D2844)+1,200)),""))&lt;&gt;"",IF(ISNUMBER(SEARCH("Party Name:-",'R.M Billets Reports'!D2844)),TRIM('R.M Billets Reports'!F2844),IF(ISNUMBER(SEARCH("Party Name-",'R.M Billets Reports'!D2844)),TRIM(MID('R.M Billets Reports'!D2844,SEARCH("-",'R.M Billets Reports'!D2844)+1,200)),"")),IF(ISNUMBER(SEARCH("Party Name:-",'R.M Billets Reports'!D2845)),TRIM('R.M Billets Reports'!F2845),IF(ISNUMBER(SEARCH("Party Name-",'R.M Billets Reports'!D2845)),TRIM(MID('R.M Billets Reports'!D2845,SEARCH("-",'R.M Billets Reports'!D2845)+1,200)),"")))="SHREE RADHE SHAKTI SPONGE AND POWER PVT. LTD.","SHREE RADHE",IF(IF(ISNUMBER(SEARCH("Party Name:-",'R.M Billets Reports'!D2844)),TRIM('R.M Billets Reports'!F2844),IF(ISNUMBER(SEARCH("Party Name-",'R.M Billets Reports'!D2844)),TRIM(MID('R.M Billets Reports'!D2844,SEARCH("-",'R.M Billets Reports'!D2844)+1,200)),""))&lt;&gt;"",IF(ISNUMBER(SEARCH("Party Name:-",'R.M Billets Reports'!D2844)),TRIM('R.M Billets Reports'!F2844),IF(ISNUMBER(SEARCH("Party Name-",'R.M Billets Reports'!D2844)),TRIM(MID('R.M Billets Reports'!D2844,SEARCH("-",'R.M Billets Reports'!D2844)+1,200)),"")),IF(ISNUMBER(SEARCH("Party Name:-",'R.M Billets Reports'!D2845)),TRIM('R.M Billets Reports'!F2845),IF(ISNUMBER(SEARCH("Party Name-",'R.M Billets Reports'!D2845)),TRIM(MID('R.M Billets Reports'!D2845,SEARCH("-",'R.M Billets Reports'!D2845)+1,200)),"")))))),IF(ROW()=2,"",A2844))</f>
      </c>
      <c r="B2845">
        <f>IF(OR('R.M Billets Reports'!A2844="Date-",'R.M Billets Reports'!A2844="Date:-"),'R.M Billets Reports'!B2844,IF(ROW()=2,"",B2844))</f>
      </c>
      <c r="C2845">
        <f>IF('R.M Billets Reports'!A2844="V.No.",'R.M Billets Reports'!B2844,IF(ROW()=2,"",C2844))</f>
      </c>
      <c r="D2845">
        <f>IF('R.M Billets Reports'!A2844&lt;&gt;"",'R.M Billets Reports'!A2844,IF(ROW()=2,"",D2844))</f>
      </c>
      <c r="E2845">
        <f>IF('R.M Billets Reports'!B2844="","",TRIM('R.M Billets Reports'!B2844))</f>
      </c>
      <c r="F2845">
        <f>'R.M Billets Reports'!C2844</f>
      </c>
      <c r="G2845">
        <f>'R.M Billets Reports'!D2844</f>
      </c>
      <c r="H2845">
        <f>'R.M Billets Reports'!E2844</f>
      </c>
      <c r="I2845">
        <f>'R.M Billets Reports'!F2844</f>
      </c>
      <c r="J2845">
        <f>'R.M Billets Reports'!G2844</f>
      </c>
      <c r="K2845">
        <f>'R.M Billets Reports'!H2844</f>
      </c>
      <c r="L2845">
        <f>IF('R.M Billets Reports'!I2844="","",'R.M Billets Reports'!I2844)</f>
      </c>
      <c r="M2845">
        <f t="shared" si="88"/>
      </c>
      <c r="N2845">
        <f>IF('R.M Billets Reports'!J2844="","",'R.M Billets Reports'!J2844)</f>
      </c>
      <c r="O2845">
        <f t="shared" si="89"/>
      </c>
      <c r="P2845">
        <f>IF('R.M Billets Reports'!A2844="SIZE",'R.M Billets Reports'!B2844,P2844)</f>
      </c>
    </row>
    <row r="2846" spans="1:16" x14ac:dyDescent="0.25">
      <c r="A2846">
        <f>IF(OR('R.M Billets Reports'!A2845="Date-",'R.M Billets Reports'!A2845="Date:-"),IF(IF(IF(ISNUMBER(SEARCH("Party Name:-",'R.M Billets Reports'!D2845)),TRIM('R.M Billets Reports'!F2845),IF(ISNUMBER(SEARCH("Party Name-",'R.M Billets Reports'!D2845)),TRIM(MID('R.M Billets Reports'!D2845,SEARCH("-",'R.M Billets Reports'!D2845)+1,200)),""))&lt;&gt;"",IF(ISNUMBER(SEARCH("Party Name:-",'R.M Billets Reports'!D2845)),TRIM('R.M Billets Reports'!F2845),IF(ISNUMBER(SEARCH("Party Name-",'R.M Billets Reports'!D2845)),TRIM(MID('R.M Billets Reports'!D2845,SEARCH("-",'R.M Billets Reports'!D2845)+1,200)),"")),IF(ISNUMBER(SEARCH("Party Name:-",'R.M Billets Reports'!D2846)),TRIM('R.M Billets Reports'!F2846),IF(ISNUMBER(SEARCH("Party Name-",'R.M Billets Reports'!D2846)),TRIM(MID('R.M Billets Reports'!D2846,SEARCH("-",'R.M Billets Reports'!D2846)+1,200)),"")))="VRKP ISPAT PVT LTD","VRKP",IF(IF(IF(ISNUMBER(SEARCH("Party Name:-",'R.M Billets Reports'!D2845)),TRIM('R.M Billets Reports'!F2845),IF(ISNUMBER(SEARCH("Party Name-",'R.M Billets Reports'!D2845)),TRIM(MID('R.M Billets Reports'!D2845,SEARCH("-",'R.M Billets Reports'!D2845)+1,200)),""))&lt;&gt;"",IF(ISNUMBER(SEARCH("Party Name:-",'R.M Billets Reports'!D2845)),TRIM('R.M Billets Reports'!F2845),IF(ISNUMBER(SEARCH("Party Name-",'R.M Billets Reports'!D2845)),TRIM(MID('R.M Billets Reports'!D2845,SEARCH("-",'R.M Billets Reports'!D2845)+1,200)),"")),IF(ISNUMBER(SEARCH("Party Name:-",'R.M Billets Reports'!D2846)),TRIM('R.M Billets Reports'!F2846),IF(ISNUMBER(SEARCH("Party Name-",'R.M Billets Reports'!D2846)),TRIM(MID('R.M Billets Reports'!D2846,SEARCH("-",'R.M Billets Reports'!D2846)+1,200)),"")))="SHRI RADHE","SHREE RADHE",IF(IF(IF(ISNUMBER(SEARCH("Party Name:-",'R.M Billets Reports'!D2845)),TRIM('R.M Billets Reports'!F2845),IF(ISNUMBER(SEARCH("Party Name-",'R.M Billets Reports'!D2845)),TRIM(MID('R.M Billets Reports'!D2845,SEARCH("-",'R.M Billets Reports'!D2845)+1,200)),""))&lt;&gt;"",IF(ISNUMBER(SEARCH("Party Name:-",'R.M Billets Reports'!D2845)),TRIM('R.M Billets Reports'!F2845),IF(ISNUMBER(SEARCH("Party Name-",'R.M Billets Reports'!D2845)),TRIM(MID('R.M Billets Reports'!D2845,SEARCH("-",'R.M Billets Reports'!D2845)+1,200)),"")),IF(ISNUMBER(SEARCH("Party Name:-",'R.M Billets Reports'!D2846)),TRIM('R.M Billets Reports'!F2846),IF(ISNUMBER(SEARCH("Party Name-",'R.M Billets Reports'!D2846)),TRIM(MID('R.M Billets Reports'!D2846,SEARCH("-",'R.M Billets Reports'!D2846)+1,200)),"")))="SHREE RADHE SHAKTI SPONGE AND POWER PVT. LTD.","SHREE RADHE",IF(IF(ISNUMBER(SEARCH("Party Name:-",'R.M Billets Reports'!D2845)),TRIM('R.M Billets Reports'!F2845),IF(ISNUMBER(SEARCH("Party Name-",'R.M Billets Reports'!D2845)),TRIM(MID('R.M Billets Reports'!D2845,SEARCH("-",'R.M Billets Reports'!D2845)+1,200)),""))&lt;&gt;"",IF(ISNUMBER(SEARCH("Party Name:-",'R.M Billets Reports'!D2845)),TRIM('R.M Billets Reports'!F2845),IF(ISNUMBER(SEARCH("Party Name-",'R.M Billets Reports'!D2845)),TRIM(MID('R.M Billets Reports'!D2845,SEARCH("-",'R.M Billets Reports'!D2845)+1,200)),"")),IF(ISNUMBER(SEARCH("Party Name:-",'R.M Billets Reports'!D2846)),TRIM('R.M Billets Reports'!F2846),IF(ISNUMBER(SEARCH("Party Name-",'R.M Billets Reports'!D2846)),TRIM(MID('R.M Billets Reports'!D2846,SEARCH("-",'R.M Billets Reports'!D2846)+1,200)),"")))))),IF(ROW()=2,"",A2845))</f>
      </c>
      <c r="B2846">
        <f>IF(OR('R.M Billets Reports'!A2845="Date-",'R.M Billets Reports'!A2845="Date:-"),'R.M Billets Reports'!B2845,IF(ROW()=2,"",B2845))</f>
      </c>
      <c r="C2846">
        <f>IF('R.M Billets Reports'!A2845="V.No.",'R.M Billets Reports'!B2845,IF(ROW()=2,"",C2845))</f>
      </c>
      <c r="D2846">
        <f>IF('R.M Billets Reports'!A2845&lt;&gt;"",'R.M Billets Reports'!A2845,IF(ROW()=2,"",D2845))</f>
      </c>
      <c r="E2846">
        <f>IF('R.M Billets Reports'!B2845="","",TRIM('R.M Billets Reports'!B2845))</f>
      </c>
      <c r="F2846">
        <f>'R.M Billets Reports'!C2845</f>
      </c>
      <c r="G2846">
        <f>'R.M Billets Reports'!D2845</f>
      </c>
      <c r="H2846">
        <f>'R.M Billets Reports'!E2845</f>
      </c>
      <c r="I2846">
        <f>'R.M Billets Reports'!F2845</f>
      </c>
      <c r="J2846">
        <f>'R.M Billets Reports'!G2845</f>
      </c>
      <c r="K2846">
        <f>'R.M Billets Reports'!H2845</f>
      </c>
      <c r="L2846">
        <f>IF('R.M Billets Reports'!I2845="","",'R.M Billets Reports'!I2845)</f>
      </c>
      <c r="M2846">
        <f t="shared" si="88"/>
      </c>
      <c r="N2846">
        <f>IF('R.M Billets Reports'!J2845="","",'R.M Billets Reports'!J2845)</f>
      </c>
      <c r="O2846">
        <f t="shared" si="89"/>
      </c>
      <c r="P2846">
        <f>IF('R.M Billets Reports'!A2845="SIZE",'R.M Billets Reports'!B2845,P2845)</f>
      </c>
    </row>
    <row r="2847" spans="1:16" x14ac:dyDescent="0.25">
      <c r="A2847">
        <f>IF(OR('R.M Billets Reports'!A2846="Date-",'R.M Billets Reports'!A2846="Date:-"),IF(IF(IF(ISNUMBER(SEARCH("Party Name:-",'R.M Billets Reports'!D2846)),TRIM('R.M Billets Reports'!F2846),IF(ISNUMBER(SEARCH("Party Name-",'R.M Billets Reports'!D2846)),TRIM(MID('R.M Billets Reports'!D2846,SEARCH("-",'R.M Billets Reports'!D2846)+1,200)),""))&lt;&gt;"",IF(ISNUMBER(SEARCH("Party Name:-",'R.M Billets Reports'!D2846)),TRIM('R.M Billets Reports'!F2846),IF(ISNUMBER(SEARCH("Party Name-",'R.M Billets Reports'!D2846)),TRIM(MID('R.M Billets Reports'!D2846,SEARCH("-",'R.M Billets Reports'!D2846)+1,200)),"")),IF(ISNUMBER(SEARCH("Party Name:-",'R.M Billets Reports'!D2847)),TRIM('R.M Billets Reports'!F2847),IF(ISNUMBER(SEARCH("Party Name-",'R.M Billets Reports'!D2847)),TRIM(MID('R.M Billets Reports'!D2847,SEARCH("-",'R.M Billets Reports'!D2847)+1,200)),"")))="VRKP ISPAT PVT LTD","VRKP",IF(IF(IF(ISNUMBER(SEARCH("Party Name:-",'R.M Billets Reports'!D2846)),TRIM('R.M Billets Reports'!F2846),IF(ISNUMBER(SEARCH("Party Name-",'R.M Billets Reports'!D2846)),TRIM(MID('R.M Billets Reports'!D2846,SEARCH("-",'R.M Billets Reports'!D2846)+1,200)),""))&lt;&gt;"",IF(ISNUMBER(SEARCH("Party Name:-",'R.M Billets Reports'!D2846)),TRIM('R.M Billets Reports'!F2846),IF(ISNUMBER(SEARCH("Party Name-",'R.M Billets Reports'!D2846)),TRIM(MID('R.M Billets Reports'!D2846,SEARCH("-",'R.M Billets Reports'!D2846)+1,200)),"")),IF(ISNUMBER(SEARCH("Party Name:-",'R.M Billets Reports'!D2847)),TRIM('R.M Billets Reports'!F2847),IF(ISNUMBER(SEARCH("Party Name-",'R.M Billets Reports'!D2847)),TRIM(MID('R.M Billets Reports'!D2847,SEARCH("-",'R.M Billets Reports'!D2847)+1,200)),"")))="SHRI RADHE","SHREE RADHE",IF(IF(IF(ISNUMBER(SEARCH("Party Name:-",'R.M Billets Reports'!D2846)),TRIM('R.M Billets Reports'!F2846),IF(ISNUMBER(SEARCH("Party Name-",'R.M Billets Reports'!D2846)),TRIM(MID('R.M Billets Reports'!D2846,SEARCH("-",'R.M Billets Reports'!D2846)+1,200)),""))&lt;&gt;"",IF(ISNUMBER(SEARCH("Party Name:-",'R.M Billets Reports'!D2846)),TRIM('R.M Billets Reports'!F2846),IF(ISNUMBER(SEARCH("Party Name-",'R.M Billets Reports'!D2846)),TRIM(MID('R.M Billets Reports'!D2846,SEARCH("-",'R.M Billets Reports'!D2846)+1,200)),"")),IF(ISNUMBER(SEARCH("Party Name:-",'R.M Billets Reports'!D2847)),TRIM('R.M Billets Reports'!F2847),IF(ISNUMBER(SEARCH("Party Name-",'R.M Billets Reports'!D2847)),TRIM(MID('R.M Billets Reports'!D2847,SEARCH("-",'R.M Billets Reports'!D2847)+1,200)),"")))="SHREE RADHE SHAKTI SPONGE AND POWER PVT. LTD.","SHREE RADHE",IF(IF(ISNUMBER(SEARCH("Party Name:-",'R.M Billets Reports'!D2846)),TRIM('R.M Billets Reports'!F2846),IF(ISNUMBER(SEARCH("Party Name-",'R.M Billets Reports'!D2846)),TRIM(MID('R.M Billets Reports'!D2846,SEARCH("-",'R.M Billets Reports'!D2846)+1,200)),""))&lt;&gt;"",IF(ISNUMBER(SEARCH("Party Name:-",'R.M Billets Reports'!D2846)),TRIM('R.M Billets Reports'!F2846),IF(ISNUMBER(SEARCH("Party Name-",'R.M Billets Reports'!D2846)),TRIM(MID('R.M Billets Reports'!D2846,SEARCH("-",'R.M Billets Reports'!D2846)+1,200)),"")),IF(ISNUMBER(SEARCH("Party Name:-",'R.M Billets Reports'!D2847)),TRIM('R.M Billets Reports'!F2847),IF(ISNUMBER(SEARCH("Party Name-",'R.M Billets Reports'!D2847)),TRIM(MID('R.M Billets Reports'!D2847,SEARCH("-",'R.M Billets Reports'!D2847)+1,200)),"")))))),IF(ROW()=2,"",A2846))</f>
      </c>
      <c r="B2847">
        <f>IF(OR('R.M Billets Reports'!A2846="Date-",'R.M Billets Reports'!A2846="Date:-"),'R.M Billets Reports'!B2846,IF(ROW()=2,"",B2846))</f>
      </c>
      <c r="C2847">
        <f>IF('R.M Billets Reports'!A2846="V.No.",'R.M Billets Reports'!B2846,IF(ROW()=2,"",C2846))</f>
      </c>
      <c r="D2847">
        <f>IF('R.M Billets Reports'!A2846&lt;&gt;"",'R.M Billets Reports'!A2846,IF(ROW()=2,"",D2846))</f>
      </c>
      <c r="E2847">
        <f>IF('R.M Billets Reports'!B2846="","",TRIM('R.M Billets Reports'!B2846))</f>
      </c>
      <c r="F2847">
        <f>'R.M Billets Reports'!C2846</f>
      </c>
      <c r="G2847">
        <f>'R.M Billets Reports'!D2846</f>
      </c>
      <c r="H2847">
        <f>'R.M Billets Reports'!E2846</f>
      </c>
      <c r="I2847">
        <f>'R.M Billets Reports'!F2846</f>
      </c>
      <c r="J2847">
        <f>'R.M Billets Reports'!G2846</f>
      </c>
      <c r="K2847">
        <f>'R.M Billets Reports'!H2846</f>
      </c>
      <c r="L2847">
        <f>IF('R.M Billets Reports'!I2846="","",'R.M Billets Reports'!I2846)</f>
      </c>
      <c r="M2847">
        <f t="shared" si="88"/>
      </c>
      <c r="N2847">
        <f>IF('R.M Billets Reports'!J2846="","",'R.M Billets Reports'!J2846)</f>
      </c>
      <c r="O2847">
        <f t="shared" si="89"/>
      </c>
      <c r="P2847">
        <f>IF('R.M Billets Reports'!A2846="SIZE",'R.M Billets Reports'!B2846,P2846)</f>
      </c>
    </row>
    <row r="2848" spans="1:16" x14ac:dyDescent="0.25">
      <c r="A2848">
        <f>IF(OR('R.M Billets Reports'!A2847="Date-",'R.M Billets Reports'!A2847="Date:-"),IF(IF(IF(ISNUMBER(SEARCH("Party Name:-",'R.M Billets Reports'!D2847)),TRIM('R.M Billets Reports'!F2847),IF(ISNUMBER(SEARCH("Party Name-",'R.M Billets Reports'!D2847)),TRIM(MID('R.M Billets Reports'!D2847,SEARCH("-",'R.M Billets Reports'!D2847)+1,200)),""))&lt;&gt;"",IF(ISNUMBER(SEARCH("Party Name:-",'R.M Billets Reports'!D2847)),TRIM('R.M Billets Reports'!F2847),IF(ISNUMBER(SEARCH("Party Name-",'R.M Billets Reports'!D2847)),TRIM(MID('R.M Billets Reports'!D2847,SEARCH("-",'R.M Billets Reports'!D2847)+1,200)),"")),IF(ISNUMBER(SEARCH("Party Name:-",'R.M Billets Reports'!D2848)),TRIM('R.M Billets Reports'!F2848),IF(ISNUMBER(SEARCH("Party Name-",'R.M Billets Reports'!D2848)),TRIM(MID('R.M Billets Reports'!D2848,SEARCH("-",'R.M Billets Reports'!D2848)+1,200)),"")))="VRKP ISPAT PVT LTD","VRKP",IF(IF(IF(ISNUMBER(SEARCH("Party Name:-",'R.M Billets Reports'!D2847)),TRIM('R.M Billets Reports'!F2847),IF(ISNUMBER(SEARCH("Party Name-",'R.M Billets Reports'!D2847)),TRIM(MID('R.M Billets Reports'!D2847,SEARCH("-",'R.M Billets Reports'!D2847)+1,200)),""))&lt;&gt;"",IF(ISNUMBER(SEARCH("Party Name:-",'R.M Billets Reports'!D2847)),TRIM('R.M Billets Reports'!F2847),IF(ISNUMBER(SEARCH("Party Name-",'R.M Billets Reports'!D2847)),TRIM(MID('R.M Billets Reports'!D2847,SEARCH("-",'R.M Billets Reports'!D2847)+1,200)),"")),IF(ISNUMBER(SEARCH("Party Name:-",'R.M Billets Reports'!D2848)),TRIM('R.M Billets Reports'!F2848),IF(ISNUMBER(SEARCH("Party Name-",'R.M Billets Reports'!D2848)),TRIM(MID('R.M Billets Reports'!D2848,SEARCH("-",'R.M Billets Reports'!D2848)+1,200)),"")))="SHRI RADHE","SHREE RADHE",IF(IF(IF(ISNUMBER(SEARCH("Party Name:-",'R.M Billets Reports'!D2847)),TRIM('R.M Billets Reports'!F2847),IF(ISNUMBER(SEARCH("Party Name-",'R.M Billets Reports'!D2847)),TRIM(MID('R.M Billets Reports'!D2847,SEARCH("-",'R.M Billets Reports'!D2847)+1,200)),""))&lt;&gt;"",IF(ISNUMBER(SEARCH("Party Name:-",'R.M Billets Reports'!D2847)),TRIM('R.M Billets Reports'!F2847),IF(ISNUMBER(SEARCH("Party Name-",'R.M Billets Reports'!D2847)),TRIM(MID('R.M Billets Reports'!D2847,SEARCH("-",'R.M Billets Reports'!D2847)+1,200)),"")),IF(ISNUMBER(SEARCH("Party Name:-",'R.M Billets Reports'!D2848)),TRIM('R.M Billets Reports'!F2848),IF(ISNUMBER(SEARCH("Party Name-",'R.M Billets Reports'!D2848)),TRIM(MID('R.M Billets Reports'!D2848,SEARCH("-",'R.M Billets Reports'!D2848)+1,200)),"")))="SHREE RADHE SHAKTI SPONGE AND POWER PVT. LTD.","SHREE RADHE",IF(IF(ISNUMBER(SEARCH("Party Name:-",'R.M Billets Reports'!D2847)),TRIM('R.M Billets Reports'!F2847),IF(ISNUMBER(SEARCH("Party Name-",'R.M Billets Reports'!D2847)),TRIM(MID('R.M Billets Reports'!D2847,SEARCH("-",'R.M Billets Reports'!D2847)+1,200)),""))&lt;&gt;"",IF(ISNUMBER(SEARCH("Party Name:-",'R.M Billets Reports'!D2847)),TRIM('R.M Billets Reports'!F2847),IF(ISNUMBER(SEARCH("Party Name-",'R.M Billets Reports'!D2847)),TRIM(MID('R.M Billets Reports'!D2847,SEARCH("-",'R.M Billets Reports'!D2847)+1,200)),"")),IF(ISNUMBER(SEARCH("Party Name:-",'R.M Billets Reports'!D2848)),TRIM('R.M Billets Reports'!F2848),IF(ISNUMBER(SEARCH("Party Name-",'R.M Billets Reports'!D2848)),TRIM(MID('R.M Billets Reports'!D2848,SEARCH("-",'R.M Billets Reports'!D2848)+1,200)),"")))))),IF(ROW()=2,"",A2847))</f>
      </c>
      <c r="B2848">
        <f>IF(OR('R.M Billets Reports'!A2847="Date-",'R.M Billets Reports'!A2847="Date:-"),'R.M Billets Reports'!B2847,IF(ROW()=2,"",B2847))</f>
      </c>
      <c r="C2848">
        <f>IF('R.M Billets Reports'!A2847="V.No.",'R.M Billets Reports'!B2847,IF(ROW()=2,"",C2847))</f>
      </c>
      <c r="D2848">
        <f>IF('R.M Billets Reports'!A2847&lt;&gt;"",'R.M Billets Reports'!A2847,IF(ROW()=2,"",D2847))</f>
      </c>
      <c r="E2848">
        <f>IF('R.M Billets Reports'!B2847="","",TRIM('R.M Billets Reports'!B2847))</f>
      </c>
      <c r="F2848">
        <f>'R.M Billets Reports'!C2847</f>
      </c>
      <c r="G2848">
        <f>'R.M Billets Reports'!D2847</f>
      </c>
      <c r="H2848">
        <f>'R.M Billets Reports'!E2847</f>
      </c>
      <c r="I2848">
        <f>'R.M Billets Reports'!F2847</f>
      </c>
      <c r="J2848">
        <f>'R.M Billets Reports'!G2847</f>
      </c>
      <c r="K2848">
        <f>'R.M Billets Reports'!H2847</f>
      </c>
      <c r="L2848">
        <f>IF('R.M Billets Reports'!I2847="","",'R.M Billets Reports'!I2847)</f>
      </c>
      <c r="M2848">
        <f t="shared" si="88"/>
      </c>
      <c r="N2848">
        <f>IF('R.M Billets Reports'!J2847="","",'R.M Billets Reports'!J2847)</f>
      </c>
      <c r="O2848">
        <f t="shared" si="89"/>
      </c>
      <c r="P2848">
        <f>IF('R.M Billets Reports'!A2847="SIZE",'R.M Billets Reports'!B2847,P2847)</f>
      </c>
    </row>
    <row r="2849" spans="1:16" x14ac:dyDescent="0.25">
      <c r="A2849">
        <f>IF(OR('R.M Billets Reports'!A2848="Date-",'R.M Billets Reports'!A2848="Date:-"),IF(IF(IF(ISNUMBER(SEARCH("Party Name:-",'R.M Billets Reports'!D2848)),TRIM('R.M Billets Reports'!F2848),IF(ISNUMBER(SEARCH("Party Name-",'R.M Billets Reports'!D2848)),TRIM(MID('R.M Billets Reports'!D2848,SEARCH("-",'R.M Billets Reports'!D2848)+1,200)),""))&lt;&gt;"",IF(ISNUMBER(SEARCH("Party Name:-",'R.M Billets Reports'!D2848)),TRIM('R.M Billets Reports'!F2848),IF(ISNUMBER(SEARCH("Party Name-",'R.M Billets Reports'!D2848)),TRIM(MID('R.M Billets Reports'!D2848,SEARCH("-",'R.M Billets Reports'!D2848)+1,200)),"")),IF(ISNUMBER(SEARCH("Party Name:-",'R.M Billets Reports'!D2849)),TRIM('R.M Billets Reports'!F2849),IF(ISNUMBER(SEARCH("Party Name-",'R.M Billets Reports'!D2849)),TRIM(MID('R.M Billets Reports'!D2849,SEARCH("-",'R.M Billets Reports'!D2849)+1,200)),"")))="VRKP ISPAT PVT LTD","VRKP",IF(IF(IF(ISNUMBER(SEARCH("Party Name:-",'R.M Billets Reports'!D2848)),TRIM('R.M Billets Reports'!F2848),IF(ISNUMBER(SEARCH("Party Name-",'R.M Billets Reports'!D2848)),TRIM(MID('R.M Billets Reports'!D2848,SEARCH("-",'R.M Billets Reports'!D2848)+1,200)),""))&lt;&gt;"",IF(ISNUMBER(SEARCH("Party Name:-",'R.M Billets Reports'!D2848)),TRIM('R.M Billets Reports'!F2848),IF(ISNUMBER(SEARCH("Party Name-",'R.M Billets Reports'!D2848)),TRIM(MID('R.M Billets Reports'!D2848,SEARCH("-",'R.M Billets Reports'!D2848)+1,200)),"")),IF(ISNUMBER(SEARCH("Party Name:-",'R.M Billets Reports'!D2849)),TRIM('R.M Billets Reports'!F2849),IF(ISNUMBER(SEARCH("Party Name-",'R.M Billets Reports'!D2849)),TRIM(MID('R.M Billets Reports'!D2849,SEARCH("-",'R.M Billets Reports'!D2849)+1,200)),"")))="SHRI RADHE","SHREE RADHE",IF(IF(IF(ISNUMBER(SEARCH("Party Name:-",'R.M Billets Reports'!D2848)),TRIM('R.M Billets Reports'!F2848),IF(ISNUMBER(SEARCH("Party Name-",'R.M Billets Reports'!D2848)),TRIM(MID('R.M Billets Reports'!D2848,SEARCH("-",'R.M Billets Reports'!D2848)+1,200)),""))&lt;&gt;"",IF(ISNUMBER(SEARCH("Party Name:-",'R.M Billets Reports'!D2848)),TRIM('R.M Billets Reports'!F2848),IF(ISNUMBER(SEARCH("Party Name-",'R.M Billets Reports'!D2848)),TRIM(MID('R.M Billets Reports'!D2848,SEARCH("-",'R.M Billets Reports'!D2848)+1,200)),"")),IF(ISNUMBER(SEARCH("Party Name:-",'R.M Billets Reports'!D2849)),TRIM('R.M Billets Reports'!F2849),IF(ISNUMBER(SEARCH("Party Name-",'R.M Billets Reports'!D2849)),TRIM(MID('R.M Billets Reports'!D2849,SEARCH("-",'R.M Billets Reports'!D2849)+1,200)),"")))="SHREE RADHE SHAKTI SPONGE AND POWER PVT. LTD.","SHREE RADHE",IF(IF(ISNUMBER(SEARCH("Party Name:-",'R.M Billets Reports'!D2848)),TRIM('R.M Billets Reports'!F2848),IF(ISNUMBER(SEARCH("Party Name-",'R.M Billets Reports'!D2848)),TRIM(MID('R.M Billets Reports'!D2848,SEARCH("-",'R.M Billets Reports'!D2848)+1,200)),""))&lt;&gt;"",IF(ISNUMBER(SEARCH("Party Name:-",'R.M Billets Reports'!D2848)),TRIM('R.M Billets Reports'!F2848),IF(ISNUMBER(SEARCH("Party Name-",'R.M Billets Reports'!D2848)),TRIM(MID('R.M Billets Reports'!D2848,SEARCH("-",'R.M Billets Reports'!D2848)+1,200)),"")),IF(ISNUMBER(SEARCH("Party Name:-",'R.M Billets Reports'!D2849)),TRIM('R.M Billets Reports'!F2849),IF(ISNUMBER(SEARCH("Party Name-",'R.M Billets Reports'!D2849)),TRIM(MID('R.M Billets Reports'!D2849,SEARCH("-",'R.M Billets Reports'!D2849)+1,200)),"")))))),IF(ROW()=2,"",A2848))</f>
      </c>
      <c r="B2849">
        <f>IF(OR('R.M Billets Reports'!A2848="Date-",'R.M Billets Reports'!A2848="Date:-"),'R.M Billets Reports'!B2848,IF(ROW()=2,"",B2848))</f>
      </c>
      <c r="C2849">
        <f>IF('R.M Billets Reports'!A2848="V.No.",'R.M Billets Reports'!B2848,IF(ROW()=2,"",C2848))</f>
      </c>
      <c r="D2849">
        <f>IF('R.M Billets Reports'!A2848&lt;&gt;"",'R.M Billets Reports'!A2848,IF(ROW()=2,"",D2848))</f>
      </c>
      <c r="E2849">
        <f>IF('R.M Billets Reports'!B2848="","",TRIM('R.M Billets Reports'!B2848))</f>
      </c>
      <c r="F2849">
        <f>'R.M Billets Reports'!C2848</f>
      </c>
      <c r="G2849">
        <f>'R.M Billets Reports'!D2848</f>
      </c>
      <c r="H2849">
        <f>'R.M Billets Reports'!E2848</f>
      </c>
      <c r="I2849">
        <f>'R.M Billets Reports'!F2848</f>
      </c>
      <c r="J2849">
        <f>'R.M Billets Reports'!G2848</f>
      </c>
      <c r="K2849">
        <f>'R.M Billets Reports'!H2848</f>
      </c>
      <c r="L2849">
        <f>IF('R.M Billets Reports'!I2848="","",'R.M Billets Reports'!I2848)</f>
      </c>
      <c r="M2849">
        <f t="shared" si="88"/>
      </c>
      <c r="N2849">
        <f>IF('R.M Billets Reports'!J2848="","",'R.M Billets Reports'!J2848)</f>
      </c>
      <c r="O2849">
        <f t="shared" si="89"/>
      </c>
      <c r="P2849">
        <f>IF('R.M Billets Reports'!A2848="SIZE",'R.M Billets Reports'!B2848,P2848)</f>
      </c>
    </row>
    <row r="2850" spans="1:16" x14ac:dyDescent="0.25">
      <c r="A2850">
        <f>IF(OR('R.M Billets Reports'!A2849="Date-",'R.M Billets Reports'!A2849="Date:-"),IF(IF(IF(ISNUMBER(SEARCH("Party Name:-",'R.M Billets Reports'!D2849)),TRIM('R.M Billets Reports'!F2849),IF(ISNUMBER(SEARCH("Party Name-",'R.M Billets Reports'!D2849)),TRIM(MID('R.M Billets Reports'!D2849,SEARCH("-",'R.M Billets Reports'!D2849)+1,200)),""))&lt;&gt;"",IF(ISNUMBER(SEARCH("Party Name:-",'R.M Billets Reports'!D2849)),TRIM('R.M Billets Reports'!F2849),IF(ISNUMBER(SEARCH("Party Name-",'R.M Billets Reports'!D2849)),TRIM(MID('R.M Billets Reports'!D2849,SEARCH("-",'R.M Billets Reports'!D2849)+1,200)),"")),IF(ISNUMBER(SEARCH("Party Name:-",'R.M Billets Reports'!D2850)),TRIM('R.M Billets Reports'!F2850),IF(ISNUMBER(SEARCH("Party Name-",'R.M Billets Reports'!D2850)),TRIM(MID('R.M Billets Reports'!D2850,SEARCH("-",'R.M Billets Reports'!D2850)+1,200)),"")))="VRKP ISPAT PVT LTD","VRKP",IF(IF(IF(ISNUMBER(SEARCH("Party Name:-",'R.M Billets Reports'!D2849)),TRIM('R.M Billets Reports'!F2849),IF(ISNUMBER(SEARCH("Party Name-",'R.M Billets Reports'!D2849)),TRIM(MID('R.M Billets Reports'!D2849,SEARCH("-",'R.M Billets Reports'!D2849)+1,200)),""))&lt;&gt;"",IF(ISNUMBER(SEARCH("Party Name:-",'R.M Billets Reports'!D2849)),TRIM('R.M Billets Reports'!F2849),IF(ISNUMBER(SEARCH("Party Name-",'R.M Billets Reports'!D2849)),TRIM(MID('R.M Billets Reports'!D2849,SEARCH("-",'R.M Billets Reports'!D2849)+1,200)),"")),IF(ISNUMBER(SEARCH("Party Name:-",'R.M Billets Reports'!D2850)),TRIM('R.M Billets Reports'!F2850),IF(ISNUMBER(SEARCH("Party Name-",'R.M Billets Reports'!D2850)),TRIM(MID('R.M Billets Reports'!D2850,SEARCH("-",'R.M Billets Reports'!D2850)+1,200)),"")))="SHRI RADHE","SHREE RADHE",IF(IF(IF(ISNUMBER(SEARCH("Party Name:-",'R.M Billets Reports'!D2849)),TRIM('R.M Billets Reports'!F2849),IF(ISNUMBER(SEARCH("Party Name-",'R.M Billets Reports'!D2849)),TRIM(MID('R.M Billets Reports'!D2849,SEARCH("-",'R.M Billets Reports'!D2849)+1,200)),""))&lt;&gt;"",IF(ISNUMBER(SEARCH("Party Name:-",'R.M Billets Reports'!D2849)),TRIM('R.M Billets Reports'!F2849),IF(ISNUMBER(SEARCH("Party Name-",'R.M Billets Reports'!D2849)),TRIM(MID('R.M Billets Reports'!D2849,SEARCH("-",'R.M Billets Reports'!D2849)+1,200)),"")),IF(ISNUMBER(SEARCH("Party Name:-",'R.M Billets Reports'!D2850)),TRIM('R.M Billets Reports'!F2850),IF(ISNUMBER(SEARCH("Party Name-",'R.M Billets Reports'!D2850)),TRIM(MID('R.M Billets Reports'!D2850,SEARCH("-",'R.M Billets Reports'!D2850)+1,200)),"")))="SHREE RADHE SHAKTI SPONGE AND POWER PVT. LTD.","SHREE RADHE",IF(IF(ISNUMBER(SEARCH("Party Name:-",'R.M Billets Reports'!D2849)),TRIM('R.M Billets Reports'!F2849),IF(ISNUMBER(SEARCH("Party Name-",'R.M Billets Reports'!D2849)),TRIM(MID('R.M Billets Reports'!D2849,SEARCH("-",'R.M Billets Reports'!D2849)+1,200)),""))&lt;&gt;"",IF(ISNUMBER(SEARCH("Party Name:-",'R.M Billets Reports'!D2849)),TRIM('R.M Billets Reports'!F2849),IF(ISNUMBER(SEARCH("Party Name-",'R.M Billets Reports'!D2849)),TRIM(MID('R.M Billets Reports'!D2849,SEARCH("-",'R.M Billets Reports'!D2849)+1,200)),"")),IF(ISNUMBER(SEARCH("Party Name:-",'R.M Billets Reports'!D2850)),TRIM('R.M Billets Reports'!F2850),IF(ISNUMBER(SEARCH("Party Name-",'R.M Billets Reports'!D2850)),TRIM(MID('R.M Billets Reports'!D2850,SEARCH("-",'R.M Billets Reports'!D2850)+1,200)),"")))))),IF(ROW()=2,"",A2849))</f>
      </c>
      <c r="B2850">
        <f>IF(OR('R.M Billets Reports'!A2849="Date-",'R.M Billets Reports'!A2849="Date:-"),'R.M Billets Reports'!B2849,IF(ROW()=2,"",B2849))</f>
      </c>
      <c r="C2850">
        <f>IF('R.M Billets Reports'!A2849="V.No.",'R.M Billets Reports'!B2849,IF(ROW()=2,"",C2849))</f>
      </c>
      <c r="D2850">
        <f>IF('R.M Billets Reports'!A2849&lt;&gt;"",'R.M Billets Reports'!A2849,IF(ROW()=2,"",D2849))</f>
      </c>
      <c r="E2850">
        <f>IF('R.M Billets Reports'!B2849="","",TRIM('R.M Billets Reports'!B2849))</f>
      </c>
      <c r="F2850">
        <f>'R.M Billets Reports'!C2849</f>
      </c>
      <c r="G2850">
        <f>'R.M Billets Reports'!D2849</f>
      </c>
      <c r="H2850">
        <f>'R.M Billets Reports'!E2849</f>
      </c>
      <c r="I2850">
        <f>'R.M Billets Reports'!F2849</f>
      </c>
      <c r="J2850">
        <f>'R.M Billets Reports'!G2849</f>
      </c>
      <c r="K2850">
        <f>'R.M Billets Reports'!H2849</f>
      </c>
      <c r="L2850">
        <f>IF('R.M Billets Reports'!I2849="","",'R.M Billets Reports'!I2849)</f>
      </c>
      <c r="M2850">
        <f t="shared" si="88"/>
      </c>
      <c r="N2850">
        <f>IF('R.M Billets Reports'!J2849="","",'R.M Billets Reports'!J2849)</f>
      </c>
      <c r="O2850">
        <f t="shared" si="89"/>
      </c>
      <c r="P2850">
        <f>IF('R.M Billets Reports'!A2849="SIZE",'R.M Billets Reports'!B2849,P2849)</f>
      </c>
    </row>
    <row r="2851" spans="1:16" x14ac:dyDescent="0.25">
      <c r="A2851">
        <f>IF(OR('R.M Billets Reports'!A2850="Date-",'R.M Billets Reports'!A2850="Date:-"),IF(IF(IF(ISNUMBER(SEARCH("Party Name:-",'R.M Billets Reports'!D2850)),TRIM('R.M Billets Reports'!F2850),IF(ISNUMBER(SEARCH("Party Name-",'R.M Billets Reports'!D2850)),TRIM(MID('R.M Billets Reports'!D2850,SEARCH("-",'R.M Billets Reports'!D2850)+1,200)),""))&lt;&gt;"",IF(ISNUMBER(SEARCH("Party Name:-",'R.M Billets Reports'!D2850)),TRIM('R.M Billets Reports'!F2850),IF(ISNUMBER(SEARCH("Party Name-",'R.M Billets Reports'!D2850)),TRIM(MID('R.M Billets Reports'!D2850,SEARCH("-",'R.M Billets Reports'!D2850)+1,200)),"")),IF(ISNUMBER(SEARCH("Party Name:-",'R.M Billets Reports'!D2851)),TRIM('R.M Billets Reports'!F2851),IF(ISNUMBER(SEARCH("Party Name-",'R.M Billets Reports'!D2851)),TRIM(MID('R.M Billets Reports'!D2851,SEARCH("-",'R.M Billets Reports'!D2851)+1,200)),"")))="VRKP ISPAT PVT LTD","VRKP",IF(IF(IF(ISNUMBER(SEARCH("Party Name:-",'R.M Billets Reports'!D2850)),TRIM('R.M Billets Reports'!F2850),IF(ISNUMBER(SEARCH("Party Name-",'R.M Billets Reports'!D2850)),TRIM(MID('R.M Billets Reports'!D2850,SEARCH("-",'R.M Billets Reports'!D2850)+1,200)),""))&lt;&gt;"",IF(ISNUMBER(SEARCH("Party Name:-",'R.M Billets Reports'!D2850)),TRIM('R.M Billets Reports'!F2850),IF(ISNUMBER(SEARCH("Party Name-",'R.M Billets Reports'!D2850)),TRIM(MID('R.M Billets Reports'!D2850,SEARCH("-",'R.M Billets Reports'!D2850)+1,200)),"")),IF(ISNUMBER(SEARCH("Party Name:-",'R.M Billets Reports'!D2851)),TRIM('R.M Billets Reports'!F2851),IF(ISNUMBER(SEARCH("Party Name-",'R.M Billets Reports'!D2851)),TRIM(MID('R.M Billets Reports'!D2851,SEARCH("-",'R.M Billets Reports'!D2851)+1,200)),"")))="SHRI RADHE","SHREE RADHE",IF(IF(IF(ISNUMBER(SEARCH("Party Name:-",'R.M Billets Reports'!D2850)),TRIM('R.M Billets Reports'!F2850),IF(ISNUMBER(SEARCH("Party Name-",'R.M Billets Reports'!D2850)),TRIM(MID('R.M Billets Reports'!D2850,SEARCH("-",'R.M Billets Reports'!D2850)+1,200)),""))&lt;&gt;"",IF(ISNUMBER(SEARCH("Party Name:-",'R.M Billets Reports'!D2850)),TRIM('R.M Billets Reports'!F2850),IF(ISNUMBER(SEARCH("Party Name-",'R.M Billets Reports'!D2850)),TRIM(MID('R.M Billets Reports'!D2850,SEARCH("-",'R.M Billets Reports'!D2850)+1,200)),"")),IF(ISNUMBER(SEARCH("Party Name:-",'R.M Billets Reports'!D2851)),TRIM('R.M Billets Reports'!F2851),IF(ISNUMBER(SEARCH("Party Name-",'R.M Billets Reports'!D2851)),TRIM(MID('R.M Billets Reports'!D2851,SEARCH("-",'R.M Billets Reports'!D2851)+1,200)),"")))="SHREE RADHE SHAKTI SPONGE AND POWER PVT. LTD.","SHREE RADHE",IF(IF(ISNUMBER(SEARCH("Party Name:-",'R.M Billets Reports'!D2850)),TRIM('R.M Billets Reports'!F2850),IF(ISNUMBER(SEARCH("Party Name-",'R.M Billets Reports'!D2850)),TRIM(MID('R.M Billets Reports'!D2850,SEARCH("-",'R.M Billets Reports'!D2850)+1,200)),""))&lt;&gt;"",IF(ISNUMBER(SEARCH("Party Name:-",'R.M Billets Reports'!D2850)),TRIM('R.M Billets Reports'!F2850),IF(ISNUMBER(SEARCH("Party Name-",'R.M Billets Reports'!D2850)),TRIM(MID('R.M Billets Reports'!D2850,SEARCH("-",'R.M Billets Reports'!D2850)+1,200)),"")),IF(ISNUMBER(SEARCH("Party Name:-",'R.M Billets Reports'!D2851)),TRIM('R.M Billets Reports'!F2851),IF(ISNUMBER(SEARCH("Party Name-",'R.M Billets Reports'!D2851)),TRIM(MID('R.M Billets Reports'!D2851,SEARCH("-",'R.M Billets Reports'!D2851)+1,200)),"")))))),IF(ROW()=2,"",A2850))</f>
      </c>
      <c r="B2851">
        <f>IF(OR('R.M Billets Reports'!A2850="Date-",'R.M Billets Reports'!A2850="Date:-"),'R.M Billets Reports'!B2850,IF(ROW()=2,"",B2850))</f>
      </c>
      <c r="C2851">
        <f>IF('R.M Billets Reports'!A2850="V.No.",'R.M Billets Reports'!B2850,IF(ROW()=2,"",C2850))</f>
      </c>
      <c r="D2851">
        <f>IF('R.M Billets Reports'!A2850&lt;&gt;"",'R.M Billets Reports'!A2850,IF(ROW()=2,"",D2850))</f>
      </c>
      <c r="E2851">
        <f>IF('R.M Billets Reports'!B2850="","",TRIM('R.M Billets Reports'!B2850))</f>
      </c>
      <c r="F2851">
        <f>'R.M Billets Reports'!C2850</f>
      </c>
      <c r="G2851">
        <f>'R.M Billets Reports'!D2850</f>
      </c>
      <c r="H2851">
        <f>'R.M Billets Reports'!E2850</f>
      </c>
      <c r="I2851">
        <f>'R.M Billets Reports'!F2850</f>
      </c>
      <c r="J2851">
        <f>'R.M Billets Reports'!G2850</f>
      </c>
      <c r="K2851">
        <f>'R.M Billets Reports'!H2850</f>
      </c>
      <c r="L2851">
        <f>IF('R.M Billets Reports'!I2850="","",'R.M Billets Reports'!I2850)</f>
      </c>
      <c r="M2851">
        <f t="shared" si="88"/>
      </c>
      <c r="N2851">
        <f>IF('R.M Billets Reports'!J2850="","",'R.M Billets Reports'!J2850)</f>
      </c>
      <c r="O2851">
        <f t="shared" si="89"/>
      </c>
      <c r="P2851">
        <f>IF('R.M Billets Reports'!A2850="SIZE",'R.M Billets Reports'!B2850,P2850)</f>
      </c>
    </row>
    <row r="2852" spans="1:16" x14ac:dyDescent="0.25">
      <c r="A2852">
        <f>IF(OR('R.M Billets Reports'!A2851="Date-",'R.M Billets Reports'!A2851="Date:-"),IF(IF(IF(ISNUMBER(SEARCH("Party Name:-",'R.M Billets Reports'!D2851)),TRIM('R.M Billets Reports'!F2851),IF(ISNUMBER(SEARCH("Party Name-",'R.M Billets Reports'!D2851)),TRIM(MID('R.M Billets Reports'!D2851,SEARCH("-",'R.M Billets Reports'!D2851)+1,200)),""))&lt;&gt;"",IF(ISNUMBER(SEARCH("Party Name:-",'R.M Billets Reports'!D2851)),TRIM('R.M Billets Reports'!F2851),IF(ISNUMBER(SEARCH("Party Name-",'R.M Billets Reports'!D2851)),TRIM(MID('R.M Billets Reports'!D2851,SEARCH("-",'R.M Billets Reports'!D2851)+1,200)),"")),IF(ISNUMBER(SEARCH("Party Name:-",'R.M Billets Reports'!D2852)),TRIM('R.M Billets Reports'!F2852),IF(ISNUMBER(SEARCH("Party Name-",'R.M Billets Reports'!D2852)),TRIM(MID('R.M Billets Reports'!D2852,SEARCH("-",'R.M Billets Reports'!D2852)+1,200)),"")))="VRKP ISPAT PVT LTD","VRKP",IF(IF(IF(ISNUMBER(SEARCH("Party Name:-",'R.M Billets Reports'!D2851)),TRIM('R.M Billets Reports'!F2851),IF(ISNUMBER(SEARCH("Party Name-",'R.M Billets Reports'!D2851)),TRIM(MID('R.M Billets Reports'!D2851,SEARCH("-",'R.M Billets Reports'!D2851)+1,200)),""))&lt;&gt;"",IF(ISNUMBER(SEARCH("Party Name:-",'R.M Billets Reports'!D2851)),TRIM('R.M Billets Reports'!F2851),IF(ISNUMBER(SEARCH("Party Name-",'R.M Billets Reports'!D2851)),TRIM(MID('R.M Billets Reports'!D2851,SEARCH("-",'R.M Billets Reports'!D2851)+1,200)),"")),IF(ISNUMBER(SEARCH("Party Name:-",'R.M Billets Reports'!D2852)),TRIM('R.M Billets Reports'!F2852),IF(ISNUMBER(SEARCH("Party Name-",'R.M Billets Reports'!D2852)),TRIM(MID('R.M Billets Reports'!D2852,SEARCH("-",'R.M Billets Reports'!D2852)+1,200)),"")))="SHRI RADHE","SHREE RADHE",IF(IF(IF(ISNUMBER(SEARCH("Party Name:-",'R.M Billets Reports'!D2851)),TRIM('R.M Billets Reports'!F2851),IF(ISNUMBER(SEARCH("Party Name-",'R.M Billets Reports'!D2851)),TRIM(MID('R.M Billets Reports'!D2851,SEARCH("-",'R.M Billets Reports'!D2851)+1,200)),""))&lt;&gt;"",IF(ISNUMBER(SEARCH("Party Name:-",'R.M Billets Reports'!D2851)),TRIM('R.M Billets Reports'!F2851),IF(ISNUMBER(SEARCH("Party Name-",'R.M Billets Reports'!D2851)),TRIM(MID('R.M Billets Reports'!D2851,SEARCH("-",'R.M Billets Reports'!D2851)+1,200)),"")),IF(ISNUMBER(SEARCH("Party Name:-",'R.M Billets Reports'!D2852)),TRIM('R.M Billets Reports'!F2852),IF(ISNUMBER(SEARCH("Party Name-",'R.M Billets Reports'!D2852)),TRIM(MID('R.M Billets Reports'!D2852,SEARCH("-",'R.M Billets Reports'!D2852)+1,200)),"")))="SHREE RADHE SHAKTI SPONGE AND POWER PVT. LTD.","SHREE RADHE",IF(IF(ISNUMBER(SEARCH("Party Name:-",'R.M Billets Reports'!D2851)),TRIM('R.M Billets Reports'!F2851),IF(ISNUMBER(SEARCH("Party Name-",'R.M Billets Reports'!D2851)),TRIM(MID('R.M Billets Reports'!D2851,SEARCH("-",'R.M Billets Reports'!D2851)+1,200)),""))&lt;&gt;"",IF(ISNUMBER(SEARCH("Party Name:-",'R.M Billets Reports'!D2851)),TRIM('R.M Billets Reports'!F2851),IF(ISNUMBER(SEARCH("Party Name-",'R.M Billets Reports'!D2851)),TRIM(MID('R.M Billets Reports'!D2851,SEARCH("-",'R.M Billets Reports'!D2851)+1,200)),"")),IF(ISNUMBER(SEARCH("Party Name:-",'R.M Billets Reports'!D2852)),TRIM('R.M Billets Reports'!F2852),IF(ISNUMBER(SEARCH("Party Name-",'R.M Billets Reports'!D2852)),TRIM(MID('R.M Billets Reports'!D2852,SEARCH("-",'R.M Billets Reports'!D2852)+1,200)),"")))))),IF(ROW()=2,"",A2851))</f>
      </c>
      <c r="B2852">
        <f>IF(OR('R.M Billets Reports'!A2851="Date-",'R.M Billets Reports'!A2851="Date:-"),'R.M Billets Reports'!B2851,IF(ROW()=2,"",B2851))</f>
      </c>
      <c r="C2852">
        <f>IF('R.M Billets Reports'!A2851="V.No.",'R.M Billets Reports'!B2851,IF(ROW()=2,"",C2851))</f>
      </c>
      <c r="D2852">
        <f>IF('R.M Billets Reports'!A2851&lt;&gt;"",'R.M Billets Reports'!A2851,IF(ROW()=2,"",D2851))</f>
      </c>
      <c r="E2852">
        <f>IF('R.M Billets Reports'!B2851="","",TRIM('R.M Billets Reports'!B2851))</f>
      </c>
      <c r="F2852">
        <f>'R.M Billets Reports'!C2851</f>
      </c>
      <c r="G2852">
        <f>'R.M Billets Reports'!D2851</f>
      </c>
      <c r="H2852">
        <f>'R.M Billets Reports'!E2851</f>
      </c>
      <c r="I2852">
        <f>'R.M Billets Reports'!F2851</f>
      </c>
      <c r="J2852">
        <f>'R.M Billets Reports'!G2851</f>
      </c>
      <c r="K2852">
        <f>'R.M Billets Reports'!H2851</f>
      </c>
      <c r="L2852">
        <f>IF('R.M Billets Reports'!I2851="","",'R.M Billets Reports'!I2851)</f>
      </c>
      <c r="M2852">
        <f t="shared" si="88"/>
      </c>
      <c r="N2852">
        <f>IF('R.M Billets Reports'!J2851="","",'R.M Billets Reports'!J2851)</f>
      </c>
      <c r="O2852">
        <f t="shared" si="89"/>
      </c>
      <c r="P2852">
        <f>IF('R.M Billets Reports'!A2851="SIZE",'R.M Billets Reports'!B2851,P2851)</f>
      </c>
    </row>
    <row r="2853" spans="1:16" x14ac:dyDescent="0.25">
      <c r="A2853">
        <f>IF(OR('R.M Billets Reports'!A2852="Date-",'R.M Billets Reports'!A2852="Date:-"),IF(IF(IF(ISNUMBER(SEARCH("Party Name:-",'R.M Billets Reports'!D2852)),TRIM('R.M Billets Reports'!F2852),IF(ISNUMBER(SEARCH("Party Name-",'R.M Billets Reports'!D2852)),TRIM(MID('R.M Billets Reports'!D2852,SEARCH("-",'R.M Billets Reports'!D2852)+1,200)),""))&lt;&gt;"",IF(ISNUMBER(SEARCH("Party Name:-",'R.M Billets Reports'!D2852)),TRIM('R.M Billets Reports'!F2852),IF(ISNUMBER(SEARCH("Party Name-",'R.M Billets Reports'!D2852)),TRIM(MID('R.M Billets Reports'!D2852,SEARCH("-",'R.M Billets Reports'!D2852)+1,200)),"")),IF(ISNUMBER(SEARCH("Party Name:-",'R.M Billets Reports'!D2853)),TRIM('R.M Billets Reports'!F2853),IF(ISNUMBER(SEARCH("Party Name-",'R.M Billets Reports'!D2853)),TRIM(MID('R.M Billets Reports'!D2853,SEARCH("-",'R.M Billets Reports'!D2853)+1,200)),"")))="VRKP ISPAT PVT LTD","VRKP",IF(IF(IF(ISNUMBER(SEARCH("Party Name:-",'R.M Billets Reports'!D2852)),TRIM('R.M Billets Reports'!F2852),IF(ISNUMBER(SEARCH("Party Name-",'R.M Billets Reports'!D2852)),TRIM(MID('R.M Billets Reports'!D2852,SEARCH("-",'R.M Billets Reports'!D2852)+1,200)),""))&lt;&gt;"",IF(ISNUMBER(SEARCH("Party Name:-",'R.M Billets Reports'!D2852)),TRIM('R.M Billets Reports'!F2852),IF(ISNUMBER(SEARCH("Party Name-",'R.M Billets Reports'!D2852)),TRIM(MID('R.M Billets Reports'!D2852,SEARCH("-",'R.M Billets Reports'!D2852)+1,200)),"")),IF(ISNUMBER(SEARCH("Party Name:-",'R.M Billets Reports'!D2853)),TRIM('R.M Billets Reports'!F2853),IF(ISNUMBER(SEARCH("Party Name-",'R.M Billets Reports'!D2853)),TRIM(MID('R.M Billets Reports'!D2853,SEARCH("-",'R.M Billets Reports'!D2853)+1,200)),"")))="SHRI RADHE","SHREE RADHE",IF(IF(IF(ISNUMBER(SEARCH("Party Name:-",'R.M Billets Reports'!D2852)),TRIM('R.M Billets Reports'!F2852),IF(ISNUMBER(SEARCH("Party Name-",'R.M Billets Reports'!D2852)),TRIM(MID('R.M Billets Reports'!D2852,SEARCH("-",'R.M Billets Reports'!D2852)+1,200)),""))&lt;&gt;"",IF(ISNUMBER(SEARCH("Party Name:-",'R.M Billets Reports'!D2852)),TRIM('R.M Billets Reports'!F2852),IF(ISNUMBER(SEARCH("Party Name-",'R.M Billets Reports'!D2852)),TRIM(MID('R.M Billets Reports'!D2852,SEARCH("-",'R.M Billets Reports'!D2852)+1,200)),"")),IF(ISNUMBER(SEARCH("Party Name:-",'R.M Billets Reports'!D2853)),TRIM('R.M Billets Reports'!F2853),IF(ISNUMBER(SEARCH("Party Name-",'R.M Billets Reports'!D2853)),TRIM(MID('R.M Billets Reports'!D2853,SEARCH("-",'R.M Billets Reports'!D2853)+1,200)),"")))="SHREE RADHE SHAKTI SPONGE AND POWER PVT. LTD.","SHREE RADHE",IF(IF(ISNUMBER(SEARCH("Party Name:-",'R.M Billets Reports'!D2852)),TRIM('R.M Billets Reports'!F2852),IF(ISNUMBER(SEARCH("Party Name-",'R.M Billets Reports'!D2852)),TRIM(MID('R.M Billets Reports'!D2852,SEARCH("-",'R.M Billets Reports'!D2852)+1,200)),""))&lt;&gt;"",IF(ISNUMBER(SEARCH("Party Name:-",'R.M Billets Reports'!D2852)),TRIM('R.M Billets Reports'!F2852),IF(ISNUMBER(SEARCH("Party Name-",'R.M Billets Reports'!D2852)),TRIM(MID('R.M Billets Reports'!D2852,SEARCH("-",'R.M Billets Reports'!D2852)+1,200)),"")),IF(ISNUMBER(SEARCH("Party Name:-",'R.M Billets Reports'!D2853)),TRIM('R.M Billets Reports'!F2853),IF(ISNUMBER(SEARCH("Party Name-",'R.M Billets Reports'!D2853)),TRIM(MID('R.M Billets Reports'!D2853,SEARCH("-",'R.M Billets Reports'!D2853)+1,200)),"")))))),IF(ROW()=2,"",A2852))</f>
      </c>
      <c r="B2853">
        <f>IF(OR('R.M Billets Reports'!A2852="Date-",'R.M Billets Reports'!A2852="Date:-"),'R.M Billets Reports'!B2852,IF(ROW()=2,"",B2852))</f>
      </c>
      <c r="C2853">
        <f>IF('R.M Billets Reports'!A2852="V.No.",'R.M Billets Reports'!B2852,IF(ROW()=2,"",C2852))</f>
      </c>
      <c r="D2853">
        <f>IF('R.M Billets Reports'!A2852&lt;&gt;"",'R.M Billets Reports'!A2852,IF(ROW()=2,"",D2852))</f>
      </c>
      <c r="E2853">
        <f>IF('R.M Billets Reports'!B2852="","",TRIM('R.M Billets Reports'!B2852))</f>
      </c>
      <c r="F2853">
        <f>'R.M Billets Reports'!C2852</f>
      </c>
      <c r="G2853">
        <f>'R.M Billets Reports'!D2852</f>
      </c>
      <c r="H2853">
        <f>'R.M Billets Reports'!E2852</f>
      </c>
      <c r="I2853">
        <f>'R.M Billets Reports'!F2852</f>
      </c>
      <c r="J2853">
        <f>'R.M Billets Reports'!G2852</f>
      </c>
      <c r="K2853">
        <f>'R.M Billets Reports'!H2852</f>
      </c>
      <c r="L2853">
        <f>IF('R.M Billets Reports'!I2852="","",'R.M Billets Reports'!I2852)</f>
      </c>
      <c r="M2853">
        <f t="shared" si="88"/>
      </c>
      <c r="N2853">
        <f>IF('R.M Billets Reports'!J2852="","",'R.M Billets Reports'!J2852)</f>
      </c>
      <c r="O2853">
        <f t="shared" si="89"/>
      </c>
      <c r="P2853">
        <f>IF('R.M Billets Reports'!A2852="SIZE",'R.M Billets Reports'!B2852,P2852)</f>
      </c>
    </row>
    <row r="2854" spans="1:16" x14ac:dyDescent="0.25">
      <c r="A2854">
        <f>IF(OR('R.M Billets Reports'!A2853="Date-",'R.M Billets Reports'!A2853="Date:-"),IF(IF(IF(ISNUMBER(SEARCH("Party Name:-",'R.M Billets Reports'!D2853)),TRIM('R.M Billets Reports'!F2853),IF(ISNUMBER(SEARCH("Party Name-",'R.M Billets Reports'!D2853)),TRIM(MID('R.M Billets Reports'!D2853,SEARCH("-",'R.M Billets Reports'!D2853)+1,200)),""))&lt;&gt;"",IF(ISNUMBER(SEARCH("Party Name:-",'R.M Billets Reports'!D2853)),TRIM('R.M Billets Reports'!F2853),IF(ISNUMBER(SEARCH("Party Name-",'R.M Billets Reports'!D2853)),TRIM(MID('R.M Billets Reports'!D2853,SEARCH("-",'R.M Billets Reports'!D2853)+1,200)),"")),IF(ISNUMBER(SEARCH("Party Name:-",'R.M Billets Reports'!D2854)),TRIM('R.M Billets Reports'!F2854),IF(ISNUMBER(SEARCH("Party Name-",'R.M Billets Reports'!D2854)),TRIM(MID('R.M Billets Reports'!D2854,SEARCH("-",'R.M Billets Reports'!D2854)+1,200)),"")))="VRKP ISPAT PVT LTD","VRKP",IF(IF(IF(ISNUMBER(SEARCH("Party Name:-",'R.M Billets Reports'!D2853)),TRIM('R.M Billets Reports'!F2853),IF(ISNUMBER(SEARCH("Party Name-",'R.M Billets Reports'!D2853)),TRIM(MID('R.M Billets Reports'!D2853,SEARCH("-",'R.M Billets Reports'!D2853)+1,200)),""))&lt;&gt;"",IF(ISNUMBER(SEARCH("Party Name:-",'R.M Billets Reports'!D2853)),TRIM('R.M Billets Reports'!F2853),IF(ISNUMBER(SEARCH("Party Name-",'R.M Billets Reports'!D2853)),TRIM(MID('R.M Billets Reports'!D2853,SEARCH("-",'R.M Billets Reports'!D2853)+1,200)),"")),IF(ISNUMBER(SEARCH("Party Name:-",'R.M Billets Reports'!D2854)),TRIM('R.M Billets Reports'!F2854),IF(ISNUMBER(SEARCH("Party Name-",'R.M Billets Reports'!D2854)),TRIM(MID('R.M Billets Reports'!D2854,SEARCH("-",'R.M Billets Reports'!D2854)+1,200)),"")))="SHRI RADHE","SHREE RADHE",IF(IF(IF(ISNUMBER(SEARCH("Party Name:-",'R.M Billets Reports'!D2853)),TRIM('R.M Billets Reports'!F2853),IF(ISNUMBER(SEARCH("Party Name-",'R.M Billets Reports'!D2853)),TRIM(MID('R.M Billets Reports'!D2853,SEARCH("-",'R.M Billets Reports'!D2853)+1,200)),""))&lt;&gt;"",IF(ISNUMBER(SEARCH("Party Name:-",'R.M Billets Reports'!D2853)),TRIM('R.M Billets Reports'!F2853),IF(ISNUMBER(SEARCH("Party Name-",'R.M Billets Reports'!D2853)),TRIM(MID('R.M Billets Reports'!D2853,SEARCH("-",'R.M Billets Reports'!D2853)+1,200)),"")),IF(ISNUMBER(SEARCH("Party Name:-",'R.M Billets Reports'!D2854)),TRIM('R.M Billets Reports'!F2854),IF(ISNUMBER(SEARCH("Party Name-",'R.M Billets Reports'!D2854)),TRIM(MID('R.M Billets Reports'!D2854,SEARCH("-",'R.M Billets Reports'!D2854)+1,200)),"")))="SHREE RADHE SHAKTI SPONGE AND POWER PVT. LTD.","SHREE RADHE",IF(IF(ISNUMBER(SEARCH("Party Name:-",'R.M Billets Reports'!D2853)),TRIM('R.M Billets Reports'!F2853),IF(ISNUMBER(SEARCH("Party Name-",'R.M Billets Reports'!D2853)),TRIM(MID('R.M Billets Reports'!D2853,SEARCH("-",'R.M Billets Reports'!D2853)+1,200)),""))&lt;&gt;"",IF(ISNUMBER(SEARCH("Party Name:-",'R.M Billets Reports'!D2853)),TRIM('R.M Billets Reports'!F2853),IF(ISNUMBER(SEARCH("Party Name-",'R.M Billets Reports'!D2853)),TRIM(MID('R.M Billets Reports'!D2853,SEARCH("-",'R.M Billets Reports'!D2853)+1,200)),"")),IF(ISNUMBER(SEARCH("Party Name:-",'R.M Billets Reports'!D2854)),TRIM('R.M Billets Reports'!F2854),IF(ISNUMBER(SEARCH("Party Name-",'R.M Billets Reports'!D2854)),TRIM(MID('R.M Billets Reports'!D2854,SEARCH("-",'R.M Billets Reports'!D2854)+1,200)),"")))))),IF(ROW()=2,"",A2853))</f>
      </c>
      <c r="B2854">
        <f>IF(OR('R.M Billets Reports'!A2853="Date-",'R.M Billets Reports'!A2853="Date:-"),'R.M Billets Reports'!B2853,IF(ROW()=2,"",B2853))</f>
      </c>
      <c r="C2854">
        <f>IF('R.M Billets Reports'!A2853="V.No.",'R.M Billets Reports'!B2853,IF(ROW()=2,"",C2853))</f>
      </c>
      <c r="D2854">
        <f>IF('R.M Billets Reports'!A2853&lt;&gt;"",'R.M Billets Reports'!A2853,IF(ROW()=2,"",D2853))</f>
      </c>
      <c r="E2854">
        <f>IF('R.M Billets Reports'!B2853="","",TRIM('R.M Billets Reports'!B2853))</f>
      </c>
      <c r="F2854">
        <f>'R.M Billets Reports'!C2853</f>
      </c>
      <c r="G2854">
        <f>'R.M Billets Reports'!D2853</f>
      </c>
      <c r="H2854">
        <f>'R.M Billets Reports'!E2853</f>
      </c>
      <c r="I2854">
        <f>'R.M Billets Reports'!F2853</f>
      </c>
      <c r="J2854">
        <f>'R.M Billets Reports'!G2853</f>
      </c>
      <c r="K2854">
        <f>'R.M Billets Reports'!H2853</f>
      </c>
      <c r="L2854">
        <f>IF('R.M Billets Reports'!I2853="","",'R.M Billets Reports'!I2853)</f>
      </c>
      <c r="M2854">
        <f t="shared" si="88"/>
      </c>
      <c r="N2854">
        <f>IF('R.M Billets Reports'!J2853="","",'R.M Billets Reports'!J2853)</f>
      </c>
      <c r="O2854">
        <f t="shared" si="89"/>
      </c>
      <c r="P2854">
        <f>IF('R.M Billets Reports'!A2853="SIZE",'R.M Billets Reports'!B2853,P2853)</f>
      </c>
    </row>
    <row r="2855" spans="1:16" x14ac:dyDescent="0.25">
      <c r="A2855">
        <f>IF(OR('R.M Billets Reports'!A2854="Date-",'R.M Billets Reports'!A2854="Date:-"),IF(IF(IF(ISNUMBER(SEARCH("Party Name:-",'R.M Billets Reports'!D2854)),TRIM('R.M Billets Reports'!F2854),IF(ISNUMBER(SEARCH("Party Name-",'R.M Billets Reports'!D2854)),TRIM(MID('R.M Billets Reports'!D2854,SEARCH("-",'R.M Billets Reports'!D2854)+1,200)),""))&lt;&gt;"",IF(ISNUMBER(SEARCH("Party Name:-",'R.M Billets Reports'!D2854)),TRIM('R.M Billets Reports'!F2854),IF(ISNUMBER(SEARCH("Party Name-",'R.M Billets Reports'!D2854)),TRIM(MID('R.M Billets Reports'!D2854,SEARCH("-",'R.M Billets Reports'!D2854)+1,200)),"")),IF(ISNUMBER(SEARCH("Party Name:-",'R.M Billets Reports'!D2855)),TRIM('R.M Billets Reports'!F2855),IF(ISNUMBER(SEARCH("Party Name-",'R.M Billets Reports'!D2855)),TRIM(MID('R.M Billets Reports'!D2855,SEARCH("-",'R.M Billets Reports'!D2855)+1,200)),"")))="VRKP ISPAT PVT LTD","VRKP",IF(IF(IF(ISNUMBER(SEARCH("Party Name:-",'R.M Billets Reports'!D2854)),TRIM('R.M Billets Reports'!F2854),IF(ISNUMBER(SEARCH("Party Name-",'R.M Billets Reports'!D2854)),TRIM(MID('R.M Billets Reports'!D2854,SEARCH("-",'R.M Billets Reports'!D2854)+1,200)),""))&lt;&gt;"",IF(ISNUMBER(SEARCH("Party Name:-",'R.M Billets Reports'!D2854)),TRIM('R.M Billets Reports'!F2854),IF(ISNUMBER(SEARCH("Party Name-",'R.M Billets Reports'!D2854)),TRIM(MID('R.M Billets Reports'!D2854,SEARCH("-",'R.M Billets Reports'!D2854)+1,200)),"")),IF(ISNUMBER(SEARCH("Party Name:-",'R.M Billets Reports'!D2855)),TRIM('R.M Billets Reports'!F2855),IF(ISNUMBER(SEARCH("Party Name-",'R.M Billets Reports'!D2855)),TRIM(MID('R.M Billets Reports'!D2855,SEARCH("-",'R.M Billets Reports'!D2855)+1,200)),"")))="SHRI RADHE","SHREE RADHE",IF(IF(IF(ISNUMBER(SEARCH("Party Name:-",'R.M Billets Reports'!D2854)),TRIM('R.M Billets Reports'!F2854),IF(ISNUMBER(SEARCH("Party Name-",'R.M Billets Reports'!D2854)),TRIM(MID('R.M Billets Reports'!D2854,SEARCH("-",'R.M Billets Reports'!D2854)+1,200)),""))&lt;&gt;"",IF(ISNUMBER(SEARCH("Party Name:-",'R.M Billets Reports'!D2854)),TRIM('R.M Billets Reports'!F2854),IF(ISNUMBER(SEARCH("Party Name-",'R.M Billets Reports'!D2854)),TRIM(MID('R.M Billets Reports'!D2854,SEARCH("-",'R.M Billets Reports'!D2854)+1,200)),"")),IF(ISNUMBER(SEARCH("Party Name:-",'R.M Billets Reports'!D2855)),TRIM('R.M Billets Reports'!F2855),IF(ISNUMBER(SEARCH("Party Name-",'R.M Billets Reports'!D2855)),TRIM(MID('R.M Billets Reports'!D2855,SEARCH("-",'R.M Billets Reports'!D2855)+1,200)),"")))="SHREE RADHE SHAKTI SPONGE AND POWER PVT. LTD.","SHREE RADHE",IF(IF(ISNUMBER(SEARCH("Party Name:-",'R.M Billets Reports'!D2854)),TRIM('R.M Billets Reports'!F2854),IF(ISNUMBER(SEARCH("Party Name-",'R.M Billets Reports'!D2854)),TRIM(MID('R.M Billets Reports'!D2854,SEARCH("-",'R.M Billets Reports'!D2854)+1,200)),""))&lt;&gt;"",IF(ISNUMBER(SEARCH("Party Name:-",'R.M Billets Reports'!D2854)),TRIM('R.M Billets Reports'!F2854),IF(ISNUMBER(SEARCH("Party Name-",'R.M Billets Reports'!D2854)),TRIM(MID('R.M Billets Reports'!D2854,SEARCH("-",'R.M Billets Reports'!D2854)+1,200)),"")),IF(ISNUMBER(SEARCH("Party Name:-",'R.M Billets Reports'!D2855)),TRIM('R.M Billets Reports'!F2855),IF(ISNUMBER(SEARCH("Party Name-",'R.M Billets Reports'!D2855)),TRIM(MID('R.M Billets Reports'!D2855,SEARCH("-",'R.M Billets Reports'!D2855)+1,200)),"")))))),IF(ROW()=2,"",A2854))</f>
      </c>
      <c r="B2855">
        <f>IF(OR('R.M Billets Reports'!A2854="Date-",'R.M Billets Reports'!A2854="Date:-"),'R.M Billets Reports'!B2854,IF(ROW()=2,"",B2854))</f>
      </c>
      <c r="C2855">
        <f>IF('R.M Billets Reports'!A2854="V.No.",'R.M Billets Reports'!B2854,IF(ROW()=2,"",C2854))</f>
      </c>
      <c r="D2855">
        <f>IF('R.M Billets Reports'!A2854&lt;&gt;"",'R.M Billets Reports'!A2854,IF(ROW()=2,"",D2854))</f>
      </c>
      <c r="E2855">
        <f>IF('R.M Billets Reports'!B2854="","",TRIM('R.M Billets Reports'!B2854))</f>
      </c>
      <c r="F2855">
        <f>'R.M Billets Reports'!C2854</f>
      </c>
      <c r="G2855">
        <f>'R.M Billets Reports'!D2854</f>
      </c>
      <c r="H2855">
        <f>'R.M Billets Reports'!E2854</f>
      </c>
      <c r="I2855">
        <f>'R.M Billets Reports'!F2854</f>
      </c>
      <c r="J2855">
        <f>'R.M Billets Reports'!G2854</f>
      </c>
      <c r="K2855">
        <f>'R.M Billets Reports'!H2854</f>
      </c>
      <c r="L2855">
        <f>IF('R.M Billets Reports'!I2854="","",'R.M Billets Reports'!I2854)</f>
      </c>
      <c r="M2855">
        <f t="shared" si="88"/>
      </c>
      <c r="N2855">
        <f>IF('R.M Billets Reports'!J2854="","",'R.M Billets Reports'!J2854)</f>
      </c>
      <c r="O2855">
        <f t="shared" si="89"/>
      </c>
      <c r="P2855">
        <f>IF('R.M Billets Reports'!A2854="SIZE",'R.M Billets Reports'!B2854,P2854)</f>
      </c>
    </row>
    <row r="2856" spans="1:16" x14ac:dyDescent="0.25">
      <c r="A2856">
        <f>IF(OR('R.M Billets Reports'!A2855="Date-",'R.M Billets Reports'!A2855="Date:-"),IF(IF(IF(ISNUMBER(SEARCH("Party Name:-",'R.M Billets Reports'!D2855)),TRIM('R.M Billets Reports'!F2855),IF(ISNUMBER(SEARCH("Party Name-",'R.M Billets Reports'!D2855)),TRIM(MID('R.M Billets Reports'!D2855,SEARCH("-",'R.M Billets Reports'!D2855)+1,200)),""))&lt;&gt;"",IF(ISNUMBER(SEARCH("Party Name:-",'R.M Billets Reports'!D2855)),TRIM('R.M Billets Reports'!F2855),IF(ISNUMBER(SEARCH("Party Name-",'R.M Billets Reports'!D2855)),TRIM(MID('R.M Billets Reports'!D2855,SEARCH("-",'R.M Billets Reports'!D2855)+1,200)),"")),IF(ISNUMBER(SEARCH("Party Name:-",'R.M Billets Reports'!D2856)),TRIM('R.M Billets Reports'!F2856),IF(ISNUMBER(SEARCH("Party Name-",'R.M Billets Reports'!D2856)),TRIM(MID('R.M Billets Reports'!D2856,SEARCH("-",'R.M Billets Reports'!D2856)+1,200)),"")))="VRKP ISPAT PVT LTD","VRKP",IF(IF(IF(ISNUMBER(SEARCH("Party Name:-",'R.M Billets Reports'!D2855)),TRIM('R.M Billets Reports'!F2855),IF(ISNUMBER(SEARCH("Party Name-",'R.M Billets Reports'!D2855)),TRIM(MID('R.M Billets Reports'!D2855,SEARCH("-",'R.M Billets Reports'!D2855)+1,200)),""))&lt;&gt;"",IF(ISNUMBER(SEARCH("Party Name:-",'R.M Billets Reports'!D2855)),TRIM('R.M Billets Reports'!F2855),IF(ISNUMBER(SEARCH("Party Name-",'R.M Billets Reports'!D2855)),TRIM(MID('R.M Billets Reports'!D2855,SEARCH("-",'R.M Billets Reports'!D2855)+1,200)),"")),IF(ISNUMBER(SEARCH("Party Name:-",'R.M Billets Reports'!D2856)),TRIM('R.M Billets Reports'!F2856),IF(ISNUMBER(SEARCH("Party Name-",'R.M Billets Reports'!D2856)),TRIM(MID('R.M Billets Reports'!D2856,SEARCH("-",'R.M Billets Reports'!D2856)+1,200)),"")))="SHRI RADHE","SHREE RADHE",IF(IF(IF(ISNUMBER(SEARCH("Party Name:-",'R.M Billets Reports'!D2855)),TRIM('R.M Billets Reports'!F2855),IF(ISNUMBER(SEARCH("Party Name-",'R.M Billets Reports'!D2855)),TRIM(MID('R.M Billets Reports'!D2855,SEARCH("-",'R.M Billets Reports'!D2855)+1,200)),""))&lt;&gt;"",IF(ISNUMBER(SEARCH("Party Name:-",'R.M Billets Reports'!D2855)),TRIM('R.M Billets Reports'!F2855),IF(ISNUMBER(SEARCH("Party Name-",'R.M Billets Reports'!D2855)),TRIM(MID('R.M Billets Reports'!D2855,SEARCH("-",'R.M Billets Reports'!D2855)+1,200)),"")),IF(ISNUMBER(SEARCH("Party Name:-",'R.M Billets Reports'!D2856)),TRIM('R.M Billets Reports'!F2856),IF(ISNUMBER(SEARCH("Party Name-",'R.M Billets Reports'!D2856)),TRIM(MID('R.M Billets Reports'!D2856,SEARCH("-",'R.M Billets Reports'!D2856)+1,200)),"")))="SHREE RADHE SHAKTI SPONGE AND POWER PVT. LTD.","SHREE RADHE",IF(IF(ISNUMBER(SEARCH("Party Name:-",'R.M Billets Reports'!D2855)),TRIM('R.M Billets Reports'!F2855),IF(ISNUMBER(SEARCH("Party Name-",'R.M Billets Reports'!D2855)),TRIM(MID('R.M Billets Reports'!D2855,SEARCH("-",'R.M Billets Reports'!D2855)+1,200)),""))&lt;&gt;"",IF(ISNUMBER(SEARCH("Party Name:-",'R.M Billets Reports'!D2855)),TRIM('R.M Billets Reports'!F2855),IF(ISNUMBER(SEARCH("Party Name-",'R.M Billets Reports'!D2855)),TRIM(MID('R.M Billets Reports'!D2855,SEARCH("-",'R.M Billets Reports'!D2855)+1,200)),"")),IF(ISNUMBER(SEARCH("Party Name:-",'R.M Billets Reports'!D2856)),TRIM('R.M Billets Reports'!F2856),IF(ISNUMBER(SEARCH("Party Name-",'R.M Billets Reports'!D2856)),TRIM(MID('R.M Billets Reports'!D2856,SEARCH("-",'R.M Billets Reports'!D2856)+1,200)),"")))))),IF(ROW()=2,"",A2855))</f>
      </c>
      <c r="B2856">
        <f>IF(OR('R.M Billets Reports'!A2855="Date-",'R.M Billets Reports'!A2855="Date:-"),'R.M Billets Reports'!B2855,IF(ROW()=2,"",B2855))</f>
      </c>
      <c r="C2856">
        <f>IF('R.M Billets Reports'!A2855="V.No.",'R.M Billets Reports'!B2855,IF(ROW()=2,"",C2855))</f>
      </c>
      <c r="D2856">
        <f>IF('R.M Billets Reports'!A2855&lt;&gt;"",'R.M Billets Reports'!A2855,IF(ROW()=2,"",D2855))</f>
      </c>
      <c r="E2856">
        <f>IF('R.M Billets Reports'!B2855="","",TRIM('R.M Billets Reports'!B2855))</f>
      </c>
      <c r="F2856">
        <f>'R.M Billets Reports'!C2855</f>
      </c>
      <c r="G2856">
        <f>'R.M Billets Reports'!D2855</f>
      </c>
      <c r="H2856">
        <f>'R.M Billets Reports'!E2855</f>
      </c>
      <c r="I2856">
        <f>'R.M Billets Reports'!F2855</f>
      </c>
      <c r="J2856">
        <f>'R.M Billets Reports'!G2855</f>
      </c>
      <c r="K2856">
        <f>'R.M Billets Reports'!H2855</f>
      </c>
      <c r="L2856">
        <f>IF('R.M Billets Reports'!I2855="","",'R.M Billets Reports'!I2855)</f>
      </c>
      <c r="M2856">
        <f t="shared" si="88"/>
      </c>
      <c r="N2856">
        <f>IF('R.M Billets Reports'!J2855="","",'R.M Billets Reports'!J2855)</f>
      </c>
      <c r="O2856">
        <f t="shared" si="89"/>
      </c>
      <c r="P2856">
        <f>IF('R.M Billets Reports'!A2855="SIZE",'R.M Billets Reports'!B2855,P2855)</f>
      </c>
    </row>
    <row r="2857" spans="1:16" x14ac:dyDescent="0.25">
      <c r="A2857">
        <f>IF(OR('R.M Billets Reports'!A2856="Date-",'R.M Billets Reports'!A2856="Date:-"),IF(IF(IF(ISNUMBER(SEARCH("Party Name:-",'R.M Billets Reports'!D2856)),TRIM('R.M Billets Reports'!F2856),IF(ISNUMBER(SEARCH("Party Name-",'R.M Billets Reports'!D2856)),TRIM(MID('R.M Billets Reports'!D2856,SEARCH("-",'R.M Billets Reports'!D2856)+1,200)),""))&lt;&gt;"",IF(ISNUMBER(SEARCH("Party Name:-",'R.M Billets Reports'!D2856)),TRIM('R.M Billets Reports'!F2856),IF(ISNUMBER(SEARCH("Party Name-",'R.M Billets Reports'!D2856)),TRIM(MID('R.M Billets Reports'!D2856,SEARCH("-",'R.M Billets Reports'!D2856)+1,200)),"")),IF(ISNUMBER(SEARCH("Party Name:-",'R.M Billets Reports'!D2857)),TRIM('R.M Billets Reports'!F2857),IF(ISNUMBER(SEARCH("Party Name-",'R.M Billets Reports'!D2857)),TRIM(MID('R.M Billets Reports'!D2857,SEARCH("-",'R.M Billets Reports'!D2857)+1,200)),"")))="VRKP ISPAT PVT LTD","VRKP",IF(IF(IF(ISNUMBER(SEARCH("Party Name:-",'R.M Billets Reports'!D2856)),TRIM('R.M Billets Reports'!F2856),IF(ISNUMBER(SEARCH("Party Name-",'R.M Billets Reports'!D2856)),TRIM(MID('R.M Billets Reports'!D2856,SEARCH("-",'R.M Billets Reports'!D2856)+1,200)),""))&lt;&gt;"",IF(ISNUMBER(SEARCH("Party Name:-",'R.M Billets Reports'!D2856)),TRIM('R.M Billets Reports'!F2856),IF(ISNUMBER(SEARCH("Party Name-",'R.M Billets Reports'!D2856)),TRIM(MID('R.M Billets Reports'!D2856,SEARCH("-",'R.M Billets Reports'!D2856)+1,200)),"")),IF(ISNUMBER(SEARCH("Party Name:-",'R.M Billets Reports'!D2857)),TRIM('R.M Billets Reports'!F2857),IF(ISNUMBER(SEARCH("Party Name-",'R.M Billets Reports'!D2857)),TRIM(MID('R.M Billets Reports'!D2857,SEARCH("-",'R.M Billets Reports'!D2857)+1,200)),"")))="SHRI RADHE","SHREE RADHE",IF(IF(IF(ISNUMBER(SEARCH("Party Name:-",'R.M Billets Reports'!D2856)),TRIM('R.M Billets Reports'!F2856),IF(ISNUMBER(SEARCH("Party Name-",'R.M Billets Reports'!D2856)),TRIM(MID('R.M Billets Reports'!D2856,SEARCH("-",'R.M Billets Reports'!D2856)+1,200)),""))&lt;&gt;"",IF(ISNUMBER(SEARCH("Party Name:-",'R.M Billets Reports'!D2856)),TRIM('R.M Billets Reports'!F2856),IF(ISNUMBER(SEARCH("Party Name-",'R.M Billets Reports'!D2856)),TRIM(MID('R.M Billets Reports'!D2856,SEARCH("-",'R.M Billets Reports'!D2856)+1,200)),"")),IF(ISNUMBER(SEARCH("Party Name:-",'R.M Billets Reports'!D2857)),TRIM('R.M Billets Reports'!F2857),IF(ISNUMBER(SEARCH("Party Name-",'R.M Billets Reports'!D2857)),TRIM(MID('R.M Billets Reports'!D2857,SEARCH("-",'R.M Billets Reports'!D2857)+1,200)),"")))="SHREE RADHE SHAKTI SPONGE AND POWER PVT. LTD.","SHREE RADHE",IF(IF(ISNUMBER(SEARCH("Party Name:-",'R.M Billets Reports'!D2856)),TRIM('R.M Billets Reports'!F2856),IF(ISNUMBER(SEARCH("Party Name-",'R.M Billets Reports'!D2856)),TRIM(MID('R.M Billets Reports'!D2856,SEARCH("-",'R.M Billets Reports'!D2856)+1,200)),""))&lt;&gt;"",IF(ISNUMBER(SEARCH("Party Name:-",'R.M Billets Reports'!D2856)),TRIM('R.M Billets Reports'!F2856),IF(ISNUMBER(SEARCH("Party Name-",'R.M Billets Reports'!D2856)),TRIM(MID('R.M Billets Reports'!D2856,SEARCH("-",'R.M Billets Reports'!D2856)+1,200)),"")),IF(ISNUMBER(SEARCH("Party Name:-",'R.M Billets Reports'!D2857)),TRIM('R.M Billets Reports'!F2857),IF(ISNUMBER(SEARCH("Party Name-",'R.M Billets Reports'!D2857)),TRIM(MID('R.M Billets Reports'!D2857,SEARCH("-",'R.M Billets Reports'!D2857)+1,200)),"")))))),IF(ROW()=2,"",A2856))</f>
      </c>
      <c r="B2857">
        <f>IF(OR('R.M Billets Reports'!A2856="Date-",'R.M Billets Reports'!A2856="Date:-"),'R.M Billets Reports'!B2856,IF(ROW()=2,"",B2856))</f>
      </c>
      <c r="C2857">
        <f>IF('R.M Billets Reports'!A2856="V.No.",'R.M Billets Reports'!B2856,IF(ROW()=2,"",C2856))</f>
      </c>
      <c r="D2857">
        <f>IF('R.M Billets Reports'!A2856&lt;&gt;"",'R.M Billets Reports'!A2856,IF(ROW()=2,"",D2856))</f>
      </c>
      <c r="E2857">
        <f>IF('R.M Billets Reports'!B2856="","",TRIM('R.M Billets Reports'!B2856))</f>
      </c>
      <c r="F2857">
        <f>'R.M Billets Reports'!C2856</f>
      </c>
      <c r="G2857">
        <f>'R.M Billets Reports'!D2856</f>
      </c>
      <c r="H2857">
        <f>'R.M Billets Reports'!E2856</f>
      </c>
      <c r="I2857">
        <f>'R.M Billets Reports'!F2856</f>
      </c>
      <c r="J2857">
        <f>'R.M Billets Reports'!G2856</f>
      </c>
      <c r="K2857">
        <f>'R.M Billets Reports'!H2856</f>
      </c>
      <c r="L2857">
        <f>IF('R.M Billets Reports'!I2856="","",'R.M Billets Reports'!I2856)</f>
      </c>
      <c r="M2857">
        <f t="shared" si="88"/>
      </c>
      <c r="N2857">
        <f>IF('R.M Billets Reports'!J2856="","",'R.M Billets Reports'!J2856)</f>
      </c>
      <c r="O2857">
        <f t="shared" si="89"/>
      </c>
      <c r="P2857">
        <f>IF('R.M Billets Reports'!A2856="SIZE",'R.M Billets Reports'!B2856,P2856)</f>
      </c>
    </row>
    <row r="2858" spans="1:16" x14ac:dyDescent="0.25">
      <c r="A2858">
        <f>IF(OR('R.M Billets Reports'!A2857="Date-",'R.M Billets Reports'!A2857="Date:-"),IF(IF(IF(ISNUMBER(SEARCH("Party Name:-",'R.M Billets Reports'!D2857)),TRIM('R.M Billets Reports'!F2857),IF(ISNUMBER(SEARCH("Party Name-",'R.M Billets Reports'!D2857)),TRIM(MID('R.M Billets Reports'!D2857,SEARCH("-",'R.M Billets Reports'!D2857)+1,200)),""))&lt;&gt;"",IF(ISNUMBER(SEARCH("Party Name:-",'R.M Billets Reports'!D2857)),TRIM('R.M Billets Reports'!F2857),IF(ISNUMBER(SEARCH("Party Name-",'R.M Billets Reports'!D2857)),TRIM(MID('R.M Billets Reports'!D2857,SEARCH("-",'R.M Billets Reports'!D2857)+1,200)),"")),IF(ISNUMBER(SEARCH("Party Name:-",'R.M Billets Reports'!D2858)),TRIM('R.M Billets Reports'!F2858),IF(ISNUMBER(SEARCH("Party Name-",'R.M Billets Reports'!D2858)),TRIM(MID('R.M Billets Reports'!D2858,SEARCH("-",'R.M Billets Reports'!D2858)+1,200)),"")))="VRKP ISPAT PVT LTD","VRKP",IF(IF(IF(ISNUMBER(SEARCH("Party Name:-",'R.M Billets Reports'!D2857)),TRIM('R.M Billets Reports'!F2857),IF(ISNUMBER(SEARCH("Party Name-",'R.M Billets Reports'!D2857)),TRIM(MID('R.M Billets Reports'!D2857,SEARCH("-",'R.M Billets Reports'!D2857)+1,200)),""))&lt;&gt;"",IF(ISNUMBER(SEARCH("Party Name:-",'R.M Billets Reports'!D2857)),TRIM('R.M Billets Reports'!F2857),IF(ISNUMBER(SEARCH("Party Name-",'R.M Billets Reports'!D2857)),TRIM(MID('R.M Billets Reports'!D2857,SEARCH("-",'R.M Billets Reports'!D2857)+1,200)),"")),IF(ISNUMBER(SEARCH("Party Name:-",'R.M Billets Reports'!D2858)),TRIM('R.M Billets Reports'!F2858),IF(ISNUMBER(SEARCH("Party Name-",'R.M Billets Reports'!D2858)),TRIM(MID('R.M Billets Reports'!D2858,SEARCH("-",'R.M Billets Reports'!D2858)+1,200)),"")))="SHRI RADHE","SHREE RADHE",IF(IF(IF(ISNUMBER(SEARCH("Party Name:-",'R.M Billets Reports'!D2857)),TRIM('R.M Billets Reports'!F2857),IF(ISNUMBER(SEARCH("Party Name-",'R.M Billets Reports'!D2857)),TRIM(MID('R.M Billets Reports'!D2857,SEARCH("-",'R.M Billets Reports'!D2857)+1,200)),""))&lt;&gt;"",IF(ISNUMBER(SEARCH("Party Name:-",'R.M Billets Reports'!D2857)),TRIM('R.M Billets Reports'!F2857),IF(ISNUMBER(SEARCH("Party Name-",'R.M Billets Reports'!D2857)),TRIM(MID('R.M Billets Reports'!D2857,SEARCH("-",'R.M Billets Reports'!D2857)+1,200)),"")),IF(ISNUMBER(SEARCH("Party Name:-",'R.M Billets Reports'!D2858)),TRIM('R.M Billets Reports'!F2858),IF(ISNUMBER(SEARCH("Party Name-",'R.M Billets Reports'!D2858)),TRIM(MID('R.M Billets Reports'!D2858,SEARCH("-",'R.M Billets Reports'!D2858)+1,200)),"")))="SHREE RADHE SHAKTI SPONGE AND POWER PVT. LTD.","SHREE RADHE",IF(IF(ISNUMBER(SEARCH("Party Name:-",'R.M Billets Reports'!D2857)),TRIM('R.M Billets Reports'!F2857),IF(ISNUMBER(SEARCH("Party Name-",'R.M Billets Reports'!D2857)),TRIM(MID('R.M Billets Reports'!D2857,SEARCH("-",'R.M Billets Reports'!D2857)+1,200)),""))&lt;&gt;"",IF(ISNUMBER(SEARCH("Party Name:-",'R.M Billets Reports'!D2857)),TRIM('R.M Billets Reports'!F2857),IF(ISNUMBER(SEARCH("Party Name-",'R.M Billets Reports'!D2857)),TRIM(MID('R.M Billets Reports'!D2857,SEARCH("-",'R.M Billets Reports'!D2857)+1,200)),"")),IF(ISNUMBER(SEARCH("Party Name:-",'R.M Billets Reports'!D2858)),TRIM('R.M Billets Reports'!F2858),IF(ISNUMBER(SEARCH("Party Name-",'R.M Billets Reports'!D2858)),TRIM(MID('R.M Billets Reports'!D2858,SEARCH("-",'R.M Billets Reports'!D2858)+1,200)),"")))))),IF(ROW()=2,"",A2857))</f>
      </c>
      <c r="B2858">
        <f>IF(OR('R.M Billets Reports'!A2857="Date-",'R.M Billets Reports'!A2857="Date:-"),'R.M Billets Reports'!B2857,IF(ROW()=2,"",B2857))</f>
      </c>
      <c r="C2858">
        <f>IF('R.M Billets Reports'!A2857="V.No.",'R.M Billets Reports'!B2857,IF(ROW()=2,"",C2857))</f>
      </c>
      <c r="D2858">
        <f>IF('R.M Billets Reports'!A2857&lt;&gt;"",'R.M Billets Reports'!A2857,IF(ROW()=2,"",D2857))</f>
      </c>
      <c r="E2858">
        <f>IF('R.M Billets Reports'!B2857="","",TRIM('R.M Billets Reports'!B2857))</f>
      </c>
      <c r="F2858">
        <f>'R.M Billets Reports'!C2857</f>
      </c>
      <c r="G2858">
        <f>'R.M Billets Reports'!D2857</f>
      </c>
      <c r="H2858">
        <f>'R.M Billets Reports'!E2857</f>
      </c>
      <c r="I2858">
        <f>'R.M Billets Reports'!F2857</f>
      </c>
      <c r="J2858">
        <f>'R.M Billets Reports'!G2857</f>
      </c>
      <c r="K2858">
        <f>'R.M Billets Reports'!H2857</f>
      </c>
      <c r="L2858">
        <f>IF('R.M Billets Reports'!I2857="","",'R.M Billets Reports'!I2857)</f>
      </c>
      <c r="M2858">
        <f t="shared" si="88"/>
      </c>
      <c r="N2858">
        <f>IF('R.M Billets Reports'!J2857="","",'R.M Billets Reports'!J2857)</f>
      </c>
      <c r="O2858">
        <f t="shared" si="89"/>
      </c>
      <c r="P2858">
        <f>IF('R.M Billets Reports'!A2857="SIZE",'R.M Billets Reports'!B2857,P2857)</f>
      </c>
    </row>
    <row r="2859" spans="1:16" x14ac:dyDescent="0.25">
      <c r="A2859">
        <f>IF(OR('R.M Billets Reports'!A2858="Date-",'R.M Billets Reports'!A2858="Date:-"),IF(IF(IF(ISNUMBER(SEARCH("Party Name:-",'R.M Billets Reports'!D2858)),TRIM('R.M Billets Reports'!F2858),IF(ISNUMBER(SEARCH("Party Name-",'R.M Billets Reports'!D2858)),TRIM(MID('R.M Billets Reports'!D2858,SEARCH("-",'R.M Billets Reports'!D2858)+1,200)),""))&lt;&gt;"",IF(ISNUMBER(SEARCH("Party Name:-",'R.M Billets Reports'!D2858)),TRIM('R.M Billets Reports'!F2858),IF(ISNUMBER(SEARCH("Party Name-",'R.M Billets Reports'!D2858)),TRIM(MID('R.M Billets Reports'!D2858,SEARCH("-",'R.M Billets Reports'!D2858)+1,200)),"")),IF(ISNUMBER(SEARCH("Party Name:-",'R.M Billets Reports'!D2859)),TRIM('R.M Billets Reports'!F2859),IF(ISNUMBER(SEARCH("Party Name-",'R.M Billets Reports'!D2859)),TRIM(MID('R.M Billets Reports'!D2859,SEARCH("-",'R.M Billets Reports'!D2859)+1,200)),"")))="VRKP ISPAT PVT LTD","VRKP",IF(IF(IF(ISNUMBER(SEARCH("Party Name:-",'R.M Billets Reports'!D2858)),TRIM('R.M Billets Reports'!F2858),IF(ISNUMBER(SEARCH("Party Name-",'R.M Billets Reports'!D2858)),TRIM(MID('R.M Billets Reports'!D2858,SEARCH("-",'R.M Billets Reports'!D2858)+1,200)),""))&lt;&gt;"",IF(ISNUMBER(SEARCH("Party Name:-",'R.M Billets Reports'!D2858)),TRIM('R.M Billets Reports'!F2858),IF(ISNUMBER(SEARCH("Party Name-",'R.M Billets Reports'!D2858)),TRIM(MID('R.M Billets Reports'!D2858,SEARCH("-",'R.M Billets Reports'!D2858)+1,200)),"")),IF(ISNUMBER(SEARCH("Party Name:-",'R.M Billets Reports'!D2859)),TRIM('R.M Billets Reports'!F2859),IF(ISNUMBER(SEARCH("Party Name-",'R.M Billets Reports'!D2859)),TRIM(MID('R.M Billets Reports'!D2859,SEARCH("-",'R.M Billets Reports'!D2859)+1,200)),"")))="SHRI RADHE","SHREE RADHE",IF(IF(IF(ISNUMBER(SEARCH("Party Name:-",'R.M Billets Reports'!D2858)),TRIM('R.M Billets Reports'!F2858),IF(ISNUMBER(SEARCH("Party Name-",'R.M Billets Reports'!D2858)),TRIM(MID('R.M Billets Reports'!D2858,SEARCH("-",'R.M Billets Reports'!D2858)+1,200)),""))&lt;&gt;"",IF(ISNUMBER(SEARCH("Party Name:-",'R.M Billets Reports'!D2858)),TRIM('R.M Billets Reports'!F2858),IF(ISNUMBER(SEARCH("Party Name-",'R.M Billets Reports'!D2858)),TRIM(MID('R.M Billets Reports'!D2858,SEARCH("-",'R.M Billets Reports'!D2858)+1,200)),"")),IF(ISNUMBER(SEARCH("Party Name:-",'R.M Billets Reports'!D2859)),TRIM('R.M Billets Reports'!F2859),IF(ISNUMBER(SEARCH("Party Name-",'R.M Billets Reports'!D2859)),TRIM(MID('R.M Billets Reports'!D2859,SEARCH("-",'R.M Billets Reports'!D2859)+1,200)),"")))="SHREE RADHE SHAKTI SPONGE AND POWER PVT. LTD.","SHREE RADHE",IF(IF(ISNUMBER(SEARCH("Party Name:-",'R.M Billets Reports'!D2858)),TRIM('R.M Billets Reports'!F2858),IF(ISNUMBER(SEARCH("Party Name-",'R.M Billets Reports'!D2858)),TRIM(MID('R.M Billets Reports'!D2858,SEARCH("-",'R.M Billets Reports'!D2858)+1,200)),""))&lt;&gt;"",IF(ISNUMBER(SEARCH("Party Name:-",'R.M Billets Reports'!D2858)),TRIM('R.M Billets Reports'!F2858),IF(ISNUMBER(SEARCH("Party Name-",'R.M Billets Reports'!D2858)),TRIM(MID('R.M Billets Reports'!D2858,SEARCH("-",'R.M Billets Reports'!D2858)+1,200)),"")),IF(ISNUMBER(SEARCH("Party Name:-",'R.M Billets Reports'!D2859)),TRIM('R.M Billets Reports'!F2859),IF(ISNUMBER(SEARCH("Party Name-",'R.M Billets Reports'!D2859)),TRIM(MID('R.M Billets Reports'!D2859,SEARCH("-",'R.M Billets Reports'!D2859)+1,200)),"")))))),IF(ROW()=2,"",A2858))</f>
      </c>
      <c r="B2859">
        <f>IF(OR('R.M Billets Reports'!A2858="Date-",'R.M Billets Reports'!A2858="Date:-"),'R.M Billets Reports'!B2858,IF(ROW()=2,"",B2858))</f>
      </c>
      <c r="C2859">
        <f>IF('R.M Billets Reports'!A2858="V.No.",'R.M Billets Reports'!B2858,IF(ROW()=2,"",C2858))</f>
      </c>
      <c r="D2859">
        <f>IF('R.M Billets Reports'!A2858&lt;&gt;"",'R.M Billets Reports'!A2858,IF(ROW()=2,"",D2858))</f>
      </c>
      <c r="E2859">
        <f>IF('R.M Billets Reports'!B2858="","",TRIM('R.M Billets Reports'!B2858))</f>
      </c>
      <c r="F2859">
        <f>'R.M Billets Reports'!C2858</f>
      </c>
      <c r="G2859">
        <f>'R.M Billets Reports'!D2858</f>
      </c>
      <c r="H2859">
        <f>'R.M Billets Reports'!E2858</f>
      </c>
      <c r="I2859">
        <f>'R.M Billets Reports'!F2858</f>
      </c>
      <c r="J2859">
        <f>'R.M Billets Reports'!G2858</f>
      </c>
      <c r="K2859">
        <f>'R.M Billets Reports'!H2858</f>
      </c>
      <c r="L2859">
        <f>IF('R.M Billets Reports'!I2858="","",'R.M Billets Reports'!I2858)</f>
      </c>
      <c r="M2859">
        <f t="shared" si="88"/>
      </c>
      <c r="N2859">
        <f>IF('R.M Billets Reports'!J2858="","",'R.M Billets Reports'!J2858)</f>
      </c>
      <c r="O2859">
        <f t="shared" si="89"/>
      </c>
      <c r="P2859">
        <f>IF('R.M Billets Reports'!A2858="SIZE",'R.M Billets Reports'!B2858,P2858)</f>
      </c>
    </row>
    <row r="2860" spans="1:16" x14ac:dyDescent="0.25">
      <c r="A2860">
        <f>IF(OR('R.M Billets Reports'!A2859="Date-",'R.M Billets Reports'!A2859="Date:-"),IF(IF(IF(ISNUMBER(SEARCH("Party Name:-",'R.M Billets Reports'!D2859)),TRIM('R.M Billets Reports'!F2859),IF(ISNUMBER(SEARCH("Party Name-",'R.M Billets Reports'!D2859)),TRIM(MID('R.M Billets Reports'!D2859,SEARCH("-",'R.M Billets Reports'!D2859)+1,200)),""))&lt;&gt;"",IF(ISNUMBER(SEARCH("Party Name:-",'R.M Billets Reports'!D2859)),TRIM('R.M Billets Reports'!F2859),IF(ISNUMBER(SEARCH("Party Name-",'R.M Billets Reports'!D2859)),TRIM(MID('R.M Billets Reports'!D2859,SEARCH("-",'R.M Billets Reports'!D2859)+1,200)),"")),IF(ISNUMBER(SEARCH("Party Name:-",'R.M Billets Reports'!D2860)),TRIM('R.M Billets Reports'!F2860),IF(ISNUMBER(SEARCH("Party Name-",'R.M Billets Reports'!D2860)),TRIM(MID('R.M Billets Reports'!D2860,SEARCH("-",'R.M Billets Reports'!D2860)+1,200)),"")))="VRKP ISPAT PVT LTD","VRKP",IF(IF(IF(ISNUMBER(SEARCH("Party Name:-",'R.M Billets Reports'!D2859)),TRIM('R.M Billets Reports'!F2859),IF(ISNUMBER(SEARCH("Party Name-",'R.M Billets Reports'!D2859)),TRIM(MID('R.M Billets Reports'!D2859,SEARCH("-",'R.M Billets Reports'!D2859)+1,200)),""))&lt;&gt;"",IF(ISNUMBER(SEARCH("Party Name:-",'R.M Billets Reports'!D2859)),TRIM('R.M Billets Reports'!F2859),IF(ISNUMBER(SEARCH("Party Name-",'R.M Billets Reports'!D2859)),TRIM(MID('R.M Billets Reports'!D2859,SEARCH("-",'R.M Billets Reports'!D2859)+1,200)),"")),IF(ISNUMBER(SEARCH("Party Name:-",'R.M Billets Reports'!D2860)),TRIM('R.M Billets Reports'!F2860),IF(ISNUMBER(SEARCH("Party Name-",'R.M Billets Reports'!D2860)),TRIM(MID('R.M Billets Reports'!D2860,SEARCH("-",'R.M Billets Reports'!D2860)+1,200)),"")))="SHRI RADHE","SHREE RADHE",IF(IF(IF(ISNUMBER(SEARCH("Party Name:-",'R.M Billets Reports'!D2859)),TRIM('R.M Billets Reports'!F2859),IF(ISNUMBER(SEARCH("Party Name-",'R.M Billets Reports'!D2859)),TRIM(MID('R.M Billets Reports'!D2859,SEARCH("-",'R.M Billets Reports'!D2859)+1,200)),""))&lt;&gt;"",IF(ISNUMBER(SEARCH("Party Name:-",'R.M Billets Reports'!D2859)),TRIM('R.M Billets Reports'!F2859),IF(ISNUMBER(SEARCH("Party Name-",'R.M Billets Reports'!D2859)),TRIM(MID('R.M Billets Reports'!D2859,SEARCH("-",'R.M Billets Reports'!D2859)+1,200)),"")),IF(ISNUMBER(SEARCH("Party Name:-",'R.M Billets Reports'!D2860)),TRIM('R.M Billets Reports'!F2860),IF(ISNUMBER(SEARCH("Party Name-",'R.M Billets Reports'!D2860)),TRIM(MID('R.M Billets Reports'!D2860,SEARCH("-",'R.M Billets Reports'!D2860)+1,200)),"")))="SHREE RADHE SHAKTI SPONGE AND POWER PVT. LTD.","SHREE RADHE",IF(IF(ISNUMBER(SEARCH("Party Name:-",'R.M Billets Reports'!D2859)),TRIM('R.M Billets Reports'!F2859),IF(ISNUMBER(SEARCH("Party Name-",'R.M Billets Reports'!D2859)),TRIM(MID('R.M Billets Reports'!D2859,SEARCH("-",'R.M Billets Reports'!D2859)+1,200)),""))&lt;&gt;"",IF(ISNUMBER(SEARCH("Party Name:-",'R.M Billets Reports'!D2859)),TRIM('R.M Billets Reports'!F2859),IF(ISNUMBER(SEARCH("Party Name-",'R.M Billets Reports'!D2859)),TRIM(MID('R.M Billets Reports'!D2859,SEARCH("-",'R.M Billets Reports'!D2859)+1,200)),"")),IF(ISNUMBER(SEARCH("Party Name:-",'R.M Billets Reports'!D2860)),TRIM('R.M Billets Reports'!F2860),IF(ISNUMBER(SEARCH("Party Name-",'R.M Billets Reports'!D2860)),TRIM(MID('R.M Billets Reports'!D2860,SEARCH("-",'R.M Billets Reports'!D2860)+1,200)),"")))))),IF(ROW()=2,"",A2859))</f>
      </c>
      <c r="B2860">
        <f>IF(OR('R.M Billets Reports'!A2859="Date-",'R.M Billets Reports'!A2859="Date:-"),'R.M Billets Reports'!B2859,IF(ROW()=2,"",B2859))</f>
      </c>
      <c r="C2860">
        <f>IF('R.M Billets Reports'!A2859="V.No.",'R.M Billets Reports'!B2859,IF(ROW()=2,"",C2859))</f>
      </c>
      <c r="D2860">
        <f>IF('R.M Billets Reports'!A2859&lt;&gt;"",'R.M Billets Reports'!A2859,IF(ROW()=2,"",D2859))</f>
      </c>
      <c r="E2860">
        <f>IF('R.M Billets Reports'!B2859="","",TRIM('R.M Billets Reports'!B2859))</f>
      </c>
      <c r="F2860">
        <f>'R.M Billets Reports'!C2859</f>
      </c>
      <c r="G2860">
        <f>'R.M Billets Reports'!D2859</f>
      </c>
      <c r="H2860">
        <f>'R.M Billets Reports'!E2859</f>
      </c>
      <c r="I2860">
        <f>'R.M Billets Reports'!F2859</f>
      </c>
      <c r="J2860">
        <f>'R.M Billets Reports'!G2859</f>
      </c>
      <c r="K2860">
        <f>'R.M Billets Reports'!H2859</f>
      </c>
      <c r="L2860">
        <f>IF('R.M Billets Reports'!I2859="","",'R.M Billets Reports'!I2859)</f>
      </c>
      <c r="M2860">
        <f t="shared" si="88"/>
      </c>
      <c r="N2860">
        <f>IF('R.M Billets Reports'!J2859="","",'R.M Billets Reports'!J2859)</f>
      </c>
      <c r="O2860">
        <f t="shared" si="89"/>
      </c>
      <c r="P2860">
        <f>IF('R.M Billets Reports'!A2859="SIZE",'R.M Billets Reports'!B2859,P2859)</f>
      </c>
    </row>
    <row r="2861" spans="1:16" x14ac:dyDescent="0.25">
      <c r="A2861">
        <f>IF(OR('R.M Billets Reports'!A2860="Date-",'R.M Billets Reports'!A2860="Date:-"),IF(IF(IF(ISNUMBER(SEARCH("Party Name:-",'R.M Billets Reports'!D2860)),TRIM('R.M Billets Reports'!F2860),IF(ISNUMBER(SEARCH("Party Name-",'R.M Billets Reports'!D2860)),TRIM(MID('R.M Billets Reports'!D2860,SEARCH("-",'R.M Billets Reports'!D2860)+1,200)),""))&lt;&gt;"",IF(ISNUMBER(SEARCH("Party Name:-",'R.M Billets Reports'!D2860)),TRIM('R.M Billets Reports'!F2860),IF(ISNUMBER(SEARCH("Party Name-",'R.M Billets Reports'!D2860)),TRIM(MID('R.M Billets Reports'!D2860,SEARCH("-",'R.M Billets Reports'!D2860)+1,200)),"")),IF(ISNUMBER(SEARCH("Party Name:-",'R.M Billets Reports'!D2861)),TRIM('R.M Billets Reports'!F2861),IF(ISNUMBER(SEARCH("Party Name-",'R.M Billets Reports'!D2861)),TRIM(MID('R.M Billets Reports'!D2861,SEARCH("-",'R.M Billets Reports'!D2861)+1,200)),"")))="VRKP ISPAT PVT LTD","VRKP",IF(IF(IF(ISNUMBER(SEARCH("Party Name:-",'R.M Billets Reports'!D2860)),TRIM('R.M Billets Reports'!F2860),IF(ISNUMBER(SEARCH("Party Name-",'R.M Billets Reports'!D2860)),TRIM(MID('R.M Billets Reports'!D2860,SEARCH("-",'R.M Billets Reports'!D2860)+1,200)),""))&lt;&gt;"",IF(ISNUMBER(SEARCH("Party Name:-",'R.M Billets Reports'!D2860)),TRIM('R.M Billets Reports'!F2860),IF(ISNUMBER(SEARCH("Party Name-",'R.M Billets Reports'!D2860)),TRIM(MID('R.M Billets Reports'!D2860,SEARCH("-",'R.M Billets Reports'!D2860)+1,200)),"")),IF(ISNUMBER(SEARCH("Party Name:-",'R.M Billets Reports'!D2861)),TRIM('R.M Billets Reports'!F2861),IF(ISNUMBER(SEARCH("Party Name-",'R.M Billets Reports'!D2861)),TRIM(MID('R.M Billets Reports'!D2861,SEARCH("-",'R.M Billets Reports'!D2861)+1,200)),"")))="SHRI RADHE","SHREE RADHE",IF(IF(IF(ISNUMBER(SEARCH("Party Name:-",'R.M Billets Reports'!D2860)),TRIM('R.M Billets Reports'!F2860),IF(ISNUMBER(SEARCH("Party Name-",'R.M Billets Reports'!D2860)),TRIM(MID('R.M Billets Reports'!D2860,SEARCH("-",'R.M Billets Reports'!D2860)+1,200)),""))&lt;&gt;"",IF(ISNUMBER(SEARCH("Party Name:-",'R.M Billets Reports'!D2860)),TRIM('R.M Billets Reports'!F2860),IF(ISNUMBER(SEARCH("Party Name-",'R.M Billets Reports'!D2860)),TRIM(MID('R.M Billets Reports'!D2860,SEARCH("-",'R.M Billets Reports'!D2860)+1,200)),"")),IF(ISNUMBER(SEARCH("Party Name:-",'R.M Billets Reports'!D2861)),TRIM('R.M Billets Reports'!F2861),IF(ISNUMBER(SEARCH("Party Name-",'R.M Billets Reports'!D2861)),TRIM(MID('R.M Billets Reports'!D2861,SEARCH("-",'R.M Billets Reports'!D2861)+1,200)),"")))="SHREE RADHE SHAKTI SPONGE AND POWER PVT. LTD.","SHREE RADHE",IF(IF(ISNUMBER(SEARCH("Party Name:-",'R.M Billets Reports'!D2860)),TRIM('R.M Billets Reports'!F2860),IF(ISNUMBER(SEARCH("Party Name-",'R.M Billets Reports'!D2860)),TRIM(MID('R.M Billets Reports'!D2860,SEARCH("-",'R.M Billets Reports'!D2860)+1,200)),""))&lt;&gt;"",IF(ISNUMBER(SEARCH("Party Name:-",'R.M Billets Reports'!D2860)),TRIM('R.M Billets Reports'!F2860),IF(ISNUMBER(SEARCH("Party Name-",'R.M Billets Reports'!D2860)),TRIM(MID('R.M Billets Reports'!D2860,SEARCH("-",'R.M Billets Reports'!D2860)+1,200)),"")),IF(ISNUMBER(SEARCH("Party Name:-",'R.M Billets Reports'!D2861)),TRIM('R.M Billets Reports'!F2861),IF(ISNUMBER(SEARCH("Party Name-",'R.M Billets Reports'!D2861)),TRIM(MID('R.M Billets Reports'!D2861,SEARCH("-",'R.M Billets Reports'!D2861)+1,200)),"")))))),IF(ROW()=2,"",A2860))</f>
      </c>
      <c r="B2861">
        <f>IF(OR('R.M Billets Reports'!A2860="Date-",'R.M Billets Reports'!A2860="Date:-"),'R.M Billets Reports'!B2860,IF(ROW()=2,"",B2860))</f>
      </c>
      <c r="C2861">
        <f>IF('R.M Billets Reports'!A2860="V.No.",'R.M Billets Reports'!B2860,IF(ROW()=2,"",C2860))</f>
      </c>
      <c r="D2861">
        <f>IF('R.M Billets Reports'!A2860&lt;&gt;"",'R.M Billets Reports'!A2860,IF(ROW()=2,"",D2860))</f>
      </c>
      <c r="E2861">
        <f>IF('R.M Billets Reports'!B2860="","",TRIM('R.M Billets Reports'!B2860))</f>
      </c>
      <c r="F2861">
        <f>'R.M Billets Reports'!C2860</f>
      </c>
      <c r="G2861">
        <f>'R.M Billets Reports'!D2860</f>
      </c>
      <c r="H2861">
        <f>'R.M Billets Reports'!E2860</f>
      </c>
      <c r="I2861">
        <f>'R.M Billets Reports'!F2860</f>
      </c>
      <c r="J2861">
        <f>'R.M Billets Reports'!G2860</f>
      </c>
      <c r="K2861">
        <f>'R.M Billets Reports'!H2860</f>
      </c>
      <c r="L2861">
        <f>IF('R.M Billets Reports'!I2860="","",'R.M Billets Reports'!I2860)</f>
      </c>
      <c r="M2861">
        <f t="shared" si="88"/>
      </c>
      <c r="N2861">
        <f>IF('R.M Billets Reports'!J2860="","",'R.M Billets Reports'!J2860)</f>
      </c>
      <c r="O2861">
        <f t="shared" si="89"/>
      </c>
      <c r="P2861">
        <f>IF('R.M Billets Reports'!A2860="SIZE",'R.M Billets Reports'!B2860,P2860)</f>
      </c>
    </row>
    <row r="2862" spans="1:16" x14ac:dyDescent="0.25">
      <c r="A2862">
        <f>IF(OR('R.M Billets Reports'!A2861="Date-",'R.M Billets Reports'!A2861="Date:-"),IF(IF(IF(ISNUMBER(SEARCH("Party Name:-",'R.M Billets Reports'!D2861)),TRIM('R.M Billets Reports'!F2861),IF(ISNUMBER(SEARCH("Party Name-",'R.M Billets Reports'!D2861)),TRIM(MID('R.M Billets Reports'!D2861,SEARCH("-",'R.M Billets Reports'!D2861)+1,200)),""))&lt;&gt;"",IF(ISNUMBER(SEARCH("Party Name:-",'R.M Billets Reports'!D2861)),TRIM('R.M Billets Reports'!F2861),IF(ISNUMBER(SEARCH("Party Name-",'R.M Billets Reports'!D2861)),TRIM(MID('R.M Billets Reports'!D2861,SEARCH("-",'R.M Billets Reports'!D2861)+1,200)),"")),IF(ISNUMBER(SEARCH("Party Name:-",'R.M Billets Reports'!D2862)),TRIM('R.M Billets Reports'!F2862),IF(ISNUMBER(SEARCH("Party Name-",'R.M Billets Reports'!D2862)),TRIM(MID('R.M Billets Reports'!D2862,SEARCH("-",'R.M Billets Reports'!D2862)+1,200)),"")))="VRKP ISPAT PVT LTD","VRKP",IF(IF(IF(ISNUMBER(SEARCH("Party Name:-",'R.M Billets Reports'!D2861)),TRIM('R.M Billets Reports'!F2861),IF(ISNUMBER(SEARCH("Party Name-",'R.M Billets Reports'!D2861)),TRIM(MID('R.M Billets Reports'!D2861,SEARCH("-",'R.M Billets Reports'!D2861)+1,200)),""))&lt;&gt;"",IF(ISNUMBER(SEARCH("Party Name:-",'R.M Billets Reports'!D2861)),TRIM('R.M Billets Reports'!F2861),IF(ISNUMBER(SEARCH("Party Name-",'R.M Billets Reports'!D2861)),TRIM(MID('R.M Billets Reports'!D2861,SEARCH("-",'R.M Billets Reports'!D2861)+1,200)),"")),IF(ISNUMBER(SEARCH("Party Name:-",'R.M Billets Reports'!D2862)),TRIM('R.M Billets Reports'!F2862),IF(ISNUMBER(SEARCH("Party Name-",'R.M Billets Reports'!D2862)),TRIM(MID('R.M Billets Reports'!D2862,SEARCH("-",'R.M Billets Reports'!D2862)+1,200)),"")))="SHRI RADHE","SHREE RADHE",IF(IF(IF(ISNUMBER(SEARCH("Party Name:-",'R.M Billets Reports'!D2861)),TRIM('R.M Billets Reports'!F2861),IF(ISNUMBER(SEARCH("Party Name-",'R.M Billets Reports'!D2861)),TRIM(MID('R.M Billets Reports'!D2861,SEARCH("-",'R.M Billets Reports'!D2861)+1,200)),""))&lt;&gt;"",IF(ISNUMBER(SEARCH("Party Name:-",'R.M Billets Reports'!D2861)),TRIM('R.M Billets Reports'!F2861),IF(ISNUMBER(SEARCH("Party Name-",'R.M Billets Reports'!D2861)),TRIM(MID('R.M Billets Reports'!D2861,SEARCH("-",'R.M Billets Reports'!D2861)+1,200)),"")),IF(ISNUMBER(SEARCH("Party Name:-",'R.M Billets Reports'!D2862)),TRIM('R.M Billets Reports'!F2862),IF(ISNUMBER(SEARCH("Party Name-",'R.M Billets Reports'!D2862)),TRIM(MID('R.M Billets Reports'!D2862,SEARCH("-",'R.M Billets Reports'!D2862)+1,200)),"")))="SHREE RADHE SHAKTI SPONGE AND POWER PVT. LTD.","SHREE RADHE",IF(IF(ISNUMBER(SEARCH("Party Name:-",'R.M Billets Reports'!D2861)),TRIM('R.M Billets Reports'!F2861),IF(ISNUMBER(SEARCH("Party Name-",'R.M Billets Reports'!D2861)),TRIM(MID('R.M Billets Reports'!D2861,SEARCH("-",'R.M Billets Reports'!D2861)+1,200)),""))&lt;&gt;"",IF(ISNUMBER(SEARCH("Party Name:-",'R.M Billets Reports'!D2861)),TRIM('R.M Billets Reports'!F2861),IF(ISNUMBER(SEARCH("Party Name-",'R.M Billets Reports'!D2861)),TRIM(MID('R.M Billets Reports'!D2861,SEARCH("-",'R.M Billets Reports'!D2861)+1,200)),"")),IF(ISNUMBER(SEARCH("Party Name:-",'R.M Billets Reports'!D2862)),TRIM('R.M Billets Reports'!F2862),IF(ISNUMBER(SEARCH("Party Name-",'R.M Billets Reports'!D2862)),TRIM(MID('R.M Billets Reports'!D2862,SEARCH("-",'R.M Billets Reports'!D2862)+1,200)),"")))))),IF(ROW()=2,"",A2861))</f>
      </c>
      <c r="B2862">
        <f>IF(OR('R.M Billets Reports'!A2861="Date-",'R.M Billets Reports'!A2861="Date:-"),'R.M Billets Reports'!B2861,IF(ROW()=2,"",B2861))</f>
      </c>
      <c r="C2862">
        <f>IF('R.M Billets Reports'!A2861="V.No.",'R.M Billets Reports'!B2861,IF(ROW()=2,"",C2861))</f>
      </c>
      <c r="D2862">
        <f>IF('R.M Billets Reports'!A2861&lt;&gt;"",'R.M Billets Reports'!A2861,IF(ROW()=2,"",D2861))</f>
      </c>
      <c r="E2862">
        <f>IF('R.M Billets Reports'!B2861="","",TRIM('R.M Billets Reports'!B2861))</f>
      </c>
      <c r="F2862">
        <f>'R.M Billets Reports'!C2861</f>
      </c>
      <c r="G2862">
        <f>'R.M Billets Reports'!D2861</f>
      </c>
      <c r="H2862">
        <f>'R.M Billets Reports'!E2861</f>
      </c>
      <c r="I2862">
        <f>'R.M Billets Reports'!F2861</f>
      </c>
      <c r="J2862">
        <f>'R.M Billets Reports'!G2861</f>
      </c>
      <c r="K2862">
        <f>'R.M Billets Reports'!H2861</f>
      </c>
      <c r="L2862">
        <f>IF('R.M Billets Reports'!I2861="","",'R.M Billets Reports'!I2861)</f>
      </c>
      <c r="M2862">
        <f t="shared" si="88"/>
      </c>
      <c r="N2862">
        <f>IF('R.M Billets Reports'!J2861="","",'R.M Billets Reports'!J2861)</f>
      </c>
      <c r="O2862">
        <f t="shared" si="89"/>
      </c>
      <c r="P2862">
        <f>IF('R.M Billets Reports'!A2861="SIZE",'R.M Billets Reports'!B2861,P2861)</f>
      </c>
    </row>
    <row r="2863" spans="1:16" x14ac:dyDescent="0.25">
      <c r="A2863">
        <f>IF(OR('R.M Billets Reports'!A2862="Date-",'R.M Billets Reports'!A2862="Date:-"),IF(IF(IF(ISNUMBER(SEARCH("Party Name:-",'R.M Billets Reports'!D2862)),TRIM('R.M Billets Reports'!F2862),IF(ISNUMBER(SEARCH("Party Name-",'R.M Billets Reports'!D2862)),TRIM(MID('R.M Billets Reports'!D2862,SEARCH("-",'R.M Billets Reports'!D2862)+1,200)),""))&lt;&gt;"",IF(ISNUMBER(SEARCH("Party Name:-",'R.M Billets Reports'!D2862)),TRIM('R.M Billets Reports'!F2862),IF(ISNUMBER(SEARCH("Party Name-",'R.M Billets Reports'!D2862)),TRIM(MID('R.M Billets Reports'!D2862,SEARCH("-",'R.M Billets Reports'!D2862)+1,200)),"")),IF(ISNUMBER(SEARCH("Party Name:-",'R.M Billets Reports'!D2863)),TRIM('R.M Billets Reports'!F2863),IF(ISNUMBER(SEARCH("Party Name-",'R.M Billets Reports'!D2863)),TRIM(MID('R.M Billets Reports'!D2863,SEARCH("-",'R.M Billets Reports'!D2863)+1,200)),"")))="VRKP ISPAT PVT LTD","VRKP",IF(IF(IF(ISNUMBER(SEARCH("Party Name:-",'R.M Billets Reports'!D2862)),TRIM('R.M Billets Reports'!F2862),IF(ISNUMBER(SEARCH("Party Name-",'R.M Billets Reports'!D2862)),TRIM(MID('R.M Billets Reports'!D2862,SEARCH("-",'R.M Billets Reports'!D2862)+1,200)),""))&lt;&gt;"",IF(ISNUMBER(SEARCH("Party Name:-",'R.M Billets Reports'!D2862)),TRIM('R.M Billets Reports'!F2862),IF(ISNUMBER(SEARCH("Party Name-",'R.M Billets Reports'!D2862)),TRIM(MID('R.M Billets Reports'!D2862,SEARCH("-",'R.M Billets Reports'!D2862)+1,200)),"")),IF(ISNUMBER(SEARCH("Party Name:-",'R.M Billets Reports'!D2863)),TRIM('R.M Billets Reports'!F2863),IF(ISNUMBER(SEARCH("Party Name-",'R.M Billets Reports'!D2863)),TRIM(MID('R.M Billets Reports'!D2863,SEARCH("-",'R.M Billets Reports'!D2863)+1,200)),"")))="SHRI RADHE","SHREE RADHE",IF(IF(IF(ISNUMBER(SEARCH("Party Name:-",'R.M Billets Reports'!D2862)),TRIM('R.M Billets Reports'!F2862),IF(ISNUMBER(SEARCH("Party Name-",'R.M Billets Reports'!D2862)),TRIM(MID('R.M Billets Reports'!D2862,SEARCH("-",'R.M Billets Reports'!D2862)+1,200)),""))&lt;&gt;"",IF(ISNUMBER(SEARCH("Party Name:-",'R.M Billets Reports'!D2862)),TRIM('R.M Billets Reports'!F2862),IF(ISNUMBER(SEARCH("Party Name-",'R.M Billets Reports'!D2862)),TRIM(MID('R.M Billets Reports'!D2862,SEARCH("-",'R.M Billets Reports'!D2862)+1,200)),"")),IF(ISNUMBER(SEARCH("Party Name:-",'R.M Billets Reports'!D2863)),TRIM('R.M Billets Reports'!F2863),IF(ISNUMBER(SEARCH("Party Name-",'R.M Billets Reports'!D2863)),TRIM(MID('R.M Billets Reports'!D2863,SEARCH("-",'R.M Billets Reports'!D2863)+1,200)),"")))="SHREE RADHE SHAKTI SPONGE AND POWER PVT. LTD.","SHREE RADHE",IF(IF(ISNUMBER(SEARCH("Party Name:-",'R.M Billets Reports'!D2862)),TRIM('R.M Billets Reports'!F2862),IF(ISNUMBER(SEARCH("Party Name-",'R.M Billets Reports'!D2862)),TRIM(MID('R.M Billets Reports'!D2862,SEARCH("-",'R.M Billets Reports'!D2862)+1,200)),""))&lt;&gt;"",IF(ISNUMBER(SEARCH("Party Name:-",'R.M Billets Reports'!D2862)),TRIM('R.M Billets Reports'!F2862),IF(ISNUMBER(SEARCH("Party Name-",'R.M Billets Reports'!D2862)),TRIM(MID('R.M Billets Reports'!D2862,SEARCH("-",'R.M Billets Reports'!D2862)+1,200)),"")),IF(ISNUMBER(SEARCH("Party Name:-",'R.M Billets Reports'!D2863)),TRIM('R.M Billets Reports'!F2863),IF(ISNUMBER(SEARCH("Party Name-",'R.M Billets Reports'!D2863)),TRIM(MID('R.M Billets Reports'!D2863,SEARCH("-",'R.M Billets Reports'!D2863)+1,200)),"")))))),IF(ROW()=2,"",A2862))</f>
      </c>
      <c r="B2863">
        <f>IF(OR('R.M Billets Reports'!A2862="Date-",'R.M Billets Reports'!A2862="Date:-"),'R.M Billets Reports'!B2862,IF(ROW()=2,"",B2862))</f>
      </c>
      <c r="C2863">
        <f>IF('R.M Billets Reports'!A2862="V.No.",'R.M Billets Reports'!B2862,IF(ROW()=2,"",C2862))</f>
      </c>
      <c r="D2863">
        <f>IF('R.M Billets Reports'!A2862&lt;&gt;"",'R.M Billets Reports'!A2862,IF(ROW()=2,"",D2862))</f>
      </c>
      <c r="E2863">
        <f>IF('R.M Billets Reports'!B2862="","",TRIM('R.M Billets Reports'!B2862))</f>
      </c>
      <c r="F2863">
        <f>'R.M Billets Reports'!C2862</f>
      </c>
      <c r="G2863">
        <f>'R.M Billets Reports'!D2862</f>
      </c>
      <c r="H2863">
        <f>'R.M Billets Reports'!E2862</f>
      </c>
      <c r="I2863">
        <f>'R.M Billets Reports'!F2862</f>
      </c>
      <c r="J2863">
        <f>'R.M Billets Reports'!G2862</f>
      </c>
      <c r="K2863">
        <f>'R.M Billets Reports'!H2862</f>
      </c>
      <c r="L2863">
        <f>IF('R.M Billets Reports'!I2862="","",'R.M Billets Reports'!I2862)</f>
      </c>
      <c r="M2863">
        <f t="shared" si="88"/>
      </c>
      <c r="N2863">
        <f>IF('R.M Billets Reports'!J2862="","",'R.M Billets Reports'!J2862)</f>
      </c>
      <c r="O2863">
        <f t="shared" si="89"/>
      </c>
      <c r="P2863">
        <f>IF('R.M Billets Reports'!A2862="SIZE",'R.M Billets Reports'!B2862,P2862)</f>
      </c>
    </row>
    <row r="2864" spans="1:16" x14ac:dyDescent="0.25">
      <c r="A2864">
        <f>IF(OR('R.M Billets Reports'!A2863="Date-",'R.M Billets Reports'!A2863="Date:-"),IF(IF(IF(ISNUMBER(SEARCH("Party Name:-",'R.M Billets Reports'!D2863)),TRIM('R.M Billets Reports'!F2863),IF(ISNUMBER(SEARCH("Party Name-",'R.M Billets Reports'!D2863)),TRIM(MID('R.M Billets Reports'!D2863,SEARCH("-",'R.M Billets Reports'!D2863)+1,200)),""))&lt;&gt;"",IF(ISNUMBER(SEARCH("Party Name:-",'R.M Billets Reports'!D2863)),TRIM('R.M Billets Reports'!F2863),IF(ISNUMBER(SEARCH("Party Name-",'R.M Billets Reports'!D2863)),TRIM(MID('R.M Billets Reports'!D2863,SEARCH("-",'R.M Billets Reports'!D2863)+1,200)),"")),IF(ISNUMBER(SEARCH("Party Name:-",'R.M Billets Reports'!D2864)),TRIM('R.M Billets Reports'!F2864),IF(ISNUMBER(SEARCH("Party Name-",'R.M Billets Reports'!D2864)),TRIM(MID('R.M Billets Reports'!D2864,SEARCH("-",'R.M Billets Reports'!D2864)+1,200)),"")))="VRKP ISPAT PVT LTD","VRKP",IF(IF(IF(ISNUMBER(SEARCH("Party Name:-",'R.M Billets Reports'!D2863)),TRIM('R.M Billets Reports'!F2863),IF(ISNUMBER(SEARCH("Party Name-",'R.M Billets Reports'!D2863)),TRIM(MID('R.M Billets Reports'!D2863,SEARCH("-",'R.M Billets Reports'!D2863)+1,200)),""))&lt;&gt;"",IF(ISNUMBER(SEARCH("Party Name:-",'R.M Billets Reports'!D2863)),TRIM('R.M Billets Reports'!F2863),IF(ISNUMBER(SEARCH("Party Name-",'R.M Billets Reports'!D2863)),TRIM(MID('R.M Billets Reports'!D2863,SEARCH("-",'R.M Billets Reports'!D2863)+1,200)),"")),IF(ISNUMBER(SEARCH("Party Name:-",'R.M Billets Reports'!D2864)),TRIM('R.M Billets Reports'!F2864),IF(ISNUMBER(SEARCH("Party Name-",'R.M Billets Reports'!D2864)),TRIM(MID('R.M Billets Reports'!D2864,SEARCH("-",'R.M Billets Reports'!D2864)+1,200)),"")))="SHRI RADHE","SHREE RADHE",IF(IF(IF(ISNUMBER(SEARCH("Party Name:-",'R.M Billets Reports'!D2863)),TRIM('R.M Billets Reports'!F2863),IF(ISNUMBER(SEARCH("Party Name-",'R.M Billets Reports'!D2863)),TRIM(MID('R.M Billets Reports'!D2863,SEARCH("-",'R.M Billets Reports'!D2863)+1,200)),""))&lt;&gt;"",IF(ISNUMBER(SEARCH("Party Name:-",'R.M Billets Reports'!D2863)),TRIM('R.M Billets Reports'!F2863),IF(ISNUMBER(SEARCH("Party Name-",'R.M Billets Reports'!D2863)),TRIM(MID('R.M Billets Reports'!D2863,SEARCH("-",'R.M Billets Reports'!D2863)+1,200)),"")),IF(ISNUMBER(SEARCH("Party Name:-",'R.M Billets Reports'!D2864)),TRIM('R.M Billets Reports'!F2864),IF(ISNUMBER(SEARCH("Party Name-",'R.M Billets Reports'!D2864)),TRIM(MID('R.M Billets Reports'!D2864,SEARCH("-",'R.M Billets Reports'!D2864)+1,200)),"")))="SHREE RADHE SHAKTI SPONGE AND POWER PVT. LTD.","SHREE RADHE",IF(IF(ISNUMBER(SEARCH("Party Name:-",'R.M Billets Reports'!D2863)),TRIM('R.M Billets Reports'!F2863),IF(ISNUMBER(SEARCH("Party Name-",'R.M Billets Reports'!D2863)),TRIM(MID('R.M Billets Reports'!D2863,SEARCH("-",'R.M Billets Reports'!D2863)+1,200)),""))&lt;&gt;"",IF(ISNUMBER(SEARCH("Party Name:-",'R.M Billets Reports'!D2863)),TRIM('R.M Billets Reports'!F2863),IF(ISNUMBER(SEARCH("Party Name-",'R.M Billets Reports'!D2863)),TRIM(MID('R.M Billets Reports'!D2863,SEARCH("-",'R.M Billets Reports'!D2863)+1,200)),"")),IF(ISNUMBER(SEARCH("Party Name:-",'R.M Billets Reports'!D2864)),TRIM('R.M Billets Reports'!F2864),IF(ISNUMBER(SEARCH("Party Name-",'R.M Billets Reports'!D2864)),TRIM(MID('R.M Billets Reports'!D2864,SEARCH("-",'R.M Billets Reports'!D2864)+1,200)),"")))))),IF(ROW()=2,"",A2863))</f>
      </c>
      <c r="B2864">
        <f>IF(OR('R.M Billets Reports'!A2863="Date-",'R.M Billets Reports'!A2863="Date:-"),'R.M Billets Reports'!B2863,IF(ROW()=2,"",B2863))</f>
      </c>
      <c r="C2864">
        <f>IF('R.M Billets Reports'!A2863="V.No.",'R.M Billets Reports'!B2863,IF(ROW()=2,"",C2863))</f>
      </c>
      <c r="D2864">
        <f>IF('R.M Billets Reports'!A2863&lt;&gt;"",'R.M Billets Reports'!A2863,IF(ROW()=2,"",D2863))</f>
      </c>
      <c r="E2864">
        <f>IF('R.M Billets Reports'!B2863="","",TRIM('R.M Billets Reports'!B2863))</f>
      </c>
      <c r="F2864">
        <f>'R.M Billets Reports'!C2863</f>
      </c>
      <c r="G2864">
        <f>'R.M Billets Reports'!D2863</f>
      </c>
      <c r="H2864">
        <f>'R.M Billets Reports'!E2863</f>
      </c>
      <c r="I2864">
        <f>'R.M Billets Reports'!F2863</f>
      </c>
      <c r="J2864">
        <f>'R.M Billets Reports'!G2863</f>
      </c>
      <c r="K2864">
        <f>'R.M Billets Reports'!H2863</f>
      </c>
      <c r="L2864">
        <f>IF('R.M Billets Reports'!I2863="","",'R.M Billets Reports'!I2863)</f>
      </c>
      <c r="M2864">
        <f t="shared" si="88"/>
      </c>
      <c r="N2864">
        <f>IF('R.M Billets Reports'!J2863="","",'R.M Billets Reports'!J2863)</f>
      </c>
      <c r="O2864">
        <f t="shared" si="89"/>
      </c>
      <c r="P2864">
        <f>IF('R.M Billets Reports'!A2863="SIZE",'R.M Billets Reports'!B2863,P2863)</f>
      </c>
    </row>
    <row r="2865" spans="1:16" x14ac:dyDescent="0.25">
      <c r="A2865">
        <f>IF(OR('R.M Billets Reports'!A2864="Date-",'R.M Billets Reports'!A2864="Date:-"),IF(IF(IF(ISNUMBER(SEARCH("Party Name:-",'R.M Billets Reports'!D2864)),TRIM('R.M Billets Reports'!F2864),IF(ISNUMBER(SEARCH("Party Name-",'R.M Billets Reports'!D2864)),TRIM(MID('R.M Billets Reports'!D2864,SEARCH("-",'R.M Billets Reports'!D2864)+1,200)),""))&lt;&gt;"",IF(ISNUMBER(SEARCH("Party Name:-",'R.M Billets Reports'!D2864)),TRIM('R.M Billets Reports'!F2864),IF(ISNUMBER(SEARCH("Party Name-",'R.M Billets Reports'!D2864)),TRIM(MID('R.M Billets Reports'!D2864,SEARCH("-",'R.M Billets Reports'!D2864)+1,200)),"")),IF(ISNUMBER(SEARCH("Party Name:-",'R.M Billets Reports'!D2865)),TRIM('R.M Billets Reports'!F2865),IF(ISNUMBER(SEARCH("Party Name-",'R.M Billets Reports'!D2865)),TRIM(MID('R.M Billets Reports'!D2865,SEARCH("-",'R.M Billets Reports'!D2865)+1,200)),"")))="VRKP ISPAT PVT LTD","VRKP",IF(IF(IF(ISNUMBER(SEARCH("Party Name:-",'R.M Billets Reports'!D2864)),TRIM('R.M Billets Reports'!F2864),IF(ISNUMBER(SEARCH("Party Name-",'R.M Billets Reports'!D2864)),TRIM(MID('R.M Billets Reports'!D2864,SEARCH("-",'R.M Billets Reports'!D2864)+1,200)),""))&lt;&gt;"",IF(ISNUMBER(SEARCH("Party Name:-",'R.M Billets Reports'!D2864)),TRIM('R.M Billets Reports'!F2864),IF(ISNUMBER(SEARCH("Party Name-",'R.M Billets Reports'!D2864)),TRIM(MID('R.M Billets Reports'!D2864,SEARCH("-",'R.M Billets Reports'!D2864)+1,200)),"")),IF(ISNUMBER(SEARCH("Party Name:-",'R.M Billets Reports'!D2865)),TRIM('R.M Billets Reports'!F2865),IF(ISNUMBER(SEARCH("Party Name-",'R.M Billets Reports'!D2865)),TRIM(MID('R.M Billets Reports'!D2865,SEARCH("-",'R.M Billets Reports'!D2865)+1,200)),"")))="SHRI RADHE","SHREE RADHE",IF(IF(IF(ISNUMBER(SEARCH("Party Name:-",'R.M Billets Reports'!D2864)),TRIM('R.M Billets Reports'!F2864),IF(ISNUMBER(SEARCH("Party Name-",'R.M Billets Reports'!D2864)),TRIM(MID('R.M Billets Reports'!D2864,SEARCH("-",'R.M Billets Reports'!D2864)+1,200)),""))&lt;&gt;"",IF(ISNUMBER(SEARCH("Party Name:-",'R.M Billets Reports'!D2864)),TRIM('R.M Billets Reports'!F2864),IF(ISNUMBER(SEARCH("Party Name-",'R.M Billets Reports'!D2864)),TRIM(MID('R.M Billets Reports'!D2864,SEARCH("-",'R.M Billets Reports'!D2864)+1,200)),"")),IF(ISNUMBER(SEARCH("Party Name:-",'R.M Billets Reports'!D2865)),TRIM('R.M Billets Reports'!F2865),IF(ISNUMBER(SEARCH("Party Name-",'R.M Billets Reports'!D2865)),TRIM(MID('R.M Billets Reports'!D2865,SEARCH("-",'R.M Billets Reports'!D2865)+1,200)),"")))="SHREE RADHE SHAKTI SPONGE AND POWER PVT. LTD.","SHREE RADHE",IF(IF(ISNUMBER(SEARCH("Party Name:-",'R.M Billets Reports'!D2864)),TRIM('R.M Billets Reports'!F2864),IF(ISNUMBER(SEARCH("Party Name-",'R.M Billets Reports'!D2864)),TRIM(MID('R.M Billets Reports'!D2864,SEARCH("-",'R.M Billets Reports'!D2864)+1,200)),""))&lt;&gt;"",IF(ISNUMBER(SEARCH("Party Name:-",'R.M Billets Reports'!D2864)),TRIM('R.M Billets Reports'!F2864),IF(ISNUMBER(SEARCH("Party Name-",'R.M Billets Reports'!D2864)),TRIM(MID('R.M Billets Reports'!D2864,SEARCH("-",'R.M Billets Reports'!D2864)+1,200)),"")),IF(ISNUMBER(SEARCH("Party Name:-",'R.M Billets Reports'!D2865)),TRIM('R.M Billets Reports'!F2865),IF(ISNUMBER(SEARCH("Party Name-",'R.M Billets Reports'!D2865)),TRIM(MID('R.M Billets Reports'!D2865,SEARCH("-",'R.M Billets Reports'!D2865)+1,200)),"")))))),IF(ROW()=2,"",A2864))</f>
      </c>
      <c r="B2865">
        <f>IF(OR('R.M Billets Reports'!A2864="Date-",'R.M Billets Reports'!A2864="Date:-"),'R.M Billets Reports'!B2864,IF(ROW()=2,"",B2864))</f>
      </c>
      <c r="C2865">
        <f>IF('R.M Billets Reports'!A2864="V.No.",'R.M Billets Reports'!B2864,IF(ROW()=2,"",C2864))</f>
      </c>
      <c r="D2865">
        <f>IF('R.M Billets Reports'!A2864&lt;&gt;"",'R.M Billets Reports'!A2864,IF(ROW()=2,"",D2864))</f>
      </c>
      <c r="E2865">
        <f>IF('R.M Billets Reports'!B2864="","",TRIM('R.M Billets Reports'!B2864))</f>
      </c>
      <c r="F2865">
        <f>'R.M Billets Reports'!C2864</f>
      </c>
      <c r="G2865">
        <f>'R.M Billets Reports'!D2864</f>
      </c>
      <c r="H2865">
        <f>'R.M Billets Reports'!E2864</f>
      </c>
      <c r="I2865">
        <f>'R.M Billets Reports'!F2864</f>
      </c>
      <c r="J2865">
        <f>'R.M Billets Reports'!G2864</f>
      </c>
      <c r="K2865">
        <f>'R.M Billets Reports'!H2864</f>
      </c>
      <c r="L2865">
        <f>IF('R.M Billets Reports'!I2864="","",'R.M Billets Reports'!I2864)</f>
      </c>
      <c r="M2865">
        <f t="shared" si="88"/>
      </c>
      <c r="N2865">
        <f>IF('R.M Billets Reports'!J2864="","",'R.M Billets Reports'!J2864)</f>
      </c>
      <c r="O2865">
        <f t="shared" si="89"/>
      </c>
      <c r="P2865">
        <f>IF('R.M Billets Reports'!A2864="SIZE",'R.M Billets Reports'!B2864,P2864)</f>
      </c>
    </row>
    <row r="2866" spans="1:16" x14ac:dyDescent="0.25">
      <c r="A2866">
        <f>IF(OR('R.M Billets Reports'!A2865="Date-",'R.M Billets Reports'!A2865="Date:-"),IF(IF(IF(ISNUMBER(SEARCH("Party Name:-",'R.M Billets Reports'!D2865)),TRIM('R.M Billets Reports'!F2865),IF(ISNUMBER(SEARCH("Party Name-",'R.M Billets Reports'!D2865)),TRIM(MID('R.M Billets Reports'!D2865,SEARCH("-",'R.M Billets Reports'!D2865)+1,200)),""))&lt;&gt;"",IF(ISNUMBER(SEARCH("Party Name:-",'R.M Billets Reports'!D2865)),TRIM('R.M Billets Reports'!F2865),IF(ISNUMBER(SEARCH("Party Name-",'R.M Billets Reports'!D2865)),TRIM(MID('R.M Billets Reports'!D2865,SEARCH("-",'R.M Billets Reports'!D2865)+1,200)),"")),IF(ISNUMBER(SEARCH("Party Name:-",'R.M Billets Reports'!D2866)),TRIM('R.M Billets Reports'!F2866),IF(ISNUMBER(SEARCH("Party Name-",'R.M Billets Reports'!D2866)),TRIM(MID('R.M Billets Reports'!D2866,SEARCH("-",'R.M Billets Reports'!D2866)+1,200)),"")))="VRKP ISPAT PVT LTD","VRKP",IF(IF(IF(ISNUMBER(SEARCH("Party Name:-",'R.M Billets Reports'!D2865)),TRIM('R.M Billets Reports'!F2865),IF(ISNUMBER(SEARCH("Party Name-",'R.M Billets Reports'!D2865)),TRIM(MID('R.M Billets Reports'!D2865,SEARCH("-",'R.M Billets Reports'!D2865)+1,200)),""))&lt;&gt;"",IF(ISNUMBER(SEARCH("Party Name:-",'R.M Billets Reports'!D2865)),TRIM('R.M Billets Reports'!F2865),IF(ISNUMBER(SEARCH("Party Name-",'R.M Billets Reports'!D2865)),TRIM(MID('R.M Billets Reports'!D2865,SEARCH("-",'R.M Billets Reports'!D2865)+1,200)),"")),IF(ISNUMBER(SEARCH("Party Name:-",'R.M Billets Reports'!D2866)),TRIM('R.M Billets Reports'!F2866),IF(ISNUMBER(SEARCH("Party Name-",'R.M Billets Reports'!D2866)),TRIM(MID('R.M Billets Reports'!D2866,SEARCH("-",'R.M Billets Reports'!D2866)+1,200)),"")))="SHRI RADHE","SHREE RADHE",IF(IF(IF(ISNUMBER(SEARCH("Party Name:-",'R.M Billets Reports'!D2865)),TRIM('R.M Billets Reports'!F2865),IF(ISNUMBER(SEARCH("Party Name-",'R.M Billets Reports'!D2865)),TRIM(MID('R.M Billets Reports'!D2865,SEARCH("-",'R.M Billets Reports'!D2865)+1,200)),""))&lt;&gt;"",IF(ISNUMBER(SEARCH("Party Name:-",'R.M Billets Reports'!D2865)),TRIM('R.M Billets Reports'!F2865),IF(ISNUMBER(SEARCH("Party Name-",'R.M Billets Reports'!D2865)),TRIM(MID('R.M Billets Reports'!D2865,SEARCH("-",'R.M Billets Reports'!D2865)+1,200)),"")),IF(ISNUMBER(SEARCH("Party Name:-",'R.M Billets Reports'!D2866)),TRIM('R.M Billets Reports'!F2866),IF(ISNUMBER(SEARCH("Party Name-",'R.M Billets Reports'!D2866)),TRIM(MID('R.M Billets Reports'!D2866,SEARCH("-",'R.M Billets Reports'!D2866)+1,200)),"")))="SHREE RADHE SHAKTI SPONGE AND POWER PVT. LTD.","SHREE RADHE",IF(IF(ISNUMBER(SEARCH("Party Name:-",'R.M Billets Reports'!D2865)),TRIM('R.M Billets Reports'!F2865),IF(ISNUMBER(SEARCH("Party Name-",'R.M Billets Reports'!D2865)),TRIM(MID('R.M Billets Reports'!D2865,SEARCH("-",'R.M Billets Reports'!D2865)+1,200)),""))&lt;&gt;"",IF(ISNUMBER(SEARCH("Party Name:-",'R.M Billets Reports'!D2865)),TRIM('R.M Billets Reports'!F2865),IF(ISNUMBER(SEARCH("Party Name-",'R.M Billets Reports'!D2865)),TRIM(MID('R.M Billets Reports'!D2865,SEARCH("-",'R.M Billets Reports'!D2865)+1,200)),"")),IF(ISNUMBER(SEARCH("Party Name:-",'R.M Billets Reports'!D2866)),TRIM('R.M Billets Reports'!F2866),IF(ISNUMBER(SEARCH("Party Name-",'R.M Billets Reports'!D2866)),TRIM(MID('R.M Billets Reports'!D2866,SEARCH("-",'R.M Billets Reports'!D2866)+1,200)),"")))))),IF(ROW()=2,"",A2865))</f>
      </c>
      <c r="B2866">
        <f>IF(OR('R.M Billets Reports'!A2865="Date-",'R.M Billets Reports'!A2865="Date:-"),'R.M Billets Reports'!B2865,IF(ROW()=2,"",B2865))</f>
      </c>
      <c r="C2866">
        <f>IF('R.M Billets Reports'!A2865="V.No.",'R.M Billets Reports'!B2865,IF(ROW()=2,"",C2865))</f>
      </c>
      <c r="D2866">
        <f>IF('R.M Billets Reports'!A2865&lt;&gt;"",'R.M Billets Reports'!A2865,IF(ROW()=2,"",D2865))</f>
      </c>
      <c r="E2866">
        <f>IF('R.M Billets Reports'!B2865="","",TRIM('R.M Billets Reports'!B2865))</f>
      </c>
      <c r="F2866">
        <f>'R.M Billets Reports'!C2865</f>
      </c>
      <c r="G2866">
        <f>'R.M Billets Reports'!D2865</f>
      </c>
      <c r="H2866">
        <f>'R.M Billets Reports'!E2865</f>
      </c>
      <c r="I2866">
        <f>'R.M Billets Reports'!F2865</f>
      </c>
      <c r="J2866">
        <f>'R.M Billets Reports'!G2865</f>
      </c>
      <c r="K2866">
        <f>'R.M Billets Reports'!H2865</f>
      </c>
      <c r="L2866">
        <f>IF('R.M Billets Reports'!I2865="","",'R.M Billets Reports'!I2865)</f>
      </c>
      <c r="M2866">
        <f t="shared" si="88"/>
      </c>
      <c r="N2866">
        <f>IF('R.M Billets Reports'!J2865="","",'R.M Billets Reports'!J2865)</f>
      </c>
      <c r="O2866">
        <f t="shared" si="89"/>
      </c>
      <c r="P2866">
        <f>IF('R.M Billets Reports'!A2865="SIZE",'R.M Billets Reports'!B2865,P2865)</f>
      </c>
    </row>
    <row r="2867" spans="1:16" x14ac:dyDescent="0.25">
      <c r="A2867">
        <f>IF(OR('R.M Billets Reports'!A2866="Date-",'R.M Billets Reports'!A2866="Date:-"),IF(IF(IF(ISNUMBER(SEARCH("Party Name:-",'R.M Billets Reports'!D2866)),TRIM('R.M Billets Reports'!F2866),IF(ISNUMBER(SEARCH("Party Name-",'R.M Billets Reports'!D2866)),TRIM(MID('R.M Billets Reports'!D2866,SEARCH("-",'R.M Billets Reports'!D2866)+1,200)),""))&lt;&gt;"",IF(ISNUMBER(SEARCH("Party Name:-",'R.M Billets Reports'!D2866)),TRIM('R.M Billets Reports'!F2866),IF(ISNUMBER(SEARCH("Party Name-",'R.M Billets Reports'!D2866)),TRIM(MID('R.M Billets Reports'!D2866,SEARCH("-",'R.M Billets Reports'!D2866)+1,200)),"")),IF(ISNUMBER(SEARCH("Party Name:-",'R.M Billets Reports'!D2867)),TRIM('R.M Billets Reports'!F2867),IF(ISNUMBER(SEARCH("Party Name-",'R.M Billets Reports'!D2867)),TRIM(MID('R.M Billets Reports'!D2867,SEARCH("-",'R.M Billets Reports'!D2867)+1,200)),"")))="VRKP ISPAT PVT LTD","VRKP",IF(IF(IF(ISNUMBER(SEARCH("Party Name:-",'R.M Billets Reports'!D2866)),TRIM('R.M Billets Reports'!F2866),IF(ISNUMBER(SEARCH("Party Name-",'R.M Billets Reports'!D2866)),TRIM(MID('R.M Billets Reports'!D2866,SEARCH("-",'R.M Billets Reports'!D2866)+1,200)),""))&lt;&gt;"",IF(ISNUMBER(SEARCH("Party Name:-",'R.M Billets Reports'!D2866)),TRIM('R.M Billets Reports'!F2866),IF(ISNUMBER(SEARCH("Party Name-",'R.M Billets Reports'!D2866)),TRIM(MID('R.M Billets Reports'!D2866,SEARCH("-",'R.M Billets Reports'!D2866)+1,200)),"")),IF(ISNUMBER(SEARCH("Party Name:-",'R.M Billets Reports'!D2867)),TRIM('R.M Billets Reports'!F2867),IF(ISNUMBER(SEARCH("Party Name-",'R.M Billets Reports'!D2867)),TRIM(MID('R.M Billets Reports'!D2867,SEARCH("-",'R.M Billets Reports'!D2867)+1,200)),"")))="SHRI RADHE","SHREE RADHE",IF(IF(IF(ISNUMBER(SEARCH("Party Name:-",'R.M Billets Reports'!D2866)),TRIM('R.M Billets Reports'!F2866),IF(ISNUMBER(SEARCH("Party Name-",'R.M Billets Reports'!D2866)),TRIM(MID('R.M Billets Reports'!D2866,SEARCH("-",'R.M Billets Reports'!D2866)+1,200)),""))&lt;&gt;"",IF(ISNUMBER(SEARCH("Party Name:-",'R.M Billets Reports'!D2866)),TRIM('R.M Billets Reports'!F2866),IF(ISNUMBER(SEARCH("Party Name-",'R.M Billets Reports'!D2866)),TRIM(MID('R.M Billets Reports'!D2866,SEARCH("-",'R.M Billets Reports'!D2866)+1,200)),"")),IF(ISNUMBER(SEARCH("Party Name:-",'R.M Billets Reports'!D2867)),TRIM('R.M Billets Reports'!F2867),IF(ISNUMBER(SEARCH("Party Name-",'R.M Billets Reports'!D2867)),TRIM(MID('R.M Billets Reports'!D2867,SEARCH("-",'R.M Billets Reports'!D2867)+1,200)),"")))="SHREE RADHE SHAKTI SPONGE AND POWER PVT. LTD.","SHREE RADHE",IF(IF(ISNUMBER(SEARCH("Party Name:-",'R.M Billets Reports'!D2866)),TRIM('R.M Billets Reports'!F2866),IF(ISNUMBER(SEARCH("Party Name-",'R.M Billets Reports'!D2866)),TRIM(MID('R.M Billets Reports'!D2866,SEARCH("-",'R.M Billets Reports'!D2866)+1,200)),""))&lt;&gt;"",IF(ISNUMBER(SEARCH("Party Name:-",'R.M Billets Reports'!D2866)),TRIM('R.M Billets Reports'!F2866),IF(ISNUMBER(SEARCH("Party Name-",'R.M Billets Reports'!D2866)),TRIM(MID('R.M Billets Reports'!D2866,SEARCH("-",'R.M Billets Reports'!D2866)+1,200)),"")),IF(ISNUMBER(SEARCH("Party Name:-",'R.M Billets Reports'!D2867)),TRIM('R.M Billets Reports'!F2867),IF(ISNUMBER(SEARCH("Party Name-",'R.M Billets Reports'!D2867)),TRIM(MID('R.M Billets Reports'!D2867,SEARCH("-",'R.M Billets Reports'!D2867)+1,200)),"")))))),IF(ROW()=2,"",A2866))</f>
      </c>
      <c r="B2867">
        <f>IF(OR('R.M Billets Reports'!A2866="Date-",'R.M Billets Reports'!A2866="Date:-"),'R.M Billets Reports'!B2866,IF(ROW()=2,"",B2866))</f>
      </c>
      <c r="C2867">
        <f>IF('R.M Billets Reports'!A2866="V.No.",'R.M Billets Reports'!B2866,IF(ROW()=2,"",C2866))</f>
      </c>
      <c r="D2867">
        <f>IF('R.M Billets Reports'!A2866&lt;&gt;"",'R.M Billets Reports'!A2866,IF(ROW()=2,"",D2866))</f>
      </c>
      <c r="E2867">
        <f>IF('R.M Billets Reports'!B2866="","",TRIM('R.M Billets Reports'!B2866))</f>
      </c>
      <c r="F2867">
        <f>'R.M Billets Reports'!C2866</f>
      </c>
      <c r="G2867">
        <f>'R.M Billets Reports'!D2866</f>
      </c>
      <c r="H2867">
        <f>'R.M Billets Reports'!E2866</f>
      </c>
      <c r="I2867">
        <f>'R.M Billets Reports'!F2866</f>
      </c>
      <c r="J2867">
        <f>'R.M Billets Reports'!G2866</f>
      </c>
      <c r="K2867">
        <f>'R.M Billets Reports'!H2866</f>
      </c>
      <c r="L2867">
        <f>IF('R.M Billets Reports'!I2866="","",'R.M Billets Reports'!I2866)</f>
      </c>
      <c r="M2867">
        <f t="shared" si="88"/>
      </c>
      <c r="N2867">
        <f>IF('R.M Billets Reports'!J2866="","",'R.M Billets Reports'!J2866)</f>
      </c>
      <c r="O2867">
        <f t="shared" si="89"/>
      </c>
      <c r="P2867">
        <f>IF('R.M Billets Reports'!A2866="SIZE",'R.M Billets Reports'!B2866,P2866)</f>
      </c>
    </row>
    <row r="2868" spans="1:16" x14ac:dyDescent="0.25">
      <c r="A2868">
        <f>IF(OR('R.M Billets Reports'!A2867="Date-",'R.M Billets Reports'!A2867="Date:-"),IF(IF(IF(ISNUMBER(SEARCH("Party Name:-",'R.M Billets Reports'!D2867)),TRIM('R.M Billets Reports'!F2867),IF(ISNUMBER(SEARCH("Party Name-",'R.M Billets Reports'!D2867)),TRIM(MID('R.M Billets Reports'!D2867,SEARCH("-",'R.M Billets Reports'!D2867)+1,200)),""))&lt;&gt;"",IF(ISNUMBER(SEARCH("Party Name:-",'R.M Billets Reports'!D2867)),TRIM('R.M Billets Reports'!F2867),IF(ISNUMBER(SEARCH("Party Name-",'R.M Billets Reports'!D2867)),TRIM(MID('R.M Billets Reports'!D2867,SEARCH("-",'R.M Billets Reports'!D2867)+1,200)),"")),IF(ISNUMBER(SEARCH("Party Name:-",'R.M Billets Reports'!D2868)),TRIM('R.M Billets Reports'!F2868),IF(ISNUMBER(SEARCH("Party Name-",'R.M Billets Reports'!D2868)),TRIM(MID('R.M Billets Reports'!D2868,SEARCH("-",'R.M Billets Reports'!D2868)+1,200)),"")))="VRKP ISPAT PVT LTD","VRKP",IF(IF(IF(ISNUMBER(SEARCH("Party Name:-",'R.M Billets Reports'!D2867)),TRIM('R.M Billets Reports'!F2867),IF(ISNUMBER(SEARCH("Party Name-",'R.M Billets Reports'!D2867)),TRIM(MID('R.M Billets Reports'!D2867,SEARCH("-",'R.M Billets Reports'!D2867)+1,200)),""))&lt;&gt;"",IF(ISNUMBER(SEARCH("Party Name:-",'R.M Billets Reports'!D2867)),TRIM('R.M Billets Reports'!F2867),IF(ISNUMBER(SEARCH("Party Name-",'R.M Billets Reports'!D2867)),TRIM(MID('R.M Billets Reports'!D2867,SEARCH("-",'R.M Billets Reports'!D2867)+1,200)),"")),IF(ISNUMBER(SEARCH("Party Name:-",'R.M Billets Reports'!D2868)),TRIM('R.M Billets Reports'!F2868),IF(ISNUMBER(SEARCH("Party Name-",'R.M Billets Reports'!D2868)),TRIM(MID('R.M Billets Reports'!D2868,SEARCH("-",'R.M Billets Reports'!D2868)+1,200)),"")))="SHRI RADHE","SHREE RADHE",IF(IF(IF(ISNUMBER(SEARCH("Party Name:-",'R.M Billets Reports'!D2867)),TRIM('R.M Billets Reports'!F2867),IF(ISNUMBER(SEARCH("Party Name-",'R.M Billets Reports'!D2867)),TRIM(MID('R.M Billets Reports'!D2867,SEARCH("-",'R.M Billets Reports'!D2867)+1,200)),""))&lt;&gt;"",IF(ISNUMBER(SEARCH("Party Name:-",'R.M Billets Reports'!D2867)),TRIM('R.M Billets Reports'!F2867),IF(ISNUMBER(SEARCH("Party Name-",'R.M Billets Reports'!D2867)),TRIM(MID('R.M Billets Reports'!D2867,SEARCH("-",'R.M Billets Reports'!D2867)+1,200)),"")),IF(ISNUMBER(SEARCH("Party Name:-",'R.M Billets Reports'!D2868)),TRIM('R.M Billets Reports'!F2868),IF(ISNUMBER(SEARCH("Party Name-",'R.M Billets Reports'!D2868)),TRIM(MID('R.M Billets Reports'!D2868,SEARCH("-",'R.M Billets Reports'!D2868)+1,200)),"")))="SHREE RADHE SHAKTI SPONGE AND POWER PVT. LTD.","SHREE RADHE",IF(IF(ISNUMBER(SEARCH("Party Name:-",'R.M Billets Reports'!D2867)),TRIM('R.M Billets Reports'!F2867),IF(ISNUMBER(SEARCH("Party Name-",'R.M Billets Reports'!D2867)),TRIM(MID('R.M Billets Reports'!D2867,SEARCH("-",'R.M Billets Reports'!D2867)+1,200)),""))&lt;&gt;"",IF(ISNUMBER(SEARCH("Party Name:-",'R.M Billets Reports'!D2867)),TRIM('R.M Billets Reports'!F2867),IF(ISNUMBER(SEARCH("Party Name-",'R.M Billets Reports'!D2867)),TRIM(MID('R.M Billets Reports'!D2867,SEARCH("-",'R.M Billets Reports'!D2867)+1,200)),"")),IF(ISNUMBER(SEARCH("Party Name:-",'R.M Billets Reports'!D2868)),TRIM('R.M Billets Reports'!F2868),IF(ISNUMBER(SEARCH("Party Name-",'R.M Billets Reports'!D2868)),TRIM(MID('R.M Billets Reports'!D2868,SEARCH("-",'R.M Billets Reports'!D2868)+1,200)),"")))))),IF(ROW()=2,"",A2867))</f>
      </c>
      <c r="B2868">
        <f>IF(OR('R.M Billets Reports'!A2867="Date-",'R.M Billets Reports'!A2867="Date:-"),'R.M Billets Reports'!B2867,IF(ROW()=2,"",B2867))</f>
      </c>
      <c r="C2868">
        <f>IF('R.M Billets Reports'!A2867="V.No.",'R.M Billets Reports'!B2867,IF(ROW()=2,"",C2867))</f>
      </c>
      <c r="D2868">
        <f>IF('R.M Billets Reports'!A2867&lt;&gt;"",'R.M Billets Reports'!A2867,IF(ROW()=2,"",D2867))</f>
      </c>
      <c r="E2868">
        <f>IF('R.M Billets Reports'!B2867="","",TRIM('R.M Billets Reports'!B2867))</f>
      </c>
      <c r="F2868">
        <f>'R.M Billets Reports'!C2867</f>
      </c>
      <c r="G2868">
        <f>'R.M Billets Reports'!D2867</f>
      </c>
      <c r="H2868">
        <f>'R.M Billets Reports'!E2867</f>
      </c>
      <c r="I2868">
        <f>'R.M Billets Reports'!F2867</f>
      </c>
      <c r="J2868">
        <f>'R.M Billets Reports'!G2867</f>
      </c>
      <c r="K2868">
        <f>'R.M Billets Reports'!H2867</f>
      </c>
      <c r="L2868">
        <f>IF('R.M Billets Reports'!I2867="","",'R.M Billets Reports'!I2867)</f>
      </c>
      <c r="M2868">
        <f t="shared" si="88"/>
      </c>
      <c r="N2868">
        <f>IF('R.M Billets Reports'!J2867="","",'R.M Billets Reports'!J2867)</f>
      </c>
      <c r="O2868">
        <f t="shared" si="89"/>
      </c>
      <c r="P2868">
        <f>IF('R.M Billets Reports'!A2867="SIZE",'R.M Billets Reports'!B2867,P2867)</f>
      </c>
    </row>
    <row r="2869" spans="1:16" x14ac:dyDescent="0.25">
      <c r="A2869">
        <f>IF(OR('R.M Billets Reports'!A2868="Date-",'R.M Billets Reports'!A2868="Date:-"),IF(IF(IF(ISNUMBER(SEARCH("Party Name:-",'R.M Billets Reports'!D2868)),TRIM('R.M Billets Reports'!F2868),IF(ISNUMBER(SEARCH("Party Name-",'R.M Billets Reports'!D2868)),TRIM(MID('R.M Billets Reports'!D2868,SEARCH("-",'R.M Billets Reports'!D2868)+1,200)),""))&lt;&gt;"",IF(ISNUMBER(SEARCH("Party Name:-",'R.M Billets Reports'!D2868)),TRIM('R.M Billets Reports'!F2868),IF(ISNUMBER(SEARCH("Party Name-",'R.M Billets Reports'!D2868)),TRIM(MID('R.M Billets Reports'!D2868,SEARCH("-",'R.M Billets Reports'!D2868)+1,200)),"")),IF(ISNUMBER(SEARCH("Party Name:-",'R.M Billets Reports'!D2869)),TRIM('R.M Billets Reports'!F2869),IF(ISNUMBER(SEARCH("Party Name-",'R.M Billets Reports'!D2869)),TRIM(MID('R.M Billets Reports'!D2869,SEARCH("-",'R.M Billets Reports'!D2869)+1,200)),"")))="VRKP ISPAT PVT LTD","VRKP",IF(IF(IF(ISNUMBER(SEARCH("Party Name:-",'R.M Billets Reports'!D2868)),TRIM('R.M Billets Reports'!F2868),IF(ISNUMBER(SEARCH("Party Name-",'R.M Billets Reports'!D2868)),TRIM(MID('R.M Billets Reports'!D2868,SEARCH("-",'R.M Billets Reports'!D2868)+1,200)),""))&lt;&gt;"",IF(ISNUMBER(SEARCH("Party Name:-",'R.M Billets Reports'!D2868)),TRIM('R.M Billets Reports'!F2868),IF(ISNUMBER(SEARCH("Party Name-",'R.M Billets Reports'!D2868)),TRIM(MID('R.M Billets Reports'!D2868,SEARCH("-",'R.M Billets Reports'!D2868)+1,200)),"")),IF(ISNUMBER(SEARCH("Party Name:-",'R.M Billets Reports'!D2869)),TRIM('R.M Billets Reports'!F2869),IF(ISNUMBER(SEARCH("Party Name-",'R.M Billets Reports'!D2869)),TRIM(MID('R.M Billets Reports'!D2869,SEARCH("-",'R.M Billets Reports'!D2869)+1,200)),"")))="SHRI RADHE","SHREE RADHE",IF(IF(IF(ISNUMBER(SEARCH("Party Name:-",'R.M Billets Reports'!D2868)),TRIM('R.M Billets Reports'!F2868),IF(ISNUMBER(SEARCH("Party Name-",'R.M Billets Reports'!D2868)),TRIM(MID('R.M Billets Reports'!D2868,SEARCH("-",'R.M Billets Reports'!D2868)+1,200)),""))&lt;&gt;"",IF(ISNUMBER(SEARCH("Party Name:-",'R.M Billets Reports'!D2868)),TRIM('R.M Billets Reports'!F2868),IF(ISNUMBER(SEARCH("Party Name-",'R.M Billets Reports'!D2868)),TRIM(MID('R.M Billets Reports'!D2868,SEARCH("-",'R.M Billets Reports'!D2868)+1,200)),"")),IF(ISNUMBER(SEARCH("Party Name:-",'R.M Billets Reports'!D2869)),TRIM('R.M Billets Reports'!F2869),IF(ISNUMBER(SEARCH("Party Name-",'R.M Billets Reports'!D2869)),TRIM(MID('R.M Billets Reports'!D2869,SEARCH("-",'R.M Billets Reports'!D2869)+1,200)),"")))="SHREE RADHE SHAKTI SPONGE AND POWER PVT. LTD.","SHREE RADHE",IF(IF(ISNUMBER(SEARCH("Party Name:-",'R.M Billets Reports'!D2868)),TRIM('R.M Billets Reports'!F2868),IF(ISNUMBER(SEARCH("Party Name-",'R.M Billets Reports'!D2868)),TRIM(MID('R.M Billets Reports'!D2868,SEARCH("-",'R.M Billets Reports'!D2868)+1,200)),""))&lt;&gt;"",IF(ISNUMBER(SEARCH("Party Name:-",'R.M Billets Reports'!D2868)),TRIM('R.M Billets Reports'!F2868),IF(ISNUMBER(SEARCH("Party Name-",'R.M Billets Reports'!D2868)),TRIM(MID('R.M Billets Reports'!D2868,SEARCH("-",'R.M Billets Reports'!D2868)+1,200)),"")),IF(ISNUMBER(SEARCH("Party Name:-",'R.M Billets Reports'!D2869)),TRIM('R.M Billets Reports'!F2869),IF(ISNUMBER(SEARCH("Party Name-",'R.M Billets Reports'!D2869)),TRIM(MID('R.M Billets Reports'!D2869,SEARCH("-",'R.M Billets Reports'!D2869)+1,200)),"")))))),IF(ROW()=2,"",A2868))</f>
      </c>
      <c r="B2869">
        <f>IF(OR('R.M Billets Reports'!A2868="Date-",'R.M Billets Reports'!A2868="Date:-"),'R.M Billets Reports'!B2868,IF(ROW()=2,"",B2868))</f>
      </c>
      <c r="C2869">
        <f>IF('R.M Billets Reports'!A2868="V.No.",'R.M Billets Reports'!B2868,IF(ROW()=2,"",C2868))</f>
      </c>
      <c r="D2869">
        <f>IF('R.M Billets Reports'!A2868&lt;&gt;"",'R.M Billets Reports'!A2868,IF(ROW()=2,"",D2868))</f>
      </c>
      <c r="E2869">
        <f>IF('R.M Billets Reports'!B2868="","",TRIM('R.M Billets Reports'!B2868))</f>
      </c>
      <c r="F2869">
        <f>'R.M Billets Reports'!C2868</f>
      </c>
      <c r="G2869">
        <f>'R.M Billets Reports'!D2868</f>
      </c>
      <c r="H2869">
        <f>'R.M Billets Reports'!E2868</f>
      </c>
      <c r="I2869">
        <f>'R.M Billets Reports'!F2868</f>
      </c>
      <c r="J2869">
        <f>'R.M Billets Reports'!G2868</f>
      </c>
      <c r="K2869">
        <f>'R.M Billets Reports'!H2868</f>
      </c>
      <c r="L2869">
        <f>IF('R.M Billets Reports'!I2868="","",'R.M Billets Reports'!I2868)</f>
      </c>
      <c r="M2869">
        <f t="shared" si="88"/>
      </c>
      <c r="N2869">
        <f>IF('R.M Billets Reports'!J2868="","",'R.M Billets Reports'!J2868)</f>
      </c>
      <c r="O2869">
        <f t="shared" si="89"/>
      </c>
      <c r="P2869">
        <f>IF('R.M Billets Reports'!A2868="SIZE",'R.M Billets Reports'!B2868,P2868)</f>
      </c>
    </row>
    <row r="2870" spans="1:16" x14ac:dyDescent="0.25">
      <c r="A2870">
        <f>IF(OR('R.M Billets Reports'!A2869="Date-",'R.M Billets Reports'!A2869="Date:-"),IF(IF(IF(ISNUMBER(SEARCH("Party Name:-",'R.M Billets Reports'!D2869)),TRIM('R.M Billets Reports'!F2869),IF(ISNUMBER(SEARCH("Party Name-",'R.M Billets Reports'!D2869)),TRIM(MID('R.M Billets Reports'!D2869,SEARCH("-",'R.M Billets Reports'!D2869)+1,200)),""))&lt;&gt;"",IF(ISNUMBER(SEARCH("Party Name:-",'R.M Billets Reports'!D2869)),TRIM('R.M Billets Reports'!F2869),IF(ISNUMBER(SEARCH("Party Name-",'R.M Billets Reports'!D2869)),TRIM(MID('R.M Billets Reports'!D2869,SEARCH("-",'R.M Billets Reports'!D2869)+1,200)),"")),IF(ISNUMBER(SEARCH("Party Name:-",'R.M Billets Reports'!D2870)),TRIM('R.M Billets Reports'!F2870),IF(ISNUMBER(SEARCH("Party Name-",'R.M Billets Reports'!D2870)),TRIM(MID('R.M Billets Reports'!D2870,SEARCH("-",'R.M Billets Reports'!D2870)+1,200)),"")))="VRKP ISPAT PVT LTD","VRKP",IF(IF(IF(ISNUMBER(SEARCH("Party Name:-",'R.M Billets Reports'!D2869)),TRIM('R.M Billets Reports'!F2869),IF(ISNUMBER(SEARCH("Party Name-",'R.M Billets Reports'!D2869)),TRIM(MID('R.M Billets Reports'!D2869,SEARCH("-",'R.M Billets Reports'!D2869)+1,200)),""))&lt;&gt;"",IF(ISNUMBER(SEARCH("Party Name:-",'R.M Billets Reports'!D2869)),TRIM('R.M Billets Reports'!F2869),IF(ISNUMBER(SEARCH("Party Name-",'R.M Billets Reports'!D2869)),TRIM(MID('R.M Billets Reports'!D2869,SEARCH("-",'R.M Billets Reports'!D2869)+1,200)),"")),IF(ISNUMBER(SEARCH("Party Name:-",'R.M Billets Reports'!D2870)),TRIM('R.M Billets Reports'!F2870),IF(ISNUMBER(SEARCH("Party Name-",'R.M Billets Reports'!D2870)),TRIM(MID('R.M Billets Reports'!D2870,SEARCH("-",'R.M Billets Reports'!D2870)+1,200)),"")))="SHRI RADHE","SHREE RADHE",IF(IF(IF(ISNUMBER(SEARCH("Party Name:-",'R.M Billets Reports'!D2869)),TRIM('R.M Billets Reports'!F2869),IF(ISNUMBER(SEARCH("Party Name-",'R.M Billets Reports'!D2869)),TRIM(MID('R.M Billets Reports'!D2869,SEARCH("-",'R.M Billets Reports'!D2869)+1,200)),""))&lt;&gt;"",IF(ISNUMBER(SEARCH("Party Name:-",'R.M Billets Reports'!D2869)),TRIM('R.M Billets Reports'!F2869),IF(ISNUMBER(SEARCH("Party Name-",'R.M Billets Reports'!D2869)),TRIM(MID('R.M Billets Reports'!D2869,SEARCH("-",'R.M Billets Reports'!D2869)+1,200)),"")),IF(ISNUMBER(SEARCH("Party Name:-",'R.M Billets Reports'!D2870)),TRIM('R.M Billets Reports'!F2870),IF(ISNUMBER(SEARCH("Party Name-",'R.M Billets Reports'!D2870)),TRIM(MID('R.M Billets Reports'!D2870,SEARCH("-",'R.M Billets Reports'!D2870)+1,200)),"")))="SHREE RADHE SHAKTI SPONGE AND POWER PVT. LTD.","SHREE RADHE",IF(IF(ISNUMBER(SEARCH("Party Name:-",'R.M Billets Reports'!D2869)),TRIM('R.M Billets Reports'!F2869),IF(ISNUMBER(SEARCH("Party Name-",'R.M Billets Reports'!D2869)),TRIM(MID('R.M Billets Reports'!D2869,SEARCH("-",'R.M Billets Reports'!D2869)+1,200)),""))&lt;&gt;"",IF(ISNUMBER(SEARCH("Party Name:-",'R.M Billets Reports'!D2869)),TRIM('R.M Billets Reports'!F2869),IF(ISNUMBER(SEARCH("Party Name-",'R.M Billets Reports'!D2869)),TRIM(MID('R.M Billets Reports'!D2869,SEARCH("-",'R.M Billets Reports'!D2869)+1,200)),"")),IF(ISNUMBER(SEARCH("Party Name:-",'R.M Billets Reports'!D2870)),TRIM('R.M Billets Reports'!F2870),IF(ISNUMBER(SEARCH("Party Name-",'R.M Billets Reports'!D2870)),TRIM(MID('R.M Billets Reports'!D2870,SEARCH("-",'R.M Billets Reports'!D2870)+1,200)),"")))))),IF(ROW()=2,"",A2869))</f>
      </c>
      <c r="B2870">
        <f>IF(OR('R.M Billets Reports'!A2869="Date-",'R.M Billets Reports'!A2869="Date:-"),'R.M Billets Reports'!B2869,IF(ROW()=2,"",B2869))</f>
      </c>
      <c r="C2870">
        <f>IF('R.M Billets Reports'!A2869="V.No.",'R.M Billets Reports'!B2869,IF(ROW()=2,"",C2869))</f>
      </c>
      <c r="D2870">
        <f>IF('R.M Billets Reports'!A2869&lt;&gt;"",'R.M Billets Reports'!A2869,IF(ROW()=2,"",D2869))</f>
      </c>
      <c r="E2870">
        <f>IF('R.M Billets Reports'!B2869="","",TRIM('R.M Billets Reports'!B2869))</f>
      </c>
      <c r="F2870">
        <f>'R.M Billets Reports'!C2869</f>
      </c>
      <c r="G2870">
        <f>'R.M Billets Reports'!D2869</f>
      </c>
      <c r="H2870">
        <f>'R.M Billets Reports'!E2869</f>
      </c>
      <c r="I2870">
        <f>'R.M Billets Reports'!F2869</f>
      </c>
      <c r="J2870">
        <f>'R.M Billets Reports'!G2869</f>
      </c>
      <c r="K2870">
        <f>'R.M Billets Reports'!H2869</f>
      </c>
      <c r="L2870">
        <f>IF('R.M Billets Reports'!I2869="","",'R.M Billets Reports'!I2869)</f>
      </c>
      <c r="M2870">
        <f t="shared" si="88"/>
      </c>
      <c r="N2870">
        <f>IF('R.M Billets Reports'!J2869="","",'R.M Billets Reports'!J2869)</f>
      </c>
      <c r="O2870">
        <f t="shared" si="89"/>
      </c>
      <c r="P2870">
        <f>IF('R.M Billets Reports'!A2869="SIZE",'R.M Billets Reports'!B2869,P2869)</f>
      </c>
    </row>
    <row r="2871" spans="1:16" x14ac:dyDescent="0.25">
      <c r="A2871">
        <f>IF(OR('R.M Billets Reports'!A2870="Date-",'R.M Billets Reports'!A2870="Date:-"),IF(IF(IF(ISNUMBER(SEARCH("Party Name:-",'R.M Billets Reports'!D2870)),TRIM('R.M Billets Reports'!F2870),IF(ISNUMBER(SEARCH("Party Name-",'R.M Billets Reports'!D2870)),TRIM(MID('R.M Billets Reports'!D2870,SEARCH("-",'R.M Billets Reports'!D2870)+1,200)),""))&lt;&gt;"",IF(ISNUMBER(SEARCH("Party Name:-",'R.M Billets Reports'!D2870)),TRIM('R.M Billets Reports'!F2870),IF(ISNUMBER(SEARCH("Party Name-",'R.M Billets Reports'!D2870)),TRIM(MID('R.M Billets Reports'!D2870,SEARCH("-",'R.M Billets Reports'!D2870)+1,200)),"")),IF(ISNUMBER(SEARCH("Party Name:-",'R.M Billets Reports'!D2871)),TRIM('R.M Billets Reports'!F2871),IF(ISNUMBER(SEARCH("Party Name-",'R.M Billets Reports'!D2871)),TRIM(MID('R.M Billets Reports'!D2871,SEARCH("-",'R.M Billets Reports'!D2871)+1,200)),"")))="VRKP ISPAT PVT LTD","VRKP",IF(IF(IF(ISNUMBER(SEARCH("Party Name:-",'R.M Billets Reports'!D2870)),TRIM('R.M Billets Reports'!F2870),IF(ISNUMBER(SEARCH("Party Name-",'R.M Billets Reports'!D2870)),TRIM(MID('R.M Billets Reports'!D2870,SEARCH("-",'R.M Billets Reports'!D2870)+1,200)),""))&lt;&gt;"",IF(ISNUMBER(SEARCH("Party Name:-",'R.M Billets Reports'!D2870)),TRIM('R.M Billets Reports'!F2870),IF(ISNUMBER(SEARCH("Party Name-",'R.M Billets Reports'!D2870)),TRIM(MID('R.M Billets Reports'!D2870,SEARCH("-",'R.M Billets Reports'!D2870)+1,200)),"")),IF(ISNUMBER(SEARCH("Party Name:-",'R.M Billets Reports'!D2871)),TRIM('R.M Billets Reports'!F2871),IF(ISNUMBER(SEARCH("Party Name-",'R.M Billets Reports'!D2871)),TRIM(MID('R.M Billets Reports'!D2871,SEARCH("-",'R.M Billets Reports'!D2871)+1,200)),"")))="SHRI RADHE","SHREE RADHE",IF(IF(IF(ISNUMBER(SEARCH("Party Name:-",'R.M Billets Reports'!D2870)),TRIM('R.M Billets Reports'!F2870),IF(ISNUMBER(SEARCH("Party Name-",'R.M Billets Reports'!D2870)),TRIM(MID('R.M Billets Reports'!D2870,SEARCH("-",'R.M Billets Reports'!D2870)+1,200)),""))&lt;&gt;"",IF(ISNUMBER(SEARCH("Party Name:-",'R.M Billets Reports'!D2870)),TRIM('R.M Billets Reports'!F2870),IF(ISNUMBER(SEARCH("Party Name-",'R.M Billets Reports'!D2870)),TRIM(MID('R.M Billets Reports'!D2870,SEARCH("-",'R.M Billets Reports'!D2870)+1,200)),"")),IF(ISNUMBER(SEARCH("Party Name:-",'R.M Billets Reports'!D2871)),TRIM('R.M Billets Reports'!F2871),IF(ISNUMBER(SEARCH("Party Name-",'R.M Billets Reports'!D2871)),TRIM(MID('R.M Billets Reports'!D2871,SEARCH("-",'R.M Billets Reports'!D2871)+1,200)),"")))="SHREE RADHE SHAKTI SPONGE AND POWER PVT. LTD.","SHREE RADHE",IF(IF(ISNUMBER(SEARCH("Party Name:-",'R.M Billets Reports'!D2870)),TRIM('R.M Billets Reports'!F2870),IF(ISNUMBER(SEARCH("Party Name-",'R.M Billets Reports'!D2870)),TRIM(MID('R.M Billets Reports'!D2870,SEARCH("-",'R.M Billets Reports'!D2870)+1,200)),""))&lt;&gt;"",IF(ISNUMBER(SEARCH("Party Name:-",'R.M Billets Reports'!D2870)),TRIM('R.M Billets Reports'!F2870),IF(ISNUMBER(SEARCH("Party Name-",'R.M Billets Reports'!D2870)),TRIM(MID('R.M Billets Reports'!D2870,SEARCH("-",'R.M Billets Reports'!D2870)+1,200)),"")),IF(ISNUMBER(SEARCH("Party Name:-",'R.M Billets Reports'!D2871)),TRIM('R.M Billets Reports'!F2871),IF(ISNUMBER(SEARCH("Party Name-",'R.M Billets Reports'!D2871)),TRIM(MID('R.M Billets Reports'!D2871,SEARCH("-",'R.M Billets Reports'!D2871)+1,200)),"")))))),IF(ROW()=2,"",A2870))</f>
      </c>
      <c r="B2871">
        <f>IF(OR('R.M Billets Reports'!A2870="Date-",'R.M Billets Reports'!A2870="Date:-"),'R.M Billets Reports'!B2870,IF(ROW()=2,"",B2870))</f>
      </c>
      <c r="C2871">
        <f>IF('R.M Billets Reports'!A2870="V.No.",'R.M Billets Reports'!B2870,IF(ROW()=2,"",C2870))</f>
      </c>
      <c r="D2871">
        <f>IF('R.M Billets Reports'!A2870&lt;&gt;"",'R.M Billets Reports'!A2870,IF(ROW()=2,"",D2870))</f>
      </c>
      <c r="E2871">
        <f>IF('R.M Billets Reports'!B2870="","",TRIM('R.M Billets Reports'!B2870))</f>
      </c>
      <c r="F2871">
        <f>'R.M Billets Reports'!C2870</f>
      </c>
      <c r="G2871">
        <f>'R.M Billets Reports'!D2870</f>
      </c>
      <c r="H2871">
        <f>'R.M Billets Reports'!E2870</f>
      </c>
      <c r="I2871">
        <f>'R.M Billets Reports'!F2870</f>
      </c>
      <c r="J2871">
        <f>'R.M Billets Reports'!G2870</f>
      </c>
      <c r="K2871">
        <f>'R.M Billets Reports'!H2870</f>
      </c>
      <c r="L2871">
        <f>IF('R.M Billets Reports'!I2870="","",'R.M Billets Reports'!I2870)</f>
      </c>
      <c r="M2871">
        <f t="shared" si="88"/>
      </c>
      <c r="N2871">
        <f>IF('R.M Billets Reports'!J2870="","",'R.M Billets Reports'!J2870)</f>
      </c>
      <c r="O2871">
        <f t="shared" si="89"/>
      </c>
      <c r="P2871">
        <f>IF('R.M Billets Reports'!A2870="SIZE",'R.M Billets Reports'!B2870,P2870)</f>
      </c>
    </row>
    <row r="2872" spans="1:16" x14ac:dyDescent="0.25">
      <c r="A2872">
        <f>IF(OR('R.M Billets Reports'!A2871="Date-",'R.M Billets Reports'!A2871="Date:-"),IF(IF(IF(ISNUMBER(SEARCH("Party Name:-",'R.M Billets Reports'!D2871)),TRIM('R.M Billets Reports'!F2871),IF(ISNUMBER(SEARCH("Party Name-",'R.M Billets Reports'!D2871)),TRIM(MID('R.M Billets Reports'!D2871,SEARCH("-",'R.M Billets Reports'!D2871)+1,200)),""))&lt;&gt;"",IF(ISNUMBER(SEARCH("Party Name:-",'R.M Billets Reports'!D2871)),TRIM('R.M Billets Reports'!F2871),IF(ISNUMBER(SEARCH("Party Name-",'R.M Billets Reports'!D2871)),TRIM(MID('R.M Billets Reports'!D2871,SEARCH("-",'R.M Billets Reports'!D2871)+1,200)),"")),IF(ISNUMBER(SEARCH("Party Name:-",'R.M Billets Reports'!D2872)),TRIM('R.M Billets Reports'!F2872),IF(ISNUMBER(SEARCH("Party Name-",'R.M Billets Reports'!D2872)),TRIM(MID('R.M Billets Reports'!D2872,SEARCH("-",'R.M Billets Reports'!D2872)+1,200)),"")))="VRKP ISPAT PVT LTD","VRKP",IF(IF(IF(ISNUMBER(SEARCH("Party Name:-",'R.M Billets Reports'!D2871)),TRIM('R.M Billets Reports'!F2871),IF(ISNUMBER(SEARCH("Party Name-",'R.M Billets Reports'!D2871)),TRIM(MID('R.M Billets Reports'!D2871,SEARCH("-",'R.M Billets Reports'!D2871)+1,200)),""))&lt;&gt;"",IF(ISNUMBER(SEARCH("Party Name:-",'R.M Billets Reports'!D2871)),TRIM('R.M Billets Reports'!F2871),IF(ISNUMBER(SEARCH("Party Name-",'R.M Billets Reports'!D2871)),TRIM(MID('R.M Billets Reports'!D2871,SEARCH("-",'R.M Billets Reports'!D2871)+1,200)),"")),IF(ISNUMBER(SEARCH("Party Name:-",'R.M Billets Reports'!D2872)),TRIM('R.M Billets Reports'!F2872),IF(ISNUMBER(SEARCH("Party Name-",'R.M Billets Reports'!D2872)),TRIM(MID('R.M Billets Reports'!D2872,SEARCH("-",'R.M Billets Reports'!D2872)+1,200)),"")))="SHRI RADHE","SHREE RADHE",IF(IF(IF(ISNUMBER(SEARCH("Party Name:-",'R.M Billets Reports'!D2871)),TRIM('R.M Billets Reports'!F2871),IF(ISNUMBER(SEARCH("Party Name-",'R.M Billets Reports'!D2871)),TRIM(MID('R.M Billets Reports'!D2871,SEARCH("-",'R.M Billets Reports'!D2871)+1,200)),""))&lt;&gt;"",IF(ISNUMBER(SEARCH("Party Name:-",'R.M Billets Reports'!D2871)),TRIM('R.M Billets Reports'!F2871),IF(ISNUMBER(SEARCH("Party Name-",'R.M Billets Reports'!D2871)),TRIM(MID('R.M Billets Reports'!D2871,SEARCH("-",'R.M Billets Reports'!D2871)+1,200)),"")),IF(ISNUMBER(SEARCH("Party Name:-",'R.M Billets Reports'!D2872)),TRIM('R.M Billets Reports'!F2872),IF(ISNUMBER(SEARCH("Party Name-",'R.M Billets Reports'!D2872)),TRIM(MID('R.M Billets Reports'!D2872,SEARCH("-",'R.M Billets Reports'!D2872)+1,200)),"")))="SHREE RADHE SHAKTI SPONGE AND POWER PVT. LTD.","SHREE RADHE",IF(IF(ISNUMBER(SEARCH("Party Name:-",'R.M Billets Reports'!D2871)),TRIM('R.M Billets Reports'!F2871),IF(ISNUMBER(SEARCH("Party Name-",'R.M Billets Reports'!D2871)),TRIM(MID('R.M Billets Reports'!D2871,SEARCH("-",'R.M Billets Reports'!D2871)+1,200)),""))&lt;&gt;"",IF(ISNUMBER(SEARCH("Party Name:-",'R.M Billets Reports'!D2871)),TRIM('R.M Billets Reports'!F2871),IF(ISNUMBER(SEARCH("Party Name-",'R.M Billets Reports'!D2871)),TRIM(MID('R.M Billets Reports'!D2871,SEARCH("-",'R.M Billets Reports'!D2871)+1,200)),"")),IF(ISNUMBER(SEARCH("Party Name:-",'R.M Billets Reports'!D2872)),TRIM('R.M Billets Reports'!F2872),IF(ISNUMBER(SEARCH("Party Name-",'R.M Billets Reports'!D2872)),TRIM(MID('R.M Billets Reports'!D2872,SEARCH("-",'R.M Billets Reports'!D2872)+1,200)),"")))))),IF(ROW()=2,"",A2871))</f>
      </c>
      <c r="B2872">
        <f>IF(OR('R.M Billets Reports'!A2871="Date-",'R.M Billets Reports'!A2871="Date:-"),'R.M Billets Reports'!B2871,IF(ROW()=2,"",B2871))</f>
      </c>
      <c r="C2872">
        <f>IF('R.M Billets Reports'!A2871="V.No.",'R.M Billets Reports'!B2871,IF(ROW()=2,"",C2871))</f>
      </c>
      <c r="D2872">
        <f>IF('R.M Billets Reports'!A2871&lt;&gt;"",'R.M Billets Reports'!A2871,IF(ROW()=2,"",D2871))</f>
      </c>
      <c r="E2872">
        <f>IF('R.M Billets Reports'!B2871="","",TRIM('R.M Billets Reports'!B2871))</f>
      </c>
      <c r="F2872">
        <f>'R.M Billets Reports'!C2871</f>
      </c>
      <c r="G2872">
        <f>'R.M Billets Reports'!D2871</f>
      </c>
      <c r="H2872">
        <f>'R.M Billets Reports'!E2871</f>
      </c>
      <c r="I2872">
        <f>'R.M Billets Reports'!F2871</f>
      </c>
      <c r="J2872">
        <f>'R.M Billets Reports'!G2871</f>
      </c>
      <c r="K2872">
        <f>'R.M Billets Reports'!H2871</f>
      </c>
      <c r="L2872">
        <f>IF('R.M Billets Reports'!I2871="","",'R.M Billets Reports'!I2871)</f>
      </c>
      <c r="M2872">
        <f t="shared" si="88"/>
      </c>
      <c r="N2872">
        <f>IF('R.M Billets Reports'!J2871="","",'R.M Billets Reports'!J2871)</f>
      </c>
      <c r="O2872">
        <f t="shared" si="89"/>
      </c>
      <c r="P2872">
        <f>IF('R.M Billets Reports'!A2871="SIZE",'R.M Billets Reports'!B2871,P2871)</f>
      </c>
    </row>
    <row r="2873" spans="1:16" x14ac:dyDescent="0.25">
      <c r="A2873">
        <f>IF(OR('R.M Billets Reports'!A2872="Date-",'R.M Billets Reports'!A2872="Date:-"),IF(IF(IF(ISNUMBER(SEARCH("Party Name:-",'R.M Billets Reports'!D2872)),TRIM('R.M Billets Reports'!F2872),IF(ISNUMBER(SEARCH("Party Name-",'R.M Billets Reports'!D2872)),TRIM(MID('R.M Billets Reports'!D2872,SEARCH("-",'R.M Billets Reports'!D2872)+1,200)),""))&lt;&gt;"",IF(ISNUMBER(SEARCH("Party Name:-",'R.M Billets Reports'!D2872)),TRIM('R.M Billets Reports'!F2872),IF(ISNUMBER(SEARCH("Party Name-",'R.M Billets Reports'!D2872)),TRIM(MID('R.M Billets Reports'!D2872,SEARCH("-",'R.M Billets Reports'!D2872)+1,200)),"")),IF(ISNUMBER(SEARCH("Party Name:-",'R.M Billets Reports'!D2873)),TRIM('R.M Billets Reports'!F2873),IF(ISNUMBER(SEARCH("Party Name-",'R.M Billets Reports'!D2873)),TRIM(MID('R.M Billets Reports'!D2873,SEARCH("-",'R.M Billets Reports'!D2873)+1,200)),"")))="VRKP ISPAT PVT LTD","VRKP",IF(IF(IF(ISNUMBER(SEARCH("Party Name:-",'R.M Billets Reports'!D2872)),TRIM('R.M Billets Reports'!F2872),IF(ISNUMBER(SEARCH("Party Name-",'R.M Billets Reports'!D2872)),TRIM(MID('R.M Billets Reports'!D2872,SEARCH("-",'R.M Billets Reports'!D2872)+1,200)),""))&lt;&gt;"",IF(ISNUMBER(SEARCH("Party Name:-",'R.M Billets Reports'!D2872)),TRIM('R.M Billets Reports'!F2872),IF(ISNUMBER(SEARCH("Party Name-",'R.M Billets Reports'!D2872)),TRIM(MID('R.M Billets Reports'!D2872,SEARCH("-",'R.M Billets Reports'!D2872)+1,200)),"")),IF(ISNUMBER(SEARCH("Party Name:-",'R.M Billets Reports'!D2873)),TRIM('R.M Billets Reports'!F2873),IF(ISNUMBER(SEARCH("Party Name-",'R.M Billets Reports'!D2873)),TRIM(MID('R.M Billets Reports'!D2873,SEARCH("-",'R.M Billets Reports'!D2873)+1,200)),"")))="SHRI RADHE","SHREE RADHE",IF(IF(IF(ISNUMBER(SEARCH("Party Name:-",'R.M Billets Reports'!D2872)),TRIM('R.M Billets Reports'!F2872),IF(ISNUMBER(SEARCH("Party Name-",'R.M Billets Reports'!D2872)),TRIM(MID('R.M Billets Reports'!D2872,SEARCH("-",'R.M Billets Reports'!D2872)+1,200)),""))&lt;&gt;"",IF(ISNUMBER(SEARCH("Party Name:-",'R.M Billets Reports'!D2872)),TRIM('R.M Billets Reports'!F2872),IF(ISNUMBER(SEARCH("Party Name-",'R.M Billets Reports'!D2872)),TRIM(MID('R.M Billets Reports'!D2872,SEARCH("-",'R.M Billets Reports'!D2872)+1,200)),"")),IF(ISNUMBER(SEARCH("Party Name:-",'R.M Billets Reports'!D2873)),TRIM('R.M Billets Reports'!F2873),IF(ISNUMBER(SEARCH("Party Name-",'R.M Billets Reports'!D2873)),TRIM(MID('R.M Billets Reports'!D2873,SEARCH("-",'R.M Billets Reports'!D2873)+1,200)),"")))="SHREE RADHE SHAKTI SPONGE AND POWER PVT. LTD.","SHREE RADHE",IF(IF(ISNUMBER(SEARCH("Party Name:-",'R.M Billets Reports'!D2872)),TRIM('R.M Billets Reports'!F2872),IF(ISNUMBER(SEARCH("Party Name-",'R.M Billets Reports'!D2872)),TRIM(MID('R.M Billets Reports'!D2872,SEARCH("-",'R.M Billets Reports'!D2872)+1,200)),""))&lt;&gt;"",IF(ISNUMBER(SEARCH("Party Name:-",'R.M Billets Reports'!D2872)),TRIM('R.M Billets Reports'!F2872),IF(ISNUMBER(SEARCH("Party Name-",'R.M Billets Reports'!D2872)),TRIM(MID('R.M Billets Reports'!D2872,SEARCH("-",'R.M Billets Reports'!D2872)+1,200)),"")),IF(ISNUMBER(SEARCH("Party Name:-",'R.M Billets Reports'!D2873)),TRIM('R.M Billets Reports'!F2873),IF(ISNUMBER(SEARCH("Party Name-",'R.M Billets Reports'!D2873)),TRIM(MID('R.M Billets Reports'!D2873,SEARCH("-",'R.M Billets Reports'!D2873)+1,200)),"")))))),IF(ROW()=2,"",A2872))</f>
      </c>
      <c r="B2873">
        <f>IF(OR('R.M Billets Reports'!A2872="Date-",'R.M Billets Reports'!A2872="Date:-"),'R.M Billets Reports'!B2872,IF(ROW()=2,"",B2872))</f>
      </c>
      <c r="C2873">
        <f>IF('R.M Billets Reports'!A2872="V.No.",'R.M Billets Reports'!B2872,IF(ROW()=2,"",C2872))</f>
      </c>
      <c r="D2873">
        <f>IF('R.M Billets Reports'!A2872&lt;&gt;"",'R.M Billets Reports'!A2872,IF(ROW()=2,"",D2872))</f>
      </c>
      <c r="E2873">
        <f>IF('R.M Billets Reports'!B2872="","",TRIM('R.M Billets Reports'!B2872))</f>
      </c>
      <c r="F2873">
        <f>'R.M Billets Reports'!C2872</f>
      </c>
      <c r="G2873">
        <f>'R.M Billets Reports'!D2872</f>
      </c>
      <c r="H2873">
        <f>'R.M Billets Reports'!E2872</f>
      </c>
      <c r="I2873">
        <f>'R.M Billets Reports'!F2872</f>
      </c>
      <c r="J2873">
        <f>'R.M Billets Reports'!G2872</f>
      </c>
      <c r="K2873">
        <f>'R.M Billets Reports'!H2872</f>
      </c>
      <c r="L2873">
        <f>IF('R.M Billets Reports'!I2872="","",'R.M Billets Reports'!I2872)</f>
      </c>
      <c r="M2873">
        <f t="shared" si="88"/>
      </c>
      <c r="N2873">
        <f>IF('R.M Billets Reports'!J2872="","",'R.M Billets Reports'!J2872)</f>
      </c>
      <c r="O2873">
        <f t="shared" si="89"/>
      </c>
      <c r="P2873">
        <f>IF('R.M Billets Reports'!A2872="SIZE",'R.M Billets Reports'!B2872,P2872)</f>
      </c>
    </row>
    <row r="2874" spans="1:16" x14ac:dyDescent="0.25">
      <c r="A2874">
        <f>IF(OR('R.M Billets Reports'!A2873="Date-",'R.M Billets Reports'!A2873="Date:-"),IF(IF(IF(ISNUMBER(SEARCH("Party Name:-",'R.M Billets Reports'!D2873)),TRIM('R.M Billets Reports'!F2873),IF(ISNUMBER(SEARCH("Party Name-",'R.M Billets Reports'!D2873)),TRIM(MID('R.M Billets Reports'!D2873,SEARCH("-",'R.M Billets Reports'!D2873)+1,200)),""))&lt;&gt;"",IF(ISNUMBER(SEARCH("Party Name:-",'R.M Billets Reports'!D2873)),TRIM('R.M Billets Reports'!F2873),IF(ISNUMBER(SEARCH("Party Name-",'R.M Billets Reports'!D2873)),TRIM(MID('R.M Billets Reports'!D2873,SEARCH("-",'R.M Billets Reports'!D2873)+1,200)),"")),IF(ISNUMBER(SEARCH("Party Name:-",'R.M Billets Reports'!D2874)),TRIM('R.M Billets Reports'!F2874),IF(ISNUMBER(SEARCH("Party Name-",'R.M Billets Reports'!D2874)),TRIM(MID('R.M Billets Reports'!D2874,SEARCH("-",'R.M Billets Reports'!D2874)+1,200)),"")))="VRKP ISPAT PVT LTD","VRKP",IF(IF(IF(ISNUMBER(SEARCH("Party Name:-",'R.M Billets Reports'!D2873)),TRIM('R.M Billets Reports'!F2873),IF(ISNUMBER(SEARCH("Party Name-",'R.M Billets Reports'!D2873)),TRIM(MID('R.M Billets Reports'!D2873,SEARCH("-",'R.M Billets Reports'!D2873)+1,200)),""))&lt;&gt;"",IF(ISNUMBER(SEARCH("Party Name:-",'R.M Billets Reports'!D2873)),TRIM('R.M Billets Reports'!F2873),IF(ISNUMBER(SEARCH("Party Name-",'R.M Billets Reports'!D2873)),TRIM(MID('R.M Billets Reports'!D2873,SEARCH("-",'R.M Billets Reports'!D2873)+1,200)),"")),IF(ISNUMBER(SEARCH("Party Name:-",'R.M Billets Reports'!D2874)),TRIM('R.M Billets Reports'!F2874),IF(ISNUMBER(SEARCH("Party Name-",'R.M Billets Reports'!D2874)),TRIM(MID('R.M Billets Reports'!D2874,SEARCH("-",'R.M Billets Reports'!D2874)+1,200)),"")))="SHRI RADHE","SHREE RADHE",IF(IF(IF(ISNUMBER(SEARCH("Party Name:-",'R.M Billets Reports'!D2873)),TRIM('R.M Billets Reports'!F2873),IF(ISNUMBER(SEARCH("Party Name-",'R.M Billets Reports'!D2873)),TRIM(MID('R.M Billets Reports'!D2873,SEARCH("-",'R.M Billets Reports'!D2873)+1,200)),""))&lt;&gt;"",IF(ISNUMBER(SEARCH("Party Name:-",'R.M Billets Reports'!D2873)),TRIM('R.M Billets Reports'!F2873),IF(ISNUMBER(SEARCH("Party Name-",'R.M Billets Reports'!D2873)),TRIM(MID('R.M Billets Reports'!D2873,SEARCH("-",'R.M Billets Reports'!D2873)+1,200)),"")),IF(ISNUMBER(SEARCH("Party Name:-",'R.M Billets Reports'!D2874)),TRIM('R.M Billets Reports'!F2874),IF(ISNUMBER(SEARCH("Party Name-",'R.M Billets Reports'!D2874)),TRIM(MID('R.M Billets Reports'!D2874,SEARCH("-",'R.M Billets Reports'!D2874)+1,200)),"")))="SHREE RADHE SHAKTI SPONGE AND POWER PVT. LTD.","SHREE RADHE",IF(IF(ISNUMBER(SEARCH("Party Name:-",'R.M Billets Reports'!D2873)),TRIM('R.M Billets Reports'!F2873),IF(ISNUMBER(SEARCH("Party Name-",'R.M Billets Reports'!D2873)),TRIM(MID('R.M Billets Reports'!D2873,SEARCH("-",'R.M Billets Reports'!D2873)+1,200)),""))&lt;&gt;"",IF(ISNUMBER(SEARCH("Party Name:-",'R.M Billets Reports'!D2873)),TRIM('R.M Billets Reports'!F2873),IF(ISNUMBER(SEARCH("Party Name-",'R.M Billets Reports'!D2873)),TRIM(MID('R.M Billets Reports'!D2873,SEARCH("-",'R.M Billets Reports'!D2873)+1,200)),"")),IF(ISNUMBER(SEARCH("Party Name:-",'R.M Billets Reports'!D2874)),TRIM('R.M Billets Reports'!F2874),IF(ISNUMBER(SEARCH("Party Name-",'R.M Billets Reports'!D2874)),TRIM(MID('R.M Billets Reports'!D2874,SEARCH("-",'R.M Billets Reports'!D2874)+1,200)),"")))))),IF(ROW()=2,"",A2873))</f>
      </c>
      <c r="B2874">
        <f>IF(OR('R.M Billets Reports'!A2873="Date-",'R.M Billets Reports'!A2873="Date:-"),'R.M Billets Reports'!B2873,IF(ROW()=2,"",B2873))</f>
      </c>
      <c r="C2874">
        <f>IF('R.M Billets Reports'!A2873="V.No.",'R.M Billets Reports'!B2873,IF(ROW()=2,"",C2873))</f>
      </c>
      <c r="D2874">
        <f>IF('R.M Billets Reports'!A2873&lt;&gt;"",'R.M Billets Reports'!A2873,IF(ROW()=2,"",D2873))</f>
      </c>
      <c r="E2874">
        <f>IF('R.M Billets Reports'!B2873="","",TRIM('R.M Billets Reports'!B2873))</f>
      </c>
      <c r="F2874">
        <f>'R.M Billets Reports'!C2873</f>
      </c>
      <c r="G2874">
        <f>'R.M Billets Reports'!D2873</f>
      </c>
      <c r="H2874">
        <f>'R.M Billets Reports'!E2873</f>
      </c>
      <c r="I2874">
        <f>'R.M Billets Reports'!F2873</f>
      </c>
      <c r="J2874">
        <f>'R.M Billets Reports'!G2873</f>
      </c>
      <c r="K2874">
        <f>'R.M Billets Reports'!H2873</f>
      </c>
      <c r="L2874">
        <f>IF('R.M Billets Reports'!I2873="","",'R.M Billets Reports'!I2873)</f>
      </c>
      <c r="M2874">
        <f t="shared" si="88"/>
      </c>
      <c r="N2874">
        <f>IF('R.M Billets Reports'!J2873="","",'R.M Billets Reports'!J2873)</f>
      </c>
      <c r="O2874">
        <f t="shared" si="89"/>
      </c>
      <c r="P2874">
        <f>IF('R.M Billets Reports'!A2873="SIZE",'R.M Billets Reports'!B2873,P2873)</f>
      </c>
    </row>
    <row r="2875" spans="1:16" x14ac:dyDescent="0.25">
      <c r="A2875">
        <f>IF(OR('R.M Billets Reports'!A2874="Date-",'R.M Billets Reports'!A2874="Date:-"),IF(IF(IF(ISNUMBER(SEARCH("Party Name:-",'R.M Billets Reports'!D2874)),TRIM('R.M Billets Reports'!F2874),IF(ISNUMBER(SEARCH("Party Name-",'R.M Billets Reports'!D2874)),TRIM(MID('R.M Billets Reports'!D2874,SEARCH("-",'R.M Billets Reports'!D2874)+1,200)),""))&lt;&gt;"",IF(ISNUMBER(SEARCH("Party Name:-",'R.M Billets Reports'!D2874)),TRIM('R.M Billets Reports'!F2874),IF(ISNUMBER(SEARCH("Party Name-",'R.M Billets Reports'!D2874)),TRIM(MID('R.M Billets Reports'!D2874,SEARCH("-",'R.M Billets Reports'!D2874)+1,200)),"")),IF(ISNUMBER(SEARCH("Party Name:-",'R.M Billets Reports'!D2875)),TRIM('R.M Billets Reports'!F2875),IF(ISNUMBER(SEARCH("Party Name-",'R.M Billets Reports'!D2875)),TRIM(MID('R.M Billets Reports'!D2875,SEARCH("-",'R.M Billets Reports'!D2875)+1,200)),"")))="VRKP ISPAT PVT LTD","VRKP",IF(IF(IF(ISNUMBER(SEARCH("Party Name:-",'R.M Billets Reports'!D2874)),TRIM('R.M Billets Reports'!F2874),IF(ISNUMBER(SEARCH("Party Name-",'R.M Billets Reports'!D2874)),TRIM(MID('R.M Billets Reports'!D2874,SEARCH("-",'R.M Billets Reports'!D2874)+1,200)),""))&lt;&gt;"",IF(ISNUMBER(SEARCH("Party Name:-",'R.M Billets Reports'!D2874)),TRIM('R.M Billets Reports'!F2874),IF(ISNUMBER(SEARCH("Party Name-",'R.M Billets Reports'!D2874)),TRIM(MID('R.M Billets Reports'!D2874,SEARCH("-",'R.M Billets Reports'!D2874)+1,200)),"")),IF(ISNUMBER(SEARCH("Party Name:-",'R.M Billets Reports'!D2875)),TRIM('R.M Billets Reports'!F2875),IF(ISNUMBER(SEARCH("Party Name-",'R.M Billets Reports'!D2875)),TRIM(MID('R.M Billets Reports'!D2875,SEARCH("-",'R.M Billets Reports'!D2875)+1,200)),"")))="SHRI RADHE","SHREE RADHE",IF(IF(IF(ISNUMBER(SEARCH("Party Name:-",'R.M Billets Reports'!D2874)),TRIM('R.M Billets Reports'!F2874),IF(ISNUMBER(SEARCH("Party Name-",'R.M Billets Reports'!D2874)),TRIM(MID('R.M Billets Reports'!D2874,SEARCH("-",'R.M Billets Reports'!D2874)+1,200)),""))&lt;&gt;"",IF(ISNUMBER(SEARCH("Party Name:-",'R.M Billets Reports'!D2874)),TRIM('R.M Billets Reports'!F2874),IF(ISNUMBER(SEARCH("Party Name-",'R.M Billets Reports'!D2874)),TRIM(MID('R.M Billets Reports'!D2874,SEARCH("-",'R.M Billets Reports'!D2874)+1,200)),"")),IF(ISNUMBER(SEARCH("Party Name:-",'R.M Billets Reports'!D2875)),TRIM('R.M Billets Reports'!F2875),IF(ISNUMBER(SEARCH("Party Name-",'R.M Billets Reports'!D2875)),TRIM(MID('R.M Billets Reports'!D2875,SEARCH("-",'R.M Billets Reports'!D2875)+1,200)),"")))="SHREE RADHE SHAKTI SPONGE AND POWER PVT. LTD.","SHREE RADHE",IF(IF(ISNUMBER(SEARCH("Party Name:-",'R.M Billets Reports'!D2874)),TRIM('R.M Billets Reports'!F2874),IF(ISNUMBER(SEARCH("Party Name-",'R.M Billets Reports'!D2874)),TRIM(MID('R.M Billets Reports'!D2874,SEARCH("-",'R.M Billets Reports'!D2874)+1,200)),""))&lt;&gt;"",IF(ISNUMBER(SEARCH("Party Name:-",'R.M Billets Reports'!D2874)),TRIM('R.M Billets Reports'!F2874),IF(ISNUMBER(SEARCH("Party Name-",'R.M Billets Reports'!D2874)),TRIM(MID('R.M Billets Reports'!D2874,SEARCH("-",'R.M Billets Reports'!D2874)+1,200)),"")),IF(ISNUMBER(SEARCH("Party Name:-",'R.M Billets Reports'!D2875)),TRIM('R.M Billets Reports'!F2875),IF(ISNUMBER(SEARCH("Party Name-",'R.M Billets Reports'!D2875)),TRIM(MID('R.M Billets Reports'!D2875,SEARCH("-",'R.M Billets Reports'!D2875)+1,200)),"")))))),IF(ROW()=2,"",A2874))</f>
      </c>
      <c r="B2875">
        <f>IF(OR('R.M Billets Reports'!A2874="Date-",'R.M Billets Reports'!A2874="Date:-"),'R.M Billets Reports'!B2874,IF(ROW()=2,"",B2874))</f>
      </c>
      <c r="C2875">
        <f>IF('R.M Billets Reports'!A2874="V.No.",'R.M Billets Reports'!B2874,IF(ROW()=2,"",C2874))</f>
      </c>
      <c r="D2875">
        <f>IF('R.M Billets Reports'!A2874&lt;&gt;"",'R.M Billets Reports'!A2874,IF(ROW()=2,"",D2874))</f>
      </c>
      <c r="E2875">
        <f>IF('R.M Billets Reports'!B2874="","",TRIM('R.M Billets Reports'!B2874))</f>
      </c>
      <c r="F2875">
        <f>'R.M Billets Reports'!C2874</f>
      </c>
      <c r="G2875">
        <f>'R.M Billets Reports'!D2874</f>
      </c>
      <c r="H2875">
        <f>'R.M Billets Reports'!E2874</f>
      </c>
      <c r="I2875">
        <f>'R.M Billets Reports'!F2874</f>
      </c>
      <c r="J2875">
        <f>'R.M Billets Reports'!G2874</f>
      </c>
      <c r="K2875">
        <f>'R.M Billets Reports'!H2874</f>
      </c>
      <c r="L2875">
        <f>IF('R.M Billets Reports'!I2874="","",'R.M Billets Reports'!I2874)</f>
      </c>
      <c r="M2875">
        <f t="shared" si="88"/>
      </c>
      <c r="N2875">
        <f>IF('R.M Billets Reports'!J2874="","",'R.M Billets Reports'!J2874)</f>
      </c>
      <c r="O2875">
        <f t="shared" si="89"/>
      </c>
      <c r="P2875">
        <f>IF('R.M Billets Reports'!A2874="SIZE",'R.M Billets Reports'!B2874,P2874)</f>
      </c>
    </row>
    <row r="2876" spans="1:16" x14ac:dyDescent="0.25">
      <c r="A2876">
        <f>IF(OR('R.M Billets Reports'!A2875="Date-",'R.M Billets Reports'!A2875="Date:-"),IF(IF(IF(ISNUMBER(SEARCH("Party Name:-",'R.M Billets Reports'!D2875)),TRIM('R.M Billets Reports'!F2875),IF(ISNUMBER(SEARCH("Party Name-",'R.M Billets Reports'!D2875)),TRIM(MID('R.M Billets Reports'!D2875,SEARCH("-",'R.M Billets Reports'!D2875)+1,200)),""))&lt;&gt;"",IF(ISNUMBER(SEARCH("Party Name:-",'R.M Billets Reports'!D2875)),TRIM('R.M Billets Reports'!F2875),IF(ISNUMBER(SEARCH("Party Name-",'R.M Billets Reports'!D2875)),TRIM(MID('R.M Billets Reports'!D2875,SEARCH("-",'R.M Billets Reports'!D2875)+1,200)),"")),IF(ISNUMBER(SEARCH("Party Name:-",'R.M Billets Reports'!D2876)),TRIM('R.M Billets Reports'!F2876),IF(ISNUMBER(SEARCH("Party Name-",'R.M Billets Reports'!D2876)),TRIM(MID('R.M Billets Reports'!D2876,SEARCH("-",'R.M Billets Reports'!D2876)+1,200)),"")))="VRKP ISPAT PVT LTD","VRKP",IF(IF(IF(ISNUMBER(SEARCH("Party Name:-",'R.M Billets Reports'!D2875)),TRIM('R.M Billets Reports'!F2875),IF(ISNUMBER(SEARCH("Party Name-",'R.M Billets Reports'!D2875)),TRIM(MID('R.M Billets Reports'!D2875,SEARCH("-",'R.M Billets Reports'!D2875)+1,200)),""))&lt;&gt;"",IF(ISNUMBER(SEARCH("Party Name:-",'R.M Billets Reports'!D2875)),TRIM('R.M Billets Reports'!F2875),IF(ISNUMBER(SEARCH("Party Name-",'R.M Billets Reports'!D2875)),TRIM(MID('R.M Billets Reports'!D2875,SEARCH("-",'R.M Billets Reports'!D2875)+1,200)),"")),IF(ISNUMBER(SEARCH("Party Name:-",'R.M Billets Reports'!D2876)),TRIM('R.M Billets Reports'!F2876),IF(ISNUMBER(SEARCH("Party Name-",'R.M Billets Reports'!D2876)),TRIM(MID('R.M Billets Reports'!D2876,SEARCH("-",'R.M Billets Reports'!D2876)+1,200)),"")))="SHRI RADHE","SHREE RADHE",IF(IF(IF(ISNUMBER(SEARCH("Party Name:-",'R.M Billets Reports'!D2875)),TRIM('R.M Billets Reports'!F2875),IF(ISNUMBER(SEARCH("Party Name-",'R.M Billets Reports'!D2875)),TRIM(MID('R.M Billets Reports'!D2875,SEARCH("-",'R.M Billets Reports'!D2875)+1,200)),""))&lt;&gt;"",IF(ISNUMBER(SEARCH("Party Name:-",'R.M Billets Reports'!D2875)),TRIM('R.M Billets Reports'!F2875),IF(ISNUMBER(SEARCH("Party Name-",'R.M Billets Reports'!D2875)),TRIM(MID('R.M Billets Reports'!D2875,SEARCH("-",'R.M Billets Reports'!D2875)+1,200)),"")),IF(ISNUMBER(SEARCH("Party Name:-",'R.M Billets Reports'!D2876)),TRIM('R.M Billets Reports'!F2876),IF(ISNUMBER(SEARCH("Party Name-",'R.M Billets Reports'!D2876)),TRIM(MID('R.M Billets Reports'!D2876,SEARCH("-",'R.M Billets Reports'!D2876)+1,200)),"")))="SHREE RADHE SHAKTI SPONGE AND POWER PVT. LTD.","SHREE RADHE",IF(IF(ISNUMBER(SEARCH("Party Name:-",'R.M Billets Reports'!D2875)),TRIM('R.M Billets Reports'!F2875),IF(ISNUMBER(SEARCH("Party Name-",'R.M Billets Reports'!D2875)),TRIM(MID('R.M Billets Reports'!D2875,SEARCH("-",'R.M Billets Reports'!D2875)+1,200)),""))&lt;&gt;"",IF(ISNUMBER(SEARCH("Party Name:-",'R.M Billets Reports'!D2875)),TRIM('R.M Billets Reports'!F2875),IF(ISNUMBER(SEARCH("Party Name-",'R.M Billets Reports'!D2875)),TRIM(MID('R.M Billets Reports'!D2875,SEARCH("-",'R.M Billets Reports'!D2875)+1,200)),"")),IF(ISNUMBER(SEARCH("Party Name:-",'R.M Billets Reports'!D2876)),TRIM('R.M Billets Reports'!F2876),IF(ISNUMBER(SEARCH("Party Name-",'R.M Billets Reports'!D2876)),TRIM(MID('R.M Billets Reports'!D2876,SEARCH("-",'R.M Billets Reports'!D2876)+1,200)),"")))))),IF(ROW()=2,"",A2875))</f>
      </c>
      <c r="B2876">
        <f>IF(OR('R.M Billets Reports'!A2875="Date-",'R.M Billets Reports'!A2875="Date:-"),'R.M Billets Reports'!B2875,IF(ROW()=2,"",B2875))</f>
      </c>
      <c r="C2876">
        <f>IF('R.M Billets Reports'!A2875="V.No.",'R.M Billets Reports'!B2875,IF(ROW()=2,"",C2875))</f>
      </c>
      <c r="D2876">
        <f>IF('R.M Billets Reports'!A2875&lt;&gt;"",'R.M Billets Reports'!A2875,IF(ROW()=2,"",D2875))</f>
      </c>
      <c r="E2876">
        <f>IF('R.M Billets Reports'!B2875="","",TRIM('R.M Billets Reports'!B2875))</f>
      </c>
      <c r="F2876">
        <f>'R.M Billets Reports'!C2875</f>
      </c>
      <c r="G2876">
        <f>'R.M Billets Reports'!D2875</f>
      </c>
      <c r="H2876">
        <f>'R.M Billets Reports'!E2875</f>
      </c>
      <c r="I2876">
        <f>'R.M Billets Reports'!F2875</f>
      </c>
      <c r="J2876">
        <f>'R.M Billets Reports'!G2875</f>
      </c>
      <c r="K2876">
        <f>'R.M Billets Reports'!H2875</f>
      </c>
      <c r="L2876">
        <f>IF('R.M Billets Reports'!I2875="","",'R.M Billets Reports'!I2875)</f>
      </c>
      <c r="M2876">
        <f t="shared" si="88"/>
      </c>
      <c r="N2876">
        <f>IF('R.M Billets Reports'!J2875="","",'R.M Billets Reports'!J2875)</f>
      </c>
      <c r="O2876">
        <f t="shared" si="89"/>
      </c>
      <c r="P2876">
        <f>IF('R.M Billets Reports'!A2875="SIZE",'R.M Billets Reports'!B2875,P2875)</f>
      </c>
    </row>
    <row r="2877" spans="1:16" x14ac:dyDescent="0.25">
      <c r="A2877">
        <f>IF(OR('R.M Billets Reports'!A2876="Date-",'R.M Billets Reports'!A2876="Date:-"),IF(IF(IF(ISNUMBER(SEARCH("Party Name:-",'R.M Billets Reports'!D2876)),TRIM('R.M Billets Reports'!F2876),IF(ISNUMBER(SEARCH("Party Name-",'R.M Billets Reports'!D2876)),TRIM(MID('R.M Billets Reports'!D2876,SEARCH("-",'R.M Billets Reports'!D2876)+1,200)),""))&lt;&gt;"",IF(ISNUMBER(SEARCH("Party Name:-",'R.M Billets Reports'!D2876)),TRIM('R.M Billets Reports'!F2876),IF(ISNUMBER(SEARCH("Party Name-",'R.M Billets Reports'!D2876)),TRIM(MID('R.M Billets Reports'!D2876,SEARCH("-",'R.M Billets Reports'!D2876)+1,200)),"")),IF(ISNUMBER(SEARCH("Party Name:-",'R.M Billets Reports'!D2877)),TRIM('R.M Billets Reports'!F2877),IF(ISNUMBER(SEARCH("Party Name-",'R.M Billets Reports'!D2877)),TRIM(MID('R.M Billets Reports'!D2877,SEARCH("-",'R.M Billets Reports'!D2877)+1,200)),"")))="VRKP ISPAT PVT LTD","VRKP",IF(IF(IF(ISNUMBER(SEARCH("Party Name:-",'R.M Billets Reports'!D2876)),TRIM('R.M Billets Reports'!F2876),IF(ISNUMBER(SEARCH("Party Name-",'R.M Billets Reports'!D2876)),TRIM(MID('R.M Billets Reports'!D2876,SEARCH("-",'R.M Billets Reports'!D2876)+1,200)),""))&lt;&gt;"",IF(ISNUMBER(SEARCH("Party Name:-",'R.M Billets Reports'!D2876)),TRIM('R.M Billets Reports'!F2876),IF(ISNUMBER(SEARCH("Party Name-",'R.M Billets Reports'!D2876)),TRIM(MID('R.M Billets Reports'!D2876,SEARCH("-",'R.M Billets Reports'!D2876)+1,200)),"")),IF(ISNUMBER(SEARCH("Party Name:-",'R.M Billets Reports'!D2877)),TRIM('R.M Billets Reports'!F2877),IF(ISNUMBER(SEARCH("Party Name-",'R.M Billets Reports'!D2877)),TRIM(MID('R.M Billets Reports'!D2877,SEARCH("-",'R.M Billets Reports'!D2877)+1,200)),"")))="SHRI RADHE","SHREE RADHE",IF(IF(IF(ISNUMBER(SEARCH("Party Name:-",'R.M Billets Reports'!D2876)),TRIM('R.M Billets Reports'!F2876),IF(ISNUMBER(SEARCH("Party Name-",'R.M Billets Reports'!D2876)),TRIM(MID('R.M Billets Reports'!D2876,SEARCH("-",'R.M Billets Reports'!D2876)+1,200)),""))&lt;&gt;"",IF(ISNUMBER(SEARCH("Party Name:-",'R.M Billets Reports'!D2876)),TRIM('R.M Billets Reports'!F2876),IF(ISNUMBER(SEARCH("Party Name-",'R.M Billets Reports'!D2876)),TRIM(MID('R.M Billets Reports'!D2876,SEARCH("-",'R.M Billets Reports'!D2876)+1,200)),"")),IF(ISNUMBER(SEARCH("Party Name:-",'R.M Billets Reports'!D2877)),TRIM('R.M Billets Reports'!F2877),IF(ISNUMBER(SEARCH("Party Name-",'R.M Billets Reports'!D2877)),TRIM(MID('R.M Billets Reports'!D2877,SEARCH("-",'R.M Billets Reports'!D2877)+1,200)),"")))="SHREE RADHE SHAKTI SPONGE AND POWER PVT. LTD.","SHREE RADHE",IF(IF(ISNUMBER(SEARCH("Party Name:-",'R.M Billets Reports'!D2876)),TRIM('R.M Billets Reports'!F2876),IF(ISNUMBER(SEARCH("Party Name-",'R.M Billets Reports'!D2876)),TRIM(MID('R.M Billets Reports'!D2876,SEARCH("-",'R.M Billets Reports'!D2876)+1,200)),""))&lt;&gt;"",IF(ISNUMBER(SEARCH("Party Name:-",'R.M Billets Reports'!D2876)),TRIM('R.M Billets Reports'!F2876),IF(ISNUMBER(SEARCH("Party Name-",'R.M Billets Reports'!D2876)),TRIM(MID('R.M Billets Reports'!D2876,SEARCH("-",'R.M Billets Reports'!D2876)+1,200)),"")),IF(ISNUMBER(SEARCH("Party Name:-",'R.M Billets Reports'!D2877)),TRIM('R.M Billets Reports'!F2877),IF(ISNUMBER(SEARCH("Party Name-",'R.M Billets Reports'!D2877)),TRIM(MID('R.M Billets Reports'!D2877,SEARCH("-",'R.M Billets Reports'!D2877)+1,200)),"")))))),IF(ROW()=2,"",A2876))</f>
      </c>
      <c r="B2877">
        <f>IF(OR('R.M Billets Reports'!A2876="Date-",'R.M Billets Reports'!A2876="Date:-"),'R.M Billets Reports'!B2876,IF(ROW()=2,"",B2876))</f>
      </c>
      <c r="C2877">
        <f>IF('R.M Billets Reports'!A2876="V.No.",'R.M Billets Reports'!B2876,IF(ROW()=2,"",C2876))</f>
      </c>
      <c r="D2877">
        <f>IF('R.M Billets Reports'!A2876&lt;&gt;"",'R.M Billets Reports'!A2876,IF(ROW()=2,"",D2876))</f>
      </c>
      <c r="E2877">
        <f>IF('R.M Billets Reports'!B2876="","",TRIM('R.M Billets Reports'!B2876))</f>
      </c>
      <c r="F2877">
        <f>'R.M Billets Reports'!C2876</f>
      </c>
      <c r="G2877">
        <f>'R.M Billets Reports'!D2876</f>
      </c>
      <c r="H2877">
        <f>'R.M Billets Reports'!E2876</f>
      </c>
      <c r="I2877">
        <f>'R.M Billets Reports'!F2876</f>
      </c>
      <c r="J2877">
        <f>'R.M Billets Reports'!G2876</f>
      </c>
      <c r="K2877">
        <f>'R.M Billets Reports'!H2876</f>
      </c>
      <c r="L2877">
        <f>IF('R.M Billets Reports'!I2876="","",'R.M Billets Reports'!I2876)</f>
      </c>
      <c r="M2877">
        <f t="shared" si="88"/>
      </c>
      <c r="N2877">
        <f>IF('R.M Billets Reports'!J2876="","",'R.M Billets Reports'!J2876)</f>
      </c>
      <c r="O2877">
        <f t="shared" si="89"/>
      </c>
      <c r="P2877">
        <f>IF('R.M Billets Reports'!A2876="SIZE",'R.M Billets Reports'!B2876,P2876)</f>
      </c>
    </row>
    <row r="2878" spans="1:16" x14ac:dyDescent="0.25">
      <c r="A2878">
        <f>IF(OR('R.M Billets Reports'!A2877="Date-",'R.M Billets Reports'!A2877="Date:-"),IF(IF(IF(ISNUMBER(SEARCH("Party Name:-",'R.M Billets Reports'!D2877)),TRIM('R.M Billets Reports'!F2877),IF(ISNUMBER(SEARCH("Party Name-",'R.M Billets Reports'!D2877)),TRIM(MID('R.M Billets Reports'!D2877,SEARCH("-",'R.M Billets Reports'!D2877)+1,200)),""))&lt;&gt;"",IF(ISNUMBER(SEARCH("Party Name:-",'R.M Billets Reports'!D2877)),TRIM('R.M Billets Reports'!F2877),IF(ISNUMBER(SEARCH("Party Name-",'R.M Billets Reports'!D2877)),TRIM(MID('R.M Billets Reports'!D2877,SEARCH("-",'R.M Billets Reports'!D2877)+1,200)),"")),IF(ISNUMBER(SEARCH("Party Name:-",'R.M Billets Reports'!D2878)),TRIM('R.M Billets Reports'!F2878),IF(ISNUMBER(SEARCH("Party Name-",'R.M Billets Reports'!D2878)),TRIM(MID('R.M Billets Reports'!D2878,SEARCH("-",'R.M Billets Reports'!D2878)+1,200)),"")))="VRKP ISPAT PVT LTD","VRKP",IF(IF(IF(ISNUMBER(SEARCH("Party Name:-",'R.M Billets Reports'!D2877)),TRIM('R.M Billets Reports'!F2877),IF(ISNUMBER(SEARCH("Party Name-",'R.M Billets Reports'!D2877)),TRIM(MID('R.M Billets Reports'!D2877,SEARCH("-",'R.M Billets Reports'!D2877)+1,200)),""))&lt;&gt;"",IF(ISNUMBER(SEARCH("Party Name:-",'R.M Billets Reports'!D2877)),TRIM('R.M Billets Reports'!F2877),IF(ISNUMBER(SEARCH("Party Name-",'R.M Billets Reports'!D2877)),TRIM(MID('R.M Billets Reports'!D2877,SEARCH("-",'R.M Billets Reports'!D2877)+1,200)),"")),IF(ISNUMBER(SEARCH("Party Name:-",'R.M Billets Reports'!D2878)),TRIM('R.M Billets Reports'!F2878),IF(ISNUMBER(SEARCH("Party Name-",'R.M Billets Reports'!D2878)),TRIM(MID('R.M Billets Reports'!D2878,SEARCH("-",'R.M Billets Reports'!D2878)+1,200)),"")))="SHRI RADHE","SHREE RADHE",IF(IF(IF(ISNUMBER(SEARCH("Party Name:-",'R.M Billets Reports'!D2877)),TRIM('R.M Billets Reports'!F2877),IF(ISNUMBER(SEARCH("Party Name-",'R.M Billets Reports'!D2877)),TRIM(MID('R.M Billets Reports'!D2877,SEARCH("-",'R.M Billets Reports'!D2877)+1,200)),""))&lt;&gt;"",IF(ISNUMBER(SEARCH("Party Name:-",'R.M Billets Reports'!D2877)),TRIM('R.M Billets Reports'!F2877),IF(ISNUMBER(SEARCH("Party Name-",'R.M Billets Reports'!D2877)),TRIM(MID('R.M Billets Reports'!D2877,SEARCH("-",'R.M Billets Reports'!D2877)+1,200)),"")),IF(ISNUMBER(SEARCH("Party Name:-",'R.M Billets Reports'!D2878)),TRIM('R.M Billets Reports'!F2878),IF(ISNUMBER(SEARCH("Party Name-",'R.M Billets Reports'!D2878)),TRIM(MID('R.M Billets Reports'!D2878,SEARCH("-",'R.M Billets Reports'!D2878)+1,200)),"")))="SHREE RADHE SHAKTI SPONGE AND POWER PVT. LTD.","SHREE RADHE",IF(IF(ISNUMBER(SEARCH("Party Name:-",'R.M Billets Reports'!D2877)),TRIM('R.M Billets Reports'!F2877),IF(ISNUMBER(SEARCH("Party Name-",'R.M Billets Reports'!D2877)),TRIM(MID('R.M Billets Reports'!D2877,SEARCH("-",'R.M Billets Reports'!D2877)+1,200)),""))&lt;&gt;"",IF(ISNUMBER(SEARCH("Party Name:-",'R.M Billets Reports'!D2877)),TRIM('R.M Billets Reports'!F2877),IF(ISNUMBER(SEARCH("Party Name-",'R.M Billets Reports'!D2877)),TRIM(MID('R.M Billets Reports'!D2877,SEARCH("-",'R.M Billets Reports'!D2877)+1,200)),"")),IF(ISNUMBER(SEARCH("Party Name:-",'R.M Billets Reports'!D2878)),TRIM('R.M Billets Reports'!F2878),IF(ISNUMBER(SEARCH("Party Name-",'R.M Billets Reports'!D2878)),TRIM(MID('R.M Billets Reports'!D2878,SEARCH("-",'R.M Billets Reports'!D2878)+1,200)),"")))))),IF(ROW()=2,"",A2877))</f>
      </c>
      <c r="B2878">
        <f>IF(OR('R.M Billets Reports'!A2877="Date-",'R.M Billets Reports'!A2877="Date:-"),'R.M Billets Reports'!B2877,IF(ROW()=2,"",B2877))</f>
      </c>
      <c r="C2878">
        <f>IF('R.M Billets Reports'!A2877="V.No.",'R.M Billets Reports'!B2877,IF(ROW()=2,"",C2877))</f>
      </c>
      <c r="D2878">
        <f>IF('R.M Billets Reports'!A2877&lt;&gt;"",'R.M Billets Reports'!A2877,IF(ROW()=2,"",D2877))</f>
      </c>
      <c r="E2878">
        <f>IF('R.M Billets Reports'!B2877="","",TRIM('R.M Billets Reports'!B2877))</f>
      </c>
      <c r="F2878">
        <f>'R.M Billets Reports'!C2877</f>
      </c>
      <c r="G2878">
        <f>'R.M Billets Reports'!D2877</f>
      </c>
      <c r="H2878">
        <f>'R.M Billets Reports'!E2877</f>
      </c>
      <c r="I2878">
        <f>'R.M Billets Reports'!F2877</f>
      </c>
      <c r="J2878">
        <f>'R.M Billets Reports'!G2877</f>
      </c>
      <c r="K2878">
        <f>'R.M Billets Reports'!H2877</f>
      </c>
      <c r="L2878">
        <f>IF('R.M Billets Reports'!I2877="","",'R.M Billets Reports'!I2877)</f>
      </c>
      <c r="M2878">
        <f t="shared" si="88"/>
      </c>
      <c r="N2878">
        <f>IF('R.M Billets Reports'!J2877="","",'R.M Billets Reports'!J2877)</f>
      </c>
      <c r="O2878">
        <f t="shared" si="89"/>
      </c>
      <c r="P2878">
        <f>IF('R.M Billets Reports'!A2877="SIZE",'R.M Billets Reports'!B2877,P2877)</f>
      </c>
    </row>
    <row r="2879" spans="1:16" x14ac:dyDescent="0.25">
      <c r="A2879">
        <f>IF(OR('R.M Billets Reports'!A2878="Date-",'R.M Billets Reports'!A2878="Date:-"),IF(IF(IF(ISNUMBER(SEARCH("Party Name:-",'R.M Billets Reports'!D2878)),TRIM('R.M Billets Reports'!F2878),IF(ISNUMBER(SEARCH("Party Name-",'R.M Billets Reports'!D2878)),TRIM(MID('R.M Billets Reports'!D2878,SEARCH("-",'R.M Billets Reports'!D2878)+1,200)),""))&lt;&gt;"",IF(ISNUMBER(SEARCH("Party Name:-",'R.M Billets Reports'!D2878)),TRIM('R.M Billets Reports'!F2878),IF(ISNUMBER(SEARCH("Party Name-",'R.M Billets Reports'!D2878)),TRIM(MID('R.M Billets Reports'!D2878,SEARCH("-",'R.M Billets Reports'!D2878)+1,200)),"")),IF(ISNUMBER(SEARCH("Party Name:-",'R.M Billets Reports'!D2879)),TRIM('R.M Billets Reports'!F2879),IF(ISNUMBER(SEARCH("Party Name-",'R.M Billets Reports'!D2879)),TRIM(MID('R.M Billets Reports'!D2879,SEARCH("-",'R.M Billets Reports'!D2879)+1,200)),"")))="VRKP ISPAT PVT LTD","VRKP",IF(IF(IF(ISNUMBER(SEARCH("Party Name:-",'R.M Billets Reports'!D2878)),TRIM('R.M Billets Reports'!F2878),IF(ISNUMBER(SEARCH("Party Name-",'R.M Billets Reports'!D2878)),TRIM(MID('R.M Billets Reports'!D2878,SEARCH("-",'R.M Billets Reports'!D2878)+1,200)),""))&lt;&gt;"",IF(ISNUMBER(SEARCH("Party Name:-",'R.M Billets Reports'!D2878)),TRIM('R.M Billets Reports'!F2878),IF(ISNUMBER(SEARCH("Party Name-",'R.M Billets Reports'!D2878)),TRIM(MID('R.M Billets Reports'!D2878,SEARCH("-",'R.M Billets Reports'!D2878)+1,200)),"")),IF(ISNUMBER(SEARCH("Party Name:-",'R.M Billets Reports'!D2879)),TRIM('R.M Billets Reports'!F2879),IF(ISNUMBER(SEARCH("Party Name-",'R.M Billets Reports'!D2879)),TRIM(MID('R.M Billets Reports'!D2879,SEARCH("-",'R.M Billets Reports'!D2879)+1,200)),"")))="SHRI RADHE","SHREE RADHE",IF(IF(IF(ISNUMBER(SEARCH("Party Name:-",'R.M Billets Reports'!D2878)),TRIM('R.M Billets Reports'!F2878),IF(ISNUMBER(SEARCH("Party Name-",'R.M Billets Reports'!D2878)),TRIM(MID('R.M Billets Reports'!D2878,SEARCH("-",'R.M Billets Reports'!D2878)+1,200)),""))&lt;&gt;"",IF(ISNUMBER(SEARCH("Party Name:-",'R.M Billets Reports'!D2878)),TRIM('R.M Billets Reports'!F2878),IF(ISNUMBER(SEARCH("Party Name-",'R.M Billets Reports'!D2878)),TRIM(MID('R.M Billets Reports'!D2878,SEARCH("-",'R.M Billets Reports'!D2878)+1,200)),"")),IF(ISNUMBER(SEARCH("Party Name:-",'R.M Billets Reports'!D2879)),TRIM('R.M Billets Reports'!F2879),IF(ISNUMBER(SEARCH("Party Name-",'R.M Billets Reports'!D2879)),TRIM(MID('R.M Billets Reports'!D2879,SEARCH("-",'R.M Billets Reports'!D2879)+1,200)),"")))="SHREE RADHE SHAKTI SPONGE AND POWER PVT. LTD.","SHREE RADHE",IF(IF(ISNUMBER(SEARCH("Party Name:-",'R.M Billets Reports'!D2878)),TRIM('R.M Billets Reports'!F2878),IF(ISNUMBER(SEARCH("Party Name-",'R.M Billets Reports'!D2878)),TRIM(MID('R.M Billets Reports'!D2878,SEARCH("-",'R.M Billets Reports'!D2878)+1,200)),""))&lt;&gt;"",IF(ISNUMBER(SEARCH("Party Name:-",'R.M Billets Reports'!D2878)),TRIM('R.M Billets Reports'!F2878),IF(ISNUMBER(SEARCH("Party Name-",'R.M Billets Reports'!D2878)),TRIM(MID('R.M Billets Reports'!D2878,SEARCH("-",'R.M Billets Reports'!D2878)+1,200)),"")),IF(ISNUMBER(SEARCH("Party Name:-",'R.M Billets Reports'!D2879)),TRIM('R.M Billets Reports'!F2879),IF(ISNUMBER(SEARCH("Party Name-",'R.M Billets Reports'!D2879)),TRIM(MID('R.M Billets Reports'!D2879,SEARCH("-",'R.M Billets Reports'!D2879)+1,200)),"")))))),IF(ROW()=2,"",A2878))</f>
      </c>
      <c r="B2879">
        <f>IF(OR('R.M Billets Reports'!A2878="Date-",'R.M Billets Reports'!A2878="Date:-"),'R.M Billets Reports'!B2878,IF(ROW()=2,"",B2878))</f>
      </c>
      <c r="C2879">
        <f>IF('R.M Billets Reports'!A2878="V.No.",'R.M Billets Reports'!B2878,IF(ROW()=2,"",C2878))</f>
      </c>
      <c r="D2879">
        <f>IF('R.M Billets Reports'!A2878&lt;&gt;"",'R.M Billets Reports'!A2878,IF(ROW()=2,"",D2878))</f>
      </c>
      <c r="E2879">
        <f>IF('R.M Billets Reports'!B2878="","",TRIM('R.M Billets Reports'!B2878))</f>
      </c>
      <c r="F2879">
        <f>'R.M Billets Reports'!C2878</f>
      </c>
      <c r="G2879">
        <f>'R.M Billets Reports'!D2878</f>
      </c>
      <c r="H2879">
        <f>'R.M Billets Reports'!E2878</f>
      </c>
      <c r="I2879">
        <f>'R.M Billets Reports'!F2878</f>
      </c>
      <c r="J2879">
        <f>'R.M Billets Reports'!G2878</f>
      </c>
      <c r="K2879">
        <f>'R.M Billets Reports'!H2878</f>
      </c>
      <c r="L2879">
        <f>IF('R.M Billets Reports'!I2878="","",'R.M Billets Reports'!I2878)</f>
      </c>
      <c r="M2879">
        <f t="shared" si="88"/>
      </c>
      <c r="N2879">
        <f>IF('R.M Billets Reports'!J2878="","",'R.M Billets Reports'!J2878)</f>
      </c>
      <c r="O2879">
        <f t="shared" si="89"/>
      </c>
      <c r="P2879">
        <f>IF('R.M Billets Reports'!A2878="SIZE",'R.M Billets Reports'!B2878,P2878)</f>
      </c>
    </row>
    <row r="2880" spans="1:16" x14ac:dyDescent="0.25">
      <c r="A2880">
        <f>IF(OR('R.M Billets Reports'!A2879="Date-",'R.M Billets Reports'!A2879="Date:-"),IF(IF(IF(ISNUMBER(SEARCH("Party Name:-",'R.M Billets Reports'!D2879)),TRIM('R.M Billets Reports'!F2879),IF(ISNUMBER(SEARCH("Party Name-",'R.M Billets Reports'!D2879)),TRIM(MID('R.M Billets Reports'!D2879,SEARCH("-",'R.M Billets Reports'!D2879)+1,200)),""))&lt;&gt;"",IF(ISNUMBER(SEARCH("Party Name:-",'R.M Billets Reports'!D2879)),TRIM('R.M Billets Reports'!F2879),IF(ISNUMBER(SEARCH("Party Name-",'R.M Billets Reports'!D2879)),TRIM(MID('R.M Billets Reports'!D2879,SEARCH("-",'R.M Billets Reports'!D2879)+1,200)),"")),IF(ISNUMBER(SEARCH("Party Name:-",'R.M Billets Reports'!D2880)),TRIM('R.M Billets Reports'!F2880),IF(ISNUMBER(SEARCH("Party Name-",'R.M Billets Reports'!D2880)),TRIM(MID('R.M Billets Reports'!D2880,SEARCH("-",'R.M Billets Reports'!D2880)+1,200)),"")))="VRKP ISPAT PVT LTD","VRKP",IF(IF(IF(ISNUMBER(SEARCH("Party Name:-",'R.M Billets Reports'!D2879)),TRIM('R.M Billets Reports'!F2879),IF(ISNUMBER(SEARCH("Party Name-",'R.M Billets Reports'!D2879)),TRIM(MID('R.M Billets Reports'!D2879,SEARCH("-",'R.M Billets Reports'!D2879)+1,200)),""))&lt;&gt;"",IF(ISNUMBER(SEARCH("Party Name:-",'R.M Billets Reports'!D2879)),TRIM('R.M Billets Reports'!F2879),IF(ISNUMBER(SEARCH("Party Name-",'R.M Billets Reports'!D2879)),TRIM(MID('R.M Billets Reports'!D2879,SEARCH("-",'R.M Billets Reports'!D2879)+1,200)),"")),IF(ISNUMBER(SEARCH("Party Name:-",'R.M Billets Reports'!D2880)),TRIM('R.M Billets Reports'!F2880),IF(ISNUMBER(SEARCH("Party Name-",'R.M Billets Reports'!D2880)),TRIM(MID('R.M Billets Reports'!D2880,SEARCH("-",'R.M Billets Reports'!D2880)+1,200)),"")))="SHRI RADHE","SHREE RADHE",IF(IF(IF(ISNUMBER(SEARCH("Party Name:-",'R.M Billets Reports'!D2879)),TRIM('R.M Billets Reports'!F2879),IF(ISNUMBER(SEARCH("Party Name-",'R.M Billets Reports'!D2879)),TRIM(MID('R.M Billets Reports'!D2879,SEARCH("-",'R.M Billets Reports'!D2879)+1,200)),""))&lt;&gt;"",IF(ISNUMBER(SEARCH("Party Name:-",'R.M Billets Reports'!D2879)),TRIM('R.M Billets Reports'!F2879),IF(ISNUMBER(SEARCH("Party Name-",'R.M Billets Reports'!D2879)),TRIM(MID('R.M Billets Reports'!D2879,SEARCH("-",'R.M Billets Reports'!D2879)+1,200)),"")),IF(ISNUMBER(SEARCH("Party Name:-",'R.M Billets Reports'!D2880)),TRIM('R.M Billets Reports'!F2880),IF(ISNUMBER(SEARCH("Party Name-",'R.M Billets Reports'!D2880)),TRIM(MID('R.M Billets Reports'!D2880,SEARCH("-",'R.M Billets Reports'!D2880)+1,200)),"")))="SHREE RADHE SHAKTI SPONGE AND POWER PVT. LTD.","SHREE RADHE",IF(IF(ISNUMBER(SEARCH("Party Name:-",'R.M Billets Reports'!D2879)),TRIM('R.M Billets Reports'!F2879),IF(ISNUMBER(SEARCH("Party Name-",'R.M Billets Reports'!D2879)),TRIM(MID('R.M Billets Reports'!D2879,SEARCH("-",'R.M Billets Reports'!D2879)+1,200)),""))&lt;&gt;"",IF(ISNUMBER(SEARCH("Party Name:-",'R.M Billets Reports'!D2879)),TRIM('R.M Billets Reports'!F2879),IF(ISNUMBER(SEARCH("Party Name-",'R.M Billets Reports'!D2879)),TRIM(MID('R.M Billets Reports'!D2879,SEARCH("-",'R.M Billets Reports'!D2879)+1,200)),"")),IF(ISNUMBER(SEARCH("Party Name:-",'R.M Billets Reports'!D2880)),TRIM('R.M Billets Reports'!F2880),IF(ISNUMBER(SEARCH("Party Name-",'R.M Billets Reports'!D2880)),TRIM(MID('R.M Billets Reports'!D2880,SEARCH("-",'R.M Billets Reports'!D2880)+1,200)),"")))))),IF(ROW()=2,"",A2879))</f>
      </c>
      <c r="B2880">
        <f>IF(OR('R.M Billets Reports'!A2879="Date-",'R.M Billets Reports'!A2879="Date:-"),'R.M Billets Reports'!B2879,IF(ROW()=2,"",B2879))</f>
      </c>
      <c r="C2880">
        <f>IF('R.M Billets Reports'!A2879="V.No.",'R.M Billets Reports'!B2879,IF(ROW()=2,"",C2879))</f>
      </c>
      <c r="D2880">
        <f>IF('R.M Billets Reports'!A2879&lt;&gt;"",'R.M Billets Reports'!A2879,IF(ROW()=2,"",D2879))</f>
      </c>
      <c r="E2880">
        <f>IF('R.M Billets Reports'!B2879="","",TRIM('R.M Billets Reports'!B2879))</f>
      </c>
      <c r="F2880">
        <f>'R.M Billets Reports'!C2879</f>
      </c>
      <c r="G2880">
        <f>'R.M Billets Reports'!D2879</f>
      </c>
      <c r="H2880">
        <f>'R.M Billets Reports'!E2879</f>
      </c>
      <c r="I2880">
        <f>'R.M Billets Reports'!F2879</f>
      </c>
      <c r="J2880">
        <f>'R.M Billets Reports'!G2879</f>
      </c>
      <c r="K2880">
        <f>'R.M Billets Reports'!H2879</f>
      </c>
      <c r="L2880">
        <f>IF('R.M Billets Reports'!I2879="","",'R.M Billets Reports'!I2879)</f>
      </c>
      <c r="M2880">
        <f t="shared" si="88"/>
      </c>
      <c r="N2880">
        <f>IF('R.M Billets Reports'!J2879="","",'R.M Billets Reports'!J2879)</f>
      </c>
      <c r="O2880">
        <f t="shared" si="89"/>
      </c>
      <c r="P2880">
        <f>IF('R.M Billets Reports'!A2879="SIZE",'R.M Billets Reports'!B2879,P2879)</f>
      </c>
    </row>
    <row r="2881" spans="1:16" x14ac:dyDescent="0.25">
      <c r="A2881">
        <f>IF(OR('R.M Billets Reports'!A2880="Date-",'R.M Billets Reports'!A2880="Date:-"),IF(IF(IF(ISNUMBER(SEARCH("Party Name:-",'R.M Billets Reports'!D2880)),TRIM('R.M Billets Reports'!F2880),IF(ISNUMBER(SEARCH("Party Name-",'R.M Billets Reports'!D2880)),TRIM(MID('R.M Billets Reports'!D2880,SEARCH("-",'R.M Billets Reports'!D2880)+1,200)),""))&lt;&gt;"",IF(ISNUMBER(SEARCH("Party Name:-",'R.M Billets Reports'!D2880)),TRIM('R.M Billets Reports'!F2880),IF(ISNUMBER(SEARCH("Party Name-",'R.M Billets Reports'!D2880)),TRIM(MID('R.M Billets Reports'!D2880,SEARCH("-",'R.M Billets Reports'!D2880)+1,200)),"")),IF(ISNUMBER(SEARCH("Party Name:-",'R.M Billets Reports'!D2881)),TRIM('R.M Billets Reports'!F2881),IF(ISNUMBER(SEARCH("Party Name-",'R.M Billets Reports'!D2881)),TRIM(MID('R.M Billets Reports'!D2881,SEARCH("-",'R.M Billets Reports'!D2881)+1,200)),"")))="VRKP ISPAT PVT LTD","VRKP",IF(IF(IF(ISNUMBER(SEARCH("Party Name:-",'R.M Billets Reports'!D2880)),TRIM('R.M Billets Reports'!F2880),IF(ISNUMBER(SEARCH("Party Name-",'R.M Billets Reports'!D2880)),TRIM(MID('R.M Billets Reports'!D2880,SEARCH("-",'R.M Billets Reports'!D2880)+1,200)),""))&lt;&gt;"",IF(ISNUMBER(SEARCH("Party Name:-",'R.M Billets Reports'!D2880)),TRIM('R.M Billets Reports'!F2880),IF(ISNUMBER(SEARCH("Party Name-",'R.M Billets Reports'!D2880)),TRIM(MID('R.M Billets Reports'!D2880,SEARCH("-",'R.M Billets Reports'!D2880)+1,200)),"")),IF(ISNUMBER(SEARCH("Party Name:-",'R.M Billets Reports'!D2881)),TRIM('R.M Billets Reports'!F2881),IF(ISNUMBER(SEARCH("Party Name-",'R.M Billets Reports'!D2881)),TRIM(MID('R.M Billets Reports'!D2881,SEARCH("-",'R.M Billets Reports'!D2881)+1,200)),"")))="SHRI RADHE","SHREE RADHE",IF(IF(IF(ISNUMBER(SEARCH("Party Name:-",'R.M Billets Reports'!D2880)),TRIM('R.M Billets Reports'!F2880),IF(ISNUMBER(SEARCH("Party Name-",'R.M Billets Reports'!D2880)),TRIM(MID('R.M Billets Reports'!D2880,SEARCH("-",'R.M Billets Reports'!D2880)+1,200)),""))&lt;&gt;"",IF(ISNUMBER(SEARCH("Party Name:-",'R.M Billets Reports'!D2880)),TRIM('R.M Billets Reports'!F2880),IF(ISNUMBER(SEARCH("Party Name-",'R.M Billets Reports'!D2880)),TRIM(MID('R.M Billets Reports'!D2880,SEARCH("-",'R.M Billets Reports'!D2880)+1,200)),"")),IF(ISNUMBER(SEARCH("Party Name:-",'R.M Billets Reports'!D2881)),TRIM('R.M Billets Reports'!F2881),IF(ISNUMBER(SEARCH("Party Name-",'R.M Billets Reports'!D2881)),TRIM(MID('R.M Billets Reports'!D2881,SEARCH("-",'R.M Billets Reports'!D2881)+1,200)),"")))="SHREE RADHE SHAKTI SPONGE AND POWER PVT. LTD.","SHREE RADHE",IF(IF(ISNUMBER(SEARCH("Party Name:-",'R.M Billets Reports'!D2880)),TRIM('R.M Billets Reports'!F2880),IF(ISNUMBER(SEARCH("Party Name-",'R.M Billets Reports'!D2880)),TRIM(MID('R.M Billets Reports'!D2880,SEARCH("-",'R.M Billets Reports'!D2880)+1,200)),""))&lt;&gt;"",IF(ISNUMBER(SEARCH("Party Name:-",'R.M Billets Reports'!D2880)),TRIM('R.M Billets Reports'!F2880),IF(ISNUMBER(SEARCH("Party Name-",'R.M Billets Reports'!D2880)),TRIM(MID('R.M Billets Reports'!D2880,SEARCH("-",'R.M Billets Reports'!D2880)+1,200)),"")),IF(ISNUMBER(SEARCH("Party Name:-",'R.M Billets Reports'!D2881)),TRIM('R.M Billets Reports'!F2881),IF(ISNUMBER(SEARCH("Party Name-",'R.M Billets Reports'!D2881)),TRIM(MID('R.M Billets Reports'!D2881,SEARCH("-",'R.M Billets Reports'!D2881)+1,200)),"")))))),IF(ROW()=2,"",A2880))</f>
      </c>
      <c r="B2881">
        <f>IF(OR('R.M Billets Reports'!A2880="Date-",'R.M Billets Reports'!A2880="Date:-"),'R.M Billets Reports'!B2880,IF(ROW()=2,"",B2880))</f>
      </c>
      <c r="C2881">
        <f>IF('R.M Billets Reports'!A2880="V.No.",'R.M Billets Reports'!B2880,IF(ROW()=2,"",C2880))</f>
      </c>
      <c r="D2881">
        <f>IF('R.M Billets Reports'!A2880&lt;&gt;"",'R.M Billets Reports'!A2880,IF(ROW()=2,"",D2880))</f>
      </c>
      <c r="E2881">
        <f>IF('R.M Billets Reports'!B2880="","",TRIM('R.M Billets Reports'!B2880))</f>
      </c>
      <c r="F2881">
        <f>'R.M Billets Reports'!C2880</f>
      </c>
      <c r="G2881">
        <f>'R.M Billets Reports'!D2880</f>
      </c>
      <c r="H2881">
        <f>'R.M Billets Reports'!E2880</f>
      </c>
      <c r="I2881">
        <f>'R.M Billets Reports'!F2880</f>
      </c>
      <c r="J2881">
        <f>'R.M Billets Reports'!G2880</f>
      </c>
      <c r="K2881">
        <f>'R.M Billets Reports'!H2880</f>
      </c>
      <c r="L2881">
        <f>IF('R.M Billets Reports'!I2880="","",'R.M Billets Reports'!I2880)</f>
      </c>
      <c r="M2881">
        <f t="shared" si="88"/>
      </c>
      <c r="N2881">
        <f>IF('R.M Billets Reports'!J2880="","",'R.M Billets Reports'!J2880)</f>
      </c>
      <c r="O2881">
        <f t="shared" si="89"/>
      </c>
      <c r="P2881">
        <f>IF('R.M Billets Reports'!A2880="SIZE",'R.M Billets Reports'!B2880,P2880)</f>
      </c>
    </row>
    <row r="2882" spans="1:16" x14ac:dyDescent="0.25">
      <c r="A2882">
        <f>IF(OR('R.M Billets Reports'!A2881="Date-",'R.M Billets Reports'!A2881="Date:-"),IF(IF(IF(ISNUMBER(SEARCH("Party Name:-",'R.M Billets Reports'!D2881)),TRIM('R.M Billets Reports'!F2881),IF(ISNUMBER(SEARCH("Party Name-",'R.M Billets Reports'!D2881)),TRIM(MID('R.M Billets Reports'!D2881,SEARCH("-",'R.M Billets Reports'!D2881)+1,200)),""))&lt;&gt;"",IF(ISNUMBER(SEARCH("Party Name:-",'R.M Billets Reports'!D2881)),TRIM('R.M Billets Reports'!F2881),IF(ISNUMBER(SEARCH("Party Name-",'R.M Billets Reports'!D2881)),TRIM(MID('R.M Billets Reports'!D2881,SEARCH("-",'R.M Billets Reports'!D2881)+1,200)),"")),IF(ISNUMBER(SEARCH("Party Name:-",'R.M Billets Reports'!D2882)),TRIM('R.M Billets Reports'!F2882),IF(ISNUMBER(SEARCH("Party Name-",'R.M Billets Reports'!D2882)),TRIM(MID('R.M Billets Reports'!D2882,SEARCH("-",'R.M Billets Reports'!D2882)+1,200)),"")))="VRKP ISPAT PVT LTD","VRKP",IF(IF(IF(ISNUMBER(SEARCH("Party Name:-",'R.M Billets Reports'!D2881)),TRIM('R.M Billets Reports'!F2881),IF(ISNUMBER(SEARCH("Party Name-",'R.M Billets Reports'!D2881)),TRIM(MID('R.M Billets Reports'!D2881,SEARCH("-",'R.M Billets Reports'!D2881)+1,200)),""))&lt;&gt;"",IF(ISNUMBER(SEARCH("Party Name:-",'R.M Billets Reports'!D2881)),TRIM('R.M Billets Reports'!F2881),IF(ISNUMBER(SEARCH("Party Name-",'R.M Billets Reports'!D2881)),TRIM(MID('R.M Billets Reports'!D2881,SEARCH("-",'R.M Billets Reports'!D2881)+1,200)),"")),IF(ISNUMBER(SEARCH("Party Name:-",'R.M Billets Reports'!D2882)),TRIM('R.M Billets Reports'!F2882),IF(ISNUMBER(SEARCH("Party Name-",'R.M Billets Reports'!D2882)),TRIM(MID('R.M Billets Reports'!D2882,SEARCH("-",'R.M Billets Reports'!D2882)+1,200)),"")))="SHRI RADHE","SHREE RADHE",IF(IF(IF(ISNUMBER(SEARCH("Party Name:-",'R.M Billets Reports'!D2881)),TRIM('R.M Billets Reports'!F2881),IF(ISNUMBER(SEARCH("Party Name-",'R.M Billets Reports'!D2881)),TRIM(MID('R.M Billets Reports'!D2881,SEARCH("-",'R.M Billets Reports'!D2881)+1,200)),""))&lt;&gt;"",IF(ISNUMBER(SEARCH("Party Name:-",'R.M Billets Reports'!D2881)),TRIM('R.M Billets Reports'!F2881),IF(ISNUMBER(SEARCH("Party Name-",'R.M Billets Reports'!D2881)),TRIM(MID('R.M Billets Reports'!D2881,SEARCH("-",'R.M Billets Reports'!D2881)+1,200)),"")),IF(ISNUMBER(SEARCH("Party Name:-",'R.M Billets Reports'!D2882)),TRIM('R.M Billets Reports'!F2882),IF(ISNUMBER(SEARCH("Party Name-",'R.M Billets Reports'!D2882)),TRIM(MID('R.M Billets Reports'!D2882,SEARCH("-",'R.M Billets Reports'!D2882)+1,200)),"")))="SHREE RADHE SHAKTI SPONGE AND POWER PVT. LTD.","SHREE RADHE",IF(IF(ISNUMBER(SEARCH("Party Name:-",'R.M Billets Reports'!D2881)),TRIM('R.M Billets Reports'!F2881),IF(ISNUMBER(SEARCH("Party Name-",'R.M Billets Reports'!D2881)),TRIM(MID('R.M Billets Reports'!D2881,SEARCH("-",'R.M Billets Reports'!D2881)+1,200)),""))&lt;&gt;"",IF(ISNUMBER(SEARCH("Party Name:-",'R.M Billets Reports'!D2881)),TRIM('R.M Billets Reports'!F2881),IF(ISNUMBER(SEARCH("Party Name-",'R.M Billets Reports'!D2881)),TRIM(MID('R.M Billets Reports'!D2881,SEARCH("-",'R.M Billets Reports'!D2881)+1,200)),"")),IF(ISNUMBER(SEARCH("Party Name:-",'R.M Billets Reports'!D2882)),TRIM('R.M Billets Reports'!F2882),IF(ISNUMBER(SEARCH("Party Name-",'R.M Billets Reports'!D2882)),TRIM(MID('R.M Billets Reports'!D2882,SEARCH("-",'R.M Billets Reports'!D2882)+1,200)),"")))))),IF(ROW()=2,"",A2881))</f>
      </c>
      <c r="B2882">
        <f>IF(OR('R.M Billets Reports'!A2881="Date-",'R.M Billets Reports'!A2881="Date:-"),'R.M Billets Reports'!B2881,IF(ROW()=2,"",B2881))</f>
      </c>
      <c r="C2882">
        <f>IF('R.M Billets Reports'!A2881="V.No.",'R.M Billets Reports'!B2881,IF(ROW()=2,"",C2881))</f>
      </c>
      <c r="D2882">
        <f>IF('R.M Billets Reports'!A2881&lt;&gt;"",'R.M Billets Reports'!A2881,IF(ROW()=2,"",D2881))</f>
      </c>
      <c r="E2882">
        <f>IF('R.M Billets Reports'!B2881="","",TRIM('R.M Billets Reports'!B2881))</f>
      </c>
      <c r="F2882">
        <f>'R.M Billets Reports'!C2881</f>
      </c>
      <c r="G2882">
        <f>'R.M Billets Reports'!D2881</f>
      </c>
      <c r="H2882">
        <f>'R.M Billets Reports'!E2881</f>
      </c>
      <c r="I2882">
        <f>'R.M Billets Reports'!F2881</f>
      </c>
      <c r="J2882">
        <f>'R.M Billets Reports'!G2881</f>
      </c>
      <c r="K2882">
        <f>'R.M Billets Reports'!H2881</f>
      </c>
      <c r="L2882">
        <f>IF('R.M Billets Reports'!I2881="","",'R.M Billets Reports'!I2881)</f>
      </c>
      <c r="M2882">
        <f t="shared" si="88"/>
      </c>
      <c r="N2882">
        <f>IF('R.M Billets Reports'!J2881="","",'R.M Billets Reports'!J2881)</f>
      </c>
      <c r="O2882">
        <f t="shared" si="89"/>
      </c>
      <c r="P2882">
        <f>IF('R.M Billets Reports'!A2881="SIZE",'R.M Billets Reports'!B2881,P2881)</f>
      </c>
    </row>
    <row r="2883" spans="1:16" x14ac:dyDescent="0.25">
      <c r="A2883">
        <f>IF(OR('R.M Billets Reports'!A2882="Date-",'R.M Billets Reports'!A2882="Date:-"),IF(IF(IF(ISNUMBER(SEARCH("Party Name:-",'R.M Billets Reports'!D2882)),TRIM('R.M Billets Reports'!F2882),IF(ISNUMBER(SEARCH("Party Name-",'R.M Billets Reports'!D2882)),TRIM(MID('R.M Billets Reports'!D2882,SEARCH("-",'R.M Billets Reports'!D2882)+1,200)),""))&lt;&gt;"",IF(ISNUMBER(SEARCH("Party Name:-",'R.M Billets Reports'!D2882)),TRIM('R.M Billets Reports'!F2882),IF(ISNUMBER(SEARCH("Party Name-",'R.M Billets Reports'!D2882)),TRIM(MID('R.M Billets Reports'!D2882,SEARCH("-",'R.M Billets Reports'!D2882)+1,200)),"")),IF(ISNUMBER(SEARCH("Party Name:-",'R.M Billets Reports'!D2883)),TRIM('R.M Billets Reports'!F2883),IF(ISNUMBER(SEARCH("Party Name-",'R.M Billets Reports'!D2883)),TRIM(MID('R.M Billets Reports'!D2883,SEARCH("-",'R.M Billets Reports'!D2883)+1,200)),"")))="VRKP ISPAT PVT LTD","VRKP",IF(IF(IF(ISNUMBER(SEARCH("Party Name:-",'R.M Billets Reports'!D2882)),TRIM('R.M Billets Reports'!F2882),IF(ISNUMBER(SEARCH("Party Name-",'R.M Billets Reports'!D2882)),TRIM(MID('R.M Billets Reports'!D2882,SEARCH("-",'R.M Billets Reports'!D2882)+1,200)),""))&lt;&gt;"",IF(ISNUMBER(SEARCH("Party Name:-",'R.M Billets Reports'!D2882)),TRIM('R.M Billets Reports'!F2882),IF(ISNUMBER(SEARCH("Party Name-",'R.M Billets Reports'!D2882)),TRIM(MID('R.M Billets Reports'!D2882,SEARCH("-",'R.M Billets Reports'!D2882)+1,200)),"")),IF(ISNUMBER(SEARCH("Party Name:-",'R.M Billets Reports'!D2883)),TRIM('R.M Billets Reports'!F2883),IF(ISNUMBER(SEARCH("Party Name-",'R.M Billets Reports'!D2883)),TRIM(MID('R.M Billets Reports'!D2883,SEARCH("-",'R.M Billets Reports'!D2883)+1,200)),"")))="SHRI RADHE","SHREE RADHE",IF(IF(IF(ISNUMBER(SEARCH("Party Name:-",'R.M Billets Reports'!D2882)),TRIM('R.M Billets Reports'!F2882),IF(ISNUMBER(SEARCH("Party Name-",'R.M Billets Reports'!D2882)),TRIM(MID('R.M Billets Reports'!D2882,SEARCH("-",'R.M Billets Reports'!D2882)+1,200)),""))&lt;&gt;"",IF(ISNUMBER(SEARCH("Party Name:-",'R.M Billets Reports'!D2882)),TRIM('R.M Billets Reports'!F2882),IF(ISNUMBER(SEARCH("Party Name-",'R.M Billets Reports'!D2882)),TRIM(MID('R.M Billets Reports'!D2882,SEARCH("-",'R.M Billets Reports'!D2882)+1,200)),"")),IF(ISNUMBER(SEARCH("Party Name:-",'R.M Billets Reports'!D2883)),TRIM('R.M Billets Reports'!F2883),IF(ISNUMBER(SEARCH("Party Name-",'R.M Billets Reports'!D2883)),TRIM(MID('R.M Billets Reports'!D2883,SEARCH("-",'R.M Billets Reports'!D2883)+1,200)),"")))="SHREE RADHE SHAKTI SPONGE AND POWER PVT. LTD.","SHREE RADHE",IF(IF(ISNUMBER(SEARCH("Party Name:-",'R.M Billets Reports'!D2882)),TRIM('R.M Billets Reports'!F2882),IF(ISNUMBER(SEARCH("Party Name-",'R.M Billets Reports'!D2882)),TRIM(MID('R.M Billets Reports'!D2882,SEARCH("-",'R.M Billets Reports'!D2882)+1,200)),""))&lt;&gt;"",IF(ISNUMBER(SEARCH("Party Name:-",'R.M Billets Reports'!D2882)),TRIM('R.M Billets Reports'!F2882),IF(ISNUMBER(SEARCH("Party Name-",'R.M Billets Reports'!D2882)),TRIM(MID('R.M Billets Reports'!D2882,SEARCH("-",'R.M Billets Reports'!D2882)+1,200)),"")),IF(ISNUMBER(SEARCH("Party Name:-",'R.M Billets Reports'!D2883)),TRIM('R.M Billets Reports'!F2883),IF(ISNUMBER(SEARCH("Party Name-",'R.M Billets Reports'!D2883)),TRIM(MID('R.M Billets Reports'!D2883,SEARCH("-",'R.M Billets Reports'!D2883)+1,200)),"")))))),IF(ROW()=2,"",A2882))</f>
      </c>
      <c r="B2883">
        <f>IF(OR('R.M Billets Reports'!A2882="Date-",'R.M Billets Reports'!A2882="Date:-"),'R.M Billets Reports'!B2882,IF(ROW()=2,"",B2882))</f>
      </c>
      <c r="C2883">
        <f>IF('R.M Billets Reports'!A2882="V.No.",'R.M Billets Reports'!B2882,IF(ROW()=2,"",C2882))</f>
      </c>
      <c r="D2883">
        <f>IF('R.M Billets Reports'!A2882&lt;&gt;"",'R.M Billets Reports'!A2882,IF(ROW()=2,"",D2882))</f>
      </c>
      <c r="E2883">
        <f>IF('R.M Billets Reports'!B2882="","",TRIM('R.M Billets Reports'!B2882))</f>
      </c>
      <c r="F2883">
        <f>'R.M Billets Reports'!C2882</f>
      </c>
      <c r="G2883">
        <f>'R.M Billets Reports'!D2882</f>
      </c>
      <c r="H2883">
        <f>'R.M Billets Reports'!E2882</f>
      </c>
      <c r="I2883">
        <f>'R.M Billets Reports'!F2882</f>
      </c>
      <c r="J2883">
        <f>'R.M Billets Reports'!G2882</f>
      </c>
      <c r="K2883">
        <f>'R.M Billets Reports'!H2882</f>
      </c>
      <c r="L2883">
        <f>IF('R.M Billets Reports'!I2882="","",'R.M Billets Reports'!I2882)</f>
      </c>
      <c r="M2883">
        <f t="shared" ref="M2883:M2946" si="90">IF(L2883&lt;&gt;"",L2883,IF(D2883=D2882,M2882,""))</f>
      </c>
      <c r="N2883">
        <f>IF('R.M Billets Reports'!J2882="","",'R.M Billets Reports'!J2882)</f>
      </c>
      <c r="O2883">
        <f t="shared" ref="O2883:O2946" si="91">IF(N2883&lt;&gt;"",N2883,IF(D2883=D2882,O2882,""))</f>
      </c>
      <c r="P2883">
        <f>IF('R.M Billets Reports'!A2882="SIZE",'R.M Billets Reports'!B2882,P2882)</f>
      </c>
    </row>
    <row r="2884" spans="1:16" x14ac:dyDescent="0.25">
      <c r="A2884">
        <f>IF(OR('R.M Billets Reports'!A2883="Date-",'R.M Billets Reports'!A2883="Date:-"),IF(IF(IF(ISNUMBER(SEARCH("Party Name:-",'R.M Billets Reports'!D2883)),TRIM('R.M Billets Reports'!F2883),IF(ISNUMBER(SEARCH("Party Name-",'R.M Billets Reports'!D2883)),TRIM(MID('R.M Billets Reports'!D2883,SEARCH("-",'R.M Billets Reports'!D2883)+1,200)),""))&lt;&gt;"",IF(ISNUMBER(SEARCH("Party Name:-",'R.M Billets Reports'!D2883)),TRIM('R.M Billets Reports'!F2883),IF(ISNUMBER(SEARCH("Party Name-",'R.M Billets Reports'!D2883)),TRIM(MID('R.M Billets Reports'!D2883,SEARCH("-",'R.M Billets Reports'!D2883)+1,200)),"")),IF(ISNUMBER(SEARCH("Party Name:-",'R.M Billets Reports'!D2884)),TRIM('R.M Billets Reports'!F2884),IF(ISNUMBER(SEARCH("Party Name-",'R.M Billets Reports'!D2884)),TRIM(MID('R.M Billets Reports'!D2884,SEARCH("-",'R.M Billets Reports'!D2884)+1,200)),"")))="VRKP ISPAT PVT LTD","VRKP",IF(IF(IF(ISNUMBER(SEARCH("Party Name:-",'R.M Billets Reports'!D2883)),TRIM('R.M Billets Reports'!F2883),IF(ISNUMBER(SEARCH("Party Name-",'R.M Billets Reports'!D2883)),TRIM(MID('R.M Billets Reports'!D2883,SEARCH("-",'R.M Billets Reports'!D2883)+1,200)),""))&lt;&gt;"",IF(ISNUMBER(SEARCH("Party Name:-",'R.M Billets Reports'!D2883)),TRIM('R.M Billets Reports'!F2883),IF(ISNUMBER(SEARCH("Party Name-",'R.M Billets Reports'!D2883)),TRIM(MID('R.M Billets Reports'!D2883,SEARCH("-",'R.M Billets Reports'!D2883)+1,200)),"")),IF(ISNUMBER(SEARCH("Party Name:-",'R.M Billets Reports'!D2884)),TRIM('R.M Billets Reports'!F2884),IF(ISNUMBER(SEARCH("Party Name-",'R.M Billets Reports'!D2884)),TRIM(MID('R.M Billets Reports'!D2884,SEARCH("-",'R.M Billets Reports'!D2884)+1,200)),"")))="SHRI RADHE","SHREE RADHE",IF(IF(IF(ISNUMBER(SEARCH("Party Name:-",'R.M Billets Reports'!D2883)),TRIM('R.M Billets Reports'!F2883),IF(ISNUMBER(SEARCH("Party Name-",'R.M Billets Reports'!D2883)),TRIM(MID('R.M Billets Reports'!D2883,SEARCH("-",'R.M Billets Reports'!D2883)+1,200)),""))&lt;&gt;"",IF(ISNUMBER(SEARCH("Party Name:-",'R.M Billets Reports'!D2883)),TRIM('R.M Billets Reports'!F2883),IF(ISNUMBER(SEARCH("Party Name-",'R.M Billets Reports'!D2883)),TRIM(MID('R.M Billets Reports'!D2883,SEARCH("-",'R.M Billets Reports'!D2883)+1,200)),"")),IF(ISNUMBER(SEARCH("Party Name:-",'R.M Billets Reports'!D2884)),TRIM('R.M Billets Reports'!F2884),IF(ISNUMBER(SEARCH("Party Name-",'R.M Billets Reports'!D2884)),TRIM(MID('R.M Billets Reports'!D2884,SEARCH("-",'R.M Billets Reports'!D2884)+1,200)),"")))="SHREE RADHE SHAKTI SPONGE AND POWER PVT. LTD.","SHREE RADHE",IF(IF(ISNUMBER(SEARCH("Party Name:-",'R.M Billets Reports'!D2883)),TRIM('R.M Billets Reports'!F2883),IF(ISNUMBER(SEARCH("Party Name-",'R.M Billets Reports'!D2883)),TRIM(MID('R.M Billets Reports'!D2883,SEARCH("-",'R.M Billets Reports'!D2883)+1,200)),""))&lt;&gt;"",IF(ISNUMBER(SEARCH("Party Name:-",'R.M Billets Reports'!D2883)),TRIM('R.M Billets Reports'!F2883),IF(ISNUMBER(SEARCH("Party Name-",'R.M Billets Reports'!D2883)),TRIM(MID('R.M Billets Reports'!D2883,SEARCH("-",'R.M Billets Reports'!D2883)+1,200)),"")),IF(ISNUMBER(SEARCH("Party Name:-",'R.M Billets Reports'!D2884)),TRIM('R.M Billets Reports'!F2884),IF(ISNUMBER(SEARCH("Party Name-",'R.M Billets Reports'!D2884)),TRIM(MID('R.M Billets Reports'!D2884,SEARCH("-",'R.M Billets Reports'!D2884)+1,200)),"")))))),IF(ROW()=2,"",A2883))</f>
      </c>
      <c r="B2884">
        <f>IF(OR('R.M Billets Reports'!A2883="Date-",'R.M Billets Reports'!A2883="Date:-"),'R.M Billets Reports'!B2883,IF(ROW()=2,"",B2883))</f>
      </c>
      <c r="C2884">
        <f>IF('R.M Billets Reports'!A2883="V.No.",'R.M Billets Reports'!B2883,IF(ROW()=2,"",C2883))</f>
      </c>
      <c r="D2884">
        <f>IF('R.M Billets Reports'!A2883&lt;&gt;"",'R.M Billets Reports'!A2883,IF(ROW()=2,"",D2883))</f>
      </c>
      <c r="E2884">
        <f>IF('R.M Billets Reports'!B2883="","",TRIM('R.M Billets Reports'!B2883))</f>
      </c>
      <c r="F2884">
        <f>'R.M Billets Reports'!C2883</f>
      </c>
      <c r="G2884">
        <f>'R.M Billets Reports'!D2883</f>
      </c>
      <c r="H2884">
        <f>'R.M Billets Reports'!E2883</f>
      </c>
      <c r="I2884">
        <f>'R.M Billets Reports'!F2883</f>
      </c>
      <c r="J2884">
        <f>'R.M Billets Reports'!G2883</f>
      </c>
      <c r="K2884">
        <f>'R.M Billets Reports'!H2883</f>
      </c>
      <c r="L2884">
        <f>IF('R.M Billets Reports'!I2883="","",'R.M Billets Reports'!I2883)</f>
      </c>
      <c r="M2884">
        <f t="shared" si="90"/>
      </c>
      <c r="N2884">
        <f>IF('R.M Billets Reports'!J2883="","",'R.M Billets Reports'!J2883)</f>
      </c>
      <c r="O2884">
        <f t="shared" si="91"/>
      </c>
      <c r="P2884">
        <f>IF('R.M Billets Reports'!A2883="SIZE",'R.M Billets Reports'!B2883,P2883)</f>
      </c>
    </row>
    <row r="2885" spans="1:16" x14ac:dyDescent="0.25">
      <c r="A2885">
        <f>IF(OR('R.M Billets Reports'!A2884="Date-",'R.M Billets Reports'!A2884="Date:-"),IF(IF(IF(ISNUMBER(SEARCH("Party Name:-",'R.M Billets Reports'!D2884)),TRIM('R.M Billets Reports'!F2884),IF(ISNUMBER(SEARCH("Party Name-",'R.M Billets Reports'!D2884)),TRIM(MID('R.M Billets Reports'!D2884,SEARCH("-",'R.M Billets Reports'!D2884)+1,200)),""))&lt;&gt;"",IF(ISNUMBER(SEARCH("Party Name:-",'R.M Billets Reports'!D2884)),TRIM('R.M Billets Reports'!F2884),IF(ISNUMBER(SEARCH("Party Name-",'R.M Billets Reports'!D2884)),TRIM(MID('R.M Billets Reports'!D2884,SEARCH("-",'R.M Billets Reports'!D2884)+1,200)),"")),IF(ISNUMBER(SEARCH("Party Name:-",'R.M Billets Reports'!D2885)),TRIM('R.M Billets Reports'!F2885),IF(ISNUMBER(SEARCH("Party Name-",'R.M Billets Reports'!D2885)),TRIM(MID('R.M Billets Reports'!D2885,SEARCH("-",'R.M Billets Reports'!D2885)+1,200)),"")))="VRKP ISPAT PVT LTD","VRKP",IF(IF(IF(ISNUMBER(SEARCH("Party Name:-",'R.M Billets Reports'!D2884)),TRIM('R.M Billets Reports'!F2884),IF(ISNUMBER(SEARCH("Party Name-",'R.M Billets Reports'!D2884)),TRIM(MID('R.M Billets Reports'!D2884,SEARCH("-",'R.M Billets Reports'!D2884)+1,200)),""))&lt;&gt;"",IF(ISNUMBER(SEARCH("Party Name:-",'R.M Billets Reports'!D2884)),TRIM('R.M Billets Reports'!F2884),IF(ISNUMBER(SEARCH("Party Name-",'R.M Billets Reports'!D2884)),TRIM(MID('R.M Billets Reports'!D2884,SEARCH("-",'R.M Billets Reports'!D2884)+1,200)),"")),IF(ISNUMBER(SEARCH("Party Name:-",'R.M Billets Reports'!D2885)),TRIM('R.M Billets Reports'!F2885),IF(ISNUMBER(SEARCH("Party Name-",'R.M Billets Reports'!D2885)),TRIM(MID('R.M Billets Reports'!D2885,SEARCH("-",'R.M Billets Reports'!D2885)+1,200)),"")))="SHRI RADHE","SHREE RADHE",IF(IF(IF(ISNUMBER(SEARCH("Party Name:-",'R.M Billets Reports'!D2884)),TRIM('R.M Billets Reports'!F2884),IF(ISNUMBER(SEARCH("Party Name-",'R.M Billets Reports'!D2884)),TRIM(MID('R.M Billets Reports'!D2884,SEARCH("-",'R.M Billets Reports'!D2884)+1,200)),""))&lt;&gt;"",IF(ISNUMBER(SEARCH("Party Name:-",'R.M Billets Reports'!D2884)),TRIM('R.M Billets Reports'!F2884),IF(ISNUMBER(SEARCH("Party Name-",'R.M Billets Reports'!D2884)),TRIM(MID('R.M Billets Reports'!D2884,SEARCH("-",'R.M Billets Reports'!D2884)+1,200)),"")),IF(ISNUMBER(SEARCH("Party Name:-",'R.M Billets Reports'!D2885)),TRIM('R.M Billets Reports'!F2885),IF(ISNUMBER(SEARCH("Party Name-",'R.M Billets Reports'!D2885)),TRIM(MID('R.M Billets Reports'!D2885,SEARCH("-",'R.M Billets Reports'!D2885)+1,200)),"")))="SHREE RADHE SHAKTI SPONGE AND POWER PVT. LTD.","SHREE RADHE",IF(IF(ISNUMBER(SEARCH("Party Name:-",'R.M Billets Reports'!D2884)),TRIM('R.M Billets Reports'!F2884),IF(ISNUMBER(SEARCH("Party Name-",'R.M Billets Reports'!D2884)),TRIM(MID('R.M Billets Reports'!D2884,SEARCH("-",'R.M Billets Reports'!D2884)+1,200)),""))&lt;&gt;"",IF(ISNUMBER(SEARCH("Party Name:-",'R.M Billets Reports'!D2884)),TRIM('R.M Billets Reports'!F2884),IF(ISNUMBER(SEARCH("Party Name-",'R.M Billets Reports'!D2884)),TRIM(MID('R.M Billets Reports'!D2884,SEARCH("-",'R.M Billets Reports'!D2884)+1,200)),"")),IF(ISNUMBER(SEARCH("Party Name:-",'R.M Billets Reports'!D2885)),TRIM('R.M Billets Reports'!F2885),IF(ISNUMBER(SEARCH("Party Name-",'R.M Billets Reports'!D2885)),TRIM(MID('R.M Billets Reports'!D2885,SEARCH("-",'R.M Billets Reports'!D2885)+1,200)),"")))))),IF(ROW()=2,"",A2884))</f>
      </c>
      <c r="B2885">
        <f>IF(OR('R.M Billets Reports'!A2884="Date-",'R.M Billets Reports'!A2884="Date:-"),'R.M Billets Reports'!B2884,IF(ROW()=2,"",B2884))</f>
      </c>
      <c r="C2885">
        <f>IF('R.M Billets Reports'!A2884="V.No.",'R.M Billets Reports'!B2884,IF(ROW()=2,"",C2884))</f>
      </c>
      <c r="D2885">
        <f>IF('R.M Billets Reports'!A2884&lt;&gt;"",'R.M Billets Reports'!A2884,IF(ROW()=2,"",D2884))</f>
      </c>
      <c r="E2885">
        <f>IF('R.M Billets Reports'!B2884="","",TRIM('R.M Billets Reports'!B2884))</f>
      </c>
      <c r="F2885">
        <f>'R.M Billets Reports'!C2884</f>
      </c>
      <c r="G2885">
        <f>'R.M Billets Reports'!D2884</f>
      </c>
      <c r="H2885">
        <f>'R.M Billets Reports'!E2884</f>
      </c>
      <c r="I2885">
        <f>'R.M Billets Reports'!F2884</f>
      </c>
      <c r="J2885">
        <f>'R.M Billets Reports'!G2884</f>
      </c>
      <c r="K2885">
        <f>'R.M Billets Reports'!H2884</f>
      </c>
      <c r="L2885">
        <f>IF('R.M Billets Reports'!I2884="","",'R.M Billets Reports'!I2884)</f>
      </c>
      <c r="M2885">
        <f t="shared" si="90"/>
      </c>
      <c r="N2885">
        <f>IF('R.M Billets Reports'!J2884="","",'R.M Billets Reports'!J2884)</f>
      </c>
      <c r="O2885">
        <f t="shared" si="91"/>
      </c>
      <c r="P2885">
        <f>IF('R.M Billets Reports'!A2884="SIZE",'R.M Billets Reports'!B2884,P2884)</f>
      </c>
    </row>
    <row r="2886" spans="1:16" x14ac:dyDescent="0.25">
      <c r="A2886">
        <f>IF(OR('R.M Billets Reports'!A2885="Date-",'R.M Billets Reports'!A2885="Date:-"),IF(IF(IF(ISNUMBER(SEARCH("Party Name:-",'R.M Billets Reports'!D2885)),TRIM('R.M Billets Reports'!F2885),IF(ISNUMBER(SEARCH("Party Name-",'R.M Billets Reports'!D2885)),TRIM(MID('R.M Billets Reports'!D2885,SEARCH("-",'R.M Billets Reports'!D2885)+1,200)),""))&lt;&gt;"",IF(ISNUMBER(SEARCH("Party Name:-",'R.M Billets Reports'!D2885)),TRIM('R.M Billets Reports'!F2885),IF(ISNUMBER(SEARCH("Party Name-",'R.M Billets Reports'!D2885)),TRIM(MID('R.M Billets Reports'!D2885,SEARCH("-",'R.M Billets Reports'!D2885)+1,200)),"")),IF(ISNUMBER(SEARCH("Party Name:-",'R.M Billets Reports'!D2886)),TRIM('R.M Billets Reports'!F2886),IF(ISNUMBER(SEARCH("Party Name-",'R.M Billets Reports'!D2886)),TRIM(MID('R.M Billets Reports'!D2886,SEARCH("-",'R.M Billets Reports'!D2886)+1,200)),"")))="VRKP ISPAT PVT LTD","VRKP",IF(IF(IF(ISNUMBER(SEARCH("Party Name:-",'R.M Billets Reports'!D2885)),TRIM('R.M Billets Reports'!F2885),IF(ISNUMBER(SEARCH("Party Name-",'R.M Billets Reports'!D2885)),TRIM(MID('R.M Billets Reports'!D2885,SEARCH("-",'R.M Billets Reports'!D2885)+1,200)),""))&lt;&gt;"",IF(ISNUMBER(SEARCH("Party Name:-",'R.M Billets Reports'!D2885)),TRIM('R.M Billets Reports'!F2885),IF(ISNUMBER(SEARCH("Party Name-",'R.M Billets Reports'!D2885)),TRIM(MID('R.M Billets Reports'!D2885,SEARCH("-",'R.M Billets Reports'!D2885)+1,200)),"")),IF(ISNUMBER(SEARCH("Party Name:-",'R.M Billets Reports'!D2886)),TRIM('R.M Billets Reports'!F2886),IF(ISNUMBER(SEARCH("Party Name-",'R.M Billets Reports'!D2886)),TRIM(MID('R.M Billets Reports'!D2886,SEARCH("-",'R.M Billets Reports'!D2886)+1,200)),"")))="SHRI RADHE","SHREE RADHE",IF(IF(IF(ISNUMBER(SEARCH("Party Name:-",'R.M Billets Reports'!D2885)),TRIM('R.M Billets Reports'!F2885),IF(ISNUMBER(SEARCH("Party Name-",'R.M Billets Reports'!D2885)),TRIM(MID('R.M Billets Reports'!D2885,SEARCH("-",'R.M Billets Reports'!D2885)+1,200)),""))&lt;&gt;"",IF(ISNUMBER(SEARCH("Party Name:-",'R.M Billets Reports'!D2885)),TRIM('R.M Billets Reports'!F2885),IF(ISNUMBER(SEARCH("Party Name-",'R.M Billets Reports'!D2885)),TRIM(MID('R.M Billets Reports'!D2885,SEARCH("-",'R.M Billets Reports'!D2885)+1,200)),"")),IF(ISNUMBER(SEARCH("Party Name:-",'R.M Billets Reports'!D2886)),TRIM('R.M Billets Reports'!F2886),IF(ISNUMBER(SEARCH("Party Name-",'R.M Billets Reports'!D2886)),TRIM(MID('R.M Billets Reports'!D2886,SEARCH("-",'R.M Billets Reports'!D2886)+1,200)),"")))="SHREE RADHE SHAKTI SPONGE AND POWER PVT. LTD.","SHREE RADHE",IF(IF(ISNUMBER(SEARCH("Party Name:-",'R.M Billets Reports'!D2885)),TRIM('R.M Billets Reports'!F2885),IF(ISNUMBER(SEARCH("Party Name-",'R.M Billets Reports'!D2885)),TRIM(MID('R.M Billets Reports'!D2885,SEARCH("-",'R.M Billets Reports'!D2885)+1,200)),""))&lt;&gt;"",IF(ISNUMBER(SEARCH("Party Name:-",'R.M Billets Reports'!D2885)),TRIM('R.M Billets Reports'!F2885),IF(ISNUMBER(SEARCH("Party Name-",'R.M Billets Reports'!D2885)),TRIM(MID('R.M Billets Reports'!D2885,SEARCH("-",'R.M Billets Reports'!D2885)+1,200)),"")),IF(ISNUMBER(SEARCH("Party Name:-",'R.M Billets Reports'!D2886)),TRIM('R.M Billets Reports'!F2886),IF(ISNUMBER(SEARCH("Party Name-",'R.M Billets Reports'!D2886)),TRIM(MID('R.M Billets Reports'!D2886,SEARCH("-",'R.M Billets Reports'!D2886)+1,200)),"")))))),IF(ROW()=2,"",A2885))</f>
      </c>
      <c r="B2886">
        <f>IF(OR('R.M Billets Reports'!A2885="Date-",'R.M Billets Reports'!A2885="Date:-"),'R.M Billets Reports'!B2885,IF(ROW()=2,"",B2885))</f>
      </c>
      <c r="C2886">
        <f>IF('R.M Billets Reports'!A2885="V.No.",'R.M Billets Reports'!B2885,IF(ROW()=2,"",C2885))</f>
      </c>
      <c r="D2886">
        <f>IF('R.M Billets Reports'!A2885&lt;&gt;"",'R.M Billets Reports'!A2885,IF(ROW()=2,"",D2885))</f>
      </c>
      <c r="E2886">
        <f>IF('R.M Billets Reports'!B2885="","",TRIM('R.M Billets Reports'!B2885))</f>
      </c>
      <c r="F2886">
        <f>'R.M Billets Reports'!C2885</f>
      </c>
      <c r="G2886">
        <f>'R.M Billets Reports'!D2885</f>
      </c>
      <c r="H2886">
        <f>'R.M Billets Reports'!E2885</f>
      </c>
      <c r="I2886">
        <f>'R.M Billets Reports'!F2885</f>
      </c>
      <c r="J2886">
        <f>'R.M Billets Reports'!G2885</f>
      </c>
      <c r="K2886">
        <f>'R.M Billets Reports'!H2885</f>
      </c>
      <c r="L2886">
        <f>IF('R.M Billets Reports'!I2885="","",'R.M Billets Reports'!I2885)</f>
      </c>
      <c r="M2886">
        <f t="shared" si="90"/>
      </c>
      <c r="N2886">
        <f>IF('R.M Billets Reports'!J2885="","",'R.M Billets Reports'!J2885)</f>
      </c>
      <c r="O2886">
        <f t="shared" si="91"/>
      </c>
      <c r="P2886">
        <f>IF('R.M Billets Reports'!A2885="SIZE",'R.M Billets Reports'!B2885,P2885)</f>
      </c>
    </row>
    <row r="2887" spans="1:16" x14ac:dyDescent="0.25">
      <c r="A2887">
        <f>IF(OR('R.M Billets Reports'!A2886="Date-",'R.M Billets Reports'!A2886="Date:-"),IF(IF(IF(ISNUMBER(SEARCH("Party Name:-",'R.M Billets Reports'!D2886)),TRIM('R.M Billets Reports'!F2886),IF(ISNUMBER(SEARCH("Party Name-",'R.M Billets Reports'!D2886)),TRIM(MID('R.M Billets Reports'!D2886,SEARCH("-",'R.M Billets Reports'!D2886)+1,200)),""))&lt;&gt;"",IF(ISNUMBER(SEARCH("Party Name:-",'R.M Billets Reports'!D2886)),TRIM('R.M Billets Reports'!F2886),IF(ISNUMBER(SEARCH("Party Name-",'R.M Billets Reports'!D2886)),TRIM(MID('R.M Billets Reports'!D2886,SEARCH("-",'R.M Billets Reports'!D2886)+1,200)),"")),IF(ISNUMBER(SEARCH("Party Name:-",'R.M Billets Reports'!D2887)),TRIM('R.M Billets Reports'!F2887),IF(ISNUMBER(SEARCH("Party Name-",'R.M Billets Reports'!D2887)),TRIM(MID('R.M Billets Reports'!D2887,SEARCH("-",'R.M Billets Reports'!D2887)+1,200)),"")))="VRKP ISPAT PVT LTD","VRKP",IF(IF(IF(ISNUMBER(SEARCH("Party Name:-",'R.M Billets Reports'!D2886)),TRIM('R.M Billets Reports'!F2886),IF(ISNUMBER(SEARCH("Party Name-",'R.M Billets Reports'!D2886)),TRIM(MID('R.M Billets Reports'!D2886,SEARCH("-",'R.M Billets Reports'!D2886)+1,200)),""))&lt;&gt;"",IF(ISNUMBER(SEARCH("Party Name:-",'R.M Billets Reports'!D2886)),TRIM('R.M Billets Reports'!F2886),IF(ISNUMBER(SEARCH("Party Name-",'R.M Billets Reports'!D2886)),TRIM(MID('R.M Billets Reports'!D2886,SEARCH("-",'R.M Billets Reports'!D2886)+1,200)),"")),IF(ISNUMBER(SEARCH("Party Name:-",'R.M Billets Reports'!D2887)),TRIM('R.M Billets Reports'!F2887),IF(ISNUMBER(SEARCH("Party Name-",'R.M Billets Reports'!D2887)),TRIM(MID('R.M Billets Reports'!D2887,SEARCH("-",'R.M Billets Reports'!D2887)+1,200)),"")))="SHRI RADHE","SHREE RADHE",IF(IF(IF(ISNUMBER(SEARCH("Party Name:-",'R.M Billets Reports'!D2886)),TRIM('R.M Billets Reports'!F2886),IF(ISNUMBER(SEARCH("Party Name-",'R.M Billets Reports'!D2886)),TRIM(MID('R.M Billets Reports'!D2886,SEARCH("-",'R.M Billets Reports'!D2886)+1,200)),""))&lt;&gt;"",IF(ISNUMBER(SEARCH("Party Name:-",'R.M Billets Reports'!D2886)),TRIM('R.M Billets Reports'!F2886),IF(ISNUMBER(SEARCH("Party Name-",'R.M Billets Reports'!D2886)),TRIM(MID('R.M Billets Reports'!D2886,SEARCH("-",'R.M Billets Reports'!D2886)+1,200)),"")),IF(ISNUMBER(SEARCH("Party Name:-",'R.M Billets Reports'!D2887)),TRIM('R.M Billets Reports'!F2887),IF(ISNUMBER(SEARCH("Party Name-",'R.M Billets Reports'!D2887)),TRIM(MID('R.M Billets Reports'!D2887,SEARCH("-",'R.M Billets Reports'!D2887)+1,200)),"")))="SHREE RADHE SHAKTI SPONGE AND POWER PVT. LTD.","SHREE RADHE",IF(IF(ISNUMBER(SEARCH("Party Name:-",'R.M Billets Reports'!D2886)),TRIM('R.M Billets Reports'!F2886),IF(ISNUMBER(SEARCH("Party Name-",'R.M Billets Reports'!D2886)),TRIM(MID('R.M Billets Reports'!D2886,SEARCH("-",'R.M Billets Reports'!D2886)+1,200)),""))&lt;&gt;"",IF(ISNUMBER(SEARCH("Party Name:-",'R.M Billets Reports'!D2886)),TRIM('R.M Billets Reports'!F2886),IF(ISNUMBER(SEARCH("Party Name-",'R.M Billets Reports'!D2886)),TRIM(MID('R.M Billets Reports'!D2886,SEARCH("-",'R.M Billets Reports'!D2886)+1,200)),"")),IF(ISNUMBER(SEARCH("Party Name:-",'R.M Billets Reports'!D2887)),TRIM('R.M Billets Reports'!F2887),IF(ISNUMBER(SEARCH("Party Name-",'R.M Billets Reports'!D2887)),TRIM(MID('R.M Billets Reports'!D2887,SEARCH("-",'R.M Billets Reports'!D2887)+1,200)),"")))))),IF(ROW()=2,"",A2886))</f>
      </c>
      <c r="B2887">
        <f>IF(OR('R.M Billets Reports'!A2886="Date-",'R.M Billets Reports'!A2886="Date:-"),'R.M Billets Reports'!B2886,IF(ROW()=2,"",B2886))</f>
      </c>
      <c r="C2887">
        <f>IF('R.M Billets Reports'!A2886="V.No.",'R.M Billets Reports'!B2886,IF(ROW()=2,"",C2886))</f>
      </c>
      <c r="D2887">
        <f>IF('R.M Billets Reports'!A2886&lt;&gt;"",'R.M Billets Reports'!A2886,IF(ROW()=2,"",D2886))</f>
      </c>
      <c r="E2887">
        <f>IF('R.M Billets Reports'!B2886="","",TRIM('R.M Billets Reports'!B2886))</f>
      </c>
      <c r="F2887">
        <f>'R.M Billets Reports'!C2886</f>
      </c>
      <c r="G2887">
        <f>'R.M Billets Reports'!D2886</f>
      </c>
      <c r="H2887">
        <f>'R.M Billets Reports'!E2886</f>
      </c>
      <c r="I2887">
        <f>'R.M Billets Reports'!F2886</f>
      </c>
      <c r="J2887">
        <f>'R.M Billets Reports'!G2886</f>
      </c>
      <c r="K2887">
        <f>'R.M Billets Reports'!H2886</f>
      </c>
      <c r="L2887">
        <f>IF('R.M Billets Reports'!I2886="","",'R.M Billets Reports'!I2886)</f>
      </c>
      <c r="M2887">
        <f t="shared" si="90"/>
      </c>
      <c r="N2887">
        <f>IF('R.M Billets Reports'!J2886="","",'R.M Billets Reports'!J2886)</f>
      </c>
      <c r="O2887">
        <f t="shared" si="91"/>
      </c>
      <c r="P2887">
        <f>IF('R.M Billets Reports'!A2886="SIZE",'R.M Billets Reports'!B2886,P2886)</f>
      </c>
    </row>
    <row r="2888" spans="1:16" x14ac:dyDescent="0.25">
      <c r="A2888">
        <f>IF(OR('R.M Billets Reports'!A2887="Date-",'R.M Billets Reports'!A2887="Date:-"),IF(IF(IF(ISNUMBER(SEARCH("Party Name:-",'R.M Billets Reports'!D2887)),TRIM('R.M Billets Reports'!F2887),IF(ISNUMBER(SEARCH("Party Name-",'R.M Billets Reports'!D2887)),TRIM(MID('R.M Billets Reports'!D2887,SEARCH("-",'R.M Billets Reports'!D2887)+1,200)),""))&lt;&gt;"",IF(ISNUMBER(SEARCH("Party Name:-",'R.M Billets Reports'!D2887)),TRIM('R.M Billets Reports'!F2887),IF(ISNUMBER(SEARCH("Party Name-",'R.M Billets Reports'!D2887)),TRIM(MID('R.M Billets Reports'!D2887,SEARCH("-",'R.M Billets Reports'!D2887)+1,200)),"")),IF(ISNUMBER(SEARCH("Party Name:-",'R.M Billets Reports'!D2888)),TRIM('R.M Billets Reports'!F2888),IF(ISNUMBER(SEARCH("Party Name-",'R.M Billets Reports'!D2888)),TRIM(MID('R.M Billets Reports'!D2888,SEARCH("-",'R.M Billets Reports'!D2888)+1,200)),"")))="VRKP ISPAT PVT LTD","VRKP",IF(IF(IF(ISNUMBER(SEARCH("Party Name:-",'R.M Billets Reports'!D2887)),TRIM('R.M Billets Reports'!F2887),IF(ISNUMBER(SEARCH("Party Name-",'R.M Billets Reports'!D2887)),TRIM(MID('R.M Billets Reports'!D2887,SEARCH("-",'R.M Billets Reports'!D2887)+1,200)),""))&lt;&gt;"",IF(ISNUMBER(SEARCH("Party Name:-",'R.M Billets Reports'!D2887)),TRIM('R.M Billets Reports'!F2887),IF(ISNUMBER(SEARCH("Party Name-",'R.M Billets Reports'!D2887)),TRIM(MID('R.M Billets Reports'!D2887,SEARCH("-",'R.M Billets Reports'!D2887)+1,200)),"")),IF(ISNUMBER(SEARCH("Party Name:-",'R.M Billets Reports'!D2888)),TRIM('R.M Billets Reports'!F2888),IF(ISNUMBER(SEARCH("Party Name-",'R.M Billets Reports'!D2888)),TRIM(MID('R.M Billets Reports'!D2888,SEARCH("-",'R.M Billets Reports'!D2888)+1,200)),"")))="SHRI RADHE","SHREE RADHE",IF(IF(IF(ISNUMBER(SEARCH("Party Name:-",'R.M Billets Reports'!D2887)),TRIM('R.M Billets Reports'!F2887),IF(ISNUMBER(SEARCH("Party Name-",'R.M Billets Reports'!D2887)),TRIM(MID('R.M Billets Reports'!D2887,SEARCH("-",'R.M Billets Reports'!D2887)+1,200)),""))&lt;&gt;"",IF(ISNUMBER(SEARCH("Party Name:-",'R.M Billets Reports'!D2887)),TRIM('R.M Billets Reports'!F2887),IF(ISNUMBER(SEARCH("Party Name-",'R.M Billets Reports'!D2887)),TRIM(MID('R.M Billets Reports'!D2887,SEARCH("-",'R.M Billets Reports'!D2887)+1,200)),"")),IF(ISNUMBER(SEARCH("Party Name:-",'R.M Billets Reports'!D2888)),TRIM('R.M Billets Reports'!F2888),IF(ISNUMBER(SEARCH("Party Name-",'R.M Billets Reports'!D2888)),TRIM(MID('R.M Billets Reports'!D2888,SEARCH("-",'R.M Billets Reports'!D2888)+1,200)),"")))="SHREE RADHE SHAKTI SPONGE AND POWER PVT. LTD.","SHREE RADHE",IF(IF(ISNUMBER(SEARCH("Party Name:-",'R.M Billets Reports'!D2887)),TRIM('R.M Billets Reports'!F2887),IF(ISNUMBER(SEARCH("Party Name-",'R.M Billets Reports'!D2887)),TRIM(MID('R.M Billets Reports'!D2887,SEARCH("-",'R.M Billets Reports'!D2887)+1,200)),""))&lt;&gt;"",IF(ISNUMBER(SEARCH("Party Name:-",'R.M Billets Reports'!D2887)),TRIM('R.M Billets Reports'!F2887),IF(ISNUMBER(SEARCH("Party Name-",'R.M Billets Reports'!D2887)),TRIM(MID('R.M Billets Reports'!D2887,SEARCH("-",'R.M Billets Reports'!D2887)+1,200)),"")),IF(ISNUMBER(SEARCH("Party Name:-",'R.M Billets Reports'!D2888)),TRIM('R.M Billets Reports'!F2888),IF(ISNUMBER(SEARCH("Party Name-",'R.M Billets Reports'!D2888)),TRIM(MID('R.M Billets Reports'!D2888,SEARCH("-",'R.M Billets Reports'!D2888)+1,200)),"")))))),IF(ROW()=2,"",A2887))</f>
      </c>
      <c r="B2888">
        <f>IF(OR('R.M Billets Reports'!A2887="Date-",'R.M Billets Reports'!A2887="Date:-"),'R.M Billets Reports'!B2887,IF(ROW()=2,"",B2887))</f>
      </c>
      <c r="C2888">
        <f>IF('R.M Billets Reports'!A2887="V.No.",'R.M Billets Reports'!B2887,IF(ROW()=2,"",C2887))</f>
      </c>
      <c r="D2888">
        <f>IF('R.M Billets Reports'!A2887&lt;&gt;"",'R.M Billets Reports'!A2887,IF(ROW()=2,"",D2887))</f>
      </c>
      <c r="E2888">
        <f>IF('R.M Billets Reports'!B2887="","",TRIM('R.M Billets Reports'!B2887))</f>
      </c>
      <c r="F2888">
        <f>'R.M Billets Reports'!C2887</f>
      </c>
      <c r="G2888">
        <f>'R.M Billets Reports'!D2887</f>
      </c>
      <c r="H2888">
        <f>'R.M Billets Reports'!E2887</f>
      </c>
      <c r="I2888">
        <f>'R.M Billets Reports'!F2887</f>
      </c>
      <c r="J2888">
        <f>'R.M Billets Reports'!G2887</f>
      </c>
      <c r="K2888">
        <f>'R.M Billets Reports'!H2887</f>
      </c>
      <c r="L2888">
        <f>IF('R.M Billets Reports'!I2887="","",'R.M Billets Reports'!I2887)</f>
      </c>
      <c r="M2888">
        <f t="shared" si="90"/>
      </c>
      <c r="N2888">
        <f>IF('R.M Billets Reports'!J2887="","",'R.M Billets Reports'!J2887)</f>
      </c>
      <c r="O2888">
        <f t="shared" si="91"/>
      </c>
      <c r="P2888">
        <f>IF('R.M Billets Reports'!A2887="SIZE",'R.M Billets Reports'!B2887,P2887)</f>
      </c>
    </row>
    <row r="2889" spans="1:16" x14ac:dyDescent="0.25">
      <c r="A2889">
        <f>IF(OR('R.M Billets Reports'!A2888="Date-",'R.M Billets Reports'!A2888="Date:-"),IF(IF(IF(ISNUMBER(SEARCH("Party Name:-",'R.M Billets Reports'!D2888)),TRIM('R.M Billets Reports'!F2888),IF(ISNUMBER(SEARCH("Party Name-",'R.M Billets Reports'!D2888)),TRIM(MID('R.M Billets Reports'!D2888,SEARCH("-",'R.M Billets Reports'!D2888)+1,200)),""))&lt;&gt;"",IF(ISNUMBER(SEARCH("Party Name:-",'R.M Billets Reports'!D2888)),TRIM('R.M Billets Reports'!F2888),IF(ISNUMBER(SEARCH("Party Name-",'R.M Billets Reports'!D2888)),TRIM(MID('R.M Billets Reports'!D2888,SEARCH("-",'R.M Billets Reports'!D2888)+1,200)),"")),IF(ISNUMBER(SEARCH("Party Name:-",'R.M Billets Reports'!D2889)),TRIM('R.M Billets Reports'!F2889),IF(ISNUMBER(SEARCH("Party Name-",'R.M Billets Reports'!D2889)),TRIM(MID('R.M Billets Reports'!D2889,SEARCH("-",'R.M Billets Reports'!D2889)+1,200)),"")))="VRKP ISPAT PVT LTD","VRKP",IF(IF(IF(ISNUMBER(SEARCH("Party Name:-",'R.M Billets Reports'!D2888)),TRIM('R.M Billets Reports'!F2888),IF(ISNUMBER(SEARCH("Party Name-",'R.M Billets Reports'!D2888)),TRIM(MID('R.M Billets Reports'!D2888,SEARCH("-",'R.M Billets Reports'!D2888)+1,200)),""))&lt;&gt;"",IF(ISNUMBER(SEARCH("Party Name:-",'R.M Billets Reports'!D2888)),TRIM('R.M Billets Reports'!F2888),IF(ISNUMBER(SEARCH("Party Name-",'R.M Billets Reports'!D2888)),TRIM(MID('R.M Billets Reports'!D2888,SEARCH("-",'R.M Billets Reports'!D2888)+1,200)),"")),IF(ISNUMBER(SEARCH("Party Name:-",'R.M Billets Reports'!D2889)),TRIM('R.M Billets Reports'!F2889),IF(ISNUMBER(SEARCH("Party Name-",'R.M Billets Reports'!D2889)),TRIM(MID('R.M Billets Reports'!D2889,SEARCH("-",'R.M Billets Reports'!D2889)+1,200)),"")))="SHRI RADHE","SHREE RADHE",IF(IF(IF(ISNUMBER(SEARCH("Party Name:-",'R.M Billets Reports'!D2888)),TRIM('R.M Billets Reports'!F2888),IF(ISNUMBER(SEARCH("Party Name-",'R.M Billets Reports'!D2888)),TRIM(MID('R.M Billets Reports'!D2888,SEARCH("-",'R.M Billets Reports'!D2888)+1,200)),""))&lt;&gt;"",IF(ISNUMBER(SEARCH("Party Name:-",'R.M Billets Reports'!D2888)),TRIM('R.M Billets Reports'!F2888),IF(ISNUMBER(SEARCH("Party Name-",'R.M Billets Reports'!D2888)),TRIM(MID('R.M Billets Reports'!D2888,SEARCH("-",'R.M Billets Reports'!D2888)+1,200)),"")),IF(ISNUMBER(SEARCH("Party Name:-",'R.M Billets Reports'!D2889)),TRIM('R.M Billets Reports'!F2889),IF(ISNUMBER(SEARCH("Party Name-",'R.M Billets Reports'!D2889)),TRIM(MID('R.M Billets Reports'!D2889,SEARCH("-",'R.M Billets Reports'!D2889)+1,200)),"")))="SHREE RADHE SHAKTI SPONGE AND POWER PVT. LTD.","SHREE RADHE",IF(IF(ISNUMBER(SEARCH("Party Name:-",'R.M Billets Reports'!D2888)),TRIM('R.M Billets Reports'!F2888),IF(ISNUMBER(SEARCH("Party Name-",'R.M Billets Reports'!D2888)),TRIM(MID('R.M Billets Reports'!D2888,SEARCH("-",'R.M Billets Reports'!D2888)+1,200)),""))&lt;&gt;"",IF(ISNUMBER(SEARCH("Party Name:-",'R.M Billets Reports'!D2888)),TRIM('R.M Billets Reports'!F2888),IF(ISNUMBER(SEARCH("Party Name-",'R.M Billets Reports'!D2888)),TRIM(MID('R.M Billets Reports'!D2888,SEARCH("-",'R.M Billets Reports'!D2888)+1,200)),"")),IF(ISNUMBER(SEARCH("Party Name:-",'R.M Billets Reports'!D2889)),TRIM('R.M Billets Reports'!F2889),IF(ISNUMBER(SEARCH("Party Name-",'R.M Billets Reports'!D2889)),TRIM(MID('R.M Billets Reports'!D2889,SEARCH("-",'R.M Billets Reports'!D2889)+1,200)),"")))))),IF(ROW()=2,"",A2888))</f>
      </c>
      <c r="B2889">
        <f>IF(OR('R.M Billets Reports'!A2888="Date-",'R.M Billets Reports'!A2888="Date:-"),'R.M Billets Reports'!B2888,IF(ROW()=2,"",B2888))</f>
      </c>
      <c r="C2889">
        <f>IF('R.M Billets Reports'!A2888="V.No.",'R.M Billets Reports'!B2888,IF(ROW()=2,"",C2888))</f>
      </c>
      <c r="D2889">
        <f>IF('R.M Billets Reports'!A2888&lt;&gt;"",'R.M Billets Reports'!A2888,IF(ROW()=2,"",D2888))</f>
      </c>
      <c r="E2889">
        <f>IF('R.M Billets Reports'!B2888="","",TRIM('R.M Billets Reports'!B2888))</f>
      </c>
      <c r="F2889">
        <f>'R.M Billets Reports'!C2888</f>
      </c>
      <c r="G2889">
        <f>'R.M Billets Reports'!D2888</f>
      </c>
      <c r="H2889">
        <f>'R.M Billets Reports'!E2888</f>
      </c>
      <c r="I2889">
        <f>'R.M Billets Reports'!F2888</f>
      </c>
      <c r="J2889">
        <f>'R.M Billets Reports'!G2888</f>
      </c>
      <c r="K2889">
        <f>'R.M Billets Reports'!H2888</f>
      </c>
      <c r="L2889">
        <f>IF('R.M Billets Reports'!I2888="","",'R.M Billets Reports'!I2888)</f>
      </c>
      <c r="M2889">
        <f t="shared" si="90"/>
      </c>
      <c r="N2889">
        <f>IF('R.M Billets Reports'!J2888="","",'R.M Billets Reports'!J2888)</f>
      </c>
      <c r="O2889">
        <f t="shared" si="91"/>
      </c>
      <c r="P2889">
        <f>IF('R.M Billets Reports'!A2888="SIZE",'R.M Billets Reports'!B2888,P2888)</f>
      </c>
    </row>
    <row r="2890" spans="1:16" x14ac:dyDescent="0.25">
      <c r="A2890">
        <f>IF(OR('R.M Billets Reports'!A2889="Date-",'R.M Billets Reports'!A2889="Date:-"),IF(IF(IF(ISNUMBER(SEARCH("Party Name:-",'R.M Billets Reports'!D2889)),TRIM('R.M Billets Reports'!F2889),IF(ISNUMBER(SEARCH("Party Name-",'R.M Billets Reports'!D2889)),TRIM(MID('R.M Billets Reports'!D2889,SEARCH("-",'R.M Billets Reports'!D2889)+1,200)),""))&lt;&gt;"",IF(ISNUMBER(SEARCH("Party Name:-",'R.M Billets Reports'!D2889)),TRIM('R.M Billets Reports'!F2889),IF(ISNUMBER(SEARCH("Party Name-",'R.M Billets Reports'!D2889)),TRIM(MID('R.M Billets Reports'!D2889,SEARCH("-",'R.M Billets Reports'!D2889)+1,200)),"")),IF(ISNUMBER(SEARCH("Party Name:-",'R.M Billets Reports'!D2890)),TRIM('R.M Billets Reports'!F2890),IF(ISNUMBER(SEARCH("Party Name-",'R.M Billets Reports'!D2890)),TRIM(MID('R.M Billets Reports'!D2890,SEARCH("-",'R.M Billets Reports'!D2890)+1,200)),"")))="VRKP ISPAT PVT LTD","VRKP",IF(IF(IF(ISNUMBER(SEARCH("Party Name:-",'R.M Billets Reports'!D2889)),TRIM('R.M Billets Reports'!F2889),IF(ISNUMBER(SEARCH("Party Name-",'R.M Billets Reports'!D2889)),TRIM(MID('R.M Billets Reports'!D2889,SEARCH("-",'R.M Billets Reports'!D2889)+1,200)),""))&lt;&gt;"",IF(ISNUMBER(SEARCH("Party Name:-",'R.M Billets Reports'!D2889)),TRIM('R.M Billets Reports'!F2889),IF(ISNUMBER(SEARCH("Party Name-",'R.M Billets Reports'!D2889)),TRIM(MID('R.M Billets Reports'!D2889,SEARCH("-",'R.M Billets Reports'!D2889)+1,200)),"")),IF(ISNUMBER(SEARCH("Party Name:-",'R.M Billets Reports'!D2890)),TRIM('R.M Billets Reports'!F2890),IF(ISNUMBER(SEARCH("Party Name-",'R.M Billets Reports'!D2890)),TRIM(MID('R.M Billets Reports'!D2890,SEARCH("-",'R.M Billets Reports'!D2890)+1,200)),"")))="SHRI RADHE","SHREE RADHE",IF(IF(IF(ISNUMBER(SEARCH("Party Name:-",'R.M Billets Reports'!D2889)),TRIM('R.M Billets Reports'!F2889),IF(ISNUMBER(SEARCH("Party Name-",'R.M Billets Reports'!D2889)),TRIM(MID('R.M Billets Reports'!D2889,SEARCH("-",'R.M Billets Reports'!D2889)+1,200)),""))&lt;&gt;"",IF(ISNUMBER(SEARCH("Party Name:-",'R.M Billets Reports'!D2889)),TRIM('R.M Billets Reports'!F2889),IF(ISNUMBER(SEARCH("Party Name-",'R.M Billets Reports'!D2889)),TRIM(MID('R.M Billets Reports'!D2889,SEARCH("-",'R.M Billets Reports'!D2889)+1,200)),"")),IF(ISNUMBER(SEARCH("Party Name:-",'R.M Billets Reports'!D2890)),TRIM('R.M Billets Reports'!F2890),IF(ISNUMBER(SEARCH("Party Name-",'R.M Billets Reports'!D2890)),TRIM(MID('R.M Billets Reports'!D2890,SEARCH("-",'R.M Billets Reports'!D2890)+1,200)),"")))="SHREE RADHE SHAKTI SPONGE AND POWER PVT. LTD.","SHREE RADHE",IF(IF(ISNUMBER(SEARCH("Party Name:-",'R.M Billets Reports'!D2889)),TRIM('R.M Billets Reports'!F2889),IF(ISNUMBER(SEARCH("Party Name-",'R.M Billets Reports'!D2889)),TRIM(MID('R.M Billets Reports'!D2889,SEARCH("-",'R.M Billets Reports'!D2889)+1,200)),""))&lt;&gt;"",IF(ISNUMBER(SEARCH("Party Name:-",'R.M Billets Reports'!D2889)),TRIM('R.M Billets Reports'!F2889),IF(ISNUMBER(SEARCH("Party Name-",'R.M Billets Reports'!D2889)),TRIM(MID('R.M Billets Reports'!D2889,SEARCH("-",'R.M Billets Reports'!D2889)+1,200)),"")),IF(ISNUMBER(SEARCH("Party Name:-",'R.M Billets Reports'!D2890)),TRIM('R.M Billets Reports'!F2890),IF(ISNUMBER(SEARCH("Party Name-",'R.M Billets Reports'!D2890)),TRIM(MID('R.M Billets Reports'!D2890,SEARCH("-",'R.M Billets Reports'!D2890)+1,200)),"")))))),IF(ROW()=2,"",A2889))</f>
      </c>
      <c r="B2890">
        <f>IF(OR('R.M Billets Reports'!A2889="Date-",'R.M Billets Reports'!A2889="Date:-"),'R.M Billets Reports'!B2889,IF(ROW()=2,"",B2889))</f>
      </c>
      <c r="C2890">
        <f>IF('R.M Billets Reports'!A2889="V.No.",'R.M Billets Reports'!B2889,IF(ROW()=2,"",C2889))</f>
      </c>
      <c r="D2890">
        <f>IF('R.M Billets Reports'!A2889&lt;&gt;"",'R.M Billets Reports'!A2889,IF(ROW()=2,"",D2889))</f>
      </c>
      <c r="E2890">
        <f>IF('R.M Billets Reports'!B2889="","",TRIM('R.M Billets Reports'!B2889))</f>
      </c>
      <c r="F2890">
        <f>'R.M Billets Reports'!C2889</f>
      </c>
      <c r="G2890">
        <f>'R.M Billets Reports'!D2889</f>
      </c>
      <c r="H2890">
        <f>'R.M Billets Reports'!E2889</f>
      </c>
      <c r="I2890">
        <f>'R.M Billets Reports'!F2889</f>
      </c>
      <c r="J2890">
        <f>'R.M Billets Reports'!G2889</f>
      </c>
      <c r="K2890">
        <f>'R.M Billets Reports'!H2889</f>
      </c>
      <c r="L2890">
        <f>IF('R.M Billets Reports'!I2889="","",'R.M Billets Reports'!I2889)</f>
      </c>
      <c r="M2890">
        <f t="shared" si="90"/>
      </c>
      <c r="N2890">
        <f>IF('R.M Billets Reports'!J2889="","",'R.M Billets Reports'!J2889)</f>
      </c>
      <c r="O2890">
        <f t="shared" si="91"/>
      </c>
      <c r="P2890">
        <f>IF('R.M Billets Reports'!A2889="SIZE",'R.M Billets Reports'!B2889,P2889)</f>
      </c>
    </row>
    <row r="2891" spans="1:16" x14ac:dyDescent="0.25">
      <c r="A2891">
        <f>IF(OR('R.M Billets Reports'!A2890="Date-",'R.M Billets Reports'!A2890="Date:-"),IF(IF(IF(ISNUMBER(SEARCH("Party Name:-",'R.M Billets Reports'!D2890)),TRIM('R.M Billets Reports'!F2890),IF(ISNUMBER(SEARCH("Party Name-",'R.M Billets Reports'!D2890)),TRIM(MID('R.M Billets Reports'!D2890,SEARCH("-",'R.M Billets Reports'!D2890)+1,200)),""))&lt;&gt;"",IF(ISNUMBER(SEARCH("Party Name:-",'R.M Billets Reports'!D2890)),TRIM('R.M Billets Reports'!F2890),IF(ISNUMBER(SEARCH("Party Name-",'R.M Billets Reports'!D2890)),TRIM(MID('R.M Billets Reports'!D2890,SEARCH("-",'R.M Billets Reports'!D2890)+1,200)),"")),IF(ISNUMBER(SEARCH("Party Name:-",'R.M Billets Reports'!D2891)),TRIM('R.M Billets Reports'!F2891),IF(ISNUMBER(SEARCH("Party Name-",'R.M Billets Reports'!D2891)),TRIM(MID('R.M Billets Reports'!D2891,SEARCH("-",'R.M Billets Reports'!D2891)+1,200)),"")))="VRKP ISPAT PVT LTD","VRKP",IF(IF(IF(ISNUMBER(SEARCH("Party Name:-",'R.M Billets Reports'!D2890)),TRIM('R.M Billets Reports'!F2890),IF(ISNUMBER(SEARCH("Party Name-",'R.M Billets Reports'!D2890)),TRIM(MID('R.M Billets Reports'!D2890,SEARCH("-",'R.M Billets Reports'!D2890)+1,200)),""))&lt;&gt;"",IF(ISNUMBER(SEARCH("Party Name:-",'R.M Billets Reports'!D2890)),TRIM('R.M Billets Reports'!F2890),IF(ISNUMBER(SEARCH("Party Name-",'R.M Billets Reports'!D2890)),TRIM(MID('R.M Billets Reports'!D2890,SEARCH("-",'R.M Billets Reports'!D2890)+1,200)),"")),IF(ISNUMBER(SEARCH("Party Name:-",'R.M Billets Reports'!D2891)),TRIM('R.M Billets Reports'!F2891),IF(ISNUMBER(SEARCH("Party Name-",'R.M Billets Reports'!D2891)),TRIM(MID('R.M Billets Reports'!D2891,SEARCH("-",'R.M Billets Reports'!D2891)+1,200)),"")))="SHRI RADHE","SHREE RADHE",IF(IF(IF(ISNUMBER(SEARCH("Party Name:-",'R.M Billets Reports'!D2890)),TRIM('R.M Billets Reports'!F2890),IF(ISNUMBER(SEARCH("Party Name-",'R.M Billets Reports'!D2890)),TRIM(MID('R.M Billets Reports'!D2890,SEARCH("-",'R.M Billets Reports'!D2890)+1,200)),""))&lt;&gt;"",IF(ISNUMBER(SEARCH("Party Name:-",'R.M Billets Reports'!D2890)),TRIM('R.M Billets Reports'!F2890),IF(ISNUMBER(SEARCH("Party Name-",'R.M Billets Reports'!D2890)),TRIM(MID('R.M Billets Reports'!D2890,SEARCH("-",'R.M Billets Reports'!D2890)+1,200)),"")),IF(ISNUMBER(SEARCH("Party Name:-",'R.M Billets Reports'!D2891)),TRIM('R.M Billets Reports'!F2891),IF(ISNUMBER(SEARCH("Party Name-",'R.M Billets Reports'!D2891)),TRIM(MID('R.M Billets Reports'!D2891,SEARCH("-",'R.M Billets Reports'!D2891)+1,200)),"")))="SHREE RADHE SHAKTI SPONGE AND POWER PVT. LTD.","SHREE RADHE",IF(IF(ISNUMBER(SEARCH("Party Name:-",'R.M Billets Reports'!D2890)),TRIM('R.M Billets Reports'!F2890),IF(ISNUMBER(SEARCH("Party Name-",'R.M Billets Reports'!D2890)),TRIM(MID('R.M Billets Reports'!D2890,SEARCH("-",'R.M Billets Reports'!D2890)+1,200)),""))&lt;&gt;"",IF(ISNUMBER(SEARCH("Party Name:-",'R.M Billets Reports'!D2890)),TRIM('R.M Billets Reports'!F2890),IF(ISNUMBER(SEARCH("Party Name-",'R.M Billets Reports'!D2890)),TRIM(MID('R.M Billets Reports'!D2890,SEARCH("-",'R.M Billets Reports'!D2890)+1,200)),"")),IF(ISNUMBER(SEARCH("Party Name:-",'R.M Billets Reports'!D2891)),TRIM('R.M Billets Reports'!F2891),IF(ISNUMBER(SEARCH("Party Name-",'R.M Billets Reports'!D2891)),TRIM(MID('R.M Billets Reports'!D2891,SEARCH("-",'R.M Billets Reports'!D2891)+1,200)),"")))))),IF(ROW()=2,"",A2890))</f>
      </c>
      <c r="B2891">
        <f>IF(OR('R.M Billets Reports'!A2890="Date-",'R.M Billets Reports'!A2890="Date:-"),'R.M Billets Reports'!B2890,IF(ROW()=2,"",B2890))</f>
      </c>
      <c r="C2891">
        <f>IF('R.M Billets Reports'!A2890="V.No.",'R.M Billets Reports'!B2890,IF(ROW()=2,"",C2890))</f>
      </c>
      <c r="D2891">
        <f>IF('R.M Billets Reports'!A2890&lt;&gt;"",'R.M Billets Reports'!A2890,IF(ROW()=2,"",D2890))</f>
      </c>
      <c r="E2891">
        <f>IF('R.M Billets Reports'!B2890="","",TRIM('R.M Billets Reports'!B2890))</f>
      </c>
      <c r="F2891">
        <f>'R.M Billets Reports'!C2890</f>
      </c>
      <c r="G2891">
        <f>'R.M Billets Reports'!D2890</f>
      </c>
      <c r="H2891">
        <f>'R.M Billets Reports'!E2890</f>
      </c>
      <c r="I2891">
        <f>'R.M Billets Reports'!F2890</f>
      </c>
      <c r="J2891">
        <f>'R.M Billets Reports'!G2890</f>
      </c>
      <c r="K2891">
        <f>'R.M Billets Reports'!H2890</f>
      </c>
      <c r="L2891">
        <f>IF('R.M Billets Reports'!I2890="","",'R.M Billets Reports'!I2890)</f>
      </c>
      <c r="M2891">
        <f t="shared" si="90"/>
      </c>
      <c r="N2891">
        <f>IF('R.M Billets Reports'!J2890="","",'R.M Billets Reports'!J2890)</f>
      </c>
      <c r="O2891">
        <f t="shared" si="91"/>
      </c>
      <c r="P2891">
        <f>IF('R.M Billets Reports'!A2890="SIZE",'R.M Billets Reports'!B2890,P2890)</f>
      </c>
    </row>
    <row r="2892" spans="1:16" x14ac:dyDescent="0.25">
      <c r="A2892">
        <f>IF(OR('R.M Billets Reports'!A2891="Date-",'R.M Billets Reports'!A2891="Date:-"),IF(IF(IF(ISNUMBER(SEARCH("Party Name:-",'R.M Billets Reports'!D2891)),TRIM('R.M Billets Reports'!F2891),IF(ISNUMBER(SEARCH("Party Name-",'R.M Billets Reports'!D2891)),TRIM(MID('R.M Billets Reports'!D2891,SEARCH("-",'R.M Billets Reports'!D2891)+1,200)),""))&lt;&gt;"",IF(ISNUMBER(SEARCH("Party Name:-",'R.M Billets Reports'!D2891)),TRIM('R.M Billets Reports'!F2891),IF(ISNUMBER(SEARCH("Party Name-",'R.M Billets Reports'!D2891)),TRIM(MID('R.M Billets Reports'!D2891,SEARCH("-",'R.M Billets Reports'!D2891)+1,200)),"")),IF(ISNUMBER(SEARCH("Party Name:-",'R.M Billets Reports'!D2892)),TRIM('R.M Billets Reports'!F2892),IF(ISNUMBER(SEARCH("Party Name-",'R.M Billets Reports'!D2892)),TRIM(MID('R.M Billets Reports'!D2892,SEARCH("-",'R.M Billets Reports'!D2892)+1,200)),"")))="VRKP ISPAT PVT LTD","VRKP",IF(IF(IF(ISNUMBER(SEARCH("Party Name:-",'R.M Billets Reports'!D2891)),TRIM('R.M Billets Reports'!F2891),IF(ISNUMBER(SEARCH("Party Name-",'R.M Billets Reports'!D2891)),TRIM(MID('R.M Billets Reports'!D2891,SEARCH("-",'R.M Billets Reports'!D2891)+1,200)),""))&lt;&gt;"",IF(ISNUMBER(SEARCH("Party Name:-",'R.M Billets Reports'!D2891)),TRIM('R.M Billets Reports'!F2891),IF(ISNUMBER(SEARCH("Party Name-",'R.M Billets Reports'!D2891)),TRIM(MID('R.M Billets Reports'!D2891,SEARCH("-",'R.M Billets Reports'!D2891)+1,200)),"")),IF(ISNUMBER(SEARCH("Party Name:-",'R.M Billets Reports'!D2892)),TRIM('R.M Billets Reports'!F2892),IF(ISNUMBER(SEARCH("Party Name-",'R.M Billets Reports'!D2892)),TRIM(MID('R.M Billets Reports'!D2892,SEARCH("-",'R.M Billets Reports'!D2892)+1,200)),"")))="SHRI RADHE","SHREE RADHE",IF(IF(IF(ISNUMBER(SEARCH("Party Name:-",'R.M Billets Reports'!D2891)),TRIM('R.M Billets Reports'!F2891),IF(ISNUMBER(SEARCH("Party Name-",'R.M Billets Reports'!D2891)),TRIM(MID('R.M Billets Reports'!D2891,SEARCH("-",'R.M Billets Reports'!D2891)+1,200)),""))&lt;&gt;"",IF(ISNUMBER(SEARCH("Party Name:-",'R.M Billets Reports'!D2891)),TRIM('R.M Billets Reports'!F2891),IF(ISNUMBER(SEARCH("Party Name-",'R.M Billets Reports'!D2891)),TRIM(MID('R.M Billets Reports'!D2891,SEARCH("-",'R.M Billets Reports'!D2891)+1,200)),"")),IF(ISNUMBER(SEARCH("Party Name:-",'R.M Billets Reports'!D2892)),TRIM('R.M Billets Reports'!F2892),IF(ISNUMBER(SEARCH("Party Name-",'R.M Billets Reports'!D2892)),TRIM(MID('R.M Billets Reports'!D2892,SEARCH("-",'R.M Billets Reports'!D2892)+1,200)),"")))="SHREE RADHE SHAKTI SPONGE AND POWER PVT. LTD.","SHREE RADHE",IF(IF(ISNUMBER(SEARCH("Party Name:-",'R.M Billets Reports'!D2891)),TRIM('R.M Billets Reports'!F2891),IF(ISNUMBER(SEARCH("Party Name-",'R.M Billets Reports'!D2891)),TRIM(MID('R.M Billets Reports'!D2891,SEARCH("-",'R.M Billets Reports'!D2891)+1,200)),""))&lt;&gt;"",IF(ISNUMBER(SEARCH("Party Name:-",'R.M Billets Reports'!D2891)),TRIM('R.M Billets Reports'!F2891),IF(ISNUMBER(SEARCH("Party Name-",'R.M Billets Reports'!D2891)),TRIM(MID('R.M Billets Reports'!D2891,SEARCH("-",'R.M Billets Reports'!D2891)+1,200)),"")),IF(ISNUMBER(SEARCH("Party Name:-",'R.M Billets Reports'!D2892)),TRIM('R.M Billets Reports'!F2892),IF(ISNUMBER(SEARCH("Party Name-",'R.M Billets Reports'!D2892)),TRIM(MID('R.M Billets Reports'!D2892,SEARCH("-",'R.M Billets Reports'!D2892)+1,200)),"")))))),IF(ROW()=2,"",A2891))</f>
      </c>
      <c r="B2892">
        <f>IF(OR('R.M Billets Reports'!A2891="Date-",'R.M Billets Reports'!A2891="Date:-"),'R.M Billets Reports'!B2891,IF(ROW()=2,"",B2891))</f>
      </c>
      <c r="C2892">
        <f>IF('R.M Billets Reports'!A2891="V.No.",'R.M Billets Reports'!B2891,IF(ROW()=2,"",C2891))</f>
      </c>
      <c r="D2892">
        <f>IF('R.M Billets Reports'!A2891&lt;&gt;"",'R.M Billets Reports'!A2891,IF(ROW()=2,"",D2891))</f>
      </c>
      <c r="E2892">
        <f>IF('R.M Billets Reports'!B2891="","",TRIM('R.M Billets Reports'!B2891))</f>
      </c>
      <c r="F2892">
        <f>'R.M Billets Reports'!C2891</f>
      </c>
      <c r="G2892">
        <f>'R.M Billets Reports'!D2891</f>
      </c>
      <c r="H2892">
        <f>'R.M Billets Reports'!E2891</f>
      </c>
      <c r="I2892">
        <f>'R.M Billets Reports'!F2891</f>
      </c>
      <c r="J2892">
        <f>'R.M Billets Reports'!G2891</f>
      </c>
      <c r="K2892">
        <f>'R.M Billets Reports'!H2891</f>
      </c>
      <c r="L2892">
        <f>IF('R.M Billets Reports'!I2891="","",'R.M Billets Reports'!I2891)</f>
      </c>
      <c r="M2892">
        <f t="shared" si="90"/>
      </c>
      <c r="N2892">
        <f>IF('R.M Billets Reports'!J2891="","",'R.M Billets Reports'!J2891)</f>
      </c>
      <c r="O2892">
        <f t="shared" si="91"/>
      </c>
      <c r="P2892">
        <f>IF('R.M Billets Reports'!A2891="SIZE",'R.M Billets Reports'!B2891,P2891)</f>
      </c>
    </row>
    <row r="2893" spans="1:16" x14ac:dyDescent="0.25">
      <c r="A2893">
        <f>IF(OR('R.M Billets Reports'!A2892="Date-",'R.M Billets Reports'!A2892="Date:-"),IF(IF(IF(ISNUMBER(SEARCH("Party Name:-",'R.M Billets Reports'!D2892)),TRIM('R.M Billets Reports'!F2892),IF(ISNUMBER(SEARCH("Party Name-",'R.M Billets Reports'!D2892)),TRIM(MID('R.M Billets Reports'!D2892,SEARCH("-",'R.M Billets Reports'!D2892)+1,200)),""))&lt;&gt;"",IF(ISNUMBER(SEARCH("Party Name:-",'R.M Billets Reports'!D2892)),TRIM('R.M Billets Reports'!F2892),IF(ISNUMBER(SEARCH("Party Name-",'R.M Billets Reports'!D2892)),TRIM(MID('R.M Billets Reports'!D2892,SEARCH("-",'R.M Billets Reports'!D2892)+1,200)),"")),IF(ISNUMBER(SEARCH("Party Name:-",'R.M Billets Reports'!D2893)),TRIM('R.M Billets Reports'!F2893),IF(ISNUMBER(SEARCH("Party Name-",'R.M Billets Reports'!D2893)),TRIM(MID('R.M Billets Reports'!D2893,SEARCH("-",'R.M Billets Reports'!D2893)+1,200)),"")))="VRKP ISPAT PVT LTD","VRKP",IF(IF(IF(ISNUMBER(SEARCH("Party Name:-",'R.M Billets Reports'!D2892)),TRIM('R.M Billets Reports'!F2892),IF(ISNUMBER(SEARCH("Party Name-",'R.M Billets Reports'!D2892)),TRIM(MID('R.M Billets Reports'!D2892,SEARCH("-",'R.M Billets Reports'!D2892)+1,200)),""))&lt;&gt;"",IF(ISNUMBER(SEARCH("Party Name:-",'R.M Billets Reports'!D2892)),TRIM('R.M Billets Reports'!F2892),IF(ISNUMBER(SEARCH("Party Name-",'R.M Billets Reports'!D2892)),TRIM(MID('R.M Billets Reports'!D2892,SEARCH("-",'R.M Billets Reports'!D2892)+1,200)),"")),IF(ISNUMBER(SEARCH("Party Name:-",'R.M Billets Reports'!D2893)),TRIM('R.M Billets Reports'!F2893),IF(ISNUMBER(SEARCH("Party Name-",'R.M Billets Reports'!D2893)),TRIM(MID('R.M Billets Reports'!D2893,SEARCH("-",'R.M Billets Reports'!D2893)+1,200)),"")))="SHRI RADHE","SHREE RADHE",IF(IF(IF(ISNUMBER(SEARCH("Party Name:-",'R.M Billets Reports'!D2892)),TRIM('R.M Billets Reports'!F2892),IF(ISNUMBER(SEARCH("Party Name-",'R.M Billets Reports'!D2892)),TRIM(MID('R.M Billets Reports'!D2892,SEARCH("-",'R.M Billets Reports'!D2892)+1,200)),""))&lt;&gt;"",IF(ISNUMBER(SEARCH("Party Name:-",'R.M Billets Reports'!D2892)),TRIM('R.M Billets Reports'!F2892),IF(ISNUMBER(SEARCH("Party Name-",'R.M Billets Reports'!D2892)),TRIM(MID('R.M Billets Reports'!D2892,SEARCH("-",'R.M Billets Reports'!D2892)+1,200)),"")),IF(ISNUMBER(SEARCH("Party Name:-",'R.M Billets Reports'!D2893)),TRIM('R.M Billets Reports'!F2893),IF(ISNUMBER(SEARCH("Party Name-",'R.M Billets Reports'!D2893)),TRIM(MID('R.M Billets Reports'!D2893,SEARCH("-",'R.M Billets Reports'!D2893)+1,200)),"")))="SHREE RADHE SHAKTI SPONGE AND POWER PVT. LTD.","SHREE RADHE",IF(IF(ISNUMBER(SEARCH("Party Name:-",'R.M Billets Reports'!D2892)),TRIM('R.M Billets Reports'!F2892),IF(ISNUMBER(SEARCH("Party Name-",'R.M Billets Reports'!D2892)),TRIM(MID('R.M Billets Reports'!D2892,SEARCH("-",'R.M Billets Reports'!D2892)+1,200)),""))&lt;&gt;"",IF(ISNUMBER(SEARCH("Party Name:-",'R.M Billets Reports'!D2892)),TRIM('R.M Billets Reports'!F2892),IF(ISNUMBER(SEARCH("Party Name-",'R.M Billets Reports'!D2892)),TRIM(MID('R.M Billets Reports'!D2892,SEARCH("-",'R.M Billets Reports'!D2892)+1,200)),"")),IF(ISNUMBER(SEARCH("Party Name:-",'R.M Billets Reports'!D2893)),TRIM('R.M Billets Reports'!F2893),IF(ISNUMBER(SEARCH("Party Name-",'R.M Billets Reports'!D2893)),TRIM(MID('R.M Billets Reports'!D2893,SEARCH("-",'R.M Billets Reports'!D2893)+1,200)),"")))))),IF(ROW()=2,"",A2892))</f>
      </c>
      <c r="B2893">
        <f>IF(OR('R.M Billets Reports'!A2892="Date-",'R.M Billets Reports'!A2892="Date:-"),'R.M Billets Reports'!B2892,IF(ROW()=2,"",B2892))</f>
      </c>
      <c r="C2893">
        <f>IF('R.M Billets Reports'!A2892="V.No.",'R.M Billets Reports'!B2892,IF(ROW()=2,"",C2892))</f>
      </c>
      <c r="D2893">
        <f>IF('R.M Billets Reports'!A2892&lt;&gt;"",'R.M Billets Reports'!A2892,IF(ROW()=2,"",D2892))</f>
      </c>
      <c r="E2893">
        <f>IF('R.M Billets Reports'!B2892="","",TRIM('R.M Billets Reports'!B2892))</f>
      </c>
      <c r="F2893">
        <f>'R.M Billets Reports'!C2892</f>
      </c>
      <c r="G2893">
        <f>'R.M Billets Reports'!D2892</f>
      </c>
      <c r="H2893">
        <f>'R.M Billets Reports'!E2892</f>
      </c>
      <c r="I2893">
        <f>'R.M Billets Reports'!F2892</f>
      </c>
      <c r="J2893">
        <f>'R.M Billets Reports'!G2892</f>
      </c>
      <c r="K2893">
        <f>'R.M Billets Reports'!H2892</f>
      </c>
      <c r="L2893">
        <f>IF('R.M Billets Reports'!I2892="","",'R.M Billets Reports'!I2892)</f>
      </c>
      <c r="M2893">
        <f t="shared" si="90"/>
      </c>
      <c r="N2893">
        <f>IF('R.M Billets Reports'!J2892="","",'R.M Billets Reports'!J2892)</f>
      </c>
      <c r="O2893">
        <f t="shared" si="91"/>
      </c>
      <c r="P2893">
        <f>IF('R.M Billets Reports'!A2892="SIZE",'R.M Billets Reports'!B2892,P2892)</f>
      </c>
    </row>
    <row r="2894" spans="1:16" x14ac:dyDescent="0.25">
      <c r="A2894">
        <f>IF(OR('R.M Billets Reports'!A2893="Date-",'R.M Billets Reports'!A2893="Date:-"),IF(IF(IF(ISNUMBER(SEARCH("Party Name:-",'R.M Billets Reports'!D2893)),TRIM('R.M Billets Reports'!F2893),IF(ISNUMBER(SEARCH("Party Name-",'R.M Billets Reports'!D2893)),TRIM(MID('R.M Billets Reports'!D2893,SEARCH("-",'R.M Billets Reports'!D2893)+1,200)),""))&lt;&gt;"",IF(ISNUMBER(SEARCH("Party Name:-",'R.M Billets Reports'!D2893)),TRIM('R.M Billets Reports'!F2893),IF(ISNUMBER(SEARCH("Party Name-",'R.M Billets Reports'!D2893)),TRIM(MID('R.M Billets Reports'!D2893,SEARCH("-",'R.M Billets Reports'!D2893)+1,200)),"")),IF(ISNUMBER(SEARCH("Party Name:-",'R.M Billets Reports'!D2894)),TRIM('R.M Billets Reports'!F2894),IF(ISNUMBER(SEARCH("Party Name-",'R.M Billets Reports'!D2894)),TRIM(MID('R.M Billets Reports'!D2894,SEARCH("-",'R.M Billets Reports'!D2894)+1,200)),"")))="VRKP ISPAT PVT LTD","VRKP",IF(IF(IF(ISNUMBER(SEARCH("Party Name:-",'R.M Billets Reports'!D2893)),TRIM('R.M Billets Reports'!F2893),IF(ISNUMBER(SEARCH("Party Name-",'R.M Billets Reports'!D2893)),TRIM(MID('R.M Billets Reports'!D2893,SEARCH("-",'R.M Billets Reports'!D2893)+1,200)),""))&lt;&gt;"",IF(ISNUMBER(SEARCH("Party Name:-",'R.M Billets Reports'!D2893)),TRIM('R.M Billets Reports'!F2893),IF(ISNUMBER(SEARCH("Party Name-",'R.M Billets Reports'!D2893)),TRIM(MID('R.M Billets Reports'!D2893,SEARCH("-",'R.M Billets Reports'!D2893)+1,200)),"")),IF(ISNUMBER(SEARCH("Party Name:-",'R.M Billets Reports'!D2894)),TRIM('R.M Billets Reports'!F2894),IF(ISNUMBER(SEARCH("Party Name-",'R.M Billets Reports'!D2894)),TRIM(MID('R.M Billets Reports'!D2894,SEARCH("-",'R.M Billets Reports'!D2894)+1,200)),"")))="SHRI RADHE","SHREE RADHE",IF(IF(IF(ISNUMBER(SEARCH("Party Name:-",'R.M Billets Reports'!D2893)),TRIM('R.M Billets Reports'!F2893),IF(ISNUMBER(SEARCH("Party Name-",'R.M Billets Reports'!D2893)),TRIM(MID('R.M Billets Reports'!D2893,SEARCH("-",'R.M Billets Reports'!D2893)+1,200)),""))&lt;&gt;"",IF(ISNUMBER(SEARCH("Party Name:-",'R.M Billets Reports'!D2893)),TRIM('R.M Billets Reports'!F2893),IF(ISNUMBER(SEARCH("Party Name-",'R.M Billets Reports'!D2893)),TRIM(MID('R.M Billets Reports'!D2893,SEARCH("-",'R.M Billets Reports'!D2893)+1,200)),"")),IF(ISNUMBER(SEARCH("Party Name:-",'R.M Billets Reports'!D2894)),TRIM('R.M Billets Reports'!F2894),IF(ISNUMBER(SEARCH("Party Name-",'R.M Billets Reports'!D2894)),TRIM(MID('R.M Billets Reports'!D2894,SEARCH("-",'R.M Billets Reports'!D2894)+1,200)),"")))="SHREE RADHE SHAKTI SPONGE AND POWER PVT. LTD.","SHREE RADHE",IF(IF(ISNUMBER(SEARCH("Party Name:-",'R.M Billets Reports'!D2893)),TRIM('R.M Billets Reports'!F2893),IF(ISNUMBER(SEARCH("Party Name-",'R.M Billets Reports'!D2893)),TRIM(MID('R.M Billets Reports'!D2893,SEARCH("-",'R.M Billets Reports'!D2893)+1,200)),""))&lt;&gt;"",IF(ISNUMBER(SEARCH("Party Name:-",'R.M Billets Reports'!D2893)),TRIM('R.M Billets Reports'!F2893),IF(ISNUMBER(SEARCH("Party Name-",'R.M Billets Reports'!D2893)),TRIM(MID('R.M Billets Reports'!D2893,SEARCH("-",'R.M Billets Reports'!D2893)+1,200)),"")),IF(ISNUMBER(SEARCH("Party Name:-",'R.M Billets Reports'!D2894)),TRIM('R.M Billets Reports'!F2894),IF(ISNUMBER(SEARCH("Party Name-",'R.M Billets Reports'!D2894)),TRIM(MID('R.M Billets Reports'!D2894,SEARCH("-",'R.M Billets Reports'!D2894)+1,200)),"")))))),IF(ROW()=2,"",A2893))</f>
      </c>
      <c r="B2894">
        <f>IF(OR('R.M Billets Reports'!A2893="Date-",'R.M Billets Reports'!A2893="Date:-"),'R.M Billets Reports'!B2893,IF(ROW()=2,"",B2893))</f>
      </c>
      <c r="C2894">
        <f>IF('R.M Billets Reports'!A2893="V.No.",'R.M Billets Reports'!B2893,IF(ROW()=2,"",C2893))</f>
      </c>
      <c r="D2894">
        <f>IF('R.M Billets Reports'!A2893&lt;&gt;"",'R.M Billets Reports'!A2893,IF(ROW()=2,"",D2893))</f>
      </c>
      <c r="E2894">
        <f>IF('R.M Billets Reports'!B2893="","",TRIM('R.M Billets Reports'!B2893))</f>
      </c>
      <c r="F2894">
        <f>'R.M Billets Reports'!C2893</f>
      </c>
      <c r="G2894">
        <f>'R.M Billets Reports'!D2893</f>
      </c>
      <c r="H2894">
        <f>'R.M Billets Reports'!E2893</f>
      </c>
      <c r="I2894">
        <f>'R.M Billets Reports'!F2893</f>
      </c>
      <c r="J2894">
        <f>'R.M Billets Reports'!G2893</f>
      </c>
      <c r="K2894">
        <f>'R.M Billets Reports'!H2893</f>
      </c>
      <c r="L2894">
        <f>IF('R.M Billets Reports'!I2893="","",'R.M Billets Reports'!I2893)</f>
      </c>
      <c r="M2894">
        <f t="shared" si="90"/>
      </c>
      <c r="N2894">
        <f>IF('R.M Billets Reports'!J2893="","",'R.M Billets Reports'!J2893)</f>
      </c>
      <c r="O2894">
        <f t="shared" si="91"/>
      </c>
      <c r="P2894">
        <f>IF('R.M Billets Reports'!A2893="SIZE",'R.M Billets Reports'!B2893,P2893)</f>
      </c>
    </row>
    <row r="2895" spans="1:16" x14ac:dyDescent="0.25">
      <c r="A2895">
        <f>IF(OR('R.M Billets Reports'!A2894="Date-",'R.M Billets Reports'!A2894="Date:-"),IF(IF(IF(ISNUMBER(SEARCH("Party Name:-",'R.M Billets Reports'!D2894)),TRIM('R.M Billets Reports'!F2894),IF(ISNUMBER(SEARCH("Party Name-",'R.M Billets Reports'!D2894)),TRIM(MID('R.M Billets Reports'!D2894,SEARCH("-",'R.M Billets Reports'!D2894)+1,200)),""))&lt;&gt;"",IF(ISNUMBER(SEARCH("Party Name:-",'R.M Billets Reports'!D2894)),TRIM('R.M Billets Reports'!F2894),IF(ISNUMBER(SEARCH("Party Name-",'R.M Billets Reports'!D2894)),TRIM(MID('R.M Billets Reports'!D2894,SEARCH("-",'R.M Billets Reports'!D2894)+1,200)),"")),IF(ISNUMBER(SEARCH("Party Name:-",'R.M Billets Reports'!D2895)),TRIM('R.M Billets Reports'!F2895),IF(ISNUMBER(SEARCH("Party Name-",'R.M Billets Reports'!D2895)),TRIM(MID('R.M Billets Reports'!D2895,SEARCH("-",'R.M Billets Reports'!D2895)+1,200)),"")))="VRKP ISPAT PVT LTD","VRKP",IF(IF(IF(ISNUMBER(SEARCH("Party Name:-",'R.M Billets Reports'!D2894)),TRIM('R.M Billets Reports'!F2894),IF(ISNUMBER(SEARCH("Party Name-",'R.M Billets Reports'!D2894)),TRIM(MID('R.M Billets Reports'!D2894,SEARCH("-",'R.M Billets Reports'!D2894)+1,200)),""))&lt;&gt;"",IF(ISNUMBER(SEARCH("Party Name:-",'R.M Billets Reports'!D2894)),TRIM('R.M Billets Reports'!F2894),IF(ISNUMBER(SEARCH("Party Name-",'R.M Billets Reports'!D2894)),TRIM(MID('R.M Billets Reports'!D2894,SEARCH("-",'R.M Billets Reports'!D2894)+1,200)),"")),IF(ISNUMBER(SEARCH("Party Name:-",'R.M Billets Reports'!D2895)),TRIM('R.M Billets Reports'!F2895),IF(ISNUMBER(SEARCH("Party Name-",'R.M Billets Reports'!D2895)),TRIM(MID('R.M Billets Reports'!D2895,SEARCH("-",'R.M Billets Reports'!D2895)+1,200)),"")))="SHRI RADHE","SHREE RADHE",IF(IF(IF(ISNUMBER(SEARCH("Party Name:-",'R.M Billets Reports'!D2894)),TRIM('R.M Billets Reports'!F2894),IF(ISNUMBER(SEARCH("Party Name-",'R.M Billets Reports'!D2894)),TRIM(MID('R.M Billets Reports'!D2894,SEARCH("-",'R.M Billets Reports'!D2894)+1,200)),""))&lt;&gt;"",IF(ISNUMBER(SEARCH("Party Name:-",'R.M Billets Reports'!D2894)),TRIM('R.M Billets Reports'!F2894),IF(ISNUMBER(SEARCH("Party Name-",'R.M Billets Reports'!D2894)),TRIM(MID('R.M Billets Reports'!D2894,SEARCH("-",'R.M Billets Reports'!D2894)+1,200)),"")),IF(ISNUMBER(SEARCH("Party Name:-",'R.M Billets Reports'!D2895)),TRIM('R.M Billets Reports'!F2895),IF(ISNUMBER(SEARCH("Party Name-",'R.M Billets Reports'!D2895)),TRIM(MID('R.M Billets Reports'!D2895,SEARCH("-",'R.M Billets Reports'!D2895)+1,200)),"")))="SHREE RADHE SHAKTI SPONGE AND POWER PVT. LTD.","SHREE RADHE",IF(IF(ISNUMBER(SEARCH("Party Name:-",'R.M Billets Reports'!D2894)),TRIM('R.M Billets Reports'!F2894),IF(ISNUMBER(SEARCH("Party Name-",'R.M Billets Reports'!D2894)),TRIM(MID('R.M Billets Reports'!D2894,SEARCH("-",'R.M Billets Reports'!D2894)+1,200)),""))&lt;&gt;"",IF(ISNUMBER(SEARCH("Party Name:-",'R.M Billets Reports'!D2894)),TRIM('R.M Billets Reports'!F2894),IF(ISNUMBER(SEARCH("Party Name-",'R.M Billets Reports'!D2894)),TRIM(MID('R.M Billets Reports'!D2894,SEARCH("-",'R.M Billets Reports'!D2894)+1,200)),"")),IF(ISNUMBER(SEARCH("Party Name:-",'R.M Billets Reports'!D2895)),TRIM('R.M Billets Reports'!F2895),IF(ISNUMBER(SEARCH("Party Name-",'R.M Billets Reports'!D2895)),TRIM(MID('R.M Billets Reports'!D2895,SEARCH("-",'R.M Billets Reports'!D2895)+1,200)),"")))))),IF(ROW()=2,"",A2894))</f>
      </c>
      <c r="B2895">
        <f>IF(OR('R.M Billets Reports'!A2894="Date-",'R.M Billets Reports'!A2894="Date:-"),'R.M Billets Reports'!B2894,IF(ROW()=2,"",B2894))</f>
      </c>
      <c r="C2895">
        <f>IF('R.M Billets Reports'!A2894="V.No.",'R.M Billets Reports'!B2894,IF(ROW()=2,"",C2894))</f>
      </c>
      <c r="D2895">
        <f>IF('R.M Billets Reports'!A2894&lt;&gt;"",'R.M Billets Reports'!A2894,IF(ROW()=2,"",D2894))</f>
      </c>
      <c r="E2895">
        <f>IF('R.M Billets Reports'!B2894="","",TRIM('R.M Billets Reports'!B2894))</f>
      </c>
      <c r="F2895">
        <f>'R.M Billets Reports'!C2894</f>
      </c>
      <c r="G2895">
        <f>'R.M Billets Reports'!D2894</f>
      </c>
      <c r="H2895">
        <f>'R.M Billets Reports'!E2894</f>
      </c>
      <c r="I2895">
        <f>'R.M Billets Reports'!F2894</f>
      </c>
      <c r="J2895">
        <f>'R.M Billets Reports'!G2894</f>
      </c>
      <c r="K2895">
        <f>'R.M Billets Reports'!H2894</f>
      </c>
      <c r="L2895">
        <f>IF('R.M Billets Reports'!I2894="","",'R.M Billets Reports'!I2894)</f>
      </c>
      <c r="M2895">
        <f t="shared" si="90"/>
      </c>
      <c r="N2895">
        <f>IF('R.M Billets Reports'!J2894="","",'R.M Billets Reports'!J2894)</f>
      </c>
      <c r="O2895">
        <f t="shared" si="91"/>
      </c>
      <c r="P2895">
        <f>IF('R.M Billets Reports'!A2894="SIZE",'R.M Billets Reports'!B2894,P2894)</f>
      </c>
    </row>
    <row r="2896" spans="1:16" x14ac:dyDescent="0.25">
      <c r="A2896">
        <f>IF(OR('R.M Billets Reports'!A2895="Date-",'R.M Billets Reports'!A2895="Date:-"),IF(IF(IF(ISNUMBER(SEARCH("Party Name:-",'R.M Billets Reports'!D2895)),TRIM('R.M Billets Reports'!F2895),IF(ISNUMBER(SEARCH("Party Name-",'R.M Billets Reports'!D2895)),TRIM(MID('R.M Billets Reports'!D2895,SEARCH("-",'R.M Billets Reports'!D2895)+1,200)),""))&lt;&gt;"",IF(ISNUMBER(SEARCH("Party Name:-",'R.M Billets Reports'!D2895)),TRIM('R.M Billets Reports'!F2895),IF(ISNUMBER(SEARCH("Party Name-",'R.M Billets Reports'!D2895)),TRIM(MID('R.M Billets Reports'!D2895,SEARCH("-",'R.M Billets Reports'!D2895)+1,200)),"")),IF(ISNUMBER(SEARCH("Party Name:-",'R.M Billets Reports'!D2896)),TRIM('R.M Billets Reports'!F2896),IF(ISNUMBER(SEARCH("Party Name-",'R.M Billets Reports'!D2896)),TRIM(MID('R.M Billets Reports'!D2896,SEARCH("-",'R.M Billets Reports'!D2896)+1,200)),"")))="VRKP ISPAT PVT LTD","VRKP",IF(IF(IF(ISNUMBER(SEARCH("Party Name:-",'R.M Billets Reports'!D2895)),TRIM('R.M Billets Reports'!F2895),IF(ISNUMBER(SEARCH("Party Name-",'R.M Billets Reports'!D2895)),TRIM(MID('R.M Billets Reports'!D2895,SEARCH("-",'R.M Billets Reports'!D2895)+1,200)),""))&lt;&gt;"",IF(ISNUMBER(SEARCH("Party Name:-",'R.M Billets Reports'!D2895)),TRIM('R.M Billets Reports'!F2895),IF(ISNUMBER(SEARCH("Party Name-",'R.M Billets Reports'!D2895)),TRIM(MID('R.M Billets Reports'!D2895,SEARCH("-",'R.M Billets Reports'!D2895)+1,200)),"")),IF(ISNUMBER(SEARCH("Party Name:-",'R.M Billets Reports'!D2896)),TRIM('R.M Billets Reports'!F2896),IF(ISNUMBER(SEARCH("Party Name-",'R.M Billets Reports'!D2896)),TRIM(MID('R.M Billets Reports'!D2896,SEARCH("-",'R.M Billets Reports'!D2896)+1,200)),"")))="SHRI RADHE","SHREE RADHE",IF(IF(IF(ISNUMBER(SEARCH("Party Name:-",'R.M Billets Reports'!D2895)),TRIM('R.M Billets Reports'!F2895),IF(ISNUMBER(SEARCH("Party Name-",'R.M Billets Reports'!D2895)),TRIM(MID('R.M Billets Reports'!D2895,SEARCH("-",'R.M Billets Reports'!D2895)+1,200)),""))&lt;&gt;"",IF(ISNUMBER(SEARCH("Party Name:-",'R.M Billets Reports'!D2895)),TRIM('R.M Billets Reports'!F2895),IF(ISNUMBER(SEARCH("Party Name-",'R.M Billets Reports'!D2895)),TRIM(MID('R.M Billets Reports'!D2895,SEARCH("-",'R.M Billets Reports'!D2895)+1,200)),"")),IF(ISNUMBER(SEARCH("Party Name:-",'R.M Billets Reports'!D2896)),TRIM('R.M Billets Reports'!F2896),IF(ISNUMBER(SEARCH("Party Name-",'R.M Billets Reports'!D2896)),TRIM(MID('R.M Billets Reports'!D2896,SEARCH("-",'R.M Billets Reports'!D2896)+1,200)),"")))="SHREE RADHE SHAKTI SPONGE AND POWER PVT. LTD.","SHREE RADHE",IF(IF(ISNUMBER(SEARCH("Party Name:-",'R.M Billets Reports'!D2895)),TRIM('R.M Billets Reports'!F2895),IF(ISNUMBER(SEARCH("Party Name-",'R.M Billets Reports'!D2895)),TRIM(MID('R.M Billets Reports'!D2895,SEARCH("-",'R.M Billets Reports'!D2895)+1,200)),""))&lt;&gt;"",IF(ISNUMBER(SEARCH("Party Name:-",'R.M Billets Reports'!D2895)),TRIM('R.M Billets Reports'!F2895),IF(ISNUMBER(SEARCH("Party Name-",'R.M Billets Reports'!D2895)),TRIM(MID('R.M Billets Reports'!D2895,SEARCH("-",'R.M Billets Reports'!D2895)+1,200)),"")),IF(ISNUMBER(SEARCH("Party Name:-",'R.M Billets Reports'!D2896)),TRIM('R.M Billets Reports'!F2896),IF(ISNUMBER(SEARCH("Party Name-",'R.M Billets Reports'!D2896)),TRIM(MID('R.M Billets Reports'!D2896,SEARCH("-",'R.M Billets Reports'!D2896)+1,200)),"")))))),IF(ROW()=2,"",A2895))</f>
      </c>
      <c r="B2896">
        <f>IF(OR('R.M Billets Reports'!A2895="Date-",'R.M Billets Reports'!A2895="Date:-"),'R.M Billets Reports'!B2895,IF(ROW()=2,"",B2895))</f>
      </c>
      <c r="C2896">
        <f>IF('R.M Billets Reports'!A2895="V.No.",'R.M Billets Reports'!B2895,IF(ROW()=2,"",C2895))</f>
      </c>
      <c r="D2896">
        <f>IF('R.M Billets Reports'!A2895&lt;&gt;"",'R.M Billets Reports'!A2895,IF(ROW()=2,"",D2895))</f>
      </c>
      <c r="E2896">
        <f>IF('R.M Billets Reports'!B2895="","",TRIM('R.M Billets Reports'!B2895))</f>
      </c>
      <c r="F2896">
        <f>'R.M Billets Reports'!C2895</f>
      </c>
      <c r="G2896">
        <f>'R.M Billets Reports'!D2895</f>
      </c>
      <c r="H2896">
        <f>'R.M Billets Reports'!E2895</f>
      </c>
      <c r="I2896">
        <f>'R.M Billets Reports'!F2895</f>
      </c>
      <c r="J2896">
        <f>'R.M Billets Reports'!G2895</f>
      </c>
      <c r="K2896">
        <f>'R.M Billets Reports'!H2895</f>
      </c>
      <c r="L2896">
        <f>IF('R.M Billets Reports'!I2895="","",'R.M Billets Reports'!I2895)</f>
      </c>
      <c r="M2896">
        <f t="shared" si="90"/>
      </c>
      <c r="N2896">
        <f>IF('R.M Billets Reports'!J2895="","",'R.M Billets Reports'!J2895)</f>
      </c>
      <c r="O2896">
        <f t="shared" si="91"/>
      </c>
      <c r="P2896">
        <f>IF('R.M Billets Reports'!A2895="SIZE",'R.M Billets Reports'!B2895,P2895)</f>
      </c>
    </row>
    <row r="2897" spans="1:16" x14ac:dyDescent="0.25">
      <c r="A2897">
        <f>IF(OR('R.M Billets Reports'!A2896="Date-",'R.M Billets Reports'!A2896="Date:-"),IF(IF(IF(ISNUMBER(SEARCH("Party Name:-",'R.M Billets Reports'!D2896)),TRIM('R.M Billets Reports'!F2896),IF(ISNUMBER(SEARCH("Party Name-",'R.M Billets Reports'!D2896)),TRIM(MID('R.M Billets Reports'!D2896,SEARCH("-",'R.M Billets Reports'!D2896)+1,200)),""))&lt;&gt;"",IF(ISNUMBER(SEARCH("Party Name:-",'R.M Billets Reports'!D2896)),TRIM('R.M Billets Reports'!F2896),IF(ISNUMBER(SEARCH("Party Name-",'R.M Billets Reports'!D2896)),TRIM(MID('R.M Billets Reports'!D2896,SEARCH("-",'R.M Billets Reports'!D2896)+1,200)),"")),IF(ISNUMBER(SEARCH("Party Name:-",'R.M Billets Reports'!D2897)),TRIM('R.M Billets Reports'!F2897),IF(ISNUMBER(SEARCH("Party Name-",'R.M Billets Reports'!D2897)),TRIM(MID('R.M Billets Reports'!D2897,SEARCH("-",'R.M Billets Reports'!D2897)+1,200)),"")))="VRKP ISPAT PVT LTD","VRKP",IF(IF(IF(ISNUMBER(SEARCH("Party Name:-",'R.M Billets Reports'!D2896)),TRIM('R.M Billets Reports'!F2896),IF(ISNUMBER(SEARCH("Party Name-",'R.M Billets Reports'!D2896)),TRIM(MID('R.M Billets Reports'!D2896,SEARCH("-",'R.M Billets Reports'!D2896)+1,200)),""))&lt;&gt;"",IF(ISNUMBER(SEARCH("Party Name:-",'R.M Billets Reports'!D2896)),TRIM('R.M Billets Reports'!F2896),IF(ISNUMBER(SEARCH("Party Name-",'R.M Billets Reports'!D2896)),TRIM(MID('R.M Billets Reports'!D2896,SEARCH("-",'R.M Billets Reports'!D2896)+1,200)),"")),IF(ISNUMBER(SEARCH("Party Name:-",'R.M Billets Reports'!D2897)),TRIM('R.M Billets Reports'!F2897),IF(ISNUMBER(SEARCH("Party Name-",'R.M Billets Reports'!D2897)),TRIM(MID('R.M Billets Reports'!D2897,SEARCH("-",'R.M Billets Reports'!D2897)+1,200)),"")))="SHRI RADHE","SHREE RADHE",IF(IF(IF(ISNUMBER(SEARCH("Party Name:-",'R.M Billets Reports'!D2896)),TRIM('R.M Billets Reports'!F2896),IF(ISNUMBER(SEARCH("Party Name-",'R.M Billets Reports'!D2896)),TRIM(MID('R.M Billets Reports'!D2896,SEARCH("-",'R.M Billets Reports'!D2896)+1,200)),""))&lt;&gt;"",IF(ISNUMBER(SEARCH("Party Name:-",'R.M Billets Reports'!D2896)),TRIM('R.M Billets Reports'!F2896),IF(ISNUMBER(SEARCH("Party Name-",'R.M Billets Reports'!D2896)),TRIM(MID('R.M Billets Reports'!D2896,SEARCH("-",'R.M Billets Reports'!D2896)+1,200)),"")),IF(ISNUMBER(SEARCH("Party Name:-",'R.M Billets Reports'!D2897)),TRIM('R.M Billets Reports'!F2897),IF(ISNUMBER(SEARCH("Party Name-",'R.M Billets Reports'!D2897)),TRIM(MID('R.M Billets Reports'!D2897,SEARCH("-",'R.M Billets Reports'!D2897)+1,200)),"")))="SHREE RADHE SHAKTI SPONGE AND POWER PVT. LTD.","SHREE RADHE",IF(IF(ISNUMBER(SEARCH("Party Name:-",'R.M Billets Reports'!D2896)),TRIM('R.M Billets Reports'!F2896),IF(ISNUMBER(SEARCH("Party Name-",'R.M Billets Reports'!D2896)),TRIM(MID('R.M Billets Reports'!D2896,SEARCH("-",'R.M Billets Reports'!D2896)+1,200)),""))&lt;&gt;"",IF(ISNUMBER(SEARCH("Party Name:-",'R.M Billets Reports'!D2896)),TRIM('R.M Billets Reports'!F2896),IF(ISNUMBER(SEARCH("Party Name-",'R.M Billets Reports'!D2896)),TRIM(MID('R.M Billets Reports'!D2896,SEARCH("-",'R.M Billets Reports'!D2896)+1,200)),"")),IF(ISNUMBER(SEARCH("Party Name:-",'R.M Billets Reports'!D2897)),TRIM('R.M Billets Reports'!F2897),IF(ISNUMBER(SEARCH("Party Name-",'R.M Billets Reports'!D2897)),TRIM(MID('R.M Billets Reports'!D2897,SEARCH("-",'R.M Billets Reports'!D2897)+1,200)),"")))))),IF(ROW()=2,"",A2896))</f>
      </c>
      <c r="B2897">
        <f>IF(OR('R.M Billets Reports'!A2896="Date-",'R.M Billets Reports'!A2896="Date:-"),'R.M Billets Reports'!B2896,IF(ROW()=2,"",B2896))</f>
      </c>
      <c r="C2897">
        <f>IF('R.M Billets Reports'!A2896="V.No.",'R.M Billets Reports'!B2896,IF(ROW()=2,"",C2896))</f>
      </c>
      <c r="D2897">
        <f>IF('R.M Billets Reports'!A2896&lt;&gt;"",'R.M Billets Reports'!A2896,IF(ROW()=2,"",D2896))</f>
      </c>
      <c r="E2897">
        <f>IF('R.M Billets Reports'!B2896="","",TRIM('R.M Billets Reports'!B2896))</f>
      </c>
      <c r="F2897">
        <f>'R.M Billets Reports'!C2896</f>
      </c>
      <c r="G2897">
        <f>'R.M Billets Reports'!D2896</f>
      </c>
      <c r="H2897">
        <f>'R.M Billets Reports'!E2896</f>
      </c>
      <c r="I2897">
        <f>'R.M Billets Reports'!F2896</f>
      </c>
      <c r="J2897">
        <f>'R.M Billets Reports'!G2896</f>
      </c>
      <c r="K2897">
        <f>'R.M Billets Reports'!H2896</f>
      </c>
      <c r="L2897">
        <f>IF('R.M Billets Reports'!I2896="","",'R.M Billets Reports'!I2896)</f>
      </c>
      <c r="M2897">
        <f t="shared" si="90"/>
      </c>
      <c r="N2897">
        <f>IF('R.M Billets Reports'!J2896="","",'R.M Billets Reports'!J2896)</f>
      </c>
      <c r="O2897">
        <f t="shared" si="91"/>
      </c>
      <c r="P2897">
        <f>IF('R.M Billets Reports'!A2896="SIZE",'R.M Billets Reports'!B2896,P2896)</f>
      </c>
    </row>
    <row r="2898" spans="1:16" x14ac:dyDescent="0.25">
      <c r="A2898">
        <f>IF(OR('R.M Billets Reports'!A2897="Date-",'R.M Billets Reports'!A2897="Date:-"),IF(IF(IF(ISNUMBER(SEARCH("Party Name:-",'R.M Billets Reports'!D2897)),TRIM('R.M Billets Reports'!F2897),IF(ISNUMBER(SEARCH("Party Name-",'R.M Billets Reports'!D2897)),TRIM(MID('R.M Billets Reports'!D2897,SEARCH("-",'R.M Billets Reports'!D2897)+1,200)),""))&lt;&gt;"",IF(ISNUMBER(SEARCH("Party Name:-",'R.M Billets Reports'!D2897)),TRIM('R.M Billets Reports'!F2897),IF(ISNUMBER(SEARCH("Party Name-",'R.M Billets Reports'!D2897)),TRIM(MID('R.M Billets Reports'!D2897,SEARCH("-",'R.M Billets Reports'!D2897)+1,200)),"")),IF(ISNUMBER(SEARCH("Party Name:-",'R.M Billets Reports'!D2898)),TRIM('R.M Billets Reports'!F2898),IF(ISNUMBER(SEARCH("Party Name-",'R.M Billets Reports'!D2898)),TRIM(MID('R.M Billets Reports'!D2898,SEARCH("-",'R.M Billets Reports'!D2898)+1,200)),"")))="VRKP ISPAT PVT LTD","VRKP",IF(IF(IF(ISNUMBER(SEARCH("Party Name:-",'R.M Billets Reports'!D2897)),TRIM('R.M Billets Reports'!F2897),IF(ISNUMBER(SEARCH("Party Name-",'R.M Billets Reports'!D2897)),TRIM(MID('R.M Billets Reports'!D2897,SEARCH("-",'R.M Billets Reports'!D2897)+1,200)),""))&lt;&gt;"",IF(ISNUMBER(SEARCH("Party Name:-",'R.M Billets Reports'!D2897)),TRIM('R.M Billets Reports'!F2897),IF(ISNUMBER(SEARCH("Party Name-",'R.M Billets Reports'!D2897)),TRIM(MID('R.M Billets Reports'!D2897,SEARCH("-",'R.M Billets Reports'!D2897)+1,200)),"")),IF(ISNUMBER(SEARCH("Party Name:-",'R.M Billets Reports'!D2898)),TRIM('R.M Billets Reports'!F2898),IF(ISNUMBER(SEARCH("Party Name-",'R.M Billets Reports'!D2898)),TRIM(MID('R.M Billets Reports'!D2898,SEARCH("-",'R.M Billets Reports'!D2898)+1,200)),"")))="SHRI RADHE","SHREE RADHE",IF(IF(IF(ISNUMBER(SEARCH("Party Name:-",'R.M Billets Reports'!D2897)),TRIM('R.M Billets Reports'!F2897),IF(ISNUMBER(SEARCH("Party Name-",'R.M Billets Reports'!D2897)),TRIM(MID('R.M Billets Reports'!D2897,SEARCH("-",'R.M Billets Reports'!D2897)+1,200)),""))&lt;&gt;"",IF(ISNUMBER(SEARCH("Party Name:-",'R.M Billets Reports'!D2897)),TRIM('R.M Billets Reports'!F2897),IF(ISNUMBER(SEARCH("Party Name-",'R.M Billets Reports'!D2897)),TRIM(MID('R.M Billets Reports'!D2897,SEARCH("-",'R.M Billets Reports'!D2897)+1,200)),"")),IF(ISNUMBER(SEARCH("Party Name:-",'R.M Billets Reports'!D2898)),TRIM('R.M Billets Reports'!F2898),IF(ISNUMBER(SEARCH("Party Name-",'R.M Billets Reports'!D2898)),TRIM(MID('R.M Billets Reports'!D2898,SEARCH("-",'R.M Billets Reports'!D2898)+1,200)),"")))="SHREE RADHE SHAKTI SPONGE AND POWER PVT. LTD.","SHREE RADHE",IF(IF(ISNUMBER(SEARCH("Party Name:-",'R.M Billets Reports'!D2897)),TRIM('R.M Billets Reports'!F2897),IF(ISNUMBER(SEARCH("Party Name-",'R.M Billets Reports'!D2897)),TRIM(MID('R.M Billets Reports'!D2897,SEARCH("-",'R.M Billets Reports'!D2897)+1,200)),""))&lt;&gt;"",IF(ISNUMBER(SEARCH("Party Name:-",'R.M Billets Reports'!D2897)),TRIM('R.M Billets Reports'!F2897),IF(ISNUMBER(SEARCH("Party Name-",'R.M Billets Reports'!D2897)),TRIM(MID('R.M Billets Reports'!D2897,SEARCH("-",'R.M Billets Reports'!D2897)+1,200)),"")),IF(ISNUMBER(SEARCH("Party Name:-",'R.M Billets Reports'!D2898)),TRIM('R.M Billets Reports'!F2898),IF(ISNUMBER(SEARCH("Party Name-",'R.M Billets Reports'!D2898)),TRIM(MID('R.M Billets Reports'!D2898,SEARCH("-",'R.M Billets Reports'!D2898)+1,200)),"")))))),IF(ROW()=2,"",A2897))</f>
      </c>
      <c r="B2898">
        <f>IF(OR('R.M Billets Reports'!A2897="Date-",'R.M Billets Reports'!A2897="Date:-"),'R.M Billets Reports'!B2897,IF(ROW()=2,"",B2897))</f>
      </c>
      <c r="C2898">
        <f>IF('R.M Billets Reports'!A2897="V.No.",'R.M Billets Reports'!B2897,IF(ROW()=2,"",C2897))</f>
      </c>
      <c r="D2898">
        <f>IF('R.M Billets Reports'!A2897&lt;&gt;"",'R.M Billets Reports'!A2897,IF(ROW()=2,"",D2897))</f>
      </c>
      <c r="E2898">
        <f>IF('R.M Billets Reports'!B2897="","",TRIM('R.M Billets Reports'!B2897))</f>
      </c>
      <c r="F2898">
        <f>'R.M Billets Reports'!C2897</f>
      </c>
      <c r="G2898">
        <f>'R.M Billets Reports'!D2897</f>
      </c>
      <c r="H2898">
        <f>'R.M Billets Reports'!E2897</f>
      </c>
      <c r="I2898">
        <f>'R.M Billets Reports'!F2897</f>
      </c>
      <c r="J2898">
        <f>'R.M Billets Reports'!G2897</f>
      </c>
      <c r="K2898">
        <f>'R.M Billets Reports'!H2897</f>
      </c>
      <c r="L2898">
        <f>IF('R.M Billets Reports'!I2897="","",'R.M Billets Reports'!I2897)</f>
      </c>
      <c r="M2898">
        <f t="shared" si="90"/>
      </c>
      <c r="N2898">
        <f>IF('R.M Billets Reports'!J2897="","",'R.M Billets Reports'!J2897)</f>
      </c>
      <c r="O2898">
        <f t="shared" si="91"/>
      </c>
      <c r="P2898">
        <f>IF('R.M Billets Reports'!A2897="SIZE",'R.M Billets Reports'!B2897,P2897)</f>
      </c>
    </row>
    <row r="2899" spans="1:16" x14ac:dyDescent="0.25">
      <c r="A2899">
        <f>IF(OR('R.M Billets Reports'!A2898="Date-",'R.M Billets Reports'!A2898="Date:-"),IF(IF(IF(ISNUMBER(SEARCH("Party Name:-",'R.M Billets Reports'!D2898)),TRIM('R.M Billets Reports'!F2898),IF(ISNUMBER(SEARCH("Party Name-",'R.M Billets Reports'!D2898)),TRIM(MID('R.M Billets Reports'!D2898,SEARCH("-",'R.M Billets Reports'!D2898)+1,200)),""))&lt;&gt;"",IF(ISNUMBER(SEARCH("Party Name:-",'R.M Billets Reports'!D2898)),TRIM('R.M Billets Reports'!F2898),IF(ISNUMBER(SEARCH("Party Name-",'R.M Billets Reports'!D2898)),TRIM(MID('R.M Billets Reports'!D2898,SEARCH("-",'R.M Billets Reports'!D2898)+1,200)),"")),IF(ISNUMBER(SEARCH("Party Name:-",'R.M Billets Reports'!D2899)),TRIM('R.M Billets Reports'!F2899),IF(ISNUMBER(SEARCH("Party Name-",'R.M Billets Reports'!D2899)),TRIM(MID('R.M Billets Reports'!D2899,SEARCH("-",'R.M Billets Reports'!D2899)+1,200)),"")))="VRKP ISPAT PVT LTD","VRKP",IF(IF(IF(ISNUMBER(SEARCH("Party Name:-",'R.M Billets Reports'!D2898)),TRIM('R.M Billets Reports'!F2898),IF(ISNUMBER(SEARCH("Party Name-",'R.M Billets Reports'!D2898)),TRIM(MID('R.M Billets Reports'!D2898,SEARCH("-",'R.M Billets Reports'!D2898)+1,200)),""))&lt;&gt;"",IF(ISNUMBER(SEARCH("Party Name:-",'R.M Billets Reports'!D2898)),TRIM('R.M Billets Reports'!F2898),IF(ISNUMBER(SEARCH("Party Name-",'R.M Billets Reports'!D2898)),TRIM(MID('R.M Billets Reports'!D2898,SEARCH("-",'R.M Billets Reports'!D2898)+1,200)),"")),IF(ISNUMBER(SEARCH("Party Name:-",'R.M Billets Reports'!D2899)),TRIM('R.M Billets Reports'!F2899),IF(ISNUMBER(SEARCH("Party Name-",'R.M Billets Reports'!D2899)),TRIM(MID('R.M Billets Reports'!D2899,SEARCH("-",'R.M Billets Reports'!D2899)+1,200)),"")))="SHRI RADHE","SHREE RADHE",IF(IF(IF(ISNUMBER(SEARCH("Party Name:-",'R.M Billets Reports'!D2898)),TRIM('R.M Billets Reports'!F2898),IF(ISNUMBER(SEARCH("Party Name-",'R.M Billets Reports'!D2898)),TRIM(MID('R.M Billets Reports'!D2898,SEARCH("-",'R.M Billets Reports'!D2898)+1,200)),""))&lt;&gt;"",IF(ISNUMBER(SEARCH("Party Name:-",'R.M Billets Reports'!D2898)),TRIM('R.M Billets Reports'!F2898),IF(ISNUMBER(SEARCH("Party Name-",'R.M Billets Reports'!D2898)),TRIM(MID('R.M Billets Reports'!D2898,SEARCH("-",'R.M Billets Reports'!D2898)+1,200)),"")),IF(ISNUMBER(SEARCH("Party Name:-",'R.M Billets Reports'!D2899)),TRIM('R.M Billets Reports'!F2899),IF(ISNUMBER(SEARCH("Party Name-",'R.M Billets Reports'!D2899)),TRIM(MID('R.M Billets Reports'!D2899,SEARCH("-",'R.M Billets Reports'!D2899)+1,200)),"")))="SHREE RADHE SHAKTI SPONGE AND POWER PVT. LTD.","SHREE RADHE",IF(IF(ISNUMBER(SEARCH("Party Name:-",'R.M Billets Reports'!D2898)),TRIM('R.M Billets Reports'!F2898),IF(ISNUMBER(SEARCH("Party Name-",'R.M Billets Reports'!D2898)),TRIM(MID('R.M Billets Reports'!D2898,SEARCH("-",'R.M Billets Reports'!D2898)+1,200)),""))&lt;&gt;"",IF(ISNUMBER(SEARCH("Party Name:-",'R.M Billets Reports'!D2898)),TRIM('R.M Billets Reports'!F2898),IF(ISNUMBER(SEARCH("Party Name-",'R.M Billets Reports'!D2898)),TRIM(MID('R.M Billets Reports'!D2898,SEARCH("-",'R.M Billets Reports'!D2898)+1,200)),"")),IF(ISNUMBER(SEARCH("Party Name:-",'R.M Billets Reports'!D2899)),TRIM('R.M Billets Reports'!F2899),IF(ISNUMBER(SEARCH("Party Name-",'R.M Billets Reports'!D2899)),TRIM(MID('R.M Billets Reports'!D2899,SEARCH("-",'R.M Billets Reports'!D2899)+1,200)),"")))))),IF(ROW()=2,"",A2898))</f>
      </c>
      <c r="B2899">
        <f>IF(OR('R.M Billets Reports'!A2898="Date-",'R.M Billets Reports'!A2898="Date:-"),'R.M Billets Reports'!B2898,IF(ROW()=2,"",B2898))</f>
      </c>
      <c r="C2899">
        <f>IF('R.M Billets Reports'!A2898="V.No.",'R.M Billets Reports'!B2898,IF(ROW()=2,"",C2898))</f>
      </c>
      <c r="D2899">
        <f>IF('R.M Billets Reports'!A2898&lt;&gt;"",'R.M Billets Reports'!A2898,IF(ROW()=2,"",D2898))</f>
      </c>
      <c r="E2899">
        <f>IF('R.M Billets Reports'!B2898="","",TRIM('R.M Billets Reports'!B2898))</f>
      </c>
      <c r="F2899">
        <f>'R.M Billets Reports'!C2898</f>
      </c>
      <c r="G2899">
        <f>'R.M Billets Reports'!D2898</f>
      </c>
      <c r="H2899">
        <f>'R.M Billets Reports'!E2898</f>
      </c>
      <c r="I2899">
        <f>'R.M Billets Reports'!F2898</f>
      </c>
      <c r="J2899">
        <f>'R.M Billets Reports'!G2898</f>
      </c>
      <c r="K2899">
        <f>'R.M Billets Reports'!H2898</f>
      </c>
      <c r="L2899">
        <f>IF('R.M Billets Reports'!I2898="","",'R.M Billets Reports'!I2898)</f>
      </c>
      <c r="M2899">
        <f t="shared" si="90"/>
      </c>
      <c r="N2899">
        <f>IF('R.M Billets Reports'!J2898="","",'R.M Billets Reports'!J2898)</f>
      </c>
      <c r="O2899">
        <f t="shared" si="91"/>
      </c>
      <c r="P2899">
        <f>IF('R.M Billets Reports'!A2898="SIZE",'R.M Billets Reports'!B2898,P2898)</f>
      </c>
    </row>
    <row r="2900" spans="1:16" x14ac:dyDescent="0.25">
      <c r="A2900">
        <f>IF(OR('R.M Billets Reports'!A2899="Date-",'R.M Billets Reports'!A2899="Date:-"),IF(IF(IF(ISNUMBER(SEARCH("Party Name:-",'R.M Billets Reports'!D2899)),TRIM('R.M Billets Reports'!F2899),IF(ISNUMBER(SEARCH("Party Name-",'R.M Billets Reports'!D2899)),TRIM(MID('R.M Billets Reports'!D2899,SEARCH("-",'R.M Billets Reports'!D2899)+1,200)),""))&lt;&gt;"",IF(ISNUMBER(SEARCH("Party Name:-",'R.M Billets Reports'!D2899)),TRIM('R.M Billets Reports'!F2899),IF(ISNUMBER(SEARCH("Party Name-",'R.M Billets Reports'!D2899)),TRIM(MID('R.M Billets Reports'!D2899,SEARCH("-",'R.M Billets Reports'!D2899)+1,200)),"")),IF(ISNUMBER(SEARCH("Party Name:-",'R.M Billets Reports'!D2900)),TRIM('R.M Billets Reports'!F2900),IF(ISNUMBER(SEARCH("Party Name-",'R.M Billets Reports'!D2900)),TRIM(MID('R.M Billets Reports'!D2900,SEARCH("-",'R.M Billets Reports'!D2900)+1,200)),"")))="VRKP ISPAT PVT LTD","VRKP",IF(IF(IF(ISNUMBER(SEARCH("Party Name:-",'R.M Billets Reports'!D2899)),TRIM('R.M Billets Reports'!F2899),IF(ISNUMBER(SEARCH("Party Name-",'R.M Billets Reports'!D2899)),TRIM(MID('R.M Billets Reports'!D2899,SEARCH("-",'R.M Billets Reports'!D2899)+1,200)),""))&lt;&gt;"",IF(ISNUMBER(SEARCH("Party Name:-",'R.M Billets Reports'!D2899)),TRIM('R.M Billets Reports'!F2899),IF(ISNUMBER(SEARCH("Party Name-",'R.M Billets Reports'!D2899)),TRIM(MID('R.M Billets Reports'!D2899,SEARCH("-",'R.M Billets Reports'!D2899)+1,200)),"")),IF(ISNUMBER(SEARCH("Party Name:-",'R.M Billets Reports'!D2900)),TRIM('R.M Billets Reports'!F2900),IF(ISNUMBER(SEARCH("Party Name-",'R.M Billets Reports'!D2900)),TRIM(MID('R.M Billets Reports'!D2900,SEARCH("-",'R.M Billets Reports'!D2900)+1,200)),"")))="SHRI RADHE","SHREE RADHE",IF(IF(IF(ISNUMBER(SEARCH("Party Name:-",'R.M Billets Reports'!D2899)),TRIM('R.M Billets Reports'!F2899),IF(ISNUMBER(SEARCH("Party Name-",'R.M Billets Reports'!D2899)),TRIM(MID('R.M Billets Reports'!D2899,SEARCH("-",'R.M Billets Reports'!D2899)+1,200)),""))&lt;&gt;"",IF(ISNUMBER(SEARCH("Party Name:-",'R.M Billets Reports'!D2899)),TRIM('R.M Billets Reports'!F2899),IF(ISNUMBER(SEARCH("Party Name-",'R.M Billets Reports'!D2899)),TRIM(MID('R.M Billets Reports'!D2899,SEARCH("-",'R.M Billets Reports'!D2899)+1,200)),"")),IF(ISNUMBER(SEARCH("Party Name:-",'R.M Billets Reports'!D2900)),TRIM('R.M Billets Reports'!F2900),IF(ISNUMBER(SEARCH("Party Name-",'R.M Billets Reports'!D2900)),TRIM(MID('R.M Billets Reports'!D2900,SEARCH("-",'R.M Billets Reports'!D2900)+1,200)),"")))="SHREE RADHE SHAKTI SPONGE AND POWER PVT. LTD.","SHREE RADHE",IF(IF(ISNUMBER(SEARCH("Party Name:-",'R.M Billets Reports'!D2899)),TRIM('R.M Billets Reports'!F2899),IF(ISNUMBER(SEARCH("Party Name-",'R.M Billets Reports'!D2899)),TRIM(MID('R.M Billets Reports'!D2899,SEARCH("-",'R.M Billets Reports'!D2899)+1,200)),""))&lt;&gt;"",IF(ISNUMBER(SEARCH("Party Name:-",'R.M Billets Reports'!D2899)),TRIM('R.M Billets Reports'!F2899),IF(ISNUMBER(SEARCH("Party Name-",'R.M Billets Reports'!D2899)),TRIM(MID('R.M Billets Reports'!D2899,SEARCH("-",'R.M Billets Reports'!D2899)+1,200)),"")),IF(ISNUMBER(SEARCH("Party Name:-",'R.M Billets Reports'!D2900)),TRIM('R.M Billets Reports'!F2900),IF(ISNUMBER(SEARCH("Party Name-",'R.M Billets Reports'!D2900)),TRIM(MID('R.M Billets Reports'!D2900,SEARCH("-",'R.M Billets Reports'!D2900)+1,200)),"")))))),IF(ROW()=2,"",A2899))</f>
      </c>
      <c r="B2900">
        <f>IF(OR('R.M Billets Reports'!A2899="Date-",'R.M Billets Reports'!A2899="Date:-"),'R.M Billets Reports'!B2899,IF(ROW()=2,"",B2899))</f>
      </c>
      <c r="C2900">
        <f>IF('R.M Billets Reports'!A2899="V.No.",'R.M Billets Reports'!B2899,IF(ROW()=2,"",C2899))</f>
      </c>
      <c r="D2900">
        <f>IF('R.M Billets Reports'!A2899&lt;&gt;"",'R.M Billets Reports'!A2899,IF(ROW()=2,"",D2899))</f>
      </c>
      <c r="E2900">
        <f>IF('R.M Billets Reports'!B2899="","",TRIM('R.M Billets Reports'!B2899))</f>
      </c>
      <c r="F2900">
        <f>'R.M Billets Reports'!C2899</f>
      </c>
      <c r="G2900">
        <f>'R.M Billets Reports'!D2899</f>
      </c>
      <c r="H2900">
        <f>'R.M Billets Reports'!E2899</f>
      </c>
      <c r="I2900">
        <f>'R.M Billets Reports'!F2899</f>
      </c>
      <c r="J2900">
        <f>'R.M Billets Reports'!G2899</f>
      </c>
      <c r="K2900">
        <f>'R.M Billets Reports'!H2899</f>
      </c>
      <c r="L2900">
        <f>IF('R.M Billets Reports'!I2899="","",'R.M Billets Reports'!I2899)</f>
      </c>
      <c r="M2900">
        <f t="shared" si="90"/>
      </c>
      <c r="N2900">
        <f>IF('R.M Billets Reports'!J2899="","",'R.M Billets Reports'!J2899)</f>
      </c>
      <c r="O2900">
        <f t="shared" si="91"/>
      </c>
      <c r="P2900">
        <f>IF('R.M Billets Reports'!A2899="SIZE",'R.M Billets Reports'!B2899,P2899)</f>
      </c>
    </row>
    <row r="2901" spans="1:16" x14ac:dyDescent="0.25">
      <c r="A2901">
        <f>IF(OR('R.M Billets Reports'!A2900="Date-",'R.M Billets Reports'!A2900="Date:-"),IF(IF(IF(ISNUMBER(SEARCH("Party Name:-",'R.M Billets Reports'!D2900)),TRIM('R.M Billets Reports'!F2900),IF(ISNUMBER(SEARCH("Party Name-",'R.M Billets Reports'!D2900)),TRIM(MID('R.M Billets Reports'!D2900,SEARCH("-",'R.M Billets Reports'!D2900)+1,200)),""))&lt;&gt;"",IF(ISNUMBER(SEARCH("Party Name:-",'R.M Billets Reports'!D2900)),TRIM('R.M Billets Reports'!F2900),IF(ISNUMBER(SEARCH("Party Name-",'R.M Billets Reports'!D2900)),TRIM(MID('R.M Billets Reports'!D2900,SEARCH("-",'R.M Billets Reports'!D2900)+1,200)),"")),IF(ISNUMBER(SEARCH("Party Name:-",'R.M Billets Reports'!D2901)),TRIM('R.M Billets Reports'!F2901),IF(ISNUMBER(SEARCH("Party Name-",'R.M Billets Reports'!D2901)),TRIM(MID('R.M Billets Reports'!D2901,SEARCH("-",'R.M Billets Reports'!D2901)+1,200)),"")))="VRKP ISPAT PVT LTD","VRKP",IF(IF(IF(ISNUMBER(SEARCH("Party Name:-",'R.M Billets Reports'!D2900)),TRIM('R.M Billets Reports'!F2900),IF(ISNUMBER(SEARCH("Party Name-",'R.M Billets Reports'!D2900)),TRIM(MID('R.M Billets Reports'!D2900,SEARCH("-",'R.M Billets Reports'!D2900)+1,200)),""))&lt;&gt;"",IF(ISNUMBER(SEARCH("Party Name:-",'R.M Billets Reports'!D2900)),TRIM('R.M Billets Reports'!F2900),IF(ISNUMBER(SEARCH("Party Name-",'R.M Billets Reports'!D2900)),TRIM(MID('R.M Billets Reports'!D2900,SEARCH("-",'R.M Billets Reports'!D2900)+1,200)),"")),IF(ISNUMBER(SEARCH("Party Name:-",'R.M Billets Reports'!D2901)),TRIM('R.M Billets Reports'!F2901),IF(ISNUMBER(SEARCH("Party Name-",'R.M Billets Reports'!D2901)),TRIM(MID('R.M Billets Reports'!D2901,SEARCH("-",'R.M Billets Reports'!D2901)+1,200)),"")))="SHRI RADHE","SHREE RADHE",IF(IF(IF(ISNUMBER(SEARCH("Party Name:-",'R.M Billets Reports'!D2900)),TRIM('R.M Billets Reports'!F2900),IF(ISNUMBER(SEARCH("Party Name-",'R.M Billets Reports'!D2900)),TRIM(MID('R.M Billets Reports'!D2900,SEARCH("-",'R.M Billets Reports'!D2900)+1,200)),""))&lt;&gt;"",IF(ISNUMBER(SEARCH("Party Name:-",'R.M Billets Reports'!D2900)),TRIM('R.M Billets Reports'!F2900),IF(ISNUMBER(SEARCH("Party Name-",'R.M Billets Reports'!D2900)),TRIM(MID('R.M Billets Reports'!D2900,SEARCH("-",'R.M Billets Reports'!D2900)+1,200)),"")),IF(ISNUMBER(SEARCH("Party Name:-",'R.M Billets Reports'!D2901)),TRIM('R.M Billets Reports'!F2901),IF(ISNUMBER(SEARCH("Party Name-",'R.M Billets Reports'!D2901)),TRIM(MID('R.M Billets Reports'!D2901,SEARCH("-",'R.M Billets Reports'!D2901)+1,200)),"")))="SHREE RADHE SHAKTI SPONGE AND POWER PVT. LTD.","SHREE RADHE",IF(IF(ISNUMBER(SEARCH("Party Name:-",'R.M Billets Reports'!D2900)),TRIM('R.M Billets Reports'!F2900),IF(ISNUMBER(SEARCH("Party Name-",'R.M Billets Reports'!D2900)),TRIM(MID('R.M Billets Reports'!D2900,SEARCH("-",'R.M Billets Reports'!D2900)+1,200)),""))&lt;&gt;"",IF(ISNUMBER(SEARCH("Party Name:-",'R.M Billets Reports'!D2900)),TRIM('R.M Billets Reports'!F2900),IF(ISNUMBER(SEARCH("Party Name-",'R.M Billets Reports'!D2900)),TRIM(MID('R.M Billets Reports'!D2900,SEARCH("-",'R.M Billets Reports'!D2900)+1,200)),"")),IF(ISNUMBER(SEARCH("Party Name:-",'R.M Billets Reports'!D2901)),TRIM('R.M Billets Reports'!F2901),IF(ISNUMBER(SEARCH("Party Name-",'R.M Billets Reports'!D2901)),TRIM(MID('R.M Billets Reports'!D2901,SEARCH("-",'R.M Billets Reports'!D2901)+1,200)),"")))))),IF(ROW()=2,"",A2900))</f>
      </c>
      <c r="B2901">
        <f>IF(OR('R.M Billets Reports'!A2900="Date-",'R.M Billets Reports'!A2900="Date:-"),'R.M Billets Reports'!B2900,IF(ROW()=2,"",B2900))</f>
      </c>
      <c r="C2901">
        <f>IF('R.M Billets Reports'!A2900="V.No.",'R.M Billets Reports'!B2900,IF(ROW()=2,"",C2900))</f>
      </c>
      <c r="D2901">
        <f>IF('R.M Billets Reports'!A2900&lt;&gt;"",'R.M Billets Reports'!A2900,IF(ROW()=2,"",D2900))</f>
      </c>
      <c r="E2901">
        <f>IF('R.M Billets Reports'!B2900="","",TRIM('R.M Billets Reports'!B2900))</f>
      </c>
      <c r="F2901">
        <f>'R.M Billets Reports'!C2900</f>
      </c>
      <c r="G2901">
        <f>'R.M Billets Reports'!D2900</f>
      </c>
      <c r="H2901">
        <f>'R.M Billets Reports'!E2900</f>
      </c>
      <c r="I2901">
        <f>'R.M Billets Reports'!F2900</f>
      </c>
      <c r="J2901">
        <f>'R.M Billets Reports'!G2900</f>
      </c>
      <c r="K2901">
        <f>'R.M Billets Reports'!H2900</f>
      </c>
      <c r="L2901">
        <f>IF('R.M Billets Reports'!I2900="","",'R.M Billets Reports'!I2900)</f>
      </c>
      <c r="M2901">
        <f t="shared" si="90"/>
      </c>
      <c r="N2901">
        <f>IF('R.M Billets Reports'!J2900="","",'R.M Billets Reports'!J2900)</f>
      </c>
      <c r="O2901">
        <f t="shared" si="91"/>
      </c>
      <c r="P2901">
        <f>IF('R.M Billets Reports'!A2900="SIZE",'R.M Billets Reports'!B2900,P2900)</f>
      </c>
    </row>
    <row r="2902" spans="1:16" x14ac:dyDescent="0.25">
      <c r="A2902">
        <f>IF(OR('R.M Billets Reports'!A2901="Date-",'R.M Billets Reports'!A2901="Date:-"),IF(IF(IF(ISNUMBER(SEARCH("Party Name:-",'R.M Billets Reports'!D2901)),TRIM('R.M Billets Reports'!F2901),IF(ISNUMBER(SEARCH("Party Name-",'R.M Billets Reports'!D2901)),TRIM(MID('R.M Billets Reports'!D2901,SEARCH("-",'R.M Billets Reports'!D2901)+1,200)),""))&lt;&gt;"",IF(ISNUMBER(SEARCH("Party Name:-",'R.M Billets Reports'!D2901)),TRIM('R.M Billets Reports'!F2901),IF(ISNUMBER(SEARCH("Party Name-",'R.M Billets Reports'!D2901)),TRIM(MID('R.M Billets Reports'!D2901,SEARCH("-",'R.M Billets Reports'!D2901)+1,200)),"")),IF(ISNUMBER(SEARCH("Party Name:-",'R.M Billets Reports'!D2902)),TRIM('R.M Billets Reports'!F2902),IF(ISNUMBER(SEARCH("Party Name-",'R.M Billets Reports'!D2902)),TRIM(MID('R.M Billets Reports'!D2902,SEARCH("-",'R.M Billets Reports'!D2902)+1,200)),"")))="VRKP ISPAT PVT LTD","VRKP",IF(IF(IF(ISNUMBER(SEARCH("Party Name:-",'R.M Billets Reports'!D2901)),TRIM('R.M Billets Reports'!F2901),IF(ISNUMBER(SEARCH("Party Name-",'R.M Billets Reports'!D2901)),TRIM(MID('R.M Billets Reports'!D2901,SEARCH("-",'R.M Billets Reports'!D2901)+1,200)),""))&lt;&gt;"",IF(ISNUMBER(SEARCH("Party Name:-",'R.M Billets Reports'!D2901)),TRIM('R.M Billets Reports'!F2901),IF(ISNUMBER(SEARCH("Party Name-",'R.M Billets Reports'!D2901)),TRIM(MID('R.M Billets Reports'!D2901,SEARCH("-",'R.M Billets Reports'!D2901)+1,200)),"")),IF(ISNUMBER(SEARCH("Party Name:-",'R.M Billets Reports'!D2902)),TRIM('R.M Billets Reports'!F2902),IF(ISNUMBER(SEARCH("Party Name-",'R.M Billets Reports'!D2902)),TRIM(MID('R.M Billets Reports'!D2902,SEARCH("-",'R.M Billets Reports'!D2902)+1,200)),"")))="SHRI RADHE","SHREE RADHE",IF(IF(IF(ISNUMBER(SEARCH("Party Name:-",'R.M Billets Reports'!D2901)),TRIM('R.M Billets Reports'!F2901),IF(ISNUMBER(SEARCH("Party Name-",'R.M Billets Reports'!D2901)),TRIM(MID('R.M Billets Reports'!D2901,SEARCH("-",'R.M Billets Reports'!D2901)+1,200)),""))&lt;&gt;"",IF(ISNUMBER(SEARCH("Party Name:-",'R.M Billets Reports'!D2901)),TRIM('R.M Billets Reports'!F2901),IF(ISNUMBER(SEARCH("Party Name-",'R.M Billets Reports'!D2901)),TRIM(MID('R.M Billets Reports'!D2901,SEARCH("-",'R.M Billets Reports'!D2901)+1,200)),"")),IF(ISNUMBER(SEARCH("Party Name:-",'R.M Billets Reports'!D2902)),TRIM('R.M Billets Reports'!F2902),IF(ISNUMBER(SEARCH("Party Name-",'R.M Billets Reports'!D2902)),TRIM(MID('R.M Billets Reports'!D2902,SEARCH("-",'R.M Billets Reports'!D2902)+1,200)),"")))="SHREE RADHE SHAKTI SPONGE AND POWER PVT. LTD.","SHREE RADHE",IF(IF(ISNUMBER(SEARCH("Party Name:-",'R.M Billets Reports'!D2901)),TRIM('R.M Billets Reports'!F2901),IF(ISNUMBER(SEARCH("Party Name-",'R.M Billets Reports'!D2901)),TRIM(MID('R.M Billets Reports'!D2901,SEARCH("-",'R.M Billets Reports'!D2901)+1,200)),""))&lt;&gt;"",IF(ISNUMBER(SEARCH("Party Name:-",'R.M Billets Reports'!D2901)),TRIM('R.M Billets Reports'!F2901),IF(ISNUMBER(SEARCH("Party Name-",'R.M Billets Reports'!D2901)),TRIM(MID('R.M Billets Reports'!D2901,SEARCH("-",'R.M Billets Reports'!D2901)+1,200)),"")),IF(ISNUMBER(SEARCH("Party Name:-",'R.M Billets Reports'!D2902)),TRIM('R.M Billets Reports'!F2902),IF(ISNUMBER(SEARCH("Party Name-",'R.M Billets Reports'!D2902)),TRIM(MID('R.M Billets Reports'!D2902,SEARCH("-",'R.M Billets Reports'!D2902)+1,200)),"")))))),IF(ROW()=2,"",A2901))</f>
      </c>
      <c r="B2902">
        <f>IF(OR('R.M Billets Reports'!A2901="Date-",'R.M Billets Reports'!A2901="Date:-"),'R.M Billets Reports'!B2901,IF(ROW()=2,"",B2901))</f>
      </c>
      <c r="C2902">
        <f>IF('R.M Billets Reports'!A2901="V.No.",'R.M Billets Reports'!B2901,IF(ROW()=2,"",C2901))</f>
      </c>
      <c r="D2902">
        <f>IF('R.M Billets Reports'!A2901&lt;&gt;"",'R.M Billets Reports'!A2901,IF(ROW()=2,"",D2901))</f>
      </c>
      <c r="E2902">
        <f>IF('R.M Billets Reports'!B2901="","",TRIM('R.M Billets Reports'!B2901))</f>
      </c>
      <c r="F2902">
        <f>'R.M Billets Reports'!C2901</f>
      </c>
      <c r="G2902">
        <f>'R.M Billets Reports'!D2901</f>
      </c>
      <c r="H2902">
        <f>'R.M Billets Reports'!E2901</f>
      </c>
      <c r="I2902">
        <f>'R.M Billets Reports'!F2901</f>
      </c>
      <c r="J2902">
        <f>'R.M Billets Reports'!G2901</f>
      </c>
      <c r="K2902">
        <f>'R.M Billets Reports'!H2901</f>
      </c>
      <c r="L2902">
        <f>IF('R.M Billets Reports'!I2901="","",'R.M Billets Reports'!I2901)</f>
      </c>
      <c r="M2902">
        <f t="shared" si="90"/>
      </c>
      <c r="N2902">
        <f>IF('R.M Billets Reports'!J2901="","",'R.M Billets Reports'!J2901)</f>
      </c>
      <c r="O2902">
        <f t="shared" si="91"/>
      </c>
      <c r="P2902">
        <f>IF('R.M Billets Reports'!A2901="SIZE",'R.M Billets Reports'!B2901,P2901)</f>
      </c>
    </row>
    <row r="2903" spans="1:16" x14ac:dyDescent="0.25">
      <c r="A2903">
        <f>IF(OR('R.M Billets Reports'!A2902="Date-",'R.M Billets Reports'!A2902="Date:-"),IF(IF(IF(ISNUMBER(SEARCH("Party Name:-",'R.M Billets Reports'!D2902)),TRIM('R.M Billets Reports'!F2902),IF(ISNUMBER(SEARCH("Party Name-",'R.M Billets Reports'!D2902)),TRIM(MID('R.M Billets Reports'!D2902,SEARCH("-",'R.M Billets Reports'!D2902)+1,200)),""))&lt;&gt;"",IF(ISNUMBER(SEARCH("Party Name:-",'R.M Billets Reports'!D2902)),TRIM('R.M Billets Reports'!F2902),IF(ISNUMBER(SEARCH("Party Name-",'R.M Billets Reports'!D2902)),TRIM(MID('R.M Billets Reports'!D2902,SEARCH("-",'R.M Billets Reports'!D2902)+1,200)),"")),IF(ISNUMBER(SEARCH("Party Name:-",'R.M Billets Reports'!D2903)),TRIM('R.M Billets Reports'!F2903),IF(ISNUMBER(SEARCH("Party Name-",'R.M Billets Reports'!D2903)),TRIM(MID('R.M Billets Reports'!D2903,SEARCH("-",'R.M Billets Reports'!D2903)+1,200)),"")))="VRKP ISPAT PVT LTD","VRKP",IF(IF(IF(ISNUMBER(SEARCH("Party Name:-",'R.M Billets Reports'!D2902)),TRIM('R.M Billets Reports'!F2902),IF(ISNUMBER(SEARCH("Party Name-",'R.M Billets Reports'!D2902)),TRIM(MID('R.M Billets Reports'!D2902,SEARCH("-",'R.M Billets Reports'!D2902)+1,200)),""))&lt;&gt;"",IF(ISNUMBER(SEARCH("Party Name:-",'R.M Billets Reports'!D2902)),TRIM('R.M Billets Reports'!F2902),IF(ISNUMBER(SEARCH("Party Name-",'R.M Billets Reports'!D2902)),TRIM(MID('R.M Billets Reports'!D2902,SEARCH("-",'R.M Billets Reports'!D2902)+1,200)),"")),IF(ISNUMBER(SEARCH("Party Name:-",'R.M Billets Reports'!D2903)),TRIM('R.M Billets Reports'!F2903),IF(ISNUMBER(SEARCH("Party Name-",'R.M Billets Reports'!D2903)),TRIM(MID('R.M Billets Reports'!D2903,SEARCH("-",'R.M Billets Reports'!D2903)+1,200)),"")))="SHRI RADHE","SHREE RADHE",IF(IF(IF(ISNUMBER(SEARCH("Party Name:-",'R.M Billets Reports'!D2902)),TRIM('R.M Billets Reports'!F2902),IF(ISNUMBER(SEARCH("Party Name-",'R.M Billets Reports'!D2902)),TRIM(MID('R.M Billets Reports'!D2902,SEARCH("-",'R.M Billets Reports'!D2902)+1,200)),""))&lt;&gt;"",IF(ISNUMBER(SEARCH("Party Name:-",'R.M Billets Reports'!D2902)),TRIM('R.M Billets Reports'!F2902),IF(ISNUMBER(SEARCH("Party Name-",'R.M Billets Reports'!D2902)),TRIM(MID('R.M Billets Reports'!D2902,SEARCH("-",'R.M Billets Reports'!D2902)+1,200)),"")),IF(ISNUMBER(SEARCH("Party Name:-",'R.M Billets Reports'!D2903)),TRIM('R.M Billets Reports'!F2903),IF(ISNUMBER(SEARCH("Party Name-",'R.M Billets Reports'!D2903)),TRIM(MID('R.M Billets Reports'!D2903,SEARCH("-",'R.M Billets Reports'!D2903)+1,200)),"")))="SHREE RADHE SHAKTI SPONGE AND POWER PVT. LTD.","SHREE RADHE",IF(IF(ISNUMBER(SEARCH("Party Name:-",'R.M Billets Reports'!D2902)),TRIM('R.M Billets Reports'!F2902),IF(ISNUMBER(SEARCH("Party Name-",'R.M Billets Reports'!D2902)),TRIM(MID('R.M Billets Reports'!D2902,SEARCH("-",'R.M Billets Reports'!D2902)+1,200)),""))&lt;&gt;"",IF(ISNUMBER(SEARCH("Party Name:-",'R.M Billets Reports'!D2902)),TRIM('R.M Billets Reports'!F2902),IF(ISNUMBER(SEARCH("Party Name-",'R.M Billets Reports'!D2902)),TRIM(MID('R.M Billets Reports'!D2902,SEARCH("-",'R.M Billets Reports'!D2902)+1,200)),"")),IF(ISNUMBER(SEARCH("Party Name:-",'R.M Billets Reports'!D2903)),TRIM('R.M Billets Reports'!F2903),IF(ISNUMBER(SEARCH("Party Name-",'R.M Billets Reports'!D2903)),TRIM(MID('R.M Billets Reports'!D2903,SEARCH("-",'R.M Billets Reports'!D2903)+1,200)),"")))))),IF(ROW()=2,"",A2902))</f>
      </c>
      <c r="B2903">
        <f>IF(OR('R.M Billets Reports'!A2902="Date-",'R.M Billets Reports'!A2902="Date:-"),'R.M Billets Reports'!B2902,IF(ROW()=2,"",B2902))</f>
      </c>
      <c r="C2903">
        <f>IF('R.M Billets Reports'!A2902="V.No.",'R.M Billets Reports'!B2902,IF(ROW()=2,"",C2902))</f>
      </c>
      <c r="D2903">
        <f>IF('R.M Billets Reports'!A2902&lt;&gt;"",'R.M Billets Reports'!A2902,IF(ROW()=2,"",D2902))</f>
      </c>
      <c r="E2903">
        <f>IF('R.M Billets Reports'!B2902="","",TRIM('R.M Billets Reports'!B2902))</f>
      </c>
      <c r="F2903">
        <f>'R.M Billets Reports'!C2902</f>
      </c>
      <c r="G2903">
        <f>'R.M Billets Reports'!D2902</f>
      </c>
      <c r="H2903">
        <f>'R.M Billets Reports'!E2902</f>
      </c>
      <c r="I2903">
        <f>'R.M Billets Reports'!F2902</f>
      </c>
      <c r="J2903">
        <f>'R.M Billets Reports'!G2902</f>
      </c>
      <c r="K2903">
        <f>'R.M Billets Reports'!H2902</f>
      </c>
      <c r="L2903">
        <f>IF('R.M Billets Reports'!I2902="","",'R.M Billets Reports'!I2902)</f>
      </c>
      <c r="M2903">
        <f t="shared" si="90"/>
      </c>
      <c r="N2903">
        <f>IF('R.M Billets Reports'!J2902="","",'R.M Billets Reports'!J2902)</f>
      </c>
      <c r="O2903">
        <f t="shared" si="91"/>
      </c>
      <c r="P2903">
        <f>IF('R.M Billets Reports'!A2902="SIZE",'R.M Billets Reports'!B2902,P2902)</f>
      </c>
    </row>
    <row r="2904" spans="1:16" x14ac:dyDescent="0.25">
      <c r="A2904">
        <f>IF(OR('R.M Billets Reports'!A2903="Date-",'R.M Billets Reports'!A2903="Date:-"),IF(IF(IF(ISNUMBER(SEARCH("Party Name:-",'R.M Billets Reports'!D2903)),TRIM('R.M Billets Reports'!F2903),IF(ISNUMBER(SEARCH("Party Name-",'R.M Billets Reports'!D2903)),TRIM(MID('R.M Billets Reports'!D2903,SEARCH("-",'R.M Billets Reports'!D2903)+1,200)),""))&lt;&gt;"",IF(ISNUMBER(SEARCH("Party Name:-",'R.M Billets Reports'!D2903)),TRIM('R.M Billets Reports'!F2903),IF(ISNUMBER(SEARCH("Party Name-",'R.M Billets Reports'!D2903)),TRIM(MID('R.M Billets Reports'!D2903,SEARCH("-",'R.M Billets Reports'!D2903)+1,200)),"")),IF(ISNUMBER(SEARCH("Party Name:-",'R.M Billets Reports'!D2904)),TRIM('R.M Billets Reports'!F2904),IF(ISNUMBER(SEARCH("Party Name-",'R.M Billets Reports'!D2904)),TRIM(MID('R.M Billets Reports'!D2904,SEARCH("-",'R.M Billets Reports'!D2904)+1,200)),"")))="VRKP ISPAT PVT LTD","VRKP",IF(IF(IF(ISNUMBER(SEARCH("Party Name:-",'R.M Billets Reports'!D2903)),TRIM('R.M Billets Reports'!F2903),IF(ISNUMBER(SEARCH("Party Name-",'R.M Billets Reports'!D2903)),TRIM(MID('R.M Billets Reports'!D2903,SEARCH("-",'R.M Billets Reports'!D2903)+1,200)),""))&lt;&gt;"",IF(ISNUMBER(SEARCH("Party Name:-",'R.M Billets Reports'!D2903)),TRIM('R.M Billets Reports'!F2903),IF(ISNUMBER(SEARCH("Party Name-",'R.M Billets Reports'!D2903)),TRIM(MID('R.M Billets Reports'!D2903,SEARCH("-",'R.M Billets Reports'!D2903)+1,200)),"")),IF(ISNUMBER(SEARCH("Party Name:-",'R.M Billets Reports'!D2904)),TRIM('R.M Billets Reports'!F2904),IF(ISNUMBER(SEARCH("Party Name-",'R.M Billets Reports'!D2904)),TRIM(MID('R.M Billets Reports'!D2904,SEARCH("-",'R.M Billets Reports'!D2904)+1,200)),"")))="SHRI RADHE","SHREE RADHE",IF(IF(IF(ISNUMBER(SEARCH("Party Name:-",'R.M Billets Reports'!D2903)),TRIM('R.M Billets Reports'!F2903),IF(ISNUMBER(SEARCH("Party Name-",'R.M Billets Reports'!D2903)),TRIM(MID('R.M Billets Reports'!D2903,SEARCH("-",'R.M Billets Reports'!D2903)+1,200)),""))&lt;&gt;"",IF(ISNUMBER(SEARCH("Party Name:-",'R.M Billets Reports'!D2903)),TRIM('R.M Billets Reports'!F2903),IF(ISNUMBER(SEARCH("Party Name-",'R.M Billets Reports'!D2903)),TRIM(MID('R.M Billets Reports'!D2903,SEARCH("-",'R.M Billets Reports'!D2903)+1,200)),"")),IF(ISNUMBER(SEARCH("Party Name:-",'R.M Billets Reports'!D2904)),TRIM('R.M Billets Reports'!F2904),IF(ISNUMBER(SEARCH("Party Name-",'R.M Billets Reports'!D2904)),TRIM(MID('R.M Billets Reports'!D2904,SEARCH("-",'R.M Billets Reports'!D2904)+1,200)),"")))="SHREE RADHE SHAKTI SPONGE AND POWER PVT. LTD.","SHREE RADHE",IF(IF(ISNUMBER(SEARCH("Party Name:-",'R.M Billets Reports'!D2903)),TRIM('R.M Billets Reports'!F2903),IF(ISNUMBER(SEARCH("Party Name-",'R.M Billets Reports'!D2903)),TRIM(MID('R.M Billets Reports'!D2903,SEARCH("-",'R.M Billets Reports'!D2903)+1,200)),""))&lt;&gt;"",IF(ISNUMBER(SEARCH("Party Name:-",'R.M Billets Reports'!D2903)),TRIM('R.M Billets Reports'!F2903),IF(ISNUMBER(SEARCH("Party Name-",'R.M Billets Reports'!D2903)),TRIM(MID('R.M Billets Reports'!D2903,SEARCH("-",'R.M Billets Reports'!D2903)+1,200)),"")),IF(ISNUMBER(SEARCH("Party Name:-",'R.M Billets Reports'!D2904)),TRIM('R.M Billets Reports'!F2904),IF(ISNUMBER(SEARCH("Party Name-",'R.M Billets Reports'!D2904)),TRIM(MID('R.M Billets Reports'!D2904,SEARCH("-",'R.M Billets Reports'!D2904)+1,200)),"")))))),IF(ROW()=2,"",A2903))</f>
      </c>
      <c r="B2904">
        <f>IF(OR('R.M Billets Reports'!A2903="Date-",'R.M Billets Reports'!A2903="Date:-"),'R.M Billets Reports'!B2903,IF(ROW()=2,"",B2903))</f>
      </c>
      <c r="C2904">
        <f>IF('R.M Billets Reports'!A2903="V.No.",'R.M Billets Reports'!B2903,IF(ROW()=2,"",C2903))</f>
      </c>
      <c r="D2904">
        <f>IF('R.M Billets Reports'!A2903&lt;&gt;"",'R.M Billets Reports'!A2903,IF(ROW()=2,"",D2903))</f>
      </c>
      <c r="E2904">
        <f>IF('R.M Billets Reports'!B2903="","",TRIM('R.M Billets Reports'!B2903))</f>
      </c>
      <c r="F2904">
        <f>'R.M Billets Reports'!C2903</f>
      </c>
      <c r="G2904">
        <f>'R.M Billets Reports'!D2903</f>
      </c>
      <c r="H2904">
        <f>'R.M Billets Reports'!E2903</f>
      </c>
      <c r="I2904">
        <f>'R.M Billets Reports'!F2903</f>
      </c>
      <c r="J2904">
        <f>'R.M Billets Reports'!G2903</f>
      </c>
      <c r="K2904">
        <f>'R.M Billets Reports'!H2903</f>
      </c>
      <c r="L2904">
        <f>IF('R.M Billets Reports'!I2903="","",'R.M Billets Reports'!I2903)</f>
      </c>
      <c r="M2904">
        <f t="shared" si="90"/>
      </c>
      <c r="N2904">
        <f>IF('R.M Billets Reports'!J2903="","",'R.M Billets Reports'!J2903)</f>
      </c>
      <c r="O2904">
        <f t="shared" si="91"/>
      </c>
      <c r="P2904">
        <f>IF('R.M Billets Reports'!A2903="SIZE",'R.M Billets Reports'!B2903,P2903)</f>
      </c>
    </row>
    <row r="2905" spans="1:16" x14ac:dyDescent="0.25">
      <c r="A2905">
        <f>IF(OR('R.M Billets Reports'!A2904="Date-",'R.M Billets Reports'!A2904="Date:-"),IF(IF(IF(ISNUMBER(SEARCH("Party Name:-",'R.M Billets Reports'!D2904)),TRIM('R.M Billets Reports'!F2904),IF(ISNUMBER(SEARCH("Party Name-",'R.M Billets Reports'!D2904)),TRIM(MID('R.M Billets Reports'!D2904,SEARCH("-",'R.M Billets Reports'!D2904)+1,200)),""))&lt;&gt;"",IF(ISNUMBER(SEARCH("Party Name:-",'R.M Billets Reports'!D2904)),TRIM('R.M Billets Reports'!F2904),IF(ISNUMBER(SEARCH("Party Name-",'R.M Billets Reports'!D2904)),TRIM(MID('R.M Billets Reports'!D2904,SEARCH("-",'R.M Billets Reports'!D2904)+1,200)),"")),IF(ISNUMBER(SEARCH("Party Name:-",'R.M Billets Reports'!D2905)),TRIM('R.M Billets Reports'!F2905),IF(ISNUMBER(SEARCH("Party Name-",'R.M Billets Reports'!D2905)),TRIM(MID('R.M Billets Reports'!D2905,SEARCH("-",'R.M Billets Reports'!D2905)+1,200)),"")))="VRKP ISPAT PVT LTD","VRKP",IF(IF(IF(ISNUMBER(SEARCH("Party Name:-",'R.M Billets Reports'!D2904)),TRIM('R.M Billets Reports'!F2904),IF(ISNUMBER(SEARCH("Party Name-",'R.M Billets Reports'!D2904)),TRIM(MID('R.M Billets Reports'!D2904,SEARCH("-",'R.M Billets Reports'!D2904)+1,200)),""))&lt;&gt;"",IF(ISNUMBER(SEARCH("Party Name:-",'R.M Billets Reports'!D2904)),TRIM('R.M Billets Reports'!F2904),IF(ISNUMBER(SEARCH("Party Name-",'R.M Billets Reports'!D2904)),TRIM(MID('R.M Billets Reports'!D2904,SEARCH("-",'R.M Billets Reports'!D2904)+1,200)),"")),IF(ISNUMBER(SEARCH("Party Name:-",'R.M Billets Reports'!D2905)),TRIM('R.M Billets Reports'!F2905),IF(ISNUMBER(SEARCH("Party Name-",'R.M Billets Reports'!D2905)),TRIM(MID('R.M Billets Reports'!D2905,SEARCH("-",'R.M Billets Reports'!D2905)+1,200)),"")))="SHRI RADHE","SHREE RADHE",IF(IF(IF(ISNUMBER(SEARCH("Party Name:-",'R.M Billets Reports'!D2904)),TRIM('R.M Billets Reports'!F2904),IF(ISNUMBER(SEARCH("Party Name-",'R.M Billets Reports'!D2904)),TRIM(MID('R.M Billets Reports'!D2904,SEARCH("-",'R.M Billets Reports'!D2904)+1,200)),""))&lt;&gt;"",IF(ISNUMBER(SEARCH("Party Name:-",'R.M Billets Reports'!D2904)),TRIM('R.M Billets Reports'!F2904),IF(ISNUMBER(SEARCH("Party Name-",'R.M Billets Reports'!D2904)),TRIM(MID('R.M Billets Reports'!D2904,SEARCH("-",'R.M Billets Reports'!D2904)+1,200)),"")),IF(ISNUMBER(SEARCH("Party Name:-",'R.M Billets Reports'!D2905)),TRIM('R.M Billets Reports'!F2905),IF(ISNUMBER(SEARCH("Party Name-",'R.M Billets Reports'!D2905)),TRIM(MID('R.M Billets Reports'!D2905,SEARCH("-",'R.M Billets Reports'!D2905)+1,200)),"")))="SHREE RADHE SHAKTI SPONGE AND POWER PVT. LTD.","SHREE RADHE",IF(IF(ISNUMBER(SEARCH("Party Name:-",'R.M Billets Reports'!D2904)),TRIM('R.M Billets Reports'!F2904),IF(ISNUMBER(SEARCH("Party Name-",'R.M Billets Reports'!D2904)),TRIM(MID('R.M Billets Reports'!D2904,SEARCH("-",'R.M Billets Reports'!D2904)+1,200)),""))&lt;&gt;"",IF(ISNUMBER(SEARCH("Party Name:-",'R.M Billets Reports'!D2904)),TRIM('R.M Billets Reports'!F2904),IF(ISNUMBER(SEARCH("Party Name-",'R.M Billets Reports'!D2904)),TRIM(MID('R.M Billets Reports'!D2904,SEARCH("-",'R.M Billets Reports'!D2904)+1,200)),"")),IF(ISNUMBER(SEARCH("Party Name:-",'R.M Billets Reports'!D2905)),TRIM('R.M Billets Reports'!F2905),IF(ISNUMBER(SEARCH("Party Name-",'R.M Billets Reports'!D2905)),TRIM(MID('R.M Billets Reports'!D2905,SEARCH("-",'R.M Billets Reports'!D2905)+1,200)),"")))))),IF(ROW()=2,"",A2904))</f>
      </c>
      <c r="B2905">
        <f>IF(OR('R.M Billets Reports'!A2904="Date-",'R.M Billets Reports'!A2904="Date:-"),'R.M Billets Reports'!B2904,IF(ROW()=2,"",B2904))</f>
      </c>
      <c r="C2905">
        <f>IF('R.M Billets Reports'!A2904="V.No.",'R.M Billets Reports'!B2904,IF(ROW()=2,"",C2904))</f>
      </c>
      <c r="D2905">
        <f>IF('R.M Billets Reports'!A2904&lt;&gt;"",'R.M Billets Reports'!A2904,IF(ROW()=2,"",D2904))</f>
      </c>
      <c r="E2905">
        <f>IF('R.M Billets Reports'!B2904="","",TRIM('R.M Billets Reports'!B2904))</f>
      </c>
      <c r="F2905">
        <f>'R.M Billets Reports'!C2904</f>
      </c>
      <c r="G2905">
        <f>'R.M Billets Reports'!D2904</f>
      </c>
      <c r="H2905">
        <f>'R.M Billets Reports'!E2904</f>
      </c>
      <c r="I2905">
        <f>'R.M Billets Reports'!F2904</f>
      </c>
      <c r="J2905">
        <f>'R.M Billets Reports'!G2904</f>
      </c>
      <c r="K2905">
        <f>'R.M Billets Reports'!H2904</f>
      </c>
      <c r="L2905">
        <f>IF('R.M Billets Reports'!I2904="","",'R.M Billets Reports'!I2904)</f>
      </c>
      <c r="M2905">
        <f t="shared" si="90"/>
      </c>
      <c r="N2905">
        <f>IF('R.M Billets Reports'!J2904="","",'R.M Billets Reports'!J2904)</f>
      </c>
      <c r="O2905">
        <f t="shared" si="91"/>
      </c>
      <c r="P2905">
        <f>IF('R.M Billets Reports'!A2904="SIZE",'R.M Billets Reports'!B2904,P2904)</f>
      </c>
    </row>
    <row r="2906" spans="1:16" x14ac:dyDescent="0.25">
      <c r="A2906">
        <f>IF(OR('R.M Billets Reports'!A2905="Date-",'R.M Billets Reports'!A2905="Date:-"),IF(IF(IF(ISNUMBER(SEARCH("Party Name:-",'R.M Billets Reports'!D2905)),TRIM('R.M Billets Reports'!F2905),IF(ISNUMBER(SEARCH("Party Name-",'R.M Billets Reports'!D2905)),TRIM(MID('R.M Billets Reports'!D2905,SEARCH("-",'R.M Billets Reports'!D2905)+1,200)),""))&lt;&gt;"",IF(ISNUMBER(SEARCH("Party Name:-",'R.M Billets Reports'!D2905)),TRIM('R.M Billets Reports'!F2905),IF(ISNUMBER(SEARCH("Party Name-",'R.M Billets Reports'!D2905)),TRIM(MID('R.M Billets Reports'!D2905,SEARCH("-",'R.M Billets Reports'!D2905)+1,200)),"")),IF(ISNUMBER(SEARCH("Party Name:-",'R.M Billets Reports'!D2906)),TRIM('R.M Billets Reports'!F2906),IF(ISNUMBER(SEARCH("Party Name-",'R.M Billets Reports'!D2906)),TRIM(MID('R.M Billets Reports'!D2906,SEARCH("-",'R.M Billets Reports'!D2906)+1,200)),"")))="VRKP ISPAT PVT LTD","VRKP",IF(IF(IF(ISNUMBER(SEARCH("Party Name:-",'R.M Billets Reports'!D2905)),TRIM('R.M Billets Reports'!F2905),IF(ISNUMBER(SEARCH("Party Name-",'R.M Billets Reports'!D2905)),TRIM(MID('R.M Billets Reports'!D2905,SEARCH("-",'R.M Billets Reports'!D2905)+1,200)),""))&lt;&gt;"",IF(ISNUMBER(SEARCH("Party Name:-",'R.M Billets Reports'!D2905)),TRIM('R.M Billets Reports'!F2905),IF(ISNUMBER(SEARCH("Party Name-",'R.M Billets Reports'!D2905)),TRIM(MID('R.M Billets Reports'!D2905,SEARCH("-",'R.M Billets Reports'!D2905)+1,200)),"")),IF(ISNUMBER(SEARCH("Party Name:-",'R.M Billets Reports'!D2906)),TRIM('R.M Billets Reports'!F2906),IF(ISNUMBER(SEARCH("Party Name-",'R.M Billets Reports'!D2906)),TRIM(MID('R.M Billets Reports'!D2906,SEARCH("-",'R.M Billets Reports'!D2906)+1,200)),"")))="SHRI RADHE","SHREE RADHE",IF(IF(IF(ISNUMBER(SEARCH("Party Name:-",'R.M Billets Reports'!D2905)),TRIM('R.M Billets Reports'!F2905),IF(ISNUMBER(SEARCH("Party Name-",'R.M Billets Reports'!D2905)),TRIM(MID('R.M Billets Reports'!D2905,SEARCH("-",'R.M Billets Reports'!D2905)+1,200)),""))&lt;&gt;"",IF(ISNUMBER(SEARCH("Party Name:-",'R.M Billets Reports'!D2905)),TRIM('R.M Billets Reports'!F2905),IF(ISNUMBER(SEARCH("Party Name-",'R.M Billets Reports'!D2905)),TRIM(MID('R.M Billets Reports'!D2905,SEARCH("-",'R.M Billets Reports'!D2905)+1,200)),"")),IF(ISNUMBER(SEARCH("Party Name:-",'R.M Billets Reports'!D2906)),TRIM('R.M Billets Reports'!F2906),IF(ISNUMBER(SEARCH("Party Name-",'R.M Billets Reports'!D2906)),TRIM(MID('R.M Billets Reports'!D2906,SEARCH("-",'R.M Billets Reports'!D2906)+1,200)),"")))="SHREE RADHE SHAKTI SPONGE AND POWER PVT. LTD.","SHREE RADHE",IF(IF(ISNUMBER(SEARCH("Party Name:-",'R.M Billets Reports'!D2905)),TRIM('R.M Billets Reports'!F2905),IF(ISNUMBER(SEARCH("Party Name-",'R.M Billets Reports'!D2905)),TRIM(MID('R.M Billets Reports'!D2905,SEARCH("-",'R.M Billets Reports'!D2905)+1,200)),""))&lt;&gt;"",IF(ISNUMBER(SEARCH("Party Name:-",'R.M Billets Reports'!D2905)),TRIM('R.M Billets Reports'!F2905),IF(ISNUMBER(SEARCH("Party Name-",'R.M Billets Reports'!D2905)),TRIM(MID('R.M Billets Reports'!D2905,SEARCH("-",'R.M Billets Reports'!D2905)+1,200)),"")),IF(ISNUMBER(SEARCH("Party Name:-",'R.M Billets Reports'!D2906)),TRIM('R.M Billets Reports'!F2906),IF(ISNUMBER(SEARCH("Party Name-",'R.M Billets Reports'!D2906)),TRIM(MID('R.M Billets Reports'!D2906,SEARCH("-",'R.M Billets Reports'!D2906)+1,200)),"")))))),IF(ROW()=2,"",A2905))</f>
      </c>
      <c r="B2906">
        <f>IF(OR('R.M Billets Reports'!A2905="Date-",'R.M Billets Reports'!A2905="Date:-"),'R.M Billets Reports'!B2905,IF(ROW()=2,"",B2905))</f>
      </c>
      <c r="C2906">
        <f>IF('R.M Billets Reports'!A2905="V.No.",'R.M Billets Reports'!B2905,IF(ROW()=2,"",C2905))</f>
      </c>
      <c r="D2906">
        <f>IF('R.M Billets Reports'!A2905&lt;&gt;"",'R.M Billets Reports'!A2905,IF(ROW()=2,"",D2905))</f>
      </c>
      <c r="E2906">
        <f>IF('R.M Billets Reports'!B2905="","",TRIM('R.M Billets Reports'!B2905))</f>
      </c>
      <c r="F2906">
        <f>'R.M Billets Reports'!C2905</f>
      </c>
      <c r="G2906">
        <f>'R.M Billets Reports'!D2905</f>
      </c>
      <c r="H2906">
        <f>'R.M Billets Reports'!E2905</f>
      </c>
      <c r="I2906">
        <f>'R.M Billets Reports'!F2905</f>
      </c>
      <c r="J2906">
        <f>'R.M Billets Reports'!G2905</f>
      </c>
      <c r="K2906">
        <f>'R.M Billets Reports'!H2905</f>
      </c>
      <c r="L2906">
        <f>IF('R.M Billets Reports'!I2905="","",'R.M Billets Reports'!I2905)</f>
      </c>
      <c r="M2906">
        <f t="shared" si="90"/>
      </c>
      <c r="N2906">
        <f>IF('R.M Billets Reports'!J2905="","",'R.M Billets Reports'!J2905)</f>
      </c>
      <c r="O2906">
        <f t="shared" si="91"/>
      </c>
      <c r="P2906">
        <f>IF('R.M Billets Reports'!A2905="SIZE",'R.M Billets Reports'!B2905,P2905)</f>
      </c>
    </row>
    <row r="2907" spans="1:16" x14ac:dyDescent="0.25">
      <c r="A2907">
        <f>IF(OR('R.M Billets Reports'!A2906="Date-",'R.M Billets Reports'!A2906="Date:-"),IF(IF(IF(ISNUMBER(SEARCH("Party Name:-",'R.M Billets Reports'!D2906)),TRIM('R.M Billets Reports'!F2906),IF(ISNUMBER(SEARCH("Party Name-",'R.M Billets Reports'!D2906)),TRIM(MID('R.M Billets Reports'!D2906,SEARCH("-",'R.M Billets Reports'!D2906)+1,200)),""))&lt;&gt;"",IF(ISNUMBER(SEARCH("Party Name:-",'R.M Billets Reports'!D2906)),TRIM('R.M Billets Reports'!F2906),IF(ISNUMBER(SEARCH("Party Name-",'R.M Billets Reports'!D2906)),TRIM(MID('R.M Billets Reports'!D2906,SEARCH("-",'R.M Billets Reports'!D2906)+1,200)),"")),IF(ISNUMBER(SEARCH("Party Name:-",'R.M Billets Reports'!D2907)),TRIM('R.M Billets Reports'!F2907),IF(ISNUMBER(SEARCH("Party Name-",'R.M Billets Reports'!D2907)),TRIM(MID('R.M Billets Reports'!D2907,SEARCH("-",'R.M Billets Reports'!D2907)+1,200)),"")))="VRKP ISPAT PVT LTD","VRKP",IF(IF(IF(ISNUMBER(SEARCH("Party Name:-",'R.M Billets Reports'!D2906)),TRIM('R.M Billets Reports'!F2906),IF(ISNUMBER(SEARCH("Party Name-",'R.M Billets Reports'!D2906)),TRIM(MID('R.M Billets Reports'!D2906,SEARCH("-",'R.M Billets Reports'!D2906)+1,200)),""))&lt;&gt;"",IF(ISNUMBER(SEARCH("Party Name:-",'R.M Billets Reports'!D2906)),TRIM('R.M Billets Reports'!F2906),IF(ISNUMBER(SEARCH("Party Name-",'R.M Billets Reports'!D2906)),TRIM(MID('R.M Billets Reports'!D2906,SEARCH("-",'R.M Billets Reports'!D2906)+1,200)),"")),IF(ISNUMBER(SEARCH("Party Name:-",'R.M Billets Reports'!D2907)),TRIM('R.M Billets Reports'!F2907),IF(ISNUMBER(SEARCH("Party Name-",'R.M Billets Reports'!D2907)),TRIM(MID('R.M Billets Reports'!D2907,SEARCH("-",'R.M Billets Reports'!D2907)+1,200)),"")))="SHRI RADHE","SHREE RADHE",IF(IF(IF(ISNUMBER(SEARCH("Party Name:-",'R.M Billets Reports'!D2906)),TRIM('R.M Billets Reports'!F2906),IF(ISNUMBER(SEARCH("Party Name-",'R.M Billets Reports'!D2906)),TRIM(MID('R.M Billets Reports'!D2906,SEARCH("-",'R.M Billets Reports'!D2906)+1,200)),""))&lt;&gt;"",IF(ISNUMBER(SEARCH("Party Name:-",'R.M Billets Reports'!D2906)),TRIM('R.M Billets Reports'!F2906),IF(ISNUMBER(SEARCH("Party Name-",'R.M Billets Reports'!D2906)),TRIM(MID('R.M Billets Reports'!D2906,SEARCH("-",'R.M Billets Reports'!D2906)+1,200)),"")),IF(ISNUMBER(SEARCH("Party Name:-",'R.M Billets Reports'!D2907)),TRIM('R.M Billets Reports'!F2907),IF(ISNUMBER(SEARCH("Party Name-",'R.M Billets Reports'!D2907)),TRIM(MID('R.M Billets Reports'!D2907,SEARCH("-",'R.M Billets Reports'!D2907)+1,200)),"")))="SHREE RADHE SHAKTI SPONGE AND POWER PVT. LTD.","SHREE RADHE",IF(IF(ISNUMBER(SEARCH("Party Name:-",'R.M Billets Reports'!D2906)),TRIM('R.M Billets Reports'!F2906),IF(ISNUMBER(SEARCH("Party Name-",'R.M Billets Reports'!D2906)),TRIM(MID('R.M Billets Reports'!D2906,SEARCH("-",'R.M Billets Reports'!D2906)+1,200)),""))&lt;&gt;"",IF(ISNUMBER(SEARCH("Party Name:-",'R.M Billets Reports'!D2906)),TRIM('R.M Billets Reports'!F2906),IF(ISNUMBER(SEARCH("Party Name-",'R.M Billets Reports'!D2906)),TRIM(MID('R.M Billets Reports'!D2906,SEARCH("-",'R.M Billets Reports'!D2906)+1,200)),"")),IF(ISNUMBER(SEARCH("Party Name:-",'R.M Billets Reports'!D2907)),TRIM('R.M Billets Reports'!F2907),IF(ISNUMBER(SEARCH("Party Name-",'R.M Billets Reports'!D2907)),TRIM(MID('R.M Billets Reports'!D2907,SEARCH("-",'R.M Billets Reports'!D2907)+1,200)),"")))))),IF(ROW()=2,"",A2906))</f>
      </c>
      <c r="B2907">
        <f>IF(OR('R.M Billets Reports'!A2906="Date-",'R.M Billets Reports'!A2906="Date:-"),'R.M Billets Reports'!B2906,IF(ROW()=2,"",B2906))</f>
      </c>
      <c r="C2907">
        <f>IF('R.M Billets Reports'!A2906="V.No.",'R.M Billets Reports'!B2906,IF(ROW()=2,"",C2906))</f>
      </c>
      <c r="D2907">
        <f>IF('R.M Billets Reports'!A2906&lt;&gt;"",'R.M Billets Reports'!A2906,IF(ROW()=2,"",D2906))</f>
      </c>
      <c r="E2907">
        <f>IF('R.M Billets Reports'!B2906="","",TRIM('R.M Billets Reports'!B2906))</f>
      </c>
      <c r="F2907">
        <f>'R.M Billets Reports'!C2906</f>
      </c>
      <c r="G2907">
        <f>'R.M Billets Reports'!D2906</f>
      </c>
      <c r="H2907">
        <f>'R.M Billets Reports'!E2906</f>
      </c>
      <c r="I2907">
        <f>'R.M Billets Reports'!F2906</f>
      </c>
      <c r="J2907">
        <f>'R.M Billets Reports'!G2906</f>
      </c>
      <c r="K2907">
        <f>'R.M Billets Reports'!H2906</f>
      </c>
      <c r="L2907">
        <f>IF('R.M Billets Reports'!I2906="","",'R.M Billets Reports'!I2906)</f>
      </c>
      <c r="M2907">
        <f t="shared" si="90"/>
      </c>
      <c r="N2907">
        <f>IF('R.M Billets Reports'!J2906="","",'R.M Billets Reports'!J2906)</f>
      </c>
      <c r="O2907">
        <f t="shared" si="91"/>
      </c>
      <c r="P2907">
        <f>IF('R.M Billets Reports'!A2906="SIZE",'R.M Billets Reports'!B2906,P2906)</f>
      </c>
    </row>
    <row r="2908" spans="1:16" x14ac:dyDescent="0.25">
      <c r="A2908">
        <f>IF(OR('R.M Billets Reports'!A2907="Date-",'R.M Billets Reports'!A2907="Date:-"),IF(IF(IF(ISNUMBER(SEARCH("Party Name:-",'R.M Billets Reports'!D2907)),TRIM('R.M Billets Reports'!F2907),IF(ISNUMBER(SEARCH("Party Name-",'R.M Billets Reports'!D2907)),TRIM(MID('R.M Billets Reports'!D2907,SEARCH("-",'R.M Billets Reports'!D2907)+1,200)),""))&lt;&gt;"",IF(ISNUMBER(SEARCH("Party Name:-",'R.M Billets Reports'!D2907)),TRIM('R.M Billets Reports'!F2907),IF(ISNUMBER(SEARCH("Party Name-",'R.M Billets Reports'!D2907)),TRIM(MID('R.M Billets Reports'!D2907,SEARCH("-",'R.M Billets Reports'!D2907)+1,200)),"")),IF(ISNUMBER(SEARCH("Party Name:-",'R.M Billets Reports'!D2908)),TRIM('R.M Billets Reports'!F2908),IF(ISNUMBER(SEARCH("Party Name-",'R.M Billets Reports'!D2908)),TRIM(MID('R.M Billets Reports'!D2908,SEARCH("-",'R.M Billets Reports'!D2908)+1,200)),"")))="VRKP ISPAT PVT LTD","VRKP",IF(IF(IF(ISNUMBER(SEARCH("Party Name:-",'R.M Billets Reports'!D2907)),TRIM('R.M Billets Reports'!F2907),IF(ISNUMBER(SEARCH("Party Name-",'R.M Billets Reports'!D2907)),TRIM(MID('R.M Billets Reports'!D2907,SEARCH("-",'R.M Billets Reports'!D2907)+1,200)),""))&lt;&gt;"",IF(ISNUMBER(SEARCH("Party Name:-",'R.M Billets Reports'!D2907)),TRIM('R.M Billets Reports'!F2907),IF(ISNUMBER(SEARCH("Party Name-",'R.M Billets Reports'!D2907)),TRIM(MID('R.M Billets Reports'!D2907,SEARCH("-",'R.M Billets Reports'!D2907)+1,200)),"")),IF(ISNUMBER(SEARCH("Party Name:-",'R.M Billets Reports'!D2908)),TRIM('R.M Billets Reports'!F2908),IF(ISNUMBER(SEARCH("Party Name-",'R.M Billets Reports'!D2908)),TRIM(MID('R.M Billets Reports'!D2908,SEARCH("-",'R.M Billets Reports'!D2908)+1,200)),"")))="SHRI RADHE","SHREE RADHE",IF(IF(IF(ISNUMBER(SEARCH("Party Name:-",'R.M Billets Reports'!D2907)),TRIM('R.M Billets Reports'!F2907),IF(ISNUMBER(SEARCH("Party Name-",'R.M Billets Reports'!D2907)),TRIM(MID('R.M Billets Reports'!D2907,SEARCH("-",'R.M Billets Reports'!D2907)+1,200)),""))&lt;&gt;"",IF(ISNUMBER(SEARCH("Party Name:-",'R.M Billets Reports'!D2907)),TRIM('R.M Billets Reports'!F2907),IF(ISNUMBER(SEARCH("Party Name-",'R.M Billets Reports'!D2907)),TRIM(MID('R.M Billets Reports'!D2907,SEARCH("-",'R.M Billets Reports'!D2907)+1,200)),"")),IF(ISNUMBER(SEARCH("Party Name:-",'R.M Billets Reports'!D2908)),TRIM('R.M Billets Reports'!F2908),IF(ISNUMBER(SEARCH("Party Name-",'R.M Billets Reports'!D2908)),TRIM(MID('R.M Billets Reports'!D2908,SEARCH("-",'R.M Billets Reports'!D2908)+1,200)),"")))="SHREE RADHE SHAKTI SPONGE AND POWER PVT. LTD.","SHREE RADHE",IF(IF(ISNUMBER(SEARCH("Party Name:-",'R.M Billets Reports'!D2907)),TRIM('R.M Billets Reports'!F2907),IF(ISNUMBER(SEARCH("Party Name-",'R.M Billets Reports'!D2907)),TRIM(MID('R.M Billets Reports'!D2907,SEARCH("-",'R.M Billets Reports'!D2907)+1,200)),""))&lt;&gt;"",IF(ISNUMBER(SEARCH("Party Name:-",'R.M Billets Reports'!D2907)),TRIM('R.M Billets Reports'!F2907),IF(ISNUMBER(SEARCH("Party Name-",'R.M Billets Reports'!D2907)),TRIM(MID('R.M Billets Reports'!D2907,SEARCH("-",'R.M Billets Reports'!D2907)+1,200)),"")),IF(ISNUMBER(SEARCH("Party Name:-",'R.M Billets Reports'!D2908)),TRIM('R.M Billets Reports'!F2908),IF(ISNUMBER(SEARCH("Party Name-",'R.M Billets Reports'!D2908)),TRIM(MID('R.M Billets Reports'!D2908,SEARCH("-",'R.M Billets Reports'!D2908)+1,200)),"")))))),IF(ROW()=2,"",A2907))</f>
      </c>
      <c r="B2908">
        <f>IF(OR('R.M Billets Reports'!A2907="Date-",'R.M Billets Reports'!A2907="Date:-"),'R.M Billets Reports'!B2907,IF(ROW()=2,"",B2907))</f>
      </c>
      <c r="C2908">
        <f>IF('R.M Billets Reports'!A2907="V.No.",'R.M Billets Reports'!B2907,IF(ROW()=2,"",C2907))</f>
      </c>
      <c r="D2908">
        <f>IF('R.M Billets Reports'!A2907&lt;&gt;"",'R.M Billets Reports'!A2907,IF(ROW()=2,"",D2907))</f>
      </c>
      <c r="E2908">
        <f>IF('R.M Billets Reports'!B2907="","",TRIM('R.M Billets Reports'!B2907))</f>
      </c>
      <c r="F2908">
        <f>'R.M Billets Reports'!C2907</f>
      </c>
      <c r="G2908">
        <f>'R.M Billets Reports'!D2907</f>
      </c>
      <c r="H2908">
        <f>'R.M Billets Reports'!E2907</f>
      </c>
      <c r="I2908">
        <f>'R.M Billets Reports'!F2907</f>
      </c>
      <c r="J2908">
        <f>'R.M Billets Reports'!G2907</f>
      </c>
      <c r="K2908">
        <f>'R.M Billets Reports'!H2907</f>
      </c>
      <c r="L2908">
        <f>IF('R.M Billets Reports'!I2907="","",'R.M Billets Reports'!I2907)</f>
      </c>
      <c r="M2908">
        <f t="shared" si="90"/>
      </c>
      <c r="N2908">
        <f>IF('R.M Billets Reports'!J2907="","",'R.M Billets Reports'!J2907)</f>
      </c>
      <c r="O2908">
        <f t="shared" si="91"/>
      </c>
      <c r="P2908">
        <f>IF('R.M Billets Reports'!A2907="SIZE",'R.M Billets Reports'!B2907,P2907)</f>
      </c>
    </row>
    <row r="2909" spans="1:16" x14ac:dyDescent="0.25">
      <c r="A2909">
        <f>IF(OR('R.M Billets Reports'!A2908="Date-",'R.M Billets Reports'!A2908="Date:-"),IF(IF(IF(ISNUMBER(SEARCH("Party Name:-",'R.M Billets Reports'!D2908)),TRIM('R.M Billets Reports'!F2908),IF(ISNUMBER(SEARCH("Party Name-",'R.M Billets Reports'!D2908)),TRIM(MID('R.M Billets Reports'!D2908,SEARCH("-",'R.M Billets Reports'!D2908)+1,200)),""))&lt;&gt;"",IF(ISNUMBER(SEARCH("Party Name:-",'R.M Billets Reports'!D2908)),TRIM('R.M Billets Reports'!F2908),IF(ISNUMBER(SEARCH("Party Name-",'R.M Billets Reports'!D2908)),TRIM(MID('R.M Billets Reports'!D2908,SEARCH("-",'R.M Billets Reports'!D2908)+1,200)),"")),IF(ISNUMBER(SEARCH("Party Name:-",'R.M Billets Reports'!D2909)),TRIM('R.M Billets Reports'!F2909),IF(ISNUMBER(SEARCH("Party Name-",'R.M Billets Reports'!D2909)),TRIM(MID('R.M Billets Reports'!D2909,SEARCH("-",'R.M Billets Reports'!D2909)+1,200)),"")))="VRKP ISPAT PVT LTD","VRKP",IF(IF(IF(ISNUMBER(SEARCH("Party Name:-",'R.M Billets Reports'!D2908)),TRIM('R.M Billets Reports'!F2908),IF(ISNUMBER(SEARCH("Party Name-",'R.M Billets Reports'!D2908)),TRIM(MID('R.M Billets Reports'!D2908,SEARCH("-",'R.M Billets Reports'!D2908)+1,200)),""))&lt;&gt;"",IF(ISNUMBER(SEARCH("Party Name:-",'R.M Billets Reports'!D2908)),TRIM('R.M Billets Reports'!F2908),IF(ISNUMBER(SEARCH("Party Name-",'R.M Billets Reports'!D2908)),TRIM(MID('R.M Billets Reports'!D2908,SEARCH("-",'R.M Billets Reports'!D2908)+1,200)),"")),IF(ISNUMBER(SEARCH("Party Name:-",'R.M Billets Reports'!D2909)),TRIM('R.M Billets Reports'!F2909),IF(ISNUMBER(SEARCH("Party Name-",'R.M Billets Reports'!D2909)),TRIM(MID('R.M Billets Reports'!D2909,SEARCH("-",'R.M Billets Reports'!D2909)+1,200)),"")))="SHRI RADHE","SHREE RADHE",IF(IF(IF(ISNUMBER(SEARCH("Party Name:-",'R.M Billets Reports'!D2908)),TRIM('R.M Billets Reports'!F2908),IF(ISNUMBER(SEARCH("Party Name-",'R.M Billets Reports'!D2908)),TRIM(MID('R.M Billets Reports'!D2908,SEARCH("-",'R.M Billets Reports'!D2908)+1,200)),""))&lt;&gt;"",IF(ISNUMBER(SEARCH("Party Name:-",'R.M Billets Reports'!D2908)),TRIM('R.M Billets Reports'!F2908),IF(ISNUMBER(SEARCH("Party Name-",'R.M Billets Reports'!D2908)),TRIM(MID('R.M Billets Reports'!D2908,SEARCH("-",'R.M Billets Reports'!D2908)+1,200)),"")),IF(ISNUMBER(SEARCH("Party Name:-",'R.M Billets Reports'!D2909)),TRIM('R.M Billets Reports'!F2909),IF(ISNUMBER(SEARCH("Party Name-",'R.M Billets Reports'!D2909)),TRIM(MID('R.M Billets Reports'!D2909,SEARCH("-",'R.M Billets Reports'!D2909)+1,200)),"")))="SHREE RADHE SHAKTI SPONGE AND POWER PVT. LTD.","SHREE RADHE",IF(IF(ISNUMBER(SEARCH("Party Name:-",'R.M Billets Reports'!D2908)),TRIM('R.M Billets Reports'!F2908),IF(ISNUMBER(SEARCH("Party Name-",'R.M Billets Reports'!D2908)),TRIM(MID('R.M Billets Reports'!D2908,SEARCH("-",'R.M Billets Reports'!D2908)+1,200)),""))&lt;&gt;"",IF(ISNUMBER(SEARCH("Party Name:-",'R.M Billets Reports'!D2908)),TRIM('R.M Billets Reports'!F2908),IF(ISNUMBER(SEARCH("Party Name-",'R.M Billets Reports'!D2908)),TRIM(MID('R.M Billets Reports'!D2908,SEARCH("-",'R.M Billets Reports'!D2908)+1,200)),"")),IF(ISNUMBER(SEARCH("Party Name:-",'R.M Billets Reports'!D2909)),TRIM('R.M Billets Reports'!F2909),IF(ISNUMBER(SEARCH("Party Name-",'R.M Billets Reports'!D2909)),TRIM(MID('R.M Billets Reports'!D2909,SEARCH("-",'R.M Billets Reports'!D2909)+1,200)),"")))))),IF(ROW()=2,"",A2908))</f>
      </c>
      <c r="B2909">
        <f>IF(OR('R.M Billets Reports'!A2908="Date-",'R.M Billets Reports'!A2908="Date:-"),'R.M Billets Reports'!B2908,IF(ROW()=2,"",B2908))</f>
      </c>
      <c r="C2909">
        <f>IF('R.M Billets Reports'!A2908="V.No.",'R.M Billets Reports'!B2908,IF(ROW()=2,"",C2908))</f>
      </c>
      <c r="D2909">
        <f>IF('R.M Billets Reports'!A2908&lt;&gt;"",'R.M Billets Reports'!A2908,IF(ROW()=2,"",D2908))</f>
      </c>
      <c r="E2909">
        <f>IF('R.M Billets Reports'!B2908="","",TRIM('R.M Billets Reports'!B2908))</f>
      </c>
      <c r="F2909">
        <f>'R.M Billets Reports'!C2908</f>
      </c>
      <c r="G2909">
        <f>'R.M Billets Reports'!D2908</f>
      </c>
      <c r="H2909">
        <f>'R.M Billets Reports'!E2908</f>
      </c>
      <c r="I2909">
        <f>'R.M Billets Reports'!F2908</f>
      </c>
      <c r="J2909">
        <f>'R.M Billets Reports'!G2908</f>
      </c>
      <c r="K2909">
        <f>'R.M Billets Reports'!H2908</f>
      </c>
      <c r="L2909">
        <f>IF('R.M Billets Reports'!I2908="","",'R.M Billets Reports'!I2908)</f>
      </c>
      <c r="M2909">
        <f t="shared" si="90"/>
      </c>
      <c r="N2909">
        <f>IF('R.M Billets Reports'!J2908="","",'R.M Billets Reports'!J2908)</f>
      </c>
      <c r="O2909">
        <f t="shared" si="91"/>
      </c>
      <c r="P2909">
        <f>IF('R.M Billets Reports'!A2908="SIZE",'R.M Billets Reports'!B2908,P2908)</f>
      </c>
    </row>
    <row r="2910" spans="1:16" x14ac:dyDescent="0.25">
      <c r="A2910">
        <f>IF(OR('R.M Billets Reports'!A2909="Date-",'R.M Billets Reports'!A2909="Date:-"),IF(IF(IF(ISNUMBER(SEARCH("Party Name:-",'R.M Billets Reports'!D2909)),TRIM('R.M Billets Reports'!F2909),IF(ISNUMBER(SEARCH("Party Name-",'R.M Billets Reports'!D2909)),TRIM(MID('R.M Billets Reports'!D2909,SEARCH("-",'R.M Billets Reports'!D2909)+1,200)),""))&lt;&gt;"",IF(ISNUMBER(SEARCH("Party Name:-",'R.M Billets Reports'!D2909)),TRIM('R.M Billets Reports'!F2909),IF(ISNUMBER(SEARCH("Party Name-",'R.M Billets Reports'!D2909)),TRIM(MID('R.M Billets Reports'!D2909,SEARCH("-",'R.M Billets Reports'!D2909)+1,200)),"")),IF(ISNUMBER(SEARCH("Party Name:-",'R.M Billets Reports'!D2910)),TRIM('R.M Billets Reports'!F2910),IF(ISNUMBER(SEARCH("Party Name-",'R.M Billets Reports'!D2910)),TRIM(MID('R.M Billets Reports'!D2910,SEARCH("-",'R.M Billets Reports'!D2910)+1,200)),"")))="VRKP ISPAT PVT LTD","VRKP",IF(IF(IF(ISNUMBER(SEARCH("Party Name:-",'R.M Billets Reports'!D2909)),TRIM('R.M Billets Reports'!F2909),IF(ISNUMBER(SEARCH("Party Name-",'R.M Billets Reports'!D2909)),TRIM(MID('R.M Billets Reports'!D2909,SEARCH("-",'R.M Billets Reports'!D2909)+1,200)),""))&lt;&gt;"",IF(ISNUMBER(SEARCH("Party Name:-",'R.M Billets Reports'!D2909)),TRIM('R.M Billets Reports'!F2909),IF(ISNUMBER(SEARCH("Party Name-",'R.M Billets Reports'!D2909)),TRIM(MID('R.M Billets Reports'!D2909,SEARCH("-",'R.M Billets Reports'!D2909)+1,200)),"")),IF(ISNUMBER(SEARCH("Party Name:-",'R.M Billets Reports'!D2910)),TRIM('R.M Billets Reports'!F2910),IF(ISNUMBER(SEARCH("Party Name-",'R.M Billets Reports'!D2910)),TRIM(MID('R.M Billets Reports'!D2910,SEARCH("-",'R.M Billets Reports'!D2910)+1,200)),"")))="SHRI RADHE","SHREE RADHE",IF(IF(IF(ISNUMBER(SEARCH("Party Name:-",'R.M Billets Reports'!D2909)),TRIM('R.M Billets Reports'!F2909),IF(ISNUMBER(SEARCH("Party Name-",'R.M Billets Reports'!D2909)),TRIM(MID('R.M Billets Reports'!D2909,SEARCH("-",'R.M Billets Reports'!D2909)+1,200)),""))&lt;&gt;"",IF(ISNUMBER(SEARCH("Party Name:-",'R.M Billets Reports'!D2909)),TRIM('R.M Billets Reports'!F2909),IF(ISNUMBER(SEARCH("Party Name-",'R.M Billets Reports'!D2909)),TRIM(MID('R.M Billets Reports'!D2909,SEARCH("-",'R.M Billets Reports'!D2909)+1,200)),"")),IF(ISNUMBER(SEARCH("Party Name:-",'R.M Billets Reports'!D2910)),TRIM('R.M Billets Reports'!F2910),IF(ISNUMBER(SEARCH("Party Name-",'R.M Billets Reports'!D2910)),TRIM(MID('R.M Billets Reports'!D2910,SEARCH("-",'R.M Billets Reports'!D2910)+1,200)),"")))="SHREE RADHE SHAKTI SPONGE AND POWER PVT. LTD.","SHREE RADHE",IF(IF(ISNUMBER(SEARCH("Party Name:-",'R.M Billets Reports'!D2909)),TRIM('R.M Billets Reports'!F2909),IF(ISNUMBER(SEARCH("Party Name-",'R.M Billets Reports'!D2909)),TRIM(MID('R.M Billets Reports'!D2909,SEARCH("-",'R.M Billets Reports'!D2909)+1,200)),""))&lt;&gt;"",IF(ISNUMBER(SEARCH("Party Name:-",'R.M Billets Reports'!D2909)),TRIM('R.M Billets Reports'!F2909),IF(ISNUMBER(SEARCH("Party Name-",'R.M Billets Reports'!D2909)),TRIM(MID('R.M Billets Reports'!D2909,SEARCH("-",'R.M Billets Reports'!D2909)+1,200)),"")),IF(ISNUMBER(SEARCH("Party Name:-",'R.M Billets Reports'!D2910)),TRIM('R.M Billets Reports'!F2910),IF(ISNUMBER(SEARCH("Party Name-",'R.M Billets Reports'!D2910)),TRIM(MID('R.M Billets Reports'!D2910,SEARCH("-",'R.M Billets Reports'!D2910)+1,200)),"")))))),IF(ROW()=2,"",A2909))</f>
      </c>
      <c r="B2910">
        <f>IF(OR('R.M Billets Reports'!A2909="Date-",'R.M Billets Reports'!A2909="Date:-"),'R.M Billets Reports'!B2909,IF(ROW()=2,"",B2909))</f>
      </c>
      <c r="C2910">
        <f>IF('R.M Billets Reports'!A2909="V.No.",'R.M Billets Reports'!B2909,IF(ROW()=2,"",C2909))</f>
      </c>
      <c r="D2910">
        <f>IF('R.M Billets Reports'!A2909&lt;&gt;"",'R.M Billets Reports'!A2909,IF(ROW()=2,"",D2909))</f>
      </c>
      <c r="E2910">
        <f>IF('R.M Billets Reports'!B2909="","",TRIM('R.M Billets Reports'!B2909))</f>
      </c>
      <c r="F2910">
        <f>'R.M Billets Reports'!C2909</f>
      </c>
      <c r="G2910">
        <f>'R.M Billets Reports'!D2909</f>
      </c>
      <c r="H2910">
        <f>'R.M Billets Reports'!E2909</f>
      </c>
      <c r="I2910">
        <f>'R.M Billets Reports'!F2909</f>
      </c>
      <c r="J2910">
        <f>'R.M Billets Reports'!G2909</f>
      </c>
      <c r="K2910">
        <f>'R.M Billets Reports'!H2909</f>
      </c>
      <c r="L2910">
        <f>IF('R.M Billets Reports'!I2909="","",'R.M Billets Reports'!I2909)</f>
      </c>
      <c r="M2910">
        <f t="shared" si="90"/>
      </c>
      <c r="N2910">
        <f>IF('R.M Billets Reports'!J2909="","",'R.M Billets Reports'!J2909)</f>
      </c>
      <c r="O2910">
        <f t="shared" si="91"/>
      </c>
      <c r="P2910">
        <f>IF('R.M Billets Reports'!A2909="SIZE",'R.M Billets Reports'!B2909,P2909)</f>
      </c>
    </row>
    <row r="2911" spans="1:16" x14ac:dyDescent="0.25">
      <c r="A2911">
        <f>IF(OR('R.M Billets Reports'!A2910="Date-",'R.M Billets Reports'!A2910="Date:-"),IF(IF(IF(ISNUMBER(SEARCH("Party Name:-",'R.M Billets Reports'!D2910)),TRIM('R.M Billets Reports'!F2910),IF(ISNUMBER(SEARCH("Party Name-",'R.M Billets Reports'!D2910)),TRIM(MID('R.M Billets Reports'!D2910,SEARCH("-",'R.M Billets Reports'!D2910)+1,200)),""))&lt;&gt;"",IF(ISNUMBER(SEARCH("Party Name:-",'R.M Billets Reports'!D2910)),TRIM('R.M Billets Reports'!F2910),IF(ISNUMBER(SEARCH("Party Name-",'R.M Billets Reports'!D2910)),TRIM(MID('R.M Billets Reports'!D2910,SEARCH("-",'R.M Billets Reports'!D2910)+1,200)),"")),IF(ISNUMBER(SEARCH("Party Name:-",'R.M Billets Reports'!D2911)),TRIM('R.M Billets Reports'!F2911),IF(ISNUMBER(SEARCH("Party Name-",'R.M Billets Reports'!D2911)),TRIM(MID('R.M Billets Reports'!D2911,SEARCH("-",'R.M Billets Reports'!D2911)+1,200)),"")))="VRKP ISPAT PVT LTD","VRKP",IF(IF(IF(ISNUMBER(SEARCH("Party Name:-",'R.M Billets Reports'!D2910)),TRIM('R.M Billets Reports'!F2910),IF(ISNUMBER(SEARCH("Party Name-",'R.M Billets Reports'!D2910)),TRIM(MID('R.M Billets Reports'!D2910,SEARCH("-",'R.M Billets Reports'!D2910)+1,200)),""))&lt;&gt;"",IF(ISNUMBER(SEARCH("Party Name:-",'R.M Billets Reports'!D2910)),TRIM('R.M Billets Reports'!F2910),IF(ISNUMBER(SEARCH("Party Name-",'R.M Billets Reports'!D2910)),TRIM(MID('R.M Billets Reports'!D2910,SEARCH("-",'R.M Billets Reports'!D2910)+1,200)),"")),IF(ISNUMBER(SEARCH("Party Name:-",'R.M Billets Reports'!D2911)),TRIM('R.M Billets Reports'!F2911),IF(ISNUMBER(SEARCH("Party Name-",'R.M Billets Reports'!D2911)),TRIM(MID('R.M Billets Reports'!D2911,SEARCH("-",'R.M Billets Reports'!D2911)+1,200)),"")))="SHRI RADHE","SHREE RADHE",IF(IF(IF(ISNUMBER(SEARCH("Party Name:-",'R.M Billets Reports'!D2910)),TRIM('R.M Billets Reports'!F2910),IF(ISNUMBER(SEARCH("Party Name-",'R.M Billets Reports'!D2910)),TRIM(MID('R.M Billets Reports'!D2910,SEARCH("-",'R.M Billets Reports'!D2910)+1,200)),""))&lt;&gt;"",IF(ISNUMBER(SEARCH("Party Name:-",'R.M Billets Reports'!D2910)),TRIM('R.M Billets Reports'!F2910),IF(ISNUMBER(SEARCH("Party Name-",'R.M Billets Reports'!D2910)),TRIM(MID('R.M Billets Reports'!D2910,SEARCH("-",'R.M Billets Reports'!D2910)+1,200)),"")),IF(ISNUMBER(SEARCH("Party Name:-",'R.M Billets Reports'!D2911)),TRIM('R.M Billets Reports'!F2911),IF(ISNUMBER(SEARCH("Party Name-",'R.M Billets Reports'!D2911)),TRIM(MID('R.M Billets Reports'!D2911,SEARCH("-",'R.M Billets Reports'!D2911)+1,200)),"")))="SHREE RADHE SHAKTI SPONGE AND POWER PVT. LTD.","SHREE RADHE",IF(IF(ISNUMBER(SEARCH("Party Name:-",'R.M Billets Reports'!D2910)),TRIM('R.M Billets Reports'!F2910),IF(ISNUMBER(SEARCH("Party Name-",'R.M Billets Reports'!D2910)),TRIM(MID('R.M Billets Reports'!D2910,SEARCH("-",'R.M Billets Reports'!D2910)+1,200)),""))&lt;&gt;"",IF(ISNUMBER(SEARCH("Party Name:-",'R.M Billets Reports'!D2910)),TRIM('R.M Billets Reports'!F2910),IF(ISNUMBER(SEARCH("Party Name-",'R.M Billets Reports'!D2910)),TRIM(MID('R.M Billets Reports'!D2910,SEARCH("-",'R.M Billets Reports'!D2910)+1,200)),"")),IF(ISNUMBER(SEARCH("Party Name:-",'R.M Billets Reports'!D2911)),TRIM('R.M Billets Reports'!F2911),IF(ISNUMBER(SEARCH("Party Name-",'R.M Billets Reports'!D2911)),TRIM(MID('R.M Billets Reports'!D2911,SEARCH("-",'R.M Billets Reports'!D2911)+1,200)),"")))))),IF(ROW()=2,"",A2910))</f>
      </c>
      <c r="B2911">
        <f>IF(OR('R.M Billets Reports'!A2910="Date-",'R.M Billets Reports'!A2910="Date:-"),'R.M Billets Reports'!B2910,IF(ROW()=2,"",B2910))</f>
      </c>
      <c r="C2911">
        <f>IF('R.M Billets Reports'!A2910="V.No.",'R.M Billets Reports'!B2910,IF(ROW()=2,"",C2910))</f>
      </c>
      <c r="D2911">
        <f>IF('R.M Billets Reports'!A2910&lt;&gt;"",'R.M Billets Reports'!A2910,IF(ROW()=2,"",D2910))</f>
      </c>
      <c r="E2911">
        <f>IF('R.M Billets Reports'!B2910="","",TRIM('R.M Billets Reports'!B2910))</f>
      </c>
      <c r="F2911">
        <f>'R.M Billets Reports'!C2910</f>
      </c>
      <c r="G2911">
        <f>'R.M Billets Reports'!D2910</f>
      </c>
      <c r="H2911">
        <f>'R.M Billets Reports'!E2910</f>
      </c>
      <c r="I2911">
        <f>'R.M Billets Reports'!F2910</f>
      </c>
      <c r="J2911">
        <f>'R.M Billets Reports'!G2910</f>
      </c>
      <c r="K2911">
        <f>'R.M Billets Reports'!H2910</f>
      </c>
      <c r="L2911">
        <f>IF('R.M Billets Reports'!I2910="","",'R.M Billets Reports'!I2910)</f>
      </c>
      <c r="M2911">
        <f t="shared" si="90"/>
      </c>
      <c r="N2911">
        <f>IF('R.M Billets Reports'!J2910="","",'R.M Billets Reports'!J2910)</f>
      </c>
      <c r="O2911">
        <f t="shared" si="91"/>
      </c>
      <c r="P2911">
        <f>IF('R.M Billets Reports'!A2910="SIZE",'R.M Billets Reports'!B2910,P2910)</f>
      </c>
    </row>
    <row r="2912" spans="1:16" x14ac:dyDescent="0.25">
      <c r="A2912">
        <f>IF(OR('R.M Billets Reports'!A2911="Date-",'R.M Billets Reports'!A2911="Date:-"),IF(IF(IF(ISNUMBER(SEARCH("Party Name:-",'R.M Billets Reports'!D2911)),TRIM('R.M Billets Reports'!F2911),IF(ISNUMBER(SEARCH("Party Name-",'R.M Billets Reports'!D2911)),TRIM(MID('R.M Billets Reports'!D2911,SEARCH("-",'R.M Billets Reports'!D2911)+1,200)),""))&lt;&gt;"",IF(ISNUMBER(SEARCH("Party Name:-",'R.M Billets Reports'!D2911)),TRIM('R.M Billets Reports'!F2911),IF(ISNUMBER(SEARCH("Party Name-",'R.M Billets Reports'!D2911)),TRIM(MID('R.M Billets Reports'!D2911,SEARCH("-",'R.M Billets Reports'!D2911)+1,200)),"")),IF(ISNUMBER(SEARCH("Party Name:-",'R.M Billets Reports'!D2912)),TRIM('R.M Billets Reports'!F2912),IF(ISNUMBER(SEARCH("Party Name-",'R.M Billets Reports'!D2912)),TRIM(MID('R.M Billets Reports'!D2912,SEARCH("-",'R.M Billets Reports'!D2912)+1,200)),"")))="VRKP ISPAT PVT LTD","VRKP",IF(IF(IF(ISNUMBER(SEARCH("Party Name:-",'R.M Billets Reports'!D2911)),TRIM('R.M Billets Reports'!F2911),IF(ISNUMBER(SEARCH("Party Name-",'R.M Billets Reports'!D2911)),TRIM(MID('R.M Billets Reports'!D2911,SEARCH("-",'R.M Billets Reports'!D2911)+1,200)),""))&lt;&gt;"",IF(ISNUMBER(SEARCH("Party Name:-",'R.M Billets Reports'!D2911)),TRIM('R.M Billets Reports'!F2911),IF(ISNUMBER(SEARCH("Party Name-",'R.M Billets Reports'!D2911)),TRIM(MID('R.M Billets Reports'!D2911,SEARCH("-",'R.M Billets Reports'!D2911)+1,200)),"")),IF(ISNUMBER(SEARCH("Party Name:-",'R.M Billets Reports'!D2912)),TRIM('R.M Billets Reports'!F2912),IF(ISNUMBER(SEARCH("Party Name-",'R.M Billets Reports'!D2912)),TRIM(MID('R.M Billets Reports'!D2912,SEARCH("-",'R.M Billets Reports'!D2912)+1,200)),"")))="SHRI RADHE","SHREE RADHE",IF(IF(IF(ISNUMBER(SEARCH("Party Name:-",'R.M Billets Reports'!D2911)),TRIM('R.M Billets Reports'!F2911),IF(ISNUMBER(SEARCH("Party Name-",'R.M Billets Reports'!D2911)),TRIM(MID('R.M Billets Reports'!D2911,SEARCH("-",'R.M Billets Reports'!D2911)+1,200)),""))&lt;&gt;"",IF(ISNUMBER(SEARCH("Party Name:-",'R.M Billets Reports'!D2911)),TRIM('R.M Billets Reports'!F2911),IF(ISNUMBER(SEARCH("Party Name-",'R.M Billets Reports'!D2911)),TRIM(MID('R.M Billets Reports'!D2911,SEARCH("-",'R.M Billets Reports'!D2911)+1,200)),"")),IF(ISNUMBER(SEARCH("Party Name:-",'R.M Billets Reports'!D2912)),TRIM('R.M Billets Reports'!F2912),IF(ISNUMBER(SEARCH("Party Name-",'R.M Billets Reports'!D2912)),TRIM(MID('R.M Billets Reports'!D2912,SEARCH("-",'R.M Billets Reports'!D2912)+1,200)),"")))="SHREE RADHE SHAKTI SPONGE AND POWER PVT. LTD.","SHREE RADHE",IF(IF(ISNUMBER(SEARCH("Party Name:-",'R.M Billets Reports'!D2911)),TRIM('R.M Billets Reports'!F2911),IF(ISNUMBER(SEARCH("Party Name-",'R.M Billets Reports'!D2911)),TRIM(MID('R.M Billets Reports'!D2911,SEARCH("-",'R.M Billets Reports'!D2911)+1,200)),""))&lt;&gt;"",IF(ISNUMBER(SEARCH("Party Name:-",'R.M Billets Reports'!D2911)),TRIM('R.M Billets Reports'!F2911),IF(ISNUMBER(SEARCH("Party Name-",'R.M Billets Reports'!D2911)),TRIM(MID('R.M Billets Reports'!D2911,SEARCH("-",'R.M Billets Reports'!D2911)+1,200)),"")),IF(ISNUMBER(SEARCH("Party Name:-",'R.M Billets Reports'!D2912)),TRIM('R.M Billets Reports'!F2912),IF(ISNUMBER(SEARCH("Party Name-",'R.M Billets Reports'!D2912)),TRIM(MID('R.M Billets Reports'!D2912,SEARCH("-",'R.M Billets Reports'!D2912)+1,200)),"")))))),IF(ROW()=2,"",A2911))</f>
      </c>
      <c r="B2912">
        <f>IF(OR('R.M Billets Reports'!A2911="Date-",'R.M Billets Reports'!A2911="Date:-"),'R.M Billets Reports'!B2911,IF(ROW()=2,"",B2911))</f>
      </c>
      <c r="C2912">
        <f>IF('R.M Billets Reports'!A2911="V.No.",'R.M Billets Reports'!B2911,IF(ROW()=2,"",C2911))</f>
      </c>
      <c r="D2912">
        <f>IF('R.M Billets Reports'!A2911&lt;&gt;"",'R.M Billets Reports'!A2911,IF(ROW()=2,"",D2911))</f>
      </c>
      <c r="E2912">
        <f>IF('R.M Billets Reports'!B2911="","",TRIM('R.M Billets Reports'!B2911))</f>
      </c>
      <c r="F2912">
        <f>'R.M Billets Reports'!C2911</f>
      </c>
      <c r="G2912">
        <f>'R.M Billets Reports'!D2911</f>
      </c>
      <c r="H2912">
        <f>'R.M Billets Reports'!E2911</f>
      </c>
      <c r="I2912">
        <f>'R.M Billets Reports'!F2911</f>
      </c>
      <c r="J2912">
        <f>'R.M Billets Reports'!G2911</f>
      </c>
      <c r="K2912">
        <f>'R.M Billets Reports'!H2911</f>
      </c>
      <c r="L2912">
        <f>IF('R.M Billets Reports'!I2911="","",'R.M Billets Reports'!I2911)</f>
      </c>
      <c r="M2912">
        <f t="shared" si="90"/>
      </c>
      <c r="N2912">
        <f>IF('R.M Billets Reports'!J2911="","",'R.M Billets Reports'!J2911)</f>
      </c>
      <c r="O2912">
        <f t="shared" si="91"/>
      </c>
      <c r="P2912">
        <f>IF('R.M Billets Reports'!A2911="SIZE",'R.M Billets Reports'!B2911,P2911)</f>
      </c>
    </row>
    <row r="2913" spans="1:16" x14ac:dyDescent="0.25">
      <c r="A2913">
        <f>IF(OR('R.M Billets Reports'!A2912="Date-",'R.M Billets Reports'!A2912="Date:-"),IF(IF(IF(ISNUMBER(SEARCH("Party Name:-",'R.M Billets Reports'!D2912)),TRIM('R.M Billets Reports'!F2912),IF(ISNUMBER(SEARCH("Party Name-",'R.M Billets Reports'!D2912)),TRIM(MID('R.M Billets Reports'!D2912,SEARCH("-",'R.M Billets Reports'!D2912)+1,200)),""))&lt;&gt;"",IF(ISNUMBER(SEARCH("Party Name:-",'R.M Billets Reports'!D2912)),TRIM('R.M Billets Reports'!F2912),IF(ISNUMBER(SEARCH("Party Name-",'R.M Billets Reports'!D2912)),TRIM(MID('R.M Billets Reports'!D2912,SEARCH("-",'R.M Billets Reports'!D2912)+1,200)),"")),IF(ISNUMBER(SEARCH("Party Name:-",'R.M Billets Reports'!D2913)),TRIM('R.M Billets Reports'!F2913),IF(ISNUMBER(SEARCH("Party Name-",'R.M Billets Reports'!D2913)),TRIM(MID('R.M Billets Reports'!D2913,SEARCH("-",'R.M Billets Reports'!D2913)+1,200)),"")))="VRKP ISPAT PVT LTD","VRKP",IF(IF(IF(ISNUMBER(SEARCH("Party Name:-",'R.M Billets Reports'!D2912)),TRIM('R.M Billets Reports'!F2912),IF(ISNUMBER(SEARCH("Party Name-",'R.M Billets Reports'!D2912)),TRIM(MID('R.M Billets Reports'!D2912,SEARCH("-",'R.M Billets Reports'!D2912)+1,200)),""))&lt;&gt;"",IF(ISNUMBER(SEARCH("Party Name:-",'R.M Billets Reports'!D2912)),TRIM('R.M Billets Reports'!F2912),IF(ISNUMBER(SEARCH("Party Name-",'R.M Billets Reports'!D2912)),TRIM(MID('R.M Billets Reports'!D2912,SEARCH("-",'R.M Billets Reports'!D2912)+1,200)),"")),IF(ISNUMBER(SEARCH("Party Name:-",'R.M Billets Reports'!D2913)),TRIM('R.M Billets Reports'!F2913),IF(ISNUMBER(SEARCH("Party Name-",'R.M Billets Reports'!D2913)),TRIM(MID('R.M Billets Reports'!D2913,SEARCH("-",'R.M Billets Reports'!D2913)+1,200)),"")))="SHRI RADHE","SHREE RADHE",IF(IF(IF(ISNUMBER(SEARCH("Party Name:-",'R.M Billets Reports'!D2912)),TRIM('R.M Billets Reports'!F2912),IF(ISNUMBER(SEARCH("Party Name-",'R.M Billets Reports'!D2912)),TRIM(MID('R.M Billets Reports'!D2912,SEARCH("-",'R.M Billets Reports'!D2912)+1,200)),""))&lt;&gt;"",IF(ISNUMBER(SEARCH("Party Name:-",'R.M Billets Reports'!D2912)),TRIM('R.M Billets Reports'!F2912),IF(ISNUMBER(SEARCH("Party Name-",'R.M Billets Reports'!D2912)),TRIM(MID('R.M Billets Reports'!D2912,SEARCH("-",'R.M Billets Reports'!D2912)+1,200)),"")),IF(ISNUMBER(SEARCH("Party Name:-",'R.M Billets Reports'!D2913)),TRIM('R.M Billets Reports'!F2913),IF(ISNUMBER(SEARCH("Party Name-",'R.M Billets Reports'!D2913)),TRIM(MID('R.M Billets Reports'!D2913,SEARCH("-",'R.M Billets Reports'!D2913)+1,200)),"")))="SHREE RADHE SHAKTI SPONGE AND POWER PVT. LTD.","SHREE RADHE",IF(IF(ISNUMBER(SEARCH("Party Name:-",'R.M Billets Reports'!D2912)),TRIM('R.M Billets Reports'!F2912),IF(ISNUMBER(SEARCH("Party Name-",'R.M Billets Reports'!D2912)),TRIM(MID('R.M Billets Reports'!D2912,SEARCH("-",'R.M Billets Reports'!D2912)+1,200)),""))&lt;&gt;"",IF(ISNUMBER(SEARCH("Party Name:-",'R.M Billets Reports'!D2912)),TRIM('R.M Billets Reports'!F2912),IF(ISNUMBER(SEARCH("Party Name-",'R.M Billets Reports'!D2912)),TRIM(MID('R.M Billets Reports'!D2912,SEARCH("-",'R.M Billets Reports'!D2912)+1,200)),"")),IF(ISNUMBER(SEARCH("Party Name:-",'R.M Billets Reports'!D2913)),TRIM('R.M Billets Reports'!F2913),IF(ISNUMBER(SEARCH("Party Name-",'R.M Billets Reports'!D2913)),TRIM(MID('R.M Billets Reports'!D2913,SEARCH("-",'R.M Billets Reports'!D2913)+1,200)),"")))))),IF(ROW()=2,"",A2912))</f>
      </c>
      <c r="B2913">
        <f>IF(OR('R.M Billets Reports'!A2912="Date-",'R.M Billets Reports'!A2912="Date:-"),'R.M Billets Reports'!B2912,IF(ROW()=2,"",B2912))</f>
      </c>
      <c r="C2913">
        <f>IF('R.M Billets Reports'!A2912="V.No.",'R.M Billets Reports'!B2912,IF(ROW()=2,"",C2912))</f>
      </c>
      <c r="D2913">
        <f>IF('R.M Billets Reports'!A2912&lt;&gt;"",'R.M Billets Reports'!A2912,IF(ROW()=2,"",D2912))</f>
      </c>
      <c r="E2913">
        <f>IF('R.M Billets Reports'!B2912="","",TRIM('R.M Billets Reports'!B2912))</f>
      </c>
      <c r="F2913">
        <f>'R.M Billets Reports'!C2912</f>
      </c>
      <c r="G2913">
        <f>'R.M Billets Reports'!D2912</f>
      </c>
      <c r="H2913">
        <f>'R.M Billets Reports'!E2912</f>
      </c>
      <c r="I2913">
        <f>'R.M Billets Reports'!F2912</f>
      </c>
      <c r="J2913">
        <f>'R.M Billets Reports'!G2912</f>
      </c>
      <c r="K2913">
        <f>'R.M Billets Reports'!H2912</f>
      </c>
      <c r="L2913">
        <f>IF('R.M Billets Reports'!I2912="","",'R.M Billets Reports'!I2912)</f>
      </c>
      <c r="M2913">
        <f t="shared" si="90"/>
      </c>
      <c r="N2913">
        <f>IF('R.M Billets Reports'!J2912="","",'R.M Billets Reports'!J2912)</f>
      </c>
      <c r="O2913">
        <f t="shared" si="91"/>
      </c>
      <c r="P2913">
        <f>IF('R.M Billets Reports'!A2912="SIZE",'R.M Billets Reports'!B2912,P2912)</f>
      </c>
    </row>
    <row r="2914" spans="1:16" x14ac:dyDescent="0.25">
      <c r="A2914">
        <f>IF(OR('R.M Billets Reports'!A2913="Date-",'R.M Billets Reports'!A2913="Date:-"),IF(IF(IF(ISNUMBER(SEARCH("Party Name:-",'R.M Billets Reports'!D2913)),TRIM('R.M Billets Reports'!F2913),IF(ISNUMBER(SEARCH("Party Name-",'R.M Billets Reports'!D2913)),TRIM(MID('R.M Billets Reports'!D2913,SEARCH("-",'R.M Billets Reports'!D2913)+1,200)),""))&lt;&gt;"",IF(ISNUMBER(SEARCH("Party Name:-",'R.M Billets Reports'!D2913)),TRIM('R.M Billets Reports'!F2913),IF(ISNUMBER(SEARCH("Party Name-",'R.M Billets Reports'!D2913)),TRIM(MID('R.M Billets Reports'!D2913,SEARCH("-",'R.M Billets Reports'!D2913)+1,200)),"")),IF(ISNUMBER(SEARCH("Party Name:-",'R.M Billets Reports'!D2914)),TRIM('R.M Billets Reports'!F2914),IF(ISNUMBER(SEARCH("Party Name-",'R.M Billets Reports'!D2914)),TRIM(MID('R.M Billets Reports'!D2914,SEARCH("-",'R.M Billets Reports'!D2914)+1,200)),"")))="VRKP ISPAT PVT LTD","VRKP",IF(IF(IF(ISNUMBER(SEARCH("Party Name:-",'R.M Billets Reports'!D2913)),TRIM('R.M Billets Reports'!F2913),IF(ISNUMBER(SEARCH("Party Name-",'R.M Billets Reports'!D2913)),TRIM(MID('R.M Billets Reports'!D2913,SEARCH("-",'R.M Billets Reports'!D2913)+1,200)),""))&lt;&gt;"",IF(ISNUMBER(SEARCH("Party Name:-",'R.M Billets Reports'!D2913)),TRIM('R.M Billets Reports'!F2913),IF(ISNUMBER(SEARCH("Party Name-",'R.M Billets Reports'!D2913)),TRIM(MID('R.M Billets Reports'!D2913,SEARCH("-",'R.M Billets Reports'!D2913)+1,200)),"")),IF(ISNUMBER(SEARCH("Party Name:-",'R.M Billets Reports'!D2914)),TRIM('R.M Billets Reports'!F2914),IF(ISNUMBER(SEARCH("Party Name-",'R.M Billets Reports'!D2914)),TRIM(MID('R.M Billets Reports'!D2914,SEARCH("-",'R.M Billets Reports'!D2914)+1,200)),"")))="SHRI RADHE","SHREE RADHE",IF(IF(IF(ISNUMBER(SEARCH("Party Name:-",'R.M Billets Reports'!D2913)),TRIM('R.M Billets Reports'!F2913),IF(ISNUMBER(SEARCH("Party Name-",'R.M Billets Reports'!D2913)),TRIM(MID('R.M Billets Reports'!D2913,SEARCH("-",'R.M Billets Reports'!D2913)+1,200)),""))&lt;&gt;"",IF(ISNUMBER(SEARCH("Party Name:-",'R.M Billets Reports'!D2913)),TRIM('R.M Billets Reports'!F2913),IF(ISNUMBER(SEARCH("Party Name-",'R.M Billets Reports'!D2913)),TRIM(MID('R.M Billets Reports'!D2913,SEARCH("-",'R.M Billets Reports'!D2913)+1,200)),"")),IF(ISNUMBER(SEARCH("Party Name:-",'R.M Billets Reports'!D2914)),TRIM('R.M Billets Reports'!F2914),IF(ISNUMBER(SEARCH("Party Name-",'R.M Billets Reports'!D2914)),TRIM(MID('R.M Billets Reports'!D2914,SEARCH("-",'R.M Billets Reports'!D2914)+1,200)),"")))="SHREE RADHE SHAKTI SPONGE AND POWER PVT. LTD.","SHREE RADHE",IF(IF(ISNUMBER(SEARCH("Party Name:-",'R.M Billets Reports'!D2913)),TRIM('R.M Billets Reports'!F2913),IF(ISNUMBER(SEARCH("Party Name-",'R.M Billets Reports'!D2913)),TRIM(MID('R.M Billets Reports'!D2913,SEARCH("-",'R.M Billets Reports'!D2913)+1,200)),""))&lt;&gt;"",IF(ISNUMBER(SEARCH("Party Name:-",'R.M Billets Reports'!D2913)),TRIM('R.M Billets Reports'!F2913),IF(ISNUMBER(SEARCH("Party Name-",'R.M Billets Reports'!D2913)),TRIM(MID('R.M Billets Reports'!D2913,SEARCH("-",'R.M Billets Reports'!D2913)+1,200)),"")),IF(ISNUMBER(SEARCH("Party Name:-",'R.M Billets Reports'!D2914)),TRIM('R.M Billets Reports'!F2914),IF(ISNUMBER(SEARCH("Party Name-",'R.M Billets Reports'!D2914)),TRIM(MID('R.M Billets Reports'!D2914,SEARCH("-",'R.M Billets Reports'!D2914)+1,200)),"")))))),IF(ROW()=2,"",A2913))</f>
      </c>
      <c r="B2914">
        <f>IF(OR('R.M Billets Reports'!A2913="Date-",'R.M Billets Reports'!A2913="Date:-"),'R.M Billets Reports'!B2913,IF(ROW()=2,"",B2913))</f>
      </c>
      <c r="C2914">
        <f>IF('R.M Billets Reports'!A2913="V.No.",'R.M Billets Reports'!B2913,IF(ROW()=2,"",C2913))</f>
      </c>
      <c r="D2914">
        <f>IF('R.M Billets Reports'!A2913&lt;&gt;"",'R.M Billets Reports'!A2913,IF(ROW()=2,"",D2913))</f>
      </c>
      <c r="E2914">
        <f>IF('R.M Billets Reports'!B2913="","",TRIM('R.M Billets Reports'!B2913))</f>
      </c>
      <c r="F2914">
        <f>'R.M Billets Reports'!C2913</f>
      </c>
      <c r="G2914">
        <f>'R.M Billets Reports'!D2913</f>
      </c>
      <c r="H2914">
        <f>'R.M Billets Reports'!E2913</f>
      </c>
      <c r="I2914">
        <f>'R.M Billets Reports'!F2913</f>
      </c>
      <c r="J2914">
        <f>'R.M Billets Reports'!G2913</f>
      </c>
      <c r="K2914">
        <f>'R.M Billets Reports'!H2913</f>
      </c>
      <c r="L2914">
        <f>IF('R.M Billets Reports'!I2913="","",'R.M Billets Reports'!I2913)</f>
      </c>
      <c r="M2914">
        <f t="shared" si="90"/>
      </c>
      <c r="N2914">
        <f>IF('R.M Billets Reports'!J2913="","",'R.M Billets Reports'!J2913)</f>
      </c>
      <c r="O2914">
        <f t="shared" si="91"/>
      </c>
      <c r="P2914">
        <f>IF('R.M Billets Reports'!A2913="SIZE",'R.M Billets Reports'!B2913,P2913)</f>
      </c>
    </row>
    <row r="2915" spans="1:16" x14ac:dyDescent="0.25">
      <c r="A2915">
        <f>IF(OR('R.M Billets Reports'!A2914="Date-",'R.M Billets Reports'!A2914="Date:-"),IF(IF(IF(ISNUMBER(SEARCH("Party Name:-",'R.M Billets Reports'!D2914)),TRIM('R.M Billets Reports'!F2914),IF(ISNUMBER(SEARCH("Party Name-",'R.M Billets Reports'!D2914)),TRIM(MID('R.M Billets Reports'!D2914,SEARCH("-",'R.M Billets Reports'!D2914)+1,200)),""))&lt;&gt;"",IF(ISNUMBER(SEARCH("Party Name:-",'R.M Billets Reports'!D2914)),TRIM('R.M Billets Reports'!F2914),IF(ISNUMBER(SEARCH("Party Name-",'R.M Billets Reports'!D2914)),TRIM(MID('R.M Billets Reports'!D2914,SEARCH("-",'R.M Billets Reports'!D2914)+1,200)),"")),IF(ISNUMBER(SEARCH("Party Name:-",'R.M Billets Reports'!D2915)),TRIM('R.M Billets Reports'!F2915),IF(ISNUMBER(SEARCH("Party Name-",'R.M Billets Reports'!D2915)),TRIM(MID('R.M Billets Reports'!D2915,SEARCH("-",'R.M Billets Reports'!D2915)+1,200)),"")))="VRKP ISPAT PVT LTD","VRKP",IF(IF(IF(ISNUMBER(SEARCH("Party Name:-",'R.M Billets Reports'!D2914)),TRIM('R.M Billets Reports'!F2914),IF(ISNUMBER(SEARCH("Party Name-",'R.M Billets Reports'!D2914)),TRIM(MID('R.M Billets Reports'!D2914,SEARCH("-",'R.M Billets Reports'!D2914)+1,200)),""))&lt;&gt;"",IF(ISNUMBER(SEARCH("Party Name:-",'R.M Billets Reports'!D2914)),TRIM('R.M Billets Reports'!F2914),IF(ISNUMBER(SEARCH("Party Name-",'R.M Billets Reports'!D2914)),TRIM(MID('R.M Billets Reports'!D2914,SEARCH("-",'R.M Billets Reports'!D2914)+1,200)),"")),IF(ISNUMBER(SEARCH("Party Name:-",'R.M Billets Reports'!D2915)),TRIM('R.M Billets Reports'!F2915),IF(ISNUMBER(SEARCH("Party Name-",'R.M Billets Reports'!D2915)),TRIM(MID('R.M Billets Reports'!D2915,SEARCH("-",'R.M Billets Reports'!D2915)+1,200)),"")))="SHRI RADHE","SHREE RADHE",IF(IF(IF(ISNUMBER(SEARCH("Party Name:-",'R.M Billets Reports'!D2914)),TRIM('R.M Billets Reports'!F2914),IF(ISNUMBER(SEARCH("Party Name-",'R.M Billets Reports'!D2914)),TRIM(MID('R.M Billets Reports'!D2914,SEARCH("-",'R.M Billets Reports'!D2914)+1,200)),""))&lt;&gt;"",IF(ISNUMBER(SEARCH("Party Name:-",'R.M Billets Reports'!D2914)),TRIM('R.M Billets Reports'!F2914),IF(ISNUMBER(SEARCH("Party Name-",'R.M Billets Reports'!D2914)),TRIM(MID('R.M Billets Reports'!D2914,SEARCH("-",'R.M Billets Reports'!D2914)+1,200)),"")),IF(ISNUMBER(SEARCH("Party Name:-",'R.M Billets Reports'!D2915)),TRIM('R.M Billets Reports'!F2915),IF(ISNUMBER(SEARCH("Party Name-",'R.M Billets Reports'!D2915)),TRIM(MID('R.M Billets Reports'!D2915,SEARCH("-",'R.M Billets Reports'!D2915)+1,200)),"")))="SHREE RADHE SHAKTI SPONGE AND POWER PVT. LTD.","SHREE RADHE",IF(IF(ISNUMBER(SEARCH("Party Name:-",'R.M Billets Reports'!D2914)),TRIM('R.M Billets Reports'!F2914),IF(ISNUMBER(SEARCH("Party Name-",'R.M Billets Reports'!D2914)),TRIM(MID('R.M Billets Reports'!D2914,SEARCH("-",'R.M Billets Reports'!D2914)+1,200)),""))&lt;&gt;"",IF(ISNUMBER(SEARCH("Party Name:-",'R.M Billets Reports'!D2914)),TRIM('R.M Billets Reports'!F2914),IF(ISNUMBER(SEARCH("Party Name-",'R.M Billets Reports'!D2914)),TRIM(MID('R.M Billets Reports'!D2914,SEARCH("-",'R.M Billets Reports'!D2914)+1,200)),"")),IF(ISNUMBER(SEARCH("Party Name:-",'R.M Billets Reports'!D2915)),TRIM('R.M Billets Reports'!F2915),IF(ISNUMBER(SEARCH("Party Name-",'R.M Billets Reports'!D2915)),TRIM(MID('R.M Billets Reports'!D2915,SEARCH("-",'R.M Billets Reports'!D2915)+1,200)),"")))))),IF(ROW()=2,"",A2914))</f>
      </c>
      <c r="B2915">
        <f>IF(OR('R.M Billets Reports'!A2914="Date-",'R.M Billets Reports'!A2914="Date:-"),'R.M Billets Reports'!B2914,IF(ROW()=2,"",B2914))</f>
      </c>
      <c r="C2915">
        <f>IF('R.M Billets Reports'!A2914="V.No.",'R.M Billets Reports'!B2914,IF(ROW()=2,"",C2914))</f>
      </c>
      <c r="D2915">
        <f>IF('R.M Billets Reports'!A2914&lt;&gt;"",'R.M Billets Reports'!A2914,IF(ROW()=2,"",D2914))</f>
      </c>
      <c r="E2915">
        <f>IF('R.M Billets Reports'!B2914="","",TRIM('R.M Billets Reports'!B2914))</f>
      </c>
      <c r="F2915">
        <f>'R.M Billets Reports'!C2914</f>
      </c>
      <c r="G2915">
        <f>'R.M Billets Reports'!D2914</f>
      </c>
      <c r="H2915">
        <f>'R.M Billets Reports'!E2914</f>
      </c>
      <c r="I2915">
        <f>'R.M Billets Reports'!F2914</f>
      </c>
      <c r="J2915">
        <f>'R.M Billets Reports'!G2914</f>
      </c>
      <c r="K2915">
        <f>'R.M Billets Reports'!H2914</f>
      </c>
      <c r="L2915">
        <f>IF('R.M Billets Reports'!I2914="","",'R.M Billets Reports'!I2914)</f>
      </c>
      <c r="M2915">
        <f t="shared" si="90"/>
      </c>
      <c r="N2915">
        <f>IF('R.M Billets Reports'!J2914="","",'R.M Billets Reports'!J2914)</f>
      </c>
      <c r="O2915">
        <f t="shared" si="91"/>
      </c>
      <c r="P2915">
        <f>IF('R.M Billets Reports'!A2914="SIZE",'R.M Billets Reports'!B2914,P2914)</f>
      </c>
    </row>
    <row r="2916" spans="1:16" x14ac:dyDescent="0.25">
      <c r="A2916">
        <f>IF(OR('R.M Billets Reports'!A2915="Date-",'R.M Billets Reports'!A2915="Date:-"),IF(IF(IF(ISNUMBER(SEARCH("Party Name:-",'R.M Billets Reports'!D2915)),TRIM('R.M Billets Reports'!F2915),IF(ISNUMBER(SEARCH("Party Name-",'R.M Billets Reports'!D2915)),TRIM(MID('R.M Billets Reports'!D2915,SEARCH("-",'R.M Billets Reports'!D2915)+1,200)),""))&lt;&gt;"",IF(ISNUMBER(SEARCH("Party Name:-",'R.M Billets Reports'!D2915)),TRIM('R.M Billets Reports'!F2915),IF(ISNUMBER(SEARCH("Party Name-",'R.M Billets Reports'!D2915)),TRIM(MID('R.M Billets Reports'!D2915,SEARCH("-",'R.M Billets Reports'!D2915)+1,200)),"")),IF(ISNUMBER(SEARCH("Party Name:-",'R.M Billets Reports'!D2916)),TRIM('R.M Billets Reports'!F2916),IF(ISNUMBER(SEARCH("Party Name-",'R.M Billets Reports'!D2916)),TRIM(MID('R.M Billets Reports'!D2916,SEARCH("-",'R.M Billets Reports'!D2916)+1,200)),"")))="VRKP ISPAT PVT LTD","VRKP",IF(IF(IF(ISNUMBER(SEARCH("Party Name:-",'R.M Billets Reports'!D2915)),TRIM('R.M Billets Reports'!F2915),IF(ISNUMBER(SEARCH("Party Name-",'R.M Billets Reports'!D2915)),TRIM(MID('R.M Billets Reports'!D2915,SEARCH("-",'R.M Billets Reports'!D2915)+1,200)),""))&lt;&gt;"",IF(ISNUMBER(SEARCH("Party Name:-",'R.M Billets Reports'!D2915)),TRIM('R.M Billets Reports'!F2915),IF(ISNUMBER(SEARCH("Party Name-",'R.M Billets Reports'!D2915)),TRIM(MID('R.M Billets Reports'!D2915,SEARCH("-",'R.M Billets Reports'!D2915)+1,200)),"")),IF(ISNUMBER(SEARCH("Party Name:-",'R.M Billets Reports'!D2916)),TRIM('R.M Billets Reports'!F2916),IF(ISNUMBER(SEARCH("Party Name-",'R.M Billets Reports'!D2916)),TRIM(MID('R.M Billets Reports'!D2916,SEARCH("-",'R.M Billets Reports'!D2916)+1,200)),"")))="SHRI RADHE","SHREE RADHE",IF(IF(IF(ISNUMBER(SEARCH("Party Name:-",'R.M Billets Reports'!D2915)),TRIM('R.M Billets Reports'!F2915),IF(ISNUMBER(SEARCH("Party Name-",'R.M Billets Reports'!D2915)),TRIM(MID('R.M Billets Reports'!D2915,SEARCH("-",'R.M Billets Reports'!D2915)+1,200)),""))&lt;&gt;"",IF(ISNUMBER(SEARCH("Party Name:-",'R.M Billets Reports'!D2915)),TRIM('R.M Billets Reports'!F2915),IF(ISNUMBER(SEARCH("Party Name-",'R.M Billets Reports'!D2915)),TRIM(MID('R.M Billets Reports'!D2915,SEARCH("-",'R.M Billets Reports'!D2915)+1,200)),"")),IF(ISNUMBER(SEARCH("Party Name:-",'R.M Billets Reports'!D2916)),TRIM('R.M Billets Reports'!F2916),IF(ISNUMBER(SEARCH("Party Name-",'R.M Billets Reports'!D2916)),TRIM(MID('R.M Billets Reports'!D2916,SEARCH("-",'R.M Billets Reports'!D2916)+1,200)),"")))="SHREE RADHE SHAKTI SPONGE AND POWER PVT. LTD.","SHREE RADHE",IF(IF(ISNUMBER(SEARCH("Party Name:-",'R.M Billets Reports'!D2915)),TRIM('R.M Billets Reports'!F2915),IF(ISNUMBER(SEARCH("Party Name-",'R.M Billets Reports'!D2915)),TRIM(MID('R.M Billets Reports'!D2915,SEARCH("-",'R.M Billets Reports'!D2915)+1,200)),""))&lt;&gt;"",IF(ISNUMBER(SEARCH("Party Name:-",'R.M Billets Reports'!D2915)),TRIM('R.M Billets Reports'!F2915),IF(ISNUMBER(SEARCH("Party Name-",'R.M Billets Reports'!D2915)),TRIM(MID('R.M Billets Reports'!D2915,SEARCH("-",'R.M Billets Reports'!D2915)+1,200)),"")),IF(ISNUMBER(SEARCH("Party Name:-",'R.M Billets Reports'!D2916)),TRIM('R.M Billets Reports'!F2916),IF(ISNUMBER(SEARCH("Party Name-",'R.M Billets Reports'!D2916)),TRIM(MID('R.M Billets Reports'!D2916,SEARCH("-",'R.M Billets Reports'!D2916)+1,200)),"")))))),IF(ROW()=2,"",A2915))</f>
      </c>
      <c r="B2916">
        <f>IF(OR('R.M Billets Reports'!A2915="Date-",'R.M Billets Reports'!A2915="Date:-"),'R.M Billets Reports'!B2915,IF(ROW()=2,"",B2915))</f>
      </c>
      <c r="C2916">
        <f>IF('R.M Billets Reports'!A2915="V.No.",'R.M Billets Reports'!B2915,IF(ROW()=2,"",C2915))</f>
      </c>
      <c r="D2916">
        <f>IF('R.M Billets Reports'!A2915&lt;&gt;"",'R.M Billets Reports'!A2915,IF(ROW()=2,"",D2915))</f>
      </c>
      <c r="E2916">
        <f>IF('R.M Billets Reports'!B2915="","",TRIM('R.M Billets Reports'!B2915))</f>
      </c>
      <c r="F2916">
        <f>'R.M Billets Reports'!C2915</f>
      </c>
      <c r="G2916">
        <f>'R.M Billets Reports'!D2915</f>
      </c>
      <c r="H2916">
        <f>'R.M Billets Reports'!E2915</f>
      </c>
      <c r="I2916">
        <f>'R.M Billets Reports'!F2915</f>
      </c>
      <c r="J2916">
        <f>'R.M Billets Reports'!G2915</f>
      </c>
      <c r="K2916">
        <f>'R.M Billets Reports'!H2915</f>
      </c>
      <c r="L2916">
        <f>IF('R.M Billets Reports'!I2915="","",'R.M Billets Reports'!I2915)</f>
      </c>
      <c r="M2916">
        <f t="shared" si="90"/>
      </c>
      <c r="N2916">
        <f>IF('R.M Billets Reports'!J2915="","",'R.M Billets Reports'!J2915)</f>
      </c>
      <c r="O2916">
        <f t="shared" si="91"/>
      </c>
      <c r="P2916">
        <f>IF('R.M Billets Reports'!A2915="SIZE",'R.M Billets Reports'!B2915,P2915)</f>
      </c>
    </row>
    <row r="2917" spans="1:16" x14ac:dyDescent="0.25">
      <c r="A2917">
        <f>IF(OR('R.M Billets Reports'!A2916="Date-",'R.M Billets Reports'!A2916="Date:-"),IF(IF(IF(ISNUMBER(SEARCH("Party Name:-",'R.M Billets Reports'!D2916)),TRIM('R.M Billets Reports'!F2916),IF(ISNUMBER(SEARCH("Party Name-",'R.M Billets Reports'!D2916)),TRIM(MID('R.M Billets Reports'!D2916,SEARCH("-",'R.M Billets Reports'!D2916)+1,200)),""))&lt;&gt;"",IF(ISNUMBER(SEARCH("Party Name:-",'R.M Billets Reports'!D2916)),TRIM('R.M Billets Reports'!F2916),IF(ISNUMBER(SEARCH("Party Name-",'R.M Billets Reports'!D2916)),TRIM(MID('R.M Billets Reports'!D2916,SEARCH("-",'R.M Billets Reports'!D2916)+1,200)),"")),IF(ISNUMBER(SEARCH("Party Name:-",'R.M Billets Reports'!D2917)),TRIM('R.M Billets Reports'!F2917),IF(ISNUMBER(SEARCH("Party Name-",'R.M Billets Reports'!D2917)),TRIM(MID('R.M Billets Reports'!D2917,SEARCH("-",'R.M Billets Reports'!D2917)+1,200)),"")))="VRKP ISPAT PVT LTD","VRKP",IF(IF(IF(ISNUMBER(SEARCH("Party Name:-",'R.M Billets Reports'!D2916)),TRIM('R.M Billets Reports'!F2916),IF(ISNUMBER(SEARCH("Party Name-",'R.M Billets Reports'!D2916)),TRIM(MID('R.M Billets Reports'!D2916,SEARCH("-",'R.M Billets Reports'!D2916)+1,200)),""))&lt;&gt;"",IF(ISNUMBER(SEARCH("Party Name:-",'R.M Billets Reports'!D2916)),TRIM('R.M Billets Reports'!F2916),IF(ISNUMBER(SEARCH("Party Name-",'R.M Billets Reports'!D2916)),TRIM(MID('R.M Billets Reports'!D2916,SEARCH("-",'R.M Billets Reports'!D2916)+1,200)),"")),IF(ISNUMBER(SEARCH("Party Name:-",'R.M Billets Reports'!D2917)),TRIM('R.M Billets Reports'!F2917),IF(ISNUMBER(SEARCH("Party Name-",'R.M Billets Reports'!D2917)),TRIM(MID('R.M Billets Reports'!D2917,SEARCH("-",'R.M Billets Reports'!D2917)+1,200)),"")))="SHRI RADHE","SHREE RADHE",IF(IF(IF(ISNUMBER(SEARCH("Party Name:-",'R.M Billets Reports'!D2916)),TRIM('R.M Billets Reports'!F2916),IF(ISNUMBER(SEARCH("Party Name-",'R.M Billets Reports'!D2916)),TRIM(MID('R.M Billets Reports'!D2916,SEARCH("-",'R.M Billets Reports'!D2916)+1,200)),""))&lt;&gt;"",IF(ISNUMBER(SEARCH("Party Name:-",'R.M Billets Reports'!D2916)),TRIM('R.M Billets Reports'!F2916),IF(ISNUMBER(SEARCH("Party Name-",'R.M Billets Reports'!D2916)),TRIM(MID('R.M Billets Reports'!D2916,SEARCH("-",'R.M Billets Reports'!D2916)+1,200)),"")),IF(ISNUMBER(SEARCH("Party Name:-",'R.M Billets Reports'!D2917)),TRIM('R.M Billets Reports'!F2917),IF(ISNUMBER(SEARCH("Party Name-",'R.M Billets Reports'!D2917)),TRIM(MID('R.M Billets Reports'!D2917,SEARCH("-",'R.M Billets Reports'!D2917)+1,200)),"")))="SHREE RADHE SHAKTI SPONGE AND POWER PVT. LTD.","SHREE RADHE",IF(IF(ISNUMBER(SEARCH("Party Name:-",'R.M Billets Reports'!D2916)),TRIM('R.M Billets Reports'!F2916),IF(ISNUMBER(SEARCH("Party Name-",'R.M Billets Reports'!D2916)),TRIM(MID('R.M Billets Reports'!D2916,SEARCH("-",'R.M Billets Reports'!D2916)+1,200)),""))&lt;&gt;"",IF(ISNUMBER(SEARCH("Party Name:-",'R.M Billets Reports'!D2916)),TRIM('R.M Billets Reports'!F2916),IF(ISNUMBER(SEARCH("Party Name-",'R.M Billets Reports'!D2916)),TRIM(MID('R.M Billets Reports'!D2916,SEARCH("-",'R.M Billets Reports'!D2916)+1,200)),"")),IF(ISNUMBER(SEARCH("Party Name:-",'R.M Billets Reports'!D2917)),TRIM('R.M Billets Reports'!F2917),IF(ISNUMBER(SEARCH("Party Name-",'R.M Billets Reports'!D2917)),TRIM(MID('R.M Billets Reports'!D2917,SEARCH("-",'R.M Billets Reports'!D2917)+1,200)),"")))))),IF(ROW()=2,"",A2916))</f>
      </c>
      <c r="B2917">
        <f>IF(OR('R.M Billets Reports'!A2916="Date-",'R.M Billets Reports'!A2916="Date:-"),'R.M Billets Reports'!B2916,IF(ROW()=2,"",B2916))</f>
      </c>
      <c r="C2917">
        <f>IF('R.M Billets Reports'!A2916="V.No.",'R.M Billets Reports'!B2916,IF(ROW()=2,"",C2916))</f>
      </c>
      <c r="D2917">
        <f>IF('R.M Billets Reports'!A2916&lt;&gt;"",'R.M Billets Reports'!A2916,IF(ROW()=2,"",D2916))</f>
      </c>
      <c r="E2917">
        <f>IF('R.M Billets Reports'!B2916="","",TRIM('R.M Billets Reports'!B2916))</f>
      </c>
      <c r="F2917">
        <f>'R.M Billets Reports'!C2916</f>
      </c>
      <c r="G2917">
        <f>'R.M Billets Reports'!D2916</f>
      </c>
      <c r="H2917">
        <f>'R.M Billets Reports'!E2916</f>
      </c>
      <c r="I2917">
        <f>'R.M Billets Reports'!F2916</f>
      </c>
      <c r="J2917">
        <f>'R.M Billets Reports'!G2916</f>
      </c>
      <c r="K2917">
        <f>'R.M Billets Reports'!H2916</f>
      </c>
      <c r="L2917">
        <f>IF('R.M Billets Reports'!I2916="","",'R.M Billets Reports'!I2916)</f>
      </c>
      <c r="M2917">
        <f t="shared" si="90"/>
      </c>
      <c r="N2917">
        <f>IF('R.M Billets Reports'!J2916="","",'R.M Billets Reports'!J2916)</f>
      </c>
      <c r="O2917">
        <f t="shared" si="91"/>
      </c>
      <c r="P2917">
        <f>IF('R.M Billets Reports'!A2916="SIZE",'R.M Billets Reports'!B2916,P2916)</f>
      </c>
    </row>
    <row r="2918" spans="1:16" x14ac:dyDescent="0.25">
      <c r="A2918">
        <f>IF(OR('R.M Billets Reports'!A2917="Date-",'R.M Billets Reports'!A2917="Date:-"),IF(IF(IF(ISNUMBER(SEARCH("Party Name:-",'R.M Billets Reports'!D2917)),TRIM('R.M Billets Reports'!F2917),IF(ISNUMBER(SEARCH("Party Name-",'R.M Billets Reports'!D2917)),TRIM(MID('R.M Billets Reports'!D2917,SEARCH("-",'R.M Billets Reports'!D2917)+1,200)),""))&lt;&gt;"",IF(ISNUMBER(SEARCH("Party Name:-",'R.M Billets Reports'!D2917)),TRIM('R.M Billets Reports'!F2917),IF(ISNUMBER(SEARCH("Party Name-",'R.M Billets Reports'!D2917)),TRIM(MID('R.M Billets Reports'!D2917,SEARCH("-",'R.M Billets Reports'!D2917)+1,200)),"")),IF(ISNUMBER(SEARCH("Party Name:-",'R.M Billets Reports'!D2918)),TRIM('R.M Billets Reports'!F2918),IF(ISNUMBER(SEARCH("Party Name-",'R.M Billets Reports'!D2918)),TRIM(MID('R.M Billets Reports'!D2918,SEARCH("-",'R.M Billets Reports'!D2918)+1,200)),"")))="VRKP ISPAT PVT LTD","VRKP",IF(IF(IF(ISNUMBER(SEARCH("Party Name:-",'R.M Billets Reports'!D2917)),TRIM('R.M Billets Reports'!F2917),IF(ISNUMBER(SEARCH("Party Name-",'R.M Billets Reports'!D2917)),TRIM(MID('R.M Billets Reports'!D2917,SEARCH("-",'R.M Billets Reports'!D2917)+1,200)),""))&lt;&gt;"",IF(ISNUMBER(SEARCH("Party Name:-",'R.M Billets Reports'!D2917)),TRIM('R.M Billets Reports'!F2917),IF(ISNUMBER(SEARCH("Party Name-",'R.M Billets Reports'!D2917)),TRIM(MID('R.M Billets Reports'!D2917,SEARCH("-",'R.M Billets Reports'!D2917)+1,200)),"")),IF(ISNUMBER(SEARCH("Party Name:-",'R.M Billets Reports'!D2918)),TRIM('R.M Billets Reports'!F2918),IF(ISNUMBER(SEARCH("Party Name-",'R.M Billets Reports'!D2918)),TRIM(MID('R.M Billets Reports'!D2918,SEARCH("-",'R.M Billets Reports'!D2918)+1,200)),"")))="SHRI RADHE","SHREE RADHE",IF(IF(IF(ISNUMBER(SEARCH("Party Name:-",'R.M Billets Reports'!D2917)),TRIM('R.M Billets Reports'!F2917),IF(ISNUMBER(SEARCH("Party Name-",'R.M Billets Reports'!D2917)),TRIM(MID('R.M Billets Reports'!D2917,SEARCH("-",'R.M Billets Reports'!D2917)+1,200)),""))&lt;&gt;"",IF(ISNUMBER(SEARCH("Party Name:-",'R.M Billets Reports'!D2917)),TRIM('R.M Billets Reports'!F2917),IF(ISNUMBER(SEARCH("Party Name-",'R.M Billets Reports'!D2917)),TRIM(MID('R.M Billets Reports'!D2917,SEARCH("-",'R.M Billets Reports'!D2917)+1,200)),"")),IF(ISNUMBER(SEARCH("Party Name:-",'R.M Billets Reports'!D2918)),TRIM('R.M Billets Reports'!F2918),IF(ISNUMBER(SEARCH("Party Name-",'R.M Billets Reports'!D2918)),TRIM(MID('R.M Billets Reports'!D2918,SEARCH("-",'R.M Billets Reports'!D2918)+1,200)),"")))="SHREE RADHE SHAKTI SPONGE AND POWER PVT. LTD.","SHREE RADHE",IF(IF(ISNUMBER(SEARCH("Party Name:-",'R.M Billets Reports'!D2917)),TRIM('R.M Billets Reports'!F2917),IF(ISNUMBER(SEARCH("Party Name-",'R.M Billets Reports'!D2917)),TRIM(MID('R.M Billets Reports'!D2917,SEARCH("-",'R.M Billets Reports'!D2917)+1,200)),""))&lt;&gt;"",IF(ISNUMBER(SEARCH("Party Name:-",'R.M Billets Reports'!D2917)),TRIM('R.M Billets Reports'!F2917),IF(ISNUMBER(SEARCH("Party Name-",'R.M Billets Reports'!D2917)),TRIM(MID('R.M Billets Reports'!D2917,SEARCH("-",'R.M Billets Reports'!D2917)+1,200)),"")),IF(ISNUMBER(SEARCH("Party Name:-",'R.M Billets Reports'!D2918)),TRIM('R.M Billets Reports'!F2918),IF(ISNUMBER(SEARCH("Party Name-",'R.M Billets Reports'!D2918)),TRIM(MID('R.M Billets Reports'!D2918,SEARCH("-",'R.M Billets Reports'!D2918)+1,200)),"")))))),IF(ROW()=2,"",A2917))</f>
      </c>
      <c r="B2918">
        <f>IF(OR('R.M Billets Reports'!A2917="Date-",'R.M Billets Reports'!A2917="Date:-"),'R.M Billets Reports'!B2917,IF(ROW()=2,"",B2917))</f>
      </c>
      <c r="C2918">
        <f>IF('R.M Billets Reports'!A2917="V.No.",'R.M Billets Reports'!B2917,IF(ROW()=2,"",C2917))</f>
      </c>
      <c r="D2918">
        <f>IF('R.M Billets Reports'!A2917&lt;&gt;"",'R.M Billets Reports'!A2917,IF(ROW()=2,"",D2917))</f>
      </c>
      <c r="E2918">
        <f>IF('R.M Billets Reports'!B2917="","",TRIM('R.M Billets Reports'!B2917))</f>
      </c>
      <c r="F2918">
        <f>'R.M Billets Reports'!C2917</f>
      </c>
      <c r="G2918">
        <f>'R.M Billets Reports'!D2917</f>
      </c>
      <c r="H2918">
        <f>'R.M Billets Reports'!E2917</f>
      </c>
      <c r="I2918">
        <f>'R.M Billets Reports'!F2917</f>
      </c>
      <c r="J2918">
        <f>'R.M Billets Reports'!G2917</f>
      </c>
      <c r="K2918">
        <f>'R.M Billets Reports'!H2917</f>
      </c>
      <c r="L2918">
        <f>IF('R.M Billets Reports'!I2917="","",'R.M Billets Reports'!I2917)</f>
      </c>
      <c r="M2918">
        <f t="shared" si="90"/>
      </c>
      <c r="N2918">
        <f>IF('R.M Billets Reports'!J2917="","",'R.M Billets Reports'!J2917)</f>
      </c>
      <c r="O2918">
        <f t="shared" si="91"/>
      </c>
      <c r="P2918">
        <f>IF('R.M Billets Reports'!A2917="SIZE",'R.M Billets Reports'!B2917,P2917)</f>
      </c>
    </row>
    <row r="2919" spans="1:16" x14ac:dyDescent="0.25">
      <c r="A2919">
        <f>IF(OR('R.M Billets Reports'!A2918="Date-",'R.M Billets Reports'!A2918="Date:-"),IF(IF(IF(ISNUMBER(SEARCH("Party Name:-",'R.M Billets Reports'!D2918)),TRIM('R.M Billets Reports'!F2918),IF(ISNUMBER(SEARCH("Party Name-",'R.M Billets Reports'!D2918)),TRIM(MID('R.M Billets Reports'!D2918,SEARCH("-",'R.M Billets Reports'!D2918)+1,200)),""))&lt;&gt;"",IF(ISNUMBER(SEARCH("Party Name:-",'R.M Billets Reports'!D2918)),TRIM('R.M Billets Reports'!F2918),IF(ISNUMBER(SEARCH("Party Name-",'R.M Billets Reports'!D2918)),TRIM(MID('R.M Billets Reports'!D2918,SEARCH("-",'R.M Billets Reports'!D2918)+1,200)),"")),IF(ISNUMBER(SEARCH("Party Name:-",'R.M Billets Reports'!D2919)),TRIM('R.M Billets Reports'!F2919),IF(ISNUMBER(SEARCH("Party Name-",'R.M Billets Reports'!D2919)),TRIM(MID('R.M Billets Reports'!D2919,SEARCH("-",'R.M Billets Reports'!D2919)+1,200)),"")))="VRKP ISPAT PVT LTD","VRKP",IF(IF(IF(ISNUMBER(SEARCH("Party Name:-",'R.M Billets Reports'!D2918)),TRIM('R.M Billets Reports'!F2918),IF(ISNUMBER(SEARCH("Party Name-",'R.M Billets Reports'!D2918)),TRIM(MID('R.M Billets Reports'!D2918,SEARCH("-",'R.M Billets Reports'!D2918)+1,200)),""))&lt;&gt;"",IF(ISNUMBER(SEARCH("Party Name:-",'R.M Billets Reports'!D2918)),TRIM('R.M Billets Reports'!F2918),IF(ISNUMBER(SEARCH("Party Name-",'R.M Billets Reports'!D2918)),TRIM(MID('R.M Billets Reports'!D2918,SEARCH("-",'R.M Billets Reports'!D2918)+1,200)),"")),IF(ISNUMBER(SEARCH("Party Name:-",'R.M Billets Reports'!D2919)),TRIM('R.M Billets Reports'!F2919),IF(ISNUMBER(SEARCH("Party Name-",'R.M Billets Reports'!D2919)),TRIM(MID('R.M Billets Reports'!D2919,SEARCH("-",'R.M Billets Reports'!D2919)+1,200)),"")))="SHRI RADHE","SHREE RADHE",IF(IF(IF(ISNUMBER(SEARCH("Party Name:-",'R.M Billets Reports'!D2918)),TRIM('R.M Billets Reports'!F2918),IF(ISNUMBER(SEARCH("Party Name-",'R.M Billets Reports'!D2918)),TRIM(MID('R.M Billets Reports'!D2918,SEARCH("-",'R.M Billets Reports'!D2918)+1,200)),""))&lt;&gt;"",IF(ISNUMBER(SEARCH("Party Name:-",'R.M Billets Reports'!D2918)),TRIM('R.M Billets Reports'!F2918),IF(ISNUMBER(SEARCH("Party Name-",'R.M Billets Reports'!D2918)),TRIM(MID('R.M Billets Reports'!D2918,SEARCH("-",'R.M Billets Reports'!D2918)+1,200)),"")),IF(ISNUMBER(SEARCH("Party Name:-",'R.M Billets Reports'!D2919)),TRIM('R.M Billets Reports'!F2919),IF(ISNUMBER(SEARCH("Party Name-",'R.M Billets Reports'!D2919)),TRIM(MID('R.M Billets Reports'!D2919,SEARCH("-",'R.M Billets Reports'!D2919)+1,200)),"")))="SHREE RADHE SHAKTI SPONGE AND POWER PVT. LTD.","SHREE RADHE",IF(IF(ISNUMBER(SEARCH("Party Name:-",'R.M Billets Reports'!D2918)),TRIM('R.M Billets Reports'!F2918),IF(ISNUMBER(SEARCH("Party Name-",'R.M Billets Reports'!D2918)),TRIM(MID('R.M Billets Reports'!D2918,SEARCH("-",'R.M Billets Reports'!D2918)+1,200)),""))&lt;&gt;"",IF(ISNUMBER(SEARCH("Party Name:-",'R.M Billets Reports'!D2918)),TRIM('R.M Billets Reports'!F2918),IF(ISNUMBER(SEARCH("Party Name-",'R.M Billets Reports'!D2918)),TRIM(MID('R.M Billets Reports'!D2918,SEARCH("-",'R.M Billets Reports'!D2918)+1,200)),"")),IF(ISNUMBER(SEARCH("Party Name:-",'R.M Billets Reports'!D2919)),TRIM('R.M Billets Reports'!F2919),IF(ISNUMBER(SEARCH("Party Name-",'R.M Billets Reports'!D2919)),TRIM(MID('R.M Billets Reports'!D2919,SEARCH("-",'R.M Billets Reports'!D2919)+1,200)),"")))))),IF(ROW()=2,"",A2918))</f>
      </c>
      <c r="B2919">
        <f>IF(OR('R.M Billets Reports'!A2918="Date-",'R.M Billets Reports'!A2918="Date:-"),'R.M Billets Reports'!B2918,IF(ROW()=2,"",B2918))</f>
      </c>
      <c r="C2919">
        <f>IF('R.M Billets Reports'!A2918="V.No.",'R.M Billets Reports'!B2918,IF(ROW()=2,"",C2918))</f>
      </c>
      <c r="D2919">
        <f>IF('R.M Billets Reports'!A2918&lt;&gt;"",'R.M Billets Reports'!A2918,IF(ROW()=2,"",D2918))</f>
      </c>
      <c r="E2919">
        <f>IF('R.M Billets Reports'!B2918="","",TRIM('R.M Billets Reports'!B2918))</f>
      </c>
      <c r="F2919">
        <f>'R.M Billets Reports'!C2918</f>
      </c>
      <c r="G2919">
        <f>'R.M Billets Reports'!D2918</f>
      </c>
      <c r="H2919">
        <f>'R.M Billets Reports'!E2918</f>
      </c>
      <c r="I2919">
        <f>'R.M Billets Reports'!F2918</f>
      </c>
      <c r="J2919">
        <f>'R.M Billets Reports'!G2918</f>
      </c>
      <c r="K2919">
        <f>'R.M Billets Reports'!H2918</f>
      </c>
      <c r="L2919">
        <f>IF('R.M Billets Reports'!I2918="","",'R.M Billets Reports'!I2918)</f>
      </c>
      <c r="M2919">
        <f t="shared" si="90"/>
      </c>
      <c r="N2919">
        <f>IF('R.M Billets Reports'!J2918="","",'R.M Billets Reports'!J2918)</f>
      </c>
      <c r="O2919">
        <f t="shared" si="91"/>
      </c>
      <c r="P2919">
        <f>IF('R.M Billets Reports'!A2918="SIZE",'R.M Billets Reports'!B2918,P2918)</f>
      </c>
    </row>
    <row r="2920" spans="1:16" x14ac:dyDescent="0.25">
      <c r="A2920">
        <f>IF(OR('R.M Billets Reports'!A2919="Date-",'R.M Billets Reports'!A2919="Date:-"),IF(IF(IF(ISNUMBER(SEARCH("Party Name:-",'R.M Billets Reports'!D2919)),TRIM('R.M Billets Reports'!F2919),IF(ISNUMBER(SEARCH("Party Name-",'R.M Billets Reports'!D2919)),TRIM(MID('R.M Billets Reports'!D2919,SEARCH("-",'R.M Billets Reports'!D2919)+1,200)),""))&lt;&gt;"",IF(ISNUMBER(SEARCH("Party Name:-",'R.M Billets Reports'!D2919)),TRIM('R.M Billets Reports'!F2919),IF(ISNUMBER(SEARCH("Party Name-",'R.M Billets Reports'!D2919)),TRIM(MID('R.M Billets Reports'!D2919,SEARCH("-",'R.M Billets Reports'!D2919)+1,200)),"")),IF(ISNUMBER(SEARCH("Party Name:-",'R.M Billets Reports'!D2920)),TRIM('R.M Billets Reports'!F2920),IF(ISNUMBER(SEARCH("Party Name-",'R.M Billets Reports'!D2920)),TRIM(MID('R.M Billets Reports'!D2920,SEARCH("-",'R.M Billets Reports'!D2920)+1,200)),"")))="VRKP ISPAT PVT LTD","VRKP",IF(IF(IF(ISNUMBER(SEARCH("Party Name:-",'R.M Billets Reports'!D2919)),TRIM('R.M Billets Reports'!F2919),IF(ISNUMBER(SEARCH("Party Name-",'R.M Billets Reports'!D2919)),TRIM(MID('R.M Billets Reports'!D2919,SEARCH("-",'R.M Billets Reports'!D2919)+1,200)),""))&lt;&gt;"",IF(ISNUMBER(SEARCH("Party Name:-",'R.M Billets Reports'!D2919)),TRIM('R.M Billets Reports'!F2919),IF(ISNUMBER(SEARCH("Party Name-",'R.M Billets Reports'!D2919)),TRIM(MID('R.M Billets Reports'!D2919,SEARCH("-",'R.M Billets Reports'!D2919)+1,200)),"")),IF(ISNUMBER(SEARCH("Party Name:-",'R.M Billets Reports'!D2920)),TRIM('R.M Billets Reports'!F2920),IF(ISNUMBER(SEARCH("Party Name-",'R.M Billets Reports'!D2920)),TRIM(MID('R.M Billets Reports'!D2920,SEARCH("-",'R.M Billets Reports'!D2920)+1,200)),"")))="SHRI RADHE","SHREE RADHE",IF(IF(IF(ISNUMBER(SEARCH("Party Name:-",'R.M Billets Reports'!D2919)),TRIM('R.M Billets Reports'!F2919),IF(ISNUMBER(SEARCH("Party Name-",'R.M Billets Reports'!D2919)),TRIM(MID('R.M Billets Reports'!D2919,SEARCH("-",'R.M Billets Reports'!D2919)+1,200)),""))&lt;&gt;"",IF(ISNUMBER(SEARCH("Party Name:-",'R.M Billets Reports'!D2919)),TRIM('R.M Billets Reports'!F2919),IF(ISNUMBER(SEARCH("Party Name-",'R.M Billets Reports'!D2919)),TRIM(MID('R.M Billets Reports'!D2919,SEARCH("-",'R.M Billets Reports'!D2919)+1,200)),"")),IF(ISNUMBER(SEARCH("Party Name:-",'R.M Billets Reports'!D2920)),TRIM('R.M Billets Reports'!F2920),IF(ISNUMBER(SEARCH("Party Name-",'R.M Billets Reports'!D2920)),TRIM(MID('R.M Billets Reports'!D2920,SEARCH("-",'R.M Billets Reports'!D2920)+1,200)),"")))="SHREE RADHE SHAKTI SPONGE AND POWER PVT. LTD.","SHREE RADHE",IF(IF(ISNUMBER(SEARCH("Party Name:-",'R.M Billets Reports'!D2919)),TRIM('R.M Billets Reports'!F2919),IF(ISNUMBER(SEARCH("Party Name-",'R.M Billets Reports'!D2919)),TRIM(MID('R.M Billets Reports'!D2919,SEARCH("-",'R.M Billets Reports'!D2919)+1,200)),""))&lt;&gt;"",IF(ISNUMBER(SEARCH("Party Name:-",'R.M Billets Reports'!D2919)),TRIM('R.M Billets Reports'!F2919),IF(ISNUMBER(SEARCH("Party Name-",'R.M Billets Reports'!D2919)),TRIM(MID('R.M Billets Reports'!D2919,SEARCH("-",'R.M Billets Reports'!D2919)+1,200)),"")),IF(ISNUMBER(SEARCH("Party Name:-",'R.M Billets Reports'!D2920)),TRIM('R.M Billets Reports'!F2920),IF(ISNUMBER(SEARCH("Party Name-",'R.M Billets Reports'!D2920)),TRIM(MID('R.M Billets Reports'!D2920,SEARCH("-",'R.M Billets Reports'!D2920)+1,200)),"")))))),IF(ROW()=2,"",A2919))</f>
      </c>
      <c r="B2920">
        <f>IF(OR('R.M Billets Reports'!A2919="Date-",'R.M Billets Reports'!A2919="Date:-"),'R.M Billets Reports'!B2919,IF(ROW()=2,"",B2919))</f>
      </c>
      <c r="C2920">
        <f>IF('R.M Billets Reports'!A2919="V.No.",'R.M Billets Reports'!B2919,IF(ROW()=2,"",C2919))</f>
      </c>
      <c r="D2920">
        <f>IF('R.M Billets Reports'!A2919&lt;&gt;"",'R.M Billets Reports'!A2919,IF(ROW()=2,"",D2919))</f>
      </c>
      <c r="E2920">
        <f>IF('R.M Billets Reports'!B2919="","",TRIM('R.M Billets Reports'!B2919))</f>
      </c>
      <c r="F2920">
        <f>'R.M Billets Reports'!C2919</f>
      </c>
      <c r="G2920">
        <f>'R.M Billets Reports'!D2919</f>
      </c>
      <c r="H2920">
        <f>'R.M Billets Reports'!E2919</f>
      </c>
      <c r="I2920">
        <f>'R.M Billets Reports'!F2919</f>
      </c>
      <c r="J2920">
        <f>'R.M Billets Reports'!G2919</f>
      </c>
      <c r="K2920">
        <f>'R.M Billets Reports'!H2919</f>
      </c>
      <c r="L2920">
        <f>IF('R.M Billets Reports'!I2919="","",'R.M Billets Reports'!I2919)</f>
      </c>
      <c r="M2920">
        <f t="shared" si="90"/>
      </c>
      <c r="N2920">
        <f>IF('R.M Billets Reports'!J2919="","",'R.M Billets Reports'!J2919)</f>
      </c>
      <c r="O2920">
        <f t="shared" si="91"/>
      </c>
      <c r="P2920">
        <f>IF('R.M Billets Reports'!A2919="SIZE",'R.M Billets Reports'!B2919,P2919)</f>
      </c>
    </row>
    <row r="2921" spans="1:16" x14ac:dyDescent="0.25">
      <c r="A2921">
        <f>IF(OR('R.M Billets Reports'!A2920="Date-",'R.M Billets Reports'!A2920="Date:-"),IF(IF(IF(ISNUMBER(SEARCH("Party Name:-",'R.M Billets Reports'!D2920)),TRIM('R.M Billets Reports'!F2920),IF(ISNUMBER(SEARCH("Party Name-",'R.M Billets Reports'!D2920)),TRIM(MID('R.M Billets Reports'!D2920,SEARCH("-",'R.M Billets Reports'!D2920)+1,200)),""))&lt;&gt;"",IF(ISNUMBER(SEARCH("Party Name:-",'R.M Billets Reports'!D2920)),TRIM('R.M Billets Reports'!F2920),IF(ISNUMBER(SEARCH("Party Name-",'R.M Billets Reports'!D2920)),TRIM(MID('R.M Billets Reports'!D2920,SEARCH("-",'R.M Billets Reports'!D2920)+1,200)),"")),IF(ISNUMBER(SEARCH("Party Name:-",'R.M Billets Reports'!D2921)),TRIM('R.M Billets Reports'!F2921),IF(ISNUMBER(SEARCH("Party Name-",'R.M Billets Reports'!D2921)),TRIM(MID('R.M Billets Reports'!D2921,SEARCH("-",'R.M Billets Reports'!D2921)+1,200)),"")))="VRKP ISPAT PVT LTD","VRKP",IF(IF(IF(ISNUMBER(SEARCH("Party Name:-",'R.M Billets Reports'!D2920)),TRIM('R.M Billets Reports'!F2920),IF(ISNUMBER(SEARCH("Party Name-",'R.M Billets Reports'!D2920)),TRIM(MID('R.M Billets Reports'!D2920,SEARCH("-",'R.M Billets Reports'!D2920)+1,200)),""))&lt;&gt;"",IF(ISNUMBER(SEARCH("Party Name:-",'R.M Billets Reports'!D2920)),TRIM('R.M Billets Reports'!F2920),IF(ISNUMBER(SEARCH("Party Name-",'R.M Billets Reports'!D2920)),TRIM(MID('R.M Billets Reports'!D2920,SEARCH("-",'R.M Billets Reports'!D2920)+1,200)),"")),IF(ISNUMBER(SEARCH("Party Name:-",'R.M Billets Reports'!D2921)),TRIM('R.M Billets Reports'!F2921),IF(ISNUMBER(SEARCH("Party Name-",'R.M Billets Reports'!D2921)),TRIM(MID('R.M Billets Reports'!D2921,SEARCH("-",'R.M Billets Reports'!D2921)+1,200)),"")))="SHRI RADHE","SHREE RADHE",IF(IF(IF(ISNUMBER(SEARCH("Party Name:-",'R.M Billets Reports'!D2920)),TRIM('R.M Billets Reports'!F2920),IF(ISNUMBER(SEARCH("Party Name-",'R.M Billets Reports'!D2920)),TRIM(MID('R.M Billets Reports'!D2920,SEARCH("-",'R.M Billets Reports'!D2920)+1,200)),""))&lt;&gt;"",IF(ISNUMBER(SEARCH("Party Name:-",'R.M Billets Reports'!D2920)),TRIM('R.M Billets Reports'!F2920),IF(ISNUMBER(SEARCH("Party Name-",'R.M Billets Reports'!D2920)),TRIM(MID('R.M Billets Reports'!D2920,SEARCH("-",'R.M Billets Reports'!D2920)+1,200)),"")),IF(ISNUMBER(SEARCH("Party Name:-",'R.M Billets Reports'!D2921)),TRIM('R.M Billets Reports'!F2921),IF(ISNUMBER(SEARCH("Party Name-",'R.M Billets Reports'!D2921)),TRIM(MID('R.M Billets Reports'!D2921,SEARCH("-",'R.M Billets Reports'!D2921)+1,200)),"")))="SHREE RADHE SHAKTI SPONGE AND POWER PVT. LTD.","SHREE RADHE",IF(IF(ISNUMBER(SEARCH("Party Name:-",'R.M Billets Reports'!D2920)),TRIM('R.M Billets Reports'!F2920),IF(ISNUMBER(SEARCH("Party Name-",'R.M Billets Reports'!D2920)),TRIM(MID('R.M Billets Reports'!D2920,SEARCH("-",'R.M Billets Reports'!D2920)+1,200)),""))&lt;&gt;"",IF(ISNUMBER(SEARCH("Party Name:-",'R.M Billets Reports'!D2920)),TRIM('R.M Billets Reports'!F2920),IF(ISNUMBER(SEARCH("Party Name-",'R.M Billets Reports'!D2920)),TRIM(MID('R.M Billets Reports'!D2920,SEARCH("-",'R.M Billets Reports'!D2920)+1,200)),"")),IF(ISNUMBER(SEARCH("Party Name:-",'R.M Billets Reports'!D2921)),TRIM('R.M Billets Reports'!F2921),IF(ISNUMBER(SEARCH("Party Name-",'R.M Billets Reports'!D2921)),TRIM(MID('R.M Billets Reports'!D2921,SEARCH("-",'R.M Billets Reports'!D2921)+1,200)),"")))))),IF(ROW()=2,"",A2920))</f>
      </c>
      <c r="B2921">
        <f>IF(OR('R.M Billets Reports'!A2920="Date-",'R.M Billets Reports'!A2920="Date:-"),'R.M Billets Reports'!B2920,IF(ROW()=2,"",B2920))</f>
      </c>
      <c r="C2921">
        <f>IF('R.M Billets Reports'!A2920="V.No.",'R.M Billets Reports'!B2920,IF(ROW()=2,"",C2920))</f>
      </c>
      <c r="D2921">
        <f>IF('R.M Billets Reports'!A2920&lt;&gt;"",'R.M Billets Reports'!A2920,IF(ROW()=2,"",D2920))</f>
      </c>
      <c r="E2921">
        <f>IF('R.M Billets Reports'!B2920="","",TRIM('R.M Billets Reports'!B2920))</f>
      </c>
      <c r="F2921">
        <f>'R.M Billets Reports'!C2920</f>
      </c>
      <c r="G2921">
        <f>'R.M Billets Reports'!D2920</f>
      </c>
      <c r="H2921">
        <f>'R.M Billets Reports'!E2920</f>
      </c>
      <c r="I2921">
        <f>'R.M Billets Reports'!F2920</f>
      </c>
      <c r="J2921">
        <f>'R.M Billets Reports'!G2920</f>
      </c>
      <c r="K2921">
        <f>'R.M Billets Reports'!H2920</f>
      </c>
      <c r="L2921">
        <f>IF('R.M Billets Reports'!I2920="","",'R.M Billets Reports'!I2920)</f>
      </c>
      <c r="M2921">
        <f t="shared" si="90"/>
      </c>
      <c r="N2921">
        <f>IF('R.M Billets Reports'!J2920="","",'R.M Billets Reports'!J2920)</f>
      </c>
      <c r="O2921">
        <f t="shared" si="91"/>
      </c>
      <c r="P2921">
        <f>IF('R.M Billets Reports'!A2920="SIZE",'R.M Billets Reports'!B2920,P2920)</f>
      </c>
    </row>
    <row r="2922" spans="1:16" x14ac:dyDescent="0.25">
      <c r="A2922">
        <f>IF(OR('R.M Billets Reports'!A2921="Date-",'R.M Billets Reports'!A2921="Date:-"),IF(IF(IF(ISNUMBER(SEARCH("Party Name:-",'R.M Billets Reports'!D2921)),TRIM('R.M Billets Reports'!F2921),IF(ISNUMBER(SEARCH("Party Name-",'R.M Billets Reports'!D2921)),TRIM(MID('R.M Billets Reports'!D2921,SEARCH("-",'R.M Billets Reports'!D2921)+1,200)),""))&lt;&gt;"",IF(ISNUMBER(SEARCH("Party Name:-",'R.M Billets Reports'!D2921)),TRIM('R.M Billets Reports'!F2921),IF(ISNUMBER(SEARCH("Party Name-",'R.M Billets Reports'!D2921)),TRIM(MID('R.M Billets Reports'!D2921,SEARCH("-",'R.M Billets Reports'!D2921)+1,200)),"")),IF(ISNUMBER(SEARCH("Party Name:-",'R.M Billets Reports'!D2922)),TRIM('R.M Billets Reports'!F2922),IF(ISNUMBER(SEARCH("Party Name-",'R.M Billets Reports'!D2922)),TRIM(MID('R.M Billets Reports'!D2922,SEARCH("-",'R.M Billets Reports'!D2922)+1,200)),"")))="VRKP ISPAT PVT LTD","VRKP",IF(IF(IF(ISNUMBER(SEARCH("Party Name:-",'R.M Billets Reports'!D2921)),TRIM('R.M Billets Reports'!F2921),IF(ISNUMBER(SEARCH("Party Name-",'R.M Billets Reports'!D2921)),TRIM(MID('R.M Billets Reports'!D2921,SEARCH("-",'R.M Billets Reports'!D2921)+1,200)),""))&lt;&gt;"",IF(ISNUMBER(SEARCH("Party Name:-",'R.M Billets Reports'!D2921)),TRIM('R.M Billets Reports'!F2921),IF(ISNUMBER(SEARCH("Party Name-",'R.M Billets Reports'!D2921)),TRIM(MID('R.M Billets Reports'!D2921,SEARCH("-",'R.M Billets Reports'!D2921)+1,200)),"")),IF(ISNUMBER(SEARCH("Party Name:-",'R.M Billets Reports'!D2922)),TRIM('R.M Billets Reports'!F2922),IF(ISNUMBER(SEARCH("Party Name-",'R.M Billets Reports'!D2922)),TRIM(MID('R.M Billets Reports'!D2922,SEARCH("-",'R.M Billets Reports'!D2922)+1,200)),"")))="SHRI RADHE","SHREE RADHE",IF(IF(IF(ISNUMBER(SEARCH("Party Name:-",'R.M Billets Reports'!D2921)),TRIM('R.M Billets Reports'!F2921),IF(ISNUMBER(SEARCH("Party Name-",'R.M Billets Reports'!D2921)),TRIM(MID('R.M Billets Reports'!D2921,SEARCH("-",'R.M Billets Reports'!D2921)+1,200)),""))&lt;&gt;"",IF(ISNUMBER(SEARCH("Party Name:-",'R.M Billets Reports'!D2921)),TRIM('R.M Billets Reports'!F2921),IF(ISNUMBER(SEARCH("Party Name-",'R.M Billets Reports'!D2921)),TRIM(MID('R.M Billets Reports'!D2921,SEARCH("-",'R.M Billets Reports'!D2921)+1,200)),"")),IF(ISNUMBER(SEARCH("Party Name:-",'R.M Billets Reports'!D2922)),TRIM('R.M Billets Reports'!F2922),IF(ISNUMBER(SEARCH("Party Name-",'R.M Billets Reports'!D2922)),TRIM(MID('R.M Billets Reports'!D2922,SEARCH("-",'R.M Billets Reports'!D2922)+1,200)),"")))="SHREE RADHE SHAKTI SPONGE AND POWER PVT. LTD.","SHREE RADHE",IF(IF(ISNUMBER(SEARCH("Party Name:-",'R.M Billets Reports'!D2921)),TRIM('R.M Billets Reports'!F2921),IF(ISNUMBER(SEARCH("Party Name-",'R.M Billets Reports'!D2921)),TRIM(MID('R.M Billets Reports'!D2921,SEARCH("-",'R.M Billets Reports'!D2921)+1,200)),""))&lt;&gt;"",IF(ISNUMBER(SEARCH("Party Name:-",'R.M Billets Reports'!D2921)),TRIM('R.M Billets Reports'!F2921),IF(ISNUMBER(SEARCH("Party Name-",'R.M Billets Reports'!D2921)),TRIM(MID('R.M Billets Reports'!D2921,SEARCH("-",'R.M Billets Reports'!D2921)+1,200)),"")),IF(ISNUMBER(SEARCH("Party Name:-",'R.M Billets Reports'!D2922)),TRIM('R.M Billets Reports'!F2922),IF(ISNUMBER(SEARCH("Party Name-",'R.M Billets Reports'!D2922)),TRIM(MID('R.M Billets Reports'!D2922,SEARCH("-",'R.M Billets Reports'!D2922)+1,200)),"")))))),IF(ROW()=2,"",A2921))</f>
      </c>
      <c r="B2922">
        <f>IF(OR('R.M Billets Reports'!A2921="Date-",'R.M Billets Reports'!A2921="Date:-"),'R.M Billets Reports'!B2921,IF(ROW()=2,"",B2921))</f>
      </c>
      <c r="C2922">
        <f>IF('R.M Billets Reports'!A2921="V.No.",'R.M Billets Reports'!B2921,IF(ROW()=2,"",C2921))</f>
      </c>
      <c r="D2922">
        <f>IF('R.M Billets Reports'!A2921&lt;&gt;"",'R.M Billets Reports'!A2921,IF(ROW()=2,"",D2921))</f>
      </c>
      <c r="E2922">
        <f>IF('R.M Billets Reports'!B2921="","",TRIM('R.M Billets Reports'!B2921))</f>
      </c>
      <c r="F2922">
        <f>'R.M Billets Reports'!C2921</f>
      </c>
      <c r="G2922">
        <f>'R.M Billets Reports'!D2921</f>
      </c>
      <c r="H2922">
        <f>'R.M Billets Reports'!E2921</f>
      </c>
      <c r="I2922">
        <f>'R.M Billets Reports'!F2921</f>
      </c>
      <c r="J2922">
        <f>'R.M Billets Reports'!G2921</f>
      </c>
      <c r="K2922">
        <f>'R.M Billets Reports'!H2921</f>
      </c>
      <c r="L2922">
        <f>IF('R.M Billets Reports'!I2921="","",'R.M Billets Reports'!I2921)</f>
      </c>
      <c r="M2922">
        <f t="shared" si="90"/>
      </c>
      <c r="N2922">
        <f>IF('R.M Billets Reports'!J2921="","",'R.M Billets Reports'!J2921)</f>
      </c>
      <c r="O2922">
        <f t="shared" si="91"/>
      </c>
      <c r="P2922">
        <f>IF('R.M Billets Reports'!A2921="SIZE",'R.M Billets Reports'!B2921,P2921)</f>
      </c>
    </row>
    <row r="2923" spans="1:16" x14ac:dyDescent="0.25">
      <c r="A2923">
        <f>IF(OR('R.M Billets Reports'!A2922="Date-",'R.M Billets Reports'!A2922="Date:-"),IF(IF(IF(ISNUMBER(SEARCH("Party Name:-",'R.M Billets Reports'!D2922)),TRIM('R.M Billets Reports'!F2922),IF(ISNUMBER(SEARCH("Party Name-",'R.M Billets Reports'!D2922)),TRIM(MID('R.M Billets Reports'!D2922,SEARCH("-",'R.M Billets Reports'!D2922)+1,200)),""))&lt;&gt;"",IF(ISNUMBER(SEARCH("Party Name:-",'R.M Billets Reports'!D2922)),TRIM('R.M Billets Reports'!F2922),IF(ISNUMBER(SEARCH("Party Name-",'R.M Billets Reports'!D2922)),TRIM(MID('R.M Billets Reports'!D2922,SEARCH("-",'R.M Billets Reports'!D2922)+1,200)),"")),IF(ISNUMBER(SEARCH("Party Name:-",'R.M Billets Reports'!D2923)),TRIM('R.M Billets Reports'!F2923),IF(ISNUMBER(SEARCH("Party Name-",'R.M Billets Reports'!D2923)),TRIM(MID('R.M Billets Reports'!D2923,SEARCH("-",'R.M Billets Reports'!D2923)+1,200)),"")))="VRKP ISPAT PVT LTD","VRKP",IF(IF(IF(ISNUMBER(SEARCH("Party Name:-",'R.M Billets Reports'!D2922)),TRIM('R.M Billets Reports'!F2922),IF(ISNUMBER(SEARCH("Party Name-",'R.M Billets Reports'!D2922)),TRIM(MID('R.M Billets Reports'!D2922,SEARCH("-",'R.M Billets Reports'!D2922)+1,200)),""))&lt;&gt;"",IF(ISNUMBER(SEARCH("Party Name:-",'R.M Billets Reports'!D2922)),TRIM('R.M Billets Reports'!F2922),IF(ISNUMBER(SEARCH("Party Name-",'R.M Billets Reports'!D2922)),TRIM(MID('R.M Billets Reports'!D2922,SEARCH("-",'R.M Billets Reports'!D2922)+1,200)),"")),IF(ISNUMBER(SEARCH("Party Name:-",'R.M Billets Reports'!D2923)),TRIM('R.M Billets Reports'!F2923),IF(ISNUMBER(SEARCH("Party Name-",'R.M Billets Reports'!D2923)),TRIM(MID('R.M Billets Reports'!D2923,SEARCH("-",'R.M Billets Reports'!D2923)+1,200)),"")))="SHRI RADHE","SHREE RADHE",IF(IF(IF(ISNUMBER(SEARCH("Party Name:-",'R.M Billets Reports'!D2922)),TRIM('R.M Billets Reports'!F2922),IF(ISNUMBER(SEARCH("Party Name-",'R.M Billets Reports'!D2922)),TRIM(MID('R.M Billets Reports'!D2922,SEARCH("-",'R.M Billets Reports'!D2922)+1,200)),""))&lt;&gt;"",IF(ISNUMBER(SEARCH("Party Name:-",'R.M Billets Reports'!D2922)),TRIM('R.M Billets Reports'!F2922),IF(ISNUMBER(SEARCH("Party Name-",'R.M Billets Reports'!D2922)),TRIM(MID('R.M Billets Reports'!D2922,SEARCH("-",'R.M Billets Reports'!D2922)+1,200)),"")),IF(ISNUMBER(SEARCH("Party Name:-",'R.M Billets Reports'!D2923)),TRIM('R.M Billets Reports'!F2923),IF(ISNUMBER(SEARCH("Party Name-",'R.M Billets Reports'!D2923)),TRIM(MID('R.M Billets Reports'!D2923,SEARCH("-",'R.M Billets Reports'!D2923)+1,200)),"")))="SHREE RADHE SHAKTI SPONGE AND POWER PVT. LTD.","SHREE RADHE",IF(IF(ISNUMBER(SEARCH("Party Name:-",'R.M Billets Reports'!D2922)),TRIM('R.M Billets Reports'!F2922),IF(ISNUMBER(SEARCH("Party Name-",'R.M Billets Reports'!D2922)),TRIM(MID('R.M Billets Reports'!D2922,SEARCH("-",'R.M Billets Reports'!D2922)+1,200)),""))&lt;&gt;"",IF(ISNUMBER(SEARCH("Party Name:-",'R.M Billets Reports'!D2922)),TRIM('R.M Billets Reports'!F2922),IF(ISNUMBER(SEARCH("Party Name-",'R.M Billets Reports'!D2922)),TRIM(MID('R.M Billets Reports'!D2922,SEARCH("-",'R.M Billets Reports'!D2922)+1,200)),"")),IF(ISNUMBER(SEARCH("Party Name:-",'R.M Billets Reports'!D2923)),TRIM('R.M Billets Reports'!F2923),IF(ISNUMBER(SEARCH("Party Name-",'R.M Billets Reports'!D2923)),TRIM(MID('R.M Billets Reports'!D2923,SEARCH("-",'R.M Billets Reports'!D2923)+1,200)),"")))))),IF(ROW()=2,"",A2922))</f>
      </c>
      <c r="B2923">
        <f>IF(OR('R.M Billets Reports'!A2922="Date-",'R.M Billets Reports'!A2922="Date:-"),'R.M Billets Reports'!B2922,IF(ROW()=2,"",B2922))</f>
      </c>
      <c r="C2923">
        <f>IF('R.M Billets Reports'!A2922="V.No.",'R.M Billets Reports'!B2922,IF(ROW()=2,"",C2922))</f>
      </c>
      <c r="D2923">
        <f>IF('R.M Billets Reports'!A2922&lt;&gt;"",'R.M Billets Reports'!A2922,IF(ROW()=2,"",D2922))</f>
      </c>
      <c r="E2923">
        <f>IF('R.M Billets Reports'!B2922="","",TRIM('R.M Billets Reports'!B2922))</f>
      </c>
      <c r="F2923">
        <f>'R.M Billets Reports'!C2922</f>
      </c>
      <c r="G2923">
        <f>'R.M Billets Reports'!D2922</f>
      </c>
      <c r="H2923">
        <f>'R.M Billets Reports'!E2922</f>
      </c>
      <c r="I2923">
        <f>'R.M Billets Reports'!F2922</f>
      </c>
      <c r="J2923">
        <f>'R.M Billets Reports'!G2922</f>
      </c>
      <c r="K2923">
        <f>'R.M Billets Reports'!H2922</f>
      </c>
      <c r="L2923">
        <f>IF('R.M Billets Reports'!I2922="","",'R.M Billets Reports'!I2922)</f>
      </c>
      <c r="M2923">
        <f t="shared" si="90"/>
      </c>
      <c r="N2923">
        <f>IF('R.M Billets Reports'!J2922="","",'R.M Billets Reports'!J2922)</f>
      </c>
      <c r="O2923">
        <f t="shared" si="91"/>
      </c>
      <c r="P2923">
        <f>IF('R.M Billets Reports'!A2922="SIZE",'R.M Billets Reports'!B2922,P2922)</f>
      </c>
    </row>
    <row r="2924" spans="1:16" x14ac:dyDescent="0.25">
      <c r="A2924">
        <f>IF(OR('R.M Billets Reports'!A2923="Date-",'R.M Billets Reports'!A2923="Date:-"),IF(IF(IF(ISNUMBER(SEARCH("Party Name:-",'R.M Billets Reports'!D2923)),TRIM('R.M Billets Reports'!F2923),IF(ISNUMBER(SEARCH("Party Name-",'R.M Billets Reports'!D2923)),TRIM(MID('R.M Billets Reports'!D2923,SEARCH("-",'R.M Billets Reports'!D2923)+1,200)),""))&lt;&gt;"",IF(ISNUMBER(SEARCH("Party Name:-",'R.M Billets Reports'!D2923)),TRIM('R.M Billets Reports'!F2923),IF(ISNUMBER(SEARCH("Party Name-",'R.M Billets Reports'!D2923)),TRIM(MID('R.M Billets Reports'!D2923,SEARCH("-",'R.M Billets Reports'!D2923)+1,200)),"")),IF(ISNUMBER(SEARCH("Party Name:-",'R.M Billets Reports'!D2924)),TRIM('R.M Billets Reports'!F2924),IF(ISNUMBER(SEARCH("Party Name-",'R.M Billets Reports'!D2924)),TRIM(MID('R.M Billets Reports'!D2924,SEARCH("-",'R.M Billets Reports'!D2924)+1,200)),"")))="VRKP ISPAT PVT LTD","VRKP",IF(IF(IF(ISNUMBER(SEARCH("Party Name:-",'R.M Billets Reports'!D2923)),TRIM('R.M Billets Reports'!F2923),IF(ISNUMBER(SEARCH("Party Name-",'R.M Billets Reports'!D2923)),TRIM(MID('R.M Billets Reports'!D2923,SEARCH("-",'R.M Billets Reports'!D2923)+1,200)),""))&lt;&gt;"",IF(ISNUMBER(SEARCH("Party Name:-",'R.M Billets Reports'!D2923)),TRIM('R.M Billets Reports'!F2923),IF(ISNUMBER(SEARCH("Party Name-",'R.M Billets Reports'!D2923)),TRIM(MID('R.M Billets Reports'!D2923,SEARCH("-",'R.M Billets Reports'!D2923)+1,200)),"")),IF(ISNUMBER(SEARCH("Party Name:-",'R.M Billets Reports'!D2924)),TRIM('R.M Billets Reports'!F2924),IF(ISNUMBER(SEARCH("Party Name-",'R.M Billets Reports'!D2924)),TRIM(MID('R.M Billets Reports'!D2924,SEARCH("-",'R.M Billets Reports'!D2924)+1,200)),"")))="SHRI RADHE","SHREE RADHE",IF(IF(IF(ISNUMBER(SEARCH("Party Name:-",'R.M Billets Reports'!D2923)),TRIM('R.M Billets Reports'!F2923),IF(ISNUMBER(SEARCH("Party Name-",'R.M Billets Reports'!D2923)),TRIM(MID('R.M Billets Reports'!D2923,SEARCH("-",'R.M Billets Reports'!D2923)+1,200)),""))&lt;&gt;"",IF(ISNUMBER(SEARCH("Party Name:-",'R.M Billets Reports'!D2923)),TRIM('R.M Billets Reports'!F2923),IF(ISNUMBER(SEARCH("Party Name-",'R.M Billets Reports'!D2923)),TRIM(MID('R.M Billets Reports'!D2923,SEARCH("-",'R.M Billets Reports'!D2923)+1,200)),"")),IF(ISNUMBER(SEARCH("Party Name:-",'R.M Billets Reports'!D2924)),TRIM('R.M Billets Reports'!F2924),IF(ISNUMBER(SEARCH("Party Name-",'R.M Billets Reports'!D2924)),TRIM(MID('R.M Billets Reports'!D2924,SEARCH("-",'R.M Billets Reports'!D2924)+1,200)),"")))="SHREE RADHE SHAKTI SPONGE AND POWER PVT. LTD.","SHREE RADHE",IF(IF(ISNUMBER(SEARCH("Party Name:-",'R.M Billets Reports'!D2923)),TRIM('R.M Billets Reports'!F2923),IF(ISNUMBER(SEARCH("Party Name-",'R.M Billets Reports'!D2923)),TRIM(MID('R.M Billets Reports'!D2923,SEARCH("-",'R.M Billets Reports'!D2923)+1,200)),""))&lt;&gt;"",IF(ISNUMBER(SEARCH("Party Name:-",'R.M Billets Reports'!D2923)),TRIM('R.M Billets Reports'!F2923),IF(ISNUMBER(SEARCH("Party Name-",'R.M Billets Reports'!D2923)),TRIM(MID('R.M Billets Reports'!D2923,SEARCH("-",'R.M Billets Reports'!D2923)+1,200)),"")),IF(ISNUMBER(SEARCH("Party Name:-",'R.M Billets Reports'!D2924)),TRIM('R.M Billets Reports'!F2924),IF(ISNUMBER(SEARCH("Party Name-",'R.M Billets Reports'!D2924)),TRIM(MID('R.M Billets Reports'!D2924,SEARCH("-",'R.M Billets Reports'!D2924)+1,200)),"")))))),IF(ROW()=2,"",A2923))</f>
      </c>
      <c r="B2924">
        <f>IF(OR('R.M Billets Reports'!A2923="Date-",'R.M Billets Reports'!A2923="Date:-"),'R.M Billets Reports'!B2923,IF(ROW()=2,"",B2923))</f>
      </c>
      <c r="C2924">
        <f>IF('R.M Billets Reports'!A2923="V.No.",'R.M Billets Reports'!B2923,IF(ROW()=2,"",C2923))</f>
      </c>
      <c r="D2924">
        <f>IF('R.M Billets Reports'!A2923&lt;&gt;"",'R.M Billets Reports'!A2923,IF(ROW()=2,"",D2923))</f>
      </c>
      <c r="E2924">
        <f>IF('R.M Billets Reports'!B2923="","",TRIM('R.M Billets Reports'!B2923))</f>
      </c>
      <c r="F2924">
        <f>'R.M Billets Reports'!C2923</f>
      </c>
      <c r="G2924">
        <f>'R.M Billets Reports'!D2923</f>
      </c>
      <c r="H2924">
        <f>'R.M Billets Reports'!E2923</f>
      </c>
      <c r="I2924">
        <f>'R.M Billets Reports'!F2923</f>
      </c>
      <c r="J2924">
        <f>'R.M Billets Reports'!G2923</f>
      </c>
      <c r="K2924">
        <f>'R.M Billets Reports'!H2923</f>
      </c>
      <c r="L2924">
        <f>IF('R.M Billets Reports'!I2923="","",'R.M Billets Reports'!I2923)</f>
      </c>
      <c r="M2924">
        <f t="shared" si="90"/>
      </c>
      <c r="N2924">
        <f>IF('R.M Billets Reports'!J2923="","",'R.M Billets Reports'!J2923)</f>
      </c>
      <c r="O2924">
        <f t="shared" si="91"/>
      </c>
      <c r="P2924">
        <f>IF('R.M Billets Reports'!A2923="SIZE",'R.M Billets Reports'!B2923,P2923)</f>
      </c>
    </row>
    <row r="2925" spans="1:16" x14ac:dyDescent="0.25">
      <c r="A2925">
        <f>IF(OR('R.M Billets Reports'!A2924="Date-",'R.M Billets Reports'!A2924="Date:-"),IF(IF(IF(ISNUMBER(SEARCH("Party Name:-",'R.M Billets Reports'!D2924)),TRIM('R.M Billets Reports'!F2924),IF(ISNUMBER(SEARCH("Party Name-",'R.M Billets Reports'!D2924)),TRIM(MID('R.M Billets Reports'!D2924,SEARCH("-",'R.M Billets Reports'!D2924)+1,200)),""))&lt;&gt;"",IF(ISNUMBER(SEARCH("Party Name:-",'R.M Billets Reports'!D2924)),TRIM('R.M Billets Reports'!F2924),IF(ISNUMBER(SEARCH("Party Name-",'R.M Billets Reports'!D2924)),TRIM(MID('R.M Billets Reports'!D2924,SEARCH("-",'R.M Billets Reports'!D2924)+1,200)),"")),IF(ISNUMBER(SEARCH("Party Name:-",'R.M Billets Reports'!D2925)),TRIM('R.M Billets Reports'!F2925),IF(ISNUMBER(SEARCH("Party Name-",'R.M Billets Reports'!D2925)),TRIM(MID('R.M Billets Reports'!D2925,SEARCH("-",'R.M Billets Reports'!D2925)+1,200)),"")))="VRKP ISPAT PVT LTD","VRKP",IF(IF(IF(ISNUMBER(SEARCH("Party Name:-",'R.M Billets Reports'!D2924)),TRIM('R.M Billets Reports'!F2924),IF(ISNUMBER(SEARCH("Party Name-",'R.M Billets Reports'!D2924)),TRIM(MID('R.M Billets Reports'!D2924,SEARCH("-",'R.M Billets Reports'!D2924)+1,200)),""))&lt;&gt;"",IF(ISNUMBER(SEARCH("Party Name:-",'R.M Billets Reports'!D2924)),TRIM('R.M Billets Reports'!F2924),IF(ISNUMBER(SEARCH("Party Name-",'R.M Billets Reports'!D2924)),TRIM(MID('R.M Billets Reports'!D2924,SEARCH("-",'R.M Billets Reports'!D2924)+1,200)),"")),IF(ISNUMBER(SEARCH("Party Name:-",'R.M Billets Reports'!D2925)),TRIM('R.M Billets Reports'!F2925),IF(ISNUMBER(SEARCH("Party Name-",'R.M Billets Reports'!D2925)),TRIM(MID('R.M Billets Reports'!D2925,SEARCH("-",'R.M Billets Reports'!D2925)+1,200)),"")))="SHRI RADHE","SHREE RADHE",IF(IF(IF(ISNUMBER(SEARCH("Party Name:-",'R.M Billets Reports'!D2924)),TRIM('R.M Billets Reports'!F2924),IF(ISNUMBER(SEARCH("Party Name-",'R.M Billets Reports'!D2924)),TRIM(MID('R.M Billets Reports'!D2924,SEARCH("-",'R.M Billets Reports'!D2924)+1,200)),""))&lt;&gt;"",IF(ISNUMBER(SEARCH("Party Name:-",'R.M Billets Reports'!D2924)),TRIM('R.M Billets Reports'!F2924),IF(ISNUMBER(SEARCH("Party Name-",'R.M Billets Reports'!D2924)),TRIM(MID('R.M Billets Reports'!D2924,SEARCH("-",'R.M Billets Reports'!D2924)+1,200)),"")),IF(ISNUMBER(SEARCH("Party Name:-",'R.M Billets Reports'!D2925)),TRIM('R.M Billets Reports'!F2925),IF(ISNUMBER(SEARCH("Party Name-",'R.M Billets Reports'!D2925)),TRIM(MID('R.M Billets Reports'!D2925,SEARCH("-",'R.M Billets Reports'!D2925)+1,200)),"")))="SHREE RADHE SHAKTI SPONGE AND POWER PVT. LTD.","SHREE RADHE",IF(IF(ISNUMBER(SEARCH("Party Name:-",'R.M Billets Reports'!D2924)),TRIM('R.M Billets Reports'!F2924),IF(ISNUMBER(SEARCH("Party Name-",'R.M Billets Reports'!D2924)),TRIM(MID('R.M Billets Reports'!D2924,SEARCH("-",'R.M Billets Reports'!D2924)+1,200)),""))&lt;&gt;"",IF(ISNUMBER(SEARCH("Party Name:-",'R.M Billets Reports'!D2924)),TRIM('R.M Billets Reports'!F2924),IF(ISNUMBER(SEARCH("Party Name-",'R.M Billets Reports'!D2924)),TRIM(MID('R.M Billets Reports'!D2924,SEARCH("-",'R.M Billets Reports'!D2924)+1,200)),"")),IF(ISNUMBER(SEARCH("Party Name:-",'R.M Billets Reports'!D2925)),TRIM('R.M Billets Reports'!F2925),IF(ISNUMBER(SEARCH("Party Name-",'R.M Billets Reports'!D2925)),TRIM(MID('R.M Billets Reports'!D2925,SEARCH("-",'R.M Billets Reports'!D2925)+1,200)),"")))))),IF(ROW()=2,"",A2924))</f>
      </c>
      <c r="B2925">
        <f>IF(OR('R.M Billets Reports'!A2924="Date-",'R.M Billets Reports'!A2924="Date:-"),'R.M Billets Reports'!B2924,IF(ROW()=2,"",B2924))</f>
      </c>
      <c r="C2925">
        <f>IF('R.M Billets Reports'!A2924="V.No.",'R.M Billets Reports'!B2924,IF(ROW()=2,"",C2924))</f>
      </c>
      <c r="D2925">
        <f>IF('R.M Billets Reports'!A2924&lt;&gt;"",'R.M Billets Reports'!A2924,IF(ROW()=2,"",D2924))</f>
      </c>
      <c r="E2925">
        <f>IF('R.M Billets Reports'!B2924="","",TRIM('R.M Billets Reports'!B2924))</f>
      </c>
      <c r="F2925">
        <f>'R.M Billets Reports'!C2924</f>
      </c>
      <c r="G2925">
        <f>'R.M Billets Reports'!D2924</f>
      </c>
      <c r="H2925">
        <f>'R.M Billets Reports'!E2924</f>
      </c>
      <c r="I2925">
        <f>'R.M Billets Reports'!F2924</f>
      </c>
      <c r="J2925">
        <f>'R.M Billets Reports'!G2924</f>
      </c>
      <c r="K2925">
        <f>'R.M Billets Reports'!H2924</f>
      </c>
      <c r="L2925">
        <f>IF('R.M Billets Reports'!I2924="","",'R.M Billets Reports'!I2924)</f>
      </c>
      <c r="M2925">
        <f t="shared" si="90"/>
      </c>
      <c r="N2925">
        <f>IF('R.M Billets Reports'!J2924="","",'R.M Billets Reports'!J2924)</f>
      </c>
      <c r="O2925">
        <f t="shared" si="91"/>
      </c>
      <c r="P2925">
        <f>IF('R.M Billets Reports'!A2924="SIZE",'R.M Billets Reports'!B2924,P2924)</f>
      </c>
    </row>
    <row r="2926" spans="1:16" x14ac:dyDescent="0.25">
      <c r="A2926">
        <f>IF(OR('R.M Billets Reports'!A2925="Date-",'R.M Billets Reports'!A2925="Date:-"),IF(IF(IF(ISNUMBER(SEARCH("Party Name:-",'R.M Billets Reports'!D2925)),TRIM('R.M Billets Reports'!F2925),IF(ISNUMBER(SEARCH("Party Name-",'R.M Billets Reports'!D2925)),TRIM(MID('R.M Billets Reports'!D2925,SEARCH("-",'R.M Billets Reports'!D2925)+1,200)),""))&lt;&gt;"",IF(ISNUMBER(SEARCH("Party Name:-",'R.M Billets Reports'!D2925)),TRIM('R.M Billets Reports'!F2925),IF(ISNUMBER(SEARCH("Party Name-",'R.M Billets Reports'!D2925)),TRIM(MID('R.M Billets Reports'!D2925,SEARCH("-",'R.M Billets Reports'!D2925)+1,200)),"")),IF(ISNUMBER(SEARCH("Party Name:-",'R.M Billets Reports'!D2926)),TRIM('R.M Billets Reports'!F2926),IF(ISNUMBER(SEARCH("Party Name-",'R.M Billets Reports'!D2926)),TRIM(MID('R.M Billets Reports'!D2926,SEARCH("-",'R.M Billets Reports'!D2926)+1,200)),"")))="VRKP ISPAT PVT LTD","VRKP",IF(IF(IF(ISNUMBER(SEARCH("Party Name:-",'R.M Billets Reports'!D2925)),TRIM('R.M Billets Reports'!F2925),IF(ISNUMBER(SEARCH("Party Name-",'R.M Billets Reports'!D2925)),TRIM(MID('R.M Billets Reports'!D2925,SEARCH("-",'R.M Billets Reports'!D2925)+1,200)),""))&lt;&gt;"",IF(ISNUMBER(SEARCH("Party Name:-",'R.M Billets Reports'!D2925)),TRIM('R.M Billets Reports'!F2925),IF(ISNUMBER(SEARCH("Party Name-",'R.M Billets Reports'!D2925)),TRIM(MID('R.M Billets Reports'!D2925,SEARCH("-",'R.M Billets Reports'!D2925)+1,200)),"")),IF(ISNUMBER(SEARCH("Party Name:-",'R.M Billets Reports'!D2926)),TRIM('R.M Billets Reports'!F2926),IF(ISNUMBER(SEARCH("Party Name-",'R.M Billets Reports'!D2926)),TRIM(MID('R.M Billets Reports'!D2926,SEARCH("-",'R.M Billets Reports'!D2926)+1,200)),"")))="SHRI RADHE","SHREE RADHE",IF(IF(IF(ISNUMBER(SEARCH("Party Name:-",'R.M Billets Reports'!D2925)),TRIM('R.M Billets Reports'!F2925),IF(ISNUMBER(SEARCH("Party Name-",'R.M Billets Reports'!D2925)),TRIM(MID('R.M Billets Reports'!D2925,SEARCH("-",'R.M Billets Reports'!D2925)+1,200)),""))&lt;&gt;"",IF(ISNUMBER(SEARCH("Party Name:-",'R.M Billets Reports'!D2925)),TRIM('R.M Billets Reports'!F2925),IF(ISNUMBER(SEARCH("Party Name-",'R.M Billets Reports'!D2925)),TRIM(MID('R.M Billets Reports'!D2925,SEARCH("-",'R.M Billets Reports'!D2925)+1,200)),"")),IF(ISNUMBER(SEARCH("Party Name:-",'R.M Billets Reports'!D2926)),TRIM('R.M Billets Reports'!F2926),IF(ISNUMBER(SEARCH("Party Name-",'R.M Billets Reports'!D2926)),TRIM(MID('R.M Billets Reports'!D2926,SEARCH("-",'R.M Billets Reports'!D2926)+1,200)),"")))="SHREE RADHE SHAKTI SPONGE AND POWER PVT. LTD.","SHREE RADHE",IF(IF(ISNUMBER(SEARCH("Party Name:-",'R.M Billets Reports'!D2925)),TRIM('R.M Billets Reports'!F2925),IF(ISNUMBER(SEARCH("Party Name-",'R.M Billets Reports'!D2925)),TRIM(MID('R.M Billets Reports'!D2925,SEARCH("-",'R.M Billets Reports'!D2925)+1,200)),""))&lt;&gt;"",IF(ISNUMBER(SEARCH("Party Name:-",'R.M Billets Reports'!D2925)),TRIM('R.M Billets Reports'!F2925),IF(ISNUMBER(SEARCH("Party Name-",'R.M Billets Reports'!D2925)),TRIM(MID('R.M Billets Reports'!D2925,SEARCH("-",'R.M Billets Reports'!D2925)+1,200)),"")),IF(ISNUMBER(SEARCH("Party Name:-",'R.M Billets Reports'!D2926)),TRIM('R.M Billets Reports'!F2926),IF(ISNUMBER(SEARCH("Party Name-",'R.M Billets Reports'!D2926)),TRIM(MID('R.M Billets Reports'!D2926,SEARCH("-",'R.M Billets Reports'!D2926)+1,200)),"")))))),IF(ROW()=2,"",A2925))</f>
      </c>
      <c r="B2926">
        <f>IF(OR('R.M Billets Reports'!A2925="Date-",'R.M Billets Reports'!A2925="Date:-"),'R.M Billets Reports'!B2925,IF(ROW()=2,"",B2925))</f>
      </c>
      <c r="C2926">
        <f>IF('R.M Billets Reports'!A2925="V.No.",'R.M Billets Reports'!B2925,IF(ROW()=2,"",C2925))</f>
      </c>
      <c r="D2926">
        <f>IF('R.M Billets Reports'!A2925&lt;&gt;"",'R.M Billets Reports'!A2925,IF(ROW()=2,"",D2925))</f>
      </c>
      <c r="E2926">
        <f>IF('R.M Billets Reports'!B2925="","",TRIM('R.M Billets Reports'!B2925))</f>
      </c>
      <c r="F2926">
        <f>'R.M Billets Reports'!C2925</f>
      </c>
      <c r="G2926">
        <f>'R.M Billets Reports'!D2925</f>
      </c>
      <c r="H2926">
        <f>'R.M Billets Reports'!E2925</f>
      </c>
      <c r="I2926">
        <f>'R.M Billets Reports'!F2925</f>
      </c>
      <c r="J2926">
        <f>'R.M Billets Reports'!G2925</f>
      </c>
      <c r="K2926">
        <f>'R.M Billets Reports'!H2925</f>
      </c>
      <c r="L2926">
        <f>IF('R.M Billets Reports'!I2925="","",'R.M Billets Reports'!I2925)</f>
      </c>
      <c r="M2926">
        <f t="shared" si="90"/>
      </c>
      <c r="N2926">
        <f>IF('R.M Billets Reports'!J2925="","",'R.M Billets Reports'!J2925)</f>
      </c>
      <c r="O2926">
        <f t="shared" si="91"/>
      </c>
      <c r="P2926">
        <f>IF('R.M Billets Reports'!A2925="SIZE",'R.M Billets Reports'!B2925,P2925)</f>
      </c>
    </row>
    <row r="2927" spans="1:16" x14ac:dyDescent="0.25">
      <c r="A2927">
        <f>IF(OR('R.M Billets Reports'!A2926="Date-",'R.M Billets Reports'!A2926="Date:-"),IF(IF(IF(ISNUMBER(SEARCH("Party Name:-",'R.M Billets Reports'!D2926)),TRIM('R.M Billets Reports'!F2926),IF(ISNUMBER(SEARCH("Party Name-",'R.M Billets Reports'!D2926)),TRIM(MID('R.M Billets Reports'!D2926,SEARCH("-",'R.M Billets Reports'!D2926)+1,200)),""))&lt;&gt;"",IF(ISNUMBER(SEARCH("Party Name:-",'R.M Billets Reports'!D2926)),TRIM('R.M Billets Reports'!F2926),IF(ISNUMBER(SEARCH("Party Name-",'R.M Billets Reports'!D2926)),TRIM(MID('R.M Billets Reports'!D2926,SEARCH("-",'R.M Billets Reports'!D2926)+1,200)),"")),IF(ISNUMBER(SEARCH("Party Name:-",'R.M Billets Reports'!D2927)),TRIM('R.M Billets Reports'!F2927),IF(ISNUMBER(SEARCH("Party Name-",'R.M Billets Reports'!D2927)),TRIM(MID('R.M Billets Reports'!D2927,SEARCH("-",'R.M Billets Reports'!D2927)+1,200)),"")))="VRKP ISPAT PVT LTD","VRKP",IF(IF(IF(ISNUMBER(SEARCH("Party Name:-",'R.M Billets Reports'!D2926)),TRIM('R.M Billets Reports'!F2926),IF(ISNUMBER(SEARCH("Party Name-",'R.M Billets Reports'!D2926)),TRIM(MID('R.M Billets Reports'!D2926,SEARCH("-",'R.M Billets Reports'!D2926)+1,200)),""))&lt;&gt;"",IF(ISNUMBER(SEARCH("Party Name:-",'R.M Billets Reports'!D2926)),TRIM('R.M Billets Reports'!F2926),IF(ISNUMBER(SEARCH("Party Name-",'R.M Billets Reports'!D2926)),TRIM(MID('R.M Billets Reports'!D2926,SEARCH("-",'R.M Billets Reports'!D2926)+1,200)),"")),IF(ISNUMBER(SEARCH("Party Name:-",'R.M Billets Reports'!D2927)),TRIM('R.M Billets Reports'!F2927),IF(ISNUMBER(SEARCH("Party Name-",'R.M Billets Reports'!D2927)),TRIM(MID('R.M Billets Reports'!D2927,SEARCH("-",'R.M Billets Reports'!D2927)+1,200)),"")))="SHRI RADHE","SHREE RADHE",IF(IF(IF(ISNUMBER(SEARCH("Party Name:-",'R.M Billets Reports'!D2926)),TRIM('R.M Billets Reports'!F2926),IF(ISNUMBER(SEARCH("Party Name-",'R.M Billets Reports'!D2926)),TRIM(MID('R.M Billets Reports'!D2926,SEARCH("-",'R.M Billets Reports'!D2926)+1,200)),""))&lt;&gt;"",IF(ISNUMBER(SEARCH("Party Name:-",'R.M Billets Reports'!D2926)),TRIM('R.M Billets Reports'!F2926),IF(ISNUMBER(SEARCH("Party Name-",'R.M Billets Reports'!D2926)),TRIM(MID('R.M Billets Reports'!D2926,SEARCH("-",'R.M Billets Reports'!D2926)+1,200)),"")),IF(ISNUMBER(SEARCH("Party Name:-",'R.M Billets Reports'!D2927)),TRIM('R.M Billets Reports'!F2927),IF(ISNUMBER(SEARCH("Party Name-",'R.M Billets Reports'!D2927)),TRIM(MID('R.M Billets Reports'!D2927,SEARCH("-",'R.M Billets Reports'!D2927)+1,200)),"")))="SHREE RADHE SHAKTI SPONGE AND POWER PVT. LTD.","SHREE RADHE",IF(IF(ISNUMBER(SEARCH("Party Name:-",'R.M Billets Reports'!D2926)),TRIM('R.M Billets Reports'!F2926),IF(ISNUMBER(SEARCH("Party Name-",'R.M Billets Reports'!D2926)),TRIM(MID('R.M Billets Reports'!D2926,SEARCH("-",'R.M Billets Reports'!D2926)+1,200)),""))&lt;&gt;"",IF(ISNUMBER(SEARCH("Party Name:-",'R.M Billets Reports'!D2926)),TRIM('R.M Billets Reports'!F2926),IF(ISNUMBER(SEARCH("Party Name-",'R.M Billets Reports'!D2926)),TRIM(MID('R.M Billets Reports'!D2926,SEARCH("-",'R.M Billets Reports'!D2926)+1,200)),"")),IF(ISNUMBER(SEARCH("Party Name:-",'R.M Billets Reports'!D2927)),TRIM('R.M Billets Reports'!F2927),IF(ISNUMBER(SEARCH("Party Name-",'R.M Billets Reports'!D2927)),TRIM(MID('R.M Billets Reports'!D2927,SEARCH("-",'R.M Billets Reports'!D2927)+1,200)),"")))))),IF(ROW()=2,"",A2926))</f>
      </c>
      <c r="B2927">
        <f>IF(OR('R.M Billets Reports'!A2926="Date-",'R.M Billets Reports'!A2926="Date:-"),'R.M Billets Reports'!B2926,IF(ROW()=2,"",B2926))</f>
      </c>
      <c r="C2927">
        <f>IF('R.M Billets Reports'!A2926="V.No.",'R.M Billets Reports'!B2926,IF(ROW()=2,"",C2926))</f>
      </c>
      <c r="D2927">
        <f>IF('R.M Billets Reports'!A2926&lt;&gt;"",'R.M Billets Reports'!A2926,IF(ROW()=2,"",D2926))</f>
      </c>
      <c r="E2927">
        <f>IF('R.M Billets Reports'!B2926="","",TRIM('R.M Billets Reports'!B2926))</f>
      </c>
      <c r="F2927">
        <f>'R.M Billets Reports'!C2926</f>
      </c>
      <c r="G2927">
        <f>'R.M Billets Reports'!D2926</f>
      </c>
      <c r="H2927">
        <f>'R.M Billets Reports'!E2926</f>
      </c>
      <c r="I2927">
        <f>'R.M Billets Reports'!F2926</f>
      </c>
      <c r="J2927">
        <f>'R.M Billets Reports'!G2926</f>
      </c>
      <c r="K2927">
        <f>'R.M Billets Reports'!H2926</f>
      </c>
      <c r="L2927">
        <f>IF('R.M Billets Reports'!I2926="","",'R.M Billets Reports'!I2926)</f>
      </c>
      <c r="M2927">
        <f t="shared" si="90"/>
      </c>
      <c r="N2927">
        <f>IF('R.M Billets Reports'!J2926="","",'R.M Billets Reports'!J2926)</f>
      </c>
      <c r="O2927">
        <f t="shared" si="91"/>
      </c>
      <c r="P2927">
        <f>IF('R.M Billets Reports'!A2926="SIZE",'R.M Billets Reports'!B2926,P2926)</f>
      </c>
    </row>
    <row r="2928" spans="1:16" x14ac:dyDescent="0.25">
      <c r="A2928">
        <f>IF(OR('R.M Billets Reports'!A2927="Date-",'R.M Billets Reports'!A2927="Date:-"),IF(IF(IF(ISNUMBER(SEARCH("Party Name:-",'R.M Billets Reports'!D2927)),TRIM('R.M Billets Reports'!F2927),IF(ISNUMBER(SEARCH("Party Name-",'R.M Billets Reports'!D2927)),TRIM(MID('R.M Billets Reports'!D2927,SEARCH("-",'R.M Billets Reports'!D2927)+1,200)),""))&lt;&gt;"",IF(ISNUMBER(SEARCH("Party Name:-",'R.M Billets Reports'!D2927)),TRIM('R.M Billets Reports'!F2927),IF(ISNUMBER(SEARCH("Party Name-",'R.M Billets Reports'!D2927)),TRIM(MID('R.M Billets Reports'!D2927,SEARCH("-",'R.M Billets Reports'!D2927)+1,200)),"")),IF(ISNUMBER(SEARCH("Party Name:-",'R.M Billets Reports'!D2928)),TRIM('R.M Billets Reports'!F2928),IF(ISNUMBER(SEARCH("Party Name-",'R.M Billets Reports'!D2928)),TRIM(MID('R.M Billets Reports'!D2928,SEARCH("-",'R.M Billets Reports'!D2928)+1,200)),"")))="VRKP ISPAT PVT LTD","VRKP",IF(IF(IF(ISNUMBER(SEARCH("Party Name:-",'R.M Billets Reports'!D2927)),TRIM('R.M Billets Reports'!F2927),IF(ISNUMBER(SEARCH("Party Name-",'R.M Billets Reports'!D2927)),TRIM(MID('R.M Billets Reports'!D2927,SEARCH("-",'R.M Billets Reports'!D2927)+1,200)),""))&lt;&gt;"",IF(ISNUMBER(SEARCH("Party Name:-",'R.M Billets Reports'!D2927)),TRIM('R.M Billets Reports'!F2927),IF(ISNUMBER(SEARCH("Party Name-",'R.M Billets Reports'!D2927)),TRIM(MID('R.M Billets Reports'!D2927,SEARCH("-",'R.M Billets Reports'!D2927)+1,200)),"")),IF(ISNUMBER(SEARCH("Party Name:-",'R.M Billets Reports'!D2928)),TRIM('R.M Billets Reports'!F2928),IF(ISNUMBER(SEARCH("Party Name-",'R.M Billets Reports'!D2928)),TRIM(MID('R.M Billets Reports'!D2928,SEARCH("-",'R.M Billets Reports'!D2928)+1,200)),"")))="SHRI RADHE","SHREE RADHE",IF(IF(IF(ISNUMBER(SEARCH("Party Name:-",'R.M Billets Reports'!D2927)),TRIM('R.M Billets Reports'!F2927),IF(ISNUMBER(SEARCH("Party Name-",'R.M Billets Reports'!D2927)),TRIM(MID('R.M Billets Reports'!D2927,SEARCH("-",'R.M Billets Reports'!D2927)+1,200)),""))&lt;&gt;"",IF(ISNUMBER(SEARCH("Party Name:-",'R.M Billets Reports'!D2927)),TRIM('R.M Billets Reports'!F2927),IF(ISNUMBER(SEARCH("Party Name-",'R.M Billets Reports'!D2927)),TRIM(MID('R.M Billets Reports'!D2927,SEARCH("-",'R.M Billets Reports'!D2927)+1,200)),"")),IF(ISNUMBER(SEARCH("Party Name:-",'R.M Billets Reports'!D2928)),TRIM('R.M Billets Reports'!F2928),IF(ISNUMBER(SEARCH("Party Name-",'R.M Billets Reports'!D2928)),TRIM(MID('R.M Billets Reports'!D2928,SEARCH("-",'R.M Billets Reports'!D2928)+1,200)),"")))="SHREE RADHE SHAKTI SPONGE AND POWER PVT. LTD.","SHREE RADHE",IF(IF(ISNUMBER(SEARCH("Party Name:-",'R.M Billets Reports'!D2927)),TRIM('R.M Billets Reports'!F2927),IF(ISNUMBER(SEARCH("Party Name-",'R.M Billets Reports'!D2927)),TRIM(MID('R.M Billets Reports'!D2927,SEARCH("-",'R.M Billets Reports'!D2927)+1,200)),""))&lt;&gt;"",IF(ISNUMBER(SEARCH("Party Name:-",'R.M Billets Reports'!D2927)),TRIM('R.M Billets Reports'!F2927),IF(ISNUMBER(SEARCH("Party Name-",'R.M Billets Reports'!D2927)),TRIM(MID('R.M Billets Reports'!D2927,SEARCH("-",'R.M Billets Reports'!D2927)+1,200)),"")),IF(ISNUMBER(SEARCH("Party Name:-",'R.M Billets Reports'!D2928)),TRIM('R.M Billets Reports'!F2928),IF(ISNUMBER(SEARCH("Party Name-",'R.M Billets Reports'!D2928)),TRIM(MID('R.M Billets Reports'!D2928,SEARCH("-",'R.M Billets Reports'!D2928)+1,200)),"")))))),IF(ROW()=2,"",A2927))</f>
      </c>
      <c r="B2928">
        <f>IF(OR('R.M Billets Reports'!A2927="Date-",'R.M Billets Reports'!A2927="Date:-"),'R.M Billets Reports'!B2927,IF(ROW()=2,"",B2927))</f>
      </c>
      <c r="C2928">
        <f>IF('R.M Billets Reports'!A2927="V.No.",'R.M Billets Reports'!B2927,IF(ROW()=2,"",C2927))</f>
      </c>
      <c r="D2928">
        <f>IF('R.M Billets Reports'!A2927&lt;&gt;"",'R.M Billets Reports'!A2927,IF(ROW()=2,"",D2927))</f>
      </c>
      <c r="E2928">
        <f>IF('R.M Billets Reports'!B2927="","",TRIM('R.M Billets Reports'!B2927))</f>
      </c>
      <c r="F2928">
        <f>'R.M Billets Reports'!C2927</f>
      </c>
      <c r="G2928">
        <f>'R.M Billets Reports'!D2927</f>
      </c>
      <c r="H2928">
        <f>'R.M Billets Reports'!E2927</f>
      </c>
      <c r="I2928">
        <f>'R.M Billets Reports'!F2927</f>
      </c>
      <c r="J2928">
        <f>'R.M Billets Reports'!G2927</f>
      </c>
      <c r="K2928">
        <f>'R.M Billets Reports'!H2927</f>
      </c>
      <c r="L2928">
        <f>IF('R.M Billets Reports'!I2927="","",'R.M Billets Reports'!I2927)</f>
      </c>
      <c r="M2928">
        <f t="shared" si="90"/>
      </c>
      <c r="N2928">
        <f>IF('R.M Billets Reports'!J2927="","",'R.M Billets Reports'!J2927)</f>
      </c>
      <c r="O2928">
        <f t="shared" si="91"/>
      </c>
      <c r="P2928">
        <f>IF('R.M Billets Reports'!A2927="SIZE",'R.M Billets Reports'!B2927,P2927)</f>
      </c>
    </row>
    <row r="2929" spans="1:16" x14ac:dyDescent="0.25">
      <c r="A2929">
        <f>IF(OR('R.M Billets Reports'!A2928="Date-",'R.M Billets Reports'!A2928="Date:-"),IF(IF(IF(ISNUMBER(SEARCH("Party Name:-",'R.M Billets Reports'!D2928)),TRIM('R.M Billets Reports'!F2928),IF(ISNUMBER(SEARCH("Party Name-",'R.M Billets Reports'!D2928)),TRIM(MID('R.M Billets Reports'!D2928,SEARCH("-",'R.M Billets Reports'!D2928)+1,200)),""))&lt;&gt;"",IF(ISNUMBER(SEARCH("Party Name:-",'R.M Billets Reports'!D2928)),TRIM('R.M Billets Reports'!F2928),IF(ISNUMBER(SEARCH("Party Name-",'R.M Billets Reports'!D2928)),TRIM(MID('R.M Billets Reports'!D2928,SEARCH("-",'R.M Billets Reports'!D2928)+1,200)),"")),IF(ISNUMBER(SEARCH("Party Name:-",'R.M Billets Reports'!D2929)),TRIM('R.M Billets Reports'!F2929),IF(ISNUMBER(SEARCH("Party Name-",'R.M Billets Reports'!D2929)),TRIM(MID('R.M Billets Reports'!D2929,SEARCH("-",'R.M Billets Reports'!D2929)+1,200)),"")))="VRKP ISPAT PVT LTD","VRKP",IF(IF(IF(ISNUMBER(SEARCH("Party Name:-",'R.M Billets Reports'!D2928)),TRIM('R.M Billets Reports'!F2928),IF(ISNUMBER(SEARCH("Party Name-",'R.M Billets Reports'!D2928)),TRIM(MID('R.M Billets Reports'!D2928,SEARCH("-",'R.M Billets Reports'!D2928)+1,200)),""))&lt;&gt;"",IF(ISNUMBER(SEARCH("Party Name:-",'R.M Billets Reports'!D2928)),TRIM('R.M Billets Reports'!F2928),IF(ISNUMBER(SEARCH("Party Name-",'R.M Billets Reports'!D2928)),TRIM(MID('R.M Billets Reports'!D2928,SEARCH("-",'R.M Billets Reports'!D2928)+1,200)),"")),IF(ISNUMBER(SEARCH("Party Name:-",'R.M Billets Reports'!D2929)),TRIM('R.M Billets Reports'!F2929),IF(ISNUMBER(SEARCH("Party Name-",'R.M Billets Reports'!D2929)),TRIM(MID('R.M Billets Reports'!D2929,SEARCH("-",'R.M Billets Reports'!D2929)+1,200)),"")))="SHRI RADHE","SHREE RADHE",IF(IF(IF(ISNUMBER(SEARCH("Party Name:-",'R.M Billets Reports'!D2928)),TRIM('R.M Billets Reports'!F2928),IF(ISNUMBER(SEARCH("Party Name-",'R.M Billets Reports'!D2928)),TRIM(MID('R.M Billets Reports'!D2928,SEARCH("-",'R.M Billets Reports'!D2928)+1,200)),""))&lt;&gt;"",IF(ISNUMBER(SEARCH("Party Name:-",'R.M Billets Reports'!D2928)),TRIM('R.M Billets Reports'!F2928),IF(ISNUMBER(SEARCH("Party Name-",'R.M Billets Reports'!D2928)),TRIM(MID('R.M Billets Reports'!D2928,SEARCH("-",'R.M Billets Reports'!D2928)+1,200)),"")),IF(ISNUMBER(SEARCH("Party Name:-",'R.M Billets Reports'!D2929)),TRIM('R.M Billets Reports'!F2929),IF(ISNUMBER(SEARCH("Party Name-",'R.M Billets Reports'!D2929)),TRIM(MID('R.M Billets Reports'!D2929,SEARCH("-",'R.M Billets Reports'!D2929)+1,200)),"")))="SHREE RADHE SHAKTI SPONGE AND POWER PVT. LTD.","SHREE RADHE",IF(IF(ISNUMBER(SEARCH("Party Name:-",'R.M Billets Reports'!D2928)),TRIM('R.M Billets Reports'!F2928),IF(ISNUMBER(SEARCH("Party Name-",'R.M Billets Reports'!D2928)),TRIM(MID('R.M Billets Reports'!D2928,SEARCH("-",'R.M Billets Reports'!D2928)+1,200)),""))&lt;&gt;"",IF(ISNUMBER(SEARCH("Party Name:-",'R.M Billets Reports'!D2928)),TRIM('R.M Billets Reports'!F2928),IF(ISNUMBER(SEARCH("Party Name-",'R.M Billets Reports'!D2928)),TRIM(MID('R.M Billets Reports'!D2928,SEARCH("-",'R.M Billets Reports'!D2928)+1,200)),"")),IF(ISNUMBER(SEARCH("Party Name:-",'R.M Billets Reports'!D2929)),TRIM('R.M Billets Reports'!F2929),IF(ISNUMBER(SEARCH("Party Name-",'R.M Billets Reports'!D2929)),TRIM(MID('R.M Billets Reports'!D2929,SEARCH("-",'R.M Billets Reports'!D2929)+1,200)),"")))))),IF(ROW()=2,"",A2928))</f>
      </c>
      <c r="B2929">
        <f>IF(OR('R.M Billets Reports'!A2928="Date-",'R.M Billets Reports'!A2928="Date:-"),'R.M Billets Reports'!B2928,IF(ROW()=2,"",B2928))</f>
      </c>
      <c r="C2929">
        <f>IF('R.M Billets Reports'!A2928="V.No.",'R.M Billets Reports'!B2928,IF(ROW()=2,"",C2928))</f>
      </c>
      <c r="D2929">
        <f>IF('R.M Billets Reports'!A2928&lt;&gt;"",'R.M Billets Reports'!A2928,IF(ROW()=2,"",D2928))</f>
      </c>
      <c r="E2929">
        <f>IF('R.M Billets Reports'!B2928="","",TRIM('R.M Billets Reports'!B2928))</f>
      </c>
      <c r="F2929">
        <f>'R.M Billets Reports'!C2928</f>
      </c>
      <c r="G2929">
        <f>'R.M Billets Reports'!D2928</f>
      </c>
      <c r="H2929">
        <f>'R.M Billets Reports'!E2928</f>
      </c>
      <c r="I2929">
        <f>'R.M Billets Reports'!F2928</f>
      </c>
      <c r="J2929">
        <f>'R.M Billets Reports'!G2928</f>
      </c>
      <c r="K2929">
        <f>'R.M Billets Reports'!H2928</f>
      </c>
      <c r="L2929">
        <f>IF('R.M Billets Reports'!I2928="","",'R.M Billets Reports'!I2928)</f>
      </c>
      <c r="M2929">
        <f t="shared" si="90"/>
      </c>
      <c r="N2929">
        <f>IF('R.M Billets Reports'!J2928="","",'R.M Billets Reports'!J2928)</f>
      </c>
      <c r="O2929">
        <f t="shared" si="91"/>
      </c>
      <c r="P2929">
        <f>IF('R.M Billets Reports'!A2928="SIZE",'R.M Billets Reports'!B2928,P2928)</f>
      </c>
    </row>
    <row r="2930" spans="1:16" x14ac:dyDescent="0.25">
      <c r="A2930">
        <f>IF(OR('R.M Billets Reports'!A2929="Date-",'R.M Billets Reports'!A2929="Date:-"),IF(IF(IF(ISNUMBER(SEARCH("Party Name:-",'R.M Billets Reports'!D2929)),TRIM('R.M Billets Reports'!F2929),IF(ISNUMBER(SEARCH("Party Name-",'R.M Billets Reports'!D2929)),TRIM(MID('R.M Billets Reports'!D2929,SEARCH("-",'R.M Billets Reports'!D2929)+1,200)),""))&lt;&gt;"",IF(ISNUMBER(SEARCH("Party Name:-",'R.M Billets Reports'!D2929)),TRIM('R.M Billets Reports'!F2929),IF(ISNUMBER(SEARCH("Party Name-",'R.M Billets Reports'!D2929)),TRIM(MID('R.M Billets Reports'!D2929,SEARCH("-",'R.M Billets Reports'!D2929)+1,200)),"")),IF(ISNUMBER(SEARCH("Party Name:-",'R.M Billets Reports'!D2930)),TRIM('R.M Billets Reports'!F2930),IF(ISNUMBER(SEARCH("Party Name-",'R.M Billets Reports'!D2930)),TRIM(MID('R.M Billets Reports'!D2930,SEARCH("-",'R.M Billets Reports'!D2930)+1,200)),"")))="VRKP ISPAT PVT LTD","VRKP",IF(IF(IF(ISNUMBER(SEARCH("Party Name:-",'R.M Billets Reports'!D2929)),TRIM('R.M Billets Reports'!F2929),IF(ISNUMBER(SEARCH("Party Name-",'R.M Billets Reports'!D2929)),TRIM(MID('R.M Billets Reports'!D2929,SEARCH("-",'R.M Billets Reports'!D2929)+1,200)),""))&lt;&gt;"",IF(ISNUMBER(SEARCH("Party Name:-",'R.M Billets Reports'!D2929)),TRIM('R.M Billets Reports'!F2929),IF(ISNUMBER(SEARCH("Party Name-",'R.M Billets Reports'!D2929)),TRIM(MID('R.M Billets Reports'!D2929,SEARCH("-",'R.M Billets Reports'!D2929)+1,200)),"")),IF(ISNUMBER(SEARCH("Party Name:-",'R.M Billets Reports'!D2930)),TRIM('R.M Billets Reports'!F2930),IF(ISNUMBER(SEARCH("Party Name-",'R.M Billets Reports'!D2930)),TRIM(MID('R.M Billets Reports'!D2930,SEARCH("-",'R.M Billets Reports'!D2930)+1,200)),"")))="SHRI RADHE","SHREE RADHE",IF(IF(IF(ISNUMBER(SEARCH("Party Name:-",'R.M Billets Reports'!D2929)),TRIM('R.M Billets Reports'!F2929),IF(ISNUMBER(SEARCH("Party Name-",'R.M Billets Reports'!D2929)),TRIM(MID('R.M Billets Reports'!D2929,SEARCH("-",'R.M Billets Reports'!D2929)+1,200)),""))&lt;&gt;"",IF(ISNUMBER(SEARCH("Party Name:-",'R.M Billets Reports'!D2929)),TRIM('R.M Billets Reports'!F2929),IF(ISNUMBER(SEARCH("Party Name-",'R.M Billets Reports'!D2929)),TRIM(MID('R.M Billets Reports'!D2929,SEARCH("-",'R.M Billets Reports'!D2929)+1,200)),"")),IF(ISNUMBER(SEARCH("Party Name:-",'R.M Billets Reports'!D2930)),TRIM('R.M Billets Reports'!F2930),IF(ISNUMBER(SEARCH("Party Name-",'R.M Billets Reports'!D2930)),TRIM(MID('R.M Billets Reports'!D2930,SEARCH("-",'R.M Billets Reports'!D2930)+1,200)),"")))="SHREE RADHE SHAKTI SPONGE AND POWER PVT. LTD.","SHREE RADHE",IF(IF(ISNUMBER(SEARCH("Party Name:-",'R.M Billets Reports'!D2929)),TRIM('R.M Billets Reports'!F2929),IF(ISNUMBER(SEARCH("Party Name-",'R.M Billets Reports'!D2929)),TRIM(MID('R.M Billets Reports'!D2929,SEARCH("-",'R.M Billets Reports'!D2929)+1,200)),""))&lt;&gt;"",IF(ISNUMBER(SEARCH("Party Name:-",'R.M Billets Reports'!D2929)),TRIM('R.M Billets Reports'!F2929),IF(ISNUMBER(SEARCH("Party Name-",'R.M Billets Reports'!D2929)),TRIM(MID('R.M Billets Reports'!D2929,SEARCH("-",'R.M Billets Reports'!D2929)+1,200)),"")),IF(ISNUMBER(SEARCH("Party Name:-",'R.M Billets Reports'!D2930)),TRIM('R.M Billets Reports'!F2930),IF(ISNUMBER(SEARCH("Party Name-",'R.M Billets Reports'!D2930)),TRIM(MID('R.M Billets Reports'!D2930,SEARCH("-",'R.M Billets Reports'!D2930)+1,200)),"")))))),IF(ROW()=2,"",A2929))</f>
      </c>
      <c r="B2930">
        <f>IF(OR('R.M Billets Reports'!A2929="Date-",'R.M Billets Reports'!A2929="Date:-"),'R.M Billets Reports'!B2929,IF(ROW()=2,"",B2929))</f>
      </c>
      <c r="C2930">
        <f>IF('R.M Billets Reports'!A2929="V.No.",'R.M Billets Reports'!B2929,IF(ROW()=2,"",C2929))</f>
      </c>
      <c r="D2930">
        <f>IF('R.M Billets Reports'!A2929&lt;&gt;"",'R.M Billets Reports'!A2929,IF(ROW()=2,"",D2929))</f>
      </c>
      <c r="E2930">
        <f>IF('R.M Billets Reports'!B2929="","",TRIM('R.M Billets Reports'!B2929))</f>
      </c>
      <c r="F2930">
        <f>'R.M Billets Reports'!C2929</f>
      </c>
      <c r="G2930">
        <f>'R.M Billets Reports'!D2929</f>
      </c>
      <c r="H2930">
        <f>'R.M Billets Reports'!E2929</f>
      </c>
      <c r="I2930">
        <f>'R.M Billets Reports'!F2929</f>
      </c>
      <c r="J2930">
        <f>'R.M Billets Reports'!G2929</f>
      </c>
      <c r="K2930">
        <f>'R.M Billets Reports'!H2929</f>
      </c>
      <c r="L2930">
        <f>IF('R.M Billets Reports'!I2929="","",'R.M Billets Reports'!I2929)</f>
      </c>
      <c r="M2930">
        <f t="shared" si="90"/>
      </c>
      <c r="N2930">
        <f>IF('R.M Billets Reports'!J2929="","",'R.M Billets Reports'!J2929)</f>
      </c>
      <c r="O2930">
        <f t="shared" si="91"/>
      </c>
      <c r="P2930">
        <f>IF('R.M Billets Reports'!A2929="SIZE",'R.M Billets Reports'!B2929,P2929)</f>
      </c>
    </row>
    <row r="2931" spans="1:16" x14ac:dyDescent="0.25">
      <c r="A2931">
        <f>IF(OR('R.M Billets Reports'!A2930="Date-",'R.M Billets Reports'!A2930="Date:-"),IF(IF(IF(ISNUMBER(SEARCH("Party Name:-",'R.M Billets Reports'!D2930)),TRIM('R.M Billets Reports'!F2930),IF(ISNUMBER(SEARCH("Party Name-",'R.M Billets Reports'!D2930)),TRIM(MID('R.M Billets Reports'!D2930,SEARCH("-",'R.M Billets Reports'!D2930)+1,200)),""))&lt;&gt;"",IF(ISNUMBER(SEARCH("Party Name:-",'R.M Billets Reports'!D2930)),TRIM('R.M Billets Reports'!F2930),IF(ISNUMBER(SEARCH("Party Name-",'R.M Billets Reports'!D2930)),TRIM(MID('R.M Billets Reports'!D2930,SEARCH("-",'R.M Billets Reports'!D2930)+1,200)),"")),IF(ISNUMBER(SEARCH("Party Name:-",'R.M Billets Reports'!D2931)),TRIM('R.M Billets Reports'!F2931),IF(ISNUMBER(SEARCH("Party Name-",'R.M Billets Reports'!D2931)),TRIM(MID('R.M Billets Reports'!D2931,SEARCH("-",'R.M Billets Reports'!D2931)+1,200)),"")))="VRKP ISPAT PVT LTD","VRKP",IF(IF(IF(ISNUMBER(SEARCH("Party Name:-",'R.M Billets Reports'!D2930)),TRIM('R.M Billets Reports'!F2930),IF(ISNUMBER(SEARCH("Party Name-",'R.M Billets Reports'!D2930)),TRIM(MID('R.M Billets Reports'!D2930,SEARCH("-",'R.M Billets Reports'!D2930)+1,200)),""))&lt;&gt;"",IF(ISNUMBER(SEARCH("Party Name:-",'R.M Billets Reports'!D2930)),TRIM('R.M Billets Reports'!F2930),IF(ISNUMBER(SEARCH("Party Name-",'R.M Billets Reports'!D2930)),TRIM(MID('R.M Billets Reports'!D2930,SEARCH("-",'R.M Billets Reports'!D2930)+1,200)),"")),IF(ISNUMBER(SEARCH("Party Name:-",'R.M Billets Reports'!D2931)),TRIM('R.M Billets Reports'!F2931),IF(ISNUMBER(SEARCH("Party Name-",'R.M Billets Reports'!D2931)),TRIM(MID('R.M Billets Reports'!D2931,SEARCH("-",'R.M Billets Reports'!D2931)+1,200)),"")))="SHRI RADHE","SHREE RADHE",IF(IF(IF(ISNUMBER(SEARCH("Party Name:-",'R.M Billets Reports'!D2930)),TRIM('R.M Billets Reports'!F2930),IF(ISNUMBER(SEARCH("Party Name-",'R.M Billets Reports'!D2930)),TRIM(MID('R.M Billets Reports'!D2930,SEARCH("-",'R.M Billets Reports'!D2930)+1,200)),""))&lt;&gt;"",IF(ISNUMBER(SEARCH("Party Name:-",'R.M Billets Reports'!D2930)),TRIM('R.M Billets Reports'!F2930),IF(ISNUMBER(SEARCH("Party Name-",'R.M Billets Reports'!D2930)),TRIM(MID('R.M Billets Reports'!D2930,SEARCH("-",'R.M Billets Reports'!D2930)+1,200)),"")),IF(ISNUMBER(SEARCH("Party Name:-",'R.M Billets Reports'!D2931)),TRIM('R.M Billets Reports'!F2931),IF(ISNUMBER(SEARCH("Party Name-",'R.M Billets Reports'!D2931)),TRIM(MID('R.M Billets Reports'!D2931,SEARCH("-",'R.M Billets Reports'!D2931)+1,200)),"")))="SHREE RADHE SHAKTI SPONGE AND POWER PVT. LTD.","SHREE RADHE",IF(IF(ISNUMBER(SEARCH("Party Name:-",'R.M Billets Reports'!D2930)),TRIM('R.M Billets Reports'!F2930),IF(ISNUMBER(SEARCH("Party Name-",'R.M Billets Reports'!D2930)),TRIM(MID('R.M Billets Reports'!D2930,SEARCH("-",'R.M Billets Reports'!D2930)+1,200)),""))&lt;&gt;"",IF(ISNUMBER(SEARCH("Party Name:-",'R.M Billets Reports'!D2930)),TRIM('R.M Billets Reports'!F2930),IF(ISNUMBER(SEARCH("Party Name-",'R.M Billets Reports'!D2930)),TRIM(MID('R.M Billets Reports'!D2930,SEARCH("-",'R.M Billets Reports'!D2930)+1,200)),"")),IF(ISNUMBER(SEARCH("Party Name:-",'R.M Billets Reports'!D2931)),TRIM('R.M Billets Reports'!F2931),IF(ISNUMBER(SEARCH("Party Name-",'R.M Billets Reports'!D2931)),TRIM(MID('R.M Billets Reports'!D2931,SEARCH("-",'R.M Billets Reports'!D2931)+1,200)),"")))))),IF(ROW()=2,"",A2930))</f>
      </c>
      <c r="B2931">
        <f>IF(OR('R.M Billets Reports'!A2930="Date-",'R.M Billets Reports'!A2930="Date:-"),'R.M Billets Reports'!B2930,IF(ROW()=2,"",B2930))</f>
      </c>
      <c r="C2931">
        <f>IF('R.M Billets Reports'!A2930="V.No.",'R.M Billets Reports'!B2930,IF(ROW()=2,"",C2930))</f>
      </c>
      <c r="D2931">
        <f>IF('R.M Billets Reports'!A2930&lt;&gt;"",'R.M Billets Reports'!A2930,IF(ROW()=2,"",D2930))</f>
      </c>
      <c r="E2931">
        <f>IF('R.M Billets Reports'!B2930="","",TRIM('R.M Billets Reports'!B2930))</f>
      </c>
      <c r="F2931">
        <f>'R.M Billets Reports'!C2930</f>
      </c>
      <c r="G2931">
        <f>'R.M Billets Reports'!D2930</f>
      </c>
      <c r="H2931">
        <f>'R.M Billets Reports'!E2930</f>
      </c>
      <c r="I2931">
        <f>'R.M Billets Reports'!F2930</f>
      </c>
      <c r="J2931">
        <f>'R.M Billets Reports'!G2930</f>
      </c>
      <c r="K2931">
        <f>'R.M Billets Reports'!H2930</f>
      </c>
      <c r="L2931">
        <f>IF('R.M Billets Reports'!I2930="","",'R.M Billets Reports'!I2930)</f>
      </c>
      <c r="M2931">
        <f t="shared" si="90"/>
      </c>
      <c r="N2931">
        <f>IF('R.M Billets Reports'!J2930="","",'R.M Billets Reports'!J2930)</f>
      </c>
      <c r="O2931">
        <f t="shared" si="91"/>
      </c>
      <c r="P2931">
        <f>IF('R.M Billets Reports'!A2930="SIZE",'R.M Billets Reports'!B2930,P2930)</f>
      </c>
    </row>
    <row r="2932" spans="1:16" x14ac:dyDescent="0.25">
      <c r="A2932">
        <f>IF(OR('R.M Billets Reports'!A2931="Date-",'R.M Billets Reports'!A2931="Date:-"),IF(IF(IF(ISNUMBER(SEARCH("Party Name:-",'R.M Billets Reports'!D2931)),TRIM('R.M Billets Reports'!F2931),IF(ISNUMBER(SEARCH("Party Name-",'R.M Billets Reports'!D2931)),TRIM(MID('R.M Billets Reports'!D2931,SEARCH("-",'R.M Billets Reports'!D2931)+1,200)),""))&lt;&gt;"",IF(ISNUMBER(SEARCH("Party Name:-",'R.M Billets Reports'!D2931)),TRIM('R.M Billets Reports'!F2931),IF(ISNUMBER(SEARCH("Party Name-",'R.M Billets Reports'!D2931)),TRIM(MID('R.M Billets Reports'!D2931,SEARCH("-",'R.M Billets Reports'!D2931)+1,200)),"")),IF(ISNUMBER(SEARCH("Party Name:-",'R.M Billets Reports'!D2932)),TRIM('R.M Billets Reports'!F2932),IF(ISNUMBER(SEARCH("Party Name-",'R.M Billets Reports'!D2932)),TRIM(MID('R.M Billets Reports'!D2932,SEARCH("-",'R.M Billets Reports'!D2932)+1,200)),"")))="VRKP ISPAT PVT LTD","VRKP",IF(IF(IF(ISNUMBER(SEARCH("Party Name:-",'R.M Billets Reports'!D2931)),TRIM('R.M Billets Reports'!F2931),IF(ISNUMBER(SEARCH("Party Name-",'R.M Billets Reports'!D2931)),TRIM(MID('R.M Billets Reports'!D2931,SEARCH("-",'R.M Billets Reports'!D2931)+1,200)),""))&lt;&gt;"",IF(ISNUMBER(SEARCH("Party Name:-",'R.M Billets Reports'!D2931)),TRIM('R.M Billets Reports'!F2931),IF(ISNUMBER(SEARCH("Party Name-",'R.M Billets Reports'!D2931)),TRIM(MID('R.M Billets Reports'!D2931,SEARCH("-",'R.M Billets Reports'!D2931)+1,200)),"")),IF(ISNUMBER(SEARCH("Party Name:-",'R.M Billets Reports'!D2932)),TRIM('R.M Billets Reports'!F2932),IF(ISNUMBER(SEARCH("Party Name-",'R.M Billets Reports'!D2932)),TRIM(MID('R.M Billets Reports'!D2932,SEARCH("-",'R.M Billets Reports'!D2932)+1,200)),"")))="SHRI RADHE","SHREE RADHE",IF(IF(IF(ISNUMBER(SEARCH("Party Name:-",'R.M Billets Reports'!D2931)),TRIM('R.M Billets Reports'!F2931),IF(ISNUMBER(SEARCH("Party Name-",'R.M Billets Reports'!D2931)),TRIM(MID('R.M Billets Reports'!D2931,SEARCH("-",'R.M Billets Reports'!D2931)+1,200)),""))&lt;&gt;"",IF(ISNUMBER(SEARCH("Party Name:-",'R.M Billets Reports'!D2931)),TRIM('R.M Billets Reports'!F2931),IF(ISNUMBER(SEARCH("Party Name-",'R.M Billets Reports'!D2931)),TRIM(MID('R.M Billets Reports'!D2931,SEARCH("-",'R.M Billets Reports'!D2931)+1,200)),"")),IF(ISNUMBER(SEARCH("Party Name:-",'R.M Billets Reports'!D2932)),TRIM('R.M Billets Reports'!F2932),IF(ISNUMBER(SEARCH("Party Name-",'R.M Billets Reports'!D2932)),TRIM(MID('R.M Billets Reports'!D2932,SEARCH("-",'R.M Billets Reports'!D2932)+1,200)),"")))="SHREE RADHE SHAKTI SPONGE AND POWER PVT. LTD.","SHREE RADHE",IF(IF(ISNUMBER(SEARCH("Party Name:-",'R.M Billets Reports'!D2931)),TRIM('R.M Billets Reports'!F2931),IF(ISNUMBER(SEARCH("Party Name-",'R.M Billets Reports'!D2931)),TRIM(MID('R.M Billets Reports'!D2931,SEARCH("-",'R.M Billets Reports'!D2931)+1,200)),""))&lt;&gt;"",IF(ISNUMBER(SEARCH("Party Name:-",'R.M Billets Reports'!D2931)),TRIM('R.M Billets Reports'!F2931),IF(ISNUMBER(SEARCH("Party Name-",'R.M Billets Reports'!D2931)),TRIM(MID('R.M Billets Reports'!D2931,SEARCH("-",'R.M Billets Reports'!D2931)+1,200)),"")),IF(ISNUMBER(SEARCH("Party Name:-",'R.M Billets Reports'!D2932)),TRIM('R.M Billets Reports'!F2932),IF(ISNUMBER(SEARCH("Party Name-",'R.M Billets Reports'!D2932)),TRIM(MID('R.M Billets Reports'!D2932,SEARCH("-",'R.M Billets Reports'!D2932)+1,200)),"")))))),IF(ROW()=2,"",A2931))</f>
      </c>
      <c r="B2932">
        <f>IF(OR('R.M Billets Reports'!A2931="Date-",'R.M Billets Reports'!A2931="Date:-"),'R.M Billets Reports'!B2931,IF(ROW()=2,"",B2931))</f>
      </c>
      <c r="C2932">
        <f>IF('R.M Billets Reports'!A2931="V.No.",'R.M Billets Reports'!B2931,IF(ROW()=2,"",C2931))</f>
      </c>
      <c r="D2932">
        <f>IF('R.M Billets Reports'!A2931&lt;&gt;"",'R.M Billets Reports'!A2931,IF(ROW()=2,"",D2931))</f>
      </c>
      <c r="E2932">
        <f>IF('R.M Billets Reports'!B2931="","",TRIM('R.M Billets Reports'!B2931))</f>
      </c>
      <c r="F2932">
        <f>'R.M Billets Reports'!C2931</f>
      </c>
      <c r="G2932">
        <f>'R.M Billets Reports'!D2931</f>
      </c>
      <c r="H2932">
        <f>'R.M Billets Reports'!E2931</f>
      </c>
      <c r="I2932">
        <f>'R.M Billets Reports'!F2931</f>
      </c>
      <c r="J2932">
        <f>'R.M Billets Reports'!G2931</f>
      </c>
      <c r="K2932">
        <f>'R.M Billets Reports'!H2931</f>
      </c>
      <c r="L2932">
        <f>IF('R.M Billets Reports'!I2931="","",'R.M Billets Reports'!I2931)</f>
      </c>
      <c r="M2932">
        <f t="shared" si="90"/>
      </c>
      <c r="N2932">
        <f>IF('R.M Billets Reports'!J2931="","",'R.M Billets Reports'!J2931)</f>
      </c>
      <c r="O2932">
        <f t="shared" si="91"/>
      </c>
      <c r="P2932">
        <f>IF('R.M Billets Reports'!A2931="SIZE",'R.M Billets Reports'!B2931,P2931)</f>
      </c>
    </row>
    <row r="2933" spans="1:16" x14ac:dyDescent="0.25">
      <c r="A2933">
        <f>IF(OR('R.M Billets Reports'!A2932="Date-",'R.M Billets Reports'!A2932="Date:-"),IF(IF(IF(ISNUMBER(SEARCH("Party Name:-",'R.M Billets Reports'!D2932)),TRIM('R.M Billets Reports'!F2932),IF(ISNUMBER(SEARCH("Party Name-",'R.M Billets Reports'!D2932)),TRIM(MID('R.M Billets Reports'!D2932,SEARCH("-",'R.M Billets Reports'!D2932)+1,200)),""))&lt;&gt;"",IF(ISNUMBER(SEARCH("Party Name:-",'R.M Billets Reports'!D2932)),TRIM('R.M Billets Reports'!F2932),IF(ISNUMBER(SEARCH("Party Name-",'R.M Billets Reports'!D2932)),TRIM(MID('R.M Billets Reports'!D2932,SEARCH("-",'R.M Billets Reports'!D2932)+1,200)),"")),IF(ISNUMBER(SEARCH("Party Name:-",'R.M Billets Reports'!D2933)),TRIM('R.M Billets Reports'!F2933),IF(ISNUMBER(SEARCH("Party Name-",'R.M Billets Reports'!D2933)),TRIM(MID('R.M Billets Reports'!D2933,SEARCH("-",'R.M Billets Reports'!D2933)+1,200)),"")))="VRKP ISPAT PVT LTD","VRKP",IF(IF(IF(ISNUMBER(SEARCH("Party Name:-",'R.M Billets Reports'!D2932)),TRIM('R.M Billets Reports'!F2932),IF(ISNUMBER(SEARCH("Party Name-",'R.M Billets Reports'!D2932)),TRIM(MID('R.M Billets Reports'!D2932,SEARCH("-",'R.M Billets Reports'!D2932)+1,200)),""))&lt;&gt;"",IF(ISNUMBER(SEARCH("Party Name:-",'R.M Billets Reports'!D2932)),TRIM('R.M Billets Reports'!F2932),IF(ISNUMBER(SEARCH("Party Name-",'R.M Billets Reports'!D2932)),TRIM(MID('R.M Billets Reports'!D2932,SEARCH("-",'R.M Billets Reports'!D2932)+1,200)),"")),IF(ISNUMBER(SEARCH("Party Name:-",'R.M Billets Reports'!D2933)),TRIM('R.M Billets Reports'!F2933),IF(ISNUMBER(SEARCH("Party Name-",'R.M Billets Reports'!D2933)),TRIM(MID('R.M Billets Reports'!D2933,SEARCH("-",'R.M Billets Reports'!D2933)+1,200)),"")))="SHRI RADHE","SHREE RADHE",IF(IF(IF(ISNUMBER(SEARCH("Party Name:-",'R.M Billets Reports'!D2932)),TRIM('R.M Billets Reports'!F2932),IF(ISNUMBER(SEARCH("Party Name-",'R.M Billets Reports'!D2932)),TRIM(MID('R.M Billets Reports'!D2932,SEARCH("-",'R.M Billets Reports'!D2932)+1,200)),""))&lt;&gt;"",IF(ISNUMBER(SEARCH("Party Name:-",'R.M Billets Reports'!D2932)),TRIM('R.M Billets Reports'!F2932),IF(ISNUMBER(SEARCH("Party Name-",'R.M Billets Reports'!D2932)),TRIM(MID('R.M Billets Reports'!D2932,SEARCH("-",'R.M Billets Reports'!D2932)+1,200)),"")),IF(ISNUMBER(SEARCH("Party Name:-",'R.M Billets Reports'!D2933)),TRIM('R.M Billets Reports'!F2933),IF(ISNUMBER(SEARCH("Party Name-",'R.M Billets Reports'!D2933)),TRIM(MID('R.M Billets Reports'!D2933,SEARCH("-",'R.M Billets Reports'!D2933)+1,200)),"")))="SHREE RADHE SHAKTI SPONGE AND POWER PVT. LTD.","SHREE RADHE",IF(IF(ISNUMBER(SEARCH("Party Name:-",'R.M Billets Reports'!D2932)),TRIM('R.M Billets Reports'!F2932),IF(ISNUMBER(SEARCH("Party Name-",'R.M Billets Reports'!D2932)),TRIM(MID('R.M Billets Reports'!D2932,SEARCH("-",'R.M Billets Reports'!D2932)+1,200)),""))&lt;&gt;"",IF(ISNUMBER(SEARCH("Party Name:-",'R.M Billets Reports'!D2932)),TRIM('R.M Billets Reports'!F2932),IF(ISNUMBER(SEARCH("Party Name-",'R.M Billets Reports'!D2932)),TRIM(MID('R.M Billets Reports'!D2932,SEARCH("-",'R.M Billets Reports'!D2932)+1,200)),"")),IF(ISNUMBER(SEARCH("Party Name:-",'R.M Billets Reports'!D2933)),TRIM('R.M Billets Reports'!F2933),IF(ISNUMBER(SEARCH("Party Name-",'R.M Billets Reports'!D2933)),TRIM(MID('R.M Billets Reports'!D2933,SEARCH("-",'R.M Billets Reports'!D2933)+1,200)),"")))))),IF(ROW()=2,"",A2932))</f>
      </c>
      <c r="B2933">
        <f>IF(OR('R.M Billets Reports'!A2932="Date-",'R.M Billets Reports'!A2932="Date:-"),'R.M Billets Reports'!B2932,IF(ROW()=2,"",B2932))</f>
      </c>
      <c r="C2933">
        <f>IF('R.M Billets Reports'!A2932="V.No.",'R.M Billets Reports'!B2932,IF(ROW()=2,"",C2932))</f>
      </c>
      <c r="D2933">
        <f>IF('R.M Billets Reports'!A2932&lt;&gt;"",'R.M Billets Reports'!A2932,IF(ROW()=2,"",D2932))</f>
      </c>
      <c r="E2933">
        <f>IF('R.M Billets Reports'!B2932="","",TRIM('R.M Billets Reports'!B2932))</f>
      </c>
      <c r="F2933">
        <f>'R.M Billets Reports'!C2932</f>
      </c>
      <c r="G2933">
        <f>'R.M Billets Reports'!D2932</f>
      </c>
      <c r="H2933">
        <f>'R.M Billets Reports'!E2932</f>
      </c>
      <c r="I2933">
        <f>'R.M Billets Reports'!F2932</f>
      </c>
      <c r="J2933">
        <f>'R.M Billets Reports'!G2932</f>
      </c>
      <c r="K2933">
        <f>'R.M Billets Reports'!H2932</f>
      </c>
      <c r="L2933">
        <f>IF('R.M Billets Reports'!I2932="","",'R.M Billets Reports'!I2932)</f>
      </c>
      <c r="M2933">
        <f t="shared" si="90"/>
      </c>
      <c r="N2933">
        <f>IF('R.M Billets Reports'!J2932="","",'R.M Billets Reports'!J2932)</f>
      </c>
      <c r="O2933">
        <f t="shared" si="91"/>
      </c>
      <c r="P2933">
        <f>IF('R.M Billets Reports'!A2932="SIZE",'R.M Billets Reports'!B2932,P2932)</f>
      </c>
    </row>
    <row r="2934" spans="1:16" x14ac:dyDescent="0.25">
      <c r="A2934">
        <f>IF(OR('R.M Billets Reports'!A2933="Date-",'R.M Billets Reports'!A2933="Date:-"),IF(IF(IF(ISNUMBER(SEARCH("Party Name:-",'R.M Billets Reports'!D2933)),TRIM('R.M Billets Reports'!F2933),IF(ISNUMBER(SEARCH("Party Name-",'R.M Billets Reports'!D2933)),TRIM(MID('R.M Billets Reports'!D2933,SEARCH("-",'R.M Billets Reports'!D2933)+1,200)),""))&lt;&gt;"",IF(ISNUMBER(SEARCH("Party Name:-",'R.M Billets Reports'!D2933)),TRIM('R.M Billets Reports'!F2933),IF(ISNUMBER(SEARCH("Party Name-",'R.M Billets Reports'!D2933)),TRIM(MID('R.M Billets Reports'!D2933,SEARCH("-",'R.M Billets Reports'!D2933)+1,200)),"")),IF(ISNUMBER(SEARCH("Party Name:-",'R.M Billets Reports'!D2934)),TRIM('R.M Billets Reports'!F2934),IF(ISNUMBER(SEARCH("Party Name-",'R.M Billets Reports'!D2934)),TRIM(MID('R.M Billets Reports'!D2934,SEARCH("-",'R.M Billets Reports'!D2934)+1,200)),"")))="VRKP ISPAT PVT LTD","VRKP",IF(IF(IF(ISNUMBER(SEARCH("Party Name:-",'R.M Billets Reports'!D2933)),TRIM('R.M Billets Reports'!F2933),IF(ISNUMBER(SEARCH("Party Name-",'R.M Billets Reports'!D2933)),TRIM(MID('R.M Billets Reports'!D2933,SEARCH("-",'R.M Billets Reports'!D2933)+1,200)),""))&lt;&gt;"",IF(ISNUMBER(SEARCH("Party Name:-",'R.M Billets Reports'!D2933)),TRIM('R.M Billets Reports'!F2933),IF(ISNUMBER(SEARCH("Party Name-",'R.M Billets Reports'!D2933)),TRIM(MID('R.M Billets Reports'!D2933,SEARCH("-",'R.M Billets Reports'!D2933)+1,200)),"")),IF(ISNUMBER(SEARCH("Party Name:-",'R.M Billets Reports'!D2934)),TRIM('R.M Billets Reports'!F2934),IF(ISNUMBER(SEARCH("Party Name-",'R.M Billets Reports'!D2934)),TRIM(MID('R.M Billets Reports'!D2934,SEARCH("-",'R.M Billets Reports'!D2934)+1,200)),"")))="SHRI RADHE","SHREE RADHE",IF(IF(IF(ISNUMBER(SEARCH("Party Name:-",'R.M Billets Reports'!D2933)),TRIM('R.M Billets Reports'!F2933),IF(ISNUMBER(SEARCH("Party Name-",'R.M Billets Reports'!D2933)),TRIM(MID('R.M Billets Reports'!D2933,SEARCH("-",'R.M Billets Reports'!D2933)+1,200)),""))&lt;&gt;"",IF(ISNUMBER(SEARCH("Party Name:-",'R.M Billets Reports'!D2933)),TRIM('R.M Billets Reports'!F2933),IF(ISNUMBER(SEARCH("Party Name-",'R.M Billets Reports'!D2933)),TRIM(MID('R.M Billets Reports'!D2933,SEARCH("-",'R.M Billets Reports'!D2933)+1,200)),"")),IF(ISNUMBER(SEARCH("Party Name:-",'R.M Billets Reports'!D2934)),TRIM('R.M Billets Reports'!F2934),IF(ISNUMBER(SEARCH("Party Name-",'R.M Billets Reports'!D2934)),TRIM(MID('R.M Billets Reports'!D2934,SEARCH("-",'R.M Billets Reports'!D2934)+1,200)),"")))="SHREE RADHE SHAKTI SPONGE AND POWER PVT. LTD.","SHREE RADHE",IF(IF(ISNUMBER(SEARCH("Party Name:-",'R.M Billets Reports'!D2933)),TRIM('R.M Billets Reports'!F2933),IF(ISNUMBER(SEARCH("Party Name-",'R.M Billets Reports'!D2933)),TRIM(MID('R.M Billets Reports'!D2933,SEARCH("-",'R.M Billets Reports'!D2933)+1,200)),""))&lt;&gt;"",IF(ISNUMBER(SEARCH("Party Name:-",'R.M Billets Reports'!D2933)),TRIM('R.M Billets Reports'!F2933),IF(ISNUMBER(SEARCH("Party Name-",'R.M Billets Reports'!D2933)),TRIM(MID('R.M Billets Reports'!D2933,SEARCH("-",'R.M Billets Reports'!D2933)+1,200)),"")),IF(ISNUMBER(SEARCH("Party Name:-",'R.M Billets Reports'!D2934)),TRIM('R.M Billets Reports'!F2934),IF(ISNUMBER(SEARCH("Party Name-",'R.M Billets Reports'!D2934)),TRIM(MID('R.M Billets Reports'!D2934,SEARCH("-",'R.M Billets Reports'!D2934)+1,200)),"")))))),IF(ROW()=2,"",A2933))</f>
      </c>
      <c r="B2934">
        <f>IF(OR('R.M Billets Reports'!A2933="Date-",'R.M Billets Reports'!A2933="Date:-"),'R.M Billets Reports'!B2933,IF(ROW()=2,"",B2933))</f>
      </c>
      <c r="C2934">
        <f>IF('R.M Billets Reports'!A2933="V.No.",'R.M Billets Reports'!B2933,IF(ROW()=2,"",C2933))</f>
      </c>
      <c r="D2934">
        <f>IF('R.M Billets Reports'!A2933&lt;&gt;"",'R.M Billets Reports'!A2933,IF(ROW()=2,"",D2933))</f>
      </c>
      <c r="E2934">
        <f>IF('R.M Billets Reports'!B2933="","",TRIM('R.M Billets Reports'!B2933))</f>
      </c>
      <c r="F2934">
        <f>'R.M Billets Reports'!C2933</f>
      </c>
      <c r="G2934">
        <f>'R.M Billets Reports'!D2933</f>
      </c>
      <c r="H2934">
        <f>'R.M Billets Reports'!E2933</f>
      </c>
      <c r="I2934">
        <f>'R.M Billets Reports'!F2933</f>
      </c>
      <c r="J2934">
        <f>'R.M Billets Reports'!G2933</f>
      </c>
      <c r="K2934">
        <f>'R.M Billets Reports'!H2933</f>
      </c>
      <c r="L2934">
        <f>IF('R.M Billets Reports'!I2933="","",'R.M Billets Reports'!I2933)</f>
      </c>
      <c r="M2934">
        <f t="shared" si="90"/>
      </c>
      <c r="N2934">
        <f>IF('R.M Billets Reports'!J2933="","",'R.M Billets Reports'!J2933)</f>
      </c>
      <c r="O2934">
        <f t="shared" si="91"/>
      </c>
      <c r="P2934">
        <f>IF('R.M Billets Reports'!A2933="SIZE",'R.M Billets Reports'!B2933,P2933)</f>
      </c>
    </row>
    <row r="2935" spans="1:16" x14ac:dyDescent="0.25">
      <c r="A2935">
        <f>IF(OR('R.M Billets Reports'!A2934="Date-",'R.M Billets Reports'!A2934="Date:-"),IF(IF(IF(ISNUMBER(SEARCH("Party Name:-",'R.M Billets Reports'!D2934)),TRIM('R.M Billets Reports'!F2934),IF(ISNUMBER(SEARCH("Party Name-",'R.M Billets Reports'!D2934)),TRIM(MID('R.M Billets Reports'!D2934,SEARCH("-",'R.M Billets Reports'!D2934)+1,200)),""))&lt;&gt;"",IF(ISNUMBER(SEARCH("Party Name:-",'R.M Billets Reports'!D2934)),TRIM('R.M Billets Reports'!F2934),IF(ISNUMBER(SEARCH("Party Name-",'R.M Billets Reports'!D2934)),TRIM(MID('R.M Billets Reports'!D2934,SEARCH("-",'R.M Billets Reports'!D2934)+1,200)),"")),IF(ISNUMBER(SEARCH("Party Name:-",'R.M Billets Reports'!D2935)),TRIM('R.M Billets Reports'!F2935),IF(ISNUMBER(SEARCH("Party Name-",'R.M Billets Reports'!D2935)),TRIM(MID('R.M Billets Reports'!D2935,SEARCH("-",'R.M Billets Reports'!D2935)+1,200)),"")))="VRKP ISPAT PVT LTD","VRKP",IF(IF(IF(ISNUMBER(SEARCH("Party Name:-",'R.M Billets Reports'!D2934)),TRIM('R.M Billets Reports'!F2934),IF(ISNUMBER(SEARCH("Party Name-",'R.M Billets Reports'!D2934)),TRIM(MID('R.M Billets Reports'!D2934,SEARCH("-",'R.M Billets Reports'!D2934)+1,200)),""))&lt;&gt;"",IF(ISNUMBER(SEARCH("Party Name:-",'R.M Billets Reports'!D2934)),TRIM('R.M Billets Reports'!F2934),IF(ISNUMBER(SEARCH("Party Name-",'R.M Billets Reports'!D2934)),TRIM(MID('R.M Billets Reports'!D2934,SEARCH("-",'R.M Billets Reports'!D2934)+1,200)),"")),IF(ISNUMBER(SEARCH("Party Name:-",'R.M Billets Reports'!D2935)),TRIM('R.M Billets Reports'!F2935),IF(ISNUMBER(SEARCH("Party Name-",'R.M Billets Reports'!D2935)),TRIM(MID('R.M Billets Reports'!D2935,SEARCH("-",'R.M Billets Reports'!D2935)+1,200)),"")))="SHRI RADHE","SHREE RADHE",IF(IF(IF(ISNUMBER(SEARCH("Party Name:-",'R.M Billets Reports'!D2934)),TRIM('R.M Billets Reports'!F2934),IF(ISNUMBER(SEARCH("Party Name-",'R.M Billets Reports'!D2934)),TRIM(MID('R.M Billets Reports'!D2934,SEARCH("-",'R.M Billets Reports'!D2934)+1,200)),""))&lt;&gt;"",IF(ISNUMBER(SEARCH("Party Name:-",'R.M Billets Reports'!D2934)),TRIM('R.M Billets Reports'!F2934),IF(ISNUMBER(SEARCH("Party Name-",'R.M Billets Reports'!D2934)),TRIM(MID('R.M Billets Reports'!D2934,SEARCH("-",'R.M Billets Reports'!D2934)+1,200)),"")),IF(ISNUMBER(SEARCH("Party Name:-",'R.M Billets Reports'!D2935)),TRIM('R.M Billets Reports'!F2935),IF(ISNUMBER(SEARCH("Party Name-",'R.M Billets Reports'!D2935)),TRIM(MID('R.M Billets Reports'!D2935,SEARCH("-",'R.M Billets Reports'!D2935)+1,200)),"")))="SHREE RADHE SHAKTI SPONGE AND POWER PVT. LTD.","SHREE RADHE",IF(IF(ISNUMBER(SEARCH("Party Name:-",'R.M Billets Reports'!D2934)),TRIM('R.M Billets Reports'!F2934),IF(ISNUMBER(SEARCH("Party Name-",'R.M Billets Reports'!D2934)),TRIM(MID('R.M Billets Reports'!D2934,SEARCH("-",'R.M Billets Reports'!D2934)+1,200)),""))&lt;&gt;"",IF(ISNUMBER(SEARCH("Party Name:-",'R.M Billets Reports'!D2934)),TRIM('R.M Billets Reports'!F2934),IF(ISNUMBER(SEARCH("Party Name-",'R.M Billets Reports'!D2934)),TRIM(MID('R.M Billets Reports'!D2934,SEARCH("-",'R.M Billets Reports'!D2934)+1,200)),"")),IF(ISNUMBER(SEARCH("Party Name:-",'R.M Billets Reports'!D2935)),TRIM('R.M Billets Reports'!F2935),IF(ISNUMBER(SEARCH("Party Name-",'R.M Billets Reports'!D2935)),TRIM(MID('R.M Billets Reports'!D2935,SEARCH("-",'R.M Billets Reports'!D2935)+1,200)),"")))))),IF(ROW()=2,"",A2934))</f>
      </c>
      <c r="B2935">
        <f>IF(OR('R.M Billets Reports'!A2934="Date-",'R.M Billets Reports'!A2934="Date:-"),'R.M Billets Reports'!B2934,IF(ROW()=2,"",B2934))</f>
      </c>
      <c r="C2935">
        <f>IF('R.M Billets Reports'!A2934="V.No.",'R.M Billets Reports'!B2934,IF(ROW()=2,"",C2934))</f>
      </c>
      <c r="D2935">
        <f>IF('R.M Billets Reports'!A2934&lt;&gt;"",'R.M Billets Reports'!A2934,IF(ROW()=2,"",D2934))</f>
      </c>
      <c r="E2935">
        <f>IF('R.M Billets Reports'!B2934="","",TRIM('R.M Billets Reports'!B2934))</f>
      </c>
      <c r="F2935">
        <f>'R.M Billets Reports'!C2934</f>
      </c>
      <c r="G2935">
        <f>'R.M Billets Reports'!D2934</f>
      </c>
      <c r="H2935">
        <f>'R.M Billets Reports'!E2934</f>
      </c>
      <c r="I2935">
        <f>'R.M Billets Reports'!F2934</f>
      </c>
      <c r="J2935">
        <f>'R.M Billets Reports'!G2934</f>
      </c>
      <c r="K2935">
        <f>'R.M Billets Reports'!H2934</f>
      </c>
      <c r="L2935">
        <f>IF('R.M Billets Reports'!I2934="","",'R.M Billets Reports'!I2934)</f>
      </c>
      <c r="M2935">
        <f t="shared" si="90"/>
      </c>
      <c r="N2935">
        <f>IF('R.M Billets Reports'!J2934="","",'R.M Billets Reports'!J2934)</f>
      </c>
      <c r="O2935">
        <f t="shared" si="91"/>
      </c>
      <c r="P2935">
        <f>IF('R.M Billets Reports'!A2934="SIZE",'R.M Billets Reports'!B2934,P2934)</f>
      </c>
    </row>
    <row r="2936" spans="1:16" x14ac:dyDescent="0.25">
      <c r="A2936">
        <f>IF(OR('R.M Billets Reports'!A2935="Date-",'R.M Billets Reports'!A2935="Date:-"),IF(IF(IF(ISNUMBER(SEARCH("Party Name:-",'R.M Billets Reports'!D2935)),TRIM('R.M Billets Reports'!F2935),IF(ISNUMBER(SEARCH("Party Name-",'R.M Billets Reports'!D2935)),TRIM(MID('R.M Billets Reports'!D2935,SEARCH("-",'R.M Billets Reports'!D2935)+1,200)),""))&lt;&gt;"",IF(ISNUMBER(SEARCH("Party Name:-",'R.M Billets Reports'!D2935)),TRIM('R.M Billets Reports'!F2935),IF(ISNUMBER(SEARCH("Party Name-",'R.M Billets Reports'!D2935)),TRIM(MID('R.M Billets Reports'!D2935,SEARCH("-",'R.M Billets Reports'!D2935)+1,200)),"")),IF(ISNUMBER(SEARCH("Party Name:-",'R.M Billets Reports'!D2936)),TRIM('R.M Billets Reports'!F2936),IF(ISNUMBER(SEARCH("Party Name-",'R.M Billets Reports'!D2936)),TRIM(MID('R.M Billets Reports'!D2936,SEARCH("-",'R.M Billets Reports'!D2936)+1,200)),"")))="VRKP ISPAT PVT LTD","VRKP",IF(IF(IF(ISNUMBER(SEARCH("Party Name:-",'R.M Billets Reports'!D2935)),TRIM('R.M Billets Reports'!F2935),IF(ISNUMBER(SEARCH("Party Name-",'R.M Billets Reports'!D2935)),TRIM(MID('R.M Billets Reports'!D2935,SEARCH("-",'R.M Billets Reports'!D2935)+1,200)),""))&lt;&gt;"",IF(ISNUMBER(SEARCH("Party Name:-",'R.M Billets Reports'!D2935)),TRIM('R.M Billets Reports'!F2935),IF(ISNUMBER(SEARCH("Party Name-",'R.M Billets Reports'!D2935)),TRIM(MID('R.M Billets Reports'!D2935,SEARCH("-",'R.M Billets Reports'!D2935)+1,200)),"")),IF(ISNUMBER(SEARCH("Party Name:-",'R.M Billets Reports'!D2936)),TRIM('R.M Billets Reports'!F2936),IF(ISNUMBER(SEARCH("Party Name-",'R.M Billets Reports'!D2936)),TRIM(MID('R.M Billets Reports'!D2936,SEARCH("-",'R.M Billets Reports'!D2936)+1,200)),"")))="SHRI RADHE","SHREE RADHE",IF(IF(IF(ISNUMBER(SEARCH("Party Name:-",'R.M Billets Reports'!D2935)),TRIM('R.M Billets Reports'!F2935),IF(ISNUMBER(SEARCH("Party Name-",'R.M Billets Reports'!D2935)),TRIM(MID('R.M Billets Reports'!D2935,SEARCH("-",'R.M Billets Reports'!D2935)+1,200)),""))&lt;&gt;"",IF(ISNUMBER(SEARCH("Party Name:-",'R.M Billets Reports'!D2935)),TRIM('R.M Billets Reports'!F2935),IF(ISNUMBER(SEARCH("Party Name-",'R.M Billets Reports'!D2935)),TRIM(MID('R.M Billets Reports'!D2935,SEARCH("-",'R.M Billets Reports'!D2935)+1,200)),"")),IF(ISNUMBER(SEARCH("Party Name:-",'R.M Billets Reports'!D2936)),TRIM('R.M Billets Reports'!F2936),IF(ISNUMBER(SEARCH("Party Name-",'R.M Billets Reports'!D2936)),TRIM(MID('R.M Billets Reports'!D2936,SEARCH("-",'R.M Billets Reports'!D2936)+1,200)),"")))="SHREE RADHE SHAKTI SPONGE AND POWER PVT. LTD.","SHREE RADHE",IF(IF(ISNUMBER(SEARCH("Party Name:-",'R.M Billets Reports'!D2935)),TRIM('R.M Billets Reports'!F2935),IF(ISNUMBER(SEARCH("Party Name-",'R.M Billets Reports'!D2935)),TRIM(MID('R.M Billets Reports'!D2935,SEARCH("-",'R.M Billets Reports'!D2935)+1,200)),""))&lt;&gt;"",IF(ISNUMBER(SEARCH("Party Name:-",'R.M Billets Reports'!D2935)),TRIM('R.M Billets Reports'!F2935),IF(ISNUMBER(SEARCH("Party Name-",'R.M Billets Reports'!D2935)),TRIM(MID('R.M Billets Reports'!D2935,SEARCH("-",'R.M Billets Reports'!D2935)+1,200)),"")),IF(ISNUMBER(SEARCH("Party Name:-",'R.M Billets Reports'!D2936)),TRIM('R.M Billets Reports'!F2936),IF(ISNUMBER(SEARCH("Party Name-",'R.M Billets Reports'!D2936)),TRIM(MID('R.M Billets Reports'!D2936,SEARCH("-",'R.M Billets Reports'!D2936)+1,200)),"")))))),IF(ROW()=2,"",A2935))</f>
      </c>
      <c r="B2936">
        <f>IF(OR('R.M Billets Reports'!A2935="Date-",'R.M Billets Reports'!A2935="Date:-"),'R.M Billets Reports'!B2935,IF(ROW()=2,"",B2935))</f>
      </c>
      <c r="C2936">
        <f>IF('R.M Billets Reports'!A2935="V.No.",'R.M Billets Reports'!B2935,IF(ROW()=2,"",C2935))</f>
      </c>
      <c r="D2936">
        <f>IF('R.M Billets Reports'!A2935&lt;&gt;"",'R.M Billets Reports'!A2935,IF(ROW()=2,"",D2935))</f>
      </c>
      <c r="E2936">
        <f>IF('R.M Billets Reports'!B2935="","",TRIM('R.M Billets Reports'!B2935))</f>
      </c>
      <c r="F2936">
        <f>'R.M Billets Reports'!C2935</f>
      </c>
      <c r="G2936">
        <f>'R.M Billets Reports'!D2935</f>
      </c>
      <c r="H2936">
        <f>'R.M Billets Reports'!E2935</f>
      </c>
      <c r="I2936">
        <f>'R.M Billets Reports'!F2935</f>
      </c>
      <c r="J2936">
        <f>'R.M Billets Reports'!G2935</f>
      </c>
      <c r="K2936">
        <f>'R.M Billets Reports'!H2935</f>
      </c>
      <c r="L2936">
        <f>IF('R.M Billets Reports'!I2935="","",'R.M Billets Reports'!I2935)</f>
      </c>
      <c r="M2936">
        <f t="shared" si="90"/>
      </c>
      <c r="N2936">
        <f>IF('R.M Billets Reports'!J2935="","",'R.M Billets Reports'!J2935)</f>
      </c>
      <c r="O2936">
        <f t="shared" si="91"/>
      </c>
      <c r="P2936">
        <f>IF('R.M Billets Reports'!A2935="SIZE",'R.M Billets Reports'!B2935,P2935)</f>
      </c>
    </row>
    <row r="2937" spans="1:16" x14ac:dyDescent="0.25">
      <c r="A2937">
        <f>IF(OR('R.M Billets Reports'!A2936="Date-",'R.M Billets Reports'!A2936="Date:-"),IF(IF(IF(ISNUMBER(SEARCH("Party Name:-",'R.M Billets Reports'!D2936)),TRIM('R.M Billets Reports'!F2936),IF(ISNUMBER(SEARCH("Party Name-",'R.M Billets Reports'!D2936)),TRIM(MID('R.M Billets Reports'!D2936,SEARCH("-",'R.M Billets Reports'!D2936)+1,200)),""))&lt;&gt;"",IF(ISNUMBER(SEARCH("Party Name:-",'R.M Billets Reports'!D2936)),TRIM('R.M Billets Reports'!F2936),IF(ISNUMBER(SEARCH("Party Name-",'R.M Billets Reports'!D2936)),TRIM(MID('R.M Billets Reports'!D2936,SEARCH("-",'R.M Billets Reports'!D2936)+1,200)),"")),IF(ISNUMBER(SEARCH("Party Name:-",'R.M Billets Reports'!D2937)),TRIM('R.M Billets Reports'!F2937),IF(ISNUMBER(SEARCH("Party Name-",'R.M Billets Reports'!D2937)),TRIM(MID('R.M Billets Reports'!D2937,SEARCH("-",'R.M Billets Reports'!D2937)+1,200)),"")))="VRKP ISPAT PVT LTD","VRKP",IF(IF(IF(ISNUMBER(SEARCH("Party Name:-",'R.M Billets Reports'!D2936)),TRIM('R.M Billets Reports'!F2936),IF(ISNUMBER(SEARCH("Party Name-",'R.M Billets Reports'!D2936)),TRIM(MID('R.M Billets Reports'!D2936,SEARCH("-",'R.M Billets Reports'!D2936)+1,200)),""))&lt;&gt;"",IF(ISNUMBER(SEARCH("Party Name:-",'R.M Billets Reports'!D2936)),TRIM('R.M Billets Reports'!F2936),IF(ISNUMBER(SEARCH("Party Name-",'R.M Billets Reports'!D2936)),TRIM(MID('R.M Billets Reports'!D2936,SEARCH("-",'R.M Billets Reports'!D2936)+1,200)),"")),IF(ISNUMBER(SEARCH("Party Name:-",'R.M Billets Reports'!D2937)),TRIM('R.M Billets Reports'!F2937),IF(ISNUMBER(SEARCH("Party Name-",'R.M Billets Reports'!D2937)),TRIM(MID('R.M Billets Reports'!D2937,SEARCH("-",'R.M Billets Reports'!D2937)+1,200)),"")))="SHRI RADHE","SHREE RADHE",IF(IF(IF(ISNUMBER(SEARCH("Party Name:-",'R.M Billets Reports'!D2936)),TRIM('R.M Billets Reports'!F2936),IF(ISNUMBER(SEARCH("Party Name-",'R.M Billets Reports'!D2936)),TRIM(MID('R.M Billets Reports'!D2936,SEARCH("-",'R.M Billets Reports'!D2936)+1,200)),""))&lt;&gt;"",IF(ISNUMBER(SEARCH("Party Name:-",'R.M Billets Reports'!D2936)),TRIM('R.M Billets Reports'!F2936),IF(ISNUMBER(SEARCH("Party Name-",'R.M Billets Reports'!D2936)),TRIM(MID('R.M Billets Reports'!D2936,SEARCH("-",'R.M Billets Reports'!D2936)+1,200)),"")),IF(ISNUMBER(SEARCH("Party Name:-",'R.M Billets Reports'!D2937)),TRIM('R.M Billets Reports'!F2937),IF(ISNUMBER(SEARCH("Party Name-",'R.M Billets Reports'!D2937)),TRIM(MID('R.M Billets Reports'!D2937,SEARCH("-",'R.M Billets Reports'!D2937)+1,200)),"")))="SHREE RADHE SHAKTI SPONGE AND POWER PVT. LTD.","SHREE RADHE",IF(IF(ISNUMBER(SEARCH("Party Name:-",'R.M Billets Reports'!D2936)),TRIM('R.M Billets Reports'!F2936),IF(ISNUMBER(SEARCH("Party Name-",'R.M Billets Reports'!D2936)),TRIM(MID('R.M Billets Reports'!D2936,SEARCH("-",'R.M Billets Reports'!D2936)+1,200)),""))&lt;&gt;"",IF(ISNUMBER(SEARCH("Party Name:-",'R.M Billets Reports'!D2936)),TRIM('R.M Billets Reports'!F2936),IF(ISNUMBER(SEARCH("Party Name-",'R.M Billets Reports'!D2936)),TRIM(MID('R.M Billets Reports'!D2936,SEARCH("-",'R.M Billets Reports'!D2936)+1,200)),"")),IF(ISNUMBER(SEARCH("Party Name:-",'R.M Billets Reports'!D2937)),TRIM('R.M Billets Reports'!F2937),IF(ISNUMBER(SEARCH("Party Name-",'R.M Billets Reports'!D2937)),TRIM(MID('R.M Billets Reports'!D2937,SEARCH("-",'R.M Billets Reports'!D2937)+1,200)),"")))))),IF(ROW()=2,"",A2936))</f>
      </c>
      <c r="B2937">
        <f>IF(OR('R.M Billets Reports'!A2936="Date-",'R.M Billets Reports'!A2936="Date:-"),'R.M Billets Reports'!B2936,IF(ROW()=2,"",B2936))</f>
      </c>
      <c r="C2937">
        <f>IF('R.M Billets Reports'!A2936="V.No.",'R.M Billets Reports'!B2936,IF(ROW()=2,"",C2936))</f>
      </c>
      <c r="D2937">
        <f>IF('R.M Billets Reports'!A2936&lt;&gt;"",'R.M Billets Reports'!A2936,IF(ROW()=2,"",D2936))</f>
      </c>
      <c r="E2937">
        <f>IF('R.M Billets Reports'!B2936="","",TRIM('R.M Billets Reports'!B2936))</f>
      </c>
      <c r="F2937">
        <f>'R.M Billets Reports'!C2936</f>
      </c>
      <c r="G2937">
        <f>'R.M Billets Reports'!D2936</f>
      </c>
      <c r="H2937">
        <f>'R.M Billets Reports'!E2936</f>
      </c>
      <c r="I2937">
        <f>'R.M Billets Reports'!F2936</f>
      </c>
      <c r="J2937">
        <f>'R.M Billets Reports'!G2936</f>
      </c>
      <c r="K2937">
        <f>'R.M Billets Reports'!H2936</f>
      </c>
      <c r="L2937">
        <f>IF('R.M Billets Reports'!I2936="","",'R.M Billets Reports'!I2936)</f>
      </c>
      <c r="M2937">
        <f t="shared" si="90"/>
      </c>
      <c r="N2937">
        <f>IF('R.M Billets Reports'!J2936="","",'R.M Billets Reports'!J2936)</f>
      </c>
      <c r="O2937">
        <f t="shared" si="91"/>
      </c>
      <c r="P2937">
        <f>IF('R.M Billets Reports'!A2936="SIZE",'R.M Billets Reports'!B2936,P2936)</f>
      </c>
    </row>
    <row r="2938" spans="1:16" x14ac:dyDescent="0.25">
      <c r="A2938">
        <f>IF(OR('R.M Billets Reports'!A2937="Date-",'R.M Billets Reports'!A2937="Date:-"),IF(IF(IF(ISNUMBER(SEARCH("Party Name:-",'R.M Billets Reports'!D2937)),TRIM('R.M Billets Reports'!F2937),IF(ISNUMBER(SEARCH("Party Name-",'R.M Billets Reports'!D2937)),TRIM(MID('R.M Billets Reports'!D2937,SEARCH("-",'R.M Billets Reports'!D2937)+1,200)),""))&lt;&gt;"",IF(ISNUMBER(SEARCH("Party Name:-",'R.M Billets Reports'!D2937)),TRIM('R.M Billets Reports'!F2937),IF(ISNUMBER(SEARCH("Party Name-",'R.M Billets Reports'!D2937)),TRIM(MID('R.M Billets Reports'!D2937,SEARCH("-",'R.M Billets Reports'!D2937)+1,200)),"")),IF(ISNUMBER(SEARCH("Party Name:-",'R.M Billets Reports'!D2938)),TRIM('R.M Billets Reports'!F2938),IF(ISNUMBER(SEARCH("Party Name-",'R.M Billets Reports'!D2938)),TRIM(MID('R.M Billets Reports'!D2938,SEARCH("-",'R.M Billets Reports'!D2938)+1,200)),"")))="VRKP ISPAT PVT LTD","VRKP",IF(IF(IF(ISNUMBER(SEARCH("Party Name:-",'R.M Billets Reports'!D2937)),TRIM('R.M Billets Reports'!F2937),IF(ISNUMBER(SEARCH("Party Name-",'R.M Billets Reports'!D2937)),TRIM(MID('R.M Billets Reports'!D2937,SEARCH("-",'R.M Billets Reports'!D2937)+1,200)),""))&lt;&gt;"",IF(ISNUMBER(SEARCH("Party Name:-",'R.M Billets Reports'!D2937)),TRIM('R.M Billets Reports'!F2937),IF(ISNUMBER(SEARCH("Party Name-",'R.M Billets Reports'!D2937)),TRIM(MID('R.M Billets Reports'!D2937,SEARCH("-",'R.M Billets Reports'!D2937)+1,200)),"")),IF(ISNUMBER(SEARCH("Party Name:-",'R.M Billets Reports'!D2938)),TRIM('R.M Billets Reports'!F2938),IF(ISNUMBER(SEARCH("Party Name-",'R.M Billets Reports'!D2938)),TRIM(MID('R.M Billets Reports'!D2938,SEARCH("-",'R.M Billets Reports'!D2938)+1,200)),"")))="SHRI RADHE","SHREE RADHE",IF(IF(IF(ISNUMBER(SEARCH("Party Name:-",'R.M Billets Reports'!D2937)),TRIM('R.M Billets Reports'!F2937),IF(ISNUMBER(SEARCH("Party Name-",'R.M Billets Reports'!D2937)),TRIM(MID('R.M Billets Reports'!D2937,SEARCH("-",'R.M Billets Reports'!D2937)+1,200)),""))&lt;&gt;"",IF(ISNUMBER(SEARCH("Party Name:-",'R.M Billets Reports'!D2937)),TRIM('R.M Billets Reports'!F2937),IF(ISNUMBER(SEARCH("Party Name-",'R.M Billets Reports'!D2937)),TRIM(MID('R.M Billets Reports'!D2937,SEARCH("-",'R.M Billets Reports'!D2937)+1,200)),"")),IF(ISNUMBER(SEARCH("Party Name:-",'R.M Billets Reports'!D2938)),TRIM('R.M Billets Reports'!F2938),IF(ISNUMBER(SEARCH("Party Name-",'R.M Billets Reports'!D2938)),TRIM(MID('R.M Billets Reports'!D2938,SEARCH("-",'R.M Billets Reports'!D2938)+1,200)),"")))="SHREE RADHE SHAKTI SPONGE AND POWER PVT. LTD.","SHREE RADHE",IF(IF(ISNUMBER(SEARCH("Party Name:-",'R.M Billets Reports'!D2937)),TRIM('R.M Billets Reports'!F2937),IF(ISNUMBER(SEARCH("Party Name-",'R.M Billets Reports'!D2937)),TRIM(MID('R.M Billets Reports'!D2937,SEARCH("-",'R.M Billets Reports'!D2937)+1,200)),""))&lt;&gt;"",IF(ISNUMBER(SEARCH("Party Name:-",'R.M Billets Reports'!D2937)),TRIM('R.M Billets Reports'!F2937),IF(ISNUMBER(SEARCH("Party Name-",'R.M Billets Reports'!D2937)),TRIM(MID('R.M Billets Reports'!D2937,SEARCH("-",'R.M Billets Reports'!D2937)+1,200)),"")),IF(ISNUMBER(SEARCH("Party Name:-",'R.M Billets Reports'!D2938)),TRIM('R.M Billets Reports'!F2938),IF(ISNUMBER(SEARCH("Party Name-",'R.M Billets Reports'!D2938)),TRIM(MID('R.M Billets Reports'!D2938,SEARCH("-",'R.M Billets Reports'!D2938)+1,200)),"")))))),IF(ROW()=2,"",A2937))</f>
      </c>
      <c r="B2938">
        <f>IF(OR('R.M Billets Reports'!A2937="Date-",'R.M Billets Reports'!A2937="Date:-"),'R.M Billets Reports'!B2937,IF(ROW()=2,"",B2937))</f>
      </c>
      <c r="C2938">
        <f>IF('R.M Billets Reports'!A2937="V.No.",'R.M Billets Reports'!B2937,IF(ROW()=2,"",C2937))</f>
      </c>
      <c r="D2938">
        <f>IF('R.M Billets Reports'!A2937&lt;&gt;"",'R.M Billets Reports'!A2937,IF(ROW()=2,"",D2937))</f>
      </c>
      <c r="E2938">
        <f>IF('R.M Billets Reports'!B2937="","",TRIM('R.M Billets Reports'!B2937))</f>
      </c>
      <c r="F2938">
        <f>'R.M Billets Reports'!C2937</f>
      </c>
      <c r="G2938">
        <f>'R.M Billets Reports'!D2937</f>
      </c>
      <c r="H2938">
        <f>'R.M Billets Reports'!E2937</f>
      </c>
      <c r="I2938">
        <f>'R.M Billets Reports'!F2937</f>
      </c>
      <c r="J2938">
        <f>'R.M Billets Reports'!G2937</f>
      </c>
      <c r="K2938">
        <f>'R.M Billets Reports'!H2937</f>
      </c>
      <c r="L2938">
        <f>IF('R.M Billets Reports'!I2937="","",'R.M Billets Reports'!I2937)</f>
      </c>
      <c r="M2938">
        <f t="shared" si="90"/>
      </c>
      <c r="N2938">
        <f>IF('R.M Billets Reports'!J2937="","",'R.M Billets Reports'!J2937)</f>
      </c>
      <c r="O2938">
        <f t="shared" si="91"/>
      </c>
      <c r="P2938">
        <f>IF('R.M Billets Reports'!A2937="SIZE",'R.M Billets Reports'!B2937,P2937)</f>
      </c>
    </row>
    <row r="2939" spans="1:16" x14ac:dyDescent="0.25">
      <c r="A2939">
        <f>IF(OR('R.M Billets Reports'!A2938="Date-",'R.M Billets Reports'!A2938="Date:-"),IF(IF(IF(ISNUMBER(SEARCH("Party Name:-",'R.M Billets Reports'!D2938)),TRIM('R.M Billets Reports'!F2938),IF(ISNUMBER(SEARCH("Party Name-",'R.M Billets Reports'!D2938)),TRIM(MID('R.M Billets Reports'!D2938,SEARCH("-",'R.M Billets Reports'!D2938)+1,200)),""))&lt;&gt;"",IF(ISNUMBER(SEARCH("Party Name:-",'R.M Billets Reports'!D2938)),TRIM('R.M Billets Reports'!F2938),IF(ISNUMBER(SEARCH("Party Name-",'R.M Billets Reports'!D2938)),TRIM(MID('R.M Billets Reports'!D2938,SEARCH("-",'R.M Billets Reports'!D2938)+1,200)),"")),IF(ISNUMBER(SEARCH("Party Name:-",'R.M Billets Reports'!D2939)),TRIM('R.M Billets Reports'!F2939),IF(ISNUMBER(SEARCH("Party Name-",'R.M Billets Reports'!D2939)),TRIM(MID('R.M Billets Reports'!D2939,SEARCH("-",'R.M Billets Reports'!D2939)+1,200)),"")))="VRKP ISPAT PVT LTD","VRKP",IF(IF(IF(ISNUMBER(SEARCH("Party Name:-",'R.M Billets Reports'!D2938)),TRIM('R.M Billets Reports'!F2938),IF(ISNUMBER(SEARCH("Party Name-",'R.M Billets Reports'!D2938)),TRIM(MID('R.M Billets Reports'!D2938,SEARCH("-",'R.M Billets Reports'!D2938)+1,200)),""))&lt;&gt;"",IF(ISNUMBER(SEARCH("Party Name:-",'R.M Billets Reports'!D2938)),TRIM('R.M Billets Reports'!F2938),IF(ISNUMBER(SEARCH("Party Name-",'R.M Billets Reports'!D2938)),TRIM(MID('R.M Billets Reports'!D2938,SEARCH("-",'R.M Billets Reports'!D2938)+1,200)),"")),IF(ISNUMBER(SEARCH("Party Name:-",'R.M Billets Reports'!D2939)),TRIM('R.M Billets Reports'!F2939),IF(ISNUMBER(SEARCH("Party Name-",'R.M Billets Reports'!D2939)),TRIM(MID('R.M Billets Reports'!D2939,SEARCH("-",'R.M Billets Reports'!D2939)+1,200)),"")))="SHRI RADHE","SHREE RADHE",IF(IF(IF(ISNUMBER(SEARCH("Party Name:-",'R.M Billets Reports'!D2938)),TRIM('R.M Billets Reports'!F2938),IF(ISNUMBER(SEARCH("Party Name-",'R.M Billets Reports'!D2938)),TRIM(MID('R.M Billets Reports'!D2938,SEARCH("-",'R.M Billets Reports'!D2938)+1,200)),""))&lt;&gt;"",IF(ISNUMBER(SEARCH("Party Name:-",'R.M Billets Reports'!D2938)),TRIM('R.M Billets Reports'!F2938),IF(ISNUMBER(SEARCH("Party Name-",'R.M Billets Reports'!D2938)),TRIM(MID('R.M Billets Reports'!D2938,SEARCH("-",'R.M Billets Reports'!D2938)+1,200)),"")),IF(ISNUMBER(SEARCH("Party Name:-",'R.M Billets Reports'!D2939)),TRIM('R.M Billets Reports'!F2939),IF(ISNUMBER(SEARCH("Party Name-",'R.M Billets Reports'!D2939)),TRIM(MID('R.M Billets Reports'!D2939,SEARCH("-",'R.M Billets Reports'!D2939)+1,200)),"")))="SHREE RADHE SHAKTI SPONGE AND POWER PVT. LTD.","SHREE RADHE",IF(IF(ISNUMBER(SEARCH("Party Name:-",'R.M Billets Reports'!D2938)),TRIM('R.M Billets Reports'!F2938),IF(ISNUMBER(SEARCH("Party Name-",'R.M Billets Reports'!D2938)),TRIM(MID('R.M Billets Reports'!D2938,SEARCH("-",'R.M Billets Reports'!D2938)+1,200)),""))&lt;&gt;"",IF(ISNUMBER(SEARCH("Party Name:-",'R.M Billets Reports'!D2938)),TRIM('R.M Billets Reports'!F2938),IF(ISNUMBER(SEARCH("Party Name-",'R.M Billets Reports'!D2938)),TRIM(MID('R.M Billets Reports'!D2938,SEARCH("-",'R.M Billets Reports'!D2938)+1,200)),"")),IF(ISNUMBER(SEARCH("Party Name:-",'R.M Billets Reports'!D2939)),TRIM('R.M Billets Reports'!F2939),IF(ISNUMBER(SEARCH("Party Name-",'R.M Billets Reports'!D2939)),TRIM(MID('R.M Billets Reports'!D2939,SEARCH("-",'R.M Billets Reports'!D2939)+1,200)),"")))))),IF(ROW()=2,"",A2938))</f>
      </c>
      <c r="B2939">
        <f>IF(OR('R.M Billets Reports'!A2938="Date-",'R.M Billets Reports'!A2938="Date:-"),'R.M Billets Reports'!B2938,IF(ROW()=2,"",B2938))</f>
      </c>
      <c r="C2939">
        <f>IF('R.M Billets Reports'!A2938="V.No.",'R.M Billets Reports'!B2938,IF(ROW()=2,"",C2938))</f>
      </c>
      <c r="D2939">
        <f>IF('R.M Billets Reports'!A2938&lt;&gt;"",'R.M Billets Reports'!A2938,IF(ROW()=2,"",D2938))</f>
      </c>
      <c r="E2939">
        <f>IF('R.M Billets Reports'!B2938="","",TRIM('R.M Billets Reports'!B2938))</f>
      </c>
      <c r="F2939">
        <f>'R.M Billets Reports'!C2938</f>
      </c>
      <c r="G2939">
        <f>'R.M Billets Reports'!D2938</f>
      </c>
      <c r="H2939">
        <f>'R.M Billets Reports'!E2938</f>
      </c>
      <c r="I2939">
        <f>'R.M Billets Reports'!F2938</f>
      </c>
      <c r="J2939">
        <f>'R.M Billets Reports'!G2938</f>
      </c>
      <c r="K2939">
        <f>'R.M Billets Reports'!H2938</f>
      </c>
      <c r="L2939">
        <f>IF('R.M Billets Reports'!I2938="","",'R.M Billets Reports'!I2938)</f>
      </c>
      <c r="M2939">
        <f t="shared" si="90"/>
      </c>
      <c r="N2939">
        <f>IF('R.M Billets Reports'!J2938="","",'R.M Billets Reports'!J2938)</f>
      </c>
      <c r="O2939">
        <f t="shared" si="91"/>
      </c>
      <c r="P2939">
        <f>IF('R.M Billets Reports'!A2938="SIZE",'R.M Billets Reports'!B2938,P2938)</f>
      </c>
    </row>
    <row r="2940" spans="1:16" x14ac:dyDescent="0.25">
      <c r="A2940">
        <f>IF(OR('R.M Billets Reports'!A2939="Date-",'R.M Billets Reports'!A2939="Date:-"),IF(IF(IF(ISNUMBER(SEARCH("Party Name:-",'R.M Billets Reports'!D2939)),TRIM('R.M Billets Reports'!F2939),IF(ISNUMBER(SEARCH("Party Name-",'R.M Billets Reports'!D2939)),TRIM(MID('R.M Billets Reports'!D2939,SEARCH("-",'R.M Billets Reports'!D2939)+1,200)),""))&lt;&gt;"",IF(ISNUMBER(SEARCH("Party Name:-",'R.M Billets Reports'!D2939)),TRIM('R.M Billets Reports'!F2939),IF(ISNUMBER(SEARCH("Party Name-",'R.M Billets Reports'!D2939)),TRIM(MID('R.M Billets Reports'!D2939,SEARCH("-",'R.M Billets Reports'!D2939)+1,200)),"")),IF(ISNUMBER(SEARCH("Party Name:-",'R.M Billets Reports'!D2940)),TRIM('R.M Billets Reports'!F2940),IF(ISNUMBER(SEARCH("Party Name-",'R.M Billets Reports'!D2940)),TRIM(MID('R.M Billets Reports'!D2940,SEARCH("-",'R.M Billets Reports'!D2940)+1,200)),"")))="VRKP ISPAT PVT LTD","VRKP",IF(IF(IF(ISNUMBER(SEARCH("Party Name:-",'R.M Billets Reports'!D2939)),TRIM('R.M Billets Reports'!F2939),IF(ISNUMBER(SEARCH("Party Name-",'R.M Billets Reports'!D2939)),TRIM(MID('R.M Billets Reports'!D2939,SEARCH("-",'R.M Billets Reports'!D2939)+1,200)),""))&lt;&gt;"",IF(ISNUMBER(SEARCH("Party Name:-",'R.M Billets Reports'!D2939)),TRIM('R.M Billets Reports'!F2939),IF(ISNUMBER(SEARCH("Party Name-",'R.M Billets Reports'!D2939)),TRIM(MID('R.M Billets Reports'!D2939,SEARCH("-",'R.M Billets Reports'!D2939)+1,200)),"")),IF(ISNUMBER(SEARCH("Party Name:-",'R.M Billets Reports'!D2940)),TRIM('R.M Billets Reports'!F2940),IF(ISNUMBER(SEARCH("Party Name-",'R.M Billets Reports'!D2940)),TRIM(MID('R.M Billets Reports'!D2940,SEARCH("-",'R.M Billets Reports'!D2940)+1,200)),"")))="SHRI RADHE","SHREE RADHE",IF(IF(IF(ISNUMBER(SEARCH("Party Name:-",'R.M Billets Reports'!D2939)),TRIM('R.M Billets Reports'!F2939),IF(ISNUMBER(SEARCH("Party Name-",'R.M Billets Reports'!D2939)),TRIM(MID('R.M Billets Reports'!D2939,SEARCH("-",'R.M Billets Reports'!D2939)+1,200)),""))&lt;&gt;"",IF(ISNUMBER(SEARCH("Party Name:-",'R.M Billets Reports'!D2939)),TRIM('R.M Billets Reports'!F2939),IF(ISNUMBER(SEARCH("Party Name-",'R.M Billets Reports'!D2939)),TRIM(MID('R.M Billets Reports'!D2939,SEARCH("-",'R.M Billets Reports'!D2939)+1,200)),"")),IF(ISNUMBER(SEARCH("Party Name:-",'R.M Billets Reports'!D2940)),TRIM('R.M Billets Reports'!F2940),IF(ISNUMBER(SEARCH("Party Name-",'R.M Billets Reports'!D2940)),TRIM(MID('R.M Billets Reports'!D2940,SEARCH("-",'R.M Billets Reports'!D2940)+1,200)),"")))="SHREE RADHE SHAKTI SPONGE AND POWER PVT. LTD.","SHREE RADHE",IF(IF(ISNUMBER(SEARCH("Party Name:-",'R.M Billets Reports'!D2939)),TRIM('R.M Billets Reports'!F2939),IF(ISNUMBER(SEARCH("Party Name-",'R.M Billets Reports'!D2939)),TRIM(MID('R.M Billets Reports'!D2939,SEARCH("-",'R.M Billets Reports'!D2939)+1,200)),""))&lt;&gt;"",IF(ISNUMBER(SEARCH("Party Name:-",'R.M Billets Reports'!D2939)),TRIM('R.M Billets Reports'!F2939),IF(ISNUMBER(SEARCH("Party Name-",'R.M Billets Reports'!D2939)),TRIM(MID('R.M Billets Reports'!D2939,SEARCH("-",'R.M Billets Reports'!D2939)+1,200)),"")),IF(ISNUMBER(SEARCH("Party Name:-",'R.M Billets Reports'!D2940)),TRIM('R.M Billets Reports'!F2940),IF(ISNUMBER(SEARCH("Party Name-",'R.M Billets Reports'!D2940)),TRIM(MID('R.M Billets Reports'!D2940,SEARCH("-",'R.M Billets Reports'!D2940)+1,200)),"")))))),IF(ROW()=2,"",A2939))</f>
      </c>
      <c r="B2940">
        <f>IF(OR('R.M Billets Reports'!A2939="Date-",'R.M Billets Reports'!A2939="Date:-"),'R.M Billets Reports'!B2939,IF(ROW()=2,"",B2939))</f>
      </c>
      <c r="C2940">
        <f>IF('R.M Billets Reports'!A2939="V.No.",'R.M Billets Reports'!B2939,IF(ROW()=2,"",C2939))</f>
      </c>
      <c r="D2940">
        <f>IF('R.M Billets Reports'!A2939&lt;&gt;"",'R.M Billets Reports'!A2939,IF(ROW()=2,"",D2939))</f>
      </c>
      <c r="E2940">
        <f>IF('R.M Billets Reports'!B2939="","",TRIM('R.M Billets Reports'!B2939))</f>
      </c>
      <c r="F2940">
        <f>'R.M Billets Reports'!C2939</f>
      </c>
      <c r="G2940">
        <f>'R.M Billets Reports'!D2939</f>
      </c>
      <c r="H2940">
        <f>'R.M Billets Reports'!E2939</f>
      </c>
      <c r="I2940">
        <f>'R.M Billets Reports'!F2939</f>
      </c>
      <c r="J2940">
        <f>'R.M Billets Reports'!G2939</f>
      </c>
      <c r="K2940">
        <f>'R.M Billets Reports'!H2939</f>
      </c>
      <c r="L2940">
        <f>IF('R.M Billets Reports'!I2939="","",'R.M Billets Reports'!I2939)</f>
      </c>
      <c r="M2940">
        <f t="shared" si="90"/>
      </c>
      <c r="N2940">
        <f>IF('R.M Billets Reports'!J2939="","",'R.M Billets Reports'!J2939)</f>
      </c>
      <c r="O2940">
        <f t="shared" si="91"/>
      </c>
      <c r="P2940">
        <f>IF('R.M Billets Reports'!A2939="SIZE",'R.M Billets Reports'!B2939,P2939)</f>
      </c>
    </row>
    <row r="2941" spans="1:16" x14ac:dyDescent="0.25">
      <c r="A2941">
        <f>IF(OR('R.M Billets Reports'!A2940="Date-",'R.M Billets Reports'!A2940="Date:-"),IF(IF(IF(ISNUMBER(SEARCH("Party Name:-",'R.M Billets Reports'!D2940)),TRIM('R.M Billets Reports'!F2940),IF(ISNUMBER(SEARCH("Party Name-",'R.M Billets Reports'!D2940)),TRIM(MID('R.M Billets Reports'!D2940,SEARCH("-",'R.M Billets Reports'!D2940)+1,200)),""))&lt;&gt;"",IF(ISNUMBER(SEARCH("Party Name:-",'R.M Billets Reports'!D2940)),TRIM('R.M Billets Reports'!F2940),IF(ISNUMBER(SEARCH("Party Name-",'R.M Billets Reports'!D2940)),TRIM(MID('R.M Billets Reports'!D2940,SEARCH("-",'R.M Billets Reports'!D2940)+1,200)),"")),IF(ISNUMBER(SEARCH("Party Name:-",'R.M Billets Reports'!D2941)),TRIM('R.M Billets Reports'!F2941),IF(ISNUMBER(SEARCH("Party Name-",'R.M Billets Reports'!D2941)),TRIM(MID('R.M Billets Reports'!D2941,SEARCH("-",'R.M Billets Reports'!D2941)+1,200)),"")))="VRKP ISPAT PVT LTD","VRKP",IF(IF(IF(ISNUMBER(SEARCH("Party Name:-",'R.M Billets Reports'!D2940)),TRIM('R.M Billets Reports'!F2940),IF(ISNUMBER(SEARCH("Party Name-",'R.M Billets Reports'!D2940)),TRIM(MID('R.M Billets Reports'!D2940,SEARCH("-",'R.M Billets Reports'!D2940)+1,200)),""))&lt;&gt;"",IF(ISNUMBER(SEARCH("Party Name:-",'R.M Billets Reports'!D2940)),TRIM('R.M Billets Reports'!F2940),IF(ISNUMBER(SEARCH("Party Name-",'R.M Billets Reports'!D2940)),TRIM(MID('R.M Billets Reports'!D2940,SEARCH("-",'R.M Billets Reports'!D2940)+1,200)),"")),IF(ISNUMBER(SEARCH("Party Name:-",'R.M Billets Reports'!D2941)),TRIM('R.M Billets Reports'!F2941),IF(ISNUMBER(SEARCH("Party Name-",'R.M Billets Reports'!D2941)),TRIM(MID('R.M Billets Reports'!D2941,SEARCH("-",'R.M Billets Reports'!D2941)+1,200)),"")))="SHRI RADHE","SHREE RADHE",IF(IF(IF(ISNUMBER(SEARCH("Party Name:-",'R.M Billets Reports'!D2940)),TRIM('R.M Billets Reports'!F2940),IF(ISNUMBER(SEARCH("Party Name-",'R.M Billets Reports'!D2940)),TRIM(MID('R.M Billets Reports'!D2940,SEARCH("-",'R.M Billets Reports'!D2940)+1,200)),""))&lt;&gt;"",IF(ISNUMBER(SEARCH("Party Name:-",'R.M Billets Reports'!D2940)),TRIM('R.M Billets Reports'!F2940),IF(ISNUMBER(SEARCH("Party Name-",'R.M Billets Reports'!D2940)),TRIM(MID('R.M Billets Reports'!D2940,SEARCH("-",'R.M Billets Reports'!D2940)+1,200)),"")),IF(ISNUMBER(SEARCH("Party Name:-",'R.M Billets Reports'!D2941)),TRIM('R.M Billets Reports'!F2941),IF(ISNUMBER(SEARCH("Party Name-",'R.M Billets Reports'!D2941)),TRIM(MID('R.M Billets Reports'!D2941,SEARCH("-",'R.M Billets Reports'!D2941)+1,200)),"")))="SHREE RADHE SHAKTI SPONGE AND POWER PVT. LTD.","SHREE RADHE",IF(IF(ISNUMBER(SEARCH("Party Name:-",'R.M Billets Reports'!D2940)),TRIM('R.M Billets Reports'!F2940),IF(ISNUMBER(SEARCH("Party Name-",'R.M Billets Reports'!D2940)),TRIM(MID('R.M Billets Reports'!D2940,SEARCH("-",'R.M Billets Reports'!D2940)+1,200)),""))&lt;&gt;"",IF(ISNUMBER(SEARCH("Party Name:-",'R.M Billets Reports'!D2940)),TRIM('R.M Billets Reports'!F2940),IF(ISNUMBER(SEARCH("Party Name-",'R.M Billets Reports'!D2940)),TRIM(MID('R.M Billets Reports'!D2940,SEARCH("-",'R.M Billets Reports'!D2940)+1,200)),"")),IF(ISNUMBER(SEARCH("Party Name:-",'R.M Billets Reports'!D2941)),TRIM('R.M Billets Reports'!F2941),IF(ISNUMBER(SEARCH("Party Name-",'R.M Billets Reports'!D2941)),TRIM(MID('R.M Billets Reports'!D2941,SEARCH("-",'R.M Billets Reports'!D2941)+1,200)),"")))))),IF(ROW()=2,"",A2940))</f>
      </c>
      <c r="B2941">
        <f>IF(OR('R.M Billets Reports'!A2940="Date-",'R.M Billets Reports'!A2940="Date:-"),'R.M Billets Reports'!B2940,IF(ROW()=2,"",B2940))</f>
      </c>
      <c r="C2941">
        <f>IF('R.M Billets Reports'!A2940="V.No.",'R.M Billets Reports'!B2940,IF(ROW()=2,"",C2940))</f>
      </c>
      <c r="D2941">
        <f>IF('R.M Billets Reports'!A2940&lt;&gt;"",'R.M Billets Reports'!A2940,IF(ROW()=2,"",D2940))</f>
      </c>
      <c r="E2941">
        <f>IF('R.M Billets Reports'!B2940="","",TRIM('R.M Billets Reports'!B2940))</f>
      </c>
      <c r="F2941">
        <f>'R.M Billets Reports'!C2940</f>
      </c>
      <c r="G2941">
        <f>'R.M Billets Reports'!D2940</f>
      </c>
      <c r="H2941">
        <f>'R.M Billets Reports'!E2940</f>
      </c>
      <c r="I2941">
        <f>'R.M Billets Reports'!F2940</f>
      </c>
      <c r="J2941">
        <f>'R.M Billets Reports'!G2940</f>
      </c>
      <c r="K2941">
        <f>'R.M Billets Reports'!H2940</f>
      </c>
      <c r="L2941">
        <f>IF('R.M Billets Reports'!I2940="","",'R.M Billets Reports'!I2940)</f>
      </c>
      <c r="M2941">
        <f t="shared" si="90"/>
      </c>
      <c r="N2941">
        <f>IF('R.M Billets Reports'!J2940="","",'R.M Billets Reports'!J2940)</f>
      </c>
      <c r="O2941">
        <f t="shared" si="91"/>
      </c>
      <c r="P2941">
        <f>IF('R.M Billets Reports'!A2940="SIZE",'R.M Billets Reports'!B2940,P2940)</f>
      </c>
    </row>
    <row r="2942" spans="1:16" x14ac:dyDescent="0.25">
      <c r="A2942">
        <f>IF(OR('R.M Billets Reports'!A2941="Date-",'R.M Billets Reports'!A2941="Date:-"),IF(IF(IF(ISNUMBER(SEARCH("Party Name:-",'R.M Billets Reports'!D2941)),TRIM('R.M Billets Reports'!F2941),IF(ISNUMBER(SEARCH("Party Name-",'R.M Billets Reports'!D2941)),TRIM(MID('R.M Billets Reports'!D2941,SEARCH("-",'R.M Billets Reports'!D2941)+1,200)),""))&lt;&gt;"",IF(ISNUMBER(SEARCH("Party Name:-",'R.M Billets Reports'!D2941)),TRIM('R.M Billets Reports'!F2941),IF(ISNUMBER(SEARCH("Party Name-",'R.M Billets Reports'!D2941)),TRIM(MID('R.M Billets Reports'!D2941,SEARCH("-",'R.M Billets Reports'!D2941)+1,200)),"")),IF(ISNUMBER(SEARCH("Party Name:-",'R.M Billets Reports'!D2942)),TRIM('R.M Billets Reports'!F2942),IF(ISNUMBER(SEARCH("Party Name-",'R.M Billets Reports'!D2942)),TRIM(MID('R.M Billets Reports'!D2942,SEARCH("-",'R.M Billets Reports'!D2942)+1,200)),"")))="VRKP ISPAT PVT LTD","VRKP",IF(IF(IF(ISNUMBER(SEARCH("Party Name:-",'R.M Billets Reports'!D2941)),TRIM('R.M Billets Reports'!F2941),IF(ISNUMBER(SEARCH("Party Name-",'R.M Billets Reports'!D2941)),TRIM(MID('R.M Billets Reports'!D2941,SEARCH("-",'R.M Billets Reports'!D2941)+1,200)),""))&lt;&gt;"",IF(ISNUMBER(SEARCH("Party Name:-",'R.M Billets Reports'!D2941)),TRIM('R.M Billets Reports'!F2941),IF(ISNUMBER(SEARCH("Party Name-",'R.M Billets Reports'!D2941)),TRIM(MID('R.M Billets Reports'!D2941,SEARCH("-",'R.M Billets Reports'!D2941)+1,200)),"")),IF(ISNUMBER(SEARCH("Party Name:-",'R.M Billets Reports'!D2942)),TRIM('R.M Billets Reports'!F2942),IF(ISNUMBER(SEARCH("Party Name-",'R.M Billets Reports'!D2942)),TRIM(MID('R.M Billets Reports'!D2942,SEARCH("-",'R.M Billets Reports'!D2942)+1,200)),"")))="SHRI RADHE","SHREE RADHE",IF(IF(IF(ISNUMBER(SEARCH("Party Name:-",'R.M Billets Reports'!D2941)),TRIM('R.M Billets Reports'!F2941),IF(ISNUMBER(SEARCH("Party Name-",'R.M Billets Reports'!D2941)),TRIM(MID('R.M Billets Reports'!D2941,SEARCH("-",'R.M Billets Reports'!D2941)+1,200)),""))&lt;&gt;"",IF(ISNUMBER(SEARCH("Party Name:-",'R.M Billets Reports'!D2941)),TRIM('R.M Billets Reports'!F2941),IF(ISNUMBER(SEARCH("Party Name-",'R.M Billets Reports'!D2941)),TRIM(MID('R.M Billets Reports'!D2941,SEARCH("-",'R.M Billets Reports'!D2941)+1,200)),"")),IF(ISNUMBER(SEARCH("Party Name:-",'R.M Billets Reports'!D2942)),TRIM('R.M Billets Reports'!F2942),IF(ISNUMBER(SEARCH("Party Name-",'R.M Billets Reports'!D2942)),TRIM(MID('R.M Billets Reports'!D2942,SEARCH("-",'R.M Billets Reports'!D2942)+1,200)),"")))="SHREE RADHE SHAKTI SPONGE AND POWER PVT. LTD.","SHREE RADHE",IF(IF(ISNUMBER(SEARCH("Party Name:-",'R.M Billets Reports'!D2941)),TRIM('R.M Billets Reports'!F2941),IF(ISNUMBER(SEARCH("Party Name-",'R.M Billets Reports'!D2941)),TRIM(MID('R.M Billets Reports'!D2941,SEARCH("-",'R.M Billets Reports'!D2941)+1,200)),""))&lt;&gt;"",IF(ISNUMBER(SEARCH("Party Name:-",'R.M Billets Reports'!D2941)),TRIM('R.M Billets Reports'!F2941),IF(ISNUMBER(SEARCH("Party Name-",'R.M Billets Reports'!D2941)),TRIM(MID('R.M Billets Reports'!D2941,SEARCH("-",'R.M Billets Reports'!D2941)+1,200)),"")),IF(ISNUMBER(SEARCH("Party Name:-",'R.M Billets Reports'!D2942)),TRIM('R.M Billets Reports'!F2942),IF(ISNUMBER(SEARCH("Party Name-",'R.M Billets Reports'!D2942)),TRIM(MID('R.M Billets Reports'!D2942,SEARCH("-",'R.M Billets Reports'!D2942)+1,200)),"")))))),IF(ROW()=2,"",A2941))</f>
      </c>
      <c r="B2942">
        <f>IF(OR('R.M Billets Reports'!A2941="Date-",'R.M Billets Reports'!A2941="Date:-"),'R.M Billets Reports'!B2941,IF(ROW()=2,"",B2941))</f>
      </c>
      <c r="C2942">
        <f>IF('R.M Billets Reports'!A2941="V.No.",'R.M Billets Reports'!B2941,IF(ROW()=2,"",C2941))</f>
      </c>
      <c r="D2942">
        <f>IF('R.M Billets Reports'!A2941&lt;&gt;"",'R.M Billets Reports'!A2941,IF(ROW()=2,"",D2941))</f>
      </c>
      <c r="E2942">
        <f>IF('R.M Billets Reports'!B2941="","",TRIM('R.M Billets Reports'!B2941))</f>
      </c>
      <c r="F2942">
        <f>'R.M Billets Reports'!C2941</f>
      </c>
      <c r="G2942">
        <f>'R.M Billets Reports'!D2941</f>
      </c>
      <c r="H2942">
        <f>'R.M Billets Reports'!E2941</f>
      </c>
      <c r="I2942">
        <f>'R.M Billets Reports'!F2941</f>
      </c>
      <c r="J2942">
        <f>'R.M Billets Reports'!G2941</f>
      </c>
      <c r="K2942">
        <f>'R.M Billets Reports'!H2941</f>
      </c>
      <c r="L2942">
        <f>IF('R.M Billets Reports'!I2941="","",'R.M Billets Reports'!I2941)</f>
      </c>
      <c r="M2942">
        <f t="shared" si="90"/>
      </c>
      <c r="N2942">
        <f>IF('R.M Billets Reports'!J2941="","",'R.M Billets Reports'!J2941)</f>
      </c>
      <c r="O2942">
        <f t="shared" si="91"/>
      </c>
      <c r="P2942">
        <f>IF('R.M Billets Reports'!A2941="SIZE",'R.M Billets Reports'!B2941,P2941)</f>
      </c>
    </row>
    <row r="2943" spans="1:16" x14ac:dyDescent="0.25">
      <c r="A2943">
        <f>IF(OR('R.M Billets Reports'!A2942="Date-",'R.M Billets Reports'!A2942="Date:-"),IF(IF(IF(ISNUMBER(SEARCH("Party Name:-",'R.M Billets Reports'!D2942)),TRIM('R.M Billets Reports'!F2942),IF(ISNUMBER(SEARCH("Party Name-",'R.M Billets Reports'!D2942)),TRIM(MID('R.M Billets Reports'!D2942,SEARCH("-",'R.M Billets Reports'!D2942)+1,200)),""))&lt;&gt;"",IF(ISNUMBER(SEARCH("Party Name:-",'R.M Billets Reports'!D2942)),TRIM('R.M Billets Reports'!F2942),IF(ISNUMBER(SEARCH("Party Name-",'R.M Billets Reports'!D2942)),TRIM(MID('R.M Billets Reports'!D2942,SEARCH("-",'R.M Billets Reports'!D2942)+1,200)),"")),IF(ISNUMBER(SEARCH("Party Name:-",'R.M Billets Reports'!D2943)),TRIM('R.M Billets Reports'!F2943),IF(ISNUMBER(SEARCH("Party Name-",'R.M Billets Reports'!D2943)),TRIM(MID('R.M Billets Reports'!D2943,SEARCH("-",'R.M Billets Reports'!D2943)+1,200)),"")))="VRKP ISPAT PVT LTD","VRKP",IF(IF(IF(ISNUMBER(SEARCH("Party Name:-",'R.M Billets Reports'!D2942)),TRIM('R.M Billets Reports'!F2942),IF(ISNUMBER(SEARCH("Party Name-",'R.M Billets Reports'!D2942)),TRIM(MID('R.M Billets Reports'!D2942,SEARCH("-",'R.M Billets Reports'!D2942)+1,200)),""))&lt;&gt;"",IF(ISNUMBER(SEARCH("Party Name:-",'R.M Billets Reports'!D2942)),TRIM('R.M Billets Reports'!F2942),IF(ISNUMBER(SEARCH("Party Name-",'R.M Billets Reports'!D2942)),TRIM(MID('R.M Billets Reports'!D2942,SEARCH("-",'R.M Billets Reports'!D2942)+1,200)),"")),IF(ISNUMBER(SEARCH("Party Name:-",'R.M Billets Reports'!D2943)),TRIM('R.M Billets Reports'!F2943),IF(ISNUMBER(SEARCH("Party Name-",'R.M Billets Reports'!D2943)),TRIM(MID('R.M Billets Reports'!D2943,SEARCH("-",'R.M Billets Reports'!D2943)+1,200)),"")))="SHRI RADHE","SHREE RADHE",IF(IF(IF(ISNUMBER(SEARCH("Party Name:-",'R.M Billets Reports'!D2942)),TRIM('R.M Billets Reports'!F2942),IF(ISNUMBER(SEARCH("Party Name-",'R.M Billets Reports'!D2942)),TRIM(MID('R.M Billets Reports'!D2942,SEARCH("-",'R.M Billets Reports'!D2942)+1,200)),""))&lt;&gt;"",IF(ISNUMBER(SEARCH("Party Name:-",'R.M Billets Reports'!D2942)),TRIM('R.M Billets Reports'!F2942),IF(ISNUMBER(SEARCH("Party Name-",'R.M Billets Reports'!D2942)),TRIM(MID('R.M Billets Reports'!D2942,SEARCH("-",'R.M Billets Reports'!D2942)+1,200)),"")),IF(ISNUMBER(SEARCH("Party Name:-",'R.M Billets Reports'!D2943)),TRIM('R.M Billets Reports'!F2943),IF(ISNUMBER(SEARCH("Party Name-",'R.M Billets Reports'!D2943)),TRIM(MID('R.M Billets Reports'!D2943,SEARCH("-",'R.M Billets Reports'!D2943)+1,200)),"")))="SHREE RADHE SHAKTI SPONGE AND POWER PVT. LTD.","SHREE RADHE",IF(IF(ISNUMBER(SEARCH("Party Name:-",'R.M Billets Reports'!D2942)),TRIM('R.M Billets Reports'!F2942),IF(ISNUMBER(SEARCH("Party Name-",'R.M Billets Reports'!D2942)),TRIM(MID('R.M Billets Reports'!D2942,SEARCH("-",'R.M Billets Reports'!D2942)+1,200)),""))&lt;&gt;"",IF(ISNUMBER(SEARCH("Party Name:-",'R.M Billets Reports'!D2942)),TRIM('R.M Billets Reports'!F2942),IF(ISNUMBER(SEARCH("Party Name-",'R.M Billets Reports'!D2942)),TRIM(MID('R.M Billets Reports'!D2942,SEARCH("-",'R.M Billets Reports'!D2942)+1,200)),"")),IF(ISNUMBER(SEARCH("Party Name:-",'R.M Billets Reports'!D2943)),TRIM('R.M Billets Reports'!F2943),IF(ISNUMBER(SEARCH("Party Name-",'R.M Billets Reports'!D2943)),TRIM(MID('R.M Billets Reports'!D2943,SEARCH("-",'R.M Billets Reports'!D2943)+1,200)),"")))))),IF(ROW()=2,"",A2942))</f>
      </c>
      <c r="B2943">
        <f>IF(OR('R.M Billets Reports'!A2942="Date-",'R.M Billets Reports'!A2942="Date:-"),'R.M Billets Reports'!B2942,IF(ROW()=2,"",B2942))</f>
      </c>
      <c r="C2943">
        <f>IF('R.M Billets Reports'!A2942="V.No.",'R.M Billets Reports'!B2942,IF(ROW()=2,"",C2942))</f>
      </c>
      <c r="D2943">
        <f>IF('R.M Billets Reports'!A2942&lt;&gt;"",'R.M Billets Reports'!A2942,IF(ROW()=2,"",D2942))</f>
      </c>
      <c r="E2943">
        <f>IF('R.M Billets Reports'!B2942="","",TRIM('R.M Billets Reports'!B2942))</f>
      </c>
      <c r="F2943">
        <f>'R.M Billets Reports'!C2942</f>
      </c>
      <c r="G2943">
        <f>'R.M Billets Reports'!D2942</f>
      </c>
      <c r="H2943">
        <f>'R.M Billets Reports'!E2942</f>
      </c>
      <c r="I2943">
        <f>'R.M Billets Reports'!F2942</f>
      </c>
      <c r="J2943">
        <f>'R.M Billets Reports'!G2942</f>
      </c>
      <c r="K2943">
        <f>'R.M Billets Reports'!H2942</f>
      </c>
      <c r="L2943">
        <f>IF('R.M Billets Reports'!I2942="","",'R.M Billets Reports'!I2942)</f>
      </c>
      <c r="M2943">
        <f t="shared" si="90"/>
      </c>
      <c r="N2943">
        <f>IF('R.M Billets Reports'!J2942="","",'R.M Billets Reports'!J2942)</f>
      </c>
      <c r="O2943">
        <f t="shared" si="91"/>
      </c>
      <c r="P2943">
        <f>IF('R.M Billets Reports'!A2942="SIZE",'R.M Billets Reports'!B2942,P2942)</f>
      </c>
    </row>
    <row r="2944" spans="1:16" x14ac:dyDescent="0.25">
      <c r="A2944">
        <f>IF(OR('R.M Billets Reports'!A2943="Date-",'R.M Billets Reports'!A2943="Date:-"),IF(IF(IF(ISNUMBER(SEARCH("Party Name:-",'R.M Billets Reports'!D2943)),TRIM('R.M Billets Reports'!F2943),IF(ISNUMBER(SEARCH("Party Name-",'R.M Billets Reports'!D2943)),TRIM(MID('R.M Billets Reports'!D2943,SEARCH("-",'R.M Billets Reports'!D2943)+1,200)),""))&lt;&gt;"",IF(ISNUMBER(SEARCH("Party Name:-",'R.M Billets Reports'!D2943)),TRIM('R.M Billets Reports'!F2943),IF(ISNUMBER(SEARCH("Party Name-",'R.M Billets Reports'!D2943)),TRIM(MID('R.M Billets Reports'!D2943,SEARCH("-",'R.M Billets Reports'!D2943)+1,200)),"")),IF(ISNUMBER(SEARCH("Party Name:-",'R.M Billets Reports'!D2944)),TRIM('R.M Billets Reports'!F2944),IF(ISNUMBER(SEARCH("Party Name-",'R.M Billets Reports'!D2944)),TRIM(MID('R.M Billets Reports'!D2944,SEARCH("-",'R.M Billets Reports'!D2944)+1,200)),"")))="VRKP ISPAT PVT LTD","VRKP",IF(IF(IF(ISNUMBER(SEARCH("Party Name:-",'R.M Billets Reports'!D2943)),TRIM('R.M Billets Reports'!F2943),IF(ISNUMBER(SEARCH("Party Name-",'R.M Billets Reports'!D2943)),TRIM(MID('R.M Billets Reports'!D2943,SEARCH("-",'R.M Billets Reports'!D2943)+1,200)),""))&lt;&gt;"",IF(ISNUMBER(SEARCH("Party Name:-",'R.M Billets Reports'!D2943)),TRIM('R.M Billets Reports'!F2943),IF(ISNUMBER(SEARCH("Party Name-",'R.M Billets Reports'!D2943)),TRIM(MID('R.M Billets Reports'!D2943,SEARCH("-",'R.M Billets Reports'!D2943)+1,200)),"")),IF(ISNUMBER(SEARCH("Party Name:-",'R.M Billets Reports'!D2944)),TRIM('R.M Billets Reports'!F2944),IF(ISNUMBER(SEARCH("Party Name-",'R.M Billets Reports'!D2944)),TRIM(MID('R.M Billets Reports'!D2944,SEARCH("-",'R.M Billets Reports'!D2944)+1,200)),"")))="SHRI RADHE","SHREE RADHE",IF(IF(IF(ISNUMBER(SEARCH("Party Name:-",'R.M Billets Reports'!D2943)),TRIM('R.M Billets Reports'!F2943),IF(ISNUMBER(SEARCH("Party Name-",'R.M Billets Reports'!D2943)),TRIM(MID('R.M Billets Reports'!D2943,SEARCH("-",'R.M Billets Reports'!D2943)+1,200)),""))&lt;&gt;"",IF(ISNUMBER(SEARCH("Party Name:-",'R.M Billets Reports'!D2943)),TRIM('R.M Billets Reports'!F2943),IF(ISNUMBER(SEARCH("Party Name-",'R.M Billets Reports'!D2943)),TRIM(MID('R.M Billets Reports'!D2943,SEARCH("-",'R.M Billets Reports'!D2943)+1,200)),"")),IF(ISNUMBER(SEARCH("Party Name:-",'R.M Billets Reports'!D2944)),TRIM('R.M Billets Reports'!F2944),IF(ISNUMBER(SEARCH("Party Name-",'R.M Billets Reports'!D2944)),TRIM(MID('R.M Billets Reports'!D2944,SEARCH("-",'R.M Billets Reports'!D2944)+1,200)),"")))="SHREE RADHE SHAKTI SPONGE AND POWER PVT. LTD.","SHREE RADHE",IF(IF(ISNUMBER(SEARCH("Party Name:-",'R.M Billets Reports'!D2943)),TRIM('R.M Billets Reports'!F2943),IF(ISNUMBER(SEARCH("Party Name-",'R.M Billets Reports'!D2943)),TRIM(MID('R.M Billets Reports'!D2943,SEARCH("-",'R.M Billets Reports'!D2943)+1,200)),""))&lt;&gt;"",IF(ISNUMBER(SEARCH("Party Name:-",'R.M Billets Reports'!D2943)),TRIM('R.M Billets Reports'!F2943),IF(ISNUMBER(SEARCH("Party Name-",'R.M Billets Reports'!D2943)),TRIM(MID('R.M Billets Reports'!D2943,SEARCH("-",'R.M Billets Reports'!D2943)+1,200)),"")),IF(ISNUMBER(SEARCH("Party Name:-",'R.M Billets Reports'!D2944)),TRIM('R.M Billets Reports'!F2944),IF(ISNUMBER(SEARCH("Party Name-",'R.M Billets Reports'!D2944)),TRIM(MID('R.M Billets Reports'!D2944,SEARCH("-",'R.M Billets Reports'!D2944)+1,200)),"")))))),IF(ROW()=2,"",A2943))</f>
      </c>
      <c r="B2944">
        <f>IF(OR('R.M Billets Reports'!A2943="Date-",'R.M Billets Reports'!A2943="Date:-"),'R.M Billets Reports'!B2943,IF(ROW()=2,"",B2943))</f>
      </c>
      <c r="C2944">
        <f>IF('R.M Billets Reports'!A2943="V.No.",'R.M Billets Reports'!B2943,IF(ROW()=2,"",C2943))</f>
      </c>
      <c r="D2944">
        <f>IF('R.M Billets Reports'!A2943&lt;&gt;"",'R.M Billets Reports'!A2943,IF(ROW()=2,"",D2943))</f>
      </c>
      <c r="E2944">
        <f>IF('R.M Billets Reports'!B2943="","",TRIM('R.M Billets Reports'!B2943))</f>
      </c>
      <c r="F2944">
        <f>'R.M Billets Reports'!C2943</f>
      </c>
      <c r="G2944">
        <f>'R.M Billets Reports'!D2943</f>
      </c>
      <c r="H2944">
        <f>'R.M Billets Reports'!E2943</f>
      </c>
      <c r="I2944">
        <f>'R.M Billets Reports'!F2943</f>
      </c>
      <c r="J2944">
        <f>'R.M Billets Reports'!G2943</f>
      </c>
      <c r="K2944">
        <f>'R.M Billets Reports'!H2943</f>
      </c>
      <c r="L2944">
        <f>IF('R.M Billets Reports'!I2943="","",'R.M Billets Reports'!I2943)</f>
      </c>
      <c r="M2944">
        <f t="shared" si="90"/>
      </c>
      <c r="N2944">
        <f>IF('R.M Billets Reports'!J2943="","",'R.M Billets Reports'!J2943)</f>
      </c>
      <c r="O2944">
        <f t="shared" si="91"/>
      </c>
      <c r="P2944">
        <f>IF('R.M Billets Reports'!A2943="SIZE",'R.M Billets Reports'!B2943,P2943)</f>
      </c>
    </row>
    <row r="2945" spans="1:16" x14ac:dyDescent="0.25">
      <c r="A2945">
        <f>IF(OR('R.M Billets Reports'!A2944="Date-",'R.M Billets Reports'!A2944="Date:-"),IF(IF(IF(ISNUMBER(SEARCH("Party Name:-",'R.M Billets Reports'!D2944)),TRIM('R.M Billets Reports'!F2944),IF(ISNUMBER(SEARCH("Party Name-",'R.M Billets Reports'!D2944)),TRIM(MID('R.M Billets Reports'!D2944,SEARCH("-",'R.M Billets Reports'!D2944)+1,200)),""))&lt;&gt;"",IF(ISNUMBER(SEARCH("Party Name:-",'R.M Billets Reports'!D2944)),TRIM('R.M Billets Reports'!F2944),IF(ISNUMBER(SEARCH("Party Name-",'R.M Billets Reports'!D2944)),TRIM(MID('R.M Billets Reports'!D2944,SEARCH("-",'R.M Billets Reports'!D2944)+1,200)),"")),IF(ISNUMBER(SEARCH("Party Name:-",'R.M Billets Reports'!D2945)),TRIM('R.M Billets Reports'!F2945),IF(ISNUMBER(SEARCH("Party Name-",'R.M Billets Reports'!D2945)),TRIM(MID('R.M Billets Reports'!D2945,SEARCH("-",'R.M Billets Reports'!D2945)+1,200)),"")))="VRKP ISPAT PVT LTD","VRKP",IF(IF(IF(ISNUMBER(SEARCH("Party Name:-",'R.M Billets Reports'!D2944)),TRIM('R.M Billets Reports'!F2944),IF(ISNUMBER(SEARCH("Party Name-",'R.M Billets Reports'!D2944)),TRIM(MID('R.M Billets Reports'!D2944,SEARCH("-",'R.M Billets Reports'!D2944)+1,200)),""))&lt;&gt;"",IF(ISNUMBER(SEARCH("Party Name:-",'R.M Billets Reports'!D2944)),TRIM('R.M Billets Reports'!F2944),IF(ISNUMBER(SEARCH("Party Name-",'R.M Billets Reports'!D2944)),TRIM(MID('R.M Billets Reports'!D2944,SEARCH("-",'R.M Billets Reports'!D2944)+1,200)),"")),IF(ISNUMBER(SEARCH("Party Name:-",'R.M Billets Reports'!D2945)),TRIM('R.M Billets Reports'!F2945),IF(ISNUMBER(SEARCH("Party Name-",'R.M Billets Reports'!D2945)),TRIM(MID('R.M Billets Reports'!D2945,SEARCH("-",'R.M Billets Reports'!D2945)+1,200)),"")))="SHRI RADHE","SHREE RADHE",IF(IF(IF(ISNUMBER(SEARCH("Party Name:-",'R.M Billets Reports'!D2944)),TRIM('R.M Billets Reports'!F2944),IF(ISNUMBER(SEARCH("Party Name-",'R.M Billets Reports'!D2944)),TRIM(MID('R.M Billets Reports'!D2944,SEARCH("-",'R.M Billets Reports'!D2944)+1,200)),""))&lt;&gt;"",IF(ISNUMBER(SEARCH("Party Name:-",'R.M Billets Reports'!D2944)),TRIM('R.M Billets Reports'!F2944),IF(ISNUMBER(SEARCH("Party Name-",'R.M Billets Reports'!D2944)),TRIM(MID('R.M Billets Reports'!D2944,SEARCH("-",'R.M Billets Reports'!D2944)+1,200)),"")),IF(ISNUMBER(SEARCH("Party Name:-",'R.M Billets Reports'!D2945)),TRIM('R.M Billets Reports'!F2945),IF(ISNUMBER(SEARCH("Party Name-",'R.M Billets Reports'!D2945)),TRIM(MID('R.M Billets Reports'!D2945,SEARCH("-",'R.M Billets Reports'!D2945)+1,200)),"")))="SHREE RADHE SHAKTI SPONGE AND POWER PVT. LTD.","SHREE RADHE",IF(IF(ISNUMBER(SEARCH("Party Name:-",'R.M Billets Reports'!D2944)),TRIM('R.M Billets Reports'!F2944),IF(ISNUMBER(SEARCH("Party Name-",'R.M Billets Reports'!D2944)),TRIM(MID('R.M Billets Reports'!D2944,SEARCH("-",'R.M Billets Reports'!D2944)+1,200)),""))&lt;&gt;"",IF(ISNUMBER(SEARCH("Party Name:-",'R.M Billets Reports'!D2944)),TRIM('R.M Billets Reports'!F2944),IF(ISNUMBER(SEARCH("Party Name-",'R.M Billets Reports'!D2944)),TRIM(MID('R.M Billets Reports'!D2944,SEARCH("-",'R.M Billets Reports'!D2944)+1,200)),"")),IF(ISNUMBER(SEARCH("Party Name:-",'R.M Billets Reports'!D2945)),TRIM('R.M Billets Reports'!F2945),IF(ISNUMBER(SEARCH("Party Name-",'R.M Billets Reports'!D2945)),TRIM(MID('R.M Billets Reports'!D2945,SEARCH("-",'R.M Billets Reports'!D2945)+1,200)),"")))))),IF(ROW()=2,"",A2944))</f>
      </c>
      <c r="B2945">
        <f>IF(OR('R.M Billets Reports'!A2944="Date-",'R.M Billets Reports'!A2944="Date:-"),'R.M Billets Reports'!B2944,IF(ROW()=2,"",B2944))</f>
      </c>
      <c r="C2945">
        <f>IF('R.M Billets Reports'!A2944="V.No.",'R.M Billets Reports'!B2944,IF(ROW()=2,"",C2944))</f>
      </c>
      <c r="D2945">
        <f>IF('R.M Billets Reports'!A2944&lt;&gt;"",'R.M Billets Reports'!A2944,IF(ROW()=2,"",D2944))</f>
      </c>
      <c r="E2945">
        <f>IF('R.M Billets Reports'!B2944="","",TRIM('R.M Billets Reports'!B2944))</f>
      </c>
      <c r="F2945">
        <f>'R.M Billets Reports'!C2944</f>
      </c>
      <c r="G2945">
        <f>'R.M Billets Reports'!D2944</f>
      </c>
      <c r="H2945">
        <f>'R.M Billets Reports'!E2944</f>
      </c>
      <c r="I2945">
        <f>'R.M Billets Reports'!F2944</f>
      </c>
      <c r="J2945">
        <f>'R.M Billets Reports'!G2944</f>
      </c>
      <c r="K2945">
        <f>'R.M Billets Reports'!H2944</f>
      </c>
      <c r="L2945">
        <f>IF('R.M Billets Reports'!I2944="","",'R.M Billets Reports'!I2944)</f>
      </c>
      <c r="M2945">
        <f t="shared" si="90"/>
      </c>
      <c r="N2945">
        <f>IF('R.M Billets Reports'!J2944="","",'R.M Billets Reports'!J2944)</f>
      </c>
      <c r="O2945">
        <f t="shared" si="91"/>
      </c>
      <c r="P2945">
        <f>IF('R.M Billets Reports'!A2944="SIZE",'R.M Billets Reports'!B2944,P2944)</f>
      </c>
    </row>
    <row r="2946" spans="1:16" x14ac:dyDescent="0.25">
      <c r="A2946">
        <f>IF(OR('R.M Billets Reports'!A2945="Date-",'R.M Billets Reports'!A2945="Date:-"),IF(IF(IF(ISNUMBER(SEARCH("Party Name:-",'R.M Billets Reports'!D2945)),TRIM('R.M Billets Reports'!F2945),IF(ISNUMBER(SEARCH("Party Name-",'R.M Billets Reports'!D2945)),TRIM(MID('R.M Billets Reports'!D2945,SEARCH("-",'R.M Billets Reports'!D2945)+1,200)),""))&lt;&gt;"",IF(ISNUMBER(SEARCH("Party Name:-",'R.M Billets Reports'!D2945)),TRIM('R.M Billets Reports'!F2945),IF(ISNUMBER(SEARCH("Party Name-",'R.M Billets Reports'!D2945)),TRIM(MID('R.M Billets Reports'!D2945,SEARCH("-",'R.M Billets Reports'!D2945)+1,200)),"")),IF(ISNUMBER(SEARCH("Party Name:-",'R.M Billets Reports'!D2946)),TRIM('R.M Billets Reports'!F2946),IF(ISNUMBER(SEARCH("Party Name-",'R.M Billets Reports'!D2946)),TRIM(MID('R.M Billets Reports'!D2946,SEARCH("-",'R.M Billets Reports'!D2946)+1,200)),"")))="VRKP ISPAT PVT LTD","VRKP",IF(IF(IF(ISNUMBER(SEARCH("Party Name:-",'R.M Billets Reports'!D2945)),TRIM('R.M Billets Reports'!F2945),IF(ISNUMBER(SEARCH("Party Name-",'R.M Billets Reports'!D2945)),TRIM(MID('R.M Billets Reports'!D2945,SEARCH("-",'R.M Billets Reports'!D2945)+1,200)),""))&lt;&gt;"",IF(ISNUMBER(SEARCH("Party Name:-",'R.M Billets Reports'!D2945)),TRIM('R.M Billets Reports'!F2945),IF(ISNUMBER(SEARCH("Party Name-",'R.M Billets Reports'!D2945)),TRIM(MID('R.M Billets Reports'!D2945,SEARCH("-",'R.M Billets Reports'!D2945)+1,200)),"")),IF(ISNUMBER(SEARCH("Party Name:-",'R.M Billets Reports'!D2946)),TRIM('R.M Billets Reports'!F2946),IF(ISNUMBER(SEARCH("Party Name-",'R.M Billets Reports'!D2946)),TRIM(MID('R.M Billets Reports'!D2946,SEARCH("-",'R.M Billets Reports'!D2946)+1,200)),"")))="SHRI RADHE","SHREE RADHE",IF(IF(IF(ISNUMBER(SEARCH("Party Name:-",'R.M Billets Reports'!D2945)),TRIM('R.M Billets Reports'!F2945),IF(ISNUMBER(SEARCH("Party Name-",'R.M Billets Reports'!D2945)),TRIM(MID('R.M Billets Reports'!D2945,SEARCH("-",'R.M Billets Reports'!D2945)+1,200)),""))&lt;&gt;"",IF(ISNUMBER(SEARCH("Party Name:-",'R.M Billets Reports'!D2945)),TRIM('R.M Billets Reports'!F2945),IF(ISNUMBER(SEARCH("Party Name-",'R.M Billets Reports'!D2945)),TRIM(MID('R.M Billets Reports'!D2945,SEARCH("-",'R.M Billets Reports'!D2945)+1,200)),"")),IF(ISNUMBER(SEARCH("Party Name:-",'R.M Billets Reports'!D2946)),TRIM('R.M Billets Reports'!F2946),IF(ISNUMBER(SEARCH("Party Name-",'R.M Billets Reports'!D2946)),TRIM(MID('R.M Billets Reports'!D2946,SEARCH("-",'R.M Billets Reports'!D2946)+1,200)),"")))="SHREE RADHE SHAKTI SPONGE AND POWER PVT. LTD.","SHREE RADHE",IF(IF(ISNUMBER(SEARCH("Party Name:-",'R.M Billets Reports'!D2945)),TRIM('R.M Billets Reports'!F2945),IF(ISNUMBER(SEARCH("Party Name-",'R.M Billets Reports'!D2945)),TRIM(MID('R.M Billets Reports'!D2945,SEARCH("-",'R.M Billets Reports'!D2945)+1,200)),""))&lt;&gt;"",IF(ISNUMBER(SEARCH("Party Name:-",'R.M Billets Reports'!D2945)),TRIM('R.M Billets Reports'!F2945),IF(ISNUMBER(SEARCH("Party Name-",'R.M Billets Reports'!D2945)),TRIM(MID('R.M Billets Reports'!D2945,SEARCH("-",'R.M Billets Reports'!D2945)+1,200)),"")),IF(ISNUMBER(SEARCH("Party Name:-",'R.M Billets Reports'!D2946)),TRIM('R.M Billets Reports'!F2946),IF(ISNUMBER(SEARCH("Party Name-",'R.M Billets Reports'!D2946)),TRIM(MID('R.M Billets Reports'!D2946,SEARCH("-",'R.M Billets Reports'!D2946)+1,200)),"")))))),IF(ROW()=2,"",A2945))</f>
      </c>
      <c r="B2946">
        <f>IF(OR('R.M Billets Reports'!A2945="Date-",'R.M Billets Reports'!A2945="Date:-"),'R.M Billets Reports'!B2945,IF(ROW()=2,"",B2945))</f>
      </c>
      <c r="C2946">
        <f>IF('R.M Billets Reports'!A2945="V.No.",'R.M Billets Reports'!B2945,IF(ROW()=2,"",C2945))</f>
      </c>
      <c r="D2946">
        <f>IF('R.M Billets Reports'!A2945&lt;&gt;"",'R.M Billets Reports'!A2945,IF(ROW()=2,"",D2945))</f>
      </c>
      <c r="E2946">
        <f>IF('R.M Billets Reports'!B2945="","",TRIM('R.M Billets Reports'!B2945))</f>
      </c>
      <c r="F2946">
        <f>'R.M Billets Reports'!C2945</f>
      </c>
      <c r="G2946">
        <f>'R.M Billets Reports'!D2945</f>
      </c>
      <c r="H2946">
        <f>'R.M Billets Reports'!E2945</f>
      </c>
      <c r="I2946">
        <f>'R.M Billets Reports'!F2945</f>
      </c>
      <c r="J2946">
        <f>'R.M Billets Reports'!G2945</f>
      </c>
      <c r="K2946">
        <f>'R.M Billets Reports'!H2945</f>
      </c>
      <c r="L2946">
        <f>IF('R.M Billets Reports'!I2945="","",'R.M Billets Reports'!I2945)</f>
      </c>
      <c r="M2946">
        <f t="shared" si="90"/>
      </c>
      <c r="N2946">
        <f>IF('R.M Billets Reports'!J2945="","",'R.M Billets Reports'!J2945)</f>
      </c>
      <c r="O2946">
        <f t="shared" si="91"/>
      </c>
      <c r="P2946">
        <f>IF('R.M Billets Reports'!A2945="SIZE",'R.M Billets Reports'!B2945,P2945)</f>
      </c>
    </row>
    <row r="2947" spans="1:16" x14ac:dyDescent="0.25">
      <c r="A2947">
        <f>IF(OR('R.M Billets Reports'!A2946="Date-",'R.M Billets Reports'!A2946="Date:-"),IF(IF(IF(ISNUMBER(SEARCH("Party Name:-",'R.M Billets Reports'!D2946)),TRIM('R.M Billets Reports'!F2946),IF(ISNUMBER(SEARCH("Party Name-",'R.M Billets Reports'!D2946)),TRIM(MID('R.M Billets Reports'!D2946,SEARCH("-",'R.M Billets Reports'!D2946)+1,200)),""))&lt;&gt;"",IF(ISNUMBER(SEARCH("Party Name:-",'R.M Billets Reports'!D2946)),TRIM('R.M Billets Reports'!F2946),IF(ISNUMBER(SEARCH("Party Name-",'R.M Billets Reports'!D2946)),TRIM(MID('R.M Billets Reports'!D2946,SEARCH("-",'R.M Billets Reports'!D2946)+1,200)),"")),IF(ISNUMBER(SEARCH("Party Name:-",'R.M Billets Reports'!D2947)),TRIM('R.M Billets Reports'!F2947),IF(ISNUMBER(SEARCH("Party Name-",'R.M Billets Reports'!D2947)),TRIM(MID('R.M Billets Reports'!D2947,SEARCH("-",'R.M Billets Reports'!D2947)+1,200)),"")))="VRKP ISPAT PVT LTD","VRKP",IF(IF(IF(ISNUMBER(SEARCH("Party Name:-",'R.M Billets Reports'!D2946)),TRIM('R.M Billets Reports'!F2946),IF(ISNUMBER(SEARCH("Party Name-",'R.M Billets Reports'!D2946)),TRIM(MID('R.M Billets Reports'!D2946,SEARCH("-",'R.M Billets Reports'!D2946)+1,200)),""))&lt;&gt;"",IF(ISNUMBER(SEARCH("Party Name:-",'R.M Billets Reports'!D2946)),TRIM('R.M Billets Reports'!F2946),IF(ISNUMBER(SEARCH("Party Name-",'R.M Billets Reports'!D2946)),TRIM(MID('R.M Billets Reports'!D2946,SEARCH("-",'R.M Billets Reports'!D2946)+1,200)),"")),IF(ISNUMBER(SEARCH("Party Name:-",'R.M Billets Reports'!D2947)),TRIM('R.M Billets Reports'!F2947),IF(ISNUMBER(SEARCH("Party Name-",'R.M Billets Reports'!D2947)),TRIM(MID('R.M Billets Reports'!D2947,SEARCH("-",'R.M Billets Reports'!D2947)+1,200)),"")))="SHRI RADHE","SHREE RADHE",IF(IF(IF(ISNUMBER(SEARCH("Party Name:-",'R.M Billets Reports'!D2946)),TRIM('R.M Billets Reports'!F2946),IF(ISNUMBER(SEARCH("Party Name-",'R.M Billets Reports'!D2946)),TRIM(MID('R.M Billets Reports'!D2946,SEARCH("-",'R.M Billets Reports'!D2946)+1,200)),""))&lt;&gt;"",IF(ISNUMBER(SEARCH("Party Name:-",'R.M Billets Reports'!D2946)),TRIM('R.M Billets Reports'!F2946),IF(ISNUMBER(SEARCH("Party Name-",'R.M Billets Reports'!D2946)),TRIM(MID('R.M Billets Reports'!D2946,SEARCH("-",'R.M Billets Reports'!D2946)+1,200)),"")),IF(ISNUMBER(SEARCH("Party Name:-",'R.M Billets Reports'!D2947)),TRIM('R.M Billets Reports'!F2947),IF(ISNUMBER(SEARCH("Party Name-",'R.M Billets Reports'!D2947)),TRIM(MID('R.M Billets Reports'!D2947,SEARCH("-",'R.M Billets Reports'!D2947)+1,200)),"")))="SHREE RADHE SHAKTI SPONGE AND POWER PVT. LTD.","SHREE RADHE",IF(IF(ISNUMBER(SEARCH("Party Name:-",'R.M Billets Reports'!D2946)),TRIM('R.M Billets Reports'!F2946),IF(ISNUMBER(SEARCH("Party Name-",'R.M Billets Reports'!D2946)),TRIM(MID('R.M Billets Reports'!D2946,SEARCH("-",'R.M Billets Reports'!D2946)+1,200)),""))&lt;&gt;"",IF(ISNUMBER(SEARCH("Party Name:-",'R.M Billets Reports'!D2946)),TRIM('R.M Billets Reports'!F2946),IF(ISNUMBER(SEARCH("Party Name-",'R.M Billets Reports'!D2946)),TRIM(MID('R.M Billets Reports'!D2946,SEARCH("-",'R.M Billets Reports'!D2946)+1,200)),"")),IF(ISNUMBER(SEARCH("Party Name:-",'R.M Billets Reports'!D2947)),TRIM('R.M Billets Reports'!F2947),IF(ISNUMBER(SEARCH("Party Name-",'R.M Billets Reports'!D2947)),TRIM(MID('R.M Billets Reports'!D2947,SEARCH("-",'R.M Billets Reports'!D2947)+1,200)),"")))))),IF(ROW()=2,"",A2946))</f>
      </c>
      <c r="B2947">
        <f>IF(OR('R.M Billets Reports'!A2946="Date-",'R.M Billets Reports'!A2946="Date:-"),'R.M Billets Reports'!B2946,IF(ROW()=2,"",B2946))</f>
      </c>
      <c r="C2947">
        <f>IF('R.M Billets Reports'!A2946="V.No.",'R.M Billets Reports'!B2946,IF(ROW()=2,"",C2946))</f>
      </c>
      <c r="D2947">
        <f>IF('R.M Billets Reports'!A2946&lt;&gt;"",'R.M Billets Reports'!A2946,IF(ROW()=2,"",D2946))</f>
      </c>
      <c r="E2947">
        <f>IF('R.M Billets Reports'!B2946="","",TRIM('R.M Billets Reports'!B2946))</f>
      </c>
      <c r="F2947">
        <f>'R.M Billets Reports'!C2946</f>
      </c>
      <c r="G2947">
        <f>'R.M Billets Reports'!D2946</f>
      </c>
      <c r="H2947">
        <f>'R.M Billets Reports'!E2946</f>
      </c>
      <c r="I2947">
        <f>'R.M Billets Reports'!F2946</f>
      </c>
      <c r="J2947">
        <f>'R.M Billets Reports'!G2946</f>
      </c>
      <c r="K2947">
        <f>'R.M Billets Reports'!H2946</f>
      </c>
      <c r="L2947">
        <f>IF('R.M Billets Reports'!I2946="","",'R.M Billets Reports'!I2946)</f>
      </c>
      <c r="M2947">
        <f t="shared" ref="M2947:M3001" si="92">IF(L2947&lt;&gt;"",L2947,IF(D2947=D2946,M2946,""))</f>
      </c>
      <c r="N2947">
        <f>IF('R.M Billets Reports'!J2946="","",'R.M Billets Reports'!J2946)</f>
      </c>
      <c r="O2947">
        <f t="shared" ref="O2947:O3001" si="93">IF(N2947&lt;&gt;"",N2947,IF(D2947=D2946,O2946,""))</f>
      </c>
      <c r="P2947">
        <f>IF('R.M Billets Reports'!A2946="SIZE",'R.M Billets Reports'!B2946,P2946)</f>
      </c>
    </row>
    <row r="2948" spans="1:16" x14ac:dyDescent="0.25">
      <c r="A2948">
        <f>IF(OR('R.M Billets Reports'!A2947="Date-",'R.M Billets Reports'!A2947="Date:-"),IF(IF(IF(ISNUMBER(SEARCH("Party Name:-",'R.M Billets Reports'!D2947)),TRIM('R.M Billets Reports'!F2947),IF(ISNUMBER(SEARCH("Party Name-",'R.M Billets Reports'!D2947)),TRIM(MID('R.M Billets Reports'!D2947,SEARCH("-",'R.M Billets Reports'!D2947)+1,200)),""))&lt;&gt;"",IF(ISNUMBER(SEARCH("Party Name:-",'R.M Billets Reports'!D2947)),TRIM('R.M Billets Reports'!F2947),IF(ISNUMBER(SEARCH("Party Name-",'R.M Billets Reports'!D2947)),TRIM(MID('R.M Billets Reports'!D2947,SEARCH("-",'R.M Billets Reports'!D2947)+1,200)),"")),IF(ISNUMBER(SEARCH("Party Name:-",'R.M Billets Reports'!D2948)),TRIM('R.M Billets Reports'!F2948),IF(ISNUMBER(SEARCH("Party Name-",'R.M Billets Reports'!D2948)),TRIM(MID('R.M Billets Reports'!D2948,SEARCH("-",'R.M Billets Reports'!D2948)+1,200)),"")))="VRKP ISPAT PVT LTD","VRKP",IF(IF(IF(ISNUMBER(SEARCH("Party Name:-",'R.M Billets Reports'!D2947)),TRIM('R.M Billets Reports'!F2947),IF(ISNUMBER(SEARCH("Party Name-",'R.M Billets Reports'!D2947)),TRIM(MID('R.M Billets Reports'!D2947,SEARCH("-",'R.M Billets Reports'!D2947)+1,200)),""))&lt;&gt;"",IF(ISNUMBER(SEARCH("Party Name:-",'R.M Billets Reports'!D2947)),TRIM('R.M Billets Reports'!F2947),IF(ISNUMBER(SEARCH("Party Name-",'R.M Billets Reports'!D2947)),TRIM(MID('R.M Billets Reports'!D2947,SEARCH("-",'R.M Billets Reports'!D2947)+1,200)),"")),IF(ISNUMBER(SEARCH("Party Name:-",'R.M Billets Reports'!D2948)),TRIM('R.M Billets Reports'!F2948),IF(ISNUMBER(SEARCH("Party Name-",'R.M Billets Reports'!D2948)),TRIM(MID('R.M Billets Reports'!D2948,SEARCH("-",'R.M Billets Reports'!D2948)+1,200)),"")))="SHRI RADHE","SHREE RADHE",IF(IF(IF(ISNUMBER(SEARCH("Party Name:-",'R.M Billets Reports'!D2947)),TRIM('R.M Billets Reports'!F2947),IF(ISNUMBER(SEARCH("Party Name-",'R.M Billets Reports'!D2947)),TRIM(MID('R.M Billets Reports'!D2947,SEARCH("-",'R.M Billets Reports'!D2947)+1,200)),""))&lt;&gt;"",IF(ISNUMBER(SEARCH("Party Name:-",'R.M Billets Reports'!D2947)),TRIM('R.M Billets Reports'!F2947),IF(ISNUMBER(SEARCH("Party Name-",'R.M Billets Reports'!D2947)),TRIM(MID('R.M Billets Reports'!D2947,SEARCH("-",'R.M Billets Reports'!D2947)+1,200)),"")),IF(ISNUMBER(SEARCH("Party Name:-",'R.M Billets Reports'!D2948)),TRIM('R.M Billets Reports'!F2948),IF(ISNUMBER(SEARCH("Party Name-",'R.M Billets Reports'!D2948)),TRIM(MID('R.M Billets Reports'!D2948,SEARCH("-",'R.M Billets Reports'!D2948)+1,200)),"")))="SHREE RADHE SHAKTI SPONGE AND POWER PVT. LTD.","SHREE RADHE",IF(IF(ISNUMBER(SEARCH("Party Name:-",'R.M Billets Reports'!D2947)),TRIM('R.M Billets Reports'!F2947),IF(ISNUMBER(SEARCH("Party Name-",'R.M Billets Reports'!D2947)),TRIM(MID('R.M Billets Reports'!D2947,SEARCH("-",'R.M Billets Reports'!D2947)+1,200)),""))&lt;&gt;"",IF(ISNUMBER(SEARCH("Party Name:-",'R.M Billets Reports'!D2947)),TRIM('R.M Billets Reports'!F2947),IF(ISNUMBER(SEARCH("Party Name-",'R.M Billets Reports'!D2947)),TRIM(MID('R.M Billets Reports'!D2947,SEARCH("-",'R.M Billets Reports'!D2947)+1,200)),"")),IF(ISNUMBER(SEARCH("Party Name:-",'R.M Billets Reports'!D2948)),TRIM('R.M Billets Reports'!F2948),IF(ISNUMBER(SEARCH("Party Name-",'R.M Billets Reports'!D2948)),TRIM(MID('R.M Billets Reports'!D2948,SEARCH("-",'R.M Billets Reports'!D2948)+1,200)),"")))))),IF(ROW()=2,"",A2947))</f>
      </c>
      <c r="B2948">
        <f>IF(OR('R.M Billets Reports'!A2947="Date-",'R.M Billets Reports'!A2947="Date:-"),'R.M Billets Reports'!B2947,IF(ROW()=2,"",B2947))</f>
      </c>
      <c r="C2948">
        <f>IF('R.M Billets Reports'!A2947="V.No.",'R.M Billets Reports'!B2947,IF(ROW()=2,"",C2947))</f>
      </c>
      <c r="D2948">
        <f>IF('R.M Billets Reports'!A2947&lt;&gt;"",'R.M Billets Reports'!A2947,IF(ROW()=2,"",D2947))</f>
      </c>
      <c r="E2948">
        <f>IF('R.M Billets Reports'!B2947="","",TRIM('R.M Billets Reports'!B2947))</f>
      </c>
      <c r="F2948">
        <f>'R.M Billets Reports'!C2947</f>
      </c>
      <c r="G2948">
        <f>'R.M Billets Reports'!D2947</f>
      </c>
      <c r="H2948">
        <f>'R.M Billets Reports'!E2947</f>
      </c>
      <c r="I2948">
        <f>'R.M Billets Reports'!F2947</f>
      </c>
      <c r="J2948">
        <f>'R.M Billets Reports'!G2947</f>
      </c>
      <c r="K2948">
        <f>'R.M Billets Reports'!H2947</f>
      </c>
      <c r="L2948">
        <f>IF('R.M Billets Reports'!I2947="","",'R.M Billets Reports'!I2947)</f>
      </c>
      <c r="M2948">
        <f t="shared" si="92"/>
      </c>
      <c r="N2948">
        <f>IF('R.M Billets Reports'!J2947="","",'R.M Billets Reports'!J2947)</f>
      </c>
      <c r="O2948">
        <f t="shared" si="93"/>
      </c>
      <c r="P2948">
        <f>IF('R.M Billets Reports'!A2947="SIZE",'R.M Billets Reports'!B2947,P2947)</f>
      </c>
    </row>
    <row r="2949" spans="1:16" x14ac:dyDescent="0.25">
      <c r="A2949">
        <f>IF(OR('R.M Billets Reports'!A2948="Date-",'R.M Billets Reports'!A2948="Date:-"),IF(IF(IF(ISNUMBER(SEARCH("Party Name:-",'R.M Billets Reports'!D2948)),TRIM('R.M Billets Reports'!F2948),IF(ISNUMBER(SEARCH("Party Name-",'R.M Billets Reports'!D2948)),TRIM(MID('R.M Billets Reports'!D2948,SEARCH("-",'R.M Billets Reports'!D2948)+1,200)),""))&lt;&gt;"",IF(ISNUMBER(SEARCH("Party Name:-",'R.M Billets Reports'!D2948)),TRIM('R.M Billets Reports'!F2948),IF(ISNUMBER(SEARCH("Party Name-",'R.M Billets Reports'!D2948)),TRIM(MID('R.M Billets Reports'!D2948,SEARCH("-",'R.M Billets Reports'!D2948)+1,200)),"")),IF(ISNUMBER(SEARCH("Party Name:-",'R.M Billets Reports'!D2949)),TRIM('R.M Billets Reports'!F2949),IF(ISNUMBER(SEARCH("Party Name-",'R.M Billets Reports'!D2949)),TRIM(MID('R.M Billets Reports'!D2949,SEARCH("-",'R.M Billets Reports'!D2949)+1,200)),"")))="VRKP ISPAT PVT LTD","VRKP",IF(IF(IF(ISNUMBER(SEARCH("Party Name:-",'R.M Billets Reports'!D2948)),TRIM('R.M Billets Reports'!F2948),IF(ISNUMBER(SEARCH("Party Name-",'R.M Billets Reports'!D2948)),TRIM(MID('R.M Billets Reports'!D2948,SEARCH("-",'R.M Billets Reports'!D2948)+1,200)),""))&lt;&gt;"",IF(ISNUMBER(SEARCH("Party Name:-",'R.M Billets Reports'!D2948)),TRIM('R.M Billets Reports'!F2948),IF(ISNUMBER(SEARCH("Party Name-",'R.M Billets Reports'!D2948)),TRIM(MID('R.M Billets Reports'!D2948,SEARCH("-",'R.M Billets Reports'!D2948)+1,200)),"")),IF(ISNUMBER(SEARCH("Party Name:-",'R.M Billets Reports'!D2949)),TRIM('R.M Billets Reports'!F2949),IF(ISNUMBER(SEARCH("Party Name-",'R.M Billets Reports'!D2949)),TRIM(MID('R.M Billets Reports'!D2949,SEARCH("-",'R.M Billets Reports'!D2949)+1,200)),"")))="SHRI RADHE","SHREE RADHE",IF(IF(IF(ISNUMBER(SEARCH("Party Name:-",'R.M Billets Reports'!D2948)),TRIM('R.M Billets Reports'!F2948),IF(ISNUMBER(SEARCH("Party Name-",'R.M Billets Reports'!D2948)),TRIM(MID('R.M Billets Reports'!D2948,SEARCH("-",'R.M Billets Reports'!D2948)+1,200)),""))&lt;&gt;"",IF(ISNUMBER(SEARCH("Party Name:-",'R.M Billets Reports'!D2948)),TRIM('R.M Billets Reports'!F2948),IF(ISNUMBER(SEARCH("Party Name-",'R.M Billets Reports'!D2948)),TRIM(MID('R.M Billets Reports'!D2948,SEARCH("-",'R.M Billets Reports'!D2948)+1,200)),"")),IF(ISNUMBER(SEARCH("Party Name:-",'R.M Billets Reports'!D2949)),TRIM('R.M Billets Reports'!F2949),IF(ISNUMBER(SEARCH("Party Name-",'R.M Billets Reports'!D2949)),TRIM(MID('R.M Billets Reports'!D2949,SEARCH("-",'R.M Billets Reports'!D2949)+1,200)),"")))="SHREE RADHE SHAKTI SPONGE AND POWER PVT. LTD.","SHREE RADHE",IF(IF(ISNUMBER(SEARCH("Party Name:-",'R.M Billets Reports'!D2948)),TRIM('R.M Billets Reports'!F2948),IF(ISNUMBER(SEARCH("Party Name-",'R.M Billets Reports'!D2948)),TRIM(MID('R.M Billets Reports'!D2948,SEARCH("-",'R.M Billets Reports'!D2948)+1,200)),""))&lt;&gt;"",IF(ISNUMBER(SEARCH("Party Name:-",'R.M Billets Reports'!D2948)),TRIM('R.M Billets Reports'!F2948),IF(ISNUMBER(SEARCH("Party Name-",'R.M Billets Reports'!D2948)),TRIM(MID('R.M Billets Reports'!D2948,SEARCH("-",'R.M Billets Reports'!D2948)+1,200)),"")),IF(ISNUMBER(SEARCH("Party Name:-",'R.M Billets Reports'!D2949)),TRIM('R.M Billets Reports'!F2949),IF(ISNUMBER(SEARCH("Party Name-",'R.M Billets Reports'!D2949)),TRIM(MID('R.M Billets Reports'!D2949,SEARCH("-",'R.M Billets Reports'!D2949)+1,200)),"")))))),IF(ROW()=2,"",A2948))</f>
      </c>
      <c r="B2949">
        <f>IF(OR('R.M Billets Reports'!A2948="Date-",'R.M Billets Reports'!A2948="Date:-"),'R.M Billets Reports'!B2948,IF(ROW()=2,"",B2948))</f>
      </c>
      <c r="C2949">
        <f>IF('R.M Billets Reports'!A2948="V.No.",'R.M Billets Reports'!B2948,IF(ROW()=2,"",C2948))</f>
      </c>
      <c r="D2949">
        <f>IF('R.M Billets Reports'!A2948&lt;&gt;"",'R.M Billets Reports'!A2948,IF(ROW()=2,"",D2948))</f>
      </c>
      <c r="E2949">
        <f>IF('R.M Billets Reports'!B2948="","",TRIM('R.M Billets Reports'!B2948))</f>
      </c>
      <c r="F2949">
        <f>'R.M Billets Reports'!C2948</f>
      </c>
      <c r="G2949">
        <f>'R.M Billets Reports'!D2948</f>
      </c>
      <c r="H2949">
        <f>'R.M Billets Reports'!E2948</f>
      </c>
      <c r="I2949">
        <f>'R.M Billets Reports'!F2948</f>
      </c>
      <c r="J2949">
        <f>'R.M Billets Reports'!G2948</f>
      </c>
      <c r="K2949">
        <f>'R.M Billets Reports'!H2948</f>
      </c>
      <c r="L2949">
        <f>IF('R.M Billets Reports'!I2948="","",'R.M Billets Reports'!I2948)</f>
      </c>
      <c r="M2949">
        <f t="shared" si="92"/>
      </c>
      <c r="N2949">
        <f>IF('R.M Billets Reports'!J2948="","",'R.M Billets Reports'!J2948)</f>
      </c>
      <c r="O2949">
        <f t="shared" si="93"/>
      </c>
      <c r="P2949">
        <f>IF('R.M Billets Reports'!A2948="SIZE",'R.M Billets Reports'!B2948,P2948)</f>
      </c>
    </row>
    <row r="2950" spans="1:16" x14ac:dyDescent="0.25">
      <c r="A2950">
        <f>IF(OR('R.M Billets Reports'!A2949="Date-",'R.M Billets Reports'!A2949="Date:-"),IF(IF(IF(ISNUMBER(SEARCH("Party Name:-",'R.M Billets Reports'!D2949)),TRIM('R.M Billets Reports'!F2949),IF(ISNUMBER(SEARCH("Party Name-",'R.M Billets Reports'!D2949)),TRIM(MID('R.M Billets Reports'!D2949,SEARCH("-",'R.M Billets Reports'!D2949)+1,200)),""))&lt;&gt;"",IF(ISNUMBER(SEARCH("Party Name:-",'R.M Billets Reports'!D2949)),TRIM('R.M Billets Reports'!F2949),IF(ISNUMBER(SEARCH("Party Name-",'R.M Billets Reports'!D2949)),TRIM(MID('R.M Billets Reports'!D2949,SEARCH("-",'R.M Billets Reports'!D2949)+1,200)),"")),IF(ISNUMBER(SEARCH("Party Name:-",'R.M Billets Reports'!D2950)),TRIM('R.M Billets Reports'!F2950),IF(ISNUMBER(SEARCH("Party Name-",'R.M Billets Reports'!D2950)),TRIM(MID('R.M Billets Reports'!D2950,SEARCH("-",'R.M Billets Reports'!D2950)+1,200)),"")))="VRKP ISPAT PVT LTD","VRKP",IF(IF(IF(ISNUMBER(SEARCH("Party Name:-",'R.M Billets Reports'!D2949)),TRIM('R.M Billets Reports'!F2949),IF(ISNUMBER(SEARCH("Party Name-",'R.M Billets Reports'!D2949)),TRIM(MID('R.M Billets Reports'!D2949,SEARCH("-",'R.M Billets Reports'!D2949)+1,200)),""))&lt;&gt;"",IF(ISNUMBER(SEARCH("Party Name:-",'R.M Billets Reports'!D2949)),TRIM('R.M Billets Reports'!F2949),IF(ISNUMBER(SEARCH("Party Name-",'R.M Billets Reports'!D2949)),TRIM(MID('R.M Billets Reports'!D2949,SEARCH("-",'R.M Billets Reports'!D2949)+1,200)),"")),IF(ISNUMBER(SEARCH("Party Name:-",'R.M Billets Reports'!D2950)),TRIM('R.M Billets Reports'!F2950),IF(ISNUMBER(SEARCH("Party Name-",'R.M Billets Reports'!D2950)),TRIM(MID('R.M Billets Reports'!D2950,SEARCH("-",'R.M Billets Reports'!D2950)+1,200)),"")))="SHRI RADHE","SHREE RADHE",IF(IF(IF(ISNUMBER(SEARCH("Party Name:-",'R.M Billets Reports'!D2949)),TRIM('R.M Billets Reports'!F2949),IF(ISNUMBER(SEARCH("Party Name-",'R.M Billets Reports'!D2949)),TRIM(MID('R.M Billets Reports'!D2949,SEARCH("-",'R.M Billets Reports'!D2949)+1,200)),""))&lt;&gt;"",IF(ISNUMBER(SEARCH("Party Name:-",'R.M Billets Reports'!D2949)),TRIM('R.M Billets Reports'!F2949),IF(ISNUMBER(SEARCH("Party Name-",'R.M Billets Reports'!D2949)),TRIM(MID('R.M Billets Reports'!D2949,SEARCH("-",'R.M Billets Reports'!D2949)+1,200)),"")),IF(ISNUMBER(SEARCH("Party Name:-",'R.M Billets Reports'!D2950)),TRIM('R.M Billets Reports'!F2950),IF(ISNUMBER(SEARCH("Party Name-",'R.M Billets Reports'!D2950)),TRIM(MID('R.M Billets Reports'!D2950,SEARCH("-",'R.M Billets Reports'!D2950)+1,200)),"")))="SHREE RADHE SHAKTI SPONGE AND POWER PVT. LTD.","SHREE RADHE",IF(IF(ISNUMBER(SEARCH("Party Name:-",'R.M Billets Reports'!D2949)),TRIM('R.M Billets Reports'!F2949),IF(ISNUMBER(SEARCH("Party Name-",'R.M Billets Reports'!D2949)),TRIM(MID('R.M Billets Reports'!D2949,SEARCH("-",'R.M Billets Reports'!D2949)+1,200)),""))&lt;&gt;"",IF(ISNUMBER(SEARCH("Party Name:-",'R.M Billets Reports'!D2949)),TRIM('R.M Billets Reports'!F2949),IF(ISNUMBER(SEARCH("Party Name-",'R.M Billets Reports'!D2949)),TRIM(MID('R.M Billets Reports'!D2949,SEARCH("-",'R.M Billets Reports'!D2949)+1,200)),"")),IF(ISNUMBER(SEARCH("Party Name:-",'R.M Billets Reports'!D2950)),TRIM('R.M Billets Reports'!F2950),IF(ISNUMBER(SEARCH("Party Name-",'R.M Billets Reports'!D2950)),TRIM(MID('R.M Billets Reports'!D2950,SEARCH("-",'R.M Billets Reports'!D2950)+1,200)),"")))))),IF(ROW()=2,"",A2949))</f>
      </c>
      <c r="B2950">
        <f>IF(OR('R.M Billets Reports'!A2949="Date-",'R.M Billets Reports'!A2949="Date:-"),'R.M Billets Reports'!B2949,IF(ROW()=2,"",B2949))</f>
      </c>
      <c r="C2950">
        <f>IF('R.M Billets Reports'!A2949="V.No.",'R.M Billets Reports'!B2949,IF(ROW()=2,"",C2949))</f>
      </c>
      <c r="D2950">
        <f>IF('R.M Billets Reports'!A2949&lt;&gt;"",'R.M Billets Reports'!A2949,IF(ROW()=2,"",D2949))</f>
      </c>
      <c r="E2950">
        <f>IF('R.M Billets Reports'!B2949="","",TRIM('R.M Billets Reports'!B2949))</f>
      </c>
      <c r="F2950">
        <f>'R.M Billets Reports'!C2949</f>
      </c>
      <c r="G2950">
        <f>'R.M Billets Reports'!D2949</f>
      </c>
      <c r="H2950">
        <f>'R.M Billets Reports'!E2949</f>
      </c>
      <c r="I2950">
        <f>'R.M Billets Reports'!F2949</f>
      </c>
      <c r="J2950">
        <f>'R.M Billets Reports'!G2949</f>
      </c>
      <c r="K2950">
        <f>'R.M Billets Reports'!H2949</f>
      </c>
      <c r="L2950">
        <f>IF('R.M Billets Reports'!I2949="","",'R.M Billets Reports'!I2949)</f>
      </c>
      <c r="M2950">
        <f t="shared" si="92"/>
      </c>
      <c r="N2950">
        <f>IF('R.M Billets Reports'!J2949="","",'R.M Billets Reports'!J2949)</f>
      </c>
      <c r="O2950">
        <f t="shared" si="93"/>
      </c>
      <c r="P2950">
        <f>IF('R.M Billets Reports'!A2949="SIZE",'R.M Billets Reports'!B2949,P2949)</f>
      </c>
    </row>
    <row r="2951" spans="1:16" x14ac:dyDescent="0.25">
      <c r="A2951">
        <f>IF(OR('R.M Billets Reports'!A2950="Date-",'R.M Billets Reports'!A2950="Date:-"),IF(IF(IF(ISNUMBER(SEARCH("Party Name:-",'R.M Billets Reports'!D2950)),TRIM('R.M Billets Reports'!F2950),IF(ISNUMBER(SEARCH("Party Name-",'R.M Billets Reports'!D2950)),TRIM(MID('R.M Billets Reports'!D2950,SEARCH("-",'R.M Billets Reports'!D2950)+1,200)),""))&lt;&gt;"",IF(ISNUMBER(SEARCH("Party Name:-",'R.M Billets Reports'!D2950)),TRIM('R.M Billets Reports'!F2950),IF(ISNUMBER(SEARCH("Party Name-",'R.M Billets Reports'!D2950)),TRIM(MID('R.M Billets Reports'!D2950,SEARCH("-",'R.M Billets Reports'!D2950)+1,200)),"")),IF(ISNUMBER(SEARCH("Party Name:-",'R.M Billets Reports'!D2951)),TRIM('R.M Billets Reports'!F2951),IF(ISNUMBER(SEARCH("Party Name-",'R.M Billets Reports'!D2951)),TRIM(MID('R.M Billets Reports'!D2951,SEARCH("-",'R.M Billets Reports'!D2951)+1,200)),"")))="VRKP ISPAT PVT LTD","VRKP",IF(IF(IF(ISNUMBER(SEARCH("Party Name:-",'R.M Billets Reports'!D2950)),TRIM('R.M Billets Reports'!F2950),IF(ISNUMBER(SEARCH("Party Name-",'R.M Billets Reports'!D2950)),TRIM(MID('R.M Billets Reports'!D2950,SEARCH("-",'R.M Billets Reports'!D2950)+1,200)),""))&lt;&gt;"",IF(ISNUMBER(SEARCH("Party Name:-",'R.M Billets Reports'!D2950)),TRIM('R.M Billets Reports'!F2950),IF(ISNUMBER(SEARCH("Party Name-",'R.M Billets Reports'!D2950)),TRIM(MID('R.M Billets Reports'!D2950,SEARCH("-",'R.M Billets Reports'!D2950)+1,200)),"")),IF(ISNUMBER(SEARCH("Party Name:-",'R.M Billets Reports'!D2951)),TRIM('R.M Billets Reports'!F2951),IF(ISNUMBER(SEARCH("Party Name-",'R.M Billets Reports'!D2951)),TRIM(MID('R.M Billets Reports'!D2951,SEARCH("-",'R.M Billets Reports'!D2951)+1,200)),"")))="SHRI RADHE","SHREE RADHE",IF(IF(IF(ISNUMBER(SEARCH("Party Name:-",'R.M Billets Reports'!D2950)),TRIM('R.M Billets Reports'!F2950),IF(ISNUMBER(SEARCH("Party Name-",'R.M Billets Reports'!D2950)),TRIM(MID('R.M Billets Reports'!D2950,SEARCH("-",'R.M Billets Reports'!D2950)+1,200)),""))&lt;&gt;"",IF(ISNUMBER(SEARCH("Party Name:-",'R.M Billets Reports'!D2950)),TRIM('R.M Billets Reports'!F2950),IF(ISNUMBER(SEARCH("Party Name-",'R.M Billets Reports'!D2950)),TRIM(MID('R.M Billets Reports'!D2950,SEARCH("-",'R.M Billets Reports'!D2950)+1,200)),"")),IF(ISNUMBER(SEARCH("Party Name:-",'R.M Billets Reports'!D2951)),TRIM('R.M Billets Reports'!F2951),IF(ISNUMBER(SEARCH("Party Name-",'R.M Billets Reports'!D2951)),TRIM(MID('R.M Billets Reports'!D2951,SEARCH("-",'R.M Billets Reports'!D2951)+1,200)),"")))="SHREE RADHE SHAKTI SPONGE AND POWER PVT. LTD.","SHREE RADHE",IF(IF(ISNUMBER(SEARCH("Party Name:-",'R.M Billets Reports'!D2950)),TRIM('R.M Billets Reports'!F2950),IF(ISNUMBER(SEARCH("Party Name-",'R.M Billets Reports'!D2950)),TRIM(MID('R.M Billets Reports'!D2950,SEARCH("-",'R.M Billets Reports'!D2950)+1,200)),""))&lt;&gt;"",IF(ISNUMBER(SEARCH("Party Name:-",'R.M Billets Reports'!D2950)),TRIM('R.M Billets Reports'!F2950),IF(ISNUMBER(SEARCH("Party Name-",'R.M Billets Reports'!D2950)),TRIM(MID('R.M Billets Reports'!D2950,SEARCH("-",'R.M Billets Reports'!D2950)+1,200)),"")),IF(ISNUMBER(SEARCH("Party Name:-",'R.M Billets Reports'!D2951)),TRIM('R.M Billets Reports'!F2951),IF(ISNUMBER(SEARCH("Party Name-",'R.M Billets Reports'!D2951)),TRIM(MID('R.M Billets Reports'!D2951,SEARCH("-",'R.M Billets Reports'!D2951)+1,200)),"")))))),IF(ROW()=2,"",A2950))</f>
      </c>
      <c r="B2951">
        <f>IF(OR('R.M Billets Reports'!A2950="Date-",'R.M Billets Reports'!A2950="Date:-"),'R.M Billets Reports'!B2950,IF(ROW()=2,"",B2950))</f>
      </c>
      <c r="C2951">
        <f>IF('R.M Billets Reports'!A2950="V.No.",'R.M Billets Reports'!B2950,IF(ROW()=2,"",C2950))</f>
      </c>
      <c r="D2951">
        <f>IF('R.M Billets Reports'!A2950&lt;&gt;"",'R.M Billets Reports'!A2950,IF(ROW()=2,"",D2950))</f>
      </c>
      <c r="E2951">
        <f>IF('R.M Billets Reports'!B2950="","",TRIM('R.M Billets Reports'!B2950))</f>
      </c>
      <c r="F2951">
        <f>'R.M Billets Reports'!C2950</f>
      </c>
      <c r="G2951">
        <f>'R.M Billets Reports'!D2950</f>
      </c>
      <c r="H2951">
        <f>'R.M Billets Reports'!E2950</f>
      </c>
      <c r="I2951">
        <f>'R.M Billets Reports'!F2950</f>
      </c>
      <c r="J2951">
        <f>'R.M Billets Reports'!G2950</f>
      </c>
      <c r="K2951">
        <f>'R.M Billets Reports'!H2950</f>
      </c>
      <c r="L2951">
        <f>IF('R.M Billets Reports'!I2950="","",'R.M Billets Reports'!I2950)</f>
      </c>
      <c r="M2951">
        <f t="shared" si="92"/>
      </c>
      <c r="N2951">
        <f>IF('R.M Billets Reports'!J2950="","",'R.M Billets Reports'!J2950)</f>
      </c>
      <c r="O2951">
        <f t="shared" si="93"/>
      </c>
      <c r="P2951">
        <f>IF('R.M Billets Reports'!A2950="SIZE",'R.M Billets Reports'!B2950,P2950)</f>
      </c>
    </row>
    <row r="2952" spans="1:16" x14ac:dyDescent="0.25">
      <c r="A2952">
        <f>IF(OR('R.M Billets Reports'!A2951="Date-",'R.M Billets Reports'!A2951="Date:-"),IF(IF(IF(ISNUMBER(SEARCH("Party Name:-",'R.M Billets Reports'!D2951)),TRIM('R.M Billets Reports'!F2951),IF(ISNUMBER(SEARCH("Party Name-",'R.M Billets Reports'!D2951)),TRIM(MID('R.M Billets Reports'!D2951,SEARCH("-",'R.M Billets Reports'!D2951)+1,200)),""))&lt;&gt;"",IF(ISNUMBER(SEARCH("Party Name:-",'R.M Billets Reports'!D2951)),TRIM('R.M Billets Reports'!F2951),IF(ISNUMBER(SEARCH("Party Name-",'R.M Billets Reports'!D2951)),TRIM(MID('R.M Billets Reports'!D2951,SEARCH("-",'R.M Billets Reports'!D2951)+1,200)),"")),IF(ISNUMBER(SEARCH("Party Name:-",'R.M Billets Reports'!D2952)),TRIM('R.M Billets Reports'!F2952),IF(ISNUMBER(SEARCH("Party Name-",'R.M Billets Reports'!D2952)),TRIM(MID('R.M Billets Reports'!D2952,SEARCH("-",'R.M Billets Reports'!D2952)+1,200)),"")))="VRKP ISPAT PVT LTD","VRKP",IF(IF(IF(ISNUMBER(SEARCH("Party Name:-",'R.M Billets Reports'!D2951)),TRIM('R.M Billets Reports'!F2951),IF(ISNUMBER(SEARCH("Party Name-",'R.M Billets Reports'!D2951)),TRIM(MID('R.M Billets Reports'!D2951,SEARCH("-",'R.M Billets Reports'!D2951)+1,200)),""))&lt;&gt;"",IF(ISNUMBER(SEARCH("Party Name:-",'R.M Billets Reports'!D2951)),TRIM('R.M Billets Reports'!F2951),IF(ISNUMBER(SEARCH("Party Name-",'R.M Billets Reports'!D2951)),TRIM(MID('R.M Billets Reports'!D2951,SEARCH("-",'R.M Billets Reports'!D2951)+1,200)),"")),IF(ISNUMBER(SEARCH("Party Name:-",'R.M Billets Reports'!D2952)),TRIM('R.M Billets Reports'!F2952),IF(ISNUMBER(SEARCH("Party Name-",'R.M Billets Reports'!D2952)),TRIM(MID('R.M Billets Reports'!D2952,SEARCH("-",'R.M Billets Reports'!D2952)+1,200)),"")))="SHRI RADHE","SHREE RADHE",IF(IF(IF(ISNUMBER(SEARCH("Party Name:-",'R.M Billets Reports'!D2951)),TRIM('R.M Billets Reports'!F2951),IF(ISNUMBER(SEARCH("Party Name-",'R.M Billets Reports'!D2951)),TRIM(MID('R.M Billets Reports'!D2951,SEARCH("-",'R.M Billets Reports'!D2951)+1,200)),""))&lt;&gt;"",IF(ISNUMBER(SEARCH("Party Name:-",'R.M Billets Reports'!D2951)),TRIM('R.M Billets Reports'!F2951),IF(ISNUMBER(SEARCH("Party Name-",'R.M Billets Reports'!D2951)),TRIM(MID('R.M Billets Reports'!D2951,SEARCH("-",'R.M Billets Reports'!D2951)+1,200)),"")),IF(ISNUMBER(SEARCH("Party Name:-",'R.M Billets Reports'!D2952)),TRIM('R.M Billets Reports'!F2952),IF(ISNUMBER(SEARCH("Party Name-",'R.M Billets Reports'!D2952)),TRIM(MID('R.M Billets Reports'!D2952,SEARCH("-",'R.M Billets Reports'!D2952)+1,200)),"")))="SHREE RADHE SHAKTI SPONGE AND POWER PVT. LTD.","SHREE RADHE",IF(IF(ISNUMBER(SEARCH("Party Name:-",'R.M Billets Reports'!D2951)),TRIM('R.M Billets Reports'!F2951),IF(ISNUMBER(SEARCH("Party Name-",'R.M Billets Reports'!D2951)),TRIM(MID('R.M Billets Reports'!D2951,SEARCH("-",'R.M Billets Reports'!D2951)+1,200)),""))&lt;&gt;"",IF(ISNUMBER(SEARCH("Party Name:-",'R.M Billets Reports'!D2951)),TRIM('R.M Billets Reports'!F2951),IF(ISNUMBER(SEARCH("Party Name-",'R.M Billets Reports'!D2951)),TRIM(MID('R.M Billets Reports'!D2951,SEARCH("-",'R.M Billets Reports'!D2951)+1,200)),"")),IF(ISNUMBER(SEARCH("Party Name:-",'R.M Billets Reports'!D2952)),TRIM('R.M Billets Reports'!F2952),IF(ISNUMBER(SEARCH("Party Name-",'R.M Billets Reports'!D2952)),TRIM(MID('R.M Billets Reports'!D2952,SEARCH("-",'R.M Billets Reports'!D2952)+1,200)),"")))))),IF(ROW()=2,"",A2951))</f>
      </c>
      <c r="B2952">
        <f>IF(OR('R.M Billets Reports'!A2951="Date-",'R.M Billets Reports'!A2951="Date:-"),'R.M Billets Reports'!B2951,IF(ROW()=2,"",B2951))</f>
      </c>
      <c r="C2952">
        <f>IF('R.M Billets Reports'!A2951="V.No.",'R.M Billets Reports'!B2951,IF(ROW()=2,"",C2951))</f>
      </c>
      <c r="D2952">
        <f>IF('R.M Billets Reports'!A2951&lt;&gt;"",'R.M Billets Reports'!A2951,IF(ROW()=2,"",D2951))</f>
      </c>
      <c r="E2952">
        <f>IF('R.M Billets Reports'!B2951="","",TRIM('R.M Billets Reports'!B2951))</f>
      </c>
      <c r="F2952">
        <f>'R.M Billets Reports'!C2951</f>
      </c>
      <c r="G2952">
        <f>'R.M Billets Reports'!D2951</f>
      </c>
      <c r="H2952">
        <f>'R.M Billets Reports'!E2951</f>
      </c>
      <c r="I2952">
        <f>'R.M Billets Reports'!F2951</f>
      </c>
      <c r="J2952">
        <f>'R.M Billets Reports'!G2951</f>
      </c>
      <c r="K2952">
        <f>'R.M Billets Reports'!H2951</f>
      </c>
      <c r="L2952">
        <f>IF('R.M Billets Reports'!I2951="","",'R.M Billets Reports'!I2951)</f>
      </c>
      <c r="M2952">
        <f t="shared" si="92"/>
      </c>
      <c r="N2952">
        <f>IF('R.M Billets Reports'!J2951="","",'R.M Billets Reports'!J2951)</f>
      </c>
      <c r="O2952">
        <f t="shared" si="93"/>
      </c>
      <c r="P2952">
        <f>IF('R.M Billets Reports'!A2951="SIZE",'R.M Billets Reports'!B2951,P2951)</f>
      </c>
    </row>
    <row r="2953" spans="1:16" x14ac:dyDescent="0.25">
      <c r="A2953">
        <f>IF(OR('R.M Billets Reports'!A2952="Date-",'R.M Billets Reports'!A2952="Date:-"),IF(IF(IF(ISNUMBER(SEARCH("Party Name:-",'R.M Billets Reports'!D2952)),TRIM('R.M Billets Reports'!F2952),IF(ISNUMBER(SEARCH("Party Name-",'R.M Billets Reports'!D2952)),TRIM(MID('R.M Billets Reports'!D2952,SEARCH("-",'R.M Billets Reports'!D2952)+1,200)),""))&lt;&gt;"",IF(ISNUMBER(SEARCH("Party Name:-",'R.M Billets Reports'!D2952)),TRIM('R.M Billets Reports'!F2952),IF(ISNUMBER(SEARCH("Party Name-",'R.M Billets Reports'!D2952)),TRIM(MID('R.M Billets Reports'!D2952,SEARCH("-",'R.M Billets Reports'!D2952)+1,200)),"")),IF(ISNUMBER(SEARCH("Party Name:-",'R.M Billets Reports'!D2953)),TRIM('R.M Billets Reports'!F2953),IF(ISNUMBER(SEARCH("Party Name-",'R.M Billets Reports'!D2953)),TRIM(MID('R.M Billets Reports'!D2953,SEARCH("-",'R.M Billets Reports'!D2953)+1,200)),"")))="VRKP ISPAT PVT LTD","VRKP",IF(IF(IF(ISNUMBER(SEARCH("Party Name:-",'R.M Billets Reports'!D2952)),TRIM('R.M Billets Reports'!F2952),IF(ISNUMBER(SEARCH("Party Name-",'R.M Billets Reports'!D2952)),TRIM(MID('R.M Billets Reports'!D2952,SEARCH("-",'R.M Billets Reports'!D2952)+1,200)),""))&lt;&gt;"",IF(ISNUMBER(SEARCH("Party Name:-",'R.M Billets Reports'!D2952)),TRIM('R.M Billets Reports'!F2952),IF(ISNUMBER(SEARCH("Party Name-",'R.M Billets Reports'!D2952)),TRIM(MID('R.M Billets Reports'!D2952,SEARCH("-",'R.M Billets Reports'!D2952)+1,200)),"")),IF(ISNUMBER(SEARCH("Party Name:-",'R.M Billets Reports'!D2953)),TRIM('R.M Billets Reports'!F2953),IF(ISNUMBER(SEARCH("Party Name-",'R.M Billets Reports'!D2953)),TRIM(MID('R.M Billets Reports'!D2953,SEARCH("-",'R.M Billets Reports'!D2953)+1,200)),"")))="SHRI RADHE","SHREE RADHE",IF(IF(IF(ISNUMBER(SEARCH("Party Name:-",'R.M Billets Reports'!D2952)),TRIM('R.M Billets Reports'!F2952),IF(ISNUMBER(SEARCH("Party Name-",'R.M Billets Reports'!D2952)),TRIM(MID('R.M Billets Reports'!D2952,SEARCH("-",'R.M Billets Reports'!D2952)+1,200)),""))&lt;&gt;"",IF(ISNUMBER(SEARCH("Party Name:-",'R.M Billets Reports'!D2952)),TRIM('R.M Billets Reports'!F2952),IF(ISNUMBER(SEARCH("Party Name-",'R.M Billets Reports'!D2952)),TRIM(MID('R.M Billets Reports'!D2952,SEARCH("-",'R.M Billets Reports'!D2952)+1,200)),"")),IF(ISNUMBER(SEARCH("Party Name:-",'R.M Billets Reports'!D2953)),TRIM('R.M Billets Reports'!F2953),IF(ISNUMBER(SEARCH("Party Name-",'R.M Billets Reports'!D2953)),TRIM(MID('R.M Billets Reports'!D2953,SEARCH("-",'R.M Billets Reports'!D2953)+1,200)),"")))="SHREE RADHE SHAKTI SPONGE AND POWER PVT. LTD.","SHREE RADHE",IF(IF(ISNUMBER(SEARCH("Party Name:-",'R.M Billets Reports'!D2952)),TRIM('R.M Billets Reports'!F2952),IF(ISNUMBER(SEARCH("Party Name-",'R.M Billets Reports'!D2952)),TRIM(MID('R.M Billets Reports'!D2952,SEARCH("-",'R.M Billets Reports'!D2952)+1,200)),""))&lt;&gt;"",IF(ISNUMBER(SEARCH("Party Name:-",'R.M Billets Reports'!D2952)),TRIM('R.M Billets Reports'!F2952),IF(ISNUMBER(SEARCH("Party Name-",'R.M Billets Reports'!D2952)),TRIM(MID('R.M Billets Reports'!D2952,SEARCH("-",'R.M Billets Reports'!D2952)+1,200)),"")),IF(ISNUMBER(SEARCH("Party Name:-",'R.M Billets Reports'!D2953)),TRIM('R.M Billets Reports'!F2953),IF(ISNUMBER(SEARCH("Party Name-",'R.M Billets Reports'!D2953)),TRIM(MID('R.M Billets Reports'!D2953,SEARCH("-",'R.M Billets Reports'!D2953)+1,200)),"")))))),IF(ROW()=2,"",A2952))</f>
      </c>
      <c r="B2953">
        <f>IF(OR('R.M Billets Reports'!A2952="Date-",'R.M Billets Reports'!A2952="Date:-"),'R.M Billets Reports'!B2952,IF(ROW()=2,"",B2952))</f>
      </c>
      <c r="C2953">
        <f>IF('R.M Billets Reports'!A2952="V.No.",'R.M Billets Reports'!B2952,IF(ROW()=2,"",C2952))</f>
      </c>
      <c r="D2953">
        <f>IF('R.M Billets Reports'!A2952&lt;&gt;"",'R.M Billets Reports'!A2952,IF(ROW()=2,"",D2952))</f>
      </c>
      <c r="E2953">
        <f>IF('R.M Billets Reports'!B2952="","",TRIM('R.M Billets Reports'!B2952))</f>
      </c>
      <c r="F2953">
        <f>'R.M Billets Reports'!C2952</f>
      </c>
      <c r="G2953">
        <f>'R.M Billets Reports'!D2952</f>
      </c>
      <c r="H2953">
        <f>'R.M Billets Reports'!E2952</f>
      </c>
      <c r="I2953">
        <f>'R.M Billets Reports'!F2952</f>
      </c>
      <c r="J2953">
        <f>'R.M Billets Reports'!G2952</f>
      </c>
      <c r="K2953">
        <f>'R.M Billets Reports'!H2952</f>
      </c>
      <c r="L2953">
        <f>IF('R.M Billets Reports'!I2952="","",'R.M Billets Reports'!I2952)</f>
      </c>
      <c r="M2953">
        <f t="shared" si="92"/>
      </c>
      <c r="N2953">
        <f>IF('R.M Billets Reports'!J2952="","",'R.M Billets Reports'!J2952)</f>
      </c>
      <c r="O2953">
        <f t="shared" si="93"/>
      </c>
      <c r="P2953">
        <f>IF('R.M Billets Reports'!A2952="SIZE",'R.M Billets Reports'!B2952,P2952)</f>
      </c>
    </row>
    <row r="2954" spans="1:16" x14ac:dyDescent="0.25">
      <c r="A2954">
        <f>IF(OR('R.M Billets Reports'!A2953="Date-",'R.M Billets Reports'!A2953="Date:-"),IF(IF(IF(ISNUMBER(SEARCH("Party Name:-",'R.M Billets Reports'!D2953)),TRIM('R.M Billets Reports'!F2953),IF(ISNUMBER(SEARCH("Party Name-",'R.M Billets Reports'!D2953)),TRIM(MID('R.M Billets Reports'!D2953,SEARCH("-",'R.M Billets Reports'!D2953)+1,200)),""))&lt;&gt;"",IF(ISNUMBER(SEARCH("Party Name:-",'R.M Billets Reports'!D2953)),TRIM('R.M Billets Reports'!F2953),IF(ISNUMBER(SEARCH("Party Name-",'R.M Billets Reports'!D2953)),TRIM(MID('R.M Billets Reports'!D2953,SEARCH("-",'R.M Billets Reports'!D2953)+1,200)),"")),IF(ISNUMBER(SEARCH("Party Name:-",'R.M Billets Reports'!D2954)),TRIM('R.M Billets Reports'!F2954),IF(ISNUMBER(SEARCH("Party Name-",'R.M Billets Reports'!D2954)),TRIM(MID('R.M Billets Reports'!D2954,SEARCH("-",'R.M Billets Reports'!D2954)+1,200)),"")))="VRKP ISPAT PVT LTD","VRKP",IF(IF(IF(ISNUMBER(SEARCH("Party Name:-",'R.M Billets Reports'!D2953)),TRIM('R.M Billets Reports'!F2953),IF(ISNUMBER(SEARCH("Party Name-",'R.M Billets Reports'!D2953)),TRIM(MID('R.M Billets Reports'!D2953,SEARCH("-",'R.M Billets Reports'!D2953)+1,200)),""))&lt;&gt;"",IF(ISNUMBER(SEARCH("Party Name:-",'R.M Billets Reports'!D2953)),TRIM('R.M Billets Reports'!F2953),IF(ISNUMBER(SEARCH("Party Name-",'R.M Billets Reports'!D2953)),TRIM(MID('R.M Billets Reports'!D2953,SEARCH("-",'R.M Billets Reports'!D2953)+1,200)),"")),IF(ISNUMBER(SEARCH("Party Name:-",'R.M Billets Reports'!D2954)),TRIM('R.M Billets Reports'!F2954),IF(ISNUMBER(SEARCH("Party Name-",'R.M Billets Reports'!D2954)),TRIM(MID('R.M Billets Reports'!D2954,SEARCH("-",'R.M Billets Reports'!D2954)+1,200)),"")))="SHRI RADHE","SHREE RADHE",IF(IF(IF(ISNUMBER(SEARCH("Party Name:-",'R.M Billets Reports'!D2953)),TRIM('R.M Billets Reports'!F2953),IF(ISNUMBER(SEARCH("Party Name-",'R.M Billets Reports'!D2953)),TRIM(MID('R.M Billets Reports'!D2953,SEARCH("-",'R.M Billets Reports'!D2953)+1,200)),""))&lt;&gt;"",IF(ISNUMBER(SEARCH("Party Name:-",'R.M Billets Reports'!D2953)),TRIM('R.M Billets Reports'!F2953),IF(ISNUMBER(SEARCH("Party Name-",'R.M Billets Reports'!D2953)),TRIM(MID('R.M Billets Reports'!D2953,SEARCH("-",'R.M Billets Reports'!D2953)+1,200)),"")),IF(ISNUMBER(SEARCH("Party Name:-",'R.M Billets Reports'!D2954)),TRIM('R.M Billets Reports'!F2954),IF(ISNUMBER(SEARCH("Party Name-",'R.M Billets Reports'!D2954)),TRIM(MID('R.M Billets Reports'!D2954,SEARCH("-",'R.M Billets Reports'!D2954)+1,200)),"")))="SHREE RADHE SHAKTI SPONGE AND POWER PVT. LTD.","SHREE RADHE",IF(IF(ISNUMBER(SEARCH("Party Name:-",'R.M Billets Reports'!D2953)),TRIM('R.M Billets Reports'!F2953),IF(ISNUMBER(SEARCH("Party Name-",'R.M Billets Reports'!D2953)),TRIM(MID('R.M Billets Reports'!D2953,SEARCH("-",'R.M Billets Reports'!D2953)+1,200)),""))&lt;&gt;"",IF(ISNUMBER(SEARCH("Party Name:-",'R.M Billets Reports'!D2953)),TRIM('R.M Billets Reports'!F2953),IF(ISNUMBER(SEARCH("Party Name-",'R.M Billets Reports'!D2953)),TRIM(MID('R.M Billets Reports'!D2953,SEARCH("-",'R.M Billets Reports'!D2953)+1,200)),"")),IF(ISNUMBER(SEARCH("Party Name:-",'R.M Billets Reports'!D2954)),TRIM('R.M Billets Reports'!F2954),IF(ISNUMBER(SEARCH("Party Name-",'R.M Billets Reports'!D2954)),TRIM(MID('R.M Billets Reports'!D2954,SEARCH("-",'R.M Billets Reports'!D2954)+1,200)),"")))))),IF(ROW()=2,"",A2953))</f>
      </c>
      <c r="B2954">
        <f>IF(OR('R.M Billets Reports'!A2953="Date-",'R.M Billets Reports'!A2953="Date:-"),'R.M Billets Reports'!B2953,IF(ROW()=2,"",B2953))</f>
      </c>
      <c r="C2954">
        <f>IF('R.M Billets Reports'!A2953="V.No.",'R.M Billets Reports'!B2953,IF(ROW()=2,"",C2953))</f>
      </c>
      <c r="D2954">
        <f>IF('R.M Billets Reports'!A2953&lt;&gt;"",'R.M Billets Reports'!A2953,IF(ROW()=2,"",D2953))</f>
      </c>
      <c r="E2954">
        <f>IF('R.M Billets Reports'!B2953="","",TRIM('R.M Billets Reports'!B2953))</f>
      </c>
      <c r="F2954">
        <f>'R.M Billets Reports'!C2953</f>
      </c>
      <c r="G2954">
        <f>'R.M Billets Reports'!D2953</f>
      </c>
      <c r="H2954">
        <f>'R.M Billets Reports'!E2953</f>
      </c>
      <c r="I2954">
        <f>'R.M Billets Reports'!F2953</f>
      </c>
      <c r="J2954">
        <f>'R.M Billets Reports'!G2953</f>
      </c>
      <c r="K2954">
        <f>'R.M Billets Reports'!H2953</f>
      </c>
      <c r="L2954">
        <f>IF('R.M Billets Reports'!I2953="","",'R.M Billets Reports'!I2953)</f>
      </c>
      <c r="M2954">
        <f t="shared" si="92"/>
      </c>
      <c r="N2954">
        <f>IF('R.M Billets Reports'!J2953="","",'R.M Billets Reports'!J2953)</f>
      </c>
      <c r="O2954">
        <f t="shared" si="93"/>
      </c>
      <c r="P2954">
        <f>IF('R.M Billets Reports'!A2953="SIZE",'R.M Billets Reports'!B2953,P2953)</f>
      </c>
    </row>
    <row r="2955" spans="1:16" x14ac:dyDescent="0.25">
      <c r="A2955">
        <f>IF(OR('R.M Billets Reports'!A2954="Date-",'R.M Billets Reports'!A2954="Date:-"),IF(IF(IF(ISNUMBER(SEARCH("Party Name:-",'R.M Billets Reports'!D2954)),TRIM('R.M Billets Reports'!F2954),IF(ISNUMBER(SEARCH("Party Name-",'R.M Billets Reports'!D2954)),TRIM(MID('R.M Billets Reports'!D2954,SEARCH("-",'R.M Billets Reports'!D2954)+1,200)),""))&lt;&gt;"",IF(ISNUMBER(SEARCH("Party Name:-",'R.M Billets Reports'!D2954)),TRIM('R.M Billets Reports'!F2954),IF(ISNUMBER(SEARCH("Party Name-",'R.M Billets Reports'!D2954)),TRIM(MID('R.M Billets Reports'!D2954,SEARCH("-",'R.M Billets Reports'!D2954)+1,200)),"")),IF(ISNUMBER(SEARCH("Party Name:-",'R.M Billets Reports'!D2955)),TRIM('R.M Billets Reports'!F2955),IF(ISNUMBER(SEARCH("Party Name-",'R.M Billets Reports'!D2955)),TRIM(MID('R.M Billets Reports'!D2955,SEARCH("-",'R.M Billets Reports'!D2955)+1,200)),"")))="VRKP ISPAT PVT LTD","VRKP",IF(IF(IF(ISNUMBER(SEARCH("Party Name:-",'R.M Billets Reports'!D2954)),TRIM('R.M Billets Reports'!F2954),IF(ISNUMBER(SEARCH("Party Name-",'R.M Billets Reports'!D2954)),TRIM(MID('R.M Billets Reports'!D2954,SEARCH("-",'R.M Billets Reports'!D2954)+1,200)),""))&lt;&gt;"",IF(ISNUMBER(SEARCH("Party Name:-",'R.M Billets Reports'!D2954)),TRIM('R.M Billets Reports'!F2954),IF(ISNUMBER(SEARCH("Party Name-",'R.M Billets Reports'!D2954)),TRIM(MID('R.M Billets Reports'!D2954,SEARCH("-",'R.M Billets Reports'!D2954)+1,200)),"")),IF(ISNUMBER(SEARCH("Party Name:-",'R.M Billets Reports'!D2955)),TRIM('R.M Billets Reports'!F2955),IF(ISNUMBER(SEARCH("Party Name-",'R.M Billets Reports'!D2955)),TRIM(MID('R.M Billets Reports'!D2955,SEARCH("-",'R.M Billets Reports'!D2955)+1,200)),"")))="SHRI RADHE","SHREE RADHE",IF(IF(IF(ISNUMBER(SEARCH("Party Name:-",'R.M Billets Reports'!D2954)),TRIM('R.M Billets Reports'!F2954),IF(ISNUMBER(SEARCH("Party Name-",'R.M Billets Reports'!D2954)),TRIM(MID('R.M Billets Reports'!D2954,SEARCH("-",'R.M Billets Reports'!D2954)+1,200)),""))&lt;&gt;"",IF(ISNUMBER(SEARCH("Party Name:-",'R.M Billets Reports'!D2954)),TRIM('R.M Billets Reports'!F2954),IF(ISNUMBER(SEARCH("Party Name-",'R.M Billets Reports'!D2954)),TRIM(MID('R.M Billets Reports'!D2954,SEARCH("-",'R.M Billets Reports'!D2954)+1,200)),"")),IF(ISNUMBER(SEARCH("Party Name:-",'R.M Billets Reports'!D2955)),TRIM('R.M Billets Reports'!F2955),IF(ISNUMBER(SEARCH("Party Name-",'R.M Billets Reports'!D2955)),TRIM(MID('R.M Billets Reports'!D2955,SEARCH("-",'R.M Billets Reports'!D2955)+1,200)),"")))="SHREE RADHE SHAKTI SPONGE AND POWER PVT. LTD.","SHREE RADHE",IF(IF(ISNUMBER(SEARCH("Party Name:-",'R.M Billets Reports'!D2954)),TRIM('R.M Billets Reports'!F2954),IF(ISNUMBER(SEARCH("Party Name-",'R.M Billets Reports'!D2954)),TRIM(MID('R.M Billets Reports'!D2954,SEARCH("-",'R.M Billets Reports'!D2954)+1,200)),""))&lt;&gt;"",IF(ISNUMBER(SEARCH("Party Name:-",'R.M Billets Reports'!D2954)),TRIM('R.M Billets Reports'!F2954),IF(ISNUMBER(SEARCH("Party Name-",'R.M Billets Reports'!D2954)),TRIM(MID('R.M Billets Reports'!D2954,SEARCH("-",'R.M Billets Reports'!D2954)+1,200)),"")),IF(ISNUMBER(SEARCH("Party Name:-",'R.M Billets Reports'!D2955)),TRIM('R.M Billets Reports'!F2955),IF(ISNUMBER(SEARCH("Party Name-",'R.M Billets Reports'!D2955)),TRIM(MID('R.M Billets Reports'!D2955,SEARCH("-",'R.M Billets Reports'!D2955)+1,200)),"")))))),IF(ROW()=2,"",A2954))</f>
      </c>
      <c r="B2955">
        <f>IF(OR('R.M Billets Reports'!A2954="Date-",'R.M Billets Reports'!A2954="Date:-"),'R.M Billets Reports'!B2954,IF(ROW()=2,"",B2954))</f>
      </c>
      <c r="C2955">
        <f>IF('R.M Billets Reports'!A2954="V.No.",'R.M Billets Reports'!B2954,IF(ROW()=2,"",C2954))</f>
      </c>
      <c r="D2955">
        <f>IF('R.M Billets Reports'!A2954&lt;&gt;"",'R.M Billets Reports'!A2954,IF(ROW()=2,"",D2954))</f>
      </c>
      <c r="E2955">
        <f>IF('R.M Billets Reports'!B2954="","",TRIM('R.M Billets Reports'!B2954))</f>
      </c>
      <c r="F2955">
        <f>'R.M Billets Reports'!C2954</f>
      </c>
      <c r="G2955">
        <f>'R.M Billets Reports'!D2954</f>
      </c>
      <c r="H2955">
        <f>'R.M Billets Reports'!E2954</f>
      </c>
      <c r="I2955">
        <f>'R.M Billets Reports'!F2954</f>
      </c>
      <c r="J2955">
        <f>'R.M Billets Reports'!G2954</f>
      </c>
      <c r="K2955">
        <f>'R.M Billets Reports'!H2954</f>
      </c>
      <c r="L2955">
        <f>IF('R.M Billets Reports'!I2954="","",'R.M Billets Reports'!I2954)</f>
      </c>
      <c r="M2955">
        <f t="shared" si="92"/>
      </c>
      <c r="N2955">
        <f>IF('R.M Billets Reports'!J2954="","",'R.M Billets Reports'!J2954)</f>
      </c>
      <c r="O2955">
        <f t="shared" si="93"/>
      </c>
      <c r="P2955">
        <f>IF('R.M Billets Reports'!A2954="SIZE",'R.M Billets Reports'!B2954,P2954)</f>
      </c>
    </row>
    <row r="2956" spans="1:16" x14ac:dyDescent="0.25">
      <c r="A2956">
        <f>IF(OR('R.M Billets Reports'!A2955="Date-",'R.M Billets Reports'!A2955="Date:-"),IF(IF(IF(ISNUMBER(SEARCH("Party Name:-",'R.M Billets Reports'!D2955)),TRIM('R.M Billets Reports'!F2955),IF(ISNUMBER(SEARCH("Party Name-",'R.M Billets Reports'!D2955)),TRIM(MID('R.M Billets Reports'!D2955,SEARCH("-",'R.M Billets Reports'!D2955)+1,200)),""))&lt;&gt;"",IF(ISNUMBER(SEARCH("Party Name:-",'R.M Billets Reports'!D2955)),TRIM('R.M Billets Reports'!F2955),IF(ISNUMBER(SEARCH("Party Name-",'R.M Billets Reports'!D2955)),TRIM(MID('R.M Billets Reports'!D2955,SEARCH("-",'R.M Billets Reports'!D2955)+1,200)),"")),IF(ISNUMBER(SEARCH("Party Name:-",'R.M Billets Reports'!D2956)),TRIM('R.M Billets Reports'!F2956),IF(ISNUMBER(SEARCH("Party Name-",'R.M Billets Reports'!D2956)),TRIM(MID('R.M Billets Reports'!D2956,SEARCH("-",'R.M Billets Reports'!D2956)+1,200)),"")))="VRKP ISPAT PVT LTD","VRKP",IF(IF(IF(ISNUMBER(SEARCH("Party Name:-",'R.M Billets Reports'!D2955)),TRIM('R.M Billets Reports'!F2955),IF(ISNUMBER(SEARCH("Party Name-",'R.M Billets Reports'!D2955)),TRIM(MID('R.M Billets Reports'!D2955,SEARCH("-",'R.M Billets Reports'!D2955)+1,200)),""))&lt;&gt;"",IF(ISNUMBER(SEARCH("Party Name:-",'R.M Billets Reports'!D2955)),TRIM('R.M Billets Reports'!F2955),IF(ISNUMBER(SEARCH("Party Name-",'R.M Billets Reports'!D2955)),TRIM(MID('R.M Billets Reports'!D2955,SEARCH("-",'R.M Billets Reports'!D2955)+1,200)),"")),IF(ISNUMBER(SEARCH("Party Name:-",'R.M Billets Reports'!D2956)),TRIM('R.M Billets Reports'!F2956),IF(ISNUMBER(SEARCH("Party Name-",'R.M Billets Reports'!D2956)),TRIM(MID('R.M Billets Reports'!D2956,SEARCH("-",'R.M Billets Reports'!D2956)+1,200)),"")))="SHRI RADHE","SHREE RADHE",IF(IF(IF(ISNUMBER(SEARCH("Party Name:-",'R.M Billets Reports'!D2955)),TRIM('R.M Billets Reports'!F2955),IF(ISNUMBER(SEARCH("Party Name-",'R.M Billets Reports'!D2955)),TRIM(MID('R.M Billets Reports'!D2955,SEARCH("-",'R.M Billets Reports'!D2955)+1,200)),""))&lt;&gt;"",IF(ISNUMBER(SEARCH("Party Name:-",'R.M Billets Reports'!D2955)),TRIM('R.M Billets Reports'!F2955),IF(ISNUMBER(SEARCH("Party Name-",'R.M Billets Reports'!D2955)),TRIM(MID('R.M Billets Reports'!D2955,SEARCH("-",'R.M Billets Reports'!D2955)+1,200)),"")),IF(ISNUMBER(SEARCH("Party Name:-",'R.M Billets Reports'!D2956)),TRIM('R.M Billets Reports'!F2956),IF(ISNUMBER(SEARCH("Party Name-",'R.M Billets Reports'!D2956)),TRIM(MID('R.M Billets Reports'!D2956,SEARCH("-",'R.M Billets Reports'!D2956)+1,200)),"")))="SHREE RADHE SHAKTI SPONGE AND POWER PVT. LTD.","SHREE RADHE",IF(IF(ISNUMBER(SEARCH("Party Name:-",'R.M Billets Reports'!D2955)),TRIM('R.M Billets Reports'!F2955),IF(ISNUMBER(SEARCH("Party Name-",'R.M Billets Reports'!D2955)),TRIM(MID('R.M Billets Reports'!D2955,SEARCH("-",'R.M Billets Reports'!D2955)+1,200)),""))&lt;&gt;"",IF(ISNUMBER(SEARCH("Party Name:-",'R.M Billets Reports'!D2955)),TRIM('R.M Billets Reports'!F2955),IF(ISNUMBER(SEARCH("Party Name-",'R.M Billets Reports'!D2955)),TRIM(MID('R.M Billets Reports'!D2955,SEARCH("-",'R.M Billets Reports'!D2955)+1,200)),"")),IF(ISNUMBER(SEARCH("Party Name:-",'R.M Billets Reports'!D2956)),TRIM('R.M Billets Reports'!F2956),IF(ISNUMBER(SEARCH("Party Name-",'R.M Billets Reports'!D2956)),TRIM(MID('R.M Billets Reports'!D2956,SEARCH("-",'R.M Billets Reports'!D2956)+1,200)),"")))))),IF(ROW()=2,"",A2955))</f>
      </c>
      <c r="B2956">
        <f>IF(OR('R.M Billets Reports'!A2955="Date-",'R.M Billets Reports'!A2955="Date:-"),'R.M Billets Reports'!B2955,IF(ROW()=2,"",B2955))</f>
      </c>
      <c r="C2956">
        <f>IF('R.M Billets Reports'!A2955="V.No.",'R.M Billets Reports'!B2955,IF(ROW()=2,"",C2955))</f>
      </c>
      <c r="D2956">
        <f>IF('R.M Billets Reports'!A2955&lt;&gt;"",'R.M Billets Reports'!A2955,IF(ROW()=2,"",D2955))</f>
      </c>
      <c r="E2956">
        <f>IF('R.M Billets Reports'!B2955="","",TRIM('R.M Billets Reports'!B2955))</f>
      </c>
      <c r="F2956">
        <f>'R.M Billets Reports'!C2955</f>
      </c>
      <c r="G2956">
        <f>'R.M Billets Reports'!D2955</f>
      </c>
      <c r="H2956">
        <f>'R.M Billets Reports'!E2955</f>
      </c>
      <c r="I2956">
        <f>'R.M Billets Reports'!F2955</f>
      </c>
      <c r="J2956">
        <f>'R.M Billets Reports'!G2955</f>
      </c>
      <c r="K2956">
        <f>'R.M Billets Reports'!H2955</f>
      </c>
      <c r="L2956">
        <f>IF('R.M Billets Reports'!I2955="","",'R.M Billets Reports'!I2955)</f>
      </c>
      <c r="M2956">
        <f t="shared" si="92"/>
      </c>
      <c r="N2956">
        <f>IF('R.M Billets Reports'!J2955="","",'R.M Billets Reports'!J2955)</f>
      </c>
      <c r="O2956">
        <f t="shared" si="93"/>
      </c>
      <c r="P2956">
        <f>IF('R.M Billets Reports'!A2955="SIZE",'R.M Billets Reports'!B2955,P2955)</f>
      </c>
    </row>
    <row r="2957" spans="1:16" x14ac:dyDescent="0.25">
      <c r="A2957">
        <f>IF(OR('R.M Billets Reports'!A2956="Date-",'R.M Billets Reports'!A2956="Date:-"),IF(IF(IF(ISNUMBER(SEARCH("Party Name:-",'R.M Billets Reports'!D2956)),TRIM('R.M Billets Reports'!F2956),IF(ISNUMBER(SEARCH("Party Name-",'R.M Billets Reports'!D2956)),TRIM(MID('R.M Billets Reports'!D2956,SEARCH("-",'R.M Billets Reports'!D2956)+1,200)),""))&lt;&gt;"",IF(ISNUMBER(SEARCH("Party Name:-",'R.M Billets Reports'!D2956)),TRIM('R.M Billets Reports'!F2956),IF(ISNUMBER(SEARCH("Party Name-",'R.M Billets Reports'!D2956)),TRIM(MID('R.M Billets Reports'!D2956,SEARCH("-",'R.M Billets Reports'!D2956)+1,200)),"")),IF(ISNUMBER(SEARCH("Party Name:-",'R.M Billets Reports'!D2957)),TRIM('R.M Billets Reports'!F2957),IF(ISNUMBER(SEARCH("Party Name-",'R.M Billets Reports'!D2957)),TRIM(MID('R.M Billets Reports'!D2957,SEARCH("-",'R.M Billets Reports'!D2957)+1,200)),"")))="VRKP ISPAT PVT LTD","VRKP",IF(IF(IF(ISNUMBER(SEARCH("Party Name:-",'R.M Billets Reports'!D2956)),TRIM('R.M Billets Reports'!F2956),IF(ISNUMBER(SEARCH("Party Name-",'R.M Billets Reports'!D2956)),TRIM(MID('R.M Billets Reports'!D2956,SEARCH("-",'R.M Billets Reports'!D2956)+1,200)),""))&lt;&gt;"",IF(ISNUMBER(SEARCH("Party Name:-",'R.M Billets Reports'!D2956)),TRIM('R.M Billets Reports'!F2956),IF(ISNUMBER(SEARCH("Party Name-",'R.M Billets Reports'!D2956)),TRIM(MID('R.M Billets Reports'!D2956,SEARCH("-",'R.M Billets Reports'!D2956)+1,200)),"")),IF(ISNUMBER(SEARCH("Party Name:-",'R.M Billets Reports'!D2957)),TRIM('R.M Billets Reports'!F2957),IF(ISNUMBER(SEARCH("Party Name-",'R.M Billets Reports'!D2957)),TRIM(MID('R.M Billets Reports'!D2957,SEARCH("-",'R.M Billets Reports'!D2957)+1,200)),"")))="SHRI RADHE","SHREE RADHE",IF(IF(IF(ISNUMBER(SEARCH("Party Name:-",'R.M Billets Reports'!D2956)),TRIM('R.M Billets Reports'!F2956),IF(ISNUMBER(SEARCH("Party Name-",'R.M Billets Reports'!D2956)),TRIM(MID('R.M Billets Reports'!D2956,SEARCH("-",'R.M Billets Reports'!D2956)+1,200)),""))&lt;&gt;"",IF(ISNUMBER(SEARCH("Party Name:-",'R.M Billets Reports'!D2956)),TRIM('R.M Billets Reports'!F2956),IF(ISNUMBER(SEARCH("Party Name-",'R.M Billets Reports'!D2956)),TRIM(MID('R.M Billets Reports'!D2956,SEARCH("-",'R.M Billets Reports'!D2956)+1,200)),"")),IF(ISNUMBER(SEARCH("Party Name:-",'R.M Billets Reports'!D2957)),TRIM('R.M Billets Reports'!F2957),IF(ISNUMBER(SEARCH("Party Name-",'R.M Billets Reports'!D2957)),TRIM(MID('R.M Billets Reports'!D2957,SEARCH("-",'R.M Billets Reports'!D2957)+1,200)),"")))="SHREE RADHE SHAKTI SPONGE AND POWER PVT. LTD.","SHREE RADHE",IF(IF(ISNUMBER(SEARCH("Party Name:-",'R.M Billets Reports'!D2956)),TRIM('R.M Billets Reports'!F2956),IF(ISNUMBER(SEARCH("Party Name-",'R.M Billets Reports'!D2956)),TRIM(MID('R.M Billets Reports'!D2956,SEARCH("-",'R.M Billets Reports'!D2956)+1,200)),""))&lt;&gt;"",IF(ISNUMBER(SEARCH("Party Name:-",'R.M Billets Reports'!D2956)),TRIM('R.M Billets Reports'!F2956),IF(ISNUMBER(SEARCH("Party Name-",'R.M Billets Reports'!D2956)),TRIM(MID('R.M Billets Reports'!D2956,SEARCH("-",'R.M Billets Reports'!D2956)+1,200)),"")),IF(ISNUMBER(SEARCH("Party Name:-",'R.M Billets Reports'!D2957)),TRIM('R.M Billets Reports'!F2957),IF(ISNUMBER(SEARCH("Party Name-",'R.M Billets Reports'!D2957)),TRIM(MID('R.M Billets Reports'!D2957,SEARCH("-",'R.M Billets Reports'!D2957)+1,200)),"")))))),IF(ROW()=2,"",A2956))</f>
      </c>
      <c r="B2957">
        <f>IF(OR('R.M Billets Reports'!A2956="Date-",'R.M Billets Reports'!A2956="Date:-"),'R.M Billets Reports'!B2956,IF(ROW()=2,"",B2956))</f>
      </c>
      <c r="C2957">
        <f>IF('R.M Billets Reports'!A2956="V.No.",'R.M Billets Reports'!B2956,IF(ROW()=2,"",C2956))</f>
      </c>
      <c r="D2957">
        <f>IF('R.M Billets Reports'!A2956&lt;&gt;"",'R.M Billets Reports'!A2956,IF(ROW()=2,"",D2956))</f>
      </c>
      <c r="E2957">
        <f>IF('R.M Billets Reports'!B2956="","",TRIM('R.M Billets Reports'!B2956))</f>
      </c>
      <c r="F2957">
        <f>'R.M Billets Reports'!C2956</f>
      </c>
      <c r="G2957">
        <f>'R.M Billets Reports'!D2956</f>
      </c>
      <c r="H2957">
        <f>'R.M Billets Reports'!E2956</f>
      </c>
      <c r="I2957">
        <f>'R.M Billets Reports'!F2956</f>
      </c>
      <c r="J2957">
        <f>'R.M Billets Reports'!G2956</f>
      </c>
      <c r="K2957">
        <f>'R.M Billets Reports'!H2956</f>
      </c>
      <c r="L2957">
        <f>IF('R.M Billets Reports'!I2956="","",'R.M Billets Reports'!I2956)</f>
      </c>
      <c r="M2957">
        <f t="shared" si="92"/>
      </c>
      <c r="N2957">
        <f>IF('R.M Billets Reports'!J2956="","",'R.M Billets Reports'!J2956)</f>
      </c>
      <c r="O2957">
        <f t="shared" si="93"/>
      </c>
      <c r="P2957">
        <f>IF('R.M Billets Reports'!A2956="SIZE",'R.M Billets Reports'!B2956,P2956)</f>
      </c>
    </row>
    <row r="2958" spans="1:16" x14ac:dyDescent="0.25">
      <c r="A2958">
        <f>IF(OR('R.M Billets Reports'!A2957="Date-",'R.M Billets Reports'!A2957="Date:-"),IF(IF(IF(ISNUMBER(SEARCH("Party Name:-",'R.M Billets Reports'!D2957)),TRIM('R.M Billets Reports'!F2957),IF(ISNUMBER(SEARCH("Party Name-",'R.M Billets Reports'!D2957)),TRIM(MID('R.M Billets Reports'!D2957,SEARCH("-",'R.M Billets Reports'!D2957)+1,200)),""))&lt;&gt;"",IF(ISNUMBER(SEARCH("Party Name:-",'R.M Billets Reports'!D2957)),TRIM('R.M Billets Reports'!F2957),IF(ISNUMBER(SEARCH("Party Name-",'R.M Billets Reports'!D2957)),TRIM(MID('R.M Billets Reports'!D2957,SEARCH("-",'R.M Billets Reports'!D2957)+1,200)),"")),IF(ISNUMBER(SEARCH("Party Name:-",'R.M Billets Reports'!D2958)),TRIM('R.M Billets Reports'!F2958),IF(ISNUMBER(SEARCH("Party Name-",'R.M Billets Reports'!D2958)),TRIM(MID('R.M Billets Reports'!D2958,SEARCH("-",'R.M Billets Reports'!D2958)+1,200)),"")))="VRKP ISPAT PVT LTD","VRKP",IF(IF(IF(ISNUMBER(SEARCH("Party Name:-",'R.M Billets Reports'!D2957)),TRIM('R.M Billets Reports'!F2957),IF(ISNUMBER(SEARCH("Party Name-",'R.M Billets Reports'!D2957)),TRIM(MID('R.M Billets Reports'!D2957,SEARCH("-",'R.M Billets Reports'!D2957)+1,200)),""))&lt;&gt;"",IF(ISNUMBER(SEARCH("Party Name:-",'R.M Billets Reports'!D2957)),TRIM('R.M Billets Reports'!F2957),IF(ISNUMBER(SEARCH("Party Name-",'R.M Billets Reports'!D2957)),TRIM(MID('R.M Billets Reports'!D2957,SEARCH("-",'R.M Billets Reports'!D2957)+1,200)),"")),IF(ISNUMBER(SEARCH("Party Name:-",'R.M Billets Reports'!D2958)),TRIM('R.M Billets Reports'!F2958),IF(ISNUMBER(SEARCH("Party Name-",'R.M Billets Reports'!D2958)),TRIM(MID('R.M Billets Reports'!D2958,SEARCH("-",'R.M Billets Reports'!D2958)+1,200)),"")))="SHRI RADHE","SHREE RADHE",IF(IF(IF(ISNUMBER(SEARCH("Party Name:-",'R.M Billets Reports'!D2957)),TRIM('R.M Billets Reports'!F2957),IF(ISNUMBER(SEARCH("Party Name-",'R.M Billets Reports'!D2957)),TRIM(MID('R.M Billets Reports'!D2957,SEARCH("-",'R.M Billets Reports'!D2957)+1,200)),""))&lt;&gt;"",IF(ISNUMBER(SEARCH("Party Name:-",'R.M Billets Reports'!D2957)),TRIM('R.M Billets Reports'!F2957),IF(ISNUMBER(SEARCH("Party Name-",'R.M Billets Reports'!D2957)),TRIM(MID('R.M Billets Reports'!D2957,SEARCH("-",'R.M Billets Reports'!D2957)+1,200)),"")),IF(ISNUMBER(SEARCH("Party Name:-",'R.M Billets Reports'!D2958)),TRIM('R.M Billets Reports'!F2958),IF(ISNUMBER(SEARCH("Party Name-",'R.M Billets Reports'!D2958)),TRIM(MID('R.M Billets Reports'!D2958,SEARCH("-",'R.M Billets Reports'!D2958)+1,200)),"")))="SHREE RADHE SHAKTI SPONGE AND POWER PVT. LTD.","SHREE RADHE",IF(IF(ISNUMBER(SEARCH("Party Name:-",'R.M Billets Reports'!D2957)),TRIM('R.M Billets Reports'!F2957),IF(ISNUMBER(SEARCH("Party Name-",'R.M Billets Reports'!D2957)),TRIM(MID('R.M Billets Reports'!D2957,SEARCH("-",'R.M Billets Reports'!D2957)+1,200)),""))&lt;&gt;"",IF(ISNUMBER(SEARCH("Party Name:-",'R.M Billets Reports'!D2957)),TRIM('R.M Billets Reports'!F2957),IF(ISNUMBER(SEARCH("Party Name-",'R.M Billets Reports'!D2957)),TRIM(MID('R.M Billets Reports'!D2957,SEARCH("-",'R.M Billets Reports'!D2957)+1,200)),"")),IF(ISNUMBER(SEARCH("Party Name:-",'R.M Billets Reports'!D2958)),TRIM('R.M Billets Reports'!F2958),IF(ISNUMBER(SEARCH("Party Name-",'R.M Billets Reports'!D2958)),TRIM(MID('R.M Billets Reports'!D2958,SEARCH("-",'R.M Billets Reports'!D2958)+1,200)),"")))))),IF(ROW()=2,"",A2957))</f>
      </c>
      <c r="B2958">
        <f>IF(OR('R.M Billets Reports'!A2957="Date-",'R.M Billets Reports'!A2957="Date:-"),'R.M Billets Reports'!B2957,IF(ROW()=2,"",B2957))</f>
      </c>
      <c r="C2958">
        <f>IF('R.M Billets Reports'!A2957="V.No.",'R.M Billets Reports'!B2957,IF(ROW()=2,"",C2957))</f>
      </c>
      <c r="D2958">
        <f>IF('R.M Billets Reports'!A2957&lt;&gt;"",'R.M Billets Reports'!A2957,IF(ROW()=2,"",D2957))</f>
      </c>
      <c r="E2958">
        <f>IF('R.M Billets Reports'!B2957="","",TRIM('R.M Billets Reports'!B2957))</f>
      </c>
      <c r="F2958">
        <f>'R.M Billets Reports'!C2957</f>
      </c>
      <c r="G2958">
        <f>'R.M Billets Reports'!D2957</f>
      </c>
      <c r="H2958">
        <f>'R.M Billets Reports'!E2957</f>
      </c>
      <c r="I2958">
        <f>'R.M Billets Reports'!F2957</f>
      </c>
      <c r="J2958">
        <f>'R.M Billets Reports'!G2957</f>
      </c>
      <c r="K2958">
        <f>'R.M Billets Reports'!H2957</f>
      </c>
      <c r="L2958">
        <f>IF('R.M Billets Reports'!I2957="","",'R.M Billets Reports'!I2957)</f>
      </c>
      <c r="M2958">
        <f t="shared" si="92"/>
      </c>
      <c r="N2958">
        <f>IF('R.M Billets Reports'!J2957="","",'R.M Billets Reports'!J2957)</f>
      </c>
      <c r="O2958">
        <f t="shared" si="93"/>
      </c>
      <c r="P2958">
        <f>IF('R.M Billets Reports'!A2957="SIZE",'R.M Billets Reports'!B2957,P2957)</f>
      </c>
    </row>
    <row r="2959" spans="1:16" x14ac:dyDescent="0.25">
      <c r="A2959">
        <f>IF(OR('R.M Billets Reports'!A2958="Date-",'R.M Billets Reports'!A2958="Date:-"),IF(IF(IF(ISNUMBER(SEARCH("Party Name:-",'R.M Billets Reports'!D2958)),TRIM('R.M Billets Reports'!F2958),IF(ISNUMBER(SEARCH("Party Name-",'R.M Billets Reports'!D2958)),TRIM(MID('R.M Billets Reports'!D2958,SEARCH("-",'R.M Billets Reports'!D2958)+1,200)),""))&lt;&gt;"",IF(ISNUMBER(SEARCH("Party Name:-",'R.M Billets Reports'!D2958)),TRIM('R.M Billets Reports'!F2958),IF(ISNUMBER(SEARCH("Party Name-",'R.M Billets Reports'!D2958)),TRIM(MID('R.M Billets Reports'!D2958,SEARCH("-",'R.M Billets Reports'!D2958)+1,200)),"")),IF(ISNUMBER(SEARCH("Party Name:-",'R.M Billets Reports'!D2959)),TRIM('R.M Billets Reports'!F2959),IF(ISNUMBER(SEARCH("Party Name-",'R.M Billets Reports'!D2959)),TRIM(MID('R.M Billets Reports'!D2959,SEARCH("-",'R.M Billets Reports'!D2959)+1,200)),"")))="VRKP ISPAT PVT LTD","VRKP",IF(IF(IF(ISNUMBER(SEARCH("Party Name:-",'R.M Billets Reports'!D2958)),TRIM('R.M Billets Reports'!F2958),IF(ISNUMBER(SEARCH("Party Name-",'R.M Billets Reports'!D2958)),TRIM(MID('R.M Billets Reports'!D2958,SEARCH("-",'R.M Billets Reports'!D2958)+1,200)),""))&lt;&gt;"",IF(ISNUMBER(SEARCH("Party Name:-",'R.M Billets Reports'!D2958)),TRIM('R.M Billets Reports'!F2958),IF(ISNUMBER(SEARCH("Party Name-",'R.M Billets Reports'!D2958)),TRIM(MID('R.M Billets Reports'!D2958,SEARCH("-",'R.M Billets Reports'!D2958)+1,200)),"")),IF(ISNUMBER(SEARCH("Party Name:-",'R.M Billets Reports'!D2959)),TRIM('R.M Billets Reports'!F2959),IF(ISNUMBER(SEARCH("Party Name-",'R.M Billets Reports'!D2959)),TRIM(MID('R.M Billets Reports'!D2959,SEARCH("-",'R.M Billets Reports'!D2959)+1,200)),"")))="SHRI RADHE","SHREE RADHE",IF(IF(IF(ISNUMBER(SEARCH("Party Name:-",'R.M Billets Reports'!D2958)),TRIM('R.M Billets Reports'!F2958),IF(ISNUMBER(SEARCH("Party Name-",'R.M Billets Reports'!D2958)),TRIM(MID('R.M Billets Reports'!D2958,SEARCH("-",'R.M Billets Reports'!D2958)+1,200)),""))&lt;&gt;"",IF(ISNUMBER(SEARCH("Party Name:-",'R.M Billets Reports'!D2958)),TRIM('R.M Billets Reports'!F2958),IF(ISNUMBER(SEARCH("Party Name-",'R.M Billets Reports'!D2958)),TRIM(MID('R.M Billets Reports'!D2958,SEARCH("-",'R.M Billets Reports'!D2958)+1,200)),"")),IF(ISNUMBER(SEARCH("Party Name:-",'R.M Billets Reports'!D2959)),TRIM('R.M Billets Reports'!F2959),IF(ISNUMBER(SEARCH("Party Name-",'R.M Billets Reports'!D2959)),TRIM(MID('R.M Billets Reports'!D2959,SEARCH("-",'R.M Billets Reports'!D2959)+1,200)),"")))="SHREE RADHE SHAKTI SPONGE AND POWER PVT. LTD.","SHREE RADHE",IF(IF(ISNUMBER(SEARCH("Party Name:-",'R.M Billets Reports'!D2958)),TRIM('R.M Billets Reports'!F2958),IF(ISNUMBER(SEARCH("Party Name-",'R.M Billets Reports'!D2958)),TRIM(MID('R.M Billets Reports'!D2958,SEARCH("-",'R.M Billets Reports'!D2958)+1,200)),""))&lt;&gt;"",IF(ISNUMBER(SEARCH("Party Name:-",'R.M Billets Reports'!D2958)),TRIM('R.M Billets Reports'!F2958),IF(ISNUMBER(SEARCH("Party Name-",'R.M Billets Reports'!D2958)),TRIM(MID('R.M Billets Reports'!D2958,SEARCH("-",'R.M Billets Reports'!D2958)+1,200)),"")),IF(ISNUMBER(SEARCH("Party Name:-",'R.M Billets Reports'!D2959)),TRIM('R.M Billets Reports'!F2959),IF(ISNUMBER(SEARCH("Party Name-",'R.M Billets Reports'!D2959)),TRIM(MID('R.M Billets Reports'!D2959,SEARCH("-",'R.M Billets Reports'!D2959)+1,200)),"")))))),IF(ROW()=2,"",A2958))</f>
      </c>
      <c r="B2959">
        <f>IF(OR('R.M Billets Reports'!A2958="Date-",'R.M Billets Reports'!A2958="Date:-"),'R.M Billets Reports'!B2958,IF(ROW()=2,"",B2958))</f>
      </c>
      <c r="C2959">
        <f>IF('R.M Billets Reports'!A2958="V.No.",'R.M Billets Reports'!B2958,IF(ROW()=2,"",C2958))</f>
      </c>
      <c r="D2959">
        <f>IF('R.M Billets Reports'!A2958&lt;&gt;"",'R.M Billets Reports'!A2958,IF(ROW()=2,"",D2958))</f>
      </c>
      <c r="E2959">
        <f>IF('R.M Billets Reports'!B2958="","",TRIM('R.M Billets Reports'!B2958))</f>
      </c>
      <c r="F2959">
        <f>'R.M Billets Reports'!C2958</f>
      </c>
      <c r="G2959">
        <f>'R.M Billets Reports'!D2958</f>
      </c>
      <c r="H2959">
        <f>'R.M Billets Reports'!E2958</f>
      </c>
      <c r="I2959">
        <f>'R.M Billets Reports'!F2958</f>
      </c>
      <c r="J2959">
        <f>'R.M Billets Reports'!G2958</f>
      </c>
      <c r="K2959">
        <f>'R.M Billets Reports'!H2958</f>
      </c>
      <c r="L2959">
        <f>IF('R.M Billets Reports'!I2958="","",'R.M Billets Reports'!I2958)</f>
      </c>
      <c r="M2959">
        <f t="shared" si="92"/>
      </c>
      <c r="N2959">
        <f>IF('R.M Billets Reports'!J2958="","",'R.M Billets Reports'!J2958)</f>
      </c>
      <c r="O2959">
        <f t="shared" si="93"/>
      </c>
      <c r="P2959">
        <f>IF('R.M Billets Reports'!A2958="SIZE",'R.M Billets Reports'!B2958,P2958)</f>
      </c>
    </row>
    <row r="2960" spans="1:16" x14ac:dyDescent="0.25">
      <c r="A2960">
        <f>IF(OR('R.M Billets Reports'!A2959="Date-",'R.M Billets Reports'!A2959="Date:-"),IF(IF(IF(ISNUMBER(SEARCH("Party Name:-",'R.M Billets Reports'!D2959)),TRIM('R.M Billets Reports'!F2959),IF(ISNUMBER(SEARCH("Party Name-",'R.M Billets Reports'!D2959)),TRIM(MID('R.M Billets Reports'!D2959,SEARCH("-",'R.M Billets Reports'!D2959)+1,200)),""))&lt;&gt;"",IF(ISNUMBER(SEARCH("Party Name:-",'R.M Billets Reports'!D2959)),TRIM('R.M Billets Reports'!F2959),IF(ISNUMBER(SEARCH("Party Name-",'R.M Billets Reports'!D2959)),TRIM(MID('R.M Billets Reports'!D2959,SEARCH("-",'R.M Billets Reports'!D2959)+1,200)),"")),IF(ISNUMBER(SEARCH("Party Name:-",'R.M Billets Reports'!D2960)),TRIM('R.M Billets Reports'!F2960),IF(ISNUMBER(SEARCH("Party Name-",'R.M Billets Reports'!D2960)),TRIM(MID('R.M Billets Reports'!D2960,SEARCH("-",'R.M Billets Reports'!D2960)+1,200)),"")))="VRKP ISPAT PVT LTD","VRKP",IF(IF(IF(ISNUMBER(SEARCH("Party Name:-",'R.M Billets Reports'!D2959)),TRIM('R.M Billets Reports'!F2959),IF(ISNUMBER(SEARCH("Party Name-",'R.M Billets Reports'!D2959)),TRIM(MID('R.M Billets Reports'!D2959,SEARCH("-",'R.M Billets Reports'!D2959)+1,200)),""))&lt;&gt;"",IF(ISNUMBER(SEARCH("Party Name:-",'R.M Billets Reports'!D2959)),TRIM('R.M Billets Reports'!F2959),IF(ISNUMBER(SEARCH("Party Name-",'R.M Billets Reports'!D2959)),TRIM(MID('R.M Billets Reports'!D2959,SEARCH("-",'R.M Billets Reports'!D2959)+1,200)),"")),IF(ISNUMBER(SEARCH("Party Name:-",'R.M Billets Reports'!D2960)),TRIM('R.M Billets Reports'!F2960),IF(ISNUMBER(SEARCH("Party Name-",'R.M Billets Reports'!D2960)),TRIM(MID('R.M Billets Reports'!D2960,SEARCH("-",'R.M Billets Reports'!D2960)+1,200)),"")))="SHRI RADHE","SHREE RADHE",IF(IF(IF(ISNUMBER(SEARCH("Party Name:-",'R.M Billets Reports'!D2959)),TRIM('R.M Billets Reports'!F2959),IF(ISNUMBER(SEARCH("Party Name-",'R.M Billets Reports'!D2959)),TRIM(MID('R.M Billets Reports'!D2959,SEARCH("-",'R.M Billets Reports'!D2959)+1,200)),""))&lt;&gt;"",IF(ISNUMBER(SEARCH("Party Name:-",'R.M Billets Reports'!D2959)),TRIM('R.M Billets Reports'!F2959),IF(ISNUMBER(SEARCH("Party Name-",'R.M Billets Reports'!D2959)),TRIM(MID('R.M Billets Reports'!D2959,SEARCH("-",'R.M Billets Reports'!D2959)+1,200)),"")),IF(ISNUMBER(SEARCH("Party Name:-",'R.M Billets Reports'!D2960)),TRIM('R.M Billets Reports'!F2960),IF(ISNUMBER(SEARCH("Party Name-",'R.M Billets Reports'!D2960)),TRIM(MID('R.M Billets Reports'!D2960,SEARCH("-",'R.M Billets Reports'!D2960)+1,200)),"")))="SHREE RADHE SHAKTI SPONGE AND POWER PVT. LTD.","SHREE RADHE",IF(IF(ISNUMBER(SEARCH("Party Name:-",'R.M Billets Reports'!D2959)),TRIM('R.M Billets Reports'!F2959),IF(ISNUMBER(SEARCH("Party Name-",'R.M Billets Reports'!D2959)),TRIM(MID('R.M Billets Reports'!D2959,SEARCH("-",'R.M Billets Reports'!D2959)+1,200)),""))&lt;&gt;"",IF(ISNUMBER(SEARCH("Party Name:-",'R.M Billets Reports'!D2959)),TRIM('R.M Billets Reports'!F2959),IF(ISNUMBER(SEARCH("Party Name-",'R.M Billets Reports'!D2959)),TRIM(MID('R.M Billets Reports'!D2959,SEARCH("-",'R.M Billets Reports'!D2959)+1,200)),"")),IF(ISNUMBER(SEARCH("Party Name:-",'R.M Billets Reports'!D2960)),TRIM('R.M Billets Reports'!F2960),IF(ISNUMBER(SEARCH("Party Name-",'R.M Billets Reports'!D2960)),TRIM(MID('R.M Billets Reports'!D2960,SEARCH("-",'R.M Billets Reports'!D2960)+1,200)),"")))))),IF(ROW()=2,"",A2959))</f>
      </c>
      <c r="B2960">
        <f>IF(OR('R.M Billets Reports'!A2959="Date-",'R.M Billets Reports'!A2959="Date:-"),'R.M Billets Reports'!B2959,IF(ROW()=2,"",B2959))</f>
      </c>
      <c r="C2960">
        <f>IF('R.M Billets Reports'!A2959="V.No.",'R.M Billets Reports'!B2959,IF(ROW()=2,"",C2959))</f>
      </c>
      <c r="D2960">
        <f>IF('R.M Billets Reports'!A2959&lt;&gt;"",'R.M Billets Reports'!A2959,IF(ROW()=2,"",D2959))</f>
      </c>
      <c r="E2960">
        <f>IF('R.M Billets Reports'!B2959="","",TRIM('R.M Billets Reports'!B2959))</f>
      </c>
      <c r="F2960">
        <f>'R.M Billets Reports'!C2959</f>
      </c>
      <c r="G2960">
        <f>'R.M Billets Reports'!D2959</f>
      </c>
      <c r="H2960">
        <f>'R.M Billets Reports'!E2959</f>
      </c>
      <c r="I2960">
        <f>'R.M Billets Reports'!F2959</f>
      </c>
      <c r="J2960">
        <f>'R.M Billets Reports'!G2959</f>
      </c>
      <c r="K2960">
        <f>'R.M Billets Reports'!H2959</f>
      </c>
      <c r="L2960">
        <f>IF('R.M Billets Reports'!I2959="","",'R.M Billets Reports'!I2959)</f>
      </c>
      <c r="M2960">
        <f t="shared" si="92"/>
      </c>
      <c r="N2960">
        <f>IF('R.M Billets Reports'!J2959="","",'R.M Billets Reports'!J2959)</f>
      </c>
      <c r="O2960">
        <f t="shared" si="93"/>
      </c>
      <c r="P2960">
        <f>IF('R.M Billets Reports'!A2959="SIZE",'R.M Billets Reports'!B2959,P2959)</f>
      </c>
    </row>
    <row r="2961" spans="1:16" x14ac:dyDescent="0.25">
      <c r="A2961">
        <f>IF(OR('R.M Billets Reports'!A2960="Date-",'R.M Billets Reports'!A2960="Date:-"),IF(IF(IF(ISNUMBER(SEARCH("Party Name:-",'R.M Billets Reports'!D2960)),TRIM('R.M Billets Reports'!F2960),IF(ISNUMBER(SEARCH("Party Name-",'R.M Billets Reports'!D2960)),TRIM(MID('R.M Billets Reports'!D2960,SEARCH("-",'R.M Billets Reports'!D2960)+1,200)),""))&lt;&gt;"",IF(ISNUMBER(SEARCH("Party Name:-",'R.M Billets Reports'!D2960)),TRIM('R.M Billets Reports'!F2960),IF(ISNUMBER(SEARCH("Party Name-",'R.M Billets Reports'!D2960)),TRIM(MID('R.M Billets Reports'!D2960,SEARCH("-",'R.M Billets Reports'!D2960)+1,200)),"")),IF(ISNUMBER(SEARCH("Party Name:-",'R.M Billets Reports'!D2961)),TRIM('R.M Billets Reports'!F2961),IF(ISNUMBER(SEARCH("Party Name-",'R.M Billets Reports'!D2961)),TRIM(MID('R.M Billets Reports'!D2961,SEARCH("-",'R.M Billets Reports'!D2961)+1,200)),"")))="VRKP ISPAT PVT LTD","VRKP",IF(IF(IF(ISNUMBER(SEARCH("Party Name:-",'R.M Billets Reports'!D2960)),TRIM('R.M Billets Reports'!F2960),IF(ISNUMBER(SEARCH("Party Name-",'R.M Billets Reports'!D2960)),TRIM(MID('R.M Billets Reports'!D2960,SEARCH("-",'R.M Billets Reports'!D2960)+1,200)),""))&lt;&gt;"",IF(ISNUMBER(SEARCH("Party Name:-",'R.M Billets Reports'!D2960)),TRIM('R.M Billets Reports'!F2960),IF(ISNUMBER(SEARCH("Party Name-",'R.M Billets Reports'!D2960)),TRIM(MID('R.M Billets Reports'!D2960,SEARCH("-",'R.M Billets Reports'!D2960)+1,200)),"")),IF(ISNUMBER(SEARCH("Party Name:-",'R.M Billets Reports'!D2961)),TRIM('R.M Billets Reports'!F2961),IF(ISNUMBER(SEARCH("Party Name-",'R.M Billets Reports'!D2961)),TRIM(MID('R.M Billets Reports'!D2961,SEARCH("-",'R.M Billets Reports'!D2961)+1,200)),"")))="SHRI RADHE","SHREE RADHE",IF(IF(IF(ISNUMBER(SEARCH("Party Name:-",'R.M Billets Reports'!D2960)),TRIM('R.M Billets Reports'!F2960),IF(ISNUMBER(SEARCH("Party Name-",'R.M Billets Reports'!D2960)),TRIM(MID('R.M Billets Reports'!D2960,SEARCH("-",'R.M Billets Reports'!D2960)+1,200)),""))&lt;&gt;"",IF(ISNUMBER(SEARCH("Party Name:-",'R.M Billets Reports'!D2960)),TRIM('R.M Billets Reports'!F2960),IF(ISNUMBER(SEARCH("Party Name-",'R.M Billets Reports'!D2960)),TRIM(MID('R.M Billets Reports'!D2960,SEARCH("-",'R.M Billets Reports'!D2960)+1,200)),"")),IF(ISNUMBER(SEARCH("Party Name:-",'R.M Billets Reports'!D2961)),TRIM('R.M Billets Reports'!F2961),IF(ISNUMBER(SEARCH("Party Name-",'R.M Billets Reports'!D2961)),TRIM(MID('R.M Billets Reports'!D2961,SEARCH("-",'R.M Billets Reports'!D2961)+1,200)),"")))="SHREE RADHE SHAKTI SPONGE AND POWER PVT. LTD.","SHREE RADHE",IF(IF(ISNUMBER(SEARCH("Party Name:-",'R.M Billets Reports'!D2960)),TRIM('R.M Billets Reports'!F2960),IF(ISNUMBER(SEARCH("Party Name-",'R.M Billets Reports'!D2960)),TRIM(MID('R.M Billets Reports'!D2960,SEARCH("-",'R.M Billets Reports'!D2960)+1,200)),""))&lt;&gt;"",IF(ISNUMBER(SEARCH("Party Name:-",'R.M Billets Reports'!D2960)),TRIM('R.M Billets Reports'!F2960),IF(ISNUMBER(SEARCH("Party Name-",'R.M Billets Reports'!D2960)),TRIM(MID('R.M Billets Reports'!D2960,SEARCH("-",'R.M Billets Reports'!D2960)+1,200)),"")),IF(ISNUMBER(SEARCH("Party Name:-",'R.M Billets Reports'!D2961)),TRIM('R.M Billets Reports'!F2961),IF(ISNUMBER(SEARCH("Party Name-",'R.M Billets Reports'!D2961)),TRIM(MID('R.M Billets Reports'!D2961,SEARCH("-",'R.M Billets Reports'!D2961)+1,200)),"")))))),IF(ROW()=2,"",A2960))</f>
      </c>
      <c r="B2961">
        <f>IF(OR('R.M Billets Reports'!A2960="Date-",'R.M Billets Reports'!A2960="Date:-"),'R.M Billets Reports'!B2960,IF(ROW()=2,"",B2960))</f>
      </c>
      <c r="C2961">
        <f>IF('R.M Billets Reports'!A2960="V.No.",'R.M Billets Reports'!B2960,IF(ROW()=2,"",C2960))</f>
      </c>
      <c r="D2961">
        <f>IF('R.M Billets Reports'!A2960&lt;&gt;"",'R.M Billets Reports'!A2960,IF(ROW()=2,"",D2960))</f>
      </c>
      <c r="E2961">
        <f>IF('R.M Billets Reports'!B2960="","",TRIM('R.M Billets Reports'!B2960))</f>
      </c>
      <c r="F2961">
        <f>'R.M Billets Reports'!C2960</f>
      </c>
      <c r="G2961">
        <f>'R.M Billets Reports'!D2960</f>
      </c>
      <c r="H2961">
        <f>'R.M Billets Reports'!E2960</f>
      </c>
      <c r="I2961">
        <f>'R.M Billets Reports'!F2960</f>
      </c>
      <c r="J2961">
        <f>'R.M Billets Reports'!G2960</f>
      </c>
      <c r="K2961">
        <f>'R.M Billets Reports'!H2960</f>
      </c>
      <c r="L2961">
        <f>IF('R.M Billets Reports'!I2960="","",'R.M Billets Reports'!I2960)</f>
      </c>
      <c r="M2961">
        <f t="shared" si="92"/>
      </c>
      <c r="N2961">
        <f>IF('R.M Billets Reports'!J2960="","",'R.M Billets Reports'!J2960)</f>
      </c>
      <c r="O2961">
        <f t="shared" si="93"/>
      </c>
      <c r="P2961">
        <f>IF('R.M Billets Reports'!A2960="SIZE",'R.M Billets Reports'!B2960,P2960)</f>
      </c>
    </row>
    <row r="2962" spans="1:16" x14ac:dyDescent="0.25">
      <c r="A2962">
        <f>IF(OR('R.M Billets Reports'!A2961="Date-",'R.M Billets Reports'!A2961="Date:-"),IF(IF(IF(ISNUMBER(SEARCH("Party Name:-",'R.M Billets Reports'!D2961)),TRIM('R.M Billets Reports'!F2961),IF(ISNUMBER(SEARCH("Party Name-",'R.M Billets Reports'!D2961)),TRIM(MID('R.M Billets Reports'!D2961,SEARCH("-",'R.M Billets Reports'!D2961)+1,200)),""))&lt;&gt;"",IF(ISNUMBER(SEARCH("Party Name:-",'R.M Billets Reports'!D2961)),TRIM('R.M Billets Reports'!F2961),IF(ISNUMBER(SEARCH("Party Name-",'R.M Billets Reports'!D2961)),TRIM(MID('R.M Billets Reports'!D2961,SEARCH("-",'R.M Billets Reports'!D2961)+1,200)),"")),IF(ISNUMBER(SEARCH("Party Name:-",'R.M Billets Reports'!D2962)),TRIM('R.M Billets Reports'!F2962),IF(ISNUMBER(SEARCH("Party Name-",'R.M Billets Reports'!D2962)),TRIM(MID('R.M Billets Reports'!D2962,SEARCH("-",'R.M Billets Reports'!D2962)+1,200)),"")))="VRKP ISPAT PVT LTD","VRKP",IF(IF(IF(ISNUMBER(SEARCH("Party Name:-",'R.M Billets Reports'!D2961)),TRIM('R.M Billets Reports'!F2961),IF(ISNUMBER(SEARCH("Party Name-",'R.M Billets Reports'!D2961)),TRIM(MID('R.M Billets Reports'!D2961,SEARCH("-",'R.M Billets Reports'!D2961)+1,200)),""))&lt;&gt;"",IF(ISNUMBER(SEARCH("Party Name:-",'R.M Billets Reports'!D2961)),TRIM('R.M Billets Reports'!F2961),IF(ISNUMBER(SEARCH("Party Name-",'R.M Billets Reports'!D2961)),TRIM(MID('R.M Billets Reports'!D2961,SEARCH("-",'R.M Billets Reports'!D2961)+1,200)),"")),IF(ISNUMBER(SEARCH("Party Name:-",'R.M Billets Reports'!D2962)),TRIM('R.M Billets Reports'!F2962),IF(ISNUMBER(SEARCH("Party Name-",'R.M Billets Reports'!D2962)),TRIM(MID('R.M Billets Reports'!D2962,SEARCH("-",'R.M Billets Reports'!D2962)+1,200)),"")))="SHRI RADHE","SHREE RADHE",IF(IF(IF(ISNUMBER(SEARCH("Party Name:-",'R.M Billets Reports'!D2961)),TRIM('R.M Billets Reports'!F2961),IF(ISNUMBER(SEARCH("Party Name-",'R.M Billets Reports'!D2961)),TRIM(MID('R.M Billets Reports'!D2961,SEARCH("-",'R.M Billets Reports'!D2961)+1,200)),""))&lt;&gt;"",IF(ISNUMBER(SEARCH("Party Name:-",'R.M Billets Reports'!D2961)),TRIM('R.M Billets Reports'!F2961),IF(ISNUMBER(SEARCH("Party Name-",'R.M Billets Reports'!D2961)),TRIM(MID('R.M Billets Reports'!D2961,SEARCH("-",'R.M Billets Reports'!D2961)+1,200)),"")),IF(ISNUMBER(SEARCH("Party Name:-",'R.M Billets Reports'!D2962)),TRIM('R.M Billets Reports'!F2962),IF(ISNUMBER(SEARCH("Party Name-",'R.M Billets Reports'!D2962)),TRIM(MID('R.M Billets Reports'!D2962,SEARCH("-",'R.M Billets Reports'!D2962)+1,200)),"")))="SHREE RADHE SHAKTI SPONGE AND POWER PVT. LTD.","SHREE RADHE",IF(IF(ISNUMBER(SEARCH("Party Name:-",'R.M Billets Reports'!D2961)),TRIM('R.M Billets Reports'!F2961),IF(ISNUMBER(SEARCH("Party Name-",'R.M Billets Reports'!D2961)),TRIM(MID('R.M Billets Reports'!D2961,SEARCH("-",'R.M Billets Reports'!D2961)+1,200)),""))&lt;&gt;"",IF(ISNUMBER(SEARCH("Party Name:-",'R.M Billets Reports'!D2961)),TRIM('R.M Billets Reports'!F2961),IF(ISNUMBER(SEARCH("Party Name-",'R.M Billets Reports'!D2961)),TRIM(MID('R.M Billets Reports'!D2961,SEARCH("-",'R.M Billets Reports'!D2961)+1,200)),"")),IF(ISNUMBER(SEARCH("Party Name:-",'R.M Billets Reports'!D2962)),TRIM('R.M Billets Reports'!F2962),IF(ISNUMBER(SEARCH("Party Name-",'R.M Billets Reports'!D2962)),TRIM(MID('R.M Billets Reports'!D2962,SEARCH("-",'R.M Billets Reports'!D2962)+1,200)),"")))))),IF(ROW()=2,"",A2961))</f>
      </c>
      <c r="B2962">
        <f>IF(OR('R.M Billets Reports'!A2961="Date-",'R.M Billets Reports'!A2961="Date:-"),'R.M Billets Reports'!B2961,IF(ROW()=2,"",B2961))</f>
      </c>
      <c r="C2962">
        <f>IF('R.M Billets Reports'!A2961="V.No.",'R.M Billets Reports'!B2961,IF(ROW()=2,"",C2961))</f>
      </c>
      <c r="D2962">
        <f>IF('R.M Billets Reports'!A2961&lt;&gt;"",'R.M Billets Reports'!A2961,IF(ROW()=2,"",D2961))</f>
      </c>
      <c r="E2962">
        <f>IF('R.M Billets Reports'!B2961="","",TRIM('R.M Billets Reports'!B2961))</f>
      </c>
      <c r="F2962">
        <f>'R.M Billets Reports'!C2961</f>
      </c>
      <c r="G2962">
        <f>'R.M Billets Reports'!D2961</f>
      </c>
      <c r="H2962">
        <f>'R.M Billets Reports'!E2961</f>
      </c>
      <c r="I2962">
        <f>'R.M Billets Reports'!F2961</f>
      </c>
      <c r="J2962">
        <f>'R.M Billets Reports'!G2961</f>
      </c>
      <c r="K2962">
        <f>'R.M Billets Reports'!H2961</f>
      </c>
      <c r="L2962">
        <f>IF('R.M Billets Reports'!I2961="","",'R.M Billets Reports'!I2961)</f>
      </c>
      <c r="M2962">
        <f t="shared" si="92"/>
      </c>
      <c r="N2962">
        <f>IF('R.M Billets Reports'!J2961="","",'R.M Billets Reports'!J2961)</f>
      </c>
      <c r="O2962">
        <f t="shared" si="93"/>
      </c>
      <c r="P2962">
        <f>IF('R.M Billets Reports'!A2961="SIZE",'R.M Billets Reports'!B2961,P2961)</f>
      </c>
    </row>
    <row r="2963" spans="1:16" x14ac:dyDescent="0.25">
      <c r="A2963">
        <f>IF(OR('R.M Billets Reports'!A2962="Date-",'R.M Billets Reports'!A2962="Date:-"),IF(IF(IF(ISNUMBER(SEARCH("Party Name:-",'R.M Billets Reports'!D2962)),TRIM('R.M Billets Reports'!F2962),IF(ISNUMBER(SEARCH("Party Name-",'R.M Billets Reports'!D2962)),TRIM(MID('R.M Billets Reports'!D2962,SEARCH("-",'R.M Billets Reports'!D2962)+1,200)),""))&lt;&gt;"",IF(ISNUMBER(SEARCH("Party Name:-",'R.M Billets Reports'!D2962)),TRIM('R.M Billets Reports'!F2962),IF(ISNUMBER(SEARCH("Party Name-",'R.M Billets Reports'!D2962)),TRIM(MID('R.M Billets Reports'!D2962,SEARCH("-",'R.M Billets Reports'!D2962)+1,200)),"")),IF(ISNUMBER(SEARCH("Party Name:-",'R.M Billets Reports'!D2963)),TRIM('R.M Billets Reports'!F2963),IF(ISNUMBER(SEARCH("Party Name-",'R.M Billets Reports'!D2963)),TRIM(MID('R.M Billets Reports'!D2963,SEARCH("-",'R.M Billets Reports'!D2963)+1,200)),"")))="VRKP ISPAT PVT LTD","VRKP",IF(IF(IF(ISNUMBER(SEARCH("Party Name:-",'R.M Billets Reports'!D2962)),TRIM('R.M Billets Reports'!F2962),IF(ISNUMBER(SEARCH("Party Name-",'R.M Billets Reports'!D2962)),TRIM(MID('R.M Billets Reports'!D2962,SEARCH("-",'R.M Billets Reports'!D2962)+1,200)),""))&lt;&gt;"",IF(ISNUMBER(SEARCH("Party Name:-",'R.M Billets Reports'!D2962)),TRIM('R.M Billets Reports'!F2962),IF(ISNUMBER(SEARCH("Party Name-",'R.M Billets Reports'!D2962)),TRIM(MID('R.M Billets Reports'!D2962,SEARCH("-",'R.M Billets Reports'!D2962)+1,200)),"")),IF(ISNUMBER(SEARCH("Party Name:-",'R.M Billets Reports'!D2963)),TRIM('R.M Billets Reports'!F2963),IF(ISNUMBER(SEARCH("Party Name-",'R.M Billets Reports'!D2963)),TRIM(MID('R.M Billets Reports'!D2963,SEARCH("-",'R.M Billets Reports'!D2963)+1,200)),"")))="SHRI RADHE","SHREE RADHE",IF(IF(IF(ISNUMBER(SEARCH("Party Name:-",'R.M Billets Reports'!D2962)),TRIM('R.M Billets Reports'!F2962),IF(ISNUMBER(SEARCH("Party Name-",'R.M Billets Reports'!D2962)),TRIM(MID('R.M Billets Reports'!D2962,SEARCH("-",'R.M Billets Reports'!D2962)+1,200)),""))&lt;&gt;"",IF(ISNUMBER(SEARCH("Party Name:-",'R.M Billets Reports'!D2962)),TRIM('R.M Billets Reports'!F2962),IF(ISNUMBER(SEARCH("Party Name-",'R.M Billets Reports'!D2962)),TRIM(MID('R.M Billets Reports'!D2962,SEARCH("-",'R.M Billets Reports'!D2962)+1,200)),"")),IF(ISNUMBER(SEARCH("Party Name:-",'R.M Billets Reports'!D2963)),TRIM('R.M Billets Reports'!F2963),IF(ISNUMBER(SEARCH("Party Name-",'R.M Billets Reports'!D2963)),TRIM(MID('R.M Billets Reports'!D2963,SEARCH("-",'R.M Billets Reports'!D2963)+1,200)),"")))="SHREE RADHE SHAKTI SPONGE AND POWER PVT. LTD.","SHREE RADHE",IF(IF(ISNUMBER(SEARCH("Party Name:-",'R.M Billets Reports'!D2962)),TRIM('R.M Billets Reports'!F2962),IF(ISNUMBER(SEARCH("Party Name-",'R.M Billets Reports'!D2962)),TRIM(MID('R.M Billets Reports'!D2962,SEARCH("-",'R.M Billets Reports'!D2962)+1,200)),""))&lt;&gt;"",IF(ISNUMBER(SEARCH("Party Name:-",'R.M Billets Reports'!D2962)),TRIM('R.M Billets Reports'!F2962),IF(ISNUMBER(SEARCH("Party Name-",'R.M Billets Reports'!D2962)),TRIM(MID('R.M Billets Reports'!D2962,SEARCH("-",'R.M Billets Reports'!D2962)+1,200)),"")),IF(ISNUMBER(SEARCH("Party Name:-",'R.M Billets Reports'!D2963)),TRIM('R.M Billets Reports'!F2963),IF(ISNUMBER(SEARCH("Party Name-",'R.M Billets Reports'!D2963)),TRIM(MID('R.M Billets Reports'!D2963,SEARCH("-",'R.M Billets Reports'!D2963)+1,200)),"")))))),IF(ROW()=2,"",A2962))</f>
      </c>
      <c r="B2963">
        <f>IF(OR('R.M Billets Reports'!A2962="Date-",'R.M Billets Reports'!A2962="Date:-"),'R.M Billets Reports'!B2962,IF(ROW()=2,"",B2962))</f>
      </c>
      <c r="C2963">
        <f>IF('R.M Billets Reports'!A2962="V.No.",'R.M Billets Reports'!B2962,IF(ROW()=2,"",C2962))</f>
      </c>
      <c r="D2963">
        <f>IF('R.M Billets Reports'!A2962&lt;&gt;"",'R.M Billets Reports'!A2962,IF(ROW()=2,"",D2962))</f>
      </c>
      <c r="E2963">
        <f>IF('R.M Billets Reports'!B2962="","",TRIM('R.M Billets Reports'!B2962))</f>
      </c>
      <c r="F2963">
        <f>'R.M Billets Reports'!C2962</f>
      </c>
      <c r="G2963">
        <f>'R.M Billets Reports'!D2962</f>
      </c>
      <c r="H2963">
        <f>'R.M Billets Reports'!E2962</f>
      </c>
      <c r="I2963">
        <f>'R.M Billets Reports'!F2962</f>
      </c>
      <c r="J2963">
        <f>'R.M Billets Reports'!G2962</f>
      </c>
      <c r="K2963">
        <f>'R.M Billets Reports'!H2962</f>
      </c>
      <c r="L2963">
        <f>IF('R.M Billets Reports'!I2962="","",'R.M Billets Reports'!I2962)</f>
      </c>
      <c r="M2963">
        <f t="shared" si="92"/>
      </c>
      <c r="N2963">
        <f>IF('R.M Billets Reports'!J2962="","",'R.M Billets Reports'!J2962)</f>
      </c>
      <c r="O2963">
        <f t="shared" si="93"/>
      </c>
      <c r="P2963">
        <f>IF('R.M Billets Reports'!A2962="SIZE",'R.M Billets Reports'!B2962,P2962)</f>
      </c>
    </row>
    <row r="2964" spans="1:16" x14ac:dyDescent="0.25">
      <c r="A2964">
        <f>IF(OR('R.M Billets Reports'!A2963="Date-",'R.M Billets Reports'!A2963="Date:-"),IF(IF(IF(ISNUMBER(SEARCH("Party Name:-",'R.M Billets Reports'!D2963)),TRIM('R.M Billets Reports'!F2963),IF(ISNUMBER(SEARCH("Party Name-",'R.M Billets Reports'!D2963)),TRIM(MID('R.M Billets Reports'!D2963,SEARCH("-",'R.M Billets Reports'!D2963)+1,200)),""))&lt;&gt;"",IF(ISNUMBER(SEARCH("Party Name:-",'R.M Billets Reports'!D2963)),TRIM('R.M Billets Reports'!F2963),IF(ISNUMBER(SEARCH("Party Name-",'R.M Billets Reports'!D2963)),TRIM(MID('R.M Billets Reports'!D2963,SEARCH("-",'R.M Billets Reports'!D2963)+1,200)),"")),IF(ISNUMBER(SEARCH("Party Name:-",'R.M Billets Reports'!D2964)),TRIM('R.M Billets Reports'!F2964),IF(ISNUMBER(SEARCH("Party Name-",'R.M Billets Reports'!D2964)),TRIM(MID('R.M Billets Reports'!D2964,SEARCH("-",'R.M Billets Reports'!D2964)+1,200)),"")))="VRKP ISPAT PVT LTD","VRKP",IF(IF(IF(ISNUMBER(SEARCH("Party Name:-",'R.M Billets Reports'!D2963)),TRIM('R.M Billets Reports'!F2963),IF(ISNUMBER(SEARCH("Party Name-",'R.M Billets Reports'!D2963)),TRIM(MID('R.M Billets Reports'!D2963,SEARCH("-",'R.M Billets Reports'!D2963)+1,200)),""))&lt;&gt;"",IF(ISNUMBER(SEARCH("Party Name:-",'R.M Billets Reports'!D2963)),TRIM('R.M Billets Reports'!F2963),IF(ISNUMBER(SEARCH("Party Name-",'R.M Billets Reports'!D2963)),TRIM(MID('R.M Billets Reports'!D2963,SEARCH("-",'R.M Billets Reports'!D2963)+1,200)),"")),IF(ISNUMBER(SEARCH("Party Name:-",'R.M Billets Reports'!D2964)),TRIM('R.M Billets Reports'!F2964),IF(ISNUMBER(SEARCH("Party Name-",'R.M Billets Reports'!D2964)),TRIM(MID('R.M Billets Reports'!D2964,SEARCH("-",'R.M Billets Reports'!D2964)+1,200)),"")))="SHRI RADHE","SHREE RADHE",IF(IF(IF(ISNUMBER(SEARCH("Party Name:-",'R.M Billets Reports'!D2963)),TRIM('R.M Billets Reports'!F2963),IF(ISNUMBER(SEARCH("Party Name-",'R.M Billets Reports'!D2963)),TRIM(MID('R.M Billets Reports'!D2963,SEARCH("-",'R.M Billets Reports'!D2963)+1,200)),""))&lt;&gt;"",IF(ISNUMBER(SEARCH("Party Name:-",'R.M Billets Reports'!D2963)),TRIM('R.M Billets Reports'!F2963),IF(ISNUMBER(SEARCH("Party Name-",'R.M Billets Reports'!D2963)),TRIM(MID('R.M Billets Reports'!D2963,SEARCH("-",'R.M Billets Reports'!D2963)+1,200)),"")),IF(ISNUMBER(SEARCH("Party Name:-",'R.M Billets Reports'!D2964)),TRIM('R.M Billets Reports'!F2964),IF(ISNUMBER(SEARCH("Party Name-",'R.M Billets Reports'!D2964)),TRIM(MID('R.M Billets Reports'!D2964,SEARCH("-",'R.M Billets Reports'!D2964)+1,200)),"")))="SHREE RADHE SHAKTI SPONGE AND POWER PVT. LTD.","SHREE RADHE",IF(IF(ISNUMBER(SEARCH("Party Name:-",'R.M Billets Reports'!D2963)),TRIM('R.M Billets Reports'!F2963),IF(ISNUMBER(SEARCH("Party Name-",'R.M Billets Reports'!D2963)),TRIM(MID('R.M Billets Reports'!D2963,SEARCH("-",'R.M Billets Reports'!D2963)+1,200)),""))&lt;&gt;"",IF(ISNUMBER(SEARCH("Party Name:-",'R.M Billets Reports'!D2963)),TRIM('R.M Billets Reports'!F2963),IF(ISNUMBER(SEARCH("Party Name-",'R.M Billets Reports'!D2963)),TRIM(MID('R.M Billets Reports'!D2963,SEARCH("-",'R.M Billets Reports'!D2963)+1,200)),"")),IF(ISNUMBER(SEARCH("Party Name:-",'R.M Billets Reports'!D2964)),TRIM('R.M Billets Reports'!F2964),IF(ISNUMBER(SEARCH("Party Name-",'R.M Billets Reports'!D2964)),TRIM(MID('R.M Billets Reports'!D2964,SEARCH("-",'R.M Billets Reports'!D2964)+1,200)),"")))))),IF(ROW()=2,"",A2963))</f>
      </c>
      <c r="B2964">
        <f>IF(OR('R.M Billets Reports'!A2963="Date-",'R.M Billets Reports'!A2963="Date:-"),'R.M Billets Reports'!B2963,IF(ROW()=2,"",B2963))</f>
      </c>
      <c r="C2964">
        <f>IF('R.M Billets Reports'!A2963="V.No.",'R.M Billets Reports'!B2963,IF(ROW()=2,"",C2963))</f>
      </c>
      <c r="D2964">
        <f>IF('R.M Billets Reports'!A2963&lt;&gt;"",'R.M Billets Reports'!A2963,IF(ROW()=2,"",D2963))</f>
      </c>
      <c r="E2964">
        <f>IF('R.M Billets Reports'!B2963="","",TRIM('R.M Billets Reports'!B2963))</f>
      </c>
      <c r="F2964">
        <f>'R.M Billets Reports'!C2963</f>
      </c>
      <c r="G2964">
        <f>'R.M Billets Reports'!D2963</f>
      </c>
      <c r="H2964">
        <f>'R.M Billets Reports'!E2963</f>
      </c>
      <c r="I2964">
        <f>'R.M Billets Reports'!F2963</f>
      </c>
      <c r="J2964">
        <f>'R.M Billets Reports'!G2963</f>
      </c>
      <c r="K2964">
        <f>'R.M Billets Reports'!H2963</f>
      </c>
      <c r="L2964">
        <f>IF('R.M Billets Reports'!I2963="","",'R.M Billets Reports'!I2963)</f>
      </c>
      <c r="M2964">
        <f t="shared" si="92"/>
      </c>
      <c r="N2964">
        <f>IF('R.M Billets Reports'!J2963="","",'R.M Billets Reports'!J2963)</f>
      </c>
      <c r="O2964">
        <f t="shared" si="93"/>
      </c>
      <c r="P2964">
        <f>IF('R.M Billets Reports'!A2963="SIZE",'R.M Billets Reports'!B2963,P2963)</f>
      </c>
    </row>
    <row r="2965" spans="1:16" x14ac:dyDescent="0.25">
      <c r="A2965">
        <f>IF(OR('R.M Billets Reports'!A2964="Date-",'R.M Billets Reports'!A2964="Date:-"),IF(IF(IF(ISNUMBER(SEARCH("Party Name:-",'R.M Billets Reports'!D2964)),TRIM('R.M Billets Reports'!F2964),IF(ISNUMBER(SEARCH("Party Name-",'R.M Billets Reports'!D2964)),TRIM(MID('R.M Billets Reports'!D2964,SEARCH("-",'R.M Billets Reports'!D2964)+1,200)),""))&lt;&gt;"",IF(ISNUMBER(SEARCH("Party Name:-",'R.M Billets Reports'!D2964)),TRIM('R.M Billets Reports'!F2964),IF(ISNUMBER(SEARCH("Party Name-",'R.M Billets Reports'!D2964)),TRIM(MID('R.M Billets Reports'!D2964,SEARCH("-",'R.M Billets Reports'!D2964)+1,200)),"")),IF(ISNUMBER(SEARCH("Party Name:-",'R.M Billets Reports'!D2965)),TRIM('R.M Billets Reports'!F2965),IF(ISNUMBER(SEARCH("Party Name-",'R.M Billets Reports'!D2965)),TRIM(MID('R.M Billets Reports'!D2965,SEARCH("-",'R.M Billets Reports'!D2965)+1,200)),"")))="VRKP ISPAT PVT LTD","VRKP",IF(IF(IF(ISNUMBER(SEARCH("Party Name:-",'R.M Billets Reports'!D2964)),TRIM('R.M Billets Reports'!F2964),IF(ISNUMBER(SEARCH("Party Name-",'R.M Billets Reports'!D2964)),TRIM(MID('R.M Billets Reports'!D2964,SEARCH("-",'R.M Billets Reports'!D2964)+1,200)),""))&lt;&gt;"",IF(ISNUMBER(SEARCH("Party Name:-",'R.M Billets Reports'!D2964)),TRIM('R.M Billets Reports'!F2964),IF(ISNUMBER(SEARCH("Party Name-",'R.M Billets Reports'!D2964)),TRIM(MID('R.M Billets Reports'!D2964,SEARCH("-",'R.M Billets Reports'!D2964)+1,200)),"")),IF(ISNUMBER(SEARCH("Party Name:-",'R.M Billets Reports'!D2965)),TRIM('R.M Billets Reports'!F2965),IF(ISNUMBER(SEARCH("Party Name-",'R.M Billets Reports'!D2965)),TRIM(MID('R.M Billets Reports'!D2965,SEARCH("-",'R.M Billets Reports'!D2965)+1,200)),"")))="SHRI RADHE","SHREE RADHE",IF(IF(IF(ISNUMBER(SEARCH("Party Name:-",'R.M Billets Reports'!D2964)),TRIM('R.M Billets Reports'!F2964),IF(ISNUMBER(SEARCH("Party Name-",'R.M Billets Reports'!D2964)),TRIM(MID('R.M Billets Reports'!D2964,SEARCH("-",'R.M Billets Reports'!D2964)+1,200)),""))&lt;&gt;"",IF(ISNUMBER(SEARCH("Party Name:-",'R.M Billets Reports'!D2964)),TRIM('R.M Billets Reports'!F2964),IF(ISNUMBER(SEARCH("Party Name-",'R.M Billets Reports'!D2964)),TRIM(MID('R.M Billets Reports'!D2964,SEARCH("-",'R.M Billets Reports'!D2964)+1,200)),"")),IF(ISNUMBER(SEARCH("Party Name:-",'R.M Billets Reports'!D2965)),TRIM('R.M Billets Reports'!F2965),IF(ISNUMBER(SEARCH("Party Name-",'R.M Billets Reports'!D2965)),TRIM(MID('R.M Billets Reports'!D2965,SEARCH("-",'R.M Billets Reports'!D2965)+1,200)),"")))="SHREE RADHE SHAKTI SPONGE AND POWER PVT. LTD.","SHREE RADHE",IF(IF(ISNUMBER(SEARCH("Party Name:-",'R.M Billets Reports'!D2964)),TRIM('R.M Billets Reports'!F2964),IF(ISNUMBER(SEARCH("Party Name-",'R.M Billets Reports'!D2964)),TRIM(MID('R.M Billets Reports'!D2964,SEARCH("-",'R.M Billets Reports'!D2964)+1,200)),""))&lt;&gt;"",IF(ISNUMBER(SEARCH("Party Name:-",'R.M Billets Reports'!D2964)),TRIM('R.M Billets Reports'!F2964),IF(ISNUMBER(SEARCH("Party Name-",'R.M Billets Reports'!D2964)),TRIM(MID('R.M Billets Reports'!D2964,SEARCH("-",'R.M Billets Reports'!D2964)+1,200)),"")),IF(ISNUMBER(SEARCH("Party Name:-",'R.M Billets Reports'!D2965)),TRIM('R.M Billets Reports'!F2965),IF(ISNUMBER(SEARCH("Party Name-",'R.M Billets Reports'!D2965)),TRIM(MID('R.M Billets Reports'!D2965,SEARCH("-",'R.M Billets Reports'!D2965)+1,200)),"")))))),IF(ROW()=2,"",A2964))</f>
      </c>
      <c r="B2965">
        <f>IF(OR('R.M Billets Reports'!A2964="Date-",'R.M Billets Reports'!A2964="Date:-"),'R.M Billets Reports'!B2964,IF(ROW()=2,"",B2964))</f>
      </c>
      <c r="C2965">
        <f>IF('R.M Billets Reports'!A2964="V.No.",'R.M Billets Reports'!B2964,IF(ROW()=2,"",C2964))</f>
      </c>
      <c r="D2965">
        <f>IF('R.M Billets Reports'!A2964&lt;&gt;"",'R.M Billets Reports'!A2964,IF(ROW()=2,"",D2964))</f>
      </c>
      <c r="E2965">
        <f>IF('R.M Billets Reports'!B2964="","",TRIM('R.M Billets Reports'!B2964))</f>
      </c>
      <c r="F2965">
        <f>'R.M Billets Reports'!C2964</f>
      </c>
      <c r="G2965">
        <f>'R.M Billets Reports'!D2964</f>
      </c>
      <c r="H2965">
        <f>'R.M Billets Reports'!E2964</f>
      </c>
      <c r="I2965">
        <f>'R.M Billets Reports'!F2964</f>
      </c>
      <c r="J2965">
        <f>'R.M Billets Reports'!G2964</f>
      </c>
      <c r="K2965">
        <f>'R.M Billets Reports'!H2964</f>
      </c>
      <c r="L2965">
        <f>IF('R.M Billets Reports'!I2964="","",'R.M Billets Reports'!I2964)</f>
      </c>
      <c r="M2965">
        <f t="shared" si="92"/>
      </c>
      <c r="N2965">
        <f>IF('R.M Billets Reports'!J2964="","",'R.M Billets Reports'!J2964)</f>
      </c>
      <c r="O2965">
        <f t="shared" si="93"/>
      </c>
      <c r="P2965">
        <f>IF('R.M Billets Reports'!A2964="SIZE",'R.M Billets Reports'!B2964,P2964)</f>
      </c>
    </row>
    <row r="2966" spans="1:16" x14ac:dyDescent="0.25">
      <c r="A2966">
        <f>IF(OR('R.M Billets Reports'!A2965="Date-",'R.M Billets Reports'!A2965="Date:-"),IF(IF(IF(ISNUMBER(SEARCH("Party Name:-",'R.M Billets Reports'!D2965)),TRIM('R.M Billets Reports'!F2965),IF(ISNUMBER(SEARCH("Party Name-",'R.M Billets Reports'!D2965)),TRIM(MID('R.M Billets Reports'!D2965,SEARCH("-",'R.M Billets Reports'!D2965)+1,200)),""))&lt;&gt;"",IF(ISNUMBER(SEARCH("Party Name:-",'R.M Billets Reports'!D2965)),TRIM('R.M Billets Reports'!F2965),IF(ISNUMBER(SEARCH("Party Name-",'R.M Billets Reports'!D2965)),TRIM(MID('R.M Billets Reports'!D2965,SEARCH("-",'R.M Billets Reports'!D2965)+1,200)),"")),IF(ISNUMBER(SEARCH("Party Name:-",'R.M Billets Reports'!D2966)),TRIM('R.M Billets Reports'!F2966),IF(ISNUMBER(SEARCH("Party Name-",'R.M Billets Reports'!D2966)),TRIM(MID('R.M Billets Reports'!D2966,SEARCH("-",'R.M Billets Reports'!D2966)+1,200)),"")))="VRKP ISPAT PVT LTD","VRKP",IF(IF(IF(ISNUMBER(SEARCH("Party Name:-",'R.M Billets Reports'!D2965)),TRIM('R.M Billets Reports'!F2965),IF(ISNUMBER(SEARCH("Party Name-",'R.M Billets Reports'!D2965)),TRIM(MID('R.M Billets Reports'!D2965,SEARCH("-",'R.M Billets Reports'!D2965)+1,200)),""))&lt;&gt;"",IF(ISNUMBER(SEARCH("Party Name:-",'R.M Billets Reports'!D2965)),TRIM('R.M Billets Reports'!F2965),IF(ISNUMBER(SEARCH("Party Name-",'R.M Billets Reports'!D2965)),TRIM(MID('R.M Billets Reports'!D2965,SEARCH("-",'R.M Billets Reports'!D2965)+1,200)),"")),IF(ISNUMBER(SEARCH("Party Name:-",'R.M Billets Reports'!D2966)),TRIM('R.M Billets Reports'!F2966),IF(ISNUMBER(SEARCH("Party Name-",'R.M Billets Reports'!D2966)),TRIM(MID('R.M Billets Reports'!D2966,SEARCH("-",'R.M Billets Reports'!D2966)+1,200)),"")))="SHRI RADHE","SHREE RADHE",IF(IF(IF(ISNUMBER(SEARCH("Party Name:-",'R.M Billets Reports'!D2965)),TRIM('R.M Billets Reports'!F2965),IF(ISNUMBER(SEARCH("Party Name-",'R.M Billets Reports'!D2965)),TRIM(MID('R.M Billets Reports'!D2965,SEARCH("-",'R.M Billets Reports'!D2965)+1,200)),""))&lt;&gt;"",IF(ISNUMBER(SEARCH("Party Name:-",'R.M Billets Reports'!D2965)),TRIM('R.M Billets Reports'!F2965),IF(ISNUMBER(SEARCH("Party Name-",'R.M Billets Reports'!D2965)),TRIM(MID('R.M Billets Reports'!D2965,SEARCH("-",'R.M Billets Reports'!D2965)+1,200)),"")),IF(ISNUMBER(SEARCH("Party Name:-",'R.M Billets Reports'!D2966)),TRIM('R.M Billets Reports'!F2966),IF(ISNUMBER(SEARCH("Party Name-",'R.M Billets Reports'!D2966)),TRIM(MID('R.M Billets Reports'!D2966,SEARCH("-",'R.M Billets Reports'!D2966)+1,200)),"")))="SHREE RADHE SHAKTI SPONGE AND POWER PVT. LTD.","SHREE RADHE",IF(IF(ISNUMBER(SEARCH("Party Name:-",'R.M Billets Reports'!D2965)),TRIM('R.M Billets Reports'!F2965),IF(ISNUMBER(SEARCH("Party Name-",'R.M Billets Reports'!D2965)),TRIM(MID('R.M Billets Reports'!D2965,SEARCH("-",'R.M Billets Reports'!D2965)+1,200)),""))&lt;&gt;"",IF(ISNUMBER(SEARCH("Party Name:-",'R.M Billets Reports'!D2965)),TRIM('R.M Billets Reports'!F2965),IF(ISNUMBER(SEARCH("Party Name-",'R.M Billets Reports'!D2965)),TRIM(MID('R.M Billets Reports'!D2965,SEARCH("-",'R.M Billets Reports'!D2965)+1,200)),"")),IF(ISNUMBER(SEARCH("Party Name:-",'R.M Billets Reports'!D2966)),TRIM('R.M Billets Reports'!F2966),IF(ISNUMBER(SEARCH("Party Name-",'R.M Billets Reports'!D2966)),TRIM(MID('R.M Billets Reports'!D2966,SEARCH("-",'R.M Billets Reports'!D2966)+1,200)),"")))))),IF(ROW()=2,"",A2965))</f>
      </c>
      <c r="B2966">
        <f>IF(OR('R.M Billets Reports'!A2965="Date-",'R.M Billets Reports'!A2965="Date:-"),'R.M Billets Reports'!B2965,IF(ROW()=2,"",B2965))</f>
      </c>
      <c r="C2966">
        <f>IF('R.M Billets Reports'!A2965="V.No.",'R.M Billets Reports'!B2965,IF(ROW()=2,"",C2965))</f>
      </c>
      <c r="D2966">
        <f>IF('R.M Billets Reports'!A2965&lt;&gt;"",'R.M Billets Reports'!A2965,IF(ROW()=2,"",D2965))</f>
      </c>
      <c r="E2966">
        <f>IF('R.M Billets Reports'!B2965="","",TRIM('R.M Billets Reports'!B2965))</f>
      </c>
      <c r="F2966">
        <f>'R.M Billets Reports'!C2965</f>
      </c>
      <c r="G2966">
        <f>'R.M Billets Reports'!D2965</f>
      </c>
      <c r="H2966">
        <f>'R.M Billets Reports'!E2965</f>
      </c>
      <c r="I2966">
        <f>'R.M Billets Reports'!F2965</f>
      </c>
      <c r="J2966">
        <f>'R.M Billets Reports'!G2965</f>
      </c>
      <c r="K2966">
        <f>'R.M Billets Reports'!H2965</f>
      </c>
      <c r="L2966">
        <f>IF('R.M Billets Reports'!I2965="","",'R.M Billets Reports'!I2965)</f>
      </c>
      <c r="M2966">
        <f t="shared" si="92"/>
      </c>
      <c r="N2966">
        <f>IF('R.M Billets Reports'!J2965="","",'R.M Billets Reports'!J2965)</f>
      </c>
      <c r="O2966">
        <f t="shared" si="93"/>
      </c>
      <c r="P2966">
        <f>IF('R.M Billets Reports'!A2965="SIZE",'R.M Billets Reports'!B2965,P2965)</f>
      </c>
    </row>
    <row r="2967" spans="1:16" x14ac:dyDescent="0.25">
      <c r="A2967">
        <f>IF(OR('R.M Billets Reports'!A2966="Date-",'R.M Billets Reports'!A2966="Date:-"),IF(IF(IF(ISNUMBER(SEARCH("Party Name:-",'R.M Billets Reports'!D2966)),TRIM('R.M Billets Reports'!F2966),IF(ISNUMBER(SEARCH("Party Name-",'R.M Billets Reports'!D2966)),TRIM(MID('R.M Billets Reports'!D2966,SEARCH("-",'R.M Billets Reports'!D2966)+1,200)),""))&lt;&gt;"",IF(ISNUMBER(SEARCH("Party Name:-",'R.M Billets Reports'!D2966)),TRIM('R.M Billets Reports'!F2966),IF(ISNUMBER(SEARCH("Party Name-",'R.M Billets Reports'!D2966)),TRIM(MID('R.M Billets Reports'!D2966,SEARCH("-",'R.M Billets Reports'!D2966)+1,200)),"")),IF(ISNUMBER(SEARCH("Party Name:-",'R.M Billets Reports'!D2967)),TRIM('R.M Billets Reports'!F2967),IF(ISNUMBER(SEARCH("Party Name-",'R.M Billets Reports'!D2967)),TRIM(MID('R.M Billets Reports'!D2967,SEARCH("-",'R.M Billets Reports'!D2967)+1,200)),"")))="VRKP ISPAT PVT LTD","VRKP",IF(IF(IF(ISNUMBER(SEARCH("Party Name:-",'R.M Billets Reports'!D2966)),TRIM('R.M Billets Reports'!F2966),IF(ISNUMBER(SEARCH("Party Name-",'R.M Billets Reports'!D2966)),TRIM(MID('R.M Billets Reports'!D2966,SEARCH("-",'R.M Billets Reports'!D2966)+1,200)),""))&lt;&gt;"",IF(ISNUMBER(SEARCH("Party Name:-",'R.M Billets Reports'!D2966)),TRIM('R.M Billets Reports'!F2966),IF(ISNUMBER(SEARCH("Party Name-",'R.M Billets Reports'!D2966)),TRIM(MID('R.M Billets Reports'!D2966,SEARCH("-",'R.M Billets Reports'!D2966)+1,200)),"")),IF(ISNUMBER(SEARCH("Party Name:-",'R.M Billets Reports'!D2967)),TRIM('R.M Billets Reports'!F2967),IF(ISNUMBER(SEARCH("Party Name-",'R.M Billets Reports'!D2967)),TRIM(MID('R.M Billets Reports'!D2967,SEARCH("-",'R.M Billets Reports'!D2967)+1,200)),"")))="SHRI RADHE","SHREE RADHE",IF(IF(IF(ISNUMBER(SEARCH("Party Name:-",'R.M Billets Reports'!D2966)),TRIM('R.M Billets Reports'!F2966),IF(ISNUMBER(SEARCH("Party Name-",'R.M Billets Reports'!D2966)),TRIM(MID('R.M Billets Reports'!D2966,SEARCH("-",'R.M Billets Reports'!D2966)+1,200)),""))&lt;&gt;"",IF(ISNUMBER(SEARCH("Party Name:-",'R.M Billets Reports'!D2966)),TRIM('R.M Billets Reports'!F2966),IF(ISNUMBER(SEARCH("Party Name-",'R.M Billets Reports'!D2966)),TRIM(MID('R.M Billets Reports'!D2966,SEARCH("-",'R.M Billets Reports'!D2966)+1,200)),"")),IF(ISNUMBER(SEARCH("Party Name:-",'R.M Billets Reports'!D2967)),TRIM('R.M Billets Reports'!F2967),IF(ISNUMBER(SEARCH("Party Name-",'R.M Billets Reports'!D2967)),TRIM(MID('R.M Billets Reports'!D2967,SEARCH("-",'R.M Billets Reports'!D2967)+1,200)),"")))="SHREE RADHE SHAKTI SPONGE AND POWER PVT. LTD.","SHREE RADHE",IF(IF(ISNUMBER(SEARCH("Party Name:-",'R.M Billets Reports'!D2966)),TRIM('R.M Billets Reports'!F2966),IF(ISNUMBER(SEARCH("Party Name-",'R.M Billets Reports'!D2966)),TRIM(MID('R.M Billets Reports'!D2966,SEARCH("-",'R.M Billets Reports'!D2966)+1,200)),""))&lt;&gt;"",IF(ISNUMBER(SEARCH("Party Name:-",'R.M Billets Reports'!D2966)),TRIM('R.M Billets Reports'!F2966),IF(ISNUMBER(SEARCH("Party Name-",'R.M Billets Reports'!D2966)),TRIM(MID('R.M Billets Reports'!D2966,SEARCH("-",'R.M Billets Reports'!D2966)+1,200)),"")),IF(ISNUMBER(SEARCH("Party Name:-",'R.M Billets Reports'!D2967)),TRIM('R.M Billets Reports'!F2967),IF(ISNUMBER(SEARCH("Party Name-",'R.M Billets Reports'!D2967)),TRIM(MID('R.M Billets Reports'!D2967,SEARCH("-",'R.M Billets Reports'!D2967)+1,200)),"")))))),IF(ROW()=2,"",A2966))</f>
      </c>
      <c r="B2967">
        <f>IF(OR('R.M Billets Reports'!A2966="Date-",'R.M Billets Reports'!A2966="Date:-"),'R.M Billets Reports'!B2966,IF(ROW()=2,"",B2966))</f>
      </c>
      <c r="C2967">
        <f>IF('R.M Billets Reports'!A2966="V.No.",'R.M Billets Reports'!B2966,IF(ROW()=2,"",C2966))</f>
      </c>
      <c r="D2967">
        <f>IF('R.M Billets Reports'!A2966&lt;&gt;"",'R.M Billets Reports'!A2966,IF(ROW()=2,"",D2966))</f>
      </c>
      <c r="E2967">
        <f>IF('R.M Billets Reports'!B2966="","",TRIM('R.M Billets Reports'!B2966))</f>
      </c>
      <c r="F2967">
        <f>'R.M Billets Reports'!C2966</f>
      </c>
      <c r="G2967">
        <f>'R.M Billets Reports'!D2966</f>
      </c>
      <c r="H2967">
        <f>'R.M Billets Reports'!E2966</f>
      </c>
      <c r="I2967">
        <f>'R.M Billets Reports'!F2966</f>
      </c>
      <c r="J2967">
        <f>'R.M Billets Reports'!G2966</f>
      </c>
      <c r="K2967">
        <f>'R.M Billets Reports'!H2966</f>
      </c>
      <c r="L2967">
        <f>IF('R.M Billets Reports'!I2966="","",'R.M Billets Reports'!I2966)</f>
      </c>
      <c r="M2967">
        <f t="shared" si="92"/>
      </c>
      <c r="N2967">
        <f>IF('R.M Billets Reports'!J2966="","",'R.M Billets Reports'!J2966)</f>
      </c>
      <c r="O2967">
        <f t="shared" si="93"/>
      </c>
      <c r="P2967">
        <f>IF('R.M Billets Reports'!A2966="SIZE",'R.M Billets Reports'!B2966,P2966)</f>
      </c>
    </row>
    <row r="2968" spans="1:16" x14ac:dyDescent="0.25">
      <c r="A2968">
        <f>IF(OR('R.M Billets Reports'!A2967="Date-",'R.M Billets Reports'!A2967="Date:-"),IF(IF(IF(ISNUMBER(SEARCH("Party Name:-",'R.M Billets Reports'!D2967)),TRIM('R.M Billets Reports'!F2967),IF(ISNUMBER(SEARCH("Party Name-",'R.M Billets Reports'!D2967)),TRIM(MID('R.M Billets Reports'!D2967,SEARCH("-",'R.M Billets Reports'!D2967)+1,200)),""))&lt;&gt;"",IF(ISNUMBER(SEARCH("Party Name:-",'R.M Billets Reports'!D2967)),TRIM('R.M Billets Reports'!F2967),IF(ISNUMBER(SEARCH("Party Name-",'R.M Billets Reports'!D2967)),TRIM(MID('R.M Billets Reports'!D2967,SEARCH("-",'R.M Billets Reports'!D2967)+1,200)),"")),IF(ISNUMBER(SEARCH("Party Name:-",'R.M Billets Reports'!D2968)),TRIM('R.M Billets Reports'!F2968),IF(ISNUMBER(SEARCH("Party Name-",'R.M Billets Reports'!D2968)),TRIM(MID('R.M Billets Reports'!D2968,SEARCH("-",'R.M Billets Reports'!D2968)+1,200)),"")))="VRKP ISPAT PVT LTD","VRKP",IF(IF(IF(ISNUMBER(SEARCH("Party Name:-",'R.M Billets Reports'!D2967)),TRIM('R.M Billets Reports'!F2967),IF(ISNUMBER(SEARCH("Party Name-",'R.M Billets Reports'!D2967)),TRIM(MID('R.M Billets Reports'!D2967,SEARCH("-",'R.M Billets Reports'!D2967)+1,200)),""))&lt;&gt;"",IF(ISNUMBER(SEARCH("Party Name:-",'R.M Billets Reports'!D2967)),TRIM('R.M Billets Reports'!F2967),IF(ISNUMBER(SEARCH("Party Name-",'R.M Billets Reports'!D2967)),TRIM(MID('R.M Billets Reports'!D2967,SEARCH("-",'R.M Billets Reports'!D2967)+1,200)),"")),IF(ISNUMBER(SEARCH("Party Name:-",'R.M Billets Reports'!D2968)),TRIM('R.M Billets Reports'!F2968),IF(ISNUMBER(SEARCH("Party Name-",'R.M Billets Reports'!D2968)),TRIM(MID('R.M Billets Reports'!D2968,SEARCH("-",'R.M Billets Reports'!D2968)+1,200)),"")))="SHRI RADHE","SHREE RADHE",IF(IF(IF(ISNUMBER(SEARCH("Party Name:-",'R.M Billets Reports'!D2967)),TRIM('R.M Billets Reports'!F2967),IF(ISNUMBER(SEARCH("Party Name-",'R.M Billets Reports'!D2967)),TRIM(MID('R.M Billets Reports'!D2967,SEARCH("-",'R.M Billets Reports'!D2967)+1,200)),""))&lt;&gt;"",IF(ISNUMBER(SEARCH("Party Name:-",'R.M Billets Reports'!D2967)),TRIM('R.M Billets Reports'!F2967),IF(ISNUMBER(SEARCH("Party Name-",'R.M Billets Reports'!D2967)),TRIM(MID('R.M Billets Reports'!D2967,SEARCH("-",'R.M Billets Reports'!D2967)+1,200)),"")),IF(ISNUMBER(SEARCH("Party Name:-",'R.M Billets Reports'!D2968)),TRIM('R.M Billets Reports'!F2968),IF(ISNUMBER(SEARCH("Party Name-",'R.M Billets Reports'!D2968)),TRIM(MID('R.M Billets Reports'!D2968,SEARCH("-",'R.M Billets Reports'!D2968)+1,200)),"")))="SHREE RADHE SHAKTI SPONGE AND POWER PVT. LTD.","SHREE RADHE",IF(IF(ISNUMBER(SEARCH("Party Name:-",'R.M Billets Reports'!D2967)),TRIM('R.M Billets Reports'!F2967),IF(ISNUMBER(SEARCH("Party Name-",'R.M Billets Reports'!D2967)),TRIM(MID('R.M Billets Reports'!D2967,SEARCH("-",'R.M Billets Reports'!D2967)+1,200)),""))&lt;&gt;"",IF(ISNUMBER(SEARCH("Party Name:-",'R.M Billets Reports'!D2967)),TRIM('R.M Billets Reports'!F2967),IF(ISNUMBER(SEARCH("Party Name-",'R.M Billets Reports'!D2967)),TRIM(MID('R.M Billets Reports'!D2967,SEARCH("-",'R.M Billets Reports'!D2967)+1,200)),"")),IF(ISNUMBER(SEARCH("Party Name:-",'R.M Billets Reports'!D2968)),TRIM('R.M Billets Reports'!F2968),IF(ISNUMBER(SEARCH("Party Name-",'R.M Billets Reports'!D2968)),TRIM(MID('R.M Billets Reports'!D2968,SEARCH("-",'R.M Billets Reports'!D2968)+1,200)),"")))))),IF(ROW()=2,"",A2967))</f>
      </c>
      <c r="B2968">
        <f>IF(OR('R.M Billets Reports'!A2967="Date-",'R.M Billets Reports'!A2967="Date:-"),'R.M Billets Reports'!B2967,IF(ROW()=2,"",B2967))</f>
      </c>
      <c r="C2968">
        <f>IF('R.M Billets Reports'!A2967="V.No.",'R.M Billets Reports'!B2967,IF(ROW()=2,"",C2967))</f>
      </c>
      <c r="D2968">
        <f>IF('R.M Billets Reports'!A2967&lt;&gt;"",'R.M Billets Reports'!A2967,IF(ROW()=2,"",D2967))</f>
      </c>
      <c r="E2968">
        <f>IF('R.M Billets Reports'!B2967="","",TRIM('R.M Billets Reports'!B2967))</f>
      </c>
      <c r="F2968">
        <f>'R.M Billets Reports'!C2967</f>
      </c>
      <c r="G2968">
        <f>'R.M Billets Reports'!D2967</f>
      </c>
      <c r="H2968">
        <f>'R.M Billets Reports'!E2967</f>
      </c>
      <c r="I2968">
        <f>'R.M Billets Reports'!F2967</f>
      </c>
      <c r="J2968">
        <f>'R.M Billets Reports'!G2967</f>
      </c>
      <c r="K2968">
        <f>'R.M Billets Reports'!H2967</f>
      </c>
      <c r="L2968">
        <f>IF('R.M Billets Reports'!I2967="","",'R.M Billets Reports'!I2967)</f>
      </c>
      <c r="M2968">
        <f t="shared" si="92"/>
      </c>
      <c r="N2968">
        <f>IF('R.M Billets Reports'!J2967="","",'R.M Billets Reports'!J2967)</f>
      </c>
      <c r="O2968">
        <f t="shared" si="93"/>
      </c>
      <c r="P2968">
        <f>IF('R.M Billets Reports'!A2967="SIZE",'R.M Billets Reports'!B2967,P2967)</f>
      </c>
    </row>
    <row r="2969" spans="1:16" x14ac:dyDescent="0.25">
      <c r="A2969">
        <f>IF(OR('R.M Billets Reports'!A2968="Date-",'R.M Billets Reports'!A2968="Date:-"),IF(IF(IF(ISNUMBER(SEARCH("Party Name:-",'R.M Billets Reports'!D2968)),TRIM('R.M Billets Reports'!F2968),IF(ISNUMBER(SEARCH("Party Name-",'R.M Billets Reports'!D2968)),TRIM(MID('R.M Billets Reports'!D2968,SEARCH("-",'R.M Billets Reports'!D2968)+1,200)),""))&lt;&gt;"",IF(ISNUMBER(SEARCH("Party Name:-",'R.M Billets Reports'!D2968)),TRIM('R.M Billets Reports'!F2968),IF(ISNUMBER(SEARCH("Party Name-",'R.M Billets Reports'!D2968)),TRIM(MID('R.M Billets Reports'!D2968,SEARCH("-",'R.M Billets Reports'!D2968)+1,200)),"")),IF(ISNUMBER(SEARCH("Party Name:-",'R.M Billets Reports'!D2969)),TRIM('R.M Billets Reports'!F2969),IF(ISNUMBER(SEARCH("Party Name-",'R.M Billets Reports'!D2969)),TRIM(MID('R.M Billets Reports'!D2969,SEARCH("-",'R.M Billets Reports'!D2969)+1,200)),"")))="VRKP ISPAT PVT LTD","VRKP",IF(IF(IF(ISNUMBER(SEARCH("Party Name:-",'R.M Billets Reports'!D2968)),TRIM('R.M Billets Reports'!F2968),IF(ISNUMBER(SEARCH("Party Name-",'R.M Billets Reports'!D2968)),TRIM(MID('R.M Billets Reports'!D2968,SEARCH("-",'R.M Billets Reports'!D2968)+1,200)),""))&lt;&gt;"",IF(ISNUMBER(SEARCH("Party Name:-",'R.M Billets Reports'!D2968)),TRIM('R.M Billets Reports'!F2968),IF(ISNUMBER(SEARCH("Party Name-",'R.M Billets Reports'!D2968)),TRIM(MID('R.M Billets Reports'!D2968,SEARCH("-",'R.M Billets Reports'!D2968)+1,200)),"")),IF(ISNUMBER(SEARCH("Party Name:-",'R.M Billets Reports'!D2969)),TRIM('R.M Billets Reports'!F2969),IF(ISNUMBER(SEARCH("Party Name-",'R.M Billets Reports'!D2969)),TRIM(MID('R.M Billets Reports'!D2969,SEARCH("-",'R.M Billets Reports'!D2969)+1,200)),"")))="SHRI RADHE","SHREE RADHE",IF(IF(IF(ISNUMBER(SEARCH("Party Name:-",'R.M Billets Reports'!D2968)),TRIM('R.M Billets Reports'!F2968),IF(ISNUMBER(SEARCH("Party Name-",'R.M Billets Reports'!D2968)),TRIM(MID('R.M Billets Reports'!D2968,SEARCH("-",'R.M Billets Reports'!D2968)+1,200)),""))&lt;&gt;"",IF(ISNUMBER(SEARCH("Party Name:-",'R.M Billets Reports'!D2968)),TRIM('R.M Billets Reports'!F2968),IF(ISNUMBER(SEARCH("Party Name-",'R.M Billets Reports'!D2968)),TRIM(MID('R.M Billets Reports'!D2968,SEARCH("-",'R.M Billets Reports'!D2968)+1,200)),"")),IF(ISNUMBER(SEARCH("Party Name:-",'R.M Billets Reports'!D2969)),TRIM('R.M Billets Reports'!F2969),IF(ISNUMBER(SEARCH("Party Name-",'R.M Billets Reports'!D2969)),TRIM(MID('R.M Billets Reports'!D2969,SEARCH("-",'R.M Billets Reports'!D2969)+1,200)),"")))="SHREE RADHE SHAKTI SPONGE AND POWER PVT. LTD.","SHREE RADHE",IF(IF(ISNUMBER(SEARCH("Party Name:-",'R.M Billets Reports'!D2968)),TRIM('R.M Billets Reports'!F2968),IF(ISNUMBER(SEARCH("Party Name-",'R.M Billets Reports'!D2968)),TRIM(MID('R.M Billets Reports'!D2968,SEARCH("-",'R.M Billets Reports'!D2968)+1,200)),""))&lt;&gt;"",IF(ISNUMBER(SEARCH("Party Name:-",'R.M Billets Reports'!D2968)),TRIM('R.M Billets Reports'!F2968),IF(ISNUMBER(SEARCH("Party Name-",'R.M Billets Reports'!D2968)),TRIM(MID('R.M Billets Reports'!D2968,SEARCH("-",'R.M Billets Reports'!D2968)+1,200)),"")),IF(ISNUMBER(SEARCH("Party Name:-",'R.M Billets Reports'!D2969)),TRIM('R.M Billets Reports'!F2969),IF(ISNUMBER(SEARCH("Party Name-",'R.M Billets Reports'!D2969)),TRIM(MID('R.M Billets Reports'!D2969,SEARCH("-",'R.M Billets Reports'!D2969)+1,200)),"")))))),IF(ROW()=2,"",A2968))</f>
      </c>
      <c r="B2969">
        <f>IF(OR('R.M Billets Reports'!A2968="Date-",'R.M Billets Reports'!A2968="Date:-"),'R.M Billets Reports'!B2968,IF(ROW()=2,"",B2968))</f>
      </c>
      <c r="C2969">
        <f>IF('R.M Billets Reports'!A2968="V.No.",'R.M Billets Reports'!B2968,IF(ROW()=2,"",C2968))</f>
      </c>
      <c r="D2969">
        <f>IF('R.M Billets Reports'!A2968&lt;&gt;"",'R.M Billets Reports'!A2968,IF(ROW()=2,"",D2968))</f>
      </c>
      <c r="E2969">
        <f>IF('R.M Billets Reports'!B2968="","",TRIM('R.M Billets Reports'!B2968))</f>
      </c>
      <c r="F2969">
        <f>'R.M Billets Reports'!C2968</f>
      </c>
      <c r="G2969">
        <f>'R.M Billets Reports'!D2968</f>
      </c>
      <c r="H2969">
        <f>'R.M Billets Reports'!E2968</f>
      </c>
      <c r="I2969">
        <f>'R.M Billets Reports'!F2968</f>
      </c>
      <c r="J2969">
        <f>'R.M Billets Reports'!G2968</f>
      </c>
      <c r="K2969">
        <f>'R.M Billets Reports'!H2968</f>
      </c>
      <c r="L2969">
        <f>IF('R.M Billets Reports'!I2968="","",'R.M Billets Reports'!I2968)</f>
      </c>
      <c r="M2969">
        <f t="shared" si="92"/>
      </c>
      <c r="N2969">
        <f>IF('R.M Billets Reports'!J2968="","",'R.M Billets Reports'!J2968)</f>
      </c>
      <c r="O2969">
        <f t="shared" si="93"/>
      </c>
      <c r="P2969">
        <f>IF('R.M Billets Reports'!A2968="SIZE",'R.M Billets Reports'!B2968,P2968)</f>
      </c>
    </row>
    <row r="2970" spans="1:16" x14ac:dyDescent="0.25">
      <c r="A2970">
        <f>IF(OR('R.M Billets Reports'!A2969="Date-",'R.M Billets Reports'!A2969="Date:-"),IF(IF(IF(ISNUMBER(SEARCH("Party Name:-",'R.M Billets Reports'!D2969)),TRIM('R.M Billets Reports'!F2969),IF(ISNUMBER(SEARCH("Party Name-",'R.M Billets Reports'!D2969)),TRIM(MID('R.M Billets Reports'!D2969,SEARCH("-",'R.M Billets Reports'!D2969)+1,200)),""))&lt;&gt;"",IF(ISNUMBER(SEARCH("Party Name:-",'R.M Billets Reports'!D2969)),TRIM('R.M Billets Reports'!F2969),IF(ISNUMBER(SEARCH("Party Name-",'R.M Billets Reports'!D2969)),TRIM(MID('R.M Billets Reports'!D2969,SEARCH("-",'R.M Billets Reports'!D2969)+1,200)),"")),IF(ISNUMBER(SEARCH("Party Name:-",'R.M Billets Reports'!D2970)),TRIM('R.M Billets Reports'!F2970),IF(ISNUMBER(SEARCH("Party Name-",'R.M Billets Reports'!D2970)),TRIM(MID('R.M Billets Reports'!D2970,SEARCH("-",'R.M Billets Reports'!D2970)+1,200)),"")))="VRKP ISPAT PVT LTD","VRKP",IF(IF(IF(ISNUMBER(SEARCH("Party Name:-",'R.M Billets Reports'!D2969)),TRIM('R.M Billets Reports'!F2969),IF(ISNUMBER(SEARCH("Party Name-",'R.M Billets Reports'!D2969)),TRIM(MID('R.M Billets Reports'!D2969,SEARCH("-",'R.M Billets Reports'!D2969)+1,200)),""))&lt;&gt;"",IF(ISNUMBER(SEARCH("Party Name:-",'R.M Billets Reports'!D2969)),TRIM('R.M Billets Reports'!F2969),IF(ISNUMBER(SEARCH("Party Name-",'R.M Billets Reports'!D2969)),TRIM(MID('R.M Billets Reports'!D2969,SEARCH("-",'R.M Billets Reports'!D2969)+1,200)),"")),IF(ISNUMBER(SEARCH("Party Name:-",'R.M Billets Reports'!D2970)),TRIM('R.M Billets Reports'!F2970),IF(ISNUMBER(SEARCH("Party Name-",'R.M Billets Reports'!D2970)),TRIM(MID('R.M Billets Reports'!D2970,SEARCH("-",'R.M Billets Reports'!D2970)+1,200)),"")))="SHRI RADHE","SHREE RADHE",IF(IF(IF(ISNUMBER(SEARCH("Party Name:-",'R.M Billets Reports'!D2969)),TRIM('R.M Billets Reports'!F2969),IF(ISNUMBER(SEARCH("Party Name-",'R.M Billets Reports'!D2969)),TRIM(MID('R.M Billets Reports'!D2969,SEARCH("-",'R.M Billets Reports'!D2969)+1,200)),""))&lt;&gt;"",IF(ISNUMBER(SEARCH("Party Name:-",'R.M Billets Reports'!D2969)),TRIM('R.M Billets Reports'!F2969),IF(ISNUMBER(SEARCH("Party Name-",'R.M Billets Reports'!D2969)),TRIM(MID('R.M Billets Reports'!D2969,SEARCH("-",'R.M Billets Reports'!D2969)+1,200)),"")),IF(ISNUMBER(SEARCH("Party Name:-",'R.M Billets Reports'!D2970)),TRIM('R.M Billets Reports'!F2970),IF(ISNUMBER(SEARCH("Party Name-",'R.M Billets Reports'!D2970)),TRIM(MID('R.M Billets Reports'!D2970,SEARCH("-",'R.M Billets Reports'!D2970)+1,200)),"")))="SHREE RADHE SHAKTI SPONGE AND POWER PVT. LTD.","SHREE RADHE",IF(IF(ISNUMBER(SEARCH("Party Name:-",'R.M Billets Reports'!D2969)),TRIM('R.M Billets Reports'!F2969),IF(ISNUMBER(SEARCH("Party Name-",'R.M Billets Reports'!D2969)),TRIM(MID('R.M Billets Reports'!D2969,SEARCH("-",'R.M Billets Reports'!D2969)+1,200)),""))&lt;&gt;"",IF(ISNUMBER(SEARCH("Party Name:-",'R.M Billets Reports'!D2969)),TRIM('R.M Billets Reports'!F2969),IF(ISNUMBER(SEARCH("Party Name-",'R.M Billets Reports'!D2969)),TRIM(MID('R.M Billets Reports'!D2969,SEARCH("-",'R.M Billets Reports'!D2969)+1,200)),"")),IF(ISNUMBER(SEARCH("Party Name:-",'R.M Billets Reports'!D2970)),TRIM('R.M Billets Reports'!F2970),IF(ISNUMBER(SEARCH("Party Name-",'R.M Billets Reports'!D2970)),TRIM(MID('R.M Billets Reports'!D2970,SEARCH("-",'R.M Billets Reports'!D2970)+1,200)),"")))))),IF(ROW()=2,"",A2969))</f>
      </c>
      <c r="B2970">
        <f>IF(OR('R.M Billets Reports'!A2969="Date-",'R.M Billets Reports'!A2969="Date:-"),'R.M Billets Reports'!B2969,IF(ROW()=2,"",B2969))</f>
      </c>
      <c r="C2970">
        <f>IF('R.M Billets Reports'!A2969="V.No.",'R.M Billets Reports'!B2969,IF(ROW()=2,"",C2969))</f>
      </c>
      <c r="D2970">
        <f>IF('R.M Billets Reports'!A2969&lt;&gt;"",'R.M Billets Reports'!A2969,IF(ROW()=2,"",D2969))</f>
      </c>
      <c r="E2970">
        <f>IF('R.M Billets Reports'!B2969="","",TRIM('R.M Billets Reports'!B2969))</f>
      </c>
      <c r="F2970">
        <f>'R.M Billets Reports'!C2969</f>
      </c>
      <c r="G2970">
        <f>'R.M Billets Reports'!D2969</f>
      </c>
      <c r="H2970">
        <f>'R.M Billets Reports'!E2969</f>
      </c>
      <c r="I2970">
        <f>'R.M Billets Reports'!F2969</f>
      </c>
      <c r="J2970">
        <f>'R.M Billets Reports'!G2969</f>
      </c>
      <c r="K2970">
        <f>'R.M Billets Reports'!H2969</f>
      </c>
      <c r="L2970">
        <f>IF('R.M Billets Reports'!I2969="","",'R.M Billets Reports'!I2969)</f>
      </c>
      <c r="M2970">
        <f t="shared" si="92"/>
      </c>
      <c r="N2970">
        <f>IF('R.M Billets Reports'!J2969="","",'R.M Billets Reports'!J2969)</f>
      </c>
      <c r="O2970">
        <f t="shared" si="93"/>
      </c>
      <c r="P2970">
        <f>IF('R.M Billets Reports'!A2969="SIZE",'R.M Billets Reports'!B2969,P2969)</f>
      </c>
    </row>
    <row r="2971" spans="1:16" x14ac:dyDescent="0.25">
      <c r="A2971">
        <f>IF(OR('R.M Billets Reports'!A2970="Date-",'R.M Billets Reports'!A2970="Date:-"),IF(IF(IF(ISNUMBER(SEARCH("Party Name:-",'R.M Billets Reports'!D2970)),TRIM('R.M Billets Reports'!F2970),IF(ISNUMBER(SEARCH("Party Name-",'R.M Billets Reports'!D2970)),TRIM(MID('R.M Billets Reports'!D2970,SEARCH("-",'R.M Billets Reports'!D2970)+1,200)),""))&lt;&gt;"",IF(ISNUMBER(SEARCH("Party Name:-",'R.M Billets Reports'!D2970)),TRIM('R.M Billets Reports'!F2970),IF(ISNUMBER(SEARCH("Party Name-",'R.M Billets Reports'!D2970)),TRIM(MID('R.M Billets Reports'!D2970,SEARCH("-",'R.M Billets Reports'!D2970)+1,200)),"")),IF(ISNUMBER(SEARCH("Party Name:-",'R.M Billets Reports'!D2971)),TRIM('R.M Billets Reports'!F2971),IF(ISNUMBER(SEARCH("Party Name-",'R.M Billets Reports'!D2971)),TRIM(MID('R.M Billets Reports'!D2971,SEARCH("-",'R.M Billets Reports'!D2971)+1,200)),"")))="VRKP ISPAT PVT LTD","VRKP",IF(IF(IF(ISNUMBER(SEARCH("Party Name:-",'R.M Billets Reports'!D2970)),TRIM('R.M Billets Reports'!F2970),IF(ISNUMBER(SEARCH("Party Name-",'R.M Billets Reports'!D2970)),TRIM(MID('R.M Billets Reports'!D2970,SEARCH("-",'R.M Billets Reports'!D2970)+1,200)),""))&lt;&gt;"",IF(ISNUMBER(SEARCH("Party Name:-",'R.M Billets Reports'!D2970)),TRIM('R.M Billets Reports'!F2970),IF(ISNUMBER(SEARCH("Party Name-",'R.M Billets Reports'!D2970)),TRIM(MID('R.M Billets Reports'!D2970,SEARCH("-",'R.M Billets Reports'!D2970)+1,200)),"")),IF(ISNUMBER(SEARCH("Party Name:-",'R.M Billets Reports'!D2971)),TRIM('R.M Billets Reports'!F2971),IF(ISNUMBER(SEARCH("Party Name-",'R.M Billets Reports'!D2971)),TRIM(MID('R.M Billets Reports'!D2971,SEARCH("-",'R.M Billets Reports'!D2971)+1,200)),"")))="SHRI RADHE","SHREE RADHE",IF(IF(IF(ISNUMBER(SEARCH("Party Name:-",'R.M Billets Reports'!D2970)),TRIM('R.M Billets Reports'!F2970),IF(ISNUMBER(SEARCH("Party Name-",'R.M Billets Reports'!D2970)),TRIM(MID('R.M Billets Reports'!D2970,SEARCH("-",'R.M Billets Reports'!D2970)+1,200)),""))&lt;&gt;"",IF(ISNUMBER(SEARCH("Party Name:-",'R.M Billets Reports'!D2970)),TRIM('R.M Billets Reports'!F2970),IF(ISNUMBER(SEARCH("Party Name-",'R.M Billets Reports'!D2970)),TRIM(MID('R.M Billets Reports'!D2970,SEARCH("-",'R.M Billets Reports'!D2970)+1,200)),"")),IF(ISNUMBER(SEARCH("Party Name:-",'R.M Billets Reports'!D2971)),TRIM('R.M Billets Reports'!F2971),IF(ISNUMBER(SEARCH("Party Name-",'R.M Billets Reports'!D2971)),TRIM(MID('R.M Billets Reports'!D2971,SEARCH("-",'R.M Billets Reports'!D2971)+1,200)),"")))="SHREE RADHE SHAKTI SPONGE AND POWER PVT. LTD.","SHREE RADHE",IF(IF(ISNUMBER(SEARCH("Party Name:-",'R.M Billets Reports'!D2970)),TRIM('R.M Billets Reports'!F2970),IF(ISNUMBER(SEARCH("Party Name-",'R.M Billets Reports'!D2970)),TRIM(MID('R.M Billets Reports'!D2970,SEARCH("-",'R.M Billets Reports'!D2970)+1,200)),""))&lt;&gt;"",IF(ISNUMBER(SEARCH("Party Name:-",'R.M Billets Reports'!D2970)),TRIM('R.M Billets Reports'!F2970),IF(ISNUMBER(SEARCH("Party Name-",'R.M Billets Reports'!D2970)),TRIM(MID('R.M Billets Reports'!D2970,SEARCH("-",'R.M Billets Reports'!D2970)+1,200)),"")),IF(ISNUMBER(SEARCH("Party Name:-",'R.M Billets Reports'!D2971)),TRIM('R.M Billets Reports'!F2971),IF(ISNUMBER(SEARCH("Party Name-",'R.M Billets Reports'!D2971)),TRIM(MID('R.M Billets Reports'!D2971,SEARCH("-",'R.M Billets Reports'!D2971)+1,200)),"")))))),IF(ROW()=2,"",A2970))</f>
      </c>
      <c r="B2971">
        <f>IF(OR('R.M Billets Reports'!A2970="Date-",'R.M Billets Reports'!A2970="Date:-"),'R.M Billets Reports'!B2970,IF(ROW()=2,"",B2970))</f>
      </c>
      <c r="C2971">
        <f>IF('R.M Billets Reports'!A2970="V.No.",'R.M Billets Reports'!B2970,IF(ROW()=2,"",C2970))</f>
      </c>
      <c r="D2971">
        <f>IF('R.M Billets Reports'!A2970&lt;&gt;"",'R.M Billets Reports'!A2970,IF(ROW()=2,"",D2970))</f>
      </c>
      <c r="E2971">
        <f>IF('R.M Billets Reports'!B2970="","",TRIM('R.M Billets Reports'!B2970))</f>
      </c>
      <c r="F2971">
        <f>'R.M Billets Reports'!C2970</f>
      </c>
      <c r="G2971">
        <f>'R.M Billets Reports'!D2970</f>
      </c>
      <c r="H2971">
        <f>'R.M Billets Reports'!E2970</f>
      </c>
      <c r="I2971">
        <f>'R.M Billets Reports'!F2970</f>
      </c>
      <c r="J2971">
        <f>'R.M Billets Reports'!G2970</f>
      </c>
      <c r="K2971">
        <f>'R.M Billets Reports'!H2970</f>
      </c>
      <c r="L2971">
        <f>IF('R.M Billets Reports'!I2970="","",'R.M Billets Reports'!I2970)</f>
      </c>
      <c r="M2971">
        <f t="shared" si="92"/>
      </c>
      <c r="N2971">
        <f>IF('R.M Billets Reports'!J2970="","",'R.M Billets Reports'!J2970)</f>
      </c>
      <c r="O2971">
        <f t="shared" si="93"/>
      </c>
      <c r="P2971">
        <f>IF('R.M Billets Reports'!A2970="SIZE",'R.M Billets Reports'!B2970,P2970)</f>
      </c>
    </row>
    <row r="2972" spans="1:16" x14ac:dyDescent="0.25">
      <c r="A2972">
        <f>IF(OR('R.M Billets Reports'!A2971="Date-",'R.M Billets Reports'!A2971="Date:-"),IF(IF(IF(ISNUMBER(SEARCH("Party Name:-",'R.M Billets Reports'!D2971)),TRIM('R.M Billets Reports'!F2971),IF(ISNUMBER(SEARCH("Party Name-",'R.M Billets Reports'!D2971)),TRIM(MID('R.M Billets Reports'!D2971,SEARCH("-",'R.M Billets Reports'!D2971)+1,200)),""))&lt;&gt;"",IF(ISNUMBER(SEARCH("Party Name:-",'R.M Billets Reports'!D2971)),TRIM('R.M Billets Reports'!F2971),IF(ISNUMBER(SEARCH("Party Name-",'R.M Billets Reports'!D2971)),TRIM(MID('R.M Billets Reports'!D2971,SEARCH("-",'R.M Billets Reports'!D2971)+1,200)),"")),IF(ISNUMBER(SEARCH("Party Name:-",'R.M Billets Reports'!D2972)),TRIM('R.M Billets Reports'!F2972),IF(ISNUMBER(SEARCH("Party Name-",'R.M Billets Reports'!D2972)),TRIM(MID('R.M Billets Reports'!D2972,SEARCH("-",'R.M Billets Reports'!D2972)+1,200)),"")))="VRKP ISPAT PVT LTD","VRKP",IF(IF(IF(ISNUMBER(SEARCH("Party Name:-",'R.M Billets Reports'!D2971)),TRIM('R.M Billets Reports'!F2971),IF(ISNUMBER(SEARCH("Party Name-",'R.M Billets Reports'!D2971)),TRIM(MID('R.M Billets Reports'!D2971,SEARCH("-",'R.M Billets Reports'!D2971)+1,200)),""))&lt;&gt;"",IF(ISNUMBER(SEARCH("Party Name:-",'R.M Billets Reports'!D2971)),TRIM('R.M Billets Reports'!F2971),IF(ISNUMBER(SEARCH("Party Name-",'R.M Billets Reports'!D2971)),TRIM(MID('R.M Billets Reports'!D2971,SEARCH("-",'R.M Billets Reports'!D2971)+1,200)),"")),IF(ISNUMBER(SEARCH("Party Name:-",'R.M Billets Reports'!D2972)),TRIM('R.M Billets Reports'!F2972),IF(ISNUMBER(SEARCH("Party Name-",'R.M Billets Reports'!D2972)),TRIM(MID('R.M Billets Reports'!D2972,SEARCH("-",'R.M Billets Reports'!D2972)+1,200)),"")))="SHRI RADHE","SHREE RADHE",IF(IF(IF(ISNUMBER(SEARCH("Party Name:-",'R.M Billets Reports'!D2971)),TRIM('R.M Billets Reports'!F2971),IF(ISNUMBER(SEARCH("Party Name-",'R.M Billets Reports'!D2971)),TRIM(MID('R.M Billets Reports'!D2971,SEARCH("-",'R.M Billets Reports'!D2971)+1,200)),""))&lt;&gt;"",IF(ISNUMBER(SEARCH("Party Name:-",'R.M Billets Reports'!D2971)),TRIM('R.M Billets Reports'!F2971),IF(ISNUMBER(SEARCH("Party Name-",'R.M Billets Reports'!D2971)),TRIM(MID('R.M Billets Reports'!D2971,SEARCH("-",'R.M Billets Reports'!D2971)+1,200)),"")),IF(ISNUMBER(SEARCH("Party Name:-",'R.M Billets Reports'!D2972)),TRIM('R.M Billets Reports'!F2972),IF(ISNUMBER(SEARCH("Party Name-",'R.M Billets Reports'!D2972)),TRIM(MID('R.M Billets Reports'!D2972,SEARCH("-",'R.M Billets Reports'!D2972)+1,200)),"")))="SHREE RADHE SHAKTI SPONGE AND POWER PVT. LTD.","SHREE RADHE",IF(IF(ISNUMBER(SEARCH("Party Name:-",'R.M Billets Reports'!D2971)),TRIM('R.M Billets Reports'!F2971),IF(ISNUMBER(SEARCH("Party Name-",'R.M Billets Reports'!D2971)),TRIM(MID('R.M Billets Reports'!D2971,SEARCH("-",'R.M Billets Reports'!D2971)+1,200)),""))&lt;&gt;"",IF(ISNUMBER(SEARCH("Party Name:-",'R.M Billets Reports'!D2971)),TRIM('R.M Billets Reports'!F2971),IF(ISNUMBER(SEARCH("Party Name-",'R.M Billets Reports'!D2971)),TRIM(MID('R.M Billets Reports'!D2971,SEARCH("-",'R.M Billets Reports'!D2971)+1,200)),"")),IF(ISNUMBER(SEARCH("Party Name:-",'R.M Billets Reports'!D2972)),TRIM('R.M Billets Reports'!F2972),IF(ISNUMBER(SEARCH("Party Name-",'R.M Billets Reports'!D2972)),TRIM(MID('R.M Billets Reports'!D2972,SEARCH("-",'R.M Billets Reports'!D2972)+1,200)),"")))))),IF(ROW()=2,"",A2971))</f>
      </c>
      <c r="B2972">
        <f>IF(OR('R.M Billets Reports'!A2971="Date-",'R.M Billets Reports'!A2971="Date:-"),'R.M Billets Reports'!B2971,IF(ROW()=2,"",B2971))</f>
      </c>
      <c r="C2972">
        <f>IF('R.M Billets Reports'!A2971="V.No.",'R.M Billets Reports'!B2971,IF(ROW()=2,"",C2971))</f>
      </c>
      <c r="D2972">
        <f>IF('R.M Billets Reports'!A2971&lt;&gt;"",'R.M Billets Reports'!A2971,IF(ROW()=2,"",D2971))</f>
      </c>
      <c r="E2972">
        <f>IF('R.M Billets Reports'!B2971="","",TRIM('R.M Billets Reports'!B2971))</f>
      </c>
      <c r="F2972">
        <f>'R.M Billets Reports'!C2971</f>
      </c>
      <c r="G2972">
        <f>'R.M Billets Reports'!D2971</f>
      </c>
      <c r="H2972">
        <f>'R.M Billets Reports'!E2971</f>
      </c>
      <c r="I2972">
        <f>'R.M Billets Reports'!F2971</f>
      </c>
      <c r="J2972">
        <f>'R.M Billets Reports'!G2971</f>
      </c>
      <c r="K2972">
        <f>'R.M Billets Reports'!H2971</f>
      </c>
      <c r="L2972">
        <f>IF('R.M Billets Reports'!I2971="","",'R.M Billets Reports'!I2971)</f>
      </c>
      <c r="M2972">
        <f t="shared" si="92"/>
      </c>
      <c r="N2972">
        <f>IF('R.M Billets Reports'!J2971="","",'R.M Billets Reports'!J2971)</f>
      </c>
      <c r="O2972">
        <f t="shared" si="93"/>
      </c>
      <c r="P2972">
        <f>IF('R.M Billets Reports'!A2971="SIZE",'R.M Billets Reports'!B2971,P2971)</f>
      </c>
    </row>
    <row r="2973" spans="1:16" x14ac:dyDescent="0.25">
      <c r="A2973">
        <f>IF(OR('R.M Billets Reports'!A2972="Date-",'R.M Billets Reports'!A2972="Date:-"),IF(IF(IF(ISNUMBER(SEARCH("Party Name:-",'R.M Billets Reports'!D2972)),TRIM('R.M Billets Reports'!F2972),IF(ISNUMBER(SEARCH("Party Name-",'R.M Billets Reports'!D2972)),TRIM(MID('R.M Billets Reports'!D2972,SEARCH("-",'R.M Billets Reports'!D2972)+1,200)),""))&lt;&gt;"",IF(ISNUMBER(SEARCH("Party Name:-",'R.M Billets Reports'!D2972)),TRIM('R.M Billets Reports'!F2972),IF(ISNUMBER(SEARCH("Party Name-",'R.M Billets Reports'!D2972)),TRIM(MID('R.M Billets Reports'!D2972,SEARCH("-",'R.M Billets Reports'!D2972)+1,200)),"")),IF(ISNUMBER(SEARCH("Party Name:-",'R.M Billets Reports'!D2973)),TRIM('R.M Billets Reports'!F2973),IF(ISNUMBER(SEARCH("Party Name-",'R.M Billets Reports'!D2973)),TRIM(MID('R.M Billets Reports'!D2973,SEARCH("-",'R.M Billets Reports'!D2973)+1,200)),"")))="VRKP ISPAT PVT LTD","VRKP",IF(IF(IF(ISNUMBER(SEARCH("Party Name:-",'R.M Billets Reports'!D2972)),TRIM('R.M Billets Reports'!F2972),IF(ISNUMBER(SEARCH("Party Name-",'R.M Billets Reports'!D2972)),TRIM(MID('R.M Billets Reports'!D2972,SEARCH("-",'R.M Billets Reports'!D2972)+1,200)),""))&lt;&gt;"",IF(ISNUMBER(SEARCH("Party Name:-",'R.M Billets Reports'!D2972)),TRIM('R.M Billets Reports'!F2972),IF(ISNUMBER(SEARCH("Party Name-",'R.M Billets Reports'!D2972)),TRIM(MID('R.M Billets Reports'!D2972,SEARCH("-",'R.M Billets Reports'!D2972)+1,200)),"")),IF(ISNUMBER(SEARCH("Party Name:-",'R.M Billets Reports'!D2973)),TRIM('R.M Billets Reports'!F2973),IF(ISNUMBER(SEARCH("Party Name-",'R.M Billets Reports'!D2973)),TRIM(MID('R.M Billets Reports'!D2973,SEARCH("-",'R.M Billets Reports'!D2973)+1,200)),"")))="SHRI RADHE","SHREE RADHE",IF(IF(IF(ISNUMBER(SEARCH("Party Name:-",'R.M Billets Reports'!D2972)),TRIM('R.M Billets Reports'!F2972),IF(ISNUMBER(SEARCH("Party Name-",'R.M Billets Reports'!D2972)),TRIM(MID('R.M Billets Reports'!D2972,SEARCH("-",'R.M Billets Reports'!D2972)+1,200)),""))&lt;&gt;"",IF(ISNUMBER(SEARCH("Party Name:-",'R.M Billets Reports'!D2972)),TRIM('R.M Billets Reports'!F2972),IF(ISNUMBER(SEARCH("Party Name-",'R.M Billets Reports'!D2972)),TRIM(MID('R.M Billets Reports'!D2972,SEARCH("-",'R.M Billets Reports'!D2972)+1,200)),"")),IF(ISNUMBER(SEARCH("Party Name:-",'R.M Billets Reports'!D2973)),TRIM('R.M Billets Reports'!F2973),IF(ISNUMBER(SEARCH("Party Name-",'R.M Billets Reports'!D2973)),TRIM(MID('R.M Billets Reports'!D2973,SEARCH("-",'R.M Billets Reports'!D2973)+1,200)),"")))="SHREE RADHE SHAKTI SPONGE AND POWER PVT. LTD.","SHREE RADHE",IF(IF(ISNUMBER(SEARCH("Party Name:-",'R.M Billets Reports'!D2972)),TRIM('R.M Billets Reports'!F2972),IF(ISNUMBER(SEARCH("Party Name-",'R.M Billets Reports'!D2972)),TRIM(MID('R.M Billets Reports'!D2972,SEARCH("-",'R.M Billets Reports'!D2972)+1,200)),""))&lt;&gt;"",IF(ISNUMBER(SEARCH("Party Name:-",'R.M Billets Reports'!D2972)),TRIM('R.M Billets Reports'!F2972),IF(ISNUMBER(SEARCH("Party Name-",'R.M Billets Reports'!D2972)),TRIM(MID('R.M Billets Reports'!D2972,SEARCH("-",'R.M Billets Reports'!D2972)+1,200)),"")),IF(ISNUMBER(SEARCH("Party Name:-",'R.M Billets Reports'!D2973)),TRIM('R.M Billets Reports'!F2973),IF(ISNUMBER(SEARCH("Party Name-",'R.M Billets Reports'!D2973)),TRIM(MID('R.M Billets Reports'!D2973,SEARCH("-",'R.M Billets Reports'!D2973)+1,200)),"")))))),IF(ROW()=2,"",A2972))</f>
      </c>
      <c r="B2973">
        <f>IF(OR('R.M Billets Reports'!A2972="Date-",'R.M Billets Reports'!A2972="Date:-"),'R.M Billets Reports'!B2972,IF(ROW()=2,"",B2972))</f>
      </c>
      <c r="C2973">
        <f>IF('R.M Billets Reports'!A2972="V.No.",'R.M Billets Reports'!B2972,IF(ROW()=2,"",C2972))</f>
      </c>
      <c r="D2973">
        <f>IF('R.M Billets Reports'!A2972&lt;&gt;"",'R.M Billets Reports'!A2972,IF(ROW()=2,"",D2972))</f>
      </c>
      <c r="E2973">
        <f>IF('R.M Billets Reports'!B2972="","",TRIM('R.M Billets Reports'!B2972))</f>
      </c>
      <c r="F2973">
        <f>'R.M Billets Reports'!C2972</f>
      </c>
      <c r="G2973">
        <f>'R.M Billets Reports'!D2972</f>
      </c>
      <c r="H2973">
        <f>'R.M Billets Reports'!E2972</f>
      </c>
      <c r="I2973">
        <f>'R.M Billets Reports'!F2972</f>
      </c>
      <c r="J2973">
        <f>'R.M Billets Reports'!G2972</f>
      </c>
      <c r="K2973">
        <f>'R.M Billets Reports'!H2972</f>
      </c>
      <c r="L2973">
        <f>IF('R.M Billets Reports'!I2972="","",'R.M Billets Reports'!I2972)</f>
      </c>
      <c r="M2973">
        <f t="shared" si="92"/>
      </c>
      <c r="N2973">
        <f>IF('R.M Billets Reports'!J2972="","",'R.M Billets Reports'!J2972)</f>
      </c>
      <c r="O2973">
        <f t="shared" si="93"/>
      </c>
      <c r="P2973">
        <f>IF('R.M Billets Reports'!A2972="SIZE",'R.M Billets Reports'!B2972,P2972)</f>
      </c>
    </row>
    <row r="2974" spans="1:16" x14ac:dyDescent="0.25">
      <c r="A2974">
        <f>IF(OR('R.M Billets Reports'!A2973="Date-",'R.M Billets Reports'!A2973="Date:-"),IF(IF(IF(ISNUMBER(SEARCH("Party Name:-",'R.M Billets Reports'!D2973)),TRIM('R.M Billets Reports'!F2973),IF(ISNUMBER(SEARCH("Party Name-",'R.M Billets Reports'!D2973)),TRIM(MID('R.M Billets Reports'!D2973,SEARCH("-",'R.M Billets Reports'!D2973)+1,200)),""))&lt;&gt;"",IF(ISNUMBER(SEARCH("Party Name:-",'R.M Billets Reports'!D2973)),TRIM('R.M Billets Reports'!F2973),IF(ISNUMBER(SEARCH("Party Name-",'R.M Billets Reports'!D2973)),TRIM(MID('R.M Billets Reports'!D2973,SEARCH("-",'R.M Billets Reports'!D2973)+1,200)),"")),IF(ISNUMBER(SEARCH("Party Name:-",'R.M Billets Reports'!D2974)),TRIM('R.M Billets Reports'!F2974),IF(ISNUMBER(SEARCH("Party Name-",'R.M Billets Reports'!D2974)),TRIM(MID('R.M Billets Reports'!D2974,SEARCH("-",'R.M Billets Reports'!D2974)+1,200)),"")))="VRKP ISPAT PVT LTD","VRKP",IF(IF(IF(ISNUMBER(SEARCH("Party Name:-",'R.M Billets Reports'!D2973)),TRIM('R.M Billets Reports'!F2973),IF(ISNUMBER(SEARCH("Party Name-",'R.M Billets Reports'!D2973)),TRIM(MID('R.M Billets Reports'!D2973,SEARCH("-",'R.M Billets Reports'!D2973)+1,200)),""))&lt;&gt;"",IF(ISNUMBER(SEARCH("Party Name:-",'R.M Billets Reports'!D2973)),TRIM('R.M Billets Reports'!F2973),IF(ISNUMBER(SEARCH("Party Name-",'R.M Billets Reports'!D2973)),TRIM(MID('R.M Billets Reports'!D2973,SEARCH("-",'R.M Billets Reports'!D2973)+1,200)),"")),IF(ISNUMBER(SEARCH("Party Name:-",'R.M Billets Reports'!D2974)),TRIM('R.M Billets Reports'!F2974),IF(ISNUMBER(SEARCH("Party Name-",'R.M Billets Reports'!D2974)),TRIM(MID('R.M Billets Reports'!D2974,SEARCH("-",'R.M Billets Reports'!D2974)+1,200)),"")))="SHRI RADHE","SHREE RADHE",IF(IF(IF(ISNUMBER(SEARCH("Party Name:-",'R.M Billets Reports'!D2973)),TRIM('R.M Billets Reports'!F2973),IF(ISNUMBER(SEARCH("Party Name-",'R.M Billets Reports'!D2973)),TRIM(MID('R.M Billets Reports'!D2973,SEARCH("-",'R.M Billets Reports'!D2973)+1,200)),""))&lt;&gt;"",IF(ISNUMBER(SEARCH("Party Name:-",'R.M Billets Reports'!D2973)),TRIM('R.M Billets Reports'!F2973),IF(ISNUMBER(SEARCH("Party Name-",'R.M Billets Reports'!D2973)),TRIM(MID('R.M Billets Reports'!D2973,SEARCH("-",'R.M Billets Reports'!D2973)+1,200)),"")),IF(ISNUMBER(SEARCH("Party Name:-",'R.M Billets Reports'!D2974)),TRIM('R.M Billets Reports'!F2974),IF(ISNUMBER(SEARCH("Party Name-",'R.M Billets Reports'!D2974)),TRIM(MID('R.M Billets Reports'!D2974,SEARCH("-",'R.M Billets Reports'!D2974)+1,200)),"")))="SHREE RADHE SHAKTI SPONGE AND POWER PVT. LTD.","SHREE RADHE",IF(IF(ISNUMBER(SEARCH("Party Name:-",'R.M Billets Reports'!D2973)),TRIM('R.M Billets Reports'!F2973),IF(ISNUMBER(SEARCH("Party Name-",'R.M Billets Reports'!D2973)),TRIM(MID('R.M Billets Reports'!D2973,SEARCH("-",'R.M Billets Reports'!D2973)+1,200)),""))&lt;&gt;"",IF(ISNUMBER(SEARCH("Party Name:-",'R.M Billets Reports'!D2973)),TRIM('R.M Billets Reports'!F2973),IF(ISNUMBER(SEARCH("Party Name-",'R.M Billets Reports'!D2973)),TRIM(MID('R.M Billets Reports'!D2973,SEARCH("-",'R.M Billets Reports'!D2973)+1,200)),"")),IF(ISNUMBER(SEARCH("Party Name:-",'R.M Billets Reports'!D2974)),TRIM('R.M Billets Reports'!F2974),IF(ISNUMBER(SEARCH("Party Name-",'R.M Billets Reports'!D2974)),TRIM(MID('R.M Billets Reports'!D2974,SEARCH("-",'R.M Billets Reports'!D2974)+1,200)),"")))))),IF(ROW()=2,"",A2973))</f>
      </c>
      <c r="B2974">
        <f>IF(OR('R.M Billets Reports'!A2973="Date-",'R.M Billets Reports'!A2973="Date:-"),'R.M Billets Reports'!B2973,IF(ROW()=2,"",B2973))</f>
      </c>
      <c r="C2974">
        <f>IF('R.M Billets Reports'!A2973="V.No.",'R.M Billets Reports'!B2973,IF(ROW()=2,"",C2973))</f>
      </c>
      <c r="D2974">
        <f>IF('R.M Billets Reports'!A2973&lt;&gt;"",'R.M Billets Reports'!A2973,IF(ROW()=2,"",D2973))</f>
      </c>
      <c r="E2974">
        <f>IF('R.M Billets Reports'!B2973="","",TRIM('R.M Billets Reports'!B2973))</f>
      </c>
      <c r="F2974">
        <f>'R.M Billets Reports'!C2973</f>
      </c>
      <c r="G2974">
        <f>'R.M Billets Reports'!D2973</f>
      </c>
      <c r="H2974">
        <f>'R.M Billets Reports'!E2973</f>
      </c>
      <c r="I2974">
        <f>'R.M Billets Reports'!F2973</f>
      </c>
      <c r="J2974">
        <f>'R.M Billets Reports'!G2973</f>
      </c>
      <c r="K2974">
        <f>'R.M Billets Reports'!H2973</f>
      </c>
      <c r="L2974">
        <f>IF('R.M Billets Reports'!I2973="","",'R.M Billets Reports'!I2973)</f>
      </c>
      <c r="M2974">
        <f t="shared" si="92"/>
      </c>
      <c r="N2974">
        <f>IF('R.M Billets Reports'!J2973="","",'R.M Billets Reports'!J2973)</f>
      </c>
      <c r="O2974">
        <f t="shared" si="93"/>
      </c>
      <c r="P2974">
        <f>IF('R.M Billets Reports'!A2973="SIZE",'R.M Billets Reports'!B2973,P2973)</f>
      </c>
    </row>
    <row r="2975" spans="1:16" x14ac:dyDescent="0.25">
      <c r="A2975">
        <f>IF(OR('R.M Billets Reports'!A2974="Date-",'R.M Billets Reports'!A2974="Date:-"),IF(IF(IF(ISNUMBER(SEARCH("Party Name:-",'R.M Billets Reports'!D2974)),TRIM('R.M Billets Reports'!F2974),IF(ISNUMBER(SEARCH("Party Name-",'R.M Billets Reports'!D2974)),TRIM(MID('R.M Billets Reports'!D2974,SEARCH("-",'R.M Billets Reports'!D2974)+1,200)),""))&lt;&gt;"",IF(ISNUMBER(SEARCH("Party Name:-",'R.M Billets Reports'!D2974)),TRIM('R.M Billets Reports'!F2974),IF(ISNUMBER(SEARCH("Party Name-",'R.M Billets Reports'!D2974)),TRIM(MID('R.M Billets Reports'!D2974,SEARCH("-",'R.M Billets Reports'!D2974)+1,200)),"")),IF(ISNUMBER(SEARCH("Party Name:-",'R.M Billets Reports'!D2975)),TRIM('R.M Billets Reports'!F2975),IF(ISNUMBER(SEARCH("Party Name-",'R.M Billets Reports'!D2975)),TRIM(MID('R.M Billets Reports'!D2975,SEARCH("-",'R.M Billets Reports'!D2975)+1,200)),"")))="VRKP ISPAT PVT LTD","VRKP",IF(IF(IF(ISNUMBER(SEARCH("Party Name:-",'R.M Billets Reports'!D2974)),TRIM('R.M Billets Reports'!F2974),IF(ISNUMBER(SEARCH("Party Name-",'R.M Billets Reports'!D2974)),TRIM(MID('R.M Billets Reports'!D2974,SEARCH("-",'R.M Billets Reports'!D2974)+1,200)),""))&lt;&gt;"",IF(ISNUMBER(SEARCH("Party Name:-",'R.M Billets Reports'!D2974)),TRIM('R.M Billets Reports'!F2974),IF(ISNUMBER(SEARCH("Party Name-",'R.M Billets Reports'!D2974)),TRIM(MID('R.M Billets Reports'!D2974,SEARCH("-",'R.M Billets Reports'!D2974)+1,200)),"")),IF(ISNUMBER(SEARCH("Party Name:-",'R.M Billets Reports'!D2975)),TRIM('R.M Billets Reports'!F2975),IF(ISNUMBER(SEARCH("Party Name-",'R.M Billets Reports'!D2975)),TRIM(MID('R.M Billets Reports'!D2975,SEARCH("-",'R.M Billets Reports'!D2975)+1,200)),"")))="SHRI RADHE","SHREE RADHE",IF(IF(IF(ISNUMBER(SEARCH("Party Name:-",'R.M Billets Reports'!D2974)),TRIM('R.M Billets Reports'!F2974),IF(ISNUMBER(SEARCH("Party Name-",'R.M Billets Reports'!D2974)),TRIM(MID('R.M Billets Reports'!D2974,SEARCH("-",'R.M Billets Reports'!D2974)+1,200)),""))&lt;&gt;"",IF(ISNUMBER(SEARCH("Party Name:-",'R.M Billets Reports'!D2974)),TRIM('R.M Billets Reports'!F2974),IF(ISNUMBER(SEARCH("Party Name-",'R.M Billets Reports'!D2974)),TRIM(MID('R.M Billets Reports'!D2974,SEARCH("-",'R.M Billets Reports'!D2974)+1,200)),"")),IF(ISNUMBER(SEARCH("Party Name:-",'R.M Billets Reports'!D2975)),TRIM('R.M Billets Reports'!F2975),IF(ISNUMBER(SEARCH("Party Name-",'R.M Billets Reports'!D2975)),TRIM(MID('R.M Billets Reports'!D2975,SEARCH("-",'R.M Billets Reports'!D2975)+1,200)),"")))="SHREE RADHE SHAKTI SPONGE AND POWER PVT. LTD.","SHREE RADHE",IF(IF(ISNUMBER(SEARCH("Party Name:-",'R.M Billets Reports'!D2974)),TRIM('R.M Billets Reports'!F2974),IF(ISNUMBER(SEARCH("Party Name-",'R.M Billets Reports'!D2974)),TRIM(MID('R.M Billets Reports'!D2974,SEARCH("-",'R.M Billets Reports'!D2974)+1,200)),""))&lt;&gt;"",IF(ISNUMBER(SEARCH("Party Name:-",'R.M Billets Reports'!D2974)),TRIM('R.M Billets Reports'!F2974),IF(ISNUMBER(SEARCH("Party Name-",'R.M Billets Reports'!D2974)),TRIM(MID('R.M Billets Reports'!D2974,SEARCH("-",'R.M Billets Reports'!D2974)+1,200)),"")),IF(ISNUMBER(SEARCH("Party Name:-",'R.M Billets Reports'!D2975)),TRIM('R.M Billets Reports'!F2975),IF(ISNUMBER(SEARCH("Party Name-",'R.M Billets Reports'!D2975)),TRIM(MID('R.M Billets Reports'!D2975,SEARCH("-",'R.M Billets Reports'!D2975)+1,200)),"")))))),IF(ROW()=2,"",A2974))</f>
      </c>
      <c r="B2975">
        <f>IF(OR('R.M Billets Reports'!A2974="Date-",'R.M Billets Reports'!A2974="Date:-"),'R.M Billets Reports'!B2974,IF(ROW()=2,"",B2974))</f>
      </c>
      <c r="C2975">
        <f>IF('R.M Billets Reports'!A2974="V.No.",'R.M Billets Reports'!B2974,IF(ROW()=2,"",C2974))</f>
      </c>
      <c r="D2975">
        <f>IF('R.M Billets Reports'!A2974&lt;&gt;"",'R.M Billets Reports'!A2974,IF(ROW()=2,"",D2974))</f>
      </c>
      <c r="E2975">
        <f>IF('R.M Billets Reports'!B2974="","",TRIM('R.M Billets Reports'!B2974))</f>
      </c>
      <c r="F2975">
        <f>'R.M Billets Reports'!C2974</f>
      </c>
      <c r="G2975">
        <f>'R.M Billets Reports'!D2974</f>
      </c>
      <c r="H2975">
        <f>'R.M Billets Reports'!E2974</f>
      </c>
      <c r="I2975">
        <f>'R.M Billets Reports'!F2974</f>
      </c>
      <c r="J2975">
        <f>'R.M Billets Reports'!G2974</f>
      </c>
      <c r="K2975">
        <f>'R.M Billets Reports'!H2974</f>
      </c>
      <c r="L2975">
        <f>IF('R.M Billets Reports'!I2974="","",'R.M Billets Reports'!I2974)</f>
      </c>
      <c r="M2975">
        <f t="shared" si="92"/>
      </c>
      <c r="N2975">
        <f>IF('R.M Billets Reports'!J2974="","",'R.M Billets Reports'!J2974)</f>
      </c>
      <c r="O2975">
        <f t="shared" si="93"/>
      </c>
      <c r="P2975">
        <f>IF('R.M Billets Reports'!A2974="SIZE",'R.M Billets Reports'!B2974,P2974)</f>
      </c>
    </row>
    <row r="2976" spans="1:16" x14ac:dyDescent="0.25">
      <c r="A2976">
        <f>IF(OR('R.M Billets Reports'!A2975="Date-",'R.M Billets Reports'!A2975="Date:-"),IF(IF(IF(ISNUMBER(SEARCH("Party Name:-",'R.M Billets Reports'!D2975)),TRIM('R.M Billets Reports'!F2975),IF(ISNUMBER(SEARCH("Party Name-",'R.M Billets Reports'!D2975)),TRIM(MID('R.M Billets Reports'!D2975,SEARCH("-",'R.M Billets Reports'!D2975)+1,200)),""))&lt;&gt;"",IF(ISNUMBER(SEARCH("Party Name:-",'R.M Billets Reports'!D2975)),TRIM('R.M Billets Reports'!F2975),IF(ISNUMBER(SEARCH("Party Name-",'R.M Billets Reports'!D2975)),TRIM(MID('R.M Billets Reports'!D2975,SEARCH("-",'R.M Billets Reports'!D2975)+1,200)),"")),IF(ISNUMBER(SEARCH("Party Name:-",'R.M Billets Reports'!D2976)),TRIM('R.M Billets Reports'!F2976),IF(ISNUMBER(SEARCH("Party Name-",'R.M Billets Reports'!D2976)),TRIM(MID('R.M Billets Reports'!D2976,SEARCH("-",'R.M Billets Reports'!D2976)+1,200)),"")))="VRKP ISPAT PVT LTD","VRKP",IF(IF(IF(ISNUMBER(SEARCH("Party Name:-",'R.M Billets Reports'!D2975)),TRIM('R.M Billets Reports'!F2975),IF(ISNUMBER(SEARCH("Party Name-",'R.M Billets Reports'!D2975)),TRIM(MID('R.M Billets Reports'!D2975,SEARCH("-",'R.M Billets Reports'!D2975)+1,200)),""))&lt;&gt;"",IF(ISNUMBER(SEARCH("Party Name:-",'R.M Billets Reports'!D2975)),TRIM('R.M Billets Reports'!F2975),IF(ISNUMBER(SEARCH("Party Name-",'R.M Billets Reports'!D2975)),TRIM(MID('R.M Billets Reports'!D2975,SEARCH("-",'R.M Billets Reports'!D2975)+1,200)),"")),IF(ISNUMBER(SEARCH("Party Name:-",'R.M Billets Reports'!D2976)),TRIM('R.M Billets Reports'!F2976),IF(ISNUMBER(SEARCH("Party Name-",'R.M Billets Reports'!D2976)),TRIM(MID('R.M Billets Reports'!D2976,SEARCH("-",'R.M Billets Reports'!D2976)+1,200)),"")))="SHRI RADHE","SHREE RADHE",IF(IF(IF(ISNUMBER(SEARCH("Party Name:-",'R.M Billets Reports'!D2975)),TRIM('R.M Billets Reports'!F2975),IF(ISNUMBER(SEARCH("Party Name-",'R.M Billets Reports'!D2975)),TRIM(MID('R.M Billets Reports'!D2975,SEARCH("-",'R.M Billets Reports'!D2975)+1,200)),""))&lt;&gt;"",IF(ISNUMBER(SEARCH("Party Name:-",'R.M Billets Reports'!D2975)),TRIM('R.M Billets Reports'!F2975),IF(ISNUMBER(SEARCH("Party Name-",'R.M Billets Reports'!D2975)),TRIM(MID('R.M Billets Reports'!D2975,SEARCH("-",'R.M Billets Reports'!D2975)+1,200)),"")),IF(ISNUMBER(SEARCH("Party Name:-",'R.M Billets Reports'!D2976)),TRIM('R.M Billets Reports'!F2976),IF(ISNUMBER(SEARCH("Party Name-",'R.M Billets Reports'!D2976)),TRIM(MID('R.M Billets Reports'!D2976,SEARCH("-",'R.M Billets Reports'!D2976)+1,200)),"")))="SHREE RADHE SHAKTI SPONGE AND POWER PVT. LTD.","SHREE RADHE",IF(IF(ISNUMBER(SEARCH("Party Name:-",'R.M Billets Reports'!D2975)),TRIM('R.M Billets Reports'!F2975),IF(ISNUMBER(SEARCH("Party Name-",'R.M Billets Reports'!D2975)),TRIM(MID('R.M Billets Reports'!D2975,SEARCH("-",'R.M Billets Reports'!D2975)+1,200)),""))&lt;&gt;"",IF(ISNUMBER(SEARCH("Party Name:-",'R.M Billets Reports'!D2975)),TRIM('R.M Billets Reports'!F2975),IF(ISNUMBER(SEARCH("Party Name-",'R.M Billets Reports'!D2975)),TRIM(MID('R.M Billets Reports'!D2975,SEARCH("-",'R.M Billets Reports'!D2975)+1,200)),"")),IF(ISNUMBER(SEARCH("Party Name:-",'R.M Billets Reports'!D2976)),TRIM('R.M Billets Reports'!F2976),IF(ISNUMBER(SEARCH("Party Name-",'R.M Billets Reports'!D2976)),TRIM(MID('R.M Billets Reports'!D2976,SEARCH("-",'R.M Billets Reports'!D2976)+1,200)),"")))))),IF(ROW()=2,"",A2975))</f>
      </c>
      <c r="B2976">
        <f>IF(OR('R.M Billets Reports'!A2975="Date-",'R.M Billets Reports'!A2975="Date:-"),'R.M Billets Reports'!B2975,IF(ROW()=2,"",B2975))</f>
      </c>
      <c r="C2976">
        <f>IF('R.M Billets Reports'!A2975="V.No.",'R.M Billets Reports'!B2975,IF(ROW()=2,"",C2975))</f>
      </c>
      <c r="D2976">
        <f>IF('R.M Billets Reports'!A2975&lt;&gt;"",'R.M Billets Reports'!A2975,IF(ROW()=2,"",D2975))</f>
      </c>
      <c r="E2976">
        <f>IF('R.M Billets Reports'!B2975="","",TRIM('R.M Billets Reports'!B2975))</f>
      </c>
      <c r="F2976">
        <f>'R.M Billets Reports'!C2975</f>
      </c>
      <c r="G2976">
        <f>'R.M Billets Reports'!D2975</f>
      </c>
      <c r="H2976">
        <f>'R.M Billets Reports'!E2975</f>
      </c>
      <c r="I2976">
        <f>'R.M Billets Reports'!F2975</f>
      </c>
      <c r="J2976">
        <f>'R.M Billets Reports'!G2975</f>
      </c>
      <c r="K2976">
        <f>'R.M Billets Reports'!H2975</f>
      </c>
      <c r="L2976">
        <f>IF('R.M Billets Reports'!I2975="","",'R.M Billets Reports'!I2975)</f>
      </c>
      <c r="M2976">
        <f t="shared" si="92"/>
      </c>
      <c r="N2976">
        <f>IF('R.M Billets Reports'!J2975="","",'R.M Billets Reports'!J2975)</f>
      </c>
      <c r="O2976">
        <f t="shared" si="93"/>
      </c>
      <c r="P2976">
        <f>IF('R.M Billets Reports'!A2975="SIZE",'R.M Billets Reports'!B2975,P2975)</f>
      </c>
    </row>
    <row r="2977" spans="1:16" x14ac:dyDescent="0.25">
      <c r="A2977">
        <f>IF(OR('R.M Billets Reports'!A2976="Date-",'R.M Billets Reports'!A2976="Date:-"),IF(IF(IF(ISNUMBER(SEARCH("Party Name:-",'R.M Billets Reports'!D2976)),TRIM('R.M Billets Reports'!F2976),IF(ISNUMBER(SEARCH("Party Name-",'R.M Billets Reports'!D2976)),TRIM(MID('R.M Billets Reports'!D2976,SEARCH("-",'R.M Billets Reports'!D2976)+1,200)),""))&lt;&gt;"",IF(ISNUMBER(SEARCH("Party Name:-",'R.M Billets Reports'!D2976)),TRIM('R.M Billets Reports'!F2976),IF(ISNUMBER(SEARCH("Party Name-",'R.M Billets Reports'!D2976)),TRIM(MID('R.M Billets Reports'!D2976,SEARCH("-",'R.M Billets Reports'!D2976)+1,200)),"")),IF(ISNUMBER(SEARCH("Party Name:-",'R.M Billets Reports'!D2977)),TRIM('R.M Billets Reports'!F2977),IF(ISNUMBER(SEARCH("Party Name-",'R.M Billets Reports'!D2977)),TRIM(MID('R.M Billets Reports'!D2977,SEARCH("-",'R.M Billets Reports'!D2977)+1,200)),"")))="VRKP ISPAT PVT LTD","VRKP",IF(IF(IF(ISNUMBER(SEARCH("Party Name:-",'R.M Billets Reports'!D2976)),TRIM('R.M Billets Reports'!F2976),IF(ISNUMBER(SEARCH("Party Name-",'R.M Billets Reports'!D2976)),TRIM(MID('R.M Billets Reports'!D2976,SEARCH("-",'R.M Billets Reports'!D2976)+1,200)),""))&lt;&gt;"",IF(ISNUMBER(SEARCH("Party Name:-",'R.M Billets Reports'!D2976)),TRIM('R.M Billets Reports'!F2976),IF(ISNUMBER(SEARCH("Party Name-",'R.M Billets Reports'!D2976)),TRIM(MID('R.M Billets Reports'!D2976,SEARCH("-",'R.M Billets Reports'!D2976)+1,200)),"")),IF(ISNUMBER(SEARCH("Party Name:-",'R.M Billets Reports'!D2977)),TRIM('R.M Billets Reports'!F2977),IF(ISNUMBER(SEARCH("Party Name-",'R.M Billets Reports'!D2977)),TRIM(MID('R.M Billets Reports'!D2977,SEARCH("-",'R.M Billets Reports'!D2977)+1,200)),"")))="SHRI RADHE","SHREE RADHE",IF(IF(IF(ISNUMBER(SEARCH("Party Name:-",'R.M Billets Reports'!D2976)),TRIM('R.M Billets Reports'!F2976),IF(ISNUMBER(SEARCH("Party Name-",'R.M Billets Reports'!D2976)),TRIM(MID('R.M Billets Reports'!D2976,SEARCH("-",'R.M Billets Reports'!D2976)+1,200)),""))&lt;&gt;"",IF(ISNUMBER(SEARCH("Party Name:-",'R.M Billets Reports'!D2976)),TRIM('R.M Billets Reports'!F2976),IF(ISNUMBER(SEARCH("Party Name-",'R.M Billets Reports'!D2976)),TRIM(MID('R.M Billets Reports'!D2976,SEARCH("-",'R.M Billets Reports'!D2976)+1,200)),"")),IF(ISNUMBER(SEARCH("Party Name:-",'R.M Billets Reports'!D2977)),TRIM('R.M Billets Reports'!F2977),IF(ISNUMBER(SEARCH("Party Name-",'R.M Billets Reports'!D2977)),TRIM(MID('R.M Billets Reports'!D2977,SEARCH("-",'R.M Billets Reports'!D2977)+1,200)),"")))="SHREE RADHE SHAKTI SPONGE AND POWER PVT. LTD.","SHREE RADHE",IF(IF(ISNUMBER(SEARCH("Party Name:-",'R.M Billets Reports'!D2976)),TRIM('R.M Billets Reports'!F2976),IF(ISNUMBER(SEARCH("Party Name-",'R.M Billets Reports'!D2976)),TRIM(MID('R.M Billets Reports'!D2976,SEARCH("-",'R.M Billets Reports'!D2976)+1,200)),""))&lt;&gt;"",IF(ISNUMBER(SEARCH("Party Name:-",'R.M Billets Reports'!D2976)),TRIM('R.M Billets Reports'!F2976),IF(ISNUMBER(SEARCH("Party Name-",'R.M Billets Reports'!D2976)),TRIM(MID('R.M Billets Reports'!D2976,SEARCH("-",'R.M Billets Reports'!D2976)+1,200)),"")),IF(ISNUMBER(SEARCH("Party Name:-",'R.M Billets Reports'!D2977)),TRIM('R.M Billets Reports'!F2977),IF(ISNUMBER(SEARCH("Party Name-",'R.M Billets Reports'!D2977)),TRIM(MID('R.M Billets Reports'!D2977,SEARCH("-",'R.M Billets Reports'!D2977)+1,200)),"")))))),IF(ROW()=2,"",A2976))</f>
      </c>
      <c r="B2977">
        <f>IF(OR('R.M Billets Reports'!A2976="Date-",'R.M Billets Reports'!A2976="Date:-"),'R.M Billets Reports'!B2976,IF(ROW()=2,"",B2976))</f>
      </c>
      <c r="C2977">
        <f>IF('R.M Billets Reports'!A2976="V.No.",'R.M Billets Reports'!B2976,IF(ROW()=2,"",C2976))</f>
      </c>
      <c r="D2977">
        <f>IF('R.M Billets Reports'!A2976&lt;&gt;"",'R.M Billets Reports'!A2976,IF(ROW()=2,"",D2976))</f>
      </c>
      <c r="E2977">
        <f>IF('R.M Billets Reports'!B2976="","",TRIM('R.M Billets Reports'!B2976))</f>
      </c>
      <c r="F2977">
        <f>'R.M Billets Reports'!C2976</f>
      </c>
      <c r="G2977">
        <f>'R.M Billets Reports'!D2976</f>
      </c>
      <c r="H2977">
        <f>'R.M Billets Reports'!E2976</f>
      </c>
      <c r="I2977">
        <f>'R.M Billets Reports'!F2976</f>
      </c>
      <c r="J2977">
        <f>'R.M Billets Reports'!G2976</f>
      </c>
      <c r="K2977">
        <f>'R.M Billets Reports'!H2976</f>
      </c>
      <c r="L2977">
        <f>IF('R.M Billets Reports'!I2976="","",'R.M Billets Reports'!I2976)</f>
      </c>
      <c r="M2977">
        <f t="shared" si="92"/>
      </c>
      <c r="N2977">
        <f>IF('R.M Billets Reports'!J2976="","",'R.M Billets Reports'!J2976)</f>
      </c>
      <c r="O2977">
        <f t="shared" si="93"/>
      </c>
      <c r="P2977">
        <f>IF('R.M Billets Reports'!A2976="SIZE",'R.M Billets Reports'!B2976,P2976)</f>
      </c>
    </row>
    <row r="2978" spans="1:16" x14ac:dyDescent="0.25">
      <c r="A2978">
        <f>IF(OR('R.M Billets Reports'!A2977="Date-",'R.M Billets Reports'!A2977="Date:-"),IF(IF(IF(ISNUMBER(SEARCH("Party Name:-",'R.M Billets Reports'!D2977)),TRIM('R.M Billets Reports'!F2977),IF(ISNUMBER(SEARCH("Party Name-",'R.M Billets Reports'!D2977)),TRIM(MID('R.M Billets Reports'!D2977,SEARCH("-",'R.M Billets Reports'!D2977)+1,200)),""))&lt;&gt;"",IF(ISNUMBER(SEARCH("Party Name:-",'R.M Billets Reports'!D2977)),TRIM('R.M Billets Reports'!F2977),IF(ISNUMBER(SEARCH("Party Name-",'R.M Billets Reports'!D2977)),TRIM(MID('R.M Billets Reports'!D2977,SEARCH("-",'R.M Billets Reports'!D2977)+1,200)),"")),IF(ISNUMBER(SEARCH("Party Name:-",'R.M Billets Reports'!D2978)),TRIM('R.M Billets Reports'!F2978),IF(ISNUMBER(SEARCH("Party Name-",'R.M Billets Reports'!D2978)),TRIM(MID('R.M Billets Reports'!D2978,SEARCH("-",'R.M Billets Reports'!D2978)+1,200)),"")))="VRKP ISPAT PVT LTD","VRKP",IF(IF(IF(ISNUMBER(SEARCH("Party Name:-",'R.M Billets Reports'!D2977)),TRIM('R.M Billets Reports'!F2977),IF(ISNUMBER(SEARCH("Party Name-",'R.M Billets Reports'!D2977)),TRIM(MID('R.M Billets Reports'!D2977,SEARCH("-",'R.M Billets Reports'!D2977)+1,200)),""))&lt;&gt;"",IF(ISNUMBER(SEARCH("Party Name:-",'R.M Billets Reports'!D2977)),TRIM('R.M Billets Reports'!F2977),IF(ISNUMBER(SEARCH("Party Name-",'R.M Billets Reports'!D2977)),TRIM(MID('R.M Billets Reports'!D2977,SEARCH("-",'R.M Billets Reports'!D2977)+1,200)),"")),IF(ISNUMBER(SEARCH("Party Name:-",'R.M Billets Reports'!D2978)),TRIM('R.M Billets Reports'!F2978),IF(ISNUMBER(SEARCH("Party Name-",'R.M Billets Reports'!D2978)),TRIM(MID('R.M Billets Reports'!D2978,SEARCH("-",'R.M Billets Reports'!D2978)+1,200)),"")))="SHRI RADHE","SHREE RADHE",IF(IF(IF(ISNUMBER(SEARCH("Party Name:-",'R.M Billets Reports'!D2977)),TRIM('R.M Billets Reports'!F2977),IF(ISNUMBER(SEARCH("Party Name-",'R.M Billets Reports'!D2977)),TRIM(MID('R.M Billets Reports'!D2977,SEARCH("-",'R.M Billets Reports'!D2977)+1,200)),""))&lt;&gt;"",IF(ISNUMBER(SEARCH("Party Name:-",'R.M Billets Reports'!D2977)),TRIM('R.M Billets Reports'!F2977),IF(ISNUMBER(SEARCH("Party Name-",'R.M Billets Reports'!D2977)),TRIM(MID('R.M Billets Reports'!D2977,SEARCH("-",'R.M Billets Reports'!D2977)+1,200)),"")),IF(ISNUMBER(SEARCH("Party Name:-",'R.M Billets Reports'!D2978)),TRIM('R.M Billets Reports'!F2978),IF(ISNUMBER(SEARCH("Party Name-",'R.M Billets Reports'!D2978)),TRIM(MID('R.M Billets Reports'!D2978,SEARCH("-",'R.M Billets Reports'!D2978)+1,200)),"")))="SHREE RADHE SHAKTI SPONGE AND POWER PVT. LTD.","SHREE RADHE",IF(IF(ISNUMBER(SEARCH("Party Name:-",'R.M Billets Reports'!D2977)),TRIM('R.M Billets Reports'!F2977),IF(ISNUMBER(SEARCH("Party Name-",'R.M Billets Reports'!D2977)),TRIM(MID('R.M Billets Reports'!D2977,SEARCH("-",'R.M Billets Reports'!D2977)+1,200)),""))&lt;&gt;"",IF(ISNUMBER(SEARCH("Party Name:-",'R.M Billets Reports'!D2977)),TRIM('R.M Billets Reports'!F2977),IF(ISNUMBER(SEARCH("Party Name-",'R.M Billets Reports'!D2977)),TRIM(MID('R.M Billets Reports'!D2977,SEARCH("-",'R.M Billets Reports'!D2977)+1,200)),"")),IF(ISNUMBER(SEARCH("Party Name:-",'R.M Billets Reports'!D2978)),TRIM('R.M Billets Reports'!F2978),IF(ISNUMBER(SEARCH("Party Name-",'R.M Billets Reports'!D2978)),TRIM(MID('R.M Billets Reports'!D2978,SEARCH("-",'R.M Billets Reports'!D2978)+1,200)),"")))))),IF(ROW()=2,"",A2977))</f>
      </c>
      <c r="B2978">
        <f>IF(OR('R.M Billets Reports'!A2977="Date-",'R.M Billets Reports'!A2977="Date:-"),'R.M Billets Reports'!B2977,IF(ROW()=2,"",B2977))</f>
      </c>
      <c r="C2978">
        <f>IF('R.M Billets Reports'!A2977="V.No.",'R.M Billets Reports'!B2977,IF(ROW()=2,"",C2977))</f>
      </c>
      <c r="D2978">
        <f>IF('R.M Billets Reports'!A2977&lt;&gt;"",'R.M Billets Reports'!A2977,IF(ROW()=2,"",D2977))</f>
      </c>
      <c r="E2978">
        <f>IF('R.M Billets Reports'!B2977="","",TRIM('R.M Billets Reports'!B2977))</f>
      </c>
      <c r="F2978">
        <f>'R.M Billets Reports'!C2977</f>
      </c>
      <c r="G2978">
        <f>'R.M Billets Reports'!D2977</f>
      </c>
      <c r="H2978">
        <f>'R.M Billets Reports'!E2977</f>
      </c>
      <c r="I2978">
        <f>'R.M Billets Reports'!F2977</f>
      </c>
      <c r="J2978">
        <f>'R.M Billets Reports'!G2977</f>
      </c>
      <c r="K2978">
        <f>'R.M Billets Reports'!H2977</f>
      </c>
      <c r="L2978">
        <f>IF('R.M Billets Reports'!I2977="","",'R.M Billets Reports'!I2977)</f>
      </c>
      <c r="M2978">
        <f t="shared" si="92"/>
      </c>
      <c r="N2978">
        <f>IF('R.M Billets Reports'!J2977="","",'R.M Billets Reports'!J2977)</f>
      </c>
      <c r="O2978">
        <f t="shared" si="93"/>
      </c>
      <c r="P2978">
        <f>IF('R.M Billets Reports'!A2977="SIZE",'R.M Billets Reports'!B2977,P2977)</f>
      </c>
    </row>
    <row r="2979" spans="1:16" x14ac:dyDescent="0.25">
      <c r="A2979">
        <f>IF(OR('R.M Billets Reports'!A2978="Date-",'R.M Billets Reports'!A2978="Date:-"),IF(IF(IF(ISNUMBER(SEARCH("Party Name:-",'R.M Billets Reports'!D2978)),TRIM('R.M Billets Reports'!F2978),IF(ISNUMBER(SEARCH("Party Name-",'R.M Billets Reports'!D2978)),TRIM(MID('R.M Billets Reports'!D2978,SEARCH("-",'R.M Billets Reports'!D2978)+1,200)),""))&lt;&gt;"",IF(ISNUMBER(SEARCH("Party Name:-",'R.M Billets Reports'!D2978)),TRIM('R.M Billets Reports'!F2978),IF(ISNUMBER(SEARCH("Party Name-",'R.M Billets Reports'!D2978)),TRIM(MID('R.M Billets Reports'!D2978,SEARCH("-",'R.M Billets Reports'!D2978)+1,200)),"")),IF(ISNUMBER(SEARCH("Party Name:-",'R.M Billets Reports'!D2979)),TRIM('R.M Billets Reports'!F2979),IF(ISNUMBER(SEARCH("Party Name-",'R.M Billets Reports'!D2979)),TRIM(MID('R.M Billets Reports'!D2979,SEARCH("-",'R.M Billets Reports'!D2979)+1,200)),"")))="VRKP ISPAT PVT LTD","VRKP",IF(IF(IF(ISNUMBER(SEARCH("Party Name:-",'R.M Billets Reports'!D2978)),TRIM('R.M Billets Reports'!F2978),IF(ISNUMBER(SEARCH("Party Name-",'R.M Billets Reports'!D2978)),TRIM(MID('R.M Billets Reports'!D2978,SEARCH("-",'R.M Billets Reports'!D2978)+1,200)),""))&lt;&gt;"",IF(ISNUMBER(SEARCH("Party Name:-",'R.M Billets Reports'!D2978)),TRIM('R.M Billets Reports'!F2978),IF(ISNUMBER(SEARCH("Party Name-",'R.M Billets Reports'!D2978)),TRIM(MID('R.M Billets Reports'!D2978,SEARCH("-",'R.M Billets Reports'!D2978)+1,200)),"")),IF(ISNUMBER(SEARCH("Party Name:-",'R.M Billets Reports'!D2979)),TRIM('R.M Billets Reports'!F2979),IF(ISNUMBER(SEARCH("Party Name-",'R.M Billets Reports'!D2979)),TRIM(MID('R.M Billets Reports'!D2979,SEARCH("-",'R.M Billets Reports'!D2979)+1,200)),"")))="SHRI RADHE","SHREE RADHE",IF(IF(IF(ISNUMBER(SEARCH("Party Name:-",'R.M Billets Reports'!D2978)),TRIM('R.M Billets Reports'!F2978),IF(ISNUMBER(SEARCH("Party Name-",'R.M Billets Reports'!D2978)),TRIM(MID('R.M Billets Reports'!D2978,SEARCH("-",'R.M Billets Reports'!D2978)+1,200)),""))&lt;&gt;"",IF(ISNUMBER(SEARCH("Party Name:-",'R.M Billets Reports'!D2978)),TRIM('R.M Billets Reports'!F2978),IF(ISNUMBER(SEARCH("Party Name-",'R.M Billets Reports'!D2978)),TRIM(MID('R.M Billets Reports'!D2978,SEARCH("-",'R.M Billets Reports'!D2978)+1,200)),"")),IF(ISNUMBER(SEARCH("Party Name:-",'R.M Billets Reports'!D2979)),TRIM('R.M Billets Reports'!F2979),IF(ISNUMBER(SEARCH("Party Name-",'R.M Billets Reports'!D2979)),TRIM(MID('R.M Billets Reports'!D2979,SEARCH("-",'R.M Billets Reports'!D2979)+1,200)),"")))="SHREE RADHE SHAKTI SPONGE AND POWER PVT. LTD.","SHREE RADHE",IF(IF(ISNUMBER(SEARCH("Party Name:-",'R.M Billets Reports'!D2978)),TRIM('R.M Billets Reports'!F2978),IF(ISNUMBER(SEARCH("Party Name-",'R.M Billets Reports'!D2978)),TRIM(MID('R.M Billets Reports'!D2978,SEARCH("-",'R.M Billets Reports'!D2978)+1,200)),""))&lt;&gt;"",IF(ISNUMBER(SEARCH("Party Name:-",'R.M Billets Reports'!D2978)),TRIM('R.M Billets Reports'!F2978),IF(ISNUMBER(SEARCH("Party Name-",'R.M Billets Reports'!D2978)),TRIM(MID('R.M Billets Reports'!D2978,SEARCH("-",'R.M Billets Reports'!D2978)+1,200)),"")),IF(ISNUMBER(SEARCH("Party Name:-",'R.M Billets Reports'!D2979)),TRIM('R.M Billets Reports'!F2979),IF(ISNUMBER(SEARCH("Party Name-",'R.M Billets Reports'!D2979)),TRIM(MID('R.M Billets Reports'!D2979,SEARCH("-",'R.M Billets Reports'!D2979)+1,200)),"")))))),IF(ROW()=2,"",A2978))</f>
      </c>
      <c r="B2979">
        <f>IF(OR('R.M Billets Reports'!A2978="Date-",'R.M Billets Reports'!A2978="Date:-"),'R.M Billets Reports'!B2978,IF(ROW()=2,"",B2978))</f>
      </c>
      <c r="C2979">
        <f>IF('R.M Billets Reports'!A2978="V.No.",'R.M Billets Reports'!B2978,IF(ROW()=2,"",C2978))</f>
      </c>
      <c r="D2979">
        <f>IF('R.M Billets Reports'!A2978&lt;&gt;"",'R.M Billets Reports'!A2978,IF(ROW()=2,"",D2978))</f>
      </c>
      <c r="E2979">
        <f>IF('R.M Billets Reports'!B2978="","",TRIM('R.M Billets Reports'!B2978))</f>
      </c>
      <c r="F2979">
        <f>'R.M Billets Reports'!C2978</f>
      </c>
      <c r="G2979">
        <f>'R.M Billets Reports'!D2978</f>
      </c>
      <c r="H2979">
        <f>'R.M Billets Reports'!E2978</f>
      </c>
      <c r="I2979">
        <f>'R.M Billets Reports'!F2978</f>
      </c>
      <c r="J2979">
        <f>'R.M Billets Reports'!G2978</f>
      </c>
      <c r="K2979">
        <f>'R.M Billets Reports'!H2978</f>
      </c>
      <c r="L2979">
        <f>IF('R.M Billets Reports'!I2978="","",'R.M Billets Reports'!I2978)</f>
      </c>
      <c r="M2979">
        <f t="shared" si="92"/>
      </c>
      <c r="N2979">
        <f>IF('R.M Billets Reports'!J2978="","",'R.M Billets Reports'!J2978)</f>
      </c>
      <c r="O2979">
        <f t="shared" si="93"/>
      </c>
      <c r="P2979">
        <f>IF('R.M Billets Reports'!A2978="SIZE",'R.M Billets Reports'!B2978,P2978)</f>
      </c>
    </row>
    <row r="2980" spans="1:16" x14ac:dyDescent="0.25">
      <c r="A2980">
        <f>IF(OR('R.M Billets Reports'!A2979="Date-",'R.M Billets Reports'!A2979="Date:-"),IF(IF(IF(ISNUMBER(SEARCH("Party Name:-",'R.M Billets Reports'!D2979)),TRIM('R.M Billets Reports'!F2979),IF(ISNUMBER(SEARCH("Party Name-",'R.M Billets Reports'!D2979)),TRIM(MID('R.M Billets Reports'!D2979,SEARCH("-",'R.M Billets Reports'!D2979)+1,200)),""))&lt;&gt;"",IF(ISNUMBER(SEARCH("Party Name:-",'R.M Billets Reports'!D2979)),TRIM('R.M Billets Reports'!F2979),IF(ISNUMBER(SEARCH("Party Name-",'R.M Billets Reports'!D2979)),TRIM(MID('R.M Billets Reports'!D2979,SEARCH("-",'R.M Billets Reports'!D2979)+1,200)),"")),IF(ISNUMBER(SEARCH("Party Name:-",'R.M Billets Reports'!D2980)),TRIM('R.M Billets Reports'!F2980),IF(ISNUMBER(SEARCH("Party Name-",'R.M Billets Reports'!D2980)),TRIM(MID('R.M Billets Reports'!D2980,SEARCH("-",'R.M Billets Reports'!D2980)+1,200)),"")))="VRKP ISPAT PVT LTD","VRKP",IF(IF(IF(ISNUMBER(SEARCH("Party Name:-",'R.M Billets Reports'!D2979)),TRIM('R.M Billets Reports'!F2979),IF(ISNUMBER(SEARCH("Party Name-",'R.M Billets Reports'!D2979)),TRIM(MID('R.M Billets Reports'!D2979,SEARCH("-",'R.M Billets Reports'!D2979)+1,200)),""))&lt;&gt;"",IF(ISNUMBER(SEARCH("Party Name:-",'R.M Billets Reports'!D2979)),TRIM('R.M Billets Reports'!F2979),IF(ISNUMBER(SEARCH("Party Name-",'R.M Billets Reports'!D2979)),TRIM(MID('R.M Billets Reports'!D2979,SEARCH("-",'R.M Billets Reports'!D2979)+1,200)),"")),IF(ISNUMBER(SEARCH("Party Name:-",'R.M Billets Reports'!D2980)),TRIM('R.M Billets Reports'!F2980),IF(ISNUMBER(SEARCH("Party Name-",'R.M Billets Reports'!D2980)),TRIM(MID('R.M Billets Reports'!D2980,SEARCH("-",'R.M Billets Reports'!D2980)+1,200)),"")))="SHRI RADHE","SHREE RADHE",IF(IF(IF(ISNUMBER(SEARCH("Party Name:-",'R.M Billets Reports'!D2979)),TRIM('R.M Billets Reports'!F2979),IF(ISNUMBER(SEARCH("Party Name-",'R.M Billets Reports'!D2979)),TRIM(MID('R.M Billets Reports'!D2979,SEARCH("-",'R.M Billets Reports'!D2979)+1,200)),""))&lt;&gt;"",IF(ISNUMBER(SEARCH("Party Name:-",'R.M Billets Reports'!D2979)),TRIM('R.M Billets Reports'!F2979),IF(ISNUMBER(SEARCH("Party Name-",'R.M Billets Reports'!D2979)),TRIM(MID('R.M Billets Reports'!D2979,SEARCH("-",'R.M Billets Reports'!D2979)+1,200)),"")),IF(ISNUMBER(SEARCH("Party Name:-",'R.M Billets Reports'!D2980)),TRIM('R.M Billets Reports'!F2980),IF(ISNUMBER(SEARCH("Party Name-",'R.M Billets Reports'!D2980)),TRIM(MID('R.M Billets Reports'!D2980,SEARCH("-",'R.M Billets Reports'!D2980)+1,200)),"")))="SHREE RADHE SHAKTI SPONGE AND POWER PVT. LTD.","SHREE RADHE",IF(IF(ISNUMBER(SEARCH("Party Name:-",'R.M Billets Reports'!D2979)),TRIM('R.M Billets Reports'!F2979),IF(ISNUMBER(SEARCH("Party Name-",'R.M Billets Reports'!D2979)),TRIM(MID('R.M Billets Reports'!D2979,SEARCH("-",'R.M Billets Reports'!D2979)+1,200)),""))&lt;&gt;"",IF(ISNUMBER(SEARCH("Party Name:-",'R.M Billets Reports'!D2979)),TRIM('R.M Billets Reports'!F2979),IF(ISNUMBER(SEARCH("Party Name-",'R.M Billets Reports'!D2979)),TRIM(MID('R.M Billets Reports'!D2979,SEARCH("-",'R.M Billets Reports'!D2979)+1,200)),"")),IF(ISNUMBER(SEARCH("Party Name:-",'R.M Billets Reports'!D2980)),TRIM('R.M Billets Reports'!F2980),IF(ISNUMBER(SEARCH("Party Name-",'R.M Billets Reports'!D2980)),TRIM(MID('R.M Billets Reports'!D2980,SEARCH("-",'R.M Billets Reports'!D2980)+1,200)),"")))))),IF(ROW()=2,"",A2979))</f>
      </c>
      <c r="B2980">
        <f>IF(OR('R.M Billets Reports'!A2979="Date-",'R.M Billets Reports'!A2979="Date:-"),'R.M Billets Reports'!B2979,IF(ROW()=2,"",B2979))</f>
      </c>
      <c r="C2980">
        <f>IF('R.M Billets Reports'!A2979="V.No.",'R.M Billets Reports'!B2979,IF(ROW()=2,"",C2979))</f>
      </c>
      <c r="D2980">
        <f>IF('R.M Billets Reports'!A2979&lt;&gt;"",'R.M Billets Reports'!A2979,IF(ROW()=2,"",D2979))</f>
      </c>
      <c r="E2980">
        <f>IF('R.M Billets Reports'!B2979="","",TRIM('R.M Billets Reports'!B2979))</f>
      </c>
      <c r="F2980">
        <f>'R.M Billets Reports'!C2979</f>
      </c>
      <c r="G2980">
        <f>'R.M Billets Reports'!D2979</f>
      </c>
      <c r="H2980">
        <f>'R.M Billets Reports'!E2979</f>
      </c>
      <c r="I2980">
        <f>'R.M Billets Reports'!F2979</f>
      </c>
      <c r="J2980">
        <f>'R.M Billets Reports'!G2979</f>
      </c>
      <c r="K2980">
        <f>'R.M Billets Reports'!H2979</f>
      </c>
      <c r="L2980">
        <f>IF('R.M Billets Reports'!I2979="","",'R.M Billets Reports'!I2979)</f>
      </c>
      <c r="M2980">
        <f t="shared" si="92"/>
      </c>
      <c r="N2980">
        <f>IF('R.M Billets Reports'!J2979="","",'R.M Billets Reports'!J2979)</f>
      </c>
      <c r="O2980">
        <f t="shared" si="93"/>
      </c>
      <c r="P2980">
        <f>IF('R.M Billets Reports'!A2979="SIZE",'R.M Billets Reports'!B2979,P2979)</f>
      </c>
    </row>
    <row r="2981" spans="1:16" x14ac:dyDescent="0.25">
      <c r="A2981">
        <f>IF(OR('R.M Billets Reports'!A2980="Date-",'R.M Billets Reports'!A2980="Date:-"),IF(IF(IF(ISNUMBER(SEARCH("Party Name:-",'R.M Billets Reports'!D2980)),TRIM('R.M Billets Reports'!F2980),IF(ISNUMBER(SEARCH("Party Name-",'R.M Billets Reports'!D2980)),TRIM(MID('R.M Billets Reports'!D2980,SEARCH("-",'R.M Billets Reports'!D2980)+1,200)),""))&lt;&gt;"",IF(ISNUMBER(SEARCH("Party Name:-",'R.M Billets Reports'!D2980)),TRIM('R.M Billets Reports'!F2980),IF(ISNUMBER(SEARCH("Party Name-",'R.M Billets Reports'!D2980)),TRIM(MID('R.M Billets Reports'!D2980,SEARCH("-",'R.M Billets Reports'!D2980)+1,200)),"")),IF(ISNUMBER(SEARCH("Party Name:-",'R.M Billets Reports'!D2981)),TRIM('R.M Billets Reports'!F2981),IF(ISNUMBER(SEARCH("Party Name-",'R.M Billets Reports'!D2981)),TRIM(MID('R.M Billets Reports'!D2981,SEARCH("-",'R.M Billets Reports'!D2981)+1,200)),"")))="VRKP ISPAT PVT LTD","VRKP",IF(IF(IF(ISNUMBER(SEARCH("Party Name:-",'R.M Billets Reports'!D2980)),TRIM('R.M Billets Reports'!F2980),IF(ISNUMBER(SEARCH("Party Name-",'R.M Billets Reports'!D2980)),TRIM(MID('R.M Billets Reports'!D2980,SEARCH("-",'R.M Billets Reports'!D2980)+1,200)),""))&lt;&gt;"",IF(ISNUMBER(SEARCH("Party Name:-",'R.M Billets Reports'!D2980)),TRIM('R.M Billets Reports'!F2980),IF(ISNUMBER(SEARCH("Party Name-",'R.M Billets Reports'!D2980)),TRIM(MID('R.M Billets Reports'!D2980,SEARCH("-",'R.M Billets Reports'!D2980)+1,200)),"")),IF(ISNUMBER(SEARCH("Party Name:-",'R.M Billets Reports'!D2981)),TRIM('R.M Billets Reports'!F2981),IF(ISNUMBER(SEARCH("Party Name-",'R.M Billets Reports'!D2981)),TRIM(MID('R.M Billets Reports'!D2981,SEARCH("-",'R.M Billets Reports'!D2981)+1,200)),"")))="SHRI RADHE","SHREE RADHE",IF(IF(IF(ISNUMBER(SEARCH("Party Name:-",'R.M Billets Reports'!D2980)),TRIM('R.M Billets Reports'!F2980),IF(ISNUMBER(SEARCH("Party Name-",'R.M Billets Reports'!D2980)),TRIM(MID('R.M Billets Reports'!D2980,SEARCH("-",'R.M Billets Reports'!D2980)+1,200)),""))&lt;&gt;"",IF(ISNUMBER(SEARCH("Party Name:-",'R.M Billets Reports'!D2980)),TRIM('R.M Billets Reports'!F2980),IF(ISNUMBER(SEARCH("Party Name-",'R.M Billets Reports'!D2980)),TRIM(MID('R.M Billets Reports'!D2980,SEARCH("-",'R.M Billets Reports'!D2980)+1,200)),"")),IF(ISNUMBER(SEARCH("Party Name:-",'R.M Billets Reports'!D2981)),TRIM('R.M Billets Reports'!F2981),IF(ISNUMBER(SEARCH("Party Name-",'R.M Billets Reports'!D2981)),TRIM(MID('R.M Billets Reports'!D2981,SEARCH("-",'R.M Billets Reports'!D2981)+1,200)),"")))="SHREE RADHE SHAKTI SPONGE AND POWER PVT. LTD.","SHREE RADHE",IF(IF(ISNUMBER(SEARCH("Party Name:-",'R.M Billets Reports'!D2980)),TRIM('R.M Billets Reports'!F2980),IF(ISNUMBER(SEARCH("Party Name-",'R.M Billets Reports'!D2980)),TRIM(MID('R.M Billets Reports'!D2980,SEARCH("-",'R.M Billets Reports'!D2980)+1,200)),""))&lt;&gt;"",IF(ISNUMBER(SEARCH("Party Name:-",'R.M Billets Reports'!D2980)),TRIM('R.M Billets Reports'!F2980),IF(ISNUMBER(SEARCH("Party Name-",'R.M Billets Reports'!D2980)),TRIM(MID('R.M Billets Reports'!D2980,SEARCH("-",'R.M Billets Reports'!D2980)+1,200)),"")),IF(ISNUMBER(SEARCH("Party Name:-",'R.M Billets Reports'!D2981)),TRIM('R.M Billets Reports'!F2981),IF(ISNUMBER(SEARCH("Party Name-",'R.M Billets Reports'!D2981)),TRIM(MID('R.M Billets Reports'!D2981,SEARCH("-",'R.M Billets Reports'!D2981)+1,200)),"")))))),IF(ROW()=2,"",A2980))</f>
      </c>
      <c r="B2981">
        <f>IF(OR('R.M Billets Reports'!A2980="Date-",'R.M Billets Reports'!A2980="Date:-"),'R.M Billets Reports'!B2980,IF(ROW()=2,"",B2980))</f>
      </c>
      <c r="C2981">
        <f>IF('R.M Billets Reports'!A2980="V.No.",'R.M Billets Reports'!B2980,IF(ROW()=2,"",C2980))</f>
      </c>
      <c r="D2981">
        <f>IF('R.M Billets Reports'!A2980&lt;&gt;"",'R.M Billets Reports'!A2980,IF(ROW()=2,"",D2980))</f>
      </c>
      <c r="E2981">
        <f>IF('R.M Billets Reports'!B2980="","",TRIM('R.M Billets Reports'!B2980))</f>
      </c>
      <c r="F2981">
        <f>'R.M Billets Reports'!C2980</f>
      </c>
      <c r="G2981">
        <f>'R.M Billets Reports'!D2980</f>
      </c>
      <c r="H2981">
        <f>'R.M Billets Reports'!E2980</f>
      </c>
      <c r="I2981">
        <f>'R.M Billets Reports'!F2980</f>
      </c>
      <c r="J2981">
        <f>'R.M Billets Reports'!G2980</f>
      </c>
      <c r="K2981">
        <f>'R.M Billets Reports'!H2980</f>
      </c>
      <c r="L2981">
        <f>IF('R.M Billets Reports'!I2980="","",'R.M Billets Reports'!I2980)</f>
      </c>
      <c r="M2981">
        <f t="shared" si="92"/>
      </c>
      <c r="N2981">
        <f>IF('R.M Billets Reports'!J2980="","",'R.M Billets Reports'!J2980)</f>
      </c>
      <c r="O2981">
        <f t="shared" si="93"/>
      </c>
      <c r="P2981">
        <f>IF('R.M Billets Reports'!A2980="SIZE",'R.M Billets Reports'!B2980,P2980)</f>
      </c>
    </row>
    <row r="2982" spans="1:16" x14ac:dyDescent="0.25">
      <c r="A2982">
        <f>IF(OR('R.M Billets Reports'!A2981="Date-",'R.M Billets Reports'!A2981="Date:-"),IF(IF(IF(ISNUMBER(SEARCH("Party Name:-",'R.M Billets Reports'!D2981)),TRIM('R.M Billets Reports'!F2981),IF(ISNUMBER(SEARCH("Party Name-",'R.M Billets Reports'!D2981)),TRIM(MID('R.M Billets Reports'!D2981,SEARCH("-",'R.M Billets Reports'!D2981)+1,200)),""))&lt;&gt;"",IF(ISNUMBER(SEARCH("Party Name:-",'R.M Billets Reports'!D2981)),TRIM('R.M Billets Reports'!F2981),IF(ISNUMBER(SEARCH("Party Name-",'R.M Billets Reports'!D2981)),TRIM(MID('R.M Billets Reports'!D2981,SEARCH("-",'R.M Billets Reports'!D2981)+1,200)),"")),IF(ISNUMBER(SEARCH("Party Name:-",'R.M Billets Reports'!D2982)),TRIM('R.M Billets Reports'!F2982),IF(ISNUMBER(SEARCH("Party Name-",'R.M Billets Reports'!D2982)),TRIM(MID('R.M Billets Reports'!D2982,SEARCH("-",'R.M Billets Reports'!D2982)+1,200)),"")))="VRKP ISPAT PVT LTD","VRKP",IF(IF(IF(ISNUMBER(SEARCH("Party Name:-",'R.M Billets Reports'!D2981)),TRIM('R.M Billets Reports'!F2981),IF(ISNUMBER(SEARCH("Party Name-",'R.M Billets Reports'!D2981)),TRIM(MID('R.M Billets Reports'!D2981,SEARCH("-",'R.M Billets Reports'!D2981)+1,200)),""))&lt;&gt;"",IF(ISNUMBER(SEARCH("Party Name:-",'R.M Billets Reports'!D2981)),TRIM('R.M Billets Reports'!F2981),IF(ISNUMBER(SEARCH("Party Name-",'R.M Billets Reports'!D2981)),TRIM(MID('R.M Billets Reports'!D2981,SEARCH("-",'R.M Billets Reports'!D2981)+1,200)),"")),IF(ISNUMBER(SEARCH("Party Name:-",'R.M Billets Reports'!D2982)),TRIM('R.M Billets Reports'!F2982),IF(ISNUMBER(SEARCH("Party Name-",'R.M Billets Reports'!D2982)),TRIM(MID('R.M Billets Reports'!D2982,SEARCH("-",'R.M Billets Reports'!D2982)+1,200)),"")))="SHRI RADHE","SHREE RADHE",IF(IF(IF(ISNUMBER(SEARCH("Party Name:-",'R.M Billets Reports'!D2981)),TRIM('R.M Billets Reports'!F2981),IF(ISNUMBER(SEARCH("Party Name-",'R.M Billets Reports'!D2981)),TRIM(MID('R.M Billets Reports'!D2981,SEARCH("-",'R.M Billets Reports'!D2981)+1,200)),""))&lt;&gt;"",IF(ISNUMBER(SEARCH("Party Name:-",'R.M Billets Reports'!D2981)),TRIM('R.M Billets Reports'!F2981),IF(ISNUMBER(SEARCH("Party Name-",'R.M Billets Reports'!D2981)),TRIM(MID('R.M Billets Reports'!D2981,SEARCH("-",'R.M Billets Reports'!D2981)+1,200)),"")),IF(ISNUMBER(SEARCH("Party Name:-",'R.M Billets Reports'!D2982)),TRIM('R.M Billets Reports'!F2982),IF(ISNUMBER(SEARCH("Party Name-",'R.M Billets Reports'!D2982)),TRIM(MID('R.M Billets Reports'!D2982,SEARCH("-",'R.M Billets Reports'!D2982)+1,200)),"")))="SHREE RADHE SHAKTI SPONGE AND POWER PVT. LTD.","SHREE RADHE",IF(IF(ISNUMBER(SEARCH("Party Name:-",'R.M Billets Reports'!D2981)),TRIM('R.M Billets Reports'!F2981),IF(ISNUMBER(SEARCH("Party Name-",'R.M Billets Reports'!D2981)),TRIM(MID('R.M Billets Reports'!D2981,SEARCH("-",'R.M Billets Reports'!D2981)+1,200)),""))&lt;&gt;"",IF(ISNUMBER(SEARCH("Party Name:-",'R.M Billets Reports'!D2981)),TRIM('R.M Billets Reports'!F2981),IF(ISNUMBER(SEARCH("Party Name-",'R.M Billets Reports'!D2981)),TRIM(MID('R.M Billets Reports'!D2981,SEARCH("-",'R.M Billets Reports'!D2981)+1,200)),"")),IF(ISNUMBER(SEARCH("Party Name:-",'R.M Billets Reports'!D2982)),TRIM('R.M Billets Reports'!F2982),IF(ISNUMBER(SEARCH("Party Name-",'R.M Billets Reports'!D2982)),TRIM(MID('R.M Billets Reports'!D2982,SEARCH("-",'R.M Billets Reports'!D2982)+1,200)),"")))))),IF(ROW()=2,"",A2981))</f>
      </c>
      <c r="B2982">
        <f>IF(OR('R.M Billets Reports'!A2981="Date-",'R.M Billets Reports'!A2981="Date:-"),'R.M Billets Reports'!B2981,IF(ROW()=2,"",B2981))</f>
      </c>
      <c r="C2982">
        <f>IF('R.M Billets Reports'!A2981="V.No.",'R.M Billets Reports'!B2981,IF(ROW()=2,"",C2981))</f>
      </c>
      <c r="D2982">
        <f>IF('R.M Billets Reports'!A2981&lt;&gt;"",'R.M Billets Reports'!A2981,IF(ROW()=2,"",D2981))</f>
      </c>
      <c r="E2982">
        <f>IF('R.M Billets Reports'!B2981="","",TRIM('R.M Billets Reports'!B2981))</f>
      </c>
      <c r="F2982">
        <f>'R.M Billets Reports'!C2981</f>
      </c>
      <c r="G2982">
        <f>'R.M Billets Reports'!D2981</f>
      </c>
      <c r="H2982">
        <f>'R.M Billets Reports'!E2981</f>
      </c>
      <c r="I2982">
        <f>'R.M Billets Reports'!F2981</f>
      </c>
      <c r="J2982">
        <f>'R.M Billets Reports'!G2981</f>
      </c>
      <c r="K2982">
        <f>'R.M Billets Reports'!H2981</f>
      </c>
      <c r="L2982">
        <f>IF('R.M Billets Reports'!I2981="","",'R.M Billets Reports'!I2981)</f>
      </c>
      <c r="M2982">
        <f t="shared" si="92"/>
      </c>
      <c r="N2982">
        <f>IF('R.M Billets Reports'!J2981="","",'R.M Billets Reports'!J2981)</f>
      </c>
      <c r="O2982">
        <f t="shared" si="93"/>
      </c>
      <c r="P2982">
        <f>IF('R.M Billets Reports'!A2981="SIZE",'R.M Billets Reports'!B2981,P2981)</f>
      </c>
    </row>
    <row r="2983" spans="1:16" x14ac:dyDescent="0.25">
      <c r="A2983">
        <f>IF(OR('R.M Billets Reports'!A2982="Date-",'R.M Billets Reports'!A2982="Date:-"),IF(IF(IF(ISNUMBER(SEARCH("Party Name:-",'R.M Billets Reports'!D2982)),TRIM('R.M Billets Reports'!F2982),IF(ISNUMBER(SEARCH("Party Name-",'R.M Billets Reports'!D2982)),TRIM(MID('R.M Billets Reports'!D2982,SEARCH("-",'R.M Billets Reports'!D2982)+1,200)),""))&lt;&gt;"",IF(ISNUMBER(SEARCH("Party Name:-",'R.M Billets Reports'!D2982)),TRIM('R.M Billets Reports'!F2982),IF(ISNUMBER(SEARCH("Party Name-",'R.M Billets Reports'!D2982)),TRIM(MID('R.M Billets Reports'!D2982,SEARCH("-",'R.M Billets Reports'!D2982)+1,200)),"")),IF(ISNUMBER(SEARCH("Party Name:-",'R.M Billets Reports'!D2983)),TRIM('R.M Billets Reports'!F2983),IF(ISNUMBER(SEARCH("Party Name-",'R.M Billets Reports'!D2983)),TRIM(MID('R.M Billets Reports'!D2983,SEARCH("-",'R.M Billets Reports'!D2983)+1,200)),"")))="VRKP ISPAT PVT LTD","VRKP",IF(IF(IF(ISNUMBER(SEARCH("Party Name:-",'R.M Billets Reports'!D2982)),TRIM('R.M Billets Reports'!F2982),IF(ISNUMBER(SEARCH("Party Name-",'R.M Billets Reports'!D2982)),TRIM(MID('R.M Billets Reports'!D2982,SEARCH("-",'R.M Billets Reports'!D2982)+1,200)),""))&lt;&gt;"",IF(ISNUMBER(SEARCH("Party Name:-",'R.M Billets Reports'!D2982)),TRIM('R.M Billets Reports'!F2982),IF(ISNUMBER(SEARCH("Party Name-",'R.M Billets Reports'!D2982)),TRIM(MID('R.M Billets Reports'!D2982,SEARCH("-",'R.M Billets Reports'!D2982)+1,200)),"")),IF(ISNUMBER(SEARCH("Party Name:-",'R.M Billets Reports'!D2983)),TRIM('R.M Billets Reports'!F2983),IF(ISNUMBER(SEARCH("Party Name-",'R.M Billets Reports'!D2983)),TRIM(MID('R.M Billets Reports'!D2983,SEARCH("-",'R.M Billets Reports'!D2983)+1,200)),"")))="SHRI RADHE","SHREE RADHE",IF(IF(IF(ISNUMBER(SEARCH("Party Name:-",'R.M Billets Reports'!D2982)),TRIM('R.M Billets Reports'!F2982),IF(ISNUMBER(SEARCH("Party Name-",'R.M Billets Reports'!D2982)),TRIM(MID('R.M Billets Reports'!D2982,SEARCH("-",'R.M Billets Reports'!D2982)+1,200)),""))&lt;&gt;"",IF(ISNUMBER(SEARCH("Party Name:-",'R.M Billets Reports'!D2982)),TRIM('R.M Billets Reports'!F2982),IF(ISNUMBER(SEARCH("Party Name-",'R.M Billets Reports'!D2982)),TRIM(MID('R.M Billets Reports'!D2982,SEARCH("-",'R.M Billets Reports'!D2982)+1,200)),"")),IF(ISNUMBER(SEARCH("Party Name:-",'R.M Billets Reports'!D2983)),TRIM('R.M Billets Reports'!F2983),IF(ISNUMBER(SEARCH("Party Name-",'R.M Billets Reports'!D2983)),TRIM(MID('R.M Billets Reports'!D2983,SEARCH("-",'R.M Billets Reports'!D2983)+1,200)),"")))="SHREE RADHE SHAKTI SPONGE AND POWER PVT. LTD.","SHREE RADHE",IF(IF(ISNUMBER(SEARCH("Party Name:-",'R.M Billets Reports'!D2982)),TRIM('R.M Billets Reports'!F2982),IF(ISNUMBER(SEARCH("Party Name-",'R.M Billets Reports'!D2982)),TRIM(MID('R.M Billets Reports'!D2982,SEARCH("-",'R.M Billets Reports'!D2982)+1,200)),""))&lt;&gt;"",IF(ISNUMBER(SEARCH("Party Name:-",'R.M Billets Reports'!D2982)),TRIM('R.M Billets Reports'!F2982),IF(ISNUMBER(SEARCH("Party Name-",'R.M Billets Reports'!D2982)),TRIM(MID('R.M Billets Reports'!D2982,SEARCH("-",'R.M Billets Reports'!D2982)+1,200)),"")),IF(ISNUMBER(SEARCH("Party Name:-",'R.M Billets Reports'!D2983)),TRIM('R.M Billets Reports'!F2983),IF(ISNUMBER(SEARCH("Party Name-",'R.M Billets Reports'!D2983)),TRIM(MID('R.M Billets Reports'!D2983,SEARCH("-",'R.M Billets Reports'!D2983)+1,200)),"")))))),IF(ROW()=2,"",A2982))</f>
      </c>
      <c r="B2983">
        <f>IF(OR('R.M Billets Reports'!A2982="Date-",'R.M Billets Reports'!A2982="Date:-"),'R.M Billets Reports'!B2982,IF(ROW()=2,"",B2982))</f>
      </c>
      <c r="C2983">
        <f>IF('R.M Billets Reports'!A2982="V.No.",'R.M Billets Reports'!B2982,IF(ROW()=2,"",C2982))</f>
      </c>
      <c r="D2983">
        <f>IF('R.M Billets Reports'!A2982&lt;&gt;"",'R.M Billets Reports'!A2982,IF(ROW()=2,"",D2982))</f>
      </c>
      <c r="E2983">
        <f>IF('R.M Billets Reports'!B2982="","",TRIM('R.M Billets Reports'!B2982))</f>
      </c>
      <c r="F2983">
        <f>'R.M Billets Reports'!C2982</f>
      </c>
      <c r="G2983">
        <f>'R.M Billets Reports'!D2982</f>
      </c>
      <c r="H2983">
        <f>'R.M Billets Reports'!E2982</f>
      </c>
      <c r="I2983">
        <f>'R.M Billets Reports'!F2982</f>
      </c>
      <c r="J2983">
        <f>'R.M Billets Reports'!G2982</f>
      </c>
      <c r="K2983">
        <f>'R.M Billets Reports'!H2982</f>
      </c>
      <c r="L2983">
        <f>IF('R.M Billets Reports'!I2982="","",'R.M Billets Reports'!I2982)</f>
      </c>
      <c r="M2983">
        <f t="shared" si="92"/>
      </c>
      <c r="N2983">
        <f>IF('R.M Billets Reports'!J2982="","",'R.M Billets Reports'!J2982)</f>
      </c>
      <c r="O2983">
        <f t="shared" si="93"/>
      </c>
      <c r="P2983">
        <f>IF('R.M Billets Reports'!A2982="SIZE",'R.M Billets Reports'!B2982,P2982)</f>
      </c>
    </row>
    <row r="2984" spans="1:16" x14ac:dyDescent="0.25">
      <c r="A2984">
        <f>IF(OR('R.M Billets Reports'!A2983="Date-",'R.M Billets Reports'!A2983="Date:-"),IF(IF(IF(ISNUMBER(SEARCH("Party Name:-",'R.M Billets Reports'!D2983)),TRIM('R.M Billets Reports'!F2983),IF(ISNUMBER(SEARCH("Party Name-",'R.M Billets Reports'!D2983)),TRIM(MID('R.M Billets Reports'!D2983,SEARCH("-",'R.M Billets Reports'!D2983)+1,200)),""))&lt;&gt;"",IF(ISNUMBER(SEARCH("Party Name:-",'R.M Billets Reports'!D2983)),TRIM('R.M Billets Reports'!F2983),IF(ISNUMBER(SEARCH("Party Name-",'R.M Billets Reports'!D2983)),TRIM(MID('R.M Billets Reports'!D2983,SEARCH("-",'R.M Billets Reports'!D2983)+1,200)),"")),IF(ISNUMBER(SEARCH("Party Name:-",'R.M Billets Reports'!D2984)),TRIM('R.M Billets Reports'!F2984),IF(ISNUMBER(SEARCH("Party Name-",'R.M Billets Reports'!D2984)),TRIM(MID('R.M Billets Reports'!D2984,SEARCH("-",'R.M Billets Reports'!D2984)+1,200)),"")))="VRKP ISPAT PVT LTD","VRKP",IF(IF(IF(ISNUMBER(SEARCH("Party Name:-",'R.M Billets Reports'!D2983)),TRIM('R.M Billets Reports'!F2983),IF(ISNUMBER(SEARCH("Party Name-",'R.M Billets Reports'!D2983)),TRIM(MID('R.M Billets Reports'!D2983,SEARCH("-",'R.M Billets Reports'!D2983)+1,200)),""))&lt;&gt;"",IF(ISNUMBER(SEARCH("Party Name:-",'R.M Billets Reports'!D2983)),TRIM('R.M Billets Reports'!F2983),IF(ISNUMBER(SEARCH("Party Name-",'R.M Billets Reports'!D2983)),TRIM(MID('R.M Billets Reports'!D2983,SEARCH("-",'R.M Billets Reports'!D2983)+1,200)),"")),IF(ISNUMBER(SEARCH("Party Name:-",'R.M Billets Reports'!D2984)),TRIM('R.M Billets Reports'!F2984),IF(ISNUMBER(SEARCH("Party Name-",'R.M Billets Reports'!D2984)),TRIM(MID('R.M Billets Reports'!D2984,SEARCH("-",'R.M Billets Reports'!D2984)+1,200)),"")))="SHRI RADHE","SHREE RADHE",IF(IF(IF(ISNUMBER(SEARCH("Party Name:-",'R.M Billets Reports'!D2983)),TRIM('R.M Billets Reports'!F2983),IF(ISNUMBER(SEARCH("Party Name-",'R.M Billets Reports'!D2983)),TRIM(MID('R.M Billets Reports'!D2983,SEARCH("-",'R.M Billets Reports'!D2983)+1,200)),""))&lt;&gt;"",IF(ISNUMBER(SEARCH("Party Name:-",'R.M Billets Reports'!D2983)),TRIM('R.M Billets Reports'!F2983),IF(ISNUMBER(SEARCH("Party Name-",'R.M Billets Reports'!D2983)),TRIM(MID('R.M Billets Reports'!D2983,SEARCH("-",'R.M Billets Reports'!D2983)+1,200)),"")),IF(ISNUMBER(SEARCH("Party Name:-",'R.M Billets Reports'!D2984)),TRIM('R.M Billets Reports'!F2984),IF(ISNUMBER(SEARCH("Party Name-",'R.M Billets Reports'!D2984)),TRIM(MID('R.M Billets Reports'!D2984,SEARCH("-",'R.M Billets Reports'!D2984)+1,200)),"")))="SHREE RADHE SHAKTI SPONGE AND POWER PVT. LTD.","SHREE RADHE",IF(IF(ISNUMBER(SEARCH("Party Name:-",'R.M Billets Reports'!D2983)),TRIM('R.M Billets Reports'!F2983),IF(ISNUMBER(SEARCH("Party Name-",'R.M Billets Reports'!D2983)),TRIM(MID('R.M Billets Reports'!D2983,SEARCH("-",'R.M Billets Reports'!D2983)+1,200)),""))&lt;&gt;"",IF(ISNUMBER(SEARCH("Party Name:-",'R.M Billets Reports'!D2983)),TRIM('R.M Billets Reports'!F2983),IF(ISNUMBER(SEARCH("Party Name-",'R.M Billets Reports'!D2983)),TRIM(MID('R.M Billets Reports'!D2983,SEARCH("-",'R.M Billets Reports'!D2983)+1,200)),"")),IF(ISNUMBER(SEARCH("Party Name:-",'R.M Billets Reports'!D2984)),TRIM('R.M Billets Reports'!F2984),IF(ISNUMBER(SEARCH("Party Name-",'R.M Billets Reports'!D2984)),TRIM(MID('R.M Billets Reports'!D2984,SEARCH("-",'R.M Billets Reports'!D2984)+1,200)),"")))))),IF(ROW()=2,"",A2983))</f>
      </c>
      <c r="B2984">
        <f>IF(OR('R.M Billets Reports'!A2983="Date-",'R.M Billets Reports'!A2983="Date:-"),'R.M Billets Reports'!B2983,IF(ROW()=2,"",B2983))</f>
      </c>
      <c r="C2984">
        <f>IF('R.M Billets Reports'!A2983="V.No.",'R.M Billets Reports'!B2983,IF(ROW()=2,"",C2983))</f>
      </c>
      <c r="D2984">
        <f>IF('R.M Billets Reports'!A2983&lt;&gt;"",'R.M Billets Reports'!A2983,IF(ROW()=2,"",D2983))</f>
      </c>
      <c r="E2984">
        <f>IF('R.M Billets Reports'!B2983="","",TRIM('R.M Billets Reports'!B2983))</f>
      </c>
      <c r="F2984">
        <f>'R.M Billets Reports'!C2983</f>
      </c>
      <c r="G2984">
        <f>'R.M Billets Reports'!D2983</f>
      </c>
      <c r="H2984">
        <f>'R.M Billets Reports'!E2983</f>
      </c>
      <c r="I2984">
        <f>'R.M Billets Reports'!F2983</f>
      </c>
      <c r="J2984">
        <f>'R.M Billets Reports'!G2983</f>
      </c>
      <c r="K2984">
        <f>'R.M Billets Reports'!H2983</f>
      </c>
      <c r="L2984">
        <f>IF('R.M Billets Reports'!I2983="","",'R.M Billets Reports'!I2983)</f>
      </c>
      <c r="M2984">
        <f t="shared" si="92"/>
      </c>
      <c r="N2984">
        <f>IF('R.M Billets Reports'!J2983="","",'R.M Billets Reports'!J2983)</f>
      </c>
      <c r="O2984">
        <f t="shared" si="93"/>
      </c>
      <c r="P2984">
        <f>IF('R.M Billets Reports'!A2983="SIZE",'R.M Billets Reports'!B2983,P2983)</f>
      </c>
    </row>
    <row r="2985" spans="1:16" x14ac:dyDescent="0.25">
      <c r="A2985">
        <f>IF(OR('R.M Billets Reports'!A2984="Date-",'R.M Billets Reports'!A2984="Date:-"),IF(IF(IF(ISNUMBER(SEARCH("Party Name:-",'R.M Billets Reports'!D2984)),TRIM('R.M Billets Reports'!F2984),IF(ISNUMBER(SEARCH("Party Name-",'R.M Billets Reports'!D2984)),TRIM(MID('R.M Billets Reports'!D2984,SEARCH("-",'R.M Billets Reports'!D2984)+1,200)),""))&lt;&gt;"",IF(ISNUMBER(SEARCH("Party Name:-",'R.M Billets Reports'!D2984)),TRIM('R.M Billets Reports'!F2984),IF(ISNUMBER(SEARCH("Party Name-",'R.M Billets Reports'!D2984)),TRIM(MID('R.M Billets Reports'!D2984,SEARCH("-",'R.M Billets Reports'!D2984)+1,200)),"")),IF(ISNUMBER(SEARCH("Party Name:-",'R.M Billets Reports'!D2985)),TRIM('R.M Billets Reports'!F2985),IF(ISNUMBER(SEARCH("Party Name-",'R.M Billets Reports'!D2985)),TRIM(MID('R.M Billets Reports'!D2985,SEARCH("-",'R.M Billets Reports'!D2985)+1,200)),"")))="VRKP ISPAT PVT LTD","VRKP",IF(IF(IF(ISNUMBER(SEARCH("Party Name:-",'R.M Billets Reports'!D2984)),TRIM('R.M Billets Reports'!F2984),IF(ISNUMBER(SEARCH("Party Name-",'R.M Billets Reports'!D2984)),TRIM(MID('R.M Billets Reports'!D2984,SEARCH("-",'R.M Billets Reports'!D2984)+1,200)),""))&lt;&gt;"",IF(ISNUMBER(SEARCH("Party Name:-",'R.M Billets Reports'!D2984)),TRIM('R.M Billets Reports'!F2984),IF(ISNUMBER(SEARCH("Party Name-",'R.M Billets Reports'!D2984)),TRIM(MID('R.M Billets Reports'!D2984,SEARCH("-",'R.M Billets Reports'!D2984)+1,200)),"")),IF(ISNUMBER(SEARCH("Party Name:-",'R.M Billets Reports'!D2985)),TRIM('R.M Billets Reports'!F2985),IF(ISNUMBER(SEARCH("Party Name-",'R.M Billets Reports'!D2985)),TRIM(MID('R.M Billets Reports'!D2985,SEARCH("-",'R.M Billets Reports'!D2985)+1,200)),"")))="SHRI RADHE","SHREE RADHE",IF(IF(IF(ISNUMBER(SEARCH("Party Name:-",'R.M Billets Reports'!D2984)),TRIM('R.M Billets Reports'!F2984),IF(ISNUMBER(SEARCH("Party Name-",'R.M Billets Reports'!D2984)),TRIM(MID('R.M Billets Reports'!D2984,SEARCH("-",'R.M Billets Reports'!D2984)+1,200)),""))&lt;&gt;"",IF(ISNUMBER(SEARCH("Party Name:-",'R.M Billets Reports'!D2984)),TRIM('R.M Billets Reports'!F2984),IF(ISNUMBER(SEARCH("Party Name-",'R.M Billets Reports'!D2984)),TRIM(MID('R.M Billets Reports'!D2984,SEARCH("-",'R.M Billets Reports'!D2984)+1,200)),"")),IF(ISNUMBER(SEARCH("Party Name:-",'R.M Billets Reports'!D2985)),TRIM('R.M Billets Reports'!F2985),IF(ISNUMBER(SEARCH("Party Name-",'R.M Billets Reports'!D2985)),TRIM(MID('R.M Billets Reports'!D2985,SEARCH("-",'R.M Billets Reports'!D2985)+1,200)),"")))="SHREE RADHE SHAKTI SPONGE AND POWER PVT. LTD.","SHREE RADHE",IF(IF(ISNUMBER(SEARCH("Party Name:-",'R.M Billets Reports'!D2984)),TRIM('R.M Billets Reports'!F2984),IF(ISNUMBER(SEARCH("Party Name-",'R.M Billets Reports'!D2984)),TRIM(MID('R.M Billets Reports'!D2984,SEARCH("-",'R.M Billets Reports'!D2984)+1,200)),""))&lt;&gt;"",IF(ISNUMBER(SEARCH("Party Name:-",'R.M Billets Reports'!D2984)),TRIM('R.M Billets Reports'!F2984),IF(ISNUMBER(SEARCH("Party Name-",'R.M Billets Reports'!D2984)),TRIM(MID('R.M Billets Reports'!D2984,SEARCH("-",'R.M Billets Reports'!D2984)+1,200)),"")),IF(ISNUMBER(SEARCH("Party Name:-",'R.M Billets Reports'!D2985)),TRIM('R.M Billets Reports'!F2985),IF(ISNUMBER(SEARCH("Party Name-",'R.M Billets Reports'!D2985)),TRIM(MID('R.M Billets Reports'!D2985,SEARCH("-",'R.M Billets Reports'!D2985)+1,200)),"")))))),IF(ROW()=2,"",A2984))</f>
      </c>
      <c r="B2985">
        <f>IF(OR('R.M Billets Reports'!A2984="Date-",'R.M Billets Reports'!A2984="Date:-"),'R.M Billets Reports'!B2984,IF(ROW()=2,"",B2984))</f>
      </c>
      <c r="C2985">
        <f>IF('R.M Billets Reports'!A2984="V.No.",'R.M Billets Reports'!B2984,IF(ROW()=2,"",C2984))</f>
      </c>
      <c r="D2985">
        <f>IF('R.M Billets Reports'!A2984&lt;&gt;"",'R.M Billets Reports'!A2984,IF(ROW()=2,"",D2984))</f>
      </c>
      <c r="E2985">
        <f>IF('R.M Billets Reports'!B2984="","",TRIM('R.M Billets Reports'!B2984))</f>
      </c>
      <c r="F2985">
        <f>'R.M Billets Reports'!C2984</f>
      </c>
      <c r="G2985">
        <f>'R.M Billets Reports'!D2984</f>
      </c>
      <c r="H2985">
        <f>'R.M Billets Reports'!E2984</f>
      </c>
      <c r="I2985">
        <f>'R.M Billets Reports'!F2984</f>
      </c>
      <c r="J2985">
        <f>'R.M Billets Reports'!G2984</f>
      </c>
      <c r="K2985">
        <f>'R.M Billets Reports'!H2984</f>
      </c>
      <c r="L2985">
        <f>IF('R.M Billets Reports'!I2984="","",'R.M Billets Reports'!I2984)</f>
      </c>
      <c r="M2985">
        <f t="shared" si="92"/>
      </c>
      <c r="N2985">
        <f>IF('R.M Billets Reports'!J2984="","",'R.M Billets Reports'!J2984)</f>
      </c>
      <c r="O2985">
        <f t="shared" si="93"/>
      </c>
      <c r="P2985">
        <f>IF('R.M Billets Reports'!A2984="SIZE",'R.M Billets Reports'!B2984,P2984)</f>
      </c>
    </row>
    <row r="2986" spans="1:16" x14ac:dyDescent="0.25">
      <c r="A2986">
        <f>IF(OR('R.M Billets Reports'!A2985="Date-",'R.M Billets Reports'!A2985="Date:-"),IF(IF(IF(ISNUMBER(SEARCH("Party Name:-",'R.M Billets Reports'!D2985)),TRIM('R.M Billets Reports'!F2985),IF(ISNUMBER(SEARCH("Party Name-",'R.M Billets Reports'!D2985)),TRIM(MID('R.M Billets Reports'!D2985,SEARCH("-",'R.M Billets Reports'!D2985)+1,200)),""))&lt;&gt;"",IF(ISNUMBER(SEARCH("Party Name:-",'R.M Billets Reports'!D2985)),TRIM('R.M Billets Reports'!F2985),IF(ISNUMBER(SEARCH("Party Name-",'R.M Billets Reports'!D2985)),TRIM(MID('R.M Billets Reports'!D2985,SEARCH("-",'R.M Billets Reports'!D2985)+1,200)),"")),IF(ISNUMBER(SEARCH("Party Name:-",'R.M Billets Reports'!D2986)),TRIM('R.M Billets Reports'!F2986),IF(ISNUMBER(SEARCH("Party Name-",'R.M Billets Reports'!D2986)),TRIM(MID('R.M Billets Reports'!D2986,SEARCH("-",'R.M Billets Reports'!D2986)+1,200)),"")))="VRKP ISPAT PVT LTD","VRKP",IF(IF(IF(ISNUMBER(SEARCH("Party Name:-",'R.M Billets Reports'!D2985)),TRIM('R.M Billets Reports'!F2985),IF(ISNUMBER(SEARCH("Party Name-",'R.M Billets Reports'!D2985)),TRIM(MID('R.M Billets Reports'!D2985,SEARCH("-",'R.M Billets Reports'!D2985)+1,200)),""))&lt;&gt;"",IF(ISNUMBER(SEARCH("Party Name:-",'R.M Billets Reports'!D2985)),TRIM('R.M Billets Reports'!F2985),IF(ISNUMBER(SEARCH("Party Name-",'R.M Billets Reports'!D2985)),TRIM(MID('R.M Billets Reports'!D2985,SEARCH("-",'R.M Billets Reports'!D2985)+1,200)),"")),IF(ISNUMBER(SEARCH("Party Name:-",'R.M Billets Reports'!D2986)),TRIM('R.M Billets Reports'!F2986),IF(ISNUMBER(SEARCH("Party Name-",'R.M Billets Reports'!D2986)),TRIM(MID('R.M Billets Reports'!D2986,SEARCH("-",'R.M Billets Reports'!D2986)+1,200)),"")))="SHRI RADHE","SHREE RADHE",IF(IF(IF(ISNUMBER(SEARCH("Party Name:-",'R.M Billets Reports'!D2985)),TRIM('R.M Billets Reports'!F2985),IF(ISNUMBER(SEARCH("Party Name-",'R.M Billets Reports'!D2985)),TRIM(MID('R.M Billets Reports'!D2985,SEARCH("-",'R.M Billets Reports'!D2985)+1,200)),""))&lt;&gt;"",IF(ISNUMBER(SEARCH("Party Name:-",'R.M Billets Reports'!D2985)),TRIM('R.M Billets Reports'!F2985),IF(ISNUMBER(SEARCH("Party Name-",'R.M Billets Reports'!D2985)),TRIM(MID('R.M Billets Reports'!D2985,SEARCH("-",'R.M Billets Reports'!D2985)+1,200)),"")),IF(ISNUMBER(SEARCH("Party Name:-",'R.M Billets Reports'!D2986)),TRIM('R.M Billets Reports'!F2986),IF(ISNUMBER(SEARCH("Party Name-",'R.M Billets Reports'!D2986)),TRIM(MID('R.M Billets Reports'!D2986,SEARCH("-",'R.M Billets Reports'!D2986)+1,200)),"")))="SHREE RADHE SHAKTI SPONGE AND POWER PVT. LTD.","SHREE RADHE",IF(IF(ISNUMBER(SEARCH("Party Name:-",'R.M Billets Reports'!D2985)),TRIM('R.M Billets Reports'!F2985),IF(ISNUMBER(SEARCH("Party Name-",'R.M Billets Reports'!D2985)),TRIM(MID('R.M Billets Reports'!D2985,SEARCH("-",'R.M Billets Reports'!D2985)+1,200)),""))&lt;&gt;"",IF(ISNUMBER(SEARCH("Party Name:-",'R.M Billets Reports'!D2985)),TRIM('R.M Billets Reports'!F2985),IF(ISNUMBER(SEARCH("Party Name-",'R.M Billets Reports'!D2985)),TRIM(MID('R.M Billets Reports'!D2985,SEARCH("-",'R.M Billets Reports'!D2985)+1,200)),"")),IF(ISNUMBER(SEARCH("Party Name:-",'R.M Billets Reports'!D2986)),TRIM('R.M Billets Reports'!F2986),IF(ISNUMBER(SEARCH("Party Name-",'R.M Billets Reports'!D2986)),TRIM(MID('R.M Billets Reports'!D2986,SEARCH("-",'R.M Billets Reports'!D2986)+1,200)),"")))))),IF(ROW()=2,"",A2985))</f>
      </c>
      <c r="B2986">
        <f>IF(OR('R.M Billets Reports'!A2985="Date-",'R.M Billets Reports'!A2985="Date:-"),'R.M Billets Reports'!B2985,IF(ROW()=2,"",B2985))</f>
      </c>
      <c r="C2986">
        <f>IF('R.M Billets Reports'!A2985="V.No.",'R.M Billets Reports'!B2985,IF(ROW()=2,"",C2985))</f>
      </c>
      <c r="D2986">
        <f>IF('R.M Billets Reports'!A2985&lt;&gt;"",'R.M Billets Reports'!A2985,IF(ROW()=2,"",D2985))</f>
      </c>
      <c r="E2986">
        <f>IF('R.M Billets Reports'!B2985="","",TRIM('R.M Billets Reports'!B2985))</f>
      </c>
      <c r="F2986">
        <f>'R.M Billets Reports'!C2985</f>
      </c>
      <c r="G2986">
        <f>'R.M Billets Reports'!D2985</f>
      </c>
      <c r="H2986">
        <f>'R.M Billets Reports'!E2985</f>
      </c>
      <c r="I2986">
        <f>'R.M Billets Reports'!F2985</f>
      </c>
      <c r="J2986">
        <f>'R.M Billets Reports'!G2985</f>
      </c>
      <c r="K2986">
        <f>'R.M Billets Reports'!H2985</f>
      </c>
      <c r="L2986">
        <f>IF('R.M Billets Reports'!I2985="","",'R.M Billets Reports'!I2985)</f>
      </c>
      <c r="M2986">
        <f t="shared" si="92"/>
      </c>
      <c r="N2986">
        <f>IF('R.M Billets Reports'!J2985="","",'R.M Billets Reports'!J2985)</f>
      </c>
      <c r="O2986">
        <f t="shared" si="93"/>
      </c>
      <c r="P2986">
        <f>IF('R.M Billets Reports'!A2985="SIZE",'R.M Billets Reports'!B2985,P2985)</f>
      </c>
    </row>
    <row r="2987" spans="1:16" x14ac:dyDescent="0.25">
      <c r="A2987">
        <f>IF(OR('R.M Billets Reports'!A2986="Date-",'R.M Billets Reports'!A2986="Date:-"),IF(IF(IF(ISNUMBER(SEARCH("Party Name:-",'R.M Billets Reports'!D2986)),TRIM('R.M Billets Reports'!F2986),IF(ISNUMBER(SEARCH("Party Name-",'R.M Billets Reports'!D2986)),TRIM(MID('R.M Billets Reports'!D2986,SEARCH("-",'R.M Billets Reports'!D2986)+1,200)),""))&lt;&gt;"",IF(ISNUMBER(SEARCH("Party Name:-",'R.M Billets Reports'!D2986)),TRIM('R.M Billets Reports'!F2986),IF(ISNUMBER(SEARCH("Party Name-",'R.M Billets Reports'!D2986)),TRIM(MID('R.M Billets Reports'!D2986,SEARCH("-",'R.M Billets Reports'!D2986)+1,200)),"")),IF(ISNUMBER(SEARCH("Party Name:-",'R.M Billets Reports'!D2987)),TRIM('R.M Billets Reports'!F2987),IF(ISNUMBER(SEARCH("Party Name-",'R.M Billets Reports'!D2987)),TRIM(MID('R.M Billets Reports'!D2987,SEARCH("-",'R.M Billets Reports'!D2987)+1,200)),"")))="VRKP ISPAT PVT LTD","VRKP",IF(IF(IF(ISNUMBER(SEARCH("Party Name:-",'R.M Billets Reports'!D2986)),TRIM('R.M Billets Reports'!F2986),IF(ISNUMBER(SEARCH("Party Name-",'R.M Billets Reports'!D2986)),TRIM(MID('R.M Billets Reports'!D2986,SEARCH("-",'R.M Billets Reports'!D2986)+1,200)),""))&lt;&gt;"",IF(ISNUMBER(SEARCH("Party Name:-",'R.M Billets Reports'!D2986)),TRIM('R.M Billets Reports'!F2986),IF(ISNUMBER(SEARCH("Party Name-",'R.M Billets Reports'!D2986)),TRIM(MID('R.M Billets Reports'!D2986,SEARCH("-",'R.M Billets Reports'!D2986)+1,200)),"")),IF(ISNUMBER(SEARCH("Party Name:-",'R.M Billets Reports'!D2987)),TRIM('R.M Billets Reports'!F2987),IF(ISNUMBER(SEARCH("Party Name-",'R.M Billets Reports'!D2987)),TRIM(MID('R.M Billets Reports'!D2987,SEARCH("-",'R.M Billets Reports'!D2987)+1,200)),"")))="SHRI RADHE","SHREE RADHE",IF(IF(IF(ISNUMBER(SEARCH("Party Name:-",'R.M Billets Reports'!D2986)),TRIM('R.M Billets Reports'!F2986),IF(ISNUMBER(SEARCH("Party Name-",'R.M Billets Reports'!D2986)),TRIM(MID('R.M Billets Reports'!D2986,SEARCH("-",'R.M Billets Reports'!D2986)+1,200)),""))&lt;&gt;"",IF(ISNUMBER(SEARCH("Party Name:-",'R.M Billets Reports'!D2986)),TRIM('R.M Billets Reports'!F2986),IF(ISNUMBER(SEARCH("Party Name-",'R.M Billets Reports'!D2986)),TRIM(MID('R.M Billets Reports'!D2986,SEARCH("-",'R.M Billets Reports'!D2986)+1,200)),"")),IF(ISNUMBER(SEARCH("Party Name:-",'R.M Billets Reports'!D2987)),TRIM('R.M Billets Reports'!F2987),IF(ISNUMBER(SEARCH("Party Name-",'R.M Billets Reports'!D2987)),TRIM(MID('R.M Billets Reports'!D2987,SEARCH("-",'R.M Billets Reports'!D2987)+1,200)),"")))="SHREE RADHE SHAKTI SPONGE AND POWER PVT. LTD.","SHREE RADHE",IF(IF(ISNUMBER(SEARCH("Party Name:-",'R.M Billets Reports'!D2986)),TRIM('R.M Billets Reports'!F2986),IF(ISNUMBER(SEARCH("Party Name-",'R.M Billets Reports'!D2986)),TRIM(MID('R.M Billets Reports'!D2986,SEARCH("-",'R.M Billets Reports'!D2986)+1,200)),""))&lt;&gt;"",IF(ISNUMBER(SEARCH("Party Name:-",'R.M Billets Reports'!D2986)),TRIM('R.M Billets Reports'!F2986),IF(ISNUMBER(SEARCH("Party Name-",'R.M Billets Reports'!D2986)),TRIM(MID('R.M Billets Reports'!D2986,SEARCH("-",'R.M Billets Reports'!D2986)+1,200)),"")),IF(ISNUMBER(SEARCH("Party Name:-",'R.M Billets Reports'!D2987)),TRIM('R.M Billets Reports'!F2987),IF(ISNUMBER(SEARCH("Party Name-",'R.M Billets Reports'!D2987)),TRIM(MID('R.M Billets Reports'!D2987,SEARCH("-",'R.M Billets Reports'!D2987)+1,200)),"")))))),IF(ROW()=2,"",A2986))</f>
      </c>
      <c r="B2987">
        <f>IF(OR('R.M Billets Reports'!A2986="Date-",'R.M Billets Reports'!A2986="Date:-"),'R.M Billets Reports'!B2986,IF(ROW()=2,"",B2986))</f>
      </c>
      <c r="C2987">
        <f>IF('R.M Billets Reports'!A2986="V.No.",'R.M Billets Reports'!B2986,IF(ROW()=2,"",C2986))</f>
      </c>
      <c r="D2987">
        <f>IF('R.M Billets Reports'!A2986&lt;&gt;"",'R.M Billets Reports'!A2986,IF(ROW()=2,"",D2986))</f>
      </c>
      <c r="E2987">
        <f>IF('R.M Billets Reports'!B2986="","",TRIM('R.M Billets Reports'!B2986))</f>
      </c>
      <c r="F2987">
        <f>'R.M Billets Reports'!C2986</f>
      </c>
      <c r="G2987">
        <f>'R.M Billets Reports'!D2986</f>
      </c>
      <c r="H2987">
        <f>'R.M Billets Reports'!E2986</f>
      </c>
      <c r="I2987">
        <f>'R.M Billets Reports'!F2986</f>
      </c>
      <c r="J2987">
        <f>'R.M Billets Reports'!G2986</f>
      </c>
      <c r="K2987">
        <f>'R.M Billets Reports'!H2986</f>
      </c>
      <c r="L2987">
        <f>IF('R.M Billets Reports'!I2986="","",'R.M Billets Reports'!I2986)</f>
      </c>
      <c r="M2987">
        <f t="shared" si="92"/>
      </c>
      <c r="N2987">
        <f>IF('R.M Billets Reports'!J2986="","",'R.M Billets Reports'!J2986)</f>
      </c>
      <c r="O2987">
        <f t="shared" si="93"/>
      </c>
      <c r="P2987">
        <f>IF('R.M Billets Reports'!A2986="SIZE",'R.M Billets Reports'!B2986,P2986)</f>
      </c>
    </row>
    <row r="2988" spans="1:16" x14ac:dyDescent="0.25">
      <c r="A2988">
        <f>IF(OR('R.M Billets Reports'!A2987="Date-",'R.M Billets Reports'!A2987="Date:-"),IF(IF(IF(ISNUMBER(SEARCH("Party Name:-",'R.M Billets Reports'!D2987)),TRIM('R.M Billets Reports'!F2987),IF(ISNUMBER(SEARCH("Party Name-",'R.M Billets Reports'!D2987)),TRIM(MID('R.M Billets Reports'!D2987,SEARCH("-",'R.M Billets Reports'!D2987)+1,200)),""))&lt;&gt;"",IF(ISNUMBER(SEARCH("Party Name:-",'R.M Billets Reports'!D2987)),TRIM('R.M Billets Reports'!F2987),IF(ISNUMBER(SEARCH("Party Name-",'R.M Billets Reports'!D2987)),TRIM(MID('R.M Billets Reports'!D2987,SEARCH("-",'R.M Billets Reports'!D2987)+1,200)),"")),IF(ISNUMBER(SEARCH("Party Name:-",'R.M Billets Reports'!D2988)),TRIM('R.M Billets Reports'!F2988),IF(ISNUMBER(SEARCH("Party Name-",'R.M Billets Reports'!D2988)),TRIM(MID('R.M Billets Reports'!D2988,SEARCH("-",'R.M Billets Reports'!D2988)+1,200)),"")))="VRKP ISPAT PVT LTD","VRKP",IF(IF(IF(ISNUMBER(SEARCH("Party Name:-",'R.M Billets Reports'!D2987)),TRIM('R.M Billets Reports'!F2987),IF(ISNUMBER(SEARCH("Party Name-",'R.M Billets Reports'!D2987)),TRIM(MID('R.M Billets Reports'!D2987,SEARCH("-",'R.M Billets Reports'!D2987)+1,200)),""))&lt;&gt;"",IF(ISNUMBER(SEARCH("Party Name:-",'R.M Billets Reports'!D2987)),TRIM('R.M Billets Reports'!F2987),IF(ISNUMBER(SEARCH("Party Name-",'R.M Billets Reports'!D2987)),TRIM(MID('R.M Billets Reports'!D2987,SEARCH("-",'R.M Billets Reports'!D2987)+1,200)),"")),IF(ISNUMBER(SEARCH("Party Name:-",'R.M Billets Reports'!D2988)),TRIM('R.M Billets Reports'!F2988),IF(ISNUMBER(SEARCH("Party Name-",'R.M Billets Reports'!D2988)),TRIM(MID('R.M Billets Reports'!D2988,SEARCH("-",'R.M Billets Reports'!D2988)+1,200)),"")))="SHRI RADHE","SHREE RADHE",IF(IF(IF(ISNUMBER(SEARCH("Party Name:-",'R.M Billets Reports'!D2987)),TRIM('R.M Billets Reports'!F2987),IF(ISNUMBER(SEARCH("Party Name-",'R.M Billets Reports'!D2987)),TRIM(MID('R.M Billets Reports'!D2987,SEARCH("-",'R.M Billets Reports'!D2987)+1,200)),""))&lt;&gt;"",IF(ISNUMBER(SEARCH("Party Name:-",'R.M Billets Reports'!D2987)),TRIM('R.M Billets Reports'!F2987),IF(ISNUMBER(SEARCH("Party Name-",'R.M Billets Reports'!D2987)),TRIM(MID('R.M Billets Reports'!D2987,SEARCH("-",'R.M Billets Reports'!D2987)+1,200)),"")),IF(ISNUMBER(SEARCH("Party Name:-",'R.M Billets Reports'!D2988)),TRIM('R.M Billets Reports'!F2988),IF(ISNUMBER(SEARCH("Party Name-",'R.M Billets Reports'!D2988)),TRIM(MID('R.M Billets Reports'!D2988,SEARCH("-",'R.M Billets Reports'!D2988)+1,200)),"")))="SHREE RADHE SHAKTI SPONGE AND POWER PVT. LTD.","SHREE RADHE",IF(IF(ISNUMBER(SEARCH("Party Name:-",'R.M Billets Reports'!D2987)),TRIM('R.M Billets Reports'!F2987),IF(ISNUMBER(SEARCH("Party Name-",'R.M Billets Reports'!D2987)),TRIM(MID('R.M Billets Reports'!D2987,SEARCH("-",'R.M Billets Reports'!D2987)+1,200)),""))&lt;&gt;"",IF(ISNUMBER(SEARCH("Party Name:-",'R.M Billets Reports'!D2987)),TRIM('R.M Billets Reports'!F2987),IF(ISNUMBER(SEARCH("Party Name-",'R.M Billets Reports'!D2987)),TRIM(MID('R.M Billets Reports'!D2987,SEARCH("-",'R.M Billets Reports'!D2987)+1,200)),"")),IF(ISNUMBER(SEARCH("Party Name:-",'R.M Billets Reports'!D2988)),TRIM('R.M Billets Reports'!F2988),IF(ISNUMBER(SEARCH("Party Name-",'R.M Billets Reports'!D2988)),TRIM(MID('R.M Billets Reports'!D2988,SEARCH("-",'R.M Billets Reports'!D2988)+1,200)),"")))))),IF(ROW()=2,"",A2987))</f>
      </c>
      <c r="B2988">
        <f>IF(OR('R.M Billets Reports'!A2987="Date-",'R.M Billets Reports'!A2987="Date:-"),'R.M Billets Reports'!B2987,IF(ROW()=2,"",B2987))</f>
      </c>
      <c r="C2988">
        <f>IF('R.M Billets Reports'!A2987="V.No.",'R.M Billets Reports'!B2987,IF(ROW()=2,"",C2987))</f>
      </c>
      <c r="D2988">
        <f>IF('R.M Billets Reports'!A2987&lt;&gt;"",'R.M Billets Reports'!A2987,IF(ROW()=2,"",D2987))</f>
      </c>
      <c r="E2988">
        <f>IF('R.M Billets Reports'!B2987="","",TRIM('R.M Billets Reports'!B2987))</f>
      </c>
      <c r="F2988">
        <f>'R.M Billets Reports'!C2987</f>
      </c>
      <c r="G2988">
        <f>'R.M Billets Reports'!D2987</f>
      </c>
      <c r="H2988">
        <f>'R.M Billets Reports'!E2987</f>
      </c>
      <c r="I2988">
        <f>'R.M Billets Reports'!F2987</f>
      </c>
      <c r="J2988">
        <f>'R.M Billets Reports'!G2987</f>
      </c>
      <c r="K2988">
        <f>'R.M Billets Reports'!H2987</f>
      </c>
      <c r="L2988">
        <f>IF('R.M Billets Reports'!I2987="","",'R.M Billets Reports'!I2987)</f>
      </c>
      <c r="M2988">
        <f t="shared" si="92"/>
      </c>
      <c r="N2988">
        <f>IF('R.M Billets Reports'!J2987="","",'R.M Billets Reports'!J2987)</f>
      </c>
      <c r="O2988">
        <f t="shared" si="93"/>
      </c>
      <c r="P2988">
        <f>IF('R.M Billets Reports'!A2987="SIZE",'R.M Billets Reports'!B2987,P2987)</f>
      </c>
    </row>
    <row r="2989" spans="1:16" x14ac:dyDescent="0.25">
      <c r="A2989">
        <f>IF(OR('R.M Billets Reports'!A2988="Date-",'R.M Billets Reports'!A2988="Date:-"),IF(IF(IF(ISNUMBER(SEARCH("Party Name:-",'R.M Billets Reports'!D2988)),TRIM('R.M Billets Reports'!F2988),IF(ISNUMBER(SEARCH("Party Name-",'R.M Billets Reports'!D2988)),TRIM(MID('R.M Billets Reports'!D2988,SEARCH("-",'R.M Billets Reports'!D2988)+1,200)),""))&lt;&gt;"",IF(ISNUMBER(SEARCH("Party Name:-",'R.M Billets Reports'!D2988)),TRIM('R.M Billets Reports'!F2988),IF(ISNUMBER(SEARCH("Party Name-",'R.M Billets Reports'!D2988)),TRIM(MID('R.M Billets Reports'!D2988,SEARCH("-",'R.M Billets Reports'!D2988)+1,200)),"")),IF(ISNUMBER(SEARCH("Party Name:-",'R.M Billets Reports'!D2989)),TRIM('R.M Billets Reports'!F2989),IF(ISNUMBER(SEARCH("Party Name-",'R.M Billets Reports'!D2989)),TRIM(MID('R.M Billets Reports'!D2989,SEARCH("-",'R.M Billets Reports'!D2989)+1,200)),"")))="VRKP ISPAT PVT LTD","VRKP",IF(IF(IF(ISNUMBER(SEARCH("Party Name:-",'R.M Billets Reports'!D2988)),TRIM('R.M Billets Reports'!F2988),IF(ISNUMBER(SEARCH("Party Name-",'R.M Billets Reports'!D2988)),TRIM(MID('R.M Billets Reports'!D2988,SEARCH("-",'R.M Billets Reports'!D2988)+1,200)),""))&lt;&gt;"",IF(ISNUMBER(SEARCH("Party Name:-",'R.M Billets Reports'!D2988)),TRIM('R.M Billets Reports'!F2988),IF(ISNUMBER(SEARCH("Party Name-",'R.M Billets Reports'!D2988)),TRIM(MID('R.M Billets Reports'!D2988,SEARCH("-",'R.M Billets Reports'!D2988)+1,200)),"")),IF(ISNUMBER(SEARCH("Party Name:-",'R.M Billets Reports'!D2989)),TRIM('R.M Billets Reports'!F2989),IF(ISNUMBER(SEARCH("Party Name-",'R.M Billets Reports'!D2989)),TRIM(MID('R.M Billets Reports'!D2989,SEARCH("-",'R.M Billets Reports'!D2989)+1,200)),"")))="SHRI RADHE","SHREE RADHE",IF(IF(IF(ISNUMBER(SEARCH("Party Name:-",'R.M Billets Reports'!D2988)),TRIM('R.M Billets Reports'!F2988),IF(ISNUMBER(SEARCH("Party Name-",'R.M Billets Reports'!D2988)),TRIM(MID('R.M Billets Reports'!D2988,SEARCH("-",'R.M Billets Reports'!D2988)+1,200)),""))&lt;&gt;"",IF(ISNUMBER(SEARCH("Party Name:-",'R.M Billets Reports'!D2988)),TRIM('R.M Billets Reports'!F2988),IF(ISNUMBER(SEARCH("Party Name-",'R.M Billets Reports'!D2988)),TRIM(MID('R.M Billets Reports'!D2988,SEARCH("-",'R.M Billets Reports'!D2988)+1,200)),"")),IF(ISNUMBER(SEARCH("Party Name:-",'R.M Billets Reports'!D2989)),TRIM('R.M Billets Reports'!F2989),IF(ISNUMBER(SEARCH("Party Name-",'R.M Billets Reports'!D2989)),TRIM(MID('R.M Billets Reports'!D2989,SEARCH("-",'R.M Billets Reports'!D2989)+1,200)),"")))="SHREE RADHE SHAKTI SPONGE AND POWER PVT. LTD.","SHREE RADHE",IF(IF(ISNUMBER(SEARCH("Party Name:-",'R.M Billets Reports'!D2988)),TRIM('R.M Billets Reports'!F2988),IF(ISNUMBER(SEARCH("Party Name-",'R.M Billets Reports'!D2988)),TRIM(MID('R.M Billets Reports'!D2988,SEARCH("-",'R.M Billets Reports'!D2988)+1,200)),""))&lt;&gt;"",IF(ISNUMBER(SEARCH("Party Name:-",'R.M Billets Reports'!D2988)),TRIM('R.M Billets Reports'!F2988),IF(ISNUMBER(SEARCH("Party Name-",'R.M Billets Reports'!D2988)),TRIM(MID('R.M Billets Reports'!D2988,SEARCH("-",'R.M Billets Reports'!D2988)+1,200)),"")),IF(ISNUMBER(SEARCH("Party Name:-",'R.M Billets Reports'!D2989)),TRIM('R.M Billets Reports'!F2989),IF(ISNUMBER(SEARCH("Party Name-",'R.M Billets Reports'!D2989)),TRIM(MID('R.M Billets Reports'!D2989,SEARCH("-",'R.M Billets Reports'!D2989)+1,200)),"")))))),IF(ROW()=2,"",A2988))</f>
      </c>
      <c r="B2989">
        <f>IF(OR('R.M Billets Reports'!A2988="Date-",'R.M Billets Reports'!A2988="Date:-"),'R.M Billets Reports'!B2988,IF(ROW()=2,"",B2988))</f>
      </c>
      <c r="C2989">
        <f>IF('R.M Billets Reports'!A2988="V.No.",'R.M Billets Reports'!B2988,IF(ROW()=2,"",C2988))</f>
      </c>
      <c r="D2989">
        <f>IF('R.M Billets Reports'!A2988&lt;&gt;"",'R.M Billets Reports'!A2988,IF(ROW()=2,"",D2988))</f>
      </c>
      <c r="E2989">
        <f>IF('R.M Billets Reports'!B2988="","",TRIM('R.M Billets Reports'!B2988))</f>
      </c>
      <c r="F2989">
        <f>'R.M Billets Reports'!C2988</f>
      </c>
      <c r="G2989">
        <f>'R.M Billets Reports'!D2988</f>
      </c>
      <c r="H2989">
        <f>'R.M Billets Reports'!E2988</f>
      </c>
      <c r="I2989">
        <f>'R.M Billets Reports'!F2988</f>
      </c>
      <c r="J2989">
        <f>'R.M Billets Reports'!G2988</f>
      </c>
      <c r="K2989">
        <f>'R.M Billets Reports'!H2988</f>
      </c>
      <c r="L2989">
        <f>IF('R.M Billets Reports'!I2988="","",'R.M Billets Reports'!I2988)</f>
      </c>
      <c r="M2989">
        <f t="shared" si="92"/>
      </c>
      <c r="N2989">
        <f>IF('R.M Billets Reports'!J2988="","",'R.M Billets Reports'!J2988)</f>
      </c>
      <c r="O2989">
        <f t="shared" si="93"/>
      </c>
      <c r="P2989">
        <f>IF('R.M Billets Reports'!A2988="SIZE",'R.M Billets Reports'!B2988,P2988)</f>
      </c>
    </row>
    <row r="2990" spans="1:16" x14ac:dyDescent="0.25">
      <c r="A2990">
        <f>IF(OR('R.M Billets Reports'!A2989="Date-",'R.M Billets Reports'!A2989="Date:-"),IF(IF(IF(ISNUMBER(SEARCH("Party Name:-",'R.M Billets Reports'!D2989)),TRIM('R.M Billets Reports'!F2989),IF(ISNUMBER(SEARCH("Party Name-",'R.M Billets Reports'!D2989)),TRIM(MID('R.M Billets Reports'!D2989,SEARCH("-",'R.M Billets Reports'!D2989)+1,200)),""))&lt;&gt;"",IF(ISNUMBER(SEARCH("Party Name:-",'R.M Billets Reports'!D2989)),TRIM('R.M Billets Reports'!F2989),IF(ISNUMBER(SEARCH("Party Name-",'R.M Billets Reports'!D2989)),TRIM(MID('R.M Billets Reports'!D2989,SEARCH("-",'R.M Billets Reports'!D2989)+1,200)),"")),IF(ISNUMBER(SEARCH("Party Name:-",'R.M Billets Reports'!D2990)),TRIM('R.M Billets Reports'!F2990),IF(ISNUMBER(SEARCH("Party Name-",'R.M Billets Reports'!D2990)),TRIM(MID('R.M Billets Reports'!D2990,SEARCH("-",'R.M Billets Reports'!D2990)+1,200)),"")))="VRKP ISPAT PVT LTD","VRKP",IF(IF(IF(ISNUMBER(SEARCH("Party Name:-",'R.M Billets Reports'!D2989)),TRIM('R.M Billets Reports'!F2989),IF(ISNUMBER(SEARCH("Party Name-",'R.M Billets Reports'!D2989)),TRIM(MID('R.M Billets Reports'!D2989,SEARCH("-",'R.M Billets Reports'!D2989)+1,200)),""))&lt;&gt;"",IF(ISNUMBER(SEARCH("Party Name:-",'R.M Billets Reports'!D2989)),TRIM('R.M Billets Reports'!F2989),IF(ISNUMBER(SEARCH("Party Name-",'R.M Billets Reports'!D2989)),TRIM(MID('R.M Billets Reports'!D2989,SEARCH("-",'R.M Billets Reports'!D2989)+1,200)),"")),IF(ISNUMBER(SEARCH("Party Name:-",'R.M Billets Reports'!D2990)),TRIM('R.M Billets Reports'!F2990),IF(ISNUMBER(SEARCH("Party Name-",'R.M Billets Reports'!D2990)),TRIM(MID('R.M Billets Reports'!D2990,SEARCH("-",'R.M Billets Reports'!D2990)+1,200)),"")))="SHRI RADHE","SHREE RADHE",IF(IF(IF(ISNUMBER(SEARCH("Party Name:-",'R.M Billets Reports'!D2989)),TRIM('R.M Billets Reports'!F2989),IF(ISNUMBER(SEARCH("Party Name-",'R.M Billets Reports'!D2989)),TRIM(MID('R.M Billets Reports'!D2989,SEARCH("-",'R.M Billets Reports'!D2989)+1,200)),""))&lt;&gt;"",IF(ISNUMBER(SEARCH("Party Name:-",'R.M Billets Reports'!D2989)),TRIM('R.M Billets Reports'!F2989),IF(ISNUMBER(SEARCH("Party Name-",'R.M Billets Reports'!D2989)),TRIM(MID('R.M Billets Reports'!D2989,SEARCH("-",'R.M Billets Reports'!D2989)+1,200)),"")),IF(ISNUMBER(SEARCH("Party Name:-",'R.M Billets Reports'!D2990)),TRIM('R.M Billets Reports'!F2990),IF(ISNUMBER(SEARCH("Party Name-",'R.M Billets Reports'!D2990)),TRIM(MID('R.M Billets Reports'!D2990,SEARCH("-",'R.M Billets Reports'!D2990)+1,200)),"")))="SHREE RADHE SHAKTI SPONGE AND POWER PVT. LTD.","SHREE RADHE",IF(IF(ISNUMBER(SEARCH("Party Name:-",'R.M Billets Reports'!D2989)),TRIM('R.M Billets Reports'!F2989),IF(ISNUMBER(SEARCH("Party Name-",'R.M Billets Reports'!D2989)),TRIM(MID('R.M Billets Reports'!D2989,SEARCH("-",'R.M Billets Reports'!D2989)+1,200)),""))&lt;&gt;"",IF(ISNUMBER(SEARCH("Party Name:-",'R.M Billets Reports'!D2989)),TRIM('R.M Billets Reports'!F2989),IF(ISNUMBER(SEARCH("Party Name-",'R.M Billets Reports'!D2989)),TRIM(MID('R.M Billets Reports'!D2989,SEARCH("-",'R.M Billets Reports'!D2989)+1,200)),"")),IF(ISNUMBER(SEARCH("Party Name:-",'R.M Billets Reports'!D2990)),TRIM('R.M Billets Reports'!F2990),IF(ISNUMBER(SEARCH("Party Name-",'R.M Billets Reports'!D2990)),TRIM(MID('R.M Billets Reports'!D2990,SEARCH("-",'R.M Billets Reports'!D2990)+1,200)),"")))))),IF(ROW()=2,"",A2989))</f>
      </c>
      <c r="B2990">
        <f>IF(OR('R.M Billets Reports'!A2989="Date-",'R.M Billets Reports'!A2989="Date:-"),'R.M Billets Reports'!B2989,IF(ROW()=2,"",B2989))</f>
      </c>
      <c r="C2990">
        <f>IF('R.M Billets Reports'!A2989="V.No.",'R.M Billets Reports'!B2989,IF(ROW()=2,"",C2989))</f>
      </c>
      <c r="D2990">
        <f>IF('R.M Billets Reports'!A2989&lt;&gt;"",'R.M Billets Reports'!A2989,IF(ROW()=2,"",D2989))</f>
      </c>
      <c r="E2990">
        <f>IF('R.M Billets Reports'!B2989="","",TRIM('R.M Billets Reports'!B2989))</f>
      </c>
      <c r="F2990">
        <f>'R.M Billets Reports'!C2989</f>
      </c>
      <c r="G2990">
        <f>'R.M Billets Reports'!D2989</f>
      </c>
      <c r="H2990">
        <f>'R.M Billets Reports'!E2989</f>
      </c>
      <c r="I2990">
        <f>'R.M Billets Reports'!F2989</f>
      </c>
      <c r="J2990">
        <f>'R.M Billets Reports'!G2989</f>
      </c>
      <c r="K2990">
        <f>'R.M Billets Reports'!H2989</f>
      </c>
      <c r="L2990">
        <f>IF('R.M Billets Reports'!I2989="","",'R.M Billets Reports'!I2989)</f>
      </c>
      <c r="M2990">
        <f t="shared" si="92"/>
      </c>
      <c r="N2990">
        <f>IF('R.M Billets Reports'!J2989="","",'R.M Billets Reports'!J2989)</f>
      </c>
      <c r="O2990">
        <f t="shared" si="93"/>
      </c>
      <c r="P2990">
        <f>IF('R.M Billets Reports'!A2989="SIZE",'R.M Billets Reports'!B2989,P2989)</f>
      </c>
    </row>
    <row r="2991" spans="1:16" x14ac:dyDescent="0.25">
      <c r="A2991">
        <f>IF(OR('R.M Billets Reports'!A2990="Date-",'R.M Billets Reports'!A2990="Date:-"),IF(IF(IF(ISNUMBER(SEARCH("Party Name:-",'R.M Billets Reports'!D2990)),TRIM('R.M Billets Reports'!F2990),IF(ISNUMBER(SEARCH("Party Name-",'R.M Billets Reports'!D2990)),TRIM(MID('R.M Billets Reports'!D2990,SEARCH("-",'R.M Billets Reports'!D2990)+1,200)),""))&lt;&gt;"",IF(ISNUMBER(SEARCH("Party Name:-",'R.M Billets Reports'!D2990)),TRIM('R.M Billets Reports'!F2990),IF(ISNUMBER(SEARCH("Party Name-",'R.M Billets Reports'!D2990)),TRIM(MID('R.M Billets Reports'!D2990,SEARCH("-",'R.M Billets Reports'!D2990)+1,200)),"")),IF(ISNUMBER(SEARCH("Party Name:-",'R.M Billets Reports'!D2991)),TRIM('R.M Billets Reports'!F2991),IF(ISNUMBER(SEARCH("Party Name-",'R.M Billets Reports'!D2991)),TRIM(MID('R.M Billets Reports'!D2991,SEARCH("-",'R.M Billets Reports'!D2991)+1,200)),"")))="VRKP ISPAT PVT LTD","VRKP",IF(IF(IF(ISNUMBER(SEARCH("Party Name:-",'R.M Billets Reports'!D2990)),TRIM('R.M Billets Reports'!F2990),IF(ISNUMBER(SEARCH("Party Name-",'R.M Billets Reports'!D2990)),TRIM(MID('R.M Billets Reports'!D2990,SEARCH("-",'R.M Billets Reports'!D2990)+1,200)),""))&lt;&gt;"",IF(ISNUMBER(SEARCH("Party Name:-",'R.M Billets Reports'!D2990)),TRIM('R.M Billets Reports'!F2990),IF(ISNUMBER(SEARCH("Party Name-",'R.M Billets Reports'!D2990)),TRIM(MID('R.M Billets Reports'!D2990,SEARCH("-",'R.M Billets Reports'!D2990)+1,200)),"")),IF(ISNUMBER(SEARCH("Party Name:-",'R.M Billets Reports'!D2991)),TRIM('R.M Billets Reports'!F2991),IF(ISNUMBER(SEARCH("Party Name-",'R.M Billets Reports'!D2991)),TRIM(MID('R.M Billets Reports'!D2991,SEARCH("-",'R.M Billets Reports'!D2991)+1,200)),"")))="SHRI RADHE","SHREE RADHE",IF(IF(IF(ISNUMBER(SEARCH("Party Name:-",'R.M Billets Reports'!D2990)),TRIM('R.M Billets Reports'!F2990),IF(ISNUMBER(SEARCH("Party Name-",'R.M Billets Reports'!D2990)),TRIM(MID('R.M Billets Reports'!D2990,SEARCH("-",'R.M Billets Reports'!D2990)+1,200)),""))&lt;&gt;"",IF(ISNUMBER(SEARCH("Party Name:-",'R.M Billets Reports'!D2990)),TRIM('R.M Billets Reports'!F2990),IF(ISNUMBER(SEARCH("Party Name-",'R.M Billets Reports'!D2990)),TRIM(MID('R.M Billets Reports'!D2990,SEARCH("-",'R.M Billets Reports'!D2990)+1,200)),"")),IF(ISNUMBER(SEARCH("Party Name:-",'R.M Billets Reports'!D2991)),TRIM('R.M Billets Reports'!F2991),IF(ISNUMBER(SEARCH("Party Name-",'R.M Billets Reports'!D2991)),TRIM(MID('R.M Billets Reports'!D2991,SEARCH("-",'R.M Billets Reports'!D2991)+1,200)),"")))="SHREE RADHE SHAKTI SPONGE AND POWER PVT. LTD.","SHREE RADHE",IF(IF(ISNUMBER(SEARCH("Party Name:-",'R.M Billets Reports'!D2990)),TRIM('R.M Billets Reports'!F2990),IF(ISNUMBER(SEARCH("Party Name-",'R.M Billets Reports'!D2990)),TRIM(MID('R.M Billets Reports'!D2990,SEARCH("-",'R.M Billets Reports'!D2990)+1,200)),""))&lt;&gt;"",IF(ISNUMBER(SEARCH("Party Name:-",'R.M Billets Reports'!D2990)),TRIM('R.M Billets Reports'!F2990),IF(ISNUMBER(SEARCH("Party Name-",'R.M Billets Reports'!D2990)),TRIM(MID('R.M Billets Reports'!D2990,SEARCH("-",'R.M Billets Reports'!D2990)+1,200)),"")),IF(ISNUMBER(SEARCH("Party Name:-",'R.M Billets Reports'!D2991)),TRIM('R.M Billets Reports'!F2991),IF(ISNUMBER(SEARCH("Party Name-",'R.M Billets Reports'!D2991)),TRIM(MID('R.M Billets Reports'!D2991,SEARCH("-",'R.M Billets Reports'!D2991)+1,200)),"")))))),IF(ROW()=2,"",A2990))</f>
      </c>
      <c r="B2991">
        <f>IF(OR('R.M Billets Reports'!A2990="Date-",'R.M Billets Reports'!A2990="Date:-"),'R.M Billets Reports'!B2990,IF(ROW()=2,"",B2990))</f>
      </c>
      <c r="C2991">
        <f>IF('R.M Billets Reports'!A2990="V.No.",'R.M Billets Reports'!B2990,IF(ROW()=2,"",C2990))</f>
      </c>
      <c r="D2991">
        <f>IF('R.M Billets Reports'!A2990&lt;&gt;"",'R.M Billets Reports'!A2990,IF(ROW()=2,"",D2990))</f>
      </c>
      <c r="E2991">
        <f>IF('R.M Billets Reports'!B2990="","",TRIM('R.M Billets Reports'!B2990))</f>
      </c>
      <c r="F2991">
        <f>'R.M Billets Reports'!C2990</f>
      </c>
      <c r="G2991">
        <f>'R.M Billets Reports'!D2990</f>
      </c>
      <c r="H2991">
        <f>'R.M Billets Reports'!E2990</f>
      </c>
      <c r="I2991">
        <f>'R.M Billets Reports'!F2990</f>
      </c>
      <c r="J2991">
        <f>'R.M Billets Reports'!G2990</f>
      </c>
      <c r="K2991">
        <f>'R.M Billets Reports'!H2990</f>
      </c>
      <c r="L2991">
        <f>IF('R.M Billets Reports'!I2990="","",'R.M Billets Reports'!I2990)</f>
      </c>
      <c r="M2991">
        <f t="shared" si="92"/>
      </c>
      <c r="N2991">
        <f>IF('R.M Billets Reports'!J2990="","",'R.M Billets Reports'!J2990)</f>
      </c>
      <c r="O2991">
        <f t="shared" si="93"/>
      </c>
      <c r="P2991">
        <f>IF('R.M Billets Reports'!A2990="SIZE",'R.M Billets Reports'!B2990,P2990)</f>
      </c>
    </row>
    <row r="2992" spans="1:16" x14ac:dyDescent="0.25">
      <c r="A2992">
        <f>IF(OR('R.M Billets Reports'!A2991="Date-",'R.M Billets Reports'!A2991="Date:-"),IF(IF(IF(ISNUMBER(SEARCH("Party Name:-",'R.M Billets Reports'!D2991)),TRIM('R.M Billets Reports'!F2991),IF(ISNUMBER(SEARCH("Party Name-",'R.M Billets Reports'!D2991)),TRIM(MID('R.M Billets Reports'!D2991,SEARCH("-",'R.M Billets Reports'!D2991)+1,200)),""))&lt;&gt;"",IF(ISNUMBER(SEARCH("Party Name:-",'R.M Billets Reports'!D2991)),TRIM('R.M Billets Reports'!F2991),IF(ISNUMBER(SEARCH("Party Name-",'R.M Billets Reports'!D2991)),TRIM(MID('R.M Billets Reports'!D2991,SEARCH("-",'R.M Billets Reports'!D2991)+1,200)),"")),IF(ISNUMBER(SEARCH("Party Name:-",'R.M Billets Reports'!D2992)),TRIM('R.M Billets Reports'!F2992),IF(ISNUMBER(SEARCH("Party Name-",'R.M Billets Reports'!D2992)),TRIM(MID('R.M Billets Reports'!D2992,SEARCH("-",'R.M Billets Reports'!D2992)+1,200)),"")))="VRKP ISPAT PVT LTD","VRKP",IF(IF(IF(ISNUMBER(SEARCH("Party Name:-",'R.M Billets Reports'!D2991)),TRIM('R.M Billets Reports'!F2991),IF(ISNUMBER(SEARCH("Party Name-",'R.M Billets Reports'!D2991)),TRIM(MID('R.M Billets Reports'!D2991,SEARCH("-",'R.M Billets Reports'!D2991)+1,200)),""))&lt;&gt;"",IF(ISNUMBER(SEARCH("Party Name:-",'R.M Billets Reports'!D2991)),TRIM('R.M Billets Reports'!F2991),IF(ISNUMBER(SEARCH("Party Name-",'R.M Billets Reports'!D2991)),TRIM(MID('R.M Billets Reports'!D2991,SEARCH("-",'R.M Billets Reports'!D2991)+1,200)),"")),IF(ISNUMBER(SEARCH("Party Name:-",'R.M Billets Reports'!D2992)),TRIM('R.M Billets Reports'!F2992),IF(ISNUMBER(SEARCH("Party Name-",'R.M Billets Reports'!D2992)),TRIM(MID('R.M Billets Reports'!D2992,SEARCH("-",'R.M Billets Reports'!D2992)+1,200)),"")))="SHRI RADHE","SHREE RADHE",IF(IF(IF(ISNUMBER(SEARCH("Party Name:-",'R.M Billets Reports'!D2991)),TRIM('R.M Billets Reports'!F2991),IF(ISNUMBER(SEARCH("Party Name-",'R.M Billets Reports'!D2991)),TRIM(MID('R.M Billets Reports'!D2991,SEARCH("-",'R.M Billets Reports'!D2991)+1,200)),""))&lt;&gt;"",IF(ISNUMBER(SEARCH("Party Name:-",'R.M Billets Reports'!D2991)),TRIM('R.M Billets Reports'!F2991),IF(ISNUMBER(SEARCH("Party Name-",'R.M Billets Reports'!D2991)),TRIM(MID('R.M Billets Reports'!D2991,SEARCH("-",'R.M Billets Reports'!D2991)+1,200)),"")),IF(ISNUMBER(SEARCH("Party Name:-",'R.M Billets Reports'!D2992)),TRIM('R.M Billets Reports'!F2992),IF(ISNUMBER(SEARCH("Party Name-",'R.M Billets Reports'!D2992)),TRIM(MID('R.M Billets Reports'!D2992,SEARCH("-",'R.M Billets Reports'!D2992)+1,200)),"")))="SHREE RADHE SHAKTI SPONGE AND POWER PVT. LTD.","SHREE RADHE",IF(IF(ISNUMBER(SEARCH("Party Name:-",'R.M Billets Reports'!D2991)),TRIM('R.M Billets Reports'!F2991),IF(ISNUMBER(SEARCH("Party Name-",'R.M Billets Reports'!D2991)),TRIM(MID('R.M Billets Reports'!D2991,SEARCH("-",'R.M Billets Reports'!D2991)+1,200)),""))&lt;&gt;"",IF(ISNUMBER(SEARCH("Party Name:-",'R.M Billets Reports'!D2991)),TRIM('R.M Billets Reports'!F2991),IF(ISNUMBER(SEARCH("Party Name-",'R.M Billets Reports'!D2991)),TRIM(MID('R.M Billets Reports'!D2991,SEARCH("-",'R.M Billets Reports'!D2991)+1,200)),"")),IF(ISNUMBER(SEARCH("Party Name:-",'R.M Billets Reports'!D2992)),TRIM('R.M Billets Reports'!F2992),IF(ISNUMBER(SEARCH("Party Name-",'R.M Billets Reports'!D2992)),TRIM(MID('R.M Billets Reports'!D2992,SEARCH("-",'R.M Billets Reports'!D2992)+1,200)),"")))))),IF(ROW()=2,"",A2991))</f>
      </c>
      <c r="B2992">
        <f>IF(OR('R.M Billets Reports'!A2991="Date-",'R.M Billets Reports'!A2991="Date:-"),'R.M Billets Reports'!B2991,IF(ROW()=2,"",B2991))</f>
      </c>
      <c r="C2992">
        <f>IF('R.M Billets Reports'!A2991="V.No.",'R.M Billets Reports'!B2991,IF(ROW()=2,"",C2991))</f>
      </c>
      <c r="D2992">
        <f>IF('R.M Billets Reports'!A2991&lt;&gt;"",'R.M Billets Reports'!A2991,IF(ROW()=2,"",D2991))</f>
      </c>
      <c r="E2992">
        <f>IF('R.M Billets Reports'!B2991="","",TRIM('R.M Billets Reports'!B2991))</f>
      </c>
      <c r="F2992">
        <f>'R.M Billets Reports'!C2991</f>
      </c>
      <c r="G2992">
        <f>'R.M Billets Reports'!D2991</f>
      </c>
      <c r="H2992">
        <f>'R.M Billets Reports'!E2991</f>
      </c>
      <c r="I2992">
        <f>'R.M Billets Reports'!F2991</f>
      </c>
      <c r="J2992">
        <f>'R.M Billets Reports'!G2991</f>
      </c>
      <c r="K2992">
        <f>'R.M Billets Reports'!H2991</f>
      </c>
      <c r="L2992">
        <f>IF('R.M Billets Reports'!I2991="","",'R.M Billets Reports'!I2991)</f>
      </c>
      <c r="M2992">
        <f t="shared" si="92"/>
      </c>
      <c r="N2992">
        <f>IF('R.M Billets Reports'!J2991="","",'R.M Billets Reports'!J2991)</f>
      </c>
      <c r="O2992">
        <f t="shared" si="93"/>
      </c>
      <c r="P2992">
        <f>IF('R.M Billets Reports'!A2991="SIZE",'R.M Billets Reports'!B2991,P2991)</f>
      </c>
    </row>
    <row r="2993" spans="1:16" x14ac:dyDescent="0.25">
      <c r="A2993">
        <f>IF(OR('R.M Billets Reports'!A2992="Date-",'R.M Billets Reports'!A2992="Date:-"),IF(IF(IF(ISNUMBER(SEARCH("Party Name:-",'R.M Billets Reports'!D2992)),TRIM('R.M Billets Reports'!F2992),IF(ISNUMBER(SEARCH("Party Name-",'R.M Billets Reports'!D2992)),TRIM(MID('R.M Billets Reports'!D2992,SEARCH("-",'R.M Billets Reports'!D2992)+1,200)),""))&lt;&gt;"",IF(ISNUMBER(SEARCH("Party Name:-",'R.M Billets Reports'!D2992)),TRIM('R.M Billets Reports'!F2992),IF(ISNUMBER(SEARCH("Party Name-",'R.M Billets Reports'!D2992)),TRIM(MID('R.M Billets Reports'!D2992,SEARCH("-",'R.M Billets Reports'!D2992)+1,200)),"")),IF(ISNUMBER(SEARCH("Party Name:-",'R.M Billets Reports'!D2993)),TRIM('R.M Billets Reports'!F2993),IF(ISNUMBER(SEARCH("Party Name-",'R.M Billets Reports'!D2993)),TRIM(MID('R.M Billets Reports'!D2993,SEARCH("-",'R.M Billets Reports'!D2993)+1,200)),"")))="VRKP ISPAT PVT LTD","VRKP",IF(IF(IF(ISNUMBER(SEARCH("Party Name:-",'R.M Billets Reports'!D2992)),TRIM('R.M Billets Reports'!F2992),IF(ISNUMBER(SEARCH("Party Name-",'R.M Billets Reports'!D2992)),TRIM(MID('R.M Billets Reports'!D2992,SEARCH("-",'R.M Billets Reports'!D2992)+1,200)),""))&lt;&gt;"",IF(ISNUMBER(SEARCH("Party Name:-",'R.M Billets Reports'!D2992)),TRIM('R.M Billets Reports'!F2992),IF(ISNUMBER(SEARCH("Party Name-",'R.M Billets Reports'!D2992)),TRIM(MID('R.M Billets Reports'!D2992,SEARCH("-",'R.M Billets Reports'!D2992)+1,200)),"")),IF(ISNUMBER(SEARCH("Party Name:-",'R.M Billets Reports'!D2993)),TRIM('R.M Billets Reports'!F2993),IF(ISNUMBER(SEARCH("Party Name-",'R.M Billets Reports'!D2993)),TRIM(MID('R.M Billets Reports'!D2993,SEARCH("-",'R.M Billets Reports'!D2993)+1,200)),"")))="SHRI RADHE","SHREE RADHE",IF(IF(IF(ISNUMBER(SEARCH("Party Name:-",'R.M Billets Reports'!D2992)),TRIM('R.M Billets Reports'!F2992),IF(ISNUMBER(SEARCH("Party Name-",'R.M Billets Reports'!D2992)),TRIM(MID('R.M Billets Reports'!D2992,SEARCH("-",'R.M Billets Reports'!D2992)+1,200)),""))&lt;&gt;"",IF(ISNUMBER(SEARCH("Party Name:-",'R.M Billets Reports'!D2992)),TRIM('R.M Billets Reports'!F2992),IF(ISNUMBER(SEARCH("Party Name-",'R.M Billets Reports'!D2992)),TRIM(MID('R.M Billets Reports'!D2992,SEARCH("-",'R.M Billets Reports'!D2992)+1,200)),"")),IF(ISNUMBER(SEARCH("Party Name:-",'R.M Billets Reports'!D2993)),TRIM('R.M Billets Reports'!F2993),IF(ISNUMBER(SEARCH("Party Name-",'R.M Billets Reports'!D2993)),TRIM(MID('R.M Billets Reports'!D2993,SEARCH("-",'R.M Billets Reports'!D2993)+1,200)),"")))="SHREE RADHE SHAKTI SPONGE AND POWER PVT. LTD.","SHREE RADHE",IF(IF(ISNUMBER(SEARCH("Party Name:-",'R.M Billets Reports'!D2992)),TRIM('R.M Billets Reports'!F2992),IF(ISNUMBER(SEARCH("Party Name-",'R.M Billets Reports'!D2992)),TRIM(MID('R.M Billets Reports'!D2992,SEARCH("-",'R.M Billets Reports'!D2992)+1,200)),""))&lt;&gt;"",IF(ISNUMBER(SEARCH("Party Name:-",'R.M Billets Reports'!D2992)),TRIM('R.M Billets Reports'!F2992),IF(ISNUMBER(SEARCH("Party Name-",'R.M Billets Reports'!D2992)),TRIM(MID('R.M Billets Reports'!D2992,SEARCH("-",'R.M Billets Reports'!D2992)+1,200)),"")),IF(ISNUMBER(SEARCH("Party Name:-",'R.M Billets Reports'!D2993)),TRIM('R.M Billets Reports'!F2993),IF(ISNUMBER(SEARCH("Party Name-",'R.M Billets Reports'!D2993)),TRIM(MID('R.M Billets Reports'!D2993,SEARCH("-",'R.M Billets Reports'!D2993)+1,200)),"")))))),IF(ROW()=2,"",A2992))</f>
      </c>
      <c r="B2993">
        <f>IF(OR('R.M Billets Reports'!A2992="Date-",'R.M Billets Reports'!A2992="Date:-"),'R.M Billets Reports'!B2992,IF(ROW()=2,"",B2992))</f>
      </c>
      <c r="C2993">
        <f>IF('R.M Billets Reports'!A2992="V.No.",'R.M Billets Reports'!B2992,IF(ROW()=2,"",C2992))</f>
      </c>
      <c r="D2993">
        <f>IF('R.M Billets Reports'!A2992&lt;&gt;"",'R.M Billets Reports'!A2992,IF(ROW()=2,"",D2992))</f>
      </c>
      <c r="E2993">
        <f>IF('R.M Billets Reports'!B2992="","",TRIM('R.M Billets Reports'!B2992))</f>
      </c>
      <c r="F2993">
        <f>'R.M Billets Reports'!C2992</f>
      </c>
      <c r="G2993">
        <f>'R.M Billets Reports'!D2992</f>
      </c>
      <c r="H2993">
        <f>'R.M Billets Reports'!E2992</f>
      </c>
      <c r="I2993">
        <f>'R.M Billets Reports'!F2992</f>
      </c>
      <c r="J2993">
        <f>'R.M Billets Reports'!G2992</f>
      </c>
      <c r="K2993">
        <f>'R.M Billets Reports'!H2992</f>
      </c>
      <c r="L2993">
        <f>IF('R.M Billets Reports'!I2992="","",'R.M Billets Reports'!I2992)</f>
      </c>
      <c r="M2993">
        <f t="shared" si="92"/>
      </c>
      <c r="N2993">
        <f>IF('R.M Billets Reports'!J2992="","",'R.M Billets Reports'!J2992)</f>
      </c>
      <c r="O2993">
        <f t="shared" si="93"/>
      </c>
      <c r="P2993">
        <f>IF('R.M Billets Reports'!A2992="SIZE",'R.M Billets Reports'!B2992,P2992)</f>
      </c>
    </row>
    <row r="2994" spans="1:16" x14ac:dyDescent="0.25">
      <c r="A2994">
        <f>IF(OR('R.M Billets Reports'!A2993="Date-",'R.M Billets Reports'!A2993="Date:-"),IF(IF(IF(ISNUMBER(SEARCH("Party Name:-",'R.M Billets Reports'!D2993)),TRIM('R.M Billets Reports'!F2993),IF(ISNUMBER(SEARCH("Party Name-",'R.M Billets Reports'!D2993)),TRIM(MID('R.M Billets Reports'!D2993,SEARCH("-",'R.M Billets Reports'!D2993)+1,200)),""))&lt;&gt;"",IF(ISNUMBER(SEARCH("Party Name:-",'R.M Billets Reports'!D2993)),TRIM('R.M Billets Reports'!F2993),IF(ISNUMBER(SEARCH("Party Name-",'R.M Billets Reports'!D2993)),TRIM(MID('R.M Billets Reports'!D2993,SEARCH("-",'R.M Billets Reports'!D2993)+1,200)),"")),IF(ISNUMBER(SEARCH("Party Name:-",'R.M Billets Reports'!D2994)),TRIM('R.M Billets Reports'!F2994),IF(ISNUMBER(SEARCH("Party Name-",'R.M Billets Reports'!D2994)),TRIM(MID('R.M Billets Reports'!D2994,SEARCH("-",'R.M Billets Reports'!D2994)+1,200)),"")))="VRKP ISPAT PVT LTD","VRKP",IF(IF(IF(ISNUMBER(SEARCH("Party Name:-",'R.M Billets Reports'!D2993)),TRIM('R.M Billets Reports'!F2993),IF(ISNUMBER(SEARCH("Party Name-",'R.M Billets Reports'!D2993)),TRIM(MID('R.M Billets Reports'!D2993,SEARCH("-",'R.M Billets Reports'!D2993)+1,200)),""))&lt;&gt;"",IF(ISNUMBER(SEARCH("Party Name:-",'R.M Billets Reports'!D2993)),TRIM('R.M Billets Reports'!F2993),IF(ISNUMBER(SEARCH("Party Name-",'R.M Billets Reports'!D2993)),TRIM(MID('R.M Billets Reports'!D2993,SEARCH("-",'R.M Billets Reports'!D2993)+1,200)),"")),IF(ISNUMBER(SEARCH("Party Name:-",'R.M Billets Reports'!D2994)),TRIM('R.M Billets Reports'!F2994),IF(ISNUMBER(SEARCH("Party Name-",'R.M Billets Reports'!D2994)),TRIM(MID('R.M Billets Reports'!D2994,SEARCH("-",'R.M Billets Reports'!D2994)+1,200)),"")))="SHRI RADHE","SHREE RADHE",IF(IF(IF(ISNUMBER(SEARCH("Party Name:-",'R.M Billets Reports'!D2993)),TRIM('R.M Billets Reports'!F2993),IF(ISNUMBER(SEARCH("Party Name-",'R.M Billets Reports'!D2993)),TRIM(MID('R.M Billets Reports'!D2993,SEARCH("-",'R.M Billets Reports'!D2993)+1,200)),""))&lt;&gt;"",IF(ISNUMBER(SEARCH("Party Name:-",'R.M Billets Reports'!D2993)),TRIM('R.M Billets Reports'!F2993),IF(ISNUMBER(SEARCH("Party Name-",'R.M Billets Reports'!D2993)),TRIM(MID('R.M Billets Reports'!D2993,SEARCH("-",'R.M Billets Reports'!D2993)+1,200)),"")),IF(ISNUMBER(SEARCH("Party Name:-",'R.M Billets Reports'!D2994)),TRIM('R.M Billets Reports'!F2994),IF(ISNUMBER(SEARCH("Party Name-",'R.M Billets Reports'!D2994)),TRIM(MID('R.M Billets Reports'!D2994,SEARCH("-",'R.M Billets Reports'!D2994)+1,200)),"")))="SHREE RADHE SHAKTI SPONGE AND POWER PVT. LTD.","SHREE RADHE",IF(IF(ISNUMBER(SEARCH("Party Name:-",'R.M Billets Reports'!D2993)),TRIM('R.M Billets Reports'!F2993),IF(ISNUMBER(SEARCH("Party Name-",'R.M Billets Reports'!D2993)),TRIM(MID('R.M Billets Reports'!D2993,SEARCH("-",'R.M Billets Reports'!D2993)+1,200)),""))&lt;&gt;"",IF(ISNUMBER(SEARCH("Party Name:-",'R.M Billets Reports'!D2993)),TRIM('R.M Billets Reports'!F2993),IF(ISNUMBER(SEARCH("Party Name-",'R.M Billets Reports'!D2993)),TRIM(MID('R.M Billets Reports'!D2993,SEARCH("-",'R.M Billets Reports'!D2993)+1,200)),"")),IF(ISNUMBER(SEARCH("Party Name:-",'R.M Billets Reports'!D2994)),TRIM('R.M Billets Reports'!F2994),IF(ISNUMBER(SEARCH("Party Name-",'R.M Billets Reports'!D2994)),TRIM(MID('R.M Billets Reports'!D2994,SEARCH("-",'R.M Billets Reports'!D2994)+1,200)),"")))))),IF(ROW()=2,"",A2993))</f>
      </c>
      <c r="B2994">
        <f>IF(OR('R.M Billets Reports'!A2993="Date-",'R.M Billets Reports'!A2993="Date:-"),'R.M Billets Reports'!B2993,IF(ROW()=2,"",B2993))</f>
      </c>
      <c r="C2994">
        <f>IF('R.M Billets Reports'!A2993="V.No.",'R.M Billets Reports'!B2993,IF(ROW()=2,"",C2993))</f>
      </c>
      <c r="D2994">
        <f>IF('R.M Billets Reports'!A2993&lt;&gt;"",'R.M Billets Reports'!A2993,IF(ROW()=2,"",D2993))</f>
      </c>
      <c r="E2994">
        <f>IF('R.M Billets Reports'!B2993="","",TRIM('R.M Billets Reports'!B2993))</f>
      </c>
      <c r="F2994">
        <f>'R.M Billets Reports'!C2993</f>
      </c>
      <c r="G2994">
        <f>'R.M Billets Reports'!D2993</f>
      </c>
      <c r="H2994">
        <f>'R.M Billets Reports'!E2993</f>
      </c>
      <c r="I2994">
        <f>'R.M Billets Reports'!F2993</f>
      </c>
      <c r="J2994">
        <f>'R.M Billets Reports'!G2993</f>
      </c>
      <c r="K2994">
        <f>'R.M Billets Reports'!H2993</f>
      </c>
      <c r="L2994">
        <f>IF('R.M Billets Reports'!I2993="","",'R.M Billets Reports'!I2993)</f>
      </c>
      <c r="M2994">
        <f t="shared" si="92"/>
      </c>
      <c r="N2994">
        <f>IF('R.M Billets Reports'!J2993="","",'R.M Billets Reports'!J2993)</f>
      </c>
      <c r="O2994">
        <f t="shared" si="93"/>
      </c>
      <c r="P2994">
        <f>IF('R.M Billets Reports'!A2993="SIZE",'R.M Billets Reports'!B2993,P2993)</f>
      </c>
    </row>
    <row r="2995" spans="1:16" x14ac:dyDescent="0.25">
      <c r="A2995">
        <f>IF(OR('R.M Billets Reports'!A2994="Date-",'R.M Billets Reports'!A2994="Date:-"),IF(IF(IF(ISNUMBER(SEARCH("Party Name:-",'R.M Billets Reports'!D2994)),TRIM('R.M Billets Reports'!F2994),IF(ISNUMBER(SEARCH("Party Name-",'R.M Billets Reports'!D2994)),TRIM(MID('R.M Billets Reports'!D2994,SEARCH("-",'R.M Billets Reports'!D2994)+1,200)),""))&lt;&gt;"",IF(ISNUMBER(SEARCH("Party Name:-",'R.M Billets Reports'!D2994)),TRIM('R.M Billets Reports'!F2994),IF(ISNUMBER(SEARCH("Party Name-",'R.M Billets Reports'!D2994)),TRIM(MID('R.M Billets Reports'!D2994,SEARCH("-",'R.M Billets Reports'!D2994)+1,200)),"")),IF(ISNUMBER(SEARCH("Party Name:-",'R.M Billets Reports'!D2995)),TRIM('R.M Billets Reports'!F2995),IF(ISNUMBER(SEARCH("Party Name-",'R.M Billets Reports'!D2995)),TRIM(MID('R.M Billets Reports'!D2995,SEARCH("-",'R.M Billets Reports'!D2995)+1,200)),"")))="VRKP ISPAT PVT LTD","VRKP",IF(IF(IF(ISNUMBER(SEARCH("Party Name:-",'R.M Billets Reports'!D2994)),TRIM('R.M Billets Reports'!F2994),IF(ISNUMBER(SEARCH("Party Name-",'R.M Billets Reports'!D2994)),TRIM(MID('R.M Billets Reports'!D2994,SEARCH("-",'R.M Billets Reports'!D2994)+1,200)),""))&lt;&gt;"",IF(ISNUMBER(SEARCH("Party Name:-",'R.M Billets Reports'!D2994)),TRIM('R.M Billets Reports'!F2994),IF(ISNUMBER(SEARCH("Party Name-",'R.M Billets Reports'!D2994)),TRIM(MID('R.M Billets Reports'!D2994,SEARCH("-",'R.M Billets Reports'!D2994)+1,200)),"")),IF(ISNUMBER(SEARCH("Party Name:-",'R.M Billets Reports'!D2995)),TRIM('R.M Billets Reports'!F2995),IF(ISNUMBER(SEARCH("Party Name-",'R.M Billets Reports'!D2995)),TRIM(MID('R.M Billets Reports'!D2995,SEARCH("-",'R.M Billets Reports'!D2995)+1,200)),"")))="SHRI RADHE","SHREE RADHE",IF(IF(IF(ISNUMBER(SEARCH("Party Name:-",'R.M Billets Reports'!D2994)),TRIM('R.M Billets Reports'!F2994),IF(ISNUMBER(SEARCH("Party Name-",'R.M Billets Reports'!D2994)),TRIM(MID('R.M Billets Reports'!D2994,SEARCH("-",'R.M Billets Reports'!D2994)+1,200)),""))&lt;&gt;"",IF(ISNUMBER(SEARCH("Party Name:-",'R.M Billets Reports'!D2994)),TRIM('R.M Billets Reports'!F2994),IF(ISNUMBER(SEARCH("Party Name-",'R.M Billets Reports'!D2994)),TRIM(MID('R.M Billets Reports'!D2994,SEARCH("-",'R.M Billets Reports'!D2994)+1,200)),"")),IF(ISNUMBER(SEARCH("Party Name:-",'R.M Billets Reports'!D2995)),TRIM('R.M Billets Reports'!F2995),IF(ISNUMBER(SEARCH("Party Name-",'R.M Billets Reports'!D2995)),TRIM(MID('R.M Billets Reports'!D2995,SEARCH("-",'R.M Billets Reports'!D2995)+1,200)),"")))="SHREE RADHE SHAKTI SPONGE AND POWER PVT. LTD.","SHREE RADHE",IF(IF(ISNUMBER(SEARCH("Party Name:-",'R.M Billets Reports'!D2994)),TRIM('R.M Billets Reports'!F2994),IF(ISNUMBER(SEARCH("Party Name-",'R.M Billets Reports'!D2994)),TRIM(MID('R.M Billets Reports'!D2994,SEARCH("-",'R.M Billets Reports'!D2994)+1,200)),""))&lt;&gt;"",IF(ISNUMBER(SEARCH("Party Name:-",'R.M Billets Reports'!D2994)),TRIM('R.M Billets Reports'!F2994),IF(ISNUMBER(SEARCH("Party Name-",'R.M Billets Reports'!D2994)),TRIM(MID('R.M Billets Reports'!D2994,SEARCH("-",'R.M Billets Reports'!D2994)+1,200)),"")),IF(ISNUMBER(SEARCH("Party Name:-",'R.M Billets Reports'!D2995)),TRIM('R.M Billets Reports'!F2995),IF(ISNUMBER(SEARCH("Party Name-",'R.M Billets Reports'!D2995)),TRIM(MID('R.M Billets Reports'!D2995,SEARCH("-",'R.M Billets Reports'!D2995)+1,200)),"")))))),IF(ROW()=2,"",A2994))</f>
      </c>
      <c r="B2995">
        <f>IF(OR('R.M Billets Reports'!A2994="Date-",'R.M Billets Reports'!A2994="Date:-"),'R.M Billets Reports'!B2994,IF(ROW()=2,"",B2994))</f>
      </c>
      <c r="C2995">
        <f>IF('R.M Billets Reports'!A2994="V.No.",'R.M Billets Reports'!B2994,IF(ROW()=2,"",C2994))</f>
      </c>
      <c r="D2995">
        <f>IF('R.M Billets Reports'!A2994&lt;&gt;"",'R.M Billets Reports'!A2994,IF(ROW()=2,"",D2994))</f>
      </c>
      <c r="E2995">
        <f>IF('R.M Billets Reports'!B2994="","",TRIM('R.M Billets Reports'!B2994))</f>
      </c>
      <c r="F2995">
        <f>'R.M Billets Reports'!C2994</f>
      </c>
      <c r="G2995">
        <f>'R.M Billets Reports'!D2994</f>
      </c>
      <c r="H2995">
        <f>'R.M Billets Reports'!E2994</f>
      </c>
      <c r="I2995">
        <f>'R.M Billets Reports'!F2994</f>
      </c>
      <c r="J2995">
        <f>'R.M Billets Reports'!G2994</f>
      </c>
      <c r="K2995">
        <f>'R.M Billets Reports'!H2994</f>
      </c>
      <c r="L2995">
        <f>IF('R.M Billets Reports'!I2994="","",'R.M Billets Reports'!I2994)</f>
      </c>
      <c r="M2995">
        <f t="shared" si="92"/>
      </c>
      <c r="N2995">
        <f>IF('R.M Billets Reports'!J2994="","",'R.M Billets Reports'!J2994)</f>
      </c>
      <c r="O2995">
        <f t="shared" si="93"/>
      </c>
      <c r="P2995">
        <f>IF('R.M Billets Reports'!A2994="SIZE",'R.M Billets Reports'!B2994,P2994)</f>
      </c>
    </row>
    <row r="2996" spans="1:16" x14ac:dyDescent="0.25">
      <c r="A2996">
        <f>IF(OR('R.M Billets Reports'!A2995="Date-",'R.M Billets Reports'!A2995="Date:-"),IF(IF(IF(ISNUMBER(SEARCH("Party Name:-",'R.M Billets Reports'!D2995)),TRIM('R.M Billets Reports'!F2995),IF(ISNUMBER(SEARCH("Party Name-",'R.M Billets Reports'!D2995)),TRIM(MID('R.M Billets Reports'!D2995,SEARCH("-",'R.M Billets Reports'!D2995)+1,200)),""))&lt;&gt;"",IF(ISNUMBER(SEARCH("Party Name:-",'R.M Billets Reports'!D2995)),TRIM('R.M Billets Reports'!F2995),IF(ISNUMBER(SEARCH("Party Name-",'R.M Billets Reports'!D2995)),TRIM(MID('R.M Billets Reports'!D2995,SEARCH("-",'R.M Billets Reports'!D2995)+1,200)),"")),IF(ISNUMBER(SEARCH("Party Name:-",'R.M Billets Reports'!D2996)),TRIM('R.M Billets Reports'!F2996),IF(ISNUMBER(SEARCH("Party Name-",'R.M Billets Reports'!D2996)),TRIM(MID('R.M Billets Reports'!D2996,SEARCH("-",'R.M Billets Reports'!D2996)+1,200)),"")))="VRKP ISPAT PVT LTD","VRKP",IF(IF(IF(ISNUMBER(SEARCH("Party Name:-",'R.M Billets Reports'!D2995)),TRIM('R.M Billets Reports'!F2995),IF(ISNUMBER(SEARCH("Party Name-",'R.M Billets Reports'!D2995)),TRIM(MID('R.M Billets Reports'!D2995,SEARCH("-",'R.M Billets Reports'!D2995)+1,200)),""))&lt;&gt;"",IF(ISNUMBER(SEARCH("Party Name:-",'R.M Billets Reports'!D2995)),TRIM('R.M Billets Reports'!F2995),IF(ISNUMBER(SEARCH("Party Name-",'R.M Billets Reports'!D2995)),TRIM(MID('R.M Billets Reports'!D2995,SEARCH("-",'R.M Billets Reports'!D2995)+1,200)),"")),IF(ISNUMBER(SEARCH("Party Name:-",'R.M Billets Reports'!D2996)),TRIM('R.M Billets Reports'!F2996),IF(ISNUMBER(SEARCH("Party Name-",'R.M Billets Reports'!D2996)),TRIM(MID('R.M Billets Reports'!D2996,SEARCH("-",'R.M Billets Reports'!D2996)+1,200)),"")))="SHRI RADHE","SHREE RADHE",IF(IF(IF(ISNUMBER(SEARCH("Party Name:-",'R.M Billets Reports'!D2995)),TRIM('R.M Billets Reports'!F2995),IF(ISNUMBER(SEARCH("Party Name-",'R.M Billets Reports'!D2995)),TRIM(MID('R.M Billets Reports'!D2995,SEARCH("-",'R.M Billets Reports'!D2995)+1,200)),""))&lt;&gt;"",IF(ISNUMBER(SEARCH("Party Name:-",'R.M Billets Reports'!D2995)),TRIM('R.M Billets Reports'!F2995),IF(ISNUMBER(SEARCH("Party Name-",'R.M Billets Reports'!D2995)),TRIM(MID('R.M Billets Reports'!D2995,SEARCH("-",'R.M Billets Reports'!D2995)+1,200)),"")),IF(ISNUMBER(SEARCH("Party Name:-",'R.M Billets Reports'!D2996)),TRIM('R.M Billets Reports'!F2996),IF(ISNUMBER(SEARCH("Party Name-",'R.M Billets Reports'!D2996)),TRIM(MID('R.M Billets Reports'!D2996,SEARCH("-",'R.M Billets Reports'!D2996)+1,200)),"")))="SHREE RADHE SHAKTI SPONGE AND POWER PVT. LTD.","SHREE RADHE",IF(IF(ISNUMBER(SEARCH("Party Name:-",'R.M Billets Reports'!D2995)),TRIM('R.M Billets Reports'!F2995),IF(ISNUMBER(SEARCH("Party Name-",'R.M Billets Reports'!D2995)),TRIM(MID('R.M Billets Reports'!D2995,SEARCH("-",'R.M Billets Reports'!D2995)+1,200)),""))&lt;&gt;"",IF(ISNUMBER(SEARCH("Party Name:-",'R.M Billets Reports'!D2995)),TRIM('R.M Billets Reports'!F2995),IF(ISNUMBER(SEARCH("Party Name-",'R.M Billets Reports'!D2995)),TRIM(MID('R.M Billets Reports'!D2995,SEARCH("-",'R.M Billets Reports'!D2995)+1,200)),"")),IF(ISNUMBER(SEARCH("Party Name:-",'R.M Billets Reports'!D2996)),TRIM('R.M Billets Reports'!F2996),IF(ISNUMBER(SEARCH("Party Name-",'R.M Billets Reports'!D2996)),TRIM(MID('R.M Billets Reports'!D2996,SEARCH("-",'R.M Billets Reports'!D2996)+1,200)),"")))))),IF(ROW()=2,"",A2995))</f>
      </c>
      <c r="B2996">
        <f>IF(OR('R.M Billets Reports'!A2995="Date-",'R.M Billets Reports'!A2995="Date:-"),'R.M Billets Reports'!B2995,IF(ROW()=2,"",B2995))</f>
      </c>
      <c r="C2996">
        <f>IF('R.M Billets Reports'!A2995="V.No.",'R.M Billets Reports'!B2995,IF(ROW()=2,"",C2995))</f>
      </c>
      <c r="D2996">
        <f>IF('R.M Billets Reports'!A2995&lt;&gt;"",'R.M Billets Reports'!A2995,IF(ROW()=2,"",D2995))</f>
      </c>
      <c r="E2996">
        <f>IF('R.M Billets Reports'!B2995="","",TRIM('R.M Billets Reports'!B2995))</f>
      </c>
      <c r="F2996">
        <f>'R.M Billets Reports'!C2995</f>
      </c>
      <c r="G2996">
        <f>'R.M Billets Reports'!D2995</f>
      </c>
      <c r="H2996">
        <f>'R.M Billets Reports'!E2995</f>
      </c>
      <c r="I2996">
        <f>'R.M Billets Reports'!F2995</f>
      </c>
      <c r="J2996">
        <f>'R.M Billets Reports'!G2995</f>
      </c>
      <c r="K2996">
        <f>'R.M Billets Reports'!H2995</f>
      </c>
      <c r="L2996">
        <f>IF('R.M Billets Reports'!I2995="","",'R.M Billets Reports'!I2995)</f>
      </c>
      <c r="M2996">
        <f t="shared" si="92"/>
      </c>
      <c r="N2996">
        <f>IF('R.M Billets Reports'!J2995="","",'R.M Billets Reports'!J2995)</f>
      </c>
      <c r="O2996">
        <f t="shared" si="93"/>
      </c>
      <c r="P2996">
        <f>IF('R.M Billets Reports'!A2995="SIZE",'R.M Billets Reports'!B2995,P2995)</f>
      </c>
    </row>
    <row r="2997" spans="1:16" x14ac:dyDescent="0.25">
      <c r="A2997">
        <f>IF(OR('R.M Billets Reports'!A2996="Date-",'R.M Billets Reports'!A2996="Date:-"),IF(IF(IF(ISNUMBER(SEARCH("Party Name:-",'R.M Billets Reports'!D2996)),TRIM('R.M Billets Reports'!F2996),IF(ISNUMBER(SEARCH("Party Name-",'R.M Billets Reports'!D2996)),TRIM(MID('R.M Billets Reports'!D2996,SEARCH("-",'R.M Billets Reports'!D2996)+1,200)),""))&lt;&gt;"",IF(ISNUMBER(SEARCH("Party Name:-",'R.M Billets Reports'!D2996)),TRIM('R.M Billets Reports'!F2996),IF(ISNUMBER(SEARCH("Party Name-",'R.M Billets Reports'!D2996)),TRIM(MID('R.M Billets Reports'!D2996,SEARCH("-",'R.M Billets Reports'!D2996)+1,200)),"")),IF(ISNUMBER(SEARCH("Party Name:-",'R.M Billets Reports'!D2997)),TRIM('R.M Billets Reports'!F2997),IF(ISNUMBER(SEARCH("Party Name-",'R.M Billets Reports'!D2997)),TRIM(MID('R.M Billets Reports'!D2997,SEARCH("-",'R.M Billets Reports'!D2997)+1,200)),"")))="VRKP ISPAT PVT LTD","VRKP",IF(IF(IF(ISNUMBER(SEARCH("Party Name:-",'R.M Billets Reports'!D2996)),TRIM('R.M Billets Reports'!F2996),IF(ISNUMBER(SEARCH("Party Name-",'R.M Billets Reports'!D2996)),TRIM(MID('R.M Billets Reports'!D2996,SEARCH("-",'R.M Billets Reports'!D2996)+1,200)),""))&lt;&gt;"",IF(ISNUMBER(SEARCH("Party Name:-",'R.M Billets Reports'!D2996)),TRIM('R.M Billets Reports'!F2996),IF(ISNUMBER(SEARCH("Party Name-",'R.M Billets Reports'!D2996)),TRIM(MID('R.M Billets Reports'!D2996,SEARCH("-",'R.M Billets Reports'!D2996)+1,200)),"")),IF(ISNUMBER(SEARCH("Party Name:-",'R.M Billets Reports'!D2997)),TRIM('R.M Billets Reports'!F2997),IF(ISNUMBER(SEARCH("Party Name-",'R.M Billets Reports'!D2997)),TRIM(MID('R.M Billets Reports'!D2997,SEARCH("-",'R.M Billets Reports'!D2997)+1,200)),"")))="SHRI RADHE","SHREE RADHE",IF(IF(IF(ISNUMBER(SEARCH("Party Name:-",'R.M Billets Reports'!D2996)),TRIM('R.M Billets Reports'!F2996),IF(ISNUMBER(SEARCH("Party Name-",'R.M Billets Reports'!D2996)),TRIM(MID('R.M Billets Reports'!D2996,SEARCH("-",'R.M Billets Reports'!D2996)+1,200)),""))&lt;&gt;"",IF(ISNUMBER(SEARCH("Party Name:-",'R.M Billets Reports'!D2996)),TRIM('R.M Billets Reports'!F2996),IF(ISNUMBER(SEARCH("Party Name-",'R.M Billets Reports'!D2996)),TRIM(MID('R.M Billets Reports'!D2996,SEARCH("-",'R.M Billets Reports'!D2996)+1,200)),"")),IF(ISNUMBER(SEARCH("Party Name:-",'R.M Billets Reports'!D2997)),TRIM('R.M Billets Reports'!F2997),IF(ISNUMBER(SEARCH("Party Name-",'R.M Billets Reports'!D2997)),TRIM(MID('R.M Billets Reports'!D2997,SEARCH("-",'R.M Billets Reports'!D2997)+1,200)),"")))="SHREE RADHE SHAKTI SPONGE AND POWER PVT. LTD.","SHREE RADHE",IF(IF(ISNUMBER(SEARCH("Party Name:-",'R.M Billets Reports'!D2996)),TRIM('R.M Billets Reports'!F2996),IF(ISNUMBER(SEARCH("Party Name-",'R.M Billets Reports'!D2996)),TRIM(MID('R.M Billets Reports'!D2996,SEARCH("-",'R.M Billets Reports'!D2996)+1,200)),""))&lt;&gt;"",IF(ISNUMBER(SEARCH("Party Name:-",'R.M Billets Reports'!D2996)),TRIM('R.M Billets Reports'!F2996),IF(ISNUMBER(SEARCH("Party Name-",'R.M Billets Reports'!D2996)),TRIM(MID('R.M Billets Reports'!D2996,SEARCH("-",'R.M Billets Reports'!D2996)+1,200)),"")),IF(ISNUMBER(SEARCH("Party Name:-",'R.M Billets Reports'!D2997)),TRIM('R.M Billets Reports'!F2997),IF(ISNUMBER(SEARCH("Party Name-",'R.M Billets Reports'!D2997)),TRIM(MID('R.M Billets Reports'!D2997,SEARCH("-",'R.M Billets Reports'!D2997)+1,200)),"")))))),IF(ROW()=2,"",A2996))</f>
      </c>
      <c r="B2997">
        <f>IF(OR('R.M Billets Reports'!A2996="Date-",'R.M Billets Reports'!A2996="Date:-"),'R.M Billets Reports'!B2996,IF(ROW()=2,"",B2996))</f>
      </c>
      <c r="C2997">
        <f>IF('R.M Billets Reports'!A2996="V.No.",'R.M Billets Reports'!B2996,IF(ROW()=2,"",C2996))</f>
      </c>
      <c r="D2997">
        <f>IF('R.M Billets Reports'!A2996&lt;&gt;"",'R.M Billets Reports'!A2996,IF(ROW()=2,"",D2996))</f>
      </c>
      <c r="E2997">
        <f>IF('R.M Billets Reports'!B2996="","",TRIM('R.M Billets Reports'!B2996))</f>
      </c>
      <c r="F2997">
        <f>'R.M Billets Reports'!C2996</f>
      </c>
      <c r="G2997">
        <f>'R.M Billets Reports'!D2996</f>
      </c>
      <c r="H2997">
        <f>'R.M Billets Reports'!E2996</f>
      </c>
      <c r="I2997">
        <f>'R.M Billets Reports'!F2996</f>
      </c>
      <c r="J2997">
        <f>'R.M Billets Reports'!G2996</f>
      </c>
      <c r="K2997">
        <f>'R.M Billets Reports'!H2996</f>
      </c>
      <c r="L2997">
        <f>IF('R.M Billets Reports'!I2996="","",'R.M Billets Reports'!I2996)</f>
      </c>
      <c r="M2997">
        <f t="shared" si="92"/>
      </c>
      <c r="N2997">
        <f>IF('R.M Billets Reports'!J2996="","",'R.M Billets Reports'!J2996)</f>
      </c>
      <c r="O2997">
        <f t="shared" si="93"/>
      </c>
      <c r="P2997">
        <f>IF('R.M Billets Reports'!A2996="SIZE",'R.M Billets Reports'!B2996,P2996)</f>
      </c>
    </row>
    <row r="2998" spans="1:16" x14ac:dyDescent="0.25">
      <c r="A2998">
        <f>IF(OR('R.M Billets Reports'!A2997="Date-",'R.M Billets Reports'!A2997="Date:-"),IF(IF(IF(ISNUMBER(SEARCH("Party Name:-",'R.M Billets Reports'!D2997)),TRIM('R.M Billets Reports'!F2997),IF(ISNUMBER(SEARCH("Party Name-",'R.M Billets Reports'!D2997)),TRIM(MID('R.M Billets Reports'!D2997,SEARCH("-",'R.M Billets Reports'!D2997)+1,200)),""))&lt;&gt;"",IF(ISNUMBER(SEARCH("Party Name:-",'R.M Billets Reports'!D2997)),TRIM('R.M Billets Reports'!F2997),IF(ISNUMBER(SEARCH("Party Name-",'R.M Billets Reports'!D2997)),TRIM(MID('R.M Billets Reports'!D2997,SEARCH("-",'R.M Billets Reports'!D2997)+1,200)),"")),IF(ISNUMBER(SEARCH("Party Name:-",'R.M Billets Reports'!D2998)),TRIM('R.M Billets Reports'!F2998),IF(ISNUMBER(SEARCH("Party Name-",'R.M Billets Reports'!D2998)),TRIM(MID('R.M Billets Reports'!D2998,SEARCH("-",'R.M Billets Reports'!D2998)+1,200)),"")))="VRKP ISPAT PVT LTD","VRKP",IF(IF(IF(ISNUMBER(SEARCH("Party Name:-",'R.M Billets Reports'!D2997)),TRIM('R.M Billets Reports'!F2997),IF(ISNUMBER(SEARCH("Party Name-",'R.M Billets Reports'!D2997)),TRIM(MID('R.M Billets Reports'!D2997,SEARCH("-",'R.M Billets Reports'!D2997)+1,200)),""))&lt;&gt;"",IF(ISNUMBER(SEARCH("Party Name:-",'R.M Billets Reports'!D2997)),TRIM('R.M Billets Reports'!F2997),IF(ISNUMBER(SEARCH("Party Name-",'R.M Billets Reports'!D2997)),TRIM(MID('R.M Billets Reports'!D2997,SEARCH("-",'R.M Billets Reports'!D2997)+1,200)),"")),IF(ISNUMBER(SEARCH("Party Name:-",'R.M Billets Reports'!D2998)),TRIM('R.M Billets Reports'!F2998),IF(ISNUMBER(SEARCH("Party Name-",'R.M Billets Reports'!D2998)),TRIM(MID('R.M Billets Reports'!D2998,SEARCH("-",'R.M Billets Reports'!D2998)+1,200)),"")))="SHRI RADHE","SHREE RADHE",IF(IF(IF(ISNUMBER(SEARCH("Party Name:-",'R.M Billets Reports'!D2997)),TRIM('R.M Billets Reports'!F2997),IF(ISNUMBER(SEARCH("Party Name-",'R.M Billets Reports'!D2997)),TRIM(MID('R.M Billets Reports'!D2997,SEARCH("-",'R.M Billets Reports'!D2997)+1,200)),""))&lt;&gt;"",IF(ISNUMBER(SEARCH("Party Name:-",'R.M Billets Reports'!D2997)),TRIM('R.M Billets Reports'!F2997),IF(ISNUMBER(SEARCH("Party Name-",'R.M Billets Reports'!D2997)),TRIM(MID('R.M Billets Reports'!D2997,SEARCH("-",'R.M Billets Reports'!D2997)+1,200)),"")),IF(ISNUMBER(SEARCH("Party Name:-",'R.M Billets Reports'!D2998)),TRIM('R.M Billets Reports'!F2998),IF(ISNUMBER(SEARCH("Party Name-",'R.M Billets Reports'!D2998)),TRIM(MID('R.M Billets Reports'!D2998,SEARCH("-",'R.M Billets Reports'!D2998)+1,200)),"")))="SHREE RADHE SHAKTI SPONGE AND POWER PVT. LTD.","SHREE RADHE",IF(IF(ISNUMBER(SEARCH("Party Name:-",'R.M Billets Reports'!D2997)),TRIM('R.M Billets Reports'!F2997),IF(ISNUMBER(SEARCH("Party Name-",'R.M Billets Reports'!D2997)),TRIM(MID('R.M Billets Reports'!D2997,SEARCH("-",'R.M Billets Reports'!D2997)+1,200)),""))&lt;&gt;"",IF(ISNUMBER(SEARCH("Party Name:-",'R.M Billets Reports'!D2997)),TRIM('R.M Billets Reports'!F2997),IF(ISNUMBER(SEARCH("Party Name-",'R.M Billets Reports'!D2997)),TRIM(MID('R.M Billets Reports'!D2997,SEARCH("-",'R.M Billets Reports'!D2997)+1,200)),"")),IF(ISNUMBER(SEARCH("Party Name:-",'R.M Billets Reports'!D2998)),TRIM('R.M Billets Reports'!F2998),IF(ISNUMBER(SEARCH("Party Name-",'R.M Billets Reports'!D2998)),TRIM(MID('R.M Billets Reports'!D2998,SEARCH("-",'R.M Billets Reports'!D2998)+1,200)),"")))))),IF(ROW()=2,"",A2997))</f>
      </c>
      <c r="B2998">
        <f>IF(OR('R.M Billets Reports'!A2997="Date-",'R.M Billets Reports'!A2997="Date:-"),'R.M Billets Reports'!B2997,IF(ROW()=2,"",B2997))</f>
      </c>
      <c r="C2998">
        <f>IF('R.M Billets Reports'!A2997="V.No.",'R.M Billets Reports'!B2997,IF(ROW()=2,"",C2997))</f>
      </c>
      <c r="D2998">
        <f>IF('R.M Billets Reports'!A2997&lt;&gt;"",'R.M Billets Reports'!A2997,IF(ROW()=2,"",D2997))</f>
      </c>
      <c r="E2998">
        <f>IF('R.M Billets Reports'!B2997="","",TRIM('R.M Billets Reports'!B2997))</f>
      </c>
      <c r="F2998">
        <f>'R.M Billets Reports'!C2997</f>
      </c>
      <c r="G2998">
        <f>'R.M Billets Reports'!D2997</f>
      </c>
      <c r="H2998">
        <f>'R.M Billets Reports'!E2997</f>
      </c>
      <c r="I2998">
        <f>'R.M Billets Reports'!F2997</f>
      </c>
      <c r="J2998">
        <f>'R.M Billets Reports'!G2997</f>
      </c>
      <c r="K2998">
        <f>'R.M Billets Reports'!H2997</f>
      </c>
      <c r="L2998">
        <f>IF('R.M Billets Reports'!I2997="","",'R.M Billets Reports'!I2997)</f>
      </c>
      <c r="M2998">
        <f t="shared" si="92"/>
      </c>
      <c r="N2998">
        <f>IF('R.M Billets Reports'!J2997="","",'R.M Billets Reports'!J2997)</f>
      </c>
      <c r="O2998">
        <f t="shared" si="93"/>
      </c>
      <c r="P2998">
        <f>IF('R.M Billets Reports'!A2997="SIZE",'R.M Billets Reports'!B2997,P2997)</f>
      </c>
    </row>
    <row r="2999" spans="1:16" x14ac:dyDescent="0.25">
      <c r="A2999">
        <f>IF(OR('R.M Billets Reports'!A2998="Date-",'R.M Billets Reports'!A2998="Date:-"),IF(IF(IF(ISNUMBER(SEARCH("Party Name:-",'R.M Billets Reports'!D2998)),TRIM('R.M Billets Reports'!F2998),IF(ISNUMBER(SEARCH("Party Name-",'R.M Billets Reports'!D2998)),TRIM(MID('R.M Billets Reports'!D2998,SEARCH("-",'R.M Billets Reports'!D2998)+1,200)),""))&lt;&gt;"",IF(ISNUMBER(SEARCH("Party Name:-",'R.M Billets Reports'!D2998)),TRIM('R.M Billets Reports'!F2998),IF(ISNUMBER(SEARCH("Party Name-",'R.M Billets Reports'!D2998)),TRIM(MID('R.M Billets Reports'!D2998,SEARCH("-",'R.M Billets Reports'!D2998)+1,200)),"")),IF(ISNUMBER(SEARCH("Party Name:-",'R.M Billets Reports'!D2999)),TRIM('R.M Billets Reports'!F2999),IF(ISNUMBER(SEARCH("Party Name-",'R.M Billets Reports'!D2999)),TRIM(MID('R.M Billets Reports'!D2999,SEARCH("-",'R.M Billets Reports'!D2999)+1,200)),"")))="VRKP ISPAT PVT LTD","VRKP",IF(IF(IF(ISNUMBER(SEARCH("Party Name:-",'R.M Billets Reports'!D2998)),TRIM('R.M Billets Reports'!F2998),IF(ISNUMBER(SEARCH("Party Name-",'R.M Billets Reports'!D2998)),TRIM(MID('R.M Billets Reports'!D2998,SEARCH("-",'R.M Billets Reports'!D2998)+1,200)),""))&lt;&gt;"",IF(ISNUMBER(SEARCH("Party Name:-",'R.M Billets Reports'!D2998)),TRIM('R.M Billets Reports'!F2998),IF(ISNUMBER(SEARCH("Party Name-",'R.M Billets Reports'!D2998)),TRIM(MID('R.M Billets Reports'!D2998,SEARCH("-",'R.M Billets Reports'!D2998)+1,200)),"")),IF(ISNUMBER(SEARCH("Party Name:-",'R.M Billets Reports'!D2999)),TRIM('R.M Billets Reports'!F2999),IF(ISNUMBER(SEARCH("Party Name-",'R.M Billets Reports'!D2999)),TRIM(MID('R.M Billets Reports'!D2999,SEARCH("-",'R.M Billets Reports'!D2999)+1,200)),"")))="SHRI RADHE","SHREE RADHE",IF(IF(IF(ISNUMBER(SEARCH("Party Name:-",'R.M Billets Reports'!D2998)),TRIM('R.M Billets Reports'!F2998),IF(ISNUMBER(SEARCH("Party Name-",'R.M Billets Reports'!D2998)),TRIM(MID('R.M Billets Reports'!D2998,SEARCH("-",'R.M Billets Reports'!D2998)+1,200)),""))&lt;&gt;"",IF(ISNUMBER(SEARCH("Party Name:-",'R.M Billets Reports'!D2998)),TRIM('R.M Billets Reports'!F2998),IF(ISNUMBER(SEARCH("Party Name-",'R.M Billets Reports'!D2998)),TRIM(MID('R.M Billets Reports'!D2998,SEARCH("-",'R.M Billets Reports'!D2998)+1,200)),"")),IF(ISNUMBER(SEARCH("Party Name:-",'R.M Billets Reports'!D2999)),TRIM('R.M Billets Reports'!F2999),IF(ISNUMBER(SEARCH("Party Name-",'R.M Billets Reports'!D2999)),TRIM(MID('R.M Billets Reports'!D2999,SEARCH("-",'R.M Billets Reports'!D2999)+1,200)),"")))="SHREE RADHE SHAKTI SPONGE AND POWER PVT. LTD.","SHREE RADHE",IF(IF(ISNUMBER(SEARCH("Party Name:-",'R.M Billets Reports'!D2998)),TRIM('R.M Billets Reports'!F2998),IF(ISNUMBER(SEARCH("Party Name-",'R.M Billets Reports'!D2998)),TRIM(MID('R.M Billets Reports'!D2998,SEARCH("-",'R.M Billets Reports'!D2998)+1,200)),""))&lt;&gt;"",IF(ISNUMBER(SEARCH("Party Name:-",'R.M Billets Reports'!D2998)),TRIM('R.M Billets Reports'!F2998),IF(ISNUMBER(SEARCH("Party Name-",'R.M Billets Reports'!D2998)),TRIM(MID('R.M Billets Reports'!D2998,SEARCH("-",'R.M Billets Reports'!D2998)+1,200)),"")),IF(ISNUMBER(SEARCH("Party Name:-",'R.M Billets Reports'!D2999)),TRIM('R.M Billets Reports'!F2999),IF(ISNUMBER(SEARCH("Party Name-",'R.M Billets Reports'!D2999)),TRIM(MID('R.M Billets Reports'!D2999,SEARCH("-",'R.M Billets Reports'!D2999)+1,200)),"")))))),IF(ROW()=2,"",A2998))</f>
      </c>
      <c r="B2999">
        <f>IF(OR('R.M Billets Reports'!A2998="Date-",'R.M Billets Reports'!A2998="Date:-"),'R.M Billets Reports'!B2998,IF(ROW()=2,"",B2998))</f>
      </c>
      <c r="C2999">
        <f>IF('R.M Billets Reports'!A2998="V.No.",'R.M Billets Reports'!B2998,IF(ROW()=2,"",C2998))</f>
      </c>
      <c r="D2999">
        <f>IF('R.M Billets Reports'!A2998&lt;&gt;"",'R.M Billets Reports'!A2998,IF(ROW()=2,"",D2998))</f>
      </c>
      <c r="E2999">
        <f>IF('R.M Billets Reports'!B2998="","",TRIM('R.M Billets Reports'!B2998))</f>
      </c>
      <c r="F2999">
        <f>'R.M Billets Reports'!C2998</f>
      </c>
      <c r="G2999">
        <f>'R.M Billets Reports'!D2998</f>
      </c>
      <c r="H2999">
        <f>'R.M Billets Reports'!E2998</f>
      </c>
      <c r="I2999">
        <f>'R.M Billets Reports'!F2998</f>
      </c>
      <c r="J2999">
        <f>'R.M Billets Reports'!G2998</f>
      </c>
      <c r="K2999">
        <f>'R.M Billets Reports'!H2998</f>
      </c>
      <c r="L2999">
        <f>IF('R.M Billets Reports'!I2998="","",'R.M Billets Reports'!I2998)</f>
      </c>
      <c r="M2999">
        <f t="shared" si="92"/>
      </c>
      <c r="N2999">
        <f>IF('R.M Billets Reports'!J2998="","",'R.M Billets Reports'!J2998)</f>
      </c>
      <c r="O2999">
        <f t="shared" si="93"/>
      </c>
      <c r="P2999">
        <f>IF('R.M Billets Reports'!A2998="SIZE",'R.M Billets Reports'!B2998,P2998)</f>
      </c>
    </row>
    <row r="3000" spans="1:16" x14ac:dyDescent="0.25">
      <c r="A3000">
        <f>IF(OR('R.M Billets Reports'!A2999="Date-",'R.M Billets Reports'!A2999="Date:-"),IF(IF(IF(ISNUMBER(SEARCH("Party Name:-",'R.M Billets Reports'!D2999)),TRIM('R.M Billets Reports'!F2999),IF(ISNUMBER(SEARCH("Party Name-",'R.M Billets Reports'!D2999)),TRIM(MID('R.M Billets Reports'!D2999,SEARCH("-",'R.M Billets Reports'!D2999)+1,200)),""))&lt;&gt;"",IF(ISNUMBER(SEARCH("Party Name:-",'R.M Billets Reports'!D2999)),TRIM('R.M Billets Reports'!F2999),IF(ISNUMBER(SEARCH("Party Name-",'R.M Billets Reports'!D2999)),TRIM(MID('R.M Billets Reports'!D2999,SEARCH("-",'R.M Billets Reports'!D2999)+1,200)),"")),IF(ISNUMBER(SEARCH("Party Name:-",'R.M Billets Reports'!D3000)),TRIM('R.M Billets Reports'!F3000),IF(ISNUMBER(SEARCH("Party Name-",'R.M Billets Reports'!D3000)),TRIM(MID('R.M Billets Reports'!D3000,SEARCH("-",'R.M Billets Reports'!D3000)+1,200)),"")))="VRKP ISPAT PVT LTD","VRKP",IF(IF(IF(ISNUMBER(SEARCH("Party Name:-",'R.M Billets Reports'!D2999)),TRIM('R.M Billets Reports'!F2999),IF(ISNUMBER(SEARCH("Party Name-",'R.M Billets Reports'!D2999)),TRIM(MID('R.M Billets Reports'!D2999,SEARCH("-",'R.M Billets Reports'!D2999)+1,200)),""))&lt;&gt;"",IF(ISNUMBER(SEARCH("Party Name:-",'R.M Billets Reports'!D2999)),TRIM('R.M Billets Reports'!F2999),IF(ISNUMBER(SEARCH("Party Name-",'R.M Billets Reports'!D2999)),TRIM(MID('R.M Billets Reports'!D2999,SEARCH("-",'R.M Billets Reports'!D2999)+1,200)),"")),IF(ISNUMBER(SEARCH("Party Name:-",'R.M Billets Reports'!D3000)),TRIM('R.M Billets Reports'!F3000),IF(ISNUMBER(SEARCH("Party Name-",'R.M Billets Reports'!D3000)),TRIM(MID('R.M Billets Reports'!D3000,SEARCH("-",'R.M Billets Reports'!D3000)+1,200)),"")))="SHRI RADHE","SHREE RADHE",IF(IF(IF(ISNUMBER(SEARCH("Party Name:-",'R.M Billets Reports'!D2999)),TRIM('R.M Billets Reports'!F2999),IF(ISNUMBER(SEARCH("Party Name-",'R.M Billets Reports'!D2999)),TRIM(MID('R.M Billets Reports'!D2999,SEARCH("-",'R.M Billets Reports'!D2999)+1,200)),""))&lt;&gt;"",IF(ISNUMBER(SEARCH("Party Name:-",'R.M Billets Reports'!D2999)),TRIM('R.M Billets Reports'!F2999),IF(ISNUMBER(SEARCH("Party Name-",'R.M Billets Reports'!D2999)),TRIM(MID('R.M Billets Reports'!D2999,SEARCH("-",'R.M Billets Reports'!D2999)+1,200)),"")),IF(ISNUMBER(SEARCH("Party Name:-",'R.M Billets Reports'!D3000)),TRIM('R.M Billets Reports'!F3000),IF(ISNUMBER(SEARCH("Party Name-",'R.M Billets Reports'!D3000)),TRIM(MID('R.M Billets Reports'!D3000,SEARCH("-",'R.M Billets Reports'!D3000)+1,200)),"")))="SHREE RADHE SHAKTI SPONGE AND POWER PVT. LTD.","SHREE RADHE",IF(IF(ISNUMBER(SEARCH("Party Name:-",'R.M Billets Reports'!D2999)),TRIM('R.M Billets Reports'!F2999),IF(ISNUMBER(SEARCH("Party Name-",'R.M Billets Reports'!D2999)),TRIM(MID('R.M Billets Reports'!D2999,SEARCH("-",'R.M Billets Reports'!D2999)+1,200)),""))&lt;&gt;"",IF(ISNUMBER(SEARCH("Party Name:-",'R.M Billets Reports'!D2999)),TRIM('R.M Billets Reports'!F2999),IF(ISNUMBER(SEARCH("Party Name-",'R.M Billets Reports'!D2999)),TRIM(MID('R.M Billets Reports'!D2999,SEARCH("-",'R.M Billets Reports'!D2999)+1,200)),"")),IF(ISNUMBER(SEARCH("Party Name:-",'R.M Billets Reports'!D3000)),TRIM('R.M Billets Reports'!F3000),IF(ISNUMBER(SEARCH("Party Name-",'R.M Billets Reports'!D3000)),TRIM(MID('R.M Billets Reports'!D3000,SEARCH("-",'R.M Billets Reports'!D3000)+1,200)),"")))))),IF(ROW()=2,"",A2999))</f>
      </c>
      <c r="B3000">
        <f>IF(OR('R.M Billets Reports'!A2999="Date-",'R.M Billets Reports'!A2999="Date:-"),'R.M Billets Reports'!B2999,IF(ROW()=2,"",B2999))</f>
      </c>
      <c r="C3000">
        <f>IF('R.M Billets Reports'!A2999="V.No.",'R.M Billets Reports'!B2999,IF(ROW()=2,"",C2999))</f>
      </c>
      <c r="D3000">
        <f>IF('R.M Billets Reports'!A2999&lt;&gt;"",'R.M Billets Reports'!A2999,IF(ROW()=2,"",D2999))</f>
      </c>
      <c r="E3000">
        <f>IF('R.M Billets Reports'!B2999="","",TRIM('R.M Billets Reports'!B2999))</f>
      </c>
      <c r="F3000">
        <f>'R.M Billets Reports'!C2999</f>
      </c>
      <c r="G3000">
        <f>'R.M Billets Reports'!D2999</f>
      </c>
      <c r="H3000">
        <f>'R.M Billets Reports'!E2999</f>
      </c>
      <c r="I3000">
        <f>'R.M Billets Reports'!F2999</f>
      </c>
      <c r="J3000">
        <f>'R.M Billets Reports'!G2999</f>
      </c>
      <c r="K3000">
        <f>'R.M Billets Reports'!H2999</f>
      </c>
      <c r="L3000">
        <f>IF('R.M Billets Reports'!I2999="","",'R.M Billets Reports'!I2999)</f>
      </c>
      <c r="M3000">
        <f t="shared" si="92"/>
      </c>
      <c r="N3000">
        <f>IF('R.M Billets Reports'!J2999="","",'R.M Billets Reports'!J2999)</f>
      </c>
      <c r="O3000">
        <f t="shared" si="93"/>
      </c>
      <c r="P3000">
        <f>IF('R.M Billets Reports'!A2999="SIZE",'R.M Billets Reports'!B2999,P2999)</f>
      </c>
    </row>
    <row r="3001" spans="1:16" x14ac:dyDescent="0.25">
      <c r="A3001">
        <f>IF(OR('R.M Billets Reports'!A3000="Date-",'R.M Billets Reports'!A3000="Date:-"),IF(IF(IF(ISNUMBER(SEARCH("Party Name:-",'R.M Billets Reports'!D3000)),TRIM('R.M Billets Reports'!F3000),IF(ISNUMBER(SEARCH("Party Name-",'R.M Billets Reports'!D3000)),TRIM(MID('R.M Billets Reports'!D3000,SEARCH("-",'R.M Billets Reports'!D3000)+1,200)),""))&lt;&gt;"",IF(ISNUMBER(SEARCH("Party Name:-",'R.M Billets Reports'!D3000)),TRIM('R.M Billets Reports'!F3000),IF(ISNUMBER(SEARCH("Party Name-",'R.M Billets Reports'!D3000)),TRIM(MID('R.M Billets Reports'!D3000,SEARCH("-",'R.M Billets Reports'!D3000)+1,200)),"")),IF(ISNUMBER(SEARCH("Party Name:-",'R.M Billets Reports'!D3001)),TRIM('R.M Billets Reports'!F3001),IF(ISNUMBER(SEARCH("Party Name-",'R.M Billets Reports'!D3001)),TRIM(MID('R.M Billets Reports'!D3001,SEARCH("-",'R.M Billets Reports'!D3001)+1,200)),"")))="VRKP ISPAT PVT LTD","VRKP",IF(IF(IF(ISNUMBER(SEARCH("Party Name:-",'R.M Billets Reports'!D3000)),TRIM('R.M Billets Reports'!F3000),IF(ISNUMBER(SEARCH("Party Name-",'R.M Billets Reports'!D3000)),TRIM(MID('R.M Billets Reports'!D3000,SEARCH("-",'R.M Billets Reports'!D3000)+1,200)),""))&lt;&gt;"",IF(ISNUMBER(SEARCH("Party Name:-",'R.M Billets Reports'!D3000)),TRIM('R.M Billets Reports'!F3000),IF(ISNUMBER(SEARCH("Party Name-",'R.M Billets Reports'!D3000)),TRIM(MID('R.M Billets Reports'!D3000,SEARCH("-",'R.M Billets Reports'!D3000)+1,200)),"")),IF(ISNUMBER(SEARCH("Party Name:-",'R.M Billets Reports'!D3001)),TRIM('R.M Billets Reports'!F3001),IF(ISNUMBER(SEARCH("Party Name-",'R.M Billets Reports'!D3001)),TRIM(MID('R.M Billets Reports'!D3001,SEARCH("-",'R.M Billets Reports'!D3001)+1,200)),"")))="SHRI RADHE","SHREE RADHE",IF(IF(IF(ISNUMBER(SEARCH("Party Name:-",'R.M Billets Reports'!D3000)),TRIM('R.M Billets Reports'!F3000),IF(ISNUMBER(SEARCH("Party Name-",'R.M Billets Reports'!D3000)),TRIM(MID('R.M Billets Reports'!D3000,SEARCH("-",'R.M Billets Reports'!D3000)+1,200)),""))&lt;&gt;"",IF(ISNUMBER(SEARCH("Party Name:-",'R.M Billets Reports'!D3000)),TRIM('R.M Billets Reports'!F3000),IF(ISNUMBER(SEARCH("Party Name-",'R.M Billets Reports'!D3000)),TRIM(MID('R.M Billets Reports'!D3000,SEARCH("-",'R.M Billets Reports'!D3000)+1,200)),"")),IF(ISNUMBER(SEARCH("Party Name:-",'R.M Billets Reports'!D3001)),TRIM('R.M Billets Reports'!F3001),IF(ISNUMBER(SEARCH("Party Name-",'R.M Billets Reports'!D3001)),TRIM(MID('R.M Billets Reports'!D3001,SEARCH("-",'R.M Billets Reports'!D3001)+1,200)),"")))="SHREE RADHE SHAKTI SPONGE AND POWER PVT. LTD.","SHREE RADHE",IF(IF(ISNUMBER(SEARCH("Party Name:-",'R.M Billets Reports'!D3000)),TRIM('R.M Billets Reports'!F3000),IF(ISNUMBER(SEARCH("Party Name-",'R.M Billets Reports'!D3000)),TRIM(MID('R.M Billets Reports'!D3000,SEARCH("-",'R.M Billets Reports'!D3000)+1,200)),""))&lt;&gt;"",IF(ISNUMBER(SEARCH("Party Name:-",'R.M Billets Reports'!D3000)),TRIM('R.M Billets Reports'!F3000),IF(ISNUMBER(SEARCH("Party Name-",'R.M Billets Reports'!D3000)),TRIM(MID('R.M Billets Reports'!D3000,SEARCH("-",'R.M Billets Reports'!D3000)+1,200)),"")),IF(ISNUMBER(SEARCH("Party Name:-",'R.M Billets Reports'!D3001)),TRIM('R.M Billets Reports'!F3001),IF(ISNUMBER(SEARCH("Party Name-",'R.M Billets Reports'!D3001)),TRIM(MID('R.M Billets Reports'!D3001,SEARCH("-",'R.M Billets Reports'!D3001)+1,200)),"")))))),IF(ROW()=2,"",A3000))</f>
      </c>
      <c r="B3001">
        <f>IF(OR('R.M Billets Reports'!A3000="Date-",'R.M Billets Reports'!A3000="Date:-"),'R.M Billets Reports'!B3000,IF(ROW()=2,"",B3000))</f>
      </c>
      <c r="C3001">
        <f>IF('R.M Billets Reports'!A3000="V.No.",'R.M Billets Reports'!B3000,IF(ROW()=2,"",C3000))</f>
      </c>
      <c r="D3001">
        <f>IF('R.M Billets Reports'!A3000&lt;&gt;"",'R.M Billets Reports'!A3000,IF(ROW()=2,"",D3000))</f>
      </c>
      <c r="E3001">
        <f>IF('R.M Billets Reports'!B3000="","",TRIM('R.M Billets Reports'!B3000))</f>
      </c>
      <c r="F3001">
        <f>'R.M Billets Reports'!C3000</f>
      </c>
      <c r="G3001">
        <f>'R.M Billets Reports'!D3000</f>
      </c>
      <c r="H3001">
        <f>'R.M Billets Reports'!E3000</f>
      </c>
      <c r="I3001">
        <f>'R.M Billets Reports'!F3000</f>
      </c>
      <c r="J3001">
        <f>'R.M Billets Reports'!G3000</f>
      </c>
      <c r="K3001">
        <f>'R.M Billets Reports'!H3000</f>
      </c>
      <c r="L3001">
        <f>IF('R.M Billets Reports'!I3000="","",'R.M Billets Reports'!I3000)</f>
      </c>
      <c r="M3001">
        <f t="shared" si="92"/>
      </c>
      <c r="N3001">
        <f>IF('R.M Billets Reports'!J3000="","",'R.M Billets Reports'!J3000)</f>
      </c>
      <c r="O3001">
        <f t="shared" si="93"/>
      </c>
      <c r="P3001">
        <f>IF('R.M Billets Reports'!A3000="SIZE",'R.M Billets Reports'!B3000,P3000)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R.M Billets Reports</vt:lpstr>
      <vt:lpstr>VRKP</vt:lpstr>
      <vt:lpstr>Shree Radhe</vt:lpstr>
      <vt:lpstr>Swadesh</vt:lpstr>
      <vt:lpstr>Shyam Metaliks</vt:lpstr>
      <vt:lpstr>Shyam Metaliks (160)</vt:lpstr>
      <vt:lpstr>MASHIVA</vt:lpstr>
      <vt:lpstr>Akash Sales</vt:lpstr>
      <vt:lpstr>AR Ispat</vt:lpstr>
      <vt:lpstr>Master</vt:lpstr>
      <vt:lpstr>Staging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durgesh.mishra@marutisteel.in</dc:creator>
  <cp:lastModifiedBy>Durgesh Mishra</cp:lastModifiedBy>
  <cp:revision>0</cp:revision>
  <cp:lastPrinted>2026-09-29T08:14:19Z</cp:lastPrinted>
  <dcterms:created xsi:type="dcterms:W3CDTF">2026-07-24T05:43:38Z</dcterms:created>
  <dcterms:modified xsi:type="dcterms:W3CDTF">2026-10-17T07:34:20Z</dcterms:modified>
  <dc:language>en-US</dc:language>
</cp:coreProperties>
</file>